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otection workbookPassword="CC30" lockStructure="1"/>
  <bookViews>
    <workbookView activeTab="0"/>
  </bookViews>
  <sheets>
    <sheet name="Dashboard" sheetId="1" r:id="rId1"/>
    <sheet name="Monitoramento" sheetId="2" r:id="rId2"/>
    <sheet name="Consol Mensal" sheetId="3" r:id="rId3"/>
    <sheet name="calculos" sheetId="4" state="hidden" r:id="rId4"/>
    <sheet name="BD" sheetId="5" r:id="rId5"/>
    <sheet name="Config" sheetId="6" r:id="rId6"/>
    <sheet name="calculos_quadro" sheetId="7" state="hidden" r:id="rId7"/>
  </sheets>
  <definedNames>
    <definedName name="_xlnm.Print_Area" localSheetId="0">'Dashboard'!$A$1:$Z$65</definedName>
    <definedName name="_xlnm.Print_Area" localSheetId="1">'Monitoramento'!$A$1:$AK$416</definedName>
    <definedName name="_xlnm.Print_Area" localSheetId="2">'Consol Mensal'!$A$1:$AA$51</definedName>
    <definedName name="_xlnm.Print_Area" localSheetId="5">'Config'!$A$1:$T$97</definedName>
  </definedNames>
  <calcPr calcId="191029" fullCalcOnLoad="1"/>
</workbook>
</file>

<file path=xl/styles.xml><?xml version="1.0" encoding="utf-8"?>
<styleSheet xmlns="http://schemas.openxmlformats.org/spreadsheetml/2006/main">
  <numFmts count="11">
    <numFmt numFmtId="164" formatCode="dd/mm/yyyy"/>
    <numFmt numFmtId="165" formatCode="dd/mm"/>
    <numFmt numFmtId="166" formatCode="#,##0;;"/>
    <numFmt numFmtId="167" formatCode="0.0%"/>
    <numFmt numFmtId="168" formatCode="#,##0.0"/>
    <numFmt numFmtId="169" formatCode="&quot;▲ &quot;0%&quot; vs período ant.&quot;;&quot;▼ &quot;0%&quot; vs período ant.&quot;;&quot;= período ant.&quot;"/>
    <numFmt numFmtId="170" formatCode="#,##0&quot; p.p&quot;"/>
    <numFmt numFmtId="171" formatCode="0.0%;&quot;excede &quot;0.0%"/>
    <numFmt numFmtId="172" formatCode="[$-416]d;@"/>
    <numFmt numFmtId="173" formatCode="[&gt;=1000]#,##0;#,##0.0"/>
    <numFmt numFmtId="174" formatCode="&quot;▲ &quot;0%;&quot;▼ &quot;0%;&quot;= 0%&quot;"/>
  </numFmts>
  <fonts count="38">
    <font>
      <sz val="10"/>
      <color rgb="FF000000"/>
      <name val="Calibri"/>
      <family val="2"/>
    </font>
    <font>
      <b/>
      <sz val="9"/>
      <color rgb="FF1B1B1F"/>
      <name val="Calibri"/>
      <family val="2"/>
    </font>
    <font>
      <b/>
      <sz val="9"/>
      <color rgb="FFFFFFFF"/>
      <name val="Calibri"/>
      <family val="2"/>
    </font>
    <font>
      <b/>
      <sz val="10"/>
      <color rgb="FFC00000"/>
      <name val="Calibri"/>
      <family val="2"/>
    </font>
    <font>
      <sz val="9"/>
      <color rgb="FF404040"/>
      <name val="Calibri"/>
      <family val="2"/>
    </font>
    <font>
      <b/>
      <sz val="9"/>
      <color rgb="FF000000"/>
      <name val="Calibri"/>
      <family val="2"/>
    </font>
    <font>
      <sz val="10"/>
      <color rgb="FF0000FF"/>
      <name val="Calibri"/>
      <family val="2"/>
    </font>
    <font>
      <b/>
      <sz val="11"/>
      <color rgb="FFC00000"/>
      <name val="Calibri"/>
      <family val="2"/>
    </font>
    <font>
      <b/>
      <sz val="10"/>
      <color rgb="FF000000"/>
      <name val="Calibri"/>
      <family val="2"/>
    </font>
    <font>
      <sz val="9"/>
      <color rgb="FF000000"/>
      <name val="Calibri"/>
      <family val="2"/>
    </font>
    <font>
      <i/>
      <sz val="8"/>
      <color rgb="FF7F7F7F"/>
      <name val="Calibri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9"/>
      <color rgb="FFC00000"/>
      <name val="Calibri"/>
      <family val="2"/>
    </font>
    <font>
      <sz val="9"/>
      <color rgb="FF0000FF"/>
      <name val="Calibri"/>
      <family val="2"/>
    </font>
    <font>
      <sz val="8"/>
      <color rgb="FF9A9A9A"/>
      <name val="Calibri"/>
      <family val="2"/>
    </font>
    <font>
      <b/>
      <sz val="11"/>
      <color rgb="FFFFFFFF"/>
      <name val="Calibri"/>
      <family val="2"/>
    </font>
    <font>
      <b/>
      <sz val="9"/>
      <color rgb="FF404040"/>
      <name val="Calibri"/>
      <family val="2"/>
    </font>
    <font>
      <b/>
      <sz val="10"/>
      <color rgb="FF0000FF"/>
      <name val="Calibri"/>
      <family val="2"/>
    </font>
    <font>
      <b/>
      <sz val="8"/>
      <color rgb="FF1B1B1F"/>
      <name val="Calibri"/>
      <family val="2"/>
    </font>
    <font>
      <b/>
      <sz val="16"/>
      <color rgb="FFFFFFFF"/>
      <name val="Calibri"/>
      <family val="2"/>
    </font>
    <font>
      <b/>
      <sz val="12"/>
      <color rgb="FF1B1B1F"/>
      <name val="Calibri"/>
      <family val="2"/>
    </font>
    <font>
      <b/>
      <sz val="13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595959"/>
      <name val="Calibri"/>
      <family val="2"/>
    </font>
    <font>
      <sz val="9"/>
      <color rgb="FF7F7F7F"/>
      <name val="Calibri"/>
      <family val="2"/>
    </font>
    <font>
      <b/>
      <sz val="11"/>
      <color rgb="FF1B1B1F"/>
      <name val="Calibri"/>
      <family val="2"/>
    </font>
    <font>
      <b/>
      <sz val="30"/>
      <color rgb="FF1B1B1F"/>
      <name val="Calibri"/>
      <family val="2"/>
    </font>
    <font>
      <b/>
      <sz val="10"/>
      <color rgb="FF595959"/>
      <name val="Calibri"/>
      <family val="2"/>
    </font>
    <font>
      <sz val="10"/>
      <color rgb="FF6E7078"/>
      <name val="Calibri"/>
      <family val="2"/>
    </font>
    <font>
      <b/>
      <sz val="10"/>
      <color rgb="FF7F7F7F"/>
      <name val="Calibri"/>
      <family val="2"/>
    </font>
    <font>
      <b/>
      <sz val="9"/>
      <color rgb="FF6E7078"/>
      <name val="Calibri"/>
      <family val="2"/>
    </font>
    <font>
      <i/>
      <sz val="8"/>
      <color rgb="FF9A9A9A"/>
      <name val="Calibri"/>
      <family val="2"/>
    </font>
    <font>
      <b/>
      <sz val="11"/>
      <color rgb="FF00000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1B1B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ADADA"/>
        <bgColor indexed="64"/>
      </patternFill>
    </fill>
    <fill>
      <patternFill patternType="solid">
        <fgColor rgb="FFF2F2F2"/>
        <bgColor indexed="64"/>
      </patternFill>
    </fill>
  </fills>
  <borders count="5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BFBFBF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BFBFBF"/>
      </bottom>
      <diagonal/>
    </border>
    <border>
      <left/>
      <right/>
      <top style="medium">
        <color rgb="FF000000"/>
      </top>
      <bottom style="hair">
        <color rgb="FFBFBFBF"/>
      </bottom>
      <diagonal/>
    </border>
    <border>
      <left/>
      <right style="medium">
        <color rgb="FF000000"/>
      </right>
      <top style="medium">
        <color rgb="FF000000"/>
      </top>
      <bottom style="hair">
        <color rgb="FFBFBFBF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E01E1E"/>
      </left>
      <right/>
      <top style="medium">
        <color rgb="FFE01E1E"/>
      </top>
      <bottom style="medium">
        <color rgb="FFE01E1E"/>
      </bottom>
      <diagonal/>
    </border>
    <border>
      <left/>
      <right/>
      <top style="medium">
        <color rgb="FFE01E1E"/>
      </top>
      <bottom style="medium">
        <color rgb="FFE01E1E"/>
      </bottom>
      <diagonal/>
    </border>
    <border>
      <left/>
      <right style="medium">
        <color rgb="FFE01E1E"/>
      </right>
      <top style="medium">
        <color rgb="FFE01E1E"/>
      </top>
      <bottom style="medium">
        <color rgb="FFE01E1E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E01E1E"/>
      </top>
      <bottom/>
      <diagonal/>
    </border>
    <border>
      <left/>
      <right/>
      <top/>
      <bottom style="hair">
        <color rgb="FFC9CBD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595959"/>
      </bottom>
      <diagonal/>
    </border>
    <border>
      <left style="hair">
        <color rgb="FF7F7F7F"/>
      </left>
      <right/>
      <top style="medium">
        <color rgb="FF000000"/>
      </top>
      <bottom/>
      <diagonal/>
    </border>
    <border>
      <left/>
      <right/>
      <top style="hair">
        <color rgb="FF7F7F7F"/>
      </top>
      <bottom/>
      <diagonal/>
    </border>
    <border>
      <left style="hair">
        <color rgb="FF7F7F7F"/>
      </left>
      <right/>
      <top style="hair">
        <color rgb="FF7F7F7F"/>
      </top>
      <bottom/>
      <diagonal/>
    </border>
    <border>
      <left/>
      <right style="medium">
        <color rgb="FF000000"/>
      </right>
      <top style="hair">
        <color rgb="FF7F7F7F"/>
      </top>
      <bottom/>
      <diagonal/>
    </border>
    <border>
      <left/>
      <right/>
      <top style="hair">
        <color rgb="FF7F7F7F"/>
      </top>
      <bottom style="medium">
        <color rgb="FF000000"/>
      </bottom>
      <diagonal/>
    </border>
    <border>
      <left style="hair">
        <color rgb="FF7F7F7F"/>
      </left>
      <right/>
      <top style="hair">
        <color rgb="FF7F7F7F"/>
      </top>
      <bottom style="medium">
        <color rgb="FF000000"/>
      </bottom>
      <diagonal/>
    </border>
    <border>
      <left/>
      <right style="medium">
        <color rgb="FF000000"/>
      </right>
      <top style="hair">
        <color rgb="FF7F7F7F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/>
  </cellStyleXfs>
  <cellXfs count="502">
    <xf numFmtId="0" fontId="0" fillId="0" borderId="0" xfId="0"/>
    <xf numFmtId="0" fontId="1" fillId="2" borderId="1" xfId="0" applyNumberFormat="1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0" fontId="1" fillId="3" borderId="3" xfId="0" applyNumberFormat="1" applyFont="1" applyFill="1" applyBorder="1" applyAlignment="1">
      <alignment horizontal="center" vertical="center"/>
    </xf>
    <xf numFmtId="0" fontId="1" fillId="3" borderId="2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4" borderId="3" xfId="0" applyNumberFormat="1" applyFont="1" applyFill="1" applyBorder="1" applyAlignment="1">
      <alignment horizontal="center" vertical="center"/>
    </xf>
    <xf numFmtId="0" fontId="1" fillId="4" borderId="2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5" borderId="3" xfId="0" applyNumberFormat="1" applyFont="1" applyFill="1" applyBorder="1" applyAlignment="1">
      <alignment horizontal="center"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6" borderId="3" xfId="0" applyNumberFormat="1" applyFont="1" applyFill="1" applyBorder="1" applyAlignment="1">
      <alignment horizontal="center" vertical="center"/>
    </xf>
    <xf numFmtId="0" fontId="1" fillId="6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/>
    </xf>
    <xf numFmtId="0" fontId="2" fillId="7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left" vertical="center" wrapText="1"/>
    </xf>
    <xf numFmtId="0" fontId="4" fillId="0" borderId="0" xfId="0" applyNumberFormat="1" applyFont="1" applyFill="1" applyBorder="1" applyAlignment="1">
      <alignment horizontal="left" vertical="center" wrapText="1"/>
    </xf>
    <xf numFmtId="0" fontId="3" fillId="0" borderId="0" xfId="0" applyNumberFormat="1" applyFont="1" applyFill="1" applyBorder="1" applyAlignment="1">
      <alignment horizontal="left" vertical="center"/>
    </xf>
    <xf numFmtId="0" fontId="5" fillId="3" borderId="5" xfId="0" applyNumberFormat="1" applyFont="1" applyFill="1" applyBorder="1" applyAlignment="1">
      <alignment horizontal="left" vertical="center" indent="1"/>
    </xf>
    <xf numFmtId="3" fontId="6" fillId="8" borderId="5" xfId="0" applyNumberFormat="1" applyFont="1" applyFill="1" applyBorder="1" applyAlignment="1">
      <alignment horizontal="center" vertical="center"/>
    </xf>
    <xf numFmtId="0" fontId="5" fillId="4" borderId="5" xfId="0" applyNumberFormat="1" applyFont="1" applyFill="1" applyBorder="1" applyAlignment="1">
      <alignment horizontal="left" vertical="center" indent="1"/>
    </xf>
    <xf numFmtId="0" fontId="5" fillId="5" borderId="5" xfId="0" applyNumberFormat="1" applyFont="1" applyFill="1" applyBorder="1" applyAlignment="1">
      <alignment horizontal="left" vertical="center" indent="1"/>
    </xf>
    <xf numFmtId="9" fontId="6" fillId="8" borderId="5" xfId="0" applyNumberFormat="1" applyFont="1" applyFill="1" applyBorder="1" applyAlignment="1">
      <alignment horizontal="center" vertical="center"/>
    </xf>
    <xf numFmtId="0" fontId="5" fillId="6" borderId="5" xfId="0" applyNumberFormat="1" applyFont="1" applyFill="1" applyBorder="1" applyAlignment="1">
      <alignment horizontal="left" vertical="center" indent="1"/>
    </xf>
    <xf numFmtId="0" fontId="7" fillId="0" borderId="0" xfId="0" applyNumberFormat="1" applyFont="1" applyFill="1" applyBorder="1" applyAlignment="1">
      <alignment horizontal="left" vertical="center"/>
    </xf>
    <xf numFmtId="0" fontId="8" fillId="0" borderId="0" xfId="0" applyNumberFormat="1" applyFont="1" applyFill="1" applyBorder="1" applyAlignment="1">
      <alignment horizontal="left" vertical="center"/>
    </xf>
    <xf numFmtId="0" fontId="9" fillId="0" borderId="0" xfId="0" applyNumberFormat="1" applyFont="1" applyFill="1" applyBorder="1" applyAlignment="1">
      <alignment horizontal="center" vertical="center"/>
    </xf>
    <xf numFmtId="0" fontId="9" fillId="0" borderId="0" xfId="0" applyNumberFormat="1" applyFont="1" applyFill="1" applyBorder="1" applyAlignment="1">
      <alignment horizontal="left" vertical="center"/>
    </xf>
    <xf numFmtId="3" fontId="8" fillId="0" borderId="0" xfId="0" applyNumberFormat="1" applyFont="1" applyFill="1" applyBorder="1" applyAlignment="1">
      <alignment horizontal="left" vertical="center"/>
    </xf>
    <xf numFmtId="0" fontId="10" fillId="0" borderId="0" xfId="0" applyNumberFormat="1" applyFont="1" applyFill="1" applyBorder="1" applyAlignment="1">
      <alignment horizontal="left" vertical="center"/>
    </xf>
    <xf numFmtId="3" fontId="9" fillId="0" borderId="0" xfId="0" applyNumberFormat="1" applyFont="1" applyFill="1" applyBorder="1" applyAlignment="1">
      <alignment horizontal="center" vertical="center"/>
    </xf>
    <xf numFmtId="9" fontId="0" fillId="0" borderId="0" xfId="0" applyNumberFormat="1" applyFont="1" applyFill="1" applyBorder="1" applyAlignment="1">
      <alignment horizontal="left" vertical="center"/>
    </xf>
    <xf numFmtId="164" fontId="9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left" vertical="center"/>
    </xf>
    <xf numFmtId="1" fontId="8" fillId="0" borderId="0" xfId="0" applyNumberFormat="1" applyFont="1" applyFill="1" applyBorder="1" applyAlignment="1">
      <alignment horizontal="left" vertical="center"/>
    </xf>
    <xf numFmtId="0" fontId="11" fillId="7" borderId="0" xfId="0" applyNumberFormat="1" applyFont="1" applyFill="1" applyBorder="1" applyAlignment="1">
      <alignment horizontal="center" vertical="center" wrapText="1"/>
    </xf>
    <xf numFmtId="0" fontId="12" fillId="0" borderId="0" xfId="0" applyNumberFormat="1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>
      <alignment horizontal="center" vertical="center"/>
    </xf>
    <xf numFmtId="0" fontId="5" fillId="0" borderId="0" xfId="0" applyNumberFormat="1" applyFont="1" applyFill="1" applyBorder="1" applyAlignment="1">
      <alignment horizontal="left" vertical="center"/>
    </xf>
    <xf numFmtId="3" fontId="0" fillId="0" borderId="0" xfId="0" applyNumberFormat="1" applyFont="1" applyFill="1" applyBorder="1" applyAlignment="1">
      <alignment horizontal="center" vertical="center"/>
    </xf>
    <xf numFmtId="165" fontId="12" fillId="0" borderId="0" xfId="0" applyNumberFormat="1" applyFont="1" applyFill="1" applyBorder="1" applyAlignment="1">
      <alignment horizontal="center" vertical="center"/>
    </xf>
    <xf numFmtId="3" fontId="12" fillId="0" borderId="0" xfId="0" applyNumberFormat="1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>
      <alignment horizontal="left" vertical="center"/>
    </xf>
    <xf numFmtId="3" fontId="13" fillId="0" borderId="0" xfId="0" applyNumberFormat="1" applyFont="1" applyFill="1" applyBorder="1" applyAlignment="1">
      <alignment horizontal="center" vertical="center"/>
    </xf>
    <xf numFmtId="165" fontId="9" fillId="0" borderId="0" xfId="0" applyNumberFormat="1" applyFont="1" applyFill="1" applyBorder="1" applyAlignment="1">
      <alignment horizontal="center" vertical="center"/>
    </xf>
    <xf numFmtId="4" fontId="9" fillId="0" borderId="0" xfId="0" applyNumberFormat="1" applyFont="1" applyFill="1" applyBorder="1" applyAlignment="1">
      <alignment horizontal="center" vertical="center"/>
    </xf>
    <xf numFmtId="166" fontId="9" fillId="0" borderId="0" xfId="0" applyNumberFormat="1" applyFont="1" applyFill="1" applyBorder="1" applyAlignment="1">
      <alignment horizontal="center" vertical="center"/>
    </xf>
    <xf numFmtId="167" fontId="9" fillId="0" borderId="0" xfId="0" applyNumberFormat="1" applyFont="1" applyFill="1" applyBorder="1" applyAlignment="1">
      <alignment horizontal="center" vertical="center"/>
    </xf>
    <xf numFmtId="9" fontId="9" fillId="0" borderId="0" xfId="0" applyNumberFormat="1" applyFont="1" applyFill="1" applyBorder="1" applyAlignment="1">
      <alignment horizontal="center" vertical="center"/>
    </xf>
    <xf numFmtId="0" fontId="5" fillId="9" borderId="6" xfId="0" applyNumberFormat="1" applyFont="1" applyFill="1" applyBorder="1" applyAlignment="1">
      <alignment horizontal="left" vertical="center"/>
    </xf>
    <xf numFmtId="0" fontId="5" fillId="9" borderId="0" xfId="0" applyNumberFormat="1" applyFont="1" applyFill="1" applyBorder="1" applyAlignment="1">
      <alignment horizontal="left" vertical="center"/>
    </xf>
    <xf numFmtId="3" fontId="5" fillId="9" borderId="6" xfId="0" applyNumberFormat="1" applyFont="1" applyFill="1" applyBorder="1" applyAlignment="1">
      <alignment horizontal="center" vertical="center"/>
    </xf>
    <xf numFmtId="168" fontId="9" fillId="9" borderId="0" xfId="0" applyNumberFormat="1" applyFont="1" applyFill="1" applyBorder="1" applyAlignment="1">
      <alignment horizontal="center" vertical="center"/>
    </xf>
    <xf numFmtId="3" fontId="9" fillId="9" borderId="0" xfId="0" applyNumberFormat="1" applyFont="1" applyFill="1" applyBorder="1" applyAlignment="1">
      <alignment horizontal="center" vertical="center"/>
    </xf>
    <xf numFmtId="167" fontId="9" fillId="9" borderId="0" xfId="0" applyNumberFormat="1" applyFont="1" applyFill="1" applyBorder="1" applyAlignment="1">
      <alignment horizontal="center" vertical="center"/>
    </xf>
    <xf numFmtId="9" fontId="9" fillId="9" borderId="0" xfId="0" applyNumberFormat="1" applyFont="1" applyFill="1" applyBorder="1" applyAlignment="1">
      <alignment horizontal="center" vertical="center"/>
    </xf>
    <xf numFmtId="0" fontId="9" fillId="9" borderId="0" xfId="0" applyNumberFormat="1" applyFont="1" applyFill="1" applyBorder="1" applyAlignment="1">
      <alignment horizontal="center" vertical="center"/>
    </xf>
    <xf numFmtId="168" fontId="5" fillId="9" borderId="6" xfId="0" applyNumberFormat="1" applyFont="1" applyFill="1" applyBorder="1" applyAlignment="1">
      <alignment horizontal="center" vertical="center"/>
    </xf>
    <xf numFmtId="167" fontId="5" fillId="9" borderId="6" xfId="0" applyNumberFormat="1" applyFont="1" applyFill="1" applyBorder="1" applyAlignment="1">
      <alignment horizontal="center" vertical="center"/>
    </xf>
    <xf numFmtId="168" fontId="9" fillId="0" borderId="0" xfId="0" applyNumberFormat="1" applyFont="1" applyFill="1" applyBorder="1" applyAlignment="1">
      <alignment horizontal="center" vertical="center"/>
    </xf>
    <xf numFmtId="3" fontId="5" fillId="0" borderId="0" xfId="0" applyNumberFormat="1" applyFont="1" applyFill="1" applyBorder="1" applyAlignment="1">
      <alignment horizontal="center" vertical="center"/>
    </xf>
    <xf numFmtId="168" fontId="5" fillId="0" borderId="0" xfId="0" applyNumberFormat="1" applyFont="1" applyFill="1" applyBorder="1" applyAlignment="1">
      <alignment horizontal="center" vertical="center"/>
    </xf>
    <xf numFmtId="9" fontId="5" fillId="0" borderId="0" xfId="0" applyNumberFormat="1" applyFont="1" applyFill="1" applyBorder="1" applyAlignment="1">
      <alignment horizontal="center" vertical="center"/>
    </xf>
    <xf numFmtId="0" fontId="12" fillId="0" borderId="0" xfId="0" applyNumberFormat="1" applyFont="1" applyFill="1" applyBorder="1" applyAlignment="1">
      <alignment horizontal="left" vertical="center"/>
    </xf>
    <xf numFmtId="0" fontId="14" fillId="7" borderId="7" xfId="0" applyNumberFormat="1" applyFont="1" applyFill="1" applyBorder="1" applyAlignment="1">
      <alignment horizontal="left" vertical="center" indent="1"/>
    </xf>
    <xf numFmtId="0" fontId="14" fillId="7" borderId="8" xfId="0" applyNumberFormat="1" applyFont="1" applyFill="1" applyBorder="1" applyAlignment="1">
      <alignment horizontal="left" vertical="center" indent="1"/>
    </xf>
    <xf numFmtId="0" fontId="14" fillId="7" borderId="9" xfId="0" applyNumberFormat="1" applyFont="1" applyFill="1" applyBorder="1" applyAlignment="1">
      <alignment horizontal="left" vertical="center" indent="1"/>
    </xf>
    <xf numFmtId="0" fontId="15" fillId="8" borderId="0" xfId="0" applyNumberFormat="1" applyFont="1" applyFill="1" applyBorder="1" applyAlignment="1">
      <alignment horizontal="left" vertical="center" wrapText="1" indent="1"/>
    </xf>
    <xf numFmtId="0" fontId="16" fillId="10" borderId="0" xfId="0" applyNumberFormat="1" applyFont="1" applyFill="1" applyBorder="1" applyAlignment="1">
      <alignment horizontal="left" vertical="center" wrapText="1" indent="1"/>
    </xf>
    <xf numFmtId="0" fontId="17" fillId="0" borderId="0" xfId="0" applyNumberFormat="1" applyFont="1" applyFill="1" applyBorder="1" applyAlignment="1">
      <alignment horizontal="left" vertical="center"/>
    </xf>
    <xf numFmtId="0" fontId="2" fillId="11" borderId="0" xfId="0" applyNumberFormat="1" applyFont="1" applyFill="1" applyBorder="1" applyAlignment="1">
      <alignment horizontal="center" vertical="center" wrapText="1"/>
    </xf>
    <xf numFmtId="0" fontId="18" fillId="8" borderId="5" xfId="0" applyNumberFormat="1" applyFont="1" applyFill="1" applyBorder="1" applyAlignment="1">
      <alignment horizontal="left" vertical="center"/>
    </xf>
    <xf numFmtId="0" fontId="18" fillId="8" borderId="5" xfId="0" applyNumberFormat="1" applyFont="1" applyFill="1" applyBorder="1" applyAlignment="1">
      <alignment horizontal="center" vertical="center"/>
    </xf>
    <xf numFmtId="0" fontId="19" fillId="0" borderId="0" xfId="0" applyNumberFormat="1" applyFont="1" applyFill="1" applyBorder="1" applyAlignment="1">
      <alignment horizontal="center" vertical="center"/>
    </xf>
    <xf numFmtId="0" fontId="20" fillId="12" borderId="0" xfId="0" applyNumberFormat="1" applyFont="1" applyFill="1" applyBorder="1" applyAlignment="1">
      <alignment horizontal="left" vertical="center" indent="1"/>
    </xf>
    <xf numFmtId="0" fontId="21" fillId="9" borderId="5" xfId="0" applyNumberFormat="1" applyFont="1" applyFill="1" applyBorder="1" applyAlignment="1">
      <alignment horizontal="center" vertical="center"/>
    </xf>
    <xf numFmtId="0" fontId="21" fillId="9" borderId="5" xfId="0" applyNumberFormat="1" applyFont="1" applyFill="1" applyBorder="1" applyAlignment="1">
      <alignment horizontal="left" vertical="center"/>
    </xf>
    <xf numFmtId="0" fontId="22" fillId="8" borderId="5" xfId="0" applyNumberFormat="1" applyFont="1" applyFill="1" applyBorder="1" applyAlignment="1">
      <alignment horizontal="left" vertical="center"/>
    </xf>
    <xf numFmtId="0" fontId="23" fillId="3" borderId="0" xfId="0" applyNumberFormat="1" applyFont="1" applyFill="1" applyBorder="1" applyAlignment="1">
      <alignment horizontal="center" vertical="center" wrapText="1"/>
    </xf>
    <xf numFmtId="0" fontId="23" fillId="4" borderId="0" xfId="0" applyNumberFormat="1" applyFont="1" applyFill="1" applyBorder="1" applyAlignment="1">
      <alignment horizontal="center" vertical="center" wrapText="1"/>
    </xf>
    <xf numFmtId="0" fontId="23" fillId="5" borderId="0" xfId="0" applyNumberFormat="1" applyFont="1" applyFill="1" applyBorder="1" applyAlignment="1">
      <alignment horizontal="center" vertical="center" wrapText="1"/>
    </xf>
    <xf numFmtId="0" fontId="23" fillId="6" borderId="0" xfId="0" applyNumberFormat="1" applyFont="1" applyFill="1" applyBorder="1" applyAlignment="1">
      <alignment horizontal="center" vertical="center" wrapText="1"/>
    </xf>
    <xf numFmtId="0" fontId="2" fillId="7" borderId="7" xfId="0" applyNumberFormat="1" applyFont="1" applyFill="1" applyBorder="1" applyAlignment="1">
      <alignment horizontal="center" vertical="center" wrapText="1"/>
    </xf>
    <xf numFmtId="0" fontId="2" fillId="7" borderId="8" xfId="0" applyNumberFormat="1" applyFont="1" applyFill="1" applyBorder="1" applyAlignment="1">
      <alignment horizontal="center" vertical="center" wrapText="1"/>
    </xf>
    <xf numFmtId="0" fontId="2" fillId="7" borderId="9" xfId="0" applyNumberFormat="1" applyFont="1" applyFill="1" applyBorder="1" applyAlignment="1">
      <alignment horizontal="center" vertical="center" wrapText="1"/>
    </xf>
    <xf numFmtId="0" fontId="21" fillId="9" borderId="10" xfId="0" applyNumberFormat="1" applyFont="1" applyFill="1" applyBorder="1" applyAlignment="1">
      <alignment horizontal="left" vertical="center"/>
    </xf>
    <xf numFmtId="0" fontId="21" fillId="9" borderId="11" xfId="0" applyNumberFormat="1" applyFont="1" applyFill="1" applyBorder="1" applyAlignment="1">
      <alignment horizontal="left" vertical="center"/>
    </xf>
    <xf numFmtId="0" fontId="21" fillId="9" borderId="12" xfId="0" applyNumberFormat="1" applyFont="1" applyFill="1" applyBorder="1" applyAlignment="1">
      <alignment horizontal="left" vertical="center"/>
    </xf>
    <xf numFmtId="0" fontId="18" fillId="8" borderId="10" xfId="0" applyNumberFormat="1" applyFont="1" applyFill="1" applyBorder="1" applyAlignment="1">
      <alignment horizontal="left" vertical="center"/>
    </xf>
    <xf numFmtId="0" fontId="18" fillId="8" borderId="11" xfId="0" applyNumberFormat="1" applyFont="1" applyFill="1" applyBorder="1" applyAlignment="1">
      <alignment horizontal="left" vertical="center"/>
    </xf>
    <xf numFmtId="0" fontId="18" fillId="8" borderId="12" xfId="0" applyNumberFormat="1" applyFont="1" applyFill="1" applyBorder="1" applyAlignment="1">
      <alignment horizontal="left" vertical="center"/>
    </xf>
    <xf numFmtId="3" fontId="18" fillId="8" borderId="5" xfId="0" applyNumberFormat="1" applyFont="1" applyFill="1" applyBorder="1" applyAlignment="1">
      <alignment horizontal="right" vertical="center"/>
    </xf>
    <xf numFmtId="9" fontId="18" fillId="8" borderId="5" xfId="0" applyNumberFormat="1" applyFont="1" applyFill="1" applyBorder="1" applyAlignment="1">
      <alignment horizontal="right" vertical="center"/>
    </xf>
    <xf numFmtId="1" fontId="13" fillId="0" borderId="0" xfId="0" applyNumberFormat="1" applyFont="1" applyFill="1" applyBorder="1" applyAlignment="1">
      <alignment horizontal="center" vertical="center"/>
    </xf>
    <xf numFmtId="0" fontId="13" fillId="8" borderId="0" xfId="0" applyNumberFormat="1" applyFont="1" applyFill="1" applyBorder="1" applyAlignment="1">
      <alignment horizontal="left" vertical="center"/>
    </xf>
    <xf numFmtId="0" fontId="0" fillId="13" borderId="13" xfId="0" applyNumberFormat="1" applyFont="1" applyFill="1" applyBorder="1" applyAlignment="1">
      <alignment horizontal="center" vertical="center"/>
    </xf>
    <xf numFmtId="0" fontId="0" fillId="12" borderId="13" xfId="0" applyNumberFormat="1" applyFont="1" applyFill="1" applyBorder="1" applyAlignment="1">
      <alignment horizontal="center" vertical="center"/>
    </xf>
    <xf numFmtId="0" fontId="24" fillId="12" borderId="13" xfId="0" applyNumberFormat="1" applyFont="1" applyFill="1" applyBorder="1" applyAlignment="1">
      <alignment horizontal="center" vertical="center"/>
    </xf>
    <xf numFmtId="0" fontId="25" fillId="0" borderId="0" xfId="0" applyNumberFormat="1" applyFont="1" applyFill="1" applyBorder="1" applyAlignment="1">
      <alignment horizontal="right" vertical="center" indent="1"/>
    </xf>
    <xf numFmtId="0" fontId="26" fillId="8" borderId="14" xfId="0" applyNumberFormat="1" applyFont="1" applyFill="1" applyBorder="1" applyAlignment="1" applyProtection="1">
      <alignment horizontal="center" vertical="center"/>
      <protection locked="0"/>
    </xf>
    <xf numFmtId="0" fontId="26" fillId="8" borderId="15" xfId="0" applyNumberFormat="1" applyFont="1" applyFill="1" applyBorder="1" applyAlignment="1" applyProtection="1">
      <alignment horizontal="center" vertical="center"/>
      <protection locked="0"/>
    </xf>
    <xf numFmtId="0" fontId="26" fillId="8" borderId="16" xfId="0" applyNumberFormat="1" applyFont="1" applyFill="1" applyBorder="1" applyAlignment="1" applyProtection="1">
      <alignment horizontal="center" vertical="center"/>
      <protection locked="0"/>
    </xf>
    <xf numFmtId="164" fontId="27" fillId="8" borderId="14" xfId="0" applyNumberFormat="1" applyFont="1" applyFill="1" applyBorder="1" applyAlignment="1" applyProtection="1">
      <alignment horizontal="center" vertical="center"/>
      <protection locked="0"/>
    </xf>
    <xf numFmtId="164" fontId="27" fillId="8" borderId="15" xfId="0" applyNumberFormat="1" applyFont="1" applyFill="1" applyBorder="1" applyAlignment="1" applyProtection="1">
      <alignment horizontal="center" vertical="center"/>
      <protection locked="0"/>
    </xf>
    <xf numFmtId="164" fontId="27" fillId="8" borderId="16" xfId="0" applyNumberFormat="1" applyFont="1" applyFill="1" applyBorder="1" applyAlignment="1" applyProtection="1">
      <alignment horizontal="center" vertical="center"/>
      <protection locked="0"/>
    </xf>
    <xf numFmtId="0" fontId="28" fillId="0" borderId="0" xfId="0" applyNumberFormat="1" applyFont="1" applyFill="1" applyBorder="1" applyAlignment="1">
      <alignment horizontal="center" vertical="center"/>
    </xf>
    <xf numFmtId="0" fontId="29" fillId="0" borderId="0" xfId="0" applyNumberFormat="1" applyFont="1" applyFill="1" applyBorder="1" applyAlignment="1">
      <alignment horizontal="right" vertical="center"/>
    </xf>
    <xf numFmtId="0" fontId="0" fillId="14" borderId="17" xfId="0" applyNumberFormat="1" applyFont="1" applyFill="1" applyBorder="1" applyAlignment="1">
      <alignment horizontal="center" vertical="center"/>
    </xf>
    <xf numFmtId="0" fontId="0" fillId="14" borderId="0" xfId="0" applyNumberFormat="1" applyFont="1" applyFill="1" applyBorder="1" applyAlignment="1">
      <alignment horizontal="center" vertical="center"/>
    </xf>
    <xf numFmtId="0" fontId="0" fillId="14" borderId="18" xfId="0" applyNumberFormat="1" applyFont="1" applyFill="1" applyBorder="1" applyAlignment="1">
      <alignment horizontal="center" vertical="center"/>
    </xf>
    <xf numFmtId="0" fontId="0" fillId="14" borderId="19" xfId="0" applyNumberFormat="1" applyFont="1" applyFill="1" applyBorder="1" applyAlignment="1">
      <alignment horizontal="center" vertical="center"/>
    </xf>
    <xf numFmtId="0" fontId="0" fillId="14" borderId="20" xfId="0" applyNumberFormat="1" applyFont="1" applyFill="1" applyBorder="1" applyAlignment="1">
      <alignment horizontal="center" vertical="center"/>
    </xf>
    <xf numFmtId="0" fontId="0" fillId="14" borderId="21" xfId="0" applyNumberFormat="1" applyFont="1" applyFill="1" applyBorder="1" applyAlignment="1">
      <alignment horizontal="center" vertical="center"/>
    </xf>
    <xf numFmtId="0" fontId="0" fillId="3" borderId="22" xfId="0" applyNumberFormat="1" applyFont="1" applyFill="1" applyBorder="1" applyAlignment="1">
      <alignment horizontal="center" vertical="center"/>
    </xf>
    <xf numFmtId="0" fontId="30" fillId="3" borderId="22" xfId="0" applyNumberFormat="1" applyFont="1" applyFill="1" applyBorder="1" applyAlignment="1">
      <alignment horizontal="center" vertical="center" wrapText="1"/>
    </xf>
    <xf numFmtId="3" fontId="31" fillId="14" borderId="0" xfId="0" applyNumberFormat="1" applyFont="1" applyFill="1" applyBorder="1" applyAlignment="1">
      <alignment horizontal="center" vertical="center"/>
    </xf>
    <xf numFmtId="0" fontId="32" fillId="14" borderId="0" xfId="0" applyNumberFormat="1" applyFont="1" applyFill="1" applyBorder="1" applyAlignment="1">
      <alignment horizontal="center" vertical="center"/>
    </xf>
    <xf numFmtId="0" fontId="33" fillId="14" borderId="0" xfId="0" applyNumberFormat="1" applyFont="1" applyFill="1" applyBorder="1" applyAlignment="1">
      <alignment horizontal="center" vertical="center" wrapText="1"/>
    </xf>
    <xf numFmtId="169" fontId="34" fillId="14" borderId="20" xfId="0" applyNumberFormat="1" applyFont="1" applyFill="1" applyBorder="1" applyAlignment="1">
      <alignment horizontal="center" vertical="center"/>
    </xf>
    <xf numFmtId="0" fontId="0" fillId="4" borderId="22" xfId="0" applyNumberFormat="1" applyFont="1" applyFill="1" applyBorder="1" applyAlignment="1">
      <alignment horizontal="center" vertical="center"/>
    </xf>
    <xf numFmtId="0" fontId="30" fillId="4" borderId="22" xfId="0" applyNumberFormat="1" applyFont="1" applyFill="1" applyBorder="1" applyAlignment="1">
      <alignment horizontal="center" vertical="center" wrapText="1"/>
    </xf>
    <xf numFmtId="0" fontId="0" fillId="5" borderId="22" xfId="0" applyNumberFormat="1" applyFont="1" applyFill="1" applyBorder="1" applyAlignment="1">
      <alignment horizontal="center" vertical="center"/>
    </xf>
    <xf numFmtId="0" fontId="30" fillId="5" borderId="22" xfId="0" applyNumberFormat="1" applyFont="1" applyFill="1" applyBorder="1" applyAlignment="1">
      <alignment horizontal="center" vertical="center" wrapText="1"/>
    </xf>
    <xf numFmtId="0" fontId="35" fillId="14" borderId="23" xfId="0" applyNumberFormat="1" applyFont="1" applyFill="1" applyBorder="1" applyAlignment="1">
      <alignment horizontal="left" vertical="center" indent="1"/>
    </xf>
    <xf numFmtId="3" fontId="30" fillId="14" borderId="23" xfId="0" applyNumberFormat="1" applyFont="1" applyFill="1" applyBorder="1" applyAlignment="1">
      <alignment horizontal="right" vertical="center" indent="1"/>
    </xf>
    <xf numFmtId="0" fontId="35" fillId="14" borderId="0" xfId="0" applyNumberFormat="1" applyFont="1" applyFill="1" applyBorder="1" applyAlignment="1">
      <alignment horizontal="left" vertical="center" indent="1"/>
    </xf>
    <xf numFmtId="3" fontId="30" fillId="14" borderId="0" xfId="0" applyNumberFormat="1" applyFont="1" applyFill="1" applyBorder="1" applyAlignment="1">
      <alignment horizontal="right" vertical="center" indent="1"/>
    </xf>
    <xf numFmtId="170" fontId="30" fillId="14" borderId="23" xfId="0" applyNumberFormat="1" applyFont="1" applyFill="1" applyBorder="1" applyAlignment="1">
      <alignment horizontal="right" vertical="center" indent="1"/>
    </xf>
    <xf numFmtId="167" fontId="30" fillId="14" borderId="23" xfId="0" applyNumberFormat="1" applyFont="1" applyFill="1" applyBorder="1" applyAlignment="1">
      <alignment horizontal="right" vertical="center" indent="1"/>
    </xf>
    <xf numFmtId="171" fontId="30" fillId="14" borderId="23" xfId="0" applyNumberFormat="1" applyFont="1" applyFill="1" applyBorder="1" applyAlignment="1">
      <alignment horizontal="right" vertical="center" indent="1"/>
    </xf>
    <xf numFmtId="0" fontId="32" fillId="14" borderId="0" xfId="0" applyNumberFormat="1" applyFont="1" applyFill="1" applyBorder="1" applyAlignment="1">
      <alignment horizontal="center" vertical="center" wrapText="1"/>
    </xf>
    <xf numFmtId="0" fontId="0" fillId="6" borderId="22" xfId="0" applyNumberFormat="1" applyFont="1" applyFill="1" applyBorder="1" applyAlignment="1">
      <alignment horizontal="center" vertical="center"/>
    </xf>
    <xf numFmtId="0" fontId="30" fillId="6" borderId="22" xfId="0" applyNumberFormat="1" applyFont="1" applyFill="1" applyBorder="1" applyAlignment="1">
      <alignment horizontal="center" vertical="center" wrapText="1"/>
    </xf>
    <xf numFmtId="0" fontId="30" fillId="14" borderId="0" xfId="0" applyNumberFormat="1" applyFont="1" applyFill="1" applyBorder="1" applyAlignment="1">
      <alignment horizontal="right" vertical="center" indent="1"/>
    </xf>
    <xf numFmtId="0" fontId="36" fillId="0" borderId="0" xfId="0" applyNumberFormat="1" applyFont="1" applyFill="1" applyBorder="1" applyAlignment="1">
      <alignment horizontal="left" vertical="center"/>
    </xf>
    <xf numFmtId="0" fontId="14" fillId="12" borderId="13" xfId="0" applyNumberFormat="1" applyFont="1" applyFill="1" applyBorder="1" applyAlignment="1">
      <alignment horizontal="center" vertical="center"/>
    </xf>
    <xf numFmtId="0" fontId="14" fillId="12" borderId="13" xfId="0" applyNumberFormat="1" applyFont="1" applyFill="1" applyBorder="1" applyAlignment="1" applyProtection="1">
      <alignment horizontal="right" vertical="center" indent="1"/>
      <protection locked="0"/>
    </xf>
    <xf numFmtId="0" fontId="8" fillId="0" borderId="24" xfId="0" applyNumberFormat="1" applyFont="1" applyFill="1" applyBorder="1" applyAlignment="1">
      <alignment horizontal="center" vertical="center"/>
    </xf>
    <xf numFmtId="0" fontId="8" fillId="0" borderId="25" xfId="0" applyNumberFormat="1" applyFont="1" applyFill="1" applyBorder="1" applyAlignment="1">
      <alignment horizontal="center" vertical="center"/>
    </xf>
    <xf numFmtId="0" fontId="8" fillId="2" borderId="26" xfId="0" applyNumberFormat="1" applyFont="1" applyFill="1" applyBorder="1" applyAlignment="1">
      <alignment horizontal="center" vertical="center"/>
    </xf>
    <xf numFmtId="0" fontId="8" fillId="2" borderId="27" xfId="0" applyNumberFormat="1" applyFont="1" applyFill="1" applyBorder="1" applyAlignment="1">
      <alignment horizontal="center" vertical="center"/>
    </xf>
    <xf numFmtId="0" fontId="8" fillId="2" borderId="28" xfId="0" applyNumberFormat="1" applyFont="1" applyFill="1" applyBorder="1" applyAlignment="1">
      <alignment horizontal="center" vertical="center"/>
    </xf>
    <xf numFmtId="0" fontId="8" fillId="2" borderId="29" xfId="0" applyNumberFormat="1" applyFont="1" applyFill="1" applyBorder="1" applyAlignment="1">
      <alignment horizontal="center" vertical="center"/>
    </xf>
    <xf numFmtId="0" fontId="8" fillId="2" borderId="24" xfId="0" applyNumberFormat="1" applyFont="1" applyFill="1" applyBorder="1" applyAlignment="1">
      <alignment horizontal="center" vertical="center"/>
    </xf>
    <xf numFmtId="0" fontId="8" fillId="2" borderId="25" xfId="0" applyNumberFormat="1" applyFont="1" applyFill="1" applyBorder="1" applyAlignment="1">
      <alignment horizontal="center" vertical="center"/>
    </xf>
    <xf numFmtId="0" fontId="37" fillId="15" borderId="7" xfId="0" applyNumberFormat="1" applyFont="1" applyFill="1" applyBorder="1" applyAlignment="1">
      <alignment horizontal="center" vertical="center"/>
    </xf>
    <xf numFmtId="0" fontId="37" fillId="15" borderId="8" xfId="0" applyNumberFormat="1" applyFont="1" applyFill="1" applyBorder="1" applyAlignment="1">
      <alignment horizontal="center" vertical="center"/>
    </xf>
    <xf numFmtId="0" fontId="37" fillId="15" borderId="9" xfId="0" applyNumberFormat="1" applyFont="1" applyFill="1" applyBorder="1" applyAlignment="1">
      <alignment horizontal="center" vertical="center"/>
    </xf>
    <xf numFmtId="0" fontId="8" fillId="15" borderId="24" xfId="0" applyNumberFormat="1" applyFont="1" applyFill="1" applyBorder="1" applyAlignment="1">
      <alignment horizontal="center" vertical="center"/>
    </xf>
    <xf numFmtId="0" fontId="8" fillId="15" borderId="25" xfId="0" applyNumberFormat="1" applyFont="1" applyFill="1" applyBorder="1" applyAlignment="1">
      <alignment horizontal="center" vertical="center"/>
    </xf>
    <xf numFmtId="172" fontId="0" fillId="16" borderId="30" xfId="0" applyNumberFormat="1" applyFont="1" applyFill="1" applyBorder="1" applyAlignment="1">
      <alignment horizontal="center" vertical="center"/>
    </xf>
    <xf numFmtId="172" fontId="0" fillId="16" borderId="31" xfId="0" applyNumberFormat="1" applyFont="1" applyFill="1" applyBorder="1" applyAlignment="1">
      <alignment horizontal="center" vertical="center"/>
    </xf>
    <xf numFmtId="172" fontId="0" fillId="16" borderId="32" xfId="0" applyNumberFormat="1" applyFont="1" applyFill="1" applyBorder="1" applyAlignment="1">
      <alignment horizontal="center" vertical="center"/>
    </xf>
    <xf numFmtId="0" fontId="8" fillId="3" borderId="27" xfId="0" applyNumberFormat="1" applyFont="1" applyFill="1" applyBorder="1" applyAlignment="1">
      <alignment horizontal="center" vertical="center"/>
    </xf>
    <xf numFmtId="3" fontId="8" fillId="3" borderId="24" xfId="0" applyNumberFormat="1" applyFont="1" applyFill="1" applyBorder="1" applyAlignment="1">
      <alignment horizontal="center" vertical="center"/>
    </xf>
    <xf numFmtId="0" fontId="0" fillId="3" borderId="33" xfId="0" applyNumberFormat="1" applyFont="1" applyFill="1" applyBorder="1" applyAlignment="1">
      <alignment horizontal="center" vertical="center"/>
    </xf>
    <xf numFmtId="3" fontId="0" fillId="3" borderId="34" xfId="0" applyNumberFormat="1" applyFont="1" applyFill="1" applyBorder="1" applyAlignment="1">
      <alignment horizontal="center" vertical="center"/>
    </xf>
    <xf numFmtId="3" fontId="0" fillId="3" borderId="35" xfId="0" applyNumberFormat="1" applyFont="1" applyFill="1" applyBorder="1" applyAlignment="1">
      <alignment horizontal="center" vertical="center"/>
    </xf>
    <xf numFmtId="3" fontId="0" fillId="3" borderId="36" xfId="0" applyNumberFormat="1" applyFont="1" applyFill="1" applyBorder="1" applyAlignment="1">
      <alignment horizontal="center" vertical="center"/>
    </xf>
    <xf numFmtId="3" fontId="8" fillId="3" borderId="37" xfId="0" applyNumberFormat="1" applyFont="1" applyFill="1" applyBorder="1" applyAlignment="1">
      <alignment horizontal="center" vertical="center"/>
    </xf>
    <xf numFmtId="0" fontId="8" fillId="3" borderId="38" xfId="0" applyNumberFormat="1" applyFont="1" applyFill="1" applyBorder="1" applyAlignment="1">
      <alignment horizontal="center" vertical="center"/>
    </xf>
    <xf numFmtId="3" fontId="8" fillId="3" borderId="39" xfId="0" applyNumberFormat="1" applyFont="1" applyFill="1" applyBorder="1" applyAlignment="1">
      <alignment horizontal="center" vertical="center"/>
    </xf>
    <xf numFmtId="0" fontId="0" fillId="3" borderId="0" xfId="0" applyNumberFormat="1" applyFont="1" applyFill="1" applyBorder="1" applyAlignment="1">
      <alignment horizontal="center" vertical="center"/>
    </xf>
    <xf numFmtId="3" fontId="0" fillId="3" borderId="40" xfId="0" applyNumberFormat="1" applyFont="1" applyFill="1" applyBorder="1" applyAlignment="1">
      <alignment horizontal="center" vertical="center"/>
    </xf>
    <xf numFmtId="3" fontId="0" fillId="3" borderId="41" xfId="0" applyNumberFormat="1" applyFont="1" applyFill="1" applyBorder="1" applyAlignment="1">
      <alignment horizontal="center" vertical="center"/>
    </xf>
    <xf numFmtId="3" fontId="0" fillId="3" borderId="42" xfId="0" applyNumberFormat="1" applyFont="1" applyFill="1" applyBorder="1" applyAlignment="1">
      <alignment horizontal="center" vertical="center"/>
    </xf>
    <xf numFmtId="3" fontId="8" fillId="3" borderId="43" xfId="0" applyNumberFormat="1" applyFont="1" applyFill="1" applyBorder="1" applyAlignment="1">
      <alignment horizontal="center" vertical="center"/>
    </xf>
    <xf numFmtId="0" fontId="8" fillId="3" borderId="29" xfId="0" applyNumberFormat="1" applyFont="1" applyFill="1" applyBorder="1" applyAlignment="1">
      <alignment horizontal="center" vertical="center"/>
    </xf>
    <xf numFmtId="3" fontId="8" fillId="3" borderId="25" xfId="0" applyNumberFormat="1" applyFont="1" applyFill="1" applyBorder="1" applyAlignment="1">
      <alignment horizontal="center" vertical="center"/>
    </xf>
    <xf numFmtId="0" fontId="0" fillId="3" borderId="13" xfId="0" applyNumberFormat="1" applyFont="1" applyFill="1" applyBorder="1" applyAlignment="1">
      <alignment horizontal="center" vertical="center"/>
    </xf>
    <xf numFmtId="173" fontId="0" fillId="3" borderId="44" xfId="0" applyNumberFormat="1" applyFont="1" applyFill="1" applyBorder="1" applyAlignment="1">
      <alignment horizontal="center" vertical="center"/>
    </xf>
    <xf numFmtId="173" fontId="0" fillId="3" borderId="45" xfId="0" applyNumberFormat="1" applyFont="1" applyFill="1" applyBorder="1" applyAlignment="1">
      <alignment horizontal="center" vertical="center"/>
    </xf>
    <xf numFmtId="173" fontId="0" fillId="3" borderId="46" xfId="0" applyNumberFormat="1" applyFont="1" applyFill="1" applyBorder="1" applyAlignment="1">
      <alignment horizontal="center" vertical="center"/>
    </xf>
    <xf numFmtId="173" fontId="8" fillId="3" borderId="25" xfId="0" applyNumberFormat="1" applyFont="1" applyFill="1" applyBorder="1" applyAlignment="1">
      <alignment horizontal="center" vertical="center"/>
    </xf>
    <xf numFmtId="0" fontId="8" fillId="4" borderId="27" xfId="0" applyNumberFormat="1" applyFont="1" applyFill="1" applyBorder="1" applyAlignment="1">
      <alignment horizontal="center" vertical="center"/>
    </xf>
    <xf numFmtId="3" fontId="8" fillId="4" borderId="24" xfId="0" applyNumberFormat="1" applyFont="1" applyFill="1" applyBorder="1" applyAlignment="1">
      <alignment horizontal="center" vertical="center"/>
    </xf>
    <xf numFmtId="0" fontId="0" fillId="4" borderId="33" xfId="0" applyNumberFormat="1" applyFont="1" applyFill="1" applyBorder="1" applyAlignment="1">
      <alignment horizontal="center" vertical="center"/>
    </xf>
    <xf numFmtId="3" fontId="0" fillId="4" borderId="34" xfId="0" applyNumberFormat="1" applyFont="1" applyFill="1" applyBorder="1" applyAlignment="1">
      <alignment horizontal="center" vertical="center"/>
    </xf>
    <xf numFmtId="3" fontId="0" fillId="4" borderId="35" xfId="0" applyNumberFormat="1" applyFont="1" applyFill="1" applyBorder="1" applyAlignment="1">
      <alignment horizontal="center" vertical="center"/>
    </xf>
    <xf numFmtId="3" fontId="0" fillId="4" borderId="36" xfId="0" applyNumberFormat="1" applyFont="1" applyFill="1" applyBorder="1" applyAlignment="1">
      <alignment horizontal="center" vertical="center"/>
    </xf>
    <xf numFmtId="3" fontId="8" fillId="4" borderId="37" xfId="0" applyNumberFormat="1" applyFont="1" applyFill="1" applyBorder="1" applyAlignment="1">
      <alignment horizontal="center" vertical="center"/>
    </xf>
    <xf numFmtId="0" fontId="8" fillId="4" borderId="38" xfId="0" applyNumberFormat="1" applyFont="1" applyFill="1" applyBorder="1" applyAlignment="1">
      <alignment horizontal="center" vertical="center"/>
    </xf>
    <xf numFmtId="3" fontId="8" fillId="4" borderId="39" xfId="0" applyNumberFormat="1" applyFont="1" applyFill="1" applyBorder="1" applyAlignment="1">
      <alignment horizontal="center" vertical="center"/>
    </xf>
    <xf numFmtId="0" fontId="0" fillId="4" borderId="0" xfId="0" applyNumberFormat="1" applyFont="1" applyFill="1" applyBorder="1" applyAlignment="1">
      <alignment horizontal="center" vertical="center"/>
    </xf>
    <xf numFmtId="3" fontId="0" fillId="4" borderId="40" xfId="0" applyNumberFormat="1" applyFont="1" applyFill="1" applyBorder="1" applyAlignment="1">
      <alignment horizontal="center" vertical="center"/>
    </xf>
    <xf numFmtId="3" fontId="0" fillId="4" borderId="41" xfId="0" applyNumberFormat="1" applyFont="1" applyFill="1" applyBorder="1" applyAlignment="1">
      <alignment horizontal="center" vertical="center"/>
    </xf>
    <xf numFmtId="3" fontId="0" fillId="4" borderId="42" xfId="0" applyNumberFormat="1" applyFont="1" applyFill="1" applyBorder="1" applyAlignment="1">
      <alignment horizontal="center" vertical="center"/>
    </xf>
    <xf numFmtId="3" fontId="8" fillId="4" borderId="43" xfId="0" applyNumberFormat="1" applyFont="1" applyFill="1" applyBorder="1" applyAlignment="1">
      <alignment horizontal="center" vertical="center"/>
    </xf>
    <xf numFmtId="0" fontId="8" fillId="4" borderId="29" xfId="0" applyNumberFormat="1" applyFont="1" applyFill="1" applyBorder="1" applyAlignment="1">
      <alignment horizontal="center" vertical="center"/>
    </xf>
    <xf numFmtId="3" fontId="8" fillId="4" borderId="25" xfId="0" applyNumberFormat="1" applyFont="1" applyFill="1" applyBorder="1" applyAlignment="1">
      <alignment horizontal="center" vertical="center"/>
    </xf>
    <xf numFmtId="0" fontId="0" fillId="4" borderId="13" xfId="0" applyNumberFormat="1" applyFont="1" applyFill="1" applyBorder="1" applyAlignment="1">
      <alignment horizontal="center" vertical="center"/>
    </xf>
    <xf numFmtId="173" fontId="0" fillId="4" borderId="44" xfId="0" applyNumberFormat="1" applyFont="1" applyFill="1" applyBorder="1" applyAlignment="1">
      <alignment horizontal="center" vertical="center"/>
    </xf>
    <xf numFmtId="173" fontId="0" fillId="4" borderId="45" xfId="0" applyNumberFormat="1" applyFont="1" applyFill="1" applyBorder="1" applyAlignment="1">
      <alignment horizontal="center" vertical="center"/>
    </xf>
    <xf numFmtId="173" fontId="0" fillId="4" borderId="46" xfId="0" applyNumberFormat="1" applyFont="1" applyFill="1" applyBorder="1" applyAlignment="1">
      <alignment horizontal="center" vertical="center"/>
    </xf>
    <xf numFmtId="173" fontId="8" fillId="4" borderId="25" xfId="0" applyNumberFormat="1" applyFont="1" applyFill="1" applyBorder="1" applyAlignment="1">
      <alignment horizontal="center" vertical="center"/>
    </xf>
    <xf numFmtId="0" fontId="8" fillId="5" borderId="27" xfId="0" applyNumberFormat="1" applyFont="1" applyFill="1" applyBorder="1" applyAlignment="1">
      <alignment horizontal="center" vertical="center"/>
    </xf>
    <xf numFmtId="3" fontId="8" fillId="5" borderId="24" xfId="0" applyNumberFormat="1" applyFont="1" applyFill="1" applyBorder="1" applyAlignment="1">
      <alignment horizontal="center" vertical="center"/>
    </xf>
    <xf numFmtId="0" fontId="0" fillId="5" borderId="33" xfId="0" applyNumberFormat="1" applyFont="1" applyFill="1" applyBorder="1" applyAlignment="1">
      <alignment horizontal="center" vertical="center"/>
    </xf>
    <xf numFmtId="3" fontId="0" fillId="5" borderId="34" xfId="0" applyNumberFormat="1" applyFont="1" applyFill="1" applyBorder="1" applyAlignment="1">
      <alignment horizontal="center" vertical="center"/>
    </xf>
    <xf numFmtId="3" fontId="0" fillId="5" borderId="35" xfId="0" applyNumberFormat="1" applyFont="1" applyFill="1" applyBorder="1" applyAlignment="1">
      <alignment horizontal="center" vertical="center"/>
    </xf>
    <xf numFmtId="3" fontId="0" fillId="5" borderId="36" xfId="0" applyNumberFormat="1" applyFont="1" applyFill="1" applyBorder="1" applyAlignment="1">
      <alignment horizontal="center" vertical="center"/>
    </xf>
    <xf numFmtId="3" fontId="8" fillId="5" borderId="37" xfId="0" applyNumberFormat="1" applyFont="1" applyFill="1" applyBorder="1" applyAlignment="1">
      <alignment horizontal="center" vertical="center"/>
    </xf>
    <xf numFmtId="0" fontId="8" fillId="5" borderId="38" xfId="0" applyNumberFormat="1" applyFont="1" applyFill="1" applyBorder="1" applyAlignment="1">
      <alignment horizontal="center" vertical="center"/>
    </xf>
    <xf numFmtId="3" fontId="8" fillId="5" borderId="39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horizontal="center" vertical="center"/>
    </xf>
    <xf numFmtId="3" fontId="0" fillId="5" borderId="40" xfId="0" applyNumberFormat="1" applyFont="1" applyFill="1" applyBorder="1" applyAlignment="1">
      <alignment horizontal="center" vertical="center"/>
    </xf>
    <xf numFmtId="3" fontId="0" fillId="5" borderId="41" xfId="0" applyNumberFormat="1" applyFont="1" applyFill="1" applyBorder="1" applyAlignment="1">
      <alignment horizontal="center" vertical="center"/>
    </xf>
    <xf numFmtId="3" fontId="0" fillId="5" borderId="42" xfId="0" applyNumberFormat="1" applyFont="1" applyFill="1" applyBorder="1" applyAlignment="1">
      <alignment horizontal="center" vertical="center"/>
    </xf>
    <xf numFmtId="3" fontId="8" fillId="5" borderId="43" xfId="0" applyNumberFormat="1" applyFont="1" applyFill="1" applyBorder="1" applyAlignment="1">
      <alignment horizontal="center" vertical="center"/>
    </xf>
    <xf numFmtId="0" fontId="8" fillId="5" borderId="29" xfId="0" applyNumberFormat="1" applyFont="1" applyFill="1" applyBorder="1" applyAlignment="1">
      <alignment horizontal="center" vertical="center"/>
    </xf>
    <xf numFmtId="3" fontId="8" fillId="5" borderId="25" xfId="0" applyNumberFormat="1" applyFont="1" applyFill="1" applyBorder="1" applyAlignment="1">
      <alignment horizontal="center" vertical="center"/>
    </xf>
    <xf numFmtId="0" fontId="0" fillId="5" borderId="13" xfId="0" applyNumberFormat="1" applyFont="1" applyFill="1" applyBorder="1" applyAlignment="1">
      <alignment horizontal="center" vertical="center"/>
    </xf>
    <xf numFmtId="3" fontId="0" fillId="5" borderId="44" xfId="0" applyNumberFormat="1" applyFont="1" applyFill="1" applyBorder="1" applyAlignment="1">
      <alignment horizontal="center" vertical="center"/>
    </xf>
    <xf numFmtId="3" fontId="0" fillId="5" borderId="45" xfId="0" applyNumberFormat="1" applyFont="1" applyFill="1" applyBorder="1" applyAlignment="1">
      <alignment horizontal="center" vertical="center"/>
    </xf>
    <xf numFmtId="3" fontId="0" fillId="5" borderId="46" xfId="0" applyNumberFormat="1" applyFont="1" applyFill="1" applyBorder="1" applyAlignment="1">
      <alignment horizontal="center" vertical="center"/>
    </xf>
    <xf numFmtId="9" fontId="8" fillId="3" borderId="25" xfId="0" applyNumberFormat="1" applyFont="1" applyFill="1" applyBorder="1" applyAlignment="1">
      <alignment horizontal="center" vertical="center"/>
    </xf>
    <xf numFmtId="9" fontId="0" fillId="3" borderId="44" xfId="0" applyNumberFormat="1" applyFont="1" applyFill="1" applyBorder="1" applyAlignment="1">
      <alignment horizontal="center" vertical="center"/>
    </xf>
    <xf numFmtId="9" fontId="0" fillId="3" borderId="45" xfId="0" applyNumberFormat="1" applyFont="1" applyFill="1" applyBorder="1" applyAlignment="1">
      <alignment horizontal="center" vertical="center"/>
    </xf>
    <xf numFmtId="9" fontId="0" fillId="3" borderId="46" xfId="0" applyNumberFormat="1" applyFont="1" applyFill="1" applyBorder="1" applyAlignment="1">
      <alignment horizontal="center" vertical="center"/>
    </xf>
    <xf numFmtId="0" fontId="8" fillId="6" borderId="27" xfId="0" applyNumberFormat="1" applyFont="1" applyFill="1" applyBorder="1" applyAlignment="1">
      <alignment horizontal="center" vertical="center"/>
    </xf>
    <xf numFmtId="3" fontId="8" fillId="6" borderId="24" xfId="0" applyNumberFormat="1" applyFont="1" applyFill="1" applyBorder="1" applyAlignment="1">
      <alignment horizontal="center" vertical="center"/>
    </xf>
    <xf numFmtId="0" fontId="0" fillId="6" borderId="33" xfId="0" applyNumberFormat="1" applyFont="1" applyFill="1" applyBorder="1" applyAlignment="1">
      <alignment horizontal="center" vertical="center"/>
    </xf>
    <xf numFmtId="3" fontId="0" fillId="6" borderId="34" xfId="0" applyNumberFormat="1" applyFont="1" applyFill="1" applyBorder="1" applyAlignment="1">
      <alignment horizontal="center" vertical="center"/>
    </xf>
    <xf numFmtId="3" fontId="0" fillId="6" borderId="35" xfId="0" applyNumberFormat="1" applyFont="1" applyFill="1" applyBorder="1" applyAlignment="1">
      <alignment horizontal="center" vertical="center"/>
    </xf>
    <xf numFmtId="3" fontId="0" fillId="6" borderId="36" xfId="0" applyNumberFormat="1" applyFont="1" applyFill="1" applyBorder="1" applyAlignment="1">
      <alignment horizontal="center" vertical="center"/>
    </xf>
    <xf numFmtId="3" fontId="8" fillId="6" borderId="37" xfId="0" applyNumberFormat="1" applyFont="1" applyFill="1" applyBorder="1" applyAlignment="1">
      <alignment horizontal="center" vertical="center"/>
    </xf>
    <xf numFmtId="0" fontId="8" fillId="6" borderId="38" xfId="0" applyNumberFormat="1" applyFont="1" applyFill="1" applyBorder="1" applyAlignment="1">
      <alignment horizontal="center" vertical="center"/>
    </xf>
    <xf numFmtId="3" fontId="8" fillId="6" borderId="39" xfId="0" applyNumberFormat="1" applyFont="1" applyFill="1" applyBorder="1" applyAlignment="1">
      <alignment horizontal="center" vertical="center"/>
    </xf>
    <xf numFmtId="0" fontId="0" fillId="6" borderId="0" xfId="0" applyNumberFormat="1" applyFont="1" applyFill="1" applyBorder="1" applyAlignment="1">
      <alignment horizontal="center" vertical="center"/>
    </xf>
    <xf numFmtId="3" fontId="0" fillId="6" borderId="40" xfId="0" applyNumberFormat="1" applyFont="1" applyFill="1" applyBorder="1" applyAlignment="1">
      <alignment horizontal="center" vertical="center"/>
    </xf>
    <xf numFmtId="3" fontId="0" fillId="6" borderId="41" xfId="0" applyNumberFormat="1" applyFont="1" applyFill="1" applyBorder="1" applyAlignment="1">
      <alignment horizontal="center" vertical="center"/>
    </xf>
    <xf numFmtId="3" fontId="0" fillId="6" borderId="42" xfId="0" applyNumberFormat="1" applyFont="1" applyFill="1" applyBorder="1" applyAlignment="1">
      <alignment horizontal="center" vertical="center"/>
    </xf>
    <xf numFmtId="3" fontId="8" fillId="6" borderId="43" xfId="0" applyNumberFormat="1" applyFont="1" applyFill="1" applyBorder="1" applyAlignment="1">
      <alignment horizontal="center" vertical="center"/>
    </xf>
    <xf numFmtId="0" fontId="8" fillId="6" borderId="29" xfId="0" applyNumberFormat="1" applyFont="1" applyFill="1" applyBorder="1" applyAlignment="1">
      <alignment horizontal="center" vertical="center"/>
    </xf>
    <xf numFmtId="3" fontId="8" fillId="6" borderId="25" xfId="0" applyNumberFormat="1" applyFont="1" applyFill="1" applyBorder="1" applyAlignment="1">
      <alignment horizontal="center" vertical="center"/>
    </xf>
    <xf numFmtId="0" fontId="0" fillId="6" borderId="13" xfId="0" applyNumberFormat="1" applyFont="1" applyFill="1" applyBorder="1" applyAlignment="1">
      <alignment horizontal="center" vertical="center"/>
    </xf>
    <xf numFmtId="3" fontId="0" fillId="6" borderId="44" xfId="0" applyNumberFormat="1" applyFont="1" applyFill="1" applyBorder="1" applyAlignment="1">
      <alignment horizontal="center" vertical="center"/>
    </xf>
    <xf numFmtId="3" fontId="0" fillId="6" borderId="45" xfId="0" applyNumberFormat="1" applyFont="1" applyFill="1" applyBorder="1" applyAlignment="1">
      <alignment horizontal="center" vertical="center"/>
    </xf>
    <xf numFmtId="3" fontId="0" fillId="6" borderId="46" xfId="0" applyNumberFormat="1" applyFont="1" applyFill="1" applyBorder="1" applyAlignment="1">
      <alignment horizontal="center" vertical="center"/>
    </xf>
    <xf numFmtId="0" fontId="8" fillId="3" borderId="24" xfId="0" applyNumberFormat="1" applyFont="1" applyFill="1" applyBorder="1" applyAlignment="1">
      <alignment horizontal="center" vertical="center"/>
    </xf>
    <xf numFmtId="0" fontId="8" fillId="3" borderId="39" xfId="0" applyNumberFormat="1" applyFont="1" applyFill="1" applyBorder="1" applyAlignment="1">
      <alignment horizontal="center" vertical="center"/>
    </xf>
    <xf numFmtId="0" fontId="8" fillId="3" borderId="25" xfId="0" applyNumberFormat="1" applyFont="1" applyFill="1" applyBorder="1" applyAlignment="1">
      <alignment horizontal="center" vertical="center"/>
    </xf>
    <xf numFmtId="0" fontId="8" fillId="4" borderId="24" xfId="0" applyNumberFormat="1" applyFont="1" applyFill="1" applyBorder="1" applyAlignment="1">
      <alignment horizontal="center" vertical="center"/>
    </xf>
    <xf numFmtId="0" fontId="8" fillId="4" borderId="39" xfId="0" applyNumberFormat="1" applyFont="1" applyFill="1" applyBorder="1" applyAlignment="1">
      <alignment horizontal="center" vertical="center"/>
    </xf>
    <xf numFmtId="0" fontId="8" fillId="4" borderId="25" xfId="0" applyNumberFormat="1" applyFont="1" applyFill="1" applyBorder="1" applyAlignment="1">
      <alignment horizontal="center" vertical="center"/>
    </xf>
    <xf numFmtId="0" fontId="8" fillId="5" borderId="24" xfId="0" applyNumberFormat="1" applyFont="1" applyFill="1" applyBorder="1" applyAlignment="1">
      <alignment horizontal="center" vertical="center"/>
    </xf>
    <xf numFmtId="0" fontId="8" fillId="5" borderId="39" xfId="0" applyNumberFormat="1" applyFont="1" applyFill="1" applyBorder="1" applyAlignment="1">
      <alignment horizontal="center" vertical="center"/>
    </xf>
    <xf numFmtId="0" fontId="8" fillId="5" borderId="25" xfId="0" applyNumberFormat="1" applyFont="1" applyFill="1" applyBorder="1" applyAlignment="1">
      <alignment horizontal="center" vertical="center"/>
    </xf>
    <xf numFmtId="0" fontId="8" fillId="6" borderId="24" xfId="0" applyNumberFormat="1" applyFont="1" applyFill="1" applyBorder="1" applyAlignment="1">
      <alignment horizontal="center" vertical="center"/>
    </xf>
    <xf numFmtId="0" fontId="8" fillId="6" borderId="39" xfId="0" applyNumberFormat="1" applyFont="1" applyFill="1" applyBorder="1" applyAlignment="1">
      <alignment horizontal="center" vertical="center"/>
    </xf>
    <xf numFmtId="0" fontId="8" fillId="6" borderId="25" xfId="0" applyNumberFormat="1" applyFont="1" applyFill="1" applyBorder="1" applyAlignment="1">
      <alignment horizontal="center" vertical="center"/>
    </xf>
    <xf numFmtId="0" fontId="5" fillId="0" borderId="24" xfId="0" applyNumberFormat="1" applyFont="1" applyFill="1" applyBorder="1" applyAlignment="1">
      <alignment horizontal="center" vertical="center" wrapText="1"/>
    </xf>
    <xf numFmtId="0" fontId="5" fillId="0" borderId="39" xfId="0" applyNumberFormat="1" applyFont="1" applyFill="1" applyBorder="1" applyAlignment="1">
      <alignment horizontal="center" vertical="center" wrapText="1"/>
    </xf>
    <xf numFmtId="0" fontId="5" fillId="0" borderId="25" xfId="0" applyNumberFormat="1" applyFont="1" applyFill="1" applyBorder="1" applyAlignment="1">
      <alignment horizontal="center" vertical="center" wrapText="1"/>
    </xf>
    <xf numFmtId="0" fontId="8" fillId="3" borderId="9" xfId="0" applyNumberFormat="1" applyFont="1" applyFill="1" applyBorder="1" applyAlignment="1">
      <alignment horizontal="center" vertical="center"/>
    </xf>
    <xf numFmtId="3" fontId="8" fillId="3" borderId="47" xfId="0" applyNumberFormat="1" applyFont="1" applyFill="1" applyBorder="1" applyAlignment="1">
      <alignment horizontal="center" vertical="center"/>
    </xf>
    <xf numFmtId="0" fontId="0" fillId="3" borderId="8" xfId="0" applyNumberFormat="1" applyFont="1" applyFill="1" applyBorder="1" applyAlignment="1">
      <alignment horizontal="center" vertical="center"/>
    </xf>
    <xf numFmtId="3" fontId="0" fillId="3" borderId="30" xfId="0" applyNumberFormat="1" applyFont="1" applyFill="1" applyBorder="1" applyAlignment="1">
      <alignment horizontal="center" vertical="center"/>
    </xf>
    <xf numFmtId="3" fontId="0" fillId="3" borderId="31" xfId="0" applyNumberFormat="1" applyFont="1" applyFill="1" applyBorder="1" applyAlignment="1">
      <alignment horizontal="center" vertical="center"/>
    </xf>
    <xf numFmtId="3" fontId="0" fillId="3" borderId="32" xfId="0" applyNumberFormat="1" applyFont="1" applyFill="1" applyBorder="1" applyAlignment="1">
      <alignment horizontal="center" vertical="center"/>
    </xf>
    <xf numFmtId="0" fontId="8" fillId="3" borderId="47" xfId="0" applyNumberFormat="1" applyFont="1" applyFill="1" applyBorder="1" applyAlignment="1">
      <alignment horizontal="center" vertical="center"/>
    </xf>
    <xf numFmtId="0" fontId="20" fillId="7" borderId="7" xfId="0" applyNumberFormat="1" applyFont="1" applyFill="1" applyBorder="1" applyAlignment="1">
      <alignment horizontal="left" vertical="center" indent="1"/>
    </xf>
    <xf numFmtId="0" fontId="20" fillId="7" borderId="8" xfId="0" applyNumberFormat="1" applyFont="1" applyFill="1" applyBorder="1" applyAlignment="1">
      <alignment horizontal="left" vertical="center" indent="1"/>
    </xf>
    <xf numFmtId="0" fontId="20" fillId="7" borderId="9" xfId="0" applyNumberFormat="1" applyFont="1" applyFill="1" applyBorder="1" applyAlignment="1">
      <alignment horizontal="left" vertical="center" indent="1"/>
    </xf>
    <xf numFmtId="0" fontId="32" fillId="0" borderId="0" xfId="0" applyNumberFormat="1" applyFont="1" applyFill="1" applyBorder="1" applyAlignment="1">
      <alignment horizontal="right" vertical="center"/>
    </xf>
    <xf numFmtId="0" fontId="30" fillId="0" borderId="48" xfId="0" applyNumberFormat="1" applyFont="1" applyFill="1" applyBorder="1" applyAlignment="1">
      <alignment horizontal="left" vertical="center"/>
    </xf>
    <xf numFmtId="0" fontId="8" fillId="2" borderId="7" xfId="0" applyNumberFormat="1" applyFont="1" applyFill="1" applyBorder="1" applyAlignment="1">
      <alignment horizontal="center" vertical="center" wrapText="1"/>
    </xf>
    <xf numFmtId="0" fontId="8" fillId="2" borderId="9" xfId="0" applyNumberFormat="1" applyFont="1" applyFill="1" applyBorder="1" applyAlignment="1">
      <alignment horizontal="center" vertical="center" wrapText="1"/>
    </xf>
    <xf numFmtId="0" fontId="8" fillId="2" borderId="8" xfId="0" applyNumberFormat="1" applyFont="1" applyFill="1" applyBorder="1" applyAlignment="1">
      <alignment horizontal="center" vertical="center" wrapText="1"/>
    </xf>
    <xf numFmtId="0" fontId="8" fillId="15" borderId="7" xfId="0" applyNumberFormat="1" applyFont="1" applyFill="1" applyBorder="1" applyAlignment="1">
      <alignment horizontal="center" vertical="center" wrapText="1"/>
    </xf>
    <xf numFmtId="0" fontId="8" fillId="15" borderId="9" xfId="0" applyNumberFormat="1" applyFont="1" applyFill="1" applyBorder="1" applyAlignment="1">
      <alignment horizontal="center" vertical="center" wrapText="1"/>
    </xf>
    <xf numFmtId="0" fontId="8" fillId="15" borderId="8" xfId="0" applyNumberFormat="1" applyFont="1" applyFill="1" applyBorder="1" applyAlignment="1">
      <alignment horizontal="center" vertical="center" wrapText="1"/>
    </xf>
    <xf numFmtId="0" fontId="8" fillId="3" borderId="33" xfId="0" applyNumberFormat="1" applyFont="1" applyFill="1" applyBorder="1" applyAlignment="1">
      <alignment horizontal="left" vertical="center" indent="1"/>
    </xf>
    <xf numFmtId="0" fontId="8" fillId="3" borderId="49" xfId="0" applyNumberFormat="1" applyFont="1" applyFill="1" applyBorder="1" applyAlignment="1">
      <alignment horizontal="left" vertical="center" indent="1"/>
    </xf>
    <xf numFmtId="3" fontId="8" fillId="3" borderId="33" xfId="0" applyNumberFormat="1" applyFont="1" applyFill="1" applyBorder="1" applyAlignment="1">
      <alignment horizontal="center" vertical="center"/>
    </xf>
    <xf numFmtId="3" fontId="8" fillId="3" borderId="49" xfId="0" applyNumberFormat="1" applyFont="1" applyFill="1" applyBorder="1" applyAlignment="1">
      <alignment horizontal="center" vertical="center"/>
    </xf>
    <xf numFmtId="3" fontId="37" fillId="3" borderId="33" xfId="0" applyNumberFormat="1" applyFont="1" applyFill="1" applyBorder="1" applyAlignment="1">
      <alignment horizontal="center" vertical="center"/>
    </xf>
    <xf numFmtId="3" fontId="37" fillId="3" borderId="49" xfId="0" applyNumberFormat="1" applyFont="1" applyFill="1" applyBorder="1" applyAlignment="1">
      <alignment horizontal="center" vertical="center"/>
    </xf>
    <xf numFmtId="168" fontId="0" fillId="3" borderId="33" xfId="0" applyNumberFormat="1" applyFont="1" applyFill="1" applyBorder="1" applyAlignment="1">
      <alignment horizontal="center" vertical="center"/>
    </xf>
    <xf numFmtId="168" fontId="0" fillId="3" borderId="49" xfId="0" applyNumberFormat="1" applyFont="1" applyFill="1" applyBorder="1" applyAlignment="1">
      <alignment horizontal="center" vertical="center"/>
    </xf>
    <xf numFmtId="3" fontId="0" fillId="3" borderId="33" xfId="0" applyNumberFormat="1" applyFont="1" applyFill="1" applyBorder="1" applyAlignment="1">
      <alignment horizontal="center" vertical="center"/>
    </xf>
    <xf numFmtId="3" fontId="0" fillId="3" borderId="49" xfId="0" applyNumberFormat="1" applyFont="1" applyFill="1" applyBorder="1" applyAlignment="1">
      <alignment horizontal="center" vertical="center"/>
    </xf>
    <xf numFmtId="174" fontId="8" fillId="3" borderId="33" xfId="0" applyNumberFormat="1" applyFont="1" applyFill="1" applyBorder="1" applyAlignment="1">
      <alignment horizontal="center" vertical="center"/>
    </xf>
    <xf numFmtId="174" fontId="8" fillId="3" borderId="49" xfId="0" applyNumberFormat="1" applyFont="1" applyFill="1" applyBorder="1" applyAlignment="1">
      <alignment horizontal="center" vertical="center"/>
    </xf>
    <xf numFmtId="9" fontId="0" fillId="3" borderId="33" xfId="0" applyNumberFormat="1" applyFont="1" applyFill="1" applyBorder="1" applyAlignment="1">
      <alignment horizontal="center" vertical="center"/>
    </xf>
    <xf numFmtId="9" fontId="0" fillId="3" borderId="49" xfId="0" applyNumberFormat="1" applyFont="1" applyFill="1" applyBorder="1" applyAlignment="1">
      <alignment horizontal="center" vertical="center"/>
    </xf>
    <xf numFmtId="0" fontId="5" fillId="3" borderId="33" xfId="0" applyNumberFormat="1" applyFont="1" applyFill="1" applyBorder="1" applyAlignment="1">
      <alignment horizontal="center" vertical="center"/>
    </xf>
    <xf numFmtId="0" fontId="5" fillId="3" borderId="49" xfId="0" applyNumberFormat="1" applyFont="1" applyFill="1" applyBorder="1" applyAlignment="1">
      <alignment horizontal="center" vertical="center"/>
    </xf>
    <xf numFmtId="0" fontId="5" fillId="3" borderId="27" xfId="0" applyNumberFormat="1" applyFont="1" applyFill="1" applyBorder="1" applyAlignment="1">
      <alignment horizontal="center" vertical="center"/>
    </xf>
    <xf numFmtId="0" fontId="8" fillId="3" borderId="50" xfId="0" applyNumberFormat="1" applyFont="1" applyFill="1" applyBorder="1" applyAlignment="1">
      <alignment horizontal="left" vertical="center" indent="1"/>
    </xf>
    <xf numFmtId="0" fontId="8" fillId="3" borderId="51" xfId="0" applyNumberFormat="1" applyFont="1" applyFill="1" applyBorder="1" applyAlignment="1">
      <alignment horizontal="left" vertical="center" indent="1"/>
    </xf>
    <xf numFmtId="3" fontId="8" fillId="3" borderId="50" xfId="0" applyNumberFormat="1" applyFont="1" applyFill="1" applyBorder="1" applyAlignment="1">
      <alignment horizontal="center" vertical="center"/>
    </xf>
    <xf numFmtId="3" fontId="8" fillId="3" borderId="51" xfId="0" applyNumberFormat="1" applyFont="1" applyFill="1" applyBorder="1" applyAlignment="1">
      <alignment horizontal="center" vertical="center"/>
    </xf>
    <xf numFmtId="3" fontId="37" fillId="3" borderId="50" xfId="0" applyNumberFormat="1" applyFont="1" applyFill="1" applyBorder="1" applyAlignment="1">
      <alignment horizontal="center" vertical="center"/>
    </xf>
    <xf numFmtId="3" fontId="37" fillId="3" borderId="51" xfId="0" applyNumberFormat="1" applyFont="1" applyFill="1" applyBorder="1" applyAlignment="1">
      <alignment horizontal="center" vertical="center"/>
    </xf>
    <xf numFmtId="168" fontId="0" fillId="3" borderId="50" xfId="0" applyNumberFormat="1" applyFont="1" applyFill="1" applyBorder="1" applyAlignment="1">
      <alignment horizontal="center" vertical="center"/>
    </xf>
    <xf numFmtId="168" fontId="0" fillId="3" borderId="51" xfId="0" applyNumberFormat="1" applyFont="1" applyFill="1" applyBorder="1" applyAlignment="1">
      <alignment horizontal="center" vertical="center"/>
    </xf>
    <xf numFmtId="3" fontId="0" fillId="3" borderId="50" xfId="0" applyNumberFormat="1" applyFont="1" applyFill="1" applyBorder="1" applyAlignment="1">
      <alignment horizontal="center" vertical="center"/>
    </xf>
    <xf numFmtId="3" fontId="0" fillId="3" borderId="51" xfId="0" applyNumberFormat="1" applyFont="1" applyFill="1" applyBorder="1" applyAlignment="1">
      <alignment horizontal="center" vertical="center"/>
    </xf>
    <xf numFmtId="174" fontId="8" fillId="3" borderId="50" xfId="0" applyNumberFormat="1" applyFont="1" applyFill="1" applyBorder="1" applyAlignment="1">
      <alignment horizontal="center" vertical="center"/>
    </xf>
    <xf numFmtId="174" fontId="8" fillId="3" borderId="51" xfId="0" applyNumberFormat="1" applyFont="1" applyFill="1" applyBorder="1" applyAlignment="1">
      <alignment horizontal="center" vertical="center"/>
    </xf>
    <xf numFmtId="9" fontId="0" fillId="3" borderId="50" xfId="0" applyNumberFormat="1" applyFont="1" applyFill="1" applyBorder="1" applyAlignment="1">
      <alignment horizontal="center" vertical="center"/>
    </xf>
    <xf numFmtId="9" fontId="0" fillId="3" borderId="51" xfId="0" applyNumberFormat="1" applyFont="1" applyFill="1" applyBorder="1" applyAlignment="1">
      <alignment horizontal="center" vertical="center"/>
    </xf>
    <xf numFmtId="0" fontId="5" fillId="3" borderId="50" xfId="0" applyNumberFormat="1" applyFont="1" applyFill="1" applyBorder="1" applyAlignment="1">
      <alignment horizontal="center" vertical="center"/>
    </xf>
    <xf numFmtId="0" fontId="5" fillId="3" borderId="51" xfId="0" applyNumberFormat="1" applyFont="1" applyFill="1" applyBorder="1" applyAlignment="1">
      <alignment horizontal="center" vertical="center"/>
    </xf>
    <xf numFmtId="0" fontId="5" fillId="3" borderId="52" xfId="0" applyNumberFormat="1" applyFont="1" applyFill="1" applyBorder="1" applyAlignment="1">
      <alignment horizontal="center" vertical="center"/>
    </xf>
    <xf numFmtId="0" fontId="8" fillId="3" borderId="53" xfId="0" applyNumberFormat="1" applyFont="1" applyFill="1" applyBorder="1" applyAlignment="1">
      <alignment horizontal="left" vertical="center" indent="1"/>
    </xf>
    <xf numFmtId="0" fontId="8" fillId="3" borderId="54" xfId="0" applyNumberFormat="1" applyFont="1" applyFill="1" applyBorder="1" applyAlignment="1">
      <alignment horizontal="left" vertical="center" indent="1"/>
    </xf>
    <xf numFmtId="3" fontId="8" fillId="3" borderId="53" xfId="0" applyNumberFormat="1" applyFont="1" applyFill="1" applyBorder="1" applyAlignment="1">
      <alignment horizontal="center" vertical="center"/>
    </xf>
    <xf numFmtId="3" fontId="8" fillId="3" borderId="54" xfId="0" applyNumberFormat="1" applyFont="1" applyFill="1" applyBorder="1" applyAlignment="1">
      <alignment horizontal="center" vertical="center"/>
    </xf>
    <xf numFmtId="168" fontId="37" fillId="3" borderId="53" xfId="0" applyNumberFormat="1" applyFont="1" applyFill="1" applyBorder="1" applyAlignment="1">
      <alignment horizontal="center" vertical="center"/>
    </xf>
    <xf numFmtId="168" fontId="37" fillId="3" borderId="54" xfId="0" applyNumberFormat="1" applyFont="1" applyFill="1" applyBorder="1" applyAlignment="1">
      <alignment horizontal="center" vertical="center"/>
    </xf>
    <xf numFmtId="168" fontId="0" fillId="3" borderId="53" xfId="0" applyNumberFormat="1" applyFont="1" applyFill="1" applyBorder="1" applyAlignment="1">
      <alignment horizontal="center" vertical="center"/>
    </xf>
    <xf numFmtId="168" fontId="0" fillId="3" borderId="54" xfId="0" applyNumberFormat="1" applyFont="1" applyFill="1" applyBorder="1" applyAlignment="1">
      <alignment horizontal="center" vertical="center"/>
    </xf>
    <xf numFmtId="174" fontId="8" fillId="3" borderId="53" xfId="0" applyNumberFormat="1" applyFont="1" applyFill="1" applyBorder="1" applyAlignment="1">
      <alignment horizontal="center" vertical="center"/>
    </xf>
    <xf numFmtId="174" fontId="8" fillId="3" borderId="54" xfId="0" applyNumberFormat="1" applyFont="1" applyFill="1" applyBorder="1" applyAlignment="1">
      <alignment horizontal="center" vertical="center"/>
    </xf>
    <xf numFmtId="9" fontId="0" fillId="3" borderId="53" xfId="0" applyNumberFormat="1" applyFont="1" applyFill="1" applyBorder="1" applyAlignment="1">
      <alignment horizontal="center" vertical="center"/>
    </xf>
    <xf numFmtId="9" fontId="0" fillId="3" borderId="54" xfId="0" applyNumberFormat="1" applyFont="1" applyFill="1" applyBorder="1" applyAlignment="1">
      <alignment horizontal="center" vertical="center"/>
    </xf>
    <xf numFmtId="0" fontId="5" fillId="3" borderId="53" xfId="0" applyNumberFormat="1" applyFont="1" applyFill="1" applyBorder="1" applyAlignment="1">
      <alignment horizontal="center" vertical="center"/>
    </xf>
    <xf numFmtId="0" fontId="5" fillId="3" borderId="54" xfId="0" applyNumberFormat="1" applyFont="1" applyFill="1" applyBorder="1" applyAlignment="1">
      <alignment horizontal="center" vertical="center"/>
    </xf>
    <xf numFmtId="0" fontId="5" fillId="3" borderId="55" xfId="0" applyNumberFormat="1" applyFont="1" applyFill="1" applyBorder="1" applyAlignment="1">
      <alignment horizontal="center" vertical="center"/>
    </xf>
    <xf numFmtId="0" fontId="8" fillId="4" borderId="33" xfId="0" applyNumberFormat="1" applyFont="1" applyFill="1" applyBorder="1" applyAlignment="1">
      <alignment horizontal="left" vertical="center" indent="1"/>
    </xf>
    <xf numFmtId="0" fontId="8" fillId="4" borderId="49" xfId="0" applyNumberFormat="1" applyFont="1" applyFill="1" applyBorder="1" applyAlignment="1">
      <alignment horizontal="left" vertical="center" indent="1"/>
    </xf>
    <xf numFmtId="3" fontId="8" fillId="4" borderId="33" xfId="0" applyNumberFormat="1" applyFont="1" applyFill="1" applyBorder="1" applyAlignment="1">
      <alignment horizontal="center" vertical="center"/>
    </xf>
    <xf numFmtId="3" fontId="8" fillId="4" borderId="49" xfId="0" applyNumberFormat="1" applyFont="1" applyFill="1" applyBorder="1" applyAlignment="1">
      <alignment horizontal="center" vertical="center"/>
    </xf>
    <xf numFmtId="3" fontId="37" fillId="4" borderId="33" xfId="0" applyNumberFormat="1" applyFont="1" applyFill="1" applyBorder="1" applyAlignment="1">
      <alignment horizontal="center" vertical="center"/>
    </xf>
    <xf numFmtId="3" fontId="37" fillId="4" borderId="49" xfId="0" applyNumberFormat="1" applyFont="1" applyFill="1" applyBorder="1" applyAlignment="1">
      <alignment horizontal="center" vertical="center"/>
    </xf>
    <xf numFmtId="168" fontId="0" fillId="4" borderId="33" xfId="0" applyNumberFormat="1" applyFont="1" applyFill="1" applyBorder="1" applyAlignment="1">
      <alignment horizontal="center" vertical="center"/>
    </xf>
    <xf numFmtId="168" fontId="0" fillId="4" borderId="49" xfId="0" applyNumberFormat="1" applyFont="1" applyFill="1" applyBorder="1" applyAlignment="1">
      <alignment horizontal="center" vertical="center"/>
    </xf>
    <xf numFmtId="3" fontId="0" fillId="4" borderId="33" xfId="0" applyNumberFormat="1" applyFont="1" applyFill="1" applyBorder="1" applyAlignment="1">
      <alignment horizontal="center" vertical="center"/>
    </xf>
    <xf numFmtId="3" fontId="0" fillId="4" borderId="49" xfId="0" applyNumberFormat="1" applyFont="1" applyFill="1" applyBorder="1" applyAlignment="1">
      <alignment horizontal="center" vertical="center"/>
    </xf>
    <xf numFmtId="174" fontId="8" fillId="4" borderId="33" xfId="0" applyNumberFormat="1" applyFont="1" applyFill="1" applyBorder="1" applyAlignment="1">
      <alignment horizontal="center" vertical="center"/>
    </xf>
    <xf numFmtId="174" fontId="8" fillId="4" borderId="49" xfId="0" applyNumberFormat="1" applyFont="1" applyFill="1" applyBorder="1" applyAlignment="1">
      <alignment horizontal="center" vertical="center"/>
    </xf>
    <xf numFmtId="9" fontId="0" fillId="4" borderId="33" xfId="0" applyNumberFormat="1" applyFont="1" applyFill="1" applyBorder="1" applyAlignment="1">
      <alignment horizontal="center" vertical="center"/>
    </xf>
    <xf numFmtId="9" fontId="0" fillId="4" borderId="49" xfId="0" applyNumberFormat="1" applyFont="1" applyFill="1" applyBorder="1" applyAlignment="1">
      <alignment horizontal="center" vertical="center"/>
    </xf>
    <xf numFmtId="0" fontId="5" fillId="4" borderId="33" xfId="0" applyNumberFormat="1" applyFont="1" applyFill="1" applyBorder="1" applyAlignment="1">
      <alignment horizontal="center" vertical="center"/>
    </xf>
    <xf numFmtId="0" fontId="5" fillId="4" borderId="49" xfId="0" applyNumberFormat="1" applyFont="1" applyFill="1" applyBorder="1" applyAlignment="1">
      <alignment horizontal="center" vertical="center"/>
    </xf>
    <xf numFmtId="0" fontId="5" fillId="4" borderId="27" xfId="0" applyNumberFormat="1" applyFont="1" applyFill="1" applyBorder="1" applyAlignment="1">
      <alignment horizontal="center" vertical="center"/>
    </xf>
    <xf numFmtId="0" fontId="8" fillId="4" borderId="50" xfId="0" applyNumberFormat="1" applyFont="1" applyFill="1" applyBorder="1" applyAlignment="1">
      <alignment horizontal="left" vertical="center" indent="1"/>
    </xf>
    <xf numFmtId="0" fontId="8" fillId="4" borderId="51" xfId="0" applyNumberFormat="1" applyFont="1" applyFill="1" applyBorder="1" applyAlignment="1">
      <alignment horizontal="left" vertical="center" indent="1"/>
    </xf>
    <xf numFmtId="3" fontId="8" fillId="4" borderId="50" xfId="0" applyNumberFormat="1" applyFont="1" applyFill="1" applyBorder="1" applyAlignment="1">
      <alignment horizontal="center" vertical="center"/>
    </xf>
    <xf numFmtId="3" fontId="8" fillId="4" borderId="51" xfId="0" applyNumberFormat="1" applyFont="1" applyFill="1" applyBorder="1" applyAlignment="1">
      <alignment horizontal="center" vertical="center"/>
    </xf>
    <xf numFmtId="3" fontId="37" fillId="4" borderId="50" xfId="0" applyNumberFormat="1" applyFont="1" applyFill="1" applyBorder="1" applyAlignment="1">
      <alignment horizontal="center" vertical="center"/>
    </xf>
    <xf numFmtId="3" fontId="37" fillId="4" borderId="51" xfId="0" applyNumberFormat="1" applyFont="1" applyFill="1" applyBorder="1" applyAlignment="1">
      <alignment horizontal="center" vertical="center"/>
    </xf>
    <xf numFmtId="168" fontId="0" fillId="4" borderId="50" xfId="0" applyNumberFormat="1" applyFont="1" applyFill="1" applyBorder="1" applyAlignment="1">
      <alignment horizontal="center" vertical="center"/>
    </xf>
    <xf numFmtId="168" fontId="0" fillId="4" borderId="51" xfId="0" applyNumberFormat="1" applyFont="1" applyFill="1" applyBorder="1" applyAlignment="1">
      <alignment horizontal="center" vertical="center"/>
    </xf>
    <xf numFmtId="3" fontId="0" fillId="4" borderId="50" xfId="0" applyNumberFormat="1" applyFont="1" applyFill="1" applyBorder="1" applyAlignment="1">
      <alignment horizontal="center" vertical="center"/>
    </xf>
    <xf numFmtId="3" fontId="0" fillId="4" borderId="51" xfId="0" applyNumberFormat="1" applyFont="1" applyFill="1" applyBorder="1" applyAlignment="1">
      <alignment horizontal="center" vertical="center"/>
    </xf>
    <xf numFmtId="174" fontId="8" fillId="4" borderId="50" xfId="0" applyNumberFormat="1" applyFont="1" applyFill="1" applyBorder="1" applyAlignment="1">
      <alignment horizontal="center" vertical="center"/>
    </xf>
    <xf numFmtId="174" fontId="8" fillId="4" borderId="51" xfId="0" applyNumberFormat="1" applyFont="1" applyFill="1" applyBorder="1" applyAlignment="1">
      <alignment horizontal="center" vertical="center"/>
    </xf>
    <xf numFmtId="9" fontId="0" fillId="4" borderId="50" xfId="0" applyNumberFormat="1" applyFont="1" applyFill="1" applyBorder="1" applyAlignment="1">
      <alignment horizontal="center" vertical="center"/>
    </xf>
    <xf numFmtId="9" fontId="0" fillId="4" borderId="51" xfId="0" applyNumberFormat="1" applyFont="1" applyFill="1" applyBorder="1" applyAlignment="1">
      <alignment horizontal="center" vertical="center"/>
    </xf>
    <xf numFmtId="0" fontId="5" fillId="4" borderId="50" xfId="0" applyNumberFormat="1" applyFont="1" applyFill="1" applyBorder="1" applyAlignment="1">
      <alignment horizontal="center" vertical="center"/>
    </xf>
    <xf numFmtId="0" fontId="5" fillId="4" borderId="51" xfId="0" applyNumberFormat="1" applyFont="1" applyFill="1" applyBorder="1" applyAlignment="1">
      <alignment horizontal="center" vertical="center"/>
    </xf>
    <xf numFmtId="0" fontId="5" fillId="4" borderId="52" xfId="0" applyNumberFormat="1" applyFont="1" applyFill="1" applyBorder="1" applyAlignment="1">
      <alignment horizontal="center" vertical="center"/>
    </xf>
    <xf numFmtId="0" fontId="8" fillId="4" borderId="53" xfId="0" applyNumberFormat="1" applyFont="1" applyFill="1" applyBorder="1" applyAlignment="1">
      <alignment horizontal="left" vertical="center" indent="1"/>
    </xf>
    <xf numFmtId="0" fontId="8" fillId="4" borderId="54" xfId="0" applyNumberFormat="1" applyFont="1" applyFill="1" applyBorder="1" applyAlignment="1">
      <alignment horizontal="left" vertical="center" indent="1"/>
    </xf>
    <xf numFmtId="3" fontId="8" fillId="4" borderId="53" xfId="0" applyNumberFormat="1" applyFont="1" applyFill="1" applyBorder="1" applyAlignment="1">
      <alignment horizontal="center" vertical="center"/>
    </xf>
    <xf numFmtId="3" fontId="8" fillId="4" borderId="54" xfId="0" applyNumberFormat="1" applyFont="1" applyFill="1" applyBorder="1" applyAlignment="1">
      <alignment horizontal="center" vertical="center"/>
    </xf>
    <xf numFmtId="168" fontId="37" fillId="4" borderId="53" xfId="0" applyNumberFormat="1" applyFont="1" applyFill="1" applyBorder="1" applyAlignment="1">
      <alignment horizontal="center" vertical="center"/>
    </xf>
    <xf numFmtId="168" fontId="37" fillId="4" borderId="54" xfId="0" applyNumberFormat="1" applyFont="1" applyFill="1" applyBorder="1" applyAlignment="1">
      <alignment horizontal="center" vertical="center"/>
    </xf>
    <xf numFmtId="168" fontId="0" fillId="4" borderId="53" xfId="0" applyNumberFormat="1" applyFont="1" applyFill="1" applyBorder="1" applyAlignment="1">
      <alignment horizontal="center" vertical="center"/>
    </xf>
    <xf numFmtId="168" fontId="0" fillId="4" borderId="54" xfId="0" applyNumberFormat="1" applyFont="1" applyFill="1" applyBorder="1" applyAlignment="1">
      <alignment horizontal="center" vertical="center"/>
    </xf>
    <xf numFmtId="174" fontId="8" fillId="4" borderId="53" xfId="0" applyNumberFormat="1" applyFont="1" applyFill="1" applyBorder="1" applyAlignment="1">
      <alignment horizontal="center" vertical="center"/>
    </xf>
    <xf numFmtId="174" fontId="8" fillId="4" borderId="54" xfId="0" applyNumberFormat="1" applyFont="1" applyFill="1" applyBorder="1" applyAlignment="1">
      <alignment horizontal="center" vertical="center"/>
    </xf>
    <xf numFmtId="9" fontId="0" fillId="4" borderId="53" xfId="0" applyNumberFormat="1" applyFont="1" applyFill="1" applyBorder="1" applyAlignment="1">
      <alignment horizontal="center" vertical="center"/>
    </xf>
    <xf numFmtId="9" fontId="0" fillId="4" borderId="54" xfId="0" applyNumberFormat="1" applyFont="1" applyFill="1" applyBorder="1" applyAlignment="1">
      <alignment horizontal="center" vertical="center"/>
    </xf>
    <xf numFmtId="0" fontId="5" fillId="4" borderId="53" xfId="0" applyNumberFormat="1" applyFont="1" applyFill="1" applyBorder="1" applyAlignment="1">
      <alignment horizontal="center" vertical="center"/>
    </xf>
    <xf numFmtId="0" fontId="5" fillId="4" borderId="54" xfId="0" applyNumberFormat="1" applyFont="1" applyFill="1" applyBorder="1" applyAlignment="1">
      <alignment horizontal="center" vertical="center"/>
    </xf>
    <xf numFmtId="0" fontId="5" fillId="4" borderId="55" xfId="0" applyNumberFormat="1" applyFont="1" applyFill="1" applyBorder="1" applyAlignment="1">
      <alignment horizontal="center" vertical="center"/>
    </xf>
    <xf numFmtId="0" fontId="8" fillId="5" borderId="33" xfId="0" applyNumberFormat="1" applyFont="1" applyFill="1" applyBorder="1" applyAlignment="1">
      <alignment horizontal="left" vertical="center" indent="1"/>
    </xf>
    <xf numFmtId="0" fontId="8" fillId="5" borderId="49" xfId="0" applyNumberFormat="1" applyFont="1" applyFill="1" applyBorder="1" applyAlignment="1">
      <alignment horizontal="left" vertical="center" indent="1"/>
    </xf>
    <xf numFmtId="3" fontId="8" fillId="5" borderId="33" xfId="0" applyNumberFormat="1" applyFont="1" applyFill="1" applyBorder="1" applyAlignment="1">
      <alignment horizontal="center" vertical="center"/>
    </xf>
    <xf numFmtId="3" fontId="8" fillId="5" borderId="49" xfId="0" applyNumberFormat="1" applyFont="1" applyFill="1" applyBorder="1" applyAlignment="1">
      <alignment horizontal="center" vertical="center"/>
    </xf>
    <xf numFmtId="3" fontId="37" fillId="5" borderId="33" xfId="0" applyNumberFormat="1" applyFont="1" applyFill="1" applyBorder="1" applyAlignment="1">
      <alignment horizontal="center" vertical="center"/>
    </xf>
    <xf numFmtId="3" fontId="37" fillId="5" borderId="49" xfId="0" applyNumberFormat="1" applyFont="1" applyFill="1" applyBorder="1" applyAlignment="1">
      <alignment horizontal="center" vertical="center"/>
    </xf>
    <xf numFmtId="168" fontId="0" fillId="5" borderId="33" xfId="0" applyNumberFormat="1" applyFont="1" applyFill="1" applyBorder="1" applyAlignment="1">
      <alignment horizontal="center" vertical="center"/>
    </xf>
    <xf numFmtId="168" fontId="0" fillId="5" borderId="49" xfId="0" applyNumberFormat="1" applyFont="1" applyFill="1" applyBorder="1" applyAlignment="1">
      <alignment horizontal="center" vertical="center"/>
    </xf>
    <xf numFmtId="3" fontId="0" fillId="5" borderId="33" xfId="0" applyNumberFormat="1" applyFont="1" applyFill="1" applyBorder="1" applyAlignment="1">
      <alignment horizontal="center" vertical="center"/>
    </xf>
    <xf numFmtId="3" fontId="0" fillId="5" borderId="49" xfId="0" applyNumberFormat="1" applyFont="1" applyFill="1" applyBorder="1" applyAlignment="1">
      <alignment horizontal="center" vertical="center"/>
    </xf>
    <xf numFmtId="174" fontId="8" fillId="5" borderId="33" xfId="0" applyNumberFormat="1" applyFont="1" applyFill="1" applyBorder="1" applyAlignment="1">
      <alignment horizontal="center" vertical="center"/>
    </xf>
    <xf numFmtId="174" fontId="8" fillId="5" borderId="49" xfId="0" applyNumberFormat="1" applyFont="1" applyFill="1" applyBorder="1" applyAlignment="1">
      <alignment horizontal="center" vertical="center"/>
    </xf>
    <xf numFmtId="9" fontId="0" fillId="5" borderId="33" xfId="0" applyNumberFormat="1" applyFont="1" applyFill="1" applyBorder="1" applyAlignment="1">
      <alignment horizontal="center" vertical="center"/>
    </xf>
    <xf numFmtId="9" fontId="0" fillId="5" borderId="49" xfId="0" applyNumberFormat="1" applyFont="1" applyFill="1" applyBorder="1" applyAlignment="1">
      <alignment horizontal="center" vertical="center"/>
    </xf>
    <xf numFmtId="0" fontId="5" fillId="5" borderId="33" xfId="0" applyNumberFormat="1" applyFont="1" applyFill="1" applyBorder="1" applyAlignment="1">
      <alignment horizontal="center" vertical="center"/>
    </xf>
    <xf numFmtId="0" fontId="5" fillId="5" borderId="49" xfId="0" applyNumberFormat="1" applyFont="1" applyFill="1" applyBorder="1" applyAlignment="1">
      <alignment horizontal="center" vertical="center"/>
    </xf>
    <xf numFmtId="0" fontId="5" fillId="5" borderId="27" xfId="0" applyNumberFormat="1" applyFont="1" applyFill="1" applyBorder="1" applyAlignment="1">
      <alignment horizontal="center" vertical="center"/>
    </xf>
    <xf numFmtId="0" fontId="8" fillId="5" borderId="50" xfId="0" applyNumberFormat="1" applyFont="1" applyFill="1" applyBorder="1" applyAlignment="1">
      <alignment horizontal="left" vertical="center" indent="1"/>
    </xf>
    <xf numFmtId="0" fontId="8" fillId="5" borderId="51" xfId="0" applyNumberFormat="1" applyFont="1" applyFill="1" applyBorder="1" applyAlignment="1">
      <alignment horizontal="left" vertical="center" indent="1"/>
    </xf>
    <xf numFmtId="3" fontId="8" fillId="5" borderId="50" xfId="0" applyNumberFormat="1" applyFont="1" applyFill="1" applyBorder="1" applyAlignment="1">
      <alignment horizontal="center" vertical="center"/>
    </xf>
    <xf numFmtId="3" fontId="8" fillId="5" borderId="51" xfId="0" applyNumberFormat="1" applyFont="1" applyFill="1" applyBorder="1" applyAlignment="1">
      <alignment horizontal="center" vertical="center"/>
    </xf>
    <xf numFmtId="3" fontId="37" fillId="5" borderId="50" xfId="0" applyNumberFormat="1" applyFont="1" applyFill="1" applyBorder="1" applyAlignment="1">
      <alignment horizontal="center" vertical="center"/>
    </xf>
    <xf numFmtId="3" fontId="37" fillId="5" borderId="51" xfId="0" applyNumberFormat="1" applyFont="1" applyFill="1" applyBorder="1" applyAlignment="1">
      <alignment horizontal="center" vertical="center"/>
    </xf>
    <xf numFmtId="168" fontId="0" fillId="5" borderId="50" xfId="0" applyNumberFormat="1" applyFont="1" applyFill="1" applyBorder="1" applyAlignment="1">
      <alignment horizontal="center" vertical="center"/>
    </xf>
    <xf numFmtId="168" fontId="0" fillId="5" borderId="51" xfId="0" applyNumberFormat="1" applyFont="1" applyFill="1" applyBorder="1" applyAlignment="1">
      <alignment horizontal="center" vertical="center"/>
    </xf>
    <xf numFmtId="3" fontId="0" fillId="5" borderId="50" xfId="0" applyNumberFormat="1" applyFont="1" applyFill="1" applyBorder="1" applyAlignment="1">
      <alignment horizontal="center" vertical="center"/>
    </xf>
    <xf numFmtId="3" fontId="0" fillId="5" borderId="51" xfId="0" applyNumberFormat="1" applyFont="1" applyFill="1" applyBorder="1" applyAlignment="1">
      <alignment horizontal="center" vertical="center"/>
    </xf>
    <xf numFmtId="174" fontId="8" fillId="5" borderId="50" xfId="0" applyNumberFormat="1" applyFont="1" applyFill="1" applyBorder="1" applyAlignment="1">
      <alignment horizontal="center" vertical="center"/>
    </xf>
    <xf numFmtId="174" fontId="8" fillId="5" borderId="51" xfId="0" applyNumberFormat="1" applyFont="1" applyFill="1" applyBorder="1" applyAlignment="1">
      <alignment horizontal="center" vertical="center"/>
    </xf>
    <xf numFmtId="9" fontId="0" fillId="5" borderId="50" xfId="0" applyNumberFormat="1" applyFont="1" applyFill="1" applyBorder="1" applyAlignment="1">
      <alignment horizontal="center" vertical="center"/>
    </xf>
    <xf numFmtId="9" fontId="0" fillId="5" borderId="51" xfId="0" applyNumberFormat="1" applyFont="1" applyFill="1" applyBorder="1" applyAlignment="1">
      <alignment horizontal="center" vertical="center"/>
    </xf>
    <xf numFmtId="0" fontId="5" fillId="5" borderId="50" xfId="0" applyNumberFormat="1" applyFont="1" applyFill="1" applyBorder="1" applyAlignment="1">
      <alignment horizontal="center" vertical="center"/>
    </xf>
    <xf numFmtId="0" fontId="5" fillId="5" borderId="51" xfId="0" applyNumberFormat="1" applyFont="1" applyFill="1" applyBorder="1" applyAlignment="1">
      <alignment horizontal="center" vertical="center"/>
    </xf>
    <xf numFmtId="0" fontId="5" fillId="5" borderId="52" xfId="0" applyNumberFormat="1" applyFont="1" applyFill="1" applyBorder="1" applyAlignment="1">
      <alignment horizontal="center" vertical="center"/>
    </xf>
    <xf numFmtId="0" fontId="8" fillId="5" borderId="53" xfId="0" applyNumberFormat="1" applyFont="1" applyFill="1" applyBorder="1" applyAlignment="1">
      <alignment horizontal="left" vertical="center" indent="1"/>
    </xf>
    <xf numFmtId="0" fontId="8" fillId="5" borderId="54" xfId="0" applyNumberFormat="1" applyFont="1" applyFill="1" applyBorder="1" applyAlignment="1">
      <alignment horizontal="left" vertical="center" indent="1"/>
    </xf>
    <xf numFmtId="3" fontId="8" fillId="5" borderId="53" xfId="0" applyNumberFormat="1" applyFont="1" applyFill="1" applyBorder="1" applyAlignment="1">
      <alignment horizontal="center" vertical="center"/>
    </xf>
    <xf numFmtId="3" fontId="8" fillId="5" borderId="54" xfId="0" applyNumberFormat="1" applyFont="1" applyFill="1" applyBorder="1" applyAlignment="1">
      <alignment horizontal="center" vertical="center"/>
    </xf>
    <xf numFmtId="3" fontId="37" fillId="5" borderId="53" xfId="0" applyNumberFormat="1" applyFont="1" applyFill="1" applyBorder="1" applyAlignment="1">
      <alignment horizontal="center" vertical="center"/>
    </xf>
    <xf numFmtId="3" fontId="37" fillId="5" borderId="54" xfId="0" applyNumberFormat="1" applyFont="1" applyFill="1" applyBorder="1" applyAlignment="1">
      <alignment horizontal="center" vertical="center"/>
    </xf>
    <xf numFmtId="168" fontId="0" fillId="5" borderId="53" xfId="0" applyNumberFormat="1" applyFont="1" applyFill="1" applyBorder="1" applyAlignment="1">
      <alignment horizontal="center" vertical="center"/>
    </xf>
    <xf numFmtId="168" fontId="0" fillId="5" borderId="54" xfId="0" applyNumberFormat="1" applyFont="1" applyFill="1" applyBorder="1" applyAlignment="1">
      <alignment horizontal="center" vertical="center"/>
    </xf>
    <xf numFmtId="3" fontId="0" fillId="5" borderId="53" xfId="0" applyNumberFormat="1" applyFont="1" applyFill="1" applyBorder="1" applyAlignment="1">
      <alignment horizontal="center" vertical="center"/>
    </xf>
    <xf numFmtId="3" fontId="0" fillId="5" borderId="54" xfId="0" applyNumberFormat="1" applyFont="1" applyFill="1" applyBorder="1" applyAlignment="1">
      <alignment horizontal="center" vertical="center"/>
    </xf>
    <xf numFmtId="174" fontId="8" fillId="5" borderId="53" xfId="0" applyNumberFormat="1" applyFont="1" applyFill="1" applyBorder="1" applyAlignment="1">
      <alignment horizontal="center" vertical="center"/>
    </xf>
    <xf numFmtId="174" fontId="8" fillId="5" borderId="54" xfId="0" applyNumberFormat="1" applyFont="1" applyFill="1" applyBorder="1" applyAlignment="1">
      <alignment horizontal="center" vertical="center"/>
    </xf>
    <xf numFmtId="9" fontId="0" fillId="5" borderId="53" xfId="0" applyNumberFormat="1" applyFont="1" applyFill="1" applyBorder="1" applyAlignment="1">
      <alignment horizontal="center" vertical="center"/>
    </xf>
    <xf numFmtId="9" fontId="0" fillId="5" borderId="54" xfId="0" applyNumberFormat="1" applyFont="1" applyFill="1" applyBorder="1" applyAlignment="1">
      <alignment horizontal="center" vertical="center"/>
    </xf>
    <xf numFmtId="0" fontId="5" fillId="5" borderId="53" xfId="0" applyNumberFormat="1" applyFont="1" applyFill="1" applyBorder="1" applyAlignment="1">
      <alignment horizontal="center" vertical="center"/>
    </xf>
    <xf numFmtId="0" fontId="5" fillId="5" borderId="54" xfId="0" applyNumberFormat="1" applyFont="1" applyFill="1" applyBorder="1" applyAlignment="1">
      <alignment horizontal="center" vertical="center"/>
    </xf>
    <xf numFmtId="0" fontId="5" fillId="5" borderId="55" xfId="0" applyNumberFormat="1" applyFont="1" applyFill="1" applyBorder="1" applyAlignment="1">
      <alignment horizontal="center" vertical="center"/>
    </xf>
    <xf numFmtId="166" fontId="37" fillId="3" borderId="33" xfId="0" applyNumberFormat="1" applyFont="1" applyFill="1" applyBorder="1" applyAlignment="1">
      <alignment horizontal="center" vertical="center"/>
    </xf>
    <xf numFmtId="166" fontId="37" fillId="3" borderId="49" xfId="0" applyNumberFormat="1" applyFont="1" applyFill="1" applyBorder="1" applyAlignment="1">
      <alignment horizontal="center" vertical="center"/>
    </xf>
    <xf numFmtId="166" fontId="0" fillId="3" borderId="33" xfId="0" applyNumberFormat="1" applyFont="1" applyFill="1" applyBorder="1" applyAlignment="1">
      <alignment horizontal="center" vertical="center"/>
    </xf>
    <xf numFmtId="166" fontId="0" fillId="3" borderId="49" xfId="0" applyNumberFormat="1" applyFont="1" applyFill="1" applyBorder="1" applyAlignment="1">
      <alignment horizontal="center" vertical="center"/>
    </xf>
    <xf numFmtId="9" fontId="8" fillId="3" borderId="53" xfId="0" applyNumberFormat="1" applyFont="1" applyFill="1" applyBorder="1" applyAlignment="1">
      <alignment horizontal="center" vertical="center"/>
    </xf>
    <xf numFmtId="9" fontId="8" fillId="3" borderId="54" xfId="0" applyNumberFormat="1" applyFont="1" applyFill="1" applyBorder="1" applyAlignment="1">
      <alignment horizontal="center" vertical="center"/>
    </xf>
    <xf numFmtId="167" fontId="37" fillId="3" borderId="53" xfId="0" applyNumberFormat="1" applyFont="1" applyFill="1" applyBorder="1" applyAlignment="1">
      <alignment horizontal="center" vertical="center"/>
    </xf>
    <xf numFmtId="167" fontId="37" fillId="3" borderId="54" xfId="0" applyNumberFormat="1" applyFont="1" applyFill="1" applyBorder="1" applyAlignment="1">
      <alignment horizontal="center" vertical="center"/>
    </xf>
    <xf numFmtId="167" fontId="0" fillId="3" borderId="53" xfId="0" applyNumberFormat="1" applyFont="1" applyFill="1" applyBorder="1" applyAlignment="1">
      <alignment horizontal="center" vertical="center"/>
    </xf>
    <xf numFmtId="167" fontId="0" fillId="3" borderId="54" xfId="0" applyNumberFormat="1" applyFont="1" applyFill="1" applyBorder="1" applyAlignment="1">
      <alignment horizontal="center" vertical="center"/>
    </xf>
    <xf numFmtId="0" fontId="8" fillId="6" borderId="33" xfId="0" applyNumberFormat="1" applyFont="1" applyFill="1" applyBorder="1" applyAlignment="1">
      <alignment horizontal="left" vertical="center" indent="1"/>
    </xf>
    <xf numFmtId="0" fontId="8" fillId="6" borderId="49" xfId="0" applyNumberFormat="1" applyFont="1" applyFill="1" applyBorder="1" applyAlignment="1">
      <alignment horizontal="left" vertical="center" indent="1"/>
    </xf>
    <xf numFmtId="3" fontId="8" fillId="6" borderId="33" xfId="0" applyNumberFormat="1" applyFont="1" applyFill="1" applyBorder="1" applyAlignment="1">
      <alignment horizontal="center" vertical="center"/>
    </xf>
    <xf numFmtId="3" fontId="8" fillId="6" borderId="49" xfId="0" applyNumberFormat="1" applyFont="1" applyFill="1" applyBorder="1" applyAlignment="1">
      <alignment horizontal="center" vertical="center"/>
    </xf>
    <xf numFmtId="3" fontId="37" fillId="6" borderId="33" xfId="0" applyNumberFormat="1" applyFont="1" applyFill="1" applyBorder="1" applyAlignment="1">
      <alignment horizontal="center" vertical="center"/>
    </xf>
    <xf numFmtId="3" fontId="37" fillId="6" borderId="49" xfId="0" applyNumberFormat="1" applyFont="1" applyFill="1" applyBorder="1" applyAlignment="1">
      <alignment horizontal="center" vertical="center"/>
    </xf>
    <xf numFmtId="168" fontId="0" fillId="6" borderId="33" xfId="0" applyNumberFormat="1" applyFont="1" applyFill="1" applyBorder="1" applyAlignment="1">
      <alignment horizontal="center" vertical="center"/>
    </xf>
    <xf numFmtId="168" fontId="0" fillId="6" borderId="49" xfId="0" applyNumberFormat="1" applyFont="1" applyFill="1" applyBorder="1" applyAlignment="1">
      <alignment horizontal="center" vertical="center"/>
    </xf>
    <xf numFmtId="3" fontId="0" fillId="6" borderId="33" xfId="0" applyNumberFormat="1" applyFont="1" applyFill="1" applyBorder="1" applyAlignment="1">
      <alignment horizontal="center" vertical="center"/>
    </xf>
    <xf numFmtId="3" fontId="0" fillId="6" borderId="49" xfId="0" applyNumberFormat="1" applyFont="1" applyFill="1" applyBorder="1" applyAlignment="1">
      <alignment horizontal="center" vertical="center"/>
    </xf>
    <xf numFmtId="174" fontId="8" fillId="6" borderId="33" xfId="0" applyNumberFormat="1" applyFont="1" applyFill="1" applyBorder="1" applyAlignment="1">
      <alignment horizontal="center" vertical="center"/>
    </xf>
    <xf numFmtId="174" fontId="8" fillId="6" borderId="49" xfId="0" applyNumberFormat="1" applyFont="1" applyFill="1" applyBorder="1" applyAlignment="1">
      <alignment horizontal="center" vertical="center"/>
    </xf>
    <xf numFmtId="9" fontId="0" fillId="6" borderId="33" xfId="0" applyNumberFormat="1" applyFont="1" applyFill="1" applyBorder="1" applyAlignment="1">
      <alignment horizontal="center" vertical="center"/>
    </xf>
    <xf numFmtId="9" fontId="0" fillId="6" borderId="49" xfId="0" applyNumberFormat="1" applyFont="1" applyFill="1" applyBorder="1" applyAlignment="1">
      <alignment horizontal="center" vertical="center"/>
    </xf>
    <xf numFmtId="0" fontId="5" fillId="6" borderId="33" xfId="0" applyNumberFormat="1" applyFont="1" applyFill="1" applyBorder="1" applyAlignment="1">
      <alignment horizontal="center" vertical="center"/>
    </xf>
    <xf numFmtId="0" fontId="5" fillId="6" borderId="49" xfId="0" applyNumberFormat="1" applyFont="1" applyFill="1" applyBorder="1" applyAlignment="1">
      <alignment horizontal="center" vertical="center"/>
    </xf>
    <xf numFmtId="0" fontId="5" fillId="6" borderId="27" xfId="0" applyNumberFormat="1" applyFont="1" applyFill="1" applyBorder="1" applyAlignment="1">
      <alignment horizontal="center" vertical="center"/>
    </xf>
    <xf numFmtId="0" fontId="8" fillId="6" borderId="50" xfId="0" applyNumberFormat="1" applyFont="1" applyFill="1" applyBorder="1" applyAlignment="1">
      <alignment horizontal="left" vertical="center" indent="1"/>
    </xf>
    <xf numFmtId="0" fontId="8" fillId="6" borderId="51" xfId="0" applyNumberFormat="1" applyFont="1" applyFill="1" applyBorder="1" applyAlignment="1">
      <alignment horizontal="left" vertical="center" indent="1"/>
    </xf>
    <xf numFmtId="3" fontId="8" fillId="6" borderId="50" xfId="0" applyNumberFormat="1" applyFont="1" applyFill="1" applyBorder="1" applyAlignment="1">
      <alignment horizontal="center" vertical="center"/>
    </xf>
    <xf numFmtId="3" fontId="8" fillId="6" borderId="51" xfId="0" applyNumberFormat="1" applyFont="1" applyFill="1" applyBorder="1" applyAlignment="1">
      <alignment horizontal="center" vertical="center"/>
    </xf>
    <xf numFmtId="3" fontId="37" fillId="6" borderId="50" xfId="0" applyNumberFormat="1" applyFont="1" applyFill="1" applyBorder="1" applyAlignment="1">
      <alignment horizontal="center" vertical="center"/>
    </xf>
    <xf numFmtId="3" fontId="37" fillId="6" borderId="51" xfId="0" applyNumberFormat="1" applyFont="1" applyFill="1" applyBorder="1" applyAlignment="1">
      <alignment horizontal="center" vertical="center"/>
    </xf>
    <xf numFmtId="168" fontId="0" fillId="6" borderId="50" xfId="0" applyNumberFormat="1" applyFont="1" applyFill="1" applyBorder="1" applyAlignment="1">
      <alignment horizontal="center" vertical="center"/>
    </xf>
    <xf numFmtId="168" fontId="0" fillId="6" borderId="51" xfId="0" applyNumberFormat="1" applyFont="1" applyFill="1" applyBorder="1" applyAlignment="1">
      <alignment horizontal="center" vertical="center"/>
    </xf>
    <xf numFmtId="3" fontId="0" fillId="6" borderId="50" xfId="0" applyNumberFormat="1" applyFont="1" applyFill="1" applyBorder="1" applyAlignment="1">
      <alignment horizontal="center" vertical="center"/>
    </xf>
    <xf numFmtId="3" fontId="0" fillId="6" borderId="51" xfId="0" applyNumberFormat="1" applyFont="1" applyFill="1" applyBorder="1" applyAlignment="1">
      <alignment horizontal="center" vertical="center"/>
    </xf>
    <xf numFmtId="174" fontId="8" fillId="6" borderId="50" xfId="0" applyNumberFormat="1" applyFont="1" applyFill="1" applyBorder="1" applyAlignment="1">
      <alignment horizontal="center" vertical="center"/>
    </xf>
    <xf numFmtId="174" fontId="8" fillId="6" borderId="51" xfId="0" applyNumberFormat="1" applyFont="1" applyFill="1" applyBorder="1" applyAlignment="1">
      <alignment horizontal="center" vertical="center"/>
    </xf>
    <xf numFmtId="9" fontId="0" fillId="6" borderId="50" xfId="0" applyNumberFormat="1" applyFont="1" applyFill="1" applyBorder="1" applyAlignment="1">
      <alignment horizontal="center" vertical="center"/>
    </xf>
    <xf numFmtId="9" fontId="0" fillId="6" borderId="51" xfId="0" applyNumberFormat="1" applyFont="1" applyFill="1" applyBorder="1" applyAlignment="1">
      <alignment horizontal="center" vertical="center"/>
    </xf>
    <xf numFmtId="0" fontId="5" fillId="6" borderId="50" xfId="0" applyNumberFormat="1" applyFont="1" applyFill="1" applyBorder="1" applyAlignment="1">
      <alignment horizontal="center" vertical="center"/>
    </xf>
    <xf numFmtId="0" fontId="5" fillId="6" borderId="51" xfId="0" applyNumberFormat="1" applyFont="1" applyFill="1" applyBorder="1" applyAlignment="1">
      <alignment horizontal="center" vertical="center"/>
    </xf>
    <xf numFmtId="0" fontId="5" fillId="6" borderId="52" xfId="0" applyNumberFormat="1" applyFont="1" applyFill="1" applyBorder="1" applyAlignment="1">
      <alignment horizontal="center" vertical="center"/>
    </xf>
    <xf numFmtId="0" fontId="8" fillId="6" borderId="53" xfId="0" applyNumberFormat="1" applyFont="1" applyFill="1" applyBorder="1" applyAlignment="1">
      <alignment horizontal="left" vertical="center" indent="1"/>
    </xf>
    <xf numFmtId="0" fontId="8" fillId="6" borderId="54" xfId="0" applyNumberFormat="1" applyFont="1" applyFill="1" applyBorder="1" applyAlignment="1">
      <alignment horizontal="left" vertical="center" indent="1"/>
    </xf>
    <xf numFmtId="3" fontId="8" fillId="6" borderId="53" xfId="0" applyNumberFormat="1" applyFont="1" applyFill="1" applyBorder="1" applyAlignment="1">
      <alignment horizontal="center" vertical="center"/>
    </xf>
    <xf numFmtId="3" fontId="8" fillId="6" borderId="54" xfId="0" applyNumberFormat="1" applyFont="1" applyFill="1" applyBorder="1" applyAlignment="1">
      <alignment horizontal="center" vertical="center"/>
    </xf>
    <xf numFmtId="3" fontId="37" fillId="6" borderId="53" xfId="0" applyNumberFormat="1" applyFont="1" applyFill="1" applyBorder="1" applyAlignment="1">
      <alignment horizontal="center" vertical="center"/>
    </xf>
    <xf numFmtId="3" fontId="37" fillId="6" borderId="54" xfId="0" applyNumberFormat="1" applyFont="1" applyFill="1" applyBorder="1" applyAlignment="1">
      <alignment horizontal="center" vertical="center"/>
    </xf>
    <xf numFmtId="168" fontId="0" fillId="6" borderId="53" xfId="0" applyNumberFormat="1" applyFont="1" applyFill="1" applyBorder="1" applyAlignment="1">
      <alignment horizontal="center" vertical="center"/>
    </xf>
    <xf numFmtId="168" fontId="0" fillId="6" borderId="54" xfId="0" applyNumberFormat="1" applyFont="1" applyFill="1" applyBorder="1" applyAlignment="1">
      <alignment horizontal="center" vertical="center"/>
    </xf>
    <xf numFmtId="3" fontId="0" fillId="6" borderId="53" xfId="0" applyNumberFormat="1" applyFont="1" applyFill="1" applyBorder="1" applyAlignment="1">
      <alignment horizontal="center" vertical="center"/>
    </xf>
    <xf numFmtId="3" fontId="0" fillId="6" borderId="54" xfId="0" applyNumberFormat="1" applyFont="1" applyFill="1" applyBorder="1" applyAlignment="1">
      <alignment horizontal="center" vertical="center"/>
    </xf>
    <xf numFmtId="174" fontId="8" fillId="6" borderId="53" xfId="0" applyNumberFormat="1" applyFont="1" applyFill="1" applyBorder="1" applyAlignment="1">
      <alignment horizontal="center" vertical="center"/>
    </xf>
    <xf numFmtId="174" fontId="8" fillId="6" borderId="54" xfId="0" applyNumberFormat="1" applyFont="1" applyFill="1" applyBorder="1" applyAlignment="1">
      <alignment horizontal="center" vertical="center"/>
    </xf>
    <xf numFmtId="9" fontId="0" fillId="6" borderId="53" xfId="0" applyNumberFormat="1" applyFont="1" applyFill="1" applyBorder="1" applyAlignment="1">
      <alignment horizontal="center" vertical="center"/>
    </xf>
    <xf numFmtId="9" fontId="0" fillId="6" borderId="54" xfId="0" applyNumberFormat="1" applyFont="1" applyFill="1" applyBorder="1" applyAlignment="1">
      <alignment horizontal="center" vertical="center"/>
    </xf>
    <xf numFmtId="0" fontId="5" fillId="6" borderId="53" xfId="0" applyNumberFormat="1" applyFont="1" applyFill="1" applyBorder="1" applyAlignment="1">
      <alignment horizontal="center" vertical="center"/>
    </xf>
    <xf numFmtId="0" fontId="5" fillId="6" borderId="54" xfId="0" applyNumberFormat="1" applyFont="1" applyFill="1" applyBorder="1" applyAlignment="1">
      <alignment horizontal="center" vertical="center"/>
    </xf>
    <xf numFmtId="0" fontId="5" fillId="6" borderId="55" xfId="0" applyNumberFormat="1" applyFont="1" applyFill="1" applyBorder="1" applyAlignment="1">
      <alignment horizontal="center" vertical="center"/>
    </xf>
    <xf numFmtId="0" fontId="8" fillId="3" borderId="26" xfId="0" applyNumberFormat="1" applyFont="1" applyFill="1" applyBorder="1" applyAlignment="1">
      <alignment horizontal="center" vertical="center"/>
    </xf>
    <xf numFmtId="0" fontId="8" fillId="3" borderId="56" xfId="0" applyNumberFormat="1" applyFont="1" applyFill="1" applyBorder="1" applyAlignment="1">
      <alignment horizontal="center" vertical="center"/>
    </xf>
    <xf numFmtId="0" fontId="8" fillId="3" borderId="28" xfId="0" applyNumberFormat="1" applyFont="1" applyFill="1" applyBorder="1" applyAlignment="1">
      <alignment horizontal="center" vertical="center"/>
    </xf>
    <xf numFmtId="0" fontId="8" fillId="4" borderId="26" xfId="0" applyNumberFormat="1" applyFont="1" applyFill="1" applyBorder="1" applyAlignment="1">
      <alignment horizontal="center" vertical="center"/>
    </xf>
    <xf numFmtId="0" fontId="8" fillId="4" borderId="56" xfId="0" applyNumberFormat="1" applyFont="1" applyFill="1" applyBorder="1" applyAlignment="1">
      <alignment horizontal="center" vertical="center"/>
    </xf>
    <xf numFmtId="0" fontId="8" fillId="4" borderId="28" xfId="0" applyNumberFormat="1" applyFont="1" applyFill="1" applyBorder="1" applyAlignment="1">
      <alignment horizontal="center" vertical="center"/>
    </xf>
    <xf numFmtId="0" fontId="8" fillId="5" borderId="26" xfId="0" applyNumberFormat="1" applyFont="1" applyFill="1" applyBorder="1" applyAlignment="1">
      <alignment horizontal="center" vertical="center"/>
    </xf>
    <xf numFmtId="0" fontId="8" fillId="5" borderId="56" xfId="0" applyNumberFormat="1" applyFont="1" applyFill="1" applyBorder="1" applyAlignment="1">
      <alignment horizontal="center" vertical="center"/>
    </xf>
    <xf numFmtId="0" fontId="8" fillId="5" borderId="28" xfId="0" applyNumberFormat="1" applyFont="1" applyFill="1" applyBorder="1" applyAlignment="1">
      <alignment horizontal="center" vertical="center"/>
    </xf>
    <xf numFmtId="0" fontId="8" fillId="6" borderId="26" xfId="0" applyNumberFormat="1" applyFont="1" applyFill="1" applyBorder="1" applyAlignment="1">
      <alignment horizontal="center" vertical="center"/>
    </xf>
    <xf numFmtId="0" fontId="8" fillId="6" borderId="56" xfId="0" applyNumberFormat="1" applyFont="1" applyFill="1" applyBorder="1" applyAlignment="1">
      <alignment horizontal="center" vertical="center"/>
    </xf>
    <xf numFmtId="0" fontId="8" fillId="6" borderId="28" xfId="0" applyNumberFormat="1" applyFont="1" applyFill="1" applyBorder="1" applyAlignment="1">
      <alignment horizontal="center" vertical="center"/>
    </xf>
    <xf numFmtId="0" fontId="5" fillId="2" borderId="7" xfId="0" applyNumberFormat="1" applyFont="1" applyFill="1" applyBorder="1" applyAlignment="1">
      <alignment horizontal="center" vertical="center" wrapText="1"/>
    </xf>
    <xf numFmtId="0" fontId="5" fillId="2" borderId="9" xfId="0" applyNumberFormat="1" applyFont="1" applyFill="1" applyBorder="1" applyAlignment="1">
      <alignment horizontal="center" vertical="center" wrapText="1"/>
    </xf>
    <xf numFmtId="0" fontId="5" fillId="2" borderId="8" xfId="0" applyNumberFormat="1" applyFont="1" applyFill="1" applyBorder="1" applyAlignment="1">
      <alignment horizontal="center" vertical="center" wrapText="1"/>
    </xf>
    <xf numFmtId="0" fontId="5" fillId="16" borderId="47" xfId="0" applyNumberFormat="1" applyFont="1" applyFill="1" applyBorder="1" applyAlignment="1">
      <alignment horizontal="center" vertical="center" wrapText="1"/>
    </xf>
    <xf numFmtId="0" fontId="5" fillId="16" borderId="7" xfId="0" applyNumberFormat="1" applyFont="1" applyFill="1" applyBorder="1" applyAlignment="1">
      <alignment horizontal="center" vertical="center" wrapText="1"/>
    </xf>
    <xf numFmtId="0" fontId="5" fillId="16" borderId="9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9">
    <dxf>
      <font>
        <b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BFBFBF"/>
      </font>
      <fill>
        <patternFill>
          <bgColor rgb="FFFAFAFA"/>
        </patternFill>
      </fill>
    </dxf>
    <dxf>
      <font>
        <color rgb="FFA6A6A6"/>
      </font>
      <fill>
        <patternFill>
          <bgColor rgb="FFD9D9D9"/>
        </patternFill>
      </fill>
    </dxf>
    <dxf>
      <font>
        <b/>
        <color rgb="FF2F7D4E"/>
      </font>
    </dxf>
    <dxf>
      <font>
        <b/>
        <color rgb="FFC00000"/>
      </font>
    </dxf>
    <dxf>
      <font>
        <b/>
        <color rgb="FFC98A00"/>
      </font>
    </dxf>
    <dxf>
      <font>
        <b/>
        <color rgb="FF2F7D4E"/>
      </font>
      <fill>
        <patternFill>
          <bgColor rgb="FFE2EF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1B1B1F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FFFFFF"/>
      </font>
      <fill>
        <patternFill>
          <bgColor rgb="FF1F6F43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calculos!$AQ$12</c:f>
          <c:strCache>
            <c:ptCount val="1"/>
            <c:pt idx="0">
              <c:v>MOVIMENTAÇÃO VEÍCULO/DIA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Config!$D$82</c:f>
              <c:strCache>
                <c:ptCount val="1"/>
                <c:pt idx="0">
                  <c:v>Recebidos (IN)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calculos!$C$12:$C$42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Config!$D$83</c:f>
              <c:strCache>
                <c:ptCount val="1"/>
                <c:pt idx="0">
                  <c:v>Expedidos (OUT)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calculos!$F$12:$F$42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calculos!$AQ$13</c:f>
          <c:strCache>
            <c:ptCount val="1"/>
            <c:pt idx="0">
              <c:v>OCUPAÇÃO DIÁRIA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Config!$D$87</c:f>
              <c:strCache>
                <c:ptCount val="1"/>
                <c:pt idx="0">
                  <c:v>Ocupada (p.p)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calculos!$M$12:$M$42</c:f>
              <c:numCache>
                <c:formatCode>General</c:formatCode>
                <c:ptCount val="31"/>
              </c:numCache>
            </c:numRef>
          </c:val>
        </c:ser>
        <c:gapWidth val="40"/>
        <c:axId val="101"/>
        <c:axId val="102"/>
      </c:barChart>
      <c:lineChart>
        <c:grouping val="standard"/>
        <c:varyColors val="0"/>
        <c:ser>
          <c:idx val="1"/>
          <c:order val="1"/>
          <c:tx>
            <c:strRef>
              <c:f>calculos!$BB$310</c:f>
              <c:strCache>
                <c:ptCount val="1"/>
                <c:pt idx="0">
                  <c:v>Capacidade do armazém (p.p)</c:v>
                </c:pt>
              </c:strCache>
            </c:strRef>
          </c:tx>
          <c:spPr>
            <a:ln w="22225" cap="rnd">
              <a:solidFill>
                <a:srgbClr val="404040"/>
              </a:solidFill>
              <a:prstDash val="sysDot"/>
              <a:round/>
            </a:ln>
          </c:spPr>
          <c:marker>
            <c:symbol val="none"/>
          </c:marker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calculos!$L$12:$L$42</c:f>
              <c:numCache>
                <c:formatCode>General</c:formatCode>
                <c:ptCount val="31"/>
              </c:numCache>
            </c:numRef>
          </c:val>
          <c:smooth val="0"/>
        </c:ser>
        <c:ser>
          <c:idx val="2"/>
          <c:order val="2"/>
          <c:tx>
            <c:v>rótulo</c:v>
          </c:tx>
          <c:spPr>
            <a:ln>
              <a:noFill/>
            </a:ln>
          </c:spPr>
          <c:marker>
            <c:symbol val="none"/>
          </c:marker>
          <c:dLbls>
            <c:numFmt formatCode="#,##0&quot; p.p&quot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calculos!$BC$12:$BC$42</c:f>
              <c:numCache>
                <c:formatCode>General</c:formatCode>
                <c:ptCount val="31"/>
              </c:numCache>
            </c:numRef>
          </c:val>
          <c:smooth val="0"/>
        </c:ser>
        <c:marker val="1"/>
        <c:axId val="101"/>
        <c:axId val="102"/>
      </c:line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&quot; p.p&quot;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legendEntry>
        <c:idx val="2"/>
        <c:delete val="1"/>
      </c:legendEntry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calculos!$AQ$14</c:f>
          <c:strCache>
            <c:ptCount val="1"/>
            <c:pt idx="0">
              <c:v>MOVIMENTAÇÃO PALETES/DIA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calculos!$AN$310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calculos!$AX$12:$AX$42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calculos!$AO$310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calculos!$AY$12:$AY$42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calculos!$AQ$15</c:f>
          <c:strCache>
            <c:ptCount val="1"/>
            <c:pt idx="0">
              <c:v>MOVIMENTAÇÃO TONS/DIA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calculos!$AV$310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calculos!$AZ$12:$AZ$42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calculos!$AW$310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calculos!$BA$12:$BA$42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calculos!$AQ$16</c:f>
          <c:strCache>
            <c:ptCount val="1"/>
            <c:pt idx="0">
              <c:v>ACUMULADO SEMANAL PALETES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calculos!$AN$310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calculos!$A$80:$A$84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calculos!$AX$80:$AX$84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calculos!$AO$310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calculos!$A$80:$A$84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calculos!$AY$80:$AY$84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calculos!$AQ$17</c:f>
          <c:strCache>
            <c:ptCount val="1"/>
            <c:pt idx="0">
              <c:v>ACUMULADO SEMANAL TONS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calculos!$AV$310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calculos!$A$80:$A$84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calculos!$AZ$80:$AZ$84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calculos!$AW$310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calculos!$A$80:$A$84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calculos!$BA$80:$BA$84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Relationship Id="rId9" Type="http://schemas.openxmlformats.org/officeDocument/2006/relationships/chart" Target="../charts/chart3.xml"/><Relationship Id="rId10" Type="http://schemas.openxmlformats.org/officeDocument/2006/relationships/chart" Target="../charts/chart4.xml"/><Relationship Id="rId11" Type="http://schemas.openxmlformats.org/officeDocument/2006/relationships/chart" Target="../charts/chart5.xml"/><Relationship Id="rId12" Type="http://schemas.openxmlformats.org/officeDocument/2006/relationships/chart" Target="../charts/chart6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  <xdr:oneCellAnchor>
    <xdr:from>
      <xdr:col>1</xdr:col>
      <xdr:colOff>104775</xdr:colOff>
      <xdr:row>5</xdr:row>
      <xdr:rowOff>104775</xdr:rowOff>
    </xdr:from>
    <xdr:ext cx="514350" cy="381000"/>
    <xdr:pic>
      <xdr:nvPicPr>
        <xdr:cNvPr id="3" name="Imagem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514350" cy="381000"/>
        </a:xfrm>
        <a:prstGeom prst="rect">
          <a:avLst/>
        </a:prstGeom>
      </xdr:spPr>
    </xdr:pic>
    <xdr:clientData/>
  </xdr:oneCellAnchor>
  <xdr:oneCellAnchor>
    <xdr:from>
      <xdr:col>6</xdr:col>
      <xdr:colOff>142875</xdr:colOff>
      <xdr:row>5</xdr:row>
      <xdr:rowOff>104775</xdr:rowOff>
    </xdr:from>
    <xdr:ext cx="438150" cy="381000"/>
    <xdr:pic>
      <xdr:nvPicPr>
        <xdr:cNvPr id="4" name="Imagem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11</xdr:col>
      <xdr:colOff>142875</xdr:colOff>
      <xdr:row>5</xdr:row>
      <xdr:rowOff>104775</xdr:rowOff>
    </xdr:from>
    <xdr:ext cx="438150" cy="381000"/>
    <xdr:pic>
      <xdr:nvPicPr>
        <xdr:cNvPr id="5" name="Imagem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16</xdr:col>
      <xdr:colOff>104775</xdr:colOff>
      <xdr:row>5</xdr:row>
      <xdr:rowOff>104775</xdr:rowOff>
    </xdr:from>
    <xdr:ext cx="504825" cy="381000"/>
    <xdr:pic>
      <xdr:nvPicPr>
        <xdr:cNvPr id="6" name="Imagem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0" y="0"/>
          <a:ext cx="504825" cy="381000"/>
        </a:xfrm>
        <a:prstGeom prst="rect">
          <a:avLst/>
        </a:prstGeom>
      </xdr:spPr>
    </xdr:pic>
    <xdr:clientData/>
  </xdr:oneCellAnchor>
  <xdr:oneCellAnchor>
    <xdr:from>
      <xdr:col>21</xdr:col>
      <xdr:colOff>171450</xdr:colOff>
      <xdr:row>5</xdr:row>
      <xdr:rowOff>104775</xdr:rowOff>
    </xdr:from>
    <xdr:ext cx="381000" cy="381000"/>
    <xdr:pic>
      <xdr:nvPicPr>
        <xdr:cNvPr id="7" name="Imagem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0" y="0"/>
          <a:ext cx="381000" cy="381000"/>
        </a:xfrm>
        <a:prstGeom prst="rect">
          <a:avLst/>
        </a:prstGeom>
      </xdr:spPr>
    </xdr:pic>
    <xdr:clientData/>
  </xdr:oneCellAnchor>
  <xdr:twoCellAnchor editAs="oneCell">
    <xdr:from>
      <xdr:col>1</xdr:col>
      <xdr:colOff>0</xdr:colOff>
      <xdr:row>14</xdr:row>
      <xdr:rowOff>0</xdr:rowOff>
    </xdr:from>
    <xdr:to>
      <xdr:col>13</xdr:col>
      <xdr:colOff>0</xdr:colOff>
      <xdr:row>30</xdr:row>
      <xdr:rowOff>0</xdr:rowOff>
    </xdr:to>
    <xdr:graphicFrame macro="">
      <xdr:nvGraphicFramePr>
        <xdr:cNvPr id="8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7"/>
        </a:graphicData>
      </a:graphic>
    </xdr:graphicFrame>
    <xdr:clientData/>
  </xdr:twoCellAnchor>
  <xdr:twoCellAnchor editAs="oneCell">
    <xdr:from>
      <xdr:col>14</xdr:col>
      <xdr:colOff>0</xdr:colOff>
      <xdr:row>14</xdr:row>
      <xdr:rowOff>0</xdr:rowOff>
    </xdr:from>
    <xdr:to>
      <xdr:col>25</xdr:col>
      <xdr:colOff>0</xdr:colOff>
      <xdr:row>30</xdr:row>
      <xdr:rowOff>0</xdr:rowOff>
    </xdr:to>
    <xdr:graphicFrame macro="">
      <xdr:nvGraphicFramePr>
        <xdr:cNvPr id="9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8"/>
        </a:graphicData>
      </a:graphic>
    </xdr:graphicFrame>
    <xdr:clientData/>
  </xdr:twoCellAnchor>
  <xdr:twoCellAnchor editAs="oneCell">
    <xdr:from>
      <xdr:col>1</xdr:col>
      <xdr:colOff>0</xdr:colOff>
      <xdr:row>31</xdr:row>
      <xdr:rowOff>0</xdr:rowOff>
    </xdr:from>
    <xdr:to>
      <xdr:col>13</xdr:col>
      <xdr:colOff>0</xdr:colOff>
      <xdr:row>47</xdr:row>
      <xdr:rowOff>0</xdr:rowOff>
    </xdr:to>
    <xdr:graphicFrame macro="">
      <xdr:nvGraphicFramePr>
        <xdr:cNvPr id="10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9"/>
        </a:graphicData>
      </a:graphic>
    </xdr:graphicFrame>
    <xdr:clientData/>
  </xdr:twoCellAnchor>
  <xdr:twoCellAnchor editAs="oneCell">
    <xdr:from>
      <xdr:col>14</xdr:col>
      <xdr:colOff>0</xdr:colOff>
      <xdr:row>31</xdr:row>
      <xdr:rowOff>0</xdr:rowOff>
    </xdr:from>
    <xdr:to>
      <xdr:col>25</xdr:col>
      <xdr:colOff>0</xdr:colOff>
      <xdr:row>47</xdr:row>
      <xdr:rowOff>0</xdr:rowOff>
    </xdr:to>
    <xdr:graphicFrame macro="">
      <xdr:nvGraphicFramePr>
        <xdr:cNvPr id="11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0"/>
        </a:graphicData>
      </a:graphic>
    </xdr:graphicFrame>
    <xdr:clientData/>
  </xdr:twoCellAnchor>
  <xdr:twoCellAnchor editAs="oneCell">
    <xdr:from>
      <xdr:col>1</xdr:col>
      <xdr:colOff>0</xdr:colOff>
      <xdr:row>48</xdr:row>
      <xdr:rowOff>0</xdr:rowOff>
    </xdr:from>
    <xdr:to>
      <xdr:col>13</xdr:col>
      <xdr:colOff>0</xdr:colOff>
      <xdr:row>64</xdr:row>
      <xdr:rowOff>0</xdr:rowOff>
    </xdr:to>
    <xdr:graphicFrame macro="">
      <xdr:nvGraphicFramePr>
        <xdr:cNvPr id="12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1"/>
        </a:graphicData>
      </a:graphic>
    </xdr:graphicFrame>
    <xdr:clientData/>
  </xdr:twoCellAnchor>
  <xdr:twoCellAnchor editAs="oneCell">
    <xdr:from>
      <xdr:col>14</xdr:col>
      <xdr:colOff>0</xdr:colOff>
      <xdr:row>48</xdr:row>
      <xdr:rowOff>0</xdr:rowOff>
    </xdr:from>
    <xdr:to>
      <xdr:col>25</xdr:col>
      <xdr:colOff>0</xdr:colOff>
      <xdr:row>64</xdr:row>
      <xdr:rowOff>0</xdr:rowOff>
    </xdr:to>
    <xdr:graphicFrame macro="">
      <xdr:nvGraphicFramePr>
        <xdr:cNvPr id="13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76200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tbBase" displayName="tbBase" ref="A2:V3" totalsRowShown="0">
  <autoFilter ref="A2:V3"/>
  <tableColumns count="22">
    <tableColumn id="1" name="Data"/>
    <tableColumn id="2" name="Cliente"/>
    <tableColumn id="3" name="IN Veículos Recebidos"/>
    <tableColumn id="4" name="IN Pallets Movimentados"/>
    <tableColumn id="5" name="IN Toneladas Movimentadas"/>
    <tableColumn id="6" name="OUT Veículos Expedidos"/>
    <tableColumn id="7" name="OUT Pallets Movimentados"/>
    <tableColumn id="8" name="OUT Toneladas Movimentadas"/>
    <tableColumn id="9" name="NC Incidentes"/>
    <tableColumn id="10" name="NC No show"/>
    <tableColumn id="11" name="NC Backlog"/>
    <tableColumn id="12" name="Posições Disponíveis"/>
    <tableColumn id="13" name="Posições Ocupadas"/>
    <tableColumn id="14" name="Efetivo Op."/>
    <tableColumn id="15" name="Falta"/>
    <tableColumn id="16" name="Folga"/>
    <tableColumn id="17" name="Férias"/>
    <tableColumn id="18" name="Desligamento"/>
    <tableColumn id="19" name="Desvios Comportamentais"/>
    <tableColumn id="20" name="Acidentes CAF"/>
    <tableColumn id="21" name="Acidentes SAF"/>
    <tableColumn id="22" name="Modalidade"/>
  </tableColumns>
  <tableStyleInfo name="TableStyleLight1" showFirstColumn="0" showLastColumn="0" showRowStripes="1" showColumnStripes="0"/>
</tabl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T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Z65"/>
  <sheetViews>
    <sheetView showGridLines="0" tabSelected="1" zoomScale="90" zoomScaleNormal="90" workbookViewId="0"/>
  </sheetViews>
  <sheetFormatPr defaultRowHeight="15"/>
  <cols>
    <col min="1" max="1" width="1.5" customWidth="1"/>
    <col min="2" max="2" width="10" customWidth="1"/>
    <col min="3" max="3" width="10" customWidth="1"/>
    <col min="4" max="4" width="10" customWidth="1"/>
    <col min="5" max="5" width="10" customWidth="1"/>
    <col min="6" max="6" width="1.8" customWidth="1"/>
    <col min="7" max="7" width="10" customWidth="1"/>
    <col min="8" max="8" width="10" customWidth="1"/>
    <col min="9" max="9" width="10" customWidth="1"/>
    <col min="10" max="10" width="10" customWidth="1"/>
    <col min="11" max="11" width="1.8" customWidth="1"/>
    <col min="12" max="12" width="10" customWidth="1"/>
    <col min="13" max="13" width="10" customWidth="1"/>
    <col min="14" max="14" width="10" customWidth="1"/>
    <col min="15" max="15" width="10" customWidth="1"/>
    <col min="16" max="16" width="1.8" customWidth="1"/>
    <col min="17" max="17" width="10" customWidth="1"/>
    <col min="18" max="18" width="10" customWidth="1"/>
    <col min="19" max="19" width="10" customWidth="1"/>
    <col min="20" max="20" width="10" customWidth="1"/>
    <col min="21" max="21" width="1.8" customWidth="1"/>
    <col min="22" max="22" width="10" customWidth="1"/>
    <col min="23" max="23" width="10" customWidth="1"/>
    <col min="24" max="24" width="10" customWidth="1"/>
    <col min="25" max="25" width="10" customWidth="1"/>
    <col min="26" max="26" width="1.5" customWidth="1"/>
  </cols>
  <sheetData>
    <row r="1" ht="34.5" customHeight="1">
      <c r="A1" s="97"/>
      <c r="B1" s="97"/>
      <c r="C1" s="97"/>
      <c r="D1" s="97"/>
      <c r="E1" s="97"/>
      <c r="F1" s="97"/>
      <c r="G1" s="99" t="inlineStr">
        <is>
          <t xml:space="preserve">DASHBOARD · INDICADORES OPERACIONAIS</t>
        </is>
      </c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</row>
    <row r="3" ht="26" customHeight="1">
      <c r="B3" s="100" t="inlineStr">
        <is>
          <t xml:space="preserve">CLIENTE  ▸</t>
        </is>
      </c>
      <c r="C3" s="100"/>
      <c r="D3" s="101" t="inlineStr">
        <is>
          <t xml:space="preserve">Todos</t>
        </is>
      </c>
      <c r="E3" s="102"/>
      <c r="F3" s="102"/>
      <c r="G3" s="102"/>
      <c r="H3" s="102"/>
      <c r="I3" s="103"/>
      <c r="L3" s="100" t="inlineStr">
        <is>
          <t xml:space="preserve">PERÍODO  ▸</t>
        </is>
      </c>
      <c r="M3" s="100"/>
      <c r="N3" s="100"/>
      <c r="O3" s="100"/>
      <c r="Q3" s="104">
        <v>46296</v>
      </c>
      <c r="R3" s="105"/>
      <c r="S3" s="106"/>
      <c r="T3" s="107" t="inlineStr">
        <is>
          <t xml:space="preserve">até</t>
        </is>
      </c>
      <c r="V3" s="104">
        <v>46326</v>
      </c>
      <c r="W3" s="105"/>
      <c r="X3" s="106"/>
    </row>
    <row r="4" ht="16" customHeight="1">
      <c r="B4" s="108" t="str">
        <f>"Período "&amp;TEXT(calculos!$F$7,"dd/mm")&amp;"/"&amp;YEAR(calculos!$F$7)&amp;" a "&amp;TEXT(calculos!$G$7,"dd/mm")&amp;"/"&amp;YEAR(calculos!$G$7)&amp;"   ·   ▲▼ comparado a "&amp;TEXT(calculos!$F$8,"dd/mm")&amp;"–"&amp;TEXT(calculos!$G$8,"dd/mm")&amp;" (mesmo número de dias)   ·   gráficos diários: "&amp;calculos!$B$7</f>
        <v>Período 01/10/2026 a 31/10/2026   ·   ▲▼ comparado a 31/08–30/09 (mesmo número de dias)   ·   gráficos diários: Outubro/2026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</row>
    <row r="6" ht="46" customHeight="1">
      <c r="B6" s="115"/>
      <c r="C6" s="116" t="str">
        <f>Config!$D$60&amp;""</f>
        <v>RECEBIMENTO (IN)</v>
      </c>
      <c r="D6" s="116"/>
      <c r="E6" s="116"/>
      <c r="G6" s="121"/>
      <c r="H6" s="122" t="str">
        <f>Config!$D$62&amp;""</f>
        <v>EXPEDIÇÃO (OUT)</v>
      </c>
      <c r="I6" s="122"/>
      <c r="J6" s="122"/>
      <c r="L6" s="123"/>
      <c r="M6" s="124" t="str">
        <f>Config!$D$64&amp;""</f>
        <v>NC OPERACIONAL</v>
      </c>
      <c r="N6" s="124"/>
      <c r="O6" s="124"/>
      <c r="Q6" s="115"/>
      <c r="R6" s="116" t="str">
        <f>Config!$D$68&amp;""</f>
        <v>ÍNDICE DE OCUPAÇÃO (P.P)</v>
      </c>
      <c r="S6" s="116"/>
      <c r="T6" s="116"/>
      <c r="V6" s="133"/>
      <c r="W6" s="134" t="str">
        <f>Config!$D$74&amp;""</f>
        <v>GENTE</v>
      </c>
      <c r="X6" s="134"/>
      <c r="Y6" s="134"/>
    </row>
    <row r="7" ht="20" customHeight="1">
      <c r="B7" s="117">
        <f>IF(calculos!$AX$310="Não se aplica","—",calculos!$B$281)</f>
        <v>0</v>
      </c>
      <c r="C7" s="117"/>
      <c r="D7" s="117"/>
      <c r="E7" s="117"/>
      <c r="G7" s="117">
        <f>IF(calculos!$AY$310="Não se aplica","—",calculos!$B$284)</f>
        <v>0</v>
      </c>
      <c r="H7" s="117"/>
      <c r="I7" s="117"/>
      <c r="J7" s="117"/>
      <c r="L7" s="117">
        <f>calculos!$B$287</f>
        <v>0</v>
      </c>
      <c r="M7" s="117"/>
      <c r="N7" s="117"/>
      <c r="O7" s="117"/>
      <c r="Q7" s="125" t="str">
        <f>IF(OR(calculos!$AZ$310="Completo",calculos!$AZ$310=""),calculos!$BA$310&amp;"","")</f>
        <v>ARMAZÉM</v>
      </c>
      <c r="R7" s="125"/>
      <c r="S7" s="129" t="str">
        <f>IF(OR(calculos!$AZ$310="Completo",calculos!$AZ$310=""),calculos!$B$291,"")</f>
        <v/>
      </c>
      <c r="T7" s="129"/>
      <c r="V7" s="125" t="str">
        <f>Config!$D$75&amp;""</f>
        <v>EFETIVO</v>
      </c>
      <c r="W7" s="125"/>
      <c r="X7" s="126" t="str">
        <f>calculos!$B$294</f>
        <v/>
      </c>
      <c r="Y7" s="126"/>
    </row>
    <row r="8" ht="20" customHeight="1">
      <c r="B8" s="117"/>
      <c r="C8" s="117"/>
      <c r="D8" s="117"/>
      <c r="E8" s="117"/>
      <c r="G8" s="117"/>
      <c r="H8" s="117"/>
      <c r="I8" s="117"/>
      <c r="J8" s="117"/>
      <c r="L8" s="117"/>
      <c r="M8" s="117"/>
      <c r="N8" s="117"/>
      <c r="O8" s="117"/>
      <c r="Q8" s="125" t="str">
        <f>IF(calculos!$AZ$310="Não se aplica","",Config!$D$71&amp;"")</f>
        <v>OCUPADA</v>
      </c>
      <c r="R8" s="125"/>
      <c r="S8" s="129" t="str">
        <f>IF(calculos!$AZ$310="Não se aplica","",calculos!$B$290)</f>
        <v/>
      </c>
      <c r="T8" s="129"/>
      <c r="V8" s="125" t="str">
        <f>Config!$D$76&amp;""</f>
        <v>ABSENTEÍSMO (H/H)</v>
      </c>
      <c r="W8" s="125"/>
      <c r="X8" s="130" t="str">
        <f>calculos!$B$297</f>
        <v/>
      </c>
      <c r="Y8" s="130"/>
    </row>
    <row r="9" ht="20" customHeight="1">
      <c r="B9" s="117"/>
      <c r="C9" s="117"/>
      <c r="D9" s="117"/>
      <c r="E9" s="117"/>
      <c r="G9" s="117"/>
      <c r="H9" s="117"/>
      <c r="I9" s="117"/>
      <c r="J9" s="117"/>
      <c r="L9" s="117"/>
      <c r="M9" s="117"/>
      <c r="N9" s="117"/>
      <c r="O9" s="117"/>
      <c r="Q9" s="125" t="str">
        <f>IF(OR(calculos!$AZ$310="Completo",calculos!$AZ$310=""),Config!$D$72&amp;"","")</f>
        <v>TX OCUPAÇÃO</v>
      </c>
      <c r="R9" s="125"/>
      <c r="S9" s="130" t="str">
        <f>IF(OR(calculos!$AZ$310="Completo",calculos!$AZ$310=""),calculos!$B$292,"")</f>
        <v/>
      </c>
      <c r="T9" s="130"/>
      <c r="V9" s="125" t="str">
        <f>Config!$D$77&amp;""</f>
        <v>FÉRIAS</v>
      </c>
      <c r="W9" s="125"/>
      <c r="X9" s="126">
        <f>calculos!$B$299</f>
        <v>0</v>
      </c>
      <c r="Y9" s="126"/>
    </row>
    <row r="10" ht="20" customHeight="1">
      <c r="B10" s="118" t="str">
        <f>IF(calculos!$AX$310="Não se aplica","não se aplica a este cliente",Config!$D$61&amp;"")</f>
        <v>veículos recebidos</v>
      </c>
      <c r="C10" s="118"/>
      <c r="D10" s="118"/>
      <c r="E10" s="118"/>
      <c r="G10" s="118" t="str">
        <f>IF(calculos!$AY$310="Não se aplica","não se aplica a este cliente",Config!$D$63&amp;"")</f>
        <v>veículos expedidos</v>
      </c>
      <c r="H10" s="118"/>
      <c r="I10" s="118"/>
      <c r="J10" s="118"/>
      <c r="L10" s="118" t="str">
        <f>Config!$D$65&amp;""</f>
        <v>incidentes no período</v>
      </c>
      <c r="M10" s="118"/>
      <c r="N10" s="118"/>
      <c r="O10" s="118"/>
      <c r="Q10" s="125" t="str">
        <f>IF(OR(calculos!$AZ$310="Completo",calculos!$AZ$310=""),Config!$D$73&amp;"","")</f>
        <v>OCIOSIDADE</v>
      </c>
      <c r="R10" s="125"/>
      <c r="S10" s="131" t="str">
        <f>IF(OR(calculos!$AZ$310="Completo",calculos!$AZ$310=""),calculos!$B$293,"")</f>
        <v/>
      </c>
      <c r="T10" s="131"/>
      <c r="V10" s="125" t="str">
        <f>Config!$D$78&amp;""</f>
        <v>TURNOVER</v>
      </c>
      <c r="W10" s="125"/>
      <c r="X10" s="130" t="str">
        <f>calculos!$B$301</f>
        <v/>
      </c>
      <c r="Y10" s="130"/>
    </row>
    <row r="11" ht="20" customHeight="1">
      <c r="B11" s="119" t="str">
        <f>IF(calculos!$AX$310="Não se aplica","",calculos!$B$308)</f>
        <v>0 pallets movimentados</v>
      </c>
      <c r="C11" s="119"/>
      <c r="D11" s="119"/>
      <c r="E11" s="119"/>
      <c r="G11" s="119" t="str">
        <f>IF(calculos!$AY$310="Não se aplica","",calculos!$F$308)</f>
        <v>0 pallets movimentados</v>
      </c>
      <c r="H11" s="119"/>
      <c r="I11" s="119"/>
      <c r="J11" s="119"/>
      <c r="L11" s="125" t="str">
        <f>Config!$D$66&amp;""</f>
        <v>NO SHOW</v>
      </c>
      <c r="M11" s="125"/>
      <c r="N11" s="126">
        <f>calculos!$B$288</f>
        <v>0</v>
      </c>
      <c r="O11" s="126"/>
      <c r="Q11" s="132" t="str">
        <f>IF(calculos!$AZ$310="Não se aplica","não se aplica a este cliente",IF(calculos!$AZ$310="Só ocupadas","só posições ocupadas · sem contrato (Spot / Cross)",IF(ISNUMBER(calculos!$B$292),"taxa de ocupação · "&amp;IF(calculos!$B$292&gt;1,"excede o contratado",IF(calculos!$B$292&gt;=calculos!$B$6,"ocupação alta",IF(calculos!$B$292&gt;=calculos!$B$5,"ocupação média","ociosidade alta"))),"")))</f>
        <v/>
      </c>
      <c r="R11" s="132"/>
      <c r="S11" s="132"/>
      <c r="T11" s="132"/>
      <c r="V11" s="125" t="str">
        <f>Config!$D$79&amp;""</f>
        <v>DESVIOS COMPORTAM.</v>
      </c>
      <c r="W11" s="125"/>
      <c r="X11" s="126">
        <f>calculos!$B$302</f>
        <v>0</v>
      </c>
      <c r="Y11" s="126"/>
    </row>
    <row r="12" ht="20" customHeight="1">
      <c r="B12" s="119" t="str">
        <f>IF(calculos!$AX$310="Não se aplica","",calculos!$D$308)</f>
        <v>0,0 t movimentadas</v>
      </c>
      <c r="C12" s="119"/>
      <c r="D12" s="119"/>
      <c r="E12" s="119"/>
      <c r="G12" s="119" t="str">
        <f>IF(calculos!$AY$310="Não se aplica","",calculos!$H$308)</f>
        <v>0,0 t movimentadas</v>
      </c>
      <c r="H12" s="119"/>
      <c r="I12" s="119"/>
      <c r="J12" s="119"/>
      <c r="L12" s="127" t="str">
        <f>Config!$D$67&amp;""</f>
        <v>BACKLOG</v>
      </c>
      <c r="M12" s="127"/>
      <c r="N12" s="128" t="str">
        <f>calculos!$B$289</f>
        <v/>
      </c>
      <c r="O12" s="128"/>
      <c r="Q12" s="132"/>
      <c r="R12" s="132"/>
      <c r="S12" s="132"/>
      <c r="T12" s="132"/>
      <c r="V12" s="127" t="str">
        <f>Config!$D$80&amp;""</f>
        <v>ACIDENTES (CAF/SAF)</v>
      </c>
      <c r="W12" s="127"/>
      <c r="X12" s="135" t="str">
        <f>N(calculos!$B$303)&amp;" / "&amp;N(calculos!$B$304)</f>
        <v>0 / 0</v>
      </c>
      <c r="Y12" s="135"/>
    </row>
    <row r="13" ht="18" customHeight="1">
      <c r="B13" s="120" t="str">
        <f>IF(calculos!$AX$310="Não se aplica","",calculos!$D$281)</f>
        <v/>
      </c>
      <c r="C13" s="120"/>
      <c r="D13" s="120"/>
      <c r="E13" s="120"/>
      <c r="G13" s="120" t="str">
        <f>IF(calculos!$AY$310="Não se aplica","",calculos!$D$284)</f>
        <v/>
      </c>
      <c r="H13" s="120"/>
      <c r="I13" s="120"/>
      <c r="J13" s="120"/>
      <c r="L13" s="120" t="str">
        <f>calculos!$D$287</f>
        <v/>
      </c>
      <c r="M13" s="120"/>
      <c r="N13" s="120"/>
      <c r="O13" s="120"/>
      <c r="Q13" s="120" t="str">
        <f>IF(AND(calculos!$AZ$310&lt;&gt;"Completo",calculos!$AZ$310&lt;&gt;""),"",calculos!$D$292)</f>
        <v/>
      </c>
      <c r="R13" s="120"/>
      <c r="S13" s="120"/>
      <c r="T13" s="120"/>
      <c r="V13" s="120" t="str">
        <f>calculos!$D$294</f>
        <v/>
      </c>
      <c r="W13" s="120"/>
      <c r="X13" s="120"/>
      <c r="Y13" s="120"/>
    </row>
    <row r="65">
      <c r="B65" s="136" t="inlineStr">
        <is>
          <t xml:space="preserve">Cards: período digitado (dia inicial e final). Gráficos: mês do dia inicial. Absenteísmo (H/H) = faltas ÷ homem-dia (soma do efetivo diário) · Turnover = desligamentos ÷ efetivo · CAF/SAF = acidentes com / sem afastamento. Metas: aba BD.</t>
        </is>
      </c>
      <c r="C65" s="136"/>
      <c r="D65" s="136"/>
      <c r="E65" s="136"/>
      <c r="F65" s="136"/>
      <c r="G65" s="136"/>
      <c r="H65" s="136"/>
      <c r="I65" s="136"/>
      <c r="J65" s="136"/>
      <c r="K65" s="136"/>
      <c r="L65" s="136"/>
      <c r="M65" s="136"/>
      <c r="N65" s="136"/>
      <c r="O65" s="136"/>
      <c r="P65" s="136"/>
      <c r="Q65" s="136"/>
      <c r="R65" s="136"/>
      <c r="S65" s="136"/>
      <c r="T65" s="136"/>
      <c r="U65" s="136"/>
      <c r="V65" s="136"/>
      <c r="W65" s="136"/>
      <c r="X65" s="136"/>
      <c r="Y65" s="136"/>
    </row>
  </sheetData>
  <sheetProtection password="CC30" sheet="1" objects="1" scenarios="1"/>
  <mergeCells count="53">
    <mergeCell ref="G1:Z1"/>
    <mergeCell ref="B3:C3"/>
    <mergeCell ref="D3:I3"/>
    <mergeCell ref="L3:O3"/>
    <mergeCell ref="Q3:S3"/>
    <mergeCell ref="V3:X3"/>
    <mergeCell ref="B4:Y4"/>
    <mergeCell ref="C6:E6"/>
    <mergeCell ref="B7:E9"/>
    <mergeCell ref="B10:E10"/>
    <mergeCell ref="B11:E11"/>
    <mergeCell ref="B12:E12"/>
    <mergeCell ref="B13:E13"/>
    <mergeCell ref="H6:J6"/>
    <mergeCell ref="G7:J9"/>
    <mergeCell ref="G10:J10"/>
    <mergeCell ref="G11:J11"/>
    <mergeCell ref="G12:J12"/>
    <mergeCell ref="G13:J13"/>
    <mergeCell ref="M6:O6"/>
    <mergeCell ref="L7:O9"/>
    <mergeCell ref="L10:O10"/>
    <mergeCell ref="L11:M11"/>
    <mergeCell ref="N11:O11"/>
    <mergeCell ref="L12:M12"/>
    <mergeCell ref="N12:O12"/>
    <mergeCell ref="L13:O13"/>
    <mergeCell ref="R6:T6"/>
    <mergeCell ref="Q7:R7"/>
    <mergeCell ref="S7:T7"/>
    <mergeCell ref="Q8:R8"/>
    <mergeCell ref="S8:T8"/>
    <mergeCell ref="Q9:R9"/>
    <mergeCell ref="S9:T9"/>
    <mergeCell ref="Q10:R10"/>
    <mergeCell ref="S10:T10"/>
    <mergeCell ref="Q11:T12"/>
    <mergeCell ref="Q13:T13"/>
    <mergeCell ref="W6:Y6"/>
    <mergeCell ref="V7:W7"/>
    <mergeCell ref="X7:Y7"/>
    <mergeCell ref="V8:W8"/>
    <mergeCell ref="X8:Y8"/>
    <mergeCell ref="V9:W9"/>
    <mergeCell ref="X9:Y9"/>
    <mergeCell ref="V10:W10"/>
    <mergeCell ref="X10:Y10"/>
    <mergeCell ref="V11:W11"/>
    <mergeCell ref="X11:Y11"/>
    <mergeCell ref="V12:W12"/>
    <mergeCell ref="X12:Y12"/>
    <mergeCell ref="V13:Y13"/>
    <mergeCell ref="B65:Y65"/>
  </mergeCells>
  <conditionalFormatting sqref="B13">
    <cfRule type="expression" dxfId="7" priority="1">
      <formula>AND(ISNUMBER(B13),B13&gt;0)</formula>
    </cfRule>
  </conditionalFormatting>
  <conditionalFormatting sqref="B13">
    <cfRule type="expression" dxfId="8" priority="2">
      <formula>AND(ISNUMBER(B13),B13&lt;0)</formula>
    </cfRule>
  </conditionalFormatting>
  <conditionalFormatting sqref="G13">
    <cfRule type="expression" dxfId="7" priority="3">
      <formula>AND(ISNUMBER(G13),G13&gt;0)</formula>
    </cfRule>
  </conditionalFormatting>
  <conditionalFormatting sqref="G13">
    <cfRule type="expression" dxfId="8" priority="4">
      <formula>AND(ISNUMBER(G13),G13&lt;0)</formula>
    </cfRule>
  </conditionalFormatting>
  <conditionalFormatting sqref="L13">
    <cfRule type="expression" dxfId="7" priority="5">
      <formula>AND(ISNUMBER(L13),L13&lt;0)</formula>
    </cfRule>
  </conditionalFormatting>
  <conditionalFormatting sqref="L13">
    <cfRule type="expression" dxfId="8" priority="6">
      <formula>AND(ISNUMBER(L13),L13&gt;0)</formula>
    </cfRule>
  </conditionalFormatting>
  <conditionalFormatting sqref="S9">
    <cfRule type="expression" dxfId="7" priority="7" stopIfTrue="1">
      <formula>AND(ISNUMBER(S9),S9&gt;=calculos!$B$6)</formula>
    </cfRule>
  </conditionalFormatting>
  <conditionalFormatting sqref="S9">
    <cfRule type="expression" dxfId="9" priority="8" stopIfTrue="1">
      <formula>AND(ISNUMBER(S9),S9&gt;=calculos!$B$5)</formula>
    </cfRule>
  </conditionalFormatting>
  <conditionalFormatting sqref="S9">
    <cfRule type="expression" dxfId="8" priority="9">
      <formula>ISNUMBER(S9)</formula>
    </cfRule>
  </conditionalFormatting>
  <conditionalFormatting sqref="X11">
    <cfRule type="expression" dxfId="8" priority="10" stopIfTrue="1">
      <formula>N(calculos!$B$302)&gt;0</formula>
    </cfRule>
  </conditionalFormatting>
  <conditionalFormatting sqref="X11">
    <cfRule type="expression" dxfId="7" priority="11">
      <formula>N(calculos!$B$302)=0</formula>
    </cfRule>
  </conditionalFormatting>
  <conditionalFormatting sqref="X12">
    <cfRule type="expression" dxfId="8" priority="12" stopIfTrue="1">
      <formula>N(calculos!$B$303)+N(calculos!$B$304)&gt;0</formula>
    </cfRule>
  </conditionalFormatting>
  <conditionalFormatting sqref="X12">
    <cfRule type="expression" dxfId="7" priority="13">
      <formula>N(calculos!$B$303)+N(calculos!$B$304)=0</formula>
    </cfRule>
  </conditionalFormatting>
  <dataValidations count="3">
    <dataValidation type="list" allowBlank="1" showInputMessage="1" showErrorMessage="1" promptTitle="Cliente" prompt="Escolha na lista. Cards e gráficos se atualizam." errorTitle="Valor inválido" error="Escolha um valor da lista." sqref="D3">
      <formula1>OFFSET(calculos!$AN$12,0,0,1+calculos!$AN$10,1)</formula1>
    </dataValidation>
    <dataValidation type="date" operator="greaterThanOrEqual" allowBlank="1" showInputMessage="1" showErrorMessage="1" promptTitle="Dia inicial" prompt="Digite a data inicial (dd/mm/aaaa)." errorTitle="Valor inválido" error="Digite uma data válida (dd/mm/aaaa)." sqref="Q3">
      <formula1>43831</formula1>
    </dataValidation>
    <dataValidation type="date" operator="greaterThanOrEqual" allowBlank="1" showInputMessage="1" showErrorMessage="1" promptTitle="Dia final" prompt="Digite a data final (dd/mm/aaaa)." errorTitle="Valor inválido" error="Digite uma data válida (dd/mm/aaaa)." sqref="V3">
      <formula1>43831</formula1>
    </dataValidation>
  </dataValidations>
  <pageMargins left="0.25" right="0.25" top="0.4" bottom="0.4" header="0.2" footer="0.2"/>
  <pageSetup paperSize="9" orientation="landscape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A1:AK416"/>
  <sheetViews>
    <sheetView showGridLines="0" zoomScale="100" zoomScaleNormal="100" workbookViewId="0">
      <pane xSplit="5" ySplit="4" topLeftCell="F5" activePane="bottomRight" state="frozen"/>
      <selection pane="bottomRight" activeCell="F5" sqref="F5"/>
    </sheetView>
  </sheetViews>
  <sheetFormatPr defaultRowHeight="15"/>
  <cols>
    <col min="1" max="1" width="13" customWidth="1"/>
    <col min="2" max="2" width="17.3" customWidth="1"/>
    <col min="3" max="3" width="24" customWidth="1"/>
    <col min="4" max="4" width="8" customWidth="1"/>
    <col min="5" max="5" width="1.6" customWidth="1"/>
    <col min="6" max="6" width="6.3" customWidth="1"/>
    <col min="7" max="7" width="6.3" customWidth="1"/>
    <col min="8" max="8" width="6.3" customWidth="1"/>
    <col min="9" max="9" width="6.3" customWidth="1"/>
    <col min="10" max="10" width="6.3" customWidth="1"/>
    <col min="11" max="11" width="6.3" customWidth="1"/>
    <col min="12" max="12" width="6.3" customWidth="1"/>
    <col min="13" max="13" width="6.3" customWidth="1"/>
    <col min="14" max="14" width="6.3" customWidth="1"/>
    <col min="15" max="15" width="6.3" customWidth="1"/>
    <col min="16" max="16" width="6.3" customWidth="1"/>
    <col min="17" max="17" width="6.3" customWidth="1"/>
    <col min="18" max="18" width="6.3" customWidth="1"/>
    <col min="19" max="19" width="6.3" customWidth="1"/>
    <col min="20" max="20" width="6.3" customWidth="1"/>
    <col min="21" max="21" width="6.3" customWidth="1"/>
    <col min="22" max="22" width="6.3" customWidth="1"/>
    <col min="23" max="23" width="6.3" customWidth="1"/>
    <col min="24" max="24" width="6.3" customWidth="1"/>
    <col min="25" max="25" width="6.3" customWidth="1"/>
    <col min="26" max="26" width="6.3" customWidth="1"/>
    <col min="27" max="27" width="6.3" customWidth="1"/>
    <col min="28" max="28" width="6.3" customWidth="1"/>
    <col min="29" max="29" width="6.3" customWidth="1"/>
    <col min="30" max="30" width="6.3" customWidth="1"/>
    <col min="31" max="31" width="6.3" customWidth="1"/>
    <col min="32" max="32" width="6.3" customWidth="1"/>
    <col min="33" max="33" width="6.3" customWidth="1"/>
    <col min="34" max="34" width="6.3" customWidth="1"/>
    <col min="35" max="35" width="6.3" customWidth="1"/>
    <col min="36" max="36" width="6.3" customWidth="1"/>
    <col min="37" max="37" width="9.5" customWidth="1"/>
  </cols>
  <sheetData>
    <row r="1" ht="34.5" customHeight="1">
      <c r="A1" s="97"/>
      <c r="B1" s="97"/>
      <c r="C1" s="97"/>
      <c r="D1" s="97"/>
      <c r="E1" s="97"/>
      <c r="F1" s="97"/>
      <c r="G1" s="137" t="inlineStr">
        <is>
          <t xml:space="preserve">MONITORAMENTO DIÁRIO DE PERFORMANCE</t>
        </is>
      </c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8" t="inlineStr">
        <is>
          <t xml:space="preserve">OUTUBRO · 2026</t>
        </is>
      </c>
      <c r="AF1" s="138"/>
      <c r="AG1" s="138"/>
      <c r="AH1" s="138"/>
      <c r="AI1" s="138"/>
      <c r="AJ1" s="138"/>
      <c r="AK1" s="138"/>
    </row>
    <row r="2" ht="19.5" customHeight="1">
      <c r="A2" s="139" t="inlineStr">
        <is>
          <t xml:space="preserve">CLIENTE</t>
        </is>
      </c>
      <c r="B2" s="141" t="inlineStr">
        <is>
          <t xml:space="preserve">INDICADORES</t>
        </is>
      </c>
      <c r="C2" s="142"/>
      <c r="D2" s="145" t="inlineStr">
        <is>
          <t xml:space="preserve">META</t>
        </is>
      </c>
      <c r="F2" s="147" t="inlineStr">
        <is>
          <t xml:space="preserve">REALIZADO P/DIA</t>
        </is>
      </c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9"/>
      <c r="AK2" s="150" t="inlineStr">
        <is>
          <t xml:space="preserve">MÊS</t>
        </is>
      </c>
    </row>
    <row r="3" ht="13.5" customHeight="1">
      <c r="A3" s="140"/>
      <c r="B3" s="143"/>
      <c r="C3" s="144"/>
      <c r="D3" s="146"/>
      <c r="F3" s="152">
        <f>IF(ISNUMBER($AE$1),DATE(YEAR($AE$1),MONTH($AE$1),1),IFERROR(DATE(VALUE(RIGHT(TRIM($AE$1),4)),MATCH(TRIM(LEFT($AE$1,FIND("·",$AE$1)-1)),{"JANEIRO","FEVEREIRO","MARÇO","ABRIL","MAIO","JUNHO","JULHO","AGOSTO","SETEMBRO","OUTUBRO","NOVEMBRO","DEZEMBRO"},0),1),DATE(2026,10,1)))</f>
        <v>46296</v>
      </c>
      <c r="G3" s="153">
        <f>IF(F3="","",IF(MONTH(F3+1)=MONTH($F$3),F3+1,""))</f>
        <v>46297</v>
      </c>
      <c r="H3" s="153">
        <f>IF(G3="","",IF(MONTH(G3+1)=MONTH($F$3),G3+1,""))</f>
        <v>46298</v>
      </c>
      <c r="I3" s="153">
        <f>IF(H3="","",IF(MONTH(H3+1)=MONTH($F$3),H3+1,""))</f>
        <v>46299</v>
      </c>
      <c r="J3" s="153">
        <f>IF(I3="","",IF(MONTH(I3+1)=MONTH($F$3),I3+1,""))</f>
        <v>46300</v>
      </c>
      <c r="K3" s="153">
        <f>IF(J3="","",IF(MONTH(J3+1)=MONTH($F$3),J3+1,""))</f>
        <v>46301</v>
      </c>
      <c r="L3" s="153">
        <f>IF(K3="","",IF(MONTH(K3+1)=MONTH($F$3),K3+1,""))</f>
        <v>46302</v>
      </c>
      <c r="M3" s="153">
        <f>IF(L3="","",IF(MONTH(L3+1)=MONTH($F$3),L3+1,""))</f>
        <v>46303</v>
      </c>
      <c r="N3" s="153">
        <f>IF(M3="","",IF(MONTH(M3+1)=MONTH($F$3),M3+1,""))</f>
        <v>46304</v>
      </c>
      <c r="O3" s="153">
        <f>IF(N3="","",IF(MONTH(N3+1)=MONTH($F$3),N3+1,""))</f>
        <v>46305</v>
      </c>
      <c r="P3" s="153">
        <f>IF(O3="","",IF(MONTH(O3+1)=MONTH($F$3),O3+1,""))</f>
        <v>46306</v>
      </c>
      <c r="Q3" s="153">
        <f>IF(P3="","",IF(MONTH(P3+1)=MONTH($F$3),P3+1,""))</f>
        <v>46307</v>
      </c>
      <c r="R3" s="153">
        <f>IF(Q3="","",IF(MONTH(Q3+1)=MONTH($F$3),Q3+1,""))</f>
        <v>46308</v>
      </c>
      <c r="S3" s="153">
        <f>IF(R3="","",IF(MONTH(R3+1)=MONTH($F$3),R3+1,""))</f>
        <v>46309</v>
      </c>
      <c r="T3" s="153">
        <f>IF(S3="","",IF(MONTH(S3+1)=MONTH($F$3),S3+1,""))</f>
        <v>46310</v>
      </c>
      <c r="U3" s="153">
        <f>IF(T3="","",IF(MONTH(T3+1)=MONTH($F$3),T3+1,""))</f>
        <v>46311</v>
      </c>
      <c r="V3" s="153">
        <f>IF(U3="","",IF(MONTH(U3+1)=MONTH($F$3),U3+1,""))</f>
        <v>46312</v>
      </c>
      <c r="W3" s="153">
        <f>IF(V3="","",IF(MONTH(V3+1)=MONTH($F$3),V3+1,""))</f>
        <v>46313</v>
      </c>
      <c r="X3" s="153">
        <f>IF(W3="","",IF(MONTH(W3+1)=MONTH($F$3),W3+1,""))</f>
        <v>46314</v>
      </c>
      <c r="Y3" s="153">
        <f>IF(X3="","",IF(MONTH(X3+1)=MONTH($F$3),X3+1,""))</f>
        <v>46315</v>
      </c>
      <c r="Z3" s="153">
        <f>IF(Y3="","",IF(MONTH(Y3+1)=MONTH($F$3),Y3+1,""))</f>
        <v>46316</v>
      </c>
      <c r="AA3" s="153">
        <f>IF(Z3="","",IF(MONTH(Z3+1)=MONTH($F$3),Z3+1,""))</f>
        <v>46317</v>
      </c>
      <c r="AB3" s="153">
        <f>IF(AA3="","",IF(MONTH(AA3+1)=MONTH($F$3),AA3+1,""))</f>
        <v>46318</v>
      </c>
      <c r="AC3" s="153">
        <f>IF(AB3="","",IF(MONTH(AB3+1)=MONTH($F$3),AB3+1,""))</f>
        <v>46319</v>
      </c>
      <c r="AD3" s="153">
        <f>IF(AC3="","",IF(MONTH(AC3+1)=MONTH($F$3),AC3+1,""))</f>
        <v>46320</v>
      </c>
      <c r="AE3" s="153">
        <f>IF(AD3="","",IF(MONTH(AD3+1)=MONTH($F$3),AD3+1,""))</f>
        <v>46321</v>
      </c>
      <c r="AF3" s="153">
        <f>IF(AE3="","",IF(MONTH(AE3+1)=MONTH($F$3),AE3+1,""))</f>
        <v>46322</v>
      </c>
      <c r="AG3" s="153">
        <f>IF(AF3="","",IF(MONTH(AF3+1)=MONTH($F$3),AF3+1,""))</f>
        <v>46323</v>
      </c>
      <c r="AH3" s="153">
        <f>IF(AG3="","",IF(MONTH(AG3+1)=MONTH($F$3),AG3+1,""))</f>
        <v>46324</v>
      </c>
      <c r="AI3" s="153">
        <f>IF(AH3="","",IF(MONTH(AH3+1)=MONTH($F$3),AH3+1,""))</f>
        <v>46325</v>
      </c>
      <c r="AJ3" s="154">
        <f>IF(AI3="","",IF(MONTH(AI3+1)=MONTH($F$3),AI3+1,""))</f>
        <v>46326</v>
      </c>
      <c r="AK3" s="151"/>
    </row>
    <row r="5" ht="15.75" customHeight="1">
      <c r="A5" s="253" t="inlineStr">
        <is>
          <t xml:space="preserve">Barry Callebaut</t>
        </is>
      </c>
      <c r="B5" s="241" t="inlineStr">
        <is>
          <t xml:space="preserve">IN</t>
        </is>
      </c>
      <c r="C5" s="155" t="inlineStr">
        <is>
          <t xml:space="preserve">Veículos Recebidos</t>
        </is>
      </c>
      <c r="D5" s="156" t="str">
        <f>IFERROR(1/(1/INDEX(BD!$Y$23:$AS$23,MATCH($A$5,BD!$Y$22:$AS$22,0))),"")</f>
        <v/>
      </c>
      <c r="E5" s="157"/>
      <c r="F5" s="158" t="str">
        <f>IF(F$3="","",IF(COUNTIFS(BD!$A$3:$A$5001,F$3,BD!$B$3:$B$5001,$A$5,BD!$C$3:$C$5001,"&lt;&gt;")=0,"",SUMIFS(BD!$C$3:$C$5001,BD!$A$3:$A$5001,F$3,BD!$B$3:$B$5001,$A$5)))</f>
        <v/>
      </c>
      <c r="G5" s="159" t="str">
        <f>IF(G$3="","",IF(COUNTIFS(BD!$A$3:$A$5001,G$3,BD!$B$3:$B$5001,$A$5,BD!$C$3:$C$5001,"&lt;&gt;")=0,"",SUMIFS(BD!$C$3:$C$5001,BD!$A$3:$A$5001,G$3,BD!$B$3:$B$5001,$A$5)))</f>
        <v/>
      </c>
      <c r="H5" s="159" t="str">
        <f>IF(H$3="","",IF(COUNTIFS(BD!$A$3:$A$5001,H$3,BD!$B$3:$B$5001,$A$5,BD!$C$3:$C$5001,"&lt;&gt;")=0,"",SUMIFS(BD!$C$3:$C$5001,BD!$A$3:$A$5001,H$3,BD!$B$3:$B$5001,$A$5)))</f>
        <v/>
      </c>
      <c r="I5" s="159" t="str">
        <f>IF(I$3="","",IF(COUNTIFS(BD!$A$3:$A$5001,I$3,BD!$B$3:$B$5001,$A$5,BD!$C$3:$C$5001,"&lt;&gt;")=0,"",SUMIFS(BD!$C$3:$C$5001,BD!$A$3:$A$5001,I$3,BD!$B$3:$B$5001,$A$5)))</f>
        <v/>
      </c>
      <c r="J5" s="159" t="str">
        <f>IF(J$3="","",IF(COUNTIFS(BD!$A$3:$A$5001,J$3,BD!$B$3:$B$5001,$A$5,BD!$C$3:$C$5001,"&lt;&gt;")=0,"",SUMIFS(BD!$C$3:$C$5001,BD!$A$3:$A$5001,J$3,BD!$B$3:$B$5001,$A$5)))</f>
        <v/>
      </c>
      <c r="K5" s="159" t="str">
        <f>IF(K$3="","",IF(COUNTIFS(BD!$A$3:$A$5001,K$3,BD!$B$3:$B$5001,$A$5,BD!$C$3:$C$5001,"&lt;&gt;")=0,"",SUMIFS(BD!$C$3:$C$5001,BD!$A$3:$A$5001,K$3,BD!$B$3:$B$5001,$A$5)))</f>
        <v/>
      </c>
      <c r="L5" s="159" t="str">
        <f>IF(L$3="","",IF(COUNTIFS(BD!$A$3:$A$5001,L$3,BD!$B$3:$B$5001,$A$5,BD!$C$3:$C$5001,"&lt;&gt;")=0,"",SUMIFS(BD!$C$3:$C$5001,BD!$A$3:$A$5001,L$3,BD!$B$3:$B$5001,$A$5)))</f>
        <v/>
      </c>
      <c r="M5" s="159" t="str">
        <f>IF(M$3="","",IF(COUNTIFS(BD!$A$3:$A$5001,M$3,BD!$B$3:$B$5001,$A$5,BD!$C$3:$C$5001,"&lt;&gt;")=0,"",SUMIFS(BD!$C$3:$C$5001,BD!$A$3:$A$5001,M$3,BD!$B$3:$B$5001,$A$5)))</f>
        <v/>
      </c>
      <c r="N5" s="159" t="str">
        <f>IF(N$3="","",IF(COUNTIFS(BD!$A$3:$A$5001,N$3,BD!$B$3:$B$5001,$A$5,BD!$C$3:$C$5001,"&lt;&gt;")=0,"",SUMIFS(BD!$C$3:$C$5001,BD!$A$3:$A$5001,N$3,BD!$B$3:$B$5001,$A$5)))</f>
        <v/>
      </c>
      <c r="O5" s="159" t="str">
        <f>IF(O$3="","",IF(COUNTIFS(BD!$A$3:$A$5001,O$3,BD!$B$3:$B$5001,$A$5,BD!$C$3:$C$5001,"&lt;&gt;")=0,"",SUMIFS(BD!$C$3:$C$5001,BD!$A$3:$A$5001,O$3,BD!$B$3:$B$5001,$A$5)))</f>
        <v/>
      </c>
      <c r="P5" s="159" t="str">
        <f>IF(P$3="","",IF(COUNTIFS(BD!$A$3:$A$5001,P$3,BD!$B$3:$B$5001,$A$5,BD!$C$3:$C$5001,"&lt;&gt;")=0,"",SUMIFS(BD!$C$3:$C$5001,BD!$A$3:$A$5001,P$3,BD!$B$3:$B$5001,$A$5)))</f>
        <v/>
      </c>
      <c r="Q5" s="159" t="str">
        <f>IF(Q$3="","",IF(COUNTIFS(BD!$A$3:$A$5001,Q$3,BD!$B$3:$B$5001,$A$5,BD!$C$3:$C$5001,"&lt;&gt;")=0,"",SUMIFS(BD!$C$3:$C$5001,BD!$A$3:$A$5001,Q$3,BD!$B$3:$B$5001,$A$5)))</f>
        <v/>
      </c>
      <c r="R5" s="159" t="str">
        <f>IF(R$3="","",IF(COUNTIFS(BD!$A$3:$A$5001,R$3,BD!$B$3:$B$5001,$A$5,BD!$C$3:$C$5001,"&lt;&gt;")=0,"",SUMIFS(BD!$C$3:$C$5001,BD!$A$3:$A$5001,R$3,BD!$B$3:$B$5001,$A$5)))</f>
        <v/>
      </c>
      <c r="S5" s="159" t="str">
        <f>IF(S$3="","",IF(COUNTIFS(BD!$A$3:$A$5001,S$3,BD!$B$3:$B$5001,$A$5,BD!$C$3:$C$5001,"&lt;&gt;")=0,"",SUMIFS(BD!$C$3:$C$5001,BD!$A$3:$A$5001,S$3,BD!$B$3:$B$5001,$A$5)))</f>
        <v/>
      </c>
      <c r="T5" s="159" t="str">
        <f>IF(T$3="","",IF(COUNTIFS(BD!$A$3:$A$5001,T$3,BD!$B$3:$B$5001,$A$5,BD!$C$3:$C$5001,"&lt;&gt;")=0,"",SUMIFS(BD!$C$3:$C$5001,BD!$A$3:$A$5001,T$3,BD!$B$3:$B$5001,$A$5)))</f>
        <v/>
      </c>
      <c r="U5" s="159" t="str">
        <f>IF(U$3="","",IF(COUNTIFS(BD!$A$3:$A$5001,U$3,BD!$B$3:$B$5001,$A$5,BD!$C$3:$C$5001,"&lt;&gt;")=0,"",SUMIFS(BD!$C$3:$C$5001,BD!$A$3:$A$5001,U$3,BD!$B$3:$B$5001,$A$5)))</f>
        <v/>
      </c>
      <c r="V5" s="159" t="str">
        <f>IF(V$3="","",IF(COUNTIFS(BD!$A$3:$A$5001,V$3,BD!$B$3:$B$5001,$A$5,BD!$C$3:$C$5001,"&lt;&gt;")=0,"",SUMIFS(BD!$C$3:$C$5001,BD!$A$3:$A$5001,V$3,BD!$B$3:$B$5001,$A$5)))</f>
        <v/>
      </c>
      <c r="W5" s="159" t="str">
        <f>IF(W$3="","",IF(COUNTIFS(BD!$A$3:$A$5001,W$3,BD!$B$3:$B$5001,$A$5,BD!$C$3:$C$5001,"&lt;&gt;")=0,"",SUMIFS(BD!$C$3:$C$5001,BD!$A$3:$A$5001,W$3,BD!$B$3:$B$5001,$A$5)))</f>
        <v/>
      </c>
      <c r="X5" s="159" t="str">
        <f>IF(X$3="","",IF(COUNTIFS(BD!$A$3:$A$5001,X$3,BD!$B$3:$B$5001,$A$5,BD!$C$3:$C$5001,"&lt;&gt;")=0,"",SUMIFS(BD!$C$3:$C$5001,BD!$A$3:$A$5001,X$3,BD!$B$3:$B$5001,$A$5)))</f>
        <v/>
      </c>
      <c r="Y5" s="159" t="str">
        <f>IF(Y$3="","",IF(COUNTIFS(BD!$A$3:$A$5001,Y$3,BD!$B$3:$B$5001,$A$5,BD!$C$3:$C$5001,"&lt;&gt;")=0,"",SUMIFS(BD!$C$3:$C$5001,BD!$A$3:$A$5001,Y$3,BD!$B$3:$B$5001,$A$5)))</f>
        <v/>
      </c>
      <c r="Z5" s="159" t="str">
        <f>IF(Z$3="","",IF(COUNTIFS(BD!$A$3:$A$5001,Z$3,BD!$B$3:$B$5001,$A$5,BD!$C$3:$C$5001,"&lt;&gt;")=0,"",SUMIFS(BD!$C$3:$C$5001,BD!$A$3:$A$5001,Z$3,BD!$B$3:$B$5001,$A$5)))</f>
        <v/>
      </c>
      <c r="AA5" s="159" t="str">
        <f>IF(AA$3="","",IF(COUNTIFS(BD!$A$3:$A$5001,AA$3,BD!$B$3:$B$5001,$A$5,BD!$C$3:$C$5001,"&lt;&gt;")=0,"",SUMIFS(BD!$C$3:$C$5001,BD!$A$3:$A$5001,AA$3,BD!$B$3:$B$5001,$A$5)))</f>
        <v/>
      </c>
      <c r="AB5" s="159" t="str">
        <f>IF(AB$3="","",IF(COUNTIFS(BD!$A$3:$A$5001,AB$3,BD!$B$3:$B$5001,$A$5,BD!$C$3:$C$5001,"&lt;&gt;")=0,"",SUMIFS(BD!$C$3:$C$5001,BD!$A$3:$A$5001,AB$3,BD!$B$3:$B$5001,$A$5)))</f>
        <v/>
      </c>
      <c r="AC5" s="159" t="str">
        <f>IF(AC$3="","",IF(COUNTIFS(BD!$A$3:$A$5001,AC$3,BD!$B$3:$B$5001,$A$5,BD!$C$3:$C$5001,"&lt;&gt;")=0,"",SUMIFS(BD!$C$3:$C$5001,BD!$A$3:$A$5001,AC$3,BD!$B$3:$B$5001,$A$5)))</f>
        <v/>
      </c>
      <c r="AD5" s="159" t="str">
        <f>IF(AD$3="","",IF(COUNTIFS(BD!$A$3:$A$5001,AD$3,BD!$B$3:$B$5001,$A$5,BD!$C$3:$C$5001,"&lt;&gt;")=0,"",SUMIFS(BD!$C$3:$C$5001,BD!$A$3:$A$5001,AD$3,BD!$B$3:$B$5001,$A$5)))</f>
        <v/>
      </c>
      <c r="AE5" s="159" t="str">
        <f>IF(AE$3="","",IF(COUNTIFS(BD!$A$3:$A$5001,AE$3,BD!$B$3:$B$5001,$A$5,BD!$C$3:$C$5001,"&lt;&gt;")=0,"",SUMIFS(BD!$C$3:$C$5001,BD!$A$3:$A$5001,AE$3,BD!$B$3:$B$5001,$A$5)))</f>
        <v/>
      </c>
      <c r="AF5" s="159" t="str">
        <f>IF(AF$3="","",IF(COUNTIFS(BD!$A$3:$A$5001,AF$3,BD!$B$3:$B$5001,$A$5,BD!$C$3:$C$5001,"&lt;&gt;")=0,"",SUMIFS(BD!$C$3:$C$5001,BD!$A$3:$A$5001,AF$3,BD!$B$3:$B$5001,$A$5)))</f>
        <v/>
      </c>
      <c r="AG5" s="159" t="str">
        <f>IF(AG$3="","",IF(COUNTIFS(BD!$A$3:$A$5001,AG$3,BD!$B$3:$B$5001,$A$5,BD!$C$3:$C$5001,"&lt;&gt;")=0,"",SUMIFS(BD!$C$3:$C$5001,BD!$A$3:$A$5001,AG$3,BD!$B$3:$B$5001,$A$5)))</f>
        <v/>
      </c>
      <c r="AH5" s="159" t="str">
        <f>IF(AH$3="","",IF(COUNTIFS(BD!$A$3:$A$5001,AH$3,BD!$B$3:$B$5001,$A$5,BD!$C$3:$C$5001,"&lt;&gt;")=0,"",SUMIFS(BD!$C$3:$C$5001,BD!$A$3:$A$5001,AH$3,BD!$B$3:$B$5001,$A$5)))</f>
        <v/>
      </c>
      <c r="AI5" s="159" t="str">
        <f>IF(AI$3="","",IF(COUNTIFS(BD!$A$3:$A$5001,AI$3,BD!$B$3:$B$5001,$A$5,BD!$C$3:$C$5001,"&lt;&gt;")=0,"",SUMIFS(BD!$C$3:$C$5001,BD!$A$3:$A$5001,AI$3,BD!$B$3:$B$5001,$A$5)))</f>
        <v/>
      </c>
      <c r="AJ5" s="160" t="str">
        <f>IF(AJ$3="","",IF(COUNTIFS(BD!$A$3:$A$5001,AJ$3,BD!$B$3:$B$5001,$A$5,BD!$C$3:$C$5001,"&lt;&gt;")=0,"",SUMIFS(BD!$C$3:$C$5001,BD!$A$3:$A$5001,AJ$3,BD!$B$3:$B$5001,$A$5)))</f>
        <v/>
      </c>
      <c r="AK5" s="161" t="str">
        <f>IF(COUNT(F5:AJ5)=0,"",SUM(F5:AJ5))</f>
        <v/>
      </c>
    </row>
    <row r="6" ht="15.75" customHeight="1">
      <c r="A6" s="254"/>
      <c r="B6" s="242"/>
      <c r="C6" s="162" t="inlineStr">
        <is>
          <t xml:space="preserve">Pallets Movimentados</t>
        </is>
      </c>
      <c r="D6" s="163" t="str">
        <f>IFERROR(1/(1/INDEX(BD!$Y$24:$AS$24,MATCH($A$5,BD!$Y$22:$AS$22,0))),"")</f>
        <v/>
      </c>
      <c r="E6" s="164"/>
      <c r="F6" s="165" t="str">
        <f>IF(F$3="","",IF(COUNTIFS(BD!$A$3:$A$5001,F$3,BD!$B$3:$B$5001,$A$5,BD!$D$3:$D$5001,"&lt;&gt;")=0,"",SUMIFS(BD!$D$3:$D$5001,BD!$A$3:$A$5001,F$3,BD!$B$3:$B$5001,$A$5)))</f>
        <v/>
      </c>
      <c r="G6" s="166" t="str">
        <f>IF(G$3="","",IF(COUNTIFS(BD!$A$3:$A$5001,G$3,BD!$B$3:$B$5001,$A$5,BD!$D$3:$D$5001,"&lt;&gt;")=0,"",SUMIFS(BD!$D$3:$D$5001,BD!$A$3:$A$5001,G$3,BD!$B$3:$B$5001,$A$5)))</f>
        <v/>
      </c>
      <c r="H6" s="166" t="str">
        <f>IF(H$3="","",IF(COUNTIFS(BD!$A$3:$A$5001,H$3,BD!$B$3:$B$5001,$A$5,BD!$D$3:$D$5001,"&lt;&gt;")=0,"",SUMIFS(BD!$D$3:$D$5001,BD!$A$3:$A$5001,H$3,BD!$B$3:$B$5001,$A$5)))</f>
        <v/>
      </c>
      <c r="I6" s="166" t="str">
        <f>IF(I$3="","",IF(COUNTIFS(BD!$A$3:$A$5001,I$3,BD!$B$3:$B$5001,$A$5,BD!$D$3:$D$5001,"&lt;&gt;")=0,"",SUMIFS(BD!$D$3:$D$5001,BD!$A$3:$A$5001,I$3,BD!$B$3:$B$5001,$A$5)))</f>
        <v/>
      </c>
      <c r="J6" s="166" t="str">
        <f>IF(J$3="","",IF(COUNTIFS(BD!$A$3:$A$5001,J$3,BD!$B$3:$B$5001,$A$5,BD!$D$3:$D$5001,"&lt;&gt;")=0,"",SUMIFS(BD!$D$3:$D$5001,BD!$A$3:$A$5001,J$3,BD!$B$3:$B$5001,$A$5)))</f>
        <v/>
      </c>
      <c r="K6" s="166" t="str">
        <f>IF(K$3="","",IF(COUNTIFS(BD!$A$3:$A$5001,K$3,BD!$B$3:$B$5001,$A$5,BD!$D$3:$D$5001,"&lt;&gt;")=0,"",SUMIFS(BD!$D$3:$D$5001,BD!$A$3:$A$5001,K$3,BD!$B$3:$B$5001,$A$5)))</f>
        <v/>
      </c>
      <c r="L6" s="166" t="str">
        <f>IF(L$3="","",IF(COUNTIFS(BD!$A$3:$A$5001,L$3,BD!$B$3:$B$5001,$A$5,BD!$D$3:$D$5001,"&lt;&gt;")=0,"",SUMIFS(BD!$D$3:$D$5001,BD!$A$3:$A$5001,L$3,BD!$B$3:$B$5001,$A$5)))</f>
        <v/>
      </c>
      <c r="M6" s="166" t="str">
        <f>IF(M$3="","",IF(COUNTIFS(BD!$A$3:$A$5001,M$3,BD!$B$3:$B$5001,$A$5,BD!$D$3:$D$5001,"&lt;&gt;")=0,"",SUMIFS(BD!$D$3:$D$5001,BD!$A$3:$A$5001,M$3,BD!$B$3:$B$5001,$A$5)))</f>
        <v/>
      </c>
      <c r="N6" s="166" t="str">
        <f>IF(N$3="","",IF(COUNTIFS(BD!$A$3:$A$5001,N$3,BD!$B$3:$B$5001,$A$5,BD!$D$3:$D$5001,"&lt;&gt;")=0,"",SUMIFS(BD!$D$3:$D$5001,BD!$A$3:$A$5001,N$3,BD!$B$3:$B$5001,$A$5)))</f>
        <v/>
      </c>
      <c r="O6" s="166" t="str">
        <f>IF(O$3="","",IF(COUNTIFS(BD!$A$3:$A$5001,O$3,BD!$B$3:$B$5001,$A$5,BD!$D$3:$D$5001,"&lt;&gt;")=0,"",SUMIFS(BD!$D$3:$D$5001,BD!$A$3:$A$5001,O$3,BD!$B$3:$B$5001,$A$5)))</f>
        <v/>
      </c>
      <c r="P6" s="166" t="str">
        <f>IF(P$3="","",IF(COUNTIFS(BD!$A$3:$A$5001,P$3,BD!$B$3:$B$5001,$A$5,BD!$D$3:$D$5001,"&lt;&gt;")=0,"",SUMIFS(BD!$D$3:$D$5001,BD!$A$3:$A$5001,P$3,BD!$B$3:$B$5001,$A$5)))</f>
        <v/>
      </c>
      <c r="Q6" s="166" t="str">
        <f>IF(Q$3="","",IF(COUNTIFS(BD!$A$3:$A$5001,Q$3,BD!$B$3:$B$5001,$A$5,BD!$D$3:$D$5001,"&lt;&gt;")=0,"",SUMIFS(BD!$D$3:$D$5001,BD!$A$3:$A$5001,Q$3,BD!$B$3:$B$5001,$A$5)))</f>
        <v/>
      </c>
      <c r="R6" s="166" t="str">
        <f>IF(R$3="","",IF(COUNTIFS(BD!$A$3:$A$5001,R$3,BD!$B$3:$B$5001,$A$5,BD!$D$3:$D$5001,"&lt;&gt;")=0,"",SUMIFS(BD!$D$3:$D$5001,BD!$A$3:$A$5001,R$3,BD!$B$3:$B$5001,$A$5)))</f>
        <v/>
      </c>
      <c r="S6" s="166" t="str">
        <f>IF(S$3="","",IF(COUNTIFS(BD!$A$3:$A$5001,S$3,BD!$B$3:$B$5001,$A$5,BD!$D$3:$D$5001,"&lt;&gt;")=0,"",SUMIFS(BD!$D$3:$D$5001,BD!$A$3:$A$5001,S$3,BD!$B$3:$B$5001,$A$5)))</f>
        <v/>
      </c>
      <c r="T6" s="166" t="str">
        <f>IF(T$3="","",IF(COUNTIFS(BD!$A$3:$A$5001,T$3,BD!$B$3:$B$5001,$A$5,BD!$D$3:$D$5001,"&lt;&gt;")=0,"",SUMIFS(BD!$D$3:$D$5001,BD!$A$3:$A$5001,T$3,BD!$B$3:$B$5001,$A$5)))</f>
        <v/>
      </c>
      <c r="U6" s="166" t="str">
        <f>IF(U$3="","",IF(COUNTIFS(BD!$A$3:$A$5001,U$3,BD!$B$3:$B$5001,$A$5,BD!$D$3:$D$5001,"&lt;&gt;")=0,"",SUMIFS(BD!$D$3:$D$5001,BD!$A$3:$A$5001,U$3,BD!$B$3:$B$5001,$A$5)))</f>
        <v/>
      </c>
      <c r="V6" s="166" t="str">
        <f>IF(V$3="","",IF(COUNTIFS(BD!$A$3:$A$5001,V$3,BD!$B$3:$B$5001,$A$5,BD!$D$3:$D$5001,"&lt;&gt;")=0,"",SUMIFS(BD!$D$3:$D$5001,BD!$A$3:$A$5001,V$3,BD!$B$3:$B$5001,$A$5)))</f>
        <v/>
      </c>
      <c r="W6" s="166" t="str">
        <f>IF(W$3="","",IF(COUNTIFS(BD!$A$3:$A$5001,W$3,BD!$B$3:$B$5001,$A$5,BD!$D$3:$D$5001,"&lt;&gt;")=0,"",SUMIFS(BD!$D$3:$D$5001,BD!$A$3:$A$5001,W$3,BD!$B$3:$B$5001,$A$5)))</f>
        <v/>
      </c>
      <c r="X6" s="166" t="str">
        <f>IF(X$3="","",IF(COUNTIFS(BD!$A$3:$A$5001,X$3,BD!$B$3:$B$5001,$A$5,BD!$D$3:$D$5001,"&lt;&gt;")=0,"",SUMIFS(BD!$D$3:$D$5001,BD!$A$3:$A$5001,X$3,BD!$B$3:$B$5001,$A$5)))</f>
        <v/>
      </c>
      <c r="Y6" s="166" t="str">
        <f>IF(Y$3="","",IF(COUNTIFS(BD!$A$3:$A$5001,Y$3,BD!$B$3:$B$5001,$A$5,BD!$D$3:$D$5001,"&lt;&gt;")=0,"",SUMIFS(BD!$D$3:$D$5001,BD!$A$3:$A$5001,Y$3,BD!$B$3:$B$5001,$A$5)))</f>
        <v/>
      </c>
      <c r="Z6" s="166" t="str">
        <f>IF(Z$3="","",IF(COUNTIFS(BD!$A$3:$A$5001,Z$3,BD!$B$3:$B$5001,$A$5,BD!$D$3:$D$5001,"&lt;&gt;")=0,"",SUMIFS(BD!$D$3:$D$5001,BD!$A$3:$A$5001,Z$3,BD!$B$3:$B$5001,$A$5)))</f>
        <v/>
      </c>
      <c r="AA6" s="166" t="str">
        <f>IF(AA$3="","",IF(COUNTIFS(BD!$A$3:$A$5001,AA$3,BD!$B$3:$B$5001,$A$5,BD!$D$3:$D$5001,"&lt;&gt;")=0,"",SUMIFS(BD!$D$3:$D$5001,BD!$A$3:$A$5001,AA$3,BD!$B$3:$B$5001,$A$5)))</f>
        <v/>
      </c>
      <c r="AB6" s="166" t="str">
        <f>IF(AB$3="","",IF(COUNTIFS(BD!$A$3:$A$5001,AB$3,BD!$B$3:$B$5001,$A$5,BD!$D$3:$D$5001,"&lt;&gt;")=0,"",SUMIFS(BD!$D$3:$D$5001,BD!$A$3:$A$5001,AB$3,BD!$B$3:$B$5001,$A$5)))</f>
        <v/>
      </c>
      <c r="AC6" s="166" t="str">
        <f>IF(AC$3="","",IF(COUNTIFS(BD!$A$3:$A$5001,AC$3,BD!$B$3:$B$5001,$A$5,BD!$D$3:$D$5001,"&lt;&gt;")=0,"",SUMIFS(BD!$D$3:$D$5001,BD!$A$3:$A$5001,AC$3,BD!$B$3:$B$5001,$A$5)))</f>
        <v/>
      </c>
      <c r="AD6" s="166" t="str">
        <f>IF(AD$3="","",IF(COUNTIFS(BD!$A$3:$A$5001,AD$3,BD!$B$3:$B$5001,$A$5,BD!$D$3:$D$5001,"&lt;&gt;")=0,"",SUMIFS(BD!$D$3:$D$5001,BD!$A$3:$A$5001,AD$3,BD!$B$3:$B$5001,$A$5)))</f>
        <v/>
      </c>
      <c r="AE6" s="166" t="str">
        <f>IF(AE$3="","",IF(COUNTIFS(BD!$A$3:$A$5001,AE$3,BD!$B$3:$B$5001,$A$5,BD!$D$3:$D$5001,"&lt;&gt;")=0,"",SUMIFS(BD!$D$3:$D$5001,BD!$A$3:$A$5001,AE$3,BD!$B$3:$B$5001,$A$5)))</f>
        <v/>
      </c>
      <c r="AF6" s="166" t="str">
        <f>IF(AF$3="","",IF(COUNTIFS(BD!$A$3:$A$5001,AF$3,BD!$B$3:$B$5001,$A$5,BD!$D$3:$D$5001,"&lt;&gt;")=0,"",SUMIFS(BD!$D$3:$D$5001,BD!$A$3:$A$5001,AF$3,BD!$B$3:$B$5001,$A$5)))</f>
        <v/>
      </c>
      <c r="AG6" s="166" t="str">
        <f>IF(AG$3="","",IF(COUNTIFS(BD!$A$3:$A$5001,AG$3,BD!$B$3:$B$5001,$A$5,BD!$D$3:$D$5001,"&lt;&gt;")=0,"",SUMIFS(BD!$D$3:$D$5001,BD!$A$3:$A$5001,AG$3,BD!$B$3:$B$5001,$A$5)))</f>
        <v/>
      </c>
      <c r="AH6" s="166" t="str">
        <f>IF(AH$3="","",IF(COUNTIFS(BD!$A$3:$A$5001,AH$3,BD!$B$3:$B$5001,$A$5,BD!$D$3:$D$5001,"&lt;&gt;")=0,"",SUMIFS(BD!$D$3:$D$5001,BD!$A$3:$A$5001,AH$3,BD!$B$3:$B$5001,$A$5)))</f>
        <v/>
      </c>
      <c r="AI6" s="166" t="str">
        <f>IF(AI$3="","",IF(COUNTIFS(BD!$A$3:$A$5001,AI$3,BD!$B$3:$B$5001,$A$5,BD!$D$3:$D$5001,"&lt;&gt;")=0,"",SUMIFS(BD!$D$3:$D$5001,BD!$A$3:$A$5001,AI$3,BD!$B$3:$B$5001,$A$5)))</f>
        <v/>
      </c>
      <c r="AJ6" s="167" t="str">
        <f>IF(AJ$3="","",IF(COUNTIFS(BD!$A$3:$A$5001,AJ$3,BD!$B$3:$B$5001,$A$5,BD!$D$3:$D$5001,"&lt;&gt;")=0,"",SUMIFS(BD!$D$3:$D$5001,BD!$A$3:$A$5001,AJ$3,BD!$B$3:$B$5001,$A$5)))</f>
        <v/>
      </c>
      <c r="AK6" s="168" t="str">
        <f>IF(COUNT(F6:AJ6)=0,"",SUM(F6:AJ6))</f>
        <v/>
      </c>
    </row>
    <row r="7" ht="15.75" customHeight="1">
      <c r="A7" s="254"/>
      <c r="B7" s="243"/>
      <c r="C7" s="169" t="inlineStr">
        <is>
          <t xml:space="preserve">Toneladas Movimentadas</t>
        </is>
      </c>
      <c r="D7" s="170" t="str">
        <f>IFERROR(1/(1/INDEX(BD!$Y$25:$AS$25,MATCH($A$5,BD!$Y$22:$AS$22,0))),"")</f>
        <v/>
      </c>
      <c r="E7" s="171"/>
      <c r="F7" s="172" t="str">
        <f>IF(F$3="","",IF(COUNTIFS(BD!$A$3:$A$5001,F$3,BD!$B$3:$B$5001,$A$5,BD!$E$3:$E$5001,"&lt;&gt;")=0,"",SUMIFS(BD!$E$3:$E$5001,BD!$A$3:$A$5001,F$3,BD!$B$3:$B$5001,$A$5)))</f>
        <v/>
      </c>
      <c r="G7" s="173" t="str">
        <f>IF(G$3="","",IF(COUNTIFS(BD!$A$3:$A$5001,G$3,BD!$B$3:$B$5001,$A$5,BD!$E$3:$E$5001,"&lt;&gt;")=0,"",SUMIFS(BD!$E$3:$E$5001,BD!$A$3:$A$5001,G$3,BD!$B$3:$B$5001,$A$5)))</f>
        <v/>
      </c>
      <c r="H7" s="173" t="str">
        <f>IF(H$3="","",IF(COUNTIFS(BD!$A$3:$A$5001,H$3,BD!$B$3:$B$5001,$A$5,BD!$E$3:$E$5001,"&lt;&gt;")=0,"",SUMIFS(BD!$E$3:$E$5001,BD!$A$3:$A$5001,H$3,BD!$B$3:$B$5001,$A$5)))</f>
        <v/>
      </c>
      <c r="I7" s="173" t="str">
        <f>IF(I$3="","",IF(COUNTIFS(BD!$A$3:$A$5001,I$3,BD!$B$3:$B$5001,$A$5,BD!$E$3:$E$5001,"&lt;&gt;")=0,"",SUMIFS(BD!$E$3:$E$5001,BD!$A$3:$A$5001,I$3,BD!$B$3:$B$5001,$A$5)))</f>
        <v/>
      </c>
      <c r="J7" s="173" t="str">
        <f>IF(J$3="","",IF(COUNTIFS(BD!$A$3:$A$5001,J$3,BD!$B$3:$B$5001,$A$5,BD!$E$3:$E$5001,"&lt;&gt;")=0,"",SUMIFS(BD!$E$3:$E$5001,BD!$A$3:$A$5001,J$3,BD!$B$3:$B$5001,$A$5)))</f>
        <v/>
      </c>
      <c r="K7" s="173" t="str">
        <f>IF(K$3="","",IF(COUNTIFS(BD!$A$3:$A$5001,K$3,BD!$B$3:$B$5001,$A$5,BD!$E$3:$E$5001,"&lt;&gt;")=0,"",SUMIFS(BD!$E$3:$E$5001,BD!$A$3:$A$5001,K$3,BD!$B$3:$B$5001,$A$5)))</f>
        <v/>
      </c>
      <c r="L7" s="173" t="str">
        <f>IF(L$3="","",IF(COUNTIFS(BD!$A$3:$A$5001,L$3,BD!$B$3:$B$5001,$A$5,BD!$E$3:$E$5001,"&lt;&gt;")=0,"",SUMIFS(BD!$E$3:$E$5001,BD!$A$3:$A$5001,L$3,BD!$B$3:$B$5001,$A$5)))</f>
        <v/>
      </c>
      <c r="M7" s="173" t="str">
        <f>IF(M$3="","",IF(COUNTIFS(BD!$A$3:$A$5001,M$3,BD!$B$3:$B$5001,$A$5,BD!$E$3:$E$5001,"&lt;&gt;")=0,"",SUMIFS(BD!$E$3:$E$5001,BD!$A$3:$A$5001,M$3,BD!$B$3:$B$5001,$A$5)))</f>
        <v/>
      </c>
      <c r="N7" s="173" t="str">
        <f>IF(N$3="","",IF(COUNTIFS(BD!$A$3:$A$5001,N$3,BD!$B$3:$B$5001,$A$5,BD!$E$3:$E$5001,"&lt;&gt;")=0,"",SUMIFS(BD!$E$3:$E$5001,BD!$A$3:$A$5001,N$3,BD!$B$3:$B$5001,$A$5)))</f>
        <v/>
      </c>
      <c r="O7" s="173" t="str">
        <f>IF(O$3="","",IF(COUNTIFS(BD!$A$3:$A$5001,O$3,BD!$B$3:$B$5001,$A$5,BD!$E$3:$E$5001,"&lt;&gt;")=0,"",SUMIFS(BD!$E$3:$E$5001,BD!$A$3:$A$5001,O$3,BD!$B$3:$B$5001,$A$5)))</f>
        <v/>
      </c>
      <c r="P7" s="173" t="str">
        <f>IF(P$3="","",IF(COUNTIFS(BD!$A$3:$A$5001,P$3,BD!$B$3:$B$5001,$A$5,BD!$E$3:$E$5001,"&lt;&gt;")=0,"",SUMIFS(BD!$E$3:$E$5001,BD!$A$3:$A$5001,P$3,BD!$B$3:$B$5001,$A$5)))</f>
        <v/>
      </c>
      <c r="Q7" s="173" t="str">
        <f>IF(Q$3="","",IF(COUNTIFS(BD!$A$3:$A$5001,Q$3,BD!$B$3:$B$5001,$A$5,BD!$E$3:$E$5001,"&lt;&gt;")=0,"",SUMIFS(BD!$E$3:$E$5001,BD!$A$3:$A$5001,Q$3,BD!$B$3:$B$5001,$A$5)))</f>
        <v/>
      </c>
      <c r="R7" s="173" t="str">
        <f>IF(R$3="","",IF(COUNTIFS(BD!$A$3:$A$5001,R$3,BD!$B$3:$B$5001,$A$5,BD!$E$3:$E$5001,"&lt;&gt;")=0,"",SUMIFS(BD!$E$3:$E$5001,BD!$A$3:$A$5001,R$3,BD!$B$3:$B$5001,$A$5)))</f>
        <v/>
      </c>
      <c r="S7" s="173" t="str">
        <f>IF(S$3="","",IF(COUNTIFS(BD!$A$3:$A$5001,S$3,BD!$B$3:$B$5001,$A$5,BD!$E$3:$E$5001,"&lt;&gt;")=0,"",SUMIFS(BD!$E$3:$E$5001,BD!$A$3:$A$5001,S$3,BD!$B$3:$B$5001,$A$5)))</f>
        <v/>
      </c>
      <c r="T7" s="173" t="str">
        <f>IF(T$3="","",IF(COUNTIFS(BD!$A$3:$A$5001,T$3,BD!$B$3:$B$5001,$A$5,BD!$E$3:$E$5001,"&lt;&gt;")=0,"",SUMIFS(BD!$E$3:$E$5001,BD!$A$3:$A$5001,T$3,BD!$B$3:$B$5001,$A$5)))</f>
        <v/>
      </c>
      <c r="U7" s="173" t="str">
        <f>IF(U$3="","",IF(COUNTIFS(BD!$A$3:$A$5001,U$3,BD!$B$3:$B$5001,$A$5,BD!$E$3:$E$5001,"&lt;&gt;")=0,"",SUMIFS(BD!$E$3:$E$5001,BD!$A$3:$A$5001,U$3,BD!$B$3:$B$5001,$A$5)))</f>
        <v/>
      </c>
      <c r="V7" s="173" t="str">
        <f>IF(V$3="","",IF(COUNTIFS(BD!$A$3:$A$5001,V$3,BD!$B$3:$B$5001,$A$5,BD!$E$3:$E$5001,"&lt;&gt;")=0,"",SUMIFS(BD!$E$3:$E$5001,BD!$A$3:$A$5001,V$3,BD!$B$3:$B$5001,$A$5)))</f>
        <v/>
      </c>
      <c r="W7" s="173" t="str">
        <f>IF(W$3="","",IF(COUNTIFS(BD!$A$3:$A$5001,W$3,BD!$B$3:$B$5001,$A$5,BD!$E$3:$E$5001,"&lt;&gt;")=0,"",SUMIFS(BD!$E$3:$E$5001,BD!$A$3:$A$5001,W$3,BD!$B$3:$B$5001,$A$5)))</f>
        <v/>
      </c>
      <c r="X7" s="173" t="str">
        <f>IF(X$3="","",IF(COUNTIFS(BD!$A$3:$A$5001,X$3,BD!$B$3:$B$5001,$A$5,BD!$E$3:$E$5001,"&lt;&gt;")=0,"",SUMIFS(BD!$E$3:$E$5001,BD!$A$3:$A$5001,X$3,BD!$B$3:$B$5001,$A$5)))</f>
        <v/>
      </c>
      <c r="Y7" s="173" t="str">
        <f>IF(Y$3="","",IF(COUNTIFS(BD!$A$3:$A$5001,Y$3,BD!$B$3:$B$5001,$A$5,BD!$E$3:$E$5001,"&lt;&gt;")=0,"",SUMIFS(BD!$E$3:$E$5001,BD!$A$3:$A$5001,Y$3,BD!$B$3:$B$5001,$A$5)))</f>
        <v/>
      </c>
      <c r="Z7" s="173" t="str">
        <f>IF(Z$3="","",IF(COUNTIFS(BD!$A$3:$A$5001,Z$3,BD!$B$3:$B$5001,$A$5,BD!$E$3:$E$5001,"&lt;&gt;")=0,"",SUMIFS(BD!$E$3:$E$5001,BD!$A$3:$A$5001,Z$3,BD!$B$3:$B$5001,$A$5)))</f>
        <v/>
      </c>
      <c r="AA7" s="173" t="str">
        <f>IF(AA$3="","",IF(COUNTIFS(BD!$A$3:$A$5001,AA$3,BD!$B$3:$B$5001,$A$5,BD!$E$3:$E$5001,"&lt;&gt;")=0,"",SUMIFS(BD!$E$3:$E$5001,BD!$A$3:$A$5001,AA$3,BD!$B$3:$B$5001,$A$5)))</f>
        <v/>
      </c>
      <c r="AB7" s="173" t="str">
        <f>IF(AB$3="","",IF(COUNTIFS(BD!$A$3:$A$5001,AB$3,BD!$B$3:$B$5001,$A$5,BD!$E$3:$E$5001,"&lt;&gt;")=0,"",SUMIFS(BD!$E$3:$E$5001,BD!$A$3:$A$5001,AB$3,BD!$B$3:$B$5001,$A$5)))</f>
        <v/>
      </c>
      <c r="AC7" s="173" t="str">
        <f>IF(AC$3="","",IF(COUNTIFS(BD!$A$3:$A$5001,AC$3,BD!$B$3:$B$5001,$A$5,BD!$E$3:$E$5001,"&lt;&gt;")=0,"",SUMIFS(BD!$E$3:$E$5001,BD!$A$3:$A$5001,AC$3,BD!$B$3:$B$5001,$A$5)))</f>
        <v/>
      </c>
      <c r="AD7" s="173" t="str">
        <f>IF(AD$3="","",IF(COUNTIFS(BD!$A$3:$A$5001,AD$3,BD!$B$3:$B$5001,$A$5,BD!$E$3:$E$5001,"&lt;&gt;")=0,"",SUMIFS(BD!$E$3:$E$5001,BD!$A$3:$A$5001,AD$3,BD!$B$3:$B$5001,$A$5)))</f>
        <v/>
      </c>
      <c r="AE7" s="173" t="str">
        <f>IF(AE$3="","",IF(COUNTIFS(BD!$A$3:$A$5001,AE$3,BD!$B$3:$B$5001,$A$5,BD!$E$3:$E$5001,"&lt;&gt;")=0,"",SUMIFS(BD!$E$3:$E$5001,BD!$A$3:$A$5001,AE$3,BD!$B$3:$B$5001,$A$5)))</f>
        <v/>
      </c>
      <c r="AF7" s="173" t="str">
        <f>IF(AF$3="","",IF(COUNTIFS(BD!$A$3:$A$5001,AF$3,BD!$B$3:$B$5001,$A$5,BD!$E$3:$E$5001,"&lt;&gt;")=0,"",SUMIFS(BD!$E$3:$E$5001,BD!$A$3:$A$5001,AF$3,BD!$B$3:$B$5001,$A$5)))</f>
        <v/>
      </c>
      <c r="AG7" s="173" t="str">
        <f>IF(AG$3="","",IF(COUNTIFS(BD!$A$3:$A$5001,AG$3,BD!$B$3:$B$5001,$A$5,BD!$E$3:$E$5001,"&lt;&gt;")=0,"",SUMIFS(BD!$E$3:$E$5001,BD!$A$3:$A$5001,AG$3,BD!$B$3:$B$5001,$A$5)))</f>
        <v/>
      </c>
      <c r="AH7" s="173" t="str">
        <f>IF(AH$3="","",IF(COUNTIFS(BD!$A$3:$A$5001,AH$3,BD!$B$3:$B$5001,$A$5,BD!$E$3:$E$5001,"&lt;&gt;")=0,"",SUMIFS(BD!$E$3:$E$5001,BD!$A$3:$A$5001,AH$3,BD!$B$3:$B$5001,$A$5)))</f>
        <v/>
      </c>
      <c r="AI7" s="173" t="str">
        <f>IF(AI$3="","",IF(COUNTIFS(BD!$A$3:$A$5001,AI$3,BD!$B$3:$B$5001,$A$5,BD!$E$3:$E$5001,"&lt;&gt;")=0,"",SUMIFS(BD!$E$3:$E$5001,BD!$A$3:$A$5001,AI$3,BD!$B$3:$B$5001,$A$5)))</f>
        <v/>
      </c>
      <c r="AJ7" s="174" t="str">
        <f>IF(AJ$3="","",IF(COUNTIFS(BD!$A$3:$A$5001,AJ$3,BD!$B$3:$B$5001,$A$5,BD!$E$3:$E$5001,"&lt;&gt;")=0,"",SUMIFS(BD!$E$3:$E$5001,BD!$A$3:$A$5001,AJ$3,BD!$B$3:$B$5001,$A$5)))</f>
        <v/>
      </c>
      <c r="AK7" s="175" t="str">
        <f>IF(COUNT(F7:AJ7)=0,"",SUM(F7:AJ7))</f>
        <v/>
      </c>
    </row>
    <row r="8" ht="15.75" customHeight="1">
      <c r="A8" s="254"/>
      <c r="B8" s="244" t="inlineStr">
        <is>
          <t xml:space="preserve">OUT</t>
        </is>
      </c>
      <c r="C8" s="176" t="inlineStr">
        <is>
          <t xml:space="preserve">Veículos Expedidos</t>
        </is>
      </c>
      <c r="D8" s="177" t="str">
        <f>IFERROR(1/(1/INDEX(BD!$Y$26:$AS$26,MATCH($A$5,BD!$Y$22:$AS$22,0))),"")</f>
        <v/>
      </c>
      <c r="E8" s="178"/>
      <c r="F8" s="179" t="str">
        <f>IF(F$3="","",IF(COUNTIFS(BD!$A$3:$A$5001,F$3,BD!$B$3:$B$5001,$A$5,BD!$F$3:$F$5001,"&lt;&gt;")=0,"",SUMIFS(BD!$F$3:$F$5001,BD!$A$3:$A$5001,F$3,BD!$B$3:$B$5001,$A$5)))</f>
        <v/>
      </c>
      <c r="G8" s="180" t="str">
        <f>IF(G$3="","",IF(COUNTIFS(BD!$A$3:$A$5001,G$3,BD!$B$3:$B$5001,$A$5,BD!$F$3:$F$5001,"&lt;&gt;")=0,"",SUMIFS(BD!$F$3:$F$5001,BD!$A$3:$A$5001,G$3,BD!$B$3:$B$5001,$A$5)))</f>
        <v/>
      </c>
      <c r="H8" s="180" t="str">
        <f>IF(H$3="","",IF(COUNTIFS(BD!$A$3:$A$5001,H$3,BD!$B$3:$B$5001,$A$5,BD!$F$3:$F$5001,"&lt;&gt;")=0,"",SUMIFS(BD!$F$3:$F$5001,BD!$A$3:$A$5001,H$3,BD!$B$3:$B$5001,$A$5)))</f>
        <v/>
      </c>
      <c r="I8" s="180" t="str">
        <f>IF(I$3="","",IF(COUNTIFS(BD!$A$3:$A$5001,I$3,BD!$B$3:$B$5001,$A$5,BD!$F$3:$F$5001,"&lt;&gt;")=0,"",SUMIFS(BD!$F$3:$F$5001,BD!$A$3:$A$5001,I$3,BD!$B$3:$B$5001,$A$5)))</f>
        <v/>
      </c>
      <c r="J8" s="180" t="str">
        <f>IF(J$3="","",IF(COUNTIFS(BD!$A$3:$A$5001,J$3,BD!$B$3:$B$5001,$A$5,BD!$F$3:$F$5001,"&lt;&gt;")=0,"",SUMIFS(BD!$F$3:$F$5001,BD!$A$3:$A$5001,J$3,BD!$B$3:$B$5001,$A$5)))</f>
        <v/>
      </c>
      <c r="K8" s="180" t="str">
        <f>IF(K$3="","",IF(COUNTIFS(BD!$A$3:$A$5001,K$3,BD!$B$3:$B$5001,$A$5,BD!$F$3:$F$5001,"&lt;&gt;")=0,"",SUMIFS(BD!$F$3:$F$5001,BD!$A$3:$A$5001,K$3,BD!$B$3:$B$5001,$A$5)))</f>
        <v/>
      </c>
      <c r="L8" s="180" t="str">
        <f>IF(L$3="","",IF(COUNTIFS(BD!$A$3:$A$5001,L$3,BD!$B$3:$B$5001,$A$5,BD!$F$3:$F$5001,"&lt;&gt;")=0,"",SUMIFS(BD!$F$3:$F$5001,BD!$A$3:$A$5001,L$3,BD!$B$3:$B$5001,$A$5)))</f>
        <v/>
      </c>
      <c r="M8" s="180" t="str">
        <f>IF(M$3="","",IF(COUNTIFS(BD!$A$3:$A$5001,M$3,BD!$B$3:$B$5001,$A$5,BD!$F$3:$F$5001,"&lt;&gt;")=0,"",SUMIFS(BD!$F$3:$F$5001,BD!$A$3:$A$5001,M$3,BD!$B$3:$B$5001,$A$5)))</f>
        <v/>
      </c>
      <c r="N8" s="180" t="str">
        <f>IF(N$3="","",IF(COUNTIFS(BD!$A$3:$A$5001,N$3,BD!$B$3:$B$5001,$A$5,BD!$F$3:$F$5001,"&lt;&gt;")=0,"",SUMIFS(BD!$F$3:$F$5001,BD!$A$3:$A$5001,N$3,BD!$B$3:$B$5001,$A$5)))</f>
        <v/>
      </c>
      <c r="O8" s="180" t="str">
        <f>IF(O$3="","",IF(COUNTIFS(BD!$A$3:$A$5001,O$3,BD!$B$3:$B$5001,$A$5,BD!$F$3:$F$5001,"&lt;&gt;")=0,"",SUMIFS(BD!$F$3:$F$5001,BD!$A$3:$A$5001,O$3,BD!$B$3:$B$5001,$A$5)))</f>
        <v/>
      </c>
      <c r="P8" s="180" t="str">
        <f>IF(P$3="","",IF(COUNTIFS(BD!$A$3:$A$5001,P$3,BD!$B$3:$B$5001,$A$5,BD!$F$3:$F$5001,"&lt;&gt;")=0,"",SUMIFS(BD!$F$3:$F$5001,BD!$A$3:$A$5001,P$3,BD!$B$3:$B$5001,$A$5)))</f>
        <v/>
      </c>
      <c r="Q8" s="180" t="str">
        <f>IF(Q$3="","",IF(COUNTIFS(BD!$A$3:$A$5001,Q$3,BD!$B$3:$B$5001,$A$5,BD!$F$3:$F$5001,"&lt;&gt;")=0,"",SUMIFS(BD!$F$3:$F$5001,BD!$A$3:$A$5001,Q$3,BD!$B$3:$B$5001,$A$5)))</f>
        <v/>
      </c>
      <c r="R8" s="180" t="str">
        <f>IF(R$3="","",IF(COUNTIFS(BD!$A$3:$A$5001,R$3,BD!$B$3:$B$5001,$A$5,BD!$F$3:$F$5001,"&lt;&gt;")=0,"",SUMIFS(BD!$F$3:$F$5001,BD!$A$3:$A$5001,R$3,BD!$B$3:$B$5001,$A$5)))</f>
        <v/>
      </c>
      <c r="S8" s="180" t="str">
        <f>IF(S$3="","",IF(COUNTIFS(BD!$A$3:$A$5001,S$3,BD!$B$3:$B$5001,$A$5,BD!$F$3:$F$5001,"&lt;&gt;")=0,"",SUMIFS(BD!$F$3:$F$5001,BD!$A$3:$A$5001,S$3,BD!$B$3:$B$5001,$A$5)))</f>
        <v/>
      </c>
      <c r="T8" s="180" t="str">
        <f>IF(T$3="","",IF(COUNTIFS(BD!$A$3:$A$5001,T$3,BD!$B$3:$B$5001,$A$5,BD!$F$3:$F$5001,"&lt;&gt;")=0,"",SUMIFS(BD!$F$3:$F$5001,BD!$A$3:$A$5001,T$3,BD!$B$3:$B$5001,$A$5)))</f>
        <v/>
      </c>
      <c r="U8" s="180" t="str">
        <f>IF(U$3="","",IF(COUNTIFS(BD!$A$3:$A$5001,U$3,BD!$B$3:$B$5001,$A$5,BD!$F$3:$F$5001,"&lt;&gt;")=0,"",SUMIFS(BD!$F$3:$F$5001,BD!$A$3:$A$5001,U$3,BD!$B$3:$B$5001,$A$5)))</f>
        <v/>
      </c>
      <c r="V8" s="180" t="str">
        <f>IF(V$3="","",IF(COUNTIFS(BD!$A$3:$A$5001,V$3,BD!$B$3:$B$5001,$A$5,BD!$F$3:$F$5001,"&lt;&gt;")=0,"",SUMIFS(BD!$F$3:$F$5001,BD!$A$3:$A$5001,V$3,BD!$B$3:$B$5001,$A$5)))</f>
        <v/>
      </c>
      <c r="W8" s="180" t="str">
        <f>IF(W$3="","",IF(COUNTIFS(BD!$A$3:$A$5001,W$3,BD!$B$3:$B$5001,$A$5,BD!$F$3:$F$5001,"&lt;&gt;")=0,"",SUMIFS(BD!$F$3:$F$5001,BD!$A$3:$A$5001,W$3,BD!$B$3:$B$5001,$A$5)))</f>
        <v/>
      </c>
      <c r="X8" s="180" t="str">
        <f>IF(X$3="","",IF(COUNTIFS(BD!$A$3:$A$5001,X$3,BD!$B$3:$B$5001,$A$5,BD!$F$3:$F$5001,"&lt;&gt;")=0,"",SUMIFS(BD!$F$3:$F$5001,BD!$A$3:$A$5001,X$3,BD!$B$3:$B$5001,$A$5)))</f>
        <v/>
      </c>
      <c r="Y8" s="180" t="str">
        <f>IF(Y$3="","",IF(COUNTIFS(BD!$A$3:$A$5001,Y$3,BD!$B$3:$B$5001,$A$5,BD!$F$3:$F$5001,"&lt;&gt;")=0,"",SUMIFS(BD!$F$3:$F$5001,BD!$A$3:$A$5001,Y$3,BD!$B$3:$B$5001,$A$5)))</f>
        <v/>
      </c>
      <c r="Z8" s="180" t="str">
        <f>IF(Z$3="","",IF(COUNTIFS(BD!$A$3:$A$5001,Z$3,BD!$B$3:$B$5001,$A$5,BD!$F$3:$F$5001,"&lt;&gt;")=0,"",SUMIFS(BD!$F$3:$F$5001,BD!$A$3:$A$5001,Z$3,BD!$B$3:$B$5001,$A$5)))</f>
        <v/>
      </c>
      <c r="AA8" s="180" t="str">
        <f>IF(AA$3="","",IF(COUNTIFS(BD!$A$3:$A$5001,AA$3,BD!$B$3:$B$5001,$A$5,BD!$F$3:$F$5001,"&lt;&gt;")=0,"",SUMIFS(BD!$F$3:$F$5001,BD!$A$3:$A$5001,AA$3,BD!$B$3:$B$5001,$A$5)))</f>
        <v/>
      </c>
      <c r="AB8" s="180" t="str">
        <f>IF(AB$3="","",IF(COUNTIFS(BD!$A$3:$A$5001,AB$3,BD!$B$3:$B$5001,$A$5,BD!$F$3:$F$5001,"&lt;&gt;")=0,"",SUMIFS(BD!$F$3:$F$5001,BD!$A$3:$A$5001,AB$3,BD!$B$3:$B$5001,$A$5)))</f>
        <v/>
      </c>
      <c r="AC8" s="180" t="str">
        <f>IF(AC$3="","",IF(COUNTIFS(BD!$A$3:$A$5001,AC$3,BD!$B$3:$B$5001,$A$5,BD!$F$3:$F$5001,"&lt;&gt;")=0,"",SUMIFS(BD!$F$3:$F$5001,BD!$A$3:$A$5001,AC$3,BD!$B$3:$B$5001,$A$5)))</f>
        <v/>
      </c>
      <c r="AD8" s="180" t="str">
        <f>IF(AD$3="","",IF(COUNTIFS(BD!$A$3:$A$5001,AD$3,BD!$B$3:$B$5001,$A$5,BD!$F$3:$F$5001,"&lt;&gt;")=0,"",SUMIFS(BD!$F$3:$F$5001,BD!$A$3:$A$5001,AD$3,BD!$B$3:$B$5001,$A$5)))</f>
        <v/>
      </c>
      <c r="AE8" s="180" t="str">
        <f>IF(AE$3="","",IF(COUNTIFS(BD!$A$3:$A$5001,AE$3,BD!$B$3:$B$5001,$A$5,BD!$F$3:$F$5001,"&lt;&gt;")=0,"",SUMIFS(BD!$F$3:$F$5001,BD!$A$3:$A$5001,AE$3,BD!$B$3:$B$5001,$A$5)))</f>
        <v/>
      </c>
      <c r="AF8" s="180" t="str">
        <f>IF(AF$3="","",IF(COUNTIFS(BD!$A$3:$A$5001,AF$3,BD!$B$3:$B$5001,$A$5,BD!$F$3:$F$5001,"&lt;&gt;")=0,"",SUMIFS(BD!$F$3:$F$5001,BD!$A$3:$A$5001,AF$3,BD!$B$3:$B$5001,$A$5)))</f>
        <v/>
      </c>
      <c r="AG8" s="180" t="str">
        <f>IF(AG$3="","",IF(COUNTIFS(BD!$A$3:$A$5001,AG$3,BD!$B$3:$B$5001,$A$5,BD!$F$3:$F$5001,"&lt;&gt;")=0,"",SUMIFS(BD!$F$3:$F$5001,BD!$A$3:$A$5001,AG$3,BD!$B$3:$B$5001,$A$5)))</f>
        <v/>
      </c>
      <c r="AH8" s="180" t="str">
        <f>IF(AH$3="","",IF(COUNTIFS(BD!$A$3:$A$5001,AH$3,BD!$B$3:$B$5001,$A$5,BD!$F$3:$F$5001,"&lt;&gt;")=0,"",SUMIFS(BD!$F$3:$F$5001,BD!$A$3:$A$5001,AH$3,BD!$B$3:$B$5001,$A$5)))</f>
        <v/>
      </c>
      <c r="AI8" s="180" t="str">
        <f>IF(AI$3="","",IF(COUNTIFS(BD!$A$3:$A$5001,AI$3,BD!$B$3:$B$5001,$A$5,BD!$F$3:$F$5001,"&lt;&gt;")=0,"",SUMIFS(BD!$F$3:$F$5001,BD!$A$3:$A$5001,AI$3,BD!$B$3:$B$5001,$A$5)))</f>
        <v/>
      </c>
      <c r="AJ8" s="181" t="str">
        <f>IF(AJ$3="","",IF(COUNTIFS(BD!$A$3:$A$5001,AJ$3,BD!$B$3:$B$5001,$A$5,BD!$F$3:$F$5001,"&lt;&gt;")=0,"",SUMIFS(BD!$F$3:$F$5001,BD!$A$3:$A$5001,AJ$3,BD!$B$3:$B$5001,$A$5)))</f>
        <v/>
      </c>
      <c r="AK8" s="182" t="str">
        <f>IF(COUNT(F8:AJ8)=0,"",SUM(F8:AJ8))</f>
        <v/>
      </c>
    </row>
    <row r="9" ht="15.75" customHeight="1">
      <c r="A9" s="254"/>
      <c r="B9" s="245"/>
      <c r="C9" s="183" t="inlineStr">
        <is>
          <t xml:space="preserve">Pallets Movimentados</t>
        </is>
      </c>
      <c r="D9" s="184" t="str">
        <f>IFERROR(1/(1/INDEX(BD!$Y$27:$AS$27,MATCH($A$5,BD!$Y$22:$AS$22,0))),"")</f>
        <v/>
      </c>
      <c r="E9" s="185"/>
      <c r="F9" s="186" t="str">
        <f>IF(F$3="","",IF(COUNTIFS(BD!$A$3:$A$5001,F$3,BD!$B$3:$B$5001,$A$5,BD!$G$3:$G$5001,"&lt;&gt;")=0,"",SUMIFS(BD!$G$3:$G$5001,BD!$A$3:$A$5001,F$3,BD!$B$3:$B$5001,$A$5)))</f>
        <v/>
      </c>
      <c r="G9" s="187" t="str">
        <f>IF(G$3="","",IF(COUNTIFS(BD!$A$3:$A$5001,G$3,BD!$B$3:$B$5001,$A$5,BD!$G$3:$G$5001,"&lt;&gt;")=0,"",SUMIFS(BD!$G$3:$G$5001,BD!$A$3:$A$5001,G$3,BD!$B$3:$B$5001,$A$5)))</f>
        <v/>
      </c>
      <c r="H9" s="187" t="str">
        <f>IF(H$3="","",IF(COUNTIFS(BD!$A$3:$A$5001,H$3,BD!$B$3:$B$5001,$A$5,BD!$G$3:$G$5001,"&lt;&gt;")=0,"",SUMIFS(BD!$G$3:$G$5001,BD!$A$3:$A$5001,H$3,BD!$B$3:$B$5001,$A$5)))</f>
        <v/>
      </c>
      <c r="I9" s="187" t="str">
        <f>IF(I$3="","",IF(COUNTIFS(BD!$A$3:$A$5001,I$3,BD!$B$3:$B$5001,$A$5,BD!$G$3:$G$5001,"&lt;&gt;")=0,"",SUMIFS(BD!$G$3:$G$5001,BD!$A$3:$A$5001,I$3,BD!$B$3:$B$5001,$A$5)))</f>
        <v/>
      </c>
      <c r="J9" s="187" t="str">
        <f>IF(J$3="","",IF(COUNTIFS(BD!$A$3:$A$5001,J$3,BD!$B$3:$B$5001,$A$5,BD!$G$3:$G$5001,"&lt;&gt;")=0,"",SUMIFS(BD!$G$3:$G$5001,BD!$A$3:$A$5001,J$3,BD!$B$3:$B$5001,$A$5)))</f>
        <v/>
      </c>
      <c r="K9" s="187" t="str">
        <f>IF(K$3="","",IF(COUNTIFS(BD!$A$3:$A$5001,K$3,BD!$B$3:$B$5001,$A$5,BD!$G$3:$G$5001,"&lt;&gt;")=0,"",SUMIFS(BD!$G$3:$G$5001,BD!$A$3:$A$5001,K$3,BD!$B$3:$B$5001,$A$5)))</f>
        <v/>
      </c>
      <c r="L9" s="187" t="str">
        <f>IF(L$3="","",IF(COUNTIFS(BD!$A$3:$A$5001,L$3,BD!$B$3:$B$5001,$A$5,BD!$G$3:$G$5001,"&lt;&gt;")=0,"",SUMIFS(BD!$G$3:$G$5001,BD!$A$3:$A$5001,L$3,BD!$B$3:$B$5001,$A$5)))</f>
        <v/>
      </c>
      <c r="M9" s="187" t="str">
        <f>IF(M$3="","",IF(COUNTIFS(BD!$A$3:$A$5001,M$3,BD!$B$3:$B$5001,$A$5,BD!$G$3:$G$5001,"&lt;&gt;")=0,"",SUMIFS(BD!$G$3:$G$5001,BD!$A$3:$A$5001,M$3,BD!$B$3:$B$5001,$A$5)))</f>
        <v/>
      </c>
      <c r="N9" s="187" t="str">
        <f>IF(N$3="","",IF(COUNTIFS(BD!$A$3:$A$5001,N$3,BD!$B$3:$B$5001,$A$5,BD!$G$3:$G$5001,"&lt;&gt;")=0,"",SUMIFS(BD!$G$3:$G$5001,BD!$A$3:$A$5001,N$3,BD!$B$3:$B$5001,$A$5)))</f>
        <v/>
      </c>
      <c r="O9" s="187" t="str">
        <f>IF(O$3="","",IF(COUNTIFS(BD!$A$3:$A$5001,O$3,BD!$B$3:$B$5001,$A$5,BD!$G$3:$G$5001,"&lt;&gt;")=0,"",SUMIFS(BD!$G$3:$G$5001,BD!$A$3:$A$5001,O$3,BD!$B$3:$B$5001,$A$5)))</f>
        <v/>
      </c>
      <c r="P9" s="187" t="str">
        <f>IF(P$3="","",IF(COUNTIFS(BD!$A$3:$A$5001,P$3,BD!$B$3:$B$5001,$A$5,BD!$G$3:$G$5001,"&lt;&gt;")=0,"",SUMIFS(BD!$G$3:$G$5001,BD!$A$3:$A$5001,P$3,BD!$B$3:$B$5001,$A$5)))</f>
        <v/>
      </c>
      <c r="Q9" s="187" t="str">
        <f>IF(Q$3="","",IF(COUNTIFS(BD!$A$3:$A$5001,Q$3,BD!$B$3:$B$5001,$A$5,BD!$G$3:$G$5001,"&lt;&gt;")=0,"",SUMIFS(BD!$G$3:$G$5001,BD!$A$3:$A$5001,Q$3,BD!$B$3:$B$5001,$A$5)))</f>
        <v/>
      </c>
      <c r="R9" s="187" t="str">
        <f>IF(R$3="","",IF(COUNTIFS(BD!$A$3:$A$5001,R$3,BD!$B$3:$B$5001,$A$5,BD!$G$3:$G$5001,"&lt;&gt;")=0,"",SUMIFS(BD!$G$3:$G$5001,BD!$A$3:$A$5001,R$3,BD!$B$3:$B$5001,$A$5)))</f>
        <v/>
      </c>
      <c r="S9" s="187" t="str">
        <f>IF(S$3="","",IF(COUNTIFS(BD!$A$3:$A$5001,S$3,BD!$B$3:$B$5001,$A$5,BD!$G$3:$G$5001,"&lt;&gt;")=0,"",SUMIFS(BD!$G$3:$G$5001,BD!$A$3:$A$5001,S$3,BD!$B$3:$B$5001,$A$5)))</f>
        <v/>
      </c>
      <c r="T9" s="187" t="str">
        <f>IF(T$3="","",IF(COUNTIFS(BD!$A$3:$A$5001,T$3,BD!$B$3:$B$5001,$A$5,BD!$G$3:$G$5001,"&lt;&gt;")=0,"",SUMIFS(BD!$G$3:$G$5001,BD!$A$3:$A$5001,T$3,BD!$B$3:$B$5001,$A$5)))</f>
        <v/>
      </c>
      <c r="U9" s="187" t="str">
        <f>IF(U$3="","",IF(COUNTIFS(BD!$A$3:$A$5001,U$3,BD!$B$3:$B$5001,$A$5,BD!$G$3:$G$5001,"&lt;&gt;")=0,"",SUMIFS(BD!$G$3:$G$5001,BD!$A$3:$A$5001,U$3,BD!$B$3:$B$5001,$A$5)))</f>
        <v/>
      </c>
      <c r="V9" s="187" t="str">
        <f>IF(V$3="","",IF(COUNTIFS(BD!$A$3:$A$5001,V$3,BD!$B$3:$B$5001,$A$5,BD!$G$3:$G$5001,"&lt;&gt;")=0,"",SUMIFS(BD!$G$3:$G$5001,BD!$A$3:$A$5001,V$3,BD!$B$3:$B$5001,$A$5)))</f>
        <v/>
      </c>
      <c r="W9" s="187" t="str">
        <f>IF(W$3="","",IF(COUNTIFS(BD!$A$3:$A$5001,W$3,BD!$B$3:$B$5001,$A$5,BD!$G$3:$G$5001,"&lt;&gt;")=0,"",SUMIFS(BD!$G$3:$G$5001,BD!$A$3:$A$5001,W$3,BD!$B$3:$B$5001,$A$5)))</f>
        <v/>
      </c>
      <c r="X9" s="187" t="str">
        <f>IF(X$3="","",IF(COUNTIFS(BD!$A$3:$A$5001,X$3,BD!$B$3:$B$5001,$A$5,BD!$G$3:$G$5001,"&lt;&gt;")=0,"",SUMIFS(BD!$G$3:$G$5001,BD!$A$3:$A$5001,X$3,BD!$B$3:$B$5001,$A$5)))</f>
        <v/>
      </c>
      <c r="Y9" s="187" t="str">
        <f>IF(Y$3="","",IF(COUNTIFS(BD!$A$3:$A$5001,Y$3,BD!$B$3:$B$5001,$A$5,BD!$G$3:$G$5001,"&lt;&gt;")=0,"",SUMIFS(BD!$G$3:$G$5001,BD!$A$3:$A$5001,Y$3,BD!$B$3:$B$5001,$A$5)))</f>
        <v/>
      </c>
      <c r="Z9" s="187" t="str">
        <f>IF(Z$3="","",IF(COUNTIFS(BD!$A$3:$A$5001,Z$3,BD!$B$3:$B$5001,$A$5,BD!$G$3:$G$5001,"&lt;&gt;")=0,"",SUMIFS(BD!$G$3:$G$5001,BD!$A$3:$A$5001,Z$3,BD!$B$3:$B$5001,$A$5)))</f>
        <v/>
      </c>
      <c r="AA9" s="187" t="str">
        <f>IF(AA$3="","",IF(COUNTIFS(BD!$A$3:$A$5001,AA$3,BD!$B$3:$B$5001,$A$5,BD!$G$3:$G$5001,"&lt;&gt;")=0,"",SUMIFS(BD!$G$3:$G$5001,BD!$A$3:$A$5001,AA$3,BD!$B$3:$B$5001,$A$5)))</f>
        <v/>
      </c>
      <c r="AB9" s="187" t="str">
        <f>IF(AB$3="","",IF(COUNTIFS(BD!$A$3:$A$5001,AB$3,BD!$B$3:$B$5001,$A$5,BD!$G$3:$G$5001,"&lt;&gt;")=0,"",SUMIFS(BD!$G$3:$G$5001,BD!$A$3:$A$5001,AB$3,BD!$B$3:$B$5001,$A$5)))</f>
        <v/>
      </c>
      <c r="AC9" s="187" t="str">
        <f>IF(AC$3="","",IF(COUNTIFS(BD!$A$3:$A$5001,AC$3,BD!$B$3:$B$5001,$A$5,BD!$G$3:$G$5001,"&lt;&gt;")=0,"",SUMIFS(BD!$G$3:$G$5001,BD!$A$3:$A$5001,AC$3,BD!$B$3:$B$5001,$A$5)))</f>
        <v/>
      </c>
      <c r="AD9" s="187" t="str">
        <f>IF(AD$3="","",IF(COUNTIFS(BD!$A$3:$A$5001,AD$3,BD!$B$3:$B$5001,$A$5,BD!$G$3:$G$5001,"&lt;&gt;")=0,"",SUMIFS(BD!$G$3:$G$5001,BD!$A$3:$A$5001,AD$3,BD!$B$3:$B$5001,$A$5)))</f>
        <v/>
      </c>
      <c r="AE9" s="187" t="str">
        <f>IF(AE$3="","",IF(COUNTIFS(BD!$A$3:$A$5001,AE$3,BD!$B$3:$B$5001,$A$5,BD!$G$3:$G$5001,"&lt;&gt;")=0,"",SUMIFS(BD!$G$3:$G$5001,BD!$A$3:$A$5001,AE$3,BD!$B$3:$B$5001,$A$5)))</f>
        <v/>
      </c>
      <c r="AF9" s="187" t="str">
        <f>IF(AF$3="","",IF(COUNTIFS(BD!$A$3:$A$5001,AF$3,BD!$B$3:$B$5001,$A$5,BD!$G$3:$G$5001,"&lt;&gt;")=0,"",SUMIFS(BD!$G$3:$G$5001,BD!$A$3:$A$5001,AF$3,BD!$B$3:$B$5001,$A$5)))</f>
        <v/>
      </c>
      <c r="AG9" s="187" t="str">
        <f>IF(AG$3="","",IF(COUNTIFS(BD!$A$3:$A$5001,AG$3,BD!$B$3:$B$5001,$A$5,BD!$G$3:$G$5001,"&lt;&gt;")=0,"",SUMIFS(BD!$G$3:$G$5001,BD!$A$3:$A$5001,AG$3,BD!$B$3:$B$5001,$A$5)))</f>
        <v/>
      </c>
      <c r="AH9" s="187" t="str">
        <f>IF(AH$3="","",IF(COUNTIFS(BD!$A$3:$A$5001,AH$3,BD!$B$3:$B$5001,$A$5,BD!$G$3:$G$5001,"&lt;&gt;")=0,"",SUMIFS(BD!$G$3:$G$5001,BD!$A$3:$A$5001,AH$3,BD!$B$3:$B$5001,$A$5)))</f>
        <v/>
      </c>
      <c r="AI9" s="187" t="str">
        <f>IF(AI$3="","",IF(COUNTIFS(BD!$A$3:$A$5001,AI$3,BD!$B$3:$B$5001,$A$5,BD!$G$3:$G$5001,"&lt;&gt;")=0,"",SUMIFS(BD!$G$3:$G$5001,BD!$A$3:$A$5001,AI$3,BD!$B$3:$B$5001,$A$5)))</f>
        <v/>
      </c>
      <c r="AJ9" s="188" t="str">
        <f>IF(AJ$3="","",IF(COUNTIFS(BD!$A$3:$A$5001,AJ$3,BD!$B$3:$B$5001,$A$5,BD!$G$3:$G$5001,"&lt;&gt;")=0,"",SUMIFS(BD!$G$3:$G$5001,BD!$A$3:$A$5001,AJ$3,BD!$B$3:$B$5001,$A$5)))</f>
        <v/>
      </c>
      <c r="AK9" s="189" t="str">
        <f>IF(COUNT(F9:AJ9)=0,"",SUM(F9:AJ9))</f>
        <v/>
      </c>
    </row>
    <row r="10" ht="15.75" customHeight="1">
      <c r="A10" s="254"/>
      <c r="B10" s="246"/>
      <c r="C10" s="190" t="inlineStr">
        <is>
          <t xml:space="preserve">Toneladas Movimentadas</t>
        </is>
      </c>
      <c r="D10" s="191" t="str">
        <f>IFERROR(1/(1/INDEX(BD!$Y$28:$AS$28,MATCH($A$5,BD!$Y$22:$AS$22,0))),"")</f>
        <v/>
      </c>
      <c r="E10" s="192"/>
      <c r="F10" s="193" t="str">
        <f>IF(F$3="","",IF(COUNTIFS(BD!$A$3:$A$5001,F$3,BD!$B$3:$B$5001,$A$5,BD!$H$3:$H$5001,"&lt;&gt;")=0,"",SUMIFS(BD!$H$3:$H$5001,BD!$A$3:$A$5001,F$3,BD!$B$3:$B$5001,$A$5)))</f>
        <v/>
      </c>
      <c r="G10" s="194" t="str">
        <f>IF(G$3="","",IF(COUNTIFS(BD!$A$3:$A$5001,G$3,BD!$B$3:$B$5001,$A$5,BD!$H$3:$H$5001,"&lt;&gt;")=0,"",SUMIFS(BD!$H$3:$H$5001,BD!$A$3:$A$5001,G$3,BD!$B$3:$B$5001,$A$5)))</f>
        <v/>
      </c>
      <c r="H10" s="194" t="str">
        <f>IF(H$3="","",IF(COUNTIFS(BD!$A$3:$A$5001,H$3,BD!$B$3:$B$5001,$A$5,BD!$H$3:$H$5001,"&lt;&gt;")=0,"",SUMIFS(BD!$H$3:$H$5001,BD!$A$3:$A$5001,H$3,BD!$B$3:$B$5001,$A$5)))</f>
        <v/>
      </c>
      <c r="I10" s="194" t="str">
        <f>IF(I$3="","",IF(COUNTIFS(BD!$A$3:$A$5001,I$3,BD!$B$3:$B$5001,$A$5,BD!$H$3:$H$5001,"&lt;&gt;")=0,"",SUMIFS(BD!$H$3:$H$5001,BD!$A$3:$A$5001,I$3,BD!$B$3:$B$5001,$A$5)))</f>
        <v/>
      </c>
      <c r="J10" s="194" t="str">
        <f>IF(J$3="","",IF(COUNTIFS(BD!$A$3:$A$5001,J$3,BD!$B$3:$B$5001,$A$5,BD!$H$3:$H$5001,"&lt;&gt;")=0,"",SUMIFS(BD!$H$3:$H$5001,BD!$A$3:$A$5001,J$3,BD!$B$3:$B$5001,$A$5)))</f>
        <v/>
      </c>
      <c r="K10" s="194" t="str">
        <f>IF(K$3="","",IF(COUNTIFS(BD!$A$3:$A$5001,K$3,BD!$B$3:$B$5001,$A$5,BD!$H$3:$H$5001,"&lt;&gt;")=0,"",SUMIFS(BD!$H$3:$H$5001,BD!$A$3:$A$5001,K$3,BD!$B$3:$B$5001,$A$5)))</f>
        <v/>
      </c>
      <c r="L10" s="194" t="str">
        <f>IF(L$3="","",IF(COUNTIFS(BD!$A$3:$A$5001,L$3,BD!$B$3:$B$5001,$A$5,BD!$H$3:$H$5001,"&lt;&gt;")=0,"",SUMIFS(BD!$H$3:$H$5001,BD!$A$3:$A$5001,L$3,BD!$B$3:$B$5001,$A$5)))</f>
        <v/>
      </c>
      <c r="M10" s="194" t="str">
        <f>IF(M$3="","",IF(COUNTIFS(BD!$A$3:$A$5001,M$3,BD!$B$3:$B$5001,$A$5,BD!$H$3:$H$5001,"&lt;&gt;")=0,"",SUMIFS(BD!$H$3:$H$5001,BD!$A$3:$A$5001,M$3,BD!$B$3:$B$5001,$A$5)))</f>
        <v/>
      </c>
      <c r="N10" s="194" t="str">
        <f>IF(N$3="","",IF(COUNTIFS(BD!$A$3:$A$5001,N$3,BD!$B$3:$B$5001,$A$5,BD!$H$3:$H$5001,"&lt;&gt;")=0,"",SUMIFS(BD!$H$3:$H$5001,BD!$A$3:$A$5001,N$3,BD!$B$3:$B$5001,$A$5)))</f>
        <v/>
      </c>
      <c r="O10" s="194" t="str">
        <f>IF(O$3="","",IF(COUNTIFS(BD!$A$3:$A$5001,O$3,BD!$B$3:$B$5001,$A$5,BD!$H$3:$H$5001,"&lt;&gt;")=0,"",SUMIFS(BD!$H$3:$H$5001,BD!$A$3:$A$5001,O$3,BD!$B$3:$B$5001,$A$5)))</f>
        <v/>
      </c>
      <c r="P10" s="194" t="str">
        <f>IF(P$3="","",IF(COUNTIFS(BD!$A$3:$A$5001,P$3,BD!$B$3:$B$5001,$A$5,BD!$H$3:$H$5001,"&lt;&gt;")=0,"",SUMIFS(BD!$H$3:$H$5001,BD!$A$3:$A$5001,P$3,BD!$B$3:$B$5001,$A$5)))</f>
        <v/>
      </c>
      <c r="Q10" s="194" t="str">
        <f>IF(Q$3="","",IF(COUNTIFS(BD!$A$3:$A$5001,Q$3,BD!$B$3:$B$5001,$A$5,BD!$H$3:$H$5001,"&lt;&gt;")=0,"",SUMIFS(BD!$H$3:$H$5001,BD!$A$3:$A$5001,Q$3,BD!$B$3:$B$5001,$A$5)))</f>
        <v/>
      </c>
      <c r="R10" s="194" t="str">
        <f>IF(R$3="","",IF(COUNTIFS(BD!$A$3:$A$5001,R$3,BD!$B$3:$B$5001,$A$5,BD!$H$3:$H$5001,"&lt;&gt;")=0,"",SUMIFS(BD!$H$3:$H$5001,BD!$A$3:$A$5001,R$3,BD!$B$3:$B$5001,$A$5)))</f>
        <v/>
      </c>
      <c r="S10" s="194" t="str">
        <f>IF(S$3="","",IF(COUNTIFS(BD!$A$3:$A$5001,S$3,BD!$B$3:$B$5001,$A$5,BD!$H$3:$H$5001,"&lt;&gt;")=0,"",SUMIFS(BD!$H$3:$H$5001,BD!$A$3:$A$5001,S$3,BD!$B$3:$B$5001,$A$5)))</f>
        <v/>
      </c>
      <c r="T10" s="194" t="str">
        <f>IF(T$3="","",IF(COUNTIFS(BD!$A$3:$A$5001,T$3,BD!$B$3:$B$5001,$A$5,BD!$H$3:$H$5001,"&lt;&gt;")=0,"",SUMIFS(BD!$H$3:$H$5001,BD!$A$3:$A$5001,T$3,BD!$B$3:$B$5001,$A$5)))</f>
        <v/>
      </c>
      <c r="U10" s="194" t="str">
        <f>IF(U$3="","",IF(COUNTIFS(BD!$A$3:$A$5001,U$3,BD!$B$3:$B$5001,$A$5,BD!$H$3:$H$5001,"&lt;&gt;")=0,"",SUMIFS(BD!$H$3:$H$5001,BD!$A$3:$A$5001,U$3,BD!$B$3:$B$5001,$A$5)))</f>
        <v/>
      </c>
      <c r="V10" s="194" t="str">
        <f>IF(V$3="","",IF(COUNTIFS(BD!$A$3:$A$5001,V$3,BD!$B$3:$B$5001,$A$5,BD!$H$3:$H$5001,"&lt;&gt;")=0,"",SUMIFS(BD!$H$3:$H$5001,BD!$A$3:$A$5001,V$3,BD!$B$3:$B$5001,$A$5)))</f>
        <v/>
      </c>
      <c r="W10" s="194" t="str">
        <f>IF(W$3="","",IF(COUNTIFS(BD!$A$3:$A$5001,W$3,BD!$B$3:$B$5001,$A$5,BD!$H$3:$H$5001,"&lt;&gt;")=0,"",SUMIFS(BD!$H$3:$H$5001,BD!$A$3:$A$5001,W$3,BD!$B$3:$B$5001,$A$5)))</f>
        <v/>
      </c>
      <c r="X10" s="194" t="str">
        <f>IF(X$3="","",IF(COUNTIFS(BD!$A$3:$A$5001,X$3,BD!$B$3:$B$5001,$A$5,BD!$H$3:$H$5001,"&lt;&gt;")=0,"",SUMIFS(BD!$H$3:$H$5001,BD!$A$3:$A$5001,X$3,BD!$B$3:$B$5001,$A$5)))</f>
        <v/>
      </c>
      <c r="Y10" s="194" t="str">
        <f>IF(Y$3="","",IF(COUNTIFS(BD!$A$3:$A$5001,Y$3,BD!$B$3:$B$5001,$A$5,BD!$H$3:$H$5001,"&lt;&gt;")=0,"",SUMIFS(BD!$H$3:$H$5001,BD!$A$3:$A$5001,Y$3,BD!$B$3:$B$5001,$A$5)))</f>
        <v/>
      </c>
      <c r="Z10" s="194" t="str">
        <f>IF(Z$3="","",IF(COUNTIFS(BD!$A$3:$A$5001,Z$3,BD!$B$3:$B$5001,$A$5,BD!$H$3:$H$5001,"&lt;&gt;")=0,"",SUMIFS(BD!$H$3:$H$5001,BD!$A$3:$A$5001,Z$3,BD!$B$3:$B$5001,$A$5)))</f>
        <v/>
      </c>
      <c r="AA10" s="194" t="str">
        <f>IF(AA$3="","",IF(COUNTIFS(BD!$A$3:$A$5001,AA$3,BD!$B$3:$B$5001,$A$5,BD!$H$3:$H$5001,"&lt;&gt;")=0,"",SUMIFS(BD!$H$3:$H$5001,BD!$A$3:$A$5001,AA$3,BD!$B$3:$B$5001,$A$5)))</f>
        <v/>
      </c>
      <c r="AB10" s="194" t="str">
        <f>IF(AB$3="","",IF(COUNTIFS(BD!$A$3:$A$5001,AB$3,BD!$B$3:$B$5001,$A$5,BD!$H$3:$H$5001,"&lt;&gt;")=0,"",SUMIFS(BD!$H$3:$H$5001,BD!$A$3:$A$5001,AB$3,BD!$B$3:$B$5001,$A$5)))</f>
        <v/>
      </c>
      <c r="AC10" s="194" t="str">
        <f>IF(AC$3="","",IF(COUNTIFS(BD!$A$3:$A$5001,AC$3,BD!$B$3:$B$5001,$A$5,BD!$H$3:$H$5001,"&lt;&gt;")=0,"",SUMIFS(BD!$H$3:$H$5001,BD!$A$3:$A$5001,AC$3,BD!$B$3:$B$5001,$A$5)))</f>
        <v/>
      </c>
      <c r="AD10" s="194" t="str">
        <f>IF(AD$3="","",IF(COUNTIFS(BD!$A$3:$A$5001,AD$3,BD!$B$3:$B$5001,$A$5,BD!$H$3:$H$5001,"&lt;&gt;")=0,"",SUMIFS(BD!$H$3:$H$5001,BD!$A$3:$A$5001,AD$3,BD!$B$3:$B$5001,$A$5)))</f>
        <v/>
      </c>
      <c r="AE10" s="194" t="str">
        <f>IF(AE$3="","",IF(COUNTIFS(BD!$A$3:$A$5001,AE$3,BD!$B$3:$B$5001,$A$5,BD!$H$3:$H$5001,"&lt;&gt;")=0,"",SUMIFS(BD!$H$3:$H$5001,BD!$A$3:$A$5001,AE$3,BD!$B$3:$B$5001,$A$5)))</f>
        <v/>
      </c>
      <c r="AF10" s="194" t="str">
        <f>IF(AF$3="","",IF(COUNTIFS(BD!$A$3:$A$5001,AF$3,BD!$B$3:$B$5001,$A$5,BD!$H$3:$H$5001,"&lt;&gt;")=0,"",SUMIFS(BD!$H$3:$H$5001,BD!$A$3:$A$5001,AF$3,BD!$B$3:$B$5001,$A$5)))</f>
        <v/>
      </c>
      <c r="AG10" s="194" t="str">
        <f>IF(AG$3="","",IF(COUNTIFS(BD!$A$3:$A$5001,AG$3,BD!$B$3:$B$5001,$A$5,BD!$H$3:$H$5001,"&lt;&gt;")=0,"",SUMIFS(BD!$H$3:$H$5001,BD!$A$3:$A$5001,AG$3,BD!$B$3:$B$5001,$A$5)))</f>
        <v/>
      </c>
      <c r="AH10" s="194" t="str">
        <f>IF(AH$3="","",IF(COUNTIFS(BD!$A$3:$A$5001,AH$3,BD!$B$3:$B$5001,$A$5,BD!$H$3:$H$5001,"&lt;&gt;")=0,"",SUMIFS(BD!$H$3:$H$5001,BD!$A$3:$A$5001,AH$3,BD!$B$3:$B$5001,$A$5)))</f>
        <v/>
      </c>
      <c r="AI10" s="194" t="str">
        <f>IF(AI$3="","",IF(COUNTIFS(BD!$A$3:$A$5001,AI$3,BD!$B$3:$B$5001,$A$5,BD!$H$3:$H$5001,"&lt;&gt;")=0,"",SUMIFS(BD!$H$3:$H$5001,BD!$A$3:$A$5001,AI$3,BD!$B$3:$B$5001,$A$5)))</f>
        <v/>
      </c>
      <c r="AJ10" s="195" t="str">
        <f>IF(AJ$3="","",IF(COUNTIFS(BD!$A$3:$A$5001,AJ$3,BD!$B$3:$B$5001,$A$5,BD!$H$3:$H$5001,"&lt;&gt;")=0,"",SUMIFS(BD!$H$3:$H$5001,BD!$A$3:$A$5001,AJ$3,BD!$B$3:$B$5001,$A$5)))</f>
        <v/>
      </c>
      <c r="AK10" s="196" t="str">
        <f>IF(COUNT(F10:AJ10)=0,"",SUM(F10:AJ10))</f>
        <v/>
      </c>
    </row>
    <row r="11" ht="15.75" customHeight="1">
      <c r="A11" s="254"/>
      <c r="B11" s="247" t="inlineStr">
        <is>
          <t xml:space="preserve">NC</t>
        </is>
      </c>
      <c r="C11" s="197" t="inlineStr">
        <is>
          <t xml:space="preserve">Incidentes</t>
        </is>
      </c>
      <c r="D11" s="198" t="str">
        <f>IFERROR(1/(1/INDEX(BD!$Y$29:$AS$29,MATCH($A$5,BD!$Y$22:$AS$22,0))),"")</f>
        <v/>
      </c>
      <c r="E11" s="199"/>
      <c r="F11" s="200" t="str">
        <f>IF(F$3="","",IF(COUNTIFS(BD!$A$3:$A$5001,F$3,BD!$B$3:$B$5001,$A$5,BD!$I$3:$I$5001,"&lt;&gt;")=0,"",SUMIFS(BD!$I$3:$I$5001,BD!$A$3:$A$5001,F$3,BD!$B$3:$B$5001,$A$5)))</f>
        <v/>
      </c>
      <c r="G11" s="201" t="str">
        <f>IF(G$3="","",IF(COUNTIFS(BD!$A$3:$A$5001,G$3,BD!$B$3:$B$5001,$A$5,BD!$I$3:$I$5001,"&lt;&gt;")=0,"",SUMIFS(BD!$I$3:$I$5001,BD!$A$3:$A$5001,G$3,BD!$B$3:$B$5001,$A$5)))</f>
        <v/>
      </c>
      <c r="H11" s="201" t="str">
        <f>IF(H$3="","",IF(COUNTIFS(BD!$A$3:$A$5001,H$3,BD!$B$3:$B$5001,$A$5,BD!$I$3:$I$5001,"&lt;&gt;")=0,"",SUMIFS(BD!$I$3:$I$5001,BD!$A$3:$A$5001,H$3,BD!$B$3:$B$5001,$A$5)))</f>
        <v/>
      </c>
      <c r="I11" s="201" t="str">
        <f>IF(I$3="","",IF(COUNTIFS(BD!$A$3:$A$5001,I$3,BD!$B$3:$B$5001,$A$5,BD!$I$3:$I$5001,"&lt;&gt;")=0,"",SUMIFS(BD!$I$3:$I$5001,BD!$A$3:$A$5001,I$3,BD!$B$3:$B$5001,$A$5)))</f>
        <v/>
      </c>
      <c r="J11" s="201" t="str">
        <f>IF(J$3="","",IF(COUNTIFS(BD!$A$3:$A$5001,J$3,BD!$B$3:$B$5001,$A$5,BD!$I$3:$I$5001,"&lt;&gt;")=0,"",SUMIFS(BD!$I$3:$I$5001,BD!$A$3:$A$5001,J$3,BD!$B$3:$B$5001,$A$5)))</f>
        <v/>
      </c>
      <c r="K11" s="201" t="str">
        <f>IF(K$3="","",IF(COUNTIFS(BD!$A$3:$A$5001,K$3,BD!$B$3:$B$5001,$A$5,BD!$I$3:$I$5001,"&lt;&gt;")=0,"",SUMIFS(BD!$I$3:$I$5001,BD!$A$3:$A$5001,K$3,BD!$B$3:$B$5001,$A$5)))</f>
        <v/>
      </c>
      <c r="L11" s="201" t="str">
        <f>IF(L$3="","",IF(COUNTIFS(BD!$A$3:$A$5001,L$3,BD!$B$3:$B$5001,$A$5,BD!$I$3:$I$5001,"&lt;&gt;")=0,"",SUMIFS(BD!$I$3:$I$5001,BD!$A$3:$A$5001,L$3,BD!$B$3:$B$5001,$A$5)))</f>
        <v/>
      </c>
      <c r="M11" s="201" t="str">
        <f>IF(M$3="","",IF(COUNTIFS(BD!$A$3:$A$5001,M$3,BD!$B$3:$B$5001,$A$5,BD!$I$3:$I$5001,"&lt;&gt;")=0,"",SUMIFS(BD!$I$3:$I$5001,BD!$A$3:$A$5001,M$3,BD!$B$3:$B$5001,$A$5)))</f>
        <v/>
      </c>
      <c r="N11" s="201" t="str">
        <f>IF(N$3="","",IF(COUNTIFS(BD!$A$3:$A$5001,N$3,BD!$B$3:$B$5001,$A$5,BD!$I$3:$I$5001,"&lt;&gt;")=0,"",SUMIFS(BD!$I$3:$I$5001,BD!$A$3:$A$5001,N$3,BD!$B$3:$B$5001,$A$5)))</f>
        <v/>
      </c>
      <c r="O11" s="201" t="str">
        <f>IF(O$3="","",IF(COUNTIFS(BD!$A$3:$A$5001,O$3,BD!$B$3:$B$5001,$A$5,BD!$I$3:$I$5001,"&lt;&gt;")=0,"",SUMIFS(BD!$I$3:$I$5001,BD!$A$3:$A$5001,O$3,BD!$B$3:$B$5001,$A$5)))</f>
        <v/>
      </c>
      <c r="P11" s="201" t="str">
        <f>IF(P$3="","",IF(COUNTIFS(BD!$A$3:$A$5001,P$3,BD!$B$3:$B$5001,$A$5,BD!$I$3:$I$5001,"&lt;&gt;")=0,"",SUMIFS(BD!$I$3:$I$5001,BD!$A$3:$A$5001,P$3,BD!$B$3:$B$5001,$A$5)))</f>
        <v/>
      </c>
      <c r="Q11" s="201" t="str">
        <f>IF(Q$3="","",IF(COUNTIFS(BD!$A$3:$A$5001,Q$3,BD!$B$3:$B$5001,$A$5,BD!$I$3:$I$5001,"&lt;&gt;")=0,"",SUMIFS(BD!$I$3:$I$5001,BD!$A$3:$A$5001,Q$3,BD!$B$3:$B$5001,$A$5)))</f>
        <v/>
      </c>
      <c r="R11" s="201" t="str">
        <f>IF(R$3="","",IF(COUNTIFS(BD!$A$3:$A$5001,R$3,BD!$B$3:$B$5001,$A$5,BD!$I$3:$I$5001,"&lt;&gt;")=0,"",SUMIFS(BD!$I$3:$I$5001,BD!$A$3:$A$5001,R$3,BD!$B$3:$B$5001,$A$5)))</f>
        <v/>
      </c>
      <c r="S11" s="201" t="str">
        <f>IF(S$3="","",IF(COUNTIFS(BD!$A$3:$A$5001,S$3,BD!$B$3:$B$5001,$A$5,BD!$I$3:$I$5001,"&lt;&gt;")=0,"",SUMIFS(BD!$I$3:$I$5001,BD!$A$3:$A$5001,S$3,BD!$B$3:$B$5001,$A$5)))</f>
        <v/>
      </c>
      <c r="T11" s="201" t="str">
        <f>IF(T$3="","",IF(COUNTIFS(BD!$A$3:$A$5001,T$3,BD!$B$3:$B$5001,$A$5,BD!$I$3:$I$5001,"&lt;&gt;")=0,"",SUMIFS(BD!$I$3:$I$5001,BD!$A$3:$A$5001,T$3,BD!$B$3:$B$5001,$A$5)))</f>
        <v/>
      </c>
      <c r="U11" s="201" t="str">
        <f>IF(U$3="","",IF(COUNTIFS(BD!$A$3:$A$5001,U$3,BD!$B$3:$B$5001,$A$5,BD!$I$3:$I$5001,"&lt;&gt;")=0,"",SUMIFS(BD!$I$3:$I$5001,BD!$A$3:$A$5001,U$3,BD!$B$3:$B$5001,$A$5)))</f>
        <v/>
      </c>
      <c r="V11" s="201" t="str">
        <f>IF(V$3="","",IF(COUNTIFS(BD!$A$3:$A$5001,V$3,BD!$B$3:$B$5001,$A$5,BD!$I$3:$I$5001,"&lt;&gt;")=0,"",SUMIFS(BD!$I$3:$I$5001,BD!$A$3:$A$5001,V$3,BD!$B$3:$B$5001,$A$5)))</f>
        <v/>
      </c>
      <c r="W11" s="201" t="str">
        <f>IF(W$3="","",IF(COUNTIFS(BD!$A$3:$A$5001,W$3,BD!$B$3:$B$5001,$A$5,BD!$I$3:$I$5001,"&lt;&gt;")=0,"",SUMIFS(BD!$I$3:$I$5001,BD!$A$3:$A$5001,W$3,BD!$B$3:$B$5001,$A$5)))</f>
        <v/>
      </c>
      <c r="X11" s="201" t="str">
        <f>IF(X$3="","",IF(COUNTIFS(BD!$A$3:$A$5001,X$3,BD!$B$3:$B$5001,$A$5,BD!$I$3:$I$5001,"&lt;&gt;")=0,"",SUMIFS(BD!$I$3:$I$5001,BD!$A$3:$A$5001,X$3,BD!$B$3:$B$5001,$A$5)))</f>
        <v/>
      </c>
      <c r="Y11" s="201" t="str">
        <f>IF(Y$3="","",IF(COUNTIFS(BD!$A$3:$A$5001,Y$3,BD!$B$3:$B$5001,$A$5,BD!$I$3:$I$5001,"&lt;&gt;")=0,"",SUMIFS(BD!$I$3:$I$5001,BD!$A$3:$A$5001,Y$3,BD!$B$3:$B$5001,$A$5)))</f>
        <v/>
      </c>
      <c r="Z11" s="201" t="str">
        <f>IF(Z$3="","",IF(COUNTIFS(BD!$A$3:$A$5001,Z$3,BD!$B$3:$B$5001,$A$5,BD!$I$3:$I$5001,"&lt;&gt;")=0,"",SUMIFS(BD!$I$3:$I$5001,BD!$A$3:$A$5001,Z$3,BD!$B$3:$B$5001,$A$5)))</f>
        <v/>
      </c>
      <c r="AA11" s="201" t="str">
        <f>IF(AA$3="","",IF(COUNTIFS(BD!$A$3:$A$5001,AA$3,BD!$B$3:$B$5001,$A$5,BD!$I$3:$I$5001,"&lt;&gt;")=0,"",SUMIFS(BD!$I$3:$I$5001,BD!$A$3:$A$5001,AA$3,BD!$B$3:$B$5001,$A$5)))</f>
        <v/>
      </c>
      <c r="AB11" s="201" t="str">
        <f>IF(AB$3="","",IF(COUNTIFS(BD!$A$3:$A$5001,AB$3,BD!$B$3:$B$5001,$A$5,BD!$I$3:$I$5001,"&lt;&gt;")=0,"",SUMIFS(BD!$I$3:$I$5001,BD!$A$3:$A$5001,AB$3,BD!$B$3:$B$5001,$A$5)))</f>
        <v/>
      </c>
      <c r="AC11" s="201" t="str">
        <f>IF(AC$3="","",IF(COUNTIFS(BD!$A$3:$A$5001,AC$3,BD!$B$3:$B$5001,$A$5,BD!$I$3:$I$5001,"&lt;&gt;")=0,"",SUMIFS(BD!$I$3:$I$5001,BD!$A$3:$A$5001,AC$3,BD!$B$3:$B$5001,$A$5)))</f>
        <v/>
      </c>
      <c r="AD11" s="201" t="str">
        <f>IF(AD$3="","",IF(COUNTIFS(BD!$A$3:$A$5001,AD$3,BD!$B$3:$B$5001,$A$5,BD!$I$3:$I$5001,"&lt;&gt;")=0,"",SUMIFS(BD!$I$3:$I$5001,BD!$A$3:$A$5001,AD$3,BD!$B$3:$B$5001,$A$5)))</f>
        <v/>
      </c>
      <c r="AE11" s="201" t="str">
        <f>IF(AE$3="","",IF(COUNTIFS(BD!$A$3:$A$5001,AE$3,BD!$B$3:$B$5001,$A$5,BD!$I$3:$I$5001,"&lt;&gt;")=0,"",SUMIFS(BD!$I$3:$I$5001,BD!$A$3:$A$5001,AE$3,BD!$B$3:$B$5001,$A$5)))</f>
        <v/>
      </c>
      <c r="AF11" s="201" t="str">
        <f>IF(AF$3="","",IF(COUNTIFS(BD!$A$3:$A$5001,AF$3,BD!$B$3:$B$5001,$A$5,BD!$I$3:$I$5001,"&lt;&gt;")=0,"",SUMIFS(BD!$I$3:$I$5001,BD!$A$3:$A$5001,AF$3,BD!$B$3:$B$5001,$A$5)))</f>
        <v/>
      </c>
      <c r="AG11" s="201" t="str">
        <f>IF(AG$3="","",IF(COUNTIFS(BD!$A$3:$A$5001,AG$3,BD!$B$3:$B$5001,$A$5,BD!$I$3:$I$5001,"&lt;&gt;")=0,"",SUMIFS(BD!$I$3:$I$5001,BD!$A$3:$A$5001,AG$3,BD!$B$3:$B$5001,$A$5)))</f>
        <v/>
      </c>
      <c r="AH11" s="201" t="str">
        <f>IF(AH$3="","",IF(COUNTIFS(BD!$A$3:$A$5001,AH$3,BD!$B$3:$B$5001,$A$5,BD!$I$3:$I$5001,"&lt;&gt;")=0,"",SUMIFS(BD!$I$3:$I$5001,BD!$A$3:$A$5001,AH$3,BD!$B$3:$B$5001,$A$5)))</f>
        <v/>
      </c>
      <c r="AI11" s="201" t="str">
        <f>IF(AI$3="","",IF(COUNTIFS(BD!$A$3:$A$5001,AI$3,BD!$B$3:$B$5001,$A$5,BD!$I$3:$I$5001,"&lt;&gt;")=0,"",SUMIFS(BD!$I$3:$I$5001,BD!$A$3:$A$5001,AI$3,BD!$B$3:$B$5001,$A$5)))</f>
        <v/>
      </c>
      <c r="AJ11" s="202" t="str">
        <f>IF(AJ$3="","",IF(COUNTIFS(BD!$A$3:$A$5001,AJ$3,BD!$B$3:$B$5001,$A$5,BD!$I$3:$I$5001,"&lt;&gt;")=0,"",SUMIFS(BD!$I$3:$I$5001,BD!$A$3:$A$5001,AJ$3,BD!$B$3:$B$5001,$A$5)))</f>
        <v/>
      </c>
      <c r="AK11" s="203" t="str">
        <f>IF(COUNT(F11:AJ11)=0,"",SUM(F11:AJ11))</f>
        <v/>
      </c>
    </row>
    <row r="12" ht="15.75" customHeight="1">
      <c r="A12" s="254"/>
      <c r="B12" s="248"/>
      <c r="C12" s="204" t="inlineStr">
        <is>
          <t xml:space="preserve">No show</t>
        </is>
      </c>
      <c r="D12" s="205" t="str">
        <f>IFERROR(1/(1/INDEX(BD!$Y$30:$AS$30,MATCH($A$5,BD!$Y$22:$AS$22,0))),"")</f>
        <v/>
      </c>
      <c r="E12" s="206"/>
      <c r="F12" s="207" t="str">
        <f>IF(F$3="","",IF(COUNTIFS(BD!$A$3:$A$5001,F$3,BD!$B$3:$B$5001,$A$5,BD!$J$3:$J$5001,"&lt;&gt;")=0,"",SUMIFS(BD!$J$3:$J$5001,BD!$A$3:$A$5001,F$3,BD!$B$3:$B$5001,$A$5)))</f>
        <v/>
      </c>
      <c r="G12" s="208" t="str">
        <f>IF(G$3="","",IF(COUNTIFS(BD!$A$3:$A$5001,G$3,BD!$B$3:$B$5001,$A$5,BD!$J$3:$J$5001,"&lt;&gt;")=0,"",SUMIFS(BD!$J$3:$J$5001,BD!$A$3:$A$5001,G$3,BD!$B$3:$B$5001,$A$5)))</f>
        <v/>
      </c>
      <c r="H12" s="208" t="str">
        <f>IF(H$3="","",IF(COUNTIFS(BD!$A$3:$A$5001,H$3,BD!$B$3:$B$5001,$A$5,BD!$J$3:$J$5001,"&lt;&gt;")=0,"",SUMIFS(BD!$J$3:$J$5001,BD!$A$3:$A$5001,H$3,BD!$B$3:$B$5001,$A$5)))</f>
        <v/>
      </c>
      <c r="I12" s="208" t="str">
        <f>IF(I$3="","",IF(COUNTIFS(BD!$A$3:$A$5001,I$3,BD!$B$3:$B$5001,$A$5,BD!$J$3:$J$5001,"&lt;&gt;")=0,"",SUMIFS(BD!$J$3:$J$5001,BD!$A$3:$A$5001,I$3,BD!$B$3:$B$5001,$A$5)))</f>
        <v/>
      </c>
      <c r="J12" s="208" t="str">
        <f>IF(J$3="","",IF(COUNTIFS(BD!$A$3:$A$5001,J$3,BD!$B$3:$B$5001,$A$5,BD!$J$3:$J$5001,"&lt;&gt;")=0,"",SUMIFS(BD!$J$3:$J$5001,BD!$A$3:$A$5001,J$3,BD!$B$3:$B$5001,$A$5)))</f>
        <v/>
      </c>
      <c r="K12" s="208" t="str">
        <f>IF(K$3="","",IF(COUNTIFS(BD!$A$3:$A$5001,K$3,BD!$B$3:$B$5001,$A$5,BD!$J$3:$J$5001,"&lt;&gt;")=0,"",SUMIFS(BD!$J$3:$J$5001,BD!$A$3:$A$5001,K$3,BD!$B$3:$B$5001,$A$5)))</f>
        <v/>
      </c>
      <c r="L12" s="208" t="str">
        <f>IF(L$3="","",IF(COUNTIFS(BD!$A$3:$A$5001,L$3,BD!$B$3:$B$5001,$A$5,BD!$J$3:$J$5001,"&lt;&gt;")=0,"",SUMIFS(BD!$J$3:$J$5001,BD!$A$3:$A$5001,L$3,BD!$B$3:$B$5001,$A$5)))</f>
        <v/>
      </c>
      <c r="M12" s="208" t="str">
        <f>IF(M$3="","",IF(COUNTIFS(BD!$A$3:$A$5001,M$3,BD!$B$3:$B$5001,$A$5,BD!$J$3:$J$5001,"&lt;&gt;")=0,"",SUMIFS(BD!$J$3:$J$5001,BD!$A$3:$A$5001,M$3,BD!$B$3:$B$5001,$A$5)))</f>
        <v/>
      </c>
      <c r="N12" s="208" t="str">
        <f>IF(N$3="","",IF(COUNTIFS(BD!$A$3:$A$5001,N$3,BD!$B$3:$B$5001,$A$5,BD!$J$3:$J$5001,"&lt;&gt;")=0,"",SUMIFS(BD!$J$3:$J$5001,BD!$A$3:$A$5001,N$3,BD!$B$3:$B$5001,$A$5)))</f>
        <v/>
      </c>
      <c r="O12" s="208" t="str">
        <f>IF(O$3="","",IF(COUNTIFS(BD!$A$3:$A$5001,O$3,BD!$B$3:$B$5001,$A$5,BD!$J$3:$J$5001,"&lt;&gt;")=0,"",SUMIFS(BD!$J$3:$J$5001,BD!$A$3:$A$5001,O$3,BD!$B$3:$B$5001,$A$5)))</f>
        <v/>
      </c>
      <c r="P12" s="208" t="str">
        <f>IF(P$3="","",IF(COUNTIFS(BD!$A$3:$A$5001,P$3,BD!$B$3:$B$5001,$A$5,BD!$J$3:$J$5001,"&lt;&gt;")=0,"",SUMIFS(BD!$J$3:$J$5001,BD!$A$3:$A$5001,P$3,BD!$B$3:$B$5001,$A$5)))</f>
        <v/>
      </c>
      <c r="Q12" s="208" t="str">
        <f>IF(Q$3="","",IF(COUNTIFS(BD!$A$3:$A$5001,Q$3,BD!$B$3:$B$5001,$A$5,BD!$J$3:$J$5001,"&lt;&gt;")=0,"",SUMIFS(BD!$J$3:$J$5001,BD!$A$3:$A$5001,Q$3,BD!$B$3:$B$5001,$A$5)))</f>
        <v/>
      </c>
      <c r="R12" s="208" t="str">
        <f>IF(R$3="","",IF(COUNTIFS(BD!$A$3:$A$5001,R$3,BD!$B$3:$B$5001,$A$5,BD!$J$3:$J$5001,"&lt;&gt;")=0,"",SUMIFS(BD!$J$3:$J$5001,BD!$A$3:$A$5001,R$3,BD!$B$3:$B$5001,$A$5)))</f>
        <v/>
      </c>
      <c r="S12" s="208" t="str">
        <f>IF(S$3="","",IF(COUNTIFS(BD!$A$3:$A$5001,S$3,BD!$B$3:$B$5001,$A$5,BD!$J$3:$J$5001,"&lt;&gt;")=0,"",SUMIFS(BD!$J$3:$J$5001,BD!$A$3:$A$5001,S$3,BD!$B$3:$B$5001,$A$5)))</f>
        <v/>
      </c>
      <c r="T12" s="208" t="str">
        <f>IF(T$3="","",IF(COUNTIFS(BD!$A$3:$A$5001,T$3,BD!$B$3:$B$5001,$A$5,BD!$J$3:$J$5001,"&lt;&gt;")=0,"",SUMIFS(BD!$J$3:$J$5001,BD!$A$3:$A$5001,T$3,BD!$B$3:$B$5001,$A$5)))</f>
        <v/>
      </c>
      <c r="U12" s="208" t="str">
        <f>IF(U$3="","",IF(COUNTIFS(BD!$A$3:$A$5001,U$3,BD!$B$3:$B$5001,$A$5,BD!$J$3:$J$5001,"&lt;&gt;")=0,"",SUMIFS(BD!$J$3:$J$5001,BD!$A$3:$A$5001,U$3,BD!$B$3:$B$5001,$A$5)))</f>
        <v/>
      </c>
      <c r="V12" s="208" t="str">
        <f>IF(V$3="","",IF(COUNTIFS(BD!$A$3:$A$5001,V$3,BD!$B$3:$B$5001,$A$5,BD!$J$3:$J$5001,"&lt;&gt;")=0,"",SUMIFS(BD!$J$3:$J$5001,BD!$A$3:$A$5001,V$3,BD!$B$3:$B$5001,$A$5)))</f>
        <v/>
      </c>
      <c r="W12" s="208" t="str">
        <f>IF(W$3="","",IF(COUNTIFS(BD!$A$3:$A$5001,W$3,BD!$B$3:$B$5001,$A$5,BD!$J$3:$J$5001,"&lt;&gt;")=0,"",SUMIFS(BD!$J$3:$J$5001,BD!$A$3:$A$5001,W$3,BD!$B$3:$B$5001,$A$5)))</f>
        <v/>
      </c>
      <c r="X12" s="208" t="str">
        <f>IF(X$3="","",IF(COUNTIFS(BD!$A$3:$A$5001,X$3,BD!$B$3:$B$5001,$A$5,BD!$J$3:$J$5001,"&lt;&gt;")=0,"",SUMIFS(BD!$J$3:$J$5001,BD!$A$3:$A$5001,X$3,BD!$B$3:$B$5001,$A$5)))</f>
        <v/>
      </c>
      <c r="Y12" s="208" t="str">
        <f>IF(Y$3="","",IF(COUNTIFS(BD!$A$3:$A$5001,Y$3,BD!$B$3:$B$5001,$A$5,BD!$J$3:$J$5001,"&lt;&gt;")=0,"",SUMIFS(BD!$J$3:$J$5001,BD!$A$3:$A$5001,Y$3,BD!$B$3:$B$5001,$A$5)))</f>
        <v/>
      </c>
      <c r="Z12" s="208" t="str">
        <f>IF(Z$3="","",IF(COUNTIFS(BD!$A$3:$A$5001,Z$3,BD!$B$3:$B$5001,$A$5,BD!$J$3:$J$5001,"&lt;&gt;")=0,"",SUMIFS(BD!$J$3:$J$5001,BD!$A$3:$A$5001,Z$3,BD!$B$3:$B$5001,$A$5)))</f>
        <v/>
      </c>
      <c r="AA12" s="208" t="str">
        <f>IF(AA$3="","",IF(COUNTIFS(BD!$A$3:$A$5001,AA$3,BD!$B$3:$B$5001,$A$5,BD!$J$3:$J$5001,"&lt;&gt;")=0,"",SUMIFS(BD!$J$3:$J$5001,BD!$A$3:$A$5001,AA$3,BD!$B$3:$B$5001,$A$5)))</f>
        <v/>
      </c>
      <c r="AB12" s="208" t="str">
        <f>IF(AB$3="","",IF(COUNTIFS(BD!$A$3:$A$5001,AB$3,BD!$B$3:$B$5001,$A$5,BD!$J$3:$J$5001,"&lt;&gt;")=0,"",SUMIFS(BD!$J$3:$J$5001,BD!$A$3:$A$5001,AB$3,BD!$B$3:$B$5001,$A$5)))</f>
        <v/>
      </c>
      <c r="AC12" s="208" t="str">
        <f>IF(AC$3="","",IF(COUNTIFS(BD!$A$3:$A$5001,AC$3,BD!$B$3:$B$5001,$A$5,BD!$J$3:$J$5001,"&lt;&gt;")=0,"",SUMIFS(BD!$J$3:$J$5001,BD!$A$3:$A$5001,AC$3,BD!$B$3:$B$5001,$A$5)))</f>
        <v/>
      </c>
      <c r="AD12" s="208" t="str">
        <f>IF(AD$3="","",IF(COUNTIFS(BD!$A$3:$A$5001,AD$3,BD!$B$3:$B$5001,$A$5,BD!$J$3:$J$5001,"&lt;&gt;")=0,"",SUMIFS(BD!$J$3:$J$5001,BD!$A$3:$A$5001,AD$3,BD!$B$3:$B$5001,$A$5)))</f>
        <v/>
      </c>
      <c r="AE12" s="208" t="str">
        <f>IF(AE$3="","",IF(COUNTIFS(BD!$A$3:$A$5001,AE$3,BD!$B$3:$B$5001,$A$5,BD!$J$3:$J$5001,"&lt;&gt;")=0,"",SUMIFS(BD!$J$3:$J$5001,BD!$A$3:$A$5001,AE$3,BD!$B$3:$B$5001,$A$5)))</f>
        <v/>
      </c>
      <c r="AF12" s="208" t="str">
        <f>IF(AF$3="","",IF(COUNTIFS(BD!$A$3:$A$5001,AF$3,BD!$B$3:$B$5001,$A$5,BD!$J$3:$J$5001,"&lt;&gt;")=0,"",SUMIFS(BD!$J$3:$J$5001,BD!$A$3:$A$5001,AF$3,BD!$B$3:$B$5001,$A$5)))</f>
        <v/>
      </c>
      <c r="AG12" s="208" t="str">
        <f>IF(AG$3="","",IF(COUNTIFS(BD!$A$3:$A$5001,AG$3,BD!$B$3:$B$5001,$A$5,BD!$J$3:$J$5001,"&lt;&gt;")=0,"",SUMIFS(BD!$J$3:$J$5001,BD!$A$3:$A$5001,AG$3,BD!$B$3:$B$5001,$A$5)))</f>
        <v/>
      </c>
      <c r="AH12" s="208" t="str">
        <f>IF(AH$3="","",IF(COUNTIFS(BD!$A$3:$A$5001,AH$3,BD!$B$3:$B$5001,$A$5,BD!$J$3:$J$5001,"&lt;&gt;")=0,"",SUMIFS(BD!$J$3:$J$5001,BD!$A$3:$A$5001,AH$3,BD!$B$3:$B$5001,$A$5)))</f>
        <v/>
      </c>
      <c r="AI12" s="208" t="str">
        <f>IF(AI$3="","",IF(COUNTIFS(BD!$A$3:$A$5001,AI$3,BD!$B$3:$B$5001,$A$5,BD!$J$3:$J$5001,"&lt;&gt;")=0,"",SUMIFS(BD!$J$3:$J$5001,BD!$A$3:$A$5001,AI$3,BD!$B$3:$B$5001,$A$5)))</f>
        <v/>
      </c>
      <c r="AJ12" s="209" t="str">
        <f>IF(AJ$3="","",IF(COUNTIFS(BD!$A$3:$A$5001,AJ$3,BD!$B$3:$B$5001,$A$5,BD!$J$3:$J$5001,"&lt;&gt;")=0,"",SUMIFS(BD!$J$3:$J$5001,BD!$A$3:$A$5001,AJ$3,BD!$B$3:$B$5001,$A$5)))</f>
        <v/>
      </c>
      <c r="AK12" s="210" t="str">
        <f>IF(COUNT(F12:AJ12)=0,"",SUM(F12:AJ12))</f>
        <v/>
      </c>
    </row>
    <row r="13" ht="15.75" customHeight="1">
      <c r="A13" s="254"/>
      <c r="B13" s="249"/>
      <c r="C13" s="211" t="inlineStr">
        <is>
          <t xml:space="preserve">Backlog</t>
        </is>
      </c>
      <c r="D13" s="212" t="str">
        <f>IFERROR(1/(1/INDEX(BD!$Y$31:$AS$31,MATCH($A$5,BD!$Y$22:$AS$22,0))),"")</f>
        <v/>
      </c>
      <c r="E13" s="213"/>
      <c r="F13" s="214" t="str">
        <f>IF(F$3="","",IF(COUNTIFS(BD!$A$3:$A$5001,F$3,BD!$B$3:$B$5001,$A$5,BD!$K$3:$K$5001,"&lt;&gt;")=0,"",SUMIFS(BD!$K$3:$K$5001,BD!$A$3:$A$5001,F$3,BD!$B$3:$B$5001,$A$5)))</f>
        <v/>
      </c>
      <c r="G13" s="215" t="str">
        <f>IF(G$3="","",IF(COUNTIFS(BD!$A$3:$A$5001,G$3,BD!$B$3:$B$5001,$A$5,BD!$K$3:$K$5001,"&lt;&gt;")=0,"",SUMIFS(BD!$K$3:$K$5001,BD!$A$3:$A$5001,G$3,BD!$B$3:$B$5001,$A$5)))</f>
        <v/>
      </c>
      <c r="H13" s="215" t="str">
        <f>IF(H$3="","",IF(COUNTIFS(BD!$A$3:$A$5001,H$3,BD!$B$3:$B$5001,$A$5,BD!$K$3:$K$5001,"&lt;&gt;")=0,"",SUMIFS(BD!$K$3:$K$5001,BD!$A$3:$A$5001,H$3,BD!$B$3:$B$5001,$A$5)))</f>
        <v/>
      </c>
      <c r="I13" s="215" t="str">
        <f>IF(I$3="","",IF(COUNTIFS(BD!$A$3:$A$5001,I$3,BD!$B$3:$B$5001,$A$5,BD!$K$3:$K$5001,"&lt;&gt;")=0,"",SUMIFS(BD!$K$3:$K$5001,BD!$A$3:$A$5001,I$3,BD!$B$3:$B$5001,$A$5)))</f>
        <v/>
      </c>
      <c r="J13" s="215" t="str">
        <f>IF(J$3="","",IF(COUNTIFS(BD!$A$3:$A$5001,J$3,BD!$B$3:$B$5001,$A$5,BD!$K$3:$K$5001,"&lt;&gt;")=0,"",SUMIFS(BD!$K$3:$K$5001,BD!$A$3:$A$5001,J$3,BD!$B$3:$B$5001,$A$5)))</f>
        <v/>
      </c>
      <c r="K13" s="215" t="str">
        <f>IF(K$3="","",IF(COUNTIFS(BD!$A$3:$A$5001,K$3,BD!$B$3:$B$5001,$A$5,BD!$K$3:$K$5001,"&lt;&gt;")=0,"",SUMIFS(BD!$K$3:$K$5001,BD!$A$3:$A$5001,K$3,BD!$B$3:$B$5001,$A$5)))</f>
        <v/>
      </c>
      <c r="L13" s="215" t="str">
        <f>IF(L$3="","",IF(COUNTIFS(BD!$A$3:$A$5001,L$3,BD!$B$3:$B$5001,$A$5,BD!$K$3:$K$5001,"&lt;&gt;")=0,"",SUMIFS(BD!$K$3:$K$5001,BD!$A$3:$A$5001,L$3,BD!$B$3:$B$5001,$A$5)))</f>
        <v/>
      </c>
      <c r="M13" s="215" t="str">
        <f>IF(M$3="","",IF(COUNTIFS(BD!$A$3:$A$5001,M$3,BD!$B$3:$B$5001,$A$5,BD!$K$3:$K$5001,"&lt;&gt;")=0,"",SUMIFS(BD!$K$3:$K$5001,BD!$A$3:$A$5001,M$3,BD!$B$3:$B$5001,$A$5)))</f>
        <v/>
      </c>
      <c r="N13" s="215" t="str">
        <f>IF(N$3="","",IF(COUNTIFS(BD!$A$3:$A$5001,N$3,BD!$B$3:$B$5001,$A$5,BD!$K$3:$K$5001,"&lt;&gt;")=0,"",SUMIFS(BD!$K$3:$K$5001,BD!$A$3:$A$5001,N$3,BD!$B$3:$B$5001,$A$5)))</f>
        <v/>
      </c>
      <c r="O13" s="215" t="str">
        <f>IF(O$3="","",IF(COUNTIFS(BD!$A$3:$A$5001,O$3,BD!$B$3:$B$5001,$A$5,BD!$K$3:$K$5001,"&lt;&gt;")=0,"",SUMIFS(BD!$K$3:$K$5001,BD!$A$3:$A$5001,O$3,BD!$B$3:$B$5001,$A$5)))</f>
        <v/>
      </c>
      <c r="P13" s="215" t="str">
        <f>IF(P$3="","",IF(COUNTIFS(BD!$A$3:$A$5001,P$3,BD!$B$3:$B$5001,$A$5,BD!$K$3:$K$5001,"&lt;&gt;")=0,"",SUMIFS(BD!$K$3:$K$5001,BD!$A$3:$A$5001,P$3,BD!$B$3:$B$5001,$A$5)))</f>
        <v/>
      </c>
      <c r="Q13" s="215" t="str">
        <f>IF(Q$3="","",IF(COUNTIFS(BD!$A$3:$A$5001,Q$3,BD!$B$3:$B$5001,$A$5,BD!$K$3:$K$5001,"&lt;&gt;")=0,"",SUMIFS(BD!$K$3:$K$5001,BD!$A$3:$A$5001,Q$3,BD!$B$3:$B$5001,$A$5)))</f>
        <v/>
      </c>
      <c r="R13" s="215" t="str">
        <f>IF(R$3="","",IF(COUNTIFS(BD!$A$3:$A$5001,R$3,BD!$B$3:$B$5001,$A$5,BD!$K$3:$K$5001,"&lt;&gt;")=0,"",SUMIFS(BD!$K$3:$K$5001,BD!$A$3:$A$5001,R$3,BD!$B$3:$B$5001,$A$5)))</f>
        <v/>
      </c>
      <c r="S13" s="215" t="str">
        <f>IF(S$3="","",IF(COUNTIFS(BD!$A$3:$A$5001,S$3,BD!$B$3:$B$5001,$A$5,BD!$K$3:$K$5001,"&lt;&gt;")=0,"",SUMIFS(BD!$K$3:$K$5001,BD!$A$3:$A$5001,S$3,BD!$B$3:$B$5001,$A$5)))</f>
        <v/>
      </c>
      <c r="T13" s="215" t="str">
        <f>IF(T$3="","",IF(COUNTIFS(BD!$A$3:$A$5001,T$3,BD!$B$3:$B$5001,$A$5,BD!$K$3:$K$5001,"&lt;&gt;")=0,"",SUMIFS(BD!$K$3:$K$5001,BD!$A$3:$A$5001,T$3,BD!$B$3:$B$5001,$A$5)))</f>
        <v/>
      </c>
      <c r="U13" s="215" t="str">
        <f>IF(U$3="","",IF(COUNTIFS(BD!$A$3:$A$5001,U$3,BD!$B$3:$B$5001,$A$5,BD!$K$3:$K$5001,"&lt;&gt;")=0,"",SUMIFS(BD!$K$3:$K$5001,BD!$A$3:$A$5001,U$3,BD!$B$3:$B$5001,$A$5)))</f>
        <v/>
      </c>
      <c r="V13" s="215" t="str">
        <f>IF(V$3="","",IF(COUNTIFS(BD!$A$3:$A$5001,V$3,BD!$B$3:$B$5001,$A$5,BD!$K$3:$K$5001,"&lt;&gt;")=0,"",SUMIFS(BD!$K$3:$K$5001,BD!$A$3:$A$5001,V$3,BD!$B$3:$B$5001,$A$5)))</f>
        <v/>
      </c>
      <c r="W13" s="215" t="str">
        <f>IF(W$3="","",IF(COUNTIFS(BD!$A$3:$A$5001,W$3,BD!$B$3:$B$5001,$A$5,BD!$K$3:$K$5001,"&lt;&gt;")=0,"",SUMIFS(BD!$K$3:$K$5001,BD!$A$3:$A$5001,W$3,BD!$B$3:$B$5001,$A$5)))</f>
        <v/>
      </c>
      <c r="X13" s="215" t="str">
        <f>IF(X$3="","",IF(COUNTIFS(BD!$A$3:$A$5001,X$3,BD!$B$3:$B$5001,$A$5,BD!$K$3:$K$5001,"&lt;&gt;")=0,"",SUMIFS(BD!$K$3:$K$5001,BD!$A$3:$A$5001,X$3,BD!$B$3:$B$5001,$A$5)))</f>
        <v/>
      </c>
      <c r="Y13" s="215" t="str">
        <f>IF(Y$3="","",IF(COUNTIFS(BD!$A$3:$A$5001,Y$3,BD!$B$3:$B$5001,$A$5,BD!$K$3:$K$5001,"&lt;&gt;")=0,"",SUMIFS(BD!$K$3:$K$5001,BD!$A$3:$A$5001,Y$3,BD!$B$3:$B$5001,$A$5)))</f>
        <v/>
      </c>
      <c r="Z13" s="215" t="str">
        <f>IF(Z$3="","",IF(COUNTIFS(BD!$A$3:$A$5001,Z$3,BD!$B$3:$B$5001,$A$5,BD!$K$3:$K$5001,"&lt;&gt;")=0,"",SUMIFS(BD!$K$3:$K$5001,BD!$A$3:$A$5001,Z$3,BD!$B$3:$B$5001,$A$5)))</f>
        <v/>
      </c>
      <c r="AA13" s="215" t="str">
        <f>IF(AA$3="","",IF(COUNTIFS(BD!$A$3:$A$5001,AA$3,BD!$B$3:$B$5001,$A$5,BD!$K$3:$K$5001,"&lt;&gt;")=0,"",SUMIFS(BD!$K$3:$K$5001,BD!$A$3:$A$5001,AA$3,BD!$B$3:$B$5001,$A$5)))</f>
        <v/>
      </c>
      <c r="AB13" s="215" t="str">
        <f>IF(AB$3="","",IF(COUNTIFS(BD!$A$3:$A$5001,AB$3,BD!$B$3:$B$5001,$A$5,BD!$K$3:$K$5001,"&lt;&gt;")=0,"",SUMIFS(BD!$K$3:$K$5001,BD!$A$3:$A$5001,AB$3,BD!$B$3:$B$5001,$A$5)))</f>
        <v/>
      </c>
      <c r="AC13" s="215" t="str">
        <f>IF(AC$3="","",IF(COUNTIFS(BD!$A$3:$A$5001,AC$3,BD!$B$3:$B$5001,$A$5,BD!$K$3:$K$5001,"&lt;&gt;")=0,"",SUMIFS(BD!$K$3:$K$5001,BD!$A$3:$A$5001,AC$3,BD!$B$3:$B$5001,$A$5)))</f>
        <v/>
      </c>
      <c r="AD13" s="215" t="str">
        <f>IF(AD$3="","",IF(COUNTIFS(BD!$A$3:$A$5001,AD$3,BD!$B$3:$B$5001,$A$5,BD!$K$3:$K$5001,"&lt;&gt;")=0,"",SUMIFS(BD!$K$3:$K$5001,BD!$A$3:$A$5001,AD$3,BD!$B$3:$B$5001,$A$5)))</f>
        <v/>
      </c>
      <c r="AE13" s="215" t="str">
        <f>IF(AE$3="","",IF(COUNTIFS(BD!$A$3:$A$5001,AE$3,BD!$B$3:$B$5001,$A$5,BD!$K$3:$K$5001,"&lt;&gt;")=0,"",SUMIFS(BD!$K$3:$K$5001,BD!$A$3:$A$5001,AE$3,BD!$B$3:$B$5001,$A$5)))</f>
        <v/>
      </c>
      <c r="AF13" s="215" t="str">
        <f>IF(AF$3="","",IF(COUNTIFS(BD!$A$3:$A$5001,AF$3,BD!$B$3:$B$5001,$A$5,BD!$K$3:$K$5001,"&lt;&gt;")=0,"",SUMIFS(BD!$K$3:$K$5001,BD!$A$3:$A$5001,AF$3,BD!$B$3:$B$5001,$A$5)))</f>
        <v/>
      </c>
      <c r="AG13" s="215" t="str">
        <f>IF(AG$3="","",IF(COUNTIFS(BD!$A$3:$A$5001,AG$3,BD!$B$3:$B$5001,$A$5,BD!$K$3:$K$5001,"&lt;&gt;")=0,"",SUMIFS(BD!$K$3:$K$5001,BD!$A$3:$A$5001,AG$3,BD!$B$3:$B$5001,$A$5)))</f>
        <v/>
      </c>
      <c r="AH13" s="215" t="str">
        <f>IF(AH$3="","",IF(COUNTIFS(BD!$A$3:$A$5001,AH$3,BD!$B$3:$B$5001,$A$5,BD!$K$3:$K$5001,"&lt;&gt;")=0,"",SUMIFS(BD!$K$3:$K$5001,BD!$A$3:$A$5001,AH$3,BD!$B$3:$B$5001,$A$5)))</f>
        <v/>
      </c>
      <c r="AI13" s="215" t="str">
        <f>IF(AI$3="","",IF(COUNTIFS(BD!$A$3:$A$5001,AI$3,BD!$B$3:$B$5001,$A$5,BD!$K$3:$K$5001,"&lt;&gt;")=0,"",SUMIFS(BD!$K$3:$K$5001,BD!$A$3:$A$5001,AI$3,BD!$B$3:$B$5001,$A$5)))</f>
        <v/>
      </c>
      <c r="AJ13" s="216" t="str">
        <f>IF(AJ$3="","",IF(COUNTIFS(BD!$A$3:$A$5001,AJ$3,BD!$B$3:$B$5001,$A$5,BD!$K$3:$K$5001,"&lt;&gt;")=0,"",SUMIFS(BD!$K$3:$K$5001,BD!$A$3:$A$5001,AJ$3,BD!$B$3:$B$5001,$A$5)))</f>
        <v/>
      </c>
      <c r="AK13" s="212" t="str">
        <f>IFERROR(LOOKUP(9.99E+307,F13:AJ13),"")</f>
        <v/>
      </c>
    </row>
    <row r="14" ht="15.75" customHeight="1">
      <c r="A14" s="254"/>
      <c r="B14" s="241" t="inlineStr">
        <is>
          <t xml:space="preserve">OCUPAÇÃO (P.P)</t>
        </is>
      </c>
      <c r="C14" s="155" t="inlineStr">
        <is>
          <t xml:space="preserve">Posições Disponíveis</t>
        </is>
      </c>
      <c r="D14" s="156" t="str">
        <f>IFERROR(1/(1/INDEX(BD!$Y$32:$AS$32,MATCH($A$5,BD!$Y$22:$AS$22,0))),"")</f>
        <v/>
      </c>
      <c r="E14" s="157"/>
      <c r="F14" s="158" t="str">
        <f>IF(F$3="","",IF(COUNTIFS(BD!$A$3:$A$5001,F$3,BD!$B$3:$B$5001,$A$5,BD!$L$3:$L$5001,"&lt;&gt;")=0,"",SUMIFS(BD!$L$3:$L$5001,BD!$A$3:$A$5001,F$3,BD!$B$3:$B$5001,$A$5)))</f>
        <v/>
      </c>
      <c r="G14" s="159" t="str">
        <f>IF(G$3="","",IF(COUNTIFS(BD!$A$3:$A$5001,G$3,BD!$B$3:$B$5001,$A$5,BD!$L$3:$L$5001,"&lt;&gt;")=0,"",SUMIFS(BD!$L$3:$L$5001,BD!$A$3:$A$5001,G$3,BD!$B$3:$B$5001,$A$5)))</f>
        <v/>
      </c>
      <c r="H14" s="159" t="str">
        <f>IF(H$3="","",IF(COUNTIFS(BD!$A$3:$A$5001,H$3,BD!$B$3:$B$5001,$A$5,BD!$L$3:$L$5001,"&lt;&gt;")=0,"",SUMIFS(BD!$L$3:$L$5001,BD!$A$3:$A$5001,H$3,BD!$B$3:$B$5001,$A$5)))</f>
        <v/>
      </c>
      <c r="I14" s="159" t="str">
        <f>IF(I$3="","",IF(COUNTIFS(BD!$A$3:$A$5001,I$3,BD!$B$3:$B$5001,$A$5,BD!$L$3:$L$5001,"&lt;&gt;")=0,"",SUMIFS(BD!$L$3:$L$5001,BD!$A$3:$A$5001,I$3,BD!$B$3:$B$5001,$A$5)))</f>
        <v/>
      </c>
      <c r="J14" s="159" t="str">
        <f>IF(J$3="","",IF(COUNTIFS(BD!$A$3:$A$5001,J$3,BD!$B$3:$B$5001,$A$5,BD!$L$3:$L$5001,"&lt;&gt;")=0,"",SUMIFS(BD!$L$3:$L$5001,BD!$A$3:$A$5001,J$3,BD!$B$3:$B$5001,$A$5)))</f>
        <v/>
      </c>
      <c r="K14" s="159" t="str">
        <f>IF(K$3="","",IF(COUNTIFS(BD!$A$3:$A$5001,K$3,BD!$B$3:$B$5001,$A$5,BD!$L$3:$L$5001,"&lt;&gt;")=0,"",SUMIFS(BD!$L$3:$L$5001,BD!$A$3:$A$5001,K$3,BD!$B$3:$B$5001,$A$5)))</f>
        <v/>
      </c>
      <c r="L14" s="159" t="str">
        <f>IF(L$3="","",IF(COUNTIFS(BD!$A$3:$A$5001,L$3,BD!$B$3:$B$5001,$A$5,BD!$L$3:$L$5001,"&lt;&gt;")=0,"",SUMIFS(BD!$L$3:$L$5001,BD!$A$3:$A$5001,L$3,BD!$B$3:$B$5001,$A$5)))</f>
        <v/>
      </c>
      <c r="M14" s="159" t="str">
        <f>IF(M$3="","",IF(COUNTIFS(BD!$A$3:$A$5001,M$3,BD!$B$3:$B$5001,$A$5,BD!$L$3:$L$5001,"&lt;&gt;")=0,"",SUMIFS(BD!$L$3:$L$5001,BD!$A$3:$A$5001,M$3,BD!$B$3:$B$5001,$A$5)))</f>
        <v/>
      </c>
      <c r="N14" s="159" t="str">
        <f>IF(N$3="","",IF(COUNTIFS(BD!$A$3:$A$5001,N$3,BD!$B$3:$B$5001,$A$5,BD!$L$3:$L$5001,"&lt;&gt;")=0,"",SUMIFS(BD!$L$3:$L$5001,BD!$A$3:$A$5001,N$3,BD!$B$3:$B$5001,$A$5)))</f>
        <v/>
      </c>
      <c r="O14" s="159" t="str">
        <f>IF(O$3="","",IF(COUNTIFS(BD!$A$3:$A$5001,O$3,BD!$B$3:$B$5001,$A$5,BD!$L$3:$L$5001,"&lt;&gt;")=0,"",SUMIFS(BD!$L$3:$L$5001,BD!$A$3:$A$5001,O$3,BD!$B$3:$B$5001,$A$5)))</f>
        <v/>
      </c>
      <c r="P14" s="159" t="str">
        <f>IF(P$3="","",IF(COUNTIFS(BD!$A$3:$A$5001,P$3,BD!$B$3:$B$5001,$A$5,BD!$L$3:$L$5001,"&lt;&gt;")=0,"",SUMIFS(BD!$L$3:$L$5001,BD!$A$3:$A$5001,P$3,BD!$B$3:$B$5001,$A$5)))</f>
        <v/>
      </c>
      <c r="Q14" s="159" t="str">
        <f>IF(Q$3="","",IF(COUNTIFS(BD!$A$3:$A$5001,Q$3,BD!$B$3:$B$5001,$A$5,BD!$L$3:$L$5001,"&lt;&gt;")=0,"",SUMIFS(BD!$L$3:$L$5001,BD!$A$3:$A$5001,Q$3,BD!$B$3:$B$5001,$A$5)))</f>
        <v/>
      </c>
      <c r="R14" s="159" t="str">
        <f>IF(R$3="","",IF(COUNTIFS(BD!$A$3:$A$5001,R$3,BD!$B$3:$B$5001,$A$5,BD!$L$3:$L$5001,"&lt;&gt;")=0,"",SUMIFS(BD!$L$3:$L$5001,BD!$A$3:$A$5001,R$3,BD!$B$3:$B$5001,$A$5)))</f>
        <v/>
      </c>
      <c r="S14" s="159" t="str">
        <f>IF(S$3="","",IF(COUNTIFS(BD!$A$3:$A$5001,S$3,BD!$B$3:$B$5001,$A$5,BD!$L$3:$L$5001,"&lt;&gt;")=0,"",SUMIFS(BD!$L$3:$L$5001,BD!$A$3:$A$5001,S$3,BD!$B$3:$B$5001,$A$5)))</f>
        <v/>
      </c>
      <c r="T14" s="159" t="str">
        <f>IF(T$3="","",IF(COUNTIFS(BD!$A$3:$A$5001,T$3,BD!$B$3:$B$5001,$A$5,BD!$L$3:$L$5001,"&lt;&gt;")=0,"",SUMIFS(BD!$L$3:$L$5001,BD!$A$3:$A$5001,T$3,BD!$B$3:$B$5001,$A$5)))</f>
        <v/>
      </c>
      <c r="U14" s="159" t="str">
        <f>IF(U$3="","",IF(COUNTIFS(BD!$A$3:$A$5001,U$3,BD!$B$3:$B$5001,$A$5,BD!$L$3:$L$5001,"&lt;&gt;")=0,"",SUMIFS(BD!$L$3:$L$5001,BD!$A$3:$A$5001,U$3,BD!$B$3:$B$5001,$A$5)))</f>
        <v/>
      </c>
      <c r="V14" s="159" t="str">
        <f>IF(V$3="","",IF(COUNTIFS(BD!$A$3:$A$5001,V$3,BD!$B$3:$B$5001,$A$5,BD!$L$3:$L$5001,"&lt;&gt;")=0,"",SUMIFS(BD!$L$3:$L$5001,BD!$A$3:$A$5001,V$3,BD!$B$3:$B$5001,$A$5)))</f>
        <v/>
      </c>
      <c r="W14" s="159" t="str">
        <f>IF(W$3="","",IF(COUNTIFS(BD!$A$3:$A$5001,W$3,BD!$B$3:$B$5001,$A$5,BD!$L$3:$L$5001,"&lt;&gt;")=0,"",SUMIFS(BD!$L$3:$L$5001,BD!$A$3:$A$5001,W$3,BD!$B$3:$B$5001,$A$5)))</f>
        <v/>
      </c>
      <c r="X14" s="159" t="str">
        <f>IF(X$3="","",IF(COUNTIFS(BD!$A$3:$A$5001,X$3,BD!$B$3:$B$5001,$A$5,BD!$L$3:$L$5001,"&lt;&gt;")=0,"",SUMIFS(BD!$L$3:$L$5001,BD!$A$3:$A$5001,X$3,BD!$B$3:$B$5001,$A$5)))</f>
        <v/>
      </c>
      <c r="Y14" s="159" t="str">
        <f>IF(Y$3="","",IF(COUNTIFS(BD!$A$3:$A$5001,Y$3,BD!$B$3:$B$5001,$A$5,BD!$L$3:$L$5001,"&lt;&gt;")=0,"",SUMIFS(BD!$L$3:$L$5001,BD!$A$3:$A$5001,Y$3,BD!$B$3:$B$5001,$A$5)))</f>
        <v/>
      </c>
      <c r="Z14" s="159" t="str">
        <f>IF(Z$3="","",IF(COUNTIFS(BD!$A$3:$A$5001,Z$3,BD!$B$3:$B$5001,$A$5,BD!$L$3:$L$5001,"&lt;&gt;")=0,"",SUMIFS(BD!$L$3:$L$5001,BD!$A$3:$A$5001,Z$3,BD!$B$3:$B$5001,$A$5)))</f>
        <v/>
      </c>
      <c r="AA14" s="159" t="str">
        <f>IF(AA$3="","",IF(COUNTIFS(BD!$A$3:$A$5001,AA$3,BD!$B$3:$B$5001,$A$5,BD!$L$3:$L$5001,"&lt;&gt;")=0,"",SUMIFS(BD!$L$3:$L$5001,BD!$A$3:$A$5001,AA$3,BD!$B$3:$B$5001,$A$5)))</f>
        <v/>
      </c>
      <c r="AB14" s="159" t="str">
        <f>IF(AB$3="","",IF(COUNTIFS(BD!$A$3:$A$5001,AB$3,BD!$B$3:$B$5001,$A$5,BD!$L$3:$L$5001,"&lt;&gt;")=0,"",SUMIFS(BD!$L$3:$L$5001,BD!$A$3:$A$5001,AB$3,BD!$B$3:$B$5001,$A$5)))</f>
        <v/>
      </c>
      <c r="AC14" s="159" t="str">
        <f>IF(AC$3="","",IF(COUNTIFS(BD!$A$3:$A$5001,AC$3,BD!$B$3:$B$5001,$A$5,BD!$L$3:$L$5001,"&lt;&gt;")=0,"",SUMIFS(BD!$L$3:$L$5001,BD!$A$3:$A$5001,AC$3,BD!$B$3:$B$5001,$A$5)))</f>
        <v/>
      </c>
      <c r="AD14" s="159" t="str">
        <f>IF(AD$3="","",IF(COUNTIFS(BD!$A$3:$A$5001,AD$3,BD!$B$3:$B$5001,$A$5,BD!$L$3:$L$5001,"&lt;&gt;")=0,"",SUMIFS(BD!$L$3:$L$5001,BD!$A$3:$A$5001,AD$3,BD!$B$3:$B$5001,$A$5)))</f>
        <v/>
      </c>
      <c r="AE14" s="159" t="str">
        <f>IF(AE$3="","",IF(COUNTIFS(BD!$A$3:$A$5001,AE$3,BD!$B$3:$B$5001,$A$5,BD!$L$3:$L$5001,"&lt;&gt;")=0,"",SUMIFS(BD!$L$3:$L$5001,BD!$A$3:$A$5001,AE$3,BD!$B$3:$B$5001,$A$5)))</f>
        <v/>
      </c>
      <c r="AF14" s="159" t="str">
        <f>IF(AF$3="","",IF(COUNTIFS(BD!$A$3:$A$5001,AF$3,BD!$B$3:$B$5001,$A$5,BD!$L$3:$L$5001,"&lt;&gt;")=0,"",SUMIFS(BD!$L$3:$L$5001,BD!$A$3:$A$5001,AF$3,BD!$B$3:$B$5001,$A$5)))</f>
        <v/>
      </c>
      <c r="AG14" s="159" t="str">
        <f>IF(AG$3="","",IF(COUNTIFS(BD!$A$3:$A$5001,AG$3,BD!$B$3:$B$5001,$A$5,BD!$L$3:$L$5001,"&lt;&gt;")=0,"",SUMIFS(BD!$L$3:$L$5001,BD!$A$3:$A$5001,AG$3,BD!$B$3:$B$5001,$A$5)))</f>
        <v/>
      </c>
      <c r="AH14" s="159" t="str">
        <f>IF(AH$3="","",IF(COUNTIFS(BD!$A$3:$A$5001,AH$3,BD!$B$3:$B$5001,$A$5,BD!$L$3:$L$5001,"&lt;&gt;")=0,"",SUMIFS(BD!$L$3:$L$5001,BD!$A$3:$A$5001,AH$3,BD!$B$3:$B$5001,$A$5)))</f>
        <v/>
      </c>
      <c r="AI14" s="159" t="str">
        <f>IF(AI$3="","",IF(COUNTIFS(BD!$A$3:$A$5001,AI$3,BD!$B$3:$B$5001,$A$5,BD!$L$3:$L$5001,"&lt;&gt;")=0,"",SUMIFS(BD!$L$3:$L$5001,BD!$A$3:$A$5001,AI$3,BD!$B$3:$B$5001,$A$5)))</f>
        <v/>
      </c>
      <c r="AJ14" s="160" t="str">
        <f>IF(AJ$3="","",IF(COUNTIFS(BD!$A$3:$A$5001,AJ$3,BD!$B$3:$B$5001,$A$5,BD!$L$3:$L$5001,"&lt;&gt;")=0,"",SUMIFS(BD!$L$3:$L$5001,BD!$A$3:$A$5001,AJ$3,BD!$B$3:$B$5001,$A$5)))</f>
        <v/>
      </c>
      <c r="AK14" s="161" t="str">
        <f>IF(COUNT(F14:AJ14)&gt;0,LOOKUP(9.99E+307,F14:AJ14),IFERROR(IF(INDEX(BD!$V$3:$V$5001,MATCH($A$5,BD!$B$3:$B$5001,0))&amp;""="Contrato","",INDEX(BD!$V$3:$V$5001,MATCH($A$5,BD!$B$3:$B$5001,0))&amp;""),""))</f>
        <v/>
      </c>
    </row>
    <row r="15" ht="15.75" customHeight="1">
      <c r="A15" s="254"/>
      <c r="B15" s="242"/>
      <c r="C15" s="162" t="inlineStr">
        <is>
          <t xml:space="preserve">Posições Ocupadas</t>
        </is>
      </c>
      <c r="D15" s="163" t="str">
        <f>IFERROR(1/(1/INDEX(BD!$Y$33:$AS$33,MATCH($A$5,BD!$Y$22:$AS$22,0))),"")</f>
        <v/>
      </c>
      <c r="E15" s="164"/>
      <c r="F15" s="165" t="str">
        <f>IF(F$3="","",IF(COUNTIFS(BD!$A$3:$A$5001,F$3,BD!$B$3:$B$5001,$A$5,BD!$M$3:$M$5001,"&lt;&gt;")=0,"",SUMIFS(BD!$M$3:$M$5001,BD!$A$3:$A$5001,F$3,BD!$B$3:$B$5001,$A$5)))</f>
        <v/>
      </c>
      <c r="G15" s="166" t="str">
        <f>IF(G$3="","",IF(COUNTIFS(BD!$A$3:$A$5001,G$3,BD!$B$3:$B$5001,$A$5,BD!$M$3:$M$5001,"&lt;&gt;")=0,"",SUMIFS(BD!$M$3:$M$5001,BD!$A$3:$A$5001,G$3,BD!$B$3:$B$5001,$A$5)))</f>
        <v/>
      </c>
      <c r="H15" s="166" t="str">
        <f>IF(H$3="","",IF(COUNTIFS(BD!$A$3:$A$5001,H$3,BD!$B$3:$B$5001,$A$5,BD!$M$3:$M$5001,"&lt;&gt;")=0,"",SUMIFS(BD!$M$3:$M$5001,BD!$A$3:$A$5001,H$3,BD!$B$3:$B$5001,$A$5)))</f>
        <v/>
      </c>
      <c r="I15" s="166" t="str">
        <f>IF(I$3="","",IF(COUNTIFS(BD!$A$3:$A$5001,I$3,BD!$B$3:$B$5001,$A$5,BD!$M$3:$M$5001,"&lt;&gt;")=0,"",SUMIFS(BD!$M$3:$M$5001,BD!$A$3:$A$5001,I$3,BD!$B$3:$B$5001,$A$5)))</f>
        <v/>
      </c>
      <c r="J15" s="166" t="str">
        <f>IF(J$3="","",IF(COUNTIFS(BD!$A$3:$A$5001,J$3,BD!$B$3:$B$5001,$A$5,BD!$M$3:$M$5001,"&lt;&gt;")=0,"",SUMIFS(BD!$M$3:$M$5001,BD!$A$3:$A$5001,J$3,BD!$B$3:$B$5001,$A$5)))</f>
        <v/>
      </c>
      <c r="K15" s="166" t="str">
        <f>IF(K$3="","",IF(COUNTIFS(BD!$A$3:$A$5001,K$3,BD!$B$3:$B$5001,$A$5,BD!$M$3:$M$5001,"&lt;&gt;")=0,"",SUMIFS(BD!$M$3:$M$5001,BD!$A$3:$A$5001,K$3,BD!$B$3:$B$5001,$A$5)))</f>
        <v/>
      </c>
      <c r="L15" s="166" t="str">
        <f>IF(L$3="","",IF(COUNTIFS(BD!$A$3:$A$5001,L$3,BD!$B$3:$B$5001,$A$5,BD!$M$3:$M$5001,"&lt;&gt;")=0,"",SUMIFS(BD!$M$3:$M$5001,BD!$A$3:$A$5001,L$3,BD!$B$3:$B$5001,$A$5)))</f>
        <v/>
      </c>
      <c r="M15" s="166" t="str">
        <f>IF(M$3="","",IF(COUNTIFS(BD!$A$3:$A$5001,M$3,BD!$B$3:$B$5001,$A$5,BD!$M$3:$M$5001,"&lt;&gt;")=0,"",SUMIFS(BD!$M$3:$M$5001,BD!$A$3:$A$5001,M$3,BD!$B$3:$B$5001,$A$5)))</f>
        <v/>
      </c>
      <c r="N15" s="166" t="str">
        <f>IF(N$3="","",IF(COUNTIFS(BD!$A$3:$A$5001,N$3,BD!$B$3:$B$5001,$A$5,BD!$M$3:$M$5001,"&lt;&gt;")=0,"",SUMIFS(BD!$M$3:$M$5001,BD!$A$3:$A$5001,N$3,BD!$B$3:$B$5001,$A$5)))</f>
        <v/>
      </c>
      <c r="O15" s="166" t="str">
        <f>IF(O$3="","",IF(COUNTIFS(BD!$A$3:$A$5001,O$3,BD!$B$3:$B$5001,$A$5,BD!$M$3:$M$5001,"&lt;&gt;")=0,"",SUMIFS(BD!$M$3:$M$5001,BD!$A$3:$A$5001,O$3,BD!$B$3:$B$5001,$A$5)))</f>
        <v/>
      </c>
      <c r="P15" s="166" t="str">
        <f>IF(P$3="","",IF(COUNTIFS(BD!$A$3:$A$5001,P$3,BD!$B$3:$B$5001,$A$5,BD!$M$3:$M$5001,"&lt;&gt;")=0,"",SUMIFS(BD!$M$3:$M$5001,BD!$A$3:$A$5001,P$3,BD!$B$3:$B$5001,$A$5)))</f>
        <v/>
      </c>
      <c r="Q15" s="166" t="str">
        <f>IF(Q$3="","",IF(COUNTIFS(BD!$A$3:$A$5001,Q$3,BD!$B$3:$B$5001,$A$5,BD!$M$3:$M$5001,"&lt;&gt;")=0,"",SUMIFS(BD!$M$3:$M$5001,BD!$A$3:$A$5001,Q$3,BD!$B$3:$B$5001,$A$5)))</f>
        <v/>
      </c>
      <c r="R15" s="166" t="str">
        <f>IF(R$3="","",IF(COUNTIFS(BD!$A$3:$A$5001,R$3,BD!$B$3:$B$5001,$A$5,BD!$M$3:$M$5001,"&lt;&gt;")=0,"",SUMIFS(BD!$M$3:$M$5001,BD!$A$3:$A$5001,R$3,BD!$B$3:$B$5001,$A$5)))</f>
        <v/>
      </c>
      <c r="S15" s="166" t="str">
        <f>IF(S$3="","",IF(COUNTIFS(BD!$A$3:$A$5001,S$3,BD!$B$3:$B$5001,$A$5,BD!$M$3:$M$5001,"&lt;&gt;")=0,"",SUMIFS(BD!$M$3:$M$5001,BD!$A$3:$A$5001,S$3,BD!$B$3:$B$5001,$A$5)))</f>
        <v/>
      </c>
      <c r="T15" s="166" t="str">
        <f>IF(T$3="","",IF(COUNTIFS(BD!$A$3:$A$5001,T$3,BD!$B$3:$B$5001,$A$5,BD!$M$3:$M$5001,"&lt;&gt;")=0,"",SUMIFS(BD!$M$3:$M$5001,BD!$A$3:$A$5001,T$3,BD!$B$3:$B$5001,$A$5)))</f>
        <v/>
      </c>
      <c r="U15" s="166" t="str">
        <f>IF(U$3="","",IF(COUNTIFS(BD!$A$3:$A$5001,U$3,BD!$B$3:$B$5001,$A$5,BD!$M$3:$M$5001,"&lt;&gt;")=0,"",SUMIFS(BD!$M$3:$M$5001,BD!$A$3:$A$5001,U$3,BD!$B$3:$B$5001,$A$5)))</f>
        <v/>
      </c>
      <c r="V15" s="166" t="str">
        <f>IF(V$3="","",IF(COUNTIFS(BD!$A$3:$A$5001,V$3,BD!$B$3:$B$5001,$A$5,BD!$M$3:$M$5001,"&lt;&gt;")=0,"",SUMIFS(BD!$M$3:$M$5001,BD!$A$3:$A$5001,V$3,BD!$B$3:$B$5001,$A$5)))</f>
        <v/>
      </c>
      <c r="W15" s="166" t="str">
        <f>IF(W$3="","",IF(COUNTIFS(BD!$A$3:$A$5001,W$3,BD!$B$3:$B$5001,$A$5,BD!$M$3:$M$5001,"&lt;&gt;")=0,"",SUMIFS(BD!$M$3:$M$5001,BD!$A$3:$A$5001,W$3,BD!$B$3:$B$5001,$A$5)))</f>
        <v/>
      </c>
      <c r="X15" s="166" t="str">
        <f>IF(X$3="","",IF(COUNTIFS(BD!$A$3:$A$5001,X$3,BD!$B$3:$B$5001,$A$5,BD!$M$3:$M$5001,"&lt;&gt;")=0,"",SUMIFS(BD!$M$3:$M$5001,BD!$A$3:$A$5001,X$3,BD!$B$3:$B$5001,$A$5)))</f>
        <v/>
      </c>
      <c r="Y15" s="166" t="str">
        <f>IF(Y$3="","",IF(COUNTIFS(BD!$A$3:$A$5001,Y$3,BD!$B$3:$B$5001,$A$5,BD!$M$3:$M$5001,"&lt;&gt;")=0,"",SUMIFS(BD!$M$3:$M$5001,BD!$A$3:$A$5001,Y$3,BD!$B$3:$B$5001,$A$5)))</f>
        <v/>
      </c>
      <c r="Z15" s="166" t="str">
        <f>IF(Z$3="","",IF(COUNTIFS(BD!$A$3:$A$5001,Z$3,BD!$B$3:$B$5001,$A$5,BD!$M$3:$M$5001,"&lt;&gt;")=0,"",SUMIFS(BD!$M$3:$M$5001,BD!$A$3:$A$5001,Z$3,BD!$B$3:$B$5001,$A$5)))</f>
        <v/>
      </c>
      <c r="AA15" s="166" t="str">
        <f>IF(AA$3="","",IF(COUNTIFS(BD!$A$3:$A$5001,AA$3,BD!$B$3:$B$5001,$A$5,BD!$M$3:$M$5001,"&lt;&gt;")=0,"",SUMIFS(BD!$M$3:$M$5001,BD!$A$3:$A$5001,AA$3,BD!$B$3:$B$5001,$A$5)))</f>
        <v/>
      </c>
      <c r="AB15" s="166" t="str">
        <f>IF(AB$3="","",IF(COUNTIFS(BD!$A$3:$A$5001,AB$3,BD!$B$3:$B$5001,$A$5,BD!$M$3:$M$5001,"&lt;&gt;")=0,"",SUMIFS(BD!$M$3:$M$5001,BD!$A$3:$A$5001,AB$3,BD!$B$3:$B$5001,$A$5)))</f>
        <v/>
      </c>
      <c r="AC15" s="166" t="str">
        <f>IF(AC$3="","",IF(COUNTIFS(BD!$A$3:$A$5001,AC$3,BD!$B$3:$B$5001,$A$5,BD!$M$3:$M$5001,"&lt;&gt;")=0,"",SUMIFS(BD!$M$3:$M$5001,BD!$A$3:$A$5001,AC$3,BD!$B$3:$B$5001,$A$5)))</f>
        <v/>
      </c>
      <c r="AD15" s="166" t="str">
        <f>IF(AD$3="","",IF(COUNTIFS(BD!$A$3:$A$5001,AD$3,BD!$B$3:$B$5001,$A$5,BD!$M$3:$M$5001,"&lt;&gt;")=0,"",SUMIFS(BD!$M$3:$M$5001,BD!$A$3:$A$5001,AD$3,BD!$B$3:$B$5001,$A$5)))</f>
        <v/>
      </c>
      <c r="AE15" s="166" t="str">
        <f>IF(AE$3="","",IF(COUNTIFS(BD!$A$3:$A$5001,AE$3,BD!$B$3:$B$5001,$A$5,BD!$M$3:$M$5001,"&lt;&gt;")=0,"",SUMIFS(BD!$M$3:$M$5001,BD!$A$3:$A$5001,AE$3,BD!$B$3:$B$5001,$A$5)))</f>
        <v/>
      </c>
      <c r="AF15" s="166" t="str">
        <f>IF(AF$3="","",IF(COUNTIFS(BD!$A$3:$A$5001,AF$3,BD!$B$3:$B$5001,$A$5,BD!$M$3:$M$5001,"&lt;&gt;")=0,"",SUMIFS(BD!$M$3:$M$5001,BD!$A$3:$A$5001,AF$3,BD!$B$3:$B$5001,$A$5)))</f>
        <v/>
      </c>
      <c r="AG15" s="166" t="str">
        <f>IF(AG$3="","",IF(COUNTIFS(BD!$A$3:$A$5001,AG$3,BD!$B$3:$B$5001,$A$5,BD!$M$3:$M$5001,"&lt;&gt;")=0,"",SUMIFS(BD!$M$3:$M$5001,BD!$A$3:$A$5001,AG$3,BD!$B$3:$B$5001,$A$5)))</f>
        <v/>
      </c>
      <c r="AH15" s="166" t="str">
        <f>IF(AH$3="","",IF(COUNTIFS(BD!$A$3:$A$5001,AH$3,BD!$B$3:$B$5001,$A$5,BD!$M$3:$M$5001,"&lt;&gt;")=0,"",SUMIFS(BD!$M$3:$M$5001,BD!$A$3:$A$5001,AH$3,BD!$B$3:$B$5001,$A$5)))</f>
        <v/>
      </c>
      <c r="AI15" s="166" t="str">
        <f>IF(AI$3="","",IF(COUNTIFS(BD!$A$3:$A$5001,AI$3,BD!$B$3:$B$5001,$A$5,BD!$M$3:$M$5001,"&lt;&gt;")=0,"",SUMIFS(BD!$M$3:$M$5001,BD!$A$3:$A$5001,AI$3,BD!$B$3:$B$5001,$A$5)))</f>
        <v/>
      </c>
      <c r="AJ15" s="167" t="str">
        <f>IF(AJ$3="","",IF(COUNTIFS(BD!$A$3:$A$5001,AJ$3,BD!$B$3:$B$5001,$A$5,BD!$M$3:$M$5001,"&lt;&gt;")=0,"",SUMIFS(BD!$M$3:$M$5001,BD!$A$3:$A$5001,AJ$3,BD!$B$3:$B$5001,$A$5)))</f>
        <v/>
      </c>
      <c r="AK15" s="168" t="str">
        <f>IFERROR(LOOKUP(9.99E+307,F15:AJ15),"")</f>
        <v/>
      </c>
    </row>
    <row r="16" ht="15.75" customHeight="1">
      <c r="A16" s="254"/>
      <c r="B16" s="243"/>
      <c r="C16" s="169" t="inlineStr">
        <is>
          <t xml:space="preserve">Taxa de Ocupação</t>
        </is>
      </c>
      <c r="D16" s="217" t="str">
        <f>IFERROR(1/(1/INDEX(BD!$Y$34:$AS$34,MATCH($A$5,BD!$Y$22:$AS$22,0))),"")</f>
        <v/>
      </c>
      <c r="E16" s="171"/>
      <c r="F16" s="218" t="str">
        <f>IF(AND(ISNUMBER(F14),ISNUMBER(F15)),IF(F14&gt;0,F15/F14,""),"")</f>
        <v/>
      </c>
      <c r="G16" s="219" t="str">
        <f>IF(AND(ISNUMBER(G14),ISNUMBER(G15)),IF(G14&gt;0,G15/G14,""),"")</f>
        <v/>
      </c>
      <c r="H16" s="219" t="str">
        <f>IF(AND(ISNUMBER(H14),ISNUMBER(H15)),IF(H14&gt;0,H15/H14,""),"")</f>
        <v/>
      </c>
      <c r="I16" s="219" t="str">
        <f>IF(AND(ISNUMBER(I14),ISNUMBER(I15)),IF(I14&gt;0,I15/I14,""),"")</f>
        <v/>
      </c>
      <c r="J16" s="219" t="str">
        <f>IF(AND(ISNUMBER(J14),ISNUMBER(J15)),IF(J14&gt;0,J15/J14,""),"")</f>
        <v/>
      </c>
      <c r="K16" s="219" t="str">
        <f>IF(AND(ISNUMBER(K14),ISNUMBER(K15)),IF(K14&gt;0,K15/K14,""),"")</f>
        <v/>
      </c>
      <c r="L16" s="219" t="str">
        <f>IF(AND(ISNUMBER(L14),ISNUMBER(L15)),IF(L14&gt;0,L15/L14,""),"")</f>
        <v/>
      </c>
      <c r="M16" s="219" t="str">
        <f>IF(AND(ISNUMBER(M14),ISNUMBER(M15)),IF(M14&gt;0,M15/M14,""),"")</f>
        <v/>
      </c>
      <c r="N16" s="219" t="str">
        <f>IF(AND(ISNUMBER(N14),ISNUMBER(N15)),IF(N14&gt;0,N15/N14,""),"")</f>
        <v/>
      </c>
      <c r="O16" s="219" t="str">
        <f>IF(AND(ISNUMBER(O14),ISNUMBER(O15)),IF(O14&gt;0,O15/O14,""),"")</f>
        <v/>
      </c>
      <c r="P16" s="219" t="str">
        <f>IF(AND(ISNUMBER(P14),ISNUMBER(P15)),IF(P14&gt;0,P15/P14,""),"")</f>
        <v/>
      </c>
      <c r="Q16" s="219" t="str">
        <f>IF(AND(ISNUMBER(Q14),ISNUMBER(Q15)),IF(Q14&gt;0,Q15/Q14,""),"")</f>
        <v/>
      </c>
      <c r="R16" s="219" t="str">
        <f>IF(AND(ISNUMBER(R14),ISNUMBER(R15)),IF(R14&gt;0,R15/R14,""),"")</f>
        <v/>
      </c>
      <c r="S16" s="219" t="str">
        <f>IF(AND(ISNUMBER(S14),ISNUMBER(S15)),IF(S14&gt;0,S15/S14,""),"")</f>
        <v/>
      </c>
      <c r="T16" s="219" t="str">
        <f>IF(AND(ISNUMBER(T14),ISNUMBER(T15)),IF(T14&gt;0,T15/T14,""),"")</f>
        <v/>
      </c>
      <c r="U16" s="219" t="str">
        <f>IF(AND(ISNUMBER(U14),ISNUMBER(U15)),IF(U14&gt;0,U15/U14,""),"")</f>
        <v/>
      </c>
      <c r="V16" s="219" t="str">
        <f>IF(AND(ISNUMBER(V14),ISNUMBER(V15)),IF(V14&gt;0,V15/V14,""),"")</f>
        <v/>
      </c>
      <c r="W16" s="219" t="str">
        <f>IF(AND(ISNUMBER(W14),ISNUMBER(W15)),IF(W14&gt;0,W15/W14,""),"")</f>
        <v/>
      </c>
      <c r="X16" s="219" t="str">
        <f>IF(AND(ISNUMBER(X14),ISNUMBER(X15)),IF(X14&gt;0,X15/X14,""),"")</f>
        <v/>
      </c>
      <c r="Y16" s="219" t="str">
        <f>IF(AND(ISNUMBER(Y14),ISNUMBER(Y15)),IF(Y14&gt;0,Y15/Y14,""),"")</f>
        <v/>
      </c>
      <c r="Z16" s="219" t="str">
        <f>IF(AND(ISNUMBER(Z14),ISNUMBER(Z15)),IF(Z14&gt;0,Z15/Z14,""),"")</f>
        <v/>
      </c>
      <c r="AA16" s="219" t="str">
        <f>IF(AND(ISNUMBER(AA14),ISNUMBER(AA15)),IF(AA14&gt;0,AA15/AA14,""),"")</f>
        <v/>
      </c>
      <c r="AB16" s="219" t="str">
        <f>IF(AND(ISNUMBER(AB14),ISNUMBER(AB15)),IF(AB14&gt;0,AB15/AB14,""),"")</f>
        <v/>
      </c>
      <c r="AC16" s="219" t="str">
        <f>IF(AND(ISNUMBER(AC14),ISNUMBER(AC15)),IF(AC14&gt;0,AC15/AC14,""),"")</f>
        <v/>
      </c>
      <c r="AD16" s="219" t="str">
        <f>IF(AND(ISNUMBER(AD14),ISNUMBER(AD15)),IF(AD14&gt;0,AD15/AD14,""),"")</f>
        <v/>
      </c>
      <c r="AE16" s="219" t="str">
        <f>IF(AND(ISNUMBER(AE14),ISNUMBER(AE15)),IF(AE14&gt;0,AE15/AE14,""),"")</f>
        <v/>
      </c>
      <c r="AF16" s="219" t="str">
        <f>IF(AND(ISNUMBER(AF14),ISNUMBER(AF15)),IF(AF14&gt;0,AF15/AF14,""),"")</f>
        <v/>
      </c>
      <c r="AG16" s="219" t="str">
        <f>IF(AND(ISNUMBER(AG14),ISNUMBER(AG15)),IF(AG14&gt;0,AG15/AG14,""),"")</f>
        <v/>
      </c>
      <c r="AH16" s="219" t="str">
        <f>IF(AND(ISNUMBER(AH14),ISNUMBER(AH15)),IF(AH14&gt;0,AH15/AH14,""),"")</f>
        <v/>
      </c>
      <c r="AI16" s="219" t="str">
        <f>IF(AND(ISNUMBER(AI14),ISNUMBER(AI15)),IF(AI14&gt;0,AI15/AI14,""),"")</f>
        <v/>
      </c>
      <c r="AJ16" s="220" t="str">
        <f>IF(AND(ISNUMBER(AJ14),ISNUMBER(AJ15)),IF(AJ14&gt;0,AJ15/AJ14,""),"")</f>
        <v/>
      </c>
      <c r="AK16" s="217" t="str">
        <f>IF(AND(ISNUMBER(AK14),ISNUMBER(AK15)),IF(AK14&gt;0,AK15/AK14,""),"")</f>
        <v/>
      </c>
    </row>
    <row r="17" ht="15.75" customHeight="1">
      <c r="A17" s="254"/>
      <c r="B17" s="250" t="inlineStr">
        <is>
          <t xml:space="preserve">GENTE</t>
        </is>
      </c>
      <c r="C17" s="221" t="inlineStr">
        <is>
          <t xml:space="preserve">Efetivo Op.</t>
        </is>
      </c>
      <c r="D17" s="222" t="str">
        <f>IFERROR(1/(1/INDEX(BD!$Y$35:$AS$35,MATCH($A$5,BD!$Y$22:$AS$22,0))),"")</f>
        <v/>
      </c>
      <c r="E17" s="223"/>
      <c r="F17" s="224" t="str">
        <f>IF(F$3="","",IF(COUNTIFS(BD!$A$3:$A$5001,F$3,BD!$B$3:$B$5001,$A$5,BD!$N$3:$N$5001,"&lt;&gt;")=0,"",SUMIFS(BD!$N$3:$N$5001,BD!$A$3:$A$5001,F$3,BD!$B$3:$B$5001,$A$5)))</f>
        <v/>
      </c>
      <c r="G17" s="225" t="str">
        <f>IF(G$3="","",IF(COUNTIFS(BD!$A$3:$A$5001,G$3,BD!$B$3:$B$5001,$A$5,BD!$N$3:$N$5001,"&lt;&gt;")=0,"",SUMIFS(BD!$N$3:$N$5001,BD!$A$3:$A$5001,G$3,BD!$B$3:$B$5001,$A$5)))</f>
        <v/>
      </c>
      <c r="H17" s="225" t="str">
        <f>IF(H$3="","",IF(COUNTIFS(BD!$A$3:$A$5001,H$3,BD!$B$3:$B$5001,$A$5,BD!$N$3:$N$5001,"&lt;&gt;")=0,"",SUMIFS(BD!$N$3:$N$5001,BD!$A$3:$A$5001,H$3,BD!$B$3:$B$5001,$A$5)))</f>
        <v/>
      </c>
      <c r="I17" s="225" t="str">
        <f>IF(I$3="","",IF(COUNTIFS(BD!$A$3:$A$5001,I$3,BD!$B$3:$B$5001,$A$5,BD!$N$3:$N$5001,"&lt;&gt;")=0,"",SUMIFS(BD!$N$3:$N$5001,BD!$A$3:$A$5001,I$3,BD!$B$3:$B$5001,$A$5)))</f>
        <v/>
      </c>
      <c r="J17" s="225" t="str">
        <f>IF(J$3="","",IF(COUNTIFS(BD!$A$3:$A$5001,J$3,BD!$B$3:$B$5001,$A$5,BD!$N$3:$N$5001,"&lt;&gt;")=0,"",SUMIFS(BD!$N$3:$N$5001,BD!$A$3:$A$5001,J$3,BD!$B$3:$B$5001,$A$5)))</f>
        <v/>
      </c>
      <c r="K17" s="225" t="str">
        <f>IF(K$3="","",IF(COUNTIFS(BD!$A$3:$A$5001,K$3,BD!$B$3:$B$5001,$A$5,BD!$N$3:$N$5001,"&lt;&gt;")=0,"",SUMIFS(BD!$N$3:$N$5001,BD!$A$3:$A$5001,K$3,BD!$B$3:$B$5001,$A$5)))</f>
        <v/>
      </c>
      <c r="L17" s="225" t="str">
        <f>IF(L$3="","",IF(COUNTIFS(BD!$A$3:$A$5001,L$3,BD!$B$3:$B$5001,$A$5,BD!$N$3:$N$5001,"&lt;&gt;")=0,"",SUMIFS(BD!$N$3:$N$5001,BD!$A$3:$A$5001,L$3,BD!$B$3:$B$5001,$A$5)))</f>
        <v/>
      </c>
      <c r="M17" s="225" t="str">
        <f>IF(M$3="","",IF(COUNTIFS(BD!$A$3:$A$5001,M$3,BD!$B$3:$B$5001,$A$5,BD!$N$3:$N$5001,"&lt;&gt;")=0,"",SUMIFS(BD!$N$3:$N$5001,BD!$A$3:$A$5001,M$3,BD!$B$3:$B$5001,$A$5)))</f>
        <v/>
      </c>
      <c r="N17" s="225" t="str">
        <f>IF(N$3="","",IF(COUNTIFS(BD!$A$3:$A$5001,N$3,BD!$B$3:$B$5001,$A$5,BD!$N$3:$N$5001,"&lt;&gt;")=0,"",SUMIFS(BD!$N$3:$N$5001,BD!$A$3:$A$5001,N$3,BD!$B$3:$B$5001,$A$5)))</f>
        <v/>
      </c>
      <c r="O17" s="225" t="str">
        <f>IF(O$3="","",IF(COUNTIFS(BD!$A$3:$A$5001,O$3,BD!$B$3:$B$5001,$A$5,BD!$N$3:$N$5001,"&lt;&gt;")=0,"",SUMIFS(BD!$N$3:$N$5001,BD!$A$3:$A$5001,O$3,BD!$B$3:$B$5001,$A$5)))</f>
        <v/>
      </c>
      <c r="P17" s="225" t="str">
        <f>IF(P$3="","",IF(COUNTIFS(BD!$A$3:$A$5001,P$3,BD!$B$3:$B$5001,$A$5,BD!$N$3:$N$5001,"&lt;&gt;")=0,"",SUMIFS(BD!$N$3:$N$5001,BD!$A$3:$A$5001,P$3,BD!$B$3:$B$5001,$A$5)))</f>
        <v/>
      </c>
      <c r="Q17" s="225" t="str">
        <f>IF(Q$3="","",IF(COUNTIFS(BD!$A$3:$A$5001,Q$3,BD!$B$3:$B$5001,$A$5,BD!$N$3:$N$5001,"&lt;&gt;")=0,"",SUMIFS(BD!$N$3:$N$5001,BD!$A$3:$A$5001,Q$3,BD!$B$3:$B$5001,$A$5)))</f>
        <v/>
      </c>
      <c r="R17" s="225" t="str">
        <f>IF(R$3="","",IF(COUNTIFS(BD!$A$3:$A$5001,R$3,BD!$B$3:$B$5001,$A$5,BD!$N$3:$N$5001,"&lt;&gt;")=0,"",SUMIFS(BD!$N$3:$N$5001,BD!$A$3:$A$5001,R$3,BD!$B$3:$B$5001,$A$5)))</f>
        <v/>
      </c>
      <c r="S17" s="225" t="str">
        <f>IF(S$3="","",IF(COUNTIFS(BD!$A$3:$A$5001,S$3,BD!$B$3:$B$5001,$A$5,BD!$N$3:$N$5001,"&lt;&gt;")=0,"",SUMIFS(BD!$N$3:$N$5001,BD!$A$3:$A$5001,S$3,BD!$B$3:$B$5001,$A$5)))</f>
        <v/>
      </c>
      <c r="T17" s="225" t="str">
        <f>IF(T$3="","",IF(COUNTIFS(BD!$A$3:$A$5001,T$3,BD!$B$3:$B$5001,$A$5,BD!$N$3:$N$5001,"&lt;&gt;")=0,"",SUMIFS(BD!$N$3:$N$5001,BD!$A$3:$A$5001,T$3,BD!$B$3:$B$5001,$A$5)))</f>
        <v/>
      </c>
      <c r="U17" s="225" t="str">
        <f>IF(U$3="","",IF(COUNTIFS(BD!$A$3:$A$5001,U$3,BD!$B$3:$B$5001,$A$5,BD!$N$3:$N$5001,"&lt;&gt;")=0,"",SUMIFS(BD!$N$3:$N$5001,BD!$A$3:$A$5001,U$3,BD!$B$3:$B$5001,$A$5)))</f>
        <v/>
      </c>
      <c r="V17" s="225" t="str">
        <f>IF(V$3="","",IF(COUNTIFS(BD!$A$3:$A$5001,V$3,BD!$B$3:$B$5001,$A$5,BD!$N$3:$N$5001,"&lt;&gt;")=0,"",SUMIFS(BD!$N$3:$N$5001,BD!$A$3:$A$5001,V$3,BD!$B$3:$B$5001,$A$5)))</f>
        <v/>
      </c>
      <c r="W17" s="225" t="str">
        <f>IF(W$3="","",IF(COUNTIFS(BD!$A$3:$A$5001,W$3,BD!$B$3:$B$5001,$A$5,BD!$N$3:$N$5001,"&lt;&gt;")=0,"",SUMIFS(BD!$N$3:$N$5001,BD!$A$3:$A$5001,W$3,BD!$B$3:$B$5001,$A$5)))</f>
        <v/>
      </c>
      <c r="X17" s="225" t="str">
        <f>IF(X$3="","",IF(COUNTIFS(BD!$A$3:$A$5001,X$3,BD!$B$3:$B$5001,$A$5,BD!$N$3:$N$5001,"&lt;&gt;")=0,"",SUMIFS(BD!$N$3:$N$5001,BD!$A$3:$A$5001,X$3,BD!$B$3:$B$5001,$A$5)))</f>
        <v/>
      </c>
      <c r="Y17" s="225" t="str">
        <f>IF(Y$3="","",IF(COUNTIFS(BD!$A$3:$A$5001,Y$3,BD!$B$3:$B$5001,$A$5,BD!$N$3:$N$5001,"&lt;&gt;")=0,"",SUMIFS(BD!$N$3:$N$5001,BD!$A$3:$A$5001,Y$3,BD!$B$3:$B$5001,$A$5)))</f>
        <v/>
      </c>
      <c r="Z17" s="225" t="str">
        <f>IF(Z$3="","",IF(COUNTIFS(BD!$A$3:$A$5001,Z$3,BD!$B$3:$B$5001,$A$5,BD!$N$3:$N$5001,"&lt;&gt;")=0,"",SUMIFS(BD!$N$3:$N$5001,BD!$A$3:$A$5001,Z$3,BD!$B$3:$B$5001,$A$5)))</f>
        <v/>
      </c>
      <c r="AA17" s="225" t="str">
        <f>IF(AA$3="","",IF(COUNTIFS(BD!$A$3:$A$5001,AA$3,BD!$B$3:$B$5001,$A$5,BD!$N$3:$N$5001,"&lt;&gt;")=0,"",SUMIFS(BD!$N$3:$N$5001,BD!$A$3:$A$5001,AA$3,BD!$B$3:$B$5001,$A$5)))</f>
        <v/>
      </c>
      <c r="AB17" s="225" t="str">
        <f>IF(AB$3="","",IF(COUNTIFS(BD!$A$3:$A$5001,AB$3,BD!$B$3:$B$5001,$A$5,BD!$N$3:$N$5001,"&lt;&gt;")=0,"",SUMIFS(BD!$N$3:$N$5001,BD!$A$3:$A$5001,AB$3,BD!$B$3:$B$5001,$A$5)))</f>
        <v/>
      </c>
      <c r="AC17" s="225" t="str">
        <f>IF(AC$3="","",IF(COUNTIFS(BD!$A$3:$A$5001,AC$3,BD!$B$3:$B$5001,$A$5,BD!$N$3:$N$5001,"&lt;&gt;")=0,"",SUMIFS(BD!$N$3:$N$5001,BD!$A$3:$A$5001,AC$3,BD!$B$3:$B$5001,$A$5)))</f>
        <v/>
      </c>
      <c r="AD17" s="225" t="str">
        <f>IF(AD$3="","",IF(COUNTIFS(BD!$A$3:$A$5001,AD$3,BD!$B$3:$B$5001,$A$5,BD!$N$3:$N$5001,"&lt;&gt;")=0,"",SUMIFS(BD!$N$3:$N$5001,BD!$A$3:$A$5001,AD$3,BD!$B$3:$B$5001,$A$5)))</f>
        <v/>
      </c>
      <c r="AE17" s="225" t="str">
        <f>IF(AE$3="","",IF(COUNTIFS(BD!$A$3:$A$5001,AE$3,BD!$B$3:$B$5001,$A$5,BD!$N$3:$N$5001,"&lt;&gt;")=0,"",SUMIFS(BD!$N$3:$N$5001,BD!$A$3:$A$5001,AE$3,BD!$B$3:$B$5001,$A$5)))</f>
        <v/>
      </c>
      <c r="AF17" s="225" t="str">
        <f>IF(AF$3="","",IF(COUNTIFS(BD!$A$3:$A$5001,AF$3,BD!$B$3:$B$5001,$A$5,BD!$N$3:$N$5001,"&lt;&gt;")=0,"",SUMIFS(BD!$N$3:$N$5001,BD!$A$3:$A$5001,AF$3,BD!$B$3:$B$5001,$A$5)))</f>
        <v/>
      </c>
      <c r="AG17" s="225" t="str">
        <f>IF(AG$3="","",IF(COUNTIFS(BD!$A$3:$A$5001,AG$3,BD!$B$3:$B$5001,$A$5,BD!$N$3:$N$5001,"&lt;&gt;")=0,"",SUMIFS(BD!$N$3:$N$5001,BD!$A$3:$A$5001,AG$3,BD!$B$3:$B$5001,$A$5)))</f>
        <v/>
      </c>
      <c r="AH17" s="225" t="str">
        <f>IF(AH$3="","",IF(COUNTIFS(BD!$A$3:$A$5001,AH$3,BD!$B$3:$B$5001,$A$5,BD!$N$3:$N$5001,"&lt;&gt;")=0,"",SUMIFS(BD!$N$3:$N$5001,BD!$A$3:$A$5001,AH$3,BD!$B$3:$B$5001,$A$5)))</f>
        <v/>
      </c>
      <c r="AI17" s="225" t="str">
        <f>IF(AI$3="","",IF(COUNTIFS(BD!$A$3:$A$5001,AI$3,BD!$B$3:$B$5001,$A$5,BD!$N$3:$N$5001,"&lt;&gt;")=0,"",SUMIFS(BD!$N$3:$N$5001,BD!$A$3:$A$5001,AI$3,BD!$B$3:$B$5001,$A$5)))</f>
        <v/>
      </c>
      <c r="AJ17" s="226" t="str">
        <f>IF(AJ$3="","",IF(COUNTIFS(BD!$A$3:$A$5001,AJ$3,BD!$B$3:$B$5001,$A$5,BD!$N$3:$N$5001,"&lt;&gt;")=0,"",SUMIFS(BD!$N$3:$N$5001,BD!$A$3:$A$5001,AJ$3,BD!$B$3:$B$5001,$A$5)))</f>
        <v/>
      </c>
      <c r="AK17" s="227" t="str">
        <f>IFERROR(LOOKUP(9.99E+307,F17:AJ17),"")</f>
        <v/>
      </c>
    </row>
    <row r="18" ht="15.75" customHeight="1">
      <c r="A18" s="254"/>
      <c r="B18" s="251"/>
      <c r="C18" s="228" t="inlineStr">
        <is>
          <t xml:space="preserve">Falta</t>
        </is>
      </c>
      <c r="D18" s="229" t="str">
        <f>IFERROR(1/(1/INDEX(BD!$Y$36:$AS$36,MATCH($A$5,BD!$Y$22:$AS$22,0))),"")</f>
        <v/>
      </c>
      <c r="E18" s="230"/>
      <c r="F18" s="231" t="str">
        <f>IF(F$3="","",IF(COUNTIFS(BD!$A$3:$A$5001,F$3,BD!$B$3:$B$5001,$A$5,BD!$O$3:$O$5001,"&lt;&gt;")=0,"",SUMIFS(BD!$O$3:$O$5001,BD!$A$3:$A$5001,F$3,BD!$B$3:$B$5001,$A$5)))</f>
        <v/>
      </c>
      <c r="G18" s="232" t="str">
        <f>IF(G$3="","",IF(COUNTIFS(BD!$A$3:$A$5001,G$3,BD!$B$3:$B$5001,$A$5,BD!$O$3:$O$5001,"&lt;&gt;")=0,"",SUMIFS(BD!$O$3:$O$5001,BD!$A$3:$A$5001,G$3,BD!$B$3:$B$5001,$A$5)))</f>
        <v/>
      </c>
      <c r="H18" s="232" t="str">
        <f>IF(H$3="","",IF(COUNTIFS(BD!$A$3:$A$5001,H$3,BD!$B$3:$B$5001,$A$5,BD!$O$3:$O$5001,"&lt;&gt;")=0,"",SUMIFS(BD!$O$3:$O$5001,BD!$A$3:$A$5001,H$3,BD!$B$3:$B$5001,$A$5)))</f>
        <v/>
      </c>
      <c r="I18" s="232" t="str">
        <f>IF(I$3="","",IF(COUNTIFS(BD!$A$3:$A$5001,I$3,BD!$B$3:$B$5001,$A$5,BD!$O$3:$O$5001,"&lt;&gt;")=0,"",SUMIFS(BD!$O$3:$O$5001,BD!$A$3:$A$5001,I$3,BD!$B$3:$B$5001,$A$5)))</f>
        <v/>
      </c>
      <c r="J18" s="232" t="str">
        <f>IF(J$3="","",IF(COUNTIFS(BD!$A$3:$A$5001,J$3,BD!$B$3:$B$5001,$A$5,BD!$O$3:$O$5001,"&lt;&gt;")=0,"",SUMIFS(BD!$O$3:$O$5001,BD!$A$3:$A$5001,J$3,BD!$B$3:$B$5001,$A$5)))</f>
        <v/>
      </c>
      <c r="K18" s="232" t="str">
        <f>IF(K$3="","",IF(COUNTIFS(BD!$A$3:$A$5001,K$3,BD!$B$3:$B$5001,$A$5,BD!$O$3:$O$5001,"&lt;&gt;")=0,"",SUMIFS(BD!$O$3:$O$5001,BD!$A$3:$A$5001,K$3,BD!$B$3:$B$5001,$A$5)))</f>
        <v/>
      </c>
      <c r="L18" s="232" t="str">
        <f>IF(L$3="","",IF(COUNTIFS(BD!$A$3:$A$5001,L$3,BD!$B$3:$B$5001,$A$5,BD!$O$3:$O$5001,"&lt;&gt;")=0,"",SUMIFS(BD!$O$3:$O$5001,BD!$A$3:$A$5001,L$3,BD!$B$3:$B$5001,$A$5)))</f>
        <v/>
      </c>
      <c r="M18" s="232" t="str">
        <f>IF(M$3="","",IF(COUNTIFS(BD!$A$3:$A$5001,M$3,BD!$B$3:$B$5001,$A$5,BD!$O$3:$O$5001,"&lt;&gt;")=0,"",SUMIFS(BD!$O$3:$O$5001,BD!$A$3:$A$5001,M$3,BD!$B$3:$B$5001,$A$5)))</f>
        <v/>
      </c>
      <c r="N18" s="232" t="str">
        <f>IF(N$3="","",IF(COUNTIFS(BD!$A$3:$A$5001,N$3,BD!$B$3:$B$5001,$A$5,BD!$O$3:$O$5001,"&lt;&gt;")=0,"",SUMIFS(BD!$O$3:$O$5001,BD!$A$3:$A$5001,N$3,BD!$B$3:$B$5001,$A$5)))</f>
        <v/>
      </c>
      <c r="O18" s="232" t="str">
        <f>IF(O$3="","",IF(COUNTIFS(BD!$A$3:$A$5001,O$3,BD!$B$3:$B$5001,$A$5,BD!$O$3:$O$5001,"&lt;&gt;")=0,"",SUMIFS(BD!$O$3:$O$5001,BD!$A$3:$A$5001,O$3,BD!$B$3:$B$5001,$A$5)))</f>
        <v/>
      </c>
      <c r="P18" s="232" t="str">
        <f>IF(P$3="","",IF(COUNTIFS(BD!$A$3:$A$5001,P$3,BD!$B$3:$B$5001,$A$5,BD!$O$3:$O$5001,"&lt;&gt;")=0,"",SUMIFS(BD!$O$3:$O$5001,BD!$A$3:$A$5001,P$3,BD!$B$3:$B$5001,$A$5)))</f>
        <v/>
      </c>
      <c r="Q18" s="232" t="str">
        <f>IF(Q$3="","",IF(COUNTIFS(BD!$A$3:$A$5001,Q$3,BD!$B$3:$B$5001,$A$5,BD!$O$3:$O$5001,"&lt;&gt;")=0,"",SUMIFS(BD!$O$3:$O$5001,BD!$A$3:$A$5001,Q$3,BD!$B$3:$B$5001,$A$5)))</f>
        <v/>
      </c>
      <c r="R18" s="232" t="str">
        <f>IF(R$3="","",IF(COUNTIFS(BD!$A$3:$A$5001,R$3,BD!$B$3:$B$5001,$A$5,BD!$O$3:$O$5001,"&lt;&gt;")=0,"",SUMIFS(BD!$O$3:$O$5001,BD!$A$3:$A$5001,R$3,BD!$B$3:$B$5001,$A$5)))</f>
        <v/>
      </c>
      <c r="S18" s="232" t="str">
        <f>IF(S$3="","",IF(COUNTIFS(BD!$A$3:$A$5001,S$3,BD!$B$3:$B$5001,$A$5,BD!$O$3:$O$5001,"&lt;&gt;")=0,"",SUMIFS(BD!$O$3:$O$5001,BD!$A$3:$A$5001,S$3,BD!$B$3:$B$5001,$A$5)))</f>
        <v/>
      </c>
      <c r="T18" s="232" t="str">
        <f>IF(T$3="","",IF(COUNTIFS(BD!$A$3:$A$5001,T$3,BD!$B$3:$B$5001,$A$5,BD!$O$3:$O$5001,"&lt;&gt;")=0,"",SUMIFS(BD!$O$3:$O$5001,BD!$A$3:$A$5001,T$3,BD!$B$3:$B$5001,$A$5)))</f>
        <v/>
      </c>
      <c r="U18" s="232" t="str">
        <f>IF(U$3="","",IF(COUNTIFS(BD!$A$3:$A$5001,U$3,BD!$B$3:$B$5001,$A$5,BD!$O$3:$O$5001,"&lt;&gt;")=0,"",SUMIFS(BD!$O$3:$O$5001,BD!$A$3:$A$5001,U$3,BD!$B$3:$B$5001,$A$5)))</f>
        <v/>
      </c>
      <c r="V18" s="232" t="str">
        <f>IF(V$3="","",IF(COUNTIFS(BD!$A$3:$A$5001,V$3,BD!$B$3:$B$5001,$A$5,BD!$O$3:$O$5001,"&lt;&gt;")=0,"",SUMIFS(BD!$O$3:$O$5001,BD!$A$3:$A$5001,V$3,BD!$B$3:$B$5001,$A$5)))</f>
        <v/>
      </c>
      <c r="W18" s="232" t="str">
        <f>IF(W$3="","",IF(COUNTIFS(BD!$A$3:$A$5001,W$3,BD!$B$3:$B$5001,$A$5,BD!$O$3:$O$5001,"&lt;&gt;")=0,"",SUMIFS(BD!$O$3:$O$5001,BD!$A$3:$A$5001,W$3,BD!$B$3:$B$5001,$A$5)))</f>
        <v/>
      </c>
      <c r="X18" s="232" t="str">
        <f>IF(X$3="","",IF(COUNTIFS(BD!$A$3:$A$5001,X$3,BD!$B$3:$B$5001,$A$5,BD!$O$3:$O$5001,"&lt;&gt;")=0,"",SUMIFS(BD!$O$3:$O$5001,BD!$A$3:$A$5001,X$3,BD!$B$3:$B$5001,$A$5)))</f>
        <v/>
      </c>
      <c r="Y18" s="232" t="str">
        <f>IF(Y$3="","",IF(COUNTIFS(BD!$A$3:$A$5001,Y$3,BD!$B$3:$B$5001,$A$5,BD!$O$3:$O$5001,"&lt;&gt;")=0,"",SUMIFS(BD!$O$3:$O$5001,BD!$A$3:$A$5001,Y$3,BD!$B$3:$B$5001,$A$5)))</f>
        <v/>
      </c>
      <c r="Z18" s="232" t="str">
        <f>IF(Z$3="","",IF(COUNTIFS(BD!$A$3:$A$5001,Z$3,BD!$B$3:$B$5001,$A$5,BD!$O$3:$O$5001,"&lt;&gt;")=0,"",SUMIFS(BD!$O$3:$O$5001,BD!$A$3:$A$5001,Z$3,BD!$B$3:$B$5001,$A$5)))</f>
        <v/>
      </c>
      <c r="AA18" s="232" t="str">
        <f>IF(AA$3="","",IF(COUNTIFS(BD!$A$3:$A$5001,AA$3,BD!$B$3:$B$5001,$A$5,BD!$O$3:$O$5001,"&lt;&gt;")=0,"",SUMIFS(BD!$O$3:$O$5001,BD!$A$3:$A$5001,AA$3,BD!$B$3:$B$5001,$A$5)))</f>
        <v/>
      </c>
      <c r="AB18" s="232" t="str">
        <f>IF(AB$3="","",IF(COUNTIFS(BD!$A$3:$A$5001,AB$3,BD!$B$3:$B$5001,$A$5,BD!$O$3:$O$5001,"&lt;&gt;")=0,"",SUMIFS(BD!$O$3:$O$5001,BD!$A$3:$A$5001,AB$3,BD!$B$3:$B$5001,$A$5)))</f>
        <v/>
      </c>
      <c r="AC18" s="232" t="str">
        <f>IF(AC$3="","",IF(COUNTIFS(BD!$A$3:$A$5001,AC$3,BD!$B$3:$B$5001,$A$5,BD!$O$3:$O$5001,"&lt;&gt;")=0,"",SUMIFS(BD!$O$3:$O$5001,BD!$A$3:$A$5001,AC$3,BD!$B$3:$B$5001,$A$5)))</f>
        <v/>
      </c>
      <c r="AD18" s="232" t="str">
        <f>IF(AD$3="","",IF(COUNTIFS(BD!$A$3:$A$5001,AD$3,BD!$B$3:$B$5001,$A$5,BD!$O$3:$O$5001,"&lt;&gt;")=0,"",SUMIFS(BD!$O$3:$O$5001,BD!$A$3:$A$5001,AD$3,BD!$B$3:$B$5001,$A$5)))</f>
        <v/>
      </c>
      <c r="AE18" s="232" t="str">
        <f>IF(AE$3="","",IF(COUNTIFS(BD!$A$3:$A$5001,AE$3,BD!$B$3:$B$5001,$A$5,BD!$O$3:$O$5001,"&lt;&gt;")=0,"",SUMIFS(BD!$O$3:$O$5001,BD!$A$3:$A$5001,AE$3,BD!$B$3:$B$5001,$A$5)))</f>
        <v/>
      </c>
      <c r="AF18" s="232" t="str">
        <f>IF(AF$3="","",IF(COUNTIFS(BD!$A$3:$A$5001,AF$3,BD!$B$3:$B$5001,$A$5,BD!$O$3:$O$5001,"&lt;&gt;")=0,"",SUMIFS(BD!$O$3:$O$5001,BD!$A$3:$A$5001,AF$3,BD!$B$3:$B$5001,$A$5)))</f>
        <v/>
      </c>
      <c r="AG18" s="232" t="str">
        <f>IF(AG$3="","",IF(COUNTIFS(BD!$A$3:$A$5001,AG$3,BD!$B$3:$B$5001,$A$5,BD!$O$3:$O$5001,"&lt;&gt;")=0,"",SUMIFS(BD!$O$3:$O$5001,BD!$A$3:$A$5001,AG$3,BD!$B$3:$B$5001,$A$5)))</f>
        <v/>
      </c>
      <c r="AH18" s="232" t="str">
        <f>IF(AH$3="","",IF(COUNTIFS(BD!$A$3:$A$5001,AH$3,BD!$B$3:$B$5001,$A$5,BD!$O$3:$O$5001,"&lt;&gt;")=0,"",SUMIFS(BD!$O$3:$O$5001,BD!$A$3:$A$5001,AH$3,BD!$B$3:$B$5001,$A$5)))</f>
        <v/>
      </c>
      <c r="AI18" s="232" t="str">
        <f>IF(AI$3="","",IF(COUNTIFS(BD!$A$3:$A$5001,AI$3,BD!$B$3:$B$5001,$A$5,BD!$O$3:$O$5001,"&lt;&gt;")=0,"",SUMIFS(BD!$O$3:$O$5001,BD!$A$3:$A$5001,AI$3,BD!$B$3:$B$5001,$A$5)))</f>
        <v/>
      </c>
      <c r="AJ18" s="233" t="str">
        <f>IF(AJ$3="","",IF(COUNTIFS(BD!$A$3:$A$5001,AJ$3,BD!$B$3:$B$5001,$A$5,BD!$O$3:$O$5001,"&lt;&gt;")=0,"",SUMIFS(BD!$O$3:$O$5001,BD!$A$3:$A$5001,AJ$3,BD!$B$3:$B$5001,$A$5)))</f>
        <v/>
      </c>
      <c r="AK18" s="234" t="str">
        <f>IF(COUNT(F18:AJ18)=0,"",SUM(F18:AJ18))</f>
        <v/>
      </c>
    </row>
    <row r="19" ht="15.75" customHeight="1">
      <c r="A19" s="254"/>
      <c r="B19" s="251"/>
      <c r="C19" s="228" t="inlineStr">
        <is>
          <t xml:space="preserve">Folga</t>
        </is>
      </c>
      <c r="D19" s="229" t="str">
        <f>IFERROR(1/(1/INDEX(BD!$Y$37:$AS$37,MATCH($A$5,BD!$Y$22:$AS$22,0))),"")</f>
        <v/>
      </c>
      <c r="E19" s="230"/>
      <c r="F19" s="231" t="str">
        <f>IF(F$3="","",IF(COUNTIFS(BD!$A$3:$A$5001,F$3,BD!$B$3:$B$5001,$A$5,BD!$P$3:$P$5001,"&lt;&gt;")=0,"",SUMIFS(BD!$P$3:$P$5001,BD!$A$3:$A$5001,F$3,BD!$B$3:$B$5001,$A$5)))</f>
        <v/>
      </c>
      <c r="G19" s="232" t="str">
        <f>IF(G$3="","",IF(COUNTIFS(BD!$A$3:$A$5001,G$3,BD!$B$3:$B$5001,$A$5,BD!$P$3:$P$5001,"&lt;&gt;")=0,"",SUMIFS(BD!$P$3:$P$5001,BD!$A$3:$A$5001,G$3,BD!$B$3:$B$5001,$A$5)))</f>
        <v/>
      </c>
      <c r="H19" s="232" t="str">
        <f>IF(H$3="","",IF(COUNTIFS(BD!$A$3:$A$5001,H$3,BD!$B$3:$B$5001,$A$5,BD!$P$3:$P$5001,"&lt;&gt;")=0,"",SUMIFS(BD!$P$3:$P$5001,BD!$A$3:$A$5001,H$3,BD!$B$3:$B$5001,$A$5)))</f>
        <v/>
      </c>
      <c r="I19" s="232" t="str">
        <f>IF(I$3="","",IF(COUNTIFS(BD!$A$3:$A$5001,I$3,BD!$B$3:$B$5001,$A$5,BD!$P$3:$P$5001,"&lt;&gt;")=0,"",SUMIFS(BD!$P$3:$P$5001,BD!$A$3:$A$5001,I$3,BD!$B$3:$B$5001,$A$5)))</f>
        <v/>
      </c>
      <c r="J19" s="232" t="str">
        <f>IF(J$3="","",IF(COUNTIFS(BD!$A$3:$A$5001,J$3,BD!$B$3:$B$5001,$A$5,BD!$P$3:$P$5001,"&lt;&gt;")=0,"",SUMIFS(BD!$P$3:$P$5001,BD!$A$3:$A$5001,J$3,BD!$B$3:$B$5001,$A$5)))</f>
        <v/>
      </c>
      <c r="K19" s="232" t="str">
        <f>IF(K$3="","",IF(COUNTIFS(BD!$A$3:$A$5001,K$3,BD!$B$3:$B$5001,$A$5,BD!$P$3:$P$5001,"&lt;&gt;")=0,"",SUMIFS(BD!$P$3:$P$5001,BD!$A$3:$A$5001,K$3,BD!$B$3:$B$5001,$A$5)))</f>
        <v/>
      </c>
      <c r="L19" s="232" t="str">
        <f>IF(L$3="","",IF(COUNTIFS(BD!$A$3:$A$5001,L$3,BD!$B$3:$B$5001,$A$5,BD!$P$3:$P$5001,"&lt;&gt;")=0,"",SUMIFS(BD!$P$3:$P$5001,BD!$A$3:$A$5001,L$3,BD!$B$3:$B$5001,$A$5)))</f>
        <v/>
      </c>
      <c r="M19" s="232" t="str">
        <f>IF(M$3="","",IF(COUNTIFS(BD!$A$3:$A$5001,M$3,BD!$B$3:$B$5001,$A$5,BD!$P$3:$P$5001,"&lt;&gt;")=0,"",SUMIFS(BD!$P$3:$P$5001,BD!$A$3:$A$5001,M$3,BD!$B$3:$B$5001,$A$5)))</f>
        <v/>
      </c>
      <c r="N19" s="232" t="str">
        <f>IF(N$3="","",IF(COUNTIFS(BD!$A$3:$A$5001,N$3,BD!$B$3:$B$5001,$A$5,BD!$P$3:$P$5001,"&lt;&gt;")=0,"",SUMIFS(BD!$P$3:$P$5001,BD!$A$3:$A$5001,N$3,BD!$B$3:$B$5001,$A$5)))</f>
        <v/>
      </c>
      <c r="O19" s="232" t="str">
        <f>IF(O$3="","",IF(COUNTIFS(BD!$A$3:$A$5001,O$3,BD!$B$3:$B$5001,$A$5,BD!$P$3:$P$5001,"&lt;&gt;")=0,"",SUMIFS(BD!$P$3:$P$5001,BD!$A$3:$A$5001,O$3,BD!$B$3:$B$5001,$A$5)))</f>
        <v/>
      </c>
      <c r="P19" s="232" t="str">
        <f>IF(P$3="","",IF(COUNTIFS(BD!$A$3:$A$5001,P$3,BD!$B$3:$B$5001,$A$5,BD!$P$3:$P$5001,"&lt;&gt;")=0,"",SUMIFS(BD!$P$3:$P$5001,BD!$A$3:$A$5001,P$3,BD!$B$3:$B$5001,$A$5)))</f>
        <v/>
      </c>
      <c r="Q19" s="232" t="str">
        <f>IF(Q$3="","",IF(COUNTIFS(BD!$A$3:$A$5001,Q$3,BD!$B$3:$B$5001,$A$5,BD!$P$3:$P$5001,"&lt;&gt;")=0,"",SUMIFS(BD!$P$3:$P$5001,BD!$A$3:$A$5001,Q$3,BD!$B$3:$B$5001,$A$5)))</f>
        <v/>
      </c>
      <c r="R19" s="232" t="str">
        <f>IF(R$3="","",IF(COUNTIFS(BD!$A$3:$A$5001,R$3,BD!$B$3:$B$5001,$A$5,BD!$P$3:$P$5001,"&lt;&gt;")=0,"",SUMIFS(BD!$P$3:$P$5001,BD!$A$3:$A$5001,R$3,BD!$B$3:$B$5001,$A$5)))</f>
        <v/>
      </c>
      <c r="S19" s="232" t="str">
        <f>IF(S$3="","",IF(COUNTIFS(BD!$A$3:$A$5001,S$3,BD!$B$3:$B$5001,$A$5,BD!$P$3:$P$5001,"&lt;&gt;")=0,"",SUMIFS(BD!$P$3:$P$5001,BD!$A$3:$A$5001,S$3,BD!$B$3:$B$5001,$A$5)))</f>
        <v/>
      </c>
      <c r="T19" s="232" t="str">
        <f>IF(T$3="","",IF(COUNTIFS(BD!$A$3:$A$5001,T$3,BD!$B$3:$B$5001,$A$5,BD!$P$3:$P$5001,"&lt;&gt;")=0,"",SUMIFS(BD!$P$3:$P$5001,BD!$A$3:$A$5001,T$3,BD!$B$3:$B$5001,$A$5)))</f>
        <v/>
      </c>
      <c r="U19" s="232" t="str">
        <f>IF(U$3="","",IF(COUNTIFS(BD!$A$3:$A$5001,U$3,BD!$B$3:$B$5001,$A$5,BD!$P$3:$P$5001,"&lt;&gt;")=0,"",SUMIFS(BD!$P$3:$P$5001,BD!$A$3:$A$5001,U$3,BD!$B$3:$B$5001,$A$5)))</f>
        <v/>
      </c>
      <c r="V19" s="232" t="str">
        <f>IF(V$3="","",IF(COUNTIFS(BD!$A$3:$A$5001,V$3,BD!$B$3:$B$5001,$A$5,BD!$P$3:$P$5001,"&lt;&gt;")=0,"",SUMIFS(BD!$P$3:$P$5001,BD!$A$3:$A$5001,V$3,BD!$B$3:$B$5001,$A$5)))</f>
        <v/>
      </c>
      <c r="W19" s="232" t="str">
        <f>IF(W$3="","",IF(COUNTIFS(BD!$A$3:$A$5001,W$3,BD!$B$3:$B$5001,$A$5,BD!$P$3:$P$5001,"&lt;&gt;")=0,"",SUMIFS(BD!$P$3:$P$5001,BD!$A$3:$A$5001,W$3,BD!$B$3:$B$5001,$A$5)))</f>
        <v/>
      </c>
      <c r="X19" s="232" t="str">
        <f>IF(X$3="","",IF(COUNTIFS(BD!$A$3:$A$5001,X$3,BD!$B$3:$B$5001,$A$5,BD!$P$3:$P$5001,"&lt;&gt;")=0,"",SUMIFS(BD!$P$3:$P$5001,BD!$A$3:$A$5001,X$3,BD!$B$3:$B$5001,$A$5)))</f>
        <v/>
      </c>
      <c r="Y19" s="232" t="str">
        <f>IF(Y$3="","",IF(COUNTIFS(BD!$A$3:$A$5001,Y$3,BD!$B$3:$B$5001,$A$5,BD!$P$3:$P$5001,"&lt;&gt;")=0,"",SUMIFS(BD!$P$3:$P$5001,BD!$A$3:$A$5001,Y$3,BD!$B$3:$B$5001,$A$5)))</f>
        <v/>
      </c>
      <c r="Z19" s="232" t="str">
        <f>IF(Z$3="","",IF(COUNTIFS(BD!$A$3:$A$5001,Z$3,BD!$B$3:$B$5001,$A$5,BD!$P$3:$P$5001,"&lt;&gt;")=0,"",SUMIFS(BD!$P$3:$P$5001,BD!$A$3:$A$5001,Z$3,BD!$B$3:$B$5001,$A$5)))</f>
        <v/>
      </c>
      <c r="AA19" s="232" t="str">
        <f>IF(AA$3="","",IF(COUNTIFS(BD!$A$3:$A$5001,AA$3,BD!$B$3:$B$5001,$A$5,BD!$P$3:$P$5001,"&lt;&gt;")=0,"",SUMIFS(BD!$P$3:$P$5001,BD!$A$3:$A$5001,AA$3,BD!$B$3:$B$5001,$A$5)))</f>
        <v/>
      </c>
      <c r="AB19" s="232" t="str">
        <f>IF(AB$3="","",IF(COUNTIFS(BD!$A$3:$A$5001,AB$3,BD!$B$3:$B$5001,$A$5,BD!$P$3:$P$5001,"&lt;&gt;")=0,"",SUMIFS(BD!$P$3:$P$5001,BD!$A$3:$A$5001,AB$3,BD!$B$3:$B$5001,$A$5)))</f>
        <v/>
      </c>
      <c r="AC19" s="232" t="str">
        <f>IF(AC$3="","",IF(COUNTIFS(BD!$A$3:$A$5001,AC$3,BD!$B$3:$B$5001,$A$5,BD!$P$3:$P$5001,"&lt;&gt;")=0,"",SUMIFS(BD!$P$3:$P$5001,BD!$A$3:$A$5001,AC$3,BD!$B$3:$B$5001,$A$5)))</f>
        <v/>
      </c>
      <c r="AD19" s="232" t="str">
        <f>IF(AD$3="","",IF(COUNTIFS(BD!$A$3:$A$5001,AD$3,BD!$B$3:$B$5001,$A$5,BD!$P$3:$P$5001,"&lt;&gt;")=0,"",SUMIFS(BD!$P$3:$P$5001,BD!$A$3:$A$5001,AD$3,BD!$B$3:$B$5001,$A$5)))</f>
        <v/>
      </c>
      <c r="AE19" s="232" t="str">
        <f>IF(AE$3="","",IF(COUNTIFS(BD!$A$3:$A$5001,AE$3,BD!$B$3:$B$5001,$A$5,BD!$P$3:$P$5001,"&lt;&gt;")=0,"",SUMIFS(BD!$P$3:$P$5001,BD!$A$3:$A$5001,AE$3,BD!$B$3:$B$5001,$A$5)))</f>
        <v/>
      </c>
      <c r="AF19" s="232" t="str">
        <f>IF(AF$3="","",IF(COUNTIFS(BD!$A$3:$A$5001,AF$3,BD!$B$3:$B$5001,$A$5,BD!$P$3:$P$5001,"&lt;&gt;")=0,"",SUMIFS(BD!$P$3:$P$5001,BD!$A$3:$A$5001,AF$3,BD!$B$3:$B$5001,$A$5)))</f>
        <v/>
      </c>
      <c r="AG19" s="232" t="str">
        <f>IF(AG$3="","",IF(COUNTIFS(BD!$A$3:$A$5001,AG$3,BD!$B$3:$B$5001,$A$5,BD!$P$3:$P$5001,"&lt;&gt;")=0,"",SUMIFS(BD!$P$3:$P$5001,BD!$A$3:$A$5001,AG$3,BD!$B$3:$B$5001,$A$5)))</f>
        <v/>
      </c>
      <c r="AH19" s="232" t="str">
        <f>IF(AH$3="","",IF(COUNTIFS(BD!$A$3:$A$5001,AH$3,BD!$B$3:$B$5001,$A$5,BD!$P$3:$P$5001,"&lt;&gt;")=0,"",SUMIFS(BD!$P$3:$P$5001,BD!$A$3:$A$5001,AH$3,BD!$B$3:$B$5001,$A$5)))</f>
        <v/>
      </c>
      <c r="AI19" s="232" t="str">
        <f>IF(AI$3="","",IF(COUNTIFS(BD!$A$3:$A$5001,AI$3,BD!$B$3:$B$5001,$A$5,BD!$P$3:$P$5001,"&lt;&gt;")=0,"",SUMIFS(BD!$P$3:$P$5001,BD!$A$3:$A$5001,AI$3,BD!$B$3:$B$5001,$A$5)))</f>
        <v/>
      </c>
      <c r="AJ19" s="233" t="str">
        <f>IF(AJ$3="","",IF(COUNTIFS(BD!$A$3:$A$5001,AJ$3,BD!$B$3:$B$5001,$A$5,BD!$P$3:$P$5001,"&lt;&gt;")=0,"",SUMIFS(BD!$P$3:$P$5001,BD!$A$3:$A$5001,AJ$3,BD!$B$3:$B$5001,$A$5)))</f>
        <v/>
      </c>
      <c r="AK19" s="234" t="str">
        <f>IF(COUNT(F19:AJ19)=0,"",SUM(F19:AJ19))</f>
        <v/>
      </c>
    </row>
    <row r="20" ht="15.75" customHeight="1">
      <c r="A20" s="254"/>
      <c r="B20" s="251"/>
      <c r="C20" s="228" t="inlineStr">
        <is>
          <t xml:space="preserve">Férias</t>
        </is>
      </c>
      <c r="D20" s="229" t="str">
        <f>IFERROR(1/(1/INDEX(BD!$Y$38:$AS$38,MATCH($A$5,BD!$Y$22:$AS$22,0))),"")</f>
        <v/>
      </c>
      <c r="E20" s="230"/>
      <c r="F20" s="231" t="str">
        <f>IF(F$3="","",IF(COUNTIFS(BD!$A$3:$A$5001,F$3,BD!$B$3:$B$5001,$A$5,BD!$Q$3:$Q$5001,"&lt;&gt;")=0,"",SUMIFS(BD!$Q$3:$Q$5001,BD!$A$3:$A$5001,F$3,BD!$B$3:$B$5001,$A$5)))</f>
        <v/>
      </c>
      <c r="G20" s="232" t="str">
        <f>IF(G$3="","",IF(COUNTIFS(BD!$A$3:$A$5001,G$3,BD!$B$3:$B$5001,$A$5,BD!$Q$3:$Q$5001,"&lt;&gt;")=0,"",SUMIFS(BD!$Q$3:$Q$5001,BD!$A$3:$A$5001,G$3,BD!$B$3:$B$5001,$A$5)))</f>
        <v/>
      </c>
      <c r="H20" s="232" t="str">
        <f>IF(H$3="","",IF(COUNTIFS(BD!$A$3:$A$5001,H$3,BD!$B$3:$B$5001,$A$5,BD!$Q$3:$Q$5001,"&lt;&gt;")=0,"",SUMIFS(BD!$Q$3:$Q$5001,BD!$A$3:$A$5001,H$3,BD!$B$3:$B$5001,$A$5)))</f>
        <v/>
      </c>
      <c r="I20" s="232" t="str">
        <f>IF(I$3="","",IF(COUNTIFS(BD!$A$3:$A$5001,I$3,BD!$B$3:$B$5001,$A$5,BD!$Q$3:$Q$5001,"&lt;&gt;")=0,"",SUMIFS(BD!$Q$3:$Q$5001,BD!$A$3:$A$5001,I$3,BD!$B$3:$B$5001,$A$5)))</f>
        <v/>
      </c>
      <c r="J20" s="232" t="str">
        <f>IF(J$3="","",IF(COUNTIFS(BD!$A$3:$A$5001,J$3,BD!$B$3:$B$5001,$A$5,BD!$Q$3:$Q$5001,"&lt;&gt;")=0,"",SUMIFS(BD!$Q$3:$Q$5001,BD!$A$3:$A$5001,J$3,BD!$B$3:$B$5001,$A$5)))</f>
        <v/>
      </c>
      <c r="K20" s="232" t="str">
        <f>IF(K$3="","",IF(COUNTIFS(BD!$A$3:$A$5001,K$3,BD!$B$3:$B$5001,$A$5,BD!$Q$3:$Q$5001,"&lt;&gt;")=0,"",SUMIFS(BD!$Q$3:$Q$5001,BD!$A$3:$A$5001,K$3,BD!$B$3:$B$5001,$A$5)))</f>
        <v/>
      </c>
      <c r="L20" s="232" t="str">
        <f>IF(L$3="","",IF(COUNTIFS(BD!$A$3:$A$5001,L$3,BD!$B$3:$B$5001,$A$5,BD!$Q$3:$Q$5001,"&lt;&gt;")=0,"",SUMIFS(BD!$Q$3:$Q$5001,BD!$A$3:$A$5001,L$3,BD!$B$3:$B$5001,$A$5)))</f>
        <v/>
      </c>
      <c r="M20" s="232" t="str">
        <f>IF(M$3="","",IF(COUNTIFS(BD!$A$3:$A$5001,M$3,BD!$B$3:$B$5001,$A$5,BD!$Q$3:$Q$5001,"&lt;&gt;")=0,"",SUMIFS(BD!$Q$3:$Q$5001,BD!$A$3:$A$5001,M$3,BD!$B$3:$B$5001,$A$5)))</f>
        <v/>
      </c>
      <c r="N20" s="232" t="str">
        <f>IF(N$3="","",IF(COUNTIFS(BD!$A$3:$A$5001,N$3,BD!$B$3:$B$5001,$A$5,BD!$Q$3:$Q$5001,"&lt;&gt;")=0,"",SUMIFS(BD!$Q$3:$Q$5001,BD!$A$3:$A$5001,N$3,BD!$B$3:$B$5001,$A$5)))</f>
        <v/>
      </c>
      <c r="O20" s="232" t="str">
        <f>IF(O$3="","",IF(COUNTIFS(BD!$A$3:$A$5001,O$3,BD!$B$3:$B$5001,$A$5,BD!$Q$3:$Q$5001,"&lt;&gt;")=0,"",SUMIFS(BD!$Q$3:$Q$5001,BD!$A$3:$A$5001,O$3,BD!$B$3:$B$5001,$A$5)))</f>
        <v/>
      </c>
      <c r="P20" s="232" t="str">
        <f>IF(P$3="","",IF(COUNTIFS(BD!$A$3:$A$5001,P$3,BD!$B$3:$B$5001,$A$5,BD!$Q$3:$Q$5001,"&lt;&gt;")=0,"",SUMIFS(BD!$Q$3:$Q$5001,BD!$A$3:$A$5001,P$3,BD!$B$3:$B$5001,$A$5)))</f>
        <v/>
      </c>
      <c r="Q20" s="232" t="str">
        <f>IF(Q$3="","",IF(COUNTIFS(BD!$A$3:$A$5001,Q$3,BD!$B$3:$B$5001,$A$5,BD!$Q$3:$Q$5001,"&lt;&gt;")=0,"",SUMIFS(BD!$Q$3:$Q$5001,BD!$A$3:$A$5001,Q$3,BD!$B$3:$B$5001,$A$5)))</f>
        <v/>
      </c>
      <c r="R20" s="232" t="str">
        <f>IF(R$3="","",IF(COUNTIFS(BD!$A$3:$A$5001,R$3,BD!$B$3:$B$5001,$A$5,BD!$Q$3:$Q$5001,"&lt;&gt;")=0,"",SUMIFS(BD!$Q$3:$Q$5001,BD!$A$3:$A$5001,R$3,BD!$B$3:$B$5001,$A$5)))</f>
        <v/>
      </c>
      <c r="S20" s="232" t="str">
        <f>IF(S$3="","",IF(COUNTIFS(BD!$A$3:$A$5001,S$3,BD!$B$3:$B$5001,$A$5,BD!$Q$3:$Q$5001,"&lt;&gt;")=0,"",SUMIFS(BD!$Q$3:$Q$5001,BD!$A$3:$A$5001,S$3,BD!$B$3:$B$5001,$A$5)))</f>
        <v/>
      </c>
      <c r="T20" s="232" t="str">
        <f>IF(T$3="","",IF(COUNTIFS(BD!$A$3:$A$5001,T$3,BD!$B$3:$B$5001,$A$5,BD!$Q$3:$Q$5001,"&lt;&gt;")=0,"",SUMIFS(BD!$Q$3:$Q$5001,BD!$A$3:$A$5001,T$3,BD!$B$3:$B$5001,$A$5)))</f>
        <v/>
      </c>
      <c r="U20" s="232" t="str">
        <f>IF(U$3="","",IF(COUNTIFS(BD!$A$3:$A$5001,U$3,BD!$B$3:$B$5001,$A$5,BD!$Q$3:$Q$5001,"&lt;&gt;")=0,"",SUMIFS(BD!$Q$3:$Q$5001,BD!$A$3:$A$5001,U$3,BD!$B$3:$B$5001,$A$5)))</f>
        <v/>
      </c>
      <c r="V20" s="232" t="str">
        <f>IF(V$3="","",IF(COUNTIFS(BD!$A$3:$A$5001,V$3,BD!$B$3:$B$5001,$A$5,BD!$Q$3:$Q$5001,"&lt;&gt;")=0,"",SUMIFS(BD!$Q$3:$Q$5001,BD!$A$3:$A$5001,V$3,BD!$B$3:$B$5001,$A$5)))</f>
        <v/>
      </c>
      <c r="W20" s="232" t="str">
        <f>IF(W$3="","",IF(COUNTIFS(BD!$A$3:$A$5001,W$3,BD!$B$3:$B$5001,$A$5,BD!$Q$3:$Q$5001,"&lt;&gt;")=0,"",SUMIFS(BD!$Q$3:$Q$5001,BD!$A$3:$A$5001,W$3,BD!$B$3:$B$5001,$A$5)))</f>
        <v/>
      </c>
      <c r="X20" s="232" t="str">
        <f>IF(X$3="","",IF(COUNTIFS(BD!$A$3:$A$5001,X$3,BD!$B$3:$B$5001,$A$5,BD!$Q$3:$Q$5001,"&lt;&gt;")=0,"",SUMIFS(BD!$Q$3:$Q$5001,BD!$A$3:$A$5001,X$3,BD!$B$3:$B$5001,$A$5)))</f>
        <v/>
      </c>
      <c r="Y20" s="232" t="str">
        <f>IF(Y$3="","",IF(COUNTIFS(BD!$A$3:$A$5001,Y$3,BD!$B$3:$B$5001,$A$5,BD!$Q$3:$Q$5001,"&lt;&gt;")=0,"",SUMIFS(BD!$Q$3:$Q$5001,BD!$A$3:$A$5001,Y$3,BD!$B$3:$B$5001,$A$5)))</f>
        <v/>
      </c>
      <c r="Z20" s="232" t="str">
        <f>IF(Z$3="","",IF(COUNTIFS(BD!$A$3:$A$5001,Z$3,BD!$B$3:$B$5001,$A$5,BD!$Q$3:$Q$5001,"&lt;&gt;")=0,"",SUMIFS(BD!$Q$3:$Q$5001,BD!$A$3:$A$5001,Z$3,BD!$B$3:$B$5001,$A$5)))</f>
        <v/>
      </c>
      <c r="AA20" s="232" t="str">
        <f>IF(AA$3="","",IF(COUNTIFS(BD!$A$3:$A$5001,AA$3,BD!$B$3:$B$5001,$A$5,BD!$Q$3:$Q$5001,"&lt;&gt;")=0,"",SUMIFS(BD!$Q$3:$Q$5001,BD!$A$3:$A$5001,AA$3,BD!$B$3:$B$5001,$A$5)))</f>
        <v/>
      </c>
      <c r="AB20" s="232" t="str">
        <f>IF(AB$3="","",IF(COUNTIFS(BD!$A$3:$A$5001,AB$3,BD!$B$3:$B$5001,$A$5,BD!$Q$3:$Q$5001,"&lt;&gt;")=0,"",SUMIFS(BD!$Q$3:$Q$5001,BD!$A$3:$A$5001,AB$3,BD!$B$3:$B$5001,$A$5)))</f>
        <v/>
      </c>
      <c r="AC20" s="232" t="str">
        <f>IF(AC$3="","",IF(COUNTIFS(BD!$A$3:$A$5001,AC$3,BD!$B$3:$B$5001,$A$5,BD!$Q$3:$Q$5001,"&lt;&gt;")=0,"",SUMIFS(BD!$Q$3:$Q$5001,BD!$A$3:$A$5001,AC$3,BD!$B$3:$B$5001,$A$5)))</f>
        <v/>
      </c>
      <c r="AD20" s="232" t="str">
        <f>IF(AD$3="","",IF(COUNTIFS(BD!$A$3:$A$5001,AD$3,BD!$B$3:$B$5001,$A$5,BD!$Q$3:$Q$5001,"&lt;&gt;")=0,"",SUMIFS(BD!$Q$3:$Q$5001,BD!$A$3:$A$5001,AD$3,BD!$B$3:$B$5001,$A$5)))</f>
        <v/>
      </c>
      <c r="AE20" s="232" t="str">
        <f>IF(AE$3="","",IF(COUNTIFS(BD!$A$3:$A$5001,AE$3,BD!$B$3:$B$5001,$A$5,BD!$Q$3:$Q$5001,"&lt;&gt;")=0,"",SUMIFS(BD!$Q$3:$Q$5001,BD!$A$3:$A$5001,AE$3,BD!$B$3:$B$5001,$A$5)))</f>
        <v/>
      </c>
      <c r="AF20" s="232" t="str">
        <f>IF(AF$3="","",IF(COUNTIFS(BD!$A$3:$A$5001,AF$3,BD!$B$3:$B$5001,$A$5,BD!$Q$3:$Q$5001,"&lt;&gt;")=0,"",SUMIFS(BD!$Q$3:$Q$5001,BD!$A$3:$A$5001,AF$3,BD!$B$3:$B$5001,$A$5)))</f>
        <v/>
      </c>
      <c r="AG20" s="232" t="str">
        <f>IF(AG$3="","",IF(COUNTIFS(BD!$A$3:$A$5001,AG$3,BD!$B$3:$B$5001,$A$5,BD!$Q$3:$Q$5001,"&lt;&gt;")=0,"",SUMIFS(BD!$Q$3:$Q$5001,BD!$A$3:$A$5001,AG$3,BD!$B$3:$B$5001,$A$5)))</f>
        <v/>
      </c>
      <c r="AH20" s="232" t="str">
        <f>IF(AH$3="","",IF(COUNTIFS(BD!$A$3:$A$5001,AH$3,BD!$B$3:$B$5001,$A$5,BD!$Q$3:$Q$5001,"&lt;&gt;")=0,"",SUMIFS(BD!$Q$3:$Q$5001,BD!$A$3:$A$5001,AH$3,BD!$B$3:$B$5001,$A$5)))</f>
        <v/>
      </c>
      <c r="AI20" s="232" t="str">
        <f>IF(AI$3="","",IF(COUNTIFS(BD!$A$3:$A$5001,AI$3,BD!$B$3:$B$5001,$A$5,BD!$Q$3:$Q$5001,"&lt;&gt;")=0,"",SUMIFS(BD!$Q$3:$Q$5001,BD!$A$3:$A$5001,AI$3,BD!$B$3:$B$5001,$A$5)))</f>
        <v/>
      </c>
      <c r="AJ20" s="233" t="str">
        <f>IF(AJ$3="","",IF(COUNTIFS(BD!$A$3:$A$5001,AJ$3,BD!$B$3:$B$5001,$A$5,BD!$Q$3:$Q$5001,"&lt;&gt;")=0,"",SUMIFS(BD!$Q$3:$Q$5001,BD!$A$3:$A$5001,AJ$3,BD!$B$3:$B$5001,$A$5)))</f>
        <v/>
      </c>
      <c r="AK20" s="234" t="str">
        <f>IF(COUNT(F20:AJ20)=0,"",SUM(F20:AJ20))</f>
        <v/>
      </c>
    </row>
    <row r="21" ht="15.75" customHeight="1">
      <c r="A21" s="254"/>
      <c r="B21" s="251"/>
      <c r="C21" s="228" t="inlineStr">
        <is>
          <t xml:space="preserve">Desligamento</t>
        </is>
      </c>
      <c r="D21" s="229" t="str">
        <f>IFERROR(1/(1/INDEX(BD!$Y$39:$AS$39,MATCH($A$5,BD!$Y$22:$AS$22,0))),"")</f>
        <v/>
      </c>
      <c r="E21" s="230"/>
      <c r="F21" s="231" t="str">
        <f>IF(F$3="","",IF(COUNTIFS(BD!$A$3:$A$5001,F$3,BD!$B$3:$B$5001,$A$5,BD!$R$3:$R$5001,"&lt;&gt;")=0,"",SUMIFS(BD!$R$3:$R$5001,BD!$A$3:$A$5001,F$3,BD!$B$3:$B$5001,$A$5)))</f>
        <v/>
      </c>
      <c r="G21" s="232" t="str">
        <f>IF(G$3="","",IF(COUNTIFS(BD!$A$3:$A$5001,G$3,BD!$B$3:$B$5001,$A$5,BD!$R$3:$R$5001,"&lt;&gt;")=0,"",SUMIFS(BD!$R$3:$R$5001,BD!$A$3:$A$5001,G$3,BD!$B$3:$B$5001,$A$5)))</f>
        <v/>
      </c>
      <c r="H21" s="232" t="str">
        <f>IF(H$3="","",IF(COUNTIFS(BD!$A$3:$A$5001,H$3,BD!$B$3:$B$5001,$A$5,BD!$R$3:$R$5001,"&lt;&gt;")=0,"",SUMIFS(BD!$R$3:$R$5001,BD!$A$3:$A$5001,H$3,BD!$B$3:$B$5001,$A$5)))</f>
        <v/>
      </c>
      <c r="I21" s="232" t="str">
        <f>IF(I$3="","",IF(COUNTIFS(BD!$A$3:$A$5001,I$3,BD!$B$3:$B$5001,$A$5,BD!$R$3:$R$5001,"&lt;&gt;")=0,"",SUMIFS(BD!$R$3:$R$5001,BD!$A$3:$A$5001,I$3,BD!$B$3:$B$5001,$A$5)))</f>
        <v/>
      </c>
      <c r="J21" s="232" t="str">
        <f>IF(J$3="","",IF(COUNTIFS(BD!$A$3:$A$5001,J$3,BD!$B$3:$B$5001,$A$5,BD!$R$3:$R$5001,"&lt;&gt;")=0,"",SUMIFS(BD!$R$3:$R$5001,BD!$A$3:$A$5001,J$3,BD!$B$3:$B$5001,$A$5)))</f>
        <v/>
      </c>
      <c r="K21" s="232" t="str">
        <f>IF(K$3="","",IF(COUNTIFS(BD!$A$3:$A$5001,K$3,BD!$B$3:$B$5001,$A$5,BD!$R$3:$R$5001,"&lt;&gt;")=0,"",SUMIFS(BD!$R$3:$R$5001,BD!$A$3:$A$5001,K$3,BD!$B$3:$B$5001,$A$5)))</f>
        <v/>
      </c>
      <c r="L21" s="232" t="str">
        <f>IF(L$3="","",IF(COUNTIFS(BD!$A$3:$A$5001,L$3,BD!$B$3:$B$5001,$A$5,BD!$R$3:$R$5001,"&lt;&gt;")=0,"",SUMIFS(BD!$R$3:$R$5001,BD!$A$3:$A$5001,L$3,BD!$B$3:$B$5001,$A$5)))</f>
        <v/>
      </c>
      <c r="M21" s="232" t="str">
        <f>IF(M$3="","",IF(COUNTIFS(BD!$A$3:$A$5001,M$3,BD!$B$3:$B$5001,$A$5,BD!$R$3:$R$5001,"&lt;&gt;")=0,"",SUMIFS(BD!$R$3:$R$5001,BD!$A$3:$A$5001,M$3,BD!$B$3:$B$5001,$A$5)))</f>
        <v/>
      </c>
      <c r="N21" s="232" t="str">
        <f>IF(N$3="","",IF(COUNTIFS(BD!$A$3:$A$5001,N$3,BD!$B$3:$B$5001,$A$5,BD!$R$3:$R$5001,"&lt;&gt;")=0,"",SUMIFS(BD!$R$3:$R$5001,BD!$A$3:$A$5001,N$3,BD!$B$3:$B$5001,$A$5)))</f>
        <v/>
      </c>
      <c r="O21" s="232" t="str">
        <f>IF(O$3="","",IF(COUNTIFS(BD!$A$3:$A$5001,O$3,BD!$B$3:$B$5001,$A$5,BD!$R$3:$R$5001,"&lt;&gt;")=0,"",SUMIFS(BD!$R$3:$R$5001,BD!$A$3:$A$5001,O$3,BD!$B$3:$B$5001,$A$5)))</f>
        <v/>
      </c>
      <c r="P21" s="232" t="str">
        <f>IF(P$3="","",IF(COUNTIFS(BD!$A$3:$A$5001,P$3,BD!$B$3:$B$5001,$A$5,BD!$R$3:$R$5001,"&lt;&gt;")=0,"",SUMIFS(BD!$R$3:$R$5001,BD!$A$3:$A$5001,P$3,BD!$B$3:$B$5001,$A$5)))</f>
        <v/>
      </c>
      <c r="Q21" s="232" t="str">
        <f>IF(Q$3="","",IF(COUNTIFS(BD!$A$3:$A$5001,Q$3,BD!$B$3:$B$5001,$A$5,BD!$R$3:$R$5001,"&lt;&gt;")=0,"",SUMIFS(BD!$R$3:$R$5001,BD!$A$3:$A$5001,Q$3,BD!$B$3:$B$5001,$A$5)))</f>
        <v/>
      </c>
      <c r="R21" s="232" t="str">
        <f>IF(R$3="","",IF(COUNTIFS(BD!$A$3:$A$5001,R$3,BD!$B$3:$B$5001,$A$5,BD!$R$3:$R$5001,"&lt;&gt;")=0,"",SUMIFS(BD!$R$3:$R$5001,BD!$A$3:$A$5001,R$3,BD!$B$3:$B$5001,$A$5)))</f>
        <v/>
      </c>
      <c r="S21" s="232" t="str">
        <f>IF(S$3="","",IF(COUNTIFS(BD!$A$3:$A$5001,S$3,BD!$B$3:$B$5001,$A$5,BD!$R$3:$R$5001,"&lt;&gt;")=0,"",SUMIFS(BD!$R$3:$R$5001,BD!$A$3:$A$5001,S$3,BD!$B$3:$B$5001,$A$5)))</f>
        <v/>
      </c>
      <c r="T21" s="232" t="str">
        <f>IF(T$3="","",IF(COUNTIFS(BD!$A$3:$A$5001,T$3,BD!$B$3:$B$5001,$A$5,BD!$R$3:$R$5001,"&lt;&gt;")=0,"",SUMIFS(BD!$R$3:$R$5001,BD!$A$3:$A$5001,T$3,BD!$B$3:$B$5001,$A$5)))</f>
        <v/>
      </c>
      <c r="U21" s="232" t="str">
        <f>IF(U$3="","",IF(COUNTIFS(BD!$A$3:$A$5001,U$3,BD!$B$3:$B$5001,$A$5,BD!$R$3:$R$5001,"&lt;&gt;")=0,"",SUMIFS(BD!$R$3:$R$5001,BD!$A$3:$A$5001,U$3,BD!$B$3:$B$5001,$A$5)))</f>
        <v/>
      </c>
      <c r="V21" s="232" t="str">
        <f>IF(V$3="","",IF(COUNTIFS(BD!$A$3:$A$5001,V$3,BD!$B$3:$B$5001,$A$5,BD!$R$3:$R$5001,"&lt;&gt;")=0,"",SUMIFS(BD!$R$3:$R$5001,BD!$A$3:$A$5001,V$3,BD!$B$3:$B$5001,$A$5)))</f>
        <v/>
      </c>
      <c r="W21" s="232" t="str">
        <f>IF(W$3="","",IF(COUNTIFS(BD!$A$3:$A$5001,W$3,BD!$B$3:$B$5001,$A$5,BD!$R$3:$R$5001,"&lt;&gt;")=0,"",SUMIFS(BD!$R$3:$R$5001,BD!$A$3:$A$5001,W$3,BD!$B$3:$B$5001,$A$5)))</f>
        <v/>
      </c>
      <c r="X21" s="232" t="str">
        <f>IF(X$3="","",IF(COUNTIFS(BD!$A$3:$A$5001,X$3,BD!$B$3:$B$5001,$A$5,BD!$R$3:$R$5001,"&lt;&gt;")=0,"",SUMIFS(BD!$R$3:$R$5001,BD!$A$3:$A$5001,X$3,BD!$B$3:$B$5001,$A$5)))</f>
        <v/>
      </c>
      <c r="Y21" s="232" t="str">
        <f>IF(Y$3="","",IF(COUNTIFS(BD!$A$3:$A$5001,Y$3,BD!$B$3:$B$5001,$A$5,BD!$R$3:$R$5001,"&lt;&gt;")=0,"",SUMIFS(BD!$R$3:$R$5001,BD!$A$3:$A$5001,Y$3,BD!$B$3:$B$5001,$A$5)))</f>
        <v/>
      </c>
      <c r="Z21" s="232" t="str">
        <f>IF(Z$3="","",IF(COUNTIFS(BD!$A$3:$A$5001,Z$3,BD!$B$3:$B$5001,$A$5,BD!$R$3:$R$5001,"&lt;&gt;")=0,"",SUMIFS(BD!$R$3:$R$5001,BD!$A$3:$A$5001,Z$3,BD!$B$3:$B$5001,$A$5)))</f>
        <v/>
      </c>
      <c r="AA21" s="232" t="str">
        <f>IF(AA$3="","",IF(COUNTIFS(BD!$A$3:$A$5001,AA$3,BD!$B$3:$B$5001,$A$5,BD!$R$3:$R$5001,"&lt;&gt;")=0,"",SUMIFS(BD!$R$3:$R$5001,BD!$A$3:$A$5001,AA$3,BD!$B$3:$B$5001,$A$5)))</f>
        <v/>
      </c>
      <c r="AB21" s="232" t="str">
        <f>IF(AB$3="","",IF(COUNTIFS(BD!$A$3:$A$5001,AB$3,BD!$B$3:$B$5001,$A$5,BD!$R$3:$R$5001,"&lt;&gt;")=0,"",SUMIFS(BD!$R$3:$R$5001,BD!$A$3:$A$5001,AB$3,BD!$B$3:$B$5001,$A$5)))</f>
        <v/>
      </c>
      <c r="AC21" s="232" t="str">
        <f>IF(AC$3="","",IF(COUNTIFS(BD!$A$3:$A$5001,AC$3,BD!$B$3:$B$5001,$A$5,BD!$R$3:$R$5001,"&lt;&gt;")=0,"",SUMIFS(BD!$R$3:$R$5001,BD!$A$3:$A$5001,AC$3,BD!$B$3:$B$5001,$A$5)))</f>
        <v/>
      </c>
      <c r="AD21" s="232" t="str">
        <f>IF(AD$3="","",IF(COUNTIFS(BD!$A$3:$A$5001,AD$3,BD!$B$3:$B$5001,$A$5,BD!$R$3:$R$5001,"&lt;&gt;")=0,"",SUMIFS(BD!$R$3:$R$5001,BD!$A$3:$A$5001,AD$3,BD!$B$3:$B$5001,$A$5)))</f>
        <v/>
      </c>
      <c r="AE21" s="232" t="str">
        <f>IF(AE$3="","",IF(COUNTIFS(BD!$A$3:$A$5001,AE$3,BD!$B$3:$B$5001,$A$5,BD!$R$3:$R$5001,"&lt;&gt;")=0,"",SUMIFS(BD!$R$3:$R$5001,BD!$A$3:$A$5001,AE$3,BD!$B$3:$B$5001,$A$5)))</f>
        <v/>
      </c>
      <c r="AF21" s="232" t="str">
        <f>IF(AF$3="","",IF(COUNTIFS(BD!$A$3:$A$5001,AF$3,BD!$B$3:$B$5001,$A$5,BD!$R$3:$R$5001,"&lt;&gt;")=0,"",SUMIFS(BD!$R$3:$R$5001,BD!$A$3:$A$5001,AF$3,BD!$B$3:$B$5001,$A$5)))</f>
        <v/>
      </c>
      <c r="AG21" s="232" t="str">
        <f>IF(AG$3="","",IF(COUNTIFS(BD!$A$3:$A$5001,AG$3,BD!$B$3:$B$5001,$A$5,BD!$R$3:$R$5001,"&lt;&gt;")=0,"",SUMIFS(BD!$R$3:$R$5001,BD!$A$3:$A$5001,AG$3,BD!$B$3:$B$5001,$A$5)))</f>
        <v/>
      </c>
      <c r="AH21" s="232" t="str">
        <f>IF(AH$3="","",IF(COUNTIFS(BD!$A$3:$A$5001,AH$3,BD!$B$3:$B$5001,$A$5,BD!$R$3:$R$5001,"&lt;&gt;")=0,"",SUMIFS(BD!$R$3:$R$5001,BD!$A$3:$A$5001,AH$3,BD!$B$3:$B$5001,$A$5)))</f>
        <v/>
      </c>
      <c r="AI21" s="232" t="str">
        <f>IF(AI$3="","",IF(COUNTIFS(BD!$A$3:$A$5001,AI$3,BD!$B$3:$B$5001,$A$5,BD!$R$3:$R$5001,"&lt;&gt;")=0,"",SUMIFS(BD!$R$3:$R$5001,BD!$A$3:$A$5001,AI$3,BD!$B$3:$B$5001,$A$5)))</f>
        <v/>
      </c>
      <c r="AJ21" s="233" t="str">
        <f>IF(AJ$3="","",IF(COUNTIFS(BD!$A$3:$A$5001,AJ$3,BD!$B$3:$B$5001,$A$5,BD!$R$3:$R$5001,"&lt;&gt;")=0,"",SUMIFS(BD!$R$3:$R$5001,BD!$A$3:$A$5001,AJ$3,BD!$B$3:$B$5001,$A$5)))</f>
        <v/>
      </c>
      <c r="AK21" s="234" t="str">
        <f>IF(COUNT(F21:AJ21)=0,"",SUM(F21:AJ21))</f>
        <v/>
      </c>
    </row>
    <row r="22" ht="15.75" customHeight="1">
      <c r="A22" s="254"/>
      <c r="B22" s="251"/>
      <c r="C22" s="228" t="inlineStr">
        <is>
          <t xml:space="preserve">Desvios Comportamentais</t>
        </is>
      </c>
      <c r="D22" s="229" t="str">
        <f>IFERROR(1/(1/INDEX(BD!$Y$40:$AS$40,MATCH($A$5,BD!$Y$22:$AS$22,0))),"")</f>
        <v/>
      </c>
      <c r="E22" s="230"/>
      <c r="F22" s="231" t="str">
        <f>IF(F$3="","",IF(COUNTIFS(BD!$A$3:$A$5001,F$3,BD!$B$3:$B$5001,$A$5,BD!$S$3:$S$5001,"&lt;&gt;")=0,"",SUMIFS(BD!$S$3:$S$5001,BD!$A$3:$A$5001,F$3,BD!$B$3:$B$5001,$A$5)))</f>
        <v/>
      </c>
      <c r="G22" s="232" t="str">
        <f>IF(G$3="","",IF(COUNTIFS(BD!$A$3:$A$5001,G$3,BD!$B$3:$B$5001,$A$5,BD!$S$3:$S$5001,"&lt;&gt;")=0,"",SUMIFS(BD!$S$3:$S$5001,BD!$A$3:$A$5001,G$3,BD!$B$3:$B$5001,$A$5)))</f>
        <v/>
      </c>
      <c r="H22" s="232" t="str">
        <f>IF(H$3="","",IF(COUNTIFS(BD!$A$3:$A$5001,H$3,BD!$B$3:$B$5001,$A$5,BD!$S$3:$S$5001,"&lt;&gt;")=0,"",SUMIFS(BD!$S$3:$S$5001,BD!$A$3:$A$5001,H$3,BD!$B$3:$B$5001,$A$5)))</f>
        <v/>
      </c>
      <c r="I22" s="232" t="str">
        <f>IF(I$3="","",IF(COUNTIFS(BD!$A$3:$A$5001,I$3,BD!$B$3:$B$5001,$A$5,BD!$S$3:$S$5001,"&lt;&gt;")=0,"",SUMIFS(BD!$S$3:$S$5001,BD!$A$3:$A$5001,I$3,BD!$B$3:$B$5001,$A$5)))</f>
        <v/>
      </c>
      <c r="J22" s="232" t="str">
        <f>IF(J$3="","",IF(COUNTIFS(BD!$A$3:$A$5001,J$3,BD!$B$3:$B$5001,$A$5,BD!$S$3:$S$5001,"&lt;&gt;")=0,"",SUMIFS(BD!$S$3:$S$5001,BD!$A$3:$A$5001,J$3,BD!$B$3:$B$5001,$A$5)))</f>
        <v/>
      </c>
      <c r="K22" s="232" t="str">
        <f>IF(K$3="","",IF(COUNTIFS(BD!$A$3:$A$5001,K$3,BD!$B$3:$B$5001,$A$5,BD!$S$3:$S$5001,"&lt;&gt;")=0,"",SUMIFS(BD!$S$3:$S$5001,BD!$A$3:$A$5001,K$3,BD!$B$3:$B$5001,$A$5)))</f>
        <v/>
      </c>
      <c r="L22" s="232" t="str">
        <f>IF(L$3="","",IF(COUNTIFS(BD!$A$3:$A$5001,L$3,BD!$B$3:$B$5001,$A$5,BD!$S$3:$S$5001,"&lt;&gt;")=0,"",SUMIFS(BD!$S$3:$S$5001,BD!$A$3:$A$5001,L$3,BD!$B$3:$B$5001,$A$5)))</f>
        <v/>
      </c>
      <c r="M22" s="232" t="str">
        <f>IF(M$3="","",IF(COUNTIFS(BD!$A$3:$A$5001,M$3,BD!$B$3:$B$5001,$A$5,BD!$S$3:$S$5001,"&lt;&gt;")=0,"",SUMIFS(BD!$S$3:$S$5001,BD!$A$3:$A$5001,M$3,BD!$B$3:$B$5001,$A$5)))</f>
        <v/>
      </c>
      <c r="N22" s="232" t="str">
        <f>IF(N$3="","",IF(COUNTIFS(BD!$A$3:$A$5001,N$3,BD!$B$3:$B$5001,$A$5,BD!$S$3:$S$5001,"&lt;&gt;")=0,"",SUMIFS(BD!$S$3:$S$5001,BD!$A$3:$A$5001,N$3,BD!$B$3:$B$5001,$A$5)))</f>
        <v/>
      </c>
      <c r="O22" s="232" t="str">
        <f>IF(O$3="","",IF(COUNTIFS(BD!$A$3:$A$5001,O$3,BD!$B$3:$B$5001,$A$5,BD!$S$3:$S$5001,"&lt;&gt;")=0,"",SUMIFS(BD!$S$3:$S$5001,BD!$A$3:$A$5001,O$3,BD!$B$3:$B$5001,$A$5)))</f>
        <v/>
      </c>
      <c r="P22" s="232" t="str">
        <f>IF(P$3="","",IF(COUNTIFS(BD!$A$3:$A$5001,P$3,BD!$B$3:$B$5001,$A$5,BD!$S$3:$S$5001,"&lt;&gt;")=0,"",SUMIFS(BD!$S$3:$S$5001,BD!$A$3:$A$5001,P$3,BD!$B$3:$B$5001,$A$5)))</f>
        <v/>
      </c>
      <c r="Q22" s="232" t="str">
        <f>IF(Q$3="","",IF(COUNTIFS(BD!$A$3:$A$5001,Q$3,BD!$B$3:$B$5001,$A$5,BD!$S$3:$S$5001,"&lt;&gt;")=0,"",SUMIFS(BD!$S$3:$S$5001,BD!$A$3:$A$5001,Q$3,BD!$B$3:$B$5001,$A$5)))</f>
        <v/>
      </c>
      <c r="R22" s="232" t="str">
        <f>IF(R$3="","",IF(COUNTIFS(BD!$A$3:$A$5001,R$3,BD!$B$3:$B$5001,$A$5,BD!$S$3:$S$5001,"&lt;&gt;")=0,"",SUMIFS(BD!$S$3:$S$5001,BD!$A$3:$A$5001,R$3,BD!$B$3:$B$5001,$A$5)))</f>
        <v/>
      </c>
      <c r="S22" s="232" t="str">
        <f>IF(S$3="","",IF(COUNTIFS(BD!$A$3:$A$5001,S$3,BD!$B$3:$B$5001,$A$5,BD!$S$3:$S$5001,"&lt;&gt;")=0,"",SUMIFS(BD!$S$3:$S$5001,BD!$A$3:$A$5001,S$3,BD!$B$3:$B$5001,$A$5)))</f>
        <v/>
      </c>
      <c r="T22" s="232" t="str">
        <f>IF(T$3="","",IF(COUNTIFS(BD!$A$3:$A$5001,T$3,BD!$B$3:$B$5001,$A$5,BD!$S$3:$S$5001,"&lt;&gt;")=0,"",SUMIFS(BD!$S$3:$S$5001,BD!$A$3:$A$5001,T$3,BD!$B$3:$B$5001,$A$5)))</f>
        <v/>
      </c>
      <c r="U22" s="232" t="str">
        <f>IF(U$3="","",IF(COUNTIFS(BD!$A$3:$A$5001,U$3,BD!$B$3:$B$5001,$A$5,BD!$S$3:$S$5001,"&lt;&gt;")=0,"",SUMIFS(BD!$S$3:$S$5001,BD!$A$3:$A$5001,U$3,BD!$B$3:$B$5001,$A$5)))</f>
        <v/>
      </c>
      <c r="V22" s="232" t="str">
        <f>IF(V$3="","",IF(COUNTIFS(BD!$A$3:$A$5001,V$3,BD!$B$3:$B$5001,$A$5,BD!$S$3:$S$5001,"&lt;&gt;")=0,"",SUMIFS(BD!$S$3:$S$5001,BD!$A$3:$A$5001,V$3,BD!$B$3:$B$5001,$A$5)))</f>
        <v/>
      </c>
      <c r="W22" s="232" t="str">
        <f>IF(W$3="","",IF(COUNTIFS(BD!$A$3:$A$5001,W$3,BD!$B$3:$B$5001,$A$5,BD!$S$3:$S$5001,"&lt;&gt;")=0,"",SUMIFS(BD!$S$3:$S$5001,BD!$A$3:$A$5001,W$3,BD!$B$3:$B$5001,$A$5)))</f>
        <v/>
      </c>
      <c r="X22" s="232" t="str">
        <f>IF(X$3="","",IF(COUNTIFS(BD!$A$3:$A$5001,X$3,BD!$B$3:$B$5001,$A$5,BD!$S$3:$S$5001,"&lt;&gt;")=0,"",SUMIFS(BD!$S$3:$S$5001,BD!$A$3:$A$5001,X$3,BD!$B$3:$B$5001,$A$5)))</f>
        <v/>
      </c>
      <c r="Y22" s="232" t="str">
        <f>IF(Y$3="","",IF(COUNTIFS(BD!$A$3:$A$5001,Y$3,BD!$B$3:$B$5001,$A$5,BD!$S$3:$S$5001,"&lt;&gt;")=0,"",SUMIFS(BD!$S$3:$S$5001,BD!$A$3:$A$5001,Y$3,BD!$B$3:$B$5001,$A$5)))</f>
        <v/>
      </c>
      <c r="Z22" s="232" t="str">
        <f>IF(Z$3="","",IF(COUNTIFS(BD!$A$3:$A$5001,Z$3,BD!$B$3:$B$5001,$A$5,BD!$S$3:$S$5001,"&lt;&gt;")=0,"",SUMIFS(BD!$S$3:$S$5001,BD!$A$3:$A$5001,Z$3,BD!$B$3:$B$5001,$A$5)))</f>
        <v/>
      </c>
      <c r="AA22" s="232" t="str">
        <f>IF(AA$3="","",IF(COUNTIFS(BD!$A$3:$A$5001,AA$3,BD!$B$3:$B$5001,$A$5,BD!$S$3:$S$5001,"&lt;&gt;")=0,"",SUMIFS(BD!$S$3:$S$5001,BD!$A$3:$A$5001,AA$3,BD!$B$3:$B$5001,$A$5)))</f>
        <v/>
      </c>
      <c r="AB22" s="232" t="str">
        <f>IF(AB$3="","",IF(COUNTIFS(BD!$A$3:$A$5001,AB$3,BD!$B$3:$B$5001,$A$5,BD!$S$3:$S$5001,"&lt;&gt;")=0,"",SUMIFS(BD!$S$3:$S$5001,BD!$A$3:$A$5001,AB$3,BD!$B$3:$B$5001,$A$5)))</f>
        <v/>
      </c>
      <c r="AC22" s="232" t="str">
        <f>IF(AC$3="","",IF(COUNTIFS(BD!$A$3:$A$5001,AC$3,BD!$B$3:$B$5001,$A$5,BD!$S$3:$S$5001,"&lt;&gt;")=0,"",SUMIFS(BD!$S$3:$S$5001,BD!$A$3:$A$5001,AC$3,BD!$B$3:$B$5001,$A$5)))</f>
        <v/>
      </c>
      <c r="AD22" s="232" t="str">
        <f>IF(AD$3="","",IF(COUNTIFS(BD!$A$3:$A$5001,AD$3,BD!$B$3:$B$5001,$A$5,BD!$S$3:$S$5001,"&lt;&gt;")=0,"",SUMIFS(BD!$S$3:$S$5001,BD!$A$3:$A$5001,AD$3,BD!$B$3:$B$5001,$A$5)))</f>
        <v/>
      </c>
      <c r="AE22" s="232" t="str">
        <f>IF(AE$3="","",IF(COUNTIFS(BD!$A$3:$A$5001,AE$3,BD!$B$3:$B$5001,$A$5,BD!$S$3:$S$5001,"&lt;&gt;")=0,"",SUMIFS(BD!$S$3:$S$5001,BD!$A$3:$A$5001,AE$3,BD!$B$3:$B$5001,$A$5)))</f>
        <v/>
      </c>
      <c r="AF22" s="232" t="str">
        <f>IF(AF$3="","",IF(COUNTIFS(BD!$A$3:$A$5001,AF$3,BD!$B$3:$B$5001,$A$5,BD!$S$3:$S$5001,"&lt;&gt;")=0,"",SUMIFS(BD!$S$3:$S$5001,BD!$A$3:$A$5001,AF$3,BD!$B$3:$B$5001,$A$5)))</f>
        <v/>
      </c>
      <c r="AG22" s="232" t="str">
        <f>IF(AG$3="","",IF(COUNTIFS(BD!$A$3:$A$5001,AG$3,BD!$B$3:$B$5001,$A$5,BD!$S$3:$S$5001,"&lt;&gt;")=0,"",SUMIFS(BD!$S$3:$S$5001,BD!$A$3:$A$5001,AG$3,BD!$B$3:$B$5001,$A$5)))</f>
        <v/>
      </c>
      <c r="AH22" s="232" t="str">
        <f>IF(AH$3="","",IF(COUNTIFS(BD!$A$3:$A$5001,AH$3,BD!$B$3:$B$5001,$A$5,BD!$S$3:$S$5001,"&lt;&gt;")=0,"",SUMIFS(BD!$S$3:$S$5001,BD!$A$3:$A$5001,AH$3,BD!$B$3:$B$5001,$A$5)))</f>
        <v/>
      </c>
      <c r="AI22" s="232" t="str">
        <f>IF(AI$3="","",IF(COUNTIFS(BD!$A$3:$A$5001,AI$3,BD!$B$3:$B$5001,$A$5,BD!$S$3:$S$5001,"&lt;&gt;")=0,"",SUMIFS(BD!$S$3:$S$5001,BD!$A$3:$A$5001,AI$3,BD!$B$3:$B$5001,$A$5)))</f>
        <v/>
      </c>
      <c r="AJ22" s="233" t="str">
        <f>IF(AJ$3="","",IF(COUNTIFS(BD!$A$3:$A$5001,AJ$3,BD!$B$3:$B$5001,$A$5,BD!$S$3:$S$5001,"&lt;&gt;")=0,"",SUMIFS(BD!$S$3:$S$5001,BD!$A$3:$A$5001,AJ$3,BD!$B$3:$B$5001,$A$5)))</f>
        <v/>
      </c>
      <c r="AK22" s="234" t="str">
        <f>IF(COUNT(F22:AJ22)=0,"",SUM(F22:AJ22))</f>
        <v/>
      </c>
    </row>
    <row r="23" ht="15.75" customHeight="1">
      <c r="A23" s="254"/>
      <c r="B23" s="251"/>
      <c r="C23" s="228" t="inlineStr">
        <is>
          <t xml:space="preserve">Acidentes CAF</t>
        </is>
      </c>
      <c r="D23" s="229" t="str">
        <f>IFERROR(1/(1/INDEX(BD!$Y$41:$AS$41,MATCH($A$5,BD!$Y$22:$AS$22,0))),"")</f>
        <v/>
      </c>
      <c r="E23" s="230"/>
      <c r="F23" s="231" t="str">
        <f>IF(F$3="","",IF(COUNTIFS(BD!$A$3:$A$5001,F$3,BD!$B$3:$B$5001,$A$5,BD!$T$3:$T$5001,"&lt;&gt;")=0,"",SUMIFS(BD!$T$3:$T$5001,BD!$A$3:$A$5001,F$3,BD!$B$3:$B$5001,$A$5)))</f>
        <v/>
      </c>
      <c r="G23" s="232" t="str">
        <f>IF(G$3="","",IF(COUNTIFS(BD!$A$3:$A$5001,G$3,BD!$B$3:$B$5001,$A$5,BD!$T$3:$T$5001,"&lt;&gt;")=0,"",SUMIFS(BD!$T$3:$T$5001,BD!$A$3:$A$5001,G$3,BD!$B$3:$B$5001,$A$5)))</f>
        <v/>
      </c>
      <c r="H23" s="232" t="str">
        <f>IF(H$3="","",IF(COUNTIFS(BD!$A$3:$A$5001,H$3,BD!$B$3:$B$5001,$A$5,BD!$T$3:$T$5001,"&lt;&gt;")=0,"",SUMIFS(BD!$T$3:$T$5001,BD!$A$3:$A$5001,H$3,BD!$B$3:$B$5001,$A$5)))</f>
        <v/>
      </c>
      <c r="I23" s="232" t="str">
        <f>IF(I$3="","",IF(COUNTIFS(BD!$A$3:$A$5001,I$3,BD!$B$3:$B$5001,$A$5,BD!$T$3:$T$5001,"&lt;&gt;")=0,"",SUMIFS(BD!$T$3:$T$5001,BD!$A$3:$A$5001,I$3,BD!$B$3:$B$5001,$A$5)))</f>
        <v/>
      </c>
      <c r="J23" s="232" t="str">
        <f>IF(J$3="","",IF(COUNTIFS(BD!$A$3:$A$5001,J$3,BD!$B$3:$B$5001,$A$5,BD!$T$3:$T$5001,"&lt;&gt;")=0,"",SUMIFS(BD!$T$3:$T$5001,BD!$A$3:$A$5001,J$3,BD!$B$3:$B$5001,$A$5)))</f>
        <v/>
      </c>
      <c r="K23" s="232" t="str">
        <f>IF(K$3="","",IF(COUNTIFS(BD!$A$3:$A$5001,K$3,BD!$B$3:$B$5001,$A$5,BD!$T$3:$T$5001,"&lt;&gt;")=0,"",SUMIFS(BD!$T$3:$T$5001,BD!$A$3:$A$5001,K$3,BD!$B$3:$B$5001,$A$5)))</f>
        <v/>
      </c>
      <c r="L23" s="232" t="str">
        <f>IF(L$3="","",IF(COUNTIFS(BD!$A$3:$A$5001,L$3,BD!$B$3:$B$5001,$A$5,BD!$T$3:$T$5001,"&lt;&gt;")=0,"",SUMIFS(BD!$T$3:$T$5001,BD!$A$3:$A$5001,L$3,BD!$B$3:$B$5001,$A$5)))</f>
        <v/>
      </c>
      <c r="M23" s="232" t="str">
        <f>IF(M$3="","",IF(COUNTIFS(BD!$A$3:$A$5001,M$3,BD!$B$3:$B$5001,$A$5,BD!$T$3:$T$5001,"&lt;&gt;")=0,"",SUMIFS(BD!$T$3:$T$5001,BD!$A$3:$A$5001,M$3,BD!$B$3:$B$5001,$A$5)))</f>
        <v/>
      </c>
      <c r="N23" s="232" t="str">
        <f>IF(N$3="","",IF(COUNTIFS(BD!$A$3:$A$5001,N$3,BD!$B$3:$B$5001,$A$5,BD!$T$3:$T$5001,"&lt;&gt;")=0,"",SUMIFS(BD!$T$3:$T$5001,BD!$A$3:$A$5001,N$3,BD!$B$3:$B$5001,$A$5)))</f>
        <v/>
      </c>
      <c r="O23" s="232" t="str">
        <f>IF(O$3="","",IF(COUNTIFS(BD!$A$3:$A$5001,O$3,BD!$B$3:$B$5001,$A$5,BD!$T$3:$T$5001,"&lt;&gt;")=0,"",SUMIFS(BD!$T$3:$T$5001,BD!$A$3:$A$5001,O$3,BD!$B$3:$B$5001,$A$5)))</f>
        <v/>
      </c>
      <c r="P23" s="232" t="str">
        <f>IF(P$3="","",IF(COUNTIFS(BD!$A$3:$A$5001,P$3,BD!$B$3:$B$5001,$A$5,BD!$T$3:$T$5001,"&lt;&gt;")=0,"",SUMIFS(BD!$T$3:$T$5001,BD!$A$3:$A$5001,P$3,BD!$B$3:$B$5001,$A$5)))</f>
        <v/>
      </c>
      <c r="Q23" s="232" t="str">
        <f>IF(Q$3="","",IF(COUNTIFS(BD!$A$3:$A$5001,Q$3,BD!$B$3:$B$5001,$A$5,BD!$T$3:$T$5001,"&lt;&gt;")=0,"",SUMIFS(BD!$T$3:$T$5001,BD!$A$3:$A$5001,Q$3,BD!$B$3:$B$5001,$A$5)))</f>
        <v/>
      </c>
      <c r="R23" s="232" t="str">
        <f>IF(R$3="","",IF(COUNTIFS(BD!$A$3:$A$5001,R$3,BD!$B$3:$B$5001,$A$5,BD!$T$3:$T$5001,"&lt;&gt;")=0,"",SUMIFS(BD!$T$3:$T$5001,BD!$A$3:$A$5001,R$3,BD!$B$3:$B$5001,$A$5)))</f>
        <v/>
      </c>
      <c r="S23" s="232" t="str">
        <f>IF(S$3="","",IF(COUNTIFS(BD!$A$3:$A$5001,S$3,BD!$B$3:$B$5001,$A$5,BD!$T$3:$T$5001,"&lt;&gt;")=0,"",SUMIFS(BD!$T$3:$T$5001,BD!$A$3:$A$5001,S$3,BD!$B$3:$B$5001,$A$5)))</f>
        <v/>
      </c>
      <c r="T23" s="232" t="str">
        <f>IF(T$3="","",IF(COUNTIFS(BD!$A$3:$A$5001,T$3,BD!$B$3:$B$5001,$A$5,BD!$T$3:$T$5001,"&lt;&gt;")=0,"",SUMIFS(BD!$T$3:$T$5001,BD!$A$3:$A$5001,T$3,BD!$B$3:$B$5001,$A$5)))</f>
        <v/>
      </c>
      <c r="U23" s="232" t="str">
        <f>IF(U$3="","",IF(COUNTIFS(BD!$A$3:$A$5001,U$3,BD!$B$3:$B$5001,$A$5,BD!$T$3:$T$5001,"&lt;&gt;")=0,"",SUMIFS(BD!$T$3:$T$5001,BD!$A$3:$A$5001,U$3,BD!$B$3:$B$5001,$A$5)))</f>
        <v/>
      </c>
      <c r="V23" s="232" t="str">
        <f>IF(V$3="","",IF(COUNTIFS(BD!$A$3:$A$5001,V$3,BD!$B$3:$B$5001,$A$5,BD!$T$3:$T$5001,"&lt;&gt;")=0,"",SUMIFS(BD!$T$3:$T$5001,BD!$A$3:$A$5001,V$3,BD!$B$3:$B$5001,$A$5)))</f>
        <v/>
      </c>
      <c r="W23" s="232" t="str">
        <f>IF(W$3="","",IF(COUNTIFS(BD!$A$3:$A$5001,W$3,BD!$B$3:$B$5001,$A$5,BD!$T$3:$T$5001,"&lt;&gt;")=0,"",SUMIFS(BD!$T$3:$T$5001,BD!$A$3:$A$5001,W$3,BD!$B$3:$B$5001,$A$5)))</f>
        <v/>
      </c>
      <c r="X23" s="232" t="str">
        <f>IF(X$3="","",IF(COUNTIFS(BD!$A$3:$A$5001,X$3,BD!$B$3:$B$5001,$A$5,BD!$T$3:$T$5001,"&lt;&gt;")=0,"",SUMIFS(BD!$T$3:$T$5001,BD!$A$3:$A$5001,X$3,BD!$B$3:$B$5001,$A$5)))</f>
        <v/>
      </c>
      <c r="Y23" s="232" t="str">
        <f>IF(Y$3="","",IF(COUNTIFS(BD!$A$3:$A$5001,Y$3,BD!$B$3:$B$5001,$A$5,BD!$T$3:$T$5001,"&lt;&gt;")=0,"",SUMIFS(BD!$T$3:$T$5001,BD!$A$3:$A$5001,Y$3,BD!$B$3:$B$5001,$A$5)))</f>
        <v/>
      </c>
      <c r="Z23" s="232" t="str">
        <f>IF(Z$3="","",IF(COUNTIFS(BD!$A$3:$A$5001,Z$3,BD!$B$3:$B$5001,$A$5,BD!$T$3:$T$5001,"&lt;&gt;")=0,"",SUMIFS(BD!$T$3:$T$5001,BD!$A$3:$A$5001,Z$3,BD!$B$3:$B$5001,$A$5)))</f>
        <v/>
      </c>
      <c r="AA23" s="232" t="str">
        <f>IF(AA$3="","",IF(COUNTIFS(BD!$A$3:$A$5001,AA$3,BD!$B$3:$B$5001,$A$5,BD!$T$3:$T$5001,"&lt;&gt;")=0,"",SUMIFS(BD!$T$3:$T$5001,BD!$A$3:$A$5001,AA$3,BD!$B$3:$B$5001,$A$5)))</f>
        <v/>
      </c>
      <c r="AB23" s="232" t="str">
        <f>IF(AB$3="","",IF(COUNTIFS(BD!$A$3:$A$5001,AB$3,BD!$B$3:$B$5001,$A$5,BD!$T$3:$T$5001,"&lt;&gt;")=0,"",SUMIFS(BD!$T$3:$T$5001,BD!$A$3:$A$5001,AB$3,BD!$B$3:$B$5001,$A$5)))</f>
        <v/>
      </c>
      <c r="AC23" s="232" t="str">
        <f>IF(AC$3="","",IF(COUNTIFS(BD!$A$3:$A$5001,AC$3,BD!$B$3:$B$5001,$A$5,BD!$T$3:$T$5001,"&lt;&gt;")=0,"",SUMIFS(BD!$T$3:$T$5001,BD!$A$3:$A$5001,AC$3,BD!$B$3:$B$5001,$A$5)))</f>
        <v/>
      </c>
      <c r="AD23" s="232" t="str">
        <f>IF(AD$3="","",IF(COUNTIFS(BD!$A$3:$A$5001,AD$3,BD!$B$3:$B$5001,$A$5,BD!$T$3:$T$5001,"&lt;&gt;")=0,"",SUMIFS(BD!$T$3:$T$5001,BD!$A$3:$A$5001,AD$3,BD!$B$3:$B$5001,$A$5)))</f>
        <v/>
      </c>
      <c r="AE23" s="232" t="str">
        <f>IF(AE$3="","",IF(COUNTIFS(BD!$A$3:$A$5001,AE$3,BD!$B$3:$B$5001,$A$5,BD!$T$3:$T$5001,"&lt;&gt;")=0,"",SUMIFS(BD!$T$3:$T$5001,BD!$A$3:$A$5001,AE$3,BD!$B$3:$B$5001,$A$5)))</f>
        <v/>
      </c>
      <c r="AF23" s="232" t="str">
        <f>IF(AF$3="","",IF(COUNTIFS(BD!$A$3:$A$5001,AF$3,BD!$B$3:$B$5001,$A$5,BD!$T$3:$T$5001,"&lt;&gt;")=0,"",SUMIFS(BD!$T$3:$T$5001,BD!$A$3:$A$5001,AF$3,BD!$B$3:$B$5001,$A$5)))</f>
        <v/>
      </c>
      <c r="AG23" s="232" t="str">
        <f>IF(AG$3="","",IF(COUNTIFS(BD!$A$3:$A$5001,AG$3,BD!$B$3:$B$5001,$A$5,BD!$T$3:$T$5001,"&lt;&gt;")=0,"",SUMIFS(BD!$T$3:$T$5001,BD!$A$3:$A$5001,AG$3,BD!$B$3:$B$5001,$A$5)))</f>
        <v/>
      </c>
      <c r="AH23" s="232" t="str">
        <f>IF(AH$3="","",IF(COUNTIFS(BD!$A$3:$A$5001,AH$3,BD!$B$3:$B$5001,$A$5,BD!$T$3:$T$5001,"&lt;&gt;")=0,"",SUMIFS(BD!$T$3:$T$5001,BD!$A$3:$A$5001,AH$3,BD!$B$3:$B$5001,$A$5)))</f>
        <v/>
      </c>
      <c r="AI23" s="232" t="str">
        <f>IF(AI$3="","",IF(COUNTIFS(BD!$A$3:$A$5001,AI$3,BD!$B$3:$B$5001,$A$5,BD!$T$3:$T$5001,"&lt;&gt;")=0,"",SUMIFS(BD!$T$3:$T$5001,BD!$A$3:$A$5001,AI$3,BD!$B$3:$B$5001,$A$5)))</f>
        <v/>
      </c>
      <c r="AJ23" s="233" t="str">
        <f>IF(AJ$3="","",IF(COUNTIFS(BD!$A$3:$A$5001,AJ$3,BD!$B$3:$B$5001,$A$5,BD!$T$3:$T$5001,"&lt;&gt;")=0,"",SUMIFS(BD!$T$3:$T$5001,BD!$A$3:$A$5001,AJ$3,BD!$B$3:$B$5001,$A$5)))</f>
        <v/>
      </c>
      <c r="AK23" s="234" t="str">
        <f>IF(COUNT(F23:AJ23)=0,"",SUM(F23:AJ23))</f>
        <v/>
      </c>
    </row>
    <row r="24" ht="15.75" customHeight="1">
      <c r="A24" s="255"/>
      <c r="B24" s="252"/>
      <c r="C24" s="235" t="inlineStr">
        <is>
          <t xml:space="preserve">Acidentes SAF</t>
        </is>
      </c>
      <c r="D24" s="236" t="str">
        <f>IFERROR(1/(1/INDEX(BD!$Y$42:$AS$42,MATCH($A$5,BD!$Y$22:$AS$22,0))),"")</f>
        <v/>
      </c>
      <c r="E24" s="237"/>
      <c r="F24" s="238" t="str">
        <f>IF(F$3="","",IF(COUNTIFS(BD!$A$3:$A$5001,F$3,BD!$B$3:$B$5001,$A$5,BD!$U$3:$U$5001,"&lt;&gt;")=0,"",SUMIFS(BD!$U$3:$U$5001,BD!$A$3:$A$5001,F$3,BD!$B$3:$B$5001,$A$5)))</f>
        <v/>
      </c>
      <c r="G24" s="239" t="str">
        <f>IF(G$3="","",IF(COUNTIFS(BD!$A$3:$A$5001,G$3,BD!$B$3:$B$5001,$A$5,BD!$U$3:$U$5001,"&lt;&gt;")=0,"",SUMIFS(BD!$U$3:$U$5001,BD!$A$3:$A$5001,G$3,BD!$B$3:$B$5001,$A$5)))</f>
        <v/>
      </c>
      <c r="H24" s="239" t="str">
        <f>IF(H$3="","",IF(COUNTIFS(BD!$A$3:$A$5001,H$3,BD!$B$3:$B$5001,$A$5,BD!$U$3:$U$5001,"&lt;&gt;")=0,"",SUMIFS(BD!$U$3:$U$5001,BD!$A$3:$A$5001,H$3,BD!$B$3:$B$5001,$A$5)))</f>
        <v/>
      </c>
      <c r="I24" s="239" t="str">
        <f>IF(I$3="","",IF(COUNTIFS(BD!$A$3:$A$5001,I$3,BD!$B$3:$B$5001,$A$5,BD!$U$3:$U$5001,"&lt;&gt;")=0,"",SUMIFS(BD!$U$3:$U$5001,BD!$A$3:$A$5001,I$3,BD!$B$3:$B$5001,$A$5)))</f>
        <v/>
      </c>
      <c r="J24" s="239" t="str">
        <f>IF(J$3="","",IF(COUNTIFS(BD!$A$3:$A$5001,J$3,BD!$B$3:$B$5001,$A$5,BD!$U$3:$U$5001,"&lt;&gt;")=0,"",SUMIFS(BD!$U$3:$U$5001,BD!$A$3:$A$5001,J$3,BD!$B$3:$B$5001,$A$5)))</f>
        <v/>
      </c>
      <c r="K24" s="239" t="str">
        <f>IF(K$3="","",IF(COUNTIFS(BD!$A$3:$A$5001,K$3,BD!$B$3:$B$5001,$A$5,BD!$U$3:$U$5001,"&lt;&gt;")=0,"",SUMIFS(BD!$U$3:$U$5001,BD!$A$3:$A$5001,K$3,BD!$B$3:$B$5001,$A$5)))</f>
        <v/>
      </c>
      <c r="L24" s="239" t="str">
        <f>IF(L$3="","",IF(COUNTIFS(BD!$A$3:$A$5001,L$3,BD!$B$3:$B$5001,$A$5,BD!$U$3:$U$5001,"&lt;&gt;")=0,"",SUMIFS(BD!$U$3:$U$5001,BD!$A$3:$A$5001,L$3,BD!$B$3:$B$5001,$A$5)))</f>
        <v/>
      </c>
      <c r="M24" s="239" t="str">
        <f>IF(M$3="","",IF(COUNTIFS(BD!$A$3:$A$5001,M$3,BD!$B$3:$B$5001,$A$5,BD!$U$3:$U$5001,"&lt;&gt;")=0,"",SUMIFS(BD!$U$3:$U$5001,BD!$A$3:$A$5001,M$3,BD!$B$3:$B$5001,$A$5)))</f>
        <v/>
      </c>
      <c r="N24" s="239" t="str">
        <f>IF(N$3="","",IF(COUNTIFS(BD!$A$3:$A$5001,N$3,BD!$B$3:$B$5001,$A$5,BD!$U$3:$U$5001,"&lt;&gt;")=0,"",SUMIFS(BD!$U$3:$U$5001,BD!$A$3:$A$5001,N$3,BD!$B$3:$B$5001,$A$5)))</f>
        <v/>
      </c>
      <c r="O24" s="239" t="str">
        <f>IF(O$3="","",IF(COUNTIFS(BD!$A$3:$A$5001,O$3,BD!$B$3:$B$5001,$A$5,BD!$U$3:$U$5001,"&lt;&gt;")=0,"",SUMIFS(BD!$U$3:$U$5001,BD!$A$3:$A$5001,O$3,BD!$B$3:$B$5001,$A$5)))</f>
        <v/>
      </c>
      <c r="P24" s="239" t="str">
        <f>IF(P$3="","",IF(COUNTIFS(BD!$A$3:$A$5001,P$3,BD!$B$3:$B$5001,$A$5,BD!$U$3:$U$5001,"&lt;&gt;")=0,"",SUMIFS(BD!$U$3:$U$5001,BD!$A$3:$A$5001,P$3,BD!$B$3:$B$5001,$A$5)))</f>
        <v/>
      </c>
      <c r="Q24" s="239" t="str">
        <f>IF(Q$3="","",IF(COUNTIFS(BD!$A$3:$A$5001,Q$3,BD!$B$3:$B$5001,$A$5,BD!$U$3:$U$5001,"&lt;&gt;")=0,"",SUMIFS(BD!$U$3:$U$5001,BD!$A$3:$A$5001,Q$3,BD!$B$3:$B$5001,$A$5)))</f>
        <v/>
      </c>
      <c r="R24" s="239" t="str">
        <f>IF(R$3="","",IF(COUNTIFS(BD!$A$3:$A$5001,R$3,BD!$B$3:$B$5001,$A$5,BD!$U$3:$U$5001,"&lt;&gt;")=0,"",SUMIFS(BD!$U$3:$U$5001,BD!$A$3:$A$5001,R$3,BD!$B$3:$B$5001,$A$5)))</f>
        <v/>
      </c>
      <c r="S24" s="239" t="str">
        <f>IF(S$3="","",IF(COUNTIFS(BD!$A$3:$A$5001,S$3,BD!$B$3:$B$5001,$A$5,BD!$U$3:$U$5001,"&lt;&gt;")=0,"",SUMIFS(BD!$U$3:$U$5001,BD!$A$3:$A$5001,S$3,BD!$B$3:$B$5001,$A$5)))</f>
        <v/>
      </c>
      <c r="T24" s="239" t="str">
        <f>IF(T$3="","",IF(COUNTIFS(BD!$A$3:$A$5001,T$3,BD!$B$3:$B$5001,$A$5,BD!$U$3:$U$5001,"&lt;&gt;")=0,"",SUMIFS(BD!$U$3:$U$5001,BD!$A$3:$A$5001,T$3,BD!$B$3:$B$5001,$A$5)))</f>
        <v/>
      </c>
      <c r="U24" s="239" t="str">
        <f>IF(U$3="","",IF(COUNTIFS(BD!$A$3:$A$5001,U$3,BD!$B$3:$B$5001,$A$5,BD!$U$3:$U$5001,"&lt;&gt;")=0,"",SUMIFS(BD!$U$3:$U$5001,BD!$A$3:$A$5001,U$3,BD!$B$3:$B$5001,$A$5)))</f>
        <v/>
      </c>
      <c r="V24" s="239" t="str">
        <f>IF(V$3="","",IF(COUNTIFS(BD!$A$3:$A$5001,V$3,BD!$B$3:$B$5001,$A$5,BD!$U$3:$U$5001,"&lt;&gt;")=0,"",SUMIFS(BD!$U$3:$U$5001,BD!$A$3:$A$5001,V$3,BD!$B$3:$B$5001,$A$5)))</f>
        <v/>
      </c>
      <c r="W24" s="239" t="str">
        <f>IF(W$3="","",IF(COUNTIFS(BD!$A$3:$A$5001,W$3,BD!$B$3:$B$5001,$A$5,BD!$U$3:$U$5001,"&lt;&gt;")=0,"",SUMIFS(BD!$U$3:$U$5001,BD!$A$3:$A$5001,W$3,BD!$B$3:$B$5001,$A$5)))</f>
        <v/>
      </c>
      <c r="X24" s="239" t="str">
        <f>IF(X$3="","",IF(COUNTIFS(BD!$A$3:$A$5001,X$3,BD!$B$3:$B$5001,$A$5,BD!$U$3:$U$5001,"&lt;&gt;")=0,"",SUMIFS(BD!$U$3:$U$5001,BD!$A$3:$A$5001,X$3,BD!$B$3:$B$5001,$A$5)))</f>
        <v/>
      </c>
      <c r="Y24" s="239" t="str">
        <f>IF(Y$3="","",IF(COUNTIFS(BD!$A$3:$A$5001,Y$3,BD!$B$3:$B$5001,$A$5,BD!$U$3:$U$5001,"&lt;&gt;")=0,"",SUMIFS(BD!$U$3:$U$5001,BD!$A$3:$A$5001,Y$3,BD!$B$3:$B$5001,$A$5)))</f>
        <v/>
      </c>
      <c r="Z24" s="239" t="str">
        <f>IF(Z$3="","",IF(COUNTIFS(BD!$A$3:$A$5001,Z$3,BD!$B$3:$B$5001,$A$5,BD!$U$3:$U$5001,"&lt;&gt;")=0,"",SUMIFS(BD!$U$3:$U$5001,BD!$A$3:$A$5001,Z$3,BD!$B$3:$B$5001,$A$5)))</f>
        <v/>
      </c>
      <c r="AA24" s="239" t="str">
        <f>IF(AA$3="","",IF(COUNTIFS(BD!$A$3:$A$5001,AA$3,BD!$B$3:$B$5001,$A$5,BD!$U$3:$U$5001,"&lt;&gt;")=0,"",SUMIFS(BD!$U$3:$U$5001,BD!$A$3:$A$5001,AA$3,BD!$B$3:$B$5001,$A$5)))</f>
        <v/>
      </c>
      <c r="AB24" s="239" t="str">
        <f>IF(AB$3="","",IF(COUNTIFS(BD!$A$3:$A$5001,AB$3,BD!$B$3:$B$5001,$A$5,BD!$U$3:$U$5001,"&lt;&gt;")=0,"",SUMIFS(BD!$U$3:$U$5001,BD!$A$3:$A$5001,AB$3,BD!$B$3:$B$5001,$A$5)))</f>
        <v/>
      </c>
      <c r="AC24" s="239" t="str">
        <f>IF(AC$3="","",IF(COUNTIFS(BD!$A$3:$A$5001,AC$3,BD!$B$3:$B$5001,$A$5,BD!$U$3:$U$5001,"&lt;&gt;")=0,"",SUMIFS(BD!$U$3:$U$5001,BD!$A$3:$A$5001,AC$3,BD!$B$3:$B$5001,$A$5)))</f>
        <v/>
      </c>
      <c r="AD24" s="239" t="str">
        <f>IF(AD$3="","",IF(COUNTIFS(BD!$A$3:$A$5001,AD$3,BD!$B$3:$B$5001,$A$5,BD!$U$3:$U$5001,"&lt;&gt;")=0,"",SUMIFS(BD!$U$3:$U$5001,BD!$A$3:$A$5001,AD$3,BD!$B$3:$B$5001,$A$5)))</f>
        <v/>
      </c>
      <c r="AE24" s="239" t="str">
        <f>IF(AE$3="","",IF(COUNTIFS(BD!$A$3:$A$5001,AE$3,BD!$B$3:$B$5001,$A$5,BD!$U$3:$U$5001,"&lt;&gt;")=0,"",SUMIFS(BD!$U$3:$U$5001,BD!$A$3:$A$5001,AE$3,BD!$B$3:$B$5001,$A$5)))</f>
        <v/>
      </c>
      <c r="AF24" s="239" t="str">
        <f>IF(AF$3="","",IF(COUNTIFS(BD!$A$3:$A$5001,AF$3,BD!$B$3:$B$5001,$A$5,BD!$U$3:$U$5001,"&lt;&gt;")=0,"",SUMIFS(BD!$U$3:$U$5001,BD!$A$3:$A$5001,AF$3,BD!$B$3:$B$5001,$A$5)))</f>
        <v/>
      </c>
      <c r="AG24" s="239" t="str">
        <f>IF(AG$3="","",IF(COUNTIFS(BD!$A$3:$A$5001,AG$3,BD!$B$3:$B$5001,$A$5,BD!$U$3:$U$5001,"&lt;&gt;")=0,"",SUMIFS(BD!$U$3:$U$5001,BD!$A$3:$A$5001,AG$3,BD!$B$3:$B$5001,$A$5)))</f>
        <v/>
      </c>
      <c r="AH24" s="239" t="str">
        <f>IF(AH$3="","",IF(COUNTIFS(BD!$A$3:$A$5001,AH$3,BD!$B$3:$B$5001,$A$5,BD!$U$3:$U$5001,"&lt;&gt;")=0,"",SUMIFS(BD!$U$3:$U$5001,BD!$A$3:$A$5001,AH$3,BD!$B$3:$B$5001,$A$5)))</f>
        <v/>
      </c>
      <c r="AI24" s="239" t="str">
        <f>IF(AI$3="","",IF(COUNTIFS(BD!$A$3:$A$5001,AI$3,BD!$B$3:$B$5001,$A$5,BD!$U$3:$U$5001,"&lt;&gt;")=0,"",SUMIFS(BD!$U$3:$U$5001,BD!$A$3:$A$5001,AI$3,BD!$B$3:$B$5001,$A$5)))</f>
        <v/>
      </c>
      <c r="AJ24" s="240" t="str">
        <f>IF(AJ$3="","",IF(COUNTIFS(BD!$A$3:$A$5001,AJ$3,BD!$B$3:$B$5001,$A$5,BD!$U$3:$U$5001,"&lt;&gt;")=0,"",SUMIFS(BD!$U$3:$U$5001,BD!$A$3:$A$5001,AJ$3,BD!$B$3:$B$5001,$A$5)))</f>
        <v/>
      </c>
      <c r="AK24" s="236" t="str">
        <f>IF(COUNT(F24:AJ24)=0,"",SUM(F24:AJ24))</f>
        <v/>
      </c>
    </row>
    <row r="26" ht="15.75" customHeight="1">
      <c r="A26" s="253" t="inlineStr">
        <is>
          <t xml:space="preserve">GM</t>
        </is>
      </c>
      <c r="B26" s="244" t="inlineStr">
        <is>
          <t xml:space="preserve">OUT</t>
        </is>
      </c>
      <c r="C26" s="176" t="inlineStr">
        <is>
          <t xml:space="preserve">Veículos Expedidos</t>
        </is>
      </c>
      <c r="D26" s="177" t="str">
        <f>IFERROR(1/(1/INDEX(BD!$Y$26:$AS$26,MATCH($A$26,BD!$Y$22:$AS$22,0))),"")</f>
        <v/>
      </c>
      <c r="E26" s="178"/>
      <c r="F26" s="179" t="str">
        <f>IF(F$3="","",IF(COUNTIFS(BD!$A$3:$A$5001,F$3,BD!$B$3:$B$5001,$A$26,BD!$F$3:$F$5001,"&lt;&gt;")=0,"",SUMIFS(BD!$F$3:$F$5001,BD!$A$3:$A$5001,F$3,BD!$B$3:$B$5001,$A$26)))</f>
        <v/>
      </c>
      <c r="G26" s="180" t="str">
        <f>IF(G$3="","",IF(COUNTIFS(BD!$A$3:$A$5001,G$3,BD!$B$3:$B$5001,$A$26,BD!$F$3:$F$5001,"&lt;&gt;")=0,"",SUMIFS(BD!$F$3:$F$5001,BD!$A$3:$A$5001,G$3,BD!$B$3:$B$5001,$A$26)))</f>
        <v/>
      </c>
      <c r="H26" s="180" t="str">
        <f>IF(H$3="","",IF(COUNTIFS(BD!$A$3:$A$5001,H$3,BD!$B$3:$B$5001,$A$26,BD!$F$3:$F$5001,"&lt;&gt;")=0,"",SUMIFS(BD!$F$3:$F$5001,BD!$A$3:$A$5001,H$3,BD!$B$3:$B$5001,$A$26)))</f>
        <v/>
      </c>
      <c r="I26" s="180" t="str">
        <f>IF(I$3="","",IF(COUNTIFS(BD!$A$3:$A$5001,I$3,BD!$B$3:$B$5001,$A$26,BD!$F$3:$F$5001,"&lt;&gt;")=0,"",SUMIFS(BD!$F$3:$F$5001,BD!$A$3:$A$5001,I$3,BD!$B$3:$B$5001,$A$26)))</f>
        <v/>
      </c>
      <c r="J26" s="180" t="str">
        <f>IF(J$3="","",IF(COUNTIFS(BD!$A$3:$A$5001,J$3,BD!$B$3:$B$5001,$A$26,BD!$F$3:$F$5001,"&lt;&gt;")=0,"",SUMIFS(BD!$F$3:$F$5001,BD!$A$3:$A$5001,J$3,BD!$B$3:$B$5001,$A$26)))</f>
        <v/>
      </c>
      <c r="K26" s="180" t="str">
        <f>IF(K$3="","",IF(COUNTIFS(BD!$A$3:$A$5001,K$3,BD!$B$3:$B$5001,$A$26,BD!$F$3:$F$5001,"&lt;&gt;")=0,"",SUMIFS(BD!$F$3:$F$5001,BD!$A$3:$A$5001,K$3,BD!$B$3:$B$5001,$A$26)))</f>
        <v/>
      </c>
      <c r="L26" s="180" t="str">
        <f>IF(L$3="","",IF(COUNTIFS(BD!$A$3:$A$5001,L$3,BD!$B$3:$B$5001,$A$26,BD!$F$3:$F$5001,"&lt;&gt;")=0,"",SUMIFS(BD!$F$3:$F$5001,BD!$A$3:$A$5001,L$3,BD!$B$3:$B$5001,$A$26)))</f>
        <v/>
      </c>
      <c r="M26" s="180" t="str">
        <f>IF(M$3="","",IF(COUNTIFS(BD!$A$3:$A$5001,M$3,BD!$B$3:$B$5001,$A$26,BD!$F$3:$F$5001,"&lt;&gt;")=0,"",SUMIFS(BD!$F$3:$F$5001,BD!$A$3:$A$5001,M$3,BD!$B$3:$B$5001,$A$26)))</f>
        <v/>
      </c>
      <c r="N26" s="180" t="str">
        <f>IF(N$3="","",IF(COUNTIFS(BD!$A$3:$A$5001,N$3,BD!$B$3:$B$5001,$A$26,BD!$F$3:$F$5001,"&lt;&gt;")=0,"",SUMIFS(BD!$F$3:$F$5001,BD!$A$3:$A$5001,N$3,BD!$B$3:$B$5001,$A$26)))</f>
        <v/>
      </c>
      <c r="O26" s="180" t="str">
        <f>IF(O$3="","",IF(COUNTIFS(BD!$A$3:$A$5001,O$3,BD!$B$3:$B$5001,$A$26,BD!$F$3:$F$5001,"&lt;&gt;")=0,"",SUMIFS(BD!$F$3:$F$5001,BD!$A$3:$A$5001,O$3,BD!$B$3:$B$5001,$A$26)))</f>
        <v/>
      </c>
      <c r="P26" s="180" t="str">
        <f>IF(P$3="","",IF(COUNTIFS(BD!$A$3:$A$5001,P$3,BD!$B$3:$B$5001,$A$26,BD!$F$3:$F$5001,"&lt;&gt;")=0,"",SUMIFS(BD!$F$3:$F$5001,BD!$A$3:$A$5001,P$3,BD!$B$3:$B$5001,$A$26)))</f>
        <v/>
      </c>
      <c r="Q26" s="180" t="str">
        <f>IF(Q$3="","",IF(COUNTIFS(BD!$A$3:$A$5001,Q$3,BD!$B$3:$B$5001,$A$26,BD!$F$3:$F$5001,"&lt;&gt;")=0,"",SUMIFS(BD!$F$3:$F$5001,BD!$A$3:$A$5001,Q$3,BD!$B$3:$B$5001,$A$26)))</f>
        <v/>
      </c>
      <c r="R26" s="180" t="str">
        <f>IF(R$3="","",IF(COUNTIFS(BD!$A$3:$A$5001,R$3,BD!$B$3:$B$5001,$A$26,BD!$F$3:$F$5001,"&lt;&gt;")=0,"",SUMIFS(BD!$F$3:$F$5001,BD!$A$3:$A$5001,R$3,BD!$B$3:$B$5001,$A$26)))</f>
        <v/>
      </c>
      <c r="S26" s="180" t="str">
        <f>IF(S$3="","",IF(COUNTIFS(BD!$A$3:$A$5001,S$3,BD!$B$3:$B$5001,$A$26,BD!$F$3:$F$5001,"&lt;&gt;")=0,"",SUMIFS(BD!$F$3:$F$5001,BD!$A$3:$A$5001,S$3,BD!$B$3:$B$5001,$A$26)))</f>
        <v/>
      </c>
      <c r="T26" s="180" t="str">
        <f>IF(T$3="","",IF(COUNTIFS(BD!$A$3:$A$5001,T$3,BD!$B$3:$B$5001,$A$26,BD!$F$3:$F$5001,"&lt;&gt;")=0,"",SUMIFS(BD!$F$3:$F$5001,BD!$A$3:$A$5001,T$3,BD!$B$3:$B$5001,$A$26)))</f>
        <v/>
      </c>
      <c r="U26" s="180" t="str">
        <f>IF(U$3="","",IF(COUNTIFS(BD!$A$3:$A$5001,U$3,BD!$B$3:$B$5001,$A$26,BD!$F$3:$F$5001,"&lt;&gt;")=0,"",SUMIFS(BD!$F$3:$F$5001,BD!$A$3:$A$5001,U$3,BD!$B$3:$B$5001,$A$26)))</f>
        <v/>
      </c>
      <c r="V26" s="180" t="str">
        <f>IF(V$3="","",IF(COUNTIFS(BD!$A$3:$A$5001,V$3,BD!$B$3:$B$5001,$A$26,BD!$F$3:$F$5001,"&lt;&gt;")=0,"",SUMIFS(BD!$F$3:$F$5001,BD!$A$3:$A$5001,V$3,BD!$B$3:$B$5001,$A$26)))</f>
        <v/>
      </c>
      <c r="W26" s="180" t="str">
        <f>IF(W$3="","",IF(COUNTIFS(BD!$A$3:$A$5001,W$3,BD!$B$3:$B$5001,$A$26,BD!$F$3:$F$5001,"&lt;&gt;")=0,"",SUMIFS(BD!$F$3:$F$5001,BD!$A$3:$A$5001,W$3,BD!$B$3:$B$5001,$A$26)))</f>
        <v/>
      </c>
      <c r="X26" s="180" t="str">
        <f>IF(X$3="","",IF(COUNTIFS(BD!$A$3:$A$5001,X$3,BD!$B$3:$B$5001,$A$26,BD!$F$3:$F$5001,"&lt;&gt;")=0,"",SUMIFS(BD!$F$3:$F$5001,BD!$A$3:$A$5001,X$3,BD!$B$3:$B$5001,$A$26)))</f>
        <v/>
      </c>
      <c r="Y26" s="180" t="str">
        <f>IF(Y$3="","",IF(COUNTIFS(BD!$A$3:$A$5001,Y$3,BD!$B$3:$B$5001,$A$26,BD!$F$3:$F$5001,"&lt;&gt;")=0,"",SUMIFS(BD!$F$3:$F$5001,BD!$A$3:$A$5001,Y$3,BD!$B$3:$B$5001,$A$26)))</f>
        <v/>
      </c>
      <c r="Z26" s="180" t="str">
        <f>IF(Z$3="","",IF(COUNTIFS(BD!$A$3:$A$5001,Z$3,BD!$B$3:$B$5001,$A$26,BD!$F$3:$F$5001,"&lt;&gt;")=0,"",SUMIFS(BD!$F$3:$F$5001,BD!$A$3:$A$5001,Z$3,BD!$B$3:$B$5001,$A$26)))</f>
        <v/>
      </c>
      <c r="AA26" s="180" t="str">
        <f>IF(AA$3="","",IF(COUNTIFS(BD!$A$3:$A$5001,AA$3,BD!$B$3:$B$5001,$A$26,BD!$F$3:$F$5001,"&lt;&gt;")=0,"",SUMIFS(BD!$F$3:$F$5001,BD!$A$3:$A$5001,AA$3,BD!$B$3:$B$5001,$A$26)))</f>
        <v/>
      </c>
      <c r="AB26" s="180" t="str">
        <f>IF(AB$3="","",IF(COUNTIFS(BD!$A$3:$A$5001,AB$3,BD!$B$3:$B$5001,$A$26,BD!$F$3:$F$5001,"&lt;&gt;")=0,"",SUMIFS(BD!$F$3:$F$5001,BD!$A$3:$A$5001,AB$3,BD!$B$3:$B$5001,$A$26)))</f>
        <v/>
      </c>
      <c r="AC26" s="180" t="str">
        <f>IF(AC$3="","",IF(COUNTIFS(BD!$A$3:$A$5001,AC$3,BD!$B$3:$B$5001,$A$26,BD!$F$3:$F$5001,"&lt;&gt;")=0,"",SUMIFS(BD!$F$3:$F$5001,BD!$A$3:$A$5001,AC$3,BD!$B$3:$B$5001,$A$26)))</f>
        <v/>
      </c>
      <c r="AD26" s="180" t="str">
        <f>IF(AD$3="","",IF(COUNTIFS(BD!$A$3:$A$5001,AD$3,BD!$B$3:$B$5001,$A$26,BD!$F$3:$F$5001,"&lt;&gt;")=0,"",SUMIFS(BD!$F$3:$F$5001,BD!$A$3:$A$5001,AD$3,BD!$B$3:$B$5001,$A$26)))</f>
        <v/>
      </c>
      <c r="AE26" s="180" t="str">
        <f>IF(AE$3="","",IF(COUNTIFS(BD!$A$3:$A$5001,AE$3,BD!$B$3:$B$5001,$A$26,BD!$F$3:$F$5001,"&lt;&gt;")=0,"",SUMIFS(BD!$F$3:$F$5001,BD!$A$3:$A$5001,AE$3,BD!$B$3:$B$5001,$A$26)))</f>
        <v/>
      </c>
      <c r="AF26" s="180" t="str">
        <f>IF(AF$3="","",IF(COUNTIFS(BD!$A$3:$A$5001,AF$3,BD!$B$3:$B$5001,$A$26,BD!$F$3:$F$5001,"&lt;&gt;")=0,"",SUMIFS(BD!$F$3:$F$5001,BD!$A$3:$A$5001,AF$3,BD!$B$3:$B$5001,$A$26)))</f>
        <v/>
      </c>
      <c r="AG26" s="180" t="str">
        <f>IF(AG$3="","",IF(COUNTIFS(BD!$A$3:$A$5001,AG$3,BD!$B$3:$B$5001,$A$26,BD!$F$3:$F$5001,"&lt;&gt;")=0,"",SUMIFS(BD!$F$3:$F$5001,BD!$A$3:$A$5001,AG$3,BD!$B$3:$B$5001,$A$26)))</f>
        <v/>
      </c>
      <c r="AH26" s="180" t="str">
        <f>IF(AH$3="","",IF(COUNTIFS(BD!$A$3:$A$5001,AH$3,BD!$B$3:$B$5001,$A$26,BD!$F$3:$F$5001,"&lt;&gt;")=0,"",SUMIFS(BD!$F$3:$F$5001,BD!$A$3:$A$5001,AH$3,BD!$B$3:$B$5001,$A$26)))</f>
        <v/>
      </c>
      <c r="AI26" s="180" t="str">
        <f>IF(AI$3="","",IF(COUNTIFS(BD!$A$3:$A$5001,AI$3,BD!$B$3:$B$5001,$A$26,BD!$F$3:$F$5001,"&lt;&gt;")=0,"",SUMIFS(BD!$F$3:$F$5001,BD!$A$3:$A$5001,AI$3,BD!$B$3:$B$5001,$A$26)))</f>
        <v/>
      </c>
      <c r="AJ26" s="181" t="str">
        <f>IF(AJ$3="","",IF(COUNTIFS(BD!$A$3:$A$5001,AJ$3,BD!$B$3:$B$5001,$A$26,BD!$F$3:$F$5001,"&lt;&gt;")=0,"",SUMIFS(BD!$F$3:$F$5001,BD!$A$3:$A$5001,AJ$3,BD!$B$3:$B$5001,$A$26)))</f>
        <v/>
      </c>
      <c r="AK26" s="182" t="str">
        <f>IF(COUNT(F26:AJ26)=0,"",SUM(F26:AJ26))</f>
        <v/>
      </c>
    </row>
    <row r="27" ht="15.75" customHeight="1">
      <c r="A27" s="254"/>
      <c r="B27" s="245"/>
      <c r="C27" s="183" t="inlineStr">
        <is>
          <t xml:space="preserve">Pallets Movimentados</t>
        </is>
      </c>
      <c r="D27" s="184" t="str">
        <f>IFERROR(1/(1/INDEX(BD!$Y$27:$AS$27,MATCH($A$26,BD!$Y$22:$AS$22,0))),"")</f>
        <v/>
      </c>
      <c r="E27" s="185"/>
      <c r="F27" s="186" t="str">
        <f>IF(F$3="","",IF(COUNTIFS(BD!$A$3:$A$5001,F$3,BD!$B$3:$B$5001,$A$26,BD!$G$3:$G$5001,"&lt;&gt;")=0,"",SUMIFS(BD!$G$3:$G$5001,BD!$A$3:$A$5001,F$3,BD!$B$3:$B$5001,$A$26)))</f>
        <v/>
      </c>
      <c r="G27" s="187" t="str">
        <f>IF(G$3="","",IF(COUNTIFS(BD!$A$3:$A$5001,G$3,BD!$B$3:$B$5001,$A$26,BD!$G$3:$G$5001,"&lt;&gt;")=0,"",SUMIFS(BD!$G$3:$G$5001,BD!$A$3:$A$5001,G$3,BD!$B$3:$B$5001,$A$26)))</f>
        <v/>
      </c>
      <c r="H27" s="187" t="str">
        <f>IF(H$3="","",IF(COUNTIFS(BD!$A$3:$A$5001,H$3,BD!$B$3:$B$5001,$A$26,BD!$G$3:$G$5001,"&lt;&gt;")=0,"",SUMIFS(BD!$G$3:$G$5001,BD!$A$3:$A$5001,H$3,BD!$B$3:$B$5001,$A$26)))</f>
        <v/>
      </c>
      <c r="I27" s="187" t="str">
        <f>IF(I$3="","",IF(COUNTIFS(BD!$A$3:$A$5001,I$3,BD!$B$3:$B$5001,$A$26,BD!$G$3:$G$5001,"&lt;&gt;")=0,"",SUMIFS(BD!$G$3:$G$5001,BD!$A$3:$A$5001,I$3,BD!$B$3:$B$5001,$A$26)))</f>
        <v/>
      </c>
      <c r="J27" s="187" t="str">
        <f>IF(J$3="","",IF(COUNTIFS(BD!$A$3:$A$5001,J$3,BD!$B$3:$B$5001,$A$26,BD!$G$3:$G$5001,"&lt;&gt;")=0,"",SUMIFS(BD!$G$3:$G$5001,BD!$A$3:$A$5001,J$3,BD!$B$3:$B$5001,$A$26)))</f>
        <v/>
      </c>
      <c r="K27" s="187" t="str">
        <f>IF(K$3="","",IF(COUNTIFS(BD!$A$3:$A$5001,K$3,BD!$B$3:$B$5001,$A$26,BD!$G$3:$G$5001,"&lt;&gt;")=0,"",SUMIFS(BD!$G$3:$G$5001,BD!$A$3:$A$5001,K$3,BD!$B$3:$B$5001,$A$26)))</f>
        <v/>
      </c>
      <c r="L27" s="187" t="str">
        <f>IF(L$3="","",IF(COUNTIFS(BD!$A$3:$A$5001,L$3,BD!$B$3:$B$5001,$A$26,BD!$G$3:$G$5001,"&lt;&gt;")=0,"",SUMIFS(BD!$G$3:$G$5001,BD!$A$3:$A$5001,L$3,BD!$B$3:$B$5001,$A$26)))</f>
        <v/>
      </c>
      <c r="M27" s="187" t="str">
        <f>IF(M$3="","",IF(COUNTIFS(BD!$A$3:$A$5001,M$3,BD!$B$3:$B$5001,$A$26,BD!$G$3:$G$5001,"&lt;&gt;")=0,"",SUMIFS(BD!$G$3:$G$5001,BD!$A$3:$A$5001,M$3,BD!$B$3:$B$5001,$A$26)))</f>
        <v/>
      </c>
      <c r="N27" s="187" t="str">
        <f>IF(N$3="","",IF(COUNTIFS(BD!$A$3:$A$5001,N$3,BD!$B$3:$B$5001,$A$26,BD!$G$3:$G$5001,"&lt;&gt;")=0,"",SUMIFS(BD!$G$3:$G$5001,BD!$A$3:$A$5001,N$3,BD!$B$3:$B$5001,$A$26)))</f>
        <v/>
      </c>
      <c r="O27" s="187" t="str">
        <f>IF(O$3="","",IF(COUNTIFS(BD!$A$3:$A$5001,O$3,BD!$B$3:$B$5001,$A$26,BD!$G$3:$G$5001,"&lt;&gt;")=0,"",SUMIFS(BD!$G$3:$G$5001,BD!$A$3:$A$5001,O$3,BD!$B$3:$B$5001,$A$26)))</f>
        <v/>
      </c>
      <c r="P27" s="187" t="str">
        <f>IF(P$3="","",IF(COUNTIFS(BD!$A$3:$A$5001,P$3,BD!$B$3:$B$5001,$A$26,BD!$G$3:$G$5001,"&lt;&gt;")=0,"",SUMIFS(BD!$G$3:$G$5001,BD!$A$3:$A$5001,P$3,BD!$B$3:$B$5001,$A$26)))</f>
        <v/>
      </c>
      <c r="Q27" s="187" t="str">
        <f>IF(Q$3="","",IF(COUNTIFS(BD!$A$3:$A$5001,Q$3,BD!$B$3:$B$5001,$A$26,BD!$G$3:$G$5001,"&lt;&gt;")=0,"",SUMIFS(BD!$G$3:$G$5001,BD!$A$3:$A$5001,Q$3,BD!$B$3:$B$5001,$A$26)))</f>
        <v/>
      </c>
      <c r="R27" s="187" t="str">
        <f>IF(R$3="","",IF(COUNTIFS(BD!$A$3:$A$5001,R$3,BD!$B$3:$B$5001,$A$26,BD!$G$3:$G$5001,"&lt;&gt;")=0,"",SUMIFS(BD!$G$3:$G$5001,BD!$A$3:$A$5001,R$3,BD!$B$3:$B$5001,$A$26)))</f>
        <v/>
      </c>
      <c r="S27" s="187" t="str">
        <f>IF(S$3="","",IF(COUNTIFS(BD!$A$3:$A$5001,S$3,BD!$B$3:$B$5001,$A$26,BD!$G$3:$G$5001,"&lt;&gt;")=0,"",SUMIFS(BD!$G$3:$G$5001,BD!$A$3:$A$5001,S$3,BD!$B$3:$B$5001,$A$26)))</f>
        <v/>
      </c>
      <c r="T27" s="187" t="str">
        <f>IF(T$3="","",IF(COUNTIFS(BD!$A$3:$A$5001,T$3,BD!$B$3:$B$5001,$A$26,BD!$G$3:$G$5001,"&lt;&gt;")=0,"",SUMIFS(BD!$G$3:$G$5001,BD!$A$3:$A$5001,T$3,BD!$B$3:$B$5001,$A$26)))</f>
        <v/>
      </c>
      <c r="U27" s="187" t="str">
        <f>IF(U$3="","",IF(COUNTIFS(BD!$A$3:$A$5001,U$3,BD!$B$3:$B$5001,$A$26,BD!$G$3:$G$5001,"&lt;&gt;")=0,"",SUMIFS(BD!$G$3:$G$5001,BD!$A$3:$A$5001,U$3,BD!$B$3:$B$5001,$A$26)))</f>
        <v/>
      </c>
      <c r="V27" s="187" t="str">
        <f>IF(V$3="","",IF(COUNTIFS(BD!$A$3:$A$5001,V$3,BD!$B$3:$B$5001,$A$26,BD!$G$3:$G$5001,"&lt;&gt;")=0,"",SUMIFS(BD!$G$3:$G$5001,BD!$A$3:$A$5001,V$3,BD!$B$3:$B$5001,$A$26)))</f>
        <v/>
      </c>
      <c r="W27" s="187" t="str">
        <f>IF(W$3="","",IF(COUNTIFS(BD!$A$3:$A$5001,W$3,BD!$B$3:$B$5001,$A$26,BD!$G$3:$G$5001,"&lt;&gt;")=0,"",SUMIFS(BD!$G$3:$G$5001,BD!$A$3:$A$5001,W$3,BD!$B$3:$B$5001,$A$26)))</f>
        <v/>
      </c>
      <c r="X27" s="187" t="str">
        <f>IF(X$3="","",IF(COUNTIFS(BD!$A$3:$A$5001,X$3,BD!$B$3:$B$5001,$A$26,BD!$G$3:$G$5001,"&lt;&gt;")=0,"",SUMIFS(BD!$G$3:$G$5001,BD!$A$3:$A$5001,X$3,BD!$B$3:$B$5001,$A$26)))</f>
        <v/>
      </c>
      <c r="Y27" s="187" t="str">
        <f>IF(Y$3="","",IF(COUNTIFS(BD!$A$3:$A$5001,Y$3,BD!$B$3:$B$5001,$A$26,BD!$G$3:$G$5001,"&lt;&gt;")=0,"",SUMIFS(BD!$G$3:$G$5001,BD!$A$3:$A$5001,Y$3,BD!$B$3:$B$5001,$A$26)))</f>
        <v/>
      </c>
      <c r="Z27" s="187" t="str">
        <f>IF(Z$3="","",IF(COUNTIFS(BD!$A$3:$A$5001,Z$3,BD!$B$3:$B$5001,$A$26,BD!$G$3:$G$5001,"&lt;&gt;")=0,"",SUMIFS(BD!$G$3:$G$5001,BD!$A$3:$A$5001,Z$3,BD!$B$3:$B$5001,$A$26)))</f>
        <v/>
      </c>
      <c r="AA27" s="187" t="str">
        <f>IF(AA$3="","",IF(COUNTIFS(BD!$A$3:$A$5001,AA$3,BD!$B$3:$B$5001,$A$26,BD!$G$3:$G$5001,"&lt;&gt;")=0,"",SUMIFS(BD!$G$3:$G$5001,BD!$A$3:$A$5001,AA$3,BD!$B$3:$B$5001,$A$26)))</f>
        <v/>
      </c>
      <c r="AB27" s="187" t="str">
        <f>IF(AB$3="","",IF(COUNTIFS(BD!$A$3:$A$5001,AB$3,BD!$B$3:$B$5001,$A$26,BD!$G$3:$G$5001,"&lt;&gt;")=0,"",SUMIFS(BD!$G$3:$G$5001,BD!$A$3:$A$5001,AB$3,BD!$B$3:$B$5001,$A$26)))</f>
        <v/>
      </c>
      <c r="AC27" s="187" t="str">
        <f>IF(AC$3="","",IF(COUNTIFS(BD!$A$3:$A$5001,AC$3,BD!$B$3:$B$5001,$A$26,BD!$G$3:$G$5001,"&lt;&gt;")=0,"",SUMIFS(BD!$G$3:$G$5001,BD!$A$3:$A$5001,AC$3,BD!$B$3:$B$5001,$A$26)))</f>
        <v/>
      </c>
      <c r="AD27" s="187" t="str">
        <f>IF(AD$3="","",IF(COUNTIFS(BD!$A$3:$A$5001,AD$3,BD!$B$3:$B$5001,$A$26,BD!$G$3:$G$5001,"&lt;&gt;")=0,"",SUMIFS(BD!$G$3:$G$5001,BD!$A$3:$A$5001,AD$3,BD!$B$3:$B$5001,$A$26)))</f>
        <v/>
      </c>
      <c r="AE27" s="187" t="str">
        <f>IF(AE$3="","",IF(COUNTIFS(BD!$A$3:$A$5001,AE$3,BD!$B$3:$B$5001,$A$26,BD!$G$3:$G$5001,"&lt;&gt;")=0,"",SUMIFS(BD!$G$3:$G$5001,BD!$A$3:$A$5001,AE$3,BD!$B$3:$B$5001,$A$26)))</f>
        <v/>
      </c>
      <c r="AF27" s="187" t="str">
        <f>IF(AF$3="","",IF(COUNTIFS(BD!$A$3:$A$5001,AF$3,BD!$B$3:$B$5001,$A$26,BD!$G$3:$G$5001,"&lt;&gt;")=0,"",SUMIFS(BD!$G$3:$G$5001,BD!$A$3:$A$5001,AF$3,BD!$B$3:$B$5001,$A$26)))</f>
        <v/>
      </c>
      <c r="AG27" s="187" t="str">
        <f>IF(AG$3="","",IF(COUNTIFS(BD!$A$3:$A$5001,AG$3,BD!$B$3:$B$5001,$A$26,BD!$G$3:$G$5001,"&lt;&gt;")=0,"",SUMIFS(BD!$G$3:$G$5001,BD!$A$3:$A$5001,AG$3,BD!$B$3:$B$5001,$A$26)))</f>
        <v/>
      </c>
      <c r="AH27" s="187" t="str">
        <f>IF(AH$3="","",IF(COUNTIFS(BD!$A$3:$A$5001,AH$3,BD!$B$3:$B$5001,$A$26,BD!$G$3:$G$5001,"&lt;&gt;")=0,"",SUMIFS(BD!$G$3:$G$5001,BD!$A$3:$A$5001,AH$3,BD!$B$3:$B$5001,$A$26)))</f>
        <v/>
      </c>
      <c r="AI27" s="187" t="str">
        <f>IF(AI$3="","",IF(COUNTIFS(BD!$A$3:$A$5001,AI$3,BD!$B$3:$B$5001,$A$26,BD!$G$3:$G$5001,"&lt;&gt;")=0,"",SUMIFS(BD!$G$3:$G$5001,BD!$A$3:$A$5001,AI$3,BD!$B$3:$B$5001,$A$26)))</f>
        <v/>
      </c>
      <c r="AJ27" s="188" t="str">
        <f>IF(AJ$3="","",IF(COUNTIFS(BD!$A$3:$A$5001,AJ$3,BD!$B$3:$B$5001,$A$26,BD!$G$3:$G$5001,"&lt;&gt;")=0,"",SUMIFS(BD!$G$3:$G$5001,BD!$A$3:$A$5001,AJ$3,BD!$B$3:$B$5001,$A$26)))</f>
        <v/>
      </c>
      <c r="AK27" s="189" t="str">
        <f>IF(COUNT(F27:AJ27)=0,"",SUM(F27:AJ27))</f>
        <v/>
      </c>
    </row>
    <row r="28" ht="15.75" customHeight="1">
      <c r="A28" s="254"/>
      <c r="B28" s="246"/>
      <c r="C28" s="190" t="inlineStr">
        <is>
          <t xml:space="preserve">Toneladas Movimentadas</t>
        </is>
      </c>
      <c r="D28" s="191" t="str">
        <f>IFERROR(1/(1/INDEX(BD!$Y$28:$AS$28,MATCH($A$26,BD!$Y$22:$AS$22,0))),"")</f>
        <v/>
      </c>
      <c r="E28" s="192"/>
      <c r="F28" s="193" t="str">
        <f>IF(F$3="","",IF(COUNTIFS(BD!$A$3:$A$5001,F$3,BD!$B$3:$B$5001,$A$26,BD!$H$3:$H$5001,"&lt;&gt;")=0,"",SUMIFS(BD!$H$3:$H$5001,BD!$A$3:$A$5001,F$3,BD!$B$3:$B$5001,$A$26)))</f>
        <v/>
      </c>
      <c r="G28" s="194" t="str">
        <f>IF(G$3="","",IF(COUNTIFS(BD!$A$3:$A$5001,G$3,BD!$B$3:$B$5001,$A$26,BD!$H$3:$H$5001,"&lt;&gt;")=0,"",SUMIFS(BD!$H$3:$H$5001,BD!$A$3:$A$5001,G$3,BD!$B$3:$B$5001,$A$26)))</f>
        <v/>
      </c>
      <c r="H28" s="194" t="str">
        <f>IF(H$3="","",IF(COUNTIFS(BD!$A$3:$A$5001,H$3,BD!$B$3:$B$5001,$A$26,BD!$H$3:$H$5001,"&lt;&gt;")=0,"",SUMIFS(BD!$H$3:$H$5001,BD!$A$3:$A$5001,H$3,BD!$B$3:$B$5001,$A$26)))</f>
        <v/>
      </c>
      <c r="I28" s="194" t="str">
        <f>IF(I$3="","",IF(COUNTIFS(BD!$A$3:$A$5001,I$3,BD!$B$3:$B$5001,$A$26,BD!$H$3:$H$5001,"&lt;&gt;")=0,"",SUMIFS(BD!$H$3:$H$5001,BD!$A$3:$A$5001,I$3,BD!$B$3:$B$5001,$A$26)))</f>
        <v/>
      </c>
      <c r="J28" s="194" t="str">
        <f>IF(J$3="","",IF(COUNTIFS(BD!$A$3:$A$5001,J$3,BD!$B$3:$B$5001,$A$26,BD!$H$3:$H$5001,"&lt;&gt;")=0,"",SUMIFS(BD!$H$3:$H$5001,BD!$A$3:$A$5001,J$3,BD!$B$3:$B$5001,$A$26)))</f>
        <v/>
      </c>
      <c r="K28" s="194" t="str">
        <f>IF(K$3="","",IF(COUNTIFS(BD!$A$3:$A$5001,K$3,BD!$B$3:$B$5001,$A$26,BD!$H$3:$H$5001,"&lt;&gt;")=0,"",SUMIFS(BD!$H$3:$H$5001,BD!$A$3:$A$5001,K$3,BD!$B$3:$B$5001,$A$26)))</f>
        <v/>
      </c>
      <c r="L28" s="194" t="str">
        <f>IF(L$3="","",IF(COUNTIFS(BD!$A$3:$A$5001,L$3,BD!$B$3:$B$5001,$A$26,BD!$H$3:$H$5001,"&lt;&gt;")=0,"",SUMIFS(BD!$H$3:$H$5001,BD!$A$3:$A$5001,L$3,BD!$B$3:$B$5001,$A$26)))</f>
        <v/>
      </c>
      <c r="M28" s="194" t="str">
        <f>IF(M$3="","",IF(COUNTIFS(BD!$A$3:$A$5001,M$3,BD!$B$3:$B$5001,$A$26,BD!$H$3:$H$5001,"&lt;&gt;")=0,"",SUMIFS(BD!$H$3:$H$5001,BD!$A$3:$A$5001,M$3,BD!$B$3:$B$5001,$A$26)))</f>
        <v/>
      </c>
      <c r="N28" s="194" t="str">
        <f>IF(N$3="","",IF(COUNTIFS(BD!$A$3:$A$5001,N$3,BD!$B$3:$B$5001,$A$26,BD!$H$3:$H$5001,"&lt;&gt;")=0,"",SUMIFS(BD!$H$3:$H$5001,BD!$A$3:$A$5001,N$3,BD!$B$3:$B$5001,$A$26)))</f>
        <v/>
      </c>
      <c r="O28" s="194" t="str">
        <f>IF(O$3="","",IF(COUNTIFS(BD!$A$3:$A$5001,O$3,BD!$B$3:$B$5001,$A$26,BD!$H$3:$H$5001,"&lt;&gt;")=0,"",SUMIFS(BD!$H$3:$H$5001,BD!$A$3:$A$5001,O$3,BD!$B$3:$B$5001,$A$26)))</f>
        <v/>
      </c>
      <c r="P28" s="194" t="str">
        <f>IF(P$3="","",IF(COUNTIFS(BD!$A$3:$A$5001,P$3,BD!$B$3:$B$5001,$A$26,BD!$H$3:$H$5001,"&lt;&gt;")=0,"",SUMIFS(BD!$H$3:$H$5001,BD!$A$3:$A$5001,P$3,BD!$B$3:$B$5001,$A$26)))</f>
        <v/>
      </c>
      <c r="Q28" s="194" t="str">
        <f>IF(Q$3="","",IF(COUNTIFS(BD!$A$3:$A$5001,Q$3,BD!$B$3:$B$5001,$A$26,BD!$H$3:$H$5001,"&lt;&gt;")=0,"",SUMIFS(BD!$H$3:$H$5001,BD!$A$3:$A$5001,Q$3,BD!$B$3:$B$5001,$A$26)))</f>
        <v/>
      </c>
      <c r="R28" s="194" t="str">
        <f>IF(R$3="","",IF(COUNTIFS(BD!$A$3:$A$5001,R$3,BD!$B$3:$B$5001,$A$26,BD!$H$3:$H$5001,"&lt;&gt;")=0,"",SUMIFS(BD!$H$3:$H$5001,BD!$A$3:$A$5001,R$3,BD!$B$3:$B$5001,$A$26)))</f>
        <v/>
      </c>
      <c r="S28" s="194" t="str">
        <f>IF(S$3="","",IF(COUNTIFS(BD!$A$3:$A$5001,S$3,BD!$B$3:$B$5001,$A$26,BD!$H$3:$H$5001,"&lt;&gt;")=0,"",SUMIFS(BD!$H$3:$H$5001,BD!$A$3:$A$5001,S$3,BD!$B$3:$B$5001,$A$26)))</f>
        <v/>
      </c>
      <c r="T28" s="194" t="str">
        <f>IF(T$3="","",IF(COUNTIFS(BD!$A$3:$A$5001,T$3,BD!$B$3:$B$5001,$A$26,BD!$H$3:$H$5001,"&lt;&gt;")=0,"",SUMIFS(BD!$H$3:$H$5001,BD!$A$3:$A$5001,T$3,BD!$B$3:$B$5001,$A$26)))</f>
        <v/>
      </c>
      <c r="U28" s="194" t="str">
        <f>IF(U$3="","",IF(COUNTIFS(BD!$A$3:$A$5001,U$3,BD!$B$3:$B$5001,$A$26,BD!$H$3:$H$5001,"&lt;&gt;")=0,"",SUMIFS(BD!$H$3:$H$5001,BD!$A$3:$A$5001,U$3,BD!$B$3:$B$5001,$A$26)))</f>
        <v/>
      </c>
      <c r="V28" s="194" t="str">
        <f>IF(V$3="","",IF(COUNTIFS(BD!$A$3:$A$5001,V$3,BD!$B$3:$B$5001,$A$26,BD!$H$3:$H$5001,"&lt;&gt;")=0,"",SUMIFS(BD!$H$3:$H$5001,BD!$A$3:$A$5001,V$3,BD!$B$3:$B$5001,$A$26)))</f>
        <v/>
      </c>
      <c r="W28" s="194" t="str">
        <f>IF(W$3="","",IF(COUNTIFS(BD!$A$3:$A$5001,W$3,BD!$B$3:$B$5001,$A$26,BD!$H$3:$H$5001,"&lt;&gt;")=0,"",SUMIFS(BD!$H$3:$H$5001,BD!$A$3:$A$5001,W$3,BD!$B$3:$B$5001,$A$26)))</f>
        <v/>
      </c>
      <c r="X28" s="194" t="str">
        <f>IF(X$3="","",IF(COUNTIFS(BD!$A$3:$A$5001,X$3,BD!$B$3:$B$5001,$A$26,BD!$H$3:$H$5001,"&lt;&gt;")=0,"",SUMIFS(BD!$H$3:$H$5001,BD!$A$3:$A$5001,X$3,BD!$B$3:$B$5001,$A$26)))</f>
        <v/>
      </c>
      <c r="Y28" s="194" t="str">
        <f>IF(Y$3="","",IF(COUNTIFS(BD!$A$3:$A$5001,Y$3,BD!$B$3:$B$5001,$A$26,BD!$H$3:$H$5001,"&lt;&gt;")=0,"",SUMIFS(BD!$H$3:$H$5001,BD!$A$3:$A$5001,Y$3,BD!$B$3:$B$5001,$A$26)))</f>
        <v/>
      </c>
      <c r="Z28" s="194" t="str">
        <f>IF(Z$3="","",IF(COUNTIFS(BD!$A$3:$A$5001,Z$3,BD!$B$3:$B$5001,$A$26,BD!$H$3:$H$5001,"&lt;&gt;")=0,"",SUMIFS(BD!$H$3:$H$5001,BD!$A$3:$A$5001,Z$3,BD!$B$3:$B$5001,$A$26)))</f>
        <v/>
      </c>
      <c r="AA28" s="194" t="str">
        <f>IF(AA$3="","",IF(COUNTIFS(BD!$A$3:$A$5001,AA$3,BD!$B$3:$B$5001,$A$26,BD!$H$3:$H$5001,"&lt;&gt;")=0,"",SUMIFS(BD!$H$3:$H$5001,BD!$A$3:$A$5001,AA$3,BD!$B$3:$B$5001,$A$26)))</f>
        <v/>
      </c>
      <c r="AB28" s="194" t="str">
        <f>IF(AB$3="","",IF(COUNTIFS(BD!$A$3:$A$5001,AB$3,BD!$B$3:$B$5001,$A$26,BD!$H$3:$H$5001,"&lt;&gt;")=0,"",SUMIFS(BD!$H$3:$H$5001,BD!$A$3:$A$5001,AB$3,BD!$B$3:$B$5001,$A$26)))</f>
        <v/>
      </c>
      <c r="AC28" s="194" t="str">
        <f>IF(AC$3="","",IF(COUNTIFS(BD!$A$3:$A$5001,AC$3,BD!$B$3:$B$5001,$A$26,BD!$H$3:$H$5001,"&lt;&gt;")=0,"",SUMIFS(BD!$H$3:$H$5001,BD!$A$3:$A$5001,AC$3,BD!$B$3:$B$5001,$A$26)))</f>
        <v/>
      </c>
      <c r="AD28" s="194" t="str">
        <f>IF(AD$3="","",IF(COUNTIFS(BD!$A$3:$A$5001,AD$3,BD!$B$3:$B$5001,$A$26,BD!$H$3:$H$5001,"&lt;&gt;")=0,"",SUMIFS(BD!$H$3:$H$5001,BD!$A$3:$A$5001,AD$3,BD!$B$3:$B$5001,$A$26)))</f>
        <v/>
      </c>
      <c r="AE28" s="194" t="str">
        <f>IF(AE$3="","",IF(COUNTIFS(BD!$A$3:$A$5001,AE$3,BD!$B$3:$B$5001,$A$26,BD!$H$3:$H$5001,"&lt;&gt;")=0,"",SUMIFS(BD!$H$3:$H$5001,BD!$A$3:$A$5001,AE$3,BD!$B$3:$B$5001,$A$26)))</f>
        <v/>
      </c>
      <c r="AF28" s="194" t="str">
        <f>IF(AF$3="","",IF(COUNTIFS(BD!$A$3:$A$5001,AF$3,BD!$B$3:$B$5001,$A$26,BD!$H$3:$H$5001,"&lt;&gt;")=0,"",SUMIFS(BD!$H$3:$H$5001,BD!$A$3:$A$5001,AF$3,BD!$B$3:$B$5001,$A$26)))</f>
        <v/>
      </c>
      <c r="AG28" s="194" t="str">
        <f>IF(AG$3="","",IF(COUNTIFS(BD!$A$3:$A$5001,AG$3,BD!$B$3:$B$5001,$A$26,BD!$H$3:$H$5001,"&lt;&gt;")=0,"",SUMIFS(BD!$H$3:$H$5001,BD!$A$3:$A$5001,AG$3,BD!$B$3:$B$5001,$A$26)))</f>
        <v/>
      </c>
      <c r="AH28" s="194" t="str">
        <f>IF(AH$3="","",IF(COUNTIFS(BD!$A$3:$A$5001,AH$3,BD!$B$3:$B$5001,$A$26,BD!$H$3:$H$5001,"&lt;&gt;")=0,"",SUMIFS(BD!$H$3:$H$5001,BD!$A$3:$A$5001,AH$3,BD!$B$3:$B$5001,$A$26)))</f>
        <v/>
      </c>
      <c r="AI28" s="194" t="str">
        <f>IF(AI$3="","",IF(COUNTIFS(BD!$A$3:$A$5001,AI$3,BD!$B$3:$B$5001,$A$26,BD!$H$3:$H$5001,"&lt;&gt;")=0,"",SUMIFS(BD!$H$3:$H$5001,BD!$A$3:$A$5001,AI$3,BD!$B$3:$B$5001,$A$26)))</f>
        <v/>
      </c>
      <c r="AJ28" s="195" t="str">
        <f>IF(AJ$3="","",IF(COUNTIFS(BD!$A$3:$A$5001,AJ$3,BD!$B$3:$B$5001,$A$26,BD!$H$3:$H$5001,"&lt;&gt;")=0,"",SUMIFS(BD!$H$3:$H$5001,BD!$A$3:$A$5001,AJ$3,BD!$B$3:$B$5001,$A$26)))</f>
        <v/>
      </c>
      <c r="AK28" s="196" t="str">
        <f>IF(COUNT(F28:AJ28)=0,"",SUM(F28:AJ28))</f>
        <v/>
      </c>
    </row>
    <row r="29" ht="15.75" customHeight="1">
      <c r="A29" s="254"/>
      <c r="B29" s="247" t="inlineStr">
        <is>
          <t xml:space="preserve">NC</t>
        </is>
      </c>
      <c r="C29" s="197" t="inlineStr">
        <is>
          <t xml:space="preserve">Incidentes</t>
        </is>
      </c>
      <c r="D29" s="198" t="str">
        <f>IFERROR(1/(1/INDEX(BD!$Y$29:$AS$29,MATCH($A$26,BD!$Y$22:$AS$22,0))),"")</f>
        <v/>
      </c>
      <c r="E29" s="199"/>
      <c r="F29" s="200" t="str">
        <f>IF(F$3="","",IF(COUNTIFS(BD!$A$3:$A$5001,F$3,BD!$B$3:$B$5001,$A$26,BD!$I$3:$I$5001,"&lt;&gt;")=0,"",SUMIFS(BD!$I$3:$I$5001,BD!$A$3:$A$5001,F$3,BD!$B$3:$B$5001,$A$26)))</f>
        <v/>
      </c>
      <c r="G29" s="201" t="str">
        <f>IF(G$3="","",IF(COUNTIFS(BD!$A$3:$A$5001,G$3,BD!$B$3:$B$5001,$A$26,BD!$I$3:$I$5001,"&lt;&gt;")=0,"",SUMIFS(BD!$I$3:$I$5001,BD!$A$3:$A$5001,G$3,BD!$B$3:$B$5001,$A$26)))</f>
        <v/>
      </c>
      <c r="H29" s="201" t="str">
        <f>IF(H$3="","",IF(COUNTIFS(BD!$A$3:$A$5001,H$3,BD!$B$3:$B$5001,$A$26,BD!$I$3:$I$5001,"&lt;&gt;")=0,"",SUMIFS(BD!$I$3:$I$5001,BD!$A$3:$A$5001,H$3,BD!$B$3:$B$5001,$A$26)))</f>
        <v/>
      </c>
      <c r="I29" s="201" t="str">
        <f>IF(I$3="","",IF(COUNTIFS(BD!$A$3:$A$5001,I$3,BD!$B$3:$B$5001,$A$26,BD!$I$3:$I$5001,"&lt;&gt;")=0,"",SUMIFS(BD!$I$3:$I$5001,BD!$A$3:$A$5001,I$3,BD!$B$3:$B$5001,$A$26)))</f>
        <v/>
      </c>
      <c r="J29" s="201" t="str">
        <f>IF(J$3="","",IF(COUNTIFS(BD!$A$3:$A$5001,J$3,BD!$B$3:$B$5001,$A$26,BD!$I$3:$I$5001,"&lt;&gt;")=0,"",SUMIFS(BD!$I$3:$I$5001,BD!$A$3:$A$5001,J$3,BD!$B$3:$B$5001,$A$26)))</f>
        <v/>
      </c>
      <c r="K29" s="201" t="str">
        <f>IF(K$3="","",IF(COUNTIFS(BD!$A$3:$A$5001,K$3,BD!$B$3:$B$5001,$A$26,BD!$I$3:$I$5001,"&lt;&gt;")=0,"",SUMIFS(BD!$I$3:$I$5001,BD!$A$3:$A$5001,K$3,BD!$B$3:$B$5001,$A$26)))</f>
        <v/>
      </c>
      <c r="L29" s="201" t="str">
        <f>IF(L$3="","",IF(COUNTIFS(BD!$A$3:$A$5001,L$3,BD!$B$3:$B$5001,$A$26,BD!$I$3:$I$5001,"&lt;&gt;")=0,"",SUMIFS(BD!$I$3:$I$5001,BD!$A$3:$A$5001,L$3,BD!$B$3:$B$5001,$A$26)))</f>
        <v/>
      </c>
      <c r="M29" s="201" t="str">
        <f>IF(M$3="","",IF(COUNTIFS(BD!$A$3:$A$5001,M$3,BD!$B$3:$B$5001,$A$26,BD!$I$3:$I$5001,"&lt;&gt;")=0,"",SUMIFS(BD!$I$3:$I$5001,BD!$A$3:$A$5001,M$3,BD!$B$3:$B$5001,$A$26)))</f>
        <v/>
      </c>
      <c r="N29" s="201" t="str">
        <f>IF(N$3="","",IF(COUNTIFS(BD!$A$3:$A$5001,N$3,BD!$B$3:$B$5001,$A$26,BD!$I$3:$I$5001,"&lt;&gt;")=0,"",SUMIFS(BD!$I$3:$I$5001,BD!$A$3:$A$5001,N$3,BD!$B$3:$B$5001,$A$26)))</f>
        <v/>
      </c>
      <c r="O29" s="201" t="str">
        <f>IF(O$3="","",IF(COUNTIFS(BD!$A$3:$A$5001,O$3,BD!$B$3:$B$5001,$A$26,BD!$I$3:$I$5001,"&lt;&gt;")=0,"",SUMIFS(BD!$I$3:$I$5001,BD!$A$3:$A$5001,O$3,BD!$B$3:$B$5001,$A$26)))</f>
        <v/>
      </c>
      <c r="P29" s="201" t="str">
        <f>IF(P$3="","",IF(COUNTIFS(BD!$A$3:$A$5001,P$3,BD!$B$3:$B$5001,$A$26,BD!$I$3:$I$5001,"&lt;&gt;")=0,"",SUMIFS(BD!$I$3:$I$5001,BD!$A$3:$A$5001,P$3,BD!$B$3:$B$5001,$A$26)))</f>
        <v/>
      </c>
      <c r="Q29" s="201" t="str">
        <f>IF(Q$3="","",IF(COUNTIFS(BD!$A$3:$A$5001,Q$3,BD!$B$3:$B$5001,$A$26,BD!$I$3:$I$5001,"&lt;&gt;")=0,"",SUMIFS(BD!$I$3:$I$5001,BD!$A$3:$A$5001,Q$3,BD!$B$3:$B$5001,$A$26)))</f>
        <v/>
      </c>
      <c r="R29" s="201" t="str">
        <f>IF(R$3="","",IF(COUNTIFS(BD!$A$3:$A$5001,R$3,BD!$B$3:$B$5001,$A$26,BD!$I$3:$I$5001,"&lt;&gt;")=0,"",SUMIFS(BD!$I$3:$I$5001,BD!$A$3:$A$5001,R$3,BD!$B$3:$B$5001,$A$26)))</f>
        <v/>
      </c>
      <c r="S29" s="201" t="str">
        <f>IF(S$3="","",IF(COUNTIFS(BD!$A$3:$A$5001,S$3,BD!$B$3:$B$5001,$A$26,BD!$I$3:$I$5001,"&lt;&gt;")=0,"",SUMIFS(BD!$I$3:$I$5001,BD!$A$3:$A$5001,S$3,BD!$B$3:$B$5001,$A$26)))</f>
        <v/>
      </c>
      <c r="T29" s="201" t="str">
        <f>IF(T$3="","",IF(COUNTIFS(BD!$A$3:$A$5001,T$3,BD!$B$3:$B$5001,$A$26,BD!$I$3:$I$5001,"&lt;&gt;")=0,"",SUMIFS(BD!$I$3:$I$5001,BD!$A$3:$A$5001,T$3,BD!$B$3:$B$5001,$A$26)))</f>
        <v/>
      </c>
      <c r="U29" s="201" t="str">
        <f>IF(U$3="","",IF(COUNTIFS(BD!$A$3:$A$5001,U$3,BD!$B$3:$B$5001,$A$26,BD!$I$3:$I$5001,"&lt;&gt;")=0,"",SUMIFS(BD!$I$3:$I$5001,BD!$A$3:$A$5001,U$3,BD!$B$3:$B$5001,$A$26)))</f>
        <v/>
      </c>
      <c r="V29" s="201" t="str">
        <f>IF(V$3="","",IF(COUNTIFS(BD!$A$3:$A$5001,V$3,BD!$B$3:$B$5001,$A$26,BD!$I$3:$I$5001,"&lt;&gt;")=0,"",SUMIFS(BD!$I$3:$I$5001,BD!$A$3:$A$5001,V$3,BD!$B$3:$B$5001,$A$26)))</f>
        <v/>
      </c>
      <c r="W29" s="201" t="str">
        <f>IF(W$3="","",IF(COUNTIFS(BD!$A$3:$A$5001,W$3,BD!$B$3:$B$5001,$A$26,BD!$I$3:$I$5001,"&lt;&gt;")=0,"",SUMIFS(BD!$I$3:$I$5001,BD!$A$3:$A$5001,W$3,BD!$B$3:$B$5001,$A$26)))</f>
        <v/>
      </c>
      <c r="X29" s="201" t="str">
        <f>IF(X$3="","",IF(COUNTIFS(BD!$A$3:$A$5001,X$3,BD!$B$3:$B$5001,$A$26,BD!$I$3:$I$5001,"&lt;&gt;")=0,"",SUMIFS(BD!$I$3:$I$5001,BD!$A$3:$A$5001,X$3,BD!$B$3:$B$5001,$A$26)))</f>
        <v/>
      </c>
      <c r="Y29" s="201" t="str">
        <f>IF(Y$3="","",IF(COUNTIFS(BD!$A$3:$A$5001,Y$3,BD!$B$3:$B$5001,$A$26,BD!$I$3:$I$5001,"&lt;&gt;")=0,"",SUMIFS(BD!$I$3:$I$5001,BD!$A$3:$A$5001,Y$3,BD!$B$3:$B$5001,$A$26)))</f>
        <v/>
      </c>
      <c r="Z29" s="201" t="str">
        <f>IF(Z$3="","",IF(COUNTIFS(BD!$A$3:$A$5001,Z$3,BD!$B$3:$B$5001,$A$26,BD!$I$3:$I$5001,"&lt;&gt;")=0,"",SUMIFS(BD!$I$3:$I$5001,BD!$A$3:$A$5001,Z$3,BD!$B$3:$B$5001,$A$26)))</f>
        <v/>
      </c>
      <c r="AA29" s="201" t="str">
        <f>IF(AA$3="","",IF(COUNTIFS(BD!$A$3:$A$5001,AA$3,BD!$B$3:$B$5001,$A$26,BD!$I$3:$I$5001,"&lt;&gt;")=0,"",SUMIFS(BD!$I$3:$I$5001,BD!$A$3:$A$5001,AA$3,BD!$B$3:$B$5001,$A$26)))</f>
        <v/>
      </c>
      <c r="AB29" s="201" t="str">
        <f>IF(AB$3="","",IF(COUNTIFS(BD!$A$3:$A$5001,AB$3,BD!$B$3:$B$5001,$A$26,BD!$I$3:$I$5001,"&lt;&gt;")=0,"",SUMIFS(BD!$I$3:$I$5001,BD!$A$3:$A$5001,AB$3,BD!$B$3:$B$5001,$A$26)))</f>
        <v/>
      </c>
      <c r="AC29" s="201" t="str">
        <f>IF(AC$3="","",IF(COUNTIFS(BD!$A$3:$A$5001,AC$3,BD!$B$3:$B$5001,$A$26,BD!$I$3:$I$5001,"&lt;&gt;")=0,"",SUMIFS(BD!$I$3:$I$5001,BD!$A$3:$A$5001,AC$3,BD!$B$3:$B$5001,$A$26)))</f>
        <v/>
      </c>
      <c r="AD29" s="201" t="str">
        <f>IF(AD$3="","",IF(COUNTIFS(BD!$A$3:$A$5001,AD$3,BD!$B$3:$B$5001,$A$26,BD!$I$3:$I$5001,"&lt;&gt;")=0,"",SUMIFS(BD!$I$3:$I$5001,BD!$A$3:$A$5001,AD$3,BD!$B$3:$B$5001,$A$26)))</f>
        <v/>
      </c>
      <c r="AE29" s="201" t="str">
        <f>IF(AE$3="","",IF(COUNTIFS(BD!$A$3:$A$5001,AE$3,BD!$B$3:$B$5001,$A$26,BD!$I$3:$I$5001,"&lt;&gt;")=0,"",SUMIFS(BD!$I$3:$I$5001,BD!$A$3:$A$5001,AE$3,BD!$B$3:$B$5001,$A$26)))</f>
        <v/>
      </c>
      <c r="AF29" s="201" t="str">
        <f>IF(AF$3="","",IF(COUNTIFS(BD!$A$3:$A$5001,AF$3,BD!$B$3:$B$5001,$A$26,BD!$I$3:$I$5001,"&lt;&gt;")=0,"",SUMIFS(BD!$I$3:$I$5001,BD!$A$3:$A$5001,AF$3,BD!$B$3:$B$5001,$A$26)))</f>
        <v/>
      </c>
      <c r="AG29" s="201" t="str">
        <f>IF(AG$3="","",IF(COUNTIFS(BD!$A$3:$A$5001,AG$3,BD!$B$3:$B$5001,$A$26,BD!$I$3:$I$5001,"&lt;&gt;")=0,"",SUMIFS(BD!$I$3:$I$5001,BD!$A$3:$A$5001,AG$3,BD!$B$3:$B$5001,$A$26)))</f>
        <v/>
      </c>
      <c r="AH29" s="201" t="str">
        <f>IF(AH$3="","",IF(COUNTIFS(BD!$A$3:$A$5001,AH$3,BD!$B$3:$B$5001,$A$26,BD!$I$3:$I$5001,"&lt;&gt;")=0,"",SUMIFS(BD!$I$3:$I$5001,BD!$A$3:$A$5001,AH$3,BD!$B$3:$B$5001,$A$26)))</f>
        <v/>
      </c>
      <c r="AI29" s="201" t="str">
        <f>IF(AI$3="","",IF(COUNTIFS(BD!$A$3:$A$5001,AI$3,BD!$B$3:$B$5001,$A$26,BD!$I$3:$I$5001,"&lt;&gt;")=0,"",SUMIFS(BD!$I$3:$I$5001,BD!$A$3:$A$5001,AI$3,BD!$B$3:$B$5001,$A$26)))</f>
        <v/>
      </c>
      <c r="AJ29" s="202" t="str">
        <f>IF(AJ$3="","",IF(COUNTIFS(BD!$A$3:$A$5001,AJ$3,BD!$B$3:$B$5001,$A$26,BD!$I$3:$I$5001,"&lt;&gt;")=0,"",SUMIFS(BD!$I$3:$I$5001,BD!$A$3:$A$5001,AJ$3,BD!$B$3:$B$5001,$A$26)))</f>
        <v/>
      </c>
      <c r="AK29" s="203" t="str">
        <f>IF(COUNT(F29:AJ29)=0,"",SUM(F29:AJ29))</f>
        <v/>
      </c>
    </row>
    <row r="30" ht="15.75" customHeight="1">
      <c r="A30" s="254"/>
      <c r="B30" s="248"/>
      <c r="C30" s="204" t="inlineStr">
        <is>
          <t xml:space="preserve">No show</t>
        </is>
      </c>
      <c r="D30" s="205" t="str">
        <f>IFERROR(1/(1/INDEX(BD!$Y$30:$AS$30,MATCH($A$26,BD!$Y$22:$AS$22,0))),"")</f>
        <v/>
      </c>
      <c r="E30" s="206"/>
      <c r="F30" s="207" t="str">
        <f>IF(F$3="","",IF(COUNTIFS(BD!$A$3:$A$5001,F$3,BD!$B$3:$B$5001,$A$26,BD!$J$3:$J$5001,"&lt;&gt;")=0,"",SUMIFS(BD!$J$3:$J$5001,BD!$A$3:$A$5001,F$3,BD!$B$3:$B$5001,$A$26)))</f>
        <v/>
      </c>
      <c r="G30" s="208" t="str">
        <f>IF(G$3="","",IF(COUNTIFS(BD!$A$3:$A$5001,G$3,BD!$B$3:$B$5001,$A$26,BD!$J$3:$J$5001,"&lt;&gt;")=0,"",SUMIFS(BD!$J$3:$J$5001,BD!$A$3:$A$5001,G$3,BD!$B$3:$B$5001,$A$26)))</f>
        <v/>
      </c>
      <c r="H30" s="208" t="str">
        <f>IF(H$3="","",IF(COUNTIFS(BD!$A$3:$A$5001,H$3,BD!$B$3:$B$5001,$A$26,BD!$J$3:$J$5001,"&lt;&gt;")=0,"",SUMIFS(BD!$J$3:$J$5001,BD!$A$3:$A$5001,H$3,BD!$B$3:$B$5001,$A$26)))</f>
        <v/>
      </c>
      <c r="I30" s="208" t="str">
        <f>IF(I$3="","",IF(COUNTIFS(BD!$A$3:$A$5001,I$3,BD!$B$3:$B$5001,$A$26,BD!$J$3:$J$5001,"&lt;&gt;")=0,"",SUMIFS(BD!$J$3:$J$5001,BD!$A$3:$A$5001,I$3,BD!$B$3:$B$5001,$A$26)))</f>
        <v/>
      </c>
      <c r="J30" s="208" t="str">
        <f>IF(J$3="","",IF(COUNTIFS(BD!$A$3:$A$5001,J$3,BD!$B$3:$B$5001,$A$26,BD!$J$3:$J$5001,"&lt;&gt;")=0,"",SUMIFS(BD!$J$3:$J$5001,BD!$A$3:$A$5001,J$3,BD!$B$3:$B$5001,$A$26)))</f>
        <v/>
      </c>
      <c r="K30" s="208" t="str">
        <f>IF(K$3="","",IF(COUNTIFS(BD!$A$3:$A$5001,K$3,BD!$B$3:$B$5001,$A$26,BD!$J$3:$J$5001,"&lt;&gt;")=0,"",SUMIFS(BD!$J$3:$J$5001,BD!$A$3:$A$5001,K$3,BD!$B$3:$B$5001,$A$26)))</f>
        <v/>
      </c>
      <c r="L30" s="208" t="str">
        <f>IF(L$3="","",IF(COUNTIFS(BD!$A$3:$A$5001,L$3,BD!$B$3:$B$5001,$A$26,BD!$J$3:$J$5001,"&lt;&gt;")=0,"",SUMIFS(BD!$J$3:$J$5001,BD!$A$3:$A$5001,L$3,BD!$B$3:$B$5001,$A$26)))</f>
        <v/>
      </c>
      <c r="M30" s="208" t="str">
        <f>IF(M$3="","",IF(COUNTIFS(BD!$A$3:$A$5001,M$3,BD!$B$3:$B$5001,$A$26,BD!$J$3:$J$5001,"&lt;&gt;")=0,"",SUMIFS(BD!$J$3:$J$5001,BD!$A$3:$A$5001,M$3,BD!$B$3:$B$5001,$A$26)))</f>
        <v/>
      </c>
      <c r="N30" s="208" t="str">
        <f>IF(N$3="","",IF(COUNTIFS(BD!$A$3:$A$5001,N$3,BD!$B$3:$B$5001,$A$26,BD!$J$3:$J$5001,"&lt;&gt;")=0,"",SUMIFS(BD!$J$3:$J$5001,BD!$A$3:$A$5001,N$3,BD!$B$3:$B$5001,$A$26)))</f>
        <v/>
      </c>
      <c r="O30" s="208" t="str">
        <f>IF(O$3="","",IF(COUNTIFS(BD!$A$3:$A$5001,O$3,BD!$B$3:$B$5001,$A$26,BD!$J$3:$J$5001,"&lt;&gt;")=0,"",SUMIFS(BD!$J$3:$J$5001,BD!$A$3:$A$5001,O$3,BD!$B$3:$B$5001,$A$26)))</f>
        <v/>
      </c>
      <c r="P30" s="208" t="str">
        <f>IF(P$3="","",IF(COUNTIFS(BD!$A$3:$A$5001,P$3,BD!$B$3:$B$5001,$A$26,BD!$J$3:$J$5001,"&lt;&gt;")=0,"",SUMIFS(BD!$J$3:$J$5001,BD!$A$3:$A$5001,P$3,BD!$B$3:$B$5001,$A$26)))</f>
        <v/>
      </c>
      <c r="Q30" s="208" t="str">
        <f>IF(Q$3="","",IF(COUNTIFS(BD!$A$3:$A$5001,Q$3,BD!$B$3:$B$5001,$A$26,BD!$J$3:$J$5001,"&lt;&gt;")=0,"",SUMIFS(BD!$J$3:$J$5001,BD!$A$3:$A$5001,Q$3,BD!$B$3:$B$5001,$A$26)))</f>
        <v/>
      </c>
      <c r="R30" s="208" t="str">
        <f>IF(R$3="","",IF(COUNTIFS(BD!$A$3:$A$5001,R$3,BD!$B$3:$B$5001,$A$26,BD!$J$3:$J$5001,"&lt;&gt;")=0,"",SUMIFS(BD!$J$3:$J$5001,BD!$A$3:$A$5001,R$3,BD!$B$3:$B$5001,$A$26)))</f>
        <v/>
      </c>
      <c r="S30" s="208" t="str">
        <f>IF(S$3="","",IF(COUNTIFS(BD!$A$3:$A$5001,S$3,BD!$B$3:$B$5001,$A$26,BD!$J$3:$J$5001,"&lt;&gt;")=0,"",SUMIFS(BD!$J$3:$J$5001,BD!$A$3:$A$5001,S$3,BD!$B$3:$B$5001,$A$26)))</f>
        <v/>
      </c>
      <c r="T30" s="208" t="str">
        <f>IF(T$3="","",IF(COUNTIFS(BD!$A$3:$A$5001,T$3,BD!$B$3:$B$5001,$A$26,BD!$J$3:$J$5001,"&lt;&gt;")=0,"",SUMIFS(BD!$J$3:$J$5001,BD!$A$3:$A$5001,T$3,BD!$B$3:$B$5001,$A$26)))</f>
        <v/>
      </c>
      <c r="U30" s="208" t="str">
        <f>IF(U$3="","",IF(COUNTIFS(BD!$A$3:$A$5001,U$3,BD!$B$3:$B$5001,$A$26,BD!$J$3:$J$5001,"&lt;&gt;")=0,"",SUMIFS(BD!$J$3:$J$5001,BD!$A$3:$A$5001,U$3,BD!$B$3:$B$5001,$A$26)))</f>
        <v/>
      </c>
      <c r="V30" s="208" t="str">
        <f>IF(V$3="","",IF(COUNTIFS(BD!$A$3:$A$5001,V$3,BD!$B$3:$B$5001,$A$26,BD!$J$3:$J$5001,"&lt;&gt;")=0,"",SUMIFS(BD!$J$3:$J$5001,BD!$A$3:$A$5001,V$3,BD!$B$3:$B$5001,$A$26)))</f>
        <v/>
      </c>
      <c r="W30" s="208" t="str">
        <f>IF(W$3="","",IF(COUNTIFS(BD!$A$3:$A$5001,W$3,BD!$B$3:$B$5001,$A$26,BD!$J$3:$J$5001,"&lt;&gt;")=0,"",SUMIFS(BD!$J$3:$J$5001,BD!$A$3:$A$5001,W$3,BD!$B$3:$B$5001,$A$26)))</f>
        <v/>
      </c>
      <c r="X30" s="208" t="str">
        <f>IF(X$3="","",IF(COUNTIFS(BD!$A$3:$A$5001,X$3,BD!$B$3:$B$5001,$A$26,BD!$J$3:$J$5001,"&lt;&gt;")=0,"",SUMIFS(BD!$J$3:$J$5001,BD!$A$3:$A$5001,X$3,BD!$B$3:$B$5001,$A$26)))</f>
        <v/>
      </c>
      <c r="Y30" s="208" t="str">
        <f>IF(Y$3="","",IF(COUNTIFS(BD!$A$3:$A$5001,Y$3,BD!$B$3:$B$5001,$A$26,BD!$J$3:$J$5001,"&lt;&gt;")=0,"",SUMIFS(BD!$J$3:$J$5001,BD!$A$3:$A$5001,Y$3,BD!$B$3:$B$5001,$A$26)))</f>
        <v/>
      </c>
      <c r="Z30" s="208" t="str">
        <f>IF(Z$3="","",IF(COUNTIFS(BD!$A$3:$A$5001,Z$3,BD!$B$3:$B$5001,$A$26,BD!$J$3:$J$5001,"&lt;&gt;")=0,"",SUMIFS(BD!$J$3:$J$5001,BD!$A$3:$A$5001,Z$3,BD!$B$3:$B$5001,$A$26)))</f>
        <v/>
      </c>
      <c r="AA30" s="208" t="str">
        <f>IF(AA$3="","",IF(COUNTIFS(BD!$A$3:$A$5001,AA$3,BD!$B$3:$B$5001,$A$26,BD!$J$3:$J$5001,"&lt;&gt;")=0,"",SUMIFS(BD!$J$3:$J$5001,BD!$A$3:$A$5001,AA$3,BD!$B$3:$B$5001,$A$26)))</f>
        <v/>
      </c>
      <c r="AB30" s="208" t="str">
        <f>IF(AB$3="","",IF(COUNTIFS(BD!$A$3:$A$5001,AB$3,BD!$B$3:$B$5001,$A$26,BD!$J$3:$J$5001,"&lt;&gt;")=0,"",SUMIFS(BD!$J$3:$J$5001,BD!$A$3:$A$5001,AB$3,BD!$B$3:$B$5001,$A$26)))</f>
        <v/>
      </c>
      <c r="AC30" s="208" t="str">
        <f>IF(AC$3="","",IF(COUNTIFS(BD!$A$3:$A$5001,AC$3,BD!$B$3:$B$5001,$A$26,BD!$J$3:$J$5001,"&lt;&gt;")=0,"",SUMIFS(BD!$J$3:$J$5001,BD!$A$3:$A$5001,AC$3,BD!$B$3:$B$5001,$A$26)))</f>
        <v/>
      </c>
      <c r="AD30" s="208" t="str">
        <f>IF(AD$3="","",IF(COUNTIFS(BD!$A$3:$A$5001,AD$3,BD!$B$3:$B$5001,$A$26,BD!$J$3:$J$5001,"&lt;&gt;")=0,"",SUMIFS(BD!$J$3:$J$5001,BD!$A$3:$A$5001,AD$3,BD!$B$3:$B$5001,$A$26)))</f>
        <v/>
      </c>
      <c r="AE30" s="208" t="str">
        <f>IF(AE$3="","",IF(COUNTIFS(BD!$A$3:$A$5001,AE$3,BD!$B$3:$B$5001,$A$26,BD!$J$3:$J$5001,"&lt;&gt;")=0,"",SUMIFS(BD!$J$3:$J$5001,BD!$A$3:$A$5001,AE$3,BD!$B$3:$B$5001,$A$26)))</f>
        <v/>
      </c>
      <c r="AF30" s="208" t="str">
        <f>IF(AF$3="","",IF(COUNTIFS(BD!$A$3:$A$5001,AF$3,BD!$B$3:$B$5001,$A$26,BD!$J$3:$J$5001,"&lt;&gt;")=0,"",SUMIFS(BD!$J$3:$J$5001,BD!$A$3:$A$5001,AF$3,BD!$B$3:$B$5001,$A$26)))</f>
        <v/>
      </c>
      <c r="AG30" s="208" t="str">
        <f>IF(AG$3="","",IF(COUNTIFS(BD!$A$3:$A$5001,AG$3,BD!$B$3:$B$5001,$A$26,BD!$J$3:$J$5001,"&lt;&gt;")=0,"",SUMIFS(BD!$J$3:$J$5001,BD!$A$3:$A$5001,AG$3,BD!$B$3:$B$5001,$A$26)))</f>
        <v/>
      </c>
      <c r="AH30" s="208" t="str">
        <f>IF(AH$3="","",IF(COUNTIFS(BD!$A$3:$A$5001,AH$3,BD!$B$3:$B$5001,$A$26,BD!$J$3:$J$5001,"&lt;&gt;")=0,"",SUMIFS(BD!$J$3:$J$5001,BD!$A$3:$A$5001,AH$3,BD!$B$3:$B$5001,$A$26)))</f>
        <v/>
      </c>
      <c r="AI30" s="208" t="str">
        <f>IF(AI$3="","",IF(COUNTIFS(BD!$A$3:$A$5001,AI$3,BD!$B$3:$B$5001,$A$26,BD!$J$3:$J$5001,"&lt;&gt;")=0,"",SUMIFS(BD!$J$3:$J$5001,BD!$A$3:$A$5001,AI$3,BD!$B$3:$B$5001,$A$26)))</f>
        <v/>
      </c>
      <c r="AJ30" s="209" t="str">
        <f>IF(AJ$3="","",IF(COUNTIFS(BD!$A$3:$A$5001,AJ$3,BD!$B$3:$B$5001,$A$26,BD!$J$3:$J$5001,"&lt;&gt;")=0,"",SUMIFS(BD!$J$3:$J$5001,BD!$A$3:$A$5001,AJ$3,BD!$B$3:$B$5001,$A$26)))</f>
        <v/>
      </c>
      <c r="AK30" s="210" t="str">
        <f>IF(COUNT(F30:AJ30)=0,"",SUM(F30:AJ30))</f>
        <v/>
      </c>
    </row>
    <row r="31" ht="15.75" customHeight="1">
      <c r="A31" s="254"/>
      <c r="B31" s="249"/>
      <c r="C31" s="211" t="inlineStr">
        <is>
          <t xml:space="preserve">Backlog</t>
        </is>
      </c>
      <c r="D31" s="212" t="str">
        <f>IFERROR(1/(1/INDEX(BD!$Y$31:$AS$31,MATCH($A$26,BD!$Y$22:$AS$22,0))),"")</f>
        <v/>
      </c>
      <c r="E31" s="213"/>
      <c r="F31" s="214" t="str">
        <f>IF(F$3="","",IF(COUNTIFS(BD!$A$3:$A$5001,F$3,BD!$B$3:$B$5001,$A$26,BD!$K$3:$K$5001,"&lt;&gt;")=0,"",SUMIFS(BD!$K$3:$K$5001,BD!$A$3:$A$5001,F$3,BD!$B$3:$B$5001,$A$26)))</f>
        <v/>
      </c>
      <c r="G31" s="215" t="str">
        <f>IF(G$3="","",IF(COUNTIFS(BD!$A$3:$A$5001,G$3,BD!$B$3:$B$5001,$A$26,BD!$K$3:$K$5001,"&lt;&gt;")=0,"",SUMIFS(BD!$K$3:$K$5001,BD!$A$3:$A$5001,G$3,BD!$B$3:$B$5001,$A$26)))</f>
        <v/>
      </c>
      <c r="H31" s="215" t="str">
        <f>IF(H$3="","",IF(COUNTIFS(BD!$A$3:$A$5001,H$3,BD!$B$3:$B$5001,$A$26,BD!$K$3:$K$5001,"&lt;&gt;")=0,"",SUMIFS(BD!$K$3:$K$5001,BD!$A$3:$A$5001,H$3,BD!$B$3:$B$5001,$A$26)))</f>
        <v/>
      </c>
      <c r="I31" s="215" t="str">
        <f>IF(I$3="","",IF(COUNTIFS(BD!$A$3:$A$5001,I$3,BD!$B$3:$B$5001,$A$26,BD!$K$3:$K$5001,"&lt;&gt;")=0,"",SUMIFS(BD!$K$3:$K$5001,BD!$A$3:$A$5001,I$3,BD!$B$3:$B$5001,$A$26)))</f>
        <v/>
      </c>
      <c r="J31" s="215" t="str">
        <f>IF(J$3="","",IF(COUNTIFS(BD!$A$3:$A$5001,J$3,BD!$B$3:$B$5001,$A$26,BD!$K$3:$K$5001,"&lt;&gt;")=0,"",SUMIFS(BD!$K$3:$K$5001,BD!$A$3:$A$5001,J$3,BD!$B$3:$B$5001,$A$26)))</f>
        <v/>
      </c>
      <c r="K31" s="215" t="str">
        <f>IF(K$3="","",IF(COUNTIFS(BD!$A$3:$A$5001,K$3,BD!$B$3:$B$5001,$A$26,BD!$K$3:$K$5001,"&lt;&gt;")=0,"",SUMIFS(BD!$K$3:$K$5001,BD!$A$3:$A$5001,K$3,BD!$B$3:$B$5001,$A$26)))</f>
        <v/>
      </c>
      <c r="L31" s="215" t="str">
        <f>IF(L$3="","",IF(COUNTIFS(BD!$A$3:$A$5001,L$3,BD!$B$3:$B$5001,$A$26,BD!$K$3:$K$5001,"&lt;&gt;")=0,"",SUMIFS(BD!$K$3:$K$5001,BD!$A$3:$A$5001,L$3,BD!$B$3:$B$5001,$A$26)))</f>
        <v/>
      </c>
      <c r="M31" s="215" t="str">
        <f>IF(M$3="","",IF(COUNTIFS(BD!$A$3:$A$5001,M$3,BD!$B$3:$B$5001,$A$26,BD!$K$3:$K$5001,"&lt;&gt;")=0,"",SUMIFS(BD!$K$3:$K$5001,BD!$A$3:$A$5001,M$3,BD!$B$3:$B$5001,$A$26)))</f>
        <v/>
      </c>
      <c r="N31" s="215" t="str">
        <f>IF(N$3="","",IF(COUNTIFS(BD!$A$3:$A$5001,N$3,BD!$B$3:$B$5001,$A$26,BD!$K$3:$K$5001,"&lt;&gt;")=0,"",SUMIFS(BD!$K$3:$K$5001,BD!$A$3:$A$5001,N$3,BD!$B$3:$B$5001,$A$26)))</f>
        <v/>
      </c>
      <c r="O31" s="215" t="str">
        <f>IF(O$3="","",IF(COUNTIFS(BD!$A$3:$A$5001,O$3,BD!$B$3:$B$5001,$A$26,BD!$K$3:$K$5001,"&lt;&gt;")=0,"",SUMIFS(BD!$K$3:$K$5001,BD!$A$3:$A$5001,O$3,BD!$B$3:$B$5001,$A$26)))</f>
        <v/>
      </c>
      <c r="P31" s="215" t="str">
        <f>IF(P$3="","",IF(COUNTIFS(BD!$A$3:$A$5001,P$3,BD!$B$3:$B$5001,$A$26,BD!$K$3:$K$5001,"&lt;&gt;")=0,"",SUMIFS(BD!$K$3:$K$5001,BD!$A$3:$A$5001,P$3,BD!$B$3:$B$5001,$A$26)))</f>
        <v/>
      </c>
      <c r="Q31" s="215" t="str">
        <f>IF(Q$3="","",IF(COUNTIFS(BD!$A$3:$A$5001,Q$3,BD!$B$3:$B$5001,$A$26,BD!$K$3:$K$5001,"&lt;&gt;")=0,"",SUMIFS(BD!$K$3:$K$5001,BD!$A$3:$A$5001,Q$3,BD!$B$3:$B$5001,$A$26)))</f>
        <v/>
      </c>
      <c r="R31" s="215" t="str">
        <f>IF(R$3="","",IF(COUNTIFS(BD!$A$3:$A$5001,R$3,BD!$B$3:$B$5001,$A$26,BD!$K$3:$K$5001,"&lt;&gt;")=0,"",SUMIFS(BD!$K$3:$K$5001,BD!$A$3:$A$5001,R$3,BD!$B$3:$B$5001,$A$26)))</f>
        <v/>
      </c>
      <c r="S31" s="215" t="str">
        <f>IF(S$3="","",IF(COUNTIFS(BD!$A$3:$A$5001,S$3,BD!$B$3:$B$5001,$A$26,BD!$K$3:$K$5001,"&lt;&gt;")=0,"",SUMIFS(BD!$K$3:$K$5001,BD!$A$3:$A$5001,S$3,BD!$B$3:$B$5001,$A$26)))</f>
        <v/>
      </c>
      <c r="T31" s="215" t="str">
        <f>IF(T$3="","",IF(COUNTIFS(BD!$A$3:$A$5001,T$3,BD!$B$3:$B$5001,$A$26,BD!$K$3:$K$5001,"&lt;&gt;")=0,"",SUMIFS(BD!$K$3:$K$5001,BD!$A$3:$A$5001,T$3,BD!$B$3:$B$5001,$A$26)))</f>
        <v/>
      </c>
      <c r="U31" s="215" t="str">
        <f>IF(U$3="","",IF(COUNTIFS(BD!$A$3:$A$5001,U$3,BD!$B$3:$B$5001,$A$26,BD!$K$3:$K$5001,"&lt;&gt;")=0,"",SUMIFS(BD!$K$3:$K$5001,BD!$A$3:$A$5001,U$3,BD!$B$3:$B$5001,$A$26)))</f>
        <v/>
      </c>
      <c r="V31" s="215" t="str">
        <f>IF(V$3="","",IF(COUNTIFS(BD!$A$3:$A$5001,V$3,BD!$B$3:$B$5001,$A$26,BD!$K$3:$K$5001,"&lt;&gt;")=0,"",SUMIFS(BD!$K$3:$K$5001,BD!$A$3:$A$5001,V$3,BD!$B$3:$B$5001,$A$26)))</f>
        <v/>
      </c>
      <c r="W31" s="215" t="str">
        <f>IF(W$3="","",IF(COUNTIFS(BD!$A$3:$A$5001,W$3,BD!$B$3:$B$5001,$A$26,BD!$K$3:$K$5001,"&lt;&gt;")=0,"",SUMIFS(BD!$K$3:$K$5001,BD!$A$3:$A$5001,W$3,BD!$B$3:$B$5001,$A$26)))</f>
        <v/>
      </c>
      <c r="X31" s="215" t="str">
        <f>IF(X$3="","",IF(COUNTIFS(BD!$A$3:$A$5001,X$3,BD!$B$3:$B$5001,$A$26,BD!$K$3:$K$5001,"&lt;&gt;")=0,"",SUMIFS(BD!$K$3:$K$5001,BD!$A$3:$A$5001,X$3,BD!$B$3:$B$5001,$A$26)))</f>
        <v/>
      </c>
      <c r="Y31" s="215" t="str">
        <f>IF(Y$3="","",IF(COUNTIFS(BD!$A$3:$A$5001,Y$3,BD!$B$3:$B$5001,$A$26,BD!$K$3:$K$5001,"&lt;&gt;")=0,"",SUMIFS(BD!$K$3:$K$5001,BD!$A$3:$A$5001,Y$3,BD!$B$3:$B$5001,$A$26)))</f>
        <v/>
      </c>
      <c r="Z31" s="215" t="str">
        <f>IF(Z$3="","",IF(COUNTIFS(BD!$A$3:$A$5001,Z$3,BD!$B$3:$B$5001,$A$26,BD!$K$3:$K$5001,"&lt;&gt;")=0,"",SUMIFS(BD!$K$3:$K$5001,BD!$A$3:$A$5001,Z$3,BD!$B$3:$B$5001,$A$26)))</f>
        <v/>
      </c>
      <c r="AA31" s="215" t="str">
        <f>IF(AA$3="","",IF(COUNTIFS(BD!$A$3:$A$5001,AA$3,BD!$B$3:$B$5001,$A$26,BD!$K$3:$K$5001,"&lt;&gt;")=0,"",SUMIFS(BD!$K$3:$K$5001,BD!$A$3:$A$5001,AA$3,BD!$B$3:$B$5001,$A$26)))</f>
        <v/>
      </c>
      <c r="AB31" s="215" t="str">
        <f>IF(AB$3="","",IF(COUNTIFS(BD!$A$3:$A$5001,AB$3,BD!$B$3:$B$5001,$A$26,BD!$K$3:$K$5001,"&lt;&gt;")=0,"",SUMIFS(BD!$K$3:$K$5001,BD!$A$3:$A$5001,AB$3,BD!$B$3:$B$5001,$A$26)))</f>
        <v/>
      </c>
      <c r="AC31" s="215" t="str">
        <f>IF(AC$3="","",IF(COUNTIFS(BD!$A$3:$A$5001,AC$3,BD!$B$3:$B$5001,$A$26,BD!$K$3:$K$5001,"&lt;&gt;")=0,"",SUMIFS(BD!$K$3:$K$5001,BD!$A$3:$A$5001,AC$3,BD!$B$3:$B$5001,$A$26)))</f>
        <v/>
      </c>
      <c r="AD31" s="215" t="str">
        <f>IF(AD$3="","",IF(COUNTIFS(BD!$A$3:$A$5001,AD$3,BD!$B$3:$B$5001,$A$26,BD!$K$3:$K$5001,"&lt;&gt;")=0,"",SUMIFS(BD!$K$3:$K$5001,BD!$A$3:$A$5001,AD$3,BD!$B$3:$B$5001,$A$26)))</f>
        <v/>
      </c>
      <c r="AE31" s="215" t="str">
        <f>IF(AE$3="","",IF(COUNTIFS(BD!$A$3:$A$5001,AE$3,BD!$B$3:$B$5001,$A$26,BD!$K$3:$K$5001,"&lt;&gt;")=0,"",SUMIFS(BD!$K$3:$K$5001,BD!$A$3:$A$5001,AE$3,BD!$B$3:$B$5001,$A$26)))</f>
        <v/>
      </c>
      <c r="AF31" s="215" t="str">
        <f>IF(AF$3="","",IF(COUNTIFS(BD!$A$3:$A$5001,AF$3,BD!$B$3:$B$5001,$A$26,BD!$K$3:$K$5001,"&lt;&gt;")=0,"",SUMIFS(BD!$K$3:$K$5001,BD!$A$3:$A$5001,AF$3,BD!$B$3:$B$5001,$A$26)))</f>
        <v/>
      </c>
      <c r="AG31" s="215" t="str">
        <f>IF(AG$3="","",IF(COUNTIFS(BD!$A$3:$A$5001,AG$3,BD!$B$3:$B$5001,$A$26,BD!$K$3:$K$5001,"&lt;&gt;")=0,"",SUMIFS(BD!$K$3:$K$5001,BD!$A$3:$A$5001,AG$3,BD!$B$3:$B$5001,$A$26)))</f>
        <v/>
      </c>
      <c r="AH31" s="215" t="str">
        <f>IF(AH$3="","",IF(COUNTIFS(BD!$A$3:$A$5001,AH$3,BD!$B$3:$B$5001,$A$26,BD!$K$3:$K$5001,"&lt;&gt;")=0,"",SUMIFS(BD!$K$3:$K$5001,BD!$A$3:$A$5001,AH$3,BD!$B$3:$B$5001,$A$26)))</f>
        <v/>
      </c>
      <c r="AI31" s="215" t="str">
        <f>IF(AI$3="","",IF(COUNTIFS(BD!$A$3:$A$5001,AI$3,BD!$B$3:$B$5001,$A$26,BD!$K$3:$K$5001,"&lt;&gt;")=0,"",SUMIFS(BD!$K$3:$K$5001,BD!$A$3:$A$5001,AI$3,BD!$B$3:$B$5001,$A$26)))</f>
        <v/>
      </c>
      <c r="AJ31" s="216" t="str">
        <f>IF(AJ$3="","",IF(COUNTIFS(BD!$A$3:$A$5001,AJ$3,BD!$B$3:$B$5001,$A$26,BD!$K$3:$K$5001,"&lt;&gt;")=0,"",SUMIFS(BD!$K$3:$K$5001,BD!$A$3:$A$5001,AJ$3,BD!$B$3:$B$5001,$A$26)))</f>
        <v/>
      </c>
      <c r="AK31" s="212" t="str">
        <f>IFERROR(LOOKUP(9.99E+307,F31:AJ31),"")</f>
        <v/>
      </c>
    </row>
    <row r="32" ht="15.75" customHeight="1">
      <c r="A32" s="254"/>
      <c r="B32" s="250" t="inlineStr">
        <is>
          <t xml:space="preserve">GENTE</t>
        </is>
      </c>
      <c r="C32" s="221" t="inlineStr">
        <is>
          <t xml:space="preserve">Efetivo Op.</t>
        </is>
      </c>
      <c r="D32" s="222" t="str">
        <f>IFERROR(1/(1/INDEX(BD!$Y$35:$AS$35,MATCH($A$26,BD!$Y$22:$AS$22,0))),"")</f>
        <v/>
      </c>
      <c r="E32" s="223"/>
      <c r="F32" s="224" t="str">
        <f>IF(F$3="","",IF(COUNTIFS(BD!$A$3:$A$5001,F$3,BD!$B$3:$B$5001,$A$26,BD!$N$3:$N$5001,"&lt;&gt;")=0,"",SUMIFS(BD!$N$3:$N$5001,BD!$A$3:$A$5001,F$3,BD!$B$3:$B$5001,$A$26)))</f>
        <v/>
      </c>
      <c r="G32" s="225" t="str">
        <f>IF(G$3="","",IF(COUNTIFS(BD!$A$3:$A$5001,G$3,BD!$B$3:$B$5001,$A$26,BD!$N$3:$N$5001,"&lt;&gt;")=0,"",SUMIFS(BD!$N$3:$N$5001,BD!$A$3:$A$5001,G$3,BD!$B$3:$B$5001,$A$26)))</f>
        <v/>
      </c>
      <c r="H32" s="225" t="str">
        <f>IF(H$3="","",IF(COUNTIFS(BD!$A$3:$A$5001,H$3,BD!$B$3:$B$5001,$A$26,BD!$N$3:$N$5001,"&lt;&gt;")=0,"",SUMIFS(BD!$N$3:$N$5001,BD!$A$3:$A$5001,H$3,BD!$B$3:$B$5001,$A$26)))</f>
        <v/>
      </c>
      <c r="I32" s="225" t="str">
        <f>IF(I$3="","",IF(COUNTIFS(BD!$A$3:$A$5001,I$3,BD!$B$3:$B$5001,$A$26,BD!$N$3:$N$5001,"&lt;&gt;")=0,"",SUMIFS(BD!$N$3:$N$5001,BD!$A$3:$A$5001,I$3,BD!$B$3:$B$5001,$A$26)))</f>
        <v/>
      </c>
      <c r="J32" s="225" t="str">
        <f>IF(J$3="","",IF(COUNTIFS(BD!$A$3:$A$5001,J$3,BD!$B$3:$B$5001,$A$26,BD!$N$3:$N$5001,"&lt;&gt;")=0,"",SUMIFS(BD!$N$3:$N$5001,BD!$A$3:$A$5001,J$3,BD!$B$3:$B$5001,$A$26)))</f>
        <v/>
      </c>
      <c r="K32" s="225" t="str">
        <f>IF(K$3="","",IF(COUNTIFS(BD!$A$3:$A$5001,K$3,BD!$B$3:$B$5001,$A$26,BD!$N$3:$N$5001,"&lt;&gt;")=0,"",SUMIFS(BD!$N$3:$N$5001,BD!$A$3:$A$5001,K$3,BD!$B$3:$B$5001,$A$26)))</f>
        <v/>
      </c>
      <c r="L32" s="225" t="str">
        <f>IF(L$3="","",IF(COUNTIFS(BD!$A$3:$A$5001,L$3,BD!$B$3:$B$5001,$A$26,BD!$N$3:$N$5001,"&lt;&gt;")=0,"",SUMIFS(BD!$N$3:$N$5001,BD!$A$3:$A$5001,L$3,BD!$B$3:$B$5001,$A$26)))</f>
        <v/>
      </c>
      <c r="M32" s="225" t="str">
        <f>IF(M$3="","",IF(COUNTIFS(BD!$A$3:$A$5001,M$3,BD!$B$3:$B$5001,$A$26,BD!$N$3:$N$5001,"&lt;&gt;")=0,"",SUMIFS(BD!$N$3:$N$5001,BD!$A$3:$A$5001,M$3,BD!$B$3:$B$5001,$A$26)))</f>
        <v/>
      </c>
      <c r="N32" s="225" t="str">
        <f>IF(N$3="","",IF(COUNTIFS(BD!$A$3:$A$5001,N$3,BD!$B$3:$B$5001,$A$26,BD!$N$3:$N$5001,"&lt;&gt;")=0,"",SUMIFS(BD!$N$3:$N$5001,BD!$A$3:$A$5001,N$3,BD!$B$3:$B$5001,$A$26)))</f>
        <v/>
      </c>
      <c r="O32" s="225" t="str">
        <f>IF(O$3="","",IF(COUNTIFS(BD!$A$3:$A$5001,O$3,BD!$B$3:$B$5001,$A$26,BD!$N$3:$N$5001,"&lt;&gt;")=0,"",SUMIFS(BD!$N$3:$N$5001,BD!$A$3:$A$5001,O$3,BD!$B$3:$B$5001,$A$26)))</f>
        <v/>
      </c>
      <c r="P32" s="225" t="str">
        <f>IF(P$3="","",IF(COUNTIFS(BD!$A$3:$A$5001,P$3,BD!$B$3:$B$5001,$A$26,BD!$N$3:$N$5001,"&lt;&gt;")=0,"",SUMIFS(BD!$N$3:$N$5001,BD!$A$3:$A$5001,P$3,BD!$B$3:$B$5001,$A$26)))</f>
        <v/>
      </c>
      <c r="Q32" s="225" t="str">
        <f>IF(Q$3="","",IF(COUNTIFS(BD!$A$3:$A$5001,Q$3,BD!$B$3:$B$5001,$A$26,BD!$N$3:$N$5001,"&lt;&gt;")=0,"",SUMIFS(BD!$N$3:$N$5001,BD!$A$3:$A$5001,Q$3,BD!$B$3:$B$5001,$A$26)))</f>
        <v/>
      </c>
      <c r="R32" s="225" t="str">
        <f>IF(R$3="","",IF(COUNTIFS(BD!$A$3:$A$5001,R$3,BD!$B$3:$B$5001,$A$26,BD!$N$3:$N$5001,"&lt;&gt;")=0,"",SUMIFS(BD!$N$3:$N$5001,BD!$A$3:$A$5001,R$3,BD!$B$3:$B$5001,$A$26)))</f>
        <v/>
      </c>
      <c r="S32" s="225" t="str">
        <f>IF(S$3="","",IF(COUNTIFS(BD!$A$3:$A$5001,S$3,BD!$B$3:$B$5001,$A$26,BD!$N$3:$N$5001,"&lt;&gt;")=0,"",SUMIFS(BD!$N$3:$N$5001,BD!$A$3:$A$5001,S$3,BD!$B$3:$B$5001,$A$26)))</f>
        <v/>
      </c>
      <c r="T32" s="225" t="str">
        <f>IF(T$3="","",IF(COUNTIFS(BD!$A$3:$A$5001,T$3,BD!$B$3:$B$5001,$A$26,BD!$N$3:$N$5001,"&lt;&gt;")=0,"",SUMIFS(BD!$N$3:$N$5001,BD!$A$3:$A$5001,T$3,BD!$B$3:$B$5001,$A$26)))</f>
        <v/>
      </c>
      <c r="U32" s="225" t="str">
        <f>IF(U$3="","",IF(COUNTIFS(BD!$A$3:$A$5001,U$3,BD!$B$3:$B$5001,$A$26,BD!$N$3:$N$5001,"&lt;&gt;")=0,"",SUMIFS(BD!$N$3:$N$5001,BD!$A$3:$A$5001,U$3,BD!$B$3:$B$5001,$A$26)))</f>
        <v/>
      </c>
      <c r="V32" s="225" t="str">
        <f>IF(V$3="","",IF(COUNTIFS(BD!$A$3:$A$5001,V$3,BD!$B$3:$B$5001,$A$26,BD!$N$3:$N$5001,"&lt;&gt;")=0,"",SUMIFS(BD!$N$3:$N$5001,BD!$A$3:$A$5001,V$3,BD!$B$3:$B$5001,$A$26)))</f>
        <v/>
      </c>
      <c r="W32" s="225" t="str">
        <f>IF(W$3="","",IF(COUNTIFS(BD!$A$3:$A$5001,W$3,BD!$B$3:$B$5001,$A$26,BD!$N$3:$N$5001,"&lt;&gt;")=0,"",SUMIFS(BD!$N$3:$N$5001,BD!$A$3:$A$5001,W$3,BD!$B$3:$B$5001,$A$26)))</f>
        <v/>
      </c>
      <c r="X32" s="225" t="str">
        <f>IF(X$3="","",IF(COUNTIFS(BD!$A$3:$A$5001,X$3,BD!$B$3:$B$5001,$A$26,BD!$N$3:$N$5001,"&lt;&gt;")=0,"",SUMIFS(BD!$N$3:$N$5001,BD!$A$3:$A$5001,X$3,BD!$B$3:$B$5001,$A$26)))</f>
        <v/>
      </c>
      <c r="Y32" s="225" t="str">
        <f>IF(Y$3="","",IF(COUNTIFS(BD!$A$3:$A$5001,Y$3,BD!$B$3:$B$5001,$A$26,BD!$N$3:$N$5001,"&lt;&gt;")=0,"",SUMIFS(BD!$N$3:$N$5001,BD!$A$3:$A$5001,Y$3,BD!$B$3:$B$5001,$A$26)))</f>
        <v/>
      </c>
      <c r="Z32" s="225" t="str">
        <f>IF(Z$3="","",IF(COUNTIFS(BD!$A$3:$A$5001,Z$3,BD!$B$3:$B$5001,$A$26,BD!$N$3:$N$5001,"&lt;&gt;")=0,"",SUMIFS(BD!$N$3:$N$5001,BD!$A$3:$A$5001,Z$3,BD!$B$3:$B$5001,$A$26)))</f>
        <v/>
      </c>
      <c r="AA32" s="225" t="str">
        <f>IF(AA$3="","",IF(COUNTIFS(BD!$A$3:$A$5001,AA$3,BD!$B$3:$B$5001,$A$26,BD!$N$3:$N$5001,"&lt;&gt;")=0,"",SUMIFS(BD!$N$3:$N$5001,BD!$A$3:$A$5001,AA$3,BD!$B$3:$B$5001,$A$26)))</f>
        <v/>
      </c>
      <c r="AB32" s="225" t="str">
        <f>IF(AB$3="","",IF(COUNTIFS(BD!$A$3:$A$5001,AB$3,BD!$B$3:$B$5001,$A$26,BD!$N$3:$N$5001,"&lt;&gt;")=0,"",SUMIFS(BD!$N$3:$N$5001,BD!$A$3:$A$5001,AB$3,BD!$B$3:$B$5001,$A$26)))</f>
        <v/>
      </c>
      <c r="AC32" s="225" t="str">
        <f>IF(AC$3="","",IF(COUNTIFS(BD!$A$3:$A$5001,AC$3,BD!$B$3:$B$5001,$A$26,BD!$N$3:$N$5001,"&lt;&gt;")=0,"",SUMIFS(BD!$N$3:$N$5001,BD!$A$3:$A$5001,AC$3,BD!$B$3:$B$5001,$A$26)))</f>
        <v/>
      </c>
      <c r="AD32" s="225" t="str">
        <f>IF(AD$3="","",IF(COUNTIFS(BD!$A$3:$A$5001,AD$3,BD!$B$3:$B$5001,$A$26,BD!$N$3:$N$5001,"&lt;&gt;")=0,"",SUMIFS(BD!$N$3:$N$5001,BD!$A$3:$A$5001,AD$3,BD!$B$3:$B$5001,$A$26)))</f>
        <v/>
      </c>
      <c r="AE32" s="225" t="str">
        <f>IF(AE$3="","",IF(COUNTIFS(BD!$A$3:$A$5001,AE$3,BD!$B$3:$B$5001,$A$26,BD!$N$3:$N$5001,"&lt;&gt;")=0,"",SUMIFS(BD!$N$3:$N$5001,BD!$A$3:$A$5001,AE$3,BD!$B$3:$B$5001,$A$26)))</f>
        <v/>
      </c>
      <c r="AF32" s="225" t="str">
        <f>IF(AF$3="","",IF(COUNTIFS(BD!$A$3:$A$5001,AF$3,BD!$B$3:$B$5001,$A$26,BD!$N$3:$N$5001,"&lt;&gt;")=0,"",SUMIFS(BD!$N$3:$N$5001,BD!$A$3:$A$5001,AF$3,BD!$B$3:$B$5001,$A$26)))</f>
        <v/>
      </c>
      <c r="AG32" s="225" t="str">
        <f>IF(AG$3="","",IF(COUNTIFS(BD!$A$3:$A$5001,AG$3,BD!$B$3:$B$5001,$A$26,BD!$N$3:$N$5001,"&lt;&gt;")=0,"",SUMIFS(BD!$N$3:$N$5001,BD!$A$3:$A$5001,AG$3,BD!$B$3:$B$5001,$A$26)))</f>
        <v/>
      </c>
      <c r="AH32" s="225" t="str">
        <f>IF(AH$3="","",IF(COUNTIFS(BD!$A$3:$A$5001,AH$3,BD!$B$3:$B$5001,$A$26,BD!$N$3:$N$5001,"&lt;&gt;")=0,"",SUMIFS(BD!$N$3:$N$5001,BD!$A$3:$A$5001,AH$3,BD!$B$3:$B$5001,$A$26)))</f>
        <v/>
      </c>
      <c r="AI32" s="225" t="str">
        <f>IF(AI$3="","",IF(COUNTIFS(BD!$A$3:$A$5001,AI$3,BD!$B$3:$B$5001,$A$26,BD!$N$3:$N$5001,"&lt;&gt;")=0,"",SUMIFS(BD!$N$3:$N$5001,BD!$A$3:$A$5001,AI$3,BD!$B$3:$B$5001,$A$26)))</f>
        <v/>
      </c>
      <c r="AJ32" s="226" t="str">
        <f>IF(AJ$3="","",IF(COUNTIFS(BD!$A$3:$A$5001,AJ$3,BD!$B$3:$B$5001,$A$26,BD!$N$3:$N$5001,"&lt;&gt;")=0,"",SUMIFS(BD!$N$3:$N$5001,BD!$A$3:$A$5001,AJ$3,BD!$B$3:$B$5001,$A$26)))</f>
        <v/>
      </c>
      <c r="AK32" s="227" t="str">
        <f>IFERROR(LOOKUP(9.99E+307,F32:AJ32),"")</f>
        <v/>
      </c>
    </row>
    <row r="33" ht="15.75" customHeight="1">
      <c r="A33" s="254"/>
      <c r="B33" s="251"/>
      <c r="C33" s="228" t="inlineStr">
        <is>
          <t xml:space="preserve">Falta</t>
        </is>
      </c>
      <c r="D33" s="229" t="str">
        <f>IFERROR(1/(1/INDEX(BD!$Y$36:$AS$36,MATCH($A$26,BD!$Y$22:$AS$22,0))),"")</f>
        <v/>
      </c>
      <c r="E33" s="230"/>
      <c r="F33" s="231" t="str">
        <f>IF(F$3="","",IF(COUNTIFS(BD!$A$3:$A$5001,F$3,BD!$B$3:$B$5001,$A$26,BD!$O$3:$O$5001,"&lt;&gt;")=0,"",SUMIFS(BD!$O$3:$O$5001,BD!$A$3:$A$5001,F$3,BD!$B$3:$B$5001,$A$26)))</f>
        <v/>
      </c>
      <c r="G33" s="232" t="str">
        <f>IF(G$3="","",IF(COUNTIFS(BD!$A$3:$A$5001,G$3,BD!$B$3:$B$5001,$A$26,BD!$O$3:$O$5001,"&lt;&gt;")=0,"",SUMIFS(BD!$O$3:$O$5001,BD!$A$3:$A$5001,G$3,BD!$B$3:$B$5001,$A$26)))</f>
        <v/>
      </c>
      <c r="H33" s="232" t="str">
        <f>IF(H$3="","",IF(COUNTIFS(BD!$A$3:$A$5001,H$3,BD!$B$3:$B$5001,$A$26,BD!$O$3:$O$5001,"&lt;&gt;")=0,"",SUMIFS(BD!$O$3:$O$5001,BD!$A$3:$A$5001,H$3,BD!$B$3:$B$5001,$A$26)))</f>
        <v/>
      </c>
      <c r="I33" s="232" t="str">
        <f>IF(I$3="","",IF(COUNTIFS(BD!$A$3:$A$5001,I$3,BD!$B$3:$B$5001,$A$26,BD!$O$3:$O$5001,"&lt;&gt;")=0,"",SUMIFS(BD!$O$3:$O$5001,BD!$A$3:$A$5001,I$3,BD!$B$3:$B$5001,$A$26)))</f>
        <v/>
      </c>
      <c r="J33" s="232" t="str">
        <f>IF(J$3="","",IF(COUNTIFS(BD!$A$3:$A$5001,J$3,BD!$B$3:$B$5001,$A$26,BD!$O$3:$O$5001,"&lt;&gt;")=0,"",SUMIFS(BD!$O$3:$O$5001,BD!$A$3:$A$5001,J$3,BD!$B$3:$B$5001,$A$26)))</f>
        <v/>
      </c>
      <c r="K33" s="232" t="str">
        <f>IF(K$3="","",IF(COUNTIFS(BD!$A$3:$A$5001,K$3,BD!$B$3:$B$5001,$A$26,BD!$O$3:$O$5001,"&lt;&gt;")=0,"",SUMIFS(BD!$O$3:$O$5001,BD!$A$3:$A$5001,K$3,BD!$B$3:$B$5001,$A$26)))</f>
        <v/>
      </c>
      <c r="L33" s="232" t="str">
        <f>IF(L$3="","",IF(COUNTIFS(BD!$A$3:$A$5001,L$3,BD!$B$3:$B$5001,$A$26,BD!$O$3:$O$5001,"&lt;&gt;")=0,"",SUMIFS(BD!$O$3:$O$5001,BD!$A$3:$A$5001,L$3,BD!$B$3:$B$5001,$A$26)))</f>
        <v/>
      </c>
      <c r="M33" s="232" t="str">
        <f>IF(M$3="","",IF(COUNTIFS(BD!$A$3:$A$5001,M$3,BD!$B$3:$B$5001,$A$26,BD!$O$3:$O$5001,"&lt;&gt;")=0,"",SUMIFS(BD!$O$3:$O$5001,BD!$A$3:$A$5001,M$3,BD!$B$3:$B$5001,$A$26)))</f>
        <v/>
      </c>
      <c r="N33" s="232" t="str">
        <f>IF(N$3="","",IF(COUNTIFS(BD!$A$3:$A$5001,N$3,BD!$B$3:$B$5001,$A$26,BD!$O$3:$O$5001,"&lt;&gt;")=0,"",SUMIFS(BD!$O$3:$O$5001,BD!$A$3:$A$5001,N$3,BD!$B$3:$B$5001,$A$26)))</f>
        <v/>
      </c>
      <c r="O33" s="232" t="str">
        <f>IF(O$3="","",IF(COUNTIFS(BD!$A$3:$A$5001,O$3,BD!$B$3:$B$5001,$A$26,BD!$O$3:$O$5001,"&lt;&gt;")=0,"",SUMIFS(BD!$O$3:$O$5001,BD!$A$3:$A$5001,O$3,BD!$B$3:$B$5001,$A$26)))</f>
        <v/>
      </c>
      <c r="P33" s="232" t="str">
        <f>IF(P$3="","",IF(COUNTIFS(BD!$A$3:$A$5001,P$3,BD!$B$3:$B$5001,$A$26,BD!$O$3:$O$5001,"&lt;&gt;")=0,"",SUMIFS(BD!$O$3:$O$5001,BD!$A$3:$A$5001,P$3,BD!$B$3:$B$5001,$A$26)))</f>
        <v/>
      </c>
      <c r="Q33" s="232" t="str">
        <f>IF(Q$3="","",IF(COUNTIFS(BD!$A$3:$A$5001,Q$3,BD!$B$3:$B$5001,$A$26,BD!$O$3:$O$5001,"&lt;&gt;")=0,"",SUMIFS(BD!$O$3:$O$5001,BD!$A$3:$A$5001,Q$3,BD!$B$3:$B$5001,$A$26)))</f>
        <v/>
      </c>
      <c r="R33" s="232" t="str">
        <f>IF(R$3="","",IF(COUNTIFS(BD!$A$3:$A$5001,R$3,BD!$B$3:$B$5001,$A$26,BD!$O$3:$O$5001,"&lt;&gt;")=0,"",SUMIFS(BD!$O$3:$O$5001,BD!$A$3:$A$5001,R$3,BD!$B$3:$B$5001,$A$26)))</f>
        <v/>
      </c>
      <c r="S33" s="232" t="str">
        <f>IF(S$3="","",IF(COUNTIFS(BD!$A$3:$A$5001,S$3,BD!$B$3:$B$5001,$A$26,BD!$O$3:$O$5001,"&lt;&gt;")=0,"",SUMIFS(BD!$O$3:$O$5001,BD!$A$3:$A$5001,S$3,BD!$B$3:$B$5001,$A$26)))</f>
        <v/>
      </c>
      <c r="T33" s="232" t="str">
        <f>IF(T$3="","",IF(COUNTIFS(BD!$A$3:$A$5001,T$3,BD!$B$3:$B$5001,$A$26,BD!$O$3:$O$5001,"&lt;&gt;")=0,"",SUMIFS(BD!$O$3:$O$5001,BD!$A$3:$A$5001,T$3,BD!$B$3:$B$5001,$A$26)))</f>
        <v/>
      </c>
      <c r="U33" s="232" t="str">
        <f>IF(U$3="","",IF(COUNTIFS(BD!$A$3:$A$5001,U$3,BD!$B$3:$B$5001,$A$26,BD!$O$3:$O$5001,"&lt;&gt;")=0,"",SUMIFS(BD!$O$3:$O$5001,BD!$A$3:$A$5001,U$3,BD!$B$3:$B$5001,$A$26)))</f>
        <v/>
      </c>
      <c r="V33" s="232" t="str">
        <f>IF(V$3="","",IF(COUNTIFS(BD!$A$3:$A$5001,V$3,BD!$B$3:$B$5001,$A$26,BD!$O$3:$O$5001,"&lt;&gt;")=0,"",SUMIFS(BD!$O$3:$O$5001,BD!$A$3:$A$5001,V$3,BD!$B$3:$B$5001,$A$26)))</f>
        <v/>
      </c>
      <c r="W33" s="232" t="str">
        <f>IF(W$3="","",IF(COUNTIFS(BD!$A$3:$A$5001,W$3,BD!$B$3:$B$5001,$A$26,BD!$O$3:$O$5001,"&lt;&gt;")=0,"",SUMIFS(BD!$O$3:$O$5001,BD!$A$3:$A$5001,W$3,BD!$B$3:$B$5001,$A$26)))</f>
        <v/>
      </c>
      <c r="X33" s="232" t="str">
        <f>IF(X$3="","",IF(COUNTIFS(BD!$A$3:$A$5001,X$3,BD!$B$3:$B$5001,$A$26,BD!$O$3:$O$5001,"&lt;&gt;")=0,"",SUMIFS(BD!$O$3:$O$5001,BD!$A$3:$A$5001,X$3,BD!$B$3:$B$5001,$A$26)))</f>
        <v/>
      </c>
      <c r="Y33" s="232" t="str">
        <f>IF(Y$3="","",IF(COUNTIFS(BD!$A$3:$A$5001,Y$3,BD!$B$3:$B$5001,$A$26,BD!$O$3:$O$5001,"&lt;&gt;")=0,"",SUMIFS(BD!$O$3:$O$5001,BD!$A$3:$A$5001,Y$3,BD!$B$3:$B$5001,$A$26)))</f>
        <v/>
      </c>
      <c r="Z33" s="232" t="str">
        <f>IF(Z$3="","",IF(COUNTIFS(BD!$A$3:$A$5001,Z$3,BD!$B$3:$B$5001,$A$26,BD!$O$3:$O$5001,"&lt;&gt;")=0,"",SUMIFS(BD!$O$3:$O$5001,BD!$A$3:$A$5001,Z$3,BD!$B$3:$B$5001,$A$26)))</f>
        <v/>
      </c>
      <c r="AA33" s="232" t="str">
        <f>IF(AA$3="","",IF(COUNTIFS(BD!$A$3:$A$5001,AA$3,BD!$B$3:$B$5001,$A$26,BD!$O$3:$O$5001,"&lt;&gt;")=0,"",SUMIFS(BD!$O$3:$O$5001,BD!$A$3:$A$5001,AA$3,BD!$B$3:$B$5001,$A$26)))</f>
        <v/>
      </c>
      <c r="AB33" s="232" t="str">
        <f>IF(AB$3="","",IF(COUNTIFS(BD!$A$3:$A$5001,AB$3,BD!$B$3:$B$5001,$A$26,BD!$O$3:$O$5001,"&lt;&gt;")=0,"",SUMIFS(BD!$O$3:$O$5001,BD!$A$3:$A$5001,AB$3,BD!$B$3:$B$5001,$A$26)))</f>
        <v/>
      </c>
      <c r="AC33" s="232" t="str">
        <f>IF(AC$3="","",IF(COUNTIFS(BD!$A$3:$A$5001,AC$3,BD!$B$3:$B$5001,$A$26,BD!$O$3:$O$5001,"&lt;&gt;")=0,"",SUMIFS(BD!$O$3:$O$5001,BD!$A$3:$A$5001,AC$3,BD!$B$3:$B$5001,$A$26)))</f>
        <v/>
      </c>
      <c r="AD33" s="232" t="str">
        <f>IF(AD$3="","",IF(COUNTIFS(BD!$A$3:$A$5001,AD$3,BD!$B$3:$B$5001,$A$26,BD!$O$3:$O$5001,"&lt;&gt;")=0,"",SUMIFS(BD!$O$3:$O$5001,BD!$A$3:$A$5001,AD$3,BD!$B$3:$B$5001,$A$26)))</f>
        <v/>
      </c>
      <c r="AE33" s="232" t="str">
        <f>IF(AE$3="","",IF(COUNTIFS(BD!$A$3:$A$5001,AE$3,BD!$B$3:$B$5001,$A$26,BD!$O$3:$O$5001,"&lt;&gt;")=0,"",SUMIFS(BD!$O$3:$O$5001,BD!$A$3:$A$5001,AE$3,BD!$B$3:$B$5001,$A$26)))</f>
        <v/>
      </c>
      <c r="AF33" s="232" t="str">
        <f>IF(AF$3="","",IF(COUNTIFS(BD!$A$3:$A$5001,AF$3,BD!$B$3:$B$5001,$A$26,BD!$O$3:$O$5001,"&lt;&gt;")=0,"",SUMIFS(BD!$O$3:$O$5001,BD!$A$3:$A$5001,AF$3,BD!$B$3:$B$5001,$A$26)))</f>
        <v/>
      </c>
      <c r="AG33" s="232" t="str">
        <f>IF(AG$3="","",IF(COUNTIFS(BD!$A$3:$A$5001,AG$3,BD!$B$3:$B$5001,$A$26,BD!$O$3:$O$5001,"&lt;&gt;")=0,"",SUMIFS(BD!$O$3:$O$5001,BD!$A$3:$A$5001,AG$3,BD!$B$3:$B$5001,$A$26)))</f>
        <v/>
      </c>
      <c r="AH33" s="232" t="str">
        <f>IF(AH$3="","",IF(COUNTIFS(BD!$A$3:$A$5001,AH$3,BD!$B$3:$B$5001,$A$26,BD!$O$3:$O$5001,"&lt;&gt;")=0,"",SUMIFS(BD!$O$3:$O$5001,BD!$A$3:$A$5001,AH$3,BD!$B$3:$B$5001,$A$26)))</f>
        <v/>
      </c>
      <c r="AI33" s="232" t="str">
        <f>IF(AI$3="","",IF(COUNTIFS(BD!$A$3:$A$5001,AI$3,BD!$B$3:$B$5001,$A$26,BD!$O$3:$O$5001,"&lt;&gt;")=0,"",SUMIFS(BD!$O$3:$O$5001,BD!$A$3:$A$5001,AI$3,BD!$B$3:$B$5001,$A$26)))</f>
        <v/>
      </c>
      <c r="AJ33" s="233" t="str">
        <f>IF(AJ$3="","",IF(COUNTIFS(BD!$A$3:$A$5001,AJ$3,BD!$B$3:$B$5001,$A$26,BD!$O$3:$O$5001,"&lt;&gt;")=0,"",SUMIFS(BD!$O$3:$O$5001,BD!$A$3:$A$5001,AJ$3,BD!$B$3:$B$5001,$A$26)))</f>
        <v/>
      </c>
      <c r="AK33" s="234" t="str">
        <f>IF(COUNT(F33:AJ33)=0,"",SUM(F33:AJ33))</f>
        <v/>
      </c>
    </row>
    <row r="34" ht="15.75" customHeight="1">
      <c r="A34" s="254"/>
      <c r="B34" s="251"/>
      <c r="C34" s="228" t="inlineStr">
        <is>
          <t xml:space="preserve">Folga</t>
        </is>
      </c>
      <c r="D34" s="229" t="str">
        <f>IFERROR(1/(1/INDEX(BD!$Y$37:$AS$37,MATCH($A$26,BD!$Y$22:$AS$22,0))),"")</f>
        <v/>
      </c>
      <c r="E34" s="230"/>
      <c r="F34" s="231" t="str">
        <f>IF(F$3="","",IF(COUNTIFS(BD!$A$3:$A$5001,F$3,BD!$B$3:$B$5001,$A$26,BD!$P$3:$P$5001,"&lt;&gt;")=0,"",SUMIFS(BD!$P$3:$P$5001,BD!$A$3:$A$5001,F$3,BD!$B$3:$B$5001,$A$26)))</f>
        <v/>
      </c>
      <c r="G34" s="232" t="str">
        <f>IF(G$3="","",IF(COUNTIFS(BD!$A$3:$A$5001,G$3,BD!$B$3:$B$5001,$A$26,BD!$P$3:$P$5001,"&lt;&gt;")=0,"",SUMIFS(BD!$P$3:$P$5001,BD!$A$3:$A$5001,G$3,BD!$B$3:$B$5001,$A$26)))</f>
        <v/>
      </c>
      <c r="H34" s="232" t="str">
        <f>IF(H$3="","",IF(COUNTIFS(BD!$A$3:$A$5001,H$3,BD!$B$3:$B$5001,$A$26,BD!$P$3:$P$5001,"&lt;&gt;")=0,"",SUMIFS(BD!$P$3:$P$5001,BD!$A$3:$A$5001,H$3,BD!$B$3:$B$5001,$A$26)))</f>
        <v/>
      </c>
      <c r="I34" s="232" t="str">
        <f>IF(I$3="","",IF(COUNTIFS(BD!$A$3:$A$5001,I$3,BD!$B$3:$B$5001,$A$26,BD!$P$3:$P$5001,"&lt;&gt;")=0,"",SUMIFS(BD!$P$3:$P$5001,BD!$A$3:$A$5001,I$3,BD!$B$3:$B$5001,$A$26)))</f>
        <v/>
      </c>
      <c r="J34" s="232" t="str">
        <f>IF(J$3="","",IF(COUNTIFS(BD!$A$3:$A$5001,J$3,BD!$B$3:$B$5001,$A$26,BD!$P$3:$P$5001,"&lt;&gt;")=0,"",SUMIFS(BD!$P$3:$P$5001,BD!$A$3:$A$5001,J$3,BD!$B$3:$B$5001,$A$26)))</f>
        <v/>
      </c>
      <c r="K34" s="232" t="str">
        <f>IF(K$3="","",IF(COUNTIFS(BD!$A$3:$A$5001,K$3,BD!$B$3:$B$5001,$A$26,BD!$P$3:$P$5001,"&lt;&gt;")=0,"",SUMIFS(BD!$P$3:$P$5001,BD!$A$3:$A$5001,K$3,BD!$B$3:$B$5001,$A$26)))</f>
        <v/>
      </c>
      <c r="L34" s="232" t="str">
        <f>IF(L$3="","",IF(COUNTIFS(BD!$A$3:$A$5001,L$3,BD!$B$3:$B$5001,$A$26,BD!$P$3:$P$5001,"&lt;&gt;")=0,"",SUMIFS(BD!$P$3:$P$5001,BD!$A$3:$A$5001,L$3,BD!$B$3:$B$5001,$A$26)))</f>
        <v/>
      </c>
      <c r="M34" s="232" t="str">
        <f>IF(M$3="","",IF(COUNTIFS(BD!$A$3:$A$5001,M$3,BD!$B$3:$B$5001,$A$26,BD!$P$3:$P$5001,"&lt;&gt;")=0,"",SUMIFS(BD!$P$3:$P$5001,BD!$A$3:$A$5001,M$3,BD!$B$3:$B$5001,$A$26)))</f>
        <v/>
      </c>
      <c r="N34" s="232" t="str">
        <f>IF(N$3="","",IF(COUNTIFS(BD!$A$3:$A$5001,N$3,BD!$B$3:$B$5001,$A$26,BD!$P$3:$P$5001,"&lt;&gt;")=0,"",SUMIFS(BD!$P$3:$P$5001,BD!$A$3:$A$5001,N$3,BD!$B$3:$B$5001,$A$26)))</f>
        <v/>
      </c>
      <c r="O34" s="232" t="str">
        <f>IF(O$3="","",IF(COUNTIFS(BD!$A$3:$A$5001,O$3,BD!$B$3:$B$5001,$A$26,BD!$P$3:$P$5001,"&lt;&gt;")=0,"",SUMIFS(BD!$P$3:$P$5001,BD!$A$3:$A$5001,O$3,BD!$B$3:$B$5001,$A$26)))</f>
        <v/>
      </c>
      <c r="P34" s="232" t="str">
        <f>IF(P$3="","",IF(COUNTIFS(BD!$A$3:$A$5001,P$3,BD!$B$3:$B$5001,$A$26,BD!$P$3:$P$5001,"&lt;&gt;")=0,"",SUMIFS(BD!$P$3:$P$5001,BD!$A$3:$A$5001,P$3,BD!$B$3:$B$5001,$A$26)))</f>
        <v/>
      </c>
      <c r="Q34" s="232" t="str">
        <f>IF(Q$3="","",IF(COUNTIFS(BD!$A$3:$A$5001,Q$3,BD!$B$3:$B$5001,$A$26,BD!$P$3:$P$5001,"&lt;&gt;")=0,"",SUMIFS(BD!$P$3:$P$5001,BD!$A$3:$A$5001,Q$3,BD!$B$3:$B$5001,$A$26)))</f>
        <v/>
      </c>
      <c r="R34" s="232" t="str">
        <f>IF(R$3="","",IF(COUNTIFS(BD!$A$3:$A$5001,R$3,BD!$B$3:$B$5001,$A$26,BD!$P$3:$P$5001,"&lt;&gt;")=0,"",SUMIFS(BD!$P$3:$P$5001,BD!$A$3:$A$5001,R$3,BD!$B$3:$B$5001,$A$26)))</f>
        <v/>
      </c>
      <c r="S34" s="232" t="str">
        <f>IF(S$3="","",IF(COUNTIFS(BD!$A$3:$A$5001,S$3,BD!$B$3:$B$5001,$A$26,BD!$P$3:$P$5001,"&lt;&gt;")=0,"",SUMIFS(BD!$P$3:$P$5001,BD!$A$3:$A$5001,S$3,BD!$B$3:$B$5001,$A$26)))</f>
        <v/>
      </c>
      <c r="T34" s="232" t="str">
        <f>IF(T$3="","",IF(COUNTIFS(BD!$A$3:$A$5001,T$3,BD!$B$3:$B$5001,$A$26,BD!$P$3:$P$5001,"&lt;&gt;")=0,"",SUMIFS(BD!$P$3:$P$5001,BD!$A$3:$A$5001,T$3,BD!$B$3:$B$5001,$A$26)))</f>
        <v/>
      </c>
      <c r="U34" s="232" t="str">
        <f>IF(U$3="","",IF(COUNTIFS(BD!$A$3:$A$5001,U$3,BD!$B$3:$B$5001,$A$26,BD!$P$3:$P$5001,"&lt;&gt;")=0,"",SUMIFS(BD!$P$3:$P$5001,BD!$A$3:$A$5001,U$3,BD!$B$3:$B$5001,$A$26)))</f>
        <v/>
      </c>
      <c r="V34" s="232" t="str">
        <f>IF(V$3="","",IF(COUNTIFS(BD!$A$3:$A$5001,V$3,BD!$B$3:$B$5001,$A$26,BD!$P$3:$P$5001,"&lt;&gt;")=0,"",SUMIFS(BD!$P$3:$P$5001,BD!$A$3:$A$5001,V$3,BD!$B$3:$B$5001,$A$26)))</f>
        <v/>
      </c>
      <c r="W34" s="232" t="str">
        <f>IF(W$3="","",IF(COUNTIFS(BD!$A$3:$A$5001,W$3,BD!$B$3:$B$5001,$A$26,BD!$P$3:$P$5001,"&lt;&gt;")=0,"",SUMIFS(BD!$P$3:$P$5001,BD!$A$3:$A$5001,W$3,BD!$B$3:$B$5001,$A$26)))</f>
        <v/>
      </c>
      <c r="X34" s="232" t="str">
        <f>IF(X$3="","",IF(COUNTIFS(BD!$A$3:$A$5001,X$3,BD!$B$3:$B$5001,$A$26,BD!$P$3:$P$5001,"&lt;&gt;")=0,"",SUMIFS(BD!$P$3:$P$5001,BD!$A$3:$A$5001,X$3,BD!$B$3:$B$5001,$A$26)))</f>
        <v/>
      </c>
      <c r="Y34" s="232" t="str">
        <f>IF(Y$3="","",IF(COUNTIFS(BD!$A$3:$A$5001,Y$3,BD!$B$3:$B$5001,$A$26,BD!$P$3:$P$5001,"&lt;&gt;")=0,"",SUMIFS(BD!$P$3:$P$5001,BD!$A$3:$A$5001,Y$3,BD!$B$3:$B$5001,$A$26)))</f>
        <v/>
      </c>
      <c r="Z34" s="232" t="str">
        <f>IF(Z$3="","",IF(COUNTIFS(BD!$A$3:$A$5001,Z$3,BD!$B$3:$B$5001,$A$26,BD!$P$3:$P$5001,"&lt;&gt;")=0,"",SUMIFS(BD!$P$3:$P$5001,BD!$A$3:$A$5001,Z$3,BD!$B$3:$B$5001,$A$26)))</f>
        <v/>
      </c>
      <c r="AA34" s="232" t="str">
        <f>IF(AA$3="","",IF(COUNTIFS(BD!$A$3:$A$5001,AA$3,BD!$B$3:$B$5001,$A$26,BD!$P$3:$P$5001,"&lt;&gt;")=0,"",SUMIFS(BD!$P$3:$P$5001,BD!$A$3:$A$5001,AA$3,BD!$B$3:$B$5001,$A$26)))</f>
        <v/>
      </c>
      <c r="AB34" s="232" t="str">
        <f>IF(AB$3="","",IF(COUNTIFS(BD!$A$3:$A$5001,AB$3,BD!$B$3:$B$5001,$A$26,BD!$P$3:$P$5001,"&lt;&gt;")=0,"",SUMIFS(BD!$P$3:$P$5001,BD!$A$3:$A$5001,AB$3,BD!$B$3:$B$5001,$A$26)))</f>
        <v/>
      </c>
      <c r="AC34" s="232" t="str">
        <f>IF(AC$3="","",IF(COUNTIFS(BD!$A$3:$A$5001,AC$3,BD!$B$3:$B$5001,$A$26,BD!$P$3:$P$5001,"&lt;&gt;")=0,"",SUMIFS(BD!$P$3:$P$5001,BD!$A$3:$A$5001,AC$3,BD!$B$3:$B$5001,$A$26)))</f>
        <v/>
      </c>
      <c r="AD34" s="232" t="str">
        <f>IF(AD$3="","",IF(COUNTIFS(BD!$A$3:$A$5001,AD$3,BD!$B$3:$B$5001,$A$26,BD!$P$3:$P$5001,"&lt;&gt;")=0,"",SUMIFS(BD!$P$3:$P$5001,BD!$A$3:$A$5001,AD$3,BD!$B$3:$B$5001,$A$26)))</f>
        <v/>
      </c>
      <c r="AE34" s="232" t="str">
        <f>IF(AE$3="","",IF(COUNTIFS(BD!$A$3:$A$5001,AE$3,BD!$B$3:$B$5001,$A$26,BD!$P$3:$P$5001,"&lt;&gt;")=0,"",SUMIFS(BD!$P$3:$P$5001,BD!$A$3:$A$5001,AE$3,BD!$B$3:$B$5001,$A$26)))</f>
        <v/>
      </c>
      <c r="AF34" s="232" t="str">
        <f>IF(AF$3="","",IF(COUNTIFS(BD!$A$3:$A$5001,AF$3,BD!$B$3:$B$5001,$A$26,BD!$P$3:$P$5001,"&lt;&gt;")=0,"",SUMIFS(BD!$P$3:$P$5001,BD!$A$3:$A$5001,AF$3,BD!$B$3:$B$5001,$A$26)))</f>
        <v/>
      </c>
      <c r="AG34" s="232" t="str">
        <f>IF(AG$3="","",IF(COUNTIFS(BD!$A$3:$A$5001,AG$3,BD!$B$3:$B$5001,$A$26,BD!$P$3:$P$5001,"&lt;&gt;")=0,"",SUMIFS(BD!$P$3:$P$5001,BD!$A$3:$A$5001,AG$3,BD!$B$3:$B$5001,$A$26)))</f>
        <v/>
      </c>
      <c r="AH34" s="232" t="str">
        <f>IF(AH$3="","",IF(COUNTIFS(BD!$A$3:$A$5001,AH$3,BD!$B$3:$B$5001,$A$26,BD!$P$3:$P$5001,"&lt;&gt;")=0,"",SUMIFS(BD!$P$3:$P$5001,BD!$A$3:$A$5001,AH$3,BD!$B$3:$B$5001,$A$26)))</f>
        <v/>
      </c>
      <c r="AI34" s="232" t="str">
        <f>IF(AI$3="","",IF(COUNTIFS(BD!$A$3:$A$5001,AI$3,BD!$B$3:$B$5001,$A$26,BD!$P$3:$P$5001,"&lt;&gt;")=0,"",SUMIFS(BD!$P$3:$P$5001,BD!$A$3:$A$5001,AI$3,BD!$B$3:$B$5001,$A$26)))</f>
        <v/>
      </c>
      <c r="AJ34" s="233" t="str">
        <f>IF(AJ$3="","",IF(COUNTIFS(BD!$A$3:$A$5001,AJ$3,BD!$B$3:$B$5001,$A$26,BD!$P$3:$P$5001,"&lt;&gt;")=0,"",SUMIFS(BD!$P$3:$P$5001,BD!$A$3:$A$5001,AJ$3,BD!$B$3:$B$5001,$A$26)))</f>
        <v/>
      </c>
      <c r="AK34" s="234" t="str">
        <f>IF(COUNT(F34:AJ34)=0,"",SUM(F34:AJ34))</f>
        <v/>
      </c>
    </row>
    <row r="35" ht="15.75" customHeight="1">
      <c r="A35" s="254"/>
      <c r="B35" s="251"/>
      <c r="C35" s="228" t="inlineStr">
        <is>
          <t xml:space="preserve">Férias</t>
        </is>
      </c>
      <c r="D35" s="229" t="str">
        <f>IFERROR(1/(1/INDEX(BD!$Y$38:$AS$38,MATCH($A$26,BD!$Y$22:$AS$22,0))),"")</f>
        <v/>
      </c>
      <c r="E35" s="230"/>
      <c r="F35" s="231" t="str">
        <f>IF(F$3="","",IF(COUNTIFS(BD!$A$3:$A$5001,F$3,BD!$B$3:$B$5001,$A$26,BD!$Q$3:$Q$5001,"&lt;&gt;")=0,"",SUMIFS(BD!$Q$3:$Q$5001,BD!$A$3:$A$5001,F$3,BD!$B$3:$B$5001,$A$26)))</f>
        <v/>
      </c>
      <c r="G35" s="232" t="str">
        <f>IF(G$3="","",IF(COUNTIFS(BD!$A$3:$A$5001,G$3,BD!$B$3:$B$5001,$A$26,BD!$Q$3:$Q$5001,"&lt;&gt;")=0,"",SUMIFS(BD!$Q$3:$Q$5001,BD!$A$3:$A$5001,G$3,BD!$B$3:$B$5001,$A$26)))</f>
        <v/>
      </c>
      <c r="H35" s="232" t="str">
        <f>IF(H$3="","",IF(COUNTIFS(BD!$A$3:$A$5001,H$3,BD!$B$3:$B$5001,$A$26,BD!$Q$3:$Q$5001,"&lt;&gt;")=0,"",SUMIFS(BD!$Q$3:$Q$5001,BD!$A$3:$A$5001,H$3,BD!$B$3:$B$5001,$A$26)))</f>
        <v/>
      </c>
      <c r="I35" s="232" t="str">
        <f>IF(I$3="","",IF(COUNTIFS(BD!$A$3:$A$5001,I$3,BD!$B$3:$B$5001,$A$26,BD!$Q$3:$Q$5001,"&lt;&gt;")=0,"",SUMIFS(BD!$Q$3:$Q$5001,BD!$A$3:$A$5001,I$3,BD!$B$3:$B$5001,$A$26)))</f>
        <v/>
      </c>
      <c r="J35" s="232" t="str">
        <f>IF(J$3="","",IF(COUNTIFS(BD!$A$3:$A$5001,J$3,BD!$B$3:$B$5001,$A$26,BD!$Q$3:$Q$5001,"&lt;&gt;")=0,"",SUMIFS(BD!$Q$3:$Q$5001,BD!$A$3:$A$5001,J$3,BD!$B$3:$B$5001,$A$26)))</f>
        <v/>
      </c>
      <c r="K35" s="232" t="str">
        <f>IF(K$3="","",IF(COUNTIFS(BD!$A$3:$A$5001,K$3,BD!$B$3:$B$5001,$A$26,BD!$Q$3:$Q$5001,"&lt;&gt;")=0,"",SUMIFS(BD!$Q$3:$Q$5001,BD!$A$3:$A$5001,K$3,BD!$B$3:$B$5001,$A$26)))</f>
        <v/>
      </c>
      <c r="L35" s="232" t="str">
        <f>IF(L$3="","",IF(COUNTIFS(BD!$A$3:$A$5001,L$3,BD!$B$3:$B$5001,$A$26,BD!$Q$3:$Q$5001,"&lt;&gt;")=0,"",SUMIFS(BD!$Q$3:$Q$5001,BD!$A$3:$A$5001,L$3,BD!$B$3:$B$5001,$A$26)))</f>
        <v/>
      </c>
      <c r="M35" s="232" t="str">
        <f>IF(M$3="","",IF(COUNTIFS(BD!$A$3:$A$5001,M$3,BD!$B$3:$B$5001,$A$26,BD!$Q$3:$Q$5001,"&lt;&gt;")=0,"",SUMIFS(BD!$Q$3:$Q$5001,BD!$A$3:$A$5001,M$3,BD!$B$3:$B$5001,$A$26)))</f>
        <v/>
      </c>
      <c r="N35" s="232" t="str">
        <f>IF(N$3="","",IF(COUNTIFS(BD!$A$3:$A$5001,N$3,BD!$B$3:$B$5001,$A$26,BD!$Q$3:$Q$5001,"&lt;&gt;")=0,"",SUMIFS(BD!$Q$3:$Q$5001,BD!$A$3:$A$5001,N$3,BD!$B$3:$B$5001,$A$26)))</f>
        <v/>
      </c>
      <c r="O35" s="232" t="str">
        <f>IF(O$3="","",IF(COUNTIFS(BD!$A$3:$A$5001,O$3,BD!$B$3:$B$5001,$A$26,BD!$Q$3:$Q$5001,"&lt;&gt;")=0,"",SUMIFS(BD!$Q$3:$Q$5001,BD!$A$3:$A$5001,O$3,BD!$B$3:$B$5001,$A$26)))</f>
        <v/>
      </c>
      <c r="P35" s="232" t="str">
        <f>IF(P$3="","",IF(COUNTIFS(BD!$A$3:$A$5001,P$3,BD!$B$3:$B$5001,$A$26,BD!$Q$3:$Q$5001,"&lt;&gt;")=0,"",SUMIFS(BD!$Q$3:$Q$5001,BD!$A$3:$A$5001,P$3,BD!$B$3:$B$5001,$A$26)))</f>
        <v/>
      </c>
      <c r="Q35" s="232" t="str">
        <f>IF(Q$3="","",IF(COUNTIFS(BD!$A$3:$A$5001,Q$3,BD!$B$3:$B$5001,$A$26,BD!$Q$3:$Q$5001,"&lt;&gt;")=0,"",SUMIFS(BD!$Q$3:$Q$5001,BD!$A$3:$A$5001,Q$3,BD!$B$3:$B$5001,$A$26)))</f>
        <v/>
      </c>
      <c r="R35" s="232" t="str">
        <f>IF(R$3="","",IF(COUNTIFS(BD!$A$3:$A$5001,R$3,BD!$B$3:$B$5001,$A$26,BD!$Q$3:$Q$5001,"&lt;&gt;")=0,"",SUMIFS(BD!$Q$3:$Q$5001,BD!$A$3:$A$5001,R$3,BD!$B$3:$B$5001,$A$26)))</f>
        <v/>
      </c>
      <c r="S35" s="232" t="str">
        <f>IF(S$3="","",IF(COUNTIFS(BD!$A$3:$A$5001,S$3,BD!$B$3:$B$5001,$A$26,BD!$Q$3:$Q$5001,"&lt;&gt;")=0,"",SUMIFS(BD!$Q$3:$Q$5001,BD!$A$3:$A$5001,S$3,BD!$B$3:$B$5001,$A$26)))</f>
        <v/>
      </c>
      <c r="T35" s="232" t="str">
        <f>IF(T$3="","",IF(COUNTIFS(BD!$A$3:$A$5001,T$3,BD!$B$3:$B$5001,$A$26,BD!$Q$3:$Q$5001,"&lt;&gt;")=0,"",SUMIFS(BD!$Q$3:$Q$5001,BD!$A$3:$A$5001,T$3,BD!$B$3:$B$5001,$A$26)))</f>
        <v/>
      </c>
      <c r="U35" s="232" t="str">
        <f>IF(U$3="","",IF(COUNTIFS(BD!$A$3:$A$5001,U$3,BD!$B$3:$B$5001,$A$26,BD!$Q$3:$Q$5001,"&lt;&gt;")=0,"",SUMIFS(BD!$Q$3:$Q$5001,BD!$A$3:$A$5001,U$3,BD!$B$3:$B$5001,$A$26)))</f>
        <v/>
      </c>
      <c r="V35" s="232" t="str">
        <f>IF(V$3="","",IF(COUNTIFS(BD!$A$3:$A$5001,V$3,BD!$B$3:$B$5001,$A$26,BD!$Q$3:$Q$5001,"&lt;&gt;")=0,"",SUMIFS(BD!$Q$3:$Q$5001,BD!$A$3:$A$5001,V$3,BD!$B$3:$B$5001,$A$26)))</f>
        <v/>
      </c>
      <c r="W35" s="232" t="str">
        <f>IF(W$3="","",IF(COUNTIFS(BD!$A$3:$A$5001,W$3,BD!$B$3:$B$5001,$A$26,BD!$Q$3:$Q$5001,"&lt;&gt;")=0,"",SUMIFS(BD!$Q$3:$Q$5001,BD!$A$3:$A$5001,W$3,BD!$B$3:$B$5001,$A$26)))</f>
        <v/>
      </c>
      <c r="X35" s="232" t="str">
        <f>IF(X$3="","",IF(COUNTIFS(BD!$A$3:$A$5001,X$3,BD!$B$3:$B$5001,$A$26,BD!$Q$3:$Q$5001,"&lt;&gt;")=0,"",SUMIFS(BD!$Q$3:$Q$5001,BD!$A$3:$A$5001,X$3,BD!$B$3:$B$5001,$A$26)))</f>
        <v/>
      </c>
      <c r="Y35" s="232" t="str">
        <f>IF(Y$3="","",IF(COUNTIFS(BD!$A$3:$A$5001,Y$3,BD!$B$3:$B$5001,$A$26,BD!$Q$3:$Q$5001,"&lt;&gt;")=0,"",SUMIFS(BD!$Q$3:$Q$5001,BD!$A$3:$A$5001,Y$3,BD!$B$3:$B$5001,$A$26)))</f>
        <v/>
      </c>
      <c r="Z35" s="232" t="str">
        <f>IF(Z$3="","",IF(COUNTIFS(BD!$A$3:$A$5001,Z$3,BD!$B$3:$B$5001,$A$26,BD!$Q$3:$Q$5001,"&lt;&gt;")=0,"",SUMIFS(BD!$Q$3:$Q$5001,BD!$A$3:$A$5001,Z$3,BD!$B$3:$B$5001,$A$26)))</f>
        <v/>
      </c>
      <c r="AA35" s="232" t="str">
        <f>IF(AA$3="","",IF(COUNTIFS(BD!$A$3:$A$5001,AA$3,BD!$B$3:$B$5001,$A$26,BD!$Q$3:$Q$5001,"&lt;&gt;")=0,"",SUMIFS(BD!$Q$3:$Q$5001,BD!$A$3:$A$5001,AA$3,BD!$B$3:$B$5001,$A$26)))</f>
        <v/>
      </c>
      <c r="AB35" s="232" t="str">
        <f>IF(AB$3="","",IF(COUNTIFS(BD!$A$3:$A$5001,AB$3,BD!$B$3:$B$5001,$A$26,BD!$Q$3:$Q$5001,"&lt;&gt;")=0,"",SUMIFS(BD!$Q$3:$Q$5001,BD!$A$3:$A$5001,AB$3,BD!$B$3:$B$5001,$A$26)))</f>
        <v/>
      </c>
      <c r="AC35" s="232" t="str">
        <f>IF(AC$3="","",IF(COUNTIFS(BD!$A$3:$A$5001,AC$3,BD!$B$3:$B$5001,$A$26,BD!$Q$3:$Q$5001,"&lt;&gt;")=0,"",SUMIFS(BD!$Q$3:$Q$5001,BD!$A$3:$A$5001,AC$3,BD!$B$3:$B$5001,$A$26)))</f>
        <v/>
      </c>
      <c r="AD35" s="232" t="str">
        <f>IF(AD$3="","",IF(COUNTIFS(BD!$A$3:$A$5001,AD$3,BD!$B$3:$B$5001,$A$26,BD!$Q$3:$Q$5001,"&lt;&gt;")=0,"",SUMIFS(BD!$Q$3:$Q$5001,BD!$A$3:$A$5001,AD$3,BD!$B$3:$B$5001,$A$26)))</f>
        <v/>
      </c>
      <c r="AE35" s="232" t="str">
        <f>IF(AE$3="","",IF(COUNTIFS(BD!$A$3:$A$5001,AE$3,BD!$B$3:$B$5001,$A$26,BD!$Q$3:$Q$5001,"&lt;&gt;")=0,"",SUMIFS(BD!$Q$3:$Q$5001,BD!$A$3:$A$5001,AE$3,BD!$B$3:$B$5001,$A$26)))</f>
        <v/>
      </c>
      <c r="AF35" s="232" t="str">
        <f>IF(AF$3="","",IF(COUNTIFS(BD!$A$3:$A$5001,AF$3,BD!$B$3:$B$5001,$A$26,BD!$Q$3:$Q$5001,"&lt;&gt;")=0,"",SUMIFS(BD!$Q$3:$Q$5001,BD!$A$3:$A$5001,AF$3,BD!$B$3:$B$5001,$A$26)))</f>
        <v/>
      </c>
      <c r="AG35" s="232" t="str">
        <f>IF(AG$3="","",IF(COUNTIFS(BD!$A$3:$A$5001,AG$3,BD!$B$3:$B$5001,$A$26,BD!$Q$3:$Q$5001,"&lt;&gt;")=0,"",SUMIFS(BD!$Q$3:$Q$5001,BD!$A$3:$A$5001,AG$3,BD!$B$3:$B$5001,$A$26)))</f>
        <v/>
      </c>
      <c r="AH35" s="232" t="str">
        <f>IF(AH$3="","",IF(COUNTIFS(BD!$A$3:$A$5001,AH$3,BD!$B$3:$B$5001,$A$26,BD!$Q$3:$Q$5001,"&lt;&gt;")=0,"",SUMIFS(BD!$Q$3:$Q$5001,BD!$A$3:$A$5001,AH$3,BD!$B$3:$B$5001,$A$26)))</f>
        <v/>
      </c>
      <c r="AI35" s="232" t="str">
        <f>IF(AI$3="","",IF(COUNTIFS(BD!$A$3:$A$5001,AI$3,BD!$B$3:$B$5001,$A$26,BD!$Q$3:$Q$5001,"&lt;&gt;")=0,"",SUMIFS(BD!$Q$3:$Q$5001,BD!$A$3:$A$5001,AI$3,BD!$B$3:$B$5001,$A$26)))</f>
        <v/>
      </c>
      <c r="AJ35" s="233" t="str">
        <f>IF(AJ$3="","",IF(COUNTIFS(BD!$A$3:$A$5001,AJ$3,BD!$B$3:$B$5001,$A$26,BD!$Q$3:$Q$5001,"&lt;&gt;")=0,"",SUMIFS(BD!$Q$3:$Q$5001,BD!$A$3:$A$5001,AJ$3,BD!$B$3:$B$5001,$A$26)))</f>
        <v/>
      </c>
      <c r="AK35" s="234" t="str">
        <f>IF(COUNT(F35:AJ35)=0,"",SUM(F35:AJ35))</f>
        <v/>
      </c>
    </row>
    <row r="36" ht="15.75" customHeight="1">
      <c r="A36" s="254"/>
      <c r="B36" s="251"/>
      <c r="C36" s="228" t="inlineStr">
        <is>
          <t xml:space="preserve">Desligamento</t>
        </is>
      </c>
      <c r="D36" s="229" t="str">
        <f>IFERROR(1/(1/INDEX(BD!$Y$39:$AS$39,MATCH($A$26,BD!$Y$22:$AS$22,0))),"")</f>
        <v/>
      </c>
      <c r="E36" s="230"/>
      <c r="F36" s="231" t="str">
        <f>IF(F$3="","",IF(COUNTIFS(BD!$A$3:$A$5001,F$3,BD!$B$3:$B$5001,$A$26,BD!$R$3:$R$5001,"&lt;&gt;")=0,"",SUMIFS(BD!$R$3:$R$5001,BD!$A$3:$A$5001,F$3,BD!$B$3:$B$5001,$A$26)))</f>
        <v/>
      </c>
      <c r="G36" s="232" t="str">
        <f>IF(G$3="","",IF(COUNTIFS(BD!$A$3:$A$5001,G$3,BD!$B$3:$B$5001,$A$26,BD!$R$3:$R$5001,"&lt;&gt;")=0,"",SUMIFS(BD!$R$3:$R$5001,BD!$A$3:$A$5001,G$3,BD!$B$3:$B$5001,$A$26)))</f>
        <v/>
      </c>
      <c r="H36" s="232" t="str">
        <f>IF(H$3="","",IF(COUNTIFS(BD!$A$3:$A$5001,H$3,BD!$B$3:$B$5001,$A$26,BD!$R$3:$R$5001,"&lt;&gt;")=0,"",SUMIFS(BD!$R$3:$R$5001,BD!$A$3:$A$5001,H$3,BD!$B$3:$B$5001,$A$26)))</f>
        <v/>
      </c>
      <c r="I36" s="232" t="str">
        <f>IF(I$3="","",IF(COUNTIFS(BD!$A$3:$A$5001,I$3,BD!$B$3:$B$5001,$A$26,BD!$R$3:$R$5001,"&lt;&gt;")=0,"",SUMIFS(BD!$R$3:$R$5001,BD!$A$3:$A$5001,I$3,BD!$B$3:$B$5001,$A$26)))</f>
        <v/>
      </c>
      <c r="J36" s="232" t="str">
        <f>IF(J$3="","",IF(COUNTIFS(BD!$A$3:$A$5001,J$3,BD!$B$3:$B$5001,$A$26,BD!$R$3:$R$5001,"&lt;&gt;")=0,"",SUMIFS(BD!$R$3:$R$5001,BD!$A$3:$A$5001,J$3,BD!$B$3:$B$5001,$A$26)))</f>
        <v/>
      </c>
      <c r="K36" s="232" t="str">
        <f>IF(K$3="","",IF(COUNTIFS(BD!$A$3:$A$5001,K$3,BD!$B$3:$B$5001,$A$26,BD!$R$3:$R$5001,"&lt;&gt;")=0,"",SUMIFS(BD!$R$3:$R$5001,BD!$A$3:$A$5001,K$3,BD!$B$3:$B$5001,$A$26)))</f>
        <v/>
      </c>
      <c r="L36" s="232" t="str">
        <f>IF(L$3="","",IF(COUNTIFS(BD!$A$3:$A$5001,L$3,BD!$B$3:$B$5001,$A$26,BD!$R$3:$R$5001,"&lt;&gt;")=0,"",SUMIFS(BD!$R$3:$R$5001,BD!$A$3:$A$5001,L$3,BD!$B$3:$B$5001,$A$26)))</f>
        <v/>
      </c>
      <c r="M36" s="232" t="str">
        <f>IF(M$3="","",IF(COUNTIFS(BD!$A$3:$A$5001,M$3,BD!$B$3:$B$5001,$A$26,BD!$R$3:$R$5001,"&lt;&gt;")=0,"",SUMIFS(BD!$R$3:$R$5001,BD!$A$3:$A$5001,M$3,BD!$B$3:$B$5001,$A$26)))</f>
        <v/>
      </c>
      <c r="N36" s="232" t="str">
        <f>IF(N$3="","",IF(COUNTIFS(BD!$A$3:$A$5001,N$3,BD!$B$3:$B$5001,$A$26,BD!$R$3:$R$5001,"&lt;&gt;")=0,"",SUMIFS(BD!$R$3:$R$5001,BD!$A$3:$A$5001,N$3,BD!$B$3:$B$5001,$A$26)))</f>
        <v/>
      </c>
      <c r="O36" s="232" t="str">
        <f>IF(O$3="","",IF(COUNTIFS(BD!$A$3:$A$5001,O$3,BD!$B$3:$B$5001,$A$26,BD!$R$3:$R$5001,"&lt;&gt;")=0,"",SUMIFS(BD!$R$3:$R$5001,BD!$A$3:$A$5001,O$3,BD!$B$3:$B$5001,$A$26)))</f>
        <v/>
      </c>
      <c r="P36" s="232" t="str">
        <f>IF(P$3="","",IF(COUNTIFS(BD!$A$3:$A$5001,P$3,BD!$B$3:$B$5001,$A$26,BD!$R$3:$R$5001,"&lt;&gt;")=0,"",SUMIFS(BD!$R$3:$R$5001,BD!$A$3:$A$5001,P$3,BD!$B$3:$B$5001,$A$26)))</f>
        <v/>
      </c>
      <c r="Q36" s="232" t="str">
        <f>IF(Q$3="","",IF(COUNTIFS(BD!$A$3:$A$5001,Q$3,BD!$B$3:$B$5001,$A$26,BD!$R$3:$R$5001,"&lt;&gt;")=0,"",SUMIFS(BD!$R$3:$R$5001,BD!$A$3:$A$5001,Q$3,BD!$B$3:$B$5001,$A$26)))</f>
        <v/>
      </c>
      <c r="R36" s="232" t="str">
        <f>IF(R$3="","",IF(COUNTIFS(BD!$A$3:$A$5001,R$3,BD!$B$3:$B$5001,$A$26,BD!$R$3:$R$5001,"&lt;&gt;")=0,"",SUMIFS(BD!$R$3:$R$5001,BD!$A$3:$A$5001,R$3,BD!$B$3:$B$5001,$A$26)))</f>
        <v/>
      </c>
      <c r="S36" s="232" t="str">
        <f>IF(S$3="","",IF(COUNTIFS(BD!$A$3:$A$5001,S$3,BD!$B$3:$B$5001,$A$26,BD!$R$3:$R$5001,"&lt;&gt;")=0,"",SUMIFS(BD!$R$3:$R$5001,BD!$A$3:$A$5001,S$3,BD!$B$3:$B$5001,$A$26)))</f>
        <v/>
      </c>
      <c r="T36" s="232" t="str">
        <f>IF(T$3="","",IF(COUNTIFS(BD!$A$3:$A$5001,T$3,BD!$B$3:$B$5001,$A$26,BD!$R$3:$R$5001,"&lt;&gt;")=0,"",SUMIFS(BD!$R$3:$R$5001,BD!$A$3:$A$5001,T$3,BD!$B$3:$B$5001,$A$26)))</f>
        <v/>
      </c>
      <c r="U36" s="232" t="str">
        <f>IF(U$3="","",IF(COUNTIFS(BD!$A$3:$A$5001,U$3,BD!$B$3:$B$5001,$A$26,BD!$R$3:$R$5001,"&lt;&gt;")=0,"",SUMIFS(BD!$R$3:$R$5001,BD!$A$3:$A$5001,U$3,BD!$B$3:$B$5001,$A$26)))</f>
        <v/>
      </c>
      <c r="V36" s="232" t="str">
        <f>IF(V$3="","",IF(COUNTIFS(BD!$A$3:$A$5001,V$3,BD!$B$3:$B$5001,$A$26,BD!$R$3:$R$5001,"&lt;&gt;")=0,"",SUMIFS(BD!$R$3:$R$5001,BD!$A$3:$A$5001,V$3,BD!$B$3:$B$5001,$A$26)))</f>
        <v/>
      </c>
      <c r="W36" s="232" t="str">
        <f>IF(W$3="","",IF(COUNTIFS(BD!$A$3:$A$5001,W$3,BD!$B$3:$B$5001,$A$26,BD!$R$3:$R$5001,"&lt;&gt;")=0,"",SUMIFS(BD!$R$3:$R$5001,BD!$A$3:$A$5001,W$3,BD!$B$3:$B$5001,$A$26)))</f>
        <v/>
      </c>
      <c r="X36" s="232" t="str">
        <f>IF(X$3="","",IF(COUNTIFS(BD!$A$3:$A$5001,X$3,BD!$B$3:$B$5001,$A$26,BD!$R$3:$R$5001,"&lt;&gt;")=0,"",SUMIFS(BD!$R$3:$R$5001,BD!$A$3:$A$5001,X$3,BD!$B$3:$B$5001,$A$26)))</f>
        <v/>
      </c>
      <c r="Y36" s="232" t="str">
        <f>IF(Y$3="","",IF(COUNTIFS(BD!$A$3:$A$5001,Y$3,BD!$B$3:$B$5001,$A$26,BD!$R$3:$R$5001,"&lt;&gt;")=0,"",SUMIFS(BD!$R$3:$R$5001,BD!$A$3:$A$5001,Y$3,BD!$B$3:$B$5001,$A$26)))</f>
        <v/>
      </c>
      <c r="Z36" s="232" t="str">
        <f>IF(Z$3="","",IF(COUNTIFS(BD!$A$3:$A$5001,Z$3,BD!$B$3:$B$5001,$A$26,BD!$R$3:$R$5001,"&lt;&gt;")=0,"",SUMIFS(BD!$R$3:$R$5001,BD!$A$3:$A$5001,Z$3,BD!$B$3:$B$5001,$A$26)))</f>
        <v/>
      </c>
      <c r="AA36" s="232" t="str">
        <f>IF(AA$3="","",IF(COUNTIFS(BD!$A$3:$A$5001,AA$3,BD!$B$3:$B$5001,$A$26,BD!$R$3:$R$5001,"&lt;&gt;")=0,"",SUMIFS(BD!$R$3:$R$5001,BD!$A$3:$A$5001,AA$3,BD!$B$3:$B$5001,$A$26)))</f>
        <v/>
      </c>
      <c r="AB36" s="232" t="str">
        <f>IF(AB$3="","",IF(COUNTIFS(BD!$A$3:$A$5001,AB$3,BD!$B$3:$B$5001,$A$26,BD!$R$3:$R$5001,"&lt;&gt;")=0,"",SUMIFS(BD!$R$3:$R$5001,BD!$A$3:$A$5001,AB$3,BD!$B$3:$B$5001,$A$26)))</f>
        <v/>
      </c>
      <c r="AC36" s="232" t="str">
        <f>IF(AC$3="","",IF(COUNTIFS(BD!$A$3:$A$5001,AC$3,BD!$B$3:$B$5001,$A$26,BD!$R$3:$R$5001,"&lt;&gt;")=0,"",SUMIFS(BD!$R$3:$R$5001,BD!$A$3:$A$5001,AC$3,BD!$B$3:$B$5001,$A$26)))</f>
        <v/>
      </c>
      <c r="AD36" s="232" t="str">
        <f>IF(AD$3="","",IF(COUNTIFS(BD!$A$3:$A$5001,AD$3,BD!$B$3:$B$5001,$A$26,BD!$R$3:$R$5001,"&lt;&gt;")=0,"",SUMIFS(BD!$R$3:$R$5001,BD!$A$3:$A$5001,AD$3,BD!$B$3:$B$5001,$A$26)))</f>
        <v/>
      </c>
      <c r="AE36" s="232" t="str">
        <f>IF(AE$3="","",IF(COUNTIFS(BD!$A$3:$A$5001,AE$3,BD!$B$3:$B$5001,$A$26,BD!$R$3:$R$5001,"&lt;&gt;")=0,"",SUMIFS(BD!$R$3:$R$5001,BD!$A$3:$A$5001,AE$3,BD!$B$3:$B$5001,$A$26)))</f>
        <v/>
      </c>
      <c r="AF36" s="232" t="str">
        <f>IF(AF$3="","",IF(COUNTIFS(BD!$A$3:$A$5001,AF$3,BD!$B$3:$B$5001,$A$26,BD!$R$3:$R$5001,"&lt;&gt;")=0,"",SUMIFS(BD!$R$3:$R$5001,BD!$A$3:$A$5001,AF$3,BD!$B$3:$B$5001,$A$26)))</f>
        <v/>
      </c>
      <c r="AG36" s="232" t="str">
        <f>IF(AG$3="","",IF(COUNTIFS(BD!$A$3:$A$5001,AG$3,BD!$B$3:$B$5001,$A$26,BD!$R$3:$R$5001,"&lt;&gt;")=0,"",SUMIFS(BD!$R$3:$R$5001,BD!$A$3:$A$5001,AG$3,BD!$B$3:$B$5001,$A$26)))</f>
        <v/>
      </c>
      <c r="AH36" s="232" t="str">
        <f>IF(AH$3="","",IF(COUNTIFS(BD!$A$3:$A$5001,AH$3,BD!$B$3:$B$5001,$A$26,BD!$R$3:$R$5001,"&lt;&gt;")=0,"",SUMIFS(BD!$R$3:$R$5001,BD!$A$3:$A$5001,AH$3,BD!$B$3:$B$5001,$A$26)))</f>
        <v/>
      </c>
      <c r="AI36" s="232" t="str">
        <f>IF(AI$3="","",IF(COUNTIFS(BD!$A$3:$A$5001,AI$3,BD!$B$3:$B$5001,$A$26,BD!$R$3:$R$5001,"&lt;&gt;")=0,"",SUMIFS(BD!$R$3:$R$5001,BD!$A$3:$A$5001,AI$3,BD!$B$3:$B$5001,$A$26)))</f>
        <v/>
      </c>
      <c r="AJ36" s="233" t="str">
        <f>IF(AJ$3="","",IF(COUNTIFS(BD!$A$3:$A$5001,AJ$3,BD!$B$3:$B$5001,$A$26,BD!$R$3:$R$5001,"&lt;&gt;")=0,"",SUMIFS(BD!$R$3:$R$5001,BD!$A$3:$A$5001,AJ$3,BD!$B$3:$B$5001,$A$26)))</f>
        <v/>
      </c>
      <c r="AK36" s="234" t="str">
        <f>IF(COUNT(F36:AJ36)=0,"",SUM(F36:AJ36))</f>
        <v/>
      </c>
    </row>
    <row r="37" ht="15.75" customHeight="1">
      <c r="A37" s="254"/>
      <c r="B37" s="251"/>
      <c r="C37" s="228" t="inlineStr">
        <is>
          <t xml:space="preserve">Desvios Comportamentais</t>
        </is>
      </c>
      <c r="D37" s="229" t="str">
        <f>IFERROR(1/(1/INDEX(BD!$Y$40:$AS$40,MATCH($A$26,BD!$Y$22:$AS$22,0))),"")</f>
        <v/>
      </c>
      <c r="E37" s="230"/>
      <c r="F37" s="231" t="str">
        <f>IF(F$3="","",IF(COUNTIFS(BD!$A$3:$A$5001,F$3,BD!$B$3:$B$5001,$A$26,BD!$S$3:$S$5001,"&lt;&gt;")=0,"",SUMIFS(BD!$S$3:$S$5001,BD!$A$3:$A$5001,F$3,BD!$B$3:$B$5001,$A$26)))</f>
        <v/>
      </c>
      <c r="G37" s="232" t="str">
        <f>IF(G$3="","",IF(COUNTIFS(BD!$A$3:$A$5001,G$3,BD!$B$3:$B$5001,$A$26,BD!$S$3:$S$5001,"&lt;&gt;")=0,"",SUMIFS(BD!$S$3:$S$5001,BD!$A$3:$A$5001,G$3,BD!$B$3:$B$5001,$A$26)))</f>
        <v/>
      </c>
      <c r="H37" s="232" t="str">
        <f>IF(H$3="","",IF(COUNTIFS(BD!$A$3:$A$5001,H$3,BD!$B$3:$B$5001,$A$26,BD!$S$3:$S$5001,"&lt;&gt;")=0,"",SUMIFS(BD!$S$3:$S$5001,BD!$A$3:$A$5001,H$3,BD!$B$3:$B$5001,$A$26)))</f>
        <v/>
      </c>
      <c r="I37" s="232" t="str">
        <f>IF(I$3="","",IF(COUNTIFS(BD!$A$3:$A$5001,I$3,BD!$B$3:$B$5001,$A$26,BD!$S$3:$S$5001,"&lt;&gt;")=0,"",SUMIFS(BD!$S$3:$S$5001,BD!$A$3:$A$5001,I$3,BD!$B$3:$B$5001,$A$26)))</f>
        <v/>
      </c>
      <c r="J37" s="232" t="str">
        <f>IF(J$3="","",IF(COUNTIFS(BD!$A$3:$A$5001,J$3,BD!$B$3:$B$5001,$A$26,BD!$S$3:$S$5001,"&lt;&gt;")=0,"",SUMIFS(BD!$S$3:$S$5001,BD!$A$3:$A$5001,J$3,BD!$B$3:$B$5001,$A$26)))</f>
        <v/>
      </c>
      <c r="K37" s="232" t="str">
        <f>IF(K$3="","",IF(COUNTIFS(BD!$A$3:$A$5001,K$3,BD!$B$3:$B$5001,$A$26,BD!$S$3:$S$5001,"&lt;&gt;")=0,"",SUMIFS(BD!$S$3:$S$5001,BD!$A$3:$A$5001,K$3,BD!$B$3:$B$5001,$A$26)))</f>
        <v/>
      </c>
      <c r="L37" s="232" t="str">
        <f>IF(L$3="","",IF(COUNTIFS(BD!$A$3:$A$5001,L$3,BD!$B$3:$B$5001,$A$26,BD!$S$3:$S$5001,"&lt;&gt;")=0,"",SUMIFS(BD!$S$3:$S$5001,BD!$A$3:$A$5001,L$3,BD!$B$3:$B$5001,$A$26)))</f>
        <v/>
      </c>
      <c r="M37" s="232" t="str">
        <f>IF(M$3="","",IF(COUNTIFS(BD!$A$3:$A$5001,M$3,BD!$B$3:$B$5001,$A$26,BD!$S$3:$S$5001,"&lt;&gt;")=0,"",SUMIFS(BD!$S$3:$S$5001,BD!$A$3:$A$5001,M$3,BD!$B$3:$B$5001,$A$26)))</f>
        <v/>
      </c>
      <c r="N37" s="232" t="str">
        <f>IF(N$3="","",IF(COUNTIFS(BD!$A$3:$A$5001,N$3,BD!$B$3:$B$5001,$A$26,BD!$S$3:$S$5001,"&lt;&gt;")=0,"",SUMIFS(BD!$S$3:$S$5001,BD!$A$3:$A$5001,N$3,BD!$B$3:$B$5001,$A$26)))</f>
        <v/>
      </c>
      <c r="O37" s="232" t="str">
        <f>IF(O$3="","",IF(COUNTIFS(BD!$A$3:$A$5001,O$3,BD!$B$3:$B$5001,$A$26,BD!$S$3:$S$5001,"&lt;&gt;")=0,"",SUMIFS(BD!$S$3:$S$5001,BD!$A$3:$A$5001,O$3,BD!$B$3:$B$5001,$A$26)))</f>
        <v/>
      </c>
      <c r="P37" s="232" t="str">
        <f>IF(P$3="","",IF(COUNTIFS(BD!$A$3:$A$5001,P$3,BD!$B$3:$B$5001,$A$26,BD!$S$3:$S$5001,"&lt;&gt;")=0,"",SUMIFS(BD!$S$3:$S$5001,BD!$A$3:$A$5001,P$3,BD!$B$3:$B$5001,$A$26)))</f>
        <v/>
      </c>
      <c r="Q37" s="232" t="str">
        <f>IF(Q$3="","",IF(COUNTIFS(BD!$A$3:$A$5001,Q$3,BD!$B$3:$B$5001,$A$26,BD!$S$3:$S$5001,"&lt;&gt;")=0,"",SUMIFS(BD!$S$3:$S$5001,BD!$A$3:$A$5001,Q$3,BD!$B$3:$B$5001,$A$26)))</f>
        <v/>
      </c>
      <c r="R37" s="232" t="str">
        <f>IF(R$3="","",IF(COUNTIFS(BD!$A$3:$A$5001,R$3,BD!$B$3:$B$5001,$A$26,BD!$S$3:$S$5001,"&lt;&gt;")=0,"",SUMIFS(BD!$S$3:$S$5001,BD!$A$3:$A$5001,R$3,BD!$B$3:$B$5001,$A$26)))</f>
        <v/>
      </c>
      <c r="S37" s="232" t="str">
        <f>IF(S$3="","",IF(COUNTIFS(BD!$A$3:$A$5001,S$3,BD!$B$3:$B$5001,$A$26,BD!$S$3:$S$5001,"&lt;&gt;")=0,"",SUMIFS(BD!$S$3:$S$5001,BD!$A$3:$A$5001,S$3,BD!$B$3:$B$5001,$A$26)))</f>
        <v/>
      </c>
      <c r="T37" s="232" t="str">
        <f>IF(T$3="","",IF(COUNTIFS(BD!$A$3:$A$5001,T$3,BD!$B$3:$B$5001,$A$26,BD!$S$3:$S$5001,"&lt;&gt;")=0,"",SUMIFS(BD!$S$3:$S$5001,BD!$A$3:$A$5001,T$3,BD!$B$3:$B$5001,$A$26)))</f>
        <v/>
      </c>
      <c r="U37" s="232" t="str">
        <f>IF(U$3="","",IF(COUNTIFS(BD!$A$3:$A$5001,U$3,BD!$B$3:$B$5001,$A$26,BD!$S$3:$S$5001,"&lt;&gt;")=0,"",SUMIFS(BD!$S$3:$S$5001,BD!$A$3:$A$5001,U$3,BD!$B$3:$B$5001,$A$26)))</f>
        <v/>
      </c>
      <c r="V37" s="232" t="str">
        <f>IF(V$3="","",IF(COUNTIFS(BD!$A$3:$A$5001,V$3,BD!$B$3:$B$5001,$A$26,BD!$S$3:$S$5001,"&lt;&gt;")=0,"",SUMIFS(BD!$S$3:$S$5001,BD!$A$3:$A$5001,V$3,BD!$B$3:$B$5001,$A$26)))</f>
        <v/>
      </c>
      <c r="W37" s="232" t="str">
        <f>IF(W$3="","",IF(COUNTIFS(BD!$A$3:$A$5001,W$3,BD!$B$3:$B$5001,$A$26,BD!$S$3:$S$5001,"&lt;&gt;")=0,"",SUMIFS(BD!$S$3:$S$5001,BD!$A$3:$A$5001,W$3,BD!$B$3:$B$5001,$A$26)))</f>
        <v/>
      </c>
      <c r="X37" s="232" t="str">
        <f>IF(X$3="","",IF(COUNTIFS(BD!$A$3:$A$5001,X$3,BD!$B$3:$B$5001,$A$26,BD!$S$3:$S$5001,"&lt;&gt;")=0,"",SUMIFS(BD!$S$3:$S$5001,BD!$A$3:$A$5001,X$3,BD!$B$3:$B$5001,$A$26)))</f>
        <v/>
      </c>
      <c r="Y37" s="232" t="str">
        <f>IF(Y$3="","",IF(COUNTIFS(BD!$A$3:$A$5001,Y$3,BD!$B$3:$B$5001,$A$26,BD!$S$3:$S$5001,"&lt;&gt;")=0,"",SUMIFS(BD!$S$3:$S$5001,BD!$A$3:$A$5001,Y$3,BD!$B$3:$B$5001,$A$26)))</f>
        <v/>
      </c>
      <c r="Z37" s="232" t="str">
        <f>IF(Z$3="","",IF(COUNTIFS(BD!$A$3:$A$5001,Z$3,BD!$B$3:$B$5001,$A$26,BD!$S$3:$S$5001,"&lt;&gt;")=0,"",SUMIFS(BD!$S$3:$S$5001,BD!$A$3:$A$5001,Z$3,BD!$B$3:$B$5001,$A$26)))</f>
        <v/>
      </c>
      <c r="AA37" s="232" t="str">
        <f>IF(AA$3="","",IF(COUNTIFS(BD!$A$3:$A$5001,AA$3,BD!$B$3:$B$5001,$A$26,BD!$S$3:$S$5001,"&lt;&gt;")=0,"",SUMIFS(BD!$S$3:$S$5001,BD!$A$3:$A$5001,AA$3,BD!$B$3:$B$5001,$A$26)))</f>
        <v/>
      </c>
      <c r="AB37" s="232" t="str">
        <f>IF(AB$3="","",IF(COUNTIFS(BD!$A$3:$A$5001,AB$3,BD!$B$3:$B$5001,$A$26,BD!$S$3:$S$5001,"&lt;&gt;")=0,"",SUMIFS(BD!$S$3:$S$5001,BD!$A$3:$A$5001,AB$3,BD!$B$3:$B$5001,$A$26)))</f>
        <v/>
      </c>
      <c r="AC37" s="232" t="str">
        <f>IF(AC$3="","",IF(COUNTIFS(BD!$A$3:$A$5001,AC$3,BD!$B$3:$B$5001,$A$26,BD!$S$3:$S$5001,"&lt;&gt;")=0,"",SUMIFS(BD!$S$3:$S$5001,BD!$A$3:$A$5001,AC$3,BD!$B$3:$B$5001,$A$26)))</f>
        <v/>
      </c>
      <c r="AD37" s="232" t="str">
        <f>IF(AD$3="","",IF(COUNTIFS(BD!$A$3:$A$5001,AD$3,BD!$B$3:$B$5001,$A$26,BD!$S$3:$S$5001,"&lt;&gt;")=0,"",SUMIFS(BD!$S$3:$S$5001,BD!$A$3:$A$5001,AD$3,BD!$B$3:$B$5001,$A$26)))</f>
        <v/>
      </c>
      <c r="AE37" s="232" t="str">
        <f>IF(AE$3="","",IF(COUNTIFS(BD!$A$3:$A$5001,AE$3,BD!$B$3:$B$5001,$A$26,BD!$S$3:$S$5001,"&lt;&gt;")=0,"",SUMIFS(BD!$S$3:$S$5001,BD!$A$3:$A$5001,AE$3,BD!$B$3:$B$5001,$A$26)))</f>
        <v/>
      </c>
      <c r="AF37" s="232" t="str">
        <f>IF(AF$3="","",IF(COUNTIFS(BD!$A$3:$A$5001,AF$3,BD!$B$3:$B$5001,$A$26,BD!$S$3:$S$5001,"&lt;&gt;")=0,"",SUMIFS(BD!$S$3:$S$5001,BD!$A$3:$A$5001,AF$3,BD!$B$3:$B$5001,$A$26)))</f>
        <v/>
      </c>
      <c r="AG37" s="232" t="str">
        <f>IF(AG$3="","",IF(COUNTIFS(BD!$A$3:$A$5001,AG$3,BD!$B$3:$B$5001,$A$26,BD!$S$3:$S$5001,"&lt;&gt;")=0,"",SUMIFS(BD!$S$3:$S$5001,BD!$A$3:$A$5001,AG$3,BD!$B$3:$B$5001,$A$26)))</f>
        <v/>
      </c>
      <c r="AH37" s="232" t="str">
        <f>IF(AH$3="","",IF(COUNTIFS(BD!$A$3:$A$5001,AH$3,BD!$B$3:$B$5001,$A$26,BD!$S$3:$S$5001,"&lt;&gt;")=0,"",SUMIFS(BD!$S$3:$S$5001,BD!$A$3:$A$5001,AH$3,BD!$B$3:$B$5001,$A$26)))</f>
        <v/>
      </c>
      <c r="AI37" s="232" t="str">
        <f>IF(AI$3="","",IF(COUNTIFS(BD!$A$3:$A$5001,AI$3,BD!$B$3:$B$5001,$A$26,BD!$S$3:$S$5001,"&lt;&gt;")=0,"",SUMIFS(BD!$S$3:$S$5001,BD!$A$3:$A$5001,AI$3,BD!$B$3:$B$5001,$A$26)))</f>
        <v/>
      </c>
      <c r="AJ37" s="233" t="str">
        <f>IF(AJ$3="","",IF(COUNTIFS(BD!$A$3:$A$5001,AJ$3,BD!$B$3:$B$5001,$A$26,BD!$S$3:$S$5001,"&lt;&gt;")=0,"",SUMIFS(BD!$S$3:$S$5001,BD!$A$3:$A$5001,AJ$3,BD!$B$3:$B$5001,$A$26)))</f>
        <v/>
      </c>
      <c r="AK37" s="234" t="str">
        <f>IF(COUNT(F37:AJ37)=0,"",SUM(F37:AJ37))</f>
        <v/>
      </c>
    </row>
    <row r="38" ht="15.75" customHeight="1">
      <c r="A38" s="254"/>
      <c r="B38" s="251"/>
      <c r="C38" s="228" t="inlineStr">
        <is>
          <t xml:space="preserve">Acidentes CAF</t>
        </is>
      </c>
      <c r="D38" s="229" t="str">
        <f>IFERROR(1/(1/INDEX(BD!$Y$41:$AS$41,MATCH($A$26,BD!$Y$22:$AS$22,0))),"")</f>
        <v/>
      </c>
      <c r="E38" s="230"/>
      <c r="F38" s="231" t="str">
        <f>IF(F$3="","",IF(COUNTIFS(BD!$A$3:$A$5001,F$3,BD!$B$3:$B$5001,$A$26,BD!$T$3:$T$5001,"&lt;&gt;")=0,"",SUMIFS(BD!$T$3:$T$5001,BD!$A$3:$A$5001,F$3,BD!$B$3:$B$5001,$A$26)))</f>
        <v/>
      </c>
      <c r="G38" s="232" t="str">
        <f>IF(G$3="","",IF(COUNTIFS(BD!$A$3:$A$5001,G$3,BD!$B$3:$B$5001,$A$26,BD!$T$3:$T$5001,"&lt;&gt;")=0,"",SUMIFS(BD!$T$3:$T$5001,BD!$A$3:$A$5001,G$3,BD!$B$3:$B$5001,$A$26)))</f>
        <v/>
      </c>
      <c r="H38" s="232" t="str">
        <f>IF(H$3="","",IF(COUNTIFS(BD!$A$3:$A$5001,H$3,BD!$B$3:$B$5001,$A$26,BD!$T$3:$T$5001,"&lt;&gt;")=0,"",SUMIFS(BD!$T$3:$T$5001,BD!$A$3:$A$5001,H$3,BD!$B$3:$B$5001,$A$26)))</f>
        <v/>
      </c>
      <c r="I38" s="232" t="str">
        <f>IF(I$3="","",IF(COUNTIFS(BD!$A$3:$A$5001,I$3,BD!$B$3:$B$5001,$A$26,BD!$T$3:$T$5001,"&lt;&gt;")=0,"",SUMIFS(BD!$T$3:$T$5001,BD!$A$3:$A$5001,I$3,BD!$B$3:$B$5001,$A$26)))</f>
        <v/>
      </c>
      <c r="J38" s="232" t="str">
        <f>IF(J$3="","",IF(COUNTIFS(BD!$A$3:$A$5001,J$3,BD!$B$3:$B$5001,$A$26,BD!$T$3:$T$5001,"&lt;&gt;")=0,"",SUMIFS(BD!$T$3:$T$5001,BD!$A$3:$A$5001,J$3,BD!$B$3:$B$5001,$A$26)))</f>
        <v/>
      </c>
      <c r="K38" s="232" t="str">
        <f>IF(K$3="","",IF(COUNTIFS(BD!$A$3:$A$5001,K$3,BD!$B$3:$B$5001,$A$26,BD!$T$3:$T$5001,"&lt;&gt;")=0,"",SUMIFS(BD!$T$3:$T$5001,BD!$A$3:$A$5001,K$3,BD!$B$3:$B$5001,$A$26)))</f>
        <v/>
      </c>
      <c r="L38" s="232" t="str">
        <f>IF(L$3="","",IF(COUNTIFS(BD!$A$3:$A$5001,L$3,BD!$B$3:$B$5001,$A$26,BD!$T$3:$T$5001,"&lt;&gt;")=0,"",SUMIFS(BD!$T$3:$T$5001,BD!$A$3:$A$5001,L$3,BD!$B$3:$B$5001,$A$26)))</f>
        <v/>
      </c>
      <c r="M38" s="232" t="str">
        <f>IF(M$3="","",IF(COUNTIFS(BD!$A$3:$A$5001,M$3,BD!$B$3:$B$5001,$A$26,BD!$T$3:$T$5001,"&lt;&gt;")=0,"",SUMIFS(BD!$T$3:$T$5001,BD!$A$3:$A$5001,M$3,BD!$B$3:$B$5001,$A$26)))</f>
        <v/>
      </c>
      <c r="N38" s="232" t="str">
        <f>IF(N$3="","",IF(COUNTIFS(BD!$A$3:$A$5001,N$3,BD!$B$3:$B$5001,$A$26,BD!$T$3:$T$5001,"&lt;&gt;")=0,"",SUMIFS(BD!$T$3:$T$5001,BD!$A$3:$A$5001,N$3,BD!$B$3:$B$5001,$A$26)))</f>
        <v/>
      </c>
      <c r="O38" s="232" t="str">
        <f>IF(O$3="","",IF(COUNTIFS(BD!$A$3:$A$5001,O$3,BD!$B$3:$B$5001,$A$26,BD!$T$3:$T$5001,"&lt;&gt;")=0,"",SUMIFS(BD!$T$3:$T$5001,BD!$A$3:$A$5001,O$3,BD!$B$3:$B$5001,$A$26)))</f>
        <v/>
      </c>
      <c r="P38" s="232" t="str">
        <f>IF(P$3="","",IF(COUNTIFS(BD!$A$3:$A$5001,P$3,BD!$B$3:$B$5001,$A$26,BD!$T$3:$T$5001,"&lt;&gt;")=0,"",SUMIFS(BD!$T$3:$T$5001,BD!$A$3:$A$5001,P$3,BD!$B$3:$B$5001,$A$26)))</f>
        <v/>
      </c>
      <c r="Q38" s="232" t="str">
        <f>IF(Q$3="","",IF(COUNTIFS(BD!$A$3:$A$5001,Q$3,BD!$B$3:$B$5001,$A$26,BD!$T$3:$T$5001,"&lt;&gt;")=0,"",SUMIFS(BD!$T$3:$T$5001,BD!$A$3:$A$5001,Q$3,BD!$B$3:$B$5001,$A$26)))</f>
        <v/>
      </c>
      <c r="R38" s="232" t="str">
        <f>IF(R$3="","",IF(COUNTIFS(BD!$A$3:$A$5001,R$3,BD!$B$3:$B$5001,$A$26,BD!$T$3:$T$5001,"&lt;&gt;")=0,"",SUMIFS(BD!$T$3:$T$5001,BD!$A$3:$A$5001,R$3,BD!$B$3:$B$5001,$A$26)))</f>
        <v/>
      </c>
      <c r="S38" s="232" t="str">
        <f>IF(S$3="","",IF(COUNTIFS(BD!$A$3:$A$5001,S$3,BD!$B$3:$B$5001,$A$26,BD!$T$3:$T$5001,"&lt;&gt;")=0,"",SUMIFS(BD!$T$3:$T$5001,BD!$A$3:$A$5001,S$3,BD!$B$3:$B$5001,$A$26)))</f>
        <v/>
      </c>
      <c r="T38" s="232" t="str">
        <f>IF(T$3="","",IF(COUNTIFS(BD!$A$3:$A$5001,T$3,BD!$B$3:$B$5001,$A$26,BD!$T$3:$T$5001,"&lt;&gt;")=0,"",SUMIFS(BD!$T$3:$T$5001,BD!$A$3:$A$5001,T$3,BD!$B$3:$B$5001,$A$26)))</f>
        <v/>
      </c>
      <c r="U38" s="232" t="str">
        <f>IF(U$3="","",IF(COUNTIFS(BD!$A$3:$A$5001,U$3,BD!$B$3:$B$5001,$A$26,BD!$T$3:$T$5001,"&lt;&gt;")=0,"",SUMIFS(BD!$T$3:$T$5001,BD!$A$3:$A$5001,U$3,BD!$B$3:$B$5001,$A$26)))</f>
        <v/>
      </c>
      <c r="V38" s="232" t="str">
        <f>IF(V$3="","",IF(COUNTIFS(BD!$A$3:$A$5001,V$3,BD!$B$3:$B$5001,$A$26,BD!$T$3:$T$5001,"&lt;&gt;")=0,"",SUMIFS(BD!$T$3:$T$5001,BD!$A$3:$A$5001,V$3,BD!$B$3:$B$5001,$A$26)))</f>
        <v/>
      </c>
      <c r="W38" s="232" t="str">
        <f>IF(W$3="","",IF(COUNTIFS(BD!$A$3:$A$5001,W$3,BD!$B$3:$B$5001,$A$26,BD!$T$3:$T$5001,"&lt;&gt;")=0,"",SUMIFS(BD!$T$3:$T$5001,BD!$A$3:$A$5001,W$3,BD!$B$3:$B$5001,$A$26)))</f>
        <v/>
      </c>
      <c r="X38" s="232" t="str">
        <f>IF(X$3="","",IF(COUNTIFS(BD!$A$3:$A$5001,X$3,BD!$B$3:$B$5001,$A$26,BD!$T$3:$T$5001,"&lt;&gt;")=0,"",SUMIFS(BD!$T$3:$T$5001,BD!$A$3:$A$5001,X$3,BD!$B$3:$B$5001,$A$26)))</f>
        <v/>
      </c>
      <c r="Y38" s="232" t="str">
        <f>IF(Y$3="","",IF(COUNTIFS(BD!$A$3:$A$5001,Y$3,BD!$B$3:$B$5001,$A$26,BD!$T$3:$T$5001,"&lt;&gt;")=0,"",SUMIFS(BD!$T$3:$T$5001,BD!$A$3:$A$5001,Y$3,BD!$B$3:$B$5001,$A$26)))</f>
        <v/>
      </c>
      <c r="Z38" s="232" t="str">
        <f>IF(Z$3="","",IF(COUNTIFS(BD!$A$3:$A$5001,Z$3,BD!$B$3:$B$5001,$A$26,BD!$T$3:$T$5001,"&lt;&gt;")=0,"",SUMIFS(BD!$T$3:$T$5001,BD!$A$3:$A$5001,Z$3,BD!$B$3:$B$5001,$A$26)))</f>
        <v/>
      </c>
      <c r="AA38" s="232" t="str">
        <f>IF(AA$3="","",IF(COUNTIFS(BD!$A$3:$A$5001,AA$3,BD!$B$3:$B$5001,$A$26,BD!$T$3:$T$5001,"&lt;&gt;")=0,"",SUMIFS(BD!$T$3:$T$5001,BD!$A$3:$A$5001,AA$3,BD!$B$3:$B$5001,$A$26)))</f>
        <v/>
      </c>
      <c r="AB38" s="232" t="str">
        <f>IF(AB$3="","",IF(COUNTIFS(BD!$A$3:$A$5001,AB$3,BD!$B$3:$B$5001,$A$26,BD!$T$3:$T$5001,"&lt;&gt;")=0,"",SUMIFS(BD!$T$3:$T$5001,BD!$A$3:$A$5001,AB$3,BD!$B$3:$B$5001,$A$26)))</f>
        <v/>
      </c>
      <c r="AC38" s="232" t="str">
        <f>IF(AC$3="","",IF(COUNTIFS(BD!$A$3:$A$5001,AC$3,BD!$B$3:$B$5001,$A$26,BD!$T$3:$T$5001,"&lt;&gt;")=0,"",SUMIFS(BD!$T$3:$T$5001,BD!$A$3:$A$5001,AC$3,BD!$B$3:$B$5001,$A$26)))</f>
        <v/>
      </c>
      <c r="AD38" s="232" t="str">
        <f>IF(AD$3="","",IF(COUNTIFS(BD!$A$3:$A$5001,AD$3,BD!$B$3:$B$5001,$A$26,BD!$T$3:$T$5001,"&lt;&gt;")=0,"",SUMIFS(BD!$T$3:$T$5001,BD!$A$3:$A$5001,AD$3,BD!$B$3:$B$5001,$A$26)))</f>
        <v/>
      </c>
      <c r="AE38" s="232" t="str">
        <f>IF(AE$3="","",IF(COUNTIFS(BD!$A$3:$A$5001,AE$3,BD!$B$3:$B$5001,$A$26,BD!$T$3:$T$5001,"&lt;&gt;")=0,"",SUMIFS(BD!$T$3:$T$5001,BD!$A$3:$A$5001,AE$3,BD!$B$3:$B$5001,$A$26)))</f>
        <v/>
      </c>
      <c r="AF38" s="232" t="str">
        <f>IF(AF$3="","",IF(COUNTIFS(BD!$A$3:$A$5001,AF$3,BD!$B$3:$B$5001,$A$26,BD!$T$3:$T$5001,"&lt;&gt;")=0,"",SUMIFS(BD!$T$3:$T$5001,BD!$A$3:$A$5001,AF$3,BD!$B$3:$B$5001,$A$26)))</f>
        <v/>
      </c>
      <c r="AG38" s="232" t="str">
        <f>IF(AG$3="","",IF(COUNTIFS(BD!$A$3:$A$5001,AG$3,BD!$B$3:$B$5001,$A$26,BD!$T$3:$T$5001,"&lt;&gt;")=0,"",SUMIFS(BD!$T$3:$T$5001,BD!$A$3:$A$5001,AG$3,BD!$B$3:$B$5001,$A$26)))</f>
        <v/>
      </c>
      <c r="AH38" s="232" t="str">
        <f>IF(AH$3="","",IF(COUNTIFS(BD!$A$3:$A$5001,AH$3,BD!$B$3:$B$5001,$A$26,BD!$T$3:$T$5001,"&lt;&gt;")=0,"",SUMIFS(BD!$T$3:$T$5001,BD!$A$3:$A$5001,AH$3,BD!$B$3:$B$5001,$A$26)))</f>
        <v/>
      </c>
      <c r="AI38" s="232" t="str">
        <f>IF(AI$3="","",IF(COUNTIFS(BD!$A$3:$A$5001,AI$3,BD!$B$3:$B$5001,$A$26,BD!$T$3:$T$5001,"&lt;&gt;")=0,"",SUMIFS(BD!$T$3:$T$5001,BD!$A$3:$A$5001,AI$3,BD!$B$3:$B$5001,$A$26)))</f>
        <v/>
      </c>
      <c r="AJ38" s="233" t="str">
        <f>IF(AJ$3="","",IF(COUNTIFS(BD!$A$3:$A$5001,AJ$3,BD!$B$3:$B$5001,$A$26,BD!$T$3:$T$5001,"&lt;&gt;")=0,"",SUMIFS(BD!$T$3:$T$5001,BD!$A$3:$A$5001,AJ$3,BD!$B$3:$B$5001,$A$26)))</f>
        <v/>
      </c>
      <c r="AK38" s="234" t="str">
        <f>IF(COUNT(F38:AJ38)=0,"",SUM(F38:AJ38))</f>
        <v/>
      </c>
    </row>
    <row r="39" ht="15.75" customHeight="1">
      <c r="A39" s="255"/>
      <c r="B39" s="252"/>
      <c r="C39" s="235" t="inlineStr">
        <is>
          <t xml:space="preserve">Acidentes SAF</t>
        </is>
      </c>
      <c r="D39" s="236" t="str">
        <f>IFERROR(1/(1/INDEX(BD!$Y$42:$AS$42,MATCH($A$26,BD!$Y$22:$AS$22,0))),"")</f>
        <v/>
      </c>
      <c r="E39" s="237"/>
      <c r="F39" s="238" t="str">
        <f>IF(F$3="","",IF(COUNTIFS(BD!$A$3:$A$5001,F$3,BD!$B$3:$B$5001,$A$26,BD!$U$3:$U$5001,"&lt;&gt;")=0,"",SUMIFS(BD!$U$3:$U$5001,BD!$A$3:$A$5001,F$3,BD!$B$3:$B$5001,$A$26)))</f>
        <v/>
      </c>
      <c r="G39" s="239" t="str">
        <f>IF(G$3="","",IF(COUNTIFS(BD!$A$3:$A$5001,G$3,BD!$B$3:$B$5001,$A$26,BD!$U$3:$U$5001,"&lt;&gt;")=0,"",SUMIFS(BD!$U$3:$U$5001,BD!$A$3:$A$5001,G$3,BD!$B$3:$B$5001,$A$26)))</f>
        <v/>
      </c>
      <c r="H39" s="239" t="str">
        <f>IF(H$3="","",IF(COUNTIFS(BD!$A$3:$A$5001,H$3,BD!$B$3:$B$5001,$A$26,BD!$U$3:$U$5001,"&lt;&gt;")=0,"",SUMIFS(BD!$U$3:$U$5001,BD!$A$3:$A$5001,H$3,BD!$B$3:$B$5001,$A$26)))</f>
        <v/>
      </c>
      <c r="I39" s="239" t="str">
        <f>IF(I$3="","",IF(COUNTIFS(BD!$A$3:$A$5001,I$3,BD!$B$3:$B$5001,$A$26,BD!$U$3:$U$5001,"&lt;&gt;")=0,"",SUMIFS(BD!$U$3:$U$5001,BD!$A$3:$A$5001,I$3,BD!$B$3:$B$5001,$A$26)))</f>
        <v/>
      </c>
      <c r="J39" s="239" t="str">
        <f>IF(J$3="","",IF(COUNTIFS(BD!$A$3:$A$5001,J$3,BD!$B$3:$B$5001,$A$26,BD!$U$3:$U$5001,"&lt;&gt;")=0,"",SUMIFS(BD!$U$3:$U$5001,BD!$A$3:$A$5001,J$3,BD!$B$3:$B$5001,$A$26)))</f>
        <v/>
      </c>
      <c r="K39" s="239" t="str">
        <f>IF(K$3="","",IF(COUNTIFS(BD!$A$3:$A$5001,K$3,BD!$B$3:$B$5001,$A$26,BD!$U$3:$U$5001,"&lt;&gt;")=0,"",SUMIFS(BD!$U$3:$U$5001,BD!$A$3:$A$5001,K$3,BD!$B$3:$B$5001,$A$26)))</f>
        <v/>
      </c>
      <c r="L39" s="239" t="str">
        <f>IF(L$3="","",IF(COUNTIFS(BD!$A$3:$A$5001,L$3,BD!$B$3:$B$5001,$A$26,BD!$U$3:$U$5001,"&lt;&gt;")=0,"",SUMIFS(BD!$U$3:$U$5001,BD!$A$3:$A$5001,L$3,BD!$B$3:$B$5001,$A$26)))</f>
        <v/>
      </c>
      <c r="M39" s="239" t="str">
        <f>IF(M$3="","",IF(COUNTIFS(BD!$A$3:$A$5001,M$3,BD!$B$3:$B$5001,$A$26,BD!$U$3:$U$5001,"&lt;&gt;")=0,"",SUMIFS(BD!$U$3:$U$5001,BD!$A$3:$A$5001,M$3,BD!$B$3:$B$5001,$A$26)))</f>
        <v/>
      </c>
      <c r="N39" s="239" t="str">
        <f>IF(N$3="","",IF(COUNTIFS(BD!$A$3:$A$5001,N$3,BD!$B$3:$B$5001,$A$26,BD!$U$3:$U$5001,"&lt;&gt;")=0,"",SUMIFS(BD!$U$3:$U$5001,BD!$A$3:$A$5001,N$3,BD!$B$3:$B$5001,$A$26)))</f>
        <v/>
      </c>
      <c r="O39" s="239" t="str">
        <f>IF(O$3="","",IF(COUNTIFS(BD!$A$3:$A$5001,O$3,BD!$B$3:$B$5001,$A$26,BD!$U$3:$U$5001,"&lt;&gt;")=0,"",SUMIFS(BD!$U$3:$U$5001,BD!$A$3:$A$5001,O$3,BD!$B$3:$B$5001,$A$26)))</f>
        <v/>
      </c>
      <c r="P39" s="239" t="str">
        <f>IF(P$3="","",IF(COUNTIFS(BD!$A$3:$A$5001,P$3,BD!$B$3:$B$5001,$A$26,BD!$U$3:$U$5001,"&lt;&gt;")=0,"",SUMIFS(BD!$U$3:$U$5001,BD!$A$3:$A$5001,P$3,BD!$B$3:$B$5001,$A$26)))</f>
        <v/>
      </c>
      <c r="Q39" s="239" t="str">
        <f>IF(Q$3="","",IF(COUNTIFS(BD!$A$3:$A$5001,Q$3,BD!$B$3:$B$5001,$A$26,BD!$U$3:$U$5001,"&lt;&gt;")=0,"",SUMIFS(BD!$U$3:$U$5001,BD!$A$3:$A$5001,Q$3,BD!$B$3:$B$5001,$A$26)))</f>
        <v/>
      </c>
      <c r="R39" s="239" t="str">
        <f>IF(R$3="","",IF(COUNTIFS(BD!$A$3:$A$5001,R$3,BD!$B$3:$B$5001,$A$26,BD!$U$3:$U$5001,"&lt;&gt;")=0,"",SUMIFS(BD!$U$3:$U$5001,BD!$A$3:$A$5001,R$3,BD!$B$3:$B$5001,$A$26)))</f>
        <v/>
      </c>
      <c r="S39" s="239" t="str">
        <f>IF(S$3="","",IF(COUNTIFS(BD!$A$3:$A$5001,S$3,BD!$B$3:$B$5001,$A$26,BD!$U$3:$U$5001,"&lt;&gt;")=0,"",SUMIFS(BD!$U$3:$U$5001,BD!$A$3:$A$5001,S$3,BD!$B$3:$B$5001,$A$26)))</f>
        <v/>
      </c>
      <c r="T39" s="239" t="str">
        <f>IF(T$3="","",IF(COUNTIFS(BD!$A$3:$A$5001,T$3,BD!$B$3:$B$5001,$A$26,BD!$U$3:$U$5001,"&lt;&gt;")=0,"",SUMIFS(BD!$U$3:$U$5001,BD!$A$3:$A$5001,T$3,BD!$B$3:$B$5001,$A$26)))</f>
        <v/>
      </c>
      <c r="U39" s="239" t="str">
        <f>IF(U$3="","",IF(COUNTIFS(BD!$A$3:$A$5001,U$3,BD!$B$3:$B$5001,$A$26,BD!$U$3:$U$5001,"&lt;&gt;")=0,"",SUMIFS(BD!$U$3:$U$5001,BD!$A$3:$A$5001,U$3,BD!$B$3:$B$5001,$A$26)))</f>
        <v/>
      </c>
      <c r="V39" s="239" t="str">
        <f>IF(V$3="","",IF(COUNTIFS(BD!$A$3:$A$5001,V$3,BD!$B$3:$B$5001,$A$26,BD!$U$3:$U$5001,"&lt;&gt;")=0,"",SUMIFS(BD!$U$3:$U$5001,BD!$A$3:$A$5001,V$3,BD!$B$3:$B$5001,$A$26)))</f>
        <v/>
      </c>
      <c r="W39" s="239" t="str">
        <f>IF(W$3="","",IF(COUNTIFS(BD!$A$3:$A$5001,W$3,BD!$B$3:$B$5001,$A$26,BD!$U$3:$U$5001,"&lt;&gt;")=0,"",SUMIFS(BD!$U$3:$U$5001,BD!$A$3:$A$5001,W$3,BD!$B$3:$B$5001,$A$26)))</f>
        <v/>
      </c>
      <c r="X39" s="239" t="str">
        <f>IF(X$3="","",IF(COUNTIFS(BD!$A$3:$A$5001,X$3,BD!$B$3:$B$5001,$A$26,BD!$U$3:$U$5001,"&lt;&gt;")=0,"",SUMIFS(BD!$U$3:$U$5001,BD!$A$3:$A$5001,X$3,BD!$B$3:$B$5001,$A$26)))</f>
        <v/>
      </c>
      <c r="Y39" s="239" t="str">
        <f>IF(Y$3="","",IF(COUNTIFS(BD!$A$3:$A$5001,Y$3,BD!$B$3:$B$5001,$A$26,BD!$U$3:$U$5001,"&lt;&gt;")=0,"",SUMIFS(BD!$U$3:$U$5001,BD!$A$3:$A$5001,Y$3,BD!$B$3:$B$5001,$A$26)))</f>
        <v/>
      </c>
      <c r="Z39" s="239" t="str">
        <f>IF(Z$3="","",IF(COUNTIFS(BD!$A$3:$A$5001,Z$3,BD!$B$3:$B$5001,$A$26,BD!$U$3:$U$5001,"&lt;&gt;")=0,"",SUMIFS(BD!$U$3:$U$5001,BD!$A$3:$A$5001,Z$3,BD!$B$3:$B$5001,$A$26)))</f>
        <v/>
      </c>
      <c r="AA39" s="239" t="str">
        <f>IF(AA$3="","",IF(COUNTIFS(BD!$A$3:$A$5001,AA$3,BD!$B$3:$B$5001,$A$26,BD!$U$3:$U$5001,"&lt;&gt;")=0,"",SUMIFS(BD!$U$3:$U$5001,BD!$A$3:$A$5001,AA$3,BD!$B$3:$B$5001,$A$26)))</f>
        <v/>
      </c>
      <c r="AB39" s="239" t="str">
        <f>IF(AB$3="","",IF(COUNTIFS(BD!$A$3:$A$5001,AB$3,BD!$B$3:$B$5001,$A$26,BD!$U$3:$U$5001,"&lt;&gt;")=0,"",SUMIFS(BD!$U$3:$U$5001,BD!$A$3:$A$5001,AB$3,BD!$B$3:$B$5001,$A$26)))</f>
        <v/>
      </c>
      <c r="AC39" s="239" t="str">
        <f>IF(AC$3="","",IF(COUNTIFS(BD!$A$3:$A$5001,AC$3,BD!$B$3:$B$5001,$A$26,BD!$U$3:$U$5001,"&lt;&gt;")=0,"",SUMIFS(BD!$U$3:$U$5001,BD!$A$3:$A$5001,AC$3,BD!$B$3:$B$5001,$A$26)))</f>
        <v/>
      </c>
      <c r="AD39" s="239" t="str">
        <f>IF(AD$3="","",IF(COUNTIFS(BD!$A$3:$A$5001,AD$3,BD!$B$3:$B$5001,$A$26,BD!$U$3:$U$5001,"&lt;&gt;")=0,"",SUMIFS(BD!$U$3:$U$5001,BD!$A$3:$A$5001,AD$3,BD!$B$3:$B$5001,$A$26)))</f>
        <v/>
      </c>
      <c r="AE39" s="239" t="str">
        <f>IF(AE$3="","",IF(COUNTIFS(BD!$A$3:$A$5001,AE$3,BD!$B$3:$B$5001,$A$26,BD!$U$3:$U$5001,"&lt;&gt;")=0,"",SUMIFS(BD!$U$3:$U$5001,BD!$A$3:$A$5001,AE$3,BD!$B$3:$B$5001,$A$26)))</f>
        <v/>
      </c>
      <c r="AF39" s="239" t="str">
        <f>IF(AF$3="","",IF(COUNTIFS(BD!$A$3:$A$5001,AF$3,BD!$B$3:$B$5001,$A$26,BD!$U$3:$U$5001,"&lt;&gt;")=0,"",SUMIFS(BD!$U$3:$U$5001,BD!$A$3:$A$5001,AF$3,BD!$B$3:$B$5001,$A$26)))</f>
        <v/>
      </c>
      <c r="AG39" s="239" t="str">
        <f>IF(AG$3="","",IF(COUNTIFS(BD!$A$3:$A$5001,AG$3,BD!$B$3:$B$5001,$A$26,BD!$U$3:$U$5001,"&lt;&gt;")=0,"",SUMIFS(BD!$U$3:$U$5001,BD!$A$3:$A$5001,AG$3,BD!$B$3:$B$5001,$A$26)))</f>
        <v/>
      </c>
      <c r="AH39" s="239" t="str">
        <f>IF(AH$3="","",IF(COUNTIFS(BD!$A$3:$A$5001,AH$3,BD!$B$3:$B$5001,$A$26,BD!$U$3:$U$5001,"&lt;&gt;")=0,"",SUMIFS(BD!$U$3:$U$5001,BD!$A$3:$A$5001,AH$3,BD!$B$3:$B$5001,$A$26)))</f>
        <v/>
      </c>
      <c r="AI39" s="239" t="str">
        <f>IF(AI$3="","",IF(COUNTIFS(BD!$A$3:$A$5001,AI$3,BD!$B$3:$B$5001,$A$26,BD!$U$3:$U$5001,"&lt;&gt;")=0,"",SUMIFS(BD!$U$3:$U$5001,BD!$A$3:$A$5001,AI$3,BD!$B$3:$B$5001,$A$26)))</f>
        <v/>
      </c>
      <c r="AJ39" s="240" t="str">
        <f>IF(AJ$3="","",IF(COUNTIFS(BD!$A$3:$A$5001,AJ$3,BD!$B$3:$B$5001,$A$26,BD!$U$3:$U$5001,"&lt;&gt;")=0,"",SUMIFS(BD!$U$3:$U$5001,BD!$A$3:$A$5001,AJ$3,BD!$B$3:$B$5001,$A$26)))</f>
        <v/>
      </c>
      <c r="AK39" s="236" t="str">
        <f>IF(COUNT(F39:AJ39)=0,"",SUM(F39:AJ39))</f>
        <v/>
      </c>
    </row>
    <row r="41" ht="15.75" customHeight="1">
      <c r="A41" s="253" t="inlineStr">
        <is>
          <t xml:space="preserve">Mondelez</t>
        </is>
      </c>
      <c r="B41" s="241" t="inlineStr">
        <is>
          <t xml:space="preserve">IN</t>
        </is>
      </c>
      <c r="C41" s="155" t="inlineStr">
        <is>
          <t xml:space="preserve">Veículos Recebidos</t>
        </is>
      </c>
      <c r="D41" s="156" t="str">
        <f>IFERROR(1/(1/INDEX(BD!$Y$23:$AS$23,MATCH($A$41,BD!$Y$22:$AS$22,0))),"")</f>
        <v/>
      </c>
      <c r="E41" s="157"/>
      <c r="F41" s="158" t="str">
        <f>IF(F$3="","",IF(COUNTIFS(BD!$A$3:$A$5001,F$3,BD!$B$3:$B$5001,$A$41,BD!$C$3:$C$5001,"&lt;&gt;")=0,"",SUMIFS(BD!$C$3:$C$5001,BD!$A$3:$A$5001,F$3,BD!$B$3:$B$5001,$A$41)))</f>
        <v/>
      </c>
      <c r="G41" s="159" t="str">
        <f>IF(G$3="","",IF(COUNTIFS(BD!$A$3:$A$5001,G$3,BD!$B$3:$B$5001,$A$41,BD!$C$3:$C$5001,"&lt;&gt;")=0,"",SUMIFS(BD!$C$3:$C$5001,BD!$A$3:$A$5001,G$3,BD!$B$3:$B$5001,$A$41)))</f>
        <v/>
      </c>
      <c r="H41" s="159" t="str">
        <f>IF(H$3="","",IF(COUNTIFS(BD!$A$3:$A$5001,H$3,BD!$B$3:$B$5001,$A$41,BD!$C$3:$C$5001,"&lt;&gt;")=0,"",SUMIFS(BD!$C$3:$C$5001,BD!$A$3:$A$5001,H$3,BD!$B$3:$B$5001,$A$41)))</f>
        <v/>
      </c>
      <c r="I41" s="159" t="str">
        <f>IF(I$3="","",IF(COUNTIFS(BD!$A$3:$A$5001,I$3,BD!$B$3:$B$5001,$A$41,BD!$C$3:$C$5001,"&lt;&gt;")=0,"",SUMIFS(BD!$C$3:$C$5001,BD!$A$3:$A$5001,I$3,BD!$B$3:$B$5001,$A$41)))</f>
        <v/>
      </c>
      <c r="J41" s="159" t="str">
        <f>IF(J$3="","",IF(COUNTIFS(BD!$A$3:$A$5001,J$3,BD!$B$3:$B$5001,$A$41,BD!$C$3:$C$5001,"&lt;&gt;")=0,"",SUMIFS(BD!$C$3:$C$5001,BD!$A$3:$A$5001,J$3,BD!$B$3:$B$5001,$A$41)))</f>
        <v/>
      </c>
      <c r="K41" s="159" t="str">
        <f>IF(K$3="","",IF(COUNTIFS(BD!$A$3:$A$5001,K$3,BD!$B$3:$B$5001,$A$41,BD!$C$3:$C$5001,"&lt;&gt;")=0,"",SUMIFS(BD!$C$3:$C$5001,BD!$A$3:$A$5001,K$3,BD!$B$3:$B$5001,$A$41)))</f>
        <v/>
      </c>
      <c r="L41" s="159" t="str">
        <f>IF(L$3="","",IF(COUNTIFS(BD!$A$3:$A$5001,L$3,BD!$B$3:$B$5001,$A$41,BD!$C$3:$C$5001,"&lt;&gt;")=0,"",SUMIFS(BD!$C$3:$C$5001,BD!$A$3:$A$5001,L$3,BD!$B$3:$B$5001,$A$41)))</f>
        <v/>
      </c>
      <c r="M41" s="159" t="str">
        <f>IF(M$3="","",IF(COUNTIFS(BD!$A$3:$A$5001,M$3,BD!$B$3:$B$5001,$A$41,BD!$C$3:$C$5001,"&lt;&gt;")=0,"",SUMIFS(BD!$C$3:$C$5001,BD!$A$3:$A$5001,M$3,BD!$B$3:$B$5001,$A$41)))</f>
        <v/>
      </c>
      <c r="N41" s="159" t="str">
        <f>IF(N$3="","",IF(COUNTIFS(BD!$A$3:$A$5001,N$3,BD!$B$3:$B$5001,$A$41,BD!$C$3:$C$5001,"&lt;&gt;")=0,"",SUMIFS(BD!$C$3:$C$5001,BD!$A$3:$A$5001,N$3,BD!$B$3:$B$5001,$A$41)))</f>
        <v/>
      </c>
      <c r="O41" s="159" t="str">
        <f>IF(O$3="","",IF(COUNTIFS(BD!$A$3:$A$5001,O$3,BD!$B$3:$B$5001,$A$41,BD!$C$3:$C$5001,"&lt;&gt;")=0,"",SUMIFS(BD!$C$3:$C$5001,BD!$A$3:$A$5001,O$3,BD!$B$3:$B$5001,$A$41)))</f>
        <v/>
      </c>
      <c r="P41" s="159" t="str">
        <f>IF(P$3="","",IF(COUNTIFS(BD!$A$3:$A$5001,P$3,BD!$B$3:$B$5001,$A$41,BD!$C$3:$C$5001,"&lt;&gt;")=0,"",SUMIFS(BD!$C$3:$C$5001,BD!$A$3:$A$5001,P$3,BD!$B$3:$B$5001,$A$41)))</f>
        <v/>
      </c>
      <c r="Q41" s="159" t="str">
        <f>IF(Q$3="","",IF(COUNTIFS(BD!$A$3:$A$5001,Q$3,BD!$B$3:$B$5001,$A$41,BD!$C$3:$C$5001,"&lt;&gt;")=0,"",SUMIFS(BD!$C$3:$C$5001,BD!$A$3:$A$5001,Q$3,BD!$B$3:$B$5001,$A$41)))</f>
        <v/>
      </c>
      <c r="R41" s="159" t="str">
        <f>IF(R$3="","",IF(COUNTIFS(BD!$A$3:$A$5001,R$3,BD!$B$3:$B$5001,$A$41,BD!$C$3:$C$5001,"&lt;&gt;")=0,"",SUMIFS(BD!$C$3:$C$5001,BD!$A$3:$A$5001,R$3,BD!$B$3:$B$5001,$A$41)))</f>
        <v/>
      </c>
      <c r="S41" s="159" t="str">
        <f>IF(S$3="","",IF(COUNTIFS(BD!$A$3:$A$5001,S$3,BD!$B$3:$B$5001,$A$41,BD!$C$3:$C$5001,"&lt;&gt;")=0,"",SUMIFS(BD!$C$3:$C$5001,BD!$A$3:$A$5001,S$3,BD!$B$3:$B$5001,$A$41)))</f>
        <v/>
      </c>
      <c r="T41" s="159" t="str">
        <f>IF(T$3="","",IF(COUNTIFS(BD!$A$3:$A$5001,T$3,BD!$B$3:$B$5001,$A$41,BD!$C$3:$C$5001,"&lt;&gt;")=0,"",SUMIFS(BD!$C$3:$C$5001,BD!$A$3:$A$5001,T$3,BD!$B$3:$B$5001,$A$41)))</f>
        <v/>
      </c>
      <c r="U41" s="159" t="str">
        <f>IF(U$3="","",IF(COUNTIFS(BD!$A$3:$A$5001,U$3,BD!$B$3:$B$5001,$A$41,BD!$C$3:$C$5001,"&lt;&gt;")=0,"",SUMIFS(BD!$C$3:$C$5001,BD!$A$3:$A$5001,U$3,BD!$B$3:$B$5001,$A$41)))</f>
        <v/>
      </c>
      <c r="V41" s="159" t="str">
        <f>IF(V$3="","",IF(COUNTIFS(BD!$A$3:$A$5001,V$3,BD!$B$3:$B$5001,$A$41,BD!$C$3:$C$5001,"&lt;&gt;")=0,"",SUMIFS(BD!$C$3:$C$5001,BD!$A$3:$A$5001,V$3,BD!$B$3:$B$5001,$A$41)))</f>
        <v/>
      </c>
      <c r="W41" s="159" t="str">
        <f>IF(W$3="","",IF(COUNTIFS(BD!$A$3:$A$5001,W$3,BD!$B$3:$B$5001,$A$41,BD!$C$3:$C$5001,"&lt;&gt;")=0,"",SUMIFS(BD!$C$3:$C$5001,BD!$A$3:$A$5001,W$3,BD!$B$3:$B$5001,$A$41)))</f>
        <v/>
      </c>
      <c r="X41" s="159" t="str">
        <f>IF(X$3="","",IF(COUNTIFS(BD!$A$3:$A$5001,X$3,BD!$B$3:$B$5001,$A$41,BD!$C$3:$C$5001,"&lt;&gt;")=0,"",SUMIFS(BD!$C$3:$C$5001,BD!$A$3:$A$5001,X$3,BD!$B$3:$B$5001,$A$41)))</f>
        <v/>
      </c>
      <c r="Y41" s="159" t="str">
        <f>IF(Y$3="","",IF(COUNTIFS(BD!$A$3:$A$5001,Y$3,BD!$B$3:$B$5001,$A$41,BD!$C$3:$C$5001,"&lt;&gt;")=0,"",SUMIFS(BD!$C$3:$C$5001,BD!$A$3:$A$5001,Y$3,BD!$B$3:$B$5001,$A$41)))</f>
        <v/>
      </c>
      <c r="Z41" s="159" t="str">
        <f>IF(Z$3="","",IF(COUNTIFS(BD!$A$3:$A$5001,Z$3,BD!$B$3:$B$5001,$A$41,BD!$C$3:$C$5001,"&lt;&gt;")=0,"",SUMIFS(BD!$C$3:$C$5001,BD!$A$3:$A$5001,Z$3,BD!$B$3:$B$5001,$A$41)))</f>
        <v/>
      </c>
      <c r="AA41" s="159" t="str">
        <f>IF(AA$3="","",IF(COUNTIFS(BD!$A$3:$A$5001,AA$3,BD!$B$3:$B$5001,$A$41,BD!$C$3:$C$5001,"&lt;&gt;")=0,"",SUMIFS(BD!$C$3:$C$5001,BD!$A$3:$A$5001,AA$3,BD!$B$3:$B$5001,$A$41)))</f>
        <v/>
      </c>
      <c r="AB41" s="159" t="str">
        <f>IF(AB$3="","",IF(COUNTIFS(BD!$A$3:$A$5001,AB$3,BD!$B$3:$B$5001,$A$41,BD!$C$3:$C$5001,"&lt;&gt;")=0,"",SUMIFS(BD!$C$3:$C$5001,BD!$A$3:$A$5001,AB$3,BD!$B$3:$B$5001,$A$41)))</f>
        <v/>
      </c>
      <c r="AC41" s="159" t="str">
        <f>IF(AC$3="","",IF(COUNTIFS(BD!$A$3:$A$5001,AC$3,BD!$B$3:$B$5001,$A$41,BD!$C$3:$C$5001,"&lt;&gt;")=0,"",SUMIFS(BD!$C$3:$C$5001,BD!$A$3:$A$5001,AC$3,BD!$B$3:$B$5001,$A$41)))</f>
        <v/>
      </c>
      <c r="AD41" s="159" t="str">
        <f>IF(AD$3="","",IF(COUNTIFS(BD!$A$3:$A$5001,AD$3,BD!$B$3:$B$5001,$A$41,BD!$C$3:$C$5001,"&lt;&gt;")=0,"",SUMIFS(BD!$C$3:$C$5001,BD!$A$3:$A$5001,AD$3,BD!$B$3:$B$5001,$A$41)))</f>
        <v/>
      </c>
      <c r="AE41" s="159" t="str">
        <f>IF(AE$3="","",IF(COUNTIFS(BD!$A$3:$A$5001,AE$3,BD!$B$3:$B$5001,$A$41,BD!$C$3:$C$5001,"&lt;&gt;")=0,"",SUMIFS(BD!$C$3:$C$5001,BD!$A$3:$A$5001,AE$3,BD!$B$3:$B$5001,$A$41)))</f>
        <v/>
      </c>
      <c r="AF41" s="159" t="str">
        <f>IF(AF$3="","",IF(COUNTIFS(BD!$A$3:$A$5001,AF$3,BD!$B$3:$B$5001,$A$41,BD!$C$3:$C$5001,"&lt;&gt;")=0,"",SUMIFS(BD!$C$3:$C$5001,BD!$A$3:$A$5001,AF$3,BD!$B$3:$B$5001,$A$41)))</f>
        <v/>
      </c>
      <c r="AG41" s="159" t="str">
        <f>IF(AG$3="","",IF(COUNTIFS(BD!$A$3:$A$5001,AG$3,BD!$B$3:$B$5001,$A$41,BD!$C$3:$C$5001,"&lt;&gt;")=0,"",SUMIFS(BD!$C$3:$C$5001,BD!$A$3:$A$5001,AG$3,BD!$B$3:$B$5001,$A$41)))</f>
        <v/>
      </c>
      <c r="AH41" s="159" t="str">
        <f>IF(AH$3="","",IF(COUNTIFS(BD!$A$3:$A$5001,AH$3,BD!$B$3:$B$5001,$A$41,BD!$C$3:$C$5001,"&lt;&gt;")=0,"",SUMIFS(BD!$C$3:$C$5001,BD!$A$3:$A$5001,AH$3,BD!$B$3:$B$5001,$A$41)))</f>
        <v/>
      </c>
      <c r="AI41" s="159" t="str">
        <f>IF(AI$3="","",IF(COUNTIFS(BD!$A$3:$A$5001,AI$3,BD!$B$3:$B$5001,$A$41,BD!$C$3:$C$5001,"&lt;&gt;")=0,"",SUMIFS(BD!$C$3:$C$5001,BD!$A$3:$A$5001,AI$3,BD!$B$3:$B$5001,$A$41)))</f>
        <v/>
      </c>
      <c r="AJ41" s="160" t="str">
        <f>IF(AJ$3="","",IF(COUNTIFS(BD!$A$3:$A$5001,AJ$3,BD!$B$3:$B$5001,$A$41,BD!$C$3:$C$5001,"&lt;&gt;")=0,"",SUMIFS(BD!$C$3:$C$5001,BD!$A$3:$A$5001,AJ$3,BD!$B$3:$B$5001,$A$41)))</f>
        <v/>
      </c>
      <c r="AK41" s="161" t="str">
        <f>IF(COUNT(F41:AJ41)=0,"",SUM(F41:AJ41))</f>
        <v/>
      </c>
    </row>
    <row r="42" ht="15.75" customHeight="1">
      <c r="A42" s="254"/>
      <c r="B42" s="242"/>
      <c r="C42" s="162" t="inlineStr">
        <is>
          <t xml:space="preserve">Pallets Movimentados</t>
        </is>
      </c>
      <c r="D42" s="163" t="str">
        <f>IFERROR(1/(1/INDEX(BD!$Y$24:$AS$24,MATCH($A$41,BD!$Y$22:$AS$22,0))),"")</f>
        <v/>
      </c>
      <c r="E42" s="164"/>
      <c r="F42" s="165" t="str">
        <f>IF(F$3="","",IF(COUNTIFS(BD!$A$3:$A$5001,F$3,BD!$B$3:$B$5001,$A$41,BD!$D$3:$D$5001,"&lt;&gt;")=0,"",SUMIFS(BD!$D$3:$D$5001,BD!$A$3:$A$5001,F$3,BD!$B$3:$B$5001,$A$41)))</f>
        <v/>
      </c>
      <c r="G42" s="166" t="str">
        <f>IF(G$3="","",IF(COUNTIFS(BD!$A$3:$A$5001,G$3,BD!$B$3:$B$5001,$A$41,BD!$D$3:$D$5001,"&lt;&gt;")=0,"",SUMIFS(BD!$D$3:$D$5001,BD!$A$3:$A$5001,G$3,BD!$B$3:$B$5001,$A$41)))</f>
        <v/>
      </c>
      <c r="H42" s="166" t="str">
        <f>IF(H$3="","",IF(COUNTIFS(BD!$A$3:$A$5001,H$3,BD!$B$3:$B$5001,$A$41,BD!$D$3:$D$5001,"&lt;&gt;")=0,"",SUMIFS(BD!$D$3:$D$5001,BD!$A$3:$A$5001,H$3,BD!$B$3:$B$5001,$A$41)))</f>
        <v/>
      </c>
      <c r="I42" s="166" t="str">
        <f>IF(I$3="","",IF(COUNTIFS(BD!$A$3:$A$5001,I$3,BD!$B$3:$B$5001,$A$41,BD!$D$3:$D$5001,"&lt;&gt;")=0,"",SUMIFS(BD!$D$3:$D$5001,BD!$A$3:$A$5001,I$3,BD!$B$3:$B$5001,$A$41)))</f>
        <v/>
      </c>
      <c r="J42" s="166" t="str">
        <f>IF(J$3="","",IF(COUNTIFS(BD!$A$3:$A$5001,J$3,BD!$B$3:$B$5001,$A$41,BD!$D$3:$D$5001,"&lt;&gt;")=0,"",SUMIFS(BD!$D$3:$D$5001,BD!$A$3:$A$5001,J$3,BD!$B$3:$B$5001,$A$41)))</f>
        <v/>
      </c>
      <c r="K42" s="166" t="str">
        <f>IF(K$3="","",IF(COUNTIFS(BD!$A$3:$A$5001,K$3,BD!$B$3:$B$5001,$A$41,BD!$D$3:$D$5001,"&lt;&gt;")=0,"",SUMIFS(BD!$D$3:$D$5001,BD!$A$3:$A$5001,K$3,BD!$B$3:$B$5001,$A$41)))</f>
        <v/>
      </c>
      <c r="L42" s="166" t="str">
        <f>IF(L$3="","",IF(COUNTIFS(BD!$A$3:$A$5001,L$3,BD!$B$3:$B$5001,$A$41,BD!$D$3:$D$5001,"&lt;&gt;")=0,"",SUMIFS(BD!$D$3:$D$5001,BD!$A$3:$A$5001,L$3,BD!$B$3:$B$5001,$A$41)))</f>
        <v/>
      </c>
      <c r="M42" s="166" t="str">
        <f>IF(M$3="","",IF(COUNTIFS(BD!$A$3:$A$5001,M$3,BD!$B$3:$B$5001,$A$41,BD!$D$3:$D$5001,"&lt;&gt;")=0,"",SUMIFS(BD!$D$3:$D$5001,BD!$A$3:$A$5001,M$3,BD!$B$3:$B$5001,$A$41)))</f>
        <v/>
      </c>
      <c r="N42" s="166" t="str">
        <f>IF(N$3="","",IF(COUNTIFS(BD!$A$3:$A$5001,N$3,BD!$B$3:$B$5001,$A$41,BD!$D$3:$D$5001,"&lt;&gt;")=0,"",SUMIFS(BD!$D$3:$D$5001,BD!$A$3:$A$5001,N$3,BD!$B$3:$B$5001,$A$41)))</f>
        <v/>
      </c>
      <c r="O42" s="166" t="str">
        <f>IF(O$3="","",IF(COUNTIFS(BD!$A$3:$A$5001,O$3,BD!$B$3:$B$5001,$A$41,BD!$D$3:$D$5001,"&lt;&gt;")=0,"",SUMIFS(BD!$D$3:$D$5001,BD!$A$3:$A$5001,O$3,BD!$B$3:$B$5001,$A$41)))</f>
        <v/>
      </c>
      <c r="P42" s="166" t="str">
        <f>IF(P$3="","",IF(COUNTIFS(BD!$A$3:$A$5001,P$3,BD!$B$3:$B$5001,$A$41,BD!$D$3:$D$5001,"&lt;&gt;")=0,"",SUMIFS(BD!$D$3:$D$5001,BD!$A$3:$A$5001,P$3,BD!$B$3:$B$5001,$A$41)))</f>
        <v/>
      </c>
      <c r="Q42" s="166" t="str">
        <f>IF(Q$3="","",IF(COUNTIFS(BD!$A$3:$A$5001,Q$3,BD!$B$3:$B$5001,$A$41,BD!$D$3:$D$5001,"&lt;&gt;")=0,"",SUMIFS(BD!$D$3:$D$5001,BD!$A$3:$A$5001,Q$3,BD!$B$3:$B$5001,$A$41)))</f>
        <v/>
      </c>
      <c r="R42" s="166" t="str">
        <f>IF(R$3="","",IF(COUNTIFS(BD!$A$3:$A$5001,R$3,BD!$B$3:$B$5001,$A$41,BD!$D$3:$D$5001,"&lt;&gt;")=0,"",SUMIFS(BD!$D$3:$D$5001,BD!$A$3:$A$5001,R$3,BD!$B$3:$B$5001,$A$41)))</f>
        <v/>
      </c>
      <c r="S42" s="166" t="str">
        <f>IF(S$3="","",IF(COUNTIFS(BD!$A$3:$A$5001,S$3,BD!$B$3:$B$5001,$A$41,BD!$D$3:$D$5001,"&lt;&gt;")=0,"",SUMIFS(BD!$D$3:$D$5001,BD!$A$3:$A$5001,S$3,BD!$B$3:$B$5001,$A$41)))</f>
        <v/>
      </c>
      <c r="T42" s="166" t="str">
        <f>IF(T$3="","",IF(COUNTIFS(BD!$A$3:$A$5001,T$3,BD!$B$3:$B$5001,$A$41,BD!$D$3:$D$5001,"&lt;&gt;")=0,"",SUMIFS(BD!$D$3:$D$5001,BD!$A$3:$A$5001,T$3,BD!$B$3:$B$5001,$A$41)))</f>
        <v/>
      </c>
      <c r="U42" s="166" t="str">
        <f>IF(U$3="","",IF(COUNTIFS(BD!$A$3:$A$5001,U$3,BD!$B$3:$B$5001,$A$41,BD!$D$3:$D$5001,"&lt;&gt;")=0,"",SUMIFS(BD!$D$3:$D$5001,BD!$A$3:$A$5001,U$3,BD!$B$3:$B$5001,$A$41)))</f>
        <v/>
      </c>
      <c r="V42" s="166" t="str">
        <f>IF(V$3="","",IF(COUNTIFS(BD!$A$3:$A$5001,V$3,BD!$B$3:$B$5001,$A$41,BD!$D$3:$D$5001,"&lt;&gt;")=0,"",SUMIFS(BD!$D$3:$D$5001,BD!$A$3:$A$5001,V$3,BD!$B$3:$B$5001,$A$41)))</f>
        <v/>
      </c>
      <c r="W42" s="166" t="str">
        <f>IF(W$3="","",IF(COUNTIFS(BD!$A$3:$A$5001,W$3,BD!$B$3:$B$5001,$A$41,BD!$D$3:$D$5001,"&lt;&gt;")=0,"",SUMIFS(BD!$D$3:$D$5001,BD!$A$3:$A$5001,W$3,BD!$B$3:$B$5001,$A$41)))</f>
        <v/>
      </c>
      <c r="X42" s="166" t="str">
        <f>IF(X$3="","",IF(COUNTIFS(BD!$A$3:$A$5001,X$3,BD!$B$3:$B$5001,$A$41,BD!$D$3:$D$5001,"&lt;&gt;")=0,"",SUMIFS(BD!$D$3:$D$5001,BD!$A$3:$A$5001,X$3,BD!$B$3:$B$5001,$A$41)))</f>
        <v/>
      </c>
      <c r="Y42" s="166" t="str">
        <f>IF(Y$3="","",IF(COUNTIFS(BD!$A$3:$A$5001,Y$3,BD!$B$3:$B$5001,$A$41,BD!$D$3:$D$5001,"&lt;&gt;")=0,"",SUMIFS(BD!$D$3:$D$5001,BD!$A$3:$A$5001,Y$3,BD!$B$3:$B$5001,$A$41)))</f>
        <v/>
      </c>
      <c r="Z42" s="166" t="str">
        <f>IF(Z$3="","",IF(COUNTIFS(BD!$A$3:$A$5001,Z$3,BD!$B$3:$B$5001,$A$41,BD!$D$3:$D$5001,"&lt;&gt;")=0,"",SUMIFS(BD!$D$3:$D$5001,BD!$A$3:$A$5001,Z$3,BD!$B$3:$B$5001,$A$41)))</f>
        <v/>
      </c>
      <c r="AA42" s="166" t="str">
        <f>IF(AA$3="","",IF(COUNTIFS(BD!$A$3:$A$5001,AA$3,BD!$B$3:$B$5001,$A$41,BD!$D$3:$D$5001,"&lt;&gt;")=0,"",SUMIFS(BD!$D$3:$D$5001,BD!$A$3:$A$5001,AA$3,BD!$B$3:$B$5001,$A$41)))</f>
        <v/>
      </c>
      <c r="AB42" s="166" t="str">
        <f>IF(AB$3="","",IF(COUNTIFS(BD!$A$3:$A$5001,AB$3,BD!$B$3:$B$5001,$A$41,BD!$D$3:$D$5001,"&lt;&gt;")=0,"",SUMIFS(BD!$D$3:$D$5001,BD!$A$3:$A$5001,AB$3,BD!$B$3:$B$5001,$A$41)))</f>
        <v/>
      </c>
      <c r="AC42" s="166" t="str">
        <f>IF(AC$3="","",IF(COUNTIFS(BD!$A$3:$A$5001,AC$3,BD!$B$3:$B$5001,$A$41,BD!$D$3:$D$5001,"&lt;&gt;")=0,"",SUMIFS(BD!$D$3:$D$5001,BD!$A$3:$A$5001,AC$3,BD!$B$3:$B$5001,$A$41)))</f>
        <v/>
      </c>
      <c r="AD42" s="166" t="str">
        <f>IF(AD$3="","",IF(COUNTIFS(BD!$A$3:$A$5001,AD$3,BD!$B$3:$B$5001,$A$41,BD!$D$3:$D$5001,"&lt;&gt;")=0,"",SUMIFS(BD!$D$3:$D$5001,BD!$A$3:$A$5001,AD$3,BD!$B$3:$B$5001,$A$41)))</f>
        <v/>
      </c>
      <c r="AE42" s="166" t="str">
        <f>IF(AE$3="","",IF(COUNTIFS(BD!$A$3:$A$5001,AE$3,BD!$B$3:$B$5001,$A$41,BD!$D$3:$D$5001,"&lt;&gt;")=0,"",SUMIFS(BD!$D$3:$D$5001,BD!$A$3:$A$5001,AE$3,BD!$B$3:$B$5001,$A$41)))</f>
        <v/>
      </c>
      <c r="AF42" s="166" t="str">
        <f>IF(AF$3="","",IF(COUNTIFS(BD!$A$3:$A$5001,AF$3,BD!$B$3:$B$5001,$A$41,BD!$D$3:$D$5001,"&lt;&gt;")=0,"",SUMIFS(BD!$D$3:$D$5001,BD!$A$3:$A$5001,AF$3,BD!$B$3:$B$5001,$A$41)))</f>
        <v/>
      </c>
      <c r="AG42" s="166" t="str">
        <f>IF(AG$3="","",IF(COUNTIFS(BD!$A$3:$A$5001,AG$3,BD!$B$3:$B$5001,$A$41,BD!$D$3:$D$5001,"&lt;&gt;")=0,"",SUMIFS(BD!$D$3:$D$5001,BD!$A$3:$A$5001,AG$3,BD!$B$3:$B$5001,$A$41)))</f>
        <v/>
      </c>
      <c r="AH42" s="166" t="str">
        <f>IF(AH$3="","",IF(COUNTIFS(BD!$A$3:$A$5001,AH$3,BD!$B$3:$B$5001,$A$41,BD!$D$3:$D$5001,"&lt;&gt;")=0,"",SUMIFS(BD!$D$3:$D$5001,BD!$A$3:$A$5001,AH$3,BD!$B$3:$B$5001,$A$41)))</f>
        <v/>
      </c>
      <c r="AI42" s="166" t="str">
        <f>IF(AI$3="","",IF(COUNTIFS(BD!$A$3:$A$5001,AI$3,BD!$B$3:$B$5001,$A$41,BD!$D$3:$D$5001,"&lt;&gt;")=0,"",SUMIFS(BD!$D$3:$D$5001,BD!$A$3:$A$5001,AI$3,BD!$B$3:$B$5001,$A$41)))</f>
        <v/>
      </c>
      <c r="AJ42" s="167" t="str">
        <f>IF(AJ$3="","",IF(COUNTIFS(BD!$A$3:$A$5001,AJ$3,BD!$B$3:$B$5001,$A$41,BD!$D$3:$D$5001,"&lt;&gt;")=0,"",SUMIFS(BD!$D$3:$D$5001,BD!$A$3:$A$5001,AJ$3,BD!$B$3:$B$5001,$A$41)))</f>
        <v/>
      </c>
      <c r="AK42" s="168" t="str">
        <f>IF(COUNT(F42:AJ42)=0,"",SUM(F42:AJ42))</f>
        <v/>
      </c>
    </row>
    <row r="43" ht="15.75" customHeight="1">
      <c r="A43" s="254"/>
      <c r="B43" s="243"/>
      <c r="C43" s="169" t="inlineStr">
        <is>
          <t xml:space="preserve">Toneladas Movimentadas</t>
        </is>
      </c>
      <c r="D43" s="170" t="str">
        <f>IFERROR(1/(1/INDEX(BD!$Y$25:$AS$25,MATCH($A$41,BD!$Y$22:$AS$22,0))),"")</f>
        <v/>
      </c>
      <c r="E43" s="171"/>
      <c r="F43" s="172" t="str">
        <f>IF(F$3="","",IF(COUNTIFS(BD!$A$3:$A$5001,F$3,BD!$B$3:$B$5001,$A$41,BD!$E$3:$E$5001,"&lt;&gt;")=0,"",SUMIFS(BD!$E$3:$E$5001,BD!$A$3:$A$5001,F$3,BD!$B$3:$B$5001,$A$41)))</f>
        <v/>
      </c>
      <c r="G43" s="173" t="str">
        <f>IF(G$3="","",IF(COUNTIFS(BD!$A$3:$A$5001,G$3,BD!$B$3:$B$5001,$A$41,BD!$E$3:$E$5001,"&lt;&gt;")=0,"",SUMIFS(BD!$E$3:$E$5001,BD!$A$3:$A$5001,G$3,BD!$B$3:$B$5001,$A$41)))</f>
        <v/>
      </c>
      <c r="H43" s="173" t="str">
        <f>IF(H$3="","",IF(COUNTIFS(BD!$A$3:$A$5001,H$3,BD!$B$3:$B$5001,$A$41,BD!$E$3:$E$5001,"&lt;&gt;")=0,"",SUMIFS(BD!$E$3:$E$5001,BD!$A$3:$A$5001,H$3,BD!$B$3:$B$5001,$A$41)))</f>
        <v/>
      </c>
      <c r="I43" s="173" t="str">
        <f>IF(I$3="","",IF(COUNTIFS(BD!$A$3:$A$5001,I$3,BD!$B$3:$B$5001,$A$41,BD!$E$3:$E$5001,"&lt;&gt;")=0,"",SUMIFS(BD!$E$3:$E$5001,BD!$A$3:$A$5001,I$3,BD!$B$3:$B$5001,$A$41)))</f>
        <v/>
      </c>
      <c r="J43" s="173" t="str">
        <f>IF(J$3="","",IF(COUNTIFS(BD!$A$3:$A$5001,J$3,BD!$B$3:$B$5001,$A$41,BD!$E$3:$E$5001,"&lt;&gt;")=0,"",SUMIFS(BD!$E$3:$E$5001,BD!$A$3:$A$5001,J$3,BD!$B$3:$B$5001,$A$41)))</f>
        <v/>
      </c>
      <c r="K43" s="173" t="str">
        <f>IF(K$3="","",IF(COUNTIFS(BD!$A$3:$A$5001,K$3,BD!$B$3:$B$5001,$A$41,BD!$E$3:$E$5001,"&lt;&gt;")=0,"",SUMIFS(BD!$E$3:$E$5001,BD!$A$3:$A$5001,K$3,BD!$B$3:$B$5001,$A$41)))</f>
        <v/>
      </c>
      <c r="L43" s="173" t="str">
        <f>IF(L$3="","",IF(COUNTIFS(BD!$A$3:$A$5001,L$3,BD!$B$3:$B$5001,$A$41,BD!$E$3:$E$5001,"&lt;&gt;")=0,"",SUMIFS(BD!$E$3:$E$5001,BD!$A$3:$A$5001,L$3,BD!$B$3:$B$5001,$A$41)))</f>
        <v/>
      </c>
      <c r="M43" s="173" t="str">
        <f>IF(M$3="","",IF(COUNTIFS(BD!$A$3:$A$5001,M$3,BD!$B$3:$B$5001,$A$41,BD!$E$3:$E$5001,"&lt;&gt;")=0,"",SUMIFS(BD!$E$3:$E$5001,BD!$A$3:$A$5001,M$3,BD!$B$3:$B$5001,$A$41)))</f>
        <v/>
      </c>
      <c r="N43" s="173" t="str">
        <f>IF(N$3="","",IF(COUNTIFS(BD!$A$3:$A$5001,N$3,BD!$B$3:$B$5001,$A$41,BD!$E$3:$E$5001,"&lt;&gt;")=0,"",SUMIFS(BD!$E$3:$E$5001,BD!$A$3:$A$5001,N$3,BD!$B$3:$B$5001,$A$41)))</f>
        <v/>
      </c>
      <c r="O43" s="173" t="str">
        <f>IF(O$3="","",IF(COUNTIFS(BD!$A$3:$A$5001,O$3,BD!$B$3:$B$5001,$A$41,BD!$E$3:$E$5001,"&lt;&gt;")=0,"",SUMIFS(BD!$E$3:$E$5001,BD!$A$3:$A$5001,O$3,BD!$B$3:$B$5001,$A$41)))</f>
        <v/>
      </c>
      <c r="P43" s="173" t="str">
        <f>IF(P$3="","",IF(COUNTIFS(BD!$A$3:$A$5001,P$3,BD!$B$3:$B$5001,$A$41,BD!$E$3:$E$5001,"&lt;&gt;")=0,"",SUMIFS(BD!$E$3:$E$5001,BD!$A$3:$A$5001,P$3,BD!$B$3:$B$5001,$A$41)))</f>
        <v/>
      </c>
      <c r="Q43" s="173" t="str">
        <f>IF(Q$3="","",IF(COUNTIFS(BD!$A$3:$A$5001,Q$3,BD!$B$3:$B$5001,$A$41,BD!$E$3:$E$5001,"&lt;&gt;")=0,"",SUMIFS(BD!$E$3:$E$5001,BD!$A$3:$A$5001,Q$3,BD!$B$3:$B$5001,$A$41)))</f>
        <v/>
      </c>
      <c r="R43" s="173" t="str">
        <f>IF(R$3="","",IF(COUNTIFS(BD!$A$3:$A$5001,R$3,BD!$B$3:$B$5001,$A$41,BD!$E$3:$E$5001,"&lt;&gt;")=0,"",SUMIFS(BD!$E$3:$E$5001,BD!$A$3:$A$5001,R$3,BD!$B$3:$B$5001,$A$41)))</f>
        <v/>
      </c>
      <c r="S43" s="173" t="str">
        <f>IF(S$3="","",IF(COUNTIFS(BD!$A$3:$A$5001,S$3,BD!$B$3:$B$5001,$A$41,BD!$E$3:$E$5001,"&lt;&gt;")=0,"",SUMIFS(BD!$E$3:$E$5001,BD!$A$3:$A$5001,S$3,BD!$B$3:$B$5001,$A$41)))</f>
        <v/>
      </c>
      <c r="T43" s="173" t="str">
        <f>IF(T$3="","",IF(COUNTIFS(BD!$A$3:$A$5001,T$3,BD!$B$3:$B$5001,$A$41,BD!$E$3:$E$5001,"&lt;&gt;")=0,"",SUMIFS(BD!$E$3:$E$5001,BD!$A$3:$A$5001,T$3,BD!$B$3:$B$5001,$A$41)))</f>
        <v/>
      </c>
      <c r="U43" s="173" t="str">
        <f>IF(U$3="","",IF(COUNTIFS(BD!$A$3:$A$5001,U$3,BD!$B$3:$B$5001,$A$41,BD!$E$3:$E$5001,"&lt;&gt;")=0,"",SUMIFS(BD!$E$3:$E$5001,BD!$A$3:$A$5001,U$3,BD!$B$3:$B$5001,$A$41)))</f>
        <v/>
      </c>
      <c r="V43" s="173" t="str">
        <f>IF(V$3="","",IF(COUNTIFS(BD!$A$3:$A$5001,V$3,BD!$B$3:$B$5001,$A$41,BD!$E$3:$E$5001,"&lt;&gt;")=0,"",SUMIFS(BD!$E$3:$E$5001,BD!$A$3:$A$5001,V$3,BD!$B$3:$B$5001,$A$41)))</f>
        <v/>
      </c>
      <c r="W43" s="173" t="str">
        <f>IF(W$3="","",IF(COUNTIFS(BD!$A$3:$A$5001,W$3,BD!$B$3:$B$5001,$A$41,BD!$E$3:$E$5001,"&lt;&gt;")=0,"",SUMIFS(BD!$E$3:$E$5001,BD!$A$3:$A$5001,W$3,BD!$B$3:$B$5001,$A$41)))</f>
        <v/>
      </c>
      <c r="X43" s="173" t="str">
        <f>IF(X$3="","",IF(COUNTIFS(BD!$A$3:$A$5001,X$3,BD!$B$3:$B$5001,$A$41,BD!$E$3:$E$5001,"&lt;&gt;")=0,"",SUMIFS(BD!$E$3:$E$5001,BD!$A$3:$A$5001,X$3,BD!$B$3:$B$5001,$A$41)))</f>
        <v/>
      </c>
      <c r="Y43" s="173" t="str">
        <f>IF(Y$3="","",IF(COUNTIFS(BD!$A$3:$A$5001,Y$3,BD!$B$3:$B$5001,$A$41,BD!$E$3:$E$5001,"&lt;&gt;")=0,"",SUMIFS(BD!$E$3:$E$5001,BD!$A$3:$A$5001,Y$3,BD!$B$3:$B$5001,$A$41)))</f>
        <v/>
      </c>
      <c r="Z43" s="173" t="str">
        <f>IF(Z$3="","",IF(COUNTIFS(BD!$A$3:$A$5001,Z$3,BD!$B$3:$B$5001,$A$41,BD!$E$3:$E$5001,"&lt;&gt;")=0,"",SUMIFS(BD!$E$3:$E$5001,BD!$A$3:$A$5001,Z$3,BD!$B$3:$B$5001,$A$41)))</f>
        <v/>
      </c>
      <c r="AA43" s="173" t="str">
        <f>IF(AA$3="","",IF(COUNTIFS(BD!$A$3:$A$5001,AA$3,BD!$B$3:$B$5001,$A$41,BD!$E$3:$E$5001,"&lt;&gt;")=0,"",SUMIFS(BD!$E$3:$E$5001,BD!$A$3:$A$5001,AA$3,BD!$B$3:$B$5001,$A$41)))</f>
        <v/>
      </c>
      <c r="AB43" s="173" t="str">
        <f>IF(AB$3="","",IF(COUNTIFS(BD!$A$3:$A$5001,AB$3,BD!$B$3:$B$5001,$A$41,BD!$E$3:$E$5001,"&lt;&gt;")=0,"",SUMIFS(BD!$E$3:$E$5001,BD!$A$3:$A$5001,AB$3,BD!$B$3:$B$5001,$A$41)))</f>
        <v/>
      </c>
      <c r="AC43" s="173" t="str">
        <f>IF(AC$3="","",IF(COUNTIFS(BD!$A$3:$A$5001,AC$3,BD!$B$3:$B$5001,$A$41,BD!$E$3:$E$5001,"&lt;&gt;")=0,"",SUMIFS(BD!$E$3:$E$5001,BD!$A$3:$A$5001,AC$3,BD!$B$3:$B$5001,$A$41)))</f>
        <v/>
      </c>
      <c r="AD43" s="173" t="str">
        <f>IF(AD$3="","",IF(COUNTIFS(BD!$A$3:$A$5001,AD$3,BD!$B$3:$B$5001,$A$41,BD!$E$3:$E$5001,"&lt;&gt;")=0,"",SUMIFS(BD!$E$3:$E$5001,BD!$A$3:$A$5001,AD$3,BD!$B$3:$B$5001,$A$41)))</f>
        <v/>
      </c>
      <c r="AE43" s="173" t="str">
        <f>IF(AE$3="","",IF(COUNTIFS(BD!$A$3:$A$5001,AE$3,BD!$B$3:$B$5001,$A$41,BD!$E$3:$E$5001,"&lt;&gt;")=0,"",SUMIFS(BD!$E$3:$E$5001,BD!$A$3:$A$5001,AE$3,BD!$B$3:$B$5001,$A$41)))</f>
        <v/>
      </c>
      <c r="AF43" s="173" t="str">
        <f>IF(AF$3="","",IF(COUNTIFS(BD!$A$3:$A$5001,AF$3,BD!$B$3:$B$5001,$A$41,BD!$E$3:$E$5001,"&lt;&gt;")=0,"",SUMIFS(BD!$E$3:$E$5001,BD!$A$3:$A$5001,AF$3,BD!$B$3:$B$5001,$A$41)))</f>
        <v/>
      </c>
      <c r="AG43" s="173" t="str">
        <f>IF(AG$3="","",IF(COUNTIFS(BD!$A$3:$A$5001,AG$3,BD!$B$3:$B$5001,$A$41,BD!$E$3:$E$5001,"&lt;&gt;")=0,"",SUMIFS(BD!$E$3:$E$5001,BD!$A$3:$A$5001,AG$3,BD!$B$3:$B$5001,$A$41)))</f>
        <v/>
      </c>
      <c r="AH43" s="173" t="str">
        <f>IF(AH$3="","",IF(COUNTIFS(BD!$A$3:$A$5001,AH$3,BD!$B$3:$B$5001,$A$41,BD!$E$3:$E$5001,"&lt;&gt;")=0,"",SUMIFS(BD!$E$3:$E$5001,BD!$A$3:$A$5001,AH$3,BD!$B$3:$B$5001,$A$41)))</f>
        <v/>
      </c>
      <c r="AI43" s="173" t="str">
        <f>IF(AI$3="","",IF(COUNTIFS(BD!$A$3:$A$5001,AI$3,BD!$B$3:$B$5001,$A$41,BD!$E$3:$E$5001,"&lt;&gt;")=0,"",SUMIFS(BD!$E$3:$E$5001,BD!$A$3:$A$5001,AI$3,BD!$B$3:$B$5001,$A$41)))</f>
        <v/>
      </c>
      <c r="AJ43" s="174" t="str">
        <f>IF(AJ$3="","",IF(COUNTIFS(BD!$A$3:$A$5001,AJ$3,BD!$B$3:$B$5001,$A$41,BD!$E$3:$E$5001,"&lt;&gt;")=0,"",SUMIFS(BD!$E$3:$E$5001,BD!$A$3:$A$5001,AJ$3,BD!$B$3:$B$5001,$A$41)))</f>
        <v/>
      </c>
      <c r="AK43" s="175" t="str">
        <f>IF(COUNT(F43:AJ43)=0,"",SUM(F43:AJ43))</f>
        <v/>
      </c>
    </row>
    <row r="44" ht="15.75" customHeight="1">
      <c r="A44" s="254"/>
      <c r="B44" s="244" t="inlineStr">
        <is>
          <t xml:space="preserve">OUT</t>
        </is>
      </c>
      <c r="C44" s="176" t="inlineStr">
        <is>
          <t xml:space="preserve">Veículos Expedidos</t>
        </is>
      </c>
      <c r="D44" s="177" t="str">
        <f>IFERROR(1/(1/INDEX(BD!$Y$26:$AS$26,MATCH($A$41,BD!$Y$22:$AS$22,0))),"")</f>
        <v/>
      </c>
      <c r="E44" s="178"/>
      <c r="F44" s="179" t="str">
        <f>IF(F$3="","",IF(COUNTIFS(BD!$A$3:$A$5001,F$3,BD!$B$3:$B$5001,$A$41,BD!$F$3:$F$5001,"&lt;&gt;")=0,"",SUMIFS(BD!$F$3:$F$5001,BD!$A$3:$A$5001,F$3,BD!$B$3:$B$5001,$A$41)))</f>
        <v/>
      </c>
      <c r="G44" s="180" t="str">
        <f>IF(G$3="","",IF(COUNTIFS(BD!$A$3:$A$5001,G$3,BD!$B$3:$B$5001,$A$41,BD!$F$3:$F$5001,"&lt;&gt;")=0,"",SUMIFS(BD!$F$3:$F$5001,BD!$A$3:$A$5001,G$3,BD!$B$3:$B$5001,$A$41)))</f>
        <v/>
      </c>
      <c r="H44" s="180" t="str">
        <f>IF(H$3="","",IF(COUNTIFS(BD!$A$3:$A$5001,H$3,BD!$B$3:$B$5001,$A$41,BD!$F$3:$F$5001,"&lt;&gt;")=0,"",SUMIFS(BD!$F$3:$F$5001,BD!$A$3:$A$5001,H$3,BD!$B$3:$B$5001,$A$41)))</f>
        <v/>
      </c>
      <c r="I44" s="180" t="str">
        <f>IF(I$3="","",IF(COUNTIFS(BD!$A$3:$A$5001,I$3,BD!$B$3:$B$5001,$A$41,BD!$F$3:$F$5001,"&lt;&gt;")=0,"",SUMIFS(BD!$F$3:$F$5001,BD!$A$3:$A$5001,I$3,BD!$B$3:$B$5001,$A$41)))</f>
        <v/>
      </c>
      <c r="J44" s="180" t="str">
        <f>IF(J$3="","",IF(COUNTIFS(BD!$A$3:$A$5001,J$3,BD!$B$3:$B$5001,$A$41,BD!$F$3:$F$5001,"&lt;&gt;")=0,"",SUMIFS(BD!$F$3:$F$5001,BD!$A$3:$A$5001,J$3,BD!$B$3:$B$5001,$A$41)))</f>
        <v/>
      </c>
      <c r="K44" s="180" t="str">
        <f>IF(K$3="","",IF(COUNTIFS(BD!$A$3:$A$5001,K$3,BD!$B$3:$B$5001,$A$41,BD!$F$3:$F$5001,"&lt;&gt;")=0,"",SUMIFS(BD!$F$3:$F$5001,BD!$A$3:$A$5001,K$3,BD!$B$3:$B$5001,$A$41)))</f>
        <v/>
      </c>
      <c r="L44" s="180" t="str">
        <f>IF(L$3="","",IF(COUNTIFS(BD!$A$3:$A$5001,L$3,BD!$B$3:$B$5001,$A$41,BD!$F$3:$F$5001,"&lt;&gt;")=0,"",SUMIFS(BD!$F$3:$F$5001,BD!$A$3:$A$5001,L$3,BD!$B$3:$B$5001,$A$41)))</f>
        <v/>
      </c>
      <c r="M44" s="180" t="str">
        <f>IF(M$3="","",IF(COUNTIFS(BD!$A$3:$A$5001,M$3,BD!$B$3:$B$5001,$A$41,BD!$F$3:$F$5001,"&lt;&gt;")=0,"",SUMIFS(BD!$F$3:$F$5001,BD!$A$3:$A$5001,M$3,BD!$B$3:$B$5001,$A$41)))</f>
        <v/>
      </c>
      <c r="N44" s="180" t="str">
        <f>IF(N$3="","",IF(COUNTIFS(BD!$A$3:$A$5001,N$3,BD!$B$3:$B$5001,$A$41,BD!$F$3:$F$5001,"&lt;&gt;")=0,"",SUMIFS(BD!$F$3:$F$5001,BD!$A$3:$A$5001,N$3,BD!$B$3:$B$5001,$A$41)))</f>
        <v/>
      </c>
      <c r="O44" s="180" t="str">
        <f>IF(O$3="","",IF(COUNTIFS(BD!$A$3:$A$5001,O$3,BD!$B$3:$B$5001,$A$41,BD!$F$3:$F$5001,"&lt;&gt;")=0,"",SUMIFS(BD!$F$3:$F$5001,BD!$A$3:$A$5001,O$3,BD!$B$3:$B$5001,$A$41)))</f>
        <v/>
      </c>
      <c r="P44" s="180" t="str">
        <f>IF(P$3="","",IF(COUNTIFS(BD!$A$3:$A$5001,P$3,BD!$B$3:$B$5001,$A$41,BD!$F$3:$F$5001,"&lt;&gt;")=0,"",SUMIFS(BD!$F$3:$F$5001,BD!$A$3:$A$5001,P$3,BD!$B$3:$B$5001,$A$41)))</f>
        <v/>
      </c>
      <c r="Q44" s="180" t="str">
        <f>IF(Q$3="","",IF(COUNTIFS(BD!$A$3:$A$5001,Q$3,BD!$B$3:$B$5001,$A$41,BD!$F$3:$F$5001,"&lt;&gt;")=0,"",SUMIFS(BD!$F$3:$F$5001,BD!$A$3:$A$5001,Q$3,BD!$B$3:$B$5001,$A$41)))</f>
        <v/>
      </c>
      <c r="R44" s="180" t="str">
        <f>IF(R$3="","",IF(COUNTIFS(BD!$A$3:$A$5001,R$3,BD!$B$3:$B$5001,$A$41,BD!$F$3:$F$5001,"&lt;&gt;")=0,"",SUMIFS(BD!$F$3:$F$5001,BD!$A$3:$A$5001,R$3,BD!$B$3:$B$5001,$A$41)))</f>
        <v/>
      </c>
      <c r="S44" s="180" t="str">
        <f>IF(S$3="","",IF(COUNTIFS(BD!$A$3:$A$5001,S$3,BD!$B$3:$B$5001,$A$41,BD!$F$3:$F$5001,"&lt;&gt;")=0,"",SUMIFS(BD!$F$3:$F$5001,BD!$A$3:$A$5001,S$3,BD!$B$3:$B$5001,$A$41)))</f>
        <v/>
      </c>
      <c r="T44" s="180" t="str">
        <f>IF(T$3="","",IF(COUNTIFS(BD!$A$3:$A$5001,T$3,BD!$B$3:$B$5001,$A$41,BD!$F$3:$F$5001,"&lt;&gt;")=0,"",SUMIFS(BD!$F$3:$F$5001,BD!$A$3:$A$5001,T$3,BD!$B$3:$B$5001,$A$41)))</f>
        <v/>
      </c>
      <c r="U44" s="180" t="str">
        <f>IF(U$3="","",IF(COUNTIFS(BD!$A$3:$A$5001,U$3,BD!$B$3:$B$5001,$A$41,BD!$F$3:$F$5001,"&lt;&gt;")=0,"",SUMIFS(BD!$F$3:$F$5001,BD!$A$3:$A$5001,U$3,BD!$B$3:$B$5001,$A$41)))</f>
        <v/>
      </c>
      <c r="V44" s="180" t="str">
        <f>IF(V$3="","",IF(COUNTIFS(BD!$A$3:$A$5001,V$3,BD!$B$3:$B$5001,$A$41,BD!$F$3:$F$5001,"&lt;&gt;")=0,"",SUMIFS(BD!$F$3:$F$5001,BD!$A$3:$A$5001,V$3,BD!$B$3:$B$5001,$A$41)))</f>
        <v/>
      </c>
      <c r="W44" s="180" t="str">
        <f>IF(W$3="","",IF(COUNTIFS(BD!$A$3:$A$5001,W$3,BD!$B$3:$B$5001,$A$41,BD!$F$3:$F$5001,"&lt;&gt;")=0,"",SUMIFS(BD!$F$3:$F$5001,BD!$A$3:$A$5001,W$3,BD!$B$3:$B$5001,$A$41)))</f>
        <v/>
      </c>
      <c r="X44" s="180" t="str">
        <f>IF(X$3="","",IF(COUNTIFS(BD!$A$3:$A$5001,X$3,BD!$B$3:$B$5001,$A$41,BD!$F$3:$F$5001,"&lt;&gt;")=0,"",SUMIFS(BD!$F$3:$F$5001,BD!$A$3:$A$5001,X$3,BD!$B$3:$B$5001,$A$41)))</f>
        <v/>
      </c>
      <c r="Y44" s="180" t="str">
        <f>IF(Y$3="","",IF(COUNTIFS(BD!$A$3:$A$5001,Y$3,BD!$B$3:$B$5001,$A$41,BD!$F$3:$F$5001,"&lt;&gt;")=0,"",SUMIFS(BD!$F$3:$F$5001,BD!$A$3:$A$5001,Y$3,BD!$B$3:$B$5001,$A$41)))</f>
        <v/>
      </c>
      <c r="Z44" s="180" t="str">
        <f>IF(Z$3="","",IF(COUNTIFS(BD!$A$3:$A$5001,Z$3,BD!$B$3:$B$5001,$A$41,BD!$F$3:$F$5001,"&lt;&gt;")=0,"",SUMIFS(BD!$F$3:$F$5001,BD!$A$3:$A$5001,Z$3,BD!$B$3:$B$5001,$A$41)))</f>
        <v/>
      </c>
      <c r="AA44" s="180" t="str">
        <f>IF(AA$3="","",IF(COUNTIFS(BD!$A$3:$A$5001,AA$3,BD!$B$3:$B$5001,$A$41,BD!$F$3:$F$5001,"&lt;&gt;")=0,"",SUMIFS(BD!$F$3:$F$5001,BD!$A$3:$A$5001,AA$3,BD!$B$3:$B$5001,$A$41)))</f>
        <v/>
      </c>
      <c r="AB44" s="180" t="str">
        <f>IF(AB$3="","",IF(COUNTIFS(BD!$A$3:$A$5001,AB$3,BD!$B$3:$B$5001,$A$41,BD!$F$3:$F$5001,"&lt;&gt;")=0,"",SUMIFS(BD!$F$3:$F$5001,BD!$A$3:$A$5001,AB$3,BD!$B$3:$B$5001,$A$41)))</f>
        <v/>
      </c>
      <c r="AC44" s="180" t="str">
        <f>IF(AC$3="","",IF(COUNTIFS(BD!$A$3:$A$5001,AC$3,BD!$B$3:$B$5001,$A$41,BD!$F$3:$F$5001,"&lt;&gt;")=0,"",SUMIFS(BD!$F$3:$F$5001,BD!$A$3:$A$5001,AC$3,BD!$B$3:$B$5001,$A$41)))</f>
        <v/>
      </c>
      <c r="AD44" s="180" t="str">
        <f>IF(AD$3="","",IF(COUNTIFS(BD!$A$3:$A$5001,AD$3,BD!$B$3:$B$5001,$A$41,BD!$F$3:$F$5001,"&lt;&gt;")=0,"",SUMIFS(BD!$F$3:$F$5001,BD!$A$3:$A$5001,AD$3,BD!$B$3:$B$5001,$A$41)))</f>
        <v/>
      </c>
      <c r="AE44" s="180" t="str">
        <f>IF(AE$3="","",IF(COUNTIFS(BD!$A$3:$A$5001,AE$3,BD!$B$3:$B$5001,$A$41,BD!$F$3:$F$5001,"&lt;&gt;")=0,"",SUMIFS(BD!$F$3:$F$5001,BD!$A$3:$A$5001,AE$3,BD!$B$3:$B$5001,$A$41)))</f>
        <v/>
      </c>
      <c r="AF44" s="180" t="str">
        <f>IF(AF$3="","",IF(COUNTIFS(BD!$A$3:$A$5001,AF$3,BD!$B$3:$B$5001,$A$41,BD!$F$3:$F$5001,"&lt;&gt;")=0,"",SUMIFS(BD!$F$3:$F$5001,BD!$A$3:$A$5001,AF$3,BD!$B$3:$B$5001,$A$41)))</f>
        <v/>
      </c>
      <c r="AG44" s="180" t="str">
        <f>IF(AG$3="","",IF(COUNTIFS(BD!$A$3:$A$5001,AG$3,BD!$B$3:$B$5001,$A$41,BD!$F$3:$F$5001,"&lt;&gt;")=0,"",SUMIFS(BD!$F$3:$F$5001,BD!$A$3:$A$5001,AG$3,BD!$B$3:$B$5001,$A$41)))</f>
        <v/>
      </c>
      <c r="AH44" s="180" t="str">
        <f>IF(AH$3="","",IF(COUNTIFS(BD!$A$3:$A$5001,AH$3,BD!$B$3:$B$5001,$A$41,BD!$F$3:$F$5001,"&lt;&gt;")=0,"",SUMIFS(BD!$F$3:$F$5001,BD!$A$3:$A$5001,AH$3,BD!$B$3:$B$5001,$A$41)))</f>
        <v/>
      </c>
      <c r="AI44" s="180" t="str">
        <f>IF(AI$3="","",IF(COUNTIFS(BD!$A$3:$A$5001,AI$3,BD!$B$3:$B$5001,$A$41,BD!$F$3:$F$5001,"&lt;&gt;")=0,"",SUMIFS(BD!$F$3:$F$5001,BD!$A$3:$A$5001,AI$3,BD!$B$3:$B$5001,$A$41)))</f>
        <v/>
      </c>
      <c r="AJ44" s="181" t="str">
        <f>IF(AJ$3="","",IF(COUNTIFS(BD!$A$3:$A$5001,AJ$3,BD!$B$3:$B$5001,$A$41,BD!$F$3:$F$5001,"&lt;&gt;")=0,"",SUMIFS(BD!$F$3:$F$5001,BD!$A$3:$A$5001,AJ$3,BD!$B$3:$B$5001,$A$41)))</f>
        <v/>
      </c>
      <c r="AK44" s="182" t="str">
        <f>IF(COUNT(F44:AJ44)=0,"",SUM(F44:AJ44))</f>
        <v/>
      </c>
    </row>
    <row r="45" ht="15.75" customHeight="1">
      <c r="A45" s="254"/>
      <c r="B45" s="245"/>
      <c r="C45" s="183" t="inlineStr">
        <is>
          <t xml:space="preserve">Pallets Movimentados</t>
        </is>
      </c>
      <c r="D45" s="184" t="str">
        <f>IFERROR(1/(1/INDEX(BD!$Y$27:$AS$27,MATCH($A$41,BD!$Y$22:$AS$22,0))),"")</f>
        <v/>
      </c>
      <c r="E45" s="185"/>
      <c r="F45" s="186" t="str">
        <f>IF(F$3="","",IF(COUNTIFS(BD!$A$3:$A$5001,F$3,BD!$B$3:$B$5001,$A$41,BD!$G$3:$G$5001,"&lt;&gt;")=0,"",SUMIFS(BD!$G$3:$G$5001,BD!$A$3:$A$5001,F$3,BD!$B$3:$B$5001,$A$41)))</f>
        <v/>
      </c>
      <c r="G45" s="187" t="str">
        <f>IF(G$3="","",IF(COUNTIFS(BD!$A$3:$A$5001,G$3,BD!$B$3:$B$5001,$A$41,BD!$G$3:$G$5001,"&lt;&gt;")=0,"",SUMIFS(BD!$G$3:$G$5001,BD!$A$3:$A$5001,G$3,BD!$B$3:$B$5001,$A$41)))</f>
        <v/>
      </c>
      <c r="H45" s="187" t="str">
        <f>IF(H$3="","",IF(COUNTIFS(BD!$A$3:$A$5001,H$3,BD!$B$3:$B$5001,$A$41,BD!$G$3:$G$5001,"&lt;&gt;")=0,"",SUMIFS(BD!$G$3:$G$5001,BD!$A$3:$A$5001,H$3,BD!$B$3:$B$5001,$A$41)))</f>
        <v/>
      </c>
      <c r="I45" s="187" t="str">
        <f>IF(I$3="","",IF(COUNTIFS(BD!$A$3:$A$5001,I$3,BD!$B$3:$B$5001,$A$41,BD!$G$3:$G$5001,"&lt;&gt;")=0,"",SUMIFS(BD!$G$3:$G$5001,BD!$A$3:$A$5001,I$3,BD!$B$3:$B$5001,$A$41)))</f>
        <v/>
      </c>
      <c r="J45" s="187" t="str">
        <f>IF(J$3="","",IF(COUNTIFS(BD!$A$3:$A$5001,J$3,BD!$B$3:$B$5001,$A$41,BD!$G$3:$G$5001,"&lt;&gt;")=0,"",SUMIFS(BD!$G$3:$G$5001,BD!$A$3:$A$5001,J$3,BD!$B$3:$B$5001,$A$41)))</f>
        <v/>
      </c>
      <c r="K45" s="187" t="str">
        <f>IF(K$3="","",IF(COUNTIFS(BD!$A$3:$A$5001,K$3,BD!$B$3:$B$5001,$A$41,BD!$G$3:$G$5001,"&lt;&gt;")=0,"",SUMIFS(BD!$G$3:$G$5001,BD!$A$3:$A$5001,K$3,BD!$B$3:$B$5001,$A$41)))</f>
        <v/>
      </c>
      <c r="L45" s="187" t="str">
        <f>IF(L$3="","",IF(COUNTIFS(BD!$A$3:$A$5001,L$3,BD!$B$3:$B$5001,$A$41,BD!$G$3:$G$5001,"&lt;&gt;")=0,"",SUMIFS(BD!$G$3:$G$5001,BD!$A$3:$A$5001,L$3,BD!$B$3:$B$5001,$A$41)))</f>
        <v/>
      </c>
      <c r="M45" s="187" t="str">
        <f>IF(M$3="","",IF(COUNTIFS(BD!$A$3:$A$5001,M$3,BD!$B$3:$B$5001,$A$41,BD!$G$3:$G$5001,"&lt;&gt;")=0,"",SUMIFS(BD!$G$3:$G$5001,BD!$A$3:$A$5001,M$3,BD!$B$3:$B$5001,$A$41)))</f>
        <v/>
      </c>
      <c r="N45" s="187" t="str">
        <f>IF(N$3="","",IF(COUNTIFS(BD!$A$3:$A$5001,N$3,BD!$B$3:$B$5001,$A$41,BD!$G$3:$G$5001,"&lt;&gt;")=0,"",SUMIFS(BD!$G$3:$G$5001,BD!$A$3:$A$5001,N$3,BD!$B$3:$B$5001,$A$41)))</f>
        <v/>
      </c>
      <c r="O45" s="187" t="str">
        <f>IF(O$3="","",IF(COUNTIFS(BD!$A$3:$A$5001,O$3,BD!$B$3:$B$5001,$A$41,BD!$G$3:$G$5001,"&lt;&gt;")=0,"",SUMIFS(BD!$G$3:$G$5001,BD!$A$3:$A$5001,O$3,BD!$B$3:$B$5001,$A$41)))</f>
        <v/>
      </c>
      <c r="P45" s="187" t="str">
        <f>IF(P$3="","",IF(COUNTIFS(BD!$A$3:$A$5001,P$3,BD!$B$3:$B$5001,$A$41,BD!$G$3:$G$5001,"&lt;&gt;")=0,"",SUMIFS(BD!$G$3:$G$5001,BD!$A$3:$A$5001,P$3,BD!$B$3:$B$5001,$A$41)))</f>
        <v/>
      </c>
      <c r="Q45" s="187" t="str">
        <f>IF(Q$3="","",IF(COUNTIFS(BD!$A$3:$A$5001,Q$3,BD!$B$3:$B$5001,$A$41,BD!$G$3:$G$5001,"&lt;&gt;")=0,"",SUMIFS(BD!$G$3:$G$5001,BD!$A$3:$A$5001,Q$3,BD!$B$3:$B$5001,$A$41)))</f>
        <v/>
      </c>
      <c r="R45" s="187" t="str">
        <f>IF(R$3="","",IF(COUNTIFS(BD!$A$3:$A$5001,R$3,BD!$B$3:$B$5001,$A$41,BD!$G$3:$G$5001,"&lt;&gt;")=0,"",SUMIFS(BD!$G$3:$G$5001,BD!$A$3:$A$5001,R$3,BD!$B$3:$B$5001,$A$41)))</f>
        <v/>
      </c>
      <c r="S45" s="187" t="str">
        <f>IF(S$3="","",IF(COUNTIFS(BD!$A$3:$A$5001,S$3,BD!$B$3:$B$5001,$A$41,BD!$G$3:$G$5001,"&lt;&gt;")=0,"",SUMIFS(BD!$G$3:$G$5001,BD!$A$3:$A$5001,S$3,BD!$B$3:$B$5001,$A$41)))</f>
        <v/>
      </c>
      <c r="T45" s="187" t="str">
        <f>IF(T$3="","",IF(COUNTIFS(BD!$A$3:$A$5001,T$3,BD!$B$3:$B$5001,$A$41,BD!$G$3:$G$5001,"&lt;&gt;")=0,"",SUMIFS(BD!$G$3:$G$5001,BD!$A$3:$A$5001,T$3,BD!$B$3:$B$5001,$A$41)))</f>
        <v/>
      </c>
      <c r="U45" s="187" t="str">
        <f>IF(U$3="","",IF(COUNTIFS(BD!$A$3:$A$5001,U$3,BD!$B$3:$B$5001,$A$41,BD!$G$3:$G$5001,"&lt;&gt;")=0,"",SUMIFS(BD!$G$3:$G$5001,BD!$A$3:$A$5001,U$3,BD!$B$3:$B$5001,$A$41)))</f>
        <v/>
      </c>
      <c r="V45" s="187" t="str">
        <f>IF(V$3="","",IF(COUNTIFS(BD!$A$3:$A$5001,V$3,BD!$B$3:$B$5001,$A$41,BD!$G$3:$G$5001,"&lt;&gt;")=0,"",SUMIFS(BD!$G$3:$G$5001,BD!$A$3:$A$5001,V$3,BD!$B$3:$B$5001,$A$41)))</f>
        <v/>
      </c>
      <c r="W45" s="187" t="str">
        <f>IF(W$3="","",IF(COUNTIFS(BD!$A$3:$A$5001,W$3,BD!$B$3:$B$5001,$A$41,BD!$G$3:$G$5001,"&lt;&gt;")=0,"",SUMIFS(BD!$G$3:$G$5001,BD!$A$3:$A$5001,W$3,BD!$B$3:$B$5001,$A$41)))</f>
        <v/>
      </c>
      <c r="X45" s="187" t="str">
        <f>IF(X$3="","",IF(COUNTIFS(BD!$A$3:$A$5001,X$3,BD!$B$3:$B$5001,$A$41,BD!$G$3:$G$5001,"&lt;&gt;")=0,"",SUMIFS(BD!$G$3:$G$5001,BD!$A$3:$A$5001,X$3,BD!$B$3:$B$5001,$A$41)))</f>
        <v/>
      </c>
      <c r="Y45" s="187" t="str">
        <f>IF(Y$3="","",IF(COUNTIFS(BD!$A$3:$A$5001,Y$3,BD!$B$3:$B$5001,$A$41,BD!$G$3:$G$5001,"&lt;&gt;")=0,"",SUMIFS(BD!$G$3:$G$5001,BD!$A$3:$A$5001,Y$3,BD!$B$3:$B$5001,$A$41)))</f>
        <v/>
      </c>
      <c r="Z45" s="187" t="str">
        <f>IF(Z$3="","",IF(COUNTIFS(BD!$A$3:$A$5001,Z$3,BD!$B$3:$B$5001,$A$41,BD!$G$3:$G$5001,"&lt;&gt;")=0,"",SUMIFS(BD!$G$3:$G$5001,BD!$A$3:$A$5001,Z$3,BD!$B$3:$B$5001,$A$41)))</f>
        <v/>
      </c>
      <c r="AA45" s="187" t="str">
        <f>IF(AA$3="","",IF(COUNTIFS(BD!$A$3:$A$5001,AA$3,BD!$B$3:$B$5001,$A$41,BD!$G$3:$G$5001,"&lt;&gt;")=0,"",SUMIFS(BD!$G$3:$G$5001,BD!$A$3:$A$5001,AA$3,BD!$B$3:$B$5001,$A$41)))</f>
        <v/>
      </c>
      <c r="AB45" s="187" t="str">
        <f>IF(AB$3="","",IF(COUNTIFS(BD!$A$3:$A$5001,AB$3,BD!$B$3:$B$5001,$A$41,BD!$G$3:$G$5001,"&lt;&gt;")=0,"",SUMIFS(BD!$G$3:$G$5001,BD!$A$3:$A$5001,AB$3,BD!$B$3:$B$5001,$A$41)))</f>
        <v/>
      </c>
      <c r="AC45" s="187" t="str">
        <f>IF(AC$3="","",IF(COUNTIFS(BD!$A$3:$A$5001,AC$3,BD!$B$3:$B$5001,$A$41,BD!$G$3:$G$5001,"&lt;&gt;")=0,"",SUMIFS(BD!$G$3:$G$5001,BD!$A$3:$A$5001,AC$3,BD!$B$3:$B$5001,$A$41)))</f>
        <v/>
      </c>
      <c r="AD45" s="187" t="str">
        <f>IF(AD$3="","",IF(COUNTIFS(BD!$A$3:$A$5001,AD$3,BD!$B$3:$B$5001,$A$41,BD!$G$3:$G$5001,"&lt;&gt;")=0,"",SUMIFS(BD!$G$3:$G$5001,BD!$A$3:$A$5001,AD$3,BD!$B$3:$B$5001,$A$41)))</f>
        <v/>
      </c>
      <c r="AE45" s="187" t="str">
        <f>IF(AE$3="","",IF(COUNTIFS(BD!$A$3:$A$5001,AE$3,BD!$B$3:$B$5001,$A$41,BD!$G$3:$G$5001,"&lt;&gt;")=0,"",SUMIFS(BD!$G$3:$G$5001,BD!$A$3:$A$5001,AE$3,BD!$B$3:$B$5001,$A$41)))</f>
        <v/>
      </c>
      <c r="AF45" s="187" t="str">
        <f>IF(AF$3="","",IF(COUNTIFS(BD!$A$3:$A$5001,AF$3,BD!$B$3:$B$5001,$A$41,BD!$G$3:$G$5001,"&lt;&gt;")=0,"",SUMIFS(BD!$G$3:$G$5001,BD!$A$3:$A$5001,AF$3,BD!$B$3:$B$5001,$A$41)))</f>
        <v/>
      </c>
      <c r="AG45" s="187" t="str">
        <f>IF(AG$3="","",IF(COUNTIFS(BD!$A$3:$A$5001,AG$3,BD!$B$3:$B$5001,$A$41,BD!$G$3:$G$5001,"&lt;&gt;")=0,"",SUMIFS(BD!$G$3:$G$5001,BD!$A$3:$A$5001,AG$3,BD!$B$3:$B$5001,$A$41)))</f>
        <v/>
      </c>
      <c r="AH45" s="187" t="str">
        <f>IF(AH$3="","",IF(COUNTIFS(BD!$A$3:$A$5001,AH$3,BD!$B$3:$B$5001,$A$41,BD!$G$3:$G$5001,"&lt;&gt;")=0,"",SUMIFS(BD!$G$3:$G$5001,BD!$A$3:$A$5001,AH$3,BD!$B$3:$B$5001,$A$41)))</f>
        <v/>
      </c>
      <c r="AI45" s="187" t="str">
        <f>IF(AI$3="","",IF(COUNTIFS(BD!$A$3:$A$5001,AI$3,BD!$B$3:$B$5001,$A$41,BD!$G$3:$G$5001,"&lt;&gt;")=0,"",SUMIFS(BD!$G$3:$G$5001,BD!$A$3:$A$5001,AI$3,BD!$B$3:$B$5001,$A$41)))</f>
        <v/>
      </c>
      <c r="AJ45" s="188" t="str">
        <f>IF(AJ$3="","",IF(COUNTIFS(BD!$A$3:$A$5001,AJ$3,BD!$B$3:$B$5001,$A$41,BD!$G$3:$G$5001,"&lt;&gt;")=0,"",SUMIFS(BD!$G$3:$G$5001,BD!$A$3:$A$5001,AJ$3,BD!$B$3:$B$5001,$A$41)))</f>
        <v/>
      </c>
      <c r="AK45" s="189" t="str">
        <f>IF(COUNT(F45:AJ45)=0,"",SUM(F45:AJ45))</f>
        <v/>
      </c>
    </row>
    <row r="46" ht="15.75" customHeight="1">
      <c r="A46" s="254"/>
      <c r="B46" s="246"/>
      <c r="C46" s="190" t="inlineStr">
        <is>
          <t xml:space="preserve">Toneladas Movimentadas</t>
        </is>
      </c>
      <c r="D46" s="191" t="str">
        <f>IFERROR(1/(1/INDEX(BD!$Y$28:$AS$28,MATCH($A$41,BD!$Y$22:$AS$22,0))),"")</f>
        <v/>
      </c>
      <c r="E46" s="192"/>
      <c r="F46" s="193" t="str">
        <f>IF(F$3="","",IF(COUNTIFS(BD!$A$3:$A$5001,F$3,BD!$B$3:$B$5001,$A$41,BD!$H$3:$H$5001,"&lt;&gt;")=0,"",SUMIFS(BD!$H$3:$H$5001,BD!$A$3:$A$5001,F$3,BD!$B$3:$B$5001,$A$41)))</f>
        <v/>
      </c>
      <c r="G46" s="194" t="str">
        <f>IF(G$3="","",IF(COUNTIFS(BD!$A$3:$A$5001,G$3,BD!$B$3:$B$5001,$A$41,BD!$H$3:$H$5001,"&lt;&gt;")=0,"",SUMIFS(BD!$H$3:$H$5001,BD!$A$3:$A$5001,G$3,BD!$B$3:$B$5001,$A$41)))</f>
        <v/>
      </c>
      <c r="H46" s="194" t="str">
        <f>IF(H$3="","",IF(COUNTIFS(BD!$A$3:$A$5001,H$3,BD!$B$3:$B$5001,$A$41,BD!$H$3:$H$5001,"&lt;&gt;")=0,"",SUMIFS(BD!$H$3:$H$5001,BD!$A$3:$A$5001,H$3,BD!$B$3:$B$5001,$A$41)))</f>
        <v/>
      </c>
      <c r="I46" s="194" t="str">
        <f>IF(I$3="","",IF(COUNTIFS(BD!$A$3:$A$5001,I$3,BD!$B$3:$B$5001,$A$41,BD!$H$3:$H$5001,"&lt;&gt;")=0,"",SUMIFS(BD!$H$3:$H$5001,BD!$A$3:$A$5001,I$3,BD!$B$3:$B$5001,$A$41)))</f>
        <v/>
      </c>
      <c r="J46" s="194" t="str">
        <f>IF(J$3="","",IF(COUNTIFS(BD!$A$3:$A$5001,J$3,BD!$B$3:$B$5001,$A$41,BD!$H$3:$H$5001,"&lt;&gt;")=0,"",SUMIFS(BD!$H$3:$H$5001,BD!$A$3:$A$5001,J$3,BD!$B$3:$B$5001,$A$41)))</f>
        <v/>
      </c>
      <c r="K46" s="194" t="str">
        <f>IF(K$3="","",IF(COUNTIFS(BD!$A$3:$A$5001,K$3,BD!$B$3:$B$5001,$A$41,BD!$H$3:$H$5001,"&lt;&gt;")=0,"",SUMIFS(BD!$H$3:$H$5001,BD!$A$3:$A$5001,K$3,BD!$B$3:$B$5001,$A$41)))</f>
        <v/>
      </c>
      <c r="L46" s="194" t="str">
        <f>IF(L$3="","",IF(COUNTIFS(BD!$A$3:$A$5001,L$3,BD!$B$3:$B$5001,$A$41,BD!$H$3:$H$5001,"&lt;&gt;")=0,"",SUMIFS(BD!$H$3:$H$5001,BD!$A$3:$A$5001,L$3,BD!$B$3:$B$5001,$A$41)))</f>
        <v/>
      </c>
      <c r="M46" s="194" t="str">
        <f>IF(M$3="","",IF(COUNTIFS(BD!$A$3:$A$5001,M$3,BD!$B$3:$B$5001,$A$41,BD!$H$3:$H$5001,"&lt;&gt;")=0,"",SUMIFS(BD!$H$3:$H$5001,BD!$A$3:$A$5001,M$3,BD!$B$3:$B$5001,$A$41)))</f>
        <v/>
      </c>
      <c r="N46" s="194" t="str">
        <f>IF(N$3="","",IF(COUNTIFS(BD!$A$3:$A$5001,N$3,BD!$B$3:$B$5001,$A$41,BD!$H$3:$H$5001,"&lt;&gt;")=0,"",SUMIFS(BD!$H$3:$H$5001,BD!$A$3:$A$5001,N$3,BD!$B$3:$B$5001,$A$41)))</f>
        <v/>
      </c>
      <c r="O46" s="194" t="str">
        <f>IF(O$3="","",IF(COUNTIFS(BD!$A$3:$A$5001,O$3,BD!$B$3:$B$5001,$A$41,BD!$H$3:$H$5001,"&lt;&gt;")=0,"",SUMIFS(BD!$H$3:$H$5001,BD!$A$3:$A$5001,O$3,BD!$B$3:$B$5001,$A$41)))</f>
        <v/>
      </c>
      <c r="P46" s="194" t="str">
        <f>IF(P$3="","",IF(COUNTIFS(BD!$A$3:$A$5001,P$3,BD!$B$3:$B$5001,$A$41,BD!$H$3:$H$5001,"&lt;&gt;")=0,"",SUMIFS(BD!$H$3:$H$5001,BD!$A$3:$A$5001,P$3,BD!$B$3:$B$5001,$A$41)))</f>
        <v/>
      </c>
      <c r="Q46" s="194" t="str">
        <f>IF(Q$3="","",IF(COUNTIFS(BD!$A$3:$A$5001,Q$3,BD!$B$3:$B$5001,$A$41,BD!$H$3:$H$5001,"&lt;&gt;")=0,"",SUMIFS(BD!$H$3:$H$5001,BD!$A$3:$A$5001,Q$3,BD!$B$3:$B$5001,$A$41)))</f>
        <v/>
      </c>
      <c r="R46" s="194" t="str">
        <f>IF(R$3="","",IF(COUNTIFS(BD!$A$3:$A$5001,R$3,BD!$B$3:$B$5001,$A$41,BD!$H$3:$H$5001,"&lt;&gt;")=0,"",SUMIFS(BD!$H$3:$H$5001,BD!$A$3:$A$5001,R$3,BD!$B$3:$B$5001,$A$41)))</f>
        <v/>
      </c>
      <c r="S46" s="194" t="str">
        <f>IF(S$3="","",IF(COUNTIFS(BD!$A$3:$A$5001,S$3,BD!$B$3:$B$5001,$A$41,BD!$H$3:$H$5001,"&lt;&gt;")=0,"",SUMIFS(BD!$H$3:$H$5001,BD!$A$3:$A$5001,S$3,BD!$B$3:$B$5001,$A$41)))</f>
        <v/>
      </c>
      <c r="T46" s="194" t="str">
        <f>IF(T$3="","",IF(COUNTIFS(BD!$A$3:$A$5001,T$3,BD!$B$3:$B$5001,$A$41,BD!$H$3:$H$5001,"&lt;&gt;")=0,"",SUMIFS(BD!$H$3:$H$5001,BD!$A$3:$A$5001,T$3,BD!$B$3:$B$5001,$A$41)))</f>
        <v/>
      </c>
      <c r="U46" s="194" t="str">
        <f>IF(U$3="","",IF(COUNTIFS(BD!$A$3:$A$5001,U$3,BD!$B$3:$B$5001,$A$41,BD!$H$3:$H$5001,"&lt;&gt;")=0,"",SUMIFS(BD!$H$3:$H$5001,BD!$A$3:$A$5001,U$3,BD!$B$3:$B$5001,$A$41)))</f>
        <v/>
      </c>
      <c r="V46" s="194" t="str">
        <f>IF(V$3="","",IF(COUNTIFS(BD!$A$3:$A$5001,V$3,BD!$B$3:$B$5001,$A$41,BD!$H$3:$H$5001,"&lt;&gt;")=0,"",SUMIFS(BD!$H$3:$H$5001,BD!$A$3:$A$5001,V$3,BD!$B$3:$B$5001,$A$41)))</f>
        <v/>
      </c>
      <c r="W46" s="194" t="str">
        <f>IF(W$3="","",IF(COUNTIFS(BD!$A$3:$A$5001,W$3,BD!$B$3:$B$5001,$A$41,BD!$H$3:$H$5001,"&lt;&gt;")=0,"",SUMIFS(BD!$H$3:$H$5001,BD!$A$3:$A$5001,W$3,BD!$B$3:$B$5001,$A$41)))</f>
        <v/>
      </c>
      <c r="X46" s="194" t="str">
        <f>IF(X$3="","",IF(COUNTIFS(BD!$A$3:$A$5001,X$3,BD!$B$3:$B$5001,$A$41,BD!$H$3:$H$5001,"&lt;&gt;")=0,"",SUMIFS(BD!$H$3:$H$5001,BD!$A$3:$A$5001,X$3,BD!$B$3:$B$5001,$A$41)))</f>
        <v/>
      </c>
      <c r="Y46" s="194" t="str">
        <f>IF(Y$3="","",IF(COUNTIFS(BD!$A$3:$A$5001,Y$3,BD!$B$3:$B$5001,$A$41,BD!$H$3:$H$5001,"&lt;&gt;")=0,"",SUMIFS(BD!$H$3:$H$5001,BD!$A$3:$A$5001,Y$3,BD!$B$3:$B$5001,$A$41)))</f>
        <v/>
      </c>
      <c r="Z46" s="194" t="str">
        <f>IF(Z$3="","",IF(COUNTIFS(BD!$A$3:$A$5001,Z$3,BD!$B$3:$B$5001,$A$41,BD!$H$3:$H$5001,"&lt;&gt;")=0,"",SUMIFS(BD!$H$3:$H$5001,BD!$A$3:$A$5001,Z$3,BD!$B$3:$B$5001,$A$41)))</f>
        <v/>
      </c>
      <c r="AA46" s="194" t="str">
        <f>IF(AA$3="","",IF(COUNTIFS(BD!$A$3:$A$5001,AA$3,BD!$B$3:$B$5001,$A$41,BD!$H$3:$H$5001,"&lt;&gt;")=0,"",SUMIFS(BD!$H$3:$H$5001,BD!$A$3:$A$5001,AA$3,BD!$B$3:$B$5001,$A$41)))</f>
        <v/>
      </c>
      <c r="AB46" s="194" t="str">
        <f>IF(AB$3="","",IF(COUNTIFS(BD!$A$3:$A$5001,AB$3,BD!$B$3:$B$5001,$A$41,BD!$H$3:$H$5001,"&lt;&gt;")=0,"",SUMIFS(BD!$H$3:$H$5001,BD!$A$3:$A$5001,AB$3,BD!$B$3:$B$5001,$A$41)))</f>
        <v/>
      </c>
      <c r="AC46" s="194" t="str">
        <f>IF(AC$3="","",IF(COUNTIFS(BD!$A$3:$A$5001,AC$3,BD!$B$3:$B$5001,$A$41,BD!$H$3:$H$5001,"&lt;&gt;")=0,"",SUMIFS(BD!$H$3:$H$5001,BD!$A$3:$A$5001,AC$3,BD!$B$3:$B$5001,$A$41)))</f>
        <v/>
      </c>
      <c r="AD46" s="194" t="str">
        <f>IF(AD$3="","",IF(COUNTIFS(BD!$A$3:$A$5001,AD$3,BD!$B$3:$B$5001,$A$41,BD!$H$3:$H$5001,"&lt;&gt;")=0,"",SUMIFS(BD!$H$3:$H$5001,BD!$A$3:$A$5001,AD$3,BD!$B$3:$B$5001,$A$41)))</f>
        <v/>
      </c>
      <c r="AE46" s="194" t="str">
        <f>IF(AE$3="","",IF(COUNTIFS(BD!$A$3:$A$5001,AE$3,BD!$B$3:$B$5001,$A$41,BD!$H$3:$H$5001,"&lt;&gt;")=0,"",SUMIFS(BD!$H$3:$H$5001,BD!$A$3:$A$5001,AE$3,BD!$B$3:$B$5001,$A$41)))</f>
        <v/>
      </c>
      <c r="AF46" s="194" t="str">
        <f>IF(AF$3="","",IF(COUNTIFS(BD!$A$3:$A$5001,AF$3,BD!$B$3:$B$5001,$A$41,BD!$H$3:$H$5001,"&lt;&gt;")=0,"",SUMIFS(BD!$H$3:$H$5001,BD!$A$3:$A$5001,AF$3,BD!$B$3:$B$5001,$A$41)))</f>
        <v/>
      </c>
      <c r="AG46" s="194" t="str">
        <f>IF(AG$3="","",IF(COUNTIFS(BD!$A$3:$A$5001,AG$3,BD!$B$3:$B$5001,$A$41,BD!$H$3:$H$5001,"&lt;&gt;")=0,"",SUMIFS(BD!$H$3:$H$5001,BD!$A$3:$A$5001,AG$3,BD!$B$3:$B$5001,$A$41)))</f>
        <v/>
      </c>
      <c r="AH46" s="194" t="str">
        <f>IF(AH$3="","",IF(COUNTIFS(BD!$A$3:$A$5001,AH$3,BD!$B$3:$B$5001,$A$41,BD!$H$3:$H$5001,"&lt;&gt;")=0,"",SUMIFS(BD!$H$3:$H$5001,BD!$A$3:$A$5001,AH$3,BD!$B$3:$B$5001,$A$41)))</f>
        <v/>
      </c>
      <c r="AI46" s="194" t="str">
        <f>IF(AI$3="","",IF(COUNTIFS(BD!$A$3:$A$5001,AI$3,BD!$B$3:$B$5001,$A$41,BD!$H$3:$H$5001,"&lt;&gt;")=0,"",SUMIFS(BD!$H$3:$H$5001,BD!$A$3:$A$5001,AI$3,BD!$B$3:$B$5001,$A$41)))</f>
        <v/>
      </c>
      <c r="AJ46" s="195" t="str">
        <f>IF(AJ$3="","",IF(COUNTIFS(BD!$A$3:$A$5001,AJ$3,BD!$B$3:$B$5001,$A$41,BD!$H$3:$H$5001,"&lt;&gt;")=0,"",SUMIFS(BD!$H$3:$H$5001,BD!$A$3:$A$5001,AJ$3,BD!$B$3:$B$5001,$A$41)))</f>
        <v/>
      </c>
      <c r="AK46" s="196" t="str">
        <f>IF(COUNT(F46:AJ46)=0,"",SUM(F46:AJ46))</f>
        <v/>
      </c>
    </row>
    <row r="47" ht="15.75" customHeight="1">
      <c r="A47" s="254"/>
      <c r="B47" s="247" t="inlineStr">
        <is>
          <t xml:space="preserve">NC</t>
        </is>
      </c>
      <c r="C47" s="197" t="inlineStr">
        <is>
          <t xml:space="preserve">Incidentes</t>
        </is>
      </c>
      <c r="D47" s="198" t="str">
        <f>IFERROR(1/(1/INDEX(BD!$Y$29:$AS$29,MATCH($A$41,BD!$Y$22:$AS$22,0))),"")</f>
        <v/>
      </c>
      <c r="E47" s="199"/>
      <c r="F47" s="200" t="str">
        <f>IF(F$3="","",IF(COUNTIFS(BD!$A$3:$A$5001,F$3,BD!$B$3:$B$5001,$A$41,BD!$I$3:$I$5001,"&lt;&gt;")=0,"",SUMIFS(BD!$I$3:$I$5001,BD!$A$3:$A$5001,F$3,BD!$B$3:$B$5001,$A$41)))</f>
        <v/>
      </c>
      <c r="G47" s="201" t="str">
        <f>IF(G$3="","",IF(COUNTIFS(BD!$A$3:$A$5001,G$3,BD!$B$3:$B$5001,$A$41,BD!$I$3:$I$5001,"&lt;&gt;")=0,"",SUMIFS(BD!$I$3:$I$5001,BD!$A$3:$A$5001,G$3,BD!$B$3:$B$5001,$A$41)))</f>
        <v/>
      </c>
      <c r="H47" s="201" t="str">
        <f>IF(H$3="","",IF(COUNTIFS(BD!$A$3:$A$5001,H$3,BD!$B$3:$B$5001,$A$41,BD!$I$3:$I$5001,"&lt;&gt;")=0,"",SUMIFS(BD!$I$3:$I$5001,BD!$A$3:$A$5001,H$3,BD!$B$3:$B$5001,$A$41)))</f>
        <v/>
      </c>
      <c r="I47" s="201" t="str">
        <f>IF(I$3="","",IF(COUNTIFS(BD!$A$3:$A$5001,I$3,BD!$B$3:$B$5001,$A$41,BD!$I$3:$I$5001,"&lt;&gt;")=0,"",SUMIFS(BD!$I$3:$I$5001,BD!$A$3:$A$5001,I$3,BD!$B$3:$B$5001,$A$41)))</f>
        <v/>
      </c>
      <c r="J47" s="201" t="str">
        <f>IF(J$3="","",IF(COUNTIFS(BD!$A$3:$A$5001,J$3,BD!$B$3:$B$5001,$A$41,BD!$I$3:$I$5001,"&lt;&gt;")=0,"",SUMIFS(BD!$I$3:$I$5001,BD!$A$3:$A$5001,J$3,BD!$B$3:$B$5001,$A$41)))</f>
        <v/>
      </c>
      <c r="K47" s="201" t="str">
        <f>IF(K$3="","",IF(COUNTIFS(BD!$A$3:$A$5001,K$3,BD!$B$3:$B$5001,$A$41,BD!$I$3:$I$5001,"&lt;&gt;")=0,"",SUMIFS(BD!$I$3:$I$5001,BD!$A$3:$A$5001,K$3,BD!$B$3:$B$5001,$A$41)))</f>
        <v/>
      </c>
      <c r="L47" s="201" t="str">
        <f>IF(L$3="","",IF(COUNTIFS(BD!$A$3:$A$5001,L$3,BD!$B$3:$B$5001,$A$41,BD!$I$3:$I$5001,"&lt;&gt;")=0,"",SUMIFS(BD!$I$3:$I$5001,BD!$A$3:$A$5001,L$3,BD!$B$3:$B$5001,$A$41)))</f>
        <v/>
      </c>
      <c r="M47" s="201" t="str">
        <f>IF(M$3="","",IF(COUNTIFS(BD!$A$3:$A$5001,M$3,BD!$B$3:$B$5001,$A$41,BD!$I$3:$I$5001,"&lt;&gt;")=0,"",SUMIFS(BD!$I$3:$I$5001,BD!$A$3:$A$5001,M$3,BD!$B$3:$B$5001,$A$41)))</f>
        <v/>
      </c>
      <c r="N47" s="201" t="str">
        <f>IF(N$3="","",IF(COUNTIFS(BD!$A$3:$A$5001,N$3,BD!$B$3:$B$5001,$A$41,BD!$I$3:$I$5001,"&lt;&gt;")=0,"",SUMIFS(BD!$I$3:$I$5001,BD!$A$3:$A$5001,N$3,BD!$B$3:$B$5001,$A$41)))</f>
        <v/>
      </c>
      <c r="O47" s="201" t="str">
        <f>IF(O$3="","",IF(COUNTIFS(BD!$A$3:$A$5001,O$3,BD!$B$3:$B$5001,$A$41,BD!$I$3:$I$5001,"&lt;&gt;")=0,"",SUMIFS(BD!$I$3:$I$5001,BD!$A$3:$A$5001,O$3,BD!$B$3:$B$5001,$A$41)))</f>
        <v/>
      </c>
      <c r="P47" s="201" t="str">
        <f>IF(P$3="","",IF(COUNTIFS(BD!$A$3:$A$5001,P$3,BD!$B$3:$B$5001,$A$41,BD!$I$3:$I$5001,"&lt;&gt;")=0,"",SUMIFS(BD!$I$3:$I$5001,BD!$A$3:$A$5001,P$3,BD!$B$3:$B$5001,$A$41)))</f>
        <v/>
      </c>
      <c r="Q47" s="201" t="str">
        <f>IF(Q$3="","",IF(COUNTIFS(BD!$A$3:$A$5001,Q$3,BD!$B$3:$B$5001,$A$41,BD!$I$3:$I$5001,"&lt;&gt;")=0,"",SUMIFS(BD!$I$3:$I$5001,BD!$A$3:$A$5001,Q$3,BD!$B$3:$B$5001,$A$41)))</f>
        <v/>
      </c>
      <c r="R47" s="201" t="str">
        <f>IF(R$3="","",IF(COUNTIFS(BD!$A$3:$A$5001,R$3,BD!$B$3:$B$5001,$A$41,BD!$I$3:$I$5001,"&lt;&gt;")=0,"",SUMIFS(BD!$I$3:$I$5001,BD!$A$3:$A$5001,R$3,BD!$B$3:$B$5001,$A$41)))</f>
        <v/>
      </c>
      <c r="S47" s="201" t="str">
        <f>IF(S$3="","",IF(COUNTIFS(BD!$A$3:$A$5001,S$3,BD!$B$3:$B$5001,$A$41,BD!$I$3:$I$5001,"&lt;&gt;")=0,"",SUMIFS(BD!$I$3:$I$5001,BD!$A$3:$A$5001,S$3,BD!$B$3:$B$5001,$A$41)))</f>
        <v/>
      </c>
      <c r="T47" s="201" t="str">
        <f>IF(T$3="","",IF(COUNTIFS(BD!$A$3:$A$5001,T$3,BD!$B$3:$B$5001,$A$41,BD!$I$3:$I$5001,"&lt;&gt;")=0,"",SUMIFS(BD!$I$3:$I$5001,BD!$A$3:$A$5001,T$3,BD!$B$3:$B$5001,$A$41)))</f>
        <v/>
      </c>
      <c r="U47" s="201" t="str">
        <f>IF(U$3="","",IF(COUNTIFS(BD!$A$3:$A$5001,U$3,BD!$B$3:$B$5001,$A$41,BD!$I$3:$I$5001,"&lt;&gt;")=0,"",SUMIFS(BD!$I$3:$I$5001,BD!$A$3:$A$5001,U$3,BD!$B$3:$B$5001,$A$41)))</f>
        <v/>
      </c>
      <c r="V47" s="201" t="str">
        <f>IF(V$3="","",IF(COUNTIFS(BD!$A$3:$A$5001,V$3,BD!$B$3:$B$5001,$A$41,BD!$I$3:$I$5001,"&lt;&gt;")=0,"",SUMIFS(BD!$I$3:$I$5001,BD!$A$3:$A$5001,V$3,BD!$B$3:$B$5001,$A$41)))</f>
        <v/>
      </c>
      <c r="W47" s="201" t="str">
        <f>IF(W$3="","",IF(COUNTIFS(BD!$A$3:$A$5001,W$3,BD!$B$3:$B$5001,$A$41,BD!$I$3:$I$5001,"&lt;&gt;")=0,"",SUMIFS(BD!$I$3:$I$5001,BD!$A$3:$A$5001,W$3,BD!$B$3:$B$5001,$A$41)))</f>
        <v/>
      </c>
      <c r="X47" s="201" t="str">
        <f>IF(X$3="","",IF(COUNTIFS(BD!$A$3:$A$5001,X$3,BD!$B$3:$B$5001,$A$41,BD!$I$3:$I$5001,"&lt;&gt;")=0,"",SUMIFS(BD!$I$3:$I$5001,BD!$A$3:$A$5001,X$3,BD!$B$3:$B$5001,$A$41)))</f>
        <v/>
      </c>
      <c r="Y47" s="201" t="str">
        <f>IF(Y$3="","",IF(COUNTIFS(BD!$A$3:$A$5001,Y$3,BD!$B$3:$B$5001,$A$41,BD!$I$3:$I$5001,"&lt;&gt;")=0,"",SUMIFS(BD!$I$3:$I$5001,BD!$A$3:$A$5001,Y$3,BD!$B$3:$B$5001,$A$41)))</f>
        <v/>
      </c>
      <c r="Z47" s="201" t="str">
        <f>IF(Z$3="","",IF(COUNTIFS(BD!$A$3:$A$5001,Z$3,BD!$B$3:$B$5001,$A$41,BD!$I$3:$I$5001,"&lt;&gt;")=0,"",SUMIFS(BD!$I$3:$I$5001,BD!$A$3:$A$5001,Z$3,BD!$B$3:$B$5001,$A$41)))</f>
        <v/>
      </c>
      <c r="AA47" s="201" t="str">
        <f>IF(AA$3="","",IF(COUNTIFS(BD!$A$3:$A$5001,AA$3,BD!$B$3:$B$5001,$A$41,BD!$I$3:$I$5001,"&lt;&gt;")=0,"",SUMIFS(BD!$I$3:$I$5001,BD!$A$3:$A$5001,AA$3,BD!$B$3:$B$5001,$A$41)))</f>
        <v/>
      </c>
      <c r="AB47" s="201" t="str">
        <f>IF(AB$3="","",IF(COUNTIFS(BD!$A$3:$A$5001,AB$3,BD!$B$3:$B$5001,$A$41,BD!$I$3:$I$5001,"&lt;&gt;")=0,"",SUMIFS(BD!$I$3:$I$5001,BD!$A$3:$A$5001,AB$3,BD!$B$3:$B$5001,$A$41)))</f>
        <v/>
      </c>
      <c r="AC47" s="201" t="str">
        <f>IF(AC$3="","",IF(COUNTIFS(BD!$A$3:$A$5001,AC$3,BD!$B$3:$B$5001,$A$41,BD!$I$3:$I$5001,"&lt;&gt;")=0,"",SUMIFS(BD!$I$3:$I$5001,BD!$A$3:$A$5001,AC$3,BD!$B$3:$B$5001,$A$41)))</f>
        <v/>
      </c>
      <c r="AD47" s="201" t="str">
        <f>IF(AD$3="","",IF(COUNTIFS(BD!$A$3:$A$5001,AD$3,BD!$B$3:$B$5001,$A$41,BD!$I$3:$I$5001,"&lt;&gt;")=0,"",SUMIFS(BD!$I$3:$I$5001,BD!$A$3:$A$5001,AD$3,BD!$B$3:$B$5001,$A$41)))</f>
        <v/>
      </c>
      <c r="AE47" s="201" t="str">
        <f>IF(AE$3="","",IF(COUNTIFS(BD!$A$3:$A$5001,AE$3,BD!$B$3:$B$5001,$A$41,BD!$I$3:$I$5001,"&lt;&gt;")=0,"",SUMIFS(BD!$I$3:$I$5001,BD!$A$3:$A$5001,AE$3,BD!$B$3:$B$5001,$A$41)))</f>
        <v/>
      </c>
      <c r="AF47" s="201" t="str">
        <f>IF(AF$3="","",IF(COUNTIFS(BD!$A$3:$A$5001,AF$3,BD!$B$3:$B$5001,$A$41,BD!$I$3:$I$5001,"&lt;&gt;")=0,"",SUMIFS(BD!$I$3:$I$5001,BD!$A$3:$A$5001,AF$3,BD!$B$3:$B$5001,$A$41)))</f>
        <v/>
      </c>
      <c r="AG47" s="201" t="str">
        <f>IF(AG$3="","",IF(COUNTIFS(BD!$A$3:$A$5001,AG$3,BD!$B$3:$B$5001,$A$41,BD!$I$3:$I$5001,"&lt;&gt;")=0,"",SUMIFS(BD!$I$3:$I$5001,BD!$A$3:$A$5001,AG$3,BD!$B$3:$B$5001,$A$41)))</f>
        <v/>
      </c>
      <c r="AH47" s="201" t="str">
        <f>IF(AH$3="","",IF(COUNTIFS(BD!$A$3:$A$5001,AH$3,BD!$B$3:$B$5001,$A$41,BD!$I$3:$I$5001,"&lt;&gt;")=0,"",SUMIFS(BD!$I$3:$I$5001,BD!$A$3:$A$5001,AH$3,BD!$B$3:$B$5001,$A$41)))</f>
        <v/>
      </c>
      <c r="AI47" s="201" t="str">
        <f>IF(AI$3="","",IF(COUNTIFS(BD!$A$3:$A$5001,AI$3,BD!$B$3:$B$5001,$A$41,BD!$I$3:$I$5001,"&lt;&gt;")=0,"",SUMIFS(BD!$I$3:$I$5001,BD!$A$3:$A$5001,AI$3,BD!$B$3:$B$5001,$A$41)))</f>
        <v/>
      </c>
      <c r="AJ47" s="202" t="str">
        <f>IF(AJ$3="","",IF(COUNTIFS(BD!$A$3:$A$5001,AJ$3,BD!$B$3:$B$5001,$A$41,BD!$I$3:$I$5001,"&lt;&gt;")=0,"",SUMIFS(BD!$I$3:$I$5001,BD!$A$3:$A$5001,AJ$3,BD!$B$3:$B$5001,$A$41)))</f>
        <v/>
      </c>
      <c r="AK47" s="203" t="str">
        <f>IF(COUNT(F47:AJ47)=0,"",SUM(F47:AJ47))</f>
        <v/>
      </c>
    </row>
    <row r="48" ht="15.75" customHeight="1">
      <c r="A48" s="254"/>
      <c r="B48" s="248"/>
      <c r="C48" s="204" t="inlineStr">
        <is>
          <t xml:space="preserve">No show</t>
        </is>
      </c>
      <c r="D48" s="205" t="str">
        <f>IFERROR(1/(1/INDEX(BD!$Y$30:$AS$30,MATCH($A$41,BD!$Y$22:$AS$22,0))),"")</f>
        <v/>
      </c>
      <c r="E48" s="206"/>
      <c r="F48" s="207" t="str">
        <f>IF(F$3="","",IF(COUNTIFS(BD!$A$3:$A$5001,F$3,BD!$B$3:$B$5001,$A$41,BD!$J$3:$J$5001,"&lt;&gt;")=0,"",SUMIFS(BD!$J$3:$J$5001,BD!$A$3:$A$5001,F$3,BD!$B$3:$B$5001,$A$41)))</f>
        <v/>
      </c>
      <c r="G48" s="208" t="str">
        <f>IF(G$3="","",IF(COUNTIFS(BD!$A$3:$A$5001,G$3,BD!$B$3:$B$5001,$A$41,BD!$J$3:$J$5001,"&lt;&gt;")=0,"",SUMIFS(BD!$J$3:$J$5001,BD!$A$3:$A$5001,G$3,BD!$B$3:$B$5001,$A$41)))</f>
        <v/>
      </c>
      <c r="H48" s="208" t="str">
        <f>IF(H$3="","",IF(COUNTIFS(BD!$A$3:$A$5001,H$3,BD!$B$3:$B$5001,$A$41,BD!$J$3:$J$5001,"&lt;&gt;")=0,"",SUMIFS(BD!$J$3:$J$5001,BD!$A$3:$A$5001,H$3,BD!$B$3:$B$5001,$A$41)))</f>
        <v/>
      </c>
      <c r="I48" s="208" t="str">
        <f>IF(I$3="","",IF(COUNTIFS(BD!$A$3:$A$5001,I$3,BD!$B$3:$B$5001,$A$41,BD!$J$3:$J$5001,"&lt;&gt;")=0,"",SUMIFS(BD!$J$3:$J$5001,BD!$A$3:$A$5001,I$3,BD!$B$3:$B$5001,$A$41)))</f>
        <v/>
      </c>
      <c r="J48" s="208" t="str">
        <f>IF(J$3="","",IF(COUNTIFS(BD!$A$3:$A$5001,J$3,BD!$B$3:$B$5001,$A$41,BD!$J$3:$J$5001,"&lt;&gt;")=0,"",SUMIFS(BD!$J$3:$J$5001,BD!$A$3:$A$5001,J$3,BD!$B$3:$B$5001,$A$41)))</f>
        <v/>
      </c>
      <c r="K48" s="208" t="str">
        <f>IF(K$3="","",IF(COUNTIFS(BD!$A$3:$A$5001,K$3,BD!$B$3:$B$5001,$A$41,BD!$J$3:$J$5001,"&lt;&gt;")=0,"",SUMIFS(BD!$J$3:$J$5001,BD!$A$3:$A$5001,K$3,BD!$B$3:$B$5001,$A$41)))</f>
        <v/>
      </c>
      <c r="L48" s="208" t="str">
        <f>IF(L$3="","",IF(COUNTIFS(BD!$A$3:$A$5001,L$3,BD!$B$3:$B$5001,$A$41,BD!$J$3:$J$5001,"&lt;&gt;")=0,"",SUMIFS(BD!$J$3:$J$5001,BD!$A$3:$A$5001,L$3,BD!$B$3:$B$5001,$A$41)))</f>
        <v/>
      </c>
      <c r="M48" s="208" t="str">
        <f>IF(M$3="","",IF(COUNTIFS(BD!$A$3:$A$5001,M$3,BD!$B$3:$B$5001,$A$41,BD!$J$3:$J$5001,"&lt;&gt;")=0,"",SUMIFS(BD!$J$3:$J$5001,BD!$A$3:$A$5001,M$3,BD!$B$3:$B$5001,$A$41)))</f>
        <v/>
      </c>
      <c r="N48" s="208" t="str">
        <f>IF(N$3="","",IF(COUNTIFS(BD!$A$3:$A$5001,N$3,BD!$B$3:$B$5001,$A$41,BD!$J$3:$J$5001,"&lt;&gt;")=0,"",SUMIFS(BD!$J$3:$J$5001,BD!$A$3:$A$5001,N$3,BD!$B$3:$B$5001,$A$41)))</f>
        <v/>
      </c>
      <c r="O48" s="208" t="str">
        <f>IF(O$3="","",IF(COUNTIFS(BD!$A$3:$A$5001,O$3,BD!$B$3:$B$5001,$A$41,BD!$J$3:$J$5001,"&lt;&gt;")=0,"",SUMIFS(BD!$J$3:$J$5001,BD!$A$3:$A$5001,O$3,BD!$B$3:$B$5001,$A$41)))</f>
        <v/>
      </c>
      <c r="P48" s="208" t="str">
        <f>IF(P$3="","",IF(COUNTIFS(BD!$A$3:$A$5001,P$3,BD!$B$3:$B$5001,$A$41,BD!$J$3:$J$5001,"&lt;&gt;")=0,"",SUMIFS(BD!$J$3:$J$5001,BD!$A$3:$A$5001,P$3,BD!$B$3:$B$5001,$A$41)))</f>
        <v/>
      </c>
      <c r="Q48" s="208" t="str">
        <f>IF(Q$3="","",IF(COUNTIFS(BD!$A$3:$A$5001,Q$3,BD!$B$3:$B$5001,$A$41,BD!$J$3:$J$5001,"&lt;&gt;")=0,"",SUMIFS(BD!$J$3:$J$5001,BD!$A$3:$A$5001,Q$3,BD!$B$3:$B$5001,$A$41)))</f>
        <v/>
      </c>
      <c r="R48" s="208" t="str">
        <f>IF(R$3="","",IF(COUNTIFS(BD!$A$3:$A$5001,R$3,BD!$B$3:$B$5001,$A$41,BD!$J$3:$J$5001,"&lt;&gt;")=0,"",SUMIFS(BD!$J$3:$J$5001,BD!$A$3:$A$5001,R$3,BD!$B$3:$B$5001,$A$41)))</f>
        <v/>
      </c>
      <c r="S48" s="208" t="str">
        <f>IF(S$3="","",IF(COUNTIFS(BD!$A$3:$A$5001,S$3,BD!$B$3:$B$5001,$A$41,BD!$J$3:$J$5001,"&lt;&gt;")=0,"",SUMIFS(BD!$J$3:$J$5001,BD!$A$3:$A$5001,S$3,BD!$B$3:$B$5001,$A$41)))</f>
        <v/>
      </c>
      <c r="T48" s="208" t="str">
        <f>IF(T$3="","",IF(COUNTIFS(BD!$A$3:$A$5001,T$3,BD!$B$3:$B$5001,$A$41,BD!$J$3:$J$5001,"&lt;&gt;")=0,"",SUMIFS(BD!$J$3:$J$5001,BD!$A$3:$A$5001,T$3,BD!$B$3:$B$5001,$A$41)))</f>
        <v/>
      </c>
      <c r="U48" s="208" t="str">
        <f>IF(U$3="","",IF(COUNTIFS(BD!$A$3:$A$5001,U$3,BD!$B$3:$B$5001,$A$41,BD!$J$3:$J$5001,"&lt;&gt;")=0,"",SUMIFS(BD!$J$3:$J$5001,BD!$A$3:$A$5001,U$3,BD!$B$3:$B$5001,$A$41)))</f>
        <v/>
      </c>
      <c r="V48" s="208" t="str">
        <f>IF(V$3="","",IF(COUNTIFS(BD!$A$3:$A$5001,V$3,BD!$B$3:$B$5001,$A$41,BD!$J$3:$J$5001,"&lt;&gt;")=0,"",SUMIFS(BD!$J$3:$J$5001,BD!$A$3:$A$5001,V$3,BD!$B$3:$B$5001,$A$41)))</f>
        <v/>
      </c>
      <c r="W48" s="208" t="str">
        <f>IF(W$3="","",IF(COUNTIFS(BD!$A$3:$A$5001,W$3,BD!$B$3:$B$5001,$A$41,BD!$J$3:$J$5001,"&lt;&gt;")=0,"",SUMIFS(BD!$J$3:$J$5001,BD!$A$3:$A$5001,W$3,BD!$B$3:$B$5001,$A$41)))</f>
        <v/>
      </c>
      <c r="X48" s="208" t="str">
        <f>IF(X$3="","",IF(COUNTIFS(BD!$A$3:$A$5001,X$3,BD!$B$3:$B$5001,$A$41,BD!$J$3:$J$5001,"&lt;&gt;")=0,"",SUMIFS(BD!$J$3:$J$5001,BD!$A$3:$A$5001,X$3,BD!$B$3:$B$5001,$A$41)))</f>
        <v/>
      </c>
      <c r="Y48" s="208" t="str">
        <f>IF(Y$3="","",IF(COUNTIFS(BD!$A$3:$A$5001,Y$3,BD!$B$3:$B$5001,$A$41,BD!$J$3:$J$5001,"&lt;&gt;")=0,"",SUMIFS(BD!$J$3:$J$5001,BD!$A$3:$A$5001,Y$3,BD!$B$3:$B$5001,$A$41)))</f>
        <v/>
      </c>
      <c r="Z48" s="208" t="str">
        <f>IF(Z$3="","",IF(COUNTIFS(BD!$A$3:$A$5001,Z$3,BD!$B$3:$B$5001,$A$41,BD!$J$3:$J$5001,"&lt;&gt;")=0,"",SUMIFS(BD!$J$3:$J$5001,BD!$A$3:$A$5001,Z$3,BD!$B$3:$B$5001,$A$41)))</f>
        <v/>
      </c>
      <c r="AA48" s="208" t="str">
        <f>IF(AA$3="","",IF(COUNTIFS(BD!$A$3:$A$5001,AA$3,BD!$B$3:$B$5001,$A$41,BD!$J$3:$J$5001,"&lt;&gt;")=0,"",SUMIFS(BD!$J$3:$J$5001,BD!$A$3:$A$5001,AA$3,BD!$B$3:$B$5001,$A$41)))</f>
        <v/>
      </c>
      <c r="AB48" s="208" t="str">
        <f>IF(AB$3="","",IF(COUNTIFS(BD!$A$3:$A$5001,AB$3,BD!$B$3:$B$5001,$A$41,BD!$J$3:$J$5001,"&lt;&gt;")=0,"",SUMIFS(BD!$J$3:$J$5001,BD!$A$3:$A$5001,AB$3,BD!$B$3:$B$5001,$A$41)))</f>
        <v/>
      </c>
      <c r="AC48" s="208" t="str">
        <f>IF(AC$3="","",IF(COUNTIFS(BD!$A$3:$A$5001,AC$3,BD!$B$3:$B$5001,$A$41,BD!$J$3:$J$5001,"&lt;&gt;")=0,"",SUMIFS(BD!$J$3:$J$5001,BD!$A$3:$A$5001,AC$3,BD!$B$3:$B$5001,$A$41)))</f>
        <v/>
      </c>
      <c r="AD48" s="208" t="str">
        <f>IF(AD$3="","",IF(COUNTIFS(BD!$A$3:$A$5001,AD$3,BD!$B$3:$B$5001,$A$41,BD!$J$3:$J$5001,"&lt;&gt;")=0,"",SUMIFS(BD!$J$3:$J$5001,BD!$A$3:$A$5001,AD$3,BD!$B$3:$B$5001,$A$41)))</f>
        <v/>
      </c>
      <c r="AE48" s="208" t="str">
        <f>IF(AE$3="","",IF(COUNTIFS(BD!$A$3:$A$5001,AE$3,BD!$B$3:$B$5001,$A$41,BD!$J$3:$J$5001,"&lt;&gt;")=0,"",SUMIFS(BD!$J$3:$J$5001,BD!$A$3:$A$5001,AE$3,BD!$B$3:$B$5001,$A$41)))</f>
        <v/>
      </c>
      <c r="AF48" s="208" t="str">
        <f>IF(AF$3="","",IF(COUNTIFS(BD!$A$3:$A$5001,AF$3,BD!$B$3:$B$5001,$A$41,BD!$J$3:$J$5001,"&lt;&gt;")=0,"",SUMIFS(BD!$J$3:$J$5001,BD!$A$3:$A$5001,AF$3,BD!$B$3:$B$5001,$A$41)))</f>
        <v/>
      </c>
      <c r="AG48" s="208" t="str">
        <f>IF(AG$3="","",IF(COUNTIFS(BD!$A$3:$A$5001,AG$3,BD!$B$3:$B$5001,$A$41,BD!$J$3:$J$5001,"&lt;&gt;")=0,"",SUMIFS(BD!$J$3:$J$5001,BD!$A$3:$A$5001,AG$3,BD!$B$3:$B$5001,$A$41)))</f>
        <v/>
      </c>
      <c r="AH48" s="208" t="str">
        <f>IF(AH$3="","",IF(COUNTIFS(BD!$A$3:$A$5001,AH$3,BD!$B$3:$B$5001,$A$41,BD!$J$3:$J$5001,"&lt;&gt;")=0,"",SUMIFS(BD!$J$3:$J$5001,BD!$A$3:$A$5001,AH$3,BD!$B$3:$B$5001,$A$41)))</f>
        <v/>
      </c>
      <c r="AI48" s="208" t="str">
        <f>IF(AI$3="","",IF(COUNTIFS(BD!$A$3:$A$5001,AI$3,BD!$B$3:$B$5001,$A$41,BD!$J$3:$J$5001,"&lt;&gt;")=0,"",SUMIFS(BD!$J$3:$J$5001,BD!$A$3:$A$5001,AI$3,BD!$B$3:$B$5001,$A$41)))</f>
        <v/>
      </c>
      <c r="AJ48" s="209" t="str">
        <f>IF(AJ$3="","",IF(COUNTIFS(BD!$A$3:$A$5001,AJ$3,BD!$B$3:$B$5001,$A$41,BD!$J$3:$J$5001,"&lt;&gt;")=0,"",SUMIFS(BD!$J$3:$J$5001,BD!$A$3:$A$5001,AJ$3,BD!$B$3:$B$5001,$A$41)))</f>
        <v/>
      </c>
      <c r="AK48" s="210" t="str">
        <f>IF(COUNT(F48:AJ48)=0,"",SUM(F48:AJ48))</f>
        <v/>
      </c>
    </row>
    <row r="49" ht="15.75" customHeight="1">
      <c r="A49" s="254"/>
      <c r="B49" s="249"/>
      <c r="C49" s="211" t="inlineStr">
        <is>
          <t xml:space="preserve">Backlog</t>
        </is>
      </c>
      <c r="D49" s="212" t="str">
        <f>IFERROR(1/(1/INDEX(BD!$Y$31:$AS$31,MATCH($A$41,BD!$Y$22:$AS$22,0))),"")</f>
        <v/>
      </c>
      <c r="E49" s="213"/>
      <c r="F49" s="214" t="str">
        <f>IF(F$3="","",IF(COUNTIFS(BD!$A$3:$A$5001,F$3,BD!$B$3:$B$5001,$A$41,BD!$K$3:$K$5001,"&lt;&gt;")=0,"",SUMIFS(BD!$K$3:$K$5001,BD!$A$3:$A$5001,F$3,BD!$B$3:$B$5001,$A$41)))</f>
        <v/>
      </c>
      <c r="G49" s="215" t="str">
        <f>IF(G$3="","",IF(COUNTIFS(BD!$A$3:$A$5001,G$3,BD!$B$3:$B$5001,$A$41,BD!$K$3:$K$5001,"&lt;&gt;")=0,"",SUMIFS(BD!$K$3:$K$5001,BD!$A$3:$A$5001,G$3,BD!$B$3:$B$5001,$A$41)))</f>
        <v/>
      </c>
      <c r="H49" s="215" t="str">
        <f>IF(H$3="","",IF(COUNTIFS(BD!$A$3:$A$5001,H$3,BD!$B$3:$B$5001,$A$41,BD!$K$3:$K$5001,"&lt;&gt;")=0,"",SUMIFS(BD!$K$3:$K$5001,BD!$A$3:$A$5001,H$3,BD!$B$3:$B$5001,$A$41)))</f>
        <v/>
      </c>
      <c r="I49" s="215" t="str">
        <f>IF(I$3="","",IF(COUNTIFS(BD!$A$3:$A$5001,I$3,BD!$B$3:$B$5001,$A$41,BD!$K$3:$K$5001,"&lt;&gt;")=0,"",SUMIFS(BD!$K$3:$K$5001,BD!$A$3:$A$5001,I$3,BD!$B$3:$B$5001,$A$41)))</f>
        <v/>
      </c>
      <c r="J49" s="215" t="str">
        <f>IF(J$3="","",IF(COUNTIFS(BD!$A$3:$A$5001,J$3,BD!$B$3:$B$5001,$A$41,BD!$K$3:$K$5001,"&lt;&gt;")=0,"",SUMIFS(BD!$K$3:$K$5001,BD!$A$3:$A$5001,J$3,BD!$B$3:$B$5001,$A$41)))</f>
        <v/>
      </c>
      <c r="K49" s="215" t="str">
        <f>IF(K$3="","",IF(COUNTIFS(BD!$A$3:$A$5001,K$3,BD!$B$3:$B$5001,$A$41,BD!$K$3:$K$5001,"&lt;&gt;")=0,"",SUMIFS(BD!$K$3:$K$5001,BD!$A$3:$A$5001,K$3,BD!$B$3:$B$5001,$A$41)))</f>
        <v/>
      </c>
      <c r="L49" s="215" t="str">
        <f>IF(L$3="","",IF(COUNTIFS(BD!$A$3:$A$5001,L$3,BD!$B$3:$B$5001,$A$41,BD!$K$3:$K$5001,"&lt;&gt;")=0,"",SUMIFS(BD!$K$3:$K$5001,BD!$A$3:$A$5001,L$3,BD!$B$3:$B$5001,$A$41)))</f>
        <v/>
      </c>
      <c r="M49" s="215" t="str">
        <f>IF(M$3="","",IF(COUNTIFS(BD!$A$3:$A$5001,M$3,BD!$B$3:$B$5001,$A$41,BD!$K$3:$K$5001,"&lt;&gt;")=0,"",SUMIFS(BD!$K$3:$K$5001,BD!$A$3:$A$5001,M$3,BD!$B$3:$B$5001,$A$41)))</f>
        <v/>
      </c>
      <c r="N49" s="215" t="str">
        <f>IF(N$3="","",IF(COUNTIFS(BD!$A$3:$A$5001,N$3,BD!$B$3:$B$5001,$A$41,BD!$K$3:$K$5001,"&lt;&gt;")=0,"",SUMIFS(BD!$K$3:$K$5001,BD!$A$3:$A$5001,N$3,BD!$B$3:$B$5001,$A$41)))</f>
        <v/>
      </c>
      <c r="O49" s="215" t="str">
        <f>IF(O$3="","",IF(COUNTIFS(BD!$A$3:$A$5001,O$3,BD!$B$3:$B$5001,$A$41,BD!$K$3:$K$5001,"&lt;&gt;")=0,"",SUMIFS(BD!$K$3:$K$5001,BD!$A$3:$A$5001,O$3,BD!$B$3:$B$5001,$A$41)))</f>
        <v/>
      </c>
      <c r="P49" s="215" t="str">
        <f>IF(P$3="","",IF(COUNTIFS(BD!$A$3:$A$5001,P$3,BD!$B$3:$B$5001,$A$41,BD!$K$3:$K$5001,"&lt;&gt;")=0,"",SUMIFS(BD!$K$3:$K$5001,BD!$A$3:$A$5001,P$3,BD!$B$3:$B$5001,$A$41)))</f>
        <v/>
      </c>
      <c r="Q49" s="215" t="str">
        <f>IF(Q$3="","",IF(COUNTIFS(BD!$A$3:$A$5001,Q$3,BD!$B$3:$B$5001,$A$41,BD!$K$3:$K$5001,"&lt;&gt;")=0,"",SUMIFS(BD!$K$3:$K$5001,BD!$A$3:$A$5001,Q$3,BD!$B$3:$B$5001,$A$41)))</f>
        <v/>
      </c>
      <c r="R49" s="215" t="str">
        <f>IF(R$3="","",IF(COUNTIFS(BD!$A$3:$A$5001,R$3,BD!$B$3:$B$5001,$A$41,BD!$K$3:$K$5001,"&lt;&gt;")=0,"",SUMIFS(BD!$K$3:$K$5001,BD!$A$3:$A$5001,R$3,BD!$B$3:$B$5001,$A$41)))</f>
        <v/>
      </c>
      <c r="S49" s="215" t="str">
        <f>IF(S$3="","",IF(COUNTIFS(BD!$A$3:$A$5001,S$3,BD!$B$3:$B$5001,$A$41,BD!$K$3:$K$5001,"&lt;&gt;")=0,"",SUMIFS(BD!$K$3:$K$5001,BD!$A$3:$A$5001,S$3,BD!$B$3:$B$5001,$A$41)))</f>
        <v/>
      </c>
      <c r="T49" s="215" t="str">
        <f>IF(T$3="","",IF(COUNTIFS(BD!$A$3:$A$5001,T$3,BD!$B$3:$B$5001,$A$41,BD!$K$3:$K$5001,"&lt;&gt;")=0,"",SUMIFS(BD!$K$3:$K$5001,BD!$A$3:$A$5001,T$3,BD!$B$3:$B$5001,$A$41)))</f>
        <v/>
      </c>
      <c r="U49" s="215" t="str">
        <f>IF(U$3="","",IF(COUNTIFS(BD!$A$3:$A$5001,U$3,BD!$B$3:$B$5001,$A$41,BD!$K$3:$K$5001,"&lt;&gt;")=0,"",SUMIFS(BD!$K$3:$K$5001,BD!$A$3:$A$5001,U$3,BD!$B$3:$B$5001,$A$41)))</f>
        <v/>
      </c>
      <c r="V49" s="215" t="str">
        <f>IF(V$3="","",IF(COUNTIFS(BD!$A$3:$A$5001,V$3,BD!$B$3:$B$5001,$A$41,BD!$K$3:$K$5001,"&lt;&gt;")=0,"",SUMIFS(BD!$K$3:$K$5001,BD!$A$3:$A$5001,V$3,BD!$B$3:$B$5001,$A$41)))</f>
        <v/>
      </c>
      <c r="W49" s="215" t="str">
        <f>IF(W$3="","",IF(COUNTIFS(BD!$A$3:$A$5001,W$3,BD!$B$3:$B$5001,$A$41,BD!$K$3:$K$5001,"&lt;&gt;")=0,"",SUMIFS(BD!$K$3:$K$5001,BD!$A$3:$A$5001,W$3,BD!$B$3:$B$5001,$A$41)))</f>
        <v/>
      </c>
      <c r="X49" s="215" t="str">
        <f>IF(X$3="","",IF(COUNTIFS(BD!$A$3:$A$5001,X$3,BD!$B$3:$B$5001,$A$41,BD!$K$3:$K$5001,"&lt;&gt;")=0,"",SUMIFS(BD!$K$3:$K$5001,BD!$A$3:$A$5001,X$3,BD!$B$3:$B$5001,$A$41)))</f>
        <v/>
      </c>
      <c r="Y49" s="215" t="str">
        <f>IF(Y$3="","",IF(COUNTIFS(BD!$A$3:$A$5001,Y$3,BD!$B$3:$B$5001,$A$41,BD!$K$3:$K$5001,"&lt;&gt;")=0,"",SUMIFS(BD!$K$3:$K$5001,BD!$A$3:$A$5001,Y$3,BD!$B$3:$B$5001,$A$41)))</f>
        <v/>
      </c>
      <c r="Z49" s="215" t="str">
        <f>IF(Z$3="","",IF(COUNTIFS(BD!$A$3:$A$5001,Z$3,BD!$B$3:$B$5001,$A$41,BD!$K$3:$K$5001,"&lt;&gt;")=0,"",SUMIFS(BD!$K$3:$K$5001,BD!$A$3:$A$5001,Z$3,BD!$B$3:$B$5001,$A$41)))</f>
        <v/>
      </c>
      <c r="AA49" s="215" t="str">
        <f>IF(AA$3="","",IF(COUNTIFS(BD!$A$3:$A$5001,AA$3,BD!$B$3:$B$5001,$A$41,BD!$K$3:$K$5001,"&lt;&gt;")=0,"",SUMIFS(BD!$K$3:$K$5001,BD!$A$3:$A$5001,AA$3,BD!$B$3:$B$5001,$A$41)))</f>
        <v/>
      </c>
      <c r="AB49" s="215" t="str">
        <f>IF(AB$3="","",IF(COUNTIFS(BD!$A$3:$A$5001,AB$3,BD!$B$3:$B$5001,$A$41,BD!$K$3:$K$5001,"&lt;&gt;")=0,"",SUMIFS(BD!$K$3:$K$5001,BD!$A$3:$A$5001,AB$3,BD!$B$3:$B$5001,$A$41)))</f>
        <v/>
      </c>
      <c r="AC49" s="215" t="str">
        <f>IF(AC$3="","",IF(COUNTIFS(BD!$A$3:$A$5001,AC$3,BD!$B$3:$B$5001,$A$41,BD!$K$3:$K$5001,"&lt;&gt;")=0,"",SUMIFS(BD!$K$3:$K$5001,BD!$A$3:$A$5001,AC$3,BD!$B$3:$B$5001,$A$41)))</f>
        <v/>
      </c>
      <c r="AD49" s="215" t="str">
        <f>IF(AD$3="","",IF(COUNTIFS(BD!$A$3:$A$5001,AD$3,BD!$B$3:$B$5001,$A$41,BD!$K$3:$K$5001,"&lt;&gt;")=0,"",SUMIFS(BD!$K$3:$K$5001,BD!$A$3:$A$5001,AD$3,BD!$B$3:$B$5001,$A$41)))</f>
        <v/>
      </c>
      <c r="AE49" s="215" t="str">
        <f>IF(AE$3="","",IF(COUNTIFS(BD!$A$3:$A$5001,AE$3,BD!$B$3:$B$5001,$A$41,BD!$K$3:$K$5001,"&lt;&gt;")=0,"",SUMIFS(BD!$K$3:$K$5001,BD!$A$3:$A$5001,AE$3,BD!$B$3:$B$5001,$A$41)))</f>
        <v/>
      </c>
      <c r="AF49" s="215" t="str">
        <f>IF(AF$3="","",IF(COUNTIFS(BD!$A$3:$A$5001,AF$3,BD!$B$3:$B$5001,$A$41,BD!$K$3:$K$5001,"&lt;&gt;")=0,"",SUMIFS(BD!$K$3:$K$5001,BD!$A$3:$A$5001,AF$3,BD!$B$3:$B$5001,$A$41)))</f>
        <v/>
      </c>
      <c r="AG49" s="215" t="str">
        <f>IF(AG$3="","",IF(COUNTIFS(BD!$A$3:$A$5001,AG$3,BD!$B$3:$B$5001,$A$41,BD!$K$3:$K$5001,"&lt;&gt;")=0,"",SUMIFS(BD!$K$3:$K$5001,BD!$A$3:$A$5001,AG$3,BD!$B$3:$B$5001,$A$41)))</f>
        <v/>
      </c>
      <c r="AH49" s="215" t="str">
        <f>IF(AH$3="","",IF(COUNTIFS(BD!$A$3:$A$5001,AH$3,BD!$B$3:$B$5001,$A$41,BD!$K$3:$K$5001,"&lt;&gt;")=0,"",SUMIFS(BD!$K$3:$K$5001,BD!$A$3:$A$5001,AH$3,BD!$B$3:$B$5001,$A$41)))</f>
        <v/>
      </c>
      <c r="AI49" s="215" t="str">
        <f>IF(AI$3="","",IF(COUNTIFS(BD!$A$3:$A$5001,AI$3,BD!$B$3:$B$5001,$A$41,BD!$K$3:$K$5001,"&lt;&gt;")=0,"",SUMIFS(BD!$K$3:$K$5001,BD!$A$3:$A$5001,AI$3,BD!$B$3:$B$5001,$A$41)))</f>
        <v/>
      </c>
      <c r="AJ49" s="216" t="str">
        <f>IF(AJ$3="","",IF(COUNTIFS(BD!$A$3:$A$5001,AJ$3,BD!$B$3:$B$5001,$A$41,BD!$K$3:$K$5001,"&lt;&gt;")=0,"",SUMIFS(BD!$K$3:$K$5001,BD!$A$3:$A$5001,AJ$3,BD!$B$3:$B$5001,$A$41)))</f>
        <v/>
      </c>
      <c r="AK49" s="212" t="str">
        <f>IFERROR(LOOKUP(9.99E+307,F49:AJ49),"")</f>
        <v/>
      </c>
    </row>
    <row r="50" ht="15.75" customHeight="1">
      <c r="A50" s="254"/>
      <c r="B50" s="262" t="inlineStr">
        <is>
          <t xml:space="preserve">OCUPAÇÃO (P.P)</t>
        </is>
      </c>
      <c r="C50" s="256" t="inlineStr">
        <is>
          <t xml:space="preserve">Posições Ocupadas</t>
        </is>
      </c>
      <c r="D50" s="257" t="str">
        <f>IFERROR(1/(1/INDEX(BD!$Y$33:$AS$33,MATCH($A$41,BD!$Y$22:$AS$22,0))),"")</f>
        <v/>
      </c>
      <c r="E50" s="258"/>
      <c r="F50" s="259" t="str">
        <f>IF(F$3="","",IF(COUNTIFS(BD!$A$3:$A$5001,F$3,BD!$B$3:$B$5001,$A$41,BD!$M$3:$M$5001,"&lt;&gt;")=0,"",SUMIFS(BD!$M$3:$M$5001,BD!$A$3:$A$5001,F$3,BD!$B$3:$B$5001,$A$41)))</f>
        <v/>
      </c>
      <c r="G50" s="260" t="str">
        <f>IF(G$3="","",IF(COUNTIFS(BD!$A$3:$A$5001,G$3,BD!$B$3:$B$5001,$A$41,BD!$M$3:$M$5001,"&lt;&gt;")=0,"",SUMIFS(BD!$M$3:$M$5001,BD!$A$3:$A$5001,G$3,BD!$B$3:$B$5001,$A$41)))</f>
        <v/>
      </c>
      <c r="H50" s="260" t="str">
        <f>IF(H$3="","",IF(COUNTIFS(BD!$A$3:$A$5001,H$3,BD!$B$3:$B$5001,$A$41,BD!$M$3:$M$5001,"&lt;&gt;")=0,"",SUMIFS(BD!$M$3:$M$5001,BD!$A$3:$A$5001,H$3,BD!$B$3:$B$5001,$A$41)))</f>
        <v/>
      </c>
      <c r="I50" s="260" t="str">
        <f>IF(I$3="","",IF(COUNTIFS(BD!$A$3:$A$5001,I$3,BD!$B$3:$B$5001,$A$41,BD!$M$3:$M$5001,"&lt;&gt;")=0,"",SUMIFS(BD!$M$3:$M$5001,BD!$A$3:$A$5001,I$3,BD!$B$3:$B$5001,$A$41)))</f>
        <v/>
      </c>
      <c r="J50" s="260" t="str">
        <f>IF(J$3="","",IF(COUNTIFS(BD!$A$3:$A$5001,J$3,BD!$B$3:$B$5001,$A$41,BD!$M$3:$M$5001,"&lt;&gt;")=0,"",SUMIFS(BD!$M$3:$M$5001,BD!$A$3:$A$5001,J$3,BD!$B$3:$B$5001,$A$41)))</f>
        <v/>
      </c>
      <c r="K50" s="260" t="str">
        <f>IF(K$3="","",IF(COUNTIFS(BD!$A$3:$A$5001,K$3,BD!$B$3:$B$5001,$A$41,BD!$M$3:$M$5001,"&lt;&gt;")=0,"",SUMIFS(BD!$M$3:$M$5001,BD!$A$3:$A$5001,K$3,BD!$B$3:$B$5001,$A$41)))</f>
        <v/>
      </c>
      <c r="L50" s="260" t="str">
        <f>IF(L$3="","",IF(COUNTIFS(BD!$A$3:$A$5001,L$3,BD!$B$3:$B$5001,$A$41,BD!$M$3:$M$5001,"&lt;&gt;")=0,"",SUMIFS(BD!$M$3:$M$5001,BD!$A$3:$A$5001,L$3,BD!$B$3:$B$5001,$A$41)))</f>
        <v/>
      </c>
      <c r="M50" s="260" t="str">
        <f>IF(M$3="","",IF(COUNTIFS(BD!$A$3:$A$5001,M$3,BD!$B$3:$B$5001,$A$41,BD!$M$3:$M$5001,"&lt;&gt;")=0,"",SUMIFS(BD!$M$3:$M$5001,BD!$A$3:$A$5001,M$3,BD!$B$3:$B$5001,$A$41)))</f>
        <v/>
      </c>
      <c r="N50" s="260" t="str">
        <f>IF(N$3="","",IF(COUNTIFS(BD!$A$3:$A$5001,N$3,BD!$B$3:$B$5001,$A$41,BD!$M$3:$M$5001,"&lt;&gt;")=0,"",SUMIFS(BD!$M$3:$M$5001,BD!$A$3:$A$5001,N$3,BD!$B$3:$B$5001,$A$41)))</f>
        <v/>
      </c>
      <c r="O50" s="260" t="str">
        <f>IF(O$3="","",IF(COUNTIFS(BD!$A$3:$A$5001,O$3,BD!$B$3:$B$5001,$A$41,BD!$M$3:$M$5001,"&lt;&gt;")=0,"",SUMIFS(BD!$M$3:$M$5001,BD!$A$3:$A$5001,O$3,BD!$B$3:$B$5001,$A$41)))</f>
        <v/>
      </c>
      <c r="P50" s="260" t="str">
        <f>IF(P$3="","",IF(COUNTIFS(BD!$A$3:$A$5001,P$3,BD!$B$3:$B$5001,$A$41,BD!$M$3:$M$5001,"&lt;&gt;")=0,"",SUMIFS(BD!$M$3:$M$5001,BD!$A$3:$A$5001,P$3,BD!$B$3:$B$5001,$A$41)))</f>
        <v/>
      </c>
      <c r="Q50" s="260" t="str">
        <f>IF(Q$3="","",IF(COUNTIFS(BD!$A$3:$A$5001,Q$3,BD!$B$3:$B$5001,$A$41,BD!$M$3:$M$5001,"&lt;&gt;")=0,"",SUMIFS(BD!$M$3:$M$5001,BD!$A$3:$A$5001,Q$3,BD!$B$3:$B$5001,$A$41)))</f>
        <v/>
      </c>
      <c r="R50" s="260" t="str">
        <f>IF(R$3="","",IF(COUNTIFS(BD!$A$3:$A$5001,R$3,BD!$B$3:$B$5001,$A$41,BD!$M$3:$M$5001,"&lt;&gt;")=0,"",SUMIFS(BD!$M$3:$M$5001,BD!$A$3:$A$5001,R$3,BD!$B$3:$B$5001,$A$41)))</f>
        <v/>
      </c>
      <c r="S50" s="260" t="str">
        <f>IF(S$3="","",IF(COUNTIFS(BD!$A$3:$A$5001,S$3,BD!$B$3:$B$5001,$A$41,BD!$M$3:$M$5001,"&lt;&gt;")=0,"",SUMIFS(BD!$M$3:$M$5001,BD!$A$3:$A$5001,S$3,BD!$B$3:$B$5001,$A$41)))</f>
        <v/>
      </c>
      <c r="T50" s="260" t="str">
        <f>IF(T$3="","",IF(COUNTIFS(BD!$A$3:$A$5001,T$3,BD!$B$3:$B$5001,$A$41,BD!$M$3:$M$5001,"&lt;&gt;")=0,"",SUMIFS(BD!$M$3:$M$5001,BD!$A$3:$A$5001,T$3,BD!$B$3:$B$5001,$A$41)))</f>
        <v/>
      </c>
      <c r="U50" s="260" t="str">
        <f>IF(U$3="","",IF(COUNTIFS(BD!$A$3:$A$5001,U$3,BD!$B$3:$B$5001,$A$41,BD!$M$3:$M$5001,"&lt;&gt;")=0,"",SUMIFS(BD!$M$3:$M$5001,BD!$A$3:$A$5001,U$3,BD!$B$3:$B$5001,$A$41)))</f>
        <v/>
      </c>
      <c r="V50" s="260" t="str">
        <f>IF(V$3="","",IF(COUNTIFS(BD!$A$3:$A$5001,V$3,BD!$B$3:$B$5001,$A$41,BD!$M$3:$M$5001,"&lt;&gt;")=0,"",SUMIFS(BD!$M$3:$M$5001,BD!$A$3:$A$5001,V$3,BD!$B$3:$B$5001,$A$41)))</f>
        <v/>
      </c>
      <c r="W50" s="260" t="str">
        <f>IF(W$3="","",IF(COUNTIFS(BD!$A$3:$A$5001,W$3,BD!$B$3:$B$5001,$A$41,BD!$M$3:$M$5001,"&lt;&gt;")=0,"",SUMIFS(BD!$M$3:$M$5001,BD!$A$3:$A$5001,W$3,BD!$B$3:$B$5001,$A$41)))</f>
        <v/>
      </c>
      <c r="X50" s="260" t="str">
        <f>IF(X$3="","",IF(COUNTIFS(BD!$A$3:$A$5001,X$3,BD!$B$3:$B$5001,$A$41,BD!$M$3:$M$5001,"&lt;&gt;")=0,"",SUMIFS(BD!$M$3:$M$5001,BD!$A$3:$A$5001,X$3,BD!$B$3:$B$5001,$A$41)))</f>
        <v/>
      </c>
      <c r="Y50" s="260" t="str">
        <f>IF(Y$3="","",IF(COUNTIFS(BD!$A$3:$A$5001,Y$3,BD!$B$3:$B$5001,$A$41,BD!$M$3:$M$5001,"&lt;&gt;")=0,"",SUMIFS(BD!$M$3:$M$5001,BD!$A$3:$A$5001,Y$3,BD!$B$3:$B$5001,$A$41)))</f>
        <v/>
      </c>
      <c r="Z50" s="260" t="str">
        <f>IF(Z$3="","",IF(COUNTIFS(BD!$A$3:$A$5001,Z$3,BD!$B$3:$B$5001,$A$41,BD!$M$3:$M$5001,"&lt;&gt;")=0,"",SUMIFS(BD!$M$3:$M$5001,BD!$A$3:$A$5001,Z$3,BD!$B$3:$B$5001,$A$41)))</f>
        <v/>
      </c>
      <c r="AA50" s="260" t="str">
        <f>IF(AA$3="","",IF(COUNTIFS(BD!$A$3:$A$5001,AA$3,BD!$B$3:$B$5001,$A$41,BD!$M$3:$M$5001,"&lt;&gt;")=0,"",SUMIFS(BD!$M$3:$M$5001,BD!$A$3:$A$5001,AA$3,BD!$B$3:$B$5001,$A$41)))</f>
        <v/>
      </c>
      <c r="AB50" s="260" t="str">
        <f>IF(AB$3="","",IF(COUNTIFS(BD!$A$3:$A$5001,AB$3,BD!$B$3:$B$5001,$A$41,BD!$M$3:$M$5001,"&lt;&gt;")=0,"",SUMIFS(BD!$M$3:$M$5001,BD!$A$3:$A$5001,AB$3,BD!$B$3:$B$5001,$A$41)))</f>
        <v/>
      </c>
      <c r="AC50" s="260" t="str">
        <f>IF(AC$3="","",IF(COUNTIFS(BD!$A$3:$A$5001,AC$3,BD!$B$3:$B$5001,$A$41,BD!$M$3:$M$5001,"&lt;&gt;")=0,"",SUMIFS(BD!$M$3:$M$5001,BD!$A$3:$A$5001,AC$3,BD!$B$3:$B$5001,$A$41)))</f>
        <v/>
      </c>
      <c r="AD50" s="260" t="str">
        <f>IF(AD$3="","",IF(COUNTIFS(BD!$A$3:$A$5001,AD$3,BD!$B$3:$B$5001,$A$41,BD!$M$3:$M$5001,"&lt;&gt;")=0,"",SUMIFS(BD!$M$3:$M$5001,BD!$A$3:$A$5001,AD$3,BD!$B$3:$B$5001,$A$41)))</f>
        <v/>
      </c>
      <c r="AE50" s="260" t="str">
        <f>IF(AE$3="","",IF(COUNTIFS(BD!$A$3:$A$5001,AE$3,BD!$B$3:$B$5001,$A$41,BD!$M$3:$M$5001,"&lt;&gt;")=0,"",SUMIFS(BD!$M$3:$M$5001,BD!$A$3:$A$5001,AE$3,BD!$B$3:$B$5001,$A$41)))</f>
        <v/>
      </c>
      <c r="AF50" s="260" t="str">
        <f>IF(AF$3="","",IF(COUNTIFS(BD!$A$3:$A$5001,AF$3,BD!$B$3:$B$5001,$A$41,BD!$M$3:$M$5001,"&lt;&gt;")=0,"",SUMIFS(BD!$M$3:$M$5001,BD!$A$3:$A$5001,AF$3,BD!$B$3:$B$5001,$A$41)))</f>
        <v/>
      </c>
      <c r="AG50" s="260" t="str">
        <f>IF(AG$3="","",IF(COUNTIFS(BD!$A$3:$A$5001,AG$3,BD!$B$3:$B$5001,$A$41,BD!$M$3:$M$5001,"&lt;&gt;")=0,"",SUMIFS(BD!$M$3:$M$5001,BD!$A$3:$A$5001,AG$3,BD!$B$3:$B$5001,$A$41)))</f>
        <v/>
      </c>
      <c r="AH50" s="260" t="str">
        <f>IF(AH$3="","",IF(COUNTIFS(BD!$A$3:$A$5001,AH$3,BD!$B$3:$B$5001,$A$41,BD!$M$3:$M$5001,"&lt;&gt;")=0,"",SUMIFS(BD!$M$3:$M$5001,BD!$A$3:$A$5001,AH$3,BD!$B$3:$B$5001,$A$41)))</f>
        <v/>
      </c>
      <c r="AI50" s="260" t="str">
        <f>IF(AI$3="","",IF(COUNTIFS(BD!$A$3:$A$5001,AI$3,BD!$B$3:$B$5001,$A$41,BD!$M$3:$M$5001,"&lt;&gt;")=0,"",SUMIFS(BD!$M$3:$M$5001,BD!$A$3:$A$5001,AI$3,BD!$B$3:$B$5001,$A$41)))</f>
        <v/>
      </c>
      <c r="AJ50" s="261" t="str">
        <f>IF(AJ$3="","",IF(COUNTIFS(BD!$A$3:$A$5001,AJ$3,BD!$B$3:$B$5001,$A$41,BD!$M$3:$M$5001,"&lt;&gt;")=0,"",SUMIFS(BD!$M$3:$M$5001,BD!$A$3:$A$5001,AJ$3,BD!$B$3:$B$5001,$A$41)))</f>
        <v/>
      </c>
      <c r="AK50" s="257" t="str">
        <f>IFERROR(LOOKUP(9.99E+307,F50:AJ50),"")</f>
        <v/>
      </c>
    </row>
    <row r="51" ht="15.75" customHeight="1">
      <c r="A51" s="254"/>
      <c r="B51" s="250" t="inlineStr">
        <is>
          <t xml:space="preserve">GENTE</t>
        </is>
      </c>
      <c r="C51" s="221" t="inlineStr">
        <is>
          <t xml:space="preserve">Efetivo Op.</t>
        </is>
      </c>
      <c r="D51" s="222" t="str">
        <f>IFERROR(1/(1/INDEX(BD!$Y$35:$AS$35,MATCH($A$41,BD!$Y$22:$AS$22,0))),"")</f>
        <v/>
      </c>
      <c r="E51" s="223"/>
      <c r="F51" s="224" t="str">
        <f>IF(F$3="","",IF(COUNTIFS(BD!$A$3:$A$5001,F$3,BD!$B$3:$B$5001,$A$41,BD!$N$3:$N$5001,"&lt;&gt;")=0,"",SUMIFS(BD!$N$3:$N$5001,BD!$A$3:$A$5001,F$3,BD!$B$3:$B$5001,$A$41)))</f>
        <v/>
      </c>
      <c r="G51" s="225" t="str">
        <f>IF(G$3="","",IF(COUNTIFS(BD!$A$3:$A$5001,G$3,BD!$B$3:$B$5001,$A$41,BD!$N$3:$N$5001,"&lt;&gt;")=0,"",SUMIFS(BD!$N$3:$N$5001,BD!$A$3:$A$5001,G$3,BD!$B$3:$B$5001,$A$41)))</f>
        <v/>
      </c>
      <c r="H51" s="225" t="str">
        <f>IF(H$3="","",IF(COUNTIFS(BD!$A$3:$A$5001,H$3,BD!$B$3:$B$5001,$A$41,BD!$N$3:$N$5001,"&lt;&gt;")=0,"",SUMIFS(BD!$N$3:$N$5001,BD!$A$3:$A$5001,H$3,BD!$B$3:$B$5001,$A$41)))</f>
        <v/>
      </c>
      <c r="I51" s="225" t="str">
        <f>IF(I$3="","",IF(COUNTIFS(BD!$A$3:$A$5001,I$3,BD!$B$3:$B$5001,$A$41,BD!$N$3:$N$5001,"&lt;&gt;")=0,"",SUMIFS(BD!$N$3:$N$5001,BD!$A$3:$A$5001,I$3,BD!$B$3:$B$5001,$A$41)))</f>
        <v/>
      </c>
      <c r="J51" s="225" t="str">
        <f>IF(J$3="","",IF(COUNTIFS(BD!$A$3:$A$5001,J$3,BD!$B$3:$B$5001,$A$41,BD!$N$3:$N$5001,"&lt;&gt;")=0,"",SUMIFS(BD!$N$3:$N$5001,BD!$A$3:$A$5001,J$3,BD!$B$3:$B$5001,$A$41)))</f>
        <v/>
      </c>
      <c r="K51" s="225" t="str">
        <f>IF(K$3="","",IF(COUNTIFS(BD!$A$3:$A$5001,K$3,BD!$B$3:$B$5001,$A$41,BD!$N$3:$N$5001,"&lt;&gt;")=0,"",SUMIFS(BD!$N$3:$N$5001,BD!$A$3:$A$5001,K$3,BD!$B$3:$B$5001,$A$41)))</f>
        <v/>
      </c>
      <c r="L51" s="225" t="str">
        <f>IF(L$3="","",IF(COUNTIFS(BD!$A$3:$A$5001,L$3,BD!$B$3:$B$5001,$A$41,BD!$N$3:$N$5001,"&lt;&gt;")=0,"",SUMIFS(BD!$N$3:$N$5001,BD!$A$3:$A$5001,L$3,BD!$B$3:$B$5001,$A$41)))</f>
        <v/>
      </c>
      <c r="M51" s="225" t="str">
        <f>IF(M$3="","",IF(COUNTIFS(BD!$A$3:$A$5001,M$3,BD!$B$3:$B$5001,$A$41,BD!$N$3:$N$5001,"&lt;&gt;")=0,"",SUMIFS(BD!$N$3:$N$5001,BD!$A$3:$A$5001,M$3,BD!$B$3:$B$5001,$A$41)))</f>
        <v/>
      </c>
      <c r="N51" s="225" t="str">
        <f>IF(N$3="","",IF(COUNTIFS(BD!$A$3:$A$5001,N$3,BD!$B$3:$B$5001,$A$41,BD!$N$3:$N$5001,"&lt;&gt;")=0,"",SUMIFS(BD!$N$3:$N$5001,BD!$A$3:$A$5001,N$3,BD!$B$3:$B$5001,$A$41)))</f>
        <v/>
      </c>
      <c r="O51" s="225" t="str">
        <f>IF(O$3="","",IF(COUNTIFS(BD!$A$3:$A$5001,O$3,BD!$B$3:$B$5001,$A$41,BD!$N$3:$N$5001,"&lt;&gt;")=0,"",SUMIFS(BD!$N$3:$N$5001,BD!$A$3:$A$5001,O$3,BD!$B$3:$B$5001,$A$41)))</f>
        <v/>
      </c>
      <c r="P51" s="225" t="str">
        <f>IF(P$3="","",IF(COUNTIFS(BD!$A$3:$A$5001,P$3,BD!$B$3:$B$5001,$A$41,BD!$N$3:$N$5001,"&lt;&gt;")=0,"",SUMIFS(BD!$N$3:$N$5001,BD!$A$3:$A$5001,P$3,BD!$B$3:$B$5001,$A$41)))</f>
        <v/>
      </c>
      <c r="Q51" s="225" t="str">
        <f>IF(Q$3="","",IF(COUNTIFS(BD!$A$3:$A$5001,Q$3,BD!$B$3:$B$5001,$A$41,BD!$N$3:$N$5001,"&lt;&gt;")=0,"",SUMIFS(BD!$N$3:$N$5001,BD!$A$3:$A$5001,Q$3,BD!$B$3:$B$5001,$A$41)))</f>
        <v/>
      </c>
      <c r="R51" s="225" t="str">
        <f>IF(R$3="","",IF(COUNTIFS(BD!$A$3:$A$5001,R$3,BD!$B$3:$B$5001,$A$41,BD!$N$3:$N$5001,"&lt;&gt;")=0,"",SUMIFS(BD!$N$3:$N$5001,BD!$A$3:$A$5001,R$3,BD!$B$3:$B$5001,$A$41)))</f>
        <v/>
      </c>
      <c r="S51" s="225" t="str">
        <f>IF(S$3="","",IF(COUNTIFS(BD!$A$3:$A$5001,S$3,BD!$B$3:$B$5001,$A$41,BD!$N$3:$N$5001,"&lt;&gt;")=0,"",SUMIFS(BD!$N$3:$N$5001,BD!$A$3:$A$5001,S$3,BD!$B$3:$B$5001,$A$41)))</f>
        <v/>
      </c>
      <c r="T51" s="225" t="str">
        <f>IF(T$3="","",IF(COUNTIFS(BD!$A$3:$A$5001,T$3,BD!$B$3:$B$5001,$A$41,BD!$N$3:$N$5001,"&lt;&gt;")=0,"",SUMIFS(BD!$N$3:$N$5001,BD!$A$3:$A$5001,T$3,BD!$B$3:$B$5001,$A$41)))</f>
        <v/>
      </c>
      <c r="U51" s="225" t="str">
        <f>IF(U$3="","",IF(COUNTIFS(BD!$A$3:$A$5001,U$3,BD!$B$3:$B$5001,$A$41,BD!$N$3:$N$5001,"&lt;&gt;")=0,"",SUMIFS(BD!$N$3:$N$5001,BD!$A$3:$A$5001,U$3,BD!$B$3:$B$5001,$A$41)))</f>
        <v/>
      </c>
      <c r="V51" s="225" t="str">
        <f>IF(V$3="","",IF(COUNTIFS(BD!$A$3:$A$5001,V$3,BD!$B$3:$B$5001,$A$41,BD!$N$3:$N$5001,"&lt;&gt;")=0,"",SUMIFS(BD!$N$3:$N$5001,BD!$A$3:$A$5001,V$3,BD!$B$3:$B$5001,$A$41)))</f>
        <v/>
      </c>
      <c r="W51" s="225" t="str">
        <f>IF(W$3="","",IF(COUNTIFS(BD!$A$3:$A$5001,W$3,BD!$B$3:$B$5001,$A$41,BD!$N$3:$N$5001,"&lt;&gt;")=0,"",SUMIFS(BD!$N$3:$N$5001,BD!$A$3:$A$5001,W$3,BD!$B$3:$B$5001,$A$41)))</f>
        <v/>
      </c>
      <c r="X51" s="225" t="str">
        <f>IF(X$3="","",IF(COUNTIFS(BD!$A$3:$A$5001,X$3,BD!$B$3:$B$5001,$A$41,BD!$N$3:$N$5001,"&lt;&gt;")=0,"",SUMIFS(BD!$N$3:$N$5001,BD!$A$3:$A$5001,X$3,BD!$B$3:$B$5001,$A$41)))</f>
        <v/>
      </c>
      <c r="Y51" s="225" t="str">
        <f>IF(Y$3="","",IF(COUNTIFS(BD!$A$3:$A$5001,Y$3,BD!$B$3:$B$5001,$A$41,BD!$N$3:$N$5001,"&lt;&gt;")=0,"",SUMIFS(BD!$N$3:$N$5001,BD!$A$3:$A$5001,Y$3,BD!$B$3:$B$5001,$A$41)))</f>
        <v/>
      </c>
      <c r="Z51" s="225" t="str">
        <f>IF(Z$3="","",IF(COUNTIFS(BD!$A$3:$A$5001,Z$3,BD!$B$3:$B$5001,$A$41,BD!$N$3:$N$5001,"&lt;&gt;")=0,"",SUMIFS(BD!$N$3:$N$5001,BD!$A$3:$A$5001,Z$3,BD!$B$3:$B$5001,$A$41)))</f>
        <v/>
      </c>
      <c r="AA51" s="225" t="str">
        <f>IF(AA$3="","",IF(COUNTIFS(BD!$A$3:$A$5001,AA$3,BD!$B$3:$B$5001,$A$41,BD!$N$3:$N$5001,"&lt;&gt;")=0,"",SUMIFS(BD!$N$3:$N$5001,BD!$A$3:$A$5001,AA$3,BD!$B$3:$B$5001,$A$41)))</f>
        <v/>
      </c>
      <c r="AB51" s="225" t="str">
        <f>IF(AB$3="","",IF(COUNTIFS(BD!$A$3:$A$5001,AB$3,BD!$B$3:$B$5001,$A$41,BD!$N$3:$N$5001,"&lt;&gt;")=0,"",SUMIFS(BD!$N$3:$N$5001,BD!$A$3:$A$5001,AB$3,BD!$B$3:$B$5001,$A$41)))</f>
        <v/>
      </c>
      <c r="AC51" s="225" t="str">
        <f>IF(AC$3="","",IF(COUNTIFS(BD!$A$3:$A$5001,AC$3,BD!$B$3:$B$5001,$A$41,BD!$N$3:$N$5001,"&lt;&gt;")=0,"",SUMIFS(BD!$N$3:$N$5001,BD!$A$3:$A$5001,AC$3,BD!$B$3:$B$5001,$A$41)))</f>
        <v/>
      </c>
      <c r="AD51" s="225" t="str">
        <f>IF(AD$3="","",IF(COUNTIFS(BD!$A$3:$A$5001,AD$3,BD!$B$3:$B$5001,$A$41,BD!$N$3:$N$5001,"&lt;&gt;")=0,"",SUMIFS(BD!$N$3:$N$5001,BD!$A$3:$A$5001,AD$3,BD!$B$3:$B$5001,$A$41)))</f>
        <v/>
      </c>
      <c r="AE51" s="225" t="str">
        <f>IF(AE$3="","",IF(COUNTIFS(BD!$A$3:$A$5001,AE$3,BD!$B$3:$B$5001,$A$41,BD!$N$3:$N$5001,"&lt;&gt;")=0,"",SUMIFS(BD!$N$3:$N$5001,BD!$A$3:$A$5001,AE$3,BD!$B$3:$B$5001,$A$41)))</f>
        <v/>
      </c>
      <c r="AF51" s="225" t="str">
        <f>IF(AF$3="","",IF(COUNTIFS(BD!$A$3:$A$5001,AF$3,BD!$B$3:$B$5001,$A$41,BD!$N$3:$N$5001,"&lt;&gt;")=0,"",SUMIFS(BD!$N$3:$N$5001,BD!$A$3:$A$5001,AF$3,BD!$B$3:$B$5001,$A$41)))</f>
        <v/>
      </c>
      <c r="AG51" s="225" t="str">
        <f>IF(AG$3="","",IF(COUNTIFS(BD!$A$3:$A$5001,AG$3,BD!$B$3:$B$5001,$A$41,BD!$N$3:$N$5001,"&lt;&gt;")=0,"",SUMIFS(BD!$N$3:$N$5001,BD!$A$3:$A$5001,AG$3,BD!$B$3:$B$5001,$A$41)))</f>
        <v/>
      </c>
      <c r="AH51" s="225" t="str">
        <f>IF(AH$3="","",IF(COUNTIFS(BD!$A$3:$A$5001,AH$3,BD!$B$3:$B$5001,$A$41,BD!$N$3:$N$5001,"&lt;&gt;")=0,"",SUMIFS(BD!$N$3:$N$5001,BD!$A$3:$A$5001,AH$3,BD!$B$3:$B$5001,$A$41)))</f>
        <v/>
      </c>
      <c r="AI51" s="225" t="str">
        <f>IF(AI$3="","",IF(COUNTIFS(BD!$A$3:$A$5001,AI$3,BD!$B$3:$B$5001,$A$41,BD!$N$3:$N$5001,"&lt;&gt;")=0,"",SUMIFS(BD!$N$3:$N$5001,BD!$A$3:$A$5001,AI$3,BD!$B$3:$B$5001,$A$41)))</f>
        <v/>
      </c>
      <c r="AJ51" s="226" t="str">
        <f>IF(AJ$3="","",IF(COUNTIFS(BD!$A$3:$A$5001,AJ$3,BD!$B$3:$B$5001,$A$41,BD!$N$3:$N$5001,"&lt;&gt;")=0,"",SUMIFS(BD!$N$3:$N$5001,BD!$A$3:$A$5001,AJ$3,BD!$B$3:$B$5001,$A$41)))</f>
        <v/>
      </c>
      <c r="AK51" s="227" t="str">
        <f>IFERROR(LOOKUP(9.99E+307,F51:AJ51),"")</f>
        <v/>
      </c>
    </row>
    <row r="52" ht="15.75" customHeight="1">
      <c r="A52" s="254"/>
      <c r="B52" s="251"/>
      <c r="C52" s="228" t="inlineStr">
        <is>
          <t xml:space="preserve">Falta</t>
        </is>
      </c>
      <c r="D52" s="229" t="str">
        <f>IFERROR(1/(1/INDEX(BD!$Y$36:$AS$36,MATCH($A$41,BD!$Y$22:$AS$22,0))),"")</f>
        <v/>
      </c>
      <c r="E52" s="230"/>
      <c r="F52" s="231" t="str">
        <f>IF(F$3="","",IF(COUNTIFS(BD!$A$3:$A$5001,F$3,BD!$B$3:$B$5001,$A$41,BD!$O$3:$O$5001,"&lt;&gt;")=0,"",SUMIFS(BD!$O$3:$O$5001,BD!$A$3:$A$5001,F$3,BD!$B$3:$B$5001,$A$41)))</f>
        <v/>
      </c>
      <c r="G52" s="232" t="str">
        <f>IF(G$3="","",IF(COUNTIFS(BD!$A$3:$A$5001,G$3,BD!$B$3:$B$5001,$A$41,BD!$O$3:$O$5001,"&lt;&gt;")=0,"",SUMIFS(BD!$O$3:$O$5001,BD!$A$3:$A$5001,G$3,BD!$B$3:$B$5001,$A$41)))</f>
        <v/>
      </c>
      <c r="H52" s="232" t="str">
        <f>IF(H$3="","",IF(COUNTIFS(BD!$A$3:$A$5001,H$3,BD!$B$3:$B$5001,$A$41,BD!$O$3:$O$5001,"&lt;&gt;")=0,"",SUMIFS(BD!$O$3:$O$5001,BD!$A$3:$A$5001,H$3,BD!$B$3:$B$5001,$A$41)))</f>
        <v/>
      </c>
      <c r="I52" s="232" t="str">
        <f>IF(I$3="","",IF(COUNTIFS(BD!$A$3:$A$5001,I$3,BD!$B$3:$B$5001,$A$41,BD!$O$3:$O$5001,"&lt;&gt;")=0,"",SUMIFS(BD!$O$3:$O$5001,BD!$A$3:$A$5001,I$3,BD!$B$3:$B$5001,$A$41)))</f>
        <v/>
      </c>
      <c r="J52" s="232" t="str">
        <f>IF(J$3="","",IF(COUNTIFS(BD!$A$3:$A$5001,J$3,BD!$B$3:$B$5001,$A$41,BD!$O$3:$O$5001,"&lt;&gt;")=0,"",SUMIFS(BD!$O$3:$O$5001,BD!$A$3:$A$5001,J$3,BD!$B$3:$B$5001,$A$41)))</f>
        <v/>
      </c>
      <c r="K52" s="232" t="str">
        <f>IF(K$3="","",IF(COUNTIFS(BD!$A$3:$A$5001,K$3,BD!$B$3:$B$5001,$A$41,BD!$O$3:$O$5001,"&lt;&gt;")=0,"",SUMIFS(BD!$O$3:$O$5001,BD!$A$3:$A$5001,K$3,BD!$B$3:$B$5001,$A$41)))</f>
        <v/>
      </c>
      <c r="L52" s="232" t="str">
        <f>IF(L$3="","",IF(COUNTIFS(BD!$A$3:$A$5001,L$3,BD!$B$3:$B$5001,$A$41,BD!$O$3:$O$5001,"&lt;&gt;")=0,"",SUMIFS(BD!$O$3:$O$5001,BD!$A$3:$A$5001,L$3,BD!$B$3:$B$5001,$A$41)))</f>
        <v/>
      </c>
      <c r="M52" s="232" t="str">
        <f>IF(M$3="","",IF(COUNTIFS(BD!$A$3:$A$5001,M$3,BD!$B$3:$B$5001,$A$41,BD!$O$3:$O$5001,"&lt;&gt;")=0,"",SUMIFS(BD!$O$3:$O$5001,BD!$A$3:$A$5001,M$3,BD!$B$3:$B$5001,$A$41)))</f>
        <v/>
      </c>
      <c r="N52" s="232" t="str">
        <f>IF(N$3="","",IF(COUNTIFS(BD!$A$3:$A$5001,N$3,BD!$B$3:$B$5001,$A$41,BD!$O$3:$O$5001,"&lt;&gt;")=0,"",SUMIFS(BD!$O$3:$O$5001,BD!$A$3:$A$5001,N$3,BD!$B$3:$B$5001,$A$41)))</f>
        <v/>
      </c>
      <c r="O52" s="232" t="str">
        <f>IF(O$3="","",IF(COUNTIFS(BD!$A$3:$A$5001,O$3,BD!$B$3:$B$5001,$A$41,BD!$O$3:$O$5001,"&lt;&gt;")=0,"",SUMIFS(BD!$O$3:$O$5001,BD!$A$3:$A$5001,O$3,BD!$B$3:$B$5001,$A$41)))</f>
        <v/>
      </c>
      <c r="P52" s="232" t="str">
        <f>IF(P$3="","",IF(COUNTIFS(BD!$A$3:$A$5001,P$3,BD!$B$3:$B$5001,$A$41,BD!$O$3:$O$5001,"&lt;&gt;")=0,"",SUMIFS(BD!$O$3:$O$5001,BD!$A$3:$A$5001,P$3,BD!$B$3:$B$5001,$A$41)))</f>
        <v/>
      </c>
      <c r="Q52" s="232" t="str">
        <f>IF(Q$3="","",IF(COUNTIFS(BD!$A$3:$A$5001,Q$3,BD!$B$3:$B$5001,$A$41,BD!$O$3:$O$5001,"&lt;&gt;")=0,"",SUMIFS(BD!$O$3:$O$5001,BD!$A$3:$A$5001,Q$3,BD!$B$3:$B$5001,$A$41)))</f>
        <v/>
      </c>
      <c r="R52" s="232" t="str">
        <f>IF(R$3="","",IF(COUNTIFS(BD!$A$3:$A$5001,R$3,BD!$B$3:$B$5001,$A$41,BD!$O$3:$O$5001,"&lt;&gt;")=0,"",SUMIFS(BD!$O$3:$O$5001,BD!$A$3:$A$5001,R$3,BD!$B$3:$B$5001,$A$41)))</f>
        <v/>
      </c>
      <c r="S52" s="232" t="str">
        <f>IF(S$3="","",IF(COUNTIFS(BD!$A$3:$A$5001,S$3,BD!$B$3:$B$5001,$A$41,BD!$O$3:$O$5001,"&lt;&gt;")=0,"",SUMIFS(BD!$O$3:$O$5001,BD!$A$3:$A$5001,S$3,BD!$B$3:$B$5001,$A$41)))</f>
        <v/>
      </c>
      <c r="T52" s="232" t="str">
        <f>IF(T$3="","",IF(COUNTIFS(BD!$A$3:$A$5001,T$3,BD!$B$3:$B$5001,$A$41,BD!$O$3:$O$5001,"&lt;&gt;")=0,"",SUMIFS(BD!$O$3:$O$5001,BD!$A$3:$A$5001,T$3,BD!$B$3:$B$5001,$A$41)))</f>
        <v/>
      </c>
      <c r="U52" s="232" t="str">
        <f>IF(U$3="","",IF(COUNTIFS(BD!$A$3:$A$5001,U$3,BD!$B$3:$B$5001,$A$41,BD!$O$3:$O$5001,"&lt;&gt;")=0,"",SUMIFS(BD!$O$3:$O$5001,BD!$A$3:$A$5001,U$3,BD!$B$3:$B$5001,$A$41)))</f>
        <v/>
      </c>
      <c r="V52" s="232" t="str">
        <f>IF(V$3="","",IF(COUNTIFS(BD!$A$3:$A$5001,V$3,BD!$B$3:$B$5001,$A$41,BD!$O$3:$O$5001,"&lt;&gt;")=0,"",SUMIFS(BD!$O$3:$O$5001,BD!$A$3:$A$5001,V$3,BD!$B$3:$B$5001,$A$41)))</f>
        <v/>
      </c>
      <c r="W52" s="232" t="str">
        <f>IF(W$3="","",IF(COUNTIFS(BD!$A$3:$A$5001,W$3,BD!$B$3:$B$5001,$A$41,BD!$O$3:$O$5001,"&lt;&gt;")=0,"",SUMIFS(BD!$O$3:$O$5001,BD!$A$3:$A$5001,W$3,BD!$B$3:$B$5001,$A$41)))</f>
        <v/>
      </c>
      <c r="X52" s="232" t="str">
        <f>IF(X$3="","",IF(COUNTIFS(BD!$A$3:$A$5001,X$3,BD!$B$3:$B$5001,$A$41,BD!$O$3:$O$5001,"&lt;&gt;")=0,"",SUMIFS(BD!$O$3:$O$5001,BD!$A$3:$A$5001,X$3,BD!$B$3:$B$5001,$A$41)))</f>
        <v/>
      </c>
      <c r="Y52" s="232" t="str">
        <f>IF(Y$3="","",IF(COUNTIFS(BD!$A$3:$A$5001,Y$3,BD!$B$3:$B$5001,$A$41,BD!$O$3:$O$5001,"&lt;&gt;")=0,"",SUMIFS(BD!$O$3:$O$5001,BD!$A$3:$A$5001,Y$3,BD!$B$3:$B$5001,$A$41)))</f>
        <v/>
      </c>
      <c r="Z52" s="232" t="str">
        <f>IF(Z$3="","",IF(COUNTIFS(BD!$A$3:$A$5001,Z$3,BD!$B$3:$B$5001,$A$41,BD!$O$3:$O$5001,"&lt;&gt;")=0,"",SUMIFS(BD!$O$3:$O$5001,BD!$A$3:$A$5001,Z$3,BD!$B$3:$B$5001,$A$41)))</f>
        <v/>
      </c>
      <c r="AA52" s="232" t="str">
        <f>IF(AA$3="","",IF(COUNTIFS(BD!$A$3:$A$5001,AA$3,BD!$B$3:$B$5001,$A$41,BD!$O$3:$O$5001,"&lt;&gt;")=0,"",SUMIFS(BD!$O$3:$O$5001,BD!$A$3:$A$5001,AA$3,BD!$B$3:$B$5001,$A$41)))</f>
        <v/>
      </c>
      <c r="AB52" s="232" t="str">
        <f>IF(AB$3="","",IF(COUNTIFS(BD!$A$3:$A$5001,AB$3,BD!$B$3:$B$5001,$A$41,BD!$O$3:$O$5001,"&lt;&gt;")=0,"",SUMIFS(BD!$O$3:$O$5001,BD!$A$3:$A$5001,AB$3,BD!$B$3:$B$5001,$A$41)))</f>
        <v/>
      </c>
      <c r="AC52" s="232" t="str">
        <f>IF(AC$3="","",IF(COUNTIFS(BD!$A$3:$A$5001,AC$3,BD!$B$3:$B$5001,$A$41,BD!$O$3:$O$5001,"&lt;&gt;")=0,"",SUMIFS(BD!$O$3:$O$5001,BD!$A$3:$A$5001,AC$3,BD!$B$3:$B$5001,$A$41)))</f>
        <v/>
      </c>
      <c r="AD52" s="232" t="str">
        <f>IF(AD$3="","",IF(COUNTIFS(BD!$A$3:$A$5001,AD$3,BD!$B$3:$B$5001,$A$41,BD!$O$3:$O$5001,"&lt;&gt;")=0,"",SUMIFS(BD!$O$3:$O$5001,BD!$A$3:$A$5001,AD$3,BD!$B$3:$B$5001,$A$41)))</f>
        <v/>
      </c>
      <c r="AE52" s="232" t="str">
        <f>IF(AE$3="","",IF(COUNTIFS(BD!$A$3:$A$5001,AE$3,BD!$B$3:$B$5001,$A$41,BD!$O$3:$O$5001,"&lt;&gt;")=0,"",SUMIFS(BD!$O$3:$O$5001,BD!$A$3:$A$5001,AE$3,BD!$B$3:$B$5001,$A$41)))</f>
        <v/>
      </c>
      <c r="AF52" s="232" t="str">
        <f>IF(AF$3="","",IF(COUNTIFS(BD!$A$3:$A$5001,AF$3,BD!$B$3:$B$5001,$A$41,BD!$O$3:$O$5001,"&lt;&gt;")=0,"",SUMIFS(BD!$O$3:$O$5001,BD!$A$3:$A$5001,AF$3,BD!$B$3:$B$5001,$A$41)))</f>
        <v/>
      </c>
      <c r="AG52" s="232" t="str">
        <f>IF(AG$3="","",IF(COUNTIFS(BD!$A$3:$A$5001,AG$3,BD!$B$3:$B$5001,$A$41,BD!$O$3:$O$5001,"&lt;&gt;")=0,"",SUMIFS(BD!$O$3:$O$5001,BD!$A$3:$A$5001,AG$3,BD!$B$3:$B$5001,$A$41)))</f>
        <v/>
      </c>
      <c r="AH52" s="232" t="str">
        <f>IF(AH$3="","",IF(COUNTIFS(BD!$A$3:$A$5001,AH$3,BD!$B$3:$B$5001,$A$41,BD!$O$3:$O$5001,"&lt;&gt;")=0,"",SUMIFS(BD!$O$3:$O$5001,BD!$A$3:$A$5001,AH$3,BD!$B$3:$B$5001,$A$41)))</f>
        <v/>
      </c>
      <c r="AI52" s="232" t="str">
        <f>IF(AI$3="","",IF(COUNTIFS(BD!$A$3:$A$5001,AI$3,BD!$B$3:$B$5001,$A$41,BD!$O$3:$O$5001,"&lt;&gt;")=0,"",SUMIFS(BD!$O$3:$O$5001,BD!$A$3:$A$5001,AI$3,BD!$B$3:$B$5001,$A$41)))</f>
        <v/>
      </c>
      <c r="AJ52" s="233" t="str">
        <f>IF(AJ$3="","",IF(COUNTIFS(BD!$A$3:$A$5001,AJ$3,BD!$B$3:$B$5001,$A$41,BD!$O$3:$O$5001,"&lt;&gt;")=0,"",SUMIFS(BD!$O$3:$O$5001,BD!$A$3:$A$5001,AJ$3,BD!$B$3:$B$5001,$A$41)))</f>
        <v/>
      </c>
      <c r="AK52" s="234" t="str">
        <f>IF(COUNT(F52:AJ52)=0,"",SUM(F52:AJ52))</f>
        <v/>
      </c>
    </row>
    <row r="53" ht="15.75" customHeight="1">
      <c r="A53" s="254"/>
      <c r="B53" s="251"/>
      <c r="C53" s="228" t="inlineStr">
        <is>
          <t xml:space="preserve">Folga</t>
        </is>
      </c>
      <c r="D53" s="229" t="str">
        <f>IFERROR(1/(1/INDEX(BD!$Y$37:$AS$37,MATCH($A$41,BD!$Y$22:$AS$22,0))),"")</f>
        <v/>
      </c>
      <c r="E53" s="230"/>
      <c r="F53" s="231" t="str">
        <f>IF(F$3="","",IF(COUNTIFS(BD!$A$3:$A$5001,F$3,BD!$B$3:$B$5001,$A$41,BD!$P$3:$P$5001,"&lt;&gt;")=0,"",SUMIFS(BD!$P$3:$P$5001,BD!$A$3:$A$5001,F$3,BD!$B$3:$B$5001,$A$41)))</f>
        <v/>
      </c>
      <c r="G53" s="232" t="str">
        <f>IF(G$3="","",IF(COUNTIFS(BD!$A$3:$A$5001,G$3,BD!$B$3:$B$5001,$A$41,BD!$P$3:$P$5001,"&lt;&gt;")=0,"",SUMIFS(BD!$P$3:$P$5001,BD!$A$3:$A$5001,G$3,BD!$B$3:$B$5001,$A$41)))</f>
        <v/>
      </c>
      <c r="H53" s="232" t="str">
        <f>IF(H$3="","",IF(COUNTIFS(BD!$A$3:$A$5001,H$3,BD!$B$3:$B$5001,$A$41,BD!$P$3:$P$5001,"&lt;&gt;")=0,"",SUMIFS(BD!$P$3:$P$5001,BD!$A$3:$A$5001,H$3,BD!$B$3:$B$5001,$A$41)))</f>
        <v/>
      </c>
      <c r="I53" s="232" t="str">
        <f>IF(I$3="","",IF(COUNTIFS(BD!$A$3:$A$5001,I$3,BD!$B$3:$B$5001,$A$41,BD!$P$3:$P$5001,"&lt;&gt;")=0,"",SUMIFS(BD!$P$3:$P$5001,BD!$A$3:$A$5001,I$3,BD!$B$3:$B$5001,$A$41)))</f>
        <v/>
      </c>
      <c r="J53" s="232" t="str">
        <f>IF(J$3="","",IF(COUNTIFS(BD!$A$3:$A$5001,J$3,BD!$B$3:$B$5001,$A$41,BD!$P$3:$P$5001,"&lt;&gt;")=0,"",SUMIFS(BD!$P$3:$P$5001,BD!$A$3:$A$5001,J$3,BD!$B$3:$B$5001,$A$41)))</f>
        <v/>
      </c>
      <c r="K53" s="232" t="str">
        <f>IF(K$3="","",IF(COUNTIFS(BD!$A$3:$A$5001,K$3,BD!$B$3:$B$5001,$A$41,BD!$P$3:$P$5001,"&lt;&gt;")=0,"",SUMIFS(BD!$P$3:$P$5001,BD!$A$3:$A$5001,K$3,BD!$B$3:$B$5001,$A$41)))</f>
        <v/>
      </c>
      <c r="L53" s="232" t="str">
        <f>IF(L$3="","",IF(COUNTIFS(BD!$A$3:$A$5001,L$3,BD!$B$3:$B$5001,$A$41,BD!$P$3:$P$5001,"&lt;&gt;")=0,"",SUMIFS(BD!$P$3:$P$5001,BD!$A$3:$A$5001,L$3,BD!$B$3:$B$5001,$A$41)))</f>
        <v/>
      </c>
      <c r="M53" s="232" t="str">
        <f>IF(M$3="","",IF(COUNTIFS(BD!$A$3:$A$5001,M$3,BD!$B$3:$B$5001,$A$41,BD!$P$3:$P$5001,"&lt;&gt;")=0,"",SUMIFS(BD!$P$3:$P$5001,BD!$A$3:$A$5001,M$3,BD!$B$3:$B$5001,$A$41)))</f>
        <v/>
      </c>
      <c r="N53" s="232" t="str">
        <f>IF(N$3="","",IF(COUNTIFS(BD!$A$3:$A$5001,N$3,BD!$B$3:$B$5001,$A$41,BD!$P$3:$P$5001,"&lt;&gt;")=0,"",SUMIFS(BD!$P$3:$P$5001,BD!$A$3:$A$5001,N$3,BD!$B$3:$B$5001,$A$41)))</f>
        <v/>
      </c>
      <c r="O53" s="232" t="str">
        <f>IF(O$3="","",IF(COUNTIFS(BD!$A$3:$A$5001,O$3,BD!$B$3:$B$5001,$A$41,BD!$P$3:$P$5001,"&lt;&gt;")=0,"",SUMIFS(BD!$P$3:$P$5001,BD!$A$3:$A$5001,O$3,BD!$B$3:$B$5001,$A$41)))</f>
        <v/>
      </c>
      <c r="P53" s="232" t="str">
        <f>IF(P$3="","",IF(COUNTIFS(BD!$A$3:$A$5001,P$3,BD!$B$3:$B$5001,$A$41,BD!$P$3:$P$5001,"&lt;&gt;")=0,"",SUMIFS(BD!$P$3:$P$5001,BD!$A$3:$A$5001,P$3,BD!$B$3:$B$5001,$A$41)))</f>
        <v/>
      </c>
      <c r="Q53" s="232" t="str">
        <f>IF(Q$3="","",IF(COUNTIFS(BD!$A$3:$A$5001,Q$3,BD!$B$3:$B$5001,$A$41,BD!$P$3:$P$5001,"&lt;&gt;")=0,"",SUMIFS(BD!$P$3:$P$5001,BD!$A$3:$A$5001,Q$3,BD!$B$3:$B$5001,$A$41)))</f>
        <v/>
      </c>
      <c r="R53" s="232" t="str">
        <f>IF(R$3="","",IF(COUNTIFS(BD!$A$3:$A$5001,R$3,BD!$B$3:$B$5001,$A$41,BD!$P$3:$P$5001,"&lt;&gt;")=0,"",SUMIFS(BD!$P$3:$P$5001,BD!$A$3:$A$5001,R$3,BD!$B$3:$B$5001,$A$41)))</f>
        <v/>
      </c>
      <c r="S53" s="232" t="str">
        <f>IF(S$3="","",IF(COUNTIFS(BD!$A$3:$A$5001,S$3,BD!$B$3:$B$5001,$A$41,BD!$P$3:$P$5001,"&lt;&gt;")=0,"",SUMIFS(BD!$P$3:$P$5001,BD!$A$3:$A$5001,S$3,BD!$B$3:$B$5001,$A$41)))</f>
        <v/>
      </c>
      <c r="T53" s="232" t="str">
        <f>IF(T$3="","",IF(COUNTIFS(BD!$A$3:$A$5001,T$3,BD!$B$3:$B$5001,$A$41,BD!$P$3:$P$5001,"&lt;&gt;")=0,"",SUMIFS(BD!$P$3:$P$5001,BD!$A$3:$A$5001,T$3,BD!$B$3:$B$5001,$A$41)))</f>
        <v/>
      </c>
      <c r="U53" s="232" t="str">
        <f>IF(U$3="","",IF(COUNTIFS(BD!$A$3:$A$5001,U$3,BD!$B$3:$B$5001,$A$41,BD!$P$3:$P$5001,"&lt;&gt;")=0,"",SUMIFS(BD!$P$3:$P$5001,BD!$A$3:$A$5001,U$3,BD!$B$3:$B$5001,$A$41)))</f>
        <v/>
      </c>
      <c r="V53" s="232" t="str">
        <f>IF(V$3="","",IF(COUNTIFS(BD!$A$3:$A$5001,V$3,BD!$B$3:$B$5001,$A$41,BD!$P$3:$P$5001,"&lt;&gt;")=0,"",SUMIFS(BD!$P$3:$P$5001,BD!$A$3:$A$5001,V$3,BD!$B$3:$B$5001,$A$41)))</f>
        <v/>
      </c>
      <c r="W53" s="232" t="str">
        <f>IF(W$3="","",IF(COUNTIFS(BD!$A$3:$A$5001,W$3,BD!$B$3:$B$5001,$A$41,BD!$P$3:$P$5001,"&lt;&gt;")=0,"",SUMIFS(BD!$P$3:$P$5001,BD!$A$3:$A$5001,W$3,BD!$B$3:$B$5001,$A$41)))</f>
        <v/>
      </c>
      <c r="X53" s="232" t="str">
        <f>IF(X$3="","",IF(COUNTIFS(BD!$A$3:$A$5001,X$3,BD!$B$3:$B$5001,$A$41,BD!$P$3:$P$5001,"&lt;&gt;")=0,"",SUMIFS(BD!$P$3:$P$5001,BD!$A$3:$A$5001,X$3,BD!$B$3:$B$5001,$A$41)))</f>
        <v/>
      </c>
      <c r="Y53" s="232" t="str">
        <f>IF(Y$3="","",IF(COUNTIFS(BD!$A$3:$A$5001,Y$3,BD!$B$3:$B$5001,$A$41,BD!$P$3:$P$5001,"&lt;&gt;")=0,"",SUMIFS(BD!$P$3:$P$5001,BD!$A$3:$A$5001,Y$3,BD!$B$3:$B$5001,$A$41)))</f>
        <v/>
      </c>
      <c r="Z53" s="232" t="str">
        <f>IF(Z$3="","",IF(COUNTIFS(BD!$A$3:$A$5001,Z$3,BD!$B$3:$B$5001,$A$41,BD!$P$3:$P$5001,"&lt;&gt;")=0,"",SUMIFS(BD!$P$3:$P$5001,BD!$A$3:$A$5001,Z$3,BD!$B$3:$B$5001,$A$41)))</f>
        <v/>
      </c>
      <c r="AA53" s="232" t="str">
        <f>IF(AA$3="","",IF(COUNTIFS(BD!$A$3:$A$5001,AA$3,BD!$B$3:$B$5001,$A$41,BD!$P$3:$P$5001,"&lt;&gt;")=0,"",SUMIFS(BD!$P$3:$P$5001,BD!$A$3:$A$5001,AA$3,BD!$B$3:$B$5001,$A$41)))</f>
        <v/>
      </c>
      <c r="AB53" s="232" t="str">
        <f>IF(AB$3="","",IF(COUNTIFS(BD!$A$3:$A$5001,AB$3,BD!$B$3:$B$5001,$A$41,BD!$P$3:$P$5001,"&lt;&gt;")=0,"",SUMIFS(BD!$P$3:$P$5001,BD!$A$3:$A$5001,AB$3,BD!$B$3:$B$5001,$A$41)))</f>
        <v/>
      </c>
      <c r="AC53" s="232" t="str">
        <f>IF(AC$3="","",IF(COUNTIFS(BD!$A$3:$A$5001,AC$3,BD!$B$3:$B$5001,$A$41,BD!$P$3:$P$5001,"&lt;&gt;")=0,"",SUMIFS(BD!$P$3:$P$5001,BD!$A$3:$A$5001,AC$3,BD!$B$3:$B$5001,$A$41)))</f>
        <v/>
      </c>
      <c r="AD53" s="232" t="str">
        <f>IF(AD$3="","",IF(COUNTIFS(BD!$A$3:$A$5001,AD$3,BD!$B$3:$B$5001,$A$41,BD!$P$3:$P$5001,"&lt;&gt;")=0,"",SUMIFS(BD!$P$3:$P$5001,BD!$A$3:$A$5001,AD$3,BD!$B$3:$B$5001,$A$41)))</f>
        <v/>
      </c>
      <c r="AE53" s="232" t="str">
        <f>IF(AE$3="","",IF(COUNTIFS(BD!$A$3:$A$5001,AE$3,BD!$B$3:$B$5001,$A$41,BD!$P$3:$P$5001,"&lt;&gt;")=0,"",SUMIFS(BD!$P$3:$P$5001,BD!$A$3:$A$5001,AE$3,BD!$B$3:$B$5001,$A$41)))</f>
        <v/>
      </c>
      <c r="AF53" s="232" t="str">
        <f>IF(AF$3="","",IF(COUNTIFS(BD!$A$3:$A$5001,AF$3,BD!$B$3:$B$5001,$A$41,BD!$P$3:$P$5001,"&lt;&gt;")=0,"",SUMIFS(BD!$P$3:$P$5001,BD!$A$3:$A$5001,AF$3,BD!$B$3:$B$5001,$A$41)))</f>
        <v/>
      </c>
      <c r="AG53" s="232" t="str">
        <f>IF(AG$3="","",IF(COUNTIFS(BD!$A$3:$A$5001,AG$3,BD!$B$3:$B$5001,$A$41,BD!$P$3:$P$5001,"&lt;&gt;")=0,"",SUMIFS(BD!$P$3:$P$5001,BD!$A$3:$A$5001,AG$3,BD!$B$3:$B$5001,$A$41)))</f>
        <v/>
      </c>
      <c r="AH53" s="232" t="str">
        <f>IF(AH$3="","",IF(COUNTIFS(BD!$A$3:$A$5001,AH$3,BD!$B$3:$B$5001,$A$41,BD!$P$3:$P$5001,"&lt;&gt;")=0,"",SUMIFS(BD!$P$3:$P$5001,BD!$A$3:$A$5001,AH$3,BD!$B$3:$B$5001,$A$41)))</f>
        <v/>
      </c>
      <c r="AI53" s="232" t="str">
        <f>IF(AI$3="","",IF(COUNTIFS(BD!$A$3:$A$5001,AI$3,BD!$B$3:$B$5001,$A$41,BD!$P$3:$P$5001,"&lt;&gt;")=0,"",SUMIFS(BD!$P$3:$P$5001,BD!$A$3:$A$5001,AI$3,BD!$B$3:$B$5001,$A$41)))</f>
        <v/>
      </c>
      <c r="AJ53" s="233" t="str">
        <f>IF(AJ$3="","",IF(COUNTIFS(BD!$A$3:$A$5001,AJ$3,BD!$B$3:$B$5001,$A$41,BD!$P$3:$P$5001,"&lt;&gt;")=0,"",SUMIFS(BD!$P$3:$P$5001,BD!$A$3:$A$5001,AJ$3,BD!$B$3:$B$5001,$A$41)))</f>
        <v/>
      </c>
      <c r="AK53" s="234" t="str">
        <f>IF(COUNT(F53:AJ53)=0,"",SUM(F53:AJ53))</f>
        <v/>
      </c>
    </row>
    <row r="54" ht="15.75" customHeight="1">
      <c r="A54" s="254"/>
      <c r="B54" s="251"/>
      <c r="C54" s="228" t="inlineStr">
        <is>
          <t xml:space="preserve">Férias</t>
        </is>
      </c>
      <c r="D54" s="229" t="str">
        <f>IFERROR(1/(1/INDEX(BD!$Y$38:$AS$38,MATCH($A$41,BD!$Y$22:$AS$22,0))),"")</f>
        <v/>
      </c>
      <c r="E54" s="230"/>
      <c r="F54" s="231" t="str">
        <f>IF(F$3="","",IF(COUNTIFS(BD!$A$3:$A$5001,F$3,BD!$B$3:$B$5001,$A$41,BD!$Q$3:$Q$5001,"&lt;&gt;")=0,"",SUMIFS(BD!$Q$3:$Q$5001,BD!$A$3:$A$5001,F$3,BD!$B$3:$B$5001,$A$41)))</f>
        <v/>
      </c>
      <c r="G54" s="232" t="str">
        <f>IF(G$3="","",IF(COUNTIFS(BD!$A$3:$A$5001,G$3,BD!$B$3:$B$5001,$A$41,BD!$Q$3:$Q$5001,"&lt;&gt;")=0,"",SUMIFS(BD!$Q$3:$Q$5001,BD!$A$3:$A$5001,G$3,BD!$B$3:$B$5001,$A$41)))</f>
        <v/>
      </c>
      <c r="H54" s="232" t="str">
        <f>IF(H$3="","",IF(COUNTIFS(BD!$A$3:$A$5001,H$3,BD!$B$3:$B$5001,$A$41,BD!$Q$3:$Q$5001,"&lt;&gt;")=0,"",SUMIFS(BD!$Q$3:$Q$5001,BD!$A$3:$A$5001,H$3,BD!$B$3:$B$5001,$A$41)))</f>
        <v/>
      </c>
      <c r="I54" s="232" t="str">
        <f>IF(I$3="","",IF(COUNTIFS(BD!$A$3:$A$5001,I$3,BD!$B$3:$B$5001,$A$41,BD!$Q$3:$Q$5001,"&lt;&gt;")=0,"",SUMIFS(BD!$Q$3:$Q$5001,BD!$A$3:$A$5001,I$3,BD!$B$3:$B$5001,$A$41)))</f>
        <v/>
      </c>
      <c r="J54" s="232" t="str">
        <f>IF(J$3="","",IF(COUNTIFS(BD!$A$3:$A$5001,J$3,BD!$B$3:$B$5001,$A$41,BD!$Q$3:$Q$5001,"&lt;&gt;")=0,"",SUMIFS(BD!$Q$3:$Q$5001,BD!$A$3:$A$5001,J$3,BD!$B$3:$B$5001,$A$41)))</f>
        <v/>
      </c>
      <c r="K54" s="232" t="str">
        <f>IF(K$3="","",IF(COUNTIFS(BD!$A$3:$A$5001,K$3,BD!$B$3:$B$5001,$A$41,BD!$Q$3:$Q$5001,"&lt;&gt;")=0,"",SUMIFS(BD!$Q$3:$Q$5001,BD!$A$3:$A$5001,K$3,BD!$B$3:$B$5001,$A$41)))</f>
        <v/>
      </c>
      <c r="L54" s="232" t="str">
        <f>IF(L$3="","",IF(COUNTIFS(BD!$A$3:$A$5001,L$3,BD!$B$3:$B$5001,$A$41,BD!$Q$3:$Q$5001,"&lt;&gt;")=0,"",SUMIFS(BD!$Q$3:$Q$5001,BD!$A$3:$A$5001,L$3,BD!$B$3:$B$5001,$A$41)))</f>
        <v/>
      </c>
      <c r="M54" s="232" t="str">
        <f>IF(M$3="","",IF(COUNTIFS(BD!$A$3:$A$5001,M$3,BD!$B$3:$B$5001,$A$41,BD!$Q$3:$Q$5001,"&lt;&gt;")=0,"",SUMIFS(BD!$Q$3:$Q$5001,BD!$A$3:$A$5001,M$3,BD!$B$3:$B$5001,$A$41)))</f>
        <v/>
      </c>
      <c r="N54" s="232" t="str">
        <f>IF(N$3="","",IF(COUNTIFS(BD!$A$3:$A$5001,N$3,BD!$B$3:$B$5001,$A$41,BD!$Q$3:$Q$5001,"&lt;&gt;")=0,"",SUMIFS(BD!$Q$3:$Q$5001,BD!$A$3:$A$5001,N$3,BD!$B$3:$B$5001,$A$41)))</f>
        <v/>
      </c>
      <c r="O54" s="232" t="str">
        <f>IF(O$3="","",IF(COUNTIFS(BD!$A$3:$A$5001,O$3,BD!$B$3:$B$5001,$A$41,BD!$Q$3:$Q$5001,"&lt;&gt;")=0,"",SUMIFS(BD!$Q$3:$Q$5001,BD!$A$3:$A$5001,O$3,BD!$B$3:$B$5001,$A$41)))</f>
        <v/>
      </c>
      <c r="P54" s="232" t="str">
        <f>IF(P$3="","",IF(COUNTIFS(BD!$A$3:$A$5001,P$3,BD!$B$3:$B$5001,$A$41,BD!$Q$3:$Q$5001,"&lt;&gt;")=0,"",SUMIFS(BD!$Q$3:$Q$5001,BD!$A$3:$A$5001,P$3,BD!$B$3:$B$5001,$A$41)))</f>
        <v/>
      </c>
      <c r="Q54" s="232" t="str">
        <f>IF(Q$3="","",IF(COUNTIFS(BD!$A$3:$A$5001,Q$3,BD!$B$3:$B$5001,$A$41,BD!$Q$3:$Q$5001,"&lt;&gt;")=0,"",SUMIFS(BD!$Q$3:$Q$5001,BD!$A$3:$A$5001,Q$3,BD!$B$3:$B$5001,$A$41)))</f>
        <v/>
      </c>
      <c r="R54" s="232" t="str">
        <f>IF(R$3="","",IF(COUNTIFS(BD!$A$3:$A$5001,R$3,BD!$B$3:$B$5001,$A$41,BD!$Q$3:$Q$5001,"&lt;&gt;")=0,"",SUMIFS(BD!$Q$3:$Q$5001,BD!$A$3:$A$5001,R$3,BD!$B$3:$B$5001,$A$41)))</f>
        <v/>
      </c>
      <c r="S54" s="232" t="str">
        <f>IF(S$3="","",IF(COUNTIFS(BD!$A$3:$A$5001,S$3,BD!$B$3:$B$5001,$A$41,BD!$Q$3:$Q$5001,"&lt;&gt;")=0,"",SUMIFS(BD!$Q$3:$Q$5001,BD!$A$3:$A$5001,S$3,BD!$B$3:$B$5001,$A$41)))</f>
        <v/>
      </c>
      <c r="T54" s="232" t="str">
        <f>IF(T$3="","",IF(COUNTIFS(BD!$A$3:$A$5001,T$3,BD!$B$3:$B$5001,$A$41,BD!$Q$3:$Q$5001,"&lt;&gt;")=0,"",SUMIFS(BD!$Q$3:$Q$5001,BD!$A$3:$A$5001,T$3,BD!$B$3:$B$5001,$A$41)))</f>
        <v/>
      </c>
      <c r="U54" s="232" t="str">
        <f>IF(U$3="","",IF(COUNTIFS(BD!$A$3:$A$5001,U$3,BD!$B$3:$B$5001,$A$41,BD!$Q$3:$Q$5001,"&lt;&gt;")=0,"",SUMIFS(BD!$Q$3:$Q$5001,BD!$A$3:$A$5001,U$3,BD!$B$3:$B$5001,$A$41)))</f>
        <v/>
      </c>
      <c r="V54" s="232" t="str">
        <f>IF(V$3="","",IF(COUNTIFS(BD!$A$3:$A$5001,V$3,BD!$B$3:$B$5001,$A$41,BD!$Q$3:$Q$5001,"&lt;&gt;")=0,"",SUMIFS(BD!$Q$3:$Q$5001,BD!$A$3:$A$5001,V$3,BD!$B$3:$B$5001,$A$41)))</f>
        <v/>
      </c>
      <c r="W54" s="232" t="str">
        <f>IF(W$3="","",IF(COUNTIFS(BD!$A$3:$A$5001,W$3,BD!$B$3:$B$5001,$A$41,BD!$Q$3:$Q$5001,"&lt;&gt;")=0,"",SUMIFS(BD!$Q$3:$Q$5001,BD!$A$3:$A$5001,W$3,BD!$B$3:$B$5001,$A$41)))</f>
        <v/>
      </c>
      <c r="X54" s="232" t="str">
        <f>IF(X$3="","",IF(COUNTIFS(BD!$A$3:$A$5001,X$3,BD!$B$3:$B$5001,$A$41,BD!$Q$3:$Q$5001,"&lt;&gt;")=0,"",SUMIFS(BD!$Q$3:$Q$5001,BD!$A$3:$A$5001,X$3,BD!$B$3:$B$5001,$A$41)))</f>
        <v/>
      </c>
      <c r="Y54" s="232" t="str">
        <f>IF(Y$3="","",IF(COUNTIFS(BD!$A$3:$A$5001,Y$3,BD!$B$3:$B$5001,$A$41,BD!$Q$3:$Q$5001,"&lt;&gt;")=0,"",SUMIFS(BD!$Q$3:$Q$5001,BD!$A$3:$A$5001,Y$3,BD!$B$3:$B$5001,$A$41)))</f>
        <v/>
      </c>
      <c r="Z54" s="232" t="str">
        <f>IF(Z$3="","",IF(COUNTIFS(BD!$A$3:$A$5001,Z$3,BD!$B$3:$B$5001,$A$41,BD!$Q$3:$Q$5001,"&lt;&gt;")=0,"",SUMIFS(BD!$Q$3:$Q$5001,BD!$A$3:$A$5001,Z$3,BD!$B$3:$B$5001,$A$41)))</f>
        <v/>
      </c>
      <c r="AA54" s="232" t="str">
        <f>IF(AA$3="","",IF(COUNTIFS(BD!$A$3:$A$5001,AA$3,BD!$B$3:$B$5001,$A$41,BD!$Q$3:$Q$5001,"&lt;&gt;")=0,"",SUMIFS(BD!$Q$3:$Q$5001,BD!$A$3:$A$5001,AA$3,BD!$B$3:$B$5001,$A$41)))</f>
        <v/>
      </c>
      <c r="AB54" s="232" t="str">
        <f>IF(AB$3="","",IF(COUNTIFS(BD!$A$3:$A$5001,AB$3,BD!$B$3:$B$5001,$A$41,BD!$Q$3:$Q$5001,"&lt;&gt;")=0,"",SUMIFS(BD!$Q$3:$Q$5001,BD!$A$3:$A$5001,AB$3,BD!$B$3:$B$5001,$A$41)))</f>
        <v/>
      </c>
      <c r="AC54" s="232" t="str">
        <f>IF(AC$3="","",IF(COUNTIFS(BD!$A$3:$A$5001,AC$3,BD!$B$3:$B$5001,$A$41,BD!$Q$3:$Q$5001,"&lt;&gt;")=0,"",SUMIFS(BD!$Q$3:$Q$5001,BD!$A$3:$A$5001,AC$3,BD!$B$3:$B$5001,$A$41)))</f>
        <v/>
      </c>
      <c r="AD54" s="232" t="str">
        <f>IF(AD$3="","",IF(COUNTIFS(BD!$A$3:$A$5001,AD$3,BD!$B$3:$B$5001,$A$41,BD!$Q$3:$Q$5001,"&lt;&gt;")=0,"",SUMIFS(BD!$Q$3:$Q$5001,BD!$A$3:$A$5001,AD$3,BD!$B$3:$B$5001,$A$41)))</f>
        <v/>
      </c>
      <c r="AE54" s="232" t="str">
        <f>IF(AE$3="","",IF(COUNTIFS(BD!$A$3:$A$5001,AE$3,BD!$B$3:$B$5001,$A$41,BD!$Q$3:$Q$5001,"&lt;&gt;")=0,"",SUMIFS(BD!$Q$3:$Q$5001,BD!$A$3:$A$5001,AE$3,BD!$B$3:$B$5001,$A$41)))</f>
        <v/>
      </c>
      <c r="AF54" s="232" t="str">
        <f>IF(AF$3="","",IF(COUNTIFS(BD!$A$3:$A$5001,AF$3,BD!$B$3:$B$5001,$A$41,BD!$Q$3:$Q$5001,"&lt;&gt;")=0,"",SUMIFS(BD!$Q$3:$Q$5001,BD!$A$3:$A$5001,AF$3,BD!$B$3:$B$5001,$A$41)))</f>
        <v/>
      </c>
      <c r="AG54" s="232" t="str">
        <f>IF(AG$3="","",IF(COUNTIFS(BD!$A$3:$A$5001,AG$3,BD!$B$3:$B$5001,$A$41,BD!$Q$3:$Q$5001,"&lt;&gt;")=0,"",SUMIFS(BD!$Q$3:$Q$5001,BD!$A$3:$A$5001,AG$3,BD!$B$3:$B$5001,$A$41)))</f>
        <v/>
      </c>
      <c r="AH54" s="232" t="str">
        <f>IF(AH$3="","",IF(COUNTIFS(BD!$A$3:$A$5001,AH$3,BD!$B$3:$B$5001,$A$41,BD!$Q$3:$Q$5001,"&lt;&gt;")=0,"",SUMIFS(BD!$Q$3:$Q$5001,BD!$A$3:$A$5001,AH$3,BD!$B$3:$B$5001,$A$41)))</f>
        <v/>
      </c>
      <c r="AI54" s="232" t="str">
        <f>IF(AI$3="","",IF(COUNTIFS(BD!$A$3:$A$5001,AI$3,BD!$B$3:$B$5001,$A$41,BD!$Q$3:$Q$5001,"&lt;&gt;")=0,"",SUMIFS(BD!$Q$3:$Q$5001,BD!$A$3:$A$5001,AI$3,BD!$B$3:$B$5001,$A$41)))</f>
        <v/>
      </c>
      <c r="AJ54" s="233" t="str">
        <f>IF(AJ$3="","",IF(COUNTIFS(BD!$A$3:$A$5001,AJ$3,BD!$B$3:$B$5001,$A$41,BD!$Q$3:$Q$5001,"&lt;&gt;")=0,"",SUMIFS(BD!$Q$3:$Q$5001,BD!$A$3:$A$5001,AJ$3,BD!$B$3:$B$5001,$A$41)))</f>
        <v/>
      </c>
      <c r="AK54" s="234" t="str">
        <f>IF(COUNT(F54:AJ54)=0,"",SUM(F54:AJ54))</f>
        <v/>
      </c>
    </row>
    <row r="55" ht="15.75" customHeight="1">
      <c r="A55" s="254"/>
      <c r="B55" s="251"/>
      <c r="C55" s="228" t="inlineStr">
        <is>
          <t xml:space="preserve">Desligamento</t>
        </is>
      </c>
      <c r="D55" s="229" t="str">
        <f>IFERROR(1/(1/INDEX(BD!$Y$39:$AS$39,MATCH($A$41,BD!$Y$22:$AS$22,0))),"")</f>
        <v/>
      </c>
      <c r="E55" s="230"/>
      <c r="F55" s="231" t="str">
        <f>IF(F$3="","",IF(COUNTIFS(BD!$A$3:$A$5001,F$3,BD!$B$3:$B$5001,$A$41,BD!$R$3:$R$5001,"&lt;&gt;")=0,"",SUMIFS(BD!$R$3:$R$5001,BD!$A$3:$A$5001,F$3,BD!$B$3:$B$5001,$A$41)))</f>
        <v/>
      </c>
      <c r="G55" s="232" t="str">
        <f>IF(G$3="","",IF(COUNTIFS(BD!$A$3:$A$5001,G$3,BD!$B$3:$B$5001,$A$41,BD!$R$3:$R$5001,"&lt;&gt;")=0,"",SUMIFS(BD!$R$3:$R$5001,BD!$A$3:$A$5001,G$3,BD!$B$3:$B$5001,$A$41)))</f>
        <v/>
      </c>
      <c r="H55" s="232" t="str">
        <f>IF(H$3="","",IF(COUNTIFS(BD!$A$3:$A$5001,H$3,BD!$B$3:$B$5001,$A$41,BD!$R$3:$R$5001,"&lt;&gt;")=0,"",SUMIFS(BD!$R$3:$R$5001,BD!$A$3:$A$5001,H$3,BD!$B$3:$B$5001,$A$41)))</f>
        <v/>
      </c>
      <c r="I55" s="232" t="str">
        <f>IF(I$3="","",IF(COUNTIFS(BD!$A$3:$A$5001,I$3,BD!$B$3:$B$5001,$A$41,BD!$R$3:$R$5001,"&lt;&gt;")=0,"",SUMIFS(BD!$R$3:$R$5001,BD!$A$3:$A$5001,I$3,BD!$B$3:$B$5001,$A$41)))</f>
        <v/>
      </c>
      <c r="J55" s="232" t="str">
        <f>IF(J$3="","",IF(COUNTIFS(BD!$A$3:$A$5001,J$3,BD!$B$3:$B$5001,$A$41,BD!$R$3:$R$5001,"&lt;&gt;")=0,"",SUMIFS(BD!$R$3:$R$5001,BD!$A$3:$A$5001,J$3,BD!$B$3:$B$5001,$A$41)))</f>
        <v/>
      </c>
      <c r="K55" s="232" t="str">
        <f>IF(K$3="","",IF(COUNTIFS(BD!$A$3:$A$5001,K$3,BD!$B$3:$B$5001,$A$41,BD!$R$3:$R$5001,"&lt;&gt;")=0,"",SUMIFS(BD!$R$3:$R$5001,BD!$A$3:$A$5001,K$3,BD!$B$3:$B$5001,$A$41)))</f>
        <v/>
      </c>
      <c r="L55" s="232" t="str">
        <f>IF(L$3="","",IF(COUNTIFS(BD!$A$3:$A$5001,L$3,BD!$B$3:$B$5001,$A$41,BD!$R$3:$R$5001,"&lt;&gt;")=0,"",SUMIFS(BD!$R$3:$R$5001,BD!$A$3:$A$5001,L$3,BD!$B$3:$B$5001,$A$41)))</f>
        <v/>
      </c>
      <c r="M55" s="232" t="str">
        <f>IF(M$3="","",IF(COUNTIFS(BD!$A$3:$A$5001,M$3,BD!$B$3:$B$5001,$A$41,BD!$R$3:$R$5001,"&lt;&gt;")=0,"",SUMIFS(BD!$R$3:$R$5001,BD!$A$3:$A$5001,M$3,BD!$B$3:$B$5001,$A$41)))</f>
        <v/>
      </c>
      <c r="N55" s="232" t="str">
        <f>IF(N$3="","",IF(COUNTIFS(BD!$A$3:$A$5001,N$3,BD!$B$3:$B$5001,$A$41,BD!$R$3:$R$5001,"&lt;&gt;")=0,"",SUMIFS(BD!$R$3:$R$5001,BD!$A$3:$A$5001,N$3,BD!$B$3:$B$5001,$A$41)))</f>
        <v/>
      </c>
      <c r="O55" s="232" t="str">
        <f>IF(O$3="","",IF(COUNTIFS(BD!$A$3:$A$5001,O$3,BD!$B$3:$B$5001,$A$41,BD!$R$3:$R$5001,"&lt;&gt;")=0,"",SUMIFS(BD!$R$3:$R$5001,BD!$A$3:$A$5001,O$3,BD!$B$3:$B$5001,$A$41)))</f>
        <v/>
      </c>
      <c r="P55" s="232" t="str">
        <f>IF(P$3="","",IF(COUNTIFS(BD!$A$3:$A$5001,P$3,BD!$B$3:$B$5001,$A$41,BD!$R$3:$R$5001,"&lt;&gt;")=0,"",SUMIFS(BD!$R$3:$R$5001,BD!$A$3:$A$5001,P$3,BD!$B$3:$B$5001,$A$41)))</f>
        <v/>
      </c>
      <c r="Q55" s="232" t="str">
        <f>IF(Q$3="","",IF(COUNTIFS(BD!$A$3:$A$5001,Q$3,BD!$B$3:$B$5001,$A$41,BD!$R$3:$R$5001,"&lt;&gt;")=0,"",SUMIFS(BD!$R$3:$R$5001,BD!$A$3:$A$5001,Q$3,BD!$B$3:$B$5001,$A$41)))</f>
        <v/>
      </c>
      <c r="R55" s="232" t="str">
        <f>IF(R$3="","",IF(COUNTIFS(BD!$A$3:$A$5001,R$3,BD!$B$3:$B$5001,$A$41,BD!$R$3:$R$5001,"&lt;&gt;")=0,"",SUMIFS(BD!$R$3:$R$5001,BD!$A$3:$A$5001,R$3,BD!$B$3:$B$5001,$A$41)))</f>
        <v/>
      </c>
      <c r="S55" s="232" t="str">
        <f>IF(S$3="","",IF(COUNTIFS(BD!$A$3:$A$5001,S$3,BD!$B$3:$B$5001,$A$41,BD!$R$3:$R$5001,"&lt;&gt;")=0,"",SUMIFS(BD!$R$3:$R$5001,BD!$A$3:$A$5001,S$3,BD!$B$3:$B$5001,$A$41)))</f>
        <v/>
      </c>
      <c r="T55" s="232" t="str">
        <f>IF(T$3="","",IF(COUNTIFS(BD!$A$3:$A$5001,T$3,BD!$B$3:$B$5001,$A$41,BD!$R$3:$R$5001,"&lt;&gt;")=0,"",SUMIFS(BD!$R$3:$R$5001,BD!$A$3:$A$5001,T$3,BD!$B$3:$B$5001,$A$41)))</f>
        <v/>
      </c>
      <c r="U55" s="232" t="str">
        <f>IF(U$3="","",IF(COUNTIFS(BD!$A$3:$A$5001,U$3,BD!$B$3:$B$5001,$A$41,BD!$R$3:$R$5001,"&lt;&gt;")=0,"",SUMIFS(BD!$R$3:$R$5001,BD!$A$3:$A$5001,U$3,BD!$B$3:$B$5001,$A$41)))</f>
        <v/>
      </c>
      <c r="V55" s="232" t="str">
        <f>IF(V$3="","",IF(COUNTIFS(BD!$A$3:$A$5001,V$3,BD!$B$3:$B$5001,$A$41,BD!$R$3:$R$5001,"&lt;&gt;")=0,"",SUMIFS(BD!$R$3:$R$5001,BD!$A$3:$A$5001,V$3,BD!$B$3:$B$5001,$A$41)))</f>
        <v/>
      </c>
      <c r="W55" s="232" t="str">
        <f>IF(W$3="","",IF(COUNTIFS(BD!$A$3:$A$5001,W$3,BD!$B$3:$B$5001,$A$41,BD!$R$3:$R$5001,"&lt;&gt;")=0,"",SUMIFS(BD!$R$3:$R$5001,BD!$A$3:$A$5001,W$3,BD!$B$3:$B$5001,$A$41)))</f>
        <v/>
      </c>
      <c r="X55" s="232" t="str">
        <f>IF(X$3="","",IF(COUNTIFS(BD!$A$3:$A$5001,X$3,BD!$B$3:$B$5001,$A$41,BD!$R$3:$R$5001,"&lt;&gt;")=0,"",SUMIFS(BD!$R$3:$R$5001,BD!$A$3:$A$5001,X$3,BD!$B$3:$B$5001,$A$41)))</f>
        <v/>
      </c>
      <c r="Y55" s="232" t="str">
        <f>IF(Y$3="","",IF(COUNTIFS(BD!$A$3:$A$5001,Y$3,BD!$B$3:$B$5001,$A$41,BD!$R$3:$R$5001,"&lt;&gt;")=0,"",SUMIFS(BD!$R$3:$R$5001,BD!$A$3:$A$5001,Y$3,BD!$B$3:$B$5001,$A$41)))</f>
        <v/>
      </c>
      <c r="Z55" s="232" t="str">
        <f>IF(Z$3="","",IF(COUNTIFS(BD!$A$3:$A$5001,Z$3,BD!$B$3:$B$5001,$A$41,BD!$R$3:$R$5001,"&lt;&gt;")=0,"",SUMIFS(BD!$R$3:$R$5001,BD!$A$3:$A$5001,Z$3,BD!$B$3:$B$5001,$A$41)))</f>
        <v/>
      </c>
      <c r="AA55" s="232" t="str">
        <f>IF(AA$3="","",IF(COUNTIFS(BD!$A$3:$A$5001,AA$3,BD!$B$3:$B$5001,$A$41,BD!$R$3:$R$5001,"&lt;&gt;")=0,"",SUMIFS(BD!$R$3:$R$5001,BD!$A$3:$A$5001,AA$3,BD!$B$3:$B$5001,$A$41)))</f>
        <v/>
      </c>
      <c r="AB55" s="232" t="str">
        <f>IF(AB$3="","",IF(COUNTIFS(BD!$A$3:$A$5001,AB$3,BD!$B$3:$B$5001,$A$41,BD!$R$3:$R$5001,"&lt;&gt;")=0,"",SUMIFS(BD!$R$3:$R$5001,BD!$A$3:$A$5001,AB$3,BD!$B$3:$B$5001,$A$41)))</f>
        <v/>
      </c>
      <c r="AC55" s="232" t="str">
        <f>IF(AC$3="","",IF(COUNTIFS(BD!$A$3:$A$5001,AC$3,BD!$B$3:$B$5001,$A$41,BD!$R$3:$R$5001,"&lt;&gt;")=0,"",SUMIFS(BD!$R$3:$R$5001,BD!$A$3:$A$5001,AC$3,BD!$B$3:$B$5001,$A$41)))</f>
        <v/>
      </c>
      <c r="AD55" s="232" t="str">
        <f>IF(AD$3="","",IF(COUNTIFS(BD!$A$3:$A$5001,AD$3,BD!$B$3:$B$5001,$A$41,BD!$R$3:$R$5001,"&lt;&gt;")=0,"",SUMIFS(BD!$R$3:$R$5001,BD!$A$3:$A$5001,AD$3,BD!$B$3:$B$5001,$A$41)))</f>
        <v/>
      </c>
      <c r="AE55" s="232" t="str">
        <f>IF(AE$3="","",IF(COUNTIFS(BD!$A$3:$A$5001,AE$3,BD!$B$3:$B$5001,$A$41,BD!$R$3:$R$5001,"&lt;&gt;")=0,"",SUMIFS(BD!$R$3:$R$5001,BD!$A$3:$A$5001,AE$3,BD!$B$3:$B$5001,$A$41)))</f>
        <v/>
      </c>
      <c r="AF55" s="232" t="str">
        <f>IF(AF$3="","",IF(COUNTIFS(BD!$A$3:$A$5001,AF$3,BD!$B$3:$B$5001,$A$41,BD!$R$3:$R$5001,"&lt;&gt;")=0,"",SUMIFS(BD!$R$3:$R$5001,BD!$A$3:$A$5001,AF$3,BD!$B$3:$B$5001,$A$41)))</f>
        <v/>
      </c>
      <c r="AG55" s="232" t="str">
        <f>IF(AG$3="","",IF(COUNTIFS(BD!$A$3:$A$5001,AG$3,BD!$B$3:$B$5001,$A$41,BD!$R$3:$R$5001,"&lt;&gt;")=0,"",SUMIFS(BD!$R$3:$R$5001,BD!$A$3:$A$5001,AG$3,BD!$B$3:$B$5001,$A$41)))</f>
        <v/>
      </c>
      <c r="AH55" s="232" t="str">
        <f>IF(AH$3="","",IF(COUNTIFS(BD!$A$3:$A$5001,AH$3,BD!$B$3:$B$5001,$A$41,BD!$R$3:$R$5001,"&lt;&gt;")=0,"",SUMIFS(BD!$R$3:$R$5001,BD!$A$3:$A$5001,AH$3,BD!$B$3:$B$5001,$A$41)))</f>
        <v/>
      </c>
      <c r="AI55" s="232" t="str">
        <f>IF(AI$3="","",IF(COUNTIFS(BD!$A$3:$A$5001,AI$3,BD!$B$3:$B$5001,$A$41,BD!$R$3:$R$5001,"&lt;&gt;")=0,"",SUMIFS(BD!$R$3:$R$5001,BD!$A$3:$A$5001,AI$3,BD!$B$3:$B$5001,$A$41)))</f>
        <v/>
      </c>
      <c r="AJ55" s="233" t="str">
        <f>IF(AJ$3="","",IF(COUNTIFS(BD!$A$3:$A$5001,AJ$3,BD!$B$3:$B$5001,$A$41,BD!$R$3:$R$5001,"&lt;&gt;")=0,"",SUMIFS(BD!$R$3:$R$5001,BD!$A$3:$A$5001,AJ$3,BD!$B$3:$B$5001,$A$41)))</f>
        <v/>
      </c>
      <c r="AK55" s="234" t="str">
        <f>IF(COUNT(F55:AJ55)=0,"",SUM(F55:AJ55))</f>
        <v/>
      </c>
    </row>
    <row r="56" ht="15.75" customHeight="1">
      <c r="A56" s="254"/>
      <c r="B56" s="251"/>
      <c r="C56" s="228" t="inlineStr">
        <is>
          <t xml:space="preserve">Desvios Comportamentais</t>
        </is>
      </c>
      <c r="D56" s="229" t="str">
        <f>IFERROR(1/(1/INDEX(BD!$Y$40:$AS$40,MATCH($A$41,BD!$Y$22:$AS$22,0))),"")</f>
        <v/>
      </c>
      <c r="E56" s="230"/>
      <c r="F56" s="231" t="str">
        <f>IF(F$3="","",IF(COUNTIFS(BD!$A$3:$A$5001,F$3,BD!$B$3:$B$5001,$A$41,BD!$S$3:$S$5001,"&lt;&gt;")=0,"",SUMIFS(BD!$S$3:$S$5001,BD!$A$3:$A$5001,F$3,BD!$B$3:$B$5001,$A$41)))</f>
        <v/>
      </c>
      <c r="G56" s="232" t="str">
        <f>IF(G$3="","",IF(COUNTIFS(BD!$A$3:$A$5001,G$3,BD!$B$3:$B$5001,$A$41,BD!$S$3:$S$5001,"&lt;&gt;")=0,"",SUMIFS(BD!$S$3:$S$5001,BD!$A$3:$A$5001,G$3,BD!$B$3:$B$5001,$A$41)))</f>
        <v/>
      </c>
      <c r="H56" s="232" t="str">
        <f>IF(H$3="","",IF(COUNTIFS(BD!$A$3:$A$5001,H$3,BD!$B$3:$B$5001,$A$41,BD!$S$3:$S$5001,"&lt;&gt;")=0,"",SUMIFS(BD!$S$3:$S$5001,BD!$A$3:$A$5001,H$3,BD!$B$3:$B$5001,$A$41)))</f>
        <v/>
      </c>
      <c r="I56" s="232" t="str">
        <f>IF(I$3="","",IF(COUNTIFS(BD!$A$3:$A$5001,I$3,BD!$B$3:$B$5001,$A$41,BD!$S$3:$S$5001,"&lt;&gt;")=0,"",SUMIFS(BD!$S$3:$S$5001,BD!$A$3:$A$5001,I$3,BD!$B$3:$B$5001,$A$41)))</f>
        <v/>
      </c>
      <c r="J56" s="232" t="str">
        <f>IF(J$3="","",IF(COUNTIFS(BD!$A$3:$A$5001,J$3,BD!$B$3:$B$5001,$A$41,BD!$S$3:$S$5001,"&lt;&gt;")=0,"",SUMIFS(BD!$S$3:$S$5001,BD!$A$3:$A$5001,J$3,BD!$B$3:$B$5001,$A$41)))</f>
        <v/>
      </c>
      <c r="K56" s="232" t="str">
        <f>IF(K$3="","",IF(COUNTIFS(BD!$A$3:$A$5001,K$3,BD!$B$3:$B$5001,$A$41,BD!$S$3:$S$5001,"&lt;&gt;")=0,"",SUMIFS(BD!$S$3:$S$5001,BD!$A$3:$A$5001,K$3,BD!$B$3:$B$5001,$A$41)))</f>
        <v/>
      </c>
      <c r="L56" s="232" t="str">
        <f>IF(L$3="","",IF(COUNTIFS(BD!$A$3:$A$5001,L$3,BD!$B$3:$B$5001,$A$41,BD!$S$3:$S$5001,"&lt;&gt;")=0,"",SUMIFS(BD!$S$3:$S$5001,BD!$A$3:$A$5001,L$3,BD!$B$3:$B$5001,$A$41)))</f>
        <v/>
      </c>
      <c r="M56" s="232" t="str">
        <f>IF(M$3="","",IF(COUNTIFS(BD!$A$3:$A$5001,M$3,BD!$B$3:$B$5001,$A$41,BD!$S$3:$S$5001,"&lt;&gt;")=0,"",SUMIFS(BD!$S$3:$S$5001,BD!$A$3:$A$5001,M$3,BD!$B$3:$B$5001,$A$41)))</f>
        <v/>
      </c>
      <c r="N56" s="232" t="str">
        <f>IF(N$3="","",IF(COUNTIFS(BD!$A$3:$A$5001,N$3,BD!$B$3:$B$5001,$A$41,BD!$S$3:$S$5001,"&lt;&gt;")=0,"",SUMIFS(BD!$S$3:$S$5001,BD!$A$3:$A$5001,N$3,BD!$B$3:$B$5001,$A$41)))</f>
        <v/>
      </c>
      <c r="O56" s="232" t="str">
        <f>IF(O$3="","",IF(COUNTIFS(BD!$A$3:$A$5001,O$3,BD!$B$3:$B$5001,$A$41,BD!$S$3:$S$5001,"&lt;&gt;")=0,"",SUMIFS(BD!$S$3:$S$5001,BD!$A$3:$A$5001,O$3,BD!$B$3:$B$5001,$A$41)))</f>
        <v/>
      </c>
      <c r="P56" s="232" t="str">
        <f>IF(P$3="","",IF(COUNTIFS(BD!$A$3:$A$5001,P$3,BD!$B$3:$B$5001,$A$41,BD!$S$3:$S$5001,"&lt;&gt;")=0,"",SUMIFS(BD!$S$3:$S$5001,BD!$A$3:$A$5001,P$3,BD!$B$3:$B$5001,$A$41)))</f>
        <v/>
      </c>
      <c r="Q56" s="232" t="str">
        <f>IF(Q$3="","",IF(COUNTIFS(BD!$A$3:$A$5001,Q$3,BD!$B$3:$B$5001,$A$41,BD!$S$3:$S$5001,"&lt;&gt;")=0,"",SUMIFS(BD!$S$3:$S$5001,BD!$A$3:$A$5001,Q$3,BD!$B$3:$B$5001,$A$41)))</f>
        <v/>
      </c>
      <c r="R56" s="232" t="str">
        <f>IF(R$3="","",IF(COUNTIFS(BD!$A$3:$A$5001,R$3,BD!$B$3:$B$5001,$A$41,BD!$S$3:$S$5001,"&lt;&gt;")=0,"",SUMIFS(BD!$S$3:$S$5001,BD!$A$3:$A$5001,R$3,BD!$B$3:$B$5001,$A$41)))</f>
        <v/>
      </c>
      <c r="S56" s="232" t="str">
        <f>IF(S$3="","",IF(COUNTIFS(BD!$A$3:$A$5001,S$3,BD!$B$3:$B$5001,$A$41,BD!$S$3:$S$5001,"&lt;&gt;")=0,"",SUMIFS(BD!$S$3:$S$5001,BD!$A$3:$A$5001,S$3,BD!$B$3:$B$5001,$A$41)))</f>
        <v/>
      </c>
      <c r="T56" s="232" t="str">
        <f>IF(T$3="","",IF(COUNTIFS(BD!$A$3:$A$5001,T$3,BD!$B$3:$B$5001,$A$41,BD!$S$3:$S$5001,"&lt;&gt;")=0,"",SUMIFS(BD!$S$3:$S$5001,BD!$A$3:$A$5001,T$3,BD!$B$3:$B$5001,$A$41)))</f>
        <v/>
      </c>
      <c r="U56" s="232" t="str">
        <f>IF(U$3="","",IF(COUNTIFS(BD!$A$3:$A$5001,U$3,BD!$B$3:$B$5001,$A$41,BD!$S$3:$S$5001,"&lt;&gt;")=0,"",SUMIFS(BD!$S$3:$S$5001,BD!$A$3:$A$5001,U$3,BD!$B$3:$B$5001,$A$41)))</f>
        <v/>
      </c>
      <c r="V56" s="232" t="str">
        <f>IF(V$3="","",IF(COUNTIFS(BD!$A$3:$A$5001,V$3,BD!$B$3:$B$5001,$A$41,BD!$S$3:$S$5001,"&lt;&gt;")=0,"",SUMIFS(BD!$S$3:$S$5001,BD!$A$3:$A$5001,V$3,BD!$B$3:$B$5001,$A$41)))</f>
        <v/>
      </c>
      <c r="W56" s="232" t="str">
        <f>IF(W$3="","",IF(COUNTIFS(BD!$A$3:$A$5001,W$3,BD!$B$3:$B$5001,$A$41,BD!$S$3:$S$5001,"&lt;&gt;")=0,"",SUMIFS(BD!$S$3:$S$5001,BD!$A$3:$A$5001,W$3,BD!$B$3:$B$5001,$A$41)))</f>
        <v/>
      </c>
      <c r="X56" s="232" t="str">
        <f>IF(X$3="","",IF(COUNTIFS(BD!$A$3:$A$5001,X$3,BD!$B$3:$B$5001,$A$41,BD!$S$3:$S$5001,"&lt;&gt;")=0,"",SUMIFS(BD!$S$3:$S$5001,BD!$A$3:$A$5001,X$3,BD!$B$3:$B$5001,$A$41)))</f>
        <v/>
      </c>
      <c r="Y56" s="232" t="str">
        <f>IF(Y$3="","",IF(COUNTIFS(BD!$A$3:$A$5001,Y$3,BD!$B$3:$B$5001,$A$41,BD!$S$3:$S$5001,"&lt;&gt;")=0,"",SUMIFS(BD!$S$3:$S$5001,BD!$A$3:$A$5001,Y$3,BD!$B$3:$B$5001,$A$41)))</f>
        <v/>
      </c>
      <c r="Z56" s="232" t="str">
        <f>IF(Z$3="","",IF(COUNTIFS(BD!$A$3:$A$5001,Z$3,BD!$B$3:$B$5001,$A$41,BD!$S$3:$S$5001,"&lt;&gt;")=0,"",SUMIFS(BD!$S$3:$S$5001,BD!$A$3:$A$5001,Z$3,BD!$B$3:$B$5001,$A$41)))</f>
        <v/>
      </c>
      <c r="AA56" s="232" t="str">
        <f>IF(AA$3="","",IF(COUNTIFS(BD!$A$3:$A$5001,AA$3,BD!$B$3:$B$5001,$A$41,BD!$S$3:$S$5001,"&lt;&gt;")=0,"",SUMIFS(BD!$S$3:$S$5001,BD!$A$3:$A$5001,AA$3,BD!$B$3:$B$5001,$A$41)))</f>
        <v/>
      </c>
      <c r="AB56" s="232" t="str">
        <f>IF(AB$3="","",IF(COUNTIFS(BD!$A$3:$A$5001,AB$3,BD!$B$3:$B$5001,$A$41,BD!$S$3:$S$5001,"&lt;&gt;")=0,"",SUMIFS(BD!$S$3:$S$5001,BD!$A$3:$A$5001,AB$3,BD!$B$3:$B$5001,$A$41)))</f>
        <v/>
      </c>
      <c r="AC56" s="232" t="str">
        <f>IF(AC$3="","",IF(COUNTIFS(BD!$A$3:$A$5001,AC$3,BD!$B$3:$B$5001,$A$41,BD!$S$3:$S$5001,"&lt;&gt;")=0,"",SUMIFS(BD!$S$3:$S$5001,BD!$A$3:$A$5001,AC$3,BD!$B$3:$B$5001,$A$41)))</f>
        <v/>
      </c>
      <c r="AD56" s="232" t="str">
        <f>IF(AD$3="","",IF(COUNTIFS(BD!$A$3:$A$5001,AD$3,BD!$B$3:$B$5001,$A$41,BD!$S$3:$S$5001,"&lt;&gt;")=0,"",SUMIFS(BD!$S$3:$S$5001,BD!$A$3:$A$5001,AD$3,BD!$B$3:$B$5001,$A$41)))</f>
        <v/>
      </c>
      <c r="AE56" s="232" t="str">
        <f>IF(AE$3="","",IF(COUNTIFS(BD!$A$3:$A$5001,AE$3,BD!$B$3:$B$5001,$A$41,BD!$S$3:$S$5001,"&lt;&gt;")=0,"",SUMIFS(BD!$S$3:$S$5001,BD!$A$3:$A$5001,AE$3,BD!$B$3:$B$5001,$A$41)))</f>
        <v/>
      </c>
      <c r="AF56" s="232" t="str">
        <f>IF(AF$3="","",IF(COUNTIFS(BD!$A$3:$A$5001,AF$3,BD!$B$3:$B$5001,$A$41,BD!$S$3:$S$5001,"&lt;&gt;")=0,"",SUMIFS(BD!$S$3:$S$5001,BD!$A$3:$A$5001,AF$3,BD!$B$3:$B$5001,$A$41)))</f>
        <v/>
      </c>
      <c r="AG56" s="232" t="str">
        <f>IF(AG$3="","",IF(COUNTIFS(BD!$A$3:$A$5001,AG$3,BD!$B$3:$B$5001,$A$41,BD!$S$3:$S$5001,"&lt;&gt;")=0,"",SUMIFS(BD!$S$3:$S$5001,BD!$A$3:$A$5001,AG$3,BD!$B$3:$B$5001,$A$41)))</f>
        <v/>
      </c>
      <c r="AH56" s="232" t="str">
        <f>IF(AH$3="","",IF(COUNTIFS(BD!$A$3:$A$5001,AH$3,BD!$B$3:$B$5001,$A$41,BD!$S$3:$S$5001,"&lt;&gt;")=0,"",SUMIFS(BD!$S$3:$S$5001,BD!$A$3:$A$5001,AH$3,BD!$B$3:$B$5001,$A$41)))</f>
        <v/>
      </c>
      <c r="AI56" s="232" t="str">
        <f>IF(AI$3="","",IF(COUNTIFS(BD!$A$3:$A$5001,AI$3,BD!$B$3:$B$5001,$A$41,BD!$S$3:$S$5001,"&lt;&gt;")=0,"",SUMIFS(BD!$S$3:$S$5001,BD!$A$3:$A$5001,AI$3,BD!$B$3:$B$5001,$A$41)))</f>
        <v/>
      </c>
      <c r="AJ56" s="233" t="str">
        <f>IF(AJ$3="","",IF(COUNTIFS(BD!$A$3:$A$5001,AJ$3,BD!$B$3:$B$5001,$A$41,BD!$S$3:$S$5001,"&lt;&gt;")=0,"",SUMIFS(BD!$S$3:$S$5001,BD!$A$3:$A$5001,AJ$3,BD!$B$3:$B$5001,$A$41)))</f>
        <v/>
      </c>
      <c r="AK56" s="234" t="str">
        <f>IF(COUNT(F56:AJ56)=0,"",SUM(F56:AJ56))</f>
        <v/>
      </c>
    </row>
    <row r="57" ht="15.75" customHeight="1">
      <c r="A57" s="254"/>
      <c r="B57" s="251"/>
      <c r="C57" s="228" t="inlineStr">
        <is>
          <t xml:space="preserve">Acidentes CAF</t>
        </is>
      </c>
      <c r="D57" s="229" t="str">
        <f>IFERROR(1/(1/INDEX(BD!$Y$41:$AS$41,MATCH($A$41,BD!$Y$22:$AS$22,0))),"")</f>
        <v/>
      </c>
      <c r="E57" s="230"/>
      <c r="F57" s="231" t="str">
        <f>IF(F$3="","",IF(COUNTIFS(BD!$A$3:$A$5001,F$3,BD!$B$3:$B$5001,$A$41,BD!$T$3:$T$5001,"&lt;&gt;")=0,"",SUMIFS(BD!$T$3:$T$5001,BD!$A$3:$A$5001,F$3,BD!$B$3:$B$5001,$A$41)))</f>
        <v/>
      </c>
      <c r="G57" s="232" t="str">
        <f>IF(G$3="","",IF(COUNTIFS(BD!$A$3:$A$5001,G$3,BD!$B$3:$B$5001,$A$41,BD!$T$3:$T$5001,"&lt;&gt;")=0,"",SUMIFS(BD!$T$3:$T$5001,BD!$A$3:$A$5001,G$3,BD!$B$3:$B$5001,$A$41)))</f>
        <v/>
      </c>
      <c r="H57" s="232" t="str">
        <f>IF(H$3="","",IF(COUNTIFS(BD!$A$3:$A$5001,H$3,BD!$B$3:$B$5001,$A$41,BD!$T$3:$T$5001,"&lt;&gt;")=0,"",SUMIFS(BD!$T$3:$T$5001,BD!$A$3:$A$5001,H$3,BD!$B$3:$B$5001,$A$41)))</f>
        <v/>
      </c>
      <c r="I57" s="232" t="str">
        <f>IF(I$3="","",IF(COUNTIFS(BD!$A$3:$A$5001,I$3,BD!$B$3:$B$5001,$A$41,BD!$T$3:$T$5001,"&lt;&gt;")=0,"",SUMIFS(BD!$T$3:$T$5001,BD!$A$3:$A$5001,I$3,BD!$B$3:$B$5001,$A$41)))</f>
        <v/>
      </c>
      <c r="J57" s="232" t="str">
        <f>IF(J$3="","",IF(COUNTIFS(BD!$A$3:$A$5001,J$3,BD!$B$3:$B$5001,$A$41,BD!$T$3:$T$5001,"&lt;&gt;")=0,"",SUMIFS(BD!$T$3:$T$5001,BD!$A$3:$A$5001,J$3,BD!$B$3:$B$5001,$A$41)))</f>
        <v/>
      </c>
      <c r="K57" s="232" t="str">
        <f>IF(K$3="","",IF(COUNTIFS(BD!$A$3:$A$5001,K$3,BD!$B$3:$B$5001,$A$41,BD!$T$3:$T$5001,"&lt;&gt;")=0,"",SUMIFS(BD!$T$3:$T$5001,BD!$A$3:$A$5001,K$3,BD!$B$3:$B$5001,$A$41)))</f>
        <v/>
      </c>
      <c r="L57" s="232" t="str">
        <f>IF(L$3="","",IF(COUNTIFS(BD!$A$3:$A$5001,L$3,BD!$B$3:$B$5001,$A$41,BD!$T$3:$T$5001,"&lt;&gt;")=0,"",SUMIFS(BD!$T$3:$T$5001,BD!$A$3:$A$5001,L$3,BD!$B$3:$B$5001,$A$41)))</f>
        <v/>
      </c>
      <c r="M57" s="232" t="str">
        <f>IF(M$3="","",IF(COUNTIFS(BD!$A$3:$A$5001,M$3,BD!$B$3:$B$5001,$A$41,BD!$T$3:$T$5001,"&lt;&gt;")=0,"",SUMIFS(BD!$T$3:$T$5001,BD!$A$3:$A$5001,M$3,BD!$B$3:$B$5001,$A$41)))</f>
        <v/>
      </c>
      <c r="N57" s="232" t="str">
        <f>IF(N$3="","",IF(COUNTIFS(BD!$A$3:$A$5001,N$3,BD!$B$3:$B$5001,$A$41,BD!$T$3:$T$5001,"&lt;&gt;")=0,"",SUMIFS(BD!$T$3:$T$5001,BD!$A$3:$A$5001,N$3,BD!$B$3:$B$5001,$A$41)))</f>
        <v/>
      </c>
      <c r="O57" s="232" t="str">
        <f>IF(O$3="","",IF(COUNTIFS(BD!$A$3:$A$5001,O$3,BD!$B$3:$B$5001,$A$41,BD!$T$3:$T$5001,"&lt;&gt;")=0,"",SUMIFS(BD!$T$3:$T$5001,BD!$A$3:$A$5001,O$3,BD!$B$3:$B$5001,$A$41)))</f>
        <v/>
      </c>
      <c r="P57" s="232" t="str">
        <f>IF(P$3="","",IF(COUNTIFS(BD!$A$3:$A$5001,P$3,BD!$B$3:$B$5001,$A$41,BD!$T$3:$T$5001,"&lt;&gt;")=0,"",SUMIFS(BD!$T$3:$T$5001,BD!$A$3:$A$5001,P$3,BD!$B$3:$B$5001,$A$41)))</f>
        <v/>
      </c>
      <c r="Q57" s="232" t="str">
        <f>IF(Q$3="","",IF(COUNTIFS(BD!$A$3:$A$5001,Q$3,BD!$B$3:$B$5001,$A$41,BD!$T$3:$T$5001,"&lt;&gt;")=0,"",SUMIFS(BD!$T$3:$T$5001,BD!$A$3:$A$5001,Q$3,BD!$B$3:$B$5001,$A$41)))</f>
        <v/>
      </c>
      <c r="R57" s="232" t="str">
        <f>IF(R$3="","",IF(COUNTIFS(BD!$A$3:$A$5001,R$3,BD!$B$3:$B$5001,$A$41,BD!$T$3:$T$5001,"&lt;&gt;")=0,"",SUMIFS(BD!$T$3:$T$5001,BD!$A$3:$A$5001,R$3,BD!$B$3:$B$5001,$A$41)))</f>
        <v/>
      </c>
      <c r="S57" s="232" t="str">
        <f>IF(S$3="","",IF(COUNTIFS(BD!$A$3:$A$5001,S$3,BD!$B$3:$B$5001,$A$41,BD!$T$3:$T$5001,"&lt;&gt;")=0,"",SUMIFS(BD!$T$3:$T$5001,BD!$A$3:$A$5001,S$3,BD!$B$3:$B$5001,$A$41)))</f>
        <v/>
      </c>
      <c r="T57" s="232" t="str">
        <f>IF(T$3="","",IF(COUNTIFS(BD!$A$3:$A$5001,T$3,BD!$B$3:$B$5001,$A$41,BD!$T$3:$T$5001,"&lt;&gt;")=0,"",SUMIFS(BD!$T$3:$T$5001,BD!$A$3:$A$5001,T$3,BD!$B$3:$B$5001,$A$41)))</f>
        <v/>
      </c>
      <c r="U57" s="232" t="str">
        <f>IF(U$3="","",IF(COUNTIFS(BD!$A$3:$A$5001,U$3,BD!$B$3:$B$5001,$A$41,BD!$T$3:$T$5001,"&lt;&gt;")=0,"",SUMIFS(BD!$T$3:$T$5001,BD!$A$3:$A$5001,U$3,BD!$B$3:$B$5001,$A$41)))</f>
        <v/>
      </c>
      <c r="V57" s="232" t="str">
        <f>IF(V$3="","",IF(COUNTIFS(BD!$A$3:$A$5001,V$3,BD!$B$3:$B$5001,$A$41,BD!$T$3:$T$5001,"&lt;&gt;")=0,"",SUMIFS(BD!$T$3:$T$5001,BD!$A$3:$A$5001,V$3,BD!$B$3:$B$5001,$A$41)))</f>
        <v/>
      </c>
      <c r="W57" s="232" t="str">
        <f>IF(W$3="","",IF(COUNTIFS(BD!$A$3:$A$5001,W$3,BD!$B$3:$B$5001,$A$41,BD!$T$3:$T$5001,"&lt;&gt;")=0,"",SUMIFS(BD!$T$3:$T$5001,BD!$A$3:$A$5001,W$3,BD!$B$3:$B$5001,$A$41)))</f>
        <v/>
      </c>
      <c r="X57" s="232" t="str">
        <f>IF(X$3="","",IF(COUNTIFS(BD!$A$3:$A$5001,X$3,BD!$B$3:$B$5001,$A$41,BD!$T$3:$T$5001,"&lt;&gt;")=0,"",SUMIFS(BD!$T$3:$T$5001,BD!$A$3:$A$5001,X$3,BD!$B$3:$B$5001,$A$41)))</f>
        <v/>
      </c>
      <c r="Y57" s="232" t="str">
        <f>IF(Y$3="","",IF(COUNTIFS(BD!$A$3:$A$5001,Y$3,BD!$B$3:$B$5001,$A$41,BD!$T$3:$T$5001,"&lt;&gt;")=0,"",SUMIFS(BD!$T$3:$T$5001,BD!$A$3:$A$5001,Y$3,BD!$B$3:$B$5001,$A$41)))</f>
        <v/>
      </c>
      <c r="Z57" s="232" t="str">
        <f>IF(Z$3="","",IF(COUNTIFS(BD!$A$3:$A$5001,Z$3,BD!$B$3:$B$5001,$A$41,BD!$T$3:$T$5001,"&lt;&gt;")=0,"",SUMIFS(BD!$T$3:$T$5001,BD!$A$3:$A$5001,Z$3,BD!$B$3:$B$5001,$A$41)))</f>
        <v/>
      </c>
      <c r="AA57" s="232" t="str">
        <f>IF(AA$3="","",IF(COUNTIFS(BD!$A$3:$A$5001,AA$3,BD!$B$3:$B$5001,$A$41,BD!$T$3:$T$5001,"&lt;&gt;")=0,"",SUMIFS(BD!$T$3:$T$5001,BD!$A$3:$A$5001,AA$3,BD!$B$3:$B$5001,$A$41)))</f>
        <v/>
      </c>
      <c r="AB57" s="232" t="str">
        <f>IF(AB$3="","",IF(COUNTIFS(BD!$A$3:$A$5001,AB$3,BD!$B$3:$B$5001,$A$41,BD!$T$3:$T$5001,"&lt;&gt;")=0,"",SUMIFS(BD!$T$3:$T$5001,BD!$A$3:$A$5001,AB$3,BD!$B$3:$B$5001,$A$41)))</f>
        <v/>
      </c>
      <c r="AC57" s="232" t="str">
        <f>IF(AC$3="","",IF(COUNTIFS(BD!$A$3:$A$5001,AC$3,BD!$B$3:$B$5001,$A$41,BD!$T$3:$T$5001,"&lt;&gt;")=0,"",SUMIFS(BD!$T$3:$T$5001,BD!$A$3:$A$5001,AC$3,BD!$B$3:$B$5001,$A$41)))</f>
        <v/>
      </c>
      <c r="AD57" s="232" t="str">
        <f>IF(AD$3="","",IF(COUNTIFS(BD!$A$3:$A$5001,AD$3,BD!$B$3:$B$5001,$A$41,BD!$T$3:$T$5001,"&lt;&gt;")=0,"",SUMIFS(BD!$T$3:$T$5001,BD!$A$3:$A$5001,AD$3,BD!$B$3:$B$5001,$A$41)))</f>
        <v/>
      </c>
      <c r="AE57" s="232" t="str">
        <f>IF(AE$3="","",IF(COUNTIFS(BD!$A$3:$A$5001,AE$3,BD!$B$3:$B$5001,$A$41,BD!$T$3:$T$5001,"&lt;&gt;")=0,"",SUMIFS(BD!$T$3:$T$5001,BD!$A$3:$A$5001,AE$3,BD!$B$3:$B$5001,$A$41)))</f>
        <v/>
      </c>
      <c r="AF57" s="232" t="str">
        <f>IF(AF$3="","",IF(COUNTIFS(BD!$A$3:$A$5001,AF$3,BD!$B$3:$B$5001,$A$41,BD!$T$3:$T$5001,"&lt;&gt;")=0,"",SUMIFS(BD!$T$3:$T$5001,BD!$A$3:$A$5001,AF$3,BD!$B$3:$B$5001,$A$41)))</f>
        <v/>
      </c>
      <c r="AG57" s="232" t="str">
        <f>IF(AG$3="","",IF(COUNTIFS(BD!$A$3:$A$5001,AG$3,BD!$B$3:$B$5001,$A$41,BD!$T$3:$T$5001,"&lt;&gt;")=0,"",SUMIFS(BD!$T$3:$T$5001,BD!$A$3:$A$5001,AG$3,BD!$B$3:$B$5001,$A$41)))</f>
        <v/>
      </c>
      <c r="AH57" s="232" t="str">
        <f>IF(AH$3="","",IF(COUNTIFS(BD!$A$3:$A$5001,AH$3,BD!$B$3:$B$5001,$A$41,BD!$T$3:$T$5001,"&lt;&gt;")=0,"",SUMIFS(BD!$T$3:$T$5001,BD!$A$3:$A$5001,AH$3,BD!$B$3:$B$5001,$A$41)))</f>
        <v/>
      </c>
      <c r="AI57" s="232" t="str">
        <f>IF(AI$3="","",IF(COUNTIFS(BD!$A$3:$A$5001,AI$3,BD!$B$3:$B$5001,$A$41,BD!$T$3:$T$5001,"&lt;&gt;")=0,"",SUMIFS(BD!$T$3:$T$5001,BD!$A$3:$A$5001,AI$3,BD!$B$3:$B$5001,$A$41)))</f>
        <v/>
      </c>
      <c r="AJ57" s="233" t="str">
        <f>IF(AJ$3="","",IF(COUNTIFS(BD!$A$3:$A$5001,AJ$3,BD!$B$3:$B$5001,$A$41,BD!$T$3:$T$5001,"&lt;&gt;")=0,"",SUMIFS(BD!$T$3:$T$5001,BD!$A$3:$A$5001,AJ$3,BD!$B$3:$B$5001,$A$41)))</f>
        <v/>
      </c>
      <c r="AK57" s="234" t="str">
        <f>IF(COUNT(F57:AJ57)=0,"",SUM(F57:AJ57))</f>
        <v/>
      </c>
    </row>
    <row r="58" ht="15.75" customHeight="1">
      <c r="A58" s="255"/>
      <c r="B58" s="252"/>
      <c r="C58" s="235" t="inlineStr">
        <is>
          <t xml:space="preserve">Acidentes SAF</t>
        </is>
      </c>
      <c r="D58" s="236" t="str">
        <f>IFERROR(1/(1/INDEX(BD!$Y$42:$AS$42,MATCH($A$41,BD!$Y$22:$AS$22,0))),"")</f>
        <v/>
      </c>
      <c r="E58" s="237"/>
      <c r="F58" s="238" t="str">
        <f>IF(F$3="","",IF(COUNTIFS(BD!$A$3:$A$5001,F$3,BD!$B$3:$B$5001,$A$41,BD!$U$3:$U$5001,"&lt;&gt;")=0,"",SUMIFS(BD!$U$3:$U$5001,BD!$A$3:$A$5001,F$3,BD!$B$3:$B$5001,$A$41)))</f>
        <v/>
      </c>
      <c r="G58" s="239" t="str">
        <f>IF(G$3="","",IF(COUNTIFS(BD!$A$3:$A$5001,G$3,BD!$B$3:$B$5001,$A$41,BD!$U$3:$U$5001,"&lt;&gt;")=0,"",SUMIFS(BD!$U$3:$U$5001,BD!$A$3:$A$5001,G$3,BD!$B$3:$B$5001,$A$41)))</f>
        <v/>
      </c>
      <c r="H58" s="239" t="str">
        <f>IF(H$3="","",IF(COUNTIFS(BD!$A$3:$A$5001,H$3,BD!$B$3:$B$5001,$A$41,BD!$U$3:$U$5001,"&lt;&gt;")=0,"",SUMIFS(BD!$U$3:$U$5001,BD!$A$3:$A$5001,H$3,BD!$B$3:$B$5001,$A$41)))</f>
        <v/>
      </c>
      <c r="I58" s="239" t="str">
        <f>IF(I$3="","",IF(COUNTIFS(BD!$A$3:$A$5001,I$3,BD!$B$3:$B$5001,$A$41,BD!$U$3:$U$5001,"&lt;&gt;")=0,"",SUMIFS(BD!$U$3:$U$5001,BD!$A$3:$A$5001,I$3,BD!$B$3:$B$5001,$A$41)))</f>
        <v/>
      </c>
      <c r="J58" s="239" t="str">
        <f>IF(J$3="","",IF(COUNTIFS(BD!$A$3:$A$5001,J$3,BD!$B$3:$B$5001,$A$41,BD!$U$3:$U$5001,"&lt;&gt;")=0,"",SUMIFS(BD!$U$3:$U$5001,BD!$A$3:$A$5001,J$3,BD!$B$3:$B$5001,$A$41)))</f>
        <v/>
      </c>
      <c r="K58" s="239" t="str">
        <f>IF(K$3="","",IF(COUNTIFS(BD!$A$3:$A$5001,K$3,BD!$B$3:$B$5001,$A$41,BD!$U$3:$U$5001,"&lt;&gt;")=0,"",SUMIFS(BD!$U$3:$U$5001,BD!$A$3:$A$5001,K$3,BD!$B$3:$B$5001,$A$41)))</f>
        <v/>
      </c>
      <c r="L58" s="239" t="str">
        <f>IF(L$3="","",IF(COUNTIFS(BD!$A$3:$A$5001,L$3,BD!$B$3:$B$5001,$A$41,BD!$U$3:$U$5001,"&lt;&gt;")=0,"",SUMIFS(BD!$U$3:$U$5001,BD!$A$3:$A$5001,L$3,BD!$B$3:$B$5001,$A$41)))</f>
        <v/>
      </c>
      <c r="M58" s="239" t="str">
        <f>IF(M$3="","",IF(COUNTIFS(BD!$A$3:$A$5001,M$3,BD!$B$3:$B$5001,$A$41,BD!$U$3:$U$5001,"&lt;&gt;")=0,"",SUMIFS(BD!$U$3:$U$5001,BD!$A$3:$A$5001,M$3,BD!$B$3:$B$5001,$A$41)))</f>
        <v/>
      </c>
      <c r="N58" s="239" t="str">
        <f>IF(N$3="","",IF(COUNTIFS(BD!$A$3:$A$5001,N$3,BD!$B$3:$B$5001,$A$41,BD!$U$3:$U$5001,"&lt;&gt;")=0,"",SUMIFS(BD!$U$3:$U$5001,BD!$A$3:$A$5001,N$3,BD!$B$3:$B$5001,$A$41)))</f>
        <v/>
      </c>
      <c r="O58" s="239" t="str">
        <f>IF(O$3="","",IF(COUNTIFS(BD!$A$3:$A$5001,O$3,BD!$B$3:$B$5001,$A$41,BD!$U$3:$U$5001,"&lt;&gt;")=0,"",SUMIFS(BD!$U$3:$U$5001,BD!$A$3:$A$5001,O$3,BD!$B$3:$B$5001,$A$41)))</f>
        <v/>
      </c>
      <c r="P58" s="239" t="str">
        <f>IF(P$3="","",IF(COUNTIFS(BD!$A$3:$A$5001,P$3,BD!$B$3:$B$5001,$A$41,BD!$U$3:$U$5001,"&lt;&gt;")=0,"",SUMIFS(BD!$U$3:$U$5001,BD!$A$3:$A$5001,P$3,BD!$B$3:$B$5001,$A$41)))</f>
        <v/>
      </c>
      <c r="Q58" s="239" t="str">
        <f>IF(Q$3="","",IF(COUNTIFS(BD!$A$3:$A$5001,Q$3,BD!$B$3:$B$5001,$A$41,BD!$U$3:$U$5001,"&lt;&gt;")=0,"",SUMIFS(BD!$U$3:$U$5001,BD!$A$3:$A$5001,Q$3,BD!$B$3:$B$5001,$A$41)))</f>
        <v/>
      </c>
      <c r="R58" s="239" t="str">
        <f>IF(R$3="","",IF(COUNTIFS(BD!$A$3:$A$5001,R$3,BD!$B$3:$B$5001,$A$41,BD!$U$3:$U$5001,"&lt;&gt;")=0,"",SUMIFS(BD!$U$3:$U$5001,BD!$A$3:$A$5001,R$3,BD!$B$3:$B$5001,$A$41)))</f>
        <v/>
      </c>
      <c r="S58" s="239" t="str">
        <f>IF(S$3="","",IF(COUNTIFS(BD!$A$3:$A$5001,S$3,BD!$B$3:$B$5001,$A$41,BD!$U$3:$U$5001,"&lt;&gt;")=0,"",SUMIFS(BD!$U$3:$U$5001,BD!$A$3:$A$5001,S$3,BD!$B$3:$B$5001,$A$41)))</f>
        <v/>
      </c>
      <c r="T58" s="239" t="str">
        <f>IF(T$3="","",IF(COUNTIFS(BD!$A$3:$A$5001,T$3,BD!$B$3:$B$5001,$A$41,BD!$U$3:$U$5001,"&lt;&gt;")=0,"",SUMIFS(BD!$U$3:$U$5001,BD!$A$3:$A$5001,T$3,BD!$B$3:$B$5001,$A$41)))</f>
        <v/>
      </c>
      <c r="U58" s="239" t="str">
        <f>IF(U$3="","",IF(COUNTIFS(BD!$A$3:$A$5001,U$3,BD!$B$3:$B$5001,$A$41,BD!$U$3:$U$5001,"&lt;&gt;")=0,"",SUMIFS(BD!$U$3:$U$5001,BD!$A$3:$A$5001,U$3,BD!$B$3:$B$5001,$A$41)))</f>
        <v/>
      </c>
      <c r="V58" s="239" t="str">
        <f>IF(V$3="","",IF(COUNTIFS(BD!$A$3:$A$5001,V$3,BD!$B$3:$B$5001,$A$41,BD!$U$3:$U$5001,"&lt;&gt;")=0,"",SUMIFS(BD!$U$3:$U$5001,BD!$A$3:$A$5001,V$3,BD!$B$3:$B$5001,$A$41)))</f>
        <v/>
      </c>
      <c r="W58" s="239" t="str">
        <f>IF(W$3="","",IF(COUNTIFS(BD!$A$3:$A$5001,W$3,BD!$B$3:$B$5001,$A$41,BD!$U$3:$U$5001,"&lt;&gt;")=0,"",SUMIFS(BD!$U$3:$U$5001,BD!$A$3:$A$5001,W$3,BD!$B$3:$B$5001,$A$41)))</f>
        <v/>
      </c>
      <c r="X58" s="239" t="str">
        <f>IF(X$3="","",IF(COUNTIFS(BD!$A$3:$A$5001,X$3,BD!$B$3:$B$5001,$A$41,BD!$U$3:$U$5001,"&lt;&gt;")=0,"",SUMIFS(BD!$U$3:$U$5001,BD!$A$3:$A$5001,X$3,BD!$B$3:$B$5001,$A$41)))</f>
        <v/>
      </c>
      <c r="Y58" s="239" t="str">
        <f>IF(Y$3="","",IF(COUNTIFS(BD!$A$3:$A$5001,Y$3,BD!$B$3:$B$5001,$A$41,BD!$U$3:$U$5001,"&lt;&gt;")=0,"",SUMIFS(BD!$U$3:$U$5001,BD!$A$3:$A$5001,Y$3,BD!$B$3:$B$5001,$A$41)))</f>
        <v/>
      </c>
      <c r="Z58" s="239" t="str">
        <f>IF(Z$3="","",IF(COUNTIFS(BD!$A$3:$A$5001,Z$3,BD!$B$3:$B$5001,$A$41,BD!$U$3:$U$5001,"&lt;&gt;")=0,"",SUMIFS(BD!$U$3:$U$5001,BD!$A$3:$A$5001,Z$3,BD!$B$3:$B$5001,$A$41)))</f>
        <v/>
      </c>
      <c r="AA58" s="239" t="str">
        <f>IF(AA$3="","",IF(COUNTIFS(BD!$A$3:$A$5001,AA$3,BD!$B$3:$B$5001,$A$41,BD!$U$3:$U$5001,"&lt;&gt;")=0,"",SUMIFS(BD!$U$3:$U$5001,BD!$A$3:$A$5001,AA$3,BD!$B$3:$B$5001,$A$41)))</f>
        <v/>
      </c>
      <c r="AB58" s="239" t="str">
        <f>IF(AB$3="","",IF(COUNTIFS(BD!$A$3:$A$5001,AB$3,BD!$B$3:$B$5001,$A$41,BD!$U$3:$U$5001,"&lt;&gt;")=0,"",SUMIFS(BD!$U$3:$U$5001,BD!$A$3:$A$5001,AB$3,BD!$B$3:$B$5001,$A$41)))</f>
        <v/>
      </c>
      <c r="AC58" s="239" t="str">
        <f>IF(AC$3="","",IF(COUNTIFS(BD!$A$3:$A$5001,AC$3,BD!$B$3:$B$5001,$A$41,BD!$U$3:$U$5001,"&lt;&gt;")=0,"",SUMIFS(BD!$U$3:$U$5001,BD!$A$3:$A$5001,AC$3,BD!$B$3:$B$5001,$A$41)))</f>
        <v/>
      </c>
      <c r="AD58" s="239" t="str">
        <f>IF(AD$3="","",IF(COUNTIFS(BD!$A$3:$A$5001,AD$3,BD!$B$3:$B$5001,$A$41,BD!$U$3:$U$5001,"&lt;&gt;")=0,"",SUMIFS(BD!$U$3:$U$5001,BD!$A$3:$A$5001,AD$3,BD!$B$3:$B$5001,$A$41)))</f>
        <v/>
      </c>
      <c r="AE58" s="239" t="str">
        <f>IF(AE$3="","",IF(COUNTIFS(BD!$A$3:$A$5001,AE$3,BD!$B$3:$B$5001,$A$41,BD!$U$3:$U$5001,"&lt;&gt;")=0,"",SUMIFS(BD!$U$3:$U$5001,BD!$A$3:$A$5001,AE$3,BD!$B$3:$B$5001,$A$41)))</f>
        <v/>
      </c>
      <c r="AF58" s="239" t="str">
        <f>IF(AF$3="","",IF(COUNTIFS(BD!$A$3:$A$5001,AF$3,BD!$B$3:$B$5001,$A$41,BD!$U$3:$U$5001,"&lt;&gt;")=0,"",SUMIFS(BD!$U$3:$U$5001,BD!$A$3:$A$5001,AF$3,BD!$B$3:$B$5001,$A$41)))</f>
        <v/>
      </c>
      <c r="AG58" s="239" t="str">
        <f>IF(AG$3="","",IF(COUNTIFS(BD!$A$3:$A$5001,AG$3,BD!$B$3:$B$5001,$A$41,BD!$U$3:$U$5001,"&lt;&gt;")=0,"",SUMIFS(BD!$U$3:$U$5001,BD!$A$3:$A$5001,AG$3,BD!$B$3:$B$5001,$A$41)))</f>
        <v/>
      </c>
      <c r="AH58" s="239" t="str">
        <f>IF(AH$3="","",IF(COUNTIFS(BD!$A$3:$A$5001,AH$3,BD!$B$3:$B$5001,$A$41,BD!$U$3:$U$5001,"&lt;&gt;")=0,"",SUMIFS(BD!$U$3:$U$5001,BD!$A$3:$A$5001,AH$3,BD!$B$3:$B$5001,$A$41)))</f>
        <v/>
      </c>
      <c r="AI58" s="239" t="str">
        <f>IF(AI$3="","",IF(COUNTIFS(BD!$A$3:$A$5001,AI$3,BD!$B$3:$B$5001,$A$41,BD!$U$3:$U$5001,"&lt;&gt;")=0,"",SUMIFS(BD!$U$3:$U$5001,BD!$A$3:$A$5001,AI$3,BD!$B$3:$B$5001,$A$41)))</f>
        <v/>
      </c>
      <c r="AJ58" s="240" t="str">
        <f>IF(AJ$3="","",IF(COUNTIFS(BD!$A$3:$A$5001,AJ$3,BD!$B$3:$B$5001,$A$41,BD!$U$3:$U$5001,"&lt;&gt;")=0,"",SUMIFS(BD!$U$3:$U$5001,BD!$A$3:$A$5001,AJ$3,BD!$B$3:$B$5001,$A$41)))</f>
        <v/>
      </c>
      <c r="AK58" s="236" t="str">
        <f>IF(COUNT(F58:AJ58)=0,"",SUM(F58:AJ58))</f>
        <v/>
      </c>
    </row>
    <row r="60" ht="15.75" customHeight="1">
      <c r="A60" s="253" t="inlineStr">
        <is>
          <t xml:space="preserve">Nestlé</t>
        </is>
      </c>
      <c r="B60" s="241" t="inlineStr">
        <is>
          <t xml:space="preserve">IN</t>
        </is>
      </c>
      <c r="C60" s="155" t="inlineStr">
        <is>
          <t xml:space="preserve">Veículos Recebidos</t>
        </is>
      </c>
      <c r="D60" s="156" t="str">
        <f>IFERROR(1/(1/INDEX(BD!$Y$23:$AS$23,MATCH($A$60,BD!$Y$22:$AS$22,0))),"")</f>
        <v/>
      </c>
      <c r="E60" s="157"/>
      <c r="F60" s="158" t="str">
        <f>IF(F$3="","",IF(COUNTIFS(BD!$A$3:$A$5001,F$3,BD!$B$3:$B$5001,$A$60,BD!$C$3:$C$5001,"&lt;&gt;")=0,"",SUMIFS(BD!$C$3:$C$5001,BD!$A$3:$A$5001,F$3,BD!$B$3:$B$5001,$A$60)))</f>
        <v/>
      </c>
      <c r="G60" s="159" t="str">
        <f>IF(G$3="","",IF(COUNTIFS(BD!$A$3:$A$5001,G$3,BD!$B$3:$B$5001,$A$60,BD!$C$3:$C$5001,"&lt;&gt;")=0,"",SUMIFS(BD!$C$3:$C$5001,BD!$A$3:$A$5001,G$3,BD!$B$3:$B$5001,$A$60)))</f>
        <v/>
      </c>
      <c r="H60" s="159" t="str">
        <f>IF(H$3="","",IF(COUNTIFS(BD!$A$3:$A$5001,H$3,BD!$B$3:$B$5001,$A$60,BD!$C$3:$C$5001,"&lt;&gt;")=0,"",SUMIFS(BD!$C$3:$C$5001,BD!$A$3:$A$5001,H$3,BD!$B$3:$B$5001,$A$60)))</f>
        <v/>
      </c>
      <c r="I60" s="159" t="str">
        <f>IF(I$3="","",IF(COUNTIFS(BD!$A$3:$A$5001,I$3,BD!$B$3:$B$5001,$A$60,BD!$C$3:$C$5001,"&lt;&gt;")=0,"",SUMIFS(BD!$C$3:$C$5001,BD!$A$3:$A$5001,I$3,BD!$B$3:$B$5001,$A$60)))</f>
        <v/>
      </c>
      <c r="J60" s="159" t="str">
        <f>IF(J$3="","",IF(COUNTIFS(BD!$A$3:$A$5001,J$3,BD!$B$3:$B$5001,$A$60,BD!$C$3:$C$5001,"&lt;&gt;")=0,"",SUMIFS(BD!$C$3:$C$5001,BD!$A$3:$A$5001,J$3,BD!$B$3:$B$5001,$A$60)))</f>
        <v/>
      </c>
      <c r="K60" s="159" t="str">
        <f>IF(K$3="","",IF(COUNTIFS(BD!$A$3:$A$5001,K$3,BD!$B$3:$B$5001,$A$60,BD!$C$3:$C$5001,"&lt;&gt;")=0,"",SUMIFS(BD!$C$3:$C$5001,BD!$A$3:$A$5001,K$3,BD!$B$3:$B$5001,$A$60)))</f>
        <v/>
      </c>
      <c r="L60" s="159" t="str">
        <f>IF(L$3="","",IF(COUNTIFS(BD!$A$3:$A$5001,L$3,BD!$B$3:$B$5001,$A$60,BD!$C$3:$C$5001,"&lt;&gt;")=0,"",SUMIFS(BD!$C$3:$C$5001,BD!$A$3:$A$5001,L$3,BD!$B$3:$B$5001,$A$60)))</f>
        <v/>
      </c>
      <c r="M60" s="159" t="str">
        <f>IF(M$3="","",IF(COUNTIFS(BD!$A$3:$A$5001,M$3,BD!$B$3:$B$5001,$A$60,BD!$C$3:$C$5001,"&lt;&gt;")=0,"",SUMIFS(BD!$C$3:$C$5001,BD!$A$3:$A$5001,M$3,BD!$B$3:$B$5001,$A$60)))</f>
        <v/>
      </c>
      <c r="N60" s="159" t="str">
        <f>IF(N$3="","",IF(COUNTIFS(BD!$A$3:$A$5001,N$3,BD!$B$3:$B$5001,$A$60,BD!$C$3:$C$5001,"&lt;&gt;")=0,"",SUMIFS(BD!$C$3:$C$5001,BD!$A$3:$A$5001,N$3,BD!$B$3:$B$5001,$A$60)))</f>
        <v/>
      </c>
      <c r="O60" s="159" t="str">
        <f>IF(O$3="","",IF(COUNTIFS(BD!$A$3:$A$5001,O$3,BD!$B$3:$B$5001,$A$60,BD!$C$3:$C$5001,"&lt;&gt;")=0,"",SUMIFS(BD!$C$3:$C$5001,BD!$A$3:$A$5001,O$3,BD!$B$3:$B$5001,$A$60)))</f>
        <v/>
      </c>
      <c r="P60" s="159" t="str">
        <f>IF(P$3="","",IF(COUNTIFS(BD!$A$3:$A$5001,P$3,BD!$B$3:$B$5001,$A$60,BD!$C$3:$C$5001,"&lt;&gt;")=0,"",SUMIFS(BD!$C$3:$C$5001,BD!$A$3:$A$5001,P$3,BD!$B$3:$B$5001,$A$60)))</f>
        <v/>
      </c>
      <c r="Q60" s="159" t="str">
        <f>IF(Q$3="","",IF(COUNTIFS(BD!$A$3:$A$5001,Q$3,BD!$B$3:$B$5001,$A$60,BD!$C$3:$C$5001,"&lt;&gt;")=0,"",SUMIFS(BD!$C$3:$C$5001,BD!$A$3:$A$5001,Q$3,BD!$B$3:$B$5001,$A$60)))</f>
        <v/>
      </c>
      <c r="R60" s="159" t="str">
        <f>IF(R$3="","",IF(COUNTIFS(BD!$A$3:$A$5001,R$3,BD!$B$3:$B$5001,$A$60,BD!$C$3:$C$5001,"&lt;&gt;")=0,"",SUMIFS(BD!$C$3:$C$5001,BD!$A$3:$A$5001,R$3,BD!$B$3:$B$5001,$A$60)))</f>
        <v/>
      </c>
      <c r="S60" s="159" t="str">
        <f>IF(S$3="","",IF(COUNTIFS(BD!$A$3:$A$5001,S$3,BD!$B$3:$B$5001,$A$60,BD!$C$3:$C$5001,"&lt;&gt;")=0,"",SUMIFS(BD!$C$3:$C$5001,BD!$A$3:$A$5001,S$3,BD!$B$3:$B$5001,$A$60)))</f>
        <v/>
      </c>
      <c r="T60" s="159" t="str">
        <f>IF(T$3="","",IF(COUNTIFS(BD!$A$3:$A$5001,T$3,BD!$B$3:$B$5001,$A$60,BD!$C$3:$C$5001,"&lt;&gt;")=0,"",SUMIFS(BD!$C$3:$C$5001,BD!$A$3:$A$5001,T$3,BD!$B$3:$B$5001,$A$60)))</f>
        <v/>
      </c>
      <c r="U60" s="159" t="str">
        <f>IF(U$3="","",IF(COUNTIFS(BD!$A$3:$A$5001,U$3,BD!$B$3:$B$5001,$A$60,BD!$C$3:$C$5001,"&lt;&gt;")=0,"",SUMIFS(BD!$C$3:$C$5001,BD!$A$3:$A$5001,U$3,BD!$B$3:$B$5001,$A$60)))</f>
        <v/>
      </c>
      <c r="V60" s="159" t="str">
        <f>IF(V$3="","",IF(COUNTIFS(BD!$A$3:$A$5001,V$3,BD!$B$3:$B$5001,$A$60,BD!$C$3:$C$5001,"&lt;&gt;")=0,"",SUMIFS(BD!$C$3:$C$5001,BD!$A$3:$A$5001,V$3,BD!$B$3:$B$5001,$A$60)))</f>
        <v/>
      </c>
      <c r="W60" s="159" t="str">
        <f>IF(W$3="","",IF(COUNTIFS(BD!$A$3:$A$5001,W$3,BD!$B$3:$B$5001,$A$60,BD!$C$3:$C$5001,"&lt;&gt;")=0,"",SUMIFS(BD!$C$3:$C$5001,BD!$A$3:$A$5001,W$3,BD!$B$3:$B$5001,$A$60)))</f>
        <v/>
      </c>
      <c r="X60" s="159" t="str">
        <f>IF(X$3="","",IF(COUNTIFS(BD!$A$3:$A$5001,X$3,BD!$B$3:$B$5001,$A$60,BD!$C$3:$C$5001,"&lt;&gt;")=0,"",SUMIFS(BD!$C$3:$C$5001,BD!$A$3:$A$5001,X$3,BD!$B$3:$B$5001,$A$60)))</f>
        <v/>
      </c>
      <c r="Y60" s="159" t="str">
        <f>IF(Y$3="","",IF(COUNTIFS(BD!$A$3:$A$5001,Y$3,BD!$B$3:$B$5001,$A$60,BD!$C$3:$C$5001,"&lt;&gt;")=0,"",SUMIFS(BD!$C$3:$C$5001,BD!$A$3:$A$5001,Y$3,BD!$B$3:$B$5001,$A$60)))</f>
        <v/>
      </c>
      <c r="Z60" s="159" t="str">
        <f>IF(Z$3="","",IF(COUNTIFS(BD!$A$3:$A$5001,Z$3,BD!$B$3:$B$5001,$A$60,BD!$C$3:$C$5001,"&lt;&gt;")=0,"",SUMIFS(BD!$C$3:$C$5001,BD!$A$3:$A$5001,Z$3,BD!$B$3:$B$5001,$A$60)))</f>
        <v/>
      </c>
      <c r="AA60" s="159" t="str">
        <f>IF(AA$3="","",IF(COUNTIFS(BD!$A$3:$A$5001,AA$3,BD!$B$3:$B$5001,$A$60,BD!$C$3:$C$5001,"&lt;&gt;")=0,"",SUMIFS(BD!$C$3:$C$5001,BD!$A$3:$A$5001,AA$3,BD!$B$3:$B$5001,$A$60)))</f>
        <v/>
      </c>
      <c r="AB60" s="159" t="str">
        <f>IF(AB$3="","",IF(COUNTIFS(BD!$A$3:$A$5001,AB$3,BD!$B$3:$B$5001,$A$60,BD!$C$3:$C$5001,"&lt;&gt;")=0,"",SUMIFS(BD!$C$3:$C$5001,BD!$A$3:$A$5001,AB$3,BD!$B$3:$B$5001,$A$60)))</f>
        <v/>
      </c>
      <c r="AC60" s="159" t="str">
        <f>IF(AC$3="","",IF(COUNTIFS(BD!$A$3:$A$5001,AC$3,BD!$B$3:$B$5001,$A$60,BD!$C$3:$C$5001,"&lt;&gt;")=0,"",SUMIFS(BD!$C$3:$C$5001,BD!$A$3:$A$5001,AC$3,BD!$B$3:$B$5001,$A$60)))</f>
        <v/>
      </c>
      <c r="AD60" s="159" t="str">
        <f>IF(AD$3="","",IF(COUNTIFS(BD!$A$3:$A$5001,AD$3,BD!$B$3:$B$5001,$A$60,BD!$C$3:$C$5001,"&lt;&gt;")=0,"",SUMIFS(BD!$C$3:$C$5001,BD!$A$3:$A$5001,AD$3,BD!$B$3:$B$5001,$A$60)))</f>
        <v/>
      </c>
      <c r="AE60" s="159" t="str">
        <f>IF(AE$3="","",IF(COUNTIFS(BD!$A$3:$A$5001,AE$3,BD!$B$3:$B$5001,$A$60,BD!$C$3:$C$5001,"&lt;&gt;")=0,"",SUMIFS(BD!$C$3:$C$5001,BD!$A$3:$A$5001,AE$3,BD!$B$3:$B$5001,$A$60)))</f>
        <v/>
      </c>
      <c r="AF60" s="159" t="str">
        <f>IF(AF$3="","",IF(COUNTIFS(BD!$A$3:$A$5001,AF$3,BD!$B$3:$B$5001,$A$60,BD!$C$3:$C$5001,"&lt;&gt;")=0,"",SUMIFS(BD!$C$3:$C$5001,BD!$A$3:$A$5001,AF$3,BD!$B$3:$B$5001,$A$60)))</f>
        <v/>
      </c>
      <c r="AG60" s="159" t="str">
        <f>IF(AG$3="","",IF(COUNTIFS(BD!$A$3:$A$5001,AG$3,BD!$B$3:$B$5001,$A$60,BD!$C$3:$C$5001,"&lt;&gt;")=0,"",SUMIFS(BD!$C$3:$C$5001,BD!$A$3:$A$5001,AG$3,BD!$B$3:$B$5001,$A$60)))</f>
        <v/>
      </c>
      <c r="AH60" s="159" t="str">
        <f>IF(AH$3="","",IF(COUNTIFS(BD!$A$3:$A$5001,AH$3,BD!$B$3:$B$5001,$A$60,BD!$C$3:$C$5001,"&lt;&gt;")=0,"",SUMIFS(BD!$C$3:$C$5001,BD!$A$3:$A$5001,AH$3,BD!$B$3:$B$5001,$A$60)))</f>
        <v/>
      </c>
      <c r="AI60" s="159" t="str">
        <f>IF(AI$3="","",IF(COUNTIFS(BD!$A$3:$A$5001,AI$3,BD!$B$3:$B$5001,$A$60,BD!$C$3:$C$5001,"&lt;&gt;")=0,"",SUMIFS(BD!$C$3:$C$5001,BD!$A$3:$A$5001,AI$3,BD!$B$3:$B$5001,$A$60)))</f>
        <v/>
      </c>
      <c r="AJ60" s="160" t="str">
        <f>IF(AJ$3="","",IF(COUNTIFS(BD!$A$3:$A$5001,AJ$3,BD!$B$3:$B$5001,$A$60,BD!$C$3:$C$5001,"&lt;&gt;")=0,"",SUMIFS(BD!$C$3:$C$5001,BD!$A$3:$A$5001,AJ$3,BD!$B$3:$B$5001,$A$60)))</f>
        <v/>
      </c>
      <c r="AK60" s="161" t="str">
        <f>IF(COUNT(F60:AJ60)=0,"",SUM(F60:AJ60))</f>
        <v/>
      </c>
    </row>
    <row r="61" ht="15.75" customHeight="1">
      <c r="A61" s="254"/>
      <c r="B61" s="242"/>
      <c r="C61" s="162" t="inlineStr">
        <is>
          <t xml:space="preserve">Pallets Movimentados</t>
        </is>
      </c>
      <c r="D61" s="163" t="str">
        <f>IFERROR(1/(1/INDEX(BD!$Y$24:$AS$24,MATCH($A$60,BD!$Y$22:$AS$22,0))),"")</f>
        <v/>
      </c>
      <c r="E61" s="164"/>
      <c r="F61" s="165" t="str">
        <f>IF(F$3="","",IF(COUNTIFS(BD!$A$3:$A$5001,F$3,BD!$B$3:$B$5001,$A$60,BD!$D$3:$D$5001,"&lt;&gt;")=0,"",SUMIFS(BD!$D$3:$D$5001,BD!$A$3:$A$5001,F$3,BD!$B$3:$B$5001,$A$60)))</f>
        <v/>
      </c>
      <c r="G61" s="166" t="str">
        <f>IF(G$3="","",IF(COUNTIFS(BD!$A$3:$A$5001,G$3,BD!$B$3:$B$5001,$A$60,BD!$D$3:$D$5001,"&lt;&gt;")=0,"",SUMIFS(BD!$D$3:$D$5001,BD!$A$3:$A$5001,G$3,BD!$B$3:$B$5001,$A$60)))</f>
        <v/>
      </c>
      <c r="H61" s="166" t="str">
        <f>IF(H$3="","",IF(COUNTIFS(BD!$A$3:$A$5001,H$3,BD!$B$3:$B$5001,$A$60,BD!$D$3:$D$5001,"&lt;&gt;")=0,"",SUMIFS(BD!$D$3:$D$5001,BD!$A$3:$A$5001,H$3,BD!$B$3:$B$5001,$A$60)))</f>
        <v/>
      </c>
      <c r="I61" s="166" t="str">
        <f>IF(I$3="","",IF(COUNTIFS(BD!$A$3:$A$5001,I$3,BD!$B$3:$B$5001,$A$60,BD!$D$3:$D$5001,"&lt;&gt;")=0,"",SUMIFS(BD!$D$3:$D$5001,BD!$A$3:$A$5001,I$3,BD!$B$3:$B$5001,$A$60)))</f>
        <v/>
      </c>
      <c r="J61" s="166" t="str">
        <f>IF(J$3="","",IF(COUNTIFS(BD!$A$3:$A$5001,J$3,BD!$B$3:$B$5001,$A$60,BD!$D$3:$D$5001,"&lt;&gt;")=0,"",SUMIFS(BD!$D$3:$D$5001,BD!$A$3:$A$5001,J$3,BD!$B$3:$B$5001,$A$60)))</f>
        <v/>
      </c>
      <c r="K61" s="166" t="str">
        <f>IF(K$3="","",IF(COUNTIFS(BD!$A$3:$A$5001,K$3,BD!$B$3:$B$5001,$A$60,BD!$D$3:$D$5001,"&lt;&gt;")=0,"",SUMIFS(BD!$D$3:$D$5001,BD!$A$3:$A$5001,K$3,BD!$B$3:$B$5001,$A$60)))</f>
        <v/>
      </c>
      <c r="L61" s="166" t="str">
        <f>IF(L$3="","",IF(COUNTIFS(BD!$A$3:$A$5001,L$3,BD!$B$3:$B$5001,$A$60,BD!$D$3:$D$5001,"&lt;&gt;")=0,"",SUMIFS(BD!$D$3:$D$5001,BD!$A$3:$A$5001,L$3,BD!$B$3:$B$5001,$A$60)))</f>
        <v/>
      </c>
      <c r="M61" s="166" t="str">
        <f>IF(M$3="","",IF(COUNTIFS(BD!$A$3:$A$5001,M$3,BD!$B$3:$B$5001,$A$60,BD!$D$3:$D$5001,"&lt;&gt;")=0,"",SUMIFS(BD!$D$3:$D$5001,BD!$A$3:$A$5001,M$3,BD!$B$3:$B$5001,$A$60)))</f>
        <v/>
      </c>
      <c r="N61" s="166" t="str">
        <f>IF(N$3="","",IF(COUNTIFS(BD!$A$3:$A$5001,N$3,BD!$B$3:$B$5001,$A$60,BD!$D$3:$D$5001,"&lt;&gt;")=0,"",SUMIFS(BD!$D$3:$D$5001,BD!$A$3:$A$5001,N$3,BD!$B$3:$B$5001,$A$60)))</f>
        <v/>
      </c>
      <c r="O61" s="166" t="str">
        <f>IF(O$3="","",IF(COUNTIFS(BD!$A$3:$A$5001,O$3,BD!$B$3:$B$5001,$A$60,BD!$D$3:$D$5001,"&lt;&gt;")=0,"",SUMIFS(BD!$D$3:$D$5001,BD!$A$3:$A$5001,O$3,BD!$B$3:$B$5001,$A$60)))</f>
        <v/>
      </c>
      <c r="P61" s="166" t="str">
        <f>IF(P$3="","",IF(COUNTIFS(BD!$A$3:$A$5001,P$3,BD!$B$3:$B$5001,$A$60,BD!$D$3:$D$5001,"&lt;&gt;")=0,"",SUMIFS(BD!$D$3:$D$5001,BD!$A$3:$A$5001,P$3,BD!$B$3:$B$5001,$A$60)))</f>
        <v/>
      </c>
      <c r="Q61" s="166" t="str">
        <f>IF(Q$3="","",IF(COUNTIFS(BD!$A$3:$A$5001,Q$3,BD!$B$3:$B$5001,$A$60,BD!$D$3:$D$5001,"&lt;&gt;")=0,"",SUMIFS(BD!$D$3:$D$5001,BD!$A$3:$A$5001,Q$3,BD!$B$3:$B$5001,$A$60)))</f>
        <v/>
      </c>
      <c r="R61" s="166" t="str">
        <f>IF(R$3="","",IF(COUNTIFS(BD!$A$3:$A$5001,R$3,BD!$B$3:$B$5001,$A$60,BD!$D$3:$D$5001,"&lt;&gt;")=0,"",SUMIFS(BD!$D$3:$D$5001,BD!$A$3:$A$5001,R$3,BD!$B$3:$B$5001,$A$60)))</f>
        <v/>
      </c>
      <c r="S61" s="166" t="str">
        <f>IF(S$3="","",IF(COUNTIFS(BD!$A$3:$A$5001,S$3,BD!$B$3:$B$5001,$A$60,BD!$D$3:$D$5001,"&lt;&gt;")=0,"",SUMIFS(BD!$D$3:$D$5001,BD!$A$3:$A$5001,S$3,BD!$B$3:$B$5001,$A$60)))</f>
        <v/>
      </c>
      <c r="T61" s="166" t="str">
        <f>IF(T$3="","",IF(COUNTIFS(BD!$A$3:$A$5001,T$3,BD!$B$3:$B$5001,$A$60,BD!$D$3:$D$5001,"&lt;&gt;")=0,"",SUMIFS(BD!$D$3:$D$5001,BD!$A$3:$A$5001,T$3,BD!$B$3:$B$5001,$A$60)))</f>
        <v/>
      </c>
      <c r="U61" s="166" t="str">
        <f>IF(U$3="","",IF(COUNTIFS(BD!$A$3:$A$5001,U$3,BD!$B$3:$B$5001,$A$60,BD!$D$3:$D$5001,"&lt;&gt;")=0,"",SUMIFS(BD!$D$3:$D$5001,BD!$A$3:$A$5001,U$3,BD!$B$3:$B$5001,$A$60)))</f>
        <v/>
      </c>
      <c r="V61" s="166" t="str">
        <f>IF(V$3="","",IF(COUNTIFS(BD!$A$3:$A$5001,V$3,BD!$B$3:$B$5001,$A$60,BD!$D$3:$D$5001,"&lt;&gt;")=0,"",SUMIFS(BD!$D$3:$D$5001,BD!$A$3:$A$5001,V$3,BD!$B$3:$B$5001,$A$60)))</f>
        <v/>
      </c>
      <c r="W61" s="166" t="str">
        <f>IF(W$3="","",IF(COUNTIFS(BD!$A$3:$A$5001,W$3,BD!$B$3:$B$5001,$A$60,BD!$D$3:$D$5001,"&lt;&gt;")=0,"",SUMIFS(BD!$D$3:$D$5001,BD!$A$3:$A$5001,W$3,BD!$B$3:$B$5001,$A$60)))</f>
        <v/>
      </c>
      <c r="X61" s="166" t="str">
        <f>IF(X$3="","",IF(COUNTIFS(BD!$A$3:$A$5001,X$3,BD!$B$3:$B$5001,$A$60,BD!$D$3:$D$5001,"&lt;&gt;")=0,"",SUMIFS(BD!$D$3:$D$5001,BD!$A$3:$A$5001,X$3,BD!$B$3:$B$5001,$A$60)))</f>
        <v/>
      </c>
      <c r="Y61" s="166" t="str">
        <f>IF(Y$3="","",IF(COUNTIFS(BD!$A$3:$A$5001,Y$3,BD!$B$3:$B$5001,$A$60,BD!$D$3:$D$5001,"&lt;&gt;")=0,"",SUMIFS(BD!$D$3:$D$5001,BD!$A$3:$A$5001,Y$3,BD!$B$3:$B$5001,$A$60)))</f>
        <v/>
      </c>
      <c r="Z61" s="166" t="str">
        <f>IF(Z$3="","",IF(COUNTIFS(BD!$A$3:$A$5001,Z$3,BD!$B$3:$B$5001,$A$60,BD!$D$3:$D$5001,"&lt;&gt;")=0,"",SUMIFS(BD!$D$3:$D$5001,BD!$A$3:$A$5001,Z$3,BD!$B$3:$B$5001,$A$60)))</f>
        <v/>
      </c>
      <c r="AA61" s="166" t="str">
        <f>IF(AA$3="","",IF(COUNTIFS(BD!$A$3:$A$5001,AA$3,BD!$B$3:$B$5001,$A$60,BD!$D$3:$D$5001,"&lt;&gt;")=0,"",SUMIFS(BD!$D$3:$D$5001,BD!$A$3:$A$5001,AA$3,BD!$B$3:$B$5001,$A$60)))</f>
        <v/>
      </c>
      <c r="AB61" s="166" t="str">
        <f>IF(AB$3="","",IF(COUNTIFS(BD!$A$3:$A$5001,AB$3,BD!$B$3:$B$5001,$A$60,BD!$D$3:$D$5001,"&lt;&gt;")=0,"",SUMIFS(BD!$D$3:$D$5001,BD!$A$3:$A$5001,AB$3,BD!$B$3:$B$5001,$A$60)))</f>
        <v/>
      </c>
      <c r="AC61" s="166" t="str">
        <f>IF(AC$3="","",IF(COUNTIFS(BD!$A$3:$A$5001,AC$3,BD!$B$3:$B$5001,$A$60,BD!$D$3:$D$5001,"&lt;&gt;")=0,"",SUMIFS(BD!$D$3:$D$5001,BD!$A$3:$A$5001,AC$3,BD!$B$3:$B$5001,$A$60)))</f>
        <v/>
      </c>
      <c r="AD61" s="166" t="str">
        <f>IF(AD$3="","",IF(COUNTIFS(BD!$A$3:$A$5001,AD$3,BD!$B$3:$B$5001,$A$60,BD!$D$3:$D$5001,"&lt;&gt;")=0,"",SUMIFS(BD!$D$3:$D$5001,BD!$A$3:$A$5001,AD$3,BD!$B$3:$B$5001,$A$60)))</f>
        <v/>
      </c>
      <c r="AE61" s="166" t="str">
        <f>IF(AE$3="","",IF(COUNTIFS(BD!$A$3:$A$5001,AE$3,BD!$B$3:$B$5001,$A$60,BD!$D$3:$D$5001,"&lt;&gt;")=0,"",SUMIFS(BD!$D$3:$D$5001,BD!$A$3:$A$5001,AE$3,BD!$B$3:$B$5001,$A$60)))</f>
        <v/>
      </c>
      <c r="AF61" s="166" t="str">
        <f>IF(AF$3="","",IF(COUNTIFS(BD!$A$3:$A$5001,AF$3,BD!$B$3:$B$5001,$A$60,BD!$D$3:$D$5001,"&lt;&gt;")=0,"",SUMIFS(BD!$D$3:$D$5001,BD!$A$3:$A$5001,AF$3,BD!$B$3:$B$5001,$A$60)))</f>
        <v/>
      </c>
      <c r="AG61" s="166" t="str">
        <f>IF(AG$3="","",IF(COUNTIFS(BD!$A$3:$A$5001,AG$3,BD!$B$3:$B$5001,$A$60,BD!$D$3:$D$5001,"&lt;&gt;")=0,"",SUMIFS(BD!$D$3:$D$5001,BD!$A$3:$A$5001,AG$3,BD!$B$3:$B$5001,$A$60)))</f>
        <v/>
      </c>
      <c r="AH61" s="166" t="str">
        <f>IF(AH$3="","",IF(COUNTIFS(BD!$A$3:$A$5001,AH$3,BD!$B$3:$B$5001,$A$60,BD!$D$3:$D$5001,"&lt;&gt;")=0,"",SUMIFS(BD!$D$3:$D$5001,BD!$A$3:$A$5001,AH$3,BD!$B$3:$B$5001,$A$60)))</f>
        <v/>
      </c>
      <c r="AI61" s="166" t="str">
        <f>IF(AI$3="","",IF(COUNTIFS(BD!$A$3:$A$5001,AI$3,BD!$B$3:$B$5001,$A$60,BD!$D$3:$D$5001,"&lt;&gt;")=0,"",SUMIFS(BD!$D$3:$D$5001,BD!$A$3:$A$5001,AI$3,BD!$B$3:$B$5001,$A$60)))</f>
        <v/>
      </c>
      <c r="AJ61" s="167" t="str">
        <f>IF(AJ$3="","",IF(COUNTIFS(BD!$A$3:$A$5001,AJ$3,BD!$B$3:$B$5001,$A$60,BD!$D$3:$D$5001,"&lt;&gt;")=0,"",SUMIFS(BD!$D$3:$D$5001,BD!$A$3:$A$5001,AJ$3,BD!$B$3:$B$5001,$A$60)))</f>
        <v/>
      </c>
      <c r="AK61" s="168" t="str">
        <f>IF(COUNT(F61:AJ61)=0,"",SUM(F61:AJ61))</f>
        <v/>
      </c>
    </row>
    <row r="62" ht="15.75" customHeight="1">
      <c r="A62" s="254"/>
      <c r="B62" s="243"/>
      <c r="C62" s="169" t="inlineStr">
        <is>
          <t xml:space="preserve">Toneladas Movimentadas</t>
        </is>
      </c>
      <c r="D62" s="170" t="str">
        <f>IFERROR(1/(1/INDEX(BD!$Y$25:$AS$25,MATCH($A$60,BD!$Y$22:$AS$22,0))),"")</f>
        <v/>
      </c>
      <c r="E62" s="171"/>
      <c r="F62" s="172" t="str">
        <f>IF(F$3="","",IF(COUNTIFS(BD!$A$3:$A$5001,F$3,BD!$B$3:$B$5001,$A$60,BD!$E$3:$E$5001,"&lt;&gt;")=0,"",SUMIFS(BD!$E$3:$E$5001,BD!$A$3:$A$5001,F$3,BD!$B$3:$B$5001,$A$60)))</f>
        <v/>
      </c>
      <c r="G62" s="173" t="str">
        <f>IF(G$3="","",IF(COUNTIFS(BD!$A$3:$A$5001,G$3,BD!$B$3:$B$5001,$A$60,BD!$E$3:$E$5001,"&lt;&gt;")=0,"",SUMIFS(BD!$E$3:$E$5001,BD!$A$3:$A$5001,G$3,BD!$B$3:$B$5001,$A$60)))</f>
        <v/>
      </c>
      <c r="H62" s="173" t="str">
        <f>IF(H$3="","",IF(COUNTIFS(BD!$A$3:$A$5001,H$3,BD!$B$3:$B$5001,$A$60,BD!$E$3:$E$5001,"&lt;&gt;")=0,"",SUMIFS(BD!$E$3:$E$5001,BD!$A$3:$A$5001,H$3,BD!$B$3:$B$5001,$A$60)))</f>
        <v/>
      </c>
      <c r="I62" s="173" t="str">
        <f>IF(I$3="","",IF(COUNTIFS(BD!$A$3:$A$5001,I$3,BD!$B$3:$B$5001,$A$60,BD!$E$3:$E$5001,"&lt;&gt;")=0,"",SUMIFS(BD!$E$3:$E$5001,BD!$A$3:$A$5001,I$3,BD!$B$3:$B$5001,$A$60)))</f>
        <v/>
      </c>
      <c r="J62" s="173" t="str">
        <f>IF(J$3="","",IF(COUNTIFS(BD!$A$3:$A$5001,J$3,BD!$B$3:$B$5001,$A$60,BD!$E$3:$E$5001,"&lt;&gt;")=0,"",SUMIFS(BD!$E$3:$E$5001,BD!$A$3:$A$5001,J$3,BD!$B$3:$B$5001,$A$60)))</f>
        <v/>
      </c>
      <c r="K62" s="173" t="str">
        <f>IF(K$3="","",IF(COUNTIFS(BD!$A$3:$A$5001,K$3,BD!$B$3:$B$5001,$A$60,BD!$E$3:$E$5001,"&lt;&gt;")=0,"",SUMIFS(BD!$E$3:$E$5001,BD!$A$3:$A$5001,K$3,BD!$B$3:$B$5001,$A$60)))</f>
        <v/>
      </c>
      <c r="L62" s="173" t="str">
        <f>IF(L$3="","",IF(COUNTIFS(BD!$A$3:$A$5001,L$3,BD!$B$3:$B$5001,$A$60,BD!$E$3:$E$5001,"&lt;&gt;")=0,"",SUMIFS(BD!$E$3:$E$5001,BD!$A$3:$A$5001,L$3,BD!$B$3:$B$5001,$A$60)))</f>
        <v/>
      </c>
      <c r="M62" s="173" t="str">
        <f>IF(M$3="","",IF(COUNTIFS(BD!$A$3:$A$5001,M$3,BD!$B$3:$B$5001,$A$60,BD!$E$3:$E$5001,"&lt;&gt;")=0,"",SUMIFS(BD!$E$3:$E$5001,BD!$A$3:$A$5001,M$3,BD!$B$3:$B$5001,$A$60)))</f>
        <v/>
      </c>
      <c r="N62" s="173" t="str">
        <f>IF(N$3="","",IF(COUNTIFS(BD!$A$3:$A$5001,N$3,BD!$B$3:$B$5001,$A$60,BD!$E$3:$E$5001,"&lt;&gt;")=0,"",SUMIFS(BD!$E$3:$E$5001,BD!$A$3:$A$5001,N$3,BD!$B$3:$B$5001,$A$60)))</f>
        <v/>
      </c>
      <c r="O62" s="173" t="str">
        <f>IF(O$3="","",IF(COUNTIFS(BD!$A$3:$A$5001,O$3,BD!$B$3:$B$5001,$A$60,BD!$E$3:$E$5001,"&lt;&gt;")=0,"",SUMIFS(BD!$E$3:$E$5001,BD!$A$3:$A$5001,O$3,BD!$B$3:$B$5001,$A$60)))</f>
        <v/>
      </c>
      <c r="P62" s="173" t="str">
        <f>IF(P$3="","",IF(COUNTIFS(BD!$A$3:$A$5001,P$3,BD!$B$3:$B$5001,$A$60,BD!$E$3:$E$5001,"&lt;&gt;")=0,"",SUMIFS(BD!$E$3:$E$5001,BD!$A$3:$A$5001,P$3,BD!$B$3:$B$5001,$A$60)))</f>
        <v/>
      </c>
      <c r="Q62" s="173" t="str">
        <f>IF(Q$3="","",IF(COUNTIFS(BD!$A$3:$A$5001,Q$3,BD!$B$3:$B$5001,$A$60,BD!$E$3:$E$5001,"&lt;&gt;")=0,"",SUMIFS(BD!$E$3:$E$5001,BD!$A$3:$A$5001,Q$3,BD!$B$3:$B$5001,$A$60)))</f>
        <v/>
      </c>
      <c r="R62" s="173" t="str">
        <f>IF(R$3="","",IF(COUNTIFS(BD!$A$3:$A$5001,R$3,BD!$B$3:$B$5001,$A$60,BD!$E$3:$E$5001,"&lt;&gt;")=0,"",SUMIFS(BD!$E$3:$E$5001,BD!$A$3:$A$5001,R$3,BD!$B$3:$B$5001,$A$60)))</f>
        <v/>
      </c>
      <c r="S62" s="173" t="str">
        <f>IF(S$3="","",IF(COUNTIFS(BD!$A$3:$A$5001,S$3,BD!$B$3:$B$5001,$A$60,BD!$E$3:$E$5001,"&lt;&gt;")=0,"",SUMIFS(BD!$E$3:$E$5001,BD!$A$3:$A$5001,S$3,BD!$B$3:$B$5001,$A$60)))</f>
        <v/>
      </c>
      <c r="T62" s="173" t="str">
        <f>IF(T$3="","",IF(COUNTIFS(BD!$A$3:$A$5001,T$3,BD!$B$3:$B$5001,$A$60,BD!$E$3:$E$5001,"&lt;&gt;")=0,"",SUMIFS(BD!$E$3:$E$5001,BD!$A$3:$A$5001,T$3,BD!$B$3:$B$5001,$A$60)))</f>
        <v/>
      </c>
      <c r="U62" s="173" t="str">
        <f>IF(U$3="","",IF(COUNTIFS(BD!$A$3:$A$5001,U$3,BD!$B$3:$B$5001,$A$60,BD!$E$3:$E$5001,"&lt;&gt;")=0,"",SUMIFS(BD!$E$3:$E$5001,BD!$A$3:$A$5001,U$3,BD!$B$3:$B$5001,$A$60)))</f>
        <v/>
      </c>
      <c r="V62" s="173" t="str">
        <f>IF(V$3="","",IF(COUNTIFS(BD!$A$3:$A$5001,V$3,BD!$B$3:$B$5001,$A$60,BD!$E$3:$E$5001,"&lt;&gt;")=0,"",SUMIFS(BD!$E$3:$E$5001,BD!$A$3:$A$5001,V$3,BD!$B$3:$B$5001,$A$60)))</f>
        <v/>
      </c>
      <c r="W62" s="173" t="str">
        <f>IF(W$3="","",IF(COUNTIFS(BD!$A$3:$A$5001,W$3,BD!$B$3:$B$5001,$A$60,BD!$E$3:$E$5001,"&lt;&gt;")=0,"",SUMIFS(BD!$E$3:$E$5001,BD!$A$3:$A$5001,W$3,BD!$B$3:$B$5001,$A$60)))</f>
        <v/>
      </c>
      <c r="X62" s="173" t="str">
        <f>IF(X$3="","",IF(COUNTIFS(BD!$A$3:$A$5001,X$3,BD!$B$3:$B$5001,$A$60,BD!$E$3:$E$5001,"&lt;&gt;")=0,"",SUMIFS(BD!$E$3:$E$5001,BD!$A$3:$A$5001,X$3,BD!$B$3:$B$5001,$A$60)))</f>
        <v/>
      </c>
      <c r="Y62" s="173" t="str">
        <f>IF(Y$3="","",IF(COUNTIFS(BD!$A$3:$A$5001,Y$3,BD!$B$3:$B$5001,$A$60,BD!$E$3:$E$5001,"&lt;&gt;")=0,"",SUMIFS(BD!$E$3:$E$5001,BD!$A$3:$A$5001,Y$3,BD!$B$3:$B$5001,$A$60)))</f>
        <v/>
      </c>
      <c r="Z62" s="173" t="str">
        <f>IF(Z$3="","",IF(COUNTIFS(BD!$A$3:$A$5001,Z$3,BD!$B$3:$B$5001,$A$60,BD!$E$3:$E$5001,"&lt;&gt;")=0,"",SUMIFS(BD!$E$3:$E$5001,BD!$A$3:$A$5001,Z$3,BD!$B$3:$B$5001,$A$60)))</f>
        <v/>
      </c>
      <c r="AA62" s="173" t="str">
        <f>IF(AA$3="","",IF(COUNTIFS(BD!$A$3:$A$5001,AA$3,BD!$B$3:$B$5001,$A$60,BD!$E$3:$E$5001,"&lt;&gt;")=0,"",SUMIFS(BD!$E$3:$E$5001,BD!$A$3:$A$5001,AA$3,BD!$B$3:$B$5001,$A$60)))</f>
        <v/>
      </c>
      <c r="AB62" s="173" t="str">
        <f>IF(AB$3="","",IF(COUNTIFS(BD!$A$3:$A$5001,AB$3,BD!$B$3:$B$5001,$A$60,BD!$E$3:$E$5001,"&lt;&gt;")=0,"",SUMIFS(BD!$E$3:$E$5001,BD!$A$3:$A$5001,AB$3,BD!$B$3:$B$5001,$A$60)))</f>
        <v/>
      </c>
      <c r="AC62" s="173" t="str">
        <f>IF(AC$3="","",IF(COUNTIFS(BD!$A$3:$A$5001,AC$3,BD!$B$3:$B$5001,$A$60,BD!$E$3:$E$5001,"&lt;&gt;")=0,"",SUMIFS(BD!$E$3:$E$5001,BD!$A$3:$A$5001,AC$3,BD!$B$3:$B$5001,$A$60)))</f>
        <v/>
      </c>
      <c r="AD62" s="173" t="str">
        <f>IF(AD$3="","",IF(COUNTIFS(BD!$A$3:$A$5001,AD$3,BD!$B$3:$B$5001,$A$60,BD!$E$3:$E$5001,"&lt;&gt;")=0,"",SUMIFS(BD!$E$3:$E$5001,BD!$A$3:$A$5001,AD$3,BD!$B$3:$B$5001,$A$60)))</f>
        <v/>
      </c>
      <c r="AE62" s="173" t="str">
        <f>IF(AE$3="","",IF(COUNTIFS(BD!$A$3:$A$5001,AE$3,BD!$B$3:$B$5001,$A$60,BD!$E$3:$E$5001,"&lt;&gt;")=0,"",SUMIFS(BD!$E$3:$E$5001,BD!$A$3:$A$5001,AE$3,BD!$B$3:$B$5001,$A$60)))</f>
        <v/>
      </c>
      <c r="AF62" s="173" t="str">
        <f>IF(AF$3="","",IF(COUNTIFS(BD!$A$3:$A$5001,AF$3,BD!$B$3:$B$5001,$A$60,BD!$E$3:$E$5001,"&lt;&gt;")=0,"",SUMIFS(BD!$E$3:$E$5001,BD!$A$3:$A$5001,AF$3,BD!$B$3:$B$5001,$A$60)))</f>
        <v/>
      </c>
      <c r="AG62" s="173" t="str">
        <f>IF(AG$3="","",IF(COUNTIFS(BD!$A$3:$A$5001,AG$3,BD!$B$3:$B$5001,$A$60,BD!$E$3:$E$5001,"&lt;&gt;")=0,"",SUMIFS(BD!$E$3:$E$5001,BD!$A$3:$A$5001,AG$3,BD!$B$3:$B$5001,$A$60)))</f>
        <v/>
      </c>
      <c r="AH62" s="173" t="str">
        <f>IF(AH$3="","",IF(COUNTIFS(BD!$A$3:$A$5001,AH$3,BD!$B$3:$B$5001,$A$60,BD!$E$3:$E$5001,"&lt;&gt;")=0,"",SUMIFS(BD!$E$3:$E$5001,BD!$A$3:$A$5001,AH$3,BD!$B$3:$B$5001,$A$60)))</f>
        <v/>
      </c>
      <c r="AI62" s="173" t="str">
        <f>IF(AI$3="","",IF(COUNTIFS(BD!$A$3:$A$5001,AI$3,BD!$B$3:$B$5001,$A$60,BD!$E$3:$E$5001,"&lt;&gt;")=0,"",SUMIFS(BD!$E$3:$E$5001,BD!$A$3:$A$5001,AI$3,BD!$B$3:$B$5001,$A$60)))</f>
        <v/>
      </c>
      <c r="AJ62" s="174" t="str">
        <f>IF(AJ$3="","",IF(COUNTIFS(BD!$A$3:$A$5001,AJ$3,BD!$B$3:$B$5001,$A$60,BD!$E$3:$E$5001,"&lt;&gt;")=0,"",SUMIFS(BD!$E$3:$E$5001,BD!$A$3:$A$5001,AJ$3,BD!$B$3:$B$5001,$A$60)))</f>
        <v/>
      </c>
      <c r="AK62" s="175" t="str">
        <f>IF(COUNT(F62:AJ62)=0,"",SUM(F62:AJ62))</f>
        <v/>
      </c>
    </row>
    <row r="63" ht="15.75" customHeight="1">
      <c r="A63" s="254"/>
      <c r="B63" s="244" t="inlineStr">
        <is>
          <t xml:space="preserve">OUT</t>
        </is>
      </c>
      <c r="C63" s="176" t="inlineStr">
        <is>
          <t xml:space="preserve">Veículos Expedidos</t>
        </is>
      </c>
      <c r="D63" s="177" t="str">
        <f>IFERROR(1/(1/INDEX(BD!$Y$26:$AS$26,MATCH($A$60,BD!$Y$22:$AS$22,0))),"")</f>
        <v/>
      </c>
      <c r="E63" s="178"/>
      <c r="F63" s="179" t="str">
        <f>IF(F$3="","",IF(COUNTIFS(BD!$A$3:$A$5001,F$3,BD!$B$3:$B$5001,$A$60,BD!$F$3:$F$5001,"&lt;&gt;")=0,"",SUMIFS(BD!$F$3:$F$5001,BD!$A$3:$A$5001,F$3,BD!$B$3:$B$5001,$A$60)))</f>
        <v/>
      </c>
      <c r="G63" s="180" t="str">
        <f>IF(G$3="","",IF(COUNTIFS(BD!$A$3:$A$5001,G$3,BD!$B$3:$B$5001,$A$60,BD!$F$3:$F$5001,"&lt;&gt;")=0,"",SUMIFS(BD!$F$3:$F$5001,BD!$A$3:$A$5001,G$3,BD!$B$3:$B$5001,$A$60)))</f>
        <v/>
      </c>
      <c r="H63" s="180" t="str">
        <f>IF(H$3="","",IF(COUNTIFS(BD!$A$3:$A$5001,H$3,BD!$B$3:$B$5001,$A$60,BD!$F$3:$F$5001,"&lt;&gt;")=0,"",SUMIFS(BD!$F$3:$F$5001,BD!$A$3:$A$5001,H$3,BD!$B$3:$B$5001,$A$60)))</f>
        <v/>
      </c>
      <c r="I63" s="180" t="str">
        <f>IF(I$3="","",IF(COUNTIFS(BD!$A$3:$A$5001,I$3,BD!$B$3:$B$5001,$A$60,BD!$F$3:$F$5001,"&lt;&gt;")=0,"",SUMIFS(BD!$F$3:$F$5001,BD!$A$3:$A$5001,I$3,BD!$B$3:$B$5001,$A$60)))</f>
        <v/>
      </c>
      <c r="J63" s="180" t="str">
        <f>IF(J$3="","",IF(COUNTIFS(BD!$A$3:$A$5001,J$3,BD!$B$3:$B$5001,$A$60,BD!$F$3:$F$5001,"&lt;&gt;")=0,"",SUMIFS(BD!$F$3:$F$5001,BD!$A$3:$A$5001,J$3,BD!$B$3:$B$5001,$A$60)))</f>
        <v/>
      </c>
      <c r="K63" s="180" t="str">
        <f>IF(K$3="","",IF(COUNTIFS(BD!$A$3:$A$5001,K$3,BD!$B$3:$B$5001,$A$60,BD!$F$3:$F$5001,"&lt;&gt;")=0,"",SUMIFS(BD!$F$3:$F$5001,BD!$A$3:$A$5001,K$3,BD!$B$3:$B$5001,$A$60)))</f>
        <v/>
      </c>
      <c r="L63" s="180" t="str">
        <f>IF(L$3="","",IF(COUNTIFS(BD!$A$3:$A$5001,L$3,BD!$B$3:$B$5001,$A$60,BD!$F$3:$F$5001,"&lt;&gt;")=0,"",SUMIFS(BD!$F$3:$F$5001,BD!$A$3:$A$5001,L$3,BD!$B$3:$B$5001,$A$60)))</f>
        <v/>
      </c>
      <c r="M63" s="180" t="str">
        <f>IF(M$3="","",IF(COUNTIFS(BD!$A$3:$A$5001,M$3,BD!$B$3:$B$5001,$A$60,BD!$F$3:$F$5001,"&lt;&gt;")=0,"",SUMIFS(BD!$F$3:$F$5001,BD!$A$3:$A$5001,M$3,BD!$B$3:$B$5001,$A$60)))</f>
        <v/>
      </c>
      <c r="N63" s="180" t="str">
        <f>IF(N$3="","",IF(COUNTIFS(BD!$A$3:$A$5001,N$3,BD!$B$3:$B$5001,$A$60,BD!$F$3:$F$5001,"&lt;&gt;")=0,"",SUMIFS(BD!$F$3:$F$5001,BD!$A$3:$A$5001,N$3,BD!$B$3:$B$5001,$A$60)))</f>
        <v/>
      </c>
      <c r="O63" s="180" t="str">
        <f>IF(O$3="","",IF(COUNTIFS(BD!$A$3:$A$5001,O$3,BD!$B$3:$B$5001,$A$60,BD!$F$3:$F$5001,"&lt;&gt;")=0,"",SUMIFS(BD!$F$3:$F$5001,BD!$A$3:$A$5001,O$3,BD!$B$3:$B$5001,$A$60)))</f>
        <v/>
      </c>
      <c r="P63" s="180" t="str">
        <f>IF(P$3="","",IF(COUNTIFS(BD!$A$3:$A$5001,P$3,BD!$B$3:$B$5001,$A$60,BD!$F$3:$F$5001,"&lt;&gt;")=0,"",SUMIFS(BD!$F$3:$F$5001,BD!$A$3:$A$5001,P$3,BD!$B$3:$B$5001,$A$60)))</f>
        <v/>
      </c>
      <c r="Q63" s="180" t="str">
        <f>IF(Q$3="","",IF(COUNTIFS(BD!$A$3:$A$5001,Q$3,BD!$B$3:$B$5001,$A$60,BD!$F$3:$F$5001,"&lt;&gt;")=0,"",SUMIFS(BD!$F$3:$F$5001,BD!$A$3:$A$5001,Q$3,BD!$B$3:$B$5001,$A$60)))</f>
        <v/>
      </c>
      <c r="R63" s="180" t="str">
        <f>IF(R$3="","",IF(COUNTIFS(BD!$A$3:$A$5001,R$3,BD!$B$3:$B$5001,$A$60,BD!$F$3:$F$5001,"&lt;&gt;")=0,"",SUMIFS(BD!$F$3:$F$5001,BD!$A$3:$A$5001,R$3,BD!$B$3:$B$5001,$A$60)))</f>
        <v/>
      </c>
      <c r="S63" s="180" t="str">
        <f>IF(S$3="","",IF(COUNTIFS(BD!$A$3:$A$5001,S$3,BD!$B$3:$B$5001,$A$60,BD!$F$3:$F$5001,"&lt;&gt;")=0,"",SUMIFS(BD!$F$3:$F$5001,BD!$A$3:$A$5001,S$3,BD!$B$3:$B$5001,$A$60)))</f>
        <v/>
      </c>
      <c r="T63" s="180" t="str">
        <f>IF(T$3="","",IF(COUNTIFS(BD!$A$3:$A$5001,T$3,BD!$B$3:$B$5001,$A$60,BD!$F$3:$F$5001,"&lt;&gt;")=0,"",SUMIFS(BD!$F$3:$F$5001,BD!$A$3:$A$5001,T$3,BD!$B$3:$B$5001,$A$60)))</f>
        <v/>
      </c>
      <c r="U63" s="180" t="str">
        <f>IF(U$3="","",IF(COUNTIFS(BD!$A$3:$A$5001,U$3,BD!$B$3:$B$5001,$A$60,BD!$F$3:$F$5001,"&lt;&gt;")=0,"",SUMIFS(BD!$F$3:$F$5001,BD!$A$3:$A$5001,U$3,BD!$B$3:$B$5001,$A$60)))</f>
        <v/>
      </c>
      <c r="V63" s="180" t="str">
        <f>IF(V$3="","",IF(COUNTIFS(BD!$A$3:$A$5001,V$3,BD!$B$3:$B$5001,$A$60,BD!$F$3:$F$5001,"&lt;&gt;")=0,"",SUMIFS(BD!$F$3:$F$5001,BD!$A$3:$A$5001,V$3,BD!$B$3:$B$5001,$A$60)))</f>
        <v/>
      </c>
      <c r="W63" s="180" t="str">
        <f>IF(W$3="","",IF(COUNTIFS(BD!$A$3:$A$5001,W$3,BD!$B$3:$B$5001,$A$60,BD!$F$3:$F$5001,"&lt;&gt;")=0,"",SUMIFS(BD!$F$3:$F$5001,BD!$A$3:$A$5001,W$3,BD!$B$3:$B$5001,$A$60)))</f>
        <v/>
      </c>
      <c r="X63" s="180" t="str">
        <f>IF(X$3="","",IF(COUNTIFS(BD!$A$3:$A$5001,X$3,BD!$B$3:$B$5001,$A$60,BD!$F$3:$F$5001,"&lt;&gt;")=0,"",SUMIFS(BD!$F$3:$F$5001,BD!$A$3:$A$5001,X$3,BD!$B$3:$B$5001,$A$60)))</f>
        <v/>
      </c>
      <c r="Y63" s="180" t="str">
        <f>IF(Y$3="","",IF(COUNTIFS(BD!$A$3:$A$5001,Y$3,BD!$B$3:$B$5001,$A$60,BD!$F$3:$F$5001,"&lt;&gt;")=0,"",SUMIFS(BD!$F$3:$F$5001,BD!$A$3:$A$5001,Y$3,BD!$B$3:$B$5001,$A$60)))</f>
        <v/>
      </c>
      <c r="Z63" s="180" t="str">
        <f>IF(Z$3="","",IF(COUNTIFS(BD!$A$3:$A$5001,Z$3,BD!$B$3:$B$5001,$A$60,BD!$F$3:$F$5001,"&lt;&gt;")=0,"",SUMIFS(BD!$F$3:$F$5001,BD!$A$3:$A$5001,Z$3,BD!$B$3:$B$5001,$A$60)))</f>
        <v/>
      </c>
      <c r="AA63" s="180" t="str">
        <f>IF(AA$3="","",IF(COUNTIFS(BD!$A$3:$A$5001,AA$3,BD!$B$3:$B$5001,$A$60,BD!$F$3:$F$5001,"&lt;&gt;")=0,"",SUMIFS(BD!$F$3:$F$5001,BD!$A$3:$A$5001,AA$3,BD!$B$3:$B$5001,$A$60)))</f>
        <v/>
      </c>
      <c r="AB63" s="180" t="str">
        <f>IF(AB$3="","",IF(COUNTIFS(BD!$A$3:$A$5001,AB$3,BD!$B$3:$B$5001,$A$60,BD!$F$3:$F$5001,"&lt;&gt;")=0,"",SUMIFS(BD!$F$3:$F$5001,BD!$A$3:$A$5001,AB$3,BD!$B$3:$B$5001,$A$60)))</f>
        <v/>
      </c>
      <c r="AC63" s="180" t="str">
        <f>IF(AC$3="","",IF(COUNTIFS(BD!$A$3:$A$5001,AC$3,BD!$B$3:$B$5001,$A$60,BD!$F$3:$F$5001,"&lt;&gt;")=0,"",SUMIFS(BD!$F$3:$F$5001,BD!$A$3:$A$5001,AC$3,BD!$B$3:$B$5001,$A$60)))</f>
        <v/>
      </c>
      <c r="AD63" s="180" t="str">
        <f>IF(AD$3="","",IF(COUNTIFS(BD!$A$3:$A$5001,AD$3,BD!$B$3:$B$5001,$A$60,BD!$F$3:$F$5001,"&lt;&gt;")=0,"",SUMIFS(BD!$F$3:$F$5001,BD!$A$3:$A$5001,AD$3,BD!$B$3:$B$5001,$A$60)))</f>
        <v/>
      </c>
      <c r="AE63" s="180" t="str">
        <f>IF(AE$3="","",IF(COUNTIFS(BD!$A$3:$A$5001,AE$3,BD!$B$3:$B$5001,$A$60,BD!$F$3:$F$5001,"&lt;&gt;")=0,"",SUMIFS(BD!$F$3:$F$5001,BD!$A$3:$A$5001,AE$3,BD!$B$3:$B$5001,$A$60)))</f>
        <v/>
      </c>
      <c r="AF63" s="180" t="str">
        <f>IF(AF$3="","",IF(COUNTIFS(BD!$A$3:$A$5001,AF$3,BD!$B$3:$B$5001,$A$60,BD!$F$3:$F$5001,"&lt;&gt;")=0,"",SUMIFS(BD!$F$3:$F$5001,BD!$A$3:$A$5001,AF$3,BD!$B$3:$B$5001,$A$60)))</f>
        <v/>
      </c>
      <c r="AG63" s="180" t="str">
        <f>IF(AG$3="","",IF(COUNTIFS(BD!$A$3:$A$5001,AG$3,BD!$B$3:$B$5001,$A$60,BD!$F$3:$F$5001,"&lt;&gt;")=0,"",SUMIFS(BD!$F$3:$F$5001,BD!$A$3:$A$5001,AG$3,BD!$B$3:$B$5001,$A$60)))</f>
        <v/>
      </c>
      <c r="AH63" s="180" t="str">
        <f>IF(AH$3="","",IF(COUNTIFS(BD!$A$3:$A$5001,AH$3,BD!$B$3:$B$5001,$A$60,BD!$F$3:$F$5001,"&lt;&gt;")=0,"",SUMIFS(BD!$F$3:$F$5001,BD!$A$3:$A$5001,AH$3,BD!$B$3:$B$5001,$A$60)))</f>
        <v/>
      </c>
      <c r="AI63" s="180" t="str">
        <f>IF(AI$3="","",IF(COUNTIFS(BD!$A$3:$A$5001,AI$3,BD!$B$3:$B$5001,$A$60,BD!$F$3:$F$5001,"&lt;&gt;")=0,"",SUMIFS(BD!$F$3:$F$5001,BD!$A$3:$A$5001,AI$3,BD!$B$3:$B$5001,$A$60)))</f>
        <v/>
      </c>
      <c r="AJ63" s="181" t="str">
        <f>IF(AJ$3="","",IF(COUNTIFS(BD!$A$3:$A$5001,AJ$3,BD!$B$3:$B$5001,$A$60,BD!$F$3:$F$5001,"&lt;&gt;")=0,"",SUMIFS(BD!$F$3:$F$5001,BD!$A$3:$A$5001,AJ$3,BD!$B$3:$B$5001,$A$60)))</f>
        <v/>
      </c>
      <c r="AK63" s="182" t="str">
        <f>IF(COUNT(F63:AJ63)=0,"",SUM(F63:AJ63))</f>
        <v/>
      </c>
    </row>
    <row r="64" ht="15.75" customHeight="1">
      <c r="A64" s="254"/>
      <c r="B64" s="245"/>
      <c r="C64" s="183" t="inlineStr">
        <is>
          <t xml:space="preserve">Pallets Movimentados</t>
        </is>
      </c>
      <c r="D64" s="184" t="str">
        <f>IFERROR(1/(1/INDEX(BD!$Y$27:$AS$27,MATCH($A$60,BD!$Y$22:$AS$22,0))),"")</f>
        <v/>
      </c>
      <c r="E64" s="185"/>
      <c r="F64" s="186" t="str">
        <f>IF(F$3="","",IF(COUNTIFS(BD!$A$3:$A$5001,F$3,BD!$B$3:$B$5001,$A$60,BD!$G$3:$G$5001,"&lt;&gt;")=0,"",SUMIFS(BD!$G$3:$G$5001,BD!$A$3:$A$5001,F$3,BD!$B$3:$B$5001,$A$60)))</f>
        <v/>
      </c>
      <c r="G64" s="187" t="str">
        <f>IF(G$3="","",IF(COUNTIFS(BD!$A$3:$A$5001,G$3,BD!$B$3:$B$5001,$A$60,BD!$G$3:$G$5001,"&lt;&gt;")=0,"",SUMIFS(BD!$G$3:$G$5001,BD!$A$3:$A$5001,G$3,BD!$B$3:$B$5001,$A$60)))</f>
        <v/>
      </c>
      <c r="H64" s="187" t="str">
        <f>IF(H$3="","",IF(COUNTIFS(BD!$A$3:$A$5001,H$3,BD!$B$3:$B$5001,$A$60,BD!$G$3:$G$5001,"&lt;&gt;")=0,"",SUMIFS(BD!$G$3:$G$5001,BD!$A$3:$A$5001,H$3,BD!$B$3:$B$5001,$A$60)))</f>
        <v/>
      </c>
      <c r="I64" s="187" t="str">
        <f>IF(I$3="","",IF(COUNTIFS(BD!$A$3:$A$5001,I$3,BD!$B$3:$B$5001,$A$60,BD!$G$3:$G$5001,"&lt;&gt;")=0,"",SUMIFS(BD!$G$3:$G$5001,BD!$A$3:$A$5001,I$3,BD!$B$3:$B$5001,$A$60)))</f>
        <v/>
      </c>
      <c r="J64" s="187" t="str">
        <f>IF(J$3="","",IF(COUNTIFS(BD!$A$3:$A$5001,J$3,BD!$B$3:$B$5001,$A$60,BD!$G$3:$G$5001,"&lt;&gt;")=0,"",SUMIFS(BD!$G$3:$G$5001,BD!$A$3:$A$5001,J$3,BD!$B$3:$B$5001,$A$60)))</f>
        <v/>
      </c>
      <c r="K64" s="187" t="str">
        <f>IF(K$3="","",IF(COUNTIFS(BD!$A$3:$A$5001,K$3,BD!$B$3:$B$5001,$A$60,BD!$G$3:$G$5001,"&lt;&gt;")=0,"",SUMIFS(BD!$G$3:$G$5001,BD!$A$3:$A$5001,K$3,BD!$B$3:$B$5001,$A$60)))</f>
        <v/>
      </c>
      <c r="L64" s="187" t="str">
        <f>IF(L$3="","",IF(COUNTIFS(BD!$A$3:$A$5001,L$3,BD!$B$3:$B$5001,$A$60,BD!$G$3:$G$5001,"&lt;&gt;")=0,"",SUMIFS(BD!$G$3:$G$5001,BD!$A$3:$A$5001,L$3,BD!$B$3:$B$5001,$A$60)))</f>
        <v/>
      </c>
      <c r="M64" s="187" t="str">
        <f>IF(M$3="","",IF(COUNTIFS(BD!$A$3:$A$5001,M$3,BD!$B$3:$B$5001,$A$60,BD!$G$3:$G$5001,"&lt;&gt;")=0,"",SUMIFS(BD!$G$3:$G$5001,BD!$A$3:$A$5001,M$3,BD!$B$3:$B$5001,$A$60)))</f>
        <v/>
      </c>
      <c r="N64" s="187" t="str">
        <f>IF(N$3="","",IF(COUNTIFS(BD!$A$3:$A$5001,N$3,BD!$B$3:$B$5001,$A$60,BD!$G$3:$G$5001,"&lt;&gt;")=0,"",SUMIFS(BD!$G$3:$G$5001,BD!$A$3:$A$5001,N$3,BD!$B$3:$B$5001,$A$60)))</f>
        <v/>
      </c>
      <c r="O64" s="187" t="str">
        <f>IF(O$3="","",IF(COUNTIFS(BD!$A$3:$A$5001,O$3,BD!$B$3:$B$5001,$A$60,BD!$G$3:$G$5001,"&lt;&gt;")=0,"",SUMIFS(BD!$G$3:$G$5001,BD!$A$3:$A$5001,O$3,BD!$B$3:$B$5001,$A$60)))</f>
        <v/>
      </c>
      <c r="P64" s="187" t="str">
        <f>IF(P$3="","",IF(COUNTIFS(BD!$A$3:$A$5001,P$3,BD!$B$3:$B$5001,$A$60,BD!$G$3:$G$5001,"&lt;&gt;")=0,"",SUMIFS(BD!$G$3:$G$5001,BD!$A$3:$A$5001,P$3,BD!$B$3:$B$5001,$A$60)))</f>
        <v/>
      </c>
      <c r="Q64" s="187" t="str">
        <f>IF(Q$3="","",IF(COUNTIFS(BD!$A$3:$A$5001,Q$3,BD!$B$3:$B$5001,$A$60,BD!$G$3:$G$5001,"&lt;&gt;")=0,"",SUMIFS(BD!$G$3:$G$5001,BD!$A$3:$A$5001,Q$3,BD!$B$3:$B$5001,$A$60)))</f>
        <v/>
      </c>
      <c r="R64" s="187" t="str">
        <f>IF(R$3="","",IF(COUNTIFS(BD!$A$3:$A$5001,R$3,BD!$B$3:$B$5001,$A$60,BD!$G$3:$G$5001,"&lt;&gt;")=0,"",SUMIFS(BD!$G$3:$G$5001,BD!$A$3:$A$5001,R$3,BD!$B$3:$B$5001,$A$60)))</f>
        <v/>
      </c>
      <c r="S64" s="187" t="str">
        <f>IF(S$3="","",IF(COUNTIFS(BD!$A$3:$A$5001,S$3,BD!$B$3:$B$5001,$A$60,BD!$G$3:$G$5001,"&lt;&gt;")=0,"",SUMIFS(BD!$G$3:$G$5001,BD!$A$3:$A$5001,S$3,BD!$B$3:$B$5001,$A$60)))</f>
        <v/>
      </c>
      <c r="T64" s="187" t="str">
        <f>IF(T$3="","",IF(COUNTIFS(BD!$A$3:$A$5001,T$3,BD!$B$3:$B$5001,$A$60,BD!$G$3:$G$5001,"&lt;&gt;")=0,"",SUMIFS(BD!$G$3:$G$5001,BD!$A$3:$A$5001,T$3,BD!$B$3:$B$5001,$A$60)))</f>
        <v/>
      </c>
      <c r="U64" s="187" t="str">
        <f>IF(U$3="","",IF(COUNTIFS(BD!$A$3:$A$5001,U$3,BD!$B$3:$B$5001,$A$60,BD!$G$3:$G$5001,"&lt;&gt;")=0,"",SUMIFS(BD!$G$3:$G$5001,BD!$A$3:$A$5001,U$3,BD!$B$3:$B$5001,$A$60)))</f>
        <v/>
      </c>
      <c r="V64" s="187" t="str">
        <f>IF(V$3="","",IF(COUNTIFS(BD!$A$3:$A$5001,V$3,BD!$B$3:$B$5001,$A$60,BD!$G$3:$G$5001,"&lt;&gt;")=0,"",SUMIFS(BD!$G$3:$G$5001,BD!$A$3:$A$5001,V$3,BD!$B$3:$B$5001,$A$60)))</f>
        <v/>
      </c>
      <c r="W64" s="187" t="str">
        <f>IF(W$3="","",IF(COUNTIFS(BD!$A$3:$A$5001,W$3,BD!$B$3:$B$5001,$A$60,BD!$G$3:$G$5001,"&lt;&gt;")=0,"",SUMIFS(BD!$G$3:$G$5001,BD!$A$3:$A$5001,W$3,BD!$B$3:$B$5001,$A$60)))</f>
        <v/>
      </c>
      <c r="X64" s="187" t="str">
        <f>IF(X$3="","",IF(COUNTIFS(BD!$A$3:$A$5001,X$3,BD!$B$3:$B$5001,$A$60,BD!$G$3:$G$5001,"&lt;&gt;")=0,"",SUMIFS(BD!$G$3:$G$5001,BD!$A$3:$A$5001,X$3,BD!$B$3:$B$5001,$A$60)))</f>
        <v/>
      </c>
      <c r="Y64" s="187" t="str">
        <f>IF(Y$3="","",IF(COUNTIFS(BD!$A$3:$A$5001,Y$3,BD!$B$3:$B$5001,$A$60,BD!$G$3:$G$5001,"&lt;&gt;")=0,"",SUMIFS(BD!$G$3:$G$5001,BD!$A$3:$A$5001,Y$3,BD!$B$3:$B$5001,$A$60)))</f>
        <v/>
      </c>
      <c r="Z64" s="187" t="str">
        <f>IF(Z$3="","",IF(COUNTIFS(BD!$A$3:$A$5001,Z$3,BD!$B$3:$B$5001,$A$60,BD!$G$3:$G$5001,"&lt;&gt;")=0,"",SUMIFS(BD!$G$3:$G$5001,BD!$A$3:$A$5001,Z$3,BD!$B$3:$B$5001,$A$60)))</f>
        <v/>
      </c>
      <c r="AA64" s="187" t="str">
        <f>IF(AA$3="","",IF(COUNTIFS(BD!$A$3:$A$5001,AA$3,BD!$B$3:$B$5001,$A$60,BD!$G$3:$G$5001,"&lt;&gt;")=0,"",SUMIFS(BD!$G$3:$G$5001,BD!$A$3:$A$5001,AA$3,BD!$B$3:$B$5001,$A$60)))</f>
        <v/>
      </c>
      <c r="AB64" s="187" t="str">
        <f>IF(AB$3="","",IF(COUNTIFS(BD!$A$3:$A$5001,AB$3,BD!$B$3:$B$5001,$A$60,BD!$G$3:$G$5001,"&lt;&gt;")=0,"",SUMIFS(BD!$G$3:$G$5001,BD!$A$3:$A$5001,AB$3,BD!$B$3:$B$5001,$A$60)))</f>
        <v/>
      </c>
      <c r="AC64" s="187" t="str">
        <f>IF(AC$3="","",IF(COUNTIFS(BD!$A$3:$A$5001,AC$3,BD!$B$3:$B$5001,$A$60,BD!$G$3:$G$5001,"&lt;&gt;")=0,"",SUMIFS(BD!$G$3:$G$5001,BD!$A$3:$A$5001,AC$3,BD!$B$3:$B$5001,$A$60)))</f>
        <v/>
      </c>
      <c r="AD64" s="187" t="str">
        <f>IF(AD$3="","",IF(COUNTIFS(BD!$A$3:$A$5001,AD$3,BD!$B$3:$B$5001,$A$60,BD!$G$3:$G$5001,"&lt;&gt;")=0,"",SUMIFS(BD!$G$3:$G$5001,BD!$A$3:$A$5001,AD$3,BD!$B$3:$B$5001,$A$60)))</f>
        <v/>
      </c>
      <c r="AE64" s="187" t="str">
        <f>IF(AE$3="","",IF(COUNTIFS(BD!$A$3:$A$5001,AE$3,BD!$B$3:$B$5001,$A$60,BD!$G$3:$G$5001,"&lt;&gt;")=0,"",SUMIFS(BD!$G$3:$G$5001,BD!$A$3:$A$5001,AE$3,BD!$B$3:$B$5001,$A$60)))</f>
        <v/>
      </c>
      <c r="AF64" s="187" t="str">
        <f>IF(AF$3="","",IF(COUNTIFS(BD!$A$3:$A$5001,AF$3,BD!$B$3:$B$5001,$A$60,BD!$G$3:$G$5001,"&lt;&gt;")=0,"",SUMIFS(BD!$G$3:$G$5001,BD!$A$3:$A$5001,AF$3,BD!$B$3:$B$5001,$A$60)))</f>
        <v/>
      </c>
      <c r="AG64" s="187" t="str">
        <f>IF(AG$3="","",IF(COUNTIFS(BD!$A$3:$A$5001,AG$3,BD!$B$3:$B$5001,$A$60,BD!$G$3:$G$5001,"&lt;&gt;")=0,"",SUMIFS(BD!$G$3:$G$5001,BD!$A$3:$A$5001,AG$3,BD!$B$3:$B$5001,$A$60)))</f>
        <v/>
      </c>
      <c r="AH64" s="187" t="str">
        <f>IF(AH$3="","",IF(COUNTIFS(BD!$A$3:$A$5001,AH$3,BD!$B$3:$B$5001,$A$60,BD!$G$3:$G$5001,"&lt;&gt;")=0,"",SUMIFS(BD!$G$3:$G$5001,BD!$A$3:$A$5001,AH$3,BD!$B$3:$B$5001,$A$60)))</f>
        <v/>
      </c>
      <c r="AI64" s="187" t="str">
        <f>IF(AI$3="","",IF(COUNTIFS(BD!$A$3:$A$5001,AI$3,BD!$B$3:$B$5001,$A$60,BD!$G$3:$G$5001,"&lt;&gt;")=0,"",SUMIFS(BD!$G$3:$G$5001,BD!$A$3:$A$5001,AI$3,BD!$B$3:$B$5001,$A$60)))</f>
        <v/>
      </c>
      <c r="AJ64" s="188" t="str">
        <f>IF(AJ$3="","",IF(COUNTIFS(BD!$A$3:$A$5001,AJ$3,BD!$B$3:$B$5001,$A$60,BD!$G$3:$G$5001,"&lt;&gt;")=0,"",SUMIFS(BD!$G$3:$G$5001,BD!$A$3:$A$5001,AJ$3,BD!$B$3:$B$5001,$A$60)))</f>
        <v/>
      </c>
      <c r="AK64" s="189" t="str">
        <f>IF(COUNT(F64:AJ64)=0,"",SUM(F64:AJ64))</f>
        <v/>
      </c>
    </row>
    <row r="65" ht="15.75" customHeight="1">
      <c r="A65" s="254"/>
      <c r="B65" s="246"/>
      <c r="C65" s="190" t="inlineStr">
        <is>
          <t xml:space="preserve">Toneladas Movimentadas</t>
        </is>
      </c>
      <c r="D65" s="191" t="str">
        <f>IFERROR(1/(1/INDEX(BD!$Y$28:$AS$28,MATCH($A$60,BD!$Y$22:$AS$22,0))),"")</f>
        <v/>
      </c>
      <c r="E65" s="192"/>
      <c r="F65" s="193" t="str">
        <f>IF(F$3="","",IF(COUNTIFS(BD!$A$3:$A$5001,F$3,BD!$B$3:$B$5001,$A$60,BD!$H$3:$H$5001,"&lt;&gt;")=0,"",SUMIFS(BD!$H$3:$H$5001,BD!$A$3:$A$5001,F$3,BD!$B$3:$B$5001,$A$60)))</f>
        <v/>
      </c>
      <c r="G65" s="194" t="str">
        <f>IF(G$3="","",IF(COUNTIFS(BD!$A$3:$A$5001,G$3,BD!$B$3:$B$5001,$A$60,BD!$H$3:$H$5001,"&lt;&gt;")=0,"",SUMIFS(BD!$H$3:$H$5001,BD!$A$3:$A$5001,G$3,BD!$B$3:$B$5001,$A$60)))</f>
        <v/>
      </c>
      <c r="H65" s="194" t="str">
        <f>IF(H$3="","",IF(COUNTIFS(BD!$A$3:$A$5001,H$3,BD!$B$3:$B$5001,$A$60,BD!$H$3:$H$5001,"&lt;&gt;")=0,"",SUMIFS(BD!$H$3:$H$5001,BD!$A$3:$A$5001,H$3,BD!$B$3:$B$5001,$A$60)))</f>
        <v/>
      </c>
      <c r="I65" s="194" t="str">
        <f>IF(I$3="","",IF(COUNTIFS(BD!$A$3:$A$5001,I$3,BD!$B$3:$B$5001,$A$60,BD!$H$3:$H$5001,"&lt;&gt;")=0,"",SUMIFS(BD!$H$3:$H$5001,BD!$A$3:$A$5001,I$3,BD!$B$3:$B$5001,$A$60)))</f>
        <v/>
      </c>
      <c r="J65" s="194" t="str">
        <f>IF(J$3="","",IF(COUNTIFS(BD!$A$3:$A$5001,J$3,BD!$B$3:$B$5001,$A$60,BD!$H$3:$H$5001,"&lt;&gt;")=0,"",SUMIFS(BD!$H$3:$H$5001,BD!$A$3:$A$5001,J$3,BD!$B$3:$B$5001,$A$60)))</f>
        <v/>
      </c>
      <c r="K65" s="194" t="str">
        <f>IF(K$3="","",IF(COUNTIFS(BD!$A$3:$A$5001,K$3,BD!$B$3:$B$5001,$A$60,BD!$H$3:$H$5001,"&lt;&gt;")=0,"",SUMIFS(BD!$H$3:$H$5001,BD!$A$3:$A$5001,K$3,BD!$B$3:$B$5001,$A$60)))</f>
        <v/>
      </c>
      <c r="L65" s="194" t="str">
        <f>IF(L$3="","",IF(COUNTIFS(BD!$A$3:$A$5001,L$3,BD!$B$3:$B$5001,$A$60,BD!$H$3:$H$5001,"&lt;&gt;")=0,"",SUMIFS(BD!$H$3:$H$5001,BD!$A$3:$A$5001,L$3,BD!$B$3:$B$5001,$A$60)))</f>
        <v/>
      </c>
      <c r="M65" s="194" t="str">
        <f>IF(M$3="","",IF(COUNTIFS(BD!$A$3:$A$5001,M$3,BD!$B$3:$B$5001,$A$60,BD!$H$3:$H$5001,"&lt;&gt;")=0,"",SUMIFS(BD!$H$3:$H$5001,BD!$A$3:$A$5001,M$3,BD!$B$3:$B$5001,$A$60)))</f>
        <v/>
      </c>
      <c r="N65" s="194" t="str">
        <f>IF(N$3="","",IF(COUNTIFS(BD!$A$3:$A$5001,N$3,BD!$B$3:$B$5001,$A$60,BD!$H$3:$H$5001,"&lt;&gt;")=0,"",SUMIFS(BD!$H$3:$H$5001,BD!$A$3:$A$5001,N$3,BD!$B$3:$B$5001,$A$60)))</f>
        <v/>
      </c>
      <c r="O65" s="194" t="str">
        <f>IF(O$3="","",IF(COUNTIFS(BD!$A$3:$A$5001,O$3,BD!$B$3:$B$5001,$A$60,BD!$H$3:$H$5001,"&lt;&gt;")=0,"",SUMIFS(BD!$H$3:$H$5001,BD!$A$3:$A$5001,O$3,BD!$B$3:$B$5001,$A$60)))</f>
        <v/>
      </c>
      <c r="P65" s="194" t="str">
        <f>IF(P$3="","",IF(COUNTIFS(BD!$A$3:$A$5001,P$3,BD!$B$3:$B$5001,$A$60,BD!$H$3:$H$5001,"&lt;&gt;")=0,"",SUMIFS(BD!$H$3:$H$5001,BD!$A$3:$A$5001,P$3,BD!$B$3:$B$5001,$A$60)))</f>
        <v/>
      </c>
      <c r="Q65" s="194" t="str">
        <f>IF(Q$3="","",IF(COUNTIFS(BD!$A$3:$A$5001,Q$3,BD!$B$3:$B$5001,$A$60,BD!$H$3:$H$5001,"&lt;&gt;")=0,"",SUMIFS(BD!$H$3:$H$5001,BD!$A$3:$A$5001,Q$3,BD!$B$3:$B$5001,$A$60)))</f>
        <v/>
      </c>
      <c r="R65" s="194" t="str">
        <f>IF(R$3="","",IF(COUNTIFS(BD!$A$3:$A$5001,R$3,BD!$B$3:$B$5001,$A$60,BD!$H$3:$H$5001,"&lt;&gt;")=0,"",SUMIFS(BD!$H$3:$H$5001,BD!$A$3:$A$5001,R$3,BD!$B$3:$B$5001,$A$60)))</f>
        <v/>
      </c>
      <c r="S65" s="194" t="str">
        <f>IF(S$3="","",IF(COUNTIFS(BD!$A$3:$A$5001,S$3,BD!$B$3:$B$5001,$A$60,BD!$H$3:$H$5001,"&lt;&gt;")=0,"",SUMIFS(BD!$H$3:$H$5001,BD!$A$3:$A$5001,S$3,BD!$B$3:$B$5001,$A$60)))</f>
        <v/>
      </c>
      <c r="T65" s="194" t="str">
        <f>IF(T$3="","",IF(COUNTIFS(BD!$A$3:$A$5001,T$3,BD!$B$3:$B$5001,$A$60,BD!$H$3:$H$5001,"&lt;&gt;")=0,"",SUMIFS(BD!$H$3:$H$5001,BD!$A$3:$A$5001,T$3,BD!$B$3:$B$5001,$A$60)))</f>
        <v/>
      </c>
      <c r="U65" s="194" t="str">
        <f>IF(U$3="","",IF(COUNTIFS(BD!$A$3:$A$5001,U$3,BD!$B$3:$B$5001,$A$60,BD!$H$3:$H$5001,"&lt;&gt;")=0,"",SUMIFS(BD!$H$3:$H$5001,BD!$A$3:$A$5001,U$3,BD!$B$3:$B$5001,$A$60)))</f>
        <v/>
      </c>
      <c r="V65" s="194" t="str">
        <f>IF(V$3="","",IF(COUNTIFS(BD!$A$3:$A$5001,V$3,BD!$B$3:$B$5001,$A$60,BD!$H$3:$H$5001,"&lt;&gt;")=0,"",SUMIFS(BD!$H$3:$H$5001,BD!$A$3:$A$5001,V$3,BD!$B$3:$B$5001,$A$60)))</f>
        <v/>
      </c>
      <c r="W65" s="194" t="str">
        <f>IF(W$3="","",IF(COUNTIFS(BD!$A$3:$A$5001,W$3,BD!$B$3:$B$5001,$A$60,BD!$H$3:$H$5001,"&lt;&gt;")=0,"",SUMIFS(BD!$H$3:$H$5001,BD!$A$3:$A$5001,W$3,BD!$B$3:$B$5001,$A$60)))</f>
        <v/>
      </c>
      <c r="X65" s="194" t="str">
        <f>IF(X$3="","",IF(COUNTIFS(BD!$A$3:$A$5001,X$3,BD!$B$3:$B$5001,$A$60,BD!$H$3:$H$5001,"&lt;&gt;")=0,"",SUMIFS(BD!$H$3:$H$5001,BD!$A$3:$A$5001,X$3,BD!$B$3:$B$5001,$A$60)))</f>
        <v/>
      </c>
      <c r="Y65" s="194" t="str">
        <f>IF(Y$3="","",IF(COUNTIFS(BD!$A$3:$A$5001,Y$3,BD!$B$3:$B$5001,$A$60,BD!$H$3:$H$5001,"&lt;&gt;")=0,"",SUMIFS(BD!$H$3:$H$5001,BD!$A$3:$A$5001,Y$3,BD!$B$3:$B$5001,$A$60)))</f>
        <v/>
      </c>
      <c r="Z65" s="194" t="str">
        <f>IF(Z$3="","",IF(COUNTIFS(BD!$A$3:$A$5001,Z$3,BD!$B$3:$B$5001,$A$60,BD!$H$3:$H$5001,"&lt;&gt;")=0,"",SUMIFS(BD!$H$3:$H$5001,BD!$A$3:$A$5001,Z$3,BD!$B$3:$B$5001,$A$60)))</f>
        <v/>
      </c>
      <c r="AA65" s="194" t="str">
        <f>IF(AA$3="","",IF(COUNTIFS(BD!$A$3:$A$5001,AA$3,BD!$B$3:$B$5001,$A$60,BD!$H$3:$H$5001,"&lt;&gt;")=0,"",SUMIFS(BD!$H$3:$H$5001,BD!$A$3:$A$5001,AA$3,BD!$B$3:$B$5001,$A$60)))</f>
        <v/>
      </c>
      <c r="AB65" s="194" t="str">
        <f>IF(AB$3="","",IF(COUNTIFS(BD!$A$3:$A$5001,AB$3,BD!$B$3:$B$5001,$A$60,BD!$H$3:$H$5001,"&lt;&gt;")=0,"",SUMIFS(BD!$H$3:$H$5001,BD!$A$3:$A$5001,AB$3,BD!$B$3:$B$5001,$A$60)))</f>
        <v/>
      </c>
      <c r="AC65" s="194" t="str">
        <f>IF(AC$3="","",IF(COUNTIFS(BD!$A$3:$A$5001,AC$3,BD!$B$3:$B$5001,$A$60,BD!$H$3:$H$5001,"&lt;&gt;")=0,"",SUMIFS(BD!$H$3:$H$5001,BD!$A$3:$A$5001,AC$3,BD!$B$3:$B$5001,$A$60)))</f>
        <v/>
      </c>
      <c r="AD65" s="194" t="str">
        <f>IF(AD$3="","",IF(COUNTIFS(BD!$A$3:$A$5001,AD$3,BD!$B$3:$B$5001,$A$60,BD!$H$3:$H$5001,"&lt;&gt;")=0,"",SUMIFS(BD!$H$3:$H$5001,BD!$A$3:$A$5001,AD$3,BD!$B$3:$B$5001,$A$60)))</f>
        <v/>
      </c>
      <c r="AE65" s="194" t="str">
        <f>IF(AE$3="","",IF(COUNTIFS(BD!$A$3:$A$5001,AE$3,BD!$B$3:$B$5001,$A$60,BD!$H$3:$H$5001,"&lt;&gt;")=0,"",SUMIFS(BD!$H$3:$H$5001,BD!$A$3:$A$5001,AE$3,BD!$B$3:$B$5001,$A$60)))</f>
        <v/>
      </c>
      <c r="AF65" s="194" t="str">
        <f>IF(AF$3="","",IF(COUNTIFS(BD!$A$3:$A$5001,AF$3,BD!$B$3:$B$5001,$A$60,BD!$H$3:$H$5001,"&lt;&gt;")=0,"",SUMIFS(BD!$H$3:$H$5001,BD!$A$3:$A$5001,AF$3,BD!$B$3:$B$5001,$A$60)))</f>
        <v/>
      </c>
      <c r="AG65" s="194" t="str">
        <f>IF(AG$3="","",IF(COUNTIFS(BD!$A$3:$A$5001,AG$3,BD!$B$3:$B$5001,$A$60,BD!$H$3:$H$5001,"&lt;&gt;")=0,"",SUMIFS(BD!$H$3:$H$5001,BD!$A$3:$A$5001,AG$3,BD!$B$3:$B$5001,$A$60)))</f>
        <v/>
      </c>
      <c r="AH65" s="194" t="str">
        <f>IF(AH$3="","",IF(COUNTIFS(BD!$A$3:$A$5001,AH$3,BD!$B$3:$B$5001,$A$60,BD!$H$3:$H$5001,"&lt;&gt;")=0,"",SUMIFS(BD!$H$3:$H$5001,BD!$A$3:$A$5001,AH$3,BD!$B$3:$B$5001,$A$60)))</f>
        <v/>
      </c>
      <c r="AI65" s="194" t="str">
        <f>IF(AI$3="","",IF(COUNTIFS(BD!$A$3:$A$5001,AI$3,BD!$B$3:$B$5001,$A$60,BD!$H$3:$H$5001,"&lt;&gt;")=0,"",SUMIFS(BD!$H$3:$H$5001,BD!$A$3:$A$5001,AI$3,BD!$B$3:$B$5001,$A$60)))</f>
        <v/>
      </c>
      <c r="AJ65" s="195" t="str">
        <f>IF(AJ$3="","",IF(COUNTIFS(BD!$A$3:$A$5001,AJ$3,BD!$B$3:$B$5001,$A$60,BD!$H$3:$H$5001,"&lt;&gt;")=0,"",SUMIFS(BD!$H$3:$H$5001,BD!$A$3:$A$5001,AJ$3,BD!$B$3:$B$5001,$A$60)))</f>
        <v/>
      </c>
      <c r="AK65" s="196" t="str">
        <f>IF(COUNT(F65:AJ65)=0,"",SUM(F65:AJ65))</f>
        <v/>
      </c>
    </row>
    <row r="66" ht="15.75" customHeight="1">
      <c r="A66" s="254"/>
      <c r="B66" s="247" t="inlineStr">
        <is>
          <t xml:space="preserve">NC</t>
        </is>
      </c>
      <c r="C66" s="197" t="inlineStr">
        <is>
          <t xml:space="preserve">Incidentes</t>
        </is>
      </c>
      <c r="D66" s="198" t="str">
        <f>IFERROR(1/(1/INDEX(BD!$Y$29:$AS$29,MATCH($A$60,BD!$Y$22:$AS$22,0))),"")</f>
        <v/>
      </c>
      <c r="E66" s="199"/>
      <c r="F66" s="200" t="str">
        <f>IF(F$3="","",IF(COUNTIFS(BD!$A$3:$A$5001,F$3,BD!$B$3:$B$5001,$A$60,BD!$I$3:$I$5001,"&lt;&gt;")=0,"",SUMIFS(BD!$I$3:$I$5001,BD!$A$3:$A$5001,F$3,BD!$B$3:$B$5001,$A$60)))</f>
        <v/>
      </c>
      <c r="G66" s="201" t="str">
        <f>IF(G$3="","",IF(COUNTIFS(BD!$A$3:$A$5001,G$3,BD!$B$3:$B$5001,$A$60,BD!$I$3:$I$5001,"&lt;&gt;")=0,"",SUMIFS(BD!$I$3:$I$5001,BD!$A$3:$A$5001,G$3,BD!$B$3:$B$5001,$A$60)))</f>
        <v/>
      </c>
      <c r="H66" s="201" t="str">
        <f>IF(H$3="","",IF(COUNTIFS(BD!$A$3:$A$5001,H$3,BD!$B$3:$B$5001,$A$60,BD!$I$3:$I$5001,"&lt;&gt;")=0,"",SUMIFS(BD!$I$3:$I$5001,BD!$A$3:$A$5001,H$3,BD!$B$3:$B$5001,$A$60)))</f>
        <v/>
      </c>
      <c r="I66" s="201" t="str">
        <f>IF(I$3="","",IF(COUNTIFS(BD!$A$3:$A$5001,I$3,BD!$B$3:$B$5001,$A$60,BD!$I$3:$I$5001,"&lt;&gt;")=0,"",SUMIFS(BD!$I$3:$I$5001,BD!$A$3:$A$5001,I$3,BD!$B$3:$B$5001,$A$60)))</f>
        <v/>
      </c>
      <c r="J66" s="201" t="str">
        <f>IF(J$3="","",IF(COUNTIFS(BD!$A$3:$A$5001,J$3,BD!$B$3:$B$5001,$A$60,BD!$I$3:$I$5001,"&lt;&gt;")=0,"",SUMIFS(BD!$I$3:$I$5001,BD!$A$3:$A$5001,J$3,BD!$B$3:$B$5001,$A$60)))</f>
        <v/>
      </c>
      <c r="K66" s="201" t="str">
        <f>IF(K$3="","",IF(COUNTIFS(BD!$A$3:$A$5001,K$3,BD!$B$3:$B$5001,$A$60,BD!$I$3:$I$5001,"&lt;&gt;")=0,"",SUMIFS(BD!$I$3:$I$5001,BD!$A$3:$A$5001,K$3,BD!$B$3:$B$5001,$A$60)))</f>
        <v/>
      </c>
      <c r="L66" s="201" t="str">
        <f>IF(L$3="","",IF(COUNTIFS(BD!$A$3:$A$5001,L$3,BD!$B$3:$B$5001,$A$60,BD!$I$3:$I$5001,"&lt;&gt;")=0,"",SUMIFS(BD!$I$3:$I$5001,BD!$A$3:$A$5001,L$3,BD!$B$3:$B$5001,$A$60)))</f>
        <v/>
      </c>
      <c r="M66" s="201" t="str">
        <f>IF(M$3="","",IF(COUNTIFS(BD!$A$3:$A$5001,M$3,BD!$B$3:$B$5001,$A$60,BD!$I$3:$I$5001,"&lt;&gt;")=0,"",SUMIFS(BD!$I$3:$I$5001,BD!$A$3:$A$5001,M$3,BD!$B$3:$B$5001,$A$60)))</f>
        <v/>
      </c>
      <c r="N66" s="201" t="str">
        <f>IF(N$3="","",IF(COUNTIFS(BD!$A$3:$A$5001,N$3,BD!$B$3:$B$5001,$A$60,BD!$I$3:$I$5001,"&lt;&gt;")=0,"",SUMIFS(BD!$I$3:$I$5001,BD!$A$3:$A$5001,N$3,BD!$B$3:$B$5001,$A$60)))</f>
        <v/>
      </c>
      <c r="O66" s="201" t="str">
        <f>IF(O$3="","",IF(COUNTIFS(BD!$A$3:$A$5001,O$3,BD!$B$3:$B$5001,$A$60,BD!$I$3:$I$5001,"&lt;&gt;")=0,"",SUMIFS(BD!$I$3:$I$5001,BD!$A$3:$A$5001,O$3,BD!$B$3:$B$5001,$A$60)))</f>
        <v/>
      </c>
      <c r="P66" s="201" t="str">
        <f>IF(P$3="","",IF(COUNTIFS(BD!$A$3:$A$5001,P$3,BD!$B$3:$B$5001,$A$60,BD!$I$3:$I$5001,"&lt;&gt;")=0,"",SUMIFS(BD!$I$3:$I$5001,BD!$A$3:$A$5001,P$3,BD!$B$3:$B$5001,$A$60)))</f>
        <v/>
      </c>
      <c r="Q66" s="201" t="str">
        <f>IF(Q$3="","",IF(COUNTIFS(BD!$A$3:$A$5001,Q$3,BD!$B$3:$B$5001,$A$60,BD!$I$3:$I$5001,"&lt;&gt;")=0,"",SUMIFS(BD!$I$3:$I$5001,BD!$A$3:$A$5001,Q$3,BD!$B$3:$B$5001,$A$60)))</f>
        <v/>
      </c>
      <c r="R66" s="201" t="str">
        <f>IF(R$3="","",IF(COUNTIFS(BD!$A$3:$A$5001,R$3,BD!$B$3:$B$5001,$A$60,BD!$I$3:$I$5001,"&lt;&gt;")=0,"",SUMIFS(BD!$I$3:$I$5001,BD!$A$3:$A$5001,R$3,BD!$B$3:$B$5001,$A$60)))</f>
        <v/>
      </c>
      <c r="S66" s="201" t="str">
        <f>IF(S$3="","",IF(COUNTIFS(BD!$A$3:$A$5001,S$3,BD!$B$3:$B$5001,$A$60,BD!$I$3:$I$5001,"&lt;&gt;")=0,"",SUMIFS(BD!$I$3:$I$5001,BD!$A$3:$A$5001,S$3,BD!$B$3:$B$5001,$A$60)))</f>
        <v/>
      </c>
      <c r="T66" s="201" t="str">
        <f>IF(T$3="","",IF(COUNTIFS(BD!$A$3:$A$5001,T$3,BD!$B$3:$B$5001,$A$60,BD!$I$3:$I$5001,"&lt;&gt;")=0,"",SUMIFS(BD!$I$3:$I$5001,BD!$A$3:$A$5001,T$3,BD!$B$3:$B$5001,$A$60)))</f>
        <v/>
      </c>
      <c r="U66" s="201" t="str">
        <f>IF(U$3="","",IF(COUNTIFS(BD!$A$3:$A$5001,U$3,BD!$B$3:$B$5001,$A$60,BD!$I$3:$I$5001,"&lt;&gt;")=0,"",SUMIFS(BD!$I$3:$I$5001,BD!$A$3:$A$5001,U$3,BD!$B$3:$B$5001,$A$60)))</f>
        <v/>
      </c>
      <c r="V66" s="201" t="str">
        <f>IF(V$3="","",IF(COUNTIFS(BD!$A$3:$A$5001,V$3,BD!$B$3:$B$5001,$A$60,BD!$I$3:$I$5001,"&lt;&gt;")=0,"",SUMIFS(BD!$I$3:$I$5001,BD!$A$3:$A$5001,V$3,BD!$B$3:$B$5001,$A$60)))</f>
        <v/>
      </c>
      <c r="W66" s="201" t="str">
        <f>IF(W$3="","",IF(COUNTIFS(BD!$A$3:$A$5001,W$3,BD!$B$3:$B$5001,$A$60,BD!$I$3:$I$5001,"&lt;&gt;")=0,"",SUMIFS(BD!$I$3:$I$5001,BD!$A$3:$A$5001,W$3,BD!$B$3:$B$5001,$A$60)))</f>
        <v/>
      </c>
      <c r="X66" s="201" t="str">
        <f>IF(X$3="","",IF(COUNTIFS(BD!$A$3:$A$5001,X$3,BD!$B$3:$B$5001,$A$60,BD!$I$3:$I$5001,"&lt;&gt;")=0,"",SUMIFS(BD!$I$3:$I$5001,BD!$A$3:$A$5001,X$3,BD!$B$3:$B$5001,$A$60)))</f>
        <v/>
      </c>
      <c r="Y66" s="201" t="str">
        <f>IF(Y$3="","",IF(COUNTIFS(BD!$A$3:$A$5001,Y$3,BD!$B$3:$B$5001,$A$60,BD!$I$3:$I$5001,"&lt;&gt;")=0,"",SUMIFS(BD!$I$3:$I$5001,BD!$A$3:$A$5001,Y$3,BD!$B$3:$B$5001,$A$60)))</f>
        <v/>
      </c>
      <c r="Z66" s="201" t="str">
        <f>IF(Z$3="","",IF(COUNTIFS(BD!$A$3:$A$5001,Z$3,BD!$B$3:$B$5001,$A$60,BD!$I$3:$I$5001,"&lt;&gt;")=0,"",SUMIFS(BD!$I$3:$I$5001,BD!$A$3:$A$5001,Z$3,BD!$B$3:$B$5001,$A$60)))</f>
        <v/>
      </c>
      <c r="AA66" s="201" t="str">
        <f>IF(AA$3="","",IF(COUNTIFS(BD!$A$3:$A$5001,AA$3,BD!$B$3:$B$5001,$A$60,BD!$I$3:$I$5001,"&lt;&gt;")=0,"",SUMIFS(BD!$I$3:$I$5001,BD!$A$3:$A$5001,AA$3,BD!$B$3:$B$5001,$A$60)))</f>
        <v/>
      </c>
      <c r="AB66" s="201" t="str">
        <f>IF(AB$3="","",IF(COUNTIFS(BD!$A$3:$A$5001,AB$3,BD!$B$3:$B$5001,$A$60,BD!$I$3:$I$5001,"&lt;&gt;")=0,"",SUMIFS(BD!$I$3:$I$5001,BD!$A$3:$A$5001,AB$3,BD!$B$3:$B$5001,$A$60)))</f>
        <v/>
      </c>
      <c r="AC66" s="201" t="str">
        <f>IF(AC$3="","",IF(COUNTIFS(BD!$A$3:$A$5001,AC$3,BD!$B$3:$B$5001,$A$60,BD!$I$3:$I$5001,"&lt;&gt;")=0,"",SUMIFS(BD!$I$3:$I$5001,BD!$A$3:$A$5001,AC$3,BD!$B$3:$B$5001,$A$60)))</f>
        <v/>
      </c>
      <c r="AD66" s="201" t="str">
        <f>IF(AD$3="","",IF(COUNTIFS(BD!$A$3:$A$5001,AD$3,BD!$B$3:$B$5001,$A$60,BD!$I$3:$I$5001,"&lt;&gt;")=0,"",SUMIFS(BD!$I$3:$I$5001,BD!$A$3:$A$5001,AD$3,BD!$B$3:$B$5001,$A$60)))</f>
        <v/>
      </c>
      <c r="AE66" s="201" t="str">
        <f>IF(AE$3="","",IF(COUNTIFS(BD!$A$3:$A$5001,AE$3,BD!$B$3:$B$5001,$A$60,BD!$I$3:$I$5001,"&lt;&gt;")=0,"",SUMIFS(BD!$I$3:$I$5001,BD!$A$3:$A$5001,AE$3,BD!$B$3:$B$5001,$A$60)))</f>
        <v/>
      </c>
      <c r="AF66" s="201" t="str">
        <f>IF(AF$3="","",IF(COUNTIFS(BD!$A$3:$A$5001,AF$3,BD!$B$3:$B$5001,$A$60,BD!$I$3:$I$5001,"&lt;&gt;")=0,"",SUMIFS(BD!$I$3:$I$5001,BD!$A$3:$A$5001,AF$3,BD!$B$3:$B$5001,$A$60)))</f>
        <v/>
      </c>
      <c r="AG66" s="201" t="str">
        <f>IF(AG$3="","",IF(COUNTIFS(BD!$A$3:$A$5001,AG$3,BD!$B$3:$B$5001,$A$60,BD!$I$3:$I$5001,"&lt;&gt;")=0,"",SUMIFS(BD!$I$3:$I$5001,BD!$A$3:$A$5001,AG$3,BD!$B$3:$B$5001,$A$60)))</f>
        <v/>
      </c>
      <c r="AH66" s="201" t="str">
        <f>IF(AH$3="","",IF(COUNTIFS(BD!$A$3:$A$5001,AH$3,BD!$B$3:$B$5001,$A$60,BD!$I$3:$I$5001,"&lt;&gt;")=0,"",SUMIFS(BD!$I$3:$I$5001,BD!$A$3:$A$5001,AH$3,BD!$B$3:$B$5001,$A$60)))</f>
        <v/>
      </c>
      <c r="AI66" s="201" t="str">
        <f>IF(AI$3="","",IF(COUNTIFS(BD!$A$3:$A$5001,AI$3,BD!$B$3:$B$5001,$A$60,BD!$I$3:$I$5001,"&lt;&gt;")=0,"",SUMIFS(BD!$I$3:$I$5001,BD!$A$3:$A$5001,AI$3,BD!$B$3:$B$5001,$A$60)))</f>
        <v/>
      </c>
      <c r="AJ66" s="202" t="str">
        <f>IF(AJ$3="","",IF(COUNTIFS(BD!$A$3:$A$5001,AJ$3,BD!$B$3:$B$5001,$A$60,BD!$I$3:$I$5001,"&lt;&gt;")=0,"",SUMIFS(BD!$I$3:$I$5001,BD!$A$3:$A$5001,AJ$3,BD!$B$3:$B$5001,$A$60)))</f>
        <v/>
      </c>
      <c r="AK66" s="203" t="str">
        <f>IF(COUNT(F66:AJ66)=0,"",SUM(F66:AJ66))</f>
        <v/>
      </c>
    </row>
    <row r="67" ht="15.75" customHeight="1">
      <c r="A67" s="254"/>
      <c r="B67" s="248"/>
      <c r="C67" s="204" t="inlineStr">
        <is>
          <t xml:space="preserve">No show</t>
        </is>
      </c>
      <c r="D67" s="205" t="str">
        <f>IFERROR(1/(1/INDEX(BD!$Y$30:$AS$30,MATCH($A$60,BD!$Y$22:$AS$22,0))),"")</f>
        <v/>
      </c>
      <c r="E67" s="206"/>
      <c r="F67" s="207" t="str">
        <f>IF(F$3="","",IF(COUNTIFS(BD!$A$3:$A$5001,F$3,BD!$B$3:$B$5001,$A$60,BD!$J$3:$J$5001,"&lt;&gt;")=0,"",SUMIFS(BD!$J$3:$J$5001,BD!$A$3:$A$5001,F$3,BD!$B$3:$B$5001,$A$60)))</f>
        <v/>
      </c>
      <c r="G67" s="208" t="str">
        <f>IF(G$3="","",IF(COUNTIFS(BD!$A$3:$A$5001,G$3,BD!$B$3:$B$5001,$A$60,BD!$J$3:$J$5001,"&lt;&gt;")=0,"",SUMIFS(BD!$J$3:$J$5001,BD!$A$3:$A$5001,G$3,BD!$B$3:$B$5001,$A$60)))</f>
        <v/>
      </c>
      <c r="H67" s="208" t="str">
        <f>IF(H$3="","",IF(COUNTIFS(BD!$A$3:$A$5001,H$3,BD!$B$3:$B$5001,$A$60,BD!$J$3:$J$5001,"&lt;&gt;")=0,"",SUMIFS(BD!$J$3:$J$5001,BD!$A$3:$A$5001,H$3,BD!$B$3:$B$5001,$A$60)))</f>
        <v/>
      </c>
      <c r="I67" s="208" t="str">
        <f>IF(I$3="","",IF(COUNTIFS(BD!$A$3:$A$5001,I$3,BD!$B$3:$B$5001,$A$60,BD!$J$3:$J$5001,"&lt;&gt;")=0,"",SUMIFS(BD!$J$3:$J$5001,BD!$A$3:$A$5001,I$3,BD!$B$3:$B$5001,$A$60)))</f>
        <v/>
      </c>
      <c r="J67" s="208" t="str">
        <f>IF(J$3="","",IF(COUNTIFS(BD!$A$3:$A$5001,J$3,BD!$B$3:$B$5001,$A$60,BD!$J$3:$J$5001,"&lt;&gt;")=0,"",SUMIFS(BD!$J$3:$J$5001,BD!$A$3:$A$5001,J$3,BD!$B$3:$B$5001,$A$60)))</f>
        <v/>
      </c>
      <c r="K67" s="208" t="str">
        <f>IF(K$3="","",IF(COUNTIFS(BD!$A$3:$A$5001,K$3,BD!$B$3:$B$5001,$A$60,BD!$J$3:$J$5001,"&lt;&gt;")=0,"",SUMIFS(BD!$J$3:$J$5001,BD!$A$3:$A$5001,K$3,BD!$B$3:$B$5001,$A$60)))</f>
        <v/>
      </c>
      <c r="L67" s="208" t="str">
        <f>IF(L$3="","",IF(COUNTIFS(BD!$A$3:$A$5001,L$3,BD!$B$3:$B$5001,$A$60,BD!$J$3:$J$5001,"&lt;&gt;")=0,"",SUMIFS(BD!$J$3:$J$5001,BD!$A$3:$A$5001,L$3,BD!$B$3:$B$5001,$A$60)))</f>
        <v/>
      </c>
      <c r="M67" s="208" t="str">
        <f>IF(M$3="","",IF(COUNTIFS(BD!$A$3:$A$5001,M$3,BD!$B$3:$B$5001,$A$60,BD!$J$3:$J$5001,"&lt;&gt;")=0,"",SUMIFS(BD!$J$3:$J$5001,BD!$A$3:$A$5001,M$3,BD!$B$3:$B$5001,$A$60)))</f>
        <v/>
      </c>
      <c r="N67" s="208" t="str">
        <f>IF(N$3="","",IF(COUNTIFS(BD!$A$3:$A$5001,N$3,BD!$B$3:$B$5001,$A$60,BD!$J$3:$J$5001,"&lt;&gt;")=0,"",SUMIFS(BD!$J$3:$J$5001,BD!$A$3:$A$5001,N$3,BD!$B$3:$B$5001,$A$60)))</f>
        <v/>
      </c>
      <c r="O67" s="208" t="str">
        <f>IF(O$3="","",IF(COUNTIFS(BD!$A$3:$A$5001,O$3,BD!$B$3:$B$5001,$A$60,BD!$J$3:$J$5001,"&lt;&gt;")=0,"",SUMIFS(BD!$J$3:$J$5001,BD!$A$3:$A$5001,O$3,BD!$B$3:$B$5001,$A$60)))</f>
        <v/>
      </c>
      <c r="P67" s="208" t="str">
        <f>IF(P$3="","",IF(COUNTIFS(BD!$A$3:$A$5001,P$3,BD!$B$3:$B$5001,$A$60,BD!$J$3:$J$5001,"&lt;&gt;")=0,"",SUMIFS(BD!$J$3:$J$5001,BD!$A$3:$A$5001,P$3,BD!$B$3:$B$5001,$A$60)))</f>
        <v/>
      </c>
      <c r="Q67" s="208" t="str">
        <f>IF(Q$3="","",IF(COUNTIFS(BD!$A$3:$A$5001,Q$3,BD!$B$3:$B$5001,$A$60,BD!$J$3:$J$5001,"&lt;&gt;")=0,"",SUMIFS(BD!$J$3:$J$5001,BD!$A$3:$A$5001,Q$3,BD!$B$3:$B$5001,$A$60)))</f>
        <v/>
      </c>
      <c r="R67" s="208" t="str">
        <f>IF(R$3="","",IF(COUNTIFS(BD!$A$3:$A$5001,R$3,BD!$B$3:$B$5001,$A$60,BD!$J$3:$J$5001,"&lt;&gt;")=0,"",SUMIFS(BD!$J$3:$J$5001,BD!$A$3:$A$5001,R$3,BD!$B$3:$B$5001,$A$60)))</f>
        <v/>
      </c>
      <c r="S67" s="208" t="str">
        <f>IF(S$3="","",IF(COUNTIFS(BD!$A$3:$A$5001,S$3,BD!$B$3:$B$5001,$A$60,BD!$J$3:$J$5001,"&lt;&gt;")=0,"",SUMIFS(BD!$J$3:$J$5001,BD!$A$3:$A$5001,S$3,BD!$B$3:$B$5001,$A$60)))</f>
        <v/>
      </c>
      <c r="T67" s="208" t="str">
        <f>IF(T$3="","",IF(COUNTIFS(BD!$A$3:$A$5001,T$3,BD!$B$3:$B$5001,$A$60,BD!$J$3:$J$5001,"&lt;&gt;")=0,"",SUMIFS(BD!$J$3:$J$5001,BD!$A$3:$A$5001,T$3,BD!$B$3:$B$5001,$A$60)))</f>
        <v/>
      </c>
      <c r="U67" s="208" t="str">
        <f>IF(U$3="","",IF(COUNTIFS(BD!$A$3:$A$5001,U$3,BD!$B$3:$B$5001,$A$60,BD!$J$3:$J$5001,"&lt;&gt;")=0,"",SUMIFS(BD!$J$3:$J$5001,BD!$A$3:$A$5001,U$3,BD!$B$3:$B$5001,$A$60)))</f>
        <v/>
      </c>
      <c r="V67" s="208" t="str">
        <f>IF(V$3="","",IF(COUNTIFS(BD!$A$3:$A$5001,V$3,BD!$B$3:$B$5001,$A$60,BD!$J$3:$J$5001,"&lt;&gt;")=0,"",SUMIFS(BD!$J$3:$J$5001,BD!$A$3:$A$5001,V$3,BD!$B$3:$B$5001,$A$60)))</f>
        <v/>
      </c>
      <c r="W67" s="208" t="str">
        <f>IF(W$3="","",IF(COUNTIFS(BD!$A$3:$A$5001,W$3,BD!$B$3:$B$5001,$A$60,BD!$J$3:$J$5001,"&lt;&gt;")=0,"",SUMIFS(BD!$J$3:$J$5001,BD!$A$3:$A$5001,W$3,BD!$B$3:$B$5001,$A$60)))</f>
        <v/>
      </c>
      <c r="X67" s="208" t="str">
        <f>IF(X$3="","",IF(COUNTIFS(BD!$A$3:$A$5001,X$3,BD!$B$3:$B$5001,$A$60,BD!$J$3:$J$5001,"&lt;&gt;")=0,"",SUMIFS(BD!$J$3:$J$5001,BD!$A$3:$A$5001,X$3,BD!$B$3:$B$5001,$A$60)))</f>
        <v/>
      </c>
      <c r="Y67" s="208" t="str">
        <f>IF(Y$3="","",IF(COUNTIFS(BD!$A$3:$A$5001,Y$3,BD!$B$3:$B$5001,$A$60,BD!$J$3:$J$5001,"&lt;&gt;")=0,"",SUMIFS(BD!$J$3:$J$5001,BD!$A$3:$A$5001,Y$3,BD!$B$3:$B$5001,$A$60)))</f>
        <v/>
      </c>
      <c r="Z67" s="208" t="str">
        <f>IF(Z$3="","",IF(COUNTIFS(BD!$A$3:$A$5001,Z$3,BD!$B$3:$B$5001,$A$60,BD!$J$3:$J$5001,"&lt;&gt;")=0,"",SUMIFS(BD!$J$3:$J$5001,BD!$A$3:$A$5001,Z$3,BD!$B$3:$B$5001,$A$60)))</f>
        <v/>
      </c>
      <c r="AA67" s="208" t="str">
        <f>IF(AA$3="","",IF(COUNTIFS(BD!$A$3:$A$5001,AA$3,BD!$B$3:$B$5001,$A$60,BD!$J$3:$J$5001,"&lt;&gt;")=0,"",SUMIFS(BD!$J$3:$J$5001,BD!$A$3:$A$5001,AA$3,BD!$B$3:$B$5001,$A$60)))</f>
        <v/>
      </c>
      <c r="AB67" s="208" t="str">
        <f>IF(AB$3="","",IF(COUNTIFS(BD!$A$3:$A$5001,AB$3,BD!$B$3:$B$5001,$A$60,BD!$J$3:$J$5001,"&lt;&gt;")=0,"",SUMIFS(BD!$J$3:$J$5001,BD!$A$3:$A$5001,AB$3,BD!$B$3:$B$5001,$A$60)))</f>
        <v/>
      </c>
      <c r="AC67" s="208" t="str">
        <f>IF(AC$3="","",IF(COUNTIFS(BD!$A$3:$A$5001,AC$3,BD!$B$3:$B$5001,$A$60,BD!$J$3:$J$5001,"&lt;&gt;")=0,"",SUMIFS(BD!$J$3:$J$5001,BD!$A$3:$A$5001,AC$3,BD!$B$3:$B$5001,$A$60)))</f>
        <v/>
      </c>
      <c r="AD67" s="208" t="str">
        <f>IF(AD$3="","",IF(COUNTIFS(BD!$A$3:$A$5001,AD$3,BD!$B$3:$B$5001,$A$60,BD!$J$3:$J$5001,"&lt;&gt;")=0,"",SUMIFS(BD!$J$3:$J$5001,BD!$A$3:$A$5001,AD$3,BD!$B$3:$B$5001,$A$60)))</f>
        <v/>
      </c>
      <c r="AE67" s="208" t="str">
        <f>IF(AE$3="","",IF(COUNTIFS(BD!$A$3:$A$5001,AE$3,BD!$B$3:$B$5001,$A$60,BD!$J$3:$J$5001,"&lt;&gt;")=0,"",SUMIFS(BD!$J$3:$J$5001,BD!$A$3:$A$5001,AE$3,BD!$B$3:$B$5001,$A$60)))</f>
        <v/>
      </c>
      <c r="AF67" s="208" t="str">
        <f>IF(AF$3="","",IF(COUNTIFS(BD!$A$3:$A$5001,AF$3,BD!$B$3:$B$5001,$A$60,BD!$J$3:$J$5001,"&lt;&gt;")=0,"",SUMIFS(BD!$J$3:$J$5001,BD!$A$3:$A$5001,AF$3,BD!$B$3:$B$5001,$A$60)))</f>
        <v/>
      </c>
      <c r="AG67" s="208" t="str">
        <f>IF(AG$3="","",IF(COUNTIFS(BD!$A$3:$A$5001,AG$3,BD!$B$3:$B$5001,$A$60,BD!$J$3:$J$5001,"&lt;&gt;")=0,"",SUMIFS(BD!$J$3:$J$5001,BD!$A$3:$A$5001,AG$3,BD!$B$3:$B$5001,$A$60)))</f>
        <v/>
      </c>
      <c r="AH67" s="208" t="str">
        <f>IF(AH$3="","",IF(COUNTIFS(BD!$A$3:$A$5001,AH$3,BD!$B$3:$B$5001,$A$60,BD!$J$3:$J$5001,"&lt;&gt;")=0,"",SUMIFS(BD!$J$3:$J$5001,BD!$A$3:$A$5001,AH$3,BD!$B$3:$B$5001,$A$60)))</f>
        <v/>
      </c>
      <c r="AI67" s="208" t="str">
        <f>IF(AI$3="","",IF(COUNTIFS(BD!$A$3:$A$5001,AI$3,BD!$B$3:$B$5001,$A$60,BD!$J$3:$J$5001,"&lt;&gt;")=0,"",SUMIFS(BD!$J$3:$J$5001,BD!$A$3:$A$5001,AI$3,BD!$B$3:$B$5001,$A$60)))</f>
        <v/>
      </c>
      <c r="AJ67" s="209" t="str">
        <f>IF(AJ$3="","",IF(COUNTIFS(BD!$A$3:$A$5001,AJ$3,BD!$B$3:$B$5001,$A$60,BD!$J$3:$J$5001,"&lt;&gt;")=0,"",SUMIFS(BD!$J$3:$J$5001,BD!$A$3:$A$5001,AJ$3,BD!$B$3:$B$5001,$A$60)))</f>
        <v/>
      </c>
      <c r="AK67" s="210" t="str">
        <f>IF(COUNT(F67:AJ67)=0,"",SUM(F67:AJ67))</f>
        <v/>
      </c>
    </row>
    <row r="68" ht="15.75" customHeight="1">
      <c r="A68" s="254"/>
      <c r="B68" s="249"/>
      <c r="C68" s="211" t="inlineStr">
        <is>
          <t xml:space="preserve">Backlog</t>
        </is>
      </c>
      <c r="D68" s="212" t="str">
        <f>IFERROR(1/(1/INDEX(BD!$Y$31:$AS$31,MATCH($A$60,BD!$Y$22:$AS$22,0))),"")</f>
        <v/>
      </c>
      <c r="E68" s="213"/>
      <c r="F68" s="214" t="str">
        <f>IF(F$3="","",IF(COUNTIFS(BD!$A$3:$A$5001,F$3,BD!$B$3:$B$5001,$A$60,BD!$K$3:$K$5001,"&lt;&gt;")=0,"",SUMIFS(BD!$K$3:$K$5001,BD!$A$3:$A$5001,F$3,BD!$B$3:$B$5001,$A$60)))</f>
        <v/>
      </c>
      <c r="G68" s="215" t="str">
        <f>IF(G$3="","",IF(COUNTIFS(BD!$A$3:$A$5001,G$3,BD!$B$3:$B$5001,$A$60,BD!$K$3:$K$5001,"&lt;&gt;")=0,"",SUMIFS(BD!$K$3:$K$5001,BD!$A$3:$A$5001,G$3,BD!$B$3:$B$5001,$A$60)))</f>
        <v/>
      </c>
      <c r="H68" s="215" t="str">
        <f>IF(H$3="","",IF(COUNTIFS(BD!$A$3:$A$5001,H$3,BD!$B$3:$B$5001,$A$60,BD!$K$3:$K$5001,"&lt;&gt;")=0,"",SUMIFS(BD!$K$3:$K$5001,BD!$A$3:$A$5001,H$3,BD!$B$3:$B$5001,$A$60)))</f>
        <v/>
      </c>
      <c r="I68" s="215" t="str">
        <f>IF(I$3="","",IF(COUNTIFS(BD!$A$3:$A$5001,I$3,BD!$B$3:$B$5001,$A$60,BD!$K$3:$K$5001,"&lt;&gt;")=0,"",SUMIFS(BD!$K$3:$K$5001,BD!$A$3:$A$5001,I$3,BD!$B$3:$B$5001,$A$60)))</f>
        <v/>
      </c>
      <c r="J68" s="215" t="str">
        <f>IF(J$3="","",IF(COUNTIFS(BD!$A$3:$A$5001,J$3,BD!$B$3:$B$5001,$A$60,BD!$K$3:$K$5001,"&lt;&gt;")=0,"",SUMIFS(BD!$K$3:$K$5001,BD!$A$3:$A$5001,J$3,BD!$B$3:$B$5001,$A$60)))</f>
        <v/>
      </c>
      <c r="K68" s="215" t="str">
        <f>IF(K$3="","",IF(COUNTIFS(BD!$A$3:$A$5001,K$3,BD!$B$3:$B$5001,$A$60,BD!$K$3:$K$5001,"&lt;&gt;")=0,"",SUMIFS(BD!$K$3:$K$5001,BD!$A$3:$A$5001,K$3,BD!$B$3:$B$5001,$A$60)))</f>
        <v/>
      </c>
      <c r="L68" s="215" t="str">
        <f>IF(L$3="","",IF(COUNTIFS(BD!$A$3:$A$5001,L$3,BD!$B$3:$B$5001,$A$60,BD!$K$3:$K$5001,"&lt;&gt;")=0,"",SUMIFS(BD!$K$3:$K$5001,BD!$A$3:$A$5001,L$3,BD!$B$3:$B$5001,$A$60)))</f>
        <v/>
      </c>
      <c r="M68" s="215" t="str">
        <f>IF(M$3="","",IF(COUNTIFS(BD!$A$3:$A$5001,M$3,BD!$B$3:$B$5001,$A$60,BD!$K$3:$K$5001,"&lt;&gt;")=0,"",SUMIFS(BD!$K$3:$K$5001,BD!$A$3:$A$5001,M$3,BD!$B$3:$B$5001,$A$60)))</f>
        <v/>
      </c>
      <c r="N68" s="215" t="str">
        <f>IF(N$3="","",IF(COUNTIFS(BD!$A$3:$A$5001,N$3,BD!$B$3:$B$5001,$A$60,BD!$K$3:$K$5001,"&lt;&gt;")=0,"",SUMIFS(BD!$K$3:$K$5001,BD!$A$3:$A$5001,N$3,BD!$B$3:$B$5001,$A$60)))</f>
        <v/>
      </c>
      <c r="O68" s="215" t="str">
        <f>IF(O$3="","",IF(COUNTIFS(BD!$A$3:$A$5001,O$3,BD!$B$3:$B$5001,$A$60,BD!$K$3:$K$5001,"&lt;&gt;")=0,"",SUMIFS(BD!$K$3:$K$5001,BD!$A$3:$A$5001,O$3,BD!$B$3:$B$5001,$A$60)))</f>
        <v/>
      </c>
      <c r="P68" s="215" t="str">
        <f>IF(P$3="","",IF(COUNTIFS(BD!$A$3:$A$5001,P$3,BD!$B$3:$B$5001,$A$60,BD!$K$3:$K$5001,"&lt;&gt;")=0,"",SUMIFS(BD!$K$3:$K$5001,BD!$A$3:$A$5001,P$3,BD!$B$3:$B$5001,$A$60)))</f>
        <v/>
      </c>
      <c r="Q68" s="215" t="str">
        <f>IF(Q$3="","",IF(COUNTIFS(BD!$A$3:$A$5001,Q$3,BD!$B$3:$B$5001,$A$60,BD!$K$3:$K$5001,"&lt;&gt;")=0,"",SUMIFS(BD!$K$3:$K$5001,BD!$A$3:$A$5001,Q$3,BD!$B$3:$B$5001,$A$60)))</f>
        <v/>
      </c>
      <c r="R68" s="215" t="str">
        <f>IF(R$3="","",IF(COUNTIFS(BD!$A$3:$A$5001,R$3,BD!$B$3:$B$5001,$A$60,BD!$K$3:$K$5001,"&lt;&gt;")=0,"",SUMIFS(BD!$K$3:$K$5001,BD!$A$3:$A$5001,R$3,BD!$B$3:$B$5001,$A$60)))</f>
        <v/>
      </c>
      <c r="S68" s="215" t="str">
        <f>IF(S$3="","",IF(COUNTIFS(BD!$A$3:$A$5001,S$3,BD!$B$3:$B$5001,$A$60,BD!$K$3:$K$5001,"&lt;&gt;")=0,"",SUMIFS(BD!$K$3:$K$5001,BD!$A$3:$A$5001,S$3,BD!$B$3:$B$5001,$A$60)))</f>
        <v/>
      </c>
      <c r="T68" s="215" t="str">
        <f>IF(T$3="","",IF(COUNTIFS(BD!$A$3:$A$5001,T$3,BD!$B$3:$B$5001,$A$60,BD!$K$3:$K$5001,"&lt;&gt;")=0,"",SUMIFS(BD!$K$3:$K$5001,BD!$A$3:$A$5001,T$3,BD!$B$3:$B$5001,$A$60)))</f>
        <v/>
      </c>
      <c r="U68" s="215" t="str">
        <f>IF(U$3="","",IF(COUNTIFS(BD!$A$3:$A$5001,U$3,BD!$B$3:$B$5001,$A$60,BD!$K$3:$K$5001,"&lt;&gt;")=0,"",SUMIFS(BD!$K$3:$K$5001,BD!$A$3:$A$5001,U$3,BD!$B$3:$B$5001,$A$60)))</f>
        <v/>
      </c>
      <c r="V68" s="215" t="str">
        <f>IF(V$3="","",IF(COUNTIFS(BD!$A$3:$A$5001,V$3,BD!$B$3:$B$5001,$A$60,BD!$K$3:$K$5001,"&lt;&gt;")=0,"",SUMIFS(BD!$K$3:$K$5001,BD!$A$3:$A$5001,V$3,BD!$B$3:$B$5001,$A$60)))</f>
        <v/>
      </c>
      <c r="W68" s="215" t="str">
        <f>IF(W$3="","",IF(COUNTIFS(BD!$A$3:$A$5001,W$3,BD!$B$3:$B$5001,$A$60,BD!$K$3:$K$5001,"&lt;&gt;")=0,"",SUMIFS(BD!$K$3:$K$5001,BD!$A$3:$A$5001,W$3,BD!$B$3:$B$5001,$A$60)))</f>
        <v/>
      </c>
      <c r="X68" s="215" t="str">
        <f>IF(X$3="","",IF(COUNTIFS(BD!$A$3:$A$5001,X$3,BD!$B$3:$B$5001,$A$60,BD!$K$3:$K$5001,"&lt;&gt;")=0,"",SUMIFS(BD!$K$3:$K$5001,BD!$A$3:$A$5001,X$3,BD!$B$3:$B$5001,$A$60)))</f>
        <v/>
      </c>
      <c r="Y68" s="215" t="str">
        <f>IF(Y$3="","",IF(COUNTIFS(BD!$A$3:$A$5001,Y$3,BD!$B$3:$B$5001,$A$60,BD!$K$3:$K$5001,"&lt;&gt;")=0,"",SUMIFS(BD!$K$3:$K$5001,BD!$A$3:$A$5001,Y$3,BD!$B$3:$B$5001,$A$60)))</f>
        <v/>
      </c>
      <c r="Z68" s="215" t="str">
        <f>IF(Z$3="","",IF(COUNTIFS(BD!$A$3:$A$5001,Z$3,BD!$B$3:$B$5001,$A$60,BD!$K$3:$K$5001,"&lt;&gt;")=0,"",SUMIFS(BD!$K$3:$K$5001,BD!$A$3:$A$5001,Z$3,BD!$B$3:$B$5001,$A$60)))</f>
        <v/>
      </c>
      <c r="AA68" s="215" t="str">
        <f>IF(AA$3="","",IF(COUNTIFS(BD!$A$3:$A$5001,AA$3,BD!$B$3:$B$5001,$A$60,BD!$K$3:$K$5001,"&lt;&gt;")=0,"",SUMIFS(BD!$K$3:$K$5001,BD!$A$3:$A$5001,AA$3,BD!$B$3:$B$5001,$A$60)))</f>
        <v/>
      </c>
      <c r="AB68" s="215" t="str">
        <f>IF(AB$3="","",IF(COUNTIFS(BD!$A$3:$A$5001,AB$3,BD!$B$3:$B$5001,$A$60,BD!$K$3:$K$5001,"&lt;&gt;")=0,"",SUMIFS(BD!$K$3:$K$5001,BD!$A$3:$A$5001,AB$3,BD!$B$3:$B$5001,$A$60)))</f>
        <v/>
      </c>
      <c r="AC68" s="215" t="str">
        <f>IF(AC$3="","",IF(COUNTIFS(BD!$A$3:$A$5001,AC$3,BD!$B$3:$B$5001,$A$60,BD!$K$3:$K$5001,"&lt;&gt;")=0,"",SUMIFS(BD!$K$3:$K$5001,BD!$A$3:$A$5001,AC$3,BD!$B$3:$B$5001,$A$60)))</f>
        <v/>
      </c>
      <c r="AD68" s="215" t="str">
        <f>IF(AD$3="","",IF(COUNTIFS(BD!$A$3:$A$5001,AD$3,BD!$B$3:$B$5001,$A$60,BD!$K$3:$K$5001,"&lt;&gt;")=0,"",SUMIFS(BD!$K$3:$K$5001,BD!$A$3:$A$5001,AD$3,BD!$B$3:$B$5001,$A$60)))</f>
        <v/>
      </c>
      <c r="AE68" s="215" t="str">
        <f>IF(AE$3="","",IF(COUNTIFS(BD!$A$3:$A$5001,AE$3,BD!$B$3:$B$5001,$A$60,BD!$K$3:$K$5001,"&lt;&gt;")=0,"",SUMIFS(BD!$K$3:$K$5001,BD!$A$3:$A$5001,AE$3,BD!$B$3:$B$5001,$A$60)))</f>
        <v/>
      </c>
      <c r="AF68" s="215" t="str">
        <f>IF(AF$3="","",IF(COUNTIFS(BD!$A$3:$A$5001,AF$3,BD!$B$3:$B$5001,$A$60,BD!$K$3:$K$5001,"&lt;&gt;")=0,"",SUMIFS(BD!$K$3:$K$5001,BD!$A$3:$A$5001,AF$3,BD!$B$3:$B$5001,$A$60)))</f>
        <v/>
      </c>
      <c r="AG68" s="215" t="str">
        <f>IF(AG$3="","",IF(COUNTIFS(BD!$A$3:$A$5001,AG$3,BD!$B$3:$B$5001,$A$60,BD!$K$3:$K$5001,"&lt;&gt;")=0,"",SUMIFS(BD!$K$3:$K$5001,BD!$A$3:$A$5001,AG$3,BD!$B$3:$B$5001,$A$60)))</f>
        <v/>
      </c>
      <c r="AH68" s="215" t="str">
        <f>IF(AH$3="","",IF(COUNTIFS(BD!$A$3:$A$5001,AH$3,BD!$B$3:$B$5001,$A$60,BD!$K$3:$K$5001,"&lt;&gt;")=0,"",SUMIFS(BD!$K$3:$K$5001,BD!$A$3:$A$5001,AH$3,BD!$B$3:$B$5001,$A$60)))</f>
        <v/>
      </c>
      <c r="AI68" s="215" t="str">
        <f>IF(AI$3="","",IF(COUNTIFS(BD!$A$3:$A$5001,AI$3,BD!$B$3:$B$5001,$A$60,BD!$K$3:$K$5001,"&lt;&gt;")=0,"",SUMIFS(BD!$K$3:$K$5001,BD!$A$3:$A$5001,AI$3,BD!$B$3:$B$5001,$A$60)))</f>
        <v/>
      </c>
      <c r="AJ68" s="216" t="str">
        <f>IF(AJ$3="","",IF(COUNTIFS(BD!$A$3:$A$5001,AJ$3,BD!$B$3:$B$5001,$A$60,BD!$K$3:$K$5001,"&lt;&gt;")=0,"",SUMIFS(BD!$K$3:$K$5001,BD!$A$3:$A$5001,AJ$3,BD!$B$3:$B$5001,$A$60)))</f>
        <v/>
      </c>
      <c r="AK68" s="212" t="str">
        <f>IFERROR(LOOKUP(9.99E+307,F68:AJ68),"")</f>
        <v/>
      </c>
    </row>
    <row r="69" ht="15.75" customHeight="1">
      <c r="A69" s="254"/>
      <c r="B69" s="262" t="inlineStr">
        <is>
          <t xml:space="preserve">OCUPAÇÃO (P.P)</t>
        </is>
      </c>
      <c r="C69" s="256" t="inlineStr">
        <is>
          <t xml:space="preserve">Posições Ocupadas</t>
        </is>
      </c>
      <c r="D69" s="257" t="str">
        <f>IFERROR(1/(1/INDEX(BD!$Y$33:$AS$33,MATCH($A$60,BD!$Y$22:$AS$22,0))),"")</f>
        <v/>
      </c>
      <c r="E69" s="258"/>
      <c r="F69" s="259" t="str">
        <f>IF(F$3="","",IF(COUNTIFS(BD!$A$3:$A$5001,F$3,BD!$B$3:$B$5001,$A$60,BD!$M$3:$M$5001,"&lt;&gt;")=0,"",SUMIFS(BD!$M$3:$M$5001,BD!$A$3:$A$5001,F$3,BD!$B$3:$B$5001,$A$60)))</f>
        <v/>
      </c>
      <c r="G69" s="260" t="str">
        <f>IF(G$3="","",IF(COUNTIFS(BD!$A$3:$A$5001,G$3,BD!$B$3:$B$5001,$A$60,BD!$M$3:$M$5001,"&lt;&gt;")=0,"",SUMIFS(BD!$M$3:$M$5001,BD!$A$3:$A$5001,G$3,BD!$B$3:$B$5001,$A$60)))</f>
        <v/>
      </c>
      <c r="H69" s="260" t="str">
        <f>IF(H$3="","",IF(COUNTIFS(BD!$A$3:$A$5001,H$3,BD!$B$3:$B$5001,$A$60,BD!$M$3:$M$5001,"&lt;&gt;")=0,"",SUMIFS(BD!$M$3:$M$5001,BD!$A$3:$A$5001,H$3,BD!$B$3:$B$5001,$A$60)))</f>
        <v/>
      </c>
      <c r="I69" s="260" t="str">
        <f>IF(I$3="","",IF(COUNTIFS(BD!$A$3:$A$5001,I$3,BD!$B$3:$B$5001,$A$60,BD!$M$3:$M$5001,"&lt;&gt;")=0,"",SUMIFS(BD!$M$3:$M$5001,BD!$A$3:$A$5001,I$3,BD!$B$3:$B$5001,$A$60)))</f>
        <v/>
      </c>
      <c r="J69" s="260" t="str">
        <f>IF(J$3="","",IF(COUNTIFS(BD!$A$3:$A$5001,J$3,BD!$B$3:$B$5001,$A$60,BD!$M$3:$M$5001,"&lt;&gt;")=0,"",SUMIFS(BD!$M$3:$M$5001,BD!$A$3:$A$5001,J$3,BD!$B$3:$B$5001,$A$60)))</f>
        <v/>
      </c>
      <c r="K69" s="260" t="str">
        <f>IF(K$3="","",IF(COUNTIFS(BD!$A$3:$A$5001,K$3,BD!$B$3:$B$5001,$A$60,BD!$M$3:$M$5001,"&lt;&gt;")=0,"",SUMIFS(BD!$M$3:$M$5001,BD!$A$3:$A$5001,K$3,BD!$B$3:$B$5001,$A$60)))</f>
        <v/>
      </c>
      <c r="L69" s="260" t="str">
        <f>IF(L$3="","",IF(COUNTIFS(BD!$A$3:$A$5001,L$3,BD!$B$3:$B$5001,$A$60,BD!$M$3:$M$5001,"&lt;&gt;")=0,"",SUMIFS(BD!$M$3:$M$5001,BD!$A$3:$A$5001,L$3,BD!$B$3:$B$5001,$A$60)))</f>
        <v/>
      </c>
      <c r="M69" s="260" t="str">
        <f>IF(M$3="","",IF(COUNTIFS(BD!$A$3:$A$5001,M$3,BD!$B$3:$B$5001,$A$60,BD!$M$3:$M$5001,"&lt;&gt;")=0,"",SUMIFS(BD!$M$3:$M$5001,BD!$A$3:$A$5001,M$3,BD!$B$3:$B$5001,$A$60)))</f>
        <v/>
      </c>
      <c r="N69" s="260" t="str">
        <f>IF(N$3="","",IF(COUNTIFS(BD!$A$3:$A$5001,N$3,BD!$B$3:$B$5001,$A$60,BD!$M$3:$M$5001,"&lt;&gt;")=0,"",SUMIFS(BD!$M$3:$M$5001,BD!$A$3:$A$5001,N$3,BD!$B$3:$B$5001,$A$60)))</f>
        <v/>
      </c>
      <c r="O69" s="260" t="str">
        <f>IF(O$3="","",IF(COUNTIFS(BD!$A$3:$A$5001,O$3,BD!$B$3:$B$5001,$A$60,BD!$M$3:$M$5001,"&lt;&gt;")=0,"",SUMIFS(BD!$M$3:$M$5001,BD!$A$3:$A$5001,O$3,BD!$B$3:$B$5001,$A$60)))</f>
        <v/>
      </c>
      <c r="P69" s="260" t="str">
        <f>IF(P$3="","",IF(COUNTIFS(BD!$A$3:$A$5001,P$3,BD!$B$3:$B$5001,$A$60,BD!$M$3:$M$5001,"&lt;&gt;")=0,"",SUMIFS(BD!$M$3:$M$5001,BD!$A$3:$A$5001,P$3,BD!$B$3:$B$5001,$A$60)))</f>
        <v/>
      </c>
      <c r="Q69" s="260" t="str">
        <f>IF(Q$3="","",IF(COUNTIFS(BD!$A$3:$A$5001,Q$3,BD!$B$3:$B$5001,$A$60,BD!$M$3:$M$5001,"&lt;&gt;")=0,"",SUMIFS(BD!$M$3:$M$5001,BD!$A$3:$A$5001,Q$3,BD!$B$3:$B$5001,$A$60)))</f>
        <v/>
      </c>
      <c r="R69" s="260" t="str">
        <f>IF(R$3="","",IF(COUNTIFS(BD!$A$3:$A$5001,R$3,BD!$B$3:$B$5001,$A$60,BD!$M$3:$M$5001,"&lt;&gt;")=0,"",SUMIFS(BD!$M$3:$M$5001,BD!$A$3:$A$5001,R$3,BD!$B$3:$B$5001,$A$60)))</f>
        <v/>
      </c>
      <c r="S69" s="260" t="str">
        <f>IF(S$3="","",IF(COUNTIFS(BD!$A$3:$A$5001,S$3,BD!$B$3:$B$5001,$A$60,BD!$M$3:$M$5001,"&lt;&gt;")=0,"",SUMIFS(BD!$M$3:$M$5001,BD!$A$3:$A$5001,S$3,BD!$B$3:$B$5001,$A$60)))</f>
        <v/>
      </c>
      <c r="T69" s="260" t="str">
        <f>IF(T$3="","",IF(COUNTIFS(BD!$A$3:$A$5001,T$3,BD!$B$3:$B$5001,$A$60,BD!$M$3:$M$5001,"&lt;&gt;")=0,"",SUMIFS(BD!$M$3:$M$5001,BD!$A$3:$A$5001,T$3,BD!$B$3:$B$5001,$A$60)))</f>
        <v/>
      </c>
      <c r="U69" s="260" t="str">
        <f>IF(U$3="","",IF(COUNTIFS(BD!$A$3:$A$5001,U$3,BD!$B$3:$B$5001,$A$60,BD!$M$3:$M$5001,"&lt;&gt;")=0,"",SUMIFS(BD!$M$3:$M$5001,BD!$A$3:$A$5001,U$3,BD!$B$3:$B$5001,$A$60)))</f>
        <v/>
      </c>
      <c r="V69" s="260" t="str">
        <f>IF(V$3="","",IF(COUNTIFS(BD!$A$3:$A$5001,V$3,BD!$B$3:$B$5001,$A$60,BD!$M$3:$M$5001,"&lt;&gt;")=0,"",SUMIFS(BD!$M$3:$M$5001,BD!$A$3:$A$5001,V$3,BD!$B$3:$B$5001,$A$60)))</f>
        <v/>
      </c>
      <c r="W69" s="260" t="str">
        <f>IF(W$3="","",IF(COUNTIFS(BD!$A$3:$A$5001,W$3,BD!$B$3:$B$5001,$A$60,BD!$M$3:$M$5001,"&lt;&gt;")=0,"",SUMIFS(BD!$M$3:$M$5001,BD!$A$3:$A$5001,W$3,BD!$B$3:$B$5001,$A$60)))</f>
        <v/>
      </c>
      <c r="X69" s="260" t="str">
        <f>IF(X$3="","",IF(COUNTIFS(BD!$A$3:$A$5001,X$3,BD!$B$3:$B$5001,$A$60,BD!$M$3:$M$5001,"&lt;&gt;")=0,"",SUMIFS(BD!$M$3:$M$5001,BD!$A$3:$A$5001,X$3,BD!$B$3:$B$5001,$A$60)))</f>
        <v/>
      </c>
      <c r="Y69" s="260" t="str">
        <f>IF(Y$3="","",IF(COUNTIFS(BD!$A$3:$A$5001,Y$3,BD!$B$3:$B$5001,$A$60,BD!$M$3:$M$5001,"&lt;&gt;")=0,"",SUMIFS(BD!$M$3:$M$5001,BD!$A$3:$A$5001,Y$3,BD!$B$3:$B$5001,$A$60)))</f>
        <v/>
      </c>
      <c r="Z69" s="260" t="str">
        <f>IF(Z$3="","",IF(COUNTIFS(BD!$A$3:$A$5001,Z$3,BD!$B$3:$B$5001,$A$60,BD!$M$3:$M$5001,"&lt;&gt;")=0,"",SUMIFS(BD!$M$3:$M$5001,BD!$A$3:$A$5001,Z$3,BD!$B$3:$B$5001,$A$60)))</f>
        <v/>
      </c>
      <c r="AA69" s="260" t="str">
        <f>IF(AA$3="","",IF(COUNTIFS(BD!$A$3:$A$5001,AA$3,BD!$B$3:$B$5001,$A$60,BD!$M$3:$M$5001,"&lt;&gt;")=0,"",SUMIFS(BD!$M$3:$M$5001,BD!$A$3:$A$5001,AA$3,BD!$B$3:$B$5001,$A$60)))</f>
        <v/>
      </c>
      <c r="AB69" s="260" t="str">
        <f>IF(AB$3="","",IF(COUNTIFS(BD!$A$3:$A$5001,AB$3,BD!$B$3:$B$5001,$A$60,BD!$M$3:$M$5001,"&lt;&gt;")=0,"",SUMIFS(BD!$M$3:$M$5001,BD!$A$3:$A$5001,AB$3,BD!$B$3:$B$5001,$A$60)))</f>
        <v/>
      </c>
      <c r="AC69" s="260" t="str">
        <f>IF(AC$3="","",IF(COUNTIFS(BD!$A$3:$A$5001,AC$3,BD!$B$3:$B$5001,$A$60,BD!$M$3:$M$5001,"&lt;&gt;")=0,"",SUMIFS(BD!$M$3:$M$5001,BD!$A$3:$A$5001,AC$3,BD!$B$3:$B$5001,$A$60)))</f>
        <v/>
      </c>
      <c r="AD69" s="260" t="str">
        <f>IF(AD$3="","",IF(COUNTIFS(BD!$A$3:$A$5001,AD$3,BD!$B$3:$B$5001,$A$60,BD!$M$3:$M$5001,"&lt;&gt;")=0,"",SUMIFS(BD!$M$3:$M$5001,BD!$A$3:$A$5001,AD$3,BD!$B$3:$B$5001,$A$60)))</f>
        <v/>
      </c>
      <c r="AE69" s="260" t="str">
        <f>IF(AE$3="","",IF(COUNTIFS(BD!$A$3:$A$5001,AE$3,BD!$B$3:$B$5001,$A$60,BD!$M$3:$M$5001,"&lt;&gt;")=0,"",SUMIFS(BD!$M$3:$M$5001,BD!$A$3:$A$5001,AE$3,BD!$B$3:$B$5001,$A$60)))</f>
        <v/>
      </c>
      <c r="AF69" s="260" t="str">
        <f>IF(AF$3="","",IF(COUNTIFS(BD!$A$3:$A$5001,AF$3,BD!$B$3:$B$5001,$A$60,BD!$M$3:$M$5001,"&lt;&gt;")=0,"",SUMIFS(BD!$M$3:$M$5001,BD!$A$3:$A$5001,AF$3,BD!$B$3:$B$5001,$A$60)))</f>
        <v/>
      </c>
      <c r="AG69" s="260" t="str">
        <f>IF(AG$3="","",IF(COUNTIFS(BD!$A$3:$A$5001,AG$3,BD!$B$3:$B$5001,$A$60,BD!$M$3:$M$5001,"&lt;&gt;")=0,"",SUMIFS(BD!$M$3:$M$5001,BD!$A$3:$A$5001,AG$3,BD!$B$3:$B$5001,$A$60)))</f>
        <v/>
      </c>
      <c r="AH69" s="260" t="str">
        <f>IF(AH$3="","",IF(COUNTIFS(BD!$A$3:$A$5001,AH$3,BD!$B$3:$B$5001,$A$60,BD!$M$3:$M$5001,"&lt;&gt;")=0,"",SUMIFS(BD!$M$3:$M$5001,BD!$A$3:$A$5001,AH$3,BD!$B$3:$B$5001,$A$60)))</f>
        <v/>
      </c>
      <c r="AI69" s="260" t="str">
        <f>IF(AI$3="","",IF(COUNTIFS(BD!$A$3:$A$5001,AI$3,BD!$B$3:$B$5001,$A$60,BD!$M$3:$M$5001,"&lt;&gt;")=0,"",SUMIFS(BD!$M$3:$M$5001,BD!$A$3:$A$5001,AI$3,BD!$B$3:$B$5001,$A$60)))</f>
        <v/>
      </c>
      <c r="AJ69" s="261" t="str">
        <f>IF(AJ$3="","",IF(COUNTIFS(BD!$A$3:$A$5001,AJ$3,BD!$B$3:$B$5001,$A$60,BD!$M$3:$M$5001,"&lt;&gt;")=0,"",SUMIFS(BD!$M$3:$M$5001,BD!$A$3:$A$5001,AJ$3,BD!$B$3:$B$5001,$A$60)))</f>
        <v/>
      </c>
      <c r="AK69" s="257" t="str">
        <f>IFERROR(LOOKUP(9.99E+307,F69:AJ69),"")</f>
        <v/>
      </c>
    </row>
    <row r="70" ht="15.75" customHeight="1">
      <c r="A70" s="254"/>
      <c r="B70" s="250" t="inlineStr">
        <is>
          <t xml:space="preserve">GENTE</t>
        </is>
      </c>
      <c r="C70" s="221" t="inlineStr">
        <is>
          <t xml:space="preserve">Efetivo Op.</t>
        </is>
      </c>
      <c r="D70" s="222" t="str">
        <f>IFERROR(1/(1/INDEX(BD!$Y$35:$AS$35,MATCH($A$60,BD!$Y$22:$AS$22,0))),"")</f>
        <v/>
      </c>
      <c r="E70" s="223"/>
      <c r="F70" s="224" t="str">
        <f>IF(F$3="","",IF(COUNTIFS(BD!$A$3:$A$5001,F$3,BD!$B$3:$B$5001,$A$60,BD!$N$3:$N$5001,"&lt;&gt;")=0,"",SUMIFS(BD!$N$3:$N$5001,BD!$A$3:$A$5001,F$3,BD!$B$3:$B$5001,$A$60)))</f>
        <v/>
      </c>
      <c r="G70" s="225" t="str">
        <f>IF(G$3="","",IF(COUNTIFS(BD!$A$3:$A$5001,G$3,BD!$B$3:$B$5001,$A$60,BD!$N$3:$N$5001,"&lt;&gt;")=0,"",SUMIFS(BD!$N$3:$N$5001,BD!$A$3:$A$5001,G$3,BD!$B$3:$B$5001,$A$60)))</f>
        <v/>
      </c>
      <c r="H70" s="225" t="str">
        <f>IF(H$3="","",IF(COUNTIFS(BD!$A$3:$A$5001,H$3,BD!$B$3:$B$5001,$A$60,BD!$N$3:$N$5001,"&lt;&gt;")=0,"",SUMIFS(BD!$N$3:$N$5001,BD!$A$3:$A$5001,H$3,BD!$B$3:$B$5001,$A$60)))</f>
        <v/>
      </c>
      <c r="I70" s="225" t="str">
        <f>IF(I$3="","",IF(COUNTIFS(BD!$A$3:$A$5001,I$3,BD!$B$3:$B$5001,$A$60,BD!$N$3:$N$5001,"&lt;&gt;")=0,"",SUMIFS(BD!$N$3:$N$5001,BD!$A$3:$A$5001,I$3,BD!$B$3:$B$5001,$A$60)))</f>
        <v/>
      </c>
      <c r="J70" s="225" t="str">
        <f>IF(J$3="","",IF(COUNTIFS(BD!$A$3:$A$5001,J$3,BD!$B$3:$B$5001,$A$60,BD!$N$3:$N$5001,"&lt;&gt;")=0,"",SUMIFS(BD!$N$3:$N$5001,BD!$A$3:$A$5001,J$3,BD!$B$3:$B$5001,$A$60)))</f>
        <v/>
      </c>
      <c r="K70" s="225" t="str">
        <f>IF(K$3="","",IF(COUNTIFS(BD!$A$3:$A$5001,K$3,BD!$B$3:$B$5001,$A$60,BD!$N$3:$N$5001,"&lt;&gt;")=0,"",SUMIFS(BD!$N$3:$N$5001,BD!$A$3:$A$5001,K$3,BD!$B$3:$B$5001,$A$60)))</f>
        <v/>
      </c>
      <c r="L70" s="225" t="str">
        <f>IF(L$3="","",IF(COUNTIFS(BD!$A$3:$A$5001,L$3,BD!$B$3:$B$5001,$A$60,BD!$N$3:$N$5001,"&lt;&gt;")=0,"",SUMIFS(BD!$N$3:$N$5001,BD!$A$3:$A$5001,L$3,BD!$B$3:$B$5001,$A$60)))</f>
        <v/>
      </c>
      <c r="M70" s="225" t="str">
        <f>IF(M$3="","",IF(COUNTIFS(BD!$A$3:$A$5001,M$3,BD!$B$3:$B$5001,$A$60,BD!$N$3:$N$5001,"&lt;&gt;")=0,"",SUMIFS(BD!$N$3:$N$5001,BD!$A$3:$A$5001,M$3,BD!$B$3:$B$5001,$A$60)))</f>
        <v/>
      </c>
      <c r="N70" s="225" t="str">
        <f>IF(N$3="","",IF(COUNTIFS(BD!$A$3:$A$5001,N$3,BD!$B$3:$B$5001,$A$60,BD!$N$3:$N$5001,"&lt;&gt;")=0,"",SUMIFS(BD!$N$3:$N$5001,BD!$A$3:$A$5001,N$3,BD!$B$3:$B$5001,$A$60)))</f>
        <v/>
      </c>
      <c r="O70" s="225" t="str">
        <f>IF(O$3="","",IF(COUNTIFS(BD!$A$3:$A$5001,O$3,BD!$B$3:$B$5001,$A$60,BD!$N$3:$N$5001,"&lt;&gt;")=0,"",SUMIFS(BD!$N$3:$N$5001,BD!$A$3:$A$5001,O$3,BD!$B$3:$B$5001,$A$60)))</f>
        <v/>
      </c>
      <c r="P70" s="225" t="str">
        <f>IF(P$3="","",IF(COUNTIFS(BD!$A$3:$A$5001,P$3,BD!$B$3:$B$5001,$A$60,BD!$N$3:$N$5001,"&lt;&gt;")=0,"",SUMIFS(BD!$N$3:$N$5001,BD!$A$3:$A$5001,P$3,BD!$B$3:$B$5001,$A$60)))</f>
        <v/>
      </c>
      <c r="Q70" s="225" t="str">
        <f>IF(Q$3="","",IF(COUNTIFS(BD!$A$3:$A$5001,Q$3,BD!$B$3:$B$5001,$A$60,BD!$N$3:$N$5001,"&lt;&gt;")=0,"",SUMIFS(BD!$N$3:$N$5001,BD!$A$3:$A$5001,Q$3,BD!$B$3:$B$5001,$A$60)))</f>
        <v/>
      </c>
      <c r="R70" s="225" t="str">
        <f>IF(R$3="","",IF(COUNTIFS(BD!$A$3:$A$5001,R$3,BD!$B$3:$B$5001,$A$60,BD!$N$3:$N$5001,"&lt;&gt;")=0,"",SUMIFS(BD!$N$3:$N$5001,BD!$A$3:$A$5001,R$3,BD!$B$3:$B$5001,$A$60)))</f>
        <v/>
      </c>
      <c r="S70" s="225" t="str">
        <f>IF(S$3="","",IF(COUNTIFS(BD!$A$3:$A$5001,S$3,BD!$B$3:$B$5001,$A$60,BD!$N$3:$N$5001,"&lt;&gt;")=0,"",SUMIFS(BD!$N$3:$N$5001,BD!$A$3:$A$5001,S$3,BD!$B$3:$B$5001,$A$60)))</f>
        <v/>
      </c>
      <c r="T70" s="225" t="str">
        <f>IF(T$3="","",IF(COUNTIFS(BD!$A$3:$A$5001,T$3,BD!$B$3:$B$5001,$A$60,BD!$N$3:$N$5001,"&lt;&gt;")=0,"",SUMIFS(BD!$N$3:$N$5001,BD!$A$3:$A$5001,T$3,BD!$B$3:$B$5001,$A$60)))</f>
        <v/>
      </c>
      <c r="U70" s="225" t="str">
        <f>IF(U$3="","",IF(COUNTIFS(BD!$A$3:$A$5001,U$3,BD!$B$3:$B$5001,$A$60,BD!$N$3:$N$5001,"&lt;&gt;")=0,"",SUMIFS(BD!$N$3:$N$5001,BD!$A$3:$A$5001,U$3,BD!$B$3:$B$5001,$A$60)))</f>
        <v/>
      </c>
      <c r="V70" s="225" t="str">
        <f>IF(V$3="","",IF(COUNTIFS(BD!$A$3:$A$5001,V$3,BD!$B$3:$B$5001,$A$60,BD!$N$3:$N$5001,"&lt;&gt;")=0,"",SUMIFS(BD!$N$3:$N$5001,BD!$A$3:$A$5001,V$3,BD!$B$3:$B$5001,$A$60)))</f>
        <v/>
      </c>
      <c r="W70" s="225" t="str">
        <f>IF(W$3="","",IF(COUNTIFS(BD!$A$3:$A$5001,W$3,BD!$B$3:$B$5001,$A$60,BD!$N$3:$N$5001,"&lt;&gt;")=0,"",SUMIFS(BD!$N$3:$N$5001,BD!$A$3:$A$5001,W$3,BD!$B$3:$B$5001,$A$60)))</f>
        <v/>
      </c>
      <c r="X70" s="225" t="str">
        <f>IF(X$3="","",IF(COUNTIFS(BD!$A$3:$A$5001,X$3,BD!$B$3:$B$5001,$A$60,BD!$N$3:$N$5001,"&lt;&gt;")=0,"",SUMIFS(BD!$N$3:$N$5001,BD!$A$3:$A$5001,X$3,BD!$B$3:$B$5001,$A$60)))</f>
        <v/>
      </c>
      <c r="Y70" s="225" t="str">
        <f>IF(Y$3="","",IF(COUNTIFS(BD!$A$3:$A$5001,Y$3,BD!$B$3:$B$5001,$A$60,BD!$N$3:$N$5001,"&lt;&gt;")=0,"",SUMIFS(BD!$N$3:$N$5001,BD!$A$3:$A$5001,Y$3,BD!$B$3:$B$5001,$A$60)))</f>
        <v/>
      </c>
      <c r="Z70" s="225" t="str">
        <f>IF(Z$3="","",IF(COUNTIFS(BD!$A$3:$A$5001,Z$3,BD!$B$3:$B$5001,$A$60,BD!$N$3:$N$5001,"&lt;&gt;")=0,"",SUMIFS(BD!$N$3:$N$5001,BD!$A$3:$A$5001,Z$3,BD!$B$3:$B$5001,$A$60)))</f>
        <v/>
      </c>
      <c r="AA70" s="225" t="str">
        <f>IF(AA$3="","",IF(COUNTIFS(BD!$A$3:$A$5001,AA$3,BD!$B$3:$B$5001,$A$60,BD!$N$3:$N$5001,"&lt;&gt;")=0,"",SUMIFS(BD!$N$3:$N$5001,BD!$A$3:$A$5001,AA$3,BD!$B$3:$B$5001,$A$60)))</f>
        <v/>
      </c>
      <c r="AB70" s="225" t="str">
        <f>IF(AB$3="","",IF(COUNTIFS(BD!$A$3:$A$5001,AB$3,BD!$B$3:$B$5001,$A$60,BD!$N$3:$N$5001,"&lt;&gt;")=0,"",SUMIFS(BD!$N$3:$N$5001,BD!$A$3:$A$5001,AB$3,BD!$B$3:$B$5001,$A$60)))</f>
        <v/>
      </c>
      <c r="AC70" s="225" t="str">
        <f>IF(AC$3="","",IF(COUNTIFS(BD!$A$3:$A$5001,AC$3,BD!$B$3:$B$5001,$A$60,BD!$N$3:$N$5001,"&lt;&gt;")=0,"",SUMIFS(BD!$N$3:$N$5001,BD!$A$3:$A$5001,AC$3,BD!$B$3:$B$5001,$A$60)))</f>
        <v/>
      </c>
      <c r="AD70" s="225" t="str">
        <f>IF(AD$3="","",IF(COUNTIFS(BD!$A$3:$A$5001,AD$3,BD!$B$3:$B$5001,$A$60,BD!$N$3:$N$5001,"&lt;&gt;")=0,"",SUMIFS(BD!$N$3:$N$5001,BD!$A$3:$A$5001,AD$3,BD!$B$3:$B$5001,$A$60)))</f>
        <v/>
      </c>
      <c r="AE70" s="225" t="str">
        <f>IF(AE$3="","",IF(COUNTIFS(BD!$A$3:$A$5001,AE$3,BD!$B$3:$B$5001,$A$60,BD!$N$3:$N$5001,"&lt;&gt;")=0,"",SUMIFS(BD!$N$3:$N$5001,BD!$A$3:$A$5001,AE$3,BD!$B$3:$B$5001,$A$60)))</f>
        <v/>
      </c>
      <c r="AF70" s="225" t="str">
        <f>IF(AF$3="","",IF(COUNTIFS(BD!$A$3:$A$5001,AF$3,BD!$B$3:$B$5001,$A$60,BD!$N$3:$N$5001,"&lt;&gt;")=0,"",SUMIFS(BD!$N$3:$N$5001,BD!$A$3:$A$5001,AF$3,BD!$B$3:$B$5001,$A$60)))</f>
        <v/>
      </c>
      <c r="AG70" s="225" t="str">
        <f>IF(AG$3="","",IF(COUNTIFS(BD!$A$3:$A$5001,AG$3,BD!$B$3:$B$5001,$A$60,BD!$N$3:$N$5001,"&lt;&gt;")=0,"",SUMIFS(BD!$N$3:$N$5001,BD!$A$3:$A$5001,AG$3,BD!$B$3:$B$5001,$A$60)))</f>
        <v/>
      </c>
      <c r="AH70" s="225" t="str">
        <f>IF(AH$3="","",IF(COUNTIFS(BD!$A$3:$A$5001,AH$3,BD!$B$3:$B$5001,$A$60,BD!$N$3:$N$5001,"&lt;&gt;")=0,"",SUMIFS(BD!$N$3:$N$5001,BD!$A$3:$A$5001,AH$3,BD!$B$3:$B$5001,$A$60)))</f>
        <v/>
      </c>
      <c r="AI70" s="225" t="str">
        <f>IF(AI$3="","",IF(COUNTIFS(BD!$A$3:$A$5001,AI$3,BD!$B$3:$B$5001,$A$60,BD!$N$3:$N$5001,"&lt;&gt;")=0,"",SUMIFS(BD!$N$3:$N$5001,BD!$A$3:$A$5001,AI$3,BD!$B$3:$B$5001,$A$60)))</f>
        <v/>
      </c>
      <c r="AJ70" s="226" t="str">
        <f>IF(AJ$3="","",IF(COUNTIFS(BD!$A$3:$A$5001,AJ$3,BD!$B$3:$B$5001,$A$60,BD!$N$3:$N$5001,"&lt;&gt;")=0,"",SUMIFS(BD!$N$3:$N$5001,BD!$A$3:$A$5001,AJ$3,BD!$B$3:$B$5001,$A$60)))</f>
        <v/>
      </c>
      <c r="AK70" s="227" t="str">
        <f>IFERROR(LOOKUP(9.99E+307,F70:AJ70),"")</f>
        <v/>
      </c>
    </row>
    <row r="71" ht="15.75" customHeight="1">
      <c r="A71" s="254"/>
      <c r="B71" s="251"/>
      <c r="C71" s="228" t="inlineStr">
        <is>
          <t xml:space="preserve">Falta</t>
        </is>
      </c>
      <c r="D71" s="229" t="str">
        <f>IFERROR(1/(1/INDEX(BD!$Y$36:$AS$36,MATCH($A$60,BD!$Y$22:$AS$22,0))),"")</f>
        <v/>
      </c>
      <c r="E71" s="230"/>
      <c r="F71" s="231" t="str">
        <f>IF(F$3="","",IF(COUNTIFS(BD!$A$3:$A$5001,F$3,BD!$B$3:$B$5001,$A$60,BD!$O$3:$O$5001,"&lt;&gt;")=0,"",SUMIFS(BD!$O$3:$O$5001,BD!$A$3:$A$5001,F$3,BD!$B$3:$B$5001,$A$60)))</f>
        <v/>
      </c>
      <c r="G71" s="232" t="str">
        <f>IF(G$3="","",IF(COUNTIFS(BD!$A$3:$A$5001,G$3,BD!$B$3:$B$5001,$A$60,BD!$O$3:$O$5001,"&lt;&gt;")=0,"",SUMIFS(BD!$O$3:$O$5001,BD!$A$3:$A$5001,G$3,BD!$B$3:$B$5001,$A$60)))</f>
        <v/>
      </c>
      <c r="H71" s="232" t="str">
        <f>IF(H$3="","",IF(COUNTIFS(BD!$A$3:$A$5001,H$3,BD!$B$3:$B$5001,$A$60,BD!$O$3:$O$5001,"&lt;&gt;")=0,"",SUMIFS(BD!$O$3:$O$5001,BD!$A$3:$A$5001,H$3,BD!$B$3:$B$5001,$A$60)))</f>
        <v/>
      </c>
      <c r="I71" s="232" t="str">
        <f>IF(I$3="","",IF(COUNTIFS(BD!$A$3:$A$5001,I$3,BD!$B$3:$B$5001,$A$60,BD!$O$3:$O$5001,"&lt;&gt;")=0,"",SUMIFS(BD!$O$3:$O$5001,BD!$A$3:$A$5001,I$3,BD!$B$3:$B$5001,$A$60)))</f>
        <v/>
      </c>
      <c r="J71" s="232" t="str">
        <f>IF(J$3="","",IF(COUNTIFS(BD!$A$3:$A$5001,J$3,BD!$B$3:$B$5001,$A$60,BD!$O$3:$O$5001,"&lt;&gt;")=0,"",SUMIFS(BD!$O$3:$O$5001,BD!$A$3:$A$5001,J$3,BD!$B$3:$B$5001,$A$60)))</f>
        <v/>
      </c>
      <c r="K71" s="232" t="str">
        <f>IF(K$3="","",IF(COUNTIFS(BD!$A$3:$A$5001,K$3,BD!$B$3:$B$5001,$A$60,BD!$O$3:$O$5001,"&lt;&gt;")=0,"",SUMIFS(BD!$O$3:$O$5001,BD!$A$3:$A$5001,K$3,BD!$B$3:$B$5001,$A$60)))</f>
        <v/>
      </c>
      <c r="L71" s="232" t="str">
        <f>IF(L$3="","",IF(COUNTIFS(BD!$A$3:$A$5001,L$3,BD!$B$3:$B$5001,$A$60,BD!$O$3:$O$5001,"&lt;&gt;")=0,"",SUMIFS(BD!$O$3:$O$5001,BD!$A$3:$A$5001,L$3,BD!$B$3:$B$5001,$A$60)))</f>
        <v/>
      </c>
      <c r="M71" s="232" t="str">
        <f>IF(M$3="","",IF(COUNTIFS(BD!$A$3:$A$5001,M$3,BD!$B$3:$B$5001,$A$60,BD!$O$3:$O$5001,"&lt;&gt;")=0,"",SUMIFS(BD!$O$3:$O$5001,BD!$A$3:$A$5001,M$3,BD!$B$3:$B$5001,$A$60)))</f>
        <v/>
      </c>
      <c r="N71" s="232" t="str">
        <f>IF(N$3="","",IF(COUNTIFS(BD!$A$3:$A$5001,N$3,BD!$B$3:$B$5001,$A$60,BD!$O$3:$O$5001,"&lt;&gt;")=0,"",SUMIFS(BD!$O$3:$O$5001,BD!$A$3:$A$5001,N$3,BD!$B$3:$B$5001,$A$60)))</f>
        <v/>
      </c>
      <c r="O71" s="232" t="str">
        <f>IF(O$3="","",IF(COUNTIFS(BD!$A$3:$A$5001,O$3,BD!$B$3:$B$5001,$A$60,BD!$O$3:$O$5001,"&lt;&gt;")=0,"",SUMIFS(BD!$O$3:$O$5001,BD!$A$3:$A$5001,O$3,BD!$B$3:$B$5001,$A$60)))</f>
        <v/>
      </c>
      <c r="P71" s="232" t="str">
        <f>IF(P$3="","",IF(COUNTIFS(BD!$A$3:$A$5001,P$3,BD!$B$3:$B$5001,$A$60,BD!$O$3:$O$5001,"&lt;&gt;")=0,"",SUMIFS(BD!$O$3:$O$5001,BD!$A$3:$A$5001,P$3,BD!$B$3:$B$5001,$A$60)))</f>
        <v/>
      </c>
      <c r="Q71" s="232" t="str">
        <f>IF(Q$3="","",IF(COUNTIFS(BD!$A$3:$A$5001,Q$3,BD!$B$3:$B$5001,$A$60,BD!$O$3:$O$5001,"&lt;&gt;")=0,"",SUMIFS(BD!$O$3:$O$5001,BD!$A$3:$A$5001,Q$3,BD!$B$3:$B$5001,$A$60)))</f>
        <v/>
      </c>
      <c r="R71" s="232" t="str">
        <f>IF(R$3="","",IF(COUNTIFS(BD!$A$3:$A$5001,R$3,BD!$B$3:$B$5001,$A$60,BD!$O$3:$O$5001,"&lt;&gt;")=0,"",SUMIFS(BD!$O$3:$O$5001,BD!$A$3:$A$5001,R$3,BD!$B$3:$B$5001,$A$60)))</f>
        <v/>
      </c>
      <c r="S71" s="232" t="str">
        <f>IF(S$3="","",IF(COUNTIFS(BD!$A$3:$A$5001,S$3,BD!$B$3:$B$5001,$A$60,BD!$O$3:$O$5001,"&lt;&gt;")=0,"",SUMIFS(BD!$O$3:$O$5001,BD!$A$3:$A$5001,S$3,BD!$B$3:$B$5001,$A$60)))</f>
        <v/>
      </c>
      <c r="T71" s="232" t="str">
        <f>IF(T$3="","",IF(COUNTIFS(BD!$A$3:$A$5001,T$3,BD!$B$3:$B$5001,$A$60,BD!$O$3:$O$5001,"&lt;&gt;")=0,"",SUMIFS(BD!$O$3:$O$5001,BD!$A$3:$A$5001,T$3,BD!$B$3:$B$5001,$A$60)))</f>
        <v/>
      </c>
      <c r="U71" s="232" t="str">
        <f>IF(U$3="","",IF(COUNTIFS(BD!$A$3:$A$5001,U$3,BD!$B$3:$B$5001,$A$60,BD!$O$3:$O$5001,"&lt;&gt;")=0,"",SUMIFS(BD!$O$3:$O$5001,BD!$A$3:$A$5001,U$3,BD!$B$3:$B$5001,$A$60)))</f>
        <v/>
      </c>
      <c r="V71" s="232" t="str">
        <f>IF(V$3="","",IF(COUNTIFS(BD!$A$3:$A$5001,V$3,BD!$B$3:$B$5001,$A$60,BD!$O$3:$O$5001,"&lt;&gt;")=0,"",SUMIFS(BD!$O$3:$O$5001,BD!$A$3:$A$5001,V$3,BD!$B$3:$B$5001,$A$60)))</f>
        <v/>
      </c>
      <c r="W71" s="232" t="str">
        <f>IF(W$3="","",IF(COUNTIFS(BD!$A$3:$A$5001,W$3,BD!$B$3:$B$5001,$A$60,BD!$O$3:$O$5001,"&lt;&gt;")=0,"",SUMIFS(BD!$O$3:$O$5001,BD!$A$3:$A$5001,W$3,BD!$B$3:$B$5001,$A$60)))</f>
        <v/>
      </c>
      <c r="X71" s="232" t="str">
        <f>IF(X$3="","",IF(COUNTIFS(BD!$A$3:$A$5001,X$3,BD!$B$3:$B$5001,$A$60,BD!$O$3:$O$5001,"&lt;&gt;")=0,"",SUMIFS(BD!$O$3:$O$5001,BD!$A$3:$A$5001,X$3,BD!$B$3:$B$5001,$A$60)))</f>
        <v/>
      </c>
      <c r="Y71" s="232" t="str">
        <f>IF(Y$3="","",IF(COUNTIFS(BD!$A$3:$A$5001,Y$3,BD!$B$3:$B$5001,$A$60,BD!$O$3:$O$5001,"&lt;&gt;")=0,"",SUMIFS(BD!$O$3:$O$5001,BD!$A$3:$A$5001,Y$3,BD!$B$3:$B$5001,$A$60)))</f>
        <v/>
      </c>
      <c r="Z71" s="232" t="str">
        <f>IF(Z$3="","",IF(COUNTIFS(BD!$A$3:$A$5001,Z$3,BD!$B$3:$B$5001,$A$60,BD!$O$3:$O$5001,"&lt;&gt;")=0,"",SUMIFS(BD!$O$3:$O$5001,BD!$A$3:$A$5001,Z$3,BD!$B$3:$B$5001,$A$60)))</f>
        <v/>
      </c>
      <c r="AA71" s="232" t="str">
        <f>IF(AA$3="","",IF(COUNTIFS(BD!$A$3:$A$5001,AA$3,BD!$B$3:$B$5001,$A$60,BD!$O$3:$O$5001,"&lt;&gt;")=0,"",SUMIFS(BD!$O$3:$O$5001,BD!$A$3:$A$5001,AA$3,BD!$B$3:$B$5001,$A$60)))</f>
        <v/>
      </c>
      <c r="AB71" s="232" t="str">
        <f>IF(AB$3="","",IF(COUNTIFS(BD!$A$3:$A$5001,AB$3,BD!$B$3:$B$5001,$A$60,BD!$O$3:$O$5001,"&lt;&gt;")=0,"",SUMIFS(BD!$O$3:$O$5001,BD!$A$3:$A$5001,AB$3,BD!$B$3:$B$5001,$A$60)))</f>
        <v/>
      </c>
      <c r="AC71" s="232" t="str">
        <f>IF(AC$3="","",IF(COUNTIFS(BD!$A$3:$A$5001,AC$3,BD!$B$3:$B$5001,$A$60,BD!$O$3:$O$5001,"&lt;&gt;")=0,"",SUMIFS(BD!$O$3:$O$5001,BD!$A$3:$A$5001,AC$3,BD!$B$3:$B$5001,$A$60)))</f>
        <v/>
      </c>
      <c r="AD71" s="232" t="str">
        <f>IF(AD$3="","",IF(COUNTIFS(BD!$A$3:$A$5001,AD$3,BD!$B$3:$B$5001,$A$60,BD!$O$3:$O$5001,"&lt;&gt;")=0,"",SUMIFS(BD!$O$3:$O$5001,BD!$A$3:$A$5001,AD$3,BD!$B$3:$B$5001,$A$60)))</f>
        <v/>
      </c>
      <c r="AE71" s="232" t="str">
        <f>IF(AE$3="","",IF(COUNTIFS(BD!$A$3:$A$5001,AE$3,BD!$B$3:$B$5001,$A$60,BD!$O$3:$O$5001,"&lt;&gt;")=0,"",SUMIFS(BD!$O$3:$O$5001,BD!$A$3:$A$5001,AE$3,BD!$B$3:$B$5001,$A$60)))</f>
        <v/>
      </c>
      <c r="AF71" s="232" t="str">
        <f>IF(AF$3="","",IF(COUNTIFS(BD!$A$3:$A$5001,AF$3,BD!$B$3:$B$5001,$A$60,BD!$O$3:$O$5001,"&lt;&gt;")=0,"",SUMIFS(BD!$O$3:$O$5001,BD!$A$3:$A$5001,AF$3,BD!$B$3:$B$5001,$A$60)))</f>
        <v/>
      </c>
      <c r="AG71" s="232" t="str">
        <f>IF(AG$3="","",IF(COUNTIFS(BD!$A$3:$A$5001,AG$3,BD!$B$3:$B$5001,$A$60,BD!$O$3:$O$5001,"&lt;&gt;")=0,"",SUMIFS(BD!$O$3:$O$5001,BD!$A$3:$A$5001,AG$3,BD!$B$3:$B$5001,$A$60)))</f>
        <v/>
      </c>
      <c r="AH71" s="232" t="str">
        <f>IF(AH$3="","",IF(COUNTIFS(BD!$A$3:$A$5001,AH$3,BD!$B$3:$B$5001,$A$60,BD!$O$3:$O$5001,"&lt;&gt;")=0,"",SUMIFS(BD!$O$3:$O$5001,BD!$A$3:$A$5001,AH$3,BD!$B$3:$B$5001,$A$60)))</f>
        <v/>
      </c>
      <c r="AI71" s="232" t="str">
        <f>IF(AI$3="","",IF(COUNTIFS(BD!$A$3:$A$5001,AI$3,BD!$B$3:$B$5001,$A$60,BD!$O$3:$O$5001,"&lt;&gt;")=0,"",SUMIFS(BD!$O$3:$O$5001,BD!$A$3:$A$5001,AI$3,BD!$B$3:$B$5001,$A$60)))</f>
        <v/>
      </c>
      <c r="AJ71" s="233" t="str">
        <f>IF(AJ$3="","",IF(COUNTIFS(BD!$A$3:$A$5001,AJ$3,BD!$B$3:$B$5001,$A$60,BD!$O$3:$O$5001,"&lt;&gt;")=0,"",SUMIFS(BD!$O$3:$O$5001,BD!$A$3:$A$5001,AJ$3,BD!$B$3:$B$5001,$A$60)))</f>
        <v/>
      </c>
      <c r="AK71" s="234" t="str">
        <f>IF(COUNT(F71:AJ71)=0,"",SUM(F71:AJ71))</f>
        <v/>
      </c>
    </row>
    <row r="72" ht="15.75" customHeight="1">
      <c r="A72" s="254"/>
      <c r="B72" s="251"/>
      <c r="C72" s="228" t="inlineStr">
        <is>
          <t xml:space="preserve">Folga</t>
        </is>
      </c>
      <c r="D72" s="229" t="str">
        <f>IFERROR(1/(1/INDEX(BD!$Y$37:$AS$37,MATCH($A$60,BD!$Y$22:$AS$22,0))),"")</f>
        <v/>
      </c>
      <c r="E72" s="230"/>
      <c r="F72" s="231" t="str">
        <f>IF(F$3="","",IF(COUNTIFS(BD!$A$3:$A$5001,F$3,BD!$B$3:$B$5001,$A$60,BD!$P$3:$P$5001,"&lt;&gt;")=0,"",SUMIFS(BD!$P$3:$P$5001,BD!$A$3:$A$5001,F$3,BD!$B$3:$B$5001,$A$60)))</f>
        <v/>
      </c>
      <c r="G72" s="232" t="str">
        <f>IF(G$3="","",IF(COUNTIFS(BD!$A$3:$A$5001,G$3,BD!$B$3:$B$5001,$A$60,BD!$P$3:$P$5001,"&lt;&gt;")=0,"",SUMIFS(BD!$P$3:$P$5001,BD!$A$3:$A$5001,G$3,BD!$B$3:$B$5001,$A$60)))</f>
        <v/>
      </c>
      <c r="H72" s="232" t="str">
        <f>IF(H$3="","",IF(COUNTIFS(BD!$A$3:$A$5001,H$3,BD!$B$3:$B$5001,$A$60,BD!$P$3:$P$5001,"&lt;&gt;")=0,"",SUMIFS(BD!$P$3:$P$5001,BD!$A$3:$A$5001,H$3,BD!$B$3:$B$5001,$A$60)))</f>
        <v/>
      </c>
      <c r="I72" s="232" t="str">
        <f>IF(I$3="","",IF(COUNTIFS(BD!$A$3:$A$5001,I$3,BD!$B$3:$B$5001,$A$60,BD!$P$3:$P$5001,"&lt;&gt;")=0,"",SUMIFS(BD!$P$3:$P$5001,BD!$A$3:$A$5001,I$3,BD!$B$3:$B$5001,$A$60)))</f>
        <v/>
      </c>
      <c r="J72" s="232" t="str">
        <f>IF(J$3="","",IF(COUNTIFS(BD!$A$3:$A$5001,J$3,BD!$B$3:$B$5001,$A$60,BD!$P$3:$P$5001,"&lt;&gt;")=0,"",SUMIFS(BD!$P$3:$P$5001,BD!$A$3:$A$5001,J$3,BD!$B$3:$B$5001,$A$60)))</f>
        <v/>
      </c>
      <c r="K72" s="232" t="str">
        <f>IF(K$3="","",IF(COUNTIFS(BD!$A$3:$A$5001,K$3,BD!$B$3:$B$5001,$A$60,BD!$P$3:$P$5001,"&lt;&gt;")=0,"",SUMIFS(BD!$P$3:$P$5001,BD!$A$3:$A$5001,K$3,BD!$B$3:$B$5001,$A$60)))</f>
        <v/>
      </c>
      <c r="L72" s="232" t="str">
        <f>IF(L$3="","",IF(COUNTIFS(BD!$A$3:$A$5001,L$3,BD!$B$3:$B$5001,$A$60,BD!$P$3:$P$5001,"&lt;&gt;")=0,"",SUMIFS(BD!$P$3:$P$5001,BD!$A$3:$A$5001,L$3,BD!$B$3:$B$5001,$A$60)))</f>
        <v/>
      </c>
      <c r="M72" s="232" t="str">
        <f>IF(M$3="","",IF(COUNTIFS(BD!$A$3:$A$5001,M$3,BD!$B$3:$B$5001,$A$60,BD!$P$3:$P$5001,"&lt;&gt;")=0,"",SUMIFS(BD!$P$3:$P$5001,BD!$A$3:$A$5001,M$3,BD!$B$3:$B$5001,$A$60)))</f>
        <v/>
      </c>
      <c r="N72" s="232" t="str">
        <f>IF(N$3="","",IF(COUNTIFS(BD!$A$3:$A$5001,N$3,BD!$B$3:$B$5001,$A$60,BD!$P$3:$P$5001,"&lt;&gt;")=0,"",SUMIFS(BD!$P$3:$P$5001,BD!$A$3:$A$5001,N$3,BD!$B$3:$B$5001,$A$60)))</f>
        <v/>
      </c>
      <c r="O72" s="232" t="str">
        <f>IF(O$3="","",IF(COUNTIFS(BD!$A$3:$A$5001,O$3,BD!$B$3:$B$5001,$A$60,BD!$P$3:$P$5001,"&lt;&gt;")=0,"",SUMIFS(BD!$P$3:$P$5001,BD!$A$3:$A$5001,O$3,BD!$B$3:$B$5001,$A$60)))</f>
        <v/>
      </c>
      <c r="P72" s="232" t="str">
        <f>IF(P$3="","",IF(COUNTIFS(BD!$A$3:$A$5001,P$3,BD!$B$3:$B$5001,$A$60,BD!$P$3:$P$5001,"&lt;&gt;")=0,"",SUMIFS(BD!$P$3:$P$5001,BD!$A$3:$A$5001,P$3,BD!$B$3:$B$5001,$A$60)))</f>
        <v/>
      </c>
      <c r="Q72" s="232" t="str">
        <f>IF(Q$3="","",IF(COUNTIFS(BD!$A$3:$A$5001,Q$3,BD!$B$3:$B$5001,$A$60,BD!$P$3:$P$5001,"&lt;&gt;")=0,"",SUMIFS(BD!$P$3:$P$5001,BD!$A$3:$A$5001,Q$3,BD!$B$3:$B$5001,$A$60)))</f>
        <v/>
      </c>
      <c r="R72" s="232" t="str">
        <f>IF(R$3="","",IF(COUNTIFS(BD!$A$3:$A$5001,R$3,BD!$B$3:$B$5001,$A$60,BD!$P$3:$P$5001,"&lt;&gt;")=0,"",SUMIFS(BD!$P$3:$P$5001,BD!$A$3:$A$5001,R$3,BD!$B$3:$B$5001,$A$60)))</f>
        <v/>
      </c>
      <c r="S72" s="232" t="str">
        <f>IF(S$3="","",IF(COUNTIFS(BD!$A$3:$A$5001,S$3,BD!$B$3:$B$5001,$A$60,BD!$P$3:$P$5001,"&lt;&gt;")=0,"",SUMIFS(BD!$P$3:$P$5001,BD!$A$3:$A$5001,S$3,BD!$B$3:$B$5001,$A$60)))</f>
        <v/>
      </c>
      <c r="T72" s="232" t="str">
        <f>IF(T$3="","",IF(COUNTIFS(BD!$A$3:$A$5001,T$3,BD!$B$3:$B$5001,$A$60,BD!$P$3:$P$5001,"&lt;&gt;")=0,"",SUMIFS(BD!$P$3:$P$5001,BD!$A$3:$A$5001,T$3,BD!$B$3:$B$5001,$A$60)))</f>
        <v/>
      </c>
      <c r="U72" s="232" t="str">
        <f>IF(U$3="","",IF(COUNTIFS(BD!$A$3:$A$5001,U$3,BD!$B$3:$B$5001,$A$60,BD!$P$3:$P$5001,"&lt;&gt;")=0,"",SUMIFS(BD!$P$3:$P$5001,BD!$A$3:$A$5001,U$3,BD!$B$3:$B$5001,$A$60)))</f>
        <v/>
      </c>
      <c r="V72" s="232" t="str">
        <f>IF(V$3="","",IF(COUNTIFS(BD!$A$3:$A$5001,V$3,BD!$B$3:$B$5001,$A$60,BD!$P$3:$P$5001,"&lt;&gt;")=0,"",SUMIFS(BD!$P$3:$P$5001,BD!$A$3:$A$5001,V$3,BD!$B$3:$B$5001,$A$60)))</f>
        <v/>
      </c>
      <c r="W72" s="232" t="str">
        <f>IF(W$3="","",IF(COUNTIFS(BD!$A$3:$A$5001,W$3,BD!$B$3:$B$5001,$A$60,BD!$P$3:$P$5001,"&lt;&gt;")=0,"",SUMIFS(BD!$P$3:$P$5001,BD!$A$3:$A$5001,W$3,BD!$B$3:$B$5001,$A$60)))</f>
        <v/>
      </c>
      <c r="X72" s="232" t="str">
        <f>IF(X$3="","",IF(COUNTIFS(BD!$A$3:$A$5001,X$3,BD!$B$3:$B$5001,$A$60,BD!$P$3:$P$5001,"&lt;&gt;")=0,"",SUMIFS(BD!$P$3:$P$5001,BD!$A$3:$A$5001,X$3,BD!$B$3:$B$5001,$A$60)))</f>
        <v/>
      </c>
      <c r="Y72" s="232" t="str">
        <f>IF(Y$3="","",IF(COUNTIFS(BD!$A$3:$A$5001,Y$3,BD!$B$3:$B$5001,$A$60,BD!$P$3:$P$5001,"&lt;&gt;")=0,"",SUMIFS(BD!$P$3:$P$5001,BD!$A$3:$A$5001,Y$3,BD!$B$3:$B$5001,$A$60)))</f>
        <v/>
      </c>
      <c r="Z72" s="232" t="str">
        <f>IF(Z$3="","",IF(COUNTIFS(BD!$A$3:$A$5001,Z$3,BD!$B$3:$B$5001,$A$60,BD!$P$3:$P$5001,"&lt;&gt;")=0,"",SUMIFS(BD!$P$3:$P$5001,BD!$A$3:$A$5001,Z$3,BD!$B$3:$B$5001,$A$60)))</f>
        <v/>
      </c>
      <c r="AA72" s="232" t="str">
        <f>IF(AA$3="","",IF(COUNTIFS(BD!$A$3:$A$5001,AA$3,BD!$B$3:$B$5001,$A$60,BD!$P$3:$P$5001,"&lt;&gt;")=0,"",SUMIFS(BD!$P$3:$P$5001,BD!$A$3:$A$5001,AA$3,BD!$B$3:$B$5001,$A$60)))</f>
        <v/>
      </c>
      <c r="AB72" s="232" t="str">
        <f>IF(AB$3="","",IF(COUNTIFS(BD!$A$3:$A$5001,AB$3,BD!$B$3:$B$5001,$A$60,BD!$P$3:$P$5001,"&lt;&gt;")=0,"",SUMIFS(BD!$P$3:$P$5001,BD!$A$3:$A$5001,AB$3,BD!$B$3:$B$5001,$A$60)))</f>
        <v/>
      </c>
      <c r="AC72" s="232" t="str">
        <f>IF(AC$3="","",IF(COUNTIFS(BD!$A$3:$A$5001,AC$3,BD!$B$3:$B$5001,$A$60,BD!$P$3:$P$5001,"&lt;&gt;")=0,"",SUMIFS(BD!$P$3:$P$5001,BD!$A$3:$A$5001,AC$3,BD!$B$3:$B$5001,$A$60)))</f>
        <v/>
      </c>
      <c r="AD72" s="232" t="str">
        <f>IF(AD$3="","",IF(COUNTIFS(BD!$A$3:$A$5001,AD$3,BD!$B$3:$B$5001,$A$60,BD!$P$3:$P$5001,"&lt;&gt;")=0,"",SUMIFS(BD!$P$3:$P$5001,BD!$A$3:$A$5001,AD$3,BD!$B$3:$B$5001,$A$60)))</f>
        <v/>
      </c>
      <c r="AE72" s="232" t="str">
        <f>IF(AE$3="","",IF(COUNTIFS(BD!$A$3:$A$5001,AE$3,BD!$B$3:$B$5001,$A$60,BD!$P$3:$P$5001,"&lt;&gt;")=0,"",SUMIFS(BD!$P$3:$P$5001,BD!$A$3:$A$5001,AE$3,BD!$B$3:$B$5001,$A$60)))</f>
        <v/>
      </c>
      <c r="AF72" s="232" t="str">
        <f>IF(AF$3="","",IF(COUNTIFS(BD!$A$3:$A$5001,AF$3,BD!$B$3:$B$5001,$A$60,BD!$P$3:$P$5001,"&lt;&gt;")=0,"",SUMIFS(BD!$P$3:$P$5001,BD!$A$3:$A$5001,AF$3,BD!$B$3:$B$5001,$A$60)))</f>
        <v/>
      </c>
      <c r="AG72" s="232" t="str">
        <f>IF(AG$3="","",IF(COUNTIFS(BD!$A$3:$A$5001,AG$3,BD!$B$3:$B$5001,$A$60,BD!$P$3:$P$5001,"&lt;&gt;")=0,"",SUMIFS(BD!$P$3:$P$5001,BD!$A$3:$A$5001,AG$3,BD!$B$3:$B$5001,$A$60)))</f>
        <v/>
      </c>
      <c r="AH72" s="232" t="str">
        <f>IF(AH$3="","",IF(COUNTIFS(BD!$A$3:$A$5001,AH$3,BD!$B$3:$B$5001,$A$60,BD!$P$3:$P$5001,"&lt;&gt;")=0,"",SUMIFS(BD!$P$3:$P$5001,BD!$A$3:$A$5001,AH$3,BD!$B$3:$B$5001,$A$60)))</f>
        <v/>
      </c>
      <c r="AI72" s="232" t="str">
        <f>IF(AI$3="","",IF(COUNTIFS(BD!$A$3:$A$5001,AI$3,BD!$B$3:$B$5001,$A$60,BD!$P$3:$P$5001,"&lt;&gt;")=0,"",SUMIFS(BD!$P$3:$P$5001,BD!$A$3:$A$5001,AI$3,BD!$B$3:$B$5001,$A$60)))</f>
        <v/>
      </c>
      <c r="AJ72" s="233" t="str">
        <f>IF(AJ$3="","",IF(COUNTIFS(BD!$A$3:$A$5001,AJ$3,BD!$B$3:$B$5001,$A$60,BD!$P$3:$P$5001,"&lt;&gt;")=0,"",SUMIFS(BD!$P$3:$P$5001,BD!$A$3:$A$5001,AJ$3,BD!$B$3:$B$5001,$A$60)))</f>
        <v/>
      </c>
      <c r="AK72" s="234" t="str">
        <f>IF(COUNT(F72:AJ72)=0,"",SUM(F72:AJ72))</f>
        <v/>
      </c>
    </row>
    <row r="73" ht="15.75" customHeight="1">
      <c r="A73" s="254"/>
      <c r="B73" s="251"/>
      <c r="C73" s="228" t="inlineStr">
        <is>
          <t xml:space="preserve">Férias</t>
        </is>
      </c>
      <c r="D73" s="229" t="str">
        <f>IFERROR(1/(1/INDEX(BD!$Y$38:$AS$38,MATCH($A$60,BD!$Y$22:$AS$22,0))),"")</f>
        <v/>
      </c>
      <c r="E73" s="230"/>
      <c r="F73" s="231" t="str">
        <f>IF(F$3="","",IF(COUNTIFS(BD!$A$3:$A$5001,F$3,BD!$B$3:$B$5001,$A$60,BD!$Q$3:$Q$5001,"&lt;&gt;")=0,"",SUMIFS(BD!$Q$3:$Q$5001,BD!$A$3:$A$5001,F$3,BD!$B$3:$B$5001,$A$60)))</f>
        <v/>
      </c>
      <c r="G73" s="232" t="str">
        <f>IF(G$3="","",IF(COUNTIFS(BD!$A$3:$A$5001,G$3,BD!$B$3:$B$5001,$A$60,BD!$Q$3:$Q$5001,"&lt;&gt;")=0,"",SUMIFS(BD!$Q$3:$Q$5001,BD!$A$3:$A$5001,G$3,BD!$B$3:$B$5001,$A$60)))</f>
        <v/>
      </c>
      <c r="H73" s="232" t="str">
        <f>IF(H$3="","",IF(COUNTIFS(BD!$A$3:$A$5001,H$3,BD!$B$3:$B$5001,$A$60,BD!$Q$3:$Q$5001,"&lt;&gt;")=0,"",SUMIFS(BD!$Q$3:$Q$5001,BD!$A$3:$A$5001,H$3,BD!$B$3:$B$5001,$A$60)))</f>
        <v/>
      </c>
      <c r="I73" s="232" t="str">
        <f>IF(I$3="","",IF(COUNTIFS(BD!$A$3:$A$5001,I$3,BD!$B$3:$B$5001,$A$60,BD!$Q$3:$Q$5001,"&lt;&gt;")=0,"",SUMIFS(BD!$Q$3:$Q$5001,BD!$A$3:$A$5001,I$3,BD!$B$3:$B$5001,$A$60)))</f>
        <v/>
      </c>
      <c r="J73" s="232" t="str">
        <f>IF(J$3="","",IF(COUNTIFS(BD!$A$3:$A$5001,J$3,BD!$B$3:$B$5001,$A$60,BD!$Q$3:$Q$5001,"&lt;&gt;")=0,"",SUMIFS(BD!$Q$3:$Q$5001,BD!$A$3:$A$5001,J$3,BD!$B$3:$B$5001,$A$60)))</f>
        <v/>
      </c>
      <c r="K73" s="232" t="str">
        <f>IF(K$3="","",IF(COUNTIFS(BD!$A$3:$A$5001,K$3,BD!$B$3:$B$5001,$A$60,BD!$Q$3:$Q$5001,"&lt;&gt;")=0,"",SUMIFS(BD!$Q$3:$Q$5001,BD!$A$3:$A$5001,K$3,BD!$B$3:$B$5001,$A$60)))</f>
        <v/>
      </c>
      <c r="L73" s="232" t="str">
        <f>IF(L$3="","",IF(COUNTIFS(BD!$A$3:$A$5001,L$3,BD!$B$3:$B$5001,$A$60,BD!$Q$3:$Q$5001,"&lt;&gt;")=0,"",SUMIFS(BD!$Q$3:$Q$5001,BD!$A$3:$A$5001,L$3,BD!$B$3:$B$5001,$A$60)))</f>
        <v/>
      </c>
      <c r="M73" s="232" t="str">
        <f>IF(M$3="","",IF(COUNTIFS(BD!$A$3:$A$5001,M$3,BD!$B$3:$B$5001,$A$60,BD!$Q$3:$Q$5001,"&lt;&gt;")=0,"",SUMIFS(BD!$Q$3:$Q$5001,BD!$A$3:$A$5001,M$3,BD!$B$3:$B$5001,$A$60)))</f>
        <v/>
      </c>
      <c r="N73" s="232" t="str">
        <f>IF(N$3="","",IF(COUNTIFS(BD!$A$3:$A$5001,N$3,BD!$B$3:$B$5001,$A$60,BD!$Q$3:$Q$5001,"&lt;&gt;")=0,"",SUMIFS(BD!$Q$3:$Q$5001,BD!$A$3:$A$5001,N$3,BD!$B$3:$B$5001,$A$60)))</f>
        <v/>
      </c>
      <c r="O73" s="232" t="str">
        <f>IF(O$3="","",IF(COUNTIFS(BD!$A$3:$A$5001,O$3,BD!$B$3:$B$5001,$A$60,BD!$Q$3:$Q$5001,"&lt;&gt;")=0,"",SUMIFS(BD!$Q$3:$Q$5001,BD!$A$3:$A$5001,O$3,BD!$B$3:$B$5001,$A$60)))</f>
        <v/>
      </c>
      <c r="P73" s="232" t="str">
        <f>IF(P$3="","",IF(COUNTIFS(BD!$A$3:$A$5001,P$3,BD!$B$3:$B$5001,$A$60,BD!$Q$3:$Q$5001,"&lt;&gt;")=0,"",SUMIFS(BD!$Q$3:$Q$5001,BD!$A$3:$A$5001,P$3,BD!$B$3:$B$5001,$A$60)))</f>
        <v/>
      </c>
      <c r="Q73" s="232" t="str">
        <f>IF(Q$3="","",IF(COUNTIFS(BD!$A$3:$A$5001,Q$3,BD!$B$3:$B$5001,$A$60,BD!$Q$3:$Q$5001,"&lt;&gt;")=0,"",SUMIFS(BD!$Q$3:$Q$5001,BD!$A$3:$A$5001,Q$3,BD!$B$3:$B$5001,$A$60)))</f>
        <v/>
      </c>
      <c r="R73" s="232" t="str">
        <f>IF(R$3="","",IF(COUNTIFS(BD!$A$3:$A$5001,R$3,BD!$B$3:$B$5001,$A$60,BD!$Q$3:$Q$5001,"&lt;&gt;")=0,"",SUMIFS(BD!$Q$3:$Q$5001,BD!$A$3:$A$5001,R$3,BD!$B$3:$B$5001,$A$60)))</f>
        <v/>
      </c>
      <c r="S73" s="232" t="str">
        <f>IF(S$3="","",IF(COUNTIFS(BD!$A$3:$A$5001,S$3,BD!$B$3:$B$5001,$A$60,BD!$Q$3:$Q$5001,"&lt;&gt;")=0,"",SUMIFS(BD!$Q$3:$Q$5001,BD!$A$3:$A$5001,S$3,BD!$B$3:$B$5001,$A$60)))</f>
        <v/>
      </c>
      <c r="T73" s="232" t="str">
        <f>IF(T$3="","",IF(COUNTIFS(BD!$A$3:$A$5001,T$3,BD!$B$3:$B$5001,$A$60,BD!$Q$3:$Q$5001,"&lt;&gt;")=0,"",SUMIFS(BD!$Q$3:$Q$5001,BD!$A$3:$A$5001,T$3,BD!$B$3:$B$5001,$A$60)))</f>
        <v/>
      </c>
      <c r="U73" s="232" t="str">
        <f>IF(U$3="","",IF(COUNTIFS(BD!$A$3:$A$5001,U$3,BD!$B$3:$B$5001,$A$60,BD!$Q$3:$Q$5001,"&lt;&gt;")=0,"",SUMIFS(BD!$Q$3:$Q$5001,BD!$A$3:$A$5001,U$3,BD!$B$3:$B$5001,$A$60)))</f>
        <v/>
      </c>
      <c r="V73" s="232" t="str">
        <f>IF(V$3="","",IF(COUNTIFS(BD!$A$3:$A$5001,V$3,BD!$B$3:$B$5001,$A$60,BD!$Q$3:$Q$5001,"&lt;&gt;")=0,"",SUMIFS(BD!$Q$3:$Q$5001,BD!$A$3:$A$5001,V$3,BD!$B$3:$B$5001,$A$60)))</f>
        <v/>
      </c>
      <c r="W73" s="232" t="str">
        <f>IF(W$3="","",IF(COUNTIFS(BD!$A$3:$A$5001,W$3,BD!$B$3:$B$5001,$A$60,BD!$Q$3:$Q$5001,"&lt;&gt;")=0,"",SUMIFS(BD!$Q$3:$Q$5001,BD!$A$3:$A$5001,W$3,BD!$B$3:$B$5001,$A$60)))</f>
        <v/>
      </c>
      <c r="X73" s="232" t="str">
        <f>IF(X$3="","",IF(COUNTIFS(BD!$A$3:$A$5001,X$3,BD!$B$3:$B$5001,$A$60,BD!$Q$3:$Q$5001,"&lt;&gt;")=0,"",SUMIFS(BD!$Q$3:$Q$5001,BD!$A$3:$A$5001,X$3,BD!$B$3:$B$5001,$A$60)))</f>
        <v/>
      </c>
      <c r="Y73" s="232" t="str">
        <f>IF(Y$3="","",IF(COUNTIFS(BD!$A$3:$A$5001,Y$3,BD!$B$3:$B$5001,$A$60,BD!$Q$3:$Q$5001,"&lt;&gt;")=0,"",SUMIFS(BD!$Q$3:$Q$5001,BD!$A$3:$A$5001,Y$3,BD!$B$3:$B$5001,$A$60)))</f>
        <v/>
      </c>
      <c r="Z73" s="232" t="str">
        <f>IF(Z$3="","",IF(COUNTIFS(BD!$A$3:$A$5001,Z$3,BD!$B$3:$B$5001,$A$60,BD!$Q$3:$Q$5001,"&lt;&gt;")=0,"",SUMIFS(BD!$Q$3:$Q$5001,BD!$A$3:$A$5001,Z$3,BD!$B$3:$B$5001,$A$60)))</f>
        <v/>
      </c>
      <c r="AA73" s="232" t="str">
        <f>IF(AA$3="","",IF(COUNTIFS(BD!$A$3:$A$5001,AA$3,BD!$B$3:$B$5001,$A$60,BD!$Q$3:$Q$5001,"&lt;&gt;")=0,"",SUMIFS(BD!$Q$3:$Q$5001,BD!$A$3:$A$5001,AA$3,BD!$B$3:$B$5001,$A$60)))</f>
        <v/>
      </c>
      <c r="AB73" s="232" t="str">
        <f>IF(AB$3="","",IF(COUNTIFS(BD!$A$3:$A$5001,AB$3,BD!$B$3:$B$5001,$A$60,BD!$Q$3:$Q$5001,"&lt;&gt;")=0,"",SUMIFS(BD!$Q$3:$Q$5001,BD!$A$3:$A$5001,AB$3,BD!$B$3:$B$5001,$A$60)))</f>
        <v/>
      </c>
      <c r="AC73" s="232" t="str">
        <f>IF(AC$3="","",IF(COUNTIFS(BD!$A$3:$A$5001,AC$3,BD!$B$3:$B$5001,$A$60,BD!$Q$3:$Q$5001,"&lt;&gt;")=0,"",SUMIFS(BD!$Q$3:$Q$5001,BD!$A$3:$A$5001,AC$3,BD!$B$3:$B$5001,$A$60)))</f>
        <v/>
      </c>
      <c r="AD73" s="232" t="str">
        <f>IF(AD$3="","",IF(COUNTIFS(BD!$A$3:$A$5001,AD$3,BD!$B$3:$B$5001,$A$60,BD!$Q$3:$Q$5001,"&lt;&gt;")=0,"",SUMIFS(BD!$Q$3:$Q$5001,BD!$A$3:$A$5001,AD$3,BD!$B$3:$B$5001,$A$60)))</f>
        <v/>
      </c>
      <c r="AE73" s="232" t="str">
        <f>IF(AE$3="","",IF(COUNTIFS(BD!$A$3:$A$5001,AE$3,BD!$B$3:$B$5001,$A$60,BD!$Q$3:$Q$5001,"&lt;&gt;")=0,"",SUMIFS(BD!$Q$3:$Q$5001,BD!$A$3:$A$5001,AE$3,BD!$B$3:$B$5001,$A$60)))</f>
        <v/>
      </c>
      <c r="AF73" s="232" t="str">
        <f>IF(AF$3="","",IF(COUNTIFS(BD!$A$3:$A$5001,AF$3,BD!$B$3:$B$5001,$A$60,BD!$Q$3:$Q$5001,"&lt;&gt;")=0,"",SUMIFS(BD!$Q$3:$Q$5001,BD!$A$3:$A$5001,AF$3,BD!$B$3:$B$5001,$A$60)))</f>
        <v/>
      </c>
      <c r="AG73" s="232" t="str">
        <f>IF(AG$3="","",IF(COUNTIFS(BD!$A$3:$A$5001,AG$3,BD!$B$3:$B$5001,$A$60,BD!$Q$3:$Q$5001,"&lt;&gt;")=0,"",SUMIFS(BD!$Q$3:$Q$5001,BD!$A$3:$A$5001,AG$3,BD!$B$3:$B$5001,$A$60)))</f>
        <v/>
      </c>
      <c r="AH73" s="232" t="str">
        <f>IF(AH$3="","",IF(COUNTIFS(BD!$A$3:$A$5001,AH$3,BD!$B$3:$B$5001,$A$60,BD!$Q$3:$Q$5001,"&lt;&gt;")=0,"",SUMIFS(BD!$Q$3:$Q$5001,BD!$A$3:$A$5001,AH$3,BD!$B$3:$B$5001,$A$60)))</f>
        <v/>
      </c>
      <c r="AI73" s="232" t="str">
        <f>IF(AI$3="","",IF(COUNTIFS(BD!$A$3:$A$5001,AI$3,BD!$B$3:$B$5001,$A$60,BD!$Q$3:$Q$5001,"&lt;&gt;")=0,"",SUMIFS(BD!$Q$3:$Q$5001,BD!$A$3:$A$5001,AI$3,BD!$B$3:$B$5001,$A$60)))</f>
        <v/>
      </c>
      <c r="AJ73" s="233" t="str">
        <f>IF(AJ$3="","",IF(COUNTIFS(BD!$A$3:$A$5001,AJ$3,BD!$B$3:$B$5001,$A$60,BD!$Q$3:$Q$5001,"&lt;&gt;")=0,"",SUMIFS(BD!$Q$3:$Q$5001,BD!$A$3:$A$5001,AJ$3,BD!$B$3:$B$5001,$A$60)))</f>
        <v/>
      </c>
      <c r="AK73" s="234" t="str">
        <f>IF(COUNT(F73:AJ73)=0,"",SUM(F73:AJ73))</f>
        <v/>
      </c>
    </row>
    <row r="74" ht="15.75" customHeight="1">
      <c r="A74" s="254"/>
      <c r="B74" s="251"/>
      <c r="C74" s="228" t="inlineStr">
        <is>
          <t xml:space="preserve">Desligamento</t>
        </is>
      </c>
      <c r="D74" s="229" t="str">
        <f>IFERROR(1/(1/INDEX(BD!$Y$39:$AS$39,MATCH($A$60,BD!$Y$22:$AS$22,0))),"")</f>
        <v/>
      </c>
      <c r="E74" s="230"/>
      <c r="F74" s="231" t="str">
        <f>IF(F$3="","",IF(COUNTIFS(BD!$A$3:$A$5001,F$3,BD!$B$3:$B$5001,$A$60,BD!$R$3:$R$5001,"&lt;&gt;")=0,"",SUMIFS(BD!$R$3:$R$5001,BD!$A$3:$A$5001,F$3,BD!$B$3:$B$5001,$A$60)))</f>
        <v/>
      </c>
      <c r="G74" s="232" t="str">
        <f>IF(G$3="","",IF(COUNTIFS(BD!$A$3:$A$5001,G$3,BD!$B$3:$B$5001,$A$60,BD!$R$3:$R$5001,"&lt;&gt;")=0,"",SUMIFS(BD!$R$3:$R$5001,BD!$A$3:$A$5001,G$3,BD!$B$3:$B$5001,$A$60)))</f>
        <v/>
      </c>
      <c r="H74" s="232" t="str">
        <f>IF(H$3="","",IF(COUNTIFS(BD!$A$3:$A$5001,H$3,BD!$B$3:$B$5001,$A$60,BD!$R$3:$R$5001,"&lt;&gt;")=0,"",SUMIFS(BD!$R$3:$R$5001,BD!$A$3:$A$5001,H$3,BD!$B$3:$B$5001,$A$60)))</f>
        <v/>
      </c>
      <c r="I74" s="232" t="str">
        <f>IF(I$3="","",IF(COUNTIFS(BD!$A$3:$A$5001,I$3,BD!$B$3:$B$5001,$A$60,BD!$R$3:$R$5001,"&lt;&gt;")=0,"",SUMIFS(BD!$R$3:$R$5001,BD!$A$3:$A$5001,I$3,BD!$B$3:$B$5001,$A$60)))</f>
        <v/>
      </c>
      <c r="J74" s="232" t="str">
        <f>IF(J$3="","",IF(COUNTIFS(BD!$A$3:$A$5001,J$3,BD!$B$3:$B$5001,$A$60,BD!$R$3:$R$5001,"&lt;&gt;")=0,"",SUMIFS(BD!$R$3:$R$5001,BD!$A$3:$A$5001,J$3,BD!$B$3:$B$5001,$A$60)))</f>
        <v/>
      </c>
      <c r="K74" s="232" t="str">
        <f>IF(K$3="","",IF(COUNTIFS(BD!$A$3:$A$5001,K$3,BD!$B$3:$B$5001,$A$60,BD!$R$3:$R$5001,"&lt;&gt;")=0,"",SUMIFS(BD!$R$3:$R$5001,BD!$A$3:$A$5001,K$3,BD!$B$3:$B$5001,$A$60)))</f>
        <v/>
      </c>
      <c r="L74" s="232" t="str">
        <f>IF(L$3="","",IF(COUNTIFS(BD!$A$3:$A$5001,L$3,BD!$B$3:$B$5001,$A$60,BD!$R$3:$R$5001,"&lt;&gt;")=0,"",SUMIFS(BD!$R$3:$R$5001,BD!$A$3:$A$5001,L$3,BD!$B$3:$B$5001,$A$60)))</f>
        <v/>
      </c>
      <c r="M74" s="232" t="str">
        <f>IF(M$3="","",IF(COUNTIFS(BD!$A$3:$A$5001,M$3,BD!$B$3:$B$5001,$A$60,BD!$R$3:$R$5001,"&lt;&gt;")=0,"",SUMIFS(BD!$R$3:$R$5001,BD!$A$3:$A$5001,M$3,BD!$B$3:$B$5001,$A$60)))</f>
        <v/>
      </c>
      <c r="N74" s="232" t="str">
        <f>IF(N$3="","",IF(COUNTIFS(BD!$A$3:$A$5001,N$3,BD!$B$3:$B$5001,$A$60,BD!$R$3:$R$5001,"&lt;&gt;")=0,"",SUMIFS(BD!$R$3:$R$5001,BD!$A$3:$A$5001,N$3,BD!$B$3:$B$5001,$A$60)))</f>
        <v/>
      </c>
      <c r="O74" s="232" t="str">
        <f>IF(O$3="","",IF(COUNTIFS(BD!$A$3:$A$5001,O$3,BD!$B$3:$B$5001,$A$60,BD!$R$3:$R$5001,"&lt;&gt;")=0,"",SUMIFS(BD!$R$3:$R$5001,BD!$A$3:$A$5001,O$3,BD!$B$3:$B$5001,$A$60)))</f>
        <v/>
      </c>
      <c r="P74" s="232" t="str">
        <f>IF(P$3="","",IF(COUNTIFS(BD!$A$3:$A$5001,P$3,BD!$B$3:$B$5001,$A$60,BD!$R$3:$R$5001,"&lt;&gt;")=0,"",SUMIFS(BD!$R$3:$R$5001,BD!$A$3:$A$5001,P$3,BD!$B$3:$B$5001,$A$60)))</f>
        <v/>
      </c>
      <c r="Q74" s="232" t="str">
        <f>IF(Q$3="","",IF(COUNTIFS(BD!$A$3:$A$5001,Q$3,BD!$B$3:$B$5001,$A$60,BD!$R$3:$R$5001,"&lt;&gt;")=0,"",SUMIFS(BD!$R$3:$R$5001,BD!$A$3:$A$5001,Q$3,BD!$B$3:$B$5001,$A$60)))</f>
        <v/>
      </c>
      <c r="R74" s="232" t="str">
        <f>IF(R$3="","",IF(COUNTIFS(BD!$A$3:$A$5001,R$3,BD!$B$3:$B$5001,$A$60,BD!$R$3:$R$5001,"&lt;&gt;")=0,"",SUMIFS(BD!$R$3:$R$5001,BD!$A$3:$A$5001,R$3,BD!$B$3:$B$5001,$A$60)))</f>
        <v/>
      </c>
      <c r="S74" s="232" t="str">
        <f>IF(S$3="","",IF(COUNTIFS(BD!$A$3:$A$5001,S$3,BD!$B$3:$B$5001,$A$60,BD!$R$3:$R$5001,"&lt;&gt;")=0,"",SUMIFS(BD!$R$3:$R$5001,BD!$A$3:$A$5001,S$3,BD!$B$3:$B$5001,$A$60)))</f>
        <v/>
      </c>
      <c r="T74" s="232" t="str">
        <f>IF(T$3="","",IF(COUNTIFS(BD!$A$3:$A$5001,T$3,BD!$B$3:$B$5001,$A$60,BD!$R$3:$R$5001,"&lt;&gt;")=0,"",SUMIFS(BD!$R$3:$R$5001,BD!$A$3:$A$5001,T$3,BD!$B$3:$B$5001,$A$60)))</f>
        <v/>
      </c>
      <c r="U74" s="232" t="str">
        <f>IF(U$3="","",IF(COUNTIFS(BD!$A$3:$A$5001,U$3,BD!$B$3:$B$5001,$A$60,BD!$R$3:$R$5001,"&lt;&gt;")=0,"",SUMIFS(BD!$R$3:$R$5001,BD!$A$3:$A$5001,U$3,BD!$B$3:$B$5001,$A$60)))</f>
        <v/>
      </c>
      <c r="V74" s="232" t="str">
        <f>IF(V$3="","",IF(COUNTIFS(BD!$A$3:$A$5001,V$3,BD!$B$3:$B$5001,$A$60,BD!$R$3:$R$5001,"&lt;&gt;")=0,"",SUMIFS(BD!$R$3:$R$5001,BD!$A$3:$A$5001,V$3,BD!$B$3:$B$5001,$A$60)))</f>
        <v/>
      </c>
      <c r="W74" s="232" t="str">
        <f>IF(W$3="","",IF(COUNTIFS(BD!$A$3:$A$5001,W$3,BD!$B$3:$B$5001,$A$60,BD!$R$3:$R$5001,"&lt;&gt;")=0,"",SUMIFS(BD!$R$3:$R$5001,BD!$A$3:$A$5001,W$3,BD!$B$3:$B$5001,$A$60)))</f>
        <v/>
      </c>
      <c r="X74" s="232" t="str">
        <f>IF(X$3="","",IF(COUNTIFS(BD!$A$3:$A$5001,X$3,BD!$B$3:$B$5001,$A$60,BD!$R$3:$R$5001,"&lt;&gt;")=0,"",SUMIFS(BD!$R$3:$R$5001,BD!$A$3:$A$5001,X$3,BD!$B$3:$B$5001,$A$60)))</f>
        <v/>
      </c>
      <c r="Y74" s="232" t="str">
        <f>IF(Y$3="","",IF(COUNTIFS(BD!$A$3:$A$5001,Y$3,BD!$B$3:$B$5001,$A$60,BD!$R$3:$R$5001,"&lt;&gt;")=0,"",SUMIFS(BD!$R$3:$R$5001,BD!$A$3:$A$5001,Y$3,BD!$B$3:$B$5001,$A$60)))</f>
        <v/>
      </c>
      <c r="Z74" s="232" t="str">
        <f>IF(Z$3="","",IF(COUNTIFS(BD!$A$3:$A$5001,Z$3,BD!$B$3:$B$5001,$A$60,BD!$R$3:$R$5001,"&lt;&gt;")=0,"",SUMIFS(BD!$R$3:$R$5001,BD!$A$3:$A$5001,Z$3,BD!$B$3:$B$5001,$A$60)))</f>
        <v/>
      </c>
      <c r="AA74" s="232" t="str">
        <f>IF(AA$3="","",IF(COUNTIFS(BD!$A$3:$A$5001,AA$3,BD!$B$3:$B$5001,$A$60,BD!$R$3:$R$5001,"&lt;&gt;")=0,"",SUMIFS(BD!$R$3:$R$5001,BD!$A$3:$A$5001,AA$3,BD!$B$3:$B$5001,$A$60)))</f>
        <v/>
      </c>
      <c r="AB74" s="232" t="str">
        <f>IF(AB$3="","",IF(COUNTIFS(BD!$A$3:$A$5001,AB$3,BD!$B$3:$B$5001,$A$60,BD!$R$3:$R$5001,"&lt;&gt;")=0,"",SUMIFS(BD!$R$3:$R$5001,BD!$A$3:$A$5001,AB$3,BD!$B$3:$B$5001,$A$60)))</f>
        <v/>
      </c>
      <c r="AC74" s="232" t="str">
        <f>IF(AC$3="","",IF(COUNTIFS(BD!$A$3:$A$5001,AC$3,BD!$B$3:$B$5001,$A$60,BD!$R$3:$R$5001,"&lt;&gt;")=0,"",SUMIFS(BD!$R$3:$R$5001,BD!$A$3:$A$5001,AC$3,BD!$B$3:$B$5001,$A$60)))</f>
        <v/>
      </c>
      <c r="AD74" s="232" t="str">
        <f>IF(AD$3="","",IF(COUNTIFS(BD!$A$3:$A$5001,AD$3,BD!$B$3:$B$5001,$A$60,BD!$R$3:$R$5001,"&lt;&gt;")=0,"",SUMIFS(BD!$R$3:$R$5001,BD!$A$3:$A$5001,AD$3,BD!$B$3:$B$5001,$A$60)))</f>
        <v/>
      </c>
      <c r="AE74" s="232" t="str">
        <f>IF(AE$3="","",IF(COUNTIFS(BD!$A$3:$A$5001,AE$3,BD!$B$3:$B$5001,$A$60,BD!$R$3:$R$5001,"&lt;&gt;")=0,"",SUMIFS(BD!$R$3:$R$5001,BD!$A$3:$A$5001,AE$3,BD!$B$3:$B$5001,$A$60)))</f>
        <v/>
      </c>
      <c r="AF74" s="232" t="str">
        <f>IF(AF$3="","",IF(COUNTIFS(BD!$A$3:$A$5001,AF$3,BD!$B$3:$B$5001,$A$60,BD!$R$3:$R$5001,"&lt;&gt;")=0,"",SUMIFS(BD!$R$3:$R$5001,BD!$A$3:$A$5001,AF$3,BD!$B$3:$B$5001,$A$60)))</f>
        <v/>
      </c>
      <c r="AG74" s="232" t="str">
        <f>IF(AG$3="","",IF(COUNTIFS(BD!$A$3:$A$5001,AG$3,BD!$B$3:$B$5001,$A$60,BD!$R$3:$R$5001,"&lt;&gt;")=0,"",SUMIFS(BD!$R$3:$R$5001,BD!$A$3:$A$5001,AG$3,BD!$B$3:$B$5001,$A$60)))</f>
        <v/>
      </c>
      <c r="AH74" s="232" t="str">
        <f>IF(AH$3="","",IF(COUNTIFS(BD!$A$3:$A$5001,AH$3,BD!$B$3:$B$5001,$A$60,BD!$R$3:$R$5001,"&lt;&gt;")=0,"",SUMIFS(BD!$R$3:$R$5001,BD!$A$3:$A$5001,AH$3,BD!$B$3:$B$5001,$A$60)))</f>
        <v/>
      </c>
      <c r="AI74" s="232" t="str">
        <f>IF(AI$3="","",IF(COUNTIFS(BD!$A$3:$A$5001,AI$3,BD!$B$3:$B$5001,$A$60,BD!$R$3:$R$5001,"&lt;&gt;")=0,"",SUMIFS(BD!$R$3:$R$5001,BD!$A$3:$A$5001,AI$3,BD!$B$3:$B$5001,$A$60)))</f>
        <v/>
      </c>
      <c r="AJ74" s="233" t="str">
        <f>IF(AJ$3="","",IF(COUNTIFS(BD!$A$3:$A$5001,AJ$3,BD!$B$3:$B$5001,$A$60,BD!$R$3:$R$5001,"&lt;&gt;")=0,"",SUMIFS(BD!$R$3:$R$5001,BD!$A$3:$A$5001,AJ$3,BD!$B$3:$B$5001,$A$60)))</f>
        <v/>
      </c>
      <c r="AK74" s="234" t="str">
        <f>IF(COUNT(F74:AJ74)=0,"",SUM(F74:AJ74))</f>
        <v/>
      </c>
    </row>
    <row r="75" ht="15.75" customHeight="1">
      <c r="A75" s="254"/>
      <c r="B75" s="251"/>
      <c r="C75" s="228" t="inlineStr">
        <is>
          <t xml:space="preserve">Desvios Comportamentais</t>
        </is>
      </c>
      <c r="D75" s="229" t="str">
        <f>IFERROR(1/(1/INDEX(BD!$Y$40:$AS$40,MATCH($A$60,BD!$Y$22:$AS$22,0))),"")</f>
        <v/>
      </c>
      <c r="E75" s="230"/>
      <c r="F75" s="231" t="str">
        <f>IF(F$3="","",IF(COUNTIFS(BD!$A$3:$A$5001,F$3,BD!$B$3:$B$5001,$A$60,BD!$S$3:$S$5001,"&lt;&gt;")=0,"",SUMIFS(BD!$S$3:$S$5001,BD!$A$3:$A$5001,F$3,BD!$B$3:$B$5001,$A$60)))</f>
        <v/>
      </c>
      <c r="G75" s="232" t="str">
        <f>IF(G$3="","",IF(COUNTIFS(BD!$A$3:$A$5001,G$3,BD!$B$3:$B$5001,$A$60,BD!$S$3:$S$5001,"&lt;&gt;")=0,"",SUMIFS(BD!$S$3:$S$5001,BD!$A$3:$A$5001,G$3,BD!$B$3:$B$5001,$A$60)))</f>
        <v/>
      </c>
      <c r="H75" s="232" t="str">
        <f>IF(H$3="","",IF(COUNTIFS(BD!$A$3:$A$5001,H$3,BD!$B$3:$B$5001,$A$60,BD!$S$3:$S$5001,"&lt;&gt;")=0,"",SUMIFS(BD!$S$3:$S$5001,BD!$A$3:$A$5001,H$3,BD!$B$3:$B$5001,$A$60)))</f>
        <v/>
      </c>
      <c r="I75" s="232" t="str">
        <f>IF(I$3="","",IF(COUNTIFS(BD!$A$3:$A$5001,I$3,BD!$B$3:$B$5001,$A$60,BD!$S$3:$S$5001,"&lt;&gt;")=0,"",SUMIFS(BD!$S$3:$S$5001,BD!$A$3:$A$5001,I$3,BD!$B$3:$B$5001,$A$60)))</f>
        <v/>
      </c>
      <c r="J75" s="232" t="str">
        <f>IF(J$3="","",IF(COUNTIFS(BD!$A$3:$A$5001,J$3,BD!$B$3:$B$5001,$A$60,BD!$S$3:$S$5001,"&lt;&gt;")=0,"",SUMIFS(BD!$S$3:$S$5001,BD!$A$3:$A$5001,J$3,BD!$B$3:$B$5001,$A$60)))</f>
        <v/>
      </c>
      <c r="K75" s="232" t="str">
        <f>IF(K$3="","",IF(COUNTIFS(BD!$A$3:$A$5001,K$3,BD!$B$3:$B$5001,$A$60,BD!$S$3:$S$5001,"&lt;&gt;")=0,"",SUMIFS(BD!$S$3:$S$5001,BD!$A$3:$A$5001,K$3,BD!$B$3:$B$5001,$A$60)))</f>
        <v/>
      </c>
      <c r="L75" s="232" t="str">
        <f>IF(L$3="","",IF(COUNTIFS(BD!$A$3:$A$5001,L$3,BD!$B$3:$B$5001,$A$60,BD!$S$3:$S$5001,"&lt;&gt;")=0,"",SUMIFS(BD!$S$3:$S$5001,BD!$A$3:$A$5001,L$3,BD!$B$3:$B$5001,$A$60)))</f>
        <v/>
      </c>
      <c r="M75" s="232" t="str">
        <f>IF(M$3="","",IF(COUNTIFS(BD!$A$3:$A$5001,M$3,BD!$B$3:$B$5001,$A$60,BD!$S$3:$S$5001,"&lt;&gt;")=0,"",SUMIFS(BD!$S$3:$S$5001,BD!$A$3:$A$5001,M$3,BD!$B$3:$B$5001,$A$60)))</f>
        <v/>
      </c>
      <c r="N75" s="232" t="str">
        <f>IF(N$3="","",IF(COUNTIFS(BD!$A$3:$A$5001,N$3,BD!$B$3:$B$5001,$A$60,BD!$S$3:$S$5001,"&lt;&gt;")=0,"",SUMIFS(BD!$S$3:$S$5001,BD!$A$3:$A$5001,N$3,BD!$B$3:$B$5001,$A$60)))</f>
        <v/>
      </c>
      <c r="O75" s="232" t="str">
        <f>IF(O$3="","",IF(COUNTIFS(BD!$A$3:$A$5001,O$3,BD!$B$3:$B$5001,$A$60,BD!$S$3:$S$5001,"&lt;&gt;")=0,"",SUMIFS(BD!$S$3:$S$5001,BD!$A$3:$A$5001,O$3,BD!$B$3:$B$5001,$A$60)))</f>
        <v/>
      </c>
      <c r="P75" s="232" t="str">
        <f>IF(P$3="","",IF(COUNTIFS(BD!$A$3:$A$5001,P$3,BD!$B$3:$B$5001,$A$60,BD!$S$3:$S$5001,"&lt;&gt;")=0,"",SUMIFS(BD!$S$3:$S$5001,BD!$A$3:$A$5001,P$3,BD!$B$3:$B$5001,$A$60)))</f>
        <v/>
      </c>
      <c r="Q75" s="232" t="str">
        <f>IF(Q$3="","",IF(COUNTIFS(BD!$A$3:$A$5001,Q$3,BD!$B$3:$B$5001,$A$60,BD!$S$3:$S$5001,"&lt;&gt;")=0,"",SUMIFS(BD!$S$3:$S$5001,BD!$A$3:$A$5001,Q$3,BD!$B$3:$B$5001,$A$60)))</f>
        <v/>
      </c>
      <c r="R75" s="232" t="str">
        <f>IF(R$3="","",IF(COUNTIFS(BD!$A$3:$A$5001,R$3,BD!$B$3:$B$5001,$A$60,BD!$S$3:$S$5001,"&lt;&gt;")=0,"",SUMIFS(BD!$S$3:$S$5001,BD!$A$3:$A$5001,R$3,BD!$B$3:$B$5001,$A$60)))</f>
        <v/>
      </c>
      <c r="S75" s="232" t="str">
        <f>IF(S$3="","",IF(COUNTIFS(BD!$A$3:$A$5001,S$3,BD!$B$3:$B$5001,$A$60,BD!$S$3:$S$5001,"&lt;&gt;")=0,"",SUMIFS(BD!$S$3:$S$5001,BD!$A$3:$A$5001,S$3,BD!$B$3:$B$5001,$A$60)))</f>
        <v/>
      </c>
      <c r="T75" s="232" t="str">
        <f>IF(T$3="","",IF(COUNTIFS(BD!$A$3:$A$5001,T$3,BD!$B$3:$B$5001,$A$60,BD!$S$3:$S$5001,"&lt;&gt;")=0,"",SUMIFS(BD!$S$3:$S$5001,BD!$A$3:$A$5001,T$3,BD!$B$3:$B$5001,$A$60)))</f>
        <v/>
      </c>
      <c r="U75" s="232" t="str">
        <f>IF(U$3="","",IF(COUNTIFS(BD!$A$3:$A$5001,U$3,BD!$B$3:$B$5001,$A$60,BD!$S$3:$S$5001,"&lt;&gt;")=0,"",SUMIFS(BD!$S$3:$S$5001,BD!$A$3:$A$5001,U$3,BD!$B$3:$B$5001,$A$60)))</f>
        <v/>
      </c>
      <c r="V75" s="232" t="str">
        <f>IF(V$3="","",IF(COUNTIFS(BD!$A$3:$A$5001,V$3,BD!$B$3:$B$5001,$A$60,BD!$S$3:$S$5001,"&lt;&gt;")=0,"",SUMIFS(BD!$S$3:$S$5001,BD!$A$3:$A$5001,V$3,BD!$B$3:$B$5001,$A$60)))</f>
        <v/>
      </c>
      <c r="W75" s="232" t="str">
        <f>IF(W$3="","",IF(COUNTIFS(BD!$A$3:$A$5001,W$3,BD!$B$3:$B$5001,$A$60,BD!$S$3:$S$5001,"&lt;&gt;")=0,"",SUMIFS(BD!$S$3:$S$5001,BD!$A$3:$A$5001,W$3,BD!$B$3:$B$5001,$A$60)))</f>
        <v/>
      </c>
      <c r="X75" s="232" t="str">
        <f>IF(X$3="","",IF(COUNTIFS(BD!$A$3:$A$5001,X$3,BD!$B$3:$B$5001,$A$60,BD!$S$3:$S$5001,"&lt;&gt;")=0,"",SUMIFS(BD!$S$3:$S$5001,BD!$A$3:$A$5001,X$3,BD!$B$3:$B$5001,$A$60)))</f>
        <v/>
      </c>
      <c r="Y75" s="232" t="str">
        <f>IF(Y$3="","",IF(COUNTIFS(BD!$A$3:$A$5001,Y$3,BD!$B$3:$B$5001,$A$60,BD!$S$3:$S$5001,"&lt;&gt;")=0,"",SUMIFS(BD!$S$3:$S$5001,BD!$A$3:$A$5001,Y$3,BD!$B$3:$B$5001,$A$60)))</f>
        <v/>
      </c>
      <c r="Z75" s="232" t="str">
        <f>IF(Z$3="","",IF(COUNTIFS(BD!$A$3:$A$5001,Z$3,BD!$B$3:$B$5001,$A$60,BD!$S$3:$S$5001,"&lt;&gt;")=0,"",SUMIFS(BD!$S$3:$S$5001,BD!$A$3:$A$5001,Z$3,BD!$B$3:$B$5001,$A$60)))</f>
        <v/>
      </c>
      <c r="AA75" s="232" t="str">
        <f>IF(AA$3="","",IF(COUNTIFS(BD!$A$3:$A$5001,AA$3,BD!$B$3:$B$5001,$A$60,BD!$S$3:$S$5001,"&lt;&gt;")=0,"",SUMIFS(BD!$S$3:$S$5001,BD!$A$3:$A$5001,AA$3,BD!$B$3:$B$5001,$A$60)))</f>
        <v/>
      </c>
      <c r="AB75" s="232" t="str">
        <f>IF(AB$3="","",IF(COUNTIFS(BD!$A$3:$A$5001,AB$3,BD!$B$3:$B$5001,$A$60,BD!$S$3:$S$5001,"&lt;&gt;")=0,"",SUMIFS(BD!$S$3:$S$5001,BD!$A$3:$A$5001,AB$3,BD!$B$3:$B$5001,$A$60)))</f>
        <v/>
      </c>
      <c r="AC75" s="232" t="str">
        <f>IF(AC$3="","",IF(COUNTIFS(BD!$A$3:$A$5001,AC$3,BD!$B$3:$B$5001,$A$60,BD!$S$3:$S$5001,"&lt;&gt;")=0,"",SUMIFS(BD!$S$3:$S$5001,BD!$A$3:$A$5001,AC$3,BD!$B$3:$B$5001,$A$60)))</f>
        <v/>
      </c>
      <c r="AD75" s="232" t="str">
        <f>IF(AD$3="","",IF(COUNTIFS(BD!$A$3:$A$5001,AD$3,BD!$B$3:$B$5001,$A$60,BD!$S$3:$S$5001,"&lt;&gt;")=0,"",SUMIFS(BD!$S$3:$S$5001,BD!$A$3:$A$5001,AD$3,BD!$B$3:$B$5001,$A$60)))</f>
        <v/>
      </c>
      <c r="AE75" s="232" t="str">
        <f>IF(AE$3="","",IF(COUNTIFS(BD!$A$3:$A$5001,AE$3,BD!$B$3:$B$5001,$A$60,BD!$S$3:$S$5001,"&lt;&gt;")=0,"",SUMIFS(BD!$S$3:$S$5001,BD!$A$3:$A$5001,AE$3,BD!$B$3:$B$5001,$A$60)))</f>
        <v/>
      </c>
      <c r="AF75" s="232" t="str">
        <f>IF(AF$3="","",IF(COUNTIFS(BD!$A$3:$A$5001,AF$3,BD!$B$3:$B$5001,$A$60,BD!$S$3:$S$5001,"&lt;&gt;")=0,"",SUMIFS(BD!$S$3:$S$5001,BD!$A$3:$A$5001,AF$3,BD!$B$3:$B$5001,$A$60)))</f>
        <v/>
      </c>
      <c r="AG75" s="232" t="str">
        <f>IF(AG$3="","",IF(COUNTIFS(BD!$A$3:$A$5001,AG$3,BD!$B$3:$B$5001,$A$60,BD!$S$3:$S$5001,"&lt;&gt;")=0,"",SUMIFS(BD!$S$3:$S$5001,BD!$A$3:$A$5001,AG$3,BD!$B$3:$B$5001,$A$60)))</f>
        <v/>
      </c>
      <c r="AH75" s="232" t="str">
        <f>IF(AH$3="","",IF(COUNTIFS(BD!$A$3:$A$5001,AH$3,BD!$B$3:$B$5001,$A$60,BD!$S$3:$S$5001,"&lt;&gt;")=0,"",SUMIFS(BD!$S$3:$S$5001,BD!$A$3:$A$5001,AH$3,BD!$B$3:$B$5001,$A$60)))</f>
        <v/>
      </c>
      <c r="AI75" s="232" t="str">
        <f>IF(AI$3="","",IF(COUNTIFS(BD!$A$3:$A$5001,AI$3,BD!$B$3:$B$5001,$A$60,BD!$S$3:$S$5001,"&lt;&gt;")=0,"",SUMIFS(BD!$S$3:$S$5001,BD!$A$3:$A$5001,AI$3,BD!$B$3:$B$5001,$A$60)))</f>
        <v/>
      </c>
      <c r="AJ75" s="233" t="str">
        <f>IF(AJ$3="","",IF(COUNTIFS(BD!$A$3:$A$5001,AJ$3,BD!$B$3:$B$5001,$A$60,BD!$S$3:$S$5001,"&lt;&gt;")=0,"",SUMIFS(BD!$S$3:$S$5001,BD!$A$3:$A$5001,AJ$3,BD!$B$3:$B$5001,$A$60)))</f>
        <v/>
      </c>
      <c r="AK75" s="234" t="str">
        <f>IF(COUNT(F75:AJ75)=0,"",SUM(F75:AJ75))</f>
        <v/>
      </c>
    </row>
    <row r="76" ht="15.75" customHeight="1">
      <c r="A76" s="254"/>
      <c r="B76" s="251"/>
      <c r="C76" s="228" t="inlineStr">
        <is>
          <t xml:space="preserve">Acidentes CAF</t>
        </is>
      </c>
      <c r="D76" s="229" t="str">
        <f>IFERROR(1/(1/INDEX(BD!$Y$41:$AS$41,MATCH($A$60,BD!$Y$22:$AS$22,0))),"")</f>
        <v/>
      </c>
      <c r="E76" s="230"/>
      <c r="F76" s="231" t="str">
        <f>IF(F$3="","",IF(COUNTIFS(BD!$A$3:$A$5001,F$3,BD!$B$3:$B$5001,$A$60,BD!$T$3:$T$5001,"&lt;&gt;")=0,"",SUMIFS(BD!$T$3:$T$5001,BD!$A$3:$A$5001,F$3,BD!$B$3:$B$5001,$A$60)))</f>
        <v/>
      </c>
      <c r="G76" s="232" t="str">
        <f>IF(G$3="","",IF(COUNTIFS(BD!$A$3:$A$5001,G$3,BD!$B$3:$B$5001,$A$60,BD!$T$3:$T$5001,"&lt;&gt;")=0,"",SUMIFS(BD!$T$3:$T$5001,BD!$A$3:$A$5001,G$3,BD!$B$3:$B$5001,$A$60)))</f>
        <v/>
      </c>
      <c r="H76" s="232" t="str">
        <f>IF(H$3="","",IF(COUNTIFS(BD!$A$3:$A$5001,H$3,BD!$B$3:$B$5001,$A$60,BD!$T$3:$T$5001,"&lt;&gt;")=0,"",SUMIFS(BD!$T$3:$T$5001,BD!$A$3:$A$5001,H$3,BD!$B$3:$B$5001,$A$60)))</f>
        <v/>
      </c>
      <c r="I76" s="232" t="str">
        <f>IF(I$3="","",IF(COUNTIFS(BD!$A$3:$A$5001,I$3,BD!$B$3:$B$5001,$A$60,BD!$T$3:$T$5001,"&lt;&gt;")=0,"",SUMIFS(BD!$T$3:$T$5001,BD!$A$3:$A$5001,I$3,BD!$B$3:$B$5001,$A$60)))</f>
        <v/>
      </c>
      <c r="J76" s="232" t="str">
        <f>IF(J$3="","",IF(COUNTIFS(BD!$A$3:$A$5001,J$3,BD!$B$3:$B$5001,$A$60,BD!$T$3:$T$5001,"&lt;&gt;")=0,"",SUMIFS(BD!$T$3:$T$5001,BD!$A$3:$A$5001,J$3,BD!$B$3:$B$5001,$A$60)))</f>
        <v/>
      </c>
      <c r="K76" s="232" t="str">
        <f>IF(K$3="","",IF(COUNTIFS(BD!$A$3:$A$5001,K$3,BD!$B$3:$B$5001,$A$60,BD!$T$3:$T$5001,"&lt;&gt;")=0,"",SUMIFS(BD!$T$3:$T$5001,BD!$A$3:$A$5001,K$3,BD!$B$3:$B$5001,$A$60)))</f>
        <v/>
      </c>
      <c r="L76" s="232" t="str">
        <f>IF(L$3="","",IF(COUNTIFS(BD!$A$3:$A$5001,L$3,BD!$B$3:$B$5001,$A$60,BD!$T$3:$T$5001,"&lt;&gt;")=0,"",SUMIFS(BD!$T$3:$T$5001,BD!$A$3:$A$5001,L$3,BD!$B$3:$B$5001,$A$60)))</f>
        <v/>
      </c>
      <c r="M76" s="232" t="str">
        <f>IF(M$3="","",IF(COUNTIFS(BD!$A$3:$A$5001,M$3,BD!$B$3:$B$5001,$A$60,BD!$T$3:$T$5001,"&lt;&gt;")=0,"",SUMIFS(BD!$T$3:$T$5001,BD!$A$3:$A$5001,M$3,BD!$B$3:$B$5001,$A$60)))</f>
        <v/>
      </c>
      <c r="N76" s="232" t="str">
        <f>IF(N$3="","",IF(COUNTIFS(BD!$A$3:$A$5001,N$3,BD!$B$3:$B$5001,$A$60,BD!$T$3:$T$5001,"&lt;&gt;")=0,"",SUMIFS(BD!$T$3:$T$5001,BD!$A$3:$A$5001,N$3,BD!$B$3:$B$5001,$A$60)))</f>
        <v/>
      </c>
      <c r="O76" s="232" t="str">
        <f>IF(O$3="","",IF(COUNTIFS(BD!$A$3:$A$5001,O$3,BD!$B$3:$B$5001,$A$60,BD!$T$3:$T$5001,"&lt;&gt;")=0,"",SUMIFS(BD!$T$3:$T$5001,BD!$A$3:$A$5001,O$3,BD!$B$3:$B$5001,$A$60)))</f>
        <v/>
      </c>
      <c r="P76" s="232" t="str">
        <f>IF(P$3="","",IF(COUNTIFS(BD!$A$3:$A$5001,P$3,BD!$B$3:$B$5001,$A$60,BD!$T$3:$T$5001,"&lt;&gt;")=0,"",SUMIFS(BD!$T$3:$T$5001,BD!$A$3:$A$5001,P$3,BD!$B$3:$B$5001,$A$60)))</f>
        <v/>
      </c>
      <c r="Q76" s="232" t="str">
        <f>IF(Q$3="","",IF(COUNTIFS(BD!$A$3:$A$5001,Q$3,BD!$B$3:$B$5001,$A$60,BD!$T$3:$T$5001,"&lt;&gt;")=0,"",SUMIFS(BD!$T$3:$T$5001,BD!$A$3:$A$5001,Q$3,BD!$B$3:$B$5001,$A$60)))</f>
        <v/>
      </c>
      <c r="R76" s="232" t="str">
        <f>IF(R$3="","",IF(COUNTIFS(BD!$A$3:$A$5001,R$3,BD!$B$3:$B$5001,$A$60,BD!$T$3:$T$5001,"&lt;&gt;")=0,"",SUMIFS(BD!$T$3:$T$5001,BD!$A$3:$A$5001,R$3,BD!$B$3:$B$5001,$A$60)))</f>
        <v/>
      </c>
      <c r="S76" s="232" t="str">
        <f>IF(S$3="","",IF(COUNTIFS(BD!$A$3:$A$5001,S$3,BD!$B$3:$B$5001,$A$60,BD!$T$3:$T$5001,"&lt;&gt;")=0,"",SUMIFS(BD!$T$3:$T$5001,BD!$A$3:$A$5001,S$3,BD!$B$3:$B$5001,$A$60)))</f>
        <v/>
      </c>
      <c r="T76" s="232" t="str">
        <f>IF(T$3="","",IF(COUNTIFS(BD!$A$3:$A$5001,T$3,BD!$B$3:$B$5001,$A$60,BD!$T$3:$T$5001,"&lt;&gt;")=0,"",SUMIFS(BD!$T$3:$T$5001,BD!$A$3:$A$5001,T$3,BD!$B$3:$B$5001,$A$60)))</f>
        <v/>
      </c>
      <c r="U76" s="232" t="str">
        <f>IF(U$3="","",IF(COUNTIFS(BD!$A$3:$A$5001,U$3,BD!$B$3:$B$5001,$A$60,BD!$T$3:$T$5001,"&lt;&gt;")=0,"",SUMIFS(BD!$T$3:$T$5001,BD!$A$3:$A$5001,U$3,BD!$B$3:$B$5001,$A$60)))</f>
        <v/>
      </c>
      <c r="V76" s="232" t="str">
        <f>IF(V$3="","",IF(COUNTIFS(BD!$A$3:$A$5001,V$3,BD!$B$3:$B$5001,$A$60,BD!$T$3:$T$5001,"&lt;&gt;")=0,"",SUMIFS(BD!$T$3:$T$5001,BD!$A$3:$A$5001,V$3,BD!$B$3:$B$5001,$A$60)))</f>
        <v/>
      </c>
      <c r="W76" s="232" t="str">
        <f>IF(W$3="","",IF(COUNTIFS(BD!$A$3:$A$5001,W$3,BD!$B$3:$B$5001,$A$60,BD!$T$3:$T$5001,"&lt;&gt;")=0,"",SUMIFS(BD!$T$3:$T$5001,BD!$A$3:$A$5001,W$3,BD!$B$3:$B$5001,$A$60)))</f>
        <v/>
      </c>
      <c r="X76" s="232" t="str">
        <f>IF(X$3="","",IF(COUNTIFS(BD!$A$3:$A$5001,X$3,BD!$B$3:$B$5001,$A$60,BD!$T$3:$T$5001,"&lt;&gt;")=0,"",SUMIFS(BD!$T$3:$T$5001,BD!$A$3:$A$5001,X$3,BD!$B$3:$B$5001,$A$60)))</f>
        <v/>
      </c>
      <c r="Y76" s="232" t="str">
        <f>IF(Y$3="","",IF(COUNTIFS(BD!$A$3:$A$5001,Y$3,BD!$B$3:$B$5001,$A$60,BD!$T$3:$T$5001,"&lt;&gt;")=0,"",SUMIFS(BD!$T$3:$T$5001,BD!$A$3:$A$5001,Y$3,BD!$B$3:$B$5001,$A$60)))</f>
        <v/>
      </c>
      <c r="Z76" s="232" t="str">
        <f>IF(Z$3="","",IF(COUNTIFS(BD!$A$3:$A$5001,Z$3,BD!$B$3:$B$5001,$A$60,BD!$T$3:$T$5001,"&lt;&gt;")=0,"",SUMIFS(BD!$T$3:$T$5001,BD!$A$3:$A$5001,Z$3,BD!$B$3:$B$5001,$A$60)))</f>
        <v/>
      </c>
      <c r="AA76" s="232" t="str">
        <f>IF(AA$3="","",IF(COUNTIFS(BD!$A$3:$A$5001,AA$3,BD!$B$3:$B$5001,$A$60,BD!$T$3:$T$5001,"&lt;&gt;")=0,"",SUMIFS(BD!$T$3:$T$5001,BD!$A$3:$A$5001,AA$3,BD!$B$3:$B$5001,$A$60)))</f>
        <v/>
      </c>
      <c r="AB76" s="232" t="str">
        <f>IF(AB$3="","",IF(COUNTIFS(BD!$A$3:$A$5001,AB$3,BD!$B$3:$B$5001,$A$60,BD!$T$3:$T$5001,"&lt;&gt;")=0,"",SUMIFS(BD!$T$3:$T$5001,BD!$A$3:$A$5001,AB$3,BD!$B$3:$B$5001,$A$60)))</f>
        <v/>
      </c>
      <c r="AC76" s="232" t="str">
        <f>IF(AC$3="","",IF(COUNTIFS(BD!$A$3:$A$5001,AC$3,BD!$B$3:$B$5001,$A$60,BD!$T$3:$T$5001,"&lt;&gt;")=0,"",SUMIFS(BD!$T$3:$T$5001,BD!$A$3:$A$5001,AC$3,BD!$B$3:$B$5001,$A$60)))</f>
        <v/>
      </c>
      <c r="AD76" s="232" t="str">
        <f>IF(AD$3="","",IF(COUNTIFS(BD!$A$3:$A$5001,AD$3,BD!$B$3:$B$5001,$A$60,BD!$T$3:$T$5001,"&lt;&gt;")=0,"",SUMIFS(BD!$T$3:$T$5001,BD!$A$3:$A$5001,AD$3,BD!$B$3:$B$5001,$A$60)))</f>
        <v/>
      </c>
      <c r="AE76" s="232" t="str">
        <f>IF(AE$3="","",IF(COUNTIFS(BD!$A$3:$A$5001,AE$3,BD!$B$3:$B$5001,$A$60,BD!$T$3:$T$5001,"&lt;&gt;")=0,"",SUMIFS(BD!$T$3:$T$5001,BD!$A$3:$A$5001,AE$3,BD!$B$3:$B$5001,$A$60)))</f>
        <v/>
      </c>
      <c r="AF76" s="232" t="str">
        <f>IF(AF$3="","",IF(COUNTIFS(BD!$A$3:$A$5001,AF$3,BD!$B$3:$B$5001,$A$60,BD!$T$3:$T$5001,"&lt;&gt;")=0,"",SUMIFS(BD!$T$3:$T$5001,BD!$A$3:$A$5001,AF$3,BD!$B$3:$B$5001,$A$60)))</f>
        <v/>
      </c>
      <c r="AG76" s="232" t="str">
        <f>IF(AG$3="","",IF(COUNTIFS(BD!$A$3:$A$5001,AG$3,BD!$B$3:$B$5001,$A$60,BD!$T$3:$T$5001,"&lt;&gt;")=0,"",SUMIFS(BD!$T$3:$T$5001,BD!$A$3:$A$5001,AG$3,BD!$B$3:$B$5001,$A$60)))</f>
        <v/>
      </c>
      <c r="AH76" s="232" t="str">
        <f>IF(AH$3="","",IF(COUNTIFS(BD!$A$3:$A$5001,AH$3,BD!$B$3:$B$5001,$A$60,BD!$T$3:$T$5001,"&lt;&gt;")=0,"",SUMIFS(BD!$T$3:$T$5001,BD!$A$3:$A$5001,AH$3,BD!$B$3:$B$5001,$A$60)))</f>
        <v/>
      </c>
      <c r="AI76" s="232" t="str">
        <f>IF(AI$3="","",IF(COUNTIFS(BD!$A$3:$A$5001,AI$3,BD!$B$3:$B$5001,$A$60,BD!$T$3:$T$5001,"&lt;&gt;")=0,"",SUMIFS(BD!$T$3:$T$5001,BD!$A$3:$A$5001,AI$3,BD!$B$3:$B$5001,$A$60)))</f>
        <v/>
      </c>
      <c r="AJ76" s="233" t="str">
        <f>IF(AJ$3="","",IF(COUNTIFS(BD!$A$3:$A$5001,AJ$3,BD!$B$3:$B$5001,$A$60,BD!$T$3:$T$5001,"&lt;&gt;")=0,"",SUMIFS(BD!$T$3:$T$5001,BD!$A$3:$A$5001,AJ$3,BD!$B$3:$B$5001,$A$60)))</f>
        <v/>
      </c>
      <c r="AK76" s="234" t="str">
        <f>IF(COUNT(F76:AJ76)=0,"",SUM(F76:AJ76))</f>
        <v/>
      </c>
    </row>
    <row r="77" ht="15.75" customHeight="1">
      <c r="A77" s="255"/>
      <c r="B77" s="252"/>
      <c r="C77" s="235" t="inlineStr">
        <is>
          <t xml:space="preserve">Acidentes SAF</t>
        </is>
      </c>
      <c r="D77" s="236" t="str">
        <f>IFERROR(1/(1/INDEX(BD!$Y$42:$AS$42,MATCH($A$60,BD!$Y$22:$AS$22,0))),"")</f>
        <v/>
      </c>
      <c r="E77" s="237"/>
      <c r="F77" s="238" t="str">
        <f>IF(F$3="","",IF(COUNTIFS(BD!$A$3:$A$5001,F$3,BD!$B$3:$B$5001,$A$60,BD!$U$3:$U$5001,"&lt;&gt;")=0,"",SUMIFS(BD!$U$3:$U$5001,BD!$A$3:$A$5001,F$3,BD!$B$3:$B$5001,$A$60)))</f>
        <v/>
      </c>
      <c r="G77" s="239" t="str">
        <f>IF(G$3="","",IF(COUNTIFS(BD!$A$3:$A$5001,G$3,BD!$B$3:$B$5001,$A$60,BD!$U$3:$U$5001,"&lt;&gt;")=0,"",SUMIFS(BD!$U$3:$U$5001,BD!$A$3:$A$5001,G$3,BD!$B$3:$B$5001,$A$60)))</f>
        <v/>
      </c>
      <c r="H77" s="239" t="str">
        <f>IF(H$3="","",IF(COUNTIFS(BD!$A$3:$A$5001,H$3,BD!$B$3:$B$5001,$A$60,BD!$U$3:$U$5001,"&lt;&gt;")=0,"",SUMIFS(BD!$U$3:$U$5001,BD!$A$3:$A$5001,H$3,BD!$B$3:$B$5001,$A$60)))</f>
        <v/>
      </c>
      <c r="I77" s="239" t="str">
        <f>IF(I$3="","",IF(COUNTIFS(BD!$A$3:$A$5001,I$3,BD!$B$3:$B$5001,$A$60,BD!$U$3:$U$5001,"&lt;&gt;")=0,"",SUMIFS(BD!$U$3:$U$5001,BD!$A$3:$A$5001,I$3,BD!$B$3:$B$5001,$A$60)))</f>
        <v/>
      </c>
      <c r="J77" s="239" t="str">
        <f>IF(J$3="","",IF(COUNTIFS(BD!$A$3:$A$5001,J$3,BD!$B$3:$B$5001,$A$60,BD!$U$3:$U$5001,"&lt;&gt;")=0,"",SUMIFS(BD!$U$3:$U$5001,BD!$A$3:$A$5001,J$3,BD!$B$3:$B$5001,$A$60)))</f>
        <v/>
      </c>
      <c r="K77" s="239" t="str">
        <f>IF(K$3="","",IF(COUNTIFS(BD!$A$3:$A$5001,K$3,BD!$B$3:$B$5001,$A$60,BD!$U$3:$U$5001,"&lt;&gt;")=0,"",SUMIFS(BD!$U$3:$U$5001,BD!$A$3:$A$5001,K$3,BD!$B$3:$B$5001,$A$60)))</f>
        <v/>
      </c>
      <c r="L77" s="239" t="str">
        <f>IF(L$3="","",IF(COUNTIFS(BD!$A$3:$A$5001,L$3,BD!$B$3:$B$5001,$A$60,BD!$U$3:$U$5001,"&lt;&gt;")=0,"",SUMIFS(BD!$U$3:$U$5001,BD!$A$3:$A$5001,L$3,BD!$B$3:$B$5001,$A$60)))</f>
        <v/>
      </c>
      <c r="M77" s="239" t="str">
        <f>IF(M$3="","",IF(COUNTIFS(BD!$A$3:$A$5001,M$3,BD!$B$3:$B$5001,$A$60,BD!$U$3:$U$5001,"&lt;&gt;")=0,"",SUMIFS(BD!$U$3:$U$5001,BD!$A$3:$A$5001,M$3,BD!$B$3:$B$5001,$A$60)))</f>
        <v/>
      </c>
      <c r="N77" s="239" t="str">
        <f>IF(N$3="","",IF(COUNTIFS(BD!$A$3:$A$5001,N$3,BD!$B$3:$B$5001,$A$60,BD!$U$3:$U$5001,"&lt;&gt;")=0,"",SUMIFS(BD!$U$3:$U$5001,BD!$A$3:$A$5001,N$3,BD!$B$3:$B$5001,$A$60)))</f>
        <v/>
      </c>
      <c r="O77" s="239" t="str">
        <f>IF(O$3="","",IF(COUNTIFS(BD!$A$3:$A$5001,O$3,BD!$B$3:$B$5001,$A$60,BD!$U$3:$U$5001,"&lt;&gt;")=0,"",SUMIFS(BD!$U$3:$U$5001,BD!$A$3:$A$5001,O$3,BD!$B$3:$B$5001,$A$60)))</f>
        <v/>
      </c>
      <c r="P77" s="239" t="str">
        <f>IF(P$3="","",IF(COUNTIFS(BD!$A$3:$A$5001,P$3,BD!$B$3:$B$5001,$A$60,BD!$U$3:$U$5001,"&lt;&gt;")=0,"",SUMIFS(BD!$U$3:$U$5001,BD!$A$3:$A$5001,P$3,BD!$B$3:$B$5001,$A$60)))</f>
        <v/>
      </c>
      <c r="Q77" s="239" t="str">
        <f>IF(Q$3="","",IF(COUNTIFS(BD!$A$3:$A$5001,Q$3,BD!$B$3:$B$5001,$A$60,BD!$U$3:$U$5001,"&lt;&gt;")=0,"",SUMIFS(BD!$U$3:$U$5001,BD!$A$3:$A$5001,Q$3,BD!$B$3:$B$5001,$A$60)))</f>
        <v/>
      </c>
      <c r="R77" s="239" t="str">
        <f>IF(R$3="","",IF(COUNTIFS(BD!$A$3:$A$5001,R$3,BD!$B$3:$B$5001,$A$60,BD!$U$3:$U$5001,"&lt;&gt;")=0,"",SUMIFS(BD!$U$3:$U$5001,BD!$A$3:$A$5001,R$3,BD!$B$3:$B$5001,$A$60)))</f>
        <v/>
      </c>
      <c r="S77" s="239" t="str">
        <f>IF(S$3="","",IF(COUNTIFS(BD!$A$3:$A$5001,S$3,BD!$B$3:$B$5001,$A$60,BD!$U$3:$U$5001,"&lt;&gt;")=0,"",SUMIFS(BD!$U$3:$U$5001,BD!$A$3:$A$5001,S$3,BD!$B$3:$B$5001,$A$60)))</f>
        <v/>
      </c>
      <c r="T77" s="239" t="str">
        <f>IF(T$3="","",IF(COUNTIFS(BD!$A$3:$A$5001,T$3,BD!$B$3:$B$5001,$A$60,BD!$U$3:$U$5001,"&lt;&gt;")=0,"",SUMIFS(BD!$U$3:$U$5001,BD!$A$3:$A$5001,T$3,BD!$B$3:$B$5001,$A$60)))</f>
        <v/>
      </c>
      <c r="U77" s="239" t="str">
        <f>IF(U$3="","",IF(COUNTIFS(BD!$A$3:$A$5001,U$3,BD!$B$3:$B$5001,$A$60,BD!$U$3:$U$5001,"&lt;&gt;")=0,"",SUMIFS(BD!$U$3:$U$5001,BD!$A$3:$A$5001,U$3,BD!$B$3:$B$5001,$A$60)))</f>
        <v/>
      </c>
      <c r="V77" s="239" t="str">
        <f>IF(V$3="","",IF(COUNTIFS(BD!$A$3:$A$5001,V$3,BD!$B$3:$B$5001,$A$60,BD!$U$3:$U$5001,"&lt;&gt;")=0,"",SUMIFS(BD!$U$3:$U$5001,BD!$A$3:$A$5001,V$3,BD!$B$3:$B$5001,$A$60)))</f>
        <v/>
      </c>
      <c r="W77" s="239" t="str">
        <f>IF(W$3="","",IF(COUNTIFS(BD!$A$3:$A$5001,W$3,BD!$B$3:$B$5001,$A$60,BD!$U$3:$U$5001,"&lt;&gt;")=0,"",SUMIFS(BD!$U$3:$U$5001,BD!$A$3:$A$5001,W$3,BD!$B$3:$B$5001,$A$60)))</f>
        <v/>
      </c>
      <c r="X77" s="239" t="str">
        <f>IF(X$3="","",IF(COUNTIFS(BD!$A$3:$A$5001,X$3,BD!$B$3:$B$5001,$A$60,BD!$U$3:$U$5001,"&lt;&gt;")=0,"",SUMIFS(BD!$U$3:$U$5001,BD!$A$3:$A$5001,X$3,BD!$B$3:$B$5001,$A$60)))</f>
        <v/>
      </c>
      <c r="Y77" s="239" t="str">
        <f>IF(Y$3="","",IF(COUNTIFS(BD!$A$3:$A$5001,Y$3,BD!$B$3:$B$5001,$A$60,BD!$U$3:$U$5001,"&lt;&gt;")=0,"",SUMIFS(BD!$U$3:$U$5001,BD!$A$3:$A$5001,Y$3,BD!$B$3:$B$5001,$A$60)))</f>
        <v/>
      </c>
      <c r="Z77" s="239" t="str">
        <f>IF(Z$3="","",IF(COUNTIFS(BD!$A$3:$A$5001,Z$3,BD!$B$3:$B$5001,$A$60,BD!$U$3:$U$5001,"&lt;&gt;")=0,"",SUMIFS(BD!$U$3:$U$5001,BD!$A$3:$A$5001,Z$3,BD!$B$3:$B$5001,$A$60)))</f>
        <v/>
      </c>
      <c r="AA77" s="239" t="str">
        <f>IF(AA$3="","",IF(COUNTIFS(BD!$A$3:$A$5001,AA$3,BD!$B$3:$B$5001,$A$60,BD!$U$3:$U$5001,"&lt;&gt;")=0,"",SUMIFS(BD!$U$3:$U$5001,BD!$A$3:$A$5001,AA$3,BD!$B$3:$B$5001,$A$60)))</f>
        <v/>
      </c>
      <c r="AB77" s="239" t="str">
        <f>IF(AB$3="","",IF(COUNTIFS(BD!$A$3:$A$5001,AB$3,BD!$B$3:$B$5001,$A$60,BD!$U$3:$U$5001,"&lt;&gt;")=0,"",SUMIFS(BD!$U$3:$U$5001,BD!$A$3:$A$5001,AB$3,BD!$B$3:$B$5001,$A$60)))</f>
        <v/>
      </c>
      <c r="AC77" s="239" t="str">
        <f>IF(AC$3="","",IF(COUNTIFS(BD!$A$3:$A$5001,AC$3,BD!$B$3:$B$5001,$A$60,BD!$U$3:$U$5001,"&lt;&gt;")=0,"",SUMIFS(BD!$U$3:$U$5001,BD!$A$3:$A$5001,AC$3,BD!$B$3:$B$5001,$A$60)))</f>
        <v/>
      </c>
      <c r="AD77" s="239" t="str">
        <f>IF(AD$3="","",IF(COUNTIFS(BD!$A$3:$A$5001,AD$3,BD!$B$3:$B$5001,$A$60,BD!$U$3:$U$5001,"&lt;&gt;")=0,"",SUMIFS(BD!$U$3:$U$5001,BD!$A$3:$A$5001,AD$3,BD!$B$3:$B$5001,$A$60)))</f>
        <v/>
      </c>
      <c r="AE77" s="239" t="str">
        <f>IF(AE$3="","",IF(COUNTIFS(BD!$A$3:$A$5001,AE$3,BD!$B$3:$B$5001,$A$60,BD!$U$3:$U$5001,"&lt;&gt;")=0,"",SUMIFS(BD!$U$3:$U$5001,BD!$A$3:$A$5001,AE$3,BD!$B$3:$B$5001,$A$60)))</f>
        <v/>
      </c>
      <c r="AF77" s="239" t="str">
        <f>IF(AF$3="","",IF(COUNTIFS(BD!$A$3:$A$5001,AF$3,BD!$B$3:$B$5001,$A$60,BD!$U$3:$U$5001,"&lt;&gt;")=0,"",SUMIFS(BD!$U$3:$U$5001,BD!$A$3:$A$5001,AF$3,BD!$B$3:$B$5001,$A$60)))</f>
        <v/>
      </c>
      <c r="AG77" s="239" t="str">
        <f>IF(AG$3="","",IF(COUNTIFS(BD!$A$3:$A$5001,AG$3,BD!$B$3:$B$5001,$A$60,BD!$U$3:$U$5001,"&lt;&gt;")=0,"",SUMIFS(BD!$U$3:$U$5001,BD!$A$3:$A$5001,AG$3,BD!$B$3:$B$5001,$A$60)))</f>
        <v/>
      </c>
      <c r="AH77" s="239" t="str">
        <f>IF(AH$3="","",IF(COUNTIFS(BD!$A$3:$A$5001,AH$3,BD!$B$3:$B$5001,$A$60,BD!$U$3:$U$5001,"&lt;&gt;")=0,"",SUMIFS(BD!$U$3:$U$5001,BD!$A$3:$A$5001,AH$3,BD!$B$3:$B$5001,$A$60)))</f>
        <v/>
      </c>
      <c r="AI77" s="239" t="str">
        <f>IF(AI$3="","",IF(COUNTIFS(BD!$A$3:$A$5001,AI$3,BD!$B$3:$B$5001,$A$60,BD!$U$3:$U$5001,"&lt;&gt;")=0,"",SUMIFS(BD!$U$3:$U$5001,BD!$A$3:$A$5001,AI$3,BD!$B$3:$B$5001,$A$60)))</f>
        <v/>
      </c>
      <c r="AJ77" s="240" t="str">
        <f>IF(AJ$3="","",IF(COUNTIFS(BD!$A$3:$A$5001,AJ$3,BD!$B$3:$B$5001,$A$60,BD!$U$3:$U$5001,"&lt;&gt;")=0,"",SUMIFS(BD!$U$3:$U$5001,BD!$A$3:$A$5001,AJ$3,BD!$B$3:$B$5001,$A$60)))</f>
        <v/>
      </c>
      <c r="AK77" s="236" t="str">
        <f>IF(COUNT(F77:AJ77)=0,"",SUM(F77:AJ77))</f>
        <v/>
      </c>
    </row>
    <row r="79" ht="15.75" customHeight="1">
      <c r="A79" s="253" t="inlineStr">
        <is>
          <t xml:space="preserve">PMB</t>
        </is>
      </c>
      <c r="B79" s="241" t="inlineStr">
        <is>
          <t xml:space="preserve">IN</t>
        </is>
      </c>
      <c r="C79" s="155" t="inlineStr">
        <is>
          <t xml:space="preserve">Veículos Recebidos</t>
        </is>
      </c>
      <c r="D79" s="156" t="str">
        <f>IFERROR(1/(1/INDEX(BD!$Y$23:$AS$23,MATCH($A$79,BD!$Y$22:$AS$22,0))),"")</f>
        <v/>
      </c>
      <c r="E79" s="157"/>
      <c r="F79" s="158" t="str">
        <f>IF(F$3="","",IF(COUNTIFS(BD!$A$3:$A$5001,F$3,BD!$B$3:$B$5001,$A$79,BD!$C$3:$C$5001,"&lt;&gt;")=0,"",SUMIFS(BD!$C$3:$C$5001,BD!$A$3:$A$5001,F$3,BD!$B$3:$B$5001,$A$79)))</f>
        <v/>
      </c>
      <c r="G79" s="159" t="str">
        <f>IF(G$3="","",IF(COUNTIFS(BD!$A$3:$A$5001,G$3,BD!$B$3:$B$5001,$A$79,BD!$C$3:$C$5001,"&lt;&gt;")=0,"",SUMIFS(BD!$C$3:$C$5001,BD!$A$3:$A$5001,G$3,BD!$B$3:$B$5001,$A$79)))</f>
        <v/>
      </c>
      <c r="H79" s="159" t="str">
        <f>IF(H$3="","",IF(COUNTIFS(BD!$A$3:$A$5001,H$3,BD!$B$3:$B$5001,$A$79,BD!$C$3:$C$5001,"&lt;&gt;")=0,"",SUMIFS(BD!$C$3:$C$5001,BD!$A$3:$A$5001,H$3,BD!$B$3:$B$5001,$A$79)))</f>
        <v/>
      </c>
      <c r="I79" s="159" t="str">
        <f>IF(I$3="","",IF(COUNTIFS(BD!$A$3:$A$5001,I$3,BD!$B$3:$B$5001,$A$79,BD!$C$3:$C$5001,"&lt;&gt;")=0,"",SUMIFS(BD!$C$3:$C$5001,BD!$A$3:$A$5001,I$3,BD!$B$3:$B$5001,$A$79)))</f>
        <v/>
      </c>
      <c r="J79" s="159" t="str">
        <f>IF(J$3="","",IF(COUNTIFS(BD!$A$3:$A$5001,J$3,BD!$B$3:$B$5001,$A$79,BD!$C$3:$C$5001,"&lt;&gt;")=0,"",SUMIFS(BD!$C$3:$C$5001,BD!$A$3:$A$5001,J$3,BD!$B$3:$B$5001,$A$79)))</f>
        <v/>
      </c>
      <c r="K79" s="159" t="str">
        <f>IF(K$3="","",IF(COUNTIFS(BD!$A$3:$A$5001,K$3,BD!$B$3:$B$5001,$A$79,BD!$C$3:$C$5001,"&lt;&gt;")=0,"",SUMIFS(BD!$C$3:$C$5001,BD!$A$3:$A$5001,K$3,BD!$B$3:$B$5001,$A$79)))</f>
        <v/>
      </c>
      <c r="L79" s="159" t="str">
        <f>IF(L$3="","",IF(COUNTIFS(BD!$A$3:$A$5001,L$3,BD!$B$3:$B$5001,$A$79,BD!$C$3:$C$5001,"&lt;&gt;")=0,"",SUMIFS(BD!$C$3:$C$5001,BD!$A$3:$A$5001,L$3,BD!$B$3:$B$5001,$A$79)))</f>
        <v/>
      </c>
      <c r="M79" s="159" t="str">
        <f>IF(M$3="","",IF(COUNTIFS(BD!$A$3:$A$5001,M$3,BD!$B$3:$B$5001,$A$79,BD!$C$3:$C$5001,"&lt;&gt;")=0,"",SUMIFS(BD!$C$3:$C$5001,BD!$A$3:$A$5001,M$3,BD!$B$3:$B$5001,$A$79)))</f>
        <v/>
      </c>
      <c r="N79" s="159" t="str">
        <f>IF(N$3="","",IF(COUNTIFS(BD!$A$3:$A$5001,N$3,BD!$B$3:$B$5001,$A$79,BD!$C$3:$C$5001,"&lt;&gt;")=0,"",SUMIFS(BD!$C$3:$C$5001,BD!$A$3:$A$5001,N$3,BD!$B$3:$B$5001,$A$79)))</f>
        <v/>
      </c>
      <c r="O79" s="159" t="str">
        <f>IF(O$3="","",IF(COUNTIFS(BD!$A$3:$A$5001,O$3,BD!$B$3:$B$5001,$A$79,BD!$C$3:$C$5001,"&lt;&gt;")=0,"",SUMIFS(BD!$C$3:$C$5001,BD!$A$3:$A$5001,O$3,BD!$B$3:$B$5001,$A$79)))</f>
        <v/>
      </c>
      <c r="P79" s="159" t="str">
        <f>IF(P$3="","",IF(COUNTIFS(BD!$A$3:$A$5001,P$3,BD!$B$3:$B$5001,$A$79,BD!$C$3:$C$5001,"&lt;&gt;")=0,"",SUMIFS(BD!$C$3:$C$5001,BD!$A$3:$A$5001,P$3,BD!$B$3:$B$5001,$A$79)))</f>
        <v/>
      </c>
      <c r="Q79" s="159" t="str">
        <f>IF(Q$3="","",IF(COUNTIFS(BD!$A$3:$A$5001,Q$3,BD!$B$3:$B$5001,$A$79,BD!$C$3:$C$5001,"&lt;&gt;")=0,"",SUMIFS(BD!$C$3:$C$5001,BD!$A$3:$A$5001,Q$3,BD!$B$3:$B$5001,$A$79)))</f>
        <v/>
      </c>
      <c r="R79" s="159" t="str">
        <f>IF(R$3="","",IF(COUNTIFS(BD!$A$3:$A$5001,R$3,BD!$B$3:$B$5001,$A$79,BD!$C$3:$C$5001,"&lt;&gt;")=0,"",SUMIFS(BD!$C$3:$C$5001,BD!$A$3:$A$5001,R$3,BD!$B$3:$B$5001,$A$79)))</f>
        <v/>
      </c>
      <c r="S79" s="159" t="str">
        <f>IF(S$3="","",IF(COUNTIFS(BD!$A$3:$A$5001,S$3,BD!$B$3:$B$5001,$A$79,BD!$C$3:$C$5001,"&lt;&gt;")=0,"",SUMIFS(BD!$C$3:$C$5001,BD!$A$3:$A$5001,S$3,BD!$B$3:$B$5001,$A$79)))</f>
        <v/>
      </c>
      <c r="T79" s="159" t="str">
        <f>IF(T$3="","",IF(COUNTIFS(BD!$A$3:$A$5001,T$3,BD!$B$3:$B$5001,$A$79,BD!$C$3:$C$5001,"&lt;&gt;")=0,"",SUMIFS(BD!$C$3:$C$5001,BD!$A$3:$A$5001,T$3,BD!$B$3:$B$5001,$A$79)))</f>
        <v/>
      </c>
      <c r="U79" s="159" t="str">
        <f>IF(U$3="","",IF(COUNTIFS(BD!$A$3:$A$5001,U$3,BD!$B$3:$B$5001,$A$79,BD!$C$3:$C$5001,"&lt;&gt;")=0,"",SUMIFS(BD!$C$3:$C$5001,BD!$A$3:$A$5001,U$3,BD!$B$3:$B$5001,$A$79)))</f>
        <v/>
      </c>
      <c r="V79" s="159" t="str">
        <f>IF(V$3="","",IF(COUNTIFS(BD!$A$3:$A$5001,V$3,BD!$B$3:$B$5001,$A$79,BD!$C$3:$C$5001,"&lt;&gt;")=0,"",SUMIFS(BD!$C$3:$C$5001,BD!$A$3:$A$5001,V$3,BD!$B$3:$B$5001,$A$79)))</f>
        <v/>
      </c>
      <c r="W79" s="159" t="str">
        <f>IF(W$3="","",IF(COUNTIFS(BD!$A$3:$A$5001,W$3,BD!$B$3:$B$5001,$A$79,BD!$C$3:$C$5001,"&lt;&gt;")=0,"",SUMIFS(BD!$C$3:$C$5001,BD!$A$3:$A$5001,W$3,BD!$B$3:$B$5001,$A$79)))</f>
        <v/>
      </c>
      <c r="X79" s="159" t="str">
        <f>IF(X$3="","",IF(COUNTIFS(BD!$A$3:$A$5001,X$3,BD!$B$3:$B$5001,$A$79,BD!$C$3:$C$5001,"&lt;&gt;")=0,"",SUMIFS(BD!$C$3:$C$5001,BD!$A$3:$A$5001,X$3,BD!$B$3:$B$5001,$A$79)))</f>
        <v/>
      </c>
      <c r="Y79" s="159" t="str">
        <f>IF(Y$3="","",IF(COUNTIFS(BD!$A$3:$A$5001,Y$3,BD!$B$3:$B$5001,$A$79,BD!$C$3:$C$5001,"&lt;&gt;")=0,"",SUMIFS(BD!$C$3:$C$5001,BD!$A$3:$A$5001,Y$3,BD!$B$3:$B$5001,$A$79)))</f>
        <v/>
      </c>
      <c r="Z79" s="159" t="str">
        <f>IF(Z$3="","",IF(COUNTIFS(BD!$A$3:$A$5001,Z$3,BD!$B$3:$B$5001,$A$79,BD!$C$3:$C$5001,"&lt;&gt;")=0,"",SUMIFS(BD!$C$3:$C$5001,BD!$A$3:$A$5001,Z$3,BD!$B$3:$B$5001,$A$79)))</f>
        <v/>
      </c>
      <c r="AA79" s="159" t="str">
        <f>IF(AA$3="","",IF(COUNTIFS(BD!$A$3:$A$5001,AA$3,BD!$B$3:$B$5001,$A$79,BD!$C$3:$C$5001,"&lt;&gt;")=0,"",SUMIFS(BD!$C$3:$C$5001,BD!$A$3:$A$5001,AA$3,BD!$B$3:$B$5001,$A$79)))</f>
        <v/>
      </c>
      <c r="AB79" s="159" t="str">
        <f>IF(AB$3="","",IF(COUNTIFS(BD!$A$3:$A$5001,AB$3,BD!$B$3:$B$5001,$A$79,BD!$C$3:$C$5001,"&lt;&gt;")=0,"",SUMIFS(BD!$C$3:$C$5001,BD!$A$3:$A$5001,AB$3,BD!$B$3:$B$5001,$A$79)))</f>
        <v/>
      </c>
      <c r="AC79" s="159" t="str">
        <f>IF(AC$3="","",IF(COUNTIFS(BD!$A$3:$A$5001,AC$3,BD!$B$3:$B$5001,$A$79,BD!$C$3:$C$5001,"&lt;&gt;")=0,"",SUMIFS(BD!$C$3:$C$5001,BD!$A$3:$A$5001,AC$3,BD!$B$3:$B$5001,$A$79)))</f>
        <v/>
      </c>
      <c r="AD79" s="159" t="str">
        <f>IF(AD$3="","",IF(COUNTIFS(BD!$A$3:$A$5001,AD$3,BD!$B$3:$B$5001,$A$79,BD!$C$3:$C$5001,"&lt;&gt;")=0,"",SUMIFS(BD!$C$3:$C$5001,BD!$A$3:$A$5001,AD$3,BD!$B$3:$B$5001,$A$79)))</f>
        <v/>
      </c>
      <c r="AE79" s="159" t="str">
        <f>IF(AE$3="","",IF(COUNTIFS(BD!$A$3:$A$5001,AE$3,BD!$B$3:$B$5001,$A$79,BD!$C$3:$C$5001,"&lt;&gt;")=0,"",SUMIFS(BD!$C$3:$C$5001,BD!$A$3:$A$5001,AE$3,BD!$B$3:$B$5001,$A$79)))</f>
        <v/>
      </c>
      <c r="AF79" s="159" t="str">
        <f>IF(AF$3="","",IF(COUNTIFS(BD!$A$3:$A$5001,AF$3,BD!$B$3:$B$5001,$A$79,BD!$C$3:$C$5001,"&lt;&gt;")=0,"",SUMIFS(BD!$C$3:$C$5001,BD!$A$3:$A$5001,AF$3,BD!$B$3:$B$5001,$A$79)))</f>
        <v/>
      </c>
      <c r="AG79" s="159" t="str">
        <f>IF(AG$3="","",IF(COUNTIFS(BD!$A$3:$A$5001,AG$3,BD!$B$3:$B$5001,$A$79,BD!$C$3:$C$5001,"&lt;&gt;")=0,"",SUMIFS(BD!$C$3:$C$5001,BD!$A$3:$A$5001,AG$3,BD!$B$3:$B$5001,$A$79)))</f>
        <v/>
      </c>
      <c r="AH79" s="159" t="str">
        <f>IF(AH$3="","",IF(COUNTIFS(BD!$A$3:$A$5001,AH$3,BD!$B$3:$B$5001,$A$79,BD!$C$3:$C$5001,"&lt;&gt;")=0,"",SUMIFS(BD!$C$3:$C$5001,BD!$A$3:$A$5001,AH$3,BD!$B$3:$B$5001,$A$79)))</f>
        <v/>
      </c>
      <c r="AI79" s="159" t="str">
        <f>IF(AI$3="","",IF(COUNTIFS(BD!$A$3:$A$5001,AI$3,BD!$B$3:$B$5001,$A$79,BD!$C$3:$C$5001,"&lt;&gt;")=0,"",SUMIFS(BD!$C$3:$C$5001,BD!$A$3:$A$5001,AI$3,BD!$B$3:$B$5001,$A$79)))</f>
        <v/>
      </c>
      <c r="AJ79" s="160" t="str">
        <f>IF(AJ$3="","",IF(COUNTIFS(BD!$A$3:$A$5001,AJ$3,BD!$B$3:$B$5001,$A$79,BD!$C$3:$C$5001,"&lt;&gt;")=0,"",SUMIFS(BD!$C$3:$C$5001,BD!$A$3:$A$5001,AJ$3,BD!$B$3:$B$5001,$A$79)))</f>
        <v/>
      </c>
      <c r="AK79" s="161" t="str">
        <f>IF(COUNT(F79:AJ79)=0,"",SUM(F79:AJ79))</f>
        <v/>
      </c>
    </row>
    <row r="80" ht="15.75" customHeight="1">
      <c r="A80" s="254"/>
      <c r="B80" s="242"/>
      <c r="C80" s="162" t="inlineStr">
        <is>
          <t xml:space="preserve">Pallets Movimentados</t>
        </is>
      </c>
      <c r="D80" s="163" t="str">
        <f>IFERROR(1/(1/INDEX(BD!$Y$24:$AS$24,MATCH($A$79,BD!$Y$22:$AS$22,0))),"")</f>
        <v/>
      </c>
      <c r="E80" s="164"/>
      <c r="F80" s="165" t="str">
        <f>IF(F$3="","",IF(COUNTIFS(BD!$A$3:$A$5001,F$3,BD!$B$3:$B$5001,$A$79,BD!$D$3:$D$5001,"&lt;&gt;")=0,"",SUMIFS(BD!$D$3:$D$5001,BD!$A$3:$A$5001,F$3,BD!$B$3:$B$5001,$A$79)))</f>
        <v/>
      </c>
      <c r="G80" s="166" t="str">
        <f>IF(G$3="","",IF(COUNTIFS(BD!$A$3:$A$5001,G$3,BD!$B$3:$B$5001,$A$79,BD!$D$3:$D$5001,"&lt;&gt;")=0,"",SUMIFS(BD!$D$3:$D$5001,BD!$A$3:$A$5001,G$3,BD!$B$3:$B$5001,$A$79)))</f>
        <v/>
      </c>
      <c r="H80" s="166" t="str">
        <f>IF(H$3="","",IF(COUNTIFS(BD!$A$3:$A$5001,H$3,BD!$B$3:$B$5001,$A$79,BD!$D$3:$D$5001,"&lt;&gt;")=0,"",SUMIFS(BD!$D$3:$D$5001,BD!$A$3:$A$5001,H$3,BD!$B$3:$B$5001,$A$79)))</f>
        <v/>
      </c>
      <c r="I80" s="166" t="str">
        <f>IF(I$3="","",IF(COUNTIFS(BD!$A$3:$A$5001,I$3,BD!$B$3:$B$5001,$A$79,BD!$D$3:$D$5001,"&lt;&gt;")=0,"",SUMIFS(BD!$D$3:$D$5001,BD!$A$3:$A$5001,I$3,BD!$B$3:$B$5001,$A$79)))</f>
        <v/>
      </c>
      <c r="J80" s="166" t="str">
        <f>IF(J$3="","",IF(COUNTIFS(BD!$A$3:$A$5001,J$3,BD!$B$3:$B$5001,$A$79,BD!$D$3:$D$5001,"&lt;&gt;")=0,"",SUMIFS(BD!$D$3:$D$5001,BD!$A$3:$A$5001,J$3,BD!$B$3:$B$5001,$A$79)))</f>
        <v/>
      </c>
      <c r="K80" s="166" t="str">
        <f>IF(K$3="","",IF(COUNTIFS(BD!$A$3:$A$5001,K$3,BD!$B$3:$B$5001,$A$79,BD!$D$3:$D$5001,"&lt;&gt;")=0,"",SUMIFS(BD!$D$3:$D$5001,BD!$A$3:$A$5001,K$3,BD!$B$3:$B$5001,$A$79)))</f>
        <v/>
      </c>
      <c r="L80" s="166" t="str">
        <f>IF(L$3="","",IF(COUNTIFS(BD!$A$3:$A$5001,L$3,BD!$B$3:$B$5001,$A$79,BD!$D$3:$D$5001,"&lt;&gt;")=0,"",SUMIFS(BD!$D$3:$D$5001,BD!$A$3:$A$5001,L$3,BD!$B$3:$B$5001,$A$79)))</f>
        <v/>
      </c>
      <c r="M80" s="166" t="str">
        <f>IF(M$3="","",IF(COUNTIFS(BD!$A$3:$A$5001,M$3,BD!$B$3:$B$5001,$A$79,BD!$D$3:$D$5001,"&lt;&gt;")=0,"",SUMIFS(BD!$D$3:$D$5001,BD!$A$3:$A$5001,M$3,BD!$B$3:$B$5001,$A$79)))</f>
        <v/>
      </c>
      <c r="N80" s="166" t="str">
        <f>IF(N$3="","",IF(COUNTIFS(BD!$A$3:$A$5001,N$3,BD!$B$3:$B$5001,$A$79,BD!$D$3:$D$5001,"&lt;&gt;")=0,"",SUMIFS(BD!$D$3:$D$5001,BD!$A$3:$A$5001,N$3,BD!$B$3:$B$5001,$A$79)))</f>
        <v/>
      </c>
      <c r="O80" s="166" t="str">
        <f>IF(O$3="","",IF(COUNTIFS(BD!$A$3:$A$5001,O$3,BD!$B$3:$B$5001,$A$79,BD!$D$3:$D$5001,"&lt;&gt;")=0,"",SUMIFS(BD!$D$3:$D$5001,BD!$A$3:$A$5001,O$3,BD!$B$3:$B$5001,$A$79)))</f>
        <v/>
      </c>
      <c r="P80" s="166" t="str">
        <f>IF(P$3="","",IF(COUNTIFS(BD!$A$3:$A$5001,P$3,BD!$B$3:$B$5001,$A$79,BD!$D$3:$D$5001,"&lt;&gt;")=0,"",SUMIFS(BD!$D$3:$D$5001,BD!$A$3:$A$5001,P$3,BD!$B$3:$B$5001,$A$79)))</f>
        <v/>
      </c>
      <c r="Q80" s="166" t="str">
        <f>IF(Q$3="","",IF(COUNTIFS(BD!$A$3:$A$5001,Q$3,BD!$B$3:$B$5001,$A$79,BD!$D$3:$D$5001,"&lt;&gt;")=0,"",SUMIFS(BD!$D$3:$D$5001,BD!$A$3:$A$5001,Q$3,BD!$B$3:$B$5001,$A$79)))</f>
        <v/>
      </c>
      <c r="R80" s="166" t="str">
        <f>IF(R$3="","",IF(COUNTIFS(BD!$A$3:$A$5001,R$3,BD!$B$3:$B$5001,$A$79,BD!$D$3:$D$5001,"&lt;&gt;")=0,"",SUMIFS(BD!$D$3:$D$5001,BD!$A$3:$A$5001,R$3,BD!$B$3:$B$5001,$A$79)))</f>
        <v/>
      </c>
      <c r="S80" s="166" t="str">
        <f>IF(S$3="","",IF(COUNTIFS(BD!$A$3:$A$5001,S$3,BD!$B$3:$B$5001,$A$79,BD!$D$3:$D$5001,"&lt;&gt;")=0,"",SUMIFS(BD!$D$3:$D$5001,BD!$A$3:$A$5001,S$3,BD!$B$3:$B$5001,$A$79)))</f>
        <v/>
      </c>
      <c r="T80" s="166" t="str">
        <f>IF(T$3="","",IF(COUNTIFS(BD!$A$3:$A$5001,T$3,BD!$B$3:$B$5001,$A$79,BD!$D$3:$D$5001,"&lt;&gt;")=0,"",SUMIFS(BD!$D$3:$D$5001,BD!$A$3:$A$5001,T$3,BD!$B$3:$B$5001,$A$79)))</f>
        <v/>
      </c>
      <c r="U80" s="166" t="str">
        <f>IF(U$3="","",IF(COUNTIFS(BD!$A$3:$A$5001,U$3,BD!$B$3:$B$5001,$A$79,BD!$D$3:$D$5001,"&lt;&gt;")=0,"",SUMIFS(BD!$D$3:$D$5001,BD!$A$3:$A$5001,U$3,BD!$B$3:$B$5001,$A$79)))</f>
        <v/>
      </c>
      <c r="V80" s="166" t="str">
        <f>IF(V$3="","",IF(COUNTIFS(BD!$A$3:$A$5001,V$3,BD!$B$3:$B$5001,$A$79,BD!$D$3:$D$5001,"&lt;&gt;")=0,"",SUMIFS(BD!$D$3:$D$5001,BD!$A$3:$A$5001,V$3,BD!$B$3:$B$5001,$A$79)))</f>
        <v/>
      </c>
      <c r="W80" s="166" t="str">
        <f>IF(W$3="","",IF(COUNTIFS(BD!$A$3:$A$5001,W$3,BD!$B$3:$B$5001,$A$79,BD!$D$3:$D$5001,"&lt;&gt;")=0,"",SUMIFS(BD!$D$3:$D$5001,BD!$A$3:$A$5001,W$3,BD!$B$3:$B$5001,$A$79)))</f>
        <v/>
      </c>
      <c r="X80" s="166" t="str">
        <f>IF(X$3="","",IF(COUNTIFS(BD!$A$3:$A$5001,X$3,BD!$B$3:$B$5001,$A$79,BD!$D$3:$D$5001,"&lt;&gt;")=0,"",SUMIFS(BD!$D$3:$D$5001,BD!$A$3:$A$5001,X$3,BD!$B$3:$B$5001,$A$79)))</f>
        <v/>
      </c>
      <c r="Y80" s="166" t="str">
        <f>IF(Y$3="","",IF(COUNTIFS(BD!$A$3:$A$5001,Y$3,BD!$B$3:$B$5001,$A$79,BD!$D$3:$D$5001,"&lt;&gt;")=0,"",SUMIFS(BD!$D$3:$D$5001,BD!$A$3:$A$5001,Y$3,BD!$B$3:$B$5001,$A$79)))</f>
        <v/>
      </c>
      <c r="Z80" s="166" t="str">
        <f>IF(Z$3="","",IF(COUNTIFS(BD!$A$3:$A$5001,Z$3,BD!$B$3:$B$5001,$A$79,BD!$D$3:$D$5001,"&lt;&gt;")=0,"",SUMIFS(BD!$D$3:$D$5001,BD!$A$3:$A$5001,Z$3,BD!$B$3:$B$5001,$A$79)))</f>
        <v/>
      </c>
      <c r="AA80" s="166" t="str">
        <f>IF(AA$3="","",IF(COUNTIFS(BD!$A$3:$A$5001,AA$3,BD!$B$3:$B$5001,$A$79,BD!$D$3:$D$5001,"&lt;&gt;")=0,"",SUMIFS(BD!$D$3:$D$5001,BD!$A$3:$A$5001,AA$3,BD!$B$3:$B$5001,$A$79)))</f>
        <v/>
      </c>
      <c r="AB80" s="166" t="str">
        <f>IF(AB$3="","",IF(COUNTIFS(BD!$A$3:$A$5001,AB$3,BD!$B$3:$B$5001,$A$79,BD!$D$3:$D$5001,"&lt;&gt;")=0,"",SUMIFS(BD!$D$3:$D$5001,BD!$A$3:$A$5001,AB$3,BD!$B$3:$B$5001,$A$79)))</f>
        <v/>
      </c>
      <c r="AC80" s="166" t="str">
        <f>IF(AC$3="","",IF(COUNTIFS(BD!$A$3:$A$5001,AC$3,BD!$B$3:$B$5001,$A$79,BD!$D$3:$D$5001,"&lt;&gt;")=0,"",SUMIFS(BD!$D$3:$D$5001,BD!$A$3:$A$5001,AC$3,BD!$B$3:$B$5001,$A$79)))</f>
        <v/>
      </c>
      <c r="AD80" s="166" t="str">
        <f>IF(AD$3="","",IF(COUNTIFS(BD!$A$3:$A$5001,AD$3,BD!$B$3:$B$5001,$A$79,BD!$D$3:$D$5001,"&lt;&gt;")=0,"",SUMIFS(BD!$D$3:$D$5001,BD!$A$3:$A$5001,AD$3,BD!$B$3:$B$5001,$A$79)))</f>
        <v/>
      </c>
      <c r="AE80" s="166" t="str">
        <f>IF(AE$3="","",IF(COUNTIFS(BD!$A$3:$A$5001,AE$3,BD!$B$3:$B$5001,$A$79,BD!$D$3:$D$5001,"&lt;&gt;")=0,"",SUMIFS(BD!$D$3:$D$5001,BD!$A$3:$A$5001,AE$3,BD!$B$3:$B$5001,$A$79)))</f>
        <v/>
      </c>
      <c r="AF80" s="166" t="str">
        <f>IF(AF$3="","",IF(COUNTIFS(BD!$A$3:$A$5001,AF$3,BD!$B$3:$B$5001,$A$79,BD!$D$3:$D$5001,"&lt;&gt;")=0,"",SUMIFS(BD!$D$3:$D$5001,BD!$A$3:$A$5001,AF$3,BD!$B$3:$B$5001,$A$79)))</f>
        <v/>
      </c>
      <c r="AG80" s="166" t="str">
        <f>IF(AG$3="","",IF(COUNTIFS(BD!$A$3:$A$5001,AG$3,BD!$B$3:$B$5001,$A$79,BD!$D$3:$D$5001,"&lt;&gt;")=0,"",SUMIFS(BD!$D$3:$D$5001,BD!$A$3:$A$5001,AG$3,BD!$B$3:$B$5001,$A$79)))</f>
        <v/>
      </c>
      <c r="AH80" s="166" t="str">
        <f>IF(AH$3="","",IF(COUNTIFS(BD!$A$3:$A$5001,AH$3,BD!$B$3:$B$5001,$A$79,BD!$D$3:$D$5001,"&lt;&gt;")=0,"",SUMIFS(BD!$D$3:$D$5001,BD!$A$3:$A$5001,AH$3,BD!$B$3:$B$5001,$A$79)))</f>
        <v/>
      </c>
      <c r="AI80" s="166" t="str">
        <f>IF(AI$3="","",IF(COUNTIFS(BD!$A$3:$A$5001,AI$3,BD!$B$3:$B$5001,$A$79,BD!$D$3:$D$5001,"&lt;&gt;")=0,"",SUMIFS(BD!$D$3:$D$5001,BD!$A$3:$A$5001,AI$3,BD!$B$3:$B$5001,$A$79)))</f>
        <v/>
      </c>
      <c r="AJ80" s="167" t="str">
        <f>IF(AJ$3="","",IF(COUNTIFS(BD!$A$3:$A$5001,AJ$3,BD!$B$3:$B$5001,$A$79,BD!$D$3:$D$5001,"&lt;&gt;")=0,"",SUMIFS(BD!$D$3:$D$5001,BD!$A$3:$A$5001,AJ$3,BD!$B$3:$B$5001,$A$79)))</f>
        <v/>
      </c>
      <c r="AK80" s="168" t="str">
        <f>IF(COUNT(F80:AJ80)=0,"",SUM(F80:AJ80))</f>
        <v/>
      </c>
    </row>
    <row r="81" ht="15.75" customHeight="1">
      <c r="A81" s="254"/>
      <c r="B81" s="243"/>
      <c r="C81" s="169" t="inlineStr">
        <is>
          <t xml:space="preserve">Toneladas Movimentadas</t>
        </is>
      </c>
      <c r="D81" s="170" t="str">
        <f>IFERROR(1/(1/INDEX(BD!$Y$25:$AS$25,MATCH($A$79,BD!$Y$22:$AS$22,0))),"")</f>
        <v/>
      </c>
      <c r="E81" s="171"/>
      <c r="F81" s="172" t="str">
        <f>IF(F$3="","",IF(COUNTIFS(BD!$A$3:$A$5001,F$3,BD!$B$3:$B$5001,$A$79,BD!$E$3:$E$5001,"&lt;&gt;")=0,"",SUMIFS(BD!$E$3:$E$5001,BD!$A$3:$A$5001,F$3,BD!$B$3:$B$5001,$A$79)))</f>
        <v/>
      </c>
      <c r="G81" s="173" t="str">
        <f>IF(G$3="","",IF(COUNTIFS(BD!$A$3:$A$5001,G$3,BD!$B$3:$B$5001,$A$79,BD!$E$3:$E$5001,"&lt;&gt;")=0,"",SUMIFS(BD!$E$3:$E$5001,BD!$A$3:$A$5001,G$3,BD!$B$3:$B$5001,$A$79)))</f>
        <v/>
      </c>
      <c r="H81" s="173" t="str">
        <f>IF(H$3="","",IF(COUNTIFS(BD!$A$3:$A$5001,H$3,BD!$B$3:$B$5001,$A$79,BD!$E$3:$E$5001,"&lt;&gt;")=0,"",SUMIFS(BD!$E$3:$E$5001,BD!$A$3:$A$5001,H$3,BD!$B$3:$B$5001,$A$79)))</f>
        <v/>
      </c>
      <c r="I81" s="173" t="str">
        <f>IF(I$3="","",IF(COUNTIFS(BD!$A$3:$A$5001,I$3,BD!$B$3:$B$5001,$A$79,BD!$E$3:$E$5001,"&lt;&gt;")=0,"",SUMIFS(BD!$E$3:$E$5001,BD!$A$3:$A$5001,I$3,BD!$B$3:$B$5001,$A$79)))</f>
        <v/>
      </c>
      <c r="J81" s="173" t="str">
        <f>IF(J$3="","",IF(COUNTIFS(BD!$A$3:$A$5001,J$3,BD!$B$3:$B$5001,$A$79,BD!$E$3:$E$5001,"&lt;&gt;")=0,"",SUMIFS(BD!$E$3:$E$5001,BD!$A$3:$A$5001,J$3,BD!$B$3:$B$5001,$A$79)))</f>
        <v/>
      </c>
      <c r="K81" s="173" t="str">
        <f>IF(K$3="","",IF(COUNTIFS(BD!$A$3:$A$5001,K$3,BD!$B$3:$B$5001,$A$79,BD!$E$3:$E$5001,"&lt;&gt;")=0,"",SUMIFS(BD!$E$3:$E$5001,BD!$A$3:$A$5001,K$3,BD!$B$3:$B$5001,$A$79)))</f>
        <v/>
      </c>
      <c r="L81" s="173" t="str">
        <f>IF(L$3="","",IF(COUNTIFS(BD!$A$3:$A$5001,L$3,BD!$B$3:$B$5001,$A$79,BD!$E$3:$E$5001,"&lt;&gt;")=0,"",SUMIFS(BD!$E$3:$E$5001,BD!$A$3:$A$5001,L$3,BD!$B$3:$B$5001,$A$79)))</f>
        <v/>
      </c>
      <c r="M81" s="173" t="str">
        <f>IF(M$3="","",IF(COUNTIFS(BD!$A$3:$A$5001,M$3,BD!$B$3:$B$5001,$A$79,BD!$E$3:$E$5001,"&lt;&gt;")=0,"",SUMIFS(BD!$E$3:$E$5001,BD!$A$3:$A$5001,M$3,BD!$B$3:$B$5001,$A$79)))</f>
        <v/>
      </c>
      <c r="N81" s="173" t="str">
        <f>IF(N$3="","",IF(COUNTIFS(BD!$A$3:$A$5001,N$3,BD!$B$3:$B$5001,$A$79,BD!$E$3:$E$5001,"&lt;&gt;")=0,"",SUMIFS(BD!$E$3:$E$5001,BD!$A$3:$A$5001,N$3,BD!$B$3:$B$5001,$A$79)))</f>
        <v/>
      </c>
      <c r="O81" s="173" t="str">
        <f>IF(O$3="","",IF(COUNTIFS(BD!$A$3:$A$5001,O$3,BD!$B$3:$B$5001,$A$79,BD!$E$3:$E$5001,"&lt;&gt;")=0,"",SUMIFS(BD!$E$3:$E$5001,BD!$A$3:$A$5001,O$3,BD!$B$3:$B$5001,$A$79)))</f>
        <v/>
      </c>
      <c r="P81" s="173" t="str">
        <f>IF(P$3="","",IF(COUNTIFS(BD!$A$3:$A$5001,P$3,BD!$B$3:$B$5001,$A$79,BD!$E$3:$E$5001,"&lt;&gt;")=0,"",SUMIFS(BD!$E$3:$E$5001,BD!$A$3:$A$5001,P$3,BD!$B$3:$B$5001,$A$79)))</f>
        <v/>
      </c>
      <c r="Q81" s="173" t="str">
        <f>IF(Q$3="","",IF(COUNTIFS(BD!$A$3:$A$5001,Q$3,BD!$B$3:$B$5001,$A$79,BD!$E$3:$E$5001,"&lt;&gt;")=0,"",SUMIFS(BD!$E$3:$E$5001,BD!$A$3:$A$5001,Q$3,BD!$B$3:$B$5001,$A$79)))</f>
        <v/>
      </c>
      <c r="R81" s="173" t="str">
        <f>IF(R$3="","",IF(COUNTIFS(BD!$A$3:$A$5001,R$3,BD!$B$3:$B$5001,$A$79,BD!$E$3:$E$5001,"&lt;&gt;")=0,"",SUMIFS(BD!$E$3:$E$5001,BD!$A$3:$A$5001,R$3,BD!$B$3:$B$5001,$A$79)))</f>
        <v/>
      </c>
      <c r="S81" s="173" t="str">
        <f>IF(S$3="","",IF(COUNTIFS(BD!$A$3:$A$5001,S$3,BD!$B$3:$B$5001,$A$79,BD!$E$3:$E$5001,"&lt;&gt;")=0,"",SUMIFS(BD!$E$3:$E$5001,BD!$A$3:$A$5001,S$3,BD!$B$3:$B$5001,$A$79)))</f>
        <v/>
      </c>
      <c r="T81" s="173" t="str">
        <f>IF(T$3="","",IF(COUNTIFS(BD!$A$3:$A$5001,T$3,BD!$B$3:$B$5001,$A$79,BD!$E$3:$E$5001,"&lt;&gt;")=0,"",SUMIFS(BD!$E$3:$E$5001,BD!$A$3:$A$5001,T$3,BD!$B$3:$B$5001,$A$79)))</f>
        <v/>
      </c>
      <c r="U81" s="173" t="str">
        <f>IF(U$3="","",IF(COUNTIFS(BD!$A$3:$A$5001,U$3,BD!$B$3:$B$5001,$A$79,BD!$E$3:$E$5001,"&lt;&gt;")=0,"",SUMIFS(BD!$E$3:$E$5001,BD!$A$3:$A$5001,U$3,BD!$B$3:$B$5001,$A$79)))</f>
        <v/>
      </c>
      <c r="V81" s="173" t="str">
        <f>IF(V$3="","",IF(COUNTIFS(BD!$A$3:$A$5001,V$3,BD!$B$3:$B$5001,$A$79,BD!$E$3:$E$5001,"&lt;&gt;")=0,"",SUMIFS(BD!$E$3:$E$5001,BD!$A$3:$A$5001,V$3,BD!$B$3:$B$5001,$A$79)))</f>
        <v/>
      </c>
      <c r="W81" s="173" t="str">
        <f>IF(W$3="","",IF(COUNTIFS(BD!$A$3:$A$5001,W$3,BD!$B$3:$B$5001,$A$79,BD!$E$3:$E$5001,"&lt;&gt;")=0,"",SUMIFS(BD!$E$3:$E$5001,BD!$A$3:$A$5001,W$3,BD!$B$3:$B$5001,$A$79)))</f>
        <v/>
      </c>
      <c r="X81" s="173" t="str">
        <f>IF(X$3="","",IF(COUNTIFS(BD!$A$3:$A$5001,X$3,BD!$B$3:$B$5001,$A$79,BD!$E$3:$E$5001,"&lt;&gt;")=0,"",SUMIFS(BD!$E$3:$E$5001,BD!$A$3:$A$5001,X$3,BD!$B$3:$B$5001,$A$79)))</f>
        <v/>
      </c>
      <c r="Y81" s="173" t="str">
        <f>IF(Y$3="","",IF(COUNTIFS(BD!$A$3:$A$5001,Y$3,BD!$B$3:$B$5001,$A$79,BD!$E$3:$E$5001,"&lt;&gt;")=0,"",SUMIFS(BD!$E$3:$E$5001,BD!$A$3:$A$5001,Y$3,BD!$B$3:$B$5001,$A$79)))</f>
        <v/>
      </c>
      <c r="Z81" s="173" t="str">
        <f>IF(Z$3="","",IF(COUNTIFS(BD!$A$3:$A$5001,Z$3,BD!$B$3:$B$5001,$A$79,BD!$E$3:$E$5001,"&lt;&gt;")=0,"",SUMIFS(BD!$E$3:$E$5001,BD!$A$3:$A$5001,Z$3,BD!$B$3:$B$5001,$A$79)))</f>
        <v/>
      </c>
      <c r="AA81" s="173" t="str">
        <f>IF(AA$3="","",IF(COUNTIFS(BD!$A$3:$A$5001,AA$3,BD!$B$3:$B$5001,$A$79,BD!$E$3:$E$5001,"&lt;&gt;")=0,"",SUMIFS(BD!$E$3:$E$5001,BD!$A$3:$A$5001,AA$3,BD!$B$3:$B$5001,$A$79)))</f>
        <v/>
      </c>
      <c r="AB81" s="173" t="str">
        <f>IF(AB$3="","",IF(COUNTIFS(BD!$A$3:$A$5001,AB$3,BD!$B$3:$B$5001,$A$79,BD!$E$3:$E$5001,"&lt;&gt;")=0,"",SUMIFS(BD!$E$3:$E$5001,BD!$A$3:$A$5001,AB$3,BD!$B$3:$B$5001,$A$79)))</f>
        <v/>
      </c>
      <c r="AC81" s="173" t="str">
        <f>IF(AC$3="","",IF(COUNTIFS(BD!$A$3:$A$5001,AC$3,BD!$B$3:$B$5001,$A$79,BD!$E$3:$E$5001,"&lt;&gt;")=0,"",SUMIFS(BD!$E$3:$E$5001,BD!$A$3:$A$5001,AC$3,BD!$B$3:$B$5001,$A$79)))</f>
        <v/>
      </c>
      <c r="AD81" s="173" t="str">
        <f>IF(AD$3="","",IF(COUNTIFS(BD!$A$3:$A$5001,AD$3,BD!$B$3:$B$5001,$A$79,BD!$E$3:$E$5001,"&lt;&gt;")=0,"",SUMIFS(BD!$E$3:$E$5001,BD!$A$3:$A$5001,AD$3,BD!$B$3:$B$5001,$A$79)))</f>
        <v/>
      </c>
      <c r="AE81" s="173" t="str">
        <f>IF(AE$3="","",IF(COUNTIFS(BD!$A$3:$A$5001,AE$3,BD!$B$3:$B$5001,$A$79,BD!$E$3:$E$5001,"&lt;&gt;")=0,"",SUMIFS(BD!$E$3:$E$5001,BD!$A$3:$A$5001,AE$3,BD!$B$3:$B$5001,$A$79)))</f>
        <v/>
      </c>
      <c r="AF81" s="173" t="str">
        <f>IF(AF$3="","",IF(COUNTIFS(BD!$A$3:$A$5001,AF$3,BD!$B$3:$B$5001,$A$79,BD!$E$3:$E$5001,"&lt;&gt;")=0,"",SUMIFS(BD!$E$3:$E$5001,BD!$A$3:$A$5001,AF$3,BD!$B$3:$B$5001,$A$79)))</f>
        <v/>
      </c>
      <c r="AG81" s="173" t="str">
        <f>IF(AG$3="","",IF(COUNTIFS(BD!$A$3:$A$5001,AG$3,BD!$B$3:$B$5001,$A$79,BD!$E$3:$E$5001,"&lt;&gt;")=0,"",SUMIFS(BD!$E$3:$E$5001,BD!$A$3:$A$5001,AG$3,BD!$B$3:$B$5001,$A$79)))</f>
        <v/>
      </c>
      <c r="AH81" s="173" t="str">
        <f>IF(AH$3="","",IF(COUNTIFS(BD!$A$3:$A$5001,AH$3,BD!$B$3:$B$5001,$A$79,BD!$E$3:$E$5001,"&lt;&gt;")=0,"",SUMIFS(BD!$E$3:$E$5001,BD!$A$3:$A$5001,AH$3,BD!$B$3:$B$5001,$A$79)))</f>
        <v/>
      </c>
      <c r="AI81" s="173" t="str">
        <f>IF(AI$3="","",IF(COUNTIFS(BD!$A$3:$A$5001,AI$3,BD!$B$3:$B$5001,$A$79,BD!$E$3:$E$5001,"&lt;&gt;")=0,"",SUMIFS(BD!$E$3:$E$5001,BD!$A$3:$A$5001,AI$3,BD!$B$3:$B$5001,$A$79)))</f>
        <v/>
      </c>
      <c r="AJ81" s="174" t="str">
        <f>IF(AJ$3="","",IF(COUNTIFS(BD!$A$3:$A$5001,AJ$3,BD!$B$3:$B$5001,$A$79,BD!$E$3:$E$5001,"&lt;&gt;")=0,"",SUMIFS(BD!$E$3:$E$5001,BD!$A$3:$A$5001,AJ$3,BD!$B$3:$B$5001,$A$79)))</f>
        <v/>
      </c>
      <c r="AK81" s="175" t="str">
        <f>IF(COUNT(F81:AJ81)=0,"",SUM(F81:AJ81))</f>
        <v/>
      </c>
    </row>
    <row r="82" ht="15.75" customHeight="1">
      <c r="A82" s="254"/>
      <c r="B82" s="244" t="inlineStr">
        <is>
          <t xml:space="preserve">OUT</t>
        </is>
      </c>
      <c r="C82" s="176" t="inlineStr">
        <is>
          <t xml:space="preserve">Veículos Expedidos</t>
        </is>
      </c>
      <c r="D82" s="177" t="str">
        <f>IFERROR(1/(1/INDEX(BD!$Y$26:$AS$26,MATCH($A$79,BD!$Y$22:$AS$22,0))),"")</f>
        <v/>
      </c>
      <c r="E82" s="178"/>
      <c r="F82" s="179" t="str">
        <f>IF(F$3="","",IF(COUNTIFS(BD!$A$3:$A$5001,F$3,BD!$B$3:$B$5001,$A$79,BD!$F$3:$F$5001,"&lt;&gt;")=0,"",SUMIFS(BD!$F$3:$F$5001,BD!$A$3:$A$5001,F$3,BD!$B$3:$B$5001,$A$79)))</f>
        <v/>
      </c>
      <c r="G82" s="180" t="str">
        <f>IF(G$3="","",IF(COUNTIFS(BD!$A$3:$A$5001,G$3,BD!$B$3:$B$5001,$A$79,BD!$F$3:$F$5001,"&lt;&gt;")=0,"",SUMIFS(BD!$F$3:$F$5001,BD!$A$3:$A$5001,G$3,BD!$B$3:$B$5001,$A$79)))</f>
        <v/>
      </c>
      <c r="H82" s="180" t="str">
        <f>IF(H$3="","",IF(COUNTIFS(BD!$A$3:$A$5001,H$3,BD!$B$3:$B$5001,$A$79,BD!$F$3:$F$5001,"&lt;&gt;")=0,"",SUMIFS(BD!$F$3:$F$5001,BD!$A$3:$A$5001,H$3,BD!$B$3:$B$5001,$A$79)))</f>
        <v/>
      </c>
      <c r="I82" s="180" t="str">
        <f>IF(I$3="","",IF(COUNTIFS(BD!$A$3:$A$5001,I$3,BD!$B$3:$B$5001,$A$79,BD!$F$3:$F$5001,"&lt;&gt;")=0,"",SUMIFS(BD!$F$3:$F$5001,BD!$A$3:$A$5001,I$3,BD!$B$3:$B$5001,$A$79)))</f>
        <v/>
      </c>
      <c r="J82" s="180" t="str">
        <f>IF(J$3="","",IF(COUNTIFS(BD!$A$3:$A$5001,J$3,BD!$B$3:$B$5001,$A$79,BD!$F$3:$F$5001,"&lt;&gt;")=0,"",SUMIFS(BD!$F$3:$F$5001,BD!$A$3:$A$5001,J$3,BD!$B$3:$B$5001,$A$79)))</f>
        <v/>
      </c>
      <c r="K82" s="180" t="str">
        <f>IF(K$3="","",IF(COUNTIFS(BD!$A$3:$A$5001,K$3,BD!$B$3:$B$5001,$A$79,BD!$F$3:$F$5001,"&lt;&gt;")=0,"",SUMIFS(BD!$F$3:$F$5001,BD!$A$3:$A$5001,K$3,BD!$B$3:$B$5001,$A$79)))</f>
        <v/>
      </c>
      <c r="L82" s="180" t="str">
        <f>IF(L$3="","",IF(COUNTIFS(BD!$A$3:$A$5001,L$3,BD!$B$3:$B$5001,$A$79,BD!$F$3:$F$5001,"&lt;&gt;")=0,"",SUMIFS(BD!$F$3:$F$5001,BD!$A$3:$A$5001,L$3,BD!$B$3:$B$5001,$A$79)))</f>
        <v/>
      </c>
      <c r="M82" s="180" t="str">
        <f>IF(M$3="","",IF(COUNTIFS(BD!$A$3:$A$5001,M$3,BD!$B$3:$B$5001,$A$79,BD!$F$3:$F$5001,"&lt;&gt;")=0,"",SUMIFS(BD!$F$3:$F$5001,BD!$A$3:$A$5001,M$3,BD!$B$3:$B$5001,$A$79)))</f>
        <v/>
      </c>
      <c r="N82" s="180" t="str">
        <f>IF(N$3="","",IF(COUNTIFS(BD!$A$3:$A$5001,N$3,BD!$B$3:$B$5001,$A$79,BD!$F$3:$F$5001,"&lt;&gt;")=0,"",SUMIFS(BD!$F$3:$F$5001,BD!$A$3:$A$5001,N$3,BD!$B$3:$B$5001,$A$79)))</f>
        <v/>
      </c>
      <c r="O82" s="180" t="str">
        <f>IF(O$3="","",IF(COUNTIFS(BD!$A$3:$A$5001,O$3,BD!$B$3:$B$5001,$A$79,BD!$F$3:$F$5001,"&lt;&gt;")=0,"",SUMIFS(BD!$F$3:$F$5001,BD!$A$3:$A$5001,O$3,BD!$B$3:$B$5001,$A$79)))</f>
        <v/>
      </c>
      <c r="P82" s="180" t="str">
        <f>IF(P$3="","",IF(COUNTIFS(BD!$A$3:$A$5001,P$3,BD!$B$3:$B$5001,$A$79,BD!$F$3:$F$5001,"&lt;&gt;")=0,"",SUMIFS(BD!$F$3:$F$5001,BD!$A$3:$A$5001,P$3,BD!$B$3:$B$5001,$A$79)))</f>
        <v/>
      </c>
      <c r="Q82" s="180" t="str">
        <f>IF(Q$3="","",IF(COUNTIFS(BD!$A$3:$A$5001,Q$3,BD!$B$3:$B$5001,$A$79,BD!$F$3:$F$5001,"&lt;&gt;")=0,"",SUMIFS(BD!$F$3:$F$5001,BD!$A$3:$A$5001,Q$3,BD!$B$3:$B$5001,$A$79)))</f>
        <v/>
      </c>
      <c r="R82" s="180" t="str">
        <f>IF(R$3="","",IF(COUNTIFS(BD!$A$3:$A$5001,R$3,BD!$B$3:$B$5001,$A$79,BD!$F$3:$F$5001,"&lt;&gt;")=0,"",SUMIFS(BD!$F$3:$F$5001,BD!$A$3:$A$5001,R$3,BD!$B$3:$B$5001,$A$79)))</f>
        <v/>
      </c>
      <c r="S82" s="180" t="str">
        <f>IF(S$3="","",IF(COUNTIFS(BD!$A$3:$A$5001,S$3,BD!$B$3:$B$5001,$A$79,BD!$F$3:$F$5001,"&lt;&gt;")=0,"",SUMIFS(BD!$F$3:$F$5001,BD!$A$3:$A$5001,S$3,BD!$B$3:$B$5001,$A$79)))</f>
        <v/>
      </c>
      <c r="T82" s="180" t="str">
        <f>IF(T$3="","",IF(COUNTIFS(BD!$A$3:$A$5001,T$3,BD!$B$3:$B$5001,$A$79,BD!$F$3:$F$5001,"&lt;&gt;")=0,"",SUMIFS(BD!$F$3:$F$5001,BD!$A$3:$A$5001,T$3,BD!$B$3:$B$5001,$A$79)))</f>
        <v/>
      </c>
      <c r="U82" s="180" t="str">
        <f>IF(U$3="","",IF(COUNTIFS(BD!$A$3:$A$5001,U$3,BD!$B$3:$B$5001,$A$79,BD!$F$3:$F$5001,"&lt;&gt;")=0,"",SUMIFS(BD!$F$3:$F$5001,BD!$A$3:$A$5001,U$3,BD!$B$3:$B$5001,$A$79)))</f>
        <v/>
      </c>
      <c r="V82" s="180" t="str">
        <f>IF(V$3="","",IF(COUNTIFS(BD!$A$3:$A$5001,V$3,BD!$B$3:$B$5001,$A$79,BD!$F$3:$F$5001,"&lt;&gt;")=0,"",SUMIFS(BD!$F$3:$F$5001,BD!$A$3:$A$5001,V$3,BD!$B$3:$B$5001,$A$79)))</f>
        <v/>
      </c>
      <c r="W82" s="180" t="str">
        <f>IF(W$3="","",IF(COUNTIFS(BD!$A$3:$A$5001,W$3,BD!$B$3:$B$5001,$A$79,BD!$F$3:$F$5001,"&lt;&gt;")=0,"",SUMIFS(BD!$F$3:$F$5001,BD!$A$3:$A$5001,W$3,BD!$B$3:$B$5001,$A$79)))</f>
        <v/>
      </c>
      <c r="X82" s="180" t="str">
        <f>IF(X$3="","",IF(COUNTIFS(BD!$A$3:$A$5001,X$3,BD!$B$3:$B$5001,$A$79,BD!$F$3:$F$5001,"&lt;&gt;")=0,"",SUMIFS(BD!$F$3:$F$5001,BD!$A$3:$A$5001,X$3,BD!$B$3:$B$5001,$A$79)))</f>
        <v/>
      </c>
      <c r="Y82" s="180" t="str">
        <f>IF(Y$3="","",IF(COUNTIFS(BD!$A$3:$A$5001,Y$3,BD!$B$3:$B$5001,$A$79,BD!$F$3:$F$5001,"&lt;&gt;")=0,"",SUMIFS(BD!$F$3:$F$5001,BD!$A$3:$A$5001,Y$3,BD!$B$3:$B$5001,$A$79)))</f>
        <v/>
      </c>
      <c r="Z82" s="180" t="str">
        <f>IF(Z$3="","",IF(COUNTIFS(BD!$A$3:$A$5001,Z$3,BD!$B$3:$B$5001,$A$79,BD!$F$3:$F$5001,"&lt;&gt;")=0,"",SUMIFS(BD!$F$3:$F$5001,BD!$A$3:$A$5001,Z$3,BD!$B$3:$B$5001,$A$79)))</f>
        <v/>
      </c>
      <c r="AA82" s="180" t="str">
        <f>IF(AA$3="","",IF(COUNTIFS(BD!$A$3:$A$5001,AA$3,BD!$B$3:$B$5001,$A$79,BD!$F$3:$F$5001,"&lt;&gt;")=0,"",SUMIFS(BD!$F$3:$F$5001,BD!$A$3:$A$5001,AA$3,BD!$B$3:$B$5001,$A$79)))</f>
        <v/>
      </c>
      <c r="AB82" s="180" t="str">
        <f>IF(AB$3="","",IF(COUNTIFS(BD!$A$3:$A$5001,AB$3,BD!$B$3:$B$5001,$A$79,BD!$F$3:$F$5001,"&lt;&gt;")=0,"",SUMIFS(BD!$F$3:$F$5001,BD!$A$3:$A$5001,AB$3,BD!$B$3:$B$5001,$A$79)))</f>
        <v/>
      </c>
      <c r="AC82" s="180" t="str">
        <f>IF(AC$3="","",IF(COUNTIFS(BD!$A$3:$A$5001,AC$3,BD!$B$3:$B$5001,$A$79,BD!$F$3:$F$5001,"&lt;&gt;")=0,"",SUMIFS(BD!$F$3:$F$5001,BD!$A$3:$A$5001,AC$3,BD!$B$3:$B$5001,$A$79)))</f>
        <v/>
      </c>
      <c r="AD82" s="180" t="str">
        <f>IF(AD$3="","",IF(COUNTIFS(BD!$A$3:$A$5001,AD$3,BD!$B$3:$B$5001,$A$79,BD!$F$3:$F$5001,"&lt;&gt;")=0,"",SUMIFS(BD!$F$3:$F$5001,BD!$A$3:$A$5001,AD$3,BD!$B$3:$B$5001,$A$79)))</f>
        <v/>
      </c>
      <c r="AE82" s="180" t="str">
        <f>IF(AE$3="","",IF(COUNTIFS(BD!$A$3:$A$5001,AE$3,BD!$B$3:$B$5001,$A$79,BD!$F$3:$F$5001,"&lt;&gt;")=0,"",SUMIFS(BD!$F$3:$F$5001,BD!$A$3:$A$5001,AE$3,BD!$B$3:$B$5001,$A$79)))</f>
        <v/>
      </c>
      <c r="AF82" s="180" t="str">
        <f>IF(AF$3="","",IF(COUNTIFS(BD!$A$3:$A$5001,AF$3,BD!$B$3:$B$5001,$A$79,BD!$F$3:$F$5001,"&lt;&gt;")=0,"",SUMIFS(BD!$F$3:$F$5001,BD!$A$3:$A$5001,AF$3,BD!$B$3:$B$5001,$A$79)))</f>
        <v/>
      </c>
      <c r="AG82" s="180" t="str">
        <f>IF(AG$3="","",IF(COUNTIFS(BD!$A$3:$A$5001,AG$3,BD!$B$3:$B$5001,$A$79,BD!$F$3:$F$5001,"&lt;&gt;")=0,"",SUMIFS(BD!$F$3:$F$5001,BD!$A$3:$A$5001,AG$3,BD!$B$3:$B$5001,$A$79)))</f>
        <v/>
      </c>
      <c r="AH82" s="180" t="str">
        <f>IF(AH$3="","",IF(COUNTIFS(BD!$A$3:$A$5001,AH$3,BD!$B$3:$B$5001,$A$79,BD!$F$3:$F$5001,"&lt;&gt;")=0,"",SUMIFS(BD!$F$3:$F$5001,BD!$A$3:$A$5001,AH$3,BD!$B$3:$B$5001,$A$79)))</f>
        <v/>
      </c>
      <c r="AI82" s="180" t="str">
        <f>IF(AI$3="","",IF(COUNTIFS(BD!$A$3:$A$5001,AI$3,BD!$B$3:$B$5001,$A$79,BD!$F$3:$F$5001,"&lt;&gt;")=0,"",SUMIFS(BD!$F$3:$F$5001,BD!$A$3:$A$5001,AI$3,BD!$B$3:$B$5001,$A$79)))</f>
        <v/>
      </c>
      <c r="AJ82" s="181" t="str">
        <f>IF(AJ$3="","",IF(COUNTIFS(BD!$A$3:$A$5001,AJ$3,BD!$B$3:$B$5001,$A$79,BD!$F$3:$F$5001,"&lt;&gt;")=0,"",SUMIFS(BD!$F$3:$F$5001,BD!$A$3:$A$5001,AJ$3,BD!$B$3:$B$5001,$A$79)))</f>
        <v/>
      </c>
      <c r="AK82" s="182" t="str">
        <f>IF(COUNT(F82:AJ82)=0,"",SUM(F82:AJ82))</f>
        <v/>
      </c>
    </row>
    <row r="83" ht="15.75" customHeight="1">
      <c r="A83" s="254"/>
      <c r="B83" s="245"/>
      <c r="C83" s="183" t="inlineStr">
        <is>
          <t xml:space="preserve">Pallets Movimentados</t>
        </is>
      </c>
      <c r="D83" s="184" t="str">
        <f>IFERROR(1/(1/INDEX(BD!$Y$27:$AS$27,MATCH($A$79,BD!$Y$22:$AS$22,0))),"")</f>
        <v/>
      </c>
      <c r="E83" s="185"/>
      <c r="F83" s="186" t="str">
        <f>IF(F$3="","",IF(COUNTIFS(BD!$A$3:$A$5001,F$3,BD!$B$3:$B$5001,$A$79,BD!$G$3:$G$5001,"&lt;&gt;")=0,"",SUMIFS(BD!$G$3:$G$5001,BD!$A$3:$A$5001,F$3,BD!$B$3:$B$5001,$A$79)))</f>
        <v/>
      </c>
      <c r="G83" s="187" t="str">
        <f>IF(G$3="","",IF(COUNTIFS(BD!$A$3:$A$5001,G$3,BD!$B$3:$B$5001,$A$79,BD!$G$3:$G$5001,"&lt;&gt;")=0,"",SUMIFS(BD!$G$3:$G$5001,BD!$A$3:$A$5001,G$3,BD!$B$3:$B$5001,$A$79)))</f>
        <v/>
      </c>
      <c r="H83" s="187" t="str">
        <f>IF(H$3="","",IF(COUNTIFS(BD!$A$3:$A$5001,H$3,BD!$B$3:$B$5001,$A$79,BD!$G$3:$G$5001,"&lt;&gt;")=0,"",SUMIFS(BD!$G$3:$G$5001,BD!$A$3:$A$5001,H$3,BD!$B$3:$B$5001,$A$79)))</f>
        <v/>
      </c>
      <c r="I83" s="187" t="str">
        <f>IF(I$3="","",IF(COUNTIFS(BD!$A$3:$A$5001,I$3,BD!$B$3:$B$5001,$A$79,BD!$G$3:$G$5001,"&lt;&gt;")=0,"",SUMIFS(BD!$G$3:$G$5001,BD!$A$3:$A$5001,I$3,BD!$B$3:$B$5001,$A$79)))</f>
        <v/>
      </c>
      <c r="J83" s="187" t="str">
        <f>IF(J$3="","",IF(COUNTIFS(BD!$A$3:$A$5001,J$3,BD!$B$3:$B$5001,$A$79,BD!$G$3:$G$5001,"&lt;&gt;")=0,"",SUMIFS(BD!$G$3:$G$5001,BD!$A$3:$A$5001,J$3,BD!$B$3:$B$5001,$A$79)))</f>
        <v/>
      </c>
      <c r="K83" s="187" t="str">
        <f>IF(K$3="","",IF(COUNTIFS(BD!$A$3:$A$5001,K$3,BD!$B$3:$B$5001,$A$79,BD!$G$3:$G$5001,"&lt;&gt;")=0,"",SUMIFS(BD!$G$3:$G$5001,BD!$A$3:$A$5001,K$3,BD!$B$3:$B$5001,$A$79)))</f>
        <v/>
      </c>
      <c r="L83" s="187" t="str">
        <f>IF(L$3="","",IF(COUNTIFS(BD!$A$3:$A$5001,L$3,BD!$B$3:$B$5001,$A$79,BD!$G$3:$G$5001,"&lt;&gt;")=0,"",SUMIFS(BD!$G$3:$G$5001,BD!$A$3:$A$5001,L$3,BD!$B$3:$B$5001,$A$79)))</f>
        <v/>
      </c>
      <c r="M83" s="187" t="str">
        <f>IF(M$3="","",IF(COUNTIFS(BD!$A$3:$A$5001,M$3,BD!$B$3:$B$5001,$A$79,BD!$G$3:$G$5001,"&lt;&gt;")=0,"",SUMIFS(BD!$G$3:$G$5001,BD!$A$3:$A$5001,M$3,BD!$B$3:$B$5001,$A$79)))</f>
        <v/>
      </c>
      <c r="N83" s="187" t="str">
        <f>IF(N$3="","",IF(COUNTIFS(BD!$A$3:$A$5001,N$3,BD!$B$3:$B$5001,$A$79,BD!$G$3:$G$5001,"&lt;&gt;")=0,"",SUMIFS(BD!$G$3:$G$5001,BD!$A$3:$A$5001,N$3,BD!$B$3:$B$5001,$A$79)))</f>
        <v/>
      </c>
      <c r="O83" s="187" t="str">
        <f>IF(O$3="","",IF(COUNTIFS(BD!$A$3:$A$5001,O$3,BD!$B$3:$B$5001,$A$79,BD!$G$3:$G$5001,"&lt;&gt;")=0,"",SUMIFS(BD!$G$3:$G$5001,BD!$A$3:$A$5001,O$3,BD!$B$3:$B$5001,$A$79)))</f>
        <v/>
      </c>
      <c r="P83" s="187" t="str">
        <f>IF(P$3="","",IF(COUNTIFS(BD!$A$3:$A$5001,P$3,BD!$B$3:$B$5001,$A$79,BD!$G$3:$G$5001,"&lt;&gt;")=0,"",SUMIFS(BD!$G$3:$G$5001,BD!$A$3:$A$5001,P$3,BD!$B$3:$B$5001,$A$79)))</f>
        <v/>
      </c>
      <c r="Q83" s="187" t="str">
        <f>IF(Q$3="","",IF(COUNTIFS(BD!$A$3:$A$5001,Q$3,BD!$B$3:$B$5001,$A$79,BD!$G$3:$G$5001,"&lt;&gt;")=0,"",SUMIFS(BD!$G$3:$G$5001,BD!$A$3:$A$5001,Q$3,BD!$B$3:$B$5001,$A$79)))</f>
        <v/>
      </c>
      <c r="R83" s="187" t="str">
        <f>IF(R$3="","",IF(COUNTIFS(BD!$A$3:$A$5001,R$3,BD!$B$3:$B$5001,$A$79,BD!$G$3:$G$5001,"&lt;&gt;")=0,"",SUMIFS(BD!$G$3:$G$5001,BD!$A$3:$A$5001,R$3,BD!$B$3:$B$5001,$A$79)))</f>
        <v/>
      </c>
      <c r="S83" s="187" t="str">
        <f>IF(S$3="","",IF(COUNTIFS(BD!$A$3:$A$5001,S$3,BD!$B$3:$B$5001,$A$79,BD!$G$3:$G$5001,"&lt;&gt;")=0,"",SUMIFS(BD!$G$3:$G$5001,BD!$A$3:$A$5001,S$3,BD!$B$3:$B$5001,$A$79)))</f>
        <v/>
      </c>
      <c r="T83" s="187" t="str">
        <f>IF(T$3="","",IF(COUNTIFS(BD!$A$3:$A$5001,T$3,BD!$B$3:$B$5001,$A$79,BD!$G$3:$G$5001,"&lt;&gt;")=0,"",SUMIFS(BD!$G$3:$G$5001,BD!$A$3:$A$5001,T$3,BD!$B$3:$B$5001,$A$79)))</f>
        <v/>
      </c>
      <c r="U83" s="187" t="str">
        <f>IF(U$3="","",IF(COUNTIFS(BD!$A$3:$A$5001,U$3,BD!$B$3:$B$5001,$A$79,BD!$G$3:$G$5001,"&lt;&gt;")=0,"",SUMIFS(BD!$G$3:$G$5001,BD!$A$3:$A$5001,U$3,BD!$B$3:$B$5001,$A$79)))</f>
        <v/>
      </c>
      <c r="V83" s="187" t="str">
        <f>IF(V$3="","",IF(COUNTIFS(BD!$A$3:$A$5001,V$3,BD!$B$3:$B$5001,$A$79,BD!$G$3:$G$5001,"&lt;&gt;")=0,"",SUMIFS(BD!$G$3:$G$5001,BD!$A$3:$A$5001,V$3,BD!$B$3:$B$5001,$A$79)))</f>
        <v/>
      </c>
      <c r="W83" s="187" t="str">
        <f>IF(W$3="","",IF(COUNTIFS(BD!$A$3:$A$5001,W$3,BD!$B$3:$B$5001,$A$79,BD!$G$3:$G$5001,"&lt;&gt;")=0,"",SUMIFS(BD!$G$3:$G$5001,BD!$A$3:$A$5001,W$3,BD!$B$3:$B$5001,$A$79)))</f>
        <v/>
      </c>
      <c r="X83" s="187" t="str">
        <f>IF(X$3="","",IF(COUNTIFS(BD!$A$3:$A$5001,X$3,BD!$B$3:$B$5001,$A$79,BD!$G$3:$G$5001,"&lt;&gt;")=0,"",SUMIFS(BD!$G$3:$G$5001,BD!$A$3:$A$5001,X$3,BD!$B$3:$B$5001,$A$79)))</f>
        <v/>
      </c>
      <c r="Y83" s="187" t="str">
        <f>IF(Y$3="","",IF(COUNTIFS(BD!$A$3:$A$5001,Y$3,BD!$B$3:$B$5001,$A$79,BD!$G$3:$G$5001,"&lt;&gt;")=0,"",SUMIFS(BD!$G$3:$G$5001,BD!$A$3:$A$5001,Y$3,BD!$B$3:$B$5001,$A$79)))</f>
        <v/>
      </c>
      <c r="Z83" s="187" t="str">
        <f>IF(Z$3="","",IF(COUNTIFS(BD!$A$3:$A$5001,Z$3,BD!$B$3:$B$5001,$A$79,BD!$G$3:$G$5001,"&lt;&gt;")=0,"",SUMIFS(BD!$G$3:$G$5001,BD!$A$3:$A$5001,Z$3,BD!$B$3:$B$5001,$A$79)))</f>
        <v/>
      </c>
      <c r="AA83" s="187" t="str">
        <f>IF(AA$3="","",IF(COUNTIFS(BD!$A$3:$A$5001,AA$3,BD!$B$3:$B$5001,$A$79,BD!$G$3:$G$5001,"&lt;&gt;")=0,"",SUMIFS(BD!$G$3:$G$5001,BD!$A$3:$A$5001,AA$3,BD!$B$3:$B$5001,$A$79)))</f>
        <v/>
      </c>
      <c r="AB83" s="187" t="str">
        <f>IF(AB$3="","",IF(COUNTIFS(BD!$A$3:$A$5001,AB$3,BD!$B$3:$B$5001,$A$79,BD!$G$3:$G$5001,"&lt;&gt;")=0,"",SUMIFS(BD!$G$3:$G$5001,BD!$A$3:$A$5001,AB$3,BD!$B$3:$B$5001,$A$79)))</f>
        <v/>
      </c>
      <c r="AC83" s="187" t="str">
        <f>IF(AC$3="","",IF(COUNTIFS(BD!$A$3:$A$5001,AC$3,BD!$B$3:$B$5001,$A$79,BD!$G$3:$G$5001,"&lt;&gt;")=0,"",SUMIFS(BD!$G$3:$G$5001,BD!$A$3:$A$5001,AC$3,BD!$B$3:$B$5001,$A$79)))</f>
        <v/>
      </c>
      <c r="AD83" s="187" t="str">
        <f>IF(AD$3="","",IF(COUNTIFS(BD!$A$3:$A$5001,AD$3,BD!$B$3:$B$5001,$A$79,BD!$G$3:$G$5001,"&lt;&gt;")=0,"",SUMIFS(BD!$G$3:$G$5001,BD!$A$3:$A$5001,AD$3,BD!$B$3:$B$5001,$A$79)))</f>
        <v/>
      </c>
      <c r="AE83" s="187" t="str">
        <f>IF(AE$3="","",IF(COUNTIFS(BD!$A$3:$A$5001,AE$3,BD!$B$3:$B$5001,$A$79,BD!$G$3:$G$5001,"&lt;&gt;")=0,"",SUMIFS(BD!$G$3:$G$5001,BD!$A$3:$A$5001,AE$3,BD!$B$3:$B$5001,$A$79)))</f>
        <v/>
      </c>
      <c r="AF83" s="187" t="str">
        <f>IF(AF$3="","",IF(COUNTIFS(BD!$A$3:$A$5001,AF$3,BD!$B$3:$B$5001,$A$79,BD!$G$3:$G$5001,"&lt;&gt;")=0,"",SUMIFS(BD!$G$3:$G$5001,BD!$A$3:$A$5001,AF$3,BD!$B$3:$B$5001,$A$79)))</f>
        <v/>
      </c>
      <c r="AG83" s="187" t="str">
        <f>IF(AG$3="","",IF(COUNTIFS(BD!$A$3:$A$5001,AG$3,BD!$B$3:$B$5001,$A$79,BD!$G$3:$G$5001,"&lt;&gt;")=0,"",SUMIFS(BD!$G$3:$G$5001,BD!$A$3:$A$5001,AG$3,BD!$B$3:$B$5001,$A$79)))</f>
        <v/>
      </c>
      <c r="AH83" s="187" t="str">
        <f>IF(AH$3="","",IF(COUNTIFS(BD!$A$3:$A$5001,AH$3,BD!$B$3:$B$5001,$A$79,BD!$G$3:$G$5001,"&lt;&gt;")=0,"",SUMIFS(BD!$G$3:$G$5001,BD!$A$3:$A$5001,AH$3,BD!$B$3:$B$5001,$A$79)))</f>
        <v/>
      </c>
      <c r="AI83" s="187" t="str">
        <f>IF(AI$3="","",IF(COUNTIFS(BD!$A$3:$A$5001,AI$3,BD!$B$3:$B$5001,$A$79,BD!$G$3:$G$5001,"&lt;&gt;")=0,"",SUMIFS(BD!$G$3:$G$5001,BD!$A$3:$A$5001,AI$3,BD!$B$3:$B$5001,$A$79)))</f>
        <v/>
      </c>
      <c r="AJ83" s="188" t="str">
        <f>IF(AJ$3="","",IF(COUNTIFS(BD!$A$3:$A$5001,AJ$3,BD!$B$3:$B$5001,$A$79,BD!$G$3:$G$5001,"&lt;&gt;")=0,"",SUMIFS(BD!$G$3:$G$5001,BD!$A$3:$A$5001,AJ$3,BD!$B$3:$B$5001,$A$79)))</f>
        <v/>
      </c>
      <c r="AK83" s="189" t="str">
        <f>IF(COUNT(F83:AJ83)=0,"",SUM(F83:AJ83))</f>
        <v/>
      </c>
    </row>
    <row r="84" ht="15.75" customHeight="1">
      <c r="A84" s="254"/>
      <c r="B84" s="246"/>
      <c r="C84" s="190" t="inlineStr">
        <is>
          <t xml:space="preserve">Toneladas Movimentadas</t>
        </is>
      </c>
      <c r="D84" s="191" t="str">
        <f>IFERROR(1/(1/INDEX(BD!$Y$28:$AS$28,MATCH($A$79,BD!$Y$22:$AS$22,0))),"")</f>
        <v/>
      </c>
      <c r="E84" s="192"/>
      <c r="F84" s="193" t="str">
        <f>IF(F$3="","",IF(COUNTIFS(BD!$A$3:$A$5001,F$3,BD!$B$3:$B$5001,$A$79,BD!$H$3:$H$5001,"&lt;&gt;")=0,"",SUMIFS(BD!$H$3:$H$5001,BD!$A$3:$A$5001,F$3,BD!$B$3:$B$5001,$A$79)))</f>
        <v/>
      </c>
      <c r="G84" s="194" t="str">
        <f>IF(G$3="","",IF(COUNTIFS(BD!$A$3:$A$5001,G$3,BD!$B$3:$B$5001,$A$79,BD!$H$3:$H$5001,"&lt;&gt;")=0,"",SUMIFS(BD!$H$3:$H$5001,BD!$A$3:$A$5001,G$3,BD!$B$3:$B$5001,$A$79)))</f>
        <v/>
      </c>
      <c r="H84" s="194" t="str">
        <f>IF(H$3="","",IF(COUNTIFS(BD!$A$3:$A$5001,H$3,BD!$B$3:$B$5001,$A$79,BD!$H$3:$H$5001,"&lt;&gt;")=0,"",SUMIFS(BD!$H$3:$H$5001,BD!$A$3:$A$5001,H$3,BD!$B$3:$B$5001,$A$79)))</f>
        <v/>
      </c>
      <c r="I84" s="194" t="str">
        <f>IF(I$3="","",IF(COUNTIFS(BD!$A$3:$A$5001,I$3,BD!$B$3:$B$5001,$A$79,BD!$H$3:$H$5001,"&lt;&gt;")=0,"",SUMIFS(BD!$H$3:$H$5001,BD!$A$3:$A$5001,I$3,BD!$B$3:$B$5001,$A$79)))</f>
        <v/>
      </c>
      <c r="J84" s="194" t="str">
        <f>IF(J$3="","",IF(COUNTIFS(BD!$A$3:$A$5001,J$3,BD!$B$3:$B$5001,$A$79,BD!$H$3:$H$5001,"&lt;&gt;")=0,"",SUMIFS(BD!$H$3:$H$5001,BD!$A$3:$A$5001,J$3,BD!$B$3:$B$5001,$A$79)))</f>
        <v/>
      </c>
      <c r="K84" s="194" t="str">
        <f>IF(K$3="","",IF(COUNTIFS(BD!$A$3:$A$5001,K$3,BD!$B$3:$B$5001,$A$79,BD!$H$3:$H$5001,"&lt;&gt;")=0,"",SUMIFS(BD!$H$3:$H$5001,BD!$A$3:$A$5001,K$3,BD!$B$3:$B$5001,$A$79)))</f>
        <v/>
      </c>
      <c r="L84" s="194" t="str">
        <f>IF(L$3="","",IF(COUNTIFS(BD!$A$3:$A$5001,L$3,BD!$B$3:$B$5001,$A$79,BD!$H$3:$H$5001,"&lt;&gt;")=0,"",SUMIFS(BD!$H$3:$H$5001,BD!$A$3:$A$5001,L$3,BD!$B$3:$B$5001,$A$79)))</f>
        <v/>
      </c>
      <c r="M84" s="194" t="str">
        <f>IF(M$3="","",IF(COUNTIFS(BD!$A$3:$A$5001,M$3,BD!$B$3:$B$5001,$A$79,BD!$H$3:$H$5001,"&lt;&gt;")=0,"",SUMIFS(BD!$H$3:$H$5001,BD!$A$3:$A$5001,M$3,BD!$B$3:$B$5001,$A$79)))</f>
        <v/>
      </c>
      <c r="N84" s="194" t="str">
        <f>IF(N$3="","",IF(COUNTIFS(BD!$A$3:$A$5001,N$3,BD!$B$3:$B$5001,$A$79,BD!$H$3:$H$5001,"&lt;&gt;")=0,"",SUMIFS(BD!$H$3:$H$5001,BD!$A$3:$A$5001,N$3,BD!$B$3:$B$5001,$A$79)))</f>
        <v/>
      </c>
      <c r="O84" s="194" t="str">
        <f>IF(O$3="","",IF(COUNTIFS(BD!$A$3:$A$5001,O$3,BD!$B$3:$B$5001,$A$79,BD!$H$3:$H$5001,"&lt;&gt;")=0,"",SUMIFS(BD!$H$3:$H$5001,BD!$A$3:$A$5001,O$3,BD!$B$3:$B$5001,$A$79)))</f>
        <v/>
      </c>
      <c r="P84" s="194" t="str">
        <f>IF(P$3="","",IF(COUNTIFS(BD!$A$3:$A$5001,P$3,BD!$B$3:$B$5001,$A$79,BD!$H$3:$H$5001,"&lt;&gt;")=0,"",SUMIFS(BD!$H$3:$H$5001,BD!$A$3:$A$5001,P$3,BD!$B$3:$B$5001,$A$79)))</f>
        <v/>
      </c>
      <c r="Q84" s="194" t="str">
        <f>IF(Q$3="","",IF(COUNTIFS(BD!$A$3:$A$5001,Q$3,BD!$B$3:$B$5001,$A$79,BD!$H$3:$H$5001,"&lt;&gt;")=0,"",SUMIFS(BD!$H$3:$H$5001,BD!$A$3:$A$5001,Q$3,BD!$B$3:$B$5001,$A$79)))</f>
        <v/>
      </c>
      <c r="R84" s="194" t="str">
        <f>IF(R$3="","",IF(COUNTIFS(BD!$A$3:$A$5001,R$3,BD!$B$3:$B$5001,$A$79,BD!$H$3:$H$5001,"&lt;&gt;")=0,"",SUMIFS(BD!$H$3:$H$5001,BD!$A$3:$A$5001,R$3,BD!$B$3:$B$5001,$A$79)))</f>
        <v/>
      </c>
      <c r="S84" s="194" t="str">
        <f>IF(S$3="","",IF(COUNTIFS(BD!$A$3:$A$5001,S$3,BD!$B$3:$B$5001,$A$79,BD!$H$3:$H$5001,"&lt;&gt;")=0,"",SUMIFS(BD!$H$3:$H$5001,BD!$A$3:$A$5001,S$3,BD!$B$3:$B$5001,$A$79)))</f>
        <v/>
      </c>
      <c r="T84" s="194" t="str">
        <f>IF(T$3="","",IF(COUNTIFS(BD!$A$3:$A$5001,T$3,BD!$B$3:$B$5001,$A$79,BD!$H$3:$H$5001,"&lt;&gt;")=0,"",SUMIFS(BD!$H$3:$H$5001,BD!$A$3:$A$5001,T$3,BD!$B$3:$B$5001,$A$79)))</f>
        <v/>
      </c>
      <c r="U84" s="194" t="str">
        <f>IF(U$3="","",IF(COUNTIFS(BD!$A$3:$A$5001,U$3,BD!$B$3:$B$5001,$A$79,BD!$H$3:$H$5001,"&lt;&gt;")=0,"",SUMIFS(BD!$H$3:$H$5001,BD!$A$3:$A$5001,U$3,BD!$B$3:$B$5001,$A$79)))</f>
        <v/>
      </c>
      <c r="V84" s="194" t="str">
        <f>IF(V$3="","",IF(COUNTIFS(BD!$A$3:$A$5001,V$3,BD!$B$3:$B$5001,$A$79,BD!$H$3:$H$5001,"&lt;&gt;")=0,"",SUMIFS(BD!$H$3:$H$5001,BD!$A$3:$A$5001,V$3,BD!$B$3:$B$5001,$A$79)))</f>
        <v/>
      </c>
      <c r="W84" s="194" t="str">
        <f>IF(W$3="","",IF(COUNTIFS(BD!$A$3:$A$5001,W$3,BD!$B$3:$B$5001,$A$79,BD!$H$3:$H$5001,"&lt;&gt;")=0,"",SUMIFS(BD!$H$3:$H$5001,BD!$A$3:$A$5001,W$3,BD!$B$3:$B$5001,$A$79)))</f>
        <v/>
      </c>
      <c r="X84" s="194" t="str">
        <f>IF(X$3="","",IF(COUNTIFS(BD!$A$3:$A$5001,X$3,BD!$B$3:$B$5001,$A$79,BD!$H$3:$H$5001,"&lt;&gt;")=0,"",SUMIFS(BD!$H$3:$H$5001,BD!$A$3:$A$5001,X$3,BD!$B$3:$B$5001,$A$79)))</f>
        <v/>
      </c>
      <c r="Y84" s="194" t="str">
        <f>IF(Y$3="","",IF(COUNTIFS(BD!$A$3:$A$5001,Y$3,BD!$B$3:$B$5001,$A$79,BD!$H$3:$H$5001,"&lt;&gt;")=0,"",SUMIFS(BD!$H$3:$H$5001,BD!$A$3:$A$5001,Y$3,BD!$B$3:$B$5001,$A$79)))</f>
        <v/>
      </c>
      <c r="Z84" s="194" t="str">
        <f>IF(Z$3="","",IF(COUNTIFS(BD!$A$3:$A$5001,Z$3,BD!$B$3:$B$5001,$A$79,BD!$H$3:$H$5001,"&lt;&gt;")=0,"",SUMIFS(BD!$H$3:$H$5001,BD!$A$3:$A$5001,Z$3,BD!$B$3:$B$5001,$A$79)))</f>
        <v/>
      </c>
      <c r="AA84" s="194" t="str">
        <f>IF(AA$3="","",IF(COUNTIFS(BD!$A$3:$A$5001,AA$3,BD!$B$3:$B$5001,$A$79,BD!$H$3:$H$5001,"&lt;&gt;")=0,"",SUMIFS(BD!$H$3:$H$5001,BD!$A$3:$A$5001,AA$3,BD!$B$3:$B$5001,$A$79)))</f>
        <v/>
      </c>
      <c r="AB84" s="194" t="str">
        <f>IF(AB$3="","",IF(COUNTIFS(BD!$A$3:$A$5001,AB$3,BD!$B$3:$B$5001,$A$79,BD!$H$3:$H$5001,"&lt;&gt;")=0,"",SUMIFS(BD!$H$3:$H$5001,BD!$A$3:$A$5001,AB$3,BD!$B$3:$B$5001,$A$79)))</f>
        <v/>
      </c>
      <c r="AC84" s="194" t="str">
        <f>IF(AC$3="","",IF(COUNTIFS(BD!$A$3:$A$5001,AC$3,BD!$B$3:$B$5001,$A$79,BD!$H$3:$H$5001,"&lt;&gt;")=0,"",SUMIFS(BD!$H$3:$H$5001,BD!$A$3:$A$5001,AC$3,BD!$B$3:$B$5001,$A$79)))</f>
        <v/>
      </c>
      <c r="AD84" s="194" t="str">
        <f>IF(AD$3="","",IF(COUNTIFS(BD!$A$3:$A$5001,AD$3,BD!$B$3:$B$5001,$A$79,BD!$H$3:$H$5001,"&lt;&gt;")=0,"",SUMIFS(BD!$H$3:$H$5001,BD!$A$3:$A$5001,AD$3,BD!$B$3:$B$5001,$A$79)))</f>
        <v/>
      </c>
      <c r="AE84" s="194" t="str">
        <f>IF(AE$3="","",IF(COUNTIFS(BD!$A$3:$A$5001,AE$3,BD!$B$3:$B$5001,$A$79,BD!$H$3:$H$5001,"&lt;&gt;")=0,"",SUMIFS(BD!$H$3:$H$5001,BD!$A$3:$A$5001,AE$3,BD!$B$3:$B$5001,$A$79)))</f>
        <v/>
      </c>
      <c r="AF84" s="194" t="str">
        <f>IF(AF$3="","",IF(COUNTIFS(BD!$A$3:$A$5001,AF$3,BD!$B$3:$B$5001,$A$79,BD!$H$3:$H$5001,"&lt;&gt;")=0,"",SUMIFS(BD!$H$3:$H$5001,BD!$A$3:$A$5001,AF$3,BD!$B$3:$B$5001,$A$79)))</f>
        <v/>
      </c>
      <c r="AG84" s="194" t="str">
        <f>IF(AG$3="","",IF(COUNTIFS(BD!$A$3:$A$5001,AG$3,BD!$B$3:$B$5001,$A$79,BD!$H$3:$H$5001,"&lt;&gt;")=0,"",SUMIFS(BD!$H$3:$H$5001,BD!$A$3:$A$5001,AG$3,BD!$B$3:$B$5001,$A$79)))</f>
        <v/>
      </c>
      <c r="AH84" s="194" t="str">
        <f>IF(AH$3="","",IF(COUNTIFS(BD!$A$3:$A$5001,AH$3,BD!$B$3:$B$5001,$A$79,BD!$H$3:$H$5001,"&lt;&gt;")=0,"",SUMIFS(BD!$H$3:$H$5001,BD!$A$3:$A$5001,AH$3,BD!$B$3:$B$5001,$A$79)))</f>
        <v/>
      </c>
      <c r="AI84" s="194" t="str">
        <f>IF(AI$3="","",IF(COUNTIFS(BD!$A$3:$A$5001,AI$3,BD!$B$3:$B$5001,$A$79,BD!$H$3:$H$5001,"&lt;&gt;")=0,"",SUMIFS(BD!$H$3:$H$5001,BD!$A$3:$A$5001,AI$3,BD!$B$3:$B$5001,$A$79)))</f>
        <v/>
      </c>
      <c r="AJ84" s="195" t="str">
        <f>IF(AJ$3="","",IF(COUNTIFS(BD!$A$3:$A$5001,AJ$3,BD!$B$3:$B$5001,$A$79,BD!$H$3:$H$5001,"&lt;&gt;")=0,"",SUMIFS(BD!$H$3:$H$5001,BD!$A$3:$A$5001,AJ$3,BD!$B$3:$B$5001,$A$79)))</f>
        <v/>
      </c>
      <c r="AK84" s="196" t="str">
        <f>IF(COUNT(F84:AJ84)=0,"",SUM(F84:AJ84))</f>
        <v/>
      </c>
    </row>
    <row r="85" ht="15.75" customHeight="1">
      <c r="A85" s="254"/>
      <c r="B85" s="247" t="inlineStr">
        <is>
          <t xml:space="preserve">NC</t>
        </is>
      </c>
      <c r="C85" s="197" t="inlineStr">
        <is>
          <t xml:space="preserve">Incidentes</t>
        </is>
      </c>
      <c r="D85" s="198" t="str">
        <f>IFERROR(1/(1/INDEX(BD!$Y$29:$AS$29,MATCH($A$79,BD!$Y$22:$AS$22,0))),"")</f>
        <v/>
      </c>
      <c r="E85" s="199"/>
      <c r="F85" s="200" t="str">
        <f>IF(F$3="","",IF(COUNTIFS(BD!$A$3:$A$5001,F$3,BD!$B$3:$B$5001,$A$79,BD!$I$3:$I$5001,"&lt;&gt;")=0,"",SUMIFS(BD!$I$3:$I$5001,BD!$A$3:$A$5001,F$3,BD!$B$3:$B$5001,$A$79)))</f>
        <v/>
      </c>
      <c r="G85" s="201" t="str">
        <f>IF(G$3="","",IF(COUNTIFS(BD!$A$3:$A$5001,G$3,BD!$B$3:$B$5001,$A$79,BD!$I$3:$I$5001,"&lt;&gt;")=0,"",SUMIFS(BD!$I$3:$I$5001,BD!$A$3:$A$5001,G$3,BD!$B$3:$B$5001,$A$79)))</f>
        <v/>
      </c>
      <c r="H85" s="201" t="str">
        <f>IF(H$3="","",IF(COUNTIFS(BD!$A$3:$A$5001,H$3,BD!$B$3:$B$5001,$A$79,BD!$I$3:$I$5001,"&lt;&gt;")=0,"",SUMIFS(BD!$I$3:$I$5001,BD!$A$3:$A$5001,H$3,BD!$B$3:$B$5001,$A$79)))</f>
        <v/>
      </c>
      <c r="I85" s="201" t="str">
        <f>IF(I$3="","",IF(COUNTIFS(BD!$A$3:$A$5001,I$3,BD!$B$3:$B$5001,$A$79,BD!$I$3:$I$5001,"&lt;&gt;")=0,"",SUMIFS(BD!$I$3:$I$5001,BD!$A$3:$A$5001,I$3,BD!$B$3:$B$5001,$A$79)))</f>
        <v/>
      </c>
      <c r="J85" s="201" t="str">
        <f>IF(J$3="","",IF(COUNTIFS(BD!$A$3:$A$5001,J$3,BD!$B$3:$B$5001,$A$79,BD!$I$3:$I$5001,"&lt;&gt;")=0,"",SUMIFS(BD!$I$3:$I$5001,BD!$A$3:$A$5001,J$3,BD!$B$3:$B$5001,$A$79)))</f>
        <v/>
      </c>
      <c r="K85" s="201" t="str">
        <f>IF(K$3="","",IF(COUNTIFS(BD!$A$3:$A$5001,K$3,BD!$B$3:$B$5001,$A$79,BD!$I$3:$I$5001,"&lt;&gt;")=0,"",SUMIFS(BD!$I$3:$I$5001,BD!$A$3:$A$5001,K$3,BD!$B$3:$B$5001,$A$79)))</f>
        <v/>
      </c>
      <c r="L85" s="201" t="str">
        <f>IF(L$3="","",IF(COUNTIFS(BD!$A$3:$A$5001,L$3,BD!$B$3:$B$5001,$A$79,BD!$I$3:$I$5001,"&lt;&gt;")=0,"",SUMIFS(BD!$I$3:$I$5001,BD!$A$3:$A$5001,L$3,BD!$B$3:$B$5001,$A$79)))</f>
        <v/>
      </c>
      <c r="M85" s="201" t="str">
        <f>IF(M$3="","",IF(COUNTIFS(BD!$A$3:$A$5001,M$3,BD!$B$3:$B$5001,$A$79,BD!$I$3:$I$5001,"&lt;&gt;")=0,"",SUMIFS(BD!$I$3:$I$5001,BD!$A$3:$A$5001,M$3,BD!$B$3:$B$5001,$A$79)))</f>
        <v/>
      </c>
      <c r="N85" s="201" t="str">
        <f>IF(N$3="","",IF(COUNTIFS(BD!$A$3:$A$5001,N$3,BD!$B$3:$B$5001,$A$79,BD!$I$3:$I$5001,"&lt;&gt;")=0,"",SUMIFS(BD!$I$3:$I$5001,BD!$A$3:$A$5001,N$3,BD!$B$3:$B$5001,$A$79)))</f>
        <v/>
      </c>
      <c r="O85" s="201" t="str">
        <f>IF(O$3="","",IF(COUNTIFS(BD!$A$3:$A$5001,O$3,BD!$B$3:$B$5001,$A$79,BD!$I$3:$I$5001,"&lt;&gt;")=0,"",SUMIFS(BD!$I$3:$I$5001,BD!$A$3:$A$5001,O$3,BD!$B$3:$B$5001,$A$79)))</f>
        <v/>
      </c>
      <c r="P85" s="201" t="str">
        <f>IF(P$3="","",IF(COUNTIFS(BD!$A$3:$A$5001,P$3,BD!$B$3:$B$5001,$A$79,BD!$I$3:$I$5001,"&lt;&gt;")=0,"",SUMIFS(BD!$I$3:$I$5001,BD!$A$3:$A$5001,P$3,BD!$B$3:$B$5001,$A$79)))</f>
        <v/>
      </c>
      <c r="Q85" s="201" t="str">
        <f>IF(Q$3="","",IF(COUNTIFS(BD!$A$3:$A$5001,Q$3,BD!$B$3:$B$5001,$A$79,BD!$I$3:$I$5001,"&lt;&gt;")=0,"",SUMIFS(BD!$I$3:$I$5001,BD!$A$3:$A$5001,Q$3,BD!$B$3:$B$5001,$A$79)))</f>
        <v/>
      </c>
      <c r="R85" s="201" t="str">
        <f>IF(R$3="","",IF(COUNTIFS(BD!$A$3:$A$5001,R$3,BD!$B$3:$B$5001,$A$79,BD!$I$3:$I$5001,"&lt;&gt;")=0,"",SUMIFS(BD!$I$3:$I$5001,BD!$A$3:$A$5001,R$3,BD!$B$3:$B$5001,$A$79)))</f>
        <v/>
      </c>
      <c r="S85" s="201" t="str">
        <f>IF(S$3="","",IF(COUNTIFS(BD!$A$3:$A$5001,S$3,BD!$B$3:$B$5001,$A$79,BD!$I$3:$I$5001,"&lt;&gt;")=0,"",SUMIFS(BD!$I$3:$I$5001,BD!$A$3:$A$5001,S$3,BD!$B$3:$B$5001,$A$79)))</f>
        <v/>
      </c>
      <c r="T85" s="201" t="str">
        <f>IF(T$3="","",IF(COUNTIFS(BD!$A$3:$A$5001,T$3,BD!$B$3:$B$5001,$A$79,BD!$I$3:$I$5001,"&lt;&gt;")=0,"",SUMIFS(BD!$I$3:$I$5001,BD!$A$3:$A$5001,T$3,BD!$B$3:$B$5001,$A$79)))</f>
        <v/>
      </c>
      <c r="U85" s="201" t="str">
        <f>IF(U$3="","",IF(COUNTIFS(BD!$A$3:$A$5001,U$3,BD!$B$3:$B$5001,$A$79,BD!$I$3:$I$5001,"&lt;&gt;")=0,"",SUMIFS(BD!$I$3:$I$5001,BD!$A$3:$A$5001,U$3,BD!$B$3:$B$5001,$A$79)))</f>
        <v/>
      </c>
      <c r="V85" s="201" t="str">
        <f>IF(V$3="","",IF(COUNTIFS(BD!$A$3:$A$5001,V$3,BD!$B$3:$B$5001,$A$79,BD!$I$3:$I$5001,"&lt;&gt;")=0,"",SUMIFS(BD!$I$3:$I$5001,BD!$A$3:$A$5001,V$3,BD!$B$3:$B$5001,$A$79)))</f>
        <v/>
      </c>
      <c r="W85" s="201" t="str">
        <f>IF(W$3="","",IF(COUNTIFS(BD!$A$3:$A$5001,W$3,BD!$B$3:$B$5001,$A$79,BD!$I$3:$I$5001,"&lt;&gt;")=0,"",SUMIFS(BD!$I$3:$I$5001,BD!$A$3:$A$5001,W$3,BD!$B$3:$B$5001,$A$79)))</f>
        <v/>
      </c>
      <c r="X85" s="201" t="str">
        <f>IF(X$3="","",IF(COUNTIFS(BD!$A$3:$A$5001,X$3,BD!$B$3:$B$5001,$A$79,BD!$I$3:$I$5001,"&lt;&gt;")=0,"",SUMIFS(BD!$I$3:$I$5001,BD!$A$3:$A$5001,X$3,BD!$B$3:$B$5001,$A$79)))</f>
        <v/>
      </c>
      <c r="Y85" s="201" t="str">
        <f>IF(Y$3="","",IF(COUNTIFS(BD!$A$3:$A$5001,Y$3,BD!$B$3:$B$5001,$A$79,BD!$I$3:$I$5001,"&lt;&gt;")=0,"",SUMIFS(BD!$I$3:$I$5001,BD!$A$3:$A$5001,Y$3,BD!$B$3:$B$5001,$A$79)))</f>
        <v/>
      </c>
      <c r="Z85" s="201" t="str">
        <f>IF(Z$3="","",IF(COUNTIFS(BD!$A$3:$A$5001,Z$3,BD!$B$3:$B$5001,$A$79,BD!$I$3:$I$5001,"&lt;&gt;")=0,"",SUMIFS(BD!$I$3:$I$5001,BD!$A$3:$A$5001,Z$3,BD!$B$3:$B$5001,$A$79)))</f>
        <v/>
      </c>
      <c r="AA85" s="201" t="str">
        <f>IF(AA$3="","",IF(COUNTIFS(BD!$A$3:$A$5001,AA$3,BD!$B$3:$B$5001,$A$79,BD!$I$3:$I$5001,"&lt;&gt;")=0,"",SUMIFS(BD!$I$3:$I$5001,BD!$A$3:$A$5001,AA$3,BD!$B$3:$B$5001,$A$79)))</f>
        <v/>
      </c>
      <c r="AB85" s="201" t="str">
        <f>IF(AB$3="","",IF(COUNTIFS(BD!$A$3:$A$5001,AB$3,BD!$B$3:$B$5001,$A$79,BD!$I$3:$I$5001,"&lt;&gt;")=0,"",SUMIFS(BD!$I$3:$I$5001,BD!$A$3:$A$5001,AB$3,BD!$B$3:$B$5001,$A$79)))</f>
        <v/>
      </c>
      <c r="AC85" s="201" t="str">
        <f>IF(AC$3="","",IF(COUNTIFS(BD!$A$3:$A$5001,AC$3,BD!$B$3:$B$5001,$A$79,BD!$I$3:$I$5001,"&lt;&gt;")=0,"",SUMIFS(BD!$I$3:$I$5001,BD!$A$3:$A$5001,AC$3,BD!$B$3:$B$5001,$A$79)))</f>
        <v/>
      </c>
      <c r="AD85" s="201" t="str">
        <f>IF(AD$3="","",IF(COUNTIFS(BD!$A$3:$A$5001,AD$3,BD!$B$3:$B$5001,$A$79,BD!$I$3:$I$5001,"&lt;&gt;")=0,"",SUMIFS(BD!$I$3:$I$5001,BD!$A$3:$A$5001,AD$3,BD!$B$3:$B$5001,$A$79)))</f>
        <v/>
      </c>
      <c r="AE85" s="201" t="str">
        <f>IF(AE$3="","",IF(COUNTIFS(BD!$A$3:$A$5001,AE$3,BD!$B$3:$B$5001,$A$79,BD!$I$3:$I$5001,"&lt;&gt;")=0,"",SUMIFS(BD!$I$3:$I$5001,BD!$A$3:$A$5001,AE$3,BD!$B$3:$B$5001,$A$79)))</f>
        <v/>
      </c>
      <c r="AF85" s="201" t="str">
        <f>IF(AF$3="","",IF(COUNTIFS(BD!$A$3:$A$5001,AF$3,BD!$B$3:$B$5001,$A$79,BD!$I$3:$I$5001,"&lt;&gt;")=0,"",SUMIFS(BD!$I$3:$I$5001,BD!$A$3:$A$5001,AF$3,BD!$B$3:$B$5001,$A$79)))</f>
        <v/>
      </c>
      <c r="AG85" s="201" t="str">
        <f>IF(AG$3="","",IF(COUNTIFS(BD!$A$3:$A$5001,AG$3,BD!$B$3:$B$5001,$A$79,BD!$I$3:$I$5001,"&lt;&gt;")=0,"",SUMIFS(BD!$I$3:$I$5001,BD!$A$3:$A$5001,AG$3,BD!$B$3:$B$5001,$A$79)))</f>
        <v/>
      </c>
      <c r="AH85" s="201" t="str">
        <f>IF(AH$3="","",IF(COUNTIFS(BD!$A$3:$A$5001,AH$3,BD!$B$3:$B$5001,$A$79,BD!$I$3:$I$5001,"&lt;&gt;")=0,"",SUMIFS(BD!$I$3:$I$5001,BD!$A$3:$A$5001,AH$3,BD!$B$3:$B$5001,$A$79)))</f>
        <v/>
      </c>
      <c r="AI85" s="201" t="str">
        <f>IF(AI$3="","",IF(COUNTIFS(BD!$A$3:$A$5001,AI$3,BD!$B$3:$B$5001,$A$79,BD!$I$3:$I$5001,"&lt;&gt;")=0,"",SUMIFS(BD!$I$3:$I$5001,BD!$A$3:$A$5001,AI$3,BD!$B$3:$B$5001,$A$79)))</f>
        <v/>
      </c>
      <c r="AJ85" s="202" t="str">
        <f>IF(AJ$3="","",IF(COUNTIFS(BD!$A$3:$A$5001,AJ$3,BD!$B$3:$B$5001,$A$79,BD!$I$3:$I$5001,"&lt;&gt;")=0,"",SUMIFS(BD!$I$3:$I$5001,BD!$A$3:$A$5001,AJ$3,BD!$B$3:$B$5001,$A$79)))</f>
        <v/>
      </c>
      <c r="AK85" s="203" t="str">
        <f>IF(COUNT(F85:AJ85)=0,"",SUM(F85:AJ85))</f>
        <v/>
      </c>
    </row>
    <row r="86" ht="15.75" customHeight="1">
      <c r="A86" s="254"/>
      <c r="B86" s="248"/>
      <c r="C86" s="204" t="inlineStr">
        <is>
          <t xml:space="preserve">No show</t>
        </is>
      </c>
      <c r="D86" s="205" t="str">
        <f>IFERROR(1/(1/INDEX(BD!$Y$30:$AS$30,MATCH($A$79,BD!$Y$22:$AS$22,0))),"")</f>
        <v/>
      </c>
      <c r="E86" s="206"/>
      <c r="F86" s="207" t="str">
        <f>IF(F$3="","",IF(COUNTIFS(BD!$A$3:$A$5001,F$3,BD!$B$3:$B$5001,$A$79,BD!$J$3:$J$5001,"&lt;&gt;")=0,"",SUMIFS(BD!$J$3:$J$5001,BD!$A$3:$A$5001,F$3,BD!$B$3:$B$5001,$A$79)))</f>
        <v/>
      </c>
      <c r="G86" s="208" t="str">
        <f>IF(G$3="","",IF(COUNTIFS(BD!$A$3:$A$5001,G$3,BD!$B$3:$B$5001,$A$79,BD!$J$3:$J$5001,"&lt;&gt;")=0,"",SUMIFS(BD!$J$3:$J$5001,BD!$A$3:$A$5001,G$3,BD!$B$3:$B$5001,$A$79)))</f>
        <v/>
      </c>
      <c r="H86" s="208" t="str">
        <f>IF(H$3="","",IF(COUNTIFS(BD!$A$3:$A$5001,H$3,BD!$B$3:$B$5001,$A$79,BD!$J$3:$J$5001,"&lt;&gt;")=0,"",SUMIFS(BD!$J$3:$J$5001,BD!$A$3:$A$5001,H$3,BD!$B$3:$B$5001,$A$79)))</f>
        <v/>
      </c>
      <c r="I86" s="208" t="str">
        <f>IF(I$3="","",IF(COUNTIFS(BD!$A$3:$A$5001,I$3,BD!$B$3:$B$5001,$A$79,BD!$J$3:$J$5001,"&lt;&gt;")=0,"",SUMIFS(BD!$J$3:$J$5001,BD!$A$3:$A$5001,I$3,BD!$B$3:$B$5001,$A$79)))</f>
        <v/>
      </c>
      <c r="J86" s="208" t="str">
        <f>IF(J$3="","",IF(COUNTIFS(BD!$A$3:$A$5001,J$3,BD!$B$3:$B$5001,$A$79,BD!$J$3:$J$5001,"&lt;&gt;")=0,"",SUMIFS(BD!$J$3:$J$5001,BD!$A$3:$A$5001,J$3,BD!$B$3:$B$5001,$A$79)))</f>
        <v/>
      </c>
      <c r="K86" s="208" t="str">
        <f>IF(K$3="","",IF(COUNTIFS(BD!$A$3:$A$5001,K$3,BD!$B$3:$B$5001,$A$79,BD!$J$3:$J$5001,"&lt;&gt;")=0,"",SUMIFS(BD!$J$3:$J$5001,BD!$A$3:$A$5001,K$3,BD!$B$3:$B$5001,$A$79)))</f>
        <v/>
      </c>
      <c r="L86" s="208" t="str">
        <f>IF(L$3="","",IF(COUNTIFS(BD!$A$3:$A$5001,L$3,BD!$B$3:$B$5001,$A$79,BD!$J$3:$J$5001,"&lt;&gt;")=0,"",SUMIFS(BD!$J$3:$J$5001,BD!$A$3:$A$5001,L$3,BD!$B$3:$B$5001,$A$79)))</f>
        <v/>
      </c>
      <c r="M86" s="208" t="str">
        <f>IF(M$3="","",IF(COUNTIFS(BD!$A$3:$A$5001,M$3,BD!$B$3:$B$5001,$A$79,BD!$J$3:$J$5001,"&lt;&gt;")=0,"",SUMIFS(BD!$J$3:$J$5001,BD!$A$3:$A$5001,M$3,BD!$B$3:$B$5001,$A$79)))</f>
        <v/>
      </c>
      <c r="N86" s="208" t="str">
        <f>IF(N$3="","",IF(COUNTIFS(BD!$A$3:$A$5001,N$3,BD!$B$3:$B$5001,$A$79,BD!$J$3:$J$5001,"&lt;&gt;")=0,"",SUMIFS(BD!$J$3:$J$5001,BD!$A$3:$A$5001,N$3,BD!$B$3:$B$5001,$A$79)))</f>
        <v/>
      </c>
      <c r="O86" s="208" t="str">
        <f>IF(O$3="","",IF(COUNTIFS(BD!$A$3:$A$5001,O$3,BD!$B$3:$B$5001,$A$79,BD!$J$3:$J$5001,"&lt;&gt;")=0,"",SUMIFS(BD!$J$3:$J$5001,BD!$A$3:$A$5001,O$3,BD!$B$3:$B$5001,$A$79)))</f>
        <v/>
      </c>
      <c r="P86" s="208" t="str">
        <f>IF(P$3="","",IF(COUNTIFS(BD!$A$3:$A$5001,P$3,BD!$B$3:$B$5001,$A$79,BD!$J$3:$J$5001,"&lt;&gt;")=0,"",SUMIFS(BD!$J$3:$J$5001,BD!$A$3:$A$5001,P$3,BD!$B$3:$B$5001,$A$79)))</f>
        <v/>
      </c>
      <c r="Q86" s="208" t="str">
        <f>IF(Q$3="","",IF(COUNTIFS(BD!$A$3:$A$5001,Q$3,BD!$B$3:$B$5001,$A$79,BD!$J$3:$J$5001,"&lt;&gt;")=0,"",SUMIFS(BD!$J$3:$J$5001,BD!$A$3:$A$5001,Q$3,BD!$B$3:$B$5001,$A$79)))</f>
        <v/>
      </c>
      <c r="R86" s="208" t="str">
        <f>IF(R$3="","",IF(COUNTIFS(BD!$A$3:$A$5001,R$3,BD!$B$3:$B$5001,$A$79,BD!$J$3:$J$5001,"&lt;&gt;")=0,"",SUMIFS(BD!$J$3:$J$5001,BD!$A$3:$A$5001,R$3,BD!$B$3:$B$5001,$A$79)))</f>
        <v/>
      </c>
      <c r="S86" s="208" t="str">
        <f>IF(S$3="","",IF(COUNTIFS(BD!$A$3:$A$5001,S$3,BD!$B$3:$B$5001,$A$79,BD!$J$3:$J$5001,"&lt;&gt;")=0,"",SUMIFS(BD!$J$3:$J$5001,BD!$A$3:$A$5001,S$3,BD!$B$3:$B$5001,$A$79)))</f>
        <v/>
      </c>
      <c r="T86" s="208" t="str">
        <f>IF(T$3="","",IF(COUNTIFS(BD!$A$3:$A$5001,T$3,BD!$B$3:$B$5001,$A$79,BD!$J$3:$J$5001,"&lt;&gt;")=0,"",SUMIFS(BD!$J$3:$J$5001,BD!$A$3:$A$5001,T$3,BD!$B$3:$B$5001,$A$79)))</f>
        <v/>
      </c>
      <c r="U86" s="208" t="str">
        <f>IF(U$3="","",IF(COUNTIFS(BD!$A$3:$A$5001,U$3,BD!$B$3:$B$5001,$A$79,BD!$J$3:$J$5001,"&lt;&gt;")=0,"",SUMIFS(BD!$J$3:$J$5001,BD!$A$3:$A$5001,U$3,BD!$B$3:$B$5001,$A$79)))</f>
        <v/>
      </c>
      <c r="V86" s="208" t="str">
        <f>IF(V$3="","",IF(COUNTIFS(BD!$A$3:$A$5001,V$3,BD!$B$3:$B$5001,$A$79,BD!$J$3:$J$5001,"&lt;&gt;")=0,"",SUMIFS(BD!$J$3:$J$5001,BD!$A$3:$A$5001,V$3,BD!$B$3:$B$5001,$A$79)))</f>
        <v/>
      </c>
      <c r="W86" s="208" t="str">
        <f>IF(W$3="","",IF(COUNTIFS(BD!$A$3:$A$5001,W$3,BD!$B$3:$B$5001,$A$79,BD!$J$3:$J$5001,"&lt;&gt;")=0,"",SUMIFS(BD!$J$3:$J$5001,BD!$A$3:$A$5001,W$3,BD!$B$3:$B$5001,$A$79)))</f>
        <v/>
      </c>
      <c r="X86" s="208" t="str">
        <f>IF(X$3="","",IF(COUNTIFS(BD!$A$3:$A$5001,X$3,BD!$B$3:$B$5001,$A$79,BD!$J$3:$J$5001,"&lt;&gt;")=0,"",SUMIFS(BD!$J$3:$J$5001,BD!$A$3:$A$5001,X$3,BD!$B$3:$B$5001,$A$79)))</f>
        <v/>
      </c>
      <c r="Y86" s="208" t="str">
        <f>IF(Y$3="","",IF(COUNTIFS(BD!$A$3:$A$5001,Y$3,BD!$B$3:$B$5001,$A$79,BD!$J$3:$J$5001,"&lt;&gt;")=0,"",SUMIFS(BD!$J$3:$J$5001,BD!$A$3:$A$5001,Y$3,BD!$B$3:$B$5001,$A$79)))</f>
        <v/>
      </c>
      <c r="Z86" s="208" t="str">
        <f>IF(Z$3="","",IF(COUNTIFS(BD!$A$3:$A$5001,Z$3,BD!$B$3:$B$5001,$A$79,BD!$J$3:$J$5001,"&lt;&gt;")=0,"",SUMIFS(BD!$J$3:$J$5001,BD!$A$3:$A$5001,Z$3,BD!$B$3:$B$5001,$A$79)))</f>
        <v/>
      </c>
      <c r="AA86" s="208" t="str">
        <f>IF(AA$3="","",IF(COUNTIFS(BD!$A$3:$A$5001,AA$3,BD!$B$3:$B$5001,$A$79,BD!$J$3:$J$5001,"&lt;&gt;")=0,"",SUMIFS(BD!$J$3:$J$5001,BD!$A$3:$A$5001,AA$3,BD!$B$3:$B$5001,$A$79)))</f>
        <v/>
      </c>
      <c r="AB86" s="208" t="str">
        <f>IF(AB$3="","",IF(COUNTIFS(BD!$A$3:$A$5001,AB$3,BD!$B$3:$B$5001,$A$79,BD!$J$3:$J$5001,"&lt;&gt;")=0,"",SUMIFS(BD!$J$3:$J$5001,BD!$A$3:$A$5001,AB$3,BD!$B$3:$B$5001,$A$79)))</f>
        <v/>
      </c>
      <c r="AC86" s="208" t="str">
        <f>IF(AC$3="","",IF(COUNTIFS(BD!$A$3:$A$5001,AC$3,BD!$B$3:$B$5001,$A$79,BD!$J$3:$J$5001,"&lt;&gt;")=0,"",SUMIFS(BD!$J$3:$J$5001,BD!$A$3:$A$5001,AC$3,BD!$B$3:$B$5001,$A$79)))</f>
        <v/>
      </c>
      <c r="AD86" s="208" t="str">
        <f>IF(AD$3="","",IF(COUNTIFS(BD!$A$3:$A$5001,AD$3,BD!$B$3:$B$5001,$A$79,BD!$J$3:$J$5001,"&lt;&gt;")=0,"",SUMIFS(BD!$J$3:$J$5001,BD!$A$3:$A$5001,AD$3,BD!$B$3:$B$5001,$A$79)))</f>
        <v/>
      </c>
      <c r="AE86" s="208" t="str">
        <f>IF(AE$3="","",IF(COUNTIFS(BD!$A$3:$A$5001,AE$3,BD!$B$3:$B$5001,$A$79,BD!$J$3:$J$5001,"&lt;&gt;")=0,"",SUMIFS(BD!$J$3:$J$5001,BD!$A$3:$A$5001,AE$3,BD!$B$3:$B$5001,$A$79)))</f>
        <v/>
      </c>
      <c r="AF86" s="208" t="str">
        <f>IF(AF$3="","",IF(COUNTIFS(BD!$A$3:$A$5001,AF$3,BD!$B$3:$B$5001,$A$79,BD!$J$3:$J$5001,"&lt;&gt;")=0,"",SUMIFS(BD!$J$3:$J$5001,BD!$A$3:$A$5001,AF$3,BD!$B$3:$B$5001,$A$79)))</f>
        <v/>
      </c>
      <c r="AG86" s="208" t="str">
        <f>IF(AG$3="","",IF(COUNTIFS(BD!$A$3:$A$5001,AG$3,BD!$B$3:$B$5001,$A$79,BD!$J$3:$J$5001,"&lt;&gt;")=0,"",SUMIFS(BD!$J$3:$J$5001,BD!$A$3:$A$5001,AG$3,BD!$B$3:$B$5001,$A$79)))</f>
        <v/>
      </c>
      <c r="AH86" s="208" t="str">
        <f>IF(AH$3="","",IF(COUNTIFS(BD!$A$3:$A$5001,AH$3,BD!$B$3:$B$5001,$A$79,BD!$J$3:$J$5001,"&lt;&gt;")=0,"",SUMIFS(BD!$J$3:$J$5001,BD!$A$3:$A$5001,AH$3,BD!$B$3:$B$5001,$A$79)))</f>
        <v/>
      </c>
      <c r="AI86" s="208" t="str">
        <f>IF(AI$3="","",IF(COUNTIFS(BD!$A$3:$A$5001,AI$3,BD!$B$3:$B$5001,$A$79,BD!$J$3:$J$5001,"&lt;&gt;")=0,"",SUMIFS(BD!$J$3:$J$5001,BD!$A$3:$A$5001,AI$3,BD!$B$3:$B$5001,$A$79)))</f>
        <v/>
      </c>
      <c r="AJ86" s="209" t="str">
        <f>IF(AJ$3="","",IF(COUNTIFS(BD!$A$3:$A$5001,AJ$3,BD!$B$3:$B$5001,$A$79,BD!$J$3:$J$5001,"&lt;&gt;")=0,"",SUMIFS(BD!$J$3:$J$5001,BD!$A$3:$A$5001,AJ$3,BD!$B$3:$B$5001,$A$79)))</f>
        <v/>
      </c>
      <c r="AK86" s="210" t="str">
        <f>IF(COUNT(F86:AJ86)=0,"",SUM(F86:AJ86))</f>
        <v/>
      </c>
    </row>
    <row r="87" ht="15.75" customHeight="1">
      <c r="A87" s="254"/>
      <c r="B87" s="249"/>
      <c r="C87" s="211" t="inlineStr">
        <is>
          <t xml:space="preserve">Backlog</t>
        </is>
      </c>
      <c r="D87" s="212" t="str">
        <f>IFERROR(1/(1/INDEX(BD!$Y$31:$AS$31,MATCH($A$79,BD!$Y$22:$AS$22,0))),"")</f>
        <v/>
      </c>
      <c r="E87" s="213"/>
      <c r="F87" s="214" t="str">
        <f>IF(F$3="","",IF(COUNTIFS(BD!$A$3:$A$5001,F$3,BD!$B$3:$B$5001,$A$79,BD!$K$3:$K$5001,"&lt;&gt;")=0,"",SUMIFS(BD!$K$3:$K$5001,BD!$A$3:$A$5001,F$3,BD!$B$3:$B$5001,$A$79)))</f>
        <v/>
      </c>
      <c r="G87" s="215" t="str">
        <f>IF(G$3="","",IF(COUNTIFS(BD!$A$3:$A$5001,G$3,BD!$B$3:$B$5001,$A$79,BD!$K$3:$K$5001,"&lt;&gt;")=0,"",SUMIFS(BD!$K$3:$K$5001,BD!$A$3:$A$5001,G$3,BD!$B$3:$B$5001,$A$79)))</f>
        <v/>
      </c>
      <c r="H87" s="215" t="str">
        <f>IF(H$3="","",IF(COUNTIFS(BD!$A$3:$A$5001,H$3,BD!$B$3:$B$5001,$A$79,BD!$K$3:$K$5001,"&lt;&gt;")=0,"",SUMIFS(BD!$K$3:$K$5001,BD!$A$3:$A$5001,H$3,BD!$B$3:$B$5001,$A$79)))</f>
        <v/>
      </c>
      <c r="I87" s="215" t="str">
        <f>IF(I$3="","",IF(COUNTIFS(BD!$A$3:$A$5001,I$3,BD!$B$3:$B$5001,$A$79,BD!$K$3:$K$5001,"&lt;&gt;")=0,"",SUMIFS(BD!$K$3:$K$5001,BD!$A$3:$A$5001,I$3,BD!$B$3:$B$5001,$A$79)))</f>
        <v/>
      </c>
      <c r="J87" s="215" t="str">
        <f>IF(J$3="","",IF(COUNTIFS(BD!$A$3:$A$5001,J$3,BD!$B$3:$B$5001,$A$79,BD!$K$3:$K$5001,"&lt;&gt;")=0,"",SUMIFS(BD!$K$3:$K$5001,BD!$A$3:$A$5001,J$3,BD!$B$3:$B$5001,$A$79)))</f>
        <v/>
      </c>
      <c r="K87" s="215" t="str">
        <f>IF(K$3="","",IF(COUNTIFS(BD!$A$3:$A$5001,K$3,BD!$B$3:$B$5001,$A$79,BD!$K$3:$K$5001,"&lt;&gt;")=0,"",SUMIFS(BD!$K$3:$K$5001,BD!$A$3:$A$5001,K$3,BD!$B$3:$B$5001,$A$79)))</f>
        <v/>
      </c>
      <c r="L87" s="215" t="str">
        <f>IF(L$3="","",IF(COUNTIFS(BD!$A$3:$A$5001,L$3,BD!$B$3:$B$5001,$A$79,BD!$K$3:$K$5001,"&lt;&gt;")=0,"",SUMIFS(BD!$K$3:$K$5001,BD!$A$3:$A$5001,L$3,BD!$B$3:$B$5001,$A$79)))</f>
        <v/>
      </c>
      <c r="M87" s="215" t="str">
        <f>IF(M$3="","",IF(COUNTIFS(BD!$A$3:$A$5001,M$3,BD!$B$3:$B$5001,$A$79,BD!$K$3:$K$5001,"&lt;&gt;")=0,"",SUMIFS(BD!$K$3:$K$5001,BD!$A$3:$A$5001,M$3,BD!$B$3:$B$5001,$A$79)))</f>
        <v/>
      </c>
      <c r="N87" s="215" t="str">
        <f>IF(N$3="","",IF(COUNTIFS(BD!$A$3:$A$5001,N$3,BD!$B$3:$B$5001,$A$79,BD!$K$3:$K$5001,"&lt;&gt;")=0,"",SUMIFS(BD!$K$3:$K$5001,BD!$A$3:$A$5001,N$3,BD!$B$3:$B$5001,$A$79)))</f>
        <v/>
      </c>
      <c r="O87" s="215" t="str">
        <f>IF(O$3="","",IF(COUNTIFS(BD!$A$3:$A$5001,O$3,BD!$B$3:$B$5001,$A$79,BD!$K$3:$K$5001,"&lt;&gt;")=0,"",SUMIFS(BD!$K$3:$K$5001,BD!$A$3:$A$5001,O$3,BD!$B$3:$B$5001,$A$79)))</f>
        <v/>
      </c>
      <c r="P87" s="215" t="str">
        <f>IF(P$3="","",IF(COUNTIFS(BD!$A$3:$A$5001,P$3,BD!$B$3:$B$5001,$A$79,BD!$K$3:$K$5001,"&lt;&gt;")=0,"",SUMIFS(BD!$K$3:$K$5001,BD!$A$3:$A$5001,P$3,BD!$B$3:$B$5001,$A$79)))</f>
        <v/>
      </c>
      <c r="Q87" s="215" t="str">
        <f>IF(Q$3="","",IF(COUNTIFS(BD!$A$3:$A$5001,Q$3,BD!$B$3:$B$5001,$A$79,BD!$K$3:$K$5001,"&lt;&gt;")=0,"",SUMIFS(BD!$K$3:$K$5001,BD!$A$3:$A$5001,Q$3,BD!$B$3:$B$5001,$A$79)))</f>
        <v/>
      </c>
      <c r="R87" s="215" t="str">
        <f>IF(R$3="","",IF(COUNTIFS(BD!$A$3:$A$5001,R$3,BD!$B$3:$B$5001,$A$79,BD!$K$3:$K$5001,"&lt;&gt;")=0,"",SUMIFS(BD!$K$3:$K$5001,BD!$A$3:$A$5001,R$3,BD!$B$3:$B$5001,$A$79)))</f>
        <v/>
      </c>
      <c r="S87" s="215" t="str">
        <f>IF(S$3="","",IF(COUNTIFS(BD!$A$3:$A$5001,S$3,BD!$B$3:$B$5001,$A$79,BD!$K$3:$K$5001,"&lt;&gt;")=0,"",SUMIFS(BD!$K$3:$K$5001,BD!$A$3:$A$5001,S$3,BD!$B$3:$B$5001,$A$79)))</f>
        <v/>
      </c>
      <c r="T87" s="215" t="str">
        <f>IF(T$3="","",IF(COUNTIFS(BD!$A$3:$A$5001,T$3,BD!$B$3:$B$5001,$A$79,BD!$K$3:$K$5001,"&lt;&gt;")=0,"",SUMIFS(BD!$K$3:$K$5001,BD!$A$3:$A$5001,T$3,BD!$B$3:$B$5001,$A$79)))</f>
        <v/>
      </c>
      <c r="U87" s="215" t="str">
        <f>IF(U$3="","",IF(COUNTIFS(BD!$A$3:$A$5001,U$3,BD!$B$3:$B$5001,$A$79,BD!$K$3:$K$5001,"&lt;&gt;")=0,"",SUMIFS(BD!$K$3:$K$5001,BD!$A$3:$A$5001,U$3,BD!$B$3:$B$5001,$A$79)))</f>
        <v/>
      </c>
      <c r="V87" s="215" t="str">
        <f>IF(V$3="","",IF(COUNTIFS(BD!$A$3:$A$5001,V$3,BD!$B$3:$B$5001,$A$79,BD!$K$3:$K$5001,"&lt;&gt;")=0,"",SUMIFS(BD!$K$3:$K$5001,BD!$A$3:$A$5001,V$3,BD!$B$3:$B$5001,$A$79)))</f>
        <v/>
      </c>
      <c r="W87" s="215" t="str">
        <f>IF(W$3="","",IF(COUNTIFS(BD!$A$3:$A$5001,W$3,BD!$B$3:$B$5001,$A$79,BD!$K$3:$K$5001,"&lt;&gt;")=0,"",SUMIFS(BD!$K$3:$K$5001,BD!$A$3:$A$5001,W$3,BD!$B$3:$B$5001,$A$79)))</f>
        <v/>
      </c>
      <c r="X87" s="215" t="str">
        <f>IF(X$3="","",IF(COUNTIFS(BD!$A$3:$A$5001,X$3,BD!$B$3:$B$5001,$A$79,BD!$K$3:$K$5001,"&lt;&gt;")=0,"",SUMIFS(BD!$K$3:$K$5001,BD!$A$3:$A$5001,X$3,BD!$B$3:$B$5001,$A$79)))</f>
        <v/>
      </c>
      <c r="Y87" s="215" t="str">
        <f>IF(Y$3="","",IF(COUNTIFS(BD!$A$3:$A$5001,Y$3,BD!$B$3:$B$5001,$A$79,BD!$K$3:$K$5001,"&lt;&gt;")=0,"",SUMIFS(BD!$K$3:$K$5001,BD!$A$3:$A$5001,Y$3,BD!$B$3:$B$5001,$A$79)))</f>
        <v/>
      </c>
      <c r="Z87" s="215" t="str">
        <f>IF(Z$3="","",IF(COUNTIFS(BD!$A$3:$A$5001,Z$3,BD!$B$3:$B$5001,$A$79,BD!$K$3:$K$5001,"&lt;&gt;")=0,"",SUMIFS(BD!$K$3:$K$5001,BD!$A$3:$A$5001,Z$3,BD!$B$3:$B$5001,$A$79)))</f>
        <v/>
      </c>
      <c r="AA87" s="215" t="str">
        <f>IF(AA$3="","",IF(COUNTIFS(BD!$A$3:$A$5001,AA$3,BD!$B$3:$B$5001,$A$79,BD!$K$3:$K$5001,"&lt;&gt;")=0,"",SUMIFS(BD!$K$3:$K$5001,BD!$A$3:$A$5001,AA$3,BD!$B$3:$B$5001,$A$79)))</f>
        <v/>
      </c>
      <c r="AB87" s="215" t="str">
        <f>IF(AB$3="","",IF(COUNTIFS(BD!$A$3:$A$5001,AB$3,BD!$B$3:$B$5001,$A$79,BD!$K$3:$K$5001,"&lt;&gt;")=0,"",SUMIFS(BD!$K$3:$K$5001,BD!$A$3:$A$5001,AB$3,BD!$B$3:$B$5001,$A$79)))</f>
        <v/>
      </c>
      <c r="AC87" s="215" t="str">
        <f>IF(AC$3="","",IF(COUNTIFS(BD!$A$3:$A$5001,AC$3,BD!$B$3:$B$5001,$A$79,BD!$K$3:$K$5001,"&lt;&gt;")=0,"",SUMIFS(BD!$K$3:$K$5001,BD!$A$3:$A$5001,AC$3,BD!$B$3:$B$5001,$A$79)))</f>
        <v/>
      </c>
      <c r="AD87" s="215" t="str">
        <f>IF(AD$3="","",IF(COUNTIFS(BD!$A$3:$A$5001,AD$3,BD!$B$3:$B$5001,$A$79,BD!$K$3:$K$5001,"&lt;&gt;")=0,"",SUMIFS(BD!$K$3:$K$5001,BD!$A$3:$A$5001,AD$3,BD!$B$3:$B$5001,$A$79)))</f>
        <v/>
      </c>
      <c r="AE87" s="215" t="str">
        <f>IF(AE$3="","",IF(COUNTIFS(BD!$A$3:$A$5001,AE$3,BD!$B$3:$B$5001,$A$79,BD!$K$3:$K$5001,"&lt;&gt;")=0,"",SUMIFS(BD!$K$3:$K$5001,BD!$A$3:$A$5001,AE$3,BD!$B$3:$B$5001,$A$79)))</f>
        <v/>
      </c>
      <c r="AF87" s="215" t="str">
        <f>IF(AF$3="","",IF(COUNTIFS(BD!$A$3:$A$5001,AF$3,BD!$B$3:$B$5001,$A$79,BD!$K$3:$K$5001,"&lt;&gt;")=0,"",SUMIFS(BD!$K$3:$K$5001,BD!$A$3:$A$5001,AF$3,BD!$B$3:$B$5001,$A$79)))</f>
        <v/>
      </c>
      <c r="AG87" s="215" t="str">
        <f>IF(AG$3="","",IF(COUNTIFS(BD!$A$3:$A$5001,AG$3,BD!$B$3:$B$5001,$A$79,BD!$K$3:$K$5001,"&lt;&gt;")=0,"",SUMIFS(BD!$K$3:$K$5001,BD!$A$3:$A$5001,AG$3,BD!$B$3:$B$5001,$A$79)))</f>
        <v/>
      </c>
      <c r="AH87" s="215" t="str">
        <f>IF(AH$3="","",IF(COUNTIFS(BD!$A$3:$A$5001,AH$3,BD!$B$3:$B$5001,$A$79,BD!$K$3:$K$5001,"&lt;&gt;")=0,"",SUMIFS(BD!$K$3:$K$5001,BD!$A$3:$A$5001,AH$3,BD!$B$3:$B$5001,$A$79)))</f>
        <v/>
      </c>
      <c r="AI87" s="215" t="str">
        <f>IF(AI$3="","",IF(COUNTIFS(BD!$A$3:$A$5001,AI$3,BD!$B$3:$B$5001,$A$79,BD!$K$3:$K$5001,"&lt;&gt;")=0,"",SUMIFS(BD!$K$3:$K$5001,BD!$A$3:$A$5001,AI$3,BD!$B$3:$B$5001,$A$79)))</f>
        <v/>
      </c>
      <c r="AJ87" s="216" t="str">
        <f>IF(AJ$3="","",IF(COUNTIFS(BD!$A$3:$A$5001,AJ$3,BD!$B$3:$B$5001,$A$79,BD!$K$3:$K$5001,"&lt;&gt;")=0,"",SUMIFS(BD!$K$3:$K$5001,BD!$A$3:$A$5001,AJ$3,BD!$B$3:$B$5001,$A$79)))</f>
        <v/>
      </c>
      <c r="AK87" s="212" t="str">
        <f>IFERROR(LOOKUP(9.99E+307,F87:AJ87),"")</f>
        <v/>
      </c>
    </row>
    <row r="88" ht="15.75" customHeight="1">
      <c r="A88" s="254"/>
      <c r="B88" s="241" t="inlineStr">
        <is>
          <t xml:space="preserve">OCUPAÇÃO (P.P)</t>
        </is>
      </c>
      <c r="C88" s="155" t="inlineStr">
        <is>
          <t xml:space="preserve">Posições Disponíveis</t>
        </is>
      </c>
      <c r="D88" s="156" t="str">
        <f>IFERROR(1/(1/INDEX(BD!$Y$32:$AS$32,MATCH($A$79,BD!$Y$22:$AS$22,0))),"")</f>
        <v/>
      </c>
      <c r="E88" s="157"/>
      <c r="F88" s="158" t="str">
        <f>IF(F$3="","",IF(COUNTIFS(BD!$A$3:$A$5001,F$3,BD!$B$3:$B$5001,$A$79,BD!$L$3:$L$5001,"&lt;&gt;")=0,"",SUMIFS(BD!$L$3:$L$5001,BD!$A$3:$A$5001,F$3,BD!$B$3:$B$5001,$A$79)))</f>
        <v/>
      </c>
      <c r="G88" s="159" t="str">
        <f>IF(G$3="","",IF(COUNTIFS(BD!$A$3:$A$5001,G$3,BD!$B$3:$B$5001,$A$79,BD!$L$3:$L$5001,"&lt;&gt;")=0,"",SUMIFS(BD!$L$3:$L$5001,BD!$A$3:$A$5001,G$3,BD!$B$3:$B$5001,$A$79)))</f>
        <v/>
      </c>
      <c r="H88" s="159" t="str">
        <f>IF(H$3="","",IF(COUNTIFS(BD!$A$3:$A$5001,H$3,BD!$B$3:$B$5001,$A$79,BD!$L$3:$L$5001,"&lt;&gt;")=0,"",SUMIFS(BD!$L$3:$L$5001,BD!$A$3:$A$5001,H$3,BD!$B$3:$B$5001,$A$79)))</f>
        <v/>
      </c>
      <c r="I88" s="159" t="str">
        <f>IF(I$3="","",IF(COUNTIFS(BD!$A$3:$A$5001,I$3,BD!$B$3:$B$5001,$A$79,BD!$L$3:$L$5001,"&lt;&gt;")=0,"",SUMIFS(BD!$L$3:$L$5001,BD!$A$3:$A$5001,I$3,BD!$B$3:$B$5001,$A$79)))</f>
        <v/>
      </c>
      <c r="J88" s="159" t="str">
        <f>IF(J$3="","",IF(COUNTIFS(BD!$A$3:$A$5001,J$3,BD!$B$3:$B$5001,$A$79,BD!$L$3:$L$5001,"&lt;&gt;")=0,"",SUMIFS(BD!$L$3:$L$5001,BD!$A$3:$A$5001,J$3,BD!$B$3:$B$5001,$A$79)))</f>
        <v/>
      </c>
      <c r="K88" s="159" t="str">
        <f>IF(K$3="","",IF(COUNTIFS(BD!$A$3:$A$5001,K$3,BD!$B$3:$B$5001,$A$79,BD!$L$3:$L$5001,"&lt;&gt;")=0,"",SUMIFS(BD!$L$3:$L$5001,BD!$A$3:$A$5001,K$3,BD!$B$3:$B$5001,$A$79)))</f>
        <v/>
      </c>
      <c r="L88" s="159" t="str">
        <f>IF(L$3="","",IF(COUNTIFS(BD!$A$3:$A$5001,L$3,BD!$B$3:$B$5001,$A$79,BD!$L$3:$L$5001,"&lt;&gt;")=0,"",SUMIFS(BD!$L$3:$L$5001,BD!$A$3:$A$5001,L$3,BD!$B$3:$B$5001,$A$79)))</f>
        <v/>
      </c>
      <c r="M88" s="159" t="str">
        <f>IF(M$3="","",IF(COUNTIFS(BD!$A$3:$A$5001,M$3,BD!$B$3:$B$5001,$A$79,BD!$L$3:$L$5001,"&lt;&gt;")=0,"",SUMIFS(BD!$L$3:$L$5001,BD!$A$3:$A$5001,M$3,BD!$B$3:$B$5001,$A$79)))</f>
        <v/>
      </c>
      <c r="N88" s="159" t="str">
        <f>IF(N$3="","",IF(COUNTIFS(BD!$A$3:$A$5001,N$3,BD!$B$3:$B$5001,$A$79,BD!$L$3:$L$5001,"&lt;&gt;")=0,"",SUMIFS(BD!$L$3:$L$5001,BD!$A$3:$A$5001,N$3,BD!$B$3:$B$5001,$A$79)))</f>
        <v/>
      </c>
      <c r="O88" s="159" t="str">
        <f>IF(O$3="","",IF(COUNTIFS(BD!$A$3:$A$5001,O$3,BD!$B$3:$B$5001,$A$79,BD!$L$3:$L$5001,"&lt;&gt;")=0,"",SUMIFS(BD!$L$3:$L$5001,BD!$A$3:$A$5001,O$3,BD!$B$3:$B$5001,$A$79)))</f>
        <v/>
      </c>
      <c r="P88" s="159" t="str">
        <f>IF(P$3="","",IF(COUNTIFS(BD!$A$3:$A$5001,P$3,BD!$B$3:$B$5001,$A$79,BD!$L$3:$L$5001,"&lt;&gt;")=0,"",SUMIFS(BD!$L$3:$L$5001,BD!$A$3:$A$5001,P$3,BD!$B$3:$B$5001,$A$79)))</f>
        <v/>
      </c>
      <c r="Q88" s="159" t="str">
        <f>IF(Q$3="","",IF(COUNTIFS(BD!$A$3:$A$5001,Q$3,BD!$B$3:$B$5001,$A$79,BD!$L$3:$L$5001,"&lt;&gt;")=0,"",SUMIFS(BD!$L$3:$L$5001,BD!$A$3:$A$5001,Q$3,BD!$B$3:$B$5001,$A$79)))</f>
        <v/>
      </c>
      <c r="R88" s="159" t="str">
        <f>IF(R$3="","",IF(COUNTIFS(BD!$A$3:$A$5001,R$3,BD!$B$3:$B$5001,$A$79,BD!$L$3:$L$5001,"&lt;&gt;")=0,"",SUMIFS(BD!$L$3:$L$5001,BD!$A$3:$A$5001,R$3,BD!$B$3:$B$5001,$A$79)))</f>
        <v/>
      </c>
      <c r="S88" s="159" t="str">
        <f>IF(S$3="","",IF(COUNTIFS(BD!$A$3:$A$5001,S$3,BD!$B$3:$B$5001,$A$79,BD!$L$3:$L$5001,"&lt;&gt;")=0,"",SUMIFS(BD!$L$3:$L$5001,BD!$A$3:$A$5001,S$3,BD!$B$3:$B$5001,$A$79)))</f>
        <v/>
      </c>
      <c r="T88" s="159" t="str">
        <f>IF(T$3="","",IF(COUNTIFS(BD!$A$3:$A$5001,T$3,BD!$B$3:$B$5001,$A$79,BD!$L$3:$L$5001,"&lt;&gt;")=0,"",SUMIFS(BD!$L$3:$L$5001,BD!$A$3:$A$5001,T$3,BD!$B$3:$B$5001,$A$79)))</f>
        <v/>
      </c>
      <c r="U88" s="159" t="str">
        <f>IF(U$3="","",IF(COUNTIFS(BD!$A$3:$A$5001,U$3,BD!$B$3:$B$5001,$A$79,BD!$L$3:$L$5001,"&lt;&gt;")=0,"",SUMIFS(BD!$L$3:$L$5001,BD!$A$3:$A$5001,U$3,BD!$B$3:$B$5001,$A$79)))</f>
        <v/>
      </c>
      <c r="V88" s="159" t="str">
        <f>IF(V$3="","",IF(COUNTIFS(BD!$A$3:$A$5001,V$3,BD!$B$3:$B$5001,$A$79,BD!$L$3:$L$5001,"&lt;&gt;")=0,"",SUMIFS(BD!$L$3:$L$5001,BD!$A$3:$A$5001,V$3,BD!$B$3:$B$5001,$A$79)))</f>
        <v/>
      </c>
      <c r="W88" s="159" t="str">
        <f>IF(W$3="","",IF(COUNTIFS(BD!$A$3:$A$5001,W$3,BD!$B$3:$B$5001,$A$79,BD!$L$3:$L$5001,"&lt;&gt;")=0,"",SUMIFS(BD!$L$3:$L$5001,BD!$A$3:$A$5001,W$3,BD!$B$3:$B$5001,$A$79)))</f>
        <v/>
      </c>
      <c r="X88" s="159" t="str">
        <f>IF(X$3="","",IF(COUNTIFS(BD!$A$3:$A$5001,X$3,BD!$B$3:$B$5001,$A$79,BD!$L$3:$L$5001,"&lt;&gt;")=0,"",SUMIFS(BD!$L$3:$L$5001,BD!$A$3:$A$5001,X$3,BD!$B$3:$B$5001,$A$79)))</f>
        <v/>
      </c>
      <c r="Y88" s="159" t="str">
        <f>IF(Y$3="","",IF(COUNTIFS(BD!$A$3:$A$5001,Y$3,BD!$B$3:$B$5001,$A$79,BD!$L$3:$L$5001,"&lt;&gt;")=0,"",SUMIFS(BD!$L$3:$L$5001,BD!$A$3:$A$5001,Y$3,BD!$B$3:$B$5001,$A$79)))</f>
        <v/>
      </c>
      <c r="Z88" s="159" t="str">
        <f>IF(Z$3="","",IF(COUNTIFS(BD!$A$3:$A$5001,Z$3,BD!$B$3:$B$5001,$A$79,BD!$L$3:$L$5001,"&lt;&gt;")=0,"",SUMIFS(BD!$L$3:$L$5001,BD!$A$3:$A$5001,Z$3,BD!$B$3:$B$5001,$A$79)))</f>
        <v/>
      </c>
      <c r="AA88" s="159" t="str">
        <f>IF(AA$3="","",IF(COUNTIFS(BD!$A$3:$A$5001,AA$3,BD!$B$3:$B$5001,$A$79,BD!$L$3:$L$5001,"&lt;&gt;")=0,"",SUMIFS(BD!$L$3:$L$5001,BD!$A$3:$A$5001,AA$3,BD!$B$3:$B$5001,$A$79)))</f>
        <v/>
      </c>
      <c r="AB88" s="159" t="str">
        <f>IF(AB$3="","",IF(COUNTIFS(BD!$A$3:$A$5001,AB$3,BD!$B$3:$B$5001,$A$79,BD!$L$3:$L$5001,"&lt;&gt;")=0,"",SUMIFS(BD!$L$3:$L$5001,BD!$A$3:$A$5001,AB$3,BD!$B$3:$B$5001,$A$79)))</f>
        <v/>
      </c>
      <c r="AC88" s="159" t="str">
        <f>IF(AC$3="","",IF(COUNTIFS(BD!$A$3:$A$5001,AC$3,BD!$B$3:$B$5001,$A$79,BD!$L$3:$L$5001,"&lt;&gt;")=0,"",SUMIFS(BD!$L$3:$L$5001,BD!$A$3:$A$5001,AC$3,BD!$B$3:$B$5001,$A$79)))</f>
        <v/>
      </c>
      <c r="AD88" s="159" t="str">
        <f>IF(AD$3="","",IF(COUNTIFS(BD!$A$3:$A$5001,AD$3,BD!$B$3:$B$5001,$A$79,BD!$L$3:$L$5001,"&lt;&gt;")=0,"",SUMIFS(BD!$L$3:$L$5001,BD!$A$3:$A$5001,AD$3,BD!$B$3:$B$5001,$A$79)))</f>
        <v/>
      </c>
      <c r="AE88" s="159" t="str">
        <f>IF(AE$3="","",IF(COUNTIFS(BD!$A$3:$A$5001,AE$3,BD!$B$3:$B$5001,$A$79,BD!$L$3:$L$5001,"&lt;&gt;")=0,"",SUMIFS(BD!$L$3:$L$5001,BD!$A$3:$A$5001,AE$3,BD!$B$3:$B$5001,$A$79)))</f>
        <v/>
      </c>
      <c r="AF88" s="159" t="str">
        <f>IF(AF$3="","",IF(COUNTIFS(BD!$A$3:$A$5001,AF$3,BD!$B$3:$B$5001,$A$79,BD!$L$3:$L$5001,"&lt;&gt;")=0,"",SUMIFS(BD!$L$3:$L$5001,BD!$A$3:$A$5001,AF$3,BD!$B$3:$B$5001,$A$79)))</f>
        <v/>
      </c>
      <c r="AG88" s="159" t="str">
        <f>IF(AG$3="","",IF(COUNTIFS(BD!$A$3:$A$5001,AG$3,BD!$B$3:$B$5001,$A$79,BD!$L$3:$L$5001,"&lt;&gt;")=0,"",SUMIFS(BD!$L$3:$L$5001,BD!$A$3:$A$5001,AG$3,BD!$B$3:$B$5001,$A$79)))</f>
        <v/>
      </c>
      <c r="AH88" s="159" t="str">
        <f>IF(AH$3="","",IF(COUNTIFS(BD!$A$3:$A$5001,AH$3,BD!$B$3:$B$5001,$A$79,BD!$L$3:$L$5001,"&lt;&gt;")=0,"",SUMIFS(BD!$L$3:$L$5001,BD!$A$3:$A$5001,AH$3,BD!$B$3:$B$5001,$A$79)))</f>
        <v/>
      </c>
      <c r="AI88" s="159" t="str">
        <f>IF(AI$3="","",IF(COUNTIFS(BD!$A$3:$A$5001,AI$3,BD!$B$3:$B$5001,$A$79,BD!$L$3:$L$5001,"&lt;&gt;")=0,"",SUMIFS(BD!$L$3:$L$5001,BD!$A$3:$A$5001,AI$3,BD!$B$3:$B$5001,$A$79)))</f>
        <v/>
      </c>
      <c r="AJ88" s="160" t="str">
        <f>IF(AJ$3="","",IF(COUNTIFS(BD!$A$3:$A$5001,AJ$3,BD!$B$3:$B$5001,$A$79,BD!$L$3:$L$5001,"&lt;&gt;")=0,"",SUMIFS(BD!$L$3:$L$5001,BD!$A$3:$A$5001,AJ$3,BD!$B$3:$B$5001,$A$79)))</f>
        <v/>
      </c>
      <c r="AK88" s="161" t="str">
        <f>IF(COUNT(F88:AJ88)&gt;0,LOOKUP(9.99E+307,F88:AJ88),IFERROR(IF(INDEX(BD!$V$3:$V$5001,MATCH($A$79,BD!$B$3:$B$5001,0))&amp;""="Contrato","",INDEX(BD!$V$3:$V$5001,MATCH($A$79,BD!$B$3:$B$5001,0))&amp;""),""))</f>
        <v/>
      </c>
    </row>
    <row r="89" ht="15.75" customHeight="1">
      <c r="A89" s="254"/>
      <c r="B89" s="242"/>
      <c r="C89" s="162" t="inlineStr">
        <is>
          <t xml:space="preserve">Posições Ocupadas</t>
        </is>
      </c>
      <c r="D89" s="163" t="str">
        <f>IFERROR(1/(1/INDEX(BD!$Y$33:$AS$33,MATCH($A$79,BD!$Y$22:$AS$22,0))),"")</f>
        <v/>
      </c>
      <c r="E89" s="164"/>
      <c r="F89" s="165" t="str">
        <f>IF(F$3="","",IF(COUNTIFS(BD!$A$3:$A$5001,F$3,BD!$B$3:$B$5001,$A$79,BD!$M$3:$M$5001,"&lt;&gt;")=0,"",SUMIFS(BD!$M$3:$M$5001,BD!$A$3:$A$5001,F$3,BD!$B$3:$B$5001,$A$79)))</f>
        <v/>
      </c>
      <c r="G89" s="166" t="str">
        <f>IF(G$3="","",IF(COUNTIFS(BD!$A$3:$A$5001,G$3,BD!$B$3:$B$5001,$A$79,BD!$M$3:$M$5001,"&lt;&gt;")=0,"",SUMIFS(BD!$M$3:$M$5001,BD!$A$3:$A$5001,G$3,BD!$B$3:$B$5001,$A$79)))</f>
        <v/>
      </c>
      <c r="H89" s="166" t="str">
        <f>IF(H$3="","",IF(COUNTIFS(BD!$A$3:$A$5001,H$3,BD!$B$3:$B$5001,$A$79,BD!$M$3:$M$5001,"&lt;&gt;")=0,"",SUMIFS(BD!$M$3:$M$5001,BD!$A$3:$A$5001,H$3,BD!$B$3:$B$5001,$A$79)))</f>
        <v/>
      </c>
      <c r="I89" s="166" t="str">
        <f>IF(I$3="","",IF(COUNTIFS(BD!$A$3:$A$5001,I$3,BD!$B$3:$B$5001,$A$79,BD!$M$3:$M$5001,"&lt;&gt;")=0,"",SUMIFS(BD!$M$3:$M$5001,BD!$A$3:$A$5001,I$3,BD!$B$3:$B$5001,$A$79)))</f>
        <v/>
      </c>
      <c r="J89" s="166" t="str">
        <f>IF(J$3="","",IF(COUNTIFS(BD!$A$3:$A$5001,J$3,BD!$B$3:$B$5001,$A$79,BD!$M$3:$M$5001,"&lt;&gt;")=0,"",SUMIFS(BD!$M$3:$M$5001,BD!$A$3:$A$5001,J$3,BD!$B$3:$B$5001,$A$79)))</f>
        <v/>
      </c>
      <c r="K89" s="166" t="str">
        <f>IF(K$3="","",IF(COUNTIFS(BD!$A$3:$A$5001,K$3,BD!$B$3:$B$5001,$A$79,BD!$M$3:$M$5001,"&lt;&gt;")=0,"",SUMIFS(BD!$M$3:$M$5001,BD!$A$3:$A$5001,K$3,BD!$B$3:$B$5001,$A$79)))</f>
        <v/>
      </c>
      <c r="L89" s="166" t="str">
        <f>IF(L$3="","",IF(COUNTIFS(BD!$A$3:$A$5001,L$3,BD!$B$3:$B$5001,$A$79,BD!$M$3:$M$5001,"&lt;&gt;")=0,"",SUMIFS(BD!$M$3:$M$5001,BD!$A$3:$A$5001,L$3,BD!$B$3:$B$5001,$A$79)))</f>
        <v/>
      </c>
      <c r="M89" s="166" t="str">
        <f>IF(M$3="","",IF(COUNTIFS(BD!$A$3:$A$5001,M$3,BD!$B$3:$B$5001,$A$79,BD!$M$3:$M$5001,"&lt;&gt;")=0,"",SUMIFS(BD!$M$3:$M$5001,BD!$A$3:$A$5001,M$3,BD!$B$3:$B$5001,$A$79)))</f>
        <v/>
      </c>
      <c r="N89" s="166" t="str">
        <f>IF(N$3="","",IF(COUNTIFS(BD!$A$3:$A$5001,N$3,BD!$B$3:$B$5001,$A$79,BD!$M$3:$M$5001,"&lt;&gt;")=0,"",SUMIFS(BD!$M$3:$M$5001,BD!$A$3:$A$5001,N$3,BD!$B$3:$B$5001,$A$79)))</f>
        <v/>
      </c>
      <c r="O89" s="166" t="str">
        <f>IF(O$3="","",IF(COUNTIFS(BD!$A$3:$A$5001,O$3,BD!$B$3:$B$5001,$A$79,BD!$M$3:$M$5001,"&lt;&gt;")=0,"",SUMIFS(BD!$M$3:$M$5001,BD!$A$3:$A$5001,O$3,BD!$B$3:$B$5001,$A$79)))</f>
        <v/>
      </c>
      <c r="P89" s="166" t="str">
        <f>IF(P$3="","",IF(COUNTIFS(BD!$A$3:$A$5001,P$3,BD!$B$3:$B$5001,$A$79,BD!$M$3:$M$5001,"&lt;&gt;")=0,"",SUMIFS(BD!$M$3:$M$5001,BD!$A$3:$A$5001,P$3,BD!$B$3:$B$5001,$A$79)))</f>
        <v/>
      </c>
      <c r="Q89" s="166" t="str">
        <f>IF(Q$3="","",IF(COUNTIFS(BD!$A$3:$A$5001,Q$3,BD!$B$3:$B$5001,$A$79,BD!$M$3:$M$5001,"&lt;&gt;")=0,"",SUMIFS(BD!$M$3:$M$5001,BD!$A$3:$A$5001,Q$3,BD!$B$3:$B$5001,$A$79)))</f>
        <v/>
      </c>
      <c r="R89" s="166" t="str">
        <f>IF(R$3="","",IF(COUNTIFS(BD!$A$3:$A$5001,R$3,BD!$B$3:$B$5001,$A$79,BD!$M$3:$M$5001,"&lt;&gt;")=0,"",SUMIFS(BD!$M$3:$M$5001,BD!$A$3:$A$5001,R$3,BD!$B$3:$B$5001,$A$79)))</f>
        <v/>
      </c>
      <c r="S89" s="166" t="str">
        <f>IF(S$3="","",IF(COUNTIFS(BD!$A$3:$A$5001,S$3,BD!$B$3:$B$5001,$A$79,BD!$M$3:$M$5001,"&lt;&gt;")=0,"",SUMIFS(BD!$M$3:$M$5001,BD!$A$3:$A$5001,S$3,BD!$B$3:$B$5001,$A$79)))</f>
        <v/>
      </c>
      <c r="T89" s="166" t="str">
        <f>IF(T$3="","",IF(COUNTIFS(BD!$A$3:$A$5001,T$3,BD!$B$3:$B$5001,$A$79,BD!$M$3:$M$5001,"&lt;&gt;")=0,"",SUMIFS(BD!$M$3:$M$5001,BD!$A$3:$A$5001,T$3,BD!$B$3:$B$5001,$A$79)))</f>
        <v/>
      </c>
      <c r="U89" s="166" t="str">
        <f>IF(U$3="","",IF(COUNTIFS(BD!$A$3:$A$5001,U$3,BD!$B$3:$B$5001,$A$79,BD!$M$3:$M$5001,"&lt;&gt;")=0,"",SUMIFS(BD!$M$3:$M$5001,BD!$A$3:$A$5001,U$3,BD!$B$3:$B$5001,$A$79)))</f>
        <v/>
      </c>
      <c r="V89" s="166" t="str">
        <f>IF(V$3="","",IF(COUNTIFS(BD!$A$3:$A$5001,V$3,BD!$B$3:$B$5001,$A$79,BD!$M$3:$M$5001,"&lt;&gt;")=0,"",SUMIFS(BD!$M$3:$M$5001,BD!$A$3:$A$5001,V$3,BD!$B$3:$B$5001,$A$79)))</f>
        <v/>
      </c>
      <c r="W89" s="166" t="str">
        <f>IF(W$3="","",IF(COUNTIFS(BD!$A$3:$A$5001,W$3,BD!$B$3:$B$5001,$A$79,BD!$M$3:$M$5001,"&lt;&gt;")=0,"",SUMIFS(BD!$M$3:$M$5001,BD!$A$3:$A$5001,W$3,BD!$B$3:$B$5001,$A$79)))</f>
        <v/>
      </c>
      <c r="X89" s="166" t="str">
        <f>IF(X$3="","",IF(COUNTIFS(BD!$A$3:$A$5001,X$3,BD!$B$3:$B$5001,$A$79,BD!$M$3:$M$5001,"&lt;&gt;")=0,"",SUMIFS(BD!$M$3:$M$5001,BD!$A$3:$A$5001,X$3,BD!$B$3:$B$5001,$A$79)))</f>
        <v/>
      </c>
      <c r="Y89" s="166" t="str">
        <f>IF(Y$3="","",IF(COUNTIFS(BD!$A$3:$A$5001,Y$3,BD!$B$3:$B$5001,$A$79,BD!$M$3:$M$5001,"&lt;&gt;")=0,"",SUMIFS(BD!$M$3:$M$5001,BD!$A$3:$A$5001,Y$3,BD!$B$3:$B$5001,$A$79)))</f>
        <v/>
      </c>
      <c r="Z89" s="166" t="str">
        <f>IF(Z$3="","",IF(COUNTIFS(BD!$A$3:$A$5001,Z$3,BD!$B$3:$B$5001,$A$79,BD!$M$3:$M$5001,"&lt;&gt;")=0,"",SUMIFS(BD!$M$3:$M$5001,BD!$A$3:$A$5001,Z$3,BD!$B$3:$B$5001,$A$79)))</f>
        <v/>
      </c>
      <c r="AA89" s="166" t="str">
        <f>IF(AA$3="","",IF(COUNTIFS(BD!$A$3:$A$5001,AA$3,BD!$B$3:$B$5001,$A$79,BD!$M$3:$M$5001,"&lt;&gt;")=0,"",SUMIFS(BD!$M$3:$M$5001,BD!$A$3:$A$5001,AA$3,BD!$B$3:$B$5001,$A$79)))</f>
        <v/>
      </c>
      <c r="AB89" s="166" t="str">
        <f>IF(AB$3="","",IF(COUNTIFS(BD!$A$3:$A$5001,AB$3,BD!$B$3:$B$5001,$A$79,BD!$M$3:$M$5001,"&lt;&gt;")=0,"",SUMIFS(BD!$M$3:$M$5001,BD!$A$3:$A$5001,AB$3,BD!$B$3:$B$5001,$A$79)))</f>
        <v/>
      </c>
      <c r="AC89" s="166" t="str">
        <f>IF(AC$3="","",IF(COUNTIFS(BD!$A$3:$A$5001,AC$3,BD!$B$3:$B$5001,$A$79,BD!$M$3:$M$5001,"&lt;&gt;")=0,"",SUMIFS(BD!$M$3:$M$5001,BD!$A$3:$A$5001,AC$3,BD!$B$3:$B$5001,$A$79)))</f>
        <v/>
      </c>
      <c r="AD89" s="166" t="str">
        <f>IF(AD$3="","",IF(COUNTIFS(BD!$A$3:$A$5001,AD$3,BD!$B$3:$B$5001,$A$79,BD!$M$3:$M$5001,"&lt;&gt;")=0,"",SUMIFS(BD!$M$3:$M$5001,BD!$A$3:$A$5001,AD$3,BD!$B$3:$B$5001,$A$79)))</f>
        <v/>
      </c>
      <c r="AE89" s="166" t="str">
        <f>IF(AE$3="","",IF(COUNTIFS(BD!$A$3:$A$5001,AE$3,BD!$B$3:$B$5001,$A$79,BD!$M$3:$M$5001,"&lt;&gt;")=0,"",SUMIFS(BD!$M$3:$M$5001,BD!$A$3:$A$5001,AE$3,BD!$B$3:$B$5001,$A$79)))</f>
        <v/>
      </c>
      <c r="AF89" s="166" t="str">
        <f>IF(AF$3="","",IF(COUNTIFS(BD!$A$3:$A$5001,AF$3,BD!$B$3:$B$5001,$A$79,BD!$M$3:$M$5001,"&lt;&gt;")=0,"",SUMIFS(BD!$M$3:$M$5001,BD!$A$3:$A$5001,AF$3,BD!$B$3:$B$5001,$A$79)))</f>
        <v/>
      </c>
      <c r="AG89" s="166" t="str">
        <f>IF(AG$3="","",IF(COUNTIFS(BD!$A$3:$A$5001,AG$3,BD!$B$3:$B$5001,$A$79,BD!$M$3:$M$5001,"&lt;&gt;")=0,"",SUMIFS(BD!$M$3:$M$5001,BD!$A$3:$A$5001,AG$3,BD!$B$3:$B$5001,$A$79)))</f>
        <v/>
      </c>
      <c r="AH89" s="166" t="str">
        <f>IF(AH$3="","",IF(COUNTIFS(BD!$A$3:$A$5001,AH$3,BD!$B$3:$B$5001,$A$79,BD!$M$3:$M$5001,"&lt;&gt;")=0,"",SUMIFS(BD!$M$3:$M$5001,BD!$A$3:$A$5001,AH$3,BD!$B$3:$B$5001,$A$79)))</f>
        <v/>
      </c>
      <c r="AI89" s="166" t="str">
        <f>IF(AI$3="","",IF(COUNTIFS(BD!$A$3:$A$5001,AI$3,BD!$B$3:$B$5001,$A$79,BD!$M$3:$M$5001,"&lt;&gt;")=0,"",SUMIFS(BD!$M$3:$M$5001,BD!$A$3:$A$5001,AI$3,BD!$B$3:$B$5001,$A$79)))</f>
        <v/>
      </c>
      <c r="AJ89" s="167" t="str">
        <f>IF(AJ$3="","",IF(COUNTIFS(BD!$A$3:$A$5001,AJ$3,BD!$B$3:$B$5001,$A$79,BD!$M$3:$M$5001,"&lt;&gt;")=0,"",SUMIFS(BD!$M$3:$M$5001,BD!$A$3:$A$5001,AJ$3,BD!$B$3:$B$5001,$A$79)))</f>
        <v/>
      </c>
      <c r="AK89" s="168" t="str">
        <f>IFERROR(LOOKUP(9.99E+307,F89:AJ89),"")</f>
        <v/>
      </c>
    </row>
    <row r="90" ht="15.75" customHeight="1">
      <c r="A90" s="254"/>
      <c r="B90" s="243"/>
      <c r="C90" s="169" t="inlineStr">
        <is>
          <t xml:space="preserve">Taxa de Ocupação</t>
        </is>
      </c>
      <c r="D90" s="217" t="str">
        <f>IFERROR(1/(1/INDEX(BD!$Y$34:$AS$34,MATCH($A$79,BD!$Y$22:$AS$22,0))),"")</f>
        <v/>
      </c>
      <c r="E90" s="171"/>
      <c r="F90" s="218" t="str">
        <f>IF(AND(ISNUMBER(F88),ISNUMBER(F89)),IF(F88&gt;0,F89/F88,""),"")</f>
        <v/>
      </c>
      <c r="G90" s="219" t="str">
        <f>IF(AND(ISNUMBER(G88),ISNUMBER(G89)),IF(G88&gt;0,G89/G88,""),"")</f>
        <v/>
      </c>
      <c r="H90" s="219" t="str">
        <f>IF(AND(ISNUMBER(H88),ISNUMBER(H89)),IF(H88&gt;0,H89/H88,""),"")</f>
        <v/>
      </c>
      <c r="I90" s="219" t="str">
        <f>IF(AND(ISNUMBER(I88),ISNUMBER(I89)),IF(I88&gt;0,I89/I88,""),"")</f>
        <v/>
      </c>
      <c r="J90" s="219" t="str">
        <f>IF(AND(ISNUMBER(J88),ISNUMBER(J89)),IF(J88&gt;0,J89/J88,""),"")</f>
        <v/>
      </c>
      <c r="K90" s="219" t="str">
        <f>IF(AND(ISNUMBER(K88),ISNUMBER(K89)),IF(K88&gt;0,K89/K88,""),"")</f>
        <v/>
      </c>
      <c r="L90" s="219" t="str">
        <f>IF(AND(ISNUMBER(L88),ISNUMBER(L89)),IF(L88&gt;0,L89/L88,""),"")</f>
        <v/>
      </c>
      <c r="M90" s="219" t="str">
        <f>IF(AND(ISNUMBER(M88),ISNUMBER(M89)),IF(M88&gt;0,M89/M88,""),"")</f>
        <v/>
      </c>
      <c r="N90" s="219" t="str">
        <f>IF(AND(ISNUMBER(N88),ISNUMBER(N89)),IF(N88&gt;0,N89/N88,""),"")</f>
        <v/>
      </c>
      <c r="O90" s="219" t="str">
        <f>IF(AND(ISNUMBER(O88),ISNUMBER(O89)),IF(O88&gt;0,O89/O88,""),"")</f>
        <v/>
      </c>
      <c r="P90" s="219" t="str">
        <f>IF(AND(ISNUMBER(P88),ISNUMBER(P89)),IF(P88&gt;0,P89/P88,""),"")</f>
        <v/>
      </c>
      <c r="Q90" s="219" t="str">
        <f>IF(AND(ISNUMBER(Q88),ISNUMBER(Q89)),IF(Q88&gt;0,Q89/Q88,""),"")</f>
        <v/>
      </c>
      <c r="R90" s="219" t="str">
        <f>IF(AND(ISNUMBER(R88),ISNUMBER(R89)),IF(R88&gt;0,R89/R88,""),"")</f>
        <v/>
      </c>
      <c r="S90" s="219" t="str">
        <f>IF(AND(ISNUMBER(S88),ISNUMBER(S89)),IF(S88&gt;0,S89/S88,""),"")</f>
        <v/>
      </c>
      <c r="T90" s="219" t="str">
        <f>IF(AND(ISNUMBER(T88),ISNUMBER(T89)),IF(T88&gt;0,T89/T88,""),"")</f>
        <v/>
      </c>
      <c r="U90" s="219" t="str">
        <f>IF(AND(ISNUMBER(U88),ISNUMBER(U89)),IF(U88&gt;0,U89/U88,""),"")</f>
        <v/>
      </c>
      <c r="V90" s="219" t="str">
        <f>IF(AND(ISNUMBER(V88),ISNUMBER(V89)),IF(V88&gt;0,V89/V88,""),"")</f>
        <v/>
      </c>
      <c r="W90" s="219" t="str">
        <f>IF(AND(ISNUMBER(W88),ISNUMBER(W89)),IF(W88&gt;0,W89/W88,""),"")</f>
        <v/>
      </c>
      <c r="X90" s="219" t="str">
        <f>IF(AND(ISNUMBER(X88),ISNUMBER(X89)),IF(X88&gt;0,X89/X88,""),"")</f>
        <v/>
      </c>
      <c r="Y90" s="219" t="str">
        <f>IF(AND(ISNUMBER(Y88),ISNUMBER(Y89)),IF(Y88&gt;0,Y89/Y88,""),"")</f>
        <v/>
      </c>
      <c r="Z90" s="219" t="str">
        <f>IF(AND(ISNUMBER(Z88),ISNUMBER(Z89)),IF(Z88&gt;0,Z89/Z88,""),"")</f>
        <v/>
      </c>
      <c r="AA90" s="219" t="str">
        <f>IF(AND(ISNUMBER(AA88),ISNUMBER(AA89)),IF(AA88&gt;0,AA89/AA88,""),"")</f>
        <v/>
      </c>
      <c r="AB90" s="219" t="str">
        <f>IF(AND(ISNUMBER(AB88),ISNUMBER(AB89)),IF(AB88&gt;0,AB89/AB88,""),"")</f>
        <v/>
      </c>
      <c r="AC90" s="219" t="str">
        <f>IF(AND(ISNUMBER(AC88),ISNUMBER(AC89)),IF(AC88&gt;0,AC89/AC88,""),"")</f>
        <v/>
      </c>
      <c r="AD90" s="219" t="str">
        <f>IF(AND(ISNUMBER(AD88),ISNUMBER(AD89)),IF(AD88&gt;0,AD89/AD88,""),"")</f>
        <v/>
      </c>
      <c r="AE90" s="219" t="str">
        <f>IF(AND(ISNUMBER(AE88),ISNUMBER(AE89)),IF(AE88&gt;0,AE89/AE88,""),"")</f>
        <v/>
      </c>
      <c r="AF90" s="219" t="str">
        <f>IF(AND(ISNUMBER(AF88),ISNUMBER(AF89)),IF(AF88&gt;0,AF89/AF88,""),"")</f>
        <v/>
      </c>
      <c r="AG90" s="219" t="str">
        <f>IF(AND(ISNUMBER(AG88),ISNUMBER(AG89)),IF(AG88&gt;0,AG89/AG88,""),"")</f>
        <v/>
      </c>
      <c r="AH90" s="219" t="str">
        <f>IF(AND(ISNUMBER(AH88),ISNUMBER(AH89)),IF(AH88&gt;0,AH89/AH88,""),"")</f>
        <v/>
      </c>
      <c r="AI90" s="219" t="str">
        <f>IF(AND(ISNUMBER(AI88),ISNUMBER(AI89)),IF(AI88&gt;0,AI89/AI88,""),"")</f>
        <v/>
      </c>
      <c r="AJ90" s="220" t="str">
        <f>IF(AND(ISNUMBER(AJ88),ISNUMBER(AJ89)),IF(AJ88&gt;0,AJ89/AJ88,""),"")</f>
        <v/>
      </c>
      <c r="AK90" s="217" t="str">
        <f>IF(AND(ISNUMBER(AK88),ISNUMBER(AK89)),IF(AK88&gt;0,AK89/AK88,""),"")</f>
        <v/>
      </c>
    </row>
    <row r="91" ht="15.75" customHeight="1">
      <c r="A91" s="254"/>
      <c r="B91" s="250" t="inlineStr">
        <is>
          <t xml:space="preserve">GENTE</t>
        </is>
      </c>
      <c r="C91" s="221" t="inlineStr">
        <is>
          <t xml:space="preserve">Efetivo Op.</t>
        </is>
      </c>
      <c r="D91" s="222" t="str">
        <f>IFERROR(1/(1/INDEX(BD!$Y$35:$AS$35,MATCH($A$79,BD!$Y$22:$AS$22,0))),"")</f>
        <v/>
      </c>
      <c r="E91" s="223"/>
      <c r="F91" s="224" t="str">
        <f>IF(F$3="","",IF(COUNTIFS(BD!$A$3:$A$5001,F$3,BD!$B$3:$B$5001,$A$79,BD!$N$3:$N$5001,"&lt;&gt;")=0,"",SUMIFS(BD!$N$3:$N$5001,BD!$A$3:$A$5001,F$3,BD!$B$3:$B$5001,$A$79)))</f>
        <v/>
      </c>
      <c r="G91" s="225" t="str">
        <f>IF(G$3="","",IF(COUNTIFS(BD!$A$3:$A$5001,G$3,BD!$B$3:$B$5001,$A$79,BD!$N$3:$N$5001,"&lt;&gt;")=0,"",SUMIFS(BD!$N$3:$N$5001,BD!$A$3:$A$5001,G$3,BD!$B$3:$B$5001,$A$79)))</f>
        <v/>
      </c>
      <c r="H91" s="225" t="str">
        <f>IF(H$3="","",IF(COUNTIFS(BD!$A$3:$A$5001,H$3,BD!$B$3:$B$5001,$A$79,BD!$N$3:$N$5001,"&lt;&gt;")=0,"",SUMIFS(BD!$N$3:$N$5001,BD!$A$3:$A$5001,H$3,BD!$B$3:$B$5001,$A$79)))</f>
        <v/>
      </c>
      <c r="I91" s="225" t="str">
        <f>IF(I$3="","",IF(COUNTIFS(BD!$A$3:$A$5001,I$3,BD!$B$3:$B$5001,$A$79,BD!$N$3:$N$5001,"&lt;&gt;")=0,"",SUMIFS(BD!$N$3:$N$5001,BD!$A$3:$A$5001,I$3,BD!$B$3:$B$5001,$A$79)))</f>
        <v/>
      </c>
      <c r="J91" s="225" t="str">
        <f>IF(J$3="","",IF(COUNTIFS(BD!$A$3:$A$5001,J$3,BD!$B$3:$B$5001,$A$79,BD!$N$3:$N$5001,"&lt;&gt;")=0,"",SUMIFS(BD!$N$3:$N$5001,BD!$A$3:$A$5001,J$3,BD!$B$3:$B$5001,$A$79)))</f>
        <v/>
      </c>
      <c r="K91" s="225" t="str">
        <f>IF(K$3="","",IF(COUNTIFS(BD!$A$3:$A$5001,K$3,BD!$B$3:$B$5001,$A$79,BD!$N$3:$N$5001,"&lt;&gt;")=0,"",SUMIFS(BD!$N$3:$N$5001,BD!$A$3:$A$5001,K$3,BD!$B$3:$B$5001,$A$79)))</f>
        <v/>
      </c>
      <c r="L91" s="225" t="str">
        <f>IF(L$3="","",IF(COUNTIFS(BD!$A$3:$A$5001,L$3,BD!$B$3:$B$5001,$A$79,BD!$N$3:$N$5001,"&lt;&gt;")=0,"",SUMIFS(BD!$N$3:$N$5001,BD!$A$3:$A$5001,L$3,BD!$B$3:$B$5001,$A$79)))</f>
        <v/>
      </c>
      <c r="M91" s="225" t="str">
        <f>IF(M$3="","",IF(COUNTIFS(BD!$A$3:$A$5001,M$3,BD!$B$3:$B$5001,$A$79,BD!$N$3:$N$5001,"&lt;&gt;")=0,"",SUMIFS(BD!$N$3:$N$5001,BD!$A$3:$A$5001,M$3,BD!$B$3:$B$5001,$A$79)))</f>
        <v/>
      </c>
      <c r="N91" s="225" t="str">
        <f>IF(N$3="","",IF(COUNTIFS(BD!$A$3:$A$5001,N$3,BD!$B$3:$B$5001,$A$79,BD!$N$3:$N$5001,"&lt;&gt;")=0,"",SUMIFS(BD!$N$3:$N$5001,BD!$A$3:$A$5001,N$3,BD!$B$3:$B$5001,$A$79)))</f>
        <v/>
      </c>
      <c r="O91" s="225" t="str">
        <f>IF(O$3="","",IF(COUNTIFS(BD!$A$3:$A$5001,O$3,BD!$B$3:$B$5001,$A$79,BD!$N$3:$N$5001,"&lt;&gt;")=0,"",SUMIFS(BD!$N$3:$N$5001,BD!$A$3:$A$5001,O$3,BD!$B$3:$B$5001,$A$79)))</f>
        <v/>
      </c>
      <c r="P91" s="225" t="str">
        <f>IF(P$3="","",IF(COUNTIFS(BD!$A$3:$A$5001,P$3,BD!$B$3:$B$5001,$A$79,BD!$N$3:$N$5001,"&lt;&gt;")=0,"",SUMIFS(BD!$N$3:$N$5001,BD!$A$3:$A$5001,P$3,BD!$B$3:$B$5001,$A$79)))</f>
        <v/>
      </c>
      <c r="Q91" s="225" t="str">
        <f>IF(Q$3="","",IF(COUNTIFS(BD!$A$3:$A$5001,Q$3,BD!$B$3:$B$5001,$A$79,BD!$N$3:$N$5001,"&lt;&gt;")=0,"",SUMIFS(BD!$N$3:$N$5001,BD!$A$3:$A$5001,Q$3,BD!$B$3:$B$5001,$A$79)))</f>
        <v/>
      </c>
      <c r="R91" s="225" t="str">
        <f>IF(R$3="","",IF(COUNTIFS(BD!$A$3:$A$5001,R$3,BD!$B$3:$B$5001,$A$79,BD!$N$3:$N$5001,"&lt;&gt;")=0,"",SUMIFS(BD!$N$3:$N$5001,BD!$A$3:$A$5001,R$3,BD!$B$3:$B$5001,$A$79)))</f>
        <v/>
      </c>
      <c r="S91" s="225" t="str">
        <f>IF(S$3="","",IF(COUNTIFS(BD!$A$3:$A$5001,S$3,BD!$B$3:$B$5001,$A$79,BD!$N$3:$N$5001,"&lt;&gt;")=0,"",SUMIFS(BD!$N$3:$N$5001,BD!$A$3:$A$5001,S$3,BD!$B$3:$B$5001,$A$79)))</f>
        <v/>
      </c>
      <c r="T91" s="225" t="str">
        <f>IF(T$3="","",IF(COUNTIFS(BD!$A$3:$A$5001,T$3,BD!$B$3:$B$5001,$A$79,BD!$N$3:$N$5001,"&lt;&gt;")=0,"",SUMIFS(BD!$N$3:$N$5001,BD!$A$3:$A$5001,T$3,BD!$B$3:$B$5001,$A$79)))</f>
        <v/>
      </c>
      <c r="U91" s="225" t="str">
        <f>IF(U$3="","",IF(COUNTIFS(BD!$A$3:$A$5001,U$3,BD!$B$3:$B$5001,$A$79,BD!$N$3:$N$5001,"&lt;&gt;")=0,"",SUMIFS(BD!$N$3:$N$5001,BD!$A$3:$A$5001,U$3,BD!$B$3:$B$5001,$A$79)))</f>
        <v/>
      </c>
      <c r="V91" s="225" t="str">
        <f>IF(V$3="","",IF(COUNTIFS(BD!$A$3:$A$5001,V$3,BD!$B$3:$B$5001,$A$79,BD!$N$3:$N$5001,"&lt;&gt;")=0,"",SUMIFS(BD!$N$3:$N$5001,BD!$A$3:$A$5001,V$3,BD!$B$3:$B$5001,$A$79)))</f>
        <v/>
      </c>
      <c r="W91" s="225" t="str">
        <f>IF(W$3="","",IF(COUNTIFS(BD!$A$3:$A$5001,W$3,BD!$B$3:$B$5001,$A$79,BD!$N$3:$N$5001,"&lt;&gt;")=0,"",SUMIFS(BD!$N$3:$N$5001,BD!$A$3:$A$5001,W$3,BD!$B$3:$B$5001,$A$79)))</f>
        <v/>
      </c>
      <c r="X91" s="225" t="str">
        <f>IF(X$3="","",IF(COUNTIFS(BD!$A$3:$A$5001,X$3,BD!$B$3:$B$5001,$A$79,BD!$N$3:$N$5001,"&lt;&gt;")=0,"",SUMIFS(BD!$N$3:$N$5001,BD!$A$3:$A$5001,X$3,BD!$B$3:$B$5001,$A$79)))</f>
        <v/>
      </c>
      <c r="Y91" s="225" t="str">
        <f>IF(Y$3="","",IF(COUNTIFS(BD!$A$3:$A$5001,Y$3,BD!$B$3:$B$5001,$A$79,BD!$N$3:$N$5001,"&lt;&gt;")=0,"",SUMIFS(BD!$N$3:$N$5001,BD!$A$3:$A$5001,Y$3,BD!$B$3:$B$5001,$A$79)))</f>
        <v/>
      </c>
      <c r="Z91" s="225" t="str">
        <f>IF(Z$3="","",IF(COUNTIFS(BD!$A$3:$A$5001,Z$3,BD!$B$3:$B$5001,$A$79,BD!$N$3:$N$5001,"&lt;&gt;")=0,"",SUMIFS(BD!$N$3:$N$5001,BD!$A$3:$A$5001,Z$3,BD!$B$3:$B$5001,$A$79)))</f>
        <v/>
      </c>
      <c r="AA91" s="225" t="str">
        <f>IF(AA$3="","",IF(COUNTIFS(BD!$A$3:$A$5001,AA$3,BD!$B$3:$B$5001,$A$79,BD!$N$3:$N$5001,"&lt;&gt;")=0,"",SUMIFS(BD!$N$3:$N$5001,BD!$A$3:$A$5001,AA$3,BD!$B$3:$B$5001,$A$79)))</f>
        <v/>
      </c>
      <c r="AB91" s="225" t="str">
        <f>IF(AB$3="","",IF(COUNTIFS(BD!$A$3:$A$5001,AB$3,BD!$B$3:$B$5001,$A$79,BD!$N$3:$N$5001,"&lt;&gt;")=0,"",SUMIFS(BD!$N$3:$N$5001,BD!$A$3:$A$5001,AB$3,BD!$B$3:$B$5001,$A$79)))</f>
        <v/>
      </c>
      <c r="AC91" s="225" t="str">
        <f>IF(AC$3="","",IF(COUNTIFS(BD!$A$3:$A$5001,AC$3,BD!$B$3:$B$5001,$A$79,BD!$N$3:$N$5001,"&lt;&gt;")=0,"",SUMIFS(BD!$N$3:$N$5001,BD!$A$3:$A$5001,AC$3,BD!$B$3:$B$5001,$A$79)))</f>
        <v/>
      </c>
      <c r="AD91" s="225" t="str">
        <f>IF(AD$3="","",IF(COUNTIFS(BD!$A$3:$A$5001,AD$3,BD!$B$3:$B$5001,$A$79,BD!$N$3:$N$5001,"&lt;&gt;")=0,"",SUMIFS(BD!$N$3:$N$5001,BD!$A$3:$A$5001,AD$3,BD!$B$3:$B$5001,$A$79)))</f>
        <v/>
      </c>
      <c r="AE91" s="225" t="str">
        <f>IF(AE$3="","",IF(COUNTIFS(BD!$A$3:$A$5001,AE$3,BD!$B$3:$B$5001,$A$79,BD!$N$3:$N$5001,"&lt;&gt;")=0,"",SUMIFS(BD!$N$3:$N$5001,BD!$A$3:$A$5001,AE$3,BD!$B$3:$B$5001,$A$79)))</f>
        <v/>
      </c>
      <c r="AF91" s="225" t="str">
        <f>IF(AF$3="","",IF(COUNTIFS(BD!$A$3:$A$5001,AF$3,BD!$B$3:$B$5001,$A$79,BD!$N$3:$N$5001,"&lt;&gt;")=0,"",SUMIFS(BD!$N$3:$N$5001,BD!$A$3:$A$5001,AF$3,BD!$B$3:$B$5001,$A$79)))</f>
        <v/>
      </c>
      <c r="AG91" s="225" t="str">
        <f>IF(AG$3="","",IF(COUNTIFS(BD!$A$3:$A$5001,AG$3,BD!$B$3:$B$5001,$A$79,BD!$N$3:$N$5001,"&lt;&gt;")=0,"",SUMIFS(BD!$N$3:$N$5001,BD!$A$3:$A$5001,AG$3,BD!$B$3:$B$5001,$A$79)))</f>
        <v/>
      </c>
      <c r="AH91" s="225" t="str">
        <f>IF(AH$3="","",IF(COUNTIFS(BD!$A$3:$A$5001,AH$3,BD!$B$3:$B$5001,$A$79,BD!$N$3:$N$5001,"&lt;&gt;")=0,"",SUMIFS(BD!$N$3:$N$5001,BD!$A$3:$A$5001,AH$3,BD!$B$3:$B$5001,$A$79)))</f>
        <v/>
      </c>
      <c r="AI91" s="225" t="str">
        <f>IF(AI$3="","",IF(COUNTIFS(BD!$A$3:$A$5001,AI$3,BD!$B$3:$B$5001,$A$79,BD!$N$3:$N$5001,"&lt;&gt;")=0,"",SUMIFS(BD!$N$3:$N$5001,BD!$A$3:$A$5001,AI$3,BD!$B$3:$B$5001,$A$79)))</f>
        <v/>
      </c>
      <c r="AJ91" s="226" t="str">
        <f>IF(AJ$3="","",IF(COUNTIFS(BD!$A$3:$A$5001,AJ$3,BD!$B$3:$B$5001,$A$79,BD!$N$3:$N$5001,"&lt;&gt;")=0,"",SUMIFS(BD!$N$3:$N$5001,BD!$A$3:$A$5001,AJ$3,BD!$B$3:$B$5001,$A$79)))</f>
        <v/>
      </c>
      <c r="AK91" s="227" t="str">
        <f>IFERROR(LOOKUP(9.99E+307,F91:AJ91),"")</f>
        <v/>
      </c>
    </row>
    <row r="92" ht="15.75" customHeight="1">
      <c r="A92" s="254"/>
      <c r="B92" s="251"/>
      <c r="C92" s="228" t="inlineStr">
        <is>
          <t xml:space="preserve">Falta</t>
        </is>
      </c>
      <c r="D92" s="229" t="str">
        <f>IFERROR(1/(1/INDEX(BD!$Y$36:$AS$36,MATCH($A$79,BD!$Y$22:$AS$22,0))),"")</f>
        <v/>
      </c>
      <c r="E92" s="230"/>
      <c r="F92" s="231" t="str">
        <f>IF(F$3="","",IF(COUNTIFS(BD!$A$3:$A$5001,F$3,BD!$B$3:$B$5001,$A$79,BD!$O$3:$O$5001,"&lt;&gt;")=0,"",SUMIFS(BD!$O$3:$O$5001,BD!$A$3:$A$5001,F$3,BD!$B$3:$B$5001,$A$79)))</f>
        <v/>
      </c>
      <c r="G92" s="232" t="str">
        <f>IF(G$3="","",IF(COUNTIFS(BD!$A$3:$A$5001,G$3,BD!$B$3:$B$5001,$A$79,BD!$O$3:$O$5001,"&lt;&gt;")=0,"",SUMIFS(BD!$O$3:$O$5001,BD!$A$3:$A$5001,G$3,BD!$B$3:$B$5001,$A$79)))</f>
        <v/>
      </c>
      <c r="H92" s="232" t="str">
        <f>IF(H$3="","",IF(COUNTIFS(BD!$A$3:$A$5001,H$3,BD!$B$3:$B$5001,$A$79,BD!$O$3:$O$5001,"&lt;&gt;")=0,"",SUMIFS(BD!$O$3:$O$5001,BD!$A$3:$A$5001,H$3,BD!$B$3:$B$5001,$A$79)))</f>
        <v/>
      </c>
      <c r="I92" s="232" t="str">
        <f>IF(I$3="","",IF(COUNTIFS(BD!$A$3:$A$5001,I$3,BD!$B$3:$B$5001,$A$79,BD!$O$3:$O$5001,"&lt;&gt;")=0,"",SUMIFS(BD!$O$3:$O$5001,BD!$A$3:$A$5001,I$3,BD!$B$3:$B$5001,$A$79)))</f>
        <v/>
      </c>
      <c r="J92" s="232" t="str">
        <f>IF(J$3="","",IF(COUNTIFS(BD!$A$3:$A$5001,J$3,BD!$B$3:$B$5001,$A$79,BD!$O$3:$O$5001,"&lt;&gt;")=0,"",SUMIFS(BD!$O$3:$O$5001,BD!$A$3:$A$5001,J$3,BD!$B$3:$B$5001,$A$79)))</f>
        <v/>
      </c>
      <c r="K92" s="232" t="str">
        <f>IF(K$3="","",IF(COUNTIFS(BD!$A$3:$A$5001,K$3,BD!$B$3:$B$5001,$A$79,BD!$O$3:$O$5001,"&lt;&gt;")=0,"",SUMIFS(BD!$O$3:$O$5001,BD!$A$3:$A$5001,K$3,BD!$B$3:$B$5001,$A$79)))</f>
        <v/>
      </c>
      <c r="L92" s="232" t="str">
        <f>IF(L$3="","",IF(COUNTIFS(BD!$A$3:$A$5001,L$3,BD!$B$3:$B$5001,$A$79,BD!$O$3:$O$5001,"&lt;&gt;")=0,"",SUMIFS(BD!$O$3:$O$5001,BD!$A$3:$A$5001,L$3,BD!$B$3:$B$5001,$A$79)))</f>
        <v/>
      </c>
      <c r="M92" s="232" t="str">
        <f>IF(M$3="","",IF(COUNTIFS(BD!$A$3:$A$5001,M$3,BD!$B$3:$B$5001,$A$79,BD!$O$3:$O$5001,"&lt;&gt;")=0,"",SUMIFS(BD!$O$3:$O$5001,BD!$A$3:$A$5001,M$3,BD!$B$3:$B$5001,$A$79)))</f>
        <v/>
      </c>
      <c r="N92" s="232" t="str">
        <f>IF(N$3="","",IF(COUNTIFS(BD!$A$3:$A$5001,N$3,BD!$B$3:$B$5001,$A$79,BD!$O$3:$O$5001,"&lt;&gt;")=0,"",SUMIFS(BD!$O$3:$O$5001,BD!$A$3:$A$5001,N$3,BD!$B$3:$B$5001,$A$79)))</f>
        <v/>
      </c>
      <c r="O92" s="232" t="str">
        <f>IF(O$3="","",IF(COUNTIFS(BD!$A$3:$A$5001,O$3,BD!$B$3:$B$5001,$A$79,BD!$O$3:$O$5001,"&lt;&gt;")=0,"",SUMIFS(BD!$O$3:$O$5001,BD!$A$3:$A$5001,O$3,BD!$B$3:$B$5001,$A$79)))</f>
        <v/>
      </c>
      <c r="P92" s="232" t="str">
        <f>IF(P$3="","",IF(COUNTIFS(BD!$A$3:$A$5001,P$3,BD!$B$3:$B$5001,$A$79,BD!$O$3:$O$5001,"&lt;&gt;")=0,"",SUMIFS(BD!$O$3:$O$5001,BD!$A$3:$A$5001,P$3,BD!$B$3:$B$5001,$A$79)))</f>
        <v/>
      </c>
      <c r="Q92" s="232" t="str">
        <f>IF(Q$3="","",IF(COUNTIFS(BD!$A$3:$A$5001,Q$3,BD!$B$3:$B$5001,$A$79,BD!$O$3:$O$5001,"&lt;&gt;")=0,"",SUMIFS(BD!$O$3:$O$5001,BD!$A$3:$A$5001,Q$3,BD!$B$3:$B$5001,$A$79)))</f>
        <v/>
      </c>
      <c r="R92" s="232" t="str">
        <f>IF(R$3="","",IF(COUNTIFS(BD!$A$3:$A$5001,R$3,BD!$B$3:$B$5001,$A$79,BD!$O$3:$O$5001,"&lt;&gt;")=0,"",SUMIFS(BD!$O$3:$O$5001,BD!$A$3:$A$5001,R$3,BD!$B$3:$B$5001,$A$79)))</f>
        <v/>
      </c>
      <c r="S92" s="232" t="str">
        <f>IF(S$3="","",IF(COUNTIFS(BD!$A$3:$A$5001,S$3,BD!$B$3:$B$5001,$A$79,BD!$O$3:$O$5001,"&lt;&gt;")=0,"",SUMIFS(BD!$O$3:$O$5001,BD!$A$3:$A$5001,S$3,BD!$B$3:$B$5001,$A$79)))</f>
        <v/>
      </c>
      <c r="T92" s="232" t="str">
        <f>IF(T$3="","",IF(COUNTIFS(BD!$A$3:$A$5001,T$3,BD!$B$3:$B$5001,$A$79,BD!$O$3:$O$5001,"&lt;&gt;")=0,"",SUMIFS(BD!$O$3:$O$5001,BD!$A$3:$A$5001,T$3,BD!$B$3:$B$5001,$A$79)))</f>
        <v/>
      </c>
      <c r="U92" s="232" t="str">
        <f>IF(U$3="","",IF(COUNTIFS(BD!$A$3:$A$5001,U$3,BD!$B$3:$B$5001,$A$79,BD!$O$3:$O$5001,"&lt;&gt;")=0,"",SUMIFS(BD!$O$3:$O$5001,BD!$A$3:$A$5001,U$3,BD!$B$3:$B$5001,$A$79)))</f>
        <v/>
      </c>
      <c r="V92" s="232" t="str">
        <f>IF(V$3="","",IF(COUNTIFS(BD!$A$3:$A$5001,V$3,BD!$B$3:$B$5001,$A$79,BD!$O$3:$O$5001,"&lt;&gt;")=0,"",SUMIFS(BD!$O$3:$O$5001,BD!$A$3:$A$5001,V$3,BD!$B$3:$B$5001,$A$79)))</f>
        <v/>
      </c>
      <c r="W92" s="232" t="str">
        <f>IF(W$3="","",IF(COUNTIFS(BD!$A$3:$A$5001,W$3,BD!$B$3:$B$5001,$A$79,BD!$O$3:$O$5001,"&lt;&gt;")=0,"",SUMIFS(BD!$O$3:$O$5001,BD!$A$3:$A$5001,W$3,BD!$B$3:$B$5001,$A$79)))</f>
        <v/>
      </c>
      <c r="X92" s="232" t="str">
        <f>IF(X$3="","",IF(COUNTIFS(BD!$A$3:$A$5001,X$3,BD!$B$3:$B$5001,$A$79,BD!$O$3:$O$5001,"&lt;&gt;")=0,"",SUMIFS(BD!$O$3:$O$5001,BD!$A$3:$A$5001,X$3,BD!$B$3:$B$5001,$A$79)))</f>
        <v/>
      </c>
      <c r="Y92" s="232" t="str">
        <f>IF(Y$3="","",IF(COUNTIFS(BD!$A$3:$A$5001,Y$3,BD!$B$3:$B$5001,$A$79,BD!$O$3:$O$5001,"&lt;&gt;")=0,"",SUMIFS(BD!$O$3:$O$5001,BD!$A$3:$A$5001,Y$3,BD!$B$3:$B$5001,$A$79)))</f>
        <v/>
      </c>
      <c r="Z92" s="232" t="str">
        <f>IF(Z$3="","",IF(COUNTIFS(BD!$A$3:$A$5001,Z$3,BD!$B$3:$B$5001,$A$79,BD!$O$3:$O$5001,"&lt;&gt;")=0,"",SUMIFS(BD!$O$3:$O$5001,BD!$A$3:$A$5001,Z$3,BD!$B$3:$B$5001,$A$79)))</f>
        <v/>
      </c>
      <c r="AA92" s="232" t="str">
        <f>IF(AA$3="","",IF(COUNTIFS(BD!$A$3:$A$5001,AA$3,BD!$B$3:$B$5001,$A$79,BD!$O$3:$O$5001,"&lt;&gt;")=0,"",SUMIFS(BD!$O$3:$O$5001,BD!$A$3:$A$5001,AA$3,BD!$B$3:$B$5001,$A$79)))</f>
        <v/>
      </c>
      <c r="AB92" s="232" t="str">
        <f>IF(AB$3="","",IF(COUNTIFS(BD!$A$3:$A$5001,AB$3,BD!$B$3:$B$5001,$A$79,BD!$O$3:$O$5001,"&lt;&gt;")=0,"",SUMIFS(BD!$O$3:$O$5001,BD!$A$3:$A$5001,AB$3,BD!$B$3:$B$5001,$A$79)))</f>
        <v/>
      </c>
      <c r="AC92" s="232" t="str">
        <f>IF(AC$3="","",IF(COUNTIFS(BD!$A$3:$A$5001,AC$3,BD!$B$3:$B$5001,$A$79,BD!$O$3:$O$5001,"&lt;&gt;")=0,"",SUMIFS(BD!$O$3:$O$5001,BD!$A$3:$A$5001,AC$3,BD!$B$3:$B$5001,$A$79)))</f>
        <v/>
      </c>
      <c r="AD92" s="232" t="str">
        <f>IF(AD$3="","",IF(COUNTIFS(BD!$A$3:$A$5001,AD$3,BD!$B$3:$B$5001,$A$79,BD!$O$3:$O$5001,"&lt;&gt;")=0,"",SUMIFS(BD!$O$3:$O$5001,BD!$A$3:$A$5001,AD$3,BD!$B$3:$B$5001,$A$79)))</f>
        <v/>
      </c>
      <c r="AE92" s="232" t="str">
        <f>IF(AE$3="","",IF(COUNTIFS(BD!$A$3:$A$5001,AE$3,BD!$B$3:$B$5001,$A$79,BD!$O$3:$O$5001,"&lt;&gt;")=0,"",SUMIFS(BD!$O$3:$O$5001,BD!$A$3:$A$5001,AE$3,BD!$B$3:$B$5001,$A$79)))</f>
        <v/>
      </c>
      <c r="AF92" s="232" t="str">
        <f>IF(AF$3="","",IF(COUNTIFS(BD!$A$3:$A$5001,AF$3,BD!$B$3:$B$5001,$A$79,BD!$O$3:$O$5001,"&lt;&gt;")=0,"",SUMIFS(BD!$O$3:$O$5001,BD!$A$3:$A$5001,AF$3,BD!$B$3:$B$5001,$A$79)))</f>
        <v/>
      </c>
      <c r="AG92" s="232" t="str">
        <f>IF(AG$3="","",IF(COUNTIFS(BD!$A$3:$A$5001,AG$3,BD!$B$3:$B$5001,$A$79,BD!$O$3:$O$5001,"&lt;&gt;")=0,"",SUMIFS(BD!$O$3:$O$5001,BD!$A$3:$A$5001,AG$3,BD!$B$3:$B$5001,$A$79)))</f>
        <v/>
      </c>
      <c r="AH92" s="232" t="str">
        <f>IF(AH$3="","",IF(COUNTIFS(BD!$A$3:$A$5001,AH$3,BD!$B$3:$B$5001,$A$79,BD!$O$3:$O$5001,"&lt;&gt;")=0,"",SUMIFS(BD!$O$3:$O$5001,BD!$A$3:$A$5001,AH$3,BD!$B$3:$B$5001,$A$79)))</f>
        <v/>
      </c>
      <c r="AI92" s="232" t="str">
        <f>IF(AI$3="","",IF(COUNTIFS(BD!$A$3:$A$5001,AI$3,BD!$B$3:$B$5001,$A$79,BD!$O$3:$O$5001,"&lt;&gt;")=0,"",SUMIFS(BD!$O$3:$O$5001,BD!$A$3:$A$5001,AI$3,BD!$B$3:$B$5001,$A$79)))</f>
        <v/>
      </c>
      <c r="AJ92" s="233" t="str">
        <f>IF(AJ$3="","",IF(COUNTIFS(BD!$A$3:$A$5001,AJ$3,BD!$B$3:$B$5001,$A$79,BD!$O$3:$O$5001,"&lt;&gt;")=0,"",SUMIFS(BD!$O$3:$O$5001,BD!$A$3:$A$5001,AJ$3,BD!$B$3:$B$5001,$A$79)))</f>
        <v/>
      </c>
      <c r="AK92" s="234" t="str">
        <f>IF(COUNT(F92:AJ92)=0,"",SUM(F92:AJ92))</f>
        <v/>
      </c>
    </row>
    <row r="93" ht="15.75" customHeight="1">
      <c r="A93" s="254"/>
      <c r="B93" s="251"/>
      <c r="C93" s="228" t="inlineStr">
        <is>
          <t xml:space="preserve">Folga</t>
        </is>
      </c>
      <c r="D93" s="229" t="str">
        <f>IFERROR(1/(1/INDEX(BD!$Y$37:$AS$37,MATCH($A$79,BD!$Y$22:$AS$22,0))),"")</f>
        <v/>
      </c>
      <c r="E93" s="230"/>
      <c r="F93" s="231" t="str">
        <f>IF(F$3="","",IF(COUNTIFS(BD!$A$3:$A$5001,F$3,BD!$B$3:$B$5001,$A$79,BD!$P$3:$P$5001,"&lt;&gt;")=0,"",SUMIFS(BD!$P$3:$P$5001,BD!$A$3:$A$5001,F$3,BD!$B$3:$B$5001,$A$79)))</f>
        <v/>
      </c>
      <c r="G93" s="232" t="str">
        <f>IF(G$3="","",IF(COUNTIFS(BD!$A$3:$A$5001,G$3,BD!$B$3:$B$5001,$A$79,BD!$P$3:$P$5001,"&lt;&gt;")=0,"",SUMIFS(BD!$P$3:$P$5001,BD!$A$3:$A$5001,G$3,BD!$B$3:$B$5001,$A$79)))</f>
        <v/>
      </c>
      <c r="H93" s="232" t="str">
        <f>IF(H$3="","",IF(COUNTIFS(BD!$A$3:$A$5001,H$3,BD!$B$3:$B$5001,$A$79,BD!$P$3:$P$5001,"&lt;&gt;")=0,"",SUMIFS(BD!$P$3:$P$5001,BD!$A$3:$A$5001,H$3,BD!$B$3:$B$5001,$A$79)))</f>
        <v/>
      </c>
      <c r="I93" s="232" t="str">
        <f>IF(I$3="","",IF(COUNTIFS(BD!$A$3:$A$5001,I$3,BD!$B$3:$B$5001,$A$79,BD!$P$3:$P$5001,"&lt;&gt;")=0,"",SUMIFS(BD!$P$3:$P$5001,BD!$A$3:$A$5001,I$3,BD!$B$3:$B$5001,$A$79)))</f>
        <v/>
      </c>
      <c r="J93" s="232" t="str">
        <f>IF(J$3="","",IF(COUNTIFS(BD!$A$3:$A$5001,J$3,BD!$B$3:$B$5001,$A$79,BD!$P$3:$P$5001,"&lt;&gt;")=0,"",SUMIFS(BD!$P$3:$P$5001,BD!$A$3:$A$5001,J$3,BD!$B$3:$B$5001,$A$79)))</f>
        <v/>
      </c>
      <c r="K93" s="232" t="str">
        <f>IF(K$3="","",IF(COUNTIFS(BD!$A$3:$A$5001,K$3,BD!$B$3:$B$5001,$A$79,BD!$P$3:$P$5001,"&lt;&gt;")=0,"",SUMIFS(BD!$P$3:$P$5001,BD!$A$3:$A$5001,K$3,BD!$B$3:$B$5001,$A$79)))</f>
        <v/>
      </c>
      <c r="L93" s="232" t="str">
        <f>IF(L$3="","",IF(COUNTIFS(BD!$A$3:$A$5001,L$3,BD!$B$3:$B$5001,$A$79,BD!$P$3:$P$5001,"&lt;&gt;")=0,"",SUMIFS(BD!$P$3:$P$5001,BD!$A$3:$A$5001,L$3,BD!$B$3:$B$5001,$A$79)))</f>
        <v/>
      </c>
      <c r="M93" s="232" t="str">
        <f>IF(M$3="","",IF(COUNTIFS(BD!$A$3:$A$5001,M$3,BD!$B$3:$B$5001,$A$79,BD!$P$3:$P$5001,"&lt;&gt;")=0,"",SUMIFS(BD!$P$3:$P$5001,BD!$A$3:$A$5001,M$3,BD!$B$3:$B$5001,$A$79)))</f>
        <v/>
      </c>
      <c r="N93" s="232" t="str">
        <f>IF(N$3="","",IF(COUNTIFS(BD!$A$3:$A$5001,N$3,BD!$B$3:$B$5001,$A$79,BD!$P$3:$P$5001,"&lt;&gt;")=0,"",SUMIFS(BD!$P$3:$P$5001,BD!$A$3:$A$5001,N$3,BD!$B$3:$B$5001,$A$79)))</f>
        <v/>
      </c>
      <c r="O93" s="232" t="str">
        <f>IF(O$3="","",IF(COUNTIFS(BD!$A$3:$A$5001,O$3,BD!$B$3:$B$5001,$A$79,BD!$P$3:$P$5001,"&lt;&gt;")=0,"",SUMIFS(BD!$P$3:$P$5001,BD!$A$3:$A$5001,O$3,BD!$B$3:$B$5001,$A$79)))</f>
        <v/>
      </c>
      <c r="P93" s="232" t="str">
        <f>IF(P$3="","",IF(COUNTIFS(BD!$A$3:$A$5001,P$3,BD!$B$3:$B$5001,$A$79,BD!$P$3:$P$5001,"&lt;&gt;")=0,"",SUMIFS(BD!$P$3:$P$5001,BD!$A$3:$A$5001,P$3,BD!$B$3:$B$5001,$A$79)))</f>
        <v/>
      </c>
      <c r="Q93" s="232" t="str">
        <f>IF(Q$3="","",IF(COUNTIFS(BD!$A$3:$A$5001,Q$3,BD!$B$3:$B$5001,$A$79,BD!$P$3:$P$5001,"&lt;&gt;")=0,"",SUMIFS(BD!$P$3:$P$5001,BD!$A$3:$A$5001,Q$3,BD!$B$3:$B$5001,$A$79)))</f>
        <v/>
      </c>
      <c r="R93" s="232" t="str">
        <f>IF(R$3="","",IF(COUNTIFS(BD!$A$3:$A$5001,R$3,BD!$B$3:$B$5001,$A$79,BD!$P$3:$P$5001,"&lt;&gt;")=0,"",SUMIFS(BD!$P$3:$P$5001,BD!$A$3:$A$5001,R$3,BD!$B$3:$B$5001,$A$79)))</f>
        <v/>
      </c>
      <c r="S93" s="232" t="str">
        <f>IF(S$3="","",IF(COUNTIFS(BD!$A$3:$A$5001,S$3,BD!$B$3:$B$5001,$A$79,BD!$P$3:$P$5001,"&lt;&gt;")=0,"",SUMIFS(BD!$P$3:$P$5001,BD!$A$3:$A$5001,S$3,BD!$B$3:$B$5001,$A$79)))</f>
        <v/>
      </c>
      <c r="T93" s="232" t="str">
        <f>IF(T$3="","",IF(COUNTIFS(BD!$A$3:$A$5001,T$3,BD!$B$3:$B$5001,$A$79,BD!$P$3:$P$5001,"&lt;&gt;")=0,"",SUMIFS(BD!$P$3:$P$5001,BD!$A$3:$A$5001,T$3,BD!$B$3:$B$5001,$A$79)))</f>
        <v/>
      </c>
      <c r="U93" s="232" t="str">
        <f>IF(U$3="","",IF(COUNTIFS(BD!$A$3:$A$5001,U$3,BD!$B$3:$B$5001,$A$79,BD!$P$3:$P$5001,"&lt;&gt;")=0,"",SUMIFS(BD!$P$3:$P$5001,BD!$A$3:$A$5001,U$3,BD!$B$3:$B$5001,$A$79)))</f>
        <v/>
      </c>
      <c r="V93" s="232" t="str">
        <f>IF(V$3="","",IF(COUNTIFS(BD!$A$3:$A$5001,V$3,BD!$B$3:$B$5001,$A$79,BD!$P$3:$P$5001,"&lt;&gt;")=0,"",SUMIFS(BD!$P$3:$P$5001,BD!$A$3:$A$5001,V$3,BD!$B$3:$B$5001,$A$79)))</f>
        <v/>
      </c>
      <c r="W93" s="232" t="str">
        <f>IF(W$3="","",IF(COUNTIFS(BD!$A$3:$A$5001,W$3,BD!$B$3:$B$5001,$A$79,BD!$P$3:$P$5001,"&lt;&gt;")=0,"",SUMIFS(BD!$P$3:$P$5001,BD!$A$3:$A$5001,W$3,BD!$B$3:$B$5001,$A$79)))</f>
        <v/>
      </c>
      <c r="X93" s="232" t="str">
        <f>IF(X$3="","",IF(COUNTIFS(BD!$A$3:$A$5001,X$3,BD!$B$3:$B$5001,$A$79,BD!$P$3:$P$5001,"&lt;&gt;")=0,"",SUMIFS(BD!$P$3:$P$5001,BD!$A$3:$A$5001,X$3,BD!$B$3:$B$5001,$A$79)))</f>
        <v/>
      </c>
      <c r="Y93" s="232" t="str">
        <f>IF(Y$3="","",IF(COUNTIFS(BD!$A$3:$A$5001,Y$3,BD!$B$3:$B$5001,$A$79,BD!$P$3:$P$5001,"&lt;&gt;")=0,"",SUMIFS(BD!$P$3:$P$5001,BD!$A$3:$A$5001,Y$3,BD!$B$3:$B$5001,$A$79)))</f>
        <v/>
      </c>
      <c r="Z93" s="232" t="str">
        <f>IF(Z$3="","",IF(COUNTIFS(BD!$A$3:$A$5001,Z$3,BD!$B$3:$B$5001,$A$79,BD!$P$3:$P$5001,"&lt;&gt;")=0,"",SUMIFS(BD!$P$3:$P$5001,BD!$A$3:$A$5001,Z$3,BD!$B$3:$B$5001,$A$79)))</f>
        <v/>
      </c>
      <c r="AA93" s="232" t="str">
        <f>IF(AA$3="","",IF(COUNTIFS(BD!$A$3:$A$5001,AA$3,BD!$B$3:$B$5001,$A$79,BD!$P$3:$P$5001,"&lt;&gt;")=0,"",SUMIFS(BD!$P$3:$P$5001,BD!$A$3:$A$5001,AA$3,BD!$B$3:$B$5001,$A$79)))</f>
        <v/>
      </c>
      <c r="AB93" s="232" t="str">
        <f>IF(AB$3="","",IF(COUNTIFS(BD!$A$3:$A$5001,AB$3,BD!$B$3:$B$5001,$A$79,BD!$P$3:$P$5001,"&lt;&gt;")=0,"",SUMIFS(BD!$P$3:$P$5001,BD!$A$3:$A$5001,AB$3,BD!$B$3:$B$5001,$A$79)))</f>
        <v/>
      </c>
      <c r="AC93" s="232" t="str">
        <f>IF(AC$3="","",IF(COUNTIFS(BD!$A$3:$A$5001,AC$3,BD!$B$3:$B$5001,$A$79,BD!$P$3:$P$5001,"&lt;&gt;")=0,"",SUMIFS(BD!$P$3:$P$5001,BD!$A$3:$A$5001,AC$3,BD!$B$3:$B$5001,$A$79)))</f>
        <v/>
      </c>
      <c r="AD93" s="232" t="str">
        <f>IF(AD$3="","",IF(COUNTIFS(BD!$A$3:$A$5001,AD$3,BD!$B$3:$B$5001,$A$79,BD!$P$3:$P$5001,"&lt;&gt;")=0,"",SUMIFS(BD!$P$3:$P$5001,BD!$A$3:$A$5001,AD$3,BD!$B$3:$B$5001,$A$79)))</f>
        <v/>
      </c>
      <c r="AE93" s="232" t="str">
        <f>IF(AE$3="","",IF(COUNTIFS(BD!$A$3:$A$5001,AE$3,BD!$B$3:$B$5001,$A$79,BD!$P$3:$P$5001,"&lt;&gt;")=0,"",SUMIFS(BD!$P$3:$P$5001,BD!$A$3:$A$5001,AE$3,BD!$B$3:$B$5001,$A$79)))</f>
        <v/>
      </c>
      <c r="AF93" s="232" t="str">
        <f>IF(AF$3="","",IF(COUNTIFS(BD!$A$3:$A$5001,AF$3,BD!$B$3:$B$5001,$A$79,BD!$P$3:$P$5001,"&lt;&gt;")=0,"",SUMIFS(BD!$P$3:$P$5001,BD!$A$3:$A$5001,AF$3,BD!$B$3:$B$5001,$A$79)))</f>
        <v/>
      </c>
      <c r="AG93" s="232" t="str">
        <f>IF(AG$3="","",IF(COUNTIFS(BD!$A$3:$A$5001,AG$3,BD!$B$3:$B$5001,$A$79,BD!$P$3:$P$5001,"&lt;&gt;")=0,"",SUMIFS(BD!$P$3:$P$5001,BD!$A$3:$A$5001,AG$3,BD!$B$3:$B$5001,$A$79)))</f>
        <v/>
      </c>
      <c r="AH93" s="232" t="str">
        <f>IF(AH$3="","",IF(COUNTIFS(BD!$A$3:$A$5001,AH$3,BD!$B$3:$B$5001,$A$79,BD!$P$3:$P$5001,"&lt;&gt;")=0,"",SUMIFS(BD!$P$3:$P$5001,BD!$A$3:$A$5001,AH$3,BD!$B$3:$B$5001,$A$79)))</f>
        <v/>
      </c>
      <c r="AI93" s="232" t="str">
        <f>IF(AI$3="","",IF(COUNTIFS(BD!$A$3:$A$5001,AI$3,BD!$B$3:$B$5001,$A$79,BD!$P$3:$P$5001,"&lt;&gt;")=0,"",SUMIFS(BD!$P$3:$P$5001,BD!$A$3:$A$5001,AI$3,BD!$B$3:$B$5001,$A$79)))</f>
        <v/>
      </c>
      <c r="AJ93" s="233" t="str">
        <f>IF(AJ$3="","",IF(COUNTIFS(BD!$A$3:$A$5001,AJ$3,BD!$B$3:$B$5001,$A$79,BD!$P$3:$P$5001,"&lt;&gt;")=0,"",SUMIFS(BD!$P$3:$P$5001,BD!$A$3:$A$5001,AJ$3,BD!$B$3:$B$5001,$A$79)))</f>
        <v/>
      </c>
      <c r="AK93" s="234" t="str">
        <f>IF(COUNT(F93:AJ93)=0,"",SUM(F93:AJ93))</f>
        <v/>
      </c>
    </row>
    <row r="94" ht="15.75" customHeight="1">
      <c r="A94" s="254"/>
      <c r="B94" s="251"/>
      <c r="C94" s="228" t="inlineStr">
        <is>
          <t xml:space="preserve">Férias</t>
        </is>
      </c>
      <c r="D94" s="229" t="str">
        <f>IFERROR(1/(1/INDEX(BD!$Y$38:$AS$38,MATCH($A$79,BD!$Y$22:$AS$22,0))),"")</f>
        <v/>
      </c>
      <c r="E94" s="230"/>
      <c r="F94" s="231" t="str">
        <f>IF(F$3="","",IF(COUNTIFS(BD!$A$3:$A$5001,F$3,BD!$B$3:$B$5001,$A$79,BD!$Q$3:$Q$5001,"&lt;&gt;")=0,"",SUMIFS(BD!$Q$3:$Q$5001,BD!$A$3:$A$5001,F$3,BD!$B$3:$B$5001,$A$79)))</f>
        <v/>
      </c>
      <c r="G94" s="232" t="str">
        <f>IF(G$3="","",IF(COUNTIFS(BD!$A$3:$A$5001,G$3,BD!$B$3:$B$5001,$A$79,BD!$Q$3:$Q$5001,"&lt;&gt;")=0,"",SUMIFS(BD!$Q$3:$Q$5001,BD!$A$3:$A$5001,G$3,BD!$B$3:$B$5001,$A$79)))</f>
        <v/>
      </c>
      <c r="H94" s="232" t="str">
        <f>IF(H$3="","",IF(COUNTIFS(BD!$A$3:$A$5001,H$3,BD!$B$3:$B$5001,$A$79,BD!$Q$3:$Q$5001,"&lt;&gt;")=0,"",SUMIFS(BD!$Q$3:$Q$5001,BD!$A$3:$A$5001,H$3,BD!$B$3:$B$5001,$A$79)))</f>
        <v/>
      </c>
      <c r="I94" s="232" t="str">
        <f>IF(I$3="","",IF(COUNTIFS(BD!$A$3:$A$5001,I$3,BD!$B$3:$B$5001,$A$79,BD!$Q$3:$Q$5001,"&lt;&gt;")=0,"",SUMIFS(BD!$Q$3:$Q$5001,BD!$A$3:$A$5001,I$3,BD!$B$3:$B$5001,$A$79)))</f>
        <v/>
      </c>
      <c r="J94" s="232" t="str">
        <f>IF(J$3="","",IF(COUNTIFS(BD!$A$3:$A$5001,J$3,BD!$B$3:$B$5001,$A$79,BD!$Q$3:$Q$5001,"&lt;&gt;")=0,"",SUMIFS(BD!$Q$3:$Q$5001,BD!$A$3:$A$5001,J$3,BD!$B$3:$B$5001,$A$79)))</f>
        <v/>
      </c>
      <c r="K94" s="232" t="str">
        <f>IF(K$3="","",IF(COUNTIFS(BD!$A$3:$A$5001,K$3,BD!$B$3:$B$5001,$A$79,BD!$Q$3:$Q$5001,"&lt;&gt;")=0,"",SUMIFS(BD!$Q$3:$Q$5001,BD!$A$3:$A$5001,K$3,BD!$B$3:$B$5001,$A$79)))</f>
        <v/>
      </c>
      <c r="L94" s="232" t="str">
        <f>IF(L$3="","",IF(COUNTIFS(BD!$A$3:$A$5001,L$3,BD!$B$3:$B$5001,$A$79,BD!$Q$3:$Q$5001,"&lt;&gt;")=0,"",SUMIFS(BD!$Q$3:$Q$5001,BD!$A$3:$A$5001,L$3,BD!$B$3:$B$5001,$A$79)))</f>
        <v/>
      </c>
      <c r="M94" s="232" t="str">
        <f>IF(M$3="","",IF(COUNTIFS(BD!$A$3:$A$5001,M$3,BD!$B$3:$B$5001,$A$79,BD!$Q$3:$Q$5001,"&lt;&gt;")=0,"",SUMIFS(BD!$Q$3:$Q$5001,BD!$A$3:$A$5001,M$3,BD!$B$3:$B$5001,$A$79)))</f>
        <v/>
      </c>
      <c r="N94" s="232" t="str">
        <f>IF(N$3="","",IF(COUNTIFS(BD!$A$3:$A$5001,N$3,BD!$B$3:$B$5001,$A$79,BD!$Q$3:$Q$5001,"&lt;&gt;")=0,"",SUMIFS(BD!$Q$3:$Q$5001,BD!$A$3:$A$5001,N$3,BD!$B$3:$B$5001,$A$79)))</f>
        <v/>
      </c>
      <c r="O94" s="232" t="str">
        <f>IF(O$3="","",IF(COUNTIFS(BD!$A$3:$A$5001,O$3,BD!$B$3:$B$5001,$A$79,BD!$Q$3:$Q$5001,"&lt;&gt;")=0,"",SUMIFS(BD!$Q$3:$Q$5001,BD!$A$3:$A$5001,O$3,BD!$B$3:$B$5001,$A$79)))</f>
        <v/>
      </c>
      <c r="P94" s="232" t="str">
        <f>IF(P$3="","",IF(COUNTIFS(BD!$A$3:$A$5001,P$3,BD!$B$3:$B$5001,$A$79,BD!$Q$3:$Q$5001,"&lt;&gt;")=0,"",SUMIFS(BD!$Q$3:$Q$5001,BD!$A$3:$A$5001,P$3,BD!$B$3:$B$5001,$A$79)))</f>
        <v/>
      </c>
      <c r="Q94" s="232" t="str">
        <f>IF(Q$3="","",IF(COUNTIFS(BD!$A$3:$A$5001,Q$3,BD!$B$3:$B$5001,$A$79,BD!$Q$3:$Q$5001,"&lt;&gt;")=0,"",SUMIFS(BD!$Q$3:$Q$5001,BD!$A$3:$A$5001,Q$3,BD!$B$3:$B$5001,$A$79)))</f>
        <v/>
      </c>
      <c r="R94" s="232" t="str">
        <f>IF(R$3="","",IF(COUNTIFS(BD!$A$3:$A$5001,R$3,BD!$B$3:$B$5001,$A$79,BD!$Q$3:$Q$5001,"&lt;&gt;")=0,"",SUMIFS(BD!$Q$3:$Q$5001,BD!$A$3:$A$5001,R$3,BD!$B$3:$B$5001,$A$79)))</f>
        <v/>
      </c>
      <c r="S94" s="232" t="str">
        <f>IF(S$3="","",IF(COUNTIFS(BD!$A$3:$A$5001,S$3,BD!$B$3:$B$5001,$A$79,BD!$Q$3:$Q$5001,"&lt;&gt;")=0,"",SUMIFS(BD!$Q$3:$Q$5001,BD!$A$3:$A$5001,S$3,BD!$B$3:$B$5001,$A$79)))</f>
        <v/>
      </c>
      <c r="T94" s="232" t="str">
        <f>IF(T$3="","",IF(COUNTIFS(BD!$A$3:$A$5001,T$3,BD!$B$3:$B$5001,$A$79,BD!$Q$3:$Q$5001,"&lt;&gt;")=0,"",SUMIFS(BD!$Q$3:$Q$5001,BD!$A$3:$A$5001,T$3,BD!$B$3:$B$5001,$A$79)))</f>
        <v/>
      </c>
      <c r="U94" s="232" t="str">
        <f>IF(U$3="","",IF(COUNTIFS(BD!$A$3:$A$5001,U$3,BD!$B$3:$B$5001,$A$79,BD!$Q$3:$Q$5001,"&lt;&gt;")=0,"",SUMIFS(BD!$Q$3:$Q$5001,BD!$A$3:$A$5001,U$3,BD!$B$3:$B$5001,$A$79)))</f>
        <v/>
      </c>
      <c r="V94" s="232" t="str">
        <f>IF(V$3="","",IF(COUNTIFS(BD!$A$3:$A$5001,V$3,BD!$B$3:$B$5001,$A$79,BD!$Q$3:$Q$5001,"&lt;&gt;")=0,"",SUMIFS(BD!$Q$3:$Q$5001,BD!$A$3:$A$5001,V$3,BD!$B$3:$B$5001,$A$79)))</f>
        <v/>
      </c>
      <c r="W94" s="232" t="str">
        <f>IF(W$3="","",IF(COUNTIFS(BD!$A$3:$A$5001,W$3,BD!$B$3:$B$5001,$A$79,BD!$Q$3:$Q$5001,"&lt;&gt;")=0,"",SUMIFS(BD!$Q$3:$Q$5001,BD!$A$3:$A$5001,W$3,BD!$B$3:$B$5001,$A$79)))</f>
        <v/>
      </c>
      <c r="X94" s="232" t="str">
        <f>IF(X$3="","",IF(COUNTIFS(BD!$A$3:$A$5001,X$3,BD!$B$3:$B$5001,$A$79,BD!$Q$3:$Q$5001,"&lt;&gt;")=0,"",SUMIFS(BD!$Q$3:$Q$5001,BD!$A$3:$A$5001,X$3,BD!$B$3:$B$5001,$A$79)))</f>
        <v/>
      </c>
      <c r="Y94" s="232" t="str">
        <f>IF(Y$3="","",IF(COUNTIFS(BD!$A$3:$A$5001,Y$3,BD!$B$3:$B$5001,$A$79,BD!$Q$3:$Q$5001,"&lt;&gt;")=0,"",SUMIFS(BD!$Q$3:$Q$5001,BD!$A$3:$A$5001,Y$3,BD!$B$3:$B$5001,$A$79)))</f>
        <v/>
      </c>
      <c r="Z94" s="232" t="str">
        <f>IF(Z$3="","",IF(COUNTIFS(BD!$A$3:$A$5001,Z$3,BD!$B$3:$B$5001,$A$79,BD!$Q$3:$Q$5001,"&lt;&gt;")=0,"",SUMIFS(BD!$Q$3:$Q$5001,BD!$A$3:$A$5001,Z$3,BD!$B$3:$B$5001,$A$79)))</f>
        <v/>
      </c>
      <c r="AA94" s="232" t="str">
        <f>IF(AA$3="","",IF(COUNTIFS(BD!$A$3:$A$5001,AA$3,BD!$B$3:$B$5001,$A$79,BD!$Q$3:$Q$5001,"&lt;&gt;")=0,"",SUMIFS(BD!$Q$3:$Q$5001,BD!$A$3:$A$5001,AA$3,BD!$B$3:$B$5001,$A$79)))</f>
        <v/>
      </c>
      <c r="AB94" s="232" t="str">
        <f>IF(AB$3="","",IF(COUNTIFS(BD!$A$3:$A$5001,AB$3,BD!$B$3:$B$5001,$A$79,BD!$Q$3:$Q$5001,"&lt;&gt;")=0,"",SUMIFS(BD!$Q$3:$Q$5001,BD!$A$3:$A$5001,AB$3,BD!$B$3:$B$5001,$A$79)))</f>
        <v/>
      </c>
      <c r="AC94" s="232" t="str">
        <f>IF(AC$3="","",IF(COUNTIFS(BD!$A$3:$A$5001,AC$3,BD!$B$3:$B$5001,$A$79,BD!$Q$3:$Q$5001,"&lt;&gt;")=0,"",SUMIFS(BD!$Q$3:$Q$5001,BD!$A$3:$A$5001,AC$3,BD!$B$3:$B$5001,$A$79)))</f>
        <v/>
      </c>
      <c r="AD94" s="232" t="str">
        <f>IF(AD$3="","",IF(COUNTIFS(BD!$A$3:$A$5001,AD$3,BD!$B$3:$B$5001,$A$79,BD!$Q$3:$Q$5001,"&lt;&gt;")=0,"",SUMIFS(BD!$Q$3:$Q$5001,BD!$A$3:$A$5001,AD$3,BD!$B$3:$B$5001,$A$79)))</f>
        <v/>
      </c>
      <c r="AE94" s="232" t="str">
        <f>IF(AE$3="","",IF(COUNTIFS(BD!$A$3:$A$5001,AE$3,BD!$B$3:$B$5001,$A$79,BD!$Q$3:$Q$5001,"&lt;&gt;")=0,"",SUMIFS(BD!$Q$3:$Q$5001,BD!$A$3:$A$5001,AE$3,BD!$B$3:$B$5001,$A$79)))</f>
        <v/>
      </c>
      <c r="AF94" s="232" t="str">
        <f>IF(AF$3="","",IF(COUNTIFS(BD!$A$3:$A$5001,AF$3,BD!$B$3:$B$5001,$A$79,BD!$Q$3:$Q$5001,"&lt;&gt;")=0,"",SUMIFS(BD!$Q$3:$Q$5001,BD!$A$3:$A$5001,AF$3,BD!$B$3:$B$5001,$A$79)))</f>
        <v/>
      </c>
      <c r="AG94" s="232" t="str">
        <f>IF(AG$3="","",IF(COUNTIFS(BD!$A$3:$A$5001,AG$3,BD!$B$3:$B$5001,$A$79,BD!$Q$3:$Q$5001,"&lt;&gt;")=0,"",SUMIFS(BD!$Q$3:$Q$5001,BD!$A$3:$A$5001,AG$3,BD!$B$3:$B$5001,$A$79)))</f>
        <v/>
      </c>
      <c r="AH94" s="232" t="str">
        <f>IF(AH$3="","",IF(COUNTIFS(BD!$A$3:$A$5001,AH$3,BD!$B$3:$B$5001,$A$79,BD!$Q$3:$Q$5001,"&lt;&gt;")=0,"",SUMIFS(BD!$Q$3:$Q$5001,BD!$A$3:$A$5001,AH$3,BD!$B$3:$B$5001,$A$79)))</f>
        <v/>
      </c>
      <c r="AI94" s="232" t="str">
        <f>IF(AI$3="","",IF(COUNTIFS(BD!$A$3:$A$5001,AI$3,BD!$B$3:$B$5001,$A$79,BD!$Q$3:$Q$5001,"&lt;&gt;")=0,"",SUMIFS(BD!$Q$3:$Q$5001,BD!$A$3:$A$5001,AI$3,BD!$B$3:$B$5001,$A$79)))</f>
        <v/>
      </c>
      <c r="AJ94" s="233" t="str">
        <f>IF(AJ$3="","",IF(COUNTIFS(BD!$A$3:$A$5001,AJ$3,BD!$B$3:$B$5001,$A$79,BD!$Q$3:$Q$5001,"&lt;&gt;")=0,"",SUMIFS(BD!$Q$3:$Q$5001,BD!$A$3:$A$5001,AJ$3,BD!$B$3:$B$5001,$A$79)))</f>
        <v/>
      </c>
      <c r="AK94" s="234" t="str">
        <f>IF(COUNT(F94:AJ94)=0,"",SUM(F94:AJ94))</f>
        <v/>
      </c>
    </row>
    <row r="95" ht="15.75" customHeight="1">
      <c r="A95" s="254"/>
      <c r="B95" s="251"/>
      <c r="C95" s="228" t="inlineStr">
        <is>
          <t xml:space="preserve">Desligamento</t>
        </is>
      </c>
      <c r="D95" s="229" t="str">
        <f>IFERROR(1/(1/INDEX(BD!$Y$39:$AS$39,MATCH($A$79,BD!$Y$22:$AS$22,0))),"")</f>
        <v/>
      </c>
      <c r="E95" s="230"/>
      <c r="F95" s="231" t="str">
        <f>IF(F$3="","",IF(COUNTIFS(BD!$A$3:$A$5001,F$3,BD!$B$3:$B$5001,$A$79,BD!$R$3:$R$5001,"&lt;&gt;")=0,"",SUMIFS(BD!$R$3:$R$5001,BD!$A$3:$A$5001,F$3,BD!$B$3:$B$5001,$A$79)))</f>
        <v/>
      </c>
      <c r="G95" s="232" t="str">
        <f>IF(G$3="","",IF(COUNTIFS(BD!$A$3:$A$5001,G$3,BD!$B$3:$B$5001,$A$79,BD!$R$3:$R$5001,"&lt;&gt;")=0,"",SUMIFS(BD!$R$3:$R$5001,BD!$A$3:$A$5001,G$3,BD!$B$3:$B$5001,$A$79)))</f>
        <v/>
      </c>
      <c r="H95" s="232" t="str">
        <f>IF(H$3="","",IF(COUNTIFS(BD!$A$3:$A$5001,H$3,BD!$B$3:$B$5001,$A$79,BD!$R$3:$R$5001,"&lt;&gt;")=0,"",SUMIFS(BD!$R$3:$R$5001,BD!$A$3:$A$5001,H$3,BD!$B$3:$B$5001,$A$79)))</f>
        <v/>
      </c>
      <c r="I95" s="232" t="str">
        <f>IF(I$3="","",IF(COUNTIFS(BD!$A$3:$A$5001,I$3,BD!$B$3:$B$5001,$A$79,BD!$R$3:$R$5001,"&lt;&gt;")=0,"",SUMIFS(BD!$R$3:$R$5001,BD!$A$3:$A$5001,I$3,BD!$B$3:$B$5001,$A$79)))</f>
        <v/>
      </c>
      <c r="J95" s="232" t="str">
        <f>IF(J$3="","",IF(COUNTIFS(BD!$A$3:$A$5001,J$3,BD!$B$3:$B$5001,$A$79,BD!$R$3:$R$5001,"&lt;&gt;")=0,"",SUMIFS(BD!$R$3:$R$5001,BD!$A$3:$A$5001,J$3,BD!$B$3:$B$5001,$A$79)))</f>
        <v/>
      </c>
      <c r="K95" s="232" t="str">
        <f>IF(K$3="","",IF(COUNTIFS(BD!$A$3:$A$5001,K$3,BD!$B$3:$B$5001,$A$79,BD!$R$3:$R$5001,"&lt;&gt;")=0,"",SUMIFS(BD!$R$3:$R$5001,BD!$A$3:$A$5001,K$3,BD!$B$3:$B$5001,$A$79)))</f>
        <v/>
      </c>
      <c r="L95" s="232" t="str">
        <f>IF(L$3="","",IF(COUNTIFS(BD!$A$3:$A$5001,L$3,BD!$B$3:$B$5001,$A$79,BD!$R$3:$R$5001,"&lt;&gt;")=0,"",SUMIFS(BD!$R$3:$R$5001,BD!$A$3:$A$5001,L$3,BD!$B$3:$B$5001,$A$79)))</f>
        <v/>
      </c>
      <c r="M95" s="232" t="str">
        <f>IF(M$3="","",IF(COUNTIFS(BD!$A$3:$A$5001,M$3,BD!$B$3:$B$5001,$A$79,BD!$R$3:$R$5001,"&lt;&gt;")=0,"",SUMIFS(BD!$R$3:$R$5001,BD!$A$3:$A$5001,M$3,BD!$B$3:$B$5001,$A$79)))</f>
        <v/>
      </c>
      <c r="N95" s="232" t="str">
        <f>IF(N$3="","",IF(COUNTIFS(BD!$A$3:$A$5001,N$3,BD!$B$3:$B$5001,$A$79,BD!$R$3:$R$5001,"&lt;&gt;")=0,"",SUMIFS(BD!$R$3:$R$5001,BD!$A$3:$A$5001,N$3,BD!$B$3:$B$5001,$A$79)))</f>
        <v/>
      </c>
      <c r="O95" s="232" t="str">
        <f>IF(O$3="","",IF(COUNTIFS(BD!$A$3:$A$5001,O$3,BD!$B$3:$B$5001,$A$79,BD!$R$3:$R$5001,"&lt;&gt;")=0,"",SUMIFS(BD!$R$3:$R$5001,BD!$A$3:$A$5001,O$3,BD!$B$3:$B$5001,$A$79)))</f>
        <v/>
      </c>
      <c r="P95" s="232" t="str">
        <f>IF(P$3="","",IF(COUNTIFS(BD!$A$3:$A$5001,P$3,BD!$B$3:$B$5001,$A$79,BD!$R$3:$R$5001,"&lt;&gt;")=0,"",SUMIFS(BD!$R$3:$R$5001,BD!$A$3:$A$5001,P$3,BD!$B$3:$B$5001,$A$79)))</f>
        <v/>
      </c>
      <c r="Q95" s="232" t="str">
        <f>IF(Q$3="","",IF(COUNTIFS(BD!$A$3:$A$5001,Q$3,BD!$B$3:$B$5001,$A$79,BD!$R$3:$R$5001,"&lt;&gt;")=0,"",SUMIFS(BD!$R$3:$R$5001,BD!$A$3:$A$5001,Q$3,BD!$B$3:$B$5001,$A$79)))</f>
        <v/>
      </c>
      <c r="R95" s="232" t="str">
        <f>IF(R$3="","",IF(COUNTIFS(BD!$A$3:$A$5001,R$3,BD!$B$3:$B$5001,$A$79,BD!$R$3:$R$5001,"&lt;&gt;")=0,"",SUMIFS(BD!$R$3:$R$5001,BD!$A$3:$A$5001,R$3,BD!$B$3:$B$5001,$A$79)))</f>
        <v/>
      </c>
      <c r="S95" s="232" t="str">
        <f>IF(S$3="","",IF(COUNTIFS(BD!$A$3:$A$5001,S$3,BD!$B$3:$B$5001,$A$79,BD!$R$3:$R$5001,"&lt;&gt;")=0,"",SUMIFS(BD!$R$3:$R$5001,BD!$A$3:$A$5001,S$3,BD!$B$3:$B$5001,$A$79)))</f>
        <v/>
      </c>
      <c r="T95" s="232" t="str">
        <f>IF(T$3="","",IF(COUNTIFS(BD!$A$3:$A$5001,T$3,BD!$B$3:$B$5001,$A$79,BD!$R$3:$R$5001,"&lt;&gt;")=0,"",SUMIFS(BD!$R$3:$R$5001,BD!$A$3:$A$5001,T$3,BD!$B$3:$B$5001,$A$79)))</f>
        <v/>
      </c>
      <c r="U95" s="232" t="str">
        <f>IF(U$3="","",IF(COUNTIFS(BD!$A$3:$A$5001,U$3,BD!$B$3:$B$5001,$A$79,BD!$R$3:$R$5001,"&lt;&gt;")=0,"",SUMIFS(BD!$R$3:$R$5001,BD!$A$3:$A$5001,U$3,BD!$B$3:$B$5001,$A$79)))</f>
        <v/>
      </c>
      <c r="V95" s="232" t="str">
        <f>IF(V$3="","",IF(COUNTIFS(BD!$A$3:$A$5001,V$3,BD!$B$3:$B$5001,$A$79,BD!$R$3:$R$5001,"&lt;&gt;")=0,"",SUMIFS(BD!$R$3:$R$5001,BD!$A$3:$A$5001,V$3,BD!$B$3:$B$5001,$A$79)))</f>
        <v/>
      </c>
      <c r="W95" s="232" t="str">
        <f>IF(W$3="","",IF(COUNTIFS(BD!$A$3:$A$5001,W$3,BD!$B$3:$B$5001,$A$79,BD!$R$3:$R$5001,"&lt;&gt;")=0,"",SUMIFS(BD!$R$3:$R$5001,BD!$A$3:$A$5001,W$3,BD!$B$3:$B$5001,$A$79)))</f>
        <v/>
      </c>
      <c r="X95" s="232" t="str">
        <f>IF(X$3="","",IF(COUNTIFS(BD!$A$3:$A$5001,X$3,BD!$B$3:$B$5001,$A$79,BD!$R$3:$R$5001,"&lt;&gt;")=0,"",SUMIFS(BD!$R$3:$R$5001,BD!$A$3:$A$5001,X$3,BD!$B$3:$B$5001,$A$79)))</f>
        <v/>
      </c>
      <c r="Y95" s="232" t="str">
        <f>IF(Y$3="","",IF(COUNTIFS(BD!$A$3:$A$5001,Y$3,BD!$B$3:$B$5001,$A$79,BD!$R$3:$R$5001,"&lt;&gt;")=0,"",SUMIFS(BD!$R$3:$R$5001,BD!$A$3:$A$5001,Y$3,BD!$B$3:$B$5001,$A$79)))</f>
        <v/>
      </c>
      <c r="Z95" s="232" t="str">
        <f>IF(Z$3="","",IF(COUNTIFS(BD!$A$3:$A$5001,Z$3,BD!$B$3:$B$5001,$A$79,BD!$R$3:$R$5001,"&lt;&gt;")=0,"",SUMIFS(BD!$R$3:$R$5001,BD!$A$3:$A$5001,Z$3,BD!$B$3:$B$5001,$A$79)))</f>
        <v/>
      </c>
      <c r="AA95" s="232" t="str">
        <f>IF(AA$3="","",IF(COUNTIFS(BD!$A$3:$A$5001,AA$3,BD!$B$3:$B$5001,$A$79,BD!$R$3:$R$5001,"&lt;&gt;")=0,"",SUMIFS(BD!$R$3:$R$5001,BD!$A$3:$A$5001,AA$3,BD!$B$3:$B$5001,$A$79)))</f>
        <v/>
      </c>
      <c r="AB95" s="232" t="str">
        <f>IF(AB$3="","",IF(COUNTIFS(BD!$A$3:$A$5001,AB$3,BD!$B$3:$B$5001,$A$79,BD!$R$3:$R$5001,"&lt;&gt;")=0,"",SUMIFS(BD!$R$3:$R$5001,BD!$A$3:$A$5001,AB$3,BD!$B$3:$B$5001,$A$79)))</f>
        <v/>
      </c>
      <c r="AC95" s="232" t="str">
        <f>IF(AC$3="","",IF(COUNTIFS(BD!$A$3:$A$5001,AC$3,BD!$B$3:$B$5001,$A$79,BD!$R$3:$R$5001,"&lt;&gt;")=0,"",SUMIFS(BD!$R$3:$R$5001,BD!$A$3:$A$5001,AC$3,BD!$B$3:$B$5001,$A$79)))</f>
        <v/>
      </c>
      <c r="AD95" s="232" t="str">
        <f>IF(AD$3="","",IF(COUNTIFS(BD!$A$3:$A$5001,AD$3,BD!$B$3:$B$5001,$A$79,BD!$R$3:$R$5001,"&lt;&gt;")=0,"",SUMIFS(BD!$R$3:$R$5001,BD!$A$3:$A$5001,AD$3,BD!$B$3:$B$5001,$A$79)))</f>
        <v/>
      </c>
      <c r="AE95" s="232" t="str">
        <f>IF(AE$3="","",IF(COUNTIFS(BD!$A$3:$A$5001,AE$3,BD!$B$3:$B$5001,$A$79,BD!$R$3:$R$5001,"&lt;&gt;")=0,"",SUMIFS(BD!$R$3:$R$5001,BD!$A$3:$A$5001,AE$3,BD!$B$3:$B$5001,$A$79)))</f>
        <v/>
      </c>
      <c r="AF95" s="232" t="str">
        <f>IF(AF$3="","",IF(COUNTIFS(BD!$A$3:$A$5001,AF$3,BD!$B$3:$B$5001,$A$79,BD!$R$3:$R$5001,"&lt;&gt;")=0,"",SUMIFS(BD!$R$3:$R$5001,BD!$A$3:$A$5001,AF$3,BD!$B$3:$B$5001,$A$79)))</f>
        <v/>
      </c>
      <c r="AG95" s="232" t="str">
        <f>IF(AG$3="","",IF(COUNTIFS(BD!$A$3:$A$5001,AG$3,BD!$B$3:$B$5001,$A$79,BD!$R$3:$R$5001,"&lt;&gt;")=0,"",SUMIFS(BD!$R$3:$R$5001,BD!$A$3:$A$5001,AG$3,BD!$B$3:$B$5001,$A$79)))</f>
        <v/>
      </c>
      <c r="AH95" s="232" t="str">
        <f>IF(AH$3="","",IF(COUNTIFS(BD!$A$3:$A$5001,AH$3,BD!$B$3:$B$5001,$A$79,BD!$R$3:$R$5001,"&lt;&gt;")=0,"",SUMIFS(BD!$R$3:$R$5001,BD!$A$3:$A$5001,AH$3,BD!$B$3:$B$5001,$A$79)))</f>
        <v/>
      </c>
      <c r="AI95" s="232" t="str">
        <f>IF(AI$3="","",IF(COUNTIFS(BD!$A$3:$A$5001,AI$3,BD!$B$3:$B$5001,$A$79,BD!$R$3:$R$5001,"&lt;&gt;")=0,"",SUMIFS(BD!$R$3:$R$5001,BD!$A$3:$A$5001,AI$3,BD!$B$3:$B$5001,$A$79)))</f>
        <v/>
      </c>
      <c r="AJ95" s="233" t="str">
        <f>IF(AJ$3="","",IF(COUNTIFS(BD!$A$3:$A$5001,AJ$3,BD!$B$3:$B$5001,$A$79,BD!$R$3:$R$5001,"&lt;&gt;")=0,"",SUMIFS(BD!$R$3:$R$5001,BD!$A$3:$A$5001,AJ$3,BD!$B$3:$B$5001,$A$79)))</f>
        <v/>
      </c>
      <c r="AK95" s="234" t="str">
        <f>IF(COUNT(F95:AJ95)=0,"",SUM(F95:AJ95))</f>
        <v/>
      </c>
    </row>
    <row r="96" ht="15.75" customHeight="1">
      <c r="A96" s="254"/>
      <c r="B96" s="251"/>
      <c r="C96" s="228" t="inlineStr">
        <is>
          <t xml:space="preserve">Desvios Comportamentais</t>
        </is>
      </c>
      <c r="D96" s="229" t="str">
        <f>IFERROR(1/(1/INDEX(BD!$Y$40:$AS$40,MATCH($A$79,BD!$Y$22:$AS$22,0))),"")</f>
        <v/>
      </c>
      <c r="E96" s="230"/>
      <c r="F96" s="231" t="str">
        <f>IF(F$3="","",IF(COUNTIFS(BD!$A$3:$A$5001,F$3,BD!$B$3:$B$5001,$A$79,BD!$S$3:$S$5001,"&lt;&gt;")=0,"",SUMIFS(BD!$S$3:$S$5001,BD!$A$3:$A$5001,F$3,BD!$B$3:$B$5001,$A$79)))</f>
        <v/>
      </c>
      <c r="G96" s="232" t="str">
        <f>IF(G$3="","",IF(COUNTIFS(BD!$A$3:$A$5001,G$3,BD!$B$3:$B$5001,$A$79,BD!$S$3:$S$5001,"&lt;&gt;")=0,"",SUMIFS(BD!$S$3:$S$5001,BD!$A$3:$A$5001,G$3,BD!$B$3:$B$5001,$A$79)))</f>
        <v/>
      </c>
      <c r="H96" s="232" t="str">
        <f>IF(H$3="","",IF(COUNTIFS(BD!$A$3:$A$5001,H$3,BD!$B$3:$B$5001,$A$79,BD!$S$3:$S$5001,"&lt;&gt;")=0,"",SUMIFS(BD!$S$3:$S$5001,BD!$A$3:$A$5001,H$3,BD!$B$3:$B$5001,$A$79)))</f>
        <v/>
      </c>
      <c r="I96" s="232" t="str">
        <f>IF(I$3="","",IF(COUNTIFS(BD!$A$3:$A$5001,I$3,BD!$B$3:$B$5001,$A$79,BD!$S$3:$S$5001,"&lt;&gt;")=0,"",SUMIFS(BD!$S$3:$S$5001,BD!$A$3:$A$5001,I$3,BD!$B$3:$B$5001,$A$79)))</f>
        <v/>
      </c>
      <c r="J96" s="232" t="str">
        <f>IF(J$3="","",IF(COUNTIFS(BD!$A$3:$A$5001,J$3,BD!$B$3:$B$5001,$A$79,BD!$S$3:$S$5001,"&lt;&gt;")=0,"",SUMIFS(BD!$S$3:$S$5001,BD!$A$3:$A$5001,J$3,BD!$B$3:$B$5001,$A$79)))</f>
        <v/>
      </c>
      <c r="K96" s="232" t="str">
        <f>IF(K$3="","",IF(COUNTIFS(BD!$A$3:$A$5001,K$3,BD!$B$3:$B$5001,$A$79,BD!$S$3:$S$5001,"&lt;&gt;")=0,"",SUMIFS(BD!$S$3:$S$5001,BD!$A$3:$A$5001,K$3,BD!$B$3:$B$5001,$A$79)))</f>
        <v/>
      </c>
      <c r="L96" s="232" t="str">
        <f>IF(L$3="","",IF(COUNTIFS(BD!$A$3:$A$5001,L$3,BD!$B$3:$B$5001,$A$79,BD!$S$3:$S$5001,"&lt;&gt;")=0,"",SUMIFS(BD!$S$3:$S$5001,BD!$A$3:$A$5001,L$3,BD!$B$3:$B$5001,$A$79)))</f>
        <v/>
      </c>
      <c r="M96" s="232" t="str">
        <f>IF(M$3="","",IF(COUNTIFS(BD!$A$3:$A$5001,M$3,BD!$B$3:$B$5001,$A$79,BD!$S$3:$S$5001,"&lt;&gt;")=0,"",SUMIFS(BD!$S$3:$S$5001,BD!$A$3:$A$5001,M$3,BD!$B$3:$B$5001,$A$79)))</f>
        <v/>
      </c>
      <c r="N96" s="232" t="str">
        <f>IF(N$3="","",IF(COUNTIFS(BD!$A$3:$A$5001,N$3,BD!$B$3:$B$5001,$A$79,BD!$S$3:$S$5001,"&lt;&gt;")=0,"",SUMIFS(BD!$S$3:$S$5001,BD!$A$3:$A$5001,N$3,BD!$B$3:$B$5001,$A$79)))</f>
        <v/>
      </c>
      <c r="O96" s="232" t="str">
        <f>IF(O$3="","",IF(COUNTIFS(BD!$A$3:$A$5001,O$3,BD!$B$3:$B$5001,$A$79,BD!$S$3:$S$5001,"&lt;&gt;")=0,"",SUMIFS(BD!$S$3:$S$5001,BD!$A$3:$A$5001,O$3,BD!$B$3:$B$5001,$A$79)))</f>
        <v/>
      </c>
      <c r="P96" s="232" t="str">
        <f>IF(P$3="","",IF(COUNTIFS(BD!$A$3:$A$5001,P$3,BD!$B$3:$B$5001,$A$79,BD!$S$3:$S$5001,"&lt;&gt;")=0,"",SUMIFS(BD!$S$3:$S$5001,BD!$A$3:$A$5001,P$3,BD!$B$3:$B$5001,$A$79)))</f>
        <v/>
      </c>
      <c r="Q96" s="232" t="str">
        <f>IF(Q$3="","",IF(COUNTIFS(BD!$A$3:$A$5001,Q$3,BD!$B$3:$B$5001,$A$79,BD!$S$3:$S$5001,"&lt;&gt;")=0,"",SUMIFS(BD!$S$3:$S$5001,BD!$A$3:$A$5001,Q$3,BD!$B$3:$B$5001,$A$79)))</f>
        <v/>
      </c>
      <c r="R96" s="232" t="str">
        <f>IF(R$3="","",IF(COUNTIFS(BD!$A$3:$A$5001,R$3,BD!$B$3:$B$5001,$A$79,BD!$S$3:$S$5001,"&lt;&gt;")=0,"",SUMIFS(BD!$S$3:$S$5001,BD!$A$3:$A$5001,R$3,BD!$B$3:$B$5001,$A$79)))</f>
        <v/>
      </c>
      <c r="S96" s="232" t="str">
        <f>IF(S$3="","",IF(COUNTIFS(BD!$A$3:$A$5001,S$3,BD!$B$3:$B$5001,$A$79,BD!$S$3:$S$5001,"&lt;&gt;")=0,"",SUMIFS(BD!$S$3:$S$5001,BD!$A$3:$A$5001,S$3,BD!$B$3:$B$5001,$A$79)))</f>
        <v/>
      </c>
      <c r="T96" s="232" t="str">
        <f>IF(T$3="","",IF(COUNTIFS(BD!$A$3:$A$5001,T$3,BD!$B$3:$B$5001,$A$79,BD!$S$3:$S$5001,"&lt;&gt;")=0,"",SUMIFS(BD!$S$3:$S$5001,BD!$A$3:$A$5001,T$3,BD!$B$3:$B$5001,$A$79)))</f>
        <v/>
      </c>
      <c r="U96" s="232" t="str">
        <f>IF(U$3="","",IF(COUNTIFS(BD!$A$3:$A$5001,U$3,BD!$B$3:$B$5001,$A$79,BD!$S$3:$S$5001,"&lt;&gt;")=0,"",SUMIFS(BD!$S$3:$S$5001,BD!$A$3:$A$5001,U$3,BD!$B$3:$B$5001,$A$79)))</f>
        <v/>
      </c>
      <c r="V96" s="232" t="str">
        <f>IF(V$3="","",IF(COUNTIFS(BD!$A$3:$A$5001,V$3,BD!$B$3:$B$5001,$A$79,BD!$S$3:$S$5001,"&lt;&gt;")=0,"",SUMIFS(BD!$S$3:$S$5001,BD!$A$3:$A$5001,V$3,BD!$B$3:$B$5001,$A$79)))</f>
        <v/>
      </c>
      <c r="W96" s="232" t="str">
        <f>IF(W$3="","",IF(COUNTIFS(BD!$A$3:$A$5001,W$3,BD!$B$3:$B$5001,$A$79,BD!$S$3:$S$5001,"&lt;&gt;")=0,"",SUMIFS(BD!$S$3:$S$5001,BD!$A$3:$A$5001,W$3,BD!$B$3:$B$5001,$A$79)))</f>
        <v/>
      </c>
      <c r="X96" s="232" t="str">
        <f>IF(X$3="","",IF(COUNTIFS(BD!$A$3:$A$5001,X$3,BD!$B$3:$B$5001,$A$79,BD!$S$3:$S$5001,"&lt;&gt;")=0,"",SUMIFS(BD!$S$3:$S$5001,BD!$A$3:$A$5001,X$3,BD!$B$3:$B$5001,$A$79)))</f>
        <v/>
      </c>
      <c r="Y96" s="232" t="str">
        <f>IF(Y$3="","",IF(COUNTIFS(BD!$A$3:$A$5001,Y$3,BD!$B$3:$B$5001,$A$79,BD!$S$3:$S$5001,"&lt;&gt;")=0,"",SUMIFS(BD!$S$3:$S$5001,BD!$A$3:$A$5001,Y$3,BD!$B$3:$B$5001,$A$79)))</f>
        <v/>
      </c>
      <c r="Z96" s="232" t="str">
        <f>IF(Z$3="","",IF(COUNTIFS(BD!$A$3:$A$5001,Z$3,BD!$B$3:$B$5001,$A$79,BD!$S$3:$S$5001,"&lt;&gt;")=0,"",SUMIFS(BD!$S$3:$S$5001,BD!$A$3:$A$5001,Z$3,BD!$B$3:$B$5001,$A$79)))</f>
        <v/>
      </c>
      <c r="AA96" s="232" t="str">
        <f>IF(AA$3="","",IF(COUNTIFS(BD!$A$3:$A$5001,AA$3,BD!$B$3:$B$5001,$A$79,BD!$S$3:$S$5001,"&lt;&gt;")=0,"",SUMIFS(BD!$S$3:$S$5001,BD!$A$3:$A$5001,AA$3,BD!$B$3:$B$5001,$A$79)))</f>
        <v/>
      </c>
      <c r="AB96" s="232" t="str">
        <f>IF(AB$3="","",IF(COUNTIFS(BD!$A$3:$A$5001,AB$3,BD!$B$3:$B$5001,$A$79,BD!$S$3:$S$5001,"&lt;&gt;")=0,"",SUMIFS(BD!$S$3:$S$5001,BD!$A$3:$A$5001,AB$3,BD!$B$3:$B$5001,$A$79)))</f>
        <v/>
      </c>
      <c r="AC96" s="232" t="str">
        <f>IF(AC$3="","",IF(COUNTIFS(BD!$A$3:$A$5001,AC$3,BD!$B$3:$B$5001,$A$79,BD!$S$3:$S$5001,"&lt;&gt;")=0,"",SUMIFS(BD!$S$3:$S$5001,BD!$A$3:$A$5001,AC$3,BD!$B$3:$B$5001,$A$79)))</f>
        <v/>
      </c>
      <c r="AD96" s="232" t="str">
        <f>IF(AD$3="","",IF(COUNTIFS(BD!$A$3:$A$5001,AD$3,BD!$B$3:$B$5001,$A$79,BD!$S$3:$S$5001,"&lt;&gt;")=0,"",SUMIFS(BD!$S$3:$S$5001,BD!$A$3:$A$5001,AD$3,BD!$B$3:$B$5001,$A$79)))</f>
        <v/>
      </c>
      <c r="AE96" s="232" t="str">
        <f>IF(AE$3="","",IF(COUNTIFS(BD!$A$3:$A$5001,AE$3,BD!$B$3:$B$5001,$A$79,BD!$S$3:$S$5001,"&lt;&gt;")=0,"",SUMIFS(BD!$S$3:$S$5001,BD!$A$3:$A$5001,AE$3,BD!$B$3:$B$5001,$A$79)))</f>
        <v/>
      </c>
      <c r="AF96" s="232" t="str">
        <f>IF(AF$3="","",IF(COUNTIFS(BD!$A$3:$A$5001,AF$3,BD!$B$3:$B$5001,$A$79,BD!$S$3:$S$5001,"&lt;&gt;")=0,"",SUMIFS(BD!$S$3:$S$5001,BD!$A$3:$A$5001,AF$3,BD!$B$3:$B$5001,$A$79)))</f>
        <v/>
      </c>
      <c r="AG96" s="232" t="str">
        <f>IF(AG$3="","",IF(COUNTIFS(BD!$A$3:$A$5001,AG$3,BD!$B$3:$B$5001,$A$79,BD!$S$3:$S$5001,"&lt;&gt;")=0,"",SUMIFS(BD!$S$3:$S$5001,BD!$A$3:$A$5001,AG$3,BD!$B$3:$B$5001,$A$79)))</f>
        <v/>
      </c>
      <c r="AH96" s="232" t="str">
        <f>IF(AH$3="","",IF(COUNTIFS(BD!$A$3:$A$5001,AH$3,BD!$B$3:$B$5001,$A$79,BD!$S$3:$S$5001,"&lt;&gt;")=0,"",SUMIFS(BD!$S$3:$S$5001,BD!$A$3:$A$5001,AH$3,BD!$B$3:$B$5001,$A$79)))</f>
        <v/>
      </c>
      <c r="AI96" s="232" t="str">
        <f>IF(AI$3="","",IF(COUNTIFS(BD!$A$3:$A$5001,AI$3,BD!$B$3:$B$5001,$A$79,BD!$S$3:$S$5001,"&lt;&gt;")=0,"",SUMIFS(BD!$S$3:$S$5001,BD!$A$3:$A$5001,AI$3,BD!$B$3:$B$5001,$A$79)))</f>
        <v/>
      </c>
      <c r="AJ96" s="233" t="str">
        <f>IF(AJ$3="","",IF(COUNTIFS(BD!$A$3:$A$5001,AJ$3,BD!$B$3:$B$5001,$A$79,BD!$S$3:$S$5001,"&lt;&gt;")=0,"",SUMIFS(BD!$S$3:$S$5001,BD!$A$3:$A$5001,AJ$3,BD!$B$3:$B$5001,$A$79)))</f>
        <v/>
      </c>
      <c r="AK96" s="234" t="str">
        <f>IF(COUNT(F96:AJ96)=0,"",SUM(F96:AJ96))</f>
        <v/>
      </c>
    </row>
    <row r="97" ht="15.75" customHeight="1">
      <c r="A97" s="254"/>
      <c r="B97" s="251"/>
      <c r="C97" s="228" t="inlineStr">
        <is>
          <t xml:space="preserve">Acidentes CAF</t>
        </is>
      </c>
      <c r="D97" s="229" t="str">
        <f>IFERROR(1/(1/INDEX(BD!$Y$41:$AS$41,MATCH($A$79,BD!$Y$22:$AS$22,0))),"")</f>
        <v/>
      </c>
      <c r="E97" s="230"/>
      <c r="F97" s="231" t="str">
        <f>IF(F$3="","",IF(COUNTIFS(BD!$A$3:$A$5001,F$3,BD!$B$3:$B$5001,$A$79,BD!$T$3:$T$5001,"&lt;&gt;")=0,"",SUMIFS(BD!$T$3:$T$5001,BD!$A$3:$A$5001,F$3,BD!$B$3:$B$5001,$A$79)))</f>
        <v/>
      </c>
      <c r="G97" s="232" t="str">
        <f>IF(G$3="","",IF(COUNTIFS(BD!$A$3:$A$5001,G$3,BD!$B$3:$B$5001,$A$79,BD!$T$3:$T$5001,"&lt;&gt;")=0,"",SUMIFS(BD!$T$3:$T$5001,BD!$A$3:$A$5001,G$3,BD!$B$3:$B$5001,$A$79)))</f>
        <v/>
      </c>
      <c r="H97" s="232" t="str">
        <f>IF(H$3="","",IF(COUNTIFS(BD!$A$3:$A$5001,H$3,BD!$B$3:$B$5001,$A$79,BD!$T$3:$T$5001,"&lt;&gt;")=0,"",SUMIFS(BD!$T$3:$T$5001,BD!$A$3:$A$5001,H$3,BD!$B$3:$B$5001,$A$79)))</f>
        <v/>
      </c>
      <c r="I97" s="232" t="str">
        <f>IF(I$3="","",IF(COUNTIFS(BD!$A$3:$A$5001,I$3,BD!$B$3:$B$5001,$A$79,BD!$T$3:$T$5001,"&lt;&gt;")=0,"",SUMIFS(BD!$T$3:$T$5001,BD!$A$3:$A$5001,I$3,BD!$B$3:$B$5001,$A$79)))</f>
        <v/>
      </c>
      <c r="J97" s="232" t="str">
        <f>IF(J$3="","",IF(COUNTIFS(BD!$A$3:$A$5001,J$3,BD!$B$3:$B$5001,$A$79,BD!$T$3:$T$5001,"&lt;&gt;")=0,"",SUMIFS(BD!$T$3:$T$5001,BD!$A$3:$A$5001,J$3,BD!$B$3:$B$5001,$A$79)))</f>
        <v/>
      </c>
      <c r="K97" s="232" t="str">
        <f>IF(K$3="","",IF(COUNTIFS(BD!$A$3:$A$5001,K$3,BD!$B$3:$B$5001,$A$79,BD!$T$3:$T$5001,"&lt;&gt;")=0,"",SUMIFS(BD!$T$3:$T$5001,BD!$A$3:$A$5001,K$3,BD!$B$3:$B$5001,$A$79)))</f>
        <v/>
      </c>
      <c r="L97" s="232" t="str">
        <f>IF(L$3="","",IF(COUNTIFS(BD!$A$3:$A$5001,L$3,BD!$B$3:$B$5001,$A$79,BD!$T$3:$T$5001,"&lt;&gt;")=0,"",SUMIFS(BD!$T$3:$T$5001,BD!$A$3:$A$5001,L$3,BD!$B$3:$B$5001,$A$79)))</f>
        <v/>
      </c>
      <c r="M97" s="232" t="str">
        <f>IF(M$3="","",IF(COUNTIFS(BD!$A$3:$A$5001,M$3,BD!$B$3:$B$5001,$A$79,BD!$T$3:$T$5001,"&lt;&gt;")=0,"",SUMIFS(BD!$T$3:$T$5001,BD!$A$3:$A$5001,M$3,BD!$B$3:$B$5001,$A$79)))</f>
        <v/>
      </c>
      <c r="N97" s="232" t="str">
        <f>IF(N$3="","",IF(COUNTIFS(BD!$A$3:$A$5001,N$3,BD!$B$3:$B$5001,$A$79,BD!$T$3:$T$5001,"&lt;&gt;")=0,"",SUMIFS(BD!$T$3:$T$5001,BD!$A$3:$A$5001,N$3,BD!$B$3:$B$5001,$A$79)))</f>
        <v/>
      </c>
      <c r="O97" s="232" t="str">
        <f>IF(O$3="","",IF(COUNTIFS(BD!$A$3:$A$5001,O$3,BD!$B$3:$B$5001,$A$79,BD!$T$3:$T$5001,"&lt;&gt;")=0,"",SUMIFS(BD!$T$3:$T$5001,BD!$A$3:$A$5001,O$3,BD!$B$3:$B$5001,$A$79)))</f>
        <v/>
      </c>
      <c r="P97" s="232" t="str">
        <f>IF(P$3="","",IF(COUNTIFS(BD!$A$3:$A$5001,P$3,BD!$B$3:$B$5001,$A$79,BD!$T$3:$T$5001,"&lt;&gt;")=0,"",SUMIFS(BD!$T$3:$T$5001,BD!$A$3:$A$5001,P$3,BD!$B$3:$B$5001,$A$79)))</f>
        <v/>
      </c>
      <c r="Q97" s="232" t="str">
        <f>IF(Q$3="","",IF(COUNTIFS(BD!$A$3:$A$5001,Q$3,BD!$B$3:$B$5001,$A$79,BD!$T$3:$T$5001,"&lt;&gt;")=0,"",SUMIFS(BD!$T$3:$T$5001,BD!$A$3:$A$5001,Q$3,BD!$B$3:$B$5001,$A$79)))</f>
        <v/>
      </c>
      <c r="R97" s="232" t="str">
        <f>IF(R$3="","",IF(COUNTIFS(BD!$A$3:$A$5001,R$3,BD!$B$3:$B$5001,$A$79,BD!$T$3:$T$5001,"&lt;&gt;")=0,"",SUMIFS(BD!$T$3:$T$5001,BD!$A$3:$A$5001,R$3,BD!$B$3:$B$5001,$A$79)))</f>
        <v/>
      </c>
      <c r="S97" s="232" t="str">
        <f>IF(S$3="","",IF(COUNTIFS(BD!$A$3:$A$5001,S$3,BD!$B$3:$B$5001,$A$79,BD!$T$3:$T$5001,"&lt;&gt;")=0,"",SUMIFS(BD!$T$3:$T$5001,BD!$A$3:$A$5001,S$3,BD!$B$3:$B$5001,$A$79)))</f>
        <v/>
      </c>
      <c r="T97" s="232" t="str">
        <f>IF(T$3="","",IF(COUNTIFS(BD!$A$3:$A$5001,T$3,BD!$B$3:$B$5001,$A$79,BD!$T$3:$T$5001,"&lt;&gt;")=0,"",SUMIFS(BD!$T$3:$T$5001,BD!$A$3:$A$5001,T$3,BD!$B$3:$B$5001,$A$79)))</f>
        <v/>
      </c>
      <c r="U97" s="232" t="str">
        <f>IF(U$3="","",IF(COUNTIFS(BD!$A$3:$A$5001,U$3,BD!$B$3:$B$5001,$A$79,BD!$T$3:$T$5001,"&lt;&gt;")=0,"",SUMIFS(BD!$T$3:$T$5001,BD!$A$3:$A$5001,U$3,BD!$B$3:$B$5001,$A$79)))</f>
        <v/>
      </c>
      <c r="V97" s="232" t="str">
        <f>IF(V$3="","",IF(COUNTIFS(BD!$A$3:$A$5001,V$3,BD!$B$3:$B$5001,$A$79,BD!$T$3:$T$5001,"&lt;&gt;")=0,"",SUMIFS(BD!$T$3:$T$5001,BD!$A$3:$A$5001,V$3,BD!$B$3:$B$5001,$A$79)))</f>
        <v/>
      </c>
      <c r="W97" s="232" t="str">
        <f>IF(W$3="","",IF(COUNTIFS(BD!$A$3:$A$5001,W$3,BD!$B$3:$B$5001,$A$79,BD!$T$3:$T$5001,"&lt;&gt;")=0,"",SUMIFS(BD!$T$3:$T$5001,BD!$A$3:$A$5001,W$3,BD!$B$3:$B$5001,$A$79)))</f>
        <v/>
      </c>
      <c r="X97" s="232" t="str">
        <f>IF(X$3="","",IF(COUNTIFS(BD!$A$3:$A$5001,X$3,BD!$B$3:$B$5001,$A$79,BD!$T$3:$T$5001,"&lt;&gt;")=0,"",SUMIFS(BD!$T$3:$T$5001,BD!$A$3:$A$5001,X$3,BD!$B$3:$B$5001,$A$79)))</f>
        <v/>
      </c>
      <c r="Y97" s="232" t="str">
        <f>IF(Y$3="","",IF(COUNTIFS(BD!$A$3:$A$5001,Y$3,BD!$B$3:$B$5001,$A$79,BD!$T$3:$T$5001,"&lt;&gt;")=0,"",SUMIFS(BD!$T$3:$T$5001,BD!$A$3:$A$5001,Y$3,BD!$B$3:$B$5001,$A$79)))</f>
        <v/>
      </c>
      <c r="Z97" s="232" t="str">
        <f>IF(Z$3="","",IF(COUNTIFS(BD!$A$3:$A$5001,Z$3,BD!$B$3:$B$5001,$A$79,BD!$T$3:$T$5001,"&lt;&gt;")=0,"",SUMIFS(BD!$T$3:$T$5001,BD!$A$3:$A$5001,Z$3,BD!$B$3:$B$5001,$A$79)))</f>
        <v/>
      </c>
      <c r="AA97" s="232" t="str">
        <f>IF(AA$3="","",IF(COUNTIFS(BD!$A$3:$A$5001,AA$3,BD!$B$3:$B$5001,$A$79,BD!$T$3:$T$5001,"&lt;&gt;")=0,"",SUMIFS(BD!$T$3:$T$5001,BD!$A$3:$A$5001,AA$3,BD!$B$3:$B$5001,$A$79)))</f>
        <v/>
      </c>
      <c r="AB97" s="232" t="str">
        <f>IF(AB$3="","",IF(COUNTIFS(BD!$A$3:$A$5001,AB$3,BD!$B$3:$B$5001,$A$79,BD!$T$3:$T$5001,"&lt;&gt;")=0,"",SUMIFS(BD!$T$3:$T$5001,BD!$A$3:$A$5001,AB$3,BD!$B$3:$B$5001,$A$79)))</f>
        <v/>
      </c>
      <c r="AC97" s="232" t="str">
        <f>IF(AC$3="","",IF(COUNTIFS(BD!$A$3:$A$5001,AC$3,BD!$B$3:$B$5001,$A$79,BD!$T$3:$T$5001,"&lt;&gt;")=0,"",SUMIFS(BD!$T$3:$T$5001,BD!$A$3:$A$5001,AC$3,BD!$B$3:$B$5001,$A$79)))</f>
        <v/>
      </c>
      <c r="AD97" s="232" t="str">
        <f>IF(AD$3="","",IF(COUNTIFS(BD!$A$3:$A$5001,AD$3,BD!$B$3:$B$5001,$A$79,BD!$T$3:$T$5001,"&lt;&gt;")=0,"",SUMIFS(BD!$T$3:$T$5001,BD!$A$3:$A$5001,AD$3,BD!$B$3:$B$5001,$A$79)))</f>
        <v/>
      </c>
      <c r="AE97" s="232" t="str">
        <f>IF(AE$3="","",IF(COUNTIFS(BD!$A$3:$A$5001,AE$3,BD!$B$3:$B$5001,$A$79,BD!$T$3:$T$5001,"&lt;&gt;")=0,"",SUMIFS(BD!$T$3:$T$5001,BD!$A$3:$A$5001,AE$3,BD!$B$3:$B$5001,$A$79)))</f>
        <v/>
      </c>
      <c r="AF97" s="232" t="str">
        <f>IF(AF$3="","",IF(COUNTIFS(BD!$A$3:$A$5001,AF$3,BD!$B$3:$B$5001,$A$79,BD!$T$3:$T$5001,"&lt;&gt;")=0,"",SUMIFS(BD!$T$3:$T$5001,BD!$A$3:$A$5001,AF$3,BD!$B$3:$B$5001,$A$79)))</f>
        <v/>
      </c>
      <c r="AG97" s="232" t="str">
        <f>IF(AG$3="","",IF(COUNTIFS(BD!$A$3:$A$5001,AG$3,BD!$B$3:$B$5001,$A$79,BD!$T$3:$T$5001,"&lt;&gt;")=0,"",SUMIFS(BD!$T$3:$T$5001,BD!$A$3:$A$5001,AG$3,BD!$B$3:$B$5001,$A$79)))</f>
        <v/>
      </c>
      <c r="AH97" s="232" t="str">
        <f>IF(AH$3="","",IF(COUNTIFS(BD!$A$3:$A$5001,AH$3,BD!$B$3:$B$5001,$A$79,BD!$T$3:$T$5001,"&lt;&gt;")=0,"",SUMIFS(BD!$T$3:$T$5001,BD!$A$3:$A$5001,AH$3,BD!$B$3:$B$5001,$A$79)))</f>
        <v/>
      </c>
      <c r="AI97" s="232" t="str">
        <f>IF(AI$3="","",IF(COUNTIFS(BD!$A$3:$A$5001,AI$3,BD!$B$3:$B$5001,$A$79,BD!$T$3:$T$5001,"&lt;&gt;")=0,"",SUMIFS(BD!$T$3:$T$5001,BD!$A$3:$A$5001,AI$3,BD!$B$3:$B$5001,$A$79)))</f>
        <v/>
      </c>
      <c r="AJ97" s="233" t="str">
        <f>IF(AJ$3="","",IF(COUNTIFS(BD!$A$3:$A$5001,AJ$3,BD!$B$3:$B$5001,$A$79,BD!$T$3:$T$5001,"&lt;&gt;")=0,"",SUMIFS(BD!$T$3:$T$5001,BD!$A$3:$A$5001,AJ$3,BD!$B$3:$B$5001,$A$79)))</f>
        <v/>
      </c>
      <c r="AK97" s="234" t="str">
        <f>IF(COUNT(F97:AJ97)=0,"",SUM(F97:AJ97))</f>
        <v/>
      </c>
    </row>
    <row r="98" ht="15.75" customHeight="1">
      <c r="A98" s="255"/>
      <c r="B98" s="252"/>
      <c r="C98" s="235" t="inlineStr">
        <is>
          <t xml:space="preserve">Acidentes SAF</t>
        </is>
      </c>
      <c r="D98" s="236" t="str">
        <f>IFERROR(1/(1/INDEX(BD!$Y$42:$AS$42,MATCH($A$79,BD!$Y$22:$AS$22,0))),"")</f>
        <v/>
      </c>
      <c r="E98" s="237"/>
      <c r="F98" s="238" t="str">
        <f>IF(F$3="","",IF(COUNTIFS(BD!$A$3:$A$5001,F$3,BD!$B$3:$B$5001,$A$79,BD!$U$3:$U$5001,"&lt;&gt;")=0,"",SUMIFS(BD!$U$3:$U$5001,BD!$A$3:$A$5001,F$3,BD!$B$3:$B$5001,$A$79)))</f>
        <v/>
      </c>
      <c r="G98" s="239" t="str">
        <f>IF(G$3="","",IF(COUNTIFS(BD!$A$3:$A$5001,G$3,BD!$B$3:$B$5001,$A$79,BD!$U$3:$U$5001,"&lt;&gt;")=0,"",SUMIFS(BD!$U$3:$U$5001,BD!$A$3:$A$5001,G$3,BD!$B$3:$B$5001,$A$79)))</f>
        <v/>
      </c>
      <c r="H98" s="239" t="str">
        <f>IF(H$3="","",IF(COUNTIFS(BD!$A$3:$A$5001,H$3,BD!$B$3:$B$5001,$A$79,BD!$U$3:$U$5001,"&lt;&gt;")=0,"",SUMIFS(BD!$U$3:$U$5001,BD!$A$3:$A$5001,H$3,BD!$B$3:$B$5001,$A$79)))</f>
        <v/>
      </c>
      <c r="I98" s="239" t="str">
        <f>IF(I$3="","",IF(COUNTIFS(BD!$A$3:$A$5001,I$3,BD!$B$3:$B$5001,$A$79,BD!$U$3:$U$5001,"&lt;&gt;")=0,"",SUMIFS(BD!$U$3:$U$5001,BD!$A$3:$A$5001,I$3,BD!$B$3:$B$5001,$A$79)))</f>
        <v/>
      </c>
      <c r="J98" s="239" t="str">
        <f>IF(J$3="","",IF(COUNTIFS(BD!$A$3:$A$5001,J$3,BD!$B$3:$B$5001,$A$79,BD!$U$3:$U$5001,"&lt;&gt;")=0,"",SUMIFS(BD!$U$3:$U$5001,BD!$A$3:$A$5001,J$3,BD!$B$3:$B$5001,$A$79)))</f>
        <v/>
      </c>
      <c r="K98" s="239" t="str">
        <f>IF(K$3="","",IF(COUNTIFS(BD!$A$3:$A$5001,K$3,BD!$B$3:$B$5001,$A$79,BD!$U$3:$U$5001,"&lt;&gt;")=0,"",SUMIFS(BD!$U$3:$U$5001,BD!$A$3:$A$5001,K$3,BD!$B$3:$B$5001,$A$79)))</f>
        <v/>
      </c>
      <c r="L98" s="239" t="str">
        <f>IF(L$3="","",IF(COUNTIFS(BD!$A$3:$A$5001,L$3,BD!$B$3:$B$5001,$A$79,BD!$U$3:$U$5001,"&lt;&gt;")=0,"",SUMIFS(BD!$U$3:$U$5001,BD!$A$3:$A$5001,L$3,BD!$B$3:$B$5001,$A$79)))</f>
        <v/>
      </c>
      <c r="M98" s="239" t="str">
        <f>IF(M$3="","",IF(COUNTIFS(BD!$A$3:$A$5001,M$3,BD!$B$3:$B$5001,$A$79,BD!$U$3:$U$5001,"&lt;&gt;")=0,"",SUMIFS(BD!$U$3:$U$5001,BD!$A$3:$A$5001,M$3,BD!$B$3:$B$5001,$A$79)))</f>
        <v/>
      </c>
      <c r="N98" s="239" t="str">
        <f>IF(N$3="","",IF(COUNTIFS(BD!$A$3:$A$5001,N$3,BD!$B$3:$B$5001,$A$79,BD!$U$3:$U$5001,"&lt;&gt;")=0,"",SUMIFS(BD!$U$3:$U$5001,BD!$A$3:$A$5001,N$3,BD!$B$3:$B$5001,$A$79)))</f>
        <v/>
      </c>
      <c r="O98" s="239" t="str">
        <f>IF(O$3="","",IF(COUNTIFS(BD!$A$3:$A$5001,O$3,BD!$B$3:$B$5001,$A$79,BD!$U$3:$U$5001,"&lt;&gt;")=0,"",SUMIFS(BD!$U$3:$U$5001,BD!$A$3:$A$5001,O$3,BD!$B$3:$B$5001,$A$79)))</f>
        <v/>
      </c>
      <c r="P98" s="239" t="str">
        <f>IF(P$3="","",IF(COUNTIFS(BD!$A$3:$A$5001,P$3,BD!$B$3:$B$5001,$A$79,BD!$U$3:$U$5001,"&lt;&gt;")=0,"",SUMIFS(BD!$U$3:$U$5001,BD!$A$3:$A$5001,P$3,BD!$B$3:$B$5001,$A$79)))</f>
        <v/>
      </c>
      <c r="Q98" s="239" t="str">
        <f>IF(Q$3="","",IF(COUNTIFS(BD!$A$3:$A$5001,Q$3,BD!$B$3:$B$5001,$A$79,BD!$U$3:$U$5001,"&lt;&gt;")=0,"",SUMIFS(BD!$U$3:$U$5001,BD!$A$3:$A$5001,Q$3,BD!$B$3:$B$5001,$A$79)))</f>
        <v/>
      </c>
      <c r="R98" s="239" t="str">
        <f>IF(R$3="","",IF(COUNTIFS(BD!$A$3:$A$5001,R$3,BD!$B$3:$B$5001,$A$79,BD!$U$3:$U$5001,"&lt;&gt;")=0,"",SUMIFS(BD!$U$3:$U$5001,BD!$A$3:$A$5001,R$3,BD!$B$3:$B$5001,$A$79)))</f>
        <v/>
      </c>
      <c r="S98" s="239" t="str">
        <f>IF(S$3="","",IF(COUNTIFS(BD!$A$3:$A$5001,S$3,BD!$B$3:$B$5001,$A$79,BD!$U$3:$U$5001,"&lt;&gt;")=0,"",SUMIFS(BD!$U$3:$U$5001,BD!$A$3:$A$5001,S$3,BD!$B$3:$B$5001,$A$79)))</f>
        <v/>
      </c>
      <c r="T98" s="239" t="str">
        <f>IF(T$3="","",IF(COUNTIFS(BD!$A$3:$A$5001,T$3,BD!$B$3:$B$5001,$A$79,BD!$U$3:$U$5001,"&lt;&gt;")=0,"",SUMIFS(BD!$U$3:$U$5001,BD!$A$3:$A$5001,T$3,BD!$B$3:$B$5001,$A$79)))</f>
        <v/>
      </c>
      <c r="U98" s="239" t="str">
        <f>IF(U$3="","",IF(COUNTIFS(BD!$A$3:$A$5001,U$3,BD!$B$3:$B$5001,$A$79,BD!$U$3:$U$5001,"&lt;&gt;")=0,"",SUMIFS(BD!$U$3:$U$5001,BD!$A$3:$A$5001,U$3,BD!$B$3:$B$5001,$A$79)))</f>
        <v/>
      </c>
      <c r="V98" s="239" t="str">
        <f>IF(V$3="","",IF(COUNTIFS(BD!$A$3:$A$5001,V$3,BD!$B$3:$B$5001,$A$79,BD!$U$3:$U$5001,"&lt;&gt;")=0,"",SUMIFS(BD!$U$3:$U$5001,BD!$A$3:$A$5001,V$3,BD!$B$3:$B$5001,$A$79)))</f>
        <v/>
      </c>
      <c r="W98" s="239" t="str">
        <f>IF(W$3="","",IF(COUNTIFS(BD!$A$3:$A$5001,W$3,BD!$B$3:$B$5001,$A$79,BD!$U$3:$U$5001,"&lt;&gt;")=0,"",SUMIFS(BD!$U$3:$U$5001,BD!$A$3:$A$5001,W$3,BD!$B$3:$B$5001,$A$79)))</f>
        <v/>
      </c>
      <c r="X98" s="239" t="str">
        <f>IF(X$3="","",IF(COUNTIFS(BD!$A$3:$A$5001,X$3,BD!$B$3:$B$5001,$A$79,BD!$U$3:$U$5001,"&lt;&gt;")=0,"",SUMIFS(BD!$U$3:$U$5001,BD!$A$3:$A$5001,X$3,BD!$B$3:$B$5001,$A$79)))</f>
        <v/>
      </c>
      <c r="Y98" s="239" t="str">
        <f>IF(Y$3="","",IF(COUNTIFS(BD!$A$3:$A$5001,Y$3,BD!$B$3:$B$5001,$A$79,BD!$U$3:$U$5001,"&lt;&gt;")=0,"",SUMIFS(BD!$U$3:$U$5001,BD!$A$3:$A$5001,Y$3,BD!$B$3:$B$5001,$A$79)))</f>
        <v/>
      </c>
      <c r="Z98" s="239" t="str">
        <f>IF(Z$3="","",IF(COUNTIFS(BD!$A$3:$A$5001,Z$3,BD!$B$3:$B$5001,$A$79,BD!$U$3:$U$5001,"&lt;&gt;")=0,"",SUMIFS(BD!$U$3:$U$5001,BD!$A$3:$A$5001,Z$3,BD!$B$3:$B$5001,$A$79)))</f>
        <v/>
      </c>
      <c r="AA98" s="239" t="str">
        <f>IF(AA$3="","",IF(COUNTIFS(BD!$A$3:$A$5001,AA$3,BD!$B$3:$B$5001,$A$79,BD!$U$3:$U$5001,"&lt;&gt;")=0,"",SUMIFS(BD!$U$3:$U$5001,BD!$A$3:$A$5001,AA$3,BD!$B$3:$B$5001,$A$79)))</f>
        <v/>
      </c>
      <c r="AB98" s="239" t="str">
        <f>IF(AB$3="","",IF(COUNTIFS(BD!$A$3:$A$5001,AB$3,BD!$B$3:$B$5001,$A$79,BD!$U$3:$U$5001,"&lt;&gt;")=0,"",SUMIFS(BD!$U$3:$U$5001,BD!$A$3:$A$5001,AB$3,BD!$B$3:$B$5001,$A$79)))</f>
        <v/>
      </c>
      <c r="AC98" s="239" t="str">
        <f>IF(AC$3="","",IF(COUNTIFS(BD!$A$3:$A$5001,AC$3,BD!$B$3:$B$5001,$A$79,BD!$U$3:$U$5001,"&lt;&gt;")=0,"",SUMIFS(BD!$U$3:$U$5001,BD!$A$3:$A$5001,AC$3,BD!$B$3:$B$5001,$A$79)))</f>
        <v/>
      </c>
      <c r="AD98" s="239" t="str">
        <f>IF(AD$3="","",IF(COUNTIFS(BD!$A$3:$A$5001,AD$3,BD!$B$3:$B$5001,$A$79,BD!$U$3:$U$5001,"&lt;&gt;")=0,"",SUMIFS(BD!$U$3:$U$5001,BD!$A$3:$A$5001,AD$3,BD!$B$3:$B$5001,$A$79)))</f>
        <v/>
      </c>
      <c r="AE98" s="239" t="str">
        <f>IF(AE$3="","",IF(COUNTIFS(BD!$A$3:$A$5001,AE$3,BD!$B$3:$B$5001,$A$79,BD!$U$3:$U$5001,"&lt;&gt;")=0,"",SUMIFS(BD!$U$3:$U$5001,BD!$A$3:$A$5001,AE$3,BD!$B$3:$B$5001,$A$79)))</f>
        <v/>
      </c>
      <c r="AF98" s="239" t="str">
        <f>IF(AF$3="","",IF(COUNTIFS(BD!$A$3:$A$5001,AF$3,BD!$B$3:$B$5001,$A$79,BD!$U$3:$U$5001,"&lt;&gt;")=0,"",SUMIFS(BD!$U$3:$U$5001,BD!$A$3:$A$5001,AF$3,BD!$B$3:$B$5001,$A$79)))</f>
        <v/>
      </c>
      <c r="AG98" s="239" t="str">
        <f>IF(AG$3="","",IF(COUNTIFS(BD!$A$3:$A$5001,AG$3,BD!$B$3:$B$5001,$A$79,BD!$U$3:$U$5001,"&lt;&gt;")=0,"",SUMIFS(BD!$U$3:$U$5001,BD!$A$3:$A$5001,AG$3,BD!$B$3:$B$5001,$A$79)))</f>
        <v/>
      </c>
      <c r="AH98" s="239" t="str">
        <f>IF(AH$3="","",IF(COUNTIFS(BD!$A$3:$A$5001,AH$3,BD!$B$3:$B$5001,$A$79,BD!$U$3:$U$5001,"&lt;&gt;")=0,"",SUMIFS(BD!$U$3:$U$5001,BD!$A$3:$A$5001,AH$3,BD!$B$3:$B$5001,$A$79)))</f>
        <v/>
      </c>
      <c r="AI98" s="239" t="str">
        <f>IF(AI$3="","",IF(COUNTIFS(BD!$A$3:$A$5001,AI$3,BD!$B$3:$B$5001,$A$79,BD!$U$3:$U$5001,"&lt;&gt;")=0,"",SUMIFS(BD!$U$3:$U$5001,BD!$A$3:$A$5001,AI$3,BD!$B$3:$B$5001,$A$79)))</f>
        <v/>
      </c>
      <c r="AJ98" s="240" t="str">
        <f>IF(AJ$3="","",IF(COUNTIFS(BD!$A$3:$A$5001,AJ$3,BD!$B$3:$B$5001,$A$79,BD!$U$3:$U$5001,"&lt;&gt;")=0,"",SUMIFS(BD!$U$3:$U$5001,BD!$A$3:$A$5001,AJ$3,BD!$B$3:$B$5001,$A$79)))</f>
        <v/>
      </c>
      <c r="AK98" s="236" t="str">
        <f>IF(COUNT(F98:AJ98)=0,"",SUM(F98:AJ98))</f>
        <v/>
      </c>
    </row>
    <row r="100" ht="20" customHeight="1" hidden="1">
      <c r="A100" s="263" t="inlineStr">
        <is>
          <t xml:space="preserve">VAGAS PARA NOVOS CLIENTES — reexiba as linhas de um bloco, digite o nome do cliente na coluna CLIENTE (igual ao da BD) e exclua as linhas que ele não usa</t>
        </is>
      </c>
      <c r="B100" s="264"/>
      <c r="C100" s="264"/>
      <c r="D100" s="264"/>
      <c r="E100" s="264"/>
      <c r="F100" s="264"/>
      <c r="G100" s="264"/>
      <c r="H100" s="264"/>
      <c r="I100" s="264"/>
      <c r="J100" s="264"/>
      <c r="K100" s="264"/>
      <c r="L100" s="264"/>
      <c r="M100" s="264"/>
      <c r="N100" s="264"/>
      <c r="O100" s="264"/>
      <c r="P100" s="264"/>
      <c r="Q100" s="264"/>
      <c r="R100" s="264"/>
      <c r="S100" s="264"/>
      <c r="T100" s="264"/>
      <c r="U100" s="264"/>
      <c r="V100" s="264"/>
      <c r="W100" s="264"/>
      <c r="X100" s="264"/>
      <c r="Y100" s="264"/>
      <c r="Z100" s="264"/>
      <c r="AA100" s="264"/>
      <c r="AB100" s="264"/>
      <c r="AC100" s="264"/>
      <c r="AD100" s="264"/>
      <c r="AE100" s="264"/>
      <c r="AF100" s="264"/>
      <c r="AG100" s="264"/>
      <c r="AH100" s="264"/>
      <c r="AI100" s="264"/>
      <c r="AJ100" s="264"/>
      <c r="AK100" s="265"/>
    </row>
    <row r="101" ht="15.75" customHeight="1" hidden="1">
      <c r="A101" s="253"/>
      <c r="B101" s="241" t="inlineStr">
        <is>
          <t xml:space="preserve">IN</t>
        </is>
      </c>
      <c r="C101" s="155" t="inlineStr">
        <is>
          <t xml:space="preserve">Veículos Recebidos</t>
        </is>
      </c>
      <c r="D101" s="156" t="str">
        <f>IFERROR(1/(1/INDEX(BD!$Y$23:$AS$23,MATCH($A$101,BD!$Y$22:$AS$22,0))),"")</f>
        <v/>
      </c>
      <c r="E101" s="157"/>
      <c r="F101" s="158" t="str">
        <f>IF(F$3="","",IF(COUNTIFS(BD!$A$3:$A$5001,F$3,BD!$B$3:$B$5001,$A$101,BD!$C$3:$C$5001,"&lt;&gt;")=0,"",SUMIFS(BD!$C$3:$C$5001,BD!$A$3:$A$5001,F$3,BD!$B$3:$B$5001,$A$101)))</f>
        <v/>
      </c>
      <c r="G101" s="159" t="str">
        <f>IF(G$3="","",IF(COUNTIFS(BD!$A$3:$A$5001,G$3,BD!$B$3:$B$5001,$A$101,BD!$C$3:$C$5001,"&lt;&gt;")=0,"",SUMIFS(BD!$C$3:$C$5001,BD!$A$3:$A$5001,G$3,BD!$B$3:$B$5001,$A$101)))</f>
        <v/>
      </c>
      <c r="H101" s="159" t="str">
        <f>IF(H$3="","",IF(COUNTIFS(BD!$A$3:$A$5001,H$3,BD!$B$3:$B$5001,$A$101,BD!$C$3:$C$5001,"&lt;&gt;")=0,"",SUMIFS(BD!$C$3:$C$5001,BD!$A$3:$A$5001,H$3,BD!$B$3:$B$5001,$A$101)))</f>
        <v/>
      </c>
      <c r="I101" s="159" t="str">
        <f>IF(I$3="","",IF(COUNTIFS(BD!$A$3:$A$5001,I$3,BD!$B$3:$B$5001,$A$101,BD!$C$3:$C$5001,"&lt;&gt;")=0,"",SUMIFS(BD!$C$3:$C$5001,BD!$A$3:$A$5001,I$3,BD!$B$3:$B$5001,$A$101)))</f>
        <v/>
      </c>
      <c r="J101" s="159" t="str">
        <f>IF(J$3="","",IF(COUNTIFS(BD!$A$3:$A$5001,J$3,BD!$B$3:$B$5001,$A$101,BD!$C$3:$C$5001,"&lt;&gt;")=0,"",SUMIFS(BD!$C$3:$C$5001,BD!$A$3:$A$5001,J$3,BD!$B$3:$B$5001,$A$101)))</f>
        <v/>
      </c>
      <c r="K101" s="159" t="str">
        <f>IF(K$3="","",IF(COUNTIFS(BD!$A$3:$A$5001,K$3,BD!$B$3:$B$5001,$A$101,BD!$C$3:$C$5001,"&lt;&gt;")=0,"",SUMIFS(BD!$C$3:$C$5001,BD!$A$3:$A$5001,K$3,BD!$B$3:$B$5001,$A$101)))</f>
        <v/>
      </c>
      <c r="L101" s="159" t="str">
        <f>IF(L$3="","",IF(COUNTIFS(BD!$A$3:$A$5001,L$3,BD!$B$3:$B$5001,$A$101,BD!$C$3:$C$5001,"&lt;&gt;")=0,"",SUMIFS(BD!$C$3:$C$5001,BD!$A$3:$A$5001,L$3,BD!$B$3:$B$5001,$A$101)))</f>
        <v/>
      </c>
      <c r="M101" s="159" t="str">
        <f>IF(M$3="","",IF(COUNTIFS(BD!$A$3:$A$5001,M$3,BD!$B$3:$B$5001,$A$101,BD!$C$3:$C$5001,"&lt;&gt;")=0,"",SUMIFS(BD!$C$3:$C$5001,BD!$A$3:$A$5001,M$3,BD!$B$3:$B$5001,$A$101)))</f>
        <v/>
      </c>
      <c r="N101" s="159" t="str">
        <f>IF(N$3="","",IF(COUNTIFS(BD!$A$3:$A$5001,N$3,BD!$B$3:$B$5001,$A$101,BD!$C$3:$C$5001,"&lt;&gt;")=0,"",SUMIFS(BD!$C$3:$C$5001,BD!$A$3:$A$5001,N$3,BD!$B$3:$B$5001,$A$101)))</f>
        <v/>
      </c>
      <c r="O101" s="159" t="str">
        <f>IF(O$3="","",IF(COUNTIFS(BD!$A$3:$A$5001,O$3,BD!$B$3:$B$5001,$A$101,BD!$C$3:$C$5001,"&lt;&gt;")=0,"",SUMIFS(BD!$C$3:$C$5001,BD!$A$3:$A$5001,O$3,BD!$B$3:$B$5001,$A$101)))</f>
        <v/>
      </c>
      <c r="P101" s="159" t="str">
        <f>IF(P$3="","",IF(COUNTIFS(BD!$A$3:$A$5001,P$3,BD!$B$3:$B$5001,$A$101,BD!$C$3:$C$5001,"&lt;&gt;")=0,"",SUMIFS(BD!$C$3:$C$5001,BD!$A$3:$A$5001,P$3,BD!$B$3:$B$5001,$A$101)))</f>
        <v/>
      </c>
      <c r="Q101" s="159" t="str">
        <f>IF(Q$3="","",IF(COUNTIFS(BD!$A$3:$A$5001,Q$3,BD!$B$3:$B$5001,$A$101,BD!$C$3:$C$5001,"&lt;&gt;")=0,"",SUMIFS(BD!$C$3:$C$5001,BD!$A$3:$A$5001,Q$3,BD!$B$3:$B$5001,$A$101)))</f>
        <v/>
      </c>
      <c r="R101" s="159" t="str">
        <f>IF(R$3="","",IF(COUNTIFS(BD!$A$3:$A$5001,R$3,BD!$B$3:$B$5001,$A$101,BD!$C$3:$C$5001,"&lt;&gt;")=0,"",SUMIFS(BD!$C$3:$C$5001,BD!$A$3:$A$5001,R$3,BD!$B$3:$B$5001,$A$101)))</f>
        <v/>
      </c>
      <c r="S101" s="159" t="str">
        <f>IF(S$3="","",IF(COUNTIFS(BD!$A$3:$A$5001,S$3,BD!$B$3:$B$5001,$A$101,BD!$C$3:$C$5001,"&lt;&gt;")=0,"",SUMIFS(BD!$C$3:$C$5001,BD!$A$3:$A$5001,S$3,BD!$B$3:$B$5001,$A$101)))</f>
        <v/>
      </c>
      <c r="T101" s="159" t="str">
        <f>IF(T$3="","",IF(COUNTIFS(BD!$A$3:$A$5001,T$3,BD!$B$3:$B$5001,$A$101,BD!$C$3:$C$5001,"&lt;&gt;")=0,"",SUMIFS(BD!$C$3:$C$5001,BD!$A$3:$A$5001,T$3,BD!$B$3:$B$5001,$A$101)))</f>
        <v/>
      </c>
      <c r="U101" s="159" t="str">
        <f>IF(U$3="","",IF(COUNTIFS(BD!$A$3:$A$5001,U$3,BD!$B$3:$B$5001,$A$101,BD!$C$3:$C$5001,"&lt;&gt;")=0,"",SUMIFS(BD!$C$3:$C$5001,BD!$A$3:$A$5001,U$3,BD!$B$3:$B$5001,$A$101)))</f>
        <v/>
      </c>
      <c r="V101" s="159" t="str">
        <f>IF(V$3="","",IF(COUNTIFS(BD!$A$3:$A$5001,V$3,BD!$B$3:$B$5001,$A$101,BD!$C$3:$C$5001,"&lt;&gt;")=0,"",SUMIFS(BD!$C$3:$C$5001,BD!$A$3:$A$5001,V$3,BD!$B$3:$B$5001,$A$101)))</f>
        <v/>
      </c>
      <c r="W101" s="159" t="str">
        <f>IF(W$3="","",IF(COUNTIFS(BD!$A$3:$A$5001,W$3,BD!$B$3:$B$5001,$A$101,BD!$C$3:$C$5001,"&lt;&gt;")=0,"",SUMIFS(BD!$C$3:$C$5001,BD!$A$3:$A$5001,W$3,BD!$B$3:$B$5001,$A$101)))</f>
        <v/>
      </c>
      <c r="X101" s="159" t="str">
        <f>IF(X$3="","",IF(COUNTIFS(BD!$A$3:$A$5001,X$3,BD!$B$3:$B$5001,$A$101,BD!$C$3:$C$5001,"&lt;&gt;")=0,"",SUMIFS(BD!$C$3:$C$5001,BD!$A$3:$A$5001,X$3,BD!$B$3:$B$5001,$A$101)))</f>
        <v/>
      </c>
      <c r="Y101" s="159" t="str">
        <f>IF(Y$3="","",IF(COUNTIFS(BD!$A$3:$A$5001,Y$3,BD!$B$3:$B$5001,$A$101,BD!$C$3:$C$5001,"&lt;&gt;")=0,"",SUMIFS(BD!$C$3:$C$5001,BD!$A$3:$A$5001,Y$3,BD!$B$3:$B$5001,$A$101)))</f>
        <v/>
      </c>
      <c r="Z101" s="159" t="str">
        <f>IF(Z$3="","",IF(COUNTIFS(BD!$A$3:$A$5001,Z$3,BD!$B$3:$B$5001,$A$101,BD!$C$3:$C$5001,"&lt;&gt;")=0,"",SUMIFS(BD!$C$3:$C$5001,BD!$A$3:$A$5001,Z$3,BD!$B$3:$B$5001,$A$101)))</f>
        <v/>
      </c>
      <c r="AA101" s="159" t="str">
        <f>IF(AA$3="","",IF(COUNTIFS(BD!$A$3:$A$5001,AA$3,BD!$B$3:$B$5001,$A$101,BD!$C$3:$C$5001,"&lt;&gt;")=0,"",SUMIFS(BD!$C$3:$C$5001,BD!$A$3:$A$5001,AA$3,BD!$B$3:$B$5001,$A$101)))</f>
        <v/>
      </c>
      <c r="AB101" s="159" t="str">
        <f>IF(AB$3="","",IF(COUNTIFS(BD!$A$3:$A$5001,AB$3,BD!$B$3:$B$5001,$A$101,BD!$C$3:$C$5001,"&lt;&gt;")=0,"",SUMIFS(BD!$C$3:$C$5001,BD!$A$3:$A$5001,AB$3,BD!$B$3:$B$5001,$A$101)))</f>
        <v/>
      </c>
      <c r="AC101" s="159" t="str">
        <f>IF(AC$3="","",IF(COUNTIFS(BD!$A$3:$A$5001,AC$3,BD!$B$3:$B$5001,$A$101,BD!$C$3:$C$5001,"&lt;&gt;")=0,"",SUMIFS(BD!$C$3:$C$5001,BD!$A$3:$A$5001,AC$3,BD!$B$3:$B$5001,$A$101)))</f>
        <v/>
      </c>
      <c r="AD101" s="159" t="str">
        <f>IF(AD$3="","",IF(COUNTIFS(BD!$A$3:$A$5001,AD$3,BD!$B$3:$B$5001,$A$101,BD!$C$3:$C$5001,"&lt;&gt;")=0,"",SUMIFS(BD!$C$3:$C$5001,BD!$A$3:$A$5001,AD$3,BD!$B$3:$B$5001,$A$101)))</f>
        <v/>
      </c>
      <c r="AE101" s="159" t="str">
        <f>IF(AE$3="","",IF(COUNTIFS(BD!$A$3:$A$5001,AE$3,BD!$B$3:$B$5001,$A$101,BD!$C$3:$C$5001,"&lt;&gt;")=0,"",SUMIFS(BD!$C$3:$C$5001,BD!$A$3:$A$5001,AE$3,BD!$B$3:$B$5001,$A$101)))</f>
        <v/>
      </c>
      <c r="AF101" s="159" t="str">
        <f>IF(AF$3="","",IF(COUNTIFS(BD!$A$3:$A$5001,AF$3,BD!$B$3:$B$5001,$A$101,BD!$C$3:$C$5001,"&lt;&gt;")=0,"",SUMIFS(BD!$C$3:$C$5001,BD!$A$3:$A$5001,AF$3,BD!$B$3:$B$5001,$A$101)))</f>
        <v/>
      </c>
      <c r="AG101" s="159" t="str">
        <f>IF(AG$3="","",IF(COUNTIFS(BD!$A$3:$A$5001,AG$3,BD!$B$3:$B$5001,$A$101,BD!$C$3:$C$5001,"&lt;&gt;")=0,"",SUMIFS(BD!$C$3:$C$5001,BD!$A$3:$A$5001,AG$3,BD!$B$3:$B$5001,$A$101)))</f>
        <v/>
      </c>
      <c r="AH101" s="159" t="str">
        <f>IF(AH$3="","",IF(COUNTIFS(BD!$A$3:$A$5001,AH$3,BD!$B$3:$B$5001,$A$101,BD!$C$3:$C$5001,"&lt;&gt;")=0,"",SUMIFS(BD!$C$3:$C$5001,BD!$A$3:$A$5001,AH$3,BD!$B$3:$B$5001,$A$101)))</f>
        <v/>
      </c>
      <c r="AI101" s="159" t="str">
        <f>IF(AI$3="","",IF(COUNTIFS(BD!$A$3:$A$5001,AI$3,BD!$B$3:$B$5001,$A$101,BD!$C$3:$C$5001,"&lt;&gt;")=0,"",SUMIFS(BD!$C$3:$C$5001,BD!$A$3:$A$5001,AI$3,BD!$B$3:$B$5001,$A$101)))</f>
        <v/>
      </c>
      <c r="AJ101" s="160" t="str">
        <f>IF(AJ$3="","",IF(COUNTIFS(BD!$A$3:$A$5001,AJ$3,BD!$B$3:$B$5001,$A$101,BD!$C$3:$C$5001,"&lt;&gt;")=0,"",SUMIFS(BD!$C$3:$C$5001,BD!$A$3:$A$5001,AJ$3,BD!$B$3:$B$5001,$A$101)))</f>
        <v/>
      </c>
      <c r="AK101" s="161" t="str">
        <f>IF(COUNT(F101:AJ101)=0,"",SUM(F101:AJ101))</f>
        <v/>
      </c>
    </row>
    <row r="102" ht="15.75" customHeight="1" hidden="1">
      <c r="A102" s="254"/>
      <c r="B102" s="242"/>
      <c r="C102" s="162" t="inlineStr">
        <is>
          <t xml:space="preserve">Pallets Movimentados</t>
        </is>
      </c>
      <c r="D102" s="163" t="str">
        <f>IFERROR(1/(1/INDEX(BD!$Y$24:$AS$24,MATCH($A$101,BD!$Y$22:$AS$22,0))),"")</f>
        <v/>
      </c>
      <c r="E102" s="164"/>
      <c r="F102" s="165" t="str">
        <f>IF(F$3="","",IF(COUNTIFS(BD!$A$3:$A$5001,F$3,BD!$B$3:$B$5001,$A$101,BD!$D$3:$D$5001,"&lt;&gt;")=0,"",SUMIFS(BD!$D$3:$D$5001,BD!$A$3:$A$5001,F$3,BD!$B$3:$B$5001,$A$101)))</f>
        <v/>
      </c>
      <c r="G102" s="166" t="str">
        <f>IF(G$3="","",IF(COUNTIFS(BD!$A$3:$A$5001,G$3,BD!$B$3:$B$5001,$A$101,BD!$D$3:$D$5001,"&lt;&gt;")=0,"",SUMIFS(BD!$D$3:$D$5001,BD!$A$3:$A$5001,G$3,BD!$B$3:$B$5001,$A$101)))</f>
        <v/>
      </c>
      <c r="H102" s="166" t="str">
        <f>IF(H$3="","",IF(COUNTIFS(BD!$A$3:$A$5001,H$3,BD!$B$3:$B$5001,$A$101,BD!$D$3:$D$5001,"&lt;&gt;")=0,"",SUMIFS(BD!$D$3:$D$5001,BD!$A$3:$A$5001,H$3,BD!$B$3:$B$5001,$A$101)))</f>
        <v/>
      </c>
      <c r="I102" s="166" t="str">
        <f>IF(I$3="","",IF(COUNTIFS(BD!$A$3:$A$5001,I$3,BD!$B$3:$B$5001,$A$101,BD!$D$3:$D$5001,"&lt;&gt;")=0,"",SUMIFS(BD!$D$3:$D$5001,BD!$A$3:$A$5001,I$3,BD!$B$3:$B$5001,$A$101)))</f>
        <v/>
      </c>
      <c r="J102" s="166" t="str">
        <f>IF(J$3="","",IF(COUNTIFS(BD!$A$3:$A$5001,J$3,BD!$B$3:$B$5001,$A$101,BD!$D$3:$D$5001,"&lt;&gt;")=0,"",SUMIFS(BD!$D$3:$D$5001,BD!$A$3:$A$5001,J$3,BD!$B$3:$B$5001,$A$101)))</f>
        <v/>
      </c>
      <c r="K102" s="166" t="str">
        <f>IF(K$3="","",IF(COUNTIFS(BD!$A$3:$A$5001,K$3,BD!$B$3:$B$5001,$A$101,BD!$D$3:$D$5001,"&lt;&gt;")=0,"",SUMIFS(BD!$D$3:$D$5001,BD!$A$3:$A$5001,K$3,BD!$B$3:$B$5001,$A$101)))</f>
        <v/>
      </c>
      <c r="L102" s="166" t="str">
        <f>IF(L$3="","",IF(COUNTIFS(BD!$A$3:$A$5001,L$3,BD!$B$3:$B$5001,$A$101,BD!$D$3:$D$5001,"&lt;&gt;")=0,"",SUMIFS(BD!$D$3:$D$5001,BD!$A$3:$A$5001,L$3,BD!$B$3:$B$5001,$A$101)))</f>
        <v/>
      </c>
      <c r="M102" s="166" t="str">
        <f>IF(M$3="","",IF(COUNTIFS(BD!$A$3:$A$5001,M$3,BD!$B$3:$B$5001,$A$101,BD!$D$3:$D$5001,"&lt;&gt;")=0,"",SUMIFS(BD!$D$3:$D$5001,BD!$A$3:$A$5001,M$3,BD!$B$3:$B$5001,$A$101)))</f>
        <v/>
      </c>
      <c r="N102" s="166" t="str">
        <f>IF(N$3="","",IF(COUNTIFS(BD!$A$3:$A$5001,N$3,BD!$B$3:$B$5001,$A$101,BD!$D$3:$D$5001,"&lt;&gt;")=0,"",SUMIFS(BD!$D$3:$D$5001,BD!$A$3:$A$5001,N$3,BD!$B$3:$B$5001,$A$101)))</f>
        <v/>
      </c>
      <c r="O102" s="166" t="str">
        <f>IF(O$3="","",IF(COUNTIFS(BD!$A$3:$A$5001,O$3,BD!$B$3:$B$5001,$A$101,BD!$D$3:$D$5001,"&lt;&gt;")=0,"",SUMIFS(BD!$D$3:$D$5001,BD!$A$3:$A$5001,O$3,BD!$B$3:$B$5001,$A$101)))</f>
        <v/>
      </c>
      <c r="P102" s="166" t="str">
        <f>IF(P$3="","",IF(COUNTIFS(BD!$A$3:$A$5001,P$3,BD!$B$3:$B$5001,$A$101,BD!$D$3:$D$5001,"&lt;&gt;")=0,"",SUMIFS(BD!$D$3:$D$5001,BD!$A$3:$A$5001,P$3,BD!$B$3:$B$5001,$A$101)))</f>
        <v/>
      </c>
      <c r="Q102" s="166" t="str">
        <f>IF(Q$3="","",IF(COUNTIFS(BD!$A$3:$A$5001,Q$3,BD!$B$3:$B$5001,$A$101,BD!$D$3:$D$5001,"&lt;&gt;")=0,"",SUMIFS(BD!$D$3:$D$5001,BD!$A$3:$A$5001,Q$3,BD!$B$3:$B$5001,$A$101)))</f>
        <v/>
      </c>
      <c r="R102" s="166" t="str">
        <f>IF(R$3="","",IF(COUNTIFS(BD!$A$3:$A$5001,R$3,BD!$B$3:$B$5001,$A$101,BD!$D$3:$D$5001,"&lt;&gt;")=0,"",SUMIFS(BD!$D$3:$D$5001,BD!$A$3:$A$5001,R$3,BD!$B$3:$B$5001,$A$101)))</f>
        <v/>
      </c>
      <c r="S102" s="166" t="str">
        <f>IF(S$3="","",IF(COUNTIFS(BD!$A$3:$A$5001,S$3,BD!$B$3:$B$5001,$A$101,BD!$D$3:$D$5001,"&lt;&gt;")=0,"",SUMIFS(BD!$D$3:$D$5001,BD!$A$3:$A$5001,S$3,BD!$B$3:$B$5001,$A$101)))</f>
        <v/>
      </c>
      <c r="T102" s="166" t="str">
        <f>IF(T$3="","",IF(COUNTIFS(BD!$A$3:$A$5001,T$3,BD!$B$3:$B$5001,$A$101,BD!$D$3:$D$5001,"&lt;&gt;")=0,"",SUMIFS(BD!$D$3:$D$5001,BD!$A$3:$A$5001,T$3,BD!$B$3:$B$5001,$A$101)))</f>
        <v/>
      </c>
      <c r="U102" s="166" t="str">
        <f>IF(U$3="","",IF(COUNTIFS(BD!$A$3:$A$5001,U$3,BD!$B$3:$B$5001,$A$101,BD!$D$3:$D$5001,"&lt;&gt;")=0,"",SUMIFS(BD!$D$3:$D$5001,BD!$A$3:$A$5001,U$3,BD!$B$3:$B$5001,$A$101)))</f>
        <v/>
      </c>
      <c r="V102" s="166" t="str">
        <f>IF(V$3="","",IF(COUNTIFS(BD!$A$3:$A$5001,V$3,BD!$B$3:$B$5001,$A$101,BD!$D$3:$D$5001,"&lt;&gt;")=0,"",SUMIFS(BD!$D$3:$D$5001,BD!$A$3:$A$5001,V$3,BD!$B$3:$B$5001,$A$101)))</f>
        <v/>
      </c>
      <c r="W102" s="166" t="str">
        <f>IF(W$3="","",IF(COUNTIFS(BD!$A$3:$A$5001,W$3,BD!$B$3:$B$5001,$A$101,BD!$D$3:$D$5001,"&lt;&gt;")=0,"",SUMIFS(BD!$D$3:$D$5001,BD!$A$3:$A$5001,W$3,BD!$B$3:$B$5001,$A$101)))</f>
        <v/>
      </c>
      <c r="X102" s="166" t="str">
        <f>IF(X$3="","",IF(COUNTIFS(BD!$A$3:$A$5001,X$3,BD!$B$3:$B$5001,$A$101,BD!$D$3:$D$5001,"&lt;&gt;")=0,"",SUMIFS(BD!$D$3:$D$5001,BD!$A$3:$A$5001,X$3,BD!$B$3:$B$5001,$A$101)))</f>
        <v/>
      </c>
      <c r="Y102" s="166" t="str">
        <f>IF(Y$3="","",IF(COUNTIFS(BD!$A$3:$A$5001,Y$3,BD!$B$3:$B$5001,$A$101,BD!$D$3:$D$5001,"&lt;&gt;")=0,"",SUMIFS(BD!$D$3:$D$5001,BD!$A$3:$A$5001,Y$3,BD!$B$3:$B$5001,$A$101)))</f>
        <v/>
      </c>
      <c r="Z102" s="166" t="str">
        <f>IF(Z$3="","",IF(COUNTIFS(BD!$A$3:$A$5001,Z$3,BD!$B$3:$B$5001,$A$101,BD!$D$3:$D$5001,"&lt;&gt;")=0,"",SUMIFS(BD!$D$3:$D$5001,BD!$A$3:$A$5001,Z$3,BD!$B$3:$B$5001,$A$101)))</f>
        <v/>
      </c>
      <c r="AA102" s="166" t="str">
        <f>IF(AA$3="","",IF(COUNTIFS(BD!$A$3:$A$5001,AA$3,BD!$B$3:$B$5001,$A$101,BD!$D$3:$D$5001,"&lt;&gt;")=0,"",SUMIFS(BD!$D$3:$D$5001,BD!$A$3:$A$5001,AA$3,BD!$B$3:$B$5001,$A$101)))</f>
        <v/>
      </c>
      <c r="AB102" s="166" t="str">
        <f>IF(AB$3="","",IF(COUNTIFS(BD!$A$3:$A$5001,AB$3,BD!$B$3:$B$5001,$A$101,BD!$D$3:$D$5001,"&lt;&gt;")=0,"",SUMIFS(BD!$D$3:$D$5001,BD!$A$3:$A$5001,AB$3,BD!$B$3:$B$5001,$A$101)))</f>
        <v/>
      </c>
      <c r="AC102" s="166" t="str">
        <f>IF(AC$3="","",IF(COUNTIFS(BD!$A$3:$A$5001,AC$3,BD!$B$3:$B$5001,$A$101,BD!$D$3:$D$5001,"&lt;&gt;")=0,"",SUMIFS(BD!$D$3:$D$5001,BD!$A$3:$A$5001,AC$3,BD!$B$3:$B$5001,$A$101)))</f>
        <v/>
      </c>
      <c r="AD102" s="166" t="str">
        <f>IF(AD$3="","",IF(COUNTIFS(BD!$A$3:$A$5001,AD$3,BD!$B$3:$B$5001,$A$101,BD!$D$3:$D$5001,"&lt;&gt;")=0,"",SUMIFS(BD!$D$3:$D$5001,BD!$A$3:$A$5001,AD$3,BD!$B$3:$B$5001,$A$101)))</f>
        <v/>
      </c>
      <c r="AE102" s="166" t="str">
        <f>IF(AE$3="","",IF(COUNTIFS(BD!$A$3:$A$5001,AE$3,BD!$B$3:$B$5001,$A$101,BD!$D$3:$D$5001,"&lt;&gt;")=0,"",SUMIFS(BD!$D$3:$D$5001,BD!$A$3:$A$5001,AE$3,BD!$B$3:$B$5001,$A$101)))</f>
        <v/>
      </c>
      <c r="AF102" s="166" t="str">
        <f>IF(AF$3="","",IF(COUNTIFS(BD!$A$3:$A$5001,AF$3,BD!$B$3:$B$5001,$A$101,BD!$D$3:$D$5001,"&lt;&gt;")=0,"",SUMIFS(BD!$D$3:$D$5001,BD!$A$3:$A$5001,AF$3,BD!$B$3:$B$5001,$A$101)))</f>
        <v/>
      </c>
      <c r="AG102" s="166" t="str">
        <f>IF(AG$3="","",IF(COUNTIFS(BD!$A$3:$A$5001,AG$3,BD!$B$3:$B$5001,$A$101,BD!$D$3:$D$5001,"&lt;&gt;")=0,"",SUMIFS(BD!$D$3:$D$5001,BD!$A$3:$A$5001,AG$3,BD!$B$3:$B$5001,$A$101)))</f>
        <v/>
      </c>
      <c r="AH102" s="166" t="str">
        <f>IF(AH$3="","",IF(COUNTIFS(BD!$A$3:$A$5001,AH$3,BD!$B$3:$B$5001,$A$101,BD!$D$3:$D$5001,"&lt;&gt;")=0,"",SUMIFS(BD!$D$3:$D$5001,BD!$A$3:$A$5001,AH$3,BD!$B$3:$B$5001,$A$101)))</f>
        <v/>
      </c>
      <c r="AI102" s="166" t="str">
        <f>IF(AI$3="","",IF(COUNTIFS(BD!$A$3:$A$5001,AI$3,BD!$B$3:$B$5001,$A$101,BD!$D$3:$D$5001,"&lt;&gt;")=0,"",SUMIFS(BD!$D$3:$D$5001,BD!$A$3:$A$5001,AI$3,BD!$B$3:$B$5001,$A$101)))</f>
        <v/>
      </c>
      <c r="AJ102" s="167" t="str">
        <f>IF(AJ$3="","",IF(COUNTIFS(BD!$A$3:$A$5001,AJ$3,BD!$B$3:$B$5001,$A$101,BD!$D$3:$D$5001,"&lt;&gt;")=0,"",SUMIFS(BD!$D$3:$D$5001,BD!$A$3:$A$5001,AJ$3,BD!$B$3:$B$5001,$A$101)))</f>
        <v/>
      </c>
      <c r="AK102" s="168" t="str">
        <f>IF(COUNT(F102:AJ102)=0,"",SUM(F102:AJ102))</f>
        <v/>
      </c>
    </row>
    <row r="103" ht="15.75" customHeight="1" hidden="1">
      <c r="A103" s="254"/>
      <c r="B103" s="243"/>
      <c r="C103" s="169" t="inlineStr">
        <is>
          <t xml:space="preserve">Toneladas Movimentadas</t>
        </is>
      </c>
      <c r="D103" s="170" t="str">
        <f>IFERROR(1/(1/INDEX(BD!$Y$25:$AS$25,MATCH($A$101,BD!$Y$22:$AS$22,0))),"")</f>
        <v/>
      </c>
      <c r="E103" s="171"/>
      <c r="F103" s="172" t="str">
        <f>IF(F$3="","",IF(COUNTIFS(BD!$A$3:$A$5001,F$3,BD!$B$3:$B$5001,$A$101,BD!$E$3:$E$5001,"&lt;&gt;")=0,"",SUMIFS(BD!$E$3:$E$5001,BD!$A$3:$A$5001,F$3,BD!$B$3:$B$5001,$A$101)))</f>
        <v/>
      </c>
      <c r="G103" s="173" t="str">
        <f>IF(G$3="","",IF(COUNTIFS(BD!$A$3:$A$5001,G$3,BD!$B$3:$B$5001,$A$101,BD!$E$3:$E$5001,"&lt;&gt;")=0,"",SUMIFS(BD!$E$3:$E$5001,BD!$A$3:$A$5001,G$3,BD!$B$3:$B$5001,$A$101)))</f>
        <v/>
      </c>
      <c r="H103" s="173" t="str">
        <f>IF(H$3="","",IF(COUNTIFS(BD!$A$3:$A$5001,H$3,BD!$B$3:$B$5001,$A$101,BD!$E$3:$E$5001,"&lt;&gt;")=0,"",SUMIFS(BD!$E$3:$E$5001,BD!$A$3:$A$5001,H$3,BD!$B$3:$B$5001,$A$101)))</f>
        <v/>
      </c>
      <c r="I103" s="173" t="str">
        <f>IF(I$3="","",IF(COUNTIFS(BD!$A$3:$A$5001,I$3,BD!$B$3:$B$5001,$A$101,BD!$E$3:$E$5001,"&lt;&gt;")=0,"",SUMIFS(BD!$E$3:$E$5001,BD!$A$3:$A$5001,I$3,BD!$B$3:$B$5001,$A$101)))</f>
        <v/>
      </c>
      <c r="J103" s="173" t="str">
        <f>IF(J$3="","",IF(COUNTIFS(BD!$A$3:$A$5001,J$3,BD!$B$3:$B$5001,$A$101,BD!$E$3:$E$5001,"&lt;&gt;")=0,"",SUMIFS(BD!$E$3:$E$5001,BD!$A$3:$A$5001,J$3,BD!$B$3:$B$5001,$A$101)))</f>
        <v/>
      </c>
      <c r="K103" s="173" t="str">
        <f>IF(K$3="","",IF(COUNTIFS(BD!$A$3:$A$5001,K$3,BD!$B$3:$B$5001,$A$101,BD!$E$3:$E$5001,"&lt;&gt;")=0,"",SUMIFS(BD!$E$3:$E$5001,BD!$A$3:$A$5001,K$3,BD!$B$3:$B$5001,$A$101)))</f>
        <v/>
      </c>
      <c r="L103" s="173" t="str">
        <f>IF(L$3="","",IF(COUNTIFS(BD!$A$3:$A$5001,L$3,BD!$B$3:$B$5001,$A$101,BD!$E$3:$E$5001,"&lt;&gt;")=0,"",SUMIFS(BD!$E$3:$E$5001,BD!$A$3:$A$5001,L$3,BD!$B$3:$B$5001,$A$101)))</f>
        <v/>
      </c>
      <c r="M103" s="173" t="str">
        <f>IF(M$3="","",IF(COUNTIFS(BD!$A$3:$A$5001,M$3,BD!$B$3:$B$5001,$A$101,BD!$E$3:$E$5001,"&lt;&gt;")=0,"",SUMIFS(BD!$E$3:$E$5001,BD!$A$3:$A$5001,M$3,BD!$B$3:$B$5001,$A$101)))</f>
        <v/>
      </c>
      <c r="N103" s="173" t="str">
        <f>IF(N$3="","",IF(COUNTIFS(BD!$A$3:$A$5001,N$3,BD!$B$3:$B$5001,$A$101,BD!$E$3:$E$5001,"&lt;&gt;")=0,"",SUMIFS(BD!$E$3:$E$5001,BD!$A$3:$A$5001,N$3,BD!$B$3:$B$5001,$A$101)))</f>
        <v/>
      </c>
      <c r="O103" s="173" t="str">
        <f>IF(O$3="","",IF(COUNTIFS(BD!$A$3:$A$5001,O$3,BD!$B$3:$B$5001,$A$101,BD!$E$3:$E$5001,"&lt;&gt;")=0,"",SUMIFS(BD!$E$3:$E$5001,BD!$A$3:$A$5001,O$3,BD!$B$3:$B$5001,$A$101)))</f>
        <v/>
      </c>
      <c r="P103" s="173" t="str">
        <f>IF(P$3="","",IF(COUNTIFS(BD!$A$3:$A$5001,P$3,BD!$B$3:$B$5001,$A$101,BD!$E$3:$E$5001,"&lt;&gt;")=0,"",SUMIFS(BD!$E$3:$E$5001,BD!$A$3:$A$5001,P$3,BD!$B$3:$B$5001,$A$101)))</f>
        <v/>
      </c>
      <c r="Q103" s="173" t="str">
        <f>IF(Q$3="","",IF(COUNTIFS(BD!$A$3:$A$5001,Q$3,BD!$B$3:$B$5001,$A$101,BD!$E$3:$E$5001,"&lt;&gt;")=0,"",SUMIFS(BD!$E$3:$E$5001,BD!$A$3:$A$5001,Q$3,BD!$B$3:$B$5001,$A$101)))</f>
        <v/>
      </c>
      <c r="R103" s="173" t="str">
        <f>IF(R$3="","",IF(COUNTIFS(BD!$A$3:$A$5001,R$3,BD!$B$3:$B$5001,$A$101,BD!$E$3:$E$5001,"&lt;&gt;")=0,"",SUMIFS(BD!$E$3:$E$5001,BD!$A$3:$A$5001,R$3,BD!$B$3:$B$5001,$A$101)))</f>
        <v/>
      </c>
      <c r="S103" s="173" t="str">
        <f>IF(S$3="","",IF(COUNTIFS(BD!$A$3:$A$5001,S$3,BD!$B$3:$B$5001,$A$101,BD!$E$3:$E$5001,"&lt;&gt;")=0,"",SUMIFS(BD!$E$3:$E$5001,BD!$A$3:$A$5001,S$3,BD!$B$3:$B$5001,$A$101)))</f>
        <v/>
      </c>
      <c r="T103" s="173" t="str">
        <f>IF(T$3="","",IF(COUNTIFS(BD!$A$3:$A$5001,T$3,BD!$B$3:$B$5001,$A$101,BD!$E$3:$E$5001,"&lt;&gt;")=0,"",SUMIFS(BD!$E$3:$E$5001,BD!$A$3:$A$5001,T$3,BD!$B$3:$B$5001,$A$101)))</f>
        <v/>
      </c>
      <c r="U103" s="173" t="str">
        <f>IF(U$3="","",IF(COUNTIFS(BD!$A$3:$A$5001,U$3,BD!$B$3:$B$5001,$A$101,BD!$E$3:$E$5001,"&lt;&gt;")=0,"",SUMIFS(BD!$E$3:$E$5001,BD!$A$3:$A$5001,U$3,BD!$B$3:$B$5001,$A$101)))</f>
        <v/>
      </c>
      <c r="V103" s="173" t="str">
        <f>IF(V$3="","",IF(COUNTIFS(BD!$A$3:$A$5001,V$3,BD!$B$3:$B$5001,$A$101,BD!$E$3:$E$5001,"&lt;&gt;")=0,"",SUMIFS(BD!$E$3:$E$5001,BD!$A$3:$A$5001,V$3,BD!$B$3:$B$5001,$A$101)))</f>
        <v/>
      </c>
      <c r="W103" s="173" t="str">
        <f>IF(W$3="","",IF(COUNTIFS(BD!$A$3:$A$5001,W$3,BD!$B$3:$B$5001,$A$101,BD!$E$3:$E$5001,"&lt;&gt;")=0,"",SUMIFS(BD!$E$3:$E$5001,BD!$A$3:$A$5001,W$3,BD!$B$3:$B$5001,$A$101)))</f>
        <v/>
      </c>
      <c r="X103" s="173" t="str">
        <f>IF(X$3="","",IF(COUNTIFS(BD!$A$3:$A$5001,X$3,BD!$B$3:$B$5001,$A$101,BD!$E$3:$E$5001,"&lt;&gt;")=0,"",SUMIFS(BD!$E$3:$E$5001,BD!$A$3:$A$5001,X$3,BD!$B$3:$B$5001,$A$101)))</f>
        <v/>
      </c>
      <c r="Y103" s="173" t="str">
        <f>IF(Y$3="","",IF(COUNTIFS(BD!$A$3:$A$5001,Y$3,BD!$B$3:$B$5001,$A$101,BD!$E$3:$E$5001,"&lt;&gt;")=0,"",SUMIFS(BD!$E$3:$E$5001,BD!$A$3:$A$5001,Y$3,BD!$B$3:$B$5001,$A$101)))</f>
        <v/>
      </c>
      <c r="Z103" s="173" t="str">
        <f>IF(Z$3="","",IF(COUNTIFS(BD!$A$3:$A$5001,Z$3,BD!$B$3:$B$5001,$A$101,BD!$E$3:$E$5001,"&lt;&gt;")=0,"",SUMIFS(BD!$E$3:$E$5001,BD!$A$3:$A$5001,Z$3,BD!$B$3:$B$5001,$A$101)))</f>
        <v/>
      </c>
      <c r="AA103" s="173" t="str">
        <f>IF(AA$3="","",IF(COUNTIFS(BD!$A$3:$A$5001,AA$3,BD!$B$3:$B$5001,$A$101,BD!$E$3:$E$5001,"&lt;&gt;")=0,"",SUMIFS(BD!$E$3:$E$5001,BD!$A$3:$A$5001,AA$3,BD!$B$3:$B$5001,$A$101)))</f>
        <v/>
      </c>
      <c r="AB103" s="173" t="str">
        <f>IF(AB$3="","",IF(COUNTIFS(BD!$A$3:$A$5001,AB$3,BD!$B$3:$B$5001,$A$101,BD!$E$3:$E$5001,"&lt;&gt;")=0,"",SUMIFS(BD!$E$3:$E$5001,BD!$A$3:$A$5001,AB$3,BD!$B$3:$B$5001,$A$101)))</f>
        <v/>
      </c>
      <c r="AC103" s="173" t="str">
        <f>IF(AC$3="","",IF(COUNTIFS(BD!$A$3:$A$5001,AC$3,BD!$B$3:$B$5001,$A$101,BD!$E$3:$E$5001,"&lt;&gt;")=0,"",SUMIFS(BD!$E$3:$E$5001,BD!$A$3:$A$5001,AC$3,BD!$B$3:$B$5001,$A$101)))</f>
        <v/>
      </c>
      <c r="AD103" s="173" t="str">
        <f>IF(AD$3="","",IF(COUNTIFS(BD!$A$3:$A$5001,AD$3,BD!$B$3:$B$5001,$A$101,BD!$E$3:$E$5001,"&lt;&gt;")=0,"",SUMIFS(BD!$E$3:$E$5001,BD!$A$3:$A$5001,AD$3,BD!$B$3:$B$5001,$A$101)))</f>
        <v/>
      </c>
      <c r="AE103" s="173" t="str">
        <f>IF(AE$3="","",IF(COUNTIFS(BD!$A$3:$A$5001,AE$3,BD!$B$3:$B$5001,$A$101,BD!$E$3:$E$5001,"&lt;&gt;")=0,"",SUMIFS(BD!$E$3:$E$5001,BD!$A$3:$A$5001,AE$3,BD!$B$3:$B$5001,$A$101)))</f>
        <v/>
      </c>
      <c r="AF103" s="173" t="str">
        <f>IF(AF$3="","",IF(COUNTIFS(BD!$A$3:$A$5001,AF$3,BD!$B$3:$B$5001,$A$101,BD!$E$3:$E$5001,"&lt;&gt;")=0,"",SUMIFS(BD!$E$3:$E$5001,BD!$A$3:$A$5001,AF$3,BD!$B$3:$B$5001,$A$101)))</f>
        <v/>
      </c>
      <c r="AG103" s="173" t="str">
        <f>IF(AG$3="","",IF(COUNTIFS(BD!$A$3:$A$5001,AG$3,BD!$B$3:$B$5001,$A$101,BD!$E$3:$E$5001,"&lt;&gt;")=0,"",SUMIFS(BD!$E$3:$E$5001,BD!$A$3:$A$5001,AG$3,BD!$B$3:$B$5001,$A$101)))</f>
        <v/>
      </c>
      <c r="AH103" s="173" t="str">
        <f>IF(AH$3="","",IF(COUNTIFS(BD!$A$3:$A$5001,AH$3,BD!$B$3:$B$5001,$A$101,BD!$E$3:$E$5001,"&lt;&gt;")=0,"",SUMIFS(BD!$E$3:$E$5001,BD!$A$3:$A$5001,AH$3,BD!$B$3:$B$5001,$A$101)))</f>
        <v/>
      </c>
      <c r="AI103" s="173" t="str">
        <f>IF(AI$3="","",IF(COUNTIFS(BD!$A$3:$A$5001,AI$3,BD!$B$3:$B$5001,$A$101,BD!$E$3:$E$5001,"&lt;&gt;")=0,"",SUMIFS(BD!$E$3:$E$5001,BD!$A$3:$A$5001,AI$3,BD!$B$3:$B$5001,$A$101)))</f>
        <v/>
      </c>
      <c r="AJ103" s="174" t="str">
        <f>IF(AJ$3="","",IF(COUNTIFS(BD!$A$3:$A$5001,AJ$3,BD!$B$3:$B$5001,$A$101,BD!$E$3:$E$5001,"&lt;&gt;")=0,"",SUMIFS(BD!$E$3:$E$5001,BD!$A$3:$A$5001,AJ$3,BD!$B$3:$B$5001,$A$101)))</f>
        <v/>
      </c>
      <c r="AK103" s="175" t="str">
        <f>IF(COUNT(F103:AJ103)=0,"",SUM(F103:AJ103))</f>
        <v/>
      </c>
    </row>
    <row r="104" ht="15.75" customHeight="1" hidden="1">
      <c r="A104" s="254"/>
      <c r="B104" s="244" t="inlineStr">
        <is>
          <t xml:space="preserve">OUT</t>
        </is>
      </c>
      <c r="C104" s="176" t="inlineStr">
        <is>
          <t xml:space="preserve">Veículos Expedidos</t>
        </is>
      </c>
      <c r="D104" s="177" t="str">
        <f>IFERROR(1/(1/INDEX(BD!$Y$26:$AS$26,MATCH($A$101,BD!$Y$22:$AS$22,0))),"")</f>
        <v/>
      </c>
      <c r="E104" s="178"/>
      <c r="F104" s="179" t="str">
        <f>IF(F$3="","",IF(COUNTIFS(BD!$A$3:$A$5001,F$3,BD!$B$3:$B$5001,$A$101,BD!$F$3:$F$5001,"&lt;&gt;")=0,"",SUMIFS(BD!$F$3:$F$5001,BD!$A$3:$A$5001,F$3,BD!$B$3:$B$5001,$A$101)))</f>
        <v/>
      </c>
      <c r="G104" s="180" t="str">
        <f>IF(G$3="","",IF(COUNTIFS(BD!$A$3:$A$5001,G$3,BD!$B$3:$B$5001,$A$101,BD!$F$3:$F$5001,"&lt;&gt;")=0,"",SUMIFS(BD!$F$3:$F$5001,BD!$A$3:$A$5001,G$3,BD!$B$3:$B$5001,$A$101)))</f>
        <v/>
      </c>
      <c r="H104" s="180" t="str">
        <f>IF(H$3="","",IF(COUNTIFS(BD!$A$3:$A$5001,H$3,BD!$B$3:$B$5001,$A$101,BD!$F$3:$F$5001,"&lt;&gt;")=0,"",SUMIFS(BD!$F$3:$F$5001,BD!$A$3:$A$5001,H$3,BD!$B$3:$B$5001,$A$101)))</f>
        <v/>
      </c>
      <c r="I104" s="180" t="str">
        <f>IF(I$3="","",IF(COUNTIFS(BD!$A$3:$A$5001,I$3,BD!$B$3:$B$5001,$A$101,BD!$F$3:$F$5001,"&lt;&gt;")=0,"",SUMIFS(BD!$F$3:$F$5001,BD!$A$3:$A$5001,I$3,BD!$B$3:$B$5001,$A$101)))</f>
        <v/>
      </c>
      <c r="J104" s="180" t="str">
        <f>IF(J$3="","",IF(COUNTIFS(BD!$A$3:$A$5001,J$3,BD!$B$3:$B$5001,$A$101,BD!$F$3:$F$5001,"&lt;&gt;")=0,"",SUMIFS(BD!$F$3:$F$5001,BD!$A$3:$A$5001,J$3,BD!$B$3:$B$5001,$A$101)))</f>
        <v/>
      </c>
      <c r="K104" s="180" t="str">
        <f>IF(K$3="","",IF(COUNTIFS(BD!$A$3:$A$5001,K$3,BD!$B$3:$B$5001,$A$101,BD!$F$3:$F$5001,"&lt;&gt;")=0,"",SUMIFS(BD!$F$3:$F$5001,BD!$A$3:$A$5001,K$3,BD!$B$3:$B$5001,$A$101)))</f>
        <v/>
      </c>
      <c r="L104" s="180" t="str">
        <f>IF(L$3="","",IF(COUNTIFS(BD!$A$3:$A$5001,L$3,BD!$B$3:$B$5001,$A$101,BD!$F$3:$F$5001,"&lt;&gt;")=0,"",SUMIFS(BD!$F$3:$F$5001,BD!$A$3:$A$5001,L$3,BD!$B$3:$B$5001,$A$101)))</f>
        <v/>
      </c>
      <c r="M104" s="180" t="str">
        <f>IF(M$3="","",IF(COUNTIFS(BD!$A$3:$A$5001,M$3,BD!$B$3:$B$5001,$A$101,BD!$F$3:$F$5001,"&lt;&gt;")=0,"",SUMIFS(BD!$F$3:$F$5001,BD!$A$3:$A$5001,M$3,BD!$B$3:$B$5001,$A$101)))</f>
        <v/>
      </c>
      <c r="N104" s="180" t="str">
        <f>IF(N$3="","",IF(COUNTIFS(BD!$A$3:$A$5001,N$3,BD!$B$3:$B$5001,$A$101,BD!$F$3:$F$5001,"&lt;&gt;")=0,"",SUMIFS(BD!$F$3:$F$5001,BD!$A$3:$A$5001,N$3,BD!$B$3:$B$5001,$A$101)))</f>
        <v/>
      </c>
      <c r="O104" s="180" t="str">
        <f>IF(O$3="","",IF(COUNTIFS(BD!$A$3:$A$5001,O$3,BD!$B$3:$B$5001,$A$101,BD!$F$3:$F$5001,"&lt;&gt;")=0,"",SUMIFS(BD!$F$3:$F$5001,BD!$A$3:$A$5001,O$3,BD!$B$3:$B$5001,$A$101)))</f>
        <v/>
      </c>
      <c r="P104" s="180" t="str">
        <f>IF(P$3="","",IF(COUNTIFS(BD!$A$3:$A$5001,P$3,BD!$B$3:$B$5001,$A$101,BD!$F$3:$F$5001,"&lt;&gt;")=0,"",SUMIFS(BD!$F$3:$F$5001,BD!$A$3:$A$5001,P$3,BD!$B$3:$B$5001,$A$101)))</f>
        <v/>
      </c>
      <c r="Q104" s="180" t="str">
        <f>IF(Q$3="","",IF(COUNTIFS(BD!$A$3:$A$5001,Q$3,BD!$B$3:$B$5001,$A$101,BD!$F$3:$F$5001,"&lt;&gt;")=0,"",SUMIFS(BD!$F$3:$F$5001,BD!$A$3:$A$5001,Q$3,BD!$B$3:$B$5001,$A$101)))</f>
        <v/>
      </c>
      <c r="R104" s="180" t="str">
        <f>IF(R$3="","",IF(COUNTIFS(BD!$A$3:$A$5001,R$3,BD!$B$3:$B$5001,$A$101,BD!$F$3:$F$5001,"&lt;&gt;")=0,"",SUMIFS(BD!$F$3:$F$5001,BD!$A$3:$A$5001,R$3,BD!$B$3:$B$5001,$A$101)))</f>
        <v/>
      </c>
      <c r="S104" s="180" t="str">
        <f>IF(S$3="","",IF(COUNTIFS(BD!$A$3:$A$5001,S$3,BD!$B$3:$B$5001,$A$101,BD!$F$3:$F$5001,"&lt;&gt;")=0,"",SUMIFS(BD!$F$3:$F$5001,BD!$A$3:$A$5001,S$3,BD!$B$3:$B$5001,$A$101)))</f>
        <v/>
      </c>
      <c r="T104" s="180" t="str">
        <f>IF(T$3="","",IF(COUNTIFS(BD!$A$3:$A$5001,T$3,BD!$B$3:$B$5001,$A$101,BD!$F$3:$F$5001,"&lt;&gt;")=0,"",SUMIFS(BD!$F$3:$F$5001,BD!$A$3:$A$5001,T$3,BD!$B$3:$B$5001,$A$101)))</f>
        <v/>
      </c>
      <c r="U104" s="180" t="str">
        <f>IF(U$3="","",IF(COUNTIFS(BD!$A$3:$A$5001,U$3,BD!$B$3:$B$5001,$A$101,BD!$F$3:$F$5001,"&lt;&gt;")=0,"",SUMIFS(BD!$F$3:$F$5001,BD!$A$3:$A$5001,U$3,BD!$B$3:$B$5001,$A$101)))</f>
        <v/>
      </c>
      <c r="V104" s="180" t="str">
        <f>IF(V$3="","",IF(COUNTIFS(BD!$A$3:$A$5001,V$3,BD!$B$3:$B$5001,$A$101,BD!$F$3:$F$5001,"&lt;&gt;")=0,"",SUMIFS(BD!$F$3:$F$5001,BD!$A$3:$A$5001,V$3,BD!$B$3:$B$5001,$A$101)))</f>
        <v/>
      </c>
      <c r="W104" s="180" t="str">
        <f>IF(W$3="","",IF(COUNTIFS(BD!$A$3:$A$5001,W$3,BD!$B$3:$B$5001,$A$101,BD!$F$3:$F$5001,"&lt;&gt;")=0,"",SUMIFS(BD!$F$3:$F$5001,BD!$A$3:$A$5001,W$3,BD!$B$3:$B$5001,$A$101)))</f>
        <v/>
      </c>
      <c r="X104" s="180" t="str">
        <f>IF(X$3="","",IF(COUNTIFS(BD!$A$3:$A$5001,X$3,BD!$B$3:$B$5001,$A$101,BD!$F$3:$F$5001,"&lt;&gt;")=0,"",SUMIFS(BD!$F$3:$F$5001,BD!$A$3:$A$5001,X$3,BD!$B$3:$B$5001,$A$101)))</f>
        <v/>
      </c>
      <c r="Y104" s="180" t="str">
        <f>IF(Y$3="","",IF(COUNTIFS(BD!$A$3:$A$5001,Y$3,BD!$B$3:$B$5001,$A$101,BD!$F$3:$F$5001,"&lt;&gt;")=0,"",SUMIFS(BD!$F$3:$F$5001,BD!$A$3:$A$5001,Y$3,BD!$B$3:$B$5001,$A$101)))</f>
        <v/>
      </c>
      <c r="Z104" s="180" t="str">
        <f>IF(Z$3="","",IF(COUNTIFS(BD!$A$3:$A$5001,Z$3,BD!$B$3:$B$5001,$A$101,BD!$F$3:$F$5001,"&lt;&gt;")=0,"",SUMIFS(BD!$F$3:$F$5001,BD!$A$3:$A$5001,Z$3,BD!$B$3:$B$5001,$A$101)))</f>
        <v/>
      </c>
      <c r="AA104" s="180" t="str">
        <f>IF(AA$3="","",IF(COUNTIFS(BD!$A$3:$A$5001,AA$3,BD!$B$3:$B$5001,$A$101,BD!$F$3:$F$5001,"&lt;&gt;")=0,"",SUMIFS(BD!$F$3:$F$5001,BD!$A$3:$A$5001,AA$3,BD!$B$3:$B$5001,$A$101)))</f>
        <v/>
      </c>
      <c r="AB104" s="180" t="str">
        <f>IF(AB$3="","",IF(COUNTIFS(BD!$A$3:$A$5001,AB$3,BD!$B$3:$B$5001,$A$101,BD!$F$3:$F$5001,"&lt;&gt;")=0,"",SUMIFS(BD!$F$3:$F$5001,BD!$A$3:$A$5001,AB$3,BD!$B$3:$B$5001,$A$101)))</f>
        <v/>
      </c>
      <c r="AC104" s="180" t="str">
        <f>IF(AC$3="","",IF(COUNTIFS(BD!$A$3:$A$5001,AC$3,BD!$B$3:$B$5001,$A$101,BD!$F$3:$F$5001,"&lt;&gt;")=0,"",SUMIFS(BD!$F$3:$F$5001,BD!$A$3:$A$5001,AC$3,BD!$B$3:$B$5001,$A$101)))</f>
        <v/>
      </c>
      <c r="AD104" s="180" t="str">
        <f>IF(AD$3="","",IF(COUNTIFS(BD!$A$3:$A$5001,AD$3,BD!$B$3:$B$5001,$A$101,BD!$F$3:$F$5001,"&lt;&gt;")=0,"",SUMIFS(BD!$F$3:$F$5001,BD!$A$3:$A$5001,AD$3,BD!$B$3:$B$5001,$A$101)))</f>
        <v/>
      </c>
      <c r="AE104" s="180" t="str">
        <f>IF(AE$3="","",IF(COUNTIFS(BD!$A$3:$A$5001,AE$3,BD!$B$3:$B$5001,$A$101,BD!$F$3:$F$5001,"&lt;&gt;")=0,"",SUMIFS(BD!$F$3:$F$5001,BD!$A$3:$A$5001,AE$3,BD!$B$3:$B$5001,$A$101)))</f>
        <v/>
      </c>
      <c r="AF104" s="180" t="str">
        <f>IF(AF$3="","",IF(COUNTIFS(BD!$A$3:$A$5001,AF$3,BD!$B$3:$B$5001,$A$101,BD!$F$3:$F$5001,"&lt;&gt;")=0,"",SUMIFS(BD!$F$3:$F$5001,BD!$A$3:$A$5001,AF$3,BD!$B$3:$B$5001,$A$101)))</f>
        <v/>
      </c>
      <c r="AG104" s="180" t="str">
        <f>IF(AG$3="","",IF(COUNTIFS(BD!$A$3:$A$5001,AG$3,BD!$B$3:$B$5001,$A$101,BD!$F$3:$F$5001,"&lt;&gt;")=0,"",SUMIFS(BD!$F$3:$F$5001,BD!$A$3:$A$5001,AG$3,BD!$B$3:$B$5001,$A$101)))</f>
        <v/>
      </c>
      <c r="AH104" s="180" t="str">
        <f>IF(AH$3="","",IF(COUNTIFS(BD!$A$3:$A$5001,AH$3,BD!$B$3:$B$5001,$A$101,BD!$F$3:$F$5001,"&lt;&gt;")=0,"",SUMIFS(BD!$F$3:$F$5001,BD!$A$3:$A$5001,AH$3,BD!$B$3:$B$5001,$A$101)))</f>
        <v/>
      </c>
      <c r="AI104" s="180" t="str">
        <f>IF(AI$3="","",IF(COUNTIFS(BD!$A$3:$A$5001,AI$3,BD!$B$3:$B$5001,$A$101,BD!$F$3:$F$5001,"&lt;&gt;")=0,"",SUMIFS(BD!$F$3:$F$5001,BD!$A$3:$A$5001,AI$3,BD!$B$3:$B$5001,$A$101)))</f>
        <v/>
      </c>
      <c r="AJ104" s="181" t="str">
        <f>IF(AJ$3="","",IF(COUNTIFS(BD!$A$3:$A$5001,AJ$3,BD!$B$3:$B$5001,$A$101,BD!$F$3:$F$5001,"&lt;&gt;")=0,"",SUMIFS(BD!$F$3:$F$5001,BD!$A$3:$A$5001,AJ$3,BD!$B$3:$B$5001,$A$101)))</f>
        <v/>
      </c>
      <c r="AK104" s="182" t="str">
        <f>IF(COUNT(F104:AJ104)=0,"",SUM(F104:AJ104))</f>
        <v/>
      </c>
    </row>
    <row r="105" ht="15.75" customHeight="1" hidden="1">
      <c r="A105" s="254"/>
      <c r="B105" s="245"/>
      <c r="C105" s="183" t="inlineStr">
        <is>
          <t xml:space="preserve">Pallets Movimentados</t>
        </is>
      </c>
      <c r="D105" s="184" t="str">
        <f>IFERROR(1/(1/INDEX(BD!$Y$27:$AS$27,MATCH($A$101,BD!$Y$22:$AS$22,0))),"")</f>
        <v/>
      </c>
      <c r="E105" s="185"/>
      <c r="F105" s="186" t="str">
        <f>IF(F$3="","",IF(COUNTIFS(BD!$A$3:$A$5001,F$3,BD!$B$3:$B$5001,$A$101,BD!$G$3:$G$5001,"&lt;&gt;")=0,"",SUMIFS(BD!$G$3:$G$5001,BD!$A$3:$A$5001,F$3,BD!$B$3:$B$5001,$A$101)))</f>
        <v/>
      </c>
      <c r="G105" s="187" t="str">
        <f>IF(G$3="","",IF(COUNTIFS(BD!$A$3:$A$5001,G$3,BD!$B$3:$B$5001,$A$101,BD!$G$3:$G$5001,"&lt;&gt;")=0,"",SUMIFS(BD!$G$3:$G$5001,BD!$A$3:$A$5001,G$3,BD!$B$3:$B$5001,$A$101)))</f>
        <v/>
      </c>
      <c r="H105" s="187" t="str">
        <f>IF(H$3="","",IF(COUNTIFS(BD!$A$3:$A$5001,H$3,BD!$B$3:$B$5001,$A$101,BD!$G$3:$G$5001,"&lt;&gt;")=0,"",SUMIFS(BD!$G$3:$G$5001,BD!$A$3:$A$5001,H$3,BD!$B$3:$B$5001,$A$101)))</f>
        <v/>
      </c>
      <c r="I105" s="187" t="str">
        <f>IF(I$3="","",IF(COUNTIFS(BD!$A$3:$A$5001,I$3,BD!$B$3:$B$5001,$A$101,BD!$G$3:$G$5001,"&lt;&gt;")=0,"",SUMIFS(BD!$G$3:$G$5001,BD!$A$3:$A$5001,I$3,BD!$B$3:$B$5001,$A$101)))</f>
        <v/>
      </c>
      <c r="J105" s="187" t="str">
        <f>IF(J$3="","",IF(COUNTIFS(BD!$A$3:$A$5001,J$3,BD!$B$3:$B$5001,$A$101,BD!$G$3:$G$5001,"&lt;&gt;")=0,"",SUMIFS(BD!$G$3:$G$5001,BD!$A$3:$A$5001,J$3,BD!$B$3:$B$5001,$A$101)))</f>
        <v/>
      </c>
      <c r="K105" s="187" t="str">
        <f>IF(K$3="","",IF(COUNTIFS(BD!$A$3:$A$5001,K$3,BD!$B$3:$B$5001,$A$101,BD!$G$3:$G$5001,"&lt;&gt;")=0,"",SUMIFS(BD!$G$3:$G$5001,BD!$A$3:$A$5001,K$3,BD!$B$3:$B$5001,$A$101)))</f>
        <v/>
      </c>
      <c r="L105" s="187" t="str">
        <f>IF(L$3="","",IF(COUNTIFS(BD!$A$3:$A$5001,L$3,BD!$B$3:$B$5001,$A$101,BD!$G$3:$G$5001,"&lt;&gt;")=0,"",SUMIFS(BD!$G$3:$G$5001,BD!$A$3:$A$5001,L$3,BD!$B$3:$B$5001,$A$101)))</f>
        <v/>
      </c>
      <c r="M105" s="187" t="str">
        <f>IF(M$3="","",IF(COUNTIFS(BD!$A$3:$A$5001,M$3,BD!$B$3:$B$5001,$A$101,BD!$G$3:$G$5001,"&lt;&gt;")=0,"",SUMIFS(BD!$G$3:$G$5001,BD!$A$3:$A$5001,M$3,BD!$B$3:$B$5001,$A$101)))</f>
        <v/>
      </c>
      <c r="N105" s="187" t="str">
        <f>IF(N$3="","",IF(COUNTIFS(BD!$A$3:$A$5001,N$3,BD!$B$3:$B$5001,$A$101,BD!$G$3:$G$5001,"&lt;&gt;")=0,"",SUMIFS(BD!$G$3:$G$5001,BD!$A$3:$A$5001,N$3,BD!$B$3:$B$5001,$A$101)))</f>
        <v/>
      </c>
      <c r="O105" s="187" t="str">
        <f>IF(O$3="","",IF(COUNTIFS(BD!$A$3:$A$5001,O$3,BD!$B$3:$B$5001,$A$101,BD!$G$3:$G$5001,"&lt;&gt;")=0,"",SUMIFS(BD!$G$3:$G$5001,BD!$A$3:$A$5001,O$3,BD!$B$3:$B$5001,$A$101)))</f>
        <v/>
      </c>
      <c r="P105" s="187" t="str">
        <f>IF(P$3="","",IF(COUNTIFS(BD!$A$3:$A$5001,P$3,BD!$B$3:$B$5001,$A$101,BD!$G$3:$G$5001,"&lt;&gt;")=0,"",SUMIFS(BD!$G$3:$G$5001,BD!$A$3:$A$5001,P$3,BD!$B$3:$B$5001,$A$101)))</f>
        <v/>
      </c>
      <c r="Q105" s="187" t="str">
        <f>IF(Q$3="","",IF(COUNTIFS(BD!$A$3:$A$5001,Q$3,BD!$B$3:$B$5001,$A$101,BD!$G$3:$G$5001,"&lt;&gt;")=0,"",SUMIFS(BD!$G$3:$G$5001,BD!$A$3:$A$5001,Q$3,BD!$B$3:$B$5001,$A$101)))</f>
        <v/>
      </c>
      <c r="R105" s="187" t="str">
        <f>IF(R$3="","",IF(COUNTIFS(BD!$A$3:$A$5001,R$3,BD!$B$3:$B$5001,$A$101,BD!$G$3:$G$5001,"&lt;&gt;")=0,"",SUMIFS(BD!$G$3:$G$5001,BD!$A$3:$A$5001,R$3,BD!$B$3:$B$5001,$A$101)))</f>
        <v/>
      </c>
      <c r="S105" s="187" t="str">
        <f>IF(S$3="","",IF(COUNTIFS(BD!$A$3:$A$5001,S$3,BD!$B$3:$B$5001,$A$101,BD!$G$3:$G$5001,"&lt;&gt;")=0,"",SUMIFS(BD!$G$3:$G$5001,BD!$A$3:$A$5001,S$3,BD!$B$3:$B$5001,$A$101)))</f>
        <v/>
      </c>
      <c r="T105" s="187" t="str">
        <f>IF(T$3="","",IF(COUNTIFS(BD!$A$3:$A$5001,T$3,BD!$B$3:$B$5001,$A$101,BD!$G$3:$G$5001,"&lt;&gt;")=0,"",SUMIFS(BD!$G$3:$G$5001,BD!$A$3:$A$5001,T$3,BD!$B$3:$B$5001,$A$101)))</f>
        <v/>
      </c>
      <c r="U105" s="187" t="str">
        <f>IF(U$3="","",IF(COUNTIFS(BD!$A$3:$A$5001,U$3,BD!$B$3:$B$5001,$A$101,BD!$G$3:$G$5001,"&lt;&gt;")=0,"",SUMIFS(BD!$G$3:$G$5001,BD!$A$3:$A$5001,U$3,BD!$B$3:$B$5001,$A$101)))</f>
        <v/>
      </c>
      <c r="V105" s="187" t="str">
        <f>IF(V$3="","",IF(COUNTIFS(BD!$A$3:$A$5001,V$3,BD!$B$3:$B$5001,$A$101,BD!$G$3:$G$5001,"&lt;&gt;")=0,"",SUMIFS(BD!$G$3:$G$5001,BD!$A$3:$A$5001,V$3,BD!$B$3:$B$5001,$A$101)))</f>
        <v/>
      </c>
      <c r="W105" s="187" t="str">
        <f>IF(W$3="","",IF(COUNTIFS(BD!$A$3:$A$5001,W$3,BD!$B$3:$B$5001,$A$101,BD!$G$3:$G$5001,"&lt;&gt;")=0,"",SUMIFS(BD!$G$3:$G$5001,BD!$A$3:$A$5001,W$3,BD!$B$3:$B$5001,$A$101)))</f>
        <v/>
      </c>
      <c r="X105" s="187" t="str">
        <f>IF(X$3="","",IF(COUNTIFS(BD!$A$3:$A$5001,X$3,BD!$B$3:$B$5001,$A$101,BD!$G$3:$G$5001,"&lt;&gt;")=0,"",SUMIFS(BD!$G$3:$G$5001,BD!$A$3:$A$5001,X$3,BD!$B$3:$B$5001,$A$101)))</f>
        <v/>
      </c>
      <c r="Y105" s="187" t="str">
        <f>IF(Y$3="","",IF(COUNTIFS(BD!$A$3:$A$5001,Y$3,BD!$B$3:$B$5001,$A$101,BD!$G$3:$G$5001,"&lt;&gt;")=0,"",SUMIFS(BD!$G$3:$G$5001,BD!$A$3:$A$5001,Y$3,BD!$B$3:$B$5001,$A$101)))</f>
        <v/>
      </c>
      <c r="Z105" s="187" t="str">
        <f>IF(Z$3="","",IF(COUNTIFS(BD!$A$3:$A$5001,Z$3,BD!$B$3:$B$5001,$A$101,BD!$G$3:$G$5001,"&lt;&gt;")=0,"",SUMIFS(BD!$G$3:$G$5001,BD!$A$3:$A$5001,Z$3,BD!$B$3:$B$5001,$A$101)))</f>
        <v/>
      </c>
      <c r="AA105" s="187" t="str">
        <f>IF(AA$3="","",IF(COUNTIFS(BD!$A$3:$A$5001,AA$3,BD!$B$3:$B$5001,$A$101,BD!$G$3:$G$5001,"&lt;&gt;")=0,"",SUMIFS(BD!$G$3:$G$5001,BD!$A$3:$A$5001,AA$3,BD!$B$3:$B$5001,$A$101)))</f>
        <v/>
      </c>
      <c r="AB105" s="187" t="str">
        <f>IF(AB$3="","",IF(COUNTIFS(BD!$A$3:$A$5001,AB$3,BD!$B$3:$B$5001,$A$101,BD!$G$3:$G$5001,"&lt;&gt;")=0,"",SUMIFS(BD!$G$3:$G$5001,BD!$A$3:$A$5001,AB$3,BD!$B$3:$B$5001,$A$101)))</f>
        <v/>
      </c>
      <c r="AC105" s="187" t="str">
        <f>IF(AC$3="","",IF(COUNTIFS(BD!$A$3:$A$5001,AC$3,BD!$B$3:$B$5001,$A$101,BD!$G$3:$G$5001,"&lt;&gt;")=0,"",SUMIFS(BD!$G$3:$G$5001,BD!$A$3:$A$5001,AC$3,BD!$B$3:$B$5001,$A$101)))</f>
        <v/>
      </c>
      <c r="AD105" s="187" t="str">
        <f>IF(AD$3="","",IF(COUNTIFS(BD!$A$3:$A$5001,AD$3,BD!$B$3:$B$5001,$A$101,BD!$G$3:$G$5001,"&lt;&gt;")=0,"",SUMIFS(BD!$G$3:$G$5001,BD!$A$3:$A$5001,AD$3,BD!$B$3:$B$5001,$A$101)))</f>
        <v/>
      </c>
      <c r="AE105" s="187" t="str">
        <f>IF(AE$3="","",IF(COUNTIFS(BD!$A$3:$A$5001,AE$3,BD!$B$3:$B$5001,$A$101,BD!$G$3:$G$5001,"&lt;&gt;")=0,"",SUMIFS(BD!$G$3:$G$5001,BD!$A$3:$A$5001,AE$3,BD!$B$3:$B$5001,$A$101)))</f>
        <v/>
      </c>
      <c r="AF105" s="187" t="str">
        <f>IF(AF$3="","",IF(COUNTIFS(BD!$A$3:$A$5001,AF$3,BD!$B$3:$B$5001,$A$101,BD!$G$3:$G$5001,"&lt;&gt;")=0,"",SUMIFS(BD!$G$3:$G$5001,BD!$A$3:$A$5001,AF$3,BD!$B$3:$B$5001,$A$101)))</f>
        <v/>
      </c>
      <c r="AG105" s="187" t="str">
        <f>IF(AG$3="","",IF(COUNTIFS(BD!$A$3:$A$5001,AG$3,BD!$B$3:$B$5001,$A$101,BD!$G$3:$G$5001,"&lt;&gt;")=0,"",SUMIFS(BD!$G$3:$G$5001,BD!$A$3:$A$5001,AG$3,BD!$B$3:$B$5001,$A$101)))</f>
        <v/>
      </c>
      <c r="AH105" s="187" t="str">
        <f>IF(AH$3="","",IF(COUNTIFS(BD!$A$3:$A$5001,AH$3,BD!$B$3:$B$5001,$A$101,BD!$G$3:$G$5001,"&lt;&gt;")=0,"",SUMIFS(BD!$G$3:$G$5001,BD!$A$3:$A$5001,AH$3,BD!$B$3:$B$5001,$A$101)))</f>
        <v/>
      </c>
      <c r="AI105" s="187" t="str">
        <f>IF(AI$3="","",IF(COUNTIFS(BD!$A$3:$A$5001,AI$3,BD!$B$3:$B$5001,$A$101,BD!$G$3:$G$5001,"&lt;&gt;")=0,"",SUMIFS(BD!$G$3:$G$5001,BD!$A$3:$A$5001,AI$3,BD!$B$3:$B$5001,$A$101)))</f>
        <v/>
      </c>
      <c r="AJ105" s="188" t="str">
        <f>IF(AJ$3="","",IF(COUNTIFS(BD!$A$3:$A$5001,AJ$3,BD!$B$3:$B$5001,$A$101,BD!$G$3:$G$5001,"&lt;&gt;")=0,"",SUMIFS(BD!$G$3:$G$5001,BD!$A$3:$A$5001,AJ$3,BD!$B$3:$B$5001,$A$101)))</f>
        <v/>
      </c>
      <c r="AK105" s="189" t="str">
        <f>IF(COUNT(F105:AJ105)=0,"",SUM(F105:AJ105))</f>
        <v/>
      </c>
    </row>
    <row r="106" ht="15.75" customHeight="1" hidden="1">
      <c r="A106" s="254"/>
      <c r="B106" s="246"/>
      <c r="C106" s="190" t="inlineStr">
        <is>
          <t xml:space="preserve">Toneladas Movimentadas</t>
        </is>
      </c>
      <c r="D106" s="191" t="str">
        <f>IFERROR(1/(1/INDEX(BD!$Y$28:$AS$28,MATCH($A$101,BD!$Y$22:$AS$22,0))),"")</f>
        <v/>
      </c>
      <c r="E106" s="192"/>
      <c r="F106" s="193" t="str">
        <f>IF(F$3="","",IF(COUNTIFS(BD!$A$3:$A$5001,F$3,BD!$B$3:$B$5001,$A$101,BD!$H$3:$H$5001,"&lt;&gt;")=0,"",SUMIFS(BD!$H$3:$H$5001,BD!$A$3:$A$5001,F$3,BD!$B$3:$B$5001,$A$101)))</f>
        <v/>
      </c>
      <c r="G106" s="194" t="str">
        <f>IF(G$3="","",IF(COUNTIFS(BD!$A$3:$A$5001,G$3,BD!$B$3:$B$5001,$A$101,BD!$H$3:$H$5001,"&lt;&gt;")=0,"",SUMIFS(BD!$H$3:$H$5001,BD!$A$3:$A$5001,G$3,BD!$B$3:$B$5001,$A$101)))</f>
        <v/>
      </c>
      <c r="H106" s="194" t="str">
        <f>IF(H$3="","",IF(COUNTIFS(BD!$A$3:$A$5001,H$3,BD!$B$3:$B$5001,$A$101,BD!$H$3:$H$5001,"&lt;&gt;")=0,"",SUMIFS(BD!$H$3:$H$5001,BD!$A$3:$A$5001,H$3,BD!$B$3:$B$5001,$A$101)))</f>
        <v/>
      </c>
      <c r="I106" s="194" t="str">
        <f>IF(I$3="","",IF(COUNTIFS(BD!$A$3:$A$5001,I$3,BD!$B$3:$B$5001,$A$101,BD!$H$3:$H$5001,"&lt;&gt;")=0,"",SUMIFS(BD!$H$3:$H$5001,BD!$A$3:$A$5001,I$3,BD!$B$3:$B$5001,$A$101)))</f>
        <v/>
      </c>
      <c r="J106" s="194" t="str">
        <f>IF(J$3="","",IF(COUNTIFS(BD!$A$3:$A$5001,J$3,BD!$B$3:$B$5001,$A$101,BD!$H$3:$H$5001,"&lt;&gt;")=0,"",SUMIFS(BD!$H$3:$H$5001,BD!$A$3:$A$5001,J$3,BD!$B$3:$B$5001,$A$101)))</f>
        <v/>
      </c>
      <c r="K106" s="194" t="str">
        <f>IF(K$3="","",IF(COUNTIFS(BD!$A$3:$A$5001,K$3,BD!$B$3:$B$5001,$A$101,BD!$H$3:$H$5001,"&lt;&gt;")=0,"",SUMIFS(BD!$H$3:$H$5001,BD!$A$3:$A$5001,K$3,BD!$B$3:$B$5001,$A$101)))</f>
        <v/>
      </c>
      <c r="L106" s="194" t="str">
        <f>IF(L$3="","",IF(COUNTIFS(BD!$A$3:$A$5001,L$3,BD!$B$3:$B$5001,$A$101,BD!$H$3:$H$5001,"&lt;&gt;")=0,"",SUMIFS(BD!$H$3:$H$5001,BD!$A$3:$A$5001,L$3,BD!$B$3:$B$5001,$A$101)))</f>
        <v/>
      </c>
      <c r="M106" s="194" t="str">
        <f>IF(M$3="","",IF(COUNTIFS(BD!$A$3:$A$5001,M$3,BD!$B$3:$B$5001,$A$101,BD!$H$3:$H$5001,"&lt;&gt;")=0,"",SUMIFS(BD!$H$3:$H$5001,BD!$A$3:$A$5001,M$3,BD!$B$3:$B$5001,$A$101)))</f>
        <v/>
      </c>
      <c r="N106" s="194" t="str">
        <f>IF(N$3="","",IF(COUNTIFS(BD!$A$3:$A$5001,N$3,BD!$B$3:$B$5001,$A$101,BD!$H$3:$H$5001,"&lt;&gt;")=0,"",SUMIFS(BD!$H$3:$H$5001,BD!$A$3:$A$5001,N$3,BD!$B$3:$B$5001,$A$101)))</f>
        <v/>
      </c>
      <c r="O106" s="194" t="str">
        <f>IF(O$3="","",IF(COUNTIFS(BD!$A$3:$A$5001,O$3,BD!$B$3:$B$5001,$A$101,BD!$H$3:$H$5001,"&lt;&gt;")=0,"",SUMIFS(BD!$H$3:$H$5001,BD!$A$3:$A$5001,O$3,BD!$B$3:$B$5001,$A$101)))</f>
        <v/>
      </c>
      <c r="P106" s="194" t="str">
        <f>IF(P$3="","",IF(COUNTIFS(BD!$A$3:$A$5001,P$3,BD!$B$3:$B$5001,$A$101,BD!$H$3:$H$5001,"&lt;&gt;")=0,"",SUMIFS(BD!$H$3:$H$5001,BD!$A$3:$A$5001,P$3,BD!$B$3:$B$5001,$A$101)))</f>
        <v/>
      </c>
      <c r="Q106" s="194" t="str">
        <f>IF(Q$3="","",IF(COUNTIFS(BD!$A$3:$A$5001,Q$3,BD!$B$3:$B$5001,$A$101,BD!$H$3:$H$5001,"&lt;&gt;")=0,"",SUMIFS(BD!$H$3:$H$5001,BD!$A$3:$A$5001,Q$3,BD!$B$3:$B$5001,$A$101)))</f>
        <v/>
      </c>
      <c r="R106" s="194" t="str">
        <f>IF(R$3="","",IF(COUNTIFS(BD!$A$3:$A$5001,R$3,BD!$B$3:$B$5001,$A$101,BD!$H$3:$H$5001,"&lt;&gt;")=0,"",SUMIFS(BD!$H$3:$H$5001,BD!$A$3:$A$5001,R$3,BD!$B$3:$B$5001,$A$101)))</f>
        <v/>
      </c>
      <c r="S106" s="194" t="str">
        <f>IF(S$3="","",IF(COUNTIFS(BD!$A$3:$A$5001,S$3,BD!$B$3:$B$5001,$A$101,BD!$H$3:$H$5001,"&lt;&gt;")=0,"",SUMIFS(BD!$H$3:$H$5001,BD!$A$3:$A$5001,S$3,BD!$B$3:$B$5001,$A$101)))</f>
        <v/>
      </c>
      <c r="T106" s="194" t="str">
        <f>IF(T$3="","",IF(COUNTIFS(BD!$A$3:$A$5001,T$3,BD!$B$3:$B$5001,$A$101,BD!$H$3:$H$5001,"&lt;&gt;")=0,"",SUMIFS(BD!$H$3:$H$5001,BD!$A$3:$A$5001,T$3,BD!$B$3:$B$5001,$A$101)))</f>
        <v/>
      </c>
      <c r="U106" s="194" t="str">
        <f>IF(U$3="","",IF(COUNTIFS(BD!$A$3:$A$5001,U$3,BD!$B$3:$B$5001,$A$101,BD!$H$3:$H$5001,"&lt;&gt;")=0,"",SUMIFS(BD!$H$3:$H$5001,BD!$A$3:$A$5001,U$3,BD!$B$3:$B$5001,$A$101)))</f>
        <v/>
      </c>
      <c r="V106" s="194" t="str">
        <f>IF(V$3="","",IF(COUNTIFS(BD!$A$3:$A$5001,V$3,BD!$B$3:$B$5001,$A$101,BD!$H$3:$H$5001,"&lt;&gt;")=0,"",SUMIFS(BD!$H$3:$H$5001,BD!$A$3:$A$5001,V$3,BD!$B$3:$B$5001,$A$101)))</f>
        <v/>
      </c>
      <c r="W106" s="194" t="str">
        <f>IF(W$3="","",IF(COUNTIFS(BD!$A$3:$A$5001,W$3,BD!$B$3:$B$5001,$A$101,BD!$H$3:$H$5001,"&lt;&gt;")=0,"",SUMIFS(BD!$H$3:$H$5001,BD!$A$3:$A$5001,W$3,BD!$B$3:$B$5001,$A$101)))</f>
        <v/>
      </c>
      <c r="X106" s="194" t="str">
        <f>IF(X$3="","",IF(COUNTIFS(BD!$A$3:$A$5001,X$3,BD!$B$3:$B$5001,$A$101,BD!$H$3:$H$5001,"&lt;&gt;")=0,"",SUMIFS(BD!$H$3:$H$5001,BD!$A$3:$A$5001,X$3,BD!$B$3:$B$5001,$A$101)))</f>
        <v/>
      </c>
      <c r="Y106" s="194" t="str">
        <f>IF(Y$3="","",IF(COUNTIFS(BD!$A$3:$A$5001,Y$3,BD!$B$3:$B$5001,$A$101,BD!$H$3:$H$5001,"&lt;&gt;")=0,"",SUMIFS(BD!$H$3:$H$5001,BD!$A$3:$A$5001,Y$3,BD!$B$3:$B$5001,$A$101)))</f>
        <v/>
      </c>
      <c r="Z106" s="194" t="str">
        <f>IF(Z$3="","",IF(COUNTIFS(BD!$A$3:$A$5001,Z$3,BD!$B$3:$B$5001,$A$101,BD!$H$3:$H$5001,"&lt;&gt;")=0,"",SUMIFS(BD!$H$3:$H$5001,BD!$A$3:$A$5001,Z$3,BD!$B$3:$B$5001,$A$101)))</f>
        <v/>
      </c>
      <c r="AA106" s="194" t="str">
        <f>IF(AA$3="","",IF(COUNTIFS(BD!$A$3:$A$5001,AA$3,BD!$B$3:$B$5001,$A$101,BD!$H$3:$H$5001,"&lt;&gt;")=0,"",SUMIFS(BD!$H$3:$H$5001,BD!$A$3:$A$5001,AA$3,BD!$B$3:$B$5001,$A$101)))</f>
        <v/>
      </c>
      <c r="AB106" s="194" t="str">
        <f>IF(AB$3="","",IF(COUNTIFS(BD!$A$3:$A$5001,AB$3,BD!$B$3:$B$5001,$A$101,BD!$H$3:$H$5001,"&lt;&gt;")=0,"",SUMIFS(BD!$H$3:$H$5001,BD!$A$3:$A$5001,AB$3,BD!$B$3:$B$5001,$A$101)))</f>
        <v/>
      </c>
      <c r="AC106" s="194" t="str">
        <f>IF(AC$3="","",IF(COUNTIFS(BD!$A$3:$A$5001,AC$3,BD!$B$3:$B$5001,$A$101,BD!$H$3:$H$5001,"&lt;&gt;")=0,"",SUMIFS(BD!$H$3:$H$5001,BD!$A$3:$A$5001,AC$3,BD!$B$3:$B$5001,$A$101)))</f>
        <v/>
      </c>
      <c r="AD106" s="194" t="str">
        <f>IF(AD$3="","",IF(COUNTIFS(BD!$A$3:$A$5001,AD$3,BD!$B$3:$B$5001,$A$101,BD!$H$3:$H$5001,"&lt;&gt;")=0,"",SUMIFS(BD!$H$3:$H$5001,BD!$A$3:$A$5001,AD$3,BD!$B$3:$B$5001,$A$101)))</f>
        <v/>
      </c>
      <c r="AE106" s="194" t="str">
        <f>IF(AE$3="","",IF(COUNTIFS(BD!$A$3:$A$5001,AE$3,BD!$B$3:$B$5001,$A$101,BD!$H$3:$H$5001,"&lt;&gt;")=0,"",SUMIFS(BD!$H$3:$H$5001,BD!$A$3:$A$5001,AE$3,BD!$B$3:$B$5001,$A$101)))</f>
        <v/>
      </c>
      <c r="AF106" s="194" t="str">
        <f>IF(AF$3="","",IF(COUNTIFS(BD!$A$3:$A$5001,AF$3,BD!$B$3:$B$5001,$A$101,BD!$H$3:$H$5001,"&lt;&gt;")=0,"",SUMIFS(BD!$H$3:$H$5001,BD!$A$3:$A$5001,AF$3,BD!$B$3:$B$5001,$A$101)))</f>
        <v/>
      </c>
      <c r="AG106" s="194" t="str">
        <f>IF(AG$3="","",IF(COUNTIFS(BD!$A$3:$A$5001,AG$3,BD!$B$3:$B$5001,$A$101,BD!$H$3:$H$5001,"&lt;&gt;")=0,"",SUMIFS(BD!$H$3:$H$5001,BD!$A$3:$A$5001,AG$3,BD!$B$3:$B$5001,$A$101)))</f>
        <v/>
      </c>
      <c r="AH106" s="194" t="str">
        <f>IF(AH$3="","",IF(COUNTIFS(BD!$A$3:$A$5001,AH$3,BD!$B$3:$B$5001,$A$101,BD!$H$3:$H$5001,"&lt;&gt;")=0,"",SUMIFS(BD!$H$3:$H$5001,BD!$A$3:$A$5001,AH$3,BD!$B$3:$B$5001,$A$101)))</f>
        <v/>
      </c>
      <c r="AI106" s="194" t="str">
        <f>IF(AI$3="","",IF(COUNTIFS(BD!$A$3:$A$5001,AI$3,BD!$B$3:$B$5001,$A$101,BD!$H$3:$H$5001,"&lt;&gt;")=0,"",SUMIFS(BD!$H$3:$H$5001,BD!$A$3:$A$5001,AI$3,BD!$B$3:$B$5001,$A$101)))</f>
        <v/>
      </c>
      <c r="AJ106" s="195" t="str">
        <f>IF(AJ$3="","",IF(COUNTIFS(BD!$A$3:$A$5001,AJ$3,BD!$B$3:$B$5001,$A$101,BD!$H$3:$H$5001,"&lt;&gt;")=0,"",SUMIFS(BD!$H$3:$H$5001,BD!$A$3:$A$5001,AJ$3,BD!$B$3:$B$5001,$A$101)))</f>
        <v/>
      </c>
      <c r="AK106" s="196" t="str">
        <f>IF(COUNT(F106:AJ106)=0,"",SUM(F106:AJ106))</f>
        <v/>
      </c>
    </row>
    <row r="107" ht="15.75" customHeight="1" hidden="1">
      <c r="A107" s="254"/>
      <c r="B107" s="247" t="inlineStr">
        <is>
          <t xml:space="preserve">NC</t>
        </is>
      </c>
      <c r="C107" s="197" t="inlineStr">
        <is>
          <t xml:space="preserve">Incidentes</t>
        </is>
      </c>
      <c r="D107" s="198" t="str">
        <f>IFERROR(1/(1/INDEX(BD!$Y$29:$AS$29,MATCH($A$101,BD!$Y$22:$AS$22,0))),"")</f>
        <v/>
      </c>
      <c r="E107" s="199"/>
      <c r="F107" s="200" t="str">
        <f>IF(F$3="","",IF(COUNTIFS(BD!$A$3:$A$5001,F$3,BD!$B$3:$B$5001,$A$101,BD!$I$3:$I$5001,"&lt;&gt;")=0,"",SUMIFS(BD!$I$3:$I$5001,BD!$A$3:$A$5001,F$3,BD!$B$3:$B$5001,$A$101)))</f>
        <v/>
      </c>
      <c r="G107" s="201" t="str">
        <f>IF(G$3="","",IF(COUNTIFS(BD!$A$3:$A$5001,G$3,BD!$B$3:$B$5001,$A$101,BD!$I$3:$I$5001,"&lt;&gt;")=0,"",SUMIFS(BD!$I$3:$I$5001,BD!$A$3:$A$5001,G$3,BD!$B$3:$B$5001,$A$101)))</f>
        <v/>
      </c>
      <c r="H107" s="201" t="str">
        <f>IF(H$3="","",IF(COUNTIFS(BD!$A$3:$A$5001,H$3,BD!$B$3:$B$5001,$A$101,BD!$I$3:$I$5001,"&lt;&gt;")=0,"",SUMIFS(BD!$I$3:$I$5001,BD!$A$3:$A$5001,H$3,BD!$B$3:$B$5001,$A$101)))</f>
        <v/>
      </c>
      <c r="I107" s="201" t="str">
        <f>IF(I$3="","",IF(COUNTIFS(BD!$A$3:$A$5001,I$3,BD!$B$3:$B$5001,$A$101,BD!$I$3:$I$5001,"&lt;&gt;")=0,"",SUMIFS(BD!$I$3:$I$5001,BD!$A$3:$A$5001,I$3,BD!$B$3:$B$5001,$A$101)))</f>
        <v/>
      </c>
      <c r="J107" s="201" t="str">
        <f>IF(J$3="","",IF(COUNTIFS(BD!$A$3:$A$5001,J$3,BD!$B$3:$B$5001,$A$101,BD!$I$3:$I$5001,"&lt;&gt;")=0,"",SUMIFS(BD!$I$3:$I$5001,BD!$A$3:$A$5001,J$3,BD!$B$3:$B$5001,$A$101)))</f>
        <v/>
      </c>
      <c r="K107" s="201" t="str">
        <f>IF(K$3="","",IF(COUNTIFS(BD!$A$3:$A$5001,K$3,BD!$B$3:$B$5001,$A$101,BD!$I$3:$I$5001,"&lt;&gt;")=0,"",SUMIFS(BD!$I$3:$I$5001,BD!$A$3:$A$5001,K$3,BD!$B$3:$B$5001,$A$101)))</f>
        <v/>
      </c>
      <c r="L107" s="201" t="str">
        <f>IF(L$3="","",IF(COUNTIFS(BD!$A$3:$A$5001,L$3,BD!$B$3:$B$5001,$A$101,BD!$I$3:$I$5001,"&lt;&gt;")=0,"",SUMIFS(BD!$I$3:$I$5001,BD!$A$3:$A$5001,L$3,BD!$B$3:$B$5001,$A$101)))</f>
        <v/>
      </c>
      <c r="M107" s="201" t="str">
        <f>IF(M$3="","",IF(COUNTIFS(BD!$A$3:$A$5001,M$3,BD!$B$3:$B$5001,$A$101,BD!$I$3:$I$5001,"&lt;&gt;")=0,"",SUMIFS(BD!$I$3:$I$5001,BD!$A$3:$A$5001,M$3,BD!$B$3:$B$5001,$A$101)))</f>
        <v/>
      </c>
      <c r="N107" s="201" t="str">
        <f>IF(N$3="","",IF(COUNTIFS(BD!$A$3:$A$5001,N$3,BD!$B$3:$B$5001,$A$101,BD!$I$3:$I$5001,"&lt;&gt;")=0,"",SUMIFS(BD!$I$3:$I$5001,BD!$A$3:$A$5001,N$3,BD!$B$3:$B$5001,$A$101)))</f>
        <v/>
      </c>
      <c r="O107" s="201" t="str">
        <f>IF(O$3="","",IF(COUNTIFS(BD!$A$3:$A$5001,O$3,BD!$B$3:$B$5001,$A$101,BD!$I$3:$I$5001,"&lt;&gt;")=0,"",SUMIFS(BD!$I$3:$I$5001,BD!$A$3:$A$5001,O$3,BD!$B$3:$B$5001,$A$101)))</f>
        <v/>
      </c>
      <c r="P107" s="201" t="str">
        <f>IF(P$3="","",IF(COUNTIFS(BD!$A$3:$A$5001,P$3,BD!$B$3:$B$5001,$A$101,BD!$I$3:$I$5001,"&lt;&gt;")=0,"",SUMIFS(BD!$I$3:$I$5001,BD!$A$3:$A$5001,P$3,BD!$B$3:$B$5001,$A$101)))</f>
        <v/>
      </c>
      <c r="Q107" s="201" t="str">
        <f>IF(Q$3="","",IF(COUNTIFS(BD!$A$3:$A$5001,Q$3,BD!$B$3:$B$5001,$A$101,BD!$I$3:$I$5001,"&lt;&gt;")=0,"",SUMIFS(BD!$I$3:$I$5001,BD!$A$3:$A$5001,Q$3,BD!$B$3:$B$5001,$A$101)))</f>
        <v/>
      </c>
      <c r="R107" s="201" t="str">
        <f>IF(R$3="","",IF(COUNTIFS(BD!$A$3:$A$5001,R$3,BD!$B$3:$B$5001,$A$101,BD!$I$3:$I$5001,"&lt;&gt;")=0,"",SUMIFS(BD!$I$3:$I$5001,BD!$A$3:$A$5001,R$3,BD!$B$3:$B$5001,$A$101)))</f>
        <v/>
      </c>
      <c r="S107" s="201" t="str">
        <f>IF(S$3="","",IF(COUNTIFS(BD!$A$3:$A$5001,S$3,BD!$B$3:$B$5001,$A$101,BD!$I$3:$I$5001,"&lt;&gt;")=0,"",SUMIFS(BD!$I$3:$I$5001,BD!$A$3:$A$5001,S$3,BD!$B$3:$B$5001,$A$101)))</f>
        <v/>
      </c>
      <c r="T107" s="201" t="str">
        <f>IF(T$3="","",IF(COUNTIFS(BD!$A$3:$A$5001,T$3,BD!$B$3:$B$5001,$A$101,BD!$I$3:$I$5001,"&lt;&gt;")=0,"",SUMIFS(BD!$I$3:$I$5001,BD!$A$3:$A$5001,T$3,BD!$B$3:$B$5001,$A$101)))</f>
        <v/>
      </c>
      <c r="U107" s="201" t="str">
        <f>IF(U$3="","",IF(COUNTIFS(BD!$A$3:$A$5001,U$3,BD!$B$3:$B$5001,$A$101,BD!$I$3:$I$5001,"&lt;&gt;")=0,"",SUMIFS(BD!$I$3:$I$5001,BD!$A$3:$A$5001,U$3,BD!$B$3:$B$5001,$A$101)))</f>
        <v/>
      </c>
      <c r="V107" s="201" t="str">
        <f>IF(V$3="","",IF(COUNTIFS(BD!$A$3:$A$5001,V$3,BD!$B$3:$B$5001,$A$101,BD!$I$3:$I$5001,"&lt;&gt;")=0,"",SUMIFS(BD!$I$3:$I$5001,BD!$A$3:$A$5001,V$3,BD!$B$3:$B$5001,$A$101)))</f>
        <v/>
      </c>
      <c r="W107" s="201" t="str">
        <f>IF(W$3="","",IF(COUNTIFS(BD!$A$3:$A$5001,W$3,BD!$B$3:$B$5001,$A$101,BD!$I$3:$I$5001,"&lt;&gt;")=0,"",SUMIFS(BD!$I$3:$I$5001,BD!$A$3:$A$5001,W$3,BD!$B$3:$B$5001,$A$101)))</f>
        <v/>
      </c>
      <c r="X107" s="201" t="str">
        <f>IF(X$3="","",IF(COUNTIFS(BD!$A$3:$A$5001,X$3,BD!$B$3:$B$5001,$A$101,BD!$I$3:$I$5001,"&lt;&gt;")=0,"",SUMIFS(BD!$I$3:$I$5001,BD!$A$3:$A$5001,X$3,BD!$B$3:$B$5001,$A$101)))</f>
        <v/>
      </c>
      <c r="Y107" s="201" t="str">
        <f>IF(Y$3="","",IF(COUNTIFS(BD!$A$3:$A$5001,Y$3,BD!$B$3:$B$5001,$A$101,BD!$I$3:$I$5001,"&lt;&gt;")=0,"",SUMIFS(BD!$I$3:$I$5001,BD!$A$3:$A$5001,Y$3,BD!$B$3:$B$5001,$A$101)))</f>
        <v/>
      </c>
      <c r="Z107" s="201" t="str">
        <f>IF(Z$3="","",IF(COUNTIFS(BD!$A$3:$A$5001,Z$3,BD!$B$3:$B$5001,$A$101,BD!$I$3:$I$5001,"&lt;&gt;")=0,"",SUMIFS(BD!$I$3:$I$5001,BD!$A$3:$A$5001,Z$3,BD!$B$3:$B$5001,$A$101)))</f>
        <v/>
      </c>
      <c r="AA107" s="201" t="str">
        <f>IF(AA$3="","",IF(COUNTIFS(BD!$A$3:$A$5001,AA$3,BD!$B$3:$B$5001,$A$101,BD!$I$3:$I$5001,"&lt;&gt;")=0,"",SUMIFS(BD!$I$3:$I$5001,BD!$A$3:$A$5001,AA$3,BD!$B$3:$B$5001,$A$101)))</f>
        <v/>
      </c>
      <c r="AB107" s="201" t="str">
        <f>IF(AB$3="","",IF(COUNTIFS(BD!$A$3:$A$5001,AB$3,BD!$B$3:$B$5001,$A$101,BD!$I$3:$I$5001,"&lt;&gt;")=0,"",SUMIFS(BD!$I$3:$I$5001,BD!$A$3:$A$5001,AB$3,BD!$B$3:$B$5001,$A$101)))</f>
        <v/>
      </c>
      <c r="AC107" s="201" t="str">
        <f>IF(AC$3="","",IF(COUNTIFS(BD!$A$3:$A$5001,AC$3,BD!$B$3:$B$5001,$A$101,BD!$I$3:$I$5001,"&lt;&gt;")=0,"",SUMIFS(BD!$I$3:$I$5001,BD!$A$3:$A$5001,AC$3,BD!$B$3:$B$5001,$A$101)))</f>
        <v/>
      </c>
      <c r="AD107" s="201" t="str">
        <f>IF(AD$3="","",IF(COUNTIFS(BD!$A$3:$A$5001,AD$3,BD!$B$3:$B$5001,$A$101,BD!$I$3:$I$5001,"&lt;&gt;")=0,"",SUMIFS(BD!$I$3:$I$5001,BD!$A$3:$A$5001,AD$3,BD!$B$3:$B$5001,$A$101)))</f>
        <v/>
      </c>
      <c r="AE107" s="201" t="str">
        <f>IF(AE$3="","",IF(COUNTIFS(BD!$A$3:$A$5001,AE$3,BD!$B$3:$B$5001,$A$101,BD!$I$3:$I$5001,"&lt;&gt;")=0,"",SUMIFS(BD!$I$3:$I$5001,BD!$A$3:$A$5001,AE$3,BD!$B$3:$B$5001,$A$101)))</f>
        <v/>
      </c>
      <c r="AF107" s="201" t="str">
        <f>IF(AF$3="","",IF(COUNTIFS(BD!$A$3:$A$5001,AF$3,BD!$B$3:$B$5001,$A$101,BD!$I$3:$I$5001,"&lt;&gt;")=0,"",SUMIFS(BD!$I$3:$I$5001,BD!$A$3:$A$5001,AF$3,BD!$B$3:$B$5001,$A$101)))</f>
        <v/>
      </c>
      <c r="AG107" s="201" t="str">
        <f>IF(AG$3="","",IF(COUNTIFS(BD!$A$3:$A$5001,AG$3,BD!$B$3:$B$5001,$A$101,BD!$I$3:$I$5001,"&lt;&gt;")=0,"",SUMIFS(BD!$I$3:$I$5001,BD!$A$3:$A$5001,AG$3,BD!$B$3:$B$5001,$A$101)))</f>
        <v/>
      </c>
      <c r="AH107" s="201" t="str">
        <f>IF(AH$3="","",IF(COUNTIFS(BD!$A$3:$A$5001,AH$3,BD!$B$3:$B$5001,$A$101,BD!$I$3:$I$5001,"&lt;&gt;")=0,"",SUMIFS(BD!$I$3:$I$5001,BD!$A$3:$A$5001,AH$3,BD!$B$3:$B$5001,$A$101)))</f>
        <v/>
      </c>
      <c r="AI107" s="201" t="str">
        <f>IF(AI$3="","",IF(COUNTIFS(BD!$A$3:$A$5001,AI$3,BD!$B$3:$B$5001,$A$101,BD!$I$3:$I$5001,"&lt;&gt;")=0,"",SUMIFS(BD!$I$3:$I$5001,BD!$A$3:$A$5001,AI$3,BD!$B$3:$B$5001,$A$101)))</f>
        <v/>
      </c>
      <c r="AJ107" s="202" t="str">
        <f>IF(AJ$3="","",IF(COUNTIFS(BD!$A$3:$A$5001,AJ$3,BD!$B$3:$B$5001,$A$101,BD!$I$3:$I$5001,"&lt;&gt;")=0,"",SUMIFS(BD!$I$3:$I$5001,BD!$A$3:$A$5001,AJ$3,BD!$B$3:$B$5001,$A$101)))</f>
        <v/>
      </c>
      <c r="AK107" s="203" t="str">
        <f>IF(COUNT(F107:AJ107)=0,"",SUM(F107:AJ107))</f>
        <v/>
      </c>
    </row>
    <row r="108" ht="15.75" customHeight="1" hidden="1">
      <c r="A108" s="254"/>
      <c r="B108" s="248"/>
      <c r="C108" s="204" t="inlineStr">
        <is>
          <t xml:space="preserve">No show</t>
        </is>
      </c>
      <c r="D108" s="205" t="str">
        <f>IFERROR(1/(1/INDEX(BD!$Y$30:$AS$30,MATCH($A$101,BD!$Y$22:$AS$22,0))),"")</f>
        <v/>
      </c>
      <c r="E108" s="206"/>
      <c r="F108" s="207" t="str">
        <f>IF(F$3="","",IF(COUNTIFS(BD!$A$3:$A$5001,F$3,BD!$B$3:$B$5001,$A$101,BD!$J$3:$J$5001,"&lt;&gt;")=0,"",SUMIFS(BD!$J$3:$J$5001,BD!$A$3:$A$5001,F$3,BD!$B$3:$B$5001,$A$101)))</f>
        <v/>
      </c>
      <c r="G108" s="208" t="str">
        <f>IF(G$3="","",IF(COUNTIFS(BD!$A$3:$A$5001,G$3,BD!$B$3:$B$5001,$A$101,BD!$J$3:$J$5001,"&lt;&gt;")=0,"",SUMIFS(BD!$J$3:$J$5001,BD!$A$3:$A$5001,G$3,BD!$B$3:$B$5001,$A$101)))</f>
        <v/>
      </c>
      <c r="H108" s="208" t="str">
        <f>IF(H$3="","",IF(COUNTIFS(BD!$A$3:$A$5001,H$3,BD!$B$3:$B$5001,$A$101,BD!$J$3:$J$5001,"&lt;&gt;")=0,"",SUMIFS(BD!$J$3:$J$5001,BD!$A$3:$A$5001,H$3,BD!$B$3:$B$5001,$A$101)))</f>
        <v/>
      </c>
      <c r="I108" s="208" t="str">
        <f>IF(I$3="","",IF(COUNTIFS(BD!$A$3:$A$5001,I$3,BD!$B$3:$B$5001,$A$101,BD!$J$3:$J$5001,"&lt;&gt;")=0,"",SUMIFS(BD!$J$3:$J$5001,BD!$A$3:$A$5001,I$3,BD!$B$3:$B$5001,$A$101)))</f>
        <v/>
      </c>
      <c r="J108" s="208" t="str">
        <f>IF(J$3="","",IF(COUNTIFS(BD!$A$3:$A$5001,J$3,BD!$B$3:$B$5001,$A$101,BD!$J$3:$J$5001,"&lt;&gt;")=0,"",SUMIFS(BD!$J$3:$J$5001,BD!$A$3:$A$5001,J$3,BD!$B$3:$B$5001,$A$101)))</f>
        <v/>
      </c>
      <c r="K108" s="208" t="str">
        <f>IF(K$3="","",IF(COUNTIFS(BD!$A$3:$A$5001,K$3,BD!$B$3:$B$5001,$A$101,BD!$J$3:$J$5001,"&lt;&gt;")=0,"",SUMIFS(BD!$J$3:$J$5001,BD!$A$3:$A$5001,K$3,BD!$B$3:$B$5001,$A$101)))</f>
        <v/>
      </c>
      <c r="L108" s="208" t="str">
        <f>IF(L$3="","",IF(COUNTIFS(BD!$A$3:$A$5001,L$3,BD!$B$3:$B$5001,$A$101,BD!$J$3:$J$5001,"&lt;&gt;")=0,"",SUMIFS(BD!$J$3:$J$5001,BD!$A$3:$A$5001,L$3,BD!$B$3:$B$5001,$A$101)))</f>
        <v/>
      </c>
      <c r="M108" s="208" t="str">
        <f>IF(M$3="","",IF(COUNTIFS(BD!$A$3:$A$5001,M$3,BD!$B$3:$B$5001,$A$101,BD!$J$3:$J$5001,"&lt;&gt;")=0,"",SUMIFS(BD!$J$3:$J$5001,BD!$A$3:$A$5001,M$3,BD!$B$3:$B$5001,$A$101)))</f>
        <v/>
      </c>
      <c r="N108" s="208" t="str">
        <f>IF(N$3="","",IF(COUNTIFS(BD!$A$3:$A$5001,N$3,BD!$B$3:$B$5001,$A$101,BD!$J$3:$J$5001,"&lt;&gt;")=0,"",SUMIFS(BD!$J$3:$J$5001,BD!$A$3:$A$5001,N$3,BD!$B$3:$B$5001,$A$101)))</f>
        <v/>
      </c>
      <c r="O108" s="208" t="str">
        <f>IF(O$3="","",IF(COUNTIFS(BD!$A$3:$A$5001,O$3,BD!$B$3:$B$5001,$A$101,BD!$J$3:$J$5001,"&lt;&gt;")=0,"",SUMIFS(BD!$J$3:$J$5001,BD!$A$3:$A$5001,O$3,BD!$B$3:$B$5001,$A$101)))</f>
        <v/>
      </c>
      <c r="P108" s="208" t="str">
        <f>IF(P$3="","",IF(COUNTIFS(BD!$A$3:$A$5001,P$3,BD!$B$3:$B$5001,$A$101,BD!$J$3:$J$5001,"&lt;&gt;")=0,"",SUMIFS(BD!$J$3:$J$5001,BD!$A$3:$A$5001,P$3,BD!$B$3:$B$5001,$A$101)))</f>
        <v/>
      </c>
      <c r="Q108" s="208" t="str">
        <f>IF(Q$3="","",IF(COUNTIFS(BD!$A$3:$A$5001,Q$3,BD!$B$3:$B$5001,$A$101,BD!$J$3:$J$5001,"&lt;&gt;")=0,"",SUMIFS(BD!$J$3:$J$5001,BD!$A$3:$A$5001,Q$3,BD!$B$3:$B$5001,$A$101)))</f>
        <v/>
      </c>
      <c r="R108" s="208" t="str">
        <f>IF(R$3="","",IF(COUNTIFS(BD!$A$3:$A$5001,R$3,BD!$B$3:$B$5001,$A$101,BD!$J$3:$J$5001,"&lt;&gt;")=0,"",SUMIFS(BD!$J$3:$J$5001,BD!$A$3:$A$5001,R$3,BD!$B$3:$B$5001,$A$101)))</f>
        <v/>
      </c>
      <c r="S108" s="208" t="str">
        <f>IF(S$3="","",IF(COUNTIFS(BD!$A$3:$A$5001,S$3,BD!$B$3:$B$5001,$A$101,BD!$J$3:$J$5001,"&lt;&gt;")=0,"",SUMIFS(BD!$J$3:$J$5001,BD!$A$3:$A$5001,S$3,BD!$B$3:$B$5001,$A$101)))</f>
        <v/>
      </c>
      <c r="T108" s="208" t="str">
        <f>IF(T$3="","",IF(COUNTIFS(BD!$A$3:$A$5001,T$3,BD!$B$3:$B$5001,$A$101,BD!$J$3:$J$5001,"&lt;&gt;")=0,"",SUMIFS(BD!$J$3:$J$5001,BD!$A$3:$A$5001,T$3,BD!$B$3:$B$5001,$A$101)))</f>
        <v/>
      </c>
      <c r="U108" s="208" t="str">
        <f>IF(U$3="","",IF(COUNTIFS(BD!$A$3:$A$5001,U$3,BD!$B$3:$B$5001,$A$101,BD!$J$3:$J$5001,"&lt;&gt;")=0,"",SUMIFS(BD!$J$3:$J$5001,BD!$A$3:$A$5001,U$3,BD!$B$3:$B$5001,$A$101)))</f>
        <v/>
      </c>
      <c r="V108" s="208" t="str">
        <f>IF(V$3="","",IF(COUNTIFS(BD!$A$3:$A$5001,V$3,BD!$B$3:$B$5001,$A$101,BD!$J$3:$J$5001,"&lt;&gt;")=0,"",SUMIFS(BD!$J$3:$J$5001,BD!$A$3:$A$5001,V$3,BD!$B$3:$B$5001,$A$101)))</f>
        <v/>
      </c>
      <c r="W108" s="208" t="str">
        <f>IF(W$3="","",IF(COUNTIFS(BD!$A$3:$A$5001,W$3,BD!$B$3:$B$5001,$A$101,BD!$J$3:$J$5001,"&lt;&gt;")=0,"",SUMIFS(BD!$J$3:$J$5001,BD!$A$3:$A$5001,W$3,BD!$B$3:$B$5001,$A$101)))</f>
        <v/>
      </c>
      <c r="X108" s="208" t="str">
        <f>IF(X$3="","",IF(COUNTIFS(BD!$A$3:$A$5001,X$3,BD!$B$3:$B$5001,$A$101,BD!$J$3:$J$5001,"&lt;&gt;")=0,"",SUMIFS(BD!$J$3:$J$5001,BD!$A$3:$A$5001,X$3,BD!$B$3:$B$5001,$A$101)))</f>
        <v/>
      </c>
      <c r="Y108" s="208" t="str">
        <f>IF(Y$3="","",IF(COUNTIFS(BD!$A$3:$A$5001,Y$3,BD!$B$3:$B$5001,$A$101,BD!$J$3:$J$5001,"&lt;&gt;")=0,"",SUMIFS(BD!$J$3:$J$5001,BD!$A$3:$A$5001,Y$3,BD!$B$3:$B$5001,$A$101)))</f>
        <v/>
      </c>
      <c r="Z108" s="208" t="str">
        <f>IF(Z$3="","",IF(COUNTIFS(BD!$A$3:$A$5001,Z$3,BD!$B$3:$B$5001,$A$101,BD!$J$3:$J$5001,"&lt;&gt;")=0,"",SUMIFS(BD!$J$3:$J$5001,BD!$A$3:$A$5001,Z$3,BD!$B$3:$B$5001,$A$101)))</f>
        <v/>
      </c>
      <c r="AA108" s="208" t="str">
        <f>IF(AA$3="","",IF(COUNTIFS(BD!$A$3:$A$5001,AA$3,BD!$B$3:$B$5001,$A$101,BD!$J$3:$J$5001,"&lt;&gt;")=0,"",SUMIFS(BD!$J$3:$J$5001,BD!$A$3:$A$5001,AA$3,BD!$B$3:$B$5001,$A$101)))</f>
        <v/>
      </c>
      <c r="AB108" s="208" t="str">
        <f>IF(AB$3="","",IF(COUNTIFS(BD!$A$3:$A$5001,AB$3,BD!$B$3:$B$5001,$A$101,BD!$J$3:$J$5001,"&lt;&gt;")=0,"",SUMIFS(BD!$J$3:$J$5001,BD!$A$3:$A$5001,AB$3,BD!$B$3:$B$5001,$A$101)))</f>
        <v/>
      </c>
      <c r="AC108" s="208" t="str">
        <f>IF(AC$3="","",IF(COUNTIFS(BD!$A$3:$A$5001,AC$3,BD!$B$3:$B$5001,$A$101,BD!$J$3:$J$5001,"&lt;&gt;")=0,"",SUMIFS(BD!$J$3:$J$5001,BD!$A$3:$A$5001,AC$3,BD!$B$3:$B$5001,$A$101)))</f>
        <v/>
      </c>
      <c r="AD108" s="208" t="str">
        <f>IF(AD$3="","",IF(COUNTIFS(BD!$A$3:$A$5001,AD$3,BD!$B$3:$B$5001,$A$101,BD!$J$3:$J$5001,"&lt;&gt;")=0,"",SUMIFS(BD!$J$3:$J$5001,BD!$A$3:$A$5001,AD$3,BD!$B$3:$B$5001,$A$101)))</f>
        <v/>
      </c>
      <c r="AE108" s="208" t="str">
        <f>IF(AE$3="","",IF(COUNTIFS(BD!$A$3:$A$5001,AE$3,BD!$B$3:$B$5001,$A$101,BD!$J$3:$J$5001,"&lt;&gt;")=0,"",SUMIFS(BD!$J$3:$J$5001,BD!$A$3:$A$5001,AE$3,BD!$B$3:$B$5001,$A$101)))</f>
        <v/>
      </c>
      <c r="AF108" s="208" t="str">
        <f>IF(AF$3="","",IF(COUNTIFS(BD!$A$3:$A$5001,AF$3,BD!$B$3:$B$5001,$A$101,BD!$J$3:$J$5001,"&lt;&gt;")=0,"",SUMIFS(BD!$J$3:$J$5001,BD!$A$3:$A$5001,AF$3,BD!$B$3:$B$5001,$A$101)))</f>
        <v/>
      </c>
      <c r="AG108" s="208" t="str">
        <f>IF(AG$3="","",IF(COUNTIFS(BD!$A$3:$A$5001,AG$3,BD!$B$3:$B$5001,$A$101,BD!$J$3:$J$5001,"&lt;&gt;")=0,"",SUMIFS(BD!$J$3:$J$5001,BD!$A$3:$A$5001,AG$3,BD!$B$3:$B$5001,$A$101)))</f>
        <v/>
      </c>
      <c r="AH108" s="208" t="str">
        <f>IF(AH$3="","",IF(COUNTIFS(BD!$A$3:$A$5001,AH$3,BD!$B$3:$B$5001,$A$101,BD!$J$3:$J$5001,"&lt;&gt;")=0,"",SUMIFS(BD!$J$3:$J$5001,BD!$A$3:$A$5001,AH$3,BD!$B$3:$B$5001,$A$101)))</f>
        <v/>
      </c>
      <c r="AI108" s="208" t="str">
        <f>IF(AI$3="","",IF(COUNTIFS(BD!$A$3:$A$5001,AI$3,BD!$B$3:$B$5001,$A$101,BD!$J$3:$J$5001,"&lt;&gt;")=0,"",SUMIFS(BD!$J$3:$J$5001,BD!$A$3:$A$5001,AI$3,BD!$B$3:$B$5001,$A$101)))</f>
        <v/>
      </c>
      <c r="AJ108" s="209" t="str">
        <f>IF(AJ$3="","",IF(COUNTIFS(BD!$A$3:$A$5001,AJ$3,BD!$B$3:$B$5001,$A$101,BD!$J$3:$J$5001,"&lt;&gt;")=0,"",SUMIFS(BD!$J$3:$J$5001,BD!$A$3:$A$5001,AJ$3,BD!$B$3:$B$5001,$A$101)))</f>
        <v/>
      </c>
      <c r="AK108" s="210" t="str">
        <f>IF(COUNT(F108:AJ108)=0,"",SUM(F108:AJ108))</f>
        <v/>
      </c>
    </row>
    <row r="109" ht="15.75" customHeight="1" hidden="1">
      <c r="A109" s="254"/>
      <c r="B109" s="249"/>
      <c r="C109" s="211" t="inlineStr">
        <is>
          <t xml:space="preserve">Backlog</t>
        </is>
      </c>
      <c r="D109" s="212" t="str">
        <f>IFERROR(1/(1/INDEX(BD!$Y$31:$AS$31,MATCH($A$101,BD!$Y$22:$AS$22,0))),"")</f>
        <v/>
      </c>
      <c r="E109" s="213"/>
      <c r="F109" s="214" t="str">
        <f>IF(F$3="","",IF(COUNTIFS(BD!$A$3:$A$5001,F$3,BD!$B$3:$B$5001,$A$101,BD!$K$3:$K$5001,"&lt;&gt;")=0,"",SUMIFS(BD!$K$3:$K$5001,BD!$A$3:$A$5001,F$3,BD!$B$3:$B$5001,$A$101)))</f>
        <v/>
      </c>
      <c r="G109" s="215" t="str">
        <f>IF(G$3="","",IF(COUNTIFS(BD!$A$3:$A$5001,G$3,BD!$B$3:$B$5001,$A$101,BD!$K$3:$K$5001,"&lt;&gt;")=0,"",SUMIFS(BD!$K$3:$K$5001,BD!$A$3:$A$5001,G$3,BD!$B$3:$B$5001,$A$101)))</f>
        <v/>
      </c>
      <c r="H109" s="215" t="str">
        <f>IF(H$3="","",IF(COUNTIFS(BD!$A$3:$A$5001,H$3,BD!$B$3:$B$5001,$A$101,BD!$K$3:$K$5001,"&lt;&gt;")=0,"",SUMIFS(BD!$K$3:$K$5001,BD!$A$3:$A$5001,H$3,BD!$B$3:$B$5001,$A$101)))</f>
        <v/>
      </c>
      <c r="I109" s="215" t="str">
        <f>IF(I$3="","",IF(COUNTIFS(BD!$A$3:$A$5001,I$3,BD!$B$3:$B$5001,$A$101,BD!$K$3:$K$5001,"&lt;&gt;")=0,"",SUMIFS(BD!$K$3:$K$5001,BD!$A$3:$A$5001,I$3,BD!$B$3:$B$5001,$A$101)))</f>
        <v/>
      </c>
      <c r="J109" s="215" t="str">
        <f>IF(J$3="","",IF(COUNTIFS(BD!$A$3:$A$5001,J$3,BD!$B$3:$B$5001,$A$101,BD!$K$3:$K$5001,"&lt;&gt;")=0,"",SUMIFS(BD!$K$3:$K$5001,BD!$A$3:$A$5001,J$3,BD!$B$3:$B$5001,$A$101)))</f>
        <v/>
      </c>
      <c r="K109" s="215" t="str">
        <f>IF(K$3="","",IF(COUNTIFS(BD!$A$3:$A$5001,K$3,BD!$B$3:$B$5001,$A$101,BD!$K$3:$K$5001,"&lt;&gt;")=0,"",SUMIFS(BD!$K$3:$K$5001,BD!$A$3:$A$5001,K$3,BD!$B$3:$B$5001,$A$101)))</f>
        <v/>
      </c>
      <c r="L109" s="215" t="str">
        <f>IF(L$3="","",IF(COUNTIFS(BD!$A$3:$A$5001,L$3,BD!$B$3:$B$5001,$A$101,BD!$K$3:$K$5001,"&lt;&gt;")=0,"",SUMIFS(BD!$K$3:$K$5001,BD!$A$3:$A$5001,L$3,BD!$B$3:$B$5001,$A$101)))</f>
        <v/>
      </c>
      <c r="M109" s="215" t="str">
        <f>IF(M$3="","",IF(COUNTIFS(BD!$A$3:$A$5001,M$3,BD!$B$3:$B$5001,$A$101,BD!$K$3:$K$5001,"&lt;&gt;")=0,"",SUMIFS(BD!$K$3:$K$5001,BD!$A$3:$A$5001,M$3,BD!$B$3:$B$5001,$A$101)))</f>
        <v/>
      </c>
      <c r="N109" s="215" t="str">
        <f>IF(N$3="","",IF(COUNTIFS(BD!$A$3:$A$5001,N$3,BD!$B$3:$B$5001,$A$101,BD!$K$3:$K$5001,"&lt;&gt;")=0,"",SUMIFS(BD!$K$3:$K$5001,BD!$A$3:$A$5001,N$3,BD!$B$3:$B$5001,$A$101)))</f>
        <v/>
      </c>
      <c r="O109" s="215" t="str">
        <f>IF(O$3="","",IF(COUNTIFS(BD!$A$3:$A$5001,O$3,BD!$B$3:$B$5001,$A$101,BD!$K$3:$K$5001,"&lt;&gt;")=0,"",SUMIFS(BD!$K$3:$K$5001,BD!$A$3:$A$5001,O$3,BD!$B$3:$B$5001,$A$101)))</f>
        <v/>
      </c>
      <c r="P109" s="215" t="str">
        <f>IF(P$3="","",IF(COUNTIFS(BD!$A$3:$A$5001,P$3,BD!$B$3:$B$5001,$A$101,BD!$K$3:$K$5001,"&lt;&gt;")=0,"",SUMIFS(BD!$K$3:$K$5001,BD!$A$3:$A$5001,P$3,BD!$B$3:$B$5001,$A$101)))</f>
        <v/>
      </c>
      <c r="Q109" s="215" t="str">
        <f>IF(Q$3="","",IF(COUNTIFS(BD!$A$3:$A$5001,Q$3,BD!$B$3:$B$5001,$A$101,BD!$K$3:$K$5001,"&lt;&gt;")=0,"",SUMIFS(BD!$K$3:$K$5001,BD!$A$3:$A$5001,Q$3,BD!$B$3:$B$5001,$A$101)))</f>
        <v/>
      </c>
      <c r="R109" s="215" t="str">
        <f>IF(R$3="","",IF(COUNTIFS(BD!$A$3:$A$5001,R$3,BD!$B$3:$B$5001,$A$101,BD!$K$3:$K$5001,"&lt;&gt;")=0,"",SUMIFS(BD!$K$3:$K$5001,BD!$A$3:$A$5001,R$3,BD!$B$3:$B$5001,$A$101)))</f>
        <v/>
      </c>
      <c r="S109" s="215" t="str">
        <f>IF(S$3="","",IF(COUNTIFS(BD!$A$3:$A$5001,S$3,BD!$B$3:$B$5001,$A$101,BD!$K$3:$K$5001,"&lt;&gt;")=0,"",SUMIFS(BD!$K$3:$K$5001,BD!$A$3:$A$5001,S$3,BD!$B$3:$B$5001,$A$101)))</f>
        <v/>
      </c>
      <c r="T109" s="215" t="str">
        <f>IF(T$3="","",IF(COUNTIFS(BD!$A$3:$A$5001,T$3,BD!$B$3:$B$5001,$A$101,BD!$K$3:$K$5001,"&lt;&gt;")=0,"",SUMIFS(BD!$K$3:$K$5001,BD!$A$3:$A$5001,T$3,BD!$B$3:$B$5001,$A$101)))</f>
        <v/>
      </c>
      <c r="U109" s="215" t="str">
        <f>IF(U$3="","",IF(COUNTIFS(BD!$A$3:$A$5001,U$3,BD!$B$3:$B$5001,$A$101,BD!$K$3:$K$5001,"&lt;&gt;")=0,"",SUMIFS(BD!$K$3:$K$5001,BD!$A$3:$A$5001,U$3,BD!$B$3:$B$5001,$A$101)))</f>
        <v/>
      </c>
      <c r="V109" s="215" t="str">
        <f>IF(V$3="","",IF(COUNTIFS(BD!$A$3:$A$5001,V$3,BD!$B$3:$B$5001,$A$101,BD!$K$3:$K$5001,"&lt;&gt;")=0,"",SUMIFS(BD!$K$3:$K$5001,BD!$A$3:$A$5001,V$3,BD!$B$3:$B$5001,$A$101)))</f>
        <v/>
      </c>
      <c r="W109" s="215" t="str">
        <f>IF(W$3="","",IF(COUNTIFS(BD!$A$3:$A$5001,W$3,BD!$B$3:$B$5001,$A$101,BD!$K$3:$K$5001,"&lt;&gt;")=0,"",SUMIFS(BD!$K$3:$K$5001,BD!$A$3:$A$5001,W$3,BD!$B$3:$B$5001,$A$101)))</f>
        <v/>
      </c>
      <c r="X109" s="215" t="str">
        <f>IF(X$3="","",IF(COUNTIFS(BD!$A$3:$A$5001,X$3,BD!$B$3:$B$5001,$A$101,BD!$K$3:$K$5001,"&lt;&gt;")=0,"",SUMIFS(BD!$K$3:$K$5001,BD!$A$3:$A$5001,X$3,BD!$B$3:$B$5001,$A$101)))</f>
        <v/>
      </c>
      <c r="Y109" s="215" t="str">
        <f>IF(Y$3="","",IF(COUNTIFS(BD!$A$3:$A$5001,Y$3,BD!$B$3:$B$5001,$A$101,BD!$K$3:$K$5001,"&lt;&gt;")=0,"",SUMIFS(BD!$K$3:$K$5001,BD!$A$3:$A$5001,Y$3,BD!$B$3:$B$5001,$A$101)))</f>
        <v/>
      </c>
      <c r="Z109" s="215" t="str">
        <f>IF(Z$3="","",IF(COUNTIFS(BD!$A$3:$A$5001,Z$3,BD!$B$3:$B$5001,$A$101,BD!$K$3:$K$5001,"&lt;&gt;")=0,"",SUMIFS(BD!$K$3:$K$5001,BD!$A$3:$A$5001,Z$3,BD!$B$3:$B$5001,$A$101)))</f>
        <v/>
      </c>
      <c r="AA109" s="215" t="str">
        <f>IF(AA$3="","",IF(COUNTIFS(BD!$A$3:$A$5001,AA$3,BD!$B$3:$B$5001,$A$101,BD!$K$3:$K$5001,"&lt;&gt;")=0,"",SUMIFS(BD!$K$3:$K$5001,BD!$A$3:$A$5001,AA$3,BD!$B$3:$B$5001,$A$101)))</f>
        <v/>
      </c>
      <c r="AB109" s="215" t="str">
        <f>IF(AB$3="","",IF(COUNTIFS(BD!$A$3:$A$5001,AB$3,BD!$B$3:$B$5001,$A$101,BD!$K$3:$K$5001,"&lt;&gt;")=0,"",SUMIFS(BD!$K$3:$K$5001,BD!$A$3:$A$5001,AB$3,BD!$B$3:$B$5001,$A$101)))</f>
        <v/>
      </c>
      <c r="AC109" s="215" t="str">
        <f>IF(AC$3="","",IF(COUNTIFS(BD!$A$3:$A$5001,AC$3,BD!$B$3:$B$5001,$A$101,BD!$K$3:$K$5001,"&lt;&gt;")=0,"",SUMIFS(BD!$K$3:$K$5001,BD!$A$3:$A$5001,AC$3,BD!$B$3:$B$5001,$A$101)))</f>
        <v/>
      </c>
      <c r="AD109" s="215" t="str">
        <f>IF(AD$3="","",IF(COUNTIFS(BD!$A$3:$A$5001,AD$3,BD!$B$3:$B$5001,$A$101,BD!$K$3:$K$5001,"&lt;&gt;")=0,"",SUMIFS(BD!$K$3:$K$5001,BD!$A$3:$A$5001,AD$3,BD!$B$3:$B$5001,$A$101)))</f>
        <v/>
      </c>
      <c r="AE109" s="215" t="str">
        <f>IF(AE$3="","",IF(COUNTIFS(BD!$A$3:$A$5001,AE$3,BD!$B$3:$B$5001,$A$101,BD!$K$3:$K$5001,"&lt;&gt;")=0,"",SUMIFS(BD!$K$3:$K$5001,BD!$A$3:$A$5001,AE$3,BD!$B$3:$B$5001,$A$101)))</f>
        <v/>
      </c>
      <c r="AF109" s="215" t="str">
        <f>IF(AF$3="","",IF(COUNTIFS(BD!$A$3:$A$5001,AF$3,BD!$B$3:$B$5001,$A$101,BD!$K$3:$K$5001,"&lt;&gt;")=0,"",SUMIFS(BD!$K$3:$K$5001,BD!$A$3:$A$5001,AF$3,BD!$B$3:$B$5001,$A$101)))</f>
        <v/>
      </c>
      <c r="AG109" s="215" t="str">
        <f>IF(AG$3="","",IF(COUNTIFS(BD!$A$3:$A$5001,AG$3,BD!$B$3:$B$5001,$A$101,BD!$K$3:$K$5001,"&lt;&gt;")=0,"",SUMIFS(BD!$K$3:$K$5001,BD!$A$3:$A$5001,AG$3,BD!$B$3:$B$5001,$A$101)))</f>
        <v/>
      </c>
      <c r="AH109" s="215" t="str">
        <f>IF(AH$3="","",IF(COUNTIFS(BD!$A$3:$A$5001,AH$3,BD!$B$3:$B$5001,$A$101,BD!$K$3:$K$5001,"&lt;&gt;")=0,"",SUMIFS(BD!$K$3:$K$5001,BD!$A$3:$A$5001,AH$3,BD!$B$3:$B$5001,$A$101)))</f>
        <v/>
      </c>
      <c r="AI109" s="215" t="str">
        <f>IF(AI$3="","",IF(COUNTIFS(BD!$A$3:$A$5001,AI$3,BD!$B$3:$B$5001,$A$101,BD!$K$3:$K$5001,"&lt;&gt;")=0,"",SUMIFS(BD!$K$3:$K$5001,BD!$A$3:$A$5001,AI$3,BD!$B$3:$B$5001,$A$101)))</f>
        <v/>
      </c>
      <c r="AJ109" s="216" t="str">
        <f>IF(AJ$3="","",IF(COUNTIFS(BD!$A$3:$A$5001,AJ$3,BD!$B$3:$B$5001,$A$101,BD!$K$3:$K$5001,"&lt;&gt;")=0,"",SUMIFS(BD!$K$3:$K$5001,BD!$A$3:$A$5001,AJ$3,BD!$B$3:$B$5001,$A$101)))</f>
        <v/>
      </c>
      <c r="AK109" s="212" t="str">
        <f>IFERROR(LOOKUP(9.99E+307,F109:AJ109),"")</f>
        <v/>
      </c>
    </row>
    <row r="110" ht="15.75" customHeight="1" hidden="1">
      <c r="A110" s="254"/>
      <c r="B110" s="241" t="inlineStr">
        <is>
          <t xml:space="preserve">OCUPAÇÃO (P.P)</t>
        </is>
      </c>
      <c r="C110" s="155" t="inlineStr">
        <is>
          <t xml:space="preserve">Posições Disponíveis</t>
        </is>
      </c>
      <c r="D110" s="156" t="str">
        <f>IFERROR(1/(1/INDEX(BD!$Y$32:$AS$32,MATCH($A$101,BD!$Y$22:$AS$22,0))),"")</f>
        <v/>
      </c>
      <c r="E110" s="157"/>
      <c r="F110" s="158" t="str">
        <f>IF(F$3="","",IF(COUNTIFS(BD!$A$3:$A$5001,F$3,BD!$B$3:$B$5001,$A$101,BD!$L$3:$L$5001,"&lt;&gt;")=0,"",SUMIFS(BD!$L$3:$L$5001,BD!$A$3:$A$5001,F$3,BD!$B$3:$B$5001,$A$101)))</f>
        <v/>
      </c>
      <c r="G110" s="159" t="str">
        <f>IF(G$3="","",IF(COUNTIFS(BD!$A$3:$A$5001,G$3,BD!$B$3:$B$5001,$A$101,BD!$L$3:$L$5001,"&lt;&gt;")=0,"",SUMIFS(BD!$L$3:$L$5001,BD!$A$3:$A$5001,G$3,BD!$B$3:$B$5001,$A$101)))</f>
        <v/>
      </c>
      <c r="H110" s="159" t="str">
        <f>IF(H$3="","",IF(COUNTIFS(BD!$A$3:$A$5001,H$3,BD!$B$3:$B$5001,$A$101,BD!$L$3:$L$5001,"&lt;&gt;")=0,"",SUMIFS(BD!$L$3:$L$5001,BD!$A$3:$A$5001,H$3,BD!$B$3:$B$5001,$A$101)))</f>
        <v/>
      </c>
      <c r="I110" s="159" t="str">
        <f>IF(I$3="","",IF(COUNTIFS(BD!$A$3:$A$5001,I$3,BD!$B$3:$B$5001,$A$101,BD!$L$3:$L$5001,"&lt;&gt;")=0,"",SUMIFS(BD!$L$3:$L$5001,BD!$A$3:$A$5001,I$3,BD!$B$3:$B$5001,$A$101)))</f>
        <v/>
      </c>
      <c r="J110" s="159" t="str">
        <f>IF(J$3="","",IF(COUNTIFS(BD!$A$3:$A$5001,J$3,BD!$B$3:$B$5001,$A$101,BD!$L$3:$L$5001,"&lt;&gt;")=0,"",SUMIFS(BD!$L$3:$L$5001,BD!$A$3:$A$5001,J$3,BD!$B$3:$B$5001,$A$101)))</f>
        <v/>
      </c>
      <c r="K110" s="159" t="str">
        <f>IF(K$3="","",IF(COUNTIFS(BD!$A$3:$A$5001,K$3,BD!$B$3:$B$5001,$A$101,BD!$L$3:$L$5001,"&lt;&gt;")=0,"",SUMIFS(BD!$L$3:$L$5001,BD!$A$3:$A$5001,K$3,BD!$B$3:$B$5001,$A$101)))</f>
        <v/>
      </c>
      <c r="L110" s="159" t="str">
        <f>IF(L$3="","",IF(COUNTIFS(BD!$A$3:$A$5001,L$3,BD!$B$3:$B$5001,$A$101,BD!$L$3:$L$5001,"&lt;&gt;")=0,"",SUMIFS(BD!$L$3:$L$5001,BD!$A$3:$A$5001,L$3,BD!$B$3:$B$5001,$A$101)))</f>
        <v/>
      </c>
      <c r="M110" s="159" t="str">
        <f>IF(M$3="","",IF(COUNTIFS(BD!$A$3:$A$5001,M$3,BD!$B$3:$B$5001,$A$101,BD!$L$3:$L$5001,"&lt;&gt;")=0,"",SUMIFS(BD!$L$3:$L$5001,BD!$A$3:$A$5001,M$3,BD!$B$3:$B$5001,$A$101)))</f>
        <v/>
      </c>
      <c r="N110" s="159" t="str">
        <f>IF(N$3="","",IF(COUNTIFS(BD!$A$3:$A$5001,N$3,BD!$B$3:$B$5001,$A$101,BD!$L$3:$L$5001,"&lt;&gt;")=0,"",SUMIFS(BD!$L$3:$L$5001,BD!$A$3:$A$5001,N$3,BD!$B$3:$B$5001,$A$101)))</f>
        <v/>
      </c>
      <c r="O110" s="159" t="str">
        <f>IF(O$3="","",IF(COUNTIFS(BD!$A$3:$A$5001,O$3,BD!$B$3:$B$5001,$A$101,BD!$L$3:$L$5001,"&lt;&gt;")=0,"",SUMIFS(BD!$L$3:$L$5001,BD!$A$3:$A$5001,O$3,BD!$B$3:$B$5001,$A$101)))</f>
        <v/>
      </c>
      <c r="P110" s="159" t="str">
        <f>IF(P$3="","",IF(COUNTIFS(BD!$A$3:$A$5001,P$3,BD!$B$3:$B$5001,$A$101,BD!$L$3:$L$5001,"&lt;&gt;")=0,"",SUMIFS(BD!$L$3:$L$5001,BD!$A$3:$A$5001,P$3,BD!$B$3:$B$5001,$A$101)))</f>
        <v/>
      </c>
      <c r="Q110" s="159" t="str">
        <f>IF(Q$3="","",IF(COUNTIFS(BD!$A$3:$A$5001,Q$3,BD!$B$3:$B$5001,$A$101,BD!$L$3:$L$5001,"&lt;&gt;")=0,"",SUMIFS(BD!$L$3:$L$5001,BD!$A$3:$A$5001,Q$3,BD!$B$3:$B$5001,$A$101)))</f>
        <v/>
      </c>
      <c r="R110" s="159" t="str">
        <f>IF(R$3="","",IF(COUNTIFS(BD!$A$3:$A$5001,R$3,BD!$B$3:$B$5001,$A$101,BD!$L$3:$L$5001,"&lt;&gt;")=0,"",SUMIFS(BD!$L$3:$L$5001,BD!$A$3:$A$5001,R$3,BD!$B$3:$B$5001,$A$101)))</f>
        <v/>
      </c>
      <c r="S110" s="159" t="str">
        <f>IF(S$3="","",IF(COUNTIFS(BD!$A$3:$A$5001,S$3,BD!$B$3:$B$5001,$A$101,BD!$L$3:$L$5001,"&lt;&gt;")=0,"",SUMIFS(BD!$L$3:$L$5001,BD!$A$3:$A$5001,S$3,BD!$B$3:$B$5001,$A$101)))</f>
        <v/>
      </c>
      <c r="T110" s="159" t="str">
        <f>IF(T$3="","",IF(COUNTIFS(BD!$A$3:$A$5001,T$3,BD!$B$3:$B$5001,$A$101,BD!$L$3:$L$5001,"&lt;&gt;")=0,"",SUMIFS(BD!$L$3:$L$5001,BD!$A$3:$A$5001,T$3,BD!$B$3:$B$5001,$A$101)))</f>
        <v/>
      </c>
      <c r="U110" s="159" t="str">
        <f>IF(U$3="","",IF(COUNTIFS(BD!$A$3:$A$5001,U$3,BD!$B$3:$B$5001,$A$101,BD!$L$3:$L$5001,"&lt;&gt;")=0,"",SUMIFS(BD!$L$3:$L$5001,BD!$A$3:$A$5001,U$3,BD!$B$3:$B$5001,$A$101)))</f>
        <v/>
      </c>
      <c r="V110" s="159" t="str">
        <f>IF(V$3="","",IF(COUNTIFS(BD!$A$3:$A$5001,V$3,BD!$B$3:$B$5001,$A$101,BD!$L$3:$L$5001,"&lt;&gt;")=0,"",SUMIFS(BD!$L$3:$L$5001,BD!$A$3:$A$5001,V$3,BD!$B$3:$B$5001,$A$101)))</f>
        <v/>
      </c>
      <c r="W110" s="159" t="str">
        <f>IF(W$3="","",IF(COUNTIFS(BD!$A$3:$A$5001,W$3,BD!$B$3:$B$5001,$A$101,BD!$L$3:$L$5001,"&lt;&gt;")=0,"",SUMIFS(BD!$L$3:$L$5001,BD!$A$3:$A$5001,W$3,BD!$B$3:$B$5001,$A$101)))</f>
        <v/>
      </c>
      <c r="X110" s="159" t="str">
        <f>IF(X$3="","",IF(COUNTIFS(BD!$A$3:$A$5001,X$3,BD!$B$3:$B$5001,$A$101,BD!$L$3:$L$5001,"&lt;&gt;")=0,"",SUMIFS(BD!$L$3:$L$5001,BD!$A$3:$A$5001,X$3,BD!$B$3:$B$5001,$A$101)))</f>
        <v/>
      </c>
      <c r="Y110" s="159" t="str">
        <f>IF(Y$3="","",IF(COUNTIFS(BD!$A$3:$A$5001,Y$3,BD!$B$3:$B$5001,$A$101,BD!$L$3:$L$5001,"&lt;&gt;")=0,"",SUMIFS(BD!$L$3:$L$5001,BD!$A$3:$A$5001,Y$3,BD!$B$3:$B$5001,$A$101)))</f>
        <v/>
      </c>
      <c r="Z110" s="159" t="str">
        <f>IF(Z$3="","",IF(COUNTIFS(BD!$A$3:$A$5001,Z$3,BD!$B$3:$B$5001,$A$101,BD!$L$3:$L$5001,"&lt;&gt;")=0,"",SUMIFS(BD!$L$3:$L$5001,BD!$A$3:$A$5001,Z$3,BD!$B$3:$B$5001,$A$101)))</f>
        <v/>
      </c>
      <c r="AA110" s="159" t="str">
        <f>IF(AA$3="","",IF(COUNTIFS(BD!$A$3:$A$5001,AA$3,BD!$B$3:$B$5001,$A$101,BD!$L$3:$L$5001,"&lt;&gt;")=0,"",SUMIFS(BD!$L$3:$L$5001,BD!$A$3:$A$5001,AA$3,BD!$B$3:$B$5001,$A$101)))</f>
        <v/>
      </c>
      <c r="AB110" s="159" t="str">
        <f>IF(AB$3="","",IF(COUNTIFS(BD!$A$3:$A$5001,AB$3,BD!$B$3:$B$5001,$A$101,BD!$L$3:$L$5001,"&lt;&gt;")=0,"",SUMIFS(BD!$L$3:$L$5001,BD!$A$3:$A$5001,AB$3,BD!$B$3:$B$5001,$A$101)))</f>
        <v/>
      </c>
      <c r="AC110" s="159" t="str">
        <f>IF(AC$3="","",IF(COUNTIFS(BD!$A$3:$A$5001,AC$3,BD!$B$3:$B$5001,$A$101,BD!$L$3:$L$5001,"&lt;&gt;")=0,"",SUMIFS(BD!$L$3:$L$5001,BD!$A$3:$A$5001,AC$3,BD!$B$3:$B$5001,$A$101)))</f>
        <v/>
      </c>
      <c r="AD110" s="159" t="str">
        <f>IF(AD$3="","",IF(COUNTIFS(BD!$A$3:$A$5001,AD$3,BD!$B$3:$B$5001,$A$101,BD!$L$3:$L$5001,"&lt;&gt;")=0,"",SUMIFS(BD!$L$3:$L$5001,BD!$A$3:$A$5001,AD$3,BD!$B$3:$B$5001,$A$101)))</f>
        <v/>
      </c>
      <c r="AE110" s="159" t="str">
        <f>IF(AE$3="","",IF(COUNTIFS(BD!$A$3:$A$5001,AE$3,BD!$B$3:$B$5001,$A$101,BD!$L$3:$L$5001,"&lt;&gt;")=0,"",SUMIFS(BD!$L$3:$L$5001,BD!$A$3:$A$5001,AE$3,BD!$B$3:$B$5001,$A$101)))</f>
        <v/>
      </c>
      <c r="AF110" s="159" t="str">
        <f>IF(AF$3="","",IF(COUNTIFS(BD!$A$3:$A$5001,AF$3,BD!$B$3:$B$5001,$A$101,BD!$L$3:$L$5001,"&lt;&gt;")=0,"",SUMIFS(BD!$L$3:$L$5001,BD!$A$3:$A$5001,AF$3,BD!$B$3:$B$5001,$A$101)))</f>
        <v/>
      </c>
      <c r="AG110" s="159" t="str">
        <f>IF(AG$3="","",IF(COUNTIFS(BD!$A$3:$A$5001,AG$3,BD!$B$3:$B$5001,$A$101,BD!$L$3:$L$5001,"&lt;&gt;")=0,"",SUMIFS(BD!$L$3:$L$5001,BD!$A$3:$A$5001,AG$3,BD!$B$3:$B$5001,$A$101)))</f>
        <v/>
      </c>
      <c r="AH110" s="159" t="str">
        <f>IF(AH$3="","",IF(COUNTIFS(BD!$A$3:$A$5001,AH$3,BD!$B$3:$B$5001,$A$101,BD!$L$3:$L$5001,"&lt;&gt;")=0,"",SUMIFS(BD!$L$3:$L$5001,BD!$A$3:$A$5001,AH$3,BD!$B$3:$B$5001,$A$101)))</f>
        <v/>
      </c>
      <c r="AI110" s="159" t="str">
        <f>IF(AI$3="","",IF(COUNTIFS(BD!$A$3:$A$5001,AI$3,BD!$B$3:$B$5001,$A$101,BD!$L$3:$L$5001,"&lt;&gt;")=0,"",SUMIFS(BD!$L$3:$L$5001,BD!$A$3:$A$5001,AI$3,BD!$B$3:$B$5001,$A$101)))</f>
        <v/>
      </c>
      <c r="AJ110" s="160" t="str">
        <f>IF(AJ$3="","",IF(COUNTIFS(BD!$A$3:$A$5001,AJ$3,BD!$B$3:$B$5001,$A$101,BD!$L$3:$L$5001,"&lt;&gt;")=0,"",SUMIFS(BD!$L$3:$L$5001,BD!$A$3:$A$5001,AJ$3,BD!$B$3:$B$5001,$A$101)))</f>
        <v/>
      </c>
      <c r="AK110" s="161" t="str">
        <f>IF(COUNT(F110:AJ110)&gt;0,LOOKUP(9.99E+307,F110:AJ110),IFERROR(IF(INDEX(BD!$V$3:$V$5001,MATCH($A$101,BD!$B$3:$B$5001,0))&amp;""="Contrato","",INDEX(BD!$V$3:$V$5001,MATCH($A$101,BD!$B$3:$B$5001,0))&amp;""),""))</f>
        <v/>
      </c>
    </row>
    <row r="111" ht="15.75" customHeight="1" hidden="1">
      <c r="A111" s="254"/>
      <c r="B111" s="242"/>
      <c r="C111" s="162" t="inlineStr">
        <is>
          <t xml:space="preserve">Posições Ocupadas</t>
        </is>
      </c>
      <c r="D111" s="163" t="str">
        <f>IFERROR(1/(1/INDEX(BD!$Y$33:$AS$33,MATCH($A$101,BD!$Y$22:$AS$22,0))),"")</f>
        <v/>
      </c>
      <c r="E111" s="164"/>
      <c r="F111" s="165" t="str">
        <f>IF(F$3="","",IF(COUNTIFS(BD!$A$3:$A$5001,F$3,BD!$B$3:$B$5001,$A$101,BD!$M$3:$M$5001,"&lt;&gt;")=0,"",SUMIFS(BD!$M$3:$M$5001,BD!$A$3:$A$5001,F$3,BD!$B$3:$B$5001,$A$101)))</f>
        <v/>
      </c>
      <c r="G111" s="166" t="str">
        <f>IF(G$3="","",IF(COUNTIFS(BD!$A$3:$A$5001,G$3,BD!$B$3:$B$5001,$A$101,BD!$M$3:$M$5001,"&lt;&gt;")=0,"",SUMIFS(BD!$M$3:$M$5001,BD!$A$3:$A$5001,G$3,BD!$B$3:$B$5001,$A$101)))</f>
        <v/>
      </c>
      <c r="H111" s="166" t="str">
        <f>IF(H$3="","",IF(COUNTIFS(BD!$A$3:$A$5001,H$3,BD!$B$3:$B$5001,$A$101,BD!$M$3:$M$5001,"&lt;&gt;")=0,"",SUMIFS(BD!$M$3:$M$5001,BD!$A$3:$A$5001,H$3,BD!$B$3:$B$5001,$A$101)))</f>
        <v/>
      </c>
      <c r="I111" s="166" t="str">
        <f>IF(I$3="","",IF(COUNTIFS(BD!$A$3:$A$5001,I$3,BD!$B$3:$B$5001,$A$101,BD!$M$3:$M$5001,"&lt;&gt;")=0,"",SUMIFS(BD!$M$3:$M$5001,BD!$A$3:$A$5001,I$3,BD!$B$3:$B$5001,$A$101)))</f>
        <v/>
      </c>
      <c r="J111" s="166" t="str">
        <f>IF(J$3="","",IF(COUNTIFS(BD!$A$3:$A$5001,J$3,BD!$B$3:$B$5001,$A$101,BD!$M$3:$M$5001,"&lt;&gt;")=0,"",SUMIFS(BD!$M$3:$M$5001,BD!$A$3:$A$5001,J$3,BD!$B$3:$B$5001,$A$101)))</f>
        <v/>
      </c>
      <c r="K111" s="166" t="str">
        <f>IF(K$3="","",IF(COUNTIFS(BD!$A$3:$A$5001,K$3,BD!$B$3:$B$5001,$A$101,BD!$M$3:$M$5001,"&lt;&gt;")=0,"",SUMIFS(BD!$M$3:$M$5001,BD!$A$3:$A$5001,K$3,BD!$B$3:$B$5001,$A$101)))</f>
        <v/>
      </c>
      <c r="L111" s="166" t="str">
        <f>IF(L$3="","",IF(COUNTIFS(BD!$A$3:$A$5001,L$3,BD!$B$3:$B$5001,$A$101,BD!$M$3:$M$5001,"&lt;&gt;")=0,"",SUMIFS(BD!$M$3:$M$5001,BD!$A$3:$A$5001,L$3,BD!$B$3:$B$5001,$A$101)))</f>
        <v/>
      </c>
      <c r="M111" s="166" t="str">
        <f>IF(M$3="","",IF(COUNTIFS(BD!$A$3:$A$5001,M$3,BD!$B$3:$B$5001,$A$101,BD!$M$3:$M$5001,"&lt;&gt;")=0,"",SUMIFS(BD!$M$3:$M$5001,BD!$A$3:$A$5001,M$3,BD!$B$3:$B$5001,$A$101)))</f>
        <v/>
      </c>
      <c r="N111" s="166" t="str">
        <f>IF(N$3="","",IF(COUNTIFS(BD!$A$3:$A$5001,N$3,BD!$B$3:$B$5001,$A$101,BD!$M$3:$M$5001,"&lt;&gt;")=0,"",SUMIFS(BD!$M$3:$M$5001,BD!$A$3:$A$5001,N$3,BD!$B$3:$B$5001,$A$101)))</f>
        <v/>
      </c>
      <c r="O111" s="166" t="str">
        <f>IF(O$3="","",IF(COUNTIFS(BD!$A$3:$A$5001,O$3,BD!$B$3:$B$5001,$A$101,BD!$M$3:$M$5001,"&lt;&gt;")=0,"",SUMIFS(BD!$M$3:$M$5001,BD!$A$3:$A$5001,O$3,BD!$B$3:$B$5001,$A$101)))</f>
        <v/>
      </c>
      <c r="P111" s="166" t="str">
        <f>IF(P$3="","",IF(COUNTIFS(BD!$A$3:$A$5001,P$3,BD!$B$3:$B$5001,$A$101,BD!$M$3:$M$5001,"&lt;&gt;")=0,"",SUMIFS(BD!$M$3:$M$5001,BD!$A$3:$A$5001,P$3,BD!$B$3:$B$5001,$A$101)))</f>
        <v/>
      </c>
      <c r="Q111" s="166" t="str">
        <f>IF(Q$3="","",IF(COUNTIFS(BD!$A$3:$A$5001,Q$3,BD!$B$3:$B$5001,$A$101,BD!$M$3:$M$5001,"&lt;&gt;")=0,"",SUMIFS(BD!$M$3:$M$5001,BD!$A$3:$A$5001,Q$3,BD!$B$3:$B$5001,$A$101)))</f>
        <v/>
      </c>
      <c r="R111" s="166" t="str">
        <f>IF(R$3="","",IF(COUNTIFS(BD!$A$3:$A$5001,R$3,BD!$B$3:$B$5001,$A$101,BD!$M$3:$M$5001,"&lt;&gt;")=0,"",SUMIFS(BD!$M$3:$M$5001,BD!$A$3:$A$5001,R$3,BD!$B$3:$B$5001,$A$101)))</f>
        <v/>
      </c>
      <c r="S111" s="166" t="str">
        <f>IF(S$3="","",IF(COUNTIFS(BD!$A$3:$A$5001,S$3,BD!$B$3:$B$5001,$A$101,BD!$M$3:$M$5001,"&lt;&gt;")=0,"",SUMIFS(BD!$M$3:$M$5001,BD!$A$3:$A$5001,S$3,BD!$B$3:$B$5001,$A$101)))</f>
        <v/>
      </c>
      <c r="T111" s="166" t="str">
        <f>IF(T$3="","",IF(COUNTIFS(BD!$A$3:$A$5001,T$3,BD!$B$3:$B$5001,$A$101,BD!$M$3:$M$5001,"&lt;&gt;")=0,"",SUMIFS(BD!$M$3:$M$5001,BD!$A$3:$A$5001,T$3,BD!$B$3:$B$5001,$A$101)))</f>
        <v/>
      </c>
      <c r="U111" s="166" t="str">
        <f>IF(U$3="","",IF(COUNTIFS(BD!$A$3:$A$5001,U$3,BD!$B$3:$B$5001,$A$101,BD!$M$3:$M$5001,"&lt;&gt;")=0,"",SUMIFS(BD!$M$3:$M$5001,BD!$A$3:$A$5001,U$3,BD!$B$3:$B$5001,$A$101)))</f>
        <v/>
      </c>
      <c r="V111" s="166" t="str">
        <f>IF(V$3="","",IF(COUNTIFS(BD!$A$3:$A$5001,V$3,BD!$B$3:$B$5001,$A$101,BD!$M$3:$M$5001,"&lt;&gt;")=0,"",SUMIFS(BD!$M$3:$M$5001,BD!$A$3:$A$5001,V$3,BD!$B$3:$B$5001,$A$101)))</f>
        <v/>
      </c>
      <c r="W111" s="166" t="str">
        <f>IF(W$3="","",IF(COUNTIFS(BD!$A$3:$A$5001,W$3,BD!$B$3:$B$5001,$A$101,BD!$M$3:$M$5001,"&lt;&gt;")=0,"",SUMIFS(BD!$M$3:$M$5001,BD!$A$3:$A$5001,W$3,BD!$B$3:$B$5001,$A$101)))</f>
        <v/>
      </c>
      <c r="X111" s="166" t="str">
        <f>IF(X$3="","",IF(COUNTIFS(BD!$A$3:$A$5001,X$3,BD!$B$3:$B$5001,$A$101,BD!$M$3:$M$5001,"&lt;&gt;")=0,"",SUMIFS(BD!$M$3:$M$5001,BD!$A$3:$A$5001,X$3,BD!$B$3:$B$5001,$A$101)))</f>
        <v/>
      </c>
      <c r="Y111" s="166" t="str">
        <f>IF(Y$3="","",IF(COUNTIFS(BD!$A$3:$A$5001,Y$3,BD!$B$3:$B$5001,$A$101,BD!$M$3:$M$5001,"&lt;&gt;")=0,"",SUMIFS(BD!$M$3:$M$5001,BD!$A$3:$A$5001,Y$3,BD!$B$3:$B$5001,$A$101)))</f>
        <v/>
      </c>
      <c r="Z111" s="166" t="str">
        <f>IF(Z$3="","",IF(COUNTIFS(BD!$A$3:$A$5001,Z$3,BD!$B$3:$B$5001,$A$101,BD!$M$3:$M$5001,"&lt;&gt;")=0,"",SUMIFS(BD!$M$3:$M$5001,BD!$A$3:$A$5001,Z$3,BD!$B$3:$B$5001,$A$101)))</f>
        <v/>
      </c>
      <c r="AA111" s="166" t="str">
        <f>IF(AA$3="","",IF(COUNTIFS(BD!$A$3:$A$5001,AA$3,BD!$B$3:$B$5001,$A$101,BD!$M$3:$M$5001,"&lt;&gt;")=0,"",SUMIFS(BD!$M$3:$M$5001,BD!$A$3:$A$5001,AA$3,BD!$B$3:$B$5001,$A$101)))</f>
        <v/>
      </c>
      <c r="AB111" s="166" t="str">
        <f>IF(AB$3="","",IF(COUNTIFS(BD!$A$3:$A$5001,AB$3,BD!$B$3:$B$5001,$A$101,BD!$M$3:$M$5001,"&lt;&gt;")=0,"",SUMIFS(BD!$M$3:$M$5001,BD!$A$3:$A$5001,AB$3,BD!$B$3:$B$5001,$A$101)))</f>
        <v/>
      </c>
      <c r="AC111" s="166" t="str">
        <f>IF(AC$3="","",IF(COUNTIFS(BD!$A$3:$A$5001,AC$3,BD!$B$3:$B$5001,$A$101,BD!$M$3:$M$5001,"&lt;&gt;")=0,"",SUMIFS(BD!$M$3:$M$5001,BD!$A$3:$A$5001,AC$3,BD!$B$3:$B$5001,$A$101)))</f>
        <v/>
      </c>
      <c r="AD111" s="166" t="str">
        <f>IF(AD$3="","",IF(COUNTIFS(BD!$A$3:$A$5001,AD$3,BD!$B$3:$B$5001,$A$101,BD!$M$3:$M$5001,"&lt;&gt;")=0,"",SUMIFS(BD!$M$3:$M$5001,BD!$A$3:$A$5001,AD$3,BD!$B$3:$B$5001,$A$101)))</f>
        <v/>
      </c>
      <c r="AE111" s="166" t="str">
        <f>IF(AE$3="","",IF(COUNTIFS(BD!$A$3:$A$5001,AE$3,BD!$B$3:$B$5001,$A$101,BD!$M$3:$M$5001,"&lt;&gt;")=0,"",SUMIFS(BD!$M$3:$M$5001,BD!$A$3:$A$5001,AE$3,BD!$B$3:$B$5001,$A$101)))</f>
        <v/>
      </c>
      <c r="AF111" s="166" t="str">
        <f>IF(AF$3="","",IF(COUNTIFS(BD!$A$3:$A$5001,AF$3,BD!$B$3:$B$5001,$A$101,BD!$M$3:$M$5001,"&lt;&gt;")=0,"",SUMIFS(BD!$M$3:$M$5001,BD!$A$3:$A$5001,AF$3,BD!$B$3:$B$5001,$A$101)))</f>
        <v/>
      </c>
      <c r="AG111" s="166" t="str">
        <f>IF(AG$3="","",IF(COUNTIFS(BD!$A$3:$A$5001,AG$3,BD!$B$3:$B$5001,$A$101,BD!$M$3:$M$5001,"&lt;&gt;")=0,"",SUMIFS(BD!$M$3:$M$5001,BD!$A$3:$A$5001,AG$3,BD!$B$3:$B$5001,$A$101)))</f>
        <v/>
      </c>
      <c r="AH111" s="166" t="str">
        <f>IF(AH$3="","",IF(COUNTIFS(BD!$A$3:$A$5001,AH$3,BD!$B$3:$B$5001,$A$101,BD!$M$3:$M$5001,"&lt;&gt;")=0,"",SUMIFS(BD!$M$3:$M$5001,BD!$A$3:$A$5001,AH$3,BD!$B$3:$B$5001,$A$101)))</f>
        <v/>
      </c>
      <c r="AI111" s="166" t="str">
        <f>IF(AI$3="","",IF(COUNTIFS(BD!$A$3:$A$5001,AI$3,BD!$B$3:$B$5001,$A$101,BD!$M$3:$M$5001,"&lt;&gt;")=0,"",SUMIFS(BD!$M$3:$M$5001,BD!$A$3:$A$5001,AI$3,BD!$B$3:$B$5001,$A$101)))</f>
        <v/>
      </c>
      <c r="AJ111" s="167" t="str">
        <f>IF(AJ$3="","",IF(COUNTIFS(BD!$A$3:$A$5001,AJ$3,BD!$B$3:$B$5001,$A$101,BD!$M$3:$M$5001,"&lt;&gt;")=0,"",SUMIFS(BD!$M$3:$M$5001,BD!$A$3:$A$5001,AJ$3,BD!$B$3:$B$5001,$A$101)))</f>
        <v/>
      </c>
      <c r="AK111" s="168" t="str">
        <f>IFERROR(LOOKUP(9.99E+307,F111:AJ111),"")</f>
        <v/>
      </c>
    </row>
    <row r="112" ht="15.75" customHeight="1" hidden="1">
      <c r="A112" s="254"/>
      <c r="B112" s="243"/>
      <c r="C112" s="169" t="inlineStr">
        <is>
          <t xml:space="preserve">Taxa de Ocupação</t>
        </is>
      </c>
      <c r="D112" s="217" t="str">
        <f>IFERROR(1/(1/INDEX(BD!$Y$34:$AS$34,MATCH($A$101,BD!$Y$22:$AS$22,0))),"")</f>
        <v/>
      </c>
      <c r="E112" s="171"/>
      <c r="F112" s="218" t="str">
        <f>IF(AND(ISNUMBER(F110),ISNUMBER(F111)),IF(F110&gt;0,F111/F110,""),"")</f>
        <v/>
      </c>
      <c r="G112" s="219" t="str">
        <f>IF(AND(ISNUMBER(G110),ISNUMBER(G111)),IF(G110&gt;0,G111/G110,""),"")</f>
        <v/>
      </c>
      <c r="H112" s="219" t="str">
        <f>IF(AND(ISNUMBER(H110),ISNUMBER(H111)),IF(H110&gt;0,H111/H110,""),"")</f>
        <v/>
      </c>
      <c r="I112" s="219" t="str">
        <f>IF(AND(ISNUMBER(I110),ISNUMBER(I111)),IF(I110&gt;0,I111/I110,""),"")</f>
        <v/>
      </c>
      <c r="J112" s="219" t="str">
        <f>IF(AND(ISNUMBER(J110),ISNUMBER(J111)),IF(J110&gt;0,J111/J110,""),"")</f>
        <v/>
      </c>
      <c r="K112" s="219" t="str">
        <f>IF(AND(ISNUMBER(K110),ISNUMBER(K111)),IF(K110&gt;0,K111/K110,""),"")</f>
        <v/>
      </c>
      <c r="L112" s="219" t="str">
        <f>IF(AND(ISNUMBER(L110),ISNUMBER(L111)),IF(L110&gt;0,L111/L110,""),"")</f>
        <v/>
      </c>
      <c r="M112" s="219" t="str">
        <f>IF(AND(ISNUMBER(M110),ISNUMBER(M111)),IF(M110&gt;0,M111/M110,""),"")</f>
        <v/>
      </c>
      <c r="N112" s="219" t="str">
        <f>IF(AND(ISNUMBER(N110),ISNUMBER(N111)),IF(N110&gt;0,N111/N110,""),"")</f>
        <v/>
      </c>
      <c r="O112" s="219" t="str">
        <f>IF(AND(ISNUMBER(O110),ISNUMBER(O111)),IF(O110&gt;0,O111/O110,""),"")</f>
        <v/>
      </c>
      <c r="P112" s="219" t="str">
        <f>IF(AND(ISNUMBER(P110),ISNUMBER(P111)),IF(P110&gt;0,P111/P110,""),"")</f>
        <v/>
      </c>
      <c r="Q112" s="219" t="str">
        <f>IF(AND(ISNUMBER(Q110),ISNUMBER(Q111)),IF(Q110&gt;0,Q111/Q110,""),"")</f>
        <v/>
      </c>
      <c r="R112" s="219" t="str">
        <f>IF(AND(ISNUMBER(R110),ISNUMBER(R111)),IF(R110&gt;0,R111/R110,""),"")</f>
        <v/>
      </c>
      <c r="S112" s="219" t="str">
        <f>IF(AND(ISNUMBER(S110),ISNUMBER(S111)),IF(S110&gt;0,S111/S110,""),"")</f>
        <v/>
      </c>
      <c r="T112" s="219" t="str">
        <f>IF(AND(ISNUMBER(T110),ISNUMBER(T111)),IF(T110&gt;0,T111/T110,""),"")</f>
        <v/>
      </c>
      <c r="U112" s="219" t="str">
        <f>IF(AND(ISNUMBER(U110),ISNUMBER(U111)),IF(U110&gt;0,U111/U110,""),"")</f>
        <v/>
      </c>
      <c r="V112" s="219" t="str">
        <f>IF(AND(ISNUMBER(V110),ISNUMBER(V111)),IF(V110&gt;0,V111/V110,""),"")</f>
        <v/>
      </c>
      <c r="W112" s="219" t="str">
        <f>IF(AND(ISNUMBER(W110),ISNUMBER(W111)),IF(W110&gt;0,W111/W110,""),"")</f>
        <v/>
      </c>
      <c r="X112" s="219" t="str">
        <f>IF(AND(ISNUMBER(X110),ISNUMBER(X111)),IF(X110&gt;0,X111/X110,""),"")</f>
        <v/>
      </c>
      <c r="Y112" s="219" t="str">
        <f>IF(AND(ISNUMBER(Y110),ISNUMBER(Y111)),IF(Y110&gt;0,Y111/Y110,""),"")</f>
        <v/>
      </c>
      <c r="Z112" s="219" t="str">
        <f>IF(AND(ISNUMBER(Z110),ISNUMBER(Z111)),IF(Z110&gt;0,Z111/Z110,""),"")</f>
        <v/>
      </c>
      <c r="AA112" s="219" t="str">
        <f>IF(AND(ISNUMBER(AA110),ISNUMBER(AA111)),IF(AA110&gt;0,AA111/AA110,""),"")</f>
        <v/>
      </c>
      <c r="AB112" s="219" t="str">
        <f>IF(AND(ISNUMBER(AB110),ISNUMBER(AB111)),IF(AB110&gt;0,AB111/AB110,""),"")</f>
        <v/>
      </c>
      <c r="AC112" s="219" t="str">
        <f>IF(AND(ISNUMBER(AC110),ISNUMBER(AC111)),IF(AC110&gt;0,AC111/AC110,""),"")</f>
        <v/>
      </c>
      <c r="AD112" s="219" t="str">
        <f>IF(AND(ISNUMBER(AD110),ISNUMBER(AD111)),IF(AD110&gt;0,AD111/AD110,""),"")</f>
        <v/>
      </c>
      <c r="AE112" s="219" t="str">
        <f>IF(AND(ISNUMBER(AE110),ISNUMBER(AE111)),IF(AE110&gt;0,AE111/AE110,""),"")</f>
        <v/>
      </c>
      <c r="AF112" s="219" t="str">
        <f>IF(AND(ISNUMBER(AF110),ISNUMBER(AF111)),IF(AF110&gt;0,AF111/AF110,""),"")</f>
        <v/>
      </c>
      <c r="AG112" s="219" t="str">
        <f>IF(AND(ISNUMBER(AG110),ISNUMBER(AG111)),IF(AG110&gt;0,AG111/AG110,""),"")</f>
        <v/>
      </c>
      <c r="AH112" s="219" t="str">
        <f>IF(AND(ISNUMBER(AH110),ISNUMBER(AH111)),IF(AH110&gt;0,AH111/AH110,""),"")</f>
        <v/>
      </c>
      <c r="AI112" s="219" t="str">
        <f>IF(AND(ISNUMBER(AI110),ISNUMBER(AI111)),IF(AI110&gt;0,AI111/AI110,""),"")</f>
        <v/>
      </c>
      <c r="AJ112" s="220" t="str">
        <f>IF(AND(ISNUMBER(AJ110),ISNUMBER(AJ111)),IF(AJ110&gt;0,AJ111/AJ110,""),"")</f>
        <v/>
      </c>
      <c r="AK112" s="217" t="str">
        <f>IF(AND(ISNUMBER(AK110),ISNUMBER(AK111)),IF(AK110&gt;0,AK111/AK110,""),"")</f>
        <v/>
      </c>
    </row>
    <row r="113" ht="15.75" customHeight="1" hidden="1">
      <c r="A113" s="254"/>
      <c r="B113" s="250" t="inlineStr">
        <is>
          <t xml:space="preserve">GENTE</t>
        </is>
      </c>
      <c r="C113" s="221" t="inlineStr">
        <is>
          <t xml:space="preserve">Efetivo Op.</t>
        </is>
      </c>
      <c r="D113" s="222" t="str">
        <f>IFERROR(1/(1/INDEX(BD!$Y$35:$AS$35,MATCH($A$101,BD!$Y$22:$AS$22,0))),"")</f>
        <v/>
      </c>
      <c r="E113" s="223"/>
      <c r="F113" s="224" t="str">
        <f>IF(F$3="","",IF(COUNTIFS(BD!$A$3:$A$5001,F$3,BD!$B$3:$B$5001,$A$101,BD!$N$3:$N$5001,"&lt;&gt;")=0,"",SUMIFS(BD!$N$3:$N$5001,BD!$A$3:$A$5001,F$3,BD!$B$3:$B$5001,$A$101)))</f>
        <v/>
      </c>
      <c r="G113" s="225" t="str">
        <f>IF(G$3="","",IF(COUNTIFS(BD!$A$3:$A$5001,G$3,BD!$B$3:$B$5001,$A$101,BD!$N$3:$N$5001,"&lt;&gt;")=0,"",SUMIFS(BD!$N$3:$N$5001,BD!$A$3:$A$5001,G$3,BD!$B$3:$B$5001,$A$101)))</f>
        <v/>
      </c>
      <c r="H113" s="225" t="str">
        <f>IF(H$3="","",IF(COUNTIFS(BD!$A$3:$A$5001,H$3,BD!$B$3:$B$5001,$A$101,BD!$N$3:$N$5001,"&lt;&gt;")=0,"",SUMIFS(BD!$N$3:$N$5001,BD!$A$3:$A$5001,H$3,BD!$B$3:$B$5001,$A$101)))</f>
        <v/>
      </c>
      <c r="I113" s="225" t="str">
        <f>IF(I$3="","",IF(COUNTIFS(BD!$A$3:$A$5001,I$3,BD!$B$3:$B$5001,$A$101,BD!$N$3:$N$5001,"&lt;&gt;")=0,"",SUMIFS(BD!$N$3:$N$5001,BD!$A$3:$A$5001,I$3,BD!$B$3:$B$5001,$A$101)))</f>
        <v/>
      </c>
      <c r="J113" s="225" t="str">
        <f>IF(J$3="","",IF(COUNTIFS(BD!$A$3:$A$5001,J$3,BD!$B$3:$B$5001,$A$101,BD!$N$3:$N$5001,"&lt;&gt;")=0,"",SUMIFS(BD!$N$3:$N$5001,BD!$A$3:$A$5001,J$3,BD!$B$3:$B$5001,$A$101)))</f>
        <v/>
      </c>
      <c r="K113" s="225" t="str">
        <f>IF(K$3="","",IF(COUNTIFS(BD!$A$3:$A$5001,K$3,BD!$B$3:$B$5001,$A$101,BD!$N$3:$N$5001,"&lt;&gt;")=0,"",SUMIFS(BD!$N$3:$N$5001,BD!$A$3:$A$5001,K$3,BD!$B$3:$B$5001,$A$101)))</f>
        <v/>
      </c>
      <c r="L113" s="225" t="str">
        <f>IF(L$3="","",IF(COUNTIFS(BD!$A$3:$A$5001,L$3,BD!$B$3:$B$5001,$A$101,BD!$N$3:$N$5001,"&lt;&gt;")=0,"",SUMIFS(BD!$N$3:$N$5001,BD!$A$3:$A$5001,L$3,BD!$B$3:$B$5001,$A$101)))</f>
        <v/>
      </c>
      <c r="M113" s="225" t="str">
        <f>IF(M$3="","",IF(COUNTIFS(BD!$A$3:$A$5001,M$3,BD!$B$3:$B$5001,$A$101,BD!$N$3:$N$5001,"&lt;&gt;")=0,"",SUMIFS(BD!$N$3:$N$5001,BD!$A$3:$A$5001,M$3,BD!$B$3:$B$5001,$A$101)))</f>
        <v/>
      </c>
      <c r="N113" s="225" t="str">
        <f>IF(N$3="","",IF(COUNTIFS(BD!$A$3:$A$5001,N$3,BD!$B$3:$B$5001,$A$101,BD!$N$3:$N$5001,"&lt;&gt;")=0,"",SUMIFS(BD!$N$3:$N$5001,BD!$A$3:$A$5001,N$3,BD!$B$3:$B$5001,$A$101)))</f>
        <v/>
      </c>
      <c r="O113" s="225" t="str">
        <f>IF(O$3="","",IF(COUNTIFS(BD!$A$3:$A$5001,O$3,BD!$B$3:$B$5001,$A$101,BD!$N$3:$N$5001,"&lt;&gt;")=0,"",SUMIFS(BD!$N$3:$N$5001,BD!$A$3:$A$5001,O$3,BD!$B$3:$B$5001,$A$101)))</f>
        <v/>
      </c>
      <c r="P113" s="225" t="str">
        <f>IF(P$3="","",IF(COUNTIFS(BD!$A$3:$A$5001,P$3,BD!$B$3:$B$5001,$A$101,BD!$N$3:$N$5001,"&lt;&gt;")=0,"",SUMIFS(BD!$N$3:$N$5001,BD!$A$3:$A$5001,P$3,BD!$B$3:$B$5001,$A$101)))</f>
        <v/>
      </c>
      <c r="Q113" s="225" t="str">
        <f>IF(Q$3="","",IF(COUNTIFS(BD!$A$3:$A$5001,Q$3,BD!$B$3:$B$5001,$A$101,BD!$N$3:$N$5001,"&lt;&gt;")=0,"",SUMIFS(BD!$N$3:$N$5001,BD!$A$3:$A$5001,Q$3,BD!$B$3:$B$5001,$A$101)))</f>
        <v/>
      </c>
      <c r="R113" s="225" t="str">
        <f>IF(R$3="","",IF(COUNTIFS(BD!$A$3:$A$5001,R$3,BD!$B$3:$B$5001,$A$101,BD!$N$3:$N$5001,"&lt;&gt;")=0,"",SUMIFS(BD!$N$3:$N$5001,BD!$A$3:$A$5001,R$3,BD!$B$3:$B$5001,$A$101)))</f>
        <v/>
      </c>
      <c r="S113" s="225" t="str">
        <f>IF(S$3="","",IF(COUNTIFS(BD!$A$3:$A$5001,S$3,BD!$B$3:$B$5001,$A$101,BD!$N$3:$N$5001,"&lt;&gt;")=0,"",SUMIFS(BD!$N$3:$N$5001,BD!$A$3:$A$5001,S$3,BD!$B$3:$B$5001,$A$101)))</f>
        <v/>
      </c>
      <c r="T113" s="225" t="str">
        <f>IF(T$3="","",IF(COUNTIFS(BD!$A$3:$A$5001,T$3,BD!$B$3:$B$5001,$A$101,BD!$N$3:$N$5001,"&lt;&gt;")=0,"",SUMIFS(BD!$N$3:$N$5001,BD!$A$3:$A$5001,T$3,BD!$B$3:$B$5001,$A$101)))</f>
        <v/>
      </c>
      <c r="U113" s="225" t="str">
        <f>IF(U$3="","",IF(COUNTIFS(BD!$A$3:$A$5001,U$3,BD!$B$3:$B$5001,$A$101,BD!$N$3:$N$5001,"&lt;&gt;")=0,"",SUMIFS(BD!$N$3:$N$5001,BD!$A$3:$A$5001,U$3,BD!$B$3:$B$5001,$A$101)))</f>
        <v/>
      </c>
      <c r="V113" s="225" t="str">
        <f>IF(V$3="","",IF(COUNTIFS(BD!$A$3:$A$5001,V$3,BD!$B$3:$B$5001,$A$101,BD!$N$3:$N$5001,"&lt;&gt;")=0,"",SUMIFS(BD!$N$3:$N$5001,BD!$A$3:$A$5001,V$3,BD!$B$3:$B$5001,$A$101)))</f>
        <v/>
      </c>
      <c r="W113" s="225" t="str">
        <f>IF(W$3="","",IF(COUNTIFS(BD!$A$3:$A$5001,W$3,BD!$B$3:$B$5001,$A$101,BD!$N$3:$N$5001,"&lt;&gt;")=0,"",SUMIFS(BD!$N$3:$N$5001,BD!$A$3:$A$5001,W$3,BD!$B$3:$B$5001,$A$101)))</f>
        <v/>
      </c>
      <c r="X113" s="225" t="str">
        <f>IF(X$3="","",IF(COUNTIFS(BD!$A$3:$A$5001,X$3,BD!$B$3:$B$5001,$A$101,BD!$N$3:$N$5001,"&lt;&gt;")=0,"",SUMIFS(BD!$N$3:$N$5001,BD!$A$3:$A$5001,X$3,BD!$B$3:$B$5001,$A$101)))</f>
        <v/>
      </c>
      <c r="Y113" s="225" t="str">
        <f>IF(Y$3="","",IF(COUNTIFS(BD!$A$3:$A$5001,Y$3,BD!$B$3:$B$5001,$A$101,BD!$N$3:$N$5001,"&lt;&gt;")=0,"",SUMIFS(BD!$N$3:$N$5001,BD!$A$3:$A$5001,Y$3,BD!$B$3:$B$5001,$A$101)))</f>
        <v/>
      </c>
      <c r="Z113" s="225" t="str">
        <f>IF(Z$3="","",IF(COUNTIFS(BD!$A$3:$A$5001,Z$3,BD!$B$3:$B$5001,$A$101,BD!$N$3:$N$5001,"&lt;&gt;")=0,"",SUMIFS(BD!$N$3:$N$5001,BD!$A$3:$A$5001,Z$3,BD!$B$3:$B$5001,$A$101)))</f>
        <v/>
      </c>
      <c r="AA113" s="225" t="str">
        <f>IF(AA$3="","",IF(COUNTIFS(BD!$A$3:$A$5001,AA$3,BD!$B$3:$B$5001,$A$101,BD!$N$3:$N$5001,"&lt;&gt;")=0,"",SUMIFS(BD!$N$3:$N$5001,BD!$A$3:$A$5001,AA$3,BD!$B$3:$B$5001,$A$101)))</f>
        <v/>
      </c>
      <c r="AB113" s="225" t="str">
        <f>IF(AB$3="","",IF(COUNTIFS(BD!$A$3:$A$5001,AB$3,BD!$B$3:$B$5001,$A$101,BD!$N$3:$N$5001,"&lt;&gt;")=0,"",SUMIFS(BD!$N$3:$N$5001,BD!$A$3:$A$5001,AB$3,BD!$B$3:$B$5001,$A$101)))</f>
        <v/>
      </c>
      <c r="AC113" s="225" t="str">
        <f>IF(AC$3="","",IF(COUNTIFS(BD!$A$3:$A$5001,AC$3,BD!$B$3:$B$5001,$A$101,BD!$N$3:$N$5001,"&lt;&gt;")=0,"",SUMIFS(BD!$N$3:$N$5001,BD!$A$3:$A$5001,AC$3,BD!$B$3:$B$5001,$A$101)))</f>
        <v/>
      </c>
      <c r="AD113" s="225" t="str">
        <f>IF(AD$3="","",IF(COUNTIFS(BD!$A$3:$A$5001,AD$3,BD!$B$3:$B$5001,$A$101,BD!$N$3:$N$5001,"&lt;&gt;")=0,"",SUMIFS(BD!$N$3:$N$5001,BD!$A$3:$A$5001,AD$3,BD!$B$3:$B$5001,$A$101)))</f>
        <v/>
      </c>
      <c r="AE113" s="225" t="str">
        <f>IF(AE$3="","",IF(COUNTIFS(BD!$A$3:$A$5001,AE$3,BD!$B$3:$B$5001,$A$101,BD!$N$3:$N$5001,"&lt;&gt;")=0,"",SUMIFS(BD!$N$3:$N$5001,BD!$A$3:$A$5001,AE$3,BD!$B$3:$B$5001,$A$101)))</f>
        <v/>
      </c>
      <c r="AF113" s="225" t="str">
        <f>IF(AF$3="","",IF(COUNTIFS(BD!$A$3:$A$5001,AF$3,BD!$B$3:$B$5001,$A$101,BD!$N$3:$N$5001,"&lt;&gt;")=0,"",SUMIFS(BD!$N$3:$N$5001,BD!$A$3:$A$5001,AF$3,BD!$B$3:$B$5001,$A$101)))</f>
        <v/>
      </c>
      <c r="AG113" s="225" t="str">
        <f>IF(AG$3="","",IF(COUNTIFS(BD!$A$3:$A$5001,AG$3,BD!$B$3:$B$5001,$A$101,BD!$N$3:$N$5001,"&lt;&gt;")=0,"",SUMIFS(BD!$N$3:$N$5001,BD!$A$3:$A$5001,AG$3,BD!$B$3:$B$5001,$A$101)))</f>
        <v/>
      </c>
      <c r="AH113" s="225" t="str">
        <f>IF(AH$3="","",IF(COUNTIFS(BD!$A$3:$A$5001,AH$3,BD!$B$3:$B$5001,$A$101,BD!$N$3:$N$5001,"&lt;&gt;")=0,"",SUMIFS(BD!$N$3:$N$5001,BD!$A$3:$A$5001,AH$3,BD!$B$3:$B$5001,$A$101)))</f>
        <v/>
      </c>
      <c r="AI113" s="225" t="str">
        <f>IF(AI$3="","",IF(COUNTIFS(BD!$A$3:$A$5001,AI$3,BD!$B$3:$B$5001,$A$101,BD!$N$3:$N$5001,"&lt;&gt;")=0,"",SUMIFS(BD!$N$3:$N$5001,BD!$A$3:$A$5001,AI$3,BD!$B$3:$B$5001,$A$101)))</f>
        <v/>
      </c>
      <c r="AJ113" s="226" t="str">
        <f>IF(AJ$3="","",IF(COUNTIFS(BD!$A$3:$A$5001,AJ$3,BD!$B$3:$B$5001,$A$101,BD!$N$3:$N$5001,"&lt;&gt;")=0,"",SUMIFS(BD!$N$3:$N$5001,BD!$A$3:$A$5001,AJ$3,BD!$B$3:$B$5001,$A$101)))</f>
        <v/>
      </c>
      <c r="AK113" s="227" t="str">
        <f>IFERROR(LOOKUP(9.99E+307,F113:AJ113),"")</f>
        <v/>
      </c>
    </row>
    <row r="114" ht="15.75" customHeight="1" hidden="1">
      <c r="A114" s="254"/>
      <c r="B114" s="251"/>
      <c r="C114" s="228" t="inlineStr">
        <is>
          <t xml:space="preserve">Falta</t>
        </is>
      </c>
      <c r="D114" s="229" t="str">
        <f>IFERROR(1/(1/INDEX(BD!$Y$36:$AS$36,MATCH($A$101,BD!$Y$22:$AS$22,0))),"")</f>
        <v/>
      </c>
      <c r="E114" s="230"/>
      <c r="F114" s="231" t="str">
        <f>IF(F$3="","",IF(COUNTIFS(BD!$A$3:$A$5001,F$3,BD!$B$3:$B$5001,$A$101,BD!$O$3:$O$5001,"&lt;&gt;")=0,"",SUMIFS(BD!$O$3:$O$5001,BD!$A$3:$A$5001,F$3,BD!$B$3:$B$5001,$A$101)))</f>
        <v/>
      </c>
      <c r="G114" s="232" t="str">
        <f>IF(G$3="","",IF(COUNTIFS(BD!$A$3:$A$5001,G$3,BD!$B$3:$B$5001,$A$101,BD!$O$3:$O$5001,"&lt;&gt;")=0,"",SUMIFS(BD!$O$3:$O$5001,BD!$A$3:$A$5001,G$3,BD!$B$3:$B$5001,$A$101)))</f>
        <v/>
      </c>
      <c r="H114" s="232" t="str">
        <f>IF(H$3="","",IF(COUNTIFS(BD!$A$3:$A$5001,H$3,BD!$B$3:$B$5001,$A$101,BD!$O$3:$O$5001,"&lt;&gt;")=0,"",SUMIFS(BD!$O$3:$O$5001,BD!$A$3:$A$5001,H$3,BD!$B$3:$B$5001,$A$101)))</f>
        <v/>
      </c>
      <c r="I114" s="232" t="str">
        <f>IF(I$3="","",IF(COUNTIFS(BD!$A$3:$A$5001,I$3,BD!$B$3:$B$5001,$A$101,BD!$O$3:$O$5001,"&lt;&gt;")=0,"",SUMIFS(BD!$O$3:$O$5001,BD!$A$3:$A$5001,I$3,BD!$B$3:$B$5001,$A$101)))</f>
        <v/>
      </c>
      <c r="J114" s="232" t="str">
        <f>IF(J$3="","",IF(COUNTIFS(BD!$A$3:$A$5001,J$3,BD!$B$3:$B$5001,$A$101,BD!$O$3:$O$5001,"&lt;&gt;")=0,"",SUMIFS(BD!$O$3:$O$5001,BD!$A$3:$A$5001,J$3,BD!$B$3:$B$5001,$A$101)))</f>
        <v/>
      </c>
      <c r="K114" s="232" t="str">
        <f>IF(K$3="","",IF(COUNTIFS(BD!$A$3:$A$5001,K$3,BD!$B$3:$B$5001,$A$101,BD!$O$3:$O$5001,"&lt;&gt;")=0,"",SUMIFS(BD!$O$3:$O$5001,BD!$A$3:$A$5001,K$3,BD!$B$3:$B$5001,$A$101)))</f>
        <v/>
      </c>
      <c r="L114" s="232" t="str">
        <f>IF(L$3="","",IF(COUNTIFS(BD!$A$3:$A$5001,L$3,BD!$B$3:$B$5001,$A$101,BD!$O$3:$O$5001,"&lt;&gt;")=0,"",SUMIFS(BD!$O$3:$O$5001,BD!$A$3:$A$5001,L$3,BD!$B$3:$B$5001,$A$101)))</f>
        <v/>
      </c>
      <c r="M114" s="232" t="str">
        <f>IF(M$3="","",IF(COUNTIFS(BD!$A$3:$A$5001,M$3,BD!$B$3:$B$5001,$A$101,BD!$O$3:$O$5001,"&lt;&gt;")=0,"",SUMIFS(BD!$O$3:$O$5001,BD!$A$3:$A$5001,M$3,BD!$B$3:$B$5001,$A$101)))</f>
        <v/>
      </c>
      <c r="N114" s="232" t="str">
        <f>IF(N$3="","",IF(COUNTIFS(BD!$A$3:$A$5001,N$3,BD!$B$3:$B$5001,$A$101,BD!$O$3:$O$5001,"&lt;&gt;")=0,"",SUMIFS(BD!$O$3:$O$5001,BD!$A$3:$A$5001,N$3,BD!$B$3:$B$5001,$A$101)))</f>
        <v/>
      </c>
      <c r="O114" s="232" t="str">
        <f>IF(O$3="","",IF(COUNTIFS(BD!$A$3:$A$5001,O$3,BD!$B$3:$B$5001,$A$101,BD!$O$3:$O$5001,"&lt;&gt;")=0,"",SUMIFS(BD!$O$3:$O$5001,BD!$A$3:$A$5001,O$3,BD!$B$3:$B$5001,$A$101)))</f>
        <v/>
      </c>
      <c r="P114" s="232" t="str">
        <f>IF(P$3="","",IF(COUNTIFS(BD!$A$3:$A$5001,P$3,BD!$B$3:$B$5001,$A$101,BD!$O$3:$O$5001,"&lt;&gt;")=0,"",SUMIFS(BD!$O$3:$O$5001,BD!$A$3:$A$5001,P$3,BD!$B$3:$B$5001,$A$101)))</f>
        <v/>
      </c>
      <c r="Q114" s="232" t="str">
        <f>IF(Q$3="","",IF(COUNTIFS(BD!$A$3:$A$5001,Q$3,BD!$B$3:$B$5001,$A$101,BD!$O$3:$O$5001,"&lt;&gt;")=0,"",SUMIFS(BD!$O$3:$O$5001,BD!$A$3:$A$5001,Q$3,BD!$B$3:$B$5001,$A$101)))</f>
        <v/>
      </c>
      <c r="R114" s="232" t="str">
        <f>IF(R$3="","",IF(COUNTIFS(BD!$A$3:$A$5001,R$3,BD!$B$3:$B$5001,$A$101,BD!$O$3:$O$5001,"&lt;&gt;")=0,"",SUMIFS(BD!$O$3:$O$5001,BD!$A$3:$A$5001,R$3,BD!$B$3:$B$5001,$A$101)))</f>
        <v/>
      </c>
      <c r="S114" s="232" t="str">
        <f>IF(S$3="","",IF(COUNTIFS(BD!$A$3:$A$5001,S$3,BD!$B$3:$B$5001,$A$101,BD!$O$3:$O$5001,"&lt;&gt;")=0,"",SUMIFS(BD!$O$3:$O$5001,BD!$A$3:$A$5001,S$3,BD!$B$3:$B$5001,$A$101)))</f>
        <v/>
      </c>
      <c r="T114" s="232" t="str">
        <f>IF(T$3="","",IF(COUNTIFS(BD!$A$3:$A$5001,T$3,BD!$B$3:$B$5001,$A$101,BD!$O$3:$O$5001,"&lt;&gt;")=0,"",SUMIFS(BD!$O$3:$O$5001,BD!$A$3:$A$5001,T$3,BD!$B$3:$B$5001,$A$101)))</f>
        <v/>
      </c>
      <c r="U114" s="232" t="str">
        <f>IF(U$3="","",IF(COUNTIFS(BD!$A$3:$A$5001,U$3,BD!$B$3:$B$5001,$A$101,BD!$O$3:$O$5001,"&lt;&gt;")=0,"",SUMIFS(BD!$O$3:$O$5001,BD!$A$3:$A$5001,U$3,BD!$B$3:$B$5001,$A$101)))</f>
        <v/>
      </c>
      <c r="V114" s="232" t="str">
        <f>IF(V$3="","",IF(COUNTIFS(BD!$A$3:$A$5001,V$3,BD!$B$3:$B$5001,$A$101,BD!$O$3:$O$5001,"&lt;&gt;")=0,"",SUMIFS(BD!$O$3:$O$5001,BD!$A$3:$A$5001,V$3,BD!$B$3:$B$5001,$A$101)))</f>
        <v/>
      </c>
      <c r="W114" s="232" t="str">
        <f>IF(W$3="","",IF(COUNTIFS(BD!$A$3:$A$5001,W$3,BD!$B$3:$B$5001,$A$101,BD!$O$3:$O$5001,"&lt;&gt;")=0,"",SUMIFS(BD!$O$3:$O$5001,BD!$A$3:$A$5001,W$3,BD!$B$3:$B$5001,$A$101)))</f>
        <v/>
      </c>
      <c r="X114" s="232" t="str">
        <f>IF(X$3="","",IF(COUNTIFS(BD!$A$3:$A$5001,X$3,BD!$B$3:$B$5001,$A$101,BD!$O$3:$O$5001,"&lt;&gt;")=0,"",SUMIFS(BD!$O$3:$O$5001,BD!$A$3:$A$5001,X$3,BD!$B$3:$B$5001,$A$101)))</f>
        <v/>
      </c>
      <c r="Y114" s="232" t="str">
        <f>IF(Y$3="","",IF(COUNTIFS(BD!$A$3:$A$5001,Y$3,BD!$B$3:$B$5001,$A$101,BD!$O$3:$O$5001,"&lt;&gt;")=0,"",SUMIFS(BD!$O$3:$O$5001,BD!$A$3:$A$5001,Y$3,BD!$B$3:$B$5001,$A$101)))</f>
        <v/>
      </c>
      <c r="Z114" s="232" t="str">
        <f>IF(Z$3="","",IF(COUNTIFS(BD!$A$3:$A$5001,Z$3,BD!$B$3:$B$5001,$A$101,BD!$O$3:$O$5001,"&lt;&gt;")=0,"",SUMIFS(BD!$O$3:$O$5001,BD!$A$3:$A$5001,Z$3,BD!$B$3:$B$5001,$A$101)))</f>
        <v/>
      </c>
      <c r="AA114" s="232" t="str">
        <f>IF(AA$3="","",IF(COUNTIFS(BD!$A$3:$A$5001,AA$3,BD!$B$3:$B$5001,$A$101,BD!$O$3:$O$5001,"&lt;&gt;")=0,"",SUMIFS(BD!$O$3:$O$5001,BD!$A$3:$A$5001,AA$3,BD!$B$3:$B$5001,$A$101)))</f>
        <v/>
      </c>
      <c r="AB114" s="232" t="str">
        <f>IF(AB$3="","",IF(COUNTIFS(BD!$A$3:$A$5001,AB$3,BD!$B$3:$B$5001,$A$101,BD!$O$3:$O$5001,"&lt;&gt;")=0,"",SUMIFS(BD!$O$3:$O$5001,BD!$A$3:$A$5001,AB$3,BD!$B$3:$B$5001,$A$101)))</f>
        <v/>
      </c>
      <c r="AC114" s="232" t="str">
        <f>IF(AC$3="","",IF(COUNTIFS(BD!$A$3:$A$5001,AC$3,BD!$B$3:$B$5001,$A$101,BD!$O$3:$O$5001,"&lt;&gt;")=0,"",SUMIFS(BD!$O$3:$O$5001,BD!$A$3:$A$5001,AC$3,BD!$B$3:$B$5001,$A$101)))</f>
        <v/>
      </c>
      <c r="AD114" s="232" t="str">
        <f>IF(AD$3="","",IF(COUNTIFS(BD!$A$3:$A$5001,AD$3,BD!$B$3:$B$5001,$A$101,BD!$O$3:$O$5001,"&lt;&gt;")=0,"",SUMIFS(BD!$O$3:$O$5001,BD!$A$3:$A$5001,AD$3,BD!$B$3:$B$5001,$A$101)))</f>
        <v/>
      </c>
      <c r="AE114" s="232" t="str">
        <f>IF(AE$3="","",IF(COUNTIFS(BD!$A$3:$A$5001,AE$3,BD!$B$3:$B$5001,$A$101,BD!$O$3:$O$5001,"&lt;&gt;")=0,"",SUMIFS(BD!$O$3:$O$5001,BD!$A$3:$A$5001,AE$3,BD!$B$3:$B$5001,$A$101)))</f>
        <v/>
      </c>
      <c r="AF114" s="232" t="str">
        <f>IF(AF$3="","",IF(COUNTIFS(BD!$A$3:$A$5001,AF$3,BD!$B$3:$B$5001,$A$101,BD!$O$3:$O$5001,"&lt;&gt;")=0,"",SUMIFS(BD!$O$3:$O$5001,BD!$A$3:$A$5001,AF$3,BD!$B$3:$B$5001,$A$101)))</f>
        <v/>
      </c>
      <c r="AG114" s="232" t="str">
        <f>IF(AG$3="","",IF(COUNTIFS(BD!$A$3:$A$5001,AG$3,BD!$B$3:$B$5001,$A$101,BD!$O$3:$O$5001,"&lt;&gt;")=0,"",SUMIFS(BD!$O$3:$O$5001,BD!$A$3:$A$5001,AG$3,BD!$B$3:$B$5001,$A$101)))</f>
        <v/>
      </c>
      <c r="AH114" s="232" t="str">
        <f>IF(AH$3="","",IF(COUNTIFS(BD!$A$3:$A$5001,AH$3,BD!$B$3:$B$5001,$A$101,BD!$O$3:$O$5001,"&lt;&gt;")=0,"",SUMIFS(BD!$O$3:$O$5001,BD!$A$3:$A$5001,AH$3,BD!$B$3:$B$5001,$A$101)))</f>
        <v/>
      </c>
      <c r="AI114" s="232" t="str">
        <f>IF(AI$3="","",IF(COUNTIFS(BD!$A$3:$A$5001,AI$3,BD!$B$3:$B$5001,$A$101,BD!$O$3:$O$5001,"&lt;&gt;")=0,"",SUMIFS(BD!$O$3:$O$5001,BD!$A$3:$A$5001,AI$3,BD!$B$3:$B$5001,$A$101)))</f>
        <v/>
      </c>
      <c r="AJ114" s="233" t="str">
        <f>IF(AJ$3="","",IF(COUNTIFS(BD!$A$3:$A$5001,AJ$3,BD!$B$3:$B$5001,$A$101,BD!$O$3:$O$5001,"&lt;&gt;")=0,"",SUMIFS(BD!$O$3:$O$5001,BD!$A$3:$A$5001,AJ$3,BD!$B$3:$B$5001,$A$101)))</f>
        <v/>
      </c>
      <c r="AK114" s="234" t="str">
        <f>IF(COUNT(F114:AJ114)=0,"",SUM(F114:AJ114))</f>
        <v/>
      </c>
    </row>
    <row r="115" ht="15.75" customHeight="1" hidden="1">
      <c r="A115" s="254"/>
      <c r="B115" s="251"/>
      <c r="C115" s="228" t="inlineStr">
        <is>
          <t xml:space="preserve">Folga</t>
        </is>
      </c>
      <c r="D115" s="229" t="str">
        <f>IFERROR(1/(1/INDEX(BD!$Y$37:$AS$37,MATCH($A$101,BD!$Y$22:$AS$22,0))),"")</f>
        <v/>
      </c>
      <c r="E115" s="230"/>
      <c r="F115" s="231" t="str">
        <f>IF(F$3="","",IF(COUNTIFS(BD!$A$3:$A$5001,F$3,BD!$B$3:$B$5001,$A$101,BD!$P$3:$P$5001,"&lt;&gt;")=0,"",SUMIFS(BD!$P$3:$P$5001,BD!$A$3:$A$5001,F$3,BD!$B$3:$B$5001,$A$101)))</f>
        <v/>
      </c>
      <c r="G115" s="232" t="str">
        <f>IF(G$3="","",IF(COUNTIFS(BD!$A$3:$A$5001,G$3,BD!$B$3:$B$5001,$A$101,BD!$P$3:$P$5001,"&lt;&gt;")=0,"",SUMIFS(BD!$P$3:$P$5001,BD!$A$3:$A$5001,G$3,BD!$B$3:$B$5001,$A$101)))</f>
        <v/>
      </c>
      <c r="H115" s="232" t="str">
        <f>IF(H$3="","",IF(COUNTIFS(BD!$A$3:$A$5001,H$3,BD!$B$3:$B$5001,$A$101,BD!$P$3:$P$5001,"&lt;&gt;")=0,"",SUMIFS(BD!$P$3:$P$5001,BD!$A$3:$A$5001,H$3,BD!$B$3:$B$5001,$A$101)))</f>
        <v/>
      </c>
      <c r="I115" s="232" t="str">
        <f>IF(I$3="","",IF(COUNTIFS(BD!$A$3:$A$5001,I$3,BD!$B$3:$B$5001,$A$101,BD!$P$3:$P$5001,"&lt;&gt;")=0,"",SUMIFS(BD!$P$3:$P$5001,BD!$A$3:$A$5001,I$3,BD!$B$3:$B$5001,$A$101)))</f>
        <v/>
      </c>
      <c r="J115" s="232" t="str">
        <f>IF(J$3="","",IF(COUNTIFS(BD!$A$3:$A$5001,J$3,BD!$B$3:$B$5001,$A$101,BD!$P$3:$P$5001,"&lt;&gt;")=0,"",SUMIFS(BD!$P$3:$P$5001,BD!$A$3:$A$5001,J$3,BD!$B$3:$B$5001,$A$101)))</f>
        <v/>
      </c>
      <c r="K115" s="232" t="str">
        <f>IF(K$3="","",IF(COUNTIFS(BD!$A$3:$A$5001,K$3,BD!$B$3:$B$5001,$A$101,BD!$P$3:$P$5001,"&lt;&gt;")=0,"",SUMIFS(BD!$P$3:$P$5001,BD!$A$3:$A$5001,K$3,BD!$B$3:$B$5001,$A$101)))</f>
        <v/>
      </c>
      <c r="L115" s="232" t="str">
        <f>IF(L$3="","",IF(COUNTIFS(BD!$A$3:$A$5001,L$3,BD!$B$3:$B$5001,$A$101,BD!$P$3:$P$5001,"&lt;&gt;")=0,"",SUMIFS(BD!$P$3:$P$5001,BD!$A$3:$A$5001,L$3,BD!$B$3:$B$5001,$A$101)))</f>
        <v/>
      </c>
      <c r="M115" s="232" t="str">
        <f>IF(M$3="","",IF(COUNTIFS(BD!$A$3:$A$5001,M$3,BD!$B$3:$B$5001,$A$101,BD!$P$3:$P$5001,"&lt;&gt;")=0,"",SUMIFS(BD!$P$3:$P$5001,BD!$A$3:$A$5001,M$3,BD!$B$3:$B$5001,$A$101)))</f>
        <v/>
      </c>
      <c r="N115" s="232" t="str">
        <f>IF(N$3="","",IF(COUNTIFS(BD!$A$3:$A$5001,N$3,BD!$B$3:$B$5001,$A$101,BD!$P$3:$P$5001,"&lt;&gt;")=0,"",SUMIFS(BD!$P$3:$P$5001,BD!$A$3:$A$5001,N$3,BD!$B$3:$B$5001,$A$101)))</f>
        <v/>
      </c>
      <c r="O115" s="232" t="str">
        <f>IF(O$3="","",IF(COUNTIFS(BD!$A$3:$A$5001,O$3,BD!$B$3:$B$5001,$A$101,BD!$P$3:$P$5001,"&lt;&gt;")=0,"",SUMIFS(BD!$P$3:$P$5001,BD!$A$3:$A$5001,O$3,BD!$B$3:$B$5001,$A$101)))</f>
        <v/>
      </c>
      <c r="P115" s="232" t="str">
        <f>IF(P$3="","",IF(COUNTIFS(BD!$A$3:$A$5001,P$3,BD!$B$3:$B$5001,$A$101,BD!$P$3:$P$5001,"&lt;&gt;")=0,"",SUMIFS(BD!$P$3:$P$5001,BD!$A$3:$A$5001,P$3,BD!$B$3:$B$5001,$A$101)))</f>
        <v/>
      </c>
      <c r="Q115" s="232" t="str">
        <f>IF(Q$3="","",IF(COUNTIFS(BD!$A$3:$A$5001,Q$3,BD!$B$3:$B$5001,$A$101,BD!$P$3:$P$5001,"&lt;&gt;")=0,"",SUMIFS(BD!$P$3:$P$5001,BD!$A$3:$A$5001,Q$3,BD!$B$3:$B$5001,$A$101)))</f>
        <v/>
      </c>
      <c r="R115" s="232" t="str">
        <f>IF(R$3="","",IF(COUNTIFS(BD!$A$3:$A$5001,R$3,BD!$B$3:$B$5001,$A$101,BD!$P$3:$P$5001,"&lt;&gt;")=0,"",SUMIFS(BD!$P$3:$P$5001,BD!$A$3:$A$5001,R$3,BD!$B$3:$B$5001,$A$101)))</f>
        <v/>
      </c>
      <c r="S115" s="232" t="str">
        <f>IF(S$3="","",IF(COUNTIFS(BD!$A$3:$A$5001,S$3,BD!$B$3:$B$5001,$A$101,BD!$P$3:$P$5001,"&lt;&gt;")=0,"",SUMIFS(BD!$P$3:$P$5001,BD!$A$3:$A$5001,S$3,BD!$B$3:$B$5001,$A$101)))</f>
        <v/>
      </c>
      <c r="T115" s="232" t="str">
        <f>IF(T$3="","",IF(COUNTIFS(BD!$A$3:$A$5001,T$3,BD!$B$3:$B$5001,$A$101,BD!$P$3:$P$5001,"&lt;&gt;")=0,"",SUMIFS(BD!$P$3:$P$5001,BD!$A$3:$A$5001,T$3,BD!$B$3:$B$5001,$A$101)))</f>
        <v/>
      </c>
      <c r="U115" s="232" t="str">
        <f>IF(U$3="","",IF(COUNTIFS(BD!$A$3:$A$5001,U$3,BD!$B$3:$B$5001,$A$101,BD!$P$3:$P$5001,"&lt;&gt;")=0,"",SUMIFS(BD!$P$3:$P$5001,BD!$A$3:$A$5001,U$3,BD!$B$3:$B$5001,$A$101)))</f>
        <v/>
      </c>
      <c r="V115" s="232" t="str">
        <f>IF(V$3="","",IF(COUNTIFS(BD!$A$3:$A$5001,V$3,BD!$B$3:$B$5001,$A$101,BD!$P$3:$P$5001,"&lt;&gt;")=0,"",SUMIFS(BD!$P$3:$P$5001,BD!$A$3:$A$5001,V$3,BD!$B$3:$B$5001,$A$101)))</f>
        <v/>
      </c>
      <c r="W115" s="232" t="str">
        <f>IF(W$3="","",IF(COUNTIFS(BD!$A$3:$A$5001,W$3,BD!$B$3:$B$5001,$A$101,BD!$P$3:$P$5001,"&lt;&gt;")=0,"",SUMIFS(BD!$P$3:$P$5001,BD!$A$3:$A$5001,W$3,BD!$B$3:$B$5001,$A$101)))</f>
        <v/>
      </c>
      <c r="X115" s="232" t="str">
        <f>IF(X$3="","",IF(COUNTIFS(BD!$A$3:$A$5001,X$3,BD!$B$3:$B$5001,$A$101,BD!$P$3:$P$5001,"&lt;&gt;")=0,"",SUMIFS(BD!$P$3:$P$5001,BD!$A$3:$A$5001,X$3,BD!$B$3:$B$5001,$A$101)))</f>
        <v/>
      </c>
      <c r="Y115" s="232" t="str">
        <f>IF(Y$3="","",IF(COUNTIFS(BD!$A$3:$A$5001,Y$3,BD!$B$3:$B$5001,$A$101,BD!$P$3:$P$5001,"&lt;&gt;")=0,"",SUMIFS(BD!$P$3:$P$5001,BD!$A$3:$A$5001,Y$3,BD!$B$3:$B$5001,$A$101)))</f>
        <v/>
      </c>
      <c r="Z115" s="232" t="str">
        <f>IF(Z$3="","",IF(COUNTIFS(BD!$A$3:$A$5001,Z$3,BD!$B$3:$B$5001,$A$101,BD!$P$3:$P$5001,"&lt;&gt;")=0,"",SUMIFS(BD!$P$3:$P$5001,BD!$A$3:$A$5001,Z$3,BD!$B$3:$B$5001,$A$101)))</f>
        <v/>
      </c>
      <c r="AA115" s="232" t="str">
        <f>IF(AA$3="","",IF(COUNTIFS(BD!$A$3:$A$5001,AA$3,BD!$B$3:$B$5001,$A$101,BD!$P$3:$P$5001,"&lt;&gt;")=0,"",SUMIFS(BD!$P$3:$P$5001,BD!$A$3:$A$5001,AA$3,BD!$B$3:$B$5001,$A$101)))</f>
        <v/>
      </c>
      <c r="AB115" s="232" t="str">
        <f>IF(AB$3="","",IF(COUNTIFS(BD!$A$3:$A$5001,AB$3,BD!$B$3:$B$5001,$A$101,BD!$P$3:$P$5001,"&lt;&gt;")=0,"",SUMIFS(BD!$P$3:$P$5001,BD!$A$3:$A$5001,AB$3,BD!$B$3:$B$5001,$A$101)))</f>
        <v/>
      </c>
      <c r="AC115" s="232" t="str">
        <f>IF(AC$3="","",IF(COUNTIFS(BD!$A$3:$A$5001,AC$3,BD!$B$3:$B$5001,$A$101,BD!$P$3:$P$5001,"&lt;&gt;")=0,"",SUMIFS(BD!$P$3:$P$5001,BD!$A$3:$A$5001,AC$3,BD!$B$3:$B$5001,$A$101)))</f>
        <v/>
      </c>
      <c r="AD115" s="232" t="str">
        <f>IF(AD$3="","",IF(COUNTIFS(BD!$A$3:$A$5001,AD$3,BD!$B$3:$B$5001,$A$101,BD!$P$3:$P$5001,"&lt;&gt;")=0,"",SUMIFS(BD!$P$3:$P$5001,BD!$A$3:$A$5001,AD$3,BD!$B$3:$B$5001,$A$101)))</f>
        <v/>
      </c>
      <c r="AE115" s="232" t="str">
        <f>IF(AE$3="","",IF(COUNTIFS(BD!$A$3:$A$5001,AE$3,BD!$B$3:$B$5001,$A$101,BD!$P$3:$P$5001,"&lt;&gt;")=0,"",SUMIFS(BD!$P$3:$P$5001,BD!$A$3:$A$5001,AE$3,BD!$B$3:$B$5001,$A$101)))</f>
        <v/>
      </c>
      <c r="AF115" s="232" t="str">
        <f>IF(AF$3="","",IF(COUNTIFS(BD!$A$3:$A$5001,AF$3,BD!$B$3:$B$5001,$A$101,BD!$P$3:$P$5001,"&lt;&gt;")=0,"",SUMIFS(BD!$P$3:$P$5001,BD!$A$3:$A$5001,AF$3,BD!$B$3:$B$5001,$A$101)))</f>
        <v/>
      </c>
      <c r="AG115" s="232" t="str">
        <f>IF(AG$3="","",IF(COUNTIFS(BD!$A$3:$A$5001,AG$3,BD!$B$3:$B$5001,$A$101,BD!$P$3:$P$5001,"&lt;&gt;")=0,"",SUMIFS(BD!$P$3:$P$5001,BD!$A$3:$A$5001,AG$3,BD!$B$3:$B$5001,$A$101)))</f>
        <v/>
      </c>
      <c r="AH115" s="232" t="str">
        <f>IF(AH$3="","",IF(COUNTIFS(BD!$A$3:$A$5001,AH$3,BD!$B$3:$B$5001,$A$101,BD!$P$3:$P$5001,"&lt;&gt;")=0,"",SUMIFS(BD!$P$3:$P$5001,BD!$A$3:$A$5001,AH$3,BD!$B$3:$B$5001,$A$101)))</f>
        <v/>
      </c>
      <c r="AI115" s="232" t="str">
        <f>IF(AI$3="","",IF(COUNTIFS(BD!$A$3:$A$5001,AI$3,BD!$B$3:$B$5001,$A$101,BD!$P$3:$P$5001,"&lt;&gt;")=0,"",SUMIFS(BD!$P$3:$P$5001,BD!$A$3:$A$5001,AI$3,BD!$B$3:$B$5001,$A$101)))</f>
        <v/>
      </c>
      <c r="AJ115" s="233" t="str">
        <f>IF(AJ$3="","",IF(COUNTIFS(BD!$A$3:$A$5001,AJ$3,BD!$B$3:$B$5001,$A$101,BD!$P$3:$P$5001,"&lt;&gt;")=0,"",SUMIFS(BD!$P$3:$P$5001,BD!$A$3:$A$5001,AJ$3,BD!$B$3:$B$5001,$A$101)))</f>
        <v/>
      </c>
      <c r="AK115" s="234" t="str">
        <f>IF(COUNT(F115:AJ115)=0,"",SUM(F115:AJ115))</f>
        <v/>
      </c>
    </row>
    <row r="116" ht="15.75" customHeight="1" hidden="1">
      <c r="A116" s="254"/>
      <c r="B116" s="251"/>
      <c r="C116" s="228" t="inlineStr">
        <is>
          <t xml:space="preserve">Férias</t>
        </is>
      </c>
      <c r="D116" s="229" t="str">
        <f>IFERROR(1/(1/INDEX(BD!$Y$38:$AS$38,MATCH($A$101,BD!$Y$22:$AS$22,0))),"")</f>
        <v/>
      </c>
      <c r="E116" s="230"/>
      <c r="F116" s="231" t="str">
        <f>IF(F$3="","",IF(COUNTIFS(BD!$A$3:$A$5001,F$3,BD!$B$3:$B$5001,$A$101,BD!$Q$3:$Q$5001,"&lt;&gt;")=0,"",SUMIFS(BD!$Q$3:$Q$5001,BD!$A$3:$A$5001,F$3,BD!$B$3:$B$5001,$A$101)))</f>
        <v/>
      </c>
      <c r="G116" s="232" t="str">
        <f>IF(G$3="","",IF(COUNTIFS(BD!$A$3:$A$5001,G$3,BD!$B$3:$B$5001,$A$101,BD!$Q$3:$Q$5001,"&lt;&gt;")=0,"",SUMIFS(BD!$Q$3:$Q$5001,BD!$A$3:$A$5001,G$3,BD!$B$3:$B$5001,$A$101)))</f>
        <v/>
      </c>
      <c r="H116" s="232" t="str">
        <f>IF(H$3="","",IF(COUNTIFS(BD!$A$3:$A$5001,H$3,BD!$B$3:$B$5001,$A$101,BD!$Q$3:$Q$5001,"&lt;&gt;")=0,"",SUMIFS(BD!$Q$3:$Q$5001,BD!$A$3:$A$5001,H$3,BD!$B$3:$B$5001,$A$101)))</f>
        <v/>
      </c>
      <c r="I116" s="232" t="str">
        <f>IF(I$3="","",IF(COUNTIFS(BD!$A$3:$A$5001,I$3,BD!$B$3:$B$5001,$A$101,BD!$Q$3:$Q$5001,"&lt;&gt;")=0,"",SUMIFS(BD!$Q$3:$Q$5001,BD!$A$3:$A$5001,I$3,BD!$B$3:$B$5001,$A$101)))</f>
        <v/>
      </c>
      <c r="J116" s="232" t="str">
        <f>IF(J$3="","",IF(COUNTIFS(BD!$A$3:$A$5001,J$3,BD!$B$3:$B$5001,$A$101,BD!$Q$3:$Q$5001,"&lt;&gt;")=0,"",SUMIFS(BD!$Q$3:$Q$5001,BD!$A$3:$A$5001,J$3,BD!$B$3:$B$5001,$A$101)))</f>
        <v/>
      </c>
      <c r="K116" s="232" t="str">
        <f>IF(K$3="","",IF(COUNTIFS(BD!$A$3:$A$5001,K$3,BD!$B$3:$B$5001,$A$101,BD!$Q$3:$Q$5001,"&lt;&gt;")=0,"",SUMIFS(BD!$Q$3:$Q$5001,BD!$A$3:$A$5001,K$3,BD!$B$3:$B$5001,$A$101)))</f>
        <v/>
      </c>
      <c r="L116" s="232" t="str">
        <f>IF(L$3="","",IF(COUNTIFS(BD!$A$3:$A$5001,L$3,BD!$B$3:$B$5001,$A$101,BD!$Q$3:$Q$5001,"&lt;&gt;")=0,"",SUMIFS(BD!$Q$3:$Q$5001,BD!$A$3:$A$5001,L$3,BD!$B$3:$B$5001,$A$101)))</f>
        <v/>
      </c>
      <c r="M116" s="232" t="str">
        <f>IF(M$3="","",IF(COUNTIFS(BD!$A$3:$A$5001,M$3,BD!$B$3:$B$5001,$A$101,BD!$Q$3:$Q$5001,"&lt;&gt;")=0,"",SUMIFS(BD!$Q$3:$Q$5001,BD!$A$3:$A$5001,M$3,BD!$B$3:$B$5001,$A$101)))</f>
        <v/>
      </c>
      <c r="N116" s="232" t="str">
        <f>IF(N$3="","",IF(COUNTIFS(BD!$A$3:$A$5001,N$3,BD!$B$3:$B$5001,$A$101,BD!$Q$3:$Q$5001,"&lt;&gt;")=0,"",SUMIFS(BD!$Q$3:$Q$5001,BD!$A$3:$A$5001,N$3,BD!$B$3:$B$5001,$A$101)))</f>
        <v/>
      </c>
      <c r="O116" s="232" t="str">
        <f>IF(O$3="","",IF(COUNTIFS(BD!$A$3:$A$5001,O$3,BD!$B$3:$B$5001,$A$101,BD!$Q$3:$Q$5001,"&lt;&gt;")=0,"",SUMIFS(BD!$Q$3:$Q$5001,BD!$A$3:$A$5001,O$3,BD!$B$3:$B$5001,$A$101)))</f>
        <v/>
      </c>
      <c r="P116" s="232" t="str">
        <f>IF(P$3="","",IF(COUNTIFS(BD!$A$3:$A$5001,P$3,BD!$B$3:$B$5001,$A$101,BD!$Q$3:$Q$5001,"&lt;&gt;")=0,"",SUMIFS(BD!$Q$3:$Q$5001,BD!$A$3:$A$5001,P$3,BD!$B$3:$B$5001,$A$101)))</f>
        <v/>
      </c>
      <c r="Q116" s="232" t="str">
        <f>IF(Q$3="","",IF(COUNTIFS(BD!$A$3:$A$5001,Q$3,BD!$B$3:$B$5001,$A$101,BD!$Q$3:$Q$5001,"&lt;&gt;")=0,"",SUMIFS(BD!$Q$3:$Q$5001,BD!$A$3:$A$5001,Q$3,BD!$B$3:$B$5001,$A$101)))</f>
        <v/>
      </c>
      <c r="R116" s="232" t="str">
        <f>IF(R$3="","",IF(COUNTIFS(BD!$A$3:$A$5001,R$3,BD!$B$3:$B$5001,$A$101,BD!$Q$3:$Q$5001,"&lt;&gt;")=0,"",SUMIFS(BD!$Q$3:$Q$5001,BD!$A$3:$A$5001,R$3,BD!$B$3:$B$5001,$A$101)))</f>
        <v/>
      </c>
      <c r="S116" s="232" t="str">
        <f>IF(S$3="","",IF(COUNTIFS(BD!$A$3:$A$5001,S$3,BD!$B$3:$B$5001,$A$101,BD!$Q$3:$Q$5001,"&lt;&gt;")=0,"",SUMIFS(BD!$Q$3:$Q$5001,BD!$A$3:$A$5001,S$3,BD!$B$3:$B$5001,$A$101)))</f>
        <v/>
      </c>
      <c r="T116" s="232" t="str">
        <f>IF(T$3="","",IF(COUNTIFS(BD!$A$3:$A$5001,T$3,BD!$B$3:$B$5001,$A$101,BD!$Q$3:$Q$5001,"&lt;&gt;")=0,"",SUMIFS(BD!$Q$3:$Q$5001,BD!$A$3:$A$5001,T$3,BD!$B$3:$B$5001,$A$101)))</f>
        <v/>
      </c>
      <c r="U116" s="232" t="str">
        <f>IF(U$3="","",IF(COUNTIFS(BD!$A$3:$A$5001,U$3,BD!$B$3:$B$5001,$A$101,BD!$Q$3:$Q$5001,"&lt;&gt;")=0,"",SUMIFS(BD!$Q$3:$Q$5001,BD!$A$3:$A$5001,U$3,BD!$B$3:$B$5001,$A$101)))</f>
        <v/>
      </c>
      <c r="V116" s="232" t="str">
        <f>IF(V$3="","",IF(COUNTIFS(BD!$A$3:$A$5001,V$3,BD!$B$3:$B$5001,$A$101,BD!$Q$3:$Q$5001,"&lt;&gt;")=0,"",SUMIFS(BD!$Q$3:$Q$5001,BD!$A$3:$A$5001,V$3,BD!$B$3:$B$5001,$A$101)))</f>
        <v/>
      </c>
      <c r="W116" s="232" t="str">
        <f>IF(W$3="","",IF(COUNTIFS(BD!$A$3:$A$5001,W$3,BD!$B$3:$B$5001,$A$101,BD!$Q$3:$Q$5001,"&lt;&gt;")=0,"",SUMIFS(BD!$Q$3:$Q$5001,BD!$A$3:$A$5001,W$3,BD!$B$3:$B$5001,$A$101)))</f>
        <v/>
      </c>
      <c r="X116" s="232" t="str">
        <f>IF(X$3="","",IF(COUNTIFS(BD!$A$3:$A$5001,X$3,BD!$B$3:$B$5001,$A$101,BD!$Q$3:$Q$5001,"&lt;&gt;")=0,"",SUMIFS(BD!$Q$3:$Q$5001,BD!$A$3:$A$5001,X$3,BD!$B$3:$B$5001,$A$101)))</f>
        <v/>
      </c>
      <c r="Y116" s="232" t="str">
        <f>IF(Y$3="","",IF(COUNTIFS(BD!$A$3:$A$5001,Y$3,BD!$B$3:$B$5001,$A$101,BD!$Q$3:$Q$5001,"&lt;&gt;")=0,"",SUMIFS(BD!$Q$3:$Q$5001,BD!$A$3:$A$5001,Y$3,BD!$B$3:$B$5001,$A$101)))</f>
        <v/>
      </c>
      <c r="Z116" s="232" t="str">
        <f>IF(Z$3="","",IF(COUNTIFS(BD!$A$3:$A$5001,Z$3,BD!$B$3:$B$5001,$A$101,BD!$Q$3:$Q$5001,"&lt;&gt;")=0,"",SUMIFS(BD!$Q$3:$Q$5001,BD!$A$3:$A$5001,Z$3,BD!$B$3:$B$5001,$A$101)))</f>
        <v/>
      </c>
      <c r="AA116" s="232" t="str">
        <f>IF(AA$3="","",IF(COUNTIFS(BD!$A$3:$A$5001,AA$3,BD!$B$3:$B$5001,$A$101,BD!$Q$3:$Q$5001,"&lt;&gt;")=0,"",SUMIFS(BD!$Q$3:$Q$5001,BD!$A$3:$A$5001,AA$3,BD!$B$3:$B$5001,$A$101)))</f>
        <v/>
      </c>
      <c r="AB116" s="232" t="str">
        <f>IF(AB$3="","",IF(COUNTIFS(BD!$A$3:$A$5001,AB$3,BD!$B$3:$B$5001,$A$101,BD!$Q$3:$Q$5001,"&lt;&gt;")=0,"",SUMIFS(BD!$Q$3:$Q$5001,BD!$A$3:$A$5001,AB$3,BD!$B$3:$B$5001,$A$101)))</f>
        <v/>
      </c>
      <c r="AC116" s="232" t="str">
        <f>IF(AC$3="","",IF(COUNTIFS(BD!$A$3:$A$5001,AC$3,BD!$B$3:$B$5001,$A$101,BD!$Q$3:$Q$5001,"&lt;&gt;")=0,"",SUMIFS(BD!$Q$3:$Q$5001,BD!$A$3:$A$5001,AC$3,BD!$B$3:$B$5001,$A$101)))</f>
        <v/>
      </c>
      <c r="AD116" s="232" t="str">
        <f>IF(AD$3="","",IF(COUNTIFS(BD!$A$3:$A$5001,AD$3,BD!$B$3:$B$5001,$A$101,BD!$Q$3:$Q$5001,"&lt;&gt;")=0,"",SUMIFS(BD!$Q$3:$Q$5001,BD!$A$3:$A$5001,AD$3,BD!$B$3:$B$5001,$A$101)))</f>
        <v/>
      </c>
      <c r="AE116" s="232" t="str">
        <f>IF(AE$3="","",IF(COUNTIFS(BD!$A$3:$A$5001,AE$3,BD!$B$3:$B$5001,$A$101,BD!$Q$3:$Q$5001,"&lt;&gt;")=0,"",SUMIFS(BD!$Q$3:$Q$5001,BD!$A$3:$A$5001,AE$3,BD!$B$3:$B$5001,$A$101)))</f>
        <v/>
      </c>
      <c r="AF116" s="232" t="str">
        <f>IF(AF$3="","",IF(COUNTIFS(BD!$A$3:$A$5001,AF$3,BD!$B$3:$B$5001,$A$101,BD!$Q$3:$Q$5001,"&lt;&gt;")=0,"",SUMIFS(BD!$Q$3:$Q$5001,BD!$A$3:$A$5001,AF$3,BD!$B$3:$B$5001,$A$101)))</f>
        <v/>
      </c>
      <c r="AG116" s="232" t="str">
        <f>IF(AG$3="","",IF(COUNTIFS(BD!$A$3:$A$5001,AG$3,BD!$B$3:$B$5001,$A$101,BD!$Q$3:$Q$5001,"&lt;&gt;")=0,"",SUMIFS(BD!$Q$3:$Q$5001,BD!$A$3:$A$5001,AG$3,BD!$B$3:$B$5001,$A$101)))</f>
        <v/>
      </c>
      <c r="AH116" s="232" t="str">
        <f>IF(AH$3="","",IF(COUNTIFS(BD!$A$3:$A$5001,AH$3,BD!$B$3:$B$5001,$A$101,BD!$Q$3:$Q$5001,"&lt;&gt;")=0,"",SUMIFS(BD!$Q$3:$Q$5001,BD!$A$3:$A$5001,AH$3,BD!$B$3:$B$5001,$A$101)))</f>
        <v/>
      </c>
      <c r="AI116" s="232" t="str">
        <f>IF(AI$3="","",IF(COUNTIFS(BD!$A$3:$A$5001,AI$3,BD!$B$3:$B$5001,$A$101,BD!$Q$3:$Q$5001,"&lt;&gt;")=0,"",SUMIFS(BD!$Q$3:$Q$5001,BD!$A$3:$A$5001,AI$3,BD!$B$3:$B$5001,$A$101)))</f>
        <v/>
      </c>
      <c r="AJ116" s="233" t="str">
        <f>IF(AJ$3="","",IF(COUNTIFS(BD!$A$3:$A$5001,AJ$3,BD!$B$3:$B$5001,$A$101,BD!$Q$3:$Q$5001,"&lt;&gt;")=0,"",SUMIFS(BD!$Q$3:$Q$5001,BD!$A$3:$A$5001,AJ$3,BD!$B$3:$B$5001,$A$101)))</f>
        <v/>
      </c>
      <c r="AK116" s="234" t="str">
        <f>IF(COUNT(F116:AJ116)=0,"",SUM(F116:AJ116))</f>
        <v/>
      </c>
    </row>
    <row r="117" ht="15.75" customHeight="1" hidden="1">
      <c r="A117" s="254"/>
      <c r="B117" s="251"/>
      <c r="C117" s="228" t="inlineStr">
        <is>
          <t xml:space="preserve">Desligamento</t>
        </is>
      </c>
      <c r="D117" s="229" t="str">
        <f>IFERROR(1/(1/INDEX(BD!$Y$39:$AS$39,MATCH($A$101,BD!$Y$22:$AS$22,0))),"")</f>
        <v/>
      </c>
      <c r="E117" s="230"/>
      <c r="F117" s="231" t="str">
        <f>IF(F$3="","",IF(COUNTIFS(BD!$A$3:$A$5001,F$3,BD!$B$3:$B$5001,$A$101,BD!$R$3:$R$5001,"&lt;&gt;")=0,"",SUMIFS(BD!$R$3:$R$5001,BD!$A$3:$A$5001,F$3,BD!$B$3:$B$5001,$A$101)))</f>
        <v/>
      </c>
      <c r="G117" s="232" t="str">
        <f>IF(G$3="","",IF(COUNTIFS(BD!$A$3:$A$5001,G$3,BD!$B$3:$B$5001,$A$101,BD!$R$3:$R$5001,"&lt;&gt;")=0,"",SUMIFS(BD!$R$3:$R$5001,BD!$A$3:$A$5001,G$3,BD!$B$3:$B$5001,$A$101)))</f>
        <v/>
      </c>
      <c r="H117" s="232" t="str">
        <f>IF(H$3="","",IF(COUNTIFS(BD!$A$3:$A$5001,H$3,BD!$B$3:$B$5001,$A$101,BD!$R$3:$R$5001,"&lt;&gt;")=0,"",SUMIFS(BD!$R$3:$R$5001,BD!$A$3:$A$5001,H$3,BD!$B$3:$B$5001,$A$101)))</f>
        <v/>
      </c>
      <c r="I117" s="232" t="str">
        <f>IF(I$3="","",IF(COUNTIFS(BD!$A$3:$A$5001,I$3,BD!$B$3:$B$5001,$A$101,BD!$R$3:$R$5001,"&lt;&gt;")=0,"",SUMIFS(BD!$R$3:$R$5001,BD!$A$3:$A$5001,I$3,BD!$B$3:$B$5001,$A$101)))</f>
        <v/>
      </c>
      <c r="J117" s="232" t="str">
        <f>IF(J$3="","",IF(COUNTIFS(BD!$A$3:$A$5001,J$3,BD!$B$3:$B$5001,$A$101,BD!$R$3:$R$5001,"&lt;&gt;")=0,"",SUMIFS(BD!$R$3:$R$5001,BD!$A$3:$A$5001,J$3,BD!$B$3:$B$5001,$A$101)))</f>
        <v/>
      </c>
      <c r="K117" s="232" t="str">
        <f>IF(K$3="","",IF(COUNTIFS(BD!$A$3:$A$5001,K$3,BD!$B$3:$B$5001,$A$101,BD!$R$3:$R$5001,"&lt;&gt;")=0,"",SUMIFS(BD!$R$3:$R$5001,BD!$A$3:$A$5001,K$3,BD!$B$3:$B$5001,$A$101)))</f>
        <v/>
      </c>
      <c r="L117" s="232" t="str">
        <f>IF(L$3="","",IF(COUNTIFS(BD!$A$3:$A$5001,L$3,BD!$B$3:$B$5001,$A$101,BD!$R$3:$R$5001,"&lt;&gt;")=0,"",SUMIFS(BD!$R$3:$R$5001,BD!$A$3:$A$5001,L$3,BD!$B$3:$B$5001,$A$101)))</f>
        <v/>
      </c>
      <c r="M117" s="232" t="str">
        <f>IF(M$3="","",IF(COUNTIFS(BD!$A$3:$A$5001,M$3,BD!$B$3:$B$5001,$A$101,BD!$R$3:$R$5001,"&lt;&gt;")=0,"",SUMIFS(BD!$R$3:$R$5001,BD!$A$3:$A$5001,M$3,BD!$B$3:$B$5001,$A$101)))</f>
        <v/>
      </c>
      <c r="N117" s="232" t="str">
        <f>IF(N$3="","",IF(COUNTIFS(BD!$A$3:$A$5001,N$3,BD!$B$3:$B$5001,$A$101,BD!$R$3:$R$5001,"&lt;&gt;")=0,"",SUMIFS(BD!$R$3:$R$5001,BD!$A$3:$A$5001,N$3,BD!$B$3:$B$5001,$A$101)))</f>
        <v/>
      </c>
      <c r="O117" s="232" t="str">
        <f>IF(O$3="","",IF(COUNTIFS(BD!$A$3:$A$5001,O$3,BD!$B$3:$B$5001,$A$101,BD!$R$3:$R$5001,"&lt;&gt;")=0,"",SUMIFS(BD!$R$3:$R$5001,BD!$A$3:$A$5001,O$3,BD!$B$3:$B$5001,$A$101)))</f>
        <v/>
      </c>
      <c r="P117" s="232" t="str">
        <f>IF(P$3="","",IF(COUNTIFS(BD!$A$3:$A$5001,P$3,BD!$B$3:$B$5001,$A$101,BD!$R$3:$R$5001,"&lt;&gt;")=0,"",SUMIFS(BD!$R$3:$R$5001,BD!$A$3:$A$5001,P$3,BD!$B$3:$B$5001,$A$101)))</f>
        <v/>
      </c>
      <c r="Q117" s="232" t="str">
        <f>IF(Q$3="","",IF(COUNTIFS(BD!$A$3:$A$5001,Q$3,BD!$B$3:$B$5001,$A$101,BD!$R$3:$R$5001,"&lt;&gt;")=0,"",SUMIFS(BD!$R$3:$R$5001,BD!$A$3:$A$5001,Q$3,BD!$B$3:$B$5001,$A$101)))</f>
        <v/>
      </c>
      <c r="R117" s="232" t="str">
        <f>IF(R$3="","",IF(COUNTIFS(BD!$A$3:$A$5001,R$3,BD!$B$3:$B$5001,$A$101,BD!$R$3:$R$5001,"&lt;&gt;")=0,"",SUMIFS(BD!$R$3:$R$5001,BD!$A$3:$A$5001,R$3,BD!$B$3:$B$5001,$A$101)))</f>
        <v/>
      </c>
      <c r="S117" s="232" t="str">
        <f>IF(S$3="","",IF(COUNTIFS(BD!$A$3:$A$5001,S$3,BD!$B$3:$B$5001,$A$101,BD!$R$3:$R$5001,"&lt;&gt;")=0,"",SUMIFS(BD!$R$3:$R$5001,BD!$A$3:$A$5001,S$3,BD!$B$3:$B$5001,$A$101)))</f>
        <v/>
      </c>
      <c r="T117" s="232" t="str">
        <f>IF(T$3="","",IF(COUNTIFS(BD!$A$3:$A$5001,T$3,BD!$B$3:$B$5001,$A$101,BD!$R$3:$R$5001,"&lt;&gt;")=0,"",SUMIFS(BD!$R$3:$R$5001,BD!$A$3:$A$5001,T$3,BD!$B$3:$B$5001,$A$101)))</f>
        <v/>
      </c>
      <c r="U117" s="232" t="str">
        <f>IF(U$3="","",IF(COUNTIFS(BD!$A$3:$A$5001,U$3,BD!$B$3:$B$5001,$A$101,BD!$R$3:$R$5001,"&lt;&gt;")=0,"",SUMIFS(BD!$R$3:$R$5001,BD!$A$3:$A$5001,U$3,BD!$B$3:$B$5001,$A$101)))</f>
        <v/>
      </c>
      <c r="V117" s="232" t="str">
        <f>IF(V$3="","",IF(COUNTIFS(BD!$A$3:$A$5001,V$3,BD!$B$3:$B$5001,$A$101,BD!$R$3:$R$5001,"&lt;&gt;")=0,"",SUMIFS(BD!$R$3:$R$5001,BD!$A$3:$A$5001,V$3,BD!$B$3:$B$5001,$A$101)))</f>
        <v/>
      </c>
      <c r="W117" s="232" t="str">
        <f>IF(W$3="","",IF(COUNTIFS(BD!$A$3:$A$5001,W$3,BD!$B$3:$B$5001,$A$101,BD!$R$3:$R$5001,"&lt;&gt;")=0,"",SUMIFS(BD!$R$3:$R$5001,BD!$A$3:$A$5001,W$3,BD!$B$3:$B$5001,$A$101)))</f>
        <v/>
      </c>
      <c r="X117" s="232" t="str">
        <f>IF(X$3="","",IF(COUNTIFS(BD!$A$3:$A$5001,X$3,BD!$B$3:$B$5001,$A$101,BD!$R$3:$R$5001,"&lt;&gt;")=0,"",SUMIFS(BD!$R$3:$R$5001,BD!$A$3:$A$5001,X$3,BD!$B$3:$B$5001,$A$101)))</f>
        <v/>
      </c>
      <c r="Y117" s="232" t="str">
        <f>IF(Y$3="","",IF(COUNTIFS(BD!$A$3:$A$5001,Y$3,BD!$B$3:$B$5001,$A$101,BD!$R$3:$R$5001,"&lt;&gt;")=0,"",SUMIFS(BD!$R$3:$R$5001,BD!$A$3:$A$5001,Y$3,BD!$B$3:$B$5001,$A$101)))</f>
        <v/>
      </c>
      <c r="Z117" s="232" t="str">
        <f>IF(Z$3="","",IF(COUNTIFS(BD!$A$3:$A$5001,Z$3,BD!$B$3:$B$5001,$A$101,BD!$R$3:$R$5001,"&lt;&gt;")=0,"",SUMIFS(BD!$R$3:$R$5001,BD!$A$3:$A$5001,Z$3,BD!$B$3:$B$5001,$A$101)))</f>
        <v/>
      </c>
      <c r="AA117" s="232" t="str">
        <f>IF(AA$3="","",IF(COUNTIFS(BD!$A$3:$A$5001,AA$3,BD!$B$3:$B$5001,$A$101,BD!$R$3:$R$5001,"&lt;&gt;")=0,"",SUMIFS(BD!$R$3:$R$5001,BD!$A$3:$A$5001,AA$3,BD!$B$3:$B$5001,$A$101)))</f>
        <v/>
      </c>
      <c r="AB117" s="232" t="str">
        <f>IF(AB$3="","",IF(COUNTIFS(BD!$A$3:$A$5001,AB$3,BD!$B$3:$B$5001,$A$101,BD!$R$3:$R$5001,"&lt;&gt;")=0,"",SUMIFS(BD!$R$3:$R$5001,BD!$A$3:$A$5001,AB$3,BD!$B$3:$B$5001,$A$101)))</f>
        <v/>
      </c>
      <c r="AC117" s="232" t="str">
        <f>IF(AC$3="","",IF(COUNTIFS(BD!$A$3:$A$5001,AC$3,BD!$B$3:$B$5001,$A$101,BD!$R$3:$R$5001,"&lt;&gt;")=0,"",SUMIFS(BD!$R$3:$R$5001,BD!$A$3:$A$5001,AC$3,BD!$B$3:$B$5001,$A$101)))</f>
        <v/>
      </c>
      <c r="AD117" s="232" t="str">
        <f>IF(AD$3="","",IF(COUNTIFS(BD!$A$3:$A$5001,AD$3,BD!$B$3:$B$5001,$A$101,BD!$R$3:$R$5001,"&lt;&gt;")=0,"",SUMIFS(BD!$R$3:$R$5001,BD!$A$3:$A$5001,AD$3,BD!$B$3:$B$5001,$A$101)))</f>
        <v/>
      </c>
      <c r="AE117" s="232" t="str">
        <f>IF(AE$3="","",IF(COUNTIFS(BD!$A$3:$A$5001,AE$3,BD!$B$3:$B$5001,$A$101,BD!$R$3:$R$5001,"&lt;&gt;")=0,"",SUMIFS(BD!$R$3:$R$5001,BD!$A$3:$A$5001,AE$3,BD!$B$3:$B$5001,$A$101)))</f>
        <v/>
      </c>
      <c r="AF117" s="232" t="str">
        <f>IF(AF$3="","",IF(COUNTIFS(BD!$A$3:$A$5001,AF$3,BD!$B$3:$B$5001,$A$101,BD!$R$3:$R$5001,"&lt;&gt;")=0,"",SUMIFS(BD!$R$3:$R$5001,BD!$A$3:$A$5001,AF$3,BD!$B$3:$B$5001,$A$101)))</f>
        <v/>
      </c>
      <c r="AG117" s="232" t="str">
        <f>IF(AG$3="","",IF(COUNTIFS(BD!$A$3:$A$5001,AG$3,BD!$B$3:$B$5001,$A$101,BD!$R$3:$R$5001,"&lt;&gt;")=0,"",SUMIFS(BD!$R$3:$R$5001,BD!$A$3:$A$5001,AG$3,BD!$B$3:$B$5001,$A$101)))</f>
        <v/>
      </c>
      <c r="AH117" s="232" t="str">
        <f>IF(AH$3="","",IF(COUNTIFS(BD!$A$3:$A$5001,AH$3,BD!$B$3:$B$5001,$A$101,BD!$R$3:$R$5001,"&lt;&gt;")=0,"",SUMIFS(BD!$R$3:$R$5001,BD!$A$3:$A$5001,AH$3,BD!$B$3:$B$5001,$A$101)))</f>
        <v/>
      </c>
      <c r="AI117" s="232" t="str">
        <f>IF(AI$3="","",IF(COUNTIFS(BD!$A$3:$A$5001,AI$3,BD!$B$3:$B$5001,$A$101,BD!$R$3:$R$5001,"&lt;&gt;")=0,"",SUMIFS(BD!$R$3:$R$5001,BD!$A$3:$A$5001,AI$3,BD!$B$3:$B$5001,$A$101)))</f>
        <v/>
      </c>
      <c r="AJ117" s="233" t="str">
        <f>IF(AJ$3="","",IF(COUNTIFS(BD!$A$3:$A$5001,AJ$3,BD!$B$3:$B$5001,$A$101,BD!$R$3:$R$5001,"&lt;&gt;")=0,"",SUMIFS(BD!$R$3:$R$5001,BD!$A$3:$A$5001,AJ$3,BD!$B$3:$B$5001,$A$101)))</f>
        <v/>
      </c>
      <c r="AK117" s="234" t="str">
        <f>IF(COUNT(F117:AJ117)=0,"",SUM(F117:AJ117))</f>
        <v/>
      </c>
    </row>
    <row r="118" ht="15.75" customHeight="1" hidden="1">
      <c r="A118" s="254"/>
      <c r="B118" s="251"/>
      <c r="C118" s="228" t="inlineStr">
        <is>
          <t xml:space="preserve">Desvios Comportamentais</t>
        </is>
      </c>
      <c r="D118" s="229" t="str">
        <f>IFERROR(1/(1/INDEX(BD!$Y$40:$AS$40,MATCH($A$101,BD!$Y$22:$AS$22,0))),"")</f>
        <v/>
      </c>
      <c r="E118" s="230"/>
      <c r="F118" s="231" t="str">
        <f>IF(F$3="","",IF(COUNTIFS(BD!$A$3:$A$5001,F$3,BD!$B$3:$B$5001,$A$101,BD!$S$3:$S$5001,"&lt;&gt;")=0,"",SUMIFS(BD!$S$3:$S$5001,BD!$A$3:$A$5001,F$3,BD!$B$3:$B$5001,$A$101)))</f>
        <v/>
      </c>
      <c r="G118" s="232" t="str">
        <f>IF(G$3="","",IF(COUNTIFS(BD!$A$3:$A$5001,G$3,BD!$B$3:$B$5001,$A$101,BD!$S$3:$S$5001,"&lt;&gt;")=0,"",SUMIFS(BD!$S$3:$S$5001,BD!$A$3:$A$5001,G$3,BD!$B$3:$B$5001,$A$101)))</f>
        <v/>
      </c>
      <c r="H118" s="232" t="str">
        <f>IF(H$3="","",IF(COUNTIFS(BD!$A$3:$A$5001,H$3,BD!$B$3:$B$5001,$A$101,BD!$S$3:$S$5001,"&lt;&gt;")=0,"",SUMIFS(BD!$S$3:$S$5001,BD!$A$3:$A$5001,H$3,BD!$B$3:$B$5001,$A$101)))</f>
        <v/>
      </c>
      <c r="I118" s="232" t="str">
        <f>IF(I$3="","",IF(COUNTIFS(BD!$A$3:$A$5001,I$3,BD!$B$3:$B$5001,$A$101,BD!$S$3:$S$5001,"&lt;&gt;")=0,"",SUMIFS(BD!$S$3:$S$5001,BD!$A$3:$A$5001,I$3,BD!$B$3:$B$5001,$A$101)))</f>
        <v/>
      </c>
      <c r="J118" s="232" t="str">
        <f>IF(J$3="","",IF(COUNTIFS(BD!$A$3:$A$5001,J$3,BD!$B$3:$B$5001,$A$101,BD!$S$3:$S$5001,"&lt;&gt;")=0,"",SUMIFS(BD!$S$3:$S$5001,BD!$A$3:$A$5001,J$3,BD!$B$3:$B$5001,$A$101)))</f>
        <v/>
      </c>
      <c r="K118" s="232" t="str">
        <f>IF(K$3="","",IF(COUNTIFS(BD!$A$3:$A$5001,K$3,BD!$B$3:$B$5001,$A$101,BD!$S$3:$S$5001,"&lt;&gt;")=0,"",SUMIFS(BD!$S$3:$S$5001,BD!$A$3:$A$5001,K$3,BD!$B$3:$B$5001,$A$101)))</f>
        <v/>
      </c>
      <c r="L118" s="232" t="str">
        <f>IF(L$3="","",IF(COUNTIFS(BD!$A$3:$A$5001,L$3,BD!$B$3:$B$5001,$A$101,BD!$S$3:$S$5001,"&lt;&gt;")=0,"",SUMIFS(BD!$S$3:$S$5001,BD!$A$3:$A$5001,L$3,BD!$B$3:$B$5001,$A$101)))</f>
        <v/>
      </c>
      <c r="M118" s="232" t="str">
        <f>IF(M$3="","",IF(COUNTIFS(BD!$A$3:$A$5001,M$3,BD!$B$3:$B$5001,$A$101,BD!$S$3:$S$5001,"&lt;&gt;")=0,"",SUMIFS(BD!$S$3:$S$5001,BD!$A$3:$A$5001,M$3,BD!$B$3:$B$5001,$A$101)))</f>
        <v/>
      </c>
      <c r="N118" s="232" t="str">
        <f>IF(N$3="","",IF(COUNTIFS(BD!$A$3:$A$5001,N$3,BD!$B$3:$B$5001,$A$101,BD!$S$3:$S$5001,"&lt;&gt;")=0,"",SUMIFS(BD!$S$3:$S$5001,BD!$A$3:$A$5001,N$3,BD!$B$3:$B$5001,$A$101)))</f>
        <v/>
      </c>
      <c r="O118" s="232" t="str">
        <f>IF(O$3="","",IF(COUNTIFS(BD!$A$3:$A$5001,O$3,BD!$B$3:$B$5001,$A$101,BD!$S$3:$S$5001,"&lt;&gt;")=0,"",SUMIFS(BD!$S$3:$S$5001,BD!$A$3:$A$5001,O$3,BD!$B$3:$B$5001,$A$101)))</f>
        <v/>
      </c>
      <c r="P118" s="232" t="str">
        <f>IF(P$3="","",IF(COUNTIFS(BD!$A$3:$A$5001,P$3,BD!$B$3:$B$5001,$A$101,BD!$S$3:$S$5001,"&lt;&gt;")=0,"",SUMIFS(BD!$S$3:$S$5001,BD!$A$3:$A$5001,P$3,BD!$B$3:$B$5001,$A$101)))</f>
        <v/>
      </c>
      <c r="Q118" s="232" t="str">
        <f>IF(Q$3="","",IF(COUNTIFS(BD!$A$3:$A$5001,Q$3,BD!$B$3:$B$5001,$A$101,BD!$S$3:$S$5001,"&lt;&gt;")=0,"",SUMIFS(BD!$S$3:$S$5001,BD!$A$3:$A$5001,Q$3,BD!$B$3:$B$5001,$A$101)))</f>
        <v/>
      </c>
      <c r="R118" s="232" t="str">
        <f>IF(R$3="","",IF(COUNTIFS(BD!$A$3:$A$5001,R$3,BD!$B$3:$B$5001,$A$101,BD!$S$3:$S$5001,"&lt;&gt;")=0,"",SUMIFS(BD!$S$3:$S$5001,BD!$A$3:$A$5001,R$3,BD!$B$3:$B$5001,$A$101)))</f>
        <v/>
      </c>
      <c r="S118" s="232" t="str">
        <f>IF(S$3="","",IF(COUNTIFS(BD!$A$3:$A$5001,S$3,BD!$B$3:$B$5001,$A$101,BD!$S$3:$S$5001,"&lt;&gt;")=0,"",SUMIFS(BD!$S$3:$S$5001,BD!$A$3:$A$5001,S$3,BD!$B$3:$B$5001,$A$101)))</f>
        <v/>
      </c>
      <c r="T118" s="232" t="str">
        <f>IF(T$3="","",IF(COUNTIFS(BD!$A$3:$A$5001,T$3,BD!$B$3:$B$5001,$A$101,BD!$S$3:$S$5001,"&lt;&gt;")=0,"",SUMIFS(BD!$S$3:$S$5001,BD!$A$3:$A$5001,T$3,BD!$B$3:$B$5001,$A$101)))</f>
        <v/>
      </c>
      <c r="U118" s="232" t="str">
        <f>IF(U$3="","",IF(COUNTIFS(BD!$A$3:$A$5001,U$3,BD!$B$3:$B$5001,$A$101,BD!$S$3:$S$5001,"&lt;&gt;")=0,"",SUMIFS(BD!$S$3:$S$5001,BD!$A$3:$A$5001,U$3,BD!$B$3:$B$5001,$A$101)))</f>
        <v/>
      </c>
      <c r="V118" s="232" t="str">
        <f>IF(V$3="","",IF(COUNTIFS(BD!$A$3:$A$5001,V$3,BD!$B$3:$B$5001,$A$101,BD!$S$3:$S$5001,"&lt;&gt;")=0,"",SUMIFS(BD!$S$3:$S$5001,BD!$A$3:$A$5001,V$3,BD!$B$3:$B$5001,$A$101)))</f>
        <v/>
      </c>
      <c r="W118" s="232" t="str">
        <f>IF(W$3="","",IF(COUNTIFS(BD!$A$3:$A$5001,W$3,BD!$B$3:$B$5001,$A$101,BD!$S$3:$S$5001,"&lt;&gt;")=0,"",SUMIFS(BD!$S$3:$S$5001,BD!$A$3:$A$5001,W$3,BD!$B$3:$B$5001,$A$101)))</f>
        <v/>
      </c>
      <c r="X118" s="232" t="str">
        <f>IF(X$3="","",IF(COUNTIFS(BD!$A$3:$A$5001,X$3,BD!$B$3:$B$5001,$A$101,BD!$S$3:$S$5001,"&lt;&gt;")=0,"",SUMIFS(BD!$S$3:$S$5001,BD!$A$3:$A$5001,X$3,BD!$B$3:$B$5001,$A$101)))</f>
        <v/>
      </c>
      <c r="Y118" s="232" t="str">
        <f>IF(Y$3="","",IF(COUNTIFS(BD!$A$3:$A$5001,Y$3,BD!$B$3:$B$5001,$A$101,BD!$S$3:$S$5001,"&lt;&gt;")=0,"",SUMIFS(BD!$S$3:$S$5001,BD!$A$3:$A$5001,Y$3,BD!$B$3:$B$5001,$A$101)))</f>
        <v/>
      </c>
      <c r="Z118" s="232" t="str">
        <f>IF(Z$3="","",IF(COUNTIFS(BD!$A$3:$A$5001,Z$3,BD!$B$3:$B$5001,$A$101,BD!$S$3:$S$5001,"&lt;&gt;")=0,"",SUMIFS(BD!$S$3:$S$5001,BD!$A$3:$A$5001,Z$3,BD!$B$3:$B$5001,$A$101)))</f>
        <v/>
      </c>
      <c r="AA118" s="232" t="str">
        <f>IF(AA$3="","",IF(COUNTIFS(BD!$A$3:$A$5001,AA$3,BD!$B$3:$B$5001,$A$101,BD!$S$3:$S$5001,"&lt;&gt;")=0,"",SUMIFS(BD!$S$3:$S$5001,BD!$A$3:$A$5001,AA$3,BD!$B$3:$B$5001,$A$101)))</f>
        <v/>
      </c>
      <c r="AB118" s="232" t="str">
        <f>IF(AB$3="","",IF(COUNTIFS(BD!$A$3:$A$5001,AB$3,BD!$B$3:$B$5001,$A$101,BD!$S$3:$S$5001,"&lt;&gt;")=0,"",SUMIFS(BD!$S$3:$S$5001,BD!$A$3:$A$5001,AB$3,BD!$B$3:$B$5001,$A$101)))</f>
        <v/>
      </c>
      <c r="AC118" s="232" t="str">
        <f>IF(AC$3="","",IF(COUNTIFS(BD!$A$3:$A$5001,AC$3,BD!$B$3:$B$5001,$A$101,BD!$S$3:$S$5001,"&lt;&gt;")=0,"",SUMIFS(BD!$S$3:$S$5001,BD!$A$3:$A$5001,AC$3,BD!$B$3:$B$5001,$A$101)))</f>
        <v/>
      </c>
      <c r="AD118" s="232" t="str">
        <f>IF(AD$3="","",IF(COUNTIFS(BD!$A$3:$A$5001,AD$3,BD!$B$3:$B$5001,$A$101,BD!$S$3:$S$5001,"&lt;&gt;")=0,"",SUMIFS(BD!$S$3:$S$5001,BD!$A$3:$A$5001,AD$3,BD!$B$3:$B$5001,$A$101)))</f>
        <v/>
      </c>
      <c r="AE118" s="232" t="str">
        <f>IF(AE$3="","",IF(COUNTIFS(BD!$A$3:$A$5001,AE$3,BD!$B$3:$B$5001,$A$101,BD!$S$3:$S$5001,"&lt;&gt;")=0,"",SUMIFS(BD!$S$3:$S$5001,BD!$A$3:$A$5001,AE$3,BD!$B$3:$B$5001,$A$101)))</f>
        <v/>
      </c>
      <c r="AF118" s="232" t="str">
        <f>IF(AF$3="","",IF(COUNTIFS(BD!$A$3:$A$5001,AF$3,BD!$B$3:$B$5001,$A$101,BD!$S$3:$S$5001,"&lt;&gt;")=0,"",SUMIFS(BD!$S$3:$S$5001,BD!$A$3:$A$5001,AF$3,BD!$B$3:$B$5001,$A$101)))</f>
        <v/>
      </c>
      <c r="AG118" s="232" t="str">
        <f>IF(AG$3="","",IF(COUNTIFS(BD!$A$3:$A$5001,AG$3,BD!$B$3:$B$5001,$A$101,BD!$S$3:$S$5001,"&lt;&gt;")=0,"",SUMIFS(BD!$S$3:$S$5001,BD!$A$3:$A$5001,AG$3,BD!$B$3:$B$5001,$A$101)))</f>
        <v/>
      </c>
      <c r="AH118" s="232" t="str">
        <f>IF(AH$3="","",IF(COUNTIFS(BD!$A$3:$A$5001,AH$3,BD!$B$3:$B$5001,$A$101,BD!$S$3:$S$5001,"&lt;&gt;")=0,"",SUMIFS(BD!$S$3:$S$5001,BD!$A$3:$A$5001,AH$3,BD!$B$3:$B$5001,$A$101)))</f>
        <v/>
      </c>
      <c r="AI118" s="232" t="str">
        <f>IF(AI$3="","",IF(COUNTIFS(BD!$A$3:$A$5001,AI$3,BD!$B$3:$B$5001,$A$101,BD!$S$3:$S$5001,"&lt;&gt;")=0,"",SUMIFS(BD!$S$3:$S$5001,BD!$A$3:$A$5001,AI$3,BD!$B$3:$B$5001,$A$101)))</f>
        <v/>
      </c>
      <c r="AJ118" s="233" t="str">
        <f>IF(AJ$3="","",IF(COUNTIFS(BD!$A$3:$A$5001,AJ$3,BD!$B$3:$B$5001,$A$101,BD!$S$3:$S$5001,"&lt;&gt;")=0,"",SUMIFS(BD!$S$3:$S$5001,BD!$A$3:$A$5001,AJ$3,BD!$B$3:$B$5001,$A$101)))</f>
        <v/>
      </c>
      <c r="AK118" s="234" t="str">
        <f>IF(COUNT(F118:AJ118)=0,"",SUM(F118:AJ118))</f>
        <v/>
      </c>
    </row>
    <row r="119" ht="15.75" customHeight="1" hidden="1">
      <c r="A119" s="254"/>
      <c r="B119" s="251"/>
      <c r="C119" s="228" t="inlineStr">
        <is>
          <t xml:space="preserve">Acidentes CAF</t>
        </is>
      </c>
      <c r="D119" s="229" t="str">
        <f>IFERROR(1/(1/INDEX(BD!$Y$41:$AS$41,MATCH($A$101,BD!$Y$22:$AS$22,0))),"")</f>
        <v/>
      </c>
      <c r="E119" s="230"/>
      <c r="F119" s="231" t="str">
        <f>IF(F$3="","",IF(COUNTIFS(BD!$A$3:$A$5001,F$3,BD!$B$3:$B$5001,$A$101,BD!$T$3:$T$5001,"&lt;&gt;")=0,"",SUMIFS(BD!$T$3:$T$5001,BD!$A$3:$A$5001,F$3,BD!$B$3:$B$5001,$A$101)))</f>
        <v/>
      </c>
      <c r="G119" s="232" t="str">
        <f>IF(G$3="","",IF(COUNTIFS(BD!$A$3:$A$5001,G$3,BD!$B$3:$B$5001,$A$101,BD!$T$3:$T$5001,"&lt;&gt;")=0,"",SUMIFS(BD!$T$3:$T$5001,BD!$A$3:$A$5001,G$3,BD!$B$3:$B$5001,$A$101)))</f>
        <v/>
      </c>
      <c r="H119" s="232" t="str">
        <f>IF(H$3="","",IF(COUNTIFS(BD!$A$3:$A$5001,H$3,BD!$B$3:$B$5001,$A$101,BD!$T$3:$T$5001,"&lt;&gt;")=0,"",SUMIFS(BD!$T$3:$T$5001,BD!$A$3:$A$5001,H$3,BD!$B$3:$B$5001,$A$101)))</f>
        <v/>
      </c>
      <c r="I119" s="232" t="str">
        <f>IF(I$3="","",IF(COUNTIFS(BD!$A$3:$A$5001,I$3,BD!$B$3:$B$5001,$A$101,BD!$T$3:$T$5001,"&lt;&gt;")=0,"",SUMIFS(BD!$T$3:$T$5001,BD!$A$3:$A$5001,I$3,BD!$B$3:$B$5001,$A$101)))</f>
        <v/>
      </c>
      <c r="J119" s="232" t="str">
        <f>IF(J$3="","",IF(COUNTIFS(BD!$A$3:$A$5001,J$3,BD!$B$3:$B$5001,$A$101,BD!$T$3:$T$5001,"&lt;&gt;")=0,"",SUMIFS(BD!$T$3:$T$5001,BD!$A$3:$A$5001,J$3,BD!$B$3:$B$5001,$A$101)))</f>
        <v/>
      </c>
      <c r="K119" s="232" t="str">
        <f>IF(K$3="","",IF(COUNTIFS(BD!$A$3:$A$5001,K$3,BD!$B$3:$B$5001,$A$101,BD!$T$3:$T$5001,"&lt;&gt;")=0,"",SUMIFS(BD!$T$3:$T$5001,BD!$A$3:$A$5001,K$3,BD!$B$3:$B$5001,$A$101)))</f>
        <v/>
      </c>
      <c r="L119" s="232" t="str">
        <f>IF(L$3="","",IF(COUNTIFS(BD!$A$3:$A$5001,L$3,BD!$B$3:$B$5001,$A$101,BD!$T$3:$T$5001,"&lt;&gt;")=0,"",SUMIFS(BD!$T$3:$T$5001,BD!$A$3:$A$5001,L$3,BD!$B$3:$B$5001,$A$101)))</f>
        <v/>
      </c>
      <c r="M119" s="232" t="str">
        <f>IF(M$3="","",IF(COUNTIFS(BD!$A$3:$A$5001,M$3,BD!$B$3:$B$5001,$A$101,BD!$T$3:$T$5001,"&lt;&gt;")=0,"",SUMIFS(BD!$T$3:$T$5001,BD!$A$3:$A$5001,M$3,BD!$B$3:$B$5001,$A$101)))</f>
        <v/>
      </c>
      <c r="N119" s="232" t="str">
        <f>IF(N$3="","",IF(COUNTIFS(BD!$A$3:$A$5001,N$3,BD!$B$3:$B$5001,$A$101,BD!$T$3:$T$5001,"&lt;&gt;")=0,"",SUMIFS(BD!$T$3:$T$5001,BD!$A$3:$A$5001,N$3,BD!$B$3:$B$5001,$A$101)))</f>
        <v/>
      </c>
      <c r="O119" s="232" t="str">
        <f>IF(O$3="","",IF(COUNTIFS(BD!$A$3:$A$5001,O$3,BD!$B$3:$B$5001,$A$101,BD!$T$3:$T$5001,"&lt;&gt;")=0,"",SUMIFS(BD!$T$3:$T$5001,BD!$A$3:$A$5001,O$3,BD!$B$3:$B$5001,$A$101)))</f>
        <v/>
      </c>
      <c r="P119" s="232" t="str">
        <f>IF(P$3="","",IF(COUNTIFS(BD!$A$3:$A$5001,P$3,BD!$B$3:$B$5001,$A$101,BD!$T$3:$T$5001,"&lt;&gt;")=0,"",SUMIFS(BD!$T$3:$T$5001,BD!$A$3:$A$5001,P$3,BD!$B$3:$B$5001,$A$101)))</f>
        <v/>
      </c>
      <c r="Q119" s="232" t="str">
        <f>IF(Q$3="","",IF(COUNTIFS(BD!$A$3:$A$5001,Q$3,BD!$B$3:$B$5001,$A$101,BD!$T$3:$T$5001,"&lt;&gt;")=0,"",SUMIFS(BD!$T$3:$T$5001,BD!$A$3:$A$5001,Q$3,BD!$B$3:$B$5001,$A$101)))</f>
        <v/>
      </c>
      <c r="R119" s="232" t="str">
        <f>IF(R$3="","",IF(COUNTIFS(BD!$A$3:$A$5001,R$3,BD!$B$3:$B$5001,$A$101,BD!$T$3:$T$5001,"&lt;&gt;")=0,"",SUMIFS(BD!$T$3:$T$5001,BD!$A$3:$A$5001,R$3,BD!$B$3:$B$5001,$A$101)))</f>
        <v/>
      </c>
      <c r="S119" s="232" t="str">
        <f>IF(S$3="","",IF(COUNTIFS(BD!$A$3:$A$5001,S$3,BD!$B$3:$B$5001,$A$101,BD!$T$3:$T$5001,"&lt;&gt;")=0,"",SUMIFS(BD!$T$3:$T$5001,BD!$A$3:$A$5001,S$3,BD!$B$3:$B$5001,$A$101)))</f>
        <v/>
      </c>
      <c r="T119" s="232" t="str">
        <f>IF(T$3="","",IF(COUNTIFS(BD!$A$3:$A$5001,T$3,BD!$B$3:$B$5001,$A$101,BD!$T$3:$T$5001,"&lt;&gt;")=0,"",SUMIFS(BD!$T$3:$T$5001,BD!$A$3:$A$5001,T$3,BD!$B$3:$B$5001,$A$101)))</f>
        <v/>
      </c>
      <c r="U119" s="232" t="str">
        <f>IF(U$3="","",IF(COUNTIFS(BD!$A$3:$A$5001,U$3,BD!$B$3:$B$5001,$A$101,BD!$T$3:$T$5001,"&lt;&gt;")=0,"",SUMIFS(BD!$T$3:$T$5001,BD!$A$3:$A$5001,U$3,BD!$B$3:$B$5001,$A$101)))</f>
        <v/>
      </c>
      <c r="V119" s="232" t="str">
        <f>IF(V$3="","",IF(COUNTIFS(BD!$A$3:$A$5001,V$3,BD!$B$3:$B$5001,$A$101,BD!$T$3:$T$5001,"&lt;&gt;")=0,"",SUMIFS(BD!$T$3:$T$5001,BD!$A$3:$A$5001,V$3,BD!$B$3:$B$5001,$A$101)))</f>
        <v/>
      </c>
      <c r="W119" s="232" t="str">
        <f>IF(W$3="","",IF(COUNTIFS(BD!$A$3:$A$5001,W$3,BD!$B$3:$B$5001,$A$101,BD!$T$3:$T$5001,"&lt;&gt;")=0,"",SUMIFS(BD!$T$3:$T$5001,BD!$A$3:$A$5001,W$3,BD!$B$3:$B$5001,$A$101)))</f>
        <v/>
      </c>
      <c r="X119" s="232" t="str">
        <f>IF(X$3="","",IF(COUNTIFS(BD!$A$3:$A$5001,X$3,BD!$B$3:$B$5001,$A$101,BD!$T$3:$T$5001,"&lt;&gt;")=0,"",SUMIFS(BD!$T$3:$T$5001,BD!$A$3:$A$5001,X$3,BD!$B$3:$B$5001,$A$101)))</f>
        <v/>
      </c>
      <c r="Y119" s="232" t="str">
        <f>IF(Y$3="","",IF(COUNTIFS(BD!$A$3:$A$5001,Y$3,BD!$B$3:$B$5001,$A$101,BD!$T$3:$T$5001,"&lt;&gt;")=0,"",SUMIFS(BD!$T$3:$T$5001,BD!$A$3:$A$5001,Y$3,BD!$B$3:$B$5001,$A$101)))</f>
        <v/>
      </c>
      <c r="Z119" s="232" t="str">
        <f>IF(Z$3="","",IF(COUNTIFS(BD!$A$3:$A$5001,Z$3,BD!$B$3:$B$5001,$A$101,BD!$T$3:$T$5001,"&lt;&gt;")=0,"",SUMIFS(BD!$T$3:$T$5001,BD!$A$3:$A$5001,Z$3,BD!$B$3:$B$5001,$A$101)))</f>
        <v/>
      </c>
      <c r="AA119" s="232" t="str">
        <f>IF(AA$3="","",IF(COUNTIFS(BD!$A$3:$A$5001,AA$3,BD!$B$3:$B$5001,$A$101,BD!$T$3:$T$5001,"&lt;&gt;")=0,"",SUMIFS(BD!$T$3:$T$5001,BD!$A$3:$A$5001,AA$3,BD!$B$3:$B$5001,$A$101)))</f>
        <v/>
      </c>
      <c r="AB119" s="232" t="str">
        <f>IF(AB$3="","",IF(COUNTIFS(BD!$A$3:$A$5001,AB$3,BD!$B$3:$B$5001,$A$101,BD!$T$3:$T$5001,"&lt;&gt;")=0,"",SUMIFS(BD!$T$3:$T$5001,BD!$A$3:$A$5001,AB$3,BD!$B$3:$B$5001,$A$101)))</f>
        <v/>
      </c>
      <c r="AC119" s="232" t="str">
        <f>IF(AC$3="","",IF(COUNTIFS(BD!$A$3:$A$5001,AC$3,BD!$B$3:$B$5001,$A$101,BD!$T$3:$T$5001,"&lt;&gt;")=0,"",SUMIFS(BD!$T$3:$T$5001,BD!$A$3:$A$5001,AC$3,BD!$B$3:$B$5001,$A$101)))</f>
        <v/>
      </c>
      <c r="AD119" s="232" t="str">
        <f>IF(AD$3="","",IF(COUNTIFS(BD!$A$3:$A$5001,AD$3,BD!$B$3:$B$5001,$A$101,BD!$T$3:$T$5001,"&lt;&gt;")=0,"",SUMIFS(BD!$T$3:$T$5001,BD!$A$3:$A$5001,AD$3,BD!$B$3:$B$5001,$A$101)))</f>
        <v/>
      </c>
      <c r="AE119" s="232" t="str">
        <f>IF(AE$3="","",IF(COUNTIFS(BD!$A$3:$A$5001,AE$3,BD!$B$3:$B$5001,$A$101,BD!$T$3:$T$5001,"&lt;&gt;")=0,"",SUMIFS(BD!$T$3:$T$5001,BD!$A$3:$A$5001,AE$3,BD!$B$3:$B$5001,$A$101)))</f>
        <v/>
      </c>
      <c r="AF119" s="232" t="str">
        <f>IF(AF$3="","",IF(COUNTIFS(BD!$A$3:$A$5001,AF$3,BD!$B$3:$B$5001,$A$101,BD!$T$3:$T$5001,"&lt;&gt;")=0,"",SUMIFS(BD!$T$3:$T$5001,BD!$A$3:$A$5001,AF$3,BD!$B$3:$B$5001,$A$101)))</f>
        <v/>
      </c>
      <c r="AG119" s="232" t="str">
        <f>IF(AG$3="","",IF(COUNTIFS(BD!$A$3:$A$5001,AG$3,BD!$B$3:$B$5001,$A$101,BD!$T$3:$T$5001,"&lt;&gt;")=0,"",SUMIFS(BD!$T$3:$T$5001,BD!$A$3:$A$5001,AG$3,BD!$B$3:$B$5001,$A$101)))</f>
        <v/>
      </c>
      <c r="AH119" s="232" t="str">
        <f>IF(AH$3="","",IF(COUNTIFS(BD!$A$3:$A$5001,AH$3,BD!$B$3:$B$5001,$A$101,BD!$T$3:$T$5001,"&lt;&gt;")=0,"",SUMIFS(BD!$T$3:$T$5001,BD!$A$3:$A$5001,AH$3,BD!$B$3:$B$5001,$A$101)))</f>
        <v/>
      </c>
      <c r="AI119" s="232" t="str">
        <f>IF(AI$3="","",IF(COUNTIFS(BD!$A$3:$A$5001,AI$3,BD!$B$3:$B$5001,$A$101,BD!$T$3:$T$5001,"&lt;&gt;")=0,"",SUMIFS(BD!$T$3:$T$5001,BD!$A$3:$A$5001,AI$3,BD!$B$3:$B$5001,$A$101)))</f>
        <v/>
      </c>
      <c r="AJ119" s="233" t="str">
        <f>IF(AJ$3="","",IF(COUNTIFS(BD!$A$3:$A$5001,AJ$3,BD!$B$3:$B$5001,$A$101,BD!$T$3:$T$5001,"&lt;&gt;")=0,"",SUMIFS(BD!$T$3:$T$5001,BD!$A$3:$A$5001,AJ$3,BD!$B$3:$B$5001,$A$101)))</f>
        <v/>
      </c>
      <c r="AK119" s="234" t="str">
        <f>IF(COUNT(F119:AJ119)=0,"",SUM(F119:AJ119))</f>
        <v/>
      </c>
    </row>
    <row r="120" ht="15.75" customHeight="1" hidden="1">
      <c r="A120" s="255"/>
      <c r="B120" s="252"/>
      <c r="C120" s="235" t="inlineStr">
        <is>
          <t xml:space="preserve">Acidentes SAF</t>
        </is>
      </c>
      <c r="D120" s="236" t="str">
        <f>IFERROR(1/(1/INDEX(BD!$Y$42:$AS$42,MATCH($A$101,BD!$Y$22:$AS$22,0))),"")</f>
        <v/>
      </c>
      <c r="E120" s="237"/>
      <c r="F120" s="238" t="str">
        <f>IF(F$3="","",IF(COUNTIFS(BD!$A$3:$A$5001,F$3,BD!$B$3:$B$5001,$A$101,BD!$U$3:$U$5001,"&lt;&gt;")=0,"",SUMIFS(BD!$U$3:$U$5001,BD!$A$3:$A$5001,F$3,BD!$B$3:$B$5001,$A$101)))</f>
        <v/>
      </c>
      <c r="G120" s="239" t="str">
        <f>IF(G$3="","",IF(COUNTIFS(BD!$A$3:$A$5001,G$3,BD!$B$3:$B$5001,$A$101,BD!$U$3:$U$5001,"&lt;&gt;")=0,"",SUMIFS(BD!$U$3:$U$5001,BD!$A$3:$A$5001,G$3,BD!$B$3:$B$5001,$A$101)))</f>
        <v/>
      </c>
      <c r="H120" s="239" t="str">
        <f>IF(H$3="","",IF(COUNTIFS(BD!$A$3:$A$5001,H$3,BD!$B$3:$B$5001,$A$101,BD!$U$3:$U$5001,"&lt;&gt;")=0,"",SUMIFS(BD!$U$3:$U$5001,BD!$A$3:$A$5001,H$3,BD!$B$3:$B$5001,$A$101)))</f>
        <v/>
      </c>
      <c r="I120" s="239" t="str">
        <f>IF(I$3="","",IF(COUNTIFS(BD!$A$3:$A$5001,I$3,BD!$B$3:$B$5001,$A$101,BD!$U$3:$U$5001,"&lt;&gt;")=0,"",SUMIFS(BD!$U$3:$U$5001,BD!$A$3:$A$5001,I$3,BD!$B$3:$B$5001,$A$101)))</f>
        <v/>
      </c>
      <c r="J120" s="239" t="str">
        <f>IF(J$3="","",IF(COUNTIFS(BD!$A$3:$A$5001,J$3,BD!$B$3:$B$5001,$A$101,BD!$U$3:$U$5001,"&lt;&gt;")=0,"",SUMIFS(BD!$U$3:$U$5001,BD!$A$3:$A$5001,J$3,BD!$B$3:$B$5001,$A$101)))</f>
        <v/>
      </c>
      <c r="K120" s="239" t="str">
        <f>IF(K$3="","",IF(COUNTIFS(BD!$A$3:$A$5001,K$3,BD!$B$3:$B$5001,$A$101,BD!$U$3:$U$5001,"&lt;&gt;")=0,"",SUMIFS(BD!$U$3:$U$5001,BD!$A$3:$A$5001,K$3,BD!$B$3:$B$5001,$A$101)))</f>
        <v/>
      </c>
      <c r="L120" s="239" t="str">
        <f>IF(L$3="","",IF(COUNTIFS(BD!$A$3:$A$5001,L$3,BD!$B$3:$B$5001,$A$101,BD!$U$3:$U$5001,"&lt;&gt;")=0,"",SUMIFS(BD!$U$3:$U$5001,BD!$A$3:$A$5001,L$3,BD!$B$3:$B$5001,$A$101)))</f>
        <v/>
      </c>
      <c r="M120" s="239" t="str">
        <f>IF(M$3="","",IF(COUNTIFS(BD!$A$3:$A$5001,M$3,BD!$B$3:$B$5001,$A$101,BD!$U$3:$U$5001,"&lt;&gt;")=0,"",SUMIFS(BD!$U$3:$U$5001,BD!$A$3:$A$5001,M$3,BD!$B$3:$B$5001,$A$101)))</f>
        <v/>
      </c>
      <c r="N120" s="239" t="str">
        <f>IF(N$3="","",IF(COUNTIFS(BD!$A$3:$A$5001,N$3,BD!$B$3:$B$5001,$A$101,BD!$U$3:$U$5001,"&lt;&gt;")=0,"",SUMIFS(BD!$U$3:$U$5001,BD!$A$3:$A$5001,N$3,BD!$B$3:$B$5001,$A$101)))</f>
        <v/>
      </c>
      <c r="O120" s="239" t="str">
        <f>IF(O$3="","",IF(COUNTIFS(BD!$A$3:$A$5001,O$3,BD!$B$3:$B$5001,$A$101,BD!$U$3:$U$5001,"&lt;&gt;")=0,"",SUMIFS(BD!$U$3:$U$5001,BD!$A$3:$A$5001,O$3,BD!$B$3:$B$5001,$A$101)))</f>
        <v/>
      </c>
      <c r="P120" s="239" t="str">
        <f>IF(P$3="","",IF(COUNTIFS(BD!$A$3:$A$5001,P$3,BD!$B$3:$B$5001,$A$101,BD!$U$3:$U$5001,"&lt;&gt;")=0,"",SUMIFS(BD!$U$3:$U$5001,BD!$A$3:$A$5001,P$3,BD!$B$3:$B$5001,$A$101)))</f>
        <v/>
      </c>
      <c r="Q120" s="239" t="str">
        <f>IF(Q$3="","",IF(COUNTIFS(BD!$A$3:$A$5001,Q$3,BD!$B$3:$B$5001,$A$101,BD!$U$3:$U$5001,"&lt;&gt;")=0,"",SUMIFS(BD!$U$3:$U$5001,BD!$A$3:$A$5001,Q$3,BD!$B$3:$B$5001,$A$101)))</f>
        <v/>
      </c>
      <c r="R120" s="239" t="str">
        <f>IF(R$3="","",IF(COUNTIFS(BD!$A$3:$A$5001,R$3,BD!$B$3:$B$5001,$A$101,BD!$U$3:$U$5001,"&lt;&gt;")=0,"",SUMIFS(BD!$U$3:$U$5001,BD!$A$3:$A$5001,R$3,BD!$B$3:$B$5001,$A$101)))</f>
        <v/>
      </c>
      <c r="S120" s="239" t="str">
        <f>IF(S$3="","",IF(COUNTIFS(BD!$A$3:$A$5001,S$3,BD!$B$3:$B$5001,$A$101,BD!$U$3:$U$5001,"&lt;&gt;")=0,"",SUMIFS(BD!$U$3:$U$5001,BD!$A$3:$A$5001,S$3,BD!$B$3:$B$5001,$A$101)))</f>
        <v/>
      </c>
      <c r="T120" s="239" t="str">
        <f>IF(T$3="","",IF(COUNTIFS(BD!$A$3:$A$5001,T$3,BD!$B$3:$B$5001,$A$101,BD!$U$3:$U$5001,"&lt;&gt;")=0,"",SUMIFS(BD!$U$3:$U$5001,BD!$A$3:$A$5001,T$3,BD!$B$3:$B$5001,$A$101)))</f>
        <v/>
      </c>
      <c r="U120" s="239" t="str">
        <f>IF(U$3="","",IF(COUNTIFS(BD!$A$3:$A$5001,U$3,BD!$B$3:$B$5001,$A$101,BD!$U$3:$U$5001,"&lt;&gt;")=0,"",SUMIFS(BD!$U$3:$U$5001,BD!$A$3:$A$5001,U$3,BD!$B$3:$B$5001,$A$101)))</f>
        <v/>
      </c>
      <c r="V120" s="239" t="str">
        <f>IF(V$3="","",IF(COUNTIFS(BD!$A$3:$A$5001,V$3,BD!$B$3:$B$5001,$A$101,BD!$U$3:$U$5001,"&lt;&gt;")=0,"",SUMIFS(BD!$U$3:$U$5001,BD!$A$3:$A$5001,V$3,BD!$B$3:$B$5001,$A$101)))</f>
        <v/>
      </c>
      <c r="W120" s="239" t="str">
        <f>IF(W$3="","",IF(COUNTIFS(BD!$A$3:$A$5001,W$3,BD!$B$3:$B$5001,$A$101,BD!$U$3:$U$5001,"&lt;&gt;")=0,"",SUMIFS(BD!$U$3:$U$5001,BD!$A$3:$A$5001,W$3,BD!$B$3:$B$5001,$A$101)))</f>
        <v/>
      </c>
      <c r="X120" s="239" t="str">
        <f>IF(X$3="","",IF(COUNTIFS(BD!$A$3:$A$5001,X$3,BD!$B$3:$B$5001,$A$101,BD!$U$3:$U$5001,"&lt;&gt;")=0,"",SUMIFS(BD!$U$3:$U$5001,BD!$A$3:$A$5001,X$3,BD!$B$3:$B$5001,$A$101)))</f>
        <v/>
      </c>
      <c r="Y120" s="239" t="str">
        <f>IF(Y$3="","",IF(COUNTIFS(BD!$A$3:$A$5001,Y$3,BD!$B$3:$B$5001,$A$101,BD!$U$3:$U$5001,"&lt;&gt;")=0,"",SUMIFS(BD!$U$3:$U$5001,BD!$A$3:$A$5001,Y$3,BD!$B$3:$B$5001,$A$101)))</f>
        <v/>
      </c>
      <c r="Z120" s="239" t="str">
        <f>IF(Z$3="","",IF(COUNTIFS(BD!$A$3:$A$5001,Z$3,BD!$B$3:$B$5001,$A$101,BD!$U$3:$U$5001,"&lt;&gt;")=0,"",SUMIFS(BD!$U$3:$U$5001,BD!$A$3:$A$5001,Z$3,BD!$B$3:$B$5001,$A$101)))</f>
        <v/>
      </c>
      <c r="AA120" s="239" t="str">
        <f>IF(AA$3="","",IF(COUNTIFS(BD!$A$3:$A$5001,AA$3,BD!$B$3:$B$5001,$A$101,BD!$U$3:$U$5001,"&lt;&gt;")=0,"",SUMIFS(BD!$U$3:$U$5001,BD!$A$3:$A$5001,AA$3,BD!$B$3:$B$5001,$A$101)))</f>
        <v/>
      </c>
      <c r="AB120" s="239" t="str">
        <f>IF(AB$3="","",IF(COUNTIFS(BD!$A$3:$A$5001,AB$3,BD!$B$3:$B$5001,$A$101,BD!$U$3:$U$5001,"&lt;&gt;")=0,"",SUMIFS(BD!$U$3:$U$5001,BD!$A$3:$A$5001,AB$3,BD!$B$3:$B$5001,$A$101)))</f>
        <v/>
      </c>
      <c r="AC120" s="239" t="str">
        <f>IF(AC$3="","",IF(COUNTIFS(BD!$A$3:$A$5001,AC$3,BD!$B$3:$B$5001,$A$101,BD!$U$3:$U$5001,"&lt;&gt;")=0,"",SUMIFS(BD!$U$3:$U$5001,BD!$A$3:$A$5001,AC$3,BD!$B$3:$B$5001,$A$101)))</f>
        <v/>
      </c>
      <c r="AD120" s="239" t="str">
        <f>IF(AD$3="","",IF(COUNTIFS(BD!$A$3:$A$5001,AD$3,BD!$B$3:$B$5001,$A$101,BD!$U$3:$U$5001,"&lt;&gt;")=0,"",SUMIFS(BD!$U$3:$U$5001,BD!$A$3:$A$5001,AD$3,BD!$B$3:$B$5001,$A$101)))</f>
        <v/>
      </c>
      <c r="AE120" s="239" t="str">
        <f>IF(AE$3="","",IF(COUNTIFS(BD!$A$3:$A$5001,AE$3,BD!$B$3:$B$5001,$A$101,BD!$U$3:$U$5001,"&lt;&gt;")=0,"",SUMIFS(BD!$U$3:$U$5001,BD!$A$3:$A$5001,AE$3,BD!$B$3:$B$5001,$A$101)))</f>
        <v/>
      </c>
      <c r="AF120" s="239" t="str">
        <f>IF(AF$3="","",IF(COUNTIFS(BD!$A$3:$A$5001,AF$3,BD!$B$3:$B$5001,$A$101,BD!$U$3:$U$5001,"&lt;&gt;")=0,"",SUMIFS(BD!$U$3:$U$5001,BD!$A$3:$A$5001,AF$3,BD!$B$3:$B$5001,$A$101)))</f>
        <v/>
      </c>
      <c r="AG120" s="239" t="str">
        <f>IF(AG$3="","",IF(COUNTIFS(BD!$A$3:$A$5001,AG$3,BD!$B$3:$B$5001,$A$101,BD!$U$3:$U$5001,"&lt;&gt;")=0,"",SUMIFS(BD!$U$3:$U$5001,BD!$A$3:$A$5001,AG$3,BD!$B$3:$B$5001,$A$101)))</f>
        <v/>
      </c>
      <c r="AH120" s="239" t="str">
        <f>IF(AH$3="","",IF(COUNTIFS(BD!$A$3:$A$5001,AH$3,BD!$B$3:$B$5001,$A$101,BD!$U$3:$U$5001,"&lt;&gt;")=0,"",SUMIFS(BD!$U$3:$U$5001,BD!$A$3:$A$5001,AH$3,BD!$B$3:$B$5001,$A$101)))</f>
        <v/>
      </c>
      <c r="AI120" s="239" t="str">
        <f>IF(AI$3="","",IF(COUNTIFS(BD!$A$3:$A$5001,AI$3,BD!$B$3:$B$5001,$A$101,BD!$U$3:$U$5001,"&lt;&gt;")=0,"",SUMIFS(BD!$U$3:$U$5001,BD!$A$3:$A$5001,AI$3,BD!$B$3:$B$5001,$A$101)))</f>
        <v/>
      </c>
      <c r="AJ120" s="240" t="str">
        <f>IF(AJ$3="","",IF(COUNTIFS(BD!$A$3:$A$5001,AJ$3,BD!$B$3:$B$5001,$A$101,BD!$U$3:$U$5001,"&lt;&gt;")=0,"",SUMIFS(BD!$U$3:$U$5001,BD!$A$3:$A$5001,AJ$3,BD!$B$3:$B$5001,$A$101)))</f>
        <v/>
      </c>
      <c r="AK120" s="236" t="str">
        <f>IF(COUNT(F120:AJ120)=0,"",SUM(F120:AJ120))</f>
        <v/>
      </c>
    </row>
    <row r="122" ht="15.75" customHeight="1" hidden="1">
      <c r="A122" s="253"/>
      <c r="B122" s="241" t="inlineStr">
        <is>
          <t xml:space="preserve">IN</t>
        </is>
      </c>
      <c r="C122" s="155" t="inlineStr">
        <is>
          <t xml:space="preserve">Veículos Recebidos</t>
        </is>
      </c>
      <c r="D122" s="156" t="str">
        <f>IFERROR(1/(1/INDEX(BD!$Y$23:$AS$23,MATCH($A$122,BD!$Y$22:$AS$22,0))),"")</f>
        <v/>
      </c>
      <c r="E122" s="157"/>
      <c r="F122" s="158" t="str">
        <f>IF(F$3="","",IF(COUNTIFS(BD!$A$3:$A$5001,F$3,BD!$B$3:$B$5001,$A$122,BD!$C$3:$C$5001,"&lt;&gt;")=0,"",SUMIFS(BD!$C$3:$C$5001,BD!$A$3:$A$5001,F$3,BD!$B$3:$B$5001,$A$122)))</f>
        <v/>
      </c>
      <c r="G122" s="159" t="str">
        <f>IF(G$3="","",IF(COUNTIFS(BD!$A$3:$A$5001,G$3,BD!$B$3:$B$5001,$A$122,BD!$C$3:$C$5001,"&lt;&gt;")=0,"",SUMIFS(BD!$C$3:$C$5001,BD!$A$3:$A$5001,G$3,BD!$B$3:$B$5001,$A$122)))</f>
        <v/>
      </c>
      <c r="H122" s="159" t="str">
        <f>IF(H$3="","",IF(COUNTIFS(BD!$A$3:$A$5001,H$3,BD!$B$3:$B$5001,$A$122,BD!$C$3:$C$5001,"&lt;&gt;")=0,"",SUMIFS(BD!$C$3:$C$5001,BD!$A$3:$A$5001,H$3,BD!$B$3:$B$5001,$A$122)))</f>
        <v/>
      </c>
      <c r="I122" s="159" t="str">
        <f>IF(I$3="","",IF(COUNTIFS(BD!$A$3:$A$5001,I$3,BD!$B$3:$B$5001,$A$122,BD!$C$3:$C$5001,"&lt;&gt;")=0,"",SUMIFS(BD!$C$3:$C$5001,BD!$A$3:$A$5001,I$3,BD!$B$3:$B$5001,$A$122)))</f>
        <v/>
      </c>
      <c r="J122" s="159" t="str">
        <f>IF(J$3="","",IF(COUNTIFS(BD!$A$3:$A$5001,J$3,BD!$B$3:$B$5001,$A$122,BD!$C$3:$C$5001,"&lt;&gt;")=0,"",SUMIFS(BD!$C$3:$C$5001,BD!$A$3:$A$5001,J$3,BD!$B$3:$B$5001,$A$122)))</f>
        <v/>
      </c>
      <c r="K122" s="159" t="str">
        <f>IF(K$3="","",IF(COUNTIFS(BD!$A$3:$A$5001,K$3,BD!$B$3:$B$5001,$A$122,BD!$C$3:$C$5001,"&lt;&gt;")=0,"",SUMIFS(BD!$C$3:$C$5001,BD!$A$3:$A$5001,K$3,BD!$B$3:$B$5001,$A$122)))</f>
        <v/>
      </c>
      <c r="L122" s="159" t="str">
        <f>IF(L$3="","",IF(COUNTIFS(BD!$A$3:$A$5001,L$3,BD!$B$3:$B$5001,$A$122,BD!$C$3:$C$5001,"&lt;&gt;")=0,"",SUMIFS(BD!$C$3:$C$5001,BD!$A$3:$A$5001,L$3,BD!$B$3:$B$5001,$A$122)))</f>
        <v/>
      </c>
      <c r="M122" s="159" t="str">
        <f>IF(M$3="","",IF(COUNTIFS(BD!$A$3:$A$5001,M$3,BD!$B$3:$B$5001,$A$122,BD!$C$3:$C$5001,"&lt;&gt;")=0,"",SUMIFS(BD!$C$3:$C$5001,BD!$A$3:$A$5001,M$3,BD!$B$3:$B$5001,$A$122)))</f>
        <v/>
      </c>
      <c r="N122" s="159" t="str">
        <f>IF(N$3="","",IF(COUNTIFS(BD!$A$3:$A$5001,N$3,BD!$B$3:$B$5001,$A$122,BD!$C$3:$C$5001,"&lt;&gt;")=0,"",SUMIFS(BD!$C$3:$C$5001,BD!$A$3:$A$5001,N$3,BD!$B$3:$B$5001,$A$122)))</f>
        <v/>
      </c>
      <c r="O122" s="159" t="str">
        <f>IF(O$3="","",IF(COUNTIFS(BD!$A$3:$A$5001,O$3,BD!$B$3:$B$5001,$A$122,BD!$C$3:$C$5001,"&lt;&gt;")=0,"",SUMIFS(BD!$C$3:$C$5001,BD!$A$3:$A$5001,O$3,BD!$B$3:$B$5001,$A$122)))</f>
        <v/>
      </c>
      <c r="P122" s="159" t="str">
        <f>IF(P$3="","",IF(COUNTIFS(BD!$A$3:$A$5001,P$3,BD!$B$3:$B$5001,$A$122,BD!$C$3:$C$5001,"&lt;&gt;")=0,"",SUMIFS(BD!$C$3:$C$5001,BD!$A$3:$A$5001,P$3,BD!$B$3:$B$5001,$A$122)))</f>
        <v/>
      </c>
      <c r="Q122" s="159" t="str">
        <f>IF(Q$3="","",IF(COUNTIFS(BD!$A$3:$A$5001,Q$3,BD!$B$3:$B$5001,$A$122,BD!$C$3:$C$5001,"&lt;&gt;")=0,"",SUMIFS(BD!$C$3:$C$5001,BD!$A$3:$A$5001,Q$3,BD!$B$3:$B$5001,$A$122)))</f>
        <v/>
      </c>
      <c r="R122" s="159" t="str">
        <f>IF(R$3="","",IF(COUNTIFS(BD!$A$3:$A$5001,R$3,BD!$B$3:$B$5001,$A$122,BD!$C$3:$C$5001,"&lt;&gt;")=0,"",SUMIFS(BD!$C$3:$C$5001,BD!$A$3:$A$5001,R$3,BD!$B$3:$B$5001,$A$122)))</f>
        <v/>
      </c>
      <c r="S122" s="159" t="str">
        <f>IF(S$3="","",IF(COUNTIFS(BD!$A$3:$A$5001,S$3,BD!$B$3:$B$5001,$A$122,BD!$C$3:$C$5001,"&lt;&gt;")=0,"",SUMIFS(BD!$C$3:$C$5001,BD!$A$3:$A$5001,S$3,BD!$B$3:$B$5001,$A$122)))</f>
        <v/>
      </c>
      <c r="T122" s="159" t="str">
        <f>IF(T$3="","",IF(COUNTIFS(BD!$A$3:$A$5001,T$3,BD!$B$3:$B$5001,$A$122,BD!$C$3:$C$5001,"&lt;&gt;")=0,"",SUMIFS(BD!$C$3:$C$5001,BD!$A$3:$A$5001,T$3,BD!$B$3:$B$5001,$A$122)))</f>
        <v/>
      </c>
      <c r="U122" s="159" t="str">
        <f>IF(U$3="","",IF(COUNTIFS(BD!$A$3:$A$5001,U$3,BD!$B$3:$B$5001,$A$122,BD!$C$3:$C$5001,"&lt;&gt;")=0,"",SUMIFS(BD!$C$3:$C$5001,BD!$A$3:$A$5001,U$3,BD!$B$3:$B$5001,$A$122)))</f>
        <v/>
      </c>
      <c r="V122" s="159" t="str">
        <f>IF(V$3="","",IF(COUNTIFS(BD!$A$3:$A$5001,V$3,BD!$B$3:$B$5001,$A$122,BD!$C$3:$C$5001,"&lt;&gt;")=0,"",SUMIFS(BD!$C$3:$C$5001,BD!$A$3:$A$5001,V$3,BD!$B$3:$B$5001,$A$122)))</f>
        <v/>
      </c>
      <c r="W122" s="159" t="str">
        <f>IF(W$3="","",IF(COUNTIFS(BD!$A$3:$A$5001,W$3,BD!$B$3:$B$5001,$A$122,BD!$C$3:$C$5001,"&lt;&gt;")=0,"",SUMIFS(BD!$C$3:$C$5001,BD!$A$3:$A$5001,W$3,BD!$B$3:$B$5001,$A$122)))</f>
        <v/>
      </c>
      <c r="X122" s="159" t="str">
        <f>IF(X$3="","",IF(COUNTIFS(BD!$A$3:$A$5001,X$3,BD!$B$3:$B$5001,$A$122,BD!$C$3:$C$5001,"&lt;&gt;")=0,"",SUMIFS(BD!$C$3:$C$5001,BD!$A$3:$A$5001,X$3,BD!$B$3:$B$5001,$A$122)))</f>
        <v/>
      </c>
      <c r="Y122" s="159" t="str">
        <f>IF(Y$3="","",IF(COUNTIFS(BD!$A$3:$A$5001,Y$3,BD!$B$3:$B$5001,$A$122,BD!$C$3:$C$5001,"&lt;&gt;")=0,"",SUMIFS(BD!$C$3:$C$5001,BD!$A$3:$A$5001,Y$3,BD!$B$3:$B$5001,$A$122)))</f>
        <v/>
      </c>
      <c r="Z122" s="159" t="str">
        <f>IF(Z$3="","",IF(COUNTIFS(BD!$A$3:$A$5001,Z$3,BD!$B$3:$B$5001,$A$122,BD!$C$3:$C$5001,"&lt;&gt;")=0,"",SUMIFS(BD!$C$3:$C$5001,BD!$A$3:$A$5001,Z$3,BD!$B$3:$B$5001,$A$122)))</f>
        <v/>
      </c>
      <c r="AA122" s="159" t="str">
        <f>IF(AA$3="","",IF(COUNTIFS(BD!$A$3:$A$5001,AA$3,BD!$B$3:$B$5001,$A$122,BD!$C$3:$C$5001,"&lt;&gt;")=0,"",SUMIFS(BD!$C$3:$C$5001,BD!$A$3:$A$5001,AA$3,BD!$B$3:$B$5001,$A$122)))</f>
        <v/>
      </c>
      <c r="AB122" s="159" t="str">
        <f>IF(AB$3="","",IF(COUNTIFS(BD!$A$3:$A$5001,AB$3,BD!$B$3:$B$5001,$A$122,BD!$C$3:$C$5001,"&lt;&gt;")=0,"",SUMIFS(BD!$C$3:$C$5001,BD!$A$3:$A$5001,AB$3,BD!$B$3:$B$5001,$A$122)))</f>
        <v/>
      </c>
      <c r="AC122" s="159" t="str">
        <f>IF(AC$3="","",IF(COUNTIFS(BD!$A$3:$A$5001,AC$3,BD!$B$3:$B$5001,$A$122,BD!$C$3:$C$5001,"&lt;&gt;")=0,"",SUMIFS(BD!$C$3:$C$5001,BD!$A$3:$A$5001,AC$3,BD!$B$3:$B$5001,$A$122)))</f>
        <v/>
      </c>
      <c r="AD122" s="159" t="str">
        <f>IF(AD$3="","",IF(COUNTIFS(BD!$A$3:$A$5001,AD$3,BD!$B$3:$B$5001,$A$122,BD!$C$3:$C$5001,"&lt;&gt;")=0,"",SUMIFS(BD!$C$3:$C$5001,BD!$A$3:$A$5001,AD$3,BD!$B$3:$B$5001,$A$122)))</f>
        <v/>
      </c>
      <c r="AE122" s="159" t="str">
        <f>IF(AE$3="","",IF(COUNTIFS(BD!$A$3:$A$5001,AE$3,BD!$B$3:$B$5001,$A$122,BD!$C$3:$C$5001,"&lt;&gt;")=0,"",SUMIFS(BD!$C$3:$C$5001,BD!$A$3:$A$5001,AE$3,BD!$B$3:$B$5001,$A$122)))</f>
        <v/>
      </c>
      <c r="AF122" s="159" t="str">
        <f>IF(AF$3="","",IF(COUNTIFS(BD!$A$3:$A$5001,AF$3,BD!$B$3:$B$5001,$A$122,BD!$C$3:$C$5001,"&lt;&gt;")=0,"",SUMIFS(BD!$C$3:$C$5001,BD!$A$3:$A$5001,AF$3,BD!$B$3:$B$5001,$A$122)))</f>
        <v/>
      </c>
      <c r="AG122" s="159" t="str">
        <f>IF(AG$3="","",IF(COUNTIFS(BD!$A$3:$A$5001,AG$3,BD!$B$3:$B$5001,$A$122,BD!$C$3:$C$5001,"&lt;&gt;")=0,"",SUMIFS(BD!$C$3:$C$5001,BD!$A$3:$A$5001,AG$3,BD!$B$3:$B$5001,$A$122)))</f>
        <v/>
      </c>
      <c r="AH122" s="159" t="str">
        <f>IF(AH$3="","",IF(COUNTIFS(BD!$A$3:$A$5001,AH$3,BD!$B$3:$B$5001,$A$122,BD!$C$3:$C$5001,"&lt;&gt;")=0,"",SUMIFS(BD!$C$3:$C$5001,BD!$A$3:$A$5001,AH$3,BD!$B$3:$B$5001,$A$122)))</f>
        <v/>
      </c>
      <c r="AI122" s="159" t="str">
        <f>IF(AI$3="","",IF(COUNTIFS(BD!$A$3:$A$5001,AI$3,BD!$B$3:$B$5001,$A$122,BD!$C$3:$C$5001,"&lt;&gt;")=0,"",SUMIFS(BD!$C$3:$C$5001,BD!$A$3:$A$5001,AI$3,BD!$B$3:$B$5001,$A$122)))</f>
        <v/>
      </c>
      <c r="AJ122" s="160" t="str">
        <f>IF(AJ$3="","",IF(COUNTIFS(BD!$A$3:$A$5001,AJ$3,BD!$B$3:$B$5001,$A$122,BD!$C$3:$C$5001,"&lt;&gt;")=0,"",SUMIFS(BD!$C$3:$C$5001,BD!$A$3:$A$5001,AJ$3,BD!$B$3:$B$5001,$A$122)))</f>
        <v/>
      </c>
      <c r="AK122" s="161" t="str">
        <f>IF(COUNT(F122:AJ122)=0,"",SUM(F122:AJ122))</f>
        <v/>
      </c>
    </row>
    <row r="123" ht="15.75" customHeight="1" hidden="1">
      <c r="A123" s="254"/>
      <c r="B123" s="242"/>
      <c r="C123" s="162" t="inlineStr">
        <is>
          <t xml:space="preserve">Pallets Movimentados</t>
        </is>
      </c>
      <c r="D123" s="163" t="str">
        <f>IFERROR(1/(1/INDEX(BD!$Y$24:$AS$24,MATCH($A$122,BD!$Y$22:$AS$22,0))),"")</f>
        <v/>
      </c>
      <c r="E123" s="164"/>
      <c r="F123" s="165" t="str">
        <f>IF(F$3="","",IF(COUNTIFS(BD!$A$3:$A$5001,F$3,BD!$B$3:$B$5001,$A$122,BD!$D$3:$D$5001,"&lt;&gt;")=0,"",SUMIFS(BD!$D$3:$D$5001,BD!$A$3:$A$5001,F$3,BD!$B$3:$B$5001,$A$122)))</f>
        <v/>
      </c>
      <c r="G123" s="166" t="str">
        <f>IF(G$3="","",IF(COUNTIFS(BD!$A$3:$A$5001,G$3,BD!$B$3:$B$5001,$A$122,BD!$D$3:$D$5001,"&lt;&gt;")=0,"",SUMIFS(BD!$D$3:$D$5001,BD!$A$3:$A$5001,G$3,BD!$B$3:$B$5001,$A$122)))</f>
        <v/>
      </c>
      <c r="H123" s="166" t="str">
        <f>IF(H$3="","",IF(COUNTIFS(BD!$A$3:$A$5001,H$3,BD!$B$3:$B$5001,$A$122,BD!$D$3:$D$5001,"&lt;&gt;")=0,"",SUMIFS(BD!$D$3:$D$5001,BD!$A$3:$A$5001,H$3,BD!$B$3:$B$5001,$A$122)))</f>
        <v/>
      </c>
      <c r="I123" s="166" t="str">
        <f>IF(I$3="","",IF(COUNTIFS(BD!$A$3:$A$5001,I$3,BD!$B$3:$B$5001,$A$122,BD!$D$3:$D$5001,"&lt;&gt;")=0,"",SUMIFS(BD!$D$3:$D$5001,BD!$A$3:$A$5001,I$3,BD!$B$3:$B$5001,$A$122)))</f>
        <v/>
      </c>
      <c r="J123" s="166" t="str">
        <f>IF(J$3="","",IF(COUNTIFS(BD!$A$3:$A$5001,J$3,BD!$B$3:$B$5001,$A$122,BD!$D$3:$D$5001,"&lt;&gt;")=0,"",SUMIFS(BD!$D$3:$D$5001,BD!$A$3:$A$5001,J$3,BD!$B$3:$B$5001,$A$122)))</f>
        <v/>
      </c>
      <c r="K123" s="166" t="str">
        <f>IF(K$3="","",IF(COUNTIFS(BD!$A$3:$A$5001,K$3,BD!$B$3:$B$5001,$A$122,BD!$D$3:$D$5001,"&lt;&gt;")=0,"",SUMIFS(BD!$D$3:$D$5001,BD!$A$3:$A$5001,K$3,BD!$B$3:$B$5001,$A$122)))</f>
        <v/>
      </c>
      <c r="L123" s="166" t="str">
        <f>IF(L$3="","",IF(COUNTIFS(BD!$A$3:$A$5001,L$3,BD!$B$3:$B$5001,$A$122,BD!$D$3:$D$5001,"&lt;&gt;")=0,"",SUMIFS(BD!$D$3:$D$5001,BD!$A$3:$A$5001,L$3,BD!$B$3:$B$5001,$A$122)))</f>
        <v/>
      </c>
      <c r="M123" s="166" t="str">
        <f>IF(M$3="","",IF(COUNTIFS(BD!$A$3:$A$5001,M$3,BD!$B$3:$B$5001,$A$122,BD!$D$3:$D$5001,"&lt;&gt;")=0,"",SUMIFS(BD!$D$3:$D$5001,BD!$A$3:$A$5001,M$3,BD!$B$3:$B$5001,$A$122)))</f>
        <v/>
      </c>
      <c r="N123" s="166" t="str">
        <f>IF(N$3="","",IF(COUNTIFS(BD!$A$3:$A$5001,N$3,BD!$B$3:$B$5001,$A$122,BD!$D$3:$D$5001,"&lt;&gt;")=0,"",SUMIFS(BD!$D$3:$D$5001,BD!$A$3:$A$5001,N$3,BD!$B$3:$B$5001,$A$122)))</f>
        <v/>
      </c>
      <c r="O123" s="166" t="str">
        <f>IF(O$3="","",IF(COUNTIFS(BD!$A$3:$A$5001,O$3,BD!$B$3:$B$5001,$A$122,BD!$D$3:$D$5001,"&lt;&gt;")=0,"",SUMIFS(BD!$D$3:$D$5001,BD!$A$3:$A$5001,O$3,BD!$B$3:$B$5001,$A$122)))</f>
        <v/>
      </c>
      <c r="P123" s="166" t="str">
        <f>IF(P$3="","",IF(COUNTIFS(BD!$A$3:$A$5001,P$3,BD!$B$3:$B$5001,$A$122,BD!$D$3:$D$5001,"&lt;&gt;")=0,"",SUMIFS(BD!$D$3:$D$5001,BD!$A$3:$A$5001,P$3,BD!$B$3:$B$5001,$A$122)))</f>
        <v/>
      </c>
      <c r="Q123" s="166" t="str">
        <f>IF(Q$3="","",IF(COUNTIFS(BD!$A$3:$A$5001,Q$3,BD!$B$3:$B$5001,$A$122,BD!$D$3:$D$5001,"&lt;&gt;")=0,"",SUMIFS(BD!$D$3:$D$5001,BD!$A$3:$A$5001,Q$3,BD!$B$3:$B$5001,$A$122)))</f>
        <v/>
      </c>
      <c r="R123" s="166" t="str">
        <f>IF(R$3="","",IF(COUNTIFS(BD!$A$3:$A$5001,R$3,BD!$B$3:$B$5001,$A$122,BD!$D$3:$D$5001,"&lt;&gt;")=0,"",SUMIFS(BD!$D$3:$D$5001,BD!$A$3:$A$5001,R$3,BD!$B$3:$B$5001,$A$122)))</f>
        <v/>
      </c>
      <c r="S123" s="166" t="str">
        <f>IF(S$3="","",IF(COUNTIFS(BD!$A$3:$A$5001,S$3,BD!$B$3:$B$5001,$A$122,BD!$D$3:$D$5001,"&lt;&gt;")=0,"",SUMIFS(BD!$D$3:$D$5001,BD!$A$3:$A$5001,S$3,BD!$B$3:$B$5001,$A$122)))</f>
        <v/>
      </c>
      <c r="T123" s="166" t="str">
        <f>IF(T$3="","",IF(COUNTIFS(BD!$A$3:$A$5001,T$3,BD!$B$3:$B$5001,$A$122,BD!$D$3:$D$5001,"&lt;&gt;")=0,"",SUMIFS(BD!$D$3:$D$5001,BD!$A$3:$A$5001,T$3,BD!$B$3:$B$5001,$A$122)))</f>
        <v/>
      </c>
      <c r="U123" s="166" t="str">
        <f>IF(U$3="","",IF(COUNTIFS(BD!$A$3:$A$5001,U$3,BD!$B$3:$B$5001,$A$122,BD!$D$3:$D$5001,"&lt;&gt;")=0,"",SUMIFS(BD!$D$3:$D$5001,BD!$A$3:$A$5001,U$3,BD!$B$3:$B$5001,$A$122)))</f>
        <v/>
      </c>
      <c r="V123" s="166" t="str">
        <f>IF(V$3="","",IF(COUNTIFS(BD!$A$3:$A$5001,V$3,BD!$B$3:$B$5001,$A$122,BD!$D$3:$D$5001,"&lt;&gt;")=0,"",SUMIFS(BD!$D$3:$D$5001,BD!$A$3:$A$5001,V$3,BD!$B$3:$B$5001,$A$122)))</f>
        <v/>
      </c>
      <c r="W123" s="166" t="str">
        <f>IF(W$3="","",IF(COUNTIFS(BD!$A$3:$A$5001,W$3,BD!$B$3:$B$5001,$A$122,BD!$D$3:$D$5001,"&lt;&gt;")=0,"",SUMIFS(BD!$D$3:$D$5001,BD!$A$3:$A$5001,W$3,BD!$B$3:$B$5001,$A$122)))</f>
        <v/>
      </c>
      <c r="X123" s="166" t="str">
        <f>IF(X$3="","",IF(COUNTIFS(BD!$A$3:$A$5001,X$3,BD!$B$3:$B$5001,$A$122,BD!$D$3:$D$5001,"&lt;&gt;")=0,"",SUMIFS(BD!$D$3:$D$5001,BD!$A$3:$A$5001,X$3,BD!$B$3:$B$5001,$A$122)))</f>
        <v/>
      </c>
      <c r="Y123" s="166" t="str">
        <f>IF(Y$3="","",IF(COUNTIFS(BD!$A$3:$A$5001,Y$3,BD!$B$3:$B$5001,$A$122,BD!$D$3:$D$5001,"&lt;&gt;")=0,"",SUMIFS(BD!$D$3:$D$5001,BD!$A$3:$A$5001,Y$3,BD!$B$3:$B$5001,$A$122)))</f>
        <v/>
      </c>
      <c r="Z123" s="166" t="str">
        <f>IF(Z$3="","",IF(COUNTIFS(BD!$A$3:$A$5001,Z$3,BD!$B$3:$B$5001,$A$122,BD!$D$3:$D$5001,"&lt;&gt;")=0,"",SUMIFS(BD!$D$3:$D$5001,BD!$A$3:$A$5001,Z$3,BD!$B$3:$B$5001,$A$122)))</f>
        <v/>
      </c>
      <c r="AA123" s="166" t="str">
        <f>IF(AA$3="","",IF(COUNTIFS(BD!$A$3:$A$5001,AA$3,BD!$B$3:$B$5001,$A$122,BD!$D$3:$D$5001,"&lt;&gt;")=0,"",SUMIFS(BD!$D$3:$D$5001,BD!$A$3:$A$5001,AA$3,BD!$B$3:$B$5001,$A$122)))</f>
        <v/>
      </c>
      <c r="AB123" s="166" t="str">
        <f>IF(AB$3="","",IF(COUNTIFS(BD!$A$3:$A$5001,AB$3,BD!$B$3:$B$5001,$A$122,BD!$D$3:$D$5001,"&lt;&gt;")=0,"",SUMIFS(BD!$D$3:$D$5001,BD!$A$3:$A$5001,AB$3,BD!$B$3:$B$5001,$A$122)))</f>
        <v/>
      </c>
      <c r="AC123" s="166" t="str">
        <f>IF(AC$3="","",IF(COUNTIFS(BD!$A$3:$A$5001,AC$3,BD!$B$3:$B$5001,$A$122,BD!$D$3:$D$5001,"&lt;&gt;")=0,"",SUMIFS(BD!$D$3:$D$5001,BD!$A$3:$A$5001,AC$3,BD!$B$3:$B$5001,$A$122)))</f>
        <v/>
      </c>
      <c r="AD123" s="166" t="str">
        <f>IF(AD$3="","",IF(COUNTIFS(BD!$A$3:$A$5001,AD$3,BD!$B$3:$B$5001,$A$122,BD!$D$3:$D$5001,"&lt;&gt;")=0,"",SUMIFS(BD!$D$3:$D$5001,BD!$A$3:$A$5001,AD$3,BD!$B$3:$B$5001,$A$122)))</f>
        <v/>
      </c>
      <c r="AE123" s="166" t="str">
        <f>IF(AE$3="","",IF(COUNTIFS(BD!$A$3:$A$5001,AE$3,BD!$B$3:$B$5001,$A$122,BD!$D$3:$D$5001,"&lt;&gt;")=0,"",SUMIFS(BD!$D$3:$D$5001,BD!$A$3:$A$5001,AE$3,BD!$B$3:$B$5001,$A$122)))</f>
        <v/>
      </c>
      <c r="AF123" s="166" t="str">
        <f>IF(AF$3="","",IF(COUNTIFS(BD!$A$3:$A$5001,AF$3,BD!$B$3:$B$5001,$A$122,BD!$D$3:$D$5001,"&lt;&gt;")=0,"",SUMIFS(BD!$D$3:$D$5001,BD!$A$3:$A$5001,AF$3,BD!$B$3:$B$5001,$A$122)))</f>
        <v/>
      </c>
      <c r="AG123" s="166" t="str">
        <f>IF(AG$3="","",IF(COUNTIFS(BD!$A$3:$A$5001,AG$3,BD!$B$3:$B$5001,$A$122,BD!$D$3:$D$5001,"&lt;&gt;")=0,"",SUMIFS(BD!$D$3:$D$5001,BD!$A$3:$A$5001,AG$3,BD!$B$3:$B$5001,$A$122)))</f>
        <v/>
      </c>
      <c r="AH123" s="166" t="str">
        <f>IF(AH$3="","",IF(COUNTIFS(BD!$A$3:$A$5001,AH$3,BD!$B$3:$B$5001,$A$122,BD!$D$3:$D$5001,"&lt;&gt;")=0,"",SUMIFS(BD!$D$3:$D$5001,BD!$A$3:$A$5001,AH$3,BD!$B$3:$B$5001,$A$122)))</f>
        <v/>
      </c>
      <c r="AI123" s="166" t="str">
        <f>IF(AI$3="","",IF(COUNTIFS(BD!$A$3:$A$5001,AI$3,BD!$B$3:$B$5001,$A$122,BD!$D$3:$D$5001,"&lt;&gt;")=0,"",SUMIFS(BD!$D$3:$D$5001,BD!$A$3:$A$5001,AI$3,BD!$B$3:$B$5001,$A$122)))</f>
        <v/>
      </c>
      <c r="AJ123" s="167" t="str">
        <f>IF(AJ$3="","",IF(COUNTIFS(BD!$A$3:$A$5001,AJ$3,BD!$B$3:$B$5001,$A$122,BD!$D$3:$D$5001,"&lt;&gt;")=0,"",SUMIFS(BD!$D$3:$D$5001,BD!$A$3:$A$5001,AJ$3,BD!$B$3:$B$5001,$A$122)))</f>
        <v/>
      </c>
      <c r="AK123" s="168" t="str">
        <f>IF(COUNT(F123:AJ123)=0,"",SUM(F123:AJ123))</f>
        <v/>
      </c>
    </row>
    <row r="124" ht="15.75" customHeight="1" hidden="1">
      <c r="A124" s="254"/>
      <c r="B124" s="243"/>
      <c r="C124" s="169" t="inlineStr">
        <is>
          <t xml:space="preserve">Toneladas Movimentadas</t>
        </is>
      </c>
      <c r="D124" s="170" t="str">
        <f>IFERROR(1/(1/INDEX(BD!$Y$25:$AS$25,MATCH($A$122,BD!$Y$22:$AS$22,0))),"")</f>
        <v/>
      </c>
      <c r="E124" s="171"/>
      <c r="F124" s="172" t="str">
        <f>IF(F$3="","",IF(COUNTIFS(BD!$A$3:$A$5001,F$3,BD!$B$3:$B$5001,$A$122,BD!$E$3:$E$5001,"&lt;&gt;")=0,"",SUMIFS(BD!$E$3:$E$5001,BD!$A$3:$A$5001,F$3,BD!$B$3:$B$5001,$A$122)))</f>
        <v/>
      </c>
      <c r="G124" s="173" t="str">
        <f>IF(G$3="","",IF(COUNTIFS(BD!$A$3:$A$5001,G$3,BD!$B$3:$B$5001,$A$122,BD!$E$3:$E$5001,"&lt;&gt;")=0,"",SUMIFS(BD!$E$3:$E$5001,BD!$A$3:$A$5001,G$3,BD!$B$3:$B$5001,$A$122)))</f>
        <v/>
      </c>
      <c r="H124" s="173" t="str">
        <f>IF(H$3="","",IF(COUNTIFS(BD!$A$3:$A$5001,H$3,BD!$B$3:$B$5001,$A$122,BD!$E$3:$E$5001,"&lt;&gt;")=0,"",SUMIFS(BD!$E$3:$E$5001,BD!$A$3:$A$5001,H$3,BD!$B$3:$B$5001,$A$122)))</f>
        <v/>
      </c>
      <c r="I124" s="173" t="str">
        <f>IF(I$3="","",IF(COUNTIFS(BD!$A$3:$A$5001,I$3,BD!$B$3:$B$5001,$A$122,BD!$E$3:$E$5001,"&lt;&gt;")=0,"",SUMIFS(BD!$E$3:$E$5001,BD!$A$3:$A$5001,I$3,BD!$B$3:$B$5001,$A$122)))</f>
        <v/>
      </c>
      <c r="J124" s="173" t="str">
        <f>IF(J$3="","",IF(COUNTIFS(BD!$A$3:$A$5001,J$3,BD!$B$3:$B$5001,$A$122,BD!$E$3:$E$5001,"&lt;&gt;")=0,"",SUMIFS(BD!$E$3:$E$5001,BD!$A$3:$A$5001,J$3,BD!$B$3:$B$5001,$A$122)))</f>
        <v/>
      </c>
      <c r="K124" s="173" t="str">
        <f>IF(K$3="","",IF(COUNTIFS(BD!$A$3:$A$5001,K$3,BD!$B$3:$B$5001,$A$122,BD!$E$3:$E$5001,"&lt;&gt;")=0,"",SUMIFS(BD!$E$3:$E$5001,BD!$A$3:$A$5001,K$3,BD!$B$3:$B$5001,$A$122)))</f>
        <v/>
      </c>
      <c r="L124" s="173" t="str">
        <f>IF(L$3="","",IF(COUNTIFS(BD!$A$3:$A$5001,L$3,BD!$B$3:$B$5001,$A$122,BD!$E$3:$E$5001,"&lt;&gt;")=0,"",SUMIFS(BD!$E$3:$E$5001,BD!$A$3:$A$5001,L$3,BD!$B$3:$B$5001,$A$122)))</f>
        <v/>
      </c>
      <c r="M124" s="173" t="str">
        <f>IF(M$3="","",IF(COUNTIFS(BD!$A$3:$A$5001,M$3,BD!$B$3:$B$5001,$A$122,BD!$E$3:$E$5001,"&lt;&gt;")=0,"",SUMIFS(BD!$E$3:$E$5001,BD!$A$3:$A$5001,M$3,BD!$B$3:$B$5001,$A$122)))</f>
        <v/>
      </c>
      <c r="N124" s="173" t="str">
        <f>IF(N$3="","",IF(COUNTIFS(BD!$A$3:$A$5001,N$3,BD!$B$3:$B$5001,$A$122,BD!$E$3:$E$5001,"&lt;&gt;")=0,"",SUMIFS(BD!$E$3:$E$5001,BD!$A$3:$A$5001,N$3,BD!$B$3:$B$5001,$A$122)))</f>
        <v/>
      </c>
      <c r="O124" s="173" t="str">
        <f>IF(O$3="","",IF(COUNTIFS(BD!$A$3:$A$5001,O$3,BD!$B$3:$B$5001,$A$122,BD!$E$3:$E$5001,"&lt;&gt;")=0,"",SUMIFS(BD!$E$3:$E$5001,BD!$A$3:$A$5001,O$3,BD!$B$3:$B$5001,$A$122)))</f>
        <v/>
      </c>
      <c r="P124" s="173" t="str">
        <f>IF(P$3="","",IF(COUNTIFS(BD!$A$3:$A$5001,P$3,BD!$B$3:$B$5001,$A$122,BD!$E$3:$E$5001,"&lt;&gt;")=0,"",SUMIFS(BD!$E$3:$E$5001,BD!$A$3:$A$5001,P$3,BD!$B$3:$B$5001,$A$122)))</f>
        <v/>
      </c>
      <c r="Q124" s="173" t="str">
        <f>IF(Q$3="","",IF(COUNTIFS(BD!$A$3:$A$5001,Q$3,BD!$B$3:$B$5001,$A$122,BD!$E$3:$E$5001,"&lt;&gt;")=0,"",SUMIFS(BD!$E$3:$E$5001,BD!$A$3:$A$5001,Q$3,BD!$B$3:$B$5001,$A$122)))</f>
        <v/>
      </c>
      <c r="R124" s="173" t="str">
        <f>IF(R$3="","",IF(COUNTIFS(BD!$A$3:$A$5001,R$3,BD!$B$3:$B$5001,$A$122,BD!$E$3:$E$5001,"&lt;&gt;")=0,"",SUMIFS(BD!$E$3:$E$5001,BD!$A$3:$A$5001,R$3,BD!$B$3:$B$5001,$A$122)))</f>
        <v/>
      </c>
      <c r="S124" s="173" t="str">
        <f>IF(S$3="","",IF(COUNTIFS(BD!$A$3:$A$5001,S$3,BD!$B$3:$B$5001,$A$122,BD!$E$3:$E$5001,"&lt;&gt;")=0,"",SUMIFS(BD!$E$3:$E$5001,BD!$A$3:$A$5001,S$3,BD!$B$3:$B$5001,$A$122)))</f>
        <v/>
      </c>
      <c r="T124" s="173" t="str">
        <f>IF(T$3="","",IF(COUNTIFS(BD!$A$3:$A$5001,T$3,BD!$B$3:$B$5001,$A$122,BD!$E$3:$E$5001,"&lt;&gt;")=0,"",SUMIFS(BD!$E$3:$E$5001,BD!$A$3:$A$5001,T$3,BD!$B$3:$B$5001,$A$122)))</f>
        <v/>
      </c>
      <c r="U124" s="173" t="str">
        <f>IF(U$3="","",IF(COUNTIFS(BD!$A$3:$A$5001,U$3,BD!$B$3:$B$5001,$A$122,BD!$E$3:$E$5001,"&lt;&gt;")=0,"",SUMIFS(BD!$E$3:$E$5001,BD!$A$3:$A$5001,U$3,BD!$B$3:$B$5001,$A$122)))</f>
        <v/>
      </c>
      <c r="V124" s="173" t="str">
        <f>IF(V$3="","",IF(COUNTIFS(BD!$A$3:$A$5001,V$3,BD!$B$3:$B$5001,$A$122,BD!$E$3:$E$5001,"&lt;&gt;")=0,"",SUMIFS(BD!$E$3:$E$5001,BD!$A$3:$A$5001,V$3,BD!$B$3:$B$5001,$A$122)))</f>
        <v/>
      </c>
      <c r="W124" s="173" t="str">
        <f>IF(W$3="","",IF(COUNTIFS(BD!$A$3:$A$5001,W$3,BD!$B$3:$B$5001,$A$122,BD!$E$3:$E$5001,"&lt;&gt;")=0,"",SUMIFS(BD!$E$3:$E$5001,BD!$A$3:$A$5001,W$3,BD!$B$3:$B$5001,$A$122)))</f>
        <v/>
      </c>
      <c r="X124" s="173" t="str">
        <f>IF(X$3="","",IF(COUNTIFS(BD!$A$3:$A$5001,X$3,BD!$B$3:$B$5001,$A$122,BD!$E$3:$E$5001,"&lt;&gt;")=0,"",SUMIFS(BD!$E$3:$E$5001,BD!$A$3:$A$5001,X$3,BD!$B$3:$B$5001,$A$122)))</f>
        <v/>
      </c>
      <c r="Y124" s="173" t="str">
        <f>IF(Y$3="","",IF(COUNTIFS(BD!$A$3:$A$5001,Y$3,BD!$B$3:$B$5001,$A$122,BD!$E$3:$E$5001,"&lt;&gt;")=0,"",SUMIFS(BD!$E$3:$E$5001,BD!$A$3:$A$5001,Y$3,BD!$B$3:$B$5001,$A$122)))</f>
        <v/>
      </c>
      <c r="Z124" s="173" t="str">
        <f>IF(Z$3="","",IF(COUNTIFS(BD!$A$3:$A$5001,Z$3,BD!$B$3:$B$5001,$A$122,BD!$E$3:$E$5001,"&lt;&gt;")=0,"",SUMIFS(BD!$E$3:$E$5001,BD!$A$3:$A$5001,Z$3,BD!$B$3:$B$5001,$A$122)))</f>
        <v/>
      </c>
      <c r="AA124" s="173" t="str">
        <f>IF(AA$3="","",IF(COUNTIFS(BD!$A$3:$A$5001,AA$3,BD!$B$3:$B$5001,$A$122,BD!$E$3:$E$5001,"&lt;&gt;")=0,"",SUMIFS(BD!$E$3:$E$5001,BD!$A$3:$A$5001,AA$3,BD!$B$3:$B$5001,$A$122)))</f>
        <v/>
      </c>
      <c r="AB124" s="173" t="str">
        <f>IF(AB$3="","",IF(COUNTIFS(BD!$A$3:$A$5001,AB$3,BD!$B$3:$B$5001,$A$122,BD!$E$3:$E$5001,"&lt;&gt;")=0,"",SUMIFS(BD!$E$3:$E$5001,BD!$A$3:$A$5001,AB$3,BD!$B$3:$B$5001,$A$122)))</f>
        <v/>
      </c>
      <c r="AC124" s="173" t="str">
        <f>IF(AC$3="","",IF(COUNTIFS(BD!$A$3:$A$5001,AC$3,BD!$B$3:$B$5001,$A$122,BD!$E$3:$E$5001,"&lt;&gt;")=0,"",SUMIFS(BD!$E$3:$E$5001,BD!$A$3:$A$5001,AC$3,BD!$B$3:$B$5001,$A$122)))</f>
        <v/>
      </c>
      <c r="AD124" s="173" t="str">
        <f>IF(AD$3="","",IF(COUNTIFS(BD!$A$3:$A$5001,AD$3,BD!$B$3:$B$5001,$A$122,BD!$E$3:$E$5001,"&lt;&gt;")=0,"",SUMIFS(BD!$E$3:$E$5001,BD!$A$3:$A$5001,AD$3,BD!$B$3:$B$5001,$A$122)))</f>
        <v/>
      </c>
      <c r="AE124" s="173" t="str">
        <f>IF(AE$3="","",IF(COUNTIFS(BD!$A$3:$A$5001,AE$3,BD!$B$3:$B$5001,$A$122,BD!$E$3:$E$5001,"&lt;&gt;")=0,"",SUMIFS(BD!$E$3:$E$5001,BD!$A$3:$A$5001,AE$3,BD!$B$3:$B$5001,$A$122)))</f>
        <v/>
      </c>
      <c r="AF124" s="173" t="str">
        <f>IF(AF$3="","",IF(COUNTIFS(BD!$A$3:$A$5001,AF$3,BD!$B$3:$B$5001,$A$122,BD!$E$3:$E$5001,"&lt;&gt;")=0,"",SUMIFS(BD!$E$3:$E$5001,BD!$A$3:$A$5001,AF$3,BD!$B$3:$B$5001,$A$122)))</f>
        <v/>
      </c>
      <c r="AG124" s="173" t="str">
        <f>IF(AG$3="","",IF(COUNTIFS(BD!$A$3:$A$5001,AG$3,BD!$B$3:$B$5001,$A$122,BD!$E$3:$E$5001,"&lt;&gt;")=0,"",SUMIFS(BD!$E$3:$E$5001,BD!$A$3:$A$5001,AG$3,BD!$B$3:$B$5001,$A$122)))</f>
        <v/>
      </c>
      <c r="AH124" s="173" t="str">
        <f>IF(AH$3="","",IF(COUNTIFS(BD!$A$3:$A$5001,AH$3,BD!$B$3:$B$5001,$A$122,BD!$E$3:$E$5001,"&lt;&gt;")=0,"",SUMIFS(BD!$E$3:$E$5001,BD!$A$3:$A$5001,AH$3,BD!$B$3:$B$5001,$A$122)))</f>
        <v/>
      </c>
      <c r="AI124" s="173" t="str">
        <f>IF(AI$3="","",IF(COUNTIFS(BD!$A$3:$A$5001,AI$3,BD!$B$3:$B$5001,$A$122,BD!$E$3:$E$5001,"&lt;&gt;")=0,"",SUMIFS(BD!$E$3:$E$5001,BD!$A$3:$A$5001,AI$3,BD!$B$3:$B$5001,$A$122)))</f>
        <v/>
      </c>
      <c r="AJ124" s="174" t="str">
        <f>IF(AJ$3="","",IF(COUNTIFS(BD!$A$3:$A$5001,AJ$3,BD!$B$3:$B$5001,$A$122,BD!$E$3:$E$5001,"&lt;&gt;")=0,"",SUMIFS(BD!$E$3:$E$5001,BD!$A$3:$A$5001,AJ$3,BD!$B$3:$B$5001,$A$122)))</f>
        <v/>
      </c>
      <c r="AK124" s="175" t="str">
        <f>IF(COUNT(F124:AJ124)=0,"",SUM(F124:AJ124))</f>
        <v/>
      </c>
    </row>
    <row r="125" ht="15.75" customHeight="1" hidden="1">
      <c r="A125" s="254"/>
      <c r="B125" s="244" t="inlineStr">
        <is>
          <t xml:space="preserve">OUT</t>
        </is>
      </c>
      <c r="C125" s="176" t="inlineStr">
        <is>
          <t xml:space="preserve">Veículos Expedidos</t>
        </is>
      </c>
      <c r="D125" s="177" t="str">
        <f>IFERROR(1/(1/INDEX(BD!$Y$26:$AS$26,MATCH($A$122,BD!$Y$22:$AS$22,0))),"")</f>
        <v/>
      </c>
      <c r="E125" s="178"/>
      <c r="F125" s="179" t="str">
        <f>IF(F$3="","",IF(COUNTIFS(BD!$A$3:$A$5001,F$3,BD!$B$3:$B$5001,$A$122,BD!$F$3:$F$5001,"&lt;&gt;")=0,"",SUMIFS(BD!$F$3:$F$5001,BD!$A$3:$A$5001,F$3,BD!$B$3:$B$5001,$A$122)))</f>
        <v/>
      </c>
      <c r="G125" s="180" t="str">
        <f>IF(G$3="","",IF(COUNTIFS(BD!$A$3:$A$5001,G$3,BD!$B$3:$B$5001,$A$122,BD!$F$3:$F$5001,"&lt;&gt;")=0,"",SUMIFS(BD!$F$3:$F$5001,BD!$A$3:$A$5001,G$3,BD!$B$3:$B$5001,$A$122)))</f>
        <v/>
      </c>
      <c r="H125" s="180" t="str">
        <f>IF(H$3="","",IF(COUNTIFS(BD!$A$3:$A$5001,H$3,BD!$B$3:$B$5001,$A$122,BD!$F$3:$F$5001,"&lt;&gt;")=0,"",SUMIFS(BD!$F$3:$F$5001,BD!$A$3:$A$5001,H$3,BD!$B$3:$B$5001,$A$122)))</f>
        <v/>
      </c>
      <c r="I125" s="180" t="str">
        <f>IF(I$3="","",IF(COUNTIFS(BD!$A$3:$A$5001,I$3,BD!$B$3:$B$5001,$A$122,BD!$F$3:$F$5001,"&lt;&gt;")=0,"",SUMIFS(BD!$F$3:$F$5001,BD!$A$3:$A$5001,I$3,BD!$B$3:$B$5001,$A$122)))</f>
        <v/>
      </c>
      <c r="J125" s="180" t="str">
        <f>IF(J$3="","",IF(COUNTIFS(BD!$A$3:$A$5001,J$3,BD!$B$3:$B$5001,$A$122,BD!$F$3:$F$5001,"&lt;&gt;")=0,"",SUMIFS(BD!$F$3:$F$5001,BD!$A$3:$A$5001,J$3,BD!$B$3:$B$5001,$A$122)))</f>
        <v/>
      </c>
      <c r="K125" s="180" t="str">
        <f>IF(K$3="","",IF(COUNTIFS(BD!$A$3:$A$5001,K$3,BD!$B$3:$B$5001,$A$122,BD!$F$3:$F$5001,"&lt;&gt;")=0,"",SUMIFS(BD!$F$3:$F$5001,BD!$A$3:$A$5001,K$3,BD!$B$3:$B$5001,$A$122)))</f>
        <v/>
      </c>
      <c r="L125" s="180" t="str">
        <f>IF(L$3="","",IF(COUNTIFS(BD!$A$3:$A$5001,L$3,BD!$B$3:$B$5001,$A$122,BD!$F$3:$F$5001,"&lt;&gt;")=0,"",SUMIFS(BD!$F$3:$F$5001,BD!$A$3:$A$5001,L$3,BD!$B$3:$B$5001,$A$122)))</f>
        <v/>
      </c>
      <c r="M125" s="180" t="str">
        <f>IF(M$3="","",IF(COUNTIFS(BD!$A$3:$A$5001,M$3,BD!$B$3:$B$5001,$A$122,BD!$F$3:$F$5001,"&lt;&gt;")=0,"",SUMIFS(BD!$F$3:$F$5001,BD!$A$3:$A$5001,M$3,BD!$B$3:$B$5001,$A$122)))</f>
        <v/>
      </c>
      <c r="N125" s="180" t="str">
        <f>IF(N$3="","",IF(COUNTIFS(BD!$A$3:$A$5001,N$3,BD!$B$3:$B$5001,$A$122,BD!$F$3:$F$5001,"&lt;&gt;")=0,"",SUMIFS(BD!$F$3:$F$5001,BD!$A$3:$A$5001,N$3,BD!$B$3:$B$5001,$A$122)))</f>
        <v/>
      </c>
      <c r="O125" s="180" t="str">
        <f>IF(O$3="","",IF(COUNTIFS(BD!$A$3:$A$5001,O$3,BD!$B$3:$B$5001,$A$122,BD!$F$3:$F$5001,"&lt;&gt;")=0,"",SUMIFS(BD!$F$3:$F$5001,BD!$A$3:$A$5001,O$3,BD!$B$3:$B$5001,$A$122)))</f>
        <v/>
      </c>
      <c r="P125" s="180" t="str">
        <f>IF(P$3="","",IF(COUNTIFS(BD!$A$3:$A$5001,P$3,BD!$B$3:$B$5001,$A$122,BD!$F$3:$F$5001,"&lt;&gt;")=0,"",SUMIFS(BD!$F$3:$F$5001,BD!$A$3:$A$5001,P$3,BD!$B$3:$B$5001,$A$122)))</f>
        <v/>
      </c>
      <c r="Q125" s="180" t="str">
        <f>IF(Q$3="","",IF(COUNTIFS(BD!$A$3:$A$5001,Q$3,BD!$B$3:$B$5001,$A$122,BD!$F$3:$F$5001,"&lt;&gt;")=0,"",SUMIFS(BD!$F$3:$F$5001,BD!$A$3:$A$5001,Q$3,BD!$B$3:$B$5001,$A$122)))</f>
        <v/>
      </c>
      <c r="R125" s="180" t="str">
        <f>IF(R$3="","",IF(COUNTIFS(BD!$A$3:$A$5001,R$3,BD!$B$3:$B$5001,$A$122,BD!$F$3:$F$5001,"&lt;&gt;")=0,"",SUMIFS(BD!$F$3:$F$5001,BD!$A$3:$A$5001,R$3,BD!$B$3:$B$5001,$A$122)))</f>
        <v/>
      </c>
      <c r="S125" s="180" t="str">
        <f>IF(S$3="","",IF(COUNTIFS(BD!$A$3:$A$5001,S$3,BD!$B$3:$B$5001,$A$122,BD!$F$3:$F$5001,"&lt;&gt;")=0,"",SUMIFS(BD!$F$3:$F$5001,BD!$A$3:$A$5001,S$3,BD!$B$3:$B$5001,$A$122)))</f>
        <v/>
      </c>
      <c r="T125" s="180" t="str">
        <f>IF(T$3="","",IF(COUNTIFS(BD!$A$3:$A$5001,T$3,BD!$B$3:$B$5001,$A$122,BD!$F$3:$F$5001,"&lt;&gt;")=0,"",SUMIFS(BD!$F$3:$F$5001,BD!$A$3:$A$5001,T$3,BD!$B$3:$B$5001,$A$122)))</f>
        <v/>
      </c>
      <c r="U125" s="180" t="str">
        <f>IF(U$3="","",IF(COUNTIFS(BD!$A$3:$A$5001,U$3,BD!$B$3:$B$5001,$A$122,BD!$F$3:$F$5001,"&lt;&gt;")=0,"",SUMIFS(BD!$F$3:$F$5001,BD!$A$3:$A$5001,U$3,BD!$B$3:$B$5001,$A$122)))</f>
        <v/>
      </c>
      <c r="V125" s="180" t="str">
        <f>IF(V$3="","",IF(COUNTIFS(BD!$A$3:$A$5001,V$3,BD!$B$3:$B$5001,$A$122,BD!$F$3:$F$5001,"&lt;&gt;")=0,"",SUMIFS(BD!$F$3:$F$5001,BD!$A$3:$A$5001,V$3,BD!$B$3:$B$5001,$A$122)))</f>
        <v/>
      </c>
      <c r="W125" s="180" t="str">
        <f>IF(W$3="","",IF(COUNTIFS(BD!$A$3:$A$5001,W$3,BD!$B$3:$B$5001,$A$122,BD!$F$3:$F$5001,"&lt;&gt;")=0,"",SUMIFS(BD!$F$3:$F$5001,BD!$A$3:$A$5001,W$3,BD!$B$3:$B$5001,$A$122)))</f>
        <v/>
      </c>
      <c r="X125" s="180" t="str">
        <f>IF(X$3="","",IF(COUNTIFS(BD!$A$3:$A$5001,X$3,BD!$B$3:$B$5001,$A$122,BD!$F$3:$F$5001,"&lt;&gt;")=0,"",SUMIFS(BD!$F$3:$F$5001,BD!$A$3:$A$5001,X$3,BD!$B$3:$B$5001,$A$122)))</f>
        <v/>
      </c>
      <c r="Y125" s="180" t="str">
        <f>IF(Y$3="","",IF(COUNTIFS(BD!$A$3:$A$5001,Y$3,BD!$B$3:$B$5001,$A$122,BD!$F$3:$F$5001,"&lt;&gt;")=0,"",SUMIFS(BD!$F$3:$F$5001,BD!$A$3:$A$5001,Y$3,BD!$B$3:$B$5001,$A$122)))</f>
        <v/>
      </c>
      <c r="Z125" s="180" t="str">
        <f>IF(Z$3="","",IF(COUNTIFS(BD!$A$3:$A$5001,Z$3,BD!$B$3:$B$5001,$A$122,BD!$F$3:$F$5001,"&lt;&gt;")=0,"",SUMIFS(BD!$F$3:$F$5001,BD!$A$3:$A$5001,Z$3,BD!$B$3:$B$5001,$A$122)))</f>
        <v/>
      </c>
      <c r="AA125" s="180" t="str">
        <f>IF(AA$3="","",IF(COUNTIFS(BD!$A$3:$A$5001,AA$3,BD!$B$3:$B$5001,$A$122,BD!$F$3:$F$5001,"&lt;&gt;")=0,"",SUMIFS(BD!$F$3:$F$5001,BD!$A$3:$A$5001,AA$3,BD!$B$3:$B$5001,$A$122)))</f>
        <v/>
      </c>
      <c r="AB125" s="180" t="str">
        <f>IF(AB$3="","",IF(COUNTIFS(BD!$A$3:$A$5001,AB$3,BD!$B$3:$B$5001,$A$122,BD!$F$3:$F$5001,"&lt;&gt;")=0,"",SUMIFS(BD!$F$3:$F$5001,BD!$A$3:$A$5001,AB$3,BD!$B$3:$B$5001,$A$122)))</f>
        <v/>
      </c>
      <c r="AC125" s="180" t="str">
        <f>IF(AC$3="","",IF(COUNTIFS(BD!$A$3:$A$5001,AC$3,BD!$B$3:$B$5001,$A$122,BD!$F$3:$F$5001,"&lt;&gt;")=0,"",SUMIFS(BD!$F$3:$F$5001,BD!$A$3:$A$5001,AC$3,BD!$B$3:$B$5001,$A$122)))</f>
        <v/>
      </c>
      <c r="AD125" s="180" t="str">
        <f>IF(AD$3="","",IF(COUNTIFS(BD!$A$3:$A$5001,AD$3,BD!$B$3:$B$5001,$A$122,BD!$F$3:$F$5001,"&lt;&gt;")=0,"",SUMIFS(BD!$F$3:$F$5001,BD!$A$3:$A$5001,AD$3,BD!$B$3:$B$5001,$A$122)))</f>
        <v/>
      </c>
      <c r="AE125" s="180" t="str">
        <f>IF(AE$3="","",IF(COUNTIFS(BD!$A$3:$A$5001,AE$3,BD!$B$3:$B$5001,$A$122,BD!$F$3:$F$5001,"&lt;&gt;")=0,"",SUMIFS(BD!$F$3:$F$5001,BD!$A$3:$A$5001,AE$3,BD!$B$3:$B$5001,$A$122)))</f>
        <v/>
      </c>
      <c r="AF125" s="180" t="str">
        <f>IF(AF$3="","",IF(COUNTIFS(BD!$A$3:$A$5001,AF$3,BD!$B$3:$B$5001,$A$122,BD!$F$3:$F$5001,"&lt;&gt;")=0,"",SUMIFS(BD!$F$3:$F$5001,BD!$A$3:$A$5001,AF$3,BD!$B$3:$B$5001,$A$122)))</f>
        <v/>
      </c>
      <c r="AG125" s="180" t="str">
        <f>IF(AG$3="","",IF(COUNTIFS(BD!$A$3:$A$5001,AG$3,BD!$B$3:$B$5001,$A$122,BD!$F$3:$F$5001,"&lt;&gt;")=0,"",SUMIFS(BD!$F$3:$F$5001,BD!$A$3:$A$5001,AG$3,BD!$B$3:$B$5001,$A$122)))</f>
        <v/>
      </c>
      <c r="AH125" s="180" t="str">
        <f>IF(AH$3="","",IF(COUNTIFS(BD!$A$3:$A$5001,AH$3,BD!$B$3:$B$5001,$A$122,BD!$F$3:$F$5001,"&lt;&gt;")=0,"",SUMIFS(BD!$F$3:$F$5001,BD!$A$3:$A$5001,AH$3,BD!$B$3:$B$5001,$A$122)))</f>
        <v/>
      </c>
      <c r="AI125" s="180" t="str">
        <f>IF(AI$3="","",IF(COUNTIFS(BD!$A$3:$A$5001,AI$3,BD!$B$3:$B$5001,$A$122,BD!$F$3:$F$5001,"&lt;&gt;")=0,"",SUMIFS(BD!$F$3:$F$5001,BD!$A$3:$A$5001,AI$3,BD!$B$3:$B$5001,$A$122)))</f>
        <v/>
      </c>
      <c r="AJ125" s="181" t="str">
        <f>IF(AJ$3="","",IF(COUNTIFS(BD!$A$3:$A$5001,AJ$3,BD!$B$3:$B$5001,$A$122,BD!$F$3:$F$5001,"&lt;&gt;")=0,"",SUMIFS(BD!$F$3:$F$5001,BD!$A$3:$A$5001,AJ$3,BD!$B$3:$B$5001,$A$122)))</f>
        <v/>
      </c>
      <c r="AK125" s="182" t="str">
        <f>IF(COUNT(F125:AJ125)=0,"",SUM(F125:AJ125))</f>
        <v/>
      </c>
    </row>
    <row r="126" ht="15.75" customHeight="1" hidden="1">
      <c r="A126" s="254"/>
      <c r="B126" s="245"/>
      <c r="C126" s="183" t="inlineStr">
        <is>
          <t xml:space="preserve">Pallets Movimentados</t>
        </is>
      </c>
      <c r="D126" s="184" t="str">
        <f>IFERROR(1/(1/INDEX(BD!$Y$27:$AS$27,MATCH($A$122,BD!$Y$22:$AS$22,0))),"")</f>
        <v/>
      </c>
      <c r="E126" s="185"/>
      <c r="F126" s="186" t="str">
        <f>IF(F$3="","",IF(COUNTIFS(BD!$A$3:$A$5001,F$3,BD!$B$3:$B$5001,$A$122,BD!$G$3:$G$5001,"&lt;&gt;")=0,"",SUMIFS(BD!$G$3:$G$5001,BD!$A$3:$A$5001,F$3,BD!$B$3:$B$5001,$A$122)))</f>
        <v/>
      </c>
      <c r="G126" s="187" t="str">
        <f>IF(G$3="","",IF(COUNTIFS(BD!$A$3:$A$5001,G$3,BD!$B$3:$B$5001,$A$122,BD!$G$3:$G$5001,"&lt;&gt;")=0,"",SUMIFS(BD!$G$3:$G$5001,BD!$A$3:$A$5001,G$3,BD!$B$3:$B$5001,$A$122)))</f>
        <v/>
      </c>
      <c r="H126" s="187" t="str">
        <f>IF(H$3="","",IF(COUNTIFS(BD!$A$3:$A$5001,H$3,BD!$B$3:$B$5001,$A$122,BD!$G$3:$G$5001,"&lt;&gt;")=0,"",SUMIFS(BD!$G$3:$G$5001,BD!$A$3:$A$5001,H$3,BD!$B$3:$B$5001,$A$122)))</f>
        <v/>
      </c>
      <c r="I126" s="187" t="str">
        <f>IF(I$3="","",IF(COUNTIFS(BD!$A$3:$A$5001,I$3,BD!$B$3:$B$5001,$A$122,BD!$G$3:$G$5001,"&lt;&gt;")=0,"",SUMIFS(BD!$G$3:$G$5001,BD!$A$3:$A$5001,I$3,BD!$B$3:$B$5001,$A$122)))</f>
        <v/>
      </c>
      <c r="J126" s="187" t="str">
        <f>IF(J$3="","",IF(COUNTIFS(BD!$A$3:$A$5001,J$3,BD!$B$3:$B$5001,$A$122,BD!$G$3:$G$5001,"&lt;&gt;")=0,"",SUMIFS(BD!$G$3:$G$5001,BD!$A$3:$A$5001,J$3,BD!$B$3:$B$5001,$A$122)))</f>
        <v/>
      </c>
      <c r="K126" s="187" t="str">
        <f>IF(K$3="","",IF(COUNTIFS(BD!$A$3:$A$5001,K$3,BD!$B$3:$B$5001,$A$122,BD!$G$3:$G$5001,"&lt;&gt;")=0,"",SUMIFS(BD!$G$3:$G$5001,BD!$A$3:$A$5001,K$3,BD!$B$3:$B$5001,$A$122)))</f>
        <v/>
      </c>
      <c r="L126" s="187" t="str">
        <f>IF(L$3="","",IF(COUNTIFS(BD!$A$3:$A$5001,L$3,BD!$B$3:$B$5001,$A$122,BD!$G$3:$G$5001,"&lt;&gt;")=0,"",SUMIFS(BD!$G$3:$G$5001,BD!$A$3:$A$5001,L$3,BD!$B$3:$B$5001,$A$122)))</f>
        <v/>
      </c>
      <c r="M126" s="187" t="str">
        <f>IF(M$3="","",IF(COUNTIFS(BD!$A$3:$A$5001,M$3,BD!$B$3:$B$5001,$A$122,BD!$G$3:$G$5001,"&lt;&gt;")=0,"",SUMIFS(BD!$G$3:$G$5001,BD!$A$3:$A$5001,M$3,BD!$B$3:$B$5001,$A$122)))</f>
        <v/>
      </c>
      <c r="N126" s="187" t="str">
        <f>IF(N$3="","",IF(COUNTIFS(BD!$A$3:$A$5001,N$3,BD!$B$3:$B$5001,$A$122,BD!$G$3:$G$5001,"&lt;&gt;")=0,"",SUMIFS(BD!$G$3:$G$5001,BD!$A$3:$A$5001,N$3,BD!$B$3:$B$5001,$A$122)))</f>
        <v/>
      </c>
      <c r="O126" s="187" t="str">
        <f>IF(O$3="","",IF(COUNTIFS(BD!$A$3:$A$5001,O$3,BD!$B$3:$B$5001,$A$122,BD!$G$3:$G$5001,"&lt;&gt;")=0,"",SUMIFS(BD!$G$3:$G$5001,BD!$A$3:$A$5001,O$3,BD!$B$3:$B$5001,$A$122)))</f>
        <v/>
      </c>
      <c r="P126" s="187" t="str">
        <f>IF(P$3="","",IF(COUNTIFS(BD!$A$3:$A$5001,P$3,BD!$B$3:$B$5001,$A$122,BD!$G$3:$G$5001,"&lt;&gt;")=0,"",SUMIFS(BD!$G$3:$G$5001,BD!$A$3:$A$5001,P$3,BD!$B$3:$B$5001,$A$122)))</f>
        <v/>
      </c>
      <c r="Q126" s="187" t="str">
        <f>IF(Q$3="","",IF(COUNTIFS(BD!$A$3:$A$5001,Q$3,BD!$B$3:$B$5001,$A$122,BD!$G$3:$G$5001,"&lt;&gt;")=0,"",SUMIFS(BD!$G$3:$G$5001,BD!$A$3:$A$5001,Q$3,BD!$B$3:$B$5001,$A$122)))</f>
        <v/>
      </c>
      <c r="R126" s="187" t="str">
        <f>IF(R$3="","",IF(COUNTIFS(BD!$A$3:$A$5001,R$3,BD!$B$3:$B$5001,$A$122,BD!$G$3:$G$5001,"&lt;&gt;")=0,"",SUMIFS(BD!$G$3:$G$5001,BD!$A$3:$A$5001,R$3,BD!$B$3:$B$5001,$A$122)))</f>
        <v/>
      </c>
      <c r="S126" s="187" t="str">
        <f>IF(S$3="","",IF(COUNTIFS(BD!$A$3:$A$5001,S$3,BD!$B$3:$B$5001,$A$122,BD!$G$3:$G$5001,"&lt;&gt;")=0,"",SUMIFS(BD!$G$3:$G$5001,BD!$A$3:$A$5001,S$3,BD!$B$3:$B$5001,$A$122)))</f>
        <v/>
      </c>
      <c r="T126" s="187" t="str">
        <f>IF(T$3="","",IF(COUNTIFS(BD!$A$3:$A$5001,T$3,BD!$B$3:$B$5001,$A$122,BD!$G$3:$G$5001,"&lt;&gt;")=0,"",SUMIFS(BD!$G$3:$G$5001,BD!$A$3:$A$5001,T$3,BD!$B$3:$B$5001,$A$122)))</f>
        <v/>
      </c>
      <c r="U126" s="187" t="str">
        <f>IF(U$3="","",IF(COUNTIFS(BD!$A$3:$A$5001,U$3,BD!$B$3:$B$5001,$A$122,BD!$G$3:$G$5001,"&lt;&gt;")=0,"",SUMIFS(BD!$G$3:$G$5001,BD!$A$3:$A$5001,U$3,BD!$B$3:$B$5001,$A$122)))</f>
        <v/>
      </c>
      <c r="V126" s="187" t="str">
        <f>IF(V$3="","",IF(COUNTIFS(BD!$A$3:$A$5001,V$3,BD!$B$3:$B$5001,$A$122,BD!$G$3:$G$5001,"&lt;&gt;")=0,"",SUMIFS(BD!$G$3:$G$5001,BD!$A$3:$A$5001,V$3,BD!$B$3:$B$5001,$A$122)))</f>
        <v/>
      </c>
      <c r="W126" s="187" t="str">
        <f>IF(W$3="","",IF(COUNTIFS(BD!$A$3:$A$5001,W$3,BD!$B$3:$B$5001,$A$122,BD!$G$3:$G$5001,"&lt;&gt;")=0,"",SUMIFS(BD!$G$3:$G$5001,BD!$A$3:$A$5001,W$3,BD!$B$3:$B$5001,$A$122)))</f>
        <v/>
      </c>
      <c r="X126" s="187" t="str">
        <f>IF(X$3="","",IF(COUNTIFS(BD!$A$3:$A$5001,X$3,BD!$B$3:$B$5001,$A$122,BD!$G$3:$G$5001,"&lt;&gt;")=0,"",SUMIFS(BD!$G$3:$G$5001,BD!$A$3:$A$5001,X$3,BD!$B$3:$B$5001,$A$122)))</f>
        <v/>
      </c>
      <c r="Y126" s="187" t="str">
        <f>IF(Y$3="","",IF(COUNTIFS(BD!$A$3:$A$5001,Y$3,BD!$B$3:$B$5001,$A$122,BD!$G$3:$G$5001,"&lt;&gt;")=0,"",SUMIFS(BD!$G$3:$G$5001,BD!$A$3:$A$5001,Y$3,BD!$B$3:$B$5001,$A$122)))</f>
        <v/>
      </c>
      <c r="Z126" s="187" t="str">
        <f>IF(Z$3="","",IF(COUNTIFS(BD!$A$3:$A$5001,Z$3,BD!$B$3:$B$5001,$A$122,BD!$G$3:$G$5001,"&lt;&gt;")=0,"",SUMIFS(BD!$G$3:$G$5001,BD!$A$3:$A$5001,Z$3,BD!$B$3:$B$5001,$A$122)))</f>
        <v/>
      </c>
      <c r="AA126" s="187" t="str">
        <f>IF(AA$3="","",IF(COUNTIFS(BD!$A$3:$A$5001,AA$3,BD!$B$3:$B$5001,$A$122,BD!$G$3:$G$5001,"&lt;&gt;")=0,"",SUMIFS(BD!$G$3:$G$5001,BD!$A$3:$A$5001,AA$3,BD!$B$3:$B$5001,$A$122)))</f>
        <v/>
      </c>
      <c r="AB126" s="187" t="str">
        <f>IF(AB$3="","",IF(COUNTIFS(BD!$A$3:$A$5001,AB$3,BD!$B$3:$B$5001,$A$122,BD!$G$3:$G$5001,"&lt;&gt;")=0,"",SUMIFS(BD!$G$3:$G$5001,BD!$A$3:$A$5001,AB$3,BD!$B$3:$B$5001,$A$122)))</f>
        <v/>
      </c>
      <c r="AC126" s="187" t="str">
        <f>IF(AC$3="","",IF(COUNTIFS(BD!$A$3:$A$5001,AC$3,BD!$B$3:$B$5001,$A$122,BD!$G$3:$G$5001,"&lt;&gt;")=0,"",SUMIFS(BD!$G$3:$G$5001,BD!$A$3:$A$5001,AC$3,BD!$B$3:$B$5001,$A$122)))</f>
        <v/>
      </c>
      <c r="AD126" s="187" t="str">
        <f>IF(AD$3="","",IF(COUNTIFS(BD!$A$3:$A$5001,AD$3,BD!$B$3:$B$5001,$A$122,BD!$G$3:$G$5001,"&lt;&gt;")=0,"",SUMIFS(BD!$G$3:$G$5001,BD!$A$3:$A$5001,AD$3,BD!$B$3:$B$5001,$A$122)))</f>
        <v/>
      </c>
      <c r="AE126" s="187" t="str">
        <f>IF(AE$3="","",IF(COUNTIFS(BD!$A$3:$A$5001,AE$3,BD!$B$3:$B$5001,$A$122,BD!$G$3:$G$5001,"&lt;&gt;")=0,"",SUMIFS(BD!$G$3:$G$5001,BD!$A$3:$A$5001,AE$3,BD!$B$3:$B$5001,$A$122)))</f>
        <v/>
      </c>
      <c r="AF126" s="187" t="str">
        <f>IF(AF$3="","",IF(COUNTIFS(BD!$A$3:$A$5001,AF$3,BD!$B$3:$B$5001,$A$122,BD!$G$3:$G$5001,"&lt;&gt;")=0,"",SUMIFS(BD!$G$3:$G$5001,BD!$A$3:$A$5001,AF$3,BD!$B$3:$B$5001,$A$122)))</f>
        <v/>
      </c>
      <c r="AG126" s="187" t="str">
        <f>IF(AG$3="","",IF(COUNTIFS(BD!$A$3:$A$5001,AG$3,BD!$B$3:$B$5001,$A$122,BD!$G$3:$G$5001,"&lt;&gt;")=0,"",SUMIFS(BD!$G$3:$G$5001,BD!$A$3:$A$5001,AG$3,BD!$B$3:$B$5001,$A$122)))</f>
        <v/>
      </c>
      <c r="AH126" s="187" t="str">
        <f>IF(AH$3="","",IF(COUNTIFS(BD!$A$3:$A$5001,AH$3,BD!$B$3:$B$5001,$A$122,BD!$G$3:$G$5001,"&lt;&gt;")=0,"",SUMIFS(BD!$G$3:$G$5001,BD!$A$3:$A$5001,AH$3,BD!$B$3:$B$5001,$A$122)))</f>
        <v/>
      </c>
      <c r="AI126" s="187" t="str">
        <f>IF(AI$3="","",IF(COUNTIFS(BD!$A$3:$A$5001,AI$3,BD!$B$3:$B$5001,$A$122,BD!$G$3:$G$5001,"&lt;&gt;")=0,"",SUMIFS(BD!$G$3:$G$5001,BD!$A$3:$A$5001,AI$3,BD!$B$3:$B$5001,$A$122)))</f>
        <v/>
      </c>
      <c r="AJ126" s="188" t="str">
        <f>IF(AJ$3="","",IF(COUNTIFS(BD!$A$3:$A$5001,AJ$3,BD!$B$3:$B$5001,$A$122,BD!$G$3:$G$5001,"&lt;&gt;")=0,"",SUMIFS(BD!$G$3:$G$5001,BD!$A$3:$A$5001,AJ$3,BD!$B$3:$B$5001,$A$122)))</f>
        <v/>
      </c>
      <c r="AK126" s="189" t="str">
        <f>IF(COUNT(F126:AJ126)=0,"",SUM(F126:AJ126))</f>
        <v/>
      </c>
    </row>
    <row r="127" ht="15.75" customHeight="1" hidden="1">
      <c r="A127" s="254"/>
      <c r="B127" s="246"/>
      <c r="C127" s="190" t="inlineStr">
        <is>
          <t xml:space="preserve">Toneladas Movimentadas</t>
        </is>
      </c>
      <c r="D127" s="191" t="str">
        <f>IFERROR(1/(1/INDEX(BD!$Y$28:$AS$28,MATCH($A$122,BD!$Y$22:$AS$22,0))),"")</f>
        <v/>
      </c>
      <c r="E127" s="192"/>
      <c r="F127" s="193" t="str">
        <f>IF(F$3="","",IF(COUNTIFS(BD!$A$3:$A$5001,F$3,BD!$B$3:$B$5001,$A$122,BD!$H$3:$H$5001,"&lt;&gt;")=0,"",SUMIFS(BD!$H$3:$H$5001,BD!$A$3:$A$5001,F$3,BD!$B$3:$B$5001,$A$122)))</f>
        <v/>
      </c>
      <c r="G127" s="194" t="str">
        <f>IF(G$3="","",IF(COUNTIFS(BD!$A$3:$A$5001,G$3,BD!$B$3:$B$5001,$A$122,BD!$H$3:$H$5001,"&lt;&gt;")=0,"",SUMIFS(BD!$H$3:$H$5001,BD!$A$3:$A$5001,G$3,BD!$B$3:$B$5001,$A$122)))</f>
        <v/>
      </c>
      <c r="H127" s="194" t="str">
        <f>IF(H$3="","",IF(COUNTIFS(BD!$A$3:$A$5001,H$3,BD!$B$3:$B$5001,$A$122,BD!$H$3:$H$5001,"&lt;&gt;")=0,"",SUMIFS(BD!$H$3:$H$5001,BD!$A$3:$A$5001,H$3,BD!$B$3:$B$5001,$A$122)))</f>
        <v/>
      </c>
      <c r="I127" s="194" t="str">
        <f>IF(I$3="","",IF(COUNTIFS(BD!$A$3:$A$5001,I$3,BD!$B$3:$B$5001,$A$122,BD!$H$3:$H$5001,"&lt;&gt;")=0,"",SUMIFS(BD!$H$3:$H$5001,BD!$A$3:$A$5001,I$3,BD!$B$3:$B$5001,$A$122)))</f>
        <v/>
      </c>
      <c r="J127" s="194" t="str">
        <f>IF(J$3="","",IF(COUNTIFS(BD!$A$3:$A$5001,J$3,BD!$B$3:$B$5001,$A$122,BD!$H$3:$H$5001,"&lt;&gt;")=0,"",SUMIFS(BD!$H$3:$H$5001,BD!$A$3:$A$5001,J$3,BD!$B$3:$B$5001,$A$122)))</f>
        <v/>
      </c>
      <c r="K127" s="194" t="str">
        <f>IF(K$3="","",IF(COUNTIFS(BD!$A$3:$A$5001,K$3,BD!$B$3:$B$5001,$A$122,BD!$H$3:$H$5001,"&lt;&gt;")=0,"",SUMIFS(BD!$H$3:$H$5001,BD!$A$3:$A$5001,K$3,BD!$B$3:$B$5001,$A$122)))</f>
        <v/>
      </c>
      <c r="L127" s="194" t="str">
        <f>IF(L$3="","",IF(COUNTIFS(BD!$A$3:$A$5001,L$3,BD!$B$3:$B$5001,$A$122,BD!$H$3:$H$5001,"&lt;&gt;")=0,"",SUMIFS(BD!$H$3:$H$5001,BD!$A$3:$A$5001,L$3,BD!$B$3:$B$5001,$A$122)))</f>
        <v/>
      </c>
      <c r="M127" s="194" t="str">
        <f>IF(M$3="","",IF(COUNTIFS(BD!$A$3:$A$5001,M$3,BD!$B$3:$B$5001,$A$122,BD!$H$3:$H$5001,"&lt;&gt;")=0,"",SUMIFS(BD!$H$3:$H$5001,BD!$A$3:$A$5001,M$3,BD!$B$3:$B$5001,$A$122)))</f>
        <v/>
      </c>
      <c r="N127" s="194" t="str">
        <f>IF(N$3="","",IF(COUNTIFS(BD!$A$3:$A$5001,N$3,BD!$B$3:$B$5001,$A$122,BD!$H$3:$H$5001,"&lt;&gt;")=0,"",SUMIFS(BD!$H$3:$H$5001,BD!$A$3:$A$5001,N$3,BD!$B$3:$B$5001,$A$122)))</f>
        <v/>
      </c>
      <c r="O127" s="194" t="str">
        <f>IF(O$3="","",IF(COUNTIFS(BD!$A$3:$A$5001,O$3,BD!$B$3:$B$5001,$A$122,BD!$H$3:$H$5001,"&lt;&gt;")=0,"",SUMIFS(BD!$H$3:$H$5001,BD!$A$3:$A$5001,O$3,BD!$B$3:$B$5001,$A$122)))</f>
        <v/>
      </c>
      <c r="P127" s="194" t="str">
        <f>IF(P$3="","",IF(COUNTIFS(BD!$A$3:$A$5001,P$3,BD!$B$3:$B$5001,$A$122,BD!$H$3:$H$5001,"&lt;&gt;")=0,"",SUMIFS(BD!$H$3:$H$5001,BD!$A$3:$A$5001,P$3,BD!$B$3:$B$5001,$A$122)))</f>
        <v/>
      </c>
      <c r="Q127" s="194" t="str">
        <f>IF(Q$3="","",IF(COUNTIFS(BD!$A$3:$A$5001,Q$3,BD!$B$3:$B$5001,$A$122,BD!$H$3:$H$5001,"&lt;&gt;")=0,"",SUMIFS(BD!$H$3:$H$5001,BD!$A$3:$A$5001,Q$3,BD!$B$3:$B$5001,$A$122)))</f>
        <v/>
      </c>
      <c r="R127" s="194" t="str">
        <f>IF(R$3="","",IF(COUNTIFS(BD!$A$3:$A$5001,R$3,BD!$B$3:$B$5001,$A$122,BD!$H$3:$H$5001,"&lt;&gt;")=0,"",SUMIFS(BD!$H$3:$H$5001,BD!$A$3:$A$5001,R$3,BD!$B$3:$B$5001,$A$122)))</f>
        <v/>
      </c>
      <c r="S127" s="194" t="str">
        <f>IF(S$3="","",IF(COUNTIFS(BD!$A$3:$A$5001,S$3,BD!$B$3:$B$5001,$A$122,BD!$H$3:$H$5001,"&lt;&gt;")=0,"",SUMIFS(BD!$H$3:$H$5001,BD!$A$3:$A$5001,S$3,BD!$B$3:$B$5001,$A$122)))</f>
        <v/>
      </c>
      <c r="T127" s="194" t="str">
        <f>IF(T$3="","",IF(COUNTIFS(BD!$A$3:$A$5001,T$3,BD!$B$3:$B$5001,$A$122,BD!$H$3:$H$5001,"&lt;&gt;")=0,"",SUMIFS(BD!$H$3:$H$5001,BD!$A$3:$A$5001,T$3,BD!$B$3:$B$5001,$A$122)))</f>
        <v/>
      </c>
      <c r="U127" s="194" t="str">
        <f>IF(U$3="","",IF(COUNTIFS(BD!$A$3:$A$5001,U$3,BD!$B$3:$B$5001,$A$122,BD!$H$3:$H$5001,"&lt;&gt;")=0,"",SUMIFS(BD!$H$3:$H$5001,BD!$A$3:$A$5001,U$3,BD!$B$3:$B$5001,$A$122)))</f>
        <v/>
      </c>
      <c r="V127" s="194" t="str">
        <f>IF(V$3="","",IF(COUNTIFS(BD!$A$3:$A$5001,V$3,BD!$B$3:$B$5001,$A$122,BD!$H$3:$H$5001,"&lt;&gt;")=0,"",SUMIFS(BD!$H$3:$H$5001,BD!$A$3:$A$5001,V$3,BD!$B$3:$B$5001,$A$122)))</f>
        <v/>
      </c>
      <c r="W127" s="194" t="str">
        <f>IF(W$3="","",IF(COUNTIFS(BD!$A$3:$A$5001,W$3,BD!$B$3:$B$5001,$A$122,BD!$H$3:$H$5001,"&lt;&gt;")=0,"",SUMIFS(BD!$H$3:$H$5001,BD!$A$3:$A$5001,W$3,BD!$B$3:$B$5001,$A$122)))</f>
        <v/>
      </c>
      <c r="X127" s="194" t="str">
        <f>IF(X$3="","",IF(COUNTIFS(BD!$A$3:$A$5001,X$3,BD!$B$3:$B$5001,$A$122,BD!$H$3:$H$5001,"&lt;&gt;")=0,"",SUMIFS(BD!$H$3:$H$5001,BD!$A$3:$A$5001,X$3,BD!$B$3:$B$5001,$A$122)))</f>
        <v/>
      </c>
      <c r="Y127" s="194" t="str">
        <f>IF(Y$3="","",IF(COUNTIFS(BD!$A$3:$A$5001,Y$3,BD!$B$3:$B$5001,$A$122,BD!$H$3:$H$5001,"&lt;&gt;")=0,"",SUMIFS(BD!$H$3:$H$5001,BD!$A$3:$A$5001,Y$3,BD!$B$3:$B$5001,$A$122)))</f>
        <v/>
      </c>
      <c r="Z127" s="194" t="str">
        <f>IF(Z$3="","",IF(COUNTIFS(BD!$A$3:$A$5001,Z$3,BD!$B$3:$B$5001,$A$122,BD!$H$3:$H$5001,"&lt;&gt;")=0,"",SUMIFS(BD!$H$3:$H$5001,BD!$A$3:$A$5001,Z$3,BD!$B$3:$B$5001,$A$122)))</f>
        <v/>
      </c>
      <c r="AA127" s="194" t="str">
        <f>IF(AA$3="","",IF(COUNTIFS(BD!$A$3:$A$5001,AA$3,BD!$B$3:$B$5001,$A$122,BD!$H$3:$H$5001,"&lt;&gt;")=0,"",SUMIFS(BD!$H$3:$H$5001,BD!$A$3:$A$5001,AA$3,BD!$B$3:$B$5001,$A$122)))</f>
        <v/>
      </c>
      <c r="AB127" s="194" t="str">
        <f>IF(AB$3="","",IF(COUNTIFS(BD!$A$3:$A$5001,AB$3,BD!$B$3:$B$5001,$A$122,BD!$H$3:$H$5001,"&lt;&gt;")=0,"",SUMIFS(BD!$H$3:$H$5001,BD!$A$3:$A$5001,AB$3,BD!$B$3:$B$5001,$A$122)))</f>
        <v/>
      </c>
      <c r="AC127" s="194" t="str">
        <f>IF(AC$3="","",IF(COUNTIFS(BD!$A$3:$A$5001,AC$3,BD!$B$3:$B$5001,$A$122,BD!$H$3:$H$5001,"&lt;&gt;")=0,"",SUMIFS(BD!$H$3:$H$5001,BD!$A$3:$A$5001,AC$3,BD!$B$3:$B$5001,$A$122)))</f>
        <v/>
      </c>
      <c r="AD127" s="194" t="str">
        <f>IF(AD$3="","",IF(COUNTIFS(BD!$A$3:$A$5001,AD$3,BD!$B$3:$B$5001,$A$122,BD!$H$3:$H$5001,"&lt;&gt;")=0,"",SUMIFS(BD!$H$3:$H$5001,BD!$A$3:$A$5001,AD$3,BD!$B$3:$B$5001,$A$122)))</f>
        <v/>
      </c>
      <c r="AE127" s="194" t="str">
        <f>IF(AE$3="","",IF(COUNTIFS(BD!$A$3:$A$5001,AE$3,BD!$B$3:$B$5001,$A$122,BD!$H$3:$H$5001,"&lt;&gt;")=0,"",SUMIFS(BD!$H$3:$H$5001,BD!$A$3:$A$5001,AE$3,BD!$B$3:$B$5001,$A$122)))</f>
        <v/>
      </c>
      <c r="AF127" s="194" t="str">
        <f>IF(AF$3="","",IF(COUNTIFS(BD!$A$3:$A$5001,AF$3,BD!$B$3:$B$5001,$A$122,BD!$H$3:$H$5001,"&lt;&gt;")=0,"",SUMIFS(BD!$H$3:$H$5001,BD!$A$3:$A$5001,AF$3,BD!$B$3:$B$5001,$A$122)))</f>
        <v/>
      </c>
      <c r="AG127" s="194" t="str">
        <f>IF(AG$3="","",IF(COUNTIFS(BD!$A$3:$A$5001,AG$3,BD!$B$3:$B$5001,$A$122,BD!$H$3:$H$5001,"&lt;&gt;")=0,"",SUMIFS(BD!$H$3:$H$5001,BD!$A$3:$A$5001,AG$3,BD!$B$3:$B$5001,$A$122)))</f>
        <v/>
      </c>
      <c r="AH127" s="194" t="str">
        <f>IF(AH$3="","",IF(COUNTIFS(BD!$A$3:$A$5001,AH$3,BD!$B$3:$B$5001,$A$122,BD!$H$3:$H$5001,"&lt;&gt;")=0,"",SUMIFS(BD!$H$3:$H$5001,BD!$A$3:$A$5001,AH$3,BD!$B$3:$B$5001,$A$122)))</f>
        <v/>
      </c>
      <c r="AI127" s="194" t="str">
        <f>IF(AI$3="","",IF(COUNTIFS(BD!$A$3:$A$5001,AI$3,BD!$B$3:$B$5001,$A$122,BD!$H$3:$H$5001,"&lt;&gt;")=0,"",SUMIFS(BD!$H$3:$H$5001,BD!$A$3:$A$5001,AI$3,BD!$B$3:$B$5001,$A$122)))</f>
        <v/>
      </c>
      <c r="AJ127" s="195" t="str">
        <f>IF(AJ$3="","",IF(COUNTIFS(BD!$A$3:$A$5001,AJ$3,BD!$B$3:$B$5001,$A$122,BD!$H$3:$H$5001,"&lt;&gt;")=0,"",SUMIFS(BD!$H$3:$H$5001,BD!$A$3:$A$5001,AJ$3,BD!$B$3:$B$5001,$A$122)))</f>
        <v/>
      </c>
      <c r="AK127" s="196" t="str">
        <f>IF(COUNT(F127:AJ127)=0,"",SUM(F127:AJ127))</f>
        <v/>
      </c>
    </row>
    <row r="128" ht="15.75" customHeight="1" hidden="1">
      <c r="A128" s="254"/>
      <c r="B128" s="247" t="inlineStr">
        <is>
          <t xml:space="preserve">NC</t>
        </is>
      </c>
      <c r="C128" s="197" t="inlineStr">
        <is>
          <t xml:space="preserve">Incidentes</t>
        </is>
      </c>
      <c r="D128" s="198" t="str">
        <f>IFERROR(1/(1/INDEX(BD!$Y$29:$AS$29,MATCH($A$122,BD!$Y$22:$AS$22,0))),"")</f>
        <v/>
      </c>
      <c r="E128" s="199"/>
      <c r="F128" s="200" t="str">
        <f>IF(F$3="","",IF(COUNTIFS(BD!$A$3:$A$5001,F$3,BD!$B$3:$B$5001,$A$122,BD!$I$3:$I$5001,"&lt;&gt;")=0,"",SUMIFS(BD!$I$3:$I$5001,BD!$A$3:$A$5001,F$3,BD!$B$3:$B$5001,$A$122)))</f>
        <v/>
      </c>
      <c r="G128" s="201" t="str">
        <f>IF(G$3="","",IF(COUNTIFS(BD!$A$3:$A$5001,G$3,BD!$B$3:$B$5001,$A$122,BD!$I$3:$I$5001,"&lt;&gt;")=0,"",SUMIFS(BD!$I$3:$I$5001,BD!$A$3:$A$5001,G$3,BD!$B$3:$B$5001,$A$122)))</f>
        <v/>
      </c>
      <c r="H128" s="201" t="str">
        <f>IF(H$3="","",IF(COUNTIFS(BD!$A$3:$A$5001,H$3,BD!$B$3:$B$5001,$A$122,BD!$I$3:$I$5001,"&lt;&gt;")=0,"",SUMIFS(BD!$I$3:$I$5001,BD!$A$3:$A$5001,H$3,BD!$B$3:$B$5001,$A$122)))</f>
        <v/>
      </c>
      <c r="I128" s="201" t="str">
        <f>IF(I$3="","",IF(COUNTIFS(BD!$A$3:$A$5001,I$3,BD!$B$3:$B$5001,$A$122,BD!$I$3:$I$5001,"&lt;&gt;")=0,"",SUMIFS(BD!$I$3:$I$5001,BD!$A$3:$A$5001,I$3,BD!$B$3:$B$5001,$A$122)))</f>
        <v/>
      </c>
      <c r="J128" s="201" t="str">
        <f>IF(J$3="","",IF(COUNTIFS(BD!$A$3:$A$5001,J$3,BD!$B$3:$B$5001,$A$122,BD!$I$3:$I$5001,"&lt;&gt;")=0,"",SUMIFS(BD!$I$3:$I$5001,BD!$A$3:$A$5001,J$3,BD!$B$3:$B$5001,$A$122)))</f>
        <v/>
      </c>
      <c r="K128" s="201" t="str">
        <f>IF(K$3="","",IF(COUNTIFS(BD!$A$3:$A$5001,K$3,BD!$B$3:$B$5001,$A$122,BD!$I$3:$I$5001,"&lt;&gt;")=0,"",SUMIFS(BD!$I$3:$I$5001,BD!$A$3:$A$5001,K$3,BD!$B$3:$B$5001,$A$122)))</f>
        <v/>
      </c>
      <c r="L128" s="201" t="str">
        <f>IF(L$3="","",IF(COUNTIFS(BD!$A$3:$A$5001,L$3,BD!$B$3:$B$5001,$A$122,BD!$I$3:$I$5001,"&lt;&gt;")=0,"",SUMIFS(BD!$I$3:$I$5001,BD!$A$3:$A$5001,L$3,BD!$B$3:$B$5001,$A$122)))</f>
        <v/>
      </c>
      <c r="M128" s="201" t="str">
        <f>IF(M$3="","",IF(COUNTIFS(BD!$A$3:$A$5001,M$3,BD!$B$3:$B$5001,$A$122,BD!$I$3:$I$5001,"&lt;&gt;")=0,"",SUMIFS(BD!$I$3:$I$5001,BD!$A$3:$A$5001,M$3,BD!$B$3:$B$5001,$A$122)))</f>
        <v/>
      </c>
      <c r="N128" s="201" t="str">
        <f>IF(N$3="","",IF(COUNTIFS(BD!$A$3:$A$5001,N$3,BD!$B$3:$B$5001,$A$122,BD!$I$3:$I$5001,"&lt;&gt;")=0,"",SUMIFS(BD!$I$3:$I$5001,BD!$A$3:$A$5001,N$3,BD!$B$3:$B$5001,$A$122)))</f>
        <v/>
      </c>
      <c r="O128" s="201" t="str">
        <f>IF(O$3="","",IF(COUNTIFS(BD!$A$3:$A$5001,O$3,BD!$B$3:$B$5001,$A$122,BD!$I$3:$I$5001,"&lt;&gt;")=0,"",SUMIFS(BD!$I$3:$I$5001,BD!$A$3:$A$5001,O$3,BD!$B$3:$B$5001,$A$122)))</f>
        <v/>
      </c>
      <c r="P128" s="201" t="str">
        <f>IF(P$3="","",IF(COUNTIFS(BD!$A$3:$A$5001,P$3,BD!$B$3:$B$5001,$A$122,BD!$I$3:$I$5001,"&lt;&gt;")=0,"",SUMIFS(BD!$I$3:$I$5001,BD!$A$3:$A$5001,P$3,BD!$B$3:$B$5001,$A$122)))</f>
        <v/>
      </c>
      <c r="Q128" s="201" t="str">
        <f>IF(Q$3="","",IF(COUNTIFS(BD!$A$3:$A$5001,Q$3,BD!$B$3:$B$5001,$A$122,BD!$I$3:$I$5001,"&lt;&gt;")=0,"",SUMIFS(BD!$I$3:$I$5001,BD!$A$3:$A$5001,Q$3,BD!$B$3:$B$5001,$A$122)))</f>
        <v/>
      </c>
      <c r="R128" s="201" t="str">
        <f>IF(R$3="","",IF(COUNTIFS(BD!$A$3:$A$5001,R$3,BD!$B$3:$B$5001,$A$122,BD!$I$3:$I$5001,"&lt;&gt;")=0,"",SUMIFS(BD!$I$3:$I$5001,BD!$A$3:$A$5001,R$3,BD!$B$3:$B$5001,$A$122)))</f>
        <v/>
      </c>
      <c r="S128" s="201" t="str">
        <f>IF(S$3="","",IF(COUNTIFS(BD!$A$3:$A$5001,S$3,BD!$B$3:$B$5001,$A$122,BD!$I$3:$I$5001,"&lt;&gt;")=0,"",SUMIFS(BD!$I$3:$I$5001,BD!$A$3:$A$5001,S$3,BD!$B$3:$B$5001,$A$122)))</f>
        <v/>
      </c>
      <c r="T128" s="201" t="str">
        <f>IF(T$3="","",IF(COUNTIFS(BD!$A$3:$A$5001,T$3,BD!$B$3:$B$5001,$A$122,BD!$I$3:$I$5001,"&lt;&gt;")=0,"",SUMIFS(BD!$I$3:$I$5001,BD!$A$3:$A$5001,T$3,BD!$B$3:$B$5001,$A$122)))</f>
        <v/>
      </c>
      <c r="U128" s="201" t="str">
        <f>IF(U$3="","",IF(COUNTIFS(BD!$A$3:$A$5001,U$3,BD!$B$3:$B$5001,$A$122,BD!$I$3:$I$5001,"&lt;&gt;")=0,"",SUMIFS(BD!$I$3:$I$5001,BD!$A$3:$A$5001,U$3,BD!$B$3:$B$5001,$A$122)))</f>
        <v/>
      </c>
      <c r="V128" s="201" t="str">
        <f>IF(V$3="","",IF(COUNTIFS(BD!$A$3:$A$5001,V$3,BD!$B$3:$B$5001,$A$122,BD!$I$3:$I$5001,"&lt;&gt;")=0,"",SUMIFS(BD!$I$3:$I$5001,BD!$A$3:$A$5001,V$3,BD!$B$3:$B$5001,$A$122)))</f>
        <v/>
      </c>
      <c r="W128" s="201" t="str">
        <f>IF(W$3="","",IF(COUNTIFS(BD!$A$3:$A$5001,W$3,BD!$B$3:$B$5001,$A$122,BD!$I$3:$I$5001,"&lt;&gt;")=0,"",SUMIFS(BD!$I$3:$I$5001,BD!$A$3:$A$5001,W$3,BD!$B$3:$B$5001,$A$122)))</f>
        <v/>
      </c>
      <c r="X128" s="201" t="str">
        <f>IF(X$3="","",IF(COUNTIFS(BD!$A$3:$A$5001,X$3,BD!$B$3:$B$5001,$A$122,BD!$I$3:$I$5001,"&lt;&gt;")=0,"",SUMIFS(BD!$I$3:$I$5001,BD!$A$3:$A$5001,X$3,BD!$B$3:$B$5001,$A$122)))</f>
        <v/>
      </c>
      <c r="Y128" s="201" t="str">
        <f>IF(Y$3="","",IF(COUNTIFS(BD!$A$3:$A$5001,Y$3,BD!$B$3:$B$5001,$A$122,BD!$I$3:$I$5001,"&lt;&gt;")=0,"",SUMIFS(BD!$I$3:$I$5001,BD!$A$3:$A$5001,Y$3,BD!$B$3:$B$5001,$A$122)))</f>
        <v/>
      </c>
      <c r="Z128" s="201" t="str">
        <f>IF(Z$3="","",IF(COUNTIFS(BD!$A$3:$A$5001,Z$3,BD!$B$3:$B$5001,$A$122,BD!$I$3:$I$5001,"&lt;&gt;")=0,"",SUMIFS(BD!$I$3:$I$5001,BD!$A$3:$A$5001,Z$3,BD!$B$3:$B$5001,$A$122)))</f>
        <v/>
      </c>
      <c r="AA128" s="201" t="str">
        <f>IF(AA$3="","",IF(COUNTIFS(BD!$A$3:$A$5001,AA$3,BD!$B$3:$B$5001,$A$122,BD!$I$3:$I$5001,"&lt;&gt;")=0,"",SUMIFS(BD!$I$3:$I$5001,BD!$A$3:$A$5001,AA$3,BD!$B$3:$B$5001,$A$122)))</f>
        <v/>
      </c>
      <c r="AB128" s="201" t="str">
        <f>IF(AB$3="","",IF(COUNTIFS(BD!$A$3:$A$5001,AB$3,BD!$B$3:$B$5001,$A$122,BD!$I$3:$I$5001,"&lt;&gt;")=0,"",SUMIFS(BD!$I$3:$I$5001,BD!$A$3:$A$5001,AB$3,BD!$B$3:$B$5001,$A$122)))</f>
        <v/>
      </c>
      <c r="AC128" s="201" t="str">
        <f>IF(AC$3="","",IF(COUNTIFS(BD!$A$3:$A$5001,AC$3,BD!$B$3:$B$5001,$A$122,BD!$I$3:$I$5001,"&lt;&gt;")=0,"",SUMIFS(BD!$I$3:$I$5001,BD!$A$3:$A$5001,AC$3,BD!$B$3:$B$5001,$A$122)))</f>
        <v/>
      </c>
      <c r="AD128" s="201" t="str">
        <f>IF(AD$3="","",IF(COUNTIFS(BD!$A$3:$A$5001,AD$3,BD!$B$3:$B$5001,$A$122,BD!$I$3:$I$5001,"&lt;&gt;")=0,"",SUMIFS(BD!$I$3:$I$5001,BD!$A$3:$A$5001,AD$3,BD!$B$3:$B$5001,$A$122)))</f>
        <v/>
      </c>
      <c r="AE128" s="201" t="str">
        <f>IF(AE$3="","",IF(COUNTIFS(BD!$A$3:$A$5001,AE$3,BD!$B$3:$B$5001,$A$122,BD!$I$3:$I$5001,"&lt;&gt;")=0,"",SUMIFS(BD!$I$3:$I$5001,BD!$A$3:$A$5001,AE$3,BD!$B$3:$B$5001,$A$122)))</f>
        <v/>
      </c>
      <c r="AF128" s="201" t="str">
        <f>IF(AF$3="","",IF(COUNTIFS(BD!$A$3:$A$5001,AF$3,BD!$B$3:$B$5001,$A$122,BD!$I$3:$I$5001,"&lt;&gt;")=0,"",SUMIFS(BD!$I$3:$I$5001,BD!$A$3:$A$5001,AF$3,BD!$B$3:$B$5001,$A$122)))</f>
        <v/>
      </c>
      <c r="AG128" s="201" t="str">
        <f>IF(AG$3="","",IF(COUNTIFS(BD!$A$3:$A$5001,AG$3,BD!$B$3:$B$5001,$A$122,BD!$I$3:$I$5001,"&lt;&gt;")=0,"",SUMIFS(BD!$I$3:$I$5001,BD!$A$3:$A$5001,AG$3,BD!$B$3:$B$5001,$A$122)))</f>
        <v/>
      </c>
      <c r="AH128" s="201" t="str">
        <f>IF(AH$3="","",IF(COUNTIFS(BD!$A$3:$A$5001,AH$3,BD!$B$3:$B$5001,$A$122,BD!$I$3:$I$5001,"&lt;&gt;")=0,"",SUMIFS(BD!$I$3:$I$5001,BD!$A$3:$A$5001,AH$3,BD!$B$3:$B$5001,$A$122)))</f>
        <v/>
      </c>
      <c r="AI128" s="201" t="str">
        <f>IF(AI$3="","",IF(COUNTIFS(BD!$A$3:$A$5001,AI$3,BD!$B$3:$B$5001,$A$122,BD!$I$3:$I$5001,"&lt;&gt;")=0,"",SUMIFS(BD!$I$3:$I$5001,BD!$A$3:$A$5001,AI$3,BD!$B$3:$B$5001,$A$122)))</f>
        <v/>
      </c>
      <c r="AJ128" s="202" t="str">
        <f>IF(AJ$3="","",IF(COUNTIFS(BD!$A$3:$A$5001,AJ$3,BD!$B$3:$B$5001,$A$122,BD!$I$3:$I$5001,"&lt;&gt;")=0,"",SUMIFS(BD!$I$3:$I$5001,BD!$A$3:$A$5001,AJ$3,BD!$B$3:$B$5001,$A$122)))</f>
        <v/>
      </c>
      <c r="AK128" s="203" t="str">
        <f>IF(COUNT(F128:AJ128)=0,"",SUM(F128:AJ128))</f>
        <v/>
      </c>
    </row>
    <row r="129" ht="15.75" customHeight="1" hidden="1">
      <c r="A129" s="254"/>
      <c r="B129" s="248"/>
      <c r="C129" s="204" t="inlineStr">
        <is>
          <t xml:space="preserve">No show</t>
        </is>
      </c>
      <c r="D129" s="205" t="str">
        <f>IFERROR(1/(1/INDEX(BD!$Y$30:$AS$30,MATCH($A$122,BD!$Y$22:$AS$22,0))),"")</f>
        <v/>
      </c>
      <c r="E129" s="206"/>
      <c r="F129" s="207" t="str">
        <f>IF(F$3="","",IF(COUNTIFS(BD!$A$3:$A$5001,F$3,BD!$B$3:$B$5001,$A$122,BD!$J$3:$J$5001,"&lt;&gt;")=0,"",SUMIFS(BD!$J$3:$J$5001,BD!$A$3:$A$5001,F$3,BD!$B$3:$B$5001,$A$122)))</f>
        <v/>
      </c>
      <c r="G129" s="208" t="str">
        <f>IF(G$3="","",IF(COUNTIFS(BD!$A$3:$A$5001,G$3,BD!$B$3:$B$5001,$A$122,BD!$J$3:$J$5001,"&lt;&gt;")=0,"",SUMIFS(BD!$J$3:$J$5001,BD!$A$3:$A$5001,G$3,BD!$B$3:$B$5001,$A$122)))</f>
        <v/>
      </c>
      <c r="H129" s="208" t="str">
        <f>IF(H$3="","",IF(COUNTIFS(BD!$A$3:$A$5001,H$3,BD!$B$3:$B$5001,$A$122,BD!$J$3:$J$5001,"&lt;&gt;")=0,"",SUMIFS(BD!$J$3:$J$5001,BD!$A$3:$A$5001,H$3,BD!$B$3:$B$5001,$A$122)))</f>
        <v/>
      </c>
      <c r="I129" s="208" t="str">
        <f>IF(I$3="","",IF(COUNTIFS(BD!$A$3:$A$5001,I$3,BD!$B$3:$B$5001,$A$122,BD!$J$3:$J$5001,"&lt;&gt;")=0,"",SUMIFS(BD!$J$3:$J$5001,BD!$A$3:$A$5001,I$3,BD!$B$3:$B$5001,$A$122)))</f>
        <v/>
      </c>
      <c r="J129" s="208" t="str">
        <f>IF(J$3="","",IF(COUNTIFS(BD!$A$3:$A$5001,J$3,BD!$B$3:$B$5001,$A$122,BD!$J$3:$J$5001,"&lt;&gt;")=0,"",SUMIFS(BD!$J$3:$J$5001,BD!$A$3:$A$5001,J$3,BD!$B$3:$B$5001,$A$122)))</f>
        <v/>
      </c>
      <c r="K129" s="208" t="str">
        <f>IF(K$3="","",IF(COUNTIFS(BD!$A$3:$A$5001,K$3,BD!$B$3:$B$5001,$A$122,BD!$J$3:$J$5001,"&lt;&gt;")=0,"",SUMIFS(BD!$J$3:$J$5001,BD!$A$3:$A$5001,K$3,BD!$B$3:$B$5001,$A$122)))</f>
        <v/>
      </c>
      <c r="L129" s="208" t="str">
        <f>IF(L$3="","",IF(COUNTIFS(BD!$A$3:$A$5001,L$3,BD!$B$3:$B$5001,$A$122,BD!$J$3:$J$5001,"&lt;&gt;")=0,"",SUMIFS(BD!$J$3:$J$5001,BD!$A$3:$A$5001,L$3,BD!$B$3:$B$5001,$A$122)))</f>
        <v/>
      </c>
      <c r="M129" s="208" t="str">
        <f>IF(M$3="","",IF(COUNTIFS(BD!$A$3:$A$5001,M$3,BD!$B$3:$B$5001,$A$122,BD!$J$3:$J$5001,"&lt;&gt;")=0,"",SUMIFS(BD!$J$3:$J$5001,BD!$A$3:$A$5001,M$3,BD!$B$3:$B$5001,$A$122)))</f>
        <v/>
      </c>
      <c r="N129" s="208" t="str">
        <f>IF(N$3="","",IF(COUNTIFS(BD!$A$3:$A$5001,N$3,BD!$B$3:$B$5001,$A$122,BD!$J$3:$J$5001,"&lt;&gt;")=0,"",SUMIFS(BD!$J$3:$J$5001,BD!$A$3:$A$5001,N$3,BD!$B$3:$B$5001,$A$122)))</f>
        <v/>
      </c>
      <c r="O129" s="208" t="str">
        <f>IF(O$3="","",IF(COUNTIFS(BD!$A$3:$A$5001,O$3,BD!$B$3:$B$5001,$A$122,BD!$J$3:$J$5001,"&lt;&gt;")=0,"",SUMIFS(BD!$J$3:$J$5001,BD!$A$3:$A$5001,O$3,BD!$B$3:$B$5001,$A$122)))</f>
        <v/>
      </c>
      <c r="P129" s="208" t="str">
        <f>IF(P$3="","",IF(COUNTIFS(BD!$A$3:$A$5001,P$3,BD!$B$3:$B$5001,$A$122,BD!$J$3:$J$5001,"&lt;&gt;")=0,"",SUMIFS(BD!$J$3:$J$5001,BD!$A$3:$A$5001,P$3,BD!$B$3:$B$5001,$A$122)))</f>
        <v/>
      </c>
      <c r="Q129" s="208" t="str">
        <f>IF(Q$3="","",IF(COUNTIFS(BD!$A$3:$A$5001,Q$3,BD!$B$3:$B$5001,$A$122,BD!$J$3:$J$5001,"&lt;&gt;")=0,"",SUMIFS(BD!$J$3:$J$5001,BD!$A$3:$A$5001,Q$3,BD!$B$3:$B$5001,$A$122)))</f>
        <v/>
      </c>
      <c r="R129" s="208" t="str">
        <f>IF(R$3="","",IF(COUNTIFS(BD!$A$3:$A$5001,R$3,BD!$B$3:$B$5001,$A$122,BD!$J$3:$J$5001,"&lt;&gt;")=0,"",SUMIFS(BD!$J$3:$J$5001,BD!$A$3:$A$5001,R$3,BD!$B$3:$B$5001,$A$122)))</f>
        <v/>
      </c>
      <c r="S129" s="208" t="str">
        <f>IF(S$3="","",IF(COUNTIFS(BD!$A$3:$A$5001,S$3,BD!$B$3:$B$5001,$A$122,BD!$J$3:$J$5001,"&lt;&gt;")=0,"",SUMIFS(BD!$J$3:$J$5001,BD!$A$3:$A$5001,S$3,BD!$B$3:$B$5001,$A$122)))</f>
        <v/>
      </c>
      <c r="T129" s="208" t="str">
        <f>IF(T$3="","",IF(COUNTIFS(BD!$A$3:$A$5001,T$3,BD!$B$3:$B$5001,$A$122,BD!$J$3:$J$5001,"&lt;&gt;")=0,"",SUMIFS(BD!$J$3:$J$5001,BD!$A$3:$A$5001,T$3,BD!$B$3:$B$5001,$A$122)))</f>
        <v/>
      </c>
      <c r="U129" s="208" t="str">
        <f>IF(U$3="","",IF(COUNTIFS(BD!$A$3:$A$5001,U$3,BD!$B$3:$B$5001,$A$122,BD!$J$3:$J$5001,"&lt;&gt;")=0,"",SUMIFS(BD!$J$3:$J$5001,BD!$A$3:$A$5001,U$3,BD!$B$3:$B$5001,$A$122)))</f>
        <v/>
      </c>
      <c r="V129" s="208" t="str">
        <f>IF(V$3="","",IF(COUNTIFS(BD!$A$3:$A$5001,V$3,BD!$B$3:$B$5001,$A$122,BD!$J$3:$J$5001,"&lt;&gt;")=0,"",SUMIFS(BD!$J$3:$J$5001,BD!$A$3:$A$5001,V$3,BD!$B$3:$B$5001,$A$122)))</f>
        <v/>
      </c>
      <c r="W129" s="208" t="str">
        <f>IF(W$3="","",IF(COUNTIFS(BD!$A$3:$A$5001,W$3,BD!$B$3:$B$5001,$A$122,BD!$J$3:$J$5001,"&lt;&gt;")=0,"",SUMIFS(BD!$J$3:$J$5001,BD!$A$3:$A$5001,W$3,BD!$B$3:$B$5001,$A$122)))</f>
        <v/>
      </c>
      <c r="X129" s="208" t="str">
        <f>IF(X$3="","",IF(COUNTIFS(BD!$A$3:$A$5001,X$3,BD!$B$3:$B$5001,$A$122,BD!$J$3:$J$5001,"&lt;&gt;")=0,"",SUMIFS(BD!$J$3:$J$5001,BD!$A$3:$A$5001,X$3,BD!$B$3:$B$5001,$A$122)))</f>
        <v/>
      </c>
      <c r="Y129" s="208" t="str">
        <f>IF(Y$3="","",IF(COUNTIFS(BD!$A$3:$A$5001,Y$3,BD!$B$3:$B$5001,$A$122,BD!$J$3:$J$5001,"&lt;&gt;")=0,"",SUMIFS(BD!$J$3:$J$5001,BD!$A$3:$A$5001,Y$3,BD!$B$3:$B$5001,$A$122)))</f>
        <v/>
      </c>
      <c r="Z129" s="208" t="str">
        <f>IF(Z$3="","",IF(COUNTIFS(BD!$A$3:$A$5001,Z$3,BD!$B$3:$B$5001,$A$122,BD!$J$3:$J$5001,"&lt;&gt;")=0,"",SUMIFS(BD!$J$3:$J$5001,BD!$A$3:$A$5001,Z$3,BD!$B$3:$B$5001,$A$122)))</f>
        <v/>
      </c>
      <c r="AA129" s="208" t="str">
        <f>IF(AA$3="","",IF(COUNTIFS(BD!$A$3:$A$5001,AA$3,BD!$B$3:$B$5001,$A$122,BD!$J$3:$J$5001,"&lt;&gt;")=0,"",SUMIFS(BD!$J$3:$J$5001,BD!$A$3:$A$5001,AA$3,BD!$B$3:$B$5001,$A$122)))</f>
        <v/>
      </c>
      <c r="AB129" s="208" t="str">
        <f>IF(AB$3="","",IF(COUNTIFS(BD!$A$3:$A$5001,AB$3,BD!$B$3:$B$5001,$A$122,BD!$J$3:$J$5001,"&lt;&gt;")=0,"",SUMIFS(BD!$J$3:$J$5001,BD!$A$3:$A$5001,AB$3,BD!$B$3:$B$5001,$A$122)))</f>
        <v/>
      </c>
      <c r="AC129" s="208" t="str">
        <f>IF(AC$3="","",IF(COUNTIFS(BD!$A$3:$A$5001,AC$3,BD!$B$3:$B$5001,$A$122,BD!$J$3:$J$5001,"&lt;&gt;")=0,"",SUMIFS(BD!$J$3:$J$5001,BD!$A$3:$A$5001,AC$3,BD!$B$3:$B$5001,$A$122)))</f>
        <v/>
      </c>
      <c r="AD129" s="208" t="str">
        <f>IF(AD$3="","",IF(COUNTIFS(BD!$A$3:$A$5001,AD$3,BD!$B$3:$B$5001,$A$122,BD!$J$3:$J$5001,"&lt;&gt;")=0,"",SUMIFS(BD!$J$3:$J$5001,BD!$A$3:$A$5001,AD$3,BD!$B$3:$B$5001,$A$122)))</f>
        <v/>
      </c>
      <c r="AE129" s="208" t="str">
        <f>IF(AE$3="","",IF(COUNTIFS(BD!$A$3:$A$5001,AE$3,BD!$B$3:$B$5001,$A$122,BD!$J$3:$J$5001,"&lt;&gt;")=0,"",SUMIFS(BD!$J$3:$J$5001,BD!$A$3:$A$5001,AE$3,BD!$B$3:$B$5001,$A$122)))</f>
        <v/>
      </c>
      <c r="AF129" s="208" t="str">
        <f>IF(AF$3="","",IF(COUNTIFS(BD!$A$3:$A$5001,AF$3,BD!$B$3:$B$5001,$A$122,BD!$J$3:$J$5001,"&lt;&gt;")=0,"",SUMIFS(BD!$J$3:$J$5001,BD!$A$3:$A$5001,AF$3,BD!$B$3:$B$5001,$A$122)))</f>
        <v/>
      </c>
      <c r="AG129" s="208" t="str">
        <f>IF(AG$3="","",IF(COUNTIFS(BD!$A$3:$A$5001,AG$3,BD!$B$3:$B$5001,$A$122,BD!$J$3:$J$5001,"&lt;&gt;")=0,"",SUMIFS(BD!$J$3:$J$5001,BD!$A$3:$A$5001,AG$3,BD!$B$3:$B$5001,$A$122)))</f>
        <v/>
      </c>
      <c r="AH129" s="208" t="str">
        <f>IF(AH$3="","",IF(COUNTIFS(BD!$A$3:$A$5001,AH$3,BD!$B$3:$B$5001,$A$122,BD!$J$3:$J$5001,"&lt;&gt;")=0,"",SUMIFS(BD!$J$3:$J$5001,BD!$A$3:$A$5001,AH$3,BD!$B$3:$B$5001,$A$122)))</f>
        <v/>
      </c>
      <c r="AI129" s="208" t="str">
        <f>IF(AI$3="","",IF(COUNTIFS(BD!$A$3:$A$5001,AI$3,BD!$B$3:$B$5001,$A$122,BD!$J$3:$J$5001,"&lt;&gt;")=0,"",SUMIFS(BD!$J$3:$J$5001,BD!$A$3:$A$5001,AI$3,BD!$B$3:$B$5001,$A$122)))</f>
        <v/>
      </c>
      <c r="AJ129" s="209" t="str">
        <f>IF(AJ$3="","",IF(COUNTIFS(BD!$A$3:$A$5001,AJ$3,BD!$B$3:$B$5001,$A$122,BD!$J$3:$J$5001,"&lt;&gt;")=0,"",SUMIFS(BD!$J$3:$J$5001,BD!$A$3:$A$5001,AJ$3,BD!$B$3:$B$5001,$A$122)))</f>
        <v/>
      </c>
      <c r="AK129" s="210" t="str">
        <f>IF(COUNT(F129:AJ129)=0,"",SUM(F129:AJ129))</f>
        <v/>
      </c>
    </row>
    <row r="130" ht="15.75" customHeight="1" hidden="1">
      <c r="A130" s="254"/>
      <c r="B130" s="249"/>
      <c r="C130" s="211" t="inlineStr">
        <is>
          <t xml:space="preserve">Backlog</t>
        </is>
      </c>
      <c r="D130" s="212" t="str">
        <f>IFERROR(1/(1/INDEX(BD!$Y$31:$AS$31,MATCH($A$122,BD!$Y$22:$AS$22,0))),"")</f>
        <v/>
      </c>
      <c r="E130" s="213"/>
      <c r="F130" s="214" t="str">
        <f>IF(F$3="","",IF(COUNTIFS(BD!$A$3:$A$5001,F$3,BD!$B$3:$B$5001,$A$122,BD!$K$3:$K$5001,"&lt;&gt;")=0,"",SUMIFS(BD!$K$3:$K$5001,BD!$A$3:$A$5001,F$3,BD!$B$3:$B$5001,$A$122)))</f>
        <v/>
      </c>
      <c r="G130" s="215" t="str">
        <f>IF(G$3="","",IF(COUNTIFS(BD!$A$3:$A$5001,G$3,BD!$B$3:$B$5001,$A$122,BD!$K$3:$K$5001,"&lt;&gt;")=0,"",SUMIFS(BD!$K$3:$K$5001,BD!$A$3:$A$5001,G$3,BD!$B$3:$B$5001,$A$122)))</f>
        <v/>
      </c>
      <c r="H130" s="215" t="str">
        <f>IF(H$3="","",IF(COUNTIFS(BD!$A$3:$A$5001,H$3,BD!$B$3:$B$5001,$A$122,BD!$K$3:$K$5001,"&lt;&gt;")=0,"",SUMIFS(BD!$K$3:$K$5001,BD!$A$3:$A$5001,H$3,BD!$B$3:$B$5001,$A$122)))</f>
        <v/>
      </c>
      <c r="I130" s="215" t="str">
        <f>IF(I$3="","",IF(COUNTIFS(BD!$A$3:$A$5001,I$3,BD!$B$3:$B$5001,$A$122,BD!$K$3:$K$5001,"&lt;&gt;")=0,"",SUMIFS(BD!$K$3:$K$5001,BD!$A$3:$A$5001,I$3,BD!$B$3:$B$5001,$A$122)))</f>
        <v/>
      </c>
      <c r="J130" s="215" t="str">
        <f>IF(J$3="","",IF(COUNTIFS(BD!$A$3:$A$5001,J$3,BD!$B$3:$B$5001,$A$122,BD!$K$3:$K$5001,"&lt;&gt;")=0,"",SUMIFS(BD!$K$3:$K$5001,BD!$A$3:$A$5001,J$3,BD!$B$3:$B$5001,$A$122)))</f>
        <v/>
      </c>
      <c r="K130" s="215" t="str">
        <f>IF(K$3="","",IF(COUNTIFS(BD!$A$3:$A$5001,K$3,BD!$B$3:$B$5001,$A$122,BD!$K$3:$K$5001,"&lt;&gt;")=0,"",SUMIFS(BD!$K$3:$K$5001,BD!$A$3:$A$5001,K$3,BD!$B$3:$B$5001,$A$122)))</f>
        <v/>
      </c>
      <c r="L130" s="215" t="str">
        <f>IF(L$3="","",IF(COUNTIFS(BD!$A$3:$A$5001,L$3,BD!$B$3:$B$5001,$A$122,BD!$K$3:$K$5001,"&lt;&gt;")=0,"",SUMIFS(BD!$K$3:$K$5001,BD!$A$3:$A$5001,L$3,BD!$B$3:$B$5001,$A$122)))</f>
        <v/>
      </c>
      <c r="M130" s="215" t="str">
        <f>IF(M$3="","",IF(COUNTIFS(BD!$A$3:$A$5001,M$3,BD!$B$3:$B$5001,$A$122,BD!$K$3:$K$5001,"&lt;&gt;")=0,"",SUMIFS(BD!$K$3:$K$5001,BD!$A$3:$A$5001,M$3,BD!$B$3:$B$5001,$A$122)))</f>
        <v/>
      </c>
      <c r="N130" s="215" t="str">
        <f>IF(N$3="","",IF(COUNTIFS(BD!$A$3:$A$5001,N$3,BD!$B$3:$B$5001,$A$122,BD!$K$3:$K$5001,"&lt;&gt;")=0,"",SUMIFS(BD!$K$3:$K$5001,BD!$A$3:$A$5001,N$3,BD!$B$3:$B$5001,$A$122)))</f>
        <v/>
      </c>
      <c r="O130" s="215" t="str">
        <f>IF(O$3="","",IF(COUNTIFS(BD!$A$3:$A$5001,O$3,BD!$B$3:$B$5001,$A$122,BD!$K$3:$K$5001,"&lt;&gt;")=0,"",SUMIFS(BD!$K$3:$K$5001,BD!$A$3:$A$5001,O$3,BD!$B$3:$B$5001,$A$122)))</f>
        <v/>
      </c>
      <c r="P130" s="215" t="str">
        <f>IF(P$3="","",IF(COUNTIFS(BD!$A$3:$A$5001,P$3,BD!$B$3:$B$5001,$A$122,BD!$K$3:$K$5001,"&lt;&gt;")=0,"",SUMIFS(BD!$K$3:$K$5001,BD!$A$3:$A$5001,P$3,BD!$B$3:$B$5001,$A$122)))</f>
        <v/>
      </c>
      <c r="Q130" s="215" t="str">
        <f>IF(Q$3="","",IF(COUNTIFS(BD!$A$3:$A$5001,Q$3,BD!$B$3:$B$5001,$A$122,BD!$K$3:$K$5001,"&lt;&gt;")=0,"",SUMIFS(BD!$K$3:$K$5001,BD!$A$3:$A$5001,Q$3,BD!$B$3:$B$5001,$A$122)))</f>
        <v/>
      </c>
      <c r="R130" s="215" t="str">
        <f>IF(R$3="","",IF(COUNTIFS(BD!$A$3:$A$5001,R$3,BD!$B$3:$B$5001,$A$122,BD!$K$3:$K$5001,"&lt;&gt;")=0,"",SUMIFS(BD!$K$3:$K$5001,BD!$A$3:$A$5001,R$3,BD!$B$3:$B$5001,$A$122)))</f>
        <v/>
      </c>
      <c r="S130" s="215" t="str">
        <f>IF(S$3="","",IF(COUNTIFS(BD!$A$3:$A$5001,S$3,BD!$B$3:$B$5001,$A$122,BD!$K$3:$K$5001,"&lt;&gt;")=0,"",SUMIFS(BD!$K$3:$K$5001,BD!$A$3:$A$5001,S$3,BD!$B$3:$B$5001,$A$122)))</f>
        <v/>
      </c>
      <c r="T130" s="215" t="str">
        <f>IF(T$3="","",IF(COUNTIFS(BD!$A$3:$A$5001,T$3,BD!$B$3:$B$5001,$A$122,BD!$K$3:$K$5001,"&lt;&gt;")=0,"",SUMIFS(BD!$K$3:$K$5001,BD!$A$3:$A$5001,T$3,BD!$B$3:$B$5001,$A$122)))</f>
        <v/>
      </c>
      <c r="U130" s="215" t="str">
        <f>IF(U$3="","",IF(COUNTIFS(BD!$A$3:$A$5001,U$3,BD!$B$3:$B$5001,$A$122,BD!$K$3:$K$5001,"&lt;&gt;")=0,"",SUMIFS(BD!$K$3:$K$5001,BD!$A$3:$A$5001,U$3,BD!$B$3:$B$5001,$A$122)))</f>
        <v/>
      </c>
      <c r="V130" s="215" t="str">
        <f>IF(V$3="","",IF(COUNTIFS(BD!$A$3:$A$5001,V$3,BD!$B$3:$B$5001,$A$122,BD!$K$3:$K$5001,"&lt;&gt;")=0,"",SUMIFS(BD!$K$3:$K$5001,BD!$A$3:$A$5001,V$3,BD!$B$3:$B$5001,$A$122)))</f>
        <v/>
      </c>
      <c r="W130" s="215" t="str">
        <f>IF(W$3="","",IF(COUNTIFS(BD!$A$3:$A$5001,W$3,BD!$B$3:$B$5001,$A$122,BD!$K$3:$K$5001,"&lt;&gt;")=0,"",SUMIFS(BD!$K$3:$K$5001,BD!$A$3:$A$5001,W$3,BD!$B$3:$B$5001,$A$122)))</f>
        <v/>
      </c>
      <c r="X130" s="215" t="str">
        <f>IF(X$3="","",IF(COUNTIFS(BD!$A$3:$A$5001,X$3,BD!$B$3:$B$5001,$A$122,BD!$K$3:$K$5001,"&lt;&gt;")=0,"",SUMIFS(BD!$K$3:$K$5001,BD!$A$3:$A$5001,X$3,BD!$B$3:$B$5001,$A$122)))</f>
        <v/>
      </c>
      <c r="Y130" s="215" t="str">
        <f>IF(Y$3="","",IF(COUNTIFS(BD!$A$3:$A$5001,Y$3,BD!$B$3:$B$5001,$A$122,BD!$K$3:$K$5001,"&lt;&gt;")=0,"",SUMIFS(BD!$K$3:$K$5001,BD!$A$3:$A$5001,Y$3,BD!$B$3:$B$5001,$A$122)))</f>
        <v/>
      </c>
      <c r="Z130" s="215" t="str">
        <f>IF(Z$3="","",IF(COUNTIFS(BD!$A$3:$A$5001,Z$3,BD!$B$3:$B$5001,$A$122,BD!$K$3:$K$5001,"&lt;&gt;")=0,"",SUMIFS(BD!$K$3:$K$5001,BD!$A$3:$A$5001,Z$3,BD!$B$3:$B$5001,$A$122)))</f>
        <v/>
      </c>
      <c r="AA130" s="215" t="str">
        <f>IF(AA$3="","",IF(COUNTIFS(BD!$A$3:$A$5001,AA$3,BD!$B$3:$B$5001,$A$122,BD!$K$3:$K$5001,"&lt;&gt;")=0,"",SUMIFS(BD!$K$3:$K$5001,BD!$A$3:$A$5001,AA$3,BD!$B$3:$B$5001,$A$122)))</f>
        <v/>
      </c>
      <c r="AB130" s="215" t="str">
        <f>IF(AB$3="","",IF(COUNTIFS(BD!$A$3:$A$5001,AB$3,BD!$B$3:$B$5001,$A$122,BD!$K$3:$K$5001,"&lt;&gt;")=0,"",SUMIFS(BD!$K$3:$K$5001,BD!$A$3:$A$5001,AB$3,BD!$B$3:$B$5001,$A$122)))</f>
        <v/>
      </c>
      <c r="AC130" s="215" t="str">
        <f>IF(AC$3="","",IF(COUNTIFS(BD!$A$3:$A$5001,AC$3,BD!$B$3:$B$5001,$A$122,BD!$K$3:$K$5001,"&lt;&gt;")=0,"",SUMIFS(BD!$K$3:$K$5001,BD!$A$3:$A$5001,AC$3,BD!$B$3:$B$5001,$A$122)))</f>
        <v/>
      </c>
      <c r="AD130" s="215" t="str">
        <f>IF(AD$3="","",IF(COUNTIFS(BD!$A$3:$A$5001,AD$3,BD!$B$3:$B$5001,$A$122,BD!$K$3:$K$5001,"&lt;&gt;")=0,"",SUMIFS(BD!$K$3:$K$5001,BD!$A$3:$A$5001,AD$3,BD!$B$3:$B$5001,$A$122)))</f>
        <v/>
      </c>
      <c r="AE130" s="215" t="str">
        <f>IF(AE$3="","",IF(COUNTIFS(BD!$A$3:$A$5001,AE$3,BD!$B$3:$B$5001,$A$122,BD!$K$3:$K$5001,"&lt;&gt;")=0,"",SUMIFS(BD!$K$3:$K$5001,BD!$A$3:$A$5001,AE$3,BD!$B$3:$B$5001,$A$122)))</f>
        <v/>
      </c>
      <c r="AF130" s="215" t="str">
        <f>IF(AF$3="","",IF(COUNTIFS(BD!$A$3:$A$5001,AF$3,BD!$B$3:$B$5001,$A$122,BD!$K$3:$K$5001,"&lt;&gt;")=0,"",SUMIFS(BD!$K$3:$K$5001,BD!$A$3:$A$5001,AF$3,BD!$B$3:$B$5001,$A$122)))</f>
        <v/>
      </c>
      <c r="AG130" s="215" t="str">
        <f>IF(AG$3="","",IF(COUNTIFS(BD!$A$3:$A$5001,AG$3,BD!$B$3:$B$5001,$A$122,BD!$K$3:$K$5001,"&lt;&gt;")=0,"",SUMIFS(BD!$K$3:$K$5001,BD!$A$3:$A$5001,AG$3,BD!$B$3:$B$5001,$A$122)))</f>
        <v/>
      </c>
      <c r="AH130" s="215" t="str">
        <f>IF(AH$3="","",IF(COUNTIFS(BD!$A$3:$A$5001,AH$3,BD!$B$3:$B$5001,$A$122,BD!$K$3:$K$5001,"&lt;&gt;")=0,"",SUMIFS(BD!$K$3:$K$5001,BD!$A$3:$A$5001,AH$3,BD!$B$3:$B$5001,$A$122)))</f>
        <v/>
      </c>
      <c r="AI130" s="215" t="str">
        <f>IF(AI$3="","",IF(COUNTIFS(BD!$A$3:$A$5001,AI$3,BD!$B$3:$B$5001,$A$122,BD!$K$3:$K$5001,"&lt;&gt;")=0,"",SUMIFS(BD!$K$3:$K$5001,BD!$A$3:$A$5001,AI$3,BD!$B$3:$B$5001,$A$122)))</f>
        <v/>
      </c>
      <c r="AJ130" s="216" t="str">
        <f>IF(AJ$3="","",IF(COUNTIFS(BD!$A$3:$A$5001,AJ$3,BD!$B$3:$B$5001,$A$122,BD!$K$3:$K$5001,"&lt;&gt;")=0,"",SUMIFS(BD!$K$3:$K$5001,BD!$A$3:$A$5001,AJ$3,BD!$B$3:$B$5001,$A$122)))</f>
        <v/>
      </c>
      <c r="AK130" s="212" t="str">
        <f>IFERROR(LOOKUP(9.99E+307,F130:AJ130),"")</f>
        <v/>
      </c>
    </row>
    <row r="131" ht="15.75" customHeight="1" hidden="1">
      <c r="A131" s="254"/>
      <c r="B131" s="241" t="inlineStr">
        <is>
          <t xml:space="preserve">OCUPAÇÃO (P.P)</t>
        </is>
      </c>
      <c r="C131" s="155" t="inlineStr">
        <is>
          <t xml:space="preserve">Posições Disponíveis</t>
        </is>
      </c>
      <c r="D131" s="156" t="str">
        <f>IFERROR(1/(1/INDEX(BD!$Y$32:$AS$32,MATCH($A$122,BD!$Y$22:$AS$22,0))),"")</f>
        <v/>
      </c>
      <c r="E131" s="157"/>
      <c r="F131" s="158" t="str">
        <f>IF(F$3="","",IF(COUNTIFS(BD!$A$3:$A$5001,F$3,BD!$B$3:$B$5001,$A$122,BD!$L$3:$L$5001,"&lt;&gt;")=0,"",SUMIFS(BD!$L$3:$L$5001,BD!$A$3:$A$5001,F$3,BD!$B$3:$B$5001,$A$122)))</f>
        <v/>
      </c>
      <c r="G131" s="159" t="str">
        <f>IF(G$3="","",IF(COUNTIFS(BD!$A$3:$A$5001,G$3,BD!$B$3:$B$5001,$A$122,BD!$L$3:$L$5001,"&lt;&gt;")=0,"",SUMIFS(BD!$L$3:$L$5001,BD!$A$3:$A$5001,G$3,BD!$B$3:$B$5001,$A$122)))</f>
        <v/>
      </c>
      <c r="H131" s="159" t="str">
        <f>IF(H$3="","",IF(COUNTIFS(BD!$A$3:$A$5001,H$3,BD!$B$3:$B$5001,$A$122,BD!$L$3:$L$5001,"&lt;&gt;")=0,"",SUMIFS(BD!$L$3:$L$5001,BD!$A$3:$A$5001,H$3,BD!$B$3:$B$5001,$A$122)))</f>
        <v/>
      </c>
      <c r="I131" s="159" t="str">
        <f>IF(I$3="","",IF(COUNTIFS(BD!$A$3:$A$5001,I$3,BD!$B$3:$B$5001,$A$122,BD!$L$3:$L$5001,"&lt;&gt;")=0,"",SUMIFS(BD!$L$3:$L$5001,BD!$A$3:$A$5001,I$3,BD!$B$3:$B$5001,$A$122)))</f>
        <v/>
      </c>
      <c r="J131" s="159" t="str">
        <f>IF(J$3="","",IF(COUNTIFS(BD!$A$3:$A$5001,J$3,BD!$B$3:$B$5001,$A$122,BD!$L$3:$L$5001,"&lt;&gt;")=0,"",SUMIFS(BD!$L$3:$L$5001,BD!$A$3:$A$5001,J$3,BD!$B$3:$B$5001,$A$122)))</f>
        <v/>
      </c>
      <c r="K131" s="159" t="str">
        <f>IF(K$3="","",IF(COUNTIFS(BD!$A$3:$A$5001,K$3,BD!$B$3:$B$5001,$A$122,BD!$L$3:$L$5001,"&lt;&gt;")=0,"",SUMIFS(BD!$L$3:$L$5001,BD!$A$3:$A$5001,K$3,BD!$B$3:$B$5001,$A$122)))</f>
        <v/>
      </c>
      <c r="L131" s="159" t="str">
        <f>IF(L$3="","",IF(COUNTIFS(BD!$A$3:$A$5001,L$3,BD!$B$3:$B$5001,$A$122,BD!$L$3:$L$5001,"&lt;&gt;")=0,"",SUMIFS(BD!$L$3:$L$5001,BD!$A$3:$A$5001,L$3,BD!$B$3:$B$5001,$A$122)))</f>
        <v/>
      </c>
      <c r="M131" s="159" t="str">
        <f>IF(M$3="","",IF(COUNTIFS(BD!$A$3:$A$5001,M$3,BD!$B$3:$B$5001,$A$122,BD!$L$3:$L$5001,"&lt;&gt;")=0,"",SUMIFS(BD!$L$3:$L$5001,BD!$A$3:$A$5001,M$3,BD!$B$3:$B$5001,$A$122)))</f>
        <v/>
      </c>
      <c r="N131" s="159" t="str">
        <f>IF(N$3="","",IF(COUNTIFS(BD!$A$3:$A$5001,N$3,BD!$B$3:$B$5001,$A$122,BD!$L$3:$L$5001,"&lt;&gt;")=0,"",SUMIFS(BD!$L$3:$L$5001,BD!$A$3:$A$5001,N$3,BD!$B$3:$B$5001,$A$122)))</f>
        <v/>
      </c>
      <c r="O131" s="159" t="str">
        <f>IF(O$3="","",IF(COUNTIFS(BD!$A$3:$A$5001,O$3,BD!$B$3:$B$5001,$A$122,BD!$L$3:$L$5001,"&lt;&gt;")=0,"",SUMIFS(BD!$L$3:$L$5001,BD!$A$3:$A$5001,O$3,BD!$B$3:$B$5001,$A$122)))</f>
        <v/>
      </c>
      <c r="P131" s="159" t="str">
        <f>IF(P$3="","",IF(COUNTIFS(BD!$A$3:$A$5001,P$3,BD!$B$3:$B$5001,$A$122,BD!$L$3:$L$5001,"&lt;&gt;")=0,"",SUMIFS(BD!$L$3:$L$5001,BD!$A$3:$A$5001,P$3,BD!$B$3:$B$5001,$A$122)))</f>
        <v/>
      </c>
      <c r="Q131" s="159" t="str">
        <f>IF(Q$3="","",IF(COUNTIFS(BD!$A$3:$A$5001,Q$3,BD!$B$3:$B$5001,$A$122,BD!$L$3:$L$5001,"&lt;&gt;")=0,"",SUMIFS(BD!$L$3:$L$5001,BD!$A$3:$A$5001,Q$3,BD!$B$3:$B$5001,$A$122)))</f>
        <v/>
      </c>
      <c r="R131" s="159" t="str">
        <f>IF(R$3="","",IF(COUNTIFS(BD!$A$3:$A$5001,R$3,BD!$B$3:$B$5001,$A$122,BD!$L$3:$L$5001,"&lt;&gt;")=0,"",SUMIFS(BD!$L$3:$L$5001,BD!$A$3:$A$5001,R$3,BD!$B$3:$B$5001,$A$122)))</f>
        <v/>
      </c>
      <c r="S131" s="159" t="str">
        <f>IF(S$3="","",IF(COUNTIFS(BD!$A$3:$A$5001,S$3,BD!$B$3:$B$5001,$A$122,BD!$L$3:$L$5001,"&lt;&gt;")=0,"",SUMIFS(BD!$L$3:$L$5001,BD!$A$3:$A$5001,S$3,BD!$B$3:$B$5001,$A$122)))</f>
        <v/>
      </c>
      <c r="T131" s="159" t="str">
        <f>IF(T$3="","",IF(COUNTIFS(BD!$A$3:$A$5001,T$3,BD!$B$3:$B$5001,$A$122,BD!$L$3:$L$5001,"&lt;&gt;")=0,"",SUMIFS(BD!$L$3:$L$5001,BD!$A$3:$A$5001,T$3,BD!$B$3:$B$5001,$A$122)))</f>
        <v/>
      </c>
      <c r="U131" s="159" t="str">
        <f>IF(U$3="","",IF(COUNTIFS(BD!$A$3:$A$5001,U$3,BD!$B$3:$B$5001,$A$122,BD!$L$3:$L$5001,"&lt;&gt;")=0,"",SUMIFS(BD!$L$3:$L$5001,BD!$A$3:$A$5001,U$3,BD!$B$3:$B$5001,$A$122)))</f>
        <v/>
      </c>
      <c r="V131" s="159" t="str">
        <f>IF(V$3="","",IF(COUNTIFS(BD!$A$3:$A$5001,V$3,BD!$B$3:$B$5001,$A$122,BD!$L$3:$L$5001,"&lt;&gt;")=0,"",SUMIFS(BD!$L$3:$L$5001,BD!$A$3:$A$5001,V$3,BD!$B$3:$B$5001,$A$122)))</f>
        <v/>
      </c>
      <c r="W131" s="159" t="str">
        <f>IF(W$3="","",IF(COUNTIFS(BD!$A$3:$A$5001,W$3,BD!$B$3:$B$5001,$A$122,BD!$L$3:$L$5001,"&lt;&gt;")=0,"",SUMIFS(BD!$L$3:$L$5001,BD!$A$3:$A$5001,W$3,BD!$B$3:$B$5001,$A$122)))</f>
        <v/>
      </c>
      <c r="X131" s="159" t="str">
        <f>IF(X$3="","",IF(COUNTIFS(BD!$A$3:$A$5001,X$3,BD!$B$3:$B$5001,$A$122,BD!$L$3:$L$5001,"&lt;&gt;")=0,"",SUMIFS(BD!$L$3:$L$5001,BD!$A$3:$A$5001,X$3,BD!$B$3:$B$5001,$A$122)))</f>
        <v/>
      </c>
      <c r="Y131" s="159" t="str">
        <f>IF(Y$3="","",IF(COUNTIFS(BD!$A$3:$A$5001,Y$3,BD!$B$3:$B$5001,$A$122,BD!$L$3:$L$5001,"&lt;&gt;")=0,"",SUMIFS(BD!$L$3:$L$5001,BD!$A$3:$A$5001,Y$3,BD!$B$3:$B$5001,$A$122)))</f>
        <v/>
      </c>
      <c r="Z131" s="159" t="str">
        <f>IF(Z$3="","",IF(COUNTIFS(BD!$A$3:$A$5001,Z$3,BD!$B$3:$B$5001,$A$122,BD!$L$3:$L$5001,"&lt;&gt;")=0,"",SUMIFS(BD!$L$3:$L$5001,BD!$A$3:$A$5001,Z$3,BD!$B$3:$B$5001,$A$122)))</f>
        <v/>
      </c>
      <c r="AA131" s="159" t="str">
        <f>IF(AA$3="","",IF(COUNTIFS(BD!$A$3:$A$5001,AA$3,BD!$B$3:$B$5001,$A$122,BD!$L$3:$L$5001,"&lt;&gt;")=0,"",SUMIFS(BD!$L$3:$L$5001,BD!$A$3:$A$5001,AA$3,BD!$B$3:$B$5001,$A$122)))</f>
        <v/>
      </c>
      <c r="AB131" s="159" t="str">
        <f>IF(AB$3="","",IF(COUNTIFS(BD!$A$3:$A$5001,AB$3,BD!$B$3:$B$5001,$A$122,BD!$L$3:$L$5001,"&lt;&gt;")=0,"",SUMIFS(BD!$L$3:$L$5001,BD!$A$3:$A$5001,AB$3,BD!$B$3:$B$5001,$A$122)))</f>
        <v/>
      </c>
      <c r="AC131" s="159" t="str">
        <f>IF(AC$3="","",IF(COUNTIFS(BD!$A$3:$A$5001,AC$3,BD!$B$3:$B$5001,$A$122,BD!$L$3:$L$5001,"&lt;&gt;")=0,"",SUMIFS(BD!$L$3:$L$5001,BD!$A$3:$A$5001,AC$3,BD!$B$3:$B$5001,$A$122)))</f>
        <v/>
      </c>
      <c r="AD131" s="159" t="str">
        <f>IF(AD$3="","",IF(COUNTIFS(BD!$A$3:$A$5001,AD$3,BD!$B$3:$B$5001,$A$122,BD!$L$3:$L$5001,"&lt;&gt;")=0,"",SUMIFS(BD!$L$3:$L$5001,BD!$A$3:$A$5001,AD$3,BD!$B$3:$B$5001,$A$122)))</f>
        <v/>
      </c>
      <c r="AE131" s="159" t="str">
        <f>IF(AE$3="","",IF(COUNTIFS(BD!$A$3:$A$5001,AE$3,BD!$B$3:$B$5001,$A$122,BD!$L$3:$L$5001,"&lt;&gt;")=0,"",SUMIFS(BD!$L$3:$L$5001,BD!$A$3:$A$5001,AE$3,BD!$B$3:$B$5001,$A$122)))</f>
        <v/>
      </c>
      <c r="AF131" s="159" t="str">
        <f>IF(AF$3="","",IF(COUNTIFS(BD!$A$3:$A$5001,AF$3,BD!$B$3:$B$5001,$A$122,BD!$L$3:$L$5001,"&lt;&gt;")=0,"",SUMIFS(BD!$L$3:$L$5001,BD!$A$3:$A$5001,AF$3,BD!$B$3:$B$5001,$A$122)))</f>
        <v/>
      </c>
      <c r="AG131" s="159" t="str">
        <f>IF(AG$3="","",IF(COUNTIFS(BD!$A$3:$A$5001,AG$3,BD!$B$3:$B$5001,$A$122,BD!$L$3:$L$5001,"&lt;&gt;")=0,"",SUMIFS(BD!$L$3:$L$5001,BD!$A$3:$A$5001,AG$3,BD!$B$3:$B$5001,$A$122)))</f>
        <v/>
      </c>
      <c r="AH131" s="159" t="str">
        <f>IF(AH$3="","",IF(COUNTIFS(BD!$A$3:$A$5001,AH$3,BD!$B$3:$B$5001,$A$122,BD!$L$3:$L$5001,"&lt;&gt;")=0,"",SUMIFS(BD!$L$3:$L$5001,BD!$A$3:$A$5001,AH$3,BD!$B$3:$B$5001,$A$122)))</f>
        <v/>
      </c>
      <c r="AI131" s="159" t="str">
        <f>IF(AI$3="","",IF(COUNTIFS(BD!$A$3:$A$5001,AI$3,BD!$B$3:$B$5001,$A$122,BD!$L$3:$L$5001,"&lt;&gt;")=0,"",SUMIFS(BD!$L$3:$L$5001,BD!$A$3:$A$5001,AI$3,BD!$B$3:$B$5001,$A$122)))</f>
        <v/>
      </c>
      <c r="AJ131" s="160" t="str">
        <f>IF(AJ$3="","",IF(COUNTIFS(BD!$A$3:$A$5001,AJ$3,BD!$B$3:$B$5001,$A$122,BD!$L$3:$L$5001,"&lt;&gt;")=0,"",SUMIFS(BD!$L$3:$L$5001,BD!$A$3:$A$5001,AJ$3,BD!$B$3:$B$5001,$A$122)))</f>
        <v/>
      </c>
      <c r="AK131" s="161" t="str">
        <f>IF(COUNT(F131:AJ131)&gt;0,LOOKUP(9.99E+307,F131:AJ131),IFERROR(IF(INDEX(BD!$V$3:$V$5001,MATCH($A$122,BD!$B$3:$B$5001,0))&amp;""="Contrato","",INDEX(BD!$V$3:$V$5001,MATCH($A$122,BD!$B$3:$B$5001,0))&amp;""),""))</f>
        <v/>
      </c>
    </row>
    <row r="132" ht="15.75" customHeight="1" hidden="1">
      <c r="A132" s="254"/>
      <c r="B132" s="242"/>
      <c r="C132" s="162" t="inlineStr">
        <is>
          <t xml:space="preserve">Posições Ocupadas</t>
        </is>
      </c>
      <c r="D132" s="163" t="str">
        <f>IFERROR(1/(1/INDEX(BD!$Y$33:$AS$33,MATCH($A$122,BD!$Y$22:$AS$22,0))),"")</f>
        <v/>
      </c>
      <c r="E132" s="164"/>
      <c r="F132" s="165" t="str">
        <f>IF(F$3="","",IF(COUNTIFS(BD!$A$3:$A$5001,F$3,BD!$B$3:$B$5001,$A$122,BD!$M$3:$M$5001,"&lt;&gt;")=0,"",SUMIFS(BD!$M$3:$M$5001,BD!$A$3:$A$5001,F$3,BD!$B$3:$B$5001,$A$122)))</f>
        <v/>
      </c>
      <c r="G132" s="166" t="str">
        <f>IF(G$3="","",IF(COUNTIFS(BD!$A$3:$A$5001,G$3,BD!$B$3:$B$5001,$A$122,BD!$M$3:$M$5001,"&lt;&gt;")=0,"",SUMIFS(BD!$M$3:$M$5001,BD!$A$3:$A$5001,G$3,BD!$B$3:$B$5001,$A$122)))</f>
        <v/>
      </c>
      <c r="H132" s="166" t="str">
        <f>IF(H$3="","",IF(COUNTIFS(BD!$A$3:$A$5001,H$3,BD!$B$3:$B$5001,$A$122,BD!$M$3:$M$5001,"&lt;&gt;")=0,"",SUMIFS(BD!$M$3:$M$5001,BD!$A$3:$A$5001,H$3,BD!$B$3:$B$5001,$A$122)))</f>
        <v/>
      </c>
      <c r="I132" s="166" t="str">
        <f>IF(I$3="","",IF(COUNTIFS(BD!$A$3:$A$5001,I$3,BD!$B$3:$B$5001,$A$122,BD!$M$3:$M$5001,"&lt;&gt;")=0,"",SUMIFS(BD!$M$3:$M$5001,BD!$A$3:$A$5001,I$3,BD!$B$3:$B$5001,$A$122)))</f>
        <v/>
      </c>
      <c r="J132" s="166" t="str">
        <f>IF(J$3="","",IF(COUNTIFS(BD!$A$3:$A$5001,J$3,BD!$B$3:$B$5001,$A$122,BD!$M$3:$M$5001,"&lt;&gt;")=0,"",SUMIFS(BD!$M$3:$M$5001,BD!$A$3:$A$5001,J$3,BD!$B$3:$B$5001,$A$122)))</f>
        <v/>
      </c>
      <c r="K132" s="166" t="str">
        <f>IF(K$3="","",IF(COUNTIFS(BD!$A$3:$A$5001,K$3,BD!$B$3:$B$5001,$A$122,BD!$M$3:$M$5001,"&lt;&gt;")=0,"",SUMIFS(BD!$M$3:$M$5001,BD!$A$3:$A$5001,K$3,BD!$B$3:$B$5001,$A$122)))</f>
        <v/>
      </c>
      <c r="L132" s="166" t="str">
        <f>IF(L$3="","",IF(COUNTIFS(BD!$A$3:$A$5001,L$3,BD!$B$3:$B$5001,$A$122,BD!$M$3:$M$5001,"&lt;&gt;")=0,"",SUMIFS(BD!$M$3:$M$5001,BD!$A$3:$A$5001,L$3,BD!$B$3:$B$5001,$A$122)))</f>
        <v/>
      </c>
      <c r="M132" s="166" t="str">
        <f>IF(M$3="","",IF(COUNTIFS(BD!$A$3:$A$5001,M$3,BD!$B$3:$B$5001,$A$122,BD!$M$3:$M$5001,"&lt;&gt;")=0,"",SUMIFS(BD!$M$3:$M$5001,BD!$A$3:$A$5001,M$3,BD!$B$3:$B$5001,$A$122)))</f>
        <v/>
      </c>
      <c r="N132" s="166" t="str">
        <f>IF(N$3="","",IF(COUNTIFS(BD!$A$3:$A$5001,N$3,BD!$B$3:$B$5001,$A$122,BD!$M$3:$M$5001,"&lt;&gt;")=0,"",SUMIFS(BD!$M$3:$M$5001,BD!$A$3:$A$5001,N$3,BD!$B$3:$B$5001,$A$122)))</f>
        <v/>
      </c>
      <c r="O132" s="166" t="str">
        <f>IF(O$3="","",IF(COUNTIFS(BD!$A$3:$A$5001,O$3,BD!$B$3:$B$5001,$A$122,BD!$M$3:$M$5001,"&lt;&gt;")=0,"",SUMIFS(BD!$M$3:$M$5001,BD!$A$3:$A$5001,O$3,BD!$B$3:$B$5001,$A$122)))</f>
        <v/>
      </c>
      <c r="P132" s="166" t="str">
        <f>IF(P$3="","",IF(COUNTIFS(BD!$A$3:$A$5001,P$3,BD!$B$3:$B$5001,$A$122,BD!$M$3:$M$5001,"&lt;&gt;")=0,"",SUMIFS(BD!$M$3:$M$5001,BD!$A$3:$A$5001,P$3,BD!$B$3:$B$5001,$A$122)))</f>
        <v/>
      </c>
      <c r="Q132" s="166" t="str">
        <f>IF(Q$3="","",IF(COUNTIFS(BD!$A$3:$A$5001,Q$3,BD!$B$3:$B$5001,$A$122,BD!$M$3:$M$5001,"&lt;&gt;")=0,"",SUMIFS(BD!$M$3:$M$5001,BD!$A$3:$A$5001,Q$3,BD!$B$3:$B$5001,$A$122)))</f>
        <v/>
      </c>
      <c r="R132" s="166" t="str">
        <f>IF(R$3="","",IF(COUNTIFS(BD!$A$3:$A$5001,R$3,BD!$B$3:$B$5001,$A$122,BD!$M$3:$M$5001,"&lt;&gt;")=0,"",SUMIFS(BD!$M$3:$M$5001,BD!$A$3:$A$5001,R$3,BD!$B$3:$B$5001,$A$122)))</f>
        <v/>
      </c>
      <c r="S132" s="166" t="str">
        <f>IF(S$3="","",IF(COUNTIFS(BD!$A$3:$A$5001,S$3,BD!$B$3:$B$5001,$A$122,BD!$M$3:$M$5001,"&lt;&gt;")=0,"",SUMIFS(BD!$M$3:$M$5001,BD!$A$3:$A$5001,S$3,BD!$B$3:$B$5001,$A$122)))</f>
        <v/>
      </c>
      <c r="T132" s="166" t="str">
        <f>IF(T$3="","",IF(COUNTIFS(BD!$A$3:$A$5001,T$3,BD!$B$3:$B$5001,$A$122,BD!$M$3:$M$5001,"&lt;&gt;")=0,"",SUMIFS(BD!$M$3:$M$5001,BD!$A$3:$A$5001,T$3,BD!$B$3:$B$5001,$A$122)))</f>
        <v/>
      </c>
      <c r="U132" s="166" t="str">
        <f>IF(U$3="","",IF(COUNTIFS(BD!$A$3:$A$5001,U$3,BD!$B$3:$B$5001,$A$122,BD!$M$3:$M$5001,"&lt;&gt;")=0,"",SUMIFS(BD!$M$3:$M$5001,BD!$A$3:$A$5001,U$3,BD!$B$3:$B$5001,$A$122)))</f>
        <v/>
      </c>
      <c r="V132" s="166" t="str">
        <f>IF(V$3="","",IF(COUNTIFS(BD!$A$3:$A$5001,V$3,BD!$B$3:$B$5001,$A$122,BD!$M$3:$M$5001,"&lt;&gt;")=0,"",SUMIFS(BD!$M$3:$M$5001,BD!$A$3:$A$5001,V$3,BD!$B$3:$B$5001,$A$122)))</f>
        <v/>
      </c>
      <c r="W132" s="166" t="str">
        <f>IF(W$3="","",IF(COUNTIFS(BD!$A$3:$A$5001,W$3,BD!$B$3:$B$5001,$A$122,BD!$M$3:$M$5001,"&lt;&gt;")=0,"",SUMIFS(BD!$M$3:$M$5001,BD!$A$3:$A$5001,W$3,BD!$B$3:$B$5001,$A$122)))</f>
        <v/>
      </c>
      <c r="X132" s="166" t="str">
        <f>IF(X$3="","",IF(COUNTIFS(BD!$A$3:$A$5001,X$3,BD!$B$3:$B$5001,$A$122,BD!$M$3:$M$5001,"&lt;&gt;")=0,"",SUMIFS(BD!$M$3:$M$5001,BD!$A$3:$A$5001,X$3,BD!$B$3:$B$5001,$A$122)))</f>
        <v/>
      </c>
      <c r="Y132" s="166" t="str">
        <f>IF(Y$3="","",IF(COUNTIFS(BD!$A$3:$A$5001,Y$3,BD!$B$3:$B$5001,$A$122,BD!$M$3:$M$5001,"&lt;&gt;")=0,"",SUMIFS(BD!$M$3:$M$5001,BD!$A$3:$A$5001,Y$3,BD!$B$3:$B$5001,$A$122)))</f>
        <v/>
      </c>
      <c r="Z132" s="166" t="str">
        <f>IF(Z$3="","",IF(COUNTIFS(BD!$A$3:$A$5001,Z$3,BD!$B$3:$B$5001,$A$122,BD!$M$3:$M$5001,"&lt;&gt;")=0,"",SUMIFS(BD!$M$3:$M$5001,BD!$A$3:$A$5001,Z$3,BD!$B$3:$B$5001,$A$122)))</f>
        <v/>
      </c>
      <c r="AA132" s="166" t="str">
        <f>IF(AA$3="","",IF(COUNTIFS(BD!$A$3:$A$5001,AA$3,BD!$B$3:$B$5001,$A$122,BD!$M$3:$M$5001,"&lt;&gt;")=0,"",SUMIFS(BD!$M$3:$M$5001,BD!$A$3:$A$5001,AA$3,BD!$B$3:$B$5001,$A$122)))</f>
        <v/>
      </c>
      <c r="AB132" s="166" t="str">
        <f>IF(AB$3="","",IF(COUNTIFS(BD!$A$3:$A$5001,AB$3,BD!$B$3:$B$5001,$A$122,BD!$M$3:$M$5001,"&lt;&gt;")=0,"",SUMIFS(BD!$M$3:$M$5001,BD!$A$3:$A$5001,AB$3,BD!$B$3:$B$5001,$A$122)))</f>
        <v/>
      </c>
      <c r="AC132" s="166" t="str">
        <f>IF(AC$3="","",IF(COUNTIFS(BD!$A$3:$A$5001,AC$3,BD!$B$3:$B$5001,$A$122,BD!$M$3:$M$5001,"&lt;&gt;")=0,"",SUMIFS(BD!$M$3:$M$5001,BD!$A$3:$A$5001,AC$3,BD!$B$3:$B$5001,$A$122)))</f>
        <v/>
      </c>
      <c r="AD132" s="166" t="str">
        <f>IF(AD$3="","",IF(COUNTIFS(BD!$A$3:$A$5001,AD$3,BD!$B$3:$B$5001,$A$122,BD!$M$3:$M$5001,"&lt;&gt;")=0,"",SUMIFS(BD!$M$3:$M$5001,BD!$A$3:$A$5001,AD$3,BD!$B$3:$B$5001,$A$122)))</f>
        <v/>
      </c>
      <c r="AE132" s="166" t="str">
        <f>IF(AE$3="","",IF(COUNTIFS(BD!$A$3:$A$5001,AE$3,BD!$B$3:$B$5001,$A$122,BD!$M$3:$M$5001,"&lt;&gt;")=0,"",SUMIFS(BD!$M$3:$M$5001,BD!$A$3:$A$5001,AE$3,BD!$B$3:$B$5001,$A$122)))</f>
        <v/>
      </c>
      <c r="AF132" s="166" t="str">
        <f>IF(AF$3="","",IF(COUNTIFS(BD!$A$3:$A$5001,AF$3,BD!$B$3:$B$5001,$A$122,BD!$M$3:$M$5001,"&lt;&gt;")=0,"",SUMIFS(BD!$M$3:$M$5001,BD!$A$3:$A$5001,AF$3,BD!$B$3:$B$5001,$A$122)))</f>
        <v/>
      </c>
      <c r="AG132" s="166" t="str">
        <f>IF(AG$3="","",IF(COUNTIFS(BD!$A$3:$A$5001,AG$3,BD!$B$3:$B$5001,$A$122,BD!$M$3:$M$5001,"&lt;&gt;")=0,"",SUMIFS(BD!$M$3:$M$5001,BD!$A$3:$A$5001,AG$3,BD!$B$3:$B$5001,$A$122)))</f>
        <v/>
      </c>
      <c r="AH132" s="166" t="str">
        <f>IF(AH$3="","",IF(COUNTIFS(BD!$A$3:$A$5001,AH$3,BD!$B$3:$B$5001,$A$122,BD!$M$3:$M$5001,"&lt;&gt;")=0,"",SUMIFS(BD!$M$3:$M$5001,BD!$A$3:$A$5001,AH$3,BD!$B$3:$B$5001,$A$122)))</f>
        <v/>
      </c>
      <c r="AI132" s="166" t="str">
        <f>IF(AI$3="","",IF(COUNTIFS(BD!$A$3:$A$5001,AI$3,BD!$B$3:$B$5001,$A$122,BD!$M$3:$M$5001,"&lt;&gt;")=0,"",SUMIFS(BD!$M$3:$M$5001,BD!$A$3:$A$5001,AI$3,BD!$B$3:$B$5001,$A$122)))</f>
        <v/>
      </c>
      <c r="AJ132" s="167" t="str">
        <f>IF(AJ$3="","",IF(COUNTIFS(BD!$A$3:$A$5001,AJ$3,BD!$B$3:$B$5001,$A$122,BD!$M$3:$M$5001,"&lt;&gt;")=0,"",SUMIFS(BD!$M$3:$M$5001,BD!$A$3:$A$5001,AJ$3,BD!$B$3:$B$5001,$A$122)))</f>
        <v/>
      </c>
      <c r="AK132" s="168" t="str">
        <f>IFERROR(LOOKUP(9.99E+307,F132:AJ132),"")</f>
        <v/>
      </c>
    </row>
    <row r="133" ht="15.75" customHeight="1" hidden="1">
      <c r="A133" s="254"/>
      <c r="B133" s="243"/>
      <c r="C133" s="169" t="inlineStr">
        <is>
          <t xml:space="preserve">Taxa de Ocupação</t>
        </is>
      </c>
      <c r="D133" s="217" t="str">
        <f>IFERROR(1/(1/INDEX(BD!$Y$34:$AS$34,MATCH($A$122,BD!$Y$22:$AS$22,0))),"")</f>
        <v/>
      </c>
      <c r="E133" s="171"/>
      <c r="F133" s="218" t="str">
        <f>IF(AND(ISNUMBER(F131),ISNUMBER(F132)),IF(F131&gt;0,F132/F131,""),"")</f>
        <v/>
      </c>
      <c r="G133" s="219" t="str">
        <f>IF(AND(ISNUMBER(G131),ISNUMBER(G132)),IF(G131&gt;0,G132/G131,""),"")</f>
        <v/>
      </c>
      <c r="H133" s="219" t="str">
        <f>IF(AND(ISNUMBER(H131),ISNUMBER(H132)),IF(H131&gt;0,H132/H131,""),"")</f>
        <v/>
      </c>
      <c r="I133" s="219" t="str">
        <f>IF(AND(ISNUMBER(I131),ISNUMBER(I132)),IF(I131&gt;0,I132/I131,""),"")</f>
        <v/>
      </c>
      <c r="J133" s="219" t="str">
        <f>IF(AND(ISNUMBER(J131),ISNUMBER(J132)),IF(J131&gt;0,J132/J131,""),"")</f>
        <v/>
      </c>
      <c r="K133" s="219" t="str">
        <f>IF(AND(ISNUMBER(K131),ISNUMBER(K132)),IF(K131&gt;0,K132/K131,""),"")</f>
        <v/>
      </c>
      <c r="L133" s="219" t="str">
        <f>IF(AND(ISNUMBER(L131),ISNUMBER(L132)),IF(L131&gt;0,L132/L131,""),"")</f>
        <v/>
      </c>
      <c r="M133" s="219" t="str">
        <f>IF(AND(ISNUMBER(M131),ISNUMBER(M132)),IF(M131&gt;0,M132/M131,""),"")</f>
        <v/>
      </c>
      <c r="N133" s="219" t="str">
        <f>IF(AND(ISNUMBER(N131),ISNUMBER(N132)),IF(N131&gt;0,N132/N131,""),"")</f>
        <v/>
      </c>
      <c r="O133" s="219" t="str">
        <f>IF(AND(ISNUMBER(O131),ISNUMBER(O132)),IF(O131&gt;0,O132/O131,""),"")</f>
        <v/>
      </c>
      <c r="P133" s="219" t="str">
        <f>IF(AND(ISNUMBER(P131),ISNUMBER(P132)),IF(P131&gt;0,P132/P131,""),"")</f>
        <v/>
      </c>
      <c r="Q133" s="219" t="str">
        <f>IF(AND(ISNUMBER(Q131),ISNUMBER(Q132)),IF(Q131&gt;0,Q132/Q131,""),"")</f>
        <v/>
      </c>
      <c r="R133" s="219" t="str">
        <f>IF(AND(ISNUMBER(R131),ISNUMBER(R132)),IF(R131&gt;0,R132/R131,""),"")</f>
        <v/>
      </c>
      <c r="S133" s="219" t="str">
        <f>IF(AND(ISNUMBER(S131),ISNUMBER(S132)),IF(S131&gt;0,S132/S131,""),"")</f>
        <v/>
      </c>
      <c r="T133" s="219" t="str">
        <f>IF(AND(ISNUMBER(T131),ISNUMBER(T132)),IF(T131&gt;0,T132/T131,""),"")</f>
        <v/>
      </c>
      <c r="U133" s="219" t="str">
        <f>IF(AND(ISNUMBER(U131),ISNUMBER(U132)),IF(U131&gt;0,U132/U131,""),"")</f>
        <v/>
      </c>
      <c r="V133" s="219" t="str">
        <f>IF(AND(ISNUMBER(V131),ISNUMBER(V132)),IF(V131&gt;0,V132/V131,""),"")</f>
        <v/>
      </c>
      <c r="W133" s="219" t="str">
        <f>IF(AND(ISNUMBER(W131),ISNUMBER(W132)),IF(W131&gt;0,W132/W131,""),"")</f>
        <v/>
      </c>
      <c r="X133" s="219" t="str">
        <f>IF(AND(ISNUMBER(X131),ISNUMBER(X132)),IF(X131&gt;0,X132/X131,""),"")</f>
        <v/>
      </c>
      <c r="Y133" s="219" t="str">
        <f>IF(AND(ISNUMBER(Y131),ISNUMBER(Y132)),IF(Y131&gt;0,Y132/Y131,""),"")</f>
        <v/>
      </c>
      <c r="Z133" s="219" t="str">
        <f>IF(AND(ISNUMBER(Z131),ISNUMBER(Z132)),IF(Z131&gt;0,Z132/Z131,""),"")</f>
        <v/>
      </c>
      <c r="AA133" s="219" t="str">
        <f>IF(AND(ISNUMBER(AA131),ISNUMBER(AA132)),IF(AA131&gt;0,AA132/AA131,""),"")</f>
        <v/>
      </c>
      <c r="AB133" s="219" t="str">
        <f>IF(AND(ISNUMBER(AB131),ISNUMBER(AB132)),IF(AB131&gt;0,AB132/AB131,""),"")</f>
        <v/>
      </c>
      <c r="AC133" s="219" t="str">
        <f>IF(AND(ISNUMBER(AC131),ISNUMBER(AC132)),IF(AC131&gt;0,AC132/AC131,""),"")</f>
        <v/>
      </c>
      <c r="AD133" s="219" t="str">
        <f>IF(AND(ISNUMBER(AD131),ISNUMBER(AD132)),IF(AD131&gt;0,AD132/AD131,""),"")</f>
        <v/>
      </c>
      <c r="AE133" s="219" t="str">
        <f>IF(AND(ISNUMBER(AE131),ISNUMBER(AE132)),IF(AE131&gt;0,AE132/AE131,""),"")</f>
        <v/>
      </c>
      <c r="AF133" s="219" t="str">
        <f>IF(AND(ISNUMBER(AF131),ISNUMBER(AF132)),IF(AF131&gt;0,AF132/AF131,""),"")</f>
        <v/>
      </c>
      <c r="AG133" s="219" t="str">
        <f>IF(AND(ISNUMBER(AG131),ISNUMBER(AG132)),IF(AG131&gt;0,AG132/AG131,""),"")</f>
        <v/>
      </c>
      <c r="AH133" s="219" t="str">
        <f>IF(AND(ISNUMBER(AH131),ISNUMBER(AH132)),IF(AH131&gt;0,AH132/AH131,""),"")</f>
        <v/>
      </c>
      <c r="AI133" s="219" t="str">
        <f>IF(AND(ISNUMBER(AI131),ISNUMBER(AI132)),IF(AI131&gt;0,AI132/AI131,""),"")</f>
        <v/>
      </c>
      <c r="AJ133" s="220" t="str">
        <f>IF(AND(ISNUMBER(AJ131),ISNUMBER(AJ132)),IF(AJ131&gt;0,AJ132/AJ131,""),"")</f>
        <v/>
      </c>
      <c r="AK133" s="217" t="str">
        <f>IF(AND(ISNUMBER(AK131),ISNUMBER(AK132)),IF(AK131&gt;0,AK132/AK131,""),"")</f>
        <v/>
      </c>
    </row>
    <row r="134" ht="15.75" customHeight="1" hidden="1">
      <c r="A134" s="254"/>
      <c r="B134" s="250" t="inlineStr">
        <is>
          <t xml:space="preserve">GENTE</t>
        </is>
      </c>
      <c r="C134" s="221" t="inlineStr">
        <is>
          <t xml:space="preserve">Efetivo Op.</t>
        </is>
      </c>
      <c r="D134" s="222" t="str">
        <f>IFERROR(1/(1/INDEX(BD!$Y$35:$AS$35,MATCH($A$122,BD!$Y$22:$AS$22,0))),"")</f>
        <v/>
      </c>
      <c r="E134" s="223"/>
      <c r="F134" s="224" t="str">
        <f>IF(F$3="","",IF(COUNTIFS(BD!$A$3:$A$5001,F$3,BD!$B$3:$B$5001,$A$122,BD!$N$3:$N$5001,"&lt;&gt;")=0,"",SUMIFS(BD!$N$3:$N$5001,BD!$A$3:$A$5001,F$3,BD!$B$3:$B$5001,$A$122)))</f>
        <v/>
      </c>
      <c r="G134" s="225" t="str">
        <f>IF(G$3="","",IF(COUNTIFS(BD!$A$3:$A$5001,G$3,BD!$B$3:$B$5001,$A$122,BD!$N$3:$N$5001,"&lt;&gt;")=0,"",SUMIFS(BD!$N$3:$N$5001,BD!$A$3:$A$5001,G$3,BD!$B$3:$B$5001,$A$122)))</f>
        <v/>
      </c>
      <c r="H134" s="225" t="str">
        <f>IF(H$3="","",IF(COUNTIFS(BD!$A$3:$A$5001,H$3,BD!$B$3:$B$5001,$A$122,BD!$N$3:$N$5001,"&lt;&gt;")=0,"",SUMIFS(BD!$N$3:$N$5001,BD!$A$3:$A$5001,H$3,BD!$B$3:$B$5001,$A$122)))</f>
        <v/>
      </c>
      <c r="I134" s="225" t="str">
        <f>IF(I$3="","",IF(COUNTIFS(BD!$A$3:$A$5001,I$3,BD!$B$3:$B$5001,$A$122,BD!$N$3:$N$5001,"&lt;&gt;")=0,"",SUMIFS(BD!$N$3:$N$5001,BD!$A$3:$A$5001,I$3,BD!$B$3:$B$5001,$A$122)))</f>
        <v/>
      </c>
      <c r="J134" s="225" t="str">
        <f>IF(J$3="","",IF(COUNTIFS(BD!$A$3:$A$5001,J$3,BD!$B$3:$B$5001,$A$122,BD!$N$3:$N$5001,"&lt;&gt;")=0,"",SUMIFS(BD!$N$3:$N$5001,BD!$A$3:$A$5001,J$3,BD!$B$3:$B$5001,$A$122)))</f>
        <v/>
      </c>
      <c r="K134" s="225" t="str">
        <f>IF(K$3="","",IF(COUNTIFS(BD!$A$3:$A$5001,K$3,BD!$B$3:$B$5001,$A$122,BD!$N$3:$N$5001,"&lt;&gt;")=0,"",SUMIFS(BD!$N$3:$N$5001,BD!$A$3:$A$5001,K$3,BD!$B$3:$B$5001,$A$122)))</f>
        <v/>
      </c>
      <c r="L134" s="225" t="str">
        <f>IF(L$3="","",IF(COUNTIFS(BD!$A$3:$A$5001,L$3,BD!$B$3:$B$5001,$A$122,BD!$N$3:$N$5001,"&lt;&gt;")=0,"",SUMIFS(BD!$N$3:$N$5001,BD!$A$3:$A$5001,L$3,BD!$B$3:$B$5001,$A$122)))</f>
        <v/>
      </c>
      <c r="M134" s="225" t="str">
        <f>IF(M$3="","",IF(COUNTIFS(BD!$A$3:$A$5001,M$3,BD!$B$3:$B$5001,$A$122,BD!$N$3:$N$5001,"&lt;&gt;")=0,"",SUMIFS(BD!$N$3:$N$5001,BD!$A$3:$A$5001,M$3,BD!$B$3:$B$5001,$A$122)))</f>
        <v/>
      </c>
      <c r="N134" s="225" t="str">
        <f>IF(N$3="","",IF(COUNTIFS(BD!$A$3:$A$5001,N$3,BD!$B$3:$B$5001,$A$122,BD!$N$3:$N$5001,"&lt;&gt;")=0,"",SUMIFS(BD!$N$3:$N$5001,BD!$A$3:$A$5001,N$3,BD!$B$3:$B$5001,$A$122)))</f>
        <v/>
      </c>
      <c r="O134" s="225" t="str">
        <f>IF(O$3="","",IF(COUNTIFS(BD!$A$3:$A$5001,O$3,BD!$B$3:$B$5001,$A$122,BD!$N$3:$N$5001,"&lt;&gt;")=0,"",SUMIFS(BD!$N$3:$N$5001,BD!$A$3:$A$5001,O$3,BD!$B$3:$B$5001,$A$122)))</f>
        <v/>
      </c>
      <c r="P134" s="225" t="str">
        <f>IF(P$3="","",IF(COUNTIFS(BD!$A$3:$A$5001,P$3,BD!$B$3:$B$5001,$A$122,BD!$N$3:$N$5001,"&lt;&gt;")=0,"",SUMIFS(BD!$N$3:$N$5001,BD!$A$3:$A$5001,P$3,BD!$B$3:$B$5001,$A$122)))</f>
        <v/>
      </c>
      <c r="Q134" s="225" t="str">
        <f>IF(Q$3="","",IF(COUNTIFS(BD!$A$3:$A$5001,Q$3,BD!$B$3:$B$5001,$A$122,BD!$N$3:$N$5001,"&lt;&gt;")=0,"",SUMIFS(BD!$N$3:$N$5001,BD!$A$3:$A$5001,Q$3,BD!$B$3:$B$5001,$A$122)))</f>
        <v/>
      </c>
      <c r="R134" s="225" t="str">
        <f>IF(R$3="","",IF(COUNTIFS(BD!$A$3:$A$5001,R$3,BD!$B$3:$B$5001,$A$122,BD!$N$3:$N$5001,"&lt;&gt;")=0,"",SUMIFS(BD!$N$3:$N$5001,BD!$A$3:$A$5001,R$3,BD!$B$3:$B$5001,$A$122)))</f>
        <v/>
      </c>
      <c r="S134" s="225" t="str">
        <f>IF(S$3="","",IF(COUNTIFS(BD!$A$3:$A$5001,S$3,BD!$B$3:$B$5001,$A$122,BD!$N$3:$N$5001,"&lt;&gt;")=0,"",SUMIFS(BD!$N$3:$N$5001,BD!$A$3:$A$5001,S$3,BD!$B$3:$B$5001,$A$122)))</f>
        <v/>
      </c>
      <c r="T134" s="225" t="str">
        <f>IF(T$3="","",IF(COUNTIFS(BD!$A$3:$A$5001,T$3,BD!$B$3:$B$5001,$A$122,BD!$N$3:$N$5001,"&lt;&gt;")=0,"",SUMIFS(BD!$N$3:$N$5001,BD!$A$3:$A$5001,T$3,BD!$B$3:$B$5001,$A$122)))</f>
        <v/>
      </c>
      <c r="U134" s="225" t="str">
        <f>IF(U$3="","",IF(COUNTIFS(BD!$A$3:$A$5001,U$3,BD!$B$3:$B$5001,$A$122,BD!$N$3:$N$5001,"&lt;&gt;")=0,"",SUMIFS(BD!$N$3:$N$5001,BD!$A$3:$A$5001,U$3,BD!$B$3:$B$5001,$A$122)))</f>
        <v/>
      </c>
      <c r="V134" s="225" t="str">
        <f>IF(V$3="","",IF(COUNTIFS(BD!$A$3:$A$5001,V$3,BD!$B$3:$B$5001,$A$122,BD!$N$3:$N$5001,"&lt;&gt;")=0,"",SUMIFS(BD!$N$3:$N$5001,BD!$A$3:$A$5001,V$3,BD!$B$3:$B$5001,$A$122)))</f>
        <v/>
      </c>
      <c r="W134" s="225" t="str">
        <f>IF(W$3="","",IF(COUNTIFS(BD!$A$3:$A$5001,W$3,BD!$B$3:$B$5001,$A$122,BD!$N$3:$N$5001,"&lt;&gt;")=0,"",SUMIFS(BD!$N$3:$N$5001,BD!$A$3:$A$5001,W$3,BD!$B$3:$B$5001,$A$122)))</f>
        <v/>
      </c>
      <c r="X134" s="225" t="str">
        <f>IF(X$3="","",IF(COUNTIFS(BD!$A$3:$A$5001,X$3,BD!$B$3:$B$5001,$A$122,BD!$N$3:$N$5001,"&lt;&gt;")=0,"",SUMIFS(BD!$N$3:$N$5001,BD!$A$3:$A$5001,X$3,BD!$B$3:$B$5001,$A$122)))</f>
        <v/>
      </c>
      <c r="Y134" s="225" t="str">
        <f>IF(Y$3="","",IF(COUNTIFS(BD!$A$3:$A$5001,Y$3,BD!$B$3:$B$5001,$A$122,BD!$N$3:$N$5001,"&lt;&gt;")=0,"",SUMIFS(BD!$N$3:$N$5001,BD!$A$3:$A$5001,Y$3,BD!$B$3:$B$5001,$A$122)))</f>
        <v/>
      </c>
      <c r="Z134" s="225" t="str">
        <f>IF(Z$3="","",IF(COUNTIFS(BD!$A$3:$A$5001,Z$3,BD!$B$3:$B$5001,$A$122,BD!$N$3:$N$5001,"&lt;&gt;")=0,"",SUMIFS(BD!$N$3:$N$5001,BD!$A$3:$A$5001,Z$3,BD!$B$3:$B$5001,$A$122)))</f>
        <v/>
      </c>
      <c r="AA134" s="225" t="str">
        <f>IF(AA$3="","",IF(COUNTIFS(BD!$A$3:$A$5001,AA$3,BD!$B$3:$B$5001,$A$122,BD!$N$3:$N$5001,"&lt;&gt;")=0,"",SUMIFS(BD!$N$3:$N$5001,BD!$A$3:$A$5001,AA$3,BD!$B$3:$B$5001,$A$122)))</f>
        <v/>
      </c>
      <c r="AB134" s="225" t="str">
        <f>IF(AB$3="","",IF(COUNTIFS(BD!$A$3:$A$5001,AB$3,BD!$B$3:$B$5001,$A$122,BD!$N$3:$N$5001,"&lt;&gt;")=0,"",SUMIFS(BD!$N$3:$N$5001,BD!$A$3:$A$5001,AB$3,BD!$B$3:$B$5001,$A$122)))</f>
        <v/>
      </c>
      <c r="AC134" s="225" t="str">
        <f>IF(AC$3="","",IF(COUNTIFS(BD!$A$3:$A$5001,AC$3,BD!$B$3:$B$5001,$A$122,BD!$N$3:$N$5001,"&lt;&gt;")=0,"",SUMIFS(BD!$N$3:$N$5001,BD!$A$3:$A$5001,AC$3,BD!$B$3:$B$5001,$A$122)))</f>
        <v/>
      </c>
      <c r="AD134" s="225" t="str">
        <f>IF(AD$3="","",IF(COUNTIFS(BD!$A$3:$A$5001,AD$3,BD!$B$3:$B$5001,$A$122,BD!$N$3:$N$5001,"&lt;&gt;")=0,"",SUMIFS(BD!$N$3:$N$5001,BD!$A$3:$A$5001,AD$3,BD!$B$3:$B$5001,$A$122)))</f>
        <v/>
      </c>
      <c r="AE134" s="225" t="str">
        <f>IF(AE$3="","",IF(COUNTIFS(BD!$A$3:$A$5001,AE$3,BD!$B$3:$B$5001,$A$122,BD!$N$3:$N$5001,"&lt;&gt;")=0,"",SUMIFS(BD!$N$3:$N$5001,BD!$A$3:$A$5001,AE$3,BD!$B$3:$B$5001,$A$122)))</f>
        <v/>
      </c>
      <c r="AF134" s="225" t="str">
        <f>IF(AF$3="","",IF(COUNTIFS(BD!$A$3:$A$5001,AF$3,BD!$B$3:$B$5001,$A$122,BD!$N$3:$N$5001,"&lt;&gt;")=0,"",SUMIFS(BD!$N$3:$N$5001,BD!$A$3:$A$5001,AF$3,BD!$B$3:$B$5001,$A$122)))</f>
        <v/>
      </c>
      <c r="AG134" s="225" t="str">
        <f>IF(AG$3="","",IF(COUNTIFS(BD!$A$3:$A$5001,AG$3,BD!$B$3:$B$5001,$A$122,BD!$N$3:$N$5001,"&lt;&gt;")=0,"",SUMIFS(BD!$N$3:$N$5001,BD!$A$3:$A$5001,AG$3,BD!$B$3:$B$5001,$A$122)))</f>
        <v/>
      </c>
      <c r="AH134" s="225" t="str">
        <f>IF(AH$3="","",IF(COUNTIFS(BD!$A$3:$A$5001,AH$3,BD!$B$3:$B$5001,$A$122,BD!$N$3:$N$5001,"&lt;&gt;")=0,"",SUMIFS(BD!$N$3:$N$5001,BD!$A$3:$A$5001,AH$3,BD!$B$3:$B$5001,$A$122)))</f>
        <v/>
      </c>
      <c r="AI134" s="225" t="str">
        <f>IF(AI$3="","",IF(COUNTIFS(BD!$A$3:$A$5001,AI$3,BD!$B$3:$B$5001,$A$122,BD!$N$3:$N$5001,"&lt;&gt;")=0,"",SUMIFS(BD!$N$3:$N$5001,BD!$A$3:$A$5001,AI$3,BD!$B$3:$B$5001,$A$122)))</f>
        <v/>
      </c>
      <c r="AJ134" s="226" t="str">
        <f>IF(AJ$3="","",IF(COUNTIFS(BD!$A$3:$A$5001,AJ$3,BD!$B$3:$B$5001,$A$122,BD!$N$3:$N$5001,"&lt;&gt;")=0,"",SUMIFS(BD!$N$3:$N$5001,BD!$A$3:$A$5001,AJ$3,BD!$B$3:$B$5001,$A$122)))</f>
        <v/>
      </c>
      <c r="AK134" s="227" t="str">
        <f>IFERROR(LOOKUP(9.99E+307,F134:AJ134),"")</f>
        <v/>
      </c>
    </row>
    <row r="135" ht="15.75" customHeight="1" hidden="1">
      <c r="A135" s="254"/>
      <c r="B135" s="251"/>
      <c r="C135" s="228" t="inlineStr">
        <is>
          <t xml:space="preserve">Falta</t>
        </is>
      </c>
      <c r="D135" s="229" t="str">
        <f>IFERROR(1/(1/INDEX(BD!$Y$36:$AS$36,MATCH($A$122,BD!$Y$22:$AS$22,0))),"")</f>
        <v/>
      </c>
      <c r="E135" s="230"/>
      <c r="F135" s="231" t="str">
        <f>IF(F$3="","",IF(COUNTIFS(BD!$A$3:$A$5001,F$3,BD!$B$3:$B$5001,$A$122,BD!$O$3:$O$5001,"&lt;&gt;")=0,"",SUMIFS(BD!$O$3:$O$5001,BD!$A$3:$A$5001,F$3,BD!$B$3:$B$5001,$A$122)))</f>
        <v/>
      </c>
      <c r="G135" s="232" t="str">
        <f>IF(G$3="","",IF(COUNTIFS(BD!$A$3:$A$5001,G$3,BD!$B$3:$B$5001,$A$122,BD!$O$3:$O$5001,"&lt;&gt;")=0,"",SUMIFS(BD!$O$3:$O$5001,BD!$A$3:$A$5001,G$3,BD!$B$3:$B$5001,$A$122)))</f>
        <v/>
      </c>
      <c r="H135" s="232" t="str">
        <f>IF(H$3="","",IF(COUNTIFS(BD!$A$3:$A$5001,H$3,BD!$B$3:$B$5001,$A$122,BD!$O$3:$O$5001,"&lt;&gt;")=0,"",SUMIFS(BD!$O$3:$O$5001,BD!$A$3:$A$5001,H$3,BD!$B$3:$B$5001,$A$122)))</f>
        <v/>
      </c>
      <c r="I135" s="232" t="str">
        <f>IF(I$3="","",IF(COUNTIFS(BD!$A$3:$A$5001,I$3,BD!$B$3:$B$5001,$A$122,BD!$O$3:$O$5001,"&lt;&gt;")=0,"",SUMIFS(BD!$O$3:$O$5001,BD!$A$3:$A$5001,I$3,BD!$B$3:$B$5001,$A$122)))</f>
        <v/>
      </c>
      <c r="J135" s="232" t="str">
        <f>IF(J$3="","",IF(COUNTIFS(BD!$A$3:$A$5001,J$3,BD!$B$3:$B$5001,$A$122,BD!$O$3:$O$5001,"&lt;&gt;")=0,"",SUMIFS(BD!$O$3:$O$5001,BD!$A$3:$A$5001,J$3,BD!$B$3:$B$5001,$A$122)))</f>
        <v/>
      </c>
      <c r="K135" s="232" t="str">
        <f>IF(K$3="","",IF(COUNTIFS(BD!$A$3:$A$5001,K$3,BD!$B$3:$B$5001,$A$122,BD!$O$3:$O$5001,"&lt;&gt;")=0,"",SUMIFS(BD!$O$3:$O$5001,BD!$A$3:$A$5001,K$3,BD!$B$3:$B$5001,$A$122)))</f>
        <v/>
      </c>
      <c r="L135" s="232" t="str">
        <f>IF(L$3="","",IF(COUNTIFS(BD!$A$3:$A$5001,L$3,BD!$B$3:$B$5001,$A$122,BD!$O$3:$O$5001,"&lt;&gt;")=0,"",SUMIFS(BD!$O$3:$O$5001,BD!$A$3:$A$5001,L$3,BD!$B$3:$B$5001,$A$122)))</f>
        <v/>
      </c>
      <c r="M135" s="232" t="str">
        <f>IF(M$3="","",IF(COUNTIFS(BD!$A$3:$A$5001,M$3,BD!$B$3:$B$5001,$A$122,BD!$O$3:$O$5001,"&lt;&gt;")=0,"",SUMIFS(BD!$O$3:$O$5001,BD!$A$3:$A$5001,M$3,BD!$B$3:$B$5001,$A$122)))</f>
        <v/>
      </c>
      <c r="N135" s="232" t="str">
        <f>IF(N$3="","",IF(COUNTIFS(BD!$A$3:$A$5001,N$3,BD!$B$3:$B$5001,$A$122,BD!$O$3:$O$5001,"&lt;&gt;")=0,"",SUMIFS(BD!$O$3:$O$5001,BD!$A$3:$A$5001,N$3,BD!$B$3:$B$5001,$A$122)))</f>
        <v/>
      </c>
      <c r="O135" s="232" t="str">
        <f>IF(O$3="","",IF(COUNTIFS(BD!$A$3:$A$5001,O$3,BD!$B$3:$B$5001,$A$122,BD!$O$3:$O$5001,"&lt;&gt;")=0,"",SUMIFS(BD!$O$3:$O$5001,BD!$A$3:$A$5001,O$3,BD!$B$3:$B$5001,$A$122)))</f>
        <v/>
      </c>
      <c r="P135" s="232" t="str">
        <f>IF(P$3="","",IF(COUNTIFS(BD!$A$3:$A$5001,P$3,BD!$B$3:$B$5001,$A$122,BD!$O$3:$O$5001,"&lt;&gt;")=0,"",SUMIFS(BD!$O$3:$O$5001,BD!$A$3:$A$5001,P$3,BD!$B$3:$B$5001,$A$122)))</f>
        <v/>
      </c>
      <c r="Q135" s="232" t="str">
        <f>IF(Q$3="","",IF(COUNTIFS(BD!$A$3:$A$5001,Q$3,BD!$B$3:$B$5001,$A$122,BD!$O$3:$O$5001,"&lt;&gt;")=0,"",SUMIFS(BD!$O$3:$O$5001,BD!$A$3:$A$5001,Q$3,BD!$B$3:$B$5001,$A$122)))</f>
        <v/>
      </c>
      <c r="R135" s="232" t="str">
        <f>IF(R$3="","",IF(COUNTIFS(BD!$A$3:$A$5001,R$3,BD!$B$3:$B$5001,$A$122,BD!$O$3:$O$5001,"&lt;&gt;")=0,"",SUMIFS(BD!$O$3:$O$5001,BD!$A$3:$A$5001,R$3,BD!$B$3:$B$5001,$A$122)))</f>
        <v/>
      </c>
      <c r="S135" s="232" t="str">
        <f>IF(S$3="","",IF(COUNTIFS(BD!$A$3:$A$5001,S$3,BD!$B$3:$B$5001,$A$122,BD!$O$3:$O$5001,"&lt;&gt;")=0,"",SUMIFS(BD!$O$3:$O$5001,BD!$A$3:$A$5001,S$3,BD!$B$3:$B$5001,$A$122)))</f>
        <v/>
      </c>
      <c r="T135" s="232" t="str">
        <f>IF(T$3="","",IF(COUNTIFS(BD!$A$3:$A$5001,T$3,BD!$B$3:$B$5001,$A$122,BD!$O$3:$O$5001,"&lt;&gt;")=0,"",SUMIFS(BD!$O$3:$O$5001,BD!$A$3:$A$5001,T$3,BD!$B$3:$B$5001,$A$122)))</f>
        <v/>
      </c>
      <c r="U135" s="232" t="str">
        <f>IF(U$3="","",IF(COUNTIFS(BD!$A$3:$A$5001,U$3,BD!$B$3:$B$5001,$A$122,BD!$O$3:$O$5001,"&lt;&gt;")=0,"",SUMIFS(BD!$O$3:$O$5001,BD!$A$3:$A$5001,U$3,BD!$B$3:$B$5001,$A$122)))</f>
        <v/>
      </c>
      <c r="V135" s="232" t="str">
        <f>IF(V$3="","",IF(COUNTIFS(BD!$A$3:$A$5001,V$3,BD!$B$3:$B$5001,$A$122,BD!$O$3:$O$5001,"&lt;&gt;")=0,"",SUMIFS(BD!$O$3:$O$5001,BD!$A$3:$A$5001,V$3,BD!$B$3:$B$5001,$A$122)))</f>
        <v/>
      </c>
      <c r="W135" s="232" t="str">
        <f>IF(W$3="","",IF(COUNTIFS(BD!$A$3:$A$5001,W$3,BD!$B$3:$B$5001,$A$122,BD!$O$3:$O$5001,"&lt;&gt;")=0,"",SUMIFS(BD!$O$3:$O$5001,BD!$A$3:$A$5001,W$3,BD!$B$3:$B$5001,$A$122)))</f>
        <v/>
      </c>
      <c r="X135" s="232" t="str">
        <f>IF(X$3="","",IF(COUNTIFS(BD!$A$3:$A$5001,X$3,BD!$B$3:$B$5001,$A$122,BD!$O$3:$O$5001,"&lt;&gt;")=0,"",SUMIFS(BD!$O$3:$O$5001,BD!$A$3:$A$5001,X$3,BD!$B$3:$B$5001,$A$122)))</f>
        <v/>
      </c>
      <c r="Y135" s="232" t="str">
        <f>IF(Y$3="","",IF(COUNTIFS(BD!$A$3:$A$5001,Y$3,BD!$B$3:$B$5001,$A$122,BD!$O$3:$O$5001,"&lt;&gt;")=0,"",SUMIFS(BD!$O$3:$O$5001,BD!$A$3:$A$5001,Y$3,BD!$B$3:$B$5001,$A$122)))</f>
        <v/>
      </c>
      <c r="Z135" s="232" t="str">
        <f>IF(Z$3="","",IF(COUNTIFS(BD!$A$3:$A$5001,Z$3,BD!$B$3:$B$5001,$A$122,BD!$O$3:$O$5001,"&lt;&gt;")=0,"",SUMIFS(BD!$O$3:$O$5001,BD!$A$3:$A$5001,Z$3,BD!$B$3:$B$5001,$A$122)))</f>
        <v/>
      </c>
      <c r="AA135" s="232" t="str">
        <f>IF(AA$3="","",IF(COUNTIFS(BD!$A$3:$A$5001,AA$3,BD!$B$3:$B$5001,$A$122,BD!$O$3:$O$5001,"&lt;&gt;")=0,"",SUMIFS(BD!$O$3:$O$5001,BD!$A$3:$A$5001,AA$3,BD!$B$3:$B$5001,$A$122)))</f>
        <v/>
      </c>
      <c r="AB135" s="232" t="str">
        <f>IF(AB$3="","",IF(COUNTIFS(BD!$A$3:$A$5001,AB$3,BD!$B$3:$B$5001,$A$122,BD!$O$3:$O$5001,"&lt;&gt;")=0,"",SUMIFS(BD!$O$3:$O$5001,BD!$A$3:$A$5001,AB$3,BD!$B$3:$B$5001,$A$122)))</f>
        <v/>
      </c>
      <c r="AC135" s="232" t="str">
        <f>IF(AC$3="","",IF(COUNTIFS(BD!$A$3:$A$5001,AC$3,BD!$B$3:$B$5001,$A$122,BD!$O$3:$O$5001,"&lt;&gt;")=0,"",SUMIFS(BD!$O$3:$O$5001,BD!$A$3:$A$5001,AC$3,BD!$B$3:$B$5001,$A$122)))</f>
        <v/>
      </c>
      <c r="AD135" s="232" t="str">
        <f>IF(AD$3="","",IF(COUNTIFS(BD!$A$3:$A$5001,AD$3,BD!$B$3:$B$5001,$A$122,BD!$O$3:$O$5001,"&lt;&gt;")=0,"",SUMIFS(BD!$O$3:$O$5001,BD!$A$3:$A$5001,AD$3,BD!$B$3:$B$5001,$A$122)))</f>
        <v/>
      </c>
      <c r="AE135" s="232" t="str">
        <f>IF(AE$3="","",IF(COUNTIFS(BD!$A$3:$A$5001,AE$3,BD!$B$3:$B$5001,$A$122,BD!$O$3:$O$5001,"&lt;&gt;")=0,"",SUMIFS(BD!$O$3:$O$5001,BD!$A$3:$A$5001,AE$3,BD!$B$3:$B$5001,$A$122)))</f>
        <v/>
      </c>
      <c r="AF135" s="232" t="str">
        <f>IF(AF$3="","",IF(COUNTIFS(BD!$A$3:$A$5001,AF$3,BD!$B$3:$B$5001,$A$122,BD!$O$3:$O$5001,"&lt;&gt;")=0,"",SUMIFS(BD!$O$3:$O$5001,BD!$A$3:$A$5001,AF$3,BD!$B$3:$B$5001,$A$122)))</f>
        <v/>
      </c>
      <c r="AG135" s="232" t="str">
        <f>IF(AG$3="","",IF(COUNTIFS(BD!$A$3:$A$5001,AG$3,BD!$B$3:$B$5001,$A$122,BD!$O$3:$O$5001,"&lt;&gt;")=0,"",SUMIFS(BD!$O$3:$O$5001,BD!$A$3:$A$5001,AG$3,BD!$B$3:$B$5001,$A$122)))</f>
        <v/>
      </c>
      <c r="AH135" s="232" t="str">
        <f>IF(AH$3="","",IF(COUNTIFS(BD!$A$3:$A$5001,AH$3,BD!$B$3:$B$5001,$A$122,BD!$O$3:$O$5001,"&lt;&gt;")=0,"",SUMIFS(BD!$O$3:$O$5001,BD!$A$3:$A$5001,AH$3,BD!$B$3:$B$5001,$A$122)))</f>
        <v/>
      </c>
      <c r="AI135" s="232" t="str">
        <f>IF(AI$3="","",IF(COUNTIFS(BD!$A$3:$A$5001,AI$3,BD!$B$3:$B$5001,$A$122,BD!$O$3:$O$5001,"&lt;&gt;")=0,"",SUMIFS(BD!$O$3:$O$5001,BD!$A$3:$A$5001,AI$3,BD!$B$3:$B$5001,$A$122)))</f>
        <v/>
      </c>
      <c r="AJ135" s="233" t="str">
        <f>IF(AJ$3="","",IF(COUNTIFS(BD!$A$3:$A$5001,AJ$3,BD!$B$3:$B$5001,$A$122,BD!$O$3:$O$5001,"&lt;&gt;")=0,"",SUMIFS(BD!$O$3:$O$5001,BD!$A$3:$A$5001,AJ$3,BD!$B$3:$B$5001,$A$122)))</f>
        <v/>
      </c>
      <c r="AK135" s="234" t="str">
        <f>IF(COUNT(F135:AJ135)=0,"",SUM(F135:AJ135))</f>
        <v/>
      </c>
    </row>
    <row r="136" ht="15.75" customHeight="1" hidden="1">
      <c r="A136" s="254"/>
      <c r="B136" s="251"/>
      <c r="C136" s="228" t="inlineStr">
        <is>
          <t xml:space="preserve">Folga</t>
        </is>
      </c>
      <c r="D136" s="229" t="str">
        <f>IFERROR(1/(1/INDEX(BD!$Y$37:$AS$37,MATCH($A$122,BD!$Y$22:$AS$22,0))),"")</f>
        <v/>
      </c>
      <c r="E136" s="230"/>
      <c r="F136" s="231" t="str">
        <f>IF(F$3="","",IF(COUNTIFS(BD!$A$3:$A$5001,F$3,BD!$B$3:$B$5001,$A$122,BD!$P$3:$P$5001,"&lt;&gt;")=0,"",SUMIFS(BD!$P$3:$P$5001,BD!$A$3:$A$5001,F$3,BD!$B$3:$B$5001,$A$122)))</f>
        <v/>
      </c>
      <c r="G136" s="232" t="str">
        <f>IF(G$3="","",IF(COUNTIFS(BD!$A$3:$A$5001,G$3,BD!$B$3:$B$5001,$A$122,BD!$P$3:$P$5001,"&lt;&gt;")=0,"",SUMIFS(BD!$P$3:$P$5001,BD!$A$3:$A$5001,G$3,BD!$B$3:$B$5001,$A$122)))</f>
        <v/>
      </c>
      <c r="H136" s="232" t="str">
        <f>IF(H$3="","",IF(COUNTIFS(BD!$A$3:$A$5001,H$3,BD!$B$3:$B$5001,$A$122,BD!$P$3:$P$5001,"&lt;&gt;")=0,"",SUMIFS(BD!$P$3:$P$5001,BD!$A$3:$A$5001,H$3,BD!$B$3:$B$5001,$A$122)))</f>
        <v/>
      </c>
      <c r="I136" s="232" t="str">
        <f>IF(I$3="","",IF(COUNTIFS(BD!$A$3:$A$5001,I$3,BD!$B$3:$B$5001,$A$122,BD!$P$3:$P$5001,"&lt;&gt;")=0,"",SUMIFS(BD!$P$3:$P$5001,BD!$A$3:$A$5001,I$3,BD!$B$3:$B$5001,$A$122)))</f>
        <v/>
      </c>
      <c r="J136" s="232" t="str">
        <f>IF(J$3="","",IF(COUNTIFS(BD!$A$3:$A$5001,J$3,BD!$B$3:$B$5001,$A$122,BD!$P$3:$P$5001,"&lt;&gt;")=0,"",SUMIFS(BD!$P$3:$P$5001,BD!$A$3:$A$5001,J$3,BD!$B$3:$B$5001,$A$122)))</f>
        <v/>
      </c>
      <c r="K136" s="232" t="str">
        <f>IF(K$3="","",IF(COUNTIFS(BD!$A$3:$A$5001,K$3,BD!$B$3:$B$5001,$A$122,BD!$P$3:$P$5001,"&lt;&gt;")=0,"",SUMIFS(BD!$P$3:$P$5001,BD!$A$3:$A$5001,K$3,BD!$B$3:$B$5001,$A$122)))</f>
        <v/>
      </c>
      <c r="L136" s="232" t="str">
        <f>IF(L$3="","",IF(COUNTIFS(BD!$A$3:$A$5001,L$3,BD!$B$3:$B$5001,$A$122,BD!$P$3:$P$5001,"&lt;&gt;")=0,"",SUMIFS(BD!$P$3:$P$5001,BD!$A$3:$A$5001,L$3,BD!$B$3:$B$5001,$A$122)))</f>
        <v/>
      </c>
      <c r="M136" s="232" t="str">
        <f>IF(M$3="","",IF(COUNTIFS(BD!$A$3:$A$5001,M$3,BD!$B$3:$B$5001,$A$122,BD!$P$3:$P$5001,"&lt;&gt;")=0,"",SUMIFS(BD!$P$3:$P$5001,BD!$A$3:$A$5001,M$3,BD!$B$3:$B$5001,$A$122)))</f>
        <v/>
      </c>
      <c r="N136" s="232" t="str">
        <f>IF(N$3="","",IF(COUNTIFS(BD!$A$3:$A$5001,N$3,BD!$B$3:$B$5001,$A$122,BD!$P$3:$P$5001,"&lt;&gt;")=0,"",SUMIFS(BD!$P$3:$P$5001,BD!$A$3:$A$5001,N$3,BD!$B$3:$B$5001,$A$122)))</f>
        <v/>
      </c>
      <c r="O136" s="232" t="str">
        <f>IF(O$3="","",IF(COUNTIFS(BD!$A$3:$A$5001,O$3,BD!$B$3:$B$5001,$A$122,BD!$P$3:$P$5001,"&lt;&gt;")=0,"",SUMIFS(BD!$P$3:$P$5001,BD!$A$3:$A$5001,O$3,BD!$B$3:$B$5001,$A$122)))</f>
        <v/>
      </c>
      <c r="P136" s="232" t="str">
        <f>IF(P$3="","",IF(COUNTIFS(BD!$A$3:$A$5001,P$3,BD!$B$3:$B$5001,$A$122,BD!$P$3:$P$5001,"&lt;&gt;")=0,"",SUMIFS(BD!$P$3:$P$5001,BD!$A$3:$A$5001,P$3,BD!$B$3:$B$5001,$A$122)))</f>
        <v/>
      </c>
      <c r="Q136" s="232" t="str">
        <f>IF(Q$3="","",IF(COUNTIFS(BD!$A$3:$A$5001,Q$3,BD!$B$3:$B$5001,$A$122,BD!$P$3:$P$5001,"&lt;&gt;")=0,"",SUMIFS(BD!$P$3:$P$5001,BD!$A$3:$A$5001,Q$3,BD!$B$3:$B$5001,$A$122)))</f>
        <v/>
      </c>
      <c r="R136" s="232" t="str">
        <f>IF(R$3="","",IF(COUNTIFS(BD!$A$3:$A$5001,R$3,BD!$B$3:$B$5001,$A$122,BD!$P$3:$P$5001,"&lt;&gt;")=0,"",SUMIFS(BD!$P$3:$P$5001,BD!$A$3:$A$5001,R$3,BD!$B$3:$B$5001,$A$122)))</f>
        <v/>
      </c>
      <c r="S136" s="232" t="str">
        <f>IF(S$3="","",IF(COUNTIFS(BD!$A$3:$A$5001,S$3,BD!$B$3:$B$5001,$A$122,BD!$P$3:$P$5001,"&lt;&gt;")=0,"",SUMIFS(BD!$P$3:$P$5001,BD!$A$3:$A$5001,S$3,BD!$B$3:$B$5001,$A$122)))</f>
        <v/>
      </c>
      <c r="T136" s="232" t="str">
        <f>IF(T$3="","",IF(COUNTIFS(BD!$A$3:$A$5001,T$3,BD!$B$3:$B$5001,$A$122,BD!$P$3:$P$5001,"&lt;&gt;")=0,"",SUMIFS(BD!$P$3:$P$5001,BD!$A$3:$A$5001,T$3,BD!$B$3:$B$5001,$A$122)))</f>
        <v/>
      </c>
      <c r="U136" s="232" t="str">
        <f>IF(U$3="","",IF(COUNTIFS(BD!$A$3:$A$5001,U$3,BD!$B$3:$B$5001,$A$122,BD!$P$3:$P$5001,"&lt;&gt;")=0,"",SUMIFS(BD!$P$3:$P$5001,BD!$A$3:$A$5001,U$3,BD!$B$3:$B$5001,$A$122)))</f>
        <v/>
      </c>
      <c r="V136" s="232" t="str">
        <f>IF(V$3="","",IF(COUNTIFS(BD!$A$3:$A$5001,V$3,BD!$B$3:$B$5001,$A$122,BD!$P$3:$P$5001,"&lt;&gt;")=0,"",SUMIFS(BD!$P$3:$P$5001,BD!$A$3:$A$5001,V$3,BD!$B$3:$B$5001,$A$122)))</f>
        <v/>
      </c>
      <c r="W136" s="232" t="str">
        <f>IF(W$3="","",IF(COUNTIFS(BD!$A$3:$A$5001,W$3,BD!$B$3:$B$5001,$A$122,BD!$P$3:$P$5001,"&lt;&gt;")=0,"",SUMIFS(BD!$P$3:$P$5001,BD!$A$3:$A$5001,W$3,BD!$B$3:$B$5001,$A$122)))</f>
        <v/>
      </c>
      <c r="X136" s="232" t="str">
        <f>IF(X$3="","",IF(COUNTIFS(BD!$A$3:$A$5001,X$3,BD!$B$3:$B$5001,$A$122,BD!$P$3:$P$5001,"&lt;&gt;")=0,"",SUMIFS(BD!$P$3:$P$5001,BD!$A$3:$A$5001,X$3,BD!$B$3:$B$5001,$A$122)))</f>
        <v/>
      </c>
      <c r="Y136" s="232" t="str">
        <f>IF(Y$3="","",IF(COUNTIFS(BD!$A$3:$A$5001,Y$3,BD!$B$3:$B$5001,$A$122,BD!$P$3:$P$5001,"&lt;&gt;")=0,"",SUMIFS(BD!$P$3:$P$5001,BD!$A$3:$A$5001,Y$3,BD!$B$3:$B$5001,$A$122)))</f>
        <v/>
      </c>
      <c r="Z136" s="232" t="str">
        <f>IF(Z$3="","",IF(COUNTIFS(BD!$A$3:$A$5001,Z$3,BD!$B$3:$B$5001,$A$122,BD!$P$3:$P$5001,"&lt;&gt;")=0,"",SUMIFS(BD!$P$3:$P$5001,BD!$A$3:$A$5001,Z$3,BD!$B$3:$B$5001,$A$122)))</f>
        <v/>
      </c>
      <c r="AA136" s="232" t="str">
        <f>IF(AA$3="","",IF(COUNTIFS(BD!$A$3:$A$5001,AA$3,BD!$B$3:$B$5001,$A$122,BD!$P$3:$P$5001,"&lt;&gt;")=0,"",SUMIFS(BD!$P$3:$P$5001,BD!$A$3:$A$5001,AA$3,BD!$B$3:$B$5001,$A$122)))</f>
        <v/>
      </c>
      <c r="AB136" s="232" t="str">
        <f>IF(AB$3="","",IF(COUNTIFS(BD!$A$3:$A$5001,AB$3,BD!$B$3:$B$5001,$A$122,BD!$P$3:$P$5001,"&lt;&gt;")=0,"",SUMIFS(BD!$P$3:$P$5001,BD!$A$3:$A$5001,AB$3,BD!$B$3:$B$5001,$A$122)))</f>
        <v/>
      </c>
      <c r="AC136" s="232" t="str">
        <f>IF(AC$3="","",IF(COUNTIFS(BD!$A$3:$A$5001,AC$3,BD!$B$3:$B$5001,$A$122,BD!$P$3:$P$5001,"&lt;&gt;")=0,"",SUMIFS(BD!$P$3:$P$5001,BD!$A$3:$A$5001,AC$3,BD!$B$3:$B$5001,$A$122)))</f>
        <v/>
      </c>
      <c r="AD136" s="232" t="str">
        <f>IF(AD$3="","",IF(COUNTIFS(BD!$A$3:$A$5001,AD$3,BD!$B$3:$B$5001,$A$122,BD!$P$3:$P$5001,"&lt;&gt;")=0,"",SUMIFS(BD!$P$3:$P$5001,BD!$A$3:$A$5001,AD$3,BD!$B$3:$B$5001,$A$122)))</f>
        <v/>
      </c>
      <c r="AE136" s="232" t="str">
        <f>IF(AE$3="","",IF(COUNTIFS(BD!$A$3:$A$5001,AE$3,BD!$B$3:$B$5001,$A$122,BD!$P$3:$P$5001,"&lt;&gt;")=0,"",SUMIFS(BD!$P$3:$P$5001,BD!$A$3:$A$5001,AE$3,BD!$B$3:$B$5001,$A$122)))</f>
        <v/>
      </c>
      <c r="AF136" s="232" t="str">
        <f>IF(AF$3="","",IF(COUNTIFS(BD!$A$3:$A$5001,AF$3,BD!$B$3:$B$5001,$A$122,BD!$P$3:$P$5001,"&lt;&gt;")=0,"",SUMIFS(BD!$P$3:$P$5001,BD!$A$3:$A$5001,AF$3,BD!$B$3:$B$5001,$A$122)))</f>
        <v/>
      </c>
      <c r="AG136" s="232" t="str">
        <f>IF(AG$3="","",IF(COUNTIFS(BD!$A$3:$A$5001,AG$3,BD!$B$3:$B$5001,$A$122,BD!$P$3:$P$5001,"&lt;&gt;")=0,"",SUMIFS(BD!$P$3:$P$5001,BD!$A$3:$A$5001,AG$3,BD!$B$3:$B$5001,$A$122)))</f>
        <v/>
      </c>
      <c r="AH136" s="232" t="str">
        <f>IF(AH$3="","",IF(COUNTIFS(BD!$A$3:$A$5001,AH$3,BD!$B$3:$B$5001,$A$122,BD!$P$3:$P$5001,"&lt;&gt;")=0,"",SUMIFS(BD!$P$3:$P$5001,BD!$A$3:$A$5001,AH$3,BD!$B$3:$B$5001,$A$122)))</f>
        <v/>
      </c>
      <c r="AI136" s="232" t="str">
        <f>IF(AI$3="","",IF(COUNTIFS(BD!$A$3:$A$5001,AI$3,BD!$B$3:$B$5001,$A$122,BD!$P$3:$P$5001,"&lt;&gt;")=0,"",SUMIFS(BD!$P$3:$P$5001,BD!$A$3:$A$5001,AI$3,BD!$B$3:$B$5001,$A$122)))</f>
        <v/>
      </c>
      <c r="AJ136" s="233" t="str">
        <f>IF(AJ$3="","",IF(COUNTIFS(BD!$A$3:$A$5001,AJ$3,BD!$B$3:$B$5001,$A$122,BD!$P$3:$P$5001,"&lt;&gt;")=0,"",SUMIFS(BD!$P$3:$P$5001,BD!$A$3:$A$5001,AJ$3,BD!$B$3:$B$5001,$A$122)))</f>
        <v/>
      </c>
      <c r="AK136" s="234" t="str">
        <f>IF(COUNT(F136:AJ136)=0,"",SUM(F136:AJ136))</f>
        <v/>
      </c>
    </row>
    <row r="137" ht="15.75" customHeight="1" hidden="1">
      <c r="A137" s="254"/>
      <c r="B137" s="251"/>
      <c r="C137" s="228" t="inlineStr">
        <is>
          <t xml:space="preserve">Férias</t>
        </is>
      </c>
      <c r="D137" s="229" t="str">
        <f>IFERROR(1/(1/INDEX(BD!$Y$38:$AS$38,MATCH($A$122,BD!$Y$22:$AS$22,0))),"")</f>
        <v/>
      </c>
      <c r="E137" s="230"/>
      <c r="F137" s="231" t="str">
        <f>IF(F$3="","",IF(COUNTIFS(BD!$A$3:$A$5001,F$3,BD!$B$3:$B$5001,$A$122,BD!$Q$3:$Q$5001,"&lt;&gt;")=0,"",SUMIFS(BD!$Q$3:$Q$5001,BD!$A$3:$A$5001,F$3,BD!$B$3:$B$5001,$A$122)))</f>
        <v/>
      </c>
      <c r="G137" s="232" t="str">
        <f>IF(G$3="","",IF(COUNTIFS(BD!$A$3:$A$5001,G$3,BD!$B$3:$B$5001,$A$122,BD!$Q$3:$Q$5001,"&lt;&gt;")=0,"",SUMIFS(BD!$Q$3:$Q$5001,BD!$A$3:$A$5001,G$3,BD!$B$3:$B$5001,$A$122)))</f>
        <v/>
      </c>
      <c r="H137" s="232" t="str">
        <f>IF(H$3="","",IF(COUNTIFS(BD!$A$3:$A$5001,H$3,BD!$B$3:$B$5001,$A$122,BD!$Q$3:$Q$5001,"&lt;&gt;")=0,"",SUMIFS(BD!$Q$3:$Q$5001,BD!$A$3:$A$5001,H$3,BD!$B$3:$B$5001,$A$122)))</f>
        <v/>
      </c>
      <c r="I137" s="232" t="str">
        <f>IF(I$3="","",IF(COUNTIFS(BD!$A$3:$A$5001,I$3,BD!$B$3:$B$5001,$A$122,BD!$Q$3:$Q$5001,"&lt;&gt;")=0,"",SUMIFS(BD!$Q$3:$Q$5001,BD!$A$3:$A$5001,I$3,BD!$B$3:$B$5001,$A$122)))</f>
        <v/>
      </c>
      <c r="J137" s="232" t="str">
        <f>IF(J$3="","",IF(COUNTIFS(BD!$A$3:$A$5001,J$3,BD!$B$3:$B$5001,$A$122,BD!$Q$3:$Q$5001,"&lt;&gt;")=0,"",SUMIFS(BD!$Q$3:$Q$5001,BD!$A$3:$A$5001,J$3,BD!$B$3:$B$5001,$A$122)))</f>
        <v/>
      </c>
      <c r="K137" s="232" t="str">
        <f>IF(K$3="","",IF(COUNTIFS(BD!$A$3:$A$5001,K$3,BD!$B$3:$B$5001,$A$122,BD!$Q$3:$Q$5001,"&lt;&gt;")=0,"",SUMIFS(BD!$Q$3:$Q$5001,BD!$A$3:$A$5001,K$3,BD!$B$3:$B$5001,$A$122)))</f>
        <v/>
      </c>
      <c r="L137" s="232" t="str">
        <f>IF(L$3="","",IF(COUNTIFS(BD!$A$3:$A$5001,L$3,BD!$B$3:$B$5001,$A$122,BD!$Q$3:$Q$5001,"&lt;&gt;")=0,"",SUMIFS(BD!$Q$3:$Q$5001,BD!$A$3:$A$5001,L$3,BD!$B$3:$B$5001,$A$122)))</f>
        <v/>
      </c>
      <c r="M137" s="232" t="str">
        <f>IF(M$3="","",IF(COUNTIFS(BD!$A$3:$A$5001,M$3,BD!$B$3:$B$5001,$A$122,BD!$Q$3:$Q$5001,"&lt;&gt;")=0,"",SUMIFS(BD!$Q$3:$Q$5001,BD!$A$3:$A$5001,M$3,BD!$B$3:$B$5001,$A$122)))</f>
        <v/>
      </c>
      <c r="N137" s="232" t="str">
        <f>IF(N$3="","",IF(COUNTIFS(BD!$A$3:$A$5001,N$3,BD!$B$3:$B$5001,$A$122,BD!$Q$3:$Q$5001,"&lt;&gt;")=0,"",SUMIFS(BD!$Q$3:$Q$5001,BD!$A$3:$A$5001,N$3,BD!$B$3:$B$5001,$A$122)))</f>
        <v/>
      </c>
      <c r="O137" s="232" t="str">
        <f>IF(O$3="","",IF(COUNTIFS(BD!$A$3:$A$5001,O$3,BD!$B$3:$B$5001,$A$122,BD!$Q$3:$Q$5001,"&lt;&gt;")=0,"",SUMIFS(BD!$Q$3:$Q$5001,BD!$A$3:$A$5001,O$3,BD!$B$3:$B$5001,$A$122)))</f>
        <v/>
      </c>
      <c r="P137" s="232" t="str">
        <f>IF(P$3="","",IF(COUNTIFS(BD!$A$3:$A$5001,P$3,BD!$B$3:$B$5001,$A$122,BD!$Q$3:$Q$5001,"&lt;&gt;")=0,"",SUMIFS(BD!$Q$3:$Q$5001,BD!$A$3:$A$5001,P$3,BD!$B$3:$B$5001,$A$122)))</f>
        <v/>
      </c>
      <c r="Q137" s="232" t="str">
        <f>IF(Q$3="","",IF(COUNTIFS(BD!$A$3:$A$5001,Q$3,BD!$B$3:$B$5001,$A$122,BD!$Q$3:$Q$5001,"&lt;&gt;")=0,"",SUMIFS(BD!$Q$3:$Q$5001,BD!$A$3:$A$5001,Q$3,BD!$B$3:$B$5001,$A$122)))</f>
        <v/>
      </c>
      <c r="R137" s="232" t="str">
        <f>IF(R$3="","",IF(COUNTIFS(BD!$A$3:$A$5001,R$3,BD!$B$3:$B$5001,$A$122,BD!$Q$3:$Q$5001,"&lt;&gt;")=0,"",SUMIFS(BD!$Q$3:$Q$5001,BD!$A$3:$A$5001,R$3,BD!$B$3:$B$5001,$A$122)))</f>
        <v/>
      </c>
      <c r="S137" s="232" t="str">
        <f>IF(S$3="","",IF(COUNTIFS(BD!$A$3:$A$5001,S$3,BD!$B$3:$B$5001,$A$122,BD!$Q$3:$Q$5001,"&lt;&gt;")=0,"",SUMIFS(BD!$Q$3:$Q$5001,BD!$A$3:$A$5001,S$3,BD!$B$3:$B$5001,$A$122)))</f>
        <v/>
      </c>
      <c r="T137" s="232" t="str">
        <f>IF(T$3="","",IF(COUNTIFS(BD!$A$3:$A$5001,T$3,BD!$B$3:$B$5001,$A$122,BD!$Q$3:$Q$5001,"&lt;&gt;")=0,"",SUMIFS(BD!$Q$3:$Q$5001,BD!$A$3:$A$5001,T$3,BD!$B$3:$B$5001,$A$122)))</f>
        <v/>
      </c>
      <c r="U137" s="232" t="str">
        <f>IF(U$3="","",IF(COUNTIFS(BD!$A$3:$A$5001,U$3,BD!$B$3:$B$5001,$A$122,BD!$Q$3:$Q$5001,"&lt;&gt;")=0,"",SUMIFS(BD!$Q$3:$Q$5001,BD!$A$3:$A$5001,U$3,BD!$B$3:$B$5001,$A$122)))</f>
        <v/>
      </c>
      <c r="V137" s="232" t="str">
        <f>IF(V$3="","",IF(COUNTIFS(BD!$A$3:$A$5001,V$3,BD!$B$3:$B$5001,$A$122,BD!$Q$3:$Q$5001,"&lt;&gt;")=0,"",SUMIFS(BD!$Q$3:$Q$5001,BD!$A$3:$A$5001,V$3,BD!$B$3:$B$5001,$A$122)))</f>
        <v/>
      </c>
      <c r="W137" s="232" t="str">
        <f>IF(W$3="","",IF(COUNTIFS(BD!$A$3:$A$5001,W$3,BD!$B$3:$B$5001,$A$122,BD!$Q$3:$Q$5001,"&lt;&gt;")=0,"",SUMIFS(BD!$Q$3:$Q$5001,BD!$A$3:$A$5001,W$3,BD!$B$3:$B$5001,$A$122)))</f>
        <v/>
      </c>
      <c r="X137" s="232" t="str">
        <f>IF(X$3="","",IF(COUNTIFS(BD!$A$3:$A$5001,X$3,BD!$B$3:$B$5001,$A$122,BD!$Q$3:$Q$5001,"&lt;&gt;")=0,"",SUMIFS(BD!$Q$3:$Q$5001,BD!$A$3:$A$5001,X$3,BD!$B$3:$B$5001,$A$122)))</f>
        <v/>
      </c>
      <c r="Y137" s="232" t="str">
        <f>IF(Y$3="","",IF(COUNTIFS(BD!$A$3:$A$5001,Y$3,BD!$B$3:$B$5001,$A$122,BD!$Q$3:$Q$5001,"&lt;&gt;")=0,"",SUMIFS(BD!$Q$3:$Q$5001,BD!$A$3:$A$5001,Y$3,BD!$B$3:$B$5001,$A$122)))</f>
        <v/>
      </c>
      <c r="Z137" s="232" t="str">
        <f>IF(Z$3="","",IF(COUNTIFS(BD!$A$3:$A$5001,Z$3,BD!$B$3:$B$5001,$A$122,BD!$Q$3:$Q$5001,"&lt;&gt;")=0,"",SUMIFS(BD!$Q$3:$Q$5001,BD!$A$3:$A$5001,Z$3,BD!$B$3:$B$5001,$A$122)))</f>
        <v/>
      </c>
      <c r="AA137" s="232" t="str">
        <f>IF(AA$3="","",IF(COUNTIFS(BD!$A$3:$A$5001,AA$3,BD!$B$3:$B$5001,$A$122,BD!$Q$3:$Q$5001,"&lt;&gt;")=0,"",SUMIFS(BD!$Q$3:$Q$5001,BD!$A$3:$A$5001,AA$3,BD!$B$3:$B$5001,$A$122)))</f>
        <v/>
      </c>
      <c r="AB137" s="232" t="str">
        <f>IF(AB$3="","",IF(COUNTIFS(BD!$A$3:$A$5001,AB$3,BD!$B$3:$B$5001,$A$122,BD!$Q$3:$Q$5001,"&lt;&gt;")=0,"",SUMIFS(BD!$Q$3:$Q$5001,BD!$A$3:$A$5001,AB$3,BD!$B$3:$B$5001,$A$122)))</f>
        <v/>
      </c>
      <c r="AC137" s="232" t="str">
        <f>IF(AC$3="","",IF(COUNTIFS(BD!$A$3:$A$5001,AC$3,BD!$B$3:$B$5001,$A$122,BD!$Q$3:$Q$5001,"&lt;&gt;")=0,"",SUMIFS(BD!$Q$3:$Q$5001,BD!$A$3:$A$5001,AC$3,BD!$B$3:$B$5001,$A$122)))</f>
        <v/>
      </c>
      <c r="AD137" s="232" t="str">
        <f>IF(AD$3="","",IF(COUNTIFS(BD!$A$3:$A$5001,AD$3,BD!$B$3:$B$5001,$A$122,BD!$Q$3:$Q$5001,"&lt;&gt;")=0,"",SUMIFS(BD!$Q$3:$Q$5001,BD!$A$3:$A$5001,AD$3,BD!$B$3:$B$5001,$A$122)))</f>
        <v/>
      </c>
      <c r="AE137" s="232" t="str">
        <f>IF(AE$3="","",IF(COUNTIFS(BD!$A$3:$A$5001,AE$3,BD!$B$3:$B$5001,$A$122,BD!$Q$3:$Q$5001,"&lt;&gt;")=0,"",SUMIFS(BD!$Q$3:$Q$5001,BD!$A$3:$A$5001,AE$3,BD!$B$3:$B$5001,$A$122)))</f>
        <v/>
      </c>
      <c r="AF137" s="232" t="str">
        <f>IF(AF$3="","",IF(COUNTIFS(BD!$A$3:$A$5001,AF$3,BD!$B$3:$B$5001,$A$122,BD!$Q$3:$Q$5001,"&lt;&gt;")=0,"",SUMIFS(BD!$Q$3:$Q$5001,BD!$A$3:$A$5001,AF$3,BD!$B$3:$B$5001,$A$122)))</f>
        <v/>
      </c>
      <c r="AG137" s="232" t="str">
        <f>IF(AG$3="","",IF(COUNTIFS(BD!$A$3:$A$5001,AG$3,BD!$B$3:$B$5001,$A$122,BD!$Q$3:$Q$5001,"&lt;&gt;")=0,"",SUMIFS(BD!$Q$3:$Q$5001,BD!$A$3:$A$5001,AG$3,BD!$B$3:$B$5001,$A$122)))</f>
        <v/>
      </c>
      <c r="AH137" s="232" t="str">
        <f>IF(AH$3="","",IF(COUNTIFS(BD!$A$3:$A$5001,AH$3,BD!$B$3:$B$5001,$A$122,BD!$Q$3:$Q$5001,"&lt;&gt;")=0,"",SUMIFS(BD!$Q$3:$Q$5001,BD!$A$3:$A$5001,AH$3,BD!$B$3:$B$5001,$A$122)))</f>
        <v/>
      </c>
      <c r="AI137" s="232" t="str">
        <f>IF(AI$3="","",IF(COUNTIFS(BD!$A$3:$A$5001,AI$3,BD!$B$3:$B$5001,$A$122,BD!$Q$3:$Q$5001,"&lt;&gt;")=0,"",SUMIFS(BD!$Q$3:$Q$5001,BD!$A$3:$A$5001,AI$3,BD!$B$3:$B$5001,$A$122)))</f>
        <v/>
      </c>
      <c r="AJ137" s="233" t="str">
        <f>IF(AJ$3="","",IF(COUNTIFS(BD!$A$3:$A$5001,AJ$3,BD!$B$3:$B$5001,$A$122,BD!$Q$3:$Q$5001,"&lt;&gt;")=0,"",SUMIFS(BD!$Q$3:$Q$5001,BD!$A$3:$A$5001,AJ$3,BD!$B$3:$B$5001,$A$122)))</f>
        <v/>
      </c>
      <c r="AK137" s="234" t="str">
        <f>IF(COUNT(F137:AJ137)=0,"",SUM(F137:AJ137))</f>
        <v/>
      </c>
    </row>
    <row r="138" ht="15.75" customHeight="1" hidden="1">
      <c r="A138" s="254"/>
      <c r="B138" s="251"/>
      <c r="C138" s="228" t="inlineStr">
        <is>
          <t xml:space="preserve">Desligamento</t>
        </is>
      </c>
      <c r="D138" s="229" t="str">
        <f>IFERROR(1/(1/INDEX(BD!$Y$39:$AS$39,MATCH($A$122,BD!$Y$22:$AS$22,0))),"")</f>
        <v/>
      </c>
      <c r="E138" s="230"/>
      <c r="F138" s="231" t="str">
        <f>IF(F$3="","",IF(COUNTIFS(BD!$A$3:$A$5001,F$3,BD!$B$3:$B$5001,$A$122,BD!$R$3:$R$5001,"&lt;&gt;")=0,"",SUMIFS(BD!$R$3:$R$5001,BD!$A$3:$A$5001,F$3,BD!$B$3:$B$5001,$A$122)))</f>
        <v/>
      </c>
      <c r="G138" s="232" t="str">
        <f>IF(G$3="","",IF(COUNTIFS(BD!$A$3:$A$5001,G$3,BD!$B$3:$B$5001,$A$122,BD!$R$3:$R$5001,"&lt;&gt;")=0,"",SUMIFS(BD!$R$3:$R$5001,BD!$A$3:$A$5001,G$3,BD!$B$3:$B$5001,$A$122)))</f>
        <v/>
      </c>
      <c r="H138" s="232" t="str">
        <f>IF(H$3="","",IF(COUNTIFS(BD!$A$3:$A$5001,H$3,BD!$B$3:$B$5001,$A$122,BD!$R$3:$R$5001,"&lt;&gt;")=0,"",SUMIFS(BD!$R$3:$R$5001,BD!$A$3:$A$5001,H$3,BD!$B$3:$B$5001,$A$122)))</f>
        <v/>
      </c>
      <c r="I138" s="232" t="str">
        <f>IF(I$3="","",IF(COUNTIFS(BD!$A$3:$A$5001,I$3,BD!$B$3:$B$5001,$A$122,BD!$R$3:$R$5001,"&lt;&gt;")=0,"",SUMIFS(BD!$R$3:$R$5001,BD!$A$3:$A$5001,I$3,BD!$B$3:$B$5001,$A$122)))</f>
        <v/>
      </c>
      <c r="J138" s="232" t="str">
        <f>IF(J$3="","",IF(COUNTIFS(BD!$A$3:$A$5001,J$3,BD!$B$3:$B$5001,$A$122,BD!$R$3:$R$5001,"&lt;&gt;")=0,"",SUMIFS(BD!$R$3:$R$5001,BD!$A$3:$A$5001,J$3,BD!$B$3:$B$5001,$A$122)))</f>
        <v/>
      </c>
      <c r="K138" s="232" t="str">
        <f>IF(K$3="","",IF(COUNTIFS(BD!$A$3:$A$5001,K$3,BD!$B$3:$B$5001,$A$122,BD!$R$3:$R$5001,"&lt;&gt;")=0,"",SUMIFS(BD!$R$3:$R$5001,BD!$A$3:$A$5001,K$3,BD!$B$3:$B$5001,$A$122)))</f>
        <v/>
      </c>
      <c r="L138" s="232" t="str">
        <f>IF(L$3="","",IF(COUNTIFS(BD!$A$3:$A$5001,L$3,BD!$B$3:$B$5001,$A$122,BD!$R$3:$R$5001,"&lt;&gt;")=0,"",SUMIFS(BD!$R$3:$R$5001,BD!$A$3:$A$5001,L$3,BD!$B$3:$B$5001,$A$122)))</f>
        <v/>
      </c>
      <c r="M138" s="232" t="str">
        <f>IF(M$3="","",IF(COUNTIFS(BD!$A$3:$A$5001,M$3,BD!$B$3:$B$5001,$A$122,BD!$R$3:$R$5001,"&lt;&gt;")=0,"",SUMIFS(BD!$R$3:$R$5001,BD!$A$3:$A$5001,M$3,BD!$B$3:$B$5001,$A$122)))</f>
        <v/>
      </c>
      <c r="N138" s="232" t="str">
        <f>IF(N$3="","",IF(COUNTIFS(BD!$A$3:$A$5001,N$3,BD!$B$3:$B$5001,$A$122,BD!$R$3:$R$5001,"&lt;&gt;")=0,"",SUMIFS(BD!$R$3:$R$5001,BD!$A$3:$A$5001,N$3,BD!$B$3:$B$5001,$A$122)))</f>
        <v/>
      </c>
      <c r="O138" s="232" t="str">
        <f>IF(O$3="","",IF(COUNTIFS(BD!$A$3:$A$5001,O$3,BD!$B$3:$B$5001,$A$122,BD!$R$3:$R$5001,"&lt;&gt;")=0,"",SUMIFS(BD!$R$3:$R$5001,BD!$A$3:$A$5001,O$3,BD!$B$3:$B$5001,$A$122)))</f>
        <v/>
      </c>
      <c r="P138" s="232" t="str">
        <f>IF(P$3="","",IF(COUNTIFS(BD!$A$3:$A$5001,P$3,BD!$B$3:$B$5001,$A$122,BD!$R$3:$R$5001,"&lt;&gt;")=0,"",SUMIFS(BD!$R$3:$R$5001,BD!$A$3:$A$5001,P$3,BD!$B$3:$B$5001,$A$122)))</f>
        <v/>
      </c>
      <c r="Q138" s="232" t="str">
        <f>IF(Q$3="","",IF(COUNTIFS(BD!$A$3:$A$5001,Q$3,BD!$B$3:$B$5001,$A$122,BD!$R$3:$R$5001,"&lt;&gt;")=0,"",SUMIFS(BD!$R$3:$R$5001,BD!$A$3:$A$5001,Q$3,BD!$B$3:$B$5001,$A$122)))</f>
        <v/>
      </c>
      <c r="R138" s="232" t="str">
        <f>IF(R$3="","",IF(COUNTIFS(BD!$A$3:$A$5001,R$3,BD!$B$3:$B$5001,$A$122,BD!$R$3:$R$5001,"&lt;&gt;")=0,"",SUMIFS(BD!$R$3:$R$5001,BD!$A$3:$A$5001,R$3,BD!$B$3:$B$5001,$A$122)))</f>
        <v/>
      </c>
      <c r="S138" s="232" t="str">
        <f>IF(S$3="","",IF(COUNTIFS(BD!$A$3:$A$5001,S$3,BD!$B$3:$B$5001,$A$122,BD!$R$3:$R$5001,"&lt;&gt;")=0,"",SUMIFS(BD!$R$3:$R$5001,BD!$A$3:$A$5001,S$3,BD!$B$3:$B$5001,$A$122)))</f>
        <v/>
      </c>
      <c r="T138" s="232" t="str">
        <f>IF(T$3="","",IF(COUNTIFS(BD!$A$3:$A$5001,T$3,BD!$B$3:$B$5001,$A$122,BD!$R$3:$R$5001,"&lt;&gt;")=0,"",SUMIFS(BD!$R$3:$R$5001,BD!$A$3:$A$5001,T$3,BD!$B$3:$B$5001,$A$122)))</f>
        <v/>
      </c>
      <c r="U138" s="232" t="str">
        <f>IF(U$3="","",IF(COUNTIFS(BD!$A$3:$A$5001,U$3,BD!$B$3:$B$5001,$A$122,BD!$R$3:$R$5001,"&lt;&gt;")=0,"",SUMIFS(BD!$R$3:$R$5001,BD!$A$3:$A$5001,U$3,BD!$B$3:$B$5001,$A$122)))</f>
        <v/>
      </c>
      <c r="V138" s="232" t="str">
        <f>IF(V$3="","",IF(COUNTIFS(BD!$A$3:$A$5001,V$3,BD!$B$3:$B$5001,$A$122,BD!$R$3:$R$5001,"&lt;&gt;")=0,"",SUMIFS(BD!$R$3:$R$5001,BD!$A$3:$A$5001,V$3,BD!$B$3:$B$5001,$A$122)))</f>
        <v/>
      </c>
      <c r="W138" s="232" t="str">
        <f>IF(W$3="","",IF(COUNTIFS(BD!$A$3:$A$5001,W$3,BD!$B$3:$B$5001,$A$122,BD!$R$3:$R$5001,"&lt;&gt;")=0,"",SUMIFS(BD!$R$3:$R$5001,BD!$A$3:$A$5001,W$3,BD!$B$3:$B$5001,$A$122)))</f>
        <v/>
      </c>
      <c r="X138" s="232" t="str">
        <f>IF(X$3="","",IF(COUNTIFS(BD!$A$3:$A$5001,X$3,BD!$B$3:$B$5001,$A$122,BD!$R$3:$R$5001,"&lt;&gt;")=0,"",SUMIFS(BD!$R$3:$R$5001,BD!$A$3:$A$5001,X$3,BD!$B$3:$B$5001,$A$122)))</f>
        <v/>
      </c>
      <c r="Y138" s="232" t="str">
        <f>IF(Y$3="","",IF(COUNTIFS(BD!$A$3:$A$5001,Y$3,BD!$B$3:$B$5001,$A$122,BD!$R$3:$R$5001,"&lt;&gt;")=0,"",SUMIFS(BD!$R$3:$R$5001,BD!$A$3:$A$5001,Y$3,BD!$B$3:$B$5001,$A$122)))</f>
        <v/>
      </c>
      <c r="Z138" s="232" t="str">
        <f>IF(Z$3="","",IF(COUNTIFS(BD!$A$3:$A$5001,Z$3,BD!$B$3:$B$5001,$A$122,BD!$R$3:$R$5001,"&lt;&gt;")=0,"",SUMIFS(BD!$R$3:$R$5001,BD!$A$3:$A$5001,Z$3,BD!$B$3:$B$5001,$A$122)))</f>
        <v/>
      </c>
      <c r="AA138" s="232" t="str">
        <f>IF(AA$3="","",IF(COUNTIFS(BD!$A$3:$A$5001,AA$3,BD!$B$3:$B$5001,$A$122,BD!$R$3:$R$5001,"&lt;&gt;")=0,"",SUMIFS(BD!$R$3:$R$5001,BD!$A$3:$A$5001,AA$3,BD!$B$3:$B$5001,$A$122)))</f>
        <v/>
      </c>
      <c r="AB138" s="232" t="str">
        <f>IF(AB$3="","",IF(COUNTIFS(BD!$A$3:$A$5001,AB$3,BD!$B$3:$B$5001,$A$122,BD!$R$3:$R$5001,"&lt;&gt;")=0,"",SUMIFS(BD!$R$3:$R$5001,BD!$A$3:$A$5001,AB$3,BD!$B$3:$B$5001,$A$122)))</f>
        <v/>
      </c>
      <c r="AC138" s="232" t="str">
        <f>IF(AC$3="","",IF(COUNTIFS(BD!$A$3:$A$5001,AC$3,BD!$B$3:$B$5001,$A$122,BD!$R$3:$R$5001,"&lt;&gt;")=0,"",SUMIFS(BD!$R$3:$R$5001,BD!$A$3:$A$5001,AC$3,BD!$B$3:$B$5001,$A$122)))</f>
        <v/>
      </c>
      <c r="AD138" s="232" t="str">
        <f>IF(AD$3="","",IF(COUNTIFS(BD!$A$3:$A$5001,AD$3,BD!$B$3:$B$5001,$A$122,BD!$R$3:$R$5001,"&lt;&gt;")=0,"",SUMIFS(BD!$R$3:$R$5001,BD!$A$3:$A$5001,AD$3,BD!$B$3:$B$5001,$A$122)))</f>
        <v/>
      </c>
      <c r="AE138" s="232" t="str">
        <f>IF(AE$3="","",IF(COUNTIFS(BD!$A$3:$A$5001,AE$3,BD!$B$3:$B$5001,$A$122,BD!$R$3:$R$5001,"&lt;&gt;")=0,"",SUMIFS(BD!$R$3:$R$5001,BD!$A$3:$A$5001,AE$3,BD!$B$3:$B$5001,$A$122)))</f>
        <v/>
      </c>
      <c r="AF138" s="232" t="str">
        <f>IF(AF$3="","",IF(COUNTIFS(BD!$A$3:$A$5001,AF$3,BD!$B$3:$B$5001,$A$122,BD!$R$3:$R$5001,"&lt;&gt;")=0,"",SUMIFS(BD!$R$3:$R$5001,BD!$A$3:$A$5001,AF$3,BD!$B$3:$B$5001,$A$122)))</f>
        <v/>
      </c>
      <c r="AG138" s="232" t="str">
        <f>IF(AG$3="","",IF(COUNTIFS(BD!$A$3:$A$5001,AG$3,BD!$B$3:$B$5001,$A$122,BD!$R$3:$R$5001,"&lt;&gt;")=0,"",SUMIFS(BD!$R$3:$R$5001,BD!$A$3:$A$5001,AG$3,BD!$B$3:$B$5001,$A$122)))</f>
        <v/>
      </c>
      <c r="AH138" s="232" t="str">
        <f>IF(AH$3="","",IF(COUNTIFS(BD!$A$3:$A$5001,AH$3,BD!$B$3:$B$5001,$A$122,BD!$R$3:$R$5001,"&lt;&gt;")=0,"",SUMIFS(BD!$R$3:$R$5001,BD!$A$3:$A$5001,AH$3,BD!$B$3:$B$5001,$A$122)))</f>
        <v/>
      </c>
      <c r="AI138" s="232" t="str">
        <f>IF(AI$3="","",IF(COUNTIFS(BD!$A$3:$A$5001,AI$3,BD!$B$3:$B$5001,$A$122,BD!$R$3:$R$5001,"&lt;&gt;")=0,"",SUMIFS(BD!$R$3:$R$5001,BD!$A$3:$A$5001,AI$3,BD!$B$3:$B$5001,$A$122)))</f>
        <v/>
      </c>
      <c r="AJ138" s="233" t="str">
        <f>IF(AJ$3="","",IF(COUNTIFS(BD!$A$3:$A$5001,AJ$3,BD!$B$3:$B$5001,$A$122,BD!$R$3:$R$5001,"&lt;&gt;")=0,"",SUMIFS(BD!$R$3:$R$5001,BD!$A$3:$A$5001,AJ$3,BD!$B$3:$B$5001,$A$122)))</f>
        <v/>
      </c>
      <c r="AK138" s="234" t="str">
        <f>IF(COUNT(F138:AJ138)=0,"",SUM(F138:AJ138))</f>
        <v/>
      </c>
    </row>
    <row r="139" ht="15.75" customHeight="1" hidden="1">
      <c r="A139" s="254"/>
      <c r="B139" s="251"/>
      <c r="C139" s="228" t="inlineStr">
        <is>
          <t xml:space="preserve">Desvios Comportamentais</t>
        </is>
      </c>
      <c r="D139" s="229" t="str">
        <f>IFERROR(1/(1/INDEX(BD!$Y$40:$AS$40,MATCH($A$122,BD!$Y$22:$AS$22,0))),"")</f>
        <v/>
      </c>
      <c r="E139" s="230"/>
      <c r="F139" s="231" t="str">
        <f>IF(F$3="","",IF(COUNTIFS(BD!$A$3:$A$5001,F$3,BD!$B$3:$B$5001,$A$122,BD!$S$3:$S$5001,"&lt;&gt;")=0,"",SUMIFS(BD!$S$3:$S$5001,BD!$A$3:$A$5001,F$3,BD!$B$3:$B$5001,$A$122)))</f>
        <v/>
      </c>
      <c r="G139" s="232" t="str">
        <f>IF(G$3="","",IF(COUNTIFS(BD!$A$3:$A$5001,G$3,BD!$B$3:$B$5001,$A$122,BD!$S$3:$S$5001,"&lt;&gt;")=0,"",SUMIFS(BD!$S$3:$S$5001,BD!$A$3:$A$5001,G$3,BD!$B$3:$B$5001,$A$122)))</f>
        <v/>
      </c>
      <c r="H139" s="232" t="str">
        <f>IF(H$3="","",IF(COUNTIFS(BD!$A$3:$A$5001,H$3,BD!$B$3:$B$5001,$A$122,BD!$S$3:$S$5001,"&lt;&gt;")=0,"",SUMIFS(BD!$S$3:$S$5001,BD!$A$3:$A$5001,H$3,BD!$B$3:$B$5001,$A$122)))</f>
        <v/>
      </c>
      <c r="I139" s="232" t="str">
        <f>IF(I$3="","",IF(COUNTIFS(BD!$A$3:$A$5001,I$3,BD!$B$3:$B$5001,$A$122,BD!$S$3:$S$5001,"&lt;&gt;")=0,"",SUMIFS(BD!$S$3:$S$5001,BD!$A$3:$A$5001,I$3,BD!$B$3:$B$5001,$A$122)))</f>
        <v/>
      </c>
      <c r="J139" s="232" t="str">
        <f>IF(J$3="","",IF(COUNTIFS(BD!$A$3:$A$5001,J$3,BD!$B$3:$B$5001,$A$122,BD!$S$3:$S$5001,"&lt;&gt;")=0,"",SUMIFS(BD!$S$3:$S$5001,BD!$A$3:$A$5001,J$3,BD!$B$3:$B$5001,$A$122)))</f>
        <v/>
      </c>
      <c r="K139" s="232" t="str">
        <f>IF(K$3="","",IF(COUNTIFS(BD!$A$3:$A$5001,K$3,BD!$B$3:$B$5001,$A$122,BD!$S$3:$S$5001,"&lt;&gt;")=0,"",SUMIFS(BD!$S$3:$S$5001,BD!$A$3:$A$5001,K$3,BD!$B$3:$B$5001,$A$122)))</f>
        <v/>
      </c>
      <c r="L139" s="232" t="str">
        <f>IF(L$3="","",IF(COUNTIFS(BD!$A$3:$A$5001,L$3,BD!$B$3:$B$5001,$A$122,BD!$S$3:$S$5001,"&lt;&gt;")=0,"",SUMIFS(BD!$S$3:$S$5001,BD!$A$3:$A$5001,L$3,BD!$B$3:$B$5001,$A$122)))</f>
        <v/>
      </c>
      <c r="M139" s="232" t="str">
        <f>IF(M$3="","",IF(COUNTIFS(BD!$A$3:$A$5001,M$3,BD!$B$3:$B$5001,$A$122,BD!$S$3:$S$5001,"&lt;&gt;")=0,"",SUMIFS(BD!$S$3:$S$5001,BD!$A$3:$A$5001,M$3,BD!$B$3:$B$5001,$A$122)))</f>
        <v/>
      </c>
      <c r="N139" s="232" t="str">
        <f>IF(N$3="","",IF(COUNTIFS(BD!$A$3:$A$5001,N$3,BD!$B$3:$B$5001,$A$122,BD!$S$3:$S$5001,"&lt;&gt;")=0,"",SUMIFS(BD!$S$3:$S$5001,BD!$A$3:$A$5001,N$3,BD!$B$3:$B$5001,$A$122)))</f>
        <v/>
      </c>
      <c r="O139" s="232" t="str">
        <f>IF(O$3="","",IF(COUNTIFS(BD!$A$3:$A$5001,O$3,BD!$B$3:$B$5001,$A$122,BD!$S$3:$S$5001,"&lt;&gt;")=0,"",SUMIFS(BD!$S$3:$S$5001,BD!$A$3:$A$5001,O$3,BD!$B$3:$B$5001,$A$122)))</f>
        <v/>
      </c>
      <c r="P139" s="232" t="str">
        <f>IF(P$3="","",IF(COUNTIFS(BD!$A$3:$A$5001,P$3,BD!$B$3:$B$5001,$A$122,BD!$S$3:$S$5001,"&lt;&gt;")=0,"",SUMIFS(BD!$S$3:$S$5001,BD!$A$3:$A$5001,P$3,BD!$B$3:$B$5001,$A$122)))</f>
        <v/>
      </c>
      <c r="Q139" s="232" t="str">
        <f>IF(Q$3="","",IF(COUNTIFS(BD!$A$3:$A$5001,Q$3,BD!$B$3:$B$5001,$A$122,BD!$S$3:$S$5001,"&lt;&gt;")=0,"",SUMIFS(BD!$S$3:$S$5001,BD!$A$3:$A$5001,Q$3,BD!$B$3:$B$5001,$A$122)))</f>
        <v/>
      </c>
      <c r="R139" s="232" t="str">
        <f>IF(R$3="","",IF(COUNTIFS(BD!$A$3:$A$5001,R$3,BD!$B$3:$B$5001,$A$122,BD!$S$3:$S$5001,"&lt;&gt;")=0,"",SUMIFS(BD!$S$3:$S$5001,BD!$A$3:$A$5001,R$3,BD!$B$3:$B$5001,$A$122)))</f>
        <v/>
      </c>
      <c r="S139" s="232" t="str">
        <f>IF(S$3="","",IF(COUNTIFS(BD!$A$3:$A$5001,S$3,BD!$B$3:$B$5001,$A$122,BD!$S$3:$S$5001,"&lt;&gt;")=0,"",SUMIFS(BD!$S$3:$S$5001,BD!$A$3:$A$5001,S$3,BD!$B$3:$B$5001,$A$122)))</f>
        <v/>
      </c>
      <c r="T139" s="232" t="str">
        <f>IF(T$3="","",IF(COUNTIFS(BD!$A$3:$A$5001,T$3,BD!$B$3:$B$5001,$A$122,BD!$S$3:$S$5001,"&lt;&gt;")=0,"",SUMIFS(BD!$S$3:$S$5001,BD!$A$3:$A$5001,T$3,BD!$B$3:$B$5001,$A$122)))</f>
        <v/>
      </c>
      <c r="U139" s="232" t="str">
        <f>IF(U$3="","",IF(COUNTIFS(BD!$A$3:$A$5001,U$3,BD!$B$3:$B$5001,$A$122,BD!$S$3:$S$5001,"&lt;&gt;")=0,"",SUMIFS(BD!$S$3:$S$5001,BD!$A$3:$A$5001,U$3,BD!$B$3:$B$5001,$A$122)))</f>
        <v/>
      </c>
      <c r="V139" s="232" t="str">
        <f>IF(V$3="","",IF(COUNTIFS(BD!$A$3:$A$5001,V$3,BD!$B$3:$B$5001,$A$122,BD!$S$3:$S$5001,"&lt;&gt;")=0,"",SUMIFS(BD!$S$3:$S$5001,BD!$A$3:$A$5001,V$3,BD!$B$3:$B$5001,$A$122)))</f>
        <v/>
      </c>
      <c r="W139" s="232" t="str">
        <f>IF(W$3="","",IF(COUNTIFS(BD!$A$3:$A$5001,W$3,BD!$B$3:$B$5001,$A$122,BD!$S$3:$S$5001,"&lt;&gt;")=0,"",SUMIFS(BD!$S$3:$S$5001,BD!$A$3:$A$5001,W$3,BD!$B$3:$B$5001,$A$122)))</f>
        <v/>
      </c>
      <c r="X139" s="232" t="str">
        <f>IF(X$3="","",IF(COUNTIFS(BD!$A$3:$A$5001,X$3,BD!$B$3:$B$5001,$A$122,BD!$S$3:$S$5001,"&lt;&gt;")=0,"",SUMIFS(BD!$S$3:$S$5001,BD!$A$3:$A$5001,X$3,BD!$B$3:$B$5001,$A$122)))</f>
        <v/>
      </c>
      <c r="Y139" s="232" t="str">
        <f>IF(Y$3="","",IF(COUNTIFS(BD!$A$3:$A$5001,Y$3,BD!$B$3:$B$5001,$A$122,BD!$S$3:$S$5001,"&lt;&gt;")=0,"",SUMIFS(BD!$S$3:$S$5001,BD!$A$3:$A$5001,Y$3,BD!$B$3:$B$5001,$A$122)))</f>
        <v/>
      </c>
      <c r="Z139" s="232" t="str">
        <f>IF(Z$3="","",IF(COUNTIFS(BD!$A$3:$A$5001,Z$3,BD!$B$3:$B$5001,$A$122,BD!$S$3:$S$5001,"&lt;&gt;")=0,"",SUMIFS(BD!$S$3:$S$5001,BD!$A$3:$A$5001,Z$3,BD!$B$3:$B$5001,$A$122)))</f>
        <v/>
      </c>
      <c r="AA139" s="232" t="str">
        <f>IF(AA$3="","",IF(COUNTIFS(BD!$A$3:$A$5001,AA$3,BD!$B$3:$B$5001,$A$122,BD!$S$3:$S$5001,"&lt;&gt;")=0,"",SUMIFS(BD!$S$3:$S$5001,BD!$A$3:$A$5001,AA$3,BD!$B$3:$B$5001,$A$122)))</f>
        <v/>
      </c>
      <c r="AB139" s="232" t="str">
        <f>IF(AB$3="","",IF(COUNTIFS(BD!$A$3:$A$5001,AB$3,BD!$B$3:$B$5001,$A$122,BD!$S$3:$S$5001,"&lt;&gt;")=0,"",SUMIFS(BD!$S$3:$S$5001,BD!$A$3:$A$5001,AB$3,BD!$B$3:$B$5001,$A$122)))</f>
        <v/>
      </c>
      <c r="AC139" s="232" t="str">
        <f>IF(AC$3="","",IF(COUNTIFS(BD!$A$3:$A$5001,AC$3,BD!$B$3:$B$5001,$A$122,BD!$S$3:$S$5001,"&lt;&gt;")=0,"",SUMIFS(BD!$S$3:$S$5001,BD!$A$3:$A$5001,AC$3,BD!$B$3:$B$5001,$A$122)))</f>
        <v/>
      </c>
      <c r="AD139" s="232" t="str">
        <f>IF(AD$3="","",IF(COUNTIFS(BD!$A$3:$A$5001,AD$3,BD!$B$3:$B$5001,$A$122,BD!$S$3:$S$5001,"&lt;&gt;")=0,"",SUMIFS(BD!$S$3:$S$5001,BD!$A$3:$A$5001,AD$3,BD!$B$3:$B$5001,$A$122)))</f>
        <v/>
      </c>
      <c r="AE139" s="232" t="str">
        <f>IF(AE$3="","",IF(COUNTIFS(BD!$A$3:$A$5001,AE$3,BD!$B$3:$B$5001,$A$122,BD!$S$3:$S$5001,"&lt;&gt;")=0,"",SUMIFS(BD!$S$3:$S$5001,BD!$A$3:$A$5001,AE$3,BD!$B$3:$B$5001,$A$122)))</f>
        <v/>
      </c>
      <c r="AF139" s="232" t="str">
        <f>IF(AF$3="","",IF(COUNTIFS(BD!$A$3:$A$5001,AF$3,BD!$B$3:$B$5001,$A$122,BD!$S$3:$S$5001,"&lt;&gt;")=0,"",SUMIFS(BD!$S$3:$S$5001,BD!$A$3:$A$5001,AF$3,BD!$B$3:$B$5001,$A$122)))</f>
        <v/>
      </c>
      <c r="AG139" s="232" t="str">
        <f>IF(AG$3="","",IF(COUNTIFS(BD!$A$3:$A$5001,AG$3,BD!$B$3:$B$5001,$A$122,BD!$S$3:$S$5001,"&lt;&gt;")=0,"",SUMIFS(BD!$S$3:$S$5001,BD!$A$3:$A$5001,AG$3,BD!$B$3:$B$5001,$A$122)))</f>
        <v/>
      </c>
      <c r="AH139" s="232" t="str">
        <f>IF(AH$3="","",IF(COUNTIFS(BD!$A$3:$A$5001,AH$3,BD!$B$3:$B$5001,$A$122,BD!$S$3:$S$5001,"&lt;&gt;")=0,"",SUMIFS(BD!$S$3:$S$5001,BD!$A$3:$A$5001,AH$3,BD!$B$3:$B$5001,$A$122)))</f>
        <v/>
      </c>
      <c r="AI139" s="232" t="str">
        <f>IF(AI$3="","",IF(COUNTIFS(BD!$A$3:$A$5001,AI$3,BD!$B$3:$B$5001,$A$122,BD!$S$3:$S$5001,"&lt;&gt;")=0,"",SUMIFS(BD!$S$3:$S$5001,BD!$A$3:$A$5001,AI$3,BD!$B$3:$B$5001,$A$122)))</f>
        <v/>
      </c>
      <c r="AJ139" s="233" t="str">
        <f>IF(AJ$3="","",IF(COUNTIFS(BD!$A$3:$A$5001,AJ$3,BD!$B$3:$B$5001,$A$122,BD!$S$3:$S$5001,"&lt;&gt;")=0,"",SUMIFS(BD!$S$3:$S$5001,BD!$A$3:$A$5001,AJ$3,BD!$B$3:$B$5001,$A$122)))</f>
        <v/>
      </c>
      <c r="AK139" s="234" t="str">
        <f>IF(COUNT(F139:AJ139)=0,"",SUM(F139:AJ139))</f>
        <v/>
      </c>
    </row>
    <row r="140" ht="15.75" customHeight="1" hidden="1">
      <c r="A140" s="254"/>
      <c r="B140" s="251"/>
      <c r="C140" s="228" t="inlineStr">
        <is>
          <t xml:space="preserve">Acidentes CAF</t>
        </is>
      </c>
      <c r="D140" s="229" t="str">
        <f>IFERROR(1/(1/INDEX(BD!$Y$41:$AS$41,MATCH($A$122,BD!$Y$22:$AS$22,0))),"")</f>
        <v/>
      </c>
      <c r="E140" s="230"/>
      <c r="F140" s="231" t="str">
        <f>IF(F$3="","",IF(COUNTIFS(BD!$A$3:$A$5001,F$3,BD!$B$3:$B$5001,$A$122,BD!$T$3:$T$5001,"&lt;&gt;")=0,"",SUMIFS(BD!$T$3:$T$5001,BD!$A$3:$A$5001,F$3,BD!$B$3:$B$5001,$A$122)))</f>
        <v/>
      </c>
      <c r="G140" s="232" t="str">
        <f>IF(G$3="","",IF(COUNTIFS(BD!$A$3:$A$5001,G$3,BD!$B$3:$B$5001,$A$122,BD!$T$3:$T$5001,"&lt;&gt;")=0,"",SUMIFS(BD!$T$3:$T$5001,BD!$A$3:$A$5001,G$3,BD!$B$3:$B$5001,$A$122)))</f>
        <v/>
      </c>
      <c r="H140" s="232" t="str">
        <f>IF(H$3="","",IF(COUNTIFS(BD!$A$3:$A$5001,H$3,BD!$B$3:$B$5001,$A$122,BD!$T$3:$T$5001,"&lt;&gt;")=0,"",SUMIFS(BD!$T$3:$T$5001,BD!$A$3:$A$5001,H$3,BD!$B$3:$B$5001,$A$122)))</f>
        <v/>
      </c>
      <c r="I140" s="232" t="str">
        <f>IF(I$3="","",IF(COUNTIFS(BD!$A$3:$A$5001,I$3,BD!$B$3:$B$5001,$A$122,BD!$T$3:$T$5001,"&lt;&gt;")=0,"",SUMIFS(BD!$T$3:$T$5001,BD!$A$3:$A$5001,I$3,BD!$B$3:$B$5001,$A$122)))</f>
        <v/>
      </c>
      <c r="J140" s="232" t="str">
        <f>IF(J$3="","",IF(COUNTIFS(BD!$A$3:$A$5001,J$3,BD!$B$3:$B$5001,$A$122,BD!$T$3:$T$5001,"&lt;&gt;")=0,"",SUMIFS(BD!$T$3:$T$5001,BD!$A$3:$A$5001,J$3,BD!$B$3:$B$5001,$A$122)))</f>
        <v/>
      </c>
      <c r="K140" s="232" t="str">
        <f>IF(K$3="","",IF(COUNTIFS(BD!$A$3:$A$5001,K$3,BD!$B$3:$B$5001,$A$122,BD!$T$3:$T$5001,"&lt;&gt;")=0,"",SUMIFS(BD!$T$3:$T$5001,BD!$A$3:$A$5001,K$3,BD!$B$3:$B$5001,$A$122)))</f>
        <v/>
      </c>
      <c r="L140" s="232" t="str">
        <f>IF(L$3="","",IF(COUNTIFS(BD!$A$3:$A$5001,L$3,BD!$B$3:$B$5001,$A$122,BD!$T$3:$T$5001,"&lt;&gt;")=0,"",SUMIFS(BD!$T$3:$T$5001,BD!$A$3:$A$5001,L$3,BD!$B$3:$B$5001,$A$122)))</f>
        <v/>
      </c>
      <c r="M140" s="232" t="str">
        <f>IF(M$3="","",IF(COUNTIFS(BD!$A$3:$A$5001,M$3,BD!$B$3:$B$5001,$A$122,BD!$T$3:$T$5001,"&lt;&gt;")=0,"",SUMIFS(BD!$T$3:$T$5001,BD!$A$3:$A$5001,M$3,BD!$B$3:$B$5001,$A$122)))</f>
        <v/>
      </c>
      <c r="N140" s="232" t="str">
        <f>IF(N$3="","",IF(COUNTIFS(BD!$A$3:$A$5001,N$3,BD!$B$3:$B$5001,$A$122,BD!$T$3:$T$5001,"&lt;&gt;")=0,"",SUMIFS(BD!$T$3:$T$5001,BD!$A$3:$A$5001,N$3,BD!$B$3:$B$5001,$A$122)))</f>
        <v/>
      </c>
      <c r="O140" s="232" t="str">
        <f>IF(O$3="","",IF(COUNTIFS(BD!$A$3:$A$5001,O$3,BD!$B$3:$B$5001,$A$122,BD!$T$3:$T$5001,"&lt;&gt;")=0,"",SUMIFS(BD!$T$3:$T$5001,BD!$A$3:$A$5001,O$3,BD!$B$3:$B$5001,$A$122)))</f>
        <v/>
      </c>
      <c r="P140" s="232" t="str">
        <f>IF(P$3="","",IF(COUNTIFS(BD!$A$3:$A$5001,P$3,BD!$B$3:$B$5001,$A$122,BD!$T$3:$T$5001,"&lt;&gt;")=0,"",SUMIFS(BD!$T$3:$T$5001,BD!$A$3:$A$5001,P$3,BD!$B$3:$B$5001,$A$122)))</f>
        <v/>
      </c>
      <c r="Q140" s="232" t="str">
        <f>IF(Q$3="","",IF(COUNTIFS(BD!$A$3:$A$5001,Q$3,BD!$B$3:$B$5001,$A$122,BD!$T$3:$T$5001,"&lt;&gt;")=0,"",SUMIFS(BD!$T$3:$T$5001,BD!$A$3:$A$5001,Q$3,BD!$B$3:$B$5001,$A$122)))</f>
        <v/>
      </c>
      <c r="R140" s="232" t="str">
        <f>IF(R$3="","",IF(COUNTIFS(BD!$A$3:$A$5001,R$3,BD!$B$3:$B$5001,$A$122,BD!$T$3:$T$5001,"&lt;&gt;")=0,"",SUMIFS(BD!$T$3:$T$5001,BD!$A$3:$A$5001,R$3,BD!$B$3:$B$5001,$A$122)))</f>
        <v/>
      </c>
      <c r="S140" s="232" t="str">
        <f>IF(S$3="","",IF(COUNTIFS(BD!$A$3:$A$5001,S$3,BD!$B$3:$B$5001,$A$122,BD!$T$3:$T$5001,"&lt;&gt;")=0,"",SUMIFS(BD!$T$3:$T$5001,BD!$A$3:$A$5001,S$3,BD!$B$3:$B$5001,$A$122)))</f>
        <v/>
      </c>
      <c r="T140" s="232" t="str">
        <f>IF(T$3="","",IF(COUNTIFS(BD!$A$3:$A$5001,T$3,BD!$B$3:$B$5001,$A$122,BD!$T$3:$T$5001,"&lt;&gt;")=0,"",SUMIFS(BD!$T$3:$T$5001,BD!$A$3:$A$5001,T$3,BD!$B$3:$B$5001,$A$122)))</f>
        <v/>
      </c>
      <c r="U140" s="232" t="str">
        <f>IF(U$3="","",IF(COUNTIFS(BD!$A$3:$A$5001,U$3,BD!$B$3:$B$5001,$A$122,BD!$T$3:$T$5001,"&lt;&gt;")=0,"",SUMIFS(BD!$T$3:$T$5001,BD!$A$3:$A$5001,U$3,BD!$B$3:$B$5001,$A$122)))</f>
        <v/>
      </c>
      <c r="V140" s="232" t="str">
        <f>IF(V$3="","",IF(COUNTIFS(BD!$A$3:$A$5001,V$3,BD!$B$3:$B$5001,$A$122,BD!$T$3:$T$5001,"&lt;&gt;")=0,"",SUMIFS(BD!$T$3:$T$5001,BD!$A$3:$A$5001,V$3,BD!$B$3:$B$5001,$A$122)))</f>
        <v/>
      </c>
      <c r="W140" s="232" t="str">
        <f>IF(W$3="","",IF(COUNTIFS(BD!$A$3:$A$5001,W$3,BD!$B$3:$B$5001,$A$122,BD!$T$3:$T$5001,"&lt;&gt;")=0,"",SUMIFS(BD!$T$3:$T$5001,BD!$A$3:$A$5001,W$3,BD!$B$3:$B$5001,$A$122)))</f>
        <v/>
      </c>
      <c r="X140" s="232" t="str">
        <f>IF(X$3="","",IF(COUNTIFS(BD!$A$3:$A$5001,X$3,BD!$B$3:$B$5001,$A$122,BD!$T$3:$T$5001,"&lt;&gt;")=0,"",SUMIFS(BD!$T$3:$T$5001,BD!$A$3:$A$5001,X$3,BD!$B$3:$B$5001,$A$122)))</f>
        <v/>
      </c>
      <c r="Y140" s="232" t="str">
        <f>IF(Y$3="","",IF(COUNTIFS(BD!$A$3:$A$5001,Y$3,BD!$B$3:$B$5001,$A$122,BD!$T$3:$T$5001,"&lt;&gt;")=0,"",SUMIFS(BD!$T$3:$T$5001,BD!$A$3:$A$5001,Y$3,BD!$B$3:$B$5001,$A$122)))</f>
        <v/>
      </c>
      <c r="Z140" s="232" t="str">
        <f>IF(Z$3="","",IF(COUNTIFS(BD!$A$3:$A$5001,Z$3,BD!$B$3:$B$5001,$A$122,BD!$T$3:$T$5001,"&lt;&gt;")=0,"",SUMIFS(BD!$T$3:$T$5001,BD!$A$3:$A$5001,Z$3,BD!$B$3:$B$5001,$A$122)))</f>
        <v/>
      </c>
      <c r="AA140" s="232" t="str">
        <f>IF(AA$3="","",IF(COUNTIFS(BD!$A$3:$A$5001,AA$3,BD!$B$3:$B$5001,$A$122,BD!$T$3:$T$5001,"&lt;&gt;")=0,"",SUMIFS(BD!$T$3:$T$5001,BD!$A$3:$A$5001,AA$3,BD!$B$3:$B$5001,$A$122)))</f>
        <v/>
      </c>
      <c r="AB140" s="232" t="str">
        <f>IF(AB$3="","",IF(COUNTIFS(BD!$A$3:$A$5001,AB$3,BD!$B$3:$B$5001,$A$122,BD!$T$3:$T$5001,"&lt;&gt;")=0,"",SUMIFS(BD!$T$3:$T$5001,BD!$A$3:$A$5001,AB$3,BD!$B$3:$B$5001,$A$122)))</f>
        <v/>
      </c>
      <c r="AC140" s="232" t="str">
        <f>IF(AC$3="","",IF(COUNTIFS(BD!$A$3:$A$5001,AC$3,BD!$B$3:$B$5001,$A$122,BD!$T$3:$T$5001,"&lt;&gt;")=0,"",SUMIFS(BD!$T$3:$T$5001,BD!$A$3:$A$5001,AC$3,BD!$B$3:$B$5001,$A$122)))</f>
        <v/>
      </c>
      <c r="AD140" s="232" t="str">
        <f>IF(AD$3="","",IF(COUNTIFS(BD!$A$3:$A$5001,AD$3,BD!$B$3:$B$5001,$A$122,BD!$T$3:$T$5001,"&lt;&gt;")=0,"",SUMIFS(BD!$T$3:$T$5001,BD!$A$3:$A$5001,AD$3,BD!$B$3:$B$5001,$A$122)))</f>
        <v/>
      </c>
      <c r="AE140" s="232" t="str">
        <f>IF(AE$3="","",IF(COUNTIFS(BD!$A$3:$A$5001,AE$3,BD!$B$3:$B$5001,$A$122,BD!$T$3:$T$5001,"&lt;&gt;")=0,"",SUMIFS(BD!$T$3:$T$5001,BD!$A$3:$A$5001,AE$3,BD!$B$3:$B$5001,$A$122)))</f>
        <v/>
      </c>
      <c r="AF140" s="232" t="str">
        <f>IF(AF$3="","",IF(COUNTIFS(BD!$A$3:$A$5001,AF$3,BD!$B$3:$B$5001,$A$122,BD!$T$3:$T$5001,"&lt;&gt;")=0,"",SUMIFS(BD!$T$3:$T$5001,BD!$A$3:$A$5001,AF$3,BD!$B$3:$B$5001,$A$122)))</f>
        <v/>
      </c>
      <c r="AG140" s="232" t="str">
        <f>IF(AG$3="","",IF(COUNTIFS(BD!$A$3:$A$5001,AG$3,BD!$B$3:$B$5001,$A$122,BD!$T$3:$T$5001,"&lt;&gt;")=0,"",SUMIFS(BD!$T$3:$T$5001,BD!$A$3:$A$5001,AG$3,BD!$B$3:$B$5001,$A$122)))</f>
        <v/>
      </c>
      <c r="AH140" s="232" t="str">
        <f>IF(AH$3="","",IF(COUNTIFS(BD!$A$3:$A$5001,AH$3,BD!$B$3:$B$5001,$A$122,BD!$T$3:$T$5001,"&lt;&gt;")=0,"",SUMIFS(BD!$T$3:$T$5001,BD!$A$3:$A$5001,AH$3,BD!$B$3:$B$5001,$A$122)))</f>
        <v/>
      </c>
      <c r="AI140" s="232" t="str">
        <f>IF(AI$3="","",IF(COUNTIFS(BD!$A$3:$A$5001,AI$3,BD!$B$3:$B$5001,$A$122,BD!$T$3:$T$5001,"&lt;&gt;")=0,"",SUMIFS(BD!$T$3:$T$5001,BD!$A$3:$A$5001,AI$3,BD!$B$3:$B$5001,$A$122)))</f>
        <v/>
      </c>
      <c r="AJ140" s="233" t="str">
        <f>IF(AJ$3="","",IF(COUNTIFS(BD!$A$3:$A$5001,AJ$3,BD!$B$3:$B$5001,$A$122,BD!$T$3:$T$5001,"&lt;&gt;")=0,"",SUMIFS(BD!$T$3:$T$5001,BD!$A$3:$A$5001,AJ$3,BD!$B$3:$B$5001,$A$122)))</f>
        <v/>
      </c>
      <c r="AK140" s="234" t="str">
        <f>IF(COUNT(F140:AJ140)=0,"",SUM(F140:AJ140))</f>
        <v/>
      </c>
    </row>
    <row r="141" ht="15.75" customHeight="1" hidden="1">
      <c r="A141" s="255"/>
      <c r="B141" s="252"/>
      <c r="C141" s="235" t="inlineStr">
        <is>
          <t xml:space="preserve">Acidentes SAF</t>
        </is>
      </c>
      <c r="D141" s="236" t="str">
        <f>IFERROR(1/(1/INDEX(BD!$Y$42:$AS$42,MATCH($A$122,BD!$Y$22:$AS$22,0))),"")</f>
        <v/>
      </c>
      <c r="E141" s="237"/>
      <c r="F141" s="238" t="str">
        <f>IF(F$3="","",IF(COUNTIFS(BD!$A$3:$A$5001,F$3,BD!$B$3:$B$5001,$A$122,BD!$U$3:$U$5001,"&lt;&gt;")=0,"",SUMIFS(BD!$U$3:$U$5001,BD!$A$3:$A$5001,F$3,BD!$B$3:$B$5001,$A$122)))</f>
        <v/>
      </c>
      <c r="G141" s="239" t="str">
        <f>IF(G$3="","",IF(COUNTIFS(BD!$A$3:$A$5001,G$3,BD!$B$3:$B$5001,$A$122,BD!$U$3:$U$5001,"&lt;&gt;")=0,"",SUMIFS(BD!$U$3:$U$5001,BD!$A$3:$A$5001,G$3,BD!$B$3:$B$5001,$A$122)))</f>
        <v/>
      </c>
      <c r="H141" s="239" t="str">
        <f>IF(H$3="","",IF(COUNTIFS(BD!$A$3:$A$5001,H$3,BD!$B$3:$B$5001,$A$122,BD!$U$3:$U$5001,"&lt;&gt;")=0,"",SUMIFS(BD!$U$3:$U$5001,BD!$A$3:$A$5001,H$3,BD!$B$3:$B$5001,$A$122)))</f>
        <v/>
      </c>
      <c r="I141" s="239" t="str">
        <f>IF(I$3="","",IF(COUNTIFS(BD!$A$3:$A$5001,I$3,BD!$B$3:$B$5001,$A$122,BD!$U$3:$U$5001,"&lt;&gt;")=0,"",SUMIFS(BD!$U$3:$U$5001,BD!$A$3:$A$5001,I$3,BD!$B$3:$B$5001,$A$122)))</f>
        <v/>
      </c>
      <c r="J141" s="239" t="str">
        <f>IF(J$3="","",IF(COUNTIFS(BD!$A$3:$A$5001,J$3,BD!$B$3:$B$5001,$A$122,BD!$U$3:$U$5001,"&lt;&gt;")=0,"",SUMIFS(BD!$U$3:$U$5001,BD!$A$3:$A$5001,J$3,BD!$B$3:$B$5001,$A$122)))</f>
        <v/>
      </c>
      <c r="K141" s="239" t="str">
        <f>IF(K$3="","",IF(COUNTIFS(BD!$A$3:$A$5001,K$3,BD!$B$3:$B$5001,$A$122,BD!$U$3:$U$5001,"&lt;&gt;")=0,"",SUMIFS(BD!$U$3:$U$5001,BD!$A$3:$A$5001,K$3,BD!$B$3:$B$5001,$A$122)))</f>
        <v/>
      </c>
      <c r="L141" s="239" t="str">
        <f>IF(L$3="","",IF(COUNTIFS(BD!$A$3:$A$5001,L$3,BD!$B$3:$B$5001,$A$122,BD!$U$3:$U$5001,"&lt;&gt;")=0,"",SUMIFS(BD!$U$3:$U$5001,BD!$A$3:$A$5001,L$3,BD!$B$3:$B$5001,$A$122)))</f>
        <v/>
      </c>
      <c r="M141" s="239" t="str">
        <f>IF(M$3="","",IF(COUNTIFS(BD!$A$3:$A$5001,M$3,BD!$B$3:$B$5001,$A$122,BD!$U$3:$U$5001,"&lt;&gt;")=0,"",SUMIFS(BD!$U$3:$U$5001,BD!$A$3:$A$5001,M$3,BD!$B$3:$B$5001,$A$122)))</f>
        <v/>
      </c>
      <c r="N141" s="239" t="str">
        <f>IF(N$3="","",IF(COUNTIFS(BD!$A$3:$A$5001,N$3,BD!$B$3:$B$5001,$A$122,BD!$U$3:$U$5001,"&lt;&gt;")=0,"",SUMIFS(BD!$U$3:$U$5001,BD!$A$3:$A$5001,N$3,BD!$B$3:$B$5001,$A$122)))</f>
        <v/>
      </c>
      <c r="O141" s="239" t="str">
        <f>IF(O$3="","",IF(COUNTIFS(BD!$A$3:$A$5001,O$3,BD!$B$3:$B$5001,$A$122,BD!$U$3:$U$5001,"&lt;&gt;")=0,"",SUMIFS(BD!$U$3:$U$5001,BD!$A$3:$A$5001,O$3,BD!$B$3:$B$5001,$A$122)))</f>
        <v/>
      </c>
      <c r="P141" s="239" t="str">
        <f>IF(P$3="","",IF(COUNTIFS(BD!$A$3:$A$5001,P$3,BD!$B$3:$B$5001,$A$122,BD!$U$3:$U$5001,"&lt;&gt;")=0,"",SUMIFS(BD!$U$3:$U$5001,BD!$A$3:$A$5001,P$3,BD!$B$3:$B$5001,$A$122)))</f>
        <v/>
      </c>
      <c r="Q141" s="239" t="str">
        <f>IF(Q$3="","",IF(COUNTIFS(BD!$A$3:$A$5001,Q$3,BD!$B$3:$B$5001,$A$122,BD!$U$3:$U$5001,"&lt;&gt;")=0,"",SUMIFS(BD!$U$3:$U$5001,BD!$A$3:$A$5001,Q$3,BD!$B$3:$B$5001,$A$122)))</f>
        <v/>
      </c>
      <c r="R141" s="239" t="str">
        <f>IF(R$3="","",IF(COUNTIFS(BD!$A$3:$A$5001,R$3,BD!$B$3:$B$5001,$A$122,BD!$U$3:$U$5001,"&lt;&gt;")=0,"",SUMIFS(BD!$U$3:$U$5001,BD!$A$3:$A$5001,R$3,BD!$B$3:$B$5001,$A$122)))</f>
        <v/>
      </c>
      <c r="S141" s="239" t="str">
        <f>IF(S$3="","",IF(COUNTIFS(BD!$A$3:$A$5001,S$3,BD!$B$3:$B$5001,$A$122,BD!$U$3:$U$5001,"&lt;&gt;")=0,"",SUMIFS(BD!$U$3:$U$5001,BD!$A$3:$A$5001,S$3,BD!$B$3:$B$5001,$A$122)))</f>
        <v/>
      </c>
      <c r="T141" s="239" t="str">
        <f>IF(T$3="","",IF(COUNTIFS(BD!$A$3:$A$5001,T$3,BD!$B$3:$B$5001,$A$122,BD!$U$3:$U$5001,"&lt;&gt;")=0,"",SUMIFS(BD!$U$3:$U$5001,BD!$A$3:$A$5001,T$3,BD!$B$3:$B$5001,$A$122)))</f>
        <v/>
      </c>
      <c r="U141" s="239" t="str">
        <f>IF(U$3="","",IF(COUNTIFS(BD!$A$3:$A$5001,U$3,BD!$B$3:$B$5001,$A$122,BD!$U$3:$U$5001,"&lt;&gt;")=0,"",SUMIFS(BD!$U$3:$U$5001,BD!$A$3:$A$5001,U$3,BD!$B$3:$B$5001,$A$122)))</f>
        <v/>
      </c>
      <c r="V141" s="239" t="str">
        <f>IF(V$3="","",IF(COUNTIFS(BD!$A$3:$A$5001,V$3,BD!$B$3:$B$5001,$A$122,BD!$U$3:$U$5001,"&lt;&gt;")=0,"",SUMIFS(BD!$U$3:$U$5001,BD!$A$3:$A$5001,V$3,BD!$B$3:$B$5001,$A$122)))</f>
        <v/>
      </c>
      <c r="W141" s="239" t="str">
        <f>IF(W$3="","",IF(COUNTIFS(BD!$A$3:$A$5001,W$3,BD!$B$3:$B$5001,$A$122,BD!$U$3:$U$5001,"&lt;&gt;")=0,"",SUMIFS(BD!$U$3:$U$5001,BD!$A$3:$A$5001,W$3,BD!$B$3:$B$5001,$A$122)))</f>
        <v/>
      </c>
      <c r="X141" s="239" t="str">
        <f>IF(X$3="","",IF(COUNTIFS(BD!$A$3:$A$5001,X$3,BD!$B$3:$B$5001,$A$122,BD!$U$3:$U$5001,"&lt;&gt;")=0,"",SUMIFS(BD!$U$3:$U$5001,BD!$A$3:$A$5001,X$3,BD!$B$3:$B$5001,$A$122)))</f>
        <v/>
      </c>
      <c r="Y141" s="239" t="str">
        <f>IF(Y$3="","",IF(COUNTIFS(BD!$A$3:$A$5001,Y$3,BD!$B$3:$B$5001,$A$122,BD!$U$3:$U$5001,"&lt;&gt;")=0,"",SUMIFS(BD!$U$3:$U$5001,BD!$A$3:$A$5001,Y$3,BD!$B$3:$B$5001,$A$122)))</f>
        <v/>
      </c>
      <c r="Z141" s="239" t="str">
        <f>IF(Z$3="","",IF(COUNTIFS(BD!$A$3:$A$5001,Z$3,BD!$B$3:$B$5001,$A$122,BD!$U$3:$U$5001,"&lt;&gt;")=0,"",SUMIFS(BD!$U$3:$U$5001,BD!$A$3:$A$5001,Z$3,BD!$B$3:$B$5001,$A$122)))</f>
        <v/>
      </c>
      <c r="AA141" s="239" t="str">
        <f>IF(AA$3="","",IF(COUNTIFS(BD!$A$3:$A$5001,AA$3,BD!$B$3:$B$5001,$A$122,BD!$U$3:$U$5001,"&lt;&gt;")=0,"",SUMIFS(BD!$U$3:$U$5001,BD!$A$3:$A$5001,AA$3,BD!$B$3:$B$5001,$A$122)))</f>
        <v/>
      </c>
      <c r="AB141" s="239" t="str">
        <f>IF(AB$3="","",IF(COUNTIFS(BD!$A$3:$A$5001,AB$3,BD!$B$3:$B$5001,$A$122,BD!$U$3:$U$5001,"&lt;&gt;")=0,"",SUMIFS(BD!$U$3:$U$5001,BD!$A$3:$A$5001,AB$3,BD!$B$3:$B$5001,$A$122)))</f>
        <v/>
      </c>
      <c r="AC141" s="239" t="str">
        <f>IF(AC$3="","",IF(COUNTIFS(BD!$A$3:$A$5001,AC$3,BD!$B$3:$B$5001,$A$122,BD!$U$3:$U$5001,"&lt;&gt;")=0,"",SUMIFS(BD!$U$3:$U$5001,BD!$A$3:$A$5001,AC$3,BD!$B$3:$B$5001,$A$122)))</f>
        <v/>
      </c>
      <c r="AD141" s="239" t="str">
        <f>IF(AD$3="","",IF(COUNTIFS(BD!$A$3:$A$5001,AD$3,BD!$B$3:$B$5001,$A$122,BD!$U$3:$U$5001,"&lt;&gt;")=0,"",SUMIFS(BD!$U$3:$U$5001,BD!$A$3:$A$5001,AD$3,BD!$B$3:$B$5001,$A$122)))</f>
        <v/>
      </c>
      <c r="AE141" s="239" t="str">
        <f>IF(AE$3="","",IF(COUNTIFS(BD!$A$3:$A$5001,AE$3,BD!$B$3:$B$5001,$A$122,BD!$U$3:$U$5001,"&lt;&gt;")=0,"",SUMIFS(BD!$U$3:$U$5001,BD!$A$3:$A$5001,AE$3,BD!$B$3:$B$5001,$A$122)))</f>
        <v/>
      </c>
      <c r="AF141" s="239" t="str">
        <f>IF(AF$3="","",IF(COUNTIFS(BD!$A$3:$A$5001,AF$3,BD!$B$3:$B$5001,$A$122,BD!$U$3:$U$5001,"&lt;&gt;")=0,"",SUMIFS(BD!$U$3:$U$5001,BD!$A$3:$A$5001,AF$3,BD!$B$3:$B$5001,$A$122)))</f>
        <v/>
      </c>
      <c r="AG141" s="239" t="str">
        <f>IF(AG$3="","",IF(COUNTIFS(BD!$A$3:$A$5001,AG$3,BD!$B$3:$B$5001,$A$122,BD!$U$3:$U$5001,"&lt;&gt;")=0,"",SUMIFS(BD!$U$3:$U$5001,BD!$A$3:$A$5001,AG$3,BD!$B$3:$B$5001,$A$122)))</f>
        <v/>
      </c>
      <c r="AH141" s="239" t="str">
        <f>IF(AH$3="","",IF(COUNTIFS(BD!$A$3:$A$5001,AH$3,BD!$B$3:$B$5001,$A$122,BD!$U$3:$U$5001,"&lt;&gt;")=0,"",SUMIFS(BD!$U$3:$U$5001,BD!$A$3:$A$5001,AH$3,BD!$B$3:$B$5001,$A$122)))</f>
        <v/>
      </c>
      <c r="AI141" s="239" t="str">
        <f>IF(AI$3="","",IF(COUNTIFS(BD!$A$3:$A$5001,AI$3,BD!$B$3:$B$5001,$A$122,BD!$U$3:$U$5001,"&lt;&gt;")=0,"",SUMIFS(BD!$U$3:$U$5001,BD!$A$3:$A$5001,AI$3,BD!$B$3:$B$5001,$A$122)))</f>
        <v/>
      </c>
      <c r="AJ141" s="240" t="str">
        <f>IF(AJ$3="","",IF(COUNTIFS(BD!$A$3:$A$5001,AJ$3,BD!$B$3:$B$5001,$A$122,BD!$U$3:$U$5001,"&lt;&gt;")=0,"",SUMIFS(BD!$U$3:$U$5001,BD!$A$3:$A$5001,AJ$3,BD!$B$3:$B$5001,$A$122)))</f>
        <v/>
      </c>
      <c r="AK141" s="236" t="str">
        <f>IF(COUNT(F141:AJ141)=0,"",SUM(F141:AJ141))</f>
        <v/>
      </c>
    </row>
    <row r="143" ht="15.75" customHeight="1" hidden="1">
      <c r="A143" s="253"/>
      <c r="B143" s="241" t="inlineStr">
        <is>
          <t xml:space="preserve">IN</t>
        </is>
      </c>
      <c r="C143" s="155" t="inlineStr">
        <is>
          <t xml:space="preserve">Veículos Recebidos</t>
        </is>
      </c>
      <c r="D143" s="156" t="str">
        <f>IFERROR(1/(1/INDEX(BD!$Y$23:$AS$23,MATCH($A$143,BD!$Y$22:$AS$22,0))),"")</f>
        <v/>
      </c>
      <c r="E143" s="157"/>
      <c r="F143" s="158" t="str">
        <f>IF(F$3="","",IF(COUNTIFS(BD!$A$3:$A$5001,F$3,BD!$B$3:$B$5001,$A$143,BD!$C$3:$C$5001,"&lt;&gt;")=0,"",SUMIFS(BD!$C$3:$C$5001,BD!$A$3:$A$5001,F$3,BD!$B$3:$B$5001,$A$143)))</f>
        <v/>
      </c>
      <c r="G143" s="159" t="str">
        <f>IF(G$3="","",IF(COUNTIFS(BD!$A$3:$A$5001,G$3,BD!$B$3:$B$5001,$A$143,BD!$C$3:$C$5001,"&lt;&gt;")=0,"",SUMIFS(BD!$C$3:$C$5001,BD!$A$3:$A$5001,G$3,BD!$B$3:$B$5001,$A$143)))</f>
        <v/>
      </c>
      <c r="H143" s="159" t="str">
        <f>IF(H$3="","",IF(COUNTIFS(BD!$A$3:$A$5001,H$3,BD!$B$3:$B$5001,$A$143,BD!$C$3:$C$5001,"&lt;&gt;")=0,"",SUMIFS(BD!$C$3:$C$5001,BD!$A$3:$A$5001,H$3,BD!$B$3:$B$5001,$A$143)))</f>
        <v/>
      </c>
      <c r="I143" s="159" t="str">
        <f>IF(I$3="","",IF(COUNTIFS(BD!$A$3:$A$5001,I$3,BD!$B$3:$B$5001,$A$143,BD!$C$3:$C$5001,"&lt;&gt;")=0,"",SUMIFS(BD!$C$3:$C$5001,BD!$A$3:$A$5001,I$3,BD!$B$3:$B$5001,$A$143)))</f>
        <v/>
      </c>
      <c r="J143" s="159" t="str">
        <f>IF(J$3="","",IF(COUNTIFS(BD!$A$3:$A$5001,J$3,BD!$B$3:$B$5001,$A$143,BD!$C$3:$C$5001,"&lt;&gt;")=0,"",SUMIFS(BD!$C$3:$C$5001,BD!$A$3:$A$5001,J$3,BD!$B$3:$B$5001,$A$143)))</f>
        <v/>
      </c>
      <c r="K143" s="159" t="str">
        <f>IF(K$3="","",IF(COUNTIFS(BD!$A$3:$A$5001,K$3,BD!$B$3:$B$5001,$A$143,BD!$C$3:$C$5001,"&lt;&gt;")=0,"",SUMIFS(BD!$C$3:$C$5001,BD!$A$3:$A$5001,K$3,BD!$B$3:$B$5001,$A$143)))</f>
        <v/>
      </c>
      <c r="L143" s="159" t="str">
        <f>IF(L$3="","",IF(COUNTIFS(BD!$A$3:$A$5001,L$3,BD!$B$3:$B$5001,$A$143,BD!$C$3:$C$5001,"&lt;&gt;")=0,"",SUMIFS(BD!$C$3:$C$5001,BD!$A$3:$A$5001,L$3,BD!$B$3:$B$5001,$A$143)))</f>
        <v/>
      </c>
      <c r="M143" s="159" t="str">
        <f>IF(M$3="","",IF(COUNTIFS(BD!$A$3:$A$5001,M$3,BD!$B$3:$B$5001,$A$143,BD!$C$3:$C$5001,"&lt;&gt;")=0,"",SUMIFS(BD!$C$3:$C$5001,BD!$A$3:$A$5001,M$3,BD!$B$3:$B$5001,$A$143)))</f>
        <v/>
      </c>
      <c r="N143" s="159" t="str">
        <f>IF(N$3="","",IF(COUNTIFS(BD!$A$3:$A$5001,N$3,BD!$B$3:$B$5001,$A$143,BD!$C$3:$C$5001,"&lt;&gt;")=0,"",SUMIFS(BD!$C$3:$C$5001,BD!$A$3:$A$5001,N$3,BD!$B$3:$B$5001,$A$143)))</f>
        <v/>
      </c>
      <c r="O143" s="159" t="str">
        <f>IF(O$3="","",IF(COUNTIFS(BD!$A$3:$A$5001,O$3,BD!$B$3:$B$5001,$A$143,BD!$C$3:$C$5001,"&lt;&gt;")=0,"",SUMIFS(BD!$C$3:$C$5001,BD!$A$3:$A$5001,O$3,BD!$B$3:$B$5001,$A$143)))</f>
        <v/>
      </c>
      <c r="P143" s="159" t="str">
        <f>IF(P$3="","",IF(COUNTIFS(BD!$A$3:$A$5001,P$3,BD!$B$3:$B$5001,$A$143,BD!$C$3:$C$5001,"&lt;&gt;")=0,"",SUMIFS(BD!$C$3:$C$5001,BD!$A$3:$A$5001,P$3,BD!$B$3:$B$5001,$A$143)))</f>
        <v/>
      </c>
      <c r="Q143" s="159" t="str">
        <f>IF(Q$3="","",IF(COUNTIFS(BD!$A$3:$A$5001,Q$3,BD!$B$3:$B$5001,$A$143,BD!$C$3:$C$5001,"&lt;&gt;")=0,"",SUMIFS(BD!$C$3:$C$5001,BD!$A$3:$A$5001,Q$3,BD!$B$3:$B$5001,$A$143)))</f>
        <v/>
      </c>
      <c r="R143" s="159" t="str">
        <f>IF(R$3="","",IF(COUNTIFS(BD!$A$3:$A$5001,R$3,BD!$B$3:$B$5001,$A$143,BD!$C$3:$C$5001,"&lt;&gt;")=0,"",SUMIFS(BD!$C$3:$C$5001,BD!$A$3:$A$5001,R$3,BD!$B$3:$B$5001,$A$143)))</f>
        <v/>
      </c>
      <c r="S143" s="159" t="str">
        <f>IF(S$3="","",IF(COUNTIFS(BD!$A$3:$A$5001,S$3,BD!$B$3:$B$5001,$A$143,BD!$C$3:$C$5001,"&lt;&gt;")=0,"",SUMIFS(BD!$C$3:$C$5001,BD!$A$3:$A$5001,S$3,BD!$B$3:$B$5001,$A$143)))</f>
        <v/>
      </c>
      <c r="T143" s="159" t="str">
        <f>IF(T$3="","",IF(COUNTIFS(BD!$A$3:$A$5001,T$3,BD!$B$3:$B$5001,$A$143,BD!$C$3:$C$5001,"&lt;&gt;")=0,"",SUMIFS(BD!$C$3:$C$5001,BD!$A$3:$A$5001,T$3,BD!$B$3:$B$5001,$A$143)))</f>
        <v/>
      </c>
      <c r="U143" s="159" t="str">
        <f>IF(U$3="","",IF(COUNTIFS(BD!$A$3:$A$5001,U$3,BD!$B$3:$B$5001,$A$143,BD!$C$3:$C$5001,"&lt;&gt;")=0,"",SUMIFS(BD!$C$3:$C$5001,BD!$A$3:$A$5001,U$3,BD!$B$3:$B$5001,$A$143)))</f>
        <v/>
      </c>
      <c r="V143" s="159" t="str">
        <f>IF(V$3="","",IF(COUNTIFS(BD!$A$3:$A$5001,V$3,BD!$B$3:$B$5001,$A$143,BD!$C$3:$C$5001,"&lt;&gt;")=0,"",SUMIFS(BD!$C$3:$C$5001,BD!$A$3:$A$5001,V$3,BD!$B$3:$B$5001,$A$143)))</f>
        <v/>
      </c>
      <c r="W143" s="159" t="str">
        <f>IF(W$3="","",IF(COUNTIFS(BD!$A$3:$A$5001,W$3,BD!$B$3:$B$5001,$A$143,BD!$C$3:$C$5001,"&lt;&gt;")=0,"",SUMIFS(BD!$C$3:$C$5001,BD!$A$3:$A$5001,W$3,BD!$B$3:$B$5001,$A$143)))</f>
        <v/>
      </c>
      <c r="X143" s="159" t="str">
        <f>IF(X$3="","",IF(COUNTIFS(BD!$A$3:$A$5001,X$3,BD!$B$3:$B$5001,$A$143,BD!$C$3:$C$5001,"&lt;&gt;")=0,"",SUMIFS(BD!$C$3:$C$5001,BD!$A$3:$A$5001,X$3,BD!$B$3:$B$5001,$A$143)))</f>
        <v/>
      </c>
      <c r="Y143" s="159" t="str">
        <f>IF(Y$3="","",IF(COUNTIFS(BD!$A$3:$A$5001,Y$3,BD!$B$3:$B$5001,$A$143,BD!$C$3:$C$5001,"&lt;&gt;")=0,"",SUMIFS(BD!$C$3:$C$5001,BD!$A$3:$A$5001,Y$3,BD!$B$3:$B$5001,$A$143)))</f>
        <v/>
      </c>
      <c r="Z143" s="159" t="str">
        <f>IF(Z$3="","",IF(COUNTIFS(BD!$A$3:$A$5001,Z$3,BD!$B$3:$B$5001,$A$143,BD!$C$3:$C$5001,"&lt;&gt;")=0,"",SUMIFS(BD!$C$3:$C$5001,BD!$A$3:$A$5001,Z$3,BD!$B$3:$B$5001,$A$143)))</f>
        <v/>
      </c>
      <c r="AA143" s="159" t="str">
        <f>IF(AA$3="","",IF(COUNTIFS(BD!$A$3:$A$5001,AA$3,BD!$B$3:$B$5001,$A$143,BD!$C$3:$C$5001,"&lt;&gt;")=0,"",SUMIFS(BD!$C$3:$C$5001,BD!$A$3:$A$5001,AA$3,BD!$B$3:$B$5001,$A$143)))</f>
        <v/>
      </c>
      <c r="AB143" s="159" t="str">
        <f>IF(AB$3="","",IF(COUNTIFS(BD!$A$3:$A$5001,AB$3,BD!$B$3:$B$5001,$A$143,BD!$C$3:$C$5001,"&lt;&gt;")=0,"",SUMIFS(BD!$C$3:$C$5001,BD!$A$3:$A$5001,AB$3,BD!$B$3:$B$5001,$A$143)))</f>
        <v/>
      </c>
      <c r="AC143" s="159" t="str">
        <f>IF(AC$3="","",IF(COUNTIFS(BD!$A$3:$A$5001,AC$3,BD!$B$3:$B$5001,$A$143,BD!$C$3:$C$5001,"&lt;&gt;")=0,"",SUMIFS(BD!$C$3:$C$5001,BD!$A$3:$A$5001,AC$3,BD!$B$3:$B$5001,$A$143)))</f>
        <v/>
      </c>
      <c r="AD143" s="159" t="str">
        <f>IF(AD$3="","",IF(COUNTIFS(BD!$A$3:$A$5001,AD$3,BD!$B$3:$B$5001,$A$143,BD!$C$3:$C$5001,"&lt;&gt;")=0,"",SUMIFS(BD!$C$3:$C$5001,BD!$A$3:$A$5001,AD$3,BD!$B$3:$B$5001,$A$143)))</f>
        <v/>
      </c>
      <c r="AE143" s="159" t="str">
        <f>IF(AE$3="","",IF(COUNTIFS(BD!$A$3:$A$5001,AE$3,BD!$B$3:$B$5001,$A$143,BD!$C$3:$C$5001,"&lt;&gt;")=0,"",SUMIFS(BD!$C$3:$C$5001,BD!$A$3:$A$5001,AE$3,BD!$B$3:$B$5001,$A$143)))</f>
        <v/>
      </c>
      <c r="AF143" s="159" t="str">
        <f>IF(AF$3="","",IF(COUNTIFS(BD!$A$3:$A$5001,AF$3,BD!$B$3:$B$5001,$A$143,BD!$C$3:$C$5001,"&lt;&gt;")=0,"",SUMIFS(BD!$C$3:$C$5001,BD!$A$3:$A$5001,AF$3,BD!$B$3:$B$5001,$A$143)))</f>
        <v/>
      </c>
      <c r="AG143" s="159" t="str">
        <f>IF(AG$3="","",IF(COUNTIFS(BD!$A$3:$A$5001,AG$3,BD!$B$3:$B$5001,$A$143,BD!$C$3:$C$5001,"&lt;&gt;")=0,"",SUMIFS(BD!$C$3:$C$5001,BD!$A$3:$A$5001,AG$3,BD!$B$3:$B$5001,$A$143)))</f>
        <v/>
      </c>
      <c r="AH143" s="159" t="str">
        <f>IF(AH$3="","",IF(COUNTIFS(BD!$A$3:$A$5001,AH$3,BD!$B$3:$B$5001,$A$143,BD!$C$3:$C$5001,"&lt;&gt;")=0,"",SUMIFS(BD!$C$3:$C$5001,BD!$A$3:$A$5001,AH$3,BD!$B$3:$B$5001,$A$143)))</f>
        <v/>
      </c>
      <c r="AI143" s="159" t="str">
        <f>IF(AI$3="","",IF(COUNTIFS(BD!$A$3:$A$5001,AI$3,BD!$B$3:$B$5001,$A$143,BD!$C$3:$C$5001,"&lt;&gt;")=0,"",SUMIFS(BD!$C$3:$C$5001,BD!$A$3:$A$5001,AI$3,BD!$B$3:$B$5001,$A$143)))</f>
        <v/>
      </c>
      <c r="AJ143" s="160" t="str">
        <f>IF(AJ$3="","",IF(COUNTIFS(BD!$A$3:$A$5001,AJ$3,BD!$B$3:$B$5001,$A$143,BD!$C$3:$C$5001,"&lt;&gt;")=0,"",SUMIFS(BD!$C$3:$C$5001,BD!$A$3:$A$5001,AJ$3,BD!$B$3:$B$5001,$A$143)))</f>
        <v/>
      </c>
      <c r="AK143" s="161" t="str">
        <f>IF(COUNT(F143:AJ143)=0,"",SUM(F143:AJ143))</f>
        <v/>
      </c>
    </row>
    <row r="144" ht="15.75" customHeight="1" hidden="1">
      <c r="A144" s="254"/>
      <c r="B144" s="242"/>
      <c r="C144" s="162" t="inlineStr">
        <is>
          <t xml:space="preserve">Pallets Movimentados</t>
        </is>
      </c>
      <c r="D144" s="163" t="str">
        <f>IFERROR(1/(1/INDEX(BD!$Y$24:$AS$24,MATCH($A$143,BD!$Y$22:$AS$22,0))),"")</f>
        <v/>
      </c>
      <c r="E144" s="164"/>
      <c r="F144" s="165" t="str">
        <f>IF(F$3="","",IF(COUNTIFS(BD!$A$3:$A$5001,F$3,BD!$B$3:$B$5001,$A$143,BD!$D$3:$D$5001,"&lt;&gt;")=0,"",SUMIFS(BD!$D$3:$D$5001,BD!$A$3:$A$5001,F$3,BD!$B$3:$B$5001,$A$143)))</f>
        <v/>
      </c>
      <c r="G144" s="166" t="str">
        <f>IF(G$3="","",IF(COUNTIFS(BD!$A$3:$A$5001,G$3,BD!$B$3:$B$5001,$A$143,BD!$D$3:$D$5001,"&lt;&gt;")=0,"",SUMIFS(BD!$D$3:$D$5001,BD!$A$3:$A$5001,G$3,BD!$B$3:$B$5001,$A$143)))</f>
        <v/>
      </c>
      <c r="H144" s="166" t="str">
        <f>IF(H$3="","",IF(COUNTIFS(BD!$A$3:$A$5001,H$3,BD!$B$3:$B$5001,$A$143,BD!$D$3:$D$5001,"&lt;&gt;")=0,"",SUMIFS(BD!$D$3:$D$5001,BD!$A$3:$A$5001,H$3,BD!$B$3:$B$5001,$A$143)))</f>
        <v/>
      </c>
      <c r="I144" s="166" t="str">
        <f>IF(I$3="","",IF(COUNTIFS(BD!$A$3:$A$5001,I$3,BD!$B$3:$B$5001,$A$143,BD!$D$3:$D$5001,"&lt;&gt;")=0,"",SUMIFS(BD!$D$3:$D$5001,BD!$A$3:$A$5001,I$3,BD!$B$3:$B$5001,$A$143)))</f>
        <v/>
      </c>
      <c r="J144" s="166" t="str">
        <f>IF(J$3="","",IF(COUNTIFS(BD!$A$3:$A$5001,J$3,BD!$B$3:$B$5001,$A$143,BD!$D$3:$D$5001,"&lt;&gt;")=0,"",SUMIFS(BD!$D$3:$D$5001,BD!$A$3:$A$5001,J$3,BD!$B$3:$B$5001,$A$143)))</f>
        <v/>
      </c>
      <c r="K144" s="166" t="str">
        <f>IF(K$3="","",IF(COUNTIFS(BD!$A$3:$A$5001,K$3,BD!$B$3:$B$5001,$A$143,BD!$D$3:$D$5001,"&lt;&gt;")=0,"",SUMIFS(BD!$D$3:$D$5001,BD!$A$3:$A$5001,K$3,BD!$B$3:$B$5001,$A$143)))</f>
        <v/>
      </c>
      <c r="L144" s="166" t="str">
        <f>IF(L$3="","",IF(COUNTIFS(BD!$A$3:$A$5001,L$3,BD!$B$3:$B$5001,$A$143,BD!$D$3:$D$5001,"&lt;&gt;")=0,"",SUMIFS(BD!$D$3:$D$5001,BD!$A$3:$A$5001,L$3,BD!$B$3:$B$5001,$A$143)))</f>
        <v/>
      </c>
      <c r="M144" s="166" t="str">
        <f>IF(M$3="","",IF(COUNTIFS(BD!$A$3:$A$5001,M$3,BD!$B$3:$B$5001,$A$143,BD!$D$3:$D$5001,"&lt;&gt;")=0,"",SUMIFS(BD!$D$3:$D$5001,BD!$A$3:$A$5001,M$3,BD!$B$3:$B$5001,$A$143)))</f>
        <v/>
      </c>
      <c r="N144" s="166" t="str">
        <f>IF(N$3="","",IF(COUNTIFS(BD!$A$3:$A$5001,N$3,BD!$B$3:$B$5001,$A$143,BD!$D$3:$D$5001,"&lt;&gt;")=0,"",SUMIFS(BD!$D$3:$D$5001,BD!$A$3:$A$5001,N$3,BD!$B$3:$B$5001,$A$143)))</f>
        <v/>
      </c>
      <c r="O144" s="166" t="str">
        <f>IF(O$3="","",IF(COUNTIFS(BD!$A$3:$A$5001,O$3,BD!$B$3:$B$5001,$A$143,BD!$D$3:$D$5001,"&lt;&gt;")=0,"",SUMIFS(BD!$D$3:$D$5001,BD!$A$3:$A$5001,O$3,BD!$B$3:$B$5001,$A$143)))</f>
        <v/>
      </c>
      <c r="P144" s="166" t="str">
        <f>IF(P$3="","",IF(COUNTIFS(BD!$A$3:$A$5001,P$3,BD!$B$3:$B$5001,$A$143,BD!$D$3:$D$5001,"&lt;&gt;")=0,"",SUMIFS(BD!$D$3:$D$5001,BD!$A$3:$A$5001,P$3,BD!$B$3:$B$5001,$A$143)))</f>
        <v/>
      </c>
      <c r="Q144" s="166" t="str">
        <f>IF(Q$3="","",IF(COUNTIFS(BD!$A$3:$A$5001,Q$3,BD!$B$3:$B$5001,$A$143,BD!$D$3:$D$5001,"&lt;&gt;")=0,"",SUMIFS(BD!$D$3:$D$5001,BD!$A$3:$A$5001,Q$3,BD!$B$3:$B$5001,$A$143)))</f>
        <v/>
      </c>
      <c r="R144" s="166" t="str">
        <f>IF(R$3="","",IF(COUNTIFS(BD!$A$3:$A$5001,R$3,BD!$B$3:$B$5001,$A$143,BD!$D$3:$D$5001,"&lt;&gt;")=0,"",SUMIFS(BD!$D$3:$D$5001,BD!$A$3:$A$5001,R$3,BD!$B$3:$B$5001,$A$143)))</f>
        <v/>
      </c>
      <c r="S144" s="166" t="str">
        <f>IF(S$3="","",IF(COUNTIFS(BD!$A$3:$A$5001,S$3,BD!$B$3:$B$5001,$A$143,BD!$D$3:$D$5001,"&lt;&gt;")=0,"",SUMIFS(BD!$D$3:$D$5001,BD!$A$3:$A$5001,S$3,BD!$B$3:$B$5001,$A$143)))</f>
        <v/>
      </c>
      <c r="T144" s="166" t="str">
        <f>IF(T$3="","",IF(COUNTIFS(BD!$A$3:$A$5001,T$3,BD!$B$3:$B$5001,$A$143,BD!$D$3:$D$5001,"&lt;&gt;")=0,"",SUMIFS(BD!$D$3:$D$5001,BD!$A$3:$A$5001,T$3,BD!$B$3:$B$5001,$A$143)))</f>
        <v/>
      </c>
      <c r="U144" s="166" t="str">
        <f>IF(U$3="","",IF(COUNTIFS(BD!$A$3:$A$5001,U$3,BD!$B$3:$B$5001,$A$143,BD!$D$3:$D$5001,"&lt;&gt;")=0,"",SUMIFS(BD!$D$3:$D$5001,BD!$A$3:$A$5001,U$3,BD!$B$3:$B$5001,$A$143)))</f>
        <v/>
      </c>
      <c r="V144" s="166" t="str">
        <f>IF(V$3="","",IF(COUNTIFS(BD!$A$3:$A$5001,V$3,BD!$B$3:$B$5001,$A$143,BD!$D$3:$D$5001,"&lt;&gt;")=0,"",SUMIFS(BD!$D$3:$D$5001,BD!$A$3:$A$5001,V$3,BD!$B$3:$B$5001,$A$143)))</f>
        <v/>
      </c>
      <c r="W144" s="166" t="str">
        <f>IF(W$3="","",IF(COUNTIFS(BD!$A$3:$A$5001,W$3,BD!$B$3:$B$5001,$A$143,BD!$D$3:$D$5001,"&lt;&gt;")=0,"",SUMIFS(BD!$D$3:$D$5001,BD!$A$3:$A$5001,W$3,BD!$B$3:$B$5001,$A$143)))</f>
        <v/>
      </c>
      <c r="X144" s="166" t="str">
        <f>IF(X$3="","",IF(COUNTIFS(BD!$A$3:$A$5001,X$3,BD!$B$3:$B$5001,$A$143,BD!$D$3:$D$5001,"&lt;&gt;")=0,"",SUMIFS(BD!$D$3:$D$5001,BD!$A$3:$A$5001,X$3,BD!$B$3:$B$5001,$A$143)))</f>
        <v/>
      </c>
      <c r="Y144" s="166" t="str">
        <f>IF(Y$3="","",IF(COUNTIFS(BD!$A$3:$A$5001,Y$3,BD!$B$3:$B$5001,$A$143,BD!$D$3:$D$5001,"&lt;&gt;")=0,"",SUMIFS(BD!$D$3:$D$5001,BD!$A$3:$A$5001,Y$3,BD!$B$3:$B$5001,$A$143)))</f>
        <v/>
      </c>
      <c r="Z144" s="166" t="str">
        <f>IF(Z$3="","",IF(COUNTIFS(BD!$A$3:$A$5001,Z$3,BD!$B$3:$B$5001,$A$143,BD!$D$3:$D$5001,"&lt;&gt;")=0,"",SUMIFS(BD!$D$3:$D$5001,BD!$A$3:$A$5001,Z$3,BD!$B$3:$B$5001,$A$143)))</f>
        <v/>
      </c>
      <c r="AA144" s="166" t="str">
        <f>IF(AA$3="","",IF(COUNTIFS(BD!$A$3:$A$5001,AA$3,BD!$B$3:$B$5001,$A$143,BD!$D$3:$D$5001,"&lt;&gt;")=0,"",SUMIFS(BD!$D$3:$D$5001,BD!$A$3:$A$5001,AA$3,BD!$B$3:$B$5001,$A$143)))</f>
        <v/>
      </c>
      <c r="AB144" s="166" t="str">
        <f>IF(AB$3="","",IF(COUNTIFS(BD!$A$3:$A$5001,AB$3,BD!$B$3:$B$5001,$A$143,BD!$D$3:$D$5001,"&lt;&gt;")=0,"",SUMIFS(BD!$D$3:$D$5001,BD!$A$3:$A$5001,AB$3,BD!$B$3:$B$5001,$A$143)))</f>
        <v/>
      </c>
      <c r="AC144" s="166" t="str">
        <f>IF(AC$3="","",IF(COUNTIFS(BD!$A$3:$A$5001,AC$3,BD!$B$3:$B$5001,$A$143,BD!$D$3:$D$5001,"&lt;&gt;")=0,"",SUMIFS(BD!$D$3:$D$5001,BD!$A$3:$A$5001,AC$3,BD!$B$3:$B$5001,$A$143)))</f>
        <v/>
      </c>
      <c r="AD144" s="166" t="str">
        <f>IF(AD$3="","",IF(COUNTIFS(BD!$A$3:$A$5001,AD$3,BD!$B$3:$B$5001,$A$143,BD!$D$3:$D$5001,"&lt;&gt;")=0,"",SUMIFS(BD!$D$3:$D$5001,BD!$A$3:$A$5001,AD$3,BD!$B$3:$B$5001,$A$143)))</f>
        <v/>
      </c>
      <c r="AE144" s="166" t="str">
        <f>IF(AE$3="","",IF(COUNTIFS(BD!$A$3:$A$5001,AE$3,BD!$B$3:$B$5001,$A$143,BD!$D$3:$D$5001,"&lt;&gt;")=0,"",SUMIFS(BD!$D$3:$D$5001,BD!$A$3:$A$5001,AE$3,BD!$B$3:$B$5001,$A$143)))</f>
        <v/>
      </c>
      <c r="AF144" s="166" t="str">
        <f>IF(AF$3="","",IF(COUNTIFS(BD!$A$3:$A$5001,AF$3,BD!$B$3:$B$5001,$A$143,BD!$D$3:$D$5001,"&lt;&gt;")=0,"",SUMIFS(BD!$D$3:$D$5001,BD!$A$3:$A$5001,AF$3,BD!$B$3:$B$5001,$A$143)))</f>
        <v/>
      </c>
      <c r="AG144" s="166" t="str">
        <f>IF(AG$3="","",IF(COUNTIFS(BD!$A$3:$A$5001,AG$3,BD!$B$3:$B$5001,$A$143,BD!$D$3:$D$5001,"&lt;&gt;")=0,"",SUMIFS(BD!$D$3:$D$5001,BD!$A$3:$A$5001,AG$3,BD!$B$3:$B$5001,$A$143)))</f>
        <v/>
      </c>
      <c r="AH144" s="166" t="str">
        <f>IF(AH$3="","",IF(COUNTIFS(BD!$A$3:$A$5001,AH$3,BD!$B$3:$B$5001,$A$143,BD!$D$3:$D$5001,"&lt;&gt;")=0,"",SUMIFS(BD!$D$3:$D$5001,BD!$A$3:$A$5001,AH$3,BD!$B$3:$B$5001,$A$143)))</f>
        <v/>
      </c>
      <c r="AI144" s="166" t="str">
        <f>IF(AI$3="","",IF(COUNTIFS(BD!$A$3:$A$5001,AI$3,BD!$B$3:$B$5001,$A$143,BD!$D$3:$D$5001,"&lt;&gt;")=0,"",SUMIFS(BD!$D$3:$D$5001,BD!$A$3:$A$5001,AI$3,BD!$B$3:$B$5001,$A$143)))</f>
        <v/>
      </c>
      <c r="AJ144" s="167" t="str">
        <f>IF(AJ$3="","",IF(COUNTIFS(BD!$A$3:$A$5001,AJ$3,BD!$B$3:$B$5001,$A$143,BD!$D$3:$D$5001,"&lt;&gt;")=0,"",SUMIFS(BD!$D$3:$D$5001,BD!$A$3:$A$5001,AJ$3,BD!$B$3:$B$5001,$A$143)))</f>
        <v/>
      </c>
      <c r="AK144" s="168" t="str">
        <f>IF(COUNT(F144:AJ144)=0,"",SUM(F144:AJ144))</f>
        <v/>
      </c>
    </row>
    <row r="145" ht="15.75" customHeight="1" hidden="1">
      <c r="A145" s="254"/>
      <c r="B145" s="243"/>
      <c r="C145" s="169" t="inlineStr">
        <is>
          <t xml:space="preserve">Toneladas Movimentadas</t>
        </is>
      </c>
      <c r="D145" s="170" t="str">
        <f>IFERROR(1/(1/INDEX(BD!$Y$25:$AS$25,MATCH($A$143,BD!$Y$22:$AS$22,0))),"")</f>
        <v/>
      </c>
      <c r="E145" s="171"/>
      <c r="F145" s="172" t="str">
        <f>IF(F$3="","",IF(COUNTIFS(BD!$A$3:$A$5001,F$3,BD!$B$3:$B$5001,$A$143,BD!$E$3:$E$5001,"&lt;&gt;")=0,"",SUMIFS(BD!$E$3:$E$5001,BD!$A$3:$A$5001,F$3,BD!$B$3:$B$5001,$A$143)))</f>
        <v/>
      </c>
      <c r="G145" s="173" t="str">
        <f>IF(G$3="","",IF(COUNTIFS(BD!$A$3:$A$5001,G$3,BD!$B$3:$B$5001,$A$143,BD!$E$3:$E$5001,"&lt;&gt;")=0,"",SUMIFS(BD!$E$3:$E$5001,BD!$A$3:$A$5001,G$3,BD!$B$3:$B$5001,$A$143)))</f>
        <v/>
      </c>
      <c r="H145" s="173" t="str">
        <f>IF(H$3="","",IF(COUNTIFS(BD!$A$3:$A$5001,H$3,BD!$B$3:$B$5001,$A$143,BD!$E$3:$E$5001,"&lt;&gt;")=0,"",SUMIFS(BD!$E$3:$E$5001,BD!$A$3:$A$5001,H$3,BD!$B$3:$B$5001,$A$143)))</f>
        <v/>
      </c>
      <c r="I145" s="173" t="str">
        <f>IF(I$3="","",IF(COUNTIFS(BD!$A$3:$A$5001,I$3,BD!$B$3:$B$5001,$A$143,BD!$E$3:$E$5001,"&lt;&gt;")=0,"",SUMIFS(BD!$E$3:$E$5001,BD!$A$3:$A$5001,I$3,BD!$B$3:$B$5001,$A$143)))</f>
        <v/>
      </c>
      <c r="J145" s="173" t="str">
        <f>IF(J$3="","",IF(COUNTIFS(BD!$A$3:$A$5001,J$3,BD!$B$3:$B$5001,$A$143,BD!$E$3:$E$5001,"&lt;&gt;")=0,"",SUMIFS(BD!$E$3:$E$5001,BD!$A$3:$A$5001,J$3,BD!$B$3:$B$5001,$A$143)))</f>
        <v/>
      </c>
      <c r="K145" s="173" t="str">
        <f>IF(K$3="","",IF(COUNTIFS(BD!$A$3:$A$5001,K$3,BD!$B$3:$B$5001,$A$143,BD!$E$3:$E$5001,"&lt;&gt;")=0,"",SUMIFS(BD!$E$3:$E$5001,BD!$A$3:$A$5001,K$3,BD!$B$3:$B$5001,$A$143)))</f>
        <v/>
      </c>
      <c r="L145" s="173" t="str">
        <f>IF(L$3="","",IF(COUNTIFS(BD!$A$3:$A$5001,L$3,BD!$B$3:$B$5001,$A$143,BD!$E$3:$E$5001,"&lt;&gt;")=0,"",SUMIFS(BD!$E$3:$E$5001,BD!$A$3:$A$5001,L$3,BD!$B$3:$B$5001,$A$143)))</f>
        <v/>
      </c>
      <c r="M145" s="173" t="str">
        <f>IF(M$3="","",IF(COUNTIFS(BD!$A$3:$A$5001,M$3,BD!$B$3:$B$5001,$A$143,BD!$E$3:$E$5001,"&lt;&gt;")=0,"",SUMIFS(BD!$E$3:$E$5001,BD!$A$3:$A$5001,M$3,BD!$B$3:$B$5001,$A$143)))</f>
        <v/>
      </c>
      <c r="N145" s="173" t="str">
        <f>IF(N$3="","",IF(COUNTIFS(BD!$A$3:$A$5001,N$3,BD!$B$3:$B$5001,$A$143,BD!$E$3:$E$5001,"&lt;&gt;")=0,"",SUMIFS(BD!$E$3:$E$5001,BD!$A$3:$A$5001,N$3,BD!$B$3:$B$5001,$A$143)))</f>
        <v/>
      </c>
      <c r="O145" s="173" t="str">
        <f>IF(O$3="","",IF(COUNTIFS(BD!$A$3:$A$5001,O$3,BD!$B$3:$B$5001,$A$143,BD!$E$3:$E$5001,"&lt;&gt;")=0,"",SUMIFS(BD!$E$3:$E$5001,BD!$A$3:$A$5001,O$3,BD!$B$3:$B$5001,$A$143)))</f>
        <v/>
      </c>
      <c r="P145" s="173" t="str">
        <f>IF(P$3="","",IF(COUNTIFS(BD!$A$3:$A$5001,P$3,BD!$B$3:$B$5001,$A$143,BD!$E$3:$E$5001,"&lt;&gt;")=0,"",SUMIFS(BD!$E$3:$E$5001,BD!$A$3:$A$5001,P$3,BD!$B$3:$B$5001,$A$143)))</f>
        <v/>
      </c>
      <c r="Q145" s="173" t="str">
        <f>IF(Q$3="","",IF(COUNTIFS(BD!$A$3:$A$5001,Q$3,BD!$B$3:$B$5001,$A$143,BD!$E$3:$E$5001,"&lt;&gt;")=0,"",SUMIFS(BD!$E$3:$E$5001,BD!$A$3:$A$5001,Q$3,BD!$B$3:$B$5001,$A$143)))</f>
        <v/>
      </c>
      <c r="R145" s="173" t="str">
        <f>IF(R$3="","",IF(COUNTIFS(BD!$A$3:$A$5001,R$3,BD!$B$3:$B$5001,$A$143,BD!$E$3:$E$5001,"&lt;&gt;")=0,"",SUMIFS(BD!$E$3:$E$5001,BD!$A$3:$A$5001,R$3,BD!$B$3:$B$5001,$A$143)))</f>
        <v/>
      </c>
      <c r="S145" s="173" t="str">
        <f>IF(S$3="","",IF(COUNTIFS(BD!$A$3:$A$5001,S$3,BD!$B$3:$B$5001,$A$143,BD!$E$3:$E$5001,"&lt;&gt;")=0,"",SUMIFS(BD!$E$3:$E$5001,BD!$A$3:$A$5001,S$3,BD!$B$3:$B$5001,$A$143)))</f>
        <v/>
      </c>
      <c r="T145" s="173" t="str">
        <f>IF(T$3="","",IF(COUNTIFS(BD!$A$3:$A$5001,T$3,BD!$B$3:$B$5001,$A$143,BD!$E$3:$E$5001,"&lt;&gt;")=0,"",SUMIFS(BD!$E$3:$E$5001,BD!$A$3:$A$5001,T$3,BD!$B$3:$B$5001,$A$143)))</f>
        <v/>
      </c>
      <c r="U145" s="173" t="str">
        <f>IF(U$3="","",IF(COUNTIFS(BD!$A$3:$A$5001,U$3,BD!$B$3:$B$5001,$A$143,BD!$E$3:$E$5001,"&lt;&gt;")=0,"",SUMIFS(BD!$E$3:$E$5001,BD!$A$3:$A$5001,U$3,BD!$B$3:$B$5001,$A$143)))</f>
        <v/>
      </c>
      <c r="V145" s="173" t="str">
        <f>IF(V$3="","",IF(COUNTIFS(BD!$A$3:$A$5001,V$3,BD!$B$3:$B$5001,$A$143,BD!$E$3:$E$5001,"&lt;&gt;")=0,"",SUMIFS(BD!$E$3:$E$5001,BD!$A$3:$A$5001,V$3,BD!$B$3:$B$5001,$A$143)))</f>
        <v/>
      </c>
      <c r="W145" s="173" t="str">
        <f>IF(W$3="","",IF(COUNTIFS(BD!$A$3:$A$5001,W$3,BD!$B$3:$B$5001,$A$143,BD!$E$3:$E$5001,"&lt;&gt;")=0,"",SUMIFS(BD!$E$3:$E$5001,BD!$A$3:$A$5001,W$3,BD!$B$3:$B$5001,$A$143)))</f>
        <v/>
      </c>
      <c r="X145" s="173" t="str">
        <f>IF(X$3="","",IF(COUNTIFS(BD!$A$3:$A$5001,X$3,BD!$B$3:$B$5001,$A$143,BD!$E$3:$E$5001,"&lt;&gt;")=0,"",SUMIFS(BD!$E$3:$E$5001,BD!$A$3:$A$5001,X$3,BD!$B$3:$B$5001,$A$143)))</f>
        <v/>
      </c>
      <c r="Y145" s="173" t="str">
        <f>IF(Y$3="","",IF(COUNTIFS(BD!$A$3:$A$5001,Y$3,BD!$B$3:$B$5001,$A$143,BD!$E$3:$E$5001,"&lt;&gt;")=0,"",SUMIFS(BD!$E$3:$E$5001,BD!$A$3:$A$5001,Y$3,BD!$B$3:$B$5001,$A$143)))</f>
        <v/>
      </c>
      <c r="Z145" s="173" t="str">
        <f>IF(Z$3="","",IF(COUNTIFS(BD!$A$3:$A$5001,Z$3,BD!$B$3:$B$5001,$A$143,BD!$E$3:$E$5001,"&lt;&gt;")=0,"",SUMIFS(BD!$E$3:$E$5001,BD!$A$3:$A$5001,Z$3,BD!$B$3:$B$5001,$A$143)))</f>
        <v/>
      </c>
      <c r="AA145" s="173" t="str">
        <f>IF(AA$3="","",IF(COUNTIFS(BD!$A$3:$A$5001,AA$3,BD!$B$3:$B$5001,$A$143,BD!$E$3:$E$5001,"&lt;&gt;")=0,"",SUMIFS(BD!$E$3:$E$5001,BD!$A$3:$A$5001,AA$3,BD!$B$3:$B$5001,$A$143)))</f>
        <v/>
      </c>
      <c r="AB145" s="173" t="str">
        <f>IF(AB$3="","",IF(COUNTIFS(BD!$A$3:$A$5001,AB$3,BD!$B$3:$B$5001,$A$143,BD!$E$3:$E$5001,"&lt;&gt;")=0,"",SUMIFS(BD!$E$3:$E$5001,BD!$A$3:$A$5001,AB$3,BD!$B$3:$B$5001,$A$143)))</f>
        <v/>
      </c>
      <c r="AC145" s="173" t="str">
        <f>IF(AC$3="","",IF(COUNTIFS(BD!$A$3:$A$5001,AC$3,BD!$B$3:$B$5001,$A$143,BD!$E$3:$E$5001,"&lt;&gt;")=0,"",SUMIFS(BD!$E$3:$E$5001,BD!$A$3:$A$5001,AC$3,BD!$B$3:$B$5001,$A$143)))</f>
        <v/>
      </c>
      <c r="AD145" s="173" t="str">
        <f>IF(AD$3="","",IF(COUNTIFS(BD!$A$3:$A$5001,AD$3,BD!$B$3:$B$5001,$A$143,BD!$E$3:$E$5001,"&lt;&gt;")=0,"",SUMIFS(BD!$E$3:$E$5001,BD!$A$3:$A$5001,AD$3,BD!$B$3:$B$5001,$A$143)))</f>
        <v/>
      </c>
      <c r="AE145" s="173" t="str">
        <f>IF(AE$3="","",IF(COUNTIFS(BD!$A$3:$A$5001,AE$3,BD!$B$3:$B$5001,$A$143,BD!$E$3:$E$5001,"&lt;&gt;")=0,"",SUMIFS(BD!$E$3:$E$5001,BD!$A$3:$A$5001,AE$3,BD!$B$3:$B$5001,$A$143)))</f>
        <v/>
      </c>
      <c r="AF145" s="173" t="str">
        <f>IF(AF$3="","",IF(COUNTIFS(BD!$A$3:$A$5001,AF$3,BD!$B$3:$B$5001,$A$143,BD!$E$3:$E$5001,"&lt;&gt;")=0,"",SUMIFS(BD!$E$3:$E$5001,BD!$A$3:$A$5001,AF$3,BD!$B$3:$B$5001,$A$143)))</f>
        <v/>
      </c>
      <c r="AG145" s="173" t="str">
        <f>IF(AG$3="","",IF(COUNTIFS(BD!$A$3:$A$5001,AG$3,BD!$B$3:$B$5001,$A$143,BD!$E$3:$E$5001,"&lt;&gt;")=0,"",SUMIFS(BD!$E$3:$E$5001,BD!$A$3:$A$5001,AG$3,BD!$B$3:$B$5001,$A$143)))</f>
        <v/>
      </c>
      <c r="AH145" s="173" t="str">
        <f>IF(AH$3="","",IF(COUNTIFS(BD!$A$3:$A$5001,AH$3,BD!$B$3:$B$5001,$A$143,BD!$E$3:$E$5001,"&lt;&gt;")=0,"",SUMIFS(BD!$E$3:$E$5001,BD!$A$3:$A$5001,AH$3,BD!$B$3:$B$5001,$A$143)))</f>
        <v/>
      </c>
      <c r="AI145" s="173" t="str">
        <f>IF(AI$3="","",IF(COUNTIFS(BD!$A$3:$A$5001,AI$3,BD!$B$3:$B$5001,$A$143,BD!$E$3:$E$5001,"&lt;&gt;")=0,"",SUMIFS(BD!$E$3:$E$5001,BD!$A$3:$A$5001,AI$3,BD!$B$3:$B$5001,$A$143)))</f>
        <v/>
      </c>
      <c r="AJ145" s="174" t="str">
        <f>IF(AJ$3="","",IF(COUNTIFS(BD!$A$3:$A$5001,AJ$3,BD!$B$3:$B$5001,$A$143,BD!$E$3:$E$5001,"&lt;&gt;")=0,"",SUMIFS(BD!$E$3:$E$5001,BD!$A$3:$A$5001,AJ$3,BD!$B$3:$B$5001,$A$143)))</f>
        <v/>
      </c>
      <c r="AK145" s="175" t="str">
        <f>IF(COUNT(F145:AJ145)=0,"",SUM(F145:AJ145))</f>
        <v/>
      </c>
    </row>
    <row r="146" ht="15.75" customHeight="1" hidden="1">
      <c r="A146" s="254"/>
      <c r="B146" s="244" t="inlineStr">
        <is>
          <t xml:space="preserve">OUT</t>
        </is>
      </c>
      <c r="C146" s="176" t="inlineStr">
        <is>
          <t xml:space="preserve">Veículos Expedidos</t>
        </is>
      </c>
      <c r="D146" s="177" t="str">
        <f>IFERROR(1/(1/INDEX(BD!$Y$26:$AS$26,MATCH($A$143,BD!$Y$22:$AS$22,0))),"")</f>
        <v/>
      </c>
      <c r="E146" s="178"/>
      <c r="F146" s="179" t="str">
        <f>IF(F$3="","",IF(COUNTIFS(BD!$A$3:$A$5001,F$3,BD!$B$3:$B$5001,$A$143,BD!$F$3:$F$5001,"&lt;&gt;")=0,"",SUMIFS(BD!$F$3:$F$5001,BD!$A$3:$A$5001,F$3,BD!$B$3:$B$5001,$A$143)))</f>
        <v/>
      </c>
      <c r="G146" s="180" t="str">
        <f>IF(G$3="","",IF(COUNTIFS(BD!$A$3:$A$5001,G$3,BD!$B$3:$B$5001,$A$143,BD!$F$3:$F$5001,"&lt;&gt;")=0,"",SUMIFS(BD!$F$3:$F$5001,BD!$A$3:$A$5001,G$3,BD!$B$3:$B$5001,$A$143)))</f>
        <v/>
      </c>
      <c r="H146" s="180" t="str">
        <f>IF(H$3="","",IF(COUNTIFS(BD!$A$3:$A$5001,H$3,BD!$B$3:$B$5001,$A$143,BD!$F$3:$F$5001,"&lt;&gt;")=0,"",SUMIFS(BD!$F$3:$F$5001,BD!$A$3:$A$5001,H$3,BD!$B$3:$B$5001,$A$143)))</f>
        <v/>
      </c>
      <c r="I146" s="180" t="str">
        <f>IF(I$3="","",IF(COUNTIFS(BD!$A$3:$A$5001,I$3,BD!$B$3:$B$5001,$A$143,BD!$F$3:$F$5001,"&lt;&gt;")=0,"",SUMIFS(BD!$F$3:$F$5001,BD!$A$3:$A$5001,I$3,BD!$B$3:$B$5001,$A$143)))</f>
        <v/>
      </c>
      <c r="J146" s="180" t="str">
        <f>IF(J$3="","",IF(COUNTIFS(BD!$A$3:$A$5001,J$3,BD!$B$3:$B$5001,$A$143,BD!$F$3:$F$5001,"&lt;&gt;")=0,"",SUMIFS(BD!$F$3:$F$5001,BD!$A$3:$A$5001,J$3,BD!$B$3:$B$5001,$A$143)))</f>
        <v/>
      </c>
      <c r="K146" s="180" t="str">
        <f>IF(K$3="","",IF(COUNTIFS(BD!$A$3:$A$5001,K$3,BD!$B$3:$B$5001,$A$143,BD!$F$3:$F$5001,"&lt;&gt;")=0,"",SUMIFS(BD!$F$3:$F$5001,BD!$A$3:$A$5001,K$3,BD!$B$3:$B$5001,$A$143)))</f>
        <v/>
      </c>
      <c r="L146" s="180" t="str">
        <f>IF(L$3="","",IF(COUNTIFS(BD!$A$3:$A$5001,L$3,BD!$B$3:$B$5001,$A$143,BD!$F$3:$F$5001,"&lt;&gt;")=0,"",SUMIFS(BD!$F$3:$F$5001,BD!$A$3:$A$5001,L$3,BD!$B$3:$B$5001,$A$143)))</f>
        <v/>
      </c>
      <c r="M146" s="180" t="str">
        <f>IF(M$3="","",IF(COUNTIFS(BD!$A$3:$A$5001,M$3,BD!$B$3:$B$5001,$A$143,BD!$F$3:$F$5001,"&lt;&gt;")=0,"",SUMIFS(BD!$F$3:$F$5001,BD!$A$3:$A$5001,M$3,BD!$B$3:$B$5001,$A$143)))</f>
        <v/>
      </c>
      <c r="N146" s="180" t="str">
        <f>IF(N$3="","",IF(COUNTIFS(BD!$A$3:$A$5001,N$3,BD!$B$3:$B$5001,$A$143,BD!$F$3:$F$5001,"&lt;&gt;")=0,"",SUMIFS(BD!$F$3:$F$5001,BD!$A$3:$A$5001,N$3,BD!$B$3:$B$5001,$A$143)))</f>
        <v/>
      </c>
      <c r="O146" s="180" t="str">
        <f>IF(O$3="","",IF(COUNTIFS(BD!$A$3:$A$5001,O$3,BD!$B$3:$B$5001,$A$143,BD!$F$3:$F$5001,"&lt;&gt;")=0,"",SUMIFS(BD!$F$3:$F$5001,BD!$A$3:$A$5001,O$3,BD!$B$3:$B$5001,$A$143)))</f>
        <v/>
      </c>
      <c r="P146" s="180" t="str">
        <f>IF(P$3="","",IF(COUNTIFS(BD!$A$3:$A$5001,P$3,BD!$B$3:$B$5001,$A$143,BD!$F$3:$F$5001,"&lt;&gt;")=0,"",SUMIFS(BD!$F$3:$F$5001,BD!$A$3:$A$5001,P$3,BD!$B$3:$B$5001,$A$143)))</f>
        <v/>
      </c>
      <c r="Q146" s="180" t="str">
        <f>IF(Q$3="","",IF(COUNTIFS(BD!$A$3:$A$5001,Q$3,BD!$B$3:$B$5001,$A$143,BD!$F$3:$F$5001,"&lt;&gt;")=0,"",SUMIFS(BD!$F$3:$F$5001,BD!$A$3:$A$5001,Q$3,BD!$B$3:$B$5001,$A$143)))</f>
        <v/>
      </c>
      <c r="R146" s="180" t="str">
        <f>IF(R$3="","",IF(COUNTIFS(BD!$A$3:$A$5001,R$3,BD!$B$3:$B$5001,$A$143,BD!$F$3:$F$5001,"&lt;&gt;")=0,"",SUMIFS(BD!$F$3:$F$5001,BD!$A$3:$A$5001,R$3,BD!$B$3:$B$5001,$A$143)))</f>
        <v/>
      </c>
      <c r="S146" s="180" t="str">
        <f>IF(S$3="","",IF(COUNTIFS(BD!$A$3:$A$5001,S$3,BD!$B$3:$B$5001,$A$143,BD!$F$3:$F$5001,"&lt;&gt;")=0,"",SUMIFS(BD!$F$3:$F$5001,BD!$A$3:$A$5001,S$3,BD!$B$3:$B$5001,$A$143)))</f>
        <v/>
      </c>
      <c r="T146" s="180" t="str">
        <f>IF(T$3="","",IF(COUNTIFS(BD!$A$3:$A$5001,T$3,BD!$B$3:$B$5001,$A$143,BD!$F$3:$F$5001,"&lt;&gt;")=0,"",SUMIFS(BD!$F$3:$F$5001,BD!$A$3:$A$5001,T$3,BD!$B$3:$B$5001,$A$143)))</f>
        <v/>
      </c>
      <c r="U146" s="180" t="str">
        <f>IF(U$3="","",IF(COUNTIFS(BD!$A$3:$A$5001,U$3,BD!$B$3:$B$5001,$A$143,BD!$F$3:$F$5001,"&lt;&gt;")=0,"",SUMIFS(BD!$F$3:$F$5001,BD!$A$3:$A$5001,U$3,BD!$B$3:$B$5001,$A$143)))</f>
        <v/>
      </c>
      <c r="V146" s="180" t="str">
        <f>IF(V$3="","",IF(COUNTIFS(BD!$A$3:$A$5001,V$3,BD!$B$3:$B$5001,$A$143,BD!$F$3:$F$5001,"&lt;&gt;")=0,"",SUMIFS(BD!$F$3:$F$5001,BD!$A$3:$A$5001,V$3,BD!$B$3:$B$5001,$A$143)))</f>
        <v/>
      </c>
      <c r="W146" s="180" t="str">
        <f>IF(W$3="","",IF(COUNTIFS(BD!$A$3:$A$5001,W$3,BD!$B$3:$B$5001,$A$143,BD!$F$3:$F$5001,"&lt;&gt;")=0,"",SUMIFS(BD!$F$3:$F$5001,BD!$A$3:$A$5001,W$3,BD!$B$3:$B$5001,$A$143)))</f>
        <v/>
      </c>
      <c r="X146" s="180" t="str">
        <f>IF(X$3="","",IF(COUNTIFS(BD!$A$3:$A$5001,X$3,BD!$B$3:$B$5001,$A$143,BD!$F$3:$F$5001,"&lt;&gt;")=0,"",SUMIFS(BD!$F$3:$F$5001,BD!$A$3:$A$5001,X$3,BD!$B$3:$B$5001,$A$143)))</f>
        <v/>
      </c>
      <c r="Y146" s="180" t="str">
        <f>IF(Y$3="","",IF(COUNTIFS(BD!$A$3:$A$5001,Y$3,BD!$B$3:$B$5001,$A$143,BD!$F$3:$F$5001,"&lt;&gt;")=0,"",SUMIFS(BD!$F$3:$F$5001,BD!$A$3:$A$5001,Y$3,BD!$B$3:$B$5001,$A$143)))</f>
        <v/>
      </c>
      <c r="Z146" s="180" t="str">
        <f>IF(Z$3="","",IF(COUNTIFS(BD!$A$3:$A$5001,Z$3,BD!$B$3:$B$5001,$A$143,BD!$F$3:$F$5001,"&lt;&gt;")=0,"",SUMIFS(BD!$F$3:$F$5001,BD!$A$3:$A$5001,Z$3,BD!$B$3:$B$5001,$A$143)))</f>
        <v/>
      </c>
      <c r="AA146" s="180" t="str">
        <f>IF(AA$3="","",IF(COUNTIFS(BD!$A$3:$A$5001,AA$3,BD!$B$3:$B$5001,$A$143,BD!$F$3:$F$5001,"&lt;&gt;")=0,"",SUMIFS(BD!$F$3:$F$5001,BD!$A$3:$A$5001,AA$3,BD!$B$3:$B$5001,$A$143)))</f>
        <v/>
      </c>
      <c r="AB146" s="180" t="str">
        <f>IF(AB$3="","",IF(COUNTIFS(BD!$A$3:$A$5001,AB$3,BD!$B$3:$B$5001,$A$143,BD!$F$3:$F$5001,"&lt;&gt;")=0,"",SUMIFS(BD!$F$3:$F$5001,BD!$A$3:$A$5001,AB$3,BD!$B$3:$B$5001,$A$143)))</f>
        <v/>
      </c>
      <c r="AC146" s="180" t="str">
        <f>IF(AC$3="","",IF(COUNTIFS(BD!$A$3:$A$5001,AC$3,BD!$B$3:$B$5001,$A$143,BD!$F$3:$F$5001,"&lt;&gt;")=0,"",SUMIFS(BD!$F$3:$F$5001,BD!$A$3:$A$5001,AC$3,BD!$B$3:$B$5001,$A$143)))</f>
        <v/>
      </c>
      <c r="AD146" s="180" t="str">
        <f>IF(AD$3="","",IF(COUNTIFS(BD!$A$3:$A$5001,AD$3,BD!$B$3:$B$5001,$A$143,BD!$F$3:$F$5001,"&lt;&gt;")=0,"",SUMIFS(BD!$F$3:$F$5001,BD!$A$3:$A$5001,AD$3,BD!$B$3:$B$5001,$A$143)))</f>
        <v/>
      </c>
      <c r="AE146" s="180" t="str">
        <f>IF(AE$3="","",IF(COUNTIFS(BD!$A$3:$A$5001,AE$3,BD!$B$3:$B$5001,$A$143,BD!$F$3:$F$5001,"&lt;&gt;")=0,"",SUMIFS(BD!$F$3:$F$5001,BD!$A$3:$A$5001,AE$3,BD!$B$3:$B$5001,$A$143)))</f>
        <v/>
      </c>
      <c r="AF146" s="180" t="str">
        <f>IF(AF$3="","",IF(COUNTIFS(BD!$A$3:$A$5001,AF$3,BD!$B$3:$B$5001,$A$143,BD!$F$3:$F$5001,"&lt;&gt;")=0,"",SUMIFS(BD!$F$3:$F$5001,BD!$A$3:$A$5001,AF$3,BD!$B$3:$B$5001,$A$143)))</f>
        <v/>
      </c>
      <c r="AG146" s="180" t="str">
        <f>IF(AG$3="","",IF(COUNTIFS(BD!$A$3:$A$5001,AG$3,BD!$B$3:$B$5001,$A$143,BD!$F$3:$F$5001,"&lt;&gt;")=0,"",SUMIFS(BD!$F$3:$F$5001,BD!$A$3:$A$5001,AG$3,BD!$B$3:$B$5001,$A$143)))</f>
        <v/>
      </c>
      <c r="AH146" s="180" t="str">
        <f>IF(AH$3="","",IF(COUNTIFS(BD!$A$3:$A$5001,AH$3,BD!$B$3:$B$5001,$A$143,BD!$F$3:$F$5001,"&lt;&gt;")=0,"",SUMIFS(BD!$F$3:$F$5001,BD!$A$3:$A$5001,AH$3,BD!$B$3:$B$5001,$A$143)))</f>
        <v/>
      </c>
      <c r="AI146" s="180" t="str">
        <f>IF(AI$3="","",IF(COUNTIFS(BD!$A$3:$A$5001,AI$3,BD!$B$3:$B$5001,$A$143,BD!$F$3:$F$5001,"&lt;&gt;")=0,"",SUMIFS(BD!$F$3:$F$5001,BD!$A$3:$A$5001,AI$3,BD!$B$3:$B$5001,$A$143)))</f>
        <v/>
      </c>
      <c r="AJ146" s="181" t="str">
        <f>IF(AJ$3="","",IF(COUNTIFS(BD!$A$3:$A$5001,AJ$3,BD!$B$3:$B$5001,$A$143,BD!$F$3:$F$5001,"&lt;&gt;")=0,"",SUMIFS(BD!$F$3:$F$5001,BD!$A$3:$A$5001,AJ$3,BD!$B$3:$B$5001,$A$143)))</f>
        <v/>
      </c>
      <c r="AK146" s="182" t="str">
        <f>IF(COUNT(F146:AJ146)=0,"",SUM(F146:AJ146))</f>
        <v/>
      </c>
    </row>
    <row r="147" ht="15.75" customHeight="1" hidden="1">
      <c r="A147" s="254"/>
      <c r="B147" s="245"/>
      <c r="C147" s="183" t="inlineStr">
        <is>
          <t xml:space="preserve">Pallets Movimentados</t>
        </is>
      </c>
      <c r="D147" s="184" t="str">
        <f>IFERROR(1/(1/INDEX(BD!$Y$27:$AS$27,MATCH($A$143,BD!$Y$22:$AS$22,0))),"")</f>
        <v/>
      </c>
      <c r="E147" s="185"/>
      <c r="F147" s="186" t="str">
        <f>IF(F$3="","",IF(COUNTIFS(BD!$A$3:$A$5001,F$3,BD!$B$3:$B$5001,$A$143,BD!$G$3:$G$5001,"&lt;&gt;")=0,"",SUMIFS(BD!$G$3:$G$5001,BD!$A$3:$A$5001,F$3,BD!$B$3:$B$5001,$A$143)))</f>
        <v/>
      </c>
      <c r="G147" s="187" t="str">
        <f>IF(G$3="","",IF(COUNTIFS(BD!$A$3:$A$5001,G$3,BD!$B$3:$B$5001,$A$143,BD!$G$3:$G$5001,"&lt;&gt;")=0,"",SUMIFS(BD!$G$3:$G$5001,BD!$A$3:$A$5001,G$3,BD!$B$3:$B$5001,$A$143)))</f>
        <v/>
      </c>
      <c r="H147" s="187" t="str">
        <f>IF(H$3="","",IF(COUNTIFS(BD!$A$3:$A$5001,H$3,BD!$B$3:$B$5001,$A$143,BD!$G$3:$G$5001,"&lt;&gt;")=0,"",SUMIFS(BD!$G$3:$G$5001,BD!$A$3:$A$5001,H$3,BD!$B$3:$B$5001,$A$143)))</f>
        <v/>
      </c>
      <c r="I147" s="187" t="str">
        <f>IF(I$3="","",IF(COUNTIFS(BD!$A$3:$A$5001,I$3,BD!$B$3:$B$5001,$A$143,BD!$G$3:$G$5001,"&lt;&gt;")=0,"",SUMIFS(BD!$G$3:$G$5001,BD!$A$3:$A$5001,I$3,BD!$B$3:$B$5001,$A$143)))</f>
        <v/>
      </c>
      <c r="J147" s="187" t="str">
        <f>IF(J$3="","",IF(COUNTIFS(BD!$A$3:$A$5001,J$3,BD!$B$3:$B$5001,$A$143,BD!$G$3:$G$5001,"&lt;&gt;")=0,"",SUMIFS(BD!$G$3:$G$5001,BD!$A$3:$A$5001,J$3,BD!$B$3:$B$5001,$A$143)))</f>
        <v/>
      </c>
      <c r="K147" s="187" t="str">
        <f>IF(K$3="","",IF(COUNTIFS(BD!$A$3:$A$5001,K$3,BD!$B$3:$B$5001,$A$143,BD!$G$3:$G$5001,"&lt;&gt;")=0,"",SUMIFS(BD!$G$3:$G$5001,BD!$A$3:$A$5001,K$3,BD!$B$3:$B$5001,$A$143)))</f>
        <v/>
      </c>
      <c r="L147" s="187" t="str">
        <f>IF(L$3="","",IF(COUNTIFS(BD!$A$3:$A$5001,L$3,BD!$B$3:$B$5001,$A$143,BD!$G$3:$G$5001,"&lt;&gt;")=0,"",SUMIFS(BD!$G$3:$G$5001,BD!$A$3:$A$5001,L$3,BD!$B$3:$B$5001,$A$143)))</f>
        <v/>
      </c>
      <c r="M147" s="187" t="str">
        <f>IF(M$3="","",IF(COUNTIFS(BD!$A$3:$A$5001,M$3,BD!$B$3:$B$5001,$A$143,BD!$G$3:$G$5001,"&lt;&gt;")=0,"",SUMIFS(BD!$G$3:$G$5001,BD!$A$3:$A$5001,M$3,BD!$B$3:$B$5001,$A$143)))</f>
        <v/>
      </c>
      <c r="N147" s="187" t="str">
        <f>IF(N$3="","",IF(COUNTIFS(BD!$A$3:$A$5001,N$3,BD!$B$3:$B$5001,$A$143,BD!$G$3:$G$5001,"&lt;&gt;")=0,"",SUMIFS(BD!$G$3:$G$5001,BD!$A$3:$A$5001,N$3,BD!$B$3:$B$5001,$A$143)))</f>
        <v/>
      </c>
      <c r="O147" s="187" t="str">
        <f>IF(O$3="","",IF(COUNTIFS(BD!$A$3:$A$5001,O$3,BD!$B$3:$B$5001,$A$143,BD!$G$3:$G$5001,"&lt;&gt;")=0,"",SUMIFS(BD!$G$3:$G$5001,BD!$A$3:$A$5001,O$3,BD!$B$3:$B$5001,$A$143)))</f>
        <v/>
      </c>
      <c r="P147" s="187" t="str">
        <f>IF(P$3="","",IF(COUNTIFS(BD!$A$3:$A$5001,P$3,BD!$B$3:$B$5001,$A$143,BD!$G$3:$G$5001,"&lt;&gt;")=0,"",SUMIFS(BD!$G$3:$G$5001,BD!$A$3:$A$5001,P$3,BD!$B$3:$B$5001,$A$143)))</f>
        <v/>
      </c>
      <c r="Q147" s="187" t="str">
        <f>IF(Q$3="","",IF(COUNTIFS(BD!$A$3:$A$5001,Q$3,BD!$B$3:$B$5001,$A$143,BD!$G$3:$G$5001,"&lt;&gt;")=0,"",SUMIFS(BD!$G$3:$G$5001,BD!$A$3:$A$5001,Q$3,BD!$B$3:$B$5001,$A$143)))</f>
        <v/>
      </c>
      <c r="R147" s="187" t="str">
        <f>IF(R$3="","",IF(COUNTIFS(BD!$A$3:$A$5001,R$3,BD!$B$3:$B$5001,$A$143,BD!$G$3:$G$5001,"&lt;&gt;")=0,"",SUMIFS(BD!$G$3:$G$5001,BD!$A$3:$A$5001,R$3,BD!$B$3:$B$5001,$A$143)))</f>
        <v/>
      </c>
      <c r="S147" s="187" t="str">
        <f>IF(S$3="","",IF(COUNTIFS(BD!$A$3:$A$5001,S$3,BD!$B$3:$B$5001,$A$143,BD!$G$3:$G$5001,"&lt;&gt;")=0,"",SUMIFS(BD!$G$3:$G$5001,BD!$A$3:$A$5001,S$3,BD!$B$3:$B$5001,$A$143)))</f>
        <v/>
      </c>
      <c r="T147" s="187" t="str">
        <f>IF(T$3="","",IF(COUNTIFS(BD!$A$3:$A$5001,T$3,BD!$B$3:$B$5001,$A$143,BD!$G$3:$G$5001,"&lt;&gt;")=0,"",SUMIFS(BD!$G$3:$G$5001,BD!$A$3:$A$5001,T$3,BD!$B$3:$B$5001,$A$143)))</f>
        <v/>
      </c>
      <c r="U147" s="187" t="str">
        <f>IF(U$3="","",IF(COUNTIFS(BD!$A$3:$A$5001,U$3,BD!$B$3:$B$5001,$A$143,BD!$G$3:$G$5001,"&lt;&gt;")=0,"",SUMIFS(BD!$G$3:$G$5001,BD!$A$3:$A$5001,U$3,BD!$B$3:$B$5001,$A$143)))</f>
        <v/>
      </c>
      <c r="V147" s="187" t="str">
        <f>IF(V$3="","",IF(COUNTIFS(BD!$A$3:$A$5001,V$3,BD!$B$3:$B$5001,$A$143,BD!$G$3:$G$5001,"&lt;&gt;")=0,"",SUMIFS(BD!$G$3:$G$5001,BD!$A$3:$A$5001,V$3,BD!$B$3:$B$5001,$A$143)))</f>
        <v/>
      </c>
      <c r="W147" s="187" t="str">
        <f>IF(W$3="","",IF(COUNTIFS(BD!$A$3:$A$5001,W$3,BD!$B$3:$B$5001,$A$143,BD!$G$3:$G$5001,"&lt;&gt;")=0,"",SUMIFS(BD!$G$3:$G$5001,BD!$A$3:$A$5001,W$3,BD!$B$3:$B$5001,$A$143)))</f>
        <v/>
      </c>
      <c r="X147" s="187" t="str">
        <f>IF(X$3="","",IF(COUNTIFS(BD!$A$3:$A$5001,X$3,BD!$B$3:$B$5001,$A$143,BD!$G$3:$G$5001,"&lt;&gt;")=0,"",SUMIFS(BD!$G$3:$G$5001,BD!$A$3:$A$5001,X$3,BD!$B$3:$B$5001,$A$143)))</f>
        <v/>
      </c>
      <c r="Y147" s="187" t="str">
        <f>IF(Y$3="","",IF(COUNTIFS(BD!$A$3:$A$5001,Y$3,BD!$B$3:$B$5001,$A$143,BD!$G$3:$G$5001,"&lt;&gt;")=0,"",SUMIFS(BD!$G$3:$G$5001,BD!$A$3:$A$5001,Y$3,BD!$B$3:$B$5001,$A$143)))</f>
        <v/>
      </c>
      <c r="Z147" s="187" t="str">
        <f>IF(Z$3="","",IF(COUNTIFS(BD!$A$3:$A$5001,Z$3,BD!$B$3:$B$5001,$A$143,BD!$G$3:$G$5001,"&lt;&gt;")=0,"",SUMIFS(BD!$G$3:$G$5001,BD!$A$3:$A$5001,Z$3,BD!$B$3:$B$5001,$A$143)))</f>
        <v/>
      </c>
      <c r="AA147" s="187" t="str">
        <f>IF(AA$3="","",IF(COUNTIFS(BD!$A$3:$A$5001,AA$3,BD!$B$3:$B$5001,$A$143,BD!$G$3:$G$5001,"&lt;&gt;")=0,"",SUMIFS(BD!$G$3:$G$5001,BD!$A$3:$A$5001,AA$3,BD!$B$3:$B$5001,$A$143)))</f>
        <v/>
      </c>
      <c r="AB147" s="187" t="str">
        <f>IF(AB$3="","",IF(COUNTIFS(BD!$A$3:$A$5001,AB$3,BD!$B$3:$B$5001,$A$143,BD!$G$3:$G$5001,"&lt;&gt;")=0,"",SUMIFS(BD!$G$3:$G$5001,BD!$A$3:$A$5001,AB$3,BD!$B$3:$B$5001,$A$143)))</f>
        <v/>
      </c>
      <c r="AC147" s="187" t="str">
        <f>IF(AC$3="","",IF(COUNTIFS(BD!$A$3:$A$5001,AC$3,BD!$B$3:$B$5001,$A$143,BD!$G$3:$G$5001,"&lt;&gt;")=0,"",SUMIFS(BD!$G$3:$G$5001,BD!$A$3:$A$5001,AC$3,BD!$B$3:$B$5001,$A$143)))</f>
        <v/>
      </c>
      <c r="AD147" s="187" t="str">
        <f>IF(AD$3="","",IF(COUNTIFS(BD!$A$3:$A$5001,AD$3,BD!$B$3:$B$5001,$A$143,BD!$G$3:$G$5001,"&lt;&gt;")=0,"",SUMIFS(BD!$G$3:$G$5001,BD!$A$3:$A$5001,AD$3,BD!$B$3:$B$5001,$A$143)))</f>
        <v/>
      </c>
      <c r="AE147" s="187" t="str">
        <f>IF(AE$3="","",IF(COUNTIFS(BD!$A$3:$A$5001,AE$3,BD!$B$3:$B$5001,$A$143,BD!$G$3:$G$5001,"&lt;&gt;")=0,"",SUMIFS(BD!$G$3:$G$5001,BD!$A$3:$A$5001,AE$3,BD!$B$3:$B$5001,$A$143)))</f>
        <v/>
      </c>
      <c r="AF147" s="187" t="str">
        <f>IF(AF$3="","",IF(COUNTIFS(BD!$A$3:$A$5001,AF$3,BD!$B$3:$B$5001,$A$143,BD!$G$3:$G$5001,"&lt;&gt;")=0,"",SUMIFS(BD!$G$3:$G$5001,BD!$A$3:$A$5001,AF$3,BD!$B$3:$B$5001,$A$143)))</f>
        <v/>
      </c>
      <c r="AG147" s="187" t="str">
        <f>IF(AG$3="","",IF(COUNTIFS(BD!$A$3:$A$5001,AG$3,BD!$B$3:$B$5001,$A$143,BD!$G$3:$G$5001,"&lt;&gt;")=0,"",SUMIFS(BD!$G$3:$G$5001,BD!$A$3:$A$5001,AG$3,BD!$B$3:$B$5001,$A$143)))</f>
        <v/>
      </c>
      <c r="AH147" s="187" t="str">
        <f>IF(AH$3="","",IF(COUNTIFS(BD!$A$3:$A$5001,AH$3,BD!$B$3:$B$5001,$A$143,BD!$G$3:$G$5001,"&lt;&gt;")=0,"",SUMIFS(BD!$G$3:$G$5001,BD!$A$3:$A$5001,AH$3,BD!$B$3:$B$5001,$A$143)))</f>
        <v/>
      </c>
      <c r="AI147" s="187" t="str">
        <f>IF(AI$3="","",IF(COUNTIFS(BD!$A$3:$A$5001,AI$3,BD!$B$3:$B$5001,$A$143,BD!$G$3:$G$5001,"&lt;&gt;")=0,"",SUMIFS(BD!$G$3:$G$5001,BD!$A$3:$A$5001,AI$3,BD!$B$3:$B$5001,$A$143)))</f>
        <v/>
      </c>
      <c r="AJ147" s="188" t="str">
        <f>IF(AJ$3="","",IF(COUNTIFS(BD!$A$3:$A$5001,AJ$3,BD!$B$3:$B$5001,$A$143,BD!$G$3:$G$5001,"&lt;&gt;")=0,"",SUMIFS(BD!$G$3:$G$5001,BD!$A$3:$A$5001,AJ$3,BD!$B$3:$B$5001,$A$143)))</f>
        <v/>
      </c>
      <c r="AK147" s="189" t="str">
        <f>IF(COUNT(F147:AJ147)=0,"",SUM(F147:AJ147))</f>
        <v/>
      </c>
    </row>
    <row r="148" ht="15.75" customHeight="1" hidden="1">
      <c r="A148" s="254"/>
      <c r="B148" s="246"/>
      <c r="C148" s="190" t="inlineStr">
        <is>
          <t xml:space="preserve">Toneladas Movimentadas</t>
        </is>
      </c>
      <c r="D148" s="191" t="str">
        <f>IFERROR(1/(1/INDEX(BD!$Y$28:$AS$28,MATCH($A$143,BD!$Y$22:$AS$22,0))),"")</f>
        <v/>
      </c>
      <c r="E148" s="192"/>
      <c r="F148" s="193" t="str">
        <f>IF(F$3="","",IF(COUNTIFS(BD!$A$3:$A$5001,F$3,BD!$B$3:$B$5001,$A$143,BD!$H$3:$H$5001,"&lt;&gt;")=0,"",SUMIFS(BD!$H$3:$H$5001,BD!$A$3:$A$5001,F$3,BD!$B$3:$B$5001,$A$143)))</f>
        <v/>
      </c>
      <c r="G148" s="194" t="str">
        <f>IF(G$3="","",IF(COUNTIFS(BD!$A$3:$A$5001,G$3,BD!$B$3:$B$5001,$A$143,BD!$H$3:$H$5001,"&lt;&gt;")=0,"",SUMIFS(BD!$H$3:$H$5001,BD!$A$3:$A$5001,G$3,BD!$B$3:$B$5001,$A$143)))</f>
        <v/>
      </c>
      <c r="H148" s="194" t="str">
        <f>IF(H$3="","",IF(COUNTIFS(BD!$A$3:$A$5001,H$3,BD!$B$3:$B$5001,$A$143,BD!$H$3:$H$5001,"&lt;&gt;")=0,"",SUMIFS(BD!$H$3:$H$5001,BD!$A$3:$A$5001,H$3,BD!$B$3:$B$5001,$A$143)))</f>
        <v/>
      </c>
      <c r="I148" s="194" t="str">
        <f>IF(I$3="","",IF(COUNTIFS(BD!$A$3:$A$5001,I$3,BD!$B$3:$B$5001,$A$143,BD!$H$3:$H$5001,"&lt;&gt;")=0,"",SUMIFS(BD!$H$3:$H$5001,BD!$A$3:$A$5001,I$3,BD!$B$3:$B$5001,$A$143)))</f>
        <v/>
      </c>
      <c r="J148" s="194" t="str">
        <f>IF(J$3="","",IF(COUNTIFS(BD!$A$3:$A$5001,J$3,BD!$B$3:$B$5001,$A$143,BD!$H$3:$H$5001,"&lt;&gt;")=0,"",SUMIFS(BD!$H$3:$H$5001,BD!$A$3:$A$5001,J$3,BD!$B$3:$B$5001,$A$143)))</f>
        <v/>
      </c>
      <c r="K148" s="194" t="str">
        <f>IF(K$3="","",IF(COUNTIFS(BD!$A$3:$A$5001,K$3,BD!$B$3:$B$5001,$A$143,BD!$H$3:$H$5001,"&lt;&gt;")=0,"",SUMIFS(BD!$H$3:$H$5001,BD!$A$3:$A$5001,K$3,BD!$B$3:$B$5001,$A$143)))</f>
        <v/>
      </c>
      <c r="L148" s="194" t="str">
        <f>IF(L$3="","",IF(COUNTIFS(BD!$A$3:$A$5001,L$3,BD!$B$3:$B$5001,$A$143,BD!$H$3:$H$5001,"&lt;&gt;")=0,"",SUMIFS(BD!$H$3:$H$5001,BD!$A$3:$A$5001,L$3,BD!$B$3:$B$5001,$A$143)))</f>
        <v/>
      </c>
      <c r="M148" s="194" t="str">
        <f>IF(M$3="","",IF(COUNTIFS(BD!$A$3:$A$5001,M$3,BD!$B$3:$B$5001,$A$143,BD!$H$3:$H$5001,"&lt;&gt;")=0,"",SUMIFS(BD!$H$3:$H$5001,BD!$A$3:$A$5001,M$3,BD!$B$3:$B$5001,$A$143)))</f>
        <v/>
      </c>
      <c r="N148" s="194" t="str">
        <f>IF(N$3="","",IF(COUNTIFS(BD!$A$3:$A$5001,N$3,BD!$B$3:$B$5001,$A$143,BD!$H$3:$H$5001,"&lt;&gt;")=0,"",SUMIFS(BD!$H$3:$H$5001,BD!$A$3:$A$5001,N$3,BD!$B$3:$B$5001,$A$143)))</f>
        <v/>
      </c>
      <c r="O148" s="194" t="str">
        <f>IF(O$3="","",IF(COUNTIFS(BD!$A$3:$A$5001,O$3,BD!$B$3:$B$5001,$A$143,BD!$H$3:$H$5001,"&lt;&gt;")=0,"",SUMIFS(BD!$H$3:$H$5001,BD!$A$3:$A$5001,O$3,BD!$B$3:$B$5001,$A$143)))</f>
        <v/>
      </c>
      <c r="P148" s="194" t="str">
        <f>IF(P$3="","",IF(COUNTIFS(BD!$A$3:$A$5001,P$3,BD!$B$3:$B$5001,$A$143,BD!$H$3:$H$5001,"&lt;&gt;")=0,"",SUMIFS(BD!$H$3:$H$5001,BD!$A$3:$A$5001,P$3,BD!$B$3:$B$5001,$A$143)))</f>
        <v/>
      </c>
      <c r="Q148" s="194" t="str">
        <f>IF(Q$3="","",IF(COUNTIFS(BD!$A$3:$A$5001,Q$3,BD!$B$3:$B$5001,$A$143,BD!$H$3:$H$5001,"&lt;&gt;")=0,"",SUMIFS(BD!$H$3:$H$5001,BD!$A$3:$A$5001,Q$3,BD!$B$3:$B$5001,$A$143)))</f>
        <v/>
      </c>
      <c r="R148" s="194" t="str">
        <f>IF(R$3="","",IF(COUNTIFS(BD!$A$3:$A$5001,R$3,BD!$B$3:$B$5001,$A$143,BD!$H$3:$H$5001,"&lt;&gt;")=0,"",SUMIFS(BD!$H$3:$H$5001,BD!$A$3:$A$5001,R$3,BD!$B$3:$B$5001,$A$143)))</f>
        <v/>
      </c>
      <c r="S148" s="194" t="str">
        <f>IF(S$3="","",IF(COUNTIFS(BD!$A$3:$A$5001,S$3,BD!$B$3:$B$5001,$A$143,BD!$H$3:$H$5001,"&lt;&gt;")=0,"",SUMIFS(BD!$H$3:$H$5001,BD!$A$3:$A$5001,S$3,BD!$B$3:$B$5001,$A$143)))</f>
        <v/>
      </c>
      <c r="T148" s="194" t="str">
        <f>IF(T$3="","",IF(COUNTIFS(BD!$A$3:$A$5001,T$3,BD!$B$3:$B$5001,$A$143,BD!$H$3:$H$5001,"&lt;&gt;")=0,"",SUMIFS(BD!$H$3:$H$5001,BD!$A$3:$A$5001,T$3,BD!$B$3:$B$5001,$A$143)))</f>
        <v/>
      </c>
      <c r="U148" s="194" t="str">
        <f>IF(U$3="","",IF(COUNTIFS(BD!$A$3:$A$5001,U$3,BD!$B$3:$B$5001,$A$143,BD!$H$3:$H$5001,"&lt;&gt;")=0,"",SUMIFS(BD!$H$3:$H$5001,BD!$A$3:$A$5001,U$3,BD!$B$3:$B$5001,$A$143)))</f>
        <v/>
      </c>
      <c r="V148" s="194" t="str">
        <f>IF(V$3="","",IF(COUNTIFS(BD!$A$3:$A$5001,V$3,BD!$B$3:$B$5001,$A$143,BD!$H$3:$H$5001,"&lt;&gt;")=0,"",SUMIFS(BD!$H$3:$H$5001,BD!$A$3:$A$5001,V$3,BD!$B$3:$B$5001,$A$143)))</f>
        <v/>
      </c>
      <c r="W148" s="194" t="str">
        <f>IF(W$3="","",IF(COUNTIFS(BD!$A$3:$A$5001,W$3,BD!$B$3:$B$5001,$A$143,BD!$H$3:$H$5001,"&lt;&gt;")=0,"",SUMIFS(BD!$H$3:$H$5001,BD!$A$3:$A$5001,W$3,BD!$B$3:$B$5001,$A$143)))</f>
        <v/>
      </c>
      <c r="X148" s="194" t="str">
        <f>IF(X$3="","",IF(COUNTIFS(BD!$A$3:$A$5001,X$3,BD!$B$3:$B$5001,$A$143,BD!$H$3:$H$5001,"&lt;&gt;")=0,"",SUMIFS(BD!$H$3:$H$5001,BD!$A$3:$A$5001,X$3,BD!$B$3:$B$5001,$A$143)))</f>
        <v/>
      </c>
      <c r="Y148" s="194" t="str">
        <f>IF(Y$3="","",IF(COUNTIFS(BD!$A$3:$A$5001,Y$3,BD!$B$3:$B$5001,$A$143,BD!$H$3:$H$5001,"&lt;&gt;")=0,"",SUMIFS(BD!$H$3:$H$5001,BD!$A$3:$A$5001,Y$3,BD!$B$3:$B$5001,$A$143)))</f>
        <v/>
      </c>
      <c r="Z148" s="194" t="str">
        <f>IF(Z$3="","",IF(COUNTIFS(BD!$A$3:$A$5001,Z$3,BD!$B$3:$B$5001,$A$143,BD!$H$3:$H$5001,"&lt;&gt;")=0,"",SUMIFS(BD!$H$3:$H$5001,BD!$A$3:$A$5001,Z$3,BD!$B$3:$B$5001,$A$143)))</f>
        <v/>
      </c>
      <c r="AA148" s="194" t="str">
        <f>IF(AA$3="","",IF(COUNTIFS(BD!$A$3:$A$5001,AA$3,BD!$B$3:$B$5001,$A$143,BD!$H$3:$H$5001,"&lt;&gt;")=0,"",SUMIFS(BD!$H$3:$H$5001,BD!$A$3:$A$5001,AA$3,BD!$B$3:$B$5001,$A$143)))</f>
        <v/>
      </c>
      <c r="AB148" s="194" t="str">
        <f>IF(AB$3="","",IF(COUNTIFS(BD!$A$3:$A$5001,AB$3,BD!$B$3:$B$5001,$A$143,BD!$H$3:$H$5001,"&lt;&gt;")=0,"",SUMIFS(BD!$H$3:$H$5001,BD!$A$3:$A$5001,AB$3,BD!$B$3:$B$5001,$A$143)))</f>
        <v/>
      </c>
      <c r="AC148" s="194" t="str">
        <f>IF(AC$3="","",IF(COUNTIFS(BD!$A$3:$A$5001,AC$3,BD!$B$3:$B$5001,$A$143,BD!$H$3:$H$5001,"&lt;&gt;")=0,"",SUMIFS(BD!$H$3:$H$5001,BD!$A$3:$A$5001,AC$3,BD!$B$3:$B$5001,$A$143)))</f>
        <v/>
      </c>
      <c r="AD148" s="194" t="str">
        <f>IF(AD$3="","",IF(COUNTIFS(BD!$A$3:$A$5001,AD$3,BD!$B$3:$B$5001,$A$143,BD!$H$3:$H$5001,"&lt;&gt;")=0,"",SUMIFS(BD!$H$3:$H$5001,BD!$A$3:$A$5001,AD$3,BD!$B$3:$B$5001,$A$143)))</f>
        <v/>
      </c>
      <c r="AE148" s="194" t="str">
        <f>IF(AE$3="","",IF(COUNTIFS(BD!$A$3:$A$5001,AE$3,BD!$B$3:$B$5001,$A$143,BD!$H$3:$H$5001,"&lt;&gt;")=0,"",SUMIFS(BD!$H$3:$H$5001,BD!$A$3:$A$5001,AE$3,BD!$B$3:$B$5001,$A$143)))</f>
        <v/>
      </c>
      <c r="AF148" s="194" t="str">
        <f>IF(AF$3="","",IF(COUNTIFS(BD!$A$3:$A$5001,AF$3,BD!$B$3:$B$5001,$A$143,BD!$H$3:$H$5001,"&lt;&gt;")=0,"",SUMIFS(BD!$H$3:$H$5001,BD!$A$3:$A$5001,AF$3,BD!$B$3:$B$5001,$A$143)))</f>
        <v/>
      </c>
      <c r="AG148" s="194" t="str">
        <f>IF(AG$3="","",IF(COUNTIFS(BD!$A$3:$A$5001,AG$3,BD!$B$3:$B$5001,$A$143,BD!$H$3:$H$5001,"&lt;&gt;")=0,"",SUMIFS(BD!$H$3:$H$5001,BD!$A$3:$A$5001,AG$3,BD!$B$3:$B$5001,$A$143)))</f>
        <v/>
      </c>
      <c r="AH148" s="194" t="str">
        <f>IF(AH$3="","",IF(COUNTIFS(BD!$A$3:$A$5001,AH$3,BD!$B$3:$B$5001,$A$143,BD!$H$3:$H$5001,"&lt;&gt;")=0,"",SUMIFS(BD!$H$3:$H$5001,BD!$A$3:$A$5001,AH$3,BD!$B$3:$B$5001,$A$143)))</f>
        <v/>
      </c>
      <c r="AI148" s="194" t="str">
        <f>IF(AI$3="","",IF(COUNTIFS(BD!$A$3:$A$5001,AI$3,BD!$B$3:$B$5001,$A$143,BD!$H$3:$H$5001,"&lt;&gt;")=0,"",SUMIFS(BD!$H$3:$H$5001,BD!$A$3:$A$5001,AI$3,BD!$B$3:$B$5001,$A$143)))</f>
        <v/>
      </c>
      <c r="AJ148" s="195" t="str">
        <f>IF(AJ$3="","",IF(COUNTIFS(BD!$A$3:$A$5001,AJ$3,BD!$B$3:$B$5001,$A$143,BD!$H$3:$H$5001,"&lt;&gt;")=0,"",SUMIFS(BD!$H$3:$H$5001,BD!$A$3:$A$5001,AJ$3,BD!$B$3:$B$5001,$A$143)))</f>
        <v/>
      </c>
      <c r="AK148" s="196" t="str">
        <f>IF(COUNT(F148:AJ148)=0,"",SUM(F148:AJ148))</f>
        <v/>
      </c>
    </row>
    <row r="149" ht="15.75" customHeight="1" hidden="1">
      <c r="A149" s="254"/>
      <c r="B149" s="247" t="inlineStr">
        <is>
          <t xml:space="preserve">NC</t>
        </is>
      </c>
      <c r="C149" s="197" t="inlineStr">
        <is>
          <t xml:space="preserve">Incidentes</t>
        </is>
      </c>
      <c r="D149" s="198" t="str">
        <f>IFERROR(1/(1/INDEX(BD!$Y$29:$AS$29,MATCH($A$143,BD!$Y$22:$AS$22,0))),"")</f>
        <v/>
      </c>
      <c r="E149" s="199"/>
      <c r="F149" s="200" t="str">
        <f>IF(F$3="","",IF(COUNTIFS(BD!$A$3:$A$5001,F$3,BD!$B$3:$B$5001,$A$143,BD!$I$3:$I$5001,"&lt;&gt;")=0,"",SUMIFS(BD!$I$3:$I$5001,BD!$A$3:$A$5001,F$3,BD!$B$3:$B$5001,$A$143)))</f>
        <v/>
      </c>
      <c r="G149" s="201" t="str">
        <f>IF(G$3="","",IF(COUNTIFS(BD!$A$3:$A$5001,G$3,BD!$B$3:$B$5001,$A$143,BD!$I$3:$I$5001,"&lt;&gt;")=0,"",SUMIFS(BD!$I$3:$I$5001,BD!$A$3:$A$5001,G$3,BD!$B$3:$B$5001,$A$143)))</f>
        <v/>
      </c>
      <c r="H149" s="201" t="str">
        <f>IF(H$3="","",IF(COUNTIFS(BD!$A$3:$A$5001,H$3,BD!$B$3:$B$5001,$A$143,BD!$I$3:$I$5001,"&lt;&gt;")=0,"",SUMIFS(BD!$I$3:$I$5001,BD!$A$3:$A$5001,H$3,BD!$B$3:$B$5001,$A$143)))</f>
        <v/>
      </c>
      <c r="I149" s="201" t="str">
        <f>IF(I$3="","",IF(COUNTIFS(BD!$A$3:$A$5001,I$3,BD!$B$3:$B$5001,$A$143,BD!$I$3:$I$5001,"&lt;&gt;")=0,"",SUMIFS(BD!$I$3:$I$5001,BD!$A$3:$A$5001,I$3,BD!$B$3:$B$5001,$A$143)))</f>
        <v/>
      </c>
      <c r="J149" s="201" t="str">
        <f>IF(J$3="","",IF(COUNTIFS(BD!$A$3:$A$5001,J$3,BD!$B$3:$B$5001,$A$143,BD!$I$3:$I$5001,"&lt;&gt;")=0,"",SUMIFS(BD!$I$3:$I$5001,BD!$A$3:$A$5001,J$3,BD!$B$3:$B$5001,$A$143)))</f>
        <v/>
      </c>
      <c r="K149" s="201" t="str">
        <f>IF(K$3="","",IF(COUNTIFS(BD!$A$3:$A$5001,K$3,BD!$B$3:$B$5001,$A$143,BD!$I$3:$I$5001,"&lt;&gt;")=0,"",SUMIFS(BD!$I$3:$I$5001,BD!$A$3:$A$5001,K$3,BD!$B$3:$B$5001,$A$143)))</f>
        <v/>
      </c>
      <c r="L149" s="201" t="str">
        <f>IF(L$3="","",IF(COUNTIFS(BD!$A$3:$A$5001,L$3,BD!$B$3:$B$5001,$A$143,BD!$I$3:$I$5001,"&lt;&gt;")=0,"",SUMIFS(BD!$I$3:$I$5001,BD!$A$3:$A$5001,L$3,BD!$B$3:$B$5001,$A$143)))</f>
        <v/>
      </c>
      <c r="M149" s="201" t="str">
        <f>IF(M$3="","",IF(COUNTIFS(BD!$A$3:$A$5001,M$3,BD!$B$3:$B$5001,$A$143,BD!$I$3:$I$5001,"&lt;&gt;")=0,"",SUMIFS(BD!$I$3:$I$5001,BD!$A$3:$A$5001,M$3,BD!$B$3:$B$5001,$A$143)))</f>
        <v/>
      </c>
      <c r="N149" s="201" t="str">
        <f>IF(N$3="","",IF(COUNTIFS(BD!$A$3:$A$5001,N$3,BD!$B$3:$B$5001,$A$143,BD!$I$3:$I$5001,"&lt;&gt;")=0,"",SUMIFS(BD!$I$3:$I$5001,BD!$A$3:$A$5001,N$3,BD!$B$3:$B$5001,$A$143)))</f>
        <v/>
      </c>
      <c r="O149" s="201" t="str">
        <f>IF(O$3="","",IF(COUNTIFS(BD!$A$3:$A$5001,O$3,BD!$B$3:$B$5001,$A$143,BD!$I$3:$I$5001,"&lt;&gt;")=0,"",SUMIFS(BD!$I$3:$I$5001,BD!$A$3:$A$5001,O$3,BD!$B$3:$B$5001,$A$143)))</f>
        <v/>
      </c>
      <c r="P149" s="201" t="str">
        <f>IF(P$3="","",IF(COUNTIFS(BD!$A$3:$A$5001,P$3,BD!$B$3:$B$5001,$A$143,BD!$I$3:$I$5001,"&lt;&gt;")=0,"",SUMIFS(BD!$I$3:$I$5001,BD!$A$3:$A$5001,P$3,BD!$B$3:$B$5001,$A$143)))</f>
        <v/>
      </c>
      <c r="Q149" s="201" t="str">
        <f>IF(Q$3="","",IF(COUNTIFS(BD!$A$3:$A$5001,Q$3,BD!$B$3:$B$5001,$A$143,BD!$I$3:$I$5001,"&lt;&gt;")=0,"",SUMIFS(BD!$I$3:$I$5001,BD!$A$3:$A$5001,Q$3,BD!$B$3:$B$5001,$A$143)))</f>
        <v/>
      </c>
      <c r="R149" s="201" t="str">
        <f>IF(R$3="","",IF(COUNTIFS(BD!$A$3:$A$5001,R$3,BD!$B$3:$B$5001,$A$143,BD!$I$3:$I$5001,"&lt;&gt;")=0,"",SUMIFS(BD!$I$3:$I$5001,BD!$A$3:$A$5001,R$3,BD!$B$3:$B$5001,$A$143)))</f>
        <v/>
      </c>
      <c r="S149" s="201" t="str">
        <f>IF(S$3="","",IF(COUNTIFS(BD!$A$3:$A$5001,S$3,BD!$B$3:$B$5001,$A$143,BD!$I$3:$I$5001,"&lt;&gt;")=0,"",SUMIFS(BD!$I$3:$I$5001,BD!$A$3:$A$5001,S$3,BD!$B$3:$B$5001,$A$143)))</f>
        <v/>
      </c>
      <c r="T149" s="201" t="str">
        <f>IF(T$3="","",IF(COUNTIFS(BD!$A$3:$A$5001,T$3,BD!$B$3:$B$5001,$A$143,BD!$I$3:$I$5001,"&lt;&gt;")=0,"",SUMIFS(BD!$I$3:$I$5001,BD!$A$3:$A$5001,T$3,BD!$B$3:$B$5001,$A$143)))</f>
        <v/>
      </c>
      <c r="U149" s="201" t="str">
        <f>IF(U$3="","",IF(COUNTIFS(BD!$A$3:$A$5001,U$3,BD!$B$3:$B$5001,$A$143,BD!$I$3:$I$5001,"&lt;&gt;")=0,"",SUMIFS(BD!$I$3:$I$5001,BD!$A$3:$A$5001,U$3,BD!$B$3:$B$5001,$A$143)))</f>
        <v/>
      </c>
      <c r="V149" s="201" t="str">
        <f>IF(V$3="","",IF(COUNTIFS(BD!$A$3:$A$5001,V$3,BD!$B$3:$B$5001,$A$143,BD!$I$3:$I$5001,"&lt;&gt;")=0,"",SUMIFS(BD!$I$3:$I$5001,BD!$A$3:$A$5001,V$3,BD!$B$3:$B$5001,$A$143)))</f>
        <v/>
      </c>
      <c r="W149" s="201" t="str">
        <f>IF(W$3="","",IF(COUNTIFS(BD!$A$3:$A$5001,W$3,BD!$B$3:$B$5001,$A$143,BD!$I$3:$I$5001,"&lt;&gt;")=0,"",SUMIFS(BD!$I$3:$I$5001,BD!$A$3:$A$5001,W$3,BD!$B$3:$B$5001,$A$143)))</f>
        <v/>
      </c>
      <c r="X149" s="201" t="str">
        <f>IF(X$3="","",IF(COUNTIFS(BD!$A$3:$A$5001,X$3,BD!$B$3:$B$5001,$A$143,BD!$I$3:$I$5001,"&lt;&gt;")=0,"",SUMIFS(BD!$I$3:$I$5001,BD!$A$3:$A$5001,X$3,BD!$B$3:$B$5001,$A$143)))</f>
        <v/>
      </c>
      <c r="Y149" s="201" t="str">
        <f>IF(Y$3="","",IF(COUNTIFS(BD!$A$3:$A$5001,Y$3,BD!$B$3:$B$5001,$A$143,BD!$I$3:$I$5001,"&lt;&gt;")=0,"",SUMIFS(BD!$I$3:$I$5001,BD!$A$3:$A$5001,Y$3,BD!$B$3:$B$5001,$A$143)))</f>
        <v/>
      </c>
      <c r="Z149" s="201" t="str">
        <f>IF(Z$3="","",IF(COUNTIFS(BD!$A$3:$A$5001,Z$3,BD!$B$3:$B$5001,$A$143,BD!$I$3:$I$5001,"&lt;&gt;")=0,"",SUMIFS(BD!$I$3:$I$5001,BD!$A$3:$A$5001,Z$3,BD!$B$3:$B$5001,$A$143)))</f>
        <v/>
      </c>
      <c r="AA149" s="201" t="str">
        <f>IF(AA$3="","",IF(COUNTIFS(BD!$A$3:$A$5001,AA$3,BD!$B$3:$B$5001,$A$143,BD!$I$3:$I$5001,"&lt;&gt;")=0,"",SUMIFS(BD!$I$3:$I$5001,BD!$A$3:$A$5001,AA$3,BD!$B$3:$B$5001,$A$143)))</f>
        <v/>
      </c>
      <c r="AB149" s="201" t="str">
        <f>IF(AB$3="","",IF(COUNTIFS(BD!$A$3:$A$5001,AB$3,BD!$B$3:$B$5001,$A$143,BD!$I$3:$I$5001,"&lt;&gt;")=0,"",SUMIFS(BD!$I$3:$I$5001,BD!$A$3:$A$5001,AB$3,BD!$B$3:$B$5001,$A$143)))</f>
        <v/>
      </c>
      <c r="AC149" s="201" t="str">
        <f>IF(AC$3="","",IF(COUNTIFS(BD!$A$3:$A$5001,AC$3,BD!$B$3:$B$5001,$A$143,BD!$I$3:$I$5001,"&lt;&gt;")=0,"",SUMIFS(BD!$I$3:$I$5001,BD!$A$3:$A$5001,AC$3,BD!$B$3:$B$5001,$A$143)))</f>
        <v/>
      </c>
      <c r="AD149" s="201" t="str">
        <f>IF(AD$3="","",IF(COUNTIFS(BD!$A$3:$A$5001,AD$3,BD!$B$3:$B$5001,$A$143,BD!$I$3:$I$5001,"&lt;&gt;")=0,"",SUMIFS(BD!$I$3:$I$5001,BD!$A$3:$A$5001,AD$3,BD!$B$3:$B$5001,$A$143)))</f>
        <v/>
      </c>
      <c r="AE149" s="201" t="str">
        <f>IF(AE$3="","",IF(COUNTIFS(BD!$A$3:$A$5001,AE$3,BD!$B$3:$B$5001,$A$143,BD!$I$3:$I$5001,"&lt;&gt;")=0,"",SUMIFS(BD!$I$3:$I$5001,BD!$A$3:$A$5001,AE$3,BD!$B$3:$B$5001,$A$143)))</f>
        <v/>
      </c>
      <c r="AF149" s="201" t="str">
        <f>IF(AF$3="","",IF(COUNTIFS(BD!$A$3:$A$5001,AF$3,BD!$B$3:$B$5001,$A$143,BD!$I$3:$I$5001,"&lt;&gt;")=0,"",SUMIFS(BD!$I$3:$I$5001,BD!$A$3:$A$5001,AF$3,BD!$B$3:$B$5001,$A$143)))</f>
        <v/>
      </c>
      <c r="AG149" s="201" t="str">
        <f>IF(AG$3="","",IF(COUNTIFS(BD!$A$3:$A$5001,AG$3,BD!$B$3:$B$5001,$A$143,BD!$I$3:$I$5001,"&lt;&gt;")=0,"",SUMIFS(BD!$I$3:$I$5001,BD!$A$3:$A$5001,AG$3,BD!$B$3:$B$5001,$A$143)))</f>
        <v/>
      </c>
      <c r="AH149" s="201" t="str">
        <f>IF(AH$3="","",IF(COUNTIFS(BD!$A$3:$A$5001,AH$3,BD!$B$3:$B$5001,$A$143,BD!$I$3:$I$5001,"&lt;&gt;")=0,"",SUMIFS(BD!$I$3:$I$5001,BD!$A$3:$A$5001,AH$3,BD!$B$3:$B$5001,$A$143)))</f>
        <v/>
      </c>
      <c r="AI149" s="201" t="str">
        <f>IF(AI$3="","",IF(COUNTIFS(BD!$A$3:$A$5001,AI$3,BD!$B$3:$B$5001,$A$143,BD!$I$3:$I$5001,"&lt;&gt;")=0,"",SUMIFS(BD!$I$3:$I$5001,BD!$A$3:$A$5001,AI$3,BD!$B$3:$B$5001,$A$143)))</f>
        <v/>
      </c>
      <c r="AJ149" s="202" t="str">
        <f>IF(AJ$3="","",IF(COUNTIFS(BD!$A$3:$A$5001,AJ$3,BD!$B$3:$B$5001,$A$143,BD!$I$3:$I$5001,"&lt;&gt;")=0,"",SUMIFS(BD!$I$3:$I$5001,BD!$A$3:$A$5001,AJ$3,BD!$B$3:$B$5001,$A$143)))</f>
        <v/>
      </c>
      <c r="AK149" s="203" t="str">
        <f>IF(COUNT(F149:AJ149)=0,"",SUM(F149:AJ149))</f>
        <v/>
      </c>
    </row>
    <row r="150" ht="15.75" customHeight="1" hidden="1">
      <c r="A150" s="254"/>
      <c r="B150" s="248"/>
      <c r="C150" s="204" t="inlineStr">
        <is>
          <t xml:space="preserve">No show</t>
        </is>
      </c>
      <c r="D150" s="205" t="str">
        <f>IFERROR(1/(1/INDEX(BD!$Y$30:$AS$30,MATCH($A$143,BD!$Y$22:$AS$22,0))),"")</f>
        <v/>
      </c>
      <c r="E150" s="206"/>
      <c r="F150" s="207" t="str">
        <f>IF(F$3="","",IF(COUNTIFS(BD!$A$3:$A$5001,F$3,BD!$B$3:$B$5001,$A$143,BD!$J$3:$J$5001,"&lt;&gt;")=0,"",SUMIFS(BD!$J$3:$J$5001,BD!$A$3:$A$5001,F$3,BD!$B$3:$B$5001,$A$143)))</f>
        <v/>
      </c>
      <c r="G150" s="208" t="str">
        <f>IF(G$3="","",IF(COUNTIFS(BD!$A$3:$A$5001,G$3,BD!$B$3:$B$5001,$A$143,BD!$J$3:$J$5001,"&lt;&gt;")=0,"",SUMIFS(BD!$J$3:$J$5001,BD!$A$3:$A$5001,G$3,BD!$B$3:$B$5001,$A$143)))</f>
        <v/>
      </c>
      <c r="H150" s="208" t="str">
        <f>IF(H$3="","",IF(COUNTIFS(BD!$A$3:$A$5001,H$3,BD!$B$3:$B$5001,$A$143,BD!$J$3:$J$5001,"&lt;&gt;")=0,"",SUMIFS(BD!$J$3:$J$5001,BD!$A$3:$A$5001,H$3,BD!$B$3:$B$5001,$A$143)))</f>
        <v/>
      </c>
      <c r="I150" s="208" t="str">
        <f>IF(I$3="","",IF(COUNTIFS(BD!$A$3:$A$5001,I$3,BD!$B$3:$B$5001,$A$143,BD!$J$3:$J$5001,"&lt;&gt;")=0,"",SUMIFS(BD!$J$3:$J$5001,BD!$A$3:$A$5001,I$3,BD!$B$3:$B$5001,$A$143)))</f>
        <v/>
      </c>
      <c r="J150" s="208" t="str">
        <f>IF(J$3="","",IF(COUNTIFS(BD!$A$3:$A$5001,J$3,BD!$B$3:$B$5001,$A$143,BD!$J$3:$J$5001,"&lt;&gt;")=0,"",SUMIFS(BD!$J$3:$J$5001,BD!$A$3:$A$5001,J$3,BD!$B$3:$B$5001,$A$143)))</f>
        <v/>
      </c>
      <c r="K150" s="208" t="str">
        <f>IF(K$3="","",IF(COUNTIFS(BD!$A$3:$A$5001,K$3,BD!$B$3:$B$5001,$A$143,BD!$J$3:$J$5001,"&lt;&gt;")=0,"",SUMIFS(BD!$J$3:$J$5001,BD!$A$3:$A$5001,K$3,BD!$B$3:$B$5001,$A$143)))</f>
        <v/>
      </c>
      <c r="L150" s="208" t="str">
        <f>IF(L$3="","",IF(COUNTIFS(BD!$A$3:$A$5001,L$3,BD!$B$3:$B$5001,$A$143,BD!$J$3:$J$5001,"&lt;&gt;")=0,"",SUMIFS(BD!$J$3:$J$5001,BD!$A$3:$A$5001,L$3,BD!$B$3:$B$5001,$A$143)))</f>
        <v/>
      </c>
      <c r="M150" s="208" t="str">
        <f>IF(M$3="","",IF(COUNTIFS(BD!$A$3:$A$5001,M$3,BD!$B$3:$B$5001,$A$143,BD!$J$3:$J$5001,"&lt;&gt;")=0,"",SUMIFS(BD!$J$3:$J$5001,BD!$A$3:$A$5001,M$3,BD!$B$3:$B$5001,$A$143)))</f>
        <v/>
      </c>
      <c r="N150" s="208" t="str">
        <f>IF(N$3="","",IF(COUNTIFS(BD!$A$3:$A$5001,N$3,BD!$B$3:$B$5001,$A$143,BD!$J$3:$J$5001,"&lt;&gt;")=0,"",SUMIFS(BD!$J$3:$J$5001,BD!$A$3:$A$5001,N$3,BD!$B$3:$B$5001,$A$143)))</f>
        <v/>
      </c>
      <c r="O150" s="208" t="str">
        <f>IF(O$3="","",IF(COUNTIFS(BD!$A$3:$A$5001,O$3,BD!$B$3:$B$5001,$A$143,BD!$J$3:$J$5001,"&lt;&gt;")=0,"",SUMIFS(BD!$J$3:$J$5001,BD!$A$3:$A$5001,O$3,BD!$B$3:$B$5001,$A$143)))</f>
        <v/>
      </c>
      <c r="P150" s="208" t="str">
        <f>IF(P$3="","",IF(COUNTIFS(BD!$A$3:$A$5001,P$3,BD!$B$3:$B$5001,$A$143,BD!$J$3:$J$5001,"&lt;&gt;")=0,"",SUMIFS(BD!$J$3:$J$5001,BD!$A$3:$A$5001,P$3,BD!$B$3:$B$5001,$A$143)))</f>
        <v/>
      </c>
      <c r="Q150" s="208" t="str">
        <f>IF(Q$3="","",IF(COUNTIFS(BD!$A$3:$A$5001,Q$3,BD!$B$3:$B$5001,$A$143,BD!$J$3:$J$5001,"&lt;&gt;")=0,"",SUMIFS(BD!$J$3:$J$5001,BD!$A$3:$A$5001,Q$3,BD!$B$3:$B$5001,$A$143)))</f>
        <v/>
      </c>
      <c r="R150" s="208" t="str">
        <f>IF(R$3="","",IF(COUNTIFS(BD!$A$3:$A$5001,R$3,BD!$B$3:$B$5001,$A$143,BD!$J$3:$J$5001,"&lt;&gt;")=0,"",SUMIFS(BD!$J$3:$J$5001,BD!$A$3:$A$5001,R$3,BD!$B$3:$B$5001,$A$143)))</f>
        <v/>
      </c>
      <c r="S150" s="208" t="str">
        <f>IF(S$3="","",IF(COUNTIFS(BD!$A$3:$A$5001,S$3,BD!$B$3:$B$5001,$A$143,BD!$J$3:$J$5001,"&lt;&gt;")=0,"",SUMIFS(BD!$J$3:$J$5001,BD!$A$3:$A$5001,S$3,BD!$B$3:$B$5001,$A$143)))</f>
        <v/>
      </c>
      <c r="T150" s="208" t="str">
        <f>IF(T$3="","",IF(COUNTIFS(BD!$A$3:$A$5001,T$3,BD!$B$3:$B$5001,$A$143,BD!$J$3:$J$5001,"&lt;&gt;")=0,"",SUMIFS(BD!$J$3:$J$5001,BD!$A$3:$A$5001,T$3,BD!$B$3:$B$5001,$A$143)))</f>
        <v/>
      </c>
      <c r="U150" s="208" t="str">
        <f>IF(U$3="","",IF(COUNTIFS(BD!$A$3:$A$5001,U$3,BD!$B$3:$B$5001,$A$143,BD!$J$3:$J$5001,"&lt;&gt;")=0,"",SUMIFS(BD!$J$3:$J$5001,BD!$A$3:$A$5001,U$3,BD!$B$3:$B$5001,$A$143)))</f>
        <v/>
      </c>
      <c r="V150" s="208" t="str">
        <f>IF(V$3="","",IF(COUNTIFS(BD!$A$3:$A$5001,V$3,BD!$B$3:$B$5001,$A$143,BD!$J$3:$J$5001,"&lt;&gt;")=0,"",SUMIFS(BD!$J$3:$J$5001,BD!$A$3:$A$5001,V$3,BD!$B$3:$B$5001,$A$143)))</f>
        <v/>
      </c>
      <c r="W150" s="208" t="str">
        <f>IF(W$3="","",IF(COUNTIFS(BD!$A$3:$A$5001,W$3,BD!$B$3:$B$5001,$A$143,BD!$J$3:$J$5001,"&lt;&gt;")=0,"",SUMIFS(BD!$J$3:$J$5001,BD!$A$3:$A$5001,W$3,BD!$B$3:$B$5001,$A$143)))</f>
        <v/>
      </c>
      <c r="X150" s="208" t="str">
        <f>IF(X$3="","",IF(COUNTIFS(BD!$A$3:$A$5001,X$3,BD!$B$3:$B$5001,$A$143,BD!$J$3:$J$5001,"&lt;&gt;")=0,"",SUMIFS(BD!$J$3:$J$5001,BD!$A$3:$A$5001,X$3,BD!$B$3:$B$5001,$A$143)))</f>
        <v/>
      </c>
      <c r="Y150" s="208" t="str">
        <f>IF(Y$3="","",IF(COUNTIFS(BD!$A$3:$A$5001,Y$3,BD!$B$3:$B$5001,$A$143,BD!$J$3:$J$5001,"&lt;&gt;")=0,"",SUMIFS(BD!$J$3:$J$5001,BD!$A$3:$A$5001,Y$3,BD!$B$3:$B$5001,$A$143)))</f>
        <v/>
      </c>
      <c r="Z150" s="208" t="str">
        <f>IF(Z$3="","",IF(COUNTIFS(BD!$A$3:$A$5001,Z$3,BD!$B$3:$B$5001,$A$143,BD!$J$3:$J$5001,"&lt;&gt;")=0,"",SUMIFS(BD!$J$3:$J$5001,BD!$A$3:$A$5001,Z$3,BD!$B$3:$B$5001,$A$143)))</f>
        <v/>
      </c>
      <c r="AA150" s="208" t="str">
        <f>IF(AA$3="","",IF(COUNTIFS(BD!$A$3:$A$5001,AA$3,BD!$B$3:$B$5001,$A$143,BD!$J$3:$J$5001,"&lt;&gt;")=0,"",SUMIFS(BD!$J$3:$J$5001,BD!$A$3:$A$5001,AA$3,BD!$B$3:$B$5001,$A$143)))</f>
        <v/>
      </c>
      <c r="AB150" s="208" t="str">
        <f>IF(AB$3="","",IF(COUNTIFS(BD!$A$3:$A$5001,AB$3,BD!$B$3:$B$5001,$A$143,BD!$J$3:$J$5001,"&lt;&gt;")=0,"",SUMIFS(BD!$J$3:$J$5001,BD!$A$3:$A$5001,AB$3,BD!$B$3:$B$5001,$A$143)))</f>
        <v/>
      </c>
      <c r="AC150" s="208" t="str">
        <f>IF(AC$3="","",IF(COUNTIFS(BD!$A$3:$A$5001,AC$3,BD!$B$3:$B$5001,$A$143,BD!$J$3:$J$5001,"&lt;&gt;")=0,"",SUMIFS(BD!$J$3:$J$5001,BD!$A$3:$A$5001,AC$3,BD!$B$3:$B$5001,$A$143)))</f>
        <v/>
      </c>
      <c r="AD150" s="208" t="str">
        <f>IF(AD$3="","",IF(COUNTIFS(BD!$A$3:$A$5001,AD$3,BD!$B$3:$B$5001,$A$143,BD!$J$3:$J$5001,"&lt;&gt;")=0,"",SUMIFS(BD!$J$3:$J$5001,BD!$A$3:$A$5001,AD$3,BD!$B$3:$B$5001,$A$143)))</f>
        <v/>
      </c>
      <c r="AE150" s="208" t="str">
        <f>IF(AE$3="","",IF(COUNTIFS(BD!$A$3:$A$5001,AE$3,BD!$B$3:$B$5001,$A$143,BD!$J$3:$J$5001,"&lt;&gt;")=0,"",SUMIFS(BD!$J$3:$J$5001,BD!$A$3:$A$5001,AE$3,BD!$B$3:$B$5001,$A$143)))</f>
        <v/>
      </c>
      <c r="AF150" s="208" t="str">
        <f>IF(AF$3="","",IF(COUNTIFS(BD!$A$3:$A$5001,AF$3,BD!$B$3:$B$5001,$A$143,BD!$J$3:$J$5001,"&lt;&gt;")=0,"",SUMIFS(BD!$J$3:$J$5001,BD!$A$3:$A$5001,AF$3,BD!$B$3:$B$5001,$A$143)))</f>
        <v/>
      </c>
      <c r="AG150" s="208" t="str">
        <f>IF(AG$3="","",IF(COUNTIFS(BD!$A$3:$A$5001,AG$3,BD!$B$3:$B$5001,$A$143,BD!$J$3:$J$5001,"&lt;&gt;")=0,"",SUMIFS(BD!$J$3:$J$5001,BD!$A$3:$A$5001,AG$3,BD!$B$3:$B$5001,$A$143)))</f>
        <v/>
      </c>
      <c r="AH150" s="208" t="str">
        <f>IF(AH$3="","",IF(COUNTIFS(BD!$A$3:$A$5001,AH$3,BD!$B$3:$B$5001,$A$143,BD!$J$3:$J$5001,"&lt;&gt;")=0,"",SUMIFS(BD!$J$3:$J$5001,BD!$A$3:$A$5001,AH$3,BD!$B$3:$B$5001,$A$143)))</f>
        <v/>
      </c>
      <c r="AI150" s="208" t="str">
        <f>IF(AI$3="","",IF(COUNTIFS(BD!$A$3:$A$5001,AI$3,BD!$B$3:$B$5001,$A$143,BD!$J$3:$J$5001,"&lt;&gt;")=0,"",SUMIFS(BD!$J$3:$J$5001,BD!$A$3:$A$5001,AI$3,BD!$B$3:$B$5001,$A$143)))</f>
        <v/>
      </c>
      <c r="AJ150" s="209" t="str">
        <f>IF(AJ$3="","",IF(COUNTIFS(BD!$A$3:$A$5001,AJ$3,BD!$B$3:$B$5001,$A$143,BD!$J$3:$J$5001,"&lt;&gt;")=0,"",SUMIFS(BD!$J$3:$J$5001,BD!$A$3:$A$5001,AJ$3,BD!$B$3:$B$5001,$A$143)))</f>
        <v/>
      </c>
      <c r="AK150" s="210" t="str">
        <f>IF(COUNT(F150:AJ150)=0,"",SUM(F150:AJ150))</f>
        <v/>
      </c>
    </row>
    <row r="151" ht="15.75" customHeight="1" hidden="1">
      <c r="A151" s="254"/>
      <c r="B151" s="249"/>
      <c r="C151" s="211" t="inlineStr">
        <is>
          <t xml:space="preserve">Backlog</t>
        </is>
      </c>
      <c r="D151" s="212" t="str">
        <f>IFERROR(1/(1/INDEX(BD!$Y$31:$AS$31,MATCH($A$143,BD!$Y$22:$AS$22,0))),"")</f>
        <v/>
      </c>
      <c r="E151" s="213"/>
      <c r="F151" s="214" t="str">
        <f>IF(F$3="","",IF(COUNTIFS(BD!$A$3:$A$5001,F$3,BD!$B$3:$B$5001,$A$143,BD!$K$3:$K$5001,"&lt;&gt;")=0,"",SUMIFS(BD!$K$3:$K$5001,BD!$A$3:$A$5001,F$3,BD!$B$3:$B$5001,$A$143)))</f>
        <v/>
      </c>
      <c r="G151" s="215" t="str">
        <f>IF(G$3="","",IF(COUNTIFS(BD!$A$3:$A$5001,G$3,BD!$B$3:$B$5001,$A$143,BD!$K$3:$K$5001,"&lt;&gt;")=0,"",SUMIFS(BD!$K$3:$K$5001,BD!$A$3:$A$5001,G$3,BD!$B$3:$B$5001,$A$143)))</f>
        <v/>
      </c>
      <c r="H151" s="215" t="str">
        <f>IF(H$3="","",IF(COUNTIFS(BD!$A$3:$A$5001,H$3,BD!$B$3:$B$5001,$A$143,BD!$K$3:$K$5001,"&lt;&gt;")=0,"",SUMIFS(BD!$K$3:$K$5001,BD!$A$3:$A$5001,H$3,BD!$B$3:$B$5001,$A$143)))</f>
        <v/>
      </c>
      <c r="I151" s="215" t="str">
        <f>IF(I$3="","",IF(COUNTIFS(BD!$A$3:$A$5001,I$3,BD!$B$3:$B$5001,$A$143,BD!$K$3:$K$5001,"&lt;&gt;")=0,"",SUMIFS(BD!$K$3:$K$5001,BD!$A$3:$A$5001,I$3,BD!$B$3:$B$5001,$A$143)))</f>
        <v/>
      </c>
      <c r="J151" s="215" t="str">
        <f>IF(J$3="","",IF(COUNTIFS(BD!$A$3:$A$5001,J$3,BD!$B$3:$B$5001,$A$143,BD!$K$3:$K$5001,"&lt;&gt;")=0,"",SUMIFS(BD!$K$3:$K$5001,BD!$A$3:$A$5001,J$3,BD!$B$3:$B$5001,$A$143)))</f>
        <v/>
      </c>
      <c r="K151" s="215" t="str">
        <f>IF(K$3="","",IF(COUNTIFS(BD!$A$3:$A$5001,K$3,BD!$B$3:$B$5001,$A$143,BD!$K$3:$K$5001,"&lt;&gt;")=0,"",SUMIFS(BD!$K$3:$K$5001,BD!$A$3:$A$5001,K$3,BD!$B$3:$B$5001,$A$143)))</f>
        <v/>
      </c>
      <c r="L151" s="215" t="str">
        <f>IF(L$3="","",IF(COUNTIFS(BD!$A$3:$A$5001,L$3,BD!$B$3:$B$5001,$A$143,BD!$K$3:$K$5001,"&lt;&gt;")=0,"",SUMIFS(BD!$K$3:$K$5001,BD!$A$3:$A$5001,L$3,BD!$B$3:$B$5001,$A$143)))</f>
        <v/>
      </c>
      <c r="M151" s="215" t="str">
        <f>IF(M$3="","",IF(COUNTIFS(BD!$A$3:$A$5001,M$3,BD!$B$3:$B$5001,$A$143,BD!$K$3:$K$5001,"&lt;&gt;")=0,"",SUMIFS(BD!$K$3:$K$5001,BD!$A$3:$A$5001,M$3,BD!$B$3:$B$5001,$A$143)))</f>
        <v/>
      </c>
      <c r="N151" s="215" t="str">
        <f>IF(N$3="","",IF(COUNTIFS(BD!$A$3:$A$5001,N$3,BD!$B$3:$B$5001,$A$143,BD!$K$3:$K$5001,"&lt;&gt;")=0,"",SUMIFS(BD!$K$3:$K$5001,BD!$A$3:$A$5001,N$3,BD!$B$3:$B$5001,$A$143)))</f>
        <v/>
      </c>
      <c r="O151" s="215" t="str">
        <f>IF(O$3="","",IF(COUNTIFS(BD!$A$3:$A$5001,O$3,BD!$B$3:$B$5001,$A$143,BD!$K$3:$K$5001,"&lt;&gt;")=0,"",SUMIFS(BD!$K$3:$K$5001,BD!$A$3:$A$5001,O$3,BD!$B$3:$B$5001,$A$143)))</f>
        <v/>
      </c>
      <c r="P151" s="215" t="str">
        <f>IF(P$3="","",IF(COUNTIFS(BD!$A$3:$A$5001,P$3,BD!$B$3:$B$5001,$A$143,BD!$K$3:$K$5001,"&lt;&gt;")=0,"",SUMIFS(BD!$K$3:$K$5001,BD!$A$3:$A$5001,P$3,BD!$B$3:$B$5001,$A$143)))</f>
        <v/>
      </c>
      <c r="Q151" s="215" t="str">
        <f>IF(Q$3="","",IF(COUNTIFS(BD!$A$3:$A$5001,Q$3,BD!$B$3:$B$5001,$A$143,BD!$K$3:$K$5001,"&lt;&gt;")=0,"",SUMIFS(BD!$K$3:$K$5001,BD!$A$3:$A$5001,Q$3,BD!$B$3:$B$5001,$A$143)))</f>
        <v/>
      </c>
      <c r="R151" s="215" t="str">
        <f>IF(R$3="","",IF(COUNTIFS(BD!$A$3:$A$5001,R$3,BD!$B$3:$B$5001,$A$143,BD!$K$3:$K$5001,"&lt;&gt;")=0,"",SUMIFS(BD!$K$3:$K$5001,BD!$A$3:$A$5001,R$3,BD!$B$3:$B$5001,$A$143)))</f>
        <v/>
      </c>
      <c r="S151" s="215" t="str">
        <f>IF(S$3="","",IF(COUNTIFS(BD!$A$3:$A$5001,S$3,BD!$B$3:$B$5001,$A$143,BD!$K$3:$K$5001,"&lt;&gt;")=0,"",SUMIFS(BD!$K$3:$K$5001,BD!$A$3:$A$5001,S$3,BD!$B$3:$B$5001,$A$143)))</f>
        <v/>
      </c>
      <c r="T151" s="215" t="str">
        <f>IF(T$3="","",IF(COUNTIFS(BD!$A$3:$A$5001,T$3,BD!$B$3:$B$5001,$A$143,BD!$K$3:$K$5001,"&lt;&gt;")=0,"",SUMIFS(BD!$K$3:$K$5001,BD!$A$3:$A$5001,T$3,BD!$B$3:$B$5001,$A$143)))</f>
        <v/>
      </c>
      <c r="U151" s="215" t="str">
        <f>IF(U$3="","",IF(COUNTIFS(BD!$A$3:$A$5001,U$3,BD!$B$3:$B$5001,$A$143,BD!$K$3:$K$5001,"&lt;&gt;")=0,"",SUMIFS(BD!$K$3:$K$5001,BD!$A$3:$A$5001,U$3,BD!$B$3:$B$5001,$A$143)))</f>
        <v/>
      </c>
      <c r="V151" s="215" t="str">
        <f>IF(V$3="","",IF(COUNTIFS(BD!$A$3:$A$5001,V$3,BD!$B$3:$B$5001,$A$143,BD!$K$3:$K$5001,"&lt;&gt;")=0,"",SUMIFS(BD!$K$3:$K$5001,BD!$A$3:$A$5001,V$3,BD!$B$3:$B$5001,$A$143)))</f>
        <v/>
      </c>
      <c r="W151" s="215" t="str">
        <f>IF(W$3="","",IF(COUNTIFS(BD!$A$3:$A$5001,W$3,BD!$B$3:$B$5001,$A$143,BD!$K$3:$K$5001,"&lt;&gt;")=0,"",SUMIFS(BD!$K$3:$K$5001,BD!$A$3:$A$5001,W$3,BD!$B$3:$B$5001,$A$143)))</f>
        <v/>
      </c>
      <c r="X151" s="215" t="str">
        <f>IF(X$3="","",IF(COUNTIFS(BD!$A$3:$A$5001,X$3,BD!$B$3:$B$5001,$A$143,BD!$K$3:$K$5001,"&lt;&gt;")=0,"",SUMIFS(BD!$K$3:$K$5001,BD!$A$3:$A$5001,X$3,BD!$B$3:$B$5001,$A$143)))</f>
        <v/>
      </c>
      <c r="Y151" s="215" t="str">
        <f>IF(Y$3="","",IF(COUNTIFS(BD!$A$3:$A$5001,Y$3,BD!$B$3:$B$5001,$A$143,BD!$K$3:$K$5001,"&lt;&gt;")=0,"",SUMIFS(BD!$K$3:$K$5001,BD!$A$3:$A$5001,Y$3,BD!$B$3:$B$5001,$A$143)))</f>
        <v/>
      </c>
      <c r="Z151" s="215" t="str">
        <f>IF(Z$3="","",IF(COUNTIFS(BD!$A$3:$A$5001,Z$3,BD!$B$3:$B$5001,$A$143,BD!$K$3:$K$5001,"&lt;&gt;")=0,"",SUMIFS(BD!$K$3:$K$5001,BD!$A$3:$A$5001,Z$3,BD!$B$3:$B$5001,$A$143)))</f>
        <v/>
      </c>
      <c r="AA151" s="215" t="str">
        <f>IF(AA$3="","",IF(COUNTIFS(BD!$A$3:$A$5001,AA$3,BD!$B$3:$B$5001,$A$143,BD!$K$3:$K$5001,"&lt;&gt;")=0,"",SUMIFS(BD!$K$3:$K$5001,BD!$A$3:$A$5001,AA$3,BD!$B$3:$B$5001,$A$143)))</f>
        <v/>
      </c>
      <c r="AB151" s="215" t="str">
        <f>IF(AB$3="","",IF(COUNTIFS(BD!$A$3:$A$5001,AB$3,BD!$B$3:$B$5001,$A$143,BD!$K$3:$K$5001,"&lt;&gt;")=0,"",SUMIFS(BD!$K$3:$K$5001,BD!$A$3:$A$5001,AB$3,BD!$B$3:$B$5001,$A$143)))</f>
        <v/>
      </c>
      <c r="AC151" s="215" t="str">
        <f>IF(AC$3="","",IF(COUNTIFS(BD!$A$3:$A$5001,AC$3,BD!$B$3:$B$5001,$A$143,BD!$K$3:$K$5001,"&lt;&gt;")=0,"",SUMIFS(BD!$K$3:$K$5001,BD!$A$3:$A$5001,AC$3,BD!$B$3:$B$5001,$A$143)))</f>
        <v/>
      </c>
      <c r="AD151" s="215" t="str">
        <f>IF(AD$3="","",IF(COUNTIFS(BD!$A$3:$A$5001,AD$3,BD!$B$3:$B$5001,$A$143,BD!$K$3:$K$5001,"&lt;&gt;")=0,"",SUMIFS(BD!$K$3:$K$5001,BD!$A$3:$A$5001,AD$3,BD!$B$3:$B$5001,$A$143)))</f>
        <v/>
      </c>
      <c r="AE151" s="215" t="str">
        <f>IF(AE$3="","",IF(COUNTIFS(BD!$A$3:$A$5001,AE$3,BD!$B$3:$B$5001,$A$143,BD!$K$3:$K$5001,"&lt;&gt;")=0,"",SUMIFS(BD!$K$3:$K$5001,BD!$A$3:$A$5001,AE$3,BD!$B$3:$B$5001,$A$143)))</f>
        <v/>
      </c>
      <c r="AF151" s="215" t="str">
        <f>IF(AF$3="","",IF(COUNTIFS(BD!$A$3:$A$5001,AF$3,BD!$B$3:$B$5001,$A$143,BD!$K$3:$K$5001,"&lt;&gt;")=0,"",SUMIFS(BD!$K$3:$K$5001,BD!$A$3:$A$5001,AF$3,BD!$B$3:$B$5001,$A$143)))</f>
        <v/>
      </c>
      <c r="AG151" s="215" t="str">
        <f>IF(AG$3="","",IF(COUNTIFS(BD!$A$3:$A$5001,AG$3,BD!$B$3:$B$5001,$A$143,BD!$K$3:$K$5001,"&lt;&gt;")=0,"",SUMIFS(BD!$K$3:$K$5001,BD!$A$3:$A$5001,AG$3,BD!$B$3:$B$5001,$A$143)))</f>
        <v/>
      </c>
      <c r="AH151" s="215" t="str">
        <f>IF(AH$3="","",IF(COUNTIFS(BD!$A$3:$A$5001,AH$3,BD!$B$3:$B$5001,$A$143,BD!$K$3:$K$5001,"&lt;&gt;")=0,"",SUMIFS(BD!$K$3:$K$5001,BD!$A$3:$A$5001,AH$3,BD!$B$3:$B$5001,$A$143)))</f>
        <v/>
      </c>
      <c r="AI151" s="215" t="str">
        <f>IF(AI$3="","",IF(COUNTIFS(BD!$A$3:$A$5001,AI$3,BD!$B$3:$B$5001,$A$143,BD!$K$3:$K$5001,"&lt;&gt;")=0,"",SUMIFS(BD!$K$3:$K$5001,BD!$A$3:$A$5001,AI$3,BD!$B$3:$B$5001,$A$143)))</f>
        <v/>
      </c>
      <c r="AJ151" s="216" t="str">
        <f>IF(AJ$3="","",IF(COUNTIFS(BD!$A$3:$A$5001,AJ$3,BD!$B$3:$B$5001,$A$143,BD!$K$3:$K$5001,"&lt;&gt;")=0,"",SUMIFS(BD!$K$3:$K$5001,BD!$A$3:$A$5001,AJ$3,BD!$B$3:$B$5001,$A$143)))</f>
        <v/>
      </c>
      <c r="AK151" s="212" t="str">
        <f>IFERROR(LOOKUP(9.99E+307,F151:AJ151),"")</f>
        <v/>
      </c>
    </row>
    <row r="152" ht="15.75" customHeight="1" hidden="1">
      <c r="A152" s="254"/>
      <c r="B152" s="241" t="inlineStr">
        <is>
          <t xml:space="preserve">OCUPAÇÃO (P.P)</t>
        </is>
      </c>
      <c r="C152" s="155" t="inlineStr">
        <is>
          <t xml:space="preserve">Posições Disponíveis</t>
        </is>
      </c>
      <c r="D152" s="156" t="str">
        <f>IFERROR(1/(1/INDEX(BD!$Y$32:$AS$32,MATCH($A$143,BD!$Y$22:$AS$22,0))),"")</f>
        <v/>
      </c>
      <c r="E152" s="157"/>
      <c r="F152" s="158" t="str">
        <f>IF(F$3="","",IF(COUNTIFS(BD!$A$3:$A$5001,F$3,BD!$B$3:$B$5001,$A$143,BD!$L$3:$L$5001,"&lt;&gt;")=0,"",SUMIFS(BD!$L$3:$L$5001,BD!$A$3:$A$5001,F$3,BD!$B$3:$B$5001,$A$143)))</f>
        <v/>
      </c>
      <c r="G152" s="159" t="str">
        <f>IF(G$3="","",IF(COUNTIFS(BD!$A$3:$A$5001,G$3,BD!$B$3:$B$5001,$A$143,BD!$L$3:$L$5001,"&lt;&gt;")=0,"",SUMIFS(BD!$L$3:$L$5001,BD!$A$3:$A$5001,G$3,BD!$B$3:$B$5001,$A$143)))</f>
        <v/>
      </c>
      <c r="H152" s="159" t="str">
        <f>IF(H$3="","",IF(COUNTIFS(BD!$A$3:$A$5001,H$3,BD!$B$3:$B$5001,$A$143,BD!$L$3:$L$5001,"&lt;&gt;")=0,"",SUMIFS(BD!$L$3:$L$5001,BD!$A$3:$A$5001,H$3,BD!$B$3:$B$5001,$A$143)))</f>
        <v/>
      </c>
      <c r="I152" s="159" t="str">
        <f>IF(I$3="","",IF(COUNTIFS(BD!$A$3:$A$5001,I$3,BD!$B$3:$B$5001,$A$143,BD!$L$3:$L$5001,"&lt;&gt;")=0,"",SUMIFS(BD!$L$3:$L$5001,BD!$A$3:$A$5001,I$3,BD!$B$3:$B$5001,$A$143)))</f>
        <v/>
      </c>
      <c r="J152" s="159" t="str">
        <f>IF(J$3="","",IF(COUNTIFS(BD!$A$3:$A$5001,J$3,BD!$B$3:$B$5001,$A$143,BD!$L$3:$L$5001,"&lt;&gt;")=0,"",SUMIFS(BD!$L$3:$L$5001,BD!$A$3:$A$5001,J$3,BD!$B$3:$B$5001,$A$143)))</f>
        <v/>
      </c>
      <c r="K152" s="159" t="str">
        <f>IF(K$3="","",IF(COUNTIFS(BD!$A$3:$A$5001,K$3,BD!$B$3:$B$5001,$A$143,BD!$L$3:$L$5001,"&lt;&gt;")=0,"",SUMIFS(BD!$L$3:$L$5001,BD!$A$3:$A$5001,K$3,BD!$B$3:$B$5001,$A$143)))</f>
        <v/>
      </c>
      <c r="L152" s="159" t="str">
        <f>IF(L$3="","",IF(COUNTIFS(BD!$A$3:$A$5001,L$3,BD!$B$3:$B$5001,$A$143,BD!$L$3:$L$5001,"&lt;&gt;")=0,"",SUMIFS(BD!$L$3:$L$5001,BD!$A$3:$A$5001,L$3,BD!$B$3:$B$5001,$A$143)))</f>
        <v/>
      </c>
      <c r="M152" s="159" t="str">
        <f>IF(M$3="","",IF(COUNTIFS(BD!$A$3:$A$5001,M$3,BD!$B$3:$B$5001,$A$143,BD!$L$3:$L$5001,"&lt;&gt;")=0,"",SUMIFS(BD!$L$3:$L$5001,BD!$A$3:$A$5001,M$3,BD!$B$3:$B$5001,$A$143)))</f>
        <v/>
      </c>
      <c r="N152" s="159" t="str">
        <f>IF(N$3="","",IF(COUNTIFS(BD!$A$3:$A$5001,N$3,BD!$B$3:$B$5001,$A$143,BD!$L$3:$L$5001,"&lt;&gt;")=0,"",SUMIFS(BD!$L$3:$L$5001,BD!$A$3:$A$5001,N$3,BD!$B$3:$B$5001,$A$143)))</f>
        <v/>
      </c>
      <c r="O152" s="159" t="str">
        <f>IF(O$3="","",IF(COUNTIFS(BD!$A$3:$A$5001,O$3,BD!$B$3:$B$5001,$A$143,BD!$L$3:$L$5001,"&lt;&gt;")=0,"",SUMIFS(BD!$L$3:$L$5001,BD!$A$3:$A$5001,O$3,BD!$B$3:$B$5001,$A$143)))</f>
        <v/>
      </c>
      <c r="P152" s="159" t="str">
        <f>IF(P$3="","",IF(COUNTIFS(BD!$A$3:$A$5001,P$3,BD!$B$3:$B$5001,$A$143,BD!$L$3:$L$5001,"&lt;&gt;")=0,"",SUMIFS(BD!$L$3:$L$5001,BD!$A$3:$A$5001,P$3,BD!$B$3:$B$5001,$A$143)))</f>
        <v/>
      </c>
      <c r="Q152" s="159" t="str">
        <f>IF(Q$3="","",IF(COUNTIFS(BD!$A$3:$A$5001,Q$3,BD!$B$3:$B$5001,$A$143,BD!$L$3:$L$5001,"&lt;&gt;")=0,"",SUMIFS(BD!$L$3:$L$5001,BD!$A$3:$A$5001,Q$3,BD!$B$3:$B$5001,$A$143)))</f>
        <v/>
      </c>
      <c r="R152" s="159" t="str">
        <f>IF(R$3="","",IF(COUNTIFS(BD!$A$3:$A$5001,R$3,BD!$B$3:$B$5001,$A$143,BD!$L$3:$L$5001,"&lt;&gt;")=0,"",SUMIFS(BD!$L$3:$L$5001,BD!$A$3:$A$5001,R$3,BD!$B$3:$B$5001,$A$143)))</f>
        <v/>
      </c>
      <c r="S152" s="159" t="str">
        <f>IF(S$3="","",IF(COUNTIFS(BD!$A$3:$A$5001,S$3,BD!$B$3:$B$5001,$A$143,BD!$L$3:$L$5001,"&lt;&gt;")=0,"",SUMIFS(BD!$L$3:$L$5001,BD!$A$3:$A$5001,S$3,BD!$B$3:$B$5001,$A$143)))</f>
        <v/>
      </c>
      <c r="T152" s="159" t="str">
        <f>IF(T$3="","",IF(COUNTIFS(BD!$A$3:$A$5001,T$3,BD!$B$3:$B$5001,$A$143,BD!$L$3:$L$5001,"&lt;&gt;")=0,"",SUMIFS(BD!$L$3:$L$5001,BD!$A$3:$A$5001,T$3,BD!$B$3:$B$5001,$A$143)))</f>
        <v/>
      </c>
      <c r="U152" s="159" t="str">
        <f>IF(U$3="","",IF(COUNTIFS(BD!$A$3:$A$5001,U$3,BD!$B$3:$B$5001,$A$143,BD!$L$3:$L$5001,"&lt;&gt;")=0,"",SUMIFS(BD!$L$3:$L$5001,BD!$A$3:$A$5001,U$3,BD!$B$3:$B$5001,$A$143)))</f>
        <v/>
      </c>
      <c r="V152" s="159" t="str">
        <f>IF(V$3="","",IF(COUNTIFS(BD!$A$3:$A$5001,V$3,BD!$B$3:$B$5001,$A$143,BD!$L$3:$L$5001,"&lt;&gt;")=0,"",SUMIFS(BD!$L$3:$L$5001,BD!$A$3:$A$5001,V$3,BD!$B$3:$B$5001,$A$143)))</f>
        <v/>
      </c>
      <c r="W152" s="159" t="str">
        <f>IF(W$3="","",IF(COUNTIFS(BD!$A$3:$A$5001,W$3,BD!$B$3:$B$5001,$A$143,BD!$L$3:$L$5001,"&lt;&gt;")=0,"",SUMIFS(BD!$L$3:$L$5001,BD!$A$3:$A$5001,W$3,BD!$B$3:$B$5001,$A$143)))</f>
        <v/>
      </c>
      <c r="X152" s="159" t="str">
        <f>IF(X$3="","",IF(COUNTIFS(BD!$A$3:$A$5001,X$3,BD!$B$3:$B$5001,$A$143,BD!$L$3:$L$5001,"&lt;&gt;")=0,"",SUMIFS(BD!$L$3:$L$5001,BD!$A$3:$A$5001,X$3,BD!$B$3:$B$5001,$A$143)))</f>
        <v/>
      </c>
      <c r="Y152" s="159" t="str">
        <f>IF(Y$3="","",IF(COUNTIFS(BD!$A$3:$A$5001,Y$3,BD!$B$3:$B$5001,$A$143,BD!$L$3:$L$5001,"&lt;&gt;")=0,"",SUMIFS(BD!$L$3:$L$5001,BD!$A$3:$A$5001,Y$3,BD!$B$3:$B$5001,$A$143)))</f>
        <v/>
      </c>
      <c r="Z152" s="159" t="str">
        <f>IF(Z$3="","",IF(COUNTIFS(BD!$A$3:$A$5001,Z$3,BD!$B$3:$B$5001,$A$143,BD!$L$3:$L$5001,"&lt;&gt;")=0,"",SUMIFS(BD!$L$3:$L$5001,BD!$A$3:$A$5001,Z$3,BD!$B$3:$B$5001,$A$143)))</f>
        <v/>
      </c>
      <c r="AA152" s="159" t="str">
        <f>IF(AA$3="","",IF(COUNTIFS(BD!$A$3:$A$5001,AA$3,BD!$B$3:$B$5001,$A$143,BD!$L$3:$L$5001,"&lt;&gt;")=0,"",SUMIFS(BD!$L$3:$L$5001,BD!$A$3:$A$5001,AA$3,BD!$B$3:$B$5001,$A$143)))</f>
        <v/>
      </c>
      <c r="AB152" s="159" t="str">
        <f>IF(AB$3="","",IF(COUNTIFS(BD!$A$3:$A$5001,AB$3,BD!$B$3:$B$5001,$A$143,BD!$L$3:$L$5001,"&lt;&gt;")=0,"",SUMIFS(BD!$L$3:$L$5001,BD!$A$3:$A$5001,AB$3,BD!$B$3:$B$5001,$A$143)))</f>
        <v/>
      </c>
      <c r="AC152" s="159" t="str">
        <f>IF(AC$3="","",IF(COUNTIFS(BD!$A$3:$A$5001,AC$3,BD!$B$3:$B$5001,$A$143,BD!$L$3:$L$5001,"&lt;&gt;")=0,"",SUMIFS(BD!$L$3:$L$5001,BD!$A$3:$A$5001,AC$3,BD!$B$3:$B$5001,$A$143)))</f>
        <v/>
      </c>
      <c r="AD152" s="159" t="str">
        <f>IF(AD$3="","",IF(COUNTIFS(BD!$A$3:$A$5001,AD$3,BD!$B$3:$B$5001,$A$143,BD!$L$3:$L$5001,"&lt;&gt;")=0,"",SUMIFS(BD!$L$3:$L$5001,BD!$A$3:$A$5001,AD$3,BD!$B$3:$B$5001,$A$143)))</f>
        <v/>
      </c>
      <c r="AE152" s="159" t="str">
        <f>IF(AE$3="","",IF(COUNTIFS(BD!$A$3:$A$5001,AE$3,BD!$B$3:$B$5001,$A$143,BD!$L$3:$L$5001,"&lt;&gt;")=0,"",SUMIFS(BD!$L$3:$L$5001,BD!$A$3:$A$5001,AE$3,BD!$B$3:$B$5001,$A$143)))</f>
        <v/>
      </c>
      <c r="AF152" s="159" t="str">
        <f>IF(AF$3="","",IF(COUNTIFS(BD!$A$3:$A$5001,AF$3,BD!$B$3:$B$5001,$A$143,BD!$L$3:$L$5001,"&lt;&gt;")=0,"",SUMIFS(BD!$L$3:$L$5001,BD!$A$3:$A$5001,AF$3,BD!$B$3:$B$5001,$A$143)))</f>
        <v/>
      </c>
      <c r="AG152" s="159" t="str">
        <f>IF(AG$3="","",IF(COUNTIFS(BD!$A$3:$A$5001,AG$3,BD!$B$3:$B$5001,$A$143,BD!$L$3:$L$5001,"&lt;&gt;")=0,"",SUMIFS(BD!$L$3:$L$5001,BD!$A$3:$A$5001,AG$3,BD!$B$3:$B$5001,$A$143)))</f>
        <v/>
      </c>
      <c r="AH152" s="159" t="str">
        <f>IF(AH$3="","",IF(COUNTIFS(BD!$A$3:$A$5001,AH$3,BD!$B$3:$B$5001,$A$143,BD!$L$3:$L$5001,"&lt;&gt;")=0,"",SUMIFS(BD!$L$3:$L$5001,BD!$A$3:$A$5001,AH$3,BD!$B$3:$B$5001,$A$143)))</f>
        <v/>
      </c>
      <c r="AI152" s="159" t="str">
        <f>IF(AI$3="","",IF(COUNTIFS(BD!$A$3:$A$5001,AI$3,BD!$B$3:$B$5001,$A$143,BD!$L$3:$L$5001,"&lt;&gt;")=0,"",SUMIFS(BD!$L$3:$L$5001,BD!$A$3:$A$5001,AI$3,BD!$B$3:$B$5001,$A$143)))</f>
        <v/>
      </c>
      <c r="AJ152" s="160" t="str">
        <f>IF(AJ$3="","",IF(COUNTIFS(BD!$A$3:$A$5001,AJ$3,BD!$B$3:$B$5001,$A$143,BD!$L$3:$L$5001,"&lt;&gt;")=0,"",SUMIFS(BD!$L$3:$L$5001,BD!$A$3:$A$5001,AJ$3,BD!$B$3:$B$5001,$A$143)))</f>
        <v/>
      </c>
      <c r="AK152" s="161" t="str">
        <f>IF(COUNT(F152:AJ152)&gt;0,LOOKUP(9.99E+307,F152:AJ152),IFERROR(IF(INDEX(BD!$V$3:$V$5001,MATCH($A$143,BD!$B$3:$B$5001,0))&amp;""="Contrato","",INDEX(BD!$V$3:$V$5001,MATCH($A$143,BD!$B$3:$B$5001,0))&amp;""),""))</f>
        <v/>
      </c>
    </row>
    <row r="153" ht="15.75" customHeight="1" hidden="1">
      <c r="A153" s="254"/>
      <c r="B153" s="242"/>
      <c r="C153" s="162" t="inlineStr">
        <is>
          <t xml:space="preserve">Posições Ocupadas</t>
        </is>
      </c>
      <c r="D153" s="163" t="str">
        <f>IFERROR(1/(1/INDEX(BD!$Y$33:$AS$33,MATCH($A$143,BD!$Y$22:$AS$22,0))),"")</f>
        <v/>
      </c>
      <c r="E153" s="164"/>
      <c r="F153" s="165" t="str">
        <f>IF(F$3="","",IF(COUNTIFS(BD!$A$3:$A$5001,F$3,BD!$B$3:$B$5001,$A$143,BD!$M$3:$M$5001,"&lt;&gt;")=0,"",SUMIFS(BD!$M$3:$M$5001,BD!$A$3:$A$5001,F$3,BD!$B$3:$B$5001,$A$143)))</f>
        <v/>
      </c>
      <c r="G153" s="166" t="str">
        <f>IF(G$3="","",IF(COUNTIFS(BD!$A$3:$A$5001,G$3,BD!$B$3:$B$5001,$A$143,BD!$M$3:$M$5001,"&lt;&gt;")=0,"",SUMIFS(BD!$M$3:$M$5001,BD!$A$3:$A$5001,G$3,BD!$B$3:$B$5001,$A$143)))</f>
        <v/>
      </c>
      <c r="H153" s="166" t="str">
        <f>IF(H$3="","",IF(COUNTIFS(BD!$A$3:$A$5001,H$3,BD!$B$3:$B$5001,$A$143,BD!$M$3:$M$5001,"&lt;&gt;")=0,"",SUMIFS(BD!$M$3:$M$5001,BD!$A$3:$A$5001,H$3,BD!$B$3:$B$5001,$A$143)))</f>
        <v/>
      </c>
      <c r="I153" s="166" t="str">
        <f>IF(I$3="","",IF(COUNTIFS(BD!$A$3:$A$5001,I$3,BD!$B$3:$B$5001,$A$143,BD!$M$3:$M$5001,"&lt;&gt;")=0,"",SUMIFS(BD!$M$3:$M$5001,BD!$A$3:$A$5001,I$3,BD!$B$3:$B$5001,$A$143)))</f>
        <v/>
      </c>
      <c r="J153" s="166" t="str">
        <f>IF(J$3="","",IF(COUNTIFS(BD!$A$3:$A$5001,J$3,BD!$B$3:$B$5001,$A$143,BD!$M$3:$M$5001,"&lt;&gt;")=0,"",SUMIFS(BD!$M$3:$M$5001,BD!$A$3:$A$5001,J$3,BD!$B$3:$B$5001,$A$143)))</f>
        <v/>
      </c>
      <c r="K153" s="166" t="str">
        <f>IF(K$3="","",IF(COUNTIFS(BD!$A$3:$A$5001,K$3,BD!$B$3:$B$5001,$A$143,BD!$M$3:$M$5001,"&lt;&gt;")=0,"",SUMIFS(BD!$M$3:$M$5001,BD!$A$3:$A$5001,K$3,BD!$B$3:$B$5001,$A$143)))</f>
        <v/>
      </c>
      <c r="L153" s="166" t="str">
        <f>IF(L$3="","",IF(COUNTIFS(BD!$A$3:$A$5001,L$3,BD!$B$3:$B$5001,$A$143,BD!$M$3:$M$5001,"&lt;&gt;")=0,"",SUMIFS(BD!$M$3:$M$5001,BD!$A$3:$A$5001,L$3,BD!$B$3:$B$5001,$A$143)))</f>
        <v/>
      </c>
      <c r="M153" s="166" t="str">
        <f>IF(M$3="","",IF(COUNTIFS(BD!$A$3:$A$5001,M$3,BD!$B$3:$B$5001,$A$143,BD!$M$3:$M$5001,"&lt;&gt;")=0,"",SUMIFS(BD!$M$3:$M$5001,BD!$A$3:$A$5001,M$3,BD!$B$3:$B$5001,$A$143)))</f>
        <v/>
      </c>
      <c r="N153" s="166" t="str">
        <f>IF(N$3="","",IF(COUNTIFS(BD!$A$3:$A$5001,N$3,BD!$B$3:$B$5001,$A$143,BD!$M$3:$M$5001,"&lt;&gt;")=0,"",SUMIFS(BD!$M$3:$M$5001,BD!$A$3:$A$5001,N$3,BD!$B$3:$B$5001,$A$143)))</f>
        <v/>
      </c>
      <c r="O153" s="166" t="str">
        <f>IF(O$3="","",IF(COUNTIFS(BD!$A$3:$A$5001,O$3,BD!$B$3:$B$5001,$A$143,BD!$M$3:$M$5001,"&lt;&gt;")=0,"",SUMIFS(BD!$M$3:$M$5001,BD!$A$3:$A$5001,O$3,BD!$B$3:$B$5001,$A$143)))</f>
        <v/>
      </c>
      <c r="P153" s="166" t="str">
        <f>IF(P$3="","",IF(COUNTIFS(BD!$A$3:$A$5001,P$3,BD!$B$3:$B$5001,$A$143,BD!$M$3:$M$5001,"&lt;&gt;")=0,"",SUMIFS(BD!$M$3:$M$5001,BD!$A$3:$A$5001,P$3,BD!$B$3:$B$5001,$A$143)))</f>
        <v/>
      </c>
      <c r="Q153" s="166" t="str">
        <f>IF(Q$3="","",IF(COUNTIFS(BD!$A$3:$A$5001,Q$3,BD!$B$3:$B$5001,$A$143,BD!$M$3:$M$5001,"&lt;&gt;")=0,"",SUMIFS(BD!$M$3:$M$5001,BD!$A$3:$A$5001,Q$3,BD!$B$3:$B$5001,$A$143)))</f>
        <v/>
      </c>
      <c r="R153" s="166" t="str">
        <f>IF(R$3="","",IF(COUNTIFS(BD!$A$3:$A$5001,R$3,BD!$B$3:$B$5001,$A$143,BD!$M$3:$M$5001,"&lt;&gt;")=0,"",SUMIFS(BD!$M$3:$M$5001,BD!$A$3:$A$5001,R$3,BD!$B$3:$B$5001,$A$143)))</f>
        <v/>
      </c>
      <c r="S153" s="166" t="str">
        <f>IF(S$3="","",IF(COUNTIFS(BD!$A$3:$A$5001,S$3,BD!$B$3:$B$5001,$A$143,BD!$M$3:$M$5001,"&lt;&gt;")=0,"",SUMIFS(BD!$M$3:$M$5001,BD!$A$3:$A$5001,S$3,BD!$B$3:$B$5001,$A$143)))</f>
        <v/>
      </c>
      <c r="T153" s="166" t="str">
        <f>IF(T$3="","",IF(COUNTIFS(BD!$A$3:$A$5001,T$3,BD!$B$3:$B$5001,$A$143,BD!$M$3:$M$5001,"&lt;&gt;")=0,"",SUMIFS(BD!$M$3:$M$5001,BD!$A$3:$A$5001,T$3,BD!$B$3:$B$5001,$A$143)))</f>
        <v/>
      </c>
      <c r="U153" s="166" t="str">
        <f>IF(U$3="","",IF(COUNTIFS(BD!$A$3:$A$5001,U$3,BD!$B$3:$B$5001,$A$143,BD!$M$3:$M$5001,"&lt;&gt;")=0,"",SUMIFS(BD!$M$3:$M$5001,BD!$A$3:$A$5001,U$3,BD!$B$3:$B$5001,$A$143)))</f>
        <v/>
      </c>
      <c r="V153" s="166" t="str">
        <f>IF(V$3="","",IF(COUNTIFS(BD!$A$3:$A$5001,V$3,BD!$B$3:$B$5001,$A$143,BD!$M$3:$M$5001,"&lt;&gt;")=0,"",SUMIFS(BD!$M$3:$M$5001,BD!$A$3:$A$5001,V$3,BD!$B$3:$B$5001,$A$143)))</f>
        <v/>
      </c>
      <c r="W153" s="166" t="str">
        <f>IF(W$3="","",IF(COUNTIFS(BD!$A$3:$A$5001,W$3,BD!$B$3:$B$5001,$A$143,BD!$M$3:$M$5001,"&lt;&gt;")=0,"",SUMIFS(BD!$M$3:$M$5001,BD!$A$3:$A$5001,W$3,BD!$B$3:$B$5001,$A$143)))</f>
        <v/>
      </c>
      <c r="X153" s="166" t="str">
        <f>IF(X$3="","",IF(COUNTIFS(BD!$A$3:$A$5001,X$3,BD!$B$3:$B$5001,$A$143,BD!$M$3:$M$5001,"&lt;&gt;")=0,"",SUMIFS(BD!$M$3:$M$5001,BD!$A$3:$A$5001,X$3,BD!$B$3:$B$5001,$A$143)))</f>
        <v/>
      </c>
      <c r="Y153" s="166" t="str">
        <f>IF(Y$3="","",IF(COUNTIFS(BD!$A$3:$A$5001,Y$3,BD!$B$3:$B$5001,$A$143,BD!$M$3:$M$5001,"&lt;&gt;")=0,"",SUMIFS(BD!$M$3:$M$5001,BD!$A$3:$A$5001,Y$3,BD!$B$3:$B$5001,$A$143)))</f>
        <v/>
      </c>
      <c r="Z153" s="166" t="str">
        <f>IF(Z$3="","",IF(COUNTIFS(BD!$A$3:$A$5001,Z$3,BD!$B$3:$B$5001,$A$143,BD!$M$3:$M$5001,"&lt;&gt;")=0,"",SUMIFS(BD!$M$3:$M$5001,BD!$A$3:$A$5001,Z$3,BD!$B$3:$B$5001,$A$143)))</f>
        <v/>
      </c>
      <c r="AA153" s="166" t="str">
        <f>IF(AA$3="","",IF(COUNTIFS(BD!$A$3:$A$5001,AA$3,BD!$B$3:$B$5001,$A$143,BD!$M$3:$M$5001,"&lt;&gt;")=0,"",SUMIFS(BD!$M$3:$M$5001,BD!$A$3:$A$5001,AA$3,BD!$B$3:$B$5001,$A$143)))</f>
        <v/>
      </c>
      <c r="AB153" s="166" t="str">
        <f>IF(AB$3="","",IF(COUNTIFS(BD!$A$3:$A$5001,AB$3,BD!$B$3:$B$5001,$A$143,BD!$M$3:$M$5001,"&lt;&gt;")=0,"",SUMIFS(BD!$M$3:$M$5001,BD!$A$3:$A$5001,AB$3,BD!$B$3:$B$5001,$A$143)))</f>
        <v/>
      </c>
      <c r="AC153" s="166" t="str">
        <f>IF(AC$3="","",IF(COUNTIFS(BD!$A$3:$A$5001,AC$3,BD!$B$3:$B$5001,$A$143,BD!$M$3:$M$5001,"&lt;&gt;")=0,"",SUMIFS(BD!$M$3:$M$5001,BD!$A$3:$A$5001,AC$3,BD!$B$3:$B$5001,$A$143)))</f>
        <v/>
      </c>
      <c r="AD153" s="166" t="str">
        <f>IF(AD$3="","",IF(COUNTIFS(BD!$A$3:$A$5001,AD$3,BD!$B$3:$B$5001,$A$143,BD!$M$3:$M$5001,"&lt;&gt;")=0,"",SUMIFS(BD!$M$3:$M$5001,BD!$A$3:$A$5001,AD$3,BD!$B$3:$B$5001,$A$143)))</f>
        <v/>
      </c>
      <c r="AE153" s="166" t="str">
        <f>IF(AE$3="","",IF(COUNTIFS(BD!$A$3:$A$5001,AE$3,BD!$B$3:$B$5001,$A$143,BD!$M$3:$M$5001,"&lt;&gt;")=0,"",SUMIFS(BD!$M$3:$M$5001,BD!$A$3:$A$5001,AE$3,BD!$B$3:$B$5001,$A$143)))</f>
        <v/>
      </c>
      <c r="AF153" s="166" t="str">
        <f>IF(AF$3="","",IF(COUNTIFS(BD!$A$3:$A$5001,AF$3,BD!$B$3:$B$5001,$A$143,BD!$M$3:$M$5001,"&lt;&gt;")=0,"",SUMIFS(BD!$M$3:$M$5001,BD!$A$3:$A$5001,AF$3,BD!$B$3:$B$5001,$A$143)))</f>
        <v/>
      </c>
      <c r="AG153" s="166" t="str">
        <f>IF(AG$3="","",IF(COUNTIFS(BD!$A$3:$A$5001,AG$3,BD!$B$3:$B$5001,$A$143,BD!$M$3:$M$5001,"&lt;&gt;")=0,"",SUMIFS(BD!$M$3:$M$5001,BD!$A$3:$A$5001,AG$3,BD!$B$3:$B$5001,$A$143)))</f>
        <v/>
      </c>
      <c r="AH153" s="166" t="str">
        <f>IF(AH$3="","",IF(COUNTIFS(BD!$A$3:$A$5001,AH$3,BD!$B$3:$B$5001,$A$143,BD!$M$3:$M$5001,"&lt;&gt;")=0,"",SUMIFS(BD!$M$3:$M$5001,BD!$A$3:$A$5001,AH$3,BD!$B$3:$B$5001,$A$143)))</f>
        <v/>
      </c>
      <c r="AI153" s="166" t="str">
        <f>IF(AI$3="","",IF(COUNTIFS(BD!$A$3:$A$5001,AI$3,BD!$B$3:$B$5001,$A$143,BD!$M$3:$M$5001,"&lt;&gt;")=0,"",SUMIFS(BD!$M$3:$M$5001,BD!$A$3:$A$5001,AI$3,BD!$B$3:$B$5001,$A$143)))</f>
        <v/>
      </c>
      <c r="AJ153" s="167" t="str">
        <f>IF(AJ$3="","",IF(COUNTIFS(BD!$A$3:$A$5001,AJ$3,BD!$B$3:$B$5001,$A$143,BD!$M$3:$M$5001,"&lt;&gt;")=0,"",SUMIFS(BD!$M$3:$M$5001,BD!$A$3:$A$5001,AJ$3,BD!$B$3:$B$5001,$A$143)))</f>
        <v/>
      </c>
      <c r="AK153" s="168" t="str">
        <f>IFERROR(LOOKUP(9.99E+307,F153:AJ153),"")</f>
        <v/>
      </c>
    </row>
    <row r="154" ht="15.75" customHeight="1" hidden="1">
      <c r="A154" s="254"/>
      <c r="B154" s="243"/>
      <c r="C154" s="169" t="inlineStr">
        <is>
          <t xml:space="preserve">Taxa de Ocupação</t>
        </is>
      </c>
      <c r="D154" s="217" t="str">
        <f>IFERROR(1/(1/INDEX(BD!$Y$34:$AS$34,MATCH($A$143,BD!$Y$22:$AS$22,0))),"")</f>
        <v/>
      </c>
      <c r="E154" s="171"/>
      <c r="F154" s="218" t="str">
        <f>IF(AND(ISNUMBER(F152),ISNUMBER(F153)),IF(F152&gt;0,F153/F152,""),"")</f>
        <v/>
      </c>
      <c r="G154" s="219" t="str">
        <f>IF(AND(ISNUMBER(G152),ISNUMBER(G153)),IF(G152&gt;0,G153/G152,""),"")</f>
        <v/>
      </c>
      <c r="H154" s="219" t="str">
        <f>IF(AND(ISNUMBER(H152),ISNUMBER(H153)),IF(H152&gt;0,H153/H152,""),"")</f>
        <v/>
      </c>
      <c r="I154" s="219" t="str">
        <f>IF(AND(ISNUMBER(I152),ISNUMBER(I153)),IF(I152&gt;0,I153/I152,""),"")</f>
        <v/>
      </c>
      <c r="J154" s="219" t="str">
        <f>IF(AND(ISNUMBER(J152),ISNUMBER(J153)),IF(J152&gt;0,J153/J152,""),"")</f>
        <v/>
      </c>
      <c r="K154" s="219" t="str">
        <f>IF(AND(ISNUMBER(K152),ISNUMBER(K153)),IF(K152&gt;0,K153/K152,""),"")</f>
        <v/>
      </c>
      <c r="L154" s="219" t="str">
        <f>IF(AND(ISNUMBER(L152),ISNUMBER(L153)),IF(L152&gt;0,L153/L152,""),"")</f>
        <v/>
      </c>
      <c r="M154" s="219" t="str">
        <f>IF(AND(ISNUMBER(M152),ISNUMBER(M153)),IF(M152&gt;0,M153/M152,""),"")</f>
        <v/>
      </c>
      <c r="N154" s="219" t="str">
        <f>IF(AND(ISNUMBER(N152),ISNUMBER(N153)),IF(N152&gt;0,N153/N152,""),"")</f>
        <v/>
      </c>
      <c r="O154" s="219" t="str">
        <f>IF(AND(ISNUMBER(O152),ISNUMBER(O153)),IF(O152&gt;0,O153/O152,""),"")</f>
        <v/>
      </c>
      <c r="P154" s="219" t="str">
        <f>IF(AND(ISNUMBER(P152),ISNUMBER(P153)),IF(P152&gt;0,P153/P152,""),"")</f>
        <v/>
      </c>
      <c r="Q154" s="219" t="str">
        <f>IF(AND(ISNUMBER(Q152),ISNUMBER(Q153)),IF(Q152&gt;0,Q153/Q152,""),"")</f>
        <v/>
      </c>
      <c r="R154" s="219" t="str">
        <f>IF(AND(ISNUMBER(R152),ISNUMBER(R153)),IF(R152&gt;0,R153/R152,""),"")</f>
        <v/>
      </c>
      <c r="S154" s="219" t="str">
        <f>IF(AND(ISNUMBER(S152),ISNUMBER(S153)),IF(S152&gt;0,S153/S152,""),"")</f>
        <v/>
      </c>
      <c r="T154" s="219" t="str">
        <f>IF(AND(ISNUMBER(T152),ISNUMBER(T153)),IF(T152&gt;0,T153/T152,""),"")</f>
        <v/>
      </c>
      <c r="U154" s="219" t="str">
        <f>IF(AND(ISNUMBER(U152),ISNUMBER(U153)),IF(U152&gt;0,U153/U152,""),"")</f>
        <v/>
      </c>
      <c r="V154" s="219" t="str">
        <f>IF(AND(ISNUMBER(V152),ISNUMBER(V153)),IF(V152&gt;0,V153/V152,""),"")</f>
        <v/>
      </c>
      <c r="W154" s="219" t="str">
        <f>IF(AND(ISNUMBER(W152),ISNUMBER(W153)),IF(W152&gt;0,W153/W152,""),"")</f>
        <v/>
      </c>
      <c r="X154" s="219" t="str">
        <f>IF(AND(ISNUMBER(X152),ISNUMBER(X153)),IF(X152&gt;0,X153/X152,""),"")</f>
        <v/>
      </c>
      <c r="Y154" s="219" t="str">
        <f>IF(AND(ISNUMBER(Y152),ISNUMBER(Y153)),IF(Y152&gt;0,Y153/Y152,""),"")</f>
        <v/>
      </c>
      <c r="Z154" s="219" t="str">
        <f>IF(AND(ISNUMBER(Z152),ISNUMBER(Z153)),IF(Z152&gt;0,Z153/Z152,""),"")</f>
        <v/>
      </c>
      <c r="AA154" s="219" t="str">
        <f>IF(AND(ISNUMBER(AA152),ISNUMBER(AA153)),IF(AA152&gt;0,AA153/AA152,""),"")</f>
        <v/>
      </c>
      <c r="AB154" s="219" t="str">
        <f>IF(AND(ISNUMBER(AB152),ISNUMBER(AB153)),IF(AB152&gt;0,AB153/AB152,""),"")</f>
        <v/>
      </c>
      <c r="AC154" s="219" t="str">
        <f>IF(AND(ISNUMBER(AC152),ISNUMBER(AC153)),IF(AC152&gt;0,AC153/AC152,""),"")</f>
        <v/>
      </c>
      <c r="AD154" s="219" t="str">
        <f>IF(AND(ISNUMBER(AD152),ISNUMBER(AD153)),IF(AD152&gt;0,AD153/AD152,""),"")</f>
        <v/>
      </c>
      <c r="AE154" s="219" t="str">
        <f>IF(AND(ISNUMBER(AE152),ISNUMBER(AE153)),IF(AE152&gt;0,AE153/AE152,""),"")</f>
        <v/>
      </c>
      <c r="AF154" s="219" t="str">
        <f>IF(AND(ISNUMBER(AF152),ISNUMBER(AF153)),IF(AF152&gt;0,AF153/AF152,""),"")</f>
        <v/>
      </c>
      <c r="AG154" s="219" t="str">
        <f>IF(AND(ISNUMBER(AG152),ISNUMBER(AG153)),IF(AG152&gt;0,AG153/AG152,""),"")</f>
        <v/>
      </c>
      <c r="AH154" s="219" t="str">
        <f>IF(AND(ISNUMBER(AH152),ISNUMBER(AH153)),IF(AH152&gt;0,AH153/AH152,""),"")</f>
        <v/>
      </c>
      <c r="AI154" s="219" t="str">
        <f>IF(AND(ISNUMBER(AI152),ISNUMBER(AI153)),IF(AI152&gt;0,AI153/AI152,""),"")</f>
        <v/>
      </c>
      <c r="AJ154" s="220" t="str">
        <f>IF(AND(ISNUMBER(AJ152),ISNUMBER(AJ153)),IF(AJ152&gt;0,AJ153/AJ152,""),"")</f>
        <v/>
      </c>
      <c r="AK154" s="217" t="str">
        <f>IF(AND(ISNUMBER(AK152),ISNUMBER(AK153)),IF(AK152&gt;0,AK153/AK152,""),"")</f>
        <v/>
      </c>
    </row>
    <row r="155" ht="15.75" customHeight="1" hidden="1">
      <c r="A155" s="254"/>
      <c r="B155" s="250" t="inlineStr">
        <is>
          <t xml:space="preserve">GENTE</t>
        </is>
      </c>
      <c r="C155" s="221" t="inlineStr">
        <is>
          <t xml:space="preserve">Efetivo Op.</t>
        </is>
      </c>
      <c r="D155" s="222" t="str">
        <f>IFERROR(1/(1/INDEX(BD!$Y$35:$AS$35,MATCH($A$143,BD!$Y$22:$AS$22,0))),"")</f>
        <v/>
      </c>
      <c r="E155" s="223"/>
      <c r="F155" s="224" t="str">
        <f>IF(F$3="","",IF(COUNTIFS(BD!$A$3:$A$5001,F$3,BD!$B$3:$B$5001,$A$143,BD!$N$3:$N$5001,"&lt;&gt;")=0,"",SUMIFS(BD!$N$3:$N$5001,BD!$A$3:$A$5001,F$3,BD!$B$3:$B$5001,$A$143)))</f>
        <v/>
      </c>
      <c r="G155" s="225" t="str">
        <f>IF(G$3="","",IF(COUNTIFS(BD!$A$3:$A$5001,G$3,BD!$B$3:$B$5001,$A$143,BD!$N$3:$N$5001,"&lt;&gt;")=0,"",SUMIFS(BD!$N$3:$N$5001,BD!$A$3:$A$5001,G$3,BD!$B$3:$B$5001,$A$143)))</f>
        <v/>
      </c>
      <c r="H155" s="225" t="str">
        <f>IF(H$3="","",IF(COUNTIFS(BD!$A$3:$A$5001,H$3,BD!$B$3:$B$5001,$A$143,BD!$N$3:$N$5001,"&lt;&gt;")=0,"",SUMIFS(BD!$N$3:$N$5001,BD!$A$3:$A$5001,H$3,BD!$B$3:$B$5001,$A$143)))</f>
        <v/>
      </c>
      <c r="I155" s="225" t="str">
        <f>IF(I$3="","",IF(COUNTIFS(BD!$A$3:$A$5001,I$3,BD!$B$3:$B$5001,$A$143,BD!$N$3:$N$5001,"&lt;&gt;")=0,"",SUMIFS(BD!$N$3:$N$5001,BD!$A$3:$A$5001,I$3,BD!$B$3:$B$5001,$A$143)))</f>
        <v/>
      </c>
      <c r="J155" s="225" t="str">
        <f>IF(J$3="","",IF(COUNTIFS(BD!$A$3:$A$5001,J$3,BD!$B$3:$B$5001,$A$143,BD!$N$3:$N$5001,"&lt;&gt;")=0,"",SUMIFS(BD!$N$3:$N$5001,BD!$A$3:$A$5001,J$3,BD!$B$3:$B$5001,$A$143)))</f>
        <v/>
      </c>
      <c r="K155" s="225" t="str">
        <f>IF(K$3="","",IF(COUNTIFS(BD!$A$3:$A$5001,K$3,BD!$B$3:$B$5001,$A$143,BD!$N$3:$N$5001,"&lt;&gt;")=0,"",SUMIFS(BD!$N$3:$N$5001,BD!$A$3:$A$5001,K$3,BD!$B$3:$B$5001,$A$143)))</f>
        <v/>
      </c>
      <c r="L155" s="225" t="str">
        <f>IF(L$3="","",IF(COUNTIFS(BD!$A$3:$A$5001,L$3,BD!$B$3:$B$5001,$A$143,BD!$N$3:$N$5001,"&lt;&gt;")=0,"",SUMIFS(BD!$N$3:$N$5001,BD!$A$3:$A$5001,L$3,BD!$B$3:$B$5001,$A$143)))</f>
        <v/>
      </c>
      <c r="M155" s="225" t="str">
        <f>IF(M$3="","",IF(COUNTIFS(BD!$A$3:$A$5001,M$3,BD!$B$3:$B$5001,$A$143,BD!$N$3:$N$5001,"&lt;&gt;")=0,"",SUMIFS(BD!$N$3:$N$5001,BD!$A$3:$A$5001,M$3,BD!$B$3:$B$5001,$A$143)))</f>
        <v/>
      </c>
      <c r="N155" s="225" t="str">
        <f>IF(N$3="","",IF(COUNTIFS(BD!$A$3:$A$5001,N$3,BD!$B$3:$B$5001,$A$143,BD!$N$3:$N$5001,"&lt;&gt;")=0,"",SUMIFS(BD!$N$3:$N$5001,BD!$A$3:$A$5001,N$3,BD!$B$3:$B$5001,$A$143)))</f>
        <v/>
      </c>
      <c r="O155" s="225" t="str">
        <f>IF(O$3="","",IF(COUNTIFS(BD!$A$3:$A$5001,O$3,BD!$B$3:$B$5001,$A$143,BD!$N$3:$N$5001,"&lt;&gt;")=0,"",SUMIFS(BD!$N$3:$N$5001,BD!$A$3:$A$5001,O$3,BD!$B$3:$B$5001,$A$143)))</f>
        <v/>
      </c>
      <c r="P155" s="225" t="str">
        <f>IF(P$3="","",IF(COUNTIFS(BD!$A$3:$A$5001,P$3,BD!$B$3:$B$5001,$A$143,BD!$N$3:$N$5001,"&lt;&gt;")=0,"",SUMIFS(BD!$N$3:$N$5001,BD!$A$3:$A$5001,P$3,BD!$B$3:$B$5001,$A$143)))</f>
        <v/>
      </c>
      <c r="Q155" s="225" t="str">
        <f>IF(Q$3="","",IF(COUNTIFS(BD!$A$3:$A$5001,Q$3,BD!$B$3:$B$5001,$A$143,BD!$N$3:$N$5001,"&lt;&gt;")=0,"",SUMIFS(BD!$N$3:$N$5001,BD!$A$3:$A$5001,Q$3,BD!$B$3:$B$5001,$A$143)))</f>
        <v/>
      </c>
      <c r="R155" s="225" t="str">
        <f>IF(R$3="","",IF(COUNTIFS(BD!$A$3:$A$5001,R$3,BD!$B$3:$B$5001,$A$143,BD!$N$3:$N$5001,"&lt;&gt;")=0,"",SUMIFS(BD!$N$3:$N$5001,BD!$A$3:$A$5001,R$3,BD!$B$3:$B$5001,$A$143)))</f>
        <v/>
      </c>
      <c r="S155" s="225" t="str">
        <f>IF(S$3="","",IF(COUNTIFS(BD!$A$3:$A$5001,S$3,BD!$B$3:$B$5001,$A$143,BD!$N$3:$N$5001,"&lt;&gt;")=0,"",SUMIFS(BD!$N$3:$N$5001,BD!$A$3:$A$5001,S$3,BD!$B$3:$B$5001,$A$143)))</f>
        <v/>
      </c>
      <c r="T155" s="225" t="str">
        <f>IF(T$3="","",IF(COUNTIFS(BD!$A$3:$A$5001,T$3,BD!$B$3:$B$5001,$A$143,BD!$N$3:$N$5001,"&lt;&gt;")=0,"",SUMIFS(BD!$N$3:$N$5001,BD!$A$3:$A$5001,T$3,BD!$B$3:$B$5001,$A$143)))</f>
        <v/>
      </c>
      <c r="U155" s="225" t="str">
        <f>IF(U$3="","",IF(COUNTIFS(BD!$A$3:$A$5001,U$3,BD!$B$3:$B$5001,$A$143,BD!$N$3:$N$5001,"&lt;&gt;")=0,"",SUMIFS(BD!$N$3:$N$5001,BD!$A$3:$A$5001,U$3,BD!$B$3:$B$5001,$A$143)))</f>
        <v/>
      </c>
      <c r="V155" s="225" t="str">
        <f>IF(V$3="","",IF(COUNTIFS(BD!$A$3:$A$5001,V$3,BD!$B$3:$B$5001,$A$143,BD!$N$3:$N$5001,"&lt;&gt;")=0,"",SUMIFS(BD!$N$3:$N$5001,BD!$A$3:$A$5001,V$3,BD!$B$3:$B$5001,$A$143)))</f>
        <v/>
      </c>
      <c r="W155" s="225" t="str">
        <f>IF(W$3="","",IF(COUNTIFS(BD!$A$3:$A$5001,W$3,BD!$B$3:$B$5001,$A$143,BD!$N$3:$N$5001,"&lt;&gt;")=0,"",SUMIFS(BD!$N$3:$N$5001,BD!$A$3:$A$5001,W$3,BD!$B$3:$B$5001,$A$143)))</f>
        <v/>
      </c>
      <c r="X155" s="225" t="str">
        <f>IF(X$3="","",IF(COUNTIFS(BD!$A$3:$A$5001,X$3,BD!$B$3:$B$5001,$A$143,BD!$N$3:$N$5001,"&lt;&gt;")=0,"",SUMIFS(BD!$N$3:$N$5001,BD!$A$3:$A$5001,X$3,BD!$B$3:$B$5001,$A$143)))</f>
        <v/>
      </c>
      <c r="Y155" s="225" t="str">
        <f>IF(Y$3="","",IF(COUNTIFS(BD!$A$3:$A$5001,Y$3,BD!$B$3:$B$5001,$A$143,BD!$N$3:$N$5001,"&lt;&gt;")=0,"",SUMIFS(BD!$N$3:$N$5001,BD!$A$3:$A$5001,Y$3,BD!$B$3:$B$5001,$A$143)))</f>
        <v/>
      </c>
      <c r="Z155" s="225" t="str">
        <f>IF(Z$3="","",IF(COUNTIFS(BD!$A$3:$A$5001,Z$3,BD!$B$3:$B$5001,$A$143,BD!$N$3:$N$5001,"&lt;&gt;")=0,"",SUMIFS(BD!$N$3:$N$5001,BD!$A$3:$A$5001,Z$3,BD!$B$3:$B$5001,$A$143)))</f>
        <v/>
      </c>
      <c r="AA155" s="225" t="str">
        <f>IF(AA$3="","",IF(COUNTIFS(BD!$A$3:$A$5001,AA$3,BD!$B$3:$B$5001,$A$143,BD!$N$3:$N$5001,"&lt;&gt;")=0,"",SUMIFS(BD!$N$3:$N$5001,BD!$A$3:$A$5001,AA$3,BD!$B$3:$B$5001,$A$143)))</f>
        <v/>
      </c>
      <c r="AB155" s="225" t="str">
        <f>IF(AB$3="","",IF(COUNTIFS(BD!$A$3:$A$5001,AB$3,BD!$B$3:$B$5001,$A$143,BD!$N$3:$N$5001,"&lt;&gt;")=0,"",SUMIFS(BD!$N$3:$N$5001,BD!$A$3:$A$5001,AB$3,BD!$B$3:$B$5001,$A$143)))</f>
        <v/>
      </c>
      <c r="AC155" s="225" t="str">
        <f>IF(AC$3="","",IF(COUNTIFS(BD!$A$3:$A$5001,AC$3,BD!$B$3:$B$5001,$A$143,BD!$N$3:$N$5001,"&lt;&gt;")=0,"",SUMIFS(BD!$N$3:$N$5001,BD!$A$3:$A$5001,AC$3,BD!$B$3:$B$5001,$A$143)))</f>
        <v/>
      </c>
      <c r="AD155" s="225" t="str">
        <f>IF(AD$3="","",IF(COUNTIFS(BD!$A$3:$A$5001,AD$3,BD!$B$3:$B$5001,$A$143,BD!$N$3:$N$5001,"&lt;&gt;")=0,"",SUMIFS(BD!$N$3:$N$5001,BD!$A$3:$A$5001,AD$3,BD!$B$3:$B$5001,$A$143)))</f>
        <v/>
      </c>
      <c r="AE155" s="225" t="str">
        <f>IF(AE$3="","",IF(COUNTIFS(BD!$A$3:$A$5001,AE$3,BD!$B$3:$B$5001,$A$143,BD!$N$3:$N$5001,"&lt;&gt;")=0,"",SUMIFS(BD!$N$3:$N$5001,BD!$A$3:$A$5001,AE$3,BD!$B$3:$B$5001,$A$143)))</f>
        <v/>
      </c>
      <c r="AF155" s="225" t="str">
        <f>IF(AF$3="","",IF(COUNTIFS(BD!$A$3:$A$5001,AF$3,BD!$B$3:$B$5001,$A$143,BD!$N$3:$N$5001,"&lt;&gt;")=0,"",SUMIFS(BD!$N$3:$N$5001,BD!$A$3:$A$5001,AF$3,BD!$B$3:$B$5001,$A$143)))</f>
        <v/>
      </c>
      <c r="AG155" s="225" t="str">
        <f>IF(AG$3="","",IF(COUNTIFS(BD!$A$3:$A$5001,AG$3,BD!$B$3:$B$5001,$A$143,BD!$N$3:$N$5001,"&lt;&gt;")=0,"",SUMIFS(BD!$N$3:$N$5001,BD!$A$3:$A$5001,AG$3,BD!$B$3:$B$5001,$A$143)))</f>
        <v/>
      </c>
      <c r="AH155" s="225" t="str">
        <f>IF(AH$3="","",IF(COUNTIFS(BD!$A$3:$A$5001,AH$3,BD!$B$3:$B$5001,$A$143,BD!$N$3:$N$5001,"&lt;&gt;")=0,"",SUMIFS(BD!$N$3:$N$5001,BD!$A$3:$A$5001,AH$3,BD!$B$3:$B$5001,$A$143)))</f>
        <v/>
      </c>
      <c r="AI155" s="225" t="str">
        <f>IF(AI$3="","",IF(COUNTIFS(BD!$A$3:$A$5001,AI$3,BD!$B$3:$B$5001,$A$143,BD!$N$3:$N$5001,"&lt;&gt;")=0,"",SUMIFS(BD!$N$3:$N$5001,BD!$A$3:$A$5001,AI$3,BD!$B$3:$B$5001,$A$143)))</f>
        <v/>
      </c>
      <c r="AJ155" s="226" t="str">
        <f>IF(AJ$3="","",IF(COUNTIFS(BD!$A$3:$A$5001,AJ$3,BD!$B$3:$B$5001,$A$143,BD!$N$3:$N$5001,"&lt;&gt;")=0,"",SUMIFS(BD!$N$3:$N$5001,BD!$A$3:$A$5001,AJ$3,BD!$B$3:$B$5001,$A$143)))</f>
        <v/>
      </c>
      <c r="AK155" s="227" t="str">
        <f>IFERROR(LOOKUP(9.99E+307,F155:AJ155),"")</f>
        <v/>
      </c>
    </row>
    <row r="156" ht="15.75" customHeight="1" hidden="1">
      <c r="A156" s="254"/>
      <c r="B156" s="251"/>
      <c r="C156" s="228" t="inlineStr">
        <is>
          <t xml:space="preserve">Falta</t>
        </is>
      </c>
      <c r="D156" s="229" t="str">
        <f>IFERROR(1/(1/INDEX(BD!$Y$36:$AS$36,MATCH($A$143,BD!$Y$22:$AS$22,0))),"")</f>
        <v/>
      </c>
      <c r="E156" s="230"/>
      <c r="F156" s="231" t="str">
        <f>IF(F$3="","",IF(COUNTIFS(BD!$A$3:$A$5001,F$3,BD!$B$3:$B$5001,$A$143,BD!$O$3:$O$5001,"&lt;&gt;")=0,"",SUMIFS(BD!$O$3:$O$5001,BD!$A$3:$A$5001,F$3,BD!$B$3:$B$5001,$A$143)))</f>
        <v/>
      </c>
      <c r="G156" s="232" t="str">
        <f>IF(G$3="","",IF(COUNTIFS(BD!$A$3:$A$5001,G$3,BD!$B$3:$B$5001,$A$143,BD!$O$3:$O$5001,"&lt;&gt;")=0,"",SUMIFS(BD!$O$3:$O$5001,BD!$A$3:$A$5001,G$3,BD!$B$3:$B$5001,$A$143)))</f>
        <v/>
      </c>
      <c r="H156" s="232" t="str">
        <f>IF(H$3="","",IF(COUNTIFS(BD!$A$3:$A$5001,H$3,BD!$B$3:$B$5001,$A$143,BD!$O$3:$O$5001,"&lt;&gt;")=0,"",SUMIFS(BD!$O$3:$O$5001,BD!$A$3:$A$5001,H$3,BD!$B$3:$B$5001,$A$143)))</f>
        <v/>
      </c>
      <c r="I156" s="232" t="str">
        <f>IF(I$3="","",IF(COUNTIFS(BD!$A$3:$A$5001,I$3,BD!$B$3:$B$5001,$A$143,BD!$O$3:$O$5001,"&lt;&gt;")=0,"",SUMIFS(BD!$O$3:$O$5001,BD!$A$3:$A$5001,I$3,BD!$B$3:$B$5001,$A$143)))</f>
        <v/>
      </c>
      <c r="J156" s="232" t="str">
        <f>IF(J$3="","",IF(COUNTIFS(BD!$A$3:$A$5001,J$3,BD!$B$3:$B$5001,$A$143,BD!$O$3:$O$5001,"&lt;&gt;")=0,"",SUMIFS(BD!$O$3:$O$5001,BD!$A$3:$A$5001,J$3,BD!$B$3:$B$5001,$A$143)))</f>
        <v/>
      </c>
      <c r="K156" s="232" t="str">
        <f>IF(K$3="","",IF(COUNTIFS(BD!$A$3:$A$5001,K$3,BD!$B$3:$B$5001,$A$143,BD!$O$3:$O$5001,"&lt;&gt;")=0,"",SUMIFS(BD!$O$3:$O$5001,BD!$A$3:$A$5001,K$3,BD!$B$3:$B$5001,$A$143)))</f>
        <v/>
      </c>
      <c r="L156" s="232" t="str">
        <f>IF(L$3="","",IF(COUNTIFS(BD!$A$3:$A$5001,L$3,BD!$B$3:$B$5001,$A$143,BD!$O$3:$O$5001,"&lt;&gt;")=0,"",SUMIFS(BD!$O$3:$O$5001,BD!$A$3:$A$5001,L$3,BD!$B$3:$B$5001,$A$143)))</f>
        <v/>
      </c>
      <c r="M156" s="232" t="str">
        <f>IF(M$3="","",IF(COUNTIFS(BD!$A$3:$A$5001,M$3,BD!$B$3:$B$5001,$A$143,BD!$O$3:$O$5001,"&lt;&gt;")=0,"",SUMIFS(BD!$O$3:$O$5001,BD!$A$3:$A$5001,M$3,BD!$B$3:$B$5001,$A$143)))</f>
        <v/>
      </c>
      <c r="N156" s="232" t="str">
        <f>IF(N$3="","",IF(COUNTIFS(BD!$A$3:$A$5001,N$3,BD!$B$3:$B$5001,$A$143,BD!$O$3:$O$5001,"&lt;&gt;")=0,"",SUMIFS(BD!$O$3:$O$5001,BD!$A$3:$A$5001,N$3,BD!$B$3:$B$5001,$A$143)))</f>
        <v/>
      </c>
      <c r="O156" s="232" t="str">
        <f>IF(O$3="","",IF(COUNTIFS(BD!$A$3:$A$5001,O$3,BD!$B$3:$B$5001,$A$143,BD!$O$3:$O$5001,"&lt;&gt;")=0,"",SUMIFS(BD!$O$3:$O$5001,BD!$A$3:$A$5001,O$3,BD!$B$3:$B$5001,$A$143)))</f>
        <v/>
      </c>
      <c r="P156" s="232" t="str">
        <f>IF(P$3="","",IF(COUNTIFS(BD!$A$3:$A$5001,P$3,BD!$B$3:$B$5001,$A$143,BD!$O$3:$O$5001,"&lt;&gt;")=0,"",SUMIFS(BD!$O$3:$O$5001,BD!$A$3:$A$5001,P$3,BD!$B$3:$B$5001,$A$143)))</f>
        <v/>
      </c>
      <c r="Q156" s="232" t="str">
        <f>IF(Q$3="","",IF(COUNTIFS(BD!$A$3:$A$5001,Q$3,BD!$B$3:$B$5001,$A$143,BD!$O$3:$O$5001,"&lt;&gt;")=0,"",SUMIFS(BD!$O$3:$O$5001,BD!$A$3:$A$5001,Q$3,BD!$B$3:$B$5001,$A$143)))</f>
        <v/>
      </c>
      <c r="R156" s="232" t="str">
        <f>IF(R$3="","",IF(COUNTIFS(BD!$A$3:$A$5001,R$3,BD!$B$3:$B$5001,$A$143,BD!$O$3:$O$5001,"&lt;&gt;")=0,"",SUMIFS(BD!$O$3:$O$5001,BD!$A$3:$A$5001,R$3,BD!$B$3:$B$5001,$A$143)))</f>
        <v/>
      </c>
      <c r="S156" s="232" t="str">
        <f>IF(S$3="","",IF(COUNTIFS(BD!$A$3:$A$5001,S$3,BD!$B$3:$B$5001,$A$143,BD!$O$3:$O$5001,"&lt;&gt;")=0,"",SUMIFS(BD!$O$3:$O$5001,BD!$A$3:$A$5001,S$3,BD!$B$3:$B$5001,$A$143)))</f>
        <v/>
      </c>
      <c r="T156" s="232" t="str">
        <f>IF(T$3="","",IF(COUNTIFS(BD!$A$3:$A$5001,T$3,BD!$B$3:$B$5001,$A$143,BD!$O$3:$O$5001,"&lt;&gt;")=0,"",SUMIFS(BD!$O$3:$O$5001,BD!$A$3:$A$5001,T$3,BD!$B$3:$B$5001,$A$143)))</f>
        <v/>
      </c>
      <c r="U156" s="232" t="str">
        <f>IF(U$3="","",IF(COUNTIFS(BD!$A$3:$A$5001,U$3,BD!$B$3:$B$5001,$A$143,BD!$O$3:$O$5001,"&lt;&gt;")=0,"",SUMIFS(BD!$O$3:$O$5001,BD!$A$3:$A$5001,U$3,BD!$B$3:$B$5001,$A$143)))</f>
        <v/>
      </c>
      <c r="V156" s="232" t="str">
        <f>IF(V$3="","",IF(COUNTIFS(BD!$A$3:$A$5001,V$3,BD!$B$3:$B$5001,$A$143,BD!$O$3:$O$5001,"&lt;&gt;")=0,"",SUMIFS(BD!$O$3:$O$5001,BD!$A$3:$A$5001,V$3,BD!$B$3:$B$5001,$A$143)))</f>
        <v/>
      </c>
      <c r="W156" s="232" t="str">
        <f>IF(W$3="","",IF(COUNTIFS(BD!$A$3:$A$5001,W$3,BD!$B$3:$B$5001,$A$143,BD!$O$3:$O$5001,"&lt;&gt;")=0,"",SUMIFS(BD!$O$3:$O$5001,BD!$A$3:$A$5001,W$3,BD!$B$3:$B$5001,$A$143)))</f>
        <v/>
      </c>
      <c r="X156" s="232" t="str">
        <f>IF(X$3="","",IF(COUNTIFS(BD!$A$3:$A$5001,X$3,BD!$B$3:$B$5001,$A$143,BD!$O$3:$O$5001,"&lt;&gt;")=0,"",SUMIFS(BD!$O$3:$O$5001,BD!$A$3:$A$5001,X$3,BD!$B$3:$B$5001,$A$143)))</f>
        <v/>
      </c>
      <c r="Y156" s="232" t="str">
        <f>IF(Y$3="","",IF(COUNTIFS(BD!$A$3:$A$5001,Y$3,BD!$B$3:$B$5001,$A$143,BD!$O$3:$O$5001,"&lt;&gt;")=0,"",SUMIFS(BD!$O$3:$O$5001,BD!$A$3:$A$5001,Y$3,BD!$B$3:$B$5001,$A$143)))</f>
        <v/>
      </c>
      <c r="Z156" s="232" t="str">
        <f>IF(Z$3="","",IF(COUNTIFS(BD!$A$3:$A$5001,Z$3,BD!$B$3:$B$5001,$A$143,BD!$O$3:$O$5001,"&lt;&gt;")=0,"",SUMIFS(BD!$O$3:$O$5001,BD!$A$3:$A$5001,Z$3,BD!$B$3:$B$5001,$A$143)))</f>
        <v/>
      </c>
      <c r="AA156" s="232" t="str">
        <f>IF(AA$3="","",IF(COUNTIFS(BD!$A$3:$A$5001,AA$3,BD!$B$3:$B$5001,$A$143,BD!$O$3:$O$5001,"&lt;&gt;")=0,"",SUMIFS(BD!$O$3:$O$5001,BD!$A$3:$A$5001,AA$3,BD!$B$3:$B$5001,$A$143)))</f>
        <v/>
      </c>
      <c r="AB156" s="232" t="str">
        <f>IF(AB$3="","",IF(COUNTIFS(BD!$A$3:$A$5001,AB$3,BD!$B$3:$B$5001,$A$143,BD!$O$3:$O$5001,"&lt;&gt;")=0,"",SUMIFS(BD!$O$3:$O$5001,BD!$A$3:$A$5001,AB$3,BD!$B$3:$B$5001,$A$143)))</f>
        <v/>
      </c>
      <c r="AC156" s="232" t="str">
        <f>IF(AC$3="","",IF(COUNTIFS(BD!$A$3:$A$5001,AC$3,BD!$B$3:$B$5001,$A$143,BD!$O$3:$O$5001,"&lt;&gt;")=0,"",SUMIFS(BD!$O$3:$O$5001,BD!$A$3:$A$5001,AC$3,BD!$B$3:$B$5001,$A$143)))</f>
        <v/>
      </c>
      <c r="AD156" s="232" t="str">
        <f>IF(AD$3="","",IF(COUNTIFS(BD!$A$3:$A$5001,AD$3,BD!$B$3:$B$5001,$A$143,BD!$O$3:$O$5001,"&lt;&gt;")=0,"",SUMIFS(BD!$O$3:$O$5001,BD!$A$3:$A$5001,AD$3,BD!$B$3:$B$5001,$A$143)))</f>
        <v/>
      </c>
      <c r="AE156" s="232" t="str">
        <f>IF(AE$3="","",IF(COUNTIFS(BD!$A$3:$A$5001,AE$3,BD!$B$3:$B$5001,$A$143,BD!$O$3:$O$5001,"&lt;&gt;")=0,"",SUMIFS(BD!$O$3:$O$5001,BD!$A$3:$A$5001,AE$3,BD!$B$3:$B$5001,$A$143)))</f>
        <v/>
      </c>
      <c r="AF156" s="232" t="str">
        <f>IF(AF$3="","",IF(COUNTIFS(BD!$A$3:$A$5001,AF$3,BD!$B$3:$B$5001,$A$143,BD!$O$3:$O$5001,"&lt;&gt;")=0,"",SUMIFS(BD!$O$3:$O$5001,BD!$A$3:$A$5001,AF$3,BD!$B$3:$B$5001,$A$143)))</f>
        <v/>
      </c>
      <c r="AG156" s="232" t="str">
        <f>IF(AG$3="","",IF(COUNTIFS(BD!$A$3:$A$5001,AG$3,BD!$B$3:$B$5001,$A$143,BD!$O$3:$O$5001,"&lt;&gt;")=0,"",SUMIFS(BD!$O$3:$O$5001,BD!$A$3:$A$5001,AG$3,BD!$B$3:$B$5001,$A$143)))</f>
        <v/>
      </c>
      <c r="AH156" s="232" t="str">
        <f>IF(AH$3="","",IF(COUNTIFS(BD!$A$3:$A$5001,AH$3,BD!$B$3:$B$5001,$A$143,BD!$O$3:$O$5001,"&lt;&gt;")=0,"",SUMIFS(BD!$O$3:$O$5001,BD!$A$3:$A$5001,AH$3,BD!$B$3:$B$5001,$A$143)))</f>
        <v/>
      </c>
      <c r="AI156" s="232" t="str">
        <f>IF(AI$3="","",IF(COUNTIFS(BD!$A$3:$A$5001,AI$3,BD!$B$3:$B$5001,$A$143,BD!$O$3:$O$5001,"&lt;&gt;")=0,"",SUMIFS(BD!$O$3:$O$5001,BD!$A$3:$A$5001,AI$3,BD!$B$3:$B$5001,$A$143)))</f>
        <v/>
      </c>
      <c r="AJ156" s="233" t="str">
        <f>IF(AJ$3="","",IF(COUNTIFS(BD!$A$3:$A$5001,AJ$3,BD!$B$3:$B$5001,$A$143,BD!$O$3:$O$5001,"&lt;&gt;")=0,"",SUMIFS(BD!$O$3:$O$5001,BD!$A$3:$A$5001,AJ$3,BD!$B$3:$B$5001,$A$143)))</f>
        <v/>
      </c>
      <c r="AK156" s="234" t="str">
        <f>IF(COUNT(F156:AJ156)=0,"",SUM(F156:AJ156))</f>
        <v/>
      </c>
    </row>
    <row r="157" ht="15.75" customHeight="1" hidden="1">
      <c r="A157" s="254"/>
      <c r="B157" s="251"/>
      <c r="C157" s="228" t="inlineStr">
        <is>
          <t xml:space="preserve">Folga</t>
        </is>
      </c>
      <c r="D157" s="229" t="str">
        <f>IFERROR(1/(1/INDEX(BD!$Y$37:$AS$37,MATCH($A$143,BD!$Y$22:$AS$22,0))),"")</f>
        <v/>
      </c>
      <c r="E157" s="230"/>
      <c r="F157" s="231" t="str">
        <f>IF(F$3="","",IF(COUNTIFS(BD!$A$3:$A$5001,F$3,BD!$B$3:$B$5001,$A$143,BD!$P$3:$P$5001,"&lt;&gt;")=0,"",SUMIFS(BD!$P$3:$P$5001,BD!$A$3:$A$5001,F$3,BD!$B$3:$B$5001,$A$143)))</f>
        <v/>
      </c>
      <c r="G157" s="232" t="str">
        <f>IF(G$3="","",IF(COUNTIFS(BD!$A$3:$A$5001,G$3,BD!$B$3:$B$5001,$A$143,BD!$P$3:$P$5001,"&lt;&gt;")=0,"",SUMIFS(BD!$P$3:$P$5001,BD!$A$3:$A$5001,G$3,BD!$B$3:$B$5001,$A$143)))</f>
        <v/>
      </c>
      <c r="H157" s="232" t="str">
        <f>IF(H$3="","",IF(COUNTIFS(BD!$A$3:$A$5001,H$3,BD!$B$3:$B$5001,$A$143,BD!$P$3:$P$5001,"&lt;&gt;")=0,"",SUMIFS(BD!$P$3:$P$5001,BD!$A$3:$A$5001,H$3,BD!$B$3:$B$5001,$A$143)))</f>
        <v/>
      </c>
      <c r="I157" s="232" t="str">
        <f>IF(I$3="","",IF(COUNTIFS(BD!$A$3:$A$5001,I$3,BD!$B$3:$B$5001,$A$143,BD!$P$3:$P$5001,"&lt;&gt;")=0,"",SUMIFS(BD!$P$3:$P$5001,BD!$A$3:$A$5001,I$3,BD!$B$3:$B$5001,$A$143)))</f>
        <v/>
      </c>
      <c r="J157" s="232" t="str">
        <f>IF(J$3="","",IF(COUNTIFS(BD!$A$3:$A$5001,J$3,BD!$B$3:$B$5001,$A$143,BD!$P$3:$P$5001,"&lt;&gt;")=0,"",SUMIFS(BD!$P$3:$P$5001,BD!$A$3:$A$5001,J$3,BD!$B$3:$B$5001,$A$143)))</f>
        <v/>
      </c>
      <c r="K157" s="232" t="str">
        <f>IF(K$3="","",IF(COUNTIFS(BD!$A$3:$A$5001,K$3,BD!$B$3:$B$5001,$A$143,BD!$P$3:$P$5001,"&lt;&gt;")=0,"",SUMIFS(BD!$P$3:$P$5001,BD!$A$3:$A$5001,K$3,BD!$B$3:$B$5001,$A$143)))</f>
        <v/>
      </c>
      <c r="L157" s="232" t="str">
        <f>IF(L$3="","",IF(COUNTIFS(BD!$A$3:$A$5001,L$3,BD!$B$3:$B$5001,$A$143,BD!$P$3:$P$5001,"&lt;&gt;")=0,"",SUMIFS(BD!$P$3:$P$5001,BD!$A$3:$A$5001,L$3,BD!$B$3:$B$5001,$A$143)))</f>
        <v/>
      </c>
      <c r="M157" s="232" t="str">
        <f>IF(M$3="","",IF(COUNTIFS(BD!$A$3:$A$5001,M$3,BD!$B$3:$B$5001,$A$143,BD!$P$3:$P$5001,"&lt;&gt;")=0,"",SUMIFS(BD!$P$3:$P$5001,BD!$A$3:$A$5001,M$3,BD!$B$3:$B$5001,$A$143)))</f>
        <v/>
      </c>
      <c r="N157" s="232" t="str">
        <f>IF(N$3="","",IF(COUNTIFS(BD!$A$3:$A$5001,N$3,BD!$B$3:$B$5001,$A$143,BD!$P$3:$P$5001,"&lt;&gt;")=0,"",SUMIFS(BD!$P$3:$P$5001,BD!$A$3:$A$5001,N$3,BD!$B$3:$B$5001,$A$143)))</f>
        <v/>
      </c>
      <c r="O157" s="232" t="str">
        <f>IF(O$3="","",IF(COUNTIFS(BD!$A$3:$A$5001,O$3,BD!$B$3:$B$5001,$A$143,BD!$P$3:$P$5001,"&lt;&gt;")=0,"",SUMIFS(BD!$P$3:$P$5001,BD!$A$3:$A$5001,O$3,BD!$B$3:$B$5001,$A$143)))</f>
        <v/>
      </c>
      <c r="P157" s="232" t="str">
        <f>IF(P$3="","",IF(COUNTIFS(BD!$A$3:$A$5001,P$3,BD!$B$3:$B$5001,$A$143,BD!$P$3:$P$5001,"&lt;&gt;")=0,"",SUMIFS(BD!$P$3:$P$5001,BD!$A$3:$A$5001,P$3,BD!$B$3:$B$5001,$A$143)))</f>
        <v/>
      </c>
      <c r="Q157" s="232" t="str">
        <f>IF(Q$3="","",IF(COUNTIFS(BD!$A$3:$A$5001,Q$3,BD!$B$3:$B$5001,$A$143,BD!$P$3:$P$5001,"&lt;&gt;")=0,"",SUMIFS(BD!$P$3:$P$5001,BD!$A$3:$A$5001,Q$3,BD!$B$3:$B$5001,$A$143)))</f>
        <v/>
      </c>
      <c r="R157" s="232" t="str">
        <f>IF(R$3="","",IF(COUNTIFS(BD!$A$3:$A$5001,R$3,BD!$B$3:$B$5001,$A$143,BD!$P$3:$P$5001,"&lt;&gt;")=0,"",SUMIFS(BD!$P$3:$P$5001,BD!$A$3:$A$5001,R$3,BD!$B$3:$B$5001,$A$143)))</f>
        <v/>
      </c>
      <c r="S157" s="232" t="str">
        <f>IF(S$3="","",IF(COUNTIFS(BD!$A$3:$A$5001,S$3,BD!$B$3:$B$5001,$A$143,BD!$P$3:$P$5001,"&lt;&gt;")=0,"",SUMIFS(BD!$P$3:$P$5001,BD!$A$3:$A$5001,S$3,BD!$B$3:$B$5001,$A$143)))</f>
        <v/>
      </c>
      <c r="T157" s="232" t="str">
        <f>IF(T$3="","",IF(COUNTIFS(BD!$A$3:$A$5001,T$3,BD!$B$3:$B$5001,$A$143,BD!$P$3:$P$5001,"&lt;&gt;")=0,"",SUMIFS(BD!$P$3:$P$5001,BD!$A$3:$A$5001,T$3,BD!$B$3:$B$5001,$A$143)))</f>
        <v/>
      </c>
      <c r="U157" s="232" t="str">
        <f>IF(U$3="","",IF(COUNTIFS(BD!$A$3:$A$5001,U$3,BD!$B$3:$B$5001,$A$143,BD!$P$3:$P$5001,"&lt;&gt;")=0,"",SUMIFS(BD!$P$3:$P$5001,BD!$A$3:$A$5001,U$3,BD!$B$3:$B$5001,$A$143)))</f>
        <v/>
      </c>
      <c r="V157" s="232" t="str">
        <f>IF(V$3="","",IF(COUNTIFS(BD!$A$3:$A$5001,V$3,BD!$B$3:$B$5001,$A$143,BD!$P$3:$P$5001,"&lt;&gt;")=0,"",SUMIFS(BD!$P$3:$P$5001,BD!$A$3:$A$5001,V$3,BD!$B$3:$B$5001,$A$143)))</f>
        <v/>
      </c>
      <c r="W157" s="232" t="str">
        <f>IF(W$3="","",IF(COUNTIFS(BD!$A$3:$A$5001,W$3,BD!$B$3:$B$5001,$A$143,BD!$P$3:$P$5001,"&lt;&gt;")=0,"",SUMIFS(BD!$P$3:$P$5001,BD!$A$3:$A$5001,W$3,BD!$B$3:$B$5001,$A$143)))</f>
        <v/>
      </c>
      <c r="X157" s="232" t="str">
        <f>IF(X$3="","",IF(COUNTIFS(BD!$A$3:$A$5001,X$3,BD!$B$3:$B$5001,$A$143,BD!$P$3:$P$5001,"&lt;&gt;")=0,"",SUMIFS(BD!$P$3:$P$5001,BD!$A$3:$A$5001,X$3,BD!$B$3:$B$5001,$A$143)))</f>
        <v/>
      </c>
      <c r="Y157" s="232" t="str">
        <f>IF(Y$3="","",IF(COUNTIFS(BD!$A$3:$A$5001,Y$3,BD!$B$3:$B$5001,$A$143,BD!$P$3:$P$5001,"&lt;&gt;")=0,"",SUMIFS(BD!$P$3:$P$5001,BD!$A$3:$A$5001,Y$3,BD!$B$3:$B$5001,$A$143)))</f>
        <v/>
      </c>
      <c r="Z157" s="232" t="str">
        <f>IF(Z$3="","",IF(COUNTIFS(BD!$A$3:$A$5001,Z$3,BD!$B$3:$B$5001,$A$143,BD!$P$3:$P$5001,"&lt;&gt;")=0,"",SUMIFS(BD!$P$3:$P$5001,BD!$A$3:$A$5001,Z$3,BD!$B$3:$B$5001,$A$143)))</f>
        <v/>
      </c>
      <c r="AA157" s="232" t="str">
        <f>IF(AA$3="","",IF(COUNTIFS(BD!$A$3:$A$5001,AA$3,BD!$B$3:$B$5001,$A$143,BD!$P$3:$P$5001,"&lt;&gt;")=0,"",SUMIFS(BD!$P$3:$P$5001,BD!$A$3:$A$5001,AA$3,BD!$B$3:$B$5001,$A$143)))</f>
        <v/>
      </c>
      <c r="AB157" s="232" t="str">
        <f>IF(AB$3="","",IF(COUNTIFS(BD!$A$3:$A$5001,AB$3,BD!$B$3:$B$5001,$A$143,BD!$P$3:$P$5001,"&lt;&gt;")=0,"",SUMIFS(BD!$P$3:$P$5001,BD!$A$3:$A$5001,AB$3,BD!$B$3:$B$5001,$A$143)))</f>
        <v/>
      </c>
      <c r="AC157" s="232" t="str">
        <f>IF(AC$3="","",IF(COUNTIFS(BD!$A$3:$A$5001,AC$3,BD!$B$3:$B$5001,$A$143,BD!$P$3:$P$5001,"&lt;&gt;")=0,"",SUMIFS(BD!$P$3:$P$5001,BD!$A$3:$A$5001,AC$3,BD!$B$3:$B$5001,$A$143)))</f>
        <v/>
      </c>
      <c r="AD157" s="232" t="str">
        <f>IF(AD$3="","",IF(COUNTIFS(BD!$A$3:$A$5001,AD$3,BD!$B$3:$B$5001,$A$143,BD!$P$3:$P$5001,"&lt;&gt;")=0,"",SUMIFS(BD!$P$3:$P$5001,BD!$A$3:$A$5001,AD$3,BD!$B$3:$B$5001,$A$143)))</f>
        <v/>
      </c>
      <c r="AE157" s="232" t="str">
        <f>IF(AE$3="","",IF(COUNTIFS(BD!$A$3:$A$5001,AE$3,BD!$B$3:$B$5001,$A$143,BD!$P$3:$P$5001,"&lt;&gt;")=0,"",SUMIFS(BD!$P$3:$P$5001,BD!$A$3:$A$5001,AE$3,BD!$B$3:$B$5001,$A$143)))</f>
        <v/>
      </c>
      <c r="AF157" s="232" t="str">
        <f>IF(AF$3="","",IF(COUNTIFS(BD!$A$3:$A$5001,AF$3,BD!$B$3:$B$5001,$A$143,BD!$P$3:$P$5001,"&lt;&gt;")=0,"",SUMIFS(BD!$P$3:$P$5001,BD!$A$3:$A$5001,AF$3,BD!$B$3:$B$5001,$A$143)))</f>
        <v/>
      </c>
      <c r="AG157" s="232" t="str">
        <f>IF(AG$3="","",IF(COUNTIFS(BD!$A$3:$A$5001,AG$3,BD!$B$3:$B$5001,$A$143,BD!$P$3:$P$5001,"&lt;&gt;")=0,"",SUMIFS(BD!$P$3:$P$5001,BD!$A$3:$A$5001,AG$3,BD!$B$3:$B$5001,$A$143)))</f>
        <v/>
      </c>
      <c r="AH157" s="232" t="str">
        <f>IF(AH$3="","",IF(COUNTIFS(BD!$A$3:$A$5001,AH$3,BD!$B$3:$B$5001,$A$143,BD!$P$3:$P$5001,"&lt;&gt;")=0,"",SUMIFS(BD!$P$3:$P$5001,BD!$A$3:$A$5001,AH$3,BD!$B$3:$B$5001,$A$143)))</f>
        <v/>
      </c>
      <c r="AI157" s="232" t="str">
        <f>IF(AI$3="","",IF(COUNTIFS(BD!$A$3:$A$5001,AI$3,BD!$B$3:$B$5001,$A$143,BD!$P$3:$P$5001,"&lt;&gt;")=0,"",SUMIFS(BD!$P$3:$P$5001,BD!$A$3:$A$5001,AI$3,BD!$B$3:$B$5001,$A$143)))</f>
        <v/>
      </c>
      <c r="AJ157" s="233" t="str">
        <f>IF(AJ$3="","",IF(COUNTIFS(BD!$A$3:$A$5001,AJ$3,BD!$B$3:$B$5001,$A$143,BD!$P$3:$P$5001,"&lt;&gt;")=0,"",SUMIFS(BD!$P$3:$P$5001,BD!$A$3:$A$5001,AJ$3,BD!$B$3:$B$5001,$A$143)))</f>
        <v/>
      </c>
      <c r="AK157" s="234" t="str">
        <f>IF(COUNT(F157:AJ157)=0,"",SUM(F157:AJ157))</f>
        <v/>
      </c>
    </row>
    <row r="158" ht="15.75" customHeight="1" hidden="1">
      <c r="A158" s="254"/>
      <c r="B158" s="251"/>
      <c r="C158" s="228" t="inlineStr">
        <is>
          <t xml:space="preserve">Férias</t>
        </is>
      </c>
      <c r="D158" s="229" t="str">
        <f>IFERROR(1/(1/INDEX(BD!$Y$38:$AS$38,MATCH($A$143,BD!$Y$22:$AS$22,0))),"")</f>
        <v/>
      </c>
      <c r="E158" s="230"/>
      <c r="F158" s="231" t="str">
        <f>IF(F$3="","",IF(COUNTIFS(BD!$A$3:$A$5001,F$3,BD!$B$3:$B$5001,$A$143,BD!$Q$3:$Q$5001,"&lt;&gt;")=0,"",SUMIFS(BD!$Q$3:$Q$5001,BD!$A$3:$A$5001,F$3,BD!$B$3:$B$5001,$A$143)))</f>
        <v/>
      </c>
      <c r="G158" s="232" t="str">
        <f>IF(G$3="","",IF(COUNTIFS(BD!$A$3:$A$5001,G$3,BD!$B$3:$B$5001,$A$143,BD!$Q$3:$Q$5001,"&lt;&gt;")=0,"",SUMIFS(BD!$Q$3:$Q$5001,BD!$A$3:$A$5001,G$3,BD!$B$3:$B$5001,$A$143)))</f>
        <v/>
      </c>
      <c r="H158" s="232" t="str">
        <f>IF(H$3="","",IF(COUNTIFS(BD!$A$3:$A$5001,H$3,BD!$B$3:$B$5001,$A$143,BD!$Q$3:$Q$5001,"&lt;&gt;")=0,"",SUMIFS(BD!$Q$3:$Q$5001,BD!$A$3:$A$5001,H$3,BD!$B$3:$B$5001,$A$143)))</f>
        <v/>
      </c>
      <c r="I158" s="232" t="str">
        <f>IF(I$3="","",IF(COUNTIFS(BD!$A$3:$A$5001,I$3,BD!$B$3:$B$5001,$A$143,BD!$Q$3:$Q$5001,"&lt;&gt;")=0,"",SUMIFS(BD!$Q$3:$Q$5001,BD!$A$3:$A$5001,I$3,BD!$B$3:$B$5001,$A$143)))</f>
        <v/>
      </c>
      <c r="J158" s="232" t="str">
        <f>IF(J$3="","",IF(COUNTIFS(BD!$A$3:$A$5001,J$3,BD!$B$3:$B$5001,$A$143,BD!$Q$3:$Q$5001,"&lt;&gt;")=0,"",SUMIFS(BD!$Q$3:$Q$5001,BD!$A$3:$A$5001,J$3,BD!$B$3:$B$5001,$A$143)))</f>
        <v/>
      </c>
      <c r="K158" s="232" t="str">
        <f>IF(K$3="","",IF(COUNTIFS(BD!$A$3:$A$5001,K$3,BD!$B$3:$B$5001,$A$143,BD!$Q$3:$Q$5001,"&lt;&gt;")=0,"",SUMIFS(BD!$Q$3:$Q$5001,BD!$A$3:$A$5001,K$3,BD!$B$3:$B$5001,$A$143)))</f>
        <v/>
      </c>
      <c r="L158" s="232" t="str">
        <f>IF(L$3="","",IF(COUNTIFS(BD!$A$3:$A$5001,L$3,BD!$B$3:$B$5001,$A$143,BD!$Q$3:$Q$5001,"&lt;&gt;")=0,"",SUMIFS(BD!$Q$3:$Q$5001,BD!$A$3:$A$5001,L$3,BD!$B$3:$B$5001,$A$143)))</f>
        <v/>
      </c>
      <c r="M158" s="232" t="str">
        <f>IF(M$3="","",IF(COUNTIFS(BD!$A$3:$A$5001,M$3,BD!$B$3:$B$5001,$A$143,BD!$Q$3:$Q$5001,"&lt;&gt;")=0,"",SUMIFS(BD!$Q$3:$Q$5001,BD!$A$3:$A$5001,M$3,BD!$B$3:$B$5001,$A$143)))</f>
        <v/>
      </c>
      <c r="N158" s="232" t="str">
        <f>IF(N$3="","",IF(COUNTIFS(BD!$A$3:$A$5001,N$3,BD!$B$3:$B$5001,$A$143,BD!$Q$3:$Q$5001,"&lt;&gt;")=0,"",SUMIFS(BD!$Q$3:$Q$5001,BD!$A$3:$A$5001,N$3,BD!$B$3:$B$5001,$A$143)))</f>
        <v/>
      </c>
      <c r="O158" s="232" t="str">
        <f>IF(O$3="","",IF(COUNTIFS(BD!$A$3:$A$5001,O$3,BD!$B$3:$B$5001,$A$143,BD!$Q$3:$Q$5001,"&lt;&gt;")=0,"",SUMIFS(BD!$Q$3:$Q$5001,BD!$A$3:$A$5001,O$3,BD!$B$3:$B$5001,$A$143)))</f>
        <v/>
      </c>
      <c r="P158" s="232" t="str">
        <f>IF(P$3="","",IF(COUNTIFS(BD!$A$3:$A$5001,P$3,BD!$B$3:$B$5001,$A$143,BD!$Q$3:$Q$5001,"&lt;&gt;")=0,"",SUMIFS(BD!$Q$3:$Q$5001,BD!$A$3:$A$5001,P$3,BD!$B$3:$B$5001,$A$143)))</f>
        <v/>
      </c>
      <c r="Q158" s="232" t="str">
        <f>IF(Q$3="","",IF(COUNTIFS(BD!$A$3:$A$5001,Q$3,BD!$B$3:$B$5001,$A$143,BD!$Q$3:$Q$5001,"&lt;&gt;")=0,"",SUMIFS(BD!$Q$3:$Q$5001,BD!$A$3:$A$5001,Q$3,BD!$B$3:$B$5001,$A$143)))</f>
        <v/>
      </c>
      <c r="R158" s="232" t="str">
        <f>IF(R$3="","",IF(COUNTIFS(BD!$A$3:$A$5001,R$3,BD!$B$3:$B$5001,$A$143,BD!$Q$3:$Q$5001,"&lt;&gt;")=0,"",SUMIFS(BD!$Q$3:$Q$5001,BD!$A$3:$A$5001,R$3,BD!$B$3:$B$5001,$A$143)))</f>
        <v/>
      </c>
      <c r="S158" s="232" t="str">
        <f>IF(S$3="","",IF(COUNTIFS(BD!$A$3:$A$5001,S$3,BD!$B$3:$B$5001,$A$143,BD!$Q$3:$Q$5001,"&lt;&gt;")=0,"",SUMIFS(BD!$Q$3:$Q$5001,BD!$A$3:$A$5001,S$3,BD!$B$3:$B$5001,$A$143)))</f>
        <v/>
      </c>
      <c r="T158" s="232" t="str">
        <f>IF(T$3="","",IF(COUNTIFS(BD!$A$3:$A$5001,T$3,BD!$B$3:$B$5001,$A$143,BD!$Q$3:$Q$5001,"&lt;&gt;")=0,"",SUMIFS(BD!$Q$3:$Q$5001,BD!$A$3:$A$5001,T$3,BD!$B$3:$B$5001,$A$143)))</f>
        <v/>
      </c>
      <c r="U158" s="232" t="str">
        <f>IF(U$3="","",IF(COUNTIFS(BD!$A$3:$A$5001,U$3,BD!$B$3:$B$5001,$A$143,BD!$Q$3:$Q$5001,"&lt;&gt;")=0,"",SUMIFS(BD!$Q$3:$Q$5001,BD!$A$3:$A$5001,U$3,BD!$B$3:$B$5001,$A$143)))</f>
        <v/>
      </c>
      <c r="V158" s="232" t="str">
        <f>IF(V$3="","",IF(COUNTIFS(BD!$A$3:$A$5001,V$3,BD!$B$3:$B$5001,$A$143,BD!$Q$3:$Q$5001,"&lt;&gt;")=0,"",SUMIFS(BD!$Q$3:$Q$5001,BD!$A$3:$A$5001,V$3,BD!$B$3:$B$5001,$A$143)))</f>
        <v/>
      </c>
      <c r="W158" s="232" t="str">
        <f>IF(W$3="","",IF(COUNTIFS(BD!$A$3:$A$5001,W$3,BD!$B$3:$B$5001,$A$143,BD!$Q$3:$Q$5001,"&lt;&gt;")=0,"",SUMIFS(BD!$Q$3:$Q$5001,BD!$A$3:$A$5001,W$3,BD!$B$3:$B$5001,$A$143)))</f>
        <v/>
      </c>
      <c r="X158" s="232" t="str">
        <f>IF(X$3="","",IF(COUNTIFS(BD!$A$3:$A$5001,X$3,BD!$B$3:$B$5001,$A$143,BD!$Q$3:$Q$5001,"&lt;&gt;")=0,"",SUMIFS(BD!$Q$3:$Q$5001,BD!$A$3:$A$5001,X$3,BD!$B$3:$B$5001,$A$143)))</f>
        <v/>
      </c>
      <c r="Y158" s="232" t="str">
        <f>IF(Y$3="","",IF(COUNTIFS(BD!$A$3:$A$5001,Y$3,BD!$B$3:$B$5001,$A$143,BD!$Q$3:$Q$5001,"&lt;&gt;")=0,"",SUMIFS(BD!$Q$3:$Q$5001,BD!$A$3:$A$5001,Y$3,BD!$B$3:$B$5001,$A$143)))</f>
        <v/>
      </c>
      <c r="Z158" s="232" t="str">
        <f>IF(Z$3="","",IF(COUNTIFS(BD!$A$3:$A$5001,Z$3,BD!$B$3:$B$5001,$A$143,BD!$Q$3:$Q$5001,"&lt;&gt;")=0,"",SUMIFS(BD!$Q$3:$Q$5001,BD!$A$3:$A$5001,Z$3,BD!$B$3:$B$5001,$A$143)))</f>
        <v/>
      </c>
      <c r="AA158" s="232" t="str">
        <f>IF(AA$3="","",IF(COUNTIFS(BD!$A$3:$A$5001,AA$3,BD!$B$3:$B$5001,$A$143,BD!$Q$3:$Q$5001,"&lt;&gt;")=0,"",SUMIFS(BD!$Q$3:$Q$5001,BD!$A$3:$A$5001,AA$3,BD!$B$3:$B$5001,$A$143)))</f>
        <v/>
      </c>
      <c r="AB158" s="232" t="str">
        <f>IF(AB$3="","",IF(COUNTIFS(BD!$A$3:$A$5001,AB$3,BD!$B$3:$B$5001,$A$143,BD!$Q$3:$Q$5001,"&lt;&gt;")=0,"",SUMIFS(BD!$Q$3:$Q$5001,BD!$A$3:$A$5001,AB$3,BD!$B$3:$B$5001,$A$143)))</f>
        <v/>
      </c>
      <c r="AC158" s="232" t="str">
        <f>IF(AC$3="","",IF(COUNTIFS(BD!$A$3:$A$5001,AC$3,BD!$B$3:$B$5001,$A$143,BD!$Q$3:$Q$5001,"&lt;&gt;")=0,"",SUMIFS(BD!$Q$3:$Q$5001,BD!$A$3:$A$5001,AC$3,BD!$B$3:$B$5001,$A$143)))</f>
        <v/>
      </c>
      <c r="AD158" s="232" t="str">
        <f>IF(AD$3="","",IF(COUNTIFS(BD!$A$3:$A$5001,AD$3,BD!$B$3:$B$5001,$A$143,BD!$Q$3:$Q$5001,"&lt;&gt;")=0,"",SUMIFS(BD!$Q$3:$Q$5001,BD!$A$3:$A$5001,AD$3,BD!$B$3:$B$5001,$A$143)))</f>
        <v/>
      </c>
      <c r="AE158" s="232" t="str">
        <f>IF(AE$3="","",IF(COUNTIFS(BD!$A$3:$A$5001,AE$3,BD!$B$3:$B$5001,$A$143,BD!$Q$3:$Q$5001,"&lt;&gt;")=0,"",SUMIFS(BD!$Q$3:$Q$5001,BD!$A$3:$A$5001,AE$3,BD!$B$3:$B$5001,$A$143)))</f>
        <v/>
      </c>
      <c r="AF158" s="232" t="str">
        <f>IF(AF$3="","",IF(COUNTIFS(BD!$A$3:$A$5001,AF$3,BD!$B$3:$B$5001,$A$143,BD!$Q$3:$Q$5001,"&lt;&gt;")=0,"",SUMIFS(BD!$Q$3:$Q$5001,BD!$A$3:$A$5001,AF$3,BD!$B$3:$B$5001,$A$143)))</f>
        <v/>
      </c>
      <c r="AG158" s="232" t="str">
        <f>IF(AG$3="","",IF(COUNTIFS(BD!$A$3:$A$5001,AG$3,BD!$B$3:$B$5001,$A$143,BD!$Q$3:$Q$5001,"&lt;&gt;")=0,"",SUMIFS(BD!$Q$3:$Q$5001,BD!$A$3:$A$5001,AG$3,BD!$B$3:$B$5001,$A$143)))</f>
        <v/>
      </c>
      <c r="AH158" s="232" t="str">
        <f>IF(AH$3="","",IF(COUNTIFS(BD!$A$3:$A$5001,AH$3,BD!$B$3:$B$5001,$A$143,BD!$Q$3:$Q$5001,"&lt;&gt;")=0,"",SUMIFS(BD!$Q$3:$Q$5001,BD!$A$3:$A$5001,AH$3,BD!$B$3:$B$5001,$A$143)))</f>
        <v/>
      </c>
      <c r="AI158" s="232" t="str">
        <f>IF(AI$3="","",IF(COUNTIFS(BD!$A$3:$A$5001,AI$3,BD!$B$3:$B$5001,$A$143,BD!$Q$3:$Q$5001,"&lt;&gt;")=0,"",SUMIFS(BD!$Q$3:$Q$5001,BD!$A$3:$A$5001,AI$3,BD!$B$3:$B$5001,$A$143)))</f>
        <v/>
      </c>
      <c r="AJ158" s="233" t="str">
        <f>IF(AJ$3="","",IF(COUNTIFS(BD!$A$3:$A$5001,AJ$3,BD!$B$3:$B$5001,$A$143,BD!$Q$3:$Q$5001,"&lt;&gt;")=0,"",SUMIFS(BD!$Q$3:$Q$5001,BD!$A$3:$A$5001,AJ$3,BD!$B$3:$B$5001,$A$143)))</f>
        <v/>
      </c>
      <c r="AK158" s="234" t="str">
        <f>IF(COUNT(F158:AJ158)=0,"",SUM(F158:AJ158))</f>
        <v/>
      </c>
    </row>
    <row r="159" ht="15.75" customHeight="1" hidden="1">
      <c r="A159" s="254"/>
      <c r="B159" s="251"/>
      <c r="C159" s="228" t="inlineStr">
        <is>
          <t xml:space="preserve">Desligamento</t>
        </is>
      </c>
      <c r="D159" s="229" t="str">
        <f>IFERROR(1/(1/INDEX(BD!$Y$39:$AS$39,MATCH($A$143,BD!$Y$22:$AS$22,0))),"")</f>
        <v/>
      </c>
      <c r="E159" s="230"/>
      <c r="F159" s="231" t="str">
        <f>IF(F$3="","",IF(COUNTIFS(BD!$A$3:$A$5001,F$3,BD!$B$3:$B$5001,$A$143,BD!$R$3:$R$5001,"&lt;&gt;")=0,"",SUMIFS(BD!$R$3:$R$5001,BD!$A$3:$A$5001,F$3,BD!$B$3:$B$5001,$A$143)))</f>
        <v/>
      </c>
      <c r="G159" s="232" t="str">
        <f>IF(G$3="","",IF(COUNTIFS(BD!$A$3:$A$5001,G$3,BD!$B$3:$B$5001,$A$143,BD!$R$3:$R$5001,"&lt;&gt;")=0,"",SUMIFS(BD!$R$3:$R$5001,BD!$A$3:$A$5001,G$3,BD!$B$3:$B$5001,$A$143)))</f>
        <v/>
      </c>
      <c r="H159" s="232" t="str">
        <f>IF(H$3="","",IF(COUNTIFS(BD!$A$3:$A$5001,H$3,BD!$B$3:$B$5001,$A$143,BD!$R$3:$R$5001,"&lt;&gt;")=0,"",SUMIFS(BD!$R$3:$R$5001,BD!$A$3:$A$5001,H$3,BD!$B$3:$B$5001,$A$143)))</f>
        <v/>
      </c>
      <c r="I159" s="232" t="str">
        <f>IF(I$3="","",IF(COUNTIFS(BD!$A$3:$A$5001,I$3,BD!$B$3:$B$5001,$A$143,BD!$R$3:$R$5001,"&lt;&gt;")=0,"",SUMIFS(BD!$R$3:$R$5001,BD!$A$3:$A$5001,I$3,BD!$B$3:$B$5001,$A$143)))</f>
        <v/>
      </c>
      <c r="J159" s="232" t="str">
        <f>IF(J$3="","",IF(COUNTIFS(BD!$A$3:$A$5001,J$3,BD!$B$3:$B$5001,$A$143,BD!$R$3:$R$5001,"&lt;&gt;")=0,"",SUMIFS(BD!$R$3:$R$5001,BD!$A$3:$A$5001,J$3,BD!$B$3:$B$5001,$A$143)))</f>
        <v/>
      </c>
      <c r="K159" s="232" t="str">
        <f>IF(K$3="","",IF(COUNTIFS(BD!$A$3:$A$5001,K$3,BD!$B$3:$B$5001,$A$143,BD!$R$3:$R$5001,"&lt;&gt;")=0,"",SUMIFS(BD!$R$3:$R$5001,BD!$A$3:$A$5001,K$3,BD!$B$3:$B$5001,$A$143)))</f>
        <v/>
      </c>
      <c r="L159" s="232" t="str">
        <f>IF(L$3="","",IF(COUNTIFS(BD!$A$3:$A$5001,L$3,BD!$B$3:$B$5001,$A$143,BD!$R$3:$R$5001,"&lt;&gt;")=0,"",SUMIFS(BD!$R$3:$R$5001,BD!$A$3:$A$5001,L$3,BD!$B$3:$B$5001,$A$143)))</f>
        <v/>
      </c>
      <c r="M159" s="232" t="str">
        <f>IF(M$3="","",IF(COUNTIFS(BD!$A$3:$A$5001,M$3,BD!$B$3:$B$5001,$A$143,BD!$R$3:$R$5001,"&lt;&gt;")=0,"",SUMIFS(BD!$R$3:$R$5001,BD!$A$3:$A$5001,M$3,BD!$B$3:$B$5001,$A$143)))</f>
        <v/>
      </c>
      <c r="N159" s="232" t="str">
        <f>IF(N$3="","",IF(COUNTIFS(BD!$A$3:$A$5001,N$3,BD!$B$3:$B$5001,$A$143,BD!$R$3:$R$5001,"&lt;&gt;")=0,"",SUMIFS(BD!$R$3:$R$5001,BD!$A$3:$A$5001,N$3,BD!$B$3:$B$5001,$A$143)))</f>
        <v/>
      </c>
      <c r="O159" s="232" t="str">
        <f>IF(O$3="","",IF(COUNTIFS(BD!$A$3:$A$5001,O$3,BD!$B$3:$B$5001,$A$143,BD!$R$3:$R$5001,"&lt;&gt;")=0,"",SUMIFS(BD!$R$3:$R$5001,BD!$A$3:$A$5001,O$3,BD!$B$3:$B$5001,$A$143)))</f>
        <v/>
      </c>
      <c r="P159" s="232" t="str">
        <f>IF(P$3="","",IF(COUNTIFS(BD!$A$3:$A$5001,P$3,BD!$B$3:$B$5001,$A$143,BD!$R$3:$R$5001,"&lt;&gt;")=0,"",SUMIFS(BD!$R$3:$R$5001,BD!$A$3:$A$5001,P$3,BD!$B$3:$B$5001,$A$143)))</f>
        <v/>
      </c>
      <c r="Q159" s="232" t="str">
        <f>IF(Q$3="","",IF(COUNTIFS(BD!$A$3:$A$5001,Q$3,BD!$B$3:$B$5001,$A$143,BD!$R$3:$R$5001,"&lt;&gt;")=0,"",SUMIFS(BD!$R$3:$R$5001,BD!$A$3:$A$5001,Q$3,BD!$B$3:$B$5001,$A$143)))</f>
        <v/>
      </c>
      <c r="R159" s="232" t="str">
        <f>IF(R$3="","",IF(COUNTIFS(BD!$A$3:$A$5001,R$3,BD!$B$3:$B$5001,$A$143,BD!$R$3:$R$5001,"&lt;&gt;")=0,"",SUMIFS(BD!$R$3:$R$5001,BD!$A$3:$A$5001,R$3,BD!$B$3:$B$5001,$A$143)))</f>
        <v/>
      </c>
      <c r="S159" s="232" t="str">
        <f>IF(S$3="","",IF(COUNTIFS(BD!$A$3:$A$5001,S$3,BD!$B$3:$B$5001,$A$143,BD!$R$3:$R$5001,"&lt;&gt;")=0,"",SUMIFS(BD!$R$3:$R$5001,BD!$A$3:$A$5001,S$3,BD!$B$3:$B$5001,$A$143)))</f>
        <v/>
      </c>
      <c r="T159" s="232" t="str">
        <f>IF(T$3="","",IF(COUNTIFS(BD!$A$3:$A$5001,T$3,BD!$B$3:$B$5001,$A$143,BD!$R$3:$R$5001,"&lt;&gt;")=0,"",SUMIFS(BD!$R$3:$R$5001,BD!$A$3:$A$5001,T$3,BD!$B$3:$B$5001,$A$143)))</f>
        <v/>
      </c>
      <c r="U159" s="232" t="str">
        <f>IF(U$3="","",IF(COUNTIFS(BD!$A$3:$A$5001,U$3,BD!$B$3:$B$5001,$A$143,BD!$R$3:$R$5001,"&lt;&gt;")=0,"",SUMIFS(BD!$R$3:$R$5001,BD!$A$3:$A$5001,U$3,BD!$B$3:$B$5001,$A$143)))</f>
        <v/>
      </c>
      <c r="V159" s="232" t="str">
        <f>IF(V$3="","",IF(COUNTIFS(BD!$A$3:$A$5001,V$3,BD!$B$3:$B$5001,$A$143,BD!$R$3:$R$5001,"&lt;&gt;")=0,"",SUMIFS(BD!$R$3:$R$5001,BD!$A$3:$A$5001,V$3,BD!$B$3:$B$5001,$A$143)))</f>
        <v/>
      </c>
      <c r="W159" s="232" t="str">
        <f>IF(W$3="","",IF(COUNTIFS(BD!$A$3:$A$5001,W$3,BD!$B$3:$B$5001,$A$143,BD!$R$3:$R$5001,"&lt;&gt;")=0,"",SUMIFS(BD!$R$3:$R$5001,BD!$A$3:$A$5001,W$3,BD!$B$3:$B$5001,$A$143)))</f>
        <v/>
      </c>
      <c r="X159" s="232" t="str">
        <f>IF(X$3="","",IF(COUNTIFS(BD!$A$3:$A$5001,X$3,BD!$B$3:$B$5001,$A$143,BD!$R$3:$R$5001,"&lt;&gt;")=0,"",SUMIFS(BD!$R$3:$R$5001,BD!$A$3:$A$5001,X$3,BD!$B$3:$B$5001,$A$143)))</f>
        <v/>
      </c>
      <c r="Y159" s="232" t="str">
        <f>IF(Y$3="","",IF(COUNTIFS(BD!$A$3:$A$5001,Y$3,BD!$B$3:$B$5001,$A$143,BD!$R$3:$R$5001,"&lt;&gt;")=0,"",SUMIFS(BD!$R$3:$R$5001,BD!$A$3:$A$5001,Y$3,BD!$B$3:$B$5001,$A$143)))</f>
        <v/>
      </c>
      <c r="Z159" s="232" t="str">
        <f>IF(Z$3="","",IF(COUNTIFS(BD!$A$3:$A$5001,Z$3,BD!$B$3:$B$5001,$A$143,BD!$R$3:$R$5001,"&lt;&gt;")=0,"",SUMIFS(BD!$R$3:$R$5001,BD!$A$3:$A$5001,Z$3,BD!$B$3:$B$5001,$A$143)))</f>
        <v/>
      </c>
      <c r="AA159" s="232" t="str">
        <f>IF(AA$3="","",IF(COUNTIFS(BD!$A$3:$A$5001,AA$3,BD!$B$3:$B$5001,$A$143,BD!$R$3:$R$5001,"&lt;&gt;")=0,"",SUMIFS(BD!$R$3:$R$5001,BD!$A$3:$A$5001,AA$3,BD!$B$3:$B$5001,$A$143)))</f>
        <v/>
      </c>
      <c r="AB159" s="232" t="str">
        <f>IF(AB$3="","",IF(COUNTIFS(BD!$A$3:$A$5001,AB$3,BD!$B$3:$B$5001,$A$143,BD!$R$3:$R$5001,"&lt;&gt;")=0,"",SUMIFS(BD!$R$3:$R$5001,BD!$A$3:$A$5001,AB$3,BD!$B$3:$B$5001,$A$143)))</f>
        <v/>
      </c>
      <c r="AC159" s="232" t="str">
        <f>IF(AC$3="","",IF(COUNTIFS(BD!$A$3:$A$5001,AC$3,BD!$B$3:$B$5001,$A$143,BD!$R$3:$R$5001,"&lt;&gt;")=0,"",SUMIFS(BD!$R$3:$R$5001,BD!$A$3:$A$5001,AC$3,BD!$B$3:$B$5001,$A$143)))</f>
        <v/>
      </c>
      <c r="AD159" s="232" t="str">
        <f>IF(AD$3="","",IF(COUNTIFS(BD!$A$3:$A$5001,AD$3,BD!$B$3:$B$5001,$A$143,BD!$R$3:$R$5001,"&lt;&gt;")=0,"",SUMIFS(BD!$R$3:$R$5001,BD!$A$3:$A$5001,AD$3,BD!$B$3:$B$5001,$A$143)))</f>
        <v/>
      </c>
      <c r="AE159" s="232" t="str">
        <f>IF(AE$3="","",IF(COUNTIFS(BD!$A$3:$A$5001,AE$3,BD!$B$3:$B$5001,$A$143,BD!$R$3:$R$5001,"&lt;&gt;")=0,"",SUMIFS(BD!$R$3:$R$5001,BD!$A$3:$A$5001,AE$3,BD!$B$3:$B$5001,$A$143)))</f>
        <v/>
      </c>
      <c r="AF159" s="232" t="str">
        <f>IF(AF$3="","",IF(COUNTIFS(BD!$A$3:$A$5001,AF$3,BD!$B$3:$B$5001,$A$143,BD!$R$3:$R$5001,"&lt;&gt;")=0,"",SUMIFS(BD!$R$3:$R$5001,BD!$A$3:$A$5001,AF$3,BD!$B$3:$B$5001,$A$143)))</f>
        <v/>
      </c>
      <c r="AG159" s="232" t="str">
        <f>IF(AG$3="","",IF(COUNTIFS(BD!$A$3:$A$5001,AG$3,BD!$B$3:$B$5001,$A$143,BD!$R$3:$R$5001,"&lt;&gt;")=0,"",SUMIFS(BD!$R$3:$R$5001,BD!$A$3:$A$5001,AG$3,BD!$B$3:$B$5001,$A$143)))</f>
        <v/>
      </c>
      <c r="AH159" s="232" t="str">
        <f>IF(AH$3="","",IF(COUNTIFS(BD!$A$3:$A$5001,AH$3,BD!$B$3:$B$5001,$A$143,BD!$R$3:$R$5001,"&lt;&gt;")=0,"",SUMIFS(BD!$R$3:$R$5001,BD!$A$3:$A$5001,AH$3,BD!$B$3:$B$5001,$A$143)))</f>
        <v/>
      </c>
      <c r="AI159" s="232" t="str">
        <f>IF(AI$3="","",IF(COUNTIFS(BD!$A$3:$A$5001,AI$3,BD!$B$3:$B$5001,$A$143,BD!$R$3:$R$5001,"&lt;&gt;")=0,"",SUMIFS(BD!$R$3:$R$5001,BD!$A$3:$A$5001,AI$3,BD!$B$3:$B$5001,$A$143)))</f>
        <v/>
      </c>
      <c r="AJ159" s="233" t="str">
        <f>IF(AJ$3="","",IF(COUNTIFS(BD!$A$3:$A$5001,AJ$3,BD!$B$3:$B$5001,$A$143,BD!$R$3:$R$5001,"&lt;&gt;")=0,"",SUMIFS(BD!$R$3:$R$5001,BD!$A$3:$A$5001,AJ$3,BD!$B$3:$B$5001,$A$143)))</f>
        <v/>
      </c>
      <c r="AK159" s="234" t="str">
        <f>IF(COUNT(F159:AJ159)=0,"",SUM(F159:AJ159))</f>
        <v/>
      </c>
    </row>
    <row r="160" ht="15.75" customHeight="1" hidden="1">
      <c r="A160" s="254"/>
      <c r="B160" s="251"/>
      <c r="C160" s="228" t="inlineStr">
        <is>
          <t xml:space="preserve">Desvios Comportamentais</t>
        </is>
      </c>
      <c r="D160" s="229" t="str">
        <f>IFERROR(1/(1/INDEX(BD!$Y$40:$AS$40,MATCH($A$143,BD!$Y$22:$AS$22,0))),"")</f>
        <v/>
      </c>
      <c r="E160" s="230"/>
      <c r="F160" s="231" t="str">
        <f>IF(F$3="","",IF(COUNTIFS(BD!$A$3:$A$5001,F$3,BD!$B$3:$B$5001,$A$143,BD!$S$3:$S$5001,"&lt;&gt;")=0,"",SUMIFS(BD!$S$3:$S$5001,BD!$A$3:$A$5001,F$3,BD!$B$3:$B$5001,$A$143)))</f>
        <v/>
      </c>
      <c r="G160" s="232" t="str">
        <f>IF(G$3="","",IF(COUNTIFS(BD!$A$3:$A$5001,G$3,BD!$B$3:$B$5001,$A$143,BD!$S$3:$S$5001,"&lt;&gt;")=0,"",SUMIFS(BD!$S$3:$S$5001,BD!$A$3:$A$5001,G$3,BD!$B$3:$B$5001,$A$143)))</f>
        <v/>
      </c>
      <c r="H160" s="232" t="str">
        <f>IF(H$3="","",IF(COUNTIFS(BD!$A$3:$A$5001,H$3,BD!$B$3:$B$5001,$A$143,BD!$S$3:$S$5001,"&lt;&gt;")=0,"",SUMIFS(BD!$S$3:$S$5001,BD!$A$3:$A$5001,H$3,BD!$B$3:$B$5001,$A$143)))</f>
        <v/>
      </c>
      <c r="I160" s="232" t="str">
        <f>IF(I$3="","",IF(COUNTIFS(BD!$A$3:$A$5001,I$3,BD!$B$3:$B$5001,$A$143,BD!$S$3:$S$5001,"&lt;&gt;")=0,"",SUMIFS(BD!$S$3:$S$5001,BD!$A$3:$A$5001,I$3,BD!$B$3:$B$5001,$A$143)))</f>
        <v/>
      </c>
      <c r="J160" s="232" t="str">
        <f>IF(J$3="","",IF(COUNTIFS(BD!$A$3:$A$5001,J$3,BD!$B$3:$B$5001,$A$143,BD!$S$3:$S$5001,"&lt;&gt;")=0,"",SUMIFS(BD!$S$3:$S$5001,BD!$A$3:$A$5001,J$3,BD!$B$3:$B$5001,$A$143)))</f>
        <v/>
      </c>
      <c r="K160" s="232" t="str">
        <f>IF(K$3="","",IF(COUNTIFS(BD!$A$3:$A$5001,K$3,BD!$B$3:$B$5001,$A$143,BD!$S$3:$S$5001,"&lt;&gt;")=0,"",SUMIFS(BD!$S$3:$S$5001,BD!$A$3:$A$5001,K$3,BD!$B$3:$B$5001,$A$143)))</f>
        <v/>
      </c>
      <c r="L160" s="232" t="str">
        <f>IF(L$3="","",IF(COUNTIFS(BD!$A$3:$A$5001,L$3,BD!$B$3:$B$5001,$A$143,BD!$S$3:$S$5001,"&lt;&gt;")=0,"",SUMIFS(BD!$S$3:$S$5001,BD!$A$3:$A$5001,L$3,BD!$B$3:$B$5001,$A$143)))</f>
        <v/>
      </c>
      <c r="M160" s="232" t="str">
        <f>IF(M$3="","",IF(COUNTIFS(BD!$A$3:$A$5001,M$3,BD!$B$3:$B$5001,$A$143,BD!$S$3:$S$5001,"&lt;&gt;")=0,"",SUMIFS(BD!$S$3:$S$5001,BD!$A$3:$A$5001,M$3,BD!$B$3:$B$5001,$A$143)))</f>
        <v/>
      </c>
      <c r="N160" s="232" t="str">
        <f>IF(N$3="","",IF(COUNTIFS(BD!$A$3:$A$5001,N$3,BD!$B$3:$B$5001,$A$143,BD!$S$3:$S$5001,"&lt;&gt;")=0,"",SUMIFS(BD!$S$3:$S$5001,BD!$A$3:$A$5001,N$3,BD!$B$3:$B$5001,$A$143)))</f>
        <v/>
      </c>
      <c r="O160" s="232" t="str">
        <f>IF(O$3="","",IF(COUNTIFS(BD!$A$3:$A$5001,O$3,BD!$B$3:$B$5001,$A$143,BD!$S$3:$S$5001,"&lt;&gt;")=0,"",SUMIFS(BD!$S$3:$S$5001,BD!$A$3:$A$5001,O$3,BD!$B$3:$B$5001,$A$143)))</f>
        <v/>
      </c>
      <c r="P160" s="232" t="str">
        <f>IF(P$3="","",IF(COUNTIFS(BD!$A$3:$A$5001,P$3,BD!$B$3:$B$5001,$A$143,BD!$S$3:$S$5001,"&lt;&gt;")=0,"",SUMIFS(BD!$S$3:$S$5001,BD!$A$3:$A$5001,P$3,BD!$B$3:$B$5001,$A$143)))</f>
        <v/>
      </c>
      <c r="Q160" s="232" t="str">
        <f>IF(Q$3="","",IF(COUNTIFS(BD!$A$3:$A$5001,Q$3,BD!$B$3:$B$5001,$A$143,BD!$S$3:$S$5001,"&lt;&gt;")=0,"",SUMIFS(BD!$S$3:$S$5001,BD!$A$3:$A$5001,Q$3,BD!$B$3:$B$5001,$A$143)))</f>
        <v/>
      </c>
      <c r="R160" s="232" t="str">
        <f>IF(R$3="","",IF(COUNTIFS(BD!$A$3:$A$5001,R$3,BD!$B$3:$B$5001,$A$143,BD!$S$3:$S$5001,"&lt;&gt;")=0,"",SUMIFS(BD!$S$3:$S$5001,BD!$A$3:$A$5001,R$3,BD!$B$3:$B$5001,$A$143)))</f>
        <v/>
      </c>
      <c r="S160" s="232" t="str">
        <f>IF(S$3="","",IF(COUNTIFS(BD!$A$3:$A$5001,S$3,BD!$B$3:$B$5001,$A$143,BD!$S$3:$S$5001,"&lt;&gt;")=0,"",SUMIFS(BD!$S$3:$S$5001,BD!$A$3:$A$5001,S$3,BD!$B$3:$B$5001,$A$143)))</f>
        <v/>
      </c>
      <c r="T160" s="232" t="str">
        <f>IF(T$3="","",IF(COUNTIFS(BD!$A$3:$A$5001,T$3,BD!$B$3:$B$5001,$A$143,BD!$S$3:$S$5001,"&lt;&gt;")=0,"",SUMIFS(BD!$S$3:$S$5001,BD!$A$3:$A$5001,T$3,BD!$B$3:$B$5001,$A$143)))</f>
        <v/>
      </c>
      <c r="U160" s="232" t="str">
        <f>IF(U$3="","",IF(COUNTIFS(BD!$A$3:$A$5001,U$3,BD!$B$3:$B$5001,$A$143,BD!$S$3:$S$5001,"&lt;&gt;")=0,"",SUMIFS(BD!$S$3:$S$5001,BD!$A$3:$A$5001,U$3,BD!$B$3:$B$5001,$A$143)))</f>
        <v/>
      </c>
      <c r="V160" s="232" t="str">
        <f>IF(V$3="","",IF(COUNTIFS(BD!$A$3:$A$5001,V$3,BD!$B$3:$B$5001,$A$143,BD!$S$3:$S$5001,"&lt;&gt;")=0,"",SUMIFS(BD!$S$3:$S$5001,BD!$A$3:$A$5001,V$3,BD!$B$3:$B$5001,$A$143)))</f>
        <v/>
      </c>
      <c r="W160" s="232" t="str">
        <f>IF(W$3="","",IF(COUNTIFS(BD!$A$3:$A$5001,W$3,BD!$B$3:$B$5001,$A$143,BD!$S$3:$S$5001,"&lt;&gt;")=0,"",SUMIFS(BD!$S$3:$S$5001,BD!$A$3:$A$5001,W$3,BD!$B$3:$B$5001,$A$143)))</f>
        <v/>
      </c>
      <c r="X160" s="232" t="str">
        <f>IF(X$3="","",IF(COUNTIFS(BD!$A$3:$A$5001,X$3,BD!$B$3:$B$5001,$A$143,BD!$S$3:$S$5001,"&lt;&gt;")=0,"",SUMIFS(BD!$S$3:$S$5001,BD!$A$3:$A$5001,X$3,BD!$B$3:$B$5001,$A$143)))</f>
        <v/>
      </c>
      <c r="Y160" s="232" t="str">
        <f>IF(Y$3="","",IF(COUNTIFS(BD!$A$3:$A$5001,Y$3,BD!$B$3:$B$5001,$A$143,BD!$S$3:$S$5001,"&lt;&gt;")=0,"",SUMIFS(BD!$S$3:$S$5001,BD!$A$3:$A$5001,Y$3,BD!$B$3:$B$5001,$A$143)))</f>
        <v/>
      </c>
      <c r="Z160" s="232" t="str">
        <f>IF(Z$3="","",IF(COUNTIFS(BD!$A$3:$A$5001,Z$3,BD!$B$3:$B$5001,$A$143,BD!$S$3:$S$5001,"&lt;&gt;")=0,"",SUMIFS(BD!$S$3:$S$5001,BD!$A$3:$A$5001,Z$3,BD!$B$3:$B$5001,$A$143)))</f>
        <v/>
      </c>
      <c r="AA160" s="232" t="str">
        <f>IF(AA$3="","",IF(COUNTIFS(BD!$A$3:$A$5001,AA$3,BD!$B$3:$B$5001,$A$143,BD!$S$3:$S$5001,"&lt;&gt;")=0,"",SUMIFS(BD!$S$3:$S$5001,BD!$A$3:$A$5001,AA$3,BD!$B$3:$B$5001,$A$143)))</f>
        <v/>
      </c>
      <c r="AB160" s="232" t="str">
        <f>IF(AB$3="","",IF(COUNTIFS(BD!$A$3:$A$5001,AB$3,BD!$B$3:$B$5001,$A$143,BD!$S$3:$S$5001,"&lt;&gt;")=0,"",SUMIFS(BD!$S$3:$S$5001,BD!$A$3:$A$5001,AB$3,BD!$B$3:$B$5001,$A$143)))</f>
        <v/>
      </c>
      <c r="AC160" s="232" t="str">
        <f>IF(AC$3="","",IF(COUNTIFS(BD!$A$3:$A$5001,AC$3,BD!$B$3:$B$5001,$A$143,BD!$S$3:$S$5001,"&lt;&gt;")=0,"",SUMIFS(BD!$S$3:$S$5001,BD!$A$3:$A$5001,AC$3,BD!$B$3:$B$5001,$A$143)))</f>
        <v/>
      </c>
      <c r="AD160" s="232" t="str">
        <f>IF(AD$3="","",IF(COUNTIFS(BD!$A$3:$A$5001,AD$3,BD!$B$3:$B$5001,$A$143,BD!$S$3:$S$5001,"&lt;&gt;")=0,"",SUMIFS(BD!$S$3:$S$5001,BD!$A$3:$A$5001,AD$3,BD!$B$3:$B$5001,$A$143)))</f>
        <v/>
      </c>
      <c r="AE160" s="232" t="str">
        <f>IF(AE$3="","",IF(COUNTIFS(BD!$A$3:$A$5001,AE$3,BD!$B$3:$B$5001,$A$143,BD!$S$3:$S$5001,"&lt;&gt;")=0,"",SUMIFS(BD!$S$3:$S$5001,BD!$A$3:$A$5001,AE$3,BD!$B$3:$B$5001,$A$143)))</f>
        <v/>
      </c>
      <c r="AF160" s="232" t="str">
        <f>IF(AF$3="","",IF(COUNTIFS(BD!$A$3:$A$5001,AF$3,BD!$B$3:$B$5001,$A$143,BD!$S$3:$S$5001,"&lt;&gt;")=0,"",SUMIFS(BD!$S$3:$S$5001,BD!$A$3:$A$5001,AF$3,BD!$B$3:$B$5001,$A$143)))</f>
        <v/>
      </c>
      <c r="AG160" s="232" t="str">
        <f>IF(AG$3="","",IF(COUNTIFS(BD!$A$3:$A$5001,AG$3,BD!$B$3:$B$5001,$A$143,BD!$S$3:$S$5001,"&lt;&gt;")=0,"",SUMIFS(BD!$S$3:$S$5001,BD!$A$3:$A$5001,AG$3,BD!$B$3:$B$5001,$A$143)))</f>
        <v/>
      </c>
      <c r="AH160" s="232" t="str">
        <f>IF(AH$3="","",IF(COUNTIFS(BD!$A$3:$A$5001,AH$3,BD!$B$3:$B$5001,$A$143,BD!$S$3:$S$5001,"&lt;&gt;")=0,"",SUMIFS(BD!$S$3:$S$5001,BD!$A$3:$A$5001,AH$3,BD!$B$3:$B$5001,$A$143)))</f>
        <v/>
      </c>
      <c r="AI160" s="232" t="str">
        <f>IF(AI$3="","",IF(COUNTIFS(BD!$A$3:$A$5001,AI$3,BD!$B$3:$B$5001,$A$143,BD!$S$3:$S$5001,"&lt;&gt;")=0,"",SUMIFS(BD!$S$3:$S$5001,BD!$A$3:$A$5001,AI$3,BD!$B$3:$B$5001,$A$143)))</f>
        <v/>
      </c>
      <c r="AJ160" s="233" t="str">
        <f>IF(AJ$3="","",IF(COUNTIFS(BD!$A$3:$A$5001,AJ$3,BD!$B$3:$B$5001,$A$143,BD!$S$3:$S$5001,"&lt;&gt;")=0,"",SUMIFS(BD!$S$3:$S$5001,BD!$A$3:$A$5001,AJ$3,BD!$B$3:$B$5001,$A$143)))</f>
        <v/>
      </c>
      <c r="AK160" s="234" t="str">
        <f>IF(COUNT(F160:AJ160)=0,"",SUM(F160:AJ160))</f>
        <v/>
      </c>
    </row>
    <row r="161" ht="15.75" customHeight="1" hidden="1">
      <c r="A161" s="254"/>
      <c r="B161" s="251"/>
      <c r="C161" s="228" t="inlineStr">
        <is>
          <t xml:space="preserve">Acidentes CAF</t>
        </is>
      </c>
      <c r="D161" s="229" t="str">
        <f>IFERROR(1/(1/INDEX(BD!$Y$41:$AS$41,MATCH($A$143,BD!$Y$22:$AS$22,0))),"")</f>
        <v/>
      </c>
      <c r="E161" s="230"/>
      <c r="F161" s="231" t="str">
        <f>IF(F$3="","",IF(COUNTIFS(BD!$A$3:$A$5001,F$3,BD!$B$3:$B$5001,$A$143,BD!$T$3:$T$5001,"&lt;&gt;")=0,"",SUMIFS(BD!$T$3:$T$5001,BD!$A$3:$A$5001,F$3,BD!$B$3:$B$5001,$A$143)))</f>
        <v/>
      </c>
      <c r="G161" s="232" t="str">
        <f>IF(G$3="","",IF(COUNTIFS(BD!$A$3:$A$5001,G$3,BD!$B$3:$B$5001,$A$143,BD!$T$3:$T$5001,"&lt;&gt;")=0,"",SUMIFS(BD!$T$3:$T$5001,BD!$A$3:$A$5001,G$3,BD!$B$3:$B$5001,$A$143)))</f>
        <v/>
      </c>
      <c r="H161" s="232" t="str">
        <f>IF(H$3="","",IF(COUNTIFS(BD!$A$3:$A$5001,H$3,BD!$B$3:$B$5001,$A$143,BD!$T$3:$T$5001,"&lt;&gt;")=0,"",SUMIFS(BD!$T$3:$T$5001,BD!$A$3:$A$5001,H$3,BD!$B$3:$B$5001,$A$143)))</f>
        <v/>
      </c>
      <c r="I161" s="232" t="str">
        <f>IF(I$3="","",IF(COUNTIFS(BD!$A$3:$A$5001,I$3,BD!$B$3:$B$5001,$A$143,BD!$T$3:$T$5001,"&lt;&gt;")=0,"",SUMIFS(BD!$T$3:$T$5001,BD!$A$3:$A$5001,I$3,BD!$B$3:$B$5001,$A$143)))</f>
        <v/>
      </c>
      <c r="J161" s="232" t="str">
        <f>IF(J$3="","",IF(COUNTIFS(BD!$A$3:$A$5001,J$3,BD!$B$3:$B$5001,$A$143,BD!$T$3:$T$5001,"&lt;&gt;")=0,"",SUMIFS(BD!$T$3:$T$5001,BD!$A$3:$A$5001,J$3,BD!$B$3:$B$5001,$A$143)))</f>
        <v/>
      </c>
      <c r="K161" s="232" t="str">
        <f>IF(K$3="","",IF(COUNTIFS(BD!$A$3:$A$5001,K$3,BD!$B$3:$B$5001,$A$143,BD!$T$3:$T$5001,"&lt;&gt;")=0,"",SUMIFS(BD!$T$3:$T$5001,BD!$A$3:$A$5001,K$3,BD!$B$3:$B$5001,$A$143)))</f>
        <v/>
      </c>
      <c r="L161" s="232" t="str">
        <f>IF(L$3="","",IF(COUNTIFS(BD!$A$3:$A$5001,L$3,BD!$B$3:$B$5001,$A$143,BD!$T$3:$T$5001,"&lt;&gt;")=0,"",SUMIFS(BD!$T$3:$T$5001,BD!$A$3:$A$5001,L$3,BD!$B$3:$B$5001,$A$143)))</f>
        <v/>
      </c>
      <c r="M161" s="232" t="str">
        <f>IF(M$3="","",IF(COUNTIFS(BD!$A$3:$A$5001,M$3,BD!$B$3:$B$5001,$A$143,BD!$T$3:$T$5001,"&lt;&gt;")=0,"",SUMIFS(BD!$T$3:$T$5001,BD!$A$3:$A$5001,M$3,BD!$B$3:$B$5001,$A$143)))</f>
        <v/>
      </c>
      <c r="N161" s="232" t="str">
        <f>IF(N$3="","",IF(COUNTIFS(BD!$A$3:$A$5001,N$3,BD!$B$3:$B$5001,$A$143,BD!$T$3:$T$5001,"&lt;&gt;")=0,"",SUMIFS(BD!$T$3:$T$5001,BD!$A$3:$A$5001,N$3,BD!$B$3:$B$5001,$A$143)))</f>
        <v/>
      </c>
      <c r="O161" s="232" t="str">
        <f>IF(O$3="","",IF(COUNTIFS(BD!$A$3:$A$5001,O$3,BD!$B$3:$B$5001,$A$143,BD!$T$3:$T$5001,"&lt;&gt;")=0,"",SUMIFS(BD!$T$3:$T$5001,BD!$A$3:$A$5001,O$3,BD!$B$3:$B$5001,$A$143)))</f>
        <v/>
      </c>
      <c r="P161" s="232" t="str">
        <f>IF(P$3="","",IF(COUNTIFS(BD!$A$3:$A$5001,P$3,BD!$B$3:$B$5001,$A$143,BD!$T$3:$T$5001,"&lt;&gt;")=0,"",SUMIFS(BD!$T$3:$T$5001,BD!$A$3:$A$5001,P$3,BD!$B$3:$B$5001,$A$143)))</f>
        <v/>
      </c>
      <c r="Q161" s="232" t="str">
        <f>IF(Q$3="","",IF(COUNTIFS(BD!$A$3:$A$5001,Q$3,BD!$B$3:$B$5001,$A$143,BD!$T$3:$T$5001,"&lt;&gt;")=0,"",SUMIFS(BD!$T$3:$T$5001,BD!$A$3:$A$5001,Q$3,BD!$B$3:$B$5001,$A$143)))</f>
        <v/>
      </c>
      <c r="R161" s="232" t="str">
        <f>IF(R$3="","",IF(COUNTIFS(BD!$A$3:$A$5001,R$3,BD!$B$3:$B$5001,$A$143,BD!$T$3:$T$5001,"&lt;&gt;")=0,"",SUMIFS(BD!$T$3:$T$5001,BD!$A$3:$A$5001,R$3,BD!$B$3:$B$5001,$A$143)))</f>
        <v/>
      </c>
      <c r="S161" s="232" t="str">
        <f>IF(S$3="","",IF(COUNTIFS(BD!$A$3:$A$5001,S$3,BD!$B$3:$B$5001,$A$143,BD!$T$3:$T$5001,"&lt;&gt;")=0,"",SUMIFS(BD!$T$3:$T$5001,BD!$A$3:$A$5001,S$3,BD!$B$3:$B$5001,$A$143)))</f>
        <v/>
      </c>
      <c r="T161" s="232" t="str">
        <f>IF(T$3="","",IF(COUNTIFS(BD!$A$3:$A$5001,T$3,BD!$B$3:$B$5001,$A$143,BD!$T$3:$T$5001,"&lt;&gt;")=0,"",SUMIFS(BD!$T$3:$T$5001,BD!$A$3:$A$5001,T$3,BD!$B$3:$B$5001,$A$143)))</f>
        <v/>
      </c>
      <c r="U161" s="232" t="str">
        <f>IF(U$3="","",IF(COUNTIFS(BD!$A$3:$A$5001,U$3,BD!$B$3:$B$5001,$A$143,BD!$T$3:$T$5001,"&lt;&gt;")=0,"",SUMIFS(BD!$T$3:$T$5001,BD!$A$3:$A$5001,U$3,BD!$B$3:$B$5001,$A$143)))</f>
        <v/>
      </c>
      <c r="V161" s="232" t="str">
        <f>IF(V$3="","",IF(COUNTIFS(BD!$A$3:$A$5001,V$3,BD!$B$3:$B$5001,$A$143,BD!$T$3:$T$5001,"&lt;&gt;")=0,"",SUMIFS(BD!$T$3:$T$5001,BD!$A$3:$A$5001,V$3,BD!$B$3:$B$5001,$A$143)))</f>
        <v/>
      </c>
      <c r="W161" s="232" t="str">
        <f>IF(W$3="","",IF(COUNTIFS(BD!$A$3:$A$5001,W$3,BD!$B$3:$B$5001,$A$143,BD!$T$3:$T$5001,"&lt;&gt;")=0,"",SUMIFS(BD!$T$3:$T$5001,BD!$A$3:$A$5001,W$3,BD!$B$3:$B$5001,$A$143)))</f>
        <v/>
      </c>
      <c r="X161" s="232" t="str">
        <f>IF(X$3="","",IF(COUNTIFS(BD!$A$3:$A$5001,X$3,BD!$B$3:$B$5001,$A$143,BD!$T$3:$T$5001,"&lt;&gt;")=0,"",SUMIFS(BD!$T$3:$T$5001,BD!$A$3:$A$5001,X$3,BD!$B$3:$B$5001,$A$143)))</f>
        <v/>
      </c>
      <c r="Y161" s="232" t="str">
        <f>IF(Y$3="","",IF(COUNTIFS(BD!$A$3:$A$5001,Y$3,BD!$B$3:$B$5001,$A$143,BD!$T$3:$T$5001,"&lt;&gt;")=0,"",SUMIFS(BD!$T$3:$T$5001,BD!$A$3:$A$5001,Y$3,BD!$B$3:$B$5001,$A$143)))</f>
        <v/>
      </c>
      <c r="Z161" s="232" t="str">
        <f>IF(Z$3="","",IF(COUNTIFS(BD!$A$3:$A$5001,Z$3,BD!$B$3:$B$5001,$A$143,BD!$T$3:$T$5001,"&lt;&gt;")=0,"",SUMIFS(BD!$T$3:$T$5001,BD!$A$3:$A$5001,Z$3,BD!$B$3:$B$5001,$A$143)))</f>
        <v/>
      </c>
      <c r="AA161" s="232" t="str">
        <f>IF(AA$3="","",IF(COUNTIFS(BD!$A$3:$A$5001,AA$3,BD!$B$3:$B$5001,$A$143,BD!$T$3:$T$5001,"&lt;&gt;")=0,"",SUMIFS(BD!$T$3:$T$5001,BD!$A$3:$A$5001,AA$3,BD!$B$3:$B$5001,$A$143)))</f>
        <v/>
      </c>
      <c r="AB161" s="232" t="str">
        <f>IF(AB$3="","",IF(COUNTIFS(BD!$A$3:$A$5001,AB$3,BD!$B$3:$B$5001,$A$143,BD!$T$3:$T$5001,"&lt;&gt;")=0,"",SUMIFS(BD!$T$3:$T$5001,BD!$A$3:$A$5001,AB$3,BD!$B$3:$B$5001,$A$143)))</f>
        <v/>
      </c>
      <c r="AC161" s="232" t="str">
        <f>IF(AC$3="","",IF(COUNTIFS(BD!$A$3:$A$5001,AC$3,BD!$B$3:$B$5001,$A$143,BD!$T$3:$T$5001,"&lt;&gt;")=0,"",SUMIFS(BD!$T$3:$T$5001,BD!$A$3:$A$5001,AC$3,BD!$B$3:$B$5001,$A$143)))</f>
        <v/>
      </c>
      <c r="AD161" s="232" t="str">
        <f>IF(AD$3="","",IF(COUNTIFS(BD!$A$3:$A$5001,AD$3,BD!$B$3:$B$5001,$A$143,BD!$T$3:$T$5001,"&lt;&gt;")=0,"",SUMIFS(BD!$T$3:$T$5001,BD!$A$3:$A$5001,AD$3,BD!$B$3:$B$5001,$A$143)))</f>
        <v/>
      </c>
      <c r="AE161" s="232" t="str">
        <f>IF(AE$3="","",IF(COUNTIFS(BD!$A$3:$A$5001,AE$3,BD!$B$3:$B$5001,$A$143,BD!$T$3:$T$5001,"&lt;&gt;")=0,"",SUMIFS(BD!$T$3:$T$5001,BD!$A$3:$A$5001,AE$3,BD!$B$3:$B$5001,$A$143)))</f>
        <v/>
      </c>
      <c r="AF161" s="232" t="str">
        <f>IF(AF$3="","",IF(COUNTIFS(BD!$A$3:$A$5001,AF$3,BD!$B$3:$B$5001,$A$143,BD!$T$3:$T$5001,"&lt;&gt;")=0,"",SUMIFS(BD!$T$3:$T$5001,BD!$A$3:$A$5001,AF$3,BD!$B$3:$B$5001,$A$143)))</f>
        <v/>
      </c>
      <c r="AG161" s="232" t="str">
        <f>IF(AG$3="","",IF(COUNTIFS(BD!$A$3:$A$5001,AG$3,BD!$B$3:$B$5001,$A$143,BD!$T$3:$T$5001,"&lt;&gt;")=0,"",SUMIFS(BD!$T$3:$T$5001,BD!$A$3:$A$5001,AG$3,BD!$B$3:$B$5001,$A$143)))</f>
        <v/>
      </c>
      <c r="AH161" s="232" t="str">
        <f>IF(AH$3="","",IF(COUNTIFS(BD!$A$3:$A$5001,AH$3,BD!$B$3:$B$5001,$A$143,BD!$T$3:$T$5001,"&lt;&gt;")=0,"",SUMIFS(BD!$T$3:$T$5001,BD!$A$3:$A$5001,AH$3,BD!$B$3:$B$5001,$A$143)))</f>
        <v/>
      </c>
      <c r="AI161" s="232" t="str">
        <f>IF(AI$3="","",IF(COUNTIFS(BD!$A$3:$A$5001,AI$3,BD!$B$3:$B$5001,$A$143,BD!$T$3:$T$5001,"&lt;&gt;")=0,"",SUMIFS(BD!$T$3:$T$5001,BD!$A$3:$A$5001,AI$3,BD!$B$3:$B$5001,$A$143)))</f>
        <v/>
      </c>
      <c r="AJ161" s="233" t="str">
        <f>IF(AJ$3="","",IF(COUNTIFS(BD!$A$3:$A$5001,AJ$3,BD!$B$3:$B$5001,$A$143,BD!$T$3:$T$5001,"&lt;&gt;")=0,"",SUMIFS(BD!$T$3:$T$5001,BD!$A$3:$A$5001,AJ$3,BD!$B$3:$B$5001,$A$143)))</f>
        <v/>
      </c>
      <c r="AK161" s="234" t="str">
        <f>IF(COUNT(F161:AJ161)=0,"",SUM(F161:AJ161))</f>
        <v/>
      </c>
    </row>
    <row r="162" ht="15.75" customHeight="1" hidden="1">
      <c r="A162" s="255"/>
      <c r="B162" s="252"/>
      <c r="C162" s="235" t="inlineStr">
        <is>
          <t xml:space="preserve">Acidentes SAF</t>
        </is>
      </c>
      <c r="D162" s="236" t="str">
        <f>IFERROR(1/(1/INDEX(BD!$Y$42:$AS$42,MATCH($A$143,BD!$Y$22:$AS$22,0))),"")</f>
        <v/>
      </c>
      <c r="E162" s="237"/>
      <c r="F162" s="238" t="str">
        <f>IF(F$3="","",IF(COUNTIFS(BD!$A$3:$A$5001,F$3,BD!$B$3:$B$5001,$A$143,BD!$U$3:$U$5001,"&lt;&gt;")=0,"",SUMIFS(BD!$U$3:$U$5001,BD!$A$3:$A$5001,F$3,BD!$B$3:$B$5001,$A$143)))</f>
        <v/>
      </c>
      <c r="G162" s="239" t="str">
        <f>IF(G$3="","",IF(COUNTIFS(BD!$A$3:$A$5001,G$3,BD!$B$3:$B$5001,$A$143,BD!$U$3:$U$5001,"&lt;&gt;")=0,"",SUMIFS(BD!$U$3:$U$5001,BD!$A$3:$A$5001,G$3,BD!$B$3:$B$5001,$A$143)))</f>
        <v/>
      </c>
      <c r="H162" s="239" t="str">
        <f>IF(H$3="","",IF(COUNTIFS(BD!$A$3:$A$5001,H$3,BD!$B$3:$B$5001,$A$143,BD!$U$3:$U$5001,"&lt;&gt;")=0,"",SUMIFS(BD!$U$3:$U$5001,BD!$A$3:$A$5001,H$3,BD!$B$3:$B$5001,$A$143)))</f>
        <v/>
      </c>
      <c r="I162" s="239" t="str">
        <f>IF(I$3="","",IF(COUNTIFS(BD!$A$3:$A$5001,I$3,BD!$B$3:$B$5001,$A$143,BD!$U$3:$U$5001,"&lt;&gt;")=0,"",SUMIFS(BD!$U$3:$U$5001,BD!$A$3:$A$5001,I$3,BD!$B$3:$B$5001,$A$143)))</f>
        <v/>
      </c>
      <c r="J162" s="239" t="str">
        <f>IF(J$3="","",IF(COUNTIFS(BD!$A$3:$A$5001,J$3,BD!$B$3:$B$5001,$A$143,BD!$U$3:$U$5001,"&lt;&gt;")=0,"",SUMIFS(BD!$U$3:$U$5001,BD!$A$3:$A$5001,J$3,BD!$B$3:$B$5001,$A$143)))</f>
        <v/>
      </c>
      <c r="K162" s="239" t="str">
        <f>IF(K$3="","",IF(COUNTIFS(BD!$A$3:$A$5001,K$3,BD!$B$3:$B$5001,$A$143,BD!$U$3:$U$5001,"&lt;&gt;")=0,"",SUMIFS(BD!$U$3:$U$5001,BD!$A$3:$A$5001,K$3,BD!$B$3:$B$5001,$A$143)))</f>
        <v/>
      </c>
      <c r="L162" s="239" t="str">
        <f>IF(L$3="","",IF(COUNTIFS(BD!$A$3:$A$5001,L$3,BD!$B$3:$B$5001,$A$143,BD!$U$3:$U$5001,"&lt;&gt;")=0,"",SUMIFS(BD!$U$3:$U$5001,BD!$A$3:$A$5001,L$3,BD!$B$3:$B$5001,$A$143)))</f>
        <v/>
      </c>
      <c r="M162" s="239" t="str">
        <f>IF(M$3="","",IF(COUNTIFS(BD!$A$3:$A$5001,M$3,BD!$B$3:$B$5001,$A$143,BD!$U$3:$U$5001,"&lt;&gt;")=0,"",SUMIFS(BD!$U$3:$U$5001,BD!$A$3:$A$5001,M$3,BD!$B$3:$B$5001,$A$143)))</f>
        <v/>
      </c>
      <c r="N162" s="239" t="str">
        <f>IF(N$3="","",IF(COUNTIFS(BD!$A$3:$A$5001,N$3,BD!$B$3:$B$5001,$A$143,BD!$U$3:$U$5001,"&lt;&gt;")=0,"",SUMIFS(BD!$U$3:$U$5001,BD!$A$3:$A$5001,N$3,BD!$B$3:$B$5001,$A$143)))</f>
        <v/>
      </c>
      <c r="O162" s="239" t="str">
        <f>IF(O$3="","",IF(COUNTIFS(BD!$A$3:$A$5001,O$3,BD!$B$3:$B$5001,$A$143,BD!$U$3:$U$5001,"&lt;&gt;")=0,"",SUMIFS(BD!$U$3:$U$5001,BD!$A$3:$A$5001,O$3,BD!$B$3:$B$5001,$A$143)))</f>
        <v/>
      </c>
      <c r="P162" s="239" t="str">
        <f>IF(P$3="","",IF(COUNTIFS(BD!$A$3:$A$5001,P$3,BD!$B$3:$B$5001,$A$143,BD!$U$3:$U$5001,"&lt;&gt;")=0,"",SUMIFS(BD!$U$3:$U$5001,BD!$A$3:$A$5001,P$3,BD!$B$3:$B$5001,$A$143)))</f>
        <v/>
      </c>
      <c r="Q162" s="239" t="str">
        <f>IF(Q$3="","",IF(COUNTIFS(BD!$A$3:$A$5001,Q$3,BD!$B$3:$B$5001,$A$143,BD!$U$3:$U$5001,"&lt;&gt;")=0,"",SUMIFS(BD!$U$3:$U$5001,BD!$A$3:$A$5001,Q$3,BD!$B$3:$B$5001,$A$143)))</f>
        <v/>
      </c>
      <c r="R162" s="239" t="str">
        <f>IF(R$3="","",IF(COUNTIFS(BD!$A$3:$A$5001,R$3,BD!$B$3:$B$5001,$A$143,BD!$U$3:$U$5001,"&lt;&gt;")=0,"",SUMIFS(BD!$U$3:$U$5001,BD!$A$3:$A$5001,R$3,BD!$B$3:$B$5001,$A$143)))</f>
        <v/>
      </c>
      <c r="S162" s="239" t="str">
        <f>IF(S$3="","",IF(COUNTIFS(BD!$A$3:$A$5001,S$3,BD!$B$3:$B$5001,$A$143,BD!$U$3:$U$5001,"&lt;&gt;")=0,"",SUMIFS(BD!$U$3:$U$5001,BD!$A$3:$A$5001,S$3,BD!$B$3:$B$5001,$A$143)))</f>
        <v/>
      </c>
      <c r="T162" s="239" t="str">
        <f>IF(T$3="","",IF(COUNTIFS(BD!$A$3:$A$5001,T$3,BD!$B$3:$B$5001,$A$143,BD!$U$3:$U$5001,"&lt;&gt;")=0,"",SUMIFS(BD!$U$3:$U$5001,BD!$A$3:$A$5001,T$3,BD!$B$3:$B$5001,$A$143)))</f>
        <v/>
      </c>
      <c r="U162" s="239" t="str">
        <f>IF(U$3="","",IF(COUNTIFS(BD!$A$3:$A$5001,U$3,BD!$B$3:$B$5001,$A$143,BD!$U$3:$U$5001,"&lt;&gt;")=0,"",SUMIFS(BD!$U$3:$U$5001,BD!$A$3:$A$5001,U$3,BD!$B$3:$B$5001,$A$143)))</f>
        <v/>
      </c>
      <c r="V162" s="239" t="str">
        <f>IF(V$3="","",IF(COUNTIFS(BD!$A$3:$A$5001,V$3,BD!$B$3:$B$5001,$A$143,BD!$U$3:$U$5001,"&lt;&gt;")=0,"",SUMIFS(BD!$U$3:$U$5001,BD!$A$3:$A$5001,V$3,BD!$B$3:$B$5001,$A$143)))</f>
        <v/>
      </c>
      <c r="W162" s="239" t="str">
        <f>IF(W$3="","",IF(COUNTIFS(BD!$A$3:$A$5001,W$3,BD!$B$3:$B$5001,$A$143,BD!$U$3:$U$5001,"&lt;&gt;")=0,"",SUMIFS(BD!$U$3:$U$5001,BD!$A$3:$A$5001,W$3,BD!$B$3:$B$5001,$A$143)))</f>
        <v/>
      </c>
      <c r="X162" s="239" t="str">
        <f>IF(X$3="","",IF(COUNTIFS(BD!$A$3:$A$5001,X$3,BD!$B$3:$B$5001,$A$143,BD!$U$3:$U$5001,"&lt;&gt;")=0,"",SUMIFS(BD!$U$3:$U$5001,BD!$A$3:$A$5001,X$3,BD!$B$3:$B$5001,$A$143)))</f>
        <v/>
      </c>
      <c r="Y162" s="239" t="str">
        <f>IF(Y$3="","",IF(COUNTIFS(BD!$A$3:$A$5001,Y$3,BD!$B$3:$B$5001,$A$143,BD!$U$3:$U$5001,"&lt;&gt;")=0,"",SUMIFS(BD!$U$3:$U$5001,BD!$A$3:$A$5001,Y$3,BD!$B$3:$B$5001,$A$143)))</f>
        <v/>
      </c>
      <c r="Z162" s="239" t="str">
        <f>IF(Z$3="","",IF(COUNTIFS(BD!$A$3:$A$5001,Z$3,BD!$B$3:$B$5001,$A$143,BD!$U$3:$U$5001,"&lt;&gt;")=0,"",SUMIFS(BD!$U$3:$U$5001,BD!$A$3:$A$5001,Z$3,BD!$B$3:$B$5001,$A$143)))</f>
        <v/>
      </c>
      <c r="AA162" s="239" t="str">
        <f>IF(AA$3="","",IF(COUNTIFS(BD!$A$3:$A$5001,AA$3,BD!$B$3:$B$5001,$A$143,BD!$U$3:$U$5001,"&lt;&gt;")=0,"",SUMIFS(BD!$U$3:$U$5001,BD!$A$3:$A$5001,AA$3,BD!$B$3:$B$5001,$A$143)))</f>
        <v/>
      </c>
      <c r="AB162" s="239" t="str">
        <f>IF(AB$3="","",IF(COUNTIFS(BD!$A$3:$A$5001,AB$3,BD!$B$3:$B$5001,$A$143,BD!$U$3:$U$5001,"&lt;&gt;")=0,"",SUMIFS(BD!$U$3:$U$5001,BD!$A$3:$A$5001,AB$3,BD!$B$3:$B$5001,$A$143)))</f>
        <v/>
      </c>
      <c r="AC162" s="239" t="str">
        <f>IF(AC$3="","",IF(COUNTIFS(BD!$A$3:$A$5001,AC$3,BD!$B$3:$B$5001,$A$143,BD!$U$3:$U$5001,"&lt;&gt;")=0,"",SUMIFS(BD!$U$3:$U$5001,BD!$A$3:$A$5001,AC$3,BD!$B$3:$B$5001,$A$143)))</f>
        <v/>
      </c>
      <c r="AD162" s="239" t="str">
        <f>IF(AD$3="","",IF(COUNTIFS(BD!$A$3:$A$5001,AD$3,BD!$B$3:$B$5001,$A$143,BD!$U$3:$U$5001,"&lt;&gt;")=0,"",SUMIFS(BD!$U$3:$U$5001,BD!$A$3:$A$5001,AD$3,BD!$B$3:$B$5001,$A$143)))</f>
        <v/>
      </c>
      <c r="AE162" s="239" t="str">
        <f>IF(AE$3="","",IF(COUNTIFS(BD!$A$3:$A$5001,AE$3,BD!$B$3:$B$5001,$A$143,BD!$U$3:$U$5001,"&lt;&gt;")=0,"",SUMIFS(BD!$U$3:$U$5001,BD!$A$3:$A$5001,AE$3,BD!$B$3:$B$5001,$A$143)))</f>
        <v/>
      </c>
      <c r="AF162" s="239" t="str">
        <f>IF(AF$3="","",IF(COUNTIFS(BD!$A$3:$A$5001,AF$3,BD!$B$3:$B$5001,$A$143,BD!$U$3:$U$5001,"&lt;&gt;")=0,"",SUMIFS(BD!$U$3:$U$5001,BD!$A$3:$A$5001,AF$3,BD!$B$3:$B$5001,$A$143)))</f>
        <v/>
      </c>
      <c r="AG162" s="239" t="str">
        <f>IF(AG$3="","",IF(COUNTIFS(BD!$A$3:$A$5001,AG$3,BD!$B$3:$B$5001,$A$143,BD!$U$3:$U$5001,"&lt;&gt;")=0,"",SUMIFS(BD!$U$3:$U$5001,BD!$A$3:$A$5001,AG$3,BD!$B$3:$B$5001,$A$143)))</f>
        <v/>
      </c>
      <c r="AH162" s="239" t="str">
        <f>IF(AH$3="","",IF(COUNTIFS(BD!$A$3:$A$5001,AH$3,BD!$B$3:$B$5001,$A$143,BD!$U$3:$U$5001,"&lt;&gt;")=0,"",SUMIFS(BD!$U$3:$U$5001,BD!$A$3:$A$5001,AH$3,BD!$B$3:$B$5001,$A$143)))</f>
        <v/>
      </c>
      <c r="AI162" s="239" t="str">
        <f>IF(AI$3="","",IF(COUNTIFS(BD!$A$3:$A$5001,AI$3,BD!$B$3:$B$5001,$A$143,BD!$U$3:$U$5001,"&lt;&gt;")=0,"",SUMIFS(BD!$U$3:$U$5001,BD!$A$3:$A$5001,AI$3,BD!$B$3:$B$5001,$A$143)))</f>
        <v/>
      </c>
      <c r="AJ162" s="240" t="str">
        <f>IF(AJ$3="","",IF(COUNTIFS(BD!$A$3:$A$5001,AJ$3,BD!$B$3:$B$5001,$A$143,BD!$U$3:$U$5001,"&lt;&gt;")=0,"",SUMIFS(BD!$U$3:$U$5001,BD!$A$3:$A$5001,AJ$3,BD!$B$3:$B$5001,$A$143)))</f>
        <v/>
      </c>
      <c r="AK162" s="236" t="str">
        <f>IF(COUNT(F162:AJ162)=0,"",SUM(F162:AJ162))</f>
        <v/>
      </c>
    </row>
    <row r="164" ht="15.75" customHeight="1" hidden="1">
      <c r="A164" s="253"/>
      <c r="B164" s="241" t="inlineStr">
        <is>
          <t xml:space="preserve">IN</t>
        </is>
      </c>
      <c r="C164" s="155" t="inlineStr">
        <is>
          <t xml:space="preserve">Veículos Recebidos</t>
        </is>
      </c>
      <c r="D164" s="156" t="str">
        <f>IFERROR(1/(1/INDEX(BD!$Y$23:$AS$23,MATCH($A$164,BD!$Y$22:$AS$22,0))),"")</f>
        <v/>
      </c>
      <c r="E164" s="157"/>
      <c r="F164" s="158" t="str">
        <f>IF(F$3="","",IF(COUNTIFS(BD!$A$3:$A$5001,F$3,BD!$B$3:$B$5001,$A$164,BD!$C$3:$C$5001,"&lt;&gt;")=0,"",SUMIFS(BD!$C$3:$C$5001,BD!$A$3:$A$5001,F$3,BD!$B$3:$B$5001,$A$164)))</f>
        <v/>
      </c>
      <c r="G164" s="159" t="str">
        <f>IF(G$3="","",IF(COUNTIFS(BD!$A$3:$A$5001,G$3,BD!$B$3:$B$5001,$A$164,BD!$C$3:$C$5001,"&lt;&gt;")=0,"",SUMIFS(BD!$C$3:$C$5001,BD!$A$3:$A$5001,G$3,BD!$B$3:$B$5001,$A$164)))</f>
        <v/>
      </c>
      <c r="H164" s="159" t="str">
        <f>IF(H$3="","",IF(COUNTIFS(BD!$A$3:$A$5001,H$3,BD!$B$3:$B$5001,$A$164,BD!$C$3:$C$5001,"&lt;&gt;")=0,"",SUMIFS(BD!$C$3:$C$5001,BD!$A$3:$A$5001,H$3,BD!$B$3:$B$5001,$A$164)))</f>
        <v/>
      </c>
      <c r="I164" s="159" t="str">
        <f>IF(I$3="","",IF(COUNTIFS(BD!$A$3:$A$5001,I$3,BD!$B$3:$B$5001,$A$164,BD!$C$3:$C$5001,"&lt;&gt;")=0,"",SUMIFS(BD!$C$3:$C$5001,BD!$A$3:$A$5001,I$3,BD!$B$3:$B$5001,$A$164)))</f>
        <v/>
      </c>
      <c r="J164" s="159" t="str">
        <f>IF(J$3="","",IF(COUNTIFS(BD!$A$3:$A$5001,J$3,BD!$B$3:$B$5001,$A$164,BD!$C$3:$C$5001,"&lt;&gt;")=0,"",SUMIFS(BD!$C$3:$C$5001,BD!$A$3:$A$5001,J$3,BD!$B$3:$B$5001,$A$164)))</f>
        <v/>
      </c>
      <c r="K164" s="159" t="str">
        <f>IF(K$3="","",IF(COUNTIFS(BD!$A$3:$A$5001,K$3,BD!$B$3:$B$5001,$A$164,BD!$C$3:$C$5001,"&lt;&gt;")=0,"",SUMIFS(BD!$C$3:$C$5001,BD!$A$3:$A$5001,K$3,BD!$B$3:$B$5001,$A$164)))</f>
        <v/>
      </c>
      <c r="L164" s="159" t="str">
        <f>IF(L$3="","",IF(COUNTIFS(BD!$A$3:$A$5001,L$3,BD!$B$3:$B$5001,$A$164,BD!$C$3:$C$5001,"&lt;&gt;")=0,"",SUMIFS(BD!$C$3:$C$5001,BD!$A$3:$A$5001,L$3,BD!$B$3:$B$5001,$A$164)))</f>
        <v/>
      </c>
      <c r="M164" s="159" t="str">
        <f>IF(M$3="","",IF(COUNTIFS(BD!$A$3:$A$5001,M$3,BD!$B$3:$B$5001,$A$164,BD!$C$3:$C$5001,"&lt;&gt;")=0,"",SUMIFS(BD!$C$3:$C$5001,BD!$A$3:$A$5001,M$3,BD!$B$3:$B$5001,$A$164)))</f>
        <v/>
      </c>
      <c r="N164" s="159" t="str">
        <f>IF(N$3="","",IF(COUNTIFS(BD!$A$3:$A$5001,N$3,BD!$B$3:$B$5001,$A$164,BD!$C$3:$C$5001,"&lt;&gt;")=0,"",SUMIFS(BD!$C$3:$C$5001,BD!$A$3:$A$5001,N$3,BD!$B$3:$B$5001,$A$164)))</f>
        <v/>
      </c>
      <c r="O164" s="159" t="str">
        <f>IF(O$3="","",IF(COUNTIFS(BD!$A$3:$A$5001,O$3,BD!$B$3:$B$5001,$A$164,BD!$C$3:$C$5001,"&lt;&gt;")=0,"",SUMIFS(BD!$C$3:$C$5001,BD!$A$3:$A$5001,O$3,BD!$B$3:$B$5001,$A$164)))</f>
        <v/>
      </c>
      <c r="P164" s="159" t="str">
        <f>IF(P$3="","",IF(COUNTIFS(BD!$A$3:$A$5001,P$3,BD!$B$3:$B$5001,$A$164,BD!$C$3:$C$5001,"&lt;&gt;")=0,"",SUMIFS(BD!$C$3:$C$5001,BD!$A$3:$A$5001,P$3,BD!$B$3:$B$5001,$A$164)))</f>
        <v/>
      </c>
      <c r="Q164" s="159" t="str">
        <f>IF(Q$3="","",IF(COUNTIFS(BD!$A$3:$A$5001,Q$3,BD!$B$3:$B$5001,$A$164,BD!$C$3:$C$5001,"&lt;&gt;")=0,"",SUMIFS(BD!$C$3:$C$5001,BD!$A$3:$A$5001,Q$3,BD!$B$3:$B$5001,$A$164)))</f>
        <v/>
      </c>
      <c r="R164" s="159" t="str">
        <f>IF(R$3="","",IF(COUNTIFS(BD!$A$3:$A$5001,R$3,BD!$B$3:$B$5001,$A$164,BD!$C$3:$C$5001,"&lt;&gt;")=0,"",SUMIFS(BD!$C$3:$C$5001,BD!$A$3:$A$5001,R$3,BD!$B$3:$B$5001,$A$164)))</f>
        <v/>
      </c>
      <c r="S164" s="159" t="str">
        <f>IF(S$3="","",IF(COUNTIFS(BD!$A$3:$A$5001,S$3,BD!$B$3:$B$5001,$A$164,BD!$C$3:$C$5001,"&lt;&gt;")=0,"",SUMIFS(BD!$C$3:$C$5001,BD!$A$3:$A$5001,S$3,BD!$B$3:$B$5001,$A$164)))</f>
        <v/>
      </c>
      <c r="T164" s="159" t="str">
        <f>IF(T$3="","",IF(COUNTIFS(BD!$A$3:$A$5001,T$3,BD!$B$3:$B$5001,$A$164,BD!$C$3:$C$5001,"&lt;&gt;")=0,"",SUMIFS(BD!$C$3:$C$5001,BD!$A$3:$A$5001,T$3,BD!$B$3:$B$5001,$A$164)))</f>
        <v/>
      </c>
      <c r="U164" s="159" t="str">
        <f>IF(U$3="","",IF(COUNTIFS(BD!$A$3:$A$5001,U$3,BD!$B$3:$B$5001,$A$164,BD!$C$3:$C$5001,"&lt;&gt;")=0,"",SUMIFS(BD!$C$3:$C$5001,BD!$A$3:$A$5001,U$3,BD!$B$3:$B$5001,$A$164)))</f>
        <v/>
      </c>
      <c r="V164" s="159" t="str">
        <f>IF(V$3="","",IF(COUNTIFS(BD!$A$3:$A$5001,V$3,BD!$B$3:$B$5001,$A$164,BD!$C$3:$C$5001,"&lt;&gt;")=0,"",SUMIFS(BD!$C$3:$C$5001,BD!$A$3:$A$5001,V$3,BD!$B$3:$B$5001,$A$164)))</f>
        <v/>
      </c>
      <c r="W164" s="159" t="str">
        <f>IF(W$3="","",IF(COUNTIFS(BD!$A$3:$A$5001,W$3,BD!$B$3:$B$5001,$A$164,BD!$C$3:$C$5001,"&lt;&gt;")=0,"",SUMIFS(BD!$C$3:$C$5001,BD!$A$3:$A$5001,W$3,BD!$B$3:$B$5001,$A$164)))</f>
        <v/>
      </c>
      <c r="X164" s="159" t="str">
        <f>IF(X$3="","",IF(COUNTIFS(BD!$A$3:$A$5001,X$3,BD!$B$3:$B$5001,$A$164,BD!$C$3:$C$5001,"&lt;&gt;")=0,"",SUMIFS(BD!$C$3:$C$5001,BD!$A$3:$A$5001,X$3,BD!$B$3:$B$5001,$A$164)))</f>
        <v/>
      </c>
      <c r="Y164" s="159" t="str">
        <f>IF(Y$3="","",IF(COUNTIFS(BD!$A$3:$A$5001,Y$3,BD!$B$3:$B$5001,$A$164,BD!$C$3:$C$5001,"&lt;&gt;")=0,"",SUMIFS(BD!$C$3:$C$5001,BD!$A$3:$A$5001,Y$3,BD!$B$3:$B$5001,$A$164)))</f>
        <v/>
      </c>
      <c r="Z164" s="159" t="str">
        <f>IF(Z$3="","",IF(COUNTIFS(BD!$A$3:$A$5001,Z$3,BD!$B$3:$B$5001,$A$164,BD!$C$3:$C$5001,"&lt;&gt;")=0,"",SUMIFS(BD!$C$3:$C$5001,BD!$A$3:$A$5001,Z$3,BD!$B$3:$B$5001,$A$164)))</f>
        <v/>
      </c>
      <c r="AA164" s="159" t="str">
        <f>IF(AA$3="","",IF(COUNTIFS(BD!$A$3:$A$5001,AA$3,BD!$B$3:$B$5001,$A$164,BD!$C$3:$C$5001,"&lt;&gt;")=0,"",SUMIFS(BD!$C$3:$C$5001,BD!$A$3:$A$5001,AA$3,BD!$B$3:$B$5001,$A$164)))</f>
        <v/>
      </c>
      <c r="AB164" s="159" t="str">
        <f>IF(AB$3="","",IF(COUNTIFS(BD!$A$3:$A$5001,AB$3,BD!$B$3:$B$5001,$A$164,BD!$C$3:$C$5001,"&lt;&gt;")=0,"",SUMIFS(BD!$C$3:$C$5001,BD!$A$3:$A$5001,AB$3,BD!$B$3:$B$5001,$A$164)))</f>
        <v/>
      </c>
      <c r="AC164" s="159" t="str">
        <f>IF(AC$3="","",IF(COUNTIFS(BD!$A$3:$A$5001,AC$3,BD!$B$3:$B$5001,$A$164,BD!$C$3:$C$5001,"&lt;&gt;")=0,"",SUMIFS(BD!$C$3:$C$5001,BD!$A$3:$A$5001,AC$3,BD!$B$3:$B$5001,$A$164)))</f>
        <v/>
      </c>
      <c r="AD164" s="159" t="str">
        <f>IF(AD$3="","",IF(COUNTIFS(BD!$A$3:$A$5001,AD$3,BD!$B$3:$B$5001,$A$164,BD!$C$3:$C$5001,"&lt;&gt;")=0,"",SUMIFS(BD!$C$3:$C$5001,BD!$A$3:$A$5001,AD$3,BD!$B$3:$B$5001,$A$164)))</f>
        <v/>
      </c>
      <c r="AE164" s="159" t="str">
        <f>IF(AE$3="","",IF(COUNTIFS(BD!$A$3:$A$5001,AE$3,BD!$B$3:$B$5001,$A$164,BD!$C$3:$C$5001,"&lt;&gt;")=0,"",SUMIFS(BD!$C$3:$C$5001,BD!$A$3:$A$5001,AE$3,BD!$B$3:$B$5001,$A$164)))</f>
        <v/>
      </c>
      <c r="AF164" s="159" t="str">
        <f>IF(AF$3="","",IF(COUNTIFS(BD!$A$3:$A$5001,AF$3,BD!$B$3:$B$5001,$A$164,BD!$C$3:$C$5001,"&lt;&gt;")=0,"",SUMIFS(BD!$C$3:$C$5001,BD!$A$3:$A$5001,AF$3,BD!$B$3:$B$5001,$A$164)))</f>
        <v/>
      </c>
      <c r="AG164" s="159" t="str">
        <f>IF(AG$3="","",IF(COUNTIFS(BD!$A$3:$A$5001,AG$3,BD!$B$3:$B$5001,$A$164,BD!$C$3:$C$5001,"&lt;&gt;")=0,"",SUMIFS(BD!$C$3:$C$5001,BD!$A$3:$A$5001,AG$3,BD!$B$3:$B$5001,$A$164)))</f>
        <v/>
      </c>
      <c r="AH164" s="159" t="str">
        <f>IF(AH$3="","",IF(COUNTIFS(BD!$A$3:$A$5001,AH$3,BD!$B$3:$B$5001,$A$164,BD!$C$3:$C$5001,"&lt;&gt;")=0,"",SUMIFS(BD!$C$3:$C$5001,BD!$A$3:$A$5001,AH$3,BD!$B$3:$B$5001,$A$164)))</f>
        <v/>
      </c>
      <c r="AI164" s="159" t="str">
        <f>IF(AI$3="","",IF(COUNTIFS(BD!$A$3:$A$5001,AI$3,BD!$B$3:$B$5001,$A$164,BD!$C$3:$C$5001,"&lt;&gt;")=0,"",SUMIFS(BD!$C$3:$C$5001,BD!$A$3:$A$5001,AI$3,BD!$B$3:$B$5001,$A$164)))</f>
        <v/>
      </c>
      <c r="AJ164" s="160" t="str">
        <f>IF(AJ$3="","",IF(COUNTIFS(BD!$A$3:$A$5001,AJ$3,BD!$B$3:$B$5001,$A$164,BD!$C$3:$C$5001,"&lt;&gt;")=0,"",SUMIFS(BD!$C$3:$C$5001,BD!$A$3:$A$5001,AJ$3,BD!$B$3:$B$5001,$A$164)))</f>
        <v/>
      </c>
      <c r="AK164" s="161" t="str">
        <f>IF(COUNT(F164:AJ164)=0,"",SUM(F164:AJ164))</f>
        <v/>
      </c>
    </row>
    <row r="165" ht="15.75" customHeight="1" hidden="1">
      <c r="A165" s="254"/>
      <c r="B165" s="242"/>
      <c r="C165" s="162" t="inlineStr">
        <is>
          <t xml:space="preserve">Pallets Movimentados</t>
        </is>
      </c>
      <c r="D165" s="163" t="str">
        <f>IFERROR(1/(1/INDEX(BD!$Y$24:$AS$24,MATCH($A$164,BD!$Y$22:$AS$22,0))),"")</f>
        <v/>
      </c>
      <c r="E165" s="164"/>
      <c r="F165" s="165" t="str">
        <f>IF(F$3="","",IF(COUNTIFS(BD!$A$3:$A$5001,F$3,BD!$B$3:$B$5001,$A$164,BD!$D$3:$D$5001,"&lt;&gt;")=0,"",SUMIFS(BD!$D$3:$D$5001,BD!$A$3:$A$5001,F$3,BD!$B$3:$B$5001,$A$164)))</f>
        <v/>
      </c>
      <c r="G165" s="166" t="str">
        <f>IF(G$3="","",IF(COUNTIFS(BD!$A$3:$A$5001,G$3,BD!$B$3:$B$5001,$A$164,BD!$D$3:$D$5001,"&lt;&gt;")=0,"",SUMIFS(BD!$D$3:$D$5001,BD!$A$3:$A$5001,G$3,BD!$B$3:$B$5001,$A$164)))</f>
        <v/>
      </c>
      <c r="H165" s="166" t="str">
        <f>IF(H$3="","",IF(COUNTIFS(BD!$A$3:$A$5001,H$3,BD!$B$3:$B$5001,$A$164,BD!$D$3:$D$5001,"&lt;&gt;")=0,"",SUMIFS(BD!$D$3:$D$5001,BD!$A$3:$A$5001,H$3,BD!$B$3:$B$5001,$A$164)))</f>
        <v/>
      </c>
      <c r="I165" s="166" t="str">
        <f>IF(I$3="","",IF(COUNTIFS(BD!$A$3:$A$5001,I$3,BD!$B$3:$B$5001,$A$164,BD!$D$3:$D$5001,"&lt;&gt;")=0,"",SUMIFS(BD!$D$3:$D$5001,BD!$A$3:$A$5001,I$3,BD!$B$3:$B$5001,$A$164)))</f>
        <v/>
      </c>
      <c r="J165" s="166" t="str">
        <f>IF(J$3="","",IF(COUNTIFS(BD!$A$3:$A$5001,J$3,BD!$B$3:$B$5001,$A$164,BD!$D$3:$D$5001,"&lt;&gt;")=0,"",SUMIFS(BD!$D$3:$D$5001,BD!$A$3:$A$5001,J$3,BD!$B$3:$B$5001,$A$164)))</f>
        <v/>
      </c>
      <c r="K165" s="166" t="str">
        <f>IF(K$3="","",IF(COUNTIFS(BD!$A$3:$A$5001,K$3,BD!$B$3:$B$5001,$A$164,BD!$D$3:$D$5001,"&lt;&gt;")=0,"",SUMIFS(BD!$D$3:$D$5001,BD!$A$3:$A$5001,K$3,BD!$B$3:$B$5001,$A$164)))</f>
        <v/>
      </c>
      <c r="L165" s="166" t="str">
        <f>IF(L$3="","",IF(COUNTIFS(BD!$A$3:$A$5001,L$3,BD!$B$3:$B$5001,$A$164,BD!$D$3:$D$5001,"&lt;&gt;")=0,"",SUMIFS(BD!$D$3:$D$5001,BD!$A$3:$A$5001,L$3,BD!$B$3:$B$5001,$A$164)))</f>
        <v/>
      </c>
      <c r="M165" s="166" t="str">
        <f>IF(M$3="","",IF(COUNTIFS(BD!$A$3:$A$5001,M$3,BD!$B$3:$B$5001,$A$164,BD!$D$3:$D$5001,"&lt;&gt;")=0,"",SUMIFS(BD!$D$3:$D$5001,BD!$A$3:$A$5001,M$3,BD!$B$3:$B$5001,$A$164)))</f>
        <v/>
      </c>
      <c r="N165" s="166" t="str">
        <f>IF(N$3="","",IF(COUNTIFS(BD!$A$3:$A$5001,N$3,BD!$B$3:$B$5001,$A$164,BD!$D$3:$D$5001,"&lt;&gt;")=0,"",SUMIFS(BD!$D$3:$D$5001,BD!$A$3:$A$5001,N$3,BD!$B$3:$B$5001,$A$164)))</f>
        <v/>
      </c>
      <c r="O165" s="166" t="str">
        <f>IF(O$3="","",IF(COUNTIFS(BD!$A$3:$A$5001,O$3,BD!$B$3:$B$5001,$A$164,BD!$D$3:$D$5001,"&lt;&gt;")=0,"",SUMIFS(BD!$D$3:$D$5001,BD!$A$3:$A$5001,O$3,BD!$B$3:$B$5001,$A$164)))</f>
        <v/>
      </c>
      <c r="P165" s="166" t="str">
        <f>IF(P$3="","",IF(COUNTIFS(BD!$A$3:$A$5001,P$3,BD!$B$3:$B$5001,$A$164,BD!$D$3:$D$5001,"&lt;&gt;")=0,"",SUMIFS(BD!$D$3:$D$5001,BD!$A$3:$A$5001,P$3,BD!$B$3:$B$5001,$A$164)))</f>
        <v/>
      </c>
      <c r="Q165" s="166" t="str">
        <f>IF(Q$3="","",IF(COUNTIFS(BD!$A$3:$A$5001,Q$3,BD!$B$3:$B$5001,$A$164,BD!$D$3:$D$5001,"&lt;&gt;")=0,"",SUMIFS(BD!$D$3:$D$5001,BD!$A$3:$A$5001,Q$3,BD!$B$3:$B$5001,$A$164)))</f>
        <v/>
      </c>
      <c r="R165" s="166" t="str">
        <f>IF(R$3="","",IF(COUNTIFS(BD!$A$3:$A$5001,R$3,BD!$B$3:$B$5001,$A$164,BD!$D$3:$D$5001,"&lt;&gt;")=0,"",SUMIFS(BD!$D$3:$D$5001,BD!$A$3:$A$5001,R$3,BD!$B$3:$B$5001,$A$164)))</f>
        <v/>
      </c>
      <c r="S165" s="166" t="str">
        <f>IF(S$3="","",IF(COUNTIFS(BD!$A$3:$A$5001,S$3,BD!$B$3:$B$5001,$A$164,BD!$D$3:$D$5001,"&lt;&gt;")=0,"",SUMIFS(BD!$D$3:$D$5001,BD!$A$3:$A$5001,S$3,BD!$B$3:$B$5001,$A$164)))</f>
        <v/>
      </c>
      <c r="T165" s="166" t="str">
        <f>IF(T$3="","",IF(COUNTIFS(BD!$A$3:$A$5001,T$3,BD!$B$3:$B$5001,$A$164,BD!$D$3:$D$5001,"&lt;&gt;")=0,"",SUMIFS(BD!$D$3:$D$5001,BD!$A$3:$A$5001,T$3,BD!$B$3:$B$5001,$A$164)))</f>
        <v/>
      </c>
      <c r="U165" s="166" t="str">
        <f>IF(U$3="","",IF(COUNTIFS(BD!$A$3:$A$5001,U$3,BD!$B$3:$B$5001,$A$164,BD!$D$3:$D$5001,"&lt;&gt;")=0,"",SUMIFS(BD!$D$3:$D$5001,BD!$A$3:$A$5001,U$3,BD!$B$3:$B$5001,$A$164)))</f>
        <v/>
      </c>
      <c r="V165" s="166" t="str">
        <f>IF(V$3="","",IF(COUNTIFS(BD!$A$3:$A$5001,V$3,BD!$B$3:$B$5001,$A$164,BD!$D$3:$D$5001,"&lt;&gt;")=0,"",SUMIFS(BD!$D$3:$D$5001,BD!$A$3:$A$5001,V$3,BD!$B$3:$B$5001,$A$164)))</f>
        <v/>
      </c>
      <c r="W165" s="166" t="str">
        <f>IF(W$3="","",IF(COUNTIFS(BD!$A$3:$A$5001,W$3,BD!$B$3:$B$5001,$A$164,BD!$D$3:$D$5001,"&lt;&gt;")=0,"",SUMIFS(BD!$D$3:$D$5001,BD!$A$3:$A$5001,W$3,BD!$B$3:$B$5001,$A$164)))</f>
        <v/>
      </c>
      <c r="X165" s="166" t="str">
        <f>IF(X$3="","",IF(COUNTIFS(BD!$A$3:$A$5001,X$3,BD!$B$3:$B$5001,$A$164,BD!$D$3:$D$5001,"&lt;&gt;")=0,"",SUMIFS(BD!$D$3:$D$5001,BD!$A$3:$A$5001,X$3,BD!$B$3:$B$5001,$A$164)))</f>
        <v/>
      </c>
      <c r="Y165" s="166" t="str">
        <f>IF(Y$3="","",IF(COUNTIFS(BD!$A$3:$A$5001,Y$3,BD!$B$3:$B$5001,$A$164,BD!$D$3:$D$5001,"&lt;&gt;")=0,"",SUMIFS(BD!$D$3:$D$5001,BD!$A$3:$A$5001,Y$3,BD!$B$3:$B$5001,$A$164)))</f>
        <v/>
      </c>
      <c r="Z165" s="166" t="str">
        <f>IF(Z$3="","",IF(COUNTIFS(BD!$A$3:$A$5001,Z$3,BD!$B$3:$B$5001,$A$164,BD!$D$3:$D$5001,"&lt;&gt;")=0,"",SUMIFS(BD!$D$3:$D$5001,BD!$A$3:$A$5001,Z$3,BD!$B$3:$B$5001,$A$164)))</f>
        <v/>
      </c>
      <c r="AA165" s="166" t="str">
        <f>IF(AA$3="","",IF(COUNTIFS(BD!$A$3:$A$5001,AA$3,BD!$B$3:$B$5001,$A$164,BD!$D$3:$D$5001,"&lt;&gt;")=0,"",SUMIFS(BD!$D$3:$D$5001,BD!$A$3:$A$5001,AA$3,BD!$B$3:$B$5001,$A$164)))</f>
        <v/>
      </c>
      <c r="AB165" s="166" t="str">
        <f>IF(AB$3="","",IF(COUNTIFS(BD!$A$3:$A$5001,AB$3,BD!$B$3:$B$5001,$A$164,BD!$D$3:$D$5001,"&lt;&gt;")=0,"",SUMIFS(BD!$D$3:$D$5001,BD!$A$3:$A$5001,AB$3,BD!$B$3:$B$5001,$A$164)))</f>
        <v/>
      </c>
      <c r="AC165" s="166" t="str">
        <f>IF(AC$3="","",IF(COUNTIFS(BD!$A$3:$A$5001,AC$3,BD!$B$3:$B$5001,$A$164,BD!$D$3:$D$5001,"&lt;&gt;")=0,"",SUMIFS(BD!$D$3:$D$5001,BD!$A$3:$A$5001,AC$3,BD!$B$3:$B$5001,$A$164)))</f>
        <v/>
      </c>
      <c r="AD165" s="166" t="str">
        <f>IF(AD$3="","",IF(COUNTIFS(BD!$A$3:$A$5001,AD$3,BD!$B$3:$B$5001,$A$164,BD!$D$3:$D$5001,"&lt;&gt;")=0,"",SUMIFS(BD!$D$3:$D$5001,BD!$A$3:$A$5001,AD$3,BD!$B$3:$B$5001,$A$164)))</f>
        <v/>
      </c>
      <c r="AE165" s="166" t="str">
        <f>IF(AE$3="","",IF(COUNTIFS(BD!$A$3:$A$5001,AE$3,BD!$B$3:$B$5001,$A$164,BD!$D$3:$D$5001,"&lt;&gt;")=0,"",SUMIFS(BD!$D$3:$D$5001,BD!$A$3:$A$5001,AE$3,BD!$B$3:$B$5001,$A$164)))</f>
        <v/>
      </c>
      <c r="AF165" s="166" t="str">
        <f>IF(AF$3="","",IF(COUNTIFS(BD!$A$3:$A$5001,AF$3,BD!$B$3:$B$5001,$A$164,BD!$D$3:$D$5001,"&lt;&gt;")=0,"",SUMIFS(BD!$D$3:$D$5001,BD!$A$3:$A$5001,AF$3,BD!$B$3:$B$5001,$A$164)))</f>
        <v/>
      </c>
      <c r="AG165" s="166" t="str">
        <f>IF(AG$3="","",IF(COUNTIFS(BD!$A$3:$A$5001,AG$3,BD!$B$3:$B$5001,$A$164,BD!$D$3:$D$5001,"&lt;&gt;")=0,"",SUMIFS(BD!$D$3:$D$5001,BD!$A$3:$A$5001,AG$3,BD!$B$3:$B$5001,$A$164)))</f>
        <v/>
      </c>
      <c r="AH165" s="166" t="str">
        <f>IF(AH$3="","",IF(COUNTIFS(BD!$A$3:$A$5001,AH$3,BD!$B$3:$B$5001,$A$164,BD!$D$3:$D$5001,"&lt;&gt;")=0,"",SUMIFS(BD!$D$3:$D$5001,BD!$A$3:$A$5001,AH$3,BD!$B$3:$B$5001,$A$164)))</f>
        <v/>
      </c>
      <c r="AI165" s="166" t="str">
        <f>IF(AI$3="","",IF(COUNTIFS(BD!$A$3:$A$5001,AI$3,BD!$B$3:$B$5001,$A$164,BD!$D$3:$D$5001,"&lt;&gt;")=0,"",SUMIFS(BD!$D$3:$D$5001,BD!$A$3:$A$5001,AI$3,BD!$B$3:$B$5001,$A$164)))</f>
        <v/>
      </c>
      <c r="AJ165" s="167" t="str">
        <f>IF(AJ$3="","",IF(COUNTIFS(BD!$A$3:$A$5001,AJ$3,BD!$B$3:$B$5001,$A$164,BD!$D$3:$D$5001,"&lt;&gt;")=0,"",SUMIFS(BD!$D$3:$D$5001,BD!$A$3:$A$5001,AJ$3,BD!$B$3:$B$5001,$A$164)))</f>
        <v/>
      </c>
      <c r="AK165" s="168" t="str">
        <f>IF(COUNT(F165:AJ165)=0,"",SUM(F165:AJ165))</f>
        <v/>
      </c>
    </row>
    <row r="166" ht="15.75" customHeight="1" hidden="1">
      <c r="A166" s="254"/>
      <c r="B166" s="243"/>
      <c r="C166" s="169" t="inlineStr">
        <is>
          <t xml:space="preserve">Toneladas Movimentadas</t>
        </is>
      </c>
      <c r="D166" s="170" t="str">
        <f>IFERROR(1/(1/INDEX(BD!$Y$25:$AS$25,MATCH($A$164,BD!$Y$22:$AS$22,0))),"")</f>
        <v/>
      </c>
      <c r="E166" s="171"/>
      <c r="F166" s="172" t="str">
        <f>IF(F$3="","",IF(COUNTIFS(BD!$A$3:$A$5001,F$3,BD!$B$3:$B$5001,$A$164,BD!$E$3:$E$5001,"&lt;&gt;")=0,"",SUMIFS(BD!$E$3:$E$5001,BD!$A$3:$A$5001,F$3,BD!$B$3:$B$5001,$A$164)))</f>
        <v/>
      </c>
      <c r="G166" s="173" t="str">
        <f>IF(G$3="","",IF(COUNTIFS(BD!$A$3:$A$5001,G$3,BD!$B$3:$B$5001,$A$164,BD!$E$3:$E$5001,"&lt;&gt;")=0,"",SUMIFS(BD!$E$3:$E$5001,BD!$A$3:$A$5001,G$3,BD!$B$3:$B$5001,$A$164)))</f>
        <v/>
      </c>
      <c r="H166" s="173" t="str">
        <f>IF(H$3="","",IF(COUNTIFS(BD!$A$3:$A$5001,H$3,BD!$B$3:$B$5001,$A$164,BD!$E$3:$E$5001,"&lt;&gt;")=0,"",SUMIFS(BD!$E$3:$E$5001,BD!$A$3:$A$5001,H$3,BD!$B$3:$B$5001,$A$164)))</f>
        <v/>
      </c>
      <c r="I166" s="173" t="str">
        <f>IF(I$3="","",IF(COUNTIFS(BD!$A$3:$A$5001,I$3,BD!$B$3:$B$5001,$A$164,BD!$E$3:$E$5001,"&lt;&gt;")=0,"",SUMIFS(BD!$E$3:$E$5001,BD!$A$3:$A$5001,I$3,BD!$B$3:$B$5001,$A$164)))</f>
        <v/>
      </c>
      <c r="J166" s="173" t="str">
        <f>IF(J$3="","",IF(COUNTIFS(BD!$A$3:$A$5001,J$3,BD!$B$3:$B$5001,$A$164,BD!$E$3:$E$5001,"&lt;&gt;")=0,"",SUMIFS(BD!$E$3:$E$5001,BD!$A$3:$A$5001,J$3,BD!$B$3:$B$5001,$A$164)))</f>
        <v/>
      </c>
      <c r="K166" s="173" t="str">
        <f>IF(K$3="","",IF(COUNTIFS(BD!$A$3:$A$5001,K$3,BD!$B$3:$B$5001,$A$164,BD!$E$3:$E$5001,"&lt;&gt;")=0,"",SUMIFS(BD!$E$3:$E$5001,BD!$A$3:$A$5001,K$3,BD!$B$3:$B$5001,$A$164)))</f>
        <v/>
      </c>
      <c r="L166" s="173" t="str">
        <f>IF(L$3="","",IF(COUNTIFS(BD!$A$3:$A$5001,L$3,BD!$B$3:$B$5001,$A$164,BD!$E$3:$E$5001,"&lt;&gt;")=0,"",SUMIFS(BD!$E$3:$E$5001,BD!$A$3:$A$5001,L$3,BD!$B$3:$B$5001,$A$164)))</f>
        <v/>
      </c>
      <c r="M166" s="173" t="str">
        <f>IF(M$3="","",IF(COUNTIFS(BD!$A$3:$A$5001,M$3,BD!$B$3:$B$5001,$A$164,BD!$E$3:$E$5001,"&lt;&gt;")=0,"",SUMIFS(BD!$E$3:$E$5001,BD!$A$3:$A$5001,M$3,BD!$B$3:$B$5001,$A$164)))</f>
        <v/>
      </c>
      <c r="N166" s="173" t="str">
        <f>IF(N$3="","",IF(COUNTIFS(BD!$A$3:$A$5001,N$3,BD!$B$3:$B$5001,$A$164,BD!$E$3:$E$5001,"&lt;&gt;")=0,"",SUMIFS(BD!$E$3:$E$5001,BD!$A$3:$A$5001,N$3,BD!$B$3:$B$5001,$A$164)))</f>
        <v/>
      </c>
      <c r="O166" s="173" t="str">
        <f>IF(O$3="","",IF(COUNTIFS(BD!$A$3:$A$5001,O$3,BD!$B$3:$B$5001,$A$164,BD!$E$3:$E$5001,"&lt;&gt;")=0,"",SUMIFS(BD!$E$3:$E$5001,BD!$A$3:$A$5001,O$3,BD!$B$3:$B$5001,$A$164)))</f>
        <v/>
      </c>
      <c r="P166" s="173" t="str">
        <f>IF(P$3="","",IF(COUNTIFS(BD!$A$3:$A$5001,P$3,BD!$B$3:$B$5001,$A$164,BD!$E$3:$E$5001,"&lt;&gt;")=0,"",SUMIFS(BD!$E$3:$E$5001,BD!$A$3:$A$5001,P$3,BD!$B$3:$B$5001,$A$164)))</f>
        <v/>
      </c>
      <c r="Q166" s="173" t="str">
        <f>IF(Q$3="","",IF(COUNTIFS(BD!$A$3:$A$5001,Q$3,BD!$B$3:$B$5001,$A$164,BD!$E$3:$E$5001,"&lt;&gt;")=0,"",SUMIFS(BD!$E$3:$E$5001,BD!$A$3:$A$5001,Q$3,BD!$B$3:$B$5001,$A$164)))</f>
        <v/>
      </c>
      <c r="R166" s="173" t="str">
        <f>IF(R$3="","",IF(COUNTIFS(BD!$A$3:$A$5001,R$3,BD!$B$3:$B$5001,$A$164,BD!$E$3:$E$5001,"&lt;&gt;")=0,"",SUMIFS(BD!$E$3:$E$5001,BD!$A$3:$A$5001,R$3,BD!$B$3:$B$5001,$A$164)))</f>
        <v/>
      </c>
      <c r="S166" s="173" t="str">
        <f>IF(S$3="","",IF(COUNTIFS(BD!$A$3:$A$5001,S$3,BD!$B$3:$B$5001,$A$164,BD!$E$3:$E$5001,"&lt;&gt;")=0,"",SUMIFS(BD!$E$3:$E$5001,BD!$A$3:$A$5001,S$3,BD!$B$3:$B$5001,$A$164)))</f>
        <v/>
      </c>
      <c r="T166" s="173" t="str">
        <f>IF(T$3="","",IF(COUNTIFS(BD!$A$3:$A$5001,T$3,BD!$B$3:$B$5001,$A$164,BD!$E$3:$E$5001,"&lt;&gt;")=0,"",SUMIFS(BD!$E$3:$E$5001,BD!$A$3:$A$5001,T$3,BD!$B$3:$B$5001,$A$164)))</f>
        <v/>
      </c>
      <c r="U166" s="173" t="str">
        <f>IF(U$3="","",IF(COUNTIFS(BD!$A$3:$A$5001,U$3,BD!$B$3:$B$5001,$A$164,BD!$E$3:$E$5001,"&lt;&gt;")=0,"",SUMIFS(BD!$E$3:$E$5001,BD!$A$3:$A$5001,U$3,BD!$B$3:$B$5001,$A$164)))</f>
        <v/>
      </c>
      <c r="V166" s="173" t="str">
        <f>IF(V$3="","",IF(COUNTIFS(BD!$A$3:$A$5001,V$3,BD!$B$3:$B$5001,$A$164,BD!$E$3:$E$5001,"&lt;&gt;")=0,"",SUMIFS(BD!$E$3:$E$5001,BD!$A$3:$A$5001,V$3,BD!$B$3:$B$5001,$A$164)))</f>
        <v/>
      </c>
      <c r="W166" s="173" t="str">
        <f>IF(W$3="","",IF(COUNTIFS(BD!$A$3:$A$5001,W$3,BD!$B$3:$B$5001,$A$164,BD!$E$3:$E$5001,"&lt;&gt;")=0,"",SUMIFS(BD!$E$3:$E$5001,BD!$A$3:$A$5001,W$3,BD!$B$3:$B$5001,$A$164)))</f>
        <v/>
      </c>
      <c r="X166" s="173" t="str">
        <f>IF(X$3="","",IF(COUNTIFS(BD!$A$3:$A$5001,X$3,BD!$B$3:$B$5001,$A$164,BD!$E$3:$E$5001,"&lt;&gt;")=0,"",SUMIFS(BD!$E$3:$E$5001,BD!$A$3:$A$5001,X$3,BD!$B$3:$B$5001,$A$164)))</f>
        <v/>
      </c>
      <c r="Y166" s="173" t="str">
        <f>IF(Y$3="","",IF(COUNTIFS(BD!$A$3:$A$5001,Y$3,BD!$B$3:$B$5001,$A$164,BD!$E$3:$E$5001,"&lt;&gt;")=0,"",SUMIFS(BD!$E$3:$E$5001,BD!$A$3:$A$5001,Y$3,BD!$B$3:$B$5001,$A$164)))</f>
        <v/>
      </c>
      <c r="Z166" s="173" t="str">
        <f>IF(Z$3="","",IF(COUNTIFS(BD!$A$3:$A$5001,Z$3,BD!$B$3:$B$5001,$A$164,BD!$E$3:$E$5001,"&lt;&gt;")=0,"",SUMIFS(BD!$E$3:$E$5001,BD!$A$3:$A$5001,Z$3,BD!$B$3:$B$5001,$A$164)))</f>
        <v/>
      </c>
      <c r="AA166" s="173" t="str">
        <f>IF(AA$3="","",IF(COUNTIFS(BD!$A$3:$A$5001,AA$3,BD!$B$3:$B$5001,$A$164,BD!$E$3:$E$5001,"&lt;&gt;")=0,"",SUMIFS(BD!$E$3:$E$5001,BD!$A$3:$A$5001,AA$3,BD!$B$3:$B$5001,$A$164)))</f>
        <v/>
      </c>
      <c r="AB166" s="173" t="str">
        <f>IF(AB$3="","",IF(COUNTIFS(BD!$A$3:$A$5001,AB$3,BD!$B$3:$B$5001,$A$164,BD!$E$3:$E$5001,"&lt;&gt;")=0,"",SUMIFS(BD!$E$3:$E$5001,BD!$A$3:$A$5001,AB$3,BD!$B$3:$B$5001,$A$164)))</f>
        <v/>
      </c>
      <c r="AC166" s="173" t="str">
        <f>IF(AC$3="","",IF(COUNTIFS(BD!$A$3:$A$5001,AC$3,BD!$B$3:$B$5001,$A$164,BD!$E$3:$E$5001,"&lt;&gt;")=0,"",SUMIFS(BD!$E$3:$E$5001,BD!$A$3:$A$5001,AC$3,BD!$B$3:$B$5001,$A$164)))</f>
        <v/>
      </c>
      <c r="AD166" s="173" t="str">
        <f>IF(AD$3="","",IF(COUNTIFS(BD!$A$3:$A$5001,AD$3,BD!$B$3:$B$5001,$A$164,BD!$E$3:$E$5001,"&lt;&gt;")=0,"",SUMIFS(BD!$E$3:$E$5001,BD!$A$3:$A$5001,AD$3,BD!$B$3:$B$5001,$A$164)))</f>
        <v/>
      </c>
      <c r="AE166" s="173" t="str">
        <f>IF(AE$3="","",IF(COUNTIFS(BD!$A$3:$A$5001,AE$3,BD!$B$3:$B$5001,$A$164,BD!$E$3:$E$5001,"&lt;&gt;")=0,"",SUMIFS(BD!$E$3:$E$5001,BD!$A$3:$A$5001,AE$3,BD!$B$3:$B$5001,$A$164)))</f>
        <v/>
      </c>
      <c r="AF166" s="173" t="str">
        <f>IF(AF$3="","",IF(COUNTIFS(BD!$A$3:$A$5001,AF$3,BD!$B$3:$B$5001,$A$164,BD!$E$3:$E$5001,"&lt;&gt;")=0,"",SUMIFS(BD!$E$3:$E$5001,BD!$A$3:$A$5001,AF$3,BD!$B$3:$B$5001,$A$164)))</f>
        <v/>
      </c>
      <c r="AG166" s="173" t="str">
        <f>IF(AG$3="","",IF(COUNTIFS(BD!$A$3:$A$5001,AG$3,BD!$B$3:$B$5001,$A$164,BD!$E$3:$E$5001,"&lt;&gt;")=0,"",SUMIFS(BD!$E$3:$E$5001,BD!$A$3:$A$5001,AG$3,BD!$B$3:$B$5001,$A$164)))</f>
        <v/>
      </c>
      <c r="AH166" s="173" t="str">
        <f>IF(AH$3="","",IF(COUNTIFS(BD!$A$3:$A$5001,AH$3,BD!$B$3:$B$5001,$A$164,BD!$E$3:$E$5001,"&lt;&gt;")=0,"",SUMIFS(BD!$E$3:$E$5001,BD!$A$3:$A$5001,AH$3,BD!$B$3:$B$5001,$A$164)))</f>
        <v/>
      </c>
      <c r="AI166" s="173" t="str">
        <f>IF(AI$3="","",IF(COUNTIFS(BD!$A$3:$A$5001,AI$3,BD!$B$3:$B$5001,$A$164,BD!$E$3:$E$5001,"&lt;&gt;")=0,"",SUMIFS(BD!$E$3:$E$5001,BD!$A$3:$A$5001,AI$3,BD!$B$3:$B$5001,$A$164)))</f>
        <v/>
      </c>
      <c r="AJ166" s="174" t="str">
        <f>IF(AJ$3="","",IF(COUNTIFS(BD!$A$3:$A$5001,AJ$3,BD!$B$3:$B$5001,$A$164,BD!$E$3:$E$5001,"&lt;&gt;")=0,"",SUMIFS(BD!$E$3:$E$5001,BD!$A$3:$A$5001,AJ$3,BD!$B$3:$B$5001,$A$164)))</f>
        <v/>
      </c>
      <c r="AK166" s="175" t="str">
        <f>IF(COUNT(F166:AJ166)=0,"",SUM(F166:AJ166))</f>
        <v/>
      </c>
    </row>
    <row r="167" ht="15.75" customHeight="1" hidden="1">
      <c r="A167" s="254"/>
      <c r="B167" s="244" t="inlineStr">
        <is>
          <t xml:space="preserve">OUT</t>
        </is>
      </c>
      <c r="C167" s="176" t="inlineStr">
        <is>
          <t xml:space="preserve">Veículos Expedidos</t>
        </is>
      </c>
      <c r="D167" s="177" t="str">
        <f>IFERROR(1/(1/INDEX(BD!$Y$26:$AS$26,MATCH($A$164,BD!$Y$22:$AS$22,0))),"")</f>
        <v/>
      </c>
      <c r="E167" s="178"/>
      <c r="F167" s="179" t="str">
        <f>IF(F$3="","",IF(COUNTIFS(BD!$A$3:$A$5001,F$3,BD!$B$3:$B$5001,$A$164,BD!$F$3:$F$5001,"&lt;&gt;")=0,"",SUMIFS(BD!$F$3:$F$5001,BD!$A$3:$A$5001,F$3,BD!$B$3:$B$5001,$A$164)))</f>
        <v/>
      </c>
      <c r="G167" s="180" t="str">
        <f>IF(G$3="","",IF(COUNTIFS(BD!$A$3:$A$5001,G$3,BD!$B$3:$B$5001,$A$164,BD!$F$3:$F$5001,"&lt;&gt;")=0,"",SUMIFS(BD!$F$3:$F$5001,BD!$A$3:$A$5001,G$3,BD!$B$3:$B$5001,$A$164)))</f>
        <v/>
      </c>
      <c r="H167" s="180" t="str">
        <f>IF(H$3="","",IF(COUNTIFS(BD!$A$3:$A$5001,H$3,BD!$B$3:$B$5001,$A$164,BD!$F$3:$F$5001,"&lt;&gt;")=0,"",SUMIFS(BD!$F$3:$F$5001,BD!$A$3:$A$5001,H$3,BD!$B$3:$B$5001,$A$164)))</f>
        <v/>
      </c>
      <c r="I167" s="180" t="str">
        <f>IF(I$3="","",IF(COUNTIFS(BD!$A$3:$A$5001,I$3,BD!$B$3:$B$5001,$A$164,BD!$F$3:$F$5001,"&lt;&gt;")=0,"",SUMIFS(BD!$F$3:$F$5001,BD!$A$3:$A$5001,I$3,BD!$B$3:$B$5001,$A$164)))</f>
        <v/>
      </c>
      <c r="J167" s="180" t="str">
        <f>IF(J$3="","",IF(COUNTIFS(BD!$A$3:$A$5001,J$3,BD!$B$3:$B$5001,$A$164,BD!$F$3:$F$5001,"&lt;&gt;")=0,"",SUMIFS(BD!$F$3:$F$5001,BD!$A$3:$A$5001,J$3,BD!$B$3:$B$5001,$A$164)))</f>
        <v/>
      </c>
      <c r="K167" s="180" t="str">
        <f>IF(K$3="","",IF(COUNTIFS(BD!$A$3:$A$5001,K$3,BD!$B$3:$B$5001,$A$164,BD!$F$3:$F$5001,"&lt;&gt;")=0,"",SUMIFS(BD!$F$3:$F$5001,BD!$A$3:$A$5001,K$3,BD!$B$3:$B$5001,$A$164)))</f>
        <v/>
      </c>
      <c r="L167" s="180" t="str">
        <f>IF(L$3="","",IF(COUNTIFS(BD!$A$3:$A$5001,L$3,BD!$B$3:$B$5001,$A$164,BD!$F$3:$F$5001,"&lt;&gt;")=0,"",SUMIFS(BD!$F$3:$F$5001,BD!$A$3:$A$5001,L$3,BD!$B$3:$B$5001,$A$164)))</f>
        <v/>
      </c>
      <c r="M167" s="180" t="str">
        <f>IF(M$3="","",IF(COUNTIFS(BD!$A$3:$A$5001,M$3,BD!$B$3:$B$5001,$A$164,BD!$F$3:$F$5001,"&lt;&gt;")=0,"",SUMIFS(BD!$F$3:$F$5001,BD!$A$3:$A$5001,M$3,BD!$B$3:$B$5001,$A$164)))</f>
        <v/>
      </c>
      <c r="N167" s="180" t="str">
        <f>IF(N$3="","",IF(COUNTIFS(BD!$A$3:$A$5001,N$3,BD!$B$3:$B$5001,$A$164,BD!$F$3:$F$5001,"&lt;&gt;")=0,"",SUMIFS(BD!$F$3:$F$5001,BD!$A$3:$A$5001,N$3,BD!$B$3:$B$5001,$A$164)))</f>
        <v/>
      </c>
      <c r="O167" s="180" t="str">
        <f>IF(O$3="","",IF(COUNTIFS(BD!$A$3:$A$5001,O$3,BD!$B$3:$B$5001,$A$164,BD!$F$3:$F$5001,"&lt;&gt;")=0,"",SUMIFS(BD!$F$3:$F$5001,BD!$A$3:$A$5001,O$3,BD!$B$3:$B$5001,$A$164)))</f>
        <v/>
      </c>
      <c r="P167" s="180" t="str">
        <f>IF(P$3="","",IF(COUNTIFS(BD!$A$3:$A$5001,P$3,BD!$B$3:$B$5001,$A$164,BD!$F$3:$F$5001,"&lt;&gt;")=0,"",SUMIFS(BD!$F$3:$F$5001,BD!$A$3:$A$5001,P$3,BD!$B$3:$B$5001,$A$164)))</f>
        <v/>
      </c>
      <c r="Q167" s="180" t="str">
        <f>IF(Q$3="","",IF(COUNTIFS(BD!$A$3:$A$5001,Q$3,BD!$B$3:$B$5001,$A$164,BD!$F$3:$F$5001,"&lt;&gt;")=0,"",SUMIFS(BD!$F$3:$F$5001,BD!$A$3:$A$5001,Q$3,BD!$B$3:$B$5001,$A$164)))</f>
        <v/>
      </c>
      <c r="R167" s="180" t="str">
        <f>IF(R$3="","",IF(COUNTIFS(BD!$A$3:$A$5001,R$3,BD!$B$3:$B$5001,$A$164,BD!$F$3:$F$5001,"&lt;&gt;")=0,"",SUMIFS(BD!$F$3:$F$5001,BD!$A$3:$A$5001,R$3,BD!$B$3:$B$5001,$A$164)))</f>
        <v/>
      </c>
      <c r="S167" s="180" t="str">
        <f>IF(S$3="","",IF(COUNTIFS(BD!$A$3:$A$5001,S$3,BD!$B$3:$B$5001,$A$164,BD!$F$3:$F$5001,"&lt;&gt;")=0,"",SUMIFS(BD!$F$3:$F$5001,BD!$A$3:$A$5001,S$3,BD!$B$3:$B$5001,$A$164)))</f>
        <v/>
      </c>
      <c r="T167" s="180" t="str">
        <f>IF(T$3="","",IF(COUNTIFS(BD!$A$3:$A$5001,T$3,BD!$B$3:$B$5001,$A$164,BD!$F$3:$F$5001,"&lt;&gt;")=0,"",SUMIFS(BD!$F$3:$F$5001,BD!$A$3:$A$5001,T$3,BD!$B$3:$B$5001,$A$164)))</f>
        <v/>
      </c>
      <c r="U167" s="180" t="str">
        <f>IF(U$3="","",IF(COUNTIFS(BD!$A$3:$A$5001,U$3,BD!$B$3:$B$5001,$A$164,BD!$F$3:$F$5001,"&lt;&gt;")=0,"",SUMIFS(BD!$F$3:$F$5001,BD!$A$3:$A$5001,U$3,BD!$B$3:$B$5001,$A$164)))</f>
        <v/>
      </c>
      <c r="V167" s="180" t="str">
        <f>IF(V$3="","",IF(COUNTIFS(BD!$A$3:$A$5001,V$3,BD!$B$3:$B$5001,$A$164,BD!$F$3:$F$5001,"&lt;&gt;")=0,"",SUMIFS(BD!$F$3:$F$5001,BD!$A$3:$A$5001,V$3,BD!$B$3:$B$5001,$A$164)))</f>
        <v/>
      </c>
      <c r="W167" s="180" t="str">
        <f>IF(W$3="","",IF(COUNTIFS(BD!$A$3:$A$5001,W$3,BD!$B$3:$B$5001,$A$164,BD!$F$3:$F$5001,"&lt;&gt;")=0,"",SUMIFS(BD!$F$3:$F$5001,BD!$A$3:$A$5001,W$3,BD!$B$3:$B$5001,$A$164)))</f>
        <v/>
      </c>
      <c r="X167" s="180" t="str">
        <f>IF(X$3="","",IF(COUNTIFS(BD!$A$3:$A$5001,X$3,BD!$B$3:$B$5001,$A$164,BD!$F$3:$F$5001,"&lt;&gt;")=0,"",SUMIFS(BD!$F$3:$F$5001,BD!$A$3:$A$5001,X$3,BD!$B$3:$B$5001,$A$164)))</f>
        <v/>
      </c>
      <c r="Y167" s="180" t="str">
        <f>IF(Y$3="","",IF(COUNTIFS(BD!$A$3:$A$5001,Y$3,BD!$B$3:$B$5001,$A$164,BD!$F$3:$F$5001,"&lt;&gt;")=0,"",SUMIFS(BD!$F$3:$F$5001,BD!$A$3:$A$5001,Y$3,BD!$B$3:$B$5001,$A$164)))</f>
        <v/>
      </c>
      <c r="Z167" s="180" t="str">
        <f>IF(Z$3="","",IF(COUNTIFS(BD!$A$3:$A$5001,Z$3,BD!$B$3:$B$5001,$A$164,BD!$F$3:$F$5001,"&lt;&gt;")=0,"",SUMIFS(BD!$F$3:$F$5001,BD!$A$3:$A$5001,Z$3,BD!$B$3:$B$5001,$A$164)))</f>
        <v/>
      </c>
      <c r="AA167" s="180" t="str">
        <f>IF(AA$3="","",IF(COUNTIFS(BD!$A$3:$A$5001,AA$3,BD!$B$3:$B$5001,$A$164,BD!$F$3:$F$5001,"&lt;&gt;")=0,"",SUMIFS(BD!$F$3:$F$5001,BD!$A$3:$A$5001,AA$3,BD!$B$3:$B$5001,$A$164)))</f>
        <v/>
      </c>
      <c r="AB167" s="180" t="str">
        <f>IF(AB$3="","",IF(COUNTIFS(BD!$A$3:$A$5001,AB$3,BD!$B$3:$B$5001,$A$164,BD!$F$3:$F$5001,"&lt;&gt;")=0,"",SUMIFS(BD!$F$3:$F$5001,BD!$A$3:$A$5001,AB$3,BD!$B$3:$B$5001,$A$164)))</f>
        <v/>
      </c>
      <c r="AC167" s="180" t="str">
        <f>IF(AC$3="","",IF(COUNTIFS(BD!$A$3:$A$5001,AC$3,BD!$B$3:$B$5001,$A$164,BD!$F$3:$F$5001,"&lt;&gt;")=0,"",SUMIFS(BD!$F$3:$F$5001,BD!$A$3:$A$5001,AC$3,BD!$B$3:$B$5001,$A$164)))</f>
        <v/>
      </c>
      <c r="AD167" s="180" t="str">
        <f>IF(AD$3="","",IF(COUNTIFS(BD!$A$3:$A$5001,AD$3,BD!$B$3:$B$5001,$A$164,BD!$F$3:$F$5001,"&lt;&gt;")=0,"",SUMIFS(BD!$F$3:$F$5001,BD!$A$3:$A$5001,AD$3,BD!$B$3:$B$5001,$A$164)))</f>
        <v/>
      </c>
      <c r="AE167" s="180" t="str">
        <f>IF(AE$3="","",IF(COUNTIFS(BD!$A$3:$A$5001,AE$3,BD!$B$3:$B$5001,$A$164,BD!$F$3:$F$5001,"&lt;&gt;")=0,"",SUMIFS(BD!$F$3:$F$5001,BD!$A$3:$A$5001,AE$3,BD!$B$3:$B$5001,$A$164)))</f>
        <v/>
      </c>
      <c r="AF167" s="180" t="str">
        <f>IF(AF$3="","",IF(COUNTIFS(BD!$A$3:$A$5001,AF$3,BD!$B$3:$B$5001,$A$164,BD!$F$3:$F$5001,"&lt;&gt;")=0,"",SUMIFS(BD!$F$3:$F$5001,BD!$A$3:$A$5001,AF$3,BD!$B$3:$B$5001,$A$164)))</f>
        <v/>
      </c>
      <c r="AG167" s="180" t="str">
        <f>IF(AG$3="","",IF(COUNTIFS(BD!$A$3:$A$5001,AG$3,BD!$B$3:$B$5001,$A$164,BD!$F$3:$F$5001,"&lt;&gt;")=0,"",SUMIFS(BD!$F$3:$F$5001,BD!$A$3:$A$5001,AG$3,BD!$B$3:$B$5001,$A$164)))</f>
        <v/>
      </c>
      <c r="AH167" s="180" t="str">
        <f>IF(AH$3="","",IF(COUNTIFS(BD!$A$3:$A$5001,AH$3,BD!$B$3:$B$5001,$A$164,BD!$F$3:$F$5001,"&lt;&gt;")=0,"",SUMIFS(BD!$F$3:$F$5001,BD!$A$3:$A$5001,AH$3,BD!$B$3:$B$5001,$A$164)))</f>
        <v/>
      </c>
      <c r="AI167" s="180" t="str">
        <f>IF(AI$3="","",IF(COUNTIFS(BD!$A$3:$A$5001,AI$3,BD!$B$3:$B$5001,$A$164,BD!$F$3:$F$5001,"&lt;&gt;")=0,"",SUMIFS(BD!$F$3:$F$5001,BD!$A$3:$A$5001,AI$3,BD!$B$3:$B$5001,$A$164)))</f>
        <v/>
      </c>
      <c r="AJ167" s="181" t="str">
        <f>IF(AJ$3="","",IF(COUNTIFS(BD!$A$3:$A$5001,AJ$3,BD!$B$3:$B$5001,$A$164,BD!$F$3:$F$5001,"&lt;&gt;")=0,"",SUMIFS(BD!$F$3:$F$5001,BD!$A$3:$A$5001,AJ$3,BD!$B$3:$B$5001,$A$164)))</f>
        <v/>
      </c>
      <c r="AK167" s="182" t="str">
        <f>IF(COUNT(F167:AJ167)=0,"",SUM(F167:AJ167))</f>
        <v/>
      </c>
    </row>
    <row r="168" ht="15.75" customHeight="1" hidden="1">
      <c r="A168" s="254"/>
      <c r="B168" s="245"/>
      <c r="C168" s="183" t="inlineStr">
        <is>
          <t xml:space="preserve">Pallets Movimentados</t>
        </is>
      </c>
      <c r="D168" s="184" t="str">
        <f>IFERROR(1/(1/INDEX(BD!$Y$27:$AS$27,MATCH($A$164,BD!$Y$22:$AS$22,0))),"")</f>
        <v/>
      </c>
      <c r="E168" s="185"/>
      <c r="F168" s="186" t="str">
        <f>IF(F$3="","",IF(COUNTIFS(BD!$A$3:$A$5001,F$3,BD!$B$3:$B$5001,$A$164,BD!$G$3:$G$5001,"&lt;&gt;")=0,"",SUMIFS(BD!$G$3:$G$5001,BD!$A$3:$A$5001,F$3,BD!$B$3:$B$5001,$A$164)))</f>
        <v/>
      </c>
      <c r="G168" s="187" t="str">
        <f>IF(G$3="","",IF(COUNTIFS(BD!$A$3:$A$5001,G$3,BD!$B$3:$B$5001,$A$164,BD!$G$3:$G$5001,"&lt;&gt;")=0,"",SUMIFS(BD!$G$3:$G$5001,BD!$A$3:$A$5001,G$3,BD!$B$3:$B$5001,$A$164)))</f>
        <v/>
      </c>
      <c r="H168" s="187" t="str">
        <f>IF(H$3="","",IF(COUNTIFS(BD!$A$3:$A$5001,H$3,BD!$B$3:$B$5001,$A$164,BD!$G$3:$G$5001,"&lt;&gt;")=0,"",SUMIFS(BD!$G$3:$G$5001,BD!$A$3:$A$5001,H$3,BD!$B$3:$B$5001,$A$164)))</f>
        <v/>
      </c>
      <c r="I168" s="187" t="str">
        <f>IF(I$3="","",IF(COUNTIFS(BD!$A$3:$A$5001,I$3,BD!$B$3:$B$5001,$A$164,BD!$G$3:$G$5001,"&lt;&gt;")=0,"",SUMIFS(BD!$G$3:$G$5001,BD!$A$3:$A$5001,I$3,BD!$B$3:$B$5001,$A$164)))</f>
        <v/>
      </c>
      <c r="J168" s="187" t="str">
        <f>IF(J$3="","",IF(COUNTIFS(BD!$A$3:$A$5001,J$3,BD!$B$3:$B$5001,$A$164,BD!$G$3:$G$5001,"&lt;&gt;")=0,"",SUMIFS(BD!$G$3:$G$5001,BD!$A$3:$A$5001,J$3,BD!$B$3:$B$5001,$A$164)))</f>
        <v/>
      </c>
      <c r="K168" s="187" t="str">
        <f>IF(K$3="","",IF(COUNTIFS(BD!$A$3:$A$5001,K$3,BD!$B$3:$B$5001,$A$164,BD!$G$3:$G$5001,"&lt;&gt;")=0,"",SUMIFS(BD!$G$3:$G$5001,BD!$A$3:$A$5001,K$3,BD!$B$3:$B$5001,$A$164)))</f>
        <v/>
      </c>
      <c r="L168" s="187" t="str">
        <f>IF(L$3="","",IF(COUNTIFS(BD!$A$3:$A$5001,L$3,BD!$B$3:$B$5001,$A$164,BD!$G$3:$G$5001,"&lt;&gt;")=0,"",SUMIFS(BD!$G$3:$G$5001,BD!$A$3:$A$5001,L$3,BD!$B$3:$B$5001,$A$164)))</f>
        <v/>
      </c>
      <c r="M168" s="187" t="str">
        <f>IF(M$3="","",IF(COUNTIFS(BD!$A$3:$A$5001,M$3,BD!$B$3:$B$5001,$A$164,BD!$G$3:$G$5001,"&lt;&gt;")=0,"",SUMIFS(BD!$G$3:$G$5001,BD!$A$3:$A$5001,M$3,BD!$B$3:$B$5001,$A$164)))</f>
        <v/>
      </c>
      <c r="N168" s="187" t="str">
        <f>IF(N$3="","",IF(COUNTIFS(BD!$A$3:$A$5001,N$3,BD!$B$3:$B$5001,$A$164,BD!$G$3:$G$5001,"&lt;&gt;")=0,"",SUMIFS(BD!$G$3:$G$5001,BD!$A$3:$A$5001,N$3,BD!$B$3:$B$5001,$A$164)))</f>
        <v/>
      </c>
      <c r="O168" s="187" t="str">
        <f>IF(O$3="","",IF(COUNTIFS(BD!$A$3:$A$5001,O$3,BD!$B$3:$B$5001,$A$164,BD!$G$3:$G$5001,"&lt;&gt;")=0,"",SUMIFS(BD!$G$3:$G$5001,BD!$A$3:$A$5001,O$3,BD!$B$3:$B$5001,$A$164)))</f>
        <v/>
      </c>
      <c r="P168" s="187" t="str">
        <f>IF(P$3="","",IF(COUNTIFS(BD!$A$3:$A$5001,P$3,BD!$B$3:$B$5001,$A$164,BD!$G$3:$G$5001,"&lt;&gt;")=0,"",SUMIFS(BD!$G$3:$G$5001,BD!$A$3:$A$5001,P$3,BD!$B$3:$B$5001,$A$164)))</f>
        <v/>
      </c>
      <c r="Q168" s="187" t="str">
        <f>IF(Q$3="","",IF(COUNTIFS(BD!$A$3:$A$5001,Q$3,BD!$B$3:$B$5001,$A$164,BD!$G$3:$G$5001,"&lt;&gt;")=0,"",SUMIFS(BD!$G$3:$G$5001,BD!$A$3:$A$5001,Q$3,BD!$B$3:$B$5001,$A$164)))</f>
        <v/>
      </c>
      <c r="R168" s="187" t="str">
        <f>IF(R$3="","",IF(COUNTIFS(BD!$A$3:$A$5001,R$3,BD!$B$3:$B$5001,$A$164,BD!$G$3:$G$5001,"&lt;&gt;")=0,"",SUMIFS(BD!$G$3:$G$5001,BD!$A$3:$A$5001,R$3,BD!$B$3:$B$5001,$A$164)))</f>
        <v/>
      </c>
      <c r="S168" s="187" t="str">
        <f>IF(S$3="","",IF(COUNTIFS(BD!$A$3:$A$5001,S$3,BD!$B$3:$B$5001,$A$164,BD!$G$3:$G$5001,"&lt;&gt;")=0,"",SUMIFS(BD!$G$3:$G$5001,BD!$A$3:$A$5001,S$3,BD!$B$3:$B$5001,$A$164)))</f>
        <v/>
      </c>
      <c r="T168" s="187" t="str">
        <f>IF(T$3="","",IF(COUNTIFS(BD!$A$3:$A$5001,T$3,BD!$B$3:$B$5001,$A$164,BD!$G$3:$G$5001,"&lt;&gt;")=0,"",SUMIFS(BD!$G$3:$G$5001,BD!$A$3:$A$5001,T$3,BD!$B$3:$B$5001,$A$164)))</f>
        <v/>
      </c>
      <c r="U168" s="187" t="str">
        <f>IF(U$3="","",IF(COUNTIFS(BD!$A$3:$A$5001,U$3,BD!$B$3:$B$5001,$A$164,BD!$G$3:$G$5001,"&lt;&gt;")=0,"",SUMIFS(BD!$G$3:$G$5001,BD!$A$3:$A$5001,U$3,BD!$B$3:$B$5001,$A$164)))</f>
        <v/>
      </c>
      <c r="V168" s="187" t="str">
        <f>IF(V$3="","",IF(COUNTIFS(BD!$A$3:$A$5001,V$3,BD!$B$3:$B$5001,$A$164,BD!$G$3:$G$5001,"&lt;&gt;")=0,"",SUMIFS(BD!$G$3:$G$5001,BD!$A$3:$A$5001,V$3,BD!$B$3:$B$5001,$A$164)))</f>
        <v/>
      </c>
      <c r="W168" s="187" t="str">
        <f>IF(W$3="","",IF(COUNTIFS(BD!$A$3:$A$5001,W$3,BD!$B$3:$B$5001,$A$164,BD!$G$3:$G$5001,"&lt;&gt;")=0,"",SUMIFS(BD!$G$3:$G$5001,BD!$A$3:$A$5001,W$3,BD!$B$3:$B$5001,$A$164)))</f>
        <v/>
      </c>
      <c r="X168" s="187" t="str">
        <f>IF(X$3="","",IF(COUNTIFS(BD!$A$3:$A$5001,X$3,BD!$B$3:$B$5001,$A$164,BD!$G$3:$G$5001,"&lt;&gt;")=0,"",SUMIFS(BD!$G$3:$G$5001,BD!$A$3:$A$5001,X$3,BD!$B$3:$B$5001,$A$164)))</f>
        <v/>
      </c>
      <c r="Y168" s="187" t="str">
        <f>IF(Y$3="","",IF(COUNTIFS(BD!$A$3:$A$5001,Y$3,BD!$B$3:$B$5001,$A$164,BD!$G$3:$G$5001,"&lt;&gt;")=0,"",SUMIFS(BD!$G$3:$G$5001,BD!$A$3:$A$5001,Y$3,BD!$B$3:$B$5001,$A$164)))</f>
        <v/>
      </c>
      <c r="Z168" s="187" t="str">
        <f>IF(Z$3="","",IF(COUNTIFS(BD!$A$3:$A$5001,Z$3,BD!$B$3:$B$5001,$A$164,BD!$G$3:$G$5001,"&lt;&gt;")=0,"",SUMIFS(BD!$G$3:$G$5001,BD!$A$3:$A$5001,Z$3,BD!$B$3:$B$5001,$A$164)))</f>
        <v/>
      </c>
      <c r="AA168" s="187" t="str">
        <f>IF(AA$3="","",IF(COUNTIFS(BD!$A$3:$A$5001,AA$3,BD!$B$3:$B$5001,$A$164,BD!$G$3:$G$5001,"&lt;&gt;")=0,"",SUMIFS(BD!$G$3:$G$5001,BD!$A$3:$A$5001,AA$3,BD!$B$3:$B$5001,$A$164)))</f>
        <v/>
      </c>
      <c r="AB168" s="187" t="str">
        <f>IF(AB$3="","",IF(COUNTIFS(BD!$A$3:$A$5001,AB$3,BD!$B$3:$B$5001,$A$164,BD!$G$3:$G$5001,"&lt;&gt;")=0,"",SUMIFS(BD!$G$3:$G$5001,BD!$A$3:$A$5001,AB$3,BD!$B$3:$B$5001,$A$164)))</f>
        <v/>
      </c>
      <c r="AC168" s="187" t="str">
        <f>IF(AC$3="","",IF(COUNTIFS(BD!$A$3:$A$5001,AC$3,BD!$B$3:$B$5001,$A$164,BD!$G$3:$G$5001,"&lt;&gt;")=0,"",SUMIFS(BD!$G$3:$G$5001,BD!$A$3:$A$5001,AC$3,BD!$B$3:$B$5001,$A$164)))</f>
        <v/>
      </c>
      <c r="AD168" s="187" t="str">
        <f>IF(AD$3="","",IF(COUNTIFS(BD!$A$3:$A$5001,AD$3,BD!$B$3:$B$5001,$A$164,BD!$G$3:$G$5001,"&lt;&gt;")=0,"",SUMIFS(BD!$G$3:$G$5001,BD!$A$3:$A$5001,AD$3,BD!$B$3:$B$5001,$A$164)))</f>
        <v/>
      </c>
      <c r="AE168" s="187" t="str">
        <f>IF(AE$3="","",IF(COUNTIFS(BD!$A$3:$A$5001,AE$3,BD!$B$3:$B$5001,$A$164,BD!$G$3:$G$5001,"&lt;&gt;")=0,"",SUMIFS(BD!$G$3:$G$5001,BD!$A$3:$A$5001,AE$3,BD!$B$3:$B$5001,$A$164)))</f>
        <v/>
      </c>
      <c r="AF168" s="187" t="str">
        <f>IF(AF$3="","",IF(COUNTIFS(BD!$A$3:$A$5001,AF$3,BD!$B$3:$B$5001,$A$164,BD!$G$3:$G$5001,"&lt;&gt;")=0,"",SUMIFS(BD!$G$3:$G$5001,BD!$A$3:$A$5001,AF$3,BD!$B$3:$B$5001,$A$164)))</f>
        <v/>
      </c>
      <c r="AG168" s="187" t="str">
        <f>IF(AG$3="","",IF(COUNTIFS(BD!$A$3:$A$5001,AG$3,BD!$B$3:$B$5001,$A$164,BD!$G$3:$G$5001,"&lt;&gt;")=0,"",SUMIFS(BD!$G$3:$G$5001,BD!$A$3:$A$5001,AG$3,BD!$B$3:$B$5001,$A$164)))</f>
        <v/>
      </c>
      <c r="AH168" s="187" t="str">
        <f>IF(AH$3="","",IF(COUNTIFS(BD!$A$3:$A$5001,AH$3,BD!$B$3:$B$5001,$A$164,BD!$G$3:$G$5001,"&lt;&gt;")=0,"",SUMIFS(BD!$G$3:$G$5001,BD!$A$3:$A$5001,AH$3,BD!$B$3:$B$5001,$A$164)))</f>
        <v/>
      </c>
      <c r="AI168" s="187" t="str">
        <f>IF(AI$3="","",IF(COUNTIFS(BD!$A$3:$A$5001,AI$3,BD!$B$3:$B$5001,$A$164,BD!$G$3:$G$5001,"&lt;&gt;")=0,"",SUMIFS(BD!$G$3:$G$5001,BD!$A$3:$A$5001,AI$3,BD!$B$3:$B$5001,$A$164)))</f>
        <v/>
      </c>
      <c r="AJ168" s="188" t="str">
        <f>IF(AJ$3="","",IF(COUNTIFS(BD!$A$3:$A$5001,AJ$3,BD!$B$3:$B$5001,$A$164,BD!$G$3:$G$5001,"&lt;&gt;")=0,"",SUMIFS(BD!$G$3:$G$5001,BD!$A$3:$A$5001,AJ$3,BD!$B$3:$B$5001,$A$164)))</f>
        <v/>
      </c>
      <c r="AK168" s="189" t="str">
        <f>IF(COUNT(F168:AJ168)=0,"",SUM(F168:AJ168))</f>
        <v/>
      </c>
    </row>
    <row r="169" ht="15.75" customHeight="1" hidden="1">
      <c r="A169" s="254"/>
      <c r="B169" s="246"/>
      <c r="C169" s="190" t="inlineStr">
        <is>
          <t xml:space="preserve">Toneladas Movimentadas</t>
        </is>
      </c>
      <c r="D169" s="191" t="str">
        <f>IFERROR(1/(1/INDEX(BD!$Y$28:$AS$28,MATCH($A$164,BD!$Y$22:$AS$22,0))),"")</f>
        <v/>
      </c>
      <c r="E169" s="192"/>
      <c r="F169" s="193" t="str">
        <f>IF(F$3="","",IF(COUNTIFS(BD!$A$3:$A$5001,F$3,BD!$B$3:$B$5001,$A$164,BD!$H$3:$H$5001,"&lt;&gt;")=0,"",SUMIFS(BD!$H$3:$H$5001,BD!$A$3:$A$5001,F$3,BD!$B$3:$B$5001,$A$164)))</f>
        <v/>
      </c>
      <c r="G169" s="194" t="str">
        <f>IF(G$3="","",IF(COUNTIFS(BD!$A$3:$A$5001,G$3,BD!$B$3:$B$5001,$A$164,BD!$H$3:$H$5001,"&lt;&gt;")=0,"",SUMIFS(BD!$H$3:$H$5001,BD!$A$3:$A$5001,G$3,BD!$B$3:$B$5001,$A$164)))</f>
        <v/>
      </c>
      <c r="H169" s="194" t="str">
        <f>IF(H$3="","",IF(COUNTIFS(BD!$A$3:$A$5001,H$3,BD!$B$3:$B$5001,$A$164,BD!$H$3:$H$5001,"&lt;&gt;")=0,"",SUMIFS(BD!$H$3:$H$5001,BD!$A$3:$A$5001,H$3,BD!$B$3:$B$5001,$A$164)))</f>
        <v/>
      </c>
      <c r="I169" s="194" t="str">
        <f>IF(I$3="","",IF(COUNTIFS(BD!$A$3:$A$5001,I$3,BD!$B$3:$B$5001,$A$164,BD!$H$3:$H$5001,"&lt;&gt;")=0,"",SUMIFS(BD!$H$3:$H$5001,BD!$A$3:$A$5001,I$3,BD!$B$3:$B$5001,$A$164)))</f>
        <v/>
      </c>
      <c r="J169" s="194" t="str">
        <f>IF(J$3="","",IF(COUNTIFS(BD!$A$3:$A$5001,J$3,BD!$B$3:$B$5001,$A$164,BD!$H$3:$H$5001,"&lt;&gt;")=0,"",SUMIFS(BD!$H$3:$H$5001,BD!$A$3:$A$5001,J$3,BD!$B$3:$B$5001,$A$164)))</f>
        <v/>
      </c>
      <c r="K169" s="194" t="str">
        <f>IF(K$3="","",IF(COUNTIFS(BD!$A$3:$A$5001,K$3,BD!$B$3:$B$5001,$A$164,BD!$H$3:$H$5001,"&lt;&gt;")=0,"",SUMIFS(BD!$H$3:$H$5001,BD!$A$3:$A$5001,K$3,BD!$B$3:$B$5001,$A$164)))</f>
        <v/>
      </c>
      <c r="L169" s="194" t="str">
        <f>IF(L$3="","",IF(COUNTIFS(BD!$A$3:$A$5001,L$3,BD!$B$3:$B$5001,$A$164,BD!$H$3:$H$5001,"&lt;&gt;")=0,"",SUMIFS(BD!$H$3:$H$5001,BD!$A$3:$A$5001,L$3,BD!$B$3:$B$5001,$A$164)))</f>
        <v/>
      </c>
      <c r="M169" s="194" t="str">
        <f>IF(M$3="","",IF(COUNTIFS(BD!$A$3:$A$5001,M$3,BD!$B$3:$B$5001,$A$164,BD!$H$3:$H$5001,"&lt;&gt;")=0,"",SUMIFS(BD!$H$3:$H$5001,BD!$A$3:$A$5001,M$3,BD!$B$3:$B$5001,$A$164)))</f>
        <v/>
      </c>
      <c r="N169" s="194" t="str">
        <f>IF(N$3="","",IF(COUNTIFS(BD!$A$3:$A$5001,N$3,BD!$B$3:$B$5001,$A$164,BD!$H$3:$H$5001,"&lt;&gt;")=0,"",SUMIFS(BD!$H$3:$H$5001,BD!$A$3:$A$5001,N$3,BD!$B$3:$B$5001,$A$164)))</f>
        <v/>
      </c>
      <c r="O169" s="194" t="str">
        <f>IF(O$3="","",IF(COUNTIFS(BD!$A$3:$A$5001,O$3,BD!$B$3:$B$5001,$A$164,BD!$H$3:$H$5001,"&lt;&gt;")=0,"",SUMIFS(BD!$H$3:$H$5001,BD!$A$3:$A$5001,O$3,BD!$B$3:$B$5001,$A$164)))</f>
        <v/>
      </c>
      <c r="P169" s="194" t="str">
        <f>IF(P$3="","",IF(COUNTIFS(BD!$A$3:$A$5001,P$3,BD!$B$3:$B$5001,$A$164,BD!$H$3:$H$5001,"&lt;&gt;")=0,"",SUMIFS(BD!$H$3:$H$5001,BD!$A$3:$A$5001,P$3,BD!$B$3:$B$5001,$A$164)))</f>
        <v/>
      </c>
      <c r="Q169" s="194" t="str">
        <f>IF(Q$3="","",IF(COUNTIFS(BD!$A$3:$A$5001,Q$3,BD!$B$3:$B$5001,$A$164,BD!$H$3:$H$5001,"&lt;&gt;")=0,"",SUMIFS(BD!$H$3:$H$5001,BD!$A$3:$A$5001,Q$3,BD!$B$3:$B$5001,$A$164)))</f>
        <v/>
      </c>
      <c r="R169" s="194" t="str">
        <f>IF(R$3="","",IF(COUNTIFS(BD!$A$3:$A$5001,R$3,BD!$B$3:$B$5001,$A$164,BD!$H$3:$H$5001,"&lt;&gt;")=0,"",SUMIFS(BD!$H$3:$H$5001,BD!$A$3:$A$5001,R$3,BD!$B$3:$B$5001,$A$164)))</f>
        <v/>
      </c>
      <c r="S169" s="194" t="str">
        <f>IF(S$3="","",IF(COUNTIFS(BD!$A$3:$A$5001,S$3,BD!$B$3:$B$5001,$A$164,BD!$H$3:$H$5001,"&lt;&gt;")=0,"",SUMIFS(BD!$H$3:$H$5001,BD!$A$3:$A$5001,S$3,BD!$B$3:$B$5001,$A$164)))</f>
        <v/>
      </c>
      <c r="T169" s="194" t="str">
        <f>IF(T$3="","",IF(COUNTIFS(BD!$A$3:$A$5001,T$3,BD!$B$3:$B$5001,$A$164,BD!$H$3:$H$5001,"&lt;&gt;")=0,"",SUMIFS(BD!$H$3:$H$5001,BD!$A$3:$A$5001,T$3,BD!$B$3:$B$5001,$A$164)))</f>
        <v/>
      </c>
      <c r="U169" s="194" t="str">
        <f>IF(U$3="","",IF(COUNTIFS(BD!$A$3:$A$5001,U$3,BD!$B$3:$B$5001,$A$164,BD!$H$3:$H$5001,"&lt;&gt;")=0,"",SUMIFS(BD!$H$3:$H$5001,BD!$A$3:$A$5001,U$3,BD!$B$3:$B$5001,$A$164)))</f>
        <v/>
      </c>
      <c r="V169" s="194" t="str">
        <f>IF(V$3="","",IF(COUNTIFS(BD!$A$3:$A$5001,V$3,BD!$B$3:$B$5001,$A$164,BD!$H$3:$H$5001,"&lt;&gt;")=0,"",SUMIFS(BD!$H$3:$H$5001,BD!$A$3:$A$5001,V$3,BD!$B$3:$B$5001,$A$164)))</f>
        <v/>
      </c>
      <c r="W169" s="194" t="str">
        <f>IF(W$3="","",IF(COUNTIFS(BD!$A$3:$A$5001,W$3,BD!$B$3:$B$5001,$A$164,BD!$H$3:$H$5001,"&lt;&gt;")=0,"",SUMIFS(BD!$H$3:$H$5001,BD!$A$3:$A$5001,W$3,BD!$B$3:$B$5001,$A$164)))</f>
        <v/>
      </c>
      <c r="X169" s="194" t="str">
        <f>IF(X$3="","",IF(COUNTIFS(BD!$A$3:$A$5001,X$3,BD!$B$3:$B$5001,$A$164,BD!$H$3:$H$5001,"&lt;&gt;")=0,"",SUMIFS(BD!$H$3:$H$5001,BD!$A$3:$A$5001,X$3,BD!$B$3:$B$5001,$A$164)))</f>
        <v/>
      </c>
      <c r="Y169" s="194" t="str">
        <f>IF(Y$3="","",IF(COUNTIFS(BD!$A$3:$A$5001,Y$3,BD!$B$3:$B$5001,$A$164,BD!$H$3:$H$5001,"&lt;&gt;")=0,"",SUMIFS(BD!$H$3:$H$5001,BD!$A$3:$A$5001,Y$3,BD!$B$3:$B$5001,$A$164)))</f>
        <v/>
      </c>
      <c r="Z169" s="194" t="str">
        <f>IF(Z$3="","",IF(COUNTIFS(BD!$A$3:$A$5001,Z$3,BD!$B$3:$B$5001,$A$164,BD!$H$3:$H$5001,"&lt;&gt;")=0,"",SUMIFS(BD!$H$3:$H$5001,BD!$A$3:$A$5001,Z$3,BD!$B$3:$B$5001,$A$164)))</f>
        <v/>
      </c>
      <c r="AA169" s="194" t="str">
        <f>IF(AA$3="","",IF(COUNTIFS(BD!$A$3:$A$5001,AA$3,BD!$B$3:$B$5001,$A$164,BD!$H$3:$H$5001,"&lt;&gt;")=0,"",SUMIFS(BD!$H$3:$H$5001,BD!$A$3:$A$5001,AA$3,BD!$B$3:$B$5001,$A$164)))</f>
        <v/>
      </c>
      <c r="AB169" s="194" t="str">
        <f>IF(AB$3="","",IF(COUNTIFS(BD!$A$3:$A$5001,AB$3,BD!$B$3:$B$5001,$A$164,BD!$H$3:$H$5001,"&lt;&gt;")=0,"",SUMIFS(BD!$H$3:$H$5001,BD!$A$3:$A$5001,AB$3,BD!$B$3:$B$5001,$A$164)))</f>
        <v/>
      </c>
      <c r="AC169" s="194" t="str">
        <f>IF(AC$3="","",IF(COUNTIFS(BD!$A$3:$A$5001,AC$3,BD!$B$3:$B$5001,$A$164,BD!$H$3:$H$5001,"&lt;&gt;")=0,"",SUMIFS(BD!$H$3:$H$5001,BD!$A$3:$A$5001,AC$3,BD!$B$3:$B$5001,$A$164)))</f>
        <v/>
      </c>
      <c r="AD169" s="194" t="str">
        <f>IF(AD$3="","",IF(COUNTIFS(BD!$A$3:$A$5001,AD$3,BD!$B$3:$B$5001,$A$164,BD!$H$3:$H$5001,"&lt;&gt;")=0,"",SUMIFS(BD!$H$3:$H$5001,BD!$A$3:$A$5001,AD$3,BD!$B$3:$B$5001,$A$164)))</f>
        <v/>
      </c>
      <c r="AE169" s="194" t="str">
        <f>IF(AE$3="","",IF(COUNTIFS(BD!$A$3:$A$5001,AE$3,BD!$B$3:$B$5001,$A$164,BD!$H$3:$H$5001,"&lt;&gt;")=0,"",SUMIFS(BD!$H$3:$H$5001,BD!$A$3:$A$5001,AE$3,BD!$B$3:$B$5001,$A$164)))</f>
        <v/>
      </c>
      <c r="AF169" s="194" t="str">
        <f>IF(AF$3="","",IF(COUNTIFS(BD!$A$3:$A$5001,AF$3,BD!$B$3:$B$5001,$A$164,BD!$H$3:$H$5001,"&lt;&gt;")=0,"",SUMIFS(BD!$H$3:$H$5001,BD!$A$3:$A$5001,AF$3,BD!$B$3:$B$5001,$A$164)))</f>
        <v/>
      </c>
      <c r="AG169" s="194" t="str">
        <f>IF(AG$3="","",IF(COUNTIFS(BD!$A$3:$A$5001,AG$3,BD!$B$3:$B$5001,$A$164,BD!$H$3:$H$5001,"&lt;&gt;")=0,"",SUMIFS(BD!$H$3:$H$5001,BD!$A$3:$A$5001,AG$3,BD!$B$3:$B$5001,$A$164)))</f>
        <v/>
      </c>
      <c r="AH169" s="194" t="str">
        <f>IF(AH$3="","",IF(COUNTIFS(BD!$A$3:$A$5001,AH$3,BD!$B$3:$B$5001,$A$164,BD!$H$3:$H$5001,"&lt;&gt;")=0,"",SUMIFS(BD!$H$3:$H$5001,BD!$A$3:$A$5001,AH$3,BD!$B$3:$B$5001,$A$164)))</f>
        <v/>
      </c>
      <c r="AI169" s="194" t="str">
        <f>IF(AI$3="","",IF(COUNTIFS(BD!$A$3:$A$5001,AI$3,BD!$B$3:$B$5001,$A$164,BD!$H$3:$H$5001,"&lt;&gt;")=0,"",SUMIFS(BD!$H$3:$H$5001,BD!$A$3:$A$5001,AI$3,BD!$B$3:$B$5001,$A$164)))</f>
        <v/>
      </c>
      <c r="AJ169" s="195" t="str">
        <f>IF(AJ$3="","",IF(COUNTIFS(BD!$A$3:$A$5001,AJ$3,BD!$B$3:$B$5001,$A$164,BD!$H$3:$H$5001,"&lt;&gt;")=0,"",SUMIFS(BD!$H$3:$H$5001,BD!$A$3:$A$5001,AJ$3,BD!$B$3:$B$5001,$A$164)))</f>
        <v/>
      </c>
      <c r="AK169" s="196" t="str">
        <f>IF(COUNT(F169:AJ169)=0,"",SUM(F169:AJ169))</f>
        <v/>
      </c>
    </row>
    <row r="170" ht="15.75" customHeight="1" hidden="1">
      <c r="A170" s="254"/>
      <c r="B170" s="247" t="inlineStr">
        <is>
          <t xml:space="preserve">NC</t>
        </is>
      </c>
      <c r="C170" s="197" t="inlineStr">
        <is>
          <t xml:space="preserve">Incidentes</t>
        </is>
      </c>
      <c r="D170" s="198" t="str">
        <f>IFERROR(1/(1/INDEX(BD!$Y$29:$AS$29,MATCH($A$164,BD!$Y$22:$AS$22,0))),"")</f>
        <v/>
      </c>
      <c r="E170" s="199"/>
      <c r="F170" s="200" t="str">
        <f>IF(F$3="","",IF(COUNTIFS(BD!$A$3:$A$5001,F$3,BD!$B$3:$B$5001,$A$164,BD!$I$3:$I$5001,"&lt;&gt;")=0,"",SUMIFS(BD!$I$3:$I$5001,BD!$A$3:$A$5001,F$3,BD!$B$3:$B$5001,$A$164)))</f>
        <v/>
      </c>
      <c r="G170" s="201" t="str">
        <f>IF(G$3="","",IF(COUNTIFS(BD!$A$3:$A$5001,G$3,BD!$B$3:$B$5001,$A$164,BD!$I$3:$I$5001,"&lt;&gt;")=0,"",SUMIFS(BD!$I$3:$I$5001,BD!$A$3:$A$5001,G$3,BD!$B$3:$B$5001,$A$164)))</f>
        <v/>
      </c>
      <c r="H170" s="201" t="str">
        <f>IF(H$3="","",IF(COUNTIFS(BD!$A$3:$A$5001,H$3,BD!$B$3:$B$5001,$A$164,BD!$I$3:$I$5001,"&lt;&gt;")=0,"",SUMIFS(BD!$I$3:$I$5001,BD!$A$3:$A$5001,H$3,BD!$B$3:$B$5001,$A$164)))</f>
        <v/>
      </c>
      <c r="I170" s="201" t="str">
        <f>IF(I$3="","",IF(COUNTIFS(BD!$A$3:$A$5001,I$3,BD!$B$3:$B$5001,$A$164,BD!$I$3:$I$5001,"&lt;&gt;")=0,"",SUMIFS(BD!$I$3:$I$5001,BD!$A$3:$A$5001,I$3,BD!$B$3:$B$5001,$A$164)))</f>
        <v/>
      </c>
      <c r="J170" s="201" t="str">
        <f>IF(J$3="","",IF(COUNTIFS(BD!$A$3:$A$5001,J$3,BD!$B$3:$B$5001,$A$164,BD!$I$3:$I$5001,"&lt;&gt;")=0,"",SUMIFS(BD!$I$3:$I$5001,BD!$A$3:$A$5001,J$3,BD!$B$3:$B$5001,$A$164)))</f>
        <v/>
      </c>
      <c r="K170" s="201" t="str">
        <f>IF(K$3="","",IF(COUNTIFS(BD!$A$3:$A$5001,K$3,BD!$B$3:$B$5001,$A$164,BD!$I$3:$I$5001,"&lt;&gt;")=0,"",SUMIFS(BD!$I$3:$I$5001,BD!$A$3:$A$5001,K$3,BD!$B$3:$B$5001,$A$164)))</f>
        <v/>
      </c>
      <c r="L170" s="201" t="str">
        <f>IF(L$3="","",IF(COUNTIFS(BD!$A$3:$A$5001,L$3,BD!$B$3:$B$5001,$A$164,BD!$I$3:$I$5001,"&lt;&gt;")=0,"",SUMIFS(BD!$I$3:$I$5001,BD!$A$3:$A$5001,L$3,BD!$B$3:$B$5001,$A$164)))</f>
        <v/>
      </c>
      <c r="M170" s="201" t="str">
        <f>IF(M$3="","",IF(COUNTIFS(BD!$A$3:$A$5001,M$3,BD!$B$3:$B$5001,$A$164,BD!$I$3:$I$5001,"&lt;&gt;")=0,"",SUMIFS(BD!$I$3:$I$5001,BD!$A$3:$A$5001,M$3,BD!$B$3:$B$5001,$A$164)))</f>
        <v/>
      </c>
      <c r="N170" s="201" t="str">
        <f>IF(N$3="","",IF(COUNTIFS(BD!$A$3:$A$5001,N$3,BD!$B$3:$B$5001,$A$164,BD!$I$3:$I$5001,"&lt;&gt;")=0,"",SUMIFS(BD!$I$3:$I$5001,BD!$A$3:$A$5001,N$3,BD!$B$3:$B$5001,$A$164)))</f>
        <v/>
      </c>
      <c r="O170" s="201" t="str">
        <f>IF(O$3="","",IF(COUNTIFS(BD!$A$3:$A$5001,O$3,BD!$B$3:$B$5001,$A$164,BD!$I$3:$I$5001,"&lt;&gt;")=0,"",SUMIFS(BD!$I$3:$I$5001,BD!$A$3:$A$5001,O$3,BD!$B$3:$B$5001,$A$164)))</f>
        <v/>
      </c>
      <c r="P170" s="201" t="str">
        <f>IF(P$3="","",IF(COUNTIFS(BD!$A$3:$A$5001,P$3,BD!$B$3:$B$5001,$A$164,BD!$I$3:$I$5001,"&lt;&gt;")=0,"",SUMIFS(BD!$I$3:$I$5001,BD!$A$3:$A$5001,P$3,BD!$B$3:$B$5001,$A$164)))</f>
        <v/>
      </c>
      <c r="Q170" s="201" t="str">
        <f>IF(Q$3="","",IF(COUNTIFS(BD!$A$3:$A$5001,Q$3,BD!$B$3:$B$5001,$A$164,BD!$I$3:$I$5001,"&lt;&gt;")=0,"",SUMIFS(BD!$I$3:$I$5001,BD!$A$3:$A$5001,Q$3,BD!$B$3:$B$5001,$A$164)))</f>
        <v/>
      </c>
      <c r="R170" s="201" t="str">
        <f>IF(R$3="","",IF(COUNTIFS(BD!$A$3:$A$5001,R$3,BD!$B$3:$B$5001,$A$164,BD!$I$3:$I$5001,"&lt;&gt;")=0,"",SUMIFS(BD!$I$3:$I$5001,BD!$A$3:$A$5001,R$3,BD!$B$3:$B$5001,$A$164)))</f>
        <v/>
      </c>
      <c r="S170" s="201" t="str">
        <f>IF(S$3="","",IF(COUNTIFS(BD!$A$3:$A$5001,S$3,BD!$B$3:$B$5001,$A$164,BD!$I$3:$I$5001,"&lt;&gt;")=0,"",SUMIFS(BD!$I$3:$I$5001,BD!$A$3:$A$5001,S$3,BD!$B$3:$B$5001,$A$164)))</f>
        <v/>
      </c>
      <c r="T170" s="201" t="str">
        <f>IF(T$3="","",IF(COUNTIFS(BD!$A$3:$A$5001,T$3,BD!$B$3:$B$5001,$A$164,BD!$I$3:$I$5001,"&lt;&gt;")=0,"",SUMIFS(BD!$I$3:$I$5001,BD!$A$3:$A$5001,T$3,BD!$B$3:$B$5001,$A$164)))</f>
        <v/>
      </c>
      <c r="U170" s="201" t="str">
        <f>IF(U$3="","",IF(COUNTIFS(BD!$A$3:$A$5001,U$3,BD!$B$3:$B$5001,$A$164,BD!$I$3:$I$5001,"&lt;&gt;")=0,"",SUMIFS(BD!$I$3:$I$5001,BD!$A$3:$A$5001,U$3,BD!$B$3:$B$5001,$A$164)))</f>
        <v/>
      </c>
      <c r="V170" s="201" t="str">
        <f>IF(V$3="","",IF(COUNTIFS(BD!$A$3:$A$5001,V$3,BD!$B$3:$B$5001,$A$164,BD!$I$3:$I$5001,"&lt;&gt;")=0,"",SUMIFS(BD!$I$3:$I$5001,BD!$A$3:$A$5001,V$3,BD!$B$3:$B$5001,$A$164)))</f>
        <v/>
      </c>
      <c r="W170" s="201" t="str">
        <f>IF(W$3="","",IF(COUNTIFS(BD!$A$3:$A$5001,W$3,BD!$B$3:$B$5001,$A$164,BD!$I$3:$I$5001,"&lt;&gt;")=0,"",SUMIFS(BD!$I$3:$I$5001,BD!$A$3:$A$5001,W$3,BD!$B$3:$B$5001,$A$164)))</f>
        <v/>
      </c>
      <c r="X170" s="201" t="str">
        <f>IF(X$3="","",IF(COUNTIFS(BD!$A$3:$A$5001,X$3,BD!$B$3:$B$5001,$A$164,BD!$I$3:$I$5001,"&lt;&gt;")=0,"",SUMIFS(BD!$I$3:$I$5001,BD!$A$3:$A$5001,X$3,BD!$B$3:$B$5001,$A$164)))</f>
        <v/>
      </c>
      <c r="Y170" s="201" t="str">
        <f>IF(Y$3="","",IF(COUNTIFS(BD!$A$3:$A$5001,Y$3,BD!$B$3:$B$5001,$A$164,BD!$I$3:$I$5001,"&lt;&gt;")=0,"",SUMIFS(BD!$I$3:$I$5001,BD!$A$3:$A$5001,Y$3,BD!$B$3:$B$5001,$A$164)))</f>
        <v/>
      </c>
      <c r="Z170" s="201" t="str">
        <f>IF(Z$3="","",IF(COUNTIFS(BD!$A$3:$A$5001,Z$3,BD!$B$3:$B$5001,$A$164,BD!$I$3:$I$5001,"&lt;&gt;")=0,"",SUMIFS(BD!$I$3:$I$5001,BD!$A$3:$A$5001,Z$3,BD!$B$3:$B$5001,$A$164)))</f>
        <v/>
      </c>
      <c r="AA170" s="201" t="str">
        <f>IF(AA$3="","",IF(COUNTIFS(BD!$A$3:$A$5001,AA$3,BD!$B$3:$B$5001,$A$164,BD!$I$3:$I$5001,"&lt;&gt;")=0,"",SUMIFS(BD!$I$3:$I$5001,BD!$A$3:$A$5001,AA$3,BD!$B$3:$B$5001,$A$164)))</f>
        <v/>
      </c>
      <c r="AB170" s="201" t="str">
        <f>IF(AB$3="","",IF(COUNTIFS(BD!$A$3:$A$5001,AB$3,BD!$B$3:$B$5001,$A$164,BD!$I$3:$I$5001,"&lt;&gt;")=0,"",SUMIFS(BD!$I$3:$I$5001,BD!$A$3:$A$5001,AB$3,BD!$B$3:$B$5001,$A$164)))</f>
        <v/>
      </c>
      <c r="AC170" s="201" t="str">
        <f>IF(AC$3="","",IF(COUNTIFS(BD!$A$3:$A$5001,AC$3,BD!$B$3:$B$5001,$A$164,BD!$I$3:$I$5001,"&lt;&gt;")=0,"",SUMIFS(BD!$I$3:$I$5001,BD!$A$3:$A$5001,AC$3,BD!$B$3:$B$5001,$A$164)))</f>
        <v/>
      </c>
      <c r="AD170" s="201" t="str">
        <f>IF(AD$3="","",IF(COUNTIFS(BD!$A$3:$A$5001,AD$3,BD!$B$3:$B$5001,$A$164,BD!$I$3:$I$5001,"&lt;&gt;")=0,"",SUMIFS(BD!$I$3:$I$5001,BD!$A$3:$A$5001,AD$3,BD!$B$3:$B$5001,$A$164)))</f>
        <v/>
      </c>
      <c r="AE170" s="201" t="str">
        <f>IF(AE$3="","",IF(COUNTIFS(BD!$A$3:$A$5001,AE$3,BD!$B$3:$B$5001,$A$164,BD!$I$3:$I$5001,"&lt;&gt;")=0,"",SUMIFS(BD!$I$3:$I$5001,BD!$A$3:$A$5001,AE$3,BD!$B$3:$B$5001,$A$164)))</f>
        <v/>
      </c>
      <c r="AF170" s="201" t="str">
        <f>IF(AF$3="","",IF(COUNTIFS(BD!$A$3:$A$5001,AF$3,BD!$B$3:$B$5001,$A$164,BD!$I$3:$I$5001,"&lt;&gt;")=0,"",SUMIFS(BD!$I$3:$I$5001,BD!$A$3:$A$5001,AF$3,BD!$B$3:$B$5001,$A$164)))</f>
        <v/>
      </c>
      <c r="AG170" s="201" t="str">
        <f>IF(AG$3="","",IF(COUNTIFS(BD!$A$3:$A$5001,AG$3,BD!$B$3:$B$5001,$A$164,BD!$I$3:$I$5001,"&lt;&gt;")=0,"",SUMIFS(BD!$I$3:$I$5001,BD!$A$3:$A$5001,AG$3,BD!$B$3:$B$5001,$A$164)))</f>
        <v/>
      </c>
      <c r="AH170" s="201" t="str">
        <f>IF(AH$3="","",IF(COUNTIFS(BD!$A$3:$A$5001,AH$3,BD!$B$3:$B$5001,$A$164,BD!$I$3:$I$5001,"&lt;&gt;")=0,"",SUMIFS(BD!$I$3:$I$5001,BD!$A$3:$A$5001,AH$3,BD!$B$3:$B$5001,$A$164)))</f>
        <v/>
      </c>
      <c r="AI170" s="201" t="str">
        <f>IF(AI$3="","",IF(COUNTIFS(BD!$A$3:$A$5001,AI$3,BD!$B$3:$B$5001,$A$164,BD!$I$3:$I$5001,"&lt;&gt;")=0,"",SUMIFS(BD!$I$3:$I$5001,BD!$A$3:$A$5001,AI$3,BD!$B$3:$B$5001,$A$164)))</f>
        <v/>
      </c>
      <c r="AJ170" s="202" t="str">
        <f>IF(AJ$3="","",IF(COUNTIFS(BD!$A$3:$A$5001,AJ$3,BD!$B$3:$B$5001,$A$164,BD!$I$3:$I$5001,"&lt;&gt;")=0,"",SUMIFS(BD!$I$3:$I$5001,BD!$A$3:$A$5001,AJ$3,BD!$B$3:$B$5001,$A$164)))</f>
        <v/>
      </c>
      <c r="AK170" s="203" t="str">
        <f>IF(COUNT(F170:AJ170)=0,"",SUM(F170:AJ170))</f>
        <v/>
      </c>
    </row>
    <row r="171" ht="15.75" customHeight="1" hidden="1">
      <c r="A171" s="254"/>
      <c r="B171" s="248"/>
      <c r="C171" s="204" t="inlineStr">
        <is>
          <t xml:space="preserve">No show</t>
        </is>
      </c>
      <c r="D171" s="205" t="str">
        <f>IFERROR(1/(1/INDEX(BD!$Y$30:$AS$30,MATCH($A$164,BD!$Y$22:$AS$22,0))),"")</f>
        <v/>
      </c>
      <c r="E171" s="206"/>
      <c r="F171" s="207" t="str">
        <f>IF(F$3="","",IF(COUNTIFS(BD!$A$3:$A$5001,F$3,BD!$B$3:$B$5001,$A$164,BD!$J$3:$J$5001,"&lt;&gt;")=0,"",SUMIFS(BD!$J$3:$J$5001,BD!$A$3:$A$5001,F$3,BD!$B$3:$B$5001,$A$164)))</f>
        <v/>
      </c>
      <c r="G171" s="208" t="str">
        <f>IF(G$3="","",IF(COUNTIFS(BD!$A$3:$A$5001,G$3,BD!$B$3:$B$5001,$A$164,BD!$J$3:$J$5001,"&lt;&gt;")=0,"",SUMIFS(BD!$J$3:$J$5001,BD!$A$3:$A$5001,G$3,BD!$B$3:$B$5001,$A$164)))</f>
        <v/>
      </c>
      <c r="H171" s="208" t="str">
        <f>IF(H$3="","",IF(COUNTIFS(BD!$A$3:$A$5001,H$3,BD!$B$3:$B$5001,$A$164,BD!$J$3:$J$5001,"&lt;&gt;")=0,"",SUMIFS(BD!$J$3:$J$5001,BD!$A$3:$A$5001,H$3,BD!$B$3:$B$5001,$A$164)))</f>
        <v/>
      </c>
      <c r="I171" s="208" t="str">
        <f>IF(I$3="","",IF(COUNTIFS(BD!$A$3:$A$5001,I$3,BD!$B$3:$B$5001,$A$164,BD!$J$3:$J$5001,"&lt;&gt;")=0,"",SUMIFS(BD!$J$3:$J$5001,BD!$A$3:$A$5001,I$3,BD!$B$3:$B$5001,$A$164)))</f>
        <v/>
      </c>
      <c r="J171" s="208" t="str">
        <f>IF(J$3="","",IF(COUNTIFS(BD!$A$3:$A$5001,J$3,BD!$B$3:$B$5001,$A$164,BD!$J$3:$J$5001,"&lt;&gt;")=0,"",SUMIFS(BD!$J$3:$J$5001,BD!$A$3:$A$5001,J$3,BD!$B$3:$B$5001,$A$164)))</f>
        <v/>
      </c>
      <c r="K171" s="208" t="str">
        <f>IF(K$3="","",IF(COUNTIFS(BD!$A$3:$A$5001,K$3,BD!$B$3:$B$5001,$A$164,BD!$J$3:$J$5001,"&lt;&gt;")=0,"",SUMIFS(BD!$J$3:$J$5001,BD!$A$3:$A$5001,K$3,BD!$B$3:$B$5001,$A$164)))</f>
        <v/>
      </c>
      <c r="L171" s="208" t="str">
        <f>IF(L$3="","",IF(COUNTIFS(BD!$A$3:$A$5001,L$3,BD!$B$3:$B$5001,$A$164,BD!$J$3:$J$5001,"&lt;&gt;")=0,"",SUMIFS(BD!$J$3:$J$5001,BD!$A$3:$A$5001,L$3,BD!$B$3:$B$5001,$A$164)))</f>
        <v/>
      </c>
      <c r="M171" s="208" t="str">
        <f>IF(M$3="","",IF(COUNTIFS(BD!$A$3:$A$5001,M$3,BD!$B$3:$B$5001,$A$164,BD!$J$3:$J$5001,"&lt;&gt;")=0,"",SUMIFS(BD!$J$3:$J$5001,BD!$A$3:$A$5001,M$3,BD!$B$3:$B$5001,$A$164)))</f>
        <v/>
      </c>
      <c r="N171" s="208" t="str">
        <f>IF(N$3="","",IF(COUNTIFS(BD!$A$3:$A$5001,N$3,BD!$B$3:$B$5001,$A$164,BD!$J$3:$J$5001,"&lt;&gt;")=0,"",SUMIFS(BD!$J$3:$J$5001,BD!$A$3:$A$5001,N$3,BD!$B$3:$B$5001,$A$164)))</f>
        <v/>
      </c>
      <c r="O171" s="208" t="str">
        <f>IF(O$3="","",IF(COUNTIFS(BD!$A$3:$A$5001,O$3,BD!$B$3:$B$5001,$A$164,BD!$J$3:$J$5001,"&lt;&gt;")=0,"",SUMIFS(BD!$J$3:$J$5001,BD!$A$3:$A$5001,O$3,BD!$B$3:$B$5001,$A$164)))</f>
        <v/>
      </c>
      <c r="P171" s="208" t="str">
        <f>IF(P$3="","",IF(COUNTIFS(BD!$A$3:$A$5001,P$3,BD!$B$3:$B$5001,$A$164,BD!$J$3:$J$5001,"&lt;&gt;")=0,"",SUMIFS(BD!$J$3:$J$5001,BD!$A$3:$A$5001,P$3,BD!$B$3:$B$5001,$A$164)))</f>
        <v/>
      </c>
      <c r="Q171" s="208" t="str">
        <f>IF(Q$3="","",IF(COUNTIFS(BD!$A$3:$A$5001,Q$3,BD!$B$3:$B$5001,$A$164,BD!$J$3:$J$5001,"&lt;&gt;")=0,"",SUMIFS(BD!$J$3:$J$5001,BD!$A$3:$A$5001,Q$3,BD!$B$3:$B$5001,$A$164)))</f>
        <v/>
      </c>
      <c r="R171" s="208" t="str">
        <f>IF(R$3="","",IF(COUNTIFS(BD!$A$3:$A$5001,R$3,BD!$B$3:$B$5001,$A$164,BD!$J$3:$J$5001,"&lt;&gt;")=0,"",SUMIFS(BD!$J$3:$J$5001,BD!$A$3:$A$5001,R$3,BD!$B$3:$B$5001,$A$164)))</f>
        <v/>
      </c>
      <c r="S171" s="208" t="str">
        <f>IF(S$3="","",IF(COUNTIFS(BD!$A$3:$A$5001,S$3,BD!$B$3:$B$5001,$A$164,BD!$J$3:$J$5001,"&lt;&gt;")=0,"",SUMIFS(BD!$J$3:$J$5001,BD!$A$3:$A$5001,S$3,BD!$B$3:$B$5001,$A$164)))</f>
        <v/>
      </c>
      <c r="T171" s="208" t="str">
        <f>IF(T$3="","",IF(COUNTIFS(BD!$A$3:$A$5001,T$3,BD!$B$3:$B$5001,$A$164,BD!$J$3:$J$5001,"&lt;&gt;")=0,"",SUMIFS(BD!$J$3:$J$5001,BD!$A$3:$A$5001,T$3,BD!$B$3:$B$5001,$A$164)))</f>
        <v/>
      </c>
      <c r="U171" s="208" t="str">
        <f>IF(U$3="","",IF(COUNTIFS(BD!$A$3:$A$5001,U$3,BD!$B$3:$B$5001,$A$164,BD!$J$3:$J$5001,"&lt;&gt;")=0,"",SUMIFS(BD!$J$3:$J$5001,BD!$A$3:$A$5001,U$3,BD!$B$3:$B$5001,$A$164)))</f>
        <v/>
      </c>
      <c r="V171" s="208" t="str">
        <f>IF(V$3="","",IF(COUNTIFS(BD!$A$3:$A$5001,V$3,BD!$B$3:$B$5001,$A$164,BD!$J$3:$J$5001,"&lt;&gt;")=0,"",SUMIFS(BD!$J$3:$J$5001,BD!$A$3:$A$5001,V$3,BD!$B$3:$B$5001,$A$164)))</f>
        <v/>
      </c>
      <c r="W171" s="208" t="str">
        <f>IF(W$3="","",IF(COUNTIFS(BD!$A$3:$A$5001,W$3,BD!$B$3:$B$5001,$A$164,BD!$J$3:$J$5001,"&lt;&gt;")=0,"",SUMIFS(BD!$J$3:$J$5001,BD!$A$3:$A$5001,W$3,BD!$B$3:$B$5001,$A$164)))</f>
        <v/>
      </c>
      <c r="X171" s="208" t="str">
        <f>IF(X$3="","",IF(COUNTIFS(BD!$A$3:$A$5001,X$3,BD!$B$3:$B$5001,$A$164,BD!$J$3:$J$5001,"&lt;&gt;")=0,"",SUMIFS(BD!$J$3:$J$5001,BD!$A$3:$A$5001,X$3,BD!$B$3:$B$5001,$A$164)))</f>
        <v/>
      </c>
      <c r="Y171" s="208" t="str">
        <f>IF(Y$3="","",IF(COUNTIFS(BD!$A$3:$A$5001,Y$3,BD!$B$3:$B$5001,$A$164,BD!$J$3:$J$5001,"&lt;&gt;")=0,"",SUMIFS(BD!$J$3:$J$5001,BD!$A$3:$A$5001,Y$3,BD!$B$3:$B$5001,$A$164)))</f>
        <v/>
      </c>
      <c r="Z171" s="208" t="str">
        <f>IF(Z$3="","",IF(COUNTIFS(BD!$A$3:$A$5001,Z$3,BD!$B$3:$B$5001,$A$164,BD!$J$3:$J$5001,"&lt;&gt;")=0,"",SUMIFS(BD!$J$3:$J$5001,BD!$A$3:$A$5001,Z$3,BD!$B$3:$B$5001,$A$164)))</f>
        <v/>
      </c>
      <c r="AA171" s="208" t="str">
        <f>IF(AA$3="","",IF(COUNTIFS(BD!$A$3:$A$5001,AA$3,BD!$B$3:$B$5001,$A$164,BD!$J$3:$J$5001,"&lt;&gt;")=0,"",SUMIFS(BD!$J$3:$J$5001,BD!$A$3:$A$5001,AA$3,BD!$B$3:$B$5001,$A$164)))</f>
        <v/>
      </c>
      <c r="AB171" s="208" t="str">
        <f>IF(AB$3="","",IF(COUNTIFS(BD!$A$3:$A$5001,AB$3,BD!$B$3:$B$5001,$A$164,BD!$J$3:$J$5001,"&lt;&gt;")=0,"",SUMIFS(BD!$J$3:$J$5001,BD!$A$3:$A$5001,AB$3,BD!$B$3:$B$5001,$A$164)))</f>
        <v/>
      </c>
      <c r="AC171" s="208" t="str">
        <f>IF(AC$3="","",IF(COUNTIFS(BD!$A$3:$A$5001,AC$3,BD!$B$3:$B$5001,$A$164,BD!$J$3:$J$5001,"&lt;&gt;")=0,"",SUMIFS(BD!$J$3:$J$5001,BD!$A$3:$A$5001,AC$3,BD!$B$3:$B$5001,$A$164)))</f>
        <v/>
      </c>
      <c r="AD171" s="208" t="str">
        <f>IF(AD$3="","",IF(COUNTIFS(BD!$A$3:$A$5001,AD$3,BD!$B$3:$B$5001,$A$164,BD!$J$3:$J$5001,"&lt;&gt;")=0,"",SUMIFS(BD!$J$3:$J$5001,BD!$A$3:$A$5001,AD$3,BD!$B$3:$B$5001,$A$164)))</f>
        <v/>
      </c>
      <c r="AE171" s="208" t="str">
        <f>IF(AE$3="","",IF(COUNTIFS(BD!$A$3:$A$5001,AE$3,BD!$B$3:$B$5001,$A$164,BD!$J$3:$J$5001,"&lt;&gt;")=0,"",SUMIFS(BD!$J$3:$J$5001,BD!$A$3:$A$5001,AE$3,BD!$B$3:$B$5001,$A$164)))</f>
        <v/>
      </c>
      <c r="AF171" s="208" t="str">
        <f>IF(AF$3="","",IF(COUNTIFS(BD!$A$3:$A$5001,AF$3,BD!$B$3:$B$5001,$A$164,BD!$J$3:$J$5001,"&lt;&gt;")=0,"",SUMIFS(BD!$J$3:$J$5001,BD!$A$3:$A$5001,AF$3,BD!$B$3:$B$5001,$A$164)))</f>
        <v/>
      </c>
      <c r="AG171" s="208" t="str">
        <f>IF(AG$3="","",IF(COUNTIFS(BD!$A$3:$A$5001,AG$3,BD!$B$3:$B$5001,$A$164,BD!$J$3:$J$5001,"&lt;&gt;")=0,"",SUMIFS(BD!$J$3:$J$5001,BD!$A$3:$A$5001,AG$3,BD!$B$3:$B$5001,$A$164)))</f>
        <v/>
      </c>
      <c r="AH171" s="208" t="str">
        <f>IF(AH$3="","",IF(COUNTIFS(BD!$A$3:$A$5001,AH$3,BD!$B$3:$B$5001,$A$164,BD!$J$3:$J$5001,"&lt;&gt;")=0,"",SUMIFS(BD!$J$3:$J$5001,BD!$A$3:$A$5001,AH$3,BD!$B$3:$B$5001,$A$164)))</f>
        <v/>
      </c>
      <c r="AI171" s="208" t="str">
        <f>IF(AI$3="","",IF(COUNTIFS(BD!$A$3:$A$5001,AI$3,BD!$B$3:$B$5001,$A$164,BD!$J$3:$J$5001,"&lt;&gt;")=0,"",SUMIFS(BD!$J$3:$J$5001,BD!$A$3:$A$5001,AI$3,BD!$B$3:$B$5001,$A$164)))</f>
        <v/>
      </c>
      <c r="AJ171" s="209" t="str">
        <f>IF(AJ$3="","",IF(COUNTIFS(BD!$A$3:$A$5001,AJ$3,BD!$B$3:$B$5001,$A$164,BD!$J$3:$J$5001,"&lt;&gt;")=0,"",SUMIFS(BD!$J$3:$J$5001,BD!$A$3:$A$5001,AJ$3,BD!$B$3:$B$5001,$A$164)))</f>
        <v/>
      </c>
      <c r="AK171" s="210" t="str">
        <f>IF(COUNT(F171:AJ171)=0,"",SUM(F171:AJ171))</f>
        <v/>
      </c>
    </row>
    <row r="172" ht="15.75" customHeight="1" hidden="1">
      <c r="A172" s="254"/>
      <c r="B172" s="249"/>
      <c r="C172" s="211" t="inlineStr">
        <is>
          <t xml:space="preserve">Backlog</t>
        </is>
      </c>
      <c r="D172" s="212" t="str">
        <f>IFERROR(1/(1/INDEX(BD!$Y$31:$AS$31,MATCH($A$164,BD!$Y$22:$AS$22,0))),"")</f>
        <v/>
      </c>
      <c r="E172" s="213"/>
      <c r="F172" s="214" t="str">
        <f>IF(F$3="","",IF(COUNTIFS(BD!$A$3:$A$5001,F$3,BD!$B$3:$B$5001,$A$164,BD!$K$3:$K$5001,"&lt;&gt;")=0,"",SUMIFS(BD!$K$3:$K$5001,BD!$A$3:$A$5001,F$3,BD!$B$3:$B$5001,$A$164)))</f>
        <v/>
      </c>
      <c r="G172" s="215" t="str">
        <f>IF(G$3="","",IF(COUNTIFS(BD!$A$3:$A$5001,G$3,BD!$B$3:$B$5001,$A$164,BD!$K$3:$K$5001,"&lt;&gt;")=0,"",SUMIFS(BD!$K$3:$K$5001,BD!$A$3:$A$5001,G$3,BD!$B$3:$B$5001,$A$164)))</f>
        <v/>
      </c>
      <c r="H172" s="215" t="str">
        <f>IF(H$3="","",IF(COUNTIFS(BD!$A$3:$A$5001,H$3,BD!$B$3:$B$5001,$A$164,BD!$K$3:$K$5001,"&lt;&gt;")=0,"",SUMIFS(BD!$K$3:$K$5001,BD!$A$3:$A$5001,H$3,BD!$B$3:$B$5001,$A$164)))</f>
        <v/>
      </c>
      <c r="I172" s="215" t="str">
        <f>IF(I$3="","",IF(COUNTIFS(BD!$A$3:$A$5001,I$3,BD!$B$3:$B$5001,$A$164,BD!$K$3:$K$5001,"&lt;&gt;")=0,"",SUMIFS(BD!$K$3:$K$5001,BD!$A$3:$A$5001,I$3,BD!$B$3:$B$5001,$A$164)))</f>
        <v/>
      </c>
      <c r="J172" s="215" t="str">
        <f>IF(J$3="","",IF(COUNTIFS(BD!$A$3:$A$5001,J$3,BD!$B$3:$B$5001,$A$164,BD!$K$3:$K$5001,"&lt;&gt;")=0,"",SUMIFS(BD!$K$3:$K$5001,BD!$A$3:$A$5001,J$3,BD!$B$3:$B$5001,$A$164)))</f>
        <v/>
      </c>
      <c r="K172" s="215" t="str">
        <f>IF(K$3="","",IF(COUNTIFS(BD!$A$3:$A$5001,K$3,BD!$B$3:$B$5001,$A$164,BD!$K$3:$K$5001,"&lt;&gt;")=0,"",SUMIFS(BD!$K$3:$K$5001,BD!$A$3:$A$5001,K$3,BD!$B$3:$B$5001,$A$164)))</f>
        <v/>
      </c>
      <c r="L172" s="215" t="str">
        <f>IF(L$3="","",IF(COUNTIFS(BD!$A$3:$A$5001,L$3,BD!$B$3:$B$5001,$A$164,BD!$K$3:$K$5001,"&lt;&gt;")=0,"",SUMIFS(BD!$K$3:$K$5001,BD!$A$3:$A$5001,L$3,BD!$B$3:$B$5001,$A$164)))</f>
        <v/>
      </c>
      <c r="M172" s="215" t="str">
        <f>IF(M$3="","",IF(COUNTIFS(BD!$A$3:$A$5001,M$3,BD!$B$3:$B$5001,$A$164,BD!$K$3:$K$5001,"&lt;&gt;")=0,"",SUMIFS(BD!$K$3:$K$5001,BD!$A$3:$A$5001,M$3,BD!$B$3:$B$5001,$A$164)))</f>
        <v/>
      </c>
      <c r="N172" s="215" t="str">
        <f>IF(N$3="","",IF(COUNTIFS(BD!$A$3:$A$5001,N$3,BD!$B$3:$B$5001,$A$164,BD!$K$3:$K$5001,"&lt;&gt;")=0,"",SUMIFS(BD!$K$3:$K$5001,BD!$A$3:$A$5001,N$3,BD!$B$3:$B$5001,$A$164)))</f>
        <v/>
      </c>
      <c r="O172" s="215" t="str">
        <f>IF(O$3="","",IF(COUNTIFS(BD!$A$3:$A$5001,O$3,BD!$B$3:$B$5001,$A$164,BD!$K$3:$K$5001,"&lt;&gt;")=0,"",SUMIFS(BD!$K$3:$K$5001,BD!$A$3:$A$5001,O$3,BD!$B$3:$B$5001,$A$164)))</f>
        <v/>
      </c>
      <c r="P172" s="215" t="str">
        <f>IF(P$3="","",IF(COUNTIFS(BD!$A$3:$A$5001,P$3,BD!$B$3:$B$5001,$A$164,BD!$K$3:$K$5001,"&lt;&gt;")=0,"",SUMIFS(BD!$K$3:$K$5001,BD!$A$3:$A$5001,P$3,BD!$B$3:$B$5001,$A$164)))</f>
        <v/>
      </c>
      <c r="Q172" s="215" t="str">
        <f>IF(Q$3="","",IF(COUNTIFS(BD!$A$3:$A$5001,Q$3,BD!$B$3:$B$5001,$A$164,BD!$K$3:$K$5001,"&lt;&gt;")=0,"",SUMIFS(BD!$K$3:$K$5001,BD!$A$3:$A$5001,Q$3,BD!$B$3:$B$5001,$A$164)))</f>
        <v/>
      </c>
      <c r="R172" s="215" t="str">
        <f>IF(R$3="","",IF(COUNTIFS(BD!$A$3:$A$5001,R$3,BD!$B$3:$B$5001,$A$164,BD!$K$3:$K$5001,"&lt;&gt;")=0,"",SUMIFS(BD!$K$3:$K$5001,BD!$A$3:$A$5001,R$3,BD!$B$3:$B$5001,$A$164)))</f>
        <v/>
      </c>
      <c r="S172" s="215" t="str">
        <f>IF(S$3="","",IF(COUNTIFS(BD!$A$3:$A$5001,S$3,BD!$B$3:$B$5001,$A$164,BD!$K$3:$K$5001,"&lt;&gt;")=0,"",SUMIFS(BD!$K$3:$K$5001,BD!$A$3:$A$5001,S$3,BD!$B$3:$B$5001,$A$164)))</f>
        <v/>
      </c>
      <c r="T172" s="215" t="str">
        <f>IF(T$3="","",IF(COUNTIFS(BD!$A$3:$A$5001,T$3,BD!$B$3:$B$5001,$A$164,BD!$K$3:$K$5001,"&lt;&gt;")=0,"",SUMIFS(BD!$K$3:$K$5001,BD!$A$3:$A$5001,T$3,BD!$B$3:$B$5001,$A$164)))</f>
        <v/>
      </c>
      <c r="U172" s="215" t="str">
        <f>IF(U$3="","",IF(COUNTIFS(BD!$A$3:$A$5001,U$3,BD!$B$3:$B$5001,$A$164,BD!$K$3:$K$5001,"&lt;&gt;")=0,"",SUMIFS(BD!$K$3:$K$5001,BD!$A$3:$A$5001,U$3,BD!$B$3:$B$5001,$A$164)))</f>
        <v/>
      </c>
      <c r="V172" s="215" t="str">
        <f>IF(V$3="","",IF(COUNTIFS(BD!$A$3:$A$5001,V$3,BD!$B$3:$B$5001,$A$164,BD!$K$3:$K$5001,"&lt;&gt;")=0,"",SUMIFS(BD!$K$3:$K$5001,BD!$A$3:$A$5001,V$3,BD!$B$3:$B$5001,$A$164)))</f>
        <v/>
      </c>
      <c r="W172" s="215" t="str">
        <f>IF(W$3="","",IF(COUNTIFS(BD!$A$3:$A$5001,W$3,BD!$B$3:$B$5001,$A$164,BD!$K$3:$K$5001,"&lt;&gt;")=0,"",SUMIFS(BD!$K$3:$K$5001,BD!$A$3:$A$5001,W$3,BD!$B$3:$B$5001,$A$164)))</f>
        <v/>
      </c>
      <c r="X172" s="215" t="str">
        <f>IF(X$3="","",IF(COUNTIFS(BD!$A$3:$A$5001,X$3,BD!$B$3:$B$5001,$A$164,BD!$K$3:$K$5001,"&lt;&gt;")=0,"",SUMIFS(BD!$K$3:$K$5001,BD!$A$3:$A$5001,X$3,BD!$B$3:$B$5001,$A$164)))</f>
        <v/>
      </c>
      <c r="Y172" s="215" t="str">
        <f>IF(Y$3="","",IF(COUNTIFS(BD!$A$3:$A$5001,Y$3,BD!$B$3:$B$5001,$A$164,BD!$K$3:$K$5001,"&lt;&gt;")=0,"",SUMIFS(BD!$K$3:$K$5001,BD!$A$3:$A$5001,Y$3,BD!$B$3:$B$5001,$A$164)))</f>
        <v/>
      </c>
      <c r="Z172" s="215" t="str">
        <f>IF(Z$3="","",IF(COUNTIFS(BD!$A$3:$A$5001,Z$3,BD!$B$3:$B$5001,$A$164,BD!$K$3:$K$5001,"&lt;&gt;")=0,"",SUMIFS(BD!$K$3:$K$5001,BD!$A$3:$A$5001,Z$3,BD!$B$3:$B$5001,$A$164)))</f>
        <v/>
      </c>
      <c r="AA172" s="215" t="str">
        <f>IF(AA$3="","",IF(COUNTIFS(BD!$A$3:$A$5001,AA$3,BD!$B$3:$B$5001,$A$164,BD!$K$3:$K$5001,"&lt;&gt;")=0,"",SUMIFS(BD!$K$3:$K$5001,BD!$A$3:$A$5001,AA$3,BD!$B$3:$B$5001,$A$164)))</f>
        <v/>
      </c>
      <c r="AB172" s="215" t="str">
        <f>IF(AB$3="","",IF(COUNTIFS(BD!$A$3:$A$5001,AB$3,BD!$B$3:$B$5001,$A$164,BD!$K$3:$K$5001,"&lt;&gt;")=0,"",SUMIFS(BD!$K$3:$K$5001,BD!$A$3:$A$5001,AB$3,BD!$B$3:$B$5001,$A$164)))</f>
        <v/>
      </c>
      <c r="AC172" s="215" t="str">
        <f>IF(AC$3="","",IF(COUNTIFS(BD!$A$3:$A$5001,AC$3,BD!$B$3:$B$5001,$A$164,BD!$K$3:$K$5001,"&lt;&gt;")=0,"",SUMIFS(BD!$K$3:$K$5001,BD!$A$3:$A$5001,AC$3,BD!$B$3:$B$5001,$A$164)))</f>
        <v/>
      </c>
      <c r="AD172" s="215" t="str">
        <f>IF(AD$3="","",IF(COUNTIFS(BD!$A$3:$A$5001,AD$3,BD!$B$3:$B$5001,$A$164,BD!$K$3:$K$5001,"&lt;&gt;")=0,"",SUMIFS(BD!$K$3:$K$5001,BD!$A$3:$A$5001,AD$3,BD!$B$3:$B$5001,$A$164)))</f>
        <v/>
      </c>
      <c r="AE172" s="215" t="str">
        <f>IF(AE$3="","",IF(COUNTIFS(BD!$A$3:$A$5001,AE$3,BD!$B$3:$B$5001,$A$164,BD!$K$3:$K$5001,"&lt;&gt;")=0,"",SUMIFS(BD!$K$3:$K$5001,BD!$A$3:$A$5001,AE$3,BD!$B$3:$B$5001,$A$164)))</f>
        <v/>
      </c>
      <c r="AF172" s="215" t="str">
        <f>IF(AF$3="","",IF(COUNTIFS(BD!$A$3:$A$5001,AF$3,BD!$B$3:$B$5001,$A$164,BD!$K$3:$K$5001,"&lt;&gt;")=0,"",SUMIFS(BD!$K$3:$K$5001,BD!$A$3:$A$5001,AF$3,BD!$B$3:$B$5001,$A$164)))</f>
        <v/>
      </c>
      <c r="AG172" s="215" t="str">
        <f>IF(AG$3="","",IF(COUNTIFS(BD!$A$3:$A$5001,AG$3,BD!$B$3:$B$5001,$A$164,BD!$K$3:$K$5001,"&lt;&gt;")=0,"",SUMIFS(BD!$K$3:$K$5001,BD!$A$3:$A$5001,AG$3,BD!$B$3:$B$5001,$A$164)))</f>
        <v/>
      </c>
      <c r="AH172" s="215" t="str">
        <f>IF(AH$3="","",IF(COUNTIFS(BD!$A$3:$A$5001,AH$3,BD!$B$3:$B$5001,$A$164,BD!$K$3:$K$5001,"&lt;&gt;")=0,"",SUMIFS(BD!$K$3:$K$5001,BD!$A$3:$A$5001,AH$3,BD!$B$3:$B$5001,$A$164)))</f>
        <v/>
      </c>
      <c r="AI172" s="215" t="str">
        <f>IF(AI$3="","",IF(COUNTIFS(BD!$A$3:$A$5001,AI$3,BD!$B$3:$B$5001,$A$164,BD!$K$3:$K$5001,"&lt;&gt;")=0,"",SUMIFS(BD!$K$3:$K$5001,BD!$A$3:$A$5001,AI$3,BD!$B$3:$B$5001,$A$164)))</f>
        <v/>
      </c>
      <c r="AJ172" s="216" t="str">
        <f>IF(AJ$3="","",IF(COUNTIFS(BD!$A$3:$A$5001,AJ$3,BD!$B$3:$B$5001,$A$164,BD!$K$3:$K$5001,"&lt;&gt;")=0,"",SUMIFS(BD!$K$3:$K$5001,BD!$A$3:$A$5001,AJ$3,BD!$B$3:$B$5001,$A$164)))</f>
        <v/>
      </c>
      <c r="AK172" s="212" t="str">
        <f>IFERROR(LOOKUP(9.99E+307,F172:AJ172),"")</f>
        <v/>
      </c>
    </row>
    <row r="173" ht="15.75" customHeight="1" hidden="1">
      <c r="A173" s="254"/>
      <c r="B173" s="241" t="inlineStr">
        <is>
          <t xml:space="preserve">OCUPAÇÃO (P.P)</t>
        </is>
      </c>
      <c r="C173" s="155" t="inlineStr">
        <is>
          <t xml:space="preserve">Posições Disponíveis</t>
        </is>
      </c>
      <c r="D173" s="156" t="str">
        <f>IFERROR(1/(1/INDEX(BD!$Y$32:$AS$32,MATCH($A$164,BD!$Y$22:$AS$22,0))),"")</f>
        <v/>
      </c>
      <c r="E173" s="157"/>
      <c r="F173" s="158" t="str">
        <f>IF(F$3="","",IF(COUNTIFS(BD!$A$3:$A$5001,F$3,BD!$B$3:$B$5001,$A$164,BD!$L$3:$L$5001,"&lt;&gt;")=0,"",SUMIFS(BD!$L$3:$L$5001,BD!$A$3:$A$5001,F$3,BD!$B$3:$B$5001,$A$164)))</f>
        <v/>
      </c>
      <c r="G173" s="159" t="str">
        <f>IF(G$3="","",IF(COUNTIFS(BD!$A$3:$A$5001,G$3,BD!$B$3:$B$5001,$A$164,BD!$L$3:$L$5001,"&lt;&gt;")=0,"",SUMIFS(BD!$L$3:$L$5001,BD!$A$3:$A$5001,G$3,BD!$B$3:$B$5001,$A$164)))</f>
        <v/>
      </c>
      <c r="H173" s="159" t="str">
        <f>IF(H$3="","",IF(COUNTIFS(BD!$A$3:$A$5001,H$3,BD!$B$3:$B$5001,$A$164,BD!$L$3:$L$5001,"&lt;&gt;")=0,"",SUMIFS(BD!$L$3:$L$5001,BD!$A$3:$A$5001,H$3,BD!$B$3:$B$5001,$A$164)))</f>
        <v/>
      </c>
      <c r="I173" s="159" t="str">
        <f>IF(I$3="","",IF(COUNTIFS(BD!$A$3:$A$5001,I$3,BD!$B$3:$B$5001,$A$164,BD!$L$3:$L$5001,"&lt;&gt;")=0,"",SUMIFS(BD!$L$3:$L$5001,BD!$A$3:$A$5001,I$3,BD!$B$3:$B$5001,$A$164)))</f>
        <v/>
      </c>
      <c r="J173" s="159" t="str">
        <f>IF(J$3="","",IF(COUNTIFS(BD!$A$3:$A$5001,J$3,BD!$B$3:$B$5001,$A$164,BD!$L$3:$L$5001,"&lt;&gt;")=0,"",SUMIFS(BD!$L$3:$L$5001,BD!$A$3:$A$5001,J$3,BD!$B$3:$B$5001,$A$164)))</f>
        <v/>
      </c>
      <c r="K173" s="159" t="str">
        <f>IF(K$3="","",IF(COUNTIFS(BD!$A$3:$A$5001,K$3,BD!$B$3:$B$5001,$A$164,BD!$L$3:$L$5001,"&lt;&gt;")=0,"",SUMIFS(BD!$L$3:$L$5001,BD!$A$3:$A$5001,K$3,BD!$B$3:$B$5001,$A$164)))</f>
        <v/>
      </c>
      <c r="L173" s="159" t="str">
        <f>IF(L$3="","",IF(COUNTIFS(BD!$A$3:$A$5001,L$3,BD!$B$3:$B$5001,$A$164,BD!$L$3:$L$5001,"&lt;&gt;")=0,"",SUMIFS(BD!$L$3:$L$5001,BD!$A$3:$A$5001,L$3,BD!$B$3:$B$5001,$A$164)))</f>
        <v/>
      </c>
      <c r="M173" s="159" t="str">
        <f>IF(M$3="","",IF(COUNTIFS(BD!$A$3:$A$5001,M$3,BD!$B$3:$B$5001,$A$164,BD!$L$3:$L$5001,"&lt;&gt;")=0,"",SUMIFS(BD!$L$3:$L$5001,BD!$A$3:$A$5001,M$3,BD!$B$3:$B$5001,$A$164)))</f>
        <v/>
      </c>
      <c r="N173" s="159" t="str">
        <f>IF(N$3="","",IF(COUNTIFS(BD!$A$3:$A$5001,N$3,BD!$B$3:$B$5001,$A$164,BD!$L$3:$L$5001,"&lt;&gt;")=0,"",SUMIFS(BD!$L$3:$L$5001,BD!$A$3:$A$5001,N$3,BD!$B$3:$B$5001,$A$164)))</f>
        <v/>
      </c>
      <c r="O173" s="159" t="str">
        <f>IF(O$3="","",IF(COUNTIFS(BD!$A$3:$A$5001,O$3,BD!$B$3:$B$5001,$A$164,BD!$L$3:$L$5001,"&lt;&gt;")=0,"",SUMIFS(BD!$L$3:$L$5001,BD!$A$3:$A$5001,O$3,BD!$B$3:$B$5001,$A$164)))</f>
        <v/>
      </c>
      <c r="P173" s="159" t="str">
        <f>IF(P$3="","",IF(COUNTIFS(BD!$A$3:$A$5001,P$3,BD!$B$3:$B$5001,$A$164,BD!$L$3:$L$5001,"&lt;&gt;")=0,"",SUMIFS(BD!$L$3:$L$5001,BD!$A$3:$A$5001,P$3,BD!$B$3:$B$5001,$A$164)))</f>
        <v/>
      </c>
      <c r="Q173" s="159" t="str">
        <f>IF(Q$3="","",IF(COUNTIFS(BD!$A$3:$A$5001,Q$3,BD!$B$3:$B$5001,$A$164,BD!$L$3:$L$5001,"&lt;&gt;")=0,"",SUMIFS(BD!$L$3:$L$5001,BD!$A$3:$A$5001,Q$3,BD!$B$3:$B$5001,$A$164)))</f>
        <v/>
      </c>
      <c r="R173" s="159" t="str">
        <f>IF(R$3="","",IF(COUNTIFS(BD!$A$3:$A$5001,R$3,BD!$B$3:$B$5001,$A$164,BD!$L$3:$L$5001,"&lt;&gt;")=0,"",SUMIFS(BD!$L$3:$L$5001,BD!$A$3:$A$5001,R$3,BD!$B$3:$B$5001,$A$164)))</f>
        <v/>
      </c>
      <c r="S173" s="159" t="str">
        <f>IF(S$3="","",IF(COUNTIFS(BD!$A$3:$A$5001,S$3,BD!$B$3:$B$5001,$A$164,BD!$L$3:$L$5001,"&lt;&gt;")=0,"",SUMIFS(BD!$L$3:$L$5001,BD!$A$3:$A$5001,S$3,BD!$B$3:$B$5001,$A$164)))</f>
        <v/>
      </c>
      <c r="T173" s="159" t="str">
        <f>IF(T$3="","",IF(COUNTIFS(BD!$A$3:$A$5001,T$3,BD!$B$3:$B$5001,$A$164,BD!$L$3:$L$5001,"&lt;&gt;")=0,"",SUMIFS(BD!$L$3:$L$5001,BD!$A$3:$A$5001,T$3,BD!$B$3:$B$5001,$A$164)))</f>
        <v/>
      </c>
      <c r="U173" s="159" t="str">
        <f>IF(U$3="","",IF(COUNTIFS(BD!$A$3:$A$5001,U$3,BD!$B$3:$B$5001,$A$164,BD!$L$3:$L$5001,"&lt;&gt;")=0,"",SUMIFS(BD!$L$3:$L$5001,BD!$A$3:$A$5001,U$3,BD!$B$3:$B$5001,$A$164)))</f>
        <v/>
      </c>
      <c r="V173" s="159" t="str">
        <f>IF(V$3="","",IF(COUNTIFS(BD!$A$3:$A$5001,V$3,BD!$B$3:$B$5001,$A$164,BD!$L$3:$L$5001,"&lt;&gt;")=0,"",SUMIFS(BD!$L$3:$L$5001,BD!$A$3:$A$5001,V$3,BD!$B$3:$B$5001,$A$164)))</f>
        <v/>
      </c>
      <c r="W173" s="159" t="str">
        <f>IF(W$3="","",IF(COUNTIFS(BD!$A$3:$A$5001,W$3,BD!$B$3:$B$5001,$A$164,BD!$L$3:$L$5001,"&lt;&gt;")=0,"",SUMIFS(BD!$L$3:$L$5001,BD!$A$3:$A$5001,W$3,BD!$B$3:$B$5001,$A$164)))</f>
        <v/>
      </c>
      <c r="X173" s="159" t="str">
        <f>IF(X$3="","",IF(COUNTIFS(BD!$A$3:$A$5001,X$3,BD!$B$3:$B$5001,$A$164,BD!$L$3:$L$5001,"&lt;&gt;")=0,"",SUMIFS(BD!$L$3:$L$5001,BD!$A$3:$A$5001,X$3,BD!$B$3:$B$5001,$A$164)))</f>
        <v/>
      </c>
      <c r="Y173" s="159" t="str">
        <f>IF(Y$3="","",IF(COUNTIFS(BD!$A$3:$A$5001,Y$3,BD!$B$3:$B$5001,$A$164,BD!$L$3:$L$5001,"&lt;&gt;")=0,"",SUMIFS(BD!$L$3:$L$5001,BD!$A$3:$A$5001,Y$3,BD!$B$3:$B$5001,$A$164)))</f>
        <v/>
      </c>
      <c r="Z173" s="159" t="str">
        <f>IF(Z$3="","",IF(COUNTIFS(BD!$A$3:$A$5001,Z$3,BD!$B$3:$B$5001,$A$164,BD!$L$3:$L$5001,"&lt;&gt;")=0,"",SUMIFS(BD!$L$3:$L$5001,BD!$A$3:$A$5001,Z$3,BD!$B$3:$B$5001,$A$164)))</f>
        <v/>
      </c>
      <c r="AA173" s="159" t="str">
        <f>IF(AA$3="","",IF(COUNTIFS(BD!$A$3:$A$5001,AA$3,BD!$B$3:$B$5001,$A$164,BD!$L$3:$L$5001,"&lt;&gt;")=0,"",SUMIFS(BD!$L$3:$L$5001,BD!$A$3:$A$5001,AA$3,BD!$B$3:$B$5001,$A$164)))</f>
        <v/>
      </c>
      <c r="AB173" s="159" t="str">
        <f>IF(AB$3="","",IF(COUNTIFS(BD!$A$3:$A$5001,AB$3,BD!$B$3:$B$5001,$A$164,BD!$L$3:$L$5001,"&lt;&gt;")=0,"",SUMIFS(BD!$L$3:$L$5001,BD!$A$3:$A$5001,AB$3,BD!$B$3:$B$5001,$A$164)))</f>
        <v/>
      </c>
      <c r="AC173" s="159" t="str">
        <f>IF(AC$3="","",IF(COUNTIFS(BD!$A$3:$A$5001,AC$3,BD!$B$3:$B$5001,$A$164,BD!$L$3:$L$5001,"&lt;&gt;")=0,"",SUMIFS(BD!$L$3:$L$5001,BD!$A$3:$A$5001,AC$3,BD!$B$3:$B$5001,$A$164)))</f>
        <v/>
      </c>
      <c r="AD173" s="159" t="str">
        <f>IF(AD$3="","",IF(COUNTIFS(BD!$A$3:$A$5001,AD$3,BD!$B$3:$B$5001,$A$164,BD!$L$3:$L$5001,"&lt;&gt;")=0,"",SUMIFS(BD!$L$3:$L$5001,BD!$A$3:$A$5001,AD$3,BD!$B$3:$B$5001,$A$164)))</f>
        <v/>
      </c>
      <c r="AE173" s="159" t="str">
        <f>IF(AE$3="","",IF(COUNTIFS(BD!$A$3:$A$5001,AE$3,BD!$B$3:$B$5001,$A$164,BD!$L$3:$L$5001,"&lt;&gt;")=0,"",SUMIFS(BD!$L$3:$L$5001,BD!$A$3:$A$5001,AE$3,BD!$B$3:$B$5001,$A$164)))</f>
        <v/>
      </c>
      <c r="AF173" s="159" t="str">
        <f>IF(AF$3="","",IF(COUNTIFS(BD!$A$3:$A$5001,AF$3,BD!$B$3:$B$5001,$A$164,BD!$L$3:$L$5001,"&lt;&gt;")=0,"",SUMIFS(BD!$L$3:$L$5001,BD!$A$3:$A$5001,AF$3,BD!$B$3:$B$5001,$A$164)))</f>
        <v/>
      </c>
      <c r="AG173" s="159" t="str">
        <f>IF(AG$3="","",IF(COUNTIFS(BD!$A$3:$A$5001,AG$3,BD!$B$3:$B$5001,$A$164,BD!$L$3:$L$5001,"&lt;&gt;")=0,"",SUMIFS(BD!$L$3:$L$5001,BD!$A$3:$A$5001,AG$3,BD!$B$3:$B$5001,$A$164)))</f>
        <v/>
      </c>
      <c r="AH173" s="159" t="str">
        <f>IF(AH$3="","",IF(COUNTIFS(BD!$A$3:$A$5001,AH$3,BD!$B$3:$B$5001,$A$164,BD!$L$3:$L$5001,"&lt;&gt;")=0,"",SUMIFS(BD!$L$3:$L$5001,BD!$A$3:$A$5001,AH$3,BD!$B$3:$B$5001,$A$164)))</f>
        <v/>
      </c>
      <c r="AI173" s="159" t="str">
        <f>IF(AI$3="","",IF(COUNTIFS(BD!$A$3:$A$5001,AI$3,BD!$B$3:$B$5001,$A$164,BD!$L$3:$L$5001,"&lt;&gt;")=0,"",SUMIFS(BD!$L$3:$L$5001,BD!$A$3:$A$5001,AI$3,BD!$B$3:$B$5001,$A$164)))</f>
        <v/>
      </c>
      <c r="AJ173" s="160" t="str">
        <f>IF(AJ$3="","",IF(COUNTIFS(BD!$A$3:$A$5001,AJ$3,BD!$B$3:$B$5001,$A$164,BD!$L$3:$L$5001,"&lt;&gt;")=0,"",SUMIFS(BD!$L$3:$L$5001,BD!$A$3:$A$5001,AJ$3,BD!$B$3:$B$5001,$A$164)))</f>
        <v/>
      </c>
      <c r="AK173" s="161" t="str">
        <f>IF(COUNT(F173:AJ173)&gt;0,LOOKUP(9.99E+307,F173:AJ173),IFERROR(IF(INDEX(BD!$V$3:$V$5001,MATCH($A$164,BD!$B$3:$B$5001,0))&amp;""="Contrato","",INDEX(BD!$V$3:$V$5001,MATCH($A$164,BD!$B$3:$B$5001,0))&amp;""),""))</f>
        <v/>
      </c>
    </row>
    <row r="174" ht="15.75" customHeight="1" hidden="1">
      <c r="A174" s="254"/>
      <c r="B174" s="242"/>
      <c r="C174" s="162" t="inlineStr">
        <is>
          <t xml:space="preserve">Posições Ocupadas</t>
        </is>
      </c>
      <c r="D174" s="163" t="str">
        <f>IFERROR(1/(1/INDEX(BD!$Y$33:$AS$33,MATCH($A$164,BD!$Y$22:$AS$22,0))),"")</f>
        <v/>
      </c>
      <c r="E174" s="164"/>
      <c r="F174" s="165" t="str">
        <f>IF(F$3="","",IF(COUNTIFS(BD!$A$3:$A$5001,F$3,BD!$B$3:$B$5001,$A$164,BD!$M$3:$M$5001,"&lt;&gt;")=0,"",SUMIFS(BD!$M$3:$M$5001,BD!$A$3:$A$5001,F$3,BD!$B$3:$B$5001,$A$164)))</f>
        <v/>
      </c>
      <c r="G174" s="166" t="str">
        <f>IF(G$3="","",IF(COUNTIFS(BD!$A$3:$A$5001,G$3,BD!$B$3:$B$5001,$A$164,BD!$M$3:$M$5001,"&lt;&gt;")=0,"",SUMIFS(BD!$M$3:$M$5001,BD!$A$3:$A$5001,G$3,BD!$B$3:$B$5001,$A$164)))</f>
        <v/>
      </c>
      <c r="H174" s="166" t="str">
        <f>IF(H$3="","",IF(COUNTIFS(BD!$A$3:$A$5001,H$3,BD!$B$3:$B$5001,$A$164,BD!$M$3:$M$5001,"&lt;&gt;")=0,"",SUMIFS(BD!$M$3:$M$5001,BD!$A$3:$A$5001,H$3,BD!$B$3:$B$5001,$A$164)))</f>
        <v/>
      </c>
      <c r="I174" s="166" t="str">
        <f>IF(I$3="","",IF(COUNTIFS(BD!$A$3:$A$5001,I$3,BD!$B$3:$B$5001,$A$164,BD!$M$3:$M$5001,"&lt;&gt;")=0,"",SUMIFS(BD!$M$3:$M$5001,BD!$A$3:$A$5001,I$3,BD!$B$3:$B$5001,$A$164)))</f>
        <v/>
      </c>
      <c r="J174" s="166" t="str">
        <f>IF(J$3="","",IF(COUNTIFS(BD!$A$3:$A$5001,J$3,BD!$B$3:$B$5001,$A$164,BD!$M$3:$M$5001,"&lt;&gt;")=0,"",SUMIFS(BD!$M$3:$M$5001,BD!$A$3:$A$5001,J$3,BD!$B$3:$B$5001,$A$164)))</f>
        <v/>
      </c>
      <c r="K174" s="166" t="str">
        <f>IF(K$3="","",IF(COUNTIFS(BD!$A$3:$A$5001,K$3,BD!$B$3:$B$5001,$A$164,BD!$M$3:$M$5001,"&lt;&gt;")=0,"",SUMIFS(BD!$M$3:$M$5001,BD!$A$3:$A$5001,K$3,BD!$B$3:$B$5001,$A$164)))</f>
        <v/>
      </c>
      <c r="L174" s="166" t="str">
        <f>IF(L$3="","",IF(COUNTIFS(BD!$A$3:$A$5001,L$3,BD!$B$3:$B$5001,$A$164,BD!$M$3:$M$5001,"&lt;&gt;")=0,"",SUMIFS(BD!$M$3:$M$5001,BD!$A$3:$A$5001,L$3,BD!$B$3:$B$5001,$A$164)))</f>
        <v/>
      </c>
      <c r="M174" s="166" t="str">
        <f>IF(M$3="","",IF(COUNTIFS(BD!$A$3:$A$5001,M$3,BD!$B$3:$B$5001,$A$164,BD!$M$3:$M$5001,"&lt;&gt;")=0,"",SUMIFS(BD!$M$3:$M$5001,BD!$A$3:$A$5001,M$3,BD!$B$3:$B$5001,$A$164)))</f>
        <v/>
      </c>
      <c r="N174" s="166" t="str">
        <f>IF(N$3="","",IF(COUNTIFS(BD!$A$3:$A$5001,N$3,BD!$B$3:$B$5001,$A$164,BD!$M$3:$M$5001,"&lt;&gt;")=0,"",SUMIFS(BD!$M$3:$M$5001,BD!$A$3:$A$5001,N$3,BD!$B$3:$B$5001,$A$164)))</f>
        <v/>
      </c>
      <c r="O174" s="166" t="str">
        <f>IF(O$3="","",IF(COUNTIFS(BD!$A$3:$A$5001,O$3,BD!$B$3:$B$5001,$A$164,BD!$M$3:$M$5001,"&lt;&gt;")=0,"",SUMIFS(BD!$M$3:$M$5001,BD!$A$3:$A$5001,O$3,BD!$B$3:$B$5001,$A$164)))</f>
        <v/>
      </c>
      <c r="P174" s="166" t="str">
        <f>IF(P$3="","",IF(COUNTIFS(BD!$A$3:$A$5001,P$3,BD!$B$3:$B$5001,$A$164,BD!$M$3:$M$5001,"&lt;&gt;")=0,"",SUMIFS(BD!$M$3:$M$5001,BD!$A$3:$A$5001,P$3,BD!$B$3:$B$5001,$A$164)))</f>
        <v/>
      </c>
      <c r="Q174" s="166" t="str">
        <f>IF(Q$3="","",IF(COUNTIFS(BD!$A$3:$A$5001,Q$3,BD!$B$3:$B$5001,$A$164,BD!$M$3:$M$5001,"&lt;&gt;")=0,"",SUMIFS(BD!$M$3:$M$5001,BD!$A$3:$A$5001,Q$3,BD!$B$3:$B$5001,$A$164)))</f>
        <v/>
      </c>
      <c r="R174" s="166" t="str">
        <f>IF(R$3="","",IF(COUNTIFS(BD!$A$3:$A$5001,R$3,BD!$B$3:$B$5001,$A$164,BD!$M$3:$M$5001,"&lt;&gt;")=0,"",SUMIFS(BD!$M$3:$M$5001,BD!$A$3:$A$5001,R$3,BD!$B$3:$B$5001,$A$164)))</f>
        <v/>
      </c>
      <c r="S174" s="166" t="str">
        <f>IF(S$3="","",IF(COUNTIFS(BD!$A$3:$A$5001,S$3,BD!$B$3:$B$5001,$A$164,BD!$M$3:$M$5001,"&lt;&gt;")=0,"",SUMIFS(BD!$M$3:$M$5001,BD!$A$3:$A$5001,S$3,BD!$B$3:$B$5001,$A$164)))</f>
        <v/>
      </c>
      <c r="T174" s="166" t="str">
        <f>IF(T$3="","",IF(COUNTIFS(BD!$A$3:$A$5001,T$3,BD!$B$3:$B$5001,$A$164,BD!$M$3:$M$5001,"&lt;&gt;")=0,"",SUMIFS(BD!$M$3:$M$5001,BD!$A$3:$A$5001,T$3,BD!$B$3:$B$5001,$A$164)))</f>
        <v/>
      </c>
      <c r="U174" s="166" t="str">
        <f>IF(U$3="","",IF(COUNTIFS(BD!$A$3:$A$5001,U$3,BD!$B$3:$B$5001,$A$164,BD!$M$3:$M$5001,"&lt;&gt;")=0,"",SUMIFS(BD!$M$3:$M$5001,BD!$A$3:$A$5001,U$3,BD!$B$3:$B$5001,$A$164)))</f>
        <v/>
      </c>
      <c r="V174" s="166" t="str">
        <f>IF(V$3="","",IF(COUNTIFS(BD!$A$3:$A$5001,V$3,BD!$B$3:$B$5001,$A$164,BD!$M$3:$M$5001,"&lt;&gt;")=0,"",SUMIFS(BD!$M$3:$M$5001,BD!$A$3:$A$5001,V$3,BD!$B$3:$B$5001,$A$164)))</f>
        <v/>
      </c>
      <c r="W174" s="166" t="str">
        <f>IF(W$3="","",IF(COUNTIFS(BD!$A$3:$A$5001,W$3,BD!$B$3:$B$5001,$A$164,BD!$M$3:$M$5001,"&lt;&gt;")=0,"",SUMIFS(BD!$M$3:$M$5001,BD!$A$3:$A$5001,W$3,BD!$B$3:$B$5001,$A$164)))</f>
        <v/>
      </c>
      <c r="X174" s="166" t="str">
        <f>IF(X$3="","",IF(COUNTIFS(BD!$A$3:$A$5001,X$3,BD!$B$3:$B$5001,$A$164,BD!$M$3:$M$5001,"&lt;&gt;")=0,"",SUMIFS(BD!$M$3:$M$5001,BD!$A$3:$A$5001,X$3,BD!$B$3:$B$5001,$A$164)))</f>
        <v/>
      </c>
      <c r="Y174" s="166" t="str">
        <f>IF(Y$3="","",IF(COUNTIFS(BD!$A$3:$A$5001,Y$3,BD!$B$3:$B$5001,$A$164,BD!$M$3:$M$5001,"&lt;&gt;")=0,"",SUMIFS(BD!$M$3:$M$5001,BD!$A$3:$A$5001,Y$3,BD!$B$3:$B$5001,$A$164)))</f>
        <v/>
      </c>
      <c r="Z174" s="166" t="str">
        <f>IF(Z$3="","",IF(COUNTIFS(BD!$A$3:$A$5001,Z$3,BD!$B$3:$B$5001,$A$164,BD!$M$3:$M$5001,"&lt;&gt;")=0,"",SUMIFS(BD!$M$3:$M$5001,BD!$A$3:$A$5001,Z$3,BD!$B$3:$B$5001,$A$164)))</f>
        <v/>
      </c>
      <c r="AA174" s="166" t="str">
        <f>IF(AA$3="","",IF(COUNTIFS(BD!$A$3:$A$5001,AA$3,BD!$B$3:$B$5001,$A$164,BD!$M$3:$M$5001,"&lt;&gt;")=0,"",SUMIFS(BD!$M$3:$M$5001,BD!$A$3:$A$5001,AA$3,BD!$B$3:$B$5001,$A$164)))</f>
        <v/>
      </c>
      <c r="AB174" s="166" t="str">
        <f>IF(AB$3="","",IF(COUNTIFS(BD!$A$3:$A$5001,AB$3,BD!$B$3:$B$5001,$A$164,BD!$M$3:$M$5001,"&lt;&gt;")=0,"",SUMIFS(BD!$M$3:$M$5001,BD!$A$3:$A$5001,AB$3,BD!$B$3:$B$5001,$A$164)))</f>
        <v/>
      </c>
      <c r="AC174" s="166" t="str">
        <f>IF(AC$3="","",IF(COUNTIFS(BD!$A$3:$A$5001,AC$3,BD!$B$3:$B$5001,$A$164,BD!$M$3:$M$5001,"&lt;&gt;")=0,"",SUMIFS(BD!$M$3:$M$5001,BD!$A$3:$A$5001,AC$3,BD!$B$3:$B$5001,$A$164)))</f>
        <v/>
      </c>
      <c r="AD174" s="166" t="str">
        <f>IF(AD$3="","",IF(COUNTIFS(BD!$A$3:$A$5001,AD$3,BD!$B$3:$B$5001,$A$164,BD!$M$3:$M$5001,"&lt;&gt;")=0,"",SUMIFS(BD!$M$3:$M$5001,BD!$A$3:$A$5001,AD$3,BD!$B$3:$B$5001,$A$164)))</f>
        <v/>
      </c>
      <c r="AE174" s="166" t="str">
        <f>IF(AE$3="","",IF(COUNTIFS(BD!$A$3:$A$5001,AE$3,BD!$B$3:$B$5001,$A$164,BD!$M$3:$M$5001,"&lt;&gt;")=0,"",SUMIFS(BD!$M$3:$M$5001,BD!$A$3:$A$5001,AE$3,BD!$B$3:$B$5001,$A$164)))</f>
        <v/>
      </c>
      <c r="AF174" s="166" t="str">
        <f>IF(AF$3="","",IF(COUNTIFS(BD!$A$3:$A$5001,AF$3,BD!$B$3:$B$5001,$A$164,BD!$M$3:$M$5001,"&lt;&gt;")=0,"",SUMIFS(BD!$M$3:$M$5001,BD!$A$3:$A$5001,AF$3,BD!$B$3:$B$5001,$A$164)))</f>
        <v/>
      </c>
      <c r="AG174" s="166" t="str">
        <f>IF(AG$3="","",IF(COUNTIFS(BD!$A$3:$A$5001,AG$3,BD!$B$3:$B$5001,$A$164,BD!$M$3:$M$5001,"&lt;&gt;")=0,"",SUMIFS(BD!$M$3:$M$5001,BD!$A$3:$A$5001,AG$3,BD!$B$3:$B$5001,$A$164)))</f>
        <v/>
      </c>
      <c r="AH174" s="166" t="str">
        <f>IF(AH$3="","",IF(COUNTIFS(BD!$A$3:$A$5001,AH$3,BD!$B$3:$B$5001,$A$164,BD!$M$3:$M$5001,"&lt;&gt;")=0,"",SUMIFS(BD!$M$3:$M$5001,BD!$A$3:$A$5001,AH$3,BD!$B$3:$B$5001,$A$164)))</f>
        <v/>
      </c>
      <c r="AI174" s="166" t="str">
        <f>IF(AI$3="","",IF(COUNTIFS(BD!$A$3:$A$5001,AI$3,BD!$B$3:$B$5001,$A$164,BD!$M$3:$M$5001,"&lt;&gt;")=0,"",SUMIFS(BD!$M$3:$M$5001,BD!$A$3:$A$5001,AI$3,BD!$B$3:$B$5001,$A$164)))</f>
        <v/>
      </c>
      <c r="AJ174" s="167" t="str">
        <f>IF(AJ$3="","",IF(COUNTIFS(BD!$A$3:$A$5001,AJ$3,BD!$B$3:$B$5001,$A$164,BD!$M$3:$M$5001,"&lt;&gt;")=0,"",SUMIFS(BD!$M$3:$M$5001,BD!$A$3:$A$5001,AJ$3,BD!$B$3:$B$5001,$A$164)))</f>
        <v/>
      </c>
      <c r="AK174" s="168" t="str">
        <f>IFERROR(LOOKUP(9.99E+307,F174:AJ174),"")</f>
        <v/>
      </c>
    </row>
    <row r="175" ht="15.75" customHeight="1" hidden="1">
      <c r="A175" s="254"/>
      <c r="B175" s="243"/>
      <c r="C175" s="169" t="inlineStr">
        <is>
          <t xml:space="preserve">Taxa de Ocupação</t>
        </is>
      </c>
      <c r="D175" s="217" t="str">
        <f>IFERROR(1/(1/INDEX(BD!$Y$34:$AS$34,MATCH($A$164,BD!$Y$22:$AS$22,0))),"")</f>
        <v/>
      </c>
      <c r="E175" s="171"/>
      <c r="F175" s="218" t="str">
        <f>IF(AND(ISNUMBER(F173),ISNUMBER(F174)),IF(F173&gt;0,F174/F173,""),"")</f>
        <v/>
      </c>
      <c r="G175" s="219" t="str">
        <f>IF(AND(ISNUMBER(G173),ISNUMBER(G174)),IF(G173&gt;0,G174/G173,""),"")</f>
        <v/>
      </c>
      <c r="H175" s="219" t="str">
        <f>IF(AND(ISNUMBER(H173),ISNUMBER(H174)),IF(H173&gt;0,H174/H173,""),"")</f>
        <v/>
      </c>
      <c r="I175" s="219" t="str">
        <f>IF(AND(ISNUMBER(I173),ISNUMBER(I174)),IF(I173&gt;0,I174/I173,""),"")</f>
        <v/>
      </c>
      <c r="J175" s="219" t="str">
        <f>IF(AND(ISNUMBER(J173),ISNUMBER(J174)),IF(J173&gt;0,J174/J173,""),"")</f>
        <v/>
      </c>
      <c r="K175" s="219" t="str">
        <f>IF(AND(ISNUMBER(K173),ISNUMBER(K174)),IF(K173&gt;0,K174/K173,""),"")</f>
        <v/>
      </c>
      <c r="L175" s="219" t="str">
        <f>IF(AND(ISNUMBER(L173),ISNUMBER(L174)),IF(L173&gt;0,L174/L173,""),"")</f>
        <v/>
      </c>
      <c r="M175" s="219" t="str">
        <f>IF(AND(ISNUMBER(M173),ISNUMBER(M174)),IF(M173&gt;0,M174/M173,""),"")</f>
        <v/>
      </c>
      <c r="N175" s="219" t="str">
        <f>IF(AND(ISNUMBER(N173),ISNUMBER(N174)),IF(N173&gt;0,N174/N173,""),"")</f>
        <v/>
      </c>
      <c r="O175" s="219" t="str">
        <f>IF(AND(ISNUMBER(O173),ISNUMBER(O174)),IF(O173&gt;0,O174/O173,""),"")</f>
        <v/>
      </c>
      <c r="P175" s="219" t="str">
        <f>IF(AND(ISNUMBER(P173),ISNUMBER(P174)),IF(P173&gt;0,P174/P173,""),"")</f>
        <v/>
      </c>
      <c r="Q175" s="219" t="str">
        <f>IF(AND(ISNUMBER(Q173),ISNUMBER(Q174)),IF(Q173&gt;0,Q174/Q173,""),"")</f>
        <v/>
      </c>
      <c r="R175" s="219" t="str">
        <f>IF(AND(ISNUMBER(R173),ISNUMBER(R174)),IF(R173&gt;0,R174/R173,""),"")</f>
        <v/>
      </c>
      <c r="S175" s="219" t="str">
        <f>IF(AND(ISNUMBER(S173),ISNUMBER(S174)),IF(S173&gt;0,S174/S173,""),"")</f>
        <v/>
      </c>
      <c r="T175" s="219" t="str">
        <f>IF(AND(ISNUMBER(T173),ISNUMBER(T174)),IF(T173&gt;0,T174/T173,""),"")</f>
        <v/>
      </c>
      <c r="U175" s="219" t="str">
        <f>IF(AND(ISNUMBER(U173),ISNUMBER(U174)),IF(U173&gt;0,U174/U173,""),"")</f>
        <v/>
      </c>
      <c r="V175" s="219" t="str">
        <f>IF(AND(ISNUMBER(V173),ISNUMBER(V174)),IF(V173&gt;0,V174/V173,""),"")</f>
        <v/>
      </c>
      <c r="W175" s="219" t="str">
        <f>IF(AND(ISNUMBER(W173),ISNUMBER(W174)),IF(W173&gt;0,W174/W173,""),"")</f>
        <v/>
      </c>
      <c r="X175" s="219" t="str">
        <f>IF(AND(ISNUMBER(X173),ISNUMBER(X174)),IF(X173&gt;0,X174/X173,""),"")</f>
        <v/>
      </c>
      <c r="Y175" s="219" t="str">
        <f>IF(AND(ISNUMBER(Y173),ISNUMBER(Y174)),IF(Y173&gt;0,Y174/Y173,""),"")</f>
        <v/>
      </c>
      <c r="Z175" s="219" t="str">
        <f>IF(AND(ISNUMBER(Z173),ISNUMBER(Z174)),IF(Z173&gt;0,Z174/Z173,""),"")</f>
        <v/>
      </c>
      <c r="AA175" s="219" t="str">
        <f>IF(AND(ISNUMBER(AA173),ISNUMBER(AA174)),IF(AA173&gt;0,AA174/AA173,""),"")</f>
        <v/>
      </c>
      <c r="AB175" s="219" t="str">
        <f>IF(AND(ISNUMBER(AB173),ISNUMBER(AB174)),IF(AB173&gt;0,AB174/AB173,""),"")</f>
        <v/>
      </c>
      <c r="AC175" s="219" t="str">
        <f>IF(AND(ISNUMBER(AC173),ISNUMBER(AC174)),IF(AC173&gt;0,AC174/AC173,""),"")</f>
        <v/>
      </c>
      <c r="AD175" s="219" t="str">
        <f>IF(AND(ISNUMBER(AD173),ISNUMBER(AD174)),IF(AD173&gt;0,AD174/AD173,""),"")</f>
        <v/>
      </c>
      <c r="AE175" s="219" t="str">
        <f>IF(AND(ISNUMBER(AE173),ISNUMBER(AE174)),IF(AE173&gt;0,AE174/AE173,""),"")</f>
        <v/>
      </c>
      <c r="AF175" s="219" t="str">
        <f>IF(AND(ISNUMBER(AF173),ISNUMBER(AF174)),IF(AF173&gt;0,AF174/AF173,""),"")</f>
        <v/>
      </c>
      <c r="AG175" s="219" t="str">
        <f>IF(AND(ISNUMBER(AG173),ISNUMBER(AG174)),IF(AG173&gt;0,AG174/AG173,""),"")</f>
        <v/>
      </c>
      <c r="AH175" s="219" t="str">
        <f>IF(AND(ISNUMBER(AH173),ISNUMBER(AH174)),IF(AH173&gt;0,AH174/AH173,""),"")</f>
        <v/>
      </c>
      <c r="AI175" s="219" t="str">
        <f>IF(AND(ISNUMBER(AI173),ISNUMBER(AI174)),IF(AI173&gt;0,AI174/AI173,""),"")</f>
        <v/>
      </c>
      <c r="AJ175" s="220" t="str">
        <f>IF(AND(ISNUMBER(AJ173),ISNUMBER(AJ174)),IF(AJ173&gt;0,AJ174/AJ173,""),"")</f>
        <v/>
      </c>
      <c r="AK175" s="217" t="str">
        <f>IF(AND(ISNUMBER(AK173),ISNUMBER(AK174)),IF(AK173&gt;0,AK174/AK173,""),"")</f>
        <v/>
      </c>
    </row>
    <row r="176" ht="15.75" customHeight="1" hidden="1">
      <c r="A176" s="254"/>
      <c r="B176" s="250" t="inlineStr">
        <is>
          <t xml:space="preserve">GENTE</t>
        </is>
      </c>
      <c r="C176" s="221" t="inlineStr">
        <is>
          <t xml:space="preserve">Efetivo Op.</t>
        </is>
      </c>
      <c r="D176" s="222" t="str">
        <f>IFERROR(1/(1/INDEX(BD!$Y$35:$AS$35,MATCH($A$164,BD!$Y$22:$AS$22,0))),"")</f>
        <v/>
      </c>
      <c r="E176" s="223"/>
      <c r="F176" s="224" t="str">
        <f>IF(F$3="","",IF(COUNTIFS(BD!$A$3:$A$5001,F$3,BD!$B$3:$B$5001,$A$164,BD!$N$3:$N$5001,"&lt;&gt;")=0,"",SUMIFS(BD!$N$3:$N$5001,BD!$A$3:$A$5001,F$3,BD!$B$3:$B$5001,$A$164)))</f>
        <v/>
      </c>
      <c r="G176" s="225" t="str">
        <f>IF(G$3="","",IF(COUNTIFS(BD!$A$3:$A$5001,G$3,BD!$B$3:$B$5001,$A$164,BD!$N$3:$N$5001,"&lt;&gt;")=0,"",SUMIFS(BD!$N$3:$N$5001,BD!$A$3:$A$5001,G$3,BD!$B$3:$B$5001,$A$164)))</f>
        <v/>
      </c>
      <c r="H176" s="225" t="str">
        <f>IF(H$3="","",IF(COUNTIFS(BD!$A$3:$A$5001,H$3,BD!$B$3:$B$5001,$A$164,BD!$N$3:$N$5001,"&lt;&gt;")=0,"",SUMIFS(BD!$N$3:$N$5001,BD!$A$3:$A$5001,H$3,BD!$B$3:$B$5001,$A$164)))</f>
        <v/>
      </c>
      <c r="I176" s="225" t="str">
        <f>IF(I$3="","",IF(COUNTIFS(BD!$A$3:$A$5001,I$3,BD!$B$3:$B$5001,$A$164,BD!$N$3:$N$5001,"&lt;&gt;")=0,"",SUMIFS(BD!$N$3:$N$5001,BD!$A$3:$A$5001,I$3,BD!$B$3:$B$5001,$A$164)))</f>
        <v/>
      </c>
      <c r="J176" s="225" t="str">
        <f>IF(J$3="","",IF(COUNTIFS(BD!$A$3:$A$5001,J$3,BD!$B$3:$B$5001,$A$164,BD!$N$3:$N$5001,"&lt;&gt;")=0,"",SUMIFS(BD!$N$3:$N$5001,BD!$A$3:$A$5001,J$3,BD!$B$3:$B$5001,$A$164)))</f>
        <v/>
      </c>
      <c r="K176" s="225" t="str">
        <f>IF(K$3="","",IF(COUNTIFS(BD!$A$3:$A$5001,K$3,BD!$B$3:$B$5001,$A$164,BD!$N$3:$N$5001,"&lt;&gt;")=0,"",SUMIFS(BD!$N$3:$N$5001,BD!$A$3:$A$5001,K$3,BD!$B$3:$B$5001,$A$164)))</f>
        <v/>
      </c>
      <c r="L176" s="225" t="str">
        <f>IF(L$3="","",IF(COUNTIFS(BD!$A$3:$A$5001,L$3,BD!$B$3:$B$5001,$A$164,BD!$N$3:$N$5001,"&lt;&gt;")=0,"",SUMIFS(BD!$N$3:$N$5001,BD!$A$3:$A$5001,L$3,BD!$B$3:$B$5001,$A$164)))</f>
        <v/>
      </c>
      <c r="M176" s="225" t="str">
        <f>IF(M$3="","",IF(COUNTIFS(BD!$A$3:$A$5001,M$3,BD!$B$3:$B$5001,$A$164,BD!$N$3:$N$5001,"&lt;&gt;")=0,"",SUMIFS(BD!$N$3:$N$5001,BD!$A$3:$A$5001,M$3,BD!$B$3:$B$5001,$A$164)))</f>
        <v/>
      </c>
      <c r="N176" s="225" t="str">
        <f>IF(N$3="","",IF(COUNTIFS(BD!$A$3:$A$5001,N$3,BD!$B$3:$B$5001,$A$164,BD!$N$3:$N$5001,"&lt;&gt;")=0,"",SUMIFS(BD!$N$3:$N$5001,BD!$A$3:$A$5001,N$3,BD!$B$3:$B$5001,$A$164)))</f>
        <v/>
      </c>
      <c r="O176" s="225" t="str">
        <f>IF(O$3="","",IF(COUNTIFS(BD!$A$3:$A$5001,O$3,BD!$B$3:$B$5001,$A$164,BD!$N$3:$N$5001,"&lt;&gt;")=0,"",SUMIFS(BD!$N$3:$N$5001,BD!$A$3:$A$5001,O$3,BD!$B$3:$B$5001,$A$164)))</f>
        <v/>
      </c>
      <c r="P176" s="225" t="str">
        <f>IF(P$3="","",IF(COUNTIFS(BD!$A$3:$A$5001,P$3,BD!$B$3:$B$5001,$A$164,BD!$N$3:$N$5001,"&lt;&gt;")=0,"",SUMIFS(BD!$N$3:$N$5001,BD!$A$3:$A$5001,P$3,BD!$B$3:$B$5001,$A$164)))</f>
        <v/>
      </c>
      <c r="Q176" s="225" t="str">
        <f>IF(Q$3="","",IF(COUNTIFS(BD!$A$3:$A$5001,Q$3,BD!$B$3:$B$5001,$A$164,BD!$N$3:$N$5001,"&lt;&gt;")=0,"",SUMIFS(BD!$N$3:$N$5001,BD!$A$3:$A$5001,Q$3,BD!$B$3:$B$5001,$A$164)))</f>
        <v/>
      </c>
      <c r="R176" s="225" t="str">
        <f>IF(R$3="","",IF(COUNTIFS(BD!$A$3:$A$5001,R$3,BD!$B$3:$B$5001,$A$164,BD!$N$3:$N$5001,"&lt;&gt;")=0,"",SUMIFS(BD!$N$3:$N$5001,BD!$A$3:$A$5001,R$3,BD!$B$3:$B$5001,$A$164)))</f>
        <v/>
      </c>
      <c r="S176" s="225" t="str">
        <f>IF(S$3="","",IF(COUNTIFS(BD!$A$3:$A$5001,S$3,BD!$B$3:$B$5001,$A$164,BD!$N$3:$N$5001,"&lt;&gt;")=0,"",SUMIFS(BD!$N$3:$N$5001,BD!$A$3:$A$5001,S$3,BD!$B$3:$B$5001,$A$164)))</f>
        <v/>
      </c>
      <c r="T176" s="225" t="str">
        <f>IF(T$3="","",IF(COUNTIFS(BD!$A$3:$A$5001,T$3,BD!$B$3:$B$5001,$A$164,BD!$N$3:$N$5001,"&lt;&gt;")=0,"",SUMIFS(BD!$N$3:$N$5001,BD!$A$3:$A$5001,T$3,BD!$B$3:$B$5001,$A$164)))</f>
        <v/>
      </c>
      <c r="U176" s="225" t="str">
        <f>IF(U$3="","",IF(COUNTIFS(BD!$A$3:$A$5001,U$3,BD!$B$3:$B$5001,$A$164,BD!$N$3:$N$5001,"&lt;&gt;")=0,"",SUMIFS(BD!$N$3:$N$5001,BD!$A$3:$A$5001,U$3,BD!$B$3:$B$5001,$A$164)))</f>
        <v/>
      </c>
      <c r="V176" s="225" t="str">
        <f>IF(V$3="","",IF(COUNTIFS(BD!$A$3:$A$5001,V$3,BD!$B$3:$B$5001,$A$164,BD!$N$3:$N$5001,"&lt;&gt;")=0,"",SUMIFS(BD!$N$3:$N$5001,BD!$A$3:$A$5001,V$3,BD!$B$3:$B$5001,$A$164)))</f>
        <v/>
      </c>
      <c r="W176" s="225" t="str">
        <f>IF(W$3="","",IF(COUNTIFS(BD!$A$3:$A$5001,W$3,BD!$B$3:$B$5001,$A$164,BD!$N$3:$N$5001,"&lt;&gt;")=0,"",SUMIFS(BD!$N$3:$N$5001,BD!$A$3:$A$5001,W$3,BD!$B$3:$B$5001,$A$164)))</f>
        <v/>
      </c>
      <c r="X176" s="225" t="str">
        <f>IF(X$3="","",IF(COUNTIFS(BD!$A$3:$A$5001,X$3,BD!$B$3:$B$5001,$A$164,BD!$N$3:$N$5001,"&lt;&gt;")=0,"",SUMIFS(BD!$N$3:$N$5001,BD!$A$3:$A$5001,X$3,BD!$B$3:$B$5001,$A$164)))</f>
        <v/>
      </c>
      <c r="Y176" s="225" t="str">
        <f>IF(Y$3="","",IF(COUNTIFS(BD!$A$3:$A$5001,Y$3,BD!$B$3:$B$5001,$A$164,BD!$N$3:$N$5001,"&lt;&gt;")=0,"",SUMIFS(BD!$N$3:$N$5001,BD!$A$3:$A$5001,Y$3,BD!$B$3:$B$5001,$A$164)))</f>
        <v/>
      </c>
      <c r="Z176" s="225" t="str">
        <f>IF(Z$3="","",IF(COUNTIFS(BD!$A$3:$A$5001,Z$3,BD!$B$3:$B$5001,$A$164,BD!$N$3:$N$5001,"&lt;&gt;")=0,"",SUMIFS(BD!$N$3:$N$5001,BD!$A$3:$A$5001,Z$3,BD!$B$3:$B$5001,$A$164)))</f>
        <v/>
      </c>
      <c r="AA176" s="225" t="str">
        <f>IF(AA$3="","",IF(COUNTIFS(BD!$A$3:$A$5001,AA$3,BD!$B$3:$B$5001,$A$164,BD!$N$3:$N$5001,"&lt;&gt;")=0,"",SUMIFS(BD!$N$3:$N$5001,BD!$A$3:$A$5001,AA$3,BD!$B$3:$B$5001,$A$164)))</f>
        <v/>
      </c>
      <c r="AB176" s="225" t="str">
        <f>IF(AB$3="","",IF(COUNTIFS(BD!$A$3:$A$5001,AB$3,BD!$B$3:$B$5001,$A$164,BD!$N$3:$N$5001,"&lt;&gt;")=0,"",SUMIFS(BD!$N$3:$N$5001,BD!$A$3:$A$5001,AB$3,BD!$B$3:$B$5001,$A$164)))</f>
        <v/>
      </c>
      <c r="AC176" s="225" t="str">
        <f>IF(AC$3="","",IF(COUNTIFS(BD!$A$3:$A$5001,AC$3,BD!$B$3:$B$5001,$A$164,BD!$N$3:$N$5001,"&lt;&gt;")=0,"",SUMIFS(BD!$N$3:$N$5001,BD!$A$3:$A$5001,AC$3,BD!$B$3:$B$5001,$A$164)))</f>
        <v/>
      </c>
      <c r="AD176" s="225" t="str">
        <f>IF(AD$3="","",IF(COUNTIFS(BD!$A$3:$A$5001,AD$3,BD!$B$3:$B$5001,$A$164,BD!$N$3:$N$5001,"&lt;&gt;")=0,"",SUMIFS(BD!$N$3:$N$5001,BD!$A$3:$A$5001,AD$3,BD!$B$3:$B$5001,$A$164)))</f>
        <v/>
      </c>
      <c r="AE176" s="225" t="str">
        <f>IF(AE$3="","",IF(COUNTIFS(BD!$A$3:$A$5001,AE$3,BD!$B$3:$B$5001,$A$164,BD!$N$3:$N$5001,"&lt;&gt;")=0,"",SUMIFS(BD!$N$3:$N$5001,BD!$A$3:$A$5001,AE$3,BD!$B$3:$B$5001,$A$164)))</f>
        <v/>
      </c>
      <c r="AF176" s="225" t="str">
        <f>IF(AF$3="","",IF(COUNTIFS(BD!$A$3:$A$5001,AF$3,BD!$B$3:$B$5001,$A$164,BD!$N$3:$N$5001,"&lt;&gt;")=0,"",SUMIFS(BD!$N$3:$N$5001,BD!$A$3:$A$5001,AF$3,BD!$B$3:$B$5001,$A$164)))</f>
        <v/>
      </c>
      <c r="AG176" s="225" t="str">
        <f>IF(AG$3="","",IF(COUNTIFS(BD!$A$3:$A$5001,AG$3,BD!$B$3:$B$5001,$A$164,BD!$N$3:$N$5001,"&lt;&gt;")=0,"",SUMIFS(BD!$N$3:$N$5001,BD!$A$3:$A$5001,AG$3,BD!$B$3:$B$5001,$A$164)))</f>
        <v/>
      </c>
      <c r="AH176" s="225" t="str">
        <f>IF(AH$3="","",IF(COUNTIFS(BD!$A$3:$A$5001,AH$3,BD!$B$3:$B$5001,$A$164,BD!$N$3:$N$5001,"&lt;&gt;")=0,"",SUMIFS(BD!$N$3:$N$5001,BD!$A$3:$A$5001,AH$3,BD!$B$3:$B$5001,$A$164)))</f>
        <v/>
      </c>
      <c r="AI176" s="225" t="str">
        <f>IF(AI$3="","",IF(COUNTIFS(BD!$A$3:$A$5001,AI$3,BD!$B$3:$B$5001,$A$164,BD!$N$3:$N$5001,"&lt;&gt;")=0,"",SUMIFS(BD!$N$3:$N$5001,BD!$A$3:$A$5001,AI$3,BD!$B$3:$B$5001,$A$164)))</f>
        <v/>
      </c>
      <c r="AJ176" s="226" t="str">
        <f>IF(AJ$3="","",IF(COUNTIFS(BD!$A$3:$A$5001,AJ$3,BD!$B$3:$B$5001,$A$164,BD!$N$3:$N$5001,"&lt;&gt;")=0,"",SUMIFS(BD!$N$3:$N$5001,BD!$A$3:$A$5001,AJ$3,BD!$B$3:$B$5001,$A$164)))</f>
        <v/>
      </c>
      <c r="AK176" s="227" t="str">
        <f>IFERROR(LOOKUP(9.99E+307,F176:AJ176),"")</f>
        <v/>
      </c>
    </row>
    <row r="177" ht="15.75" customHeight="1" hidden="1">
      <c r="A177" s="254"/>
      <c r="B177" s="251"/>
      <c r="C177" s="228" t="inlineStr">
        <is>
          <t xml:space="preserve">Falta</t>
        </is>
      </c>
      <c r="D177" s="229" t="str">
        <f>IFERROR(1/(1/INDEX(BD!$Y$36:$AS$36,MATCH($A$164,BD!$Y$22:$AS$22,0))),"")</f>
        <v/>
      </c>
      <c r="E177" s="230"/>
      <c r="F177" s="231" t="str">
        <f>IF(F$3="","",IF(COUNTIFS(BD!$A$3:$A$5001,F$3,BD!$B$3:$B$5001,$A$164,BD!$O$3:$O$5001,"&lt;&gt;")=0,"",SUMIFS(BD!$O$3:$O$5001,BD!$A$3:$A$5001,F$3,BD!$B$3:$B$5001,$A$164)))</f>
        <v/>
      </c>
      <c r="G177" s="232" t="str">
        <f>IF(G$3="","",IF(COUNTIFS(BD!$A$3:$A$5001,G$3,BD!$B$3:$B$5001,$A$164,BD!$O$3:$O$5001,"&lt;&gt;")=0,"",SUMIFS(BD!$O$3:$O$5001,BD!$A$3:$A$5001,G$3,BD!$B$3:$B$5001,$A$164)))</f>
        <v/>
      </c>
      <c r="H177" s="232" t="str">
        <f>IF(H$3="","",IF(COUNTIFS(BD!$A$3:$A$5001,H$3,BD!$B$3:$B$5001,$A$164,BD!$O$3:$O$5001,"&lt;&gt;")=0,"",SUMIFS(BD!$O$3:$O$5001,BD!$A$3:$A$5001,H$3,BD!$B$3:$B$5001,$A$164)))</f>
        <v/>
      </c>
      <c r="I177" s="232" t="str">
        <f>IF(I$3="","",IF(COUNTIFS(BD!$A$3:$A$5001,I$3,BD!$B$3:$B$5001,$A$164,BD!$O$3:$O$5001,"&lt;&gt;")=0,"",SUMIFS(BD!$O$3:$O$5001,BD!$A$3:$A$5001,I$3,BD!$B$3:$B$5001,$A$164)))</f>
        <v/>
      </c>
      <c r="J177" s="232" t="str">
        <f>IF(J$3="","",IF(COUNTIFS(BD!$A$3:$A$5001,J$3,BD!$B$3:$B$5001,$A$164,BD!$O$3:$O$5001,"&lt;&gt;")=0,"",SUMIFS(BD!$O$3:$O$5001,BD!$A$3:$A$5001,J$3,BD!$B$3:$B$5001,$A$164)))</f>
        <v/>
      </c>
      <c r="K177" s="232" t="str">
        <f>IF(K$3="","",IF(COUNTIFS(BD!$A$3:$A$5001,K$3,BD!$B$3:$B$5001,$A$164,BD!$O$3:$O$5001,"&lt;&gt;")=0,"",SUMIFS(BD!$O$3:$O$5001,BD!$A$3:$A$5001,K$3,BD!$B$3:$B$5001,$A$164)))</f>
        <v/>
      </c>
      <c r="L177" s="232" t="str">
        <f>IF(L$3="","",IF(COUNTIFS(BD!$A$3:$A$5001,L$3,BD!$B$3:$B$5001,$A$164,BD!$O$3:$O$5001,"&lt;&gt;")=0,"",SUMIFS(BD!$O$3:$O$5001,BD!$A$3:$A$5001,L$3,BD!$B$3:$B$5001,$A$164)))</f>
        <v/>
      </c>
      <c r="M177" s="232" t="str">
        <f>IF(M$3="","",IF(COUNTIFS(BD!$A$3:$A$5001,M$3,BD!$B$3:$B$5001,$A$164,BD!$O$3:$O$5001,"&lt;&gt;")=0,"",SUMIFS(BD!$O$3:$O$5001,BD!$A$3:$A$5001,M$3,BD!$B$3:$B$5001,$A$164)))</f>
        <v/>
      </c>
      <c r="N177" s="232" t="str">
        <f>IF(N$3="","",IF(COUNTIFS(BD!$A$3:$A$5001,N$3,BD!$B$3:$B$5001,$A$164,BD!$O$3:$O$5001,"&lt;&gt;")=0,"",SUMIFS(BD!$O$3:$O$5001,BD!$A$3:$A$5001,N$3,BD!$B$3:$B$5001,$A$164)))</f>
        <v/>
      </c>
      <c r="O177" s="232" t="str">
        <f>IF(O$3="","",IF(COUNTIFS(BD!$A$3:$A$5001,O$3,BD!$B$3:$B$5001,$A$164,BD!$O$3:$O$5001,"&lt;&gt;")=0,"",SUMIFS(BD!$O$3:$O$5001,BD!$A$3:$A$5001,O$3,BD!$B$3:$B$5001,$A$164)))</f>
        <v/>
      </c>
      <c r="P177" s="232" t="str">
        <f>IF(P$3="","",IF(COUNTIFS(BD!$A$3:$A$5001,P$3,BD!$B$3:$B$5001,$A$164,BD!$O$3:$O$5001,"&lt;&gt;")=0,"",SUMIFS(BD!$O$3:$O$5001,BD!$A$3:$A$5001,P$3,BD!$B$3:$B$5001,$A$164)))</f>
        <v/>
      </c>
      <c r="Q177" s="232" t="str">
        <f>IF(Q$3="","",IF(COUNTIFS(BD!$A$3:$A$5001,Q$3,BD!$B$3:$B$5001,$A$164,BD!$O$3:$O$5001,"&lt;&gt;")=0,"",SUMIFS(BD!$O$3:$O$5001,BD!$A$3:$A$5001,Q$3,BD!$B$3:$B$5001,$A$164)))</f>
        <v/>
      </c>
      <c r="R177" s="232" t="str">
        <f>IF(R$3="","",IF(COUNTIFS(BD!$A$3:$A$5001,R$3,BD!$B$3:$B$5001,$A$164,BD!$O$3:$O$5001,"&lt;&gt;")=0,"",SUMIFS(BD!$O$3:$O$5001,BD!$A$3:$A$5001,R$3,BD!$B$3:$B$5001,$A$164)))</f>
        <v/>
      </c>
      <c r="S177" s="232" t="str">
        <f>IF(S$3="","",IF(COUNTIFS(BD!$A$3:$A$5001,S$3,BD!$B$3:$B$5001,$A$164,BD!$O$3:$O$5001,"&lt;&gt;")=0,"",SUMIFS(BD!$O$3:$O$5001,BD!$A$3:$A$5001,S$3,BD!$B$3:$B$5001,$A$164)))</f>
        <v/>
      </c>
      <c r="T177" s="232" t="str">
        <f>IF(T$3="","",IF(COUNTIFS(BD!$A$3:$A$5001,T$3,BD!$B$3:$B$5001,$A$164,BD!$O$3:$O$5001,"&lt;&gt;")=0,"",SUMIFS(BD!$O$3:$O$5001,BD!$A$3:$A$5001,T$3,BD!$B$3:$B$5001,$A$164)))</f>
        <v/>
      </c>
      <c r="U177" s="232" t="str">
        <f>IF(U$3="","",IF(COUNTIFS(BD!$A$3:$A$5001,U$3,BD!$B$3:$B$5001,$A$164,BD!$O$3:$O$5001,"&lt;&gt;")=0,"",SUMIFS(BD!$O$3:$O$5001,BD!$A$3:$A$5001,U$3,BD!$B$3:$B$5001,$A$164)))</f>
        <v/>
      </c>
      <c r="V177" s="232" t="str">
        <f>IF(V$3="","",IF(COUNTIFS(BD!$A$3:$A$5001,V$3,BD!$B$3:$B$5001,$A$164,BD!$O$3:$O$5001,"&lt;&gt;")=0,"",SUMIFS(BD!$O$3:$O$5001,BD!$A$3:$A$5001,V$3,BD!$B$3:$B$5001,$A$164)))</f>
        <v/>
      </c>
      <c r="W177" s="232" t="str">
        <f>IF(W$3="","",IF(COUNTIFS(BD!$A$3:$A$5001,W$3,BD!$B$3:$B$5001,$A$164,BD!$O$3:$O$5001,"&lt;&gt;")=0,"",SUMIFS(BD!$O$3:$O$5001,BD!$A$3:$A$5001,W$3,BD!$B$3:$B$5001,$A$164)))</f>
        <v/>
      </c>
      <c r="X177" s="232" t="str">
        <f>IF(X$3="","",IF(COUNTIFS(BD!$A$3:$A$5001,X$3,BD!$B$3:$B$5001,$A$164,BD!$O$3:$O$5001,"&lt;&gt;")=0,"",SUMIFS(BD!$O$3:$O$5001,BD!$A$3:$A$5001,X$3,BD!$B$3:$B$5001,$A$164)))</f>
        <v/>
      </c>
      <c r="Y177" s="232" t="str">
        <f>IF(Y$3="","",IF(COUNTIFS(BD!$A$3:$A$5001,Y$3,BD!$B$3:$B$5001,$A$164,BD!$O$3:$O$5001,"&lt;&gt;")=0,"",SUMIFS(BD!$O$3:$O$5001,BD!$A$3:$A$5001,Y$3,BD!$B$3:$B$5001,$A$164)))</f>
        <v/>
      </c>
      <c r="Z177" s="232" t="str">
        <f>IF(Z$3="","",IF(COUNTIFS(BD!$A$3:$A$5001,Z$3,BD!$B$3:$B$5001,$A$164,BD!$O$3:$O$5001,"&lt;&gt;")=0,"",SUMIFS(BD!$O$3:$O$5001,BD!$A$3:$A$5001,Z$3,BD!$B$3:$B$5001,$A$164)))</f>
        <v/>
      </c>
      <c r="AA177" s="232" t="str">
        <f>IF(AA$3="","",IF(COUNTIFS(BD!$A$3:$A$5001,AA$3,BD!$B$3:$B$5001,$A$164,BD!$O$3:$O$5001,"&lt;&gt;")=0,"",SUMIFS(BD!$O$3:$O$5001,BD!$A$3:$A$5001,AA$3,BD!$B$3:$B$5001,$A$164)))</f>
        <v/>
      </c>
      <c r="AB177" s="232" t="str">
        <f>IF(AB$3="","",IF(COUNTIFS(BD!$A$3:$A$5001,AB$3,BD!$B$3:$B$5001,$A$164,BD!$O$3:$O$5001,"&lt;&gt;")=0,"",SUMIFS(BD!$O$3:$O$5001,BD!$A$3:$A$5001,AB$3,BD!$B$3:$B$5001,$A$164)))</f>
        <v/>
      </c>
      <c r="AC177" s="232" t="str">
        <f>IF(AC$3="","",IF(COUNTIFS(BD!$A$3:$A$5001,AC$3,BD!$B$3:$B$5001,$A$164,BD!$O$3:$O$5001,"&lt;&gt;")=0,"",SUMIFS(BD!$O$3:$O$5001,BD!$A$3:$A$5001,AC$3,BD!$B$3:$B$5001,$A$164)))</f>
        <v/>
      </c>
      <c r="AD177" s="232" t="str">
        <f>IF(AD$3="","",IF(COUNTIFS(BD!$A$3:$A$5001,AD$3,BD!$B$3:$B$5001,$A$164,BD!$O$3:$O$5001,"&lt;&gt;")=0,"",SUMIFS(BD!$O$3:$O$5001,BD!$A$3:$A$5001,AD$3,BD!$B$3:$B$5001,$A$164)))</f>
        <v/>
      </c>
      <c r="AE177" s="232" t="str">
        <f>IF(AE$3="","",IF(COUNTIFS(BD!$A$3:$A$5001,AE$3,BD!$B$3:$B$5001,$A$164,BD!$O$3:$O$5001,"&lt;&gt;")=0,"",SUMIFS(BD!$O$3:$O$5001,BD!$A$3:$A$5001,AE$3,BD!$B$3:$B$5001,$A$164)))</f>
        <v/>
      </c>
      <c r="AF177" s="232" t="str">
        <f>IF(AF$3="","",IF(COUNTIFS(BD!$A$3:$A$5001,AF$3,BD!$B$3:$B$5001,$A$164,BD!$O$3:$O$5001,"&lt;&gt;")=0,"",SUMIFS(BD!$O$3:$O$5001,BD!$A$3:$A$5001,AF$3,BD!$B$3:$B$5001,$A$164)))</f>
        <v/>
      </c>
      <c r="AG177" s="232" t="str">
        <f>IF(AG$3="","",IF(COUNTIFS(BD!$A$3:$A$5001,AG$3,BD!$B$3:$B$5001,$A$164,BD!$O$3:$O$5001,"&lt;&gt;")=0,"",SUMIFS(BD!$O$3:$O$5001,BD!$A$3:$A$5001,AG$3,BD!$B$3:$B$5001,$A$164)))</f>
        <v/>
      </c>
      <c r="AH177" s="232" t="str">
        <f>IF(AH$3="","",IF(COUNTIFS(BD!$A$3:$A$5001,AH$3,BD!$B$3:$B$5001,$A$164,BD!$O$3:$O$5001,"&lt;&gt;")=0,"",SUMIFS(BD!$O$3:$O$5001,BD!$A$3:$A$5001,AH$3,BD!$B$3:$B$5001,$A$164)))</f>
        <v/>
      </c>
      <c r="AI177" s="232" t="str">
        <f>IF(AI$3="","",IF(COUNTIFS(BD!$A$3:$A$5001,AI$3,BD!$B$3:$B$5001,$A$164,BD!$O$3:$O$5001,"&lt;&gt;")=0,"",SUMIFS(BD!$O$3:$O$5001,BD!$A$3:$A$5001,AI$3,BD!$B$3:$B$5001,$A$164)))</f>
        <v/>
      </c>
      <c r="AJ177" s="233" t="str">
        <f>IF(AJ$3="","",IF(COUNTIFS(BD!$A$3:$A$5001,AJ$3,BD!$B$3:$B$5001,$A$164,BD!$O$3:$O$5001,"&lt;&gt;")=0,"",SUMIFS(BD!$O$3:$O$5001,BD!$A$3:$A$5001,AJ$3,BD!$B$3:$B$5001,$A$164)))</f>
        <v/>
      </c>
      <c r="AK177" s="234" t="str">
        <f>IF(COUNT(F177:AJ177)=0,"",SUM(F177:AJ177))</f>
        <v/>
      </c>
    </row>
    <row r="178" ht="15.75" customHeight="1" hidden="1">
      <c r="A178" s="254"/>
      <c r="B178" s="251"/>
      <c r="C178" s="228" t="inlineStr">
        <is>
          <t xml:space="preserve">Folga</t>
        </is>
      </c>
      <c r="D178" s="229" t="str">
        <f>IFERROR(1/(1/INDEX(BD!$Y$37:$AS$37,MATCH($A$164,BD!$Y$22:$AS$22,0))),"")</f>
        <v/>
      </c>
      <c r="E178" s="230"/>
      <c r="F178" s="231" t="str">
        <f>IF(F$3="","",IF(COUNTIFS(BD!$A$3:$A$5001,F$3,BD!$B$3:$B$5001,$A$164,BD!$P$3:$P$5001,"&lt;&gt;")=0,"",SUMIFS(BD!$P$3:$P$5001,BD!$A$3:$A$5001,F$3,BD!$B$3:$B$5001,$A$164)))</f>
        <v/>
      </c>
      <c r="G178" s="232" t="str">
        <f>IF(G$3="","",IF(COUNTIFS(BD!$A$3:$A$5001,G$3,BD!$B$3:$B$5001,$A$164,BD!$P$3:$P$5001,"&lt;&gt;")=0,"",SUMIFS(BD!$P$3:$P$5001,BD!$A$3:$A$5001,G$3,BD!$B$3:$B$5001,$A$164)))</f>
        <v/>
      </c>
      <c r="H178" s="232" t="str">
        <f>IF(H$3="","",IF(COUNTIFS(BD!$A$3:$A$5001,H$3,BD!$B$3:$B$5001,$A$164,BD!$P$3:$P$5001,"&lt;&gt;")=0,"",SUMIFS(BD!$P$3:$P$5001,BD!$A$3:$A$5001,H$3,BD!$B$3:$B$5001,$A$164)))</f>
        <v/>
      </c>
      <c r="I178" s="232" t="str">
        <f>IF(I$3="","",IF(COUNTIFS(BD!$A$3:$A$5001,I$3,BD!$B$3:$B$5001,$A$164,BD!$P$3:$P$5001,"&lt;&gt;")=0,"",SUMIFS(BD!$P$3:$P$5001,BD!$A$3:$A$5001,I$3,BD!$B$3:$B$5001,$A$164)))</f>
        <v/>
      </c>
      <c r="J178" s="232" t="str">
        <f>IF(J$3="","",IF(COUNTIFS(BD!$A$3:$A$5001,J$3,BD!$B$3:$B$5001,$A$164,BD!$P$3:$P$5001,"&lt;&gt;")=0,"",SUMIFS(BD!$P$3:$P$5001,BD!$A$3:$A$5001,J$3,BD!$B$3:$B$5001,$A$164)))</f>
        <v/>
      </c>
      <c r="K178" s="232" t="str">
        <f>IF(K$3="","",IF(COUNTIFS(BD!$A$3:$A$5001,K$3,BD!$B$3:$B$5001,$A$164,BD!$P$3:$P$5001,"&lt;&gt;")=0,"",SUMIFS(BD!$P$3:$P$5001,BD!$A$3:$A$5001,K$3,BD!$B$3:$B$5001,$A$164)))</f>
        <v/>
      </c>
      <c r="L178" s="232" t="str">
        <f>IF(L$3="","",IF(COUNTIFS(BD!$A$3:$A$5001,L$3,BD!$B$3:$B$5001,$A$164,BD!$P$3:$P$5001,"&lt;&gt;")=0,"",SUMIFS(BD!$P$3:$P$5001,BD!$A$3:$A$5001,L$3,BD!$B$3:$B$5001,$A$164)))</f>
        <v/>
      </c>
      <c r="M178" s="232" t="str">
        <f>IF(M$3="","",IF(COUNTIFS(BD!$A$3:$A$5001,M$3,BD!$B$3:$B$5001,$A$164,BD!$P$3:$P$5001,"&lt;&gt;")=0,"",SUMIFS(BD!$P$3:$P$5001,BD!$A$3:$A$5001,M$3,BD!$B$3:$B$5001,$A$164)))</f>
        <v/>
      </c>
      <c r="N178" s="232" t="str">
        <f>IF(N$3="","",IF(COUNTIFS(BD!$A$3:$A$5001,N$3,BD!$B$3:$B$5001,$A$164,BD!$P$3:$P$5001,"&lt;&gt;")=0,"",SUMIFS(BD!$P$3:$P$5001,BD!$A$3:$A$5001,N$3,BD!$B$3:$B$5001,$A$164)))</f>
        <v/>
      </c>
      <c r="O178" s="232" t="str">
        <f>IF(O$3="","",IF(COUNTIFS(BD!$A$3:$A$5001,O$3,BD!$B$3:$B$5001,$A$164,BD!$P$3:$P$5001,"&lt;&gt;")=0,"",SUMIFS(BD!$P$3:$P$5001,BD!$A$3:$A$5001,O$3,BD!$B$3:$B$5001,$A$164)))</f>
        <v/>
      </c>
      <c r="P178" s="232" t="str">
        <f>IF(P$3="","",IF(COUNTIFS(BD!$A$3:$A$5001,P$3,BD!$B$3:$B$5001,$A$164,BD!$P$3:$P$5001,"&lt;&gt;")=0,"",SUMIFS(BD!$P$3:$P$5001,BD!$A$3:$A$5001,P$3,BD!$B$3:$B$5001,$A$164)))</f>
        <v/>
      </c>
      <c r="Q178" s="232" t="str">
        <f>IF(Q$3="","",IF(COUNTIFS(BD!$A$3:$A$5001,Q$3,BD!$B$3:$B$5001,$A$164,BD!$P$3:$P$5001,"&lt;&gt;")=0,"",SUMIFS(BD!$P$3:$P$5001,BD!$A$3:$A$5001,Q$3,BD!$B$3:$B$5001,$A$164)))</f>
        <v/>
      </c>
      <c r="R178" s="232" t="str">
        <f>IF(R$3="","",IF(COUNTIFS(BD!$A$3:$A$5001,R$3,BD!$B$3:$B$5001,$A$164,BD!$P$3:$P$5001,"&lt;&gt;")=0,"",SUMIFS(BD!$P$3:$P$5001,BD!$A$3:$A$5001,R$3,BD!$B$3:$B$5001,$A$164)))</f>
        <v/>
      </c>
      <c r="S178" s="232" t="str">
        <f>IF(S$3="","",IF(COUNTIFS(BD!$A$3:$A$5001,S$3,BD!$B$3:$B$5001,$A$164,BD!$P$3:$P$5001,"&lt;&gt;")=0,"",SUMIFS(BD!$P$3:$P$5001,BD!$A$3:$A$5001,S$3,BD!$B$3:$B$5001,$A$164)))</f>
        <v/>
      </c>
      <c r="T178" s="232" t="str">
        <f>IF(T$3="","",IF(COUNTIFS(BD!$A$3:$A$5001,T$3,BD!$B$3:$B$5001,$A$164,BD!$P$3:$P$5001,"&lt;&gt;")=0,"",SUMIFS(BD!$P$3:$P$5001,BD!$A$3:$A$5001,T$3,BD!$B$3:$B$5001,$A$164)))</f>
        <v/>
      </c>
      <c r="U178" s="232" t="str">
        <f>IF(U$3="","",IF(COUNTIFS(BD!$A$3:$A$5001,U$3,BD!$B$3:$B$5001,$A$164,BD!$P$3:$P$5001,"&lt;&gt;")=0,"",SUMIFS(BD!$P$3:$P$5001,BD!$A$3:$A$5001,U$3,BD!$B$3:$B$5001,$A$164)))</f>
        <v/>
      </c>
      <c r="V178" s="232" t="str">
        <f>IF(V$3="","",IF(COUNTIFS(BD!$A$3:$A$5001,V$3,BD!$B$3:$B$5001,$A$164,BD!$P$3:$P$5001,"&lt;&gt;")=0,"",SUMIFS(BD!$P$3:$P$5001,BD!$A$3:$A$5001,V$3,BD!$B$3:$B$5001,$A$164)))</f>
        <v/>
      </c>
      <c r="W178" s="232" t="str">
        <f>IF(W$3="","",IF(COUNTIFS(BD!$A$3:$A$5001,W$3,BD!$B$3:$B$5001,$A$164,BD!$P$3:$P$5001,"&lt;&gt;")=0,"",SUMIFS(BD!$P$3:$P$5001,BD!$A$3:$A$5001,W$3,BD!$B$3:$B$5001,$A$164)))</f>
        <v/>
      </c>
      <c r="X178" s="232" t="str">
        <f>IF(X$3="","",IF(COUNTIFS(BD!$A$3:$A$5001,X$3,BD!$B$3:$B$5001,$A$164,BD!$P$3:$P$5001,"&lt;&gt;")=0,"",SUMIFS(BD!$P$3:$P$5001,BD!$A$3:$A$5001,X$3,BD!$B$3:$B$5001,$A$164)))</f>
        <v/>
      </c>
      <c r="Y178" s="232" t="str">
        <f>IF(Y$3="","",IF(COUNTIFS(BD!$A$3:$A$5001,Y$3,BD!$B$3:$B$5001,$A$164,BD!$P$3:$P$5001,"&lt;&gt;")=0,"",SUMIFS(BD!$P$3:$P$5001,BD!$A$3:$A$5001,Y$3,BD!$B$3:$B$5001,$A$164)))</f>
        <v/>
      </c>
      <c r="Z178" s="232" t="str">
        <f>IF(Z$3="","",IF(COUNTIFS(BD!$A$3:$A$5001,Z$3,BD!$B$3:$B$5001,$A$164,BD!$P$3:$P$5001,"&lt;&gt;")=0,"",SUMIFS(BD!$P$3:$P$5001,BD!$A$3:$A$5001,Z$3,BD!$B$3:$B$5001,$A$164)))</f>
        <v/>
      </c>
      <c r="AA178" s="232" t="str">
        <f>IF(AA$3="","",IF(COUNTIFS(BD!$A$3:$A$5001,AA$3,BD!$B$3:$B$5001,$A$164,BD!$P$3:$P$5001,"&lt;&gt;")=0,"",SUMIFS(BD!$P$3:$P$5001,BD!$A$3:$A$5001,AA$3,BD!$B$3:$B$5001,$A$164)))</f>
        <v/>
      </c>
      <c r="AB178" s="232" t="str">
        <f>IF(AB$3="","",IF(COUNTIFS(BD!$A$3:$A$5001,AB$3,BD!$B$3:$B$5001,$A$164,BD!$P$3:$P$5001,"&lt;&gt;")=0,"",SUMIFS(BD!$P$3:$P$5001,BD!$A$3:$A$5001,AB$3,BD!$B$3:$B$5001,$A$164)))</f>
        <v/>
      </c>
      <c r="AC178" s="232" t="str">
        <f>IF(AC$3="","",IF(COUNTIFS(BD!$A$3:$A$5001,AC$3,BD!$B$3:$B$5001,$A$164,BD!$P$3:$P$5001,"&lt;&gt;")=0,"",SUMIFS(BD!$P$3:$P$5001,BD!$A$3:$A$5001,AC$3,BD!$B$3:$B$5001,$A$164)))</f>
        <v/>
      </c>
      <c r="AD178" s="232" t="str">
        <f>IF(AD$3="","",IF(COUNTIFS(BD!$A$3:$A$5001,AD$3,BD!$B$3:$B$5001,$A$164,BD!$P$3:$P$5001,"&lt;&gt;")=0,"",SUMIFS(BD!$P$3:$P$5001,BD!$A$3:$A$5001,AD$3,BD!$B$3:$B$5001,$A$164)))</f>
        <v/>
      </c>
      <c r="AE178" s="232" t="str">
        <f>IF(AE$3="","",IF(COUNTIFS(BD!$A$3:$A$5001,AE$3,BD!$B$3:$B$5001,$A$164,BD!$P$3:$P$5001,"&lt;&gt;")=0,"",SUMIFS(BD!$P$3:$P$5001,BD!$A$3:$A$5001,AE$3,BD!$B$3:$B$5001,$A$164)))</f>
        <v/>
      </c>
      <c r="AF178" s="232" t="str">
        <f>IF(AF$3="","",IF(COUNTIFS(BD!$A$3:$A$5001,AF$3,BD!$B$3:$B$5001,$A$164,BD!$P$3:$P$5001,"&lt;&gt;")=0,"",SUMIFS(BD!$P$3:$P$5001,BD!$A$3:$A$5001,AF$3,BD!$B$3:$B$5001,$A$164)))</f>
        <v/>
      </c>
      <c r="AG178" s="232" t="str">
        <f>IF(AG$3="","",IF(COUNTIFS(BD!$A$3:$A$5001,AG$3,BD!$B$3:$B$5001,$A$164,BD!$P$3:$P$5001,"&lt;&gt;")=0,"",SUMIFS(BD!$P$3:$P$5001,BD!$A$3:$A$5001,AG$3,BD!$B$3:$B$5001,$A$164)))</f>
        <v/>
      </c>
      <c r="AH178" s="232" t="str">
        <f>IF(AH$3="","",IF(COUNTIFS(BD!$A$3:$A$5001,AH$3,BD!$B$3:$B$5001,$A$164,BD!$P$3:$P$5001,"&lt;&gt;")=0,"",SUMIFS(BD!$P$3:$P$5001,BD!$A$3:$A$5001,AH$3,BD!$B$3:$B$5001,$A$164)))</f>
        <v/>
      </c>
      <c r="AI178" s="232" t="str">
        <f>IF(AI$3="","",IF(COUNTIFS(BD!$A$3:$A$5001,AI$3,BD!$B$3:$B$5001,$A$164,BD!$P$3:$P$5001,"&lt;&gt;")=0,"",SUMIFS(BD!$P$3:$P$5001,BD!$A$3:$A$5001,AI$3,BD!$B$3:$B$5001,$A$164)))</f>
        <v/>
      </c>
      <c r="AJ178" s="233" t="str">
        <f>IF(AJ$3="","",IF(COUNTIFS(BD!$A$3:$A$5001,AJ$3,BD!$B$3:$B$5001,$A$164,BD!$P$3:$P$5001,"&lt;&gt;")=0,"",SUMIFS(BD!$P$3:$P$5001,BD!$A$3:$A$5001,AJ$3,BD!$B$3:$B$5001,$A$164)))</f>
        <v/>
      </c>
      <c r="AK178" s="234" t="str">
        <f>IF(COUNT(F178:AJ178)=0,"",SUM(F178:AJ178))</f>
        <v/>
      </c>
    </row>
    <row r="179" ht="15.75" customHeight="1" hidden="1">
      <c r="A179" s="254"/>
      <c r="B179" s="251"/>
      <c r="C179" s="228" t="inlineStr">
        <is>
          <t xml:space="preserve">Férias</t>
        </is>
      </c>
      <c r="D179" s="229" t="str">
        <f>IFERROR(1/(1/INDEX(BD!$Y$38:$AS$38,MATCH($A$164,BD!$Y$22:$AS$22,0))),"")</f>
        <v/>
      </c>
      <c r="E179" s="230"/>
      <c r="F179" s="231" t="str">
        <f>IF(F$3="","",IF(COUNTIFS(BD!$A$3:$A$5001,F$3,BD!$B$3:$B$5001,$A$164,BD!$Q$3:$Q$5001,"&lt;&gt;")=0,"",SUMIFS(BD!$Q$3:$Q$5001,BD!$A$3:$A$5001,F$3,BD!$B$3:$B$5001,$A$164)))</f>
        <v/>
      </c>
      <c r="G179" s="232" t="str">
        <f>IF(G$3="","",IF(COUNTIFS(BD!$A$3:$A$5001,G$3,BD!$B$3:$B$5001,$A$164,BD!$Q$3:$Q$5001,"&lt;&gt;")=0,"",SUMIFS(BD!$Q$3:$Q$5001,BD!$A$3:$A$5001,G$3,BD!$B$3:$B$5001,$A$164)))</f>
        <v/>
      </c>
      <c r="H179" s="232" t="str">
        <f>IF(H$3="","",IF(COUNTIFS(BD!$A$3:$A$5001,H$3,BD!$B$3:$B$5001,$A$164,BD!$Q$3:$Q$5001,"&lt;&gt;")=0,"",SUMIFS(BD!$Q$3:$Q$5001,BD!$A$3:$A$5001,H$3,BD!$B$3:$B$5001,$A$164)))</f>
        <v/>
      </c>
      <c r="I179" s="232" t="str">
        <f>IF(I$3="","",IF(COUNTIFS(BD!$A$3:$A$5001,I$3,BD!$B$3:$B$5001,$A$164,BD!$Q$3:$Q$5001,"&lt;&gt;")=0,"",SUMIFS(BD!$Q$3:$Q$5001,BD!$A$3:$A$5001,I$3,BD!$B$3:$B$5001,$A$164)))</f>
        <v/>
      </c>
      <c r="J179" s="232" t="str">
        <f>IF(J$3="","",IF(COUNTIFS(BD!$A$3:$A$5001,J$3,BD!$B$3:$B$5001,$A$164,BD!$Q$3:$Q$5001,"&lt;&gt;")=0,"",SUMIFS(BD!$Q$3:$Q$5001,BD!$A$3:$A$5001,J$3,BD!$B$3:$B$5001,$A$164)))</f>
        <v/>
      </c>
      <c r="K179" s="232" t="str">
        <f>IF(K$3="","",IF(COUNTIFS(BD!$A$3:$A$5001,K$3,BD!$B$3:$B$5001,$A$164,BD!$Q$3:$Q$5001,"&lt;&gt;")=0,"",SUMIFS(BD!$Q$3:$Q$5001,BD!$A$3:$A$5001,K$3,BD!$B$3:$B$5001,$A$164)))</f>
        <v/>
      </c>
      <c r="L179" s="232" t="str">
        <f>IF(L$3="","",IF(COUNTIFS(BD!$A$3:$A$5001,L$3,BD!$B$3:$B$5001,$A$164,BD!$Q$3:$Q$5001,"&lt;&gt;")=0,"",SUMIFS(BD!$Q$3:$Q$5001,BD!$A$3:$A$5001,L$3,BD!$B$3:$B$5001,$A$164)))</f>
        <v/>
      </c>
      <c r="M179" s="232" t="str">
        <f>IF(M$3="","",IF(COUNTIFS(BD!$A$3:$A$5001,M$3,BD!$B$3:$B$5001,$A$164,BD!$Q$3:$Q$5001,"&lt;&gt;")=0,"",SUMIFS(BD!$Q$3:$Q$5001,BD!$A$3:$A$5001,M$3,BD!$B$3:$B$5001,$A$164)))</f>
        <v/>
      </c>
      <c r="N179" s="232" t="str">
        <f>IF(N$3="","",IF(COUNTIFS(BD!$A$3:$A$5001,N$3,BD!$B$3:$B$5001,$A$164,BD!$Q$3:$Q$5001,"&lt;&gt;")=0,"",SUMIFS(BD!$Q$3:$Q$5001,BD!$A$3:$A$5001,N$3,BD!$B$3:$B$5001,$A$164)))</f>
        <v/>
      </c>
      <c r="O179" s="232" t="str">
        <f>IF(O$3="","",IF(COUNTIFS(BD!$A$3:$A$5001,O$3,BD!$B$3:$B$5001,$A$164,BD!$Q$3:$Q$5001,"&lt;&gt;")=0,"",SUMIFS(BD!$Q$3:$Q$5001,BD!$A$3:$A$5001,O$3,BD!$B$3:$B$5001,$A$164)))</f>
        <v/>
      </c>
      <c r="P179" s="232" t="str">
        <f>IF(P$3="","",IF(COUNTIFS(BD!$A$3:$A$5001,P$3,BD!$B$3:$B$5001,$A$164,BD!$Q$3:$Q$5001,"&lt;&gt;")=0,"",SUMIFS(BD!$Q$3:$Q$5001,BD!$A$3:$A$5001,P$3,BD!$B$3:$B$5001,$A$164)))</f>
        <v/>
      </c>
      <c r="Q179" s="232" t="str">
        <f>IF(Q$3="","",IF(COUNTIFS(BD!$A$3:$A$5001,Q$3,BD!$B$3:$B$5001,$A$164,BD!$Q$3:$Q$5001,"&lt;&gt;")=0,"",SUMIFS(BD!$Q$3:$Q$5001,BD!$A$3:$A$5001,Q$3,BD!$B$3:$B$5001,$A$164)))</f>
        <v/>
      </c>
      <c r="R179" s="232" t="str">
        <f>IF(R$3="","",IF(COUNTIFS(BD!$A$3:$A$5001,R$3,BD!$B$3:$B$5001,$A$164,BD!$Q$3:$Q$5001,"&lt;&gt;")=0,"",SUMIFS(BD!$Q$3:$Q$5001,BD!$A$3:$A$5001,R$3,BD!$B$3:$B$5001,$A$164)))</f>
        <v/>
      </c>
      <c r="S179" s="232" t="str">
        <f>IF(S$3="","",IF(COUNTIFS(BD!$A$3:$A$5001,S$3,BD!$B$3:$B$5001,$A$164,BD!$Q$3:$Q$5001,"&lt;&gt;")=0,"",SUMIFS(BD!$Q$3:$Q$5001,BD!$A$3:$A$5001,S$3,BD!$B$3:$B$5001,$A$164)))</f>
        <v/>
      </c>
      <c r="T179" s="232" t="str">
        <f>IF(T$3="","",IF(COUNTIFS(BD!$A$3:$A$5001,T$3,BD!$B$3:$B$5001,$A$164,BD!$Q$3:$Q$5001,"&lt;&gt;")=0,"",SUMIFS(BD!$Q$3:$Q$5001,BD!$A$3:$A$5001,T$3,BD!$B$3:$B$5001,$A$164)))</f>
        <v/>
      </c>
      <c r="U179" s="232" t="str">
        <f>IF(U$3="","",IF(COUNTIFS(BD!$A$3:$A$5001,U$3,BD!$B$3:$B$5001,$A$164,BD!$Q$3:$Q$5001,"&lt;&gt;")=0,"",SUMIFS(BD!$Q$3:$Q$5001,BD!$A$3:$A$5001,U$3,BD!$B$3:$B$5001,$A$164)))</f>
        <v/>
      </c>
      <c r="V179" s="232" t="str">
        <f>IF(V$3="","",IF(COUNTIFS(BD!$A$3:$A$5001,V$3,BD!$B$3:$B$5001,$A$164,BD!$Q$3:$Q$5001,"&lt;&gt;")=0,"",SUMIFS(BD!$Q$3:$Q$5001,BD!$A$3:$A$5001,V$3,BD!$B$3:$B$5001,$A$164)))</f>
        <v/>
      </c>
      <c r="W179" s="232" t="str">
        <f>IF(W$3="","",IF(COUNTIFS(BD!$A$3:$A$5001,W$3,BD!$B$3:$B$5001,$A$164,BD!$Q$3:$Q$5001,"&lt;&gt;")=0,"",SUMIFS(BD!$Q$3:$Q$5001,BD!$A$3:$A$5001,W$3,BD!$B$3:$B$5001,$A$164)))</f>
        <v/>
      </c>
      <c r="X179" s="232" t="str">
        <f>IF(X$3="","",IF(COUNTIFS(BD!$A$3:$A$5001,X$3,BD!$B$3:$B$5001,$A$164,BD!$Q$3:$Q$5001,"&lt;&gt;")=0,"",SUMIFS(BD!$Q$3:$Q$5001,BD!$A$3:$A$5001,X$3,BD!$B$3:$B$5001,$A$164)))</f>
        <v/>
      </c>
      <c r="Y179" s="232" t="str">
        <f>IF(Y$3="","",IF(COUNTIFS(BD!$A$3:$A$5001,Y$3,BD!$B$3:$B$5001,$A$164,BD!$Q$3:$Q$5001,"&lt;&gt;")=0,"",SUMIFS(BD!$Q$3:$Q$5001,BD!$A$3:$A$5001,Y$3,BD!$B$3:$B$5001,$A$164)))</f>
        <v/>
      </c>
      <c r="Z179" s="232" t="str">
        <f>IF(Z$3="","",IF(COUNTIFS(BD!$A$3:$A$5001,Z$3,BD!$B$3:$B$5001,$A$164,BD!$Q$3:$Q$5001,"&lt;&gt;")=0,"",SUMIFS(BD!$Q$3:$Q$5001,BD!$A$3:$A$5001,Z$3,BD!$B$3:$B$5001,$A$164)))</f>
        <v/>
      </c>
      <c r="AA179" s="232" t="str">
        <f>IF(AA$3="","",IF(COUNTIFS(BD!$A$3:$A$5001,AA$3,BD!$B$3:$B$5001,$A$164,BD!$Q$3:$Q$5001,"&lt;&gt;")=0,"",SUMIFS(BD!$Q$3:$Q$5001,BD!$A$3:$A$5001,AA$3,BD!$B$3:$B$5001,$A$164)))</f>
        <v/>
      </c>
      <c r="AB179" s="232" t="str">
        <f>IF(AB$3="","",IF(COUNTIFS(BD!$A$3:$A$5001,AB$3,BD!$B$3:$B$5001,$A$164,BD!$Q$3:$Q$5001,"&lt;&gt;")=0,"",SUMIFS(BD!$Q$3:$Q$5001,BD!$A$3:$A$5001,AB$3,BD!$B$3:$B$5001,$A$164)))</f>
        <v/>
      </c>
      <c r="AC179" s="232" t="str">
        <f>IF(AC$3="","",IF(COUNTIFS(BD!$A$3:$A$5001,AC$3,BD!$B$3:$B$5001,$A$164,BD!$Q$3:$Q$5001,"&lt;&gt;")=0,"",SUMIFS(BD!$Q$3:$Q$5001,BD!$A$3:$A$5001,AC$3,BD!$B$3:$B$5001,$A$164)))</f>
        <v/>
      </c>
      <c r="AD179" s="232" t="str">
        <f>IF(AD$3="","",IF(COUNTIFS(BD!$A$3:$A$5001,AD$3,BD!$B$3:$B$5001,$A$164,BD!$Q$3:$Q$5001,"&lt;&gt;")=0,"",SUMIFS(BD!$Q$3:$Q$5001,BD!$A$3:$A$5001,AD$3,BD!$B$3:$B$5001,$A$164)))</f>
        <v/>
      </c>
      <c r="AE179" s="232" t="str">
        <f>IF(AE$3="","",IF(COUNTIFS(BD!$A$3:$A$5001,AE$3,BD!$B$3:$B$5001,$A$164,BD!$Q$3:$Q$5001,"&lt;&gt;")=0,"",SUMIFS(BD!$Q$3:$Q$5001,BD!$A$3:$A$5001,AE$3,BD!$B$3:$B$5001,$A$164)))</f>
        <v/>
      </c>
      <c r="AF179" s="232" t="str">
        <f>IF(AF$3="","",IF(COUNTIFS(BD!$A$3:$A$5001,AF$3,BD!$B$3:$B$5001,$A$164,BD!$Q$3:$Q$5001,"&lt;&gt;")=0,"",SUMIFS(BD!$Q$3:$Q$5001,BD!$A$3:$A$5001,AF$3,BD!$B$3:$B$5001,$A$164)))</f>
        <v/>
      </c>
      <c r="AG179" s="232" t="str">
        <f>IF(AG$3="","",IF(COUNTIFS(BD!$A$3:$A$5001,AG$3,BD!$B$3:$B$5001,$A$164,BD!$Q$3:$Q$5001,"&lt;&gt;")=0,"",SUMIFS(BD!$Q$3:$Q$5001,BD!$A$3:$A$5001,AG$3,BD!$B$3:$B$5001,$A$164)))</f>
        <v/>
      </c>
      <c r="AH179" s="232" t="str">
        <f>IF(AH$3="","",IF(COUNTIFS(BD!$A$3:$A$5001,AH$3,BD!$B$3:$B$5001,$A$164,BD!$Q$3:$Q$5001,"&lt;&gt;")=0,"",SUMIFS(BD!$Q$3:$Q$5001,BD!$A$3:$A$5001,AH$3,BD!$B$3:$B$5001,$A$164)))</f>
        <v/>
      </c>
      <c r="AI179" s="232" t="str">
        <f>IF(AI$3="","",IF(COUNTIFS(BD!$A$3:$A$5001,AI$3,BD!$B$3:$B$5001,$A$164,BD!$Q$3:$Q$5001,"&lt;&gt;")=0,"",SUMIFS(BD!$Q$3:$Q$5001,BD!$A$3:$A$5001,AI$3,BD!$B$3:$B$5001,$A$164)))</f>
        <v/>
      </c>
      <c r="AJ179" s="233" t="str">
        <f>IF(AJ$3="","",IF(COUNTIFS(BD!$A$3:$A$5001,AJ$3,BD!$B$3:$B$5001,$A$164,BD!$Q$3:$Q$5001,"&lt;&gt;")=0,"",SUMIFS(BD!$Q$3:$Q$5001,BD!$A$3:$A$5001,AJ$3,BD!$B$3:$B$5001,$A$164)))</f>
        <v/>
      </c>
      <c r="AK179" s="234" t="str">
        <f>IF(COUNT(F179:AJ179)=0,"",SUM(F179:AJ179))</f>
        <v/>
      </c>
    </row>
    <row r="180" ht="15.75" customHeight="1" hidden="1">
      <c r="A180" s="254"/>
      <c r="B180" s="251"/>
      <c r="C180" s="228" t="inlineStr">
        <is>
          <t xml:space="preserve">Desligamento</t>
        </is>
      </c>
      <c r="D180" s="229" t="str">
        <f>IFERROR(1/(1/INDEX(BD!$Y$39:$AS$39,MATCH($A$164,BD!$Y$22:$AS$22,0))),"")</f>
        <v/>
      </c>
      <c r="E180" s="230"/>
      <c r="F180" s="231" t="str">
        <f>IF(F$3="","",IF(COUNTIFS(BD!$A$3:$A$5001,F$3,BD!$B$3:$B$5001,$A$164,BD!$R$3:$R$5001,"&lt;&gt;")=0,"",SUMIFS(BD!$R$3:$R$5001,BD!$A$3:$A$5001,F$3,BD!$B$3:$B$5001,$A$164)))</f>
        <v/>
      </c>
      <c r="G180" s="232" t="str">
        <f>IF(G$3="","",IF(COUNTIFS(BD!$A$3:$A$5001,G$3,BD!$B$3:$B$5001,$A$164,BD!$R$3:$R$5001,"&lt;&gt;")=0,"",SUMIFS(BD!$R$3:$R$5001,BD!$A$3:$A$5001,G$3,BD!$B$3:$B$5001,$A$164)))</f>
        <v/>
      </c>
      <c r="H180" s="232" t="str">
        <f>IF(H$3="","",IF(COUNTIFS(BD!$A$3:$A$5001,H$3,BD!$B$3:$B$5001,$A$164,BD!$R$3:$R$5001,"&lt;&gt;")=0,"",SUMIFS(BD!$R$3:$R$5001,BD!$A$3:$A$5001,H$3,BD!$B$3:$B$5001,$A$164)))</f>
        <v/>
      </c>
      <c r="I180" s="232" t="str">
        <f>IF(I$3="","",IF(COUNTIFS(BD!$A$3:$A$5001,I$3,BD!$B$3:$B$5001,$A$164,BD!$R$3:$R$5001,"&lt;&gt;")=0,"",SUMIFS(BD!$R$3:$R$5001,BD!$A$3:$A$5001,I$3,BD!$B$3:$B$5001,$A$164)))</f>
        <v/>
      </c>
      <c r="J180" s="232" t="str">
        <f>IF(J$3="","",IF(COUNTIFS(BD!$A$3:$A$5001,J$3,BD!$B$3:$B$5001,$A$164,BD!$R$3:$R$5001,"&lt;&gt;")=0,"",SUMIFS(BD!$R$3:$R$5001,BD!$A$3:$A$5001,J$3,BD!$B$3:$B$5001,$A$164)))</f>
        <v/>
      </c>
      <c r="K180" s="232" t="str">
        <f>IF(K$3="","",IF(COUNTIFS(BD!$A$3:$A$5001,K$3,BD!$B$3:$B$5001,$A$164,BD!$R$3:$R$5001,"&lt;&gt;")=0,"",SUMIFS(BD!$R$3:$R$5001,BD!$A$3:$A$5001,K$3,BD!$B$3:$B$5001,$A$164)))</f>
        <v/>
      </c>
      <c r="L180" s="232" t="str">
        <f>IF(L$3="","",IF(COUNTIFS(BD!$A$3:$A$5001,L$3,BD!$B$3:$B$5001,$A$164,BD!$R$3:$R$5001,"&lt;&gt;")=0,"",SUMIFS(BD!$R$3:$R$5001,BD!$A$3:$A$5001,L$3,BD!$B$3:$B$5001,$A$164)))</f>
        <v/>
      </c>
      <c r="M180" s="232" t="str">
        <f>IF(M$3="","",IF(COUNTIFS(BD!$A$3:$A$5001,M$3,BD!$B$3:$B$5001,$A$164,BD!$R$3:$R$5001,"&lt;&gt;")=0,"",SUMIFS(BD!$R$3:$R$5001,BD!$A$3:$A$5001,M$3,BD!$B$3:$B$5001,$A$164)))</f>
        <v/>
      </c>
      <c r="N180" s="232" t="str">
        <f>IF(N$3="","",IF(COUNTIFS(BD!$A$3:$A$5001,N$3,BD!$B$3:$B$5001,$A$164,BD!$R$3:$R$5001,"&lt;&gt;")=0,"",SUMIFS(BD!$R$3:$R$5001,BD!$A$3:$A$5001,N$3,BD!$B$3:$B$5001,$A$164)))</f>
        <v/>
      </c>
      <c r="O180" s="232" t="str">
        <f>IF(O$3="","",IF(COUNTIFS(BD!$A$3:$A$5001,O$3,BD!$B$3:$B$5001,$A$164,BD!$R$3:$R$5001,"&lt;&gt;")=0,"",SUMIFS(BD!$R$3:$R$5001,BD!$A$3:$A$5001,O$3,BD!$B$3:$B$5001,$A$164)))</f>
        <v/>
      </c>
      <c r="P180" s="232" t="str">
        <f>IF(P$3="","",IF(COUNTIFS(BD!$A$3:$A$5001,P$3,BD!$B$3:$B$5001,$A$164,BD!$R$3:$R$5001,"&lt;&gt;")=0,"",SUMIFS(BD!$R$3:$R$5001,BD!$A$3:$A$5001,P$3,BD!$B$3:$B$5001,$A$164)))</f>
        <v/>
      </c>
      <c r="Q180" s="232" t="str">
        <f>IF(Q$3="","",IF(COUNTIFS(BD!$A$3:$A$5001,Q$3,BD!$B$3:$B$5001,$A$164,BD!$R$3:$R$5001,"&lt;&gt;")=0,"",SUMIFS(BD!$R$3:$R$5001,BD!$A$3:$A$5001,Q$3,BD!$B$3:$B$5001,$A$164)))</f>
        <v/>
      </c>
      <c r="R180" s="232" t="str">
        <f>IF(R$3="","",IF(COUNTIFS(BD!$A$3:$A$5001,R$3,BD!$B$3:$B$5001,$A$164,BD!$R$3:$R$5001,"&lt;&gt;")=0,"",SUMIFS(BD!$R$3:$R$5001,BD!$A$3:$A$5001,R$3,BD!$B$3:$B$5001,$A$164)))</f>
        <v/>
      </c>
      <c r="S180" s="232" t="str">
        <f>IF(S$3="","",IF(COUNTIFS(BD!$A$3:$A$5001,S$3,BD!$B$3:$B$5001,$A$164,BD!$R$3:$R$5001,"&lt;&gt;")=0,"",SUMIFS(BD!$R$3:$R$5001,BD!$A$3:$A$5001,S$3,BD!$B$3:$B$5001,$A$164)))</f>
        <v/>
      </c>
      <c r="T180" s="232" t="str">
        <f>IF(T$3="","",IF(COUNTIFS(BD!$A$3:$A$5001,T$3,BD!$B$3:$B$5001,$A$164,BD!$R$3:$R$5001,"&lt;&gt;")=0,"",SUMIFS(BD!$R$3:$R$5001,BD!$A$3:$A$5001,T$3,BD!$B$3:$B$5001,$A$164)))</f>
        <v/>
      </c>
      <c r="U180" s="232" t="str">
        <f>IF(U$3="","",IF(COUNTIFS(BD!$A$3:$A$5001,U$3,BD!$B$3:$B$5001,$A$164,BD!$R$3:$R$5001,"&lt;&gt;")=0,"",SUMIFS(BD!$R$3:$R$5001,BD!$A$3:$A$5001,U$3,BD!$B$3:$B$5001,$A$164)))</f>
        <v/>
      </c>
      <c r="V180" s="232" t="str">
        <f>IF(V$3="","",IF(COUNTIFS(BD!$A$3:$A$5001,V$3,BD!$B$3:$B$5001,$A$164,BD!$R$3:$R$5001,"&lt;&gt;")=0,"",SUMIFS(BD!$R$3:$R$5001,BD!$A$3:$A$5001,V$3,BD!$B$3:$B$5001,$A$164)))</f>
        <v/>
      </c>
      <c r="W180" s="232" t="str">
        <f>IF(W$3="","",IF(COUNTIFS(BD!$A$3:$A$5001,W$3,BD!$B$3:$B$5001,$A$164,BD!$R$3:$R$5001,"&lt;&gt;")=0,"",SUMIFS(BD!$R$3:$R$5001,BD!$A$3:$A$5001,W$3,BD!$B$3:$B$5001,$A$164)))</f>
        <v/>
      </c>
      <c r="X180" s="232" t="str">
        <f>IF(X$3="","",IF(COUNTIFS(BD!$A$3:$A$5001,X$3,BD!$B$3:$B$5001,$A$164,BD!$R$3:$R$5001,"&lt;&gt;")=0,"",SUMIFS(BD!$R$3:$R$5001,BD!$A$3:$A$5001,X$3,BD!$B$3:$B$5001,$A$164)))</f>
        <v/>
      </c>
      <c r="Y180" s="232" t="str">
        <f>IF(Y$3="","",IF(COUNTIFS(BD!$A$3:$A$5001,Y$3,BD!$B$3:$B$5001,$A$164,BD!$R$3:$R$5001,"&lt;&gt;")=0,"",SUMIFS(BD!$R$3:$R$5001,BD!$A$3:$A$5001,Y$3,BD!$B$3:$B$5001,$A$164)))</f>
        <v/>
      </c>
      <c r="Z180" s="232" t="str">
        <f>IF(Z$3="","",IF(COUNTIFS(BD!$A$3:$A$5001,Z$3,BD!$B$3:$B$5001,$A$164,BD!$R$3:$R$5001,"&lt;&gt;")=0,"",SUMIFS(BD!$R$3:$R$5001,BD!$A$3:$A$5001,Z$3,BD!$B$3:$B$5001,$A$164)))</f>
        <v/>
      </c>
      <c r="AA180" s="232" t="str">
        <f>IF(AA$3="","",IF(COUNTIFS(BD!$A$3:$A$5001,AA$3,BD!$B$3:$B$5001,$A$164,BD!$R$3:$R$5001,"&lt;&gt;")=0,"",SUMIFS(BD!$R$3:$R$5001,BD!$A$3:$A$5001,AA$3,BD!$B$3:$B$5001,$A$164)))</f>
        <v/>
      </c>
      <c r="AB180" s="232" t="str">
        <f>IF(AB$3="","",IF(COUNTIFS(BD!$A$3:$A$5001,AB$3,BD!$B$3:$B$5001,$A$164,BD!$R$3:$R$5001,"&lt;&gt;")=0,"",SUMIFS(BD!$R$3:$R$5001,BD!$A$3:$A$5001,AB$3,BD!$B$3:$B$5001,$A$164)))</f>
        <v/>
      </c>
      <c r="AC180" s="232" t="str">
        <f>IF(AC$3="","",IF(COUNTIFS(BD!$A$3:$A$5001,AC$3,BD!$B$3:$B$5001,$A$164,BD!$R$3:$R$5001,"&lt;&gt;")=0,"",SUMIFS(BD!$R$3:$R$5001,BD!$A$3:$A$5001,AC$3,BD!$B$3:$B$5001,$A$164)))</f>
        <v/>
      </c>
      <c r="AD180" s="232" t="str">
        <f>IF(AD$3="","",IF(COUNTIFS(BD!$A$3:$A$5001,AD$3,BD!$B$3:$B$5001,$A$164,BD!$R$3:$R$5001,"&lt;&gt;")=0,"",SUMIFS(BD!$R$3:$R$5001,BD!$A$3:$A$5001,AD$3,BD!$B$3:$B$5001,$A$164)))</f>
        <v/>
      </c>
      <c r="AE180" s="232" t="str">
        <f>IF(AE$3="","",IF(COUNTIFS(BD!$A$3:$A$5001,AE$3,BD!$B$3:$B$5001,$A$164,BD!$R$3:$R$5001,"&lt;&gt;")=0,"",SUMIFS(BD!$R$3:$R$5001,BD!$A$3:$A$5001,AE$3,BD!$B$3:$B$5001,$A$164)))</f>
        <v/>
      </c>
      <c r="AF180" s="232" t="str">
        <f>IF(AF$3="","",IF(COUNTIFS(BD!$A$3:$A$5001,AF$3,BD!$B$3:$B$5001,$A$164,BD!$R$3:$R$5001,"&lt;&gt;")=0,"",SUMIFS(BD!$R$3:$R$5001,BD!$A$3:$A$5001,AF$3,BD!$B$3:$B$5001,$A$164)))</f>
        <v/>
      </c>
      <c r="AG180" s="232" t="str">
        <f>IF(AG$3="","",IF(COUNTIFS(BD!$A$3:$A$5001,AG$3,BD!$B$3:$B$5001,$A$164,BD!$R$3:$R$5001,"&lt;&gt;")=0,"",SUMIFS(BD!$R$3:$R$5001,BD!$A$3:$A$5001,AG$3,BD!$B$3:$B$5001,$A$164)))</f>
        <v/>
      </c>
      <c r="AH180" s="232" t="str">
        <f>IF(AH$3="","",IF(COUNTIFS(BD!$A$3:$A$5001,AH$3,BD!$B$3:$B$5001,$A$164,BD!$R$3:$R$5001,"&lt;&gt;")=0,"",SUMIFS(BD!$R$3:$R$5001,BD!$A$3:$A$5001,AH$3,BD!$B$3:$B$5001,$A$164)))</f>
        <v/>
      </c>
      <c r="AI180" s="232" t="str">
        <f>IF(AI$3="","",IF(COUNTIFS(BD!$A$3:$A$5001,AI$3,BD!$B$3:$B$5001,$A$164,BD!$R$3:$R$5001,"&lt;&gt;")=0,"",SUMIFS(BD!$R$3:$R$5001,BD!$A$3:$A$5001,AI$3,BD!$B$3:$B$5001,$A$164)))</f>
        <v/>
      </c>
      <c r="AJ180" s="233" t="str">
        <f>IF(AJ$3="","",IF(COUNTIFS(BD!$A$3:$A$5001,AJ$3,BD!$B$3:$B$5001,$A$164,BD!$R$3:$R$5001,"&lt;&gt;")=0,"",SUMIFS(BD!$R$3:$R$5001,BD!$A$3:$A$5001,AJ$3,BD!$B$3:$B$5001,$A$164)))</f>
        <v/>
      </c>
      <c r="AK180" s="234" t="str">
        <f>IF(COUNT(F180:AJ180)=0,"",SUM(F180:AJ180))</f>
        <v/>
      </c>
    </row>
    <row r="181" ht="15.75" customHeight="1" hidden="1">
      <c r="A181" s="254"/>
      <c r="B181" s="251"/>
      <c r="C181" s="228" t="inlineStr">
        <is>
          <t xml:space="preserve">Desvios Comportamentais</t>
        </is>
      </c>
      <c r="D181" s="229" t="str">
        <f>IFERROR(1/(1/INDEX(BD!$Y$40:$AS$40,MATCH($A$164,BD!$Y$22:$AS$22,0))),"")</f>
        <v/>
      </c>
      <c r="E181" s="230"/>
      <c r="F181" s="231" t="str">
        <f>IF(F$3="","",IF(COUNTIFS(BD!$A$3:$A$5001,F$3,BD!$B$3:$B$5001,$A$164,BD!$S$3:$S$5001,"&lt;&gt;")=0,"",SUMIFS(BD!$S$3:$S$5001,BD!$A$3:$A$5001,F$3,BD!$B$3:$B$5001,$A$164)))</f>
        <v/>
      </c>
      <c r="G181" s="232" t="str">
        <f>IF(G$3="","",IF(COUNTIFS(BD!$A$3:$A$5001,G$3,BD!$B$3:$B$5001,$A$164,BD!$S$3:$S$5001,"&lt;&gt;")=0,"",SUMIFS(BD!$S$3:$S$5001,BD!$A$3:$A$5001,G$3,BD!$B$3:$B$5001,$A$164)))</f>
        <v/>
      </c>
      <c r="H181" s="232" t="str">
        <f>IF(H$3="","",IF(COUNTIFS(BD!$A$3:$A$5001,H$3,BD!$B$3:$B$5001,$A$164,BD!$S$3:$S$5001,"&lt;&gt;")=0,"",SUMIFS(BD!$S$3:$S$5001,BD!$A$3:$A$5001,H$3,BD!$B$3:$B$5001,$A$164)))</f>
        <v/>
      </c>
      <c r="I181" s="232" t="str">
        <f>IF(I$3="","",IF(COUNTIFS(BD!$A$3:$A$5001,I$3,BD!$B$3:$B$5001,$A$164,BD!$S$3:$S$5001,"&lt;&gt;")=0,"",SUMIFS(BD!$S$3:$S$5001,BD!$A$3:$A$5001,I$3,BD!$B$3:$B$5001,$A$164)))</f>
        <v/>
      </c>
      <c r="J181" s="232" t="str">
        <f>IF(J$3="","",IF(COUNTIFS(BD!$A$3:$A$5001,J$3,BD!$B$3:$B$5001,$A$164,BD!$S$3:$S$5001,"&lt;&gt;")=0,"",SUMIFS(BD!$S$3:$S$5001,BD!$A$3:$A$5001,J$3,BD!$B$3:$B$5001,$A$164)))</f>
        <v/>
      </c>
      <c r="K181" s="232" t="str">
        <f>IF(K$3="","",IF(COUNTIFS(BD!$A$3:$A$5001,K$3,BD!$B$3:$B$5001,$A$164,BD!$S$3:$S$5001,"&lt;&gt;")=0,"",SUMIFS(BD!$S$3:$S$5001,BD!$A$3:$A$5001,K$3,BD!$B$3:$B$5001,$A$164)))</f>
        <v/>
      </c>
      <c r="L181" s="232" t="str">
        <f>IF(L$3="","",IF(COUNTIFS(BD!$A$3:$A$5001,L$3,BD!$B$3:$B$5001,$A$164,BD!$S$3:$S$5001,"&lt;&gt;")=0,"",SUMIFS(BD!$S$3:$S$5001,BD!$A$3:$A$5001,L$3,BD!$B$3:$B$5001,$A$164)))</f>
        <v/>
      </c>
      <c r="M181" s="232" t="str">
        <f>IF(M$3="","",IF(COUNTIFS(BD!$A$3:$A$5001,M$3,BD!$B$3:$B$5001,$A$164,BD!$S$3:$S$5001,"&lt;&gt;")=0,"",SUMIFS(BD!$S$3:$S$5001,BD!$A$3:$A$5001,M$3,BD!$B$3:$B$5001,$A$164)))</f>
        <v/>
      </c>
      <c r="N181" s="232" t="str">
        <f>IF(N$3="","",IF(COUNTIFS(BD!$A$3:$A$5001,N$3,BD!$B$3:$B$5001,$A$164,BD!$S$3:$S$5001,"&lt;&gt;")=0,"",SUMIFS(BD!$S$3:$S$5001,BD!$A$3:$A$5001,N$3,BD!$B$3:$B$5001,$A$164)))</f>
        <v/>
      </c>
      <c r="O181" s="232" t="str">
        <f>IF(O$3="","",IF(COUNTIFS(BD!$A$3:$A$5001,O$3,BD!$B$3:$B$5001,$A$164,BD!$S$3:$S$5001,"&lt;&gt;")=0,"",SUMIFS(BD!$S$3:$S$5001,BD!$A$3:$A$5001,O$3,BD!$B$3:$B$5001,$A$164)))</f>
        <v/>
      </c>
      <c r="P181" s="232" t="str">
        <f>IF(P$3="","",IF(COUNTIFS(BD!$A$3:$A$5001,P$3,BD!$B$3:$B$5001,$A$164,BD!$S$3:$S$5001,"&lt;&gt;")=0,"",SUMIFS(BD!$S$3:$S$5001,BD!$A$3:$A$5001,P$3,BD!$B$3:$B$5001,$A$164)))</f>
        <v/>
      </c>
      <c r="Q181" s="232" t="str">
        <f>IF(Q$3="","",IF(COUNTIFS(BD!$A$3:$A$5001,Q$3,BD!$B$3:$B$5001,$A$164,BD!$S$3:$S$5001,"&lt;&gt;")=0,"",SUMIFS(BD!$S$3:$S$5001,BD!$A$3:$A$5001,Q$3,BD!$B$3:$B$5001,$A$164)))</f>
        <v/>
      </c>
      <c r="R181" s="232" t="str">
        <f>IF(R$3="","",IF(COUNTIFS(BD!$A$3:$A$5001,R$3,BD!$B$3:$B$5001,$A$164,BD!$S$3:$S$5001,"&lt;&gt;")=0,"",SUMIFS(BD!$S$3:$S$5001,BD!$A$3:$A$5001,R$3,BD!$B$3:$B$5001,$A$164)))</f>
        <v/>
      </c>
      <c r="S181" s="232" t="str">
        <f>IF(S$3="","",IF(COUNTIFS(BD!$A$3:$A$5001,S$3,BD!$B$3:$B$5001,$A$164,BD!$S$3:$S$5001,"&lt;&gt;")=0,"",SUMIFS(BD!$S$3:$S$5001,BD!$A$3:$A$5001,S$3,BD!$B$3:$B$5001,$A$164)))</f>
        <v/>
      </c>
      <c r="T181" s="232" t="str">
        <f>IF(T$3="","",IF(COUNTIFS(BD!$A$3:$A$5001,T$3,BD!$B$3:$B$5001,$A$164,BD!$S$3:$S$5001,"&lt;&gt;")=0,"",SUMIFS(BD!$S$3:$S$5001,BD!$A$3:$A$5001,T$3,BD!$B$3:$B$5001,$A$164)))</f>
        <v/>
      </c>
      <c r="U181" s="232" t="str">
        <f>IF(U$3="","",IF(COUNTIFS(BD!$A$3:$A$5001,U$3,BD!$B$3:$B$5001,$A$164,BD!$S$3:$S$5001,"&lt;&gt;")=0,"",SUMIFS(BD!$S$3:$S$5001,BD!$A$3:$A$5001,U$3,BD!$B$3:$B$5001,$A$164)))</f>
        <v/>
      </c>
      <c r="V181" s="232" t="str">
        <f>IF(V$3="","",IF(COUNTIFS(BD!$A$3:$A$5001,V$3,BD!$B$3:$B$5001,$A$164,BD!$S$3:$S$5001,"&lt;&gt;")=0,"",SUMIFS(BD!$S$3:$S$5001,BD!$A$3:$A$5001,V$3,BD!$B$3:$B$5001,$A$164)))</f>
        <v/>
      </c>
      <c r="W181" s="232" t="str">
        <f>IF(W$3="","",IF(COUNTIFS(BD!$A$3:$A$5001,W$3,BD!$B$3:$B$5001,$A$164,BD!$S$3:$S$5001,"&lt;&gt;")=0,"",SUMIFS(BD!$S$3:$S$5001,BD!$A$3:$A$5001,W$3,BD!$B$3:$B$5001,$A$164)))</f>
        <v/>
      </c>
      <c r="X181" s="232" t="str">
        <f>IF(X$3="","",IF(COUNTIFS(BD!$A$3:$A$5001,X$3,BD!$B$3:$B$5001,$A$164,BD!$S$3:$S$5001,"&lt;&gt;")=0,"",SUMIFS(BD!$S$3:$S$5001,BD!$A$3:$A$5001,X$3,BD!$B$3:$B$5001,$A$164)))</f>
        <v/>
      </c>
      <c r="Y181" s="232" t="str">
        <f>IF(Y$3="","",IF(COUNTIFS(BD!$A$3:$A$5001,Y$3,BD!$B$3:$B$5001,$A$164,BD!$S$3:$S$5001,"&lt;&gt;")=0,"",SUMIFS(BD!$S$3:$S$5001,BD!$A$3:$A$5001,Y$3,BD!$B$3:$B$5001,$A$164)))</f>
        <v/>
      </c>
      <c r="Z181" s="232" t="str">
        <f>IF(Z$3="","",IF(COUNTIFS(BD!$A$3:$A$5001,Z$3,BD!$B$3:$B$5001,$A$164,BD!$S$3:$S$5001,"&lt;&gt;")=0,"",SUMIFS(BD!$S$3:$S$5001,BD!$A$3:$A$5001,Z$3,BD!$B$3:$B$5001,$A$164)))</f>
        <v/>
      </c>
      <c r="AA181" s="232" t="str">
        <f>IF(AA$3="","",IF(COUNTIFS(BD!$A$3:$A$5001,AA$3,BD!$B$3:$B$5001,$A$164,BD!$S$3:$S$5001,"&lt;&gt;")=0,"",SUMIFS(BD!$S$3:$S$5001,BD!$A$3:$A$5001,AA$3,BD!$B$3:$B$5001,$A$164)))</f>
        <v/>
      </c>
      <c r="AB181" s="232" t="str">
        <f>IF(AB$3="","",IF(COUNTIFS(BD!$A$3:$A$5001,AB$3,BD!$B$3:$B$5001,$A$164,BD!$S$3:$S$5001,"&lt;&gt;")=0,"",SUMIFS(BD!$S$3:$S$5001,BD!$A$3:$A$5001,AB$3,BD!$B$3:$B$5001,$A$164)))</f>
        <v/>
      </c>
      <c r="AC181" s="232" t="str">
        <f>IF(AC$3="","",IF(COUNTIFS(BD!$A$3:$A$5001,AC$3,BD!$B$3:$B$5001,$A$164,BD!$S$3:$S$5001,"&lt;&gt;")=0,"",SUMIFS(BD!$S$3:$S$5001,BD!$A$3:$A$5001,AC$3,BD!$B$3:$B$5001,$A$164)))</f>
        <v/>
      </c>
      <c r="AD181" s="232" t="str">
        <f>IF(AD$3="","",IF(COUNTIFS(BD!$A$3:$A$5001,AD$3,BD!$B$3:$B$5001,$A$164,BD!$S$3:$S$5001,"&lt;&gt;")=0,"",SUMIFS(BD!$S$3:$S$5001,BD!$A$3:$A$5001,AD$3,BD!$B$3:$B$5001,$A$164)))</f>
        <v/>
      </c>
      <c r="AE181" s="232" t="str">
        <f>IF(AE$3="","",IF(COUNTIFS(BD!$A$3:$A$5001,AE$3,BD!$B$3:$B$5001,$A$164,BD!$S$3:$S$5001,"&lt;&gt;")=0,"",SUMIFS(BD!$S$3:$S$5001,BD!$A$3:$A$5001,AE$3,BD!$B$3:$B$5001,$A$164)))</f>
        <v/>
      </c>
      <c r="AF181" s="232" t="str">
        <f>IF(AF$3="","",IF(COUNTIFS(BD!$A$3:$A$5001,AF$3,BD!$B$3:$B$5001,$A$164,BD!$S$3:$S$5001,"&lt;&gt;")=0,"",SUMIFS(BD!$S$3:$S$5001,BD!$A$3:$A$5001,AF$3,BD!$B$3:$B$5001,$A$164)))</f>
        <v/>
      </c>
      <c r="AG181" s="232" t="str">
        <f>IF(AG$3="","",IF(COUNTIFS(BD!$A$3:$A$5001,AG$3,BD!$B$3:$B$5001,$A$164,BD!$S$3:$S$5001,"&lt;&gt;")=0,"",SUMIFS(BD!$S$3:$S$5001,BD!$A$3:$A$5001,AG$3,BD!$B$3:$B$5001,$A$164)))</f>
        <v/>
      </c>
      <c r="AH181" s="232" t="str">
        <f>IF(AH$3="","",IF(COUNTIFS(BD!$A$3:$A$5001,AH$3,BD!$B$3:$B$5001,$A$164,BD!$S$3:$S$5001,"&lt;&gt;")=0,"",SUMIFS(BD!$S$3:$S$5001,BD!$A$3:$A$5001,AH$3,BD!$B$3:$B$5001,$A$164)))</f>
        <v/>
      </c>
      <c r="AI181" s="232" t="str">
        <f>IF(AI$3="","",IF(COUNTIFS(BD!$A$3:$A$5001,AI$3,BD!$B$3:$B$5001,$A$164,BD!$S$3:$S$5001,"&lt;&gt;")=0,"",SUMIFS(BD!$S$3:$S$5001,BD!$A$3:$A$5001,AI$3,BD!$B$3:$B$5001,$A$164)))</f>
        <v/>
      </c>
      <c r="AJ181" s="233" t="str">
        <f>IF(AJ$3="","",IF(COUNTIFS(BD!$A$3:$A$5001,AJ$3,BD!$B$3:$B$5001,$A$164,BD!$S$3:$S$5001,"&lt;&gt;")=0,"",SUMIFS(BD!$S$3:$S$5001,BD!$A$3:$A$5001,AJ$3,BD!$B$3:$B$5001,$A$164)))</f>
        <v/>
      </c>
      <c r="AK181" s="234" t="str">
        <f>IF(COUNT(F181:AJ181)=0,"",SUM(F181:AJ181))</f>
        <v/>
      </c>
    </row>
    <row r="182" ht="15.75" customHeight="1" hidden="1">
      <c r="A182" s="254"/>
      <c r="B182" s="251"/>
      <c r="C182" s="228" t="inlineStr">
        <is>
          <t xml:space="preserve">Acidentes CAF</t>
        </is>
      </c>
      <c r="D182" s="229" t="str">
        <f>IFERROR(1/(1/INDEX(BD!$Y$41:$AS$41,MATCH($A$164,BD!$Y$22:$AS$22,0))),"")</f>
        <v/>
      </c>
      <c r="E182" s="230"/>
      <c r="F182" s="231" t="str">
        <f>IF(F$3="","",IF(COUNTIFS(BD!$A$3:$A$5001,F$3,BD!$B$3:$B$5001,$A$164,BD!$T$3:$T$5001,"&lt;&gt;")=0,"",SUMIFS(BD!$T$3:$T$5001,BD!$A$3:$A$5001,F$3,BD!$B$3:$B$5001,$A$164)))</f>
        <v/>
      </c>
      <c r="G182" s="232" t="str">
        <f>IF(G$3="","",IF(COUNTIFS(BD!$A$3:$A$5001,G$3,BD!$B$3:$B$5001,$A$164,BD!$T$3:$T$5001,"&lt;&gt;")=0,"",SUMIFS(BD!$T$3:$T$5001,BD!$A$3:$A$5001,G$3,BD!$B$3:$B$5001,$A$164)))</f>
        <v/>
      </c>
      <c r="H182" s="232" t="str">
        <f>IF(H$3="","",IF(COUNTIFS(BD!$A$3:$A$5001,H$3,BD!$B$3:$B$5001,$A$164,BD!$T$3:$T$5001,"&lt;&gt;")=0,"",SUMIFS(BD!$T$3:$T$5001,BD!$A$3:$A$5001,H$3,BD!$B$3:$B$5001,$A$164)))</f>
        <v/>
      </c>
      <c r="I182" s="232" t="str">
        <f>IF(I$3="","",IF(COUNTIFS(BD!$A$3:$A$5001,I$3,BD!$B$3:$B$5001,$A$164,BD!$T$3:$T$5001,"&lt;&gt;")=0,"",SUMIFS(BD!$T$3:$T$5001,BD!$A$3:$A$5001,I$3,BD!$B$3:$B$5001,$A$164)))</f>
        <v/>
      </c>
      <c r="J182" s="232" t="str">
        <f>IF(J$3="","",IF(COUNTIFS(BD!$A$3:$A$5001,J$3,BD!$B$3:$B$5001,$A$164,BD!$T$3:$T$5001,"&lt;&gt;")=0,"",SUMIFS(BD!$T$3:$T$5001,BD!$A$3:$A$5001,J$3,BD!$B$3:$B$5001,$A$164)))</f>
        <v/>
      </c>
      <c r="K182" s="232" t="str">
        <f>IF(K$3="","",IF(COUNTIFS(BD!$A$3:$A$5001,K$3,BD!$B$3:$B$5001,$A$164,BD!$T$3:$T$5001,"&lt;&gt;")=0,"",SUMIFS(BD!$T$3:$T$5001,BD!$A$3:$A$5001,K$3,BD!$B$3:$B$5001,$A$164)))</f>
        <v/>
      </c>
      <c r="L182" s="232" t="str">
        <f>IF(L$3="","",IF(COUNTIFS(BD!$A$3:$A$5001,L$3,BD!$B$3:$B$5001,$A$164,BD!$T$3:$T$5001,"&lt;&gt;")=0,"",SUMIFS(BD!$T$3:$T$5001,BD!$A$3:$A$5001,L$3,BD!$B$3:$B$5001,$A$164)))</f>
        <v/>
      </c>
      <c r="M182" s="232" t="str">
        <f>IF(M$3="","",IF(COUNTIFS(BD!$A$3:$A$5001,M$3,BD!$B$3:$B$5001,$A$164,BD!$T$3:$T$5001,"&lt;&gt;")=0,"",SUMIFS(BD!$T$3:$T$5001,BD!$A$3:$A$5001,M$3,BD!$B$3:$B$5001,$A$164)))</f>
        <v/>
      </c>
      <c r="N182" s="232" t="str">
        <f>IF(N$3="","",IF(COUNTIFS(BD!$A$3:$A$5001,N$3,BD!$B$3:$B$5001,$A$164,BD!$T$3:$T$5001,"&lt;&gt;")=0,"",SUMIFS(BD!$T$3:$T$5001,BD!$A$3:$A$5001,N$3,BD!$B$3:$B$5001,$A$164)))</f>
        <v/>
      </c>
      <c r="O182" s="232" t="str">
        <f>IF(O$3="","",IF(COUNTIFS(BD!$A$3:$A$5001,O$3,BD!$B$3:$B$5001,$A$164,BD!$T$3:$T$5001,"&lt;&gt;")=0,"",SUMIFS(BD!$T$3:$T$5001,BD!$A$3:$A$5001,O$3,BD!$B$3:$B$5001,$A$164)))</f>
        <v/>
      </c>
      <c r="P182" s="232" t="str">
        <f>IF(P$3="","",IF(COUNTIFS(BD!$A$3:$A$5001,P$3,BD!$B$3:$B$5001,$A$164,BD!$T$3:$T$5001,"&lt;&gt;")=0,"",SUMIFS(BD!$T$3:$T$5001,BD!$A$3:$A$5001,P$3,BD!$B$3:$B$5001,$A$164)))</f>
        <v/>
      </c>
      <c r="Q182" s="232" t="str">
        <f>IF(Q$3="","",IF(COUNTIFS(BD!$A$3:$A$5001,Q$3,BD!$B$3:$B$5001,$A$164,BD!$T$3:$T$5001,"&lt;&gt;")=0,"",SUMIFS(BD!$T$3:$T$5001,BD!$A$3:$A$5001,Q$3,BD!$B$3:$B$5001,$A$164)))</f>
        <v/>
      </c>
      <c r="R182" s="232" t="str">
        <f>IF(R$3="","",IF(COUNTIFS(BD!$A$3:$A$5001,R$3,BD!$B$3:$B$5001,$A$164,BD!$T$3:$T$5001,"&lt;&gt;")=0,"",SUMIFS(BD!$T$3:$T$5001,BD!$A$3:$A$5001,R$3,BD!$B$3:$B$5001,$A$164)))</f>
        <v/>
      </c>
      <c r="S182" s="232" t="str">
        <f>IF(S$3="","",IF(COUNTIFS(BD!$A$3:$A$5001,S$3,BD!$B$3:$B$5001,$A$164,BD!$T$3:$T$5001,"&lt;&gt;")=0,"",SUMIFS(BD!$T$3:$T$5001,BD!$A$3:$A$5001,S$3,BD!$B$3:$B$5001,$A$164)))</f>
        <v/>
      </c>
      <c r="T182" s="232" t="str">
        <f>IF(T$3="","",IF(COUNTIFS(BD!$A$3:$A$5001,T$3,BD!$B$3:$B$5001,$A$164,BD!$T$3:$T$5001,"&lt;&gt;")=0,"",SUMIFS(BD!$T$3:$T$5001,BD!$A$3:$A$5001,T$3,BD!$B$3:$B$5001,$A$164)))</f>
        <v/>
      </c>
      <c r="U182" s="232" t="str">
        <f>IF(U$3="","",IF(COUNTIFS(BD!$A$3:$A$5001,U$3,BD!$B$3:$B$5001,$A$164,BD!$T$3:$T$5001,"&lt;&gt;")=0,"",SUMIFS(BD!$T$3:$T$5001,BD!$A$3:$A$5001,U$3,BD!$B$3:$B$5001,$A$164)))</f>
        <v/>
      </c>
      <c r="V182" s="232" t="str">
        <f>IF(V$3="","",IF(COUNTIFS(BD!$A$3:$A$5001,V$3,BD!$B$3:$B$5001,$A$164,BD!$T$3:$T$5001,"&lt;&gt;")=0,"",SUMIFS(BD!$T$3:$T$5001,BD!$A$3:$A$5001,V$3,BD!$B$3:$B$5001,$A$164)))</f>
        <v/>
      </c>
      <c r="W182" s="232" t="str">
        <f>IF(W$3="","",IF(COUNTIFS(BD!$A$3:$A$5001,W$3,BD!$B$3:$B$5001,$A$164,BD!$T$3:$T$5001,"&lt;&gt;")=0,"",SUMIFS(BD!$T$3:$T$5001,BD!$A$3:$A$5001,W$3,BD!$B$3:$B$5001,$A$164)))</f>
        <v/>
      </c>
      <c r="X182" s="232" t="str">
        <f>IF(X$3="","",IF(COUNTIFS(BD!$A$3:$A$5001,X$3,BD!$B$3:$B$5001,$A$164,BD!$T$3:$T$5001,"&lt;&gt;")=0,"",SUMIFS(BD!$T$3:$T$5001,BD!$A$3:$A$5001,X$3,BD!$B$3:$B$5001,$A$164)))</f>
        <v/>
      </c>
      <c r="Y182" s="232" t="str">
        <f>IF(Y$3="","",IF(COUNTIFS(BD!$A$3:$A$5001,Y$3,BD!$B$3:$B$5001,$A$164,BD!$T$3:$T$5001,"&lt;&gt;")=0,"",SUMIFS(BD!$T$3:$T$5001,BD!$A$3:$A$5001,Y$3,BD!$B$3:$B$5001,$A$164)))</f>
        <v/>
      </c>
      <c r="Z182" s="232" t="str">
        <f>IF(Z$3="","",IF(COUNTIFS(BD!$A$3:$A$5001,Z$3,BD!$B$3:$B$5001,$A$164,BD!$T$3:$T$5001,"&lt;&gt;")=0,"",SUMIFS(BD!$T$3:$T$5001,BD!$A$3:$A$5001,Z$3,BD!$B$3:$B$5001,$A$164)))</f>
        <v/>
      </c>
      <c r="AA182" s="232" t="str">
        <f>IF(AA$3="","",IF(COUNTIFS(BD!$A$3:$A$5001,AA$3,BD!$B$3:$B$5001,$A$164,BD!$T$3:$T$5001,"&lt;&gt;")=0,"",SUMIFS(BD!$T$3:$T$5001,BD!$A$3:$A$5001,AA$3,BD!$B$3:$B$5001,$A$164)))</f>
        <v/>
      </c>
      <c r="AB182" s="232" t="str">
        <f>IF(AB$3="","",IF(COUNTIFS(BD!$A$3:$A$5001,AB$3,BD!$B$3:$B$5001,$A$164,BD!$T$3:$T$5001,"&lt;&gt;")=0,"",SUMIFS(BD!$T$3:$T$5001,BD!$A$3:$A$5001,AB$3,BD!$B$3:$B$5001,$A$164)))</f>
        <v/>
      </c>
      <c r="AC182" s="232" t="str">
        <f>IF(AC$3="","",IF(COUNTIFS(BD!$A$3:$A$5001,AC$3,BD!$B$3:$B$5001,$A$164,BD!$T$3:$T$5001,"&lt;&gt;")=0,"",SUMIFS(BD!$T$3:$T$5001,BD!$A$3:$A$5001,AC$3,BD!$B$3:$B$5001,$A$164)))</f>
        <v/>
      </c>
      <c r="AD182" s="232" t="str">
        <f>IF(AD$3="","",IF(COUNTIFS(BD!$A$3:$A$5001,AD$3,BD!$B$3:$B$5001,$A$164,BD!$T$3:$T$5001,"&lt;&gt;")=0,"",SUMIFS(BD!$T$3:$T$5001,BD!$A$3:$A$5001,AD$3,BD!$B$3:$B$5001,$A$164)))</f>
        <v/>
      </c>
      <c r="AE182" s="232" t="str">
        <f>IF(AE$3="","",IF(COUNTIFS(BD!$A$3:$A$5001,AE$3,BD!$B$3:$B$5001,$A$164,BD!$T$3:$T$5001,"&lt;&gt;")=0,"",SUMIFS(BD!$T$3:$T$5001,BD!$A$3:$A$5001,AE$3,BD!$B$3:$B$5001,$A$164)))</f>
        <v/>
      </c>
      <c r="AF182" s="232" t="str">
        <f>IF(AF$3="","",IF(COUNTIFS(BD!$A$3:$A$5001,AF$3,BD!$B$3:$B$5001,$A$164,BD!$T$3:$T$5001,"&lt;&gt;")=0,"",SUMIFS(BD!$T$3:$T$5001,BD!$A$3:$A$5001,AF$3,BD!$B$3:$B$5001,$A$164)))</f>
        <v/>
      </c>
      <c r="AG182" s="232" t="str">
        <f>IF(AG$3="","",IF(COUNTIFS(BD!$A$3:$A$5001,AG$3,BD!$B$3:$B$5001,$A$164,BD!$T$3:$T$5001,"&lt;&gt;")=0,"",SUMIFS(BD!$T$3:$T$5001,BD!$A$3:$A$5001,AG$3,BD!$B$3:$B$5001,$A$164)))</f>
        <v/>
      </c>
      <c r="AH182" s="232" t="str">
        <f>IF(AH$3="","",IF(COUNTIFS(BD!$A$3:$A$5001,AH$3,BD!$B$3:$B$5001,$A$164,BD!$T$3:$T$5001,"&lt;&gt;")=0,"",SUMIFS(BD!$T$3:$T$5001,BD!$A$3:$A$5001,AH$3,BD!$B$3:$B$5001,$A$164)))</f>
        <v/>
      </c>
      <c r="AI182" s="232" t="str">
        <f>IF(AI$3="","",IF(COUNTIFS(BD!$A$3:$A$5001,AI$3,BD!$B$3:$B$5001,$A$164,BD!$T$3:$T$5001,"&lt;&gt;")=0,"",SUMIFS(BD!$T$3:$T$5001,BD!$A$3:$A$5001,AI$3,BD!$B$3:$B$5001,$A$164)))</f>
        <v/>
      </c>
      <c r="AJ182" s="233" t="str">
        <f>IF(AJ$3="","",IF(COUNTIFS(BD!$A$3:$A$5001,AJ$3,BD!$B$3:$B$5001,$A$164,BD!$T$3:$T$5001,"&lt;&gt;")=0,"",SUMIFS(BD!$T$3:$T$5001,BD!$A$3:$A$5001,AJ$3,BD!$B$3:$B$5001,$A$164)))</f>
        <v/>
      </c>
      <c r="AK182" s="234" t="str">
        <f>IF(COUNT(F182:AJ182)=0,"",SUM(F182:AJ182))</f>
        <v/>
      </c>
    </row>
    <row r="183" ht="15.75" customHeight="1" hidden="1">
      <c r="A183" s="255"/>
      <c r="B183" s="252"/>
      <c r="C183" s="235" t="inlineStr">
        <is>
          <t xml:space="preserve">Acidentes SAF</t>
        </is>
      </c>
      <c r="D183" s="236" t="str">
        <f>IFERROR(1/(1/INDEX(BD!$Y$42:$AS$42,MATCH($A$164,BD!$Y$22:$AS$22,0))),"")</f>
        <v/>
      </c>
      <c r="E183" s="237"/>
      <c r="F183" s="238" t="str">
        <f>IF(F$3="","",IF(COUNTIFS(BD!$A$3:$A$5001,F$3,BD!$B$3:$B$5001,$A$164,BD!$U$3:$U$5001,"&lt;&gt;")=0,"",SUMIFS(BD!$U$3:$U$5001,BD!$A$3:$A$5001,F$3,BD!$B$3:$B$5001,$A$164)))</f>
        <v/>
      </c>
      <c r="G183" s="239" t="str">
        <f>IF(G$3="","",IF(COUNTIFS(BD!$A$3:$A$5001,G$3,BD!$B$3:$B$5001,$A$164,BD!$U$3:$U$5001,"&lt;&gt;")=0,"",SUMIFS(BD!$U$3:$U$5001,BD!$A$3:$A$5001,G$3,BD!$B$3:$B$5001,$A$164)))</f>
        <v/>
      </c>
      <c r="H183" s="239" t="str">
        <f>IF(H$3="","",IF(COUNTIFS(BD!$A$3:$A$5001,H$3,BD!$B$3:$B$5001,$A$164,BD!$U$3:$U$5001,"&lt;&gt;")=0,"",SUMIFS(BD!$U$3:$U$5001,BD!$A$3:$A$5001,H$3,BD!$B$3:$B$5001,$A$164)))</f>
        <v/>
      </c>
      <c r="I183" s="239" t="str">
        <f>IF(I$3="","",IF(COUNTIFS(BD!$A$3:$A$5001,I$3,BD!$B$3:$B$5001,$A$164,BD!$U$3:$U$5001,"&lt;&gt;")=0,"",SUMIFS(BD!$U$3:$U$5001,BD!$A$3:$A$5001,I$3,BD!$B$3:$B$5001,$A$164)))</f>
        <v/>
      </c>
      <c r="J183" s="239" t="str">
        <f>IF(J$3="","",IF(COUNTIFS(BD!$A$3:$A$5001,J$3,BD!$B$3:$B$5001,$A$164,BD!$U$3:$U$5001,"&lt;&gt;")=0,"",SUMIFS(BD!$U$3:$U$5001,BD!$A$3:$A$5001,J$3,BD!$B$3:$B$5001,$A$164)))</f>
        <v/>
      </c>
      <c r="K183" s="239" t="str">
        <f>IF(K$3="","",IF(COUNTIFS(BD!$A$3:$A$5001,K$3,BD!$B$3:$B$5001,$A$164,BD!$U$3:$U$5001,"&lt;&gt;")=0,"",SUMIFS(BD!$U$3:$U$5001,BD!$A$3:$A$5001,K$3,BD!$B$3:$B$5001,$A$164)))</f>
        <v/>
      </c>
      <c r="L183" s="239" t="str">
        <f>IF(L$3="","",IF(COUNTIFS(BD!$A$3:$A$5001,L$3,BD!$B$3:$B$5001,$A$164,BD!$U$3:$U$5001,"&lt;&gt;")=0,"",SUMIFS(BD!$U$3:$U$5001,BD!$A$3:$A$5001,L$3,BD!$B$3:$B$5001,$A$164)))</f>
        <v/>
      </c>
      <c r="M183" s="239" t="str">
        <f>IF(M$3="","",IF(COUNTIFS(BD!$A$3:$A$5001,M$3,BD!$B$3:$B$5001,$A$164,BD!$U$3:$U$5001,"&lt;&gt;")=0,"",SUMIFS(BD!$U$3:$U$5001,BD!$A$3:$A$5001,M$3,BD!$B$3:$B$5001,$A$164)))</f>
        <v/>
      </c>
      <c r="N183" s="239" t="str">
        <f>IF(N$3="","",IF(COUNTIFS(BD!$A$3:$A$5001,N$3,BD!$B$3:$B$5001,$A$164,BD!$U$3:$U$5001,"&lt;&gt;")=0,"",SUMIFS(BD!$U$3:$U$5001,BD!$A$3:$A$5001,N$3,BD!$B$3:$B$5001,$A$164)))</f>
        <v/>
      </c>
      <c r="O183" s="239" t="str">
        <f>IF(O$3="","",IF(COUNTIFS(BD!$A$3:$A$5001,O$3,BD!$B$3:$B$5001,$A$164,BD!$U$3:$U$5001,"&lt;&gt;")=0,"",SUMIFS(BD!$U$3:$U$5001,BD!$A$3:$A$5001,O$3,BD!$B$3:$B$5001,$A$164)))</f>
        <v/>
      </c>
      <c r="P183" s="239" t="str">
        <f>IF(P$3="","",IF(COUNTIFS(BD!$A$3:$A$5001,P$3,BD!$B$3:$B$5001,$A$164,BD!$U$3:$U$5001,"&lt;&gt;")=0,"",SUMIFS(BD!$U$3:$U$5001,BD!$A$3:$A$5001,P$3,BD!$B$3:$B$5001,$A$164)))</f>
        <v/>
      </c>
      <c r="Q183" s="239" t="str">
        <f>IF(Q$3="","",IF(COUNTIFS(BD!$A$3:$A$5001,Q$3,BD!$B$3:$B$5001,$A$164,BD!$U$3:$U$5001,"&lt;&gt;")=0,"",SUMIFS(BD!$U$3:$U$5001,BD!$A$3:$A$5001,Q$3,BD!$B$3:$B$5001,$A$164)))</f>
        <v/>
      </c>
      <c r="R183" s="239" t="str">
        <f>IF(R$3="","",IF(COUNTIFS(BD!$A$3:$A$5001,R$3,BD!$B$3:$B$5001,$A$164,BD!$U$3:$U$5001,"&lt;&gt;")=0,"",SUMIFS(BD!$U$3:$U$5001,BD!$A$3:$A$5001,R$3,BD!$B$3:$B$5001,$A$164)))</f>
        <v/>
      </c>
      <c r="S183" s="239" t="str">
        <f>IF(S$3="","",IF(COUNTIFS(BD!$A$3:$A$5001,S$3,BD!$B$3:$B$5001,$A$164,BD!$U$3:$U$5001,"&lt;&gt;")=0,"",SUMIFS(BD!$U$3:$U$5001,BD!$A$3:$A$5001,S$3,BD!$B$3:$B$5001,$A$164)))</f>
        <v/>
      </c>
      <c r="T183" s="239" t="str">
        <f>IF(T$3="","",IF(COUNTIFS(BD!$A$3:$A$5001,T$3,BD!$B$3:$B$5001,$A$164,BD!$U$3:$U$5001,"&lt;&gt;")=0,"",SUMIFS(BD!$U$3:$U$5001,BD!$A$3:$A$5001,T$3,BD!$B$3:$B$5001,$A$164)))</f>
        <v/>
      </c>
      <c r="U183" s="239" t="str">
        <f>IF(U$3="","",IF(COUNTIFS(BD!$A$3:$A$5001,U$3,BD!$B$3:$B$5001,$A$164,BD!$U$3:$U$5001,"&lt;&gt;")=0,"",SUMIFS(BD!$U$3:$U$5001,BD!$A$3:$A$5001,U$3,BD!$B$3:$B$5001,$A$164)))</f>
        <v/>
      </c>
      <c r="V183" s="239" t="str">
        <f>IF(V$3="","",IF(COUNTIFS(BD!$A$3:$A$5001,V$3,BD!$B$3:$B$5001,$A$164,BD!$U$3:$U$5001,"&lt;&gt;")=0,"",SUMIFS(BD!$U$3:$U$5001,BD!$A$3:$A$5001,V$3,BD!$B$3:$B$5001,$A$164)))</f>
        <v/>
      </c>
      <c r="W183" s="239" t="str">
        <f>IF(W$3="","",IF(COUNTIFS(BD!$A$3:$A$5001,W$3,BD!$B$3:$B$5001,$A$164,BD!$U$3:$U$5001,"&lt;&gt;")=0,"",SUMIFS(BD!$U$3:$U$5001,BD!$A$3:$A$5001,W$3,BD!$B$3:$B$5001,$A$164)))</f>
        <v/>
      </c>
      <c r="X183" s="239" t="str">
        <f>IF(X$3="","",IF(COUNTIFS(BD!$A$3:$A$5001,X$3,BD!$B$3:$B$5001,$A$164,BD!$U$3:$U$5001,"&lt;&gt;")=0,"",SUMIFS(BD!$U$3:$U$5001,BD!$A$3:$A$5001,X$3,BD!$B$3:$B$5001,$A$164)))</f>
        <v/>
      </c>
      <c r="Y183" s="239" t="str">
        <f>IF(Y$3="","",IF(COUNTIFS(BD!$A$3:$A$5001,Y$3,BD!$B$3:$B$5001,$A$164,BD!$U$3:$U$5001,"&lt;&gt;")=0,"",SUMIFS(BD!$U$3:$U$5001,BD!$A$3:$A$5001,Y$3,BD!$B$3:$B$5001,$A$164)))</f>
        <v/>
      </c>
      <c r="Z183" s="239" t="str">
        <f>IF(Z$3="","",IF(COUNTIFS(BD!$A$3:$A$5001,Z$3,BD!$B$3:$B$5001,$A$164,BD!$U$3:$U$5001,"&lt;&gt;")=0,"",SUMIFS(BD!$U$3:$U$5001,BD!$A$3:$A$5001,Z$3,BD!$B$3:$B$5001,$A$164)))</f>
        <v/>
      </c>
      <c r="AA183" s="239" t="str">
        <f>IF(AA$3="","",IF(COUNTIFS(BD!$A$3:$A$5001,AA$3,BD!$B$3:$B$5001,$A$164,BD!$U$3:$U$5001,"&lt;&gt;")=0,"",SUMIFS(BD!$U$3:$U$5001,BD!$A$3:$A$5001,AA$3,BD!$B$3:$B$5001,$A$164)))</f>
        <v/>
      </c>
      <c r="AB183" s="239" t="str">
        <f>IF(AB$3="","",IF(COUNTIFS(BD!$A$3:$A$5001,AB$3,BD!$B$3:$B$5001,$A$164,BD!$U$3:$U$5001,"&lt;&gt;")=0,"",SUMIFS(BD!$U$3:$U$5001,BD!$A$3:$A$5001,AB$3,BD!$B$3:$B$5001,$A$164)))</f>
        <v/>
      </c>
      <c r="AC183" s="239" t="str">
        <f>IF(AC$3="","",IF(COUNTIFS(BD!$A$3:$A$5001,AC$3,BD!$B$3:$B$5001,$A$164,BD!$U$3:$U$5001,"&lt;&gt;")=0,"",SUMIFS(BD!$U$3:$U$5001,BD!$A$3:$A$5001,AC$3,BD!$B$3:$B$5001,$A$164)))</f>
        <v/>
      </c>
      <c r="AD183" s="239" t="str">
        <f>IF(AD$3="","",IF(COUNTIFS(BD!$A$3:$A$5001,AD$3,BD!$B$3:$B$5001,$A$164,BD!$U$3:$U$5001,"&lt;&gt;")=0,"",SUMIFS(BD!$U$3:$U$5001,BD!$A$3:$A$5001,AD$3,BD!$B$3:$B$5001,$A$164)))</f>
        <v/>
      </c>
      <c r="AE183" s="239" t="str">
        <f>IF(AE$3="","",IF(COUNTIFS(BD!$A$3:$A$5001,AE$3,BD!$B$3:$B$5001,$A$164,BD!$U$3:$U$5001,"&lt;&gt;")=0,"",SUMIFS(BD!$U$3:$U$5001,BD!$A$3:$A$5001,AE$3,BD!$B$3:$B$5001,$A$164)))</f>
        <v/>
      </c>
      <c r="AF183" s="239" t="str">
        <f>IF(AF$3="","",IF(COUNTIFS(BD!$A$3:$A$5001,AF$3,BD!$B$3:$B$5001,$A$164,BD!$U$3:$U$5001,"&lt;&gt;")=0,"",SUMIFS(BD!$U$3:$U$5001,BD!$A$3:$A$5001,AF$3,BD!$B$3:$B$5001,$A$164)))</f>
        <v/>
      </c>
      <c r="AG183" s="239" t="str">
        <f>IF(AG$3="","",IF(COUNTIFS(BD!$A$3:$A$5001,AG$3,BD!$B$3:$B$5001,$A$164,BD!$U$3:$U$5001,"&lt;&gt;")=0,"",SUMIFS(BD!$U$3:$U$5001,BD!$A$3:$A$5001,AG$3,BD!$B$3:$B$5001,$A$164)))</f>
        <v/>
      </c>
      <c r="AH183" s="239" t="str">
        <f>IF(AH$3="","",IF(COUNTIFS(BD!$A$3:$A$5001,AH$3,BD!$B$3:$B$5001,$A$164,BD!$U$3:$U$5001,"&lt;&gt;")=0,"",SUMIFS(BD!$U$3:$U$5001,BD!$A$3:$A$5001,AH$3,BD!$B$3:$B$5001,$A$164)))</f>
        <v/>
      </c>
      <c r="AI183" s="239" t="str">
        <f>IF(AI$3="","",IF(COUNTIFS(BD!$A$3:$A$5001,AI$3,BD!$B$3:$B$5001,$A$164,BD!$U$3:$U$5001,"&lt;&gt;")=0,"",SUMIFS(BD!$U$3:$U$5001,BD!$A$3:$A$5001,AI$3,BD!$B$3:$B$5001,$A$164)))</f>
        <v/>
      </c>
      <c r="AJ183" s="240" t="str">
        <f>IF(AJ$3="","",IF(COUNTIFS(BD!$A$3:$A$5001,AJ$3,BD!$B$3:$B$5001,$A$164,BD!$U$3:$U$5001,"&lt;&gt;")=0,"",SUMIFS(BD!$U$3:$U$5001,BD!$A$3:$A$5001,AJ$3,BD!$B$3:$B$5001,$A$164)))</f>
        <v/>
      </c>
      <c r="AK183" s="236" t="str">
        <f>IF(COUNT(F183:AJ183)=0,"",SUM(F183:AJ183))</f>
        <v/>
      </c>
    </row>
    <row r="185" ht="15.75" customHeight="1" hidden="1">
      <c r="A185" s="253"/>
      <c r="B185" s="241" t="inlineStr">
        <is>
          <t xml:space="preserve">IN</t>
        </is>
      </c>
      <c r="C185" s="155" t="inlineStr">
        <is>
          <t xml:space="preserve">Veículos Recebidos</t>
        </is>
      </c>
      <c r="D185" s="156" t="str">
        <f>IFERROR(1/(1/INDEX(BD!$Y$23:$AS$23,MATCH($A$185,BD!$Y$22:$AS$22,0))),"")</f>
        <v/>
      </c>
      <c r="E185" s="157"/>
      <c r="F185" s="158" t="str">
        <f>IF(F$3="","",IF(COUNTIFS(BD!$A$3:$A$5001,F$3,BD!$B$3:$B$5001,$A$185,BD!$C$3:$C$5001,"&lt;&gt;")=0,"",SUMIFS(BD!$C$3:$C$5001,BD!$A$3:$A$5001,F$3,BD!$B$3:$B$5001,$A$185)))</f>
        <v/>
      </c>
      <c r="G185" s="159" t="str">
        <f>IF(G$3="","",IF(COUNTIFS(BD!$A$3:$A$5001,G$3,BD!$B$3:$B$5001,$A$185,BD!$C$3:$C$5001,"&lt;&gt;")=0,"",SUMIFS(BD!$C$3:$C$5001,BD!$A$3:$A$5001,G$3,BD!$B$3:$B$5001,$A$185)))</f>
        <v/>
      </c>
      <c r="H185" s="159" t="str">
        <f>IF(H$3="","",IF(COUNTIFS(BD!$A$3:$A$5001,H$3,BD!$B$3:$B$5001,$A$185,BD!$C$3:$C$5001,"&lt;&gt;")=0,"",SUMIFS(BD!$C$3:$C$5001,BD!$A$3:$A$5001,H$3,BD!$B$3:$B$5001,$A$185)))</f>
        <v/>
      </c>
      <c r="I185" s="159" t="str">
        <f>IF(I$3="","",IF(COUNTIFS(BD!$A$3:$A$5001,I$3,BD!$B$3:$B$5001,$A$185,BD!$C$3:$C$5001,"&lt;&gt;")=0,"",SUMIFS(BD!$C$3:$C$5001,BD!$A$3:$A$5001,I$3,BD!$B$3:$B$5001,$A$185)))</f>
        <v/>
      </c>
      <c r="J185" s="159" t="str">
        <f>IF(J$3="","",IF(COUNTIFS(BD!$A$3:$A$5001,J$3,BD!$B$3:$B$5001,$A$185,BD!$C$3:$C$5001,"&lt;&gt;")=0,"",SUMIFS(BD!$C$3:$C$5001,BD!$A$3:$A$5001,J$3,BD!$B$3:$B$5001,$A$185)))</f>
        <v/>
      </c>
      <c r="K185" s="159" t="str">
        <f>IF(K$3="","",IF(COUNTIFS(BD!$A$3:$A$5001,K$3,BD!$B$3:$B$5001,$A$185,BD!$C$3:$C$5001,"&lt;&gt;")=0,"",SUMIFS(BD!$C$3:$C$5001,BD!$A$3:$A$5001,K$3,BD!$B$3:$B$5001,$A$185)))</f>
        <v/>
      </c>
      <c r="L185" s="159" t="str">
        <f>IF(L$3="","",IF(COUNTIFS(BD!$A$3:$A$5001,L$3,BD!$B$3:$B$5001,$A$185,BD!$C$3:$C$5001,"&lt;&gt;")=0,"",SUMIFS(BD!$C$3:$C$5001,BD!$A$3:$A$5001,L$3,BD!$B$3:$B$5001,$A$185)))</f>
        <v/>
      </c>
      <c r="M185" s="159" t="str">
        <f>IF(M$3="","",IF(COUNTIFS(BD!$A$3:$A$5001,M$3,BD!$B$3:$B$5001,$A$185,BD!$C$3:$C$5001,"&lt;&gt;")=0,"",SUMIFS(BD!$C$3:$C$5001,BD!$A$3:$A$5001,M$3,BD!$B$3:$B$5001,$A$185)))</f>
        <v/>
      </c>
      <c r="N185" s="159" t="str">
        <f>IF(N$3="","",IF(COUNTIFS(BD!$A$3:$A$5001,N$3,BD!$B$3:$B$5001,$A$185,BD!$C$3:$C$5001,"&lt;&gt;")=0,"",SUMIFS(BD!$C$3:$C$5001,BD!$A$3:$A$5001,N$3,BD!$B$3:$B$5001,$A$185)))</f>
        <v/>
      </c>
      <c r="O185" s="159" t="str">
        <f>IF(O$3="","",IF(COUNTIFS(BD!$A$3:$A$5001,O$3,BD!$B$3:$B$5001,$A$185,BD!$C$3:$C$5001,"&lt;&gt;")=0,"",SUMIFS(BD!$C$3:$C$5001,BD!$A$3:$A$5001,O$3,BD!$B$3:$B$5001,$A$185)))</f>
        <v/>
      </c>
      <c r="P185" s="159" t="str">
        <f>IF(P$3="","",IF(COUNTIFS(BD!$A$3:$A$5001,P$3,BD!$B$3:$B$5001,$A$185,BD!$C$3:$C$5001,"&lt;&gt;")=0,"",SUMIFS(BD!$C$3:$C$5001,BD!$A$3:$A$5001,P$3,BD!$B$3:$B$5001,$A$185)))</f>
        <v/>
      </c>
      <c r="Q185" s="159" t="str">
        <f>IF(Q$3="","",IF(COUNTIFS(BD!$A$3:$A$5001,Q$3,BD!$B$3:$B$5001,$A$185,BD!$C$3:$C$5001,"&lt;&gt;")=0,"",SUMIFS(BD!$C$3:$C$5001,BD!$A$3:$A$5001,Q$3,BD!$B$3:$B$5001,$A$185)))</f>
        <v/>
      </c>
      <c r="R185" s="159" t="str">
        <f>IF(R$3="","",IF(COUNTIFS(BD!$A$3:$A$5001,R$3,BD!$B$3:$B$5001,$A$185,BD!$C$3:$C$5001,"&lt;&gt;")=0,"",SUMIFS(BD!$C$3:$C$5001,BD!$A$3:$A$5001,R$3,BD!$B$3:$B$5001,$A$185)))</f>
        <v/>
      </c>
      <c r="S185" s="159" t="str">
        <f>IF(S$3="","",IF(COUNTIFS(BD!$A$3:$A$5001,S$3,BD!$B$3:$B$5001,$A$185,BD!$C$3:$C$5001,"&lt;&gt;")=0,"",SUMIFS(BD!$C$3:$C$5001,BD!$A$3:$A$5001,S$3,BD!$B$3:$B$5001,$A$185)))</f>
        <v/>
      </c>
      <c r="T185" s="159" t="str">
        <f>IF(T$3="","",IF(COUNTIFS(BD!$A$3:$A$5001,T$3,BD!$B$3:$B$5001,$A$185,BD!$C$3:$C$5001,"&lt;&gt;")=0,"",SUMIFS(BD!$C$3:$C$5001,BD!$A$3:$A$5001,T$3,BD!$B$3:$B$5001,$A$185)))</f>
        <v/>
      </c>
      <c r="U185" s="159" t="str">
        <f>IF(U$3="","",IF(COUNTIFS(BD!$A$3:$A$5001,U$3,BD!$B$3:$B$5001,$A$185,BD!$C$3:$C$5001,"&lt;&gt;")=0,"",SUMIFS(BD!$C$3:$C$5001,BD!$A$3:$A$5001,U$3,BD!$B$3:$B$5001,$A$185)))</f>
        <v/>
      </c>
      <c r="V185" s="159" t="str">
        <f>IF(V$3="","",IF(COUNTIFS(BD!$A$3:$A$5001,V$3,BD!$B$3:$B$5001,$A$185,BD!$C$3:$C$5001,"&lt;&gt;")=0,"",SUMIFS(BD!$C$3:$C$5001,BD!$A$3:$A$5001,V$3,BD!$B$3:$B$5001,$A$185)))</f>
        <v/>
      </c>
      <c r="W185" s="159" t="str">
        <f>IF(W$3="","",IF(COUNTIFS(BD!$A$3:$A$5001,W$3,BD!$B$3:$B$5001,$A$185,BD!$C$3:$C$5001,"&lt;&gt;")=0,"",SUMIFS(BD!$C$3:$C$5001,BD!$A$3:$A$5001,W$3,BD!$B$3:$B$5001,$A$185)))</f>
        <v/>
      </c>
      <c r="X185" s="159" t="str">
        <f>IF(X$3="","",IF(COUNTIFS(BD!$A$3:$A$5001,X$3,BD!$B$3:$B$5001,$A$185,BD!$C$3:$C$5001,"&lt;&gt;")=0,"",SUMIFS(BD!$C$3:$C$5001,BD!$A$3:$A$5001,X$3,BD!$B$3:$B$5001,$A$185)))</f>
        <v/>
      </c>
      <c r="Y185" s="159" t="str">
        <f>IF(Y$3="","",IF(COUNTIFS(BD!$A$3:$A$5001,Y$3,BD!$B$3:$B$5001,$A$185,BD!$C$3:$C$5001,"&lt;&gt;")=0,"",SUMIFS(BD!$C$3:$C$5001,BD!$A$3:$A$5001,Y$3,BD!$B$3:$B$5001,$A$185)))</f>
        <v/>
      </c>
      <c r="Z185" s="159" t="str">
        <f>IF(Z$3="","",IF(COUNTIFS(BD!$A$3:$A$5001,Z$3,BD!$B$3:$B$5001,$A$185,BD!$C$3:$C$5001,"&lt;&gt;")=0,"",SUMIFS(BD!$C$3:$C$5001,BD!$A$3:$A$5001,Z$3,BD!$B$3:$B$5001,$A$185)))</f>
        <v/>
      </c>
      <c r="AA185" s="159" t="str">
        <f>IF(AA$3="","",IF(COUNTIFS(BD!$A$3:$A$5001,AA$3,BD!$B$3:$B$5001,$A$185,BD!$C$3:$C$5001,"&lt;&gt;")=0,"",SUMIFS(BD!$C$3:$C$5001,BD!$A$3:$A$5001,AA$3,BD!$B$3:$B$5001,$A$185)))</f>
        <v/>
      </c>
      <c r="AB185" s="159" t="str">
        <f>IF(AB$3="","",IF(COUNTIFS(BD!$A$3:$A$5001,AB$3,BD!$B$3:$B$5001,$A$185,BD!$C$3:$C$5001,"&lt;&gt;")=0,"",SUMIFS(BD!$C$3:$C$5001,BD!$A$3:$A$5001,AB$3,BD!$B$3:$B$5001,$A$185)))</f>
        <v/>
      </c>
      <c r="AC185" s="159" t="str">
        <f>IF(AC$3="","",IF(COUNTIFS(BD!$A$3:$A$5001,AC$3,BD!$B$3:$B$5001,$A$185,BD!$C$3:$C$5001,"&lt;&gt;")=0,"",SUMIFS(BD!$C$3:$C$5001,BD!$A$3:$A$5001,AC$3,BD!$B$3:$B$5001,$A$185)))</f>
        <v/>
      </c>
      <c r="AD185" s="159" t="str">
        <f>IF(AD$3="","",IF(COUNTIFS(BD!$A$3:$A$5001,AD$3,BD!$B$3:$B$5001,$A$185,BD!$C$3:$C$5001,"&lt;&gt;")=0,"",SUMIFS(BD!$C$3:$C$5001,BD!$A$3:$A$5001,AD$3,BD!$B$3:$B$5001,$A$185)))</f>
        <v/>
      </c>
      <c r="AE185" s="159" t="str">
        <f>IF(AE$3="","",IF(COUNTIFS(BD!$A$3:$A$5001,AE$3,BD!$B$3:$B$5001,$A$185,BD!$C$3:$C$5001,"&lt;&gt;")=0,"",SUMIFS(BD!$C$3:$C$5001,BD!$A$3:$A$5001,AE$3,BD!$B$3:$B$5001,$A$185)))</f>
        <v/>
      </c>
      <c r="AF185" s="159" t="str">
        <f>IF(AF$3="","",IF(COUNTIFS(BD!$A$3:$A$5001,AF$3,BD!$B$3:$B$5001,$A$185,BD!$C$3:$C$5001,"&lt;&gt;")=0,"",SUMIFS(BD!$C$3:$C$5001,BD!$A$3:$A$5001,AF$3,BD!$B$3:$B$5001,$A$185)))</f>
        <v/>
      </c>
      <c r="AG185" s="159" t="str">
        <f>IF(AG$3="","",IF(COUNTIFS(BD!$A$3:$A$5001,AG$3,BD!$B$3:$B$5001,$A$185,BD!$C$3:$C$5001,"&lt;&gt;")=0,"",SUMIFS(BD!$C$3:$C$5001,BD!$A$3:$A$5001,AG$3,BD!$B$3:$B$5001,$A$185)))</f>
        <v/>
      </c>
      <c r="AH185" s="159" t="str">
        <f>IF(AH$3="","",IF(COUNTIFS(BD!$A$3:$A$5001,AH$3,BD!$B$3:$B$5001,$A$185,BD!$C$3:$C$5001,"&lt;&gt;")=0,"",SUMIFS(BD!$C$3:$C$5001,BD!$A$3:$A$5001,AH$3,BD!$B$3:$B$5001,$A$185)))</f>
        <v/>
      </c>
      <c r="AI185" s="159" t="str">
        <f>IF(AI$3="","",IF(COUNTIFS(BD!$A$3:$A$5001,AI$3,BD!$B$3:$B$5001,$A$185,BD!$C$3:$C$5001,"&lt;&gt;")=0,"",SUMIFS(BD!$C$3:$C$5001,BD!$A$3:$A$5001,AI$3,BD!$B$3:$B$5001,$A$185)))</f>
        <v/>
      </c>
      <c r="AJ185" s="160" t="str">
        <f>IF(AJ$3="","",IF(COUNTIFS(BD!$A$3:$A$5001,AJ$3,BD!$B$3:$B$5001,$A$185,BD!$C$3:$C$5001,"&lt;&gt;")=0,"",SUMIFS(BD!$C$3:$C$5001,BD!$A$3:$A$5001,AJ$3,BD!$B$3:$B$5001,$A$185)))</f>
        <v/>
      </c>
      <c r="AK185" s="161" t="str">
        <f>IF(COUNT(F185:AJ185)=0,"",SUM(F185:AJ185))</f>
        <v/>
      </c>
    </row>
    <row r="186" ht="15.75" customHeight="1" hidden="1">
      <c r="A186" s="254"/>
      <c r="B186" s="242"/>
      <c r="C186" s="162" t="inlineStr">
        <is>
          <t xml:space="preserve">Pallets Movimentados</t>
        </is>
      </c>
      <c r="D186" s="163" t="str">
        <f>IFERROR(1/(1/INDEX(BD!$Y$24:$AS$24,MATCH($A$185,BD!$Y$22:$AS$22,0))),"")</f>
        <v/>
      </c>
      <c r="E186" s="164"/>
      <c r="F186" s="165" t="str">
        <f>IF(F$3="","",IF(COUNTIFS(BD!$A$3:$A$5001,F$3,BD!$B$3:$B$5001,$A$185,BD!$D$3:$D$5001,"&lt;&gt;")=0,"",SUMIFS(BD!$D$3:$D$5001,BD!$A$3:$A$5001,F$3,BD!$B$3:$B$5001,$A$185)))</f>
        <v/>
      </c>
      <c r="G186" s="166" t="str">
        <f>IF(G$3="","",IF(COUNTIFS(BD!$A$3:$A$5001,G$3,BD!$B$3:$B$5001,$A$185,BD!$D$3:$D$5001,"&lt;&gt;")=0,"",SUMIFS(BD!$D$3:$D$5001,BD!$A$3:$A$5001,G$3,BD!$B$3:$B$5001,$A$185)))</f>
        <v/>
      </c>
      <c r="H186" s="166" t="str">
        <f>IF(H$3="","",IF(COUNTIFS(BD!$A$3:$A$5001,H$3,BD!$B$3:$B$5001,$A$185,BD!$D$3:$D$5001,"&lt;&gt;")=0,"",SUMIFS(BD!$D$3:$D$5001,BD!$A$3:$A$5001,H$3,BD!$B$3:$B$5001,$A$185)))</f>
        <v/>
      </c>
      <c r="I186" s="166" t="str">
        <f>IF(I$3="","",IF(COUNTIFS(BD!$A$3:$A$5001,I$3,BD!$B$3:$B$5001,$A$185,BD!$D$3:$D$5001,"&lt;&gt;")=0,"",SUMIFS(BD!$D$3:$D$5001,BD!$A$3:$A$5001,I$3,BD!$B$3:$B$5001,$A$185)))</f>
        <v/>
      </c>
      <c r="J186" s="166" t="str">
        <f>IF(J$3="","",IF(COUNTIFS(BD!$A$3:$A$5001,J$3,BD!$B$3:$B$5001,$A$185,BD!$D$3:$D$5001,"&lt;&gt;")=0,"",SUMIFS(BD!$D$3:$D$5001,BD!$A$3:$A$5001,J$3,BD!$B$3:$B$5001,$A$185)))</f>
        <v/>
      </c>
      <c r="K186" s="166" t="str">
        <f>IF(K$3="","",IF(COUNTIFS(BD!$A$3:$A$5001,K$3,BD!$B$3:$B$5001,$A$185,BD!$D$3:$D$5001,"&lt;&gt;")=0,"",SUMIFS(BD!$D$3:$D$5001,BD!$A$3:$A$5001,K$3,BD!$B$3:$B$5001,$A$185)))</f>
        <v/>
      </c>
      <c r="L186" s="166" t="str">
        <f>IF(L$3="","",IF(COUNTIFS(BD!$A$3:$A$5001,L$3,BD!$B$3:$B$5001,$A$185,BD!$D$3:$D$5001,"&lt;&gt;")=0,"",SUMIFS(BD!$D$3:$D$5001,BD!$A$3:$A$5001,L$3,BD!$B$3:$B$5001,$A$185)))</f>
        <v/>
      </c>
      <c r="M186" s="166" t="str">
        <f>IF(M$3="","",IF(COUNTIFS(BD!$A$3:$A$5001,M$3,BD!$B$3:$B$5001,$A$185,BD!$D$3:$D$5001,"&lt;&gt;")=0,"",SUMIFS(BD!$D$3:$D$5001,BD!$A$3:$A$5001,M$3,BD!$B$3:$B$5001,$A$185)))</f>
        <v/>
      </c>
      <c r="N186" s="166" t="str">
        <f>IF(N$3="","",IF(COUNTIFS(BD!$A$3:$A$5001,N$3,BD!$B$3:$B$5001,$A$185,BD!$D$3:$D$5001,"&lt;&gt;")=0,"",SUMIFS(BD!$D$3:$D$5001,BD!$A$3:$A$5001,N$3,BD!$B$3:$B$5001,$A$185)))</f>
        <v/>
      </c>
      <c r="O186" s="166" t="str">
        <f>IF(O$3="","",IF(COUNTIFS(BD!$A$3:$A$5001,O$3,BD!$B$3:$B$5001,$A$185,BD!$D$3:$D$5001,"&lt;&gt;")=0,"",SUMIFS(BD!$D$3:$D$5001,BD!$A$3:$A$5001,O$3,BD!$B$3:$B$5001,$A$185)))</f>
        <v/>
      </c>
      <c r="P186" s="166" t="str">
        <f>IF(P$3="","",IF(COUNTIFS(BD!$A$3:$A$5001,P$3,BD!$B$3:$B$5001,$A$185,BD!$D$3:$D$5001,"&lt;&gt;")=0,"",SUMIFS(BD!$D$3:$D$5001,BD!$A$3:$A$5001,P$3,BD!$B$3:$B$5001,$A$185)))</f>
        <v/>
      </c>
      <c r="Q186" s="166" t="str">
        <f>IF(Q$3="","",IF(COUNTIFS(BD!$A$3:$A$5001,Q$3,BD!$B$3:$B$5001,$A$185,BD!$D$3:$D$5001,"&lt;&gt;")=0,"",SUMIFS(BD!$D$3:$D$5001,BD!$A$3:$A$5001,Q$3,BD!$B$3:$B$5001,$A$185)))</f>
        <v/>
      </c>
      <c r="R186" s="166" t="str">
        <f>IF(R$3="","",IF(COUNTIFS(BD!$A$3:$A$5001,R$3,BD!$B$3:$B$5001,$A$185,BD!$D$3:$D$5001,"&lt;&gt;")=0,"",SUMIFS(BD!$D$3:$D$5001,BD!$A$3:$A$5001,R$3,BD!$B$3:$B$5001,$A$185)))</f>
        <v/>
      </c>
      <c r="S186" s="166" t="str">
        <f>IF(S$3="","",IF(COUNTIFS(BD!$A$3:$A$5001,S$3,BD!$B$3:$B$5001,$A$185,BD!$D$3:$D$5001,"&lt;&gt;")=0,"",SUMIFS(BD!$D$3:$D$5001,BD!$A$3:$A$5001,S$3,BD!$B$3:$B$5001,$A$185)))</f>
        <v/>
      </c>
      <c r="T186" s="166" t="str">
        <f>IF(T$3="","",IF(COUNTIFS(BD!$A$3:$A$5001,T$3,BD!$B$3:$B$5001,$A$185,BD!$D$3:$D$5001,"&lt;&gt;")=0,"",SUMIFS(BD!$D$3:$D$5001,BD!$A$3:$A$5001,T$3,BD!$B$3:$B$5001,$A$185)))</f>
        <v/>
      </c>
      <c r="U186" s="166" t="str">
        <f>IF(U$3="","",IF(COUNTIFS(BD!$A$3:$A$5001,U$3,BD!$B$3:$B$5001,$A$185,BD!$D$3:$D$5001,"&lt;&gt;")=0,"",SUMIFS(BD!$D$3:$D$5001,BD!$A$3:$A$5001,U$3,BD!$B$3:$B$5001,$A$185)))</f>
        <v/>
      </c>
      <c r="V186" s="166" t="str">
        <f>IF(V$3="","",IF(COUNTIFS(BD!$A$3:$A$5001,V$3,BD!$B$3:$B$5001,$A$185,BD!$D$3:$D$5001,"&lt;&gt;")=0,"",SUMIFS(BD!$D$3:$D$5001,BD!$A$3:$A$5001,V$3,BD!$B$3:$B$5001,$A$185)))</f>
        <v/>
      </c>
      <c r="W186" s="166" t="str">
        <f>IF(W$3="","",IF(COUNTIFS(BD!$A$3:$A$5001,W$3,BD!$B$3:$B$5001,$A$185,BD!$D$3:$D$5001,"&lt;&gt;")=0,"",SUMIFS(BD!$D$3:$D$5001,BD!$A$3:$A$5001,W$3,BD!$B$3:$B$5001,$A$185)))</f>
        <v/>
      </c>
      <c r="X186" s="166" t="str">
        <f>IF(X$3="","",IF(COUNTIFS(BD!$A$3:$A$5001,X$3,BD!$B$3:$B$5001,$A$185,BD!$D$3:$D$5001,"&lt;&gt;")=0,"",SUMIFS(BD!$D$3:$D$5001,BD!$A$3:$A$5001,X$3,BD!$B$3:$B$5001,$A$185)))</f>
        <v/>
      </c>
      <c r="Y186" s="166" t="str">
        <f>IF(Y$3="","",IF(COUNTIFS(BD!$A$3:$A$5001,Y$3,BD!$B$3:$B$5001,$A$185,BD!$D$3:$D$5001,"&lt;&gt;")=0,"",SUMIFS(BD!$D$3:$D$5001,BD!$A$3:$A$5001,Y$3,BD!$B$3:$B$5001,$A$185)))</f>
        <v/>
      </c>
      <c r="Z186" s="166" t="str">
        <f>IF(Z$3="","",IF(COUNTIFS(BD!$A$3:$A$5001,Z$3,BD!$B$3:$B$5001,$A$185,BD!$D$3:$D$5001,"&lt;&gt;")=0,"",SUMIFS(BD!$D$3:$D$5001,BD!$A$3:$A$5001,Z$3,BD!$B$3:$B$5001,$A$185)))</f>
        <v/>
      </c>
      <c r="AA186" s="166" t="str">
        <f>IF(AA$3="","",IF(COUNTIFS(BD!$A$3:$A$5001,AA$3,BD!$B$3:$B$5001,$A$185,BD!$D$3:$D$5001,"&lt;&gt;")=0,"",SUMIFS(BD!$D$3:$D$5001,BD!$A$3:$A$5001,AA$3,BD!$B$3:$B$5001,$A$185)))</f>
        <v/>
      </c>
      <c r="AB186" s="166" t="str">
        <f>IF(AB$3="","",IF(COUNTIFS(BD!$A$3:$A$5001,AB$3,BD!$B$3:$B$5001,$A$185,BD!$D$3:$D$5001,"&lt;&gt;")=0,"",SUMIFS(BD!$D$3:$D$5001,BD!$A$3:$A$5001,AB$3,BD!$B$3:$B$5001,$A$185)))</f>
        <v/>
      </c>
      <c r="AC186" s="166" t="str">
        <f>IF(AC$3="","",IF(COUNTIFS(BD!$A$3:$A$5001,AC$3,BD!$B$3:$B$5001,$A$185,BD!$D$3:$D$5001,"&lt;&gt;")=0,"",SUMIFS(BD!$D$3:$D$5001,BD!$A$3:$A$5001,AC$3,BD!$B$3:$B$5001,$A$185)))</f>
        <v/>
      </c>
      <c r="AD186" s="166" t="str">
        <f>IF(AD$3="","",IF(COUNTIFS(BD!$A$3:$A$5001,AD$3,BD!$B$3:$B$5001,$A$185,BD!$D$3:$D$5001,"&lt;&gt;")=0,"",SUMIFS(BD!$D$3:$D$5001,BD!$A$3:$A$5001,AD$3,BD!$B$3:$B$5001,$A$185)))</f>
        <v/>
      </c>
      <c r="AE186" s="166" t="str">
        <f>IF(AE$3="","",IF(COUNTIFS(BD!$A$3:$A$5001,AE$3,BD!$B$3:$B$5001,$A$185,BD!$D$3:$D$5001,"&lt;&gt;")=0,"",SUMIFS(BD!$D$3:$D$5001,BD!$A$3:$A$5001,AE$3,BD!$B$3:$B$5001,$A$185)))</f>
        <v/>
      </c>
      <c r="AF186" s="166" t="str">
        <f>IF(AF$3="","",IF(COUNTIFS(BD!$A$3:$A$5001,AF$3,BD!$B$3:$B$5001,$A$185,BD!$D$3:$D$5001,"&lt;&gt;")=0,"",SUMIFS(BD!$D$3:$D$5001,BD!$A$3:$A$5001,AF$3,BD!$B$3:$B$5001,$A$185)))</f>
        <v/>
      </c>
      <c r="AG186" s="166" t="str">
        <f>IF(AG$3="","",IF(COUNTIFS(BD!$A$3:$A$5001,AG$3,BD!$B$3:$B$5001,$A$185,BD!$D$3:$D$5001,"&lt;&gt;")=0,"",SUMIFS(BD!$D$3:$D$5001,BD!$A$3:$A$5001,AG$3,BD!$B$3:$B$5001,$A$185)))</f>
        <v/>
      </c>
      <c r="AH186" s="166" t="str">
        <f>IF(AH$3="","",IF(COUNTIFS(BD!$A$3:$A$5001,AH$3,BD!$B$3:$B$5001,$A$185,BD!$D$3:$D$5001,"&lt;&gt;")=0,"",SUMIFS(BD!$D$3:$D$5001,BD!$A$3:$A$5001,AH$3,BD!$B$3:$B$5001,$A$185)))</f>
        <v/>
      </c>
      <c r="AI186" s="166" t="str">
        <f>IF(AI$3="","",IF(COUNTIFS(BD!$A$3:$A$5001,AI$3,BD!$B$3:$B$5001,$A$185,BD!$D$3:$D$5001,"&lt;&gt;")=0,"",SUMIFS(BD!$D$3:$D$5001,BD!$A$3:$A$5001,AI$3,BD!$B$3:$B$5001,$A$185)))</f>
        <v/>
      </c>
      <c r="AJ186" s="167" t="str">
        <f>IF(AJ$3="","",IF(COUNTIFS(BD!$A$3:$A$5001,AJ$3,BD!$B$3:$B$5001,$A$185,BD!$D$3:$D$5001,"&lt;&gt;")=0,"",SUMIFS(BD!$D$3:$D$5001,BD!$A$3:$A$5001,AJ$3,BD!$B$3:$B$5001,$A$185)))</f>
        <v/>
      </c>
      <c r="AK186" s="168" t="str">
        <f>IF(COUNT(F186:AJ186)=0,"",SUM(F186:AJ186))</f>
        <v/>
      </c>
    </row>
    <row r="187" ht="15.75" customHeight="1" hidden="1">
      <c r="A187" s="254"/>
      <c r="B187" s="243"/>
      <c r="C187" s="169" t="inlineStr">
        <is>
          <t xml:space="preserve">Toneladas Movimentadas</t>
        </is>
      </c>
      <c r="D187" s="170" t="str">
        <f>IFERROR(1/(1/INDEX(BD!$Y$25:$AS$25,MATCH($A$185,BD!$Y$22:$AS$22,0))),"")</f>
        <v/>
      </c>
      <c r="E187" s="171"/>
      <c r="F187" s="172" t="str">
        <f>IF(F$3="","",IF(COUNTIFS(BD!$A$3:$A$5001,F$3,BD!$B$3:$B$5001,$A$185,BD!$E$3:$E$5001,"&lt;&gt;")=0,"",SUMIFS(BD!$E$3:$E$5001,BD!$A$3:$A$5001,F$3,BD!$B$3:$B$5001,$A$185)))</f>
        <v/>
      </c>
      <c r="G187" s="173" t="str">
        <f>IF(G$3="","",IF(COUNTIFS(BD!$A$3:$A$5001,G$3,BD!$B$3:$B$5001,$A$185,BD!$E$3:$E$5001,"&lt;&gt;")=0,"",SUMIFS(BD!$E$3:$E$5001,BD!$A$3:$A$5001,G$3,BD!$B$3:$B$5001,$A$185)))</f>
        <v/>
      </c>
      <c r="H187" s="173" t="str">
        <f>IF(H$3="","",IF(COUNTIFS(BD!$A$3:$A$5001,H$3,BD!$B$3:$B$5001,$A$185,BD!$E$3:$E$5001,"&lt;&gt;")=0,"",SUMIFS(BD!$E$3:$E$5001,BD!$A$3:$A$5001,H$3,BD!$B$3:$B$5001,$A$185)))</f>
        <v/>
      </c>
      <c r="I187" s="173" t="str">
        <f>IF(I$3="","",IF(COUNTIFS(BD!$A$3:$A$5001,I$3,BD!$B$3:$B$5001,$A$185,BD!$E$3:$E$5001,"&lt;&gt;")=0,"",SUMIFS(BD!$E$3:$E$5001,BD!$A$3:$A$5001,I$3,BD!$B$3:$B$5001,$A$185)))</f>
        <v/>
      </c>
      <c r="J187" s="173" t="str">
        <f>IF(J$3="","",IF(COUNTIFS(BD!$A$3:$A$5001,J$3,BD!$B$3:$B$5001,$A$185,BD!$E$3:$E$5001,"&lt;&gt;")=0,"",SUMIFS(BD!$E$3:$E$5001,BD!$A$3:$A$5001,J$3,BD!$B$3:$B$5001,$A$185)))</f>
        <v/>
      </c>
      <c r="K187" s="173" t="str">
        <f>IF(K$3="","",IF(COUNTIFS(BD!$A$3:$A$5001,K$3,BD!$B$3:$B$5001,$A$185,BD!$E$3:$E$5001,"&lt;&gt;")=0,"",SUMIFS(BD!$E$3:$E$5001,BD!$A$3:$A$5001,K$3,BD!$B$3:$B$5001,$A$185)))</f>
        <v/>
      </c>
      <c r="L187" s="173" t="str">
        <f>IF(L$3="","",IF(COUNTIFS(BD!$A$3:$A$5001,L$3,BD!$B$3:$B$5001,$A$185,BD!$E$3:$E$5001,"&lt;&gt;")=0,"",SUMIFS(BD!$E$3:$E$5001,BD!$A$3:$A$5001,L$3,BD!$B$3:$B$5001,$A$185)))</f>
        <v/>
      </c>
      <c r="M187" s="173" t="str">
        <f>IF(M$3="","",IF(COUNTIFS(BD!$A$3:$A$5001,M$3,BD!$B$3:$B$5001,$A$185,BD!$E$3:$E$5001,"&lt;&gt;")=0,"",SUMIFS(BD!$E$3:$E$5001,BD!$A$3:$A$5001,M$3,BD!$B$3:$B$5001,$A$185)))</f>
        <v/>
      </c>
      <c r="N187" s="173" t="str">
        <f>IF(N$3="","",IF(COUNTIFS(BD!$A$3:$A$5001,N$3,BD!$B$3:$B$5001,$A$185,BD!$E$3:$E$5001,"&lt;&gt;")=0,"",SUMIFS(BD!$E$3:$E$5001,BD!$A$3:$A$5001,N$3,BD!$B$3:$B$5001,$A$185)))</f>
        <v/>
      </c>
      <c r="O187" s="173" t="str">
        <f>IF(O$3="","",IF(COUNTIFS(BD!$A$3:$A$5001,O$3,BD!$B$3:$B$5001,$A$185,BD!$E$3:$E$5001,"&lt;&gt;")=0,"",SUMIFS(BD!$E$3:$E$5001,BD!$A$3:$A$5001,O$3,BD!$B$3:$B$5001,$A$185)))</f>
        <v/>
      </c>
      <c r="P187" s="173" t="str">
        <f>IF(P$3="","",IF(COUNTIFS(BD!$A$3:$A$5001,P$3,BD!$B$3:$B$5001,$A$185,BD!$E$3:$E$5001,"&lt;&gt;")=0,"",SUMIFS(BD!$E$3:$E$5001,BD!$A$3:$A$5001,P$3,BD!$B$3:$B$5001,$A$185)))</f>
        <v/>
      </c>
      <c r="Q187" s="173" t="str">
        <f>IF(Q$3="","",IF(COUNTIFS(BD!$A$3:$A$5001,Q$3,BD!$B$3:$B$5001,$A$185,BD!$E$3:$E$5001,"&lt;&gt;")=0,"",SUMIFS(BD!$E$3:$E$5001,BD!$A$3:$A$5001,Q$3,BD!$B$3:$B$5001,$A$185)))</f>
        <v/>
      </c>
      <c r="R187" s="173" t="str">
        <f>IF(R$3="","",IF(COUNTIFS(BD!$A$3:$A$5001,R$3,BD!$B$3:$B$5001,$A$185,BD!$E$3:$E$5001,"&lt;&gt;")=0,"",SUMIFS(BD!$E$3:$E$5001,BD!$A$3:$A$5001,R$3,BD!$B$3:$B$5001,$A$185)))</f>
        <v/>
      </c>
      <c r="S187" s="173" t="str">
        <f>IF(S$3="","",IF(COUNTIFS(BD!$A$3:$A$5001,S$3,BD!$B$3:$B$5001,$A$185,BD!$E$3:$E$5001,"&lt;&gt;")=0,"",SUMIFS(BD!$E$3:$E$5001,BD!$A$3:$A$5001,S$3,BD!$B$3:$B$5001,$A$185)))</f>
        <v/>
      </c>
      <c r="T187" s="173" t="str">
        <f>IF(T$3="","",IF(COUNTIFS(BD!$A$3:$A$5001,T$3,BD!$B$3:$B$5001,$A$185,BD!$E$3:$E$5001,"&lt;&gt;")=0,"",SUMIFS(BD!$E$3:$E$5001,BD!$A$3:$A$5001,T$3,BD!$B$3:$B$5001,$A$185)))</f>
        <v/>
      </c>
      <c r="U187" s="173" t="str">
        <f>IF(U$3="","",IF(COUNTIFS(BD!$A$3:$A$5001,U$3,BD!$B$3:$B$5001,$A$185,BD!$E$3:$E$5001,"&lt;&gt;")=0,"",SUMIFS(BD!$E$3:$E$5001,BD!$A$3:$A$5001,U$3,BD!$B$3:$B$5001,$A$185)))</f>
        <v/>
      </c>
      <c r="V187" s="173" t="str">
        <f>IF(V$3="","",IF(COUNTIFS(BD!$A$3:$A$5001,V$3,BD!$B$3:$B$5001,$A$185,BD!$E$3:$E$5001,"&lt;&gt;")=0,"",SUMIFS(BD!$E$3:$E$5001,BD!$A$3:$A$5001,V$3,BD!$B$3:$B$5001,$A$185)))</f>
        <v/>
      </c>
      <c r="W187" s="173" t="str">
        <f>IF(W$3="","",IF(COUNTIFS(BD!$A$3:$A$5001,W$3,BD!$B$3:$B$5001,$A$185,BD!$E$3:$E$5001,"&lt;&gt;")=0,"",SUMIFS(BD!$E$3:$E$5001,BD!$A$3:$A$5001,W$3,BD!$B$3:$B$5001,$A$185)))</f>
        <v/>
      </c>
      <c r="X187" s="173" t="str">
        <f>IF(X$3="","",IF(COUNTIFS(BD!$A$3:$A$5001,X$3,BD!$B$3:$B$5001,$A$185,BD!$E$3:$E$5001,"&lt;&gt;")=0,"",SUMIFS(BD!$E$3:$E$5001,BD!$A$3:$A$5001,X$3,BD!$B$3:$B$5001,$A$185)))</f>
        <v/>
      </c>
      <c r="Y187" s="173" t="str">
        <f>IF(Y$3="","",IF(COUNTIFS(BD!$A$3:$A$5001,Y$3,BD!$B$3:$B$5001,$A$185,BD!$E$3:$E$5001,"&lt;&gt;")=0,"",SUMIFS(BD!$E$3:$E$5001,BD!$A$3:$A$5001,Y$3,BD!$B$3:$B$5001,$A$185)))</f>
        <v/>
      </c>
      <c r="Z187" s="173" t="str">
        <f>IF(Z$3="","",IF(COUNTIFS(BD!$A$3:$A$5001,Z$3,BD!$B$3:$B$5001,$A$185,BD!$E$3:$E$5001,"&lt;&gt;")=0,"",SUMIFS(BD!$E$3:$E$5001,BD!$A$3:$A$5001,Z$3,BD!$B$3:$B$5001,$A$185)))</f>
        <v/>
      </c>
      <c r="AA187" s="173" t="str">
        <f>IF(AA$3="","",IF(COUNTIFS(BD!$A$3:$A$5001,AA$3,BD!$B$3:$B$5001,$A$185,BD!$E$3:$E$5001,"&lt;&gt;")=0,"",SUMIFS(BD!$E$3:$E$5001,BD!$A$3:$A$5001,AA$3,BD!$B$3:$B$5001,$A$185)))</f>
        <v/>
      </c>
      <c r="AB187" s="173" t="str">
        <f>IF(AB$3="","",IF(COUNTIFS(BD!$A$3:$A$5001,AB$3,BD!$B$3:$B$5001,$A$185,BD!$E$3:$E$5001,"&lt;&gt;")=0,"",SUMIFS(BD!$E$3:$E$5001,BD!$A$3:$A$5001,AB$3,BD!$B$3:$B$5001,$A$185)))</f>
        <v/>
      </c>
      <c r="AC187" s="173" t="str">
        <f>IF(AC$3="","",IF(COUNTIFS(BD!$A$3:$A$5001,AC$3,BD!$B$3:$B$5001,$A$185,BD!$E$3:$E$5001,"&lt;&gt;")=0,"",SUMIFS(BD!$E$3:$E$5001,BD!$A$3:$A$5001,AC$3,BD!$B$3:$B$5001,$A$185)))</f>
        <v/>
      </c>
      <c r="AD187" s="173" t="str">
        <f>IF(AD$3="","",IF(COUNTIFS(BD!$A$3:$A$5001,AD$3,BD!$B$3:$B$5001,$A$185,BD!$E$3:$E$5001,"&lt;&gt;")=0,"",SUMIFS(BD!$E$3:$E$5001,BD!$A$3:$A$5001,AD$3,BD!$B$3:$B$5001,$A$185)))</f>
        <v/>
      </c>
      <c r="AE187" s="173" t="str">
        <f>IF(AE$3="","",IF(COUNTIFS(BD!$A$3:$A$5001,AE$3,BD!$B$3:$B$5001,$A$185,BD!$E$3:$E$5001,"&lt;&gt;")=0,"",SUMIFS(BD!$E$3:$E$5001,BD!$A$3:$A$5001,AE$3,BD!$B$3:$B$5001,$A$185)))</f>
        <v/>
      </c>
      <c r="AF187" s="173" t="str">
        <f>IF(AF$3="","",IF(COUNTIFS(BD!$A$3:$A$5001,AF$3,BD!$B$3:$B$5001,$A$185,BD!$E$3:$E$5001,"&lt;&gt;")=0,"",SUMIFS(BD!$E$3:$E$5001,BD!$A$3:$A$5001,AF$3,BD!$B$3:$B$5001,$A$185)))</f>
        <v/>
      </c>
      <c r="AG187" s="173" t="str">
        <f>IF(AG$3="","",IF(COUNTIFS(BD!$A$3:$A$5001,AG$3,BD!$B$3:$B$5001,$A$185,BD!$E$3:$E$5001,"&lt;&gt;")=0,"",SUMIFS(BD!$E$3:$E$5001,BD!$A$3:$A$5001,AG$3,BD!$B$3:$B$5001,$A$185)))</f>
        <v/>
      </c>
      <c r="AH187" s="173" t="str">
        <f>IF(AH$3="","",IF(COUNTIFS(BD!$A$3:$A$5001,AH$3,BD!$B$3:$B$5001,$A$185,BD!$E$3:$E$5001,"&lt;&gt;")=0,"",SUMIFS(BD!$E$3:$E$5001,BD!$A$3:$A$5001,AH$3,BD!$B$3:$B$5001,$A$185)))</f>
        <v/>
      </c>
      <c r="AI187" s="173" t="str">
        <f>IF(AI$3="","",IF(COUNTIFS(BD!$A$3:$A$5001,AI$3,BD!$B$3:$B$5001,$A$185,BD!$E$3:$E$5001,"&lt;&gt;")=0,"",SUMIFS(BD!$E$3:$E$5001,BD!$A$3:$A$5001,AI$3,BD!$B$3:$B$5001,$A$185)))</f>
        <v/>
      </c>
      <c r="AJ187" s="174" t="str">
        <f>IF(AJ$3="","",IF(COUNTIFS(BD!$A$3:$A$5001,AJ$3,BD!$B$3:$B$5001,$A$185,BD!$E$3:$E$5001,"&lt;&gt;")=0,"",SUMIFS(BD!$E$3:$E$5001,BD!$A$3:$A$5001,AJ$3,BD!$B$3:$B$5001,$A$185)))</f>
        <v/>
      </c>
      <c r="AK187" s="175" t="str">
        <f>IF(COUNT(F187:AJ187)=0,"",SUM(F187:AJ187))</f>
        <v/>
      </c>
    </row>
    <row r="188" ht="15.75" customHeight="1" hidden="1">
      <c r="A188" s="254"/>
      <c r="B188" s="244" t="inlineStr">
        <is>
          <t xml:space="preserve">OUT</t>
        </is>
      </c>
      <c r="C188" s="176" t="inlineStr">
        <is>
          <t xml:space="preserve">Veículos Expedidos</t>
        </is>
      </c>
      <c r="D188" s="177" t="str">
        <f>IFERROR(1/(1/INDEX(BD!$Y$26:$AS$26,MATCH($A$185,BD!$Y$22:$AS$22,0))),"")</f>
        <v/>
      </c>
      <c r="E188" s="178"/>
      <c r="F188" s="179" t="str">
        <f>IF(F$3="","",IF(COUNTIFS(BD!$A$3:$A$5001,F$3,BD!$B$3:$B$5001,$A$185,BD!$F$3:$F$5001,"&lt;&gt;")=0,"",SUMIFS(BD!$F$3:$F$5001,BD!$A$3:$A$5001,F$3,BD!$B$3:$B$5001,$A$185)))</f>
        <v/>
      </c>
      <c r="G188" s="180" t="str">
        <f>IF(G$3="","",IF(COUNTIFS(BD!$A$3:$A$5001,G$3,BD!$B$3:$B$5001,$A$185,BD!$F$3:$F$5001,"&lt;&gt;")=0,"",SUMIFS(BD!$F$3:$F$5001,BD!$A$3:$A$5001,G$3,BD!$B$3:$B$5001,$A$185)))</f>
        <v/>
      </c>
      <c r="H188" s="180" t="str">
        <f>IF(H$3="","",IF(COUNTIFS(BD!$A$3:$A$5001,H$3,BD!$B$3:$B$5001,$A$185,BD!$F$3:$F$5001,"&lt;&gt;")=0,"",SUMIFS(BD!$F$3:$F$5001,BD!$A$3:$A$5001,H$3,BD!$B$3:$B$5001,$A$185)))</f>
        <v/>
      </c>
      <c r="I188" s="180" t="str">
        <f>IF(I$3="","",IF(COUNTIFS(BD!$A$3:$A$5001,I$3,BD!$B$3:$B$5001,$A$185,BD!$F$3:$F$5001,"&lt;&gt;")=0,"",SUMIFS(BD!$F$3:$F$5001,BD!$A$3:$A$5001,I$3,BD!$B$3:$B$5001,$A$185)))</f>
        <v/>
      </c>
      <c r="J188" s="180" t="str">
        <f>IF(J$3="","",IF(COUNTIFS(BD!$A$3:$A$5001,J$3,BD!$B$3:$B$5001,$A$185,BD!$F$3:$F$5001,"&lt;&gt;")=0,"",SUMIFS(BD!$F$3:$F$5001,BD!$A$3:$A$5001,J$3,BD!$B$3:$B$5001,$A$185)))</f>
        <v/>
      </c>
      <c r="K188" s="180" t="str">
        <f>IF(K$3="","",IF(COUNTIFS(BD!$A$3:$A$5001,K$3,BD!$B$3:$B$5001,$A$185,BD!$F$3:$F$5001,"&lt;&gt;")=0,"",SUMIFS(BD!$F$3:$F$5001,BD!$A$3:$A$5001,K$3,BD!$B$3:$B$5001,$A$185)))</f>
        <v/>
      </c>
      <c r="L188" s="180" t="str">
        <f>IF(L$3="","",IF(COUNTIFS(BD!$A$3:$A$5001,L$3,BD!$B$3:$B$5001,$A$185,BD!$F$3:$F$5001,"&lt;&gt;")=0,"",SUMIFS(BD!$F$3:$F$5001,BD!$A$3:$A$5001,L$3,BD!$B$3:$B$5001,$A$185)))</f>
        <v/>
      </c>
      <c r="M188" s="180" t="str">
        <f>IF(M$3="","",IF(COUNTIFS(BD!$A$3:$A$5001,M$3,BD!$B$3:$B$5001,$A$185,BD!$F$3:$F$5001,"&lt;&gt;")=0,"",SUMIFS(BD!$F$3:$F$5001,BD!$A$3:$A$5001,M$3,BD!$B$3:$B$5001,$A$185)))</f>
        <v/>
      </c>
      <c r="N188" s="180" t="str">
        <f>IF(N$3="","",IF(COUNTIFS(BD!$A$3:$A$5001,N$3,BD!$B$3:$B$5001,$A$185,BD!$F$3:$F$5001,"&lt;&gt;")=0,"",SUMIFS(BD!$F$3:$F$5001,BD!$A$3:$A$5001,N$3,BD!$B$3:$B$5001,$A$185)))</f>
        <v/>
      </c>
      <c r="O188" s="180" t="str">
        <f>IF(O$3="","",IF(COUNTIFS(BD!$A$3:$A$5001,O$3,BD!$B$3:$B$5001,$A$185,BD!$F$3:$F$5001,"&lt;&gt;")=0,"",SUMIFS(BD!$F$3:$F$5001,BD!$A$3:$A$5001,O$3,BD!$B$3:$B$5001,$A$185)))</f>
        <v/>
      </c>
      <c r="P188" s="180" t="str">
        <f>IF(P$3="","",IF(COUNTIFS(BD!$A$3:$A$5001,P$3,BD!$B$3:$B$5001,$A$185,BD!$F$3:$F$5001,"&lt;&gt;")=0,"",SUMIFS(BD!$F$3:$F$5001,BD!$A$3:$A$5001,P$3,BD!$B$3:$B$5001,$A$185)))</f>
        <v/>
      </c>
      <c r="Q188" s="180" t="str">
        <f>IF(Q$3="","",IF(COUNTIFS(BD!$A$3:$A$5001,Q$3,BD!$B$3:$B$5001,$A$185,BD!$F$3:$F$5001,"&lt;&gt;")=0,"",SUMIFS(BD!$F$3:$F$5001,BD!$A$3:$A$5001,Q$3,BD!$B$3:$B$5001,$A$185)))</f>
        <v/>
      </c>
      <c r="R188" s="180" t="str">
        <f>IF(R$3="","",IF(COUNTIFS(BD!$A$3:$A$5001,R$3,BD!$B$3:$B$5001,$A$185,BD!$F$3:$F$5001,"&lt;&gt;")=0,"",SUMIFS(BD!$F$3:$F$5001,BD!$A$3:$A$5001,R$3,BD!$B$3:$B$5001,$A$185)))</f>
        <v/>
      </c>
      <c r="S188" s="180" t="str">
        <f>IF(S$3="","",IF(COUNTIFS(BD!$A$3:$A$5001,S$3,BD!$B$3:$B$5001,$A$185,BD!$F$3:$F$5001,"&lt;&gt;")=0,"",SUMIFS(BD!$F$3:$F$5001,BD!$A$3:$A$5001,S$3,BD!$B$3:$B$5001,$A$185)))</f>
        <v/>
      </c>
      <c r="T188" s="180" t="str">
        <f>IF(T$3="","",IF(COUNTIFS(BD!$A$3:$A$5001,T$3,BD!$B$3:$B$5001,$A$185,BD!$F$3:$F$5001,"&lt;&gt;")=0,"",SUMIFS(BD!$F$3:$F$5001,BD!$A$3:$A$5001,T$3,BD!$B$3:$B$5001,$A$185)))</f>
        <v/>
      </c>
      <c r="U188" s="180" t="str">
        <f>IF(U$3="","",IF(COUNTIFS(BD!$A$3:$A$5001,U$3,BD!$B$3:$B$5001,$A$185,BD!$F$3:$F$5001,"&lt;&gt;")=0,"",SUMIFS(BD!$F$3:$F$5001,BD!$A$3:$A$5001,U$3,BD!$B$3:$B$5001,$A$185)))</f>
        <v/>
      </c>
      <c r="V188" s="180" t="str">
        <f>IF(V$3="","",IF(COUNTIFS(BD!$A$3:$A$5001,V$3,BD!$B$3:$B$5001,$A$185,BD!$F$3:$F$5001,"&lt;&gt;")=0,"",SUMIFS(BD!$F$3:$F$5001,BD!$A$3:$A$5001,V$3,BD!$B$3:$B$5001,$A$185)))</f>
        <v/>
      </c>
      <c r="W188" s="180" t="str">
        <f>IF(W$3="","",IF(COUNTIFS(BD!$A$3:$A$5001,W$3,BD!$B$3:$B$5001,$A$185,BD!$F$3:$F$5001,"&lt;&gt;")=0,"",SUMIFS(BD!$F$3:$F$5001,BD!$A$3:$A$5001,W$3,BD!$B$3:$B$5001,$A$185)))</f>
        <v/>
      </c>
      <c r="X188" s="180" t="str">
        <f>IF(X$3="","",IF(COUNTIFS(BD!$A$3:$A$5001,X$3,BD!$B$3:$B$5001,$A$185,BD!$F$3:$F$5001,"&lt;&gt;")=0,"",SUMIFS(BD!$F$3:$F$5001,BD!$A$3:$A$5001,X$3,BD!$B$3:$B$5001,$A$185)))</f>
        <v/>
      </c>
      <c r="Y188" s="180" t="str">
        <f>IF(Y$3="","",IF(COUNTIFS(BD!$A$3:$A$5001,Y$3,BD!$B$3:$B$5001,$A$185,BD!$F$3:$F$5001,"&lt;&gt;")=0,"",SUMIFS(BD!$F$3:$F$5001,BD!$A$3:$A$5001,Y$3,BD!$B$3:$B$5001,$A$185)))</f>
        <v/>
      </c>
      <c r="Z188" s="180" t="str">
        <f>IF(Z$3="","",IF(COUNTIFS(BD!$A$3:$A$5001,Z$3,BD!$B$3:$B$5001,$A$185,BD!$F$3:$F$5001,"&lt;&gt;")=0,"",SUMIFS(BD!$F$3:$F$5001,BD!$A$3:$A$5001,Z$3,BD!$B$3:$B$5001,$A$185)))</f>
        <v/>
      </c>
      <c r="AA188" s="180" t="str">
        <f>IF(AA$3="","",IF(COUNTIFS(BD!$A$3:$A$5001,AA$3,BD!$B$3:$B$5001,$A$185,BD!$F$3:$F$5001,"&lt;&gt;")=0,"",SUMIFS(BD!$F$3:$F$5001,BD!$A$3:$A$5001,AA$3,BD!$B$3:$B$5001,$A$185)))</f>
        <v/>
      </c>
      <c r="AB188" s="180" t="str">
        <f>IF(AB$3="","",IF(COUNTIFS(BD!$A$3:$A$5001,AB$3,BD!$B$3:$B$5001,$A$185,BD!$F$3:$F$5001,"&lt;&gt;")=0,"",SUMIFS(BD!$F$3:$F$5001,BD!$A$3:$A$5001,AB$3,BD!$B$3:$B$5001,$A$185)))</f>
        <v/>
      </c>
      <c r="AC188" s="180" t="str">
        <f>IF(AC$3="","",IF(COUNTIFS(BD!$A$3:$A$5001,AC$3,BD!$B$3:$B$5001,$A$185,BD!$F$3:$F$5001,"&lt;&gt;")=0,"",SUMIFS(BD!$F$3:$F$5001,BD!$A$3:$A$5001,AC$3,BD!$B$3:$B$5001,$A$185)))</f>
        <v/>
      </c>
      <c r="AD188" s="180" t="str">
        <f>IF(AD$3="","",IF(COUNTIFS(BD!$A$3:$A$5001,AD$3,BD!$B$3:$B$5001,$A$185,BD!$F$3:$F$5001,"&lt;&gt;")=0,"",SUMIFS(BD!$F$3:$F$5001,BD!$A$3:$A$5001,AD$3,BD!$B$3:$B$5001,$A$185)))</f>
        <v/>
      </c>
      <c r="AE188" s="180" t="str">
        <f>IF(AE$3="","",IF(COUNTIFS(BD!$A$3:$A$5001,AE$3,BD!$B$3:$B$5001,$A$185,BD!$F$3:$F$5001,"&lt;&gt;")=0,"",SUMIFS(BD!$F$3:$F$5001,BD!$A$3:$A$5001,AE$3,BD!$B$3:$B$5001,$A$185)))</f>
        <v/>
      </c>
      <c r="AF188" s="180" t="str">
        <f>IF(AF$3="","",IF(COUNTIFS(BD!$A$3:$A$5001,AF$3,BD!$B$3:$B$5001,$A$185,BD!$F$3:$F$5001,"&lt;&gt;")=0,"",SUMIFS(BD!$F$3:$F$5001,BD!$A$3:$A$5001,AF$3,BD!$B$3:$B$5001,$A$185)))</f>
        <v/>
      </c>
      <c r="AG188" s="180" t="str">
        <f>IF(AG$3="","",IF(COUNTIFS(BD!$A$3:$A$5001,AG$3,BD!$B$3:$B$5001,$A$185,BD!$F$3:$F$5001,"&lt;&gt;")=0,"",SUMIFS(BD!$F$3:$F$5001,BD!$A$3:$A$5001,AG$3,BD!$B$3:$B$5001,$A$185)))</f>
        <v/>
      </c>
      <c r="AH188" s="180" t="str">
        <f>IF(AH$3="","",IF(COUNTIFS(BD!$A$3:$A$5001,AH$3,BD!$B$3:$B$5001,$A$185,BD!$F$3:$F$5001,"&lt;&gt;")=0,"",SUMIFS(BD!$F$3:$F$5001,BD!$A$3:$A$5001,AH$3,BD!$B$3:$B$5001,$A$185)))</f>
        <v/>
      </c>
      <c r="AI188" s="180" t="str">
        <f>IF(AI$3="","",IF(COUNTIFS(BD!$A$3:$A$5001,AI$3,BD!$B$3:$B$5001,$A$185,BD!$F$3:$F$5001,"&lt;&gt;")=0,"",SUMIFS(BD!$F$3:$F$5001,BD!$A$3:$A$5001,AI$3,BD!$B$3:$B$5001,$A$185)))</f>
        <v/>
      </c>
      <c r="AJ188" s="181" t="str">
        <f>IF(AJ$3="","",IF(COUNTIFS(BD!$A$3:$A$5001,AJ$3,BD!$B$3:$B$5001,$A$185,BD!$F$3:$F$5001,"&lt;&gt;")=0,"",SUMIFS(BD!$F$3:$F$5001,BD!$A$3:$A$5001,AJ$3,BD!$B$3:$B$5001,$A$185)))</f>
        <v/>
      </c>
      <c r="AK188" s="182" t="str">
        <f>IF(COUNT(F188:AJ188)=0,"",SUM(F188:AJ188))</f>
        <v/>
      </c>
    </row>
    <row r="189" ht="15.75" customHeight="1" hidden="1">
      <c r="A189" s="254"/>
      <c r="B189" s="245"/>
      <c r="C189" s="183" t="inlineStr">
        <is>
          <t xml:space="preserve">Pallets Movimentados</t>
        </is>
      </c>
      <c r="D189" s="184" t="str">
        <f>IFERROR(1/(1/INDEX(BD!$Y$27:$AS$27,MATCH($A$185,BD!$Y$22:$AS$22,0))),"")</f>
        <v/>
      </c>
      <c r="E189" s="185"/>
      <c r="F189" s="186" t="str">
        <f>IF(F$3="","",IF(COUNTIFS(BD!$A$3:$A$5001,F$3,BD!$B$3:$B$5001,$A$185,BD!$G$3:$G$5001,"&lt;&gt;")=0,"",SUMIFS(BD!$G$3:$G$5001,BD!$A$3:$A$5001,F$3,BD!$B$3:$B$5001,$A$185)))</f>
        <v/>
      </c>
      <c r="G189" s="187" t="str">
        <f>IF(G$3="","",IF(COUNTIFS(BD!$A$3:$A$5001,G$3,BD!$B$3:$B$5001,$A$185,BD!$G$3:$G$5001,"&lt;&gt;")=0,"",SUMIFS(BD!$G$3:$G$5001,BD!$A$3:$A$5001,G$3,BD!$B$3:$B$5001,$A$185)))</f>
        <v/>
      </c>
      <c r="H189" s="187" t="str">
        <f>IF(H$3="","",IF(COUNTIFS(BD!$A$3:$A$5001,H$3,BD!$B$3:$B$5001,$A$185,BD!$G$3:$G$5001,"&lt;&gt;")=0,"",SUMIFS(BD!$G$3:$G$5001,BD!$A$3:$A$5001,H$3,BD!$B$3:$B$5001,$A$185)))</f>
        <v/>
      </c>
      <c r="I189" s="187" t="str">
        <f>IF(I$3="","",IF(COUNTIFS(BD!$A$3:$A$5001,I$3,BD!$B$3:$B$5001,$A$185,BD!$G$3:$G$5001,"&lt;&gt;")=0,"",SUMIFS(BD!$G$3:$G$5001,BD!$A$3:$A$5001,I$3,BD!$B$3:$B$5001,$A$185)))</f>
        <v/>
      </c>
      <c r="J189" s="187" t="str">
        <f>IF(J$3="","",IF(COUNTIFS(BD!$A$3:$A$5001,J$3,BD!$B$3:$B$5001,$A$185,BD!$G$3:$G$5001,"&lt;&gt;")=0,"",SUMIFS(BD!$G$3:$G$5001,BD!$A$3:$A$5001,J$3,BD!$B$3:$B$5001,$A$185)))</f>
        <v/>
      </c>
      <c r="K189" s="187" t="str">
        <f>IF(K$3="","",IF(COUNTIFS(BD!$A$3:$A$5001,K$3,BD!$B$3:$B$5001,$A$185,BD!$G$3:$G$5001,"&lt;&gt;")=0,"",SUMIFS(BD!$G$3:$G$5001,BD!$A$3:$A$5001,K$3,BD!$B$3:$B$5001,$A$185)))</f>
        <v/>
      </c>
      <c r="L189" s="187" t="str">
        <f>IF(L$3="","",IF(COUNTIFS(BD!$A$3:$A$5001,L$3,BD!$B$3:$B$5001,$A$185,BD!$G$3:$G$5001,"&lt;&gt;")=0,"",SUMIFS(BD!$G$3:$G$5001,BD!$A$3:$A$5001,L$3,BD!$B$3:$B$5001,$A$185)))</f>
        <v/>
      </c>
      <c r="M189" s="187" t="str">
        <f>IF(M$3="","",IF(COUNTIFS(BD!$A$3:$A$5001,M$3,BD!$B$3:$B$5001,$A$185,BD!$G$3:$G$5001,"&lt;&gt;")=0,"",SUMIFS(BD!$G$3:$G$5001,BD!$A$3:$A$5001,M$3,BD!$B$3:$B$5001,$A$185)))</f>
        <v/>
      </c>
      <c r="N189" s="187" t="str">
        <f>IF(N$3="","",IF(COUNTIFS(BD!$A$3:$A$5001,N$3,BD!$B$3:$B$5001,$A$185,BD!$G$3:$G$5001,"&lt;&gt;")=0,"",SUMIFS(BD!$G$3:$G$5001,BD!$A$3:$A$5001,N$3,BD!$B$3:$B$5001,$A$185)))</f>
        <v/>
      </c>
      <c r="O189" s="187" t="str">
        <f>IF(O$3="","",IF(COUNTIFS(BD!$A$3:$A$5001,O$3,BD!$B$3:$B$5001,$A$185,BD!$G$3:$G$5001,"&lt;&gt;")=0,"",SUMIFS(BD!$G$3:$G$5001,BD!$A$3:$A$5001,O$3,BD!$B$3:$B$5001,$A$185)))</f>
        <v/>
      </c>
      <c r="P189" s="187" t="str">
        <f>IF(P$3="","",IF(COUNTIFS(BD!$A$3:$A$5001,P$3,BD!$B$3:$B$5001,$A$185,BD!$G$3:$G$5001,"&lt;&gt;")=0,"",SUMIFS(BD!$G$3:$G$5001,BD!$A$3:$A$5001,P$3,BD!$B$3:$B$5001,$A$185)))</f>
        <v/>
      </c>
      <c r="Q189" s="187" t="str">
        <f>IF(Q$3="","",IF(COUNTIFS(BD!$A$3:$A$5001,Q$3,BD!$B$3:$B$5001,$A$185,BD!$G$3:$G$5001,"&lt;&gt;")=0,"",SUMIFS(BD!$G$3:$G$5001,BD!$A$3:$A$5001,Q$3,BD!$B$3:$B$5001,$A$185)))</f>
        <v/>
      </c>
      <c r="R189" s="187" t="str">
        <f>IF(R$3="","",IF(COUNTIFS(BD!$A$3:$A$5001,R$3,BD!$B$3:$B$5001,$A$185,BD!$G$3:$G$5001,"&lt;&gt;")=0,"",SUMIFS(BD!$G$3:$G$5001,BD!$A$3:$A$5001,R$3,BD!$B$3:$B$5001,$A$185)))</f>
        <v/>
      </c>
      <c r="S189" s="187" t="str">
        <f>IF(S$3="","",IF(COUNTIFS(BD!$A$3:$A$5001,S$3,BD!$B$3:$B$5001,$A$185,BD!$G$3:$G$5001,"&lt;&gt;")=0,"",SUMIFS(BD!$G$3:$G$5001,BD!$A$3:$A$5001,S$3,BD!$B$3:$B$5001,$A$185)))</f>
        <v/>
      </c>
      <c r="T189" s="187" t="str">
        <f>IF(T$3="","",IF(COUNTIFS(BD!$A$3:$A$5001,T$3,BD!$B$3:$B$5001,$A$185,BD!$G$3:$G$5001,"&lt;&gt;")=0,"",SUMIFS(BD!$G$3:$G$5001,BD!$A$3:$A$5001,T$3,BD!$B$3:$B$5001,$A$185)))</f>
        <v/>
      </c>
      <c r="U189" s="187" t="str">
        <f>IF(U$3="","",IF(COUNTIFS(BD!$A$3:$A$5001,U$3,BD!$B$3:$B$5001,$A$185,BD!$G$3:$G$5001,"&lt;&gt;")=0,"",SUMIFS(BD!$G$3:$G$5001,BD!$A$3:$A$5001,U$3,BD!$B$3:$B$5001,$A$185)))</f>
        <v/>
      </c>
      <c r="V189" s="187" t="str">
        <f>IF(V$3="","",IF(COUNTIFS(BD!$A$3:$A$5001,V$3,BD!$B$3:$B$5001,$A$185,BD!$G$3:$G$5001,"&lt;&gt;")=0,"",SUMIFS(BD!$G$3:$G$5001,BD!$A$3:$A$5001,V$3,BD!$B$3:$B$5001,$A$185)))</f>
        <v/>
      </c>
      <c r="W189" s="187" t="str">
        <f>IF(W$3="","",IF(COUNTIFS(BD!$A$3:$A$5001,W$3,BD!$B$3:$B$5001,$A$185,BD!$G$3:$G$5001,"&lt;&gt;")=0,"",SUMIFS(BD!$G$3:$G$5001,BD!$A$3:$A$5001,W$3,BD!$B$3:$B$5001,$A$185)))</f>
        <v/>
      </c>
      <c r="X189" s="187" t="str">
        <f>IF(X$3="","",IF(COUNTIFS(BD!$A$3:$A$5001,X$3,BD!$B$3:$B$5001,$A$185,BD!$G$3:$G$5001,"&lt;&gt;")=0,"",SUMIFS(BD!$G$3:$G$5001,BD!$A$3:$A$5001,X$3,BD!$B$3:$B$5001,$A$185)))</f>
        <v/>
      </c>
      <c r="Y189" s="187" t="str">
        <f>IF(Y$3="","",IF(COUNTIFS(BD!$A$3:$A$5001,Y$3,BD!$B$3:$B$5001,$A$185,BD!$G$3:$G$5001,"&lt;&gt;")=0,"",SUMIFS(BD!$G$3:$G$5001,BD!$A$3:$A$5001,Y$3,BD!$B$3:$B$5001,$A$185)))</f>
        <v/>
      </c>
      <c r="Z189" s="187" t="str">
        <f>IF(Z$3="","",IF(COUNTIFS(BD!$A$3:$A$5001,Z$3,BD!$B$3:$B$5001,$A$185,BD!$G$3:$G$5001,"&lt;&gt;")=0,"",SUMIFS(BD!$G$3:$G$5001,BD!$A$3:$A$5001,Z$3,BD!$B$3:$B$5001,$A$185)))</f>
        <v/>
      </c>
      <c r="AA189" s="187" t="str">
        <f>IF(AA$3="","",IF(COUNTIFS(BD!$A$3:$A$5001,AA$3,BD!$B$3:$B$5001,$A$185,BD!$G$3:$G$5001,"&lt;&gt;")=0,"",SUMIFS(BD!$G$3:$G$5001,BD!$A$3:$A$5001,AA$3,BD!$B$3:$B$5001,$A$185)))</f>
        <v/>
      </c>
      <c r="AB189" s="187" t="str">
        <f>IF(AB$3="","",IF(COUNTIFS(BD!$A$3:$A$5001,AB$3,BD!$B$3:$B$5001,$A$185,BD!$G$3:$G$5001,"&lt;&gt;")=0,"",SUMIFS(BD!$G$3:$G$5001,BD!$A$3:$A$5001,AB$3,BD!$B$3:$B$5001,$A$185)))</f>
        <v/>
      </c>
      <c r="AC189" s="187" t="str">
        <f>IF(AC$3="","",IF(COUNTIFS(BD!$A$3:$A$5001,AC$3,BD!$B$3:$B$5001,$A$185,BD!$G$3:$G$5001,"&lt;&gt;")=0,"",SUMIFS(BD!$G$3:$G$5001,BD!$A$3:$A$5001,AC$3,BD!$B$3:$B$5001,$A$185)))</f>
        <v/>
      </c>
      <c r="AD189" s="187" t="str">
        <f>IF(AD$3="","",IF(COUNTIFS(BD!$A$3:$A$5001,AD$3,BD!$B$3:$B$5001,$A$185,BD!$G$3:$G$5001,"&lt;&gt;")=0,"",SUMIFS(BD!$G$3:$G$5001,BD!$A$3:$A$5001,AD$3,BD!$B$3:$B$5001,$A$185)))</f>
        <v/>
      </c>
      <c r="AE189" s="187" t="str">
        <f>IF(AE$3="","",IF(COUNTIFS(BD!$A$3:$A$5001,AE$3,BD!$B$3:$B$5001,$A$185,BD!$G$3:$G$5001,"&lt;&gt;")=0,"",SUMIFS(BD!$G$3:$G$5001,BD!$A$3:$A$5001,AE$3,BD!$B$3:$B$5001,$A$185)))</f>
        <v/>
      </c>
      <c r="AF189" s="187" t="str">
        <f>IF(AF$3="","",IF(COUNTIFS(BD!$A$3:$A$5001,AF$3,BD!$B$3:$B$5001,$A$185,BD!$G$3:$G$5001,"&lt;&gt;")=0,"",SUMIFS(BD!$G$3:$G$5001,BD!$A$3:$A$5001,AF$3,BD!$B$3:$B$5001,$A$185)))</f>
        <v/>
      </c>
      <c r="AG189" s="187" t="str">
        <f>IF(AG$3="","",IF(COUNTIFS(BD!$A$3:$A$5001,AG$3,BD!$B$3:$B$5001,$A$185,BD!$G$3:$G$5001,"&lt;&gt;")=0,"",SUMIFS(BD!$G$3:$G$5001,BD!$A$3:$A$5001,AG$3,BD!$B$3:$B$5001,$A$185)))</f>
        <v/>
      </c>
      <c r="AH189" s="187" t="str">
        <f>IF(AH$3="","",IF(COUNTIFS(BD!$A$3:$A$5001,AH$3,BD!$B$3:$B$5001,$A$185,BD!$G$3:$G$5001,"&lt;&gt;")=0,"",SUMIFS(BD!$G$3:$G$5001,BD!$A$3:$A$5001,AH$3,BD!$B$3:$B$5001,$A$185)))</f>
        <v/>
      </c>
      <c r="AI189" s="187" t="str">
        <f>IF(AI$3="","",IF(COUNTIFS(BD!$A$3:$A$5001,AI$3,BD!$B$3:$B$5001,$A$185,BD!$G$3:$G$5001,"&lt;&gt;")=0,"",SUMIFS(BD!$G$3:$G$5001,BD!$A$3:$A$5001,AI$3,BD!$B$3:$B$5001,$A$185)))</f>
        <v/>
      </c>
      <c r="AJ189" s="188" t="str">
        <f>IF(AJ$3="","",IF(COUNTIFS(BD!$A$3:$A$5001,AJ$3,BD!$B$3:$B$5001,$A$185,BD!$G$3:$G$5001,"&lt;&gt;")=0,"",SUMIFS(BD!$G$3:$G$5001,BD!$A$3:$A$5001,AJ$3,BD!$B$3:$B$5001,$A$185)))</f>
        <v/>
      </c>
      <c r="AK189" s="189" t="str">
        <f>IF(COUNT(F189:AJ189)=0,"",SUM(F189:AJ189))</f>
        <v/>
      </c>
    </row>
    <row r="190" ht="15.75" customHeight="1" hidden="1">
      <c r="A190" s="254"/>
      <c r="B190" s="246"/>
      <c r="C190" s="190" t="inlineStr">
        <is>
          <t xml:space="preserve">Toneladas Movimentadas</t>
        </is>
      </c>
      <c r="D190" s="191" t="str">
        <f>IFERROR(1/(1/INDEX(BD!$Y$28:$AS$28,MATCH($A$185,BD!$Y$22:$AS$22,0))),"")</f>
        <v/>
      </c>
      <c r="E190" s="192"/>
      <c r="F190" s="193" t="str">
        <f>IF(F$3="","",IF(COUNTIFS(BD!$A$3:$A$5001,F$3,BD!$B$3:$B$5001,$A$185,BD!$H$3:$H$5001,"&lt;&gt;")=0,"",SUMIFS(BD!$H$3:$H$5001,BD!$A$3:$A$5001,F$3,BD!$B$3:$B$5001,$A$185)))</f>
        <v/>
      </c>
      <c r="G190" s="194" t="str">
        <f>IF(G$3="","",IF(COUNTIFS(BD!$A$3:$A$5001,G$3,BD!$B$3:$B$5001,$A$185,BD!$H$3:$H$5001,"&lt;&gt;")=0,"",SUMIFS(BD!$H$3:$H$5001,BD!$A$3:$A$5001,G$3,BD!$B$3:$B$5001,$A$185)))</f>
        <v/>
      </c>
      <c r="H190" s="194" t="str">
        <f>IF(H$3="","",IF(COUNTIFS(BD!$A$3:$A$5001,H$3,BD!$B$3:$B$5001,$A$185,BD!$H$3:$H$5001,"&lt;&gt;")=0,"",SUMIFS(BD!$H$3:$H$5001,BD!$A$3:$A$5001,H$3,BD!$B$3:$B$5001,$A$185)))</f>
        <v/>
      </c>
      <c r="I190" s="194" t="str">
        <f>IF(I$3="","",IF(COUNTIFS(BD!$A$3:$A$5001,I$3,BD!$B$3:$B$5001,$A$185,BD!$H$3:$H$5001,"&lt;&gt;")=0,"",SUMIFS(BD!$H$3:$H$5001,BD!$A$3:$A$5001,I$3,BD!$B$3:$B$5001,$A$185)))</f>
        <v/>
      </c>
      <c r="J190" s="194" t="str">
        <f>IF(J$3="","",IF(COUNTIFS(BD!$A$3:$A$5001,J$3,BD!$B$3:$B$5001,$A$185,BD!$H$3:$H$5001,"&lt;&gt;")=0,"",SUMIFS(BD!$H$3:$H$5001,BD!$A$3:$A$5001,J$3,BD!$B$3:$B$5001,$A$185)))</f>
        <v/>
      </c>
      <c r="K190" s="194" t="str">
        <f>IF(K$3="","",IF(COUNTIFS(BD!$A$3:$A$5001,K$3,BD!$B$3:$B$5001,$A$185,BD!$H$3:$H$5001,"&lt;&gt;")=0,"",SUMIFS(BD!$H$3:$H$5001,BD!$A$3:$A$5001,K$3,BD!$B$3:$B$5001,$A$185)))</f>
        <v/>
      </c>
      <c r="L190" s="194" t="str">
        <f>IF(L$3="","",IF(COUNTIFS(BD!$A$3:$A$5001,L$3,BD!$B$3:$B$5001,$A$185,BD!$H$3:$H$5001,"&lt;&gt;")=0,"",SUMIFS(BD!$H$3:$H$5001,BD!$A$3:$A$5001,L$3,BD!$B$3:$B$5001,$A$185)))</f>
        <v/>
      </c>
      <c r="M190" s="194" t="str">
        <f>IF(M$3="","",IF(COUNTIFS(BD!$A$3:$A$5001,M$3,BD!$B$3:$B$5001,$A$185,BD!$H$3:$H$5001,"&lt;&gt;")=0,"",SUMIFS(BD!$H$3:$H$5001,BD!$A$3:$A$5001,M$3,BD!$B$3:$B$5001,$A$185)))</f>
        <v/>
      </c>
      <c r="N190" s="194" t="str">
        <f>IF(N$3="","",IF(COUNTIFS(BD!$A$3:$A$5001,N$3,BD!$B$3:$B$5001,$A$185,BD!$H$3:$H$5001,"&lt;&gt;")=0,"",SUMIFS(BD!$H$3:$H$5001,BD!$A$3:$A$5001,N$3,BD!$B$3:$B$5001,$A$185)))</f>
        <v/>
      </c>
      <c r="O190" s="194" t="str">
        <f>IF(O$3="","",IF(COUNTIFS(BD!$A$3:$A$5001,O$3,BD!$B$3:$B$5001,$A$185,BD!$H$3:$H$5001,"&lt;&gt;")=0,"",SUMIFS(BD!$H$3:$H$5001,BD!$A$3:$A$5001,O$3,BD!$B$3:$B$5001,$A$185)))</f>
        <v/>
      </c>
      <c r="P190" s="194" t="str">
        <f>IF(P$3="","",IF(COUNTIFS(BD!$A$3:$A$5001,P$3,BD!$B$3:$B$5001,$A$185,BD!$H$3:$H$5001,"&lt;&gt;")=0,"",SUMIFS(BD!$H$3:$H$5001,BD!$A$3:$A$5001,P$3,BD!$B$3:$B$5001,$A$185)))</f>
        <v/>
      </c>
      <c r="Q190" s="194" t="str">
        <f>IF(Q$3="","",IF(COUNTIFS(BD!$A$3:$A$5001,Q$3,BD!$B$3:$B$5001,$A$185,BD!$H$3:$H$5001,"&lt;&gt;")=0,"",SUMIFS(BD!$H$3:$H$5001,BD!$A$3:$A$5001,Q$3,BD!$B$3:$B$5001,$A$185)))</f>
        <v/>
      </c>
      <c r="R190" s="194" t="str">
        <f>IF(R$3="","",IF(COUNTIFS(BD!$A$3:$A$5001,R$3,BD!$B$3:$B$5001,$A$185,BD!$H$3:$H$5001,"&lt;&gt;")=0,"",SUMIFS(BD!$H$3:$H$5001,BD!$A$3:$A$5001,R$3,BD!$B$3:$B$5001,$A$185)))</f>
        <v/>
      </c>
      <c r="S190" s="194" t="str">
        <f>IF(S$3="","",IF(COUNTIFS(BD!$A$3:$A$5001,S$3,BD!$B$3:$B$5001,$A$185,BD!$H$3:$H$5001,"&lt;&gt;")=0,"",SUMIFS(BD!$H$3:$H$5001,BD!$A$3:$A$5001,S$3,BD!$B$3:$B$5001,$A$185)))</f>
        <v/>
      </c>
      <c r="T190" s="194" t="str">
        <f>IF(T$3="","",IF(COUNTIFS(BD!$A$3:$A$5001,T$3,BD!$B$3:$B$5001,$A$185,BD!$H$3:$H$5001,"&lt;&gt;")=0,"",SUMIFS(BD!$H$3:$H$5001,BD!$A$3:$A$5001,T$3,BD!$B$3:$B$5001,$A$185)))</f>
        <v/>
      </c>
      <c r="U190" s="194" t="str">
        <f>IF(U$3="","",IF(COUNTIFS(BD!$A$3:$A$5001,U$3,BD!$B$3:$B$5001,$A$185,BD!$H$3:$H$5001,"&lt;&gt;")=0,"",SUMIFS(BD!$H$3:$H$5001,BD!$A$3:$A$5001,U$3,BD!$B$3:$B$5001,$A$185)))</f>
        <v/>
      </c>
      <c r="V190" s="194" t="str">
        <f>IF(V$3="","",IF(COUNTIFS(BD!$A$3:$A$5001,V$3,BD!$B$3:$B$5001,$A$185,BD!$H$3:$H$5001,"&lt;&gt;")=0,"",SUMIFS(BD!$H$3:$H$5001,BD!$A$3:$A$5001,V$3,BD!$B$3:$B$5001,$A$185)))</f>
        <v/>
      </c>
      <c r="W190" s="194" t="str">
        <f>IF(W$3="","",IF(COUNTIFS(BD!$A$3:$A$5001,W$3,BD!$B$3:$B$5001,$A$185,BD!$H$3:$H$5001,"&lt;&gt;")=0,"",SUMIFS(BD!$H$3:$H$5001,BD!$A$3:$A$5001,W$3,BD!$B$3:$B$5001,$A$185)))</f>
        <v/>
      </c>
      <c r="X190" s="194" t="str">
        <f>IF(X$3="","",IF(COUNTIFS(BD!$A$3:$A$5001,X$3,BD!$B$3:$B$5001,$A$185,BD!$H$3:$H$5001,"&lt;&gt;")=0,"",SUMIFS(BD!$H$3:$H$5001,BD!$A$3:$A$5001,X$3,BD!$B$3:$B$5001,$A$185)))</f>
        <v/>
      </c>
      <c r="Y190" s="194" t="str">
        <f>IF(Y$3="","",IF(COUNTIFS(BD!$A$3:$A$5001,Y$3,BD!$B$3:$B$5001,$A$185,BD!$H$3:$H$5001,"&lt;&gt;")=0,"",SUMIFS(BD!$H$3:$H$5001,BD!$A$3:$A$5001,Y$3,BD!$B$3:$B$5001,$A$185)))</f>
        <v/>
      </c>
      <c r="Z190" s="194" t="str">
        <f>IF(Z$3="","",IF(COUNTIFS(BD!$A$3:$A$5001,Z$3,BD!$B$3:$B$5001,$A$185,BD!$H$3:$H$5001,"&lt;&gt;")=0,"",SUMIFS(BD!$H$3:$H$5001,BD!$A$3:$A$5001,Z$3,BD!$B$3:$B$5001,$A$185)))</f>
        <v/>
      </c>
      <c r="AA190" s="194" t="str">
        <f>IF(AA$3="","",IF(COUNTIFS(BD!$A$3:$A$5001,AA$3,BD!$B$3:$B$5001,$A$185,BD!$H$3:$H$5001,"&lt;&gt;")=0,"",SUMIFS(BD!$H$3:$H$5001,BD!$A$3:$A$5001,AA$3,BD!$B$3:$B$5001,$A$185)))</f>
        <v/>
      </c>
      <c r="AB190" s="194" t="str">
        <f>IF(AB$3="","",IF(COUNTIFS(BD!$A$3:$A$5001,AB$3,BD!$B$3:$B$5001,$A$185,BD!$H$3:$H$5001,"&lt;&gt;")=0,"",SUMIFS(BD!$H$3:$H$5001,BD!$A$3:$A$5001,AB$3,BD!$B$3:$B$5001,$A$185)))</f>
        <v/>
      </c>
      <c r="AC190" s="194" t="str">
        <f>IF(AC$3="","",IF(COUNTIFS(BD!$A$3:$A$5001,AC$3,BD!$B$3:$B$5001,$A$185,BD!$H$3:$H$5001,"&lt;&gt;")=0,"",SUMIFS(BD!$H$3:$H$5001,BD!$A$3:$A$5001,AC$3,BD!$B$3:$B$5001,$A$185)))</f>
        <v/>
      </c>
      <c r="AD190" s="194" t="str">
        <f>IF(AD$3="","",IF(COUNTIFS(BD!$A$3:$A$5001,AD$3,BD!$B$3:$B$5001,$A$185,BD!$H$3:$H$5001,"&lt;&gt;")=0,"",SUMIFS(BD!$H$3:$H$5001,BD!$A$3:$A$5001,AD$3,BD!$B$3:$B$5001,$A$185)))</f>
        <v/>
      </c>
      <c r="AE190" s="194" t="str">
        <f>IF(AE$3="","",IF(COUNTIFS(BD!$A$3:$A$5001,AE$3,BD!$B$3:$B$5001,$A$185,BD!$H$3:$H$5001,"&lt;&gt;")=0,"",SUMIFS(BD!$H$3:$H$5001,BD!$A$3:$A$5001,AE$3,BD!$B$3:$B$5001,$A$185)))</f>
        <v/>
      </c>
      <c r="AF190" s="194" t="str">
        <f>IF(AF$3="","",IF(COUNTIFS(BD!$A$3:$A$5001,AF$3,BD!$B$3:$B$5001,$A$185,BD!$H$3:$H$5001,"&lt;&gt;")=0,"",SUMIFS(BD!$H$3:$H$5001,BD!$A$3:$A$5001,AF$3,BD!$B$3:$B$5001,$A$185)))</f>
        <v/>
      </c>
      <c r="AG190" s="194" t="str">
        <f>IF(AG$3="","",IF(COUNTIFS(BD!$A$3:$A$5001,AG$3,BD!$B$3:$B$5001,$A$185,BD!$H$3:$H$5001,"&lt;&gt;")=0,"",SUMIFS(BD!$H$3:$H$5001,BD!$A$3:$A$5001,AG$3,BD!$B$3:$B$5001,$A$185)))</f>
        <v/>
      </c>
      <c r="AH190" s="194" t="str">
        <f>IF(AH$3="","",IF(COUNTIFS(BD!$A$3:$A$5001,AH$3,BD!$B$3:$B$5001,$A$185,BD!$H$3:$H$5001,"&lt;&gt;")=0,"",SUMIFS(BD!$H$3:$H$5001,BD!$A$3:$A$5001,AH$3,BD!$B$3:$B$5001,$A$185)))</f>
        <v/>
      </c>
      <c r="AI190" s="194" t="str">
        <f>IF(AI$3="","",IF(COUNTIFS(BD!$A$3:$A$5001,AI$3,BD!$B$3:$B$5001,$A$185,BD!$H$3:$H$5001,"&lt;&gt;")=0,"",SUMIFS(BD!$H$3:$H$5001,BD!$A$3:$A$5001,AI$3,BD!$B$3:$B$5001,$A$185)))</f>
        <v/>
      </c>
      <c r="AJ190" s="195" t="str">
        <f>IF(AJ$3="","",IF(COUNTIFS(BD!$A$3:$A$5001,AJ$3,BD!$B$3:$B$5001,$A$185,BD!$H$3:$H$5001,"&lt;&gt;")=0,"",SUMIFS(BD!$H$3:$H$5001,BD!$A$3:$A$5001,AJ$3,BD!$B$3:$B$5001,$A$185)))</f>
        <v/>
      </c>
      <c r="AK190" s="196" t="str">
        <f>IF(COUNT(F190:AJ190)=0,"",SUM(F190:AJ190))</f>
        <v/>
      </c>
    </row>
    <row r="191" ht="15.75" customHeight="1" hidden="1">
      <c r="A191" s="254"/>
      <c r="B191" s="247" t="inlineStr">
        <is>
          <t xml:space="preserve">NC</t>
        </is>
      </c>
      <c r="C191" s="197" t="inlineStr">
        <is>
          <t xml:space="preserve">Incidentes</t>
        </is>
      </c>
      <c r="D191" s="198" t="str">
        <f>IFERROR(1/(1/INDEX(BD!$Y$29:$AS$29,MATCH($A$185,BD!$Y$22:$AS$22,0))),"")</f>
        <v/>
      </c>
      <c r="E191" s="199"/>
      <c r="F191" s="200" t="str">
        <f>IF(F$3="","",IF(COUNTIFS(BD!$A$3:$A$5001,F$3,BD!$B$3:$B$5001,$A$185,BD!$I$3:$I$5001,"&lt;&gt;")=0,"",SUMIFS(BD!$I$3:$I$5001,BD!$A$3:$A$5001,F$3,BD!$B$3:$B$5001,$A$185)))</f>
        <v/>
      </c>
      <c r="G191" s="201" t="str">
        <f>IF(G$3="","",IF(COUNTIFS(BD!$A$3:$A$5001,G$3,BD!$B$3:$B$5001,$A$185,BD!$I$3:$I$5001,"&lt;&gt;")=0,"",SUMIFS(BD!$I$3:$I$5001,BD!$A$3:$A$5001,G$3,BD!$B$3:$B$5001,$A$185)))</f>
        <v/>
      </c>
      <c r="H191" s="201" t="str">
        <f>IF(H$3="","",IF(COUNTIFS(BD!$A$3:$A$5001,H$3,BD!$B$3:$B$5001,$A$185,BD!$I$3:$I$5001,"&lt;&gt;")=0,"",SUMIFS(BD!$I$3:$I$5001,BD!$A$3:$A$5001,H$3,BD!$B$3:$B$5001,$A$185)))</f>
        <v/>
      </c>
      <c r="I191" s="201" t="str">
        <f>IF(I$3="","",IF(COUNTIFS(BD!$A$3:$A$5001,I$3,BD!$B$3:$B$5001,$A$185,BD!$I$3:$I$5001,"&lt;&gt;")=0,"",SUMIFS(BD!$I$3:$I$5001,BD!$A$3:$A$5001,I$3,BD!$B$3:$B$5001,$A$185)))</f>
        <v/>
      </c>
      <c r="J191" s="201" t="str">
        <f>IF(J$3="","",IF(COUNTIFS(BD!$A$3:$A$5001,J$3,BD!$B$3:$B$5001,$A$185,BD!$I$3:$I$5001,"&lt;&gt;")=0,"",SUMIFS(BD!$I$3:$I$5001,BD!$A$3:$A$5001,J$3,BD!$B$3:$B$5001,$A$185)))</f>
        <v/>
      </c>
      <c r="K191" s="201" t="str">
        <f>IF(K$3="","",IF(COUNTIFS(BD!$A$3:$A$5001,K$3,BD!$B$3:$B$5001,$A$185,BD!$I$3:$I$5001,"&lt;&gt;")=0,"",SUMIFS(BD!$I$3:$I$5001,BD!$A$3:$A$5001,K$3,BD!$B$3:$B$5001,$A$185)))</f>
        <v/>
      </c>
      <c r="L191" s="201" t="str">
        <f>IF(L$3="","",IF(COUNTIFS(BD!$A$3:$A$5001,L$3,BD!$B$3:$B$5001,$A$185,BD!$I$3:$I$5001,"&lt;&gt;")=0,"",SUMIFS(BD!$I$3:$I$5001,BD!$A$3:$A$5001,L$3,BD!$B$3:$B$5001,$A$185)))</f>
        <v/>
      </c>
      <c r="M191" s="201" t="str">
        <f>IF(M$3="","",IF(COUNTIFS(BD!$A$3:$A$5001,M$3,BD!$B$3:$B$5001,$A$185,BD!$I$3:$I$5001,"&lt;&gt;")=0,"",SUMIFS(BD!$I$3:$I$5001,BD!$A$3:$A$5001,M$3,BD!$B$3:$B$5001,$A$185)))</f>
        <v/>
      </c>
      <c r="N191" s="201" t="str">
        <f>IF(N$3="","",IF(COUNTIFS(BD!$A$3:$A$5001,N$3,BD!$B$3:$B$5001,$A$185,BD!$I$3:$I$5001,"&lt;&gt;")=0,"",SUMIFS(BD!$I$3:$I$5001,BD!$A$3:$A$5001,N$3,BD!$B$3:$B$5001,$A$185)))</f>
        <v/>
      </c>
      <c r="O191" s="201" t="str">
        <f>IF(O$3="","",IF(COUNTIFS(BD!$A$3:$A$5001,O$3,BD!$B$3:$B$5001,$A$185,BD!$I$3:$I$5001,"&lt;&gt;")=0,"",SUMIFS(BD!$I$3:$I$5001,BD!$A$3:$A$5001,O$3,BD!$B$3:$B$5001,$A$185)))</f>
        <v/>
      </c>
      <c r="P191" s="201" t="str">
        <f>IF(P$3="","",IF(COUNTIFS(BD!$A$3:$A$5001,P$3,BD!$B$3:$B$5001,$A$185,BD!$I$3:$I$5001,"&lt;&gt;")=0,"",SUMIFS(BD!$I$3:$I$5001,BD!$A$3:$A$5001,P$3,BD!$B$3:$B$5001,$A$185)))</f>
        <v/>
      </c>
      <c r="Q191" s="201" t="str">
        <f>IF(Q$3="","",IF(COUNTIFS(BD!$A$3:$A$5001,Q$3,BD!$B$3:$B$5001,$A$185,BD!$I$3:$I$5001,"&lt;&gt;")=0,"",SUMIFS(BD!$I$3:$I$5001,BD!$A$3:$A$5001,Q$3,BD!$B$3:$B$5001,$A$185)))</f>
        <v/>
      </c>
      <c r="R191" s="201" t="str">
        <f>IF(R$3="","",IF(COUNTIFS(BD!$A$3:$A$5001,R$3,BD!$B$3:$B$5001,$A$185,BD!$I$3:$I$5001,"&lt;&gt;")=0,"",SUMIFS(BD!$I$3:$I$5001,BD!$A$3:$A$5001,R$3,BD!$B$3:$B$5001,$A$185)))</f>
        <v/>
      </c>
      <c r="S191" s="201" t="str">
        <f>IF(S$3="","",IF(COUNTIFS(BD!$A$3:$A$5001,S$3,BD!$B$3:$B$5001,$A$185,BD!$I$3:$I$5001,"&lt;&gt;")=0,"",SUMIFS(BD!$I$3:$I$5001,BD!$A$3:$A$5001,S$3,BD!$B$3:$B$5001,$A$185)))</f>
        <v/>
      </c>
      <c r="T191" s="201" t="str">
        <f>IF(T$3="","",IF(COUNTIFS(BD!$A$3:$A$5001,T$3,BD!$B$3:$B$5001,$A$185,BD!$I$3:$I$5001,"&lt;&gt;")=0,"",SUMIFS(BD!$I$3:$I$5001,BD!$A$3:$A$5001,T$3,BD!$B$3:$B$5001,$A$185)))</f>
        <v/>
      </c>
      <c r="U191" s="201" t="str">
        <f>IF(U$3="","",IF(COUNTIFS(BD!$A$3:$A$5001,U$3,BD!$B$3:$B$5001,$A$185,BD!$I$3:$I$5001,"&lt;&gt;")=0,"",SUMIFS(BD!$I$3:$I$5001,BD!$A$3:$A$5001,U$3,BD!$B$3:$B$5001,$A$185)))</f>
        <v/>
      </c>
      <c r="V191" s="201" t="str">
        <f>IF(V$3="","",IF(COUNTIFS(BD!$A$3:$A$5001,V$3,BD!$B$3:$B$5001,$A$185,BD!$I$3:$I$5001,"&lt;&gt;")=0,"",SUMIFS(BD!$I$3:$I$5001,BD!$A$3:$A$5001,V$3,BD!$B$3:$B$5001,$A$185)))</f>
        <v/>
      </c>
      <c r="W191" s="201" t="str">
        <f>IF(W$3="","",IF(COUNTIFS(BD!$A$3:$A$5001,W$3,BD!$B$3:$B$5001,$A$185,BD!$I$3:$I$5001,"&lt;&gt;")=0,"",SUMIFS(BD!$I$3:$I$5001,BD!$A$3:$A$5001,W$3,BD!$B$3:$B$5001,$A$185)))</f>
        <v/>
      </c>
      <c r="X191" s="201" t="str">
        <f>IF(X$3="","",IF(COUNTIFS(BD!$A$3:$A$5001,X$3,BD!$B$3:$B$5001,$A$185,BD!$I$3:$I$5001,"&lt;&gt;")=0,"",SUMIFS(BD!$I$3:$I$5001,BD!$A$3:$A$5001,X$3,BD!$B$3:$B$5001,$A$185)))</f>
        <v/>
      </c>
      <c r="Y191" s="201" t="str">
        <f>IF(Y$3="","",IF(COUNTIFS(BD!$A$3:$A$5001,Y$3,BD!$B$3:$B$5001,$A$185,BD!$I$3:$I$5001,"&lt;&gt;")=0,"",SUMIFS(BD!$I$3:$I$5001,BD!$A$3:$A$5001,Y$3,BD!$B$3:$B$5001,$A$185)))</f>
        <v/>
      </c>
      <c r="Z191" s="201" t="str">
        <f>IF(Z$3="","",IF(COUNTIFS(BD!$A$3:$A$5001,Z$3,BD!$B$3:$B$5001,$A$185,BD!$I$3:$I$5001,"&lt;&gt;")=0,"",SUMIFS(BD!$I$3:$I$5001,BD!$A$3:$A$5001,Z$3,BD!$B$3:$B$5001,$A$185)))</f>
        <v/>
      </c>
      <c r="AA191" s="201" t="str">
        <f>IF(AA$3="","",IF(COUNTIFS(BD!$A$3:$A$5001,AA$3,BD!$B$3:$B$5001,$A$185,BD!$I$3:$I$5001,"&lt;&gt;")=0,"",SUMIFS(BD!$I$3:$I$5001,BD!$A$3:$A$5001,AA$3,BD!$B$3:$B$5001,$A$185)))</f>
        <v/>
      </c>
      <c r="AB191" s="201" t="str">
        <f>IF(AB$3="","",IF(COUNTIFS(BD!$A$3:$A$5001,AB$3,BD!$B$3:$B$5001,$A$185,BD!$I$3:$I$5001,"&lt;&gt;")=0,"",SUMIFS(BD!$I$3:$I$5001,BD!$A$3:$A$5001,AB$3,BD!$B$3:$B$5001,$A$185)))</f>
        <v/>
      </c>
      <c r="AC191" s="201" t="str">
        <f>IF(AC$3="","",IF(COUNTIFS(BD!$A$3:$A$5001,AC$3,BD!$B$3:$B$5001,$A$185,BD!$I$3:$I$5001,"&lt;&gt;")=0,"",SUMIFS(BD!$I$3:$I$5001,BD!$A$3:$A$5001,AC$3,BD!$B$3:$B$5001,$A$185)))</f>
        <v/>
      </c>
      <c r="AD191" s="201" t="str">
        <f>IF(AD$3="","",IF(COUNTIFS(BD!$A$3:$A$5001,AD$3,BD!$B$3:$B$5001,$A$185,BD!$I$3:$I$5001,"&lt;&gt;")=0,"",SUMIFS(BD!$I$3:$I$5001,BD!$A$3:$A$5001,AD$3,BD!$B$3:$B$5001,$A$185)))</f>
        <v/>
      </c>
      <c r="AE191" s="201" t="str">
        <f>IF(AE$3="","",IF(COUNTIFS(BD!$A$3:$A$5001,AE$3,BD!$B$3:$B$5001,$A$185,BD!$I$3:$I$5001,"&lt;&gt;")=0,"",SUMIFS(BD!$I$3:$I$5001,BD!$A$3:$A$5001,AE$3,BD!$B$3:$B$5001,$A$185)))</f>
        <v/>
      </c>
      <c r="AF191" s="201" t="str">
        <f>IF(AF$3="","",IF(COUNTIFS(BD!$A$3:$A$5001,AF$3,BD!$B$3:$B$5001,$A$185,BD!$I$3:$I$5001,"&lt;&gt;")=0,"",SUMIFS(BD!$I$3:$I$5001,BD!$A$3:$A$5001,AF$3,BD!$B$3:$B$5001,$A$185)))</f>
        <v/>
      </c>
      <c r="AG191" s="201" t="str">
        <f>IF(AG$3="","",IF(COUNTIFS(BD!$A$3:$A$5001,AG$3,BD!$B$3:$B$5001,$A$185,BD!$I$3:$I$5001,"&lt;&gt;")=0,"",SUMIFS(BD!$I$3:$I$5001,BD!$A$3:$A$5001,AG$3,BD!$B$3:$B$5001,$A$185)))</f>
        <v/>
      </c>
      <c r="AH191" s="201" t="str">
        <f>IF(AH$3="","",IF(COUNTIFS(BD!$A$3:$A$5001,AH$3,BD!$B$3:$B$5001,$A$185,BD!$I$3:$I$5001,"&lt;&gt;")=0,"",SUMIFS(BD!$I$3:$I$5001,BD!$A$3:$A$5001,AH$3,BD!$B$3:$B$5001,$A$185)))</f>
        <v/>
      </c>
      <c r="AI191" s="201" t="str">
        <f>IF(AI$3="","",IF(COUNTIFS(BD!$A$3:$A$5001,AI$3,BD!$B$3:$B$5001,$A$185,BD!$I$3:$I$5001,"&lt;&gt;")=0,"",SUMIFS(BD!$I$3:$I$5001,BD!$A$3:$A$5001,AI$3,BD!$B$3:$B$5001,$A$185)))</f>
        <v/>
      </c>
      <c r="AJ191" s="202" t="str">
        <f>IF(AJ$3="","",IF(COUNTIFS(BD!$A$3:$A$5001,AJ$3,BD!$B$3:$B$5001,$A$185,BD!$I$3:$I$5001,"&lt;&gt;")=0,"",SUMIFS(BD!$I$3:$I$5001,BD!$A$3:$A$5001,AJ$3,BD!$B$3:$B$5001,$A$185)))</f>
        <v/>
      </c>
      <c r="AK191" s="203" t="str">
        <f>IF(COUNT(F191:AJ191)=0,"",SUM(F191:AJ191))</f>
        <v/>
      </c>
    </row>
    <row r="192" ht="15.75" customHeight="1" hidden="1">
      <c r="A192" s="254"/>
      <c r="B192" s="248"/>
      <c r="C192" s="204" t="inlineStr">
        <is>
          <t xml:space="preserve">No show</t>
        </is>
      </c>
      <c r="D192" s="205" t="str">
        <f>IFERROR(1/(1/INDEX(BD!$Y$30:$AS$30,MATCH($A$185,BD!$Y$22:$AS$22,0))),"")</f>
        <v/>
      </c>
      <c r="E192" s="206"/>
      <c r="F192" s="207" t="str">
        <f>IF(F$3="","",IF(COUNTIFS(BD!$A$3:$A$5001,F$3,BD!$B$3:$B$5001,$A$185,BD!$J$3:$J$5001,"&lt;&gt;")=0,"",SUMIFS(BD!$J$3:$J$5001,BD!$A$3:$A$5001,F$3,BD!$B$3:$B$5001,$A$185)))</f>
        <v/>
      </c>
      <c r="G192" s="208" t="str">
        <f>IF(G$3="","",IF(COUNTIFS(BD!$A$3:$A$5001,G$3,BD!$B$3:$B$5001,$A$185,BD!$J$3:$J$5001,"&lt;&gt;")=0,"",SUMIFS(BD!$J$3:$J$5001,BD!$A$3:$A$5001,G$3,BD!$B$3:$B$5001,$A$185)))</f>
        <v/>
      </c>
      <c r="H192" s="208" t="str">
        <f>IF(H$3="","",IF(COUNTIFS(BD!$A$3:$A$5001,H$3,BD!$B$3:$B$5001,$A$185,BD!$J$3:$J$5001,"&lt;&gt;")=0,"",SUMIFS(BD!$J$3:$J$5001,BD!$A$3:$A$5001,H$3,BD!$B$3:$B$5001,$A$185)))</f>
        <v/>
      </c>
      <c r="I192" s="208" t="str">
        <f>IF(I$3="","",IF(COUNTIFS(BD!$A$3:$A$5001,I$3,BD!$B$3:$B$5001,$A$185,BD!$J$3:$J$5001,"&lt;&gt;")=0,"",SUMIFS(BD!$J$3:$J$5001,BD!$A$3:$A$5001,I$3,BD!$B$3:$B$5001,$A$185)))</f>
        <v/>
      </c>
      <c r="J192" s="208" t="str">
        <f>IF(J$3="","",IF(COUNTIFS(BD!$A$3:$A$5001,J$3,BD!$B$3:$B$5001,$A$185,BD!$J$3:$J$5001,"&lt;&gt;")=0,"",SUMIFS(BD!$J$3:$J$5001,BD!$A$3:$A$5001,J$3,BD!$B$3:$B$5001,$A$185)))</f>
        <v/>
      </c>
      <c r="K192" s="208" t="str">
        <f>IF(K$3="","",IF(COUNTIFS(BD!$A$3:$A$5001,K$3,BD!$B$3:$B$5001,$A$185,BD!$J$3:$J$5001,"&lt;&gt;")=0,"",SUMIFS(BD!$J$3:$J$5001,BD!$A$3:$A$5001,K$3,BD!$B$3:$B$5001,$A$185)))</f>
        <v/>
      </c>
      <c r="L192" s="208" t="str">
        <f>IF(L$3="","",IF(COUNTIFS(BD!$A$3:$A$5001,L$3,BD!$B$3:$B$5001,$A$185,BD!$J$3:$J$5001,"&lt;&gt;")=0,"",SUMIFS(BD!$J$3:$J$5001,BD!$A$3:$A$5001,L$3,BD!$B$3:$B$5001,$A$185)))</f>
        <v/>
      </c>
      <c r="M192" s="208" t="str">
        <f>IF(M$3="","",IF(COUNTIFS(BD!$A$3:$A$5001,M$3,BD!$B$3:$B$5001,$A$185,BD!$J$3:$J$5001,"&lt;&gt;")=0,"",SUMIFS(BD!$J$3:$J$5001,BD!$A$3:$A$5001,M$3,BD!$B$3:$B$5001,$A$185)))</f>
        <v/>
      </c>
      <c r="N192" s="208" t="str">
        <f>IF(N$3="","",IF(COUNTIFS(BD!$A$3:$A$5001,N$3,BD!$B$3:$B$5001,$A$185,BD!$J$3:$J$5001,"&lt;&gt;")=0,"",SUMIFS(BD!$J$3:$J$5001,BD!$A$3:$A$5001,N$3,BD!$B$3:$B$5001,$A$185)))</f>
        <v/>
      </c>
      <c r="O192" s="208" t="str">
        <f>IF(O$3="","",IF(COUNTIFS(BD!$A$3:$A$5001,O$3,BD!$B$3:$B$5001,$A$185,BD!$J$3:$J$5001,"&lt;&gt;")=0,"",SUMIFS(BD!$J$3:$J$5001,BD!$A$3:$A$5001,O$3,BD!$B$3:$B$5001,$A$185)))</f>
        <v/>
      </c>
      <c r="P192" s="208" t="str">
        <f>IF(P$3="","",IF(COUNTIFS(BD!$A$3:$A$5001,P$3,BD!$B$3:$B$5001,$A$185,BD!$J$3:$J$5001,"&lt;&gt;")=0,"",SUMIFS(BD!$J$3:$J$5001,BD!$A$3:$A$5001,P$3,BD!$B$3:$B$5001,$A$185)))</f>
        <v/>
      </c>
      <c r="Q192" s="208" t="str">
        <f>IF(Q$3="","",IF(COUNTIFS(BD!$A$3:$A$5001,Q$3,BD!$B$3:$B$5001,$A$185,BD!$J$3:$J$5001,"&lt;&gt;")=0,"",SUMIFS(BD!$J$3:$J$5001,BD!$A$3:$A$5001,Q$3,BD!$B$3:$B$5001,$A$185)))</f>
        <v/>
      </c>
      <c r="R192" s="208" t="str">
        <f>IF(R$3="","",IF(COUNTIFS(BD!$A$3:$A$5001,R$3,BD!$B$3:$B$5001,$A$185,BD!$J$3:$J$5001,"&lt;&gt;")=0,"",SUMIFS(BD!$J$3:$J$5001,BD!$A$3:$A$5001,R$3,BD!$B$3:$B$5001,$A$185)))</f>
        <v/>
      </c>
      <c r="S192" s="208" t="str">
        <f>IF(S$3="","",IF(COUNTIFS(BD!$A$3:$A$5001,S$3,BD!$B$3:$B$5001,$A$185,BD!$J$3:$J$5001,"&lt;&gt;")=0,"",SUMIFS(BD!$J$3:$J$5001,BD!$A$3:$A$5001,S$3,BD!$B$3:$B$5001,$A$185)))</f>
        <v/>
      </c>
      <c r="T192" s="208" t="str">
        <f>IF(T$3="","",IF(COUNTIFS(BD!$A$3:$A$5001,T$3,BD!$B$3:$B$5001,$A$185,BD!$J$3:$J$5001,"&lt;&gt;")=0,"",SUMIFS(BD!$J$3:$J$5001,BD!$A$3:$A$5001,T$3,BD!$B$3:$B$5001,$A$185)))</f>
        <v/>
      </c>
      <c r="U192" s="208" t="str">
        <f>IF(U$3="","",IF(COUNTIFS(BD!$A$3:$A$5001,U$3,BD!$B$3:$B$5001,$A$185,BD!$J$3:$J$5001,"&lt;&gt;")=0,"",SUMIFS(BD!$J$3:$J$5001,BD!$A$3:$A$5001,U$3,BD!$B$3:$B$5001,$A$185)))</f>
        <v/>
      </c>
      <c r="V192" s="208" t="str">
        <f>IF(V$3="","",IF(COUNTIFS(BD!$A$3:$A$5001,V$3,BD!$B$3:$B$5001,$A$185,BD!$J$3:$J$5001,"&lt;&gt;")=0,"",SUMIFS(BD!$J$3:$J$5001,BD!$A$3:$A$5001,V$3,BD!$B$3:$B$5001,$A$185)))</f>
        <v/>
      </c>
      <c r="W192" s="208" t="str">
        <f>IF(W$3="","",IF(COUNTIFS(BD!$A$3:$A$5001,W$3,BD!$B$3:$B$5001,$A$185,BD!$J$3:$J$5001,"&lt;&gt;")=0,"",SUMIFS(BD!$J$3:$J$5001,BD!$A$3:$A$5001,W$3,BD!$B$3:$B$5001,$A$185)))</f>
        <v/>
      </c>
      <c r="X192" s="208" t="str">
        <f>IF(X$3="","",IF(COUNTIFS(BD!$A$3:$A$5001,X$3,BD!$B$3:$B$5001,$A$185,BD!$J$3:$J$5001,"&lt;&gt;")=0,"",SUMIFS(BD!$J$3:$J$5001,BD!$A$3:$A$5001,X$3,BD!$B$3:$B$5001,$A$185)))</f>
        <v/>
      </c>
      <c r="Y192" s="208" t="str">
        <f>IF(Y$3="","",IF(COUNTIFS(BD!$A$3:$A$5001,Y$3,BD!$B$3:$B$5001,$A$185,BD!$J$3:$J$5001,"&lt;&gt;")=0,"",SUMIFS(BD!$J$3:$J$5001,BD!$A$3:$A$5001,Y$3,BD!$B$3:$B$5001,$A$185)))</f>
        <v/>
      </c>
      <c r="Z192" s="208" t="str">
        <f>IF(Z$3="","",IF(COUNTIFS(BD!$A$3:$A$5001,Z$3,BD!$B$3:$B$5001,$A$185,BD!$J$3:$J$5001,"&lt;&gt;")=0,"",SUMIFS(BD!$J$3:$J$5001,BD!$A$3:$A$5001,Z$3,BD!$B$3:$B$5001,$A$185)))</f>
        <v/>
      </c>
      <c r="AA192" s="208" t="str">
        <f>IF(AA$3="","",IF(COUNTIFS(BD!$A$3:$A$5001,AA$3,BD!$B$3:$B$5001,$A$185,BD!$J$3:$J$5001,"&lt;&gt;")=0,"",SUMIFS(BD!$J$3:$J$5001,BD!$A$3:$A$5001,AA$3,BD!$B$3:$B$5001,$A$185)))</f>
        <v/>
      </c>
      <c r="AB192" s="208" t="str">
        <f>IF(AB$3="","",IF(COUNTIFS(BD!$A$3:$A$5001,AB$3,BD!$B$3:$B$5001,$A$185,BD!$J$3:$J$5001,"&lt;&gt;")=0,"",SUMIFS(BD!$J$3:$J$5001,BD!$A$3:$A$5001,AB$3,BD!$B$3:$B$5001,$A$185)))</f>
        <v/>
      </c>
      <c r="AC192" s="208" t="str">
        <f>IF(AC$3="","",IF(COUNTIFS(BD!$A$3:$A$5001,AC$3,BD!$B$3:$B$5001,$A$185,BD!$J$3:$J$5001,"&lt;&gt;")=0,"",SUMIFS(BD!$J$3:$J$5001,BD!$A$3:$A$5001,AC$3,BD!$B$3:$B$5001,$A$185)))</f>
        <v/>
      </c>
      <c r="AD192" s="208" t="str">
        <f>IF(AD$3="","",IF(COUNTIFS(BD!$A$3:$A$5001,AD$3,BD!$B$3:$B$5001,$A$185,BD!$J$3:$J$5001,"&lt;&gt;")=0,"",SUMIFS(BD!$J$3:$J$5001,BD!$A$3:$A$5001,AD$3,BD!$B$3:$B$5001,$A$185)))</f>
        <v/>
      </c>
      <c r="AE192" s="208" t="str">
        <f>IF(AE$3="","",IF(COUNTIFS(BD!$A$3:$A$5001,AE$3,BD!$B$3:$B$5001,$A$185,BD!$J$3:$J$5001,"&lt;&gt;")=0,"",SUMIFS(BD!$J$3:$J$5001,BD!$A$3:$A$5001,AE$3,BD!$B$3:$B$5001,$A$185)))</f>
        <v/>
      </c>
      <c r="AF192" s="208" t="str">
        <f>IF(AF$3="","",IF(COUNTIFS(BD!$A$3:$A$5001,AF$3,BD!$B$3:$B$5001,$A$185,BD!$J$3:$J$5001,"&lt;&gt;")=0,"",SUMIFS(BD!$J$3:$J$5001,BD!$A$3:$A$5001,AF$3,BD!$B$3:$B$5001,$A$185)))</f>
        <v/>
      </c>
      <c r="AG192" s="208" t="str">
        <f>IF(AG$3="","",IF(COUNTIFS(BD!$A$3:$A$5001,AG$3,BD!$B$3:$B$5001,$A$185,BD!$J$3:$J$5001,"&lt;&gt;")=0,"",SUMIFS(BD!$J$3:$J$5001,BD!$A$3:$A$5001,AG$3,BD!$B$3:$B$5001,$A$185)))</f>
        <v/>
      </c>
      <c r="AH192" s="208" t="str">
        <f>IF(AH$3="","",IF(COUNTIFS(BD!$A$3:$A$5001,AH$3,BD!$B$3:$B$5001,$A$185,BD!$J$3:$J$5001,"&lt;&gt;")=0,"",SUMIFS(BD!$J$3:$J$5001,BD!$A$3:$A$5001,AH$3,BD!$B$3:$B$5001,$A$185)))</f>
        <v/>
      </c>
      <c r="AI192" s="208" t="str">
        <f>IF(AI$3="","",IF(COUNTIFS(BD!$A$3:$A$5001,AI$3,BD!$B$3:$B$5001,$A$185,BD!$J$3:$J$5001,"&lt;&gt;")=0,"",SUMIFS(BD!$J$3:$J$5001,BD!$A$3:$A$5001,AI$3,BD!$B$3:$B$5001,$A$185)))</f>
        <v/>
      </c>
      <c r="AJ192" s="209" t="str">
        <f>IF(AJ$3="","",IF(COUNTIFS(BD!$A$3:$A$5001,AJ$3,BD!$B$3:$B$5001,$A$185,BD!$J$3:$J$5001,"&lt;&gt;")=0,"",SUMIFS(BD!$J$3:$J$5001,BD!$A$3:$A$5001,AJ$3,BD!$B$3:$B$5001,$A$185)))</f>
        <v/>
      </c>
      <c r="AK192" s="210" t="str">
        <f>IF(COUNT(F192:AJ192)=0,"",SUM(F192:AJ192))</f>
        <v/>
      </c>
    </row>
    <row r="193" ht="15.75" customHeight="1" hidden="1">
      <c r="A193" s="254"/>
      <c r="B193" s="249"/>
      <c r="C193" s="211" t="inlineStr">
        <is>
          <t xml:space="preserve">Backlog</t>
        </is>
      </c>
      <c r="D193" s="212" t="str">
        <f>IFERROR(1/(1/INDEX(BD!$Y$31:$AS$31,MATCH($A$185,BD!$Y$22:$AS$22,0))),"")</f>
        <v/>
      </c>
      <c r="E193" s="213"/>
      <c r="F193" s="214" t="str">
        <f>IF(F$3="","",IF(COUNTIFS(BD!$A$3:$A$5001,F$3,BD!$B$3:$B$5001,$A$185,BD!$K$3:$K$5001,"&lt;&gt;")=0,"",SUMIFS(BD!$K$3:$K$5001,BD!$A$3:$A$5001,F$3,BD!$B$3:$B$5001,$A$185)))</f>
        <v/>
      </c>
      <c r="G193" s="215" t="str">
        <f>IF(G$3="","",IF(COUNTIFS(BD!$A$3:$A$5001,G$3,BD!$B$3:$B$5001,$A$185,BD!$K$3:$K$5001,"&lt;&gt;")=0,"",SUMIFS(BD!$K$3:$K$5001,BD!$A$3:$A$5001,G$3,BD!$B$3:$B$5001,$A$185)))</f>
        <v/>
      </c>
      <c r="H193" s="215" t="str">
        <f>IF(H$3="","",IF(COUNTIFS(BD!$A$3:$A$5001,H$3,BD!$B$3:$B$5001,$A$185,BD!$K$3:$K$5001,"&lt;&gt;")=0,"",SUMIFS(BD!$K$3:$K$5001,BD!$A$3:$A$5001,H$3,BD!$B$3:$B$5001,$A$185)))</f>
        <v/>
      </c>
      <c r="I193" s="215" t="str">
        <f>IF(I$3="","",IF(COUNTIFS(BD!$A$3:$A$5001,I$3,BD!$B$3:$B$5001,$A$185,BD!$K$3:$K$5001,"&lt;&gt;")=0,"",SUMIFS(BD!$K$3:$K$5001,BD!$A$3:$A$5001,I$3,BD!$B$3:$B$5001,$A$185)))</f>
        <v/>
      </c>
      <c r="J193" s="215" t="str">
        <f>IF(J$3="","",IF(COUNTIFS(BD!$A$3:$A$5001,J$3,BD!$B$3:$B$5001,$A$185,BD!$K$3:$K$5001,"&lt;&gt;")=0,"",SUMIFS(BD!$K$3:$K$5001,BD!$A$3:$A$5001,J$3,BD!$B$3:$B$5001,$A$185)))</f>
        <v/>
      </c>
      <c r="K193" s="215" t="str">
        <f>IF(K$3="","",IF(COUNTIFS(BD!$A$3:$A$5001,K$3,BD!$B$3:$B$5001,$A$185,BD!$K$3:$K$5001,"&lt;&gt;")=0,"",SUMIFS(BD!$K$3:$K$5001,BD!$A$3:$A$5001,K$3,BD!$B$3:$B$5001,$A$185)))</f>
        <v/>
      </c>
      <c r="L193" s="215" t="str">
        <f>IF(L$3="","",IF(COUNTIFS(BD!$A$3:$A$5001,L$3,BD!$B$3:$B$5001,$A$185,BD!$K$3:$K$5001,"&lt;&gt;")=0,"",SUMIFS(BD!$K$3:$K$5001,BD!$A$3:$A$5001,L$3,BD!$B$3:$B$5001,$A$185)))</f>
        <v/>
      </c>
      <c r="M193" s="215" t="str">
        <f>IF(M$3="","",IF(COUNTIFS(BD!$A$3:$A$5001,M$3,BD!$B$3:$B$5001,$A$185,BD!$K$3:$K$5001,"&lt;&gt;")=0,"",SUMIFS(BD!$K$3:$K$5001,BD!$A$3:$A$5001,M$3,BD!$B$3:$B$5001,$A$185)))</f>
        <v/>
      </c>
      <c r="N193" s="215" t="str">
        <f>IF(N$3="","",IF(COUNTIFS(BD!$A$3:$A$5001,N$3,BD!$B$3:$B$5001,$A$185,BD!$K$3:$K$5001,"&lt;&gt;")=0,"",SUMIFS(BD!$K$3:$K$5001,BD!$A$3:$A$5001,N$3,BD!$B$3:$B$5001,$A$185)))</f>
        <v/>
      </c>
      <c r="O193" s="215" t="str">
        <f>IF(O$3="","",IF(COUNTIFS(BD!$A$3:$A$5001,O$3,BD!$B$3:$B$5001,$A$185,BD!$K$3:$K$5001,"&lt;&gt;")=0,"",SUMIFS(BD!$K$3:$K$5001,BD!$A$3:$A$5001,O$3,BD!$B$3:$B$5001,$A$185)))</f>
        <v/>
      </c>
      <c r="P193" s="215" t="str">
        <f>IF(P$3="","",IF(COUNTIFS(BD!$A$3:$A$5001,P$3,BD!$B$3:$B$5001,$A$185,BD!$K$3:$K$5001,"&lt;&gt;")=0,"",SUMIFS(BD!$K$3:$K$5001,BD!$A$3:$A$5001,P$3,BD!$B$3:$B$5001,$A$185)))</f>
        <v/>
      </c>
      <c r="Q193" s="215" t="str">
        <f>IF(Q$3="","",IF(COUNTIFS(BD!$A$3:$A$5001,Q$3,BD!$B$3:$B$5001,$A$185,BD!$K$3:$K$5001,"&lt;&gt;")=0,"",SUMIFS(BD!$K$3:$K$5001,BD!$A$3:$A$5001,Q$3,BD!$B$3:$B$5001,$A$185)))</f>
        <v/>
      </c>
      <c r="R193" s="215" t="str">
        <f>IF(R$3="","",IF(COUNTIFS(BD!$A$3:$A$5001,R$3,BD!$B$3:$B$5001,$A$185,BD!$K$3:$K$5001,"&lt;&gt;")=0,"",SUMIFS(BD!$K$3:$K$5001,BD!$A$3:$A$5001,R$3,BD!$B$3:$B$5001,$A$185)))</f>
        <v/>
      </c>
      <c r="S193" s="215" t="str">
        <f>IF(S$3="","",IF(COUNTIFS(BD!$A$3:$A$5001,S$3,BD!$B$3:$B$5001,$A$185,BD!$K$3:$K$5001,"&lt;&gt;")=0,"",SUMIFS(BD!$K$3:$K$5001,BD!$A$3:$A$5001,S$3,BD!$B$3:$B$5001,$A$185)))</f>
        <v/>
      </c>
      <c r="T193" s="215" t="str">
        <f>IF(T$3="","",IF(COUNTIFS(BD!$A$3:$A$5001,T$3,BD!$B$3:$B$5001,$A$185,BD!$K$3:$K$5001,"&lt;&gt;")=0,"",SUMIFS(BD!$K$3:$K$5001,BD!$A$3:$A$5001,T$3,BD!$B$3:$B$5001,$A$185)))</f>
        <v/>
      </c>
      <c r="U193" s="215" t="str">
        <f>IF(U$3="","",IF(COUNTIFS(BD!$A$3:$A$5001,U$3,BD!$B$3:$B$5001,$A$185,BD!$K$3:$K$5001,"&lt;&gt;")=0,"",SUMIFS(BD!$K$3:$K$5001,BD!$A$3:$A$5001,U$3,BD!$B$3:$B$5001,$A$185)))</f>
        <v/>
      </c>
      <c r="V193" s="215" t="str">
        <f>IF(V$3="","",IF(COUNTIFS(BD!$A$3:$A$5001,V$3,BD!$B$3:$B$5001,$A$185,BD!$K$3:$K$5001,"&lt;&gt;")=0,"",SUMIFS(BD!$K$3:$K$5001,BD!$A$3:$A$5001,V$3,BD!$B$3:$B$5001,$A$185)))</f>
        <v/>
      </c>
      <c r="W193" s="215" t="str">
        <f>IF(W$3="","",IF(COUNTIFS(BD!$A$3:$A$5001,W$3,BD!$B$3:$B$5001,$A$185,BD!$K$3:$K$5001,"&lt;&gt;")=0,"",SUMIFS(BD!$K$3:$K$5001,BD!$A$3:$A$5001,W$3,BD!$B$3:$B$5001,$A$185)))</f>
        <v/>
      </c>
      <c r="X193" s="215" t="str">
        <f>IF(X$3="","",IF(COUNTIFS(BD!$A$3:$A$5001,X$3,BD!$B$3:$B$5001,$A$185,BD!$K$3:$K$5001,"&lt;&gt;")=0,"",SUMIFS(BD!$K$3:$K$5001,BD!$A$3:$A$5001,X$3,BD!$B$3:$B$5001,$A$185)))</f>
        <v/>
      </c>
      <c r="Y193" s="215" t="str">
        <f>IF(Y$3="","",IF(COUNTIFS(BD!$A$3:$A$5001,Y$3,BD!$B$3:$B$5001,$A$185,BD!$K$3:$K$5001,"&lt;&gt;")=0,"",SUMIFS(BD!$K$3:$K$5001,BD!$A$3:$A$5001,Y$3,BD!$B$3:$B$5001,$A$185)))</f>
        <v/>
      </c>
      <c r="Z193" s="215" t="str">
        <f>IF(Z$3="","",IF(COUNTIFS(BD!$A$3:$A$5001,Z$3,BD!$B$3:$B$5001,$A$185,BD!$K$3:$K$5001,"&lt;&gt;")=0,"",SUMIFS(BD!$K$3:$K$5001,BD!$A$3:$A$5001,Z$3,BD!$B$3:$B$5001,$A$185)))</f>
        <v/>
      </c>
      <c r="AA193" s="215" t="str">
        <f>IF(AA$3="","",IF(COUNTIFS(BD!$A$3:$A$5001,AA$3,BD!$B$3:$B$5001,$A$185,BD!$K$3:$K$5001,"&lt;&gt;")=0,"",SUMIFS(BD!$K$3:$K$5001,BD!$A$3:$A$5001,AA$3,BD!$B$3:$B$5001,$A$185)))</f>
        <v/>
      </c>
      <c r="AB193" s="215" t="str">
        <f>IF(AB$3="","",IF(COUNTIFS(BD!$A$3:$A$5001,AB$3,BD!$B$3:$B$5001,$A$185,BD!$K$3:$K$5001,"&lt;&gt;")=0,"",SUMIFS(BD!$K$3:$K$5001,BD!$A$3:$A$5001,AB$3,BD!$B$3:$B$5001,$A$185)))</f>
        <v/>
      </c>
      <c r="AC193" s="215" t="str">
        <f>IF(AC$3="","",IF(COUNTIFS(BD!$A$3:$A$5001,AC$3,BD!$B$3:$B$5001,$A$185,BD!$K$3:$K$5001,"&lt;&gt;")=0,"",SUMIFS(BD!$K$3:$K$5001,BD!$A$3:$A$5001,AC$3,BD!$B$3:$B$5001,$A$185)))</f>
        <v/>
      </c>
      <c r="AD193" s="215" t="str">
        <f>IF(AD$3="","",IF(COUNTIFS(BD!$A$3:$A$5001,AD$3,BD!$B$3:$B$5001,$A$185,BD!$K$3:$K$5001,"&lt;&gt;")=0,"",SUMIFS(BD!$K$3:$K$5001,BD!$A$3:$A$5001,AD$3,BD!$B$3:$B$5001,$A$185)))</f>
        <v/>
      </c>
      <c r="AE193" s="215" t="str">
        <f>IF(AE$3="","",IF(COUNTIFS(BD!$A$3:$A$5001,AE$3,BD!$B$3:$B$5001,$A$185,BD!$K$3:$K$5001,"&lt;&gt;")=0,"",SUMIFS(BD!$K$3:$K$5001,BD!$A$3:$A$5001,AE$3,BD!$B$3:$B$5001,$A$185)))</f>
        <v/>
      </c>
      <c r="AF193" s="215" t="str">
        <f>IF(AF$3="","",IF(COUNTIFS(BD!$A$3:$A$5001,AF$3,BD!$B$3:$B$5001,$A$185,BD!$K$3:$K$5001,"&lt;&gt;")=0,"",SUMIFS(BD!$K$3:$K$5001,BD!$A$3:$A$5001,AF$3,BD!$B$3:$B$5001,$A$185)))</f>
        <v/>
      </c>
      <c r="AG193" s="215" t="str">
        <f>IF(AG$3="","",IF(COUNTIFS(BD!$A$3:$A$5001,AG$3,BD!$B$3:$B$5001,$A$185,BD!$K$3:$K$5001,"&lt;&gt;")=0,"",SUMIFS(BD!$K$3:$K$5001,BD!$A$3:$A$5001,AG$3,BD!$B$3:$B$5001,$A$185)))</f>
        <v/>
      </c>
      <c r="AH193" s="215" t="str">
        <f>IF(AH$3="","",IF(COUNTIFS(BD!$A$3:$A$5001,AH$3,BD!$B$3:$B$5001,$A$185,BD!$K$3:$K$5001,"&lt;&gt;")=0,"",SUMIFS(BD!$K$3:$K$5001,BD!$A$3:$A$5001,AH$3,BD!$B$3:$B$5001,$A$185)))</f>
        <v/>
      </c>
      <c r="AI193" s="215" t="str">
        <f>IF(AI$3="","",IF(COUNTIFS(BD!$A$3:$A$5001,AI$3,BD!$B$3:$B$5001,$A$185,BD!$K$3:$K$5001,"&lt;&gt;")=0,"",SUMIFS(BD!$K$3:$K$5001,BD!$A$3:$A$5001,AI$3,BD!$B$3:$B$5001,$A$185)))</f>
        <v/>
      </c>
      <c r="AJ193" s="216" t="str">
        <f>IF(AJ$3="","",IF(COUNTIFS(BD!$A$3:$A$5001,AJ$3,BD!$B$3:$B$5001,$A$185,BD!$K$3:$K$5001,"&lt;&gt;")=0,"",SUMIFS(BD!$K$3:$K$5001,BD!$A$3:$A$5001,AJ$3,BD!$B$3:$B$5001,$A$185)))</f>
        <v/>
      </c>
      <c r="AK193" s="212" t="str">
        <f>IFERROR(LOOKUP(9.99E+307,F193:AJ193),"")</f>
        <v/>
      </c>
    </row>
    <row r="194" ht="15.75" customHeight="1" hidden="1">
      <c r="A194" s="254"/>
      <c r="B194" s="241" t="inlineStr">
        <is>
          <t xml:space="preserve">OCUPAÇÃO (P.P)</t>
        </is>
      </c>
      <c r="C194" s="155" t="inlineStr">
        <is>
          <t xml:space="preserve">Posições Disponíveis</t>
        </is>
      </c>
      <c r="D194" s="156" t="str">
        <f>IFERROR(1/(1/INDEX(BD!$Y$32:$AS$32,MATCH($A$185,BD!$Y$22:$AS$22,0))),"")</f>
        <v/>
      </c>
      <c r="E194" s="157"/>
      <c r="F194" s="158" t="str">
        <f>IF(F$3="","",IF(COUNTIFS(BD!$A$3:$A$5001,F$3,BD!$B$3:$B$5001,$A$185,BD!$L$3:$L$5001,"&lt;&gt;")=0,"",SUMIFS(BD!$L$3:$L$5001,BD!$A$3:$A$5001,F$3,BD!$B$3:$B$5001,$A$185)))</f>
        <v/>
      </c>
      <c r="G194" s="159" t="str">
        <f>IF(G$3="","",IF(COUNTIFS(BD!$A$3:$A$5001,G$3,BD!$B$3:$B$5001,$A$185,BD!$L$3:$L$5001,"&lt;&gt;")=0,"",SUMIFS(BD!$L$3:$L$5001,BD!$A$3:$A$5001,G$3,BD!$B$3:$B$5001,$A$185)))</f>
        <v/>
      </c>
      <c r="H194" s="159" t="str">
        <f>IF(H$3="","",IF(COUNTIFS(BD!$A$3:$A$5001,H$3,BD!$B$3:$B$5001,$A$185,BD!$L$3:$L$5001,"&lt;&gt;")=0,"",SUMIFS(BD!$L$3:$L$5001,BD!$A$3:$A$5001,H$3,BD!$B$3:$B$5001,$A$185)))</f>
        <v/>
      </c>
      <c r="I194" s="159" t="str">
        <f>IF(I$3="","",IF(COUNTIFS(BD!$A$3:$A$5001,I$3,BD!$B$3:$B$5001,$A$185,BD!$L$3:$L$5001,"&lt;&gt;")=0,"",SUMIFS(BD!$L$3:$L$5001,BD!$A$3:$A$5001,I$3,BD!$B$3:$B$5001,$A$185)))</f>
        <v/>
      </c>
      <c r="J194" s="159" t="str">
        <f>IF(J$3="","",IF(COUNTIFS(BD!$A$3:$A$5001,J$3,BD!$B$3:$B$5001,$A$185,BD!$L$3:$L$5001,"&lt;&gt;")=0,"",SUMIFS(BD!$L$3:$L$5001,BD!$A$3:$A$5001,J$3,BD!$B$3:$B$5001,$A$185)))</f>
        <v/>
      </c>
      <c r="K194" s="159" t="str">
        <f>IF(K$3="","",IF(COUNTIFS(BD!$A$3:$A$5001,K$3,BD!$B$3:$B$5001,$A$185,BD!$L$3:$L$5001,"&lt;&gt;")=0,"",SUMIFS(BD!$L$3:$L$5001,BD!$A$3:$A$5001,K$3,BD!$B$3:$B$5001,$A$185)))</f>
        <v/>
      </c>
      <c r="L194" s="159" t="str">
        <f>IF(L$3="","",IF(COUNTIFS(BD!$A$3:$A$5001,L$3,BD!$B$3:$B$5001,$A$185,BD!$L$3:$L$5001,"&lt;&gt;")=0,"",SUMIFS(BD!$L$3:$L$5001,BD!$A$3:$A$5001,L$3,BD!$B$3:$B$5001,$A$185)))</f>
        <v/>
      </c>
      <c r="M194" s="159" t="str">
        <f>IF(M$3="","",IF(COUNTIFS(BD!$A$3:$A$5001,M$3,BD!$B$3:$B$5001,$A$185,BD!$L$3:$L$5001,"&lt;&gt;")=0,"",SUMIFS(BD!$L$3:$L$5001,BD!$A$3:$A$5001,M$3,BD!$B$3:$B$5001,$A$185)))</f>
        <v/>
      </c>
      <c r="N194" s="159" t="str">
        <f>IF(N$3="","",IF(COUNTIFS(BD!$A$3:$A$5001,N$3,BD!$B$3:$B$5001,$A$185,BD!$L$3:$L$5001,"&lt;&gt;")=0,"",SUMIFS(BD!$L$3:$L$5001,BD!$A$3:$A$5001,N$3,BD!$B$3:$B$5001,$A$185)))</f>
        <v/>
      </c>
      <c r="O194" s="159" t="str">
        <f>IF(O$3="","",IF(COUNTIFS(BD!$A$3:$A$5001,O$3,BD!$B$3:$B$5001,$A$185,BD!$L$3:$L$5001,"&lt;&gt;")=0,"",SUMIFS(BD!$L$3:$L$5001,BD!$A$3:$A$5001,O$3,BD!$B$3:$B$5001,$A$185)))</f>
        <v/>
      </c>
      <c r="P194" s="159" t="str">
        <f>IF(P$3="","",IF(COUNTIFS(BD!$A$3:$A$5001,P$3,BD!$B$3:$B$5001,$A$185,BD!$L$3:$L$5001,"&lt;&gt;")=0,"",SUMIFS(BD!$L$3:$L$5001,BD!$A$3:$A$5001,P$3,BD!$B$3:$B$5001,$A$185)))</f>
        <v/>
      </c>
      <c r="Q194" s="159" t="str">
        <f>IF(Q$3="","",IF(COUNTIFS(BD!$A$3:$A$5001,Q$3,BD!$B$3:$B$5001,$A$185,BD!$L$3:$L$5001,"&lt;&gt;")=0,"",SUMIFS(BD!$L$3:$L$5001,BD!$A$3:$A$5001,Q$3,BD!$B$3:$B$5001,$A$185)))</f>
        <v/>
      </c>
      <c r="R194" s="159" t="str">
        <f>IF(R$3="","",IF(COUNTIFS(BD!$A$3:$A$5001,R$3,BD!$B$3:$B$5001,$A$185,BD!$L$3:$L$5001,"&lt;&gt;")=0,"",SUMIFS(BD!$L$3:$L$5001,BD!$A$3:$A$5001,R$3,BD!$B$3:$B$5001,$A$185)))</f>
        <v/>
      </c>
      <c r="S194" s="159" t="str">
        <f>IF(S$3="","",IF(COUNTIFS(BD!$A$3:$A$5001,S$3,BD!$B$3:$B$5001,$A$185,BD!$L$3:$L$5001,"&lt;&gt;")=0,"",SUMIFS(BD!$L$3:$L$5001,BD!$A$3:$A$5001,S$3,BD!$B$3:$B$5001,$A$185)))</f>
        <v/>
      </c>
      <c r="T194" s="159" t="str">
        <f>IF(T$3="","",IF(COUNTIFS(BD!$A$3:$A$5001,T$3,BD!$B$3:$B$5001,$A$185,BD!$L$3:$L$5001,"&lt;&gt;")=0,"",SUMIFS(BD!$L$3:$L$5001,BD!$A$3:$A$5001,T$3,BD!$B$3:$B$5001,$A$185)))</f>
        <v/>
      </c>
      <c r="U194" s="159" t="str">
        <f>IF(U$3="","",IF(COUNTIFS(BD!$A$3:$A$5001,U$3,BD!$B$3:$B$5001,$A$185,BD!$L$3:$L$5001,"&lt;&gt;")=0,"",SUMIFS(BD!$L$3:$L$5001,BD!$A$3:$A$5001,U$3,BD!$B$3:$B$5001,$A$185)))</f>
        <v/>
      </c>
      <c r="V194" s="159" t="str">
        <f>IF(V$3="","",IF(COUNTIFS(BD!$A$3:$A$5001,V$3,BD!$B$3:$B$5001,$A$185,BD!$L$3:$L$5001,"&lt;&gt;")=0,"",SUMIFS(BD!$L$3:$L$5001,BD!$A$3:$A$5001,V$3,BD!$B$3:$B$5001,$A$185)))</f>
        <v/>
      </c>
      <c r="W194" s="159" t="str">
        <f>IF(W$3="","",IF(COUNTIFS(BD!$A$3:$A$5001,W$3,BD!$B$3:$B$5001,$A$185,BD!$L$3:$L$5001,"&lt;&gt;")=0,"",SUMIFS(BD!$L$3:$L$5001,BD!$A$3:$A$5001,W$3,BD!$B$3:$B$5001,$A$185)))</f>
        <v/>
      </c>
      <c r="X194" s="159" t="str">
        <f>IF(X$3="","",IF(COUNTIFS(BD!$A$3:$A$5001,X$3,BD!$B$3:$B$5001,$A$185,BD!$L$3:$L$5001,"&lt;&gt;")=0,"",SUMIFS(BD!$L$3:$L$5001,BD!$A$3:$A$5001,X$3,BD!$B$3:$B$5001,$A$185)))</f>
        <v/>
      </c>
      <c r="Y194" s="159" t="str">
        <f>IF(Y$3="","",IF(COUNTIFS(BD!$A$3:$A$5001,Y$3,BD!$B$3:$B$5001,$A$185,BD!$L$3:$L$5001,"&lt;&gt;")=0,"",SUMIFS(BD!$L$3:$L$5001,BD!$A$3:$A$5001,Y$3,BD!$B$3:$B$5001,$A$185)))</f>
        <v/>
      </c>
      <c r="Z194" s="159" t="str">
        <f>IF(Z$3="","",IF(COUNTIFS(BD!$A$3:$A$5001,Z$3,BD!$B$3:$B$5001,$A$185,BD!$L$3:$L$5001,"&lt;&gt;")=0,"",SUMIFS(BD!$L$3:$L$5001,BD!$A$3:$A$5001,Z$3,BD!$B$3:$B$5001,$A$185)))</f>
        <v/>
      </c>
      <c r="AA194" s="159" t="str">
        <f>IF(AA$3="","",IF(COUNTIFS(BD!$A$3:$A$5001,AA$3,BD!$B$3:$B$5001,$A$185,BD!$L$3:$L$5001,"&lt;&gt;")=0,"",SUMIFS(BD!$L$3:$L$5001,BD!$A$3:$A$5001,AA$3,BD!$B$3:$B$5001,$A$185)))</f>
        <v/>
      </c>
      <c r="AB194" s="159" t="str">
        <f>IF(AB$3="","",IF(COUNTIFS(BD!$A$3:$A$5001,AB$3,BD!$B$3:$B$5001,$A$185,BD!$L$3:$L$5001,"&lt;&gt;")=0,"",SUMIFS(BD!$L$3:$L$5001,BD!$A$3:$A$5001,AB$3,BD!$B$3:$B$5001,$A$185)))</f>
        <v/>
      </c>
      <c r="AC194" s="159" t="str">
        <f>IF(AC$3="","",IF(COUNTIFS(BD!$A$3:$A$5001,AC$3,BD!$B$3:$B$5001,$A$185,BD!$L$3:$L$5001,"&lt;&gt;")=0,"",SUMIFS(BD!$L$3:$L$5001,BD!$A$3:$A$5001,AC$3,BD!$B$3:$B$5001,$A$185)))</f>
        <v/>
      </c>
      <c r="AD194" s="159" t="str">
        <f>IF(AD$3="","",IF(COUNTIFS(BD!$A$3:$A$5001,AD$3,BD!$B$3:$B$5001,$A$185,BD!$L$3:$L$5001,"&lt;&gt;")=0,"",SUMIFS(BD!$L$3:$L$5001,BD!$A$3:$A$5001,AD$3,BD!$B$3:$B$5001,$A$185)))</f>
        <v/>
      </c>
      <c r="AE194" s="159" t="str">
        <f>IF(AE$3="","",IF(COUNTIFS(BD!$A$3:$A$5001,AE$3,BD!$B$3:$B$5001,$A$185,BD!$L$3:$L$5001,"&lt;&gt;")=0,"",SUMIFS(BD!$L$3:$L$5001,BD!$A$3:$A$5001,AE$3,BD!$B$3:$B$5001,$A$185)))</f>
        <v/>
      </c>
      <c r="AF194" s="159" t="str">
        <f>IF(AF$3="","",IF(COUNTIFS(BD!$A$3:$A$5001,AF$3,BD!$B$3:$B$5001,$A$185,BD!$L$3:$L$5001,"&lt;&gt;")=0,"",SUMIFS(BD!$L$3:$L$5001,BD!$A$3:$A$5001,AF$3,BD!$B$3:$B$5001,$A$185)))</f>
        <v/>
      </c>
      <c r="AG194" s="159" t="str">
        <f>IF(AG$3="","",IF(COUNTIFS(BD!$A$3:$A$5001,AG$3,BD!$B$3:$B$5001,$A$185,BD!$L$3:$L$5001,"&lt;&gt;")=0,"",SUMIFS(BD!$L$3:$L$5001,BD!$A$3:$A$5001,AG$3,BD!$B$3:$B$5001,$A$185)))</f>
        <v/>
      </c>
      <c r="AH194" s="159" t="str">
        <f>IF(AH$3="","",IF(COUNTIFS(BD!$A$3:$A$5001,AH$3,BD!$B$3:$B$5001,$A$185,BD!$L$3:$L$5001,"&lt;&gt;")=0,"",SUMIFS(BD!$L$3:$L$5001,BD!$A$3:$A$5001,AH$3,BD!$B$3:$B$5001,$A$185)))</f>
        <v/>
      </c>
      <c r="AI194" s="159" t="str">
        <f>IF(AI$3="","",IF(COUNTIFS(BD!$A$3:$A$5001,AI$3,BD!$B$3:$B$5001,$A$185,BD!$L$3:$L$5001,"&lt;&gt;")=0,"",SUMIFS(BD!$L$3:$L$5001,BD!$A$3:$A$5001,AI$3,BD!$B$3:$B$5001,$A$185)))</f>
        <v/>
      </c>
      <c r="AJ194" s="160" t="str">
        <f>IF(AJ$3="","",IF(COUNTIFS(BD!$A$3:$A$5001,AJ$3,BD!$B$3:$B$5001,$A$185,BD!$L$3:$L$5001,"&lt;&gt;")=0,"",SUMIFS(BD!$L$3:$L$5001,BD!$A$3:$A$5001,AJ$3,BD!$B$3:$B$5001,$A$185)))</f>
        <v/>
      </c>
      <c r="AK194" s="161" t="str">
        <f>IF(COUNT(F194:AJ194)&gt;0,LOOKUP(9.99E+307,F194:AJ194),IFERROR(IF(INDEX(BD!$V$3:$V$5001,MATCH($A$185,BD!$B$3:$B$5001,0))&amp;""="Contrato","",INDEX(BD!$V$3:$V$5001,MATCH($A$185,BD!$B$3:$B$5001,0))&amp;""),""))</f>
        <v/>
      </c>
    </row>
    <row r="195" ht="15.75" customHeight="1" hidden="1">
      <c r="A195" s="254"/>
      <c r="B195" s="242"/>
      <c r="C195" s="162" t="inlineStr">
        <is>
          <t xml:space="preserve">Posições Ocupadas</t>
        </is>
      </c>
      <c r="D195" s="163" t="str">
        <f>IFERROR(1/(1/INDEX(BD!$Y$33:$AS$33,MATCH($A$185,BD!$Y$22:$AS$22,0))),"")</f>
        <v/>
      </c>
      <c r="E195" s="164"/>
      <c r="F195" s="165" t="str">
        <f>IF(F$3="","",IF(COUNTIFS(BD!$A$3:$A$5001,F$3,BD!$B$3:$B$5001,$A$185,BD!$M$3:$M$5001,"&lt;&gt;")=0,"",SUMIFS(BD!$M$3:$M$5001,BD!$A$3:$A$5001,F$3,BD!$B$3:$B$5001,$A$185)))</f>
        <v/>
      </c>
      <c r="G195" s="166" t="str">
        <f>IF(G$3="","",IF(COUNTIFS(BD!$A$3:$A$5001,G$3,BD!$B$3:$B$5001,$A$185,BD!$M$3:$M$5001,"&lt;&gt;")=0,"",SUMIFS(BD!$M$3:$M$5001,BD!$A$3:$A$5001,G$3,BD!$B$3:$B$5001,$A$185)))</f>
        <v/>
      </c>
      <c r="H195" s="166" t="str">
        <f>IF(H$3="","",IF(COUNTIFS(BD!$A$3:$A$5001,H$3,BD!$B$3:$B$5001,$A$185,BD!$M$3:$M$5001,"&lt;&gt;")=0,"",SUMIFS(BD!$M$3:$M$5001,BD!$A$3:$A$5001,H$3,BD!$B$3:$B$5001,$A$185)))</f>
        <v/>
      </c>
      <c r="I195" s="166" t="str">
        <f>IF(I$3="","",IF(COUNTIFS(BD!$A$3:$A$5001,I$3,BD!$B$3:$B$5001,$A$185,BD!$M$3:$M$5001,"&lt;&gt;")=0,"",SUMIFS(BD!$M$3:$M$5001,BD!$A$3:$A$5001,I$3,BD!$B$3:$B$5001,$A$185)))</f>
        <v/>
      </c>
      <c r="J195" s="166" t="str">
        <f>IF(J$3="","",IF(COUNTIFS(BD!$A$3:$A$5001,J$3,BD!$B$3:$B$5001,$A$185,BD!$M$3:$M$5001,"&lt;&gt;")=0,"",SUMIFS(BD!$M$3:$M$5001,BD!$A$3:$A$5001,J$3,BD!$B$3:$B$5001,$A$185)))</f>
        <v/>
      </c>
      <c r="K195" s="166" t="str">
        <f>IF(K$3="","",IF(COUNTIFS(BD!$A$3:$A$5001,K$3,BD!$B$3:$B$5001,$A$185,BD!$M$3:$M$5001,"&lt;&gt;")=0,"",SUMIFS(BD!$M$3:$M$5001,BD!$A$3:$A$5001,K$3,BD!$B$3:$B$5001,$A$185)))</f>
        <v/>
      </c>
      <c r="L195" s="166" t="str">
        <f>IF(L$3="","",IF(COUNTIFS(BD!$A$3:$A$5001,L$3,BD!$B$3:$B$5001,$A$185,BD!$M$3:$M$5001,"&lt;&gt;")=0,"",SUMIFS(BD!$M$3:$M$5001,BD!$A$3:$A$5001,L$3,BD!$B$3:$B$5001,$A$185)))</f>
        <v/>
      </c>
      <c r="M195" s="166" t="str">
        <f>IF(M$3="","",IF(COUNTIFS(BD!$A$3:$A$5001,M$3,BD!$B$3:$B$5001,$A$185,BD!$M$3:$M$5001,"&lt;&gt;")=0,"",SUMIFS(BD!$M$3:$M$5001,BD!$A$3:$A$5001,M$3,BD!$B$3:$B$5001,$A$185)))</f>
        <v/>
      </c>
      <c r="N195" s="166" t="str">
        <f>IF(N$3="","",IF(COUNTIFS(BD!$A$3:$A$5001,N$3,BD!$B$3:$B$5001,$A$185,BD!$M$3:$M$5001,"&lt;&gt;")=0,"",SUMIFS(BD!$M$3:$M$5001,BD!$A$3:$A$5001,N$3,BD!$B$3:$B$5001,$A$185)))</f>
        <v/>
      </c>
      <c r="O195" s="166" t="str">
        <f>IF(O$3="","",IF(COUNTIFS(BD!$A$3:$A$5001,O$3,BD!$B$3:$B$5001,$A$185,BD!$M$3:$M$5001,"&lt;&gt;")=0,"",SUMIFS(BD!$M$3:$M$5001,BD!$A$3:$A$5001,O$3,BD!$B$3:$B$5001,$A$185)))</f>
        <v/>
      </c>
      <c r="P195" s="166" t="str">
        <f>IF(P$3="","",IF(COUNTIFS(BD!$A$3:$A$5001,P$3,BD!$B$3:$B$5001,$A$185,BD!$M$3:$M$5001,"&lt;&gt;")=0,"",SUMIFS(BD!$M$3:$M$5001,BD!$A$3:$A$5001,P$3,BD!$B$3:$B$5001,$A$185)))</f>
        <v/>
      </c>
      <c r="Q195" s="166" t="str">
        <f>IF(Q$3="","",IF(COUNTIFS(BD!$A$3:$A$5001,Q$3,BD!$B$3:$B$5001,$A$185,BD!$M$3:$M$5001,"&lt;&gt;")=0,"",SUMIFS(BD!$M$3:$M$5001,BD!$A$3:$A$5001,Q$3,BD!$B$3:$B$5001,$A$185)))</f>
        <v/>
      </c>
      <c r="R195" s="166" t="str">
        <f>IF(R$3="","",IF(COUNTIFS(BD!$A$3:$A$5001,R$3,BD!$B$3:$B$5001,$A$185,BD!$M$3:$M$5001,"&lt;&gt;")=0,"",SUMIFS(BD!$M$3:$M$5001,BD!$A$3:$A$5001,R$3,BD!$B$3:$B$5001,$A$185)))</f>
        <v/>
      </c>
      <c r="S195" s="166" t="str">
        <f>IF(S$3="","",IF(COUNTIFS(BD!$A$3:$A$5001,S$3,BD!$B$3:$B$5001,$A$185,BD!$M$3:$M$5001,"&lt;&gt;")=0,"",SUMIFS(BD!$M$3:$M$5001,BD!$A$3:$A$5001,S$3,BD!$B$3:$B$5001,$A$185)))</f>
        <v/>
      </c>
      <c r="T195" s="166" t="str">
        <f>IF(T$3="","",IF(COUNTIFS(BD!$A$3:$A$5001,T$3,BD!$B$3:$B$5001,$A$185,BD!$M$3:$M$5001,"&lt;&gt;")=0,"",SUMIFS(BD!$M$3:$M$5001,BD!$A$3:$A$5001,T$3,BD!$B$3:$B$5001,$A$185)))</f>
        <v/>
      </c>
      <c r="U195" s="166" t="str">
        <f>IF(U$3="","",IF(COUNTIFS(BD!$A$3:$A$5001,U$3,BD!$B$3:$B$5001,$A$185,BD!$M$3:$M$5001,"&lt;&gt;")=0,"",SUMIFS(BD!$M$3:$M$5001,BD!$A$3:$A$5001,U$3,BD!$B$3:$B$5001,$A$185)))</f>
        <v/>
      </c>
      <c r="V195" s="166" t="str">
        <f>IF(V$3="","",IF(COUNTIFS(BD!$A$3:$A$5001,V$3,BD!$B$3:$B$5001,$A$185,BD!$M$3:$M$5001,"&lt;&gt;")=0,"",SUMIFS(BD!$M$3:$M$5001,BD!$A$3:$A$5001,V$3,BD!$B$3:$B$5001,$A$185)))</f>
        <v/>
      </c>
      <c r="W195" s="166" t="str">
        <f>IF(W$3="","",IF(COUNTIFS(BD!$A$3:$A$5001,W$3,BD!$B$3:$B$5001,$A$185,BD!$M$3:$M$5001,"&lt;&gt;")=0,"",SUMIFS(BD!$M$3:$M$5001,BD!$A$3:$A$5001,W$3,BD!$B$3:$B$5001,$A$185)))</f>
        <v/>
      </c>
      <c r="X195" s="166" t="str">
        <f>IF(X$3="","",IF(COUNTIFS(BD!$A$3:$A$5001,X$3,BD!$B$3:$B$5001,$A$185,BD!$M$3:$M$5001,"&lt;&gt;")=0,"",SUMIFS(BD!$M$3:$M$5001,BD!$A$3:$A$5001,X$3,BD!$B$3:$B$5001,$A$185)))</f>
        <v/>
      </c>
      <c r="Y195" s="166" t="str">
        <f>IF(Y$3="","",IF(COUNTIFS(BD!$A$3:$A$5001,Y$3,BD!$B$3:$B$5001,$A$185,BD!$M$3:$M$5001,"&lt;&gt;")=0,"",SUMIFS(BD!$M$3:$M$5001,BD!$A$3:$A$5001,Y$3,BD!$B$3:$B$5001,$A$185)))</f>
        <v/>
      </c>
      <c r="Z195" s="166" t="str">
        <f>IF(Z$3="","",IF(COUNTIFS(BD!$A$3:$A$5001,Z$3,BD!$B$3:$B$5001,$A$185,BD!$M$3:$M$5001,"&lt;&gt;")=0,"",SUMIFS(BD!$M$3:$M$5001,BD!$A$3:$A$5001,Z$3,BD!$B$3:$B$5001,$A$185)))</f>
        <v/>
      </c>
      <c r="AA195" s="166" t="str">
        <f>IF(AA$3="","",IF(COUNTIFS(BD!$A$3:$A$5001,AA$3,BD!$B$3:$B$5001,$A$185,BD!$M$3:$M$5001,"&lt;&gt;")=0,"",SUMIFS(BD!$M$3:$M$5001,BD!$A$3:$A$5001,AA$3,BD!$B$3:$B$5001,$A$185)))</f>
        <v/>
      </c>
      <c r="AB195" s="166" t="str">
        <f>IF(AB$3="","",IF(COUNTIFS(BD!$A$3:$A$5001,AB$3,BD!$B$3:$B$5001,$A$185,BD!$M$3:$M$5001,"&lt;&gt;")=0,"",SUMIFS(BD!$M$3:$M$5001,BD!$A$3:$A$5001,AB$3,BD!$B$3:$B$5001,$A$185)))</f>
        <v/>
      </c>
      <c r="AC195" s="166" t="str">
        <f>IF(AC$3="","",IF(COUNTIFS(BD!$A$3:$A$5001,AC$3,BD!$B$3:$B$5001,$A$185,BD!$M$3:$M$5001,"&lt;&gt;")=0,"",SUMIFS(BD!$M$3:$M$5001,BD!$A$3:$A$5001,AC$3,BD!$B$3:$B$5001,$A$185)))</f>
        <v/>
      </c>
      <c r="AD195" s="166" t="str">
        <f>IF(AD$3="","",IF(COUNTIFS(BD!$A$3:$A$5001,AD$3,BD!$B$3:$B$5001,$A$185,BD!$M$3:$M$5001,"&lt;&gt;")=0,"",SUMIFS(BD!$M$3:$M$5001,BD!$A$3:$A$5001,AD$3,BD!$B$3:$B$5001,$A$185)))</f>
        <v/>
      </c>
      <c r="AE195" s="166" t="str">
        <f>IF(AE$3="","",IF(COUNTIFS(BD!$A$3:$A$5001,AE$3,BD!$B$3:$B$5001,$A$185,BD!$M$3:$M$5001,"&lt;&gt;")=0,"",SUMIFS(BD!$M$3:$M$5001,BD!$A$3:$A$5001,AE$3,BD!$B$3:$B$5001,$A$185)))</f>
        <v/>
      </c>
      <c r="AF195" s="166" t="str">
        <f>IF(AF$3="","",IF(COUNTIFS(BD!$A$3:$A$5001,AF$3,BD!$B$3:$B$5001,$A$185,BD!$M$3:$M$5001,"&lt;&gt;")=0,"",SUMIFS(BD!$M$3:$M$5001,BD!$A$3:$A$5001,AF$3,BD!$B$3:$B$5001,$A$185)))</f>
        <v/>
      </c>
      <c r="AG195" s="166" t="str">
        <f>IF(AG$3="","",IF(COUNTIFS(BD!$A$3:$A$5001,AG$3,BD!$B$3:$B$5001,$A$185,BD!$M$3:$M$5001,"&lt;&gt;")=0,"",SUMIFS(BD!$M$3:$M$5001,BD!$A$3:$A$5001,AG$3,BD!$B$3:$B$5001,$A$185)))</f>
        <v/>
      </c>
      <c r="AH195" s="166" t="str">
        <f>IF(AH$3="","",IF(COUNTIFS(BD!$A$3:$A$5001,AH$3,BD!$B$3:$B$5001,$A$185,BD!$M$3:$M$5001,"&lt;&gt;")=0,"",SUMIFS(BD!$M$3:$M$5001,BD!$A$3:$A$5001,AH$3,BD!$B$3:$B$5001,$A$185)))</f>
        <v/>
      </c>
      <c r="AI195" s="166" t="str">
        <f>IF(AI$3="","",IF(COUNTIFS(BD!$A$3:$A$5001,AI$3,BD!$B$3:$B$5001,$A$185,BD!$M$3:$M$5001,"&lt;&gt;")=0,"",SUMIFS(BD!$M$3:$M$5001,BD!$A$3:$A$5001,AI$3,BD!$B$3:$B$5001,$A$185)))</f>
        <v/>
      </c>
      <c r="AJ195" s="167" t="str">
        <f>IF(AJ$3="","",IF(COUNTIFS(BD!$A$3:$A$5001,AJ$3,BD!$B$3:$B$5001,$A$185,BD!$M$3:$M$5001,"&lt;&gt;")=0,"",SUMIFS(BD!$M$3:$M$5001,BD!$A$3:$A$5001,AJ$3,BD!$B$3:$B$5001,$A$185)))</f>
        <v/>
      </c>
      <c r="AK195" s="168" t="str">
        <f>IFERROR(LOOKUP(9.99E+307,F195:AJ195),"")</f>
        <v/>
      </c>
    </row>
    <row r="196" ht="15.75" customHeight="1" hidden="1">
      <c r="A196" s="254"/>
      <c r="B196" s="243"/>
      <c r="C196" s="169" t="inlineStr">
        <is>
          <t xml:space="preserve">Taxa de Ocupação</t>
        </is>
      </c>
      <c r="D196" s="217" t="str">
        <f>IFERROR(1/(1/INDEX(BD!$Y$34:$AS$34,MATCH($A$185,BD!$Y$22:$AS$22,0))),"")</f>
        <v/>
      </c>
      <c r="E196" s="171"/>
      <c r="F196" s="218" t="str">
        <f>IF(AND(ISNUMBER(F194),ISNUMBER(F195)),IF(F194&gt;0,F195/F194,""),"")</f>
        <v/>
      </c>
      <c r="G196" s="219" t="str">
        <f>IF(AND(ISNUMBER(G194),ISNUMBER(G195)),IF(G194&gt;0,G195/G194,""),"")</f>
        <v/>
      </c>
      <c r="H196" s="219" t="str">
        <f>IF(AND(ISNUMBER(H194),ISNUMBER(H195)),IF(H194&gt;0,H195/H194,""),"")</f>
        <v/>
      </c>
      <c r="I196" s="219" t="str">
        <f>IF(AND(ISNUMBER(I194),ISNUMBER(I195)),IF(I194&gt;0,I195/I194,""),"")</f>
        <v/>
      </c>
      <c r="J196" s="219" t="str">
        <f>IF(AND(ISNUMBER(J194),ISNUMBER(J195)),IF(J194&gt;0,J195/J194,""),"")</f>
        <v/>
      </c>
      <c r="K196" s="219" t="str">
        <f>IF(AND(ISNUMBER(K194),ISNUMBER(K195)),IF(K194&gt;0,K195/K194,""),"")</f>
        <v/>
      </c>
      <c r="L196" s="219" t="str">
        <f>IF(AND(ISNUMBER(L194),ISNUMBER(L195)),IF(L194&gt;0,L195/L194,""),"")</f>
        <v/>
      </c>
      <c r="M196" s="219" t="str">
        <f>IF(AND(ISNUMBER(M194),ISNUMBER(M195)),IF(M194&gt;0,M195/M194,""),"")</f>
        <v/>
      </c>
      <c r="N196" s="219" t="str">
        <f>IF(AND(ISNUMBER(N194),ISNUMBER(N195)),IF(N194&gt;0,N195/N194,""),"")</f>
        <v/>
      </c>
      <c r="O196" s="219" t="str">
        <f>IF(AND(ISNUMBER(O194),ISNUMBER(O195)),IF(O194&gt;0,O195/O194,""),"")</f>
        <v/>
      </c>
      <c r="P196" s="219" t="str">
        <f>IF(AND(ISNUMBER(P194),ISNUMBER(P195)),IF(P194&gt;0,P195/P194,""),"")</f>
        <v/>
      </c>
      <c r="Q196" s="219" t="str">
        <f>IF(AND(ISNUMBER(Q194),ISNUMBER(Q195)),IF(Q194&gt;0,Q195/Q194,""),"")</f>
        <v/>
      </c>
      <c r="R196" s="219" t="str">
        <f>IF(AND(ISNUMBER(R194),ISNUMBER(R195)),IF(R194&gt;0,R195/R194,""),"")</f>
        <v/>
      </c>
      <c r="S196" s="219" t="str">
        <f>IF(AND(ISNUMBER(S194),ISNUMBER(S195)),IF(S194&gt;0,S195/S194,""),"")</f>
        <v/>
      </c>
      <c r="T196" s="219" t="str">
        <f>IF(AND(ISNUMBER(T194),ISNUMBER(T195)),IF(T194&gt;0,T195/T194,""),"")</f>
        <v/>
      </c>
      <c r="U196" s="219" t="str">
        <f>IF(AND(ISNUMBER(U194),ISNUMBER(U195)),IF(U194&gt;0,U195/U194,""),"")</f>
        <v/>
      </c>
      <c r="V196" s="219" t="str">
        <f>IF(AND(ISNUMBER(V194),ISNUMBER(V195)),IF(V194&gt;0,V195/V194,""),"")</f>
        <v/>
      </c>
      <c r="W196" s="219" t="str">
        <f>IF(AND(ISNUMBER(W194),ISNUMBER(W195)),IF(W194&gt;0,W195/W194,""),"")</f>
        <v/>
      </c>
      <c r="X196" s="219" t="str">
        <f>IF(AND(ISNUMBER(X194),ISNUMBER(X195)),IF(X194&gt;0,X195/X194,""),"")</f>
        <v/>
      </c>
      <c r="Y196" s="219" t="str">
        <f>IF(AND(ISNUMBER(Y194),ISNUMBER(Y195)),IF(Y194&gt;0,Y195/Y194,""),"")</f>
        <v/>
      </c>
      <c r="Z196" s="219" t="str">
        <f>IF(AND(ISNUMBER(Z194),ISNUMBER(Z195)),IF(Z194&gt;0,Z195/Z194,""),"")</f>
        <v/>
      </c>
      <c r="AA196" s="219" t="str">
        <f>IF(AND(ISNUMBER(AA194),ISNUMBER(AA195)),IF(AA194&gt;0,AA195/AA194,""),"")</f>
        <v/>
      </c>
      <c r="AB196" s="219" t="str">
        <f>IF(AND(ISNUMBER(AB194),ISNUMBER(AB195)),IF(AB194&gt;0,AB195/AB194,""),"")</f>
        <v/>
      </c>
      <c r="AC196" s="219" t="str">
        <f>IF(AND(ISNUMBER(AC194),ISNUMBER(AC195)),IF(AC194&gt;0,AC195/AC194,""),"")</f>
        <v/>
      </c>
      <c r="AD196" s="219" t="str">
        <f>IF(AND(ISNUMBER(AD194),ISNUMBER(AD195)),IF(AD194&gt;0,AD195/AD194,""),"")</f>
        <v/>
      </c>
      <c r="AE196" s="219" t="str">
        <f>IF(AND(ISNUMBER(AE194),ISNUMBER(AE195)),IF(AE194&gt;0,AE195/AE194,""),"")</f>
        <v/>
      </c>
      <c r="AF196" s="219" t="str">
        <f>IF(AND(ISNUMBER(AF194),ISNUMBER(AF195)),IF(AF194&gt;0,AF195/AF194,""),"")</f>
        <v/>
      </c>
      <c r="AG196" s="219" t="str">
        <f>IF(AND(ISNUMBER(AG194),ISNUMBER(AG195)),IF(AG194&gt;0,AG195/AG194,""),"")</f>
        <v/>
      </c>
      <c r="AH196" s="219" t="str">
        <f>IF(AND(ISNUMBER(AH194),ISNUMBER(AH195)),IF(AH194&gt;0,AH195/AH194,""),"")</f>
        <v/>
      </c>
      <c r="AI196" s="219" t="str">
        <f>IF(AND(ISNUMBER(AI194),ISNUMBER(AI195)),IF(AI194&gt;0,AI195/AI194,""),"")</f>
        <v/>
      </c>
      <c r="AJ196" s="220" t="str">
        <f>IF(AND(ISNUMBER(AJ194),ISNUMBER(AJ195)),IF(AJ194&gt;0,AJ195/AJ194,""),"")</f>
        <v/>
      </c>
      <c r="AK196" s="217" t="str">
        <f>IF(AND(ISNUMBER(AK194),ISNUMBER(AK195)),IF(AK194&gt;0,AK195/AK194,""),"")</f>
        <v/>
      </c>
    </row>
    <row r="197" ht="15.75" customHeight="1" hidden="1">
      <c r="A197" s="254"/>
      <c r="B197" s="250" t="inlineStr">
        <is>
          <t xml:space="preserve">GENTE</t>
        </is>
      </c>
      <c r="C197" s="221" t="inlineStr">
        <is>
          <t xml:space="preserve">Efetivo Op.</t>
        </is>
      </c>
      <c r="D197" s="222" t="str">
        <f>IFERROR(1/(1/INDEX(BD!$Y$35:$AS$35,MATCH($A$185,BD!$Y$22:$AS$22,0))),"")</f>
        <v/>
      </c>
      <c r="E197" s="223"/>
      <c r="F197" s="224" t="str">
        <f>IF(F$3="","",IF(COUNTIFS(BD!$A$3:$A$5001,F$3,BD!$B$3:$B$5001,$A$185,BD!$N$3:$N$5001,"&lt;&gt;")=0,"",SUMIFS(BD!$N$3:$N$5001,BD!$A$3:$A$5001,F$3,BD!$B$3:$B$5001,$A$185)))</f>
        <v/>
      </c>
      <c r="G197" s="225" t="str">
        <f>IF(G$3="","",IF(COUNTIFS(BD!$A$3:$A$5001,G$3,BD!$B$3:$B$5001,$A$185,BD!$N$3:$N$5001,"&lt;&gt;")=0,"",SUMIFS(BD!$N$3:$N$5001,BD!$A$3:$A$5001,G$3,BD!$B$3:$B$5001,$A$185)))</f>
        <v/>
      </c>
      <c r="H197" s="225" t="str">
        <f>IF(H$3="","",IF(COUNTIFS(BD!$A$3:$A$5001,H$3,BD!$B$3:$B$5001,$A$185,BD!$N$3:$N$5001,"&lt;&gt;")=0,"",SUMIFS(BD!$N$3:$N$5001,BD!$A$3:$A$5001,H$3,BD!$B$3:$B$5001,$A$185)))</f>
        <v/>
      </c>
      <c r="I197" s="225" t="str">
        <f>IF(I$3="","",IF(COUNTIFS(BD!$A$3:$A$5001,I$3,BD!$B$3:$B$5001,$A$185,BD!$N$3:$N$5001,"&lt;&gt;")=0,"",SUMIFS(BD!$N$3:$N$5001,BD!$A$3:$A$5001,I$3,BD!$B$3:$B$5001,$A$185)))</f>
        <v/>
      </c>
      <c r="J197" s="225" t="str">
        <f>IF(J$3="","",IF(COUNTIFS(BD!$A$3:$A$5001,J$3,BD!$B$3:$B$5001,$A$185,BD!$N$3:$N$5001,"&lt;&gt;")=0,"",SUMIFS(BD!$N$3:$N$5001,BD!$A$3:$A$5001,J$3,BD!$B$3:$B$5001,$A$185)))</f>
        <v/>
      </c>
      <c r="K197" s="225" t="str">
        <f>IF(K$3="","",IF(COUNTIFS(BD!$A$3:$A$5001,K$3,BD!$B$3:$B$5001,$A$185,BD!$N$3:$N$5001,"&lt;&gt;")=0,"",SUMIFS(BD!$N$3:$N$5001,BD!$A$3:$A$5001,K$3,BD!$B$3:$B$5001,$A$185)))</f>
        <v/>
      </c>
      <c r="L197" s="225" t="str">
        <f>IF(L$3="","",IF(COUNTIFS(BD!$A$3:$A$5001,L$3,BD!$B$3:$B$5001,$A$185,BD!$N$3:$N$5001,"&lt;&gt;")=0,"",SUMIFS(BD!$N$3:$N$5001,BD!$A$3:$A$5001,L$3,BD!$B$3:$B$5001,$A$185)))</f>
        <v/>
      </c>
      <c r="M197" s="225" t="str">
        <f>IF(M$3="","",IF(COUNTIFS(BD!$A$3:$A$5001,M$3,BD!$B$3:$B$5001,$A$185,BD!$N$3:$N$5001,"&lt;&gt;")=0,"",SUMIFS(BD!$N$3:$N$5001,BD!$A$3:$A$5001,M$3,BD!$B$3:$B$5001,$A$185)))</f>
        <v/>
      </c>
      <c r="N197" s="225" t="str">
        <f>IF(N$3="","",IF(COUNTIFS(BD!$A$3:$A$5001,N$3,BD!$B$3:$B$5001,$A$185,BD!$N$3:$N$5001,"&lt;&gt;")=0,"",SUMIFS(BD!$N$3:$N$5001,BD!$A$3:$A$5001,N$3,BD!$B$3:$B$5001,$A$185)))</f>
        <v/>
      </c>
      <c r="O197" s="225" t="str">
        <f>IF(O$3="","",IF(COUNTIFS(BD!$A$3:$A$5001,O$3,BD!$B$3:$B$5001,$A$185,BD!$N$3:$N$5001,"&lt;&gt;")=0,"",SUMIFS(BD!$N$3:$N$5001,BD!$A$3:$A$5001,O$3,BD!$B$3:$B$5001,$A$185)))</f>
        <v/>
      </c>
      <c r="P197" s="225" t="str">
        <f>IF(P$3="","",IF(COUNTIFS(BD!$A$3:$A$5001,P$3,BD!$B$3:$B$5001,$A$185,BD!$N$3:$N$5001,"&lt;&gt;")=0,"",SUMIFS(BD!$N$3:$N$5001,BD!$A$3:$A$5001,P$3,BD!$B$3:$B$5001,$A$185)))</f>
        <v/>
      </c>
      <c r="Q197" s="225" t="str">
        <f>IF(Q$3="","",IF(COUNTIFS(BD!$A$3:$A$5001,Q$3,BD!$B$3:$B$5001,$A$185,BD!$N$3:$N$5001,"&lt;&gt;")=0,"",SUMIFS(BD!$N$3:$N$5001,BD!$A$3:$A$5001,Q$3,BD!$B$3:$B$5001,$A$185)))</f>
        <v/>
      </c>
      <c r="R197" s="225" t="str">
        <f>IF(R$3="","",IF(COUNTIFS(BD!$A$3:$A$5001,R$3,BD!$B$3:$B$5001,$A$185,BD!$N$3:$N$5001,"&lt;&gt;")=0,"",SUMIFS(BD!$N$3:$N$5001,BD!$A$3:$A$5001,R$3,BD!$B$3:$B$5001,$A$185)))</f>
        <v/>
      </c>
      <c r="S197" s="225" t="str">
        <f>IF(S$3="","",IF(COUNTIFS(BD!$A$3:$A$5001,S$3,BD!$B$3:$B$5001,$A$185,BD!$N$3:$N$5001,"&lt;&gt;")=0,"",SUMIFS(BD!$N$3:$N$5001,BD!$A$3:$A$5001,S$3,BD!$B$3:$B$5001,$A$185)))</f>
        <v/>
      </c>
      <c r="T197" s="225" t="str">
        <f>IF(T$3="","",IF(COUNTIFS(BD!$A$3:$A$5001,T$3,BD!$B$3:$B$5001,$A$185,BD!$N$3:$N$5001,"&lt;&gt;")=0,"",SUMIFS(BD!$N$3:$N$5001,BD!$A$3:$A$5001,T$3,BD!$B$3:$B$5001,$A$185)))</f>
        <v/>
      </c>
      <c r="U197" s="225" t="str">
        <f>IF(U$3="","",IF(COUNTIFS(BD!$A$3:$A$5001,U$3,BD!$B$3:$B$5001,$A$185,BD!$N$3:$N$5001,"&lt;&gt;")=0,"",SUMIFS(BD!$N$3:$N$5001,BD!$A$3:$A$5001,U$3,BD!$B$3:$B$5001,$A$185)))</f>
        <v/>
      </c>
      <c r="V197" s="225" t="str">
        <f>IF(V$3="","",IF(COUNTIFS(BD!$A$3:$A$5001,V$3,BD!$B$3:$B$5001,$A$185,BD!$N$3:$N$5001,"&lt;&gt;")=0,"",SUMIFS(BD!$N$3:$N$5001,BD!$A$3:$A$5001,V$3,BD!$B$3:$B$5001,$A$185)))</f>
        <v/>
      </c>
      <c r="W197" s="225" t="str">
        <f>IF(W$3="","",IF(COUNTIFS(BD!$A$3:$A$5001,W$3,BD!$B$3:$B$5001,$A$185,BD!$N$3:$N$5001,"&lt;&gt;")=0,"",SUMIFS(BD!$N$3:$N$5001,BD!$A$3:$A$5001,W$3,BD!$B$3:$B$5001,$A$185)))</f>
        <v/>
      </c>
      <c r="X197" s="225" t="str">
        <f>IF(X$3="","",IF(COUNTIFS(BD!$A$3:$A$5001,X$3,BD!$B$3:$B$5001,$A$185,BD!$N$3:$N$5001,"&lt;&gt;")=0,"",SUMIFS(BD!$N$3:$N$5001,BD!$A$3:$A$5001,X$3,BD!$B$3:$B$5001,$A$185)))</f>
        <v/>
      </c>
      <c r="Y197" s="225" t="str">
        <f>IF(Y$3="","",IF(COUNTIFS(BD!$A$3:$A$5001,Y$3,BD!$B$3:$B$5001,$A$185,BD!$N$3:$N$5001,"&lt;&gt;")=0,"",SUMIFS(BD!$N$3:$N$5001,BD!$A$3:$A$5001,Y$3,BD!$B$3:$B$5001,$A$185)))</f>
        <v/>
      </c>
      <c r="Z197" s="225" t="str">
        <f>IF(Z$3="","",IF(COUNTIFS(BD!$A$3:$A$5001,Z$3,BD!$B$3:$B$5001,$A$185,BD!$N$3:$N$5001,"&lt;&gt;")=0,"",SUMIFS(BD!$N$3:$N$5001,BD!$A$3:$A$5001,Z$3,BD!$B$3:$B$5001,$A$185)))</f>
        <v/>
      </c>
      <c r="AA197" s="225" t="str">
        <f>IF(AA$3="","",IF(COUNTIFS(BD!$A$3:$A$5001,AA$3,BD!$B$3:$B$5001,$A$185,BD!$N$3:$N$5001,"&lt;&gt;")=0,"",SUMIFS(BD!$N$3:$N$5001,BD!$A$3:$A$5001,AA$3,BD!$B$3:$B$5001,$A$185)))</f>
        <v/>
      </c>
      <c r="AB197" s="225" t="str">
        <f>IF(AB$3="","",IF(COUNTIFS(BD!$A$3:$A$5001,AB$3,BD!$B$3:$B$5001,$A$185,BD!$N$3:$N$5001,"&lt;&gt;")=0,"",SUMIFS(BD!$N$3:$N$5001,BD!$A$3:$A$5001,AB$3,BD!$B$3:$B$5001,$A$185)))</f>
        <v/>
      </c>
      <c r="AC197" s="225" t="str">
        <f>IF(AC$3="","",IF(COUNTIFS(BD!$A$3:$A$5001,AC$3,BD!$B$3:$B$5001,$A$185,BD!$N$3:$N$5001,"&lt;&gt;")=0,"",SUMIFS(BD!$N$3:$N$5001,BD!$A$3:$A$5001,AC$3,BD!$B$3:$B$5001,$A$185)))</f>
        <v/>
      </c>
      <c r="AD197" s="225" t="str">
        <f>IF(AD$3="","",IF(COUNTIFS(BD!$A$3:$A$5001,AD$3,BD!$B$3:$B$5001,$A$185,BD!$N$3:$N$5001,"&lt;&gt;")=0,"",SUMIFS(BD!$N$3:$N$5001,BD!$A$3:$A$5001,AD$3,BD!$B$3:$B$5001,$A$185)))</f>
        <v/>
      </c>
      <c r="AE197" s="225" t="str">
        <f>IF(AE$3="","",IF(COUNTIFS(BD!$A$3:$A$5001,AE$3,BD!$B$3:$B$5001,$A$185,BD!$N$3:$N$5001,"&lt;&gt;")=0,"",SUMIFS(BD!$N$3:$N$5001,BD!$A$3:$A$5001,AE$3,BD!$B$3:$B$5001,$A$185)))</f>
        <v/>
      </c>
      <c r="AF197" s="225" t="str">
        <f>IF(AF$3="","",IF(COUNTIFS(BD!$A$3:$A$5001,AF$3,BD!$B$3:$B$5001,$A$185,BD!$N$3:$N$5001,"&lt;&gt;")=0,"",SUMIFS(BD!$N$3:$N$5001,BD!$A$3:$A$5001,AF$3,BD!$B$3:$B$5001,$A$185)))</f>
        <v/>
      </c>
      <c r="AG197" s="225" t="str">
        <f>IF(AG$3="","",IF(COUNTIFS(BD!$A$3:$A$5001,AG$3,BD!$B$3:$B$5001,$A$185,BD!$N$3:$N$5001,"&lt;&gt;")=0,"",SUMIFS(BD!$N$3:$N$5001,BD!$A$3:$A$5001,AG$3,BD!$B$3:$B$5001,$A$185)))</f>
        <v/>
      </c>
      <c r="AH197" s="225" t="str">
        <f>IF(AH$3="","",IF(COUNTIFS(BD!$A$3:$A$5001,AH$3,BD!$B$3:$B$5001,$A$185,BD!$N$3:$N$5001,"&lt;&gt;")=0,"",SUMIFS(BD!$N$3:$N$5001,BD!$A$3:$A$5001,AH$3,BD!$B$3:$B$5001,$A$185)))</f>
        <v/>
      </c>
      <c r="AI197" s="225" t="str">
        <f>IF(AI$3="","",IF(COUNTIFS(BD!$A$3:$A$5001,AI$3,BD!$B$3:$B$5001,$A$185,BD!$N$3:$N$5001,"&lt;&gt;")=0,"",SUMIFS(BD!$N$3:$N$5001,BD!$A$3:$A$5001,AI$3,BD!$B$3:$B$5001,$A$185)))</f>
        <v/>
      </c>
      <c r="AJ197" s="226" t="str">
        <f>IF(AJ$3="","",IF(COUNTIFS(BD!$A$3:$A$5001,AJ$3,BD!$B$3:$B$5001,$A$185,BD!$N$3:$N$5001,"&lt;&gt;")=0,"",SUMIFS(BD!$N$3:$N$5001,BD!$A$3:$A$5001,AJ$3,BD!$B$3:$B$5001,$A$185)))</f>
        <v/>
      </c>
      <c r="AK197" s="227" t="str">
        <f>IFERROR(LOOKUP(9.99E+307,F197:AJ197),"")</f>
        <v/>
      </c>
    </row>
    <row r="198" ht="15.75" customHeight="1" hidden="1">
      <c r="A198" s="254"/>
      <c r="B198" s="251"/>
      <c r="C198" s="228" t="inlineStr">
        <is>
          <t xml:space="preserve">Falta</t>
        </is>
      </c>
      <c r="D198" s="229" t="str">
        <f>IFERROR(1/(1/INDEX(BD!$Y$36:$AS$36,MATCH($A$185,BD!$Y$22:$AS$22,0))),"")</f>
        <v/>
      </c>
      <c r="E198" s="230"/>
      <c r="F198" s="231" t="str">
        <f>IF(F$3="","",IF(COUNTIFS(BD!$A$3:$A$5001,F$3,BD!$B$3:$B$5001,$A$185,BD!$O$3:$O$5001,"&lt;&gt;")=0,"",SUMIFS(BD!$O$3:$O$5001,BD!$A$3:$A$5001,F$3,BD!$B$3:$B$5001,$A$185)))</f>
        <v/>
      </c>
      <c r="G198" s="232" t="str">
        <f>IF(G$3="","",IF(COUNTIFS(BD!$A$3:$A$5001,G$3,BD!$B$3:$B$5001,$A$185,BD!$O$3:$O$5001,"&lt;&gt;")=0,"",SUMIFS(BD!$O$3:$O$5001,BD!$A$3:$A$5001,G$3,BD!$B$3:$B$5001,$A$185)))</f>
        <v/>
      </c>
      <c r="H198" s="232" t="str">
        <f>IF(H$3="","",IF(COUNTIFS(BD!$A$3:$A$5001,H$3,BD!$B$3:$B$5001,$A$185,BD!$O$3:$O$5001,"&lt;&gt;")=0,"",SUMIFS(BD!$O$3:$O$5001,BD!$A$3:$A$5001,H$3,BD!$B$3:$B$5001,$A$185)))</f>
        <v/>
      </c>
      <c r="I198" s="232" t="str">
        <f>IF(I$3="","",IF(COUNTIFS(BD!$A$3:$A$5001,I$3,BD!$B$3:$B$5001,$A$185,BD!$O$3:$O$5001,"&lt;&gt;")=0,"",SUMIFS(BD!$O$3:$O$5001,BD!$A$3:$A$5001,I$3,BD!$B$3:$B$5001,$A$185)))</f>
        <v/>
      </c>
      <c r="J198" s="232" t="str">
        <f>IF(J$3="","",IF(COUNTIFS(BD!$A$3:$A$5001,J$3,BD!$B$3:$B$5001,$A$185,BD!$O$3:$O$5001,"&lt;&gt;")=0,"",SUMIFS(BD!$O$3:$O$5001,BD!$A$3:$A$5001,J$3,BD!$B$3:$B$5001,$A$185)))</f>
        <v/>
      </c>
      <c r="K198" s="232" t="str">
        <f>IF(K$3="","",IF(COUNTIFS(BD!$A$3:$A$5001,K$3,BD!$B$3:$B$5001,$A$185,BD!$O$3:$O$5001,"&lt;&gt;")=0,"",SUMIFS(BD!$O$3:$O$5001,BD!$A$3:$A$5001,K$3,BD!$B$3:$B$5001,$A$185)))</f>
        <v/>
      </c>
      <c r="L198" s="232" t="str">
        <f>IF(L$3="","",IF(COUNTIFS(BD!$A$3:$A$5001,L$3,BD!$B$3:$B$5001,$A$185,BD!$O$3:$O$5001,"&lt;&gt;")=0,"",SUMIFS(BD!$O$3:$O$5001,BD!$A$3:$A$5001,L$3,BD!$B$3:$B$5001,$A$185)))</f>
        <v/>
      </c>
      <c r="M198" s="232" t="str">
        <f>IF(M$3="","",IF(COUNTIFS(BD!$A$3:$A$5001,M$3,BD!$B$3:$B$5001,$A$185,BD!$O$3:$O$5001,"&lt;&gt;")=0,"",SUMIFS(BD!$O$3:$O$5001,BD!$A$3:$A$5001,M$3,BD!$B$3:$B$5001,$A$185)))</f>
        <v/>
      </c>
      <c r="N198" s="232" t="str">
        <f>IF(N$3="","",IF(COUNTIFS(BD!$A$3:$A$5001,N$3,BD!$B$3:$B$5001,$A$185,BD!$O$3:$O$5001,"&lt;&gt;")=0,"",SUMIFS(BD!$O$3:$O$5001,BD!$A$3:$A$5001,N$3,BD!$B$3:$B$5001,$A$185)))</f>
        <v/>
      </c>
      <c r="O198" s="232" t="str">
        <f>IF(O$3="","",IF(COUNTIFS(BD!$A$3:$A$5001,O$3,BD!$B$3:$B$5001,$A$185,BD!$O$3:$O$5001,"&lt;&gt;")=0,"",SUMIFS(BD!$O$3:$O$5001,BD!$A$3:$A$5001,O$3,BD!$B$3:$B$5001,$A$185)))</f>
        <v/>
      </c>
      <c r="P198" s="232" t="str">
        <f>IF(P$3="","",IF(COUNTIFS(BD!$A$3:$A$5001,P$3,BD!$B$3:$B$5001,$A$185,BD!$O$3:$O$5001,"&lt;&gt;")=0,"",SUMIFS(BD!$O$3:$O$5001,BD!$A$3:$A$5001,P$3,BD!$B$3:$B$5001,$A$185)))</f>
        <v/>
      </c>
      <c r="Q198" s="232" t="str">
        <f>IF(Q$3="","",IF(COUNTIFS(BD!$A$3:$A$5001,Q$3,BD!$B$3:$B$5001,$A$185,BD!$O$3:$O$5001,"&lt;&gt;")=0,"",SUMIFS(BD!$O$3:$O$5001,BD!$A$3:$A$5001,Q$3,BD!$B$3:$B$5001,$A$185)))</f>
        <v/>
      </c>
      <c r="R198" s="232" t="str">
        <f>IF(R$3="","",IF(COUNTIFS(BD!$A$3:$A$5001,R$3,BD!$B$3:$B$5001,$A$185,BD!$O$3:$O$5001,"&lt;&gt;")=0,"",SUMIFS(BD!$O$3:$O$5001,BD!$A$3:$A$5001,R$3,BD!$B$3:$B$5001,$A$185)))</f>
        <v/>
      </c>
      <c r="S198" s="232" t="str">
        <f>IF(S$3="","",IF(COUNTIFS(BD!$A$3:$A$5001,S$3,BD!$B$3:$B$5001,$A$185,BD!$O$3:$O$5001,"&lt;&gt;")=0,"",SUMIFS(BD!$O$3:$O$5001,BD!$A$3:$A$5001,S$3,BD!$B$3:$B$5001,$A$185)))</f>
        <v/>
      </c>
      <c r="T198" s="232" t="str">
        <f>IF(T$3="","",IF(COUNTIFS(BD!$A$3:$A$5001,T$3,BD!$B$3:$B$5001,$A$185,BD!$O$3:$O$5001,"&lt;&gt;")=0,"",SUMIFS(BD!$O$3:$O$5001,BD!$A$3:$A$5001,T$3,BD!$B$3:$B$5001,$A$185)))</f>
        <v/>
      </c>
      <c r="U198" s="232" t="str">
        <f>IF(U$3="","",IF(COUNTIFS(BD!$A$3:$A$5001,U$3,BD!$B$3:$B$5001,$A$185,BD!$O$3:$O$5001,"&lt;&gt;")=0,"",SUMIFS(BD!$O$3:$O$5001,BD!$A$3:$A$5001,U$3,BD!$B$3:$B$5001,$A$185)))</f>
        <v/>
      </c>
      <c r="V198" s="232" t="str">
        <f>IF(V$3="","",IF(COUNTIFS(BD!$A$3:$A$5001,V$3,BD!$B$3:$B$5001,$A$185,BD!$O$3:$O$5001,"&lt;&gt;")=0,"",SUMIFS(BD!$O$3:$O$5001,BD!$A$3:$A$5001,V$3,BD!$B$3:$B$5001,$A$185)))</f>
        <v/>
      </c>
      <c r="W198" s="232" t="str">
        <f>IF(W$3="","",IF(COUNTIFS(BD!$A$3:$A$5001,W$3,BD!$B$3:$B$5001,$A$185,BD!$O$3:$O$5001,"&lt;&gt;")=0,"",SUMIFS(BD!$O$3:$O$5001,BD!$A$3:$A$5001,W$3,BD!$B$3:$B$5001,$A$185)))</f>
        <v/>
      </c>
      <c r="X198" s="232" t="str">
        <f>IF(X$3="","",IF(COUNTIFS(BD!$A$3:$A$5001,X$3,BD!$B$3:$B$5001,$A$185,BD!$O$3:$O$5001,"&lt;&gt;")=0,"",SUMIFS(BD!$O$3:$O$5001,BD!$A$3:$A$5001,X$3,BD!$B$3:$B$5001,$A$185)))</f>
        <v/>
      </c>
      <c r="Y198" s="232" t="str">
        <f>IF(Y$3="","",IF(COUNTIFS(BD!$A$3:$A$5001,Y$3,BD!$B$3:$B$5001,$A$185,BD!$O$3:$O$5001,"&lt;&gt;")=0,"",SUMIFS(BD!$O$3:$O$5001,BD!$A$3:$A$5001,Y$3,BD!$B$3:$B$5001,$A$185)))</f>
        <v/>
      </c>
      <c r="Z198" s="232" t="str">
        <f>IF(Z$3="","",IF(COUNTIFS(BD!$A$3:$A$5001,Z$3,BD!$B$3:$B$5001,$A$185,BD!$O$3:$O$5001,"&lt;&gt;")=0,"",SUMIFS(BD!$O$3:$O$5001,BD!$A$3:$A$5001,Z$3,BD!$B$3:$B$5001,$A$185)))</f>
        <v/>
      </c>
      <c r="AA198" s="232" t="str">
        <f>IF(AA$3="","",IF(COUNTIFS(BD!$A$3:$A$5001,AA$3,BD!$B$3:$B$5001,$A$185,BD!$O$3:$O$5001,"&lt;&gt;")=0,"",SUMIFS(BD!$O$3:$O$5001,BD!$A$3:$A$5001,AA$3,BD!$B$3:$B$5001,$A$185)))</f>
        <v/>
      </c>
      <c r="AB198" s="232" t="str">
        <f>IF(AB$3="","",IF(COUNTIFS(BD!$A$3:$A$5001,AB$3,BD!$B$3:$B$5001,$A$185,BD!$O$3:$O$5001,"&lt;&gt;")=0,"",SUMIFS(BD!$O$3:$O$5001,BD!$A$3:$A$5001,AB$3,BD!$B$3:$B$5001,$A$185)))</f>
        <v/>
      </c>
      <c r="AC198" s="232" t="str">
        <f>IF(AC$3="","",IF(COUNTIFS(BD!$A$3:$A$5001,AC$3,BD!$B$3:$B$5001,$A$185,BD!$O$3:$O$5001,"&lt;&gt;")=0,"",SUMIFS(BD!$O$3:$O$5001,BD!$A$3:$A$5001,AC$3,BD!$B$3:$B$5001,$A$185)))</f>
        <v/>
      </c>
      <c r="AD198" s="232" t="str">
        <f>IF(AD$3="","",IF(COUNTIFS(BD!$A$3:$A$5001,AD$3,BD!$B$3:$B$5001,$A$185,BD!$O$3:$O$5001,"&lt;&gt;")=0,"",SUMIFS(BD!$O$3:$O$5001,BD!$A$3:$A$5001,AD$3,BD!$B$3:$B$5001,$A$185)))</f>
        <v/>
      </c>
      <c r="AE198" s="232" t="str">
        <f>IF(AE$3="","",IF(COUNTIFS(BD!$A$3:$A$5001,AE$3,BD!$B$3:$B$5001,$A$185,BD!$O$3:$O$5001,"&lt;&gt;")=0,"",SUMIFS(BD!$O$3:$O$5001,BD!$A$3:$A$5001,AE$3,BD!$B$3:$B$5001,$A$185)))</f>
        <v/>
      </c>
      <c r="AF198" s="232" t="str">
        <f>IF(AF$3="","",IF(COUNTIFS(BD!$A$3:$A$5001,AF$3,BD!$B$3:$B$5001,$A$185,BD!$O$3:$O$5001,"&lt;&gt;")=0,"",SUMIFS(BD!$O$3:$O$5001,BD!$A$3:$A$5001,AF$3,BD!$B$3:$B$5001,$A$185)))</f>
        <v/>
      </c>
      <c r="AG198" s="232" t="str">
        <f>IF(AG$3="","",IF(COUNTIFS(BD!$A$3:$A$5001,AG$3,BD!$B$3:$B$5001,$A$185,BD!$O$3:$O$5001,"&lt;&gt;")=0,"",SUMIFS(BD!$O$3:$O$5001,BD!$A$3:$A$5001,AG$3,BD!$B$3:$B$5001,$A$185)))</f>
        <v/>
      </c>
      <c r="AH198" s="232" t="str">
        <f>IF(AH$3="","",IF(COUNTIFS(BD!$A$3:$A$5001,AH$3,BD!$B$3:$B$5001,$A$185,BD!$O$3:$O$5001,"&lt;&gt;")=0,"",SUMIFS(BD!$O$3:$O$5001,BD!$A$3:$A$5001,AH$3,BD!$B$3:$B$5001,$A$185)))</f>
        <v/>
      </c>
      <c r="AI198" s="232" t="str">
        <f>IF(AI$3="","",IF(COUNTIFS(BD!$A$3:$A$5001,AI$3,BD!$B$3:$B$5001,$A$185,BD!$O$3:$O$5001,"&lt;&gt;")=0,"",SUMIFS(BD!$O$3:$O$5001,BD!$A$3:$A$5001,AI$3,BD!$B$3:$B$5001,$A$185)))</f>
        <v/>
      </c>
      <c r="AJ198" s="233" t="str">
        <f>IF(AJ$3="","",IF(COUNTIFS(BD!$A$3:$A$5001,AJ$3,BD!$B$3:$B$5001,$A$185,BD!$O$3:$O$5001,"&lt;&gt;")=0,"",SUMIFS(BD!$O$3:$O$5001,BD!$A$3:$A$5001,AJ$3,BD!$B$3:$B$5001,$A$185)))</f>
        <v/>
      </c>
      <c r="AK198" s="234" t="str">
        <f>IF(COUNT(F198:AJ198)=0,"",SUM(F198:AJ198))</f>
        <v/>
      </c>
    </row>
    <row r="199" ht="15.75" customHeight="1" hidden="1">
      <c r="A199" s="254"/>
      <c r="B199" s="251"/>
      <c r="C199" s="228" t="inlineStr">
        <is>
          <t xml:space="preserve">Folga</t>
        </is>
      </c>
      <c r="D199" s="229" t="str">
        <f>IFERROR(1/(1/INDEX(BD!$Y$37:$AS$37,MATCH($A$185,BD!$Y$22:$AS$22,0))),"")</f>
        <v/>
      </c>
      <c r="E199" s="230"/>
      <c r="F199" s="231" t="str">
        <f>IF(F$3="","",IF(COUNTIFS(BD!$A$3:$A$5001,F$3,BD!$B$3:$B$5001,$A$185,BD!$P$3:$P$5001,"&lt;&gt;")=0,"",SUMIFS(BD!$P$3:$P$5001,BD!$A$3:$A$5001,F$3,BD!$B$3:$B$5001,$A$185)))</f>
        <v/>
      </c>
      <c r="G199" s="232" t="str">
        <f>IF(G$3="","",IF(COUNTIFS(BD!$A$3:$A$5001,G$3,BD!$B$3:$B$5001,$A$185,BD!$P$3:$P$5001,"&lt;&gt;")=0,"",SUMIFS(BD!$P$3:$P$5001,BD!$A$3:$A$5001,G$3,BD!$B$3:$B$5001,$A$185)))</f>
        <v/>
      </c>
      <c r="H199" s="232" t="str">
        <f>IF(H$3="","",IF(COUNTIFS(BD!$A$3:$A$5001,H$3,BD!$B$3:$B$5001,$A$185,BD!$P$3:$P$5001,"&lt;&gt;")=0,"",SUMIFS(BD!$P$3:$P$5001,BD!$A$3:$A$5001,H$3,BD!$B$3:$B$5001,$A$185)))</f>
        <v/>
      </c>
      <c r="I199" s="232" t="str">
        <f>IF(I$3="","",IF(COUNTIFS(BD!$A$3:$A$5001,I$3,BD!$B$3:$B$5001,$A$185,BD!$P$3:$P$5001,"&lt;&gt;")=0,"",SUMIFS(BD!$P$3:$P$5001,BD!$A$3:$A$5001,I$3,BD!$B$3:$B$5001,$A$185)))</f>
        <v/>
      </c>
      <c r="J199" s="232" t="str">
        <f>IF(J$3="","",IF(COUNTIFS(BD!$A$3:$A$5001,J$3,BD!$B$3:$B$5001,$A$185,BD!$P$3:$P$5001,"&lt;&gt;")=0,"",SUMIFS(BD!$P$3:$P$5001,BD!$A$3:$A$5001,J$3,BD!$B$3:$B$5001,$A$185)))</f>
        <v/>
      </c>
      <c r="K199" s="232" t="str">
        <f>IF(K$3="","",IF(COUNTIFS(BD!$A$3:$A$5001,K$3,BD!$B$3:$B$5001,$A$185,BD!$P$3:$P$5001,"&lt;&gt;")=0,"",SUMIFS(BD!$P$3:$P$5001,BD!$A$3:$A$5001,K$3,BD!$B$3:$B$5001,$A$185)))</f>
        <v/>
      </c>
      <c r="L199" s="232" t="str">
        <f>IF(L$3="","",IF(COUNTIFS(BD!$A$3:$A$5001,L$3,BD!$B$3:$B$5001,$A$185,BD!$P$3:$P$5001,"&lt;&gt;")=0,"",SUMIFS(BD!$P$3:$P$5001,BD!$A$3:$A$5001,L$3,BD!$B$3:$B$5001,$A$185)))</f>
        <v/>
      </c>
      <c r="M199" s="232" t="str">
        <f>IF(M$3="","",IF(COUNTIFS(BD!$A$3:$A$5001,M$3,BD!$B$3:$B$5001,$A$185,BD!$P$3:$P$5001,"&lt;&gt;")=0,"",SUMIFS(BD!$P$3:$P$5001,BD!$A$3:$A$5001,M$3,BD!$B$3:$B$5001,$A$185)))</f>
        <v/>
      </c>
      <c r="N199" s="232" t="str">
        <f>IF(N$3="","",IF(COUNTIFS(BD!$A$3:$A$5001,N$3,BD!$B$3:$B$5001,$A$185,BD!$P$3:$P$5001,"&lt;&gt;")=0,"",SUMIFS(BD!$P$3:$P$5001,BD!$A$3:$A$5001,N$3,BD!$B$3:$B$5001,$A$185)))</f>
        <v/>
      </c>
      <c r="O199" s="232" t="str">
        <f>IF(O$3="","",IF(COUNTIFS(BD!$A$3:$A$5001,O$3,BD!$B$3:$B$5001,$A$185,BD!$P$3:$P$5001,"&lt;&gt;")=0,"",SUMIFS(BD!$P$3:$P$5001,BD!$A$3:$A$5001,O$3,BD!$B$3:$B$5001,$A$185)))</f>
        <v/>
      </c>
      <c r="P199" s="232" t="str">
        <f>IF(P$3="","",IF(COUNTIFS(BD!$A$3:$A$5001,P$3,BD!$B$3:$B$5001,$A$185,BD!$P$3:$P$5001,"&lt;&gt;")=0,"",SUMIFS(BD!$P$3:$P$5001,BD!$A$3:$A$5001,P$3,BD!$B$3:$B$5001,$A$185)))</f>
        <v/>
      </c>
      <c r="Q199" s="232" t="str">
        <f>IF(Q$3="","",IF(COUNTIFS(BD!$A$3:$A$5001,Q$3,BD!$B$3:$B$5001,$A$185,BD!$P$3:$P$5001,"&lt;&gt;")=0,"",SUMIFS(BD!$P$3:$P$5001,BD!$A$3:$A$5001,Q$3,BD!$B$3:$B$5001,$A$185)))</f>
        <v/>
      </c>
      <c r="R199" s="232" t="str">
        <f>IF(R$3="","",IF(COUNTIFS(BD!$A$3:$A$5001,R$3,BD!$B$3:$B$5001,$A$185,BD!$P$3:$P$5001,"&lt;&gt;")=0,"",SUMIFS(BD!$P$3:$P$5001,BD!$A$3:$A$5001,R$3,BD!$B$3:$B$5001,$A$185)))</f>
        <v/>
      </c>
      <c r="S199" s="232" t="str">
        <f>IF(S$3="","",IF(COUNTIFS(BD!$A$3:$A$5001,S$3,BD!$B$3:$B$5001,$A$185,BD!$P$3:$P$5001,"&lt;&gt;")=0,"",SUMIFS(BD!$P$3:$P$5001,BD!$A$3:$A$5001,S$3,BD!$B$3:$B$5001,$A$185)))</f>
        <v/>
      </c>
      <c r="T199" s="232" t="str">
        <f>IF(T$3="","",IF(COUNTIFS(BD!$A$3:$A$5001,T$3,BD!$B$3:$B$5001,$A$185,BD!$P$3:$P$5001,"&lt;&gt;")=0,"",SUMIFS(BD!$P$3:$P$5001,BD!$A$3:$A$5001,T$3,BD!$B$3:$B$5001,$A$185)))</f>
        <v/>
      </c>
      <c r="U199" s="232" t="str">
        <f>IF(U$3="","",IF(COUNTIFS(BD!$A$3:$A$5001,U$3,BD!$B$3:$B$5001,$A$185,BD!$P$3:$P$5001,"&lt;&gt;")=0,"",SUMIFS(BD!$P$3:$P$5001,BD!$A$3:$A$5001,U$3,BD!$B$3:$B$5001,$A$185)))</f>
        <v/>
      </c>
      <c r="V199" s="232" t="str">
        <f>IF(V$3="","",IF(COUNTIFS(BD!$A$3:$A$5001,V$3,BD!$B$3:$B$5001,$A$185,BD!$P$3:$P$5001,"&lt;&gt;")=0,"",SUMIFS(BD!$P$3:$P$5001,BD!$A$3:$A$5001,V$3,BD!$B$3:$B$5001,$A$185)))</f>
        <v/>
      </c>
      <c r="W199" s="232" t="str">
        <f>IF(W$3="","",IF(COUNTIFS(BD!$A$3:$A$5001,W$3,BD!$B$3:$B$5001,$A$185,BD!$P$3:$P$5001,"&lt;&gt;")=0,"",SUMIFS(BD!$P$3:$P$5001,BD!$A$3:$A$5001,W$3,BD!$B$3:$B$5001,$A$185)))</f>
        <v/>
      </c>
      <c r="X199" s="232" t="str">
        <f>IF(X$3="","",IF(COUNTIFS(BD!$A$3:$A$5001,X$3,BD!$B$3:$B$5001,$A$185,BD!$P$3:$P$5001,"&lt;&gt;")=0,"",SUMIFS(BD!$P$3:$P$5001,BD!$A$3:$A$5001,X$3,BD!$B$3:$B$5001,$A$185)))</f>
        <v/>
      </c>
      <c r="Y199" s="232" t="str">
        <f>IF(Y$3="","",IF(COUNTIFS(BD!$A$3:$A$5001,Y$3,BD!$B$3:$B$5001,$A$185,BD!$P$3:$P$5001,"&lt;&gt;")=0,"",SUMIFS(BD!$P$3:$P$5001,BD!$A$3:$A$5001,Y$3,BD!$B$3:$B$5001,$A$185)))</f>
        <v/>
      </c>
      <c r="Z199" s="232" t="str">
        <f>IF(Z$3="","",IF(COUNTIFS(BD!$A$3:$A$5001,Z$3,BD!$B$3:$B$5001,$A$185,BD!$P$3:$P$5001,"&lt;&gt;")=0,"",SUMIFS(BD!$P$3:$P$5001,BD!$A$3:$A$5001,Z$3,BD!$B$3:$B$5001,$A$185)))</f>
        <v/>
      </c>
      <c r="AA199" s="232" t="str">
        <f>IF(AA$3="","",IF(COUNTIFS(BD!$A$3:$A$5001,AA$3,BD!$B$3:$B$5001,$A$185,BD!$P$3:$P$5001,"&lt;&gt;")=0,"",SUMIFS(BD!$P$3:$P$5001,BD!$A$3:$A$5001,AA$3,BD!$B$3:$B$5001,$A$185)))</f>
        <v/>
      </c>
      <c r="AB199" s="232" t="str">
        <f>IF(AB$3="","",IF(COUNTIFS(BD!$A$3:$A$5001,AB$3,BD!$B$3:$B$5001,$A$185,BD!$P$3:$P$5001,"&lt;&gt;")=0,"",SUMIFS(BD!$P$3:$P$5001,BD!$A$3:$A$5001,AB$3,BD!$B$3:$B$5001,$A$185)))</f>
        <v/>
      </c>
      <c r="AC199" s="232" t="str">
        <f>IF(AC$3="","",IF(COUNTIFS(BD!$A$3:$A$5001,AC$3,BD!$B$3:$B$5001,$A$185,BD!$P$3:$P$5001,"&lt;&gt;")=0,"",SUMIFS(BD!$P$3:$P$5001,BD!$A$3:$A$5001,AC$3,BD!$B$3:$B$5001,$A$185)))</f>
        <v/>
      </c>
      <c r="AD199" s="232" t="str">
        <f>IF(AD$3="","",IF(COUNTIFS(BD!$A$3:$A$5001,AD$3,BD!$B$3:$B$5001,$A$185,BD!$P$3:$P$5001,"&lt;&gt;")=0,"",SUMIFS(BD!$P$3:$P$5001,BD!$A$3:$A$5001,AD$3,BD!$B$3:$B$5001,$A$185)))</f>
        <v/>
      </c>
      <c r="AE199" s="232" t="str">
        <f>IF(AE$3="","",IF(COUNTIFS(BD!$A$3:$A$5001,AE$3,BD!$B$3:$B$5001,$A$185,BD!$P$3:$P$5001,"&lt;&gt;")=0,"",SUMIFS(BD!$P$3:$P$5001,BD!$A$3:$A$5001,AE$3,BD!$B$3:$B$5001,$A$185)))</f>
        <v/>
      </c>
      <c r="AF199" s="232" t="str">
        <f>IF(AF$3="","",IF(COUNTIFS(BD!$A$3:$A$5001,AF$3,BD!$B$3:$B$5001,$A$185,BD!$P$3:$P$5001,"&lt;&gt;")=0,"",SUMIFS(BD!$P$3:$P$5001,BD!$A$3:$A$5001,AF$3,BD!$B$3:$B$5001,$A$185)))</f>
        <v/>
      </c>
      <c r="AG199" s="232" t="str">
        <f>IF(AG$3="","",IF(COUNTIFS(BD!$A$3:$A$5001,AG$3,BD!$B$3:$B$5001,$A$185,BD!$P$3:$P$5001,"&lt;&gt;")=0,"",SUMIFS(BD!$P$3:$P$5001,BD!$A$3:$A$5001,AG$3,BD!$B$3:$B$5001,$A$185)))</f>
        <v/>
      </c>
      <c r="AH199" s="232" t="str">
        <f>IF(AH$3="","",IF(COUNTIFS(BD!$A$3:$A$5001,AH$3,BD!$B$3:$B$5001,$A$185,BD!$P$3:$P$5001,"&lt;&gt;")=0,"",SUMIFS(BD!$P$3:$P$5001,BD!$A$3:$A$5001,AH$3,BD!$B$3:$B$5001,$A$185)))</f>
        <v/>
      </c>
      <c r="AI199" s="232" t="str">
        <f>IF(AI$3="","",IF(COUNTIFS(BD!$A$3:$A$5001,AI$3,BD!$B$3:$B$5001,$A$185,BD!$P$3:$P$5001,"&lt;&gt;")=0,"",SUMIFS(BD!$P$3:$P$5001,BD!$A$3:$A$5001,AI$3,BD!$B$3:$B$5001,$A$185)))</f>
        <v/>
      </c>
      <c r="AJ199" s="233" t="str">
        <f>IF(AJ$3="","",IF(COUNTIFS(BD!$A$3:$A$5001,AJ$3,BD!$B$3:$B$5001,$A$185,BD!$P$3:$P$5001,"&lt;&gt;")=0,"",SUMIFS(BD!$P$3:$P$5001,BD!$A$3:$A$5001,AJ$3,BD!$B$3:$B$5001,$A$185)))</f>
        <v/>
      </c>
      <c r="AK199" s="234" t="str">
        <f>IF(COUNT(F199:AJ199)=0,"",SUM(F199:AJ199))</f>
        <v/>
      </c>
    </row>
    <row r="200" ht="15.75" customHeight="1" hidden="1">
      <c r="A200" s="254"/>
      <c r="B200" s="251"/>
      <c r="C200" s="228" t="inlineStr">
        <is>
          <t xml:space="preserve">Férias</t>
        </is>
      </c>
      <c r="D200" s="229" t="str">
        <f>IFERROR(1/(1/INDEX(BD!$Y$38:$AS$38,MATCH($A$185,BD!$Y$22:$AS$22,0))),"")</f>
        <v/>
      </c>
      <c r="E200" s="230"/>
      <c r="F200" s="231" t="str">
        <f>IF(F$3="","",IF(COUNTIFS(BD!$A$3:$A$5001,F$3,BD!$B$3:$B$5001,$A$185,BD!$Q$3:$Q$5001,"&lt;&gt;")=0,"",SUMIFS(BD!$Q$3:$Q$5001,BD!$A$3:$A$5001,F$3,BD!$B$3:$B$5001,$A$185)))</f>
        <v/>
      </c>
      <c r="G200" s="232" t="str">
        <f>IF(G$3="","",IF(COUNTIFS(BD!$A$3:$A$5001,G$3,BD!$B$3:$B$5001,$A$185,BD!$Q$3:$Q$5001,"&lt;&gt;")=0,"",SUMIFS(BD!$Q$3:$Q$5001,BD!$A$3:$A$5001,G$3,BD!$B$3:$B$5001,$A$185)))</f>
        <v/>
      </c>
      <c r="H200" s="232" t="str">
        <f>IF(H$3="","",IF(COUNTIFS(BD!$A$3:$A$5001,H$3,BD!$B$3:$B$5001,$A$185,BD!$Q$3:$Q$5001,"&lt;&gt;")=0,"",SUMIFS(BD!$Q$3:$Q$5001,BD!$A$3:$A$5001,H$3,BD!$B$3:$B$5001,$A$185)))</f>
        <v/>
      </c>
      <c r="I200" s="232" t="str">
        <f>IF(I$3="","",IF(COUNTIFS(BD!$A$3:$A$5001,I$3,BD!$B$3:$B$5001,$A$185,BD!$Q$3:$Q$5001,"&lt;&gt;")=0,"",SUMIFS(BD!$Q$3:$Q$5001,BD!$A$3:$A$5001,I$3,BD!$B$3:$B$5001,$A$185)))</f>
        <v/>
      </c>
      <c r="J200" s="232" t="str">
        <f>IF(J$3="","",IF(COUNTIFS(BD!$A$3:$A$5001,J$3,BD!$B$3:$B$5001,$A$185,BD!$Q$3:$Q$5001,"&lt;&gt;")=0,"",SUMIFS(BD!$Q$3:$Q$5001,BD!$A$3:$A$5001,J$3,BD!$B$3:$B$5001,$A$185)))</f>
        <v/>
      </c>
      <c r="K200" s="232" t="str">
        <f>IF(K$3="","",IF(COUNTIFS(BD!$A$3:$A$5001,K$3,BD!$B$3:$B$5001,$A$185,BD!$Q$3:$Q$5001,"&lt;&gt;")=0,"",SUMIFS(BD!$Q$3:$Q$5001,BD!$A$3:$A$5001,K$3,BD!$B$3:$B$5001,$A$185)))</f>
        <v/>
      </c>
      <c r="L200" s="232" t="str">
        <f>IF(L$3="","",IF(COUNTIFS(BD!$A$3:$A$5001,L$3,BD!$B$3:$B$5001,$A$185,BD!$Q$3:$Q$5001,"&lt;&gt;")=0,"",SUMIFS(BD!$Q$3:$Q$5001,BD!$A$3:$A$5001,L$3,BD!$B$3:$B$5001,$A$185)))</f>
        <v/>
      </c>
      <c r="M200" s="232" t="str">
        <f>IF(M$3="","",IF(COUNTIFS(BD!$A$3:$A$5001,M$3,BD!$B$3:$B$5001,$A$185,BD!$Q$3:$Q$5001,"&lt;&gt;")=0,"",SUMIFS(BD!$Q$3:$Q$5001,BD!$A$3:$A$5001,M$3,BD!$B$3:$B$5001,$A$185)))</f>
        <v/>
      </c>
      <c r="N200" s="232" t="str">
        <f>IF(N$3="","",IF(COUNTIFS(BD!$A$3:$A$5001,N$3,BD!$B$3:$B$5001,$A$185,BD!$Q$3:$Q$5001,"&lt;&gt;")=0,"",SUMIFS(BD!$Q$3:$Q$5001,BD!$A$3:$A$5001,N$3,BD!$B$3:$B$5001,$A$185)))</f>
        <v/>
      </c>
      <c r="O200" s="232" t="str">
        <f>IF(O$3="","",IF(COUNTIFS(BD!$A$3:$A$5001,O$3,BD!$B$3:$B$5001,$A$185,BD!$Q$3:$Q$5001,"&lt;&gt;")=0,"",SUMIFS(BD!$Q$3:$Q$5001,BD!$A$3:$A$5001,O$3,BD!$B$3:$B$5001,$A$185)))</f>
        <v/>
      </c>
      <c r="P200" s="232" t="str">
        <f>IF(P$3="","",IF(COUNTIFS(BD!$A$3:$A$5001,P$3,BD!$B$3:$B$5001,$A$185,BD!$Q$3:$Q$5001,"&lt;&gt;")=0,"",SUMIFS(BD!$Q$3:$Q$5001,BD!$A$3:$A$5001,P$3,BD!$B$3:$B$5001,$A$185)))</f>
        <v/>
      </c>
      <c r="Q200" s="232" t="str">
        <f>IF(Q$3="","",IF(COUNTIFS(BD!$A$3:$A$5001,Q$3,BD!$B$3:$B$5001,$A$185,BD!$Q$3:$Q$5001,"&lt;&gt;")=0,"",SUMIFS(BD!$Q$3:$Q$5001,BD!$A$3:$A$5001,Q$3,BD!$B$3:$B$5001,$A$185)))</f>
        <v/>
      </c>
      <c r="R200" s="232" t="str">
        <f>IF(R$3="","",IF(COUNTIFS(BD!$A$3:$A$5001,R$3,BD!$B$3:$B$5001,$A$185,BD!$Q$3:$Q$5001,"&lt;&gt;")=0,"",SUMIFS(BD!$Q$3:$Q$5001,BD!$A$3:$A$5001,R$3,BD!$B$3:$B$5001,$A$185)))</f>
        <v/>
      </c>
      <c r="S200" s="232" t="str">
        <f>IF(S$3="","",IF(COUNTIFS(BD!$A$3:$A$5001,S$3,BD!$B$3:$B$5001,$A$185,BD!$Q$3:$Q$5001,"&lt;&gt;")=0,"",SUMIFS(BD!$Q$3:$Q$5001,BD!$A$3:$A$5001,S$3,BD!$B$3:$B$5001,$A$185)))</f>
        <v/>
      </c>
      <c r="T200" s="232" t="str">
        <f>IF(T$3="","",IF(COUNTIFS(BD!$A$3:$A$5001,T$3,BD!$B$3:$B$5001,$A$185,BD!$Q$3:$Q$5001,"&lt;&gt;")=0,"",SUMIFS(BD!$Q$3:$Q$5001,BD!$A$3:$A$5001,T$3,BD!$B$3:$B$5001,$A$185)))</f>
        <v/>
      </c>
      <c r="U200" s="232" t="str">
        <f>IF(U$3="","",IF(COUNTIFS(BD!$A$3:$A$5001,U$3,BD!$B$3:$B$5001,$A$185,BD!$Q$3:$Q$5001,"&lt;&gt;")=0,"",SUMIFS(BD!$Q$3:$Q$5001,BD!$A$3:$A$5001,U$3,BD!$B$3:$B$5001,$A$185)))</f>
        <v/>
      </c>
      <c r="V200" s="232" t="str">
        <f>IF(V$3="","",IF(COUNTIFS(BD!$A$3:$A$5001,V$3,BD!$B$3:$B$5001,$A$185,BD!$Q$3:$Q$5001,"&lt;&gt;")=0,"",SUMIFS(BD!$Q$3:$Q$5001,BD!$A$3:$A$5001,V$3,BD!$B$3:$B$5001,$A$185)))</f>
        <v/>
      </c>
      <c r="W200" s="232" t="str">
        <f>IF(W$3="","",IF(COUNTIFS(BD!$A$3:$A$5001,W$3,BD!$B$3:$B$5001,$A$185,BD!$Q$3:$Q$5001,"&lt;&gt;")=0,"",SUMIFS(BD!$Q$3:$Q$5001,BD!$A$3:$A$5001,W$3,BD!$B$3:$B$5001,$A$185)))</f>
        <v/>
      </c>
      <c r="X200" s="232" t="str">
        <f>IF(X$3="","",IF(COUNTIFS(BD!$A$3:$A$5001,X$3,BD!$B$3:$B$5001,$A$185,BD!$Q$3:$Q$5001,"&lt;&gt;")=0,"",SUMIFS(BD!$Q$3:$Q$5001,BD!$A$3:$A$5001,X$3,BD!$B$3:$B$5001,$A$185)))</f>
        <v/>
      </c>
      <c r="Y200" s="232" t="str">
        <f>IF(Y$3="","",IF(COUNTIFS(BD!$A$3:$A$5001,Y$3,BD!$B$3:$B$5001,$A$185,BD!$Q$3:$Q$5001,"&lt;&gt;")=0,"",SUMIFS(BD!$Q$3:$Q$5001,BD!$A$3:$A$5001,Y$3,BD!$B$3:$B$5001,$A$185)))</f>
        <v/>
      </c>
      <c r="Z200" s="232" t="str">
        <f>IF(Z$3="","",IF(COUNTIFS(BD!$A$3:$A$5001,Z$3,BD!$B$3:$B$5001,$A$185,BD!$Q$3:$Q$5001,"&lt;&gt;")=0,"",SUMIFS(BD!$Q$3:$Q$5001,BD!$A$3:$A$5001,Z$3,BD!$B$3:$B$5001,$A$185)))</f>
        <v/>
      </c>
      <c r="AA200" s="232" t="str">
        <f>IF(AA$3="","",IF(COUNTIFS(BD!$A$3:$A$5001,AA$3,BD!$B$3:$B$5001,$A$185,BD!$Q$3:$Q$5001,"&lt;&gt;")=0,"",SUMIFS(BD!$Q$3:$Q$5001,BD!$A$3:$A$5001,AA$3,BD!$B$3:$B$5001,$A$185)))</f>
        <v/>
      </c>
      <c r="AB200" s="232" t="str">
        <f>IF(AB$3="","",IF(COUNTIFS(BD!$A$3:$A$5001,AB$3,BD!$B$3:$B$5001,$A$185,BD!$Q$3:$Q$5001,"&lt;&gt;")=0,"",SUMIFS(BD!$Q$3:$Q$5001,BD!$A$3:$A$5001,AB$3,BD!$B$3:$B$5001,$A$185)))</f>
        <v/>
      </c>
      <c r="AC200" s="232" t="str">
        <f>IF(AC$3="","",IF(COUNTIFS(BD!$A$3:$A$5001,AC$3,BD!$B$3:$B$5001,$A$185,BD!$Q$3:$Q$5001,"&lt;&gt;")=0,"",SUMIFS(BD!$Q$3:$Q$5001,BD!$A$3:$A$5001,AC$3,BD!$B$3:$B$5001,$A$185)))</f>
        <v/>
      </c>
      <c r="AD200" s="232" t="str">
        <f>IF(AD$3="","",IF(COUNTIFS(BD!$A$3:$A$5001,AD$3,BD!$B$3:$B$5001,$A$185,BD!$Q$3:$Q$5001,"&lt;&gt;")=0,"",SUMIFS(BD!$Q$3:$Q$5001,BD!$A$3:$A$5001,AD$3,BD!$B$3:$B$5001,$A$185)))</f>
        <v/>
      </c>
      <c r="AE200" s="232" t="str">
        <f>IF(AE$3="","",IF(COUNTIFS(BD!$A$3:$A$5001,AE$3,BD!$B$3:$B$5001,$A$185,BD!$Q$3:$Q$5001,"&lt;&gt;")=0,"",SUMIFS(BD!$Q$3:$Q$5001,BD!$A$3:$A$5001,AE$3,BD!$B$3:$B$5001,$A$185)))</f>
        <v/>
      </c>
      <c r="AF200" s="232" t="str">
        <f>IF(AF$3="","",IF(COUNTIFS(BD!$A$3:$A$5001,AF$3,BD!$B$3:$B$5001,$A$185,BD!$Q$3:$Q$5001,"&lt;&gt;")=0,"",SUMIFS(BD!$Q$3:$Q$5001,BD!$A$3:$A$5001,AF$3,BD!$B$3:$B$5001,$A$185)))</f>
        <v/>
      </c>
      <c r="AG200" s="232" t="str">
        <f>IF(AG$3="","",IF(COUNTIFS(BD!$A$3:$A$5001,AG$3,BD!$B$3:$B$5001,$A$185,BD!$Q$3:$Q$5001,"&lt;&gt;")=0,"",SUMIFS(BD!$Q$3:$Q$5001,BD!$A$3:$A$5001,AG$3,BD!$B$3:$B$5001,$A$185)))</f>
        <v/>
      </c>
      <c r="AH200" s="232" t="str">
        <f>IF(AH$3="","",IF(COUNTIFS(BD!$A$3:$A$5001,AH$3,BD!$B$3:$B$5001,$A$185,BD!$Q$3:$Q$5001,"&lt;&gt;")=0,"",SUMIFS(BD!$Q$3:$Q$5001,BD!$A$3:$A$5001,AH$3,BD!$B$3:$B$5001,$A$185)))</f>
        <v/>
      </c>
      <c r="AI200" s="232" t="str">
        <f>IF(AI$3="","",IF(COUNTIFS(BD!$A$3:$A$5001,AI$3,BD!$B$3:$B$5001,$A$185,BD!$Q$3:$Q$5001,"&lt;&gt;")=0,"",SUMIFS(BD!$Q$3:$Q$5001,BD!$A$3:$A$5001,AI$3,BD!$B$3:$B$5001,$A$185)))</f>
        <v/>
      </c>
      <c r="AJ200" s="233" t="str">
        <f>IF(AJ$3="","",IF(COUNTIFS(BD!$A$3:$A$5001,AJ$3,BD!$B$3:$B$5001,$A$185,BD!$Q$3:$Q$5001,"&lt;&gt;")=0,"",SUMIFS(BD!$Q$3:$Q$5001,BD!$A$3:$A$5001,AJ$3,BD!$B$3:$B$5001,$A$185)))</f>
        <v/>
      </c>
      <c r="AK200" s="234" t="str">
        <f>IF(COUNT(F200:AJ200)=0,"",SUM(F200:AJ200))</f>
        <v/>
      </c>
    </row>
    <row r="201" ht="15.75" customHeight="1" hidden="1">
      <c r="A201" s="254"/>
      <c r="B201" s="251"/>
      <c r="C201" s="228" t="inlineStr">
        <is>
          <t xml:space="preserve">Desligamento</t>
        </is>
      </c>
      <c r="D201" s="229" t="str">
        <f>IFERROR(1/(1/INDEX(BD!$Y$39:$AS$39,MATCH($A$185,BD!$Y$22:$AS$22,0))),"")</f>
        <v/>
      </c>
      <c r="E201" s="230"/>
      <c r="F201" s="231" t="str">
        <f>IF(F$3="","",IF(COUNTIFS(BD!$A$3:$A$5001,F$3,BD!$B$3:$B$5001,$A$185,BD!$R$3:$R$5001,"&lt;&gt;")=0,"",SUMIFS(BD!$R$3:$R$5001,BD!$A$3:$A$5001,F$3,BD!$B$3:$B$5001,$A$185)))</f>
        <v/>
      </c>
      <c r="G201" s="232" t="str">
        <f>IF(G$3="","",IF(COUNTIFS(BD!$A$3:$A$5001,G$3,BD!$B$3:$B$5001,$A$185,BD!$R$3:$R$5001,"&lt;&gt;")=0,"",SUMIFS(BD!$R$3:$R$5001,BD!$A$3:$A$5001,G$3,BD!$B$3:$B$5001,$A$185)))</f>
        <v/>
      </c>
      <c r="H201" s="232" t="str">
        <f>IF(H$3="","",IF(COUNTIFS(BD!$A$3:$A$5001,H$3,BD!$B$3:$B$5001,$A$185,BD!$R$3:$R$5001,"&lt;&gt;")=0,"",SUMIFS(BD!$R$3:$R$5001,BD!$A$3:$A$5001,H$3,BD!$B$3:$B$5001,$A$185)))</f>
        <v/>
      </c>
      <c r="I201" s="232" t="str">
        <f>IF(I$3="","",IF(COUNTIFS(BD!$A$3:$A$5001,I$3,BD!$B$3:$B$5001,$A$185,BD!$R$3:$R$5001,"&lt;&gt;")=0,"",SUMIFS(BD!$R$3:$R$5001,BD!$A$3:$A$5001,I$3,BD!$B$3:$B$5001,$A$185)))</f>
        <v/>
      </c>
      <c r="J201" s="232" t="str">
        <f>IF(J$3="","",IF(COUNTIFS(BD!$A$3:$A$5001,J$3,BD!$B$3:$B$5001,$A$185,BD!$R$3:$R$5001,"&lt;&gt;")=0,"",SUMIFS(BD!$R$3:$R$5001,BD!$A$3:$A$5001,J$3,BD!$B$3:$B$5001,$A$185)))</f>
        <v/>
      </c>
      <c r="K201" s="232" t="str">
        <f>IF(K$3="","",IF(COUNTIFS(BD!$A$3:$A$5001,K$3,BD!$B$3:$B$5001,$A$185,BD!$R$3:$R$5001,"&lt;&gt;")=0,"",SUMIFS(BD!$R$3:$R$5001,BD!$A$3:$A$5001,K$3,BD!$B$3:$B$5001,$A$185)))</f>
        <v/>
      </c>
      <c r="L201" s="232" t="str">
        <f>IF(L$3="","",IF(COUNTIFS(BD!$A$3:$A$5001,L$3,BD!$B$3:$B$5001,$A$185,BD!$R$3:$R$5001,"&lt;&gt;")=0,"",SUMIFS(BD!$R$3:$R$5001,BD!$A$3:$A$5001,L$3,BD!$B$3:$B$5001,$A$185)))</f>
        <v/>
      </c>
      <c r="M201" s="232" t="str">
        <f>IF(M$3="","",IF(COUNTIFS(BD!$A$3:$A$5001,M$3,BD!$B$3:$B$5001,$A$185,BD!$R$3:$R$5001,"&lt;&gt;")=0,"",SUMIFS(BD!$R$3:$R$5001,BD!$A$3:$A$5001,M$3,BD!$B$3:$B$5001,$A$185)))</f>
        <v/>
      </c>
      <c r="N201" s="232" t="str">
        <f>IF(N$3="","",IF(COUNTIFS(BD!$A$3:$A$5001,N$3,BD!$B$3:$B$5001,$A$185,BD!$R$3:$R$5001,"&lt;&gt;")=0,"",SUMIFS(BD!$R$3:$R$5001,BD!$A$3:$A$5001,N$3,BD!$B$3:$B$5001,$A$185)))</f>
        <v/>
      </c>
      <c r="O201" s="232" t="str">
        <f>IF(O$3="","",IF(COUNTIFS(BD!$A$3:$A$5001,O$3,BD!$B$3:$B$5001,$A$185,BD!$R$3:$R$5001,"&lt;&gt;")=0,"",SUMIFS(BD!$R$3:$R$5001,BD!$A$3:$A$5001,O$3,BD!$B$3:$B$5001,$A$185)))</f>
        <v/>
      </c>
      <c r="P201" s="232" t="str">
        <f>IF(P$3="","",IF(COUNTIFS(BD!$A$3:$A$5001,P$3,BD!$B$3:$B$5001,$A$185,BD!$R$3:$R$5001,"&lt;&gt;")=0,"",SUMIFS(BD!$R$3:$R$5001,BD!$A$3:$A$5001,P$3,BD!$B$3:$B$5001,$A$185)))</f>
        <v/>
      </c>
      <c r="Q201" s="232" t="str">
        <f>IF(Q$3="","",IF(COUNTIFS(BD!$A$3:$A$5001,Q$3,BD!$B$3:$B$5001,$A$185,BD!$R$3:$R$5001,"&lt;&gt;")=0,"",SUMIFS(BD!$R$3:$R$5001,BD!$A$3:$A$5001,Q$3,BD!$B$3:$B$5001,$A$185)))</f>
        <v/>
      </c>
      <c r="R201" s="232" t="str">
        <f>IF(R$3="","",IF(COUNTIFS(BD!$A$3:$A$5001,R$3,BD!$B$3:$B$5001,$A$185,BD!$R$3:$R$5001,"&lt;&gt;")=0,"",SUMIFS(BD!$R$3:$R$5001,BD!$A$3:$A$5001,R$3,BD!$B$3:$B$5001,$A$185)))</f>
        <v/>
      </c>
      <c r="S201" s="232" t="str">
        <f>IF(S$3="","",IF(COUNTIFS(BD!$A$3:$A$5001,S$3,BD!$B$3:$B$5001,$A$185,BD!$R$3:$R$5001,"&lt;&gt;")=0,"",SUMIFS(BD!$R$3:$R$5001,BD!$A$3:$A$5001,S$3,BD!$B$3:$B$5001,$A$185)))</f>
        <v/>
      </c>
      <c r="T201" s="232" t="str">
        <f>IF(T$3="","",IF(COUNTIFS(BD!$A$3:$A$5001,T$3,BD!$B$3:$B$5001,$A$185,BD!$R$3:$R$5001,"&lt;&gt;")=0,"",SUMIFS(BD!$R$3:$R$5001,BD!$A$3:$A$5001,T$3,BD!$B$3:$B$5001,$A$185)))</f>
        <v/>
      </c>
      <c r="U201" s="232" t="str">
        <f>IF(U$3="","",IF(COUNTIFS(BD!$A$3:$A$5001,U$3,BD!$B$3:$B$5001,$A$185,BD!$R$3:$R$5001,"&lt;&gt;")=0,"",SUMIFS(BD!$R$3:$R$5001,BD!$A$3:$A$5001,U$3,BD!$B$3:$B$5001,$A$185)))</f>
        <v/>
      </c>
      <c r="V201" s="232" t="str">
        <f>IF(V$3="","",IF(COUNTIFS(BD!$A$3:$A$5001,V$3,BD!$B$3:$B$5001,$A$185,BD!$R$3:$R$5001,"&lt;&gt;")=0,"",SUMIFS(BD!$R$3:$R$5001,BD!$A$3:$A$5001,V$3,BD!$B$3:$B$5001,$A$185)))</f>
        <v/>
      </c>
      <c r="W201" s="232" t="str">
        <f>IF(W$3="","",IF(COUNTIFS(BD!$A$3:$A$5001,W$3,BD!$B$3:$B$5001,$A$185,BD!$R$3:$R$5001,"&lt;&gt;")=0,"",SUMIFS(BD!$R$3:$R$5001,BD!$A$3:$A$5001,W$3,BD!$B$3:$B$5001,$A$185)))</f>
        <v/>
      </c>
      <c r="X201" s="232" t="str">
        <f>IF(X$3="","",IF(COUNTIFS(BD!$A$3:$A$5001,X$3,BD!$B$3:$B$5001,$A$185,BD!$R$3:$R$5001,"&lt;&gt;")=0,"",SUMIFS(BD!$R$3:$R$5001,BD!$A$3:$A$5001,X$3,BD!$B$3:$B$5001,$A$185)))</f>
        <v/>
      </c>
      <c r="Y201" s="232" t="str">
        <f>IF(Y$3="","",IF(COUNTIFS(BD!$A$3:$A$5001,Y$3,BD!$B$3:$B$5001,$A$185,BD!$R$3:$R$5001,"&lt;&gt;")=0,"",SUMIFS(BD!$R$3:$R$5001,BD!$A$3:$A$5001,Y$3,BD!$B$3:$B$5001,$A$185)))</f>
        <v/>
      </c>
      <c r="Z201" s="232" t="str">
        <f>IF(Z$3="","",IF(COUNTIFS(BD!$A$3:$A$5001,Z$3,BD!$B$3:$B$5001,$A$185,BD!$R$3:$R$5001,"&lt;&gt;")=0,"",SUMIFS(BD!$R$3:$R$5001,BD!$A$3:$A$5001,Z$3,BD!$B$3:$B$5001,$A$185)))</f>
        <v/>
      </c>
      <c r="AA201" s="232" t="str">
        <f>IF(AA$3="","",IF(COUNTIFS(BD!$A$3:$A$5001,AA$3,BD!$B$3:$B$5001,$A$185,BD!$R$3:$R$5001,"&lt;&gt;")=0,"",SUMIFS(BD!$R$3:$R$5001,BD!$A$3:$A$5001,AA$3,BD!$B$3:$B$5001,$A$185)))</f>
        <v/>
      </c>
      <c r="AB201" s="232" t="str">
        <f>IF(AB$3="","",IF(COUNTIFS(BD!$A$3:$A$5001,AB$3,BD!$B$3:$B$5001,$A$185,BD!$R$3:$R$5001,"&lt;&gt;")=0,"",SUMIFS(BD!$R$3:$R$5001,BD!$A$3:$A$5001,AB$3,BD!$B$3:$B$5001,$A$185)))</f>
        <v/>
      </c>
      <c r="AC201" s="232" t="str">
        <f>IF(AC$3="","",IF(COUNTIFS(BD!$A$3:$A$5001,AC$3,BD!$B$3:$B$5001,$A$185,BD!$R$3:$R$5001,"&lt;&gt;")=0,"",SUMIFS(BD!$R$3:$R$5001,BD!$A$3:$A$5001,AC$3,BD!$B$3:$B$5001,$A$185)))</f>
        <v/>
      </c>
      <c r="AD201" s="232" t="str">
        <f>IF(AD$3="","",IF(COUNTIFS(BD!$A$3:$A$5001,AD$3,BD!$B$3:$B$5001,$A$185,BD!$R$3:$R$5001,"&lt;&gt;")=0,"",SUMIFS(BD!$R$3:$R$5001,BD!$A$3:$A$5001,AD$3,BD!$B$3:$B$5001,$A$185)))</f>
        <v/>
      </c>
      <c r="AE201" s="232" t="str">
        <f>IF(AE$3="","",IF(COUNTIFS(BD!$A$3:$A$5001,AE$3,BD!$B$3:$B$5001,$A$185,BD!$R$3:$R$5001,"&lt;&gt;")=0,"",SUMIFS(BD!$R$3:$R$5001,BD!$A$3:$A$5001,AE$3,BD!$B$3:$B$5001,$A$185)))</f>
        <v/>
      </c>
      <c r="AF201" s="232" t="str">
        <f>IF(AF$3="","",IF(COUNTIFS(BD!$A$3:$A$5001,AF$3,BD!$B$3:$B$5001,$A$185,BD!$R$3:$R$5001,"&lt;&gt;")=0,"",SUMIFS(BD!$R$3:$R$5001,BD!$A$3:$A$5001,AF$3,BD!$B$3:$B$5001,$A$185)))</f>
        <v/>
      </c>
      <c r="AG201" s="232" t="str">
        <f>IF(AG$3="","",IF(COUNTIFS(BD!$A$3:$A$5001,AG$3,BD!$B$3:$B$5001,$A$185,BD!$R$3:$R$5001,"&lt;&gt;")=0,"",SUMIFS(BD!$R$3:$R$5001,BD!$A$3:$A$5001,AG$3,BD!$B$3:$B$5001,$A$185)))</f>
        <v/>
      </c>
      <c r="AH201" s="232" t="str">
        <f>IF(AH$3="","",IF(COUNTIFS(BD!$A$3:$A$5001,AH$3,BD!$B$3:$B$5001,$A$185,BD!$R$3:$R$5001,"&lt;&gt;")=0,"",SUMIFS(BD!$R$3:$R$5001,BD!$A$3:$A$5001,AH$3,BD!$B$3:$B$5001,$A$185)))</f>
        <v/>
      </c>
      <c r="AI201" s="232" t="str">
        <f>IF(AI$3="","",IF(COUNTIFS(BD!$A$3:$A$5001,AI$3,BD!$B$3:$B$5001,$A$185,BD!$R$3:$R$5001,"&lt;&gt;")=0,"",SUMIFS(BD!$R$3:$R$5001,BD!$A$3:$A$5001,AI$3,BD!$B$3:$B$5001,$A$185)))</f>
        <v/>
      </c>
      <c r="AJ201" s="233" t="str">
        <f>IF(AJ$3="","",IF(COUNTIFS(BD!$A$3:$A$5001,AJ$3,BD!$B$3:$B$5001,$A$185,BD!$R$3:$R$5001,"&lt;&gt;")=0,"",SUMIFS(BD!$R$3:$R$5001,BD!$A$3:$A$5001,AJ$3,BD!$B$3:$B$5001,$A$185)))</f>
        <v/>
      </c>
      <c r="AK201" s="234" t="str">
        <f>IF(COUNT(F201:AJ201)=0,"",SUM(F201:AJ201))</f>
        <v/>
      </c>
    </row>
    <row r="202" ht="15.75" customHeight="1" hidden="1">
      <c r="A202" s="254"/>
      <c r="B202" s="251"/>
      <c r="C202" s="228" t="inlineStr">
        <is>
          <t xml:space="preserve">Desvios Comportamentais</t>
        </is>
      </c>
      <c r="D202" s="229" t="str">
        <f>IFERROR(1/(1/INDEX(BD!$Y$40:$AS$40,MATCH($A$185,BD!$Y$22:$AS$22,0))),"")</f>
        <v/>
      </c>
      <c r="E202" s="230"/>
      <c r="F202" s="231" t="str">
        <f>IF(F$3="","",IF(COUNTIFS(BD!$A$3:$A$5001,F$3,BD!$B$3:$B$5001,$A$185,BD!$S$3:$S$5001,"&lt;&gt;")=0,"",SUMIFS(BD!$S$3:$S$5001,BD!$A$3:$A$5001,F$3,BD!$B$3:$B$5001,$A$185)))</f>
        <v/>
      </c>
      <c r="G202" s="232" t="str">
        <f>IF(G$3="","",IF(COUNTIFS(BD!$A$3:$A$5001,G$3,BD!$B$3:$B$5001,$A$185,BD!$S$3:$S$5001,"&lt;&gt;")=0,"",SUMIFS(BD!$S$3:$S$5001,BD!$A$3:$A$5001,G$3,BD!$B$3:$B$5001,$A$185)))</f>
        <v/>
      </c>
      <c r="H202" s="232" t="str">
        <f>IF(H$3="","",IF(COUNTIFS(BD!$A$3:$A$5001,H$3,BD!$B$3:$B$5001,$A$185,BD!$S$3:$S$5001,"&lt;&gt;")=0,"",SUMIFS(BD!$S$3:$S$5001,BD!$A$3:$A$5001,H$3,BD!$B$3:$B$5001,$A$185)))</f>
        <v/>
      </c>
      <c r="I202" s="232" t="str">
        <f>IF(I$3="","",IF(COUNTIFS(BD!$A$3:$A$5001,I$3,BD!$B$3:$B$5001,$A$185,BD!$S$3:$S$5001,"&lt;&gt;")=0,"",SUMIFS(BD!$S$3:$S$5001,BD!$A$3:$A$5001,I$3,BD!$B$3:$B$5001,$A$185)))</f>
        <v/>
      </c>
      <c r="J202" s="232" t="str">
        <f>IF(J$3="","",IF(COUNTIFS(BD!$A$3:$A$5001,J$3,BD!$B$3:$B$5001,$A$185,BD!$S$3:$S$5001,"&lt;&gt;")=0,"",SUMIFS(BD!$S$3:$S$5001,BD!$A$3:$A$5001,J$3,BD!$B$3:$B$5001,$A$185)))</f>
        <v/>
      </c>
      <c r="K202" s="232" t="str">
        <f>IF(K$3="","",IF(COUNTIFS(BD!$A$3:$A$5001,K$3,BD!$B$3:$B$5001,$A$185,BD!$S$3:$S$5001,"&lt;&gt;")=0,"",SUMIFS(BD!$S$3:$S$5001,BD!$A$3:$A$5001,K$3,BD!$B$3:$B$5001,$A$185)))</f>
        <v/>
      </c>
      <c r="L202" s="232" t="str">
        <f>IF(L$3="","",IF(COUNTIFS(BD!$A$3:$A$5001,L$3,BD!$B$3:$B$5001,$A$185,BD!$S$3:$S$5001,"&lt;&gt;")=0,"",SUMIFS(BD!$S$3:$S$5001,BD!$A$3:$A$5001,L$3,BD!$B$3:$B$5001,$A$185)))</f>
        <v/>
      </c>
      <c r="M202" s="232" t="str">
        <f>IF(M$3="","",IF(COUNTIFS(BD!$A$3:$A$5001,M$3,BD!$B$3:$B$5001,$A$185,BD!$S$3:$S$5001,"&lt;&gt;")=0,"",SUMIFS(BD!$S$3:$S$5001,BD!$A$3:$A$5001,M$3,BD!$B$3:$B$5001,$A$185)))</f>
        <v/>
      </c>
      <c r="N202" s="232" t="str">
        <f>IF(N$3="","",IF(COUNTIFS(BD!$A$3:$A$5001,N$3,BD!$B$3:$B$5001,$A$185,BD!$S$3:$S$5001,"&lt;&gt;")=0,"",SUMIFS(BD!$S$3:$S$5001,BD!$A$3:$A$5001,N$3,BD!$B$3:$B$5001,$A$185)))</f>
        <v/>
      </c>
      <c r="O202" s="232" t="str">
        <f>IF(O$3="","",IF(COUNTIFS(BD!$A$3:$A$5001,O$3,BD!$B$3:$B$5001,$A$185,BD!$S$3:$S$5001,"&lt;&gt;")=0,"",SUMIFS(BD!$S$3:$S$5001,BD!$A$3:$A$5001,O$3,BD!$B$3:$B$5001,$A$185)))</f>
        <v/>
      </c>
      <c r="P202" s="232" t="str">
        <f>IF(P$3="","",IF(COUNTIFS(BD!$A$3:$A$5001,P$3,BD!$B$3:$B$5001,$A$185,BD!$S$3:$S$5001,"&lt;&gt;")=0,"",SUMIFS(BD!$S$3:$S$5001,BD!$A$3:$A$5001,P$3,BD!$B$3:$B$5001,$A$185)))</f>
        <v/>
      </c>
      <c r="Q202" s="232" t="str">
        <f>IF(Q$3="","",IF(COUNTIFS(BD!$A$3:$A$5001,Q$3,BD!$B$3:$B$5001,$A$185,BD!$S$3:$S$5001,"&lt;&gt;")=0,"",SUMIFS(BD!$S$3:$S$5001,BD!$A$3:$A$5001,Q$3,BD!$B$3:$B$5001,$A$185)))</f>
        <v/>
      </c>
      <c r="R202" s="232" t="str">
        <f>IF(R$3="","",IF(COUNTIFS(BD!$A$3:$A$5001,R$3,BD!$B$3:$B$5001,$A$185,BD!$S$3:$S$5001,"&lt;&gt;")=0,"",SUMIFS(BD!$S$3:$S$5001,BD!$A$3:$A$5001,R$3,BD!$B$3:$B$5001,$A$185)))</f>
        <v/>
      </c>
      <c r="S202" s="232" t="str">
        <f>IF(S$3="","",IF(COUNTIFS(BD!$A$3:$A$5001,S$3,BD!$B$3:$B$5001,$A$185,BD!$S$3:$S$5001,"&lt;&gt;")=0,"",SUMIFS(BD!$S$3:$S$5001,BD!$A$3:$A$5001,S$3,BD!$B$3:$B$5001,$A$185)))</f>
        <v/>
      </c>
      <c r="T202" s="232" t="str">
        <f>IF(T$3="","",IF(COUNTIFS(BD!$A$3:$A$5001,T$3,BD!$B$3:$B$5001,$A$185,BD!$S$3:$S$5001,"&lt;&gt;")=0,"",SUMIFS(BD!$S$3:$S$5001,BD!$A$3:$A$5001,T$3,BD!$B$3:$B$5001,$A$185)))</f>
        <v/>
      </c>
      <c r="U202" s="232" t="str">
        <f>IF(U$3="","",IF(COUNTIFS(BD!$A$3:$A$5001,U$3,BD!$B$3:$B$5001,$A$185,BD!$S$3:$S$5001,"&lt;&gt;")=0,"",SUMIFS(BD!$S$3:$S$5001,BD!$A$3:$A$5001,U$3,BD!$B$3:$B$5001,$A$185)))</f>
        <v/>
      </c>
      <c r="V202" s="232" t="str">
        <f>IF(V$3="","",IF(COUNTIFS(BD!$A$3:$A$5001,V$3,BD!$B$3:$B$5001,$A$185,BD!$S$3:$S$5001,"&lt;&gt;")=0,"",SUMIFS(BD!$S$3:$S$5001,BD!$A$3:$A$5001,V$3,BD!$B$3:$B$5001,$A$185)))</f>
        <v/>
      </c>
      <c r="W202" s="232" t="str">
        <f>IF(W$3="","",IF(COUNTIFS(BD!$A$3:$A$5001,W$3,BD!$B$3:$B$5001,$A$185,BD!$S$3:$S$5001,"&lt;&gt;")=0,"",SUMIFS(BD!$S$3:$S$5001,BD!$A$3:$A$5001,W$3,BD!$B$3:$B$5001,$A$185)))</f>
        <v/>
      </c>
      <c r="X202" s="232" t="str">
        <f>IF(X$3="","",IF(COUNTIFS(BD!$A$3:$A$5001,X$3,BD!$B$3:$B$5001,$A$185,BD!$S$3:$S$5001,"&lt;&gt;")=0,"",SUMIFS(BD!$S$3:$S$5001,BD!$A$3:$A$5001,X$3,BD!$B$3:$B$5001,$A$185)))</f>
        <v/>
      </c>
      <c r="Y202" s="232" t="str">
        <f>IF(Y$3="","",IF(COUNTIFS(BD!$A$3:$A$5001,Y$3,BD!$B$3:$B$5001,$A$185,BD!$S$3:$S$5001,"&lt;&gt;")=0,"",SUMIFS(BD!$S$3:$S$5001,BD!$A$3:$A$5001,Y$3,BD!$B$3:$B$5001,$A$185)))</f>
        <v/>
      </c>
      <c r="Z202" s="232" t="str">
        <f>IF(Z$3="","",IF(COUNTIFS(BD!$A$3:$A$5001,Z$3,BD!$B$3:$B$5001,$A$185,BD!$S$3:$S$5001,"&lt;&gt;")=0,"",SUMIFS(BD!$S$3:$S$5001,BD!$A$3:$A$5001,Z$3,BD!$B$3:$B$5001,$A$185)))</f>
        <v/>
      </c>
      <c r="AA202" s="232" t="str">
        <f>IF(AA$3="","",IF(COUNTIFS(BD!$A$3:$A$5001,AA$3,BD!$B$3:$B$5001,$A$185,BD!$S$3:$S$5001,"&lt;&gt;")=0,"",SUMIFS(BD!$S$3:$S$5001,BD!$A$3:$A$5001,AA$3,BD!$B$3:$B$5001,$A$185)))</f>
        <v/>
      </c>
      <c r="AB202" s="232" t="str">
        <f>IF(AB$3="","",IF(COUNTIFS(BD!$A$3:$A$5001,AB$3,BD!$B$3:$B$5001,$A$185,BD!$S$3:$S$5001,"&lt;&gt;")=0,"",SUMIFS(BD!$S$3:$S$5001,BD!$A$3:$A$5001,AB$3,BD!$B$3:$B$5001,$A$185)))</f>
        <v/>
      </c>
      <c r="AC202" s="232" t="str">
        <f>IF(AC$3="","",IF(COUNTIFS(BD!$A$3:$A$5001,AC$3,BD!$B$3:$B$5001,$A$185,BD!$S$3:$S$5001,"&lt;&gt;")=0,"",SUMIFS(BD!$S$3:$S$5001,BD!$A$3:$A$5001,AC$3,BD!$B$3:$B$5001,$A$185)))</f>
        <v/>
      </c>
      <c r="AD202" s="232" t="str">
        <f>IF(AD$3="","",IF(COUNTIFS(BD!$A$3:$A$5001,AD$3,BD!$B$3:$B$5001,$A$185,BD!$S$3:$S$5001,"&lt;&gt;")=0,"",SUMIFS(BD!$S$3:$S$5001,BD!$A$3:$A$5001,AD$3,BD!$B$3:$B$5001,$A$185)))</f>
        <v/>
      </c>
      <c r="AE202" s="232" t="str">
        <f>IF(AE$3="","",IF(COUNTIFS(BD!$A$3:$A$5001,AE$3,BD!$B$3:$B$5001,$A$185,BD!$S$3:$S$5001,"&lt;&gt;")=0,"",SUMIFS(BD!$S$3:$S$5001,BD!$A$3:$A$5001,AE$3,BD!$B$3:$B$5001,$A$185)))</f>
        <v/>
      </c>
      <c r="AF202" s="232" t="str">
        <f>IF(AF$3="","",IF(COUNTIFS(BD!$A$3:$A$5001,AF$3,BD!$B$3:$B$5001,$A$185,BD!$S$3:$S$5001,"&lt;&gt;")=0,"",SUMIFS(BD!$S$3:$S$5001,BD!$A$3:$A$5001,AF$3,BD!$B$3:$B$5001,$A$185)))</f>
        <v/>
      </c>
      <c r="AG202" s="232" t="str">
        <f>IF(AG$3="","",IF(COUNTIFS(BD!$A$3:$A$5001,AG$3,BD!$B$3:$B$5001,$A$185,BD!$S$3:$S$5001,"&lt;&gt;")=0,"",SUMIFS(BD!$S$3:$S$5001,BD!$A$3:$A$5001,AG$3,BD!$B$3:$B$5001,$A$185)))</f>
        <v/>
      </c>
      <c r="AH202" s="232" t="str">
        <f>IF(AH$3="","",IF(COUNTIFS(BD!$A$3:$A$5001,AH$3,BD!$B$3:$B$5001,$A$185,BD!$S$3:$S$5001,"&lt;&gt;")=0,"",SUMIFS(BD!$S$3:$S$5001,BD!$A$3:$A$5001,AH$3,BD!$B$3:$B$5001,$A$185)))</f>
        <v/>
      </c>
      <c r="AI202" s="232" t="str">
        <f>IF(AI$3="","",IF(COUNTIFS(BD!$A$3:$A$5001,AI$3,BD!$B$3:$B$5001,$A$185,BD!$S$3:$S$5001,"&lt;&gt;")=0,"",SUMIFS(BD!$S$3:$S$5001,BD!$A$3:$A$5001,AI$3,BD!$B$3:$B$5001,$A$185)))</f>
        <v/>
      </c>
      <c r="AJ202" s="233" t="str">
        <f>IF(AJ$3="","",IF(COUNTIFS(BD!$A$3:$A$5001,AJ$3,BD!$B$3:$B$5001,$A$185,BD!$S$3:$S$5001,"&lt;&gt;")=0,"",SUMIFS(BD!$S$3:$S$5001,BD!$A$3:$A$5001,AJ$3,BD!$B$3:$B$5001,$A$185)))</f>
        <v/>
      </c>
      <c r="AK202" s="234" t="str">
        <f>IF(COUNT(F202:AJ202)=0,"",SUM(F202:AJ202))</f>
        <v/>
      </c>
    </row>
    <row r="203" ht="15.75" customHeight="1" hidden="1">
      <c r="A203" s="254"/>
      <c r="B203" s="251"/>
      <c r="C203" s="228" t="inlineStr">
        <is>
          <t xml:space="preserve">Acidentes CAF</t>
        </is>
      </c>
      <c r="D203" s="229" t="str">
        <f>IFERROR(1/(1/INDEX(BD!$Y$41:$AS$41,MATCH($A$185,BD!$Y$22:$AS$22,0))),"")</f>
        <v/>
      </c>
      <c r="E203" s="230"/>
      <c r="F203" s="231" t="str">
        <f>IF(F$3="","",IF(COUNTIFS(BD!$A$3:$A$5001,F$3,BD!$B$3:$B$5001,$A$185,BD!$T$3:$T$5001,"&lt;&gt;")=0,"",SUMIFS(BD!$T$3:$T$5001,BD!$A$3:$A$5001,F$3,BD!$B$3:$B$5001,$A$185)))</f>
        <v/>
      </c>
      <c r="G203" s="232" t="str">
        <f>IF(G$3="","",IF(COUNTIFS(BD!$A$3:$A$5001,G$3,BD!$B$3:$B$5001,$A$185,BD!$T$3:$T$5001,"&lt;&gt;")=0,"",SUMIFS(BD!$T$3:$T$5001,BD!$A$3:$A$5001,G$3,BD!$B$3:$B$5001,$A$185)))</f>
        <v/>
      </c>
      <c r="H203" s="232" t="str">
        <f>IF(H$3="","",IF(COUNTIFS(BD!$A$3:$A$5001,H$3,BD!$B$3:$B$5001,$A$185,BD!$T$3:$T$5001,"&lt;&gt;")=0,"",SUMIFS(BD!$T$3:$T$5001,BD!$A$3:$A$5001,H$3,BD!$B$3:$B$5001,$A$185)))</f>
        <v/>
      </c>
      <c r="I203" s="232" t="str">
        <f>IF(I$3="","",IF(COUNTIFS(BD!$A$3:$A$5001,I$3,BD!$B$3:$B$5001,$A$185,BD!$T$3:$T$5001,"&lt;&gt;")=0,"",SUMIFS(BD!$T$3:$T$5001,BD!$A$3:$A$5001,I$3,BD!$B$3:$B$5001,$A$185)))</f>
        <v/>
      </c>
      <c r="J203" s="232" t="str">
        <f>IF(J$3="","",IF(COUNTIFS(BD!$A$3:$A$5001,J$3,BD!$B$3:$B$5001,$A$185,BD!$T$3:$T$5001,"&lt;&gt;")=0,"",SUMIFS(BD!$T$3:$T$5001,BD!$A$3:$A$5001,J$3,BD!$B$3:$B$5001,$A$185)))</f>
        <v/>
      </c>
      <c r="K203" s="232" t="str">
        <f>IF(K$3="","",IF(COUNTIFS(BD!$A$3:$A$5001,K$3,BD!$B$3:$B$5001,$A$185,BD!$T$3:$T$5001,"&lt;&gt;")=0,"",SUMIFS(BD!$T$3:$T$5001,BD!$A$3:$A$5001,K$3,BD!$B$3:$B$5001,$A$185)))</f>
        <v/>
      </c>
      <c r="L203" s="232" t="str">
        <f>IF(L$3="","",IF(COUNTIFS(BD!$A$3:$A$5001,L$3,BD!$B$3:$B$5001,$A$185,BD!$T$3:$T$5001,"&lt;&gt;")=0,"",SUMIFS(BD!$T$3:$T$5001,BD!$A$3:$A$5001,L$3,BD!$B$3:$B$5001,$A$185)))</f>
        <v/>
      </c>
      <c r="M203" s="232" t="str">
        <f>IF(M$3="","",IF(COUNTIFS(BD!$A$3:$A$5001,M$3,BD!$B$3:$B$5001,$A$185,BD!$T$3:$T$5001,"&lt;&gt;")=0,"",SUMIFS(BD!$T$3:$T$5001,BD!$A$3:$A$5001,M$3,BD!$B$3:$B$5001,$A$185)))</f>
        <v/>
      </c>
      <c r="N203" s="232" t="str">
        <f>IF(N$3="","",IF(COUNTIFS(BD!$A$3:$A$5001,N$3,BD!$B$3:$B$5001,$A$185,BD!$T$3:$T$5001,"&lt;&gt;")=0,"",SUMIFS(BD!$T$3:$T$5001,BD!$A$3:$A$5001,N$3,BD!$B$3:$B$5001,$A$185)))</f>
        <v/>
      </c>
      <c r="O203" s="232" t="str">
        <f>IF(O$3="","",IF(COUNTIFS(BD!$A$3:$A$5001,O$3,BD!$B$3:$B$5001,$A$185,BD!$T$3:$T$5001,"&lt;&gt;")=0,"",SUMIFS(BD!$T$3:$T$5001,BD!$A$3:$A$5001,O$3,BD!$B$3:$B$5001,$A$185)))</f>
        <v/>
      </c>
      <c r="P203" s="232" t="str">
        <f>IF(P$3="","",IF(COUNTIFS(BD!$A$3:$A$5001,P$3,BD!$B$3:$B$5001,$A$185,BD!$T$3:$T$5001,"&lt;&gt;")=0,"",SUMIFS(BD!$T$3:$T$5001,BD!$A$3:$A$5001,P$3,BD!$B$3:$B$5001,$A$185)))</f>
        <v/>
      </c>
      <c r="Q203" s="232" t="str">
        <f>IF(Q$3="","",IF(COUNTIFS(BD!$A$3:$A$5001,Q$3,BD!$B$3:$B$5001,$A$185,BD!$T$3:$T$5001,"&lt;&gt;")=0,"",SUMIFS(BD!$T$3:$T$5001,BD!$A$3:$A$5001,Q$3,BD!$B$3:$B$5001,$A$185)))</f>
        <v/>
      </c>
      <c r="R203" s="232" t="str">
        <f>IF(R$3="","",IF(COUNTIFS(BD!$A$3:$A$5001,R$3,BD!$B$3:$B$5001,$A$185,BD!$T$3:$T$5001,"&lt;&gt;")=0,"",SUMIFS(BD!$T$3:$T$5001,BD!$A$3:$A$5001,R$3,BD!$B$3:$B$5001,$A$185)))</f>
        <v/>
      </c>
      <c r="S203" s="232" t="str">
        <f>IF(S$3="","",IF(COUNTIFS(BD!$A$3:$A$5001,S$3,BD!$B$3:$B$5001,$A$185,BD!$T$3:$T$5001,"&lt;&gt;")=0,"",SUMIFS(BD!$T$3:$T$5001,BD!$A$3:$A$5001,S$3,BD!$B$3:$B$5001,$A$185)))</f>
        <v/>
      </c>
      <c r="T203" s="232" t="str">
        <f>IF(T$3="","",IF(COUNTIFS(BD!$A$3:$A$5001,T$3,BD!$B$3:$B$5001,$A$185,BD!$T$3:$T$5001,"&lt;&gt;")=0,"",SUMIFS(BD!$T$3:$T$5001,BD!$A$3:$A$5001,T$3,BD!$B$3:$B$5001,$A$185)))</f>
        <v/>
      </c>
      <c r="U203" s="232" t="str">
        <f>IF(U$3="","",IF(COUNTIFS(BD!$A$3:$A$5001,U$3,BD!$B$3:$B$5001,$A$185,BD!$T$3:$T$5001,"&lt;&gt;")=0,"",SUMIFS(BD!$T$3:$T$5001,BD!$A$3:$A$5001,U$3,BD!$B$3:$B$5001,$A$185)))</f>
        <v/>
      </c>
      <c r="V203" s="232" t="str">
        <f>IF(V$3="","",IF(COUNTIFS(BD!$A$3:$A$5001,V$3,BD!$B$3:$B$5001,$A$185,BD!$T$3:$T$5001,"&lt;&gt;")=0,"",SUMIFS(BD!$T$3:$T$5001,BD!$A$3:$A$5001,V$3,BD!$B$3:$B$5001,$A$185)))</f>
        <v/>
      </c>
      <c r="W203" s="232" t="str">
        <f>IF(W$3="","",IF(COUNTIFS(BD!$A$3:$A$5001,W$3,BD!$B$3:$B$5001,$A$185,BD!$T$3:$T$5001,"&lt;&gt;")=0,"",SUMIFS(BD!$T$3:$T$5001,BD!$A$3:$A$5001,W$3,BD!$B$3:$B$5001,$A$185)))</f>
        <v/>
      </c>
      <c r="X203" s="232" t="str">
        <f>IF(X$3="","",IF(COUNTIFS(BD!$A$3:$A$5001,X$3,BD!$B$3:$B$5001,$A$185,BD!$T$3:$T$5001,"&lt;&gt;")=0,"",SUMIFS(BD!$T$3:$T$5001,BD!$A$3:$A$5001,X$3,BD!$B$3:$B$5001,$A$185)))</f>
        <v/>
      </c>
      <c r="Y203" s="232" t="str">
        <f>IF(Y$3="","",IF(COUNTIFS(BD!$A$3:$A$5001,Y$3,BD!$B$3:$B$5001,$A$185,BD!$T$3:$T$5001,"&lt;&gt;")=0,"",SUMIFS(BD!$T$3:$T$5001,BD!$A$3:$A$5001,Y$3,BD!$B$3:$B$5001,$A$185)))</f>
        <v/>
      </c>
      <c r="Z203" s="232" t="str">
        <f>IF(Z$3="","",IF(COUNTIFS(BD!$A$3:$A$5001,Z$3,BD!$B$3:$B$5001,$A$185,BD!$T$3:$T$5001,"&lt;&gt;")=0,"",SUMIFS(BD!$T$3:$T$5001,BD!$A$3:$A$5001,Z$3,BD!$B$3:$B$5001,$A$185)))</f>
        <v/>
      </c>
      <c r="AA203" s="232" t="str">
        <f>IF(AA$3="","",IF(COUNTIFS(BD!$A$3:$A$5001,AA$3,BD!$B$3:$B$5001,$A$185,BD!$T$3:$T$5001,"&lt;&gt;")=0,"",SUMIFS(BD!$T$3:$T$5001,BD!$A$3:$A$5001,AA$3,BD!$B$3:$B$5001,$A$185)))</f>
        <v/>
      </c>
      <c r="AB203" s="232" t="str">
        <f>IF(AB$3="","",IF(COUNTIFS(BD!$A$3:$A$5001,AB$3,BD!$B$3:$B$5001,$A$185,BD!$T$3:$T$5001,"&lt;&gt;")=0,"",SUMIFS(BD!$T$3:$T$5001,BD!$A$3:$A$5001,AB$3,BD!$B$3:$B$5001,$A$185)))</f>
        <v/>
      </c>
      <c r="AC203" s="232" t="str">
        <f>IF(AC$3="","",IF(COUNTIFS(BD!$A$3:$A$5001,AC$3,BD!$B$3:$B$5001,$A$185,BD!$T$3:$T$5001,"&lt;&gt;")=0,"",SUMIFS(BD!$T$3:$T$5001,BD!$A$3:$A$5001,AC$3,BD!$B$3:$B$5001,$A$185)))</f>
        <v/>
      </c>
      <c r="AD203" s="232" t="str">
        <f>IF(AD$3="","",IF(COUNTIFS(BD!$A$3:$A$5001,AD$3,BD!$B$3:$B$5001,$A$185,BD!$T$3:$T$5001,"&lt;&gt;")=0,"",SUMIFS(BD!$T$3:$T$5001,BD!$A$3:$A$5001,AD$3,BD!$B$3:$B$5001,$A$185)))</f>
        <v/>
      </c>
      <c r="AE203" s="232" t="str">
        <f>IF(AE$3="","",IF(COUNTIFS(BD!$A$3:$A$5001,AE$3,BD!$B$3:$B$5001,$A$185,BD!$T$3:$T$5001,"&lt;&gt;")=0,"",SUMIFS(BD!$T$3:$T$5001,BD!$A$3:$A$5001,AE$3,BD!$B$3:$B$5001,$A$185)))</f>
        <v/>
      </c>
      <c r="AF203" s="232" t="str">
        <f>IF(AF$3="","",IF(COUNTIFS(BD!$A$3:$A$5001,AF$3,BD!$B$3:$B$5001,$A$185,BD!$T$3:$T$5001,"&lt;&gt;")=0,"",SUMIFS(BD!$T$3:$T$5001,BD!$A$3:$A$5001,AF$3,BD!$B$3:$B$5001,$A$185)))</f>
        <v/>
      </c>
      <c r="AG203" s="232" t="str">
        <f>IF(AG$3="","",IF(COUNTIFS(BD!$A$3:$A$5001,AG$3,BD!$B$3:$B$5001,$A$185,BD!$T$3:$T$5001,"&lt;&gt;")=0,"",SUMIFS(BD!$T$3:$T$5001,BD!$A$3:$A$5001,AG$3,BD!$B$3:$B$5001,$A$185)))</f>
        <v/>
      </c>
      <c r="AH203" s="232" t="str">
        <f>IF(AH$3="","",IF(COUNTIFS(BD!$A$3:$A$5001,AH$3,BD!$B$3:$B$5001,$A$185,BD!$T$3:$T$5001,"&lt;&gt;")=0,"",SUMIFS(BD!$T$3:$T$5001,BD!$A$3:$A$5001,AH$3,BD!$B$3:$B$5001,$A$185)))</f>
        <v/>
      </c>
      <c r="AI203" s="232" t="str">
        <f>IF(AI$3="","",IF(COUNTIFS(BD!$A$3:$A$5001,AI$3,BD!$B$3:$B$5001,$A$185,BD!$T$3:$T$5001,"&lt;&gt;")=0,"",SUMIFS(BD!$T$3:$T$5001,BD!$A$3:$A$5001,AI$3,BD!$B$3:$B$5001,$A$185)))</f>
        <v/>
      </c>
      <c r="AJ203" s="233" t="str">
        <f>IF(AJ$3="","",IF(COUNTIFS(BD!$A$3:$A$5001,AJ$3,BD!$B$3:$B$5001,$A$185,BD!$T$3:$T$5001,"&lt;&gt;")=0,"",SUMIFS(BD!$T$3:$T$5001,BD!$A$3:$A$5001,AJ$3,BD!$B$3:$B$5001,$A$185)))</f>
        <v/>
      </c>
      <c r="AK203" s="234" t="str">
        <f>IF(COUNT(F203:AJ203)=0,"",SUM(F203:AJ203))</f>
        <v/>
      </c>
    </row>
    <row r="204" ht="15.75" customHeight="1" hidden="1">
      <c r="A204" s="255"/>
      <c r="B204" s="252"/>
      <c r="C204" s="235" t="inlineStr">
        <is>
          <t xml:space="preserve">Acidentes SAF</t>
        </is>
      </c>
      <c r="D204" s="236" t="str">
        <f>IFERROR(1/(1/INDEX(BD!$Y$42:$AS$42,MATCH($A$185,BD!$Y$22:$AS$22,0))),"")</f>
        <v/>
      </c>
      <c r="E204" s="237"/>
      <c r="F204" s="238" t="str">
        <f>IF(F$3="","",IF(COUNTIFS(BD!$A$3:$A$5001,F$3,BD!$B$3:$B$5001,$A$185,BD!$U$3:$U$5001,"&lt;&gt;")=0,"",SUMIFS(BD!$U$3:$U$5001,BD!$A$3:$A$5001,F$3,BD!$B$3:$B$5001,$A$185)))</f>
        <v/>
      </c>
      <c r="G204" s="239" t="str">
        <f>IF(G$3="","",IF(COUNTIFS(BD!$A$3:$A$5001,G$3,BD!$B$3:$B$5001,$A$185,BD!$U$3:$U$5001,"&lt;&gt;")=0,"",SUMIFS(BD!$U$3:$U$5001,BD!$A$3:$A$5001,G$3,BD!$B$3:$B$5001,$A$185)))</f>
        <v/>
      </c>
      <c r="H204" s="239" t="str">
        <f>IF(H$3="","",IF(COUNTIFS(BD!$A$3:$A$5001,H$3,BD!$B$3:$B$5001,$A$185,BD!$U$3:$U$5001,"&lt;&gt;")=0,"",SUMIFS(BD!$U$3:$U$5001,BD!$A$3:$A$5001,H$3,BD!$B$3:$B$5001,$A$185)))</f>
        <v/>
      </c>
      <c r="I204" s="239" t="str">
        <f>IF(I$3="","",IF(COUNTIFS(BD!$A$3:$A$5001,I$3,BD!$B$3:$B$5001,$A$185,BD!$U$3:$U$5001,"&lt;&gt;")=0,"",SUMIFS(BD!$U$3:$U$5001,BD!$A$3:$A$5001,I$3,BD!$B$3:$B$5001,$A$185)))</f>
        <v/>
      </c>
      <c r="J204" s="239" t="str">
        <f>IF(J$3="","",IF(COUNTIFS(BD!$A$3:$A$5001,J$3,BD!$B$3:$B$5001,$A$185,BD!$U$3:$U$5001,"&lt;&gt;")=0,"",SUMIFS(BD!$U$3:$U$5001,BD!$A$3:$A$5001,J$3,BD!$B$3:$B$5001,$A$185)))</f>
        <v/>
      </c>
      <c r="K204" s="239" t="str">
        <f>IF(K$3="","",IF(COUNTIFS(BD!$A$3:$A$5001,K$3,BD!$B$3:$B$5001,$A$185,BD!$U$3:$U$5001,"&lt;&gt;")=0,"",SUMIFS(BD!$U$3:$U$5001,BD!$A$3:$A$5001,K$3,BD!$B$3:$B$5001,$A$185)))</f>
        <v/>
      </c>
      <c r="L204" s="239" t="str">
        <f>IF(L$3="","",IF(COUNTIFS(BD!$A$3:$A$5001,L$3,BD!$B$3:$B$5001,$A$185,BD!$U$3:$U$5001,"&lt;&gt;")=0,"",SUMIFS(BD!$U$3:$U$5001,BD!$A$3:$A$5001,L$3,BD!$B$3:$B$5001,$A$185)))</f>
        <v/>
      </c>
      <c r="M204" s="239" t="str">
        <f>IF(M$3="","",IF(COUNTIFS(BD!$A$3:$A$5001,M$3,BD!$B$3:$B$5001,$A$185,BD!$U$3:$U$5001,"&lt;&gt;")=0,"",SUMIFS(BD!$U$3:$U$5001,BD!$A$3:$A$5001,M$3,BD!$B$3:$B$5001,$A$185)))</f>
        <v/>
      </c>
      <c r="N204" s="239" t="str">
        <f>IF(N$3="","",IF(COUNTIFS(BD!$A$3:$A$5001,N$3,BD!$B$3:$B$5001,$A$185,BD!$U$3:$U$5001,"&lt;&gt;")=0,"",SUMIFS(BD!$U$3:$U$5001,BD!$A$3:$A$5001,N$3,BD!$B$3:$B$5001,$A$185)))</f>
        <v/>
      </c>
      <c r="O204" s="239" t="str">
        <f>IF(O$3="","",IF(COUNTIFS(BD!$A$3:$A$5001,O$3,BD!$B$3:$B$5001,$A$185,BD!$U$3:$U$5001,"&lt;&gt;")=0,"",SUMIFS(BD!$U$3:$U$5001,BD!$A$3:$A$5001,O$3,BD!$B$3:$B$5001,$A$185)))</f>
        <v/>
      </c>
      <c r="P204" s="239" t="str">
        <f>IF(P$3="","",IF(COUNTIFS(BD!$A$3:$A$5001,P$3,BD!$B$3:$B$5001,$A$185,BD!$U$3:$U$5001,"&lt;&gt;")=0,"",SUMIFS(BD!$U$3:$U$5001,BD!$A$3:$A$5001,P$3,BD!$B$3:$B$5001,$A$185)))</f>
        <v/>
      </c>
      <c r="Q204" s="239" t="str">
        <f>IF(Q$3="","",IF(COUNTIFS(BD!$A$3:$A$5001,Q$3,BD!$B$3:$B$5001,$A$185,BD!$U$3:$U$5001,"&lt;&gt;")=0,"",SUMIFS(BD!$U$3:$U$5001,BD!$A$3:$A$5001,Q$3,BD!$B$3:$B$5001,$A$185)))</f>
        <v/>
      </c>
      <c r="R204" s="239" t="str">
        <f>IF(R$3="","",IF(COUNTIFS(BD!$A$3:$A$5001,R$3,BD!$B$3:$B$5001,$A$185,BD!$U$3:$U$5001,"&lt;&gt;")=0,"",SUMIFS(BD!$U$3:$U$5001,BD!$A$3:$A$5001,R$3,BD!$B$3:$B$5001,$A$185)))</f>
        <v/>
      </c>
      <c r="S204" s="239" t="str">
        <f>IF(S$3="","",IF(COUNTIFS(BD!$A$3:$A$5001,S$3,BD!$B$3:$B$5001,$A$185,BD!$U$3:$U$5001,"&lt;&gt;")=0,"",SUMIFS(BD!$U$3:$U$5001,BD!$A$3:$A$5001,S$3,BD!$B$3:$B$5001,$A$185)))</f>
        <v/>
      </c>
      <c r="T204" s="239" t="str">
        <f>IF(T$3="","",IF(COUNTIFS(BD!$A$3:$A$5001,T$3,BD!$B$3:$B$5001,$A$185,BD!$U$3:$U$5001,"&lt;&gt;")=0,"",SUMIFS(BD!$U$3:$U$5001,BD!$A$3:$A$5001,T$3,BD!$B$3:$B$5001,$A$185)))</f>
        <v/>
      </c>
      <c r="U204" s="239" t="str">
        <f>IF(U$3="","",IF(COUNTIFS(BD!$A$3:$A$5001,U$3,BD!$B$3:$B$5001,$A$185,BD!$U$3:$U$5001,"&lt;&gt;")=0,"",SUMIFS(BD!$U$3:$U$5001,BD!$A$3:$A$5001,U$3,BD!$B$3:$B$5001,$A$185)))</f>
        <v/>
      </c>
      <c r="V204" s="239" t="str">
        <f>IF(V$3="","",IF(COUNTIFS(BD!$A$3:$A$5001,V$3,BD!$B$3:$B$5001,$A$185,BD!$U$3:$U$5001,"&lt;&gt;")=0,"",SUMIFS(BD!$U$3:$U$5001,BD!$A$3:$A$5001,V$3,BD!$B$3:$B$5001,$A$185)))</f>
        <v/>
      </c>
      <c r="W204" s="239" t="str">
        <f>IF(W$3="","",IF(COUNTIFS(BD!$A$3:$A$5001,W$3,BD!$B$3:$B$5001,$A$185,BD!$U$3:$U$5001,"&lt;&gt;")=0,"",SUMIFS(BD!$U$3:$U$5001,BD!$A$3:$A$5001,W$3,BD!$B$3:$B$5001,$A$185)))</f>
        <v/>
      </c>
      <c r="X204" s="239" t="str">
        <f>IF(X$3="","",IF(COUNTIFS(BD!$A$3:$A$5001,X$3,BD!$B$3:$B$5001,$A$185,BD!$U$3:$U$5001,"&lt;&gt;")=0,"",SUMIFS(BD!$U$3:$U$5001,BD!$A$3:$A$5001,X$3,BD!$B$3:$B$5001,$A$185)))</f>
        <v/>
      </c>
      <c r="Y204" s="239" t="str">
        <f>IF(Y$3="","",IF(COUNTIFS(BD!$A$3:$A$5001,Y$3,BD!$B$3:$B$5001,$A$185,BD!$U$3:$U$5001,"&lt;&gt;")=0,"",SUMIFS(BD!$U$3:$U$5001,BD!$A$3:$A$5001,Y$3,BD!$B$3:$B$5001,$A$185)))</f>
        <v/>
      </c>
      <c r="Z204" s="239" t="str">
        <f>IF(Z$3="","",IF(COUNTIFS(BD!$A$3:$A$5001,Z$3,BD!$B$3:$B$5001,$A$185,BD!$U$3:$U$5001,"&lt;&gt;")=0,"",SUMIFS(BD!$U$3:$U$5001,BD!$A$3:$A$5001,Z$3,BD!$B$3:$B$5001,$A$185)))</f>
        <v/>
      </c>
      <c r="AA204" s="239" t="str">
        <f>IF(AA$3="","",IF(COUNTIFS(BD!$A$3:$A$5001,AA$3,BD!$B$3:$B$5001,$A$185,BD!$U$3:$U$5001,"&lt;&gt;")=0,"",SUMIFS(BD!$U$3:$U$5001,BD!$A$3:$A$5001,AA$3,BD!$B$3:$B$5001,$A$185)))</f>
        <v/>
      </c>
      <c r="AB204" s="239" t="str">
        <f>IF(AB$3="","",IF(COUNTIFS(BD!$A$3:$A$5001,AB$3,BD!$B$3:$B$5001,$A$185,BD!$U$3:$U$5001,"&lt;&gt;")=0,"",SUMIFS(BD!$U$3:$U$5001,BD!$A$3:$A$5001,AB$3,BD!$B$3:$B$5001,$A$185)))</f>
        <v/>
      </c>
      <c r="AC204" s="239" t="str">
        <f>IF(AC$3="","",IF(COUNTIFS(BD!$A$3:$A$5001,AC$3,BD!$B$3:$B$5001,$A$185,BD!$U$3:$U$5001,"&lt;&gt;")=0,"",SUMIFS(BD!$U$3:$U$5001,BD!$A$3:$A$5001,AC$3,BD!$B$3:$B$5001,$A$185)))</f>
        <v/>
      </c>
      <c r="AD204" s="239" t="str">
        <f>IF(AD$3="","",IF(COUNTIFS(BD!$A$3:$A$5001,AD$3,BD!$B$3:$B$5001,$A$185,BD!$U$3:$U$5001,"&lt;&gt;")=0,"",SUMIFS(BD!$U$3:$U$5001,BD!$A$3:$A$5001,AD$3,BD!$B$3:$B$5001,$A$185)))</f>
        <v/>
      </c>
      <c r="AE204" s="239" t="str">
        <f>IF(AE$3="","",IF(COUNTIFS(BD!$A$3:$A$5001,AE$3,BD!$B$3:$B$5001,$A$185,BD!$U$3:$U$5001,"&lt;&gt;")=0,"",SUMIFS(BD!$U$3:$U$5001,BD!$A$3:$A$5001,AE$3,BD!$B$3:$B$5001,$A$185)))</f>
        <v/>
      </c>
      <c r="AF204" s="239" t="str">
        <f>IF(AF$3="","",IF(COUNTIFS(BD!$A$3:$A$5001,AF$3,BD!$B$3:$B$5001,$A$185,BD!$U$3:$U$5001,"&lt;&gt;")=0,"",SUMIFS(BD!$U$3:$U$5001,BD!$A$3:$A$5001,AF$3,BD!$B$3:$B$5001,$A$185)))</f>
        <v/>
      </c>
      <c r="AG204" s="239" t="str">
        <f>IF(AG$3="","",IF(COUNTIFS(BD!$A$3:$A$5001,AG$3,BD!$B$3:$B$5001,$A$185,BD!$U$3:$U$5001,"&lt;&gt;")=0,"",SUMIFS(BD!$U$3:$U$5001,BD!$A$3:$A$5001,AG$3,BD!$B$3:$B$5001,$A$185)))</f>
        <v/>
      </c>
      <c r="AH204" s="239" t="str">
        <f>IF(AH$3="","",IF(COUNTIFS(BD!$A$3:$A$5001,AH$3,BD!$B$3:$B$5001,$A$185,BD!$U$3:$U$5001,"&lt;&gt;")=0,"",SUMIFS(BD!$U$3:$U$5001,BD!$A$3:$A$5001,AH$3,BD!$B$3:$B$5001,$A$185)))</f>
        <v/>
      </c>
      <c r="AI204" s="239" t="str">
        <f>IF(AI$3="","",IF(COUNTIFS(BD!$A$3:$A$5001,AI$3,BD!$B$3:$B$5001,$A$185,BD!$U$3:$U$5001,"&lt;&gt;")=0,"",SUMIFS(BD!$U$3:$U$5001,BD!$A$3:$A$5001,AI$3,BD!$B$3:$B$5001,$A$185)))</f>
        <v/>
      </c>
      <c r="AJ204" s="240" t="str">
        <f>IF(AJ$3="","",IF(COUNTIFS(BD!$A$3:$A$5001,AJ$3,BD!$B$3:$B$5001,$A$185,BD!$U$3:$U$5001,"&lt;&gt;")=0,"",SUMIFS(BD!$U$3:$U$5001,BD!$A$3:$A$5001,AJ$3,BD!$B$3:$B$5001,$A$185)))</f>
        <v/>
      </c>
      <c r="AK204" s="236" t="str">
        <f>IF(COUNT(F204:AJ204)=0,"",SUM(F204:AJ204))</f>
        <v/>
      </c>
    </row>
    <row r="206" ht="15.75" customHeight="1" hidden="1">
      <c r="A206" s="253"/>
      <c r="B206" s="241" t="inlineStr">
        <is>
          <t xml:space="preserve">IN</t>
        </is>
      </c>
      <c r="C206" s="155" t="inlineStr">
        <is>
          <t xml:space="preserve">Veículos Recebidos</t>
        </is>
      </c>
      <c r="D206" s="156" t="str">
        <f>IFERROR(1/(1/INDEX(BD!$Y$23:$AS$23,MATCH($A$206,BD!$Y$22:$AS$22,0))),"")</f>
        <v/>
      </c>
      <c r="E206" s="157"/>
      <c r="F206" s="158" t="str">
        <f>IF(F$3="","",IF(COUNTIFS(BD!$A$3:$A$5001,F$3,BD!$B$3:$B$5001,$A$206,BD!$C$3:$C$5001,"&lt;&gt;")=0,"",SUMIFS(BD!$C$3:$C$5001,BD!$A$3:$A$5001,F$3,BD!$B$3:$B$5001,$A$206)))</f>
        <v/>
      </c>
      <c r="G206" s="159" t="str">
        <f>IF(G$3="","",IF(COUNTIFS(BD!$A$3:$A$5001,G$3,BD!$B$3:$B$5001,$A$206,BD!$C$3:$C$5001,"&lt;&gt;")=0,"",SUMIFS(BD!$C$3:$C$5001,BD!$A$3:$A$5001,G$3,BD!$B$3:$B$5001,$A$206)))</f>
        <v/>
      </c>
      <c r="H206" s="159" t="str">
        <f>IF(H$3="","",IF(COUNTIFS(BD!$A$3:$A$5001,H$3,BD!$B$3:$B$5001,$A$206,BD!$C$3:$C$5001,"&lt;&gt;")=0,"",SUMIFS(BD!$C$3:$C$5001,BD!$A$3:$A$5001,H$3,BD!$B$3:$B$5001,$A$206)))</f>
        <v/>
      </c>
      <c r="I206" s="159" t="str">
        <f>IF(I$3="","",IF(COUNTIFS(BD!$A$3:$A$5001,I$3,BD!$B$3:$B$5001,$A$206,BD!$C$3:$C$5001,"&lt;&gt;")=0,"",SUMIFS(BD!$C$3:$C$5001,BD!$A$3:$A$5001,I$3,BD!$B$3:$B$5001,$A$206)))</f>
        <v/>
      </c>
      <c r="J206" s="159" t="str">
        <f>IF(J$3="","",IF(COUNTIFS(BD!$A$3:$A$5001,J$3,BD!$B$3:$B$5001,$A$206,BD!$C$3:$C$5001,"&lt;&gt;")=0,"",SUMIFS(BD!$C$3:$C$5001,BD!$A$3:$A$5001,J$3,BD!$B$3:$B$5001,$A$206)))</f>
        <v/>
      </c>
      <c r="K206" s="159" t="str">
        <f>IF(K$3="","",IF(COUNTIFS(BD!$A$3:$A$5001,K$3,BD!$B$3:$B$5001,$A$206,BD!$C$3:$C$5001,"&lt;&gt;")=0,"",SUMIFS(BD!$C$3:$C$5001,BD!$A$3:$A$5001,K$3,BD!$B$3:$B$5001,$A$206)))</f>
        <v/>
      </c>
      <c r="L206" s="159" t="str">
        <f>IF(L$3="","",IF(COUNTIFS(BD!$A$3:$A$5001,L$3,BD!$B$3:$B$5001,$A$206,BD!$C$3:$C$5001,"&lt;&gt;")=0,"",SUMIFS(BD!$C$3:$C$5001,BD!$A$3:$A$5001,L$3,BD!$B$3:$B$5001,$A$206)))</f>
        <v/>
      </c>
      <c r="M206" s="159" t="str">
        <f>IF(M$3="","",IF(COUNTIFS(BD!$A$3:$A$5001,M$3,BD!$B$3:$B$5001,$A$206,BD!$C$3:$C$5001,"&lt;&gt;")=0,"",SUMIFS(BD!$C$3:$C$5001,BD!$A$3:$A$5001,M$3,BD!$B$3:$B$5001,$A$206)))</f>
        <v/>
      </c>
      <c r="N206" s="159" t="str">
        <f>IF(N$3="","",IF(COUNTIFS(BD!$A$3:$A$5001,N$3,BD!$B$3:$B$5001,$A$206,BD!$C$3:$C$5001,"&lt;&gt;")=0,"",SUMIFS(BD!$C$3:$C$5001,BD!$A$3:$A$5001,N$3,BD!$B$3:$B$5001,$A$206)))</f>
        <v/>
      </c>
      <c r="O206" s="159" t="str">
        <f>IF(O$3="","",IF(COUNTIFS(BD!$A$3:$A$5001,O$3,BD!$B$3:$B$5001,$A$206,BD!$C$3:$C$5001,"&lt;&gt;")=0,"",SUMIFS(BD!$C$3:$C$5001,BD!$A$3:$A$5001,O$3,BD!$B$3:$B$5001,$A$206)))</f>
        <v/>
      </c>
      <c r="P206" s="159" t="str">
        <f>IF(P$3="","",IF(COUNTIFS(BD!$A$3:$A$5001,P$3,BD!$B$3:$B$5001,$A$206,BD!$C$3:$C$5001,"&lt;&gt;")=0,"",SUMIFS(BD!$C$3:$C$5001,BD!$A$3:$A$5001,P$3,BD!$B$3:$B$5001,$A$206)))</f>
        <v/>
      </c>
      <c r="Q206" s="159" t="str">
        <f>IF(Q$3="","",IF(COUNTIFS(BD!$A$3:$A$5001,Q$3,BD!$B$3:$B$5001,$A$206,BD!$C$3:$C$5001,"&lt;&gt;")=0,"",SUMIFS(BD!$C$3:$C$5001,BD!$A$3:$A$5001,Q$3,BD!$B$3:$B$5001,$A$206)))</f>
        <v/>
      </c>
      <c r="R206" s="159" t="str">
        <f>IF(R$3="","",IF(COUNTIFS(BD!$A$3:$A$5001,R$3,BD!$B$3:$B$5001,$A$206,BD!$C$3:$C$5001,"&lt;&gt;")=0,"",SUMIFS(BD!$C$3:$C$5001,BD!$A$3:$A$5001,R$3,BD!$B$3:$B$5001,$A$206)))</f>
        <v/>
      </c>
      <c r="S206" s="159" t="str">
        <f>IF(S$3="","",IF(COUNTIFS(BD!$A$3:$A$5001,S$3,BD!$B$3:$B$5001,$A$206,BD!$C$3:$C$5001,"&lt;&gt;")=0,"",SUMIFS(BD!$C$3:$C$5001,BD!$A$3:$A$5001,S$3,BD!$B$3:$B$5001,$A$206)))</f>
        <v/>
      </c>
      <c r="T206" s="159" t="str">
        <f>IF(T$3="","",IF(COUNTIFS(BD!$A$3:$A$5001,T$3,BD!$B$3:$B$5001,$A$206,BD!$C$3:$C$5001,"&lt;&gt;")=0,"",SUMIFS(BD!$C$3:$C$5001,BD!$A$3:$A$5001,T$3,BD!$B$3:$B$5001,$A$206)))</f>
        <v/>
      </c>
      <c r="U206" s="159" t="str">
        <f>IF(U$3="","",IF(COUNTIFS(BD!$A$3:$A$5001,U$3,BD!$B$3:$B$5001,$A$206,BD!$C$3:$C$5001,"&lt;&gt;")=0,"",SUMIFS(BD!$C$3:$C$5001,BD!$A$3:$A$5001,U$3,BD!$B$3:$B$5001,$A$206)))</f>
        <v/>
      </c>
      <c r="V206" s="159" t="str">
        <f>IF(V$3="","",IF(COUNTIFS(BD!$A$3:$A$5001,V$3,BD!$B$3:$B$5001,$A$206,BD!$C$3:$C$5001,"&lt;&gt;")=0,"",SUMIFS(BD!$C$3:$C$5001,BD!$A$3:$A$5001,V$3,BD!$B$3:$B$5001,$A$206)))</f>
        <v/>
      </c>
      <c r="W206" s="159" t="str">
        <f>IF(W$3="","",IF(COUNTIFS(BD!$A$3:$A$5001,W$3,BD!$B$3:$B$5001,$A$206,BD!$C$3:$C$5001,"&lt;&gt;")=0,"",SUMIFS(BD!$C$3:$C$5001,BD!$A$3:$A$5001,W$3,BD!$B$3:$B$5001,$A$206)))</f>
        <v/>
      </c>
      <c r="X206" s="159" t="str">
        <f>IF(X$3="","",IF(COUNTIFS(BD!$A$3:$A$5001,X$3,BD!$B$3:$B$5001,$A$206,BD!$C$3:$C$5001,"&lt;&gt;")=0,"",SUMIFS(BD!$C$3:$C$5001,BD!$A$3:$A$5001,X$3,BD!$B$3:$B$5001,$A$206)))</f>
        <v/>
      </c>
      <c r="Y206" s="159" t="str">
        <f>IF(Y$3="","",IF(COUNTIFS(BD!$A$3:$A$5001,Y$3,BD!$B$3:$B$5001,$A$206,BD!$C$3:$C$5001,"&lt;&gt;")=0,"",SUMIFS(BD!$C$3:$C$5001,BD!$A$3:$A$5001,Y$3,BD!$B$3:$B$5001,$A$206)))</f>
        <v/>
      </c>
      <c r="Z206" s="159" t="str">
        <f>IF(Z$3="","",IF(COUNTIFS(BD!$A$3:$A$5001,Z$3,BD!$B$3:$B$5001,$A$206,BD!$C$3:$C$5001,"&lt;&gt;")=0,"",SUMIFS(BD!$C$3:$C$5001,BD!$A$3:$A$5001,Z$3,BD!$B$3:$B$5001,$A$206)))</f>
        <v/>
      </c>
      <c r="AA206" s="159" t="str">
        <f>IF(AA$3="","",IF(COUNTIFS(BD!$A$3:$A$5001,AA$3,BD!$B$3:$B$5001,$A$206,BD!$C$3:$C$5001,"&lt;&gt;")=0,"",SUMIFS(BD!$C$3:$C$5001,BD!$A$3:$A$5001,AA$3,BD!$B$3:$B$5001,$A$206)))</f>
        <v/>
      </c>
      <c r="AB206" s="159" t="str">
        <f>IF(AB$3="","",IF(COUNTIFS(BD!$A$3:$A$5001,AB$3,BD!$B$3:$B$5001,$A$206,BD!$C$3:$C$5001,"&lt;&gt;")=0,"",SUMIFS(BD!$C$3:$C$5001,BD!$A$3:$A$5001,AB$3,BD!$B$3:$B$5001,$A$206)))</f>
        <v/>
      </c>
      <c r="AC206" s="159" t="str">
        <f>IF(AC$3="","",IF(COUNTIFS(BD!$A$3:$A$5001,AC$3,BD!$B$3:$B$5001,$A$206,BD!$C$3:$C$5001,"&lt;&gt;")=0,"",SUMIFS(BD!$C$3:$C$5001,BD!$A$3:$A$5001,AC$3,BD!$B$3:$B$5001,$A$206)))</f>
        <v/>
      </c>
      <c r="AD206" s="159" t="str">
        <f>IF(AD$3="","",IF(COUNTIFS(BD!$A$3:$A$5001,AD$3,BD!$B$3:$B$5001,$A$206,BD!$C$3:$C$5001,"&lt;&gt;")=0,"",SUMIFS(BD!$C$3:$C$5001,BD!$A$3:$A$5001,AD$3,BD!$B$3:$B$5001,$A$206)))</f>
        <v/>
      </c>
      <c r="AE206" s="159" t="str">
        <f>IF(AE$3="","",IF(COUNTIFS(BD!$A$3:$A$5001,AE$3,BD!$B$3:$B$5001,$A$206,BD!$C$3:$C$5001,"&lt;&gt;")=0,"",SUMIFS(BD!$C$3:$C$5001,BD!$A$3:$A$5001,AE$3,BD!$B$3:$B$5001,$A$206)))</f>
        <v/>
      </c>
      <c r="AF206" s="159" t="str">
        <f>IF(AF$3="","",IF(COUNTIFS(BD!$A$3:$A$5001,AF$3,BD!$B$3:$B$5001,$A$206,BD!$C$3:$C$5001,"&lt;&gt;")=0,"",SUMIFS(BD!$C$3:$C$5001,BD!$A$3:$A$5001,AF$3,BD!$B$3:$B$5001,$A$206)))</f>
        <v/>
      </c>
      <c r="AG206" s="159" t="str">
        <f>IF(AG$3="","",IF(COUNTIFS(BD!$A$3:$A$5001,AG$3,BD!$B$3:$B$5001,$A$206,BD!$C$3:$C$5001,"&lt;&gt;")=0,"",SUMIFS(BD!$C$3:$C$5001,BD!$A$3:$A$5001,AG$3,BD!$B$3:$B$5001,$A$206)))</f>
        <v/>
      </c>
      <c r="AH206" s="159" t="str">
        <f>IF(AH$3="","",IF(COUNTIFS(BD!$A$3:$A$5001,AH$3,BD!$B$3:$B$5001,$A$206,BD!$C$3:$C$5001,"&lt;&gt;")=0,"",SUMIFS(BD!$C$3:$C$5001,BD!$A$3:$A$5001,AH$3,BD!$B$3:$B$5001,$A$206)))</f>
        <v/>
      </c>
      <c r="AI206" s="159" t="str">
        <f>IF(AI$3="","",IF(COUNTIFS(BD!$A$3:$A$5001,AI$3,BD!$B$3:$B$5001,$A$206,BD!$C$3:$C$5001,"&lt;&gt;")=0,"",SUMIFS(BD!$C$3:$C$5001,BD!$A$3:$A$5001,AI$3,BD!$B$3:$B$5001,$A$206)))</f>
        <v/>
      </c>
      <c r="AJ206" s="160" t="str">
        <f>IF(AJ$3="","",IF(COUNTIFS(BD!$A$3:$A$5001,AJ$3,BD!$B$3:$B$5001,$A$206,BD!$C$3:$C$5001,"&lt;&gt;")=0,"",SUMIFS(BD!$C$3:$C$5001,BD!$A$3:$A$5001,AJ$3,BD!$B$3:$B$5001,$A$206)))</f>
        <v/>
      </c>
      <c r="AK206" s="161" t="str">
        <f>IF(COUNT(F206:AJ206)=0,"",SUM(F206:AJ206))</f>
        <v/>
      </c>
    </row>
    <row r="207" ht="15.75" customHeight="1" hidden="1">
      <c r="A207" s="254"/>
      <c r="B207" s="242"/>
      <c r="C207" s="162" t="inlineStr">
        <is>
          <t xml:space="preserve">Pallets Movimentados</t>
        </is>
      </c>
      <c r="D207" s="163" t="str">
        <f>IFERROR(1/(1/INDEX(BD!$Y$24:$AS$24,MATCH($A$206,BD!$Y$22:$AS$22,0))),"")</f>
        <v/>
      </c>
      <c r="E207" s="164"/>
      <c r="F207" s="165" t="str">
        <f>IF(F$3="","",IF(COUNTIFS(BD!$A$3:$A$5001,F$3,BD!$B$3:$B$5001,$A$206,BD!$D$3:$D$5001,"&lt;&gt;")=0,"",SUMIFS(BD!$D$3:$D$5001,BD!$A$3:$A$5001,F$3,BD!$B$3:$B$5001,$A$206)))</f>
        <v/>
      </c>
      <c r="G207" s="166" t="str">
        <f>IF(G$3="","",IF(COUNTIFS(BD!$A$3:$A$5001,G$3,BD!$B$3:$B$5001,$A$206,BD!$D$3:$D$5001,"&lt;&gt;")=0,"",SUMIFS(BD!$D$3:$D$5001,BD!$A$3:$A$5001,G$3,BD!$B$3:$B$5001,$A$206)))</f>
        <v/>
      </c>
      <c r="H207" s="166" t="str">
        <f>IF(H$3="","",IF(COUNTIFS(BD!$A$3:$A$5001,H$3,BD!$B$3:$B$5001,$A$206,BD!$D$3:$D$5001,"&lt;&gt;")=0,"",SUMIFS(BD!$D$3:$D$5001,BD!$A$3:$A$5001,H$3,BD!$B$3:$B$5001,$A$206)))</f>
        <v/>
      </c>
      <c r="I207" s="166" t="str">
        <f>IF(I$3="","",IF(COUNTIFS(BD!$A$3:$A$5001,I$3,BD!$B$3:$B$5001,$A$206,BD!$D$3:$D$5001,"&lt;&gt;")=0,"",SUMIFS(BD!$D$3:$D$5001,BD!$A$3:$A$5001,I$3,BD!$B$3:$B$5001,$A$206)))</f>
        <v/>
      </c>
      <c r="J207" s="166" t="str">
        <f>IF(J$3="","",IF(COUNTIFS(BD!$A$3:$A$5001,J$3,BD!$B$3:$B$5001,$A$206,BD!$D$3:$D$5001,"&lt;&gt;")=0,"",SUMIFS(BD!$D$3:$D$5001,BD!$A$3:$A$5001,J$3,BD!$B$3:$B$5001,$A$206)))</f>
        <v/>
      </c>
      <c r="K207" s="166" t="str">
        <f>IF(K$3="","",IF(COUNTIFS(BD!$A$3:$A$5001,K$3,BD!$B$3:$B$5001,$A$206,BD!$D$3:$D$5001,"&lt;&gt;")=0,"",SUMIFS(BD!$D$3:$D$5001,BD!$A$3:$A$5001,K$3,BD!$B$3:$B$5001,$A$206)))</f>
        <v/>
      </c>
      <c r="L207" s="166" t="str">
        <f>IF(L$3="","",IF(COUNTIFS(BD!$A$3:$A$5001,L$3,BD!$B$3:$B$5001,$A$206,BD!$D$3:$D$5001,"&lt;&gt;")=0,"",SUMIFS(BD!$D$3:$D$5001,BD!$A$3:$A$5001,L$3,BD!$B$3:$B$5001,$A$206)))</f>
        <v/>
      </c>
      <c r="M207" s="166" t="str">
        <f>IF(M$3="","",IF(COUNTIFS(BD!$A$3:$A$5001,M$3,BD!$B$3:$B$5001,$A$206,BD!$D$3:$D$5001,"&lt;&gt;")=0,"",SUMIFS(BD!$D$3:$D$5001,BD!$A$3:$A$5001,M$3,BD!$B$3:$B$5001,$A$206)))</f>
        <v/>
      </c>
      <c r="N207" s="166" t="str">
        <f>IF(N$3="","",IF(COUNTIFS(BD!$A$3:$A$5001,N$3,BD!$B$3:$B$5001,$A$206,BD!$D$3:$D$5001,"&lt;&gt;")=0,"",SUMIFS(BD!$D$3:$D$5001,BD!$A$3:$A$5001,N$3,BD!$B$3:$B$5001,$A$206)))</f>
        <v/>
      </c>
      <c r="O207" s="166" t="str">
        <f>IF(O$3="","",IF(COUNTIFS(BD!$A$3:$A$5001,O$3,BD!$B$3:$B$5001,$A$206,BD!$D$3:$D$5001,"&lt;&gt;")=0,"",SUMIFS(BD!$D$3:$D$5001,BD!$A$3:$A$5001,O$3,BD!$B$3:$B$5001,$A$206)))</f>
        <v/>
      </c>
      <c r="P207" s="166" t="str">
        <f>IF(P$3="","",IF(COUNTIFS(BD!$A$3:$A$5001,P$3,BD!$B$3:$B$5001,$A$206,BD!$D$3:$D$5001,"&lt;&gt;")=0,"",SUMIFS(BD!$D$3:$D$5001,BD!$A$3:$A$5001,P$3,BD!$B$3:$B$5001,$A$206)))</f>
        <v/>
      </c>
      <c r="Q207" s="166" t="str">
        <f>IF(Q$3="","",IF(COUNTIFS(BD!$A$3:$A$5001,Q$3,BD!$B$3:$B$5001,$A$206,BD!$D$3:$D$5001,"&lt;&gt;")=0,"",SUMIFS(BD!$D$3:$D$5001,BD!$A$3:$A$5001,Q$3,BD!$B$3:$B$5001,$A$206)))</f>
        <v/>
      </c>
      <c r="R207" s="166" t="str">
        <f>IF(R$3="","",IF(COUNTIFS(BD!$A$3:$A$5001,R$3,BD!$B$3:$B$5001,$A$206,BD!$D$3:$D$5001,"&lt;&gt;")=0,"",SUMIFS(BD!$D$3:$D$5001,BD!$A$3:$A$5001,R$3,BD!$B$3:$B$5001,$A$206)))</f>
        <v/>
      </c>
      <c r="S207" s="166" t="str">
        <f>IF(S$3="","",IF(COUNTIFS(BD!$A$3:$A$5001,S$3,BD!$B$3:$B$5001,$A$206,BD!$D$3:$D$5001,"&lt;&gt;")=0,"",SUMIFS(BD!$D$3:$D$5001,BD!$A$3:$A$5001,S$3,BD!$B$3:$B$5001,$A$206)))</f>
        <v/>
      </c>
      <c r="T207" s="166" t="str">
        <f>IF(T$3="","",IF(COUNTIFS(BD!$A$3:$A$5001,T$3,BD!$B$3:$B$5001,$A$206,BD!$D$3:$D$5001,"&lt;&gt;")=0,"",SUMIFS(BD!$D$3:$D$5001,BD!$A$3:$A$5001,T$3,BD!$B$3:$B$5001,$A$206)))</f>
        <v/>
      </c>
      <c r="U207" s="166" t="str">
        <f>IF(U$3="","",IF(COUNTIFS(BD!$A$3:$A$5001,U$3,BD!$B$3:$B$5001,$A$206,BD!$D$3:$D$5001,"&lt;&gt;")=0,"",SUMIFS(BD!$D$3:$D$5001,BD!$A$3:$A$5001,U$3,BD!$B$3:$B$5001,$A$206)))</f>
        <v/>
      </c>
      <c r="V207" s="166" t="str">
        <f>IF(V$3="","",IF(COUNTIFS(BD!$A$3:$A$5001,V$3,BD!$B$3:$B$5001,$A$206,BD!$D$3:$D$5001,"&lt;&gt;")=0,"",SUMIFS(BD!$D$3:$D$5001,BD!$A$3:$A$5001,V$3,BD!$B$3:$B$5001,$A$206)))</f>
        <v/>
      </c>
      <c r="W207" s="166" t="str">
        <f>IF(W$3="","",IF(COUNTIFS(BD!$A$3:$A$5001,W$3,BD!$B$3:$B$5001,$A$206,BD!$D$3:$D$5001,"&lt;&gt;")=0,"",SUMIFS(BD!$D$3:$D$5001,BD!$A$3:$A$5001,W$3,BD!$B$3:$B$5001,$A$206)))</f>
        <v/>
      </c>
      <c r="X207" s="166" t="str">
        <f>IF(X$3="","",IF(COUNTIFS(BD!$A$3:$A$5001,X$3,BD!$B$3:$B$5001,$A$206,BD!$D$3:$D$5001,"&lt;&gt;")=0,"",SUMIFS(BD!$D$3:$D$5001,BD!$A$3:$A$5001,X$3,BD!$B$3:$B$5001,$A$206)))</f>
        <v/>
      </c>
      <c r="Y207" s="166" t="str">
        <f>IF(Y$3="","",IF(COUNTIFS(BD!$A$3:$A$5001,Y$3,BD!$B$3:$B$5001,$A$206,BD!$D$3:$D$5001,"&lt;&gt;")=0,"",SUMIFS(BD!$D$3:$D$5001,BD!$A$3:$A$5001,Y$3,BD!$B$3:$B$5001,$A$206)))</f>
        <v/>
      </c>
      <c r="Z207" s="166" t="str">
        <f>IF(Z$3="","",IF(COUNTIFS(BD!$A$3:$A$5001,Z$3,BD!$B$3:$B$5001,$A$206,BD!$D$3:$D$5001,"&lt;&gt;")=0,"",SUMIFS(BD!$D$3:$D$5001,BD!$A$3:$A$5001,Z$3,BD!$B$3:$B$5001,$A$206)))</f>
        <v/>
      </c>
      <c r="AA207" s="166" t="str">
        <f>IF(AA$3="","",IF(COUNTIFS(BD!$A$3:$A$5001,AA$3,BD!$B$3:$B$5001,$A$206,BD!$D$3:$D$5001,"&lt;&gt;")=0,"",SUMIFS(BD!$D$3:$D$5001,BD!$A$3:$A$5001,AA$3,BD!$B$3:$B$5001,$A$206)))</f>
        <v/>
      </c>
      <c r="AB207" s="166" t="str">
        <f>IF(AB$3="","",IF(COUNTIFS(BD!$A$3:$A$5001,AB$3,BD!$B$3:$B$5001,$A$206,BD!$D$3:$D$5001,"&lt;&gt;")=0,"",SUMIFS(BD!$D$3:$D$5001,BD!$A$3:$A$5001,AB$3,BD!$B$3:$B$5001,$A$206)))</f>
        <v/>
      </c>
      <c r="AC207" s="166" t="str">
        <f>IF(AC$3="","",IF(COUNTIFS(BD!$A$3:$A$5001,AC$3,BD!$B$3:$B$5001,$A$206,BD!$D$3:$D$5001,"&lt;&gt;")=0,"",SUMIFS(BD!$D$3:$D$5001,BD!$A$3:$A$5001,AC$3,BD!$B$3:$B$5001,$A$206)))</f>
        <v/>
      </c>
      <c r="AD207" s="166" t="str">
        <f>IF(AD$3="","",IF(COUNTIFS(BD!$A$3:$A$5001,AD$3,BD!$B$3:$B$5001,$A$206,BD!$D$3:$D$5001,"&lt;&gt;")=0,"",SUMIFS(BD!$D$3:$D$5001,BD!$A$3:$A$5001,AD$3,BD!$B$3:$B$5001,$A$206)))</f>
        <v/>
      </c>
      <c r="AE207" s="166" t="str">
        <f>IF(AE$3="","",IF(COUNTIFS(BD!$A$3:$A$5001,AE$3,BD!$B$3:$B$5001,$A$206,BD!$D$3:$D$5001,"&lt;&gt;")=0,"",SUMIFS(BD!$D$3:$D$5001,BD!$A$3:$A$5001,AE$3,BD!$B$3:$B$5001,$A$206)))</f>
        <v/>
      </c>
      <c r="AF207" s="166" t="str">
        <f>IF(AF$3="","",IF(COUNTIFS(BD!$A$3:$A$5001,AF$3,BD!$B$3:$B$5001,$A$206,BD!$D$3:$D$5001,"&lt;&gt;")=0,"",SUMIFS(BD!$D$3:$D$5001,BD!$A$3:$A$5001,AF$3,BD!$B$3:$B$5001,$A$206)))</f>
        <v/>
      </c>
      <c r="AG207" s="166" t="str">
        <f>IF(AG$3="","",IF(COUNTIFS(BD!$A$3:$A$5001,AG$3,BD!$B$3:$B$5001,$A$206,BD!$D$3:$D$5001,"&lt;&gt;")=0,"",SUMIFS(BD!$D$3:$D$5001,BD!$A$3:$A$5001,AG$3,BD!$B$3:$B$5001,$A$206)))</f>
        <v/>
      </c>
      <c r="AH207" s="166" t="str">
        <f>IF(AH$3="","",IF(COUNTIFS(BD!$A$3:$A$5001,AH$3,BD!$B$3:$B$5001,$A$206,BD!$D$3:$D$5001,"&lt;&gt;")=0,"",SUMIFS(BD!$D$3:$D$5001,BD!$A$3:$A$5001,AH$3,BD!$B$3:$B$5001,$A$206)))</f>
        <v/>
      </c>
      <c r="AI207" s="166" t="str">
        <f>IF(AI$3="","",IF(COUNTIFS(BD!$A$3:$A$5001,AI$3,BD!$B$3:$B$5001,$A$206,BD!$D$3:$D$5001,"&lt;&gt;")=0,"",SUMIFS(BD!$D$3:$D$5001,BD!$A$3:$A$5001,AI$3,BD!$B$3:$B$5001,$A$206)))</f>
        <v/>
      </c>
      <c r="AJ207" s="167" t="str">
        <f>IF(AJ$3="","",IF(COUNTIFS(BD!$A$3:$A$5001,AJ$3,BD!$B$3:$B$5001,$A$206,BD!$D$3:$D$5001,"&lt;&gt;")=0,"",SUMIFS(BD!$D$3:$D$5001,BD!$A$3:$A$5001,AJ$3,BD!$B$3:$B$5001,$A$206)))</f>
        <v/>
      </c>
      <c r="AK207" s="168" t="str">
        <f>IF(COUNT(F207:AJ207)=0,"",SUM(F207:AJ207))</f>
        <v/>
      </c>
    </row>
    <row r="208" ht="15.75" customHeight="1" hidden="1">
      <c r="A208" s="254"/>
      <c r="B208" s="243"/>
      <c r="C208" s="169" t="inlineStr">
        <is>
          <t xml:space="preserve">Toneladas Movimentadas</t>
        </is>
      </c>
      <c r="D208" s="170" t="str">
        <f>IFERROR(1/(1/INDEX(BD!$Y$25:$AS$25,MATCH($A$206,BD!$Y$22:$AS$22,0))),"")</f>
        <v/>
      </c>
      <c r="E208" s="171"/>
      <c r="F208" s="172" t="str">
        <f>IF(F$3="","",IF(COUNTIFS(BD!$A$3:$A$5001,F$3,BD!$B$3:$B$5001,$A$206,BD!$E$3:$E$5001,"&lt;&gt;")=0,"",SUMIFS(BD!$E$3:$E$5001,BD!$A$3:$A$5001,F$3,BD!$B$3:$B$5001,$A$206)))</f>
        <v/>
      </c>
      <c r="G208" s="173" t="str">
        <f>IF(G$3="","",IF(COUNTIFS(BD!$A$3:$A$5001,G$3,BD!$B$3:$B$5001,$A$206,BD!$E$3:$E$5001,"&lt;&gt;")=0,"",SUMIFS(BD!$E$3:$E$5001,BD!$A$3:$A$5001,G$3,BD!$B$3:$B$5001,$A$206)))</f>
        <v/>
      </c>
      <c r="H208" s="173" t="str">
        <f>IF(H$3="","",IF(COUNTIFS(BD!$A$3:$A$5001,H$3,BD!$B$3:$B$5001,$A$206,BD!$E$3:$E$5001,"&lt;&gt;")=0,"",SUMIFS(BD!$E$3:$E$5001,BD!$A$3:$A$5001,H$3,BD!$B$3:$B$5001,$A$206)))</f>
        <v/>
      </c>
      <c r="I208" s="173" t="str">
        <f>IF(I$3="","",IF(COUNTIFS(BD!$A$3:$A$5001,I$3,BD!$B$3:$B$5001,$A$206,BD!$E$3:$E$5001,"&lt;&gt;")=0,"",SUMIFS(BD!$E$3:$E$5001,BD!$A$3:$A$5001,I$3,BD!$B$3:$B$5001,$A$206)))</f>
        <v/>
      </c>
      <c r="J208" s="173" t="str">
        <f>IF(J$3="","",IF(COUNTIFS(BD!$A$3:$A$5001,J$3,BD!$B$3:$B$5001,$A$206,BD!$E$3:$E$5001,"&lt;&gt;")=0,"",SUMIFS(BD!$E$3:$E$5001,BD!$A$3:$A$5001,J$3,BD!$B$3:$B$5001,$A$206)))</f>
        <v/>
      </c>
      <c r="K208" s="173" t="str">
        <f>IF(K$3="","",IF(COUNTIFS(BD!$A$3:$A$5001,K$3,BD!$B$3:$B$5001,$A$206,BD!$E$3:$E$5001,"&lt;&gt;")=0,"",SUMIFS(BD!$E$3:$E$5001,BD!$A$3:$A$5001,K$3,BD!$B$3:$B$5001,$A$206)))</f>
        <v/>
      </c>
      <c r="L208" s="173" t="str">
        <f>IF(L$3="","",IF(COUNTIFS(BD!$A$3:$A$5001,L$3,BD!$B$3:$B$5001,$A$206,BD!$E$3:$E$5001,"&lt;&gt;")=0,"",SUMIFS(BD!$E$3:$E$5001,BD!$A$3:$A$5001,L$3,BD!$B$3:$B$5001,$A$206)))</f>
        <v/>
      </c>
      <c r="M208" s="173" t="str">
        <f>IF(M$3="","",IF(COUNTIFS(BD!$A$3:$A$5001,M$3,BD!$B$3:$B$5001,$A$206,BD!$E$3:$E$5001,"&lt;&gt;")=0,"",SUMIFS(BD!$E$3:$E$5001,BD!$A$3:$A$5001,M$3,BD!$B$3:$B$5001,$A$206)))</f>
        <v/>
      </c>
      <c r="N208" s="173" t="str">
        <f>IF(N$3="","",IF(COUNTIFS(BD!$A$3:$A$5001,N$3,BD!$B$3:$B$5001,$A$206,BD!$E$3:$E$5001,"&lt;&gt;")=0,"",SUMIFS(BD!$E$3:$E$5001,BD!$A$3:$A$5001,N$3,BD!$B$3:$B$5001,$A$206)))</f>
        <v/>
      </c>
      <c r="O208" s="173" t="str">
        <f>IF(O$3="","",IF(COUNTIFS(BD!$A$3:$A$5001,O$3,BD!$B$3:$B$5001,$A$206,BD!$E$3:$E$5001,"&lt;&gt;")=0,"",SUMIFS(BD!$E$3:$E$5001,BD!$A$3:$A$5001,O$3,BD!$B$3:$B$5001,$A$206)))</f>
        <v/>
      </c>
      <c r="P208" s="173" t="str">
        <f>IF(P$3="","",IF(COUNTIFS(BD!$A$3:$A$5001,P$3,BD!$B$3:$B$5001,$A$206,BD!$E$3:$E$5001,"&lt;&gt;")=0,"",SUMIFS(BD!$E$3:$E$5001,BD!$A$3:$A$5001,P$3,BD!$B$3:$B$5001,$A$206)))</f>
        <v/>
      </c>
      <c r="Q208" s="173" t="str">
        <f>IF(Q$3="","",IF(COUNTIFS(BD!$A$3:$A$5001,Q$3,BD!$B$3:$B$5001,$A$206,BD!$E$3:$E$5001,"&lt;&gt;")=0,"",SUMIFS(BD!$E$3:$E$5001,BD!$A$3:$A$5001,Q$3,BD!$B$3:$B$5001,$A$206)))</f>
        <v/>
      </c>
      <c r="R208" s="173" t="str">
        <f>IF(R$3="","",IF(COUNTIFS(BD!$A$3:$A$5001,R$3,BD!$B$3:$B$5001,$A$206,BD!$E$3:$E$5001,"&lt;&gt;")=0,"",SUMIFS(BD!$E$3:$E$5001,BD!$A$3:$A$5001,R$3,BD!$B$3:$B$5001,$A$206)))</f>
        <v/>
      </c>
      <c r="S208" s="173" t="str">
        <f>IF(S$3="","",IF(COUNTIFS(BD!$A$3:$A$5001,S$3,BD!$B$3:$B$5001,$A$206,BD!$E$3:$E$5001,"&lt;&gt;")=0,"",SUMIFS(BD!$E$3:$E$5001,BD!$A$3:$A$5001,S$3,BD!$B$3:$B$5001,$A$206)))</f>
        <v/>
      </c>
      <c r="T208" s="173" t="str">
        <f>IF(T$3="","",IF(COUNTIFS(BD!$A$3:$A$5001,T$3,BD!$B$3:$B$5001,$A$206,BD!$E$3:$E$5001,"&lt;&gt;")=0,"",SUMIFS(BD!$E$3:$E$5001,BD!$A$3:$A$5001,T$3,BD!$B$3:$B$5001,$A$206)))</f>
        <v/>
      </c>
      <c r="U208" s="173" t="str">
        <f>IF(U$3="","",IF(COUNTIFS(BD!$A$3:$A$5001,U$3,BD!$B$3:$B$5001,$A$206,BD!$E$3:$E$5001,"&lt;&gt;")=0,"",SUMIFS(BD!$E$3:$E$5001,BD!$A$3:$A$5001,U$3,BD!$B$3:$B$5001,$A$206)))</f>
        <v/>
      </c>
      <c r="V208" s="173" t="str">
        <f>IF(V$3="","",IF(COUNTIFS(BD!$A$3:$A$5001,V$3,BD!$B$3:$B$5001,$A$206,BD!$E$3:$E$5001,"&lt;&gt;")=0,"",SUMIFS(BD!$E$3:$E$5001,BD!$A$3:$A$5001,V$3,BD!$B$3:$B$5001,$A$206)))</f>
        <v/>
      </c>
      <c r="W208" s="173" t="str">
        <f>IF(W$3="","",IF(COUNTIFS(BD!$A$3:$A$5001,W$3,BD!$B$3:$B$5001,$A$206,BD!$E$3:$E$5001,"&lt;&gt;")=0,"",SUMIFS(BD!$E$3:$E$5001,BD!$A$3:$A$5001,W$3,BD!$B$3:$B$5001,$A$206)))</f>
        <v/>
      </c>
      <c r="X208" s="173" t="str">
        <f>IF(X$3="","",IF(COUNTIFS(BD!$A$3:$A$5001,X$3,BD!$B$3:$B$5001,$A$206,BD!$E$3:$E$5001,"&lt;&gt;")=0,"",SUMIFS(BD!$E$3:$E$5001,BD!$A$3:$A$5001,X$3,BD!$B$3:$B$5001,$A$206)))</f>
        <v/>
      </c>
      <c r="Y208" s="173" t="str">
        <f>IF(Y$3="","",IF(COUNTIFS(BD!$A$3:$A$5001,Y$3,BD!$B$3:$B$5001,$A$206,BD!$E$3:$E$5001,"&lt;&gt;")=0,"",SUMIFS(BD!$E$3:$E$5001,BD!$A$3:$A$5001,Y$3,BD!$B$3:$B$5001,$A$206)))</f>
        <v/>
      </c>
      <c r="Z208" s="173" t="str">
        <f>IF(Z$3="","",IF(COUNTIFS(BD!$A$3:$A$5001,Z$3,BD!$B$3:$B$5001,$A$206,BD!$E$3:$E$5001,"&lt;&gt;")=0,"",SUMIFS(BD!$E$3:$E$5001,BD!$A$3:$A$5001,Z$3,BD!$B$3:$B$5001,$A$206)))</f>
        <v/>
      </c>
      <c r="AA208" s="173" t="str">
        <f>IF(AA$3="","",IF(COUNTIFS(BD!$A$3:$A$5001,AA$3,BD!$B$3:$B$5001,$A$206,BD!$E$3:$E$5001,"&lt;&gt;")=0,"",SUMIFS(BD!$E$3:$E$5001,BD!$A$3:$A$5001,AA$3,BD!$B$3:$B$5001,$A$206)))</f>
        <v/>
      </c>
      <c r="AB208" s="173" t="str">
        <f>IF(AB$3="","",IF(COUNTIFS(BD!$A$3:$A$5001,AB$3,BD!$B$3:$B$5001,$A$206,BD!$E$3:$E$5001,"&lt;&gt;")=0,"",SUMIFS(BD!$E$3:$E$5001,BD!$A$3:$A$5001,AB$3,BD!$B$3:$B$5001,$A$206)))</f>
        <v/>
      </c>
      <c r="AC208" s="173" t="str">
        <f>IF(AC$3="","",IF(COUNTIFS(BD!$A$3:$A$5001,AC$3,BD!$B$3:$B$5001,$A$206,BD!$E$3:$E$5001,"&lt;&gt;")=0,"",SUMIFS(BD!$E$3:$E$5001,BD!$A$3:$A$5001,AC$3,BD!$B$3:$B$5001,$A$206)))</f>
        <v/>
      </c>
      <c r="AD208" s="173" t="str">
        <f>IF(AD$3="","",IF(COUNTIFS(BD!$A$3:$A$5001,AD$3,BD!$B$3:$B$5001,$A$206,BD!$E$3:$E$5001,"&lt;&gt;")=0,"",SUMIFS(BD!$E$3:$E$5001,BD!$A$3:$A$5001,AD$3,BD!$B$3:$B$5001,$A$206)))</f>
        <v/>
      </c>
      <c r="AE208" s="173" t="str">
        <f>IF(AE$3="","",IF(COUNTIFS(BD!$A$3:$A$5001,AE$3,BD!$B$3:$B$5001,$A$206,BD!$E$3:$E$5001,"&lt;&gt;")=0,"",SUMIFS(BD!$E$3:$E$5001,BD!$A$3:$A$5001,AE$3,BD!$B$3:$B$5001,$A$206)))</f>
        <v/>
      </c>
      <c r="AF208" s="173" t="str">
        <f>IF(AF$3="","",IF(COUNTIFS(BD!$A$3:$A$5001,AF$3,BD!$B$3:$B$5001,$A$206,BD!$E$3:$E$5001,"&lt;&gt;")=0,"",SUMIFS(BD!$E$3:$E$5001,BD!$A$3:$A$5001,AF$3,BD!$B$3:$B$5001,$A$206)))</f>
        <v/>
      </c>
      <c r="AG208" s="173" t="str">
        <f>IF(AG$3="","",IF(COUNTIFS(BD!$A$3:$A$5001,AG$3,BD!$B$3:$B$5001,$A$206,BD!$E$3:$E$5001,"&lt;&gt;")=0,"",SUMIFS(BD!$E$3:$E$5001,BD!$A$3:$A$5001,AG$3,BD!$B$3:$B$5001,$A$206)))</f>
        <v/>
      </c>
      <c r="AH208" s="173" t="str">
        <f>IF(AH$3="","",IF(COUNTIFS(BD!$A$3:$A$5001,AH$3,BD!$B$3:$B$5001,$A$206,BD!$E$3:$E$5001,"&lt;&gt;")=0,"",SUMIFS(BD!$E$3:$E$5001,BD!$A$3:$A$5001,AH$3,BD!$B$3:$B$5001,$A$206)))</f>
        <v/>
      </c>
      <c r="AI208" s="173" t="str">
        <f>IF(AI$3="","",IF(COUNTIFS(BD!$A$3:$A$5001,AI$3,BD!$B$3:$B$5001,$A$206,BD!$E$3:$E$5001,"&lt;&gt;")=0,"",SUMIFS(BD!$E$3:$E$5001,BD!$A$3:$A$5001,AI$3,BD!$B$3:$B$5001,$A$206)))</f>
        <v/>
      </c>
      <c r="AJ208" s="174" t="str">
        <f>IF(AJ$3="","",IF(COUNTIFS(BD!$A$3:$A$5001,AJ$3,BD!$B$3:$B$5001,$A$206,BD!$E$3:$E$5001,"&lt;&gt;")=0,"",SUMIFS(BD!$E$3:$E$5001,BD!$A$3:$A$5001,AJ$3,BD!$B$3:$B$5001,$A$206)))</f>
        <v/>
      </c>
      <c r="AK208" s="175" t="str">
        <f>IF(COUNT(F208:AJ208)=0,"",SUM(F208:AJ208))</f>
        <v/>
      </c>
    </row>
    <row r="209" ht="15.75" customHeight="1" hidden="1">
      <c r="A209" s="254"/>
      <c r="B209" s="244" t="inlineStr">
        <is>
          <t xml:space="preserve">OUT</t>
        </is>
      </c>
      <c r="C209" s="176" t="inlineStr">
        <is>
          <t xml:space="preserve">Veículos Expedidos</t>
        </is>
      </c>
      <c r="D209" s="177" t="str">
        <f>IFERROR(1/(1/INDEX(BD!$Y$26:$AS$26,MATCH($A$206,BD!$Y$22:$AS$22,0))),"")</f>
        <v/>
      </c>
      <c r="E209" s="178"/>
      <c r="F209" s="179" t="str">
        <f>IF(F$3="","",IF(COUNTIFS(BD!$A$3:$A$5001,F$3,BD!$B$3:$B$5001,$A$206,BD!$F$3:$F$5001,"&lt;&gt;")=0,"",SUMIFS(BD!$F$3:$F$5001,BD!$A$3:$A$5001,F$3,BD!$B$3:$B$5001,$A$206)))</f>
        <v/>
      </c>
      <c r="G209" s="180" t="str">
        <f>IF(G$3="","",IF(COUNTIFS(BD!$A$3:$A$5001,G$3,BD!$B$3:$B$5001,$A$206,BD!$F$3:$F$5001,"&lt;&gt;")=0,"",SUMIFS(BD!$F$3:$F$5001,BD!$A$3:$A$5001,G$3,BD!$B$3:$B$5001,$A$206)))</f>
        <v/>
      </c>
      <c r="H209" s="180" t="str">
        <f>IF(H$3="","",IF(COUNTIFS(BD!$A$3:$A$5001,H$3,BD!$B$3:$B$5001,$A$206,BD!$F$3:$F$5001,"&lt;&gt;")=0,"",SUMIFS(BD!$F$3:$F$5001,BD!$A$3:$A$5001,H$3,BD!$B$3:$B$5001,$A$206)))</f>
        <v/>
      </c>
      <c r="I209" s="180" t="str">
        <f>IF(I$3="","",IF(COUNTIFS(BD!$A$3:$A$5001,I$3,BD!$B$3:$B$5001,$A$206,BD!$F$3:$F$5001,"&lt;&gt;")=0,"",SUMIFS(BD!$F$3:$F$5001,BD!$A$3:$A$5001,I$3,BD!$B$3:$B$5001,$A$206)))</f>
        <v/>
      </c>
      <c r="J209" s="180" t="str">
        <f>IF(J$3="","",IF(COUNTIFS(BD!$A$3:$A$5001,J$3,BD!$B$3:$B$5001,$A$206,BD!$F$3:$F$5001,"&lt;&gt;")=0,"",SUMIFS(BD!$F$3:$F$5001,BD!$A$3:$A$5001,J$3,BD!$B$3:$B$5001,$A$206)))</f>
        <v/>
      </c>
      <c r="K209" s="180" t="str">
        <f>IF(K$3="","",IF(COUNTIFS(BD!$A$3:$A$5001,K$3,BD!$B$3:$B$5001,$A$206,BD!$F$3:$F$5001,"&lt;&gt;")=0,"",SUMIFS(BD!$F$3:$F$5001,BD!$A$3:$A$5001,K$3,BD!$B$3:$B$5001,$A$206)))</f>
        <v/>
      </c>
      <c r="L209" s="180" t="str">
        <f>IF(L$3="","",IF(COUNTIFS(BD!$A$3:$A$5001,L$3,BD!$B$3:$B$5001,$A$206,BD!$F$3:$F$5001,"&lt;&gt;")=0,"",SUMIFS(BD!$F$3:$F$5001,BD!$A$3:$A$5001,L$3,BD!$B$3:$B$5001,$A$206)))</f>
        <v/>
      </c>
      <c r="M209" s="180" t="str">
        <f>IF(M$3="","",IF(COUNTIFS(BD!$A$3:$A$5001,M$3,BD!$B$3:$B$5001,$A$206,BD!$F$3:$F$5001,"&lt;&gt;")=0,"",SUMIFS(BD!$F$3:$F$5001,BD!$A$3:$A$5001,M$3,BD!$B$3:$B$5001,$A$206)))</f>
        <v/>
      </c>
      <c r="N209" s="180" t="str">
        <f>IF(N$3="","",IF(COUNTIFS(BD!$A$3:$A$5001,N$3,BD!$B$3:$B$5001,$A$206,BD!$F$3:$F$5001,"&lt;&gt;")=0,"",SUMIFS(BD!$F$3:$F$5001,BD!$A$3:$A$5001,N$3,BD!$B$3:$B$5001,$A$206)))</f>
        <v/>
      </c>
      <c r="O209" s="180" t="str">
        <f>IF(O$3="","",IF(COUNTIFS(BD!$A$3:$A$5001,O$3,BD!$B$3:$B$5001,$A$206,BD!$F$3:$F$5001,"&lt;&gt;")=0,"",SUMIFS(BD!$F$3:$F$5001,BD!$A$3:$A$5001,O$3,BD!$B$3:$B$5001,$A$206)))</f>
        <v/>
      </c>
      <c r="P209" s="180" t="str">
        <f>IF(P$3="","",IF(COUNTIFS(BD!$A$3:$A$5001,P$3,BD!$B$3:$B$5001,$A$206,BD!$F$3:$F$5001,"&lt;&gt;")=0,"",SUMIFS(BD!$F$3:$F$5001,BD!$A$3:$A$5001,P$3,BD!$B$3:$B$5001,$A$206)))</f>
        <v/>
      </c>
      <c r="Q209" s="180" t="str">
        <f>IF(Q$3="","",IF(COUNTIFS(BD!$A$3:$A$5001,Q$3,BD!$B$3:$B$5001,$A$206,BD!$F$3:$F$5001,"&lt;&gt;")=0,"",SUMIFS(BD!$F$3:$F$5001,BD!$A$3:$A$5001,Q$3,BD!$B$3:$B$5001,$A$206)))</f>
        <v/>
      </c>
      <c r="R209" s="180" t="str">
        <f>IF(R$3="","",IF(COUNTIFS(BD!$A$3:$A$5001,R$3,BD!$B$3:$B$5001,$A$206,BD!$F$3:$F$5001,"&lt;&gt;")=0,"",SUMIFS(BD!$F$3:$F$5001,BD!$A$3:$A$5001,R$3,BD!$B$3:$B$5001,$A$206)))</f>
        <v/>
      </c>
      <c r="S209" s="180" t="str">
        <f>IF(S$3="","",IF(COUNTIFS(BD!$A$3:$A$5001,S$3,BD!$B$3:$B$5001,$A$206,BD!$F$3:$F$5001,"&lt;&gt;")=0,"",SUMIFS(BD!$F$3:$F$5001,BD!$A$3:$A$5001,S$3,BD!$B$3:$B$5001,$A$206)))</f>
        <v/>
      </c>
      <c r="T209" s="180" t="str">
        <f>IF(T$3="","",IF(COUNTIFS(BD!$A$3:$A$5001,T$3,BD!$B$3:$B$5001,$A$206,BD!$F$3:$F$5001,"&lt;&gt;")=0,"",SUMIFS(BD!$F$3:$F$5001,BD!$A$3:$A$5001,T$3,BD!$B$3:$B$5001,$A$206)))</f>
        <v/>
      </c>
      <c r="U209" s="180" t="str">
        <f>IF(U$3="","",IF(COUNTIFS(BD!$A$3:$A$5001,U$3,BD!$B$3:$B$5001,$A$206,BD!$F$3:$F$5001,"&lt;&gt;")=0,"",SUMIFS(BD!$F$3:$F$5001,BD!$A$3:$A$5001,U$3,BD!$B$3:$B$5001,$A$206)))</f>
        <v/>
      </c>
      <c r="V209" s="180" t="str">
        <f>IF(V$3="","",IF(COUNTIFS(BD!$A$3:$A$5001,V$3,BD!$B$3:$B$5001,$A$206,BD!$F$3:$F$5001,"&lt;&gt;")=0,"",SUMIFS(BD!$F$3:$F$5001,BD!$A$3:$A$5001,V$3,BD!$B$3:$B$5001,$A$206)))</f>
        <v/>
      </c>
      <c r="W209" s="180" t="str">
        <f>IF(W$3="","",IF(COUNTIFS(BD!$A$3:$A$5001,W$3,BD!$B$3:$B$5001,$A$206,BD!$F$3:$F$5001,"&lt;&gt;")=0,"",SUMIFS(BD!$F$3:$F$5001,BD!$A$3:$A$5001,W$3,BD!$B$3:$B$5001,$A$206)))</f>
        <v/>
      </c>
      <c r="X209" s="180" t="str">
        <f>IF(X$3="","",IF(COUNTIFS(BD!$A$3:$A$5001,X$3,BD!$B$3:$B$5001,$A$206,BD!$F$3:$F$5001,"&lt;&gt;")=0,"",SUMIFS(BD!$F$3:$F$5001,BD!$A$3:$A$5001,X$3,BD!$B$3:$B$5001,$A$206)))</f>
        <v/>
      </c>
      <c r="Y209" s="180" t="str">
        <f>IF(Y$3="","",IF(COUNTIFS(BD!$A$3:$A$5001,Y$3,BD!$B$3:$B$5001,$A$206,BD!$F$3:$F$5001,"&lt;&gt;")=0,"",SUMIFS(BD!$F$3:$F$5001,BD!$A$3:$A$5001,Y$3,BD!$B$3:$B$5001,$A$206)))</f>
        <v/>
      </c>
      <c r="Z209" s="180" t="str">
        <f>IF(Z$3="","",IF(COUNTIFS(BD!$A$3:$A$5001,Z$3,BD!$B$3:$B$5001,$A$206,BD!$F$3:$F$5001,"&lt;&gt;")=0,"",SUMIFS(BD!$F$3:$F$5001,BD!$A$3:$A$5001,Z$3,BD!$B$3:$B$5001,$A$206)))</f>
        <v/>
      </c>
      <c r="AA209" s="180" t="str">
        <f>IF(AA$3="","",IF(COUNTIFS(BD!$A$3:$A$5001,AA$3,BD!$B$3:$B$5001,$A$206,BD!$F$3:$F$5001,"&lt;&gt;")=0,"",SUMIFS(BD!$F$3:$F$5001,BD!$A$3:$A$5001,AA$3,BD!$B$3:$B$5001,$A$206)))</f>
        <v/>
      </c>
      <c r="AB209" s="180" t="str">
        <f>IF(AB$3="","",IF(COUNTIFS(BD!$A$3:$A$5001,AB$3,BD!$B$3:$B$5001,$A$206,BD!$F$3:$F$5001,"&lt;&gt;")=0,"",SUMIFS(BD!$F$3:$F$5001,BD!$A$3:$A$5001,AB$3,BD!$B$3:$B$5001,$A$206)))</f>
        <v/>
      </c>
      <c r="AC209" s="180" t="str">
        <f>IF(AC$3="","",IF(COUNTIFS(BD!$A$3:$A$5001,AC$3,BD!$B$3:$B$5001,$A$206,BD!$F$3:$F$5001,"&lt;&gt;")=0,"",SUMIFS(BD!$F$3:$F$5001,BD!$A$3:$A$5001,AC$3,BD!$B$3:$B$5001,$A$206)))</f>
        <v/>
      </c>
      <c r="AD209" s="180" t="str">
        <f>IF(AD$3="","",IF(COUNTIFS(BD!$A$3:$A$5001,AD$3,BD!$B$3:$B$5001,$A$206,BD!$F$3:$F$5001,"&lt;&gt;")=0,"",SUMIFS(BD!$F$3:$F$5001,BD!$A$3:$A$5001,AD$3,BD!$B$3:$B$5001,$A$206)))</f>
        <v/>
      </c>
      <c r="AE209" s="180" t="str">
        <f>IF(AE$3="","",IF(COUNTIFS(BD!$A$3:$A$5001,AE$3,BD!$B$3:$B$5001,$A$206,BD!$F$3:$F$5001,"&lt;&gt;")=0,"",SUMIFS(BD!$F$3:$F$5001,BD!$A$3:$A$5001,AE$3,BD!$B$3:$B$5001,$A$206)))</f>
        <v/>
      </c>
      <c r="AF209" s="180" t="str">
        <f>IF(AF$3="","",IF(COUNTIFS(BD!$A$3:$A$5001,AF$3,BD!$B$3:$B$5001,$A$206,BD!$F$3:$F$5001,"&lt;&gt;")=0,"",SUMIFS(BD!$F$3:$F$5001,BD!$A$3:$A$5001,AF$3,BD!$B$3:$B$5001,$A$206)))</f>
        <v/>
      </c>
      <c r="AG209" s="180" t="str">
        <f>IF(AG$3="","",IF(COUNTIFS(BD!$A$3:$A$5001,AG$3,BD!$B$3:$B$5001,$A$206,BD!$F$3:$F$5001,"&lt;&gt;")=0,"",SUMIFS(BD!$F$3:$F$5001,BD!$A$3:$A$5001,AG$3,BD!$B$3:$B$5001,$A$206)))</f>
        <v/>
      </c>
      <c r="AH209" s="180" t="str">
        <f>IF(AH$3="","",IF(COUNTIFS(BD!$A$3:$A$5001,AH$3,BD!$B$3:$B$5001,$A$206,BD!$F$3:$F$5001,"&lt;&gt;")=0,"",SUMIFS(BD!$F$3:$F$5001,BD!$A$3:$A$5001,AH$3,BD!$B$3:$B$5001,$A$206)))</f>
        <v/>
      </c>
      <c r="AI209" s="180" t="str">
        <f>IF(AI$3="","",IF(COUNTIFS(BD!$A$3:$A$5001,AI$3,BD!$B$3:$B$5001,$A$206,BD!$F$3:$F$5001,"&lt;&gt;")=0,"",SUMIFS(BD!$F$3:$F$5001,BD!$A$3:$A$5001,AI$3,BD!$B$3:$B$5001,$A$206)))</f>
        <v/>
      </c>
      <c r="AJ209" s="181" t="str">
        <f>IF(AJ$3="","",IF(COUNTIFS(BD!$A$3:$A$5001,AJ$3,BD!$B$3:$B$5001,$A$206,BD!$F$3:$F$5001,"&lt;&gt;")=0,"",SUMIFS(BD!$F$3:$F$5001,BD!$A$3:$A$5001,AJ$3,BD!$B$3:$B$5001,$A$206)))</f>
        <v/>
      </c>
      <c r="AK209" s="182" t="str">
        <f>IF(COUNT(F209:AJ209)=0,"",SUM(F209:AJ209))</f>
        <v/>
      </c>
    </row>
    <row r="210" ht="15.75" customHeight="1" hidden="1">
      <c r="A210" s="254"/>
      <c r="B210" s="245"/>
      <c r="C210" s="183" t="inlineStr">
        <is>
          <t xml:space="preserve">Pallets Movimentados</t>
        </is>
      </c>
      <c r="D210" s="184" t="str">
        <f>IFERROR(1/(1/INDEX(BD!$Y$27:$AS$27,MATCH($A$206,BD!$Y$22:$AS$22,0))),"")</f>
        <v/>
      </c>
      <c r="E210" s="185"/>
      <c r="F210" s="186" t="str">
        <f>IF(F$3="","",IF(COUNTIFS(BD!$A$3:$A$5001,F$3,BD!$B$3:$B$5001,$A$206,BD!$G$3:$G$5001,"&lt;&gt;")=0,"",SUMIFS(BD!$G$3:$G$5001,BD!$A$3:$A$5001,F$3,BD!$B$3:$B$5001,$A$206)))</f>
        <v/>
      </c>
      <c r="G210" s="187" t="str">
        <f>IF(G$3="","",IF(COUNTIFS(BD!$A$3:$A$5001,G$3,BD!$B$3:$B$5001,$A$206,BD!$G$3:$G$5001,"&lt;&gt;")=0,"",SUMIFS(BD!$G$3:$G$5001,BD!$A$3:$A$5001,G$3,BD!$B$3:$B$5001,$A$206)))</f>
        <v/>
      </c>
      <c r="H210" s="187" t="str">
        <f>IF(H$3="","",IF(COUNTIFS(BD!$A$3:$A$5001,H$3,BD!$B$3:$B$5001,$A$206,BD!$G$3:$G$5001,"&lt;&gt;")=0,"",SUMIFS(BD!$G$3:$G$5001,BD!$A$3:$A$5001,H$3,BD!$B$3:$B$5001,$A$206)))</f>
        <v/>
      </c>
      <c r="I210" s="187" t="str">
        <f>IF(I$3="","",IF(COUNTIFS(BD!$A$3:$A$5001,I$3,BD!$B$3:$B$5001,$A$206,BD!$G$3:$G$5001,"&lt;&gt;")=0,"",SUMIFS(BD!$G$3:$G$5001,BD!$A$3:$A$5001,I$3,BD!$B$3:$B$5001,$A$206)))</f>
        <v/>
      </c>
      <c r="J210" s="187" t="str">
        <f>IF(J$3="","",IF(COUNTIFS(BD!$A$3:$A$5001,J$3,BD!$B$3:$B$5001,$A$206,BD!$G$3:$G$5001,"&lt;&gt;")=0,"",SUMIFS(BD!$G$3:$G$5001,BD!$A$3:$A$5001,J$3,BD!$B$3:$B$5001,$A$206)))</f>
        <v/>
      </c>
      <c r="K210" s="187" t="str">
        <f>IF(K$3="","",IF(COUNTIFS(BD!$A$3:$A$5001,K$3,BD!$B$3:$B$5001,$A$206,BD!$G$3:$G$5001,"&lt;&gt;")=0,"",SUMIFS(BD!$G$3:$G$5001,BD!$A$3:$A$5001,K$3,BD!$B$3:$B$5001,$A$206)))</f>
        <v/>
      </c>
      <c r="L210" s="187" t="str">
        <f>IF(L$3="","",IF(COUNTIFS(BD!$A$3:$A$5001,L$3,BD!$B$3:$B$5001,$A$206,BD!$G$3:$G$5001,"&lt;&gt;")=0,"",SUMIFS(BD!$G$3:$G$5001,BD!$A$3:$A$5001,L$3,BD!$B$3:$B$5001,$A$206)))</f>
        <v/>
      </c>
      <c r="M210" s="187" t="str">
        <f>IF(M$3="","",IF(COUNTIFS(BD!$A$3:$A$5001,M$3,BD!$B$3:$B$5001,$A$206,BD!$G$3:$G$5001,"&lt;&gt;")=0,"",SUMIFS(BD!$G$3:$G$5001,BD!$A$3:$A$5001,M$3,BD!$B$3:$B$5001,$A$206)))</f>
        <v/>
      </c>
      <c r="N210" s="187" t="str">
        <f>IF(N$3="","",IF(COUNTIFS(BD!$A$3:$A$5001,N$3,BD!$B$3:$B$5001,$A$206,BD!$G$3:$G$5001,"&lt;&gt;")=0,"",SUMIFS(BD!$G$3:$G$5001,BD!$A$3:$A$5001,N$3,BD!$B$3:$B$5001,$A$206)))</f>
        <v/>
      </c>
      <c r="O210" s="187" t="str">
        <f>IF(O$3="","",IF(COUNTIFS(BD!$A$3:$A$5001,O$3,BD!$B$3:$B$5001,$A$206,BD!$G$3:$G$5001,"&lt;&gt;")=0,"",SUMIFS(BD!$G$3:$G$5001,BD!$A$3:$A$5001,O$3,BD!$B$3:$B$5001,$A$206)))</f>
        <v/>
      </c>
      <c r="P210" s="187" t="str">
        <f>IF(P$3="","",IF(COUNTIFS(BD!$A$3:$A$5001,P$3,BD!$B$3:$B$5001,$A$206,BD!$G$3:$G$5001,"&lt;&gt;")=0,"",SUMIFS(BD!$G$3:$G$5001,BD!$A$3:$A$5001,P$3,BD!$B$3:$B$5001,$A$206)))</f>
        <v/>
      </c>
      <c r="Q210" s="187" t="str">
        <f>IF(Q$3="","",IF(COUNTIFS(BD!$A$3:$A$5001,Q$3,BD!$B$3:$B$5001,$A$206,BD!$G$3:$G$5001,"&lt;&gt;")=0,"",SUMIFS(BD!$G$3:$G$5001,BD!$A$3:$A$5001,Q$3,BD!$B$3:$B$5001,$A$206)))</f>
        <v/>
      </c>
      <c r="R210" s="187" t="str">
        <f>IF(R$3="","",IF(COUNTIFS(BD!$A$3:$A$5001,R$3,BD!$B$3:$B$5001,$A$206,BD!$G$3:$G$5001,"&lt;&gt;")=0,"",SUMIFS(BD!$G$3:$G$5001,BD!$A$3:$A$5001,R$3,BD!$B$3:$B$5001,$A$206)))</f>
        <v/>
      </c>
      <c r="S210" s="187" t="str">
        <f>IF(S$3="","",IF(COUNTIFS(BD!$A$3:$A$5001,S$3,BD!$B$3:$B$5001,$A$206,BD!$G$3:$G$5001,"&lt;&gt;")=0,"",SUMIFS(BD!$G$3:$G$5001,BD!$A$3:$A$5001,S$3,BD!$B$3:$B$5001,$A$206)))</f>
        <v/>
      </c>
      <c r="T210" s="187" t="str">
        <f>IF(T$3="","",IF(COUNTIFS(BD!$A$3:$A$5001,T$3,BD!$B$3:$B$5001,$A$206,BD!$G$3:$G$5001,"&lt;&gt;")=0,"",SUMIFS(BD!$G$3:$G$5001,BD!$A$3:$A$5001,T$3,BD!$B$3:$B$5001,$A$206)))</f>
        <v/>
      </c>
      <c r="U210" s="187" t="str">
        <f>IF(U$3="","",IF(COUNTIFS(BD!$A$3:$A$5001,U$3,BD!$B$3:$B$5001,$A$206,BD!$G$3:$G$5001,"&lt;&gt;")=0,"",SUMIFS(BD!$G$3:$G$5001,BD!$A$3:$A$5001,U$3,BD!$B$3:$B$5001,$A$206)))</f>
        <v/>
      </c>
      <c r="V210" s="187" t="str">
        <f>IF(V$3="","",IF(COUNTIFS(BD!$A$3:$A$5001,V$3,BD!$B$3:$B$5001,$A$206,BD!$G$3:$G$5001,"&lt;&gt;")=0,"",SUMIFS(BD!$G$3:$G$5001,BD!$A$3:$A$5001,V$3,BD!$B$3:$B$5001,$A$206)))</f>
        <v/>
      </c>
      <c r="W210" s="187" t="str">
        <f>IF(W$3="","",IF(COUNTIFS(BD!$A$3:$A$5001,W$3,BD!$B$3:$B$5001,$A$206,BD!$G$3:$G$5001,"&lt;&gt;")=0,"",SUMIFS(BD!$G$3:$G$5001,BD!$A$3:$A$5001,W$3,BD!$B$3:$B$5001,$A$206)))</f>
        <v/>
      </c>
      <c r="X210" s="187" t="str">
        <f>IF(X$3="","",IF(COUNTIFS(BD!$A$3:$A$5001,X$3,BD!$B$3:$B$5001,$A$206,BD!$G$3:$G$5001,"&lt;&gt;")=0,"",SUMIFS(BD!$G$3:$G$5001,BD!$A$3:$A$5001,X$3,BD!$B$3:$B$5001,$A$206)))</f>
        <v/>
      </c>
      <c r="Y210" s="187" t="str">
        <f>IF(Y$3="","",IF(COUNTIFS(BD!$A$3:$A$5001,Y$3,BD!$B$3:$B$5001,$A$206,BD!$G$3:$G$5001,"&lt;&gt;")=0,"",SUMIFS(BD!$G$3:$G$5001,BD!$A$3:$A$5001,Y$3,BD!$B$3:$B$5001,$A$206)))</f>
        <v/>
      </c>
      <c r="Z210" s="187" t="str">
        <f>IF(Z$3="","",IF(COUNTIFS(BD!$A$3:$A$5001,Z$3,BD!$B$3:$B$5001,$A$206,BD!$G$3:$G$5001,"&lt;&gt;")=0,"",SUMIFS(BD!$G$3:$G$5001,BD!$A$3:$A$5001,Z$3,BD!$B$3:$B$5001,$A$206)))</f>
        <v/>
      </c>
      <c r="AA210" s="187" t="str">
        <f>IF(AA$3="","",IF(COUNTIFS(BD!$A$3:$A$5001,AA$3,BD!$B$3:$B$5001,$A$206,BD!$G$3:$G$5001,"&lt;&gt;")=0,"",SUMIFS(BD!$G$3:$G$5001,BD!$A$3:$A$5001,AA$3,BD!$B$3:$B$5001,$A$206)))</f>
        <v/>
      </c>
      <c r="AB210" s="187" t="str">
        <f>IF(AB$3="","",IF(COUNTIFS(BD!$A$3:$A$5001,AB$3,BD!$B$3:$B$5001,$A$206,BD!$G$3:$G$5001,"&lt;&gt;")=0,"",SUMIFS(BD!$G$3:$G$5001,BD!$A$3:$A$5001,AB$3,BD!$B$3:$B$5001,$A$206)))</f>
        <v/>
      </c>
      <c r="AC210" s="187" t="str">
        <f>IF(AC$3="","",IF(COUNTIFS(BD!$A$3:$A$5001,AC$3,BD!$B$3:$B$5001,$A$206,BD!$G$3:$G$5001,"&lt;&gt;")=0,"",SUMIFS(BD!$G$3:$G$5001,BD!$A$3:$A$5001,AC$3,BD!$B$3:$B$5001,$A$206)))</f>
        <v/>
      </c>
      <c r="AD210" s="187" t="str">
        <f>IF(AD$3="","",IF(COUNTIFS(BD!$A$3:$A$5001,AD$3,BD!$B$3:$B$5001,$A$206,BD!$G$3:$G$5001,"&lt;&gt;")=0,"",SUMIFS(BD!$G$3:$G$5001,BD!$A$3:$A$5001,AD$3,BD!$B$3:$B$5001,$A$206)))</f>
        <v/>
      </c>
      <c r="AE210" s="187" t="str">
        <f>IF(AE$3="","",IF(COUNTIFS(BD!$A$3:$A$5001,AE$3,BD!$B$3:$B$5001,$A$206,BD!$G$3:$G$5001,"&lt;&gt;")=0,"",SUMIFS(BD!$G$3:$G$5001,BD!$A$3:$A$5001,AE$3,BD!$B$3:$B$5001,$A$206)))</f>
        <v/>
      </c>
      <c r="AF210" s="187" t="str">
        <f>IF(AF$3="","",IF(COUNTIFS(BD!$A$3:$A$5001,AF$3,BD!$B$3:$B$5001,$A$206,BD!$G$3:$G$5001,"&lt;&gt;")=0,"",SUMIFS(BD!$G$3:$G$5001,BD!$A$3:$A$5001,AF$3,BD!$B$3:$B$5001,$A$206)))</f>
        <v/>
      </c>
      <c r="AG210" s="187" t="str">
        <f>IF(AG$3="","",IF(COUNTIFS(BD!$A$3:$A$5001,AG$3,BD!$B$3:$B$5001,$A$206,BD!$G$3:$G$5001,"&lt;&gt;")=0,"",SUMIFS(BD!$G$3:$G$5001,BD!$A$3:$A$5001,AG$3,BD!$B$3:$B$5001,$A$206)))</f>
        <v/>
      </c>
      <c r="AH210" s="187" t="str">
        <f>IF(AH$3="","",IF(COUNTIFS(BD!$A$3:$A$5001,AH$3,BD!$B$3:$B$5001,$A$206,BD!$G$3:$G$5001,"&lt;&gt;")=0,"",SUMIFS(BD!$G$3:$G$5001,BD!$A$3:$A$5001,AH$3,BD!$B$3:$B$5001,$A$206)))</f>
        <v/>
      </c>
      <c r="AI210" s="187" t="str">
        <f>IF(AI$3="","",IF(COUNTIFS(BD!$A$3:$A$5001,AI$3,BD!$B$3:$B$5001,$A$206,BD!$G$3:$G$5001,"&lt;&gt;")=0,"",SUMIFS(BD!$G$3:$G$5001,BD!$A$3:$A$5001,AI$3,BD!$B$3:$B$5001,$A$206)))</f>
        <v/>
      </c>
      <c r="AJ210" s="188" t="str">
        <f>IF(AJ$3="","",IF(COUNTIFS(BD!$A$3:$A$5001,AJ$3,BD!$B$3:$B$5001,$A$206,BD!$G$3:$G$5001,"&lt;&gt;")=0,"",SUMIFS(BD!$G$3:$G$5001,BD!$A$3:$A$5001,AJ$3,BD!$B$3:$B$5001,$A$206)))</f>
        <v/>
      </c>
      <c r="AK210" s="189" t="str">
        <f>IF(COUNT(F210:AJ210)=0,"",SUM(F210:AJ210))</f>
        <v/>
      </c>
    </row>
    <row r="211" ht="15.75" customHeight="1" hidden="1">
      <c r="A211" s="254"/>
      <c r="B211" s="246"/>
      <c r="C211" s="190" t="inlineStr">
        <is>
          <t xml:space="preserve">Toneladas Movimentadas</t>
        </is>
      </c>
      <c r="D211" s="191" t="str">
        <f>IFERROR(1/(1/INDEX(BD!$Y$28:$AS$28,MATCH($A$206,BD!$Y$22:$AS$22,0))),"")</f>
        <v/>
      </c>
      <c r="E211" s="192"/>
      <c r="F211" s="193" t="str">
        <f>IF(F$3="","",IF(COUNTIFS(BD!$A$3:$A$5001,F$3,BD!$B$3:$B$5001,$A$206,BD!$H$3:$H$5001,"&lt;&gt;")=0,"",SUMIFS(BD!$H$3:$H$5001,BD!$A$3:$A$5001,F$3,BD!$B$3:$B$5001,$A$206)))</f>
        <v/>
      </c>
      <c r="G211" s="194" t="str">
        <f>IF(G$3="","",IF(COUNTIFS(BD!$A$3:$A$5001,G$3,BD!$B$3:$B$5001,$A$206,BD!$H$3:$H$5001,"&lt;&gt;")=0,"",SUMIFS(BD!$H$3:$H$5001,BD!$A$3:$A$5001,G$3,BD!$B$3:$B$5001,$A$206)))</f>
        <v/>
      </c>
      <c r="H211" s="194" t="str">
        <f>IF(H$3="","",IF(COUNTIFS(BD!$A$3:$A$5001,H$3,BD!$B$3:$B$5001,$A$206,BD!$H$3:$H$5001,"&lt;&gt;")=0,"",SUMIFS(BD!$H$3:$H$5001,BD!$A$3:$A$5001,H$3,BD!$B$3:$B$5001,$A$206)))</f>
        <v/>
      </c>
      <c r="I211" s="194" t="str">
        <f>IF(I$3="","",IF(COUNTIFS(BD!$A$3:$A$5001,I$3,BD!$B$3:$B$5001,$A$206,BD!$H$3:$H$5001,"&lt;&gt;")=0,"",SUMIFS(BD!$H$3:$H$5001,BD!$A$3:$A$5001,I$3,BD!$B$3:$B$5001,$A$206)))</f>
        <v/>
      </c>
      <c r="J211" s="194" t="str">
        <f>IF(J$3="","",IF(COUNTIFS(BD!$A$3:$A$5001,J$3,BD!$B$3:$B$5001,$A$206,BD!$H$3:$H$5001,"&lt;&gt;")=0,"",SUMIFS(BD!$H$3:$H$5001,BD!$A$3:$A$5001,J$3,BD!$B$3:$B$5001,$A$206)))</f>
        <v/>
      </c>
      <c r="K211" s="194" t="str">
        <f>IF(K$3="","",IF(COUNTIFS(BD!$A$3:$A$5001,K$3,BD!$B$3:$B$5001,$A$206,BD!$H$3:$H$5001,"&lt;&gt;")=0,"",SUMIFS(BD!$H$3:$H$5001,BD!$A$3:$A$5001,K$3,BD!$B$3:$B$5001,$A$206)))</f>
        <v/>
      </c>
      <c r="L211" s="194" t="str">
        <f>IF(L$3="","",IF(COUNTIFS(BD!$A$3:$A$5001,L$3,BD!$B$3:$B$5001,$A$206,BD!$H$3:$H$5001,"&lt;&gt;")=0,"",SUMIFS(BD!$H$3:$H$5001,BD!$A$3:$A$5001,L$3,BD!$B$3:$B$5001,$A$206)))</f>
        <v/>
      </c>
      <c r="M211" s="194" t="str">
        <f>IF(M$3="","",IF(COUNTIFS(BD!$A$3:$A$5001,M$3,BD!$B$3:$B$5001,$A$206,BD!$H$3:$H$5001,"&lt;&gt;")=0,"",SUMIFS(BD!$H$3:$H$5001,BD!$A$3:$A$5001,M$3,BD!$B$3:$B$5001,$A$206)))</f>
        <v/>
      </c>
      <c r="N211" s="194" t="str">
        <f>IF(N$3="","",IF(COUNTIFS(BD!$A$3:$A$5001,N$3,BD!$B$3:$B$5001,$A$206,BD!$H$3:$H$5001,"&lt;&gt;")=0,"",SUMIFS(BD!$H$3:$H$5001,BD!$A$3:$A$5001,N$3,BD!$B$3:$B$5001,$A$206)))</f>
        <v/>
      </c>
      <c r="O211" s="194" t="str">
        <f>IF(O$3="","",IF(COUNTIFS(BD!$A$3:$A$5001,O$3,BD!$B$3:$B$5001,$A$206,BD!$H$3:$H$5001,"&lt;&gt;")=0,"",SUMIFS(BD!$H$3:$H$5001,BD!$A$3:$A$5001,O$3,BD!$B$3:$B$5001,$A$206)))</f>
        <v/>
      </c>
      <c r="P211" s="194" t="str">
        <f>IF(P$3="","",IF(COUNTIFS(BD!$A$3:$A$5001,P$3,BD!$B$3:$B$5001,$A$206,BD!$H$3:$H$5001,"&lt;&gt;")=0,"",SUMIFS(BD!$H$3:$H$5001,BD!$A$3:$A$5001,P$3,BD!$B$3:$B$5001,$A$206)))</f>
        <v/>
      </c>
      <c r="Q211" s="194" t="str">
        <f>IF(Q$3="","",IF(COUNTIFS(BD!$A$3:$A$5001,Q$3,BD!$B$3:$B$5001,$A$206,BD!$H$3:$H$5001,"&lt;&gt;")=0,"",SUMIFS(BD!$H$3:$H$5001,BD!$A$3:$A$5001,Q$3,BD!$B$3:$B$5001,$A$206)))</f>
        <v/>
      </c>
      <c r="R211" s="194" t="str">
        <f>IF(R$3="","",IF(COUNTIFS(BD!$A$3:$A$5001,R$3,BD!$B$3:$B$5001,$A$206,BD!$H$3:$H$5001,"&lt;&gt;")=0,"",SUMIFS(BD!$H$3:$H$5001,BD!$A$3:$A$5001,R$3,BD!$B$3:$B$5001,$A$206)))</f>
        <v/>
      </c>
      <c r="S211" s="194" t="str">
        <f>IF(S$3="","",IF(COUNTIFS(BD!$A$3:$A$5001,S$3,BD!$B$3:$B$5001,$A$206,BD!$H$3:$H$5001,"&lt;&gt;")=0,"",SUMIFS(BD!$H$3:$H$5001,BD!$A$3:$A$5001,S$3,BD!$B$3:$B$5001,$A$206)))</f>
        <v/>
      </c>
      <c r="T211" s="194" t="str">
        <f>IF(T$3="","",IF(COUNTIFS(BD!$A$3:$A$5001,T$3,BD!$B$3:$B$5001,$A$206,BD!$H$3:$H$5001,"&lt;&gt;")=0,"",SUMIFS(BD!$H$3:$H$5001,BD!$A$3:$A$5001,T$3,BD!$B$3:$B$5001,$A$206)))</f>
        <v/>
      </c>
      <c r="U211" s="194" t="str">
        <f>IF(U$3="","",IF(COUNTIFS(BD!$A$3:$A$5001,U$3,BD!$B$3:$B$5001,$A$206,BD!$H$3:$H$5001,"&lt;&gt;")=0,"",SUMIFS(BD!$H$3:$H$5001,BD!$A$3:$A$5001,U$3,BD!$B$3:$B$5001,$A$206)))</f>
        <v/>
      </c>
      <c r="V211" s="194" t="str">
        <f>IF(V$3="","",IF(COUNTIFS(BD!$A$3:$A$5001,V$3,BD!$B$3:$B$5001,$A$206,BD!$H$3:$H$5001,"&lt;&gt;")=0,"",SUMIFS(BD!$H$3:$H$5001,BD!$A$3:$A$5001,V$3,BD!$B$3:$B$5001,$A$206)))</f>
        <v/>
      </c>
      <c r="W211" s="194" t="str">
        <f>IF(W$3="","",IF(COUNTIFS(BD!$A$3:$A$5001,W$3,BD!$B$3:$B$5001,$A$206,BD!$H$3:$H$5001,"&lt;&gt;")=0,"",SUMIFS(BD!$H$3:$H$5001,BD!$A$3:$A$5001,W$3,BD!$B$3:$B$5001,$A$206)))</f>
        <v/>
      </c>
      <c r="X211" s="194" t="str">
        <f>IF(X$3="","",IF(COUNTIFS(BD!$A$3:$A$5001,X$3,BD!$B$3:$B$5001,$A$206,BD!$H$3:$H$5001,"&lt;&gt;")=0,"",SUMIFS(BD!$H$3:$H$5001,BD!$A$3:$A$5001,X$3,BD!$B$3:$B$5001,$A$206)))</f>
        <v/>
      </c>
      <c r="Y211" s="194" t="str">
        <f>IF(Y$3="","",IF(COUNTIFS(BD!$A$3:$A$5001,Y$3,BD!$B$3:$B$5001,$A$206,BD!$H$3:$H$5001,"&lt;&gt;")=0,"",SUMIFS(BD!$H$3:$H$5001,BD!$A$3:$A$5001,Y$3,BD!$B$3:$B$5001,$A$206)))</f>
        <v/>
      </c>
      <c r="Z211" s="194" t="str">
        <f>IF(Z$3="","",IF(COUNTIFS(BD!$A$3:$A$5001,Z$3,BD!$B$3:$B$5001,$A$206,BD!$H$3:$H$5001,"&lt;&gt;")=0,"",SUMIFS(BD!$H$3:$H$5001,BD!$A$3:$A$5001,Z$3,BD!$B$3:$B$5001,$A$206)))</f>
        <v/>
      </c>
      <c r="AA211" s="194" t="str">
        <f>IF(AA$3="","",IF(COUNTIFS(BD!$A$3:$A$5001,AA$3,BD!$B$3:$B$5001,$A$206,BD!$H$3:$H$5001,"&lt;&gt;")=0,"",SUMIFS(BD!$H$3:$H$5001,BD!$A$3:$A$5001,AA$3,BD!$B$3:$B$5001,$A$206)))</f>
        <v/>
      </c>
      <c r="AB211" s="194" t="str">
        <f>IF(AB$3="","",IF(COUNTIFS(BD!$A$3:$A$5001,AB$3,BD!$B$3:$B$5001,$A$206,BD!$H$3:$H$5001,"&lt;&gt;")=0,"",SUMIFS(BD!$H$3:$H$5001,BD!$A$3:$A$5001,AB$3,BD!$B$3:$B$5001,$A$206)))</f>
        <v/>
      </c>
      <c r="AC211" s="194" t="str">
        <f>IF(AC$3="","",IF(COUNTIFS(BD!$A$3:$A$5001,AC$3,BD!$B$3:$B$5001,$A$206,BD!$H$3:$H$5001,"&lt;&gt;")=0,"",SUMIFS(BD!$H$3:$H$5001,BD!$A$3:$A$5001,AC$3,BD!$B$3:$B$5001,$A$206)))</f>
        <v/>
      </c>
      <c r="AD211" s="194" t="str">
        <f>IF(AD$3="","",IF(COUNTIFS(BD!$A$3:$A$5001,AD$3,BD!$B$3:$B$5001,$A$206,BD!$H$3:$H$5001,"&lt;&gt;")=0,"",SUMIFS(BD!$H$3:$H$5001,BD!$A$3:$A$5001,AD$3,BD!$B$3:$B$5001,$A$206)))</f>
        <v/>
      </c>
      <c r="AE211" s="194" t="str">
        <f>IF(AE$3="","",IF(COUNTIFS(BD!$A$3:$A$5001,AE$3,BD!$B$3:$B$5001,$A$206,BD!$H$3:$H$5001,"&lt;&gt;")=0,"",SUMIFS(BD!$H$3:$H$5001,BD!$A$3:$A$5001,AE$3,BD!$B$3:$B$5001,$A$206)))</f>
        <v/>
      </c>
      <c r="AF211" s="194" t="str">
        <f>IF(AF$3="","",IF(COUNTIFS(BD!$A$3:$A$5001,AF$3,BD!$B$3:$B$5001,$A$206,BD!$H$3:$H$5001,"&lt;&gt;")=0,"",SUMIFS(BD!$H$3:$H$5001,BD!$A$3:$A$5001,AF$3,BD!$B$3:$B$5001,$A$206)))</f>
        <v/>
      </c>
      <c r="AG211" s="194" t="str">
        <f>IF(AG$3="","",IF(COUNTIFS(BD!$A$3:$A$5001,AG$3,BD!$B$3:$B$5001,$A$206,BD!$H$3:$H$5001,"&lt;&gt;")=0,"",SUMIFS(BD!$H$3:$H$5001,BD!$A$3:$A$5001,AG$3,BD!$B$3:$B$5001,$A$206)))</f>
        <v/>
      </c>
      <c r="AH211" s="194" t="str">
        <f>IF(AH$3="","",IF(COUNTIFS(BD!$A$3:$A$5001,AH$3,BD!$B$3:$B$5001,$A$206,BD!$H$3:$H$5001,"&lt;&gt;")=0,"",SUMIFS(BD!$H$3:$H$5001,BD!$A$3:$A$5001,AH$3,BD!$B$3:$B$5001,$A$206)))</f>
        <v/>
      </c>
      <c r="AI211" s="194" t="str">
        <f>IF(AI$3="","",IF(COUNTIFS(BD!$A$3:$A$5001,AI$3,BD!$B$3:$B$5001,$A$206,BD!$H$3:$H$5001,"&lt;&gt;")=0,"",SUMIFS(BD!$H$3:$H$5001,BD!$A$3:$A$5001,AI$3,BD!$B$3:$B$5001,$A$206)))</f>
        <v/>
      </c>
      <c r="AJ211" s="195" t="str">
        <f>IF(AJ$3="","",IF(COUNTIFS(BD!$A$3:$A$5001,AJ$3,BD!$B$3:$B$5001,$A$206,BD!$H$3:$H$5001,"&lt;&gt;")=0,"",SUMIFS(BD!$H$3:$H$5001,BD!$A$3:$A$5001,AJ$3,BD!$B$3:$B$5001,$A$206)))</f>
        <v/>
      </c>
      <c r="AK211" s="196" t="str">
        <f>IF(COUNT(F211:AJ211)=0,"",SUM(F211:AJ211))</f>
        <v/>
      </c>
    </row>
    <row r="212" ht="15.75" customHeight="1" hidden="1">
      <c r="A212" s="254"/>
      <c r="B212" s="247" t="inlineStr">
        <is>
          <t xml:space="preserve">NC</t>
        </is>
      </c>
      <c r="C212" s="197" t="inlineStr">
        <is>
          <t xml:space="preserve">Incidentes</t>
        </is>
      </c>
      <c r="D212" s="198" t="str">
        <f>IFERROR(1/(1/INDEX(BD!$Y$29:$AS$29,MATCH($A$206,BD!$Y$22:$AS$22,0))),"")</f>
        <v/>
      </c>
      <c r="E212" s="199"/>
      <c r="F212" s="200" t="str">
        <f>IF(F$3="","",IF(COUNTIFS(BD!$A$3:$A$5001,F$3,BD!$B$3:$B$5001,$A$206,BD!$I$3:$I$5001,"&lt;&gt;")=0,"",SUMIFS(BD!$I$3:$I$5001,BD!$A$3:$A$5001,F$3,BD!$B$3:$B$5001,$A$206)))</f>
        <v/>
      </c>
      <c r="G212" s="201" t="str">
        <f>IF(G$3="","",IF(COUNTIFS(BD!$A$3:$A$5001,G$3,BD!$B$3:$B$5001,$A$206,BD!$I$3:$I$5001,"&lt;&gt;")=0,"",SUMIFS(BD!$I$3:$I$5001,BD!$A$3:$A$5001,G$3,BD!$B$3:$B$5001,$A$206)))</f>
        <v/>
      </c>
      <c r="H212" s="201" t="str">
        <f>IF(H$3="","",IF(COUNTIFS(BD!$A$3:$A$5001,H$3,BD!$B$3:$B$5001,$A$206,BD!$I$3:$I$5001,"&lt;&gt;")=0,"",SUMIFS(BD!$I$3:$I$5001,BD!$A$3:$A$5001,H$3,BD!$B$3:$B$5001,$A$206)))</f>
        <v/>
      </c>
      <c r="I212" s="201" t="str">
        <f>IF(I$3="","",IF(COUNTIFS(BD!$A$3:$A$5001,I$3,BD!$B$3:$B$5001,$A$206,BD!$I$3:$I$5001,"&lt;&gt;")=0,"",SUMIFS(BD!$I$3:$I$5001,BD!$A$3:$A$5001,I$3,BD!$B$3:$B$5001,$A$206)))</f>
        <v/>
      </c>
      <c r="J212" s="201" t="str">
        <f>IF(J$3="","",IF(COUNTIFS(BD!$A$3:$A$5001,J$3,BD!$B$3:$B$5001,$A$206,BD!$I$3:$I$5001,"&lt;&gt;")=0,"",SUMIFS(BD!$I$3:$I$5001,BD!$A$3:$A$5001,J$3,BD!$B$3:$B$5001,$A$206)))</f>
        <v/>
      </c>
      <c r="K212" s="201" t="str">
        <f>IF(K$3="","",IF(COUNTIFS(BD!$A$3:$A$5001,K$3,BD!$B$3:$B$5001,$A$206,BD!$I$3:$I$5001,"&lt;&gt;")=0,"",SUMIFS(BD!$I$3:$I$5001,BD!$A$3:$A$5001,K$3,BD!$B$3:$B$5001,$A$206)))</f>
        <v/>
      </c>
      <c r="L212" s="201" t="str">
        <f>IF(L$3="","",IF(COUNTIFS(BD!$A$3:$A$5001,L$3,BD!$B$3:$B$5001,$A$206,BD!$I$3:$I$5001,"&lt;&gt;")=0,"",SUMIFS(BD!$I$3:$I$5001,BD!$A$3:$A$5001,L$3,BD!$B$3:$B$5001,$A$206)))</f>
        <v/>
      </c>
      <c r="M212" s="201" t="str">
        <f>IF(M$3="","",IF(COUNTIFS(BD!$A$3:$A$5001,M$3,BD!$B$3:$B$5001,$A$206,BD!$I$3:$I$5001,"&lt;&gt;")=0,"",SUMIFS(BD!$I$3:$I$5001,BD!$A$3:$A$5001,M$3,BD!$B$3:$B$5001,$A$206)))</f>
        <v/>
      </c>
      <c r="N212" s="201" t="str">
        <f>IF(N$3="","",IF(COUNTIFS(BD!$A$3:$A$5001,N$3,BD!$B$3:$B$5001,$A$206,BD!$I$3:$I$5001,"&lt;&gt;")=0,"",SUMIFS(BD!$I$3:$I$5001,BD!$A$3:$A$5001,N$3,BD!$B$3:$B$5001,$A$206)))</f>
        <v/>
      </c>
      <c r="O212" s="201" t="str">
        <f>IF(O$3="","",IF(COUNTIFS(BD!$A$3:$A$5001,O$3,BD!$B$3:$B$5001,$A$206,BD!$I$3:$I$5001,"&lt;&gt;")=0,"",SUMIFS(BD!$I$3:$I$5001,BD!$A$3:$A$5001,O$3,BD!$B$3:$B$5001,$A$206)))</f>
        <v/>
      </c>
      <c r="P212" s="201" t="str">
        <f>IF(P$3="","",IF(COUNTIFS(BD!$A$3:$A$5001,P$3,BD!$B$3:$B$5001,$A$206,BD!$I$3:$I$5001,"&lt;&gt;")=0,"",SUMIFS(BD!$I$3:$I$5001,BD!$A$3:$A$5001,P$3,BD!$B$3:$B$5001,$A$206)))</f>
        <v/>
      </c>
      <c r="Q212" s="201" t="str">
        <f>IF(Q$3="","",IF(COUNTIFS(BD!$A$3:$A$5001,Q$3,BD!$B$3:$B$5001,$A$206,BD!$I$3:$I$5001,"&lt;&gt;")=0,"",SUMIFS(BD!$I$3:$I$5001,BD!$A$3:$A$5001,Q$3,BD!$B$3:$B$5001,$A$206)))</f>
        <v/>
      </c>
      <c r="R212" s="201" t="str">
        <f>IF(R$3="","",IF(COUNTIFS(BD!$A$3:$A$5001,R$3,BD!$B$3:$B$5001,$A$206,BD!$I$3:$I$5001,"&lt;&gt;")=0,"",SUMIFS(BD!$I$3:$I$5001,BD!$A$3:$A$5001,R$3,BD!$B$3:$B$5001,$A$206)))</f>
        <v/>
      </c>
      <c r="S212" s="201" t="str">
        <f>IF(S$3="","",IF(COUNTIFS(BD!$A$3:$A$5001,S$3,BD!$B$3:$B$5001,$A$206,BD!$I$3:$I$5001,"&lt;&gt;")=0,"",SUMIFS(BD!$I$3:$I$5001,BD!$A$3:$A$5001,S$3,BD!$B$3:$B$5001,$A$206)))</f>
        <v/>
      </c>
      <c r="T212" s="201" t="str">
        <f>IF(T$3="","",IF(COUNTIFS(BD!$A$3:$A$5001,T$3,BD!$B$3:$B$5001,$A$206,BD!$I$3:$I$5001,"&lt;&gt;")=0,"",SUMIFS(BD!$I$3:$I$5001,BD!$A$3:$A$5001,T$3,BD!$B$3:$B$5001,$A$206)))</f>
        <v/>
      </c>
      <c r="U212" s="201" t="str">
        <f>IF(U$3="","",IF(COUNTIFS(BD!$A$3:$A$5001,U$3,BD!$B$3:$B$5001,$A$206,BD!$I$3:$I$5001,"&lt;&gt;")=0,"",SUMIFS(BD!$I$3:$I$5001,BD!$A$3:$A$5001,U$3,BD!$B$3:$B$5001,$A$206)))</f>
        <v/>
      </c>
      <c r="V212" s="201" t="str">
        <f>IF(V$3="","",IF(COUNTIFS(BD!$A$3:$A$5001,V$3,BD!$B$3:$B$5001,$A$206,BD!$I$3:$I$5001,"&lt;&gt;")=0,"",SUMIFS(BD!$I$3:$I$5001,BD!$A$3:$A$5001,V$3,BD!$B$3:$B$5001,$A$206)))</f>
        <v/>
      </c>
      <c r="W212" s="201" t="str">
        <f>IF(W$3="","",IF(COUNTIFS(BD!$A$3:$A$5001,W$3,BD!$B$3:$B$5001,$A$206,BD!$I$3:$I$5001,"&lt;&gt;")=0,"",SUMIFS(BD!$I$3:$I$5001,BD!$A$3:$A$5001,W$3,BD!$B$3:$B$5001,$A$206)))</f>
        <v/>
      </c>
      <c r="X212" s="201" t="str">
        <f>IF(X$3="","",IF(COUNTIFS(BD!$A$3:$A$5001,X$3,BD!$B$3:$B$5001,$A$206,BD!$I$3:$I$5001,"&lt;&gt;")=0,"",SUMIFS(BD!$I$3:$I$5001,BD!$A$3:$A$5001,X$3,BD!$B$3:$B$5001,$A$206)))</f>
        <v/>
      </c>
      <c r="Y212" s="201" t="str">
        <f>IF(Y$3="","",IF(COUNTIFS(BD!$A$3:$A$5001,Y$3,BD!$B$3:$B$5001,$A$206,BD!$I$3:$I$5001,"&lt;&gt;")=0,"",SUMIFS(BD!$I$3:$I$5001,BD!$A$3:$A$5001,Y$3,BD!$B$3:$B$5001,$A$206)))</f>
        <v/>
      </c>
      <c r="Z212" s="201" t="str">
        <f>IF(Z$3="","",IF(COUNTIFS(BD!$A$3:$A$5001,Z$3,BD!$B$3:$B$5001,$A$206,BD!$I$3:$I$5001,"&lt;&gt;")=0,"",SUMIFS(BD!$I$3:$I$5001,BD!$A$3:$A$5001,Z$3,BD!$B$3:$B$5001,$A$206)))</f>
        <v/>
      </c>
      <c r="AA212" s="201" t="str">
        <f>IF(AA$3="","",IF(COUNTIFS(BD!$A$3:$A$5001,AA$3,BD!$B$3:$B$5001,$A$206,BD!$I$3:$I$5001,"&lt;&gt;")=0,"",SUMIFS(BD!$I$3:$I$5001,BD!$A$3:$A$5001,AA$3,BD!$B$3:$B$5001,$A$206)))</f>
        <v/>
      </c>
      <c r="AB212" s="201" t="str">
        <f>IF(AB$3="","",IF(COUNTIFS(BD!$A$3:$A$5001,AB$3,BD!$B$3:$B$5001,$A$206,BD!$I$3:$I$5001,"&lt;&gt;")=0,"",SUMIFS(BD!$I$3:$I$5001,BD!$A$3:$A$5001,AB$3,BD!$B$3:$B$5001,$A$206)))</f>
        <v/>
      </c>
      <c r="AC212" s="201" t="str">
        <f>IF(AC$3="","",IF(COUNTIFS(BD!$A$3:$A$5001,AC$3,BD!$B$3:$B$5001,$A$206,BD!$I$3:$I$5001,"&lt;&gt;")=0,"",SUMIFS(BD!$I$3:$I$5001,BD!$A$3:$A$5001,AC$3,BD!$B$3:$B$5001,$A$206)))</f>
        <v/>
      </c>
      <c r="AD212" s="201" t="str">
        <f>IF(AD$3="","",IF(COUNTIFS(BD!$A$3:$A$5001,AD$3,BD!$B$3:$B$5001,$A$206,BD!$I$3:$I$5001,"&lt;&gt;")=0,"",SUMIFS(BD!$I$3:$I$5001,BD!$A$3:$A$5001,AD$3,BD!$B$3:$B$5001,$A$206)))</f>
        <v/>
      </c>
      <c r="AE212" s="201" t="str">
        <f>IF(AE$3="","",IF(COUNTIFS(BD!$A$3:$A$5001,AE$3,BD!$B$3:$B$5001,$A$206,BD!$I$3:$I$5001,"&lt;&gt;")=0,"",SUMIFS(BD!$I$3:$I$5001,BD!$A$3:$A$5001,AE$3,BD!$B$3:$B$5001,$A$206)))</f>
        <v/>
      </c>
      <c r="AF212" s="201" t="str">
        <f>IF(AF$3="","",IF(COUNTIFS(BD!$A$3:$A$5001,AF$3,BD!$B$3:$B$5001,$A$206,BD!$I$3:$I$5001,"&lt;&gt;")=0,"",SUMIFS(BD!$I$3:$I$5001,BD!$A$3:$A$5001,AF$3,BD!$B$3:$B$5001,$A$206)))</f>
        <v/>
      </c>
      <c r="AG212" s="201" t="str">
        <f>IF(AG$3="","",IF(COUNTIFS(BD!$A$3:$A$5001,AG$3,BD!$B$3:$B$5001,$A$206,BD!$I$3:$I$5001,"&lt;&gt;")=0,"",SUMIFS(BD!$I$3:$I$5001,BD!$A$3:$A$5001,AG$3,BD!$B$3:$B$5001,$A$206)))</f>
        <v/>
      </c>
      <c r="AH212" s="201" t="str">
        <f>IF(AH$3="","",IF(COUNTIFS(BD!$A$3:$A$5001,AH$3,BD!$B$3:$B$5001,$A$206,BD!$I$3:$I$5001,"&lt;&gt;")=0,"",SUMIFS(BD!$I$3:$I$5001,BD!$A$3:$A$5001,AH$3,BD!$B$3:$B$5001,$A$206)))</f>
        <v/>
      </c>
      <c r="AI212" s="201" t="str">
        <f>IF(AI$3="","",IF(COUNTIFS(BD!$A$3:$A$5001,AI$3,BD!$B$3:$B$5001,$A$206,BD!$I$3:$I$5001,"&lt;&gt;")=0,"",SUMIFS(BD!$I$3:$I$5001,BD!$A$3:$A$5001,AI$3,BD!$B$3:$B$5001,$A$206)))</f>
        <v/>
      </c>
      <c r="AJ212" s="202" t="str">
        <f>IF(AJ$3="","",IF(COUNTIFS(BD!$A$3:$A$5001,AJ$3,BD!$B$3:$B$5001,$A$206,BD!$I$3:$I$5001,"&lt;&gt;")=0,"",SUMIFS(BD!$I$3:$I$5001,BD!$A$3:$A$5001,AJ$3,BD!$B$3:$B$5001,$A$206)))</f>
        <v/>
      </c>
      <c r="AK212" s="203" t="str">
        <f>IF(COUNT(F212:AJ212)=0,"",SUM(F212:AJ212))</f>
        <v/>
      </c>
    </row>
    <row r="213" ht="15.75" customHeight="1" hidden="1">
      <c r="A213" s="254"/>
      <c r="B213" s="248"/>
      <c r="C213" s="204" t="inlineStr">
        <is>
          <t xml:space="preserve">No show</t>
        </is>
      </c>
      <c r="D213" s="205" t="str">
        <f>IFERROR(1/(1/INDEX(BD!$Y$30:$AS$30,MATCH($A$206,BD!$Y$22:$AS$22,0))),"")</f>
        <v/>
      </c>
      <c r="E213" s="206"/>
      <c r="F213" s="207" t="str">
        <f>IF(F$3="","",IF(COUNTIFS(BD!$A$3:$A$5001,F$3,BD!$B$3:$B$5001,$A$206,BD!$J$3:$J$5001,"&lt;&gt;")=0,"",SUMIFS(BD!$J$3:$J$5001,BD!$A$3:$A$5001,F$3,BD!$B$3:$B$5001,$A$206)))</f>
        <v/>
      </c>
      <c r="G213" s="208" t="str">
        <f>IF(G$3="","",IF(COUNTIFS(BD!$A$3:$A$5001,G$3,BD!$B$3:$B$5001,$A$206,BD!$J$3:$J$5001,"&lt;&gt;")=0,"",SUMIFS(BD!$J$3:$J$5001,BD!$A$3:$A$5001,G$3,BD!$B$3:$B$5001,$A$206)))</f>
        <v/>
      </c>
      <c r="H213" s="208" t="str">
        <f>IF(H$3="","",IF(COUNTIFS(BD!$A$3:$A$5001,H$3,BD!$B$3:$B$5001,$A$206,BD!$J$3:$J$5001,"&lt;&gt;")=0,"",SUMIFS(BD!$J$3:$J$5001,BD!$A$3:$A$5001,H$3,BD!$B$3:$B$5001,$A$206)))</f>
        <v/>
      </c>
      <c r="I213" s="208" t="str">
        <f>IF(I$3="","",IF(COUNTIFS(BD!$A$3:$A$5001,I$3,BD!$B$3:$B$5001,$A$206,BD!$J$3:$J$5001,"&lt;&gt;")=0,"",SUMIFS(BD!$J$3:$J$5001,BD!$A$3:$A$5001,I$3,BD!$B$3:$B$5001,$A$206)))</f>
        <v/>
      </c>
      <c r="J213" s="208" t="str">
        <f>IF(J$3="","",IF(COUNTIFS(BD!$A$3:$A$5001,J$3,BD!$B$3:$B$5001,$A$206,BD!$J$3:$J$5001,"&lt;&gt;")=0,"",SUMIFS(BD!$J$3:$J$5001,BD!$A$3:$A$5001,J$3,BD!$B$3:$B$5001,$A$206)))</f>
        <v/>
      </c>
      <c r="K213" s="208" t="str">
        <f>IF(K$3="","",IF(COUNTIFS(BD!$A$3:$A$5001,K$3,BD!$B$3:$B$5001,$A$206,BD!$J$3:$J$5001,"&lt;&gt;")=0,"",SUMIFS(BD!$J$3:$J$5001,BD!$A$3:$A$5001,K$3,BD!$B$3:$B$5001,$A$206)))</f>
        <v/>
      </c>
      <c r="L213" s="208" t="str">
        <f>IF(L$3="","",IF(COUNTIFS(BD!$A$3:$A$5001,L$3,BD!$B$3:$B$5001,$A$206,BD!$J$3:$J$5001,"&lt;&gt;")=0,"",SUMIFS(BD!$J$3:$J$5001,BD!$A$3:$A$5001,L$3,BD!$B$3:$B$5001,$A$206)))</f>
        <v/>
      </c>
      <c r="M213" s="208" t="str">
        <f>IF(M$3="","",IF(COUNTIFS(BD!$A$3:$A$5001,M$3,BD!$B$3:$B$5001,$A$206,BD!$J$3:$J$5001,"&lt;&gt;")=0,"",SUMIFS(BD!$J$3:$J$5001,BD!$A$3:$A$5001,M$3,BD!$B$3:$B$5001,$A$206)))</f>
        <v/>
      </c>
      <c r="N213" s="208" t="str">
        <f>IF(N$3="","",IF(COUNTIFS(BD!$A$3:$A$5001,N$3,BD!$B$3:$B$5001,$A$206,BD!$J$3:$J$5001,"&lt;&gt;")=0,"",SUMIFS(BD!$J$3:$J$5001,BD!$A$3:$A$5001,N$3,BD!$B$3:$B$5001,$A$206)))</f>
        <v/>
      </c>
      <c r="O213" s="208" t="str">
        <f>IF(O$3="","",IF(COUNTIFS(BD!$A$3:$A$5001,O$3,BD!$B$3:$B$5001,$A$206,BD!$J$3:$J$5001,"&lt;&gt;")=0,"",SUMIFS(BD!$J$3:$J$5001,BD!$A$3:$A$5001,O$3,BD!$B$3:$B$5001,$A$206)))</f>
        <v/>
      </c>
      <c r="P213" s="208" t="str">
        <f>IF(P$3="","",IF(COUNTIFS(BD!$A$3:$A$5001,P$3,BD!$B$3:$B$5001,$A$206,BD!$J$3:$J$5001,"&lt;&gt;")=0,"",SUMIFS(BD!$J$3:$J$5001,BD!$A$3:$A$5001,P$3,BD!$B$3:$B$5001,$A$206)))</f>
        <v/>
      </c>
      <c r="Q213" s="208" t="str">
        <f>IF(Q$3="","",IF(COUNTIFS(BD!$A$3:$A$5001,Q$3,BD!$B$3:$B$5001,$A$206,BD!$J$3:$J$5001,"&lt;&gt;")=0,"",SUMIFS(BD!$J$3:$J$5001,BD!$A$3:$A$5001,Q$3,BD!$B$3:$B$5001,$A$206)))</f>
        <v/>
      </c>
      <c r="R213" s="208" t="str">
        <f>IF(R$3="","",IF(COUNTIFS(BD!$A$3:$A$5001,R$3,BD!$B$3:$B$5001,$A$206,BD!$J$3:$J$5001,"&lt;&gt;")=0,"",SUMIFS(BD!$J$3:$J$5001,BD!$A$3:$A$5001,R$3,BD!$B$3:$B$5001,$A$206)))</f>
        <v/>
      </c>
      <c r="S213" s="208" t="str">
        <f>IF(S$3="","",IF(COUNTIFS(BD!$A$3:$A$5001,S$3,BD!$B$3:$B$5001,$A$206,BD!$J$3:$J$5001,"&lt;&gt;")=0,"",SUMIFS(BD!$J$3:$J$5001,BD!$A$3:$A$5001,S$3,BD!$B$3:$B$5001,$A$206)))</f>
        <v/>
      </c>
      <c r="T213" s="208" t="str">
        <f>IF(T$3="","",IF(COUNTIFS(BD!$A$3:$A$5001,T$3,BD!$B$3:$B$5001,$A$206,BD!$J$3:$J$5001,"&lt;&gt;")=0,"",SUMIFS(BD!$J$3:$J$5001,BD!$A$3:$A$5001,T$3,BD!$B$3:$B$5001,$A$206)))</f>
        <v/>
      </c>
      <c r="U213" s="208" t="str">
        <f>IF(U$3="","",IF(COUNTIFS(BD!$A$3:$A$5001,U$3,BD!$B$3:$B$5001,$A$206,BD!$J$3:$J$5001,"&lt;&gt;")=0,"",SUMIFS(BD!$J$3:$J$5001,BD!$A$3:$A$5001,U$3,BD!$B$3:$B$5001,$A$206)))</f>
        <v/>
      </c>
      <c r="V213" s="208" t="str">
        <f>IF(V$3="","",IF(COUNTIFS(BD!$A$3:$A$5001,V$3,BD!$B$3:$B$5001,$A$206,BD!$J$3:$J$5001,"&lt;&gt;")=0,"",SUMIFS(BD!$J$3:$J$5001,BD!$A$3:$A$5001,V$3,BD!$B$3:$B$5001,$A$206)))</f>
        <v/>
      </c>
      <c r="W213" s="208" t="str">
        <f>IF(W$3="","",IF(COUNTIFS(BD!$A$3:$A$5001,W$3,BD!$B$3:$B$5001,$A$206,BD!$J$3:$J$5001,"&lt;&gt;")=0,"",SUMIFS(BD!$J$3:$J$5001,BD!$A$3:$A$5001,W$3,BD!$B$3:$B$5001,$A$206)))</f>
        <v/>
      </c>
      <c r="X213" s="208" t="str">
        <f>IF(X$3="","",IF(COUNTIFS(BD!$A$3:$A$5001,X$3,BD!$B$3:$B$5001,$A$206,BD!$J$3:$J$5001,"&lt;&gt;")=0,"",SUMIFS(BD!$J$3:$J$5001,BD!$A$3:$A$5001,X$3,BD!$B$3:$B$5001,$A$206)))</f>
        <v/>
      </c>
      <c r="Y213" s="208" t="str">
        <f>IF(Y$3="","",IF(COUNTIFS(BD!$A$3:$A$5001,Y$3,BD!$B$3:$B$5001,$A$206,BD!$J$3:$J$5001,"&lt;&gt;")=0,"",SUMIFS(BD!$J$3:$J$5001,BD!$A$3:$A$5001,Y$3,BD!$B$3:$B$5001,$A$206)))</f>
        <v/>
      </c>
      <c r="Z213" s="208" t="str">
        <f>IF(Z$3="","",IF(COUNTIFS(BD!$A$3:$A$5001,Z$3,BD!$B$3:$B$5001,$A$206,BD!$J$3:$J$5001,"&lt;&gt;")=0,"",SUMIFS(BD!$J$3:$J$5001,BD!$A$3:$A$5001,Z$3,BD!$B$3:$B$5001,$A$206)))</f>
        <v/>
      </c>
      <c r="AA213" s="208" t="str">
        <f>IF(AA$3="","",IF(COUNTIFS(BD!$A$3:$A$5001,AA$3,BD!$B$3:$B$5001,$A$206,BD!$J$3:$J$5001,"&lt;&gt;")=0,"",SUMIFS(BD!$J$3:$J$5001,BD!$A$3:$A$5001,AA$3,BD!$B$3:$B$5001,$A$206)))</f>
        <v/>
      </c>
      <c r="AB213" s="208" t="str">
        <f>IF(AB$3="","",IF(COUNTIFS(BD!$A$3:$A$5001,AB$3,BD!$B$3:$B$5001,$A$206,BD!$J$3:$J$5001,"&lt;&gt;")=0,"",SUMIFS(BD!$J$3:$J$5001,BD!$A$3:$A$5001,AB$3,BD!$B$3:$B$5001,$A$206)))</f>
        <v/>
      </c>
      <c r="AC213" s="208" t="str">
        <f>IF(AC$3="","",IF(COUNTIFS(BD!$A$3:$A$5001,AC$3,BD!$B$3:$B$5001,$A$206,BD!$J$3:$J$5001,"&lt;&gt;")=0,"",SUMIFS(BD!$J$3:$J$5001,BD!$A$3:$A$5001,AC$3,BD!$B$3:$B$5001,$A$206)))</f>
        <v/>
      </c>
      <c r="AD213" s="208" t="str">
        <f>IF(AD$3="","",IF(COUNTIFS(BD!$A$3:$A$5001,AD$3,BD!$B$3:$B$5001,$A$206,BD!$J$3:$J$5001,"&lt;&gt;")=0,"",SUMIFS(BD!$J$3:$J$5001,BD!$A$3:$A$5001,AD$3,BD!$B$3:$B$5001,$A$206)))</f>
        <v/>
      </c>
      <c r="AE213" s="208" t="str">
        <f>IF(AE$3="","",IF(COUNTIFS(BD!$A$3:$A$5001,AE$3,BD!$B$3:$B$5001,$A$206,BD!$J$3:$J$5001,"&lt;&gt;")=0,"",SUMIFS(BD!$J$3:$J$5001,BD!$A$3:$A$5001,AE$3,BD!$B$3:$B$5001,$A$206)))</f>
        <v/>
      </c>
      <c r="AF213" s="208" t="str">
        <f>IF(AF$3="","",IF(COUNTIFS(BD!$A$3:$A$5001,AF$3,BD!$B$3:$B$5001,$A$206,BD!$J$3:$J$5001,"&lt;&gt;")=0,"",SUMIFS(BD!$J$3:$J$5001,BD!$A$3:$A$5001,AF$3,BD!$B$3:$B$5001,$A$206)))</f>
        <v/>
      </c>
      <c r="AG213" s="208" t="str">
        <f>IF(AG$3="","",IF(COUNTIFS(BD!$A$3:$A$5001,AG$3,BD!$B$3:$B$5001,$A$206,BD!$J$3:$J$5001,"&lt;&gt;")=0,"",SUMIFS(BD!$J$3:$J$5001,BD!$A$3:$A$5001,AG$3,BD!$B$3:$B$5001,$A$206)))</f>
        <v/>
      </c>
      <c r="AH213" s="208" t="str">
        <f>IF(AH$3="","",IF(COUNTIFS(BD!$A$3:$A$5001,AH$3,BD!$B$3:$B$5001,$A$206,BD!$J$3:$J$5001,"&lt;&gt;")=0,"",SUMIFS(BD!$J$3:$J$5001,BD!$A$3:$A$5001,AH$3,BD!$B$3:$B$5001,$A$206)))</f>
        <v/>
      </c>
      <c r="AI213" s="208" t="str">
        <f>IF(AI$3="","",IF(COUNTIFS(BD!$A$3:$A$5001,AI$3,BD!$B$3:$B$5001,$A$206,BD!$J$3:$J$5001,"&lt;&gt;")=0,"",SUMIFS(BD!$J$3:$J$5001,BD!$A$3:$A$5001,AI$3,BD!$B$3:$B$5001,$A$206)))</f>
        <v/>
      </c>
      <c r="AJ213" s="209" t="str">
        <f>IF(AJ$3="","",IF(COUNTIFS(BD!$A$3:$A$5001,AJ$3,BD!$B$3:$B$5001,$A$206,BD!$J$3:$J$5001,"&lt;&gt;")=0,"",SUMIFS(BD!$J$3:$J$5001,BD!$A$3:$A$5001,AJ$3,BD!$B$3:$B$5001,$A$206)))</f>
        <v/>
      </c>
      <c r="AK213" s="210" t="str">
        <f>IF(COUNT(F213:AJ213)=0,"",SUM(F213:AJ213))</f>
        <v/>
      </c>
    </row>
    <row r="214" ht="15.75" customHeight="1" hidden="1">
      <c r="A214" s="254"/>
      <c r="B214" s="249"/>
      <c r="C214" s="211" t="inlineStr">
        <is>
          <t xml:space="preserve">Backlog</t>
        </is>
      </c>
      <c r="D214" s="212" t="str">
        <f>IFERROR(1/(1/INDEX(BD!$Y$31:$AS$31,MATCH($A$206,BD!$Y$22:$AS$22,0))),"")</f>
        <v/>
      </c>
      <c r="E214" s="213"/>
      <c r="F214" s="214" t="str">
        <f>IF(F$3="","",IF(COUNTIFS(BD!$A$3:$A$5001,F$3,BD!$B$3:$B$5001,$A$206,BD!$K$3:$K$5001,"&lt;&gt;")=0,"",SUMIFS(BD!$K$3:$K$5001,BD!$A$3:$A$5001,F$3,BD!$B$3:$B$5001,$A$206)))</f>
        <v/>
      </c>
      <c r="G214" s="215" t="str">
        <f>IF(G$3="","",IF(COUNTIFS(BD!$A$3:$A$5001,G$3,BD!$B$3:$B$5001,$A$206,BD!$K$3:$K$5001,"&lt;&gt;")=0,"",SUMIFS(BD!$K$3:$K$5001,BD!$A$3:$A$5001,G$3,BD!$B$3:$B$5001,$A$206)))</f>
        <v/>
      </c>
      <c r="H214" s="215" t="str">
        <f>IF(H$3="","",IF(COUNTIFS(BD!$A$3:$A$5001,H$3,BD!$B$3:$B$5001,$A$206,BD!$K$3:$K$5001,"&lt;&gt;")=0,"",SUMIFS(BD!$K$3:$K$5001,BD!$A$3:$A$5001,H$3,BD!$B$3:$B$5001,$A$206)))</f>
        <v/>
      </c>
      <c r="I214" s="215" t="str">
        <f>IF(I$3="","",IF(COUNTIFS(BD!$A$3:$A$5001,I$3,BD!$B$3:$B$5001,$A$206,BD!$K$3:$K$5001,"&lt;&gt;")=0,"",SUMIFS(BD!$K$3:$K$5001,BD!$A$3:$A$5001,I$3,BD!$B$3:$B$5001,$A$206)))</f>
        <v/>
      </c>
      <c r="J214" s="215" t="str">
        <f>IF(J$3="","",IF(COUNTIFS(BD!$A$3:$A$5001,J$3,BD!$B$3:$B$5001,$A$206,BD!$K$3:$K$5001,"&lt;&gt;")=0,"",SUMIFS(BD!$K$3:$K$5001,BD!$A$3:$A$5001,J$3,BD!$B$3:$B$5001,$A$206)))</f>
        <v/>
      </c>
      <c r="K214" s="215" t="str">
        <f>IF(K$3="","",IF(COUNTIFS(BD!$A$3:$A$5001,K$3,BD!$B$3:$B$5001,$A$206,BD!$K$3:$K$5001,"&lt;&gt;")=0,"",SUMIFS(BD!$K$3:$K$5001,BD!$A$3:$A$5001,K$3,BD!$B$3:$B$5001,$A$206)))</f>
        <v/>
      </c>
      <c r="L214" s="215" t="str">
        <f>IF(L$3="","",IF(COUNTIFS(BD!$A$3:$A$5001,L$3,BD!$B$3:$B$5001,$A$206,BD!$K$3:$K$5001,"&lt;&gt;")=0,"",SUMIFS(BD!$K$3:$K$5001,BD!$A$3:$A$5001,L$3,BD!$B$3:$B$5001,$A$206)))</f>
        <v/>
      </c>
      <c r="M214" s="215" t="str">
        <f>IF(M$3="","",IF(COUNTIFS(BD!$A$3:$A$5001,M$3,BD!$B$3:$B$5001,$A$206,BD!$K$3:$K$5001,"&lt;&gt;")=0,"",SUMIFS(BD!$K$3:$K$5001,BD!$A$3:$A$5001,M$3,BD!$B$3:$B$5001,$A$206)))</f>
        <v/>
      </c>
      <c r="N214" s="215" t="str">
        <f>IF(N$3="","",IF(COUNTIFS(BD!$A$3:$A$5001,N$3,BD!$B$3:$B$5001,$A$206,BD!$K$3:$K$5001,"&lt;&gt;")=0,"",SUMIFS(BD!$K$3:$K$5001,BD!$A$3:$A$5001,N$3,BD!$B$3:$B$5001,$A$206)))</f>
        <v/>
      </c>
      <c r="O214" s="215" t="str">
        <f>IF(O$3="","",IF(COUNTIFS(BD!$A$3:$A$5001,O$3,BD!$B$3:$B$5001,$A$206,BD!$K$3:$K$5001,"&lt;&gt;")=0,"",SUMIFS(BD!$K$3:$K$5001,BD!$A$3:$A$5001,O$3,BD!$B$3:$B$5001,$A$206)))</f>
        <v/>
      </c>
      <c r="P214" s="215" t="str">
        <f>IF(P$3="","",IF(COUNTIFS(BD!$A$3:$A$5001,P$3,BD!$B$3:$B$5001,$A$206,BD!$K$3:$K$5001,"&lt;&gt;")=0,"",SUMIFS(BD!$K$3:$K$5001,BD!$A$3:$A$5001,P$3,BD!$B$3:$B$5001,$A$206)))</f>
        <v/>
      </c>
      <c r="Q214" s="215" t="str">
        <f>IF(Q$3="","",IF(COUNTIFS(BD!$A$3:$A$5001,Q$3,BD!$B$3:$B$5001,$A$206,BD!$K$3:$K$5001,"&lt;&gt;")=0,"",SUMIFS(BD!$K$3:$K$5001,BD!$A$3:$A$5001,Q$3,BD!$B$3:$B$5001,$A$206)))</f>
        <v/>
      </c>
      <c r="R214" s="215" t="str">
        <f>IF(R$3="","",IF(COUNTIFS(BD!$A$3:$A$5001,R$3,BD!$B$3:$B$5001,$A$206,BD!$K$3:$K$5001,"&lt;&gt;")=0,"",SUMIFS(BD!$K$3:$K$5001,BD!$A$3:$A$5001,R$3,BD!$B$3:$B$5001,$A$206)))</f>
        <v/>
      </c>
      <c r="S214" s="215" t="str">
        <f>IF(S$3="","",IF(COUNTIFS(BD!$A$3:$A$5001,S$3,BD!$B$3:$B$5001,$A$206,BD!$K$3:$K$5001,"&lt;&gt;")=0,"",SUMIFS(BD!$K$3:$K$5001,BD!$A$3:$A$5001,S$3,BD!$B$3:$B$5001,$A$206)))</f>
        <v/>
      </c>
      <c r="T214" s="215" t="str">
        <f>IF(T$3="","",IF(COUNTIFS(BD!$A$3:$A$5001,T$3,BD!$B$3:$B$5001,$A$206,BD!$K$3:$K$5001,"&lt;&gt;")=0,"",SUMIFS(BD!$K$3:$K$5001,BD!$A$3:$A$5001,T$3,BD!$B$3:$B$5001,$A$206)))</f>
        <v/>
      </c>
      <c r="U214" s="215" t="str">
        <f>IF(U$3="","",IF(COUNTIFS(BD!$A$3:$A$5001,U$3,BD!$B$3:$B$5001,$A$206,BD!$K$3:$K$5001,"&lt;&gt;")=0,"",SUMIFS(BD!$K$3:$K$5001,BD!$A$3:$A$5001,U$3,BD!$B$3:$B$5001,$A$206)))</f>
        <v/>
      </c>
      <c r="V214" s="215" t="str">
        <f>IF(V$3="","",IF(COUNTIFS(BD!$A$3:$A$5001,V$3,BD!$B$3:$B$5001,$A$206,BD!$K$3:$K$5001,"&lt;&gt;")=0,"",SUMIFS(BD!$K$3:$K$5001,BD!$A$3:$A$5001,V$3,BD!$B$3:$B$5001,$A$206)))</f>
        <v/>
      </c>
      <c r="W214" s="215" t="str">
        <f>IF(W$3="","",IF(COUNTIFS(BD!$A$3:$A$5001,W$3,BD!$B$3:$B$5001,$A$206,BD!$K$3:$K$5001,"&lt;&gt;")=0,"",SUMIFS(BD!$K$3:$K$5001,BD!$A$3:$A$5001,W$3,BD!$B$3:$B$5001,$A$206)))</f>
        <v/>
      </c>
      <c r="X214" s="215" t="str">
        <f>IF(X$3="","",IF(COUNTIFS(BD!$A$3:$A$5001,X$3,BD!$B$3:$B$5001,$A$206,BD!$K$3:$K$5001,"&lt;&gt;")=0,"",SUMIFS(BD!$K$3:$K$5001,BD!$A$3:$A$5001,X$3,BD!$B$3:$B$5001,$A$206)))</f>
        <v/>
      </c>
      <c r="Y214" s="215" t="str">
        <f>IF(Y$3="","",IF(COUNTIFS(BD!$A$3:$A$5001,Y$3,BD!$B$3:$B$5001,$A$206,BD!$K$3:$K$5001,"&lt;&gt;")=0,"",SUMIFS(BD!$K$3:$K$5001,BD!$A$3:$A$5001,Y$3,BD!$B$3:$B$5001,$A$206)))</f>
        <v/>
      </c>
      <c r="Z214" s="215" t="str">
        <f>IF(Z$3="","",IF(COUNTIFS(BD!$A$3:$A$5001,Z$3,BD!$B$3:$B$5001,$A$206,BD!$K$3:$K$5001,"&lt;&gt;")=0,"",SUMIFS(BD!$K$3:$K$5001,BD!$A$3:$A$5001,Z$3,BD!$B$3:$B$5001,$A$206)))</f>
        <v/>
      </c>
      <c r="AA214" s="215" t="str">
        <f>IF(AA$3="","",IF(COUNTIFS(BD!$A$3:$A$5001,AA$3,BD!$B$3:$B$5001,$A$206,BD!$K$3:$K$5001,"&lt;&gt;")=0,"",SUMIFS(BD!$K$3:$K$5001,BD!$A$3:$A$5001,AA$3,BD!$B$3:$B$5001,$A$206)))</f>
        <v/>
      </c>
      <c r="AB214" s="215" t="str">
        <f>IF(AB$3="","",IF(COUNTIFS(BD!$A$3:$A$5001,AB$3,BD!$B$3:$B$5001,$A$206,BD!$K$3:$K$5001,"&lt;&gt;")=0,"",SUMIFS(BD!$K$3:$K$5001,BD!$A$3:$A$5001,AB$3,BD!$B$3:$B$5001,$A$206)))</f>
        <v/>
      </c>
      <c r="AC214" s="215" t="str">
        <f>IF(AC$3="","",IF(COUNTIFS(BD!$A$3:$A$5001,AC$3,BD!$B$3:$B$5001,$A$206,BD!$K$3:$K$5001,"&lt;&gt;")=0,"",SUMIFS(BD!$K$3:$K$5001,BD!$A$3:$A$5001,AC$3,BD!$B$3:$B$5001,$A$206)))</f>
        <v/>
      </c>
      <c r="AD214" s="215" t="str">
        <f>IF(AD$3="","",IF(COUNTIFS(BD!$A$3:$A$5001,AD$3,BD!$B$3:$B$5001,$A$206,BD!$K$3:$K$5001,"&lt;&gt;")=0,"",SUMIFS(BD!$K$3:$K$5001,BD!$A$3:$A$5001,AD$3,BD!$B$3:$B$5001,$A$206)))</f>
        <v/>
      </c>
      <c r="AE214" s="215" t="str">
        <f>IF(AE$3="","",IF(COUNTIFS(BD!$A$3:$A$5001,AE$3,BD!$B$3:$B$5001,$A$206,BD!$K$3:$K$5001,"&lt;&gt;")=0,"",SUMIFS(BD!$K$3:$K$5001,BD!$A$3:$A$5001,AE$3,BD!$B$3:$B$5001,$A$206)))</f>
        <v/>
      </c>
      <c r="AF214" s="215" t="str">
        <f>IF(AF$3="","",IF(COUNTIFS(BD!$A$3:$A$5001,AF$3,BD!$B$3:$B$5001,$A$206,BD!$K$3:$K$5001,"&lt;&gt;")=0,"",SUMIFS(BD!$K$3:$K$5001,BD!$A$3:$A$5001,AF$3,BD!$B$3:$B$5001,$A$206)))</f>
        <v/>
      </c>
      <c r="AG214" s="215" t="str">
        <f>IF(AG$3="","",IF(COUNTIFS(BD!$A$3:$A$5001,AG$3,BD!$B$3:$B$5001,$A$206,BD!$K$3:$K$5001,"&lt;&gt;")=0,"",SUMIFS(BD!$K$3:$K$5001,BD!$A$3:$A$5001,AG$3,BD!$B$3:$B$5001,$A$206)))</f>
        <v/>
      </c>
      <c r="AH214" s="215" t="str">
        <f>IF(AH$3="","",IF(COUNTIFS(BD!$A$3:$A$5001,AH$3,BD!$B$3:$B$5001,$A$206,BD!$K$3:$K$5001,"&lt;&gt;")=0,"",SUMIFS(BD!$K$3:$K$5001,BD!$A$3:$A$5001,AH$3,BD!$B$3:$B$5001,$A$206)))</f>
        <v/>
      </c>
      <c r="AI214" s="215" t="str">
        <f>IF(AI$3="","",IF(COUNTIFS(BD!$A$3:$A$5001,AI$3,BD!$B$3:$B$5001,$A$206,BD!$K$3:$K$5001,"&lt;&gt;")=0,"",SUMIFS(BD!$K$3:$K$5001,BD!$A$3:$A$5001,AI$3,BD!$B$3:$B$5001,$A$206)))</f>
        <v/>
      </c>
      <c r="AJ214" s="216" t="str">
        <f>IF(AJ$3="","",IF(COUNTIFS(BD!$A$3:$A$5001,AJ$3,BD!$B$3:$B$5001,$A$206,BD!$K$3:$K$5001,"&lt;&gt;")=0,"",SUMIFS(BD!$K$3:$K$5001,BD!$A$3:$A$5001,AJ$3,BD!$B$3:$B$5001,$A$206)))</f>
        <v/>
      </c>
      <c r="AK214" s="212" t="str">
        <f>IFERROR(LOOKUP(9.99E+307,F214:AJ214),"")</f>
        <v/>
      </c>
    </row>
    <row r="215" ht="15.75" customHeight="1" hidden="1">
      <c r="A215" s="254"/>
      <c r="B215" s="241" t="inlineStr">
        <is>
          <t xml:space="preserve">OCUPAÇÃO (P.P)</t>
        </is>
      </c>
      <c r="C215" s="155" t="inlineStr">
        <is>
          <t xml:space="preserve">Posições Disponíveis</t>
        </is>
      </c>
      <c r="D215" s="156" t="str">
        <f>IFERROR(1/(1/INDEX(BD!$Y$32:$AS$32,MATCH($A$206,BD!$Y$22:$AS$22,0))),"")</f>
        <v/>
      </c>
      <c r="E215" s="157"/>
      <c r="F215" s="158" t="str">
        <f>IF(F$3="","",IF(COUNTIFS(BD!$A$3:$A$5001,F$3,BD!$B$3:$B$5001,$A$206,BD!$L$3:$L$5001,"&lt;&gt;")=0,"",SUMIFS(BD!$L$3:$L$5001,BD!$A$3:$A$5001,F$3,BD!$B$3:$B$5001,$A$206)))</f>
        <v/>
      </c>
      <c r="G215" s="159" t="str">
        <f>IF(G$3="","",IF(COUNTIFS(BD!$A$3:$A$5001,G$3,BD!$B$3:$B$5001,$A$206,BD!$L$3:$L$5001,"&lt;&gt;")=0,"",SUMIFS(BD!$L$3:$L$5001,BD!$A$3:$A$5001,G$3,BD!$B$3:$B$5001,$A$206)))</f>
        <v/>
      </c>
      <c r="H215" s="159" t="str">
        <f>IF(H$3="","",IF(COUNTIFS(BD!$A$3:$A$5001,H$3,BD!$B$3:$B$5001,$A$206,BD!$L$3:$L$5001,"&lt;&gt;")=0,"",SUMIFS(BD!$L$3:$L$5001,BD!$A$3:$A$5001,H$3,BD!$B$3:$B$5001,$A$206)))</f>
        <v/>
      </c>
      <c r="I215" s="159" t="str">
        <f>IF(I$3="","",IF(COUNTIFS(BD!$A$3:$A$5001,I$3,BD!$B$3:$B$5001,$A$206,BD!$L$3:$L$5001,"&lt;&gt;")=0,"",SUMIFS(BD!$L$3:$L$5001,BD!$A$3:$A$5001,I$3,BD!$B$3:$B$5001,$A$206)))</f>
        <v/>
      </c>
      <c r="J215" s="159" t="str">
        <f>IF(J$3="","",IF(COUNTIFS(BD!$A$3:$A$5001,J$3,BD!$B$3:$B$5001,$A$206,BD!$L$3:$L$5001,"&lt;&gt;")=0,"",SUMIFS(BD!$L$3:$L$5001,BD!$A$3:$A$5001,J$3,BD!$B$3:$B$5001,$A$206)))</f>
        <v/>
      </c>
      <c r="K215" s="159" t="str">
        <f>IF(K$3="","",IF(COUNTIFS(BD!$A$3:$A$5001,K$3,BD!$B$3:$B$5001,$A$206,BD!$L$3:$L$5001,"&lt;&gt;")=0,"",SUMIFS(BD!$L$3:$L$5001,BD!$A$3:$A$5001,K$3,BD!$B$3:$B$5001,$A$206)))</f>
        <v/>
      </c>
      <c r="L215" s="159" t="str">
        <f>IF(L$3="","",IF(COUNTIFS(BD!$A$3:$A$5001,L$3,BD!$B$3:$B$5001,$A$206,BD!$L$3:$L$5001,"&lt;&gt;")=0,"",SUMIFS(BD!$L$3:$L$5001,BD!$A$3:$A$5001,L$3,BD!$B$3:$B$5001,$A$206)))</f>
        <v/>
      </c>
      <c r="M215" s="159" t="str">
        <f>IF(M$3="","",IF(COUNTIFS(BD!$A$3:$A$5001,M$3,BD!$B$3:$B$5001,$A$206,BD!$L$3:$L$5001,"&lt;&gt;")=0,"",SUMIFS(BD!$L$3:$L$5001,BD!$A$3:$A$5001,M$3,BD!$B$3:$B$5001,$A$206)))</f>
        <v/>
      </c>
      <c r="N215" s="159" t="str">
        <f>IF(N$3="","",IF(COUNTIFS(BD!$A$3:$A$5001,N$3,BD!$B$3:$B$5001,$A$206,BD!$L$3:$L$5001,"&lt;&gt;")=0,"",SUMIFS(BD!$L$3:$L$5001,BD!$A$3:$A$5001,N$3,BD!$B$3:$B$5001,$A$206)))</f>
        <v/>
      </c>
      <c r="O215" s="159" t="str">
        <f>IF(O$3="","",IF(COUNTIFS(BD!$A$3:$A$5001,O$3,BD!$B$3:$B$5001,$A$206,BD!$L$3:$L$5001,"&lt;&gt;")=0,"",SUMIFS(BD!$L$3:$L$5001,BD!$A$3:$A$5001,O$3,BD!$B$3:$B$5001,$A$206)))</f>
        <v/>
      </c>
      <c r="P215" s="159" t="str">
        <f>IF(P$3="","",IF(COUNTIFS(BD!$A$3:$A$5001,P$3,BD!$B$3:$B$5001,$A$206,BD!$L$3:$L$5001,"&lt;&gt;")=0,"",SUMIFS(BD!$L$3:$L$5001,BD!$A$3:$A$5001,P$3,BD!$B$3:$B$5001,$A$206)))</f>
        <v/>
      </c>
      <c r="Q215" s="159" t="str">
        <f>IF(Q$3="","",IF(COUNTIFS(BD!$A$3:$A$5001,Q$3,BD!$B$3:$B$5001,$A$206,BD!$L$3:$L$5001,"&lt;&gt;")=0,"",SUMIFS(BD!$L$3:$L$5001,BD!$A$3:$A$5001,Q$3,BD!$B$3:$B$5001,$A$206)))</f>
        <v/>
      </c>
      <c r="R215" s="159" t="str">
        <f>IF(R$3="","",IF(COUNTIFS(BD!$A$3:$A$5001,R$3,BD!$B$3:$B$5001,$A$206,BD!$L$3:$L$5001,"&lt;&gt;")=0,"",SUMIFS(BD!$L$3:$L$5001,BD!$A$3:$A$5001,R$3,BD!$B$3:$B$5001,$A$206)))</f>
        <v/>
      </c>
      <c r="S215" s="159" t="str">
        <f>IF(S$3="","",IF(COUNTIFS(BD!$A$3:$A$5001,S$3,BD!$B$3:$B$5001,$A$206,BD!$L$3:$L$5001,"&lt;&gt;")=0,"",SUMIFS(BD!$L$3:$L$5001,BD!$A$3:$A$5001,S$3,BD!$B$3:$B$5001,$A$206)))</f>
        <v/>
      </c>
      <c r="T215" s="159" t="str">
        <f>IF(T$3="","",IF(COUNTIFS(BD!$A$3:$A$5001,T$3,BD!$B$3:$B$5001,$A$206,BD!$L$3:$L$5001,"&lt;&gt;")=0,"",SUMIFS(BD!$L$3:$L$5001,BD!$A$3:$A$5001,T$3,BD!$B$3:$B$5001,$A$206)))</f>
        <v/>
      </c>
      <c r="U215" s="159" t="str">
        <f>IF(U$3="","",IF(COUNTIFS(BD!$A$3:$A$5001,U$3,BD!$B$3:$B$5001,$A$206,BD!$L$3:$L$5001,"&lt;&gt;")=0,"",SUMIFS(BD!$L$3:$L$5001,BD!$A$3:$A$5001,U$3,BD!$B$3:$B$5001,$A$206)))</f>
        <v/>
      </c>
      <c r="V215" s="159" t="str">
        <f>IF(V$3="","",IF(COUNTIFS(BD!$A$3:$A$5001,V$3,BD!$B$3:$B$5001,$A$206,BD!$L$3:$L$5001,"&lt;&gt;")=0,"",SUMIFS(BD!$L$3:$L$5001,BD!$A$3:$A$5001,V$3,BD!$B$3:$B$5001,$A$206)))</f>
        <v/>
      </c>
      <c r="W215" s="159" t="str">
        <f>IF(W$3="","",IF(COUNTIFS(BD!$A$3:$A$5001,W$3,BD!$B$3:$B$5001,$A$206,BD!$L$3:$L$5001,"&lt;&gt;")=0,"",SUMIFS(BD!$L$3:$L$5001,BD!$A$3:$A$5001,W$3,BD!$B$3:$B$5001,$A$206)))</f>
        <v/>
      </c>
      <c r="X215" s="159" t="str">
        <f>IF(X$3="","",IF(COUNTIFS(BD!$A$3:$A$5001,X$3,BD!$B$3:$B$5001,$A$206,BD!$L$3:$L$5001,"&lt;&gt;")=0,"",SUMIFS(BD!$L$3:$L$5001,BD!$A$3:$A$5001,X$3,BD!$B$3:$B$5001,$A$206)))</f>
        <v/>
      </c>
      <c r="Y215" s="159" t="str">
        <f>IF(Y$3="","",IF(COUNTIFS(BD!$A$3:$A$5001,Y$3,BD!$B$3:$B$5001,$A$206,BD!$L$3:$L$5001,"&lt;&gt;")=0,"",SUMIFS(BD!$L$3:$L$5001,BD!$A$3:$A$5001,Y$3,BD!$B$3:$B$5001,$A$206)))</f>
        <v/>
      </c>
      <c r="Z215" s="159" t="str">
        <f>IF(Z$3="","",IF(COUNTIFS(BD!$A$3:$A$5001,Z$3,BD!$B$3:$B$5001,$A$206,BD!$L$3:$L$5001,"&lt;&gt;")=0,"",SUMIFS(BD!$L$3:$L$5001,BD!$A$3:$A$5001,Z$3,BD!$B$3:$B$5001,$A$206)))</f>
        <v/>
      </c>
      <c r="AA215" s="159" t="str">
        <f>IF(AA$3="","",IF(COUNTIFS(BD!$A$3:$A$5001,AA$3,BD!$B$3:$B$5001,$A$206,BD!$L$3:$L$5001,"&lt;&gt;")=0,"",SUMIFS(BD!$L$3:$L$5001,BD!$A$3:$A$5001,AA$3,BD!$B$3:$B$5001,$A$206)))</f>
        <v/>
      </c>
      <c r="AB215" s="159" t="str">
        <f>IF(AB$3="","",IF(COUNTIFS(BD!$A$3:$A$5001,AB$3,BD!$B$3:$B$5001,$A$206,BD!$L$3:$L$5001,"&lt;&gt;")=0,"",SUMIFS(BD!$L$3:$L$5001,BD!$A$3:$A$5001,AB$3,BD!$B$3:$B$5001,$A$206)))</f>
        <v/>
      </c>
      <c r="AC215" s="159" t="str">
        <f>IF(AC$3="","",IF(COUNTIFS(BD!$A$3:$A$5001,AC$3,BD!$B$3:$B$5001,$A$206,BD!$L$3:$L$5001,"&lt;&gt;")=0,"",SUMIFS(BD!$L$3:$L$5001,BD!$A$3:$A$5001,AC$3,BD!$B$3:$B$5001,$A$206)))</f>
        <v/>
      </c>
      <c r="AD215" s="159" t="str">
        <f>IF(AD$3="","",IF(COUNTIFS(BD!$A$3:$A$5001,AD$3,BD!$B$3:$B$5001,$A$206,BD!$L$3:$L$5001,"&lt;&gt;")=0,"",SUMIFS(BD!$L$3:$L$5001,BD!$A$3:$A$5001,AD$3,BD!$B$3:$B$5001,$A$206)))</f>
        <v/>
      </c>
      <c r="AE215" s="159" t="str">
        <f>IF(AE$3="","",IF(COUNTIFS(BD!$A$3:$A$5001,AE$3,BD!$B$3:$B$5001,$A$206,BD!$L$3:$L$5001,"&lt;&gt;")=0,"",SUMIFS(BD!$L$3:$L$5001,BD!$A$3:$A$5001,AE$3,BD!$B$3:$B$5001,$A$206)))</f>
        <v/>
      </c>
      <c r="AF215" s="159" t="str">
        <f>IF(AF$3="","",IF(COUNTIFS(BD!$A$3:$A$5001,AF$3,BD!$B$3:$B$5001,$A$206,BD!$L$3:$L$5001,"&lt;&gt;")=0,"",SUMIFS(BD!$L$3:$L$5001,BD!$A$3:$A$5001,AF$3,BD!$B$3:$B$5001,$A$206)))</f>
        <v/>
      </c>
      <c r="AG215" s="159" t="str">
        <f>IF(AG$3="","",IF(COUNTIFS(BD!$A$3:$A$5001,AG$3,BD!$B$3:$B$5001,$A$206,BD!$L$3:$L$5001,"&lt;&gt;")=0,"",SUMIFS(BD!$L$3:$L$5001,BD!$A$3:$A$5001,AG$3,BD!$B$3:$B$5001,$A$206)))</f>
        <v/>
      </c>
      <c r="AH215" s="159" t="str">
        <f>IF(AH$3="","",IF(COUNTIFS(BD!$A$3:$A$5001,AH$3,BD!$B$3:$B$5001,$A$206,BD!$L$3:$L$5001,"&lt;&gt;")=0,"",SUMIFS(BD!$L$3:$L$5001,BD!$A$3:$A$5001,AH$3,BD!$B$3:$B$5001,$A$206)))</f>
        <v/>
      </c>
      <c r="AI215" s="159" t="str">
        <f>IF(AI$3="","",IF(COUNTIFS(BD!$A$3:$A$5001,AI$3,BD!$B$3:$B$5001,$A$206,BD!$L$3:$L$5001,"&lt;&gt;")=0,"",SUMIFS(BD!$L$3:$L$5001,BD!$A$3:$A$5001,AI$3,BD!$B$3:$B$5001,$A$206)))</f>
        <v/>
      </c>
      <c r="AJ215" s="160" t="str">
        <f>IF(AJ$3="","",IF(COUNTIFS(BD!$A$3:$A$5001,AJ$3,BD!$B$3:$B$5001,$A$206,BD!$L$3:$L$5001,"&lt;&gt;")=0,"",SUMIFS(BD!$L$3:$L$5001,BD!$A$3:$A$5001,AJ$3,BD!$B$3:$B$5001,$A$206)))</f>
        <v/>
      </c>
      <c r="AK215" s="161" t="str">
        <f>IF(COUNT(F215:AJ215)&gt;0,LOOKUP(9.99E+307,F215:AJ215),IFERROR(IF(INDEX(BD!$V$3:$V$5001,MATCH($A$206,BD!$B$3:$B$5001,0))&amp;""="Contrato","",INDEX(BD!$V$3:$V$5001,MATCH($A$206,BD!$B$3:$B$5001,0))&amp;""),""))</f>
        <v/>
      </c>
    </row>
    <row r="216" ht="15.75" customHeight="1" hidden="1">
      <c r="A216" s="254"/>
      <c r="B216" s="242"/>
      <c r="C216" s="162" t="inlineStr">
        <is>
          <t xml:space="preserve">Posições Ocupadas</t>
        </is>
      </c>
      <c r="D216" s="163" t="str">
        <f>IFERROR(1/(1/INDEX(BD!$Y$33:$AS$33,MATCH($A$206,BD!$Y$22:$AS$22,0))),"")</f>
        <v/>
      </c>
      <c r="E216" s="164"/>
      <c r="F216" s="165" t="str">
        <f>IF(F$3="","",IF(COUNTIFS(BD!$A$3:$A$5001,F$3,BD!$B$3:$B$5001,$A$206,BD!$M$3:$M$5001,"&lt;&gt;")=0,"",SUMIFS(BD!$M$3:$M$5001,BD!$A$3:$A$5001,F$3,BD!$B$3:$B$5001,$A$206)))</f>
        <v/>
      </c>
      <c r="G216" s="166" t="str">
        <f>IF(G$3="","",IF(COUNTIFS(BD!$A$3:$A$5001,G$3,BD!$B$3:$B$5001,$A$206,BD!$M$3:$M$5001,"&lt;&gt;")=0,"",SUMIFS(BD!$M$3:$M$5001,BD!$A$3:$A$5001,G$3,BD!$B$3:$B$5001,$A$206)))</f>
        <v/>
      </c>
      <c r="H216" s="166" t="str">
        <f>IF(H$3="","",IF(COUNTIFS(BD!$A$3:$A$5001,H$3,BD!$B$3:$B$5001,$A$206,BD!$M$3:$M$5001,"&lt;&gt;")=0,"",SUMIFS(BD!$M$3:$M$5001,BD!$A$3:$A$5001,H$3,BD!$B$3:$B$5001,$A$206)))</f>
        <v/>
      </c>
      <c r="I216" s="166" t="str">
        <f>IF(I$3="","",IF(COUNTIFS(BD!$A$3:$A$5001,I$3,BD!$B$3:$B$5001,$A$206,BD!$M$3:$M$5001,"&lt;&gt;")=0,"",SUMIFS(BD!$M$3:$M$5001,BD!$A$3:$A$5001,I$3,BD!$B$3:$B$5001,$A$206)))</f>
        <v/>
      </c>
      <c r="J216" s="166" t="str">
        <f>IF(J$3="","",IF(COUNTIFS(BD!$A$3:$A$5001,J$3,BD!$B$3:$B$5001,$A$206,BD!$M$3:$M$5001,"&lt;&gt;")=0,"",SUMIFS(BD!$M$3:$M$5001,BD!$A$3:$A$5001,J$3,BD!$B$3:$B$5001,$A$206)))</f>
        <v/>
      </c>
      <c r="K216" s="166" t="str">
        <f>IF(K$3="","",IF(COUNTIFS(BD!$A$3:$A$5001,K$3,BD!$B$3:$B$5001,$A$206,BD!$M$3:$M$5001,"&lt;&gt;")=0,"",SUMIFS(BD!$M$3:$M$5001,BD!$A$3:$A$5001,K$3,BD!$B$3:$B$5001,$A$206)))</f>
        <v/>
      </c>
      <c r="L216" s="166" t="str">
        <f>IF(L$3="","",IF(COUNTIFS(BD!$A$3:$A$5001,L$3,BD!$B$3:$B$5001,$A$206,BD!$M$3:$M$5001,"&lt;&gt;")=0,"",SUMIFS(BD!$M$3:$M$5001,BD!$A$3:$A$5001,L$3,BD!$B$3:$B$5001,$A$206)))</f>
        <v/>
      </c>
      <c r="M216" s="166" t="str">
        <f>IF(M$3="","",IF(COUNTIFS(BD!$A$3:$A$5001,M$3,BD!$B$3:$B$5001,$A$206,BD!$M$3:$M$5001,"&lt;&gt;")=0,"",SUMIFS(BD!$M$3:$M$5001,BD!$A$3:$A$5001,M$3,BD!$B$3:$B$5001,$A$206)))</f>
        <v/>
      </c>
      <c r="N216" s="166" t="str">
        <f>IF(N$3="","",IF(COUNTIFS(BD!$A$3:$A$5001,N$3,BD!$B$3:$B$5001,$A$206,BD!$M$3:$M$5001,"&lt;&gt;")=0,"",SUMIFS(BD!$M$3:$M$5001,BD!$A$3:$A$5001,N$3,BD!$B$3:$B$5001,$A$206)))</f>
        <v/>
      </c>
      <c r="O216" s="166" t="str">
        <f>IF(O$3="","",IF(COUNTIFS(BD!$A$3:$A$5001,O$3,BD!$B$3:$B$5001,$A$206,BD!$M$3:$M$5001,"&lt;&gt;")=0,"",SUMIFS(BD!$M$3:$M$5001,BD!$A$3:$A$5001,O$3,BD!$B$3:$B$5001,$A$206)))</f>
        <v/>
      </c>
      <c r="P216" s="166" t="str">
        <f>IF(P$3="","",IF(COUNTIFS(BD!$A$3:$A$5001,P$3,BD!$B$3:$B$5001,$A$206,BD!$M$3:$M$5001,"&lt;&gt;")=0,"",SUMIFS(BD!$M$3:$M$5001,BD!$A$3:$A$5001,P$3,BD!$B$3:$B$5001,$A$206)))</f>
        <v/>
      </c>
      <c r="Q216" s="166" t="str">
        <f>IF(Q$3="","",IF(COUNTIFS(BD!$A$3:$A$5001,Q$3,BD!$B$3:$B$5001,$A$206,BD!$M$3:$M$5001,"&lt;&gt;")=0,"",SUMIFS(BD!$M$3:$M$5001,BD!$A$3:$A$5001,Q$3,BD!$B$3:$B$5001,$A$206)))</f>
        <v/>
      </c>
      <c r="R216" s="166" t="str">
        <f>IF(R$3="","",IF(COUNTIFS(BD!$A$3:$A$5001,R$3,BD!$B$3:$B$5001,$A$206,BD!$M$3:$M$5001,"&lt;&gt;")=0,"",SUMIFS(BD!$M$3:$M$5001,BD!$A$3:$A$5001,R$3,BD!$B$3:$B$5001,$A$206)))</f>
        <v/>
      </c>
      <c r="S216" s="166" t="str">
        <f>IF(S$3="","",IF(COUNTIFS(BD!$A$3:$A$5001,S$3,BD!$B$3:$B$5001,$A$206,BD!$M$3:$M$5001,"&lt;&gt;")=0,"",SUMIFS(BD!$M$3:$M$5001,BD!$A$3:$A$5001,S$3,BD!$B$3:$B$5001,$A$206)))</f>
        <v/>
      </c>
      <c r="T216" s="166" t="str">
        <f>IF(T$3="","",IF(COUNTIFS(BD!$A$3:$A$5001,T$3,BD!$B$3:$B$5001,$A$206,BD!$M$3:$M$5001,"&lt;&gt;")=0,"",SUMIFS(BD!$M$3:$M$5001,BD!$A$3:$A$5001,T$3,BD!$B$3:$B$5001,$A$206)))</f>
        <v/>
      </c>
      <c r="U216" s="166" t="str">
        <f>IF(U$3="","",IF(COUNTIFS(BD!$A$3:$A$5001,U$3,BD!$B$3:$B$5001,$A$206,BD!$M$3:$M$5001,"&lt;&gt;")=0,"",SUMIFS(BD!$M$3:$M$5001,BD!$A$3:$A$5001,U$3,BD!$B$3:$B$5001,$A$206)))</f>
        <v/>
      </c>
      <c r="V216" s="166" t="str">
        <f>IF(V$3="","",IF(COUNTIFS(BD!$A$3:$A$5001,V$3,BD!$B$3:$B$5001,$A$206,BD!$M$3:$M$5001,"&lt;&gt;")=0,"",SUMIFS(BD!$M$3:$M$5001,BD!$A$3:$A$5001,V$3,BD!$B$3:$B$5001,$A$206)))</f>
        <v/>
      </c>
      <c r="W216" s="166" t="str">
        <f>IF(W$3="","",IF(COUNTIFS(BD!$A$3:$A$5001,W$3,BD!$B$3:$B$5001,$A$206,BD!$M$3:$M$5001,"&lt;&gt;")=0,"",SUMIFS(BD!$M$3:$M$5001,BD!$A$3:$A$5001,W$3,BD!$B$3:$B$5001,$A$206)))</f>
        <v/>
      </c>
      <c r="X216" s="166" t="str">
        <f>IF(X$3="","",IF(COUNTIFS(BD!$A$3:$A$5001,X$3,BD!$B$3:$B$5001,$A$206,BD!$M$3:$M$5001,"&lt;&gt;")=0,"",SUMIFS(BD!$M$3:$M$5001,BD!$A$3:$A$5001,X$3,BD!$B$3:$B$5001,$A$206)))</f>
        <v/>
      </c>
      <c r="Y216" s="166" t="str">
        <f>IF(Y$3="","",IF(COUNTIFS(BD!$A$3:$A$5001,Y$3,BD!$B$3:$B$5001,$A$206,BD!$M$3:$M$5001,"&lt;&gt;")=0,"",SUMIFS(BD!$M$3:$M$5001,BD!$A$3:$A$5001,Y$3,BD!$B$3:$B$5001,$A$206)))</f>
        <v/>
      </c>
      <c r="Z216" s="166" t="str">
        <f>IF(Z$3="","",IF(COUNTIFS(BD!$A$3:$A$5001,Z$3,BD!$B$3:$B$5001,$A$206,BD!$M$3:$M$5001,"&lt;&gt;")=0,"",SUMIFS(BD!$M$3:$M$5001,BD!$A$3:$A$5001,Z$3,BD!$B$3:$B$5001,$A$206)))</f>
        <v/>
      </c>
      <c r="AA216" s="166" t="str">
        <f>IF(AA$3="","",IF(COUNTIFS(BD!$A$3:$A$5001,AA$3,BD!$B$3:$B$5001,$A$206,BD!$M$3:$M$5001,"&lt;&gt;")=0,"",SUMIFS(BD!$M$3:$M$5001,BD!$A$3:$A$5001,AA$3,BD!$B$3:$B$5001,$A$206)))</f>
        <v/>
      </c>
      <c r="AB216" s="166" t="str">
        <f>IF(AB$3="","",IF(COUNTIFS(BD!$A$3:$A$5001,AB$3,BD!$B$3:$B$5001,$A$206,BD!$M$3:$M$5001,"&lt;&gt;")=0,"",SUMIFS(BD!$M$3:$M$5001,BD!$A$3:$A$5001,AB$3,BD!$B$3:$B$5001,$A$206)))</f>
        <v/>
      </c>
      <c r="AC216" s="166" t="str">
        <f>IF(AC$3="","",IF(COUNTIFS(BD!$A$3:$A$5001,AC$3,BD!$B$3:$B$5001,$A$206,BD!$M$3:$M$5001,"&lt;&gt;")=0,"",SUMIFS(BD!$M$3:$M$5001,BD!$A$3:$A$5001,AC$3,BD!$B$3:$B$5001,$A$206)))</f>
        <v/>
      </c>
      <c r="AD216" s="166" t="str">
        <f>IF(AD$3="","",IF(COUNTIFS(BD!$A$3:$A$5001,AD$3,BD!$B$3:$B$5001,$A$206,BD!$M$3:$M$5001,"&lt;&gt;")=0,"",SUMIFS(BD!$M$3:$M$5001,BD!$A$3:$A$5001,AD$3,BD!$B$3:$B$5001,$A$206)))</f>
        <v/>
      </c>
      <c r="AE216" s="166" t="str">
        <f>IF(AE$3="","",IF(COUNTIFS(BD!$A$3:$A$5001,AE$3,BD!$B$3:$B$5001,$A$206,BD!$M$3:$M$5001,"&lt;&gt;")=0,"",SUMIFS(BD!$M$3:$M$5001,BD!$A$3:$A$5001,AE$3,BD!$B$3:$B$5001,$A$206)))</f>
        <v/>
      </c>
      <c r="AF216" s="166" t="str">
        <f>IF(AF$3="","",IF(COUNTIFS(BD!$A$3:$A$5001,AF$3,BD!$B$3:$B$5001,$A$206,BD!$M$3:$M$5001,"&lt;&gt;")=0,"",SUMIFS(BD!$M$3:$M$5001,BD!$A$3:$A$5001,AF$3,BD!$B$3:$B$5001,$A$206)))</f>
        <v/>
      </c>
      <c r="AG216" s="166" t="str">
        <f>IF(AG$3="","",IF(COUNTIFS(BD!$A$3:$A$5001,AG$3,BD!$B$3:$B$5001,$A$206,BD!$M$3:$M$5001,"&lt;&gt;")=0,"",SUMIFS(BD!$M$3:$M$5001,BD!$A$3:$A$5001,AG$3,BD!$B$3:$B$5001,$A$206)))</f>
        <v/>
      </c>
      <c r="AH216" s="166" t="str">
        <f>IF(AH$3="","",IF(COUNTIFS(BD!$A$3:$A$5001,AH$3,BD!$B$3:$B$5001,$A$206,BD!$M$3:$M$5001,"&lt;&gt;")=0,"",SUMIFS(BD!$M$3:$M$5001,BD!$A$3:$A$5001,AH$3,BD!$B$3:$B$5001,$A$206)))</f>
        <v/>
      </c>
      <c r="AI216" s="166" t="str">
        <f>IF(AI$3="","",IF(COUNTIFS(BD!$A$3:$A$5001,AI$3,BD!$B$3:$B$5001,$A$206,BD!$M$3:$M$5001,"&lt;&gt;")=0,"",SUMIFS(BD!$M$3:$M$5001,BD!$A$3:$A$5001,AI$3,BD!$B$3:$B$5001,$A$206)))</f>
        <v/>
      </c>
      <c r="AJ216" s="167" t="str">
        <f>IF(AJ$3="","",IF(COUNTIFS(BD!$A$3:$A$5001,AJ$3,BD!$B$3:$B$5001,$A$206,BD!$M$3:$M$5001,"&lt;&gt;")=0,"",SUMIFS(BD!$M$3:$M$5001,BD!$A$3:$A$5001,AJ$3,BD!$B$3:$B$5001,$A$206)))</f>
        <v/>
      </c>
      <c r="AK216" s="168" t="str">
        <f>IFERROR(LOOKUP(9.99E+307,F216:AJ216),"")</f>
        <v/>
      </c>
    </row>
    <row r="217" ht="15.75" customHeight="1" hidden="1">
      <c r="A217" s="254"/>
      <c r="B217" s="243"/>
      <c r="C217" s="169" t="inlineStr">
        <is>
          <t xml:space="preserve">Taxa de Ocupação</t>
        </is>
      </c>
      <c r="D217" s="217" t="str">
        <f>IFERROR(1/(1/INDEX(BD!$Y$34:$AS$34,MATCH($A$206,BD!$Y$22:$AS$22,0))),"")</f>
        <v/>
      </c>
      <c r="E217" s="171"/>
      <c r="F217" s="218" t="str">
        <f>IF(AND(ISNUMBER(F215),ISNUMBER(F216)),IF(F215&gt;0,F216/F215,""),"")</f>
        <v/>
      </c>
      <c r="G217" s="219" t="str">
        <f>IF(AND(ISNUMBER(G215),ISNUMBER(G216)),IF(G215&gt;0,G216/G215,""),"")</f>
        <v/>
      </c>
      <c r="H217" s="219" t="str">
        <f>IF(AND(ISNUMBER(H215),ISNUMBER(H216)),IF(H215&gt;0,H216/H215,""),"")</f>
        <v/>
      </c>
      <c r="I217" s="219" t="str">
        <f>IF(AND(ISNUMBER(I215),ISNUMBER(I216)),IF(I215&gt;0,I216/I215,""),"")</f>
        <v/>
      </c>
      <c r="J217" s="219" t="str">
        <f>IF(AND(ISNUMBER(J215),ISNUMBER(J216)),IF(J215&gt;0,J216/J215,""),"")</f>
        <v/>
      </c>
      <c r="K217" s="219" t="str">
        <f>IF(AND(ISNUMBER(K215),ISNUMBER(K216)),IF(K215&gt;0,K216/K215,""),"")</f>
        <v/>
      </c>
      <c r="L217" s="219" t="str">
        <f>IF(AND(ISNUMBER(L215),ISNUMBER(L216)),IF(L215&gt;0,L216/L215,""),"")</f>
        <v/>
      </c>
      <c r="M217" s="219" t="str">
        <f>IF(AND(ISNUMBER(M215),ISNUMBER(M216)),IF(M215&gt;0,M216/M215,""),"")</f>
        <v/>
      </c>
      <c r="N217" s="219" t="str">
        <f>IF(AND(ISNUMBER(N215),ISNUMBER(N216)),IF(N215&gt;0,N216/N215,""),"")</f>
        <v/>
      </c>
      <c r="O217" s="219" t="str">
        <f>IF(AND(ISNUMBER(O215),ISNUMBER(O216)),IF(O215&gt;0,O216/O215,""),"")</f>
        <v/>
      </c>
      <c r="P217" s="219" t="str">
        <f>IF(AND(ISNUMBER(P215),ISNUMBER(P216)),IF(P215&gt;0,P216/P215,""),"")</f>
        <v/>
      </c>
      <c r="Q217" s="219" t="str">
        <f>IF(AND(ISNUMBER(Q215),ISNUMBER(Q216)),IF(Q215&gt;0,Q216/Q215,""),"")</f>
        <v/>
      </c>
      <c r="R217" s="219" t="str">
        <f>IF(AND(ISNUMBER(R215),ISNUMBER(R216)),IF(R215&gt;0,R216/R215,""),"")</f>
        <v/>
      </c>
      <c r="S217" s="219" t="str">
        <f>IF(AND(ISNUMBER(S215),ISNUMBER(S216)),IF(S215&gt;0,S216/S215,""),"")</f>
        <v/>
      </c>
      <c r="T217" s="219" t="str">
        <f>IF(AND(ISNUMBER(T215),ISNUMBER(T216)),IF(T215&gt;0,T216/T215,""),"")</f>
        <v/>
      </c>
      <c r="U217" s="219" t="str">
        <f>IF(AND(ISNUMBER(U215),ISNUMBER(U216)),IF(U215&gt;0,U216/U215,""),"")</f>
        <v/>
      </c>
      <c r="V217" s="219" t="str">
        <f>IF(AND(ISNUMBER(V215),ISNUMBER(V216)),IF(V215&gt;0,V216/V215,""),"")</f>
        <v/>
      </c>
      <c r="W217" s="219" t="str">
        <f>IF(AND(ISNUMBER(W215),ISNUMBER(W216)),IF(W215&gt;0,W216/W215,""),"")</f>
        <v/>
      </c>
      <c r="X217" s="219" t="str">
        <f>IF(AND(ISNUMBER(X215),ISNUMBER(X216)),IF(X215&gt;0,X216/X215,""),"")</f>
        <v/>
      </c>
      <c r="Y217" s="219" t="str">
        <f>IF(AND(ISNUMBER(Y215),ISNUMBER(Y216)),IF(Y215&gt;0,Y216/Y215,""),"")</f>
        <v/>
      </c>
      <c r="Z217" s="219" t="str">
        <f>IF(AND(ISNUMBER(Z215),ISNUMBER(Z216)),IF(Z215&gt;0,Z216/Z215,""),"")</f>
        <v/>
      </c>
      <c r="AA217" s="219" t="str">
        <f>IF(AND(ISNUMBER(AA215),ISNUMBER(AA216)),IF(AA215&gt;0,AA216/AA215,""),"")</f>
        <v/>
      </c>
      <c r="AB217" s="219" t="str">
        <f>IF(AND(ISNUMBER(AB215),ISNUMBER(AB216)),IF(AB215&gt;0,AB216/AB215,""),"")</f>
        <v/>
      </c>
      <c r="AC217" s="219" t="str">
        <f>IF(AND(ISNUMBER(AC215),ISNUMBER(AC216)),IF(AC215&gt;0,AC216/AC215,""),"")</f>
        <v/>
      </c>
      <c r="AD217" s="219" t="str">
        <f>IF(AND(ISNUMBER(AD215),ISNUMBER(AD216)),IF(AD215&gt;0,AD216/AD215,""),"")</f>
        <v/>
      </c>
      <c r="AE217" s="219" t="str">
        <f>IF(AND(ISNUMBER(AE215),ISNUMBER(AE216)),IF(AE215&gt;0,AE216/AE215,""),"")</f>
        <v/>
      </c>
      <c r="AF217" s="219" t="str">
        <f>IF(AND(ISNUMBER(AF215),ISNUMBER(AF216)),IF(AF215&gt;0,AF216/AF215,""),"")</f>
        <v/>
      </c>
      <c r="AG217" s="219" t="str">
        <f>IF(AND(ISNUMBER(AG215),ISNUMBER(AG216)),IF(AG215&gt;0,AG216/AG215,""),"")</f>
        <v/>
      </c>
      <c r="AH217" s="219" t="str">
        <f>IF(AND(ISNUMBER(AH215),ISNUMBER(AH216)),IF(AH215&gt;0,AH216/AH215,""),"")</f>
        <v/>
      </c>
      <c r="AI217" s="219" t="str">
        <f>IF(AND(ISNUMBER(AI215),ISNUMBER(AI216)),IF(AI215&gt;0,AI216/AI215,""),"")</f>
        <v/>
      </c>
      <c r="AJ217" s="220" t="str">
        <f>IF(AND(ISNUMBER(AJ215),ISNUMBER(AJ216)),IF(AJ215&gt;0,AJ216/AJ215,""),"")</f>
        <v/>
      </c>
      <c r="AK217" s="217" t="str">
        <f>IF(AND(ISNUMBER(AK215),ISNUMBER(AK216)),IF(AK215&gt;0,AK216/AK215,""),"")</f>
        <v/>
      </c>
    </row>
    <row r="218" ht="15.75" customHeight="1" hidden="1">
      <c r="A218" s="254"/>
      <c r="B218" s="250" t="inlineStr">
        <is>
          <t xml:space="preserve">GENTE</t>
        </is>
      </c>
      <c r="C218" s="221" t="inlineStr">
        <is>
          <t xml:space="preserve">Efetivo Op.</t>
        </is>
      </c>
      <c r="D218" s="222" t="str">
        <f>IFERROR(1/(1/INDEX(BD!$Y$35:$AS$35,MATCH($A$206,BD!$Y$22:$AS$22,0))),"")</f>
        <v/>
      </c>
      <c r="E218" s="223"/>
      <c r="F218" s="224" t="str">
        <f>IF(F$3="","",IF(COUNTIFS(BD!$A$3:$A$5001,F$3,BD!$B$3:$B$5001,$A$206,BD!$N$3:$N$5001,"&lt;&gt;")=0,"",SUMIFS(BD!$N$3:$N$5001,BD!$A$3:$A$5001,F$3,BD!$B$3:$B$5001,$A$206)))</f>
        <v/>
      </c>
      <c r="G218" s="225" t="str">
        <f>IF(G$3="","",IF(COUNTIFS(BD!$A$3:$A$5001,G$3,BD!$B$3:$B$5001,$A$206,BD!$N$3:$N$5001,"&lt;&gt;")=0,"",SUMIFS(BD!$N$3:$N$5001,BD!$A$3:$A$5001,G$3,BD!$B$3:$B$5001,$A$206)))</f>
        <v/>
      </c>
      <c r="H218" s="225" t="str">
        <f>IF(H$3="","",IF(COUNTIFS(BD!$A$3:$A$5001,H$3,BD!$B$3:$B$5001,$A$206,BD!$N$3:$N$5001,"&lt;&gt;")=0,"",SUMIFS(BD!$N$3:$N$5001,BD!$A$3:$A$5001,H$3,BD!$B$3:$B$5001,$A$206)))</f>
        <v/>
      </c>
      <c r="I218" s="225" t="str">
        <f>IF(I$3="","",IF(COUNTIFS(BD!$A$3:$A$5001,I$3,BD!$B$3:$B$5001,$A$206,BD!$N$3:$N$5001,"&lt;&gt;")=0,"",SUMIFS(BD!$N$3:$N$5001,BD!$A$3:$A$5001,I$3,BD!$B$3:$B$5001,$A$206)))</f>
        <v/>
      </c>
      <c r="J218" s="225" t="str">
        <f>IF(J$3="","",IF(COUNTIFS(BD!$A$3:$A$5001,J$3,BD!$B$3:$B$5001,$A$206,BD!$N$3:$N$5001,"&lt;&gt;")=0,"",SUMIFS(BD!$N$3:$N$5001,BD!$A$3:$A$5001,J$3,BD!$B$3:$B$5001,$A$206)))</f>
        <v/>
      </c>
      <c r="K218" s="225" t="str">
        <f>IF(K$3="","",IF(COUNTIFS(BD!$A$3:$A$5001,K$3,BD!$B$3:$B$5001,$A$206,BD!$N$3:$N$5001,"&lt;&gt;")=0,"",SUMIFS(BD!$N$3:$N$5001,BD!$A$3:$A$5001,K$3,BD!$B$3:$B$5001,$A$206)))</f>
        <v/>
      </c>
      <c r="L218" s="225" t="str">
        <f>IF(L$3="","",IF(COUNTIFS(BD!$A$3:$A$5001,L$3,BD!$B$3:$B$5001,$A$206,BD!$N$3:$N$5001,"&lt;&gt;")=0,"",SUMIFS(BD!$N$3:$N$5001,BD!$A$3:$A$5001,L$3,BD!$B$3:$B$5001,$A$206)))</f>
        <v/>
      </c>
      <c r="M218" s="225" t="str">
        <f>IF(M$3="","",IF(COUNTIFS(BD!$A$3:$A$5001,M$3,BD!$B$3:$B$5001,$A$206,BD!$N$3:$N$5001,"&lt;&gt;")=0,"",SUMIFS(BD!$N$3:$N$5001,BD!$A$3:$A$5001,M$3,BD!$B$3:$B$5001,$A$206)))</f>
        <v/>
      </c>
      <c r="N218" s="225" t="str">
        <f>IF(N$3="","",IF(COUNTIFS(BD!$A$3:$A$5001,N$3,BD!$B$3:$B$5001,$A$206,BD!$N$3:$N$5001,"&lt;&gt;")=0,"",SUMIFS(BD!$N$3:$N$5001,BD!$A$3:$A$5001,N$3,BD!$B$3:$B$5001,$A$206)))</f>
        <v/>
      </c>
      <c r="O218" s="225" t="str">
        <f>IF(O$3="","",IF(COUNTIFS(BD!$A$3:$A$5001,O$3,BD!$B$3:$B$5001,$A$206,BD!$N$3:$N$5001,"&lt;&gt;")=0,"",SUMIFS(BD!$N$3:$N$5001,BD!$A$3:$A$5001,O$3,BD!$B$3:$B$5001,$A$206)))</f>
        <v/>
      </c>
      <c r="P218" s="225" t="str">
        <f>IF(P$3="","",IF(COUNTIFS(BD!$A$3:$A$5001,P$3,BD!$B$3:$B$5001,$A$206,BD!$N$3:$N$5001,"&lt;&gt;")=0,"",SUMIFS(BD!$N$3:$N$5001,BD!$A$3:$A$5001,P$3,BD!$B$3:$B$5001,$A$206)))</f>
        <v/>
      </c>
      <c r="Q218" s="225" t="str">
        <f>IF(Q$3="","",IF(COUNTIFS(BD!$A$3:$A$5001,Q$3,BD!$B$3:$B$5001,$A$206,BD!$N$3:$N$5001,"&lt;&gt;")=0,"",SUMIFS(BD!$N$3:$N$5001,BD!$A$3:$A$5001,Q$3,BD!$B$3:$B$5001,$A$206)))</f>
        <v/>
      </c>
      <c r="R218" s="225" t="str">
        <f>IF(R$3="","",IF(COUNTIFS(BD!$A$3:$A$5001,R$3,BD!$B$3:$B$5001,$A$206,BD!$N$3:$N$5001,"&lt;&gt;")=0,"",SUMIFS(BD!$N$3:$N$5001,BD!$A$3:$A$5001,R$3,BD!$B$3:$B$5001,$A$206)))</f>
        <v/>
      </c>
      <c r="S218" s="225" t="str">
        <f>IF(S$3="","",IF(COUNTIFS(BD!$A$3:$A$5001,S$3,BD!$B$3:$B$5001,$A$206,BD!$N$3:$N$5001,"&lt;&gt;")=0,"",SUMIFS(BD!$N$3:$N$5001,BD!$A$3:$A$5001,S$3,BD!$B$3:$B$5001,$A$206)))</f>
        <v/>
      </c>
      <c r="T218" s="225" t="str">
        <f>IF(T$3="","",IF(COUNTIFS(BD!$A$3:$A$5001,T$3,BD!$B$3:$B$5001,$A$206,BD!$N$3:$N$5001,"&lt;&gt;")=0,"",SUMIFS(BD!$N$3:$N$5001,BD!$A$3:$A$5001,T$3,BD!$B$3:$B$5001,$A$206)))</f>
        <v/>
      </c>
      <c r="U218" s="225" t="str">
        <f>IF(U$3="","",IF(COUNTIFS(BD!$A$3:$A$5001,U$3,BD!$B$3:$B$5001,$A$206,BD!$N$3:$N$5001,"&lt;&gt;")=0,"",SUMIFS(BD!$N$3:$N$5001,BD!$A$3:$A$5001,U$3,BD!$B$3:$B$5001,$A$206)))</f>
        <v/>
      </c>
      <c r="V218" s="225" t="str">
        <f>IF(V$3="","",IF(COUNTIFS(BD!$A$3:$A$5001,V$3,BD!$B$3:$B$5001,$A$206,BD!$N$3:$N$5001,"&lt;&gt;")=0,"",SUMIFS(BD!$N$3:$N$5001,BD!$A$3:$A$5001,V$3,BD!$B$3:$B$5001,$A$206)))</f>
        <v/>
      </c>
      <c r="W218" s="225" t="str">
        <f>IF(W$3="","",IF(COUNTIFS(BD!$A$3:$A$5001,W$3,BD!$B$3:$B$5001,$A$206,BD!$N$3:$N$5001,"&lt;&gt;")=0,"",SUMIFS(BD!$N$3:$N$5001,BD!$A$3:$A$5001,W$3,BD!$B$3:$B$5001,$A$206)))</f>
        <v/>
      </c>
      <c r="X218" s="225" t="str">
        <f>IF(X$3="","",IF(COUNTIFS(BD!$A$3:$A$5001,X$3,BD!$B$3:$B$5001,$A$206,BD!$N$3:$N$5001,"&lt;&gt;")=0,"",SUMIFS(BD!$N$3:$N$5001,BD!$A$3:$A$5001,X$3,BD!$B$3:$B$5001,$A$206)))</f>
        <v/>
      </c>
      <c r="Y218" s="225" t="str">
        <f>IF(Y$3="","",IF(COUNTIFS(BD!$A$3:$A$5001,Y$3,BD!$B$3:$B$5001,$A$206,BD!$N$3:$N$5001,"&lt;&gt;")=0,"",SUMIFS(BD!$N$3:$N$5001,BD!$A$3:$A$5001,Y$3,BD!$B$3:$B$5001,$A$206)))</f>
        <v/>
      </c>
      <c r="Z218" s="225" t="str">
        <f>IF(Z$3="","",IF(COUNTIFS(BD!$A$3:$A$5001,Z$3,BD!$B$3:$B$5001,$A$206,BD!$N$3:$N$5001,"&lt;&gt;")=0,"",SUMIFS(BD!$N$3:$N$5001,BD!$A$3:$A$5001,Z$3,BD!$B$3:$B$5001,$A$206)))</f>
        <v/>
      </c>
      <c r="AA218" s="225" t="str">
        <f>IF(AA$3="","",IF(COUNTIFS(BD!$A$3:$A$5001,AA$3,BD!$B$3:$B$5001,$A$206,BD!$N$3:$N$5001,"&lt;&gt;")=0,"",SUMIFS(BD!$N$3:$N$5001,BD!$A$3:$A$5001,AA$3,BD!$B$3:$B$5001,$A$206)))</f>
        <v/>
      </c>
      <c r="AB218" s="225" t="str">
        <f>IF(AB$3="","",IF(COUNTIFS(BD!$A$3:$A$5001,AB$3,BD!$B$3:$B$5001,$A$206,BD!$N$3:$N$5001,"&lt;&gt;")=0,"",SUMIFS(BD!$N$3:$N$5001,BD!$A$3:$A$5001,AB$3,BD!$B$3:$B$5001,$A$206)))</f>
        <v/>
      </c>
      <c r="AC218" s="225" t="str">
        <f>IF(AC$3="","",IF(COUNTIFS(BD!$A$3:$A$5001,AC$3,BD!$B$3:$B$5001,$A$206,BD!$N$3:$N$5001,"&lt;&gt;")=0,"",SUMIFS(BD!$N$3:$N$5001,BD!$A$3:$A$5001,AC$3,BD!$B$3:$B$5001,$A$206)))</f>
        <v/>
      </c>
      <c r="AD218" s="225" t="str">
        <f>IF(AD$3="","",IF(COUNTIFS(BD!$A$3:$A$5001,AD$3,BD!$B$3:$B$5001,$A$206,BD!$N$3:$N$5001,"&lt;&gt;")=0,"",SUMIFS(BD!$N$3:$N$5001,BD!$A$3:$A$5001,AD$3,BD!$B$3:$B$5001,$A$206)))</f>
        <v/>
      </c>
      <c r="AE218" s="225" t="str">
        <f>IF(AE$3="","",IF(COUNTIFS(BD!$A$3:$A$5001,AE$3,BD!$B$3:$B$5001,$A$206,BD!$N$3:$N$5001,"&lt;&gt;")=0,"",SUMIFS(BD!$N$3:$N$5001,BD!$A$3:$A$5001,AE$3,BD!$B$3:$B$5001,$A$206)))</f>
        <v/>
      </c>
      <c r="AF218" s="225" t="str">
        <f>IF(AF$3="","",IF(COUNTIFS(BD!$A$3:$A$5001,AF$3,BD!$B$3:$B$5001,$A$206,BD!$N$3:$N$5001,"&lt;&gt;")=0,"",SUMIFS(BD!$N$3:$N$5001,BD!$A$3:$A$5001,AF$3,BD!$B$3:$B$5001,$A$206)))</f>
        <v/>
      </c>
      <c r="AG218" s="225" t="str">
        <f>IF(AG$3="","",IF(COUNTIFS(BD!$A$3:$A$5001,AG$3,BD!$B$3:$B$5001,$A$206,BD!$N$3:$N$5001,"&lt;&gt;")=0,"",SUMIFS(BD!$N$3:$N$5001,BD!$A$3:$A$5001,AG$3,BD!$B$3:$B$5001,$A$206)))</f>
        <v/>
      </c>
      <c r="AH218" s="225" t="str">
        <f>IF(AH$3="","",IF(COUNTIFS(BD!$A$3:$A$5001,AH$3,BD!$B$3:$B$5001,$A$206,BD!$N$3:$N$5001,"&lt;&gt;")=0,"",SUMIFS(BD!$N$3:$N$5001,BD!$A$3:$A$5001,AH$3,BD!$B$3:$B$5001,$A$206)))</f>
        <v/>
      </c>
      <c r="AI218" s="225" t="str">
        <f>IF(AI$3="","",IF(COUNTIFS(BD!$A$3:$A$5001,AI$3,BD!$B$3:$B$5001,$A$206,BD!$N$3:$N$5001,"&lt;&gt;")=0,"",SUMIFS(BD!$N$3:$N$5001,BD!$A$3:$A$5001,AI$3,BD!$B$3:$B$5001,$A$206)))</f>
        <v/>
      </c>
      <c r="AJ218" s="226" t="str">
        <f>IF(AJ$3="","",IF(COUNTIFS(BD!$A$3:$A$5001,AJ$3,BD!$B$3:$B$5001,$A$206,BD!$N$3:$N$5001,"&lt;&gt;")=0,"",SUMIFS(BD!$N$3:$N$5001,BD!$A$3:$A$5001,AJ$3,BD!$B$3:$B$5001,$A$206)))</f>
        <v/>
      </c>
      <c r="AK218" s="227" t="str">
        <f>IFERROR(LOOKUP(9.99E+307,F218:AJ218),"")</f>
        <v/>
      </c>
    </row>
    <row r="219" ht="15.75" customHeight="1" hidden="1">
      <c r="A219" s="254"/>
      <c r="B219" s="251"/>
      <c r="C219" s="228" t="inlineStr">
        <is>
          <t xml:space="preserve">Falta</t>
        </is>
      </c>
      <c r="D219" s="229" t="str">
        <f>IFERROR(1/(1/INDEX(BD!$Y$36:$AS$36,MATCH($A$206,BD!$Y$22:$AS$22,0))),"")</f>
        <v/>
      </c>
      <c r="E219" s="230"/>
      <c r="F219" s="231" t="str">
        <f>IF(F$3="","",IF(COUNTIFS(BD!$A$3:$A$5001,F$3,BD!$B$3:$B$5001,$A$206,BD!$O$3:$O$5001,"&lt;&gt;")=0,"",SUMIFS(BD!$O$3:$O$5001,BD!$A$3:$A$5001,F$3,BD!$B$3:$B$5001,$A$206)))</f>
        <v/>
      </c>
      <c r="G219" s="232" t="str">
        <f>IF(G$3="","",IF(COUNTIFS(BD!$A$3:$A$5001,G$3,BD!$B$3:$B$5001,$A$206,BD!$O$3:$O$5001,"&lt;&gt;")=0,"",SUMIFS(BD!$O$3:$O$5001,BD!$A$3:$A$5001,G$3,BD!$B$3:$B$5001,$A$206)))</f>
        <v/>
      </c>
      <c r="H219" s="232" t="str">
        <f>IF(H$3="","",IF(COUNTIFS(BD!$A$3:$A$5001,H$3,BD!$B$3:$B$5001,$A$206,BD!$O$3:$O$5001,"&lt;&gt;")=0,"",SUMIFS(BD!$O$3:$O$5001,BD!$A$3:$A$5001,H$3,BD!$B$3:$B$5001,$A$206)))</f>
        <v/>
      </c>
      <c r="I219" s="232" t="str">
        <f>IF(I$3="","",IF(COUNTIFS(BD!$A$3:$A$5001,I$3,BD!$B$3:$B$5001,$A$206,BD!$O$3:$O$5001,"&lt;&gt;")=0,"",SUMIFS(BD!$O$3:$O$5001,BD!$A$3:$A$5001,I$3,BD!$B$3:$B$5001,$A$206)))</f>
        <v/>
      </c>
      <c r="J219" s="232" t="str">
        <f>IF(J$3="","",IF(COUNTIFS(BD!$A$3:$A$5001,J$3,BD!$B$3:$B$5001,$A$206,BD!$O$3:$O$5001,"&lt;&gt;")=0,"",SUMIFS(BD!$O$3:$O$5001,BD!$A$3:$A$5001,J$3,BD!$B$3:$B$5001,$A$206)))</f>
        <v/>
      </c>
      <c r="K219" s="232" t="str">
        <f>IF(K$3="","",IF(COUNTIFS(BD!$A$3:$A$5001,K$3,BD!$B$3:$B$5001,$A$206,BD!$O$3:$O$5001,"&lt;&gt;")=0,"",SUMIFS(BD!$O$3:$O$5001,BD!$A$3:$A$5001,K$3,BD!$B$3:$B$5001,$A$206)))</f>
        <v/>
      </c>
      <c r="L219" s="232" t="str">
        <f>IF(L$3="","",IF(COUNTIFS(BD!$A$3:$A$5001,L$3,BD!$B$3:$B$5001,$A$206,BD!$O$3:$O$5001,"&lt;&gt;")=0,"",SUMIFS(BD!$O$3:$O$5001,BD!$A$3:$A$5001,L$3,BD!$B$3:$B$5001,$A$206)))</f>
        <v/>
      </c>
      <c r="M219" s="232" t="str">
        <f>IF(M$3="","",IF(COUNTIFS(BD!$A$3:$A$5001,M$3,BD!$B$3:$B$5001,$A$206,BD!$O$3:$O$5001,"&lt;&gt;")=0,"",SUMIFS(BD!$O$3:$O$5001,BD!$A$3:$A$5001,M$3,BD!$B$3:$B$5001,$A$206)))</f>
        <v/>
      </c>
      <c r="N219" s="232" t="str">
        <f>IF(N$3="","",IF(COUNTIFS(BD!$A$3:$A$5001,N$3,BD!$B$3:$B$5001,$A$206,BD!$O$3:$O$5001,"&lt;&gt;")=0,"",SUMIFS(BD!$O$3:$O$5001,BD!$A$3:$A$5001,N$3,BD!$B$3:$B$5001,$A$206)))</f>
        <v/>
      </c>
      <c r="O219" s="232" t="str">
        <f>IF(O$3="","",IF(COUNTIFS(BD!$A$3:$A$5001,O$3,BD!$B$3:$B$5001,$A$206,BD!$O$3:$O$5001,"&lt;&gt;")=0,"",SUMIFS(BD!$O$3:$O$5001,BD!$A$3:$A$5001,O$3,BD!$B$3:$B$5001,$A$206)))</f>
        <v/>
      </c>
      <c r="P219" s="232" t="str">
        <f>IF(P$3="","",IF(COUNTIFS(BD!$A$3:$A$5001,P$3,BD!$B$3:$B$5001,$A$206,BD!$O$3:$O$5001,"&lt;&gt;")=0,"",SUMIFS(BD!$O$3:$O$5001,BD!$A$3:$A$5001,P$3,BD!$B$3:$B$5001,$A$206)))</f>
        <v/>
      </c>
      <c r="Q219" s="232" t="str">
        <f>IF(Q$3="","",IF(COUNTIFS(BD!$A$3:$A$5001,Q$3,BD!$B$3:$B$5001,$A$206,BD!$O$3:$O$5001,"&lt;&gt;")=0,"",SUMIFS(BD!$O$3:$O$5001,BD!$A$3:$A$5001,Q$3,BD!$B$3:$B$5001,$A$206)))</f>
        <v/>
      </c>
      <c r="R219" s="232" t="str">
        <f>IF(R$3="","",IF(COUNTIFS(BD!$A$3:$A$5001,R$3,BD!$B$3:$B$5001,$A$206,BD!$O$3:$O$5001,"&lt;&gt;")=0,"",SUMIFS(BD!$O$3:$O$5001,BD!$A$3:$A$5001,R$3,BD!$B$3:$B$5001,$A$206)))</f>
        <v/>
      </c>
      <c r="S219" s="232" t="str">
        <f>IF(S$3="","",IF(COUNTIFS(BD!$A$3:$A$5001,S$3,BD!$B$3:$B$5001,$A$206,BD!$O$3:$O$5001,"&lt;&gt;")=0,"",SUMIFS(BD!$O$3:$O$5001,BD!$A$3:$A$5001,S$3,BD!$B$3:$B$5001,$A$206)))</f>
        <v/>
      </c>
      <c r="T219" s="232" t="str">
        <f>IF(T$3="","",IF(COUNTIFS(BD!$A$3:$A$5001,T$3,BD!$B$3:$B$5001,$A$206,BD!$O$3:$O$5001,"&lt;&gt;")=0,"",SUMIFS(BD!$O$3:$O$5001,BD!$A$3:$A$5001,T$3,BD!$B$3:$B$5001,$A$206)))</f>
        <v/>
      </c>
      <c r="U219" s="232" t="str">
        <f>IF(U$3="","",IF(COUNTIFS(BD!$A$3:$A$5001,U$3,BD!$B$3:$B$5001,$A$206,BD!$O$3:$O$5001,"&lt;&gt;")=0,"",SUMIFS(BD!$O$3:$O$5001,BD!$A$3:$A$5001,U$3,BD!$B$3:$B$5001,$A$206)))</f>
        <v/>
      </c>
      <c r="V219" s="232" t="str">
        <f>IF(V$3="","",IF(COUNTIFS(BD!$A$3:$A$5001,V$3,BD!$B$3:$B$5001,$A$206,BD!$O$3:$O$5001,"&lt;&gt;")=0,"",SUMIFS(BD!$O$3:$O$5001,BD!$A$3:$A$5001,V$3,BD!$B$3:$B$5001,$A$206)))</f>
        <v/>
      </c>
      <c r="W219" s="232" t="str">
        <f>IF(W$3="","",IF(COUNTIFS(BD!$A$3:$A$5001,W$3,BD!$B$3:$B$5001,$A$206,BD!$O$3:$O$5001,"&lt;&gt;")=0,"",SUMIFS(BD!$O$3:$O$5001,BD!$A$3:$A$5001,W$3,BD!$B$3:$B$5001,$A$206)))</f>
        <v/>
      </c>
      <c r="X219" s="232" t="str">
        <f>IF(X$3="","",IF(COUNTIFS(BD!$A$3:$A$5001,X$3,BD!$B$3:$B$5001,$A$206,BD!$O$3:$O$5001,"&lt;&gt;")=0,"",SUMIFS(BD!$O$3:$O$5001,BD!$A$3:$A$5001,X$3,BD!$B$3:$B$5001,$A$206)))</f>
        <v/>
      </c>
      <c r="Y219" s="232" t="str">
        <f>IF(Y$3="","",IF(COUNTIFS(BD!$A$3:$A$5001,Y$3,BD!$B$3:$B$5001,$A$206,BD!$O$3:$O$5001,"&lt;&gt;")=0,"",SUMIFS(BD!$O$3:$O$5001,BD!$A$3:$A$5001,Y$3,BD!$B$3:$B$5001,$A$206)))</f>
        <v/>
      </c>
      <c r="Z219" s="232" t="str">
        <f>IF(Z$3="","",IF(COUNTIFS(BD!$A$3:$A$5001,Z$3,BD!$B$3:$B$5001,$A$206,BD!$O$3:$O$5001,"&lt;&gt;")=0,"",SUMIFS(BD!$O$3:$O$5001,BD!$A$3:$A$5001,Z$3,BD!$B$3:$B$5001,$A$206)))</f>
        <v/>
      </c>
      <c r="AA219" s="232" t="str">
        <f>IF(AA$3="","",IF(COUNTIFS(BD!$A$3:$A$5001,AA$3,BD!$B$3:$B$5001,$A$206,BD!$O$3:$O$5001,"&lt;&gt;")=0,"",SUMIFS(BD!$O$3:$O$5001,BD!$A$3:$A$5001,AA$3,BD!$B$3:$B$5001,$A$206)))</f>
        <v/>
      </c>
      <c r="AB219" s="232" t="str">
        <f>IF(AB$3="","",IF(COUNTIFS(BD!$A$3:$A$5001,AB$3,BD!$B$3:$B$5001,$A$206,BD!$O$3:$O$5001,"&lt;&gt;")=0,"",SUMIFS(BD!$O$3:$O$5001,BD!$A$3:$A$5001,AB$3,BD!$B$3:$B$5001,$A$206)))</f>
        <v/>
      </c>
      <c r="AC219" s="232" t="str">
        <f>IF(AC$3="","",IF(COUNTIFS(BD!$A$3:$A$5001,AC$3,BD!$B$3:$B$5001,$A$206,BD!$O$3:$O$5001,"&lt;&gt;")=0,"",SUMIFS(BD!$O$3:$O$5001,BD!$A$3:$A$5001,AC$3,BD!$B$3:$B$5001,$A$206)))</f>
        <v/>
      </c>
      <c r="AD219" s="232" t="str">
        <f>IF(AD$3="","",IF(COUNTIFS(BD!$A$3:$A$5001,AD$3,BD!$B$3:$B$5001,$A$206,BD!$O$3:$O$5001,"&lt;&gt;")=0,"",SUMIFS(BD!$O$3:$O$5001,BD!$A$3:$A$5001,AD$3,BD!$B$3:$B$5001,$A$206)))</f>
        <v/>
      </c>
      <c r="AE219" s="232" t="str">
        <f>IF(AE$3="","",IF(COUNTIFS(BD!$A$3:$A$5001,AE$3,BD!$B$3:$B$5001,$A$206,BD!$O$3:$O$5001,"&lt;&gt;")=0,"",SUMIFS(BD!$O$3:$O$5001,BD!$A$3:$A$5001,AE$3,BD!$B$3:$B$5001,$A$206)))</f>
        <v/>
      </c>
      <c r="AF219" s="232" t="str">
        <f>IF(AF$3="","",IF(COUNTIFS(BD!$A$3:$A$5001,AF$3,BD!$B$3:$B$5001,$A$206,BD!$O$3:$O$5001,"&lt;&gt;")=0,"",SUMIFS(BD!$O$3:$O$5001,BD!$A$3:$A$5001,AF$3,BD!$B$3:$B$5001,$A$206)))</f>
        <v/>
      </c>
      <c r="AG219" s="232" t="str">
        <f>IF(AG$3="","",IF(COUNTIFS(BD!$A$3:$A$5001,AG$3,BD!$B$3:$B$5001,$A$206,BD!$O$3:$O$5001,"&lt;&gt;")=0,"",SUMIFS(BD!$O$3:$O$5001,BD!$A$3:$A$5001,AG$3,BD!$B$3:$B$5001,$A$206)))</f>
        <v/>
      </c>
      <c r="AH219" s="232" t="str">
        <f>IF(AH$3="","",IF(COUNTIFS(BD!$A$3:$A$5001,AH$3,BD!$B$3:$B$5001,$A$206,BD!$O$3:$O$5001,"&lt;&gt;")=0,"",SUMIFS(BD!$O$3:$O$5001,BD!$A$3:$A$5001,AH$3,BD!$B$3:$B$5001,$A$206)))</f>
        <v/>
      </c>
      <c r="AI219" s="232" t="str">
        <f>IF(AI$3="","",IF(COUNTIFS(BD!$A$3:$A$5001,AI$3,BD!$B$3:$B$5001,$A$206,BD!$O$3:$O$5001,"&lt;&gt;")=0,"",SUMIFS(BD!$O$3:$O$5001,BD!$A$3:$A$5001,AI$3,BD!$B$3:$B$5001,$A$206)))</f>
        <v/>
      </c>
      <c r="AJ219" s="233" t="str">
        <f>IF(AJ$3="","",IF(COUNTIFS(BD!$A$3:$A$5001,AJ$3,BD!$B$3:$B$5001,$A$206,BD!$O$3:$O$5001,"&lt;&gt;")=0,"",SUMIFS(BD!$O$3:$O$5001,BD!$A$3:$A$5001,AJ$3,BD!$B$3:$B$5001,$A$206)))</f>
        <v/>
      </c>
      <c r="AK219" s="234" t="str">
        <f>IF(COUNT(F219:AJ219)=0,"",SUM(F219:AJ219))</f>
        <v/>
      </c>
    </row>
    <row r="220" ht="15.75" customHeight="1" hidden="1">
      <c r="A220" s="254"/>
      <c r="B220" s="251"/>
      <c r="C220" s="228" t="inlineStr">
        <is>
          <t xml:space="preserve">Folga</t>
        </is>
      </c>
      <c r="D220" s="229" t="str">
        <f>IFERROR(1/(1/INDEX(BD!$Y$37:$AS$37,MATCH($A$206,BD!$Y$22:$AS$22,0))),"")</f>
        <v/>
      </c>
      <c r="E220" s="230"/>
      <c r="F220" s="231" t="str">
        <f>IF(F$3="","",IF(COUNTIFS(BD!$A$3:$A$5001,F$3,BD!$B$3:$B$5001,$A$206,BD!$P$3:$P$5001,"&lt;&gt;")=0,"",SUMIFS(BD!$P$3:$P$5001,BD!$A$3:$A$5001,F$3,BD!$B$3:$B$5001,$A$206)))</f>
        <v/>
      </c>
      <c r="G220" s="232" t="str">
        <f>IF(G$3="","",IF(COUNTIFS(BD!$A$3:$A$5001,G$3,BD!$B$3:$B$5001,$A$206,BD!$P$3:$P$5001,"&lt;&gt;")=0,"",SUMIFS(BD!$P$3:$P$5001,BD!$A$3:$A$5001,G$3,BD!$B$3:$B$5001,$A$206)))</f>
        <v/>
      </c>
      <c r="H220" s="232" t="str">
        <f>IF(H$3="","",IF(COUNTIFS(BD!$A$3:$A$5001,H$3,BD!$B$3:$B$5001,$A$206,BD!$P$3:$P$5001,"&lt;&gt;")=0,"",SUMIFS(BD!$P$3:$P$5001,BD!$A$3:$A$5001,H$3,BD!$B$3:$B$5001,$A$206)))</f>
        <v/>
      </c>
      <c r="I220" s="232" t="str">
        <f>IF(I$3="","",IF(COUNTIFS(BD!$A$3:$A$5001,I$3,BD!$B$3:$B$5001,$A$206,BD!$P$3:$P$5001,"&lt;&gt;")=0,"",SUMIFS(BD!$P$3:$P$5001,BD!$A$3:$A$5001,I$3,BD!$B$3:$B$5001,$A$206)))</f>
        <v/>
      </c>
      <c r="J220" s="232" t="str">
        <f>IF(J$3="","",IF(COUNTIFS(BD!$A$3:$A$5001,J$3,BD!$B$3:$B$5001,$A$206,BD!$P$3:$P$5001,"&lt;&gt;")=0,"",SUMIFS(BD!$P$3:$P$5001,BD!$A$3:$A$5001,J$3,BD!$B$3:$B$5001,$A$206)))</f>
        <v/>
      </c>
      <c r="K220" s="232" t="str">
        <f>IF(K$3="","",IF(COUNTIFS(BD!$A$3:$A$5001,K$3,BD!$B$3:$B$5001,$A$206,BD!$P$3:$P$5001,"&lt;&gt;")=0,"",SUMIFS(BD!$P$3:$P$5001,BD!$A$3:$A$5001,K$3,BD!$B$3:$B$5001,$A$206)))</f>
        <v/>
      </c>
      <c r="L220" s="232" t="str">
        <f>IF(L$3="","",IF(COUNTIFS(BD!$A$3:$A$5001,L$3,BD!$B$3:$B$5001,$A$206,BD!$P$3:$P$5001,"&lt;&gt;")=0,"",SUMIFS(BD!$P$3:$P$5001,BD!$A$3:$A$5001,L$3,BD!$B$3:$B$5001,$A$206)))</f>
        <v/>
      </c>
      <c r="M220" s="232" t="str">
        <f>IF(M$3="","",IF(COUNTIFS(BD!$A$3:$A$5001,M$3,BD!$B$3:$B$5001,$A$206,BD!$P$3:$P$5001,"&lt;&gt;")=0,"",SUMIFS(BD!$P$3:$P$5001,BD!$A$3:$A$5001,M$3,BD!$B$3:$B$5001,$A$206)))</f>
        <v/>
      </c>
      <c r="N220" s="232" t="str">
        <f>IF(N$3="","",IF(COUNTIFS(BD!$A$3:$A$5001,N$3,BD!$B$3:$B$5001,$A$206,BD!$P$3:$P$5001,"&lt;&gt;")=0,"",SUMIFS(BD!$P$3:$P$5001,BD!$A$3:$A$5001,N$3,BD!$B$3:$B$5001,$A$206)))</f>
        <v/>
      </c>
      <c r="O220" s="232" t="str">
        <f>IF(O$3="","",IF(COUNTIFS(BD!$A$3:$A$5001,O$3,BD!$B$3:$B$5001,$A$206,BD!$P$3:$P$5001,"&lt;&gt;")=0,"",SUMIFS(BD!$P$3:$P$5001,BD!$A$3:$A$5001,O$3,BD!$B$3:$B$5001,$A$206)))</f>
        <v/>
      </c>
      <c r="P220" s="232" t="str">
        <f>IF(P$3="","",IF(COUNTIFS(BD!$A$3:$A$5001,P$3,BD!$B$3:$B$5001,$A$206,BD!$P$3:$P$5001,"&lt;&gt;")=0,"",SUMIFS(BD!$P$3:$P$5001,BD!$A$3:$A$5001,P$3,BD!$B$3:$B$5001,$A$206)))</f>
        <v/>
      </c>
      <c r="Q220" s="232" t="str">
        <f>IF(Q$3="","",IF(COUNTIFS(BD!$A$3:$A$5001,Q$3,BD!$B$3:$B$5001,$A$206,BD!$P$3:$P$5001,"&lt;&gt;")=0,"",SUMIFS(BD!$P$3:$P$5001,BD!$A$3:$A$5001,Q$3,BD!$B$3:$B$5001,$A$206)))</f>
        <v/>
      </c>
      <c r="R220" s="232" t="str">
        <f>IF(R$3="","",IF(COUNTIFS(BD!$A$3:$A$5001,R$3,BD!$B$3:$B$5001,$A$206,BD!$P$3:$P$5001,"&lt;&gt;")=0,"",SUMIFS(BD!$P$3:$P$5001,BD!$A$3:$A$5001,R$3,BD!$B$3:$B$5001,$A$206)))</f>
        <v/>
      </c>
      <c r="S220" s="232" t="str">
        <f>IF(S$3="","",IF(COUNTIFS(BD!$A$3:$A$5001,S$3,BD!$B$3:$B$5001,$A$206,BD!$P$3:$P$5001,"&lt;&gt;")=0,"",SUMIFS(BD!$P$3:$P$5001,BD!$A$3:$A$5001,S$3,BD!$B$3:$B$5001,$A$206)))</f>
        <v/>
      </c>
      <c r="T220" s="232" t="str">
        <f>IF(T$3="","",IF(COUNTIFS(BD!$A$3:$A$5001,T$3,BD!$B$3:$B$5001,$A$206,BD!$P$3:$P$5001,"&lt;&gt;")=0,"",SUMIFS(BD!$P$3:$P$5001,BD!$A$3:$A$5001,T$3,BD!$B$3:$B$5001,$A$206)))</f>
        <v/>
      </c>
      <c r="U220" s="232" t="str">
        <f>IF(U$3="","",IF(COUNTIFS(BD!$A$3:$A$5001,U$3,BD!$B$3:$B$5001,$A$206,BD!$P$3:$P$5001,"&lt;&gt;")=0,"",SUMIFS(BD!$P$3:$P$5001,BD!$A$3:$A$5001,U$3,BD!$B$3:$B$5001,$A$206)))</f>
        <v/>
      </c>
      <c r="V220" s="232" t="str">
        <f>IF(V$3="","",IF(COUNTIFS(BD!$A$3:$A$5001,V$3,BD!$B$3:$B$5001,$A$206,BD!$P$3:$P$5001,"&lt;&gt;")=0,"",SUMIFS(BD!$P$3:$P$5001,BD!$A$3:$A$5001,V$3,BD!$B$3:$B$5001,$A$206)))</f>
        <v/>
      </c>
      <c r="W220" s="232" t="str">
        <f>IF(W$3="","",IF(COUNTIFS(BD!$A$3:$A$5001,W$3,BD!$B$3:$B$5001,$A$206,BD!$P$3:$P$5001,"&lt;&gt;")=0,"",SUMIFS(BD!$P$3:$P$5001,BD!$A$3:$A$5001,W$3,BD!$B$3:$B$5001,$A$206)))</f>
        <v/>
      </c>
      <c r="X220" s="232" t="str">
        <f>IF(X$3="","",IF(COUNTIFS(BD!$A$3:$A$5001,X$3,BD!$B$3:$B$5001,$A$206,BD!$P$3:$P$5001,"&lt;&gt;")=0,"",SUMIFS(BD!$P$3:$P$5001,BD!$A$3:$A$5001,X$3,BD!$B$3:$B$5001,$A$206)))</f>
        <v/>
      </c>
      <c r="Y220" s="232" t="str">
        <f>IF(Y$3="","",IF(COUNTIFS(BD!$A$3:$A$5001,Y$3,BD!$B$3:$B$5001,$A$206,BD!$P$3:$P$5001,"&lt;&gt;")=0,"",SUMIFS(BD!$P$3:$P$5001,BD!$A$3:$A$5001,Y$3,BD!$B$3:$B$5001,$A$206)))</f>
        <v/>
      </c>
      <c r="Z220" s="232" t="str">
        <f>IF(Z$3="","",IF(COUNTIFS(BD!$A$3:$A$5001,Z$3,BD!$B$3:$B$5001,$A$206,BD!$P$3:$P$5001,"&lt;&gt;")=0,"",SUMIFS(BD!$P$3:$P$5001,BD!$A$3:$A$5001,Z$3,BD!$B$3:$B$5001,$A$206)))</f>
        <v/>
      </c>
      <c r="AA220" s="232" t="str">
        <f>IF(AA$3="","",IF(COUNTIFS(BD!$A$3:$A$5001,AA$3,BD!$B$3:$B$5001,$A$206,BD!$P$3:$P$5001,"&lt;&gt;")=0,"",SUMIFS(BD!$P$3:$P$5001,BD!$A$3:$A$5001,AA$3,BD!$B$3:$B$5001,$A$206)))</f>
        <v/>
      </c>
      <c r="AB220" s="232" t="str">
        <f>IF(AB$3="","",IF(COUNTIFS(BD!$A$3:$A$5001,AB$3,BD!$B$3:$B$5001,$A$206,BD!$P$3:$P$5001,"&lt;&gt;")=0,"",SUMIFS(BD!$P$3:$P$5001,BD!$A$3:$A$5001,AB$3,BD!$B$3:$B$5001,$A$206)))</f>
        <v/>
      </c>
      <c r="AC220" s="232" t="str">
        <f>IF(AC$3="","",IF(COUNTIFS(BD!$A$3:$A$5001,AC$3,BD!$B$3:$B$5001,$A$206,BD!$P$3:$P$5001,"&lt;&gt;")=0,"",SUMIFS(BD!$P$3:$P$5001,BD!$A$3:$A$5001,AC$3,BD!$B$3:$B$5001,$A$206)))</f>
        <v/>
      </c>
      <c r="AD220" s="232" t="str">
        <f>IF(AD$3="","",IF(COUNTIFS(BD!$A$3:$A$5001,AD$3,BD!$B$3:$B$5001,$A$206,BD!$P$3:$P$5001,"&lt;&gt;")=0,"",SUMIFS(BD!$P$3:$P$5001,BD!$A$3:$A$5001,AD$3,BD!$B$3:$B$5001,$A$206)))</f>
        <v/>
      </c>
      <c r="AE220" s="232" t="str">
        <f>IF(AE$3="","",IF(COUNTIFS(BD!$A$3:$A$5001,AE$3,BD!$B$3:$B$5001,$A$206,BD!$P$3:$P$5001,"&lt;&gt;")=0,"",SUMIFS(BD!$P$3:$P$5001,BD!$A$3:$A$5001,AE$3,BD!$B$3:$B$5001,$A$206)))</f>
        <v/>
      </c>
      <c r="AF220" s="232" t="str">
        <f>IF(AF$3="","",IF(COUNTIFS(BD!$A$3:$A$5001,AF$3,BD!$B$3:$B$5001,$A$206,BD!$P$3:$P$5001,"&lt;&gt;")=0,"",SUMIFS(BD!$P$3:$P$5001,BD!$A$3:$A$5001,AF$3,BD!$B$3:$B$5001,$A$206)))</f>
        <v/>
      </c>
      <c r="AG220" s="232" t="str">
        <f>IF(AG$3="","",IF(COUNTIFS(BD!$A$3:$A$5001,AG$3,BD!$B$3:$B$5001,$A$206,BD!$P$3:$P$5001,"&lt;&gt;")=0,"",SUMIFS(BD!$P$3:$P$5001,BD!$A$3:$A$5001,AG$3,BD!$B$3:$B$5001,$A$206)))</f>
        <v/>
      </c>
      <c r="AH220" s="232" t="str">
        <f>IF(AH$3="","",IF(COUNTIFS(BD!$A$3:$A$5001,AH$3,BD!$B$3:$B$5001,$A$206,BD!$P$3:$P$5001,"&lt;&gt;")=0,"",SUMIFS(BD!$P$3:$P$5001,BD!$A$3:$A$5001,AH$3,BD!$B$3:$B$5001,$A$206)))</f>
        <v/>
      </c>
      <c r="AI220" s="232" t="str">
        <f>IF(AI$3="","",IF(COUNTIFS(BD!$A$3:$A$5001,AI$3,BD!$B$3:$B$5001,$A$206,BD!$P$3:$P$5001,"&lt;&gt;")=0,"",SUMIFS(BD!$P$3:$P$5001,BD!$A$3:$A$5001,AI$3,BD!$B$3:$B$5001,$A$206)))</f>
        <v/>
      </c>
      <c r="AJ220" s="233" t="str">
        <f>IF(AJ$3="","",IF(COUNTIFS(BD!$A$3:$A$5001,AJ$3,BD!$B$3:$B$5001,$A$206,BD!$P$3:$P$5001,"&lt;&gt;")=0,"",SUMIFS(BD!$P$3:$P$5001,BD!$A$3:$A$5001,AJ$3,BD!$B$3:$B$5001,$A$206)))</f>
        <v/>
      </c>
      <c r="AK220" s="234" t="str">
        <f>IF(COUNT(F220:AJ220)=0,"",SUM(F220:AJ220))</f>
        <v/>
      </c>
    </row>
    <row r="221" ht="15.75" customHeight="1" hidden="1">
      <c r="A221" s="254"/>
      <c r="B221" s="251"/>
      <c r="C221" s="228" t="inlineStr">
        <is>
          <t xml:space="preserve">Férias</t>
        </is>
      </c>
      <c r="D221" s="229" t="str">
        <f>IFERROR(1/(1/INDEX(BD!$Y$38:$AS$38,MATCH($A$206,BD!$Y$22:$AS$22,0))),"")</f>
        <v/>
      </c>
      <c r="E221" s="230"/>
      <c r="F221" s="231" t="str">
        <f>IF(F$3="","",IF(COUNTIFS(BD!$A$3:$A$5001,F$3,BD!$B$3:$B$5001,$A$206,BD!$Q$3:$Q$5001,"&lt;&gt;")=0,"",SUMIFS(BD!$Q$3:$Q$5001,BD!$A$3:$A$5001,F$3,BD!$B$3:$B$5001,$A$206)))</f>
        <v/>
      </c>
      <c r="G221" s="232" t="str">
        <f>IF(G$3="","",IF(COUNTIFS(BD!$A$3:$A$5001,G$3,BD!$B$3:$B$5001,$A$206,BD!$Q$3:$Q$5001,"&lt;&gt;")=0,"",SUMIFS(BD!$Q$3:$Q$5001,BD!$A$3:$A$5001,G$3,BD!$B$3:$B$5001,$A$206)))</f>
        <v/>
      </c>
      <c r="H221" s="232" t="str">
        <f>IF(H$3="","",IF(COUNTIFS(BD!$A$3:$A$5001,H$3,BD!$B$3:$B$5001,$A$206,BD!$Q$3:$Q$5001,"&lt;&gt;")=0,"",SUMIFS(BD!$Q$3:$Q$5001,BD!$A$3:$A$5001,H$3,BD!$B$3:$B$5001,$A$206)))</f>
        <v/>
      </c>
      <c r="I221" s="232" t="str">
        <f>IF(I$3="","",IF(COUNTIFS(BD!$A$3:$A$5001,I$3,BD!$B$3:$B$5001,$A$206,BD!$Q$3:$Q$5001,"&lt;&gt;")=0,"",SUMIFS(BD!$Q$3:$Q$5001,BD!$A$3:$A$5001,I$3,BD!$B$3:$B$5001,$A$206)))</f>
        <v/>
      </c>
      <c r="J221" s="232" t="str">
        <f>IF(J$3="","",IF(COUNTIFS(BD!$A$3:$A$5001,J$3,BD!$B$3:$B$5001,$A$206,BD!$Q$3:$Q$5001,"&lt;&gt;")=0,"",SUMIFS(BD!$Q$3:$Q$5001,BD!$A$3:$A$5001,J$3,BD!$B$3:$B$5001,$A$206)))</f>
        <v/>
      </c>
      <c r="K221" s="232" t="str">
        <f>IF(K$3="","",IF(COUNTIFS(BD!$A$3:$A$5001,K$3,BD!$B$3:$B$5001,$A$206,BD!$Q$3:$Q$5001,"&lt;&gt;")=0,"",SUMIFS(BD!$Q$3:$Q$5001,BD!$A$3:$A$5001,K$3,BD!$B$3:$B$5001,$A$206)))</f>
        <v/>
      </c>
      <c r="L221" s="232" t="str">
        <f>IF(L$3="","",IF(COUNTIFS(BD!$A$3:$A$5001,L$3,BD!$B$3:$B$5001,$A$206,BD!$Q$3:$Q$5001,"&lt;&gt;")=0,"",SUMIFS(BD!$Q$3:$Q$5001,BD!$A$3:$A$5001,L$3,BD!$B$3:$B$5001,$A$206)))</f>
        <v/>
      </c>
      <c r="M221" s="232" t="str">
        <f>IF(M$3="","",IF(COUNTIFS(BD!$A$3:$A$5001,M$3,BD!$B$3:$B$5001,$A$206,BD!$Q$3:$Q$5001,"&lt;&gt;")=0,"",SUMIFS(BD!$Q$3:$Q$5001,BD!$A$3:$A$5001,M$3,BD!$B$3:$B$5001,$A$206)))</f>
        <v/>
      </c>
      <c r="N221" s="232" t="str">
        <f>IF(N$3="","",IF(COUNTIFS(BD!$A$3:$A$5001,N$3,BD!$B$3:$B$5001,$A$206,BD!$Q$3:$Q$5001,"&lt;&gt;")=0,"",SUMIFS(BD!$Q$3:$Q$5001,BD!$A$3:$A$5001,N$3,BD!$B$3:$B$5001,$A$206)))</f>
        <v/>
      </c>
      <c r="O221" s="232" t="str">
        <f>IF(O$3="","",IF(COUNTIFS(BD!$A$3:$A$5001,O$3,BD!$B$3:$B$5001,$A$206,BD!$Q$3:$Q$5001,"&lt;&gt;")=0,"",SUMIFS(BD!$Q$3:$Q$5001,BD!$A$3:$A$5001,O$3,BD!$B$3:$B$5001,$A$206)))</f>
        <v/>
      </c>
      <c r="P221" s="232" t="str">
        <f>IF(P$3="","",IF(COUNTIFS(BD!$A$3:$A$5001,P$3,BD!$B$3:$B$5001,$A$206,BD!$Q$3:$Q$5001,"&lt;&gt;")=0,"",SUMIFS(BD!$Q$3:$Q$5001,BD!$A$3:$A$5001,P$3,BD!$B$3:$B$5001,$A$206)))</f>
        <v/>
      </c>
      <c r="Q221" s="232" t="str">
        <f>IF(Q$3="","",IF(COUNTIFS(BD!$A$3:$A$5001,Q$3,BD!$B$3:$B$5001,$A$206,BD!$Q$3:$Q$5001,"&lt;&gt;")=0,"",SUMIFS(BD!$Q$3:$Q$5001,BD!$A$3:$A$5001,Q$3,BD!$B$3:$B$5001,$A$206)))</f>
        <v/>
      </c>
      <c r="R221" s="232" t="str">
        <f>IF(R$3="","",IF(COUNTIFS(BD!$A$3:$A$5001,R$3,BD!$B$3:$B$5001,$A$206,BD!$Q$3:$Q$5001,"&lt;&gt;")=0,"",SUMIFS(BD!$Q$3:$Q$5001,BD!$A$3:$A$5001,R$3,BD!$B$3:$B$5001,$A$206)))</f>
        <v/>
      </c>
      <c r="S221" s="232" t="str">
        <f>IF(S$3="","",IF(COUNTIFS(BD!$A$3:$A$5001,S$3,BD!$B$3:$B$5001,$A$206,BD!$Q$3:$Q$5001,"&lt;&gt;")=0,"",SUMIFS(BD!$Q$3:$Q$5001,BD!$A$3:$A$5001,S$3,BD!$B$3:$B$5001,$A$206)))</f>
        <v/>
      </c>
      <c r="T221" s="232" t="str">
        <f>IF(T$3="","",IF(COUNTIFS(BD!$A$3:$A$5001,T$3,BD!$B$3:$B$5001,$A$206,BD!$Q$3:$Q$5001,"&lt;&gt;")=0,"",SUMIFS(BD!$Q$3:$Q$5001,BD!$A$3:$A$5001,T$3,BD!$B$3:$B$5001,$A$206)))</f>
        <v/>
      </c>
      <c r="U221" s="232" t="str">
        <f>IF(U$3="","",IF(COUNTIFS(BD!$A$3:$A$5001,U$3,BD!$B$3:$B$5001,$A$206,BD!$Q$3:$Q$5001,"&lt;&gt;")=0,"",SUMIFS(BD!$Q$3:$Q$5001,BD!$A$3:$A$5001,U$3,BD!$B$3:$B$5001,$A$206)))</f>
        <v/>
      </c>
      <c r="V221" s="232" t="str">
        <f>IF(V$3="","",IF(COUNTIFS(BD!$A$3:$A$5001,V$3,BD!$B$3:$B$5001,$A$206,BD!$Q$3:$Q$5001,"&lt;&gt;")=0,"",SUMIFS(BD!$Q$3:$Q$5001,BD!$A$3:$A$5001,V$3,BD!$B$3:$B$5001,$A$206)))</f>
        <v/>
      </c>
      <c r="W221" s="232" t="str">
        <f>IF(W$3="","",IF(COUNTIFS(BD!$A$3:$A$5001,W$3,BD!$B$3:$B$5001,$A$206,BD!$Q$3:$Q$5001,"&lt;&gt;")=0,"",SUMIFS(BD!$Q$3:$Q$5001,BD!$A$3:$A$5001,W$3,BD!$B$3:$B$5001,$A$206)))</f>
        <v/>
      </c>
      <c r="X221" s="232" t="str">
        <f>IF(X$3="","",IF(COUNTIFS(BD!$A$3:$A$5001,X$3,BD!$B$3:$B$5001,$A$206,BD!$Q$3:$Q$5001,"&lt;&gt;")=0,"",SUMIFS(BD!$Q$3:$Q$5001,BD!$A$3:$A$5001,X$3,BD!$B$3:$B$5001,$A$206)))</f>
        <v/>
      </c>
      <c r="Y221" s="232" t="str">
        <f>IF(Y$3="","",IF(COUNTIFS(BD!$A$3:$A$5001,Y$3,BD!$B$3:$B$5001,$A$206,BD!$Q$3:$Q$5001,"&lt;&gt;")=0,"",SUMIFS(BD!$Q$3:$Q$5001,BD!$A$3:$A$5001,Y$3,BD!$B$3:$B$5001,$A$206)))</f>
        <v/>
      </c>
      <c r="Z221" s="232" t="str">
        <f>IF(Z$3="","",IF(COUNTIFS(BD!$A$3:$A$5001,Z$3,BD!$B$3:$B$5001,$A$206,BD!$Q$3:$Q$5001,"&lt;&gt;")=0,"",SUMIFS(BD!$Q$3:$Q$5001,BD!$A$3:$A$5001,Z$3,BD!$B$3:$B$5001,$A$206)))</f>
        <v/>
      </c>
      <c r="AA221" s="232" t="str">
        <f>IF(AA$3="","",IF(COUNTIFS(BD!$A$3:$A$5001,AA$3,BD!$B$3:$B$5001,$A$206,BD!$Q$3:$Q$5001,"&lt;&gt;")=0,"",SUMIFS(BD!$Q$3:$Q$5001,BD!$A$3:$A$5001,AA$3,BD!$B$3:$B$5001,$A$206)))</f>
        <v/>
      </c>
      <c r="AB221" s="232" t="str">
        <f>IF(AB$3="","",IF(COUNTIFS(BD!$A$3:$A$5001,AB$3,BD!$B$3:$B$5001,$A$206,BD!$Q$3:$Q$5001,"&lt;&gt;")=0,"",SUMIFS(BD!$Q$3:$Q$5001,BD!$A$3:$A$5001,AB$3,BD!$B$3:$B$5001,$A$206)))</f>
        <v/>
      </c>
      <c r="AC221" s="232" t="str">
        <f>IF(AC$3="","",IF(COUNTIFS(BD!$A$3:$A$5001,AC$3,BD!$B$3:$B$5001,$A$206,BD!$Q$3:$Q$5001,"&lt;&gt;")=0,"",SUMIFS(BD!$Q$3:$Q$5001,BD!$A$3:$A$5001,AC$3,BD!$B$3:$B$5001,$A$206)))</f>
        <v/>
      </c>
      <c r="AD221" s="232" t="str">
        <f>IF(AD$3="","",IF(COUNTIFS(BD!$A$3:$A$5001,AD$3,BD!$B$3:$B$5001,$A$206,BD!$Q$3:$Q$5001,"&lt;&gt;")=0,"",SUMIFS(BD!$Q$3:$Q$5001,BD!$A$3:$A$5001,AD$3,BD!$B$3:$B$5001,$A$206)))</f>
        <v/>
      </c>
      <c r="AE221" s="232" t="str">
        <f>IF(AE$3="","",IF(COUNTIFS(BD!$A$3:$A$5001,AE$3,BD!$B$3:$B$5001,$A$206,BD!$Q$3:$Q$5001,"&lt;&gt;")=0,"",SUMIFS(BD!$Q$3:$Q$5001,BD!$A$3:$A$5001,AE$3,BD!$B$3:$B$5001,$A$206)))</f>
        <v/>
      </c>
      <c r="AF221" s="232" t="str">
        <f>IF(AF$3="","",IF(COUNTIFS(BD!$A$3:$A$5001,AF$3,BD!$B$3:$B$5001,$A$206,BD!$Q$3:$Q$5001,"&lt;&gt;")=0,"",SUMIFS(BD!$Q$3:$Q$5001,BD!$A$3:$A$5001,AF$3,BD!$B$3:$B$5001,$A$206)))</f>
        <v/>
      </c>
      <c r="AG221" s="232" t="str">
        <f>IF(AG$3="","",IF(COUNTIFS(BD!$A$3:$A$5001,AG$3,BD!$B$3:$B$5001,$A$206,BD!$Q$3:$Q$5001,"&lt;&gt;")=0,"",SUMIFS(BD!$Q$3:$Q$5001,BD!$A$3:$A$5001,AG$3,BD!$B$3:$B$5001,$A$206)))</f>
        <v/>
      </c>
      <c r="AH221" s="232" t="str">
        <f>IF(AH$3="","",IF(COUNTIFS(BD!$A$3:$A$5001,AH$3,BD!$B$3:$B$5001,$A$206,BD!$Q$3:$Q$5001,"&lt;&gt;")=0,"",SUMIFS(BD!$Q$3:$Q$5001,BD!$A$3:$A$5001,AH$3,BD!$B$3:$B$5001,$A$206)))</f>
        <v/>
      </c>
      <c r="AI221" s="232" t="str">
        <f>IF(AI$3="","",IF(COUNTIFS(BD!$A$3:$A$5001,AI$3,BD!$B$3:$B$5001,$A$206,BD!$Q$3:$Q$5001,"&lt;&gt;")=0,"",SUMIFS(BD!$Q$3:$Q$5001,BD!$A$3:$A$5001,AI$3,BD!$B$3:$B$5001,$A$206)))</f>
        <v/>
      </c>
      <c r="AJ221" s="233" t="str">
        <f>IF(AJ$3="","",IF(COUNTIFS(BD!$A$3:$A$5001,AJ$3,BD!$B$3:$B$5001,$A$206,BD!$Q$3:$Q$5001,"&lt;&gt;")=0,"",SUMIFS(BD!$Q$3:$Q$5001,BD!$A$3:$A$5001,AJ$3,BD!$B$3:$B$5001,$A$206)))</f>
        <v/>
      </c>
      <c r="AK221" s="234" t="str">
        <f>IF(COUNT(F221:AJ221)=0,"",SUM(F221:AJ221))</f>
        <v/>
      </c>
    </row>
    <row r="222" ht="15.75" customHeight="1" hidden="1">
      <c r="A222" s="254"/>
      <c r="B222" s="251"/>
      <c r="C222" s="228" t="inlineStr">
        <is>
          <t xml:space="preserve">Desligamento</t>
        </is>
      </c>
      <c r="D222" s="229" t="str">
        <f>IFERROR(1/(1/INDEX(BD!$Y$39:$AS$39,MATCH($A$206,BD!$Y$22:$AS$22,0))),"")</f>
        <v/>
      </c>
      <c r="E222" s="230"/>
      <c r="F222" s="231" t="str">
        <f>IF(F$3="","",IF(COUNTIFS(BD!$A$3:$A$5001,F$3,BD!$B$3:$B$5001,$A$206,BD!$R$3:$R$5001,"&lt;&gt;")=0,"",SUMIFS(BD!$R$3:$R$5001,BD!$A$3:$A$5001,F$3,BD!$B$3:$B$5001,$A$206)))</f>
        <v/>
      </c>
      <c r="G222" s="232" t="str">
        <f>IF(G$3="","",IF(COUNTIFS(BD!$A$3:$A$5001,G$3,BD!$B$3:$B$5001,$A$206,BD!$R$3:$R$5001,"&lt;&gt;")=0,"",SUMIFS(BD!$R$3:$R$5001,BD!$A$3:$A$5001,G$3,BD!$B$3:$B$5001,$A$206)))</f>
        <v/>
      </c>
      <c r="H222" s="232" t="str">
        <f>IF(H$3="","",IF(COUNTIFS(BD!$A$3:$A$5001,H$3,BD!$B$3:$B$5001,$A$206,BD!$R$3:$R$5001,"&lt;&gt;")=0,"",SUMIFS(BD!$R$3:$R$5001,BD!$A$3:$A$5001,H$3,BD!$B$3:$B$5001,$A$206)))</f>
        <v/>
      </c>
      <c r="I222" s="232" t="str">
        <f>IF(I$3="","",IF(COUNTIFS(BD!$A$3:$A$5001,I$3,BD!$B$3:$B$5001,$A$206,BD!$R$3:$R$5001,"&lt;&gt;")=0,"",SUMIFS(BD!$R$3:$R$5001,BD!$A$3:$A$5001,I$3,BD!$B$3:$B$5001,$A$206)))</f>
        <v/>
      </c>
      <c r="J222" s="232" t="str">
        <f>IF(J$3="","",IF(COUNTIFS(BD!$A$3:$A$5001,J$3,BD!$B$3:$B$5001,$A$206,BD!$R$3:$R$5001,"&lt;&gt;")=0,"",SUMIFS(BD!$R$3:$R$5001,BD!$A$3:$A$5001,J$3,BD!$B$3:$B$5001,$A$206)))</f>
        <v/>
      </c>
      <c r="K222" s="232" t="str">
        <f>IF(K$3="","",IF(COUNTIFS(BD!$A$3:$A$5001,K$3,BD!$B$3:$B$5001,$A$206,BD!$R$3:$R$5001,"&lt;&gt;")=0,"",SUMIFS(BD!$R$3:$R$5001,BD!$A$3:$A$5001,K$3,BD!$B$3:$B$5001,$A$206)))</f>
        <v/>
      </c>
      <c r="L222" s="232" t="str">
        <f>IF(L$3="","",IF(COUNTIFS(BD!$A$3:$A$5001,L$3,BD!$B$3:$B$5001,$A$206,BD!$R$3:$R$5001,"&lt;&gt;")=0,"",SUMIFS(BD!$R$3:$R$5001,BD!$A$3:$A$5001,L$3,BD!$B$3:$B$5001,$A$206)))</f>
        <v/>
      </c>
      <c r="M222" s="232" t="str">
        <f>IF(M$3="","",IF(COUNTIFS(BD!$A$3:$A$5001,M$3,BD!$B$3:$B$5001,$A$206,BD!$R$3:$R$5001,"&lt;&gt;")=0,"",SUMIFS(BD!$R$3:$R$5001,BD!$A$3:$A$5001,M$3,BD!$B$3:$B$5001,$A$206)))</f>
        <v/>
      </c>
      <c r="N222" s="232" t="str">
        <f>IF(N$3="","",IF(COUNTIFS(BD!$A$3:$A$5001,N$3,BD!$B$3:$B$5001,$A$206,BD!$R$3:$R$5001,"&lt;&gt;")=0,"",SUMIFS(BD!$R$3:$R$5001,BD!$A$3:$A$5001,N$3,BD!$B$3:$B$5001,$A$206)))</f>
        <v/>
      </c>
      <c r="O222" s="232" t="str">
        <f>IF(O$3="","",IF(COUNTIFS(BD!$A$3:$A$5001,O$3,BD!$B$3:$B$5001,$A$206,BD!$R$3:$R$5001,"&lt;&gt;")=0,"",SUMIFS(BD!$R$3:$R$5001,BD!$A$3:$A$5001,O$3,BD!$B$3:$B$5001,$A$206)))</f>
        <v/>
      </c>
      <c r="P222" s="232" t="str">
        <f>IF(P$3="","",IF(COUNTIFS(BD!$A$3:$A$5001,P$3,BD!$B$3:$B$5001,$A$206,BD!$R$3:$R$5001,"&lt;&gt;")=0,"",SUMIFS(BD!$R$3:$R$5001,BD!$A$3:$A$5001,P$3,BD!$B$3:$B$5001,$A$206)))</f>
        <v/>
      </c>
      <c r="Q222" s="232" t="str">
        <f>IF(Q$3="","",IF(COUNTIFS(BD!$A$3:$A$5001,Q$3,BD!$B$3:$B$5001,$A$206,BD!$R$3:$R$5001,"&lt;&gt;")=0,"",SUMIFS(BD!$R$3:$R$5001,BD!$A$3:$A$5001,Q$3,BD!$B$3:$B$5001,$A$206)))</f>
        <v/>
      </c>
      <c r="R222" s="232" t="str">
        <f>IF(R$3="","",IF(COUNTIFS(BD!$A$3:$A$5001,R$3,BD!$B$3:$B$5001,$A$206,BD!$R$3:$R$5001,"&lt;&gt;")=0,"",SUMIFS(BD!$R$3:$R$5001,BD!$A$3:$A$5001,R$3,BD!$B$3:$B$5001,$A$206)))</f>
        <v/>
      </c>
      <c r="S222" s="232" t="str">
        <f>IF(S$3="","",IF(COUNTIFS(BD!$A$3:$A$5001,S$3,BD!$B$3:$B$5001,$A$206,BD!$R$3:$R$5001,"&lt;&gt;")=0,"",SUMIFS(BD!$R$3:$R$5001,BD!$A$3:$A$5001,S$3,BD!$B$3:$B$5001,$A$206)))</f>
        <v/>
      </c>
      <c r="T222" s="232" t="str">
        <f>IF(T$3="","",IF(COUNTIFS(BD!$A$3:$A$5001,T$3,BD!$B$3:$B$5001,$A$206,BD!$R$3:$R$5001,"&lt;&gt;")=0,"",SUMIFS(BD!$R$3:$R$5001,BD!$A$3:$A$5001,T$3,BD!$B$3:$B$5001,$A$206)))</f>
        <v/>
      </c>
      <c r="U222" s="232" t="str">
        <f>IF(U$3="","",IF(COUNTIFS(BD!$A$3:$A$5001,U$3,BD!$B$3:$B$5001,$A$206,BD!$R$3:$R$5001,"&lt;&gt;")=0,"",SUMIFS(BD!$R$3:$R$5001,BD!$A$3:$A$5001,U$3,BD!$B$3:$B$5001,$A$206)))</f>
        <v/>
      </c>
      <c r="V222" s="232" t="str">
        <f>IF(V$3="","",IF(COUNTIFS(BD!$A$3:$A$5001,V$3,BD!$B$3:$B$5001,$A$206,BD!$R$3:$R$5001,"&lt;&gt;")=0,"",SUMIFS(BD!$R$3:$R$5001,BD!$A$3:$A$5001,V$3,BD!$B$3:$B$5001,$A$206)))</f>
        <v/>
      </c>
      <c r="W222" s="232" t="str">
        <f>IF(W$3="","",IF(COUNTIFS(BD!$A$3:$A$5001,W$3,BD!$B$3:$B$5001,$A$206,BD!$R$3:$R$5001,"&lt;&gt;")=0,"",SUMIFS(BD!$R$3:$R$5001,BD!$A$3:$A$5001,W$3,BD!$B$3:$B$5001,$A$206)))</f>
        <v/>
      </c>
      <c r="X222" s="232" t="str">
        <f>IF(X$3="","",IF(COUNTIFS(BD!$A$3:$A$5001,X$3,BD!$B$3:$B$5001,$A$206,BD!$R$3:$R$5001,"&lt;&gt;")=0,"",SUMIFS(BD!$R$3:$R$5001,BD!$A$3:$A$5001,X$3,BD!$B$3:$B$5001,$A$206)))</f>
        <v/>
      </c>
      <c r="Y222" s="232" t="str">
        <f>IF(Y$3="","",IF(COUNTIFS(BD!$A$3:$A$5001,Y$3,BD!$B$3:$B$5001,$A$206,BD!$R$3:$R$5001,"&lt;&gt;")=0,"",SUMIFS(BD!$R$3:$R$5001,BD!$A$3:$A$5001,Y$3,BD!$B$3:$B$5001,$A$206)))</f>
        <v/>
      </c>
      <c r="Z222" s="232" t="str">
        <f>IF(Z$3="","",IF(COUNTIFS(BD!$A$3:$A$5001,Z$3,BD!$B$3:$B$5001,$A$206,BD!$R$3:$R$5001,"&lt;&gt;")=0,"",SUMIFS(BD!$R$3:$R$5001,BD!$A$3:$A$5001,Z$3,BD!$B$3:$B$5001,$A$206)))</f>
        <v/>
      </c>
      <c r="AA222" s="232" t="str">
        <f>IF(AA$3="","",IF(COUNTIFS(BD!$A$3:$A$5001,AA$3,BD!$B$3:$B$5001,$A$206,BD!$R$3:$R$5001,"&lt;&gt;")=0,"",SUMIFS(BD!$R$3:$R$5001,BD!$A$3:$A$5001,AA$3,BD!$B$3:$B$5001,$A$206)))</f>
        <v/>
      </c>
      <c r="AB222" s="232" t="str">
        <f>IF(AB$3="","",IF(COUNTIFS(BD!$A$3:$A$5001,AB$3,BD!$B$3:$B$5001,$A$206,BD!$R$3:$R$5001,"&lt;&gt;")=0,"",SUMIFS(BD!$R$3:$R$5001,BD!$A$3:$A$5001,AB$3,BD!$B$3:$B$5001,$A$206)))</f>
        <v/>
      </c>
      <c r="AC222" s="232" t="str">
        <f>IF(AC$3="","",IF(COUNTIFS(BD!$A$3:$A$5001,AC$3,BD!$B$3:$B$5001,$A$206,BD!$R$3:$R$5001,"&lt;&gt;")=0,"",SUMIFS(BD!$R$3:$R$5001,BD!$A$3:$A$5001,AC$3,BD!$B$3:$B$5001,$A$206)))</f>
        <v/>
      </c>
      <c r="AD222" s="232" t="str">
        <f>IF(AD$3="","",IF(COUNTIFS(BD!$A$3:$A$5001,AD$3,BD!$B$3:$B$5001,$A$206,BD!$R$3:$R$5001,"&lt;&gt;")=0,"",SUMIFS(BD!$R$3:$R$5001,BD!$A$3:$A$5001,AD$3,BD!$B$3:$B$5001,$A$206)))</f>
        <v/>
      </c>
      <c r="AE222" s="232" t="str">
        <f>IF(AE$3="","",IF(COUNTIFS(BD!$A$3:$A$5001,AE$3,BD!$B$3:$B$5001,$A$206,BD!$R$3:$R$5001,"&lt;&gt;")=0,"",SUMIFS(BD!$R$3:$R$5001,BD!$A$3:$A$5001,AE$3,BD!$B$3:$B$5001,$A$206)))</f>
        <v/>
      </c>
      <c r="AF222" s="232" t="str">
        <f>IF(AF$3="","",IF(COUNTIFS(BD!$A$3:$A$5001,AF$3,BD!$B$3:$B$5001,$A$206,BD!$R$3:$R$5001,"&lt;&gt;")=0,"",SUMIFS(BD!$R$3:$R$5001,BD!$A$3:$A$5001,AF$3,BD!$B$3:$B$5001,$A$206)))</f>
        <v/>
      </c>
      <c r="AG222" s="232" t="str">
        <f>IF(AG$3="","",IF(COUNTIFS(BD!$A$3:$A$5001,AG$3,BD!$B$3:$B$5001,$A$206,BD!$R$3:$R$5001,"&lt;&gt;")=0,"",SUMIFS(BD!$R$3:$R$5001,BD!$A$3:$A$5001,AG$3,BD!$B$3:$B$5001,$A$206)))</f>
        <v/>
      </c>
      <c r="AH222" s="232" t="str">
        <f>IF(AH$3="","",IF(COUNTIFS(BD!$A$3:$A$5001,AH$3,BD!$B$3:$B$5001,$A$206,BD!$R$3:$R$5001,"&lt;&gt;")=0,"",SUMIFS(BD!$R$3:$R$5001,BD!$A$3:$A$5001,AH$3,BD!$B$3:$B$5001,$A$206)))</f>
        <v/>
      </c>
      <c r="AI222" s="232" t="str">
        <f>IF(AI$3="","",IF(COUNTIFS(BD!$A$3:$A$5001,AI$3,BD!$B$3:$B$5001,$A$206,BD!$R$3:$R$5001,"&lt;&gt;")=0,"",SUMIFS(BD!$R$3:$R$5001,BD!$A$3:$A$5001,AI$3,BD!$B$3:$B$5001,$A$206)))</f>
        <v/>
      </c>
      <c r="AJ222" s="233" t="str">
        <f>IF(AJ$3="","",IF(COUNTIFS(BD!$A$3:$A$5001,AJ$3,BD!$B$3:$B$5001,$A$206,BD!$R$3:$R$5001,"&lt;&gt;")=0,"",SUMIFS(BD!$R$3:$R$5001,BD!$A$3:$A$5001,AJ$3,BD!$B$3:$B$5001,$A$206)))</f>
        <v/>
      </c>
      <c r="AK222" s="234" t="str">
        <f>IF(COUNT(F222:AJ222)=0,"",SUM(F222:AJ222))</f>
        <v/>
      </c>
    </row>
    <row r="223" ht="15.75" customHeight="1" hidden="1">
      <c r="A223" s="254"/>
      <c r="B223" s="251"/>
      <c r="C223" s="228" t="inlineStr">
        <is>
          <t xml:space="preserve">Desvios Comportamentais</t>
        </is>
      </c>
      <c r="D223" s="229" t="str">
        <f>IFERROR(1/(1/INDEX(BD!$Y$40:$AS$40,MATCH($A$206,BD!$Y$22:$AS$22,0))),"")</f>
        <v/>
      </c>
      <c r="E223" s="230"/>
      <c r="F223" s="231" t="str">
        <f>IF(F$3="","",IF(COUNTIFS(BD!$A$3:$A$5001,F$3,BD!$B$3:$B$5001,$A$206,BD!$S$3:$S$5001,"&lt;&gt;")=0,"",SUMIFS(BD!$S$3:$S$5001,BD!$A$3:$A$5001,F$3,BD!$B$3:$B$5001,$A$206)))</f>
        <v/>
      </c>
      <c r="G223" s="232" t="str">
        <f>IF(G$3="","",IF(COUNTIFS(BD!$A$3:$A$5001,G$3,BD!$B$3:$B$5001,$A$206,BD!$S$3:$S$5001,"&lt;&gt;")=0,"",SUMIFS(BD!$S$3:$S$5001,BD!$A$3:$A$5001,G$3,BD!$B$3:$B$5001,$A$206)))</f>
        <v/>
      </c>
      <c r="H223" s="232" t="str">
        <f>IF(H$3="","",IF(COUNTIFS(BD!$A$3:$A$5001,H$3,BD!$B$3:$B$5001,$A$206,BD!$S$3:$S$5001,"&lt;&gt;")=0,"",SUMIFS(BD!$S$3:$S$5001,BD!$A$3:$A$5001,H$3,BD!$B$3:$B$5001,$A$206)))</f>
        <v/>
      </c>
      <c r="I223" s="232" t="str">
        <f>IF(I$3="","",IF(COUNTIFS(BD!$A$3:$A$5001,I$3,BD!$B$3:$B$5001,$A$206,BD!$S$3:$S$5001,"&lt;&gt;")=0,"",SUMIFS(BD!$S$3:$S$5001,BD!$A$3:$A$5001,I$3,BD!$B$3:$B$5001,$A$206)))</f>
        <v/>
      </c>
      <c r="J223" s="232" t="str">
        <f>IF(J$3="","",IF(COUNTIFS(BD!$A$3:$A$5001,J$3,BD!$B$3:$B$5001,$A$206,BD!$S$3:$S$5001,"&lt;&gt;")=0,"",SUMIFS(BD!$S$3:$S$5001,BD!$A$3:$A$5001,J$3,BD!$B$3:$B$5001,$A$206)))</f>
        <v/>
      </c>
      <c r="K223" s="232" t="str">
        <f>IF(K$3="","",IF(COUNTIFS(BD!$A$3:$A$5001,K$3,BD!$B$3:$B$5001,$A$206,BD!$S$3:$S$5001,"&lt;&gt;")=0,"",SUMIFS(BD!$S$3:$S$5001,BD!$A$3:$A$5001,K$3,BD!$B$3:$B$5001,$A$206)))</f>
        <v/>
      </c>
      <c r="L223" s="232" t="str">
        <f>IF(L$3="","",IF(COUNTIFS(BD!$A$3:$A$5001,L$3,BD!$B$3:$B$5001,$A$206,BD!$S$3:$S$5001,"&lt;&gt;")=0,"",SUMIFS(BD!$S$3:$S$5001,BD!$A$3:$A$5001,L$3,BD!$B$3:$B$5001,$A$206)))</f>
        <v/>
      </c>
      <c r="M223" s="232" t="str">
        <f>IF(M$3="","",IF(COUNTIFS(BD!$A$3:$A$5001,M$3,BD!$B$3:$B$5001,$A$206,BD!$S$3:$S$5001,"&lt;&gt;")=0,"",SUMIFS(BD!$S$3:$S$5001,BD!$A$3:$A$5001,M$3,BD!$B$3:$B$5001,$A$206)))</f>
        <v/>
      </c>
      <c r="N223" s="232" t="str">
        <f>IF(N$3="","",IF(COUNTIFS(BD!$A$3:$A$5001,N$3,BD!$B$3:$B$5001,$A$206,BD!$S$3:$S$5001,"&lt;&gt;")=0,"",SUMIFS(BD!$S$3:$S$5001,BD!$A$3:$A$5001,N$3,BD!$B$3:$B$5001,$A$206)))</f>
        <v/>
      </c>
      <c r="O223" s="232" t="str">
        <f>IF(O$3="","",IF(COUNTIFS(BD!$A$3:$A$5001,O$3,BD!$B$3:$B$5001,$A$206,BD!$S$3:$S$5001,"&lt;&gt;")=0,"",SUMIFS(BD!$S$3:$S$5001,BD!$A$3:$A$5001,O$3,BD!$B$3:$B$5001,$A$206)))</f>
        <v/>
      </c>
      <c r="P223" s="232" t="str">
        <f>IF(P$3="","",IF(COUNTIFS(BD!$A$3:$A$5001,P$3,BD!$B$3:$B$5001,$A$206,BD!$S$3:$S$5001,"&lt;&gt;")=0,"",SUMIFS(BD!$S$3:$S$5001,BD!$A$3:$A$5001,P$3,BD!$B$3:$B$5001,$A$206)))</f>
        <v/>
      </c>
      <c r="Q223" s="232" t="str">
        <f>IF(Q$3="","",IF(COUNTIFS(BD!$A$3:$A$5001,Q$3,BD!$B$3:$B$5001,$A$206,BD!$S$3:$S$5001,"&lt;&gt;")=0,"",SUMIFS(BD!$S$3:$S$5001,BD!$A$3:$A$5001,Q$3,BD!$B$3:$B$5001,$A$206)))</f>
        <v/>
      </c>
      <c r="R223" s="232" t="str">
        <f>IF(R$3="","",IF(COUNTIFS(BD!$A$3:$A$5001,R$3,BD!$B$3:$B$5001,$A$206,BD!$S$3:$S$5001,"&lt;&gt;")=0,"",SUMIFS(BD!$S$3:$S$5001,BD!$A$3:$A$5001,R$3,BD!$B$3:$B$5001,$A$206)))</f>
        <v/>
      </c>
      <c r="S223" s="232" t="str">
        <f>IF(S$3="","",IF(COUNTIFS(BD!$A$3:$A$5001,S$3,BD!$B$3:$B$5001,$A$206,BD!$S$3:$S$5001,"&lt;&gt;")=0,"",SUMIFS(BD!$S$3:$S$5001,BD!$A$3:$A$5001,S$3,BD!$B$3:$B$5001,$A$206)))</f>
        <v/>
      </c>
      <c r="T223" s="232" t="str">
        <f>IF(T$3="","",IF(COUNTIFS(BD!$A$3:$A$5001,T$3,BD!$B$3:$B$5001,$A$206,BD!$S$3:$S$5001,"&lt;&gt;")=0,"",SUMIFS(BD!$S$3:$S$5001,BD!$A$3:$A$5001,T$3,BD!$B$3:$B$5001,$A$206)))</f>
        <v/>
      </c>
      <c r="U223" s="232" t="str">
        <f>IF(U$3="","",IF(COUNTIFS(BD!$A$3:$A$5001,U$3,BD!$B$3:$B$5001,$A$206,BD!$S$3:$S$5001,"&lt;&gt;")=0,"",SUMIFS(BD!$S$3:$S$5001,BD!$A$3:$A$5001,U$3,BD!$B$3:$B$5001,$A$206)))</f>
        <v/>
      </c>
      <c r="V223" s="232" t="str">
        <f>IF(V$3="","",IF(COUNTIFS(BD!$A$3:$A$5001,V$3,BD!$B$3:$B$5001,$A$206,BD!$S$3:$S$5001,"&lt;&gt;")=0,"",SUMIFS(BD!$S$3:$S$5001,BD!$A$3:$A$5001,V$3,BD!$B$3:$B$5001,$A$206)))</f>
        <v/>
      </c>
      <c r="W223" s="232" t="str">
        <f>IF(W$3="","",IF(COUNTIFS(BD!$A$3:$A$5001,W$3,BD!$B$3:$B$5001,$A$206,BD!$S$3:$S$5001,"&lt;&gt;")=0,"",SUMIFS(BD!$S$3:$S$5001,BD!$A$3:$A$5001,W$3,BD!$B$3:$B$5001,$A$206)))</f>
        <v/>
      </c>
      <c r="X223" s="232" t="str">
        <f>IF(X$3="","",IF(COUNTIFS(BD!$A$3:$A$5001,X$3,BD!$B$3:$B$5001,$A$206,BD!$S$3:$S$5001,"&lt;&gt;")=0,"",SUMIFS(BD!$S$3:$S$5001,BD!$A$3:$A$5001,X$3,BD!$B$3:$B$5001,$A$206)))</f>
        <v/>
      </c>
      <c r="Y223" s="232" t="str">
        <f>IF(Y$3="","",IF(COUNTIFS(BD!$A$3:$A$5001,Y$3,BD!$B$3:$B$5001,$A$206,BD!$S$3:$S$5001,"&lt;&gt;")=0,"",SUMIFS(BD!$S$3:$S$5001,BD!$A$3:$A$5001,Y$3,BD!$B$3:$B$5001,$A$206)))</f>
        <v/>
      </c>
      <c r="Z223" s="232" t="str">
        <f>IF(Z$3="","",IF(COUNTIFS(BD!$A$3:$A$5001,Z$3,BD!$B$3:$B$5001,$A$206,BD!$S$3:$S$5001,"&lt;&gt;")=0,"",SUMIFS(BD!$S$3:$S$5001,BD!$A$3:$A$5001,Z$3,BD!$B$3:$B$5001,$A$206)))</f>
        <v/>
      </c>
      <c r="AA223" s="232" t="str">
        <f>IF(AA$3="","",IF(COUNTIFS(BD!$A$3:$A$5001,AA$3,BD!$B$3:$B$5001,$A$206,BD!$S$3:$S$5001,"&lt;&gt;")=0,"",SUMIFS(BD!$S$3:$S$5001,BD!$A$3:$A$5001,AA$3,BD!$B$3:$B$5001,$A$206)))</f>
        <v/>
      </c>
      <c r="AB223" s="232" t="str">
        <f>IF(AB$3="","",IF(COUNTIFS(BD!$A$3:$A$5001,AB$3,BD!$B$3:$B$5001,$A$206,BD!$S$3:$S$5001,"&lt;&gt;")=0,"",SUMIFS(BD!$S$3:$S$5001,BD!$A$3:$A$5001,AB$3,BD!$B$3:$B$5001,$A$206)))</f>
        <v/>
      </c>
      <c r="AC223" s="232" t="str">
        <f>IF(AC$3="","",IF(COUNTIFS(BD!$A$3:$A$5001,AC$3,BD!$B$3:$B$5001,$A$206,BD!$S$3:$S$5001,"&lt;&gt;")=0,"",SUMIFS(BD!$S$3:$S$5001,BD!$A$3:$A$5001,AC$3,BD!$B$3:$B$5001,$A$206)))</f>
        <v/>
      </c>
      <c r="AD223" s="232" t="str">
        <f>IF(AD$3="","",IF(COUNTIFS(BD!$A$3:$A$5001,AD$3,BD!$B$3:$B$5001,$A$206,BD!$S$3:$S$5001,"&lt;&gt;")=0,"",SUMIFS(BD!$S$3:$S$5001,BD!$A$3:$A$5001,AD$3,BD!$B$3:$B$5001,$A$206)))</f>
        <v/>
      </c>
      <c r="AE223" s="232" t="str">
        <f>IF(AE$3="","",IF(COUNTIFS(BD!$A$3:$A$5001,AE$3,BD!$B$3:$B$5001,$A$206,BD!$S$3:$S$5001,"&lt;&gt;")=0,"",SUMIFS(BD!$S$3:$S$5001,BD!$A$3:$A$5001,AE$3,BD!$B$3:$B$5001,$A$206)))</f>
        <v/>
      </c>
      <c r="AF223" s="232" t="str">
        <f>IF(AF$3="","",IF(COUNTIFS(BD!$A$3:$A$5001,AF$3,BD!$B$3:$B$5001,$A$206,BD!$S$3:$S$5001,"&lt;&gt;")=0,"",SUMIFS(BD!$S$3:$S$5001,BD!$A$3:$A$5001,AF$3,BD!$B$3:$B$5001,$A$206)))</f>
        <v/>
      </c>
      <c r="AG223" s="232" t="str">
        <f>IF(AG$3="","",IF(COUNTIFS(BD!$A$3:$A$5001,AG$3,BD!$B$3:$B$5001,$A$206,BD!$S$3:$S$5001,"&lt;&gt;")=0,"",SUMIFS(BD!$S$3:$S$5001,BD!$A$3:$A$5001,AG$3,BD!$B$3:$B$5001,$A$206)))</f>
        <v/>
      </c>
      <c r="AH223" s="232" t="str">
        <f>IF(AH$3="","",IF(COUNTIFS(BD!$A$3:$A$5001,AH$3,BD!$B$3:$B$5001,$A$206,BD!$S$3:$S$5001,"&lt;&gt;")=0,"",SUMIFS(BD!$S$3:$S$5001,BD!$A$3:$A$5001,AH$3,BD!$B$3:$B$5001,$A$206)))</f>
        <v/>
      </c>
      <c r="AI223" s="232" t="str">
        <f>IF(AI$3="","",IF(COUNTIFS(BD!$A$3:$A$5001,AI$3,BD!$B$3:$B$5001,$A$206,BD!$S$3:$S$5001,"&lt;&gt;")=0,"",SUMIFS(BD!$S$3:$S$5001,BD!$A$3:$A$5001,AI$3,BD!$B$3:$B$5001,$A$206)))</f>
        <v/>
      </c>
      <c r="AJ223" s="233" t="str">
        <f>IF(AJ$3="","",IF(COUNTIFS(BD!$A$3:$A$5001,AJ$3,BD!$B$3:$B$5001,$A$206,BD!$S$3:$S$5001,"&lt;&gt;")=0,"",SUMIFS(BD!$S$3:$S$5001,BD!$A$3:$A$5001,AJ$3,BD!$B$3:$B$5001,$A$206)))</f>
        <v/>
      </c>
      <c r="AK223" s="234" t="str">
        <f>IF(COUNT(F223:AJ223)=0,"",SUM(F223:AJ223))</f>
        <v/>
      </c>
    </row>
    <row r="224" ht="15.75" customHeight="1" hidden="1">
      <c r="A224" s="254"/>
      <c r="B224" s="251"/>
      <c r="C224" s="228" t="inlineStr">
        <is>
          <t xml:space="preserve">Acidentes CAF</t>
        </is>
      </c>
      <c r="D224" s="229" t="str">
        <f>IFERROR(1/(1/INDEX(BD!$Y$41:$AS$41,MATCH($A$206,BD!$Y$22:$AS$22,0))),"")</f>
        <v/>
      </c>
      <c r="E224" s="230"/>
      <c r="F224" s="231" t="str">
        <f>IF(F$3="","",IF(COUNTIFS(BD!$A$3:$A$5001,F$3,BD!$B$3:$B$5001,$A$206,BD!$T$3:$T$5001,"&lt;&gt;")=0,"",SUMIFS(BD!$T$3:$T$5001,BD!$A$3:$A$5001,F$3,BD!$B$3:$B$5001,$A$206)))</f>
        <v/>
      </c>
      <c r="G224" s="232" t="str">
        <f>IF(G$3="","",IF(COUNTIFS(BD!$A$3:$A$5001,G$3,BD!$B$3:$B$5001,$A$206,BD!$T$3:$T$5001,"&lt;&gt;")=0,"",SUMIFS(BD!$T$3:$T$5001,BD!$A$3:$A$5001,G$3,BD!$B$3:$B$5001,$A$206)))</f>
        <v/>
      </c>
      <c r="H224" s="232" t="str">
        <f>IF(H$3="","",IF(COUNTIFS(BD!$A$3:$A$5001,H$3,BD!$B$3:$B$5001,$A$206,BD!$T$3:$T$5001,"&lt;&gt;")=0,"",SUMIFS(BD!$T$3:$T$5001,BD!$A$3:$A$5001,H$3,BD!$B$3:$B$5001,$A$206)))</f>
        <v/>
      </c>
      <c r="I224" s="232" t="str">
        <f>IF(I$3="","",IF(COUNTIFS(BD!$A$3:$A$5001,I$3,BD!$B$3:$B$5001,$A$206,BD!$T$3:$T$5001,"&lt;&gt;")=0,"",SUMIFS(BD!$T$3:$T$5001,BD!$A$3:$A$5001,I$3,BD!$B$3:$B$5001,$A$206)))</f>
        <v/>
      </c>
      <c r="J224" s="232" t="str">
        <f>IF(J$3="","",IF(COUNTIFS(BD!$A$3:$A$5001,J$3,BD!$B$3:$B$5001,$A$206,BD!$T$3:$T$5001,"&lt;&gt;")=0,"",SUMIFS(BD!$T$3:$T$5001,BD!$A$3:$A$5001,J$3,BD!$B$3:$B$5001,$A$206)))</f>
        <v/>
      </c>
      <c r="K224" s="232" t="str">
        <f>IF(K$3="","",IF(COUNTIFS(BD!$A$3:$A$5001,K$3,BD!$B$3:$B$5001,$A$206,BD!$T$3:$T$5001,"&lt;&gt;")=0,"",SUMIFS(BD!$T$3:$T$5001,BD!$A$3:$A$5001,K$3,BD!$B$3:$B$5001,$A$206)))</f>
        <v/>
      </c>
      <c r="L224" s="232" t="str">
        <f>IF(L$3="","",IF(COUNTIFS(BD!$A$3:$A$5001,L$3,BD!$B$3:$B$5001,$A$206,BD!$T$3:$T$5001,"&lt;&gt;")=0,"",SUMIFS(BD!$T$3:$T$5001,BD!$A$3:$A$5001,L$3,BD!$B$3:$B$5001,$A$206)))</f>
        <v/>
      </c>
      <c r="M224" s="232" t="str">
        <f>IF(M$3="","",IF(COUNTIFS(BD!$A$3:$A$5001,M$3,BD!$B$3:$B$5001,$A$206,BD!$T$3:$T$5001,"&lt;&gt;")=0,"",SUMIFS(BD!$T$3:$T$5001,BD!$A$3:$A$5001,M$3,BD!$B$3:$B$5001,$A$206)))</f>
        <v/>
      </c>
      <c r="N224" s="232" t="str">
        <f>IF(N$3="","",IF(COUNTIFS(BD!$A$3:$A$5001,N$3,BD!$B$3:$B$5001,$A$206,BD!$T$3:$T$5001,"&lt;&gt;")=0,"",SUMIFS(BD!$T$3:$T$5001,BD!$A$3:$A$5001,N$3,BD!$B$3:$B$5001,$A$206)))</f>
        <v/>
      </c>
      <c r="O224" s="232" t="str">
        <f>IF(O$3="","",IF(COUNTIFS(BD!$A$3:$A$5001,O$3,BD!$B$3:$B$5001,$A$206,BD!$T$3:$T$5001,"&lt;&gt;")=0,"",SUMIFS(BD!$T$3:$T$5001,BD!$A$3:$A$5001,O$3,BD!$B$3:$B$5001,$A$206)))</f>
        <v/>
      </c>
      <c r="P224" s="232" t="str">
        <f>IF(P$3="","",IF(COUNTIFS(BD!$A$3:$A$5001,P$3,BD!$B$3:$B$5001,$A$206,BD!$T$3:$T$5001,"&lt;&gt;")=0,"",SUMIFS(BD!$T$3:$T$5001,BD!$A$3:$A$5001,P$3,BD!$B$3:$B$5001,$A$206)))</f>
        <v/>
      </c>
      <c r="Q224" s="232" t="str">
        <f>IF(Q$3="","",IF(COUNTIFS(BD!$A$3:$A$5001,Q$3,BD!$B$3:$B$5001,$A$206,BD!$T$3:$T$5001,"&lt;&gt;")=0,"",SUMIFS(BD!$T$3:$T$5001,BD!$A$3:$A$5001,Q$3,BD!$B$3:$B$5001,$A$206)))</f>
        <v/>
      </c>
      <c r="R224" s="232" t="str">
        <f>IF(R$3="","",IF(COUNTIFS(BD!$A$3:$A$5001,R$3,BD!$B$3:$B$5001,$A$206,BD!$T$3:$T$5001,"&lt;&gt;")=0,"",SUMIFS(BD!$T$3:$T$5001,BD!$A$3:$A$5001,R$3,BD!$B$3:$B$5001,$A$206)))</f>
        <v/>
      </c>
      <c r="S224" s="232" t="str">
        <f>IF(S$3="","",IF(COUNTIFS(BD!$A$3:$A$5001,S$3,BD!$B$3:$B$5001,$A$206,BD!$T$3:$T$5001,"&lt;&gt;")=0,"",SUMIFS(BD!$T$3:$T$5001,BD!$A$3:$A$5001,S$3,BD!$B$3:$B$5001,$A$206)))</f>
        <v/>
      </c>
      <c r="T224" s="232" t="str">
        <f>IF(T$3="","",IF(COUNTIFS(BD!$A$3:$A$5001,T$3,BD!$B$3:$B$5001,$A$206,BD!$T$3:$T$5001,"&lt;&gt;")=0,"",SUMIFS(BD!$T$3:$T$5001,BD!$A$3:$A$5001,T$3,BD!$B$3:$B$5001,$A$206)))</f>
        <v/>
      </c>
      <c r="U224" s="232" t="str">
        <f>IF(U$3="","",IF(COUNTIFS(BD!$A$3:$A$5001,U$3,BD!$B$3:$B$5001,$A$206,BD!$T$3:$T$5001,"&lt;&gt;")=0,"",SUMIFS(BD!$T$3:$T$5001,BD!$A$3:$A$5001,U$3,BD!$B$3:$B$5001,$A$206)))</f>
        <v/>
      </c>
      <c r="V224" s="232" t="str">
        <f>IF(V$3="","",IF(COUNTIFS(BD!$A$3:$A$5001,V$3,BD!$B$3:$B$5001,$A$206,BD!$T$3:$T$5001,"&lt;&gt;")=0,"",SUMIFS(BD!$T$3:$T$5001,BD!$A$3:$A$5001,V$3,BD!$B$3:$B$5001,$A$206)))</f>
        <v/>
      </c>
      <c r="W224" s="232" t="str">
        <f>IF(W$3="","",IF(COUNTIFS(BD!$A$3:$A$5001,W$3,BD!$B$3:$B$5001,$A$206,BD!$T$3:$T$5001,"&lt;&gt;")=0,"",SUMIFS(BD!$T$3:$T$5001,BD!$A$3:$A$5001,W$3,BD!$B$3:$B$5001,$A$206)))</f>
        <v/>
      </c>
      <c r="X224" s="232" t="str">
        <f>IF(X$3="","",IF(COUNTIFS(BD!$A$3:$A$5001,X$3,BD!$B$3:$B$5001,$A$206,BD!$T$3:$T$5001,"&lt;&gt;")=0,"",SUMIFS(BD!$T$3:$T$5001,BD!$A$3:$A$5001,X$3,BD!$B$3:$B$5001,$A$206)))</f>
        <v/>
      </c>
      <c r="Y224" s="232" t="str">
        <f>IF(Y$3="","",IF(COUNTIFS(BD!$A$3:$A$5001,Y$3,BD!$B$3:$B$5001,$A$206,BD!$T$3:$T$5001,"&lt;&gt;")=0,"",SUMIFS(BD!$T$3:$T$5001,BD!$A$3:$A$5001,Y$3,BD!$B$3:$B$5001,$A$206)))</f>
        <v/>
      </c>
      <c r="Z224" s="232" t="str">
        <f>IF(Z$3="","",IF(COUNTIFS(BD!$A$3:$A$5001,Z$3,BD!$B$3:$B$5001,$A$206,BD!$T$3:$T$5001,"&lt;&gt;")=0,"",SUMIFS(BD!$T$3:$T$5001,BD!$A$3:$A$5001,Z$3,BD!$B$3:$B$5001,$A$206)))</f>
        <v/>
      </c>
      <c r="AA224" s="232" t="str">
        <f>IF(AA$3="","",IF(COUNTIFS(BD!$A$3:$A$5001,AA$3,BD!$B$3:$B$5001,$A$206,BD!$T$3:$T$5001,"&lt;&gt;")=0,"",SUMIFS(BD!$T$3:$T$5001,BD!$A$3:$A$5001,AA$3,BD!$B$3:$B$5001,$A$206)))</f>
        <v/>
      </c>
      <c r="AB224" s="232" t="str">
        <f>IF(AB$3="","",IF(COUNTIFS(BD!$A$3:$A$5001,AB$3,BD!$B$3:$B$5001,$A$206,BD!$T$3:$T$5001,"&lt;&gt;")=0,"",SUMIFS(BD!$T$3:$T$5001,BD!$A$3:$A$5001,AB$3,BD!$B$3:$B$5001,$A$206)))</f>
        <v/>
      </c>
      <c r="AC224" s="232" t="str">
        <f>IF(AC$3="","",IF(COUNTIFS(BD!$A$3:$A$5001,AC$3,BD!$B$3:$B$5001,$A$206,BD!$T$3:$T$5001,"&lt;&gt;")=0,"",SUMIFS(BD!$T$3:$T$5001,BD!$A$3:$A$5001,AC$3,BD!$B$3:$B$5001,$A$206)))</f>
        <v/>
      </c>
      <c r="AD224" s="232" t="str">
        <f>IF(AD$3="","",IF(COUNTIFS(BD!$A$3:$A$5001,AD$3,BD!$B$3:$B$5001,$A$206,BD!$T$3:$T$5001,"&lt;&gt;")=0,"",SUMIFS(BD!$T$3:$T$5001,BD!$A$3:$A$5001,AD$3,BD!$B$3:$B$5001,$A$206)))</f>
        <v/>
      </c>
      <c r="AE224" s="232" t="str">
        <f>IF(AE$3="","",IF(COUNTIFS(BD!$A$3:$A$5001,AE$3,BD!$B$3:$B$5001,$A$206,BD!$T$3:$T$5001,"&lt;&gt;")=0,"",SUMIFS(BD!$T$3:$T$5001,BD!$A$3:$A$5001,AE$3,BD!$B$3:$B$5001,$A$206)))</f>
        <v/>
      </c>
      <c r="AF224" s="232" t="str">
        <f>IF(AF$3="","",IF(COUNTIFS(BD!$A$3:$A$5001,AF$3,BD!$B$3:$B$5001,$A$206,BD!$T$3:$T$5001,"&lt;&gt;")=0,"",SUMIFS(BD!$T$3:$T$5001,BD!$A$3:$A$5001,AF$3,BD!$B$3:$B$5001,$A$206)))</f>
        <v/>
      </c>
      <c r="AG224" s="232" t="str">
        <f>IF(AG$3="","",IF(COUNTIFS(BD!$A$3:$A$5001,AG$3,BD!$B$3:$B$5001,$A$206,BD!$T$3:$T$5001,"&lt;&gt;")=0,"",SUMIFS(BD!$T$3:$T$5001,BD!$A$3:$A$5001,AG$3,BD!$B$3:$B$5001,$A$206)))</f>
        <v/>
      </c>
      <c r="AH224" s="232" t="str">
        <f>IF(AH$3="","",IF(COUNTIFS(BD!$A$3:$A$5001,AH$3,BD!$B$3:$B$5001,$A$206,BD!$T$3:$T$5001,"&lt;&gt;")=0,"",SUMIFS(BD!$T$3:$T$5001,BD!$A$3:$A$5001,AH$3,BD!$B$3:$B$5001,$A$206)))</f>
        <v/>
      </c>
      <c r="AI224" s="232" t="str">
        <f>IF(AI$3="","",IF(COUNTIFS(BD!$A$3:$A$5001,AI$3,BD!$B$3:$B$5001,$A$206,BD!$T$3:$T$5001,"&lt;&gt;")=0,"",SUMIFS(BD!$T$3:$T$5001,BD!$A$3:$A$5001,AI$3,BD!$B$3:$B$5001,$A$206)))</f>
        <v/>
      </c>
      <c r="AJ224" s="233" t="str">
        <f>IF(AJ$3="","",IF(COUNTIFS(BD!$A$3:$A$5001,AJ$3,BD!$B$3:$B$5001,$A$206,BD!$T$3:$T$5001,"&lt;&gt;")=0,"",SUMIFS(BD!$T$3:$T$5001,BD!$A$3:$A$5001,AJ$3,BD!$B$3:$B$5001,$A$206)))</f>
        <v/>
      </c>
      <c r="AK224" s="234" t="str">
        <f>IF(COUNT(F224:AJ224)=0,"",SUM(F224:AJ224))</f>
        <v/>
      </c>
    </row>
    <row r="225" ht="15.75" customHeight="1" hidden="1">
      <c r="A225" s="255"/>
      <c r="B225" s="252"/>
      <c r="C225" s="235" t="inlineStr">
        <is>
          <t xml:space="preserve">Acidentes SAF</t>
        </is>
      </c>
      <c r="D225" s="236" t="str">
        <f>IFERROR(1/(1/INDEX(BD!$Y$42:$AS$42,MATCH($A$206,BD!$Y$22:$AS$22,0))),"")</f>
        <v/>
      </c>
      <c r="E225" s="237"/>
      <c r="F225" s="238" t="str">
        <f>IF(F$3="","",IF(COUNTIFS(BD!$A$3:$A$5001,F$3,BD!$B$3:$B$5001,$A$206,BD!$U$3:$U$5001,"&lt;&gt;")=0,"",SUMIFS(BD!$U$3:$U$5001,BD!$A$3:$A$5001,F$3,BD!$B$3:$B$5001,$A$206)))</f>
        <v/>
      </c>
      <c r="G225" s="239" t="str">
        <f>IF(G$3="","",IF(COUNTIFS(BD!$A$3:$A$5001,G$3,BD!$B$3:$B$5001,$A$206,BD!$U$3:$U$5001,"&lt;&gt;")=0,"",SUMIFS(BD!$U$3:$U$5001,BD!$A$3:$A$5001,G$3,BD!$B$3:$B$5001,$A$206)))</f>
        <v/>
      </c>
      <c r="H225" s="239" t="str">
        <f>IF(H$3="","",IF(COUNTIFS(BD!$A$3:$A$5001,H$3,BD!$B$3:$B$5001,$A$206,BD!$U$3:$U$5001,"&lt;&gt;")=0,"",SUMIFS(BD!$U$3:$U$5001,BD!$A$3:$A$5001,H$3,BD!$B$3:$B$5001,$A$206)))</f>
        <v/>
      </c>
      <c r="I225" s="239" t="str">
        <f>IF(I$3="","",IF(COUNTIFS(BD!$A$3:$A$5001,I$3,BD!$B$3:$B$5001,$A$206,BD!$U$3:$U$5001,"&lt;&gt;")=0,"",SUMIFS(BD!$U$3:$U$5001,BD!$A$3:$A$5001,I$3,BD!$B$3:$B$5001,$A$206)))</f>
        <v/>
      </c>
      <c r="J225" s="239" t="str">
        <f>IF(J$3="","",IF(COUNTIFS(BD!$A$3:$A$5001,J$3,BD!$B$3:$B$5001,$A$206,BD!$U$3:$U$5001,"&lt;&gt;")=0,"",SUMIFS(BD!$U$3:$U$5001,BD!$A$3:$A$5001,J$3,BD!$B$3:$B$5001,$A$206)))</f>
        <v/>
      </c>
      <c r="K225" s="239" t="str">
        <f>IF(K$3="","",IF(COUNTIFS(BD!$A$3:$A$5001,K$3,BD!$B$3:$B$5001,$A$206,BD!$U$3:$U$5001,"&lt;&gt;")=0,"",SUMIFS(BD!$U$3:$U$5001,BD!$A$3:$A$5001,K$3,BD!$B$3:$B$5001,$A$206)))</f>
        <v/>
      </c>
      <c r="L225" s="239" t="str">
        <f>IF(L$3="","",IF(COUNTIFS(BD!$A$3:$A$5001,L$3,BD!$B$3:$B$5001,$A$206,BD!$U$3:$U$5001,"&lt;&gt;")=0,"",SUMIFS(BD!$U$3:$U$5001,BD!$A$3:$A$5001,L$3,BD!$B$3:$B$5001,$A$206)))</f>
        <v/>
      </c>
      <c r="M225" s="239" t="str">
        <f>IF(M$3="","",IF(COUNTIFS(BD!$A$3:$A$5001,M$3,BD!$B$3:$B$5001,$A$206,BD!$U$3:$U$5001,"&lt;&gt;")=0,"",SUMIFS(BD!$U$3:$U$5001,BD!$A$3:$A$5001,M$3,BD!$B$3:$B$5001,$A$206)))</f>
        <v/>
      </c>
      <c r="N225" s="239" t="str">
        <f>IF(N$3="","",IF(COUNTIFS(BD!$A$3:$A$5001,N$3,BD!$B$3:$B$5001,$A$206,BD!$U$3:$U$5001,"&lt;&gt;")=0,"",SUMIFS(BD!$U$3:$U$5001,BD!$A$3:$A$5001,N$3,BD!$B$3:$B$5001,$A$206)))</f>
        <v/>
      </c>
      <c r="O225" s="239" t="str">
        <f>IF(O$3="","",IF(COUNTIFS(BD!$A$3:$A$5001,O$3,BD!$B$3:$B$5001,$A$206,BD!$U$3:$U$5001,"&lt;&gt;")=0,"",SUMIFS(BD!$U$3:$U$5001,BD!$A$3:$A$5001,O$3,BD!$B$3:$B$5001,$A$206)))</f>
        <v/>
      </c>
      <c r="P225" s="239" t="str">
        <f>IF(P$3="","",IF(COUNTIFS(BD!$A$3:$A$5001,P$3,BD!$B$3:$B$5001,$A$206,BD!$U$3:$U$5001,"&lt;&gt;")=0,"",SUMIFS(BD!$U$3:$U$5001,BD!$A$3:$A$5001,P$3,BD!$B$3:$B$5001,$A$206)))</f>
        <v/>
      </c>
      <c r="Q225" s="239" t="str">
        <f>IF(Q$3="","",IF(COUNTIFS(BD!$A$3:$A$5001,Q$3,BD!$B$3:$B$5001,$A$206,BD!$U$3:$U$5001,"&lt;&gt;")=0,"",SUMIFS(BD!$U$3:$U$5001,BD!$A$3:$A$5001,Q$3,BD!$B$3:$B$5001,$A$206)))</f>
        <v/>
      </c>
      <c r="R225" s="239" t="str">
        <f>IF(R$3="","",IF(COUNTIFS(BD!$A$3:$A$5001,R$3,BD!$B$3:$B$5001,$A$206,BD!$U$3:$U$5001,"&lt;&gt;")=0,"",SUMIFS(BD!$U$3:$U$5001,BD!$A$3:$A$5001,R$3,BD!$B$3:$B$5001,$A$206)))</f>
        <v/>
      </c>
      <c r="S225" s="239" t="str">
        <f>IF(S$3="","",IF(COUNTIFS(BD!$A$3:$A$5001,S$3,BD!$B$3:$B$5001,$A$206,BD!$U$3:$U$5001,"&lt;&gt;")=0,"",SUMIFS(BD!$U$3:$U$5001,BD!$A$3:$A$5001,S$3,BD!$B$3:$B$5001,$A$206)))</f>
        <v/>
      </c>
      <c r="T225" s="239" t="str">
        <f>IF(T$3="","",IF(COUNTIFS(BD!$A$3:$A$5001,T$3,BD!$B$3:$B$5001,$A$206,BD!$U$3:$U$5001,"&lt;&gt;")=0,"",SUMIFS(BD!$U$3:$U$5001,BD!$A$3:$A$5001,T$3,BD!$B$3:$B$5001,$A$206)))</f>
        <v/>
      </c>
      <c r="U225" s="239" t="str">
        <f>IF(U$3="","",IF(COUNTIFS(BD!$A$3:$A$5001,U$3,BD!$B$3:$B$5001,$A$206,BD!$U$3:$U$5001,"&lt;&gt;")=0,"",SUMIFS(BD!$U$3:$U$5001,BD!$A$3:$A$5001,U$3,BD!$B$3:$B$5001,$A$206)))</f>
        <v/>
      </c>
      <c r="V225" s="239" t="str">
        <f>IF(V$3="","",IF(COUNTIFS(BD!$A$3:$A$5001,V$3,BD!$B$3:$B$5001,$A$206,BD!$U$3:$U$5001,"&lt;&gt;")=0,"",SUMIFS(BD!$U$3:$U$5001,BD!$A$3:$A$5001,V$3,BD!$B$3:$B$5001,$A$206)))</f>
        <v/>
      </c>
      <c r="W225" s="239" t="str">
        <f>IF(W$3="","",IF(COUNTIFS(BD!$A$3:$A$5001,W$3,BD!$B$3:$B$5001,$A$206,BD!$U$3:$U$5001,"&lt;&gt;")=0,"",SUMIFS(BD!$U$3:$U$5001,BD!$A$3:$A$5001,W$3,BD!$B$3:$B$5001,$A$206)))</f>
        <v/>
      </c>
      <c r="X225" s="239" t="str">
        <f>IF(X$3="","",IF(COUNTIFS(BD!$A$3:$A$5001,X$3,BD!$B$3:$B$5001,$A$206,BD!$U$3:$U$5001,"&lt;&gt;")=0,"",SUMIFS(BD!$U$3:$U$5001,BD!$A$3:$A$5001,X$3,BD!$B$3:$B$5001,$A$206)))</f>
        <v/>
      </c>
      <c r="Y225" s="239" t="str">
        <f>IF(Y$3="","",IF(COUNTIFS(BD!$A$3:$A$5001,Y$3,BD!$B$3:$B$5001,$A$206,BD!$U$3:$U$5001,"&lt;&gt;")=0,"",SUMIFS(BD!$U$3:$U$5001,BD!$A$3:$A$5001,Y$3,BD!$B$3:$B$5001,$A$206)))</f>
        <v/>
      </c>
      <c r="Z225" s="239" t="str">
        <f>IF(Z$3="","",IF(COUNTIFS(BD!$A$3:$A$5001,Z$3,BD!$B$3:$B$5001,$A$206,BD!$U$3:$U$5001,"&lt;&gt;")=0,"",SUMIFS(BD!$U$3:$U$5001,BD!$A$3:$A$5001,Z$3,BD!$B$3:$B$5001,$A$206)))</f>
        <v/>
      </c>
      <c r="AA225" s="239" t="str">
        <f>IF(AA$3="","",IF(COUNTIFS(BD!$A$3:$A$5001,AA$3,BD!$B$3:$B$5001,$A$206,BD!$U$3:$U$5001,"&lt;&gt;")=0,"",SUMIFS(BD!$U$3:$U$5001,BD!$A$3:$A$5001,AA$3,BD!$B$3:$B$5001,$A$206)))</f>
        <v/>
      </c>
      <c r="AB225" s="239" t="str">
        <f>IF(AB$3="","",IF(COUNTIFS(BD!$A$3:$A$5001,AB$3,BD!$B$3:$B$5001,$A$206,BD!$U$3:$U$5001,"&lt;&gt;")=0,"",SUMIFS(BD!$U$3:$U$5001,BD!$A$3:$A$5001,AB$3,BD!$B$3:$B$5001,$A$206)))</f>
        <v/>
      </c>
      <c r="AC225" s="239" t="str">
        <f>IF(AC$3="","",IF(COUNTIFS(BD!$A$3:$A$5001,AC$3,BD!$B$3:$B$5001,$A$206,BD!$U$3:$U$5001,"&lt;&gt;")=0,"",SUMIFS(BD!$U$3:$U$5001,BD!$A$3:$A$5001,AC$3,BD!$B$3:$B$5001,$A$206)))</f>
        <v/>
      </c>
      <c r="AD225" s="239" t="str">
        <f>IF(AD$3="","",IF(COUNTIFS(BD!$A$3:$A$5001,AD$3,BD!$B$3:$B$5001,$A$206,BD!$U$3:$U$5001,"&lt;&gt;")=0,"",SUMIFS(BD!$U$3:$U$5001,BD!$A$3:$A$5001,AD$3,BD!$B$3:$B$5001,$A$206)))</f>
        <v/>
      </c>
      <c r="AE225" s="239" t="str">
        <f>IF(AE$3="","",IF(COUNTIFS(BD!$A$3:$A$5001,AE$3,BD!$B$3:$B$5001,$A$206,BD!$U$3:$U$5001,"&lt;&gt;")=0,"",SUMIFS(BD!$U$3:$U$5001,BD!$A$3:$A$5001,AE$3,BD!$B$3:$B$5001,$A$206)))</f>
        <v/>
      </c>
      <c r="AF225" s="239" t="str">
        <f>IF(AF$3="","",IF(COUNTIFS(BD!$A$3:$A$5001,AF$3,BD!$B$3:$B$5001,$A$206,BD!$U$3:$U$5001,"&lt;&gt;")=0,"",SUMIFS(BD!$U$3:$U$5001,BD!$A$3:$A$5001,AF$3,BD!$B$3:$B$5001,$A$206)))</f>
        <v/>
      </c>
      <c r="AG225" s="239" t="str">
        <f>IF(AG$3="","",IF(COUNTIFS(BD!$A$3:$A$5001,AG$3,BD!$B$3:$B$5001,$A$206,BD!$U$3:$U$5001,"&lt;&gt;")=0,"",SUMIFS(BD!$U$3:$U$5001,BD!$A$3:$A$5001,AG$3,BD!$B$3:$B$5001,$A$206)))</f>
        <v/>
      </c>
      <c r="AH225" s="239" t="str">
        <f>IF(AH$3="","",IF(COUNTIFS(BD!$A$3:$A$5001,AH$3,BD!$B$3:$B$5001,$A$206,BD!$U$3:$U$5001,"&lt;&gt;")=0,"",SUMIFS(BD!$U$3:$U$5001,BD!$A$3:$A$5001,AH$3,BD!$B$3:$B$5001,$A$206)))</f>
        <v/>
      </c>
      <c r="AI225" s="239" t="str">
        <f>IF(AI$3="","",IF(COUNTIFS(BD!$A$3:$A$5001,AI$3,BD!$B$3:$B$5001,$A$206,BD!$U$3:$U$5001,"&lt;&gt;")=0,"",SUMIFS(BD!$U$3:$U$5001,BD!$A$3:$A$5001,AI$3,BD!$B$3:$B$5001,$A$206)))</f>
        <v/>
      </c>
      <c r="AJ225" s="240" t="str">
        <f>IF(AJ$3="","",IF(COUNTIFS(BD!$A$3:$A$5001,AJ$3,BD!$B$3:$B$5001,$A$206,BD!$U$3:$U$5001,"&lt;&gt;")=0,"",SUMIFS(BD!$U$3:$U$5001,BD!$A$3:$A$5001,AJ$3,BD!$B$3:$B$5001,$A$206)))</f>
        <v/>
      </c>
      <c r="AK225" s="236" t="str">
        <f>IF(COUNT(F225:AJ225)=0,"",SUM(F225:AJ225))</f>
        <v/>
      </c>
    </row>
    <row r="227" ht="15.75" customHeight="1" hidden="1">
      <c r="A227" s="253"/>
      <c r="B227" s="241" t="inlineStr">
        <is>
          <t xml:space="preserve">IN</t>
        </is>
      </c>
      <c r="C227" s="155" t="inlineStr">
        <is>
          <t xml:space="preserve">Veículos Recebidos</t>
        </is>
      </c>
      <c r="D227" s="156" t="str">
        <f>IFERROR(1/(1/INDEX(BD!$Y$23:$AS$23,MATCH($A$227,BD!$Y$22:$AS$22,0))),"")</f>
        <v/>
      </c>
      <c r="E227" s="157"/>
      <c r="F227" s="158" t="str">
        <f>IF(F$3="","",IF(COUNTIFS(BD!$A$3:$A$5001,F$3,BD!$B$3:$B$5001,$A$227,BD!$C$3:$C$5001,"&lt;&gt;")=0,"",SUMIFS(BD!$C$3:$C$5001,BD!$A$3:$A$5001,F$3,BD!$B$3:$B$5001,$A$227)))</f>
        <v/>
      </c>
      <c r="G227" s="159" t="str">
        <f>IF(G$3="","",IF(COUNTIFS(BD!$A$3:$A$5001,G$3,BD!$B$3:$B$5001,$A$227,BD!$C$3:$C$5001,"&lt;&gt;")=0,"",SUMIFS(BD!$C$3:$C$5001,BD!$A$3:$A$5001,G$3,BD!$B$3:$B$5001,$A$227)))</f>
        <v/>
      </c>
      <c r="H227" s="159" t="str">
        <f>IF(H$3="","",IF(COUNTIFS(BD!$A$3:$A$5001,H$3,BD!$B$3:$B$5001,$A$227,BD!$C$3:$C$5001,"&lt;&gt;")=0,"",SUMIFS(BD!$C$3:$C$5001,BD!$A$3:$A$5001,H$3,BD!$B$3:$B$5001,$A$227)))</f>
        <v/>
      </c>
      <c r="I227" s="159" t="str">
        <f>IF(I$3="","",IF(COUNTIFS(BD!$A$3:$A$5001,I$3,BD!$B$3:$B$5001,$A$227,BD!$C$3:$C$5001,"&lt;&gt;")=0,"",SUMIFS(BD!$C$3:$C$5001,BD!$A$3:$A$5001,I$3,BD!$B$3:$B$5001,$A$227)))</f>
        <v/>
      </c>
      <c r="J227" s="159" t="str">
        <f>IF(J$3="","",IF(COUNTIFS(BD!$A$3:$A$5001,J$3,BD!$B$3:$B$5001,$A$227,BD!$C$3:$C$5001,"&lt;&gt;")=0,"",SUMIFS(BD!$C$3:$C$5001,BD!$A$3:$A$5001,J$3,BD!$B$3:$B$5001,$A$227)))</f>
        <v/>
      </c>
      <c r="K227" s="159" t="str">
        <f>IF(K$3="","",IF(COUNTIFS(BD!$A$3:$A$5001,K$3,BD!$B$3:$B$5001,$A$227,BD!$C$3:$C$5001,"&lt;&gt;")=0,"",SUMIFS(BD!$C$3:$C$5001,BD!$A$3:$A$5001,K$3,BD!$B$3:$B$5001,$A$227)))</f>
        <v/>
      </c>
      <c r="L227" s="159" t="str">
        <f>IF(L$3="","",IF(COUNTIFS(BD!$A$3:$A$5001,L$3,BD!$B$3:$B$5001,$A$227,BD!$C$3:$C$5001,"&lt;&gt;")=0,"",SUMIFS(BD!$C$3:$C$5001,BD!$A$3:$A$5001,L$3,BD!$B$3:$B$5001,$A$227)))</f>
        <v/>
      </c>
      <c r="M227" s="159" t="str">
        <f>IF(M$3="","",IF(COUNTIFS(BD!$A$3:$A$5001,M$3,BD!$B$3:$B$5001,$A$227,BD!$C$3:$C$5001,"&lt;&gt;")=0,"",SUMIFS(BD!$C$3:$C$5001,BD!$A$3:$A$5001,M$3,BD!$B$3:$B$5001,$A$227)))</f>
        <v/>
      </c>
      <c r="N227" s="159" t="str">
        <f>IF(N$3="","",IF(COUNTIFS(BD!$A$3:$A$5001,N$3,BD!$B$3:$B$5001,$A$227,BD!$C$3:$C$5001,"&lt;&gt;")=0,"",SUMIFS(BD!$C$3:$C$5001,BD!$A$3:$A$5001,N$3,BD!$B$3:$B$5001,$A$227)))</f>
        <v/>
      </c>
      <c r="O227" s="159" t="str">
        <f>IF(O$3="","",IF(COUNTIFS(BD!$A$3:$A$5001,O$3,BD!$B$3:$B$5001,$A$227,BD!$C$3:$C$5001,"&lt;&gt;")=0,"",SUMIFS(BD!$C$3:$C$5001,BD!$A$3:$A$5001,O$3,BD!$B$3:$B$5001,$A$227)))</f>
        <v/>
      </c>
      <c r="P227" s="159" t="str">
        <f>IF(P$3="","",IF(COUNTIFS(BD!$A$3:$A$5001,P$3,BD!$B$3:$B$5001,$A$227,BD!$C$3:$C$5001,"&lt;&gt;")=0,"",SUMIFS(BD!$C$3:$C$5001,BD!$A$3:$A$5001,P$3,BD!$B$3:$B$5001,$A$227)))</f>
        <v/>
      </c>
      <c r="Q227" s="159" t="str">
        <f>IF(Q$3="","",IF(COUNTIFS(BD!$A$3:$A$5001,Q$3,BD!$B$3:$B$5001,$A$227,BD!$C$3:$C$5001,"&lt;&gt;")=0,"",SUMIFS(BD!$C$3:$C$5001,BD!$A$3:$A$5001,Q$3,BD!$B$3:$B$5001,$A$227)))</f>
        <v/>
      </c>
      <c r="R227" s="159" t="str">
        <f>IF(R$3="","",IF(COUNTIFS(BD!$A$3:$A$5001,R$3,BD!$B$3:$B$5001,$A$227,BD!$C$3:$C$5001,"&lt;&gt;")=0,"",SUMIFS(BD!$C$3:$C$5001,BD!$A$3:$A$5001,R$3,BD!$B$3:$B$5001,$A$227)))</f>
        <v/>
      </c>
      <c r="S227" s="159" t="str">
        <f>IF(S$3="","",IF(COUNTIFS(BD!$A$3:$A$5001,S$3,BD!$B$3:$B$5001,$A$227,BD!$C$3:$C$5001,"&lt;&gt;")=0,"",SUMIFS(BD!$C$3:$C$5001,BD!$A$3:$A$5001,S$3,BD!$B$3:$B$5001,$A$227)))</f>
        <v/>
      </c>
      <c r="T227" s="159" t="str">
        <f>IF(T$3="","",IF(COUNTIFS(BD!$A$3:$A$5001,T$3,BD!$B$3:$B$5001,$A$227,BD!$C$3:$C$5001,"&lt;&gt;")=0,"",SUMIFS(BD!$C$3:$C$5001,BD!$A$3:$A$5001,T$3,BD!$B$3:$B$5001,$A$227)))</f>
        <v/>
      </c>
      <c r="U227" s="159" t="str">
        <f>IF(U$3="","",IF(COUNTIFS(BD!$A$3:$A$5001,U$3,BD!$B$3:$B$5001,$A$227,BD!$C$3:$C$5001,"&lt;&gt;")=0,"",SUMIFS(BD!$C$3:$C$5001,BD!$A$3:$A$5001,U$3,BD!$B$3:$B$5001,$A$227)))</f>
        <v/>
      </c>
      <c r="V227" s="159" t="str">
        <f>IF(V$3="","",IF(COUNTIFS(BD!$A$3:$A$5001,V$3,BD!$B$3:$B$5001,$A$227,BD!$C$3:$C$5001,"&lt;&gt;")=0,"",SUMIFS(BD!$C$3:$C$5001,BD!$A$3:$A$5001,V$3,BD!$B$3:$B$5001,$A$227)))</f>
        <v/>
      </c>
      <c r="W227" s="159" t="str">
        <f>IF(W$3="","",IF(COUNTIFS(BD!$A$3:$A$5001,W$3,BD!$B$3:$B$5001,$A$227,BD!$C$3:$C$5001,"&lt;&gt;")=0,"",SUMIFS(BD!$C$3:$C$5001,BD!$A$3:$A$5001,W$3,BD!$B$3:$B$5001,$A$227)))</f>
        <v/>
      </c>
      <c r="X227" s="159" t="str">
        <f>IF(X$3="","",IF(COUNTIFS(BD!$A$3:$A$5001,X$3,BD!$B$3:$B$5001,$A$227,BD!$C$3:$C$5001,"&lt;&gt;")=0,"",SUMIFS(BD!$C$3:$C$5001,BD!$A$3:$A$5001,X$3,BD!$B$3:$B$5001,$A$227)))</f>
        <v/>
      </c>
      <c r="Y227" s="159" t="str">
        <f>IF(Y$3="","",IF(COUNTIFS(BD!$A$3:$A$5001,Y$3,BD!$B$3:$B$5001,$A$227,BD!$C$3:$C$5001,"&lt;&gt;")=0,"",SUMIFS(BD!$C$3:$C$5001,BD!$A$3:$A$5001,Y$3,BD!$B$3:$B$5001,$A$227)))</f>
        <v/>
      </c>
      <c r="Z227" s="159" t="str">
        <f>IF(Z$3="","",IF(COUNTIFS(BD!$A$3:$A$5001,Z$3,BD!$B$3:$B$5001,$A$227,BD!$C$3:$C$5001,"&lt;&gt;")=0,"",SUMIFS(BD!$C$3:$C$5001,BD!$A$3:$A$5001,Z$3,BD!$B$3:$B$5001,$A$227)))</f>
        <v/>
      </c>
      <c r="AA227" s="159" t="str">
        <f>IF(AA$3="","",IF(COUNTIFS(BD!$A$3:$A$5001,AA$3,BD!$B$3:$B$5001,$A$227,BD!$C$3:$C$5001,"&lt;&gt;")=0,"",SUMIFS(BD!$C$3:$C$5001,BD!$A$3:$A$5001,AA$3,BD!$B$3:$B$5001,$A$227)))</f>
        <v/>
      </c>
      <c r="AB227" s="159" t="str">
        <f>IF(AB$3="","",IF(COUNTIFS(BD!$A$3:$A$5001,AB$3,BD!$B$3:$B$5001,$A$227,BD!$C$3:$C$5001,"&lt;&gt;")=0,"",SUMIFS(BD!$C$3:$C$5001,BD!$A$3:$A$5001,AB$3,BD!$B$3:$B$5001,$A$227)))</f>
        <v/>
      </c>
      <c r="AC227" s="159" t="str">
        <f>IF(AC$3="","",IF(COUNTIFS(BD!$A$3:$A$5001,AC$3,BD!$B$3:$B$5001,$A$227,BD!$C$3:$C$5001,"&lt;&gt;")=0,"",SUMIFS(BD!$C$3:$C$5001,BD!$A$3:$A$5001,AC$3,BD!$B$3:$B$5001,$A$227)))</f>
        <v/>
      </c>
      <c r="AD227" s="159" t="str">
        <f>IF(AD$3="","",IF(COUNTIFS(BD!$A$3:$A$5001,AD$3,BD!$B$3:$B$5001,$A$227,BD!$C$3:$C$5001,"&lt;&gt;")=0,"",SUMIFS(BD!$C$3:$C$5001,BD!$A$3:$A$5001,AD$3,BD!$B$3:$B$5001,$A$227)))</f>
        <v/>
      </c>
      <c r="AE227" s="159" t="str">
        <f>IF(AE$3="","",IF(COUNTIFS(BD!$A$3:$A$5001,AE$3,BD!$B$3:$B$5001,$A$227,BD!$C$3:$C$5001,"&lt;&gt;")=0,"",SUMIFS(BD!$C$3:$C$5001,BD!$A$3:$A$5001,AE$3,BD!$B$3:$B$5001,$A$227)))</f>
        <v/>
      </c>
      <c r="AF227" s="159" t="str">
        <f>IF(AF$3="","",IF(COUNTIFS(BD!$A$3:$A$5001,AF$3,BD!$B$3:$B$5001,$A$227,BD!$C$3:$C$5001,"&lt;&gt;")=0,"",SUMIFS(BD!$C$3:$C$5001,BD!$A$3:$A$5001,AF$3,BD!$B$3:$B$5001,$A$227)))</f>
        <v/>
      </c>
      <c r="AG227" s="159" t="str">
        <f>IF(AG$3="","",IF(COUNTIFS(BD!$A$3:$A$5001,AG$3,BD!$B$3:$B$5001,$A$227,BD!$C$3:$C$5001,"&lt;&gt;")=0,"",SUMIFS(BD!$C$3:$C$5001,BD!$A$3:$A$5001,AG$3,BD!$B$3:$B$5001,$A$227)))</f>
        <v/>
      </c>
      <c r="AH227" s="159" t="str">
        <f>IF(AH$3="","",IF(COUNTIFS(BD!$A$3:$A$5001,AH$3,BD!$B$3:$B$5001,$A$227,BD!$C$3:$C$5001,"&lt;&gt;")=0,"",SUMIFS(BD!$C$3:$C$5001,BD!$A$3:$A$5001,AH$3,BD!$B$3:$B$5001,$A$227)))</f>
        <v/>
      </c>
      <c r="AI227" s="159" t="str">
        <f>IF(AI$3="","",IF(COUNTIFS(BD!$A$3:$A$5001,AI$3,BD!$B$3:$B$5001,$A$227,BD!$C$3:$C$5001,"&lt;&gt;")=0,"",SUMIFS(BD!$C$3:$C$5001,BD!$A$3:$A$5001,AI$3,BD!$B$3:$B$5001,$A$227)))</f>
        <v/>
      </c>
      <c r="AJ227" s="160" t="str">
        <f>IF(AJ$3="","",IF(COUNTIFS(BD!$A$3:$A$5001,AJ$3,BD!$B$3:$B$5001,$A$227,BD!$C$3:$C$5001,"&lt;&gt;")=0,"",SUMIFS(BD!$C$3:$C$5001,BD!$A$3:$A$5001,AJ$3,BD!$B$3:$B$5001,$A$227)))</f>
        <v/>
      </c>
      <c r="AK227" s="161" t="str">
        <f>IF(COUNT(F227:AJ227)=0,"",SUM(F227:AJ227))</f>
        <v/>
      </c>
    </row>
    <row r="228" ht="15.75" customHeight="1" hidden="1">
      <c r="A228" s="254"/>
      <c r="B228" s="242"/>
      <c r="C228" s="162" t="inlineStr">
        <is>
          <t xml:space="preserve">Pallets Movimentados</t>
        </is>
      </c>
      <c r="D228" s="163" t="str">
        <f>IFERROR(1/(1/INDEX(BD!$Y$24:$AS$24,MATCH($A$227,BD!$Y$22:$AS$22,0))),"")</f>
        <v/>
      </c>
      <c r="E228" s="164"/>
      <c r="F228" s="165" t="str">
        <f>IF(F$3="","",IF(COUNTIFS(BD!$A$3:$A$5001,F$3,BD!$B$3:$B$5001,$A$227,BD!$D$3:$D$5001,"&lt;&gt;")=0,"",SUMIFS(BD!$D$3:$D$5001,BD!$A$3:$A$5001,F$3,BD!$B$3:$B$5001,$A$227)))</f>
        <v/>
      </c>
      <c r="G228" s="166" t="str">
        <f>IF(G$3="","",IF(COUNTIFS(BD!$A$3:$A$5001,G$3,BD!$B$3:$B$5001,$A$227,BD!$D$3:$D$5001,"&lt;&gt;")=0,"",SUMIFS(BD!$D$3:$D$5001,BD!$A$3:$A$5001,G$3,BD!$B$3:$B$5001,$A$227)))</f>
        <v/>
      </c>
      <c r="H228" s="166" t="str">
        <f>IF(H$3="","",IF(COUNTIFS(BD!$A$3:$A$5001,H$3,BD!$B$3:$B$5001,$A$227,BD!$D$3:$D$5001,"&lt;&gt;")=0,"",SUMIFS(BD!$D$3:$D$5001,BD!$A$3:$A$5001,H$3,BD!$B$3:$B$5001,$A$227)))</f>
        <v/>
      </c>
      <c r="I228" s="166" t="str">
        <f>IF(I$3="","",IF(COUNTIFS(BD!$A$3:$A$5001,I$3,BD!$B$3:$B$5001,$A$227,BD!$D$3:$D$5001,"&lt;&gt;")=0,"",SUMIFS(BD!$D$3:$D$5001,BD!$A$3:$A$5001,I$3,BD!$B$3:$B$5001,$A$227)))</f>
        <v/>
      </c>
      <c r="J228" s="166" t="str">
        <f>IF(J$3="","",IF(COUNTIFS(BD!$A$3:$A$5001,J$3,BD!$B$3:$B$5001,$A$227,BD!$D$3:$D$5001,"&lt;&gt;")=0,"",SUMIFS(BD!$D$3:$D$5001,BD!$A$3:$A$5001,J$3,BD!$B$3:$B$5001,$A$227)))</f>
        <v/>
      </c>
      <c r="K228" s="166" t="str">
        <f>IF(K$3="","",IF(COUNTIFS(BD!$A$3:$A$5001,K$3,BD!$B$3:$B$5001,$A$227,BD!$D$3:$D$5001,"&lt;&gt;")=0,"",SUMIFS(BD!$D$3:$D$5001,BD!$A$3:$A$5001,K$3,BD!$B$3:$B$5001,$A$227)))</f>
        <v/>
      </c>
      <c r="L228" s="166" t="str">
        <f>IF(L$3="","",IF(COUNTIFS(BD!$A$3:$A$5001,L$3,BD!$B$3:$B$5001,$A$227,BD!$D$3:$D$5001,"&lt;&gt;")=0,"",SUMIFS(BD!$D$3:$D$5001,BD!$A$3:$A$5001,L$3,BD!$B$3:$B$5001,$A$227)))</f>
        <v/>
      </c>
      <c r="M228" s="166" t="str">
        <f>IF(M$3="","",IF(COUNTIFS(BD!$A$3:$A$5001,M$3,BD!$B$3:$B$5001,$A$227,BD!$D$3:$D$5001,"&lt;&gt;")=0,"",SUMIFS(BD!$D$3:$D$5001,BD!$A$3:$A$5001,M$3,BD!$B$3:$B$5001,$A$227)))</f>
        <v/>
      </c>
      <c r="N228" s="166" t="str">
        <f>IF(N$3="","",IF(COUNTIFS(BD!$A$3:$A$5001,N$3,BD!$B$3:$B$5001,$A$227,BD!$D$3:$D$5001,"&lt;&gt;")=0,"",SUMIFS(BD!$D$3:$D$5001,BD!$A$3:$A$5001,N$3,BD!$B$3:$B$5001,$A$227)))</f>
        <v/>
      </c>
      <c r="O228" s="166" t="str">
        <f>IF(O$3="","",IF(COUNTIFS(BD!$A$3:$A$5001,O$3,BD!$B$3:$B$5001,$A$227,BD!$D$3:$D$5001,"&lt;&gt;")=0,"",SUMIFS(BD!$D$3:$D$5001,BD!$A$3:$A$5001,O$3,BD!$B$3:$B$5001,$A$227)))</f>
        <v/>
      </c>
      <c r="P228" s="166" t="str">
        <f>IF(P$3="","",IF(COUNTIFS(BD!$A$3:$A$5001,P$3,BD!$B$3:$B$5001,$A$227,BD!$D$3:$D$5001,"&lt;&gt;")=0,"",SUMIFS(BD!$D$3:$D$5001,BD!$A$3:$A$5001,P$3,BD!$B$3:$B$5001,$A$227)))</f>
        <v/>
      </c>
      <c r="Q228" s="166" t="str">
        <f>IF(Q$3="","",IF(COUNTIFS(BD!$A$3:$A$5001,Q$3,BD!$B$3:$B$5001,$A$227,BD!$D$3:$D$5001,"&lt;&gt;")=0,"",SUMIFS(BD!$D$3:$D$5001,BD!$A$3:$A$5001,Q$3,BD!$B$3:$B$5001,$A$227)))</f>
        <v/>
      </c>
      <c r="R228" s="166" t="str">
        <f>IF(R$3="","",IF(COUNTIFS(BD!$A$3:$A$5001,R$3,BD!$B$3:$B$5001,$A$227,BD!$D$3:$D$5001,"&lt;&gt;")=0,"",SUMIFS(BD!$D$3:$D$5001,BD!$A$3:$A$5001,R$3,BD!$B$3:$B$5001,$A$227)))</f>
        <v/>
      </c>
      <c r="S228" s="166" t="str">
        <f>IF(S$3="","",IF(COUNTIFS(BD!$A$3:$A$5001,S$3,BD!$B$3:$B$5001,$A$227,BD!$D$3:$D$5001,"&lt;&gt;")=0,"",SUMIFS(BD!$D$3:$D$5001,BD!$A$3:$A$5001,S$3,BD!$B$3:$B$5001,$A$227)))</f>
        <v/>
      </c>
      <c r="T228" s="166" t="str">
        <f>IF(T$3="","",IF(COUNTIFS(BD!$A$3:$A$5001,T$3,BD!$B$3:$B$5001,$A$227,BD!$D$3:$D$5001,"&lt;&gt;")=0,"",SUMIFS(BD!$D$3:$D$5001,BD!$A$3:$A$5001,T$3,BD!$B$3:$B$5001,$A$227)))</f>
        <v/>
      </c>
      <c r="U228" s="166" t="str">
        <f>IF(U$3="","",IF(COUNTIFS(BD!$A$3:$A$5001,U$3,BD!$B$3:$B$5001,$A$227,BD!$D$3:$D$5001,"&lt;&gt;")=0,"",SUMIFS(BD!$D$3:$D$5001,BD!$A$3:$A$5001,U$3,BD!$B$3:$B$5001,$A$227)))</f>
        <v/>
      </c>
      <c r="V228" s="166" t="str">
        <f>IF(V$3="","",IF(COUNTIFS(BD!$A$3:$A$5001,V$3,BD!$B$3:$B$5001,$A$227,BD!$D$3:$D$5001,"&lt;&gt;")=0,"",SUMIFS(BD!$D$3:$D$5001,BD!$A$3:$A$5001,V$3,BD!$B$3:$B$5001,$A$227)))</f>
        <v/>
      </c>
      <c r="W228" s="166" t="str">
        <f>IF(W$3="","",IF(COUNTIFS(BD!$A$3:$A$5001,W$3,BD!$B$3:$B$5001,$A$227,BD!$D$3:$D$5001,"&lt;&gt;")=0,"",SUMIFS(BD!$D$3:$D$5001,BD!$A$3:$A$5001,W$3,BD!$B$3:$B$5001,$A$227)))</f>
        <v/>
      </c>
      <c r="X228" s="166" t="str">
        <f>IF(X$3="","",IF(COUNTIFS(BD!$A$3:$A$5001,X$3,BD!$B$3:$B$5001,$A$227,BD!$D$3:$D$5001,"&lt;&gt;")=0,"",SUMIFS(BD!$D$3:$D$5001,BD!$A$3:$A$5001,X$3,BD!$B$3:$B$5001,$A$227)))</f>
        <v/>
      </c>
      <c r="Y228" s="166" t="str">
        <f>IF(Y$3="","",IF(COUNTIFS(BD!$A$3:$A$5001,Y$3,BD!$B$3:$B$5001,$A$227,BD!$D$3:$D$5001,"&lt;&gt;")=0,"",SUMIFS(BD!$D$3:$D$5001,BD!$A$3:$A$5001,Y$3,BD!$B$3:$B$5001,$A$227)))</f>
        <v/>
      </c>
      <c r="Z228" s="166" t="str">
        <f>IF(Z$3="","",IF(COUNTIFS(BD!$A$3:$A$5001,Z$3,BD!$B$3:$B$5001,$A$227,BD!$D$3:$D$5001,"&lt;&gt;")=0,"",SUMIFS(BD!$D$3:$D$5001,BD!$A$3:$A$5001,Z$3,BD!$B$3:$B$5001,$A$227)))</f>
        <v/>
      </c>
      <c r="AA228" s="166" t="str">
        <f>IF(AA$3="","",IF(COUNTIFS(BD!$A$3:$A$5001,AA$3,BD!$B$3:$B$5001,$A$227,BD!$D$3:$D$5001,"&lt;&gt;")=0,"",SUMIFS(BD!$D$3:$D$5001,BD!$A$3:$A$5001,AA$3,BD!$B$3:$B$5001,$A$227)))</f>
        <v/>
      </c>
      <c r="AB228" s="166" t="str">
        <f>IF(AB$3="","",IF(COUNTIFS(BD!$A$3:$A$5001,AB$3,BD!$B$3:$B$5001,$A$227,BD!$D$3:$D$5001,"&lt;&gt;")=0,"",SUMIFS(BD!$D$3:$D$5001,BD!$A$3:$A$5001,AB$3,BD!$B$3:$B$5001,$A$227)))</f>
        <v/>
      </c>
      <c r="AC228" s="166" t="str">
        <f>IF(AC$3="","",IF(COUNTIFS(BD!$A$3:$A$5001,AC$3,BD!$B$3:$B$5001,$A$227,BD!$D$3:$D$5001,"&lt;&gt;")=0,"",SUMIFS(BD!$D$3:$D$5001,BD!$A$3:$A$5001,AC$3,BD!$B$3:$B$5001,$A$227)))</f>
        <v/>
      </c>
      <c r="AD228" s="166" t="str">
        <f>IF(AD$3="","",IF(COUNTIFS(BD!$A$3:$A$5001,AD$3,BD!$B$3:$B$5001,$A$227,BD!$D$3:$D$5001,"&lt;&gt;")=0,"",SUMIFS(BD!$D$3:$D$5001,BD!$A$3:$A$5001,AD$3,BD!$B$3:$B$5001,$A$227)))</f>
        <v/>
      </c>
      <c r="AE228" s="166" t="str">
        <f>IF(AE$3="","",IF(COUNTIFS(BD!$A$3:$A$5001,AE$3,BD!$B$3:$B$5001,$A$227,BD!$D$3:$D$5001,"&lt;&gt;")=0,"",SUMIFS(BD!$D$3:$D$5001,BD!$A$3:$A$5001,AE$3,BD!$B$3:$B$5001,$A$227)))</f>
        <v/>
      </c>
      <c r="AF228" s="166" t="str">
        <f>IF(AF$3="","",IF(COUNTIFS(BD!$A$3:$A$5001,AF$3,BD!$B$3:$B$5001,$A$227,BD!$D$3:$D$5001,"&lt;&gt;")=0,"",SUMIFS(BD!$D$3:$D$5001,BD!$A$3:$A$5001,AF$3,BD!$B$3:$B$5001,$A$227)))</f>
        <v/>
      </c>
      <c r="AG228" s="166" t="str">
        <f>IF(AG$3="","",IF(COUNTIFS(BD!$A$3:$A$5001,AG$3,BD!$B$3:$B$5001,$A$227,BD!$D$3:$D$5001,"&lt;&gt;")=0,"",SUMIFS(BD!$D$3:$D$5001,BD!$A$3:$A$5001,AG$3,BD!$B$3:$B$5001,$A$227)))</f>
        <v/>
      </c>
      <c r="AH228" s="166" t="str">
        <f>IF(AH$3="","",IF(COUNTIFS(BD!$A$3:$A$5001,AH$3,BD!$B$3:$B$5001,$A$227,BD!$D$3:$D$5001,"&lt;&gt;")=0,"",SUMIFS(BD!$D$3:$D$5001,BD!$A$3:$A$5001,AH$3,BD!$B$3:$B$5001,$A$227)))</f>
        <v/>
      </c>
      <c r="AI228" s="166" t="str">
        <f>IF(AI$3="","",IF(COUNTIFS(BD!$A$3:$A$5001,AI$3,BD!$B$3:$B$5001,$A$227,BD!$D$3:$D$5001,"&lt;&gt;")=0,"",SUMIFS(BD!$D$3:$D$5001,BD!$A$3:$A$5001,AI$3,BD!$B$3:$B$5001,$A$227)))</f>
        <v/>
      </c>
      <c r="AJ228" s="167" t="str">
        <f>IF(AJ$3="","",IF(COUNTIFS(BD!$A$3:$A$5001,AJ$3,BD!$B$3:$B$5001,$A$227,BD!$D$3:$D$5001,"&lt;&gt;")=0,"",SUMIFS(BD!$D$3:$D$5001,BD!$A$3:$A$5001,AJ$3,BD!$B$3:$B$5001,$A$227)))</f>
        <v/>
      </c>
      <c r="AK228" s="168" t="str">
        <f>IF(COUNT(F228:AJ228)=0,"",SUM(F228:AJ228))</f>
        <v/>
      </c>
    </row>
    <row r="229" ht="15.75" customHeight="1" hidden="1">
      <c r="A229" s="254"/>
      <c r="B229" s="243"/>
      <c r="C229" s="169" t="inlineStr">
        <is>
          <t xml:space="preserve">Toneladas Movimentadas</t>
        </is>
      </c>
      <c r="D229" s="170" t="str">
        <f>IFERROR(1/(1/INDEX(BD!$Y$25:$AS$25,MATCH($A$227,BD!$Y$22:$AS$22,0))),"")</f>
        <v/>
      </c>
      <c r="E229" s="171"/>
      <c r="F229" s="172" t="str">
        <f>IF(F$3="","",IF(COUNTIFS(BD!$A$3:$A$5001,F$3,BD!$B$3:$B$5001,$A$227,BD!$E$3:$E$5001,"&lt;&gt;")=0,"",SUMIFS(BD!$E$3:$E$5001,BD!$A$3:$A$5001,F$3,BD!$B$3:$B$5001,$A$227)))</f>
        <v/>
      </c>
      <c r="G229" s="173" t="str">
        <f>IF(G$3="","",IF(COUNTIFS(BD!$A$3:$A$5001,G$3,BD!$B$3:$B$5001,$A$227,BD!$E$3:$E$5001,"&lt;&gt;")=0,"",SUMIFS(BD!$E$3:$E$5001,BD!$A$3:$A$5001,G$3,BD!$B$3:$B$5001,$A$227)))</f>
        <v/>
      </c>
      <c r="H229" s="173" t="str">
        <f>IF(H$3="","",IF(COUNTIFS(BD!$A$3:$A$5001,H$3,BD!$B$3:$B$5001,$A$227,BD!$E$3:$E$5001,"&lt;&gt;")=0,"",SUMIFS(BD!$E$3:$E$5001,BD!$A$3:$A$5001,H$3,BD!$B$3:$B$5001,$A$227)))</f>
        <v/>
      </c>
      <c r="I229" s="173" t="str">
        <f>IF(I$3="","",IF(COUNTIFS(BD!$A$3:$A$5001,I$3,BD!$B$3:$B$5001,$A$227,BD!$E$3:$E$5001,"&lt;&gt;")=0,"",SUMIFS(BD!$E$3:$E$5001,BD!$A$3:$A$5001,I$3,BD!$B$3:$B$5001,$A$227)))</f>
        <v/>
      </c>
      <c r="J229" s="173" t="str">
        <f>IF(J$3="","",IF(COUNTIFS(BD!$A$3:$A$5001,J$3,BD!$B$3:$B$5001,$A$227,BD!$E$3:$E$5001,"&lt;&gt;")=0,"",SUMIFS(BD!$E$3:$E$5001,BD!$A$3:$A$5001,J$3,BD!$B$3:$B$5001,$A$227)))</f>
        <v/>
      </c>
      <c r="K229" s="173" t="str">
        <f>IF(K$3="","",IF(COUNTIFS(BD!$A$3:$A$5001,K$3,BD!$B$3:$B$5001,$A$227,BD!$E$3:$E$5001,"&lt;&gt;")=0,"",SUMIFS(BD!$E$3:$E$5001,BD!$A$3:$A$5001,K$3,BD!$B$3:$B$5001,$A$227)))</f>
        <v/>
      </c>
      <c r="L229" s="173" t="str">
        <f>IF(L$3="","",IF(COUNTIFS(BD!$A$3:$A$5001,L$3,BD!$B$3:$B$5001,$A$227,BD!$E$3:$E$5001,"&lt;&gt;")=0,"",SUMIFS(BD!$E$3:$E$5001,BD!$A$3:$A$5001,L$3,BD!$B$3:$B$5001,$A$227)))</f>
        <v/>
      </c>
      <c r="M229" s="173" t="str">
        <f>IF(M$3="","",IF(COUNTIFS(BD!$A$3:$A$5001,M$3,BD!$B$3:$B$5001,$A$227,BD!$E$3:$E$5001,"&lt;&gt;")=0,"",SUMIFS(BD!$E$3:$E$5001,BD!$A$3:$A$5001,M$3,BD!$B$3:$B$5001,$A$227)))</f>
        <v/>
      </c>
      <c r="N229" s="173" t="str">
        <f>IF(N$3="","",IF(COUNTIFS(BD!$A$3:$A$5001,N$3,BD!$B$3:$B$5001,$A$227,BD!$E$3:$E$5001,"&lt;&gt;")=0,"",SUMIFS(BD!$E$3:$E$5001,BD!$A$3:$A$5001,N$3,BD!$B$3:$B$5001,$A$227)))</f>
        <v/>
      </c>
      <c r="O229" s="173" t="str">
        <f>IF(O$3="","",IF(COUNTIFS(BD!$A$3:$A$5001,O$3,BD!$B$3:$B$5001,$A$227,BD!$E$3:$E$5001,"&lt;&gt;")=0,"",SUMIFS(BD!$E$3:$E$5001,BD!$A$3:$A$5001,O$3,BD!$B$3:$B$5001,$A$227)))</f>
        <v/>
      </c>
      <c r="P229" s="173" t="str">
        <f>IF(P$3="","",IF(COUNTIFS(BD!$A$3:$A$5001,P$3,BD!$B$3:$B$5001,$A$227,BD!$E$3:$E$5001,"&lt;&gt;")=0,"",SUMIFS(BD!$E$3:$E$5001,BD!$A$3:$A$5001,P$3,BD!$B$3:$B$5001,$A$227)))</f>
        <v/>
      </c>
      <c r="Q229" s="173" t="str">
        <f>IF(Q$3="","",IF(COUNTIFS(BD!$A$3:$A$5001,Q$3,BD!$B$3:$B$5001,$A$227,BD!$E$3:$E$5001,"&lt;&gt;")=0,"",SUMIFS(BD!$E$3:$E$5001,BD!$A$3:$A$5001,Q$3,BD!$B$3:$B$5001,$A$227)))</f>
        <v/>
      </c>
      <c r="R229" s="173" t="str">
        <f>IF(R$3="","",IF(COUNTIFS(BD!$A$3:$A$5001,R$3,BD!$B$3:$B$5001,$A$227,BD!$E$3:$E$5001,"&lt;&gt;")=0,"",SUMIFS(BD!$E$3:$E$5001,BD!$A$3:$A$5001,R$3,BD!$B$3:$B$5001,$A$227)))</f>
        <v/>
      </c>
      <c r="S229" s="173" t="str">
        <f>IF(S$3="","",IF(COUNTIFS(BD!$A$3:$A$5001,S$3,BD!$B$3:$B$5001,$A$227,BD!$E$3:$E$5001,"&lt;&gt;")=0,"",SUMIFS(BD!$E$3:$E$5001,BD!$A$3:$A$5001,S$3,BD!$B$3:$B$5001,$A$227)))</f>
        <v/>
      </c>
      <c r="T229" s="173" t="str">
        <f>IF(T$3="","",IF(COUNTIFS(BD!$A$3:$A$5001,T$3,BD!$B$3:$B$5001,$A$227,BD!$E$3:$E$5001,"&lt;&gt;")=0,"",SUMIFS(BD!$E$3:$E$5001,BD!$A$3:$A$5001,T$3,BD!$B$3:$B$5001,$A$227)))</f>
        <v/>
      </c>
      <c r="U229" s="173" t="str">
        <f>IF(U$3="","",IF(COUNTIFS(BD!$A$3:$A$5001,U$3,BD!$B$3:$B$5001,$A$227,BD!$E$3:$E$5001,"&lt;&gt;")=0,"",SUMIFS(BD!$E$3:$E$5001,BD!$A$3:$A$5001,U$3,BD!$B$3:$B$5001,$A$227)))</f>
        <v/>
      </c>
      <c r="V229" s="173" t="str">
        <f>IF(V$3="","",IF(COUNTIFS(BD!$A$3:$A$5001,V$3,BD!$B$3:$B$5001,$A$227,BD!$E$3:$E$5001,"&lt;&gt;")=0,"",SUMIFS(BD!$E$3:$E$5001,BD!$A$3:$A$5001,V$3,BD!$B$3:$B$5001,$A$227)))</f>
        <v/>
      </c>
      <c r="W229" s="173" t="str">
        <f>IF(W$3="","",IF(COUNTIFS(BD!$A$3:$A$5001,W$3,BD!$B$3:$B$5001,$A$227,BD!$E$3:$E$5001,"&lt;&gt;")=0,"",SUMIFS(BD!$E$3:$E$5001,BD!$A$3:$A$5001,W$3,BD!$B$3:$B$5001,$A$227)))</f>
        <v/>
      </c>
      <c r="X229" s="173" t="str">
        <f>IF(X$3="","",IF(COUNTIFS(BD!$A$3:$A$5001,X$3,BD!$B$3:$B$5001,$A$227,BD!$E$3:$E$5001,"&lt;&gt;")=0,"",SUMIFS(BD!$E$3:$E$5001,BD!$A$3:$A$5001,X$3,BD!$B$3:$B$5001,$A$227)))</f>
        <v/>
      </c>
      <c r="Y229" s="173" t="str">
        <f>IF(Y$3="","",IF(COUNTIFS(BD!$A$3:$A$5001,Y$3,BD!$B$3:$B$5001,$A$227,BD!$E$3:$E$5001,"&lt;&gt;")=0,"",SUMIFS(BD!$E$3:$E$5001,BD!$A$3:$A$5001,Y$3,BD!$B$3:$B$5001,$A$227)))</f>
        <v/>
      </c>
      <c r="Z229" s="173" t="str">
        <f>IF(Z$3="","",IF(COUNTIFS(BD!$A$3:$A$5001,Z$3,BD!$B$3:$B$5001,$A$227,BD!$E$3:$E$5001,"&lt;&gt;")=0,"",SUMIFS(BD!$E$3:$E$5001,BD!$A$3:$A$5001,Z$3,BD!$B$3:$B$5001,$A$227)))</f>
        <v/>
      </c>
      <c r="AA229" s="173" t="str">
        <f>IF(AA$3="","",IF(COUNTIFS(BD!$A$3:$A$5001,AA$3,BD!$B$3:$B$5001,$A$227,BD!$E$3:$E$5001,"&lt;&gt;")=0,"",SUMIFS(BD!$E$3:$E$5001,BD!$A$3:$A$5001,AA$3,BD!$B$3:$B$5001,$A$227)))</f>
        <v/>
      </c>
      <c r="AB229" s="173" t="str">
        <f>IF(AB$3="","",IF(COUNTIFS(BD!$A$3:$A$5001,AB$3,BD!$B$3:$B$5001,$A$227,BD!$E$3:$E$5001,"&lt;&gt;")=0,"",SUMIFS(BD!$E$3:$E$5001,BD!$A$3:$A$5001,AB$3,BD!$B$3:$B$5001,$A$227)))</f>
        <v/>
      </c>
      <c r="AC229" s="173" t="str">
        <f>IF(AC$3="","",IF(COUNTIFS(BD!$A$3:$A$5001,AC$3,BD!$B$3:$B$5001,$A$227,BD!$E$3:$E$5001,"&lt;&gt;")=0,"",SUMIFS(BD!$E$3:$E$5001,BD!$A$3:$A$5001,AC$3,BD!$B$3:$B$5001,$A$227)))</f>
        <v/>
      </c>
      <c r="AD229" s="173" t="str">
        <f>IF(AD$3="","",IF(COUNTIFS(BD!$A$3:$A$5001,AD$3,BD!$B$3:$B$5001,$A$227,BD!$E$3:$E$5001,"&lt;&gt;")=0,"",SUMIFS(BD!$E$3:$E$5001,BD!$A$3:$A$5001,AD$3,BD!$B$3:$B$5001,$A$227)))</f>
        <v/>
      </c>
      <c r="AE229" s="173" t="str">
        <f>IF(AE$3="","",IF(COUNTIFS(BD!$A$3:$A$5001,AE$3,BD!$B$3:$B$5001,$A$227,BD!$E$3:$E$5001,"&lt;&gt;")=0,"",SUMIFS(BD!$E$3:$E$5001,BD!$A$3:$A$5001,AE$3,BD!$B$3:$B$5001,$A$227)))</f>
        <v/>
      </c>
      <c r="AF229" s="173" t="str">
        <f>IF(AF$3="","",IF(COUNTIFS(BD!$A$3:$A$5001,AF$3,BD!$B$3:$B$5001,$A$227,BD!$E$3:$E$5001,"&lt;&gt;")=0,"",SUMIFS(BD!$E$3:$E$5001,BD!$A$3:$A$5001,AF$3,BD!$B$3:$B$5001,$A$227)))</f>
        <v/>
      </c>
      <c r="AG229" s="173" t="str">
        <f>IF(AG$3="","",IF(COUNTIFS(BD!$A$3:$A$5001,AG$3,BD!$B$3:$B$5001,$A$227,BD!$E$3:$E$5001,"&lt;&gt;")=0,"",SUMIFS(BD!$E$3:$E$5001,BD!$A$3:$A$5001,AG$3,BD!$B$3:$B$5001,$A$227)))</f>
        <v/>
      </c>
      <c r="AH229" s="173" t="str">
        <f>IF(AH$3="","",IF(COUNTIFS(BD!$A$3:$A$5001,AH$3,BD!$B$3:$B$5001,$A$227,BD!$E$3:$E$5001,"&lt;&gt;")=0,"",SUMIFS(BD!$E$3:$E$5001,BD!$A$3:$A$5001,AH$3,BD!$B$3:$B$5001,$A$227)))</f>
        <v/>
      </c>
      <c r="AI229" s="173" t="str">
        <f>IF(AI$3="","",IF(COUNTIFS(BD!$A$3:$A$5001,AI$3,BD!$B$3:$B$5001,$A$227,BD!$E$3:$E$5001,"&lt;&gt;")=0,"",SUMIFS(BD!$E$3:$E$5001,BD!$A$3:$A$5001,AI$3,BD!$B$3:$B$5001,$A$227)))</f>
        <v/>
      </c>
      <c r="AJ229" s="174" t="str">
        <f>IF(AJ$3="","",IF(COUNTIFS(BD!$A$3:$A$5001,AJ$3,BD!$B$3:$B$5001,$A$227,BD!$E$3:$E$5001,"&lt;&gt;")=0,"",SUMIFS(BD!$E$3:$E$5001,BD!$A$3:$A$5001,AJ$3,BD!$B$3:$B$5001,$A$227)))</f>
        <v/>
      </c>
      <c r="AK229" s="175" t="str">
        <f>IF(COUNT(F229:AJ229)=0,"",SUM(F229:AJ229))</f>
        <v/>
      </c>
    </row>
    <row r="230" ht="15.75" customHeight="1" hidden="1">
      <c r="A230" s="254"/>
      <c r="B230" s="244" t="inlineStr">
        <is>
          <t xml:space="preserve">OUT</t>
        </is>
      </c>
      <c r="C230" s="176" t="inlineStr">
        <is>
          <t xml:space="preserve">Veículos Expedidos</t>
        </is>
      </c>
      <c r="D230" s="177" t="str">
        <f>IFERROR(1/(1/INDEX(BD!$Y$26:$AS$26,MATCH($A$227,BD!$Y$22:$AS$22,0))),"")</f>
        <v/>
      </c>
      <c r="E230" s="178"/>
      <c r="F230" s="179" t="str">
        <f>IF(F$3="","",IF(COUNTIFS(BD!$A$3:$A$5001,F$3,BD!$B$3:$B$5001,$A$227,BD!$F$3:$F$5001,"&lt;&gt;")=0,"",SUMIFS(BD!$F$3:$F$5001,BD!$A$3:$A$5001,F$3,BD!$B$3:$B$5001,$A$227)))</f>
        <v/>
      </c>
      <c r="G230" s="180" t="str">
        <f>IF(G$3="","",IF(COUNTIFS(BD!$A$3:$A$5001,G$3,BD!$B$3:$B$5001,$A$227,BD!$F$3:$F$5001,"&lt;&gt;")=0,"",SUMIFS(BD!$F$3:$F$5001,BD!$A$3:$A$5001,G$3,BD!$B$3:$B$5001,$A$227)))</f>
        <v/>
      </c>
      <c r="H230" s="180" t="str">
        <f>IF(H$3="","",IF(COUNTIFS(BD!$A$3:$A$5001,H$3,BD!$B$3:$B$5001,$A$227,BD!$F$3:$F$5001,"&lt;&gt;")=0,"",SUMIFS(BD!$F$3:$F$5001,BD!$A$3:$A$5001,H$3,BD!$B$3:$B$5001,$A$227)))</f>
        <v/>
      </c>
      <c r="I230" s="180" t="str">
        <f>IF(I$3="","",IF(COUNTIFS(BD!$A$3:$A$5001,I$3,BD!$B$3:$B$5001,$A$227,BD!$F$3:$F$5001,"&lt;&gt;")=0,"",SUMIFS(BD!$F$3:$F$5001,BD!$A$3:$A$5001,I$3,BD!$B$3:$B$5001,$A$227)))</f>
        <v/>
      </c>
      <c r="J230" s="180" t="str">
        <f>IF(J$3="","",IF(COUNTIFS(BD!$A$3:$A$5001,J$3,BD!$B$3:$B$5001,$A$227,BD!$F$3:$F$5001,"&lt;&gt;")=0,"",SUMIFS(BD!$F$3:$F$5001,BD!$A$3:$A$5001,J$3,BD!$B$3:$B$5001,$A$227)))</f>
        <v/>
      </c>
      <c r="K230" s="180" t="str">
        <f>IF(K$3="","",IF(COUNTIFS(BD!$A$3:$A$5001,K$3,BD!$B$3:$B$5001,$A$227,BD!$F$3:$F$5001,"&lt;&gt;")=0,"",SUMIFS(BD!$F$3:$F$5001,BD!$A$3:$A$5001,K$3,BD!$B$3:$B$5001,$A$227)))</f>
        <v/>
      </c>
      <c r="L230" s="180" t="str">
        <f>IF(L$3="","",IF(COUNTIFS(BD!$A$3:$A$5001,L$3,BD!$B$3:$B$5001,$A$227,BD!$F$3:$F$5001,"&lt;&gt;")=0,"",SUMIFS(BD!$F$3:$F$5001,BD!$A$3:$A$5001,L$3,BD!$B$3:$B$5001,$A$227)))</f>
        <v/>
      </c>
      <c r="M230" s="180" t="str">
        <f>IF(M$3="","",IF(COUNTIFS(BD!$A$3:$A$5001,M$3,BD!$B$3:$B$5001,$A$227,BD!$F$3:$F$5001,"&lt;&gt;")=0,"",SUMIFS(BD!$F$3:$F$5001,BD!$A$3:$A$5001,M$3,BD!$B$3:$B$5001,$A$227)))</f>
        <v/>
      </c>
      <c r="N230" s="180" t="str">
        <f>IF(N$3="","",IF(COUNTIFS(BD!$A$3:$A$5001,N$3,BD!$B$3:$B$5001,$A$227,BD!$F$3:$F$5001,"&lt;&gt;")=0,"",SUMIFS(BD!$F$3:$F$5001,BD!$A$3:$A$5001,N$3,BD!$B$3:$B$5001,$A$227)))</f>
        <v/>
      </c>
      <c r="O230" s="180" t="str">
        <f>IF(O$3="","",IF(COUNTIFS(BD!$A$3:$A$5001,O$3,BD!$B$3:$B$5001,$A$227,BD!$F$3:$F$5001,"&lt;&gt;")=0,"",SUMIFS(BD!$F$3:$F$5001,BD!$A$3:$A$5001,O$3,BD!$B$3:$B$5001,$A$227)))</f>
        <v/>
      </c>
      <c r="P230" s="180" t="str">
        <f>IF(P$3="","",IF(COUNTIFS(BD!$A$3:$A$5001,P$3,BD!$B$3:$B$5001,$A$227,BD!$F$3:$F$5001,"&lt;&gt;")=0,"",SUMIFS(BD!$F$3:$F$5001,BD!$A$3:$A$5001,P$3,BD!$B$3:$B$5001,$A$227)))</f>
        <v/>
      </c>
      <c r="Q230" s="180" t="str">
        <f>IF(Q$3="","",IF(COUNTIFS(BD!$A$3:$A$5001,Q$3,BD!$B$3:$B$5001,$A$227,BD!$F$3:$F$5001,"&lt;&gt;")=0,"",SUMIFS(BD!$F$3:$F$5001,BD!$A$3:$A$5001,Q$3,BD!$B$3:$B$5001,$A$227)))</f>
        <v/>
      </c>
      <c r="R230" s="180" t="str">
        <f>IF(R$3="","",IF(COUNTIFS(BD!$A$3:$A$5001,R$3,BD!$B$3:$B$5001,$A$227,BD!$F$3:$F$5001,"&lt;&gt;")=0,"",SUMIFS(BD!$F$3:$F$5001,BD!$A$3:$A$5001,R$3,BD!$B$3:$B$5001,$A$227)))</f>
        <v/>
      </c>
      <c r="S230" s="180" t="str">
        <f>IF(S$3="","",IF(COUNTIFS(BD!$A$3:$A$5001,S$3,BD!$B$3:$B$5001,$A$227,BD!$F$3:$F$5001,"&lt;&gt;")=0,"",SUMIFS(BD!$F$3:$F$5001,BD!$A$3:$A$5001,S$3,BD!$B$3:$B$5001,$A$227)))</f>
        <v/>
      </c>
      <c r="T230" s="180" t="str">
        <f>IF(T$3="","",IF(COUNTIFS(BD!$A$3:$A$5001,T$3,BD!$B$3:$B$5001,$A$227,BD!$F$3:$F$5001,"&lt;&gt;")=0,"",SUMIFS(BD!$F$3:$F$5001,BD!$A$3:$A$5001,T$3,BD!$B$3:$B$5001,$A$227)))</f>
        <v/>
      </c>
      <c r="U230" s="180" t="str">
        <f>IF(U$3="","",IF(COUNTIFS(BD!$A$3:$A$5001,U$3,BD!$B$3:$B$5001,$A$227,BD!$F$3:$F$5001,"&lt;&gt;")=0,"",SUMIFS(BD!$F$3:$F$5001,BD!$A$3:$A$5001,U$3,BD!$B$3:$B$5001,$A$227)))</f>
        <v/>
      </c>
      <c r="V230" s="180" t="str">
        <f>IF(V$3="","",IF(COUNTIFS(BD!$A$3:$A$5001,V$3,BD!$B$3:$B$5001,$A$227,BD!$F$3:$F$5001,"&lt;&gt;")=0,"",SUMIFS(BD!$F$3:$F$5001,BD!$A$3:$A$5001,V$3,BD!$B$3:$B$5001,$A$227)))</f>
        <v/>
      </c>
      <c r="W230" s="180" t="str">
        <f>IF(W$3="","",IF(COUNTIFS(BD!$A$3:$A$5001,W$3,BD!$B$3:$B$5001,$A$227,BD!$F$3:$F$5001,"&lt;&gt;")=0,"",SUMIFS(BD!$F$3:$F$5001,BD!$A$3:$A$5001,W$3,BD!$B$3:$B$5001,$A$227)))</f>
        <v/>
      </c>
      <c r="X230" s="180" t="str">
        <f>IF(X$3="","",IF(COUNTIFS(BD!$A$3:$A$5001,X$3,BD!$B$3:$B$5001,$A$227,BD!$F$3:$F$5001,"&lt;&gt;")=0,"",SUMIFS(BD!$F$3:$F$5001,BD!$A$3:$A$5001,X$3,BD!$B$3:$B$5001,$A$227)))</f>
        <v/>
      </c>
      <c r="Y230" s="180" t="str">
        <f>IF(Y$3="","",IF(COUNTIFS(BD!$A$3:$A$5001,Y$3,BD!$B$3:$B$5001,$A$227,BD!$F$3:$F$5001,"&lt;&gt;")=0,"",SUMIFS(BD!$F$3:$F$5001,BD!$A$3:$A$5001,Y$3,BD!$B$3:$B$5001,$A$227)))</f>
        <v/>
      </c>
      <c r="Z230" s="180" t="str">
        <f>IF(Z$3="","",IF(COUNTIFS(BD!$A$3:$A$5001,Z$3,BD!$B$3:$B$5001,$A$227,BD!$F$3:$F$5001,"&lt;&gt;")=0,"",SUMIFS(BD!$F$3:$F$5001,BD!$A$3:$A$5001,Z$3,BD!$B$3:$B$5001,$A$227)))</f>
        <v/>
      </c>
      <c r="AA230" s="180" t="str">
        <f>IF(AA$3="","",IF(COUNTIFS(BD!$A$3:$A$5001,AA$3,BD!$B$3:$B$5001,$A$227,BD!$F$3:$F$5001,"&lt;&gt;")=0,"",SUMIFS(BD!$F$3:$F$5001,BD!$A$3:$A$5001,AA$3,BD!$B$3:$B$5001,$A$227)))</f>
        <v/>
      </c>
      <c r="AB230" s="180" t="str">
        <f>IF(AB$3="","",IF(COUNTIFS(BD!$A$3:$A$5001,AB$3,BD!$B$3:$B$5001,$A$227,BD!$F$3:$F$5001,"&lt;&gt;")=0,"",SUMIFS(BD!$F$3:$F$5001,BD!$A$3:$A$5001,AB$3,BD!$B$3:$B$5001,$A$227)))</f>
        <v/>
      </c>
      <c r="AC230" s="180" t="str">
        <f>IF(AC$3="","",IF(COUNTIFS(BD!$A$3:$A$5001,AC$3,BD!$B$3:$B$5001,$A$227,BD!$F$3:$F$5001,"&lt;&gt;")=0,"",SUMIFS(BD!$F$3:$F$5001,BD!$A$3:$A$5001,AC$3,BD!$B$3:$B$5001,$A$227)))</f>
        <v/>
      </c>
      <c r="AD230" s="180" t="str">
        <f>IF(AD$3="","",IF(COUNTIFS(BD!$A$3:$A$5001,AD$3,BD!$B$3:$B$5001,$A$227,BD!$F$3:$F$5001,"&lt;&gt;")=0,"",SUMIFS(BD!$F$3:$F$5001,BD!$A$3:$A$5001,AD$3,BD!$B$3:$B$5001,$A$227)))</f>
        <v/>
      </c>
      <c r="AE230" s="180" t="str">
        <f>IF(AE$3="","",IF(COUNTIFS(BD!$A$3:$A$5001,AE$3,BD!$B$3:$B$5001,$A$227,BD!$F$3:$F$5001,"&lt;&gt;")=0,"",SUMIFS(BD!$F$3:$F$5001,BD!$A$3:$A$5001,AE$3,BD!$B$3:$B$5001,$A$227)))</f>
        <v/>
      </c>
      <c r="AF230" s="180" t="str">
        <f>IF(AF$3="","",IF(COUNTIFS(BD!$A$3:$A$5001,AF$3,BD!$B$3:$B$5001,$A$227,BD!$F$3:$F$5001,"&lt;&gt;")=0,"",SUMIFS(BD!$F$3:$F$5001,BD!$A$3:$A$5001,AF$3,BD!$B$3:$B$5001,$A$227)))</f>
        <v/>
      </c>
      <c r="AG230" s="180" t="str">
        <f>IF(AG$3="","",IF(COUNTIFS(BD!$A$3:$A$5001,AG$3,BD!$B$3:$B$5001,$A$227,BD!$F$3:$F$5001,"&lt;&gt;")=0,"",SUMIFS(BD!$F$3:$F$5001,BD!$A$3:$A$5001,AG$3,BD!$B$3:$B$5001,$A$227)))</f>
        <v/>
      </c>
      <c r="AH230" s="180" t="str">
        <f>IF(AH$3="","",IF(COUNTIFS(BD!$A$3:$A$5001,AH$3,BD!$B$3:$B$5001,$A$227,BD!$F$3:$F$5001,"&lt;&gt;")=0,"",SUMIFS(BD!$F$3:$F$5001,BD!$A$3:$A$5001,AH$3,BD!$B$3:$B$5001,$A$227)))</f>
        <v/>
      </c>
      <c r="AI230" s="180" t="str">
        <f>IF(AI$3="","",IF(COUNTIFS(BD!$A$3:$A$5001,AI$3,BD!$B$3:$B$5001,$A$227,BD!$F$3:$F$5001,"&lt;&gt;")=0,"",SUMIFS(BD!$F$3:$F$5001,BD!$A$3:$A$5001,AI$3,BD!$B$3:$B$5001,$A$227)))</f>
        <v/>
      </c>
      <c r="AJ230" s="181" t="str">
        <f>IF(AJ$3="","",IF(COUNTIFS(BD!$A$3:$A$5001,AJ$3,BD!$B$3:$B$5001,$A$227,BD!$F$3:$F$5001,"&lt;&gt;")=0,"",SUMIFS(BD!$F$3:$F$5001,BD!$A$3:$A$5001,AJ$3,BD!$B$3:$B$5001,$A$227)))</f>
        <v/>
      </c>
      <c r="AK230" s="182" t="str">
        <f>IF(COUNT(F230:AJ230)=0,"",SUM(F230:AJ230))</f>
        <v/>
      </c>
    </row>
    <row r="231" ht="15.75" customHeight="1" hidden="1">
      <c r="A231" s="254"/>
      <c r="B231" s="245"/>
      <c r="C231" s="183" t="inlineStr">
        <is>
          <t xml:space="preserve">Pallets Movimentados</t>
        </is>
      </c>
      <c r="D231" s="184" t="str">
        <f>IFERROR(1/(1/INDEX(BD!$Y$27:$AS$27,MATCH($A$227,BD!$Y$22:$AS$22,0))),"")</f>
        <v/>
      </c>
      <c r="E231" s="185"/>
      <c r="F231" s="186" t="str">
        <f>IF(F$3="","",IF(COUNTIFS(BD!$A$3:$A$5001,F$3,BD!$B$3:$B$5001,$A$227,BD!$G$3:$G$5001,"&lt;&gt;")=0,"",SUMIFS(BD!$G$3:$G$5001,BD!$A$3:$A$5001,F$3,BD!$B$3:$B$5001,$A$227)))</f>
        <v/>
      </c>
      <c r="G231" s="187" t="str">
        <f>IF(G$3="","",IF(COUNTIFS(BD!$A$3:$A$5001,G$3,BD!$B$3:$B$5001,$A$227,BD!$G$3:$G$5001,"&lt;&gt;")=0,"",SUMIFS(BD!$G$3:$G$5001,BD!$A$3:$A$5001,G$3,BD!$B$3:$B$5001,$A$227)))</f>
        <v/>
      </c>
      <c r="H231" s="187" t="str">
        <f>IF(H$3="","",IF(COUNTIFS(BD!$A$3:$A$5001,H$3,BD!$B$3:$B$5001,$A$227,BD!$G$3:$G$5001,"&lt;&gt;")=0,"",SUMIFS(BD!$G$3:$G$5001,BD!$A$3:$A$5001,H$3,BD!$B$3:$B$5001,$A$227)))</f>
        <v/>
      </c>
      <c r="I231" s="187" t="str">
        <f>IF(I$3="","",IF(COUNTIFS(BD!$A$3:$A$5001,I$3,BD!$B$3:$B$5001,$A$227,BD!$G$3:$G$5001,"&lt;&gt;")=0,"",SUMIFS(BD!$G$3:$G$5001,BD!$A$3:$A$5001,I$3,BD!$B$3:$B$5001,$A$227)))</f>
        <v/>
      </c>
      <c r="J231" s="187" t="str">
        <f>IF(J$3="","",IF(COUNTIFS(BD!$A$3:$A$5001,J$3,BD!$B$3:$B$5001,$A$227,BD!$G$3:$G$5001,"&lt;&gt;")=0,"",SUMIFS(BD!$G$3:$G$5001,BD!$A$3:$A$5001,J$3,BD!$B$3:$B$5001,$A$227)))</f>
        <v/>
      </c>
      <c r="K231" s="187" t="str">
        <f>IF(K$3="","",IF(COUNTIFS(BD!$A$3:$A$5001,K$3,BD!$B$3:$B$5001,$A$227,BD!$G$3:$G$5001,"&lt;&gt;")=0,"",SUMIFS(BD!$G$3:$G$5001,BD!$A$3:$A$5001,K$3,BD!$B$3:$B$5001,$A$227)))</f>
        <v/>
      </c>
      <c r="L231" s="187" t="str">
        <f>IF(L$3="","",IF(COUNTIFS(BD!$A$3:$A$5001,L$3,BD!$B$3:$B$5001,$A$227,BD!$G$3:$G$5001,"&lt;&gt;")=0,"",SUMIFS(BD!$G$3:$G$5001,BD!$A$3:$A$5001,L$3,BD!$B$3:$B$5001,$A$227)))</f>
        <v/>
      </c>
      <c r="M231" s="187" t="str">
        <f>IF(M$3="","",IF(COUNTIFS(BD!$A$3:$A$5001,M$3,BD!$B$3:$B$5001,$A$227,BD!$G$3:$G$5001,"&lt;&gt;")=0,"",SUMIFS(BD!$G$3:$G$5001,BD!$A$3:$A$5001,M$3,BD!$B$3:$B$5001,$A$227)))</f>
        <v/>
      </c>
      <c r="N231" s="187" t="str">
        <f>IF(N$3="","",IF(COUNTIFS(BD!$A$3:$A$5001,N$3,BD!$B$3:$B$5001,$A$227,BD!$G$3:$G$5001,"&lt;&gt;")=0,"",SUMIFS(BD!$G$3:$G$5001,BD!$A$3:$A$5001,N$3,BD!$B$3:$B$5001,$A$227)))</f>
        <v/>
      </c>
      <c r="O231" s="187" t="str">
        <f>IF(O$3="","",IF(COUNTIFS(BD!$A$3:$A$5001,O$3,BD!$B$3:$B$5001,$A$227,BD!$G$3:$G$5001,"&lt;&gt;")=0,"",SUMIFS(BD!$G$3:$G$5001,BD!$A$3:$A$5001,O$3,BD!$B$3:$B$5001,$A$227)))</f>
        <v/>
      </c>
      <c r="P231" s="187" t="str">
        <f>IF(P$3="","",IF(COUNTIFS(BD!$A$3:$A$5001,P$3,BD!$B$3:$B$5001,$A$227,BD!$G$3:$G$5001,"&lt;&gt;")=0,"",SUMIFS(BD!$G$3:$G$5001,BD!$A$3:$A$5001,P$3,BD!$B$3:$B$5001,$A$227)))</f>
        <v/>
      </c>
      <c r="Q231" s="187" t="str">
        <f>IF(Q$3="","",IF(COUNTIFS(BD!$A$3:$A$5001,Q$3,BD!$B$3:$B$5001,$A$227,BD!$G$3:$G$5001,"&lt;&gt;")=0,"",SUMIFS(BD!$G$3:$G$5001,BD!$A$3:$A$5001,Q$3,BD!$B$3:$B$5001,$A$227)))</f>
        <v/>
      </c>
      <c r="R231" s="187" t="str">
        <f>IF(R$3="","",IF(COUNTIFS(BD!$A$3:$A$5001,R$3,BD!$B$3:$B$5001,$A$227,BD!$G$3:$G$5001,"&lt;&gt;")=0,"",SUMIFS(BD!$G$3:$G$5001,BD!$A$3:$A$5001,R$3,BD!$B$3:$B$5001,$A$227)))</f>
        <v/>
      </c>
      <c r="S231" s="187" t="str">
        <f>IF(S$3="","",IF(COUNTIFS(BD!$A$3:$A$5001,S$3,BD!$B$3:$B$5001,$A$227,BD!$G$3:$G$5001,"&lt;&gt;")=0,"",SUMIFS(BD!$G$3:$G$5001,BD!$A$3:$A$5001,S$3,BD!$B$3:$B$5001,$A$227)))</f>
        <v/>
      </c>
      <c r="T231" s="187" t="str">
        <f>IF(T$3="","",IF(COUNTIFS(BD!$A$3:$A$5001,T$3,BD!$B$3:$B$5001,$A$227,BD!$G$3:$G$5001,"&lt;&gt;")=0,"",SUMIFS(BD!$G$3:$G$5001,BD!$A$3:$A$5001,T$3,BD!$B$3:$B$5001,$A$227)))</f>
        <v/>
      </c>
      <c r="U231" s="187" t="str">
        <f>IF(U$3="","",IF(COUNTIFS(BD!$A$3:$A$5001,U$3,BD!$B$3:$B$5001,$A$227,BD!$G$3:$G$5001,"&lt;&gt;")=0,"",SUMIFS(BD!$G$3:$G$5001,BD!$A$3:$A$5001,U$3,BD!$B$3:$B$5001,$A$227)))</f>
        <v/>
      </c>
      <c r="V231" s="187" t="str">
        <f>IF(V$3="","",IF(COUNTIFS(BD!$A$3:$A$5001,V$3,BD!$B$3:$B$5001,$A$227,BD!$G$3:$G$5001,"&lt;&gt;")=0,"",SUMIFS(BD!$G$3:$G$5001,BD!$A$3:$A$5001,V$3,BD!$B$3:$B$5001,$A$227)))</f>
        <v/>
      </c>
      <c r="W231" s="187" t="str">
        <f>IF(W$3="","",IF(COUNTIFS(BD!$A$3:$A$5001,W$3,BD!$B$3:$B$5001,$A$227,BD!$G$3:$G$5001,"&lt;&gt;")=0,"",SUMIFS(BD!$G$3:$G$5001,BD!$A$3:$A$5001,W$3,BD!$B$3:$B$5001,$A$227)))</f>
        <v/>
      </c>
      <c r="X231" s="187" t="str">
        <f>IF(X$3="","",IF(COUNTIFS(BD!$A$3:$A$5001,X$3,BD!$B$3:$B$5001,$A$227,BD!$G$3:$G$5001,"&lt;&gt;")=0,"",SUMIFS(BD!$G$3:$G$5001,BD!$A$3:$A$5001,X$3,BD!$B$3:$B$5001,$A$227)))</f>
        <v/>
      </c>
      <c r="Y231" s="187" t="str">
        <f>IF(Y$3="","",IF(COUNTIFS(BD!$A$3:$A$5001,Y$3,BD!$B$3:$B$5001,$A$227,BD!$G$3:$G$5001,"&lt;&gt;")=0,"",SUMIFS(BD!$G$3:$G$5001,BD!$A$3:$A$5001,Y$3,BD!$B$3:$B$5001,$A$227)))</f>
        <v/>
      </c>
      <c r="Z231" s="187" t="str">
        <f>IF(Z$3="","",IF(COUNTIFS(BD!$A$3:$A$5001,Z$3,BD!$B$3:$B$5001,$A$227,BD!$G$3:$G$5001,"&lt;&gt;")=0,"",SUMIFS(BD!$G$3:$G$5001,BD!$A$3:$A$5001,Z$3,BD!$B$3:$B$5001,$A$227)))</f>
        <v/>
      </c>
      <c r="AA231" s="187" t="str">
        <f>IF(AA$3="","",IF(COUNTIFS(BD!$A$3:$A$5001,AA$3,BD!$B$3:$B$5001,$A$227,BD!$G$3:$G$5001,"&lt;&gt;")=0,"",SUMIFS(BD!$G$3:$G$5001,BD!$A$3:$A$5001,AA$3,BD!$B$3:$B$5001,$A$227)))</f>
        <v/>
      </c>
      <c r="AB231" s="187" t="str">
        <f>IF(AB$3="","",IF(COUNTIFS(BD!$A$3:$A$5001,AB$3,BD!$B$3:$B$5001,$A$227,BD!$G$3:$G$5001,"&lt;&gt;")=0,"",SUMIFS(BD!$G$3:$G$5001,BD!$A$3:$A$5001,AB$3,BD!$B$3:$B$5001,$A$227)))</f>
        <v/>
      </c>
      <c r="AC231" s="187" t="str">
        <f>IF(AC$3="","",IF(COUNTIFS(BD!$A$3:$A$5001,AC$3,BD!$B$3:$B$5001,$A$227,BD!$G$3:$G$5001,"&lt;&gt;")=0,"",SUMIFS(BD!$G$3:$G$5001,BD!$A$3:$A$5001,AC$3,BD!$B$3:$B$5001,$A$227)))</f>
        <v/>
      </c>
      <c r="AD231" s="187" t="str">
        <f>IF(AD$3="","",IF(COUNTIFS(BD!$A$3:$A$5001,AD$3,BD!$B$3:$B$5001,$A$227,BD!$G$3:$G$5001,"&lt;&gt;")=0,"",SUMIFS(BD!$G$3:$G$5001,BD!$A$3:$A$5001,AD$3,BD!$B$3:$B$5001,$A$227)))</f>
        <v/>
      </c>
      <c r="AE231" s="187" t="str">
        <f>IF(AE$3="","",IF(COUNTIFS(BD!$A$3:$A$5001,AE$3,BD!$B$3:$B$5001,$A$227,BD!$G$3:$G$5001,"&lt;&gt;")=0,"",SUMIFS(BD!$G$3:$G$5001,BD!$A$3:$A$5001,AE$3,BD!$B$3:$B$5001,$A$227)))</f>
        <v/>
      </c>
      <c r="AF231" s="187" t="str">
        <f>IF(AF$3="","",IF(COUNTIFS(BD!$A$3:$A$5001,AF$3,BD!$B$3:$B$5001,$A$227,BD!$G$3:$G$5001,"&lt;&gt;")=0,"",SUMIFS(BD!$G$3:$G$5001,BD!$A$3:$A$5001,AF$3,BD!$B$3:$B$5001,$A$227)))</f>
        <v/>
      </c>
      <c r="AG231" s="187" t="str">
        <f>IF(AG$3="","",IF(COUNTIFS(BD!$A$3:$A$5001,AG$3,BD!$B$3:$B$5001,$A$227,BD!$G$3:$G$5001,"&lt;&gt;")=0,"",SUMIFS(BD!$G$3:$G$5001,BD!$A$3:$A$5001,AG$3,BD!$B$3:$B$5001,$A$227)))</f>
        <v/>
      </c>
      <c r="AH231" s="187" t="str">
        <f>IF(AH$3="","",IF(COUNTIFS(BD!$A$3:$A$5001,AH$3,BD!$B$3:$B$5001,$A$227,BD!$G$3:$G$5001,"&lt;&gt;")=0,"",SUMIFS(BD!$G$3:$G$5001,BD!$A$3:$A$5001,AH$3,BD!$B$3:$B$5001,$A$227)))</f>
        <v/>
      </c>
      <c r="AI231" s="187" t="str">
        <f>IF(AI$3="","",IF(COUNTIFS(BD!$A$3:$A$5001,AI$3,BD!$B$3:$B$5001,$A$227,BD!$G$3:$G$5001,"&lt;&gt;")=0,"",SUMIFS(BD!$G$3:$G$5001,BD!$A$3:$A$5001,AI$3,BD!$B$3:$B$5001,$A$227)))</f>
        <v/>
      </c>
      <c r="AJ231" s="188" t="str">
        <f>IF(AJ$3="","",IF(COUNTIFS(BD!$A$3:$A$5001,AJ$3,BD!$B$3:$B$5001,$A$227,BD!$G$3:$G$5001,"&lt;&gt;")=0,"",SUMIFS(BD!$G$3:$G$5001,BD!$A$3:$A$5001,AJ$3,BD!$B$3:$B$5001,$A$227)))</f>
        <v/>
      </c>
      <c r="AK231" s="189" t="str">
        <f>IF(COUNT(F231:AJ231)=0,"",SUM(F231:AJ231))</f>
        <v/>
      </c>
    </row>
    <row r="232" ht="15.75" customHeight="1" hidden="1">
      <c r="A232" s="254"/>
      <c r="B232" s="246"/>
      <c r="C232" s="190" t="inlineStr">
        <is>
          <t xml:space="preserve">Toneladas Movimentadas</t>
        </is>
      </c>
      <c r="D232" s="191" t="str">
        <f>IFERROR(1/(1/INDEX(BD!$Y$28:$AS$28,MATCH($A$227,BD!$Y$22:$AS$22,0))),"")</f>
        <v/>
      </c>
      <c r="E232" s="192"/>
      <c r="F232" s="193" t="str">
        <f>IF(F$3="","",IF(COUNTIFS(BD!$A$3:$A$5001,F$3,BD!$B$3:$B$5001,$A$227,BD!$H$3:$H$5001,"&lt;&gt;")=0,"",SUMIFS(BD!$H$3:$H$5001,BD!$A$3:$A$5001,F$3,BD!$B$3:$B$5001,$A$227)))</f>
        <v/>
      </c>
      <c r="G232" s="194" t="str">
        <f>IF(G$3="","",IF(COUNTIFS(BD!$A$3:$A$5001,G$3,BD!$B$3:$B$5001,$A$227,BD!$H$3:$H$5001,"&lt;&gt;")=0,"",SUMIFS(BD!$H$3:$H$5001,BD!$A$3:$A$5001,G$3,BD!$B$3:$B$5001,$A$227)))</f>
        <v/>
      </c>
      <c r="H232" s="194" t="str">
        <f>IF(H$3="","",IF(COUNTIFS(BD!$A$3:$A$5001,H$3,BD!$B$3:$B$5001,$A$227,BD!$H$3:$H$5001,"&lt;&gt;")=0,"",SUMIFS(BD!$H$3:$H$5001,BD!$A$3:$A$5001,H$3,BD!$B$3:$B$5001,$A$227)))</f>
        <v/>
      </c>
      <c r="I232" s="194" t="str">
        <f>IF(I$3="","",IF(COUNTIFS(BD!$A$3:$A$5001,I$3,BD!$B$3:$B$5001,$A$227,BD!$H$3:$H$5001,"&lt;&gt;")=0,"",SUMIFS(BD!$H$3:$H$5001,BD!$A$3:$A$5001,I$3,BD!$B$3:$B$5001,$A$227)))</f>
        <v/>
      </c>
      <c r="J232" s="194" t="str">
        <f>IF(J$3="","",IF(COUNTIFS(BD!$A$3:$A$5001,J$3,BD!$B$3:$B$5001,$A$227,BD!$H$3:$H$5001,"&lt;&gt;")=0,"",SUMIFS(BD!$H$3:$H$5001,BD!$A$3:$A$5001,J$3,BD!$B$3:$B$5001,$A$227)))</f>
        <v/>
      </c>
      <c r="K232" s="194" t="str">
        <f>IF(K$3="","",IF(COUNTIFS(BD!$A$3:$A$5001,K$3,BD!$B$3:$B$5001,$A$227,BD!$H$3:$H$5001,"&lt;&gt;")=0,"",SUMIFS(BD!$H$3:$H$5001,BD!$A$3:$A$5001,K$3,BD!$B$3:$B$5001,$A$227)))</f>
        <v/>
      </c>
      <c r="L232" s="194" t="str">
        <f>IF(L$3="","",IF(COUNTIFS(BD!$A$3:$A$5001,L$3,BD!$B$3:$B$5001,$A$227,BD!$H$3:$H$5001,"&lt;&gt;")=0,"",SUMIFS(BD!$H$3:$H$5001,BD!$A$3:$A$5001,L$3,BD!$B$3:$B$5001,$A$227)))</f>
        <v/>
      </c>
      <c r="M232" s="194" t="str">
        <f>IF(M$3="","",IF(COUNTIFS(BD!$A$3:$A$5001,M$3,BD!$B$3:$B$5001,$A$227,BD!$H$3:$H$5001,"&lt;&gt;")=0,"",SUMIFS(BD!$H$3:$H$5001,BD!$A$3:$A$5001,M$3,BD!$B$3:$B$5001,$A$227)))</f>
        <v/>
      </c>
      <c r="N232" s="194" t="str">
        <f>IF(N$3="","",IF(COUNTIFS(BD!$A$3:$A$5001,N$3,BD!$B$3:$B$5001,$A$227,BD!$H$3:$H$5001,"&lt;&gt;")=0,"",SUMIFS(BD!$H$3:$H$5001,BD!$A$3:$A$5001,N$3,BD!$B$3:$B$5001,$A$227)))</f>
        <v/>
      </c>
      <c r="O232" s="194" t="str">
        <f>IF(O$3="","",IF(COUNTIFS(BD!$A$3:$A$5001,O$3,BD!$B$3:$B$5001,$A$227,BD!$H$3:$H$5001,"&lt;&gt;")=0,"",SUMIFS(BD!$H$3:$H$5001,BD!$A$3:$A$5001,O$3,BD!$B$3:$B$5001,$A$227)))</f>
        <v/>
      </c>
      <c r="P232" s="194" t="str">
        <f>IF(P$3="","",IF(COUNTIFS(BD!$A$3:$A$5001,P$3,BD!$B$3:$B$5001,$A$227,BD!$H$3:$H$5001,"&lt;&gt;")=0,"",SUMIFS(BD!$H$3:$H$5001,BD!$A$3:$A$5001,P$3,BD!$B$3:$B$5001,$A$227)))</f>
        <v/>
      </c>
      <c r="Q232" s="194" t="str">
        <f>IF(Q$3="","",IF(COUNTIFS(BD!$A$3:$A$5001,Q$3,BD!$B$3:$B$5001,$A$227,BD!$H$3:$H$5001,"&lt;&gt;")=0,"",SUMIFS(BD!$H$3:$H$5001,BD!$A$3:$A$5001,Q$3,BD!$B$3:$B$5001,$A$227)))</f>
        <v/>
      </c>
      <c r="R232" s="194" t="str">
        <f>IF(R$3="","",IF(COUNTIFS(BD!$A$3:$A$5001,R$3,BD!$B$3:$B$5001,$A$227,BD!$H$3:$H$5001,"&lt;&gt;")=0,"",SUMIFS(BD!$H$3:$H$5001,BD!$A$3:$A$5001,R$3,BD!$B$3:$B$5001,$A$227)))</f>
        <v/>
      </c>
      <c r="S232" s="194" t="str">
        <f>IF(S$3="","",IF(COUNTIFS(BD!$A$3:$A$5001,S$3,BD!$B$3:$B$5001,$A$227,BD!$H$3:$H$5001,"&lt;&gt;")=0,"",SUMIFS(BD!$H$3:$H$5001,BD!$A$3:$A$5001,S$3,BD!$B$3:$B$5001,$A$227)))</f>
        <v/>
      </c>
      <c r="T232" s="194" t="str">
        <f>IF(T$3="","",IF(COUNTIFS(BD!$A$3:$A$5001,T$3,BD!$B$3:$B$5001,$A$227,BD!$H$3:$H$5001,"&lt;&gt;")=0,"",SUMIFS(BD!$H$3:$H$5001,BD!$A$3:$A$5001,T$3,BD!$B$3:$B$5001,$A$227)))</f>
        <v/>
      </c>
      <c r="U232" s="194" t="str">
        <f>IF(U$3="","",IF(COUNTIFS(BD!$A$3:$A$5001,U$3,BD!$B$3:$B$5001,$A$227,BD!$H$3:$H$5001,"&lt;&gt;")=0,"",SUMIFS(BD!$H$3:$H$5001,BD!$A$3:$A$5001,U$3,BD!$B$3:$B$5001,$A$227)))</f>
        <v/>
      </c>
      <c r="V232" s="194" t="str">
        <f>IF(V$3="","",IF(COUNTIFS(BD!$A$3:$A$5001,V$3,BD!$B$3:$B$5001,$A$227,BD!$H$3:$H$5001,"&lt;&gt;")=0,"",SUMIFS(BD!$H$3:$H$5001,BD!$A$3:$A$5001,V$3,BD!$B$3:$B$5001,$A$227)))</f>
        <v/>
      </c>
      <c r="W232" s="194" t="str">
        <f>IF(W$3="","",IF(COUNTIFS(BD!$A$3:$A$5001,W$3,BD!$B$3:$B$5001,$A$227,BD!$H$3:$H$5001,"&lt;&gt;")=0,"",SUMIFS(BD!$H$3:$H$5001,BD!$A$3:$A$5001,W$3,BD!$B$3:$B$5001,$A$227)))</f>
        <v/>
      </c>
      <c r="X232" s="194" t="str">
        <f>IF(X$3="","",IF(COUNTIFS(BD!$A$3:$A$5001,X$3,BD!$B$3:$B$5001,$A$227,BD!$H$3:$H$5001,"&lt;&gt;")=0,"",SUMIFS(BD!$H$3:$H$5001,BD!$A$3:$A$5001,X$3,BD!$B$3:$B$5001,$A$227)))</f>
        <v/>
      </c>
      <c r="Y232" s="194" t="str">
        <f>IF(Y$3="","",IF(COUNTIFS(BD!$A$3:$A$5001,Y$3,BD!$B$3:$B$5001,$A$227,BD!$H$3:$H$5001,"&lt;&gt;")=0,"",SUMIFS(BD!$H$3:$H$5001,BD!$A$3:$A$5001,Y$3,BD!$B$3:$B$5001,$A$227)))</f>
        <v/>
      </c>
      <c r="Z232" s="194" t="str">
        <f>IF(Z$3="","",IF(COUNTIFS(BD!$A$3:$A$5001,Z$3,BD!$B$3:$B$5001,$A$227,BD!$H$3:$H$5001,"&lt;&gt;")=0,"",SUMIFS(BD!$H$3:$H$5001,BD!$A$3:$A$5001,Z$3,BD!$B$3:$B$5001,$A$227)))</f>
        <v/>
      </c>
      <c r="AA232" s="194" t="str">
        <f>IF(AA$3="","",IF(COUNTIFS(BD!$A$3:$A$5001,AA$3,BD!$B$3:$B$5001,$A$227,BD!$H$3:$H$5001,"&lt;&gt;")=0,"",SUMIFS(BD!$H$3:$H$5001,BD!$A$3:$A$5001,AA$3,BD!$B$3:$B$5001,$A$227)))</f>
        <v/>
      </c>
      <c r="AB232" s="194" t="str">
        <f>IF(AB$3="","",IF(COUNTIFS(BD!$A$3:$A$5001,AB$3,BD!$B$3:$B$5001,$A$227,BD!$H$3:$H$5001,"&lt;&gt;")=0,"",SUMIFS(BD!$H$3:$H$5001,BD!$A$3:$A$5001,AB$3,BD!$B$3:$B$5001,$A$227)))</f>
        <v/>
      </c>
      <c r="AC232" s="194" t="str">
        <f>IF(AC$3="","",IF(COUNTIFS(BD!$A$3:$A$5001,AC$3,BD!$B$3:$B$5001,$A$227,BD!$H$3:$H$5001,"&lt;&gt;")=0,"",SUMIFS(BD!$H$3:$H$5001,BD!$A$3:$A$5001,AC$3,BD!$B$3:$B$5001,$A$227)))</f>
        <v/>
      </c>
      <c r="AD232" s="194" t="str">
        <f>IF(AD$3="","",IF(COUNTIFS(BD!$A$3:$A$5001,AD$3,BD!$B$3:$B$5001,$A$227,BD!$H$3:$H$5001,"&lt;&gt;")=0,"",SUMIFS(BD!$H$3:$H$5001,BD!$A$3:$A$5001,AD$3,BD!$B$3:$B$5001,$A$227)))</f>
        <v/>
      </c>
      <c r="AE232" s="194" t="str">
        <f>IF(AE$3="","",IF(COUNTIFS(BD!$A$3:$A$5001,AE$3,BD!$B$3:$B$5001,$A$227,BD!$H$3:$H$5001,"&lt;&gt;")=0,"",SUMIFS(BD!$H$3:$H$5001,BD!$A$3:$A$5001,AE$3,BD!$B$3:$B$5001,$A$227)))</f>
        <v/>
      </c>
      <c r="AF232" s="194" t="str">
        <f>IF(AF$3="","",IF(COUNTIFS(BD!$A$3:$A$5001,AF$3,BD!$B$3:$B$5001,$A$227,BD!$H$3:$H$5001,"&lt;&gt;")=0,"",SUMIFS(BD!$H$3:$H$5001,BD!$A$3:$A$5001,AF$3,BD!$B$3:$B$5001,$A$227)))</f>
        <v/>
      </c>
      <c r="AG232" s="194" t="str">
        <f>IF(AG$3="","",IF(COUNTIFS(BD!$A$3:$A$5001,AG$3,BD!$B$3:$B$5001,$A$227,BD!$H$3:$H$5001,"&lt;&gt;")=0,"",SUMIFS(BD!$H$3:$H$5001,BD!$A$3:$A$5001,AG$3,BD!$B$3:$B$5001,$A$227)))</f>
        <v/>
      </c>
      <c r="AH232" s="194" t="str">
        <f>IF(AH$3="","",IF(COUNTIFS(BD!$A$3:$A$5001,AH$3,BD!$B$3:$B$5001,$A$227,BD!$H$3:$H$5001,"&lt;&gt;")=0,"",SUMIFS(BD!$H$3:$H$5001,BD!$A$3:$A$5001,AH$3,BD!$B$3:$B$5001,$A$227)))</f>
        <v/>
      </c>
      <c r="AI232" s="194" t="str">
        <f>IF(AI$3="","",IF(COUNTIFS(BD!$A$3:$A$5001,AI$3,BD!$B$3:$B$5001,$A$227,BD!$H$3:$H$5001,"&lt;&gt;")=0,"",SUMIFS(BD!$H$3:$H$5001,BD!$A$3:$A$5001,AI$3,BD!$B$3:$B$5001,$A$227)))</f>
        <v/>
      </c>
      <c r="AJ232" s="195" t="str">
        <f>IF(AJ$3="","",IF(COUNTIFS(BD!$A$3:$A$5001,AJ$3,BD!$B$3:$B$5001,$A$227,BD!$H$3:$H$5001,"&lt;&gt;")=0,"",SUMIFS(BD!$H$3:$H$5001,BD!$A$3:$A$5001,AJ$3,BD!$B$3:$B$5001,$A$227)))</f>
        <v/>
      </c>
      <c r="AK232" s="196" t="str">
        <f>IF(COUNT(F232:AJ232)=0,"",SUM(F232:AJ232))</f>
        <v/>
      </c>
    </row>
    <row r="233" ht="15.75" customHeight="1" hidden="1">
      <c r="A233" s="254"/>
      <c r="B233" s="247" t="inlineStr">
        <is>
          <t xml:space="preserve">NC</t>
        </is>
      </c>
      <c r="C233" s="197" t="inlineStr">
        <is>
          <t xml:space="preserve">Incidentes</t>
        </is>
      </c>
      <c r="D233" s="198" t="str">
        <f>IFERROR(1/(1/INDEX(BD!$Y$29:$AS$29,MATCH($A$227,BD!$Y$22:$AS$22,0))),"")</f>
        <v/>
      </c>
      <c r="E233" s="199"/>
      <c r="F233" s="200" t="str">
        <f>IF(F$3="","",IF(COUNTIFS(BD!$A$3:$A$5001,F$3,BD!$B$3:$B$5001,$A$227,BD!$I$3:$I$5001,"&lt;&gt;")=0,"",SUMIFS(BD!$I$3:$I$5001,BD!$A$3:$A$5001,F$3,BD!$B$3:$B$5001,$A$227)))</f>
        <v/>
      </c>
      <c r="G233" s="201" t="str">
        <f>IF(G$3="","",IF(COUNTIFS(BD!$A$3:$A$5001,G$3,BD!$B$3:$B$5001,$A$227,BD!$I$3:$I$5001,"&lt;&gt;")=0,"",SUMIFS(BD!$I$3:$I$5001,BD!$A$3:$A$5001,G$3,BD!$B$3:$B$5001,$A$227)))</f>
        <v/>
      </c>
      <c r="H233" s="201" t="str">
        <f>IF(H$3="","",IF(COUNTIFS(BD!$A$3:$A$5001,H$3,BD!$B$3:$B$5001,$A$227,BD!$I$3:$I$5001,"&lt;&gt;")=0,"",SUMIFS(BD!$I$3:$I$5001,BD!$A$3:$A$5001,H$3,BD!$B$3:$B$5001,$A$227)))</f>
        <v/>
      </c>
      <c r="I233" s="201" t="str">
        <f>IF(I$3="","",IF(COUNTIFS(BD!$A$3:$A$5001,I$3,BD!$B$3:$B$5001,$A$227,BD!$I$3:$I$5001,"&lt;&gt;")=0,"",SUMIFS(BD!$I$3:$I$5001,BD!$A$3:$A$5001,I$3,BD!$B$3:$B$5001,$A$227)))</f>
        <v/>
      </c>
      <c r="J233" s="201" t="str">
        <f>IF(J$3="","",IF(COUNTIFS(BD!$A$3:$A$5001,J$3,BD!$B$3:$B$5001,$A$227,BD!$I$3:$I$5001,"&lt;&gt;")=0,"",SUMIFS(BD!$I$3:$I$5001,BD!$A$3:$A$5001,J$3,BD!$B$3:$B$5001,$A$227)))</f>
        <v/>
      </c>
      <c r="K233" s="201" t="str">
        <f>IF(K$3="","",IF(COUNTIFS(BD!$A$3:$A$5001,K$3,BD!$B$3:$B$5001,$A$227,BD!$I$3:$I$5001,"&lt;&gt;")=0,"",SUMIFS(BD!$I$3:$I$5001,BD!$A$3:$A$5001,K$3,BD!$B$3:$B$5001,$A$227)))</f>
        <v/>
      </c>
      <c r="L233" s="201" t="str">
        <f>IF(L$3="","",IF(COUNTIFS(BD!$A$3:$A$5001,L$3,BD!$B$3:$B$5001,$A$227,BD!$I$3:$I$5001,"&lt;&gt;")=0,"",SUMIFS(BD!$I$3:$I$5001,BD!$A$3:$A$5001,L$3,BD!$B$3:$B$5001,$A$227)))</f>
        <v/>
      </c>
      <c r="M233" s="201" t="str">
        <f>IF(M$3="","",IF(COUNTIFS(BD!$A$3:$A$5001,M$3,BD!$B$3:$B$5001,$A$227,BD!$I$3:$I$5001,"&lt;&gt;")=0,"",SUMIFS(BD!$I$3:$I$5001,BD!$A$3:$A$5001,M$3,BD!$B$3:$B$5001,$A$227)))</f>
        <v/>
      </c>
      <c r="N233" s="201" t="str">
        <f>IF(N$3="","",IF(COUNTIFS(BD!$A$3:$A$5001,N$3,BD!$B$3:$B$5001,$A$227,BD!$I$3:$I$5001,"&lt;&gt;")=0,"",SUMIFS(BD!$I$3:$I$5001,BD!$A$3:$A$5001,N$3,BD!$B$3:$B$5001,$A$227)))</f>
        <v/>
      </c>
      <c r="O233" s="201" t="str">
        <f>IF(O$3="","",IF(COUNTIFS(BD!$A$3:$A$5001,O$3,BD!$B$3:$B$5001,$A$227,BD!$I$3:$I$5001,"&lt;&gt;")=0,"",SUMIFS(BD!$I$3:$I$5001,BD!$A$3:$A$5001,O$3,BD!$B$3:$B$5001,$A$227)))</f>
        <v/>
      </c>
      <c r="P233" s="201" t="str">
        <f>IF(P$3="","",IF(COUNTIFS(BD!$A$3:$A$5001,P$3,BD!$B$3:$B$5001,$A$227,BD!$I$3:$I$5001,"&lt;&gt;")=0,"",SUMIFS(BD!$I$3:$I$5001,BD!$A$3:$A$5001,P$3,BD!$B$3:$B$5001,$A$227)))</f>
        <v/>
      </c>
      <c r="Q233" s="201" t="str">
        <f>IF(Q$3="","",IF(COUNTIFS(BD!$A$3:$A$5001,Q$3,BD!$B$3:$B$5001,$A$227,BD!$I$3:$I$5001,"&lt;&gt;")=0,"",SUMIFS(BD!$I$3:$I$5001,BD!$A$3:$A$5001,Q$3,BD!$B$3:$B$5001,$A$227)))</f>
        <v/>
      </c>
      <c r="R233" s="201" t="str">
        <f>IF(R$3="","",IF(COUNTIFS(BD!$A$3:$A$5001,R$3,BD!$B$3:$B$5001,$A$227,BD!$I$3:$I$5001,"&lt;&gt;")=0,"",SUMIFS(BD!$I$3:$I$5001,BD!$A$3:$A$5001,R$3,BD!$B$3:$B$5001,$A$227)))</f>
        <v/>
      </c>
      <c r="S233" s="201" t="str">
        <f>IF(S$3="","",IF(COUNTIFS(BD!$A$3:$A$5001,S$3,BD!$B$3:$B$5001,$A$227,BD!$I$3:$I$5001,"&lt;&gt;")=0,"",SUMIFS(BD!$I$3:$I$5001,BD!$A$3:$A$5001,S$3,BD!$B$3:$B$5001,$A$227)))</f>
        <v/>
      </c>
      <c r="T233" s="201" t="str">
        <f>IF(T$3="","",IF(COUNTIFS(BD!$A$3:$A$5001,T$3,BD!$B$3:$B$5001,$A$227,BD!$I$3:$I$5001,"&lt;&gt;")=0,"",SUMIFS(BD!$I$3:$I$5001,BD!$A$3:$A$5001,T$3,BD!$B$3:$B$5001,$A$227)))</f>
        <v/>
      </c>
      <c r="U233" s="201" t="str">
        <f>IF(U$3="","",IF(COUNTIFS(BD!$A$3:$A$5001,U$3,BD!$B$3:$B$5001,$A$227,BD!$I$3:$I$5001,"&lt;&gt;")=0,"",SUMIFS(BD!$I$3:$I$5001,BD!$A$3:$A$5001,U$3,BD!$B$3:$B$5001,$A$227)))</f>
        <v/>
      </c>
      <c r="V233" s="201" t="str">
        <f>IF(V$3="","",IF(COUNTIFS(BD!$A$3:$A$5001,V$3,BD!$B$3:$B$5001,$A$227,BD!$I$3:$I$5001,"&lt;&gt;")=0,"",SUMIFS(BD!$I$3:$I$5001,BD!$A$3:$A$5001,V$3,BD!$B$3:$B$5001,$A$227)))</f>
        <v/>
      </c>
      <c r="W233" s="201" t="str">
        <f>IF(W$3="","",IF(COUNTIFS(BD!$A$3:$A$5001,W$3,BD!$B$3:$B$5001,$A$227,BD!$I$3:$I$5001,"&lt;&gt;")=0,"",SUMIFS(BD!$I$3:$I$5001,BD!$A$3:$A$5001,W$3,BD!$B$3:$B$5001,$A$227)))</f>
        <v/>
      </c>
      <c r="X233" s="201" t="str">
        <f>IF(X$3="","",IF(COUNTIFS(BD!$A$3:$A$5001,X$3,BD!$B$3:$B$5001,$A$227,BD!$I$3:$I$5001,"&lt;&gt;")=0,"",SUMIFS(BD!$I$3:$I$5001,BD!$A$3:$A$5001,X$3,BD!$B$3:$B$5001,$A$227)))</f>
        <v/>
      </c>
      <c r="Y233" s="201" t="str">
        <f>IF(Y$3="","",IF(COUNTIFS(BD!$A$3:$A$5001,Y$3,BD!$B$3:$B$5001,$A$227,BD!$I$3:$I$5001,"&lt;&gt;")=0,"",SUMIFS(BD!$I$3:$I$5001,BD!$A$3:$A$5001,Y$3,BD!$B$3:$B$5001,$A$227)))</f>
        <v/>
      </c>
      <c r="Z233" s="201" t="str">
        <f>IF(Z$3="","",IF(COUNTIFS(BD!$A$3:$A$5001,Z$3,BD!$B$3:$B$5001,$A$227,BD!$I$3:$I$5001,"&lt;&gt;")=0,"",SUMIFS(BD!$I$3:$I$5001,BD!$A$3:$A$5001,Z$3,BD!$B$3:$B$5001,$A$227)))</f>
        <v/>
      </c>
      <c r="AA233" s="201" t="str">
        <f>IF(AA$3="","",IF(COUNTIFS(BD!$A$3:$A$5001,AA$3,BD!$B$3:$B$5001,$A$227,BD!$I$3:$I$5001,"&lt;&gt;")=0,"",SUMIFS(BD!$I$3:$I$5001,BD!$A$3:$A$5001,AA$3,BD!$B$3:$B$5001,$A$227)))</f>
        <v/>
      </c>
      <c r="AB233" s="201" t="str">
        <f>IF(AB$3="","",IF(COUNTIFS(BD!$A$3:$A$5001,AB$3,BD!$B$3:$B$5001,$A$227,BD!$I$3:$I$5001,"&lt;&gt;")=0,"",SUMIFS(BD!$I$3:$I$5001,BD!$A$3:$A$5001,AB$3,BD!$B$3:$B$5001,$A$227)))</f>
        <v/>
      </c>
      <c r="AC233" s="201" t="str">
        <f>IF(AC$3="","",IF(COUNTIFS(BD!$A$3:$A$5001,AC$3,BD!$B$3:$B$5001,$A$227,BD!$I$3:$I$5001,"&lt;&gt;")=0,"",SUMIFS(BD!$I$3:$I$5001,BD!$A$3:$A$5001,AC$3,BD!$B$3:$B$5001,$A$227)))</f>
        <v/>
      </c>
      <c r="AD233" s="201" t="str">
        <f>IF(AD$3="","",IF(COUNTIFS(BD!$A$3:$A$5001,AD$3,BD!$B$3:$B$5001,$A$227,BD!$I$3:$I$5001,"&lt;&gt;")=0,"",SUMIFS(BD!$I$3:$I$5001,BD!$A$3:$A$5001,AD$3,BD!$B$3:$B$5001,$A$227)))</f>
        <v/>
      </c>
      <c r="AE233" s="201" t="str">
        <f>IF(AE$3="","",IF(COUNTIFS(BD!$A$3:$A$5001,AE$3,BD!$B$3:$B$5001,$A$227,BD!$I$3:$I$5001,"&lt;&gt;")=0,"",SUMIFS(BD!$I$3:$I$5001,BD!$A$3:$A$5001,AE$3,BD!$B$3:$B$5001,$A$227)))</f>
        <v/>
      </c>
      <c r="AF233" s="201" t="str">
        <f>IF(AF$3="","",IF(COUNTIFS(BD!$A$3:$A$5001,AF$3,BD!$B$3:$B$5001,$A$227,BD!$I$3:$I$5001,"&lt;&gt;")=0,"",SUMIFS(BD!$I$3:$I$5001,BD!$A$3:$A$5001,AF$3,BD!$B$3:$B$5001,$A$227)))</f>
        <v/>
      </c>
      <c r="AG233" s="201" t="str">
        <f>IF(AG$3="","",IF(COUNTIFS(BD!$A$3:$A$5001,AG$3,BD!$B$3:$B$5001,$A$227,BD!$I$3:$I$5001,"&lt;&gt;")=0,"",SUMIFS(BD!$I$3:$I$5001,BD!$A$3:$A$5001,AG$3,BD!$B$3:$B$5001,$A$227)))</f>
        <v/>
      </c>
      <c r="AH233" s="201" t="str">
        <f>IF(AH$3="","",IF(COUNTIFS(BD!$A$3:$A$5001,AH$3,BD!$B$3:$B$5001,$A$227,BD!$I$3:$I$5001,"&lt;&gt;")=0,"",SUMIFS(BD!$I$3:$I$5001,BD!$A$3:$A$5001,AH$3,BD!$B$3:$B$5001,$A$227)))</f>
        <v/>
      </c>
      <c r="AI233" s="201" t="str">
        <f>IF(AI$3="","",IF(COUNTIFS(BD!$A$3:$A$5001,AI$3,BD!$B$3:$B$5001,$A$227,BD!$I$3:$I$5001,"&lt;&gt;")=0,"",SUMIFS(BD!$I$3:$I$5001,BD!$A$3:$A$5001,AI$3,BD!$B$3:$B$5001,$A$227)))</f>
        <v/>
      </c>
      <c r="AJ233" s="202" t="str">
        <f>IF(AJ$3="","",IF(COUNTIFS(BD!$A$3:$A$5001,AJ$3,BD!$B$3:$B$5001,$A$227,BD!$I$3:$I$5001,"&lt;&gt;")=0,"",SUMIFS(BD!$I$3:$I$5001,BD!$A$3:$A$5001,AJ$3,BD!$B$3:$B$5001,$A$227)))</f>
        <v/>
      </c>
      <c r="AK233" s="203" t="str">
        <f>IF(COUNT(F233:AJ233)=0,"",SUM(F233:AJ233))</f>
        <v/>
      </c>
    </row>
    <row r="234" ht="15.75" customHeight="1" hidden="1">
      <c r="A234" s="254"/>
      <c r="B234" s="248"/>
      <c r="C234" s="204" t="inlineStr">
        <is>
          <t xml:space="preserve">No show</t>
        </is>
      </c>
      <c r="D234" s="205" t="str">
        <f>IFERROR(1/(1/INDEX(BD!$Y$30:$AS$30,MATCH($A$227,BD!$Y$22:$AS$22,0))),"")</f>
        <v/>
      </c>
      <c r="E234" s="206"/>
      <c r="F234" s="207" t="str">
        <f>IF(F$3="","",IF(COUNTIFS(BD!$A$3:$A$5001,F$3,BD!$B$3:$B$5001,$A$227,BD!$J$3:$J$5001,"&lt;&gt;")=0,"",SUMIFS(BD!$J$3:$J$5001,BD!$A$3:$A$5001,F$3,BD!$B$3:$B$5001,$A$227)))</f>
        <v/>
      </c>
      <c r="G234" s="208" t="str">
        <f>IF(G$3="","",IF(COUNTIFS(BD!$A$3:$A$5001,G$3,BD!$B$3:$B$5001,$A$227,BD!$J$3:$J$5001,"&lt;&gt;")=0,"",SUMIFS(BD!$J$3:$J$5001,BD!$A$3:$A$5001,G$3,BD!$B$3:$B$5001,$A$227)))</f>
        <v/>
      </c>
      <c r="H234" s="208" t="str">
        <f>IF(H$3="","",IF(COUNTIFS(BD!$A$3:$A$5001,H$3,BD!$B$3:$B$5001,$A$227,BD!$J$3:$J$5001,"&lt;&gt;")=0,"",SUMIFS(BD!$J$3:$J$5001,BD!$A$3:$A$5001,H$3,BD!$B$3:$B$5001,$A$227)))</f>
        <v/>
      </c>
      <c r="I234" s="208" t="str">
        <f>IF(I$3="","",IF(COUNTIFS(BD!$A$3:$A$5001,I$3,BD!$B$3:$B$5001,$A$227,BD!$J$3:$J$5001,"&lt;&gt;")=0,"",SUMIFS(BD!$J$3:$J$5001,BD!$A$3:$A$5001,I$3,BD!$B$3:$B$5001,$A$227)))</f>
        <v/>
      </c>
      <c r="J234" s="208" t="str">
        <f>IF(J$3="","",IF(COUNTIFS(BD!$A$3:$A$5001,J$3,BD!$B$3:$B$5001,$A$227,BD!$J$3:$J$5001,"&lt;&gt;")=0,"",SUMIFS(BD!$J$3:$J$5001,BD!$A$3:$A$5001,J$3,BD!$B$3:$B$5001,$A$227)))</f>
        <v/>
      </c>
      <c r="K234" s="208" t="str">
        <f>IF(K$3="","",IF(COUNTIFS(BD!$A$3:$A$5001,K$3,BD!$B$3:$B$5001,$A$227,BD!$J$3:$J$5001,"&lt;&gt;")=0,"",SUMIFS(BD!$J$3:$J$5001,BD!$A$3:$A$5001,K$3,BD!$B$3:$B$5001,$A$227)))</f>
        <v/>
      </c>
      <c r="L234" s="208" t="str">
        <f>IF(L$3="","",IF(COUNTIFS(BD!$A$3:$A$5001,L$3,BD!$B$3:$B$5001,$A$227,BD!$J$3:$J$5001,"&lt;&gt;")=0,"",SUMIFS(BD!$J$3:$J$5001,BD!$A$3:$A$5001,L$3,BD!$B$3:$B$5001,$A$227)))</f>
        <v/>
      </c>
      <c r="M234" s="208" t="str">
        <f>IF(M$3="","",IF(COUNTIFS(BD!$A$3:$A$5001,M$3,BD!$B$3:$B$5001,$A$227,BD!$J$3:$J$5001,"&lt;&gt;")=0,"",SUMIFS(BD!$J$3:$J$5001,BD!$A$3:$A$5001,M$3,BD!$B$3:$B$5001,$A$227)))</f>
        <v/>
      </c>
      <c r="N234" s="208" t="str">
        <f>IF(N$3="","",IF(COUNTIFS(BD!$A$3:$A$5001,N$3,BD!$B$3:$B$5001,$A$227,BD!$J$3:$J$5001,"&lt;&gt;")=0,"",SUMIFS(BD!$J$3:$J$5001,BD!$A$3:$A$5001,N$3,BD!$B$3:$B$5001,$A$227)))</f>
        <v/>
      </c>
      <c r="O234" s="208" t="str">
        <f>IF(O$3="","",IF(COUNTIFS(BD!$A$3:$A$5001,O$3,BD!$B$3:$B$5001,$A$227,BD!$J$3:$J$5001,"&lt;&gt;")=0,"",SUMIFS(BD!$J$3:$J$5001,BD!$A$3:$A$5001,O$3,BD!$B$3:$B$5001,$A$227)))</f>
        <v/>
      </c>
      <c r="P234" s="208" t="str">
        <f>IF(P$3="","",IF(COUNTIFS(BD!$A$3:$A$5001,P$3,BD!$B$3:$B$5001,$A$227,BD!$J$3:$J$5001,"&lt;&gt;")=0,"",SUMIFS(BD!$J$3:$J$5001,BD!$A$3:$A$5001,P$3,BD!$B$3:$B$5001,$A$227)))</f>
        <v/>
      </c>
      <c r="Q234" s="208" t="str">
        <f>IF(Q$3="","",IF(COUNTIFS(BD!$A$3:$A$5001,Q$3,BD!$B$3:$B$5001,$A$227,BD!$J$3:$J$5001,"&lt;&gt;")=0,"",SUMIFS(BD!$J$3:$J$5001,BD!$A$3:$A$5001,Q$3,BD!$B$3:$B$5001,$A$227)))</f>
        <v/>
      </c>
      <c r="R234" s="208" t="str">
        <f>IF(R$3="","",IF(COUNTIFS(BD!$A$3:$A$5001,R$3,BD!$B$3:$B$5001,$A$227,BD!$J$3:$J$5001,"&lt;&gt;")=0,"",SUMIFS(BD!$J$3:$J$5001,BD!$A$3:$A$5001,R$3,BD!$B$3:$B$5001,$A$227)))</f>
        <v/>
      </c>
      <c r="S234" s="208" t="str">
        <f>IF(S$3="","",IF(COUNTIFS(BD!$A$3:$A$5001,S$3,BD!$B$3:$B$5001,$A$227,BD!$J$3:$J$5001,"&lt;&gt;")=0,"",SUMIFS(BD!$J$3:$J$5001,BD!$A$3:$A$5001,S$3,BD!$B$3:$B$5001,$A$227)))</f>
        <v/>
      </c>
      <c r="T234" s="208" t="str">
        <f>IF(T$3="","",IF(COUNTIFS(BD!$A$3:$A$5001,T$3,BD!$B$3:$B$5001,$A$227,BD!$J$3:$J$5001,"&lt;&gt;")=0,"",SUMIFS(BD!$J$3:$J$5001,BD!$A$3:$A$5001,T$3,BD!$B$3:$B$5001,$A$227)))</f>
        <v/>
      </c>
      <c r="U234" s="208" t="str">
        <f>IF(U$3="","",IF(COUNTIFS(BD!$A$3:$A$5001,U$3,BD!$B$3:$B$5001,$A$227,BD!$J$3:$J$5001,"&lt;&gt;")=0,"",SUMIFS(BD!$J$3:$J$5001,BD!$A$3:$A$5001,U$3,BD!$B$3:$B$5001,$A$227)))</f>
        <v/>
      </c>
      <c r="V234" s="208" t="str">
        <f>IF(V$3="","",IF(COUNTIFS(BD!$A$3:$A$5001,V$3,BD!$B$3:$B$5001,$A$227,BD!$J$3:$J$5001,"&lt;&gt;")=0,"",SUMIFS(BD!$J$3:$J$5001,BD!$A$3:$A$5001,V$3,BD!$B$3:$B$5001,$A$227)))</f>
        <v/>
      </c>
      <c r="W234" s="208" t="str">
        <f>IF(W$3="","",IF(COUNTIFS(BD!$A$3:$A$5001,W$3,BD!$B$3:$B$5001,$A$227,BD!$J$3:$J$5001,"&lt;&gt;")=0,"",SUMIFS(BD!$J$3:$J$5001,BD!$A$3:$A$5001,W$3,BD!$B$3:$B$5001,$A$227)))</f>
        <v/>
      </c>
      <c r="X234" s="208" t="str">
        <f>IF(X$3="","",IF(COUNTIFS(BD!$A$3:$A$5001,X$3,BD!$B$3:$B$5001,$A$227,BD!$J$3:$J$5001,"&lt;&gt;")=0,"",SUMIFS(BD!$J$3:$J$5001,BD!$A$3:$A$5001,X$3,BD!$B$3:$B$5001,$A$227)))</f>
        <v/>
      </c>
      <c r="Y234" s="208" t="str">
        <f>IF(Y$3="","",IF(COUNTIFS(BD!$A$3:$A$5001,Y$3,BD!$B$3:$B$5001,$A$227,BD!$J$3:$J$5001,"&lt;&gt;")=0,"",SUMIFS(BD!$J$3:$J$5001,BD!$A$3:$A$5001,Y$3,BD!$B$3:$B$5001,$A$227)))</f>
        <v/>
      </c>
      <c r="Z234" s="208" t="str">
        <f>IF(Z$3="","",IF(COUNTIFS(BD!$A$3:$A$5001,Z$3,BD!$B$3:$B$5001,$A$227,BD!$J$3:$J$5001,"&lt;&gt;")=0,"",SUMIFS(BD!$J$3:$J$5001,BD!$A$3:$A$5001,Z$3,BD!$B$3:$B$5001,$A$227)))</f>
        <v/>
      </c>
      <c r="AA234" s="208" t="str">
        <f>IF(AA$3="","",IF(COUNTIFS(BD!$A$3:$A$5001,AA$3,BD!$B$3:$B$5001,$A$227,BD!$J$3:$J$5001,"&lt;&gt;")=0,"",SUMIFS(BD!$J$3:$J$5001,BD!$A$3:$A$5001,AA$3,BD!$B$3:$B$5001,$A$227)))</f>
        <v/>
      </c>
      <c r="AB234" s="208" t="str">
        <f>IF(AB$3="","",IF(COUNTIFS(BD!$A$3:$A$5001,AB$3,BD!$B$3:$B$5001,$A$227,BD!$J$3:$J$5001,"&lt;&gt;")=0,"",SUMIFS(BD!$J$3:$J$5001,BD!$A$3:$A$5001,AB$3,BD!$B$3:$B$5001,$A$227)))</f>
        <v/>
      </c>
      <c r="AC234" s="208" t="str">
        <f>IF(AC$3="","",IF(COUNTIFS(BD!$A$3:$A$5001,AC$3,BD!$B$3:$B$5001,$A$227,BD!$J$3:$J$5001,"&lt;&gt;")=0,"",SUMIFS(BD!$J$3:$J$5001,BD!$A$3:$A$5001,AC$3,BD!$B$3:$B$5001,$A$227)))</f>
        <v/>
      </c>
      <c r="AD234" s="208" t="str">
        <f>IF(AD$3="","",IF(COUNTIFS(BD!$A$3:$A$5001,AD$3,BD!$B$3:$B$5001,$A$227,BD!$J$3:$J$5001,"&lt;&gt;")=0,"",SUMIFS(BD!$J$3:$J$5001,BD!$A$3:$A$5001,AD$3,BD!$B$3:$B$5001,$A$227)))</f>
        <v/>
      </c>
      <c r="AE234" s="208" t="str">
        <f>IF(AE$3="","",IF(COUNTIFS(BD!$A$3:$A$5001,AE$3,BD!$B$3:$B$5001,$A$227,BD!$J$3:$J$5001,"&lt;&gt;")=0,"",SUMIFS(BD!$J$3:$J$5001,BD!$A$3:$A$5001,AE$3,BD!$B$3:$B$5001,$A$227)))</f>
        <v/>
      </c>
      <c r="AF234" s="208" t="str">
        <f>IF(AF$3="","",IF(COUNTIFS(BD!$A$3:$A$5001,AF$3,BD!$B$3:$B$5001,$A$227,BD!$J$3:$J$5001,"&lt;&gt;")=0,"",SUMIFS(BD!$J$3:$J$5001,BD!$A$3:$A$5001,AF$3,BD!$B$3:$B$5001,$A$227)))</f>
        <v/>
      </c>
      <c r="AG234" s="208" t="str">
        <f>IF(AG$3="","",IF(COUNTIFS(BD!$A$3:$A$5001,AG$3,BD!$B$3:$B$5001,$A$227,BD!$J$3:$J$5001,"&lt;&gt;")=0,"",SUMIFS(BD!$J$3:$J$5001,BD!$A$3:$A$5001,AG$3,BD!$B$3:$B$5001,$A$227)))</f>
        <v/>
      </c>
      <c r="AH234" s="208" t="str">
        <f>IF(AH$3="","",IF(COUNTIFS(BD!$A$3:$A$5001,AH$3,BD!$B$3:$B$5001,$A$227,BD!$J$3:$J$5001,"&lt;&gt;")=0,"",SUMIFS(BD!$J$3:$J$5001,BD!$A$3:$A$5001,AH$3,BD!$B$3:$B$5001,$A$227)))</f>
        <v/>
      </c>
      <c r="AI234" s="208" t="str">
        <f>IF(AI$3="","",IF(COUNTIFS(BD!$A$3:$A$5001,AI$3,BD!$B$3:$B$5001,$A$227,BD!$J$3:$J$5001,"&lt;&gt;")=0,"",SUMIFS(BD!$J$3:$J$5001,BD!$A$3:$A$5001,AI$3,BD!$B$3:$B$5001,$A$227)))</f>
        <v/>
      </c>
      <c r="AJ234" s="209" t="str">
        <f>IF(AJ$3="","",IF(COUNTIFS(BD!$A$3:$A$5001,AJ$3,BD!$B$3:$B$5001,$A$227,BD!$J$3:$J$5001,"&lt;&gt;")=0,"",SUMIFS(BD!$J$3:$J$5001,BD!$A$3:$A$5001,AJ$3,BD!$B$3:$B$5001,$A$227)))</f>
        <v/>
      </c>
      <c r="AK234" s="210" t="str">
        <f>IF(COUNT(F234:AJ234)=0,"",SUM(F234:AJ234))</f>
        <v/>
      </c>
    </row>
    <row r="235" ht="15.75" customHeight="1" hidden="1">
      <c r="A235" s="254"/>
      <c r="B235" s="249"/>
      <c r="C235" s="211" t="inlineStr">
        <is>
          <t xml:space="preserve">Backlog</t>
        </is>
      </c>
      <c r="D235" s="212" t="str">
        <f>IFERROR(1/(1/INDEX(BD!$Y$31:$AS$31,MATCH($A$227,BD!$Y$22:$AS$22,0))),"")</f>
        <v/>
      </c>
      <c r="E235" s="213"/>
      <c r="F235" s="214" t="str">
        <f>IF(F$3="","",IF(COUNTIFS(BD!$A$3:$A$5001,F$3,BD!$B$3:$B$5001,$A$227,BD!$K$3:$K$5001,"&lt;&gt;")=0,"",SUMIFS(BD!$K$3:$K$5001,BD!$A$3:$A$5001,F$3,BD!$B$3:$B$5001,$A$227)))</f>
        <v/>
      </c>
      <c r="G235" s="215" t="str">
        <f>IF(G$3="","",IF(COUNTIFS(BD!$A$3:$A$5001,G$3,BD!$B$3:$B$5001,$A$227,BD!$K$3:$K$5001,"&lt;&gt;")=0,"",SUMIFS(BD!$K$3:$K$5001,BD!$A$3:$A$5001,G$3,BD!$B$3:$B$5001,$A$227)))</f>
        <v/>
      </c>
      <c r="H235" s="215" t="str">
        <f>IF(H$3="","",IF(COUNTIFS(BD!$A$3:$A$5001,H$3,BD!$B$3:$B$5001,$A$227,BD!$K$3:$K$5001,"&lt;&gt;")=0,"",SUMIFS(BD!$K$3:$K$5001,BD!$A$3:$A$5001,H$3,BD!$B$3:$B$5001,$A$227)))</f>
        <v/>
      </c>
      <c r="I235" s="215" t="str">
        <f>IF(I$3="","",IF(COUNTIFS(BD!$A$3:$A$5001,I$3,BD!$B$3:$B$5001,$A$227,BD!$K$3:$K$5001,"&lt;&gt;")=0,"",SUMIFS(BD!$K$3:$K$5001,BD!$A$3:$A$5001,I$3,BD!$B$3:$B$5001,$A$227)))</f>
        <v/>
      </c>
      <c r="J235" s="215" t="str">
        <f>IF(J$3="","",IF(COUNTIFS(BD!$A$3:$A$5001,J$3,BD!$B$3:$B$5001,$A$227,BD!$K$3:$K$5001,"&lt;&gt;")=0,"",SUMIFS(BD!$K$3:$K$5001,BD!$A$3:$A$5001,J$3,BD!$B$3:$B$5001,$A$227)))</f>
        <v/>
      </c>
      <c r="K235" s="215" t="str">
        <f>IF(K$3="","",IF(COUNTIFS(BD!$A$3:$A$5001,K$3,BD!$B$3:$B$5001,$A$227,BD!$K$3:$K$5001,"&lt;&gt;")=0,"",SUMIFS(BD!$K$3:$K$5001,BD!$A$3:$A$5001,K$3,BD!$B$3:$B$5001,$A$227)))</f>
        <v/>
      </c>
      <c r="L235" s="215" t="str">
        <f>IF(L$3="","",IF(COUNTIFS(BD!$A$3:$A$5001,L$3,BD!$B$3:$B$5001,$A$227,BD!$K$3:$K$5001,"&lt;&gt;")=0,"",SUMIFS(BD!$K$3:$K$5001,BD!$A$3:$A$5001,L$3,BD!$B$3:$B$5001,$A$227)))</f>
        <v/>
      </c>
      <c r="M235" s="215" t="str">
        <f>IF(M$3="","",IF(COUNTIFS(BD!$A$3:$A$5001,M$3,BD!$B$3:$B$5001,$A$227,BD!$K$3:$K$5001,"&lt;&gt;")=0,"",SUMIFS(BD!$K$3:$K$5001,BD!$A$3:$A$5001,M$3,BD!$B$3:$B$5001,$A$227)))</f>
        <v/>
      </c>
      <c r="N235" s="215" t="str">
        <f>IF(N$3="","",IF(COUNTIFS(BD!$A$3:$A$5001,N$3,BD!$B$3:$B$5001,$A$227,BD!$K$3:$K$5001,"&lt;&gt;")=0,"",SUMIFS(BD!$K$3:$K$5001,BD!$A$3:$A$5001,N$3,BD!$B$3:$B$5001,$A$227)))</f>
        <v/>
      </c>
      <c r="O235" s="215" t="str">
        <f>IF(O$3="","",IF(COUNTIFS(BD!$A$3:$A$5001,O$3,BD!$B$3:$B$5001,$A$227,BD!$K$3:$K$5001,"&lt;&gt;")=0,"",SUMIFS(BD!$K$3:$K$5001,BD!$A$3:$A$5001,O$3,BD!$B$3:$B$5001,$A$227)))</f>
        <v/>
      </c>
      <c r="P235" s="215" t="str">
        <f>IF(P$3="","",IF(COUNTIFS(BD!$A$3:$A$5001,P$3,BD!$B$3:$B$5001,$A$227,BD!$K$3:$K$5001,"&lt;&gt;")=0,"",SUMIFS(BD!$K$3:$K$5001,BD!$A$3:$A$5001,P$3,BD!$B$3:$B$5001,$A$227)))</f>
        <v/>
      </c>
      <c r="Q235" s="215" t="str">
        <f>IF(Q$3="","",IF(COUNTIFS(BD!$A$3:$A$5001,Q$3,BD!$B$3:$B$5001,$A$227,BD!$K$3:$K$5001,"&lt;&gt;")=0,"",SUMIFS(BD!$K$3:$K$5001,BD!$A$3:$A$5001,Q$3,BD!$B$3:$B$5001,$A$227)))</f>
        <v/>
      </c>
      <c r="R235" s="215" t="str">
        <f>IF(R$3="","",IF(COUNTIFS(BD!$A$3:$A$5001,R$3,BD!$B$3:$B$5001,$A$227,BD!$K$3:$K$5001,"&lt;&gt;")=0,"",SUMIFS(BD!$K$3:$K$5001,BD!$A$3:$A$5001,R$3,BD!$B$3:$B$5001,$A$227)))</f>
        <v/>
      </c>
      <c r="S235" s="215" t="str">
        <f>IF(S$3="","",IF(COUNTIFS(BD!$A$3:$A$5001,S$3,BD!$B$3:$B$5001,$A$227,BD!$K$3:$K$5001,"&lt;&gt;")=0,"",SUMIFS(BD!$K$3:$K$5001,BD!$A$3:$A$5001,S$3,BD!$B$3:$B$5001,$A$227)))</f>
        <v/>
      </c>
      <c r="T235" s="215" t="str">
        <f>IF(T$3="","",IF(COUNTIFS(BD!$A$3:$A$5001,T$3,BD!$B$3:$B$5001,$A$227,BD!$K$3:$K$5001,"&lt;&gt;")=0,"",SUMIFS(BD!$K$3:$K$5001,BD!$A$3:$A$5001,T$3,BD!$B$3:$B$5001,$A$227)))</f>
        <v/>
      </c>
      <c r="U235" s="215" t="str">
        <f>IF(U$3="","",IF(COUNTIFS(BD!$A$3:$A$5001,U$3,BD!$B$3:$B$5001,$A$227,BD!$K$3:$K$5001,"&lt;&gt;")=0,"",SUMIFS(BD!$K$3:$K$5001,BD!$A$3:$A$5001,U$3,BD!$B$3:$B$5001,$A$227)))</f>
        <v/>
      </c>
      <c r="V235" s="215" t="str">
        <f>IF(V$3="","",IF(COUNTIFS(BD!$A$3:$A$5001,V$3,BD!$B$3:$B$5001,$A$227,BD!$K$3:$K$5001,"&lt;&gt;")=0,"",SUMIFS(BD!$K$3:$K$5001,BD!$A$3:$A$5001,V$3,BD!$B$3:$B$5001,$A$227)))</f>
        <v/>
      </c>
      <c r="W235" s="215" t="str">
        <f>IF(W$3="","",IF(COUNTIFS(BD!$A$3:$A$5001,W$3,BD!$B$3:$B$5001,$A$227,BD!$K$3:$K$5001,"&lt;&gt;")=0,"",SUMIFS(BD!$K$3:$K$5001,BD!$A$3:$A$5001,W$3,BD!$B$3:$B$5001,$A$227)))</f>
        <v/>
      </c>
      <c r="X235" s="215" t="str">
        <f>IF(X$3="","",IF(COUNTIFS(BD!$A$3:$A$5001,X$3,BD!$B$3:$B$5001,$A$227,BD!$K$3:$K$5001,"&lt;&gt;")=0,"",SUMIFS(BD!$K$3:$K$5001,BD!$A$3:$A$5001,X$3,BD!$B$3:$B$5001,$A$227)))</f>
        <v/>
      </c>
      <c r="Y235" s="215" t="str">
        <f>IF(Y$3="","",IF(COUNTIFS(BD!$A$3:$A$5001,Y$3,BD!$B$3:$B$5001,$A$227,BD!$K$3:$K$5001,"&lt;&gt;")=0,"",SUMIFS(BD!$K$3:$K$5001,BD!$A$3:$A$5001,Y$3,BD!$B$3:$B$5001,$A$227)))</f>
        <v/>
      </c>
      <c r="Z235" s="215" t="str">
        <f>IF(Z$3="","",IF(COUNTIFS(BD!$A$3:$A$5001,Z$3,BD!$B$3:$B$5001,$A$227,BD!$K$3:$K$5001,"&lt;&gt;")=0,"",SUMIFS(BD!$K$3:$K$5001,BD!$A$3:$A$5001,Z$3,BD!$B$3:$B$5001,$A$227)))</f>
        <v/>
      </c>
      <c r="AA235" s="215" t="str">
        <f>IF(AA$3="","",IF(COUNTIFS(BD!$A$3:$A$5001,AA$3,BD!$B$3:$B$5001,$A$227,BD!$K$3:$K$5001,"&lt;&gt;")=0,"",SUMIFS(BD!$K$3:$K$5001,BD!$A$3:$A$5001,AA$3,BD!$B$3:$B$5001,$A$227)))</f>
        <v/>
      </c>
      <c r="AB235" s="215" t="str">
        <f>IF(AB$3="","",IF(COUNTIFS(BD!$A$3:$A$5001,AB$3,BD!$B$3:$B$5001,$A$227,BD!$K$3:$K$5001,"&lt;&gt;")=0,"",SUMIFS(BD!$K$3:$K$5001,BD!$A$3:$A$5001,AB$3,BD!$B$3:$B$5001,$A$227)))</f>
        <v/>
      </c>
      <c r="AC235" s="215" t="str">
        <f>IF(AC$3="","",IF(COUNTIFS(BD!$A$3:$A$5001,AC$3,BD!$B$3:$B$5001,$A$227,BD!$K$3:$K$5001,"&lt;&gt;")=0,"",SUMIFS(BD!$K$3:$K$5001,BD!$A$3:$A$5001,AC$3,BD!$B$3:$B$5001,$A$227)))</f>
        <v/>
      </c>
      <c r="AD235" s="215" t="str">
        <f>IF(AD$3="","",IF(COUNTIFS(BD!$A$3:$A$5001,AD$3,BD!$B$3:$B$5001,$A$227,BD!$K$3:$K$5001,"&lt;&gt;")=0,"",SUMIFS(BD!$K$3:$K$5001,BD!$A$3:$A$5001,AD$3,BD!$B$3:$B$5001,$A$227)))</f>
        <v/>
      </c>
      <c r="AE235" s="215" t="str">
        <f>IF(AE$3="","",IF(COUNTIFS(BD!$A$3:$A$5001,AE$3,BD!$B$3:$B$5001,$A$227,BD!$K$3:$K$5001,"&lt;&gt;")=0,"",SUMIFS(BD!$K$3:$K$5001,BD!$A$3:$A$5001,AE$3,BD!$B$3:$B$5001,$A$227)))</f>
        <v/>
      </c>
      <c r="AF235" s="215" t="str">
        <f>IF(AF$3="","",IF(COUNTIFS(BD!$A$3:$A$5001,AF$3,BD!$B$3:$B$5001,$A$227,BD!$K$3:$K$5001,"&lt;&gt;")=0,"",SUMIFS(BD!$K$3:$K$5001,BD!$A$3:$A$5001,AF$3,BD!$B$3:$B$5001,$A$227)))</f>
        <v/>
      </c>
      <c r="AG235" s="215" t="str">
        <f>IF(AG$3="","",IF(COUNTIFS(BD!$A$3:$A$5001,AG$3,BD!$B$3:$B$5001,$A$227,BD!$K$3:$K$5001,"&lt;&gt;")=0,"",SUMIFS(BD!$K$3:$K$5001,BD!$A$3:$A$5001,AG$3,BD!$B$3:$B$5001,$A$227)))</f>
        <v/>
      </c>
      <c r="AH235" s="215" t="str">
        <f>IF(AH$3="","",IF(COUNTIFS(BD!$A$3:$A$5001,AH$3,BD!$B$3:$B$5001,$A$227,BD!$K$3:$K$5001,"&lt;&gt;")=0,"",SUMIFS(BD!$K$3:$K$5001,BD!$A$3:$A$5001,AH$3,BD!$B$3:$B$5001,$A$227)))</f>
        <v/>
      </c>
      <c r="AI235" s="215" t="str">
        <f>IF(AI$3="","",IF(COUNTIFS(BD!$A$3:$A$5001,AI$3,BD!$B$3:$B$5001,$A$227,BD!$K$3:$K$5001,"&lt;&gt;")=0,"",SUMIFS(BD!$K$3:$K$5001,BD!$A$3:$A$5001,AI$3,BD!$B$3:$B$5001,$A$227)))</f>
        <v/>
      </c>
      <c r="AJ235" s="216" t="str">
        <f>IF(AJ$3="","",IF(COUNTIFS(BD!$A$3:$A$5001,AJ$3,BD!$B$3:$B$5001,$A$227,BD!$K$3:$K$5001,"&lt;&gt;")=0,"",SUMIFS(BD!$K$3:$K$5001,BD!$A$3:$A$5001,AJ$3,BD!$B$3:$B$5001,$A$227)))</f>
        <v/>
      </c>
      <c r="AK235" s="212" t="str">
        <f>IFERROR(LOOKUP(9.99E+307,F235:AJ235),"")</f>
        <v/>
      </c>
    </row>
    <row r="236" ht="15.75" customHeight="1" hidden="1">
      <c r="A236" s="254"/>
      <c r="B236" s="241" t="inlineStr">
        <is>
          <t xml:space="preserve">OCUPAÇÃO (P.P)</t>
        </is>
      </c>
      <c r="C236" s="155" t="inlineStr">
        <is>
          <t xml:space="preserve">Posições Disponíveis</t>
        </is>
      </c>
      <c r="D236" s="156" t="str">
        <f>IFERROR(1/(1/INDEX(BD!$Y$32:$AS$32,MATCH($A$227,BD!$Y$22:$AS$22,0))),"")</f>
        <v/>
      </c>
      <c r="E236" s="157"/>
      <c r="F236" s="158" t="str">
        <f>IF(F$3="","",IF(COUNTIFS(BD!$A$3:$A$5001,F$3,BD!$B$3:$B$5001,$A$227,BD!$L$3:$L$5001,"&lt;&gt;")=0,"",SUMIFS(BD!$L$3:$L$5001,BD!$A$3:$A$5001,F$3,BD!$B$3:$B$5001,$A$227)))</f>
        <v/>
      </c>
      <c r="G236" s="159" t="str">
        <f>IF(G$3="","",IF(COUNTIFS(BD!$A$3:$A$5001,G$3,BD!$B$3:$B$5001,$A$227,BD!$L$3:$L$5001,"&lt;&gt;")=0,"",SUMIFS(BD!$L$3:$L$5001,BD!$A$3:$A$5001,G$3,BD!$B$3:$B$5001,$A$227)))</f>
        <v/>
      </c>
      <c r="H236" s="159" t="str">
        <f>IF(H$3="","",IF(COUNTIFS(BD!$A$3:$A$5001,H$3,BD!$B$3:$B$5001,$A$227,BD!$L$3:$L$5001,"&lt;&gt;")=0,"",SUMIFS(BD!$L$3:$L$5001,BD!$A$3:$A$5001,H$3,BD!$B$3:$B$5001,$A$227)))</f>
        <v/>
      </c>
      <c r="I236" s="159" t="str">
        <f>IF(I$3="","",IF(COUNTIFS(BD!$A$3:$A$5001,I$3,BD!$B$3:$B$5001,$A$227,BD!$L$3:$L$5001,"&lt;&gt;")=0,"",SUMIFS(BD!$L$3:$L$5001,BD!$A$3:$A$5001,I$3,BD!$B$3:$B$5001,$A$227)))</f>
        <v/>
      </c>
      <c r="J236" s="159" t="str">
        <f>IF(J$3="","",IF(COUNTIFS(BD!$A$3:$A$5001,J$3,BD!$B$3:$B$5001,$A$227,BD!$L$3:$L$5001,"&lt;&gt;")=0,"",SUMIFS(BD!$L$3:$L$5001,BD!$A$3:$A$5001,J$3,BD!$B$3:$B$5001,$A$227)))</f>
        <v/>
      </c>
      <c r="K236" s="159" t="str">
        <f>IF(K$3="","",IF(COUNTIFS(BD!$A$3:$A$5001,K$3,BD!$B$3:$B$5001,$A$227,BD!$L$3:$L$5001,"&lt;&gt;")=0,"",SUMIFS(BD!$L$3:$L$5001,BD!$A$3:$A$5001,K$3,BD!$B$3:$B$5001,$A$227)))</f>
        <v/>
      </c>
      <c r="L236" s="159" t="str">
        <f>IF(L$3="","",IF(COUNTIFS(BD!$A$3:$A$5001,L$3,BD!$B$3:$B$5001,$A$227,BD!$L$3:$L$5001,"&lt;&gt;")=0,"",SUMIFS(BD!$L$3:$L$5001,BD!$A$3:$A$5001,L$3,BD!$B$3:$B$5001,$A$227)))</f>
        <v/>
      </c>
      <c r="M236" s="159" t="str">
        <f>IF(M$3="","",IF(COUNTIFS(BD!$A$3:$A$5001,M$3,BD!$B$3:$B$5001,$A$227,BD!$L$3:$L$5001,"&lt;&gt;")=0,"",SUMIFS(BD!$L$3:$L$5001,BD!$A$3:$A$5001,M$3,BD!$B$3:$B$5001,$A$227)))</f>
        <v/>
      </c>
      <c r="N236" s="159" t="str">
        <f>IF(N$3="","",IF(COUNTIFS(BD!$A$3:$A$5001,N$3,BD!$B$3:$B$5001,$A$227,BD!$L$3:$L$5001,"&lt;&gt;")=0,"",SUMIFS(BD!$L$3:$L$5001,BD!$A$3:$A$5001,N$3,BD!$B$3:$B$5001,$A$227)))</f>
        <v/>
      </c>
      <c r="O236" s="159" t="str">
        <f>IF(O$3="","",IF(COUNTIFS(BD!$A$3:$A$5001,O$3,BD!$B$3:$B$5001,$A$227,BD!$L$3:$L$5001,"&lt;&gt;")=0,"",SUMIFS(BD!$L$3:$L$5001,BD!$A$3:$A$5001,O$3,BD!$B$3:$B$5001,$A$227)))</f>
        <v/>
      </c>
      <c r="P236" s="159" t="str">
        <f>IF(P$3="","",IF(COUNTIFS(BD!$A$3:$A$5001,P$3,BD!$B$3:$B$5001,$A$227,BD!$L$3:$L$5001,"&lt;&gt;")=0,"",SUMIFS(BD!$L$3:$L$5001,BD!$A$3:$A$5001,P$3,BD!$B$3:$B$5001,$A$227)))</f>
        <v/>
      </c>
      <c r="Q236" s="159" t="str">
        <f>IF(Q$3="","",IF(COUNTIFS(BD!$A$3:$A$5001,Q$3,BD!$B$3:$B$5001,$A$227,BD!$L$3:$L$5001,"&lt;&gt;")=0,"",SUMIFS(BD!$L$3:$L$5001,BD!$A$3:$A$5001,Q$3,BD!$B$3:$B$5001,$A$227)))</f>
        <v/>
      </c>
      <c r="R236" s="159" t="str">
        <f>IF(R$3="","",IF(COUNTIFS(BD!$A$3:$A$5001,R$3,BD!$B$3:$B$5001,$A$227,BD!$L$3:$L$5001,"&lt;&gt;")=0,"",SUMIFS(BD!$L$3:$L$5001,BD!$A$3:$A$5001,R$3,BD!$B$3:$B$5001,$A$227)))</f>
        <v/>
      </c>
      <c r="S236" s="159" t="str">
        <f>IF(S$3="","",IF(COUNTIFS(BD!$A$3:$A$5001,S$3,BD!$B$3:$B$5001,$A$227,BD!$L$3:$L$5001,"&lt;&gt;")=0,"",SUMIFS(BD!$L$3:$L$5001,BD!$A$3:$A$5001,S$3,BD!$B$3:$B$5001,$A$227)))</f>
        <v/>
      </c>
      <c r="T236" s="159" t="str">
        <f>IF(T$3="","",IF(COUNTIFS(BD!$A$3:$A$5001,T$3,BD!$B$3:$B$5001,$A$227,BD!$L$3:$L$5001,"&lt;&gt;")=0,"",SUMIFS(BD!$L$3:$L$5001,BD!$A$3:$A$5001,T$3,BD!$B$3:$B$5001,$A$227)))</f>
        <v/>
      </c>
      <c r="U236" s="159" t="str">
        <f>IF(U$3="","",IF(COUNTIFS(BD!$A$3:$A$5001,U$3,BD!$B$3:$B$5001,$A$227,BD!$L$3:$L$5001,"&lt;&gt;")=0,"",SUMIFS(BD!$L$3:$L$5001,BD!$A$3:$A$5001,U$3,BD!$B$3:$B$5001,$A$227)))</f>
        <v/>
      </c>
      <c r="V236" s="159" t="str">
        <f>IF(V$3="","",IF(COUNTIFS(BD!$A$3:$A$5001,V$3,BD!$B$3:$B$5001,$A$227,BD!$L$3:$L$5001,"&lt;&gt;")=0,"",SUMIFS(BD!$L$3:$L$5001,BD!$A$3:$A$5001,V$3,BD!$B$3:$B$5001,$A$227)))</f>
        <v/>
      </c>
      <c r="W236" s="159" t="str">
        <f>IF(W$3="","",IF(COUNTIFS(BD!$A$3:$A$5001,W$3,BD!$B$3:$B$5001,$A$227,BD!$L$3:$L$5001,"&lt;&gt;")=0,"",SUMIFS(BD!$L$3:$L$5001,BD!$A$3:$A$5001,W$3,BD!$B$3:$B$5001,$A$227)))</f>
        <v/>
      </c>
      <c r="X236" s="159" t="str">
        <f>IF(X$3="","",IF(COUNTIFS(BD!$A$3:$A$5001,X$3,BD!$B$3:$B$5001,$A$227,BD!$L$3:$L$5001,"&lt;&gt;")=0,"",SUMIFS(BD!$L$3:$L$5001,BD!$A$3:$A$5001,X$3,BD!$B$3:$B$5001,$A$227)))</f>
        <v/>
      </c>
      <c r="Y236" s="159" t="str">
        <f>IF(Y$3="","",IF(COUNTIFS(BD!$A$3:$A$5001,Y$3,BD!$B$3:$B$5001,$A$227,BD!$L$3:$L$5001,"&lt;&gt;")=0,"",SUMIFS(BD!$L$3:$L$5001,BD!$A$3:$A$5001,Y$3,BD!$B$3:$B$5001,$A$227)))</f>
        <v/>
      </c>
      <c r="Z236" s="159" t="str">
        <f>IF(Z$3="","",IF(COUNTIFS(BD!$A$3:$A$5001,Z$3,BD!$B$3:$B$5001,$A$227,BD!$L$3:$L$5001,"&lt;&gt;")=0,"",SUMIFS(BD!$L$3:$L$5001,BD!$A$3:$A$5001,Z$3,BD!$B$3:$B$5001,$A$227)))</f>
        <v/>
      </c>
      <c r="AA236" s="159" t="str">
        <f>IF(AA$3="","",IF(COUNTIFS(BD!$A$3:$A$5001,AA$3,BD!$B$3:$B$5001,$A$227,BD!$L$3:$L$5001,"&lt;&gt;")=0,"",SUMIFS(BD!$L$3:$L$5001,BD!$A$3:$A$5001,AA$3,BD!$B$3:$B$5001,$A$227)))</f>
        <v/>
      </c>
      <c r="AB236" s="159" t="str">
        <f>IF(AB$3="","",IF(COUNTIFS(BD!$A$3:$A$5001,AB$3,BD!$B$3:$B$5001,$A$227,BD!$L$3:$L$5001,"&lt;&gt;")=0,"",SUMIFS(BD!$L$3:$L$5001,BD!$A$3:$A$5001,AB$3,BD!$B$3:$B$5001,$A$227)))</f>
        <v/>
      </c>
      <c r="AC236" s="159" t="str">
        <f>IF(AC$3="","",IF(COUNTIFS(BD!$A$3:$A$5001,AC$3,BD!$B$3:$B$5001,$A$227,BD!$L$3:$L$5001,"&lt;&gt;")=0,"",SUMIFS(BD!$L$3:$L$5001,BD!$A$3:$A$5001,AC$3,BD!$B$3:$B$5001,$A$227)))</f>
        <v/>
      </c>
      <c r="AD236" s="159" t="str">
        <f>IF(AD$3="","",IF(COUNTIFS(BD!$A$3:$A$5001,AD$3,BD!$B$3:$B$5001,$A$227,BD!$L$3:$L$5001,"&lt;&gt;")=0,"",SUMIFS(BD!$L$3:$L$5001,BD!$A$3:$A$5001,AD$3,BD!$B$3:$B$5001,$A$227)))</f>
        <v/>
      </c>
      <c r="AE236" s="159" t="str">
        <f>IF(AE$3="","",IF(COUNTIFS(BD!$A$3:$A$5001,AE$3,BD!$B$3:$B$5001,$A$227,BD!$L$3:$L$5001,"&lt;&gt;")=0,"",SUMIFS(BD!$L$3:$L$5001,BD!$A$3:$A$5001,AE$3,BD!$B$3:$B$5001,$A$227)))</f>
        <v/>
      </c>
      <c r="AF236" s="159" t="str">
        <f>IF(AF$3="","",IF(COUNTIFS(BD!$A$3:$A$5001,AF$3,BD!$B$3:$B$5001,$A$227,BD!$L$3:$L$5001,"&lt;&gt;")=0,"",SUMIFS(BD!$L$3:$L$5001,BD!$A$3:$A$5001,AF$3,BD!$B$3:$B$5001,$A$227)))</f>
        <v/>
      </c>
      <c r="AG236" s="159" t="str">
        <f>IF(AG$3="","",IF(COUNTIFS(BD!$A$3:$A$5001,AG$3,BD!$B$3:$B$5001,$A$227,BD!$L$3:$L$5001,"&lt;&gt;")=0,"",SUMIFS(BD!$L$3:$L$5001,BD!$A$3:$A$5001,AG$3,BD!$B$3:$B$5001,$A$227)))</f>
        <v/>
      </c>
      <c r="AH236" s="159" t="str">
        <f>IF(AH$3="","",IF(COUNTIFS(BD!$A$3:$A$5001,AH$3,BD!$B$3:$B$5001,$A$227,BD!$L$3:$L$5001,"&lt;&gt;")=0,"",SUMIFS(BD!$L$3:$L$5001,BD!$A$3:$A$5001,AH$3,BD!$B$3:$B$5001,$A$227)))</f>
        <v/>
      </c>
      <c r="AI236" s="159" t="str">
        <f>IF(AI$3="","",IF(COUNTIFS(BD!$A$3:$A$5001,AI$3,BD!$B$3:$B$5001,$A$227,BD!$L$3:$L$5001,"&lt;&gt;")=0,"",SUMIFS(BD!$L$3:$L$5001,BD!$A$3:$A$5001,AI$3,BD!$B$3:$B$5001,$A$227)))</f>
        <v/>
      </c>
      <c r="AJ236" s="160" t="str">
        <f>IF(AJ$3="","",IF(COUNTIFS(BD!$A$3:$A$5001,AJ$3,BD!$B$3:$B$5001,$A$227,BD!$L$3:$L$5001,"&lt;&gt;")=0,"",SUMIFS(BD!$L$3:$L$5001,BD!$A$3:$A$5001,AJ$3,BD!$B$3:$B$5001,$A$227)))</f>
        <v/>
      </c>
      <c r="AK236" s="161" t="str">
        <f>IF(COUNT(F236:AJ236)&gt;0,LOOKUP(9.99E+307,F236:AJ236),IFERROR(IF(INDEX(BD!$V$3:$V$5001,MATCH($A$227,BD!$B$3:$B$5001,0))&amp;""="Contrato","",INDEX(BD!$V$3:$V$5001,MATCH($A$227,BD!$B$3:$B$5001,0))&amp;""),""))</f>
        <v/>
      </c>
    </row>
    <row r="237" ht="15.75" customHeight="1" hidden="1">
      <c r="A237" s="254"/>
      <c r="B237" s="242"/>
      <c r="C237" s="162" t="inlineStr">
        <is>
          <t xml:space="preserve">Posições Ocupadas</t>
        </is>
      </c>
      <c r="D237" s="163" t="str">
        <f>IFERROR(1/(1/INDEX(BD!$Y$33:$AS$33,MATCH($A$227,BD!$Y$22:$AS$22,0))),"")</f>
        <v/>
      </c>
      <c r="E237" s="164"/>
      <c r="F237" s="165" t="str">
        <f>IF(F$3="","",IF(COUNTIFS(BD!$A$3:$A$5001,F$3,BD!$B$3:$B$5001,$A$227,BD!$M$3:$M$5001,"&lt;&gt;")=0,"",SUMIFS(BD!$M$3:$M$5001,BD!$A$3:$A$5001,F$3,BD!$B$3:$B$5001,$A$227)))</f>
        <v/>
      </c>
      <c r="G237" s="166" t="str">
        <f>IF(G$3="","",IF(COUNTIFS(BD!$A$3:$A$5001,G$3,BD!$B$3:$B$5001,$A$227,BD!$M$3:$M$5001,"&lt;&gt;")=0,"",SUMIFS(BD!$M$3:$M$5001,BD!$A$3:$A$5001,G$3,BD!$B$3:$B$5001,$A$227)))</f>
        <v/>
      </c>
      <c r="H237" s="166" t="str">
        <f>IF(H$3="","",IF(COUNTIFS(BD!$A$3:$A$5001,H$3,BD!$B$3:$B$5001,$A$227,BD!$M$3:$M$5001,"&lt;&gt;")=0,"",SUMIFS(BD!$M$3:$M$5001,BD!$A$3:$A$5001,H$3,BD!$B$3:$B$5001,$A$227)))</f>
        <v/>
      </c>
      <c r="I237" s="166" t="str">
        <f>IF(I$3="","",IF(COUNTIFS(BD!$A$3:$A$5001,I$3,BD!$B$3:$B$5001,$A$227,BD!$M$3:$M$5001,"&lt;&gt;")=0,"",SUMIFS(BD!$M$3:$M$5001,BD!$A$3:$A$5001,I$3,BD!$B$3:$B$5001,$A$227)))</f>
        <v/>
      </c>
      <c r="J237" s="166" t="str">
        <f>IF(J$3="","",IF(COUNTIFS(BD!$A$3:$A$5001,J$3,BD!$B$3:$B$5001,$A$227,BD!$M$3:$M$5001,"&lt;&gt;")=0,"",SUMIFS(BD!$M$3:$M$5001,BD!$A$3:$A$5001,J$3,BD!$B$3:$B$5001,$A$227)))</f>
        <v/>
      </c>
      <c r="K237" s="166" t="str">
        <f>IF(K$3="","",IF(COUNTIFS(BD!$A$3:$A$5001,K$3,BD!$B$3:$B$5001,$A$227,BD!$M$3:$M$5001,"&lt;&gt;")=0,"",SUMIFS(BD!$M$3:$M$5001,BD!$A$3:$A$5001,K$3,BD!$B$3:$B$5001,$A$227)))</f>
        <v/>
      </c>
      <c r="L237" s="166" t="str">
        <f>IF(L$3="","",IF(COUNTIFS(BD!$A$3:$A$5001,L$3,BD!$B$3:$B$5001,$A$227,BD!$M$3:$M$5001,"&lt;&gt;")=0,"",SUMIFS(BD!$M$3:$M$5001,BD!$A$3:$A$5001,L$3,BD!$B$3:$B$5001,$A$227)))</f>
        <v/>
      </c>
      <c r="M237" s="166" t="str">
        <f>IF(M$3="","",IF(COUNTIFS(BD!$A$3:$A$5001,M$3,BD!$B$3:$B$5001,$A$227,BD!$M$3:$M$5001,"&lt;&gt;")=0,"",SUMIFS(BD!$M$3:$M$5001,BD!$A$3:$A$5001,M$3,BD!$B$3:$B$5001,$A$227)))</f>
        <v/>
      </c>
      <c r="N237" s="166" t="str">
        <f>IF(N$3="","",IF(COUNTIFS(BD!$A$3:$A$5001,N$3,BD!$B$3:$B$5001,$A$227,BD!$M$3:$M$5001,"&lt;&gt;")=0,"",SUMIFS(BD!$M$3:$M$5001,BD!$A$3:$A$5001,N$3,BD!$B$3:$B$5001,$A$227)))</f>
        <v/>
      </c>
      <c r="O237" s="166" t="str">
        <f>IF(O$3="","",IF(COUNTIFS(BD!$A$3:$A$5001,O$3,BD!$B$3:$B$5001,$A$227,BD!$M$3:$M$5001,"&lt;&gt;")=0,"",SUMIFS(BD!$M$3:$M$5001,BD!$A$3:$A$5001,O$3,BD!$B$3:$B$5001,$A$227)))</f>
        <v/>
      </c>
      <c r="P237" s="166" t="str">
        <f>IF(P$3="","",IF(COUNTIFS(BD!$A$3:$A$5001,P$3,BD!$B$3:$B$5001,$A$227,BD!$M$3:$M$5001,"&lt;&gt;")=0,"",SUMIFS(BD!$M$3:$M$5001,BD!$A$3:$A$5001,P$3,BD!$B$3:$B$5001,$A$227)))</f>
        <v/>
      </c>
      <c r="Q237" s="166" t="str">
        <f>IF(Q$3="","",IF(COUNTIFS(BD!$A$3:$A$5001,Q$3,BD!$B$3:$B$5001,$A$227,BD!$M$3:$M$5001,"&lt;&gt;")=0,"",SUMIFS(BD!$M$3:$M$5001,BD!$A$3:$A$5001,Q$3,BD!$B$3:$B$5001,$A$227)))</f>
        <v/>
      </c>
      <c r="R237" s="166" t="str">
        <f>IF(R$3="","",IF(COUNTIFS(BD!$A$3:$A$5001,R$3,BD!$B$3:$B$5001,$A$227,BD!$M$3:$M$5001,"&lt;&gt;")=0,"",SUMIFS(BD!$M$3:$M$5001,BD!$A$3:$A$5001,R$3,BD!$B$3:$B$5001,$A$227)))</f>
        <v/>
      </c>
      <c r="S237" s="166" t="str">
        <f>IF(S$3="","",IF(COUNTIFS(BD!$A$3:$A$5001,S$3,BD!$B$3:$B$5001,$A$227,BD!$M$3:$M$5001,"&lt;&gt;")=0,"",SUMIFS(BD!$M$3:$M$5001,BD!$A$3:$A$5001,S$3,BD!$B$3:$B$5001,$A$227)))</f>
        <v/>
      </c>
      <c r="T237" s="166" t="str">
        <f>IF(T$3="","",IF(COUNTIFS(BD!$A$3:$A$5001,T$3,BD!$B$3:$B$5001,$A$227,BD!$M$3:$M$5001,"&lt;&gt;")=0,"",SUMIFS(BD!$M$3:$M$5001,BD!$A$3:$A$5001,T$3,BD!$B$3:$B$5001,$A$227)))</f>
        <v/>
      </c>
      <c r="U237" s="166" t="str">
        <f>IF(U$3="","",IF(COUNTIFS(BD!$A$3:$A$5001,U$3,BD!$B$3:$B$5001,$A$227,BD!$M$3:$M$5001,"&lt;&gt;")=0,"",SUMIFS(BD!$M$3:$M$5001,BD!$A$3:$A$5001,U$3,BD!$B$3:$B$5001,$A$227)))</f>
        <v/>
      </c>
      <c r="V237" s="166" t="str">
        <f>IF(V$3="","",IF(COUNTIFS(BD!$A$3:$A$5001,V$3,BD!$B$3:$B$5001,$A$227,BD!$M$3:$M$5001,"&lt;&gt;")=0,"",SUMIFS(BD!$M$3:$M$5001,BD!$A$3:$A$5001,V$3,BD!$B$3:$B$5001,$A$227)))</f>
        <v/>
      </c>
      <c r="W237" s="166" t="str">
        <f>IF(W$3="","",IF(COUNTIFS(BD!$A$3:$A$5001,W$3,BD!$B$3:$B$5001,$A$227,BD!$M$3:$M$5001,"&lt;&gt;")=0,"",SUMIFS(BD!$M$3:$M$5001,BD!$A$3:$A$5001,W$3,BD!$B$3:$B$5001,$A$227)))</f>
        <v/>
      </c>
      <c r="X237" s="166" t="str">
        <f>IF(X$3="","",IF(COUNTIFS(BD!$A$3:$A$5001,X$3,BD!$B$3:$B$5001,$A$227,BD!$M$3:$M$5001,"&lt;&gt;")=0,"",SUMIFS(BD!$M$3:$M$5001,BD!$A$3:$A$5001,X$3,BD!$B$3:$B$5001,$A$227)))</f>
        <v/>
      </c>
      <c r="Y237" s="166" t="str">
        <f>IF(Y$3="","",IF(COUNTIFS(BD!$A$3:$A$5001,Y$3,BD!$B$3:$B$5001,$A$227,BD!$M$3:$M$5001,"&lt;&gt;")=0,"",SUMIFS(BD!$M$3:$M$5001,BD!$A$3:$A$5001,Y$3,BD!$B$3:$B$5001,$A$227)))</f>
        <v/>
      </c>
      <c r="Z237" s="166" t="str">
        <f>IF(Z$3="","",IF(COUNTIFS(BD!$A$3:$A$5001,Z$3,BD!$B$3:$B$5001,$A$227,BD!$M$3:$M$5001,"&lt;&gt;")=0,"",SUMIFS(BD!$M$3:$M$5001,BD!$A$3:$A$5001,Z$3,BD!$B$3:$B$5001,$A$227)))</f>
        <v/>
      </c>
      <c r="AA237" s="166" t="str">
        <f>IF(AA$3="","",IF(COUNTIFS(BD!$A$3:$A$5001,AA$3,BD!$B$3:$B$5001,$A$227,BD!$M$3:$M$5001,"&lt;&gt;")=0,"",SUMIFS(BD!$M$3:$M$5001,BD!$A$3:$A$5001,AA$3,BD!$B$3:$B$5001,$A$227)))</f>
        <v/>
      </c>
      <c r="AB237" s="166" t="str">
        <f>IF(AB$3="","",IF(COUNTIFS(BD!$A$3:$A$5001,AB$3,BD!$B$3:$B$5001,$A$227,BD!$M$3:$M$5001,"&lt;&gt;")=0,"",SUMIFS(BD!$M$3:$M$5001,BD!$A$3:$A$5001,AB$3,BD!$B$3:$B$5001,$A$227)))</f>
        <v/>
      </c>
      <c r="AC237" s="166" t="str">
        <f>IF(AC$3="","",IF(COUNTIFS(BD!$A$3:$A$5001,AC$3,BD!$B$3:$B$5001,$A$227,BD!$M$3:$M$5001,"&lt;&gt;")=0,"",SUMIFS(BD!$M$3:$M$5001,BD!$A$3:$A$5001,AC$3,BD!$B$3:$B$5001,$A$227)))</f>
        <v/>
      </c>
      <c r="AD237" s="166" t="str">
        <f>IF(AD$3="","",IF(COUNTIFS(BD!$A$3:$A$5001,AD$3,BD!$B$3:$B$5001,$A$227,BD!$M$3:$M$5001,"&lt;&gt;")=0,"",SUMIFS(BD!$M$3:$M$5001,BD!$A$3:$A$5001,AD$3,BD!$B$3:$B$5001,$A$227)))</f>
        <v/>
      </c>
      <c r="AE237" s="166" t="str">
        <f>IF(AE$3="","",IF(COUNTIFS(BD!$A$3:$A$5001,AE$3,BD!$B$3:$B$5001,$A$227,BD!$M$3:$M$5001,"&lt;&gt;")=0,"",SUMIFS(BD!$M$3:$M$5001,BD!$A$3:$A$5001,AE$3,BD!$B$3:$B$5001,$A$227)))</f>
        <v/>
      </c>
      <c r="AF237" s="166" t="str">
        <f>IF(AF$3="","",IF(COUNTIFS(BD!$A$3:$A$5001,AF$3,BD!$B$3:$B$5001,$A$227,BD!$M$3:$M$5001,"&lt;&gt;")=0,"",SUMIFS(BD!$M$3:$M$5001,BD!$A$3:$A$5001,AF$3,BD!$B$3:$B$5001,$A$227)))</f>
        <v/>
      </c>
      <c r="AG237" s="166" t="str">
        <f>IF(AG$3="","",IF(COUNTIFS(BD!$A$3:$A$5001,AG$3,BD!$B$3:$B$5001,$A$227,BD!$M$3:$M$5001,"&lt;&gt;")=0,"",SUMIFS(BD!$M$3:$M$5001,BD!$A$3:$A$5001,AG$3,BD!$B$3:$B$5001,$A$227)))</f>
        <v/>
      </c>
      <c r="AH237" s="166" t="str">
        <f>IF(AH$3="","",IF(COUNTIFS(BD!$A$3:$A$5001,AH$3,BD!$B$3:$B$5001,$A$227,BD!$M$3:$M$5001,"&lt;&gt;")=0,"",SUMIFS(BD!$M$3:$M$5001,BD!$A$3:$A$5001,AH$3,BD!$B$3:$B$5001,$A$227)))</f>
        <v/>
      </c>
      <c r="AI237" s="166" t="str">
        <f>IF(AI$3="","",IF(COUNTIFS(BD!$A$3:$A$5001,AI$3,BD!$B$3:$B$5001,$A$227,BD!$M$3:$M$5001,"&lt;&gt;")=0,"",SUMIFS(BD!$M$3:$M$5001,BD!$A$3:$A$5001,AI$3,BD!$B$3:$B$5001,$A$227)))</f>
        <v/>
      </c>
      <c r="AJ237" s="167" t="str">
        <f>IF(AJ$3="","",IF(COUNTIFS(BD!$A$3:$A$5001,AJ$3,BD!$B$3:$B$5001,$A$227,BD!$M$3:$M$5001,"&lt;&gt;")=0,"",SUMIFS(BD!$M$3:$M$5001,BD!$A$3:$A$5001,AJ$3,BD!$B$3:$B$5001,$A$227)))</f>
        <v/>
      </c>
      <c r="AK237" s="168" t="str">
        <f>IFERROR(LOOKUP(9.99E+307,F237:AJ237),"")</f>
        <v/>
      </c>
    </row>
    <row r="238" ht="15.75" customHeight="1" hidden="1">
      <c r="A238" s="254"/>
      <c r="B238" s="243"/>
      <c r="C238" s="169" t="inlineStr">
        <is>
          <t xml:space="preserve">Taxa de Ocupação</t>
        </is>
      </c>
      <c r="D238" s="217" t="str">
        <f>IFERROR(1/(1/INDEX(BD!$Y$34:$AS$34,MATCH($A$227,BD!$Y$22:$AS$22,0))),"")</f>
        <v/>
      </c>
      <c r="E238" s="171"/>
      <c r="F238" s="218" t="str">
        <f>IF(AND(ISNUMBER(F236),ISNUMBER(F237)),IF(F236&gt;0,F237/F236,""),"")</f>
        <v/>
      </c>
      <c r="G238" s="219" t="str">
        <f>IF(AND(ISNUMBER(G236),ISNUMBER(G237)),IF(G236&gt;0,G237/G236,""),"")</f>
        <v/>
      </c>
      <c r="H238" s="219" t="str">
        <f>IF(AND(ISNUMBER(H236),ISNUMBER(H237)),IF(H236&gt;0,H237/H236,""),"")</f>
        <v/>
      </c>
      <c r="I238" s="219" t="str">
        <f>IF(AND(ISNUMBER(I236),ISNUMBER(I237)),IF(I236&gt;0,I237/I236,""),"")</f>
        <v/>
      </c>
      <c r="J238" s="219" t="str">
        <f>IF(AND(ISNUMBER(J236),ISNUMBER(J237)),IF(J236&gt;0,J237/J236,""),"")</f>
        <v/>
      </c>
      <c r="K238" s="219" t="str">
        <f>IF(AND(ISNUMBER(K236),ISNUMBER(K237)),IF(K236&gt;0,K237/K236,""),"")</f>
        <v/>
      </c>
      <c r="L238" s="219" t="str">
        <f>IF(AND(ISNUMBER(L236),ISNUMBER(L237)),IF(L236&gt;0,L237/L236,""),"")</f>
        <v/>
      </c>
      <c r="M238" s="219" t="str">
        <f>IF(AND(ISNUMBER(M236),ISNUMBER(M237)),IF(M236&gt;0,M237/M236,""),"")</f>
        <v/>
      </c>
      <c r="N238" s="219" t="str">
        <f>IF(AND(ISNUMBER(N236),ISNUMBER(N237)),IF(N236&gt;0,N237/N236,""),"")</f>
        <v/>
      </c>
      <c r="O238" s="219" t="str">
        <f>IF(AND(ISNUMBER(O236),ISNUMBER(O237)),IF(O236&gt;0,O237/O236,""),"")</f>
        <v/>
      </c>
      <c r="P238" s="219" t="str">
        <f>IF(AND(ISNUMBER(P236),ISNUMBER(P237)),IF(P236&gt;0,P237/P236,""),"")</f>
        <v/>
      </c>
      <c r="Q238" s="219" t="str">
        <f>IF(AND(ISNUMBER(Q236),ISNUMBER(Q237)),IF(Q236&gt;0,Q237/Q236,""),"")</f>
        <v/>
      </c>
      <c r="R238" s="219" t="str">
        <f>IF(AND(ISNUMBER(R236),ISNUMBER(R237)),IF(R236&gt;0,R237/R236,""),"")</f>
        <v/>
      </c>
      <c r="S238" s="219" t="str">
        <f>IF(AND(ISNUMBER(S236),ISNUMBER(S237)),IF(S236&gt;0,S237/S236,""),"")</f>
        <v/>
      </c>
      <c r="T238" s="219" t="str">
        <f>IF(AND(ISNUMBER(T236),ISNUMBER(T237)),IF(T236&gt;0,T237/T236,""),"")</f>
        <v/>
      </c>
      <c r="U238" s="219" t="str">
        <f>IF(AND(ISNUMBER(U236),ISNUMBER(U237)),IF(U236&gt;0,U237/U236,""),"")</f>
        <v/>
      </c>
      <c r="V238" s="219" t="str">
        <f>IF(AND(ISNUMBER(V236),ISNUMBER(V237)),IF(V236&gt;0,V237/V236,""),"")</f>
        <v/>
      </c>
      <c r="W238" s="219" t="str">
        <f>IF(AND(ISNUMBER(W236),ISNUMBER(W237)),IF(W236&gt;0,W237/W236,""),"")</f>
        <v/>
      </c>
      <c r="X238" s="219" t="str">
        <f>IF(AND(ISNUMBER(X236),ISNUMBER(X237)),IF(X236&gt;0,X237/X236,""),"")</f>
        <v/>
      </c>
      <c r="Y238" s="219" t="str">
        <f>IF(AND(ISNUMBER(Y236),ISNUMBER(Y237)),IF(Y236&gt;0,Y237/Y236,""),"")</f>
        <v/>
      </c>
      <c r="Z238" s="219" t="str">
        <f>IF(AND(ISNUMBER(Z236),ISNUMBER(Z237)),IF(Z236&gt;0,Z237/Z236,""),"")</f>
        <v/>
      </c>
      <c r="AA238" s="219" t="str">
        <f>IF(AND(ISNUMBER(AA236),ISNUMBER(AA237)),IF(AA236&gt;0,AA237/AA236,""),"")</f>
        <v/>
      </c>
      <c r="AB238" s="219" t="str">
        <f>IF(AND(ISNUMBER(AB236),ISNUMBER(AB237)),IF(AB236&gt;0,AB237/AB236,""),"")</f>
        <v/>
      </c>
      <c r="AC238" s="219" t="str">
        <f>IF(AND(ISNUMBER(AC236),ISNUMBER(AC237)),IF(AC236&gt;0,AC237/AC236,""),"")</f>
        <v/>
      </c>
      <c r="AD238" s="219" t="str">
        <f>IF(AND(ISNUMBER(AD236),ISNUMBER(AD237)),IF(AD236&gt;0,AD237/AD236,""),"")</f>
        <v/>
      </c>
      <c r="AE238" s="219" t="str">
        <f>IF(AND(ISNUMBER(AE236),ISNUMBER(AE237)),IF(AE236&gt;0,AE237/AE236,""),"")</f>
        <v/>
      </c>
      <c r="AF238" s="219" t="str">
        <f>IF(AND(ISNUMBER(AF236),ISNUMBER(AF237)),IF(AF236&gt;0,AF237/AF236,""),"")</f>
        <v/>
      </c>
      <c r="AG238" s="219" t="str">
        <f>IF(AND(ISNUMBER(AG236),ISNUMBER(AG237)),IF(AG236&gt;0,AG237/AG236,""),"")</f>
        <v/>
      </c>
      <c r="AH238" s="219" t="str">
        <f>IF(AND(ISNUMBER(AH236),ISNUMBER(AH237)),IF(AH236&gt;0,AH237/AH236,""),"")</f>
        <v/>
      </c>
      <c r="AI238" s="219" t="str">
        <f>IF(AND(ISNUMBER(AI236),ISNUMBER(AI237)),IF(AI236&gt;0,AI237/AI236,""),"")</f>
        <v/>
      </c>
      <c r="AJ238" s="220" t="str">
        <f>IF(AND(ISNUMBER(AJ236),ISNUMBER(AJ237)),IF(AJ236&gt;0,AJ237/AJ236,""),"")</f>
        <v/>
      </c>
      <c r="AK238" s="217" t="str">
        <f>IF(AND(ISNUMBER(AK236),ISNUMBER(AK237)),IF(AK236&gt;0,AK237/AK236,""),"")</f>
        <v/>
      </c>
    </row>
    <row r="239" ht="15.75" customHeight="1" hidden="1">
      <c r="A239" s="254"/>
      <c r="B239" s="250" t="inlineStr">
        <is>
          <t xml:space="preserve">GENTE</t>
        </is>
      </c>
      <c r="C239" s="221" t="inlineStr">
        <is>
          <t xml:space="preserve">Efetivo Op.</t>
        </is>
      </c>
      <c r="D239" s="222" t="str">
        <f>IFERROR(1/(1/INDEX(BD!$Y$35:$AS$35,MATCH($A$227,BD!$Y$22:$AS$22,0))),"")</f>
        <v/>
      </c>
      <c r="E239" s="223"/>
      <c r="F239" s="224" t="str">
        <f>IF(F$3="","",IF(COUNTIFS(BD!$A$3:$A$5001,F$3,BD!$B$3:$B$5001,$A$227,BD!$N$3:$N$5001,"&lt;&gt;")=0,"",SUMIFS(BD!$N$3:$N$5001,BD!$A$3:$A$5001,F$3,BD!$B$3:$B$5001,$A$227)))</f>
        <v/>
      </c>
      <c r="G239" s="225" t="str">
        <f>IF(G$3="","",IF(COUNTIFS(BD!$A$3:$A$5001,G$3,BD!$B$3:$B$5001,$A$227,BD!$N$3:$N$5001,"&lt;&gt;")=0,"",SUMIFS(BD!$N$3:$N$5001,BD!$A$3:$A$5001,G$3,BD!$B$3:$B$5001,$A$227)))</f>
        <v/>
      </c>
      <c r="H239" s="225" t="str">
        <f>IF(H$3="","",IF(COUNTIFS(BD!$A$3:$A$5001,H$3,BD!$B$3:$B$5001,$A$227,BD!$N$3:$N$5001,"&lt;&gt;")=0,"",SUMIFS(BD!$N$3:$N$5001,BD!$A$3:$A$5001,H$3,BD!$B$3:$B$5001,$A$227)))</f>
        <v/>
      </c>
      <c r="I239" s="225" t="str">
        <f>IF(I$3="","",IF(COUNTIFS(BD!$A$3:$A$5001,I$3,BD!$B$3:$B$5001,$A$227,BD!$N$3:$N$5001,"&lt;&gt;")=0,"",SUMIFS(BD!$N$3:$N$5001,BD!$A$3:$A$5001,I$3,BD!$B$3:$B$5001,$A$227)))</f>
        <v/>
      </c>
      <c r="J239" s="225" t="str">
        <f>IF(J$3="","",IF(COUNTIFS(BD!$A$3:$A$5001,J$3,BD!$B$3:$B$5001,$A$227,BD!$N$3:$N$5001,"&lt;&gt;")=0,"",SUMIFS(BD!$N$3:$N$5001,BD!$A$3:$A$5001,J$3,BD!$B$3:$B$5001,$A$227)))</f>
        <v/>
      </c>
      <c r="K239" s="225" t="str">
        <f>IF(K$3="","",IF(COUNTIFS(BD!$A$3:$A$5001,K$3,BD!$B$3:$B$5001,$A$227,BD!$N$3:$N$5001,"&lt;&gt;")=0,"",SUMIFS(BD!$N$3:$N$5001,BD!$A$3:$A$5001,K$3,BD!$B$3:$B$5001,$A$227)))</f>
        <v/>
      </c>
      <c r="L239" s="225" t="str">
        <f>IF(L$3="","",IF(COUNTIFS(BD!$A$3:$A$5001,L$3,BD!$B$3:$B$5001,$A$227,BD!$N$3:$N$5001,"&lt;&gt;")=0,"",SUMIFS(BD!$N$3:$N$5001,BD!$A$3:$A$5001,L$3,BD!$B$3:$B$5001,$A$227)))</f>
        <v/>
      </c>
      <c r="M239" s="225" t="str">
        <f>IF(M$3="","",IF(COUNTIFS(BD!$A$3:$A$5001,M$3,BD!$B$3:$B$5001,$A$227,BD!$N$3:$N$5001,"&lt;&gt;")=0,"",SUMIFS(BD!$N$3:$N$5001,BD!$A$3:$A$5001,M$3,BD!$B$3:$B$5001,$A$227)))</f>
        <v/>
      </c>
      <c r="N239" s="225" t="str">
        <f>IF(N$3="","",IF(COUNTIFS(BD!$A$3:$A$5001,N$3,BD!$B$3:$B$5001,$A$227,BD!$N$3:$N$5001,"&lt;&gt;")=0,"",SUMIFS(BD!$N$3:$N$5001,BD!$A$3:$A$5001,N$3,BD!$B$3:$B$5001,$A$227)))</f>
        <v/>
      </c>
      <c r="O239" s="225" t="str">
        <f>IF(O$3="","",IF(COUNTIFS(BD!$A$3:$A$5001,O$3,BD!$B$3:$B$5001,$A$227,BD!$N$3:$N$5001,"&lt;&gt;")=0,"",SUMIFS(BD!$N$3:$N$5001,BD!$A$3:$A$5001,O$3,BD!$B$3:$B$5001,$A$227)))</f>
        <v/>
      </c>
      <c r="P239" s="225" t="str">
        <f>IF(P$3="","",IF(COUNTIFS(BD!$A$3:$A$5001,P$3,BD!$B$3:$B$5001,$A$227,BD!$N$3:$N$5001,"&lt;&gt;")=0,"",SUMIFS(BD!$N$3:$N$5001,BD!$A$3:$A$5001,P$3,BD!$B$3:$B$5001,$A$227)))</f>
        <v/>
      </c>
      <c r="Q239" s="225" t="str">
        <f>IF(Q$3="","",IF(COUNTIFS(BD!$A$3:$A$5001,Q$3,BD!$B$3:$B$5001,$A$227,BD!$N$3:$N$5001,"&lt;&gt;")=0,"",SUMIFS(BD!$N$3:$N$5001,BD!$A$3:$A$5001,Q$3,BD!$B$3:$B$5001,$A$227)))</f>
        <v/>
      </c>
      <c r="R239" s="225" t="str">
        <f>IF(R$3="","",IF(COUNTIFS(BD!$A$3:$A$5001,R$3,BD!$B$3:$B$5001,$A$227,BD!$N$3:$N$5001,"&lt;&gt;")=0,"",SUMIFS(BD!$N$3:$N$5001,BD!$A$3:$A$5001,R$3,BD!$B$3:$B$5001,$A$227)))</f>
        <v/>
      </c>
      <c r="S239" s="225" t="str">
        <f>IF(S$3="","",IF(COUNTIFS(BD!$A$3:$A$5001,S$3,BD!$B$3:$B$5001,$A$227,BD!$N$3:$N$5001,"&lt;&gt;")=0,"",SUMIFS(BD!$N$3:$N$5001,BD!$A$3:$A$5001,S$3,BD!$B$3:$B$5001,$A$227)))</f>
        <v/>
      </c>
      <c r="T239" s="225" t="str">
        <f>IF(T$3="","",IF(COUNTIFS(BD!$A$3:$A$5001,T$3,BD!$B$3:$B$5001,$A$227,BD!$N$3:$N$5001,"&lt;&gt;")=0,"",SUMIFS(BD!$N$3:$N$5001,BD!$A$3:$A$5001,T$3,BD!$B$3:$B$5001,$A$227)))</f>
        <v/>
      </c>
      <c r="U239" s="225" t="str">
        <f>IF(U$3="","",IF(COUNTIFS(BD!$A$3:$A$5001,U$3,BD!$B$3:$B$5001,$A$227,BD!$N$3:$N$5001,"&lt;&gt;")=0,"",SUMIFS(BD!$N$3:$N$5001,BD!$A$3:$A$5001,U$3,BD!$B$3:$B$5001,$A$227)))</f>
        <v/>
      </c>
      <c r="V239" s="225" t="str">
        <f>IF(V$3="","",IF(COUNTIFS(BD!$A$3:$A$5001,V$3,BD!$B$3:$B$5001,$A$227,BD!$N$3:$N$5001,"&lt;&gt;")=0,"",SUMIFS(BD!$N$3:$N$5001,BD!$A$3:$A$5001,V$3,BD!$B$3:$B$5001,$A$227)))</f>
        <v/>
      </c>
      <c r="W239" s="225" t="str">
        <f>IF(W$3="","",IF(COUNTIFS(BD!$A$3:$A$5001,W$3,BD!$B$3:$B$5001,$A$227,BD!$N$3:$N$5001,"&lt;&gt;")=0,"",SUMIFS(BD!$N$3:$N$5001,BD!$A$3:$A$5001,W$3,BD!$B$3:$B$5001,$A$227)))</f>
        <v/>
      </c>
      <c r="X239" s="225" t="str">
        <f>IF(X$3="","",IF(COUNTIFS(BD!$A$3:$A$5001,X$3,BD!$B$3:$B$5001,$A$227,BD!$N$3:$N$5001,"&lt;&gt;")=0,"",SUMIFS(BD!$N$3:$N$5001,BD!$A$3:$A$5001,X$3,BD!$B$3:$B$5001,$A$227)))</f>
        <v/>
      </c>
      <c r="Y239" s="225" t="str">
        <f>IF(Y$3="","",IF(COUNTIFS(BD!$A$3:$A$5001,Y$3,BD!$B$3:$B$5001,$A$227,BD!$N$3:$N$5001,"&lt;&gt;")=0,"",SUMIFS(BD!$N$3:$N$5001,BD!$A$3:$A$5001,Y$3,BD!$B$3:$B$5001,$A$227)))</f>
        <v/>
      </c>
      <c r="Z239" s="225" t="str">
        <f>IF(Z$3="","",IF(COUNTIFS(BD!$A$3:$A$5001,Z$3,BD!$B$3:$B$5001,$A$227,BD!$N$3:$N$5001,"&lt;&gt;")=0,"",SUMIFS(BD!$N$3:$N$5001,BD!$A$3:$A$5001,Z$3,BD!$B$3:$B$5001,$A$227)))</f>
        <v/>
      </c>
      <c r="AA239" s="225" t="str">
        <f>IF(AA$3="","",IF(COUNTIFS(BD!$A$3:$A$5001,AA$3,BD!$B$3:$B$5001,$A$227,BD!$N$3:$N$5001,"&lt;&gt;")=0,"",SUMIFS(BD!$N$3:$N$5001,BD!$A$3:$A$5001,AA$3,BD!$B$3:$B$5001,$A$227)))</f>
        <v/>
      </c>
      <c r="AB239" s="225" t="str">
        <f>IF(AB$3="","",IF(COUNTIFS(BD!$A$3:$A$5001,AB$3,BD!$B$3:$B$5001,$A$227,BD!$N$3:$N$5001,"&lt;&gt;")=0,"",SUMIFS(BD!$N$3:$N$5001,BD!$A$3:$A$5001,AB$3,BD!$B$3:$B$5001,$A$227)))</f>
        <v/>
      </c>
      <c r="AC239" s="225" t="str">
        <f>IF(AC$3="","",IF(COUNTIFS(BD!$A$3:$A$5001,AC$3,BD!$B$3:$B$5001,$A$227,BD!$N$3:$N$5001,"&lt;&gt;")=0,"",SUMIFS(BD!$N$3:$N$5001,BD!$A$3:$A$5001,AC$3,BD!$B$3:$B$5001,$A$227)))</f>
        <v/>
      </c>
      <c r="AD239" s="225" t="str">
        <f>IF(AD$3="","",IF(COUNTIFS(BD!$A$3:$A$5001,AD$3,BD!$B$3:$B$5001,$A$227,BD!$N$3:$N$5001,"&lt;&gt;")=0,"",SUMIFS(BD!$N$3:$N$5001,BD!$A$3:$A$5001,AD$3,BD!$B$3:$B$5001,$A$227)))</f>
        <v/>
      </c>
      <c r="AE239" s="225" t="str">
        <f>IF(AE$3="","",IF(COUNTIFS(BD!$A$3:$A$5001,AE$3,BD!$B$3:$B$5001,$A$227,BD!$N$3:$N$5001,"&lt;&gt;")=0,"",SUMIFS(BD!$N$3:$N$5001,BD!$A$3:$A$5001,AE$3,BD!$B$3:$B$5001,$A$227)))</f>
        <v/>
      </c>
      <c r="AF239" s="225" t="str">
        <f>IF(AF$3="","",IF(COUNTIFS(BD!$A$3:$A$5001,AF$3,BD!$B$3:$B$5001,$A$227,BD!$N$3:$N$5001,"&lt;&gt;")=0,"",SUMIFS(BD!$N$3:$N$5001,BD!$A$3:$A$5001,AF$3,BD!$B$3:$B$5001,$A$227)))</f>
        <v/>
      </c>
      <c r="AG239" s="225" t="str">
        <f>IF(AG$3="","",IF(COUNTIFS(BD!$A$3:$A$5001,AG$3,BD!$B$3:$B$5001,$A$227,BD!$N$3:$N$5001,"&lt;&gt;")=0,"",SUMIFS(BD!$N$3:$N$5001,BD!$A$3:$A$5001,AG$3,BD!$B$3:$B$5001,$A$227)))</f>
        <v/>
      </c>
      <c r="AH239" s="225" t="str">
        <f>IF(AH$3="","",IF(COUNTIFS(BD!$A$3:$A$5001,AH$3,BD!$B$3:$B$5001,$A$227,BD!$N$3:$N$5001,"&lt;&gt;")=0,"",SUMIFS(BD!$N$3:$N$5001,BD!$A$3:$A$5001,AH$3,BD!$B$3:$B$5001,$A$227)))</f>
        <v/>
      </c>
      <c r="AI239" s="225" t="str">
        <f>IF(AI$3="","",IF(COUNTIFS(BD!$A$3:$A$5001,AI$3,BD!$B$3:$B$5001,$A$227,BD!$N$3:$N$5001,"&lt;&gt;")=0,"",SUMIFS(BD!$N$3:$N$5001,BD!$A$3:$A$5001,AI$3,BD!$B$3:$B$5001,$A$227)))</f>
        <v/>
      </c>
      <c r="AJ239" s="226" t="str">
        <f>IF(AJ$3="","",IF(COUNTIFS(BD!$A$3:$A$5001,AJ$3,BD!$B$3:$B$5001,$A$227,BD!$N$3:$N$5001,"&lt;&gt;")=0,"",SUMIFS(BD!$N$3:$N$5001,BD!$A$3:$A$5001,AJ$3,BD!$B$3:$B$5001,$A$227)))</f>
        <v/>
      </c>
      <c r="AK239" s="227" t="str">
        <f>IFERROR(LOOKUP(9.99E+307,F239:AJ239),"")</f>
        <v/>
      </c>
    </row>
    <row r="240" ht="15.75" customHeight="1" hidden="1">
      <c r="A240" s="254"/>
      <c r="B240" s="251"/>
      <c r="C240" s="228" t="inlineStr">
        <is>
          <t xml:space="preserve">Falta</t>
        </is>
      </c>
      <c r="D240" s="229" t="str">
        <f>IFERROR(1/(1/INDEX(BD!$Y$36:$AS$36,MATCH($A$227,BD!$Y$22:$AS$22,0))),"")</f>
        <v/>
      </c>
      <c r="E240" s="230"/>
      <c r="F240" s="231" t="str">
        <f>IF(F$3="","",IF(COUNTIFS(BD!$A$3:$A$5001,F$3,BD!$B$3:$B$5001,$A$227,BD!$O$3:$O$5001,"&lt;&gt;")=0,"",SUMIFS(BD!$O$3:$O$5001,BD!$A$3:$A$5001,F$3,BD!$B$3:$B$5001,$A$227)))</f>
        <v/>
      </c>
      <c r="G240" s="232" t="str">
        <f>IF(G$3="","",IF(COUNTIFS(BD!$A$3:$A$5001,G$3,BD!$B$3:$B$5001,$A$227,BD!$O$3:$O$5001,"&lt;&gt;")=0,"",SUMIFS(BD!$O$3:$O$5001,BD!$A$3:$A$5001,G$3,BD!$B$3:$B$5001,$A$227)))</f>
        <v/>
      </c>
      <c r="H240" s="232" t="str">
        <f>IF(H$3="","",IF(COUNTIFS(BD!$A$3:$A$5001,H$3,BD!$B$3:$B$5001,$A$227,BD!$O$3:$O$5001,"&lt;&gt;")=0,"",SUMIFS(BD!$O$3:$O$5001,BD!$A$3:$A$5001,H$3,BD!$B$3:$B$5001,$A$227)))</f>
        <v/>
      </c>
      <c r="I240" s="232" t="str">
        <f>IF(I$3="","",IF(COUNTIFS(BD!$A$3:$A$5001,I$3,BD!$B$3:$B$5001,$A$227,BD!$O$3:$O$5001,"&lt;&gt;")=0,"",SUMIFS(BD!$O$3:$O$5001,BD!$A$3:$A$5001,I$3,BD!$B$3:$B$5001,$A$227)))</f>
        <v/>
      </c>
      <c r="J240" s="232" t="str">
        <f>IF(J$3="","",IF(COUNTIFS(BD!$A$3:$A$5001,J$3,BD!$B$3:$B$5001,$A$227,BD!$O$3:$O$5001,"&lt;&gt;")=0,"",SUMIFS(BD!$O$3:$O$5001,BD!$A$3:$A$5001,J$3,BD!$B$3:$B$5001,$A$227)))</f>
        <v/>
      </c>
      <c r="K240" s="232" t="str">
        <f>IF(K$3="","",IF(COUNTIFS(BD!$A$3:$A$5001,K$3,BD!$B$3:$B$5001,$A$227,BD!$O$3:$O$5001,"&lt;&gt;")=0,"",SUMIFS(BD!$O$3:$O$5001,BD!$A$3:$A$5001,K$3,BD!$B$3:$B$5001,$A$227)))</f>
        <v/>
      </c>
      <c r="L240" s="232" t="str">
        <f>IF(L$3="","",IF(COUNTIFS(BD!$A$3:$A$5001,L$3,BD!$B$3:$B$5001,$A$227,BD!$O$3:$O$5001,"&lt;&gt;")=0,"",SUMIFS(BD!$O$3:$O$5001,BD!$A$3:$A$5001,L$3,BD!$B$3:$B$5001,$A$227)))</f>
        <v/>
      </c>
      <c r="M240" s="232" t="str">
        <f>IF(M$3="","",IF(COUNTIFS(BD!$A$3:$A$5001,M$3,BD!$B$3:$B$5001,$A$227,BD!$O$3:$O$5001,"&lt;&gt;")=0,"",SUMIFS(BD!$O$3:$O$5001,BD!$A$3:$A$5001,M$3,BD!$B$3:$B$5001,$A$227)))</f>
        <v/>
      </c>
      <c r="N240" s="232" t="str">
        <f>IF(N$3="","",IF(COUNTIFS(BD!$A$3:$A$5001,N$3,BD!$B$3:$B$5001,$A$227,BD!$O$3:$O$5001,"&lt;&gt;")=0,"",SUMIFS(BD!$O$3:$O$5001,BD!$A$3:$A$5001,N$3,BD!$B$3:$B$5001,$A$227)))</f>
        <v/>
      </c>
      <c r="O240" s="232" t="str">
        <f>IF(O$3="","",IF(COUNTIFS(BD!$A$3:$A$5001,O$3,BD!$B$3:$B$5001,$A$227,BD!$O$3:$O$5001,"&lt;&gt;")=0,"",SUMIFS(BD!$O$3:$O$5001,BD!$A$3:$A$5001,O$3,BD!$B$3:$B$5001,$A$227)))</f>
        <v/>
      </c>
      <c r="P240" s="232" t="str">
        <f>IF(P$3="","",IF(COUNTIFS(BD!$A$3:$A$5001,P$3,BD!$B$3:$B$5001,$A$227,BD!$O$3:$O$5001,"&lt;&gt;")=0,"",SUMIFS(BD!$O$3:$O$5001,BD!$A$3:$A$5001,P$3,BD!$B$3:$B$5001,$A$227)))</f>
        <v/>
      </c>
      <c r="Q240" s="232" t="str">
        <f>IF(Q$3="","",IF(COUNTIFS(BD!$A$3:$A$5001,Q$3,BD!$B$3:$B$5001,$A$227,BD!$O$3:$O$5001,"&lt;&gt;")=0,"",SUMIFS(BD!$O$3:$O$5001,BD!$A$3:$A$5001,Q$3,BD!$B$3:$B$5001,$A$227)))</f>
        <v/>
      </c>
      <c r="R240" s="232" t="str">
        <f>IF(R$3="","",IF(COUNTIFS(BD!$A$3:$A$5001,R$3,BD!$B$3:$B$5001,$A$227,BD!$O$3:$O$5001,"&lt;&gt;")=0,"",SUMIFS(BD!$O$3:$O$5001,BD!$A$3:$A$5001,R$3,BD!$B$3:$B$5001,$A$227)))</f>
        <v/>
      </c>
      <c r="S240" s="232" t="str">
        <f>IF(S$3="","",IF(COUNTIFS(BD!$A$3:$A$5001,S$3,BD!$B$3:$B$5001,$A$227,BD!$O$3:$O$5001,"&lt;&gt;")=0,"",SUMIFS(BD!$O$3:$O$5001,BD!$A$3:$A$5001,S$3,BD!$B$3:$B$5001,$A$227)))</f>
        <v/>
      </c>
      <c r="T240" s="232" t="str">
        <f>IF(T$3="","",IF(COUNTIFS(BD!$A$3:$A$5001,T$3,BD!$B$3:$B$5001,$A$227,BD!$O$3:$O$5001,"&lt;&gt;")=0,"",SUMIFS(BD!$O$3:$O$5001,BD!$A$3:$A$5001,T$3,BD!$B$3:$B$5001,$A$227)))</f>
        <v/>
      </c>
      <c r="U240" s="232" t="str">
        <f>IF(U$3="","",IF(COUNTIFS(BD!$A$3:$A$5001,U$3,BD!$B$3:$B$5001,$A$227,BD!$O$3:$O$5001,"&lt;&gt;")=0,"",SUMIFS(BD!$O$3:$O$5001,BD!$A$3:$A$5001,U$3,BD!$B$3:$B$5001,$A$227)))</f>
        <v/>
      </c>
      <c r="V240" s="232" t="str">
        <f>IF(V$3="","",IF(COUNTIFS(BD!$A$3:$A$5001,V$3,BD!$B$3:$B$5001,$A$227,BD!$O$3:$O$5001,"&lt;&gt;")=0,"",SUMIFS(BD!$O$3:$O$5001,BD!$A$3:$A$5001,V$3,BD!$B$3:$B$5001,$A$227)))</f>
        <v/>
      </c>
      <c r="W240" s="232" t="str">
        <f>IF(W$3="","",IF(COUNTIFS(BD!$A$3:$A$5001,W$3,BD!$B$3:$B$5001,$A$227,BD!$O$3:$O$5001,"&lt;&gt;")=0,"",SUMIFS(BD!$O$3:$O$5001,BD!$A$3:$A$5001,W$3,BD!$B$3:$B$5001,$A$227)))</f>
        <v/>
      </c>
      <c r="X240" s="232" t="str">
        <f>IF(X$3="","",IF(COUNTIFS(BD!$A$3:$A$5001,X$3,BD!$B$3:$B$5001,$A$227,BD!$O$3:$O$5001,"&lt;&gt;")=0,"",SUMIFS(BD!$O$3:$O$5001,BD!$A$3:$A$5001,X$3,BD!$B$3:$B$5001,$A$227)))</f>
        <v/>
      </c>
      <c r="Y240" s="232" t="str">
        <f>IF(Y$3="","",IF(COUNTIFS(BD!$A$3:$A$5001,Y$3,BD!$B$3:$B$5001,$A$227,BD!$O$3:$O$5001,"&lt;&gt;")=0,"",SUMIFS(BD!$O$3:$O$5001,BD!$A$3:$A$5001,Y$3,BD!$B$3:$B$5001,$A$227)))</f>
        <v/>
      </c>
      <c r="Z240" s="232" t="str">
        <f>IF(Z$3="","",IF(COUNTIFS(BD!$A$3:$A$5001,Z$3,BD!$B$3:$B$5001,$A$227,BD!$O$3:$O$5001,"&lt;&gt;")=0,"",SUMIFS(BD!$O$3:$O$5001,BD!$A$3:$A$5001,Z$3,BD!$B$3:$B$5001,$A$227)))</f>
        <v/>
      </c>
      <c r="AA240" s="232" t="str">
        <f>IF(AA$3="","",IF(COUNTIFS(BD!$A$3:$A$5001,AA$3,BD!$B$3:$B$5001,$A$227,BD!$O$3:$O$5001,"&lt;&gt;")=0,"",SUMIFS(BD!$O$3:$O$5001,BD!$A$3:$A$5001,AA$3,BD!$B$3:$B$5001,$A$227)))</f>
        <v/>
      </c>
      <c r="AB240" s="232" t="str">
        <f>IF(AB$3="","",IF(COUNTIFS(BD!$A$3:$A$5001,AB$3,BD!$B$3:$B$5001,$A$227,BD!$O$3:$O$5001,"&lt;&gt;")=0,"",SUMIFS(BD!$O$3:$O$5001,BD!$A$3:$A$5001,AB$3,BD!$B$3:$B$5001,$A$227)))</f>
        <v/>
      </c>
      <c r="AC240" s="232" t="str">
        <f>IF(AC$3="","",IF(COUNTIFS(BD!$A$3:$A$5001,AC$3,BD!$B$3:$B$5001,$A$227,BD!$O$3:$O$5001,"&lt;&gt;")=0,"",SUMIFS(BD!$O$3:$O$5001,BD!$A$3:$A$5001,AC$3,BD!$B$3:$B$5001,$A$227)))</f>
        <v/>
      </c>
      <c r="AD240" s="232" t="str">
        <f>IF(AD$3="","",IF(COUNTIFS(BD!$A$3:$A$5001,AD$3,BD!$B$3:$B$5001,$A$227,BD!$O$3:$O$5001,"&lt;&gt;")=0,"",SUMIFS(BD!$O$3:$O$5001,BD!$A$3:$A$5001,AD$3,BD!$B$3:$B$5001,$A$227)))</f>
        <v/>
      </c>
      <c r="AE240" s="232" t="str">
        <f>IF(AE$3="","",IF(COUNTIFS(BD!$A$3:$A$5001,AE$3,BD!$B$3:$B$5001,$A$227,BD!$O$3:$O$5001,"&lt;&gt;")=0,"",SUMIFS(BD!$O$3:$O$5001,BD!$A$3:$A$5001,AE$3,BD!$B$3:$B$5001,$A$227)))</f>
        <v/>
      </c>
      <c r="AF240" s="232" t="str">
        <f>IF(AF$3="","",IF(COUNTIFS(BD!$A$3:$A$5001,AF$3,BD!$B$3:$B$5001,$A$227,BD!$O$3:$O$5001,"&lt;&gt;")=0,"",SUMIFS(BD!$O$3:$O$5001,BD!$A$3:$A$5001,AF$3,BD!$B$3:$B$5001,$A$227)))</f>
        <v/>
      </c>
      <c r="AG240" s="232" t="str">
        <f>IF(AG$3="","",IF(COUNTIFS(BD!$A$3:$A$5001,AG$3,BD!$B$3:$B$5001,$A$227,BD!$O$3:$O$5001,"&lt;&gt;")=0,"",SUMIFS(BD!$O$3:$O$5001,BD!$A$3:$A$5001,AG$3,BD!$B$3:$B$5001,$A$227)))</f>
        <v/>
      </c>
      <c r="AH240" s="232" t="str">
        <f>IF(AH$3="","",IF(COUNTIFS(BD!$A$3:$A$5001,AH$3,BD!$B$3:$B$5001,$A$227,BD!$O$3:$O$5001,"&lt;&gt;")=0,"",SUMIFS(BD!$O$3:$O$5001,BD!$A$3:$A$5001,AH$3,BD!$B$3:$B$5001,$A$227)))</f>
        <v/>
      </c>
      <c r="AI240" s="232" t="str">
        <f>IF(AI$3="","",IF(COUNTIFS(BD!$A$3:$A$5001,AI$3,BD!$B$3:$B$5001,$A$227,BD!$O$3:$O$5001,"&lt;&gt;")=0,"",SUMIFS(BD!$O$3:$O$5001,BD!$A$3:$A$5001,AI$3,BD!$B$3:$B$5001,$A$227)))</f>
        <v/>
      </c>
      <c r="AJ240" s="233" t="str">
        <f>IF(AJ$3="","",IF(COUNTIFS(BD!$A$3:$A$5001,AJ$3,BD!$B$3:$B$5001,$A$227,BD!$O$3:$O$5001,"&lt;&gt;")=0,"",SUMIFS(BD!$O$3:$O$5001,BD!$A$3:$A$5001,AJ$3,BD!$B$3:$B$5001,$A$227)))</f>
        <v/>
      </c>
      <c r="AK240" s="234" t="str">
        <f>IF(COUNT(F240:AJ240)=0,"",SUM(F240:AJ240))</f>
        <v/>
      </c>
    </row>
    <row r="241" ht="15.75" customHeight="1" hidden="1">
      <c r="A241" s="254"/>
      <c r="B241" s="251"/>
      <c r="C241" s="228" t="inlineStr">
        <is>
          <t xml:space="preserve">Folga</t>
        </is>
      </c>
      <c r="D241" s="229" t="str">
        <f>IFERROR(1/(1/INDEX(BD!$Y$37:$AS$37,MATCH($A$227,BD!$Y$22:$AS$22,0))),"")</f>
        <v/>
      </c>
      <c r="E241" s="230"/>
      <c r="F241" s="231" t="str">
        <f>IF(F$3="","",IF(COUNTIFS(BD!$A$3:$A$5001,F$3,BD!$B$3:$B$5001,$A$227,BD!$P$3:$P$5001,"&lt;&gt;")=0,"",SUMIFS(BD!$P$3:$P$5001,BD!$A$3:$A$5001,F$3,BD!$B$3:$B$5001,$A$227)))</f>
        <v/>
      </c>
      <c r="G241" s="232" t="str">
        <f>IF(G$3="","",IF(COUNTIFS(BD!$A$3:$A$5001,G$3,BD!$B$3:$B$5001,$A$227,BD!$P$3:$P$5001,"&lt;&gt;")=0,"",SUMIFS(BD!$P$3:$P$5001,BD!$A$3:$A$5001,G$3,BD!$B$3:$B$5001,$A$227)))</f>
        <v/>
      </c>
      <c r="H241" s="232" t="str">
        <f>IF(H$3="","",IF(COUNTIFS(BD!$A$3:$A$5001,H$3,BD!$B$3:$B$5001,$A$227,BD!$P$3:$P$5001,"&lt;&gt;")=0,"",SUMIFS(BD!$P$3:$P$5001,BD!$A$3:$A$5001,H$3,BD!$B$3:$B$5001,$A$227)))</f>
        <v/>
      </c>
      <c r="I241" s="232" t="str">
        <f>IF(I$3="","",IF(COUNTIFS(BD!$A$3:$A$5001,I$3,BD!$B$3:$B$5001,$A$227,BD!$P$3:$P$5001,"&lt;&gt;")=0,"",SUMIFS(BD!$P$3:$P$5001,BD!$A$3:$A$5001,I$3,BD!$B$3:$B$5001,$A$227)))</f>
        <v/>
      </c>
      <c r="J241" s="232" t="str">
        <f>IF(J$3="","",IF(COUNTIFS(BD!$A$3:$A$5001,J$3,BD!$B$3:$B$5001,$A$227,BD!$P$3:$P$5001,"&lt;&gt;")=0,"",SUMIFS(BD!$P$3:$P$5001,BD!$A$3:$A$5001,J$3,BD!$B$3:$B$5001,$A$227)))</f>
        <v/>
      </c>
      <c r="K241" s="232" t="str">
        <f>IF(K$3="","",IF(COUNTIFS(BD!$A$3:$A$5001,K$3,BD!$B$3:$B$5001,$A$227,BD!$P$3:$P$5001,"&lt;&gt;")=0,"",SUMIFS(BD!$P$3:$P$5001,BD!$A$3:$A$5001,K$3,BD!$B$3:$B$5001,$A$227)))</f>
        <v/>
      </c>
      <c r="L241" s="232" t="str">
        <f>IF(L$3="","",IF(COUNTIFS(BD!$A$3:$A$5001,L$3,BD!$B$3:$B$5001,$A$227,BD!$P$3:$P$5001,"&lt;&gt;")=0,"",SUMIFS(BD!$P$3:$P$5001,BD!$A$3:$A$5001,L$3,BD!$B$3:$B$5001,$A$227)))</f>
        <v/>
      </c>
      <c r="M241" s="232" t="str">
        <f>IF(M$3="","",IF(COUNTIFS(BD!$A$3:$A$5001,M$3,BD!$B$3:$B$5001,$A$227,BD!$P$3:$P$5001,"&lt;&gt;")=0,"",SUMIFS(BD!$P$3:$P$5001,BD!$A$3:$A$5001,M$3,BD!$B$3:$B$5001,$A$227)))</f>
        <v/>
      </c>
      <c r="N241" s="232" t="str">
        <f>IF(N$3="","",IF(COUNTIFS(BD!$A$3:$A$5001,N$3,BD!$B$3:$B$5001,$A$227,BD!$P$3:$P$5001,"&lt;&gt;")=0,"",SUMIFS(BD!$P$3:$P$5001,BD!$A$3:$A$5001,N$3,BD!$B$3:$B$5001,$A$227)))</f>
        <v/>
      </c>
      <c r="O241" s="232" t="str">
        <f>IF(O$3="","",IF(COUNTIFS(BD!$A$3:$A$5001,O$3,BD!$B$3:$B$5001,$A$227,BD!$P$3:$P$5001,"&lt;&gt;")=0,"",SUMIFS(BD!$P$3:$P$5001,BD!$A$3:$A$5001,O$3,BD!$B$3:$B$5001,$A$227)))</f>
        <v/>
      </c>
      <c r="P241" s="232" t="str">
        <f>IF(P$3="","",IF(COUNTIFS(BD!$A$3:$A$5001,P$3,BD!$B$3:$B$5001,$A$227,BD!$P$3:$P$5001,"&lt;&gt;")=0,"",SUMIFS(BD!$P$3:$P$5001,BD!$A$3:$A$5001,P$3,BD!$B$3:$B$5001,$A$227)))</f>
        <v/>
      </c>
      <c r="Q241" s="232" t="str">
        <f>IF(Q$3="","",IF(COUNTIFS(BD!$A$3:$A$5001,Q$3,BD!$B$3:$B$5001,$A$227,BD!$P$3:$P$5001,"&lt;&gt;")=0,"",SUMIFS(BD!$P$3:$P$5001,BD!$A$3:$A$5001,Q$3,BD!$B$3:$B$5001,$A$227)))</f>
        <v/>
      </c>
      <c r="R241" s="232" t="str">
        <f>IF(R$3="","",IF(COUNTIFS(BD!$A$3:$A$5001,R$3,BD!$B$3:$B$5001,$A$227,BD!$P$3:$P$5001,"&lt;&gt;")=0,"",SUMIFS(BD!$P$3:$P$5001,BD!$A$3:$A$5001,R$3,BD!$B$3:$B$5001,$A$227)))</f>
        <v/>
      </c>
      <c r="S241" s="232" t="str">
        <f>IF(S$3="","",IF(COUNTIFS(BD!$A$3:$A$5001,S$3,BD!$B$3:$B$5001,$A$227,BD!$P$3:$P$5001,"&lt;&gt;")=0,"",SUMIFS(BD!$P$3:$P$5001,BD!$A$3:$A$5001,S$3,BD!$B$3:$B$5001,$A$227)))</f>
        <v/>
      </c>
      <c r="T241" s="232" t="str">
        <f>IF(T$3="","",IF(COUNTIFS(BD!$A$3:$A$5001,T$3,BD!$B$3:$B$5001,$A$227,BD!$P$3:$P$5001,"&lt;&gt;")=0,"",SUMIFS(BD!$P$3:$P$5001,BD!$A$3:$A$5001,T$3,BD!$B$3:$B$5001,$A$227)))</f>
        <v/>
      </c>
      <c r="U241" s="232" t="str">
        <f>IF(U$3="","",IF(COUNTIFS(BD!$A$3:$A$5001,U$3,BD!$B$3:$B$5001,$A$227,BD!$P$3:$P$5001,"&lt;&gt;")=0,"",SUMIFS(BD!$P$3:$P$5001,BD!$A$3:$A$5001,U$3,BD!$B$3:$B$5001,$A$227)))</f>
        <v/>
      </c>
      <c r="V241" s="232" t="str">
        <f>IF(V$3="","",IF(COUNTIFS(BD!$A$3:$A$5001,V$3,BD!$B$3:$B$5001,$A$227,BD!$P$3:$P$5001,"&lt;&gt;")=0,"",SUMIFS(BD!$P$3:$P$5001,BD!$A$3:$A$5001,V$3,BD!$B$3:$B$5001,$A$227)))</f>
        <v/>
      </c>
      <c r="W241" s="232" t="str">
        <f>IF(W$3="","",IF(COUNTIFS(BD!$A$3:$A$5001,W$3,BD!$B$3:$B$5001,$A$227,BD!$P$3:$P$5001,"&lt;&gt;")=0,"",SUMIFS(BD!$P$3:$P$5001,BD!$A$3:$A$5001,W$3,BD!$B$3:$B$5001,$A$227)))</f>
        <v/>
      </c>
      <c r="X241" s="232" t="str">
        <f>IF(X$3="","",IF(COUNTIFS(BD!$A$3:$A$5001,X$3,BD!$B$3:$B$5001,$A$227,BD!$P$3:$P$5001,"&lt;&gt;")=0,"",SUMIFS(BD!$P$3:$P$5001,BD!$A$3:$A$5001,X$3,BD!$B$3:$B$5001,$A$227)))</f>
        <v/>
      </c>
      <c r="Y241" s="232" t="str">
        <f>IF(Y$3="","",IF(COUNTIFS(BD!$A$3:$A$5001,Y$3,BD!$B$3:$B$5001,$A$227,BD!$P$3:$P$5001,"&lt;&gt;")=0,"",SUMIFS(BD!$P$3:$P$5001,BD!$A$3:$A$5001,Y$3,BD!$B$3:$B$5001,$A$227)))</f>
        <v/>
      </c>
      <c r="Z241" s="232" t="str">
        <f>IF(Z$3="","",IF(COUNTIFS(BD!$A$3:$A$5001,Z$3,BD!$B$3:$B$5001,$A$227,BD!$P$3:$P$5001,"&lt;&gt;")=0,"",SUMIFS(BD!$P$3:$P$5001,BD!$A$3:$A$5001,Z$3,BD!$B$3:$B$5001,$A$227)))</f>
        <v/>
      </c>
      <c r="AA241" s="232" t="str">
        <f>IF(AA$3="","",IF(COUNTIFS(BD!$A$3:$A$5001,AA$3,BD!$B$3:$B$5001,$A$227,BD!$P$3:$P$5001,"&lt;&gt;")=0,"",SUMIFS(BD!$P$3:$P$5001,BD!$A$3:$A$5001,AA$3,BD!$B$3:$B$5001,$A$227)))</f>
        <v/>
      </c>
      <c r="AB241" s="232" t="str">
        <f>IF(AB$3="","",IF(COUNTIFS(BD!$A$3:$A$5001,AB$3,BD!$B$3:$B$5001,$A$227,BD!$P$3:$P$5001,"&lt;&gt;")=0,"",SUMIFS(BD!$P$3:$P$5001,BD!$A$3:$A$5001,AB$3,BD!$B$3:$B$5001,$A$227)))</f>
        <v/>
      </c>
      <c r="AC241" s="232" t="str">
        <f>IF(AC$3="","",IF(COUNTIFS(BD!$A$3:$A$5001,AC$3,BD!$B$3:$B$5001,$A$227,BD!$P$3:$P$5001,"&lt;&gt;")=0,"",SUMIFS(BD!$P$3:$P$5001,BD!$A$3:$A$5001,AC$3,BD!$B$3:$B$5001,$A$227)))</f>
        <v/>
      </c>
      <c r="AD241" s="232" t="str">
        <f>IF(AD$3="","",IF(COUNTIFS(BD!$A$3:$A$5001,AD$3,BD!$B$3:$B$5001,$A$227,BD!$P$3:$P$5001,"&lt;&gt;")=0,"",SUMIFS(BD!$P$3:$P$5001,BD!$A$3:$A$5001,AD$3,BD!$B$3:$B$5001,$A$227)))</f>
        <v/>
      </c>
      <c r="AE241" s="232" t="str">
        <f>IF(AE$3="","",IF(COUNTIFS(BD!$A$3:$A$5001,AE$3,BD!$B$3:$B$5001,$A$227,BD!$P$3:$P$5001,"&lt;&gt;")=0,"",SUMIFS(BD!$P$3:$P$5001,BD!$A$3:$A$5001,AE$3,BD!$B$3:$B$5001,$A$227)))</f>
        <v/>
      </c>
      <c r="AF241" s="232" t="str">
        <f>IF(AF$3="","",IF(COUNTIFS(BD!$A$3:$A$5001,AF$3,BD!$B$3:$B$5001,$A$227,BD!$P$3:$P$5001,"&lt;&gt;")=0,"",SUMIFS(BD!$P$3:$P$5001,BD!$A$3:$A$5001,AF$3,BD!$B$3:$B$5001,$A$227)))</f>
        <v/>
      </c>
      <c r="AG241" s="232" t="str">
        <f>IF(AG$3="","",IF(COUNTIFS(BD!$A$3:$A$5001,AG$3,BD!$B$3:$B$5001,$A$227,BD!$P$3:$P$5001,"&lt;&gt;")=0,"",SUMIFS(BD!$P$3:$P$5001,BD!$A$3:$A$5001,AG$3,BD!$B$3:$B$5001,$A$227)))</f>
        <v/>
      </c>
      <c r="AH241" s="232" t="str">
        <f>IF(AH$3="","",IF(COUNTIFS(BD!$A$3:$A$5001,AH$3,BD!$B$3:$B$5001,$A$227,BD!$P$3:$P$5001,"&lt;&gt;")=0,"",SUMIFS(BD!$P$3:$P$5001,BD!$A$3:$A$5001,AH$3,BD!$B$3:$B$5001,$A$227)))</f>
        <v/>
      </c>
      <c r="AI241" s="232" t="str">
        <f>IF(AI$3="","",IF(COUNTIFS(BD!$A$3:$A$5001,AI$3,BD!$B$3:$B$5001,$A$227,BD!$P$3:$P$5001,"&lt;&gt;")=0,"",SUMIFS(BD!$P$3:$P$5001,BD!$A$3:$A$5001,AI$3,BD!$B$3:$B$5001,$A$227)))</f>
        <v/>
      </c>
      <c r="AJ241" s="233" t="str">
        <f>IF(AJ$3="","",IF(COUNTIFS(BD!$A$3:$A$5001,AJ$3,BD!$B$3:$B$5001,$A$227,BD!$P$3:$P$5001,"&lt;&gt;")=0,"",SUMIFS(BD!$P$3:$P$5001,BD!$A$3:$A$5001,AJ$3,BD!$B$3:$B$5001,$A$227)))</f>
        <v/>
      </c>
      <c r="AK241" s="234" t="str">
        <f>IF(COUNT(F241:AJ241)=0,"",SUM(F241:AJ241))</f>
        <v/>
      </c>
    </row>
    <row r="242" ht="15.75" customHeight="1" hidden="1">
      <c r="A242" s="254"/>
      <c r="B242" s="251"/>
      <c r="C242" s="228" t="inlineStr">
        <is>
          <t xml:space="preserve">Férias</t>
        </is>
      </c>
      <c r="D242" s="229" t="str">
        <f>IFERROR(1/(1/INDEX(BD!$Y$38:$AS$38,MATCH($A$227,BD!$Y$22:$AS$22,0))),"")</f>
        <v/>
      </c>
      <c r="E242" s="230"/>
      <c r="F242" s="231" t="str">
        <f>IF(F$3="","",IF(COUNTIFS(BD!$A$3:$A$5001,F$3,BD!$B$3:$B$5001,$A$227,BD!$Q$3:$Q$5001,"&lt;&gt;")=0,"",SUMIFS(BD!$Q$3:$Q$5001,BD!$A$3:$A$5001,F$3,BD!$B$3:$B$5001,$A$227)))</f>
        <v/>
      </c>
      <c r="G242" s="232" t="str">
        <f>IF(G$3="","",IF(COUNTIFS(BD!$A$3:$A$5001,G$3,BD!$B$3:$B$5001,$A$227,BD!$Q$3:$Q$5001,"&lt;&gt;")=0,"",SUMIFS(BD!$Q$3:$Q$5001,BD!$A$3:$A$5001,G$3,BD!$B$3:$B$5001,$A$227)))</f>
        <v/>
      </c>
      <c r="H242" s="232" t="str">
        <f>IF(H$3="","",IF(COUNTIFS(BD!$A$3:$A$5001,H$3,BD!$B$3:$B$5001,$A$227,BD!$Q$3:$Q$5001,"&lt;&gt;")=0,"",SUMIFS(BD!$Q$3:$Q$5001,BD!$A$3:$A$5001,H$3,BD!$B$3:$B$5001,$A$227)))</f>
        <v/>
      </c>
      <c r="I242" s="232" t="str">
        <f>IF(I$3="","",IF(COUNTIFS(BD!$A$3:$A$5001,I$3,BD!$B$3:$B$5001,$A$227,BD!$Q$3:$Q$5001,"&lt;&gt;")=0,"",SUMIFS(BD!$Q$3:$Q$5001,BD!$A$3:$A$5001,I$3,BD!$B$3:$B$5001,$A$227)))</f>
        <v/>
      </c>
      <c r="J242" s="232" t="str">
        <f>IF(J$3="","",IF(COUNTIFS(BD!$A$3:$A$5001,J$3,BD!$B$3:$B$5001,$A$227,BD!$Q$3:$Q$5001,"&lt;&gt;")=0,"",SUMIFS(BD!$Q$3:$Q$5001,BD!$A$3:$A$5001,J$3,BD!$B$3:$B$5001,$A$227)))</f>
        <v/>
      </c>
      <c r="K242" s="232" t="str">
        <f>IF(K$3="","",IF(COUNTIFS(BD!$A$3:$A$5001,K$3,BD!$B$3:$B$5001,$A$227,BD!$Q$3:$Q$5001,"&lt;&gt;")=0,"",SUMIFS(BD!$Q$3:$Q$5001,BD!$A$3:$A$5001,K$3,BD!$B$3:$B$5001,$A$227)))</f>
        <v/>
      </c>
      <c r="L242" s="232" t="str">
        <f>IF(L$3="","",IF(COUNTIFS(BD!$A$3:$A$5001,L$3,BD!$B$3:$B$5001,$A$227,BD!$Q$3:$Q$5001,"&lt;&gt;")=0,"",SUMIFS(BD!$Q$3:$Q$5001,BD!$A$3:$A$5001,L$3,BD!$B$3:$B$5001,$A$227)))</f>
        <v/>
      </c>
      <c r="M242" s="232" t="str">
        <f>IF(M$3="","",IF(COUNTIFS(BD!$A$3:$A$5001,M$3,BD!$B$3:$B$5001,$A$227,BD!$Q$3:$Q$5001,"&lt;&gt;")=0,"",SUMIFS(BD!$Q$3:$Q$5001,BD!$A$3:$A$5001,M$3,BD!$B$3:$B$5001,$A$227)))</f>
        <v/>
      </c>
      <c r="N242" s="232" t="str">
        <f>IF(N$3="","",IF(COUNTIFS(BD!$A$3:$A$5001,N$3,BD!$B$3:$B$5001,$A$227,BD!$Q$3:$Q$5001,"&lt;&gt;")=0,"",SUMIFS(BD!$Q$3:$Q$5001,BD!$A$3:$A$5001,N$3,BD!$B$3:$B$5001,$A$227)))</f>
        <v/>
      </c>
      <c r="O242" s="232" t="str">
        <f>IF(O$3="","",IF(COUNTIFS(BD!$A$3:$A$5001,O$3,BD!$B$3:$B$5001,$A$227,BD!$Q$3:$Q$5001,"&lt;&gt;")=0,"",SUMIFS(BD!$Q$3:$Q$5001,BD!$A$3:$A$5001,O$3,BD!$B$3:$B$5001,$A$227)))</f>
        <v/>
      </c>
      <c r="P242" s="232" t="str">
        <f>IF(P$3="","",IF(COUNTIFS(BD!$A$3:$A$5001,P$3,BD!$B$3:$B$5001,$A$227,BD!$Q$3:$Q$5001,"&lt;&gt;")=0,"",SUMIFS(BD!$Q$3:$Q$5001,BD!$A$3:$A$5001,P$3,BD!$B$3:$B$5001,$A$227)))</f>
        <v/>
      </c>
      <c r="Q242" s="232" t="str">
        <f>IF(Q$3="","",IF(COUNTIFS(BD!$A$3:$A$5001,Q$3,BD!$B$3:$B$5001,$A$227,BD!$Q$3:$Q$5001,"&lt;&gt;")=0,"",SUMIFS(BD!$Q$3:$Q$5001,BD!$A$3:$A$5001,Q$3,BD!$B$3:$B$5001,$A$227)))</f>
        <v/>
      </c>
      <c r="R242" s="232" t="str">
        <f>IF(R$3="","",IF(COUNTIFS(BD!$A$3:$A$5001,R$3,BD!$B$3:$B$5001,$A$227,BD!$Q$3:$Q$5001,"&lt;&gt;")=0,"",SUMIFS(BD!$Q$3:$Q$5001,BD!$A$3:$A$5001,R$3,BD!$B$3:$B$5001,$A$227)))</f>
        <v/>
      </c>
      <c r="S242" s="232" t="str">
        <f>IF(S$3="","",IF(COUNTIFS(BD!$A$3:$A$5001,S$3,BD!$B$3:$B$5001,$A$227,BD!$Q$3:$Q$5001,"&lt;&gt;")=0,"",SUMIFS(BD!$Q$3:$Q$5001,BD!$A$3:$A$5001,S$3,BD!$B$3:$B$5001,$A$227)))</f>
        <v/>
      </c>
      <c r="T242" s="232" t="str">
        <f>IF(T$3="","",IF(COUNTIFS(BD!$A$3:$A$5001,T$3,BD!$B$3:$B$5001,$A$227,BD!$Q$3:$Q$5001,"&lt;&gt;")=0,"",SUMIFS(BD!$Q$3:$Q$5001,BD!$A$3:$A$5001,T$3,BD!$B$3:$B$5001,$A$227)))</f>
        <v/>
      </c>
      <c r="U242" s="232" t="str">
        <f>IF(U$3="","",IF(COUNTIFS(BD!$A$3:$A$5001,U$3,BD!$B$3:$B$5001,$A$227,BD!$Q$3:$Q$5001,"&lt;&gt;")=0,"",SUMIFS(BD!$Q$3:$Q$5001,BD!$A$3:$A$5001,U$3,BD!$B$3:$B$5001,$A$227)))</f>
        <v/>
      </c>
      <c r="V242" s="232" t="str">
        <f>IF(V$3="","",IF(COUNTIFS(BD!$A$3:$A$5001,V$3,BD!$B$3:$B$5001,$A$227,BD!$Q$3:$Q$5001,"&lt;&gt;")=0,"",SUMIFS(BD!$Q$3:$Q$5001,BD!$A$3:$A$5001,V$3,BD!$B$3:$B$5001,$A$227)))</f>
        <v/>
      </c>
      <c r="W242" s="232" t="str">
        <f>IF(W$3="","",IF(COUNTIFS(BD!$A$3:$A$5001,W$3,BD!$B$3:$B$5001,$A$227,BD!$Q$3:$Q$5001,"&lt;&gt;")=0,"",SUMIFS(BD!$Q$3:$Q$5001,BD!$A$3:$A$5001,W$3,BD!$B$3:$B$5001,$A$227)))</f>
        <v/>
      </c>
      <c r="X242" s="232" t="str">
        <f>IF(X$3="","",IF(COUNTIFS(BD!$A$3:$A$5001,X$3,BD!$B$3:$B$5001,$A$227,BD!$Q$3:$Q$5001,"&lt;&gt;")=0,"",SUMIFS(BD!$Q$3:$Q$5001,BD!$A$3:$A$5001,X$3,BD!$B$3:$B$5001,$A$227)))</f>
        <v/>
      </c>
      <c r="Y242" s="232" t="str">
        <f>IF(Y$3="","",IF(COUNTIFS(BD!$A$3:$A$5001,Y$3,BD!$B$3:$B$5001,$A$227,BD!$Q$3:$Q$5001,"&lt;&gt;")=0,"",SUMIFS(BD!$Q$3:$Q$5001,BD!$A$3:$A$5001,Y$3,BD!$B$3:$B$5001,$A$227)))</f>
        <v/>
      </c>
      <c r="Z242" s="232" t="str">
        <f>IF(Z$3="","",IF(COUNTIFS(BD!$A$3:$A$5001,Z$3,BD!$B$3:$B$5001,$A$227,BD!$Q$3:$Q$5001,"&lt;&gt;")=0,"",SUMIFS(BD!$Q$3:$Q$5001,BD!$A$3:$A$5001,Z$3,BD!$B$3:$B$5001,$A$227)))</f>
        <v/>
      </c>
      <c r="AA242" s="232" t="str">
        <f>IF(AA$3="","",IF(COUNTIFS(BD!$A$3:$A$5001,AA$3,BD!$B$3:$B$5001,$A$227,BD!$Q$3:$Q$5001,"&lt;&gt;")=0,"",SUMIFS(BD!$Q$3:$Q$5001,BD!$A$3:$A$5001,AA$3,BD!$B$3:$B$5001,$A$227)))</f>
        <v/>
      </c>
      <c r="AB242" s="232" t="str">
        <f>IF(AB$3="","",IF(COUNTIFS(BD!$A$3:$A$5001,AB$3,BD!$B$3:$B$5001,$A$227,BD!$Q$3:$Q$5001,"&lt;&gt;")=0,"",SUMIFS(BD!$Q$3:$Q$5001,BD!$A$3:$A$5001,AB$3,BD!$B$3:$B$5001,$A$227)))</f>
        <v/>
      </c>
      <c r="AC242" s="232" t="str">
        <f>IF(AC$3="","",IF(COUNTIFS(BD!$A$3:$A$5001,AC$3,BD!$B$3:$B$5001,$A$227,BD!$Q$3:$Q$5001,"&lt;&gt;")=0,"",SUMIFS(BD!$Q$3:$Q$5001,BD!$A$3:$A$5001,AC$3,BD!$B$3:$B$5001,$A$227)))</f>
        <v/>
      </c>
      <c r="AD242" s="232" t="str">
        <f>IF(AD$3="","",IF(COUNTIFS(BD!$A$3:$A$5001,AD$3,BD!$B$3:$B$5001,$A$227,BD!$Q$3:$Q$5001,"&lt;&gt;")=0,"",SUMIFS(BD!$Q$3:$Q$5001,BD!$A$3:$A$5001,AD$3,BD!$B$3:$B$5001,$A$227)))</f>
        <v/>
      </c>
      <c r="AE242" s="232" t="str">
        <f>IF(AE$3="","",IF(COUNTIFS(BD!$A$3:$A$5001,AE$3,BD!$B$3:$B$5001,$A$227,BD!$Q$3:$Q$5001,"&lt;&gt;")=0,"",SUMIFS(BD!$Q$3:$Q$5001,BD!$A$3:$A$5001,AE$3,BD!$B$3:$B$5001,$A$227)))</f>
        <v/>
      </c>
      <c r="AF242" s="232" t="str">
        <f>IF(AF$3="","",IF(COUNTIFS(BD!$A$3:$A$5001,AF$3,BD!$B$3:$B$5001,$A$227,BD!$Q$3:$Q$5001,"&lt;&gt;")=0,"",SUMIFS(BD!$Q$3:$Q$5001,BD!$A$3:$A$5001,AF$3,BD!$B$3:$B$5001,$A$227)))</f>
        <v/>
      </c>
      <c r="AG242" s="232" t="str">
        <f>IF(AG$3="","",IF(COUNTIFS(BD!$A$3:$A$5001,AG$3,BD!$B$3:$B$5001,$A$227,BD!$Q$3:$Q$5001,"&lt;&gt;")=0,"",SUMIFS(BD!$Q$3:$Q$5001,BD!$A$3:$A$5001,AG$3,BD!$B$3:$B$5001,$A$227)))</f>
        <v/>
      </c>
      <c r="AH242" s="232" t="str">
        <f>IF(AH$3="","",IF(COUNTIFS(BD!$A$3:$A$5001,AH$3,BD!$B$3:$B$5001,$A$227,BD!$Q$3:$Q$5001,"&lt;&gt;")=0,"",SUMIFS(BD!$Q$3:$Q$5001,BD!$A$3:$A$5001,AH$3,BD!$B$3:$B$5001,$A$227)))</f>
        <v/>
      </c>
      <c r="AI242" s="232" t="str">
        <f>IF(AI$3="","",IF(COUNTIFS(BD!$A$3:$A$5001,AI$3,BD!$B$3:$B$5001,$A$227,BD!$Q$3:$Q$5001,"&lt;&gt;")=0,"",SUMIFS(BD!$Q$3:$Q$5001,BD!$A$3:$A$5001,AI$3,BD!$B$3:$B$5001,$A$227)))</f>
        <v/>
      </c>
      <c r="AJ242" s="233" t="str">
        <f>IF(AJ$3="","",IF(COUNTIFS(BD!$A$3:$A$5001,AJ$3,BD!$B$3:$B$5001,$A$227,BD!$Q$3:$Q$5001,"&lt;&gt;")=0,"",SUMIFS(BD!$Q$3:$Q$5001,BD!$A$3:$A$5001,AJ$3,BD!$B$3:$B$5001,$A$227)))</f>
        <v/>
      </c>
      <c r="AK242" s="234" t="str">
        <f>IF(COUNT(F242:AJ242)=0,"",SUM(F242:AJ242))</f>
        <v/>
      </c>
    </row>
    <row r="243" ht="15.75" customHeight="1" hidden="1">
      <c r="A243" s="254"/>
      <c r="B243" s="251"/>
      <c r="C243" s="228" t="inlineStr">
        <is>
          <t xml:space="preserve">Desligamento</t>
        </is>
      </c>
      <c r="D243" s="229" t="str">
        <f>IFERROR(1/(1/INDEX(BD!$Y$39:$AS$39,MATCH($A$227,BD!$Y$22:$AS$22,0))),"")</f>
        <v/>
      </c>
      <c r="E243" s="230"/>
      <c r="F243" s="231" t="str">
        <f>IF(F$3="","",IF(COUNTIFS(BD!$A$3:$A$5001,F$3,BD!$B$3:$B$5001,$A$227,BD!$R$3:$R$5001,"&lt;&gt;")=0,"",SUMIFS(BD!$R$3:$R$5001,BD!$A$3:$A$5001,F$3,BD!$B$3:$B$5001,$A$227)))</f>
        <v/>
      </c>
      <c r="G243" s="232" t="str">
        <f>IF(G$3="","",IF(COUNTIFS(BD!$A$3:$A$5001,G$3,BD!$B$3:$B$5001,$A$227,BD!$R$3:$R$5001,"&lt;&gt;")=0,"",SUMIFS(BD!$R$3:$R$5001,BD!$A$3:$A$5001,G$3,BD!$B$3:$B$5001,$A$227)))</f>
        <v/>
      </c>
      <c r="H243" s="232" t="str">
        <f>IF(H$3="","",IF(COUNTIFS(BD!$A$3:$A$5001,H$3,BD!$B$3:$B$5001,$A$227,BD!$R$3:$R$5001,"&lt;&gt;")=0,"",SUMIFS(BD!$R$3:$R$5001,BD!$A$3:$A$5001,H$3,BD!$B$3:$B$5001,$A$227)))</f>
        <v/>
      </c>
      <c r="I243" s="232" t="str">
        <f>IF(I$3="","",IF(COUNTIFS(BD!$A$3:$A$5001,I$3,BD!$B$3:$B$5001,$A$227,BD!$R$3:$R$5001,"&lt;&gt;")=0,"",SUMIFS(BD!$R$3:$R$5001,BD!$A$3:$A$5001,I$3,BD!$B$3:$B$5001,$A$227)))</f>
        <v/>
      </c>
      <c r="J243" s="232" t="str">
        <f>IF(J$3="","",IF(COUNTIFS(BD!$A$3:$A$5001,J$3,BD!$B$3:$B$5001,$A$227,BD!$R$3:$R$5001,"&lt;&gt;")=0,"",SUMIFS(BD!$R$3:$R$5001,BD!$A$3:$A$5001,J$3,BD!$B$3:$B$5001,$A$227)))</f>
        <v/>
      </c>
      <c r="K243" s="232" t="str">
        <f>IF(K$3="","",IF(COUNTIFS(BD!$A$3:$A$5001,K$3,BD!$B$3:$B$5001,$A$227,BD!$R$3:$R$5001,"&lt;&gt;")=0,"",SUMIFS(BD!$R$3:$R$5001,BD!$A$3:$A$5001,K$3,BD!$B$3:$B$5001,$A$227)))</f>
        <v/>
      </c>
      <c r="L243" s="232" t="str">
        <f>IF(L$3="","",IF(COUNTIFS(BD!$A$3:$A$5001,L$3,BD!$B$3:$B$5001,$A$227,BD!$R$3:$R$5001,"&lt;&gt;")=0,"",SUMIFS(BD!$R$3:$R$5001,BD!$A$3:$A$5001,L$3,BD!$B$3:$B$5001,$A$227)))</f>
        <v/>
      </c>
      <c r="M243" s="232" t="str">
        <f>IF(M$3="","",IF(COUNTIFS(BD!$A$3:$A$5001,M$3,BD!$B$3:$B$5001,$A$227,BD!$R$3:$R$5001,"&lt;&gt;")=0,"",SUMIFS(BD!$R$3:$R$5001,BD!$A$3:$A$5001,M$3,BD!$B$3:$B$5001,$A$227)))</f>
        <v/>
      </c>
      <c r="N243" s="232" t="str">
        <f>IF(N$3="","",IF(COUNTIFS(BD!$A$3:$A$5001,N$3,BD!$B$3:$B$5001,$A$227,BD!$R$3:$R$5001,"&lt;&gt;")=0,"",SUMIFS(BD!$R$3:$R$5001,BD!$A$3:$A$5001,N$3,BD!$B$3:$B$5001,$A$227)))</f>
        <v/>
      </c>
      <c r="O243" s="232" t="str">
        <f>IF(O$3="","",IF(COUNTIFS(BD!$A$3:$A$5001,O$3,BD!$B$3:$B$5001,$A$227,BD!$R$3:$R$5001,"&lt;&gt;")=0,"",SUMIFS(BD!$R$3:$R$5001,BD!$A$3:$A$5001,O$3,BD!$B$3:$B$5001,$A$227)))</f>
        <v/>
      </c>
      <c r="P243" s="232" t="str">
        <f>IF(P$3="","",IF(COUNTIFS(BD!$A$3:$A$5001,P$3,BD!$B$3:$B$5001,$A$227,BD!$R$3:$R$5001,"&lt;&gt;")=0,"",SUMIFS(BD!$R$3:$R$5001,BD!$A$3:$A$5001,P$3,BD!$B$3:$B$5001,$A$227)))</f>
        <v/>
      </c>
      <c r="Q243" s="232" t="str">
        <f>IF(Q$3="","",IF(COUNTIFS(BD!$A$3:$A$5001,Q$3,BD!$B$3:$B$5001,$A$227,BD!$R$3:$R$5001,"&lt;&gt;")=0,"",SUMIFS(BD!$R$3:$R$5001,BD!$A$3:$A$5001,Q$3,BD!$B$3:$B$5001,$A$227)))</f>
        <v/>
      </c>
      <c r="R243" s="232" t="str">
        <f>IF(R$3="","",IF(COUNTIFS(BD!$A$3:$A$5001,R$3,BD!$B$3:$B$5001,$A$227,BD!$R$3:$R$5001,"&lt;&gt;")=0,"",SUMIFS(BD!$R$3:$R$5001,BD!$A$3:$A$5001,R$3,BD!$B$3:$B$5001,$A$227)))</f>
        <v/>
      </c>
      <c r="S243" s="232" t="str">
        <f>IF(S$3="","",IF(COUNTIFS(BD!$A$3:$A$5001,S$3,BD!$B$3:$B$5001,$A$227,BD!$R$3:$R$5001,"&lt;&gt;")=0,"",SUMIFS(BD!$R$3:$R$5001,BD!$A$3:$A$5001,S$3,BD!$B$3:$B$5001,$A$227)))</f>
        <v/>
      </c>
      <c r="T243" s="232" t="str">
        <f>IF(T$3="","",IF(COUNTIFS(BD!$A$3:$A$5001,T$3,BD!$B$3:$B$5001,$A$227,BD!$R$3:$R$5001,"&lt;&gt;")=0,"",SUMIFS(BD!$R$3:$R$5001,BD!$A$3:$A$5001,T$3,BD!$B$3:$B$5001,$A$227)))</f>
        <v/>
      </c>
      <c r="U243" s="232" t="str">
        <f>IF(U$3="","",IF(COUNTIFS(BD!$A$3:$A$5001,U$3,BD!$B$3:$B$5001,$A$227,BD!$R$3:$R$5001,"&lt;&gt;")=0,"",SUMIFS(BD!$R$3:$R$5001,BD!$A$3:$A$5001,U$3,BD!$B$3:$B$5001,$A$227)))</f>
        <v/>
      </c>
      <c r="V243" s="232" t="str">
        <f>IF(V$3="","",IF(COUNTIFS(BD!$A$3:$A$5001,V$3,BD!$B$3:$B$5001,$A$227,BD!$R$3:$R$5001,"&lt;&gt;")=0,"",SUMIFS(BD!$R$3:$R$5001,BD!$A$3:$A$5001,V$3,BD!$B$3:$B$5001,$A$227)))</f>
        <v/>
      </c>
      <c r="W243" s="232" t="str">
        <f>IF(W$3="","",IF(COUNTIFS(BD!$A$3:$A$5001,W$3,BD!$B$3:$B$5001,$A$227,BD!$R$3:$R$5001,"&lt;&gt;")=0,"",SUMIFS(BD!$R$3:$R$5001,BD!$A$3:$A$5001,W$3,BD!$B$3:$B$5001,$A$227)))</f>
        <v/>
      </c>
      <c r="X243" s="232" t="str">
        <f>IF(X$3="","",IF(COUNTIFS(BD!$A$3:$A$5001,X$3,BD!$B$3:$B$5001,$A$227,BD!$R$3:$R$5001,"&lt;&gt;")=0,"",SUMIFS(BD!$R$3:$R$5001,BD!$A$3:$A$5001,X$3,BD!$B$3:$B$5001,$A$227)))</f>
        <v/>
      </c>
      <c r="Y243" s="232" t="str">
        <f>IF(Y$3="","",IF(COUNTIFS(BD!$A$3:$A$5001,Y$3,BD!$B$3:$B$5001,$A$227,BD!$R$3:$R$5001,"&lt;&gt;")=0,"",SUMIFS(BD!$R$3:$R$5001,BD!$A$3:$A$5001,Y$3,BD!$B$3:$B$5001,$A$227)))</f>
        <v/>
      </c>
      <c r="Z243" s="232" t="str">
        <f>IF(Z$3="","",IF(COUNTIFS(BD!$A$3:$A$5001,Z$3,BD!$B$3:$B$5001,$A$227,BD!$R$3:$R$5001,"&lt;&gt;")=0,"",SUMIFS(BD!$R$3:$R$5001,BD!$A$3:$A$5001,Z$3,BD!$B$3:$B$5001,$A$227)))</f>
        <v/>
      </c>
      <c r="AA243" s="232" t="str">
        <f>IF(AA$3="","",IF(COUNTIFS(BD!$A$3:$A$5001,AA$3,BD!$B$3:$B$5001,$A$227,BD!$R$3:$R$5001,"&lt;&gt;")=0,"",SUMIFS(BD!$R$3:$R$5001,BD!$A$3:$A$5001,AA$3,BD!$B$3:$B$5001,$A$227)))</f>
        <v/>
      </c>
      <c r="AB243" s="232" t="str">
        <f>IF(AB$3="","",IF(COUNTIFS(BD!$A$3:$A$5001,AB$3,BD!$B$3:$B$5001,$A$227,BD!$R$3:$R$5001,"&lt;&gt;")=0,"",SUMIFS(BD!$R$3:$R$5001,BD!$A$3:$A$5001,AB$3,BD!$B$3:$B$5001,$A$227)))</f>
        <v/>
      </c>
      <c r="AC243" s="232" t="str">
        <f>IF(AC$3="","",IF(COUNTIFS(BD!$A$3:$A$5001,AC$3,BD!$B$3:$B$5001,$A$227,BD!$R$3:$R$5001,"&lt;&gt;")=0,"",SUMIFS(BD!$R$3:$R$5001,BD!$A$3:$A$5001,AC$3,BD!$B$3:$B$5001,$A$227)))</f>
        <v/>
      </c>
      <c r="AD243" s="232" t="str">
        <f>IF(AD$3="","",IF(COUNTIFS(BD!$A$3:$A$5001,AD$3,BD!$B$3:$B$5001,$A$227,BD!$R$3:$R$5001,"&lt;&gt;")=0,"",SUMIFS(BD!$R$3:$R$5001,BD!$A$3:$A$5001,AD$3,BD!$B$3:$B$5001,$A$227)))</f>
        <v/>
      </c>
      <c r="AE243" s="232" t="str">
        <f>IF(AE$3="","",IF(COUNTIFS(BD!$A$3:$A$5001,AE$3,BD!$B$3:$B$5001,$A$227,BD!$R$3:$R$5001,"&lt;&gt;")=0,"",SUMIFS(BD!$R$3:$R$5001,BD!$A$3:$A$5001,AE$3,BD!$B$3:$B$5001,$A$227)))</f>
        <v/>
      </c>
      <c r="AF243" s="232" t="str">
        <f>IF(AF$3="","",IF(COUNTIFS(BD!$A$3:$A$5001,AF$3,BD!$B$3:$B$5001,$A$227,BD!$R$3:$R$5001,"&lt;&gt;")=0,"",SUMIFS(BD!$R$3:$R$5001,BD!$A$3:$A$5001,AF$3,BD!$B$3:$B$5001,$A$227)))</f>
        <v/>
      </c>
      <c r="AG243" s="232" t="str">
        <f>IF(AG$3="","",IF(COUNTIFS(BD!$A$3:$A$5001,AG$3,BD!$B$3:$B$5001,$A$227,BD!$R$3:$R$5001,"&lt;&gt;")=0,"",SUMIFS(BD!$R$3:$R$5001,BD!$A$3:$A$5001,AG$3,BD!$B$3:$B$5001,$A$227)))</f>
        <v/>
      </c>
      <c r="AH243" s="232" t="str">
        <f>IF(AH$3="","",IF(COUNTIFS(BD!$A$3:$A$5001,AH$3,BD!$B$3:$B$5001,$A$227,BD!$R$3:$R$5001,"&lt;&gt;")=0,"",SUMIFS(BD!$R$3:$R$5001,BD!$A$3:$A$5001,AH$3,BD!$B$3:$B$5001,$A$227)))</f>
        <v/>
      </c>
      <c r="AI243" s="232" t="str">
        <f>IF(AI$3="","",IF(COUNTIFS(BD!$A$3:$A$5001,AI$3,BD!$B$3:$B$5001,$A$227,BD!$R$3:$R$5001,"&lt;&gt;")=0,"",SUMIFS(BD!$R$3:$R$5001,BD!$A$3:$A$5001,AI$3,BD!$B$3:$B$5001,$A$227)))</f>
        <v/>
      </c>
      <c r="AJ243" s="233" t="str">
        <f>IF(AJ$3="","",IF(COUNTIFS(BD!$A$3:$A$5001,AJ$3,BD!$B$3:$B$5001,$A$227,BD!$R$3:$R$5001,"&lt;&gt;")=0,"",SUMIFS(BD!$R$3:$R$5001,BD!$A$3:$A$5001,AJ$3,BD!$B$3:$B$5001,$A$227)))</f>
        <v/>
      </c>
      <c r="AK243" s="234" t="str">
        <f>IF(COUNT(F243:AJ243)=0,"",SUM(F243:AJ243))</f>
        <v/>
      </c>
    </row>
    <row r="244" ht="15.75" customHeight="1" hidden="1">
      <c r="A244" s="254"/>
      <c r="B244" s="251"/>
      <c r="C244" s="228" t="inlineStr">
        <is>
          <t xml:space="preserve">Desvios Comportamentais</t>
        </is>
      </c>
      <c r="D244" s="229" t="str">
        <f>IFERROR(1/(1/INDEX(BD!$Y$40:$AS$40,MATCH($A$227,BD!$Y$22:$AS$22,0))),"")</f>
        <v/>
      </c>
      <c r="E244" s="230"/>
      <c r="F244" s="231" t="str">
        <f>IF(F$3="","",IF(COUNTIFS(BD!$A$3:$A$5001,F$3,BD!$B$3:$B$5001,$A$227,BD!$S$3:$S$5001,"&lt;&gt;")=0,"",SUMIFS(BD!$S$3:$S$5001,BD!$A$3:$A$5001,F$3,BD!$B$3:$B$5001,$A$227)))</f>
        <v/>
      </c>
      <c r="G244" s="232" t="str">
        <f>IF(G$3="","",IF(COUNTIFS(BD!$A$3:$A$5001,G$3,BD!$B$3:$B$5001,$A$227,BD!$S$3:$S$5001,"&lt;&gt;")=0,"",SUMIFS(BD!$S$3:$S$5001,BD!$A$3:$A$5001,G$3,BD!$B$3:$B$5001,$A$227)))</f>
        <v/>
      </c>
      <c r="H244" s="232" t="str">
        <f>IF(H$3="","",IF(COUNTIFS(BD!$A$3:$A$5001,H$3,BD!$B$3:$B$5001,$A$227,BD!$S$3:$S$5001,"&lt;&gt;")=0,"",SUMIFS(BD!$S$3:$S$5001,BD!$A$3:$A$5001,H$3,BD!$B$3:$B$5001,$A$227)))</f>
        <v/>
      </c>
      <c r="I244" s="232" t="str">
        <f>IF(I$3="","",IF(COUNTIFS(BD!$A$3:$A$5001,I$3,BD!$B$3:$B$5001,$A$227,BD!$S$3:$S$5001,"&lt;&gt;")=0,"",SUMIFS(BD!$S$3:$S$5001,BD!$A$3:$A$5001,I$3,BD!$B$3:$B$5001,$A$227)))</f>
        <v/>
      </c>
      <c r="J244" s="232" t="str">
        <f>IF(J$3="","",IF(COUNTIFS(BD!$A$3:$A$5001,J$3,BD!$B$3:$B$5001,$A$227,BD!$S$3:$S$5001,"&lt;&gt;")=0,"",SUMIFS(BD!$S$3:$S$5001,BD!$A$3:$A$5001,J$3,BD!$B$3:$B$5001,$A$227)))</f>
        <v/>
      </c>
      <c r="K244" s="232" t="str">
        <f>IF(K$3="","",IF(COUNTIFS(BD!$A$3:$A$5001,K$3,BD!$B$3:$B$5001,$A$227,BD!$S$3:$S$5001,"&lt;&gt;")=0,"",SUMIFS(BD!$S$3:$S$5001,BD!$A$3:$A$5001,K$3,BD!$B$3:$B$5001,$A$227)))</f>
        <v/>
      </c>
      <c r="L244" s="232" t="str">
        <f>IF(L$3="","",IF(COUNTIFS(BD!$A$3:$A$5001,L$3,BD!$B$3:$B$5001,$A$227,BD!$S$3:$S$5001,"&lt;&gt;")=0,"",SUMIFS(BD!$S$3:$S$5001,BD!$A$3:$A$5001,L$3,BD!$B$3:$B$5001,$A$227)))</f>
        <v/>
      </c>
      <c r="M244" s="232" t="str">
        <f>IF(M$3="","",IF(COUNTIFS(BD!$A$3:$A$5001,M$3,BD!$B$3:$B$5001,$A$227,BD!$S$3:$S$5001,"&lt;&gt;")=0,"",SUMIFS(BD!$S$3:$S$5001,BD!$A$3:$A$5001,M$3,BD!$B$3:$B$5001,$A$227)))</f>
        <v/>
      </c>
      <c r="N244" s="232" t="str">
        <f>IF(N$3="","",IF(COUNTIFS(BD!$A$3:$A$5001,N$3,BD!$B$3:$B$5001,$A$227,BD!$S$3:$S$5001,"&lt;&gt;")=0,"",SUMIFS(BD!$S$3:$S$5001,BD!$A$3:$A$5001,N$3,BD!$B$3:$B$5001,$A$227)))</f>
        <v/>
      </c>
      <c r="O244" s="232" t="str">
        <f>IF(O$3="","",IF(COUNTIFS(BD!$A$3:$A$5001,O$3,BD!$B$3:$B$5001,$A$227,BD!$S$3:$S$5001,"&lt;&gt;")=0,"",SUMIFS(BD!$S$3:$S$5001,BD!$A$3:$A$5001,O$3,BD!$B$3:$B$5001,$A$227)))</f>
        <v/>
      </c>
      <c r="P244" s="232" t="str">
        <f>IF(P$3="","",IF(COUNTIFS(BD!$A$3:$A$5001,P$3,BD!$B$3:$B$5001,$A$227,BD!$S$3:$S$5001,"&lt;&gt;")=0,"",SUMIFS(BD!$S$3:$S$5001,BD!$A$3:$A$5001,P$3,BD!$B$3:$B$5001,$A$227)))</f>
        <v/>
      </c>
      <c r="Q244" s="232" t="str">
        <f>IF(Q$3="","",IF(COUNTIFS(BD!$A$3:$A$5001,Q$3,BD!$B$3:$B$5001,$A$227,BD!$S$3:$S$5001,"&lt;&gt;")=0,"",SUMIFS(BD!$S$3:$S$5001,BD!$A$3:$A$5001,Q$3,BD!$B$3:$B$5001,$A$227)))</f>
        <v/>
      </c>
      <c r="R244" s="232" t="str">
        <f>IF(R$3="","",IF(COUNTIFS(BD!$A$3:$A$5001,R$3,BD!$B$3:$B$5001,$A$227,BD!$S$3:$S$5001,"&lt;&gt;")=0,"",SUMIFS(BD!$S$3:$S$5001,BD!$A$3:$A$5001,R$3,BD!$B$3:$B$5001,$A$227)))</f>
        <v/>
      </c>
      <c r="S244" s="232" t="str">
        <f>IF(S$3="","",IF(COUNTIFS(BD!$A$3:$A$5001,S$3,BD!$B$3:$B$5001,$A$227,BD!$S$3:$S$5001,"&lt;&gt;")=0,"",SUMIFS(BD!$S$3:$S$5001,BD!$A$3:$A$5001,S$3,BD!$B$3:$B$5001,$A$227)))</f>
        <v/>
      </c>
      <c r="T244" s="232" t="str">
        <f>IF(T$3="","",IF(COUNTIFS(BD!$A$3:$A$5001,T$3,BD!$B$3:$B$5001,$A$227,BD!$S$3:$S$5001,"&lt;&gt;")=0,"",SUMIFS(BD!$S$3:$S$5001,BD!$A$3:$A$5001,T$3,BD!$B$3:$B$5001,$A$227)))</f>
        <v/>
      </c>
      <c r="U244" s="232" t="str">
        <f>IF(U$3="","",IF(COUNTIFS(BD!$A$3:$A$5001,U$3,BD!$B$3:$B$5001,$A$227,BD!$S$3:$S$5001,"&lt;&gt;")=0,"",SUMIFS(BD!$S$3:$S$5001,BD!$A$3:$A$5001,U$3,BD!$B$3:$B$5001,$A$227)))</f>
        <v/>
      </c>
      <c r="V244" s="232" t="str">
        <f>IF(V$3="","",IF(COUNTIFS(BD!$A$3:$A$5001,V$3,BD!$B$3:$B$5001,$A$227,BD!$S$3:$S$5001,"&lt;&gt;")=0,"",SUMIFS(BD!$S$3:$S$5001,BD!$A$3:$A$5001,V$3,BD!$B$3:$B$5001,$A$227)))</f>
        <v/>
      </c>
      <c r="W244" s="232" t="str">
        <f>IF(W$3="","",IF(COUNTIFS(BD!$A$3:$A$5001,W$3,BD!$B$3:$B$5001,$A$227,BD!$S$3:$S$5001,"&lt;&gt;")=0,"",SUMIFS(BD!$S$3:$S$5001,BD!$A$3:$A$5001,W$3,BD!$B$3:$B$5001,$A$227)))</f>
        <v/>
      </c>
      <c r="X244" s="232" t="str">
        <f>IF(X$3="","",IF(COUNTIFS(BD!$A$3:$A$5001,X$3,BD!$B$3:$B$5001,$A$227,BD!$S$3:$S$5001,"&lt;&gt;")=0,"",SUMIFS(BD!$S$3:$S$5001,BD!$A$3:$A$5001,X$3,BD!$B$3:$B$5001,$A$227)))</f>
        <v/>
      </c>
      <c r="Y244" s="232" t="str">
        <f>IF(Y$3="","",IF(COUNTIFS(BD!$A$3:$A$5001,Y$3,BD!$B$3:$B$5001,$A$227,BD!$S$3:$S$5001,"&lt;&gt;")=0,"",SUMIFS(BD!$S$3:$S$5001,BD!$A$3:$A$5001,Y$3,BD!$B$3:$B$5001,$A$227)))</f>
        <v/>
      </c>
      <c r="Z244" s="232" t="str">
        <f>IF(Z$3="","",IF(COUNTIFS(BD!$A$3:$A$5001,Z$3,BD!$B$3:$B$5001,$A$227,BD!$S$3:$S$5001,"&lt;&gt;")=0,"",SUMIFS(BD!$S$3:$S$5001,BD!$A$3:$A$5001,Z$3,BD!$B$3:$B$5001,$A$227)))</f>
        <v/>
      </c>
      <c r="AA244" s="232" t="str">
        <f>IF(AA$3="","",IF(COUNTIFS(BD!$A$3:$A$5001,AA$3,BD!$B$3:$B$5001,$A$227,BD!$S$3:$S$5001,"&lt;&gt;")=0,"",SUMIFS(BD!$S$3:$S$5001,BD!$A$3:$A$5001,AA$3,BD!$B$3:$B$5001,$A$227)))</f>
        <v/>
      </c>
      <c r="AB244" s="232" t="str">
        <f>IF(AB$3="","",IF(COUNTIFS(BD!$A$3:$A$5001,AB$3,BD!$B$3:$B$5001,$A$227,BD!$S$3:$S$5001,"&lt;&gt;")=0,"",SUMIFS(BD!$S$3:$S$5001,BD!$A$3:$A$5001,AB$3,BD!$B$3:$B$5001,$A$227)))</f>
        <v/>
      </c>
      <c r="AC244" s="232" t="str">
        <f>IF(AC$3="","",IF(COUNTIFS(BD!$A$3:$A$5001,AC$3,BD!$B$3:$B$5001,$A$227,BD!$S$3:$S$5001,"&lt;&gt;")=0,"",SUMIFS(BD!$S$3:$S$5001,BD!$A$3:$A$5001,AC$3,BD!$B$3:$B$5001,$A$227)))</f>
        <v/>
      </c>
      <c r="AD244" s="232" t="str">
        <f>IF(AD$3="","",IF(COUNTIFS(BD!$A$3:$A$5001,AD$3,BD!$B$3:$B$5001,$A$227,BD!$S$3:$S$5001,"&lt;&gt;")=0,"",SUMIFS(BD!$S$3:$S$5001,BD!$A$3:$A$5001,AD$3,BD!$B$3:$B$5001,$A$227)))</f>
        <v/>
      </c>
      <c r="AE244" s="232" t="str">
        <f>IF(AE$3="","",IF(COUNTIFS(BD!$A$3:$A$5001,AE$3,BD!$B$3:$B$5001,$A$227,BD!$S$3:$S$5001,"&lt;&gt;")=0,"",SUMIFS(BD!$S$3:$S$5001,BD!$A$3:$A$5001,AE$3,BD!$B$3:$B$5001,$A$227)))</f>
        <v/>
      </c>
      <c r="AF244" s="232" t="str">
        <f>IF(AF$3="","",IF(COUNTIFS(BD!$A$3:$A$5001,AF$3,BD!$B$3:$B$5001,$A$227,BD!$S$3:$S$5001,"&lt;&gt;")=0,"",SUMIFS(BD!$S$3:$S$5001,BD!$A$3:$A$5001,AF$3,BD!$B$3:$B$5001,$A$227)))</f>
        <v/>
      </c>
      <c r="AG244" s="232" t="str">
        <f>IF(AG$3="","",IF(COUNTIFS(BD!$A$3:$A$5001,AG$3,BD!$B$3:$B$5001,$A$227,BD!$S$3:$S$5001,"&lt;&gt;")=0,"",SUMIFS(BD!$S$3:$S$5001,BD!$A$3:$A$5001,AG$3,BD!$B$3:$B$5001,$A$227)))</f>
        <v/>
      </c>
      <c r="AH244" s="232" t="str">
        <f>IF(AH$3="","",IF(COUNTIFS(BD!$A$3:$A$5001,AH$3,BD!$B$3:$B$5001,$A$227,BD!$S$3:$S$5001,"&lt;&gt;")=0,"",SUMIFS(BD!$S$3:$S$5001,BD!$A$3:$A$5001,AH$3,BD!$B$3:$B$5001,$A$227)))</f>
        <v/>
      </c>
      <c r="AI244" s="232" t="str">
        <f>IF(AI$3="","",IF(COUNTIFS(BD!$A$3:$A$5001,AI$3,BD!$B$3:$B$5001,$A$227,BD!$S$3:$S$5001,"&lt;&gt;")=0,"",SUMIFS(BD!$S$3:$S$5001,BD!$A$3:$A$5001,AI$3,BD!$B$3:$B$5001,$A$227)))</f>
        <v/>
      </c>
      <c r="AJ244" s="233" t="str">
        <f>IF(AJ$3="","",IF(COUNTIFS(BD!$A$3:$A$5001,AJ$3,BD!$B$3:$B$5001,$A$227,BD!$S$3:$S$5001,"&lt;&gt;")=0,"",SUMIFS(BD!$S$3:$S$5001,BD!$A$3:$A$5001,AJ$3,BD!$B$3:$B$5001,$A$227)))</f>
        <v/>
      </c>
      <c r="AK244" s="234" t="str">
        <f>IF(COUNT(F244:AJ244)=0,"",SUM(F244:AJ244))</f>
        <v/>
      </c>
    </row>
    <row r="245" ht="15.75" customHeight="1" hidden="1">
      <c r="A245" s="254"/>
      <c r="B245" s="251"/>
      <c r="C245" s="228" t="inlineStr">
        <is>
          <t xml:space="preserve">Acidentes CAF</t>
        </is>
      </c>
      <c r="D245" s="229" t="str">
        <f>IFERROR(1/(1/INDEX(BD!$Y$41:$AS$41,MATCH($A$227,BD!$Y$22:$AS$22,0))),"")</f>
        <v/>
      </c>
      <c r="E245" s="230"/>
      <c r="F245" s="231" t="str">
        <f>IF(F$3="","",IF(COUNTIFS(BD!$A$3:$A$5001,F$3,BD!$B$3:$B$5001,$A$227,BD!$T$3:$T$5001,"&lt;&gt;")=0,"",SUMIFS(BD!$T$3:$T$5001,BD!$A$3:$A$5001,F$3,BD!$B$3:$B$5001,$A$227)))</f>
        <v/>
      </c>
      <c r="G245" s="232" t="str">
        <f>IF(G$3="","",IF(COUNTIFS(BD!$A$3:$A$5001,G$3,BD!$B$3:$B$5001,$A$227,BD!$T$3:$T$5001,"&lt;&gt;")=0,"",SUMIFS(BD!$T$3:$T$5001,BD!$A$3:$A$5001,G$3,BD!$B$3:$B$5001,$A$227)))</f>
        <v/>
      </c>
      <c r="H245" s="232" t="str">
        <f>IF(H$3="","",IF(COUNTIFS(BD!$A$3:$A$5001,H$3,BD!$B$3:$B$5001,$A$227,BD!$T$3:$T$5001,"&lt;&gt;")=0,"",SUMIFS(BD!$T$3:$T$5001,BD!$A$3:$A$5001,H$3,BD!$B$3:$B$5001,$A$227)))</f>
        <v/>
      </c>
      <c r="I245" s="232" t="str">
        <f>IF(I$3="","",IF(COUNTIFS(BD!$A$3:$A$5001,I$3,BD!$B$3:$B$5001,$A$227,BD!$T$3:$T$5001,"&lt;&gt;")=0,"",SUMIFS(BD!$T$3:$T$5001,BD!$A$3:$A$5001,I$3,BD!$B$3:$B$5001,$A$227)))</f>
        <v/>
      </c>
      <c r="J245" s="232" t="str">
        <f>IF(J$3="","",IF(COUNTIFS(BD!$A$3:$A$5001,J$3,BD!$B$3:$B$5001,$A$227,BD!$T$3:$T$5001,"&lt;&gt;")=0,"",SUMIFS(BD!$T$3:$T$5001,BD!$A$3:$A$5001,J$3,BD!$B$3:$B$5001,$A$227)))</f>
        <v/>
      </c>
      <c r="K245" s="232" t="str">
        <f>IF(K$3="","",IF(COUNTIFS(BD!$A$3:$A$5001,K$3,BD!$B$3:$B$5001,$A$227,BD!$T$3:$T$5001,"&lt;&gt;")=0,"",SUMIFS(BD!$T$3:$T$5001,BD!$A$3:$A$5001,K$3,BD!$B$3:$B$5001,$A$227)))</f>
        <v/>
      </c>
      <c r="L245" s="232" t="str">
        <f>IF(L$3="","",IF(COUNTIFS(BD!$A$3:$A$5001,L$3,BD!$B$3:$B$5001,$A$227,BD!$T$3:$T$5001,"&lt;&gt;")=0,"",SUMIFS(BD!$T$3:$T$5001,BD!$A$3:$A$5001,L$3,BD!$B$3:$B$5001,$A$227)))</f>
        <v/>
      </c>
      <c r="M245" s="232" t="str">
        <f>IF(M$3="","",IF(COUNTIFS(BD!$A$3:$A$5001,M$3,BD!$B$3:$B$5001,$A$227,BD!$T$3:$T$5001,"&lt;&gt;")=0,"",SUMIFS(BD!$T$3:$T$5001,BD!$A$3:$A$5001,M$3,BD!$B$3:$B$5001,$A$227)))</f>
        <v/>
      </c>
      <c r="N245" s="232" t="str">
        <f>IF(N$3="","",IF(COUNTIFS(BD!$A$3:$A$5001,N$3,BD!$B$3:$B$5001,$A$227,BD!$T$3:$T$5001,"&lt;&gt;")=0,"",SUMIFS(BD!$T$3:$T$5001,BD!$A$3:$A$5001,N$3,BD!$B$3:$B$5001,$A$227)))</f>
        <v/>
      </c>
      <c r="O245" s="232" t="str">
        <f>IF(O$3="","",IF(COUNTIFS(BD!$A$3:$A$5001,O$3,BD!$B$3:$B$5001,$A$227,BD!$T$3:$T$5001,"&lt;&gt;")=0,"",SUMIFS(BD!$T$3:$T$5001,BD!$A$3:$A$5001,O$3,BD!$B$3:$B$5001,$A$227)))</f>
        <v/>
      </c>
      <c r="P245" s="232" t="str">
        <f>IF(P$3="","",IF(COUNTIFS(BD!$A$3:$A$5001,P$3,BD!$B$3:$B$5001,$A$227,BD!$T$3:$T$5001,"&lt;&gt;")=0,"",SUMIFS(BD!$T$3:$T$5001,BD!$A$3:$A$5001,P$3,BD!$B$3:$B$5001,$A$227)))</f>
        <v/>
      </c>
      <c r="Q245" s="232" t="str">
        <f>IF(Q$3="","",IF(COUNTIFS(BD!$A$3:$A$5001,Q$3,BD!$B$3:$B$5001,$A$227,BD!$T$3:$T$5001,"&lt;&gt;")=0,"",SUMIFS(BD!$T$3:$T$5001,BD!$A$3:$A$5001,Q$3,BD!$B$3:$B$5001,$A$227)))</f>
        <v/>
      </c>
      <c r="R245" s="232" t="str">
        <f>IF(R$3="","",IF(COUNTIFS(BD!$A$3:$A$5001,R$3,BD!$B$3:$B$5001,$A$227,BD!$T$3:$T$5001,"&lt;&gt;")=0,"",SUMIFS(BD!$T$3:$T$5001,BD!$A$3:$A$5001,R$3,BD!$B$3:$B$5001,$A$227)))</f>
        <v/>
      </c>
      <c r="S245" s="232" t="str">
        <f>IF(S$3="","",IF(COUNTIFS(BD!$A$3:$A$5001,S$3,BD!$B$3:$B$5001,$A$227,BD!$T$3:$T$5001,"&lt;&gt;")=0,"",SUMIFS(BD!$T$3:$T$5001,BD!$A$3:$A$5001,S$3,BD!$B$3:$B$5001,$A$227)))</f>
        <v/>
      </c>
      <c r="T245" s="232" t="str">
        <f>IF(T$3="","",IF(COUNTIFS(BD!$A$3:$A$5001,T$3,BD!$B$3:$B$5001,$A$227,BD!$T$3:$T$5001,"&lt;&gt;")=0,"",SUMIFS(BD!$T$3:$T$5001,BD!$A$3:$A$5001,T$3,BD!$B$3:$B$5001,$A$227)))</f>
        <v/>
      </c>
      <c r="U245" s="232" t="str">
        <f>IF(U$3="","",IF(COUNTIFS(BD!$A$3:$A$5001,U$3,BD!$B$3:$B$5001,$A$227,BD!$T$3:$T$5001,"&lt;&gt;")=0,"",SUMIFS(BD!$T$3:$T$5001,BD!$A$3:$A$5001,U$3,BD!$B$3:$B$5001,$A$227)))</f>
        <v/>
      </c>
      <c r="V245" s="232" t="str">
        <f>IF(V$3="","",IF(COUNTIFS(BD!$A$3:$A$5001,V$3,BD!$B$3:$B$5001,$A$227,BD!$T$3:$T$5001,"&lt;&gt;")=0,"",SUMIFS(BD!$T$3:$T$5001,BD!$A$3:$A$5001,V$3,BD!$B$3:$B$5001,$A$227)))</f>
        <v/>
      </c>
      <c r="W245" s="232" t="str">
        <f>IF(W$3="","",IF(COUNTIFS(BD!$A$3:$A$5001,W$3,BD!$B$3:$B$5001,$A$227,BD!$T$3:$T$5001,"&lt;&gt;")=0,"",SUMIFS(BD!$T$3:$T$5001,BD!$A$3:$A$5001,W$3,BD!$B$3:$B$5001,$A$227)))</f>
        <v/>
      </c>
      <c r="X245" s="232" t="str">
        <f>IF(X$3="","",IF(COUNTIFS(BD!$A$3:$A$5001,X$3,BD!$B$3:$B$5001,$A$227,BD!$T$3:$T$5001,"&lt;&gt;")=0,"",SUMIFS(BD!$T$3:$T$5001,BD!$A$3:$A$5001,X$3,BD!$B$3:$B$5001,$A$227)))</f>
        <v/>
      </c>
      <c r="Y245" s="232" t="str">
        <f>IF(Y$3="","",IF(COUNTIFS(BD!$A$3:$A$5001,Y$3,BD!$B$3:$B$5001,$A$227,BD!$T$3:$T$5001,"&lt;&gt;")=0,"",SUMIFS(BD!$T$3:$T$5001,BD!$A$3:$A$5001,Y$3,BD!$B$3:$B$5001,$A$227)))</f>
        <v/>
      </c>
      <c r="Z245" s="232" t="str">
        <f>IF(Z$3="","",IF(COUNTIFS(BD!$A$3:$A$5001,Z$3,BD!$B$3:$B$5001,$A$227,BD!$T$3:$T$5001,"&lt;&gt;")=0,"",SUMIFS(BD!$T$3:$T$5001,BD!$A$3:$A$5001,Z$3,BD!$B$3:$B$5001,$A$227)))</f>
        <v/>
      </c>
      <c r="AA245" s="232" t="str">
        <f>IF(AA$3="","",IF(COUNTIFS(BD!$A$3:$A$5001,AA$3,BD!$B$3:$B$5001,$A$227,BD!$T$3:$T$5001,"&lt;&gt;")=0,"",SUMIFS(BD!$T$3:$T$5001,BD!$A$3:$A$5001,AA$3,BD!$B$3:$B$5001,$A$227)))</f>
        <v/>
      </c>
      <c r="AB245" s="232" t="str">
        <f>IF(AB$3="","",IF(COUNTIFS(BD!$A$3:$A$5001,AB$3,BD!$B$3:$B$5001,$A$227,BD!$T$3:$T$5001,"&lt;&gt;")=0,"",SUMIFS(BD!$T$3:$T$5001,BD!$A$3:$A$5001,AB$3,BD!$B$3:$B$5001,$A$227)))</f>
        <v/>
      </c>
      <c r="AC245" s="232" t="str">
        <f>IF(AC$3="","",IF(COUNTIFS(BD!$A$3:$A$5001,AC$3,BD!$B$3:$B$5001,$A$227,BD!$T$3:$T$5001,"&lt;&gt;")=0,"",SUMIFS(BD!$T$3:$T$5001,BD!$A$3:$A$5001,AC$3,BD!$B$3:$B$5001,$A$227)))</f>
        <v/>
      </c>
      <c r="AD245" s="232" t="str">
        <f>IF(AD$3="","",IF(COUNTIFS(BD!$A$3:$A$5001,AD$3,BD!$B$3:$B$5001,$A$227,BD!$T$3:$T$5001,"&lt;&gt;")=0,"",SUMIFS(BD!$T$3:$T$5001,BD!$A$3:$A$5001,AD$3,BD!$B$3:$B$5001,$A$227)))</f>
        <v/>
      </c>
      <c r="AE245" s="232" t="str">
        <f>IF(AE$3="","",IF(COUNTIFS(BD!$A$3:$A$5001,AE$3,BD!$B$3:$B$5001,$A$227,BD!$T$3:$T$5001,"&lt;&gt;")=0,"",SUMIFS(BD!$T$3:$T$5001,BD!$A$3:$A$5001,AE$3,BD!$B$3:$B$5001,$A$227)))</f>
        <v/>
      </c>
      <c r="AF245" s="232" t="str">
        <f>IF(AF$3="","",IF(COUNTIFS(BD!$A$3:$A$5001,AF$3,BD!$B$3:$B$5001,$A$227,BD!$T$3:$T$5001,"&lt;&gt;")=0,"",SUMIFS(BD!$T$3:$T$5001,BD!$A$3:$A$5001,AF$3,BD!$B$3:$B$5001,$A$227)))</f>
        <v/>
      </c>
      <c r="AG245" s="232" t="str">
        <f>IF(AG$3="","",IF(COUNTIFS(BD!$A$3:$A$5001,AG$3,BD!$B$3:$B$5001,$A$227,BD!$T$3:$T$5001,"&lt;&gt;")=0,"",SUMIFS(BD!$T$3:$T$5001,BD!$A$3:$A$5001,AG$3,BD!$B$3:$B$5001,$A$227)))</f>
        <v/>
      </c>
      <c r="AH245" s="232" t="str">
        <f>IF(AH$3="","",IF(COUNTIFS(BD!$A$3:$A$5001,AH$3,BD!$B$3:$B$5001,$A$227,BD!$T$3:$T$5001,"&lt;&gt;")=0,"",SUMIFS(BD!$T$3:$T$5001,BD!$A$3:$A$5001,AH$3,BD!$B$3:$B$5001,$A$227)))</f>
        <v/>
      </c>
      <c r="AI245" s="232" t="str">
        <f>IF(AI$3="","",IF(COUNTIFS(BD!$A$3:$A$5001,AI$3,BD!$B$3:$B$5001,$A$227,BD!$T$3:$T$5001,"&lt;&gt;")=0,"",SUMIFS(BD!$T$3:$T$5001,BD!$A$3:$A$5001,AI$3,BD!$B$3:$B$5001,$A$227)))</f>
        <v/>
      </c>
      <c r="AJ245" s="233" t="str">
        <f>IF(AJ$3="","",IF(COUNTIFS(BD!$A$3:$A$5001,AJ$3,BD!$B$3:$B$5001,$A$227,BD!$T$3:$T$5001,"&lt;&gt;")=0,"",SUMIFS(BD!$T$3:$T$5001,BD!$A$3:$A$5001,AJ$3,BD!$B$3:$B$5001,$A$227)))</f>
        <v/>
      </c>
      <c r="AK245" s="234" t="str">
        <f>IF(COUNT(F245:AJ245)=0,"",SUM(F245:AJ245))</f>
        <v/>
      </c>
    </row>
    <row r="246" ht="15.75" customHeight="1" hidden="1">
      <c r="A246" s="255"/>
      <c r="B246" s="252"/>
      <c r="C246" s="235" t="inlineStr">
        <is>
          <t xml:space="preserve">Acidentes SAF</t>
        </is>
      </c>
      <c r="D246" s="236" t="str">
        <f>IFERROR(1/(1/INDEX(BD!$Y$42:$AS$42,MATCH($A$227,BD!$Y$22:$AS$22,0))),"")</f>
        <v/>
      </c>
      <c r="E246" s="237"/>
      <c r="F246" s="238" t="str">
        <f>IF(F$3="","",IF(COUNTIFS(BD!$A$3:$A$5001,F$3,BD!$B$3:$B$5001,$A$227,BD!$U$3:$U$5001,"&lt;&gt;")=0,"",SUMIFS(BD!$U$3:$U$5001,BD!$A$3:$A$5001,F$3,BD!$B$3:$B$5001,$A$227)))</f>
        <v/>
      </c>
      <c r="G246" s="239" t="str">
        <f>IF(G$3="","",IF(COUNTIFS(BD!$A$3:$A$5001,G$3,BD!$B$3:$B$5001,$A$227,BD!$U$3:$U$5001,"&lt;&gt;")=0,"",SUMIFS(BD!$U$3:$U$5001,BD!$A$3:$A$5001,G$3,BD!$B$3:$B$5001,$A$227)))</f>
        <v/>
      </c>
      <c r="H246" s="239" t="str">
        <f>IF(H$3="","",IF(COUNTIFS(BD!$A$3:$A$5001,H$3,BD!$B$3:$B$5001,$A$227,BD!$U$3:$U$5001,"&lt;&gt;")=0,"",SUMIFS(BD!$U$3:$U$5001,BD!$A$3:$A$5001,H$3,BD!$B$3:$B$5001,$A$227)))</f>
        <v/>
      </c>
      <c r="I246" s="239" t="str">
        <f>IF(I$3="","",IF(COUNTIFS(BD!$A$3:$A$5001,I$3,BD!$B$3:$B$5001,$A$227,BD!$U$3:$U$5001,"&lt;&gt;")=0,"",SUMIFS(BD!$U$3:$U$5001,BD!$A$3:$A$5001,I$3,BD!$B$3:$B$5001,$A$227)))</f>
        <v/>
      </c>
      <c r="J246" s="239" t="str">
        <f>IF(J$3="","",IF(COUNTIFS(BD!$A$3:$A$5001,J$3,BD!$B$3:$B$5001,$A$227,BD!$U$3:$U$5001,"&lt;&gt;")=0,"",SUMIFS(BD!$U$3:$U$5001,BD!$A$3:$A$5001,J$3,BD!$B$3:$B$5001,$A$227)))</f>
        <v/>
      </c>
      <c r="K246" s="239" t="str">
        <f>IF(K$3="","",IF(COUNTIFS(BD!$A$3:$A$5001,K$3,BD!$B$3:$B$5001,$A$227,BD!$U$3:$U$5001,"&lt;&gt;")=0,"",SUMIFS(BD!$U$3:$U$5001,BD!$A$3:$A$5001,K$3,BD!$B$3:$B$5001,$A$227)))</f>
        <v/>
      </c>
      <c r="L246" s="239" t="str">
        <f>IF(L$3="","",IF(COUNTIFS(BD!$A$3:$A$5001,L$3,BD!$B$3:$B$5001,$A$227,BD!$U$3:$U$5001,"&lt;&gt;")=0,"",SUMIFS(BD!$U$3:$U$5001,BD!$A$3:$A$5001,L$3,BD!$B$3:$B$5001,$A$227)))</f>
        <v/>
      </c>
      <c r="M246" s="239" t="str">
        <f>IF(M$3="","",IF(COUNTIFS(BD!$A$3:$A$5001,M$3,BD!$B$3:$B$5001,$A$227,BD!$U$3:$U$5001,"&lt;&gt;")=0,"",SUMIFS(BD!$U$3:$U$5001,BD!$A$3:$A$5001,M$3,BD!$B$3:$B$5001,$A$227)))</f>
        <v/>
      </c>
      <c r="N246" s="239" t="str">
        <f>IF(N$3="","",IF(COUNTIFS(BD!$A$3:$A$5001,N$3,BD!$B$3:$B$5001,$A$227,BD!$U$3:$U$5001,"&lt;&gt;")=0,"",SUMIFS(BD!$U$3:$U$5001,BD!$A$3:$A$5001,N$3,BD!$B$3:$B$5001,$A$227)))</f>
        <v/>
      </c>
      <c r="O246" s="239" t="str">
        <f>IF(O$3="","",IF(COUNTIFS(BD!$A$3:$A$5001,O$3,BD!$B$3:$B$5001,$A$227,BD!$U$3:$U$5001,"&lt;&gt;")=0,"",SUMIFS(BD!$U$3:$U$5001,BD!$A$3:$A$5001,O$3,BD!$B$3:$B$5001,$A$227)))</f>
        <v/>
      </c>
      <c r="P246" s="239" t="str">
        <f>IF(P$3="","",IF(COUNTIFS(BD!$A$3:$A$5001,P$3,BD!$B$3:$B$5001,$A$227,BD!$U$3:$U$5001,"&lt;&gt;")=0,"",SUMIFS(BD!$U$3:$U$5001,BD!$A$3:$A$5001,P$3,BD!$B$3:$B$5001,$A$227)))</f>
        <v/>
      </c>
      <c r="Q246" s="239" t="str">
        <f>IF(Q$3="","",IF(COUNTIFS(BD!$A$3:$A$5001,Q$3,BD!$B$3:$B$5001,$A$227,BD!$U$3:$U$5001,"&lt;&gt;")=0,"",SUMIFS(BD!$U$3:$U$5001,BD!$A$3:$A$5001,Q$3,BD!$B$3:$B$5001,$A$227)))</f>
        <v/>
      </c>
      <c r="R246" s="239" t="str">
        <f>IF(R$3="","",IF(COUNTIFS(BD!$A$3:$A$5001,R$3,BD!$B$3:$B$5001,$A$227,BD!$U$3:$U$5001,"&lt;&gt;")=0,"",SUMIFS(BD!$U$3:$U$5001,BD!$A$3:$A$5001,R$3,BD!$B$3:$B$5001,$A$227)))</f>
        <v/>
      </c>
      <c r="S246" s="239" t="str">
        <f>IF(S$3="","",IF(COUNTIFS(BD!$A$3:$A$5001,S$3,BD!$B$3:$B$5001,$A$227,BD!$U$3:$U$5001,"&lt;&gt;")=0,"",SUMIFS(BD!$U$3:$U$5001,BD!$A$3:$A$5001,S$3,BD!$B$3:$B$5001,$A$227)))</f>
        <v/>
      </c>
      <c r="T246" s="239" t="str">
        <f>IF(T$3="","",IF(COUNTIFS(BD!$A$3:$A$5001,T$3,BD!$B$3:$B$5001,$A$227,BD!$U$3:$U$5001,"&lt;&gt;")=0,"",SUMIFS(BD!$U$3:$U$5001,BD!$A$3:$A$5001,T$3,BD!$B$3:$B$5001,$A$227)))</f>
        <v/>
      </c>
      <c r="U246" s="239" t="str">
        <f>IF(U$3="","",IF(COUNTIFS(BD!$A$3:$A$5001,U$3,BD!$B$3:$B$5001,$A$227,BD!$U$3:$U$5001,"&lt;&gt;")=0,"",SUMIFS(BD!$U$3:$U$5001,BD!$A$3:$A$5001,U$3,BD!$B$3:$B$5001,$A$227)))</f>
        <v/>
      </c>
      <c r="V246" s="239" t="str">
        <f>IF(V$3="","",IF(COUNTIFS(BD!$A$3:$A$5001,V$3,BD!$B$3:$B$5001,$A$227,BD!$U$3:$U$5001,"&lt;&gt;")=0,"",SUMIFS(BD!$U$3:$U$5001,BD!$A$3:$A$5001,V$3,BD!$B$3:$B$5001,$A$227)))</f>
        <v/>
      </c>
      <c r="W246" s="239" t="str">
        <f>IF(W$3="","",IF(COUNTIFS(BD!$A$3:$A$5001,W$3,BD!$B$3:$B$5001,$A$227,BD!$U$3:$U$5001,"&lt;&gt;")=0,"",SUMIFS(BD!$U$3:$U$5001,BD!$A$3:$A$5001,W$3,BD!$B$3:$B$5001,$A$227)))</f>
        <v/>
      </c>
      <c r="X246" s="239" t="str">
        <f>IF(X$3="","",IF(COUNTIFS(BD!$A$3:$A$5001,X$3,BD!$B$3:$B$5001,$A$227,BD!$U$3:$U$5001,"&lt;&gt;")=0,"",SUMIFS(BD!$U$3:$U$5001,BD!$A$3:$A$5001,X$3,BD!$B$3:$B$5001,$A$227)))</f>
        <v/>
      </c>
      <c r="Y246" s="239" t="str">
        <f>IF(Y$3="","",IF(COUNTIFS(BD!$A$3:$A$5001,Y$3,BD!$B$3:$B$5001,$A$227,BD!$U$3:$U$5001,"&lt;&gt;")=0,"",SUMIFS(BD!$U$3:$U$5001,BD!$A$3:$A$5001,Y$3,BD!$B$3:$B$5001,$A$227)))</f>
        <v/>
      </c>
      <c r="Z246" s="239" t="str">
        <f>IF(Z$3="","",IF(COUNTIFS(BD!$A$3:$A$5001,Z$3,BD!$B$3:$B$5001,$A$227,BD!$U$3:$U$5001,"&lt;&gt;")=0,"",SUMIFS(BD!$U$3:$U$5001,BD!$A$3:$A$5001,Z$3,BD!$B$3:$B$5001,$A$227)))</f>
        <v/>
      </c>
      <c r="AA246" s="239" t="str">
        <f>IF(AA$3="","",IF(COUNTIFS(BD!$A$3:$A$5001,AA$3,BD!$B$3:$B$5001,$A$227,BD!$U$3:$U$5001,"&lt;&gt;")=0,"",SUMIFS(BD!$U$3:$U$5001,BD!$A$3:$A$5001,AA$3,BD!$B$3:$B$5001,$A$227)))</f>
        <v/>
      </c>
      <c r="AB246" s="239" t="str">
        <f>IF(AB$3="","",IF(COUNTIFS(BD!$A$3:$A$5001,AB$3,BD!$B$3:$B$5001,$A$227,BD!$U$3:$U$5001,"&lt;&gt;")=0,"",SUMIFS(BD!$U$3:$U$5001,BD!$A$3:$A$5001,AB$3,BD!$B$3:$B$5001,$A$227)))</f>
        <v/>
      </c>
      <c r="AC246" s="239" t="str">
        <f>IF(AC$3="","",IF(COUNTIFS(BD!$A$3:$A$5001,AC$3,BD!$B$3:$B$5001,$A$227,BD!$U$3:$U$5001,"&lt;&gt;")=0,"",SUMIFS(BD!$U$3:$U$5001,BD!$A$3:$A$5001,AC$3,BD!$B$3:$B$5001,$A$227)))</f>
        <v/>
      </c>
      <c r="AD246" s="239" t="str">
        <f>IF(AD$3="","",IF(COUNTIFS(BD!$A$3:$A$5001,AD$3,BD!$B$3:$B$5001,$A$227,BD!$U$3:$U$5001,"&lt;&gt;")=0,"",SUMIFS(BD!$U$3:$U$5001,BD!$A$3:$A$5001,AD$3,BD!$B$3:$B$5001,$A$227)))</f>
        <v/>
      </c>
      <c r="AE246" s="239" t="str">
        <f>IF(AE$3="","",IF(COUNTIFS(BD!$A$3:$A$5001,AE$3,BD!$B$3:$B$5001,$A$227,BD!$U$3:$U$5001,"&lt;&gt;")=0,"",SUMIFS(BD!$U$3:$U$5001,BD!$A$3:$A$5001,AE$3,BD!$B$3:$B$5001,$A$227)))</f>
        <v/>
      </c>
      <c r="AF246" s="239" t="str">
        <f>IF(AF$3="","",IF(COUNTIFS(BD!$A$3:$A$5001,AF$3,BD!$B$3:$B$5001,$A$227,BD!$U$3:$U$5001,"&lt;&gt;")=0,"",SUMIFS(BD!$U$3:$U$5001,BD!$A$3:$A$5001,AF$3,BD!$B$3:$B$5001,$A$227)))</f>
        <v/>
      </c>
      <c r="AG246" s="239" t="str">
        <f>IF(AG$3="","",IF(COUNTIFS(BD!$A$3:$A$5001,AG$3,BD!$B$3:$B$5001,$A$227,BD!$U$3:$U$5001,"&lt;&gt;")=0,"",SUMIFS(BD!$U$3:$U$5001,BD!$A$3:$A$5001,AG$3,BD!$B$3:$B$5001,$A$227)))</f>
        <v/>
      </c>
      <c r="AH246" s="239" t="str">
        <f>IF(AH$3="","",IF(COUNTIFS(BD!$A$3:$A$5001,AH$3,BD!$B$3:$B$5001,$A$227,BD!$U$3:$U$5001,"&lt;&gt;")=0,"",SUMIFS(BD!$U$3:$U$5001,BD!$A$3:$A$5001,AH$3,BD!$B$3:$B$5001,$A$227)))</f>
        <v/>
      </c>
      <c r="AI246" s="239" t="str">
        <f>IF(AI$3="","",IF(COUNTIFS(BD!$A$3:$A$5001,AI$3,BD!$B$3:$B$5001,$A$227,BD!$U$3:$U$5001,"&lt;&gt;")=0,"",SUMIFS(BD!$U$3:$U$5001,BD!$A$3:$A$5001,AI$3,BD!$B$3:$B$5001,$A$227)))</f>
        <v/>
      </c>
      <c r="AJ246" s="240" t="str">
        <f>IF(AJ$3="","",IF(COUNTIFS(BD!$A$3:$A$5001,AJ$3,BD!$B$3:$B$5001,$A$227,BD!$U$3:$U$5001,"&lt;&gt;")=0,"",SUMIFS(BD!$U$3:$U$5001,BD!$A$3:$A$5001,AJ$3,BD!$B$3:$B$5001,$A$227)))</f>
        <v/>
      </c>
      <c r="AK246" s="236" t="str">
        <f>IF(COUNT(F246:AJ246)=0,"",SUM(F246:AJ246))</f>
        <v/>
      </c>
    </row>
    <row r="248" ht="15.75" customHeight="1" hidden="1">
      <c r="A248" s="253"/>
      <c r="B248" s="241" t="inlineStr">
        <is>
          <t xml:space="preserve">IN</t>
        </is>
      </c>
      <c r="C248" s="155" t="inlineStr">
        <is>
          <t xml:space="preserve">Veículos Recebidos</t>
        </is>
      </c>
      <c r="D248" s="156" t="str">
        <f>IFERROR(1/(1/INDEX(BD!$Y$23:$AS$23,MATCH($A$248,BD!$Y$22:$AS$22,0))),"")</f>
        <v/>
      </c>
      <c r="E248" s="157"/>
      <c r="F248" s="158" t="str">
        <f>IF(F$3="","",IF(COUNTIFS(BD!$A$3:$A$5001,F$3,BD!$B$3:$B$5001,$A$248,BD!$C$3:$C$5001,"&lt;&gt;")=0,"",SUMIFS(BD!$C$3:$C$5001,BD!$A$3:$A$5001,F$3,BD!$B$3:$B$5001,$A$248)))</f>
        <v/>
      </c>
      <c r="G248" s="159" t="str">
        <f>IF(G$3="","",IF(COUNTIFS(BD!$A$3:$A$5001,G$3,BD!$B$3:$B$5001,$A$248,BD!$C$3:$C$5001,"&lt;&gt;")=0,"",SUMIFS(BD!$C$3:$C$5001,BD!$A$3:$A$5001,G$3,BD!$B$3:$B$5001,$A$248)))</f>
        <v/>
      </c>
      <c r="H248" s="159" t="str">
        <f>IF(H$3="","",IF(COUNTIFS(BD!$A$3:$A$5001,H$3,BD!$B$3:$B$5001,$A$248,BD!$C$3:$C$5001,"&lt;&gt;")=0,"",SUMIFS(BD!$C$3:$C$5001,BD!$A$3:$A$5001,H$3,BD!$B$3:$B$5001,$A$248)))</f>
        <v/>
      </c>
      <c r="I248" s="159" t="str">
        <f>IF(I$3="","",IF(COUNTIFS(BD!$A$3:$A$5001,I$3,BD!$B$3:$B$5001,$A$248,BD!$C$3:$C$5001,"&lt;&gt;")=0,"",SUMIFS(BD!$C$3:$C$5001,BD!$A$3:$A$5001,I$3,BD!$B$3:$B$5001,$A$248)))</f>
        <v/>
      </c>
      <c r="J248" s="159" t="str">
        <f>IF(J$3="","",IF(COUNTIFS(BD!$A$3:$A$5001,J$3,BD!$B$3:$B$5001,$A$248,BD!$C$3:$C$5001,"&lt;&gt;")=0,"",SUMIFS(BD!$C$3:$C$5001,BD!$A$3:$A$5001,J$3,BD!$B$3:$B$5001,$A$248)))</f>
        <v/>
      </c>
      <c r="K248" s="159" t="str">
        <f>IF(K$3="","",IF(COUNTIFS(BD!$A$3:$A$5001,K$3,BD!$B$3:$B$5001,$A$248,BD!$C$3:$C$5001,"&lt;&gt;")=0,"",SUMIFS(BD!$C$3:$C$5001,BD!$A$3:$A$5001,K$3,BD!$B$3:$B$5001,$A$248)))</f>
        <v/>
      </c>
      <c r="L248" s="159" t="str">
        <f>IF(L$3="","",IF(COUNTIFS(BD!$A$3:$A$5001,L$3,BD!$B$3:$B$5001,$A$248,BD!$C$3:$C$5001,"&lt;&gt;")=0,"",SUMIFS(BD!$C$3:$C$5001,BD!$A$3:$A$5001,L$3,BD!$B$3:$B$5001,$A$248)))</f>
        <v/>
      </c>
      <c r="M248" s="159" t="str">
        <f>IF(M$3="","",IF(COUNTIFS(BD!$A$3:$A$5001,M$3,BD!$B$3:$B$5001,$A$248,BD!$C$3:$C$5001,"&lt;&gt;")=0,"",SUMIFS(BD!$C$3:$C$5001,BD!$A$3:$A$5001,M$3,BD!$B$3:$B$5001,$A$248)))</f>
        <v/>
      </c>
      <c r="N248" s="159" t="str">
        <f>IF(N$3="","",IF(COUNTIFS(BD!$A$3:$A$5001,N$3,BD!$B$3:$B$5001,$A$248,BD!$C$3:$C$5001,"&lt;&gt;")=0,"",SUMIFS(BD!$C$3:$C$5001,BD!$A$3:$A$5001,N$3,BD!$B$3:$B$5001,$A$248)))</f>
        <v/>
      </c>
      <c r="O248" s="159" t="str">
        <f>IF(O$3="","",IF(COUNTIFS(BD!$A$3:$A$5001,O$3,BD!$B$3:$B$5001,$A$248,BD!$C$3:$C$5001,"&lt;&gt;")=0,"",SUMIFS(BD!$C$3:$C$5001,BD!$A$3:$A$5001,O$3,BD!$B$3:$B$5001,$A$248)))</f>
        <v/>
      </c>
      <c r="P248" s="159" t="str">
        <f>IF(P$3="","",IF(COUNTIFS(BD!$A$3:$A$5001,P$3,BD!$B$3:$B$5001,$A$248,BD!$C$3:$C$5001,"&lt;&gt;")=0,"",SUMIFS(BD!$C$3:$C$5001,BD!$A$3:$A$5001,P$3,BD!$B$3:$B$5001,$A$248)))</f>
        <v/>
      </c>
      <c r="Q248" s="159" t="str">
        <f>IF(Q$3="","",IF(COUNTIFS(BD!$A$3:$A$5001,Q$3,BD!$B$3:$B$5001,$A$248,BD!$C$3:$C$5001,"&lt;&gt;")=0,"",SUMIFS(BD!$C$3:$C$5001,BD!$A$3:$A$5001,Q$3,BD!$B$3:$B$5001,$A$248)))</f>
        <v/>
      </c>
      <c r="R248" s="159" t="str">
        <f>IF(R$3="","",IF(COUNTIFS(BD!$A$3:$A$5001,R$3,BD!$B$3:$B$5001,$A$248,BD!$C$3:$C$5001,"&lt;&gt;")=0,"",SUMIFS(BD!$C$3:$C$5001,BD!$A$3:$A$5001,R$3,BD!$B$3:$B$5001,$A$248)))</f>
        <v/>
      </c>
      <c r="S248" s="159" t="str">
        <f>IF(S$3="","",IF(COUNTIFS(BD!$A$3:$A$5001,S$3,BD!$B$3:$B$5001,$A$248,BD!$C$3:$C$5001,"&lt;&gt;")=0,"",SUMIFS(BD!$C$3:$C$5001,BD!$A$3:$A$5001,S$3,BD!$B$3:$B$5001,$A$248)))</f>
        <v/>
      </c>
      <c r="T248" s="159" t="str">
        <f>IF(T$3="","",IF(COUNTIFS(BD!$A$3:$A$5001,T$3,BD!$B$3:$B$5001,$A$248,BD!$C$3:$C$5001,"&lt;&gt;")=0,"",SUMIFS(BD!$C$3:$C$5001,BD!$A$3:$A$5001,T$3,BD!$B$3:$B$5001,$A$248)))</f>
        <v/>
      </c>
      <c r="U248" s="159" t="str">
        <f>IF(U$3="","",IF(COUNTIFS(BD!$A$3:$A$5001,U$3,BD!$B$3:$B$5001,$A$248,BD!$C$3:$C$5001,"&lt;&gt;")=0,"",SUMIFS(BD!$C$3:$C$5001,BD!$A$3:$A$5001,U$3,BD!$B$3:$B$5001,$A$248)))</f>
        <v/>
      </c>
      <c r="V248" s="159" t="str">
        <f>IF(V$3="","",IF(COUNTIFS(BD!$A$3:$A$5001,V$3,BD!$B$3:$B$5001,$A$248,BD!$C$3:$C$5001,"&lt;&gt;")=0,"",SUMIFS(BD!$C$3:$C$5001,BD!$A$3:$A$5001,V$3,BD!$B$3:$B$5001,$A$248)))</f>
        <v/>
      </c>
      <c r="W248" s="159" t="str">
        <f>IF(W$3="","",IF(COUNTIFS(BD!$A$3:$A$5001,W$3,BD!$B$3:$B$5001,$A$248,BD!$C$3:$C$5001,"&lt;&gt;")=0,"",SUMIFS(BD!$C$3:$C$5001,BD!$A$3:$A$5001,W$3,BD!$B$3:$B$5001,$A$248)))</f>
        <v/>
      </c>
      <c r="X248" s="159" t="str">
        <f>IF(X$3="","",IF(COUNTIFS(BD!$A$3:$A$5001,X$3,BD!$B$3:$B$5001,$A$248,BD!$C$3:$C$5001,"&lt;&gt;")=0,"",SUMIFS(BD!$C$3:$C$5001,BD!$A$3:$A$5001,X$3,BD!$B$3:$B$5001,$A$248)))</f>
        <v/>
      </c>
      <c r="Y248" s="159" t="str">
        <f>IF(Y$3="","",IF(COUNTIFS(BD!$A$3:$A$5001,Y$3,BD!$B$3:$B$5001,$A$248,BD!$C$3:$C$5001,"&lt;&gt;")=0,"",SUMIFS(BD!$C$3:$C$5001,BD!$A$3:$A$5001,Y$3,BD!$B$3:$B$5001,$A$248)))</f>
        <v/>
      </c>
      <c r="Z248" s="159" t="str">
        <f>IF(Z$3="","",IF(COUNTIFS(BD!$A$3:$A$5001,Z$3,BD!$B$3:$B$5001,$A$248,BD!$C$3:$C$5001,"&lt;&gt;")=0,"",SUMIFS(BD!$C$3:$C$5001,BD!$A$3:$A$5001,Z$3,BD!$B$3:$B$5001,$A$248)))</f>
        <v/>
      </c>
      <c r="AA248" s="159" t="str">
        <f>IF(AA$3="","",IF(COUNTIFS(BD!$A$3:$A$5001,AA$3,BD!$B$3:$B$5001,$A$248,BD!$C$3:$C$5001,"&lt;&gt;")=0,"",SUMIFS(BD!$C$3:$C$5001,BD!$A$3:$A$5001,AA$3,BD!$B$3:$B$5001,$A$248)))</f>
        <v/>
      </c>
      <c r="AB248" s="159" t="str">
        <f>IF(AB$3="","",IF(COUNTIFS(BD!$A$3:$A$5001,AB$3,BD!$B$3:$B$5001,$A$248,BD!$C$3:$C$5001,"&lt;&gt;")=0,"",SUMIFS(BD!$C$3:$C$5001,BD!$A$3:$A$5001,AB$3,BD!$B$3:$B$5001,$A$248)))</f>
        <v/>
      </c>
      <c r="AC248" s="159" t="str">
        <f>IF(AC$3="","",IF(COUNTIFS(BD!$A$3:$A$5001,AC$3,BD!$B$3:$B$5001,$A$248,BD!$C$3:$C$5001,"&lt;&gt;")=0,"",SUMIFS(BD!$C$3:$C$5001,BD!$A$3:$A$5001,AC$3,BD!$B$3:$B$5001,$A$248)))</f>
        <v/>
      </c>
      <c r="AD248" s="159" t="str">
        <f>IF(AD$3="","",IF(COUNTIFS(BD!$A$3:$A$5001,AD$3,BD!$B$3:$B$5001,$A$248,BD!$C$3:$C$5001,"&lt;&gt;")=0,"",SUMIFS(BD!$C$3:$C$5001,BD!$A$3:$A$5001,AD$3,BD!$B$3:$B$5001,$A$248)))</f>
        <v/>
      </c>
      <c r="AE248" s="159" t="str">
        <f>IF(AE$3="","",IF(COUNTIFS(BD!$A$3:$A$5001,AE$3,BD!$B$3:$B$5001,$A$248,BD!$C$3:$C$5001,"&lt;&gt;")=0,"",SUMIFS(BD!$C$3:$C$5001,BD!$A$3:$A$5001,AE$3,BD!$B$3:$B$5001,$A$248)))</f>
        <v/>
      </c>
      <c r="AF248" s="159" t="str">
        <f>IF(AF$3="","",IF(COUNTIFS(BD!$A$3:$A$5001,AF$3,BD!$B$3:$B$5001,$A$248,BD!$C$3:$C$5001,"&lt;&gt;")=0,"",SUMIFS(BD!$C$3:$C$5001,BD!$A$3:$A$5001,AF$3,BD!$B$3:$B$5001,$A$248)))</f>
        <v/>
      </c>
      <c r="AG248" s="159" t="str">
        <f>IF(AG$3="","",IF(COUNTIFS(BD!$A$3:$A$5001,AG$3,BD!$B$3:$B$5001,$A$248,BD!$C$3:$C$5001,"&lt;&gt;")=0,"",SUMIFS(BD!$C$3:$C$5001,BD!$A$3:$A$5001,AG$3,BD!$B$3:$B$5001,$A$248)))</f>
        <v/>
      </c>
      <c r="AH248" s="159" t="str">
        <f>IF(AH$3="","",IF(COUNTIFS(BD!$A$3:$A$5001,AH$3,BD!$B$3:$B$5001,$A$248,BD!$C$3:$C$5001,"&lt;&gt;")=0,"",SUMIFS(BD!$C$3:$C$5001,BD!$A$3:$A$5001,AH$3,BD!$B$3:$B$5001,$A$248)))</f>
        <v/>
      </c>
      <c r="AI248" s="159" t="str">
        <f>IF(AI$3="","",IF(COUNTIFS(BD!$A$3:$A$5001,AI$3,BD!$B$3:$B$5001,$A$248,BD!$C$3:$C$5001,"&lt;&gt;")=0,"",SUMIFS(BD!$C$3:$C$5001,BD!$A$3:$A$5001,AI$3,BD!$B$3:$B$5001,$A$248)))</f>
        <v/>
      </c>
      <c r="AJ248" s="160" t="str">
        <f>IF(AJ$3="","",IF(COUNTIFS(BD!$A$3:$A$5001,AJ$3,BD!$B$3:$B$5001,$A$248,BD!$C$3:$C$5001,"&lt;&gt;")=0,"",SUMIFS(BD!$C$3:$C$5001,BD!$A$3:$A$5001,AJ$3,BD!$B$3:$B$5001,$A$248)))</f>
        <v/>
      </c>
      <c r="AK248" s="161" t="str">
        <f>IF(COUNT(F248:AJ248)=0,"",SUM(F248:AJ248))</f>
        <v/>
      </c>
    </row>
    <row r="249" ht="15.75" customHeight="1" hidden="1">
      <c r="A249" s="254"/>
      <c r="B249" s="242"/>
      <c r="C249" s="162" t="inlineStr">
        <is>
          <t xml:space="preserve">Pallets Movimentados</t>
        </is>
      </c>
      <c r="D249" s="163" t="str">
        <f>IFERROR(1/(1/INDEX(BD!$Y$24:$AS$24,MATCH($A$248,BD!$Y$22:$AS$22,0))),"")</f>
        <v/>
      </c>
      <c r="E249" s="164"/>
      <c r="F249" s="165" t="str">
        <f>IF(F$3="","",IF(COUNTIFS(BD!$A$3:$A$5001,F$3,BD!$B$3:$B$5001,$A$248,BD!$D$3:$D$5001,"&lt;&gt;")=0,"",SUMIFS(BD!$D$3:$D$5001,BD!$A$3:$A$5001,F$3,BD!$B$3:$B$5001,$A$248)))</f>
        <v/>
      </c>
      <c r="G249" s="166" t="str">
        <f>IF(G$3="","",IF(COUNTIFS(BD!$A$3:$A$5001,G$3,BD!$B$3:$B$5001,$A$248,BD!$D$3:$D$5001,"&lt;&gt;")=0,"",SUMIFS(BD!$D$3:$D$5001,BD!$A$3:$A$5001,G$3,BD!$B$3:$B$5001,$A$248)))</f>
        <v/>
      </c>
      <c r="H249" s="166" t="str">
        <f>IF(H$3="","",IF(COUNTIFS(BD!$A$3:$A$5001,H$3,BD!$B$3:$B$5001,$A$248,BD!$D$3:$D$5001,"&lt;&gt;")=0,"",SUMIFS(BD!$D$3:$D$5001,BD!$A$3:$A$5001,H$3,BD!$B$3:$B$5001,$A$248)))</f>
        <v/>
      </c>
      <c r="I249" s="166" t="str">
        <f>IF(I$3="","",IF(COUNTIFS(BD!$A$3:$A$5001,I$3,BD!$B$3:$B$5001,$A$248,BD!$D$3:$D$5001,"&lt;&gt;")=0,"",SUMIFS(BD!$D$3:$D$5001,BD!$A$3:$A$5001,I$3,BD!$B$3:$B$5001,$A$248)))</f>
        <v/>
      </c>
      <c r="J249" s="166" t="str">
        <f>IF(J$3="","",IF(COUNTIFS(BD!$A$3:$A$5001,J$3,BD!$B$3:$B$5001,$A$248,BD!$D$3:$D$5001,"&lt;&gt;")=0,"",SUMIFS(BD!$D$3:$D$5001,BD!$A$3:$A$5001,J$3,BD!$B$3:$B$5001,$A$248)))</f>
        <v/>
      </c>
      <c r="K249" s="166" t="str">
        <f>IF(K$3="","",IF(COUNTIFS(BD!$A$3:$A$5001,K$3,BD!$B$3:$B$5001,$A$248,BD!$D$3:$D$5001,"&lt;&gt;")=0,"",SUMIFS(BD!$D$3:$D$5001,BD!$A$3:$A$5001,K$3,BD!$B$3:$B$5001,$A$248)))</f>
        <v/>
      </c>
      <c r="L249" s="166" t="str">
        <f>IF(L$3="","",IF(COUNTIFS(BD!$A$3:$A$5001,L$3,BD!$B$3:$B$5001,$A$248,BD!$D$3:$D$5001,"&lt;&gt;")=0,"",SUMIFS(BD!$D$3:$D$5001,BD!$A$3:$A$5001,L$3,BD!$B$3:$B$5001,$A$248)))</f>
        <v/>
      </c>
      <c r="M249" s="166" t="str">
        <f>IF(M$3="","",IF(COUNTIFS(BD!$A$3:$A$5001,M$3,BD!$B$3:$B$5001,$A$248,BD!$D$3:$D$5001,"&lt;&gt;")=0,"",SUMIFS(BD!$D$3:$D$5001,BD!$A$3:$A$5001,M$3,BD!$B$3:$B$5001,$A$248)))</f>
        <v/>
      </c>
      <c r="N249" s="166" t="str">
        <f>IF(N$3="","",IF(COUNTIFS(BD!$A$3:$A$5001,N$3,BD!$B$3:$B$5001,$A$248,BD!$D$3:$D$5001,"&lt;&gt;")=0,"",SUMIFS(BD!$D$3:$D$5001,BD!$A$3:$A$5001,N$3,BD!$B$3:$B$5001,$A$248)))</f>
        <v/>
      </c>
      <c r="O249" s="166" t="str">
        <f>IF(O$3="","",IF(COUNTIFS(BD!$A$3:$A$5001,O$3,BD!$B$3:$B$5001,$A$248,BD!$D$3:$D$5001,"&lt;&gt;")=0,"",SUMIFS(BD!$D$3:$D$5001,BD!$A$3:$A$5001,O$3,BD!$B$3:$B$5001,$A$248)))</f>
        <v/>
      </c>
      <c r="P249" s="166" t="str">
        <f>IF(P$3="","",IF(COUNTIFS(BD!$A$3:$A$5001,P$3,BD!$B$3:$B$5001,$A$248,BD!$D$3:$D$5001,"&lt;&gt;")=0,"",SUMIFS(BD!$D$3:$D$5001,BD!$A$3:$A$5001,P$3,BD!$B$3:$B$5001,$A$248)))</f>
        <v/>
      </c>
      <c r="Q249" s="166" t="str">
        <f>IF(Q$3="","",IF(COUNTIFS(BD!$A$3:$A$5001,Q$3,BD!$B$3:$B$5001,$A$248,BD!$D$3:$D$5001,"&lt;&gt;")=0,"",SUMIFS(BD!$D$3:$D$5001,BD!$A$3:$A$5001,Q$3,BD!$B$3:$B$5001,$A$248)))</f>
        <v/>
      </c>
      <c r="R249" s="166" t="str">
        <f>IF(R$3="","",IF(COUNTIFS(BD!$A$3:$A$5001,R$3,BD!$B$3:$B$5001,$A$248,BD!$D$3:$D$5001,"&lt;&gt;")=0,"",SUMIFS(BD!$D$3:$D$5001,BD!$A$3:$A$5001,R$3,BD!$B$3:$B$5001,$A$248)))</f>
        <v/>
      </c>
      <c r="S249" s="166" t="str">
        <f>IF(S$3="","",IF(COUNTIFS(BD!$A$3:$A$5001,S$3,BD!$B$3:$B$5001,$A$248,BD!$D$3:$D$5001,"&lt;&gt;")=0,"",SUMIFS(BD!$D$3:$D$5001,BD!$A$3:$A$5001,S$3,BD!$B$3:$B$5001,$A$248)))</f>
        <v/>
      </c>
      <c r="T249" s="166" t="str">
        <f>IF(T$3="","",IF(COUNTIFS(BD!$A$3:$A$5001,T$3,BD!$B$3:$B$5001,$A$248,BD!$D$3:$D$5001,"&lt;&gt;")=0,"",SUMIFS(BD!$D$3:$D$5001,BD!$A$3:$A$5001,T$3,BD!$B$3:$B$5001,$A$248)))</f>
        <v/>
      </c>
      <c r="U249" s="166" t="str">
        <f>IF(U$3="","",IF(COUNTIFS(BD!$A$3:$A$5001,U$3,BD!$B$3:$B$5001,$A$248,BD!$D$3:$D$5001,"&lt;&gt;")=0,"",SUMIFS(BD!$D$3:$D$5001,BD!$A$3:$A$5001,U$3,BD!$B$3:$B$5001,$A$248)))</f>
        <v/>
      </c>
      <c r="V249" s="166" t="str">
        <f>IF(V$3="","",IF(COUNTIFS(BD!$A$3:$A$5001,V$3,BD!$B$3:$B$5001,$A$248,BD!$D$3:$D$5001,"&lt;&gt;")=0,"",SUMIFS(BD!$D$3:$D$5001,BD!$A$3:$A$5001,V$3,BD!$B$3:$B$5001,$A$248)))</f>
        <v/>
      </c>
      <c r="W249" s="166" t="str">
        <f>IF(W$3="","",IF(COUNTIFS(BD!$A$3:$A$5001,W$3,BD!$B$3:$B$5001,$A$248,BD!$D$3:$D$5001,"&lt;&gt;")=0,"",SUMIFS(BD!$D$3:$D$5001,BD!$A$3:$A$5001,W$3,BD!$B$3:$B$5001,$A$248)))</f>
        <v/>
      </c>
      <c r="X249" s="166" t="str">
        <f>IF(X$3="","",IF(COUNTIFS(BD!$A$3:$A$5001,X$3,BD!$B$3:$B$5001,$A$248,BD!$D$3:$D$5001,"&lt;&gt;")=0,"",SUMIFS(BD!$D$3:$D$5001,BD!$A$3:$A$5001,X$3,BD!$B$3:$B$5001,$A$248)))</f>
        <v/>
      </c>
      <c r="Y249" s="166" t="str">
        <f>IF(Y$3="","",IF(COUNTIFS(BD!$A$3:$A$5001,Y$3,BD!$B$3:$B$5001,$A$248,BD!$D$3:$D$5001,"&lt;&gt;")=0,"",SUMIFS(BD!$D$3:$D$5001,BD!$A$3:$A$5001,Y$3,BD!$B$3:$B$5001,$A$248)))</f>
        <v/>
      </c>
      <c r="Z249" s="166" t="str">
        <f>IF(Z$3="","",IF(COUNTIFS(BD!$A$3:$A$5001,Z$3,BD!$B$3:$B$5001,$A$248,BD!$D$3:$D$5001,"&lt;&gt;")=0,"",SUMIFS(BD!$D$3:$D$5001,BD!$A$3:$A$5001,Z$3,BD!$B$3:$B$5001,$A$248)))</f>
        <v/>
      </c>
      <c r="AA249" s="166" t="str">
        <f>IF(AA$3="","",IF(COUNTIFS(BD!$A$3:$A$5001,AA$3,BD!$B$3:$B$5001,$A$248,BD!$D$3:$D$5001,"&lt;&gt;")=0,"",SUMIFS(BD!$D$3:$D$5001,BD!$A$3:$A$5001,AA$3,BD!$B$3:$B$5001,$A$248)))</f>
        <v/>
      </c>
      <c r="AB249" s="166" t="str">
        <f>IF(AB$3="","",IF(COUNTIFS(BD!$A$3:$A$5001,AB$3,BD!$B$3:$B$5001,$A$248,BD!$D$3:$D$5001,"&lt;&gt;")=0,"",SUMIFS(BD!$D$3:$D$5001,BD!$A$3:$A$5001,AB$3,BD!$B$3:$B$5001,$A$248)))</f>
        <v/>
      </c>
      <c r="AC249" s="166" t="str">
        <f>IF(AC$3="","",IF(COUNTIFS(BD!$A$3:$A$5001,AC$3,BD!$B$3:$B$5001,$A$248,BD!$D$3:$D$5001,"&lt;&gt;")=0,"",SUMIFS(BD!$D$3:$D$5001,BD!$A$3:$A$5001,AC$3,BD!$B$3:$B$5001,$A$248)))</f>
        <v/>
      </c>
      <c r="AD249" s="166" t="str">
        <f>IF(AD$3="","",IF(COUNTIFS(BD!$A$3:$A$5001,AD$3,BD!$B$3:$B$5001,$A$248,BD!$D$3:$D$5001,"&lt;&gt;")=0,"",SUMIFS(BD!$D$3:$D$5001,BD!$A$3:$A$5001,AD$3,BD!$B$3:$B$5001,$A$248)))</f>
        <v/>
      </c>
      <c r="AE249" s="166" t="str">
        <f>IF(AE$3="","",IF(COUNTIFS(BD!$A$3:$A$5001,AE$3,BD!$B$3:$B$5001,$A$248,BD!$D$3:$D$5001,"&lt;&gt;")=0,"",SUMIFS(BD!$D$3:$D$5001,BD!$A$3:$A$5001,AE$3,BD!$B$3:$B$5001,$A$248)))</f>
        <v/>
      </c>
      <c r="AF249" s="166" t="str">
        <f>IF(AF$3="","",IF(COUNTIFS(BD!$A$3:$A$5001,AF$3,BD!$B$3:$B$5001,$A$248,BD!$D$3:$D$5001,"&lt;&gt;")=0,"",SUMIFS(BD!$D$3:$D$5001,BD!$A$3:$A$5001,AF$3,BD!$B$3:$B$5001,$A$248)))</f>
        <v/>
      </c>
      <c r="AG249" s="166" t="str">
        <f>IF(AG$3="","",IF(COUNTIFS(BD!$A$3:$A$5001,AG$3,BD!$B$3:$B$5001,$A$248,BD!$D$3:$D$5001,"&lt;&gt;")=0,"",SUMIFS(BD!$D$3:$D$5001,BD!$A$3:$A$5001,AG$3,BD!$B$3:$B$5001,$A$248)))</f>
        <v/>
      </c>
      <c r="AH249" s="166" t="str">
        <f>IF(AH$3="","",IF(COUNTIFS(BD!$A$3:$A$5001,AH$3,BD!$B$3:$B$5001,$A$248,BD!$D$3:$D$5001,"&lt;&gt;")=0,"",SUMIFS(BD!$D$3:$D$5001,BD!$A$3:$A$5001,AH$3,BD!$B$3:$B$5001,$A$248)))</f>
        <v/>
      </c>
      <c r="AI249" s="166" t="str">
        <f>IF(AI$3="","",IF(COUNTIFS(BD!$A$3:$A$5001,AI$3,BD!$B$3:$B$5001,$A$248,BD!$D$3:$D$5001,"&lt;&gt;")=0,"",SUMIFS(BD!$D$3:$D$5001,BD!$A$3:$A$5001,AI$3,BD!$B$3:$B$5001,$A$248)))</f>
        <v/>
      </c>
      <c r="AJ249" s="167" t="str">
        <f>IF(AJ$3="","",IF(COUNTIFS(BD!$A$3:$A$5001,AJ$3,BD!$B$3:$B$5001,$A$248,BD!$D$3:$D$5001,"&lt;&gt;")=0,"",SUMIFS(BD!$D$3:$D$5001,BD!$A$3:$A$5001,AJ$3,BD!$B$3:$B$5001,$A$248)))</f>
        <v/>
      </c>
      <c r="AK249" s="168" t="str">
        <f>IF(COUNT(F249:AJ249)=0,"",SUM(F249:AJ249))</f>
        <v/>
      </c>
    </row>
    <row r="250" ht="15.75" customHeight="1" hidden="1">
      <c r="A250" s="254"/>
      <c r="B250" s="243"/>
      <c r="C250" s="169" t="inlineStr">
        <is>
          <t xml:space="preserve">Toneladas Movimentadas</t>
        </is>
      </c>
      <c r="D250" s="170" t="str">
        <f>IFERROR(1/(1/INDEX(BD!$Y$25:$AS$25,MATCH($A$248,BD!$Y$22:$AS$22,0))),"")</f>
        <v/>
      </c>
      <c r="E250" s="171"/>
      <c r="F250" s="172" t="str">
        <f>IF(F$3="","",IF(COUNTIFS(BD!$A$3:$A$5001,F$3,BD!$B$3:$B$5001,$A$248,BD!$E$3:$E$5001,"&lt;&gt;")=0,"",SUMIFS(BD!$E$3:$E$5001,BD!$A$3:$A$5001,F$3,BD!$B$3:$B$5001,$A$248)))</f>
        <v/>
      </c>
      <c r="G250" s="173" t="str">
        <f>IF(G$3="","",IF(COUNTIFS(BD!$A$3:$A$5001,G$3,BD!$B$3:$B$5001,$A$248,BD!$E$3:$E$5001,"&lt;&gt;")=0,"",SUMIFS(BD!$E$3:$E$5001,BD!$A$3:$A$5001,G$3,BD!$B$3:$B$5001,$A$248)))</f>
        <v/>
      </c>
      <c r="H250" s="173" t="str">
        <f>IF(H$3="","",IF(COUNTIFS(BD!$A$3:$A$5001,H$3,BD!$B$3:$B$5001,$A$248,BD!$E$3:$E$5001,"&lt;&gt;")=0,"",SUMIFS(BD!$E$3:$E$5001,BD!$A$3:$A$5001,H$3,BD!$B$3:$B$5001,$A$248)))</f>
        <v/>
      </c>
      <c r="I250" s="173" t="str">
        <f>IF(I$3="","",IF(COUNTIFS(BD!$A$3:$A$5001,I$3,BD!$B$3:$B$5001,$A$248,BD!$E$3:$E$5001,"&lt;&gt;")=0,"",SUMIFS(BD!$E$3:$E$5001,BD!$A$3:$A$5001,I$3,BD!$B$3:$B$5001,$A$248)))</f>
        <v/>
      </c>
      <c r="J250" s="173" t="str">
        <f>IF(J$3="","",IF(COUNTIFS(BD!$A$3:$A$5001,J$3,BD!$B$3:$B$5001,$A$248,BD!$E$3:$E$5001,"&lt;&gt;")=0,"",SUMIFS(BD!$E$3:$E$5001,BD!$A$3:$A$5001,J$3,BD!$B$3:$B$5001,$A$248)))</f>
        <v/>
      </c>
      <c r="K250" s="173" t="str">
        <f>IF(K$3="","",IF(COUNTIFS(BD!$A$3:$A$5001,K$3,BD!$B$3:$B$5001,$A$248,BD!$E$3:$E$5001,"&lt;&gt;")=0,"",SUMIFS(BD!$E$3:$E$5001,BD!$A$3:$A$5001,K$3,BD!$B$3:$B$5001,$A$248)))</f>
        <v/>
      </c>
      <c r="L250" s="173" t="str">
        <f>IF(L$3="","",IF(COUNTIFS(BD!$A$3:$A$5001,L$3,BD!$B$3:$B$5001,$A$248,BD!$E$3:$E$5001,"&lt;&gt;")=0,"",SUMIFS(BD!$E$3:$E$5001,BD!$A$3:$A$5001,L$3,BD!$B$3:$B$5001,$A$248)))</f>
        <v/>
      </c>
      <c r="M250" s="173" t="str">
        <f>IF(M$3="","",IF(COUNTIFS(BD!$A$3:$A$5001,M$3,BD!$B$3:$B$5001,$A$248,BD!$E$3:$E$5001,"&lt;&gt;")=0,"",SUMIFS(BD!$E$3:$E$5001,BD!$A$3:$A$5001,M$3,BD!$B$3:$B$5001,$A$248)))</f>
        <v/>
      </c>
      <c r="N250" s="173" t="str">
        <f>IF(N$3="","",IF(COUNTIFS(BD!$A$3:$A$5001,N$3,BD!$B$3:$B$5001,$A$248,BD!$E$3:$E$5001,"&lt;&gt;")=0,"",SUMIFS(BD!$E$3:$E$5001,BD!$A$3:$A$5001,N$3,BD!$B$3:$B$5001,$A$248)))</f>
        <v/>
      </c>
      <c r="O250" s="173" t="str">
        <f>IF(O$3="","",IF(COUNTIFS(BD!$A$3:$A$5001,O$3,BD!$B$3:$B$5001,$A$248,BD!$E$3:$E$5001,"&lt;&gt;")=0,"",SUMIFS(BD!$E$3:$E$5001,BD!$A$3:$A$5001,O$3,BD!$B$3:$B$5001,$A$248)))</f>
        <v/>
      </c>
      <c r="P250" s="173" t="str">
        <f>IF(P$3="","",IF(COUNTIFS(BD!$A$3:$A$5001,P$3,BD!$B$3:$B$5001,$A$248,BD!$E$3:$E$5001,"&lt;&gt;")=0,"",SUMIFS(BD!$E$3:$E$5001,BD!$A$3:$A$5001,P$3,BD!$B$3:$B$5001,$A$248)))</f>
        <v/>
      </c>
      <c r="Q250" s="173" t="str">
        <f>IF(Q$3="","",IF(COUNTIFS(BD!$A$3:$A$5001,Q$3,BD!$B$3:$B$5001,$A$248,BD!$E$3:$E$5001,"&lt;&gt;")=0,"",SUMIFS(BD!$E$3:$E$5001,BD!$A$3:$A$5001,Q$3,BD!$B$3:$B$5001,$A$248)))</f>
        <v/>
      </c>
      <c r="R250" s="173" t="str">
        <f>IF(R$3="","",IF(COUNTIFS(BD!$A$3:$A$5001,R$3,BD!$B$3:$B$5001,$A$248,BD!$E$3:$E$5001,"&lt;&gt;")=0,"",SUMIFS(BD!$E$3:$E$5001,BD!$A$3:$A$5001,R$3,BD!$B$3:$B$5001,$A$248)))</f>
        <v/>
      </c>
      <c r="S250" s="173" t="str">
        <f>IF(S$3="","",IF(COUNTIFS(BD!$A$3:$A$5001,S$3,BD!$B$3:$B$5001,$A$248,BD!$E$3:$E$5001,"&lt;&gt;")=0,"",SUMIFS(BD!$E$3:$E$5001,BD!$A$3:$A$5001,S$3,BD!$B$3:$B$5001,$A$248)))</f>
        <v/>
      </c>
      <c r="T250" s="173" t="str">
        <f>IF(T$3="","",IF(COUNTIFS(BD!$A$3:$A$5001,T$3,BD!$B$3:$B$5001,$A$248,BD!$E$3:$E$5001,"&lt;&gt;")=0,"",SUMIFS(BD!$E$3:$E$5001,BD!$A$3:$A$5001,T$3,BD!$B$3:$B$5001,$A$248)))</f>
        <v/>
      </c>
      <c r="U250" s="173" t="str">
        <f>IF(U$3="","",IF(COUNTIFS(BD!$A$3:$A$5001,U$3,BD!$B$3:$B$5001,$A$248,BD!$E$3:$E$5001,"&lt;&gt;")=0,"",SUMIFS(BD!$E$3:$E$5001,BD!$A$3:$A$5001,U$3,BD!$B$3:$B$5001,$A$248)))</f>
        <v/>
      </c>
      <c r="V250" s="173" t="str">
        <f>IF(V$3="","",IF(COUNTIFS(BD!$A$3:$A$5001,V$3,BD!$B$3:$B$5001,$A$248,BD!$E$3:$E$5001,"&lt;&gt;")=0,"",SUMIFS(BD!$E$3:$E$5001,BD!$A$3:$A$5001,V$3,BD!$B$3:$B$5001,$A$248)))</f>
        <v/>
      </c>
      <c r="W250" s="173" t="str">
        <f>IF(W$3="","",IF(COUNTIFS(BD!$A$3:$A$5001,W$3,BD!$B$3:$B$5001,$A$248,BD!$E$3:$E$5001,"&lt;&gt;")=0,"",SUMIFS(BD!$E$3:$E$5001,BD!$A$3:$A$5001,W$3,BD!$B$3:$B$5001,$A$248)))</f>
        <v/>
      </c>
      <c r="X250" s="173" t="str">
        <f>IF(X$3="","",IF(COUNTIFS(BD!$A$3:$A$5001,X$3,BD!$B$3:$B$5001,$A$248,BD!$E$3:$E$5001,"&lt;&gt;")=0,"",SUMIFS(BD!$E$3:$E$5001,BD!$A$3:$A$5001,X$3,BD!$B$3:$B$5001,$A$248)))</f>
        <v/>
      </c>
      <c r="Y250" s="173" t="str">
        <f>IF(Y$3="","",IF(COUNTIFS(BD!$A$3:$A$5001,Y$3,BD!$B$3:$B$5001,$A$248,BD!$E$3:$E$5001,"&lt;&gt;")=0,"",SUMIFS(BD!$E$3:$E$5001,BD!$A$3:$A$5001,Y$3,BD!$B$3:$B$5001,$A$248)))</f>
        <v/>
      </c>
      <c r="Z250" s="173" t="str">
        <f>IF(Z$3="","",IF(COUNTIFS(BD!$A$3:$A$5001,Z$3,BD!$B$3:$B$5001,$A$248,BD!$E$3:$E$5001,"&lt;&gt;")=0,"",SUMIFS(BD!$E$3:$E$5001,BD!$A$3:$A$5001,Z$3,BD!$B$3:$B$5001,$A$248)))</f>
        <v/>
      </c>
      <c r="AA250" s="173" t="str">
        <f>IF(AA$3="","",IF(COUNTIFS(BD!$A$3:$A$5001,AA$3,BD!$B$3:$B$5001,$A$248,BD!$E$3:$E$5001,"&lt;&gt;")=0,"",SUMIFS(BD!$E$3:$E$5001,BD!$A$3:$A$5001,AA$3,BD!$B$3:$B$5001,$A$248)))</f>
        <v/>
      </c>
      <c r="AB250" s="173" t="str">
        <f>IF(AB$3="","",IF(COUNTIFS(BD!$A$3:$A$5001,AB$3,BD!$B$3:$B$5001,$A$248,BD!$E$3:$E$5001,"&lt;&gt;")=0,"",SUMIFS(BD!$E$3:$E$5001,BD!$A$3:$A$5001,AB$3,BD!$B$3:$B$5001,$A$248)))</f>
        <v/>
      </c>
      <c r="AC250" s="173" t="str">
        <f>IF(AC$3="","",IF(COUNTIFS(BD!$A$3:$A$5001,AC$3,BD!$B$3:$B$5001,$A$248,BD!$E$3:$E$5001,"&lt;&gt;")=0,"",SUMIFS(BD!$E$3:$E$5001,BD!$A$3:$A$5001,AC$3,BD!$B$3:$B$5001,$A$248)))</f>
        <v/>
      </c>
      <c r="AD250" s="173" t="str">
        <f>IF(AD$3="","",IF(COUNTIFS(BD!$A$3:$A$5001,AD$3,BD!$B$3:$B$5001,$A$248,BD!$E$3:$E$5001,"&lt;&gt;")=0,"",SUMIFS(BD!$E$3:$E$5001,BD!$A$3:$A$5001,AD$3,BD!$B$3:$B$5001,$A$248)))</f>
        <v/>
      </c>
      <c r="AE250" s="173" t="str">
        <f>IF(AE$3="","",IF(COUNTIFS(BD!$A$3:$A$5001,AE$3,BD!$B$3:$B$5001,$A$248,BD!$E$3:$E$5001,"&lt;&gt;")=0,"",SUMIFS(BD!$E$3:$E$5001,BD!$A$3:$A$5001,AE$3,BD!$B$3:$B$5001,$A$248)))</f>
        <v/>
      </c>
      <c r="AF250" s="173" t="str">
        <f>IF(AF$3="","",IF(COUNTIFS(BD!$A$3:$A$5001,AF$3,BD!$B$3:$B$5001,$A$248,BD!$E$3:$E$5001,"&lt;&gt;")=0,"",SUMIFS(BD!$E$3:$E$5001,BD!$A$3:$A$5001,AF$3,BD!$B$3:$B$5001,$A$248)))</f>
        <v/>
      </c>
      <c r="AG250" s="173" t="str">
        <f>IF(AG$3="","",IF(COUNTIFS(BD!$A$3:$A$5001,AG$3,BD!$B$3:$B$5001,$A$248,BD!$E$3:$E$5001,"&lt;&gt;")=0,"",SUMIFS(BD!$E$3:$E$5001,BD!$A$3:$A$5001,AG$3,BD!$B$3:$B$5001,$A$248)))</f>
        <v/>
      </c>
      <c r="AH250" s="173" t="str">
        <f>IF(AH$3="","",IF(COUNTIFS(BD!$A$3:$A$5001,AH$3,BD!$B$3:$B$5001,$A$248,BD!$E$3:$E$5001,"&lt;&gt;")=0,"",SUMIFS(BD!$E$3:$E$5001,BD!$A$3:$A$5001,AH$3,BD!$B$3:$B$5001,$A$248)))</f>
        <v/>
      </c>
      <c r="AI250" s="173" t="str">
        <f>IF(AI$3="","",IF(COUNTIFS(BD!$A$3:$A$5001,AI$3,BD!$B$3:$B$5001,$A$248,BD!$E$3:$E$5001,"&lt;&gt;")=0,"",SUMIFS(BD!$E$3:$E$5001,BD!$A$3:$A$5001,AI$3,BD!$B$3:$B$5001,$A$248)))</f>
        <v/>
      </c>
      <c r="AJ250" s="174" t="str">
        <f>IF(AJ$3="","",IF(COUNTIFS(BD!$A$3:$A$5001,AJ$3,BD!$B$3:$B$5001,$A$248,BD!$E$3:$E$5001,"&lt;&gt;")=0,"",SUMIFS(BD!$E$3:$E$5001,BD!$A$3:$A$5001,AJ$3,BD!$B$3:$B$5001,$A$248)))</f>
        <v/>
      </c>
      <c r="AK250" s="175" t="str">
        <f>IF(COUNT(F250:AJ250)=0,"",SUM(F250:AJ250))</f>
        <v/>
      </c>
    </row>
    <row r="251" ht="15.75" customHeight="1" hidden="1">
      <c r="A251" s="254"/>
      <c r="B251" s="244" t="inlineStr">
        <is>
          <t xml:space="preserve">OUT</t>
        </is>
      </c>
      <c r="C251" s="176" t="inlineStr">
        <is>
          <t xml:space="preserve">Veículos Expedidos</t>
        </is>
      </c>
      <c r="D251" s="177" t="str">
        <f>IFERROR(1/(1/INDEX(BD!$Y$26:$AS$26,MATCH($A$248,BD!$Y$22:$AS$22,0))),"")</f>
        <v/>
      </c>
      <c r="E251" s="178"/>
      <c r="F251" s="179" t="str">
        <f>IF(F$3="","",IF(COUNTIFS(BD!$A$3:$A$5001,F$3,BD!$B$3:$B$5001,$A$248,BD!$F$3:$F$5001,"&lt;&gt;")=0,"",SUMIFS(BD!$F$3:$F$5001,BD!$A$3:$A$5001,F$3,BD!$B$3:$B$5001,$A$248)))</f>
        <v/>
      </c>
      <c r="G251" s="180" t="str">
        <f>IF(G$3="","",IF(COUNTIFS(BD!$A$3:$A$5001,G$3,BD!$B$3:$B$5001,$A$248,BD!$F$3:$F$5001,"&lt;&gt;")=0,"",SUMIFS(BD!$F$3:$F$5001,BD!$A$3:$A$5001,G$3,BD!$B$3:$B$5001,$A$248)))</f>
        <v/>
      </c>
      <c r="H251" s="180" t="str">
        <f>IF(H$3="","",IF(COUNTIFS(BD!$A$3:$A$5001,H$3,BD!$B$3:$B$5001,$A$248,BD!$F$3:$F$5001,"&lt;&gt;")=0,"",SUMIFS(BD!$F$3:$F$5001,BD!$A$3:$A$5001,H$3,BD!$B$3:$B$5001,$A$248)))</f>
        <v/>
      </c>
      <c r="I251" s="180" t="str">
        <f>IF(I$3="","",IF(COUNTIFS(BD!$A$3:$A$5001,I$3,BD!$B$3:$B$5001,$A$248,BD!$F$3:$F$5001,"&lt;&gt;")=0,"",SUMIFS(BD!$F$3:$F$5001,BD!$A$3:$A$5001,I$3,BD!$B$3:$B$5001,$A$248)))</f>
        <v/>
      </c>
      <c r="J251" s="180" t="str">
        <f>IF(J$3="","",IF(COUNTIFS(BD!$A$3:$A$5001,J$3,BD!$B$3:$B$5001,$A$248,BD!$F$3:$F$5001,"&lt;&gt;")=0,"",SUMIFS(BD!$F$3:$F$5001,BD!$A$3:$A$5001,J$3,BD!$B$3:$B$5001,$A$248)))</f>
        <v/>
      </c>
      <c r="K251" s="180" t="str">
        <f>IF(K$3="","",IF(COUNTIFS(BD!$A$3:$A$5001,K$3,BD!$B$3:$B$5001,$A$248,BD!$F$3:$F$5001,"&lt;&gt;")=0,"",SUMIFS(BD!$F$3:$F$5001,BD!$A$3:$A$5001,K$3,BD!$B$3:$B$5001,$A$248)))</f>
        <v/>
      </c>
      <c r="L251" s="180" t="str">
        <f>IF(L$3="","",IF(COUNTIFS(BD!$A$3:$A$5001,L$3,BD!$B$3:$B$5001,$A$248,BD!$F$3:$F$5001,"&lt;&gt;")=0,"",SUMIFS(BD!$F$3:$F$5001,BD!$A$3:$A$5001,L$3,BD!$B$3:$B$5001,$A$248)))</f>
        <v/>
      </c>
      <c r="M251" s="180" t="str">
        <f>IF(M$3="","",IF(COUNTIFS(BD!$A$3:$A$5001,M$3,BD!$B$3:$B$5001,$A$248,BD!$F$3:$F$5001,"&lt;&gt;")=0,"",SUMIFS(BD!$F$3:$F$5001,BD!$A$3:$A$5001,M$3,BD!$B$3:$B$5001,$A$248)))</f>
        <v/>
      </c>
      <c r="N251" s="180" t="str">
        <f>IF(N$3="","",IF(COUNTIFS(BD!$A$3:$A$5001,N$3,BD!$B$3:$B$5001,$A$248,BD!$F$3:$F$5001,"&lt;&gt;")=0,"",SUMIFS(BD!$F$3:$F$5001,BD!$A$3:$A$5001,N$3,BD!$B$3:$B$5001,$A$248)))</f>
        <v/>
      </c>
      <c r="O251" s="180" t="str">
        <f>IF(O$3="","",IF(COUNTIFS(BD!$A$3:$A$5001,O$3,BD!$B$3:$B$5001,$A$248,BD!$F$3:$F$5001,"&lt;&gt;")=0,"",SUMIFS(BD!$F$3:$F$5001,BD!$A$3:$A$5001,O$3,BD!$B$3:$B$5001,$A$248)))</f>
        <v/>
      </c>
      <c r="P251" s="180" t="str">
        <f>IF(P$3="","",IF(COUNTIFS(BD!$A$3:$A$5001,P$3,BD!$B$3:$B$5001,$A$248,BD!$F$3:$F$5001,"&lt;&gt;")=0,"",SUMIFS(BD!$F$3:$F$5001,BD!$A$3:$A$5001,P$3,BD!$B$3:$B$5001,$A$248)))</f>
        <v/>
      </c>
      <c r="Q251" s="180" t="str">
        <f>IF(Q$3="","",IF(COUNTIFS(BD!$A$3:$A$5001,Q$3,BD!$B$3:$B$5001,$A$248,BD!$F$3:$F$5001,"&lt;&gt;")=0,"",SUMIFS(BD!$F$3:$F$5001,BD!$A$3:$A$5001,Q$3,BD!$B$3:$B$5001,$A$248)))</f>
        <v/>
      </c>
      <c r="R251" s="180" t="str">
        <f>IF(R$3="","",IF(COUNTIFS(BD!$A$3:$A$5001,R$3,BD!$B$3:$B$5001,$A$248,BD!$F$3:$F$5001,"&lt;&gt;")=0,"",SUMIFS(BD!$F$3:$F$5001,BD!$A$3:$A$5001,R$3,BD!$B$3:$B$5001,$A$248)))</f>
        <v/>
      </c>
      <c r="S251" s="180" t="str">
        <f>IF(S$3="","",IF(COUNTIFS(BD!$A$3:$A$5001,S$3,BD!$B$3:$B$5001,$A$248,BD!$F$3:$F$5001,"&lt;&gt;")=0,"",SUMIFS(BD!$F$3:$F$5001,BD!$A$3:$A$5001,S$3,BD!$B$3:$B$5001,$A$248)))</f>
        <v/>
      </c>
      <c r="T251" s="180" t="str">
        <f>IF(T$3="","",IF(COUNTIFS(BD!$A$3:$A$5001,T$3,BD!$B$3:$B$5001,$A$248,BD!$F$3:$F$5001,"&lt;&gt;")=0,"",SUMIFS(BD!$F$3:$F$5001,BD!$A$3:$A$5001,T$3,BD!$B$3:$B$5001,$A$248)))</f>
        <v/>
      </c>
      <c r="U251" s="180" t="str">
        <f>IF(U$3="","",IF(COUNTIFS(BD!$A$3:$A$5001,U$3,BD!$B$3:$B$5001,$A$248,BD!$F$3:$F$5001,"&lt;&gt;")=0,"",SUMIFS(BD!$F$3:$F$5001,BD!$A$3:$A$5001,U$3,BD!$B$3:$B$5001,$A$248)))</f>
        <v/>
      </c>
      <c r="V251" s="180" t="str">
        <f>IF(V$3="","",IF(COUNTIFS(BD!$A$3:$A$5001,V$3,BD!$B$3:$B$5001,$A$248,BD!$F$3:$F$5001,"&lt;&gt;")=0,"",SUMIFS(BD!$F$3:$F$5001,BD!$A$3:$A$5001,V$3,BD!$B$3:$B$5001,$A$248)))</f>
        <v/>
      </c>
      <c r="W251" s="180" t="str">
        <f>IF(W$3="","",IF(COUNTIFS(BD!$A$3:$A$5001,W$3,BD!$B$3:$B$5001,$A$248,BD!$F$3:$F$5001,"&lt;&gt;")=0,"",SUMIFS(BD!$F$3:$F$5001,BD!$A$3:$A$5001,W$3,BD!$B$3:$B$5001,$A$248)))</f>
        <v/>
      </c>
      <c r="X251" s="180" t="str">
        <f>IF(X$3="","",IF(COUNTIFS(BD!$A$3:$A$5001,X$3,BD!$B$3:$B$5001,$A$248,BD!$F$3:$F$5001,"&lt;&gt;")=0,"",SUMIFS(BD!$F$3:$F$5001,BD!$A$3:$A$5001,X$3,BD!$B$3:$B$5001,$A$248)))</f>
        <v/>
      </c>
      <c r="Y251" s="180" t="str">
        <f>IF(Y$3="","",IF(COUNTIFS(BD!$A$3:$A$5001,Y$3,BD!$B$3:$B$5001,$A$248,BD!$F$3:$F$5001,"&lt;&gt;")=0,"",SUMIFS(BD!$F$3:$F$5001,BD!$A$3:$A$5001,Y$3,BD!$B$3:$B$5001,$A$248)))</f>
        <v/>
      </c>
      <c r="Z251" s="180" t="str">
        <f>IF(Z$3="","",IF(COUNTIFS(BD!$A$3:$A$5001,Z$3,BD!$B$3:$B$5001,$A$248,BD!$F$3:$F$5001,"&lt;&gt;")=0,"",SUMIFS(BD!$F$3:$F$5001,BD!$A$3:$A$5001,Z$3,BD!$B$3:$B$5001,$A$248)))</f>
        <v/>
      </c>
      <c r="AA251" s="180" t="str">
        <f>IF(AA$3="","",IF(COUNTIFS(BD!$A$3:$A$5001,AA$3,BD!$B$3:$B$5001,$A$248,BD!$F$3:$F$5001,"&lt;&gt;")=0,"",SUMIFS(BD!$F$3:$F$5001,BD!$A$3:$A$5001,AA$3,BD!$B$3:$B$5001,$A$248)))</f>
        <v/>
      </c>
      <c r="AB251" s="180" t="str">
        <f>IF(AB$3="","",IF(COUNTIFS(BD!$A$3:$A$5001,AB$3,BD!$B$3:$B$5001,$A$248,BD!$F$3:$F$5001,"&lt;&gt;")=0,"",SUMIFS(BD!$F$3:$F$5001,BD!$A$3:$A$5001,AB$3,BD!$B$3:$B$5001,$A$248)))</f>
        <v/>
      </c>
      <c r="AC251" s="180" t="str">
        <f>IF(AC$3="","",IF(COUNTIFS(BD!$A$3:$A$5001,AC$3,BD!$B$3:$B$5001,$A$248,BD!$F$3:$F$5001,"&lt;&gt;")=0,"",SUMIFS(BD!$F$3:$F$5001,BD!$A$3:$A$5001,AC$3,BD!$B$3:$B$5001,$A$248)))</f>
        <v/>
      </c>
      <c r="AD251" s="180" t="str">
        <f>IF(AD$3="","",IF(COUNTIFS(BD!$A$3:$A$5001,AD$3,BD!$B$3:$B$5001,$A$248,BD!$F$3:$F$5001,"&lt;&gt;")=0,"",SUMIFS(BD!$F$3:$F$5001,BD!$A$3:$A$5001,AD$3,BD!$B$3:$B$5001,$A$248)))</f>
        <v/>
      </c>
      <c r="AE251" s="180" t="str">
        <f>IF(AE$3="","",IF(COUNTIFS(BD!$A$3:$A$5001,AE$3,BD!$B$3:$B$5001,$A$248,BD!$F$3:$F$5001,"&lt;&gt;")=0,"",SUMIFS(BD!$F$3:$F$5001,BD!$A$3:$A$5001,AE$3,BD!$B$3:$B$5001,$A$248)))</f>
        <v/>
      </c>
      <c r="AF251" s="180" t="str">
        <f>IF(AF$3="","",IF(COUNTIFS(BD!$A$3:$A$5001,AF$3,BD!$B$3:$B$5001,$A$248,BD!$F$3:$F$5001,"&lt;&gt;")=0,"",SUMIFS(BD!$F$3:$F$5001,BD!$A$3:$A$5001,AF$3,BD!$B$3:$B$5001,$A$248)))</f>
        <v/>
      </c>
      <c r="AG251" s="180" t="str">
        <f>IF(AG$3="","",IF(COUNTIFS(BD!$A$3:$A$5001,AG$3,BD!$B$3:$B$5001,$A$248,BD!$F$3:$F$5001,"&lt;&gt;")=0,"",SUMIFS(BD!$F$3:$F$5001,BD!$A$3:$A$5001,AG$3,BD!$B$3:$B$5001,$A$248)))</f>
        <v/>
      </c>
      <c r="AH251" s="180" t="str">
        <f>IF(AH$3="","",IF(COUNTIFS(BD!$A$3:$A$5001,AH$3,BD!$B$3:$B$5001,$A$248,BD!$F$3:$F$5001,"&lt;&gt;")=0,"",SUMIFS(BD!$F$3:$F$5001,BD!$A$3:$A$5001,AH$3,BD!$B$3:$B$5001,$A$248)))</f>
        <v/>
      </c>
      <c r="AI251" s="180" t="str">
        <f>IF(AI$3="","",IF(COUNTIFS(BD!$A$3:$A$5001,AI$3,BD!$B$3:$B$5001,$A$248,BD!$F$3:$F$5001,"&lt;&gt;")=0,"",SUMIFS(BD!$F$3:$F$5001,BD!$A$3:$A$5001,AI$3,BD!$B$3:$B$5001,$A$248)))</f>
        <v/>
      </c>
      <c r="AJ251" s="181" t="str">
        <f>IF(AJ$3="","",IF(COUNTIFS(BD!$A$3:$A$5001,AJ$3,BD!$B$3:$B$5001,$A$248,BD!$F$3:$F$5001,"&lt;&gt;")=0,"",SUMIFS(BD!$F$3:$F$5001,BD!$A$3:$A$5001,AJ$3,BD!$B$3:$B$5001,$A$248)))</f>
        <v/>
      </c>
      <c r="AK251" s="182" t="str">
        <f>IF(COUNT(F251:AJ251)=0,"",SUM(F251:AJ251))</f>
        <v/>
      </c>
    </row>
    <row r="252" ht="15.75" customHeight="1" hidden="1">
      <c r="A252" s="254"/>
      <c r="B252" s="245"/>
      <c r="C252" s="183" t="inlineStr">
        <is>
          <t xml:space="preserve">Pallets Movimentados</t>
        </is>
      </c>
      <c r="D252" s="184" t="str">
        <f>IFERROR(1/(1/INDEX(BD!$Y$27:$AS$27,MATCH($A$248,BD!$Y$22:$AS$22,0))),"")</f>
        <v/>
      </c>
      <c r="E252" s="185"/>
      <c r="F252" s="186" t="str">
        <f>IF(F$3="","",IF(COUNTIFS(BD!$A$3:$A$5001,F$3,BD!$B$3:$B$5001,$A$248,BD!$G$3:$G$5001,"&lt;&gt;")=0,"",SUMIFS(BD!$G$3:$G$5001,BD!$A$3:$A$5001,F$3,BD!$B$3:$B$5001,$A$248)))</f>
        <v/>
      </c>
      <c r="G252" s="187" t="str">
        <f>IF(G$3="","",IF(COUNTIFS(BD!$A$3:$A$5001,G$3,BD!$B$3:$B$5001,$A$248,BD!$G$3:$G$5001,"&lt;&gt;")=0,"",SUMIFS(BD!$G$3:$G$5001,BD!$A$3:$A$5001,G$3,BD!$B$3:$B$5001,$A$248)))</f>
        <v/>
      </c>
      <c r="H252" s="187" t="str">
        <f>IF(H$3="","",IF(COUNTIFS(BD!$A$3:$A$5001,H$3,BD!$B$3:$B$5001,$A$248,BD!$G$3:$G$5001,"&lt;&gt;")=0,"",SUMIFS(BD!$G$3:$G$5001,BD!$A$3:$A$5001,H$3,BD!$B$3:$B$5001,$A$248)))</f>
        <v/>
      </c>
      <c r="I252" s="187" t="str">
        <f>IF(I$3="","",IF(COUNTIFS(BD!$A$3:$A$5001,I$3,BD!$B$3:$B$5001,$A$248,BD!$G$3:$G$5001,"&lt;&gt;")=0,"",SUMIFS(BD!$G$3:$G$5001,BD!$A$3:$A$5001,I$3,BD!$B$3:$B$5001,$A$248)))</f>
        <v/>
      </c>
      <c r="J252" s="187" t="str">
        <f>IF(J$3="","",IF(COUNTIFS(BD!$A$3:$A$5001,J$3,BD!$B$3:$B$5001,$A$248,BD!$G$3:$G$5001,"&lt;&gt;")=0,"",SUMIFS(BD!$G$3:$G$5001,BD!$A$3:$A$5001,J$3,BD!$B$3:$B$5001,$A$248)))</f>
        <v/>
      </c>
      <c r="K252" s="187" t="str">
        <f>IF(K$3="","",IF(COUNTIFS(BD!$A$3:$A$5001,K$3,BD!$B$3:$B$5001,$A$248,BD!$G$3:$G$5001,"&lt;&gt;")=0,"",SUMIFS(BD!$G$3:$G$5001,BD!$A$3:$A$5001,K$3,BD!$B$3:$B$5001,$A$248)))</f>
        <v/>
      </c>
      <c r="L252" s="187" t="str">
        <f>IF(L$3="","",IF(COUNTIFS(BD!$A$3:$A$5001,L$3,BD!$B$3:$B$5001,$A$248,BD!$G$3:$G$5001,"&lt;&gt;")=0,"",SUMIFS(BD!$G$3:$G$5001,BD!$A$3:$A$5001,L$3,BD!$B$3:$B$5001,$A$248)))</f>
        <v/>
      </c>
      <c r="M252" s="187" t="str">
        <f>IF(M$3="","",IF(COUNTIFS(BD!$A$3:$A$5001,M$3,BD!$B$3:$B$5001,$A$248,BD!$G$3:$G$5001,"&lt;&gt;")=0,"",SUMIFS(BD!$G$3:$G$5001,BD!$A$3:$A$5001,M$3,BD!$B$3:$B$5001,$A$248)))</f>
        <v/>
      </c>
      <c r="N252" s="187" t="str">
        <f>IF(N$3="","",IF(COUNTIFS(BD!$A$3:$A$5001,N$3,BD!$B$3:$B$5001,$A$248,BD!$G$3:$G$5001,"&lt;&gt;")=0,"",SUMIFS(BD!$G$3:$G$5001,BD!$A$3:$A$5001,N$3,BD!$B$3:$B$5001,$A$248)))</f>
        <v/>
      </c>
      <c r="O252" s="187" t="str">
        <f>IF(O$3="","",IF(COUNTIFS(BD!$A$3:$A$5001,O$3,BD!$B$3:$B$5001,$A$248,BD!$G$3:$G$5001,"&lt;&gt;")=0,"",SUMIFS(BD!$G$3:$G$5001,BD!$A$3:$A$5001,O$3,BD!$B$3:$B$5001,$A$248)))</f>
        <v/>
      </c>
      <c r="P252" s="187" t="str">
        <f>IF(P$3="","",IF(COUNTIFS(BD!$A$3:$A$5001,P$3,BD!$B$3:$B$5001,$A$248,BD!$G$3:$G$5001,"&lt;&gt;")=0,"",SUMIFS(BD!$G$3:$G$5001,BD!$A$3:$A$5001,P$3,BD!$B$3:$B$5001,$A$248)))</f>
        <v/>
      </c>
      <c r="Q252" s="187" t="str">
        <f>IF(Q$3="","",IF(COUNTIFS(BD!$A$3:$A$5001,Q$3,BD!$B$3:$B$5001,$A$248,BD!$G$3:$G$5001,"&lt;&gt;")=0,"",SUMIFS(BD!$G$3:$G$5001,BD!$A$3:$A$5001,Q$3,BD!$B$3:$B$5001,$A$248)))</f>
        <v/>
      </c>
      <c r="R252" s="187" t="str">
        <f>IF(R$3="","",IF(COUNTIFS(BD!$A$3:$A$5001,R$3,BD!$B$3:$B$5001,$A$248,BD!$G$3:$G$5001,"&lt;&gt;")=0,"",SUMIFS(BD!$G$3:$G$5001,BD!$A$3:$A$5001,R$3,BD!$B$3:$B$5001,$A$248)))</f>
        <v/>
      </c>
      <c r="S252" s="187" t="str">
        <f>IF(S$3="","",IF(COUNTIFS(BD!$A$3:$A$5001,S$3,BD!$B$3:$B$5001,$A$248,BD!$G$3:$G$5001,"&lt;&gt;")=0,"",SUMIFS(BD!$G$3:$G$5001,BD!$A$3:$A$5001,S$3,BD!$B$3:$B$5001,$A$248)))</f>
        <v/>
      </c>
      <c r="T252" s="187" t="str">
        <f>IF(T$3="","",IF(COUNTIFS(BD!$A$3:$A$5001,T$3,BD!$B$3:$B$5001,$A$248,BD!$G$3:$G$5001,"&lt;&gt;")=0,"",SUMIFS(BD!$G$3:$G$5001,BD!$A$3:$A$5001,T$3,BD!$B$3:$B$5001,$A$248)))</f>
        <v/>
      </c>
      <c r="U252" s="187" t="str">
        <f>IF(U$3="","",IF(COUNTIFS(BD!$A$3:$A$5001,U$3,BD!$B$3:$B$5001,$A$248,BD!$G$3:$G$5001,"&lt;&gt;")=0,"",SUMIFS(BD!$G$3:$G$5001,BD!$A$3:$A$5001,U$3,BD!$B$3:$B$5001,$A$248)))</f>
        <v/>
      </c>
      <c r="V252" s="187" t="str">
        <f>IF(V$3="","",IF(COUNTIFS(BD!$A$3:$A$5001,V$3,BD!$B$3:$B$5001,$A$248,BD!$G$3:$G$5001,"&lt;&gt;")=0,"",SUMIFS(BD!$G$3:$G$5001,BD!$A$3:$A$5001,V$3,BD!$B$3:$B$5001,$A$248)))</f>
        <v/>
      </c>
      <c r="W252" s="187" t="str">
        <f>IF(W$3="","",IF(COUNTIFS(BD!$A$3:$A$5001,W$3,BD!$B$3:$B$5001,$A$248,BD!$G$3:$G$5001,"&lt;&gt;")=0,"",SUMIFS(BD!$G$3:$G$5001,BD!$A$3:$A$5001,W$3,BD!$B$3:$B$5001,$A$248)))</f>
        <v/>
      </c>
      <c r="X252" s="187" t="str">
        <f>IF(X$3="","",IF(COUNTIFS(BD!$A$3:$A$5001,X$3,BD!$B$3:$B$5001,$A$248,BD!$G$3:$G$5001,"&lt;&gt;")=0,"",SUMIFS(BD!$G$3:$G$5001,BD!$A$3:$A$5001,X$3,BD!$B$3:$B$5001,$A$248)))</f>
        <v/>
      </c>
      <c r="Y252" s="187" t="str">
        <f>IF(Y$3="","",IF(COUNTIFS(BD!$A$3:$A$5001,Y$3,BD!$B$3:$B$5001,$A$248,BD!$G$3:$G$5001,"&lt;&gt;")=0,"",SUMIFS(BD!$G$3:$G$5001,BD!$A$3:$A$5001,Y$3,BD!$B$3:$B$5001,$A$248)))</f>
        <v/>
      </c>
      <c r="Z252" s="187" t="str">
        <f>IF(Z$3="","",IF(COUNTIFS(BD!$A$3:$A$5001,Z$3,BD!$B$3:$B$5001,$A$248,BD!$G$3:$G$5001,"&lt;&gt;")=0,"",SUMIFS(BD!$G$3:$G$5001,BD!$A$3:$A$5001,Z$3,BD!$B$3:$B$5001,$A$248)))</f>
        <v/>
      </c>
      <c r="AA252" s="187" t="str">
        <f>IF(AA$3="","",IF(COUNTIFS(BD!$A$3:$A$5001,AA$3,BD!$B$3:$B$5001,$A$248,BD!$G$3:$G$5001,"&lt;&gt;")=0,"",SUMIFS(BD!$G$3:$G$5001,BD!$A$3:$A$5001,AA$3,BD!$B$3:$B$5001,$A$248)))</f>
        <v/>
      </c>
      <c r="AB252" s="187" t="str">
        <f>IF(AB$3="","",IF(COUNTIFS(BD!$A$3:$A$5001,AB$3,BD!$B$3:$B$5001,$A$248,BD!$G$3:$G$5001,"&lt;&gt;")=0,"",SUMIFS(BD!$G$3:$G$5001,BD!$A$3:$A$5001,AB$3,BD!$B$3:$B$5001,$A$248)))</f>
        <v/>
      </c>
      <c r="AC252" s="187" t="str">
        <f>IF(AC$3="","",IF(COUNTIFS(BD!$A$3:$A$5001,AC$3,BD!$B$3:$B$5001,$A$248,BD!$G$3:$G$5001,"&lt;&gt;")=0,"",SUMIFS(BD!$G$3:$G$5001,BD!$A$3:$A$5001,AC$3,BD!$B$3:$B$5001,$A$248)))</f>
        <v/>
      </c>
      <c r="AD252" s="187" t="str">
        <f>IF(AD$3="","",IF(COUNTIFS(BD!$A$3:$A$5001,AD$3,BD!$B$3:$B$5001,$A$248,BD!$G$3:$G$5001,"&lt;&gt;")=0,"",SUMIFS(BD!$G$3:$G$5001,BD!$A$3:$A$5001,AD$3,BD!$B$3:$B$5001,$A$248)))</f>
        <v/>
      </c>
      <c r="AE252" s="187" t="str">
        <f>IF(AE$3="","",IF(COUNTIFS(BD!$A$3:$A$5001,AE$3,BD!$B$3:$B$5001,$A$248,BD!$G$3:$G$5001,"&lt;&gt;")=0,"",SUMIFS(BD!$G$3:$G$5001,BD!$A$3:$A$5001,AE$3,BD!$B$3:$B$5001,$A$248)))</f>
        <v/>
      </c>
      <c r="AF252" s="187" t="str">
        <f>IF(AF$3="","",IF(COUNTIFS(BD!$A$3:$A$5001,AF$3,BD!$B$3:$B$5001,$A$248,BD!$G$3:$G$5001,"&lt;&gt;")=0,"",SUMIFS(BD!$G$3:$G$5001,BD!$A$3:$A$5001,AF$3,BD!$B$3:$B$5001,$A$248)))</f>
        <v/>
      </c>
      <c r="AG252" s="187" t="str">
        <f>IF(AG$3="","",IF(COUNTIFS(BD!$A$3:$A$5001,AG$3,BD!$B$3:$B$5001,$A$248,BD!$G$3:$G$5001,"&lt;&gt;")=0,"",SUMIFS(BD!$G$3:$G$5001,BD!$A$3:$A$5001,AG$3,BD!$B$3:$B$5001,$A$248)))</f>
        <v/>
      </c>
      <c r="AH252" s="187" t="str">
        <f>IF(AH$3="","",IF(COUNTIFS(BD!$A$3:$A$5001,AH$3,BD!$B$3:$B$5001,$A$248,BD!$G$3:$G$5001,"&lt;&gt;")=0,"",SUMIFS(BD!$G$3:$G$5001,BD!$A$3:$A$5001,AH$3,BD!$B$3:$B$5001,$A$248)))</f>
        <v/>
      </c>
      <c r="AI252" s="187" t="str">
        <f>IF(AI$3="","",IF(COUNTIFS(BD!$A$3:$A$5001,AI$3,BD!$B$3:$B$5001,$A$248,BD!$G$3:$G$5001,"&lt;&gt;")=0,"",SUMIFS(BD!$G$3:$G$5001,BD!$A$3:$A$5001,AI$3,BD!$B$3:$B$5001,$A$248)))</f>
        <v/>
      </c>
      <c r="AJ252" s="188" t="str">
        <f>IF(AJ$3="","",IF(COUNTIFS(BD!$A$3:$A$5001,AJ$3,BD!$B$3:$B$5001,$A$248,BD!$G$3:$G$5001,"&lt;&gt;")=0,"",SUMIFS(BD!$G$3:$G$5001,BD!$A$3:$A$5001,AJ$3,BD!$B$3:$B$5001,$A$248)))</f>
        <v/>
      </c>
      <c r="AK252" s="189" t="str">
        <f>IF(COUNT(F252:AJ252)=0,"",SUM(F252:AJ252))</f>
        <v/>
      </c>
    </row>
    <row r="253" ht="15.75" customHeight="1" hidden="1">
      <c r="A253" s="254"/>
      <c r="B253" s="246"/>
      <c r="C253" s="190" t="inlineStr">
        <is>
          <t xml:space="preserve">Toneladas Movimentadas</t>
        </is>
      </c>
      <c r="D253" s="191" t="str">
        <f>IFERROR(1/(1/INDEX(BD!$Y$28:$AS$28,MATCH($A$248,BD!$Y$22:$AS$22,0))),"")</f>
        <v/>
      </c>
      <c r="E253" s="192"/>
      <c r="F253" s="193" t="str">
        <f>IF(F$3="","",IF(COUNTIFS(BD!$A$3:$A$5001,F$3,BD!$B$3:$B$5001,$A$248,BD!$H$3:$H$5001,"&lt;&gt;")=0,"",SUMIFS(BD!$H$3:$H$5001,BD!$A$3:$A$5001,F$3,BD!$B$3:$B$5001,$A$248)))</f>
        <v/>
      </c>
      <c r="G253" s="194" t="str">
        <f>IF(G$3="","",IF(COUNTIFS(BD!$A$3:$A$5001,G$3,BD!$B$3:$B$5001,$A$248,BD!$H$3:$H$5001,"&lt;&gt;")=0,"",SUMIFS(BD!$H$3:$H$5001,BD!$A$3:$A$5001,G$3,BD!$B$3:$B$5001,$A$248)))</f>
        <v/>
      </c>
      <c r="H253" s="194" t="str">
        <f>IF(H$3="","",IF(COUNTIFS(BD!$A$3:$A$5001,H$3,BD!$B$3:$B$5001,$A$248,BD!$H$3:$H$5001,"&lt;&gt;")=0,"",SUMIFS(BD!$H$3:$H$5001,BD!$A$3:$A$5001,H$3,BD!$B$3:$B$5001,$A$248)))</f>
        <v/>
      </c>
      <c r="I253" s="194" t="str">
        <f>IF(I$3="","",IF(COUNTIFS(BD!$A$3:$A$5001,I$3,BD!$B$3:$B$5001,$A$248,BD!$H$3:$H$5001,"&lt;&gt;")=0,"",SUMIFS(BD!$H$3:$H$5001,BD!$A$3:$A$5001,I$3,BD!$B$3:$B$5001,$A$248)))</f>
        <v/>
      </c>
      <c r="J253" s="194" t="str">
        <f>IF(J$3="","",IF(COUNTIFS(BD!$A$3:$A$5001,J$3,BD!$B$3:$B$5001,$A$248,BD!$H$3:$H$5001,"&lt;&gt;")=0,"",SUMIFS(BD!$H$3:$H$5001,BD!$A$3:$A$5001,J$3,BD!$B$3:$B$5001,$A$248)))</f>
        <v/>
      </c>
      <c r="K253" s="194" t="str">
        <f>IF(K$3="","",IF(COUNTIFS(BD!$A$3:$A$5001,K$3,BD!$B$3:$B$5001,$A$248,BD!$H$3:$H$5001,"&lt;&gt;")=0,"",SUMIFS(BD!$H$3:$H$5001,BD!$A$3:$A$5001,K$3,BD!$B$3:$B$5001,$A$248)))</f>
        <v/>
      </c>
      <c r="L253" s="194" t="str">
        <f>IF(L$3="","",IF(COUNTIFS(BD!$A$3:$A$5001,L$3,BD!$B$3:$B$5001,$A$248,BD!$H$3:$H$5001,"&lt;&gt;")=0,"",SUMIFS(BD!$H$3:$H$5001,BD!$A$3:$A$5001,L$3,BD!$B$3:$B$5001,$A$248)))</f>
        <v/>
      </c>
      <c r="M253" s="194" t="str">
        <f>IF(M$3="","",IF(COUNTIFS(BD!$A$3:$A$5001,M$3,BD!$B$3:$B$5001,$A$248,BD!$H$3:$H$5001,"&lt;&gt;")=0,"",SUMIFS(BD!$H$3:$H$5001,BD!$A$3:$A$5001,M$3,BD!$B$3:$B$5001,$A$248)))</f>
        <v/>
      </c>
      <c r="N253" s="194" t="str">
        <f>IF(N$3="","",IF(COUNTIFS(BD!$A$3:$A$5001,N$3,BD!$B$3:$B$5001,$A$248,BD!$H$3:$H$5001,"&lt;&gt;")=0,"",SUMIFS(BD!$H$3:$H$5001,BD!$A$3:$A$5001,N$3,BD!$B$3:$B$5001,$A$248)))</f>
        <v/>
      </c>
      <c r="O253" s="194" t="str">
        <f>IF(O$3="","",IF(COUNTIFS(BD!$A$3:$A$5001,O$3,BD!$B$3:$B$5001,$A$248,BD!$H$3:$H$5001,"&lt;&gt;")=0,"",SUMIFS(BD!$H$3:$H$5001,BD!$A$3:$A$5001,O$3,BD!$B$3:$B$5001,$A$248)))</f>
        <v/>
      </c>
      <c r="P253" s="194" t="str">
        <f>IF(P$3="","",IF(COUNTIFS(BD!$A$3:$A$5001,P$3,BD!$B$3:$B$5001,$A$248,BD!$H$3:$H$5001,"&lt;&gt;")=0,"",SUMIFS(BD!$H$3:$H$5001,BD!$A$3:$A$5001,P$3,BD!$B$3:$B$5001,$A$248)))</f>
        <v/>
      </c>
      <c r="Q253" s="194" t="str">
        <f>IF(Q$3="","",IF(COUNTIFS(BD!$A$3:$A$5001,Q$3,BD!$B$3:$B$5001,$A$248,BD!$H$3:$H$5001,"&lt;&gt;")=0,"",SUMIFS(BD!$H$3:$H$5001,BD!$A$3:$A$5001,Q$3,BD!$B$3:$B$5001,$A$248)))</f>
        <v/>
      </c>
      <c r="R253" s="194" t="str">
        <f>IF(R$3="","",IF(COUNTIFS(BD!$A$3:$A$5001,R$3,BD!$B$3:$B$5001,$A$248,BD!$H$3:$H$5001,"&lt;&gt;")=0,"",SUMIFS(BD!$H$3:$H$5001,BD!$A$3:$A$5001,R$3,BD!$B$3:$B$5001,$A$248)))</f>
        <v/>
      </c>
      <c r="S253" s="194" t="str">
        <f>IF(S$3="","",IF(COUNTIFS(BD!$A$3:$A$5001,S$3,BD!$B$3:$B$5001,$A$248,BD!$H$3:$H$5001,"&lt;&gt;")=0,"",SUMIFS(BD!$H$3:$H$5001,BD!$A$3:$A$5001,S$3,BD!$B$3:$B$5001,$A$248)))</f>
        <v/>
      </c>
      <c r="T253" s="194" t="str">
        <f>IF(T$3="","",IF(COUNTIFS(BD!$A$3:$A$5001,T$3,BD!$B$3:$B$5001,$A$248,BD!$H$3:$H$5001,"&lt;&gt;")=0,"",SUMIFS(BD!$H$3:$H$5001,BD!$A$3:$A$5001,T$3,BD!$B$3:$B$5001,$A$248)))</f>
        <v/>
      </c>
      <c r="U253" s="194" t="str">
        <f>IF(U$3="","",IF(COUNTIFS(BD!$A$3:$A$5001,U$3,BD!$B$3:$B$5001,$A$248,BD!$H$3:$H$5001,"&lt;&gt;")=0,"",SUMIFS(BD!$H$3:$H$5001,BD!$A$3:$A$5001,U$3,BD!$B$3:$B$5001,$A$248)))</f>
        <v/>
      </c>
      <c r="V253" s="194" t="str">
        <f>IF(V$3="","",IF(COUNTIFS(BD!$A$3:$A$5001,V$3,BD!$B$3:$B$5001,$A$248,BD!$H$3:$H$5001,"&lt;&gt;")=0,"",SUMIFS(BD!$H$3:$H$5001,BD!$A$3:$A$5001,V$3,BD!$B$3:$B$5001,$A$248)))</f>
        <v/>
      </c>
      <c r="W253" s="194" t="str">
        <f>IF(W$3="","",IF(COUNTIFS(BD!$A$3:$A$5001,W$3,BD!$B$3:$B$5001,$A$248,BD!$H$3:$H$5001,"&lt;&gt;")=0,"",SUMIFS(BD!$H$3:$H$5001,BD!$A$3:$A$5001,W$3,BD!$B$3:$B$5001,$A$248)))</f>
        <v/>
      </c>
      <c r="X253" s="194" t="str">
        <f>IF(X$3="","",IF(COUNTIFS(BD!$A$3:$A$5001,X$3,BD!$B$3:$B$5001,$A$248,BD!$H$3:$H$5001,"&lt;&gt;")=0,"",SUMIFS(BD!$H$3:$H$5001,BD!$A$3:$A$5001,X$3,BD!$B$3:$B$5001,$A$248)))</f>
        <v/>
      </c>
      <c r="Y253" s="194" t="str">
        <f>IF(Y$3="","",IF(COUNTIFS(BD!$A$3:$A$5001,Y$3,BD!$B$3:$B$5001,$A$248,BD!$H$3:$H$5001,"&lt;&gt;")=0,"",SUMIFS(BD!$H$3:$H$5001,BD!$A$3:$A$5001,Y$3,BD!$B$3:$B$5001,$A$248)))</f>
        <v/>
      </c>
      <c r="Z253" s="194" t="str">
        <f>IF(Z$3="","",IF(COUNTIFS(BD!$A$3:$A$5001,Z$3,BD!$B$3:$B$5001,$A$248,BD!$H$3:$H$5001,"&lt;&gt;")=0,"",SUMIFS(BD!$H$3:$H$5001,BD!$A$3:$A$5001,Z$3,BD!$B$3:$B$5001,$A$248)))</f>
        <v/>
      </c>
      <c r="AA253" s="194" t="str">
        <f>IF(AA$3="","",IF(COUNTIFS(BD!$A$3:$A$5001,AA$3,BD!$B$3:$B$5001,$A$248,BD!$H$3:$H$5001,"&lt;&gt;")=0,"",SUMIFS(BD!$H$3:$H$5001,BD!$A$3:$A$5001,AA$3,BD!$B$3:$B$5001,$A$248)))</f>
        <v/>
      </c>
      <c r="AB253" s="194" t="str">
        <f>IF(AB$3="","",IF(COUNTIFS(BD!$A$3:$A$5001,AB$3,BD!$B$3:$B$5001,$A$248,BD!$H$3:$H$5001,"&lt;&gt;")=0,"",SUMIFS(BD!$H$3:$H$5001,BD!$A$3:$A$5001,AB$3,BD!$B$3:$B$5001,$A$248)))</f>
        <v/>
      </c>
      <c r="AC253" s="194" t="str">
        <f>IF(AC$3="","",IF(COUNTIFS(BD!$A$3:$A$5001,AC$3,BD!$B$3:$B$5001,$A$248,BD!$H$3:$H$5001,"&lt;&gt;")=0,"",SUMIFS(BD!$H$3:$H$5001,BD!$A$3:$A$5001,AC$3,BD!$B$3:$B$5001,$A$248)))</f>
        <v/>
      </c>
      <c r="AD253" s="194" t="str">
        <f>IF(AD$3="","",IF(COUNTIFS(BD!$A$3:$A$5001,AD$3,BD!$B$3:$B$5001,$A$248,BD!$H$3:$H$5001,"&lt;&gt;")=0,"",SUMIFS(BD!$H$3:$H$5001,BD!$A$3:$A$5001,AD$3,BD!$B$3:$B$5001,$A$248)))</f>
        <v/>
      </c>
      <c r="AE253" s="194" t="str">
        <f>IF(AE$3="","",IF(COUNTIFS(BD!$A$3:$A$5001,AE$3,BD!$B$3:$B$5001,$A$248,BD!$H$3:$H$5001,"&lt;&gt;")=0,"",SUMIFS(BD!$H$3:$H$5001,BD!$A$3:$A$5001,AE$3,BD!$B$3:$B$5001,$A$248)))</f>
        <v/>
      </c>
      <c r="AF253" s="194" t="str">
        <f>IF(AF$3="","",IF(COUNTIFS(BD!$A$3:$A$5001,AF$3,BD!$B$3:$B$5001,$A$248,BD!$H$3:$H$5001,"&lt;&gt;")=0,"",SUMIFS(BD!$H$3:$H$5001,BD!$A$3:$A$5001,AF$3,BD!$B$3:$B$5001,$A$248)))</f>
        <v/>
      </c>
      <c r="AG253" s="194" t="str">
        <f>IF(AG$3="","",IF(COUNTIFS(BD!$A$3:$A$5001,AG$3,BD!$B$3:$B$5001,$A$248,BD!$H$3:$H$5001,"&lt;&gt;")=0,"",SUMIFS(BD!$H$3:$H$5001,BD!$A$3:$A$5001,AG$3,BD!$B$3:$B$5001,$A$248)))</f>
        <v/>
      </c>
      <c r="AH253" s="194" t="str">
        <f>IF(AH$3="","",IF(COUNTIFS(BD!$A$3:$A$5001,AH$3,BD!$B$3:$B$5001,$A$248,BD!$H$3:$H$5001,"&lt;&gt;")=0,"",SUMIFS(BD!$H$3:$H$5001,BD!$A$3:$A$5001,AH$3,BD!$B$3:$B$5001,$A$248)))</f>
        <v/>
      </c>
      <c r="AI253" s="194" t="str">
        <f>IF(AI$3="","",IF(COUNTIFS(BD!$A$3:$A$5001,AI$3,BD!$B$3:$B$5001,$A$248,BD!$H$3:$H$5001,"&lt;&gt;")=0,"",SUMIFS(BD!$H$3:$H$5001,BD!$A$3:$A$5001,AI$3,BD!$B$3:$B$5001,$A$248)))</f>
        <v/>
      </c>
      <c r="AJ253" s="195" t="str">
        <f>IF(AJ$3="","",IF(COUNTIFS(BD!$A$3:$A$5001,AJ$3,BD!$B$3:$B$5001,$A$248,BD!$H$3:$H$5001,"&lt;&gt;")=0,"",SUMIFS(BD!$H$3:$H$5001,BD!$A$3:$A$5001,AJ$3,BD!$B$3:$B$5001,$A$248)))</f>
        <v/>
      </c>
      <c r="AK253" s="196" t="str">
        <f>IF(COUNT(F253:AJ253)=0,"",SUM(F253:AJ253))</f>
        <v/>
      </c>
    </row>
    <row r="254" ht="15.75" customHeight="1" hidden="1">
      <c r="A254" s="254"/>
      <c r="B254" s="247" t="inlineStr">
        <is>
          <t xml:space="preserve">NC</t>
        </is>
      </c>
      <c r="C254" s="197" t="inlineStr">
        <is>
          <t xml:space="preserve">Incidentes</t>
        </is>
      </c>
      <c r="D254" s="198" t="str">
        <f>IFERROR(1/(1/INDEX(BD!$Y$29:$AS$29,MATCH($A$248,BD!$Y$22:$AS$22,0))),"")</f>
        <v/>
      </c>
      <c r="E254" s="199"/>
      <c r="F254" s="200" t="str">
        <f>IF(F$3="","",IF(COUNTIFS(BD!$A$3:$A$5001,F$3,BD!$B$3:$B$5001,$A$248,BD!$I$3:$I$5001,"&lt;&gt;")=0,"",SUMIFS(BD!$I$3:$I$5001,BD!$A$3:$A$5001,F$3,BD!$B$3:$B$5001,$A$248)))</f>
        <v/>
      </c>
      <c r="G254" s="201" t="str">
        <f>IF(G$3="","",IF(COUNTIFS(BD!$A$3:$A$5001,G$3,BD!$B$3:$B$5001,$A$248,BD!$I$3:$I$5001,"&lt;&gt;")=0,"",SUMIFS(BD!$I$3:$I$5001,BD!$A$3:$A$5001,G$3,BD!$B$3:$B$5001,$A$248)))</f>
        <v/>
      </c>
      <c r="H254" s="201" t="str">
        <f>IF(H$3="","",IF(COUNTIFS(BD!$A$3:$A$5001,H$3,BD!$B$3:$B$5001,$A$248,BD!$I$3:$I$5001,"&lt;&gt;")=0,"",SUMIFS(BD!$I$3:$I$5001,BD!$A$3:$A$5001,H$3,BD!$B$3:$B$5001,$A$248)))</f>
        <v/>
      </c>
      <c r="I254" s="201" t="str">
        <f>IF(I$3="","",IF(COUNTIFS(BD!$A$3:$A$5001,I$3,BD!$B$3:$B$5001,$A$248,BD!$I$3:$I$5001,"&lt;&gt;")=0,"",SUMIFS(BD!$I$3:$I$5001,BD!$A$3:$A$5001,I$3,BD!$B$3:$B$5001,$A$248)))</f>
        <v/>
      </c>
      <c r="J254" s="201" t="str">
        <f>IF(J$3="","",IF(COUNTIFS(BD!$A$3:$A$5001,J$3,BD!$B$3:$B$5001,$A$248,BD!$I$3:$I$5001,"&lt;&gt;")=0,"",SUMIFS(BD!$I$3:$I$5001,BD!$A$3:$A$5001,J$3,BD!$B$3:$B$5001,$A$248)))</f>
        <v/>
      </c>
      <c r="K254" s="201" t="str">
        <f>IF(K$3="","",IF(COUNTIFS(BD!$A$3:$A$5001,K$3,BD!$B$3:$B$5001,$A$248,BD!$I$3:$I$5001,"&lt;&gt;")=0,"",SUMIFS(BD!$I$3:$I$5001,BD!$A$3:$A$5001,K$3,BD!$B$3:$B$5001,$A$248)))</f>
        <v/>
      </c>
      <c r="L254" s="201" t="str">
        <f>IF(L$3="","",IF(COUNTIFS(BD!$A$3:$A$5001,L$3,BD!$B$3:$B$5001,$A$248,BD!$I$3:$I$5001,"&lt;&gt;")=0,"",SUMIFS(BD!$I$3:$I$5001,BD!$A$3:$A$5001,L$3,BD!$B$3:$B$5001,$A$248)))</f>
        <v/>
      </c>
      <c r="M254" s="201" t="str">
        <f>IF(M$3="","",IF(COUNTIFS(BD!$A$3:$A$5001,M$3,BD!$B$3:$B$5001,$A$248,BD!$I$3:$I$5001,"&lt;&gt;")=0,"",SUMIFS(BD!$I$3:$I$5001,BD!$A$3:$A$5001,M$3,BD!$B$3:$B$5001,$A$248)))</f>
        <v/>
      </c>
      <c r="N254" s="201" t="str">
        <f>IF(N$3="","",IF(COUNTIFS(BD!$A$3:$A$5001,N$3,BD!$B$3:$B$5001,$A$248,BD!$I$3:$I$5001,"&lt;&gt;")=0,"",SUMIFS(BD!$I$3:$I$5001,BD!$A$3:$A$5001,N$3,BD!$B$3:$B$5001,$A$248)))</f>
        <v/>
      </c>
      <c r="O254" s="201" t="str">
        <f>IF(O$3="","",IF(COUNTIFS(BD!$A$3:$A$5001,O$3,BD!$B$3:$B$5001,$A$248,BD!$I$3:$I$5001,"&lt;&gt;")=0,"",SUMIFS(BD!$I$3:$I$5001,BD!$A$3:$A$5001,O$3,BD!$B$3:$B$5001,$A$248)))</f>
        <v/>
      </c>
      <c r="P254" s="201" t="str">
        <f>IF(P$3="","",IF(COUNTIFS(BD!$A$3:$A$5001,P$3,BD!$B$3:$B$5001,$A$248,BD!$I$3:$I$5001,"&lt;&gt;")=0,"",SUMIFS(BD!$I$3:$I$5001,BD!$A$3:$A$5001,P$3,BD!$B$3:$B$5001,$A$248)))</f>
        <v/>
      </c>
      <c r="Q254" s="201" t="str">
        <f>IF(Q$3="","",IF(COUNTIFS(BD!$A$3:$A$5001,Q$3,BD!$B$3:$B$5001,$A$248,BD!$I$3:$I$5001,"&lt;&gt;")=0,"",SUMIFS(BD!$I$3:$I$5001,BD!$A$3:$A$5001,Q$3,BD!$B$3:$B$5001,$A$248)))</f>
        <v/>
      </c>
      <c r="R254" s="201" t="str">
        <f>IF(R$3="","",IF(COUNTIFS(BD!$A$3:$A$5001,R$3,BD!$B$3:$B$5001,$A$248,BD!$I$3:$I$5001,"&lt;&gt;")=0,"",SUMIFS(BD!$I$3:$I$5001,BD!$A$3:$A$5001,R$3,BD!$B$3:$B$5001,$A$248)))</f>
        <v/>
      </c>
      <c r="S254" s="201" t="str">
        <f>IF(S$3="","",IF(COUNTIFS(BD!$A$3:$A$5001,S$3,BD!$B$3:$B$5001,$A$248,BD!$I$3:$I$5001,"&lt;&gt;")=0,"",SUMIFS(BD!$I$3:$I$5001,BD!$A$3:$A$5001,S$3,BD!$B$3:$B$5001,$A$248)))</f>
        <v/>
      </c>
      <c r="T254" s="201" t="str">
        <f>IF(T$3="","",IF(COUNTIFS(BD!$A$3:$A$5001,T$3,BD!$B$3:$B$5001,$A$248,BD!$I$3:$I$5001,"&lt;&gt;")=0,"",SUMIFS(BD!$I$3:$I$5001,BD!$A$3:$A$5001,T$3,BD!$B$3:$B$5001,$A$248)))</f>
        <v/>
      </c>
      <c r="U254" s="201" t="str">
        <f>IF(U$3="","",IF(COUNTIFS(BD!$A$3:$A$5001,U$3,BD!$B$3:$B$5001,$A$248,BD!$I$3:$I$5001,"&lt;&gt;")=0,"",SUMIFS(BD!$I$3:$I$5001,BD!$A$3:$A$5001,U$3,BD!$B$3:$B$5001,$A$248)))</f>
        <v/>
      </c>
      <c r="V254" s="201" t="str">
        <f>IF(V$3="","",IF(COUNTIFS(BD!$A$3:$A$5001,V$3,BD!$B$3:$B$5001,$A$248,BD!$I$3:$I$5001,"&lt;&gt;")=0,"",SUMIFS(BD!$I$3:$I$5001,BD!$A$3:$A$5001,V$3,BD!$B$3:$B$5001,$A$248)))</f>
        <v/>
      </c>
      <c r="W254" s="201" t="str">
        <f>IF(W$3="","",IF(COUNTIFS(BD!$A$3:$A$5001,W$3,BD!$B$3:$B$5001,$A$248,BD!$I$3:$I$5001,"&lt;&gt;")=0,"",SUMIFS(BD!$I$3:$I$5001,BD!$A$3:$A$5001,W$3,BD!$B$3:$B$5001,$A$248)))</f>
        <v/>
      </c>
      <c r="X254" s="201" t="str">
        <f>IF(X$3="","",IF(COUNTIFS(BD!$A$3:$A$5001,X$3,BD!$B$3:$B$5001,$A$248,BD!$I$3:$I$5001,"&lt;&gt;")=0,"",SUMIFS(BD!$I$3:$I$5001,BD!$A$3:$A$5001,X$3,BD!$B$3:$B$5001,$A$248)))</f>
        <v/>
      </c>
      <c r="Y254" s="201" t="str">
        <f>IF(Y$3="","",IF(COUNTIFS(BD!$A$3:$A$5001,Y$3,BD!$B$3:$B$5001,$A$248,BD!$I$3:$I$5001,"&lt;&gt;")=0,"",SUMIFS(BD!$I$3:$I$5001,BD!$A$3:$A$5001,Y$3,BD!$B$3:$B$5001,$A$248)))</f>
        <v/>
      </c>
      <c r="Z254" s="201" t="str">
        <f>IF(Z$3="","",IF(COUNTIFS(BD!$A$3:$A$5001,Z$3,BD!$B$3:$B$5001,$A$248,BD!$I$3:$I$5001,"&lt;&gt;")=0,"",SUMIFS(BD!$I$3:$I$5001,BD!$A$3:$A$5001,Z$3,BD!$B$3:$B$5001,$A$248)))</f>
        <v/>
      </c>
      <c r="AA254" s="201" t="str">
        <f>IF(AA$3="","",IF(COUNTIFS(BD!$A$3:$A$5001,AA$3,BD!$B$3:$B$5001,$A$248,BD!$I$3:$I$5001,"&lt;&gt;")=0,"",SUMIFS(BD!$I$3:$I$5001,BD!$A$3:$A$5001,AA$3,BD!$B$3:$B$5001,$A$248)))</f>
        <v/>
      </c>
      <c r="AB254" s="201" t="str">
        <f>IF(AB$3="","",IF(COUNTIFS(BD!$A$3:$A$5001,AB$3,BD!$B$3:$B$5001,$A$248,BD!$I$3:$I$5001,"&lt;&gt;")=0,"",SUMIFS(BD!$I$3:$I$5001,BD!$A$3:$A$5001,AB$3,BD!$B$3:$B$5001,$A$248)))</f>
        <v/>
      </c>
      <c r="AC254" s="201" t="str">
        <f>IF(AC$3="","",IF(COUNTIFS(BD!$A$3:$A$5001,AC$3,BD!$B$3:$B$5001,$A$248,BD!$I$3:$I$5001,"&lt;&gt;")=0,"",SUMIFS(BD!$I$3:$I$5001,BD!$A$3:$A$5001,AC$3,BD!$B$3:$B$5001,$A$248)))</f>
        <v/>
      </c>
      <c r="AD254" s="201" t="str">
        <f>IF(AD$3="","",IF(COUNTIFS(BD!$A$3:$A$5001,AD$3,BD!$B$3:$B$5001,$A$248,BD!$I$3:$I$5001,"&lt;&gt;")=0,"",SUMIFS(BD!$I$3:$I$5001,BD!$A$3:$A$5001,AD$3,BD!$B$3:$B$5001,$A$248)))</f>
        <v/>
      </c>
      <c r="AE254" s="201" t="str">
        <f>IF(AE$3="","",IF(COUNTIFS(BD!$A$3:$A$5001,AE$3,BD!$B$3:$B$5001,$A$248,BD!$I$3:$I$5001,"&lt;&gt;")=0,"",SUMIFS(BD!$I$3:$I$5001,BD!$A$3:$A$5001,AE$3,BD!$B$3:$B$5001,$A$248)))</f>
        <v/>
      </c>
      <c r="AF254" s="201" t="str">
        <f>IF(AF$3="","",IF(COUNTIFS(BD!$A$3:$A$5001,AF$3,BD!$B$3:$B$5001,$A$248,BD!$I$3:$I$5001,"&lt;&gt;")=0,"",SUMIFS(BD!$I$3:$I$5001,BD!$A$3:$A$5001,AF$3,BD!$B$3:$B$5001,$A$248)))</f>
        <v/>
      </c>
      <c r="AG254" s="201" t="str">
        <f>IF(AG$3="","",IF(COUNTIFS(BD!$A$3:$A$5001,AG$3,BD!$B$3:$B$5001,$A$248,BD!$I$3:$I$5001,"&lt;&gt;")=0,"",SUMIFS(BD!$I$3:$I$5001,BD!$A$3:$A$5001,AG$3,BD!$B$3:$B$5001,$A$248)))</f>
        <v/>
      </c>
      <c r="AH254" s="201" t="str">
        <f>IF(AH$3="","",IF(COUNTIFS(BD!$A$3:$A$5001,AH$3,BD!$B$3:$B$5001,$A$248,BD!$I$3:$I$5001,"&lt;&gt;")=0,"",SUMIFS(BD!$I$3:$I$5001,BD!$A$3:$A$5001,AH$3,BD!$B$3:$B$5001,$A$248)))</f>
        <v/>
      </c>
      <c r="AI254" s="201" t="str">
        <f>IF(AI$3="","",IF(COUNTIFS(BD!$A$3:$A$5001,AI$3,BD!$B$3:$B$5001,$A$248,BD!$I$3:$I$5001,"&lt;&gt;")=0,"",SUMIFS(BD!$I$3:$I$5001,BD!$A$3:$A$5001,AI$3,BD!$B$3:$B$5001,$A$248)))</f>
        <v/>
      </c>
      <c r="AJ254" s="202" t="str">
        <f>IF(AJ$3="","",IF(COUNTIFS(BD!$A$3:$A$5001,AJ$3,BD!$B$3:$B$5001,$A$248,BD!$I$3:$I$5001,"&lt;&gt;")=0,"",SUMIFS(BD!$I$3:$I$5001,BD!$A$3:$A$5001,AJ$3,BD!$B$3:$B$5001,$A$248)))</f>
        <v/>
      </c>
      <c r="AK254" s="203" t="str">
        <f>IF(COUNT(F254:AJ254)=0,"",SUM(F254:AJ254))</f>
        <v/>
      </c>
    </row>
    <row r="255" ht="15.75" customHeight="1" hidden="1">
      <c r="A255" s="254"/>
      <c r="B255" s="248"/>
      <c r="C255" s="204" t="inlineStr">
        <is>
          <t xml:space="preserve">No show</t>
        </is>
      </c>
      <c r="D255" s="205" t="str">
        <f>IFERROR(1/(1/INDEX(BD!$Y$30:$AS$30,MATCH($A$248,BD!$Y$22:$AS$22,0))),"")</f>
        <v/>
      </c>
      <c r="E255" s="206"/>
      <c r="F255" s="207" t="str">
        <f>IF(F$3="","",IF(COUNTIFS(BD!$A$3:$A$5001,F$3,BD!$B$3:$B$5001,$A$248,BD!$J$3:$J$5001,"&lt;&gt;")=0,"",SUMIFS(BD!$J$3:$J$5001,BD!$A$3:$A$5001,F$3,BD!$B$3:$B$5001,$A$248)))</f>
        <v/>
      </c>
      <c r="G255" s="208" t="str">
        <f>IF(G$3="","",IF(COUNTIFS(BD!$A$3:$A$5001,G$3,BD!$B$3:$B$5001,$A$248,BD!$J$3:$J$5001,"&lt;&gt;")=0,"",SUMIFS(BD!$J$3:$J$5001,BD!$A$3:$A$5001,G$3,BD!$B$3:$B$5001,$A$248)))</f>
        <v/>
      </c>
      <c r="H255" s="208" t="str">
        <f>IF(H$3="","",IF(COUNTIFS(BD!$A$3:$A$5001,H$3,BD!$B$3:$B$5001,$A$248,BD!$J$3:$J$5001,"&lt;&gt;")=0,"",SUMIFS(BD!$J$3:$J$5001,BD!$A$3:$A$5001,H$3,BD!$B$3:$B$5001,$A$248)))</f>
        <v/>
      </c>
      <c r="I255" s="208" t="str">
        <f>IF(I$3="","",IF(COUNTIFS(BD!$A$3:$A$5001,I$3,BD!$B$3:$B$5001,$A$248,BD!$J$3:$J$5001,"&lt;&gt;")=0,"",SUMIFS(BD!$J$3:$J$5001,BD!$A$3:$A$5001,I$3,BD!$B$3:$B$5001,$A$248)))</f>
        <v/>
      </c>
      <c r="J255" s="208" t="str">
        <f>IF(J$3="","",IF(COUNTIFS(BD!$A$3:$A$5001,J$3,BD!$B$3:$B$5001,$A$248,BD!$J$3:$J$5001,"&lt;&gt;")=0,"",SUMIFS(BD!$J$3:$J$5001,BD!$A$3:$A$5001,J$3,BD!$B$3:$B$5001,$A$248)))</f>
        <v/>
      </c>
      <c r="K255" s="208" t="str">
        <f>IF(K$3="","",IF(COUNTIFS(BD!$A$3:$A$5001,K$3,BD!$B$3:$B$5001,$A$248,BD!$J$3:$J$5001,"&lt;&gt;")=0,"",SUMIFS(BD!$J$3:$J$5001,BD!$A$3:$A$5001,K$3,BD!$B$3:$B$5001,$A$248)))</f>
        <v/>
      </c>
      <c r="L255" s="208" t="str">
        <f>IF(L$3="","",IF(COUNTIFS(BD!$A$3:$A$5001,L$3,BD!$B$3:$B$5001,$A$248,BD!$J$3:$J$5001,"&lt;&gt;")=0,"",SUMIFS(BD!$J$3:$J$5001,BD!$A$3:$A$5001,L$3,BD!$B$3:$B$5001,$A$248)))</f>
        <v/>
      </c>
      <c r="M255" s="208" t="str">
        <f>IF(M$3="","",IF(COUNTIFS(BD!$A$3:$A$5001,M$3,BD!$B$3:$B$5001,$A$248,BD!$J$3:$J$5001,"&lt;&gt;")=0,"",SUMIFS(BD!$J$3:$J$5001,BD!$A$3:$A$5001,M$3,BD!$B$3:$B$5001,$A$248)))</f>
        <v/>
      </c>
      <c r="N255" s="208" t="str">
        <f>IF(N$3="","",IF(COUNTIFS(BD!$A$3:$A$5001,N$3,BD!$B$3:$B$5001,$A$248,BD!$J$3:$J$5001,"&lt;&gt;")=0,"",SUMIFS(BD!$J$3:$J$5001,BD!$A$3:$A$5001,N$3,BD!$B$3:$B$5001,$A$248)))</f>
        <v/>
      </c>
      <c r="O255" s="208" t="str">
        <f>IF(O$3="","",IF(COUNTIFS(BD!$A$3:$A$5001,O$3,BD!$B$3:$B$5001,$A$248,BD!$J$3:$J$5001,"&lt;&gt;")=0,"",SUMIFS(BD!$J$3:$J$5001,BD!$A$3:$A$5001,O$3,BD!$B$3:$B$5001,$A$248)))</f>
        <v/>
      </c>
      <c r="P255" s="208" t="str">
        <f>IF(P$3="","",IF(COUNTIFS(BD!$A$3:$A$5001,P$3,BD!$B$3:$B$5001,$A$248,BD!$J$3:$J$5001,"&lt;&gt;")=0,"",SUMIFS(BD!$J$3:$J$5001,BD!$A$3:$A$5001,P$3,BD!$B$3:$B$5001,$A$248)))</f>
        <v/>
      </c>
      <c r="Q255" s="208" t="str">
        <f>IF(Q$3="","",IF(COUNTIFS(BD!$A$3:$A$5001,Q$3,BD!$B$3:$B$5001,$A$248,BD!$J$3:$J$5001,"&lt;&gt;")=0,"",SUMIFS(BD!$J$3:$J$5001,BD!$A$3:$A$5001,Q$3,BD!$B$3:$B$5001,$A$248)))</f>
        <v/>
      </c>
      <c r="R255" s="208" t="str">
        <f>IF(R$3="","",IF(COUNTIFS(BD!$A$3:$A$5001,R$3,BD!$B$3:$B$5001,$A$248,BD!$J$3:$J$5001,"&lt;&gt;")=0,"",SUMIFS(BD!$J$3:$J$5001,BD!$A$3:$A$5001,R$3,BD!$B$3:$B$5001,$A$248)))</f>
        <v/>
      </c>
      <c r="S255" s="208" t="str">
        <f>IF(S$3="","",IF(COUNTIFS(BD!$A$3:$A$5001,S$3,BD!$B$3:$B$5001,$A$248,BD!$J$3:$J$5001,"&lt;&gt;")=0,"",SUMIFS(BD!$J$3:$J$5001,BD!$A$3:$A$5001,S$3,BD!$B$3:$B$5001,$A$248)))</f>
        <v/>
      </c>
      <c r="T255" s="208" t="str">
        <f>IF(T$3="","",IF(COUNTIFS(BD!$A$3:$A$5001,T$3,BD!$B$3:$B$5001,$A$248,BD!$J$3:$J$5001,"&lt;&gt;")=0,"",SUMIFS(BD!$J$3:$J$5001,BD!$A$3:$A$5001,T$3,BD!$B$3:$B$5001,$A$248)))</f>
        <v/>
      </c>
      <c r="U255" s="208" t="str">
        <f>IF(U$3="","",IF(COUNTIFS(BD!$A$3:$A$5001,U$3,BD!$B$3:$B$5001,$A$248,BD!$J$3:$J$5001,"&lt;&gt;")=0,"",SUMIFS(BD!$J$3:$J$5001,BD!$A$3:$A$5001,U$3,BD!$B$3:$B$5001,$A$248)))</f>
        <v/>
      </c>
      <c r="V255" s="208" t="str">
        <f>IF(V$3="","",IF(COUNTIFS(BD!$A$3:$A$5001,V$3,BD!$B$3:$B$5001,$A$248,BD!$J$3:$J$5001,"&lt;&gt;")=0,"",SUMIFS(BD!$J$3:$J$5001,BD!$A$3:$A$5001,V$3,BD!$B$3:$B$5001,$A$248)))</f>
        <v/>
      </c>
      <c r="W255" s="208" t="str">
        <f>IF(W$3="","",IF(COUNTIFS(BD!$A$3:$A$5001,W$3,BD!$B$3:$B$5001,$A$248,BD!$J$3:$J$5001,"&lt;&gt;")=0,"",SUMIFS(BD!$J$3:$J$5001,BD!$A$3:$A$5001,W$3,BD!$B$3:$B$5001,$A$248)))</f>
        <v/>
      </c>
      <c r="X255" s="208" t="str">
        <f>IF(X$3="","",IF(COUNTIFS(BD!$A$3:$A$5001,X$3,BD!$B$3:$B$5001,$A$248,BD!$J$3:$J$5001,"&lt;&gt;")=0,"",SUMIFS(BD!$J$3:$J$5001,BD!$A$3:$A$5001,X$3,BD!$B$3:$B$5001,$A$248)))</f>
        <v/>
      </c>
      <c r="Y255" s="208" t="str">
        <f>IF(Y$3="","",IF(COUNTIFS(BD!$A$3:$A$5001,Y$3,BD!$B$3:$B$5001,$A$248,BD!$J$3:$J$5001,"&lt;&gt;")=0,"",SUMIFS(BD!$J$3:$J$5001,BD!$A$3:$A$5001,Y$3,BD!$B$3:$B$5001,$A$248)))</f>
        <v/>
      </c>
      <c r="Z255" s="208" t="str">
        <f>IF(Z$3="","",IF(COUNTIFS(BD!$A$3:$A$5001,Z$3,BD!$B$3:$B$5001,$A$248,BD!$J$3:$J$5001,"&lt;&gt;")=0,"",SUMIFS(BD!$J$3:$J$5001,BD!$A$3:$A$5001,Z$3,BD!$B$3:$B$5001,$A$248)))</f>
        <v/>
      </c>
      <c r="AA255" s="208" t="str">
        <f>IF(AA$3="","",IF(COUNTIFS(BD!$A$3:$A$5001,AA$3,BD!$B$3:$B$5001,$A$248,BD!$J$3:$J$5001,"&lt;&gt;")=0,"",SUMIFS(BD!$J$3:$J$5001,BD!$A$3:$A$5001,AA$3,BD!$B$3:$B$5001,$A$248)))</f>
        <v/>
      </c>
      <c r="AB255" s="208" t="str">
        <f>IF(AB$3="","",IF(COUNTIFS(BD!$A$3:$A$5001,AB$3,BD!$B$3:$B$5001,$A$248,BD!$J$3:$J$5001,"&lt;&gt;")=0,"",SUMIFS(BD!$J$3:$J$5001,BD!$A$3:$A$5001,AB$3,BD!$B$3:$B$5001,$A$248)))</f>
        <v/>
      </c>
      <c r="AC255" s="208" t="str">
        <f>IF(AC$3="","",IF(COUNTIFS(BD!$A$3:$A$5001,AC$3,BD!$B$3:$B$5001,$A$248,BD!$J$3:$J$5001,"&lt;&gt;")=0,"",SUMIFS(BD!$J$3:$J$5001,BD!$A$3:$A$5001,AC$3,BD!$B$3:$B$5001,$A$248)))</f>
        <v/>
      </c>
      <c r="AD255" s="208" t="str">
        <f>IF(AD$3="","",IF(COUNTIFS(BD!$A$3:$A$5001,AD$3,BD!$B$3:$B$5001,$A$248,BD!$J$3:$J$5001,"&lt;&gt;")=0,"",SUMIFS(BD!$J$3:$J$5001,BD!$A$3:$A$5001,AD$3,BD!$B$3:$B$5001,$A$248)))</f>
        <v/>
      </c>
      <c r="AE255" s="208" t="str">
        <f>IF(AE$3="","",IF(COUNTIFS(BD!$A$3:$A$5001,AE$3,BD!$B$3:$B$5001,$A$248,BD!$J$3:$J$5001,"&lt;&gt;")=0,"",SUMIFS(BD!$J$3:$J$5001,BD!$A$3:$A$5001,AE$3,BD!$B$3:$B$5001,$A$248)))</f>
        <v/>
      </c>
      <c r="AF255" s="208" t="str">
        <f>IF(AF$3="","",IF(COUNTIFS(BD!$A$3:$A$5001,AF$3,BD!$B$3:$B$5001,$A$248,BD!$J$3:$J$5001,"&lt;&gt;")=0,"",SUMIFS(BD!$J$3:$J$5001,BD!$A$3:$A$5001,AF$3,BD!$B$3:$B$5001,$A$248)))</f>
        <v/>
      </c>
      <c r="AG255" s="208" t="str">
        <f>IF(AG$3="","",IF(COUNTIFS(BD!$A$3:$A$5001,AG$3,BD!$B$3:$B$5001,$A$248,BD!$J$3:$J$5001,"&lt;&gt;")=0,"",SUMIFS(BD!$J$3:$J$5001,BD!$A$3:$A$5001,AG$3,BD!$B$3:$B$5001,$A$248)))</f>
        <v/>
      </c>
      <c r="AH255" s="208" t="str">
        <f>IF(AH$3="","",IF(COUNTIFS(BD!$A$3:$A$5001,AH$3,BD!$B$3:$B$5001,$A$248,BD!$J$3:$J$5001,"&lt;&gt;")=0,"",SUMIFS(BD!$J$3:$J$5001,BD!$A$3:$A$5001,AH$3,BD!$B$3:$B$5001,$A$248)))</f>
        <v/>
      </c>
      <c r="AI255" s="208" t="str">
        <f>IF(AI$3="","",IF(COUNTIFS(BD!$A$3:$A$5001,AI$3,BD!$B$3:$B$5001,$A$248,BD!$J$3:$J$5001,"&lt;&gt;")=0,"",SUMIFS(BD!$J$3:$J$5001,BD!$A$3:$A$5001,AI$3,BD!$B$3:$B$5001,$A$248)))</f>
        <v/>
      </c>
      <c r="AJ255" s="209" t="str">
        <f>IF(AJ$3="","",IF(COUNTIFS(BD!$A$3:$A$5001,AJ$3,BD!$B$3:$B$5001,$A$248,BD!$J$3:$J$5001,"&lt;&gt;")=0,"",SUMIFS(BD!$J$3:$J$5001,BD!$A$3:$A$5001,AJ$3,BD!$B$3:$B$5001,$A$248)))</f>
        <v/>
      </c>
      <c r="AK255" s="210" t="str">
        <f>IF(COUNT(F255:AJ255)=0,"",SUM(F255:AJ255))</f>
        <v/>
      </c>
    </row>
    <row r="256" ht="15.75" customHeight="1" hidden="1">
      <c r="A256" s="254"/>
      <c r="B256" s="249"/>
      <c r="C256" s="211" t="inlineStr">
        <is>
          <t xml:space="preserve">Backlog</t>
        </is>
      </c>
      <c r="D256" s="212" t="str">
        <f>IFERROR(1/(1/INDEX(BD!$Y$31:$AS$31,MATCH($A$248,BD!$Y$22:$AS$22,0))),"")</f>
        <v/>
      </c>
      <c r="E256" s="213"/>
      <c r="F256" s="214" t="str">
        <f>IF(F$3="","",IF(COUNTIFS(BD!$A$3:$A$5001,F$3,BD!$B$3:$B$5001,$A$248,BD!$K$3:$K$5001,"&lt;&gt;")=0,"",SUMIFS(BD!$K$3:$K$5001,BD!$A$3:$A$5001,F$3,BD!$B$3:$B$5001,$A$248)))</f>
        <v/>
      </c>
      <c r="G256" s="215" t="str">
        <f>IF(G$3="","",IF(COUNTIFS(BD!$A$3:$A$5001,G$3,BD!$B$3:$B$5001,$A$248,BD!$K$3:$K$5001,"&lt;&gt;")=0,"",SUMIFS(BD!$K$3:$K$5001,BD!$A$3:$A$5001,G$3,BD!$B$3:$B$5001,$A$248)))</f>
        <v/>
      </c>
      <c r="H256" s="215" t="str">
        <f>IF(H$3="","",IF(COUNTIFS(BD!$A$3:$A$5001,H$3,BD!$B$3:$B$5001,$A$248,BD!$K$3:$K$5001,"&lt;&gt;")=0,"",SUMIFS(BD!$K$3:$K$5001,BD!$A$3:$A$5001,H$3,BD!$B$3:$B$5001,$A$248)))</f>
        <v/>
      </c>
      <c r="I256" s="215" t="str">
        <f>IF(I$3="","",IF(COUNTIFS(BD!$A$3:$A$5001,I$3,BD!$B$3:$B$5001,$A$248,BD!$K$3:$K$5001,"&lt;&gt;")=0,"",SUMIFS(BD!$K$3:$K$5001,BD!$A$3:$A$5001,I$3,BD!$B$3:$B$5001,$A$248)))</f>
        <v/>
      </c>
      <c r="J256" s="215" t="str">
        <f>IF(J$3="","",IF(COUNTIFS(BD!$A$3:$A$5001,J$3,BD!$B$3:$B$5001,$A$248,BD!$K$3:$K$5001,"&lt;&gt;")=0,"",SUMIFS(BD!$K$3:$K$5001,BD!$A$3:$A$5001,J$3,BD!$B$3:$B$5001,$A$248)))</f>
        <v/>
      </c>
      <c r="K256" s="215" t="str">
        <f>IF(K$3="","",IF(COUNTIFS(BD!$A$3:$A$5001,K$3,BD!$B$3:$B$5001,$A$248,BD!$K$3:$K$5001,"&lt;&gt;")=0,"",SUMIFS(BD!$K$3:$K$5001,BD!$A$3:$A$5001,K$3,BD!$B$3:$B$5001,$A$248)))</f>
        <v/>
      </c>
      <c r="L256" s="215" t="str">
        <f>IF(L$3="","",IF(COUNTIFS(BD!$A$3:$A$5001,L$3,BD!$B$3:$B$5001,$A$248,BD!$K$3:$K$5001,"&lt;&gt;")=0,"",SUMIFS(BD!$K$3:$K$5001,BD!$A$3:$A$5001,L$3,BD!$B$3:$B$5001,$A$248)))</f>
        <v/>
      </c>
      <c r="M256" s="215" t="str">
        <f>IF(M$3="","",IF(COUNTIFS(BD!$A$3:$A$5001,M$3,BD!$B$3:$B$5001,$A$248,BD!$K$3:$K$5001,"&lt;&gt;")=0,"",SUMIFS(BD!$K$3:$K$5001,BD!$A$3:$A$5001,M$3,BD!$B$3:$B$5001,$A$248)))</f>
        <v/>
      </c>
      <c r="N256" s="215" t="str">
        <f>IF(N$3="","",IF(COUNTIFS(BD!$A$3:$A$5001,N$3,BD!$B$3:$B$5001,$A$248,BD!$K$3:$K$5001,"&lt;&gt;")=0,"",SUMIFS(BD!$K$3:$K$5001,BD!$A$3:$A$5001,N$3,BD!$B$3:$B$5001,$A$248)))</f>
        <v/>
      </c>
      <c r="O256" s="215" t="str">
        <f>IF(O$3="","",IF(COUNTIFS(BD!$A$3:$A$5001,O$3,BD!$B$3:$B$5001,$A$248,BD!$K$3:$K$5001,"&lt;&gt;")=0,"",SUMIFS(BD!$K$3:$K$5001,BD!$A$3:$A$5001,O$3,BD!$B$3:$B$5001,$A$248)))</f>
        <v/>
      </c>
      <c r="P256" s="215" t="str">
        <f>IF(P$3="","",IF(COUNTIFS(BD!$A$3:$A$5001,P$3,BD!$B$3:$B$5001,$A$248,BD!$K$3:$K$5001,"&lt;&gt;")=0,"",SUMIFS(BD!$K$3:$K$5001,BD!$A$3:$A$5001,P$3,BD!$B$3:$B$5001,$A$248)))</f>
        <v/>
      </c>
      <c r="Q256" s="215" t="str">
        <f>IF(Q$3="","",IF(COUNTIFS(BD!$A$3:$A$5001,Q$3,BD!$B$3:$B$5001,$A$248,BD!$K$3:$K$5001,"&lt;&gt;")=0,"",SUMIFS(BD!$K$3:$K$5001,BD!$A$3:$A$5001,Q$3,BD!$B$3:$B$5001,$A$248)))</f>
        <v/>
      </c>
      <c r="R256" s="215" t="str">
        <f>IF(R$3="","",IF(COUNTIFS(BD!$A$3:$A$5001,R$3,BD!$B$3:$B$5001,$A$248,BD!$K$3:$K$5001,"&lt;&gt;")=0,"",SUMIFS(BD!$K$3:$K$5001,BD!$A$3:$A$5001,R$3,BD!$B$3:$B$5001,$A$248)))</f>
        <v/>
      </c>
      <c r="S256" s="215" t="str">
        <f>IF(S$3="","",IF(COUNTIFS(BD!$A$3:$A$5001,S$3,BD!$B$3:$B$5001,$A$248,BD!$K$3:$K$5001,"&lt;&gt;")=0,"",SUMIFS(BD!$K$3:$K$5001,BD!$A$3:$A$5001,S$3,BD!$B$3:$B$5001,$A$248)))</f>
        <v/>
      </c>
      <c r="T256" s="215" t="str">
        <f>IF(T$3="","",IF(COUNTIFS(BD!$A$3:$A$5001,T$3,BD!$B$3:$B$5001,$A$248,BD!$K$3:$K$5001,"&lt;&gt;")=0,"",SUMIFS(BD!$K$3:$K$5001,BD!$A$3:$A$5001,T$3,BD!$B$3:$B$5001,$A$248)))</f>
        <v/>
      </c>
      <c r="U256" s="215" t="str">
        <f>IF(U$3="","",IF(COUNTIFS(BD!$A$3:$A$5001,U$3,BD!$B$3:$B$5001,$A$248,BD!$K$3:$K$5001,"&lt;&gt;")=0,"",SUMIFS(BD!$K$3:$K$5001,BD!$A$3:$A$5001,U$3,BD!$B$3:$B$5001,$A$248)))</f>
        <v/>
      </c>
      <c r="V256" s="215" t="str">
        <f>IF(V$3="","",IF(COUNTIFS(BD!$A$3:$A$5001,V$3,BD!$B$3:$B$5001,$A$248,BD!$K$3:$K$5001,"&lt;&gt;")=0,"",SUMIFS(BD!$K$3:$K$5001,BD!$A$3:$A$5001,V$3,BD!$B$3:$B$5001,$A$248)))</f>
        <v/>
      </c>
      <c r="W256" s="215" t="str">
        <f>IF(W$3="","",IF(COUNTIFS(BD!$A$3:$A$5001,W$3,BD!$B$3:$B$5001,$A$248,BD!$K$3:$K$5001,"&lt;&gt;")=0,"",SUMIFS(BD!$K$3:$K$5001,BD!$A$3:$A$5001,W$3,BD!$B$3:$B$5001,$A$248)))</f>
        <v/>
      </c>
      <c r="X256" s="215" t="str">
        <f>IF(X$3="","",IF(COUNTIFS(BD!$A$3:$A$5001,X$3,BD!$B$3:$B$5001,$A$248,BD!$K$3:$K$5001,"&lt;&gt;")=0,"",SUMIFS(BD!$K$3:$K$5001,BD!$A$3:$A$5001,X$3,BD!$B$3:$B$5001,$A$248)))</f>
        <v/>
      </c>
      <c r="Y256" s="215" t="str">
        <f>IF(Y$3="","",IF(COUNTIFS(BD!$A$3:$A$5001,Y$3,BD!$B$3:$B$5001,$A$248,BD!$K$3:$K$5001,"&lt;&gt;")=0,"",SUMIFS(BD!$K$3:$K$5001,BD!$A$3:$A$5001,Y$3,BD!$B$3:$B$5001,$A$248)))</f>
        <v/>
      </c>
      <c r="Z256" s="215" t="str">
        <f>IF(Z$3="","",IF(COUNTIFS(BD!$A$3:$A$5001,Z$3,BD!$B$3:$B$5001,$A$248,BD!$K$3:$K$5001,"&lt;&gt;")=0,"",SUMIFS(BD!$K$3:$K$5001,BD!$A$3:$A$5001,Z$3,BD!$B$3:$B$5001,$A$248)))</f>
        <v/>
      </c>
      <c r="AA256" s="215" t="str">
        <f>IF(AA$3="","",IF(COUNTIFS(BD!$A$3:$A$5001,AA$3,BD!$B$3:$B$5001,$A$248,BD!$K$3:$K$5001,"&lt;&gt;")=0,"",SUMIFS(BD!$K$3:$K$5001,BD!$A$3:$A$5001,AA$3,BD!$B$3:$B$5001,$A$248)))</f>
        <v/>
      </c>
      <c r="AB256" s="215" t="str">
        <f>IF(AB$3="","",IF(COUNTIFS(BD!$A$3:$A$5001,AB$3,BD!$B$3:$B$5001,$A$248,BD!$K$3:$K$5001,"&lt;&gt;")=0,"",SUMIFS(BD!$K$3:$K$5001,BD!$A$3:$A$5001,AB$3,BD!$B$3:$B$5001,$A$248)))</f>
        <v/>
      </c>
      <c r="AC256" s="215" t="str">
        <f>IF(AC$3="","",IF(COUNTIFS(BD!$A$3:$A$5001,AC$3,BD!$B$3:$B$5001,$A$248,BD!$K$3:$K$5001,"&lt;&gt;")=0,"",SUMIFS(BD!$K$3:$K$5001,BD!$A$3:$A$5001,AC$3,BD!$B$3:$B$5001,$A$248)))</f>
        <v/>
      </c>
      <c r="AD256" s="215" t="str">
        <f>IF(AD$3="","",IF(COUNTIFS(BD!$A$3:$A$5001,AD$3,BD!$B$3:$B$5001,$A$248,BD!$K$3:$K$5001,"&lt;&gt;")=0,"",SUMIFS(BD!$K$3:$K$5001,BD!$A$3:$A$5001,AD$3,BD!$B$3:$B$5001,$A$248)))</f>
        <v/>
      </c>
      <c r="AE256" s="215" t="str">
        <f>IF(AE$3="","",IF(COUNTIFS(BD!$A$3:$A$5001,AE$3,BD!$B$3:$B$5001,$A$248,BD!$K$3:$K$5001,"&lt;&gt;")=0,"",SUMIFS(BD!$K$3:$K$5001,BD!$A$3:$A$5001,AE$3,BD!$B$3:$B$5001,$A$248)))</f>
        <v/>
      </c>
      <c r="AF256" s="215" t="str">
        <f>IF(AF$3="","",IF(COUNTIFS(BD!$A$3:$A$5001,AF$3,BD!$B$3:$B$5001,$A$248,BD!$K$3:$K$5001,"&lt;&gt;")=0,"",SUMIFS(BD!$K$3:$K$5001,BD!$A$3:$A$5001,AF$3,BD!$B$3:$B$5001,$A$248)))</f>
        <v/>
      </c>
      <c r="AG256" s="215" t="str">
        <f>IF(AG$3="","",IF(COUNTIFS(BD!$A$3:$A$5001,AG$3,BD!$B$3:$B$5001,$A$248,BD!$K$3:$K$5001,"&lt;&gt;")=0,"",SUMIFS(BD!$K$3:$K$5001,BD!$A$3:$A$5001,AG$3,BD!$B$3:$B$5001,$A$248)))</f>
        <v/>
      </c>
      <c r="AH256" s="215" t="str">
        <f>IF(AH$3="","",IF(COUNTIFS(BD!$A$3:$A$5001,AH$3,BD!$B$3:$B$5001,$A$248,BD!$K$3:$K$5001,"&lt;&gt;")=0,"",SUMIFS(BD!$K$3:$K$5001,BD!$A$3:$A$5001,AH$3,BD!$B$3:$B$5001,$A$248)))</f>
        <v/>
      </c>
      <c r="AI256" s="215" t="str">
        <f>IF(AI$3="","",IF(COUNTIFS(BD!$A$3:$A$5001,AI$3,BD!$B$3:$B$5001,$A$248,BD!$K$3:$K$5001,"&lt;&gt;")=0,"",SUMIFS(BD!$K$3:$K$5001,BD!$A$3:$A$5001,AI$3,BD!$B$3:$B$5001,$A$248)))</f>
        <v/>
      </c>
      <c r="AJ256" s="216" t="str">
        <f>IF(AJ$3="","",IF(COUNTIFS(BD!$A$3:$A$5001,AJ$3,BD!$B$3:$B$5001,$A$248,BD!$K$3:$K$5001,"&lt;&gt;")=0,"",SUMIFS(BD!$K$3:$K$5001,BD!$A$3:$A$5001,AJ$3,BD!$B$3:$B$5001,$A$248)))</f>
        <v/>
      </c>
      <c r="AK256" s="212" t="str">
        <f>IFERROR(LOOKUP(9.99E+307,F256:AJ256),"")</f>
        <v/>
      </c>
    </row>
    <row r="257" ht="15.75" customHeight="1" hidden="1">
      <c r="A257" s="254"/>
      <c r="B257" s="241" t="inlineStr">
        <is>
          <t xml:space="preserve">OCUPAÇÃO (P.P)</t>
        </is>
      </c>
      <c r="C257" s="155" t="inlineStr">
        <is>
          <t xml:space="preserve">Posições Disponíveis</t>
        </is>
      </c>
      <c r="D257" s="156" t="str">
        <f>IFERROR(1/(1/INDEX(BD!$Y$32:$AS$32,MATCH($A$248,BD!$Y$22:$AS$22,0))),"")</f>
        <v/>
      </c>
      <c r="E257" s="157"/>
      <c r="F257" s="158" t="str">
        <f>IF(F$3="","",IF(COUNTIFS(BD!$A$3:$A$5001,F$3,BD!$B$3:$B$5001,$A$248,BD!$L$3:$L$5001,"&lt;&gt;")=0,"",SUMIFS(BD!$L$3:$L$5001,BD!$A$3:$A$5001,F$3,BD!$B$3:$B$5001,$A$248)))</f>
        <v/>
      </c>
      <c r="G257" s="159" t="str">
        <f>IF(G$3="","",IF(COUNTIFS(BD!$A$3:$A$5001,G$3,BD!$B$3:$B$5001,$A$248,BD!$L$3:$L$5001,"&lt;&gt;")=0,"",SUMIFS(BD!$L$3:$L$5001,BD!$A$3:$A$5001,G$3,BD!$B$3:$B$5001,$A$248)))</f>
        <v/>
      </c>
      <c r="H257" s="159" t="str">
        <f>IF(H$3="","",IF(COUNTIFS(BD!$A$3:$A$5001,H$3,BD!$B$3:$B$5001,$A$248,BD!$L$3:$L$5001,"&lt;&gt;")=0,"",SUMIFS(BD!$L$3:$L$5001,BD!$A$3:$A$5001,H$3,BD!$B$3:$B$5001,$A$248)))</f>
        <v/>
      </c>
      <c r="I257" s="159" t="str">
        <f>IF(I$3="","",IF(COUNTIFS(BD!$A$3:$A$5001,I$3,BD!$B$3:$B$5001,$A$248,BD!$L$3:$L$5001,"&lt;&gt;")=0,"",SUMIFS(BD!$L$3:$L$5001,BD!$A$3:$A$5001,I$3,BD!$B$3:$B$5001,$A$248)))</f>
        <v/>
      </c>
      <c r="J257" s="159" t="str">
        <f>IF(J$3="","",IF(COUNTIFS(BD!$A$3:$A$5001,J$3,BD!$B$3:$B$5001,$A$248,BD!$L$3:$L$5001,"&lt;&gt;")=0,"",SUMIFS(BD!$L$3:$L$5001,BD!$A$3:$A$5001,J$3,BD!$B$3:$B$5001,$A$248)))</f>
        <v/>
      </c>
      <c r="K257" s="159" t="str">
        <f>IF(K$3="","",IF(COUNTIFS(BD!$A$3:$A$5001,K$3,BD!$B$3:$B$5001,$A$248,BD!$L$3:$L$5001,"&lt;&gt;")=0,"",SUMIFS(BD!$L$3:$L$5001,BD!$A$3:$A$5001,K$3,BD!$B$3:$B$5001,$A$248)))</f>
        <v/>
      </c>
      <c r="L257" s="159" t="str">
        <f>IF(L$3="","",IF(COUNTIFS(BD!$A$3:$A$5001,L$3,BD!$B$3:$B$5001,$A$248,BD!$L$3:$L$5001,"&lt;&gt;")=0,"",SUMIFS(BD!$L$3:$L$5001,BD!$A$3:$A$5001,L$3,BD!$B$3:$B$5001,$A$248)))</f>
        <v/>
      </c>
      <c r="M257" s="159" t="str">
        <f>IF(M$3="","",IF(COUNTIFS(BD!$A$3:$A$5001,M$3,BD!$B$3:$B$5001,$A$248,BD!$L$3:$L$5001,"&lt;&gt;")=0,"",SUMIFS(BD!$L$3:$L$5001,BD!$A$3:$A$5001,M$3,BD!$B$3:$B$5001,$A$248)))</f>
        <v/>
      </c>
      <c r="N257" s="159" t="str">
        <f>IF(N$3="","",IF(COUNTIFS(BD!$A$3:$A$5001,N$3,BD!$B$3:$B$5001,$A$248,BD!$L$3:$L$5001,"&lt;&gt;")=0,"",SUMIFS(BD!$L$3:$L$5001,BD!$A$3:$A$5001,N$3,BD!$B$3:$B$5001,$A$248)))</f>
        <v/>
      </c>
      <c r="O257" s="159" t="str">
        <f>IF(O$3="","",IF(COUNTIFS(BD!$A$3:$A$5001,O$3,BD!$B$3:$B$5001,$A$248,BD!$L$3:$L$5001,"&lt;&gt;")=0,"",SUMIFS(BD!$L$3:$L$5001,BD!$A$3:$A$5001,O$3,BD!$B$3:$B$5001,$A$248)))</f>
        <v/>
      </c>
      <c r="P257" s="159" t="str">
        <f>IF(P$3="","",IF(COUNTIFS(BD!$A$3:$A$5001,P$3,BD!$B$3:$B$5001,$A$248,BD!$L$3:$L$5001,"&lt;&gt;")=0,"",SUMIFS(BD!$L$3:$L$5001,BD!$A$3:$A$5001,P$3,BD!$B$3:$B$5001,$A$248)))</f>
        <v/>
      </c>
      <c r="Q257" s="159" t="str">
        <f>IF(Q$3="","",IF(COUNTIFS(BD!$A$3:$A$5001,Q$3,BD!$B$3:$B$5001,$A$248,BD!$L$3:$L$5001,"&lt;&gt;")=0,"",SUMIFS(BD!$L$3:$L$5001,BD!$A$3:$A$5001,Q$3,BD!$B$3:$B$5001,$A$248)))</f>
        <v/>
      </c>
      <c r="R257" s="159" t="str">
        <f>IF(R$3="","",IF(COUNTIFS(BD!$A$3:$A$5001,R$3,BD!$B$3:$B$5001,$A$248,BD!$L$3:$L$5001,"&lt;&gt;")=0,"",SUMIFS(BD!$L$3:$L$5001,BD!$A$3:$A$5001,R$3,BD!$B$3:$B$5001,$A$248)))</f>
        <v/>
      </c>
      <c r="S257" s="159" t="str">
        <f>IF(S$3="","",IF(COUNTIFS(BD!$A$3:$A$5001,S$3,BD!$B$3:$B$5001,$A$248,BD!$L$3:$L$5001,"&lt;&gt;")=0,"",SUMIFS(BD!$L$3:$L$5001,BD!$A$3:$A$5001,S$3,BD!$B$3:$B$5001,$A$248)))</f>
        <v/>
      </c>
      <c r="T257" s="159" t="str">
        <f>IF(T$3="","",IF(COUNTIFS(BD!$A$3:$A$5001,T$3,BD!$B$3:$B$5001,$A$248,BD!$L$3:$L$5001,"&lt;&gt;")=0,"",SUMIFS(BD!$L$3:$L$5001,BD!$A$3:$A$5001,T$3,BD!$B$3:$B$5001,$A$248)))</f>
        <v/>
      </c>
      <c r="U257" s="159" t="str">
        <f>IF(U$3="","",IF(COUNTIFS(BD!$A$3:$A$5001,U$3,BD!$B$3:$B$5001,$A$248,BD!$L$3:$L$5001,"&lt;&gt;")=0,"",SUMIFS(BD!$L$3:$L$5001,BD!$A$3:$A$5001,U$3,BD!$B$3:$B$5001,$A$248)))</f>
        <v/>
      </c>
      <c r="V257" s="159" t="str">
        <f>IF(V$3="","",IF(COUNTIFS(BD!$A$3:$A$5001,V$3,BD!$B$3:$B$5001,$A$248,BD!$L$3:$L$5001,"&lt;&gt;")=0,"",SUMIFS(BD!$L$3:$L$5001,BD!$A$3:$A$5001,V$3,BD!$B$3:$B$5001,$A$248)))</f>
        <v/>
      </c>
      <c r="W257" s="159" t="str">
        <f>IF(W$3="","",IF(COUNTIFS(BD!$A$3:$A$5001,W$3,BD!$B$3:$B$5001,$A$248,BD!$L$3:$L$5001,"&lt;&gt;")=0,"",SUMIFS(BD!$L$3:$L$5001,BD!$A$3:$A$5001,W$3,BD!$B$3:$B$5001,$A$248)))</f>
        <v/>
      </c>
      <c r="X257" s="159" t="str">
        <f>IF(X$3="","",IF(COUNTIFS(BD!$A$3:$A$5001,X$3,BD!$B$3:$B$5001,$A$248,BD!$L$3:$L$5001,"&lt;&gt;")=0,"",SUMIFS(BD!$L$3:$L$5001,BD!$A$3:$A$5001,X$3,BD!$B$3:$B$5001,$A$248)))</f>
        <v/>
      </c>
      <c r="Y257" s="159" t="str">
        <f>IF(Y$3="","",IF(COUNTIFS(BD!$A$3:$A$5001,Y$3,BD!$B$3:$B$5001,$A$248,BD!$L$3:$L$5001,"&lt;&gt;")=0,"",SUMIFS(BD!$L$3:$L$5001,BD!$A$3:$A$5001,Y$3,BD!$B$3:$B$5001,$A$248)))</f>
        <v/>
      </c>
      <c r="Z257" s="159" t="str">
        <f>IF(Z$3="","",IF(COUNTIFS(BD!$A$3:$A$5001,Z$3,BD!$B$3:$B$5001,$A$248,BD!$L$3:$L$5001,"&lt;&gt;")=0,"",SUMIFS(BD!$L$3:$L$5001,BD!$A$3:$A$5001,Z$3,BD!$B$3:$B$5001,$A$248)))</f>
        <v/>
      </c>
      <c r="AA257" s="159" t="str">
        <f>IF(AA$3="","",IF(COUNTIFS(BD!$A$3:$A$5001,AA$3,BD!$B$3:$B$5001,$A$248,BD!$L$3:$L$5001,"&lt;&gt;")=0,"",SUMIFS(BD!$L$3:$L$5001,BD!$A$3:$A$5001,AA$3,BD!$B$3:$B$5001,$A$248)))</f>
        <v/>
      </c>
      <c r="AB257" s="159" t="str">
        <f>IF(AB$3="","",IF(COUNTIFS(BD!$A$3:$A$5001,AB$3,BD!$B$3:$B$5001,$A$248,BD!$L$3:$L$5001,"&lt;&gt;")=0,"",SUMIFS(BD!$L$3:$L$5001,BD!$A$3:$A$5001,AB$3,BD!$B$3:$B$5001,$A$248)))</f>
        <v/>
      </c>
      <c r="AC257" s="159" t="str">
        <f>IF(AC$3="","",IF(COUNTIFS(BD!$A$3:$A$5001,AC$3,BD!$B$3:$B$5001,$A$248,BD!$L$3:$L$5001,"&lt;&gt;")=0,"",SUMIFS(BD!$L$3:$L$5001,BD!$A$3:$A$5001,AC$3,BD!$B$3:$B$5001,$A$248)))</f>
        <v/>
      </c>
      <c r="AD257" s="159" t="str">
        <f>IF(AD$3="","",IF(COUNTIFS(BD!$A$3:$A$5001,AD$3,BD!$B$3:$B$5001,$A$248,BD!$L$3:$L$5001,"&lt;&gt;")=0,"",SUMIFS(BD!$L$3:$L$5001,BD!$A$3:$A$5001,AD$3,BD!$B$3:$B$5001,$A$248)))</f>
        <v/>
      </c>
      <c r="AE257" s="159" t="str">
        <f>IF(AE$3="","",IF(COUNTIFS(BD!$A$3:$A$5001,AE$3,BD!$B$3:$B$5001,$A$248,BD!$L$3:$L$5001,"&lt;&gt;")=0,"",SUMIFS(BD!$L$3:$L$5001,BD!$A$3:$A$5001,AE$3,BD!$B$3:$B$5001,$A$248)))</f>
        <v/>
      </c>
      <c r="AF257" s="159" t="str">
        <f>IF(AF$3="","",IF(COUNTIFS(BD!$A$3:$A$5001,AF$3,BD!$B$3:$B$5001,$A$248,BD!$L$3:$L$5001,"&lt;&gt;")=0,"",SUMIFS(BD!$L$3:$L$5001,BD!$A$3:$A$5001,AF$3,BD!$B$3:$B$5001,$A$248)))</f>
        <v/>
      </c>
      <c r="AG257" s="159" t="str">
        <f>IF(AG$3="","",IF(COUNTIFS(BD!$A$3:$A$5001,AG$3,BD!$B$3:$B$5001,$A$248,BD!$L$3:$L$5001,"&lt;&gt;")=0,"",SUMIFS(BD!$L$3:$L$5001,BD!$A$3:$A$5001,AG$3,BD!$B$3:$B$5001,$A$248)))</f>
        <v/>
      </c>
      <c r="AH257" s="159" t="str">
        <f>IF(AH$3="","",IF(COUNTIFS(BD!$A$3:$A$5001,AH$3,BD!$B$3:$B$5001,$A$248,BD!$L$3:$L$5001,"&lt;&gt;")=0,"",SUMIFS(BD!$L$3:$L$5001,BD!$A$3:$A$5001,AH$3,BD!$B$3:$B$5001,$A$248)))</f>
        <v/>
      </c>
      <c r="AI257" s="159" t="str">
        <f>IF(AI$3="","",IF(COUNTIFS(BD!$A$3:$A$5001,AI$3,BD!$B$3:$B$5001,$A$248,BD!$L$3:$L$5001,"&lt;&gt;")=0,"",SUMIFS(BD!$L$3:$L$5001,BD!$A$3:$A$5001,AI$3,BD!$B$3:$B$5001,$A$248)))</f>
        <v/>
      </c>
      <c r="AJ257" s="160" t="str">
        <f>IF(AJ$3="","",IF(COUNTIFS(BD!$A$3:$A$5001,AJ$3,BD!$B$3:$B$5001,$A$248,BD!$L$3:$L$5001,"&lt;&gt;")=0,"",SUMIFS(BD!$L$3:$L$5001,BD!$A$3:$A$5001,AJ$3,BD!$B$3:$B$5001,$A$248)))</f>
        <v/>
      </c>
      <c r="AK257" s="161" t="str">
        <f>IF(COUNT(F257:AJ257)&gt;0,LOOKUP(9.99E+307,F257:AJ257),IFERROR(IF(INDEX(BD!$V$3:$V$5001,MATCH($A$248,BD!$B$3:$B$5001,0))&amp;""="Contrato","",INDEX(BD!$V$3:$V$5001,MATCH($A$248,BD!$B$3:$B$5001,0))&amp;""),""))</f>
        <v/>
      </c>
    </row>
    <row r="258" ht="15.75" customHeight="1" hidden="1">
      <c r="A258" s="254"/>
      <c r="B258" s="242"/>
      <c r="C258" s="162" t="inlineStr">
        <is>
          <t xml:space="preserve">Posições Ocupadas</t>
        </is>
      </c>
      <c r="D258" s="163" t="str">
        <f>IFERROR(1/(1/INDEX(BD!$Y$33:$AS$33,MATCH($A$248,BD!$Y$22:$AS$22,0))),"")</f>
        <v/>
      </c>
      <c r="E258" s="164"/>
      <c r="F258" s="165" t="str">
        <f>IF(F$3="","",IF(COUNTIFS(BD!$A$3:$A$5001,F$3,BD!$B$3:$B$5001,$A$248,BD!$M$3:$M$5001,"&lt;&gt;")=0,"",SUMIFS(BD!$M$3:$M$5001,BD!$A$3:$A$5001,F$3,BD!$B$3:$B$5001,$A$248)))</f>
        <v/>
      </c>
      <c r="G258" s="166" t="str">
        <f>IF(G$3="","",IF(COUNTIFS(BD!$A$3:$A$5001,G$3,BD!$B$3:$B$5001,$A$248,BD!$M$3:$M$5001,"&lt;&gt;")=0,"",SUMIFS(BD!$M$3:$M$5001,BD!$A$3:$A$5001,G$3,BD!$B$3:$B$5001,$A$248)))</f>
        <v/>
      </c>
      <c r="H258" s="166" t="str">
        <f>IF(H$3="","",IF(COUNTIFS(BD!$A$3:$A$5001,H$3,BD!$B$3:$B$5001,$A$248,BD!$M$3:$M$5001,"&lt;&gt;")=0,"",SUMIFS(BD!$M$3:$M$5001,BD!$A$3:$A$5001,H$3,BD!$B$3:$B$5001,$A$248)))</f>
        <v/>
      </c>
      <c r="I258" s="166" t="str">
        <f>IF(I$3="","",IF(COUNTIFS(BD!$A$3:$A$5001,I$3,BD!$B$3:$B$5001,$A$248,BD!$M$3:$M$5001,"&lt;&gt;")=0,"",SUMIFS(BD!$M$3:$M$5001,BD!$A$3:$A$5001,I$3,BD!$B$3:$B$5001,$A$248)))</f>
        <v/>
      </c>
      <c r="J258" s="166" t="str">
        <f>IF(J$3="","",IF(COUNTIFS(BD!$A$3:$A$5001,J$3,BD!$B$3:$B$5001,$A$248,BD!$M$3:$M$5001,"&lt;&gt;")=0,"",SUMIFS(BD!$M$3:$M$5001,BD!$A$3:$A$5001,J$3,BD!$B$3:$B$5001,$A$248)))</f>
        <v/>
      </c>
      <c r="K258" s="166" t="str">
        <f>IF(K$3="","",IF(COUNTIFS(BD!$A$3:$A$5001,K$3,BD!$B$3:$B$5001,$A$248,BD!$M$3:$M$5001,"&lt;&gt;")=0,"",SUMIFS(BD!$M$3:$M$5001,BD!$A$3:$A$5001,K$3,BD!$B$3:$B$5001,$A$248)))</f>
        <v/>
      </c>
      <c r="L258" s="166" t="str">
        <f>IF(L$3="","",IF(COUNTIFS(BD!$A$3:$A$5001,L$3,BD!$B$3:$B$5001,$A$248,BD!$M$3:$M$5001,"&lt;&gt;")=0,"",SUMIFS(BD!$M$3:$M$5001,BD!$A$3:$A$5001,L$3,BD!$B$3:$B$5001,$A$248)))</f>
        <v/>
      </c>
      <c r="M258" s="166" t="str">
        <f>IF(M$3="","",IF(COUNTIFS(BD!$A$3:$A$5001,M$3,BD!$B$3:$B$5001,$A$248,BD!$M$3:$M$5001,"&lt;&gt;")=0,"",SUMIFS(BD!$M$3:$M$5001,BD!$A$3:$A$5001,M$3,BD!$B$3:$B$5001,$A$248)))</f>
        <v/>
      </c>
      <c r="N258" s="166" t="str">
        <f>IF(N$3="","",IF(COUNTIFS(BD!$A$3:$A$5001,N$3,BD!$B$3:$B$5001,$A$248,BD!$M$3:$M$5001,"&lt;&gt;")=0,"",SUMIFS(BD!$M$3:$M$5001,BD!$A$3:$A$5001,N$3,BD!$B$3:$B$5001,$A$248)))</f>
        <v/>
      </c>
      <c r="O258" s="166" t="str">
        <f>IF(O$3="","",IF(COUNTIFS(BD!$A$3:$A$5001,O$3,BD!$B$3:$B$5001,$A$248,BD!$M$3:$M$5001,"&lt;&gt;")=0,"",SUMIFS(BD!$M$3:$M$5001,BD!$A$3:$A$5001,O$3,BD!$B$3:$B$5001,$A$248)))</f>
        <v/>
      </c>
      <c r="P258" s="166" t="str">
        <f>IF(P$3="","",IF(COUNTIFS(BD!$A$3:$A$5001,P$3,BD!$B$3:$B$5001,$A$248,BD!$M$3:$M$5001,"&lt;&gt;")=0,"",SUMIFS(BD!$M$3:$M$5001,BD!$A$3:$A$5001,P$3,BD!$B$3:$B$5001,$A$248)))</f>
        <v/>
      </c>
      <c r="Q258" s="166" t="str">
        <f>IF(Q$3="","",IF(COUNTIFS(BD!$A$3:$A$5001,Q$3,BD!$B$3:$B$5001,$A$248,BD!$M$3:$M$5001,"&lt;&gt;")=0,"",SUMIFS(BD!$M$3:$M$5001,BD!$A$3:$A$5001,Q$3,BD!$B$3:$B$5001,$A$248)))</f>
        <v/>
      </c>
      <c r="R258" s="166" t="str">
        <f>IF(R$3="","",IF(COUNTIFS(BD!$A$3:$A$5001,R$3,BD!$B$3:$B$5001,$A$248,BD!$M$3:$M$5001,"&lt;&gt;")=0,"",SUMIFS(BD!$M$3:$M$5001,BD!$A$3:$A$5001,R$3,BD!$B$3:$B$5001,$A$248)))</f>
        <v/>
      </c>
      <c r="S258" s="166" t="str">
        <f>IF(S$3="","",IF(COUNTIFS(BD!$A$3:$A$5001,S$3,BD!$B$3:$B$5001,$A$248,BD!$M$3:$M$5001,"&lt;&gt;")=0,"",SUMIFS(BD!$M$3:$M$5001,BD!$A$3:$A$5001,S$3,BD!$B$3:$B$5001,$A$248)))</f>
        <v/>
      </c>
      <c r="T258" s="166" t="str">
        <f>IF(T$3="","",IF(COUNTIFS(BD!$A$3:$A$5001,T$3,BD!$B$3:$B$5001,$A$248,BD!$M$3:$M$5001,"&lt;&gt;")=0,"",SUMIFS(BD!$M$3:$M$5001,BD!$A$3:$A$5001,T$3,BD!$B$3:$B$5001,$A$248)))</f>
        <v/>
      </c>
      <c r="U258" s="166" t="str">
        <f>IF(U$3="","",IF(COUNTIFS(BD!$A$3:$A$5001,U$3,BD!$B$3:$B$5001,$A$248,BD!$M$3:$M$5001,"&lt;&gt;")=0,"",SUMIFS(BD!$M$3:$M$5001,BD!$A$3:$A$5001,U$3,BD!$B$3:$B$5001,$A$248)))</f>
        <v/>
      </c>
      <c r="V258" s="166" t="str">
        <f>IF(V$3="","",IF(COUNTIFS(BD!$A$3:$A$5001,V$3,BD!$B$3:$B$5001,$A$248,BD!$M$3:$M$5001,"&lt;&gt;")=0,"",SUMIFS(BD!$M$3:$M$5001,BD!$A$3:$A$5001,V$3,BD!$B$3:$B$5001,$A$248)))</f>
        <v/>
      </c>
      <c r="W258" s="166" t="str">
        <f>IF(W$3="","",IF(COUNTIFS(BD!$A$3:$A$5001,W$3,BD!$B$3:$B$5001,$A$248,BD!$M$3:$M$5001,"&lt;&gt;")=0,"",SUMIFS(BD!$M$3:$M$5001,BD!$A$3:$A$5001,W$3,BD!$B$3:$B$5001,$A$248)))</f>
        <v/>
      </c>
      <c r="X258" s="166" t="str">
        <f>IF(X$3="","",IF(COUNTIFS(BD!$A$3:$A$5001,X$3,BD!$B$3:$B$5001,$A$248,BD!$M$3:$M$5001,"&lt;&gt;")=0,"",SUMIFS(BD!$M$3:$M$5001,BD!$A$3:$A$5001,X$3,BD!$B$3:$B$5001,$A$248)))</f>
        <v/>
      </c>
      <c r="Y258" s="166" t="str">
        <f>IF(Y$3="","",IF(COUNTIFS(BD!$A$3:$A$5001,Y$3,BD!$B$3:$B$5001,$A$248,BD!$M$3:$M$5001,"&lt;&gt;")=0,"",SUMIFS(BD!$M$3:$M$5001,BD!$A$3:$A$5001,Y$3,BD!$B$3:$B$5001,$A$248)))</f>
        <v/>
      </c>
      <c r="Z258" s="166" t="str">
        <f>IF(Z$3="","",IF(COUNTIFS(BD!$A$3:$A$5001,Z$3,BD!$B$3:$B$5001,$A$248,BD!$M$3:$M$5001,"&lt;&gt;")=0,"",SUMIFS(BD!$M$3:$M$5001,BD!$A$3:$A$5001,Z$3,BD!$B$3:$B$5001,$A$248)))</f>
        <v/>
      </c>
      <c r="AA258" s="166" t="str">
        <f>IF(AA$3="","",IF(COUNTIFS(BD!$A$3:$A$5001,AA$3,BD!$B$3:$B$5001,$A$248,BD!$M$3:$M$5001,"&lt;&gt;")=0,"",SUMIFS(BD!$M$3:$M$5001,BD!$A$3:$A$5001,AA$3,BD!$B$3:$B$5001,$A$248)))</f>
        <v/>
      </c>
      <c r="AB258" s="166" t="str">
        <f>IF(AB$3="","",IF(COUNTIFS(BD!$A$3:$A$5001,AB$3,BD!$B$3:$B$5001,$A$248,BD!$M$3:$M$5001,"&lt;&gt;")=0,"",SUMIFS(BD!$M$3:$M$5001,BD!$A$3:$A$5001,AB$3,BD!$B$3:$B$5001,$A$248)))</f>
        <v/>
      </c>
      <c r="AC258" s="166" t="str">
        <f>IF(AC$3="","",IF(COUNTIFS(BD!$A$3:$A$5001,AC$3,BD!$B$3:$B$5001,$A$248,BD!$M$3:$M$5001,"&lt;&gt;")=0,"",SUMIFS(BD!$M$3:$M$5001,BD!$A$3:$A$5001,AC$3,BD!$B$3:$B$5001,$A$248)))</f>
        <v/>
      </c>
      <c r="AD258" s="166" t="str">
        <f>IF(AD$3="","",IF(COUNTIFS(BD!$A$3:$A$5001,AD$3,BD!$B$3:$B$5001,$A$248,BD!$M$3:$M$5001,"&lt;&gt;")=0,"",SUMIFS(BD!$M$3:$M$5001,BD!$A$3:$A$5001,AD$3,BD!$B$3:$B$5001,$A$248)))</f>
        <v/>
      </c>
      <c r="AE258" s="166" t="str">
        <f>IF(AE$3="","",IF(COUNTIFS(BD!$A$3:$A$5001,AE$3,BD!$B$3:$B$5001,$A$248,BD!$M$3:$M$5001,"&lt;&gt;")=0,"",SUMIFS(BD!$M$3:$M$5001,BD!$A$3:$A$5001,AE$3,BD!$B$3:$B$5001,$A$248)))</f>
        <v/>
      </c>
      <c r="AF258" s="166" t="str">
        <f>IF(AF$3="","",IF(COUNTIFS(BD!$A$3:$A$5001,AF$3,BD!$B$3:$B$5001,$A$248,BD!$M$3:$M$5001,"&lt;&gt;")=0,"",SUMIFS(BD!$M$3:$M$5001,BD!$A$3:$A$5001,AF$3,BD!$B$3:$B$5001,$A$248)))</f>
        <v/>
      </c>
      <c r="AG258" s="166" t="str">
        <f>IF(AG$3="","",IF(COUNTIFS(BD!$A$3:$A$5001,AG$3,BD!$B$3:$B$5001,$A$248,BD!$M$3:$M$5001,"&lt;&gt;")=0,"",SUMIFS(BD!$M$3:$M$5001,BD!$A$3:$A$5001,AG$3,BD!$B$3:$B$5001,$A$248)))</f>
        <v/>
      </c>
      <c r="AH258" s="166" t="str">
        <f>IF(AH$3="","",IF(COUNTIFS(BD!$A$3:$A$5001,AH$3,BD!$B$3:$B$5001,$A$248,BD!$M$3:$M$5001,"&lt;&gt;")=0,"",SUMIFS(BD!$M$3:$M$5001,BD!$A$3:$A$5001,AH$3,BD!$B$3:$B$5001,$A$248)))</f>
        <v/>
      </c>
      <c r="AI258" s="166" t="str">
        <f>IF(AI$3="","",IF(COUNTIFS(BD!$A$3:$A$5001,AI$3,BD!$B$3:$B$5001,$A$248,BD!$M$3:$M$5001,"&lt;&gt;")=0,"",SUMIFS(BD!$M$3:$M$5001,BD!$A$3:$A$5001,AI$3,BD!$B$3:$B$5001,$A$248)))</f>
        <v/>
      </c>
      <c r="AJ258" s="167" t="str">
        <f>IF(AJ$3="","",IF(COUNTIFS(BD!$A$3:$A$5001,AJ$3,BD!$B$3:$B$5001,$A$248,BD!$M$3:$M$5001,"&lt;&gt;")=0,"",SUMIFS(BD!$M$3:$M$5001,BD!$A$3:$A$5001,AJ$3,BD!$B$3:$B$5001,$A$248)))</f>
        <v/>
      </c>
      <c r="AK258" s="168" t="str">
        <f>IFERROR(LOOKUP(9.99E+307,F258:AJ258),"")</f>
        <v/>
      </c>
    </row>
    <row r="259" ht="15.75" customHeight="1" hidden="1">
      <c r="A259" s="254"/>
      <c r="B259" s="243"/>
      <c r="C259" s="169" t="inlineStr">
        <is>
          <t xml:space="preserve">Taxa de Ocupação</t>
        </is>
      </c>
      <c r="D259" s="217" t="str">
        <f>IFERROR(1/(1/INDEX(BD!$Y$34:$AS$34,MATCH($A$248,BD!$Y$22:$AS$22,0))),"")</f>
        <v/>
      </c>
      <c r="E259" s="171"/>
      <c r="F259" s="218" t="str">
        <f>IF(AND(ISNUMBER(F257),ISNUMBER(F258)),IF(F257&gt;0,F258/F257,""),"")</f>
        <v/>
      </c>
      <c r="G259" s="219" t="str">
        <f>IF(AND(ISNUMBER(G257),ISNUMBER(G258)),IF(G257&gt;0,G258/G257,""),"")</f>
        <v/>
      </c>
      <c r="H259" s="219" t="str">
        <f>IF(AND(ISNUMBER(H257),ISNUMBER(H258)),IF(H257&gt;0,H258/H257,""),"")</f>
        <v/>
      </c>
      <c r="I259" s="219" t="str">
        <f>IF(AND(ISNUMBER(I257),ISNUMBER(I258)),IF(I257&gt;0,I258/I257,""),"")</f>
        <v/>
      </c>
      <c r="J259" s="219" t="str">
        <f>IF(AND(ISNUMBER(J257),ISNUMBER(J258)),IF(J257&gt;0,J258/J257,""),"")</f>
        <v/>
      </c>
      <c r="K259" s="219" t="str">
        <f>IF(AND(ISNUMBER(K257),ISNUMBER(K258)),IF(K257&gt;0,K258/K257,""),"")</f>
        <v/>
      </c>
      <c r="L259" s="219" t="str">
        <f>IF(AND(ISNUMBER(L257),ISNUMBER(L258)),IF(L257&gt;0,L258/L257,""),"")</f>
        <v/>
      </c>
      <c r="M259" s="219" t="str">
        <f>IF(AND(ISNUMBER(M257),ISNUMBER(M258)),IF(M257&gt;0,M258/M257,""),"")</f>
        <v/>
      </c>
      <c r="N259" s="219" t="str">
        <f>IF(AND(ISNUMBER(N257),ISNUMBER(N258)),IF(N257&gt;0,N258/N257,""),"")</f>
        <v/>
      </c>
      <c r="O259" s="219" t="str">
        <f>IF(AND(ISNUMBER(O257),ISNUMBER(O258)),IF(O257&gt;0,O258/O257,""),"")</f>
        <v/>
      </c>
      <c r="P259" s="219" t="str">
        <f>IF(AND(ISNUMBER(P257),ISNUMBER(P258)),IF(P257&gt;0,P258/P257,""),"")</f>
        <v/>
      </c>
      <c r="Q259" s="219" t="str">
        <f>IF(AND(ISNUMBER(Q257),ISNUMBER(Q258)),IF(Q257&gt;0,Q258/Q257,""),"")</f>
        <v/>
      </c>
      <c r="R259" s="219" t="str">
        <f>IF(AND(ISNUMBER(R257),ISNUMBER(R258)),IF(R257&gt;0,R258/R257,""),"")</f>
        <v/>
      </c>
      <c r="S259" s="219" t="str">
        <f>IF(AND(ISNUMBER(S257),ISNUMBER(S258)),IF(S257&gt;0,S258/S257,""),"")</f>
        <v/>
      </c>
      <c r="T259" s="219" t="str">
        <f>IF(AND(ISNUMBER(T257),ISNUMBER(T258)),IF(T257&gt;0,T258/T257,""),"")</f>
        <v/>
      </c>
      <c r="U259" s="219" t="str">
        <f>IF(AND(ISNUMBER(U257),ISNUMBER(U258)),IF(U257&gt;0,U258/U257,""),"")</f>
        <v/>
      </c>
      <c r="V259" s="219" t="str">
        <f>IF(AND(ISNUMBER(V257),ISNUMBER(V258)),IF(V257&gt;0,V258/V257,""),"")</f>
        <v/>
      </c>
      <c r="W259" s="219" t="str">
        <f>IF(AND(ISNUMBER(W257),ISNUMBER(W258)),IF(W257&gt;0,W258/W257,""),"")</f>
        <v/>
      </c>
      <c r="X259" s="219" t="str">
        <f>IF(AND(ISNUMBER(X257),ISNUMBER(X258)),IF(X257&gt;0,X258/X257,""),"")</f>
        <v/>
      </c>
      <c r="Y259" s="219" t="str">
        <f>IF(AND(ISNUMBER(Y257),ISNUMBER(Y258)),IF(Y257&gt;0,Y258/Y257,""),"")</f>
        <v/>
      </c>
      <c r="Z259" s="219" t="str">
        <f>IF(AND(ISNUMBER(Z257),ISNUMBER(Z258)),IF(Z257&gt;0,Z258/Z257,""),"")</f>
        <v/>
      </c>
      <c r="AA259" s="219" t="str">
        <f>IF(AND(ISNUMBER(AA257),ISNUMBER(AA258)),IF(AA257&gt;0,AA258/AA257,""),"")</f>
        <v/>
      </c>
      <c r="AB259" s="219" t="str">
        <f>IF(AND(ISNUMBER(AB257),ISNUMBER(AB258)),IF(AB257&gt;0,AB258/AB257,""),"")</f>
        <v/>
      </c>
      <c r="AC259" s="219" t="str">
        <f>IF(AND(ISNUMBER(AC257),ISNUMBER(AC258)),IF(AC257&gt;0,AC258/AC257,""),"")</f>
        <v/>
      </c>
      <c r="AD259" s="219" t="str">
        <f>IF(AND(ISNUMBER(AD257),ISNUMBER(AD258)),IF(AD257&gt;0,AD258/AD257,""),"")</f>
        <v/>
      </c>
      <c r="AE259" s="219" t="str">
        <f>IF(AND(ISNUMBER(AE257),ISNUMBER(AE258)),IF(AE257&gt;0,AE258/AE257,""),"")</f>
        <v/>
      </c>
      <c r="AF259" s="219" t="str">
        <f>IF(AND(ISNUMBER(AF257),ISNUMBER(AF258)),IF(AF257&gt;0,AF258/AF257,""),"")</f>
        <v/>
      </c>
      <c r="AG259" s="219" t="str">
        <f>IF(AND(ISNUMBER(AG257),ISNUMBER(AG258)),IF(AG257&gt;0,AG258/AG257,""),"")</f>
        <v/>
      </c>
      <c r="AH259" s="219" t="str">
        <f>IF(AND(ISNUMBER(AH257),ISNUMBER(AH258)),IF(AH257&gt;0,AH258/AH257,""),"")</f>
        <v/>
      </c>
      <c r="AI259" s="219" t="str">
        <f>IF(AND(ISNUMBER(AI257),ISNUMBER(AI258)),IF(AI257&gt;0,AI258/AI257,""),"")</f>
        <v/>
      </c>
      <c r="AJ259" s="220" t="str">
        <f>IF(AND(ISNUMBER(AJ257),ISNUMBER(AJ258)),IF(AJ257&gt;0,AJ258/AJ257,""),"")</f>
        <v/>
      </c>
      <c r="AK259" s="217" t="str">
        <f>IF(AND(ISNUMBER(AK257),ISNUMBER(AK258)),IF(AK257&gt;0,AK258/AK257,""),"")</f>
        <v/>
      </c>
    </row>
    <row r="260" ht="15.75" customHeight="1" hidden="1">
      <c r="A260" s="254"/>
      <c r="B260" s="250" t="inlineStr">
        <is>
          <t xml:space="preserve">GENTE</t>
        </is>
      </c>
      <c r="C260" s="221" t="inlineStr">
        <is>
          <t xml:space="preserve">Efetivo Op.</t>
        </is>
      </c>
      <c r="D260" s="222" t="str">
        <f>IFERROR(1/(1/INDEX(BD!$Y$35:$AS$35,MATCH($A$248,BD!$Y$22:$AS$22,0))),"")</f>
        <v/>
      </c>
      <c r="E260" s="223"/>
      <c r="F260" s="224" t="str">
        <f>IF(F$3="","",IF(COUNTIFS(BD!$A$3:$A$5001,F$3,BD!$B$3:$B$5001,$A$248,BD!$N$3:$N$5001,"&lt;&gt;")=0,"",SUMIFS(BD!$N$3:$N$5001,BD!$A$3:$A$5001,F$3,BD!$B$3:$B$5001,$A$248)))</f>
        <v/>
      </c>
      <c r="G260" s="225" t="str">
        <f>IF(G$3="","",IF(COUNTIFS(BD!$A$3:$A$5001,G$3,BD!$B$3:$B$5001,$A$248,BD!$N$3:$N$5001,"&lt;&gt;")=0,"",SUMIFS(BD!$N$3:$N$5001,BD!$A$3:$A$5001,G$3,BD!$B$3:$B$5001,$A$248)))</f>
        <v/>
      </c>
      <c r="H260" s="225" t="str">
        <f>IF(H$3="","",IF(COUNTIFS(BD!$A$3:$A$5001,H$3,BD!$B$3:$B$5001,$A$248,BD!$N$3:$N$5001,"&lt;&gt;")=0,"",SUMIFS(BD!$N$3:$N$5001,BD!$A$3:$A$5001,H$3,BD!$B$3:$B$5001,$A$248)))</f>
        <v/>
      </c>
      <c r="I260" s="225" t="str">
        <f>IF(I$3="","",IF(COUNTIFS(BD!$A$3:$A$5001,I$3,BD!$B$3:$B$5001,$A$248,BD!$N$3:$N$5001,"&lt;&gt;")=0,"",SUMIFS(BD!$N$3:$N$5001,BD!$A$3:$A$5001,I$3,BD!$B$3:$B$5001,$A$248)))</f>
        <v/>
      </c>
      <c r="J260" s="225" t="str">
        <f>IF(J$3="","",IF(COUNTIFS(BD!$A$3:$A$5001,J$3,BD!$B$3:$B$5001,$A$248,BD!$N$3:$N$5001,"&lt;&gt;")=0,"",SUMIFS(BD!$N$3:$N$5001,BD!$A$3:$A$5001,J$3,BD!$B$3:$B$5001,$A$248)))</f>
        <v/>
      </c>
      <c r="K260" s="225" t="str">
        <f>IF(K$3="","",IF(COUNTIFS(BD!$A$3:$A$5001,K$3,BD!$B$3:$B$5001,$A$248,BD!$N$3:$N$5001,"&lt;&gt;")=0,"",SUMIFS(BD!$N$3:$N$5001,BD!$A$3:$A$5001,K$3,BD!$B$3:$B$5001,$A$248)))</f>
        <v/>
      </c>
      <c r="L260" s="225" t="str">
        <f>IF(L$3="","",IF(COUNTIFS(BD!$A$3:$A$5001,L$3,BD!$B$3:$B$5001,$A$248,BD!$N$3:$N$5001,"&lt;&gt;")=0,"",SUMIFS(BD!$N$3:$N$5001,BD!$A$3:$A$5001,L$3,BD!$B$3:$B$5001,$A$248)))</f>
        <v/>
      </c>
      <c r="M260" s="225" t="str">
        <f>IF(M$3="","",IF(COUNTIFS(BD!$A$3:$A$5001,M$3,BD!$B$3:$B$5001,$A$248,BD!$N$3:$N$5001,"&lt;&gt;")=0,"",SUMIFS(BD!$N$3:$N$5001,BD!$A$3:$A$5001,M$3,BD!$B$3:$B$5001,$A$248)))</f>
        <v/>
      </c>
      <c r="N260" s="225" t="str">
        <f>IF(N$3="","",IF(COUNTIFS(BD!$A$3:$A$5001,N$3,BD!$B$3:$B$5001,$A$248,BD!$N$3:$N$5001,"&lt;&gt;")=0,"",SUMIFS(BD!$N$3:$N$5001,BD!$A$3:$A$5001,N$3,BD!$B$3:$B$5001,$A$248)))</f>
        <v/>
      </c>
      <c r="O260" s="225" t="str">
        <f>IF(O$3="","",IF(COUNTIFS(BD!$A$3:$A$5001,O$3,BD!$B$3:$B$5001,$A$248,BD!$N$3:$N$5001,"&lt;&gt;")=0,"",SUMIFS(BD!$N$3:$N$5001,BD!$A$3:$A$5001,O$3,BD!$B$3:$B$5001,$A$248)))</f>
        <v/>
      </c>
      <c r="P260" s="225" t="str">
        <f>IF(P$3="","",IF(COUNTIFS(BD!$A$3:$A$5001,P$3,BD!$B$3:$B$5001,$A$248,BD!$N$3:$N$5001,"&lt;&gt;")=0,"",SUMIFS(BD!$N$3:$N$5001,BD!$A$3:$A$5001,P$3,BD!$B$3:$B$5001,$A$248)))</f>
        <v/>
      </c>
      <c r="Q260" s="225" t="str">
        <f>IF(Q$3="","",IF(COUNTIFS(BD!$A$3:$A$5001,Q$3,BD!$B$3:$B$5001,$A$248,BD!$N$3:$N$5001,"&lt;&gt;")=0,"",SUMIFS(BD!$N$3:$N$5001,BD!$A$3:$A$5001,Q$3,BD!$B$3:$B$5001,$A$248)))</f>
        <v/>
      </c>
      <c r="R260" s="225" t="str">
        <f>IF(R$3="","",IF(COUNTIFS(BD!$A$3:$A$5001,R$3,BD!$B$3:$B$5001,$A$248,BD!$N$3:$N$5001,"&lt;&gt;")=0,"",SUMIFS(BD!$N$3:$N$5001,BD!$A$3:$A$5001,R$3,BD!$B$3:$B$5001,$A$248)))</f>
        <v/>
      </c>
      <c r="S260" s="225" t="str">
        <f>IF(S$3="","",IF(COUNTIFS(BD!$A$3:$A$5001,S$3,BD!$B$3:$B$5001,$A$248,BD!$N$3:$N$5001,"&lt;&gt;")=0,"",SUMIFS(BD!$N$3:$N$5001,BD!$A$3:$A$5001,S$3,BD!$B$3:$B$5001,$A$248)))</f>
        <v/>
      </c>
      <c r="T260" s="225" t="str">
        <f>IF(T$3="","",IF(COUNTIFS(BD!$A$3:$A$5001,T$3,BD!$B$3:$B$5001,$A$248,BD!$N$3:$N$5001,"&lt;&gt;")=0,"",SUMIFS(BD!$N$3:$N$5001,BD!$A$3:$A$5001,T$3,BD!$B$3:$B$5001,$A$248)))</f>
        <v/>
      </c>
      <c r="U260" s="225" t="str">
        <f>IF(U$3="","",IF(COUNTIFS(BD!$A$3:$A$5001,U$3,BD!$B$3:$B$5001,$A$248,BD!$N$3:$N$5001,"&lt;&gt;")=0,"",SUMIFS(BD!$N$3:$N$5001,BD!$A$3:$A$5001,U$3,BD!$B$3:$B$5001,$A$248)))</f>
        <v/>
      </c>
      <c r="V260" s="225" t="str">
        <f>IF(V$3="","",IF(COUNTIFS(BD!$A$3:$A$5001,V$3,BD!$B$3:$B$5001,$A$248,BD!$N$3:$N$5001,"&lt;&gt;")=0,"",SUMIFS(BD!$N$3:$N$5001,BD!$A$3:$A$5001,V$3,BD!$B$3:$B$5001,$A$248)))</f>
        <v/>
      </c>
      <c r="W260" s="225" t="str">
        <f>IF(W$3="","",IF(COUNTIFS(BD!$A$3:$A$5001,W$3,BD!$B$3:$B$5001,$A$248,BD!$N$3:$N$5001,"&lt;&gt;")=0,"",SUMIFS(BD!$N$3:$N$5001,BD!$A$3:$A$5001,W$3,BD!$B$3:$B$5001,$A$248)))</f>
        <v/>
      </c>
      <c r="X260" s="225" t="str">
        <f>IF(X$3="","",IF(COUNTIFS(BD!$A$3:$A$5001,X$3,BD!$B$3:$B$5001,$A$248,BD!$N$3:$N$5001,"&lt;&gt;")=0,"",SUMIFS(BD!$N$3:$N$5001,BD!$A$3:$A$5001,X$3,BD!$B$3:$B$5001,$A$248)))</f>
        <v/>
      </c>
      <c r="Y260" s="225" t="str">
        <f>IF(Y$3="","",IF(COUNTIFS(BD!$A$3:$A$5001,Y$3,BD!$B$3:$B$5001,$A$248,BD!$N$3:$N$5001,"&lt;&gt;")=0,"",SUMIFS(BD!$N$3:$N$5001,BD!$A$3:$A$5001,Y$3,BD!$B$3:$B$5001,$A$248)))</f>
        <v/>
      </c>
      <c r="Z260" s="225" t="str">
        <f>IF(Z$3="","",IF(COUNTIFS(BD!$A$3:$A$5001,Z$3,BD!$B$3:$B$5001,$A$248,BD!$N$3:$N$5001,"&lt;&gt;")=0,"",SUMIFS(BD!$N$3:$N$5001,BD!$A$3:$A$5001,Z$3,BD!$B$3:$B$5001,$A$248)))</f>
        <v/>
      </c>
      <c r="AA260" s="225" t="str">
        <f>IF(AA$3="","",IF(COUNTIFS(BD!$A$3:$A$5001,AA$3,BD!$B$3:$B$5001,$A$248,BD!$N$3:$N$5001,"&lt;&gt;")=0,"",SUMIFS(BD!$N$3:$N$5001,BD!$A$3:$A$5001,AA$3,BD!$B$3:$B$5001,$A$248)))</f>
        <v/>
      </c>
      <c r="AB260" s="225" t="str">
        <f>IF(AB$3="","",IF(COUNTIFS(BD!$A$3:$A$5001,AB$3,BD!$B$3:$B$5001,$A$248,BD!$N$3:$N$5001,"&lt;&gt;")=0,"",SUMIFS(BD!$N$3:$N$5001,BD!$A$3:$A$5001,AB$3,BD!$B$3:$B$5001,$A$248)))</f>
        <v/>
      </c>
      <c r="AC260" s="225" t="str">
        <f>IF(AC$3="","",IF(COUNTIFS(BD!$A$3:$A$5001,AC$3,BD!$B$3:$B$5001,$A$248,BD!$N$3:$N$5001,"&lt;&gt;")=0,"",SUMIFS(BD!$N$3:$N$5001,BD!$A$3:$A$5001,AC$3,BD!$B$3:$B$5001,$A$248)))</f>
        <v/>
      </c>
      <c r="AD260" s="225" t="str">
        <f>IF(AD$3="","",IF(COUNTIFS(BD!$A$3:$A$5001,AD$3,BD!$B$3:$B$5001,$A$248,BD!$N$3:$N$5001,"&lt;&gt;")=0,"",SUMIFS(BD!$N$3:$N$5001,BD!$A$3:$A$5001,AD$3,BD!$B$3:$B$5001,$A$248)))</f>
        <v/>
      </c>
      <c r="AE260" s="225" t="str">
        <f>IF(AE$3="","",IF(COUNTIFS(BD!$A$3:$A$5001,AE$3,BD!$B$3:$B$5001,$A$248,BD!$N$3:$N$5001,"&lt;&gt;")=0,"",SUMIFS(BD!$N$3:$N$5001,BD!$A$3:$A$5001,AE$3,BD!$B$3:$B$5001,$A$248)))</f>
        <v/>
      </c>
      <c r="AF260" s="225" t="str">
        <f>IF(AF$3="","",IF(COUNTIFS(BD!$A$3:$A$5001,AF$3,BD!$B$3:$B$5001,$A$248,BD!$N$3:$N$5001,"&lt;&gt;")=0,"",SUMIFS(BD!$N$3:$N$5001,BD!$A$3:$A$5001,AF$3,BD!$B$3:$B$5001,$A$248)))</f>
        <v/>
      </c>
      <c r="AG260" s="225" t="str">
        <f>IF(AG$3="","",IF(COUNTIFS(BD!$A$3:$A$5001,AG$3,BD!$B$3:$B$5001,$A$248,BD!$N$3:$N$5001,"&lt;&gt;")=0,"",SUMIFS(BD!$N$3:$N$5001,BD!$A$3:$A$5001,AG$3,BD!$B$3:$B$5001,$A$248)))</f>
        <v/>
      </c>
      <c r="AH260" s="225" t="str">
        <f>IF(AH$3="","",IF(COUNTIFS(BD!$A$3:$A$5001,AH$3,BD!$B$3:$B$5001,$A$248,BD!$N$3:$N$5001,"&lt;&gt;")=0,"",SUMIFS(BD!$N$3:$N$5001,BD!$A$3:$A$5001,AH$3,BD!$B$3:$B$5001,$A$248)))</f>
        <v/>
      </c>
      <c r="AI260" s="225" t="str">
        <f>IF(AI$3="","",IF(COUNTIFS(BD!$A$3:$A$5001,AI$3,BD!$B$3:$B$5001,$A$248,BD!$N$3:$N$5001,"&lt;&gt;")=0,"",SUMIFS(BD!$N$3:$N$5001,BD!$A$3:$A$5001,AI$3,BD!$B$3:$B$5001,$A$248)))</f>
        <v/>
      </c>
      <c r="AJ260" s="226" t="str">
        <f>IF(AJ$3="","",IF(COUNTIFS(BD!$A$3:$A$5001,AJ$3,BD!$B$3:$B$5001,$A$248,BD!$N$3:$N$5001,"&lt;&gt;")=0,"",SUMIFS(BD!$N$3:$N$5001,BD!$A$3:$A$5001,AJ$3,BD!$B$3:$B$5001,$A$248)))</f>
        <v/>
      </c>
      <c r="AK260" s="227" t="str">
        <f>IFERROR(LOOKUP(9.99E+307,F260:AJ260),"")</f>
        <v/>
      </c>
    </row>
    <row r="261" ht="15.75" customHeight="1" hidden="1">
      <c r="A261" s="254"/>
      <c r="B261" s="251"/>
      <c r="C261" s="228" t="inlineStr">
        <is>
          <t xml:space="preserve">Falta</t>
        </is>
      </c>
      <c r="D261" s="229" t="str">
        <f>IFERROR(1/(1/INDEX(BD!$Y$36:$AS$36,MATCH($A$248,BD!$Y$22:$AS$22,0))),"")</f>
        <v/>
      </c>
      <c r="E261" s="230"/>
      <c r="F261" s="231" t="str">
        <f>IF(F$3="","",IF(COUNTIFS(BD!$A$3:$A$5001,F$3,BD!$B$3:$B$5001,$A$248,BD!$O$3:$O$5001,"&lt;&gt;")=0,"",SUMIFS(BD!$O$3:$O$5001,BD!$A$3:$A$5001,F$3,BD!$B$3:$B$5001,$A$248)))</f>
        <v/>
      </c>
      <c r="G261" s="232" t="str">
        <f>IF(G$3="","",IF(COUNTIFS(BD!$A$3:$A$5001,G$3,BD!$B$3:$B$5001,$A$248,BD!$O$3:$O$5001,"&lt;&gt;")=0,"",SUMIFS(BD!$O$3:$O$5001,BD!$A$3:$A$5001,G$3,BD!$B$3:$B$5001,$A$248)))</f>
        <v/>
      </c>
      <c r="H261" s="232" t="str">
        <f>IF(H$3="","",IF(COUNTIFS(BD!$A$3:$A$5001,H$3,BD!$B$3:$B$5001,$A$248,BD!$O$3:$O$5001,"&lt;&gt;")=0,"",SUMIFS(BD!$O$3:$O$5001,BD!$A$3:$A$5001,H$3,BD!$B$3:$B$5001,$A$248)))</f>
        <v/>
      </c>
      <c r="I261" s="232" t="str">
        <f>IF(I$3="","",IF(COUNTIFS(BD!$A$3:$A$5001,I$3,BD!$B$3:$B$5001,$A$248,BD!$O$3:$O$5001,"&lt;&gt;")=0,"",SUMIFS(BD!$O$3:$O$5001,BD!$A$3:$A$5001,I$3,BD!$B$3:$B$5001,$A$248)))</f>
        <v/>
      </c>
      <c r="J261" s="232" t="str">
        <f>IF(J$3="","",IF(COUNTIFS(BD!$A$3:$A$5001,J$3,BD!$B$3:$B$5001,$A$248,BD!$O$3:$O$5001,"&lt;&gt;")=0,"",SUMIFS(BD!$O$3:$O$5001,BD!$A$3:$A$5001,J$3,BD!$B$3:$B$5001,$A$248)))</f>
        <v/>
      </c>
      <c r="K261" s="232" t="str">
        <f>IF(K$3="","",IF(COUNTIFS(BD!$A$3:$A$5001,K$3,BD!$B$3:$B$5001,$A$248,BD!$O$3:$O$5001,"&lt;&gt;")=0,"",SUMIFS(BD!$O$3:$O$5001,BD!$A$3:$A$5001,K$3,BD!$B$3:$B$5001,$A$248)))</f>
        <v/>
      </c>
      <c r="L261" s="232" t="str">
        <f>IF(L$3="","",IF(COUNTIFS(BD!$A$3:$A$5001,L$3,BD!$B$3:$B$5001,$A$248,BD!$O$3:$O$5001,"&lt;&gt;")=0,"",SUMIFS(BD!$O$3:$O$5001,BD!$A$3:$A$5001,L$3,BD!$B$3:$B$5001,$A$248)))</f>
        <v/>
      </c>
      <c r="M261" s="232" t="str">
        <f>IF(M$3="","",IF(COUNTIFS(BD!$A$3:$A$5001,M$3,BD!$B$3:$B$5001,$A$248,BD!$O$3:$O$5001,"&lt;&gt;")=0,"",SUMIFS(BD!$O$3:$O$5001,BD!$A$3:$A$5001,M$3,BD!$B$3:$B$5001,$A$248)))</f>
        <v/>
      </c>
      <c r="N261" s="232" t="str">
        <f>IF(N$3="","",IF(COUNTIFS(BD!$A$3:$A$5001,N$3,BD!$B$3:$B$5001,$A$248,BD!$O$3:$O$5001,"&lt;&gt;")=0,"",SUMIFS(BD!$O$3:$O$5001,BD!$A$3:$A$5001,N$3,BD!$B$3:$B$5001,$A$248)))</f>
        <v/>
      </c>
      <c r="O261" s="232" t="str">
        <f>IF(O$3="","",IF(COUNTIFS(BD!$A$3:$A$5001,O$3,BD!$B$3:$B$5001,$A$248,BD!$O$3:$O$5001,"&lt;&gt;")=0,"",SUMIFS(BD!$O$3:$O$5001,BD!$A$3:$A$5001,O$3,BD!$B$3:$B$5001,$A$248)))</f>
        <v/>
      </c>
      <c r="P261" s="232" t="str">
        <f>IF(P$3="","",IF(COUNTIFS(BD!$A$3:$A$5001,P$3,BD!$B$3:$B$5001,$A$248,BD!$O$3:$O$5001,"&lt;&gt;")=0,"",SUMIFS(BD!$O$3:$O$5001,BD!$A$3:$A$5001,P$3,BD!$B$3:$B$5001,$A$248)))</f>
        <v/>
      </c>
      <c r="Q261" s="232" t="str">
        <f>IF(Q$3="","",IF(COUNTIFS(BD!$A$3:$A$5001,Q$3,BD!$B$3:$B$5001,$A$248,BD!$O$3:$O$5001,"&lt;&gt;")=0,"",SUMIFS(BD!$O$3:$O$5001,BD!$A$3:$A$5001,Q$3,BD!$B$3:$B$5001,$A$248)))</f>
        <v/>
      </c>
      <c r="R261" s="232" t="str">
        <f>IF(R$3="","",IF(COUNTIFS(BD!$A$3:$A$5001,R$3,BD!$B$3:$B$5001,$A$248,BD!$O$3:$O$5001,"&lt;&gt;")=0,"",SUMIFS(BD!$O$3:$O$5001,BD!$A$3:$A$5001,R$3,BD!$B$3:$B$5001,$A$248)))</f>
        <v/>
      </c>
      <c r="S261" s="232" t="str">
        <f>IF(S$3="","",IF(COUNTIFS(BD!$A$3:$A$5001,S$3,BD!$B$3:$B$5001,$A$248,BD!$O$3:$O$5001,"&lt;&gt;")=0,"",SUMIFS(BD!$O$3:$O$5001,BD!$A$3:$A$5001,S$3,BD!$B$3:$B$5001,$A$248)))</f>
        <v/>
      </c>
      <c r="T261" s="232" t="str">
        <f>IF(T$3="","",IF(COUNTIFS(BD!$A$3:$A$5001,T$3,BD!$B$3:$B$5001,$A$248,BD!$O$3:$O$5001,"&lt;&gt;")=0,"",SUMIFS(BD!$O$3:$O$5001,BD!$A$3:$A$5001,T$3,BD!$B$3:$B$5001,$A$248)))</f>
        <v/>
      </c>
      <c r="U261" s="232" t="str">
        <f>IF(U$3="","",IF(COUNTIFS(BD!$A$3:$A$5001,U$3,BD!$B$3:$B$5001,$A$248,BD!$O$3:$O$5001,"&lt;&gt;")=0,"",SUMIFS(BD!$O$3:$O$5001,BD!$A$3:$A$5001,U$3,BD!$B$3:$B$5001,$A$248)))</f>
        <v/>
      </c>
      <c r="V261" s="232" t="str">
        <f>IF(V$3="","",IF(COUNTIFS(BD!$A$3:$A$5001,V$3,BD!$B$3:$B$5001,$A$248,BD!$O$3:$O$5001,"&lt;&gt;")=0,"",SUMIFS(BD!$O$3:$O$5001,BD!$A$3:$A$5001,V$3,BD!$B$3:$B$5001,$A$248)))</f>
        <v/>
      </c>
      <c r="W261" s="232" t="str">
        <f>IF(W$3="","",IF(COUNTIFS(BD!$A$3:$A$5001,W$3,BD!$B$3:$B$5001,$A$248,BD!$O$3:$O$5001,"&lt;&gt;")=0,"",SUMIFS(BD!$O$3:$O$5001,BD!$A$3:$A$5001,W$3,BD!$B$3:$B$5001,$A$248)))</f>
        <v/>
      </c>
      <c r="X261" s="232" t="str">
        <f>IF(X$3="","",IF(COUNTIFS(BD!$A$3:$A$5001,X$3,BD!$B$3:$B$5001,$A$248,BD!$O$3:$O$5001,"&lt;&gt;")=0,"",SUMIFS(BD!$O$3:$O$5001,BD!$A$3:$A$5001,X$3,BD!$B$3:$B$5001,$A$248)))</f>
        <v/>
      </c>
      <c r="Y261" s="232" t="str">
        <f>IF(Y$3="","",IF(COUNTIFS(BD!$A$3:$A$5001,Y$3,BD!$B$3:$B$5001,$A$248,BD!$O$3:$O$5001,"&lt;&gt;")=0,"",SUMIFS(BD!$O$3:$O$5001,BD!$A$3:$A$5001,Y$3,BD!$B$3:$B$5001,$A$248)))</f>
        <v/>
      </c>
      <c r="Z261" s="232" t="str">
        <f>IF(Z$3="","",IF(COUNTIFS(BD!$A$3:$A$5001,Z$3,BD!$B$3:$B$5001,$A$248,BD!$O$3:$O$5001,"&lt;&gt;")=0,"",SUMIFS(BD!$O$3:$O$5001,BD!$A$3:$A$5001,Z$3,BD!$B$3:$B$5001,$A$248)))</f>
        <v/>
      </c>
      <c r="AA261" s="232" t="str">
        <f>IF(AA$3="","",IF(COUNTIFS(BD!$A$3:$A$5001,AA$3,BD!$B$3:$B$5001,$A$248,BD!$O$3:$O$5001,"&lt;&gt;")=0,"",SUMIFS(BD!$O$3:$O$5001,BD!$A$3:$A$5001,AA$3,BD!$B$3:$B$5001,$A$248)))</f>
        <v/>
      </c>
      <c r="AB261" s="232" t="str">
        <f>IF(AB$3="","",IF(COUNTIFS(BD!$A$3:$A$5001,AB$3,BD!$B$3:$B$5001,$A$248,BD!$O$3:$O$5001,"&lt;&gt;")=0,"",SUMIFS(BD!$O$3:$O$5001,BD!$A$3:$A$5001,AB$3,BD!$B$3:$B$5001,$A$248)))</f>
        <v/>
      </c>
      <c r="AC261" s="232" t="str">
        <f>IF(AC$3="","",IF(COUNTIFS(BD!$A$3:$A$5001,AC$3,BD!$B$3:$B$5001,$A$248,BD!$O$3:$O$5001,"&lt;&gt;")=0,"",SUMIFS(BD!$O$3:$O$5001,BD!$A$3:$A$5001,AC$3,BD!$B$3:$B$5001,$A$248)))</f>
        <v/>
      </c>
      <c r="AD261" s="232" t="str">
        <f>IF(AD$3="","",IF(COUNTIFS(BD!$A$3:$A$5001,AD$3,BD!$B$3:$B$5001,$A$248,BD!$O$3:$O$5001,"&lt;&gt;")=0,"",SUMIFS(BD!$O$3:$O$5001,BD!$A$3:$A$5001,AD$3,BD!$B$3:$B$5001,$A$248)))</f>
        <v/>
      </c>
      <c r="AE261" s="232" t="str">
        <f>IF(AE$3="","",IF(COUNTIFS(BD!$A$3:$A$5001,AE$3,BD!$B$3:$B$5001,$A$248,BD!$O$3:$O$5001,"&lt;&gt;")=0,"",SUMIFS(BD!$O$3:$O$5001,BD!$A$3:$A$5001,AE$3,BD!$B$3:$B$5001,$A$248)))</f>
        <v/>
      </c>
      <c r="AF261" s="232" t="str">
        <f>IF(AF$3="","",IF(COUNTIFS(BD!$A$3:$A$5001,AF$3,BD!$B$3:$B$5001,$A$248,BD!$O$3:$O$5001,"&lt;&gt;")=0,"",SUMIFS(BD!$O$3:$O$5001,BD!$A$3:$A$5001,AF$3,BD!$B$3:$B$5001,$A$248)))</f>
        <v/>
      </c>
      <c r="AG261" s="232" t="str">
        <f>IF(AG$3="","",IF(COUNTIFS(BD!$A$3:$A$5001,AG$3,BD!$B$3:$B$5001,$A$248,BD!$O$3:$O$5001,"&lt;&gt;")=0,"",SUMIFS(BD!$O$3:$O$5001,BD!$A$3:$A$5001,AG$3,BD!$B$3:$B$5001,$A$248)))</f>
        <v/>
      </c>
      <c r="AH261" s="232" t="str">
        <f>IF(AH$3="","",IF(COUNTIFS(BD!$A$3:$A$5001,AH$3,BD!$B$3:$B$5001,$A$248,BD!$O$3:$O$5001,"&lt;&gt;")=0,"",SUMIFS(BD!$O$3:$O$5001,BD!$A$3:$A$5001,AH$3,BD!$B$3:$B$5001,$A$248)))</f>
        <v/>
      </c>
      <c r="AI261" s="232" t="str">
        <f>IF(AI$3="","",IF(COUNTIFS(BD!$A$3:$A$5001,AI$3,BD!$B$3:$B$5001,$A$248,BD!$O$3:$O$5001,"&lt;&gt;")=0,"",SUMIFS(BD!$O$3:$O$5001,BD!$A$3:$A$5001,AI$3,BD!$B$3:$B$5001,$A$248)))</f>
        <v/>
      </c>
      <c r="AJ261" s="233" t="str">
        <f>IF(AJ$3="","",IF(COUNTIFS(BD!$A$3:$A$5001,AJ$3,BD!$B$3:$B$5001,$A$248,BD!$O$3:$O$5001,"&lt;&gt;")=0,"",SUMIFS(BD!$O$3:$O$5001,BD!$A$3:$A$5001,AJ$3,BD!$B$3:$B$5001,$A$248)))</f>
        <v/>
      </c>
      <c r="AK261" s="234" t="str">
        <f>IF(COUNT(F261:AJ261)=0,"",SUM(F261:AJ261))</f>
        <v/>
      </c>
    </row>
    <row r="262" ht="15.75" customHeight="1" hidden="1">
      <c r="A262" s="254"/>
      <c r="B262" s="251"/>
      <c r="C262" s="228" t="inlineStr">
        <is>
          <t xml:space="preserve">Folga</t>
        </is>
      </c>
      <c r="D262" s="229" t="str">
        <f>IFERROR(1/(1/INDEX(BD!$Y$37:$AS$37,MATCH($A$248,BD!$Y$22:$AS$22,0))),"")</f>
        <v/>
      </c>
      <c r="E262" s="230"/>
      <c r="F262" s="231" t="str">
        <f>IF(F$3="","",IF(COUNTIFS(BD!$A$3:$A$5001,F$3,BD!$B$3:$B$5001,$A$248,BD!$P$3:$P$5001,"&lt;&gt;")=0,"",SUMIFS(BD!$P$3:$P$5001,BD!$A$3:$A$5001,F$3,BD!$B$3:$B$5001,$A$248)))</f>
        <v/>
      </c>
      <c r="G262" s="232" t="str">
        <f>IF(G$3="","",IF(COUNTIFS(BD!$A$3:$A$5001,G$3,BD!$B$3:$B$5001,$A$248,BD!$P$3:$P$5001,"&lt;&gt;")=0,"",SUMIFS(BD!$P$3:$P$5001,BD!$A$3:$A$5001,G$3,BD!$B$3:$B$5001,$A$248)))</f>
        <v/>
      </c>
      <c r="H262" s="232" t="str">
        <f>IF(H$3="","",IF(COUNTIFS(BD!$A$3:$A$5001,H$3,BD!$B$3:$B$5001,$A$248,BD!$P$3:$P$5001,"&lt;&gt;")=0,"",SUMIFS(BD!$P$3:$P$5001,BD!$A$3:$A$5001,H$3,BD!$B$3:$B$5001,$A$248)))</f>
        <v/>
      </c>
      <c r="I262" s="232" t="str">
        <f>IF(I$3="","",IF(COUNTIFS(BD!$A$3:$A$5001,I$3,BD!$B$3:$B$5001,$A$248,BD!$P$3:$P$5001,"&lt;&gt;")=0,"",SUMIFS(BD!$P$3:$P$5001,BD!$A$3:$A$5001,I$3,BD!$B$3:$B$5001,$A$248)))</f>
        <v/>
      </c>
      <c r="J262" s="232" t="str">
        <f>IF(J$3="","",IF(COUNTIFS(BD!$A$3:$A$5001,J$3,BD!$B$3:$B$5001,$A$248,BD!$P$3:$P$5001,"&lt;&gt;")=0,"",SUMIFS(BD!$P$3:$P$5001,BD!$A$3:$A$5001,J$3,BD!$B$3:$B$5001,$A$248)))</f>
        <v/>
      </c>
      <c r="K262" s="232" t="str">
        <f>IF(K$3="","",IF(COUNTIFS(BD!$A$3:$A$5001,K$3,BD!$B$3:$B$5001,$A$248,BD!$P$3:$P$5001,"&lt;&gt;")=0,"",SUMIFS(BD!$P$3:$P$5001,BD!$A$3:$A$5001,K$3,BD!$B$3:$B$5001,$A$248)))</f>
        <v/>
      </c>
      <c r="L262" s="232" t="str">
        <f>IF(L$3="","",IF(COUNTIFS(BD!$A$3:$A$5001,L$3,BD!$B$3:$B$5001,$A$248,BD!$P$3:$P$5001,"&lt;&gt;")=0,"",SUMIFS(BD!$P$3:$P$5001,BD!$A$3:$A$5001,L$3,BD!$B$3:$B$5001,$A$248)))</f>
        <v/>
      </c>
      <c r="M262" s="232" t="str">
        <f>IF(M$3="","",IF(COUNTIFS(BD!$A$3:$A$5001,M$3,BD!$B$3:$B$5001,$A$248,BD!$P$3:$P$5001,"&lt;&gt;")=0,"",SUMIFS(BD!$P$3:$P$5001,BD!$A$3:$A$5001,M$3,BD!$B$3:$B$5001,$A$248)))</f>
        <v/>
      </c>
      <c r="N262" s="232" t="str">
        <f>IF(N$3="","",IF(COUNTIFS(BD!$A$3:$A$5001,N$3,BD!$B$3:$B$5001,$A$248,BD!$P$3:$P$5001,"&lt;&gt;")=0,"",SUMIFS(BD!$P$3:$P$5001,BD!$A$3:$A$5001,N$3,BD!$B$3:$B$5001,$A$248)))</f>
        <v/>
      </c>
      <c r="O262" s="232" t="str">
        <f>IF(O$3="","",IF(COUNTIFS(BD!$A$3:$A$5001,O$3,BD!$B$3:$B$5001,$A$248,BD!$P$3:$P$5001,"&lt;&gt;")=0,"",SUMIFS(BD!$P$3:$P$5001,BD!$A$3:$A$5001,O$3,BD!$B$3:$B$5001,$A$248)))</f>
        <v/>
      </c>
      <c r="P262" s="232" t="str">
        <f>IF(P$3="","",IF(COUNTIFS(BD!$A$3:$A$5001,P$3,BD!$B$3:$B$5001,$A$248,BD!$P$3:$P$5001,"&lt;&gt;")=0,"",SUMIFS(BD!$P$3:$P$5001,BD!$A$3:$A$5001,P$3,BD!$B$3:$B$5001,$A$248)))</f>
        <v/>
      </c>
      <c r="Q262" s="232" t="str">
        <f>IF(Q$3="","",IF(COUNTIFS(BD!$A$3:$A$5001,Q$3,BD!$B$3:$B$5001,$A$248,BD!$P$3:$P$5001,"&lt;&gt;")=0,"",SUMIFS(BD!$P$3:$P$5001,BD!$A$3:$A$5001,Q$3,BD!$B$3:$B$5001,$A$248)))</f>
        <v/>
      </c>
      <c r="R262" s="232" t="str">
        <f>IF(R$3="","",IF(COUNTIFS(BD!$A$3:$A$5001,R$3,BD!$B$3:$B$5001,$A$248,BD!$P$3:$P$5001,"&lt;&gt;")=0,"",SUMIFS(BD!$P$3:$P$5001,BD!$A$3:$A$5001,R$3,BD!$B$3:$B$5001,$A$248)))</f>
        <v/>
      </c>
      <c r="S262" s="232" t="str">
        <f>IF(S$3="","",IF(COUNTIFS(BD!$A$3:$A$5001,S$3,BD!$B$3:$B$5001,$A$248,BD!$P$3:$P$5001,"&lt;&gt;")=0,"",SUMIFS(BD!$P$3:$P$5001,BD!$A$3:$A$5001,S$3,BD!$B$3:$B$5001,$A$248)))</f>
        <v/>
      </c>
      <c r="T262" s="232" t="str">
        <f>IF(T$3="","",IF(COUNTIFS(BD!$A$3:$A$5001,T$3,BD!$B$3:$B$5001,$A$248,BD!$P$3:$P$5001,"&lt;&gt;")=0,"",SUMIFS(BD!$P$3:$P$5001,BD!$A$3:$A$5001,T$3,BD!$B$3:$B$5001,$A$248)))</f>
        <v/>
      </c>
      <c r="U262" s="232" t="str">
        <f>IF(U$3="","",IF(COUNTIFS(BD!$A$3:$A$5001,U$3,BD!$B$3:$B$5001,$A$248,BD!$P$3:$P$5001,"&lt;&gt;")=0,"",SUMIFS(BD!$P$3:$P$5001,BD!$A$3:$A$5001,U$3,BD!$B$3:$B$5001,$A$248)))</f>
        <v/>
      </c>
      <c r="V262" s="232" t="str">
        <f>IF(V$3="","",IF(COUNTIFS(BD!$A$3:$A$5001,V$3,BD!$B$3:$B$5001,$A$248,BD!$P$3:$P$5001,"&lt;&gt;")=0,"",SUMIFS(BD!$P$3:$P$5001,BD!$A$3:$A$5001,V$3,BD!$B$3:$B$5001,$A$248)))</f>
        <v/>
      </c>
      <c r="W262" s="232" t="str">
        <f>IF(W$3="","",IF(COUNTIFS(BD!$A$3:$A$5001,W$3,BD!$B$3:$B$5001,$A$248,BD!$P$3:$P$5001,"&lt;&gt;")=0,"",SUMIFS(BD!$P$3:$P$5001,BD!$A$3:$A$5001,W$3,BD!$B$3:$B$5001,$A$248)))</f>
        <v/>
      </c>
      <c r="X262" s="232" t="str">
        <f>IF(X$3="","",IF(COUNTIFS(BD!$A$3:$A$5001,X$3,BD!$B$3:$B$5001,$A$248,BD!$P$3:$P$5001,"&lt;&gt;")=0,"",SUMIFS(BD!$P$3:$P$5001,BD!$A$3:$A$5001,X$3,BD!$B$3:$B$5001,$A$248)))</f>
        <v/>
      </c>
      <c r="Y262" s="232" t="str">
        <f>IF(Y$3="","",IF(COUNTIFS(BD!$A$3:$A$5001,Y$3,BD!$B$3:$B$5001,$A$248,BD!$P$3:$P$5001,"&lt;&gt;")=0,"",SUMIFS(BD!$P$3:$P$5001,BD!$A$3:$A$5001,Y$3,BD!$B$3:$B$5001,$A$248)))</f>
        <v/>
      </c>
      <c r="Z262" s="232" t="str">
        <f>IF(Z$3="","",IF(COUNTIFS(BD!$A$3:$A$5001,Z$3,BD!$B$3:$B$5001,$A$248,BD!$P$3:$P$5001,"&lt;&gt;")=0,"",SUMIFS(BD!$P$3:$P$5001,BD!$A$3:$A$5001,Z$3,BD!$B$3:$B$5001,$A$248)))</f>
        <v/>
      </c>
      <c r="AA262" s="232" t="str">
        <f>IF(AA$3="","",IF(COUNTIFS(BD!$A$3:$A$5001,AA$3,BD!$B$3:$B$5001,$A$248,BD!$P$3:$P$5001,"&lt;&gt;")=0,"",SUMIFS(BD!$P$3:$P$5001,BD!$A$3:$A$5001,AA$3,BD!$B$3:$B$5001,$A$248)))</f>
        <v/>
      </c>
      <c r="AB262" s="232" t="str">
        <f>IF(AB$3="","",IF(COUNTIFS(BD!$A$3:$A$5001,AB$3,BD!$B$3:$B$5001,$A$248,BD!$P$3:$P$5001,"&lt;&gt;")=0,"",SUMIFS(BD!$P$3:$P$5001,BD!$A$3:$A$5001,AB$3,BD!$B$3:$B$5001,$A$248)))</f>
        <v/>
      </c>
      <c r="AC262" s="232" t="str">
        <f>IF(AC$3="","",IF(COUNTIFS(BD!$A$3:$A$5001,AC$3,BD!$B$3:$B$5001,$A$248,BD!$P$3:$P$5001,"&lt;&gt;")=0,"",SUMIFS(BD!$P$3:$P$5001,BD!$A$3:$A$5001,AC$3,BD!$B$3:$B$5001,$A$248)))</f>
        <v/>
      </c>
      <c r="AD262" s="232" t="str">
        <f>IF(AD$3="","",IF(COUNTIFS(BD!$A$3:$A$5001,AD$3,BD!$B$3:$B$5001,$A$248,BD!$P$3:$P$5001,"&lt;&gt;")=0,"",SUMIFS(BD!$P$3:$P$5001,BD!$A$3:$A$5001,AD$3,BD!$B$3:$B$5001,$A$248)))</f>
        <v/>
      </c>
      <c r="AE262" s="232" t="str">
        <f>IF(AE$3="","",IF(COUNTIFS(BD!$A$3:$A$5001,AE$3,BD!$B$3:$B$5001,$A$248,BD!$P$3:$P$5001,"&lt;&gt;")=0,"",SUMIFS(BD!$P$3:$P$5001,BD!$A$3:$A$5001,AE$3,BD!$B$3:$B$5001,$A$248)))</f>
        <v/>
      </c>
      <c r="AF262" s="232" t="str">
        <f>IF(AF$3="","",IF(COUNTIFS(BD!$A$3:$A$5001,AF$3,BD!$B$3:$B$5001,$A$248,BD!$P$3:$P$5001,"&lt;&gt;")=0,"",SUMIFS(BD!$P$3:$P$5001,BD!$A$3:$A$5001,AF$3,BD!$B$3:$B$5001,$A$248)))</f>
        <v/>
      </c>
      <c r="AG262" s="232" t="str">
        <f>IF(AG$3="","",IF(COUNTIFS(BD!$A$3:$A$5001,AG$3,BD!$B$3:$B$5001,$A$248,BD!$P$3:$P$5001,"&lt;&gt;")=0,"",SUMIFS(BD!$P$3:$P$5001,BD!$A$3:$A$5001,AG$3,BD!$B$3:$B$5001,$A$248)))</f>
        <v/>
      </c>
      <c r="AH262" s="232" t="str">
        <f>IF(AH$3="","",IF(COUNTIFS(BD!$A$3:$A$5001,AH$3,BD!$B$3:$B$5001,$A$248,BD!$P$3:$P$5001,"&lt;&gt;")=0,"",SUMIFS(BD!$P$3:$P$5001,BD!$A$3:$A$5001,AH$3,BD!$B$3:$B$5001,$A$248)))</f>
        <v/>
      </c>
      <c r="AI262" s="232" t="str">
        <f>IF(AI$3="","",IF(COUNTIFS(BD!$A$3:$A$5001,AI$3,BD!$B$3:$B$5001,$A$248,BD!$P$3:$P$5001,"&lt;&gt;")=0,"",SUMIFS(BD!$P$3:$P$5001,BD!$A$3:$A$5001,AI$3,BD!$B$3:$B$5001,$A$248)))</f>
        <v/>
      </c>
      <c r="AJ262" s="233" t="str">
        <f>IF(AJ$3="","",IF(COUNTIFS(BD!$A$3:$A$5001,AJ$3,BD!$B$3:$B$5001,$A$248,BD!$P$3:$P$5001,"&lt;&gt;")=0,"",SUMIFS(BD!$P$3:$P$5001,BD!$A$3:$A$5001,AJ$3,BD!$B$3:$B$5001,$A$248)))</f>
        <v/>
      </c>
      <c r="AK262" s="234" t="str">
        <f>IF(COUNT(F262:AJ262)=0,"",SUM(F262:AJ262))</f>
        <v/>
      </c>
    </row>
    <row r="263" ht="15.75" customHeight="1" hidden="1">
      <c r="A263" s="254"/>
      <c r="B263" s="251"/>
      <c r="C263" s="228" t="inlineStr">
        <is>
          <t xml:space="preserve">Férias</t>
        </is>
      </c>
      <c r="D263" s="229" t="str">
        <f>IFERROR(1/(1/INDEX(BD!$Y$38:$AS$38,MATCH($A$248,BD!$Y$22:$AS$22,0))),"")</f>
        <v/>
      </c>
      <c r="E263" s="230"/>
      <c r="F263" s="231" t="str">
        <f>IF(F$3="","",IF(COUNTIFS(BD!$A$3:$A$5001,F$3,BD!$B$3:$B$5001,$A$248,BD!$Q$3:$Q$5001,"&lt;&gt;")=0,"",SUMIFS(BD!$Q$3:$Q$5001,BD!$A$3:$A$5001,F$3,BD!$B$3:$B$5001,$A$248)))</f>
        <v/>
      </c>
      <c r="G263" s="232" t="str">
        <f>IF(G$3="","",IF(COUNTIFS(BD!$A$3:$A$5001,G$3,BD!$B$3:$B$5001,$A$248,BD!$Q$3:$Q$5001,"&lt;&gt;")=0,"",SUMIFS(BD!$Q$3:$Q$5001,BD!$A$3:$A$5001,G$3,BD!$B$3:$B$5001,$A$248)))</f>
        <v/>
      </c>
      <c r="H263" s="232" t="str">
        <f>IF(H$3="","",IF(COUNTIFS(BD!$A$3:$A$5001,H$3,BD!$B$3:$B$5001,$A$248,BD!$Q$3:$Q$5001,"&lt;&gt;")=0,"",SUMIFS(BD!$Q$3:$Q$5001,BD!$A$3:$A$5001,H$3,BD!$B$3:$B$5001,$A$248)))</f>
        <v/>
      </c>
      <c r="I263" s="232" t="str">
        <f>IF(I$3="","",IF(COUNTIFS(BD!$A$3:$A$5001,I$3,BD!$B$3:$B$5001,$A$248,BD!$Q$3:$Q$5001,"&lt;&gt;")=0,"",SUMIFS(BD!$Q$3:$Q$5001,BD!$A$3:$A$5001,I$3,BD!$B$3:$B$5001,$A$248)))</f>
        <v/>
      </c>
      <c r="J263" s="232" t="str">
        <f>IF(J$3="","",IF(COUNTIFS(BD!$A$3:$A$5001,J$3,BD!$B$3:$B$5001,$A$248,BD!$Q$3:$Q$5001,"&lt;&gt;")=0,"",SUMIFS(BD!$Q$3:$Q$5001,BD!$A$3:$A$5001,J$3,BD!$B$3:$B$5001,$A$248)))</f>
        <v/>
      </c>
      <c r="K263" s="232" t="str">
        <f>IF(K$3="","",IF(COUNTIFS(BD!$A$3:$A$5001,K$3,BD!$B$3:$B$5001,$A$248,BD!$Q$3:$Q$5001,"&lt;&gt;")=0,"",SUMIFS(BD!$Q$3:$Q$5001,BD!$A$3:$A$5001,K$3,BD!$B$3:$B$5001,$A$248)))</f>
        <v/>
      </c>
      <c r="L263" s="232" t="str">
        <f>IF(L$3="","",IF(COUNTIFS(BD!$A$3:$A$5001,L$3,BD!$B$3:$B$5001,$A$248,BD!$Q$3:$Q$5001,"&lt;&gt;")=0,"",SUMIFS(BD!$Q$3:$Q$5001,BD!$A$3:$A$5001,L$3,BD!$B$3:$B$5001,$A$248)))</f>
        <v/>
      </c>
      <c r="M263" s="232" t="str">
        <f>IF(M$3="","",IF(COUNTIFS(BD!$A$3:$A$5001,M$3,BD!$B$3:$B$5001,$A$248,BD!$Q$3:$Q$5001,"&lt;&gt;")=0,"",SUMIFS(BD!$Q$3:$Q$5001,BD!$A$3:$A$5001,M$3,BD!$B$3:$B$5001,$A$248)))</f>
        <v/>
      </c>
      <c r="N263" s="232" t="str">
        <f>IF(N$3="","",IF(COUNTIFS(BD!$A$3:$A$5001,N$3,BD!$B$3:$B$5001,$A$248,BD!$Q$3:$Q$5001,"&lt;&gt;")=0,"",SUMIFS(BD!$Q$3:$Q$5001,BD!$A$3:$A$5001,N$3,BD!$B$3:$B$5001,$A$248)))</f>
        <v/>
      </c>
      <c r="O263" s="232" t="str">
        <f>IF(O$3="","",IF(COUNTIFS(BD!$A$3:$A$5001,O$3,BD!$B$3:$B$5001,$A$248,BD!$Q$3:$Q$5001,"&lt;&gt;")=0,"",SUMIFS(BD!$Q$3:$Q$5001,BD!$A$3:$A$5001,O$3,BD!$B$3:$B$5001,$A$248)))</f>
        <v/>
      </c>
      <c r="P263" s="232" t="str">
        <f>IF(P$3="","",IF(COUNTIFS(BD!$A$3:$A$5001,P$3,BD!$B$3:$B$5001,$A$248,BD!$Q$3:$Q$5001,"&lt;&gt;")=0,"",SUMIFS(BD!$Q$3:$Q$5001,BD!$A$3:$A$5001,P$3,BD!$B$3:$B$5001,$A$248)))</f>
        <v/>
      </c>
      <c r="Q263" s="232" t="str">
        <f>IF(Q$3="","",IF(COUNTIFS(BD!$A$3:$A$5001,Q$3,BD!$B$3:$B$5001,$A$248,BD!$Q$3:$Q$5001,"&lt;&gt;")=0,"",SUMIFS(BD!$Q$3:$Q$5001,BD!$A$3:$A$5001,Q$3,BD!$B$3:$B$5001,$A$248)))</f>
        <v/>
      </c>
      <c r="R263" s="232" t="str">
        <f>IF(R$3="","",IF(COUNTIFS(BD!$A$3:$A$5001,R$3,BD!$B$3:$B$5001,$A$248,BD!$Q$3:$Q$5001,"&lt;&gt;")=0,"",SUMIFS(BD!$Q$3:$Q$5001,BD!$A$3:$A$5001,R$3,BD!$B$3:$B$5001,$A$248)))</f>
        <v/>
      </c>
      <c r="S263" s="232" t="str">
        <f>IF(S$3="","",IF(COUNTIFS(BD!$A$3:$A$5001,S$3,BD!$B$3:$B$5001,$A$248,BD!$Q$3:$Q$5001,"&lt;&gt;")=0,"",SUMIFS(BD!$Q$3:$Q$5001,BD!$A$3:$A$5001,S$3,BD!$B$3:$B$5001,$A$248)))</f>
        <v/>
      </c>
      <c r="T263" s="232" t="str">
        <f>IF(T$3="","",IF(COUNTIFS(BD!$A$3:$A$5001,T$3,BD!$B$3:$B$5001,$A$248,BD!$Q$3:$Q$5001,"&lt;&gt;")=0,"",SUMIFS(BD!$Q$3:$Q$5001,BD!$A$3:$A$5001,T$3,BD!$B$3:$B$5001,$A$248)))</f>
        <v/>
      </c>
      <c r="U263" s="232" t="str">
        <f>IF(U$3="","",IF(COUNTIFS(BD!$A$3:$A$5001,U$3,BD!$B$3:$B$5001,$A$248,BD!$Q$3:$Q$5001,"&lt;&gt;")=0,"",SUMIFS(BD!$Q$3:$Q$5001,BD!$A$3:$A$5001,U$3,BD!$B$3:$B$5001,$A$248)))</f>
        <v/>
      </c>
      <c r="V263" s="232" t="str">
        <f>IF(V$3="","",IF(COUNTIFS(BD!$A$3:$A$5001,V$3,BD!$B$3:$B$5001,$A$248,BD!$Q$3:$Q$5001,"&lt;&gt;")=0,"",SUMIFS(BD!$Q$3:$Q$5001,BD!$A$3:$A$5001,V$3,BD!$B$3:$B$5001,$A$248)))</f>
        <v/>
      </c>
      <c r="W263" s="232" t="str">
        <f>IF(W$3="","",IF(COUNTIFS(BD!$A$3:$A$5001,W$3,BD!$B$3:$B$5001,$A$248,BD!$Q$3:$Q$5001,"&lt;&gt;")=0,"",SUMIFS(BD!$Q$3:$Q$5001,BD!$A$3:$A$5001,W$3,BD!$B$3:$B$5001,$A$248)))</f>
        <v/>
      </c>
      <c r="X263" s="232" t="str">
        <f>IF(X$3="","",IF(COUNTIFS(BD!$A$3:$A$5001,X$3,BD!$B$3:$B$5001,$A$248,BD!$Q$3:$Q$5001,"&lt;&gt;")=0,"",SUMIFS(BD!$Q$3:$Q$5001,BD!$A$3:$A$5001,X$3,BD!$B$3:$B$5001,$A$248)))</f>
        <v/>
      </c>
      <c r="Y263" s="232" t="str">
        <f>IF(Y$3="","",IF(COUNTIFS(BD!$A$3:$A$5001,Y$3,BD!$B$3:$B$5001,$A$248,BD!$Q$3:$Q$5001,"&lt;&gt;")=0,"",SUMIFS(BD!$Q$3:$Q$5001,BD!$A$3:$A$5001,Y$3,BD!$B$3:$B$5001,$A$248)))</f>
        <v/>
      </c>
      <c r="Z263" s="232" t="str">
        <f>IF(Z$3="","",IF(COUNTIFS(BD!$A$3:$A$5001,Z$3,BD!$B$3:$B$5001,$A$248,BD!$Q$3:$Q$5001,"&lt;&gt;")=0,"",SUMIFS(BD!$Q$3:$Q$5001,BD!$A$3:$A$5001,Z$3,BD!$B$3:$B$5001,$A$248)))</f>
        <v/>
      </c>
      <c r="AA263" s="232" t="str">
        <f>IF(AA$3="","",IF(COUNTIFS(BD!$A$3:$A$5001,AA$3,BD!$B$3:$B$5001,$A$248,BD!$Q$3:$Q$5001,"&lt;&gt;")=0,"",SUMIFS(BD!$Q$3:$Q$5001,BD!$A$3:$A$5001,AA$3,BD!$B$3:$B$5001,$A$248)))</f>
        <v/>
      </c>
      <c r="AB263" s="232" t="str">
        <f>IF(AB$3="","",IF(COUNTIFS(BD!$A$3:$A$5001,AB$3,BD!$B$3:$B$5001,$A$248,BD!$Q$3:$Q$5001,"&lt;&gt;")=0,"",SUMIFS(BD!$Q$3:$Q$5001,BD!$A$3:$A$5001,AB$3,BD!$B$3:$B$5001,$A$248)))</f>
        <v/>
      </c>
      <c r="AC263" s="232" t="str">
        <f>IF(AC$3="","",IF(COUNTIFS(BD!$A$3:$A$5001,AC$3,BD!$B$3:$B$5001,$A$248,BD!$Q$3:$Q$5001,"&lt;&gt;")=0,"",SUMIFS(BD!$Q$3:$Q$5001,BD!$A$3:$A$5001,AC$3,BD!$B$3:$B$5001,$A$248)))</f>
        <v/>
      </c>
      <c r="AD263" s="232" t="str">
        <f>IF(AD$3="","",IF(COUNTIFS(BD!$A$3:$A$5001,AD$3,BD!$B$3:$B$5001,$A$248,BD!$Q$3:$Q$5001,"&lt;&gt;")=0,"",SUMIFS(BD!$Q$3:$Q$5001,BD!$A$3:$A$5001,AD$3,BD!$B$3:$B$5001,$A$248)))</f>
        <v/>
      </c>
      <c r="AE263" s="232" t="str">
        <f>IF(AE$3="","",IF(COUNTIFS(BD!$A$3:$A$5001,AE$3,BD!$B$3:$B$5001,$A$248,BD!$Q$3:$Q$5001,"&lt;&gt;")=0,"",SUMIFS(BD!$Q$3:$Q$5001,BD!$A$3:$A$5001,AE$3,BD!$B$3:$B$5001,$A$248)))</f>
        <v/>
      </c>
      <c r="AF263" s="232" t="str">
        <f>IF(AF$3="","",IF(COUNTIFS(BD!$A$3:$A$5001,AF$3,BD!$B$3:$B$5001,$A$248,BD!$Q$3:$Q$5001,"&lt;&gt;")=0,"",SUMIFS(BD!$Q$3:$Q$5001,BD!$A$3:$A$5001,AF$3,BD!$B$3:$B$5001,$A$248)))</f>
        <v/>
      </c>
      <c r="AG263" s="232" t="str">
        <f>IF(AG$3="","",IF(COUNTIFS(BD!$A$3:$A$5001,AG$3,BD!$B$3:$B$5001,$A$248,BD!$Q$3:$Q$5001,"&lt;&gt;")=0,"",SUMIFS(BD!$Q$3:$Q$5001,BD!$A$3:$A$5001,AG$3,BD!$B$3:$B$5001,$A$248)))</f>
        <v/>
      </c>
      <c r="AH263" s="232" t="str">
        <f>IF(AH$3="","",IF(COUNTIFS(BD!$A$3:$A$5001,AH$3,BD!$B$3:$B$5001,$A$248,BD!$Q$3:$Q$5001,"&lt;&gt;")=0,"",SUMIFS(BD!$Q$3:$Q$5001,BD!$A$3:$A$5001,AH$3,BD!$B$3:$B$5001,$A$248)))</f>
        <v/>
      </c>
      <c r="AI263" s="232" t="str">
        <f>IF(AI$3="","",IF(COUNTIFS(BD!$A$3:$A$5001,AI$3,BD!$B$3:$B$5001,$A$248,BD!$Q$3:$Q$5001,"&lt;&gt;")=0,"",SUMIFS(BD!$Q$3:$Q$5001,BD!$A$3:$A$5001,AI$3,BD!$B$3:$B$5001,$A$248)))</f>
        <v/>
      </c>
      <c r="AJ263" s="233" t="str">
        <f>IF(AJ$3="","",IF(COUNTIFS(BD!$A$3:$A$5001,AJ$3,BD!$B$3:$B$5001,$A$248,BD!$Q$3:$Q$5001,"&lt;&gt;")=0,"",SUMIFS(BD!$Q$3:$Q$5001,BD!$A$3:$A$5001,AJ$3,BD!$B$3:$B$5001,$A$248)))</f>
        <v/>
      </c>
      <c r="AK263" s="234" t="str">
        <f>IF(COUNT(F263:AJ263)=0,"",SUM(F263:AJ263))</f>
        <v/>
      </c>
    </row>
    <row r="264" ht="15.75" customHeight="1" hidden="1">
      <c r="A264" s="254"/>
      <c r="B264" s="251"/>
      <c r="C264" s="228" t="inlineStr">
        <is>
          <t xml:space="preserve">Desligamento</t>
        </is>
      </c>
      <c r="D264" s="229" t="str">
        <f>IFERROR(1/(1/INDEX(BD!$Y$39:$AS$39,MATCH($A$248,BD!$Y$22:$AS$22,0))),"")</f>
        <v/>
      </c>
      <c r="E264" s="230"/>
      <c r="F264" s="231" t="str">
        <f>IF(F$3="","",IF(COUNTIFS(BD!$A$3:$A$5001,F$3,BD!$B$3:$B$5001,$A$248,BD!$R$3:$R$5001,"&lt;&gt;")=0,"",SUMIFS(BD!$R$3:$R$5001,BD!$A$3:$A$5001,F$3,BD!$B$3:$B$5001,$A$248)))</f>
        <v/>
      </c>
      <c r="G264" s="232" t="str">
        <f>IF(G$3="","",IF(COUNTIFS(BD!$A$3:$A$5001,G$3,BD!$B$3:$B$5001,$A$248,BD!$R$3:$R$5001,"&lt;&gt;")=0,"",SUMIFS(BD!$R$3:$R$5001,BD!$A$3:$A$5001,G$3,BD!$B$3:$B$5001,$A$248)))</f>
        <v/>
      </c>
      <c r="H264" s="232" t="str">
        <f>IF(H$3="","",IF(COUNTIFS(BD!$A$3:$A$5001,H$3,BD!$B$3:$B$5001,$A$248,BD!$R$3:$R$5001,"&lt;&gt;")=0,"",SUMIFS(BD!$R$3:$R$5001,BD!$A$3:$A$5001,H$3,BD!$B$3:$B$5001,$A$248)))</f>
        <v/>
      </c>
      <c r="I264" s="232" t="str">
        <f>IF(I$3="","",IF(COUNTIFS(BD!$A$3:$A$5001,I$3,BD!$B$3:$B$5001,$A$248,BD!$R$3:$R$5001,"&lt;&gt;")=0,"",SUMIFS(BD!$R$3:$R$5001,BD!$A$3:$A$5001,I$3,BD!$B$3:$B$5001,$A$248)))</f>
        <v/>
      </c>
      <c r="J264" s="232" t="str">
        <f>IF(J$3="","",IF(COUNTIFS(BD!$A$3:$A$5001,J$3,BD!$B$3:$B$5001,$A$248,BD!$R$3:$R$5001,"&lt;&gt;")=0,"",SUMIFS(BD!$R$3:$R$5001,BD!$A$3:$A$5001,J$3,BD!$B$3:$B$5001,$A$248)))</f>
        <v/>
      </c>
      <c r="K264" s="232" t="str">
        <f>IF(K$3="","",IF(COUNTIFS(BD!$A$3:$A$5001,K$3,BD!$B$3:$B$5001,$A$248,BD!$R$3:$R$5001,"&lt;&gt;")=0,"",SUMIFS(BD!$R$3:$R$5001,BD!$A$3:$A$5001,K$3,BD!$B$3:$B$5001,$A$248)))</f>
        <v/>
      </c>
      <c r="L264" s="232" t="str">
        <f>IF(L$3="","",IF(COUNTIFS(BD!$A$3:$A$5001,L$3,BD!$B$3:$B$5001,$A$248,BD!$R$3:$R$5001,"&lt;&gt;")=0,"",SUMIFS(BD!$R$3:$R$5001,BD!$A$3:$A$5001,L$3,BD!$B$3:$B$5001,$A$248)))</f>
        <v/>
      </c>
      <c r="M264" s="232" t="str">
        <f>IF(M$3="","",IF(COUNTIFS(BD!$A$3:$A$5001,M$3,BD!$B$3:$B$5001,$A$248,BD!$R$3:$R$5001,"&lt;&gt;")=0,"",SUMIFS(BD!$R$3:$R$5001,BD!$A$3:$A$5001,M$3,BD!$B$3:$B$5001,$A$248)))</f>
        <v/>
      </c>
      <c r="N264" s="232" t="str">
        <f>IF(N$3="","",IF(COUNTIFS(BD!$A$3:$A$5001,N$3,BD!$B$3:$B$5001,$A$248,BD!$R$3:$R$5001,"&lt;&gt;")=0,"",SUMIFS(BD!$R$3:$R$5001,BD!$A$3:$A$5001,N$3,BD!$B$3:$B$5001,$A$248)))</f>
        <v/>
      </c>
      <c r="O264" s="232" t="str">
        <f>IF(O$3="","",IF(COUNTIFS(BD!$A$3:$A$5001,O$3,BD!$B$3:$B$5001,$A$248,BD!$R$3:$R$5001,"&lt;&gt;")=0,"",SUMIFS(BD!$R$3:$R$5001,BD!$A$3:$A$5001,O$3,BD!$B$3:$B$5001,$A$248)))</f>
        <v/>
      </c>
      <c r="P264" s="232" t="str">
        <f>IF(P$3="","",IF(COUNTIFS(BD!$A$3:$A$5001,P$3,BD!$B$3:$B$5001,$A$248,BD!$R$3:$R$5001,"&lt;&gt;")=0,"",SUMIFS(BD!$R$3:$R$5001,BD!$A$3:$A$5001,P$3,BD!$B$3:$B$5001,$A$248)))</f>
        <v/>
      </c>
      <c r="Q264" s="232" t="str">
        <f>IF(Q$3="","",IF(COUNTIFS(BD!$A$3:$A$5001,Q$3,BD!$B$3:$B$5001,$A$248,BD!$R$3:$R$5001,"&lt;&gt;")=0,"",SUMIFS(BD!$R$3:$R$5001,BD!$A$3:$A$5001,Q$3,BD!$B$3:$B$5001,$A$248)))</f>
        <v/>
      </c>
      <c r="R264" s="232" t="str">
        <f>IF(R$3="","",IF(COUNTIFS(BD!$A$3:$A$5001,R$3,BD!$B$3:$B$5001,$A$248,BD!$R$3:$R$5001,"&lt;&gt;")=0,"",SUMIFS(BD!$R$3:$R$5001,BD!$A$3:$A$5001,R$3,BD!$B$3:$B$5001,$A$248)))</f>
        <v/>
      </c>
      <c r="S264" s="232" t="str">
        <f>IF(S$3="","",IF(COUNTIFS(BD!$A$3:$A$5001,S$3,BD!$B$3:$B$5001,$A$248,BD!$R$3:$R$5001,"&lt;&gt;")=0,"",SUMIFS(BD!$R$3:$R$5001,BD!$A$3:$A$5001,S$3,BD!$B$3:$B$5001,$A$248)))</f>
        <v/>
      </c>
      <c r="T264" s="232" t="str">
        <f>IF(T$3="","",IF(COUNTIFS(BD!$A$3:$A$5001,T$3,BD!$B$3:$B$5001,$A$248,BD!$R$3:$R$5001,"&lt;&gt;")=0,"",SUMIFS(BD!$R$3:$R$5001,BD!$A$3:$A$5001,T$3,BD!$B$3:$B$5001,$A$248)))</f>
        <v/>
      </c>
      <c r="U264" s="232" t="str">
        <f>IF(U$3="","",IF(COUNTIFS(BD!$A$3:$A$5001,U$3,BD!$B$3:$B$5001,$A$248,BD!$R$3:$R$5001,"&lt;&gt;")=0,"",SUMIFS(BD!$R$3:$R$5001,BD!$A$3:$A$5001,U$3,BD!$B$3:$B$5001,$A$248)))</f>
        <v/>
      </c>
      <c r="V264" s="232" t="str">
        <f>IF(V$3="","",IF(COUNTIFS(BD!$A$3:$A$5001,V$3,BD!$B$3:$B$5001,$A$248,BD!$R$3:$R$5001,"&lt;&gt;")=0,"",SUMIFS(BD!$R$3:$R$5001,BD!$A$3:$A$5001,V$3,BD!$B$3:$B$5001,$A$248)))</f>
        <v/>
      </c>
      <c r="W264" s="232" t="str">
        <f>IF(W$3="","",IF(COUNTIFS(BD!$A$3:$A$5001,W$3,BD!$B$3:$B$5001,$A$248,BD!$R$3:$R$5001,"&lt;&gt;")=0,"",SUMIFS(BD!$R$3:$R$5001,BD!$A$3:$A$5001,W$3,BD!$B$3:$B$5001,$A$248)))</f>
        <v/>
      </c>
      <c r="X264" s="232" t="str">
        <f>IF(X$3="","",IF(COUNTIFS(BD!$A$3:$A$5001,X$3,BD!$B$3:$B$5001,$A$248,BD!$R$3:$R$5001,"&lt;&gt;")=0,"",SUMIFS(BD!$R$3:$R$5001,BD!$A$3:$A$5001,X$3,BD!$B$3:$B$5001,$A$248)))</f>
        <v/>
      </c>
      <c r="Y264" s="232" t="str">
        <f>IF(Y$3="","",IF(COUNTIFS(BD!$A$3:$A$5001,Y$3,BD!$B$3:$B$5001,$A$248,BD!$R$3:$R$5001,"&lt;&gt;")=0,"",SUMIFS(BD!$R$3:$R$5001,BD!$A$3:$A$5001,Y$3,BD!$B$3:$B$5001,$A$248)))</f>
        <v/>
      </c>
      <c r="Z264" s="232" t="str">
        <f>IF(Z$3="","",IF(COUNTIFS(BD!$A$3:$A$5001,Z$3,BD!$B$3:$B$5001,$A$248,BD!$R$3:$R$5001,"&lt;&gt;")=0,"",SUMIFS(BD!$R$3:$R$5001,BD!$A$3:$A$5001,Z$3,BD!$B$3:$B$5001,$A$248)))</f>
        <v/>
      </c>
      <c r="AA264" s="232" t="str">
        <f>IF(AA$3="","",IF(COUNTIFS(BD!$A$3:$A$5001,AA$3,BD!$B$3:$B$5001,$A$248,BD!$R$3:$R$5001,"&lt;&gt;")=0,"",SUMIFS(BD!$R$3:$R$5001,BD!$A$3:$A$5001,AA$3,BD!$B$3:$B$5001,$A$248)))</f>
        <v/>
      </c>
      <c r="AB264" s="232" t="str">
        <f>IF(AB$3="","",IF(COUNTIFS(BD!$A$3:$A$5001,AB$3,BD!$B$3:$B$5001,$A$248,BD!$R$3:$R$5001,"&lt;&gt;")=0,"",SUMIFS(BD!$R$3:$R$5001,BD!$A$3:$A$5001,AB$3,BD!$B$3:$B$5001,$A$248)))</f>
        <v/>
      </c>
      <c r="AC264" s="232" t="str">
        <f>IF(AC$3="","",IF(COUNTIFS(BD!$A$3:$A$5001,AC$3,BD!$B$3:$B$5001,$A$248,BD!$R$3:$R$5001,"&lt;&gt;")=0,"",SUMIFS(BD!$R$3:$R$5001,BD!$A$3:$A$5001,AC$3,BD!$B$3:$B$5001,$A$248)))</f>
        <v/>
      </c>
      <c r="AD264" s="232" t="str">
        <f>IF(AD$3="","",IF(COUNTIFS(BD!$A$3:$A$5001,AD$3,BD!$B$3:$B$5001,$A$248,BD!$R$3:$R$5001,"&lt;&gt;")=0,"",SUMIFS(BD!$R$3:$R$5001,BD!$A$3:$A$5001,AD$3,BD!$B$3:$B$5001,$A$248)))</f>
        <v/>
      </c>
      <c r="AE264" s="232" t="str">
        <f>IF(AE$3="","",IF(COUNTIFS(BD!$A$3:$A$5001,AE$3,BD!$B$3:$B$5001,$A$248,BD!$R$3:$R$5001,"&lt;&gt;")=0,"",SUMIFS(BD!$R$3:$R$5001,BD!$A$3:$A$5001,AE$3,BD!$B$3:$B$5001,$A$248)))</f>
        <v/>
      </c>
      <c r="AF264" s="232" t="str">
        <f>IF(AF$3="","",IF(COUNTIFS(BD!$A$3:$A$5001,AF$3,BD!$B$3:$B$5001,$A$248,BD!$R$3:$R$5001,"&lt;&gt;")=0,"",SUMIFS(BD!$R$3:$R$5001,BD!$A$3:$A$5001,AF$3,BD!$B$3:$B$5001,$A$248)))</f>
        <v/>
      </c>
      <c r="AG264" s="232" t="str">
        <f>IF(AG$3="","",IF(COUNTIFS(BD!$A$3:$A$5001,AG$3,BD!$B$3:$B$5001,$A$248,BD!$R$3:$R$5001,"&lt;&gt;")=0,"",SUMIFS(BD!$R$3:$R$5001,BD!$A$3:$A$5001,AG$3,BD!$B$3:$B$5001,$A$248)))</f>
        <v/>
      </c>
      <c r="AH264" s="232" t="str">
        <f>IF(AH$3="","",IF(COUNTIFS(BD!$A$3:$A$5001,AH$3,BD!$B$3:$B$5001,$A$248,BD!$R$3:$R$5001,"&lt;&gt;")=0,"",SUMIFS(BD!$R$3:$R$5001,BD!$A$3:$A$5001,AH$3,BD!$B$3:$B$5001,$A$248)))</f>
        <v/>
      </c>
      <c r="AI264" s="232" t="str">
        <f>IF(AI$3="","",IF(COUNTIFS(BD!$A$3:$A$5001,AI$3,BD!$B$3:$B$5001,$A$248,BD!$R$3:$R$5001,"&lt;&gt;")=0,"",SUMIFS(BD!$R$3:$R$5001,BD!$A$3:$A$5001,AI$3,BD!$B$3:$B$5001,$A$248)))</f>
        <v/>
      </c>
      <c r="AJ264" s="233" t="str">
        <f>IF(AJ$3="","",IF(COUNTIFS(BD!$A$3:$A$5001,AJ$3,BD!$B$3:$B$5001,$A$248,BD!$R$3:$R$5001,"&lt;&gt;")=0,"",SUMIFS(BD!$R$3:$R$5001,BD!$A$3:$A$5001,AJ$3,BD!$B$3:$B$5001,$A$248)))</f>
        <v/>
      </c>
      <c r="AK264" s="234" t="str">
        <f>IF(COUNT(F264:AJ264)=0,"",SUM(F264:AJ264))</f>
        <v/>
      </c>
    </row>
    <row r="265" ht="15.75" customHeight="1" hidden="1">
      <c r="A265" s="254"/>
      <c r="B265" s="251"/>
      <c r="C265" s="228" t="inlineStr">
        <is>
          <t xml:space="preserve">Desvios Comportamentais</t>
        </is>
      </c>
      <c r="D265" s="229" t="str">
        <f>IFERROR(1/(1/INDEX(BD!$Y$40:$AS$40,MATCH($A$248,BD!$Y$22:$AS$22,0))),"")</f>
        <v/>
      </c>
      <c r="E265" s="230"/>
      <c r="F265" s="231" t="str">
        <f>IF(F$3="","",IF(COUNTIFS(BD!$A$3:$A$5001,F$3,BD!$B$3:$B$5001,$A$248,BD!$S$3:$S$5001,"&lt;&gt;")=0,"",SUMIFS(BD!$S$3:$S$5001,BD!$A$3:$A$5001,F$3,BD!$B$3:$B$5001,$A$248)))</f>
        <v/>
      </c>
      <c r="G265" s="232" t="str">
        <f>IF(G$3="","",IF(COUNTIFS(BD!$A$3:$A$5001,G$3,BD!$B$3:$B$5001,$A$248,BD!$S$3:$S$5001,"&lt;&gt;")=0,"",SUMIFS(BD!$S$3:$S$5001,BD!$A$3:$A$5001,G$3,BD!$B$3:$B$5001,$A$248)))</f>
        <v/>
      </c>
      <c r="H265" s="232" t="str">
        <f>IF(H$3="","",IF(COUNTIFS(BD!$A$3:$A$5001,H$3,BD!$B$3:$B$5001,$A$248,BD!$S$3:$S$5001,"&lt;&gt;")=0,"",SUMIFS(BD!$S$3:$S$5001,BD!$A$3:$A$5001,H$3,BD!$B$3:$B$5001,$A$248)))</f>
        <v/>
      </c>
      <c r="I265" s="232" t="str">
        <f>IF(I$3="","",IF(COUNTIFS(BD!$A$3:$A$5001,I$3,BD!$B$3:$B$5001,$A$248,BD!$S$3:$S$5001,"&lt;&gt;")=0,"",SUMIFS(BD!$S$3:$S$5001,BD!$A$3:$A$5001,I$3,BD!$B$3:$B$5001,$A$248)))</f>
        <v/>
      </c>
      <c r="J265" s="232" t="str">
        <f>IF(J$3="","",IF(COUNTIFS(BD!$A$3:$A$5001,J$3,BD!$B$3:$B$5001,$A$248,BD!$S$3:$S$5001,"&lt;&gt;")=0,"",SUMIFS(BD!$S$3:$S$5001,BD!$A$3:$A$5001,J$3,BD!$B$3:$B$5001,$A$248)))</f>
        <v/>
      </c>
      <c r="K265" s="232" t="str">
        <f>IF(K$3="","",IF(COUNTIFS(BD!$A$3:$A$5001,K$3,BD!$B$3:$B$5001,$A$248,BD!$S$3:$S$5001,"&lt;&gt;")=0,"",SUMIFS(BD!$S$3:$S$5001,BD!$A$3:$A$5001,K$3,BD!$B$3:$B$5001,$A$248)))</f>
        <v/>
      </c>
      <c r="L265" s="232" t="str">
        <f>IF(L$3="","",IF(COUNTIFS(BD!$A$3:$A$5001,L$3,BD!$B$3:$B$5001,$A$248,BD!$S$3:$S$5001,"&lt;&gt;")=0,"",SUMIFS(BD!$S$3:$S$5001,BD!$A$3:$A$5001,L$3,BD!$B$3:$B$5001,$A$248)))</f>
        <v/>
      </c>
      <c r="M265" s="232" t="str">
        <f>IF(M$3="","",IF(COUNTIFS(BD!$A$3:$A$5001,M$3,BD!$B$3:$B$5001,$A$248,BD!$S$3:$S$5001,"&lt;&gt;")=0,"",SUMIFS(BD!$S$3:$S$5001,BD!$A$3:$A$5001,M$3,BD!$B$3:$B$5001,$A$248)))</f>
        <v/>
      </c>
      <c r="N265" s="232" t="str">
        <f>IF(N$3="","",IF(COUNTIFS(BD!$A$3:$A$5001,N$3,BD!$B$3:$B$5001,$A$248,BD!$S$3:$S$5001,"&lt;&gt;")=0,"",SUMIFS(BD!$S$3:$S$5001,BD!$A$3:$A$5001,N$3,BD!$B$3:$B$5001,$A$248)))</f>
        <v/>
      </c>
      <c r="O265" s="232" t="str">
        <f>IF(O$3="","",IF(COUNTIFS(BD!$A$3:$A$5001,O$3,BD!$B$3:$B$5001,$A$248,BD!$S$3:$S$5001,"&lt;&gt;")=0,"",SUMIFS(BD!$S$3:$S$5001,BD!$A$3:$A$5001,O$3,BD!$B$3:$B$5001,$A$248)))</f>
        <v/>
      </c>
      <c r="P265" s="232" t="str">
        <f>IF(P$3="","",IF(COUNTIFS(BD!$A$3:$A$5001,P$3,BD!$B$3:$B$5001,$A$248,BD!$S$3:$S$5001,"&lt;&gt;")=0,"",SUMIFS(BD!$S$3:$S$5001,BD!$A$3:$A$5001,P$3,BD!$B$3:$B$5001,$A$248)))</f>
        <v/>
      </c>
      <c r="Q265" s="232" t="str">
        <f>IF(Q$3="","",IF(COUNTIFS(BD!$A$3:$A$5001,Q$3,BD!$B$3:$B$5001,$A$248,BD!$S$3:$S$5001,"&lt;&gt;")=0,"",SUMIFS(BD!$S$3:$S$5001,BD!$A$3:$A$5001,Q$3,BD!$B$3:$B$5001,$A$248)))</f>
        <v/>
      </c>
      <c r="R265" s="232" t="str">
        <f>IF(R$3="","",IF(COUNTIFS(BD!$A$3:$A$5001,R$3,BD!$B$3:$B$5001,$A$248,BD!$S$3:$S$5001,"&lt;&gt;")=0,"",SUMIFS(BD!$S$3:$S$5001,BD!$A$3:$A$5001,R$3,BD!$B$3:$B$5001,$A$248)))</f>
        <v/>
      </c>
      <c r="S265" s="232" t="str">
        <f>IF(S$3="","",IF(COUNTIFS(BD!$A$3:$A$5001,S$3,BD!$B$3:$B$5001,$A$248,BD!$S$3:$S$5001,"&lt;&gt;")=0,"",SUMIFS(BD!$S$3:$S$5001,BD!$A$3:$A$5001,S$3,BD!$B$3:$B$5001,$A$248)))</f>
        <v/>
      </c>
      <c r="T265" s="232" t="str">
        <f>IF(T$3="","",IF(COUNTIFS(BD!$A$3:$A$5001,T$3,BD!$B$3:$B$5001,$A$248,BD!$S$3:$S$5001,"&lt;&gt;")=0,"",SUMIFS(BD!$S$3:$S$5001,BD!$A$3:$A$5001,T$3,BD!$B$3:$B$5001,$A$248)))</f>
        <v/>
      </c>
      <c r="U265" s="232" t="str">
        <f>IF(U$3="","",IF(COUNTIFS(BD!$A$3:$A$5001,U$3,BD!$B$3:$B$5001,$A$248,BD!$S$3:$S$5001,"&lt;&gt;")=0,"",SUMIFS(BD!$S$3:$S$5001,BD!$A$3:$A$5001,U$3,BD!$B$3:$B$5001,$A$248)))</f>
        <v/>
      </c>
      <c r="V265" s="232" t="str">
        <f>IF(V$3="","",IF(COUNTIFS(BD!$A$3:$A$5001,V$3,BD!$B$3:$B$5001,$A$248,BD!$S$3:$S$5001,"&lt;&gt;")=0,"",SUMIFS(BD!$S$3:$S$5001,BD!$A$3:$A$5001,V$3,BD!$B$3:$B$5001,$A$248)))</f>
        <v/>
      </c>
      <c r="W265" s="232" t="str">
        <f>IF(W$3="","",IF(COUNTIFS(BD!$A$3:$A$5001,W$3,BD!$B$3:$B$5001,$A$248,BD!$S$3:$S$5001,"&lt;&gt;")=0,"",SUMIFS(BD!$S$3:$S$5001,BD!$A$3:$A$5001,W$3,BD!$B$3:$B$5001,$A$248)))</f>
        <v/>
      </c>
      <c r="X265" s="232" t="str">
        <f>IF(X$3="","",IF(COUNTIFS(BD!$A$3:$A$5001,X$3,BD!$B$3:$B$5001,$A$248,BD!$S$3:$S$5001,"&lt;&gt;")=0,"",SUMIFS(BD!$S$3:$S$5001,BD!$A$3:$A$5001,X$3,BD!$B$3:$B$5001,$A$248)))</f>
        <v/>
      </c>
      <c r="Y265" s="232" t="str">
        <f>IF(Y$3="","",IF(COUNTIFS(BD!$A$3:$A$5001,Y$3,BD!$B$3:$B$5001,$A$248,BD!$S$3:$S$5001,"&lt;&gt;")=0,"",SUMIFS(BD!$S$3:$S$5001,BD!$A$3:$A$5001,Y$3,BD!$B$3:$B$5001,$A$248)))</f>
        <v/>
      </c>
      <c r="Z265" s="232" t="str">
        <f>IF(Z$3="","",IF(COUNTIFS(BD!$A$3:$A$5001,Z$3,BD!$B$3:$B$5001,$A$248,BD!$S$3:$S$5001,"&lt;&gt;")=0,"",SUMIFS(BD!$S$3:$S$5001,BD!$A$3:$A$5001,Z$3,BD!$B$3:$B$5001,$A$248)))</f>
        <v/>
      </c>
      <c r="AA265" s="232" t="str">
        <f>IF(AA$3="","",IF(COUNTIFS(BD!$A$3:$A$5001,AA$3,BD!$B$3:$B$5001,$A$248,BD!$S$3:$S$5001,"&lt;&gt;")=0,"",SUMIFS(BD!$S$3:$S$5001,BD!$A$3:$A$5001,AA$3,BD!$B$3:$B$5001,$A$248)))</f>
        <v/>
      </c>
      <c r="AB265" s="232" t="str">
        <f>IF(AB$3="","",IF(COUNTIFS(BD!$A$3:$A$5001,AB$3,BD!$B$3:$B$5001,$A$248,BD!$S$3:$S$5001,"&lt;&gt;")=0,"",SUMIFS(BD!$S$3:$S$5001,BD!$A$3:$A$5001,AB$3,BD!$B$3:$B$5001,$A$248)))</f>
        <v/>
      </c>
      <c r="AC265" s="232" t="str">
        <f>IF(AC$3="","",IF(COUNTIFS(BD!$A$3:$A$5001,AC$3,BD!$B$3:$B$5001,$A$248,BD!$S$3:$S$5001,"&lt;&gt;")=0,"",SUMIFS(BD!$S$3:$S$5001,BD!$A$3:$A$5001,AC$3,BD!$B$3:$B$5001,$A$248)))</f>
        <v/>
      </c>
      <c r="AD265" s="232" t="str">
        <f>IF(AD$3="","",IF(COUNTIFS(BD!$A$3:$A$5001,AD$3,BD!$B$3:$B$5001,$A$248,BD!$S$3:$S$5001,"&lt;&gt;")=0,"",SUMIFS(BD!$S$3:$S$5001,BD!$A$3:$A$5001,AD$3,BD!$B$3:$B$5001,$A$248)))</f>
        <v/>
      </c>
      <c r="AE265" s="232" t="str">
        <f>IF(AE$3="","",IF(COUNTIFS(BD!$A$3:$A$5001,AE$3,BD!$B$3:$B$5001,$A$248,BD!$S$3:$S$5001,"&lt;&gt;")=0,"",SUMIFS(BD!$S$3:$S$5001,BD!$A$3:$A$5001,AE$3,BD!$B$3:$B$5001,$A$248)))</f>
        <v/>
      </c>
      <c r="AF265" s="232" t="str">
        <f>IF(AF$3="","",IF(COUNTIFS(BD!$A$3:$A$5001,AF$3,BD!$B$3:$B$5001,$A$248,BD!$S$3:$S$5001,"&lt;&gt;")=0,"",SUMIFS(BD!$S$3:$S$5001,BD!$A$3:$A$5001,AF$3,BD!$B$3:$B$5001,$A$248)))</f>
        <v/>
      </c>
      <c r="AG265" s="232" t="str">
        <f>IF(AG$3="","",IF(COUNTIFS(BD!$A$3:$A$5001,AG$3,BD!$B$3:$B$5001,$A$248,BD!$S$3:$S$5001,"&lt;&gt;")=0,"",SUMIFS(BD!$S$3:$S$5001,BD!$A$3:$A$5001,AG$3,BD!$B$3:$B$5001,$A$248)))</f>
        <v/>
      </c>
      <c r="AH265" s="232" t="str">
        <f>IF(AH$3="","",IF(COUNTIFS(BD!$A$3:$A$5001,AH$3,BD!$B$3:$B$5001,$A$248,BD!$S$3:$S$5001,"&lt;&gt;")=0,"",SUMIFS(BD!$S$3:$S$5001,BD!$A$3:$A$5001,AH$3,BD!$B$3:$B$5001,$A$248)))</f>
        <v/>
      </c>
      <c r="AI265" s="232" t="str">
        <f>IF(AI$3="","",IF(COUNTIFS(BD!$A$3:$A$5001,AI$3,BD!$B$3:$B$5001,$A$248,BD!$S$3:$S$5001,"&lt;&gt;")=0,"",SUMIFS(BD!$S$3:$S$5001,BD!$A$3:$A$5001,AI$3,BD!$B$3:$B$5001,$A$248)))</f>
        <v/>
      </c>
      <c r="AJ265" s="233" t="str">
        <f>IF(AJ$3="","",IF(COUNTIFS(BD!$A$3:$A$5001,AJ$3,BD!$B$3:$B$5001,$A$248,BD!$S$3:$S$5001,"&lt;&gt;")=0,"",SUMIFS(BD!$S$3:$S$5001,BD!$A$3:$A$5001,AJ$3,BD!$B$3:$B$5001,$A$248)))</f>
        <v/>
      </c>
      <c r="AK265" s="234" t="str">
        <f>IF(COUNT(F265:AJ265)=0,"",SUM(F265:AJ265))</f>
        <v/>
      </c>
    </row>
    <row r="266" ht="15.75" customHeight="1" hidden="1">
      <c r="A266" s="254"/>
      <c r="B266" s="251"/>
      <c r="C266" s="228" t="inlineStr">
        <is>
          <t xml:space="preserve">Acidentes CAF</t>
        </is>
      </c>
      <c r="D266" s="229" t="str">
        <f>IFERROR(1/(1/INDEX(BD!$Y$41:$AS$41,MATCH($A$248,BD!$Y$22:$AS$22,0))),"")</f>
        <v/>
      </c>
      <c r="E266" s="230"/>
      <c r="F266" s="231" t="str">
        <f>IF(F$3="","",IF(COUNTIFS(BD!$A$3:$A$5001,F$3,BD!$B$3:$B$5001,$A$248,BD!$T$3:$T$5001,"&lt;&gt;")=0,"",SUMIFS(BD!$T$3:$T$5001,BD!$A$3:$A$5001,F$3,BD!$B$3:$B$5001,$A$248)))</f>
        <v/>
      </c>
      <c r="G266" s="232" t="str">
        <f>IF(G$3="","",IF(COUNTIFS(BD!$A$3:$A$5001,G$3,BD!$B$3:$B$5001,$A$248,BD!$T$3:$T$5001,"&lt;&gt;")=0,"",SUMIFS(BD!$T$3:$T$5001,BD!$A$3:$A$5001,G$3,BD!$B$3:$B$5001,$A$248)))</f>
        <v/>
      </c>
      <c r="H266" s="232" t="str">
        <f>IF(H$3="","",IF(COUNTIFS(BD!$A$3:$A$5001,H$3,BD!$B$3:$B$5001,$A$248,BD!$T$3:$T$5001,"&lt;&gt;")=0,"",SUMIFS(BD!$T$3:$T$5001,BD!$A$3:$A$5001,H$3,BD!$B$3:$B$5001,$A$248)))</f>
        <v/>
      </c>
      <c r="I266" s="232" t="str">
        <f>IF(I$3="","",IF(COUNTIFS(BD!$A$3:$A$5001,I$3,BD!$B$3:$B$5001,$A$248,BD!$T$3:$T$5001,"&lt;&gt;")=0,"",SUMIFS(BD!$T$3:$T$5001,BD!$A$3:$A$5001,I$3,BD!$B$3:$B$5001,$A$248)))</f>
        <v/>
      </c>
      <c r="J266" s="232" t="str">
        <f>IF(J$3="","",IF(COUNTIFS(BD!$A$3:$A$5001,J$3,BD!$B$3:$B$5001,$A$248,BD!$T$3:$T$5001,"&lt;&gt;")=0,"",SUMIFS(BD!$T$3:$T$5001,BD!$A$3:$A$5001,J$3,BD!$B$3:$B$5001,$A$248)))</f>
        <v/>
      </c>
      <c r="K266" s="232" t="str">
        <f>IF(K$3="","",IF(COUNTIFS(BD!$A$3:$A$5001,K$3,BD!$B$3:$B$5001,$A$248,BD!$T$3:$T$5001,"&lt;&gt;")=0,"",SUMIFS(BD!$T$3:$T$5001,BD!$A$3:$A$5001,K$3,BD!$B$3:$B$5001,$A$248)))</f>
        <v/>
      </c>
      <c r="L266" s="232" t="str">
        <f>IF(L$3="","",IF(COUNTIFS(BD!$A$3:$A$5001,L$3,BD!$B$3:$B$5001,$A$248,BD!$T$3:$T$5001,"&lt;&gt;")=0,"",SUMIFS(BD!$T$3:$T$5001,BD!$A$3:$A$5001,L$3,BD!$B$3:$B$5001,$A$248)))</f>
        <v/>
      </c>
      <c r="M266" s="232" t="str">
        <f>IF(M$3="","",IF(COUNTIFS(BD!$A$3:$A$5001,M$3,BD!$B$3:$B$5001,$A$248,BD!$T$3:$T$5001,"&lt;&gt;")=0,"",SUMIFS(BD!$T$3:$T$5001,BD!$A$3:$A$5001,M$3,BD!$B$3:$B$5001,$A$248)))</f>
        <v/>
      </c>
      <c r="N266" s="232" t="str">
        <f>IF(N$3="","",IF(COUNTIFS(BD!$A$3:$A$5001,N$3,BD!$B$3:$B$5001,$A$248,BD!$T$3:$T$5001,"&lt;&gt;")=0,"",SUMIFS(BD!$T$3:$T$5001,BD!$A$3:$A$5001,N$3,BD!$B$3:$B$5001,$A$248)))</f>
        <v/>
      </c>
      <c r="O266" s="232" t="str">
        <f>IF(O$3="","",IF(COUNTIFS(BD!$A$3:$A$5001,O$3,BD!$B$3:$B$5001,$A$248,BD!$T$3:$T$5001,"&lt;&gt;")=0,"",SUMIFS(BD!$T$3:$T$5001,BD!$A$3:$A$5001,O$3,BD!$B$3:$B$5001,$A$248)))</f>
        <v/>
      </c>
      <c r="P266" s="232" t="str">
        <f>IF(P$3="","",IF(COUNTIFS(BD!$A$3:$A$5001,P$3,BD!$B$3:$B$5001,$A$248,BD!$T$3:$T$5001,"&lt;&gt;")=0,"",SUMIFS(BD!$T$3:$T$5001,BD!$A$3:$A$5001,P$3,BD!$B$3:$B$5001,$A$248)))</f>
        <v/>
      </c>
      <c r="Q266" s="232" t="str">
        <f>IF(Q$3="","",IF(COUNTIFS(BD!$A$3:$A$5001,Q$3,BD!$B$3:$B$5001,$A$248,BD!$T$3:$T$5001,"&lt;&gt;")=0,"",SUMIFS(BD!$T$3:$T$5001,BD!$A$3:$A$5001,Q$3,BD!$B$3:$B$5001,$A$248)))</f>
        <v/>
      </c>
      <c r="R266" s="232" t="str">
        <f>IF(R$3="","",IF(COUNTIFS(BD!$A$3:$A$5001,R$3,BD!$B$3:$B$5001,$A$248,BD!$T$3:$T$5001,"&lt;&gt;")=0,"",SUMIFS(BD!$T$3:$T$5001,BD!$A$3:$A$5001,R$3,BD!$B$3:$B$5001,$A$248)))</f>
        <v/>
      </c>
      <c r="S266" s="232" t="str">
        <f>IF(S$3="","",IF(COUNTIFS(BD!$A$3:$A$5001,S$3,BD!$B$3:$B$5001,$A$248,BD!$T$3:$T$5001,"&lt;&gt;")=0,"",SUMIFS(BD!$T$3:$T$5001,BD!$A$3:$A$5001,S$3,BD!$B$3:$B$5001,$A$248)))</f>
        <v/>
      </c>
      <c r="T266" s="232" t="str">
        <f>IF(T$3="","",IF(COUNTIFS(BD!$A$3:$A$5001,T$3,BD!$B$3:$B$5001,$A$248,BD!$T$3:$T$5001,"&lt;&gt;")=0,"",SUMIFS(BD!$T$3:$T$5001,BD!$A$3:$A$5001,T$3,BD!$B$3:$B$5001,$A$248)))</f>
        <v/>
      </c>
      <c r="U266" s="232" t="str">
        <f>IF(U$3="","",IF(COUNTIFS(BD!$A$3:$A$5001,U$3,BD!$B$3:$B$5001,$A$248,BD!$T$3:$T$5001,"&lt;&gt;")=0,"",SUMIFS(BD!$T$3:$T$5001,BD!$A$3:$A$5001,U$3,BD!$B$3:$B$5001,$A$248)))</f>
        <v/>
      </c>
      <c r="V266" s="232" t="str">
        <f>IF(V$3="","",IF(COUNTIFS(BD!$A$3:$A$5001,V$3,BD!$B$3:$B$5001,$A$248,BD!$T$3:$T$5001,"&lt;&gt;")=0,"",SUMIFS(BD!$T$3:$T$5001,BD!$A$3:$A$5001,V$3,BD!$B$3:$B$5001,$A$248)))</f>
        <v/>
      </c>
      <c r="W266" s="232" t="str">
        <f>IF(W$3="","",IF(COUNTIFS(BD!$A$3:$A$5001,W$3,BD!$B$3:$B$5001,$A$248,BD!$T$3:$T$5001,"&lt;&gt;")=0,"",SUMIFS(BD!$T$3:$T$5001,BD!$A$3:$A$5001,W$3,BD!$B$3:$B$5001,$A$248)))</f>
        <v/>
      </c>
      <c r="X266" s="232" t="str">
        <f>IF(X$3="","",IF(COUNTIFS(BD!$A$3:$A$5001,X$3,BD!$B$3:$B$5001,$A$248,BD!$T$3:$T$5001,"&lt;&gt;")=0,"",SUMIFS(BD!$T$3:$T$5001,BD!$A$3:$A$5001,X$3,BD!$B$3:$B$5001,$A$248)))</f>
        <v/>
      </c>
      <c r="Y266" s="232" t="str">
        <f>IF(Y$3="","",IF(COUNTIFS(BD!$A$3:$A$5001,Y$3,BD!$B$3:$B$5001,$A$248,BD!$T$3:$T$5001,"&lt;&gt;")=0,"",SUMIFS(BD!$T$3:$T$5001,BD!$A$3:$A$5001,Y$3,BD!$B$3:$B$5001,$A$248)))</f>
        <v/>
      </c>
      <c r="Z266" s="232" t="str">
        <f>IF(Z$3="","",IF(COUNTIFS(BD!$A$3:$A$5001,Z$3,BD!$B$3:$B$5001,$A$248,BD!$T$3:$T$5001,"&lt;&gt;")=0,"",SUMIFS(BD!$T$3:$T$5001,BD!$A$3:$A$5001,Z$3,BD!$B$3:$B$5001,$A$248)))</f>
        <v/>
      </c>
      <c r="AA266" s="232" t="str">
        <f>IF(AA$3="","",IF(COUNTIFS(BD!$A$3:$A$5001,AA$3,BD!$B$3:$B$5001,$A$248,BD!$T$3:$T$5001,"&lt;&gt;")=0,"",SUMIFS(BD!$T$3:$T$5001,BD!$A$3:$A$5001,AA$3,BD!$B$3:$B$5001,$A$248)))</f>
        <v/>
      </c>
      <c r="AB266" s="232" t="str">
        <f>IF(AB$3="","",IF(COUNTIFS(BD!$A$3:$A$5001,AB$3,BD!$B$3:$B$5001,$A$248,BD!$T$3:$T$5001,"&lt;&gt;")=0,"",SUMIFS(BD!$T$3:$T$5001,BD!$A$3:$A$5001,AB$3,BD!$B$3:$B$5001,$A$248)))</f>
        <v/>
      </c>
      <c r="AC266" s="232" t="str">
        <f>IF(AC$3="","",IF(COUNTIFS(BD!$A$3:$A$5001,AC$3,BD!$B$3:$B$5001,$A$248,BD!$T$3:$T$5001,"&lt;&gt;")=0,"",SUMIFS(BD!$T$3:$T$5001,BD!$A$3:$A$5001,AC$3,BD!$B$3:$B$5001,$A$248)))</f>
        <v/>
      </c>
      <c r="AD266" s="232" t="str">
        <f>IF(AD$3="","",IF(COUNTIFS(BD!$A$3:$A$5001,AD$3,BD!$B$3:$B$5001,$A$248,BD!$T$3:$T$5001,"&lt;&gt;")=0,"",SUMIFS(BD!$T$3:$T$5001,BD!$A$3:$A$5001,AD$3,BD!$B$3:$B$5001,$A$248)))</f>
        <v/>
      </c>
      <c r="AE266" s="232" t="str">
        <f>IF(AE$3="","",IF(COUNTIFS(BD!$A$3:$A$5001,AE$3,BD!$B$3:$B$5001,$A$248,BD!$T$3:$T$5001,"&lt;&gt;")=0,"",SUMIFS(BD!$T$3:$T$5001,BD!$A$3:$A$5001,AE$3,BD!$B$3:$B$5001,$A$248)))</f>
        <v/>
      </c>
      <c r="AF266" s="232" t="str">
        <f>IF(AF$3="","",IF(COUNTIFS(BD!$A$3:$A$5001,AF$3,BD!$B$3:$B$5001,$A$248,BD!$T$3:$T$5001,"&lt;&gt;")=0,"",SUMIFS(BD!$T$3:$T$5001,BD!$A$3:$A$5001,AF$3,BD!$B$3:$B$5001,$A$248)))</f>
        <v/>
      </c>
      <c r="AG266" s="232" t="str">
        <f>IF(AG$3="","",IF(COUNTIFS(BD!$A$3:$A$5001,AG$3,BD!$B$3:$B$5001,$A$248,BD!$T$3:$T$5001,"&lt;&gt;")=0,"",SUMIFS(BD!$T$3:$T$5001,BD!$A$3:$A$5001,AG$3,BD!$B$3:$B$5001,$A$248)))</f>
        <v/>
      </c>
      <c r="AH266" s="232" t="str">
        <f>IF(AH$3="","",IF(COUNTIFS(BD!$A$3:$A$5001,AH$3,BD!$B$3:$B$5001,$A$248,BD!$T$3:$T$5001,"&lt;&gt;")=0,"",SUMIFS(BD!$T$3:$T$5001,BD!$A$3:$A$5001,AH$3,BD!$B$3:$B$5001,$A$248)))</f>
        <v/>
      </c>
      <c r="AI266" s="232" t="str">
        <f>IF(AI$3="","",IF(COUNTIFS(BD!$A$3:$A$5001,AI$3,BD!$B$3:$B$5001,$A$248,BD!$T$3:$T$5001,"&lt;&gt;")=0,"",SUMIFS(BD!$T$3:$T$5001,BD!$A$3:$A$5001,AI$3,BD!$B$3:$B$5001,$A$248)))</f>
        <v/>
      </c>
      <c r="AJ266" s="233" t="str">
        <f>IF(AJ$3="","",IF(COUNTIFS(BD!$A$3:$A$5001,AJ$3,BD!$B$3:$B$5001,$A$248,BD!$T$3:$T$5001,"&lt;&gt;")=0,"",SUMIFS(BD!$T$3:$T$5001,BD!$A$3:$A$5001,AJ$3,BD!$B$3:$B$5001,$A$248)))</f>
        <v/>
      </c>
      <c r="AK266" s="234" t="str">
        <f>IF(COUNT(F266:AJ266)=0,"",SUM(F266:AJ266))</f>
        <v/>
      </c>
    </row>
    <row r="267" ht="15.75" customHeight="1" hidden="1">
      <c r="A267" s="255"/>
      <c r="B267" s="252"/>
      <c r="C267" s="235" t="inlineStr">
        <is>
          <t xml:space="preserve">Acidentes SAF</t>
        </is>
      </c>
      <c r="D267" s="236" t="str">
        <f>IFERROR(1/(1/INDEX(BD!$Y$42:$AS$42,MATCH($A$248,BD!$Y$22:$AS$22,0))),"")</f>
        <v/>
      </c>
      <c r="E267" s="237"/>
      <c r="F267" s="238" t="str">
        <f>IF(F$3="","",IF(COUNTIFS(BD!$A$3:$A$5001,F$3,BD!$B$3:$B$5001,$A$248,BD!$U$3:$U$5001,"&lt;&gt;")=0,"",SUMIFS(BD!$U$3:$U$5001,BD!$A$3:$A$5001,F$3,BD!$B$3:$B$5001,$A$248)))</f>
        <v/>
      </c>
      <c r="G267" s="239" t="str">
        <f>IF(G$3="","",IF(COUNTIFS(BD!$A$3:$A$5001,G$3,BD!$B$3:$B$5001,$A$248,BD!$U$3:$U$5001,"&lt;&gt;")=0,"",SUMIFS(BD!$U$3:$U$5001,BD!$A$3:$A$5001,G$3,BD!$B$3:$B$5001,$A$248)))</f>
        <v/>
      </c>
      <c r="H267" s="239" t="str">
        <f>IF(H$3="","",IF(COUNTIFS(BD!$A$3:$A$5001,H$3,BD!$B$3:$B$5001,$A$248,BD!$U$3:$U$5001,"&lt;&gt;")=0,"",SUMIFS(BD!$U$3:$U$5001,BD!$A$3:$A$5001,H$3,BD!$B$3:$B$5001,$A$248)))</f>
        <v/>
      </c>
      <c r="I267" s="239" t="str">
        <f>IF(I$3="","",IF(COUNTIFS(BD!$A$3:$A$5001,I$3,BD!$B$3:$B$5001,$A$248,BD!$U$3:$U$5001,"&lt;&gt;")=0,"",SUMIFS(BD!$U$3:$U$5001,BD!$A$3:$A$5001,I$3,BD!$B$3:$B$5001,$A$248)))</f>
        <v/>
      </c>
      <c r="J267" s="239" t="str">
        <f>IF(J$3="","",IF(COUNTIFS(BD!$A$3:$A$5001,J$3,BD!$B$3:$B$5001,$A$248,BD!$U$3:$U$5001,"&lt;&gt;")=0,"",SUMIFS(BD!$U$3:$U$5001,BD!$A$3:$A$5001,J$3,BD!$B$3:$B$5001,$A$248)))</f>
        <v/>
      </c>
      <c r="K267" s="239" t="str">
        <f>IF(K$3="","",IF(COUNTIFS(BD!$A$3:$A$5001,K$3,BD!$B$3:$B$5001,$A$248,BD!$U$3:$U$5001,"&lt;&gt;")=0,"",SUMIFS(BD!$U$3:$U$5001,BD!$A$3:$A$5001,K$3,BD!$B$3:$B$5001,$A$248)))</f>
        <v/>
      </c>
      <c r="L267" s="239" t="str">
        <f>IF(L$3="","",IF(COUNTIFS(BD!$A$3:$A$5001,L$3,BD!$B$3:$B$5001,$A$248,BD!$U$3:$U$5001,"&lt;&gt;")=0,"",SUMIFS(BD!$U$3:$U$5001,BD!$A$3:$A$5001,L$3,BD!$B$3:$B$5001,$A$248)))</f>
        <v/>
      </c>
      <c r="M267" s="239" t="str">
        <f>IF(M$3="","",IF(COUNTIFS(BD!$A$3:$A$5001,M$3,BD!$B$3:$B$5001,$A$248,BD!$U$3:$U$5001,"&lt;&gt;")=0,"",SUMIFS(BD!$U$3:$U$5001,BD!$A$3:$A$5001,M$3,BD!$B$3:$B$5001,$A$248)))</f>
        <v/>
      </c>
      <c r="N267" s="239" t="str">
        <f>IF(N$3="","",IF(COUNTIFS(BD!$A$3:$A$5001,N$3,BD!$B$3:$B$5001,$A$248,BD!$U$3:$U$5001,"&lt;&gt;")=0,"",SUMIFS(BD!$U$3:$U$5001,BD!$A$3:$A$5001,N$3,BD!$B$3:$B$5001,$A$248)))</f>
        <v/>
      </c>
      <c r="O267" s="239" t="str">
        <f>IF(O$3="","",IF(COUNTIFS(BD!$A$3:$A$5001,O$3,BD!$B$3:$B$5001,$A$248,BD!$U$3:$U$5001,"&lt;&gt;")=0,"",SUMIFS(BD!$U$3:$U$5001,BD!$A$3:$A$5001,O$3,BD!$B$3:$B$5001,$A$248)))</f>
        <v/>
      </c>
      <c r="P267" s="239" t="str">
        <f>IF(P$3="","",IF(COUNTIFS(BD!$A$3:$A$5001,P$3,BD!$B$3:$B$5001,$A$248,BD!$U$3:$U$5001,"&lt;&gt;")=0,"",SUMIFS(BD!$U$3:$U$5001,BD!$A$3:$A$5001,P$3,BD!$B$3:$B$5001,$A$248)))</f>
        <v/>
      </c>
      <c r="Q267" s="239" t="str">
        <f>IF(Q$3="","",IF(COUNTIFS(BD!$A$3:$A$5001,Q$3,BD!$B$3:$B$5001,$A$248,BD!$U$3:$U$5001,"&lt;&gt;")=0,"",SUMIFS(BD!$U$3:$U$5001,BD!$A$3:$A$5001,Q$3,BD!$B$3:$B$5001,$A$248)))</f>
        <v/>
      </c>
      <c r="R267" s="239" t="str">
        <f>IF(R$3="","",IF(COUNTIFS(BD!$A$3:$A$5001,R$3,BD!$B$3:$B$5001,$A$248,BD!$U$3:$U$5001,"&lt;&gt;")=0,"",SUMIFS(BD!$U$3:$U$5001,BD!$A$3:$A$5001,R$3,BD!$B$3:$B$5001,$A$248)))</f>
        <v/>
      </c>
      <c r="S267" s="239" t="str">
        <f>IF(S$3="","",IF(COUNTIFS(BD!$A$3:$A$5001,S$3,BD!$B$3:$B$5001,$A$248,BD!$U$3:$U$5001,"&lt;&gt;")=0,"",SUMIFS(BD!$U$3:$U$5001,BD!$A$3:$A$5001,S$3,BD!$B$3:$B$5001,$A$248)))</f>
        <v/>
      </c>
      <c r="T267" s="239" t="str">
        <f>IF(T$3="","",IF(COUNTIFS(BD!$A$3:$A$5001,T$3,BD!$B$3:$B$5001,$A$248,BD!$U$3:$U$5001,"&lt;&gt;")=0,"",SUMIFS(BD!$U$3:$U$5001,BD!$A$3:$A$5001,T$3,BD!$B$3:$B$5001,$A$248)))</f>
        <v/>
      </c>
      <c r="U267" s="239" t="str">
        <f>IF(U$3="","",IF(COUNTIFS(BD!$A$3:$A$5001,U$3,BD!$B$3:$B$5001,$A$248,BD!$U$3:$U$5001,"&lt;&gt;")=0,"",SUMIFS(BD!$U$3:$U$5001,BD!$A$3:$A$5001,U$3,BD!$B$3:$B$5001,$A$248)))</f>
        <v/>
      </c>
      <c r="V267" s="239" t="str">
        <f>IF(V$3="","",IF(COUNTIFS(BD!$A$3:$A$5001,V$3,BD!$B$3:$B$5001,$A$248,BD!$U$3:$U$5001,"&lt;&gt;")=0,"",SUMIFS(BD!$U$3:$U$5001,BD!$A$3:$A$5001,V$3,BD!$B$3:$B$5001,$A$248)))</f>
        <v/>
      </c>
      <c r="W267" s="239" t="str">
        <f>IF(W$3="","",IF(COUNTIFS(BD!$A$3:$A$5001,W$3,BD!$B$3:$B$5001,$A$248,BD!$U$3:$U$5001,"&lt;&gt;")=0,"",SUMIFS(BD!$U$3:$U$5001,BD!$A$3:$A$5001,W$3,BD!$B$3:$B$5001,$A$248)))</f>
        <v/>
      </c>
      <c r="X267" s="239" t="str">
        <f>IF(X$3="","",IF(COUNTIFS(BD!$A$3:$A$5001,X$3,BD!$B$3:$B$5001,$A$248,BD!$U$3:$U$5001,"&lt;&gt;")=0,"",SUMIFS(BD!$U$3:$U$5001,BD!$A$3:$A$5001,X$3,BD!$B$3:$B$5001,$A$248)))</f>
        <v/>
      </c>
      <c r="Y267" s="239" t="str">
        <f>IF(Y$3="","",IF(COUNTIFS(BD!$A$3:$A$5001,Y$3,BD!$B$3:$B$5001,$A$248,BD!$U$3:$U$5001,"&lt;&gt;")=0,"",SUMIFS(BD!$U$3:$U$5001,BD!$A$3:$A$5001,Y$3,BD!$B$3:$B$5001,$A$248)))</f>
        <v/>
      </c>
      <c r="Z267" s="239" t="str">
        <f>IF(Z$3="","",IF(COUNTIFS(BD!$A$3:$A$5001,Z$3,BD!$B$3:$B$5001,$A$248,BD!$U$3:$U$5001,"&lt;&gt;")=0,"",SUMIFS(BD!$U$3:$U$5001,BD!$A$3:$A$5001,Z$3,BD!$B$3:$B$5001,$A$248)))</f>
        <v/>
      </c>
      <c r="AA267" s="239" t="str">
        <f>IF(AA$3="","",IF(COUNTIFS(BD!$A$3:$A$5001,AA$3,BD!$B$3:$B$5001,$A$248,BD!$U$3:$U$5001,"&lt;&gt;")=0,"",SUMIFS(BD!$U$3:$U$5001,BD!$A$3:$A$5001,AA$3,BD!$B$3:$B$5001,$A$248)))</f>
        <v/>
      </c>
      <c r="AB267" s="239" t="str">
        <f>IF(AB$3="","",IF(COUNTIFS(BD!$A$3:$A$5001,AB$3,BD!$B$3:$B$5001,$A$248,BD!$U$3:$U$5001,"&lt;&gt;")=0,"",SUMIFS(BD!$U$3:$U$5001,BD!$A$3:$A$5001,AB$3,BD!$B$3:$B$5001,$A$248)))</f>
        <v/>
      </c>
      <c r="AC267" s="239" t="str">
        <f>IF(AC$3="","",IF(COUNTIFS(BD!$A$3:$A$5001,AC$3,BD!$B$3:$B$5001,$A$248,BD!$U$3:$U$5001,"&lt;&gt;")=0,"",SUMIFS(BD!$U$3:$U$5001,BD!$A$3:$A$5001,AC$3,BD!$B$3:$B$5001,$A$248)))</f>
        <v/>
      </c>
      <c r="AD267" s="239" t="str">
        <f>IF(AD$3="","",IF(COUNTIFS(BD!$A$3:$A$5001,AD$3,BD!$B$3:$B$5001,$A$248,BD!$U$3:$U$5001,"&lt;&gt;")=0,"",SUMIFS(BD!$U$3:$U$5001,BD!$A$3:$A$5001,AD$3,BD!$B$3:$B$5001,$A$248)))</f>
        <v/>
      </c>
      <c r="AE267" s="239" t="str">
        <f>IF(AE$3="","",IF(COUNTIFS(BD!$A$3:$A$5001,AE$3,BD!$B$3:$B$5001,$A$248,BD!$U$3:$U$5001,"&lt;&gt;")=0,"",SUMIFS(BD!$U$3:$U$5001,BD!$A$3:$A$5001,AE$3,BD!$B$3:$B$5001,$A$248)))</f>
        <v/>
      </c>
      <c r="AF267" s="239" t="str">
        <f>IF(AF$3="","",IF(COUNTIFS(BD!$A$3:$A$5001,AF$3,BD!$B$3:$B$5001,$A$248,BD!$U$3:$U$5001,"&lt;&gt;")=0,"",SUMIFS(BD!$U$3:$U$5001,BD!$A$3:$A$5001,AF$3,BD!$B$3:$B$5001,$A$248)))</f>
        <v/>
      </c>
      <c r="AG267" s="239" t="str">
        <f>IF(AG$3="","",IF(COUNTIFS(BD!$A$3:$A$5001,AG$3,BD!$B$3:$B$5001,$A$248,BD!$U$3:$U$5001,"&lt;&gt;")=0,"",SUMIFS(BD!$U$3:$U$5001,BD!$A$3:$A$5001,AG$3,BD!$B$3:$B$5001,$A$248)))</f>
        <v/>
      </c>
      <c r="AH267" s="239" t="str">
        <f>IF(AH$3="","",IF(COUNTIFS(BD!$A$3:$A$5001,AH$3,BD!$B$3:$B$5001,$A$248,BD!$U$3:$U$5001,"&lt;&gt;")=0,"",SUMIFS(BD!$U$3:$U$5001,BD!$A$3:$A$5001,AH$3,BD!$B$3:$B$5001,$A$248)))</f>
        <v/>
      </c>
      <c r="AI267" s="239" t="str">
        <f>IF(AI$3="","",IF(COUNTIFS(BD!$A$3:$A$5001,AI$3,BD!$B$3:$B$5001,$A$248,BD!$U$3:$U$5001,"&lt;&gt;")=0,"",SUMIFS(BD!$U$3:$U$5001,BD!$A$3:$A$5001,AI$3,BD!$B$3:$B$5001,$A$248)))</f>
        <v/>
      </c>
      <c r="AJ267" s="240" t="str">
        <f>IF(AJ$3="","",IF(COUNTIFS(BD!$A$3:$A$5001,AJ$3,BD!$B$3:$B$5001,$A$248,BD!$U$3:$U$5001,"&lt;&gt;")=0,"",SUMIFS(BD!$U$3:$U$5001,BD!$A$3:$A$5001,AJ$3,BD!$B$3:$B$5001,$A$248)))</f>
        <v/>
      </c>
      <c r="AK267" s="236" t="str">
        <f>IF(COUNT(F267:AJ267)=0,"",SUM(F267:AJ267))</f>
        <v/>
      </c>
    </row>
    <row r="269" ht="15.75" customHeight="1" hidden="1">
      <c r="A269" s="253"/>
      <c r="B269" s="241" t="inlineStr">
        <is>
          <t xml:space="preserve">IN</t>
        </is>
      </c>
      <c r="C269" s="155" t="inlineStr">
        <is>
          <t xml:space="preserve">Veículos Recebidos</t>
        </is>
      </c>
      <c r="D269" s="156" t="str">
        <f>IFERROR(1/(1/INDEX(BD!$Y$23:$AS$23,MATCH($A$269,BD!$Y$22:$AS$22,0))),"")</f>
        <v/>
      </c>
      <c r="E269" s="157"/>
      <c r="F269" s="158" t="str">
        <f>IF(F$3="","",IF(COUNTIFS(BD!$A$3:$A$5001,F$3,BD!$B$3:$B$5001,$A$269,BD!$C$3:$C$5001,"&lt;&gt;")=0,"",SUMIFS(BD!$C$3:$C$5001,BD!$A$3:$A$5001,F$3,BD!$B$3:$B$5001,$A$269)))</f>
        <v/>
      </c>
      <c r="G269" s="159" t="str">
        <f>IF(G$3="","",IF(COUNTIFS(BD!$A$3:$A$5001,G$3,BD!$B$3:$B$5001,$A$269,BD!$C$3:$C$5001,"&lt;&gt;")=0,"",SUMIFS(BD!$C$3:$C$5001,BD!$A$3:$A$5001,G$3,BD!$B$3:$B$5001,$A$269)))</f>
        <v/>
      </c>
      <c r="H269" s="159" t="str">
        <f>IF(H$3="","",IF(COUNTIFS(BD!$A$3:$A$5001,H$3,BD!$B$3:$B$5001,$A$269,BD!$C$3:$C$5001,"&lt;&gt;")=0,"",SUMIFS(BD!$C$3:$C$5001,BD!$A$3:$A$5001,H$3,BD!$B$3:$B$5001,$A$269)))</f>
        <v/>
      </c>
      <c r="I269" s="159" t="str">
        <f>IF(I$3="","",IF(COUNTIFS(BD!$A$3:$A$5001,I$3,BD!$B$3:$B$5001,$A$269,BD!$C$3:$C$5001,"&lt;&gt;")=0,"",SUMIFS(BD!$C$3:$C$5001,BD!$A$3:$A$5001,I$3,BD!$B$3:$B$5001,$A$269)))</f>
        <v/>
      </c>
      <c r="J269" s="159" t="str">
        <f>IF(J$3="","",IF(COUNTIFS(BD!$A$3:$A$5001,J$3,BD!$B$3:$B$5001,$A$269,BD!$C$3:$C$5001,"&lt;&gt;")=0,"",SUMIFS(BD!$C$3:$C$5001,BD!$A$3:$A$5001,J$3,BD!$B$3:$B$5001,$A$269)))</f>
        <v/>
      </c>
      <c r="K269" s="159" t="str">
        <f>IF(K$3="","",IF(COUNTIFS(BD!$A$3:$A$5001,K$3,BD!$B$3:$B$5001,$A$269,BD!$C$3:$C$5001,"&lt;&gt;")=0,"",SUMIFS(BD!$C$3:$C$5001,BD!$A$3:$A$5001,K$3,BD!$B$3:$B$5001,$A$269)))</f>
        <v/>
      </c>
      <c r="L269" s="159" t="str">
        <f>IF(L$3="","",IF(COUNTIFS(BD!$A$3:$A$5001,L$3,BD!$B$3:$B$5001,$A$269,BD!$C$3:$C$5001,"&lt;&gt;")=0,"",SUMIFS(BD!$C$3:$C$5001,BD!$A$3:$A$5001,L$3,BD!$B$3:$B$5001,$A$269)))</f>
        <v/>
      </c>
      <c r="M269" s="159" t="str">
        <f>IF(M$3="","",IF(COUNTIFS(BD!$A$3:$A$5001,M$3,BD!$B$3:$B$5001,$A$269,BD!$C$3:$C$5001,"&lt;&gt;")=0,"",SUMIFS(BD!$C$3:$C$5001,BD!$A$3:$A$5001,M$3,BD!$B$3:$B$5001,$A$269)))</f>
        <v/>
      </c>
      <c r="N269" s="159" t="str">
        <f>IF(N$3="","",IF(COUNTIFS(BD!$A$3:$A$5001,N$3,BD!$B$3:$B$5001,$A$269,BD!$C$3:$C$5001,"&lt;&gt;")=0,"",SUMIFS(BD!$C$3:$C$5001,BD!$A$3:$A$5001,N$3,BD!$B$3:$B$5001,$A$269)))</f>
        <v/>
      </c>
      <c r="O269" s="159" t="str">
        <f>IF(O$3="","",IF(COUNTIFS(BD!$A$3:$A$5001,O$3,BD!$B$3:$B$5001,$A$269,BD!$C$3:$C$5001,"&lt;&gt;")=0,"",SUMIFS(BD!$C$3:$C$5001,BD!$A$3:$A$5001,O$3,BD!$B$3:$B$5001,$A$269)))</f>
        <v/>
      </c>
      <c r="P269" s="159" t="str">
        <f>IF(P$3="","",IF(COUNTIFS(BD!$A$3:$A$5001,P$3,BD!$B$3:$B$5001,$A$269,BD!$C$3:$C$5001,"&lt;&gt;")=0,"",SUMIFS(BD!$C$3:$C$5001,BD!$A$3:$A$5001,P$3,BD!$B$3:$B$5001,$A$269)))</f>
        <v/>
      </c>
      <c r="Q269" s="159" t="str">
        <f>IF(Q$3="","",IF(COUNTIFS(BD!$A$3:$A$5001,Q$3,BD!$B$3:$B$5001,$A$269,BD!$C$3:$C$5001,"&lt;&gt;")=0,"",SUMIFS(BD!$C$3:$C$5001,BD!$A$3:$A$5001,Q$3,BD!$B$3:$B$5001,$A$269)))</f>
        <v/>
      </c>
      <c r="R269" s="159" t="str">
        <f>IF(R$3="","",IF(COUNTIFS(BD!$A$3:$A$5001,R$3,BD!$B$3:$B$5001,$A$269,BD!$C$3:$C$5001,"&lt;&gt;")=0,"",SUMIFS(BD!$C$3:$C$5001,BD!$A$3:$A$5001,R$3,BD!$B$3:$B$5001,$A$269)))</f>
        <v/>
      </c>
      <c r="S269" s="159" t="str">
        <f>IF(S$3="","",IF(COUNTIFS(BD!$A$3:$A$5001,S$3,BD!$B$3:$B$5001,$A$269,BD!$C$3:$C$5001,"&lt;&gt;")=0,"",SUMIFS(BD!$C$3:$C$5001,BD!$A$3:$A$5001,S$3,BD!$B$3:$B$5001,$A$269)))</f>
        <v/>
      </c>
      <c r="T269" s="159" t="str">
        <f>IF(T$3="","",IF(COUNTIFS(BD!$A$3:$A$5001,T$3,BD!$B$3:$B$5001,$A$269,BD!$C$3:$C$5001,"&lt;&gt;")=0,"",SUMIFS(BD!$C$3:$C$5001,BD!$A$3:$A$5001,T$3,BD!$B$3:$B$5001,$A$269)))</f>
        <v/>
      </c>
      <c r="U269" s="159" t="str">
        <f>IF(U$3="","",IF(COUNTIFS(BD!$A$3:$A$5001,U$3,BD!$B$3:$B$5001,$A$269,BD!$C$3:$C$5001,"&lt;&gt;")=0,"",SUMIFS(BD!$C$3:$C$5001,BD!$A$3:$A$5001,U$3,BD!$B$3:$B$5001,$A$269)))</f>
        <v/>
      </c>
      <c r="V269" s="159" t="str">
        <f>IF(V$3="","",IF(COUNTIFS(BD!$A$3:$A$5001,V$3,BD!$B$3:$B$5001,$A$269,BD!$C$3:$C$5001,"&lt;&gt;")=0,"",SUMIFS(BD!$C$3:$C$5001,BD!$A$3:$A$5001,V$3,BD!$B$3:$B$5001,$A$269)))</f>
        <v/>
      </c>
      <c r="W269" s="159" t="str">
        <f>IF(W$3="","",IF(COUNTIFS(BD!$A$3:$A$5001,W$3,BD!$B$3:$B$5001,$A$269,BD!$C$3:$C$5001,"&lt;&gt;")=0,"",SUMIFS(BD!$C$3:$C$5001,BD!$A$3:$A$5001,W$3,BD!$B$3:$B$5001,$A$269)))</f>
        <v/>
      </c>
      <c r="X269" s="159" t="str">
        <f>IF(X$3="","",IF(COUNTIFS(BD!$A$3:$A$5001,X$3,BD!$B$3:$B$5001,$A$269,BD!$C$3:$C$5001,"&lt;&gt;")=0,"",SUMIFS(BD!$C$3:$C$5001,BD!$A$3:$A$5001,X$3,BD!$B$3:$B$5001,$A$269)))</f>
        <v/>
      </c>
      <c r="Y269" s="159" t="str">
        <f>IF(Y$3="","",IF(COUNTIFS(BD!$A$3:$A$5001,Y$3,BD!$B$3:$B$5001,$A$269,BD!$C$3:$C$5001,"&lt;&gt;")=0,"",SUMIFS(BD!$C$3:$C$5001,BD!$A$3:$A$5001,Y$3,BD!$B$3:$B$5001,$A$269)))</f>
        <v/>
      </c>
      <c r="Z269" s="159" t="str">
        <f>IF(Z$3="","",IF(COUNTIFS(BD!$A$3:$A$5001,Z$3,BD!$B$3:$B$5001,$A$269,BD!$C$3:$C$5001,"&lt;&gt;")=0,"",SUMIFS(BD!$C$3:$C$5001,BD!$A$3:$A$5001,Z$3,BD!$B$3:$B$5001,$A$269)))</f>
        <v/>
      </c>
      <c r="AA269" s="159" t="str">
        <f>IF(AA$3="","",IF(COUNTIFS(BD!$A$3:$A$5001,AA$3,BD!$B$3:$B$5001,$A$269,BD!$C$3:$C$5001,"&lt;&gt;")=0,"",SUMIFS(BD!$C$3:$C$5001,BD!$A$3:$A$5001,AA$3,BD!$B$3:$B$5001,$A$269)))</f>
        <v/>
      </c>
      <c r="AB269" s="159" t="str">
        <f>IF(AB$3="","",IF(COUNTIFS(BD!$A$3:$A$5001,AB$3,BD!$B$3:$B$5001,$A$269,BD!$C$3:$C$5001,"&lt;&gt;")=0,"",SUMIFS(BD!$C$3:$C$5001,BD!$A$3:$A$5001,AB$3,BD!$B$3:$B$5001,$A$269)))</f>
        <v/>
      </c>
      <c r="AC269" s="159" t="str">
        <f>IF(AC$3="","",IF(COUNTIFS(BD!$A$3:$A$5001,AC$3,BD!$B$3:$B$5001,$A$269,BD!$C$3:$C$5001,"&lt;&gt;")=0,"",SUMIFS(BD!$C$3:$C$5001,BD!$A$3:$A$5001,AC$3,BD!$B$3:$B$5001,$A$269)))</f>
        <v/>
      </c>
      <c r="AD269" s="159" t="str">
        <f>IF(AD$3="","",IF(COUNTIFS(BD!$A$3:$A$5001,AD$3,BD!$B$3:$B$5001,$A$269,BD!$C$3:$C$5001,"&lt;&gt;")=0,"",SUMIFS(BD!$C$3:$C$5001,BD!$A$3:$A$5001,AD$3,BD!$B$3:$B$5001,$A$269)))</f>
        <v/>
      </c>
      <c r="AE269" s="159" t="str">
        <f>IF(AE$3="","",IF(COUNTIFS(BD!$A$3:$A$5001,AE$3,BD!$B$3:$B$5001,$A$269,BD!$C$3:$C$5001,"&lt;&gt;")=0,"",SUMIFS(BD!$C$3:$C$5001,BD!$A$3:$A$5001,AE$3,BD!$B$3:$B$5001,$A$269)))</f>
        <v/>
      </c>
      <c r="AF269" s="159" t="str">
        <f>IF(AF$3="","",IF(COUNTIFS(BD!$A$3:$A$5001,AF$3,BD!$B$3:$B$5001,$A$269,BD!$C$3:$C$5001,"&lt;&gt;")=0,"",SUMIFS(BD!$C$3:$C$5001,BD!$A$3:$A$5001,AF$3,BD!$B$3:$B$5001,$A$269)))</f>
        <v/>
      </c>
      <c r="AG269" s="159" t="str">
        <f>IF(AG$3="","",IF(COUNTIFS(BD!$A$3:$A$5001,AG$3,BD!$B$3:$B$5001,$A$269,BD!$C$3:$C$5001,"&lt;&gt;")=0,"",SUMIFS(BD!$C$3:$C$5001,BD!$A$3:$A$5001,AG$3,BD!$B$3:$B$5001,$A$269)))</f>
        <v/>
      </c>
      <c r="AH269" s="159" t="str">
        <f>IF(AH$3="","",IF(COUNTIFS(BD!$A$3:$A$5001,AH$3,BD!$B$3:$B$5001,$A$269,BD!$C$3:$C$5001,"&lt;&gt;")=0,"",SUMIFS(BD!$C$3:$C$5001,BD!$A$3:$A$5001,AH$3,BD!$B$3:$B$5001,$A$269)))</f>
        <v/>
      </c>
      <c r="AI269" s="159" t="str">
        <f>IF(AI$3="","",IF(COUNTIFS(BD!$A$3:$A$5001,AI$3,BD!$B$3:$B$5001,$A$269,BD!$C$3:$C$5001,"&lt;&gt;")=0,"",SUMIFS(BD!$C$3:$C$5001,BD!$A$3:$A$5001,AI$3,BD!$B$3:$B$5001,$A$269)))</f>
        <v/>
      </c>
      <c r="AJ269" s="160" t="str">
        <f>IF(AJ$3="","",IF(COUNTIFS(BD!$A$3:$A$5001,AJ$3,BD!$B$3:$B$5001,$A$269,BD!$C$3:$C$5001,"&lt;&gt;")=0,"",SUMIFS(BD!$C$3:$C$5001,BD!$A$3:$A$5001,AJ$3,BD!$B$3:$B$5001,$A$269)))</f>
        <v/>
      </c>
      <c r="AK269" s="161" t="str">
        <f>IF(COUNT(F269:AJ269)=0,"",SUM(F269:AJ269))</f>
        <v/>
      </c>
    </row>
    <row r="270" ht="15.75" customHeight="1" hidden="1">
      <c r="A270" s="254"/>
      <c r="B270" s="242"/>
      <c r="C270" s="162" t="inlineStr">
        <is>
          <t xml:space="preserve">Pallets Movimentados</t>
        </is>
      </c>
      <c r="D270" s="163" t="str">
        <f>IFERROR(1/(1/INDEX(BD!$Y$24:$AS$24,MATCH($A$269,BD!$Y$22:$AS$22,0))),"")</f>
        <v/>
      </c>
      <c r="E270" s="164"/>
      <c r="F270" s="165" t="str">
        <f>IF(F$3="","",IF(COUNTIFS(BD!$A$3:$A$5001,F$3,BD!$B$3:$B$5001,$A$269,BD!$D$3:$D$5001,"&lt;&gt;")=0,"",SUMIFS(BD!$D$3:$D$5001,BD!$A$3:$A$5001,F$3,BD!$B$3:$B$5001,$A$269)))</f>
        <v/>
      </c>
      <c r="G270" s="166" t="str">
        <f>IF(G$3="","",IF(COUNTIFS(BD!$A$3:$A$5001,G$3,BD!$B$3:$B$5001,$A$269,BD!$D$3:$D$5001,"&lt;&gt;")=0,"",SUMIFS(BD!$D$3:$D$5001,BD!$A$3:$A$5001,G$3,BD!$B$3:$B$5001,$A$269)))</f>
        <v/>
      </c>
      <c r="H270" s="166" t="str">
        <f>IF(H$3="","",IF(COUNTIFS(BD!$A$3:$A$5001,H$3,BD!$B$3:$B$5001,$A$269,BD!$D$3:$D$5001,"&lt;&gt;")=0,"",SUMIFS(BD!$D$3:$D$5001,BD!$A$3:$A$5001,H$3,BD!$B$3:$B$5001,$A$269)))</f>
        <v/>
      </c>
      <c r="I270" s="166" t="str">
        <f>IF(I$3="","",IF(COUNTIFS(BD!$A$3:$A$5001,I$3,BD!$B$3:$B$5001,$A$269,BD!$D$3:$D$5001,"&lt;&gt;")=0,"",SUMIFS(BD!$D$3:$D$5001,BD!$A$3:$A$5001,I$3,BD!$B$3:$B$5001,$A$269)))</f>
        <v/>
      </c>
      <c r="J270" s="166" t="str">
        <f>IF(J$3="","",IF(COUNTIFS(BD!$A$3:$A$5001,J$3,BD!$B$3:$B$5001,$A$269,BD!$D$3:$D$5001,"&lt;&gt;")=0,"",SUMIFS(BD!$D$3:$D$5001,BD!$A$3:$A$5001,J$3,BD!$B$3:$B$5001,$A$269)))</f>
        <v/>
      </c>
      <c r="K270" s="166" t="str">
        <f>IF(K$3="","",IF(COUNTIFS(BD!$A$3:$A$5001,K$3,BD!$B$3:$B$5001,$A$269,BD!$D$3:$D$5001,"&lt;&gt;")=0,"",SUMIFS(BD!$D$3:$D$5001,BD!$A$3:$A$5001,K$3,BD!$B$3:$B$5001,$A$269)))</f>
        <v/>
      </c>
      <c r="L270" s="166" t="str">
        <f>IF(L$3="","",IF(COUNTIFS(BD!$A$3:$A$5001,L$3,BD!$B$3:$B$5001,$A$269,BD!$D$3:$D$5001,"&lt;&gt;")=0,"",SUMIFS(BD!$D$3:$D$5001,BD!$A$3:$A$5001,L$3,BD!$B$3:$B$5001,$A$269)))</f>
        <v/>
      </c>
      <c r="M270" s="166" t="str">
        <f>IF(M$3="","",IF(COUNTIFS(BD!$A$3:$A$5001,M$3,BD!$B$3:$B$5001,$A$269,BD!$D$3:$D$5001,"&lt;&gt;")=0,"",SUMIFS(BD!$D$3:$D$5001,BD!$A$3:$A$5001,M$3,BD!$B$3:$B$5001,$A$269)))</f>
        <v/>
      </c>
      <c r="N270" s="166" t="str">
        <f>IF(N$3="","",IF(COUNTIFS(BD!$A$3:$A$5001,N$3,BD!$B$3:$B$5001,$A$269,BD!$D$3:$D$5001,"&lt;&gt;")=0,"",SUMIFS(BD!$D$3:$D$5001,BD!$A$3:$A$5001,N$3,BD!$B$3:$B$5001,$A$269)))</f>
        <v/>
      </c>
      <c r="O270" s="166" t="str">
        <f>IF(O$3="","",IF(COUNTIFS(BD!$A$3:$A$5001,O$3,BD!$B$3:$B$5001,$A$269,BD!$D$3:$D$5001,"&lt;&gt;")=0,"",SUMIFS(BD!$D$3:$D$5001,BD!$A$3:$A$5001,O$3,BD!$B$3:$B$5001,$A$269)))</f>
        <v/>
      </c>
      <c r="P270" s="166" t="str">
        <f>IF(P$3="","",IF(COUNTIFS(BD!$A$3:$A$5001,P$3,BD!$B$3:$B$5001,$A$269,BD!$D$3:$D$5001,"&lt;&gt;")=0,"",SUMIFS(BD!$D$3:$D$5001,BD!$A$3:$A$5001,P$3,BD!$B$3:$B$5001,$A$269)))</f>
        <v/>
      </c>
      <c r="Q270" s="166" t="str">
        <f>IF(Q$3="","",IF(COUNTIFS(BD!$A$3:$A$5001,Q$3,BD!$B$3:$B$5001,$A$269,BD!$D$3:$D$5001,"&lt;&gt;")=0,"",SUMIFS(BD!$D$3:$D$5001,BD!$A$3:$A$5001,Q$3,BD!$B$3:$B$5001,$A$269)))</f>
        <v/>
      </c>
      <c r="R270" s="166" t="str">
        <f>IF(R$3="","",IF(COUNTIFS(BD!$A$3:$A$5001,R$3,BD!$B$3:$B$5001,$A$269,BD!$D$3:$D$5001,"&lt;&gt;")=0,"",SUMIFS(BD!$D$3:$D$5001,BD!$A$3:$A$5001,R$3,BD!$B$3:$B$5001,$A$269)))</f>
        <v/>
      </c>
      <c r="S270" s="166" t="str">
        <f>IF(S$3="","",IF(COUNTIFS(BD!$A$3:$A$5001,S$3,BD!$B$3:$B$5001,$A$269,BD!$D$3:$D$5001,"&lt;&gt;")=0,"",SUMIFS(BD!$D$3:$D$5001,BD!$A$3:$A$5001,S$3,BD!$B$3:$B$5001,$A$269)))</f>
        <v/>
      </c>
      <c r="T270" s="166" t="str">
        <f>IF(T$3="","",IF(COUNTIFS(BD!$A$3:$A$5001,T$3,BD!$B$3:$B$5001,$A$269,BD!$D$3:$D$5001,"&lt;&gt;")=0,"",SUMIFS(BD!$D$3:$D$5001,BD!$A$3:$A$5001,T$3,BD!$B$3:$B$5001,$A$269)))</f>
        <v/>
      </c>
      <c r="U270" s="166" t="str">
        <f>IF(U$3="","",IF(COUNTIFS(BD!$A$3:$A$5001,U$3,BD!$B$3:$B$5001,$A$269,BD!$D$3:$D$5001,"&lt;&gt;")=0,"",SUMIFS(BD!$D$3:$D$5001,BD!$A$3:$A$5001,U$3,BD!$B$3:$B$5001,$A$269)))</f>
        <v/>
      </c>
      <c r="V270" s="166" t="str">
        <f>IF(V$3="","",IF(COUNTIFS(BD!$A$3:$A$5001,V$3,BD!$B$3:$B$5001,$A$269,BD!$D$3:$D$5001,"&lt;&gt;")=0,"",SUMIFS(BD!$D$3:$D$5001,BD!$A$3:$A$5001,V$3,BD!$B$3:$B$5001,$A$269)))</f>
        <v/>
      </c>
      <c r="W270" s="166" t="str">
        <f>IF(W$3="","",IF(COUNTIFS(BD!$A$3:$A$5001,W$3,BD!$B$3:$B$5001,$A$269,BD!$D$3:$D$5001,"&lt;&gt;")=0,"",SUMIFS(BD!$D$3:$D$5001,BD!$A$3:$A$5001,W$3,BD!$B$3:$B$5001,$A$269)))</f>
        <v/>
      </c>
      <c r="X270" s="166" t="str">
        <f>IF(X$3="","",IF(COUNTIFS(BD!$A$3:$A$5001,X$3,BD!$B$3:$B$5001,$A$269,BD!$D$3:$D$5001,"&lt;&gt;")=0,"",SUMIFS(BD!$D$3:$D$5001,BD!$A$3:$A$5001,X$3,BD!$B$3:$B$5001,$A$269)))</f>
        <v/>
      </c>
      <c r="Y270" s="166" t="str">
        <f>IF(Y$3="","",IF(COUNTIFS(BD!$A$3:$A$5001,Y$3,BD!$B$3:$B$5001,$A$269,BD!$D$3:$D$5001,"&lt;&gt;")=0,"",SUMIFS(BD!$D$3:$D$5001,BD!$A$3:$A$5001,Y$3,BD!$B$3:$B$5001,$A$269)))</f>
        <v/>
      </c>
      <c r="Z270" s="166" t="str">
        <f>IF(Z$3="","",IF(COUNTIFS(BD!$A$3:$A$5001,Z$3,BD!$B$3:$B$5001,$A$269,BD!$D$3:$D$5001,"&lt;&gt;")=0,"",SUMIFS(BD!$D$3:$D$5001,BD!$A$3:$A$5001,Z$3,BD!$B$3:$B$5001,$A$269)))</f>
        <v/>
      </c>
      <c r="AA270" s="166" t="str">
        <f>IF(AA$3="","",IF(COUNTIFS(BD!$A$3:$A$5001,AA$3,BD!$B$3:$B$5001,$A$269,BD!$D$3:$D$5001,"&lt;&gt;")=0,"",SUMIFS(BD!$D$3:$D$5001,BD!$A$3:$A$5001,AA$3,BD!$B$3:$B$5001,$A$269)))</f>
        <v/>
      </c>
      <c r="AB270" s="166" t="str">
        <f>IF(AB$3="","",IF(COUNTIFS(BD!$A$3:$A$5001,AB$3,BD!$B$3:$B$5001,$A$269,BD!$D$3:$D$5001,"&lt;&gt;")=0,"",SUMIFS(BD!$D$3:$D$5001,BD!$A$3:$A$5001,AB$3,BD!$B$3:$B$5001,$A$269)))</f>
        <v/>
      </c>
      <c r="AC270" s="166" t="str">
        <f>IF(AC$3="","",IF(COUNTIFS(BD!$A$3:$A$5001,AC$3,BD!$B$3:$B$5001,$A$269,BD!$D$3:$D$5001,"&lt;&gt;")=0,"",SUMIFS(BD!$D$3:$D$5001,BD!$A$3:$A$5001,AC$3,BD!$B$3:$B$5001,$A$269)))</f>
        <v/>
      </c>
      <c r="AD270" s="166" t="str">
        <f>IF(AD$3="","",IF(COUNTIFS(BD!$A$3:$A$5001,AD$3,BD!$B$3:$B$5001,$A$269,BD!$D$3:$D$5001,"&lt;&gt;")=0,"",SUMIFS(BD!$D$3:$D$5001,BD!$A$3:$A$5001,AD$3,BD!$B$3:$B$5001,$A$269)))</f>
        <v/>
      </c>
      <c r="AE270" s="166" t="str">
        <f>IF(AE$3="","",IF(COUNTIFS(BD!$A$3:$A$5001,AE$3,BD!$B$3:$B$5001,$A$269,BD!$D$3:$D$5001,"&lt;&gt;")=0,"",SUMIFS(BD!$D$3:$D$5001,BD!$A$3:$A$5001,AE$3,BD!$B$3:$B$5001,$A$269)))</f>
        <v/>
      </c>
      <c r="AF270" s="166" t="str">
        <f>IF(AF$3="","",IF(COUNTIFS(BD!$A$3:$A$5001,AF$3,BD!$B$3:$B$5001,$A$269,BD!$D$3:$D$5001,"&lt;&gt;")=0,"",SUMIFS(BD!$D$3:$D$5001,BD!$A$3:$A$5001,AF$3,BD!$B$3:$B$5001,$A$269)))</f>
        <v/>
      </c>
      <c r="AG270" s="166" t="str">
        <f>IF(AG$3="","",IF(COUNTIFS(BD!$A$3:$A$5001,AG$3,BD!$B$3:$B$5001,$A$269,BD!$D$3:$D$5001,"&lt;&gt;")=0,"",SUMIFS(BD!$D$3:$D$5001,BD!$A$3:$A$5001,AG$3,BD!$B$3:$B$5001,$A$269)))</f>
        <v/>
      </c>
      <c r="AH270" s="166" t="str">
        <f>IF(AH$3="","",IF(COUNTIFS(BD!$A$3:$A$5001,AH$3,BD!$B$3:$B$5001,$A$269,BD!$D$3:$D$5001,"&lt;&gt;")=0,"",SUMIFS(BD!$D$3:$D$5001,BD!$A$3:$A$5001,AH$3,BD!$B$3:$B$5001,$A$269)))</f>
        <v/>
      </c>
      <c r="AI270" s="166" t="str">
        <f>IF(AI$3="","",IF(COUNTIFS(BD!$A$3:$A$5001,AI$3,BD!$B$3:$B$5001,$A$269,BD!$D$3:$D$5001,"&lt;&gt;")=0,"",SUMIFS(BD!$D$3:$D$5001,BD!$A$3:$A$5001,AI$3,BD!$B$3:$B$5001,$A$269)))</f>
        <v/>
      </c>
      <c r="AJ270" s="167" t="str">
        <f>IF(AJ$3="","",IF(COUNTIFS(BD!$A$3:$A$5001,AJ$3,BD!$B$3:$B$5001,$A$269,BD!$D$3:$D$5001,"&lt;&gt;")=0,"",SUMIFS(BD!$D$3:$D$5001,BD!$A$3:$A$5001,AJ$3,BD!$B$3:$B$5001,$A$269)))</f>
        <v/>
      </c>
      <c r="AK270" s="168" t="str">
        <f>IF(COUNT(F270:AJ270)=0,"",SUM(F270:AJ270))</f>
        <v/>
      </c>
    </row>
    <row r="271" ht="15.75" customHeight="1" hidden="1">
      <c r="A271" s="254"/>
      <c r="B271" s="243"/>
      <c r="C271" s="169" t="inlineStr">
        <is>
          <t xml:space="preserve">Toneladas Movimentadas</t>
        </is>
      </c>
      <c r="D271" s="170" t="str">
        <f>IFERROR(1/(1/INDEX(BD!$Y$25:$AS$25,MATCH($A$269,BD!$Y$22:$AS$22,0))),"")</f>
        <v/>
      </c>
      <c r="E271" s="171"/>
      <c r="F271" s="172" t="str">
        <f>IF(F$3="","",IF(COUNTIFS(BD!$A$3:$A$5001,F$3,BD!$B$3:$B$5001,$A$269,BD!$E$3:$E$5001,"&lt;&gt;")=0,"",SUMIFS(BD!$E$3:$E$5001,BD!$A$3:$A$5001,F$3,BD!$B$3:$B$5001,$A$269)))</f>
        <v/>
      </c>
      <c r="G271" s="173" t="str">
        <f>IF(G$3="","",IF(COUNTIFS(BD!$A$3:$A$5001,G$3,BD!$B$3:$B$5001,$A$269,BD!$E$3:$E$5001,"&lt;&gt;")=0,"",SUMIFS(BD!$E$3:$E$5001,BD!$A$3:$A$5001,G$3,BD!$B$3:$B$5001,$A$269)))</f>
        <v/>
      </c>
      <c r="H271" s="173" t="str">
        <f>IF(H$3="","",IF(COUNTIFS(BD!$A$3:$A$5001,H$3,BD!$B$3:$B$5001,$A$269,BD!$E$3:$E$5001,"&lt;&gt;")=0,"",SUMIFS(BD!$E$3:$E$5001,BD!$A$3:$A$5001,H$3,BD!$B$3:$B$5001,$A$269)))</f>
        <v/>
      </c>
      <c r="I271" s="173" t="str">
        <f>IF(I$3="","",IF(COUNTIFS(BD!$A$3:$A$5001,I$3,BD!$B$3:$B$5001,$A$269,BD!$E$3:$E$5001,"&lt;&gt;")=0,"",SUMIFS(BD!$E$3:$E$5001,BD!$A$3:$A$5001,I$3,BD!$B$3:$B$5001,$A$269)))</f>
        <v/>
      </c>
      <c r="J271" s="173" t="str">
        <f>IF(J$3="","",IF(COUNTIFS(BD!$A$3:$A$5001,J$3,BD!$B$3:$B$5001,$A$269,BD!$E$3:$E$5001,"&lt;&gt;")=0,"",SUMIFS(BD!$E$3:$E$5001,BD!$A$3:$A$5001,J$3,BD!$B$3:$B$5001,$A$269)))</f>
        <v/>
      </c>
      <c r="K271" s="173" t="str">
        <f>IF(K$3="","",IF(COUNTIFS(BD!$A$3:$A$5001,K$3,BD!$B$3:$B$5001,$A$269,BD!$E$3:$E$5001,"&lt;&gt;")=0,"",SUMIFS(BD!$E$3:$E$5001,BD!$A$3:$A$5001,K$3,BD!$B$3:$B$5001,$A$269)))</f>
        <v/>
      </c>
      <c r="L271" s="173" t="str">
        <f>IF(L$3="","",IF(COUNTIFS(BD!$A$3:$A$5001,L$3,BD!$B$3:$B$5001,$A$269,BD!$E$3:$E$5001,"&lt;&gt;")=0,"",SUMIFS(BD!$E$3:$E$5001,BD!$A$3:$A$5001,L$3,BD!$B$3:$B$5001,$A$269)))</f>
        <v/>
      </c>
      <c r="M271" s="173" t="str">
        <f>IF(M$3="","",IF(COUNTIFS(BD!$A$3:$A$5001,M$3,BD!$B$3:$B$5001,$A$269,BD!$E$3:$E$5001,"&lt;&gt;")=0,"",SUMIFS(BD!$E$3:$E$5001,BD!$A$3:$A$5001,M$3,BD!$B$3:$B$5001,$A$269)))</f>
        <v/>
      </c>
      <c r="N271" s="173" t="str">
        <f>IF(N$3="","",IF(COUNTIFS(BD!$A$3:$A$5001,N$3,BD!$B$3:$B$5001,$A$269,BD!$E$3:$E$5001,"&lt;&gt;")=0,"",SUMIFS(BD!$E$3:$E$5001,BD!$A$3:$A$5001,N$3,BD!$B$3:$B$5001,$A$269)))</f>
        <v/>
      </c>
      <c r="O271" s="173" t="str">
        <f>IF(O$3="","",IF(COUNTIFS(BD!$A$3:$A$5001,O$3,BD!$B$3:$B$5001,$A$269,BD!$E$3:$E$5001,"&lt;&gt;")=0,"",SUMIFS(BD!$E$3:$E$5001,BD!$A$3:$A$5001,O$3,BD!$B$3:$B$5001,$A$269)))</f>
        <v/>
      </c>
      <c r="P271" s="173" t="str">
        <f>IF(P$3="","",IF(COUNTIFS(BD!$A$3:$A$5001,P$3,BD!$B$3:$B$5001,$A$269,BD!$E$3:$E$5001,"&lt;&gt;")=0,"",SUMIFS(BD!$E$3:$E$5001,BD!$A$3:$A$5001,P$3,BD!$B$3:$B$5001,$A$269)))</f>
        <v/>
      </c>
      <c r="Q271" s="173" t="str">
        <f>IF(Q$3="","",IF(COUNTIFS(BD!$A$3:$A$5001,Q$3,BD!$B$3:$B$5001,$A$269,BD!$E$3:$E$5001,"&lt;&gt;")=0,"",SUMIFS(BD!$E$3:$E$5001,BD!$A$3:$A$5001,Q$3,BD!$B$3:$B$5001,$A$269)))</f>
        <v/>
      </c>
      <c r="R271" s="173" t="str">
        <f>IF(R$3="","",IF(COUNTIFS(BD!$A$3:$A$5001,R$3,BD!$B$3:$B$5001,$A$269,BD!$E$3:$E$5001,"&lt;&gt;")=0,"",SUMIFS(BD!$E$3:$E$5001,BD!$A$3:$A$5001,R$3,BD!$B$3:$B$5001,$A$269)))</f>
        <v/>
      </c>
      <c r="S271" s="173" t="str">
        <f>IF(S$3="","",IF(COUNTIFS(BD!$A$3:$A$5001,S$3,BD!$B$3:$B$5001,$A$269,BD!$E$3:$E$5001,"&lt;&gt;")=0,"",SUMIFS(BD!$E$3:$E$5001,BD!$A$3:$A$5001,S$3,BD!$B$3:$B$5001,$A$269)))</f>
        <v/>
      </c>
      <c r="T271" s="173" t="str">
        <f>IF(T$3="","",IF(COUNTIFS(BD!$A$3:$A$5001,T$3,BD!$B$3:$B$5001,$A$269,BD!$E$3:$E$5001,"&lt;&gt;")=0,"",SUMIFS(BD!$E$3:$E$5001,BD!$A$3:$A$5001,T$3,BD!$B$3:$B$5001,$A$269)))</f>
        <v/>
      </c>
      <c r="U271" s="173" t="str">
        <f>IF(U$3="","",IF(COUNTIFS(BD!$A$3:$A$5001,U$3,BD!$B$3:$B$5001,$A$269,BD!$E$3:$E$5001,"&lt;&gt;")=0,"",SUMIFS(BD!$E$3:$E$5001,BD!$A$3:$A$5001,U$3,BD!$B$3:$B$5001,$A$269)))</f>
        <v/>
      </c>
      <c r="V271" s="173" t="str">
        <f>IF(V$3="","",IF(COUNTIFS(BD!$A$3:$A$5001,V$3,BD!$B$3:$B$5001,$A$269,BD!$E$3:$E$5001,"&lt;&gt;")=0,"",SUMIFS(BD!$E$3:$E$5001,BD!$A$3:$A$5001,V$3,BD!$B$3:$B$5001,$A$269)))</f>
        <v/>
      </c>
      <c r="W271" s="173" t="str">
        <f>IF(W$3="","",IF(COUNTIFS(BD!$A$3:$A$5001,W$3,BD!$B$3:$B$5001,$A$269,BD!$E$3:$E$5001,"&lt;&gt;")=0,"",SUMIFS(BD!$E$3:$E$5001,BD!$A$3:$A$5001,W$3,BD!$B$3:$B$5001,$A$269)))</f>
        <v/>
      </c>
      <c r="X271" s="173" t="str">
        <f>IF(X$3="","",IF(COUNTIFS(BD!$A$3:$A$5001,X$3,BD!$B$3:$B$5001,$A$269,BD!$E$3:$E$5001,"&lt;&gt;")=0,"",SUMIFS(BD!$E$3:$E$5001,BD!$A$3:$A$5001,X$3,BD!$B$3:$B$5001,$A$269)))</f>
        <v/>
      </c>
      <c r="Y271" s="173" t="str">
        <f>IF(Y$3="","",IF(COUNTIFS(BD!$A$3:$A$5001,Y$3,BD!$B$3:$B$5001,$A$269,BD!$E$3:$E$5001,"&lt;&gt;")=0,"",SUMIFS(BD!$E$3:$E$5001,BD!$A$3:$A$5001,Y$3,BD!$B$3:$B$5001,$A$269)))</f>
        <v/>
      </c>
      <c r="Z271" s="173" t="str">
        <f>IF(Z$3="","",IF(COUNTIFS(BD!$A$3:$A$5001,Z$3,BD!$B$3:$B$5001,$A$269,BD!$E$3:$E$5001,"&lt;&gt;")=0,"",SUMIFS(BD!$E$3:$E$5001,BD!$A$3:$A$5001,Z$3,BD!$B$3:$B$5001,$A$269)))</f>
        <v/>
      </c>
      <c r="AA271" s="173" t="str">
        <f>IF(AA$3="","",IF(COUNTIFS(BD!$A$3:$A$5001,AA$3,BD!$B$3:$B$5001,$A$269,BD!$E$3:$E$5001,"&lt;&gt;")=0,"",SUMIFS(BD!$E$3:$E$5001,BD!$A$3:$A$5001,AA$3,BD!$B$3:$B$5001,$A$269)))</f>
        <v/>
      </c>
      <c r="AB271" s="173" t="str">
        <f>IF(AB$3="","",IF(COUNTIFS(BD!$A$3:$A$5001,AB$3,BD!$B$3:$B$5001,$A$269,BD!$E$3:$E$5001,"&lt;&gt;")=0,"",SUMIFS(BD!$E$3:$E$5001,BD!$A$3:$A$5001,AB$3,BD!$B$3:$B$5001,$A$269)))</f>
        <v/>
      </c>
      <c r="AC271" s="173" t="str">
        <f>IF(AC$3="","",IF(COUNTIFS(BD!$A$3:$A$5001,AC$3,BD!$B$3:$B$5001,$A$269,BD!$E$3:$E$5001,"&lt;&gt;")=0,"",SUMIFS(BD!$E$3:$E$5001,BD!$A$3:$A$5001,AC$3,BD!$B$3:$B$5001,$A$269)))</f>
        <v/>
      </c>
      <c r="AD271" s="173" t="str">
        <f>IF(AD$3="","",IF(COUNTIFS(BD!$A$3:$A$5001,AD$3,BD!$B$3:$B$5001,$A$269,BD!$E$3:$E$5001,"&lt;&gt;")=0,"",SUMIFS(BD!$E$3:$E$5001,BD!$A$3:$A$5001,AD$3,BD!$B$3:$B$5001,$A$269)))</f>
        <v/>
      </c>
      <c r="AE271" s="173" t="str">
        <f>IF(AE$3="","",IF(COUNTIFS(BD!$A$3:$A$5001,AE$3,BD!$B$3:$B$5001,$A$269,BD!$E$3:$E$5001,"&lt;&gt;")=0,"",SUMIFS(BD!$E$3:$E$5001,BD!$A$3:$A$5001,AE$3,BD!$B$3:$B$5001,$A$269)))</f>
        <v/>
      </c>
      <c r="AF271" s="173" t="str">
        <f>IF(AF$3="","",IF(COUNTIFS(BD!$A$3:$A$5001,AF$3,BD!$B$3:$B$5001,$A$269,BD!$E$3:$E$5001,"&lt;&gt;")=0,"",SUMIFS(BD!$E$3:$E$5001,BD!$A$3:$A$5001,AF$3,BD!$B$3:$B$5001,$A$269)))</f>
        <v/>
      </c>
      <c r="AG271" s="173" t="str">
        <f>IF(AG$3="","",IF(COUNTIFS(BD!$A$3:$A$5001,AG$3,BD!$B$3:$B$5001,$A$269,BD!$E$3:$E$5001,"&lt;&gt;")=0,"",SUMIFS(BD!$E$3:$E$5001,BD!$A$3:$A$5001,AG$3,BD!$B$3:$B$5001,$A$269)))</f>
        <v/>
      </c>
      <c r="AH271" s="173" t="str">
        <f>IF(AH$3="","",IF(COUNTIFS(BD!$A$3:$A$5001,AH$3,BD!$B$3:$B$5001,$A$269,BD!$E$3:$E$5001,"&lt;&gt;")=0,"",SUMIFS(BD!$E$3:$E$5001,BD!$A$3:$A$5001,AH$3,BD!$B$3:$B$5001,$A$269)))</f>
        <v/>
      </c>
      <c r="AI271" s="173" t="str">
        <f>IF(AI$3="","",IF(COUNTIFS(BD!$A$3:$A$5001,AI$3,BD!$B$3:$B$5001,$A$269,BD!$E$3:$E$5001,"&lt;&gt;")=0,"",SUMIFS(BD!$E$3:$E$5001,BD!$A$3:$A$5001,AI$3,BD!$B$3:$B$5001,$A$269)))</f>
        <v/>
      </c>
      <c r="AJ271" s="174" t="str">
        <f>IF(AJ$3="","",IF(COUNTIFS(BD!$A$3:$A$5001,AJ$3,BD!$B$3:$B$5001,$A$269,BD!$E$3:$E$5001,"&lt;&gt;")=0,"",SUMIFS(BD!$E$3:$E$5001,BD!$A$3:$A$5001,AJ$3,BD!$B$3:$B$5001,$A$269)))</f>
        <v/>
      </c>
      <c r="AK271" s="175" t="str">
        <f>IF(COUNT(F271:AJ271)=0,"",SUM(F271:AJ271))</f>
        <v/>
      </c>
    </row>
    <row r="272" ht="15.75" customHeight="1" hidden="1">
      <c r="A272" s="254"/>
      <c r="B272" s="244" t="inlineStr">
        <is>
          <t xml:space="preserve">OUT</t>
        </is>
      </c>
      <c r="C272" s="176" t="inlineStr">
        <is>
          <t xml:space="preserve">Veículos Expedidos</t>
        </is>
      </c>
      <c r="D272" s="177" t="str">
        <f>IFERROR(1/(1/INDEX(BD!$Y$26:$AS$26,MATCH($A$269,BD!$Y$22:$AS$22,0))),"")</f>
        <v/>
      </c>
      <c r="E272" s="178"/>
      <c r="F272" s="179" t="str">
        <f>IF(F$3="","",IF(COUNTIFS(BD!$A$3:$A$5001,F$3,BD!$B$3:$B$5001,$A$269,BD!$F$3:$F$5001,"&lt;&gt;")=0,"",SUMIFS(BD!$F$3:$F$5001,BD!$A$3:$A$5001,F$3,BD!$B$3:$B$5001,$A$269)))</f>
        <v/>
      </c>
      <c r="G272" s="180" t="str">
        <f>IF(G$3="","",IF(COUNTIFS(BD!$A$3:$A$5001,G$3,BD!$B$3:$B$5001,$A$269,BD!$F$3:$F$5001,"&lt;&gt;")=0,"",SUMIFS(BD!$F$3:$F$5001,BD!$A$3:$A$5001,G$3,BD!$B$3:$B$5001,$A$269)))</f>
        <v/>
      </c>
      <c r="H272" s="180" t="str">
        <f>IF(H$3="","",IF(COUNTIFS(BD!$A$3:$A$5001,H$3,BD!$B$3:$B$5001,$A$269,BD!$F$3:$F$5001,"&lt;&gt;")=0,"",SUMIFS(BD!$F$3:$F$5001,BD!$A$3:$A$5001,H$3,BD!$B$3:$B$5001,$A$269)))</f>
        <v/>
      </c>
      <c r="I272" s="180" t="str">
        <f>IF(I$3="","",IF(COUNTIFS(BD!$A$3:$A$5001,I$3,BD!$B$3:$B$5001,$A$269,BD!$F$3:$F$5001,"&lt;&gt;")=0,"",SUMIFS(BD!$F$3:$F$5001,BD!$A$3:$A$5001,I$3,BD!$B$3:$B$5001,$A$269)))</f>
        <v/>
      </c>
      <c r="J272" s="180" t="str">
        <f>IF(J$3="","",IF(COUNTIFS(BD!$A$3:$A$5001,J$3,BD!$B$3:$B$5001,$A$269,BD!$F$3:$F$5001,"&lt;&gt;")=0,"",SUMIFS(BD!$F$3:$F$5001,BD!$A$3:$A$5001,J$3,BD!$B$3:$B$5001,$A$269)))</f>
        <v/>
      </c>
      <c r="K272" s="180" t="str">
        <f>IF(K$3="","",IF(COUNTIFS(BD!$A$3:$A$5001,K$3,BD!$B$3:$B$5001,$A$269,BD!$F$3:$F$5001,"&lt;&gt;")=0,"",SUMIFS(BD!$F$3:$F$5001,BD!$A$3:$A$5001,K$3,BD!$B$3:$B$5001,$A$269)))</f>
        <v/>
      </c>
      <c r="L272" s="180" t="str">
        <f>IF(L$3="","",IF(COUNTIFS(BD!$A$3:$A$5001,L$3,BD!$B$3:$B$5001,$A$269,BD!$F$3:$F$5001,"&lt;&gt;")=0,"",SUMIFS(BD!$F$3:$F$5001,BD!$A$3:$A$5001,L$3,BD!$B$3:$B$5001,$A$269)))</f>
        <v/>
      </c>
      <c r="M272" s="180" t="str">
        <f>IF(M$3="","",IF(COUNTIFS(BD!$A$3:$A$5001,M$3,BD!$B$3:$B$5001,$A$269,BD!$F$3:$F$5001,"&lt;&gt;")=0,"",SUMIFS(BD!$F$3:$F$5001,BD!$A$3:$A$5001,M$3,BD!$B$3:$B$5001,$A$269)))</f>
        <v/>
      </c>
      <c r="N272" s="180" t="str">
        <f>IF(N$3="","",IF(COUNTIFS(BD!$A$3:$A$5001,N$3,BD!$B$3:$B$5001,$A$269,BD!$F$3:$F$5001,"&lt;&gt;")=0,"",SUMIFS(BD!$F$3:$F$5001,BD!$A$3:$A$5001,N$3,BD!$B$3:$B$5001,$A$269)))</f>
        <v/>
      </c>
      <c r="O272" s="180" t="str">
        <f>IF(O$3="","",IF(COUNTIFS(BD!$A$3:$A$5001,O$3,BD!$B$3:$B$5001,$A$269,BD!$F$3:$F$5001,"&lt;&gt;")=0,"",SUMIFS(BD!$F$3:$F$5001,BD!$A$3:$A$5001,O$3,BD!$B$3:$B$5001,$A$269)))</f>
        <v/>
      </c>
      <c r="P272" s="180" t="str">
        <f>IF(P$3="","",IF(COUNTIFS(BD!$A$3:$A$5001,P$3,BD!$B$3:$B$5001,$A$269,BD!$F$3:$F$5001,"&lt;&gt;")=0,"",SUMIFS(BD!$F$3:$F$5001,BD!$A$3:$A$5001,P$3,BD!$B$3:$B$5001,$A$269)))</f>
        <v/>
      </c>
      <c r="Q272" s="180" t="str">
        <f>IF(Q$3="","",IF(COUNTIFS(BD!$A$3:$A$5001,Q$3,BD!$B$3:$B$5001,$A$269,BD!$F$3:$F$5001,"&lt;&gt;")=0,"",SUMIFS(BD!$F$3:$F$5001,BD!$A$3:$A$5001,Q$3,BD!$B$3:$B$5001,$A$269)))</f>
        <v/>
      </c>
      <c r="R272" s="180" t="str">
        <f>IF(R$3="","",IF(COUNTIFS(BD!$A$3:$A$5001,R$3,BD!$B$3:$B$5001,$A$269,BD!$F$3:$F$5001,"&lt;&gt;")=0,"",SUMIFS(BD!$F$3:$F$5001,BD!$A$3:$A$5001,R$3,BD!$B$3:$B$5001,$A$269)))</f>
        <v/>
      </c>
      <c r="S272" s="180" t="str">
        <f>IF(S$3="","",IF(COUNTIFS(BD!$A$3:$A$5001,S$3,BD!$B$3:$B$5001,$A$269,BD!$F$3:$F$5001,"&lt;&gt;")=0,"",SUMIFS(BD!$F$3:$F$5001,BD!$A$3:$A$5001,S$3,BD!$B$3:$B$5001,$A$269)))</f>
        <v/>
      </c>
      <c r="T272" s="180" t="str">
        <f>IF(T$3="","",IF(COUNTIFS(BD!$A$3:$A$5001,T$3,BD!$B$3:$B$5001,$A$269,BD!$F$3:$F$5001,"&lt;&gt;")=0,"",SUMIFS(BD!$F$3:$F$5001,BD!$A$3:$A$5001,T$3,BD!$B$3:$B$5001,$A$269)))</f>
        <v/>
      </c>
      <c r="U272" s="180" t="str">
        <f>IF(U$3="","",IF(COUNTIFS(BD!$A$3:$A$5001,U$3,BD!$B$3:$B$5001,$A$269,BD!$F$3:$F$5001,"&lt;&gt;")=0,"",SUMIFS(BD!$F$3:$F$5001,BD!$A$3:$A$5001,U$3,BD!$B$3:$B$5001,$A$269)))</f>
        <v/>
      </c>
      <c r="V272" s="180" t="str">
        <f>IF(V$3="","",IF(COUNTIFS(BD!$A$3:$A$5001,V$3,BD!$B$3:$B$5001,$A$269,BD!$F$3:$F$5001,"&lt;&gt;")=0,"",SUMIFS(BD!$F$3:$F$5001,BD!$A$3:$A$5001,V$3,BD!$B$3:$B$5001,$A$269)))</f>
        <v/>
      </c>
      <c r="W272" s="180" t="str">
        <f>IF(W$3="","",IF(COUNTIFS(BD!$A$3:$A$5001,W$3,BD!$B$3:$B$5001,$A$269,BD!$F$3:$F$5001,"&lt;&gt;")=0,"",SUMIFS(BD!$F$3:$F$5001,BD!$A$3:$A$5001,W$3,BD!$B$3:$B$5001,$A$269)))</f>
        <v/>
      </c>
      <c r="X272" s="180" t="str">
        <f>IF(X$3="","",IF(COUNTIFS(BD!$A$3:$A$5001,X$3,BD!$B$3:$B$5001,$A$269,BD!$F$3:$F$5001,"&lt;&gt;")=0,"",SUMIFS(BD!$F$3:$F$5001,BD!$A$3:$A$5001,X$3,BD!$B$3:$B$5001,$A$269)))</f>
        <v/>
      </c>
      <c r="Y272" s="180" t="str">
        <f>IF(Y$3="","",IF(COUNTIFS(BD!$A$3:$A$5001,Y$3,BD!$B$3:$B$5001,$A$269,BD!$F$3:$F$5001,"&lt;&gt;")=0,"",SUMIFS(BD!$F$3:$F$5001,BD!$A$3:$A$5001,Y$3,BD!$B$3:$B$5001,$A$269)))</f>
        <v/>
      </c>
      <c r="Z272" s="180" t="str">
        <f>IF(Z$3="","",IF(COUNTIFS(BD!$A$3:$A$5001,Z$3,BD!$B$3:$B$5001,$A$269,BD!$F$3:$F$5001,"&lt;&gt;")=0,"",SUMIFS(BD!$F$3:$F$5001,BD!$A$3:$A$5001,Z$3,BD!$B$3:$B$5001,$A$269)))</f>
        <v/>
      </c>
      <c r="AA272" s="180" t="str">
        <f>IF(AA$3="","",IF(COUNTIFS(BD!$A$3:$A$5001,AA$3,BD!$B$3:$B$5001,$A$269,BD!$F$3:$F$5001,"&lt;&gt;")=0,"",SUMIFS(BD!$F$3:$F$5001,BD!$A$3:$A$5001,AA$3,BD!$B$3:$B$5001,$A$269)))</f>
        <v/>
      </c>
      <c r="AB272" s="180" t="str">
        <f>IF(AB$3="","",IF(COUNTIFS(BD!$A$3:$A$5001,AB$3,BD!$B$3:$B$5001,$A$269,BD!$F$3:$F$5001,"&lt;&gt;")=0,"",SUMIFS(BD!$F$3:$F$5001,BD!$A$3:$A$5001,AB$3,BD!$B$3:$B$5001,$A$269)))</f>
        <v/>
      </c>
      <c r="AC272" s="180" t="str">
        <f>IF(AC$3="","",IF(COUNTIFS(BD!$A$3:$A$5001,AC$3,BD!$B$3:$B$5001,$A$269,BD!$F$3:$F$5001,"&lt;&gt;")=0,"",SUMIFS(BD!$F$3:$F$5001,BD!$A$3:$A$5001,AC$3,BD!$B$3:$B$5001,$A$269)))</f>
        <v/>
      </c>
      <c r="AD272" s="180" t="str">
        <f>IF(AD$3="","",IF(COUNTIFS(BD!$A$3:$A$5001,AD$3,BD!$B$3:$B$5001,$A$269,BD!$F$3:$F$5001,"&lt;&gt;")=0,"",SUMIFS(BD!$F$3:$F$5001,BD!$A$3:$A$5001,AD$3,BD!$B$3:$B$5001,$A$269)))</f>
        <v/>
      </c>
      <c r="AE272" s="180" t="str">
        <f>IF(AE$3="","",IF(COUNTIFS(BD!$A$3:$A$5001,AE$3,BD!$B$3:$B$5001,$A$269,BD!$F$3:$F$5001,"&lt;&gt;")=0,"",SUMIFS(BD!$F$3:$F$5001,BD!$A$3:$A$5001,AE$3,BD!$B$3:$B$5001,$A$269)))</f>
        <v/>
      </c>
      <c r="AF272" s="180" t="str">
        <f>IF(AF$3="","",IF(COUNTIFS(BD!$A$3:$A$5001,AF$3,BD!$B$3:$B$5001,$A$269,BD!$F$3:$F$5001,"&lt;&gt;")=0,"",SUMIFS(BD!$F$3:$F$5001,BD!$A$3:$A$5001,AF$3,BD!$B$3:$B$5001,$A$269)))</f>
        <v/>
      </c>
      <c r="AG272" s="180" t="str">
        <f>IF(AG$3="","",IF(COUNTIFS(BD!$A$3:$A$5001,AG$3,BD!$B$3:$B$5001,$A$269,BD!$F$3:$F$5001,"&lt;&gt;")=0,"",SUMIFS(BD!$F$3:$F$5001,BD!$A$3:$A$5001,AG$3,BD!$B$3:$B$5001,$A$269)))</f>
        <v/>
      </c>
      <c r="AH272" s="180" t="str">
        <f>IF(AH$3="","",IF(COUNTIFS(BD!$A$3:$A$5001,AH$3,BD!$B$3:$B$5001,$A$269,BD!$F$3:$F$5001,"&lt;&gt;")=0,"",SUMIFS(BD!$F$3:$F$5001,BD!$A$3:$A$5001,AH$3,BD!$B$3:$B$5001,$A$269)))</f>
        <v/>
      </c>
      <c r="AI272" s="180" t="str">
        <f>IF(AI$3="","",IF(COUNTIFS(BD!$A$3:$A$5001,AI$3,BD!$B$3:$B$5001,$A$269,BD!$F$3:$F$5001,"&lt;&gt;")=0,"",SUMIFS(BD!$F$3:$F$5001,BD!$A$3:$A$5001,AI$3,BD!$B$3:$B$5001,$A$269)))</f>
        <v/>
      </c>
      <c r="AJ272" s="181" t="str">
        <f>IF(AJ$3="","",IF(COUNTIFS(BD!$A$3:$A$5001,AJ$3,BD!$B$3:$B$5001,$A$269,BD!$F$3:$F$5001,"&lt;&gt;")=0,"",SUMIFS(BD!$F$3:$F$5001,BD!$A$3:$A$5001,AJ$3,BD!$B$3:$B$5001,$A$269)))</f>
        <v/>
      </c>
      <c r="AK272" s="182" t="str">
        <f>IF(COUNT(F272:AJ272)=0,"",SUM(F272:AJ272))</f>
        <v/>
      </c>
    </row>
    <row r="273" ht="15.75" customHeight="1" hidden="1">
      <c r="A273" s="254"/>
      <c r="B273" s="245"/>
      <c r="C273" s="183" t="inlineStr">
        <is>
          <t xml:space="preserve">Pallets Movimentados</t>
        </is>
      </c>
      <c r="D273" s="184" t="str">
        <f>IFERROR(1/(1/INDEX(BD!$Y$27:$AS$27,MATCH($A$269,BD!$Y$22:$AS$22,0))),"")</f>
        <v/>
      </c>
      <c r="E273" s="185"/>
      <c r="F273" s="186" t="str">
        <f>IF(F$3="","",IF(COUNTIFS(BD!$A$3:$A$5001,F$3,BD!$B$3:$B$5001,$A$269,BD!$G$3:$G$5001,"&lt;&gt;")=0,"",SUMIFS(BD!$G$3:$G$5001,BD!$A$3:$A$5001,F$3,BD!$B$3:$B$5001,$A$269)))</f>
        <v/>
      </c>
      <c r="G273" s="187" t="str">
        <f>IF(G$3="","",IF(COUNTIFS(BD!$A$3:$A$5001,G$3,BD!$B$3:$B$5001,$A$269,BD!$G$3:$G$5001,"&lt;&gt;")=0,"",SUMIFS(BD!$G$3:$G$5001,BD!$A$3:$A$5001,G$3,BD!$B$3:$B$5001,$A$269)))</f>
        <v/>
      </c>
      <c r="H273" s="187" t="str">
        <f>IF(H$3="","",IF(COUNTIFS(BD!$A$3:$A$5001,H$3,BD!$B$3:$B$5001,$A$269,BD!$G$3:$G$5001,"&lt;&gt;")=0,"",SUMIFS(BD!$G$3:$G$5001,BD!$A$3:$A$5001,H$3,BD!$B$3:$B$5001,$A$269)))</f>
        <v/>
      </c>
      <c r="I273" s="187" t="str">
        <f>IF(I$3="","",IF(COUNTIFS(BD!$A$3:$A$5001,I$3,BD!$B$3:$B$5001,$A$269,BD!$G$3:$G$5001,"&lt;&gt;")=0,"",SUMIFS(BD!$G$3:$G$5001,BD!$A$3:$A$5001,I$3,BD!$B$3:$B$5001,$A$269)))</f>
        <v/>
      </c>
      <c r="J273" s="187" t="str">
        <f>IF(J$3="","",IF(COUNTIFS(BD!$A$3:$A$5001,J$3,BD!$B$3:$B$5001,$A$269,BD!$G$3:$G$5001,"&lt;&gt;")=0,"",SUMIFS(BD!$G$3:$G$5001,BD!$A$3:$A$5001,J$3,BD!$B$3:$B$5001,$A$269)))</f>
        <v/>
      </c>
      <c r="K273" s="187" t="str">
        <f>IF(K$3="","",IF(COUNTIFS(BD!$A$3:$A$5001,K$3,BD!$B$3:$B$5001,$A$269,BD!$G$3:$G$5001,"&lt;&gt;")=0,"",SUMIFS(BD!$G$3:$G$5001,BD!$A$3:$A$5001,K$3,BD!$B$3:$B$5001,$A$269)))</f>
        <v/>
      </c>
      <c r="L273" s="187" t="str">
        <f>IF(L$3="","",IF(COUNTIFS(BD!$A$3:$A$5001,L$3,BD!$B$3:$B$5001,$A$269,BD!$G$3:$G$5001,"&lt;&gt;")=0,"",SUMIFS(BD!$G$3:$G$5001,BD!$A$3:$A$5001,L$3,BD!$B$3:$B$5001,$A$269)))</f>
        <v/>
      </c>
      <c r="M273" s="187" t="str">
        <f>IF(M$3="","",IF(COUNTIFS(BD!$A$3:$A$5001,M$3,BD!$B$3:$B$5001,$A$269,BD!$G$3:$G$5001,"&lt;&gt;")=0,"",SUMIFS(BD!$G$3:$G$5001,BD!$A$3:$A$5001,M$3,BD!$B$3:$B$5001,$A$269)))</f>
        <v/>
      </c>
      <c r="N273" s="187" t="str">
        <f>IF(N$3="","",IF(COUNTIFS(BD!$A$3:$A$5001,N$3,BD!$B$3:$B$5001,$A$269,BD!$G$3:$G$5001,"&lt;&gt;")=0,"",SUMIFS(BD!$G$3:$G$5001,BD!$A$3:$A$5001,N$3,BD!$B$3:$B$5001,$A$269)))</f>
        <v/>
      </c>
      <c r="O273" s="187" t="str">
        <f>IF(O$3="","",IF(COUNTIFS(BD!$A$3:$A$5001,O$3,BD!$B$3:$B$5001,$A$269,BD!$G$3:$G$5001,"&lt;&gt;")=0,"",SUMIFS(BD!$G$3:$G$5001,BD!$A$3:$A$5001,O$3,BD!$B$3:$B$5001,$A$269)))</f>
        <v/>
      </c>
      <c r="P273" s="187" t="str">
        <f>IF(P$3="","",IF(COUNTIFS(BD!$A$3:$A$5001,P$3,BD!$B$3:$B$5001,$A$269,BD!$G$3:$G$5001,"&lt;&gt;")=0,"",SUMIFS(BD!$G$3:$G$5001,BD!$A$3:$A$5001,P$3,BD!$B$3:$B$5001,$A$269)))</f>
        <v/>
      </c>
      <c r="Q273" s="187" t="str">
        <f>IF(Q$3="","",IF(COUNTIFS(BD!$A$3:$A$5001,Q$3,BD!$B$3:$B$5001,$A$269,BD!$G$3:$G$5001,"&lt;&gt;")=0,"",SUMIFS(BD!$G$3:$G$5001,BD!$A$3:$A$5001,Q$3,BD!$B$3:$B$5001,$A$269)))</f>
        <v/>
      </c>
      <c r="R273" s="187" t="str">
        <f>IF(R$3="","",IF(COUNTIFS(BD!$A$3:$A$5001,R$3,BD!$B$3:$B$5001,$A$269,BD!$G$3:$G$5001,"&lt;&gt;")=0,"",SUMIFS(BD!$G$3:$G$5001,BD!$A$3:$A$5001,R$3,BD!$B$3:$B$5001,$A$269)))</f>
        <v/>
      </c>
      <c r="S273" s="187" t="str">
        <f>IF(S$3="","",IF(COUNTIFS(BD!$A$3:$A$5001,S$3,BD!$B$3:$B$5001,$A$269,BD!$G$3:$G$5001,"&lt;&gt;")=0,"",SUMIFS(BD!$G$3:$G$5001,BD!$A$3:$A$5001,S$3,BD!$B$3:$B$5001,$A$269)))</f>
        <v/>
      </c>
      <c r="T273" s="187" t="str">
        <f>IF(T$3="","",IF(COUNTIFS(BD!$A$3:$A$5001,T$3,BD!$B$3:$B$5001,$A$269,BD!$G$3:$G$5001,"&lt;&gt;")=0,"",SUMIFS(BD!$G$3:$G$5001,BD!$A$3:$A$5001,T$3,BD!$B$3:$B$5001,$A$269)))</f>
        <v/>
      </c>
      <c r="U273" s="187" t="str">
        <f>IF(U$3="","",IF(COUNTIFS(BD!$A$3:$A$5001,U$3,BD!$B$3:$B$5001,$A$269,BD!$G$3:$G$5001,"&lt;&gt;")=0,"",SUMIFS(BD!$G$3:$G$5001,BD!$A$3:$A$5001,U$3,BD!$B$3:$B$5001,$A$269)))</f>
        <v/>
      </c>
      <c r="V273" s="187" t="str">
        <f>IF(V$3="","",IF(COUNTIFS(BD!$A$3:$A$5001,V$3,BD!$B$3:$B$5001,$A$269,BD!$G$3:$G$5001,"&lt;&gt;")=0,"",SUMIFS(BD!$G$3:$G$5001,BD!$A$3:$A$5001,V$3,BD!$B$3:$B$5001,$A$269)))</f>
        <v/>
      </c>
      <c r="W273" s="187" t="str">
        <f>IF(W$3="","",IF(COUNTIFS(BD!$A$3:$A$5001,W$3,BD!$B$3:$B$5001,$A$269,BD!$G$3:$G$5001,"&lt;&gt;")=0,"",SUMIFS(BD!$G$3:$G$5001,BD!$A$3:$A$5001,W$3,BD!$B$3:$B$5001,$A$269)))</f>
        <v/>
      </c>
      <c r="X273" s="187" t="str">
        <f>IF(X$3="","",IF(COUNTIFS(BD!$A$3:$A$5001,X$3,BD!$B$3:$B$5001,$A$269,BD!$G$3:$G$5001,"&lt;&gt;")=0,"",SUMIFS(BD!$G$3:$G$5001,BD!$A$3:$A$5001,X$3,BD!$B$3:$B$5001,$A$269)))</f>
        <v/>
      </c>
      <c r="Y273" s="187" t="str">
        <f>IF(Y$3="","",IF(COUNTIFS(BD!$A$3:$A$5001,Y$3,BD!$B$3:$B$5001,$A$269,BD!$G$3:$G$5001,"&lt;&gt;")=0,"",SUMIFS(BD!$G$3:$G$5001,BD!$A$3:$A$5001,Y$3,BD!$B$3:$B$5001,$A$269)))</f>
        <v/>
      </c>
      <c r="Z273" s="187" t="str">
        <f>IF(Z$3="","",IF(COUNTIFS(BD!$A$3:$A$5001,Z$3,BD!$B$3:$B$5001,$A$269,BD!$G$3:$G$5001,"&lt;&gt;")=0,"",SUMIFS(BD!$G$3:$G$5001,BD!$A$3:$A$5001,Z$3,BD!$B$3:$B$5001,$A$269)))</f>
        <v/>
      </c>
      <c r="AA273" s="187" t="str">
        <f>IF(AA$3="","",IF(COUNTIFS(BD!$A$3:$A$5001,AA$3,BD!$B$3:$B$5001,$A$269,BD!$G$3:$G$5001,"&lt;&gt;")=0,"",SUMIFS(BD!$G$3:$G$5001,BD!$A$3:$A$5001,AA$3,BD!$B$3:$B$5001,$A$269)))</f>
        <v/>
      </c>
      <c r="AB273" s="187" t="str">
        <f>IF(AB$3="","",IF(COUNTIFS(BD!$A$3:$A$5001,AB$3,BD!$B$3:$B$5001,$A$269,BD!$G$3:$G$5001,"&lt;&gt;")=0,"",SUMIFS(BD!$G$3:$G$5001,BD!$A$3:$A$5001,AB$3,BD!$B$3:$B$5001,$A$269)))</f>
        <v/>
      </c>
      <c r="AC273" s="187" t="str">
        <f>IF(AC$3="","",IF(COUNTIFS(BD!$A$3:$A$5001,AC$3,BD!$B$3:$B$5001,$A$269,BD!$G$3:$G$5001,"&lt;&gt;")=0,"",SUMIFS(BD!$G$3:$G$5001,BD!$A$3:$A$5001,AC$3,BD!$B$3:$B$5001,$A$269)))</f>
        <v/>
      </c>
      <c r="AD273" s="187" t="str">
        <f>IF(AD$3="","",IF(COUNTIFS(BD!$A$3:$A$5001,AD$3,BD!$B$3:$B$5001,$A$269,BD!$G$3:$G$5001,"&lt;&gt;")=0,"",SUMIFS(BD!$G$3:$G$5001,BD!$A$3:$A$5001,AD$3,BD!$B$3:$B$5001,$A$269)))</f>
        <v/>
      </c>
      <c r="AE273" s="187" t="str">
        <f>IF(AE$3="","",IF(COUNTIFS(BD!$A$3:$A$5001,AE$3,BD!$B$3:$B$5001,$A$269,BD!$G$3:$G$5001,"&lt;&gt;")=0,"",SUMIFS(BD!$G$3:$G$5001,BD!$A$3:$A$5001,AE$3,BD!$B$3:$B$5001,$A$269)))</f>
        <v/>
      </c>
      <c r="AF273" s="187" t="str">
        <f>IF(AF$3="","",IF(COUNTIFS(BD!$A$3:$A$5001,AF$3,BD!$B$3:$B$5001,$A$269,BD!$G$3:$G$5001,"&lt;&gt;")=0,"",SUMIFS(BD!$G$3:$G$5001,BD!$A$3:$A$5001,AF$3,BD!$B$3:$B$5001,$A$269)))</f>
        <v/>
      </c>
      <c r="AG273" s="187" t="str">
        <f>IF(AG$3="","",IF(COUNTIFS(BD!$A$3:$A$5001,AG$3,BD!$B$3:$B$5001,$A$269,BD!$G$3:$G$5001,"&lt;&gt;")=0,"",SUMIFS(BD!$G$3:$G$5001,BD!$A$3:$A$5001,AG$3,BD!$B$3:$B$5001,$A$269)))</f>
        <v/>
      </c>
      <c r="AH273" s="187" t="str">
        <f>IF(AH$3="","",IF(COUNTIFS(BD!$A$3:$A$5001,AH$3,BD!$B$3:$B$5001,$A$269,BD!$G$3:$G$5001,"&lt;&gt;")=0,"",SUMIFS(BD!$G$3:$G$5001,BD!$A$3:$A$5001,AH$3,BD!$B$3:$B$5001,$A$269)))</f>
        <v/>
      </c>
      <c r="AI273" s="187" t="str">
        <f>IF(AI$3="","",IF(COUNTIFS(BD!$A$3:$A$5001,AI$3,BD!$B$3:$B$5001,$A$269,BD!$G$3:$G$5001,"&lt;&gt;")=0,"",SUMIFS(BD!$G$3:$G$5001,BD!$A$3:$A$5001,AI$3,BD!$B$3:$B$5001,$A$269)))</f>
        <v/>
      </c>
      <c r="AJ273" s="188" t="str">
        <f>IF(AJ$3="","",IF(COUNTIFS(BD!$A$3:$A$5001,AJ$3,BD!$B$3:$B$5001,$A$269,BD!$G$3:$G$5001,"&lt;&gt;")=0,"",SUMIFS(BD!$G$3:$G$5001,BD!$A$3:$A$5001,AJ$3,BD!$B$3:$B$5001,$A$269)))</f>
        <v/>
      </c>
      <c r="AK273" s="189" t="str">
        <f>IF(COUNT(F273:AJ273)=0,"",SUM(F273:AJ273))</f>
        <v/>
      </c>
    </row>
    <row r="274" ht="15.75" customHeight="1" hidden="1">
      <c r="A274" s="254"/>
      <c r="B274" s="246"/>
      <c r="C274" s="190" t="inlineStr">
        <is>
          <t xml:space="preserve">Toneladas Movimentadas</t>
        </is>
      </c>
      <c r="D274" s="191" t="str">
        <f>IFERROR(1/(1/INDEX(BD!$Y$28:$AS$28,MATCH($A$269,BD!$Y$22:$AS$22,0))),"")</f>
        <v/>
      </c>
      <c r="E274" s="192"/>
      <c r="F274" s="193" t="str">
        <f>IF(F$3="","",IF(COUNTIFS(BD!$A$3:$A$5001,F$3,BD!$B$3:$B$5001,$A$269,BD!$H$3:$H$5001,"&lt;&gt;")=0,"",SUMIFS(BD!$H$3:$H$5001,BD!$A$3:$A$5001,F$3,BD!$B$3:$B$5001,$A$269)))</f>
        <v/>
      </c>
      <c r="G274" s="194" t="str">
        <f>IF(G$3="","",IF(COUNTIFS(BD!$A$3:$A$5001,G$3,BD!$B$3:$B$5001,$A$269,BD!$H$3:$H$5001,"&lt;&gt;")=0,"",SUMIFS(BD!$H$3:$H$5001,BD!$A$3:$A$5001,G$3,BD!$B$3:$B$5001,$A$269)))</f>
        <v/>
      </c>
      <c r="H274" s="194" t="str">
        <f>IF(H$3="","",IF(COUNTIFS(BD!$A$3:$A$5001,H$3,BD!$B$3:$B$5001,$A$269,BD!$H$3:$H$5001,"&lt;&gt;")=0,"",SUMIFS(BD!$H$3:$H$5001,BD!$A$3:$A$5001,H$3,BD!$B$3:$B$5001,$A$269)))</f>
        <v/>
      </c>
      <c r="I274" s="194" t="str">
        <f>IF(I$3="","",IF(COUNTIFS(BD!$A$3:$A$5001,I$3,BD!$B$3:$B$5001,$A$269,BD!$H$3:$H$5001,"&lt;&gt;")=0,"",SUMIFS(BD!$H$3:$H$5001,BD!$A$3:$A$5001,I$3,BD!$B$3:$B$5001,$A$269)))</f>
        <v/>
      </c>
      <c r="J274" s="194" t="str">
        <f>IF(J$3="","",IF(COUNTIFS(BD!$A$3:$A$5001,J$3,BD!$B$3:$B$5001,$A$269,BD!$H$3:$H$5001,"&lt;&gt;")=0,"",SUMIFS(BD!$H$3:$H$5001,BD!$A$3:$A$5001,J$3,BD!$B$3:$B$5001,$A$269)))</f>
        <v/>
      </c>
      <c r="K274" s="194" t="str">
        <f>IF(K$3="","",IF(COUNTIFS(BD!$A$3:$A$5001,K$3,BD!$B$3:$B$5001,$A$269,BD!$H$3:$H$5001,"&lt;&gt;")=0,"",SUMIFS(BD!$H$3:$H$5001,BD!$A$3:$A$5001,K$3,BD!$B$3:$B$5001,$A$269)))</f>
        <v/>
      </c>
      <c r="L274" s="194" t="str">
        <f>IF(L$3="","",IF(COUNTIFS(BD!$A$3:$A$5001,L$3,BD!$B$3:$B$5001,$A$269,BD!$H$3:$H$5001,"&lt;&gt;")=0,"",SUMIFS(BD!$H$3:$H$5001,BD!$A$3:$A$5001,L$3,BD!$B$3:$B$5001,$A$269)))</f>
        <v/>
      </c>
      <c r="M274" s="194" t="str">
        <f>IF(M$3="","",IF(COUNTIFS(BD!$A$3:$A$5001,M$3,BD!$B$3:$B$5001,$A$269,BD!$H$3:$H$5001,"&lt;&gt;")=0,"",SUMIFS(BD!$H$3:$H$5001,BD!$A$3:$A$5001,M$3,BD!$B$3:$B$5001,$A$269)))</f>
        <v/>
      </c>
      <c r="N274" s="194" t="str">
        <f>IF(N$3="","",IF(COUNTIFS(BD!$A$3:$A$5001,N$3,BD!$B$3:$B$5001,$A$269,BD!$H$3:$H$5001,"&lt;&gt;")=0,"",SUMIFS(BD!$H$3:$H$5001,BD!$A$3:$A$5001,N$3,BD!$B$3:$B$5001,$A$269)))</f>
        <v/>
      </c>
      <c r="O274" s="194" t="str">
        <f>IF(O$3="","",IF(COUNTIFS(BD!$A$3:$A$5001,O$3,BD!$B$3:$B$5001,$A$269,BD!$H$3:$H$5001,"&lt;&gt;")=0,"",SUMIFS(BD!$H$3:$H$5001,BD!$A$3:$A$5001,O$3,BD!$B$3:$B$5001,$A$269)))</f>
        <v/>
      </c>
      <c r="P274" s="194" t="str">
        <f>IF(P$3="","",IF(COUNTIFS(BD!$A$3:$A$5001,P$3,BD!$B$3:$B$5001,$A$269,BD!$H$3:$H$5001,"&lt;&gt;")=0,"",SUMIFS(BD!$H$3:$H$5001,BD!$A$3:$A$5001,P$3,BD!$B$3:$B$5001,$A$269)))</f>
        <v/>
      </c>
      <c r="Q274" s="194" t="str">
        <f>IF(Q$3="","",IF(COUNTIFS(BD!$A$3:$A$5001,Q$3,BD!$B$3:$B$5001,$A$269,BD!$H$3:$H$5001,"&lt;&gt;")=0,"",SUMIFS(BD!$H$3:$H$5001,BD!$A$3:$A$5001,Q$3,BD!$B$3:$B$5001,$A$269)))</f>
        <v/>
      </c>
      <c r="R274" s="194" t="str">
        <f>IF(R$3="","",IF(COUNTIFS(BD!$A$3:$A$5001,R$3,BD!$B$3:$B$5001,$A$269,BD!$H$3:$H$5001,"&lt;&gt;")=0,"",SUMIFS(BD!$H$3:$H$5001,BD!$A$3:$A$5001,R$3,BD!$B$3:$B$5001,$A$269)))</f>
        <v/>
      </c>
      <c r="S274" s="194" t="str">
        <f>IF(S$3="","",IF(COUNTIFS(BD!$A$3:$A$5001,S$3,BD!$B$3:$B$5001,$A$269,BD!$H$3:$H$5001,"&lt;&gt;")=0,"",SUMIFS(BD!$H$3:$H$5001,BD!$A$3:$A$5001,S$3,BD!$B$3:$B$5001,$A$269)))</f>
        <v/>
      </c>
      <c r="T274" s="194" t="str">
        <f>IF(T$3="","",IF(COUNTIFS(BD!$A$3:$A$5001,T$3,BD!$B$3:$B$5001,$A$269,BD!$H$3:$H$5001,"&lt;&gt;")=0,"",SUMIFS(BD!$H$3:$H$5001,BD!$A$3:$A$5001,T$3,BD!$B$3:$B$5001,$A$269)))</f>
        <v/>
      </c>
      <c r="U274" s="194" t="str">
        <f>IF(U$3="","",IF(COUNTIFS(BD!$A$3:$A$5001,U$3,BD!$B$3:$B$5001,$A$269,BD!$H$3:$H$5001,"&lt;&gt;")=0,"",SUMIFS(BD!$H$3:$H$5001,BD!$A$3:$A$5001,U$3,BD!$B$3:$B$5001,$A$269)))</f>
        <v/>
      </c>
      <c r="V274" s="194" t="str">
        <f>IF(V$3="","",IF(COUNTIFS(BD!$A$3:$A$5001,V$3,BD!$B$3:$B$5001,$A$269,BD!$H$3:$H$5001,"&lt;&gt;")=0,"",SUMIFS(BD!$H$3:$H$5001,BD!$A$3:$A$5001,V$3,BD!$B$3:$B$5001,$A$269)))</f>
        <v/>
      </c>
      <c r="W274" s="194" t="str">
        <f>IF(W$3="","",IF(COUNTIFS(BD!$A$3:$A$5001,W$3,BD!$B$3:$B$5001,$A$269,BD!$H$3:$H$5001,"&lt;&gt;")=0,"",SUMIFS(BD!$H$3:$H$5001,BD!$A$3:$A$5001,W$3,BD!$B$3:$B$5001,$A$269)))</f>
        <v/>
      </c>
      <c r="X274" s="194" t="str">
        <f>IF(X$3="","",IF(COUNTIFS(BD!$A$3:$A$5001,X$3,BD!$B$3:$B$5001,$A$269,BD!$H$3:$H$5001,"&lt;&gt;")=0,"",SUMIFS(BD!$H$3:$H$5001,BD!$A$3:$A$5001,X$3,BD!$B$3:$B$5001,$A$269)))</f>
        <v/>
      </c>
      <c r="Y274" s="194" t="str">
        <f>IF(Y$3="","",IF(COUNTIFS(BD!$A$3:$A$5001,Y$3,BD!$B$3:$B$5001,$A$269,BD!$H$3:$H$5001,"&lt;&gt;")=0,"",SUMIFS(BD!$H$3:$H$5001,BD!$A$3:$A$5001,Y$3,BD!$B$3:$B$5001,$A$269)))</f>
        <v/>
      </c>
      <c r="Z274" s="194" t="str">
        <f>IF(Z$3="","",IF(COUNTIFS(BD!$A$3:$A$5001,Z$3,BD!$B$3:$B$5001,$A$269,BD!$H$3:$H$5001,"&lt;&gt;")=0,"",SUMIFS(BD!$H$3:$H$5001,BD!$A$3:$A$5001,Z$3,BD!$B$3:$B$5001,$A$269)))</f>
        <v/>
      </c>
      <c r="AA274" s="194" t="str">
        <f>IF(AA$3="","",IF(COUNTIFS(BD!$A$3:$A$5001,AA$3,BD!$B$3:$B$5001,$A$269,BD!$H$3:$H$5001,"&lt;&gt;")=0,"",SUMIFS(BD!$H$3:$H$5001,BD!$A$3:$A$5001,AA$3,BD!$B$3:$B$5001,$A$269)))</f>
        <v/>
      </c>
      <c r="AB274" s="194" t="str">
        <f>IF(AB$3="","",IF(COUNTIFS(BD!$A$3:$A$5001,AB$3,BD!$B$3:$B$5001,$A$269,BD!$H$3:$H$5001,"&lt;&gt;")=0,"",SUMIFS(BD!$H$3:$H$5001,BD!$A$3:$A$5001,AB$3,BD!$B$3:$B$5001,$A$269)))</f>
        <v/>
      </c>
      <c r="AC274" s="194" t="str">
        <f>IF(AC$3="","",IF(COUNTIFS(BD!$A$3:$A$5001,AC$3,BD!$B$3:$B$5001,$A$269,BD!$H$3:$H$5001,"&lt;&gt;")=0,"",SUMIFS(BD!$H$3:$H$5001,BD!$A$3:$A$5001,AC$3,BD!$B$3:$B$5001,$A$269)))</f>
        <v/>
      </c>
      <c r="AD274" s="194" t="str">
        <f>IF(AD$3="","",IF(COUNTIFS(BD!$A$3:$A$5001,AD$3,BD!$B$3:$B$5001,$A$269,BD!$H$3:$H$5001,"&lt;&gt;")=0,"",SUMIFS(BD!$H$3:$H$5001,BD!$A$3:$A$5001,AD$3,BD!$B$3:$B$5001,$A$269)))</f>
        <v/>
      </c>
      <c r="AE274" s="194" t="str">
        <f>IF(AE$3="","",IF(COUNTIFS(BD!$A$3:$A$5001,AE$3,BD!$B$3:$B$5001,$A$269,BD!$H$3:$H$5001,"&lt;&gt;")=0,"",SUMIFS(BD!$H$3:$H$5001,BD!$A$3:$A$5001,AE$3,BD!$B$3:$B$5001,$A$269)))</f>
        <v/>
      </c>
      <c r="AF274" s="194" t="str">
        <f>IF(AF$3="","",IF(COUNTIFS(BD!$A$3:$A$5001,AF$3,BD!$B$3:$B$5001,$A$269,BD!$H$3:$H$5001,"&lt;&gt;")=0,"",SUMIFS(BD!$H$3:$H$5001,BD!$A$3:$A$5001,AF$3,BD!$B$3:$B$5001,$A$269)))</f>
        <v/>
      </c>
      <c r="AG274" s="194" t="str">
        <f>IF(AG$3="","",IF(COUNTIFS(BD!$A$3:$A$5001,AG$3,BD!$B$3:$B$5001,$A$269,BD!$H$3:$H$5001,"&lt;&gt;")=0,"",SUMIFS(BD!$H$3:$H$5001,BD!$A$3:$A$5001,AG$3,BD!$B$3:$B$5001,$A$269)))</f>
        <v/>
      </c>
      <c r="AH274" s="194" t="str">
        <f>IF(AH$3="","",IF(COUNTIFS(BD!$A$3:$A$5001,AH$3,BD!$B$3:$B$5001,$A$269,BD!$H$3:$H$5001,"&lt;&gt;")=0,"",SUMIFS(BD!$H$3:$H$5001,BD!$A$3:$A$5001,AH$3,BD!$B$3:$B$5001,$A$269)))</f>
        <v/>
      </c>
      <c r="AI274" s="194" t="str">
        <f>IF(AI$3="","",IF(COUNTIFS(BD!$A$3:$A$5001,AI$3,BD!$B$3:$B$5001,$A$269,BD!$H$3:$H$5001,"&lt;&gt;")=0,"",SUMIFS(BD!$H$3:$H$5001,BD!$A$3:$A$5001,AI$3,BD!$B$3:$B$5001,$A$269)))</f>
        <v/>
      </c>
      <c r="AJ274" s="195" t="str">
        <f>IF(AJ$3="","",IF(COUNTIFS(BD!$A$3:$A$5001,AJ$3,BD!$B$3:$B$5001,$A$269,BD!$H$3:$H$5001,"&lt;&gt;")=0,"",SUMIFS(BD!$H$3:$H$5001,BD!$A$3:$A$5001,AJ$3,BD!$B$3:$B$5001,$A$269)))</f>
        <v/>
      </c>
      <c r="AK274" s="196" t="str">
        <f>IF(COUNT(F274:AJ274)=0,"",SUM(F274:AJ274))</f>
        <v/>
      </c>
    </row>
    <row r="275" ht="15.75" customHeight="1" hidden="1">
      <c r="A275" s="254"/>
      <c r="B275" s="247" t="inlineStr">
        <is>
          <t xml:space="preserve">NC</t>
        </is>
      </c>
      <c r="C275" s="197" t="inlineStr">
        <is>
          <t xml:space="preserve">Incidentes</t>
        </is>
      </c>
      <c r="D275" s="198" t="str">
        <f>IFERROR(1/(1/INDEX(BD!$Y$29:$AS$29,MATCH($A$269,BD!$Y$22:$AS$22,0))),"")</f>
        <v/>
      </c>
      <c r="E275" s="199"/>
      <c r="F275" s="200" t="str">
        <f>IF(F$3="","",IF(COUNTIFS(BD!$A$3:$A$5001,F$3,BD!$B$3:$B$5001,$A$269,BD!$I$3:$I$5001,"&lt;&gt;")=0,"",SUMIFS(BD!$I$3:$I$5001,BD!$A$3:$A$5001,F$3,BD!$B$3:$B$5001,$A$269)))</f>
        <v/>
      </c>
      <c r="G275" s="201" t="str">
        <f>IF(G$3="","",IF(COUNTIFS(BD!$A$3:$A$5001,G$3,BD!$B$3:$B$5001,$A$269,BD!$I$3:$I$5001,"&lt;&gt;")=0,"",SUMIFS(BD!$I$3:$I$5001,BD!$A$3:$A$5001,G$3,BD!$B$3:$B$5001,$A$269)))</f>
        <v/>
      </c>
      <c r="H275" s="201" t="str">
        <f>IF(H$3="","",IF(COUNTIFS(BD!$A$3:$A$5001,H$3,BD!$B$3:$B$5001,$A$269,BD!$I$3:$I$5001,"&lt;&gt;")=0,"",SUMIFS(BD!$I$3:$I$5001,BD!$A$3:$A$5001,H$3,BD!$B$3:$B$5001,$A$269)))</f>
        <v/>
      </c>
      <c r="I275" s="201" t="str">
        <f>IF(I$3="","",IF(COUNTIFS(BD!$A$3:$A$5001,I$3,BD!$B$3:$B$5001,$A$269,BD!$I$3:$I$5001,"&lt;&gt;")=0,"",SUMIFS(BD!$I$3:$I$5001,BD!$A$3:$A$5001,I$3,BD!$B$3:$B$5001,$A$269)))</f>
        <v/>
      </c>
      <c r="J275" s="201" t="str">
        <f>IF(J$3="","",IF(COUNTIFS(BD!$A$3:$A$5001,J$3,BD!$B$3:$B$5001,$A$269,BD!$I$3:$I$5001,"&lt;&gt;")=0,"",SUMIFS(BD!$I$3:$I$5001,BD!$A$3:$A$5001,J$3,BD!$B$3:$B$5001,$A$269)))</f>
        <v/>
      </c>
      <c r="K275" s="201" t="str">
        <f>IF(K$3="","",IF(COUNTIFS(BD!$A$3:$A$5001,K$3,BD!$B$3:$B$5001,$A$269,BD!$I$3:$I$5001,"&lt;&gt;")=0,"",SUMIFS(BD!$I$3:$I$5001,BD!$A$3:$A$5001,K$3,BD!$B$3:$B$5001,$A$269)))</f>
        <v/>
      </c>
      <c r="L275" s="201" t="str">
        <f>IF(L$3="","",IF(COUNTIFS(BD!$A$3:$A$5001,L$3,BD!$B$3:$B$5001,$A$269,BD!$I$3:$I$5001,"&lt;&gt;")=0,"",SUMIFS(BD!$I$3:$I$5001,BD!$A$3:$A$5001,L$3,BD!$B$3:$B$5001,$A$269)))</f>
        <v/>
      </c>
      <c r="M275" s="201" t="str">
        <f>IF(M$3="","",IF(COUNTIFS(BD!$A$3:$A$5001,M$3,BD!$B$3:$B$5001,$A$269,BD!$I$3:$I$5001,"&lt;&gt;")=0,"",SUMIFS(BD!$I$3:$I$5001,BD!$A$3:$A$5001,M$3,BD!$B$3:$B$5001,$A$269)))</f>
        <v/>
      </c>
      <c r="N275" s="201" t="str">
        <f>IF(N$3="","",IF(COUNTIFS(BD!$A$3:$A$5001,N$3,BD!$B$3:$B$5001,$A$269,BD!$I$3:$I$5001,"&lt;&gt;")=0,"",SUMIFS(BD!$I$3:$I$5001,BD!$A$3:$A$5001,N$3,BD!$B$3:$B$5001,$A$269)))</f>
        <v/>
      </c>
      <c r="O275" s="201" t="str">
        <f>IF(O$3="","",IF(COUNTIFS(BD!$A$3:$A$5001,O$3,BD!$B$3:$B$5001,$A$269,BD!$I$3:$I$5001,"&lt;&gt;")=0,"",SUMIFS(BD!$I$3:$I$5001,BD!$A$3:$A$5001,O$3,BD!$B$3:$B$5001,$A$269)))</f>
        <v/>
      </c>
      <c r="P275" s="201" t="str">
        <f>IF(P$3="","",IF(COUNTIFS(BD!$A$3:$A$5001,P$3,BD!$B$3:$B$5001,$A$269,BD!$I$3:$I$5001,"&lt;&gt;")=0,"",SUMIFS(BD!$I$3:$I$5001,BD!$A$3:$A$5001,P$3,BD!$B$3:$B$5001,$A$269)))</f>
        <v/>
      </c>
      <c r="Q275" s="201" t="str">
        <f>IF(Q$3="","",IF(COUNTIFS(BD!$A$3:$A$5001,Q$3,BD!$B$3:$B$5001,$A$269,BD!$I$3:$I$5001,"&lt;&gt;")=0,"",SUMIFS(BD!$I$3:$I$5001,BD!$A$3:$A$5001,Q$3,BD!$B$3:$B$5001,$A$269)))</f>
        <v/>
      </c>
      <c r="R275" s="201" t="str">
        <f>IF(R$3="","",IF(COUNTIFS(BD!$A$3:$A$5001,R$3,BD!$B$3:$B$5001,$A$269,BD!$I$3:$I$5001,"&lt;&gt;")=0,"",SUMIFS(BD!$I$3:$I$5001,BD!$A$3:$A$5001,R$3,BD!$B$3:$B$5001,$A$269)))</f>
        <v/>
      </c>
      <c r="S275" s="201" t="str">
        <f>IF(S$3="","",IF(COUNTIFS(BD!$A$3:$A$5001,S$3,BD!$B$3:$B$5001,$A$269,BD!$I$3:$I$5001,"&lt;&gt;")=0,"",SUMIFS(BD!$I$3:$I$5001,BD!$A$3:$A$5001,S$3,BD!$B$3:$B$5001,$A$269)))</f>
        <v/>
      </c>
      <c r="T275" s="201" t="str">
        <f>IF(T$3="","",IF(COUNTIFS(BD!$A$3:$A$5001,T$3,BD!$B$3:$B$5001,$A$269,BD!$I$3:$I$5001,"&lt;&gt;")=0,"",SUMIFS(BD!$I$3:$I$5001,BD!$A$3:$A$5001,T$3,BD!$B$3:$B$5001,$A$269)))</f>
        <v/>
      </c>
      <c r="U275" s="201" t="str">
        <f>IF(U$3="","",IF(COUNTIFS(BD!$A$3:$A$5001,U$3,BD!$B$3:$B$5001,$A$269,BD!$I$3:$I$5001,"&lt;&gt;")=0,"",SUMIFS(BD!$I$3:$I$5001,BD!$A$3:$A$5001,U$3,BD!$B$3:$B$5001,$A$269)))</f>
        <v/>
      </c>
      <c r="V275" s="201" t="str">
        <f>IF(V$3="","",IF(COUNTIFS(BD!$A$3:$A$5001,V$3,BD!$B$3:$B$5001,$A$269,BD!$I$3:$I$5001,"&lt;&gt;")=0,"",SUMIFS(BD!$I$3:$I$5001,BD!$A$3:$A$5001,V$3,BD!$B$3:$B$5001,$A$269)))</f>
        <v/>
      </c>
      <c r="W275" s="201" t="str">
        <f>IF(W$3="","",IF(COUNTIFS(BD!$A$3:$A$5001,W$3,BD!$B$3:$B$5001,$A$269,BD!$I$3:$I$5001,"&lt;&gt;")=0,"",SUMIFS(BD!$I$3:$I$5001,BD!$A$3:$A$5001,W$3,BD!$B$3:$B$5001,$A$269)))</f>
        <v/>
      </c>
      <c r="X275" s="201" t="str">
        <f>IF(X$3="","",IF(COUNTIFS(BD!$A$3:$A$5001,X$3,BD!$B$3:$B$5001,$A$269,BD!$I$3:$I$5001,"&lt;&gt;")=0,"",SUMIFS(BD!$I$3:$I$5001,BD!$A$3:$A$5001,X$3,BD!$B$3:$B$5001,$A$269)))</f>
        <v/>
      </c>
      <c r="Y275" s="201" t="str">
        <f>IF(Y$3="","",IF(COUNTIFS(BD!$A$3:$A$5001,Y$3,BD!$B$3:$B$5001,$A$269,BD!$I$3:$I$5001,"&lt;&gt;")=0,"",SUMIFS(BD!$I$3:$I$5001,BD!$A$3:$A$5001,Y$3,BD!$B$3:$B$5001,$A$269)))</f>
        <v/>
      </c>
      <c r="Z275" s="201" t="str">
        <f>IF(Z$3="","",IF(COUNTIFS(BD!$A$3:$A$5001,Z$3,BD!$B$3:$B$5001,$A$269,BD!$I$3:$I$5001,"&lt;&gt;")=0,"",SUMIFS(BD!$I$3:$I$5001,BD!$A$3:$A$5001,Z$3,BD!$B$3:$B$5001,$A$269)))</f>
        <v/>
      </c>
      <c r="AA275" s="201" t="str">
        <f>IF(AA$3="","",IF(COUNTIFS(BD!$A$3:$A$5001,AA$3,BD!$B$3:$B$5001,$A$269,BD!$I$3:$I$5001,"&lt;&gt;")=0,"",SUMIFS(BD!$I$3:$I$5001,BD!$A$3:$A$5001,AA$3,BD!$B$3:$B$5001,$A$269)))</f>
        <v/>
      </c>
      <c r="AB275" s="201" t="str">
        <f>IF(AB$3="","",IF(COUNTIFS(BD!$A$3:$A$5001,AB$3,BD!$B$3:$B$5001,$A$269,BD!$I$3:$I$5001,"&lt;&gt;")=0,"",SUMIFS(BD!$I$3:$I$5001,BD!$A$3:$A$5001,AB$3,BD!$B$3:$B$5001,$A$269)))</f>
        <v/>
      </c>
      <c r="AC275" s="201" t="str">
        <f>IF(AC$3="","",IF(COUNTIFS(BD!$A$3:$A$5001,AC$3,BD!$B$3:$B$5001,$A$269,BD!$I$3:$I$5001,"&lt;&gt;")=0,"",SUMIFS(BD!$I$3:$I$5001,BD!$A$3:$A$5001,AC$3,BD!$B$3:$B$5001,$A$269)))</f>
        <v/>
      </c>
      <c r="AD275" s="201" t="str">
        <f>IF(AD$3="","",IF(COUNTIFS(BD!$A$3:$A$5001,AD$3,BD!$B$3:$B$5001,$A$269,BD!$I$3:$I$5001,"&lt;&gt;")=0,"",SUMIFS(BD!$I$3:$I$5001,BD!$A$3:$A$5001,AD$3,BD!$B$3:$B$5001,$A$269)))</f>
        <v/>
      </c>
      <c r="AE275" s="201" t="str">
        <f>IF(AE$3="","",IF(COUNTIFS(BD!$A$3:$A$5001,AE$3,BD!$B$3:$B$5001,$A$269,BD!$I$3:$I$5001,"&lt;&gt;")=0,"",SUMIFS(BD!$I$3:$I$5001,BD!$A$3:$A$5001,AE$3,BD!$B$3:$B$5001,$A$269)))</f>
        <v/>
      </c>
      <c r="AF275" s="201" t="str">
        <f>IF(AF$3="","",IF(COUNTIFS(BD!$A$3:$A$5001,AF$3,BD!$B$3:$B$5001,$A$269,BD!$I$3:$I$5001,"&lt;&gt;")=0,"",SUMIFS(BD!$I$3:$I$5001,BD!$A$3:$A$5001,AF$3,BD!$B$3:$B$5001,$A$269)))</f>
        <v/>
      </c>
      <c r="AG275" s="201" t="str">
        <f>IF(AG$3="","",IF(COUNTIFS(BD!$A$3:$A$5001,AG$3,BD!$B$3:$B$5001,$A$269,BD!$I$3:$I$5001,"&lt;&gt;")=0,"",SUMIFS(BD!$I$3:$I$5001,BD!$A$3:$A$5001,AG$3,BD!$B$3:$B$5001,$A$269)))</f>
        <v/>
      </c>
      <c r="AH275" s="201" t="str">
        <f>IF(AH$3="","",IF(COUNTIFS(BD!$A$3:$A$5001,AH$3,BD!$B$3:$B$5001,$A$269,BD!$I$3:$I$5001,"&lt;&gt;")=0,"",SUMIFS(BD!$I$3:$I$5001,BD!$A$3:$A$5001,AH$3,BD!$B$3:$B$5001,$A$269)))</f>
        <v/>
      </c>
      <c r="AI275" s="201" t="str">
        <f>IF(AI$3="","",IF(COUNTIFS(BD!$A$3:$A$5001,AI$3,BD!$B$3:$B$5001,$A$269,BD!$I$3:$I$5001,"&lt;&gt;")=0,"",SUMIFS(BD!$I$3:$I$5001,BD!$A$3:$A$5001,AI$3,BD!$B$3:$B$5001,$A$269)))</f>
        <v/>
      </c>
      <c r="AJ275" s="202" t="str">
        <f>IF(AJ$3="","",IF(COUNTIFS(BD!$A$3:$A$5001,AJ$3,BD!$B$3:$B$5001,$A$269,BD!$I$3:$I$5001,"&lt;&gt;")=0,"",SUMIFS(BD!$I$3:$I$5001,BD!$A$3:$A$5001,AJ$3,BD!$B$3:$B$5001,$A$269)))</f>
        <v/>
      </c>
      <c r="AK275" s="203" t="str">
        <f>IF(COUNT(F275:AJ275)=0,"",SUM(F275:AJ275))</f>
        <v/>
      </c>
    </row>
    <row r="276" ht="15.75" customHeight="1" hidden="1">
      <c r="A276" s="254"/>
      <c r="B276" s="248"/>
      <c r="C276" s="204" t="inlineStr">
        <is>
          <t xml:space="preserve">No show</t>
        </is>
      </c>
      <c r="D276" s="205" t="str">
        <f>IFERROR(1/(1/INDEX(BD!$Y$30:$AS$30,MATCH($A$269,BD!$Y$22:$AS$22,0))),"")</f>
        <v/>
      </c>
      <c r="E276" s="206"/>
      <c r="F276" s="207" t="str">
        <f>IF(F$3="","",IF(COUNTIFS(BD!$A$3:$A$5001,F$3,BD!$B$3:$B$5001,$A$269,BD!$J$3:$J$5001,"&lt;&gt;")=0,"",SUMIFS(BD!$J$3:$J$5001,BD!$A$3:$A$5001,F$3,BD!$B$3:$B$5001,$A$269)))</f>
        <v/>
      </c>
      <c r="G276" s="208" t="str">
        <f>IF(G$3="","",IF(COUNTIFS(BD!$A$3:$A$5001,G$3,BD!$B$3:$B$5001,$A$269,BD!$J$3:$J$5001,"&lt;&gt;")=0,"",SUMIFS(BD!$J$3:$J$5001,BD!$A$3:$A$5001,G$3,BD!$B$3:$B$5001,$A$269)))</f>
        <v/>
      </c>
      <c r="H276" s="208" t="str">
        <f>IF(H$3="","",IF(COUNTIFS(BD!$A$3:$A$5001,H$3,BD!$B$3:$B$5001,$A$269,BD!$J$3:$J$5001,"&lt;&gt;")=0,"",SUMIFS(BD!$J$3:$J$5001,BD!$A$3:$A$5001,H$3,BD!$B$3:$B$5001,$A$269)))</f>
        <v/>
      </c>
      <c r="I276" s="208" t="str">
        <f>IF(I$3="","",IF(COUNTIFS(BD!$A$3:$A$5001,I$3,BD!$B$3:$B$5001,$A$269,BD!$J$3:$J$5001,"&lt;&gt;")=0,"",SUMIFS(BD!$J$3:$J$5001,BD!$A$3:$A$5001,I$3,BD!$B$3:$B$5001,$A$269)))</f>
        <v/>
      </c>
      <c r="J276" s="208" t="str">
        <f>IF(J$3="","",IF(COUNTIFS(BD!$A$3:$A$5001,J$3,BD!$B$3:$B$5001,$A$269,BD!$J$3:$J$5001,"&lt;&gt;")=0,"",SUMIFS(BD!$J$3:$J$5001,BD!$A$3:$A$5001,J$3,BD!$B$3:$B$5001,$A$269)))</f>
        <v/>
      </c>
      <c r="K276" s="208" t="str">
        <f>IF(K$3="","",IF(COUNTIFS(BD!$A$3:$A$5001,K$3,BD!$B$3:$B$5001,$A$269,BD!$J$3:$J$5001,"&lt;&gt;")=0,"",SUMIFS(BD!$J$3:$J$5001,BD!$A$3:$A$5001,K$3,BD!$B$3:$B$5001,$A$269)))</f>
        <v/>
      </c>
      <c r="L276" s="208" t="str">
        <f>IF(L$3="","",IF(COUNTIFS(BD!$A$3:$A$5001,L$3,BD!$B$3:$B$5001,$A$269,BD!$J$3:$J$5001,"&lt;&gt;")=0,"",SUMIFS(BD!$J$3:$J$5001,BD!$A$3:$A$5001,L$3,BD!$B$3:$B$5001,$A$269)))</f>
        <v/>
      </c>
      <c r="M276" s="208" t="str">
        <f>IF(M$3="","",IF(COUNTIFS(BD!$A$3:$A$5001,M$3,BD!$B$3:$B$5001,$A$269,BD!$J$3:$J$5001,"&lt;&gt;")=0,"",SUMIFS(BD!$J$3:$J$5001,BD!$A$3:$A$5001,M$3,BD!$B$3:$B$5001,$A$269)))</f>
        <v/>
      </c>
      <c r="N276" s="208" t="str">
        <f>IF(N$3="","",IF(COUNTIFS(BD!$A$3:$A$5001,N$3,BD!$B$3:$B$5001,$A$269,BD!$J$3:$J$5001,"&lt;&gt;")=0,"",SUMIFS(BD!$J$3:$J$5001,BD!$A$3:$A$5001,N$3,BD!$B$3:$B$5001,$A$269)))</f>
        <v/>
      </c>
      <c r="O276" s="208" t="str">
        <f>IF(O$3="","",IF(COUNTIFS(BD!$A$3:$A$5001,O$3,BD!$B$3:$B$5001,$A$269,BD!$J$3:$J$5001,"&lt;&gt;")=0,"",SUMIFS(BD!$J$3:$J$5001,BD!$A$3:$A$5001,O$3,BD!$B$3:$B$5001,$A$269)))</f>
        <v/>
      </c>
      <c r="P276" s="208" t="str">
        <f>IF(P$3="","",IF(COUNTIFS(BD!$A$3:$A$5001,P$3,BD!$B$3:$B$5001,$A$269,BD!$J$3:$J$5001,"&lt;&gt;")=0,"",SUMIFS(BD!$J$3:$J$5001,BD!$A$3:$A$5001,P$3,BD!$B$3:$B$5001,$A$269)))</f>
        <v/>
      </c>
      <c r="Q276" s="208" t="str">
        <f>IF(Q$3="","",IF(COUNTIFS(BD!$A$3:$A$5001,Q$3,BD!$B$3:$B$5001,$A$269,BD!$J$3:$J$5001,"&lt;&gt;")=0,"",SUMIFS(BD!$J$3:$J$5001,BD!$A$3:$A$5001,Q$3,BD!$B$3:$B$5001,$A$269)))</f>
        <v/>
      </c>
      <c r="R276" s="208" t="str">
        <f>IF(R$3="","",IF(COUNTIFS(BD!$A$3:$A$5001,R$3,BD!$B$3:$B$5001,$A$269,BD!$J$3:$J$5001,"&lt;&gt;")=0,"",SUMIFS(BD!$J$3:$J$5001,BD!$A$3:$A$5001,R$3,BD!$B$3:$B$5001,$A$269)))</f>
        <v/>
      </c>
      <c r="S276" s="208" t="str">
        <f>IF(S$3="","",IF(COUNTIFS(BD!$A$3:$A$5001,S$3,BD!$B$3:$B$5001,$A$269,BD!$J$3:$J$5001,"&lt;&gt;")=0,"",SUMIFS(BD!$J$3:$J$5001,BD!$A$3:$A$5001,S$3,BD!$B$3:$B$5001,$A$269)))</f>
        <v/>
      </c>
      <c r="T276" s="208" t="str">
        <f>IF(T$3="","",IF(COUNTIFS(BD!$A$3:$A$5001,T$3,BD!$B$3:$B$5001,$A$269,BD!$J$3:$J$5001,"&lt;&gt;")=0,"",SUMIFS(BD!$J$3:$J$5001,BD!$A$3:$A$5001,T$3,BD!$B$3:$B$5001,$A$269)))</f>
        <v/>
      </c>
      <c r="U276" s="208" t="str">
        <f>IF(U$3="","",IF(COUNTIFS(BD!$A$3:$A$5001,U$3,BD!$B$3:$B$5001,$A$269,BD!$J$3:$J$5001,"&lt;&gt;")=0,"",SUMIFS(BD!$J$3:$J$5001,BD!$A$3:$A$5001,U$3,BD!$B$3:$B$5001,$A$269)))</f>
        <v/>
      </c>
      <c r="V276" s="208" t="str">
        <f>IF(V$3="","",IF(COUNTIFS(BD!$A$3:$A$5001,V$3,BD!$B$3:$B$5001,$A$269,BD!$J$3:$J$5001,"&lt;&gt;")=0,"",SUMIFS(BD!$J$3:$J$5001,BD!$A$3:$A$5001,V$3,BD!$B$3:$B$5001,$A$269)))</f>
        <v/>
      </c>
      <c r="W276" s="208" t="str">
        <f>IF(W$3="","",IF(COUNTIFS(BD!$A$3:$A$5001,W$3,BD!$B$3:$B$5001,$A$269,BD!$J$3:$J$5001,"&lt;&gt;")=0,"",SUMIFS(BD!$J$3:$J$5001,BD!$A$3:$A$5001,W$3,BD!$B$3:$B$5001,$A$269)))</f>
        <v/>
      </c>
      <c r="X276" s="208" t="str">
        <f>IF(X$3="","",IF(COUNTIFS(BD!$A$3:$A$5001,X$3,BD!$B$3:$B$5001,$A$269,BD!$J$3:$J$5001,"&lt;&gt;")=0,"",SUMIFS(BD!$J$3:$J$5001,BD!$A$3:$A$5001,X$3,BD!$B$3:$B$5001,$A$269)))</f>
        <v/>
      </c>
      <c r="Y276" s="208" t="str">
        <f>IF(Y$3="","",IF(COUNTIFS(BD!$A$3:$A$5001,Y$3,BD!$B$3:$B$5001,$A$269,BD!$J$3:$J$5001,"&lt;&gt;")=0,"",SUMIFS(BD!$J$3:$J$5001,BD!$A$3:$A$5001,Y$3,BD!$B$3:$B$5001,$A$269)))</f>
        <v/>
      </c>
      <c r="Z276" s="208" t="str">
        <f>IF(Z$3="","",IF(COUNTIFS(BD!$A$3:$A$5001,Z$3,BD!$B$3:$B$5001,$A$269,BD!$J$3:$J$5001,"&lt;&gt;")=0,"",SUMIFS(BD!$J$3:$J$5001,BD!$A$3:$A$5001,Z$3,BD!$B$3:$B$5001,$A$269)))</f>
        <v/>
      </c>
      <c r="AA276" s="208" t="str">
        <f>IF(AA$3="","",IF(COUNTIFS(BD!$A$3:$A$5001,AA$3,BD!$B$3:$B$5001,$A$269,BD!$J$3:$J$5001,"&lt;&gt;")=0,"",SUMIFS(BD!$J$3:$J$5001,BD!$A$3:$A$5001,AA$3,BD!$B$3:$B$5001,$A$269)))</f>
        <v/>
      </c>
      <c r="AB276" s="208" t="str">
        <f>IF(AB$3="","",IF(COUNTIFS(BD!$A$3:$A$5001,AB$3,BD!$B$3:$B$5001,$A$269,BD!$J$3:$J$5001,"&lt;&gt;")=0,"",SUMIFS(BD!$J$3:$J$5001,BD!$A$3:$A$5001,AB$3,BD!$B$3:$B$5001,$A$269)))</f>
        <v/>
      </c>
      <c r="AC276" s="208" t="str">
        <f>IF(AC$3="","",IF(COUNTIFS(BD!$A$3:$A$5001,AC$3,BD!$B$3:$B$5001,$A$269,BD!$J$3:$J$5001,"&lt;&gt;")=0,"",SUMIFS(BD!$J$3:$J$5001,BD!$A$3:$A$5001,AC$3,BD!$B$3:$B$5001,$A$269)))</f>
        <v/>
      </c>
      <c r="AD276" s="208" t="str">
        <f>IF(AD$3="","",IF(COUNTIFS(BD!$A$3:$A$5001,AD$3,BD!$B$3:$B$5001,$A$269,BD!$J$3:$J$5001,"&lt;&gt;")=0,"",SUMIFS(BD!$J$3:$J$5001,BD!$A$3:$A$5001,AD$3,BD!$B$3:$B$5001,$A$269)))</f>
        <v/>
      </c>
      <c r="AE276" s="208" t="str">
        <f>IF(AE$3="","",IF(COUNTIFS(BD!$A$3:$A$5001,AE$3,BD!$B$3:$B$5001,$A$269,BD!$J$3:$J$5001,"&lt;&gt;")=0,"",SUMIFS(BD!$J$3:$J$5001,BD!$A$3:$A$5001,AE$3,BD!$B$3:$B$5001,$A$269)))</f>
        <v/>
      </c>
      <c r="AF276" s="208" t="str">
        <f>IF(AF$3="","",IF(COUNTIFS(BD!$A$3:$A$5001,AF$3,BD!$B$3:$B$5001,$A$269,BD!$J$3:$J$5001,"&lt;&gt;")=0,"",SUMIFS(BD!$J$3:$J$5001,BD!$A$3:$A$5001,AF$3,BD!$B$3:$B$5001,$A$269)))</f>
        <v/>
      </c>
      <c r="AG276" s="208" t="str">
        <f>IF(AG$3="","",IF(COUNTIFS(BD!$A$3:$A$5001,AG$3,BD!$B$3:$B$5001,$A$269,BD!$J$3:$J$5001,"&lt;&gt;")=0,"",SUMIFS(BD!$J$3:$J$5001,BD!$A$3:$A$5001,AG$3,BD!$B$3:$B$5001,$A$269)))</f>
        <v/>
      </c>
      <c r="AH276" s="208" t="str">
        <f>IF(AH$3="","",IF(COUNTIFS(BD!$A$3:$A$5001,AH$3,BD!$B$3:$B$5001,$A$269,BD!$J$3:$J$5001,"&lt;&gt;")=0,"",SUMIFS(BD!$J$3:$J$5001,BD!$A$3:$A$5001,AH$3,BD!$B$3:$B$5001,$A$269)))</f>
        <v/>
      </c>
      <c r="AI276" s="208" t="str">
        <f>IF(AI$3="","",IF(COUNTIFS(BD!$A$3:$A$5001,AI$3,BD!$B$3:$B$5001,$A$269,BD!$J$3:$J$5001,"&lt;&gt;")=0,"",SUMIFS(BD!$J$3:$J$5001,BD!$A$3:$A$5001,AI$3,BD!$B$3:$B$5001,$A$269)))</f>
        <v/>
      </c>
      <c r="AJ276" s="209" t="str">
        <f>IF(AJ$3="","",IF(COUNTIFS(BD!$A$3:$A$5001,AJ$3,BD!$B$3:$B$5001,$A$269,BD!$J$3:$J$5001,"&lt;&gt;")=0,"",SUMIFS(BD!$J$3:$J$5001,BD!$A$3:$A$5001,AJ$3,BD!$B$3:$B$5001,$A$269)))</f>
        <v/>
      </c>
      <c r="AK276" s="210" t="str">
        <f>IF(COUNT(F276:AJ276)=0,"",SUM(F276:AJ276))</f>
        <v/>
      </c>
    </row>
    <row r="277" ht="15.75" customHeight="1" hidden="1">
      <c r="A277" s="254"/>
      <c r="B277" s="249"/>
      <c r="C277" s="211" t="inlineStr">
        <is>
          <t xml:space="preserve">Backlog</t>
        </is>
      </c>
      <c r="D277" s="212" t="str">
        <f>IFERROR(1/(1/INDEX(BD!$Y$31:$AS$31,MATCH($A$269,BD!$Y$22:$AS$22,0))),"")</f>
        <v/>
      </c>
      <c r="E277" s="213"/>
      <c r="F277" s="214" t="str">
        <f>IF(F$3="","",IF(COUNTIFS(BD!$A$3:$A$5001,F$3,BD!$B$3:$B$5001,$A$269,BD!$K$3:$K$5001,"&lt;&gt;")=0,"",SUMIFS(BD!$K$3:$K$5001,BD!$A$3:$A$5001,F$3,BD!$B$3:$B$5001,$A$269)))</f>
        <v/>
      </c>
      <c r="G277" s="215" t="str">
        <f>IF(G$3="","",IF(COUNTIFS(BD!$A$3:$A$5001,G$3,BD!$B$3:$B$5001,$A$269,BD!$K$3:$K$5001,"&lt;&gt;")=0,"",SUMIFS(BD!$K$3:$K$5001,BD!$A$3:$A$5001,G$3,BD!$B$3:$B$5001,$A$269)))</f>
        <v/>
      </c>
      <c r="H277" s="215" t="str">
        <f>IF(H$3="","",IF(COUNTIFS(BD!$A$3:$A$5001,H$3,BD!$B$3:$B$5001,$A$269,BD!$K$3:$K$5001,"&lt;&gt;")=0,"",SUMIFS(BD!$K$3:$K$5001,BD!$A$3:$A$5001,H$3,BD!$B$3:$B$5001,$A$269)))</f>
        <v/>
      </c>
      <c r="I277" s="215" t="str">
        <f>IF(I$3="","",IF(COUNTIFS(BD!$A$3:$A$5001,I$3,BD!$B$3:$B$5001,$A$269,BD!$K$3:$K$5001,"&lt;&gt;")=0,"",SUMIFS(BD!$K$3:$K$5001,BD!$A$3:$A$5001,I$3,BD!$B$3:$B$5001,$A$269)))</f>
        <v/>
      </c>
      <c r="J277" s="215" t="str">
        <f>IF(J$3="","",IF(COUNTIFS(BD!$A$3:$A$5001,J$3,BD!$B$3:$B$5001,$A$269,BD!$K$3:$K$5001,"&lt;&gt;")=0,"",SUMIFS(BD!$K$3:$K$5001,BD!$A$3:$A$5001,J$3,BD!$B$3:$B$5001,$A$269)))</f>
        <v/>
      </c>
      <c r="K277" s="215" t="str">
        <f>IF(K$3="","",IF(COUNTIFS(BD!$A$3:$A$5001,K$3,BD!$B$3:$B$5001,$A$269,BD!$K$3:$K$5001,"&lt;&gt;")=0,"",SUMIFS(BD!$K$3:$K$5001,BD!$A$3:$A$5001,K$3,BD!$B$3:$B$5001,$A$269)))</f>
        <v/>
      </c>
      <c r="L277" s="215" t="str">
        <f>IF(L$3="","",IF(COUNTIFS(BD!$A$3:$A$5001,L$3,BD!$B$3:$B$5001,$A$269,BD!$K$3:$K$5001,"&lt;&gt;")=0,"",SUMIFS(BD!$K$3:$K$5001,BD!$A$3:$A$5001,L$3,BD!$B$3:$B$5001,$A$269)))</f>
        <v/>
      </c>
      <c r="M277" s="215" t="str">
        <f>IF(M$3="","",IF(COUNTIFS(BD!$A$3:$A$5001,M$3,BD!$B$3:$B$5001,$A$269,BD!$K$3:$K$5001,"&lt;&gt;")=0,"",SUMIFS(BD!$K$3:$K$5001,BD!$A$3:$A$5001,M$3,BD!$B$3:$B$5001,$A$269)))</f>
        <v/>
      </c>
      <c r="N277" s="215" t="str">
        <f>IF(N$3="","",IF(COUNTIFS(BD!$A$3:$A$5001,N$3,BD!$B$3:$B$5001,$A$269,BD!$K$3:$K$5001,"&lt;&gt;")=0,"",SUMIFS(BD!$K$3:$K$5001,BD!$A$3:$A$5001,N$3,BD!$B$3:$B$5001,$A$269)))</f>
        <v/>
      </c>
      <c r="O277" s="215" t="str">
        <f>IF(O$3="","",IF(COUNTIFS(BD!$A$3:$A$5001,O$3,BD!$B$3:$B$5001,$A$269,BD!$K$3:$K$5001,"&lt;&gt;")=0,"",SUMIFS(BD!$K$3:$K$5001,BD!$A$3:$A$5001,O$3,BD!$B$3:$B$5001,$A$269)))</f>
        <v/>
      </c>
      <c r="P277" s="215" t="str">
        <f>IF(P$3="","",IF(COUNTIFS(BD!$A$3:$A$5001,P$3,BD!$B$3:$B$5001,$A$269,BD!$K$3:$K$5001,"&lt;&gt;")=0,"",SUMIFS(BD!$K$3:$K$5001,BD!$A$3:$A$5001,P$3,BD!$B$3:$B$5001,$A$269)))</f>
        <v/>
      </c>
      <c r="Q277" s="215" t="str">
        <f>IF(Q$3="","",IF(COUNTIFS(BD!$A$3:$A$5001,Q$3,BD!$B$3:$B$5001,$A$269,BD!$K$3:$K$5001,"&lt;&gt;")=0,"",SUMIFS(BD!$K$3:$K$5001,BD!$A$3:$A$5001,Q$3,BD!$B$3:$B$5001,$A$269)))</f>
        <v/>
      </c>
      <c r="R277" s="215" t="str">
        <f>IF(R$3="","",IF(COUNTIFS(BD!$A$3:$A$5001,R$3,BD!$B$3:$B$5001,$A$269,BD!$K$3:$K$5001,"&lt;&gt;")=0,"",SUMIFS(BD!$K$3:$K$5001,BD!$A$3:$A$5001,R$3,BD!$B$3:$B$5001,$A$269)))</f>
        <v/>
      </c>
      <c r="S277" s="215" t="str">
        <f>IF(S$3="","",IF(COUNTIFS(BD!$A$3:$A$5001,S$3,BD!$B$3:$B$5001,$A$269,BD!$K$3:$K$5001,"&lt;&gt;")=0,"",SUMIFS(BD!$K$3:$K$5001,BD!$A$3:$A$5001,S$3,BD!$B$3:$B$5001,$A$269)))</f>
        <v/>
      </c>
      <c r="T277" s="215" t="str">
        <f>IF(T$3="","",IF(COUNTIFS(BD!$A$3:$A$5001,T$3,BD!$B$3:$B$5001,$A$269,BD!$K$3:$K$5001,"&lt;&gt;")=0,"",SUMIFS(BD!$K$3:$K$5001,BD!$A$3:$A$5001,T$3,BD!$B$3:$B$5001,$A$269)))</f>
        <v/>
      </c>
      <c r="U277" s="215" t="str">
        <f>IF(U$3="","",IF(COUNTIFS(BD!$A$3:$A$5001,U$3,BD!$B$3:$B$5001,$A$269,BD!$K$3:$K$5001,"&lt;&gt;")=0,"",SUMIFS(BD!$K$3:$K$5001,BD!$A$3:$A$5001,U$3,BD!$B$3:$B$5001,$A$269)))</f>
        <v/>
      </c>
      <c r="V277" s="215" t="str">
        <f>IF(V$3="","",IF(COUNTIFS(BD!$A$3:$A$5001,V$3,BD!$B$3:$B$5001,$A$269,BD!$K$3:$K$5001,"&lt;&gt;")=0,"",SUMIFS(BD!$K$3:$K$5001,BD!$A$3:$A$5001,V$3,BD!$B$3:$B$5001,$A$269)))</f>
        <v/>
      </c>
      <c r="W277" s="215" t="str">
        <f>IF(W$3="","",IF(COUNTIFS(BD!$A$3:$A$5001,W$3,BD!$B$3:$B$5001,$A$269,BD!$K$3:$K$5001,"&lt;&gt;")=0,"",SUMIFS(BD!$K$3:$K$5001,BD!$A$3:$A$5001,W$3,BD!$B$3:$B$5001,$A$269)))</f>
        <v/>
      </c>
      <c r="X277" s="215" t="str">
        <f>IF(X$3="","",IF(COUNTIFS(BD!$A$3:$A$5001,X$3,BD!$B$3:$B$5001,$A$269,BD!$K$3:$K$5001,"&lt;&gt;")=0,"",SUMIFS(BD!$K$3:$K$5001,BD!$A$3:$A$5001,X$3,BD!$B$3:$B$5001,$A$269)))</f>
        <v/>
      </c>
      <c r="Y277" s="215" t="str">
        <f>IF(Y$3="","",IF(COUNTIFS(BD!$A$3:$A$5001,Y$3,BD!$B$3:$B$5001,$A$269,BD!$K$3:$K$5001,"&lt;&gt;")=0,"",SUMIFS(BD!$K$3:$K$5001,BD!$A$3:$A$5001,Y$3,BD!$B$3:$B$5001,$A$269)))</f>
        <v/>
      </c>
      <c r="Z277" s="215" t="str">
        <f>IF(Z$3="","",IF(COUNTIFS(BD!$A$3:$A$5001,Z$3,BD!$B$3:$B$5001,$A$269,BD!$K$3:$K$5001,"&lt;&gt;")=0,"",SUMIFS(BD!$K$3:$K$5001,BD!$A$3:$A$5001,Z$3,BD!$B$3:$B$5001,$A$269)))</f>
        <v/>
      </c>
      <c r="AA277" s="215" t="str">
        <f>IF(AA$3="","",IF(COUNTIFS(BD!$A$3:$A$5001,AA$3,BD!$B$3:$B$5001,$A$269,BD!$K$3:$K$5001,"&lt;&gt;")=0,"",SUMIFS(BD!$K$3:$K$5001,BD!$A$3:$A$5001,AA$3,BD!$B$3:$B$5001,$A$269)))</f>
        <v/>
      </c>
      <c r="AB277" s="215" t="str">
        <f>IF(AB$3="","",IF(COUNTIFS(BD!$A$3:$A$5001,AB$3,BD!$B$3:$B$5001,$A$269,BD!$K$3:$K$5001,"&lt;&gt;")=0,"",SUMIFS(BD!$K$3:$K$5001,BD!$A$3:$A$5001,AB$3,BD!$B$3:$B$5001,$A$269)))</f>
        <v/>
      </c>
      <c r="AC277" s="215" t="str">
        <f>IF(AC$3="","",IF(COUNTIFS(BD!$A$3:$A$5001,AC$3,BD!$B$3:$B$5001,$A$269,BD!$K$3:$K$5001,"&lt;&gt;")=0,"",SUMIFS(BD!$K$3:$K$5001,BD!$A$3:$A$5001,AC$3,BD!$B$3:$B$5001,$A$269)))</f>
        <v/>
      </c>
      <c r="AD277" s="215" t="str">
        <f>IF(AD$3="","",IF(COUNTIFS(BD!$A$3:$A$5001,AD$3,BD!$B$3:$B$5001,$A$269,BD!$K$3:$K$5001,"&lt;&gt;")=0,"",SUMIFS(BD!$K$3:$K$5001,BD!$A$3:$A$5001,AD$3,BD!$B$3:$B$5001,$A$269)))</f>
        <v/>
      </c>
      <c r="AE277" s="215" t="str">
        <f>IF(AE$3="","",IF(COUNTIFS(BD!$A$3:$A$5001,AE$3,BD!$B$3:$B$5001,$A$269,BD!$K$3:$K$5001,"&lt;&gt;")=0,"",SUMIFS(BD!$K$3:$K$5001,BD!$A$3:$A$5001,AE$3,BD!$B$3:$B$5001,$A$269)))</f>
        <v/>
      </c>
      <c r="AF277" s="215" t="str">
        <f>IF(AF$3="","",IF(COUNTIFS(BD!$A$3:$A$5001,AF$3,BD!$B$3:$B$5001,$A$269,BD!$K$3:$K$5001,"&lt;&gt;")=0,"",SUMIFS(BD!$K$3:$K$5001,BD!$A$3:$A$5001,AF$3,BD!$B$3:$B$5001,$A$269)))</f>
        <v/>
      </c>
      <c r="AG277" s="215" t="str">
        <f>IF(AG$3="","",IF(COUNTIFS(BD!$A$3:$A$5001,AG$3,BD!$B$3:$B$5001,$A$269,BD!$K$3:$K$5001,"&lt;&gt;")=0,"",SUMIFS(BD!$K$3:$K$5001,BD!$A$3:$A$5001,AG$3,BD!$B$3:$B$5001,$A$269)))</f>
        <v/>
      </c>
      <c r="AH277" s="215" t="str">
        <f>IF(AH$3="","",IF(COUNTIFS(BD!$A$3:$A$5001,AH$3,BD!$B$3:$B$5001,$A$269,BD!$K$3:$K$5001,"&lt;&gt;")=0,"",SUMIFS(BD!$K$3:$K$5001,BD!$A$3:$A$5001,AH$3,BD!$B$3:$B$5001,$A$269)))</f>
        <v/>
      </c>
      <c r="AI277" s="215" t="str">
        <f>IF(AI$3="","",IF(COUNTIFS(BD!$A$3:$A$5001,AI$3,BD!$B$3:$B$5001,$A$269,BD!$K$3:$K$5001,"&lt;&gt;")=0,"",SUMIFS(BD!$K$3:$K$5001,BD!$A$3:$A$5001,AI$3,BD!$B$3:$B$5001,$A$269)))</f>
        <v/>
      </c>
      <c r="AJ277" s="216" t="str">
        <f>IF(AJ$3="","",IF(COUNTIFS(BD!$A$3:$A$5001,AJ$3,BD!$B$3:$B$5001,$A$269,BD!$K$3:$K$5001,"&lt;&gt;")=0,"",SUMIFS(BD!$K$3:$K$5001,BD!$A$3:$A$5001,AJ$3,BD!$B$3:$B$5001,$A$269)))</f>
        <v/>
      </c>
      <c r="AK277" s="212" t="str">
        <f>IFERROR(LOOKUP(9.99E+307,F277:AJ277),"")</f>
        <v/>
      </c>
    </row>
    <row r="278" ht="15.75" customHeight="1" hidden="1">
      <c r="A278" s="254"/>
      <c r="B278" s="241" t="inlineStr">
        <is>
          <t xml:space="preserve">OCUPAÇÃO (P.P)</t>
        </is>
      </c>
      <c r="C278" s="155" t="inlineStr">
        <is>
          <t xml:space="preserve">Posições Disponíveis</t>
        </is>
      </c>
      <c r="D278" s="156" t="str">
        <f>IFERROR(1/(1/INDEX(BD!$Y$32:$AS$32,MATCH($A$269,BD!$Y$22:$AS$22,0))),"")</f>
        <v/>
      </c>
      <c r="E278" s="157"/>
      <c r="F278" s="158" t="str">
        <f>IF(F$3="","",IF(COUNTIFS(BD!$A$3:$A$5001,F$3,BD!$B$3:$B$5001,$A$269,BD!$L$3:$L$5001,"&lt;&gt;")=0,"",SUMIFS(BD!$L$3:$L$5001,BD!$A$3:$A$5001,F$3,BD!$B$3:$B$5001,$A$269)))</f>
        <v/>
      </c>
      <c r="G278" s="159" t="str">
        <f>IF(G$3="","",IF(COUNTIFS(BD!$A$3:$A$5001,G$3,BD!$B$3:$B$5001,$A$269,BD!$L$3:$L$5001,"&lt;&gt;")=0,"",SUMIFS(BD!$L$3:$L$5001,BD!$A$3:$A$5001,G$3,BD!$B$3:$B$5001,$A$269)))</f>
        <v/>
      </c>
      <c r="H278" s="159" t="str">
        <f>IF(H$3="","",IF(COUNTIFS(BD!$A$3:$A$5001,H$3,BD!$B$3:$B$5001,$A$269,BD!$L$3:$L$5001,"&lt;&gt;")=0,"",SUMIFS(BD!$L$3:$L$5001,BD!$A$3:$A$5001,H$3,BD!$B$3:$B$5001,$A$269)))</f>
        <v/>
      </c>
      <c r="I278" s="159" t="str">
        <f>IF(I$3="","",IF(COUNTIFS(BD!$A$3:$A$5001,I$3,BD!$B$3:$B$5001,$A$269,BD!$L$3:$L$5001,"&lt;&gt;")=0,"",SUMIFS(BD!$L$3:$L$5001,BD!$A$3:$A$5001,I$3,BD!$B$3:$B$5001,$A$269)))</f>
        <v/>
      </c>
      <c r="J278" s="159" t="str">
        <f>IF(J$3="","",IF(COUNTIFS(BD!$A$3:$A$5001,J$3,BD!$B$3:$B$5001,$A$269,BD!$L$3:$L$5001,"&lt;&gt;")=0,"",SUMIFS(BD!$L$3:$L$5001,BD!$A$3:$A$5001,J$3,BD!$B$3:$B$5001,$A$269)))</f>
        <v/>
      </c>
      <c r="K278" s="159" t="str">
        <f>IF(K$3="","",IF(COUNTIFS(BD!$A$3:$A$5001,K$3,BD!$B$3:$B$5001,$A$269,BD!$L$3:$L$5001,"&lt;&gt;")=0,"",SUMIFS(BD!$L$3:$L$5001,BD!$A$3:$A$5001,K$3,BD!$B$3:$B$5001,$A$269)))</f>
        <v/>
      </c>
      <c r="L278" s="159" t="str">
        <f>IF(L$3="","",IF(COUNTIFS(BD!$A$3:$A$5001,L$3,BD!$B$3:$B$5001,$A$269,BD!$L$3:$L$5001,"&lt;&gt;")=0,"",SUMIFS(BD!$L$3:$L$5001,BD!$A$3:$A$5001,L$3,BD!$B$3:$B$5001,$A$269)))</f>
        <v/>
      </c>
      <c r="M278" s="159" t="str">
        <f>IF(M$3="","",IF(COUNTIFS(BD!$A$3:$A$5001,M$3,BD!$B$3:$B$5001,$A$269,BD!$L$3:$L$5001,"&lt;&gt;")=0,"",SUMIFS(BD!$L$3:$L$5001,BD!$A$3:$A$5001,M$3,BD!$B$3:$B$5001,$A$269)))</f>
        <v/>
      </c>
      <c r="N278" s="159" t="str">
        <f>IF(N$3="","",IF(COUNTIFS(BD!$A$3:$A$5001,N$3,BD!$B$3:$B$5001,$A$269,BD!$L$3:$L$5001,"&lt;&gt;")=0,"",SUMIFS(BD!$L$3:$L$5001,BD!$A$3:$A$5001,N$3,BD!$B$3:$B$5001,$A$269)))</f>
        <v/>
      </c>
      <c r="O278" s="159" t="str">
        <f>IF(O$3="","",IF(COUNTIFS(BD!$A$3:$A$5001,O$3,BD!$B$3:$B$5001,$A$269,BD!$L$3:$L$5001,"&lt;&gt;")=0,"",SUMIFS(BD!$L$3:$L$5001,BD!$A$3:$A$5001,O$3,BD!$B$3:$B$5001,$A$269)))</f>
        <v/>
      </c>
      <c r="P278" s="159" t="str">
        <f>IF(P$3="","",IF(COUNTIFS(BD!$A$3:$A$5001,P$3,BD!$B$3:$B$5001,$A$269,BD!$L$3:$L$5001,"&lt;&gt;")=0,"",SUMIFS(BD!$L$3:$L$5001,BD!$A$3:$A$5001,P$3,BD!$B$3:$B$5001,$A$269)))</f>
        <v/>
      </c>
      <c r="Q278" s="159" t="str">
        <f>IF(Q$3="","",IF(COUNTIFS(BD!$A$3:$A$5001,Q$3,BD!$B$3:$B$5001,$A$269,BD!$L$3:$L$5001,"&lt;&gt;")=0,"",SUMIFS(BD!$L$3:$L$5001,BD!$A$3:$A$5001,Q$3,BD!$B$3:$B$5001,$A$269)))</f>
        <v/>
      </c>
      <c r="R278" s="159" t="str">
        <f>IF(R$3="","",IF(COUNTIFS(BD!$A$3:$A$5001,R$3,BD!$B$3:$B$5001,$A$269,BD!$L$3:$L$5001,"&lt;&gt;")=0,"",SUMIFS(BD!$L$3:$L$5001,BD!$A$3:$A$5001,R$3,BD!$B$3:$B$5001,$A$269)))</f>
        <v/>
      </c>
      <c r="S278" s="159" t="str">
        <f>IF(S$3="","",IF(COUNTIFS(BD!$A$3:$A$5001,S$3,BD!$B$3:$B$5001,$A$269,BD!$L$3:$L$5001,"&lt;&gt;")=0,"",SUMIFS(BD!$L$3:$L$5001,BD!$A$3:$A$5001,S$3,BD!$B$3:$B$5001,$A$269)))</f>
        <v/>
      </c>
      <c r="T278" s="159" t="str">
        <f>IF(T$3="","",IF(COUNTIFS(BD!$A$3:$A$5001,T$3,BD!$B$3:$B$5001,$A$269,BD!$L$3:$L$5001,"&lt;&gt;")=0,"",SUMIFS(BD!$L$3:$L$5001,BD!$A$3:$A$5001,T$3,BD!$B$3:$B$5001,$A$269)))</f>
        <v/>
      </c>
      <c r="U278" s="159" t="str">
        <f>IF(U$3="","",IF(COUNTIFS(BD!$A$3:$A$5001,U$3,BD!$B$3:$B$5001,$A$269,BD!$L$3:$L$5001,"&lt;&gt;")=0,"",SUMIFS(BD!$L$3:$L$5001,BD!$A$3:$A$5001,U$3,BD!$B$3:$B$5001,$A$269)))</f>
        <v/>
      </c>
      <c r="V278" s="159" t="str">
        <f>IF(V$3="","",IF(COUNTIFS(BD!$A$3:$A$5001,V$3,BD!$B$3:$B$5001,$A$269,BD!$L$3:$L$5001,"&lt;&gt;")=0,"",SUMIFS(BD!$L$3:$L$5001,BD!$A$3:$A$5001,V$3,BD!$B$3:$B$5001,$A$269)))</f>
        <v/>
      </c>
      <c r="W278" s="159" t="str">
        <f>IF(W$3="","",IF(COUNTIFS(BD!$A$3:$A$5001,W$3,BD!$B$3:$B$5001,$A$269,BD!$L$3:$L$5001,"&lt;&gt;")=0,"",SUMIFS(BD!$L$3:$L$5001,BD!$A$3:$A$5001,W$3,BD!$B$3:$B$5001,$A$269)))</f>
        <v/>
      </c>
      <c r="X278" s="159" t="str">
        <f>IF(X$3="","",IF(COUNTIFS(BD!$A$3:$A$5001,X$3,BD!$B$3:$B$5001,$A$269,BD!$L$3:$L$5001,"&lt;&gt;")=0,"",SUMIFS(BD!$L$3:$L$5001,BD!$A$3:$A$5001,X$3,BD!$B$3:$B$5001,$A$269)))</f>
        <v/>
      </c>
      <c r="Y278" s="159" t="str">
        <f>IF(Y$3="","",IF(COUNTIFS(BD!$A$3:$A$5001,Y$3,BD!$B$3:$B$5001,$A$269,BD!$L$3:$L$5001,"&lt;&gt;")=0,"",SUMIFS(BD!$L$3:$L$5001,BD!$A$3:$A$5001,Y$3,BD!$B$3:$B$5001,$A$269)))</f>
        <v/>
      </c>
      <c r="Z278" s="159" t="str">
        <f>IF(Z$3="","",IF(COUNTIFS(BD!$A$3:$A$5001,Z$3,BD!$B$3:$B$5001,$A$269,BD!$L$3:$L$5001,"&lt;&gt;")=0,"",SUMIFS(BD!$L$3:$L$5001,BD!$A$3:$A$5001,Z$3,BD!$B$3:$B$5001,$A$269)))</f>
        <v/>
      </c>
      <c r="AA278" s="159" t="str">
        <f>IF(AA$3="","",IF(COUNTIFS(BD!$A$3:$A$5001,AA$3,BD!$B$3:$B$5001,$A$269,BD!$L$3:$L$5001,"&lt;&gt;")=0,"",SUMIFS(BD!$L$3:$L$5001,BD!$A$3:$A$5001,AA$3,BD!$B$3:$B$5001,$A$269)))</f>
        <v/>
      </c>
      <c r="AB278" s="159" t="str">
        <f>IF(AB$3="","",IF(COUNTIFS(BD!$A$3:$A$5001,AB$3,BD!$B$3:$B$5001,$A$269,BD!$L$3:$L$5001,"&lt;&gt;")=0,"",SUMIFS(BD!$L$3:$L$5001,BD!$A$3:$A$5001,AB$3,BD!$B$3:$B$5001,$A$269)))</f>
        <v/>
      </c>
      <c r="AC278" s="159" t="str">
        <f>IF(AC$3="","",IF(COUNTIFS(BD!$A$3:$A$5001,AC$3,BD!$B$3:$B$5001,$A$269,BD!$L$3:$L$5001,"&lt;&gt;")=0,"",SUMIFS(BD!$L$3:$L$5001,BD!$A$3:$A$5001,AC$3,BD!$B$3:$B$5001,$A$269)))</f>
        <v/>
      </c>
      <c r="AD278" s="159" t="str">
        <f>IF(AD$3="","",IF(COUNTIFS(BD!$A$3:$A$5001,AD$3,BD!$B$3:$B$5001,$A$269,BD!$L$3:$L$5001,"&lt;&gt;")=0,"",SUMIFS(BD!$L$3:$L$5001,BD!$A$3:$A$5001,AD$3,BD!$B$3:$B$5001,$A$269)))</f>
        <v/>
      </c>
      <c r="AE278" s="159" t="str">
        <f>IF(AE$3="","",IF(COUNTIFS(BD!$A$3:$A$5001,AE$3,BD!$B$3:$B$5001,$A$269,BD!$L$3:$L$5001,"&lt;&gt;")=0,"",SUMIFS(BD!$L$3:$L$5001,BD!$A$3:$A$5001,AE$3,BD!$B$3:$B$5001,$A$269)))</f>
        <v/>
      </c>
      <c r="AF278" s="159" t="str">
        <f>IF(AF$3="","",IF(COUNTIFS(BD!$A$3:$A$5001,AF$3,BD!$B$3:$B$5001,$A$269,BD!$L$3:$L$5001,"&lt;&gt;")=0,"",SUMIFS(BD!$L$3:$L$5001,BD!$A$3:$A$5001,AF$3,BD!$B$3:$B$5001,$A$269)))</f>
        <v/>
      </c>
      <c r="AG278" s="159" t="str">
        <f>IF(AG$3="","",IF(COUNTIFS(BD!$A$3:$A$5001,AG$3,BD!$B$3:$B$5001,$A$269,BD!$L$3:$L$5001,"&lt;&gt;")=0,"",SUMIFS(BD!$L$3:$L$5001,BD!$A$3:$A$5001,AG$3,BD!$B$3:$B$5001,$A$269)))</f>
        <v/>
      </c>
      <c r="AH278" s="159" t="str">
        <f>IF(AH$3="","",IF(COUNTIFS(BD!$A$3:$A$5001,AH$3,BD!$B$3:$B$5001,$A$269,BD!$L$3:$L$5001,"&lt;&gt;")=0,"",SUMIFS(BD!$L$3:$L$5001,BD!$A$3:$A$5001,AH$3,BD!$B$3:$B$5001,$A$269)))</f>
        <v/>
      </c>
      <c r="AI278" s="159" t="str">
        <f>IF(AI$3="","",IF(COUNTIFS(BD!$A$3:$A$5001,AI$3,BD!$B$3:$B$5001,$A$269,BD!$L$3:$L$5001,"&lt;&gt;")=0,"",SUMIFS(BD!$L$3:$L$5001,BD!$A$3:$A$5001,AI$3,BD!$B$3:$B$5001,$A$269)))</f>
        <v/>
      </c>
      <c r="AJ278" s="160" t="str">
        <f>IF(AJ$3="","",IF(COUNTIFS(BD!$A$3:$A$5001,AJ$3,BD!$B$3:$B$5001,$A$269,BD!$L$3:$L$5001,"&lt;&gt;")=0,"",SUMIFS(BD!$L$3:$L$5001,BD!$A$3:$A$5001,AJ$3,BD!$B$3:$B$5001,$A$269)))</f>
        <v/>
      </c>
      <c r="AK278" s="161" t="str">
        <f>IF(COUNT(F278:AJ278)&gt;0,LOOKUP(9.99E+307,F278:AJ278),IFERROR(IF(INDEX(BD!$V$3:$V$5001,MATCH($A$269,BD!$B$3:$B$5001,0))&amp;""="Contrato","",INDEX(BD!$V$3:$V$5001,MATCH($A$269,BD!$B$3:$B$5001,0))&amp;""),""))</f>
        <v/>
      </c>
    </row>
    <row r="279" ht="15.75" customHeight="1" hidden="1">
      <c r="A279" s="254"/>
      <c r="B279" s="242"/>
      <c r="C279" s="162" t="inlineStr">
        <is>
          <t xml:space="preserve">Posições Ocupadas</t>
        </is>
      </c>
      <c r="D279" s="163" t="str">
        <f>IFERROR(1/(1/INDEX(BD!$Y$33:$AS$33,MATCH($A$269,BD!$Y$22:$AS$22,0))),"")</f>
        <v/>
      </c>
      <c r="E279" s="164"/>
      <c r="F279" s="165" t="str">
        <f>IF(F$3="","",IF(COUNTIFS(BD!$A$3:$A$5001,F$3,BD!$B$3:$B$5001,$A$269,BD!$M$3:$M$5001,"&lt;&gt;")=0,"",SUMIFS(BD!$M$3:$M$5001,BD!$A$3:$A$5001,F$3,BD!$B$3:$B$5001,$A$269)))</f>
        <v/>
      </c>
      <c r="G279" s="166" t="str">
        <f>IF(G$3="","",IF(COUNTIFS(BD!$A$3:$A$5001,G$3,BD!$B$3:$B$5001,$A$269,BD!$M$3:$M$5001,"&lt;&gt;")=0,"",SUMIFS(BD!$M$3:$M$5001,BD!$A$3:$A$5001,G$3,BD!$B$3:$B$5001,$A$269)))</f>
        <v/>
      </c>
      <c r="H279" s="166" t="str">
        <f>IF(H$3="","",IF(COUNTIFS(BD!$A$3:$A$5001,H$3,BD!$B$3:$B$5001,$A$269,BD!$M$3:$M$5001,"&lt;&gt;")=0,"",SUMIFS(BD!$M$3:$M$5001,BD!$A$3:$A$5001,H$3,BD!$B$3:$B$5001,$A$269)))</f>
        <v/>
      </c>
      <c r="I279" s="166" t="str">
        <f>IF(I$3="","",IF(COUNTIFS(BD!$A$3:$A$5001,I$3,BD!$B$3:$B$5001,$A$269,BD!$M$3:$M$5001,"&lt;&gt;")=0,"",SUMIFS(BD!$M$3:$M$5001,BD!$A$3:$A$5001,I$3,BD!$B$3:$B$5001,$A$269)))</f>
        <v/>
      </c>
      <c r="J279" s="166" t="str">
        <f>IF(J$3="","",IF(COUNTIFS(BD!$A$3:$A$5001,J$3,BD!$B$3:$B$5001,$A$269,BD!$M$3:$M$5001,"&lt;&gt;")=0,"",SUMIFS(BD!$M$3:$M$5001,BD!$A$3:$A$5001,J$3,BD!$B$3:$B$5001,$A$269)))</f>
        <v/>
      </c>
      <c r="K279" s="166" t="str">
        <f>IF(K$3="","",IF(COUNTIFS(BD!$A$3:$A$5001,K$3,BD!$B$3:$B$5001,$A$269,BD!$M$3:$M$5001,"&lt;&gt;")=0,"",SUMIFS(BD!$M$3:$M$5001,BD!$A$3:$A$5001,K$3,BD!$B$3:$B$5001,$A$269)))</f>
        <v/>
      </c>
      <c r="L279" s="166" t="str">
        <f>IF(L$3="","",IF(COUNTIFS(BD!$A$3:$A$5001,L$3,BD!$B$3:$B$5001,$A$269,BD!$M$3:$M$5001,"&lt;&gt;")=0,"",SUMIFS(BD!$M$3:$M$5001,BD!$A$3:$A$5001,L$3,BD!$B$3:$B$5001,$A$269)))</f>
        <v/>
      </c>
      <c r="M279" s="166" t="str">
        <f>IF(M$3="","",IF(COUNTIFS(BD!$A$3:$A$5001,M$3,BD!$B$3:$B$5001,$A$269,BD!$M$3:$M$5001,"&lt;&gt;")=0,"",SUMIFS(BD!$M$3:$M$5001,BD!$A$3:$A$5001,M$3,BD!$B$3:$B$5001,$A$269)))</f>
        <v/>
      </c>
      <c r="N279" s="166" t="str">
        <f>IF(N$3="","",IF(COUNTIFS(BD!$A$3:$A$5001,N$3,BD!$B$3:$B$5001,$A$269,BD!$M$3:$M$5001,"&lt;&gt;")=0,"",SUMIFS(BD!$M$3:$M$5001,BD!$A$3:$A$5001,N$3,BD!$B$3:$B$5001,$A$269)))</f>
        <v/>
      </c>
      <c r="O279" s="166" t="str">
        <f>IF(O$3="","",IF(COUNTIFS(BD!$A$3:$A$5001,O$3,BD!$B$3:$B$5001,$A$269,BD!$M$3:$M$5001,"&lt;&gt;")=0,"",SUMIFS(BD!$M$3:$M$5001,BD!$A$3:$A$5001,O$3,BD!$B$3:$B$5001,$A$269)))</f>
        <v/>
      </c>
      <c r="P279" s="166" t="str">
        <f>IF(P$3="","",IF(COUNTIFS(BD!$A$3:$A$5001,P$3,BD!$B$3:$B$5001,$A$269,BD!$M$3:$M$5001,"&lt;&gt;")=0,"",SUMIFS(BD!$M$3:$M$5001,BD!$A$3:$A$5001,P$3,BD!$B$3:$B$5001,$A$269)))</f>
        <v/>
      </c>
      <c r="Q279" s="166" t="str">
        <f>IF(Q$3="","",IF(COUNTIFS(BD!$A$3:$A$5001,Q$3,BD!$B$3:$B$5001,$A$269,BD!$M$3:$M$5001,"&lt;&gt;")=0,"",SUMIFS(BD!$M$3:$M$5001,BD!$A$3:$A$5001,Q$3,BD!$B$3:$B$5001,$A$269)))</f>
        <v/>
      </c>
      <c r="R279" s="166" t="str">
        <f>IF(R$3="","",IF(COUNTIFS(BD!$A$3:$A$5001,R$3,BD!$B$3:$B$5001,$A$269,BD!$M$3:$M$5001,"&lt;&gt;")=0,"",SUMIFS(BD!$M$3:$M$5001,BD!$A$3:$A$5001,R$3,BD!$B$3:$B$5001,$A$269)))</f>
        <v/>
      </c>
      <c r="S279" s="166" t="str">
        <f>IF(S$3="","",IF(COUNTIFS(BD!$A$3:$A$5001,S$3,BD!$B$3:$B$5001,$A$269,BD!$M$3:$M$5001,"&lt;&gt;")=0,"",SUMIFS(BD!$M$3:$M$5001,BD!$A$3:$A$5001,S$3,BD!$B$3:$B$5001,$A$269)))</f>
        <v/>
      </c>
      <c r="T279" s="166" t="str">
        <f>IF(T$3="","",IF(COUNTIFS(BD!$A$3:$A$5001,T$3,BD!$B$3:$B$5001,$A$269,BD!$M$3:$M$5001,"&lt;&gt;")=0,"",SUMIFS(BD!$M$3:$M$5001,BD!$A$3:$A$5001,T$3,BD!$B$3:$B$5001,$A$269)))</f>
        <v/>
      </c>
      <c r="U279" s="166" t="str">
        <f>IF(U$3="","",IF(COUNTIFS(BD!$A$3:$A$5001,U$3,BD!$B$3:$B$5001,$A$269,BD!$M$3:$M$5001,"&lt;&gt;")=0,"",SUMIFS(BD!$M$3:$M$5001,BD!$A$3:$A$5001,U$3,BD!$B$3:$B$5001,$A$269)))</f>
        <v/>
      </c>
      <c r="V279" s="166" t="str">
        <f>IF(V$3="","",IF(COUNTIFS(BD!$A$3:$A$5001,V$3,BD!$B$3:$B$5001,$A$269,BD!$M$3:$M$5001,"&lt;&gt;")=0,"",SUMIFS(BD!$M$3:$M$5001,BD!$A$3:$A$5001,V$3,BD!$B$3:$B$5001,$A$269)))</f>
        <v/>
      </c>
      <c r="W279" s="166" t="str">
        <f>IF(W$3="","",IF(COUNTIFS(BD!$A$3:$A$5001,W$3,BD!$B$3:$B$5001,$A$269,BD!$M$3:$M$5001,"&lt;&gt;")=0,"",SUMIFS(BD!$M$3:$M$5001,BD!$A$3:$A$5001,W$3,BD!$B$3:$B$5001,$A$269)))</f>
        <v/>
      </c>
      <c r="X279" s="166" t="str">
        <f>IF(X$3="","",IF(COUNTIFS(BD!$A$3:$A$5001,X$3,BD!$B$3:$B$5001,$A$269,BD!$M$3:$M$5001,"&lt;&gt;")=0,"",SUMIFS(BD!$M$3:$M$5001,BD!$A$3:$A$5001,X$3,BD!$B$3:$B$5001,$A$269)))</f>
        <v/>
      </c>
      <c r="Y279" s="166" t="str">
        <f>IF(Y$3="","",IF(COUNTIFS(BD!$A$3:$A$5001,Y$3,BD!$B$3:$B$5001,$A$269,BD!$M$3:$M$5001,"&lt;&gt;")=0,"",SUMIFS(BD!$M$3:$M$5001,BD!$A$3:$A$5001,Y$3,BD!$B$3:$B$5001,$A$269)))</f>
        <v/>
      </c>
      <c r="Z279" s="166" t="str">
        <f>IF(Z$3="","",IF(COUNTIFS(BD!$A$3:$A$5001,Z$3,BD!$B$3:$B$5001,$A$269,BD!$M$3:$M$5001,"&lt;&gt;")=0,"",SUMIFS(BD!$M$3:$M$5001,BD!$A$3:$A$5001,Z$3,BD!$B$3:$B$5001,$A$269)))</f>
        <v/>
      </c>
      <c r="AA279" s="166" t="str">
        <f>IF(AA$3="","",IF(COUNTIFS(BD!$A$3:$A$5001,AA$3,BD!$B$3:$B$5001,$A$269,BD!$M$3:$M$5001,"&lt;&gt;")=0,"",SUMIFS(BD!$M$3:$M$5001,BD!$A$3:$A$5001,AA$3,BD!$B$3:$B$5001,$A$269)))</f>
        <v/>
      </c>
      <c r="AB279" s="166" t="str">
        <f>IF(AB$3="","",IF(COUNTIFS(BD!$A$3:$A$5001,AB$3,BD!$B$3:$B$5001,$A$269,BD!$M$3:$M$5001,"&lt;&gt;")=0,"",SUMIFS(BD!$M$3:$M$5001,BD!$A$3:$A$5001,AB$3,BD!$B$3:$B$5001,$A$269)))</f>
        <v/>
      </c>
      <c r="AC279" s="166" t="str">
        <f>IF(AC$3="","",IF(COUNTIFS(BD!$A$3:$A$5001,AC$3,BD!$B$3:$B$5001,$A$269,BD!$M$3:$M$5001,"&lt;&gt;")=0,"",SUMIFS(BD!$M$3:$M$5001,BD!$A$3:$A$5001,AC$3,BD!$B$3:$B$5001,$A$269)))</f>
        <v/>
      </c>
      <c r="AD279" s="166" t="str">
        <f>IF(AD$3="","",IF(COUNTIFS(BD!$A$3:$A$5001,AD$3,BD!$B$3:$B$5001,$A$269,BD!$M$3:$M$5001,"&lt;&gt;")=0,"",SUMIFS(BD!$M$3:$M$5001,BD!$A$3:$A$5001,AD$3,BD!$B$3:$B$5001,$A$269)))</f>
        <v/>
      </c>
      <c r="AE279" s="166" t="str">
        <f>IF(AE$3="","",IF(COUNTIFS(BD!$A$3:$A$5001,AE$3,BD!$B$3:$B$5001,$A$269,BD!$M$3:$M$5001,"&lt;&gt;")=0,"",SUMIFS(BD!$M$3:$M$5001,BD!$A$3:$A$5001,AE$3,BD!$B$3:$B$5001,$A$269)))</f>
        <v/>
      </c>
      <c r="AF279" s="166" t="str">
        <f>IF(AF$3="","",IF(COUNTIFS(BD!$A$3:$A$5001,AF$3,BD!$B$3:$B$5001,$A$269,BD!$M$3:$M$5001,"&lt;&gt;")=0,"",SUMIFS(BD!$M$3:$M$5001,BD!$A$3:$A$5001,AF$3,BD!$B$3:$B$5001,$A$269)))</f>
        <v/>
      </c>
      <c r="AG279" s="166" t="str">
        <f>IF(AG$3="","",IF(COUNTIFS(BD!$A$3:$A$5001,AG$3,BD!$B$3:$B$5001,$A$269,BD!$M$3:$M$5001,"&lt;&gt;")=0,"",SUMIFS(BD!$M$3:$M$5001,BD!$A$3:$A$5001,AG$3,BD!$B$3:$B$5001,$A$269)))</f>
        <v/>
      </c>
      <c r="AH279" s="166" t="str">
        <f>IF(AH$3="","",IF(COUNTIFS(BD!$A$3:$A$5001,AH$3,BD!$B$3:$B$5001,$A$269,BD!$M$3:$M$5001,"&lt;&gt;")=0,"",SUMIFS(BD!$M$3:$M$5001,BD!$A$3:$A$5001,AH$3,BD!$B$3:$B$5001,$A$269)))</f>
        <v/>
      </c>
      <c r="AI279" s="166" t="str">
        <f>IF(AI$3="","",IF(COUNTIFS(BD!$A$3:$A$5001,AI$3,BD!$B$3:$B$5001,$A$269,BD!$M$3:$M$5001,"&lt;&gt;")=0,"",SUMIFS(BD!$M$3:$M$5001,BD!$A$3:$A$5001,AI$3,BD!$B$3:$B$5001,$A$269)))</f>
        <v/>
      </c>
      <c r="AJ279" s="167" t="str">
        <f>IF(AJ$3="","",IF(COUNTIFS(BD!$A$3:$A$5001,AJ$3,BD!$B$3:$B$5001,$A$269,BD!$M$3:$M$5001,"&lt;&gt;")=0,"",SUMIFS(BD!$M$3:$M$5001,BD!$A$3:$A$5001,AJ$3,BD!$B$3:$B$5001,$A$269)))</f>
        <v/>
      </c>
      <c r="AK279" s="168" t="str">
        <f>IFERROR(LOOKUP(9.99E+307,F279:AJ279),"")</f>
        <v/>
      </c>
    </row>
    <row r="280" ht="15.75" customHeight="1" hidden="1">
      <c r="A280" s="254"/>
      <c r="B280" s="243"/>
      <c r="C280" s="169" t="inlineStr">
        <is>
          <t xml:space="preserve">Taxa de Ocupação</t>
        </is>
      </c>
      <c r="D280" s="217" t="str">
        <f>IFERROR(1/(1/INDEX(BD!$Y$34:$AS$34,MATCH($A$269,BD!$Y$22:$AS$22,0))),"")</f>
        <v/>
      </c>
      <c r="E280" s="171"/>
      <c r="F280" s="218" t="str">
        <f>IF(AND(ISNUMBER(F278),ISNUMBER(F279)),IF(F278&gt;0,F279/F278,""),"")</f>
        <v/>
      </c>
      <c r="G280" s="219" t="str">
        <f>IF(AND(ISNUMBER(G278),ISNUMBER(G279)),IF(G278&gt;0,G279/G278,""),"")</f>
        <v/>
      </c>
      <c r="H280" s="219" t="str">
        <f>IF(AND(ISNUMBER(H278),ISNUMBER(H279)),IF(H278&gt;0,H279/H278,""),"")</f>
        <v/>
      </c>
      <c r="I280" s="219" t="str">
        <f>IF(AND(ISNUMBER(I278),ISNUMBER(I279)),IF(I278&gt;0,I279/I278,""),"")</f>
        <v/>
      </c>
      <c r="J280" s="219" t="str">
        <f>IF(AND(ISNUMBER(J278),ISNUMBER(J279)),IF(J278&gt;0,J279/J278,""),"")</f>
        <v/>
      </c>
      <c r="K280" s="219" t="str">
        <f>IF(AND(ISNUMBER(K278),ISNUMBER(K279)),IF(K278&gt;0,K279/K278,""),"")</f>
        <v/>
      </c>
      <c r="L280" s="219" t="str">
        <f>IF(AND(ISNUMBER(L278),ISNUMBER(L279)),IF(L278&gt;0,L279/L278,""),"")</f>
        <v/>
      </c>
      <c r="M280" s="219" t="str">
        <f>IF(AND(ISNUMBER(M278),ISNUMBER(M279)),IF(M278&gt;0,M279/M278,""),"")</f>
        <v/>
      </c>
      <c r="N280" s="219" t="str">
        <f>IF(AND(ISNUMBER(N278),ISNUMBER(N279)),IF(N278&gt;0,N279/N278,""),"")</f>
        <v/>
      </c>
      <c r="O280" s="219" t="str">
        <f>IF(AND(ISNUMBER(O278),ISNUMBER(O279)),IF(O278&gt;0,O279/O278,""),"")</f>
        <v/>
      </c>
      <c r="P280" s="219" t="str">
        <f>IF(AND(ISNUMBER(P278),ISNUMBER(P279)),IF(P278&gt;0,P279/P278,""),"")</f>
        <v/>
      </c>
      <c r="Q280" s="219" t="str">
        <f>IF(AND(ISNUMBER(Q278),ISNUMBER(Q279)),IF(Q278&gt;0,Q279/Q278,""),"")</f>
        <v/>
      </c>
      <c r="R280" s="219" t="str">
        <f>IF(AND(ISNUMBER(R278),ISNUMBER(R279)),IF(R278&gt;0,R279/R278,""),"")</f>
        <v/>
      </c>
      <c r="S280" s="219" t="str">
        <f>IF(AND(ISNUMBER(S278),ISNUMBER(S279)),IF(S278&gt;0,S279/S278,""),"")</f>
        <v/>
      </c>
      <c r="T280" s="219" t="str">
        <f>IF(AND(ISNUMBER(T278),ISNUMBER(T279)),IF(T278&gt;0,T279/T278,""),"")</f>
        <v/>
      </c>
      <c r="U280" s="219" t="str">
        <f>IF(AND(ISNUMBER(U278),ISNUMBER(U279)),IF(U278&gt;0,U279/U278,""),"")</f>
        <v/>
      </c>
      <c r="V280" s="219" t="str">
        <f>IF(AND(ISNUMBER(V278),ISNUMBER(V279)),IF(V278&gt;0,V279/V278,""),"")</f>
        <v/>
      </c>
      <c r="W280" s="219" t="str">
        <f>IF(AND(ISNUMBER(W278),ISNUMBER(W279)),IF(W278&gt;0,W279/W278,""),"")</f>
        <v/>
      </c>
      <c r="X280" s="219" t="str">
        <f>IF(AND(ISNUMBER(X278),ISNUMBER(X279)),IF(X278&gt;0,X279/X278,""),"")</f>
        <v/>
      </c>
      <c r="Y280" s="219" t="str">
        <f>IF(AND(ISNUMBER(Y278),ISNUMBER(Y279)),IF(Y278&gt;0,Y279/Y278,""),"")</f>
        <v/>
      </c>
      <c r="Z280" s="219" t="str">
        <f>IF(AND(ISNUMBER(Z278),ISNUMBER(Z279)),IF(Z278&gt;0,Z279/Z278,""),"")</f>
        <v/>
      </c>
      <c r="AA280" s="219" t="str">
        <f>IF(AND(ISNUMBER(AA278),ISNUMBER(AA279)),IF(AA278&gt;0,AA279/AA278,""),"")</f>
        <v/>
      </c>
      <c r="AB280" s="219" t="str">
        <f>IF(AND(ISNUMBER(AB278),ISNUMBER(AB279)),IF(AB278&gt;0,AB279/AB278,""),"")</f>
        <v/>
      </c>
      <c r="AC280" s="219" t="str">
        <f>IF(AND(ISNUMBER(AC278),ISNUMBER(AC279)),IF(AC278&gt;0,AC279/AC278,""),"")</f>
        <v/>
      </c>
      <c r="AD280" s="219" t="str">
        <f>IF(AND(ISNUMBER(AD278),ISNUMBER(AD279)),IF(AD278&gt;0,AD279/AD278,""),"")</f>
        <v/>
      </c>
      <c r="AE280" s="219" t="str">
        <f>IF(AND(ISNUMBER(AE278),ISNUMBER(AE279)),IF(AE278&gt;0,AE279/AE278,""),"")</f>
        <v/>
      </c>
      <c r="AF280" s="219" t="str">
        <f>IF(AND(ISNUMBER(AF278),ISNUMBER(AF279)),IF(AF278&gt;0,AF279/AF278,""),"")</f>
        <v/>
      </c>
      <c r="AG280" s="219" t="str">
        <f>IF(AND(ISNUMBER(AG278),ISNUMBER(AG279)),IF(AG278&gt;0,AG279/AG278,""),"")</f>
        <v/>
      </c>
      <c r="AH280" s="219" t="str">
        <f>IF(AND(ISNUMBER(AH278),ISNUMBER(AH279)),IF(AH278&gt;0,AH279/AH278,""),"")</f>
        <v/>
      </c>
      <c r="AI280" s="219" t="str">
        <f>IF(AND(ISNUMBER(AI278),ISNUMBER(AI279)),IF(AI278&gt;0,AI279/AI278,""),"")</f>
        <v/>
      </c>
      <c r="AJ280" s="220" t="str">
        <f>IF(AND(ISNUMBER(AJ278),ISNUMBER(AJ279)),IF(AJ278&gt;0,AJ279/AJ278,""),"")</f>
        <v/>
      </c>
      <c r="AK280" s="217" t="str">
        <f>IF(AND(ISNUMBER(AK278),ISNUMBER(AK279)),IF(AK278&gt;0,AK279/AK278,""),"")</f>
        <v/>
      </c>
    </row>
    <row r="281" ht="15.75" customHeight="1" hidden="1">
      <c r="A281" s="254"/>
      <c r="B281" s="250" t="inlineStr">
        <is>
          <t xml:space="preserve">GENTE</t>
        </is>
      </c>
      <c r="C281" s="221" t="inlineStr">
        <is>
          <t xml:space="preserve">Efetivo Op.</t>
        </is>
      </c>
      <c r="D281" s="222" t="str">
        <f>IFERROR(1/(1/INDEX(BD!$Y$35:$AS$35,MATCH($A$269,BD!$Y$22:$AS$22,0))),"")</f>
        <v/>
      </c>
      <c r="E281" s="223"/>
      <c r="F281" s="224" t="str">
        <f>IF(F$3="","",IF(COUNTIFS(BD!$A$3:$A$5001,F$3,BD!$B$3:$B$5001,$A$269,BD!$N$3:$N$5001,"&lt;&gt;")=0,"",SUMIFS(BD!$N$3:$N$5001,BD!$A$3:$A$5001,F$3,BD!$B$3:$B$5001,$A$269)))</f>
        <v/>
      </c>
      <c r="G281" s="225" t="str">
        <f>IF(G$3="","",IF(COUNTIFS(BD!$A$3:$A$5001,G$3,BD!$B$3:$B$5001,$A$269,BD!$N$3:$N$5001,"&lt;&gt;")=0,"",SUMIFS(BD!$N$3:$N$5001,BD!$A$3:$A$5001,G$3,BD!$B$3:$B$5001,$A$269)))</f>
        <v/>
      </c>
      <c r="H281" s="225" t="str">
        <f>IF(H$3="","",IF(COUNTIFS(BD!$A$3:$A$5001,H$3,BD!$B$3:$B$5001,$A$269,BD!$N$3:$N$5001,"&lt;&gt;")=0,"",SUMIFS(BD!$N$3:$N$5001,BD!$A$3:$A$5001,H$3,BD!$B$3:$B$5001,$A$269)))</f>
        <v/>
      </c>
      <c r="I281" s="225" t="str">
        <f>IF(I$3="","",IF(COUNTIFS(BD!$A$3:$A$5001,I$3,BD!$B$3:$B$5001,$A$269,BD!$N$3:$N$5001,"&lt;&gt;")=0,"",SUMIFS(BD!$N$3:$N$5001,BD!$A$3:$A$5001,I$3,BD!$B$3:$B$5001,$A$269)))</f>
        <v/>
      </c>
      <c r="J281" s="225" t="str">
        <f>IF(J$3="","",IF(COUNTIFS(BD!$A$3:$A$5001,J$3,BD!$B$3:$B$5001,$A$269,BD!$N$3:$N$5001,"&lt;&gt;")=0,"",SUMIFS(BD!$N$3:$N$5001,BD!$A$3:$A$5001,J$3,BD!$B$3:$B$5001,$A$269)))</f>
        <v/>
      </c>
      <c r="K281" s="225" t="str">
        <f>IF(K$3="","",IF(COUNTIFS(BD!$A$3:$A$5001,K$3,BD!$B$3:$B$5001,$A$269,BD!$N$3:$N$5001,"&lt;&gt;")=0,"",SUMIFS(BD!$N$3:$N$5001,BD!$A$3:$A$5001,K$3,BD!$B$3:$B$5001,$A$269)))</f>
        <v/>
      </c>
      <c r="L281" s="225" t="str">
        <f>IF(L$3="","",IF(COUNTIFS(BD!$A$3:$A$5001,L$3,BD!$B$3:$B$5001,$A$269,BD!$N$3:$N$5001,"&lt;&gt;")=0,"",SUMIFS(BD!$N$3:$N$5001,BD!$A$3:$A$5001,L$3,BD!$B$3:$B$5001,$A$269)))</f>
        <v/>
      </c>
      <c r="M281" s="225" t="str">
        <f>IF(M$3="","",IF(COUNTIFS(BD!$A$3:$A$5001,M$3,BD!$B$3:$B$5001,$A$269,BD!$N$3:$N$5001,"&lt;&gt;")=0,"",SUMIFS(BD!$N$3:$N$5001,BD!$A$3:$A$5001,M$3,BD!$B$3:$B$5001,$A$269)))</f>
        <v/>
      </c>
      <c r="N281" s="225" t="str">
        <f>IF(N$3="","",IF(COUNTIFS(BD!$A$3:$A$5001,N$3,BD!$B$3:$B$5001,$A$269,BD!$N$3:$N$5001,"&lt;&gt;")=0,"",SUMIFS(BD!$N$3:$N$5001,BD!$A$3:$A$5001,N$3,BD!$B$3:$B$5001,$A$269)))</f>
        <v/>
      </c>
      <c r="O281" s="225" t="str">
        <f>IF(O$3="","",IF(COUNTIFS(BD!$A$3:$A$5001,O$3,BD!$B$3:$B$5001,$A$269,BD!$N$3:$N$5001,"&lt;&gt;")=0,"",SUMIFS(BD!$N$3:$N$5001,BD!$A$3:$A$5001,O$3,BD!$B$3:$B$5001,$A$269)))</f>
        <v/>
      </c>
      <c r="P281" s="225" t="str">
        <f>IF(P$3="","",IF(COUNTIFS(BD!$A$3:$A$5001,P$3,BD!$B$3:$B$5001,$A$269,BD!$N$3:$N$5001,"&lt;&gt;")=0,"",SUMIFS(BD!$N$3:$N$5001,BD!$A$3:$A$5001,P$3,BD!$B$3:$B$5001,$A$269)))</f>
        <v/>
      </c>
      <c r="Q281" s="225" t="str">
        <f>IF(Q$3="","",IF(COUNTIFS(BD!$A$3:$A$5001,Q$3,BD!$B$3:$B$5001,$A$269,BD!$N$3:$N$5001,"&lt;&gt;")=0,"",SUMIFS(BD!$N$3:$N$5001,BD!$A$3:$A$5001,Q$3,BD!$B$3:$B$5001,$A$269)))</f>
        <v/>
      </c>
      <c r="R281" s="225" t="str">
        <f>IF(R$3="","",IF(COUNTIFS(BD!$A$3:$A$5001,R$3,BD!$B$3:$B$5001,$A$269,BD!$N$3:$N$5001,"&lt;&gt;")=0,"",SUMIFS(BD!$N$3:$N$5001,BD!$A$3:$A$5001,R$3,BD!$B$3:$B$5001,$A$269)))</f>
        <v/>
      </c>
      <c r="S281" s="225" t="str">
        <f>IF(S$3="","",IF(COUNTIFS(BD!$A$3:$A$5001,S$3,BD!$B$3:$B$5001,$A$269,BD!$N$3:$N$5001,"&lt;&gt;")=0,"",SUMIFS(BD!$N$3:$N$5001,BD!$A$3:$A$5001,S$3,BD!$B$3:$B$5001,$A$269)))</f>
        <v/>
      </c>
      <c r="T281" s="225" t="str">
        <f>IF(T$3="","",IF(COUNTIFS(BD!$A$3:$A$5001,T$3,BD!$B$3:$B$5001,$A$269,BD!$N$3:$N$5001,"&lt;&gt;")=0,"",SUMIFS(BD!$N$3:$N$5001,BD!$A$3:$A$5001,T$3,BD!$B$3:$B$5001,$A$269)))</f>
        <v/>
      </c>
      <c r="U281" s="225" t="str">
        <f>IF(U$3="","",IF(COUNTIFS(BD!$A$3:$A$5001,U$3,BD!$B$3:$B$5001,$A$269,BD!$N$3:$N$5001,"&lt;&gt;")=0,"",SUMIFS(BD!$N$3:$N$5001,BD!$A$3:$A$5001,U$3,BD!$B$3:$B$5001,$A$269)))</f>
        <v/>
      </c>
      <c r="V281" s="225" t="str">
        <f>IF(V$3="","",IF(COUNTIFS(BD!$A$3:$A$5001,V$3,BD!$B$3:$B$5001,$A$269,BD!$N$3:$N$5001,"&lt;&gt;")=0,"",SUMIFS(BD!$N$3:$N$5001,BD!$A$3:$A$5001,V$3,BD!$B$3:$B$5001,$A$269)))</f>
        <v/>
      </c>
      <c r="W281" s="225" t="str">
        <f>IF(W$3="","",IF(COUNTIFS(BD!$A$3:$A$5001,W$3,BD!$B$3:$B$5001,$A$269,BD!$N$3:$N$5001,"&lt;&gt;")=0,"",SUMIFS(BD!$N$3:$N$5001,BD!$A$3:$A$5001,W$3,BD!$B$3:$B$5001,$A$269)))</f>
        <v/>
      </c>
      <c r="X281" s="225" t="str">
        <f>IF(X$3="","",IF(COUNTIFS(BD!$A$3:$A$5001,X$3,BD!$B$3:$B$5001,$A$269,BD!$N$3:$N$5001,"&lt;&gt;")=0,"",SUMIFS(BD!$N$3:$N$5001,BD!$A$3:$A$5001,X$3,BD!$B$3:$B$5001,$A$269)))</f>
        <v/>
      </c>
      <c r="Y281" s="225" t="str">
        <f>IF(Y$3="","",IF(COUNTIFS(BD!$A$3:$A$5001,Y$3,BD!$B$3:$B$5001,$A$269,BD!$N$3:$N$5001,"&lt;&gt;")=0,"",SUMIFS(BD!$N$3:$N$5001,BD!$A$3:$A$5001,Y$3,BD!$B$3:$B$5001,$A$269)))</f>
        <v/>
      </c>
      <c r="Z281" s="225" t="str">
        <f>IF(Z$3="","",IF(COUNTIFS(BD!$A$3:$A$5001,Z$3,BD!$B$3:$B$5001,$A$269,BD!$N$3:$N$5001,"&lt;&gt;")=0,"",SUMIFS(BD!$N$3:$N$5001,BD!$A$3:$A$5001,Z$3,BD!$B$3:$B$5001,$A$269)))</f>
        <v/>
      </c>
      <c r="AA281" s="225" t="str">
        <f>IF(AA$3="","",IF(COUNTIFS(BD!$A$3:$A$5001,AA$3,BD!$B$3:$B$5001,$A$269,BD!$N$3:$N$5001,"&lt;&gt;")=0,"",SUMIFS(BD!$N$3:$N$5001,BD!$A$3:$A$5001,AA$3,BD!$B$3:$B$5001,$A$269)))</f>
        <v/>
      </c>
      <c r="AB281" s="225" t="str">
        <f>IF(AB$3="","",IF(COUNTIFS(BD!$A$3:$A$5001,AB$3,BD!$B$3:$B$5001,$A$269,BD!$N$3:$N$5001,"&lt;&gt;")=0,"",SUMIFS(BD!$N$3:$N$5001,BD!$A$3:$A$5001,AB$3,BD!$B$3:$B$5001,$A$269)))</f>
        <v/>
      </c>
      <c r="AC281" s="225" t="str">
        <f>IF(AC$3="","",IF(COUNTIFS(BD!$A$3:$A$5001,AC$3,BD!$B$3:$B$5001,$A$269,BD!$N$3:$N$5001,"&lt;&gt;")=0,"",SUMIFS(BD!$N$3:$N$5001,BD!$A$3:$A$5001,AC$3,BD!$B$3:$B$5001,$A$269)))</f>
        <v/>
      </c>
      <c r="AD281" s="225" t="str">
        <f>IF(AD$3="","",IF(COUNTIFS(BD!$A$3:$A$5001,AD$3,BD!$B$3:$B$5001,$A$269,BD!$N$3:$N$5001,"&lt;&gt;")=0,"",SUMIFS(BD!$N$3:$N$5001,BD!$A$3:$A$5001,AD$3,BD!$B$3:$B$5001,$A$269)))</f>
        <v/>
      </c>
      <c r="AE281" s="225" t="str">
        <f>IF(AE$3="","",IF(COUNTIFS(BD!$A$3:$A$5001,AE$3,BD!$B$3:$B$5001,$A$269,BD!$N$3:$N$5001,"&lt;&gt;")=0,"",SUMIFS(BD!$N$3:$N$5001,BD!$A$3:$A$5001,AE$3,BD!$B$3:$B$5001,$A$269)))</f>
        <v/>
      </c>
      <c r="AF281" s="225" t="str">
        <f>IF(AF$3="","",IF(COUNTIFS(BD!$A$3:$A$5001,AF$3,BD!$B$3:$B$5001,$A$269,BD!$N$3:$N$5001,"&lt;&gt;")=0,"",SUMIFS(BD!$N$3:$N$5001,BD!$A$3:$A$5001,AF$3,BD!$B$3:$B$5001,$A$269)))</f>
        <v/>
      </c>
      <c r="AG281" s="225" t="str">
        <f>IF(AG$3="","",IF(COUNTIFS(BD!$A$3:$A$5001,AG$3,BD!$B$3:$B$5001,$A$269,BD!$N$3:$N$5001,"&lt;&gt;")=0,"",SUMIFS(BD!$N$3:$N$5001,BD!$A$3:$A$5001,AG$3,BD!$B$3:$B$5001,$A$269)))</f>
        <v/>
      </c>
      <c r="AH281" s="225" t="str">
        <f>IF(AH$3="","",IF(COUNTIFS(BD!$A$3:$A$5001,AH$3,BD!$B$3:$B$5001,$A$269,BD!$N$3:$N$5001,"&lt;&gt;")=0,"",SUMIFS(BD!$N$3:$N$5001,BD!$A$3:$A$5001,AH$3,BD!$B$3:$B$5001,$A$269)))</f>
        <v/>
      </c>
      <c r="AI281" s="225" t="str">
        <f>IF(AI$3="","",IF(COUNTIFS(BD!$A$3:$A$5001,AI$3,BD!$B$3:$B$5001,$A$269,BD!$N$3:$N$5001,"&lt;&gt;")=0,"",SUMIFS(BD!$N$3:$N$5001,BD!$A$3:$A$5001,AI$3,BD!$B$3:$B$5001,$A$269)))</f>
        <v/>
      </c>
      <c r="AJ281" s="226" t="str">
        <f>IF(AJ$3="","",IF(COUNTIFS(BD!$A$3:$A$5001,AJ$3,BD!$B$3:$B$5001,$A$269,BD!$N$3:$N$5001,"&lt;&gt;")=0,"",SUMIFS(BD!$N$3:$N$5001,BD!$A$3:$A$5001,AJ$3,BD!$B$3:$B$5001,$A$269)))</f>
        <v/>
      </c>
      <c r="AK281" s="227" t="str">
        <f>IFERROR(LOOKUP(9.99E+307,F281:AJ281),"")</f>
        <v/>
      </c>
    </row>
    <row r="282" ht="15.75" customHeight="1" hidden="1">
      <c r="A282" s="254"/>
      <c r="B282" s="251"/>
      <c r="C282" s="228" t="inlineStr">
        <is>
          <t xml:space="preserve">Falta</t>
        </is>
      </c>
      <c r="D282" s="229" t="str">
        <f>IFERROR(1/(1/INDEX(BD!$Y$36:$AS$36,MATCH($A$269,BD!$Y$22:$AS$22,0))),"")</f>
        <v/>
      </c>
      <c r="E282" s="230"/>
      <c r="F282" s="231" t="str">
        <f>IF(F$3="","",IF(COUNTIFS(BD!$A$3:$A$5001,F$3,BD!$B$3:$B$5001,$A$269,BD!$O$3:$O$5001,"&lt;&gt;")=0,"",SUMIFS(BD!$O$3:$O$5001,BD!$A$3:$A$5001,F$3,BD!$B$3:$B$5001,$A$269)))</f>
        <v/>
      </c>
      <c r="G282" s="232" t="str">
        <f>IF(G$3="","",IF(COUNTIFS(BD!$A$3:$A$5001,G$3,BD!$B$3:$B$5001,$A$269,BD!$O$3:$O$5001,"&lt;&gt;")=0,"",SUMIFS(BD!$O$3:$O$5001,BD!$A$3:$A$5001,G$3,BD!$B$3:$B$5001,$A$269)))</f>
        <v/>
      </c>
      <c r="H282" s="232" t="str">
        <f>IF(H$3="","",IF(COUNTIFS(BD!$A$3:$A$5001,H$3,BD!$B$3:$B$5001,$A$269,BD!$O$3:$O$5001,"&lt;&gt;")=0,"",SUMIFS(BD!$O$3:$O$5001,BD!$A$3:$A$5001,H$3,BD!$B$3:$B$5001,$A$269)))</f>
        <v/>
      </c>
      <c r="I282" s="232" t="str">
        <f>IF(I$3="","",IF(COUNTIFS(BD!$A$3:$A$5001,I$3,BD!$B$3:$B$5001,$A$269,BD!$O$3:$O$5001,"&lt;&gt;")=0,"",SUMIFS(BD!$O$3:$O$5001,BD!$A$3:$A$5001,I$3,BD!$B$3:$B$5001,$A$269)))</f>
        <v/>
      </c>
      <c r="J282" s="232" t="str">
        <f>IF(J$3="","",IF(COUNTIFS(BD!$A$3:$A$5001,J$3,BD!$B$3:$B$5001,$A$269,BD!$O$3:$O$5001,"&lt;&gt;")=0,"",SUMIFS(BD!$O$3:$O$5001,BD!$A$3:$A$5001,J$3,BD!$B$3:$B$5001,$A$269)))</f>
        <v/>
      </c>
      <c r="K282" s="232" t="str">
        <f>IF(K$3="","",IF(COUNTIFS(BD!$A$3:$A$5001,K$3,BD!$B$3:$B$5001,$A$269,BD!$O$3:$O$5001,"&lt;&gt;")=0,"",SUMIFS(BD!$O$3:$O$5001,BD!$A$3:$A$5001,K$3,BD!$B$3:$B$5001,$A$269)))</f>
        <v/>
      </c>
      <c r="L282" s="232" t="str">
        <f>IF(L$3="","",IF(COUNTIFS(BD!$A$3:$A$5001,L$3,BD!$B$3:$B$5001,$A$269,BD!$O$3:$O$5001,"&lt;&gt;")=0,"",SUMIFS(BD!$O$3:$O$5001,BD!$A$3:$A$5001,L$3,BD!$B$3:$B$5001,$A$269)))</f>
        <v/>
      </c>
      <c r="M282" s="232" t="str">
        <f>IF(M$3="","",IF(COUNTIFS(BD!$A$3:$A$5001,M$3,BD!$B$3:$B$5001,$A$269,BD!$O$3:$O$5001,"&lt;&gt;")=0,"",SUMIFS(BD!$O$3:$O$5001,BD!$A$3:$A$5001,M$3,BD!$B$3:$B$5001,$A$269)))</f>
        <v/>
      </c>
      <c r="N282" s="232" t="str">
        <f>IF(N$3="","",IF(COUNTIFS(BD!$A$3:$A$5001,N$3,BD!$B$3:$B$5001,$A$269,BD!$O$3:$O$5001,"&lt;&gt;")=0,"",SUMIFS(BD!$O$3:$O$5001,BD!$A$3:$A$5001,N$3,BD!$B$3:$B$5001,$A$269)))</f>
        <v/>
      </c>
      <c r="O282" s="232" t="str">
        <f>IF(O$3="","",IF(COUNTIFS(BD!$A$3:$A$5001,O$3,BD!$B$3:$B$5001,$A$269,BD!$O$3:$O$5001,"&lt;&gt;")=0,"",SUMIFS(BD!$O$3:$O$5001,BD!$A$3:$A$5001,O$3,BD!$B$3:$B$5001,$A$269)))</f>
        <v/>
      </c>
      <c r="P282" s="232" t="str">
        <f>IF(P$3="","",IF(COUNTIFS(BD!$A$3:$A$5001,P$3,BD!$B$3:$B$5001,$A$269,BD!$O$3:$O$5001,"&lt;&gt;")=0,"",SUMIFS(BD!$O$3:$O$5001,BD!$A$3:$A$5001,P$3,BD!$B$3:$B$5001,$A$269)))</f>
        <v/>
      </c>
      <c r="Q282" s="232" t="str">
        <f>IF(Q$3="","",IF(COUNTIFS(BD!$A$3:$A$5001,Q$3,BD!$B$3:$B$5001,$A$269,BD!$O$3:$O$5001,"&lt;&gt;")=0,"",SUMIFS(BD!$O$3:$O$5001,BD!$A$3:$A$5001,Q$3,BD!$B$3:$B$5001,$A$269)))</f>
        <v/>
      </c>
      <c r="R282" s="232" t="str">
        <f>IF(R$3="","",IF(COUNTIFS(BD!$A$3:$A$5001,R$3,BD!$B$3:$B$5001,$A$269,BD!$O$3:$O$5001,"&lt;&gt;")=0,"",SUMIFS(BD!$O$3:$O$5001,BD!$A$3:$A$5001,R$3,BD!$B$3:$B$5001,$A$269)))</f>
        <v/>
      </c>
      <c r="S282" s="232" t="str">
        <f>IF(S$3="","",IF(COUNTIFS(BD!$A$3:$A$5001,S$3,BD!$B$3:$B$5001,$A$269,BD!$O$3:$O$5001,"&lt;&gt;")=0,"",SUMIFS(BD!$O$3:$O$5001,BD!$A$3:$A$5001,S$3,BD!$B$3:$B$5001,$A$269)))</f>
        <v/>
      </c>
      <c r="T282" s="232" t="str">
        <f>IF(T$3="","",IF(COUNTIFS(BD!$A$3:$A$5001,T$3,BD!$B$3:$B$5001,$A$269,BD!$O$3:$O$5001,"&lt;&gt;")=0,"",SUMIFS(BD!$O$3:$O$5001,BD!$A$3:$A$5001,T$3,BD!$B$3:$B$5001,$A$269)))</f>
        <v/>
      </c>
      <c r="U282" s="232" t="str">
        <f>IF(U$3="","",IF(COUNTIFS(BD!$A$3:$A$5001,U$3,BD!$B$3:$B$5001,$A$269,BD!$O$3:$O$5001,"&lt;&gt;")=0,"",SUMIFS(BD!$O$3:$O$5001,BD!$A$3:$A$5001,U$3,BD!$B$3:$B$5001,$A$269)))</f>
        <v/>
      </c>
      <c r="V282" s="232" t="str">
        <f>IF(V$3="","",IF(COUNTIFS(BD!$A$3:$A$5001,V$3,BD!$B$3:$B$5001,$A$269,BD!$O$3:$O$5001,"&lt;&gt;")=0,"",SUMIFS(BD!$O$3:$O$5001,BD!$A$3:$A$5001,V$3,BD!$B$3:$B$5001,$A$269)))</f>
        <v/>
      </c>
      <c r="W282" s="232" t="str">
        <f>IF(W$3="","",IF(COUNTIFS(BD!$A$3:$A$5001,W$3,BD!$B$3:$B$5001,$A$269,BD!$O$3:$O$5001,"&lt;&gt;")=0,"",SUMIFS(BD!$O$3:$O$5001,BD!$A$3:$A$5001,W$3,BD!$B$3:$B$5001,$A$269)))</f>
        <v/>
      </c>
      <c r="X282" s="232" t="str">
        <f>IF(X$3="","",IF(COUNTIFS(BD!$A$3:$A$5001,X$3,BD!$B$3:$B$5001,$A$269,BD!$O$3:$O$5001,"&lt;&gt;")=0,"",SUMIFS(BD!$O$3:$O$5001,BD!$A$3:$A$5001,X$3,BD!$B$3:$B$5001,$A$269)))</f>
        <v/>
      </c>
      <c r="Y282" s="232" t="str">
        <f>IF(Y$3="","",IF(COUNTIFS(BD!$A$3:$A$5001,Y$3,BD!$B$3:$B$5001,$A$269,BD!$O$3:$O$5001,"&lt;&gt;")=0,"",SUMIFS(BD!$O$3:$O$5001,BD!$A$3:$A$5001,Y$3,BD!$B$3:$B$5001,$A$269)))</f>
        <v/>
      </c>
      <c r="Z282" s="232" t="str">
        <f>IF(Z$3="","",IF(COUNTIFS(BD!$A$3:$A$5001,Z$3,BD!$B$3:$B$5001,$A$269,BD!$O$3:$O$5001,"&lt;&gt;")=0,"",SUMIFS(BD!$O$3:$O$5001,BD!$A$3:$A$5001,Z$3,BD!$B$3:$B$5001,$A$269)))</f>
        <v/>
      </c>
      <c r="AA282" s="232" t="str">
        <f>IF(AA$3="","",IF(COUNTIFS(BD!$A$3:$A$5001,AA$3,BD!$B$3:$B$5001,$A$269,BD!$O$3:$O$5001,"&lt;&gt;")=0,"",SUMIFS(BD!$O$3:$O$5001,BD!$A$3:$A$5001,AA$3,BD!$B$3:$B$5001,$A$269)))</f>
        <v/>
      </c>
      <c r="AB282" s="232" t="str">
        <f>IF(AB$3="","",IF(COUNTIFS(BD!$A$3:$A$5001,AB$3,BD!$B$3:$B$5001,$A$269,BD!$O$3:$O$5001,"&lt;&gt;")=0,"",SUMIFS(BD!$O$3:$O$5001,BD!$A$3:$A$5001,AB$3,BD!$B$3:$B$5001,$A$269)))</f>
        <v/>
      </c>
      <c r="AC282" s="232" t="str">
        <f>IF(AC$3="","",IF(COUNTIFS(BD!$A$3:$A$5001,AC$3,BD!$B$3:$B$5001,$A$269,BD!$O$3:$O$5001,"&lt;&gt;")=0,"",SUMIFS(BD!$O$3:$O$5001,BD!$A$3:$A$5001,AC$3,BD!$B$3:$B$5001,$A$269)))</f>
        <v/>
      </c>
      <c r="AD282" s="232" t="str">
        <f>IF(AD$3="","",IF(COUNTIFS(BD!$A$3:$A$5001,AD$3,BD!$B$3:$B$5001,$A$269,BD!$O$3:$O$5001,"&lt;&gt;")=0,"",SUMIFS(BD!$O$3:$O$5001,BD!$A$3:$A$5001,AD$3,BD!$B$3:$B$5001,$A$269)))</f>
        <v/>
      </c>
      <c r="AE282" s="232" t="str">
        <f>IF(AE$3="","",IF(COUNTIFS(BD!$A$3:$A$5001,AE$3,BD!$B$3:$B$5001,$A$269,BD!$O$3:$O$5001,"&lt;&gt;")=0,"",SUMIFS(BD!$O$3:$O$5001,BD!$A$3:$A$5001,AE$3,BD!$B$3:$B$5001,$A$269)))</f>
        <v/>
      </c>
      <c r="AF282" s="232" t="str">
        <f>IF(AF$3="","",IF(COUNTIFS(BD!$A$3:$A$5001,AF$3,BD!$B$3:$B$5001,$A$269,BD!$O$3:$O$5001,"&lt;&gt;")=0,"",SUMIFS(BD!$O$3:$O$5001,BD!$A$3:$A$5001,AF$3,BD!$B$3:$B$5001,$A$269)))</f>
        <v/>
      </c>
      <c r="AG282" s="232" t="str">
        <f>IF(AG$3="","",IF(COUNTIFS(BD!$A$3:$A$5001,AG$3,BD!$B$3:$B$5001,$A$269,BD!$O$3:$O$5001,"&lt;&gt;")=0,"",SUMIFS(BD!$O$3:$O$5001,BD!$A$3:$A$5001,AG$3,BD!$B$3:$B$5001,$A$269)))</f>
        <v/>
      </c>
      <c r="AH282" s="232" t="str">
        <f>IF(AH$3="","",IF(COUNTIFS(BD!$A$3:$A$5001,AH$3,BD!$B$3:$B$5001,$A$269,BD!$O$3:$O$5001,"&lt;&gt;")=0,"",SUMIFS(BD!$O$3:$O$5001,BD!$A$3:$A$5001,AH$3,BD!$B$3:$B$5001,$A$269)))</f>
        <v/>
      </c>
      <c r="AI282" s="232" t="str">
        <f>IF(AI$3="","",IF(COUNTIFS(BD!$A$3:$A$5001,AI$3,BD!$B$3:$B$5001,$A$269,BD!$O$3:$O$5001,"&lt;&gt;")=0,"",SUMIFS(BD!$O$3:$O$5001,BD!$A$3:$A$5001,AI$3,BD!$B$3:$B$5001,$A$269)))</f>
        <v/>
      </c>
      <c r="AJ282" s="233" t="str">
        <f>IF(AJ$3="","",IF(COUNTIFS(BD!$A$3:$A$5001,AJ$3,BD!$B$3:$B$5001,$A$269,BD!$O$3:$O$5001,"&lt;&gt;")=0,"",SUMIFS(BD!$O$3:$O$5001,BD!$A$3:$A$5001,AJ$3,BD!$B$3:$B$5001,$A$269)))</f>
        <v/>
      </c>
      <c r="AK282" s="234" t="str">
        <f>IF(COUNT(F282:AJ282)=0,"",SUM(F282:AJ282))</f>
        <v/>
      </c>
    </row>
    <row r="283" ht="15.75" customHeight="1" hidden="1">
      <c r="A283" s="254"/>
      <c r="B283" s="251"/>
      <c r="C283" s="228" t="inlineStr">
        <is>
          <t xml:space="preserve">Folga</t>
        </is>
      </c>
      <c r="D283" s="229" t="str">
        <f>IFERROR(1/(1/INDEX(BD!$Y$37:$AS$37,MATCH($A$269,BD!$Y$22:$AS$22,0))),"")</f>
        <v/>
      </c>
      <c r="E283" s="230"/>
      <c r="F283" s="231" t="str">
        <f>IF(F$3="","",IF(COUNTIFS(BD!$A$3:$A$5001,F$3,BD!$B$3:$B$5001,$A$269,BD!$P$3:$P$5001,"&lt;&gt;")=0,"",SUMIFS(BD!$P$3:$P$5001,BD!$A$3:$A$5001,F$3,BD!$B$3:$B$5001,$A$269)))</f>
        <v/>
      </c>
      <c r="G283" s="232" t="str">
        <f>IF(G$3="","",IF(COUNTIFS(BD!$A$3:$A$5001,G$3,BD!$B$3:$B$5001,$A$269,BD!$P$3:$P$5001,"&lt;&gt;")=0,"",SUMIFS(BD!$P$3:$P$5001,BD!$A$3:$A$5001,G$3,BD!$B$3:$B$5001,$A$269)))</f>
        <v/>
      </c>
      <c r="H283" s="232" t="str">
        <f>IF(H$3="","",IF(COUNTIFS(BD!$A$3:$A$5001,H$3,BD!$B$3:$B$5001,$A$269,BD!$P$3:$P$5001,"&lt;&gt;")=0,"",SUMIFS(BD!$P$3:$P$5001,BD!$A$3:$A$5001,H$3,BD!$B$3:$B$5001,$A$269)))</f>
        <v/>
      </c>
      <c r="I283" s="232" t="str">
        <f>IF(I$3="","",IF(COUNTIFS(BD!$A$3:$A$5001,I$3,BD!$B$3:$B$5001,$A$269,BD!$P$3:$P$5001,"&lt;&gt;")=0,"",SUMIFS(BD!$P$3:$P$5001,BD!$A$3:$A$5001,I$3,BD!$B$3:$B$5001,$A$269)))</f>
        <v/>
      </c>
      <c r="J283" s="232" t="str">
        <f>IF(J$3="","",IF(COUNTIFS(BD!$A$3:$A$5001,J$3,BD!$B$3:$B$5001,$A$269,BD!$P$3:$P$5001,"&lt;&gt;")=0,"",SUMIFS(BD!$P$3:$P$5001,BD!$A$3:$A$5001,J$3,BD!$B$3:$B$5001,$A$269)))</f>
        <v/>
      </c>
      <c r="K283" s="232" t="str">
        <f>IF(K$3="","",IF(COUNTIFS(BD!$A$3:$A$5001,K$3,BD!$B$3:$B$5001,$A$269,BD!$P$3:$P$5001,"&lt;&gt;")=0,"",SUMIFS(BD!$P$3:$P$5001,BD!$A$3:$A$5001,K$3,BD!$B$3:$B$5001,$A$269)))</f>
        <v/>
      </c>
      <c r="L283" s="232" t="str">
        <f>IF(L$3="","",IF(COUNTIFS(BD!$A$3:$A$5001,L$3,BD!$B$3:$B$5001,$A$269,BD!$P$3:$P$5001,"&lt;&gt;")=0,"",SUMIFS(BD!$P$3:$P$5001,BD!$A$3:$A$5001,L$3,BD!$B$3:$B$5001,$A$269)))</f>
        <v/>
      </c>
      <c r="M283" s="232" t="str">
        <f>IF(M$3="","",IF(COUNTIFS(BD!$A$3:$A$5001,M$3,BD!$B$3:$B$5001,$A$269,BD!$P$3:$P$5001,"&lt;&gt;")=0,"",SUMIFS(BD!$P$3:$P$5001,BD!$A$3:$A$5001,M$3,BD!$B$3:$B$5001,$A$269)))</f>
        <v/>
      </c>
      <c r="N283" s="232" t="str">
        <f>IF(N$3="","",IF(COUNTIFS(BD!$A$3:$A$5001,N$3,BD!$B$3:$B$5001,$A$269,BD!$P$3:$P$5001,"&lt;&gt;")=0,"",SUMIFS(BD!$P$3:$P$5001,BD!$A$3:$A$5001,N$3,BD!$B$3:$B$5001,$A$269)))</f>
        <v/>
      </c>
      <c r="O283" s="232" t="str">
        <f>IF(O$3="","",IF(COUNTIFS(BD!$A$3:$A$5001,O$3,BD!$B$3:$B$5001,$A$269,BD!$P$3:$P$5001,"&lt;&gt;")=0,"",SUMIFS(BD!$P$3:$P$5001,BD!$A$3:$A$5001,O$3,BD!$B$3:$B$5001,$A$269)))</f>
        <v/>
      </c>
      <c r="P283" s="232" t="str">
        <f>IF(P$3="","",IF(COUNTIFS(BD!$A$3:$A$5001,P$3,BD!$B$3:$B$5001,$A$269,BD!$P$3:$P$5001,"&lt;&gt;")=0,"",SUMIFS(BD!$P$3:$P$5001,BD!$A$3:$A$5001,P$3,BD!$B$3:$B$5001,$A$269)))</f>
        <v/>
      </c>
      <c r="Q283" s="232" t="str">
        <f>IF(Q$3="","",IF(COUNTIFS(BD!$A$3:$A$5001,Q$3,BD!$B$3:$B$5001,$A$269,BD!$P$3:$P$5001,"&lt;&gt;")=0,"",SUMIFS(BD!$P$3:$P$5001,BD!$A$3:$A$5001,Q$3,BD!$B$3:$B$5001,$A$269)))</f>
        <v/>
      </c>
      <c r="R283" s="232" t="str">
        <f>IF(R$3="","",IF(COUNTIFS(BD!$A$3:$A$5001,R$3,BD!$B$3:$B$5001,$A$269,BD!$P$3:$P$5001,"&lt;&gt;")=0,"",SUMIFS(BD!$P$3:$P$5001,BD!$A$3:$A$5001,R$3,BD!$B$3:$B$5001,$A$269)))</f>
        <v/>
      </c>
      <c r="S283" s="232" t="str">
        <f>IF(S$3="","",IF(COUNTIFS(BD!$A$3:$A$5001,S$3,BD!$B$3:$B$5001,$A$269,BD!$P$3:$P$5001,"&lt;&gt;")=0,"",SUMIFS(BD!$P$3:$P$5001,BD!$A$3:$A$5001,S$3,BD!$B$3:$B$5001,$A$269)))</f>
        <v/>
      </c>
      <c r="T283" s="232" t="str">
        <f>IF(T$3="","",IF(COUNTIFS(BD!$A$3:$A$5001,T$3,BD!$B$3:$B$5001,$A$269,BD!$P$3:$P$5001,"&lt;&gt;")=0,"",SUMIFS(BD!$P$3:$P$5001,BD!$A$3:$A$5001,T$3,BD!$B$3:$B$5001,$A$269)))</f>
        <v/>
      </c>
      <c r="U283" s="232" t="str">
        <f>IF(U$3="","",IF(COUNTIFS(BD!$A$3:$A$5001,U$3,BD!$B$3:$B$5001,$A$269,BD!$P$3:$P$5001,"&lt;&gt;")=0,"",SUMIFS(BD!$P$3:$P$5001,BD!$A$3:$A$5001,U$3,BD!$B$3:$B$5001,$A$269)))</f>
        <v/>
      </c>
      <c r="V283" s="232" t="str">
        <f>IF(V$3="","",IF(COUNTIFS(BD!$A$3:$A$5001,V$3,BD!$B$3:$B$5001,$A$269,BD!$P$3:$P$5001,"&lt;&gt;")=0,"",SUMIFS(BD!$P$3:$P$5001,BD!$A$3:$A$5001,V$3,BD!$B$3:$B$5001,$A$269)))</f>
        <v/>
      </c>
      <c r="W283" s="232" t="str">
        <f>IF(W$3="","",IF(COUNTIFS(BD!$A$3:$A$5001,W$3,BD!$B$3:$B$5001,$A$269,BD!$P$3:$P$5001,"&lt;&gt;")=0,"",SUMIFS(BD!$P$3:$P$5001,BD!$A$3:$A$5001,W$3,BD!$B$3:$B$5001,$A$269)))</f>
        <v/>
      </c>
      <c r="X283" s="232" t="str">
        <f>IF(X$3="","",IF(COUNTIFS(BD!$A$3:$A$5001,X$3,BD!$B$3:$B$5001,$A$269,BD!$P$3:$P$5001,"&lt;&gt;")=0,"",SUMIFS(BD!$P$3:$P$5001,BD!$A$3:$A$5001,X$3,BD!$B$3:$B$5001,$A$269)))</f>
        <v/>
      </c>
      <c r="Y283" s="232" t="str">
        <f>IF(Y$3="","",IF(COUNTIFS(BD!$A$3:$A$5001,Y$3,BD!$B$3:$B$5001,$A$269,BD!$P$3:$P$5001,"&lt;&gt;")=0,"",SUMIFS(BD!$P$3:$P$5001,BD!$A$3:$A$5001,Y$3,BD!$B$3:$B$5001,$A$269)))</f>
        <v/>
      </c>
      <c r="Z283" s="232" t="str">
        <f>IF(Z$3="","",IF(COUNTIFS(BD!$A$3:$A$5001,Z$3,BD!$B$3:$B$5001,$A$269,BD!$P$3:$P$5001,"&lt;&gt;")=0,"",SUMIFS(BD!$P$3:$P$5001,BD!$A$3:$A$5001,Z$3,BD!$B$3:$B$5001,$A$269)))</f>
        <v/>
      </c>
      <c r="AA283" s="232" t="str">
        <f>IF(AA$3="","",IF(COUNTIFS(BD!$A$3:$A$5001,AA$3,BD!$B$3:$B$5001,$A$269,BD!$P$3:$P$5001,"&lt;&gt;")=0,"",SUMIFS(BD!$P$3:$P$5001,BD!$A$3:$A$5001,AA$3,BD!$B$3:$B$5001,$A$269)))</f>
        <v/>
      </c>
      <c r="AB283" s="232" t="str">
        <f>IF(AB$3="","",IF(COUNTIFS(BD!$A$3:$A$5001,AB$3,BD!$B$3:$B$5001,$A$269,BD!$P$3:$P$5001,"&lt;&gt;")=0,"",SUMIFS(BD!$P$3:$P$5001,BD!$A$3:$A$5001,AB$3,BD!$B$3:$B$5001,$A$269)))</f>
        <v/>
      </c>
      <c r="AC283" s="232" t="str">
        <f>IF(AC$3="","",IF(COUNTIFS(BD!$A$3:$A$5001,AC$3,BD!$B$3:$B$5001,$A$269,BD!$P$3:$P$5001,"&lt;&gt;")=0,"",SUMIFS(BD!$P$3:$P$5001,BD!$A$3:$A$5001,AC$3,BD!$B$3:$B$5001,$A$269)))</f>
        <v/>
      </c>
      <c r="AD283" s="232" t="str">
        <f>IF(AD$3="","",IF(COUNTIFS(BD!$A$3:$A$5001,AD$3,BD!$B$3:$B$5001,$A$269,BD!$P$3:$P$5001,"&lt;&gt;")=0,"",SUMIFS(BD!$P$3:$P$5001,BD!$A$3:$A$5001,AD$3,BD!$B$3:$B$5001,$A$269)))</f>
        <v/>
      </c>
      <c r="AE283" s="232" t="str">
        <f>IF(AE$3="","",IF(COUNTIFS(BD!$A$3:$A$5001,AE$3,BD!$B$3:$B$5001,$A$269,BD!$P$3:$P$5001,"&lt;&gt;")=0,"",SUMIFS(BD!$P$3:$P$5001,BD!$A$3:$A$5001,AE$3,BD!$B$3:$B$5001,$A$269)))</f>
        <v/>
      </c>
      <c r="AF283" s="232" t="str">
        <f>IF(AF$3="","",IF(COUNTIFS(BD!$A$3:$A$5001,AF$3,BD!$B$3:$B$5001,$A$269,BD!$P$3:$P$5001,"&lt;&gt;")=0,"",SUMIFS(BD!$P$3:$P$5001,BD!$A$3:$A$5001,AF$3,BD!$B$3:$B$5001,$A$269)))</f>
        <v/>
      </c>
      <c r="AG283" s="232" t="str">
        <f>IF(AG$3="","",IF(COUNTIFS(BD!$A$3:$A$5001,AG$3,BD!$B$3:$B$5001,$A$269,BD!$P$3:$P$5001,"&lt;&gt;")=0,"",SUMIFS(BD!$P$3:$P$5001,BD!$A$3:$A$5001,AG$3,BD!$B$3:$B$5001,$A$269)))</f>
        <v/>
      </c>
      <c r="AH283" s="232" t="str">
        <f>IF(AH$3="","",IF(COUNTIFS(BD!$A$3:$A$5001,AH$3,BD!$B$3:$B$5001,$A$269,BD!$P$3:$P$5001,"&lt;&gt;")=0,"",SUMIFS(BD!$P$3:$P$5001,BD!$A$3:$A$5001,AH$3,BD!$B$3:$B$5001,$A$269)))</f>
        <v/>
      </c>
      <c r="AI283" s="232" t="str">
        <f>IF(AI$3="","",IF(COUNTIFS(BD!$A$3:$A$5001,AI$3,BD!$B$3:$B$5001,$A$269,BD!$P$3:$P$5001,"&lt;&gt;")=0,"",SUMIFS(BD!$P$3:$P$5001,BD!$A$3:$A$5001,AI$3,BD!$B$3:$B$5001,$A$269)))</f>
        <v/>
      </c>
      <c r="AJ283" s="233" t="str">
        <f>IF(AJ$3="","",IF(COUNTIFS(BD!$A$3:$A$5001,AJ$3,BD!$B$3:$B$5001,$A$269,BD!$P$3:$P$5001,"&lt;&gt;")=0,"",SUMIFS(BD!$P$3:$P$5001,BD!$A$3:$A$5001,AJ$3,BD!$B$3:$B$5001,$A$269)))</f>
        <v/>
      </c>
      <c r="AK283" s="234" t="str">
        <f>IF(COUNT(F283:AJ283)=0,"",SUM(F283:AJ283))</f>
        <v/>
      </c>
    </row>
    <row r="284" ht="15.75" customHeight="1" hidden="1">
      <c r="A284" s="254"/>
      <c r="B284" s="251"/>
      <c r="C284" s="228" t="inlineStr">
        <is>
          <t xml:space="preserve">Férias</t>
        </is>
      </c>
      <c r="D284" s="229" t="str">
        <f>IFERROR(1/(1/INDEX(BD!$Y$38:$AS$38,MATCH($A$269,BD!$Y$22:$AS$22,0))),"")</f>
        <v/>
      </c>
      <c r="E284" s="230"/>
      <c r="F284" s="231" t="str">
        <f>IF(F$3="","",IF(COUNTIFS(BD!$A$3:$A$5001,F$3,BD!$B$3:$B$5001,$A$269,BD!$Q$3:$Q$5001,"&lt;&gt;")=0,"",SUMIFS(BD!$Q$3:$Q$5001,BD!$A$3:$A$5001,F$3,BD!$B$3:$B$5001,$A$269)))</f>
        <v/>
      </c>
      <c r="G284" s="232" t="str">
        <f>IF(G$3="","",IF(COUNTIFS(BD!$A$3:$A$5001,G$3,BD!$B$3:$B$5001,$A$269,BD!$Q$3:$Q$5001,"&lt;&gt;")=0,"",SUMIFS(BD!$Q$3:$Q$5001,BD!$A$3:$A$5001,G$3,BD!$B$3:$B$5001,$A$269)))</f>
        <v/>
      </c>
      <c r="H284" s="232" t="str">
        <f>IF(H$3="","",IF(COUNTIFS(BD!$A$3:$A$5001,H$3,BD!$B$3:$B$5001,$A$269,BD!$Q$3:$Q$5001,"&lt;&gt;")=0,"",SUMIFS(BD!$Q$3:$Q$5001,BD!$A$3:$A$5001,H$3,BD!$B$3:$B$5001,$A$269)))</f>
        <v/>
      </c>
      <c r="I284" s="232" t="str">
        <f>IF(I$3="","",IF(COUNTIFS(BD!$A$3:$A$5001,I$3,BD!$B$3:$B$5001,$A$269,BD!$Q$3:$Q$5001,"&lt;&gt;")=0,"",SUMIFS(BD!$Q$3:$Q$5001,BD!$A$3:$A$5001,I$3,BD!$B$3:$B$5001,$A$269)))</f>
        <v/>
      </c>
      <c r="J284" s="232" t="str">
        <f>IF(J$3="","",IF(COUNTIFS(BD!$A$3:$A$5001,J$3,BD!$B$3:$B$5001,$A$269,BD!$Q$3:$Q$5001,"&lt;&gt;")=0,"",SUMIFS(BD!$Q$3:$Q$5001,BD!$A$3:$A$5001,J$3,BD!$B$3:$B$5001,$A$269)))</f>
        <v/>
      </c>
      <c r="K284" s="232" t="str">
        <f>IF(K$3="","",IF(COUNTIFS(BD!$A$3:$A$5001,K$3,BD!$B$3:$B$5001,$A$269,BD!$Q$3:$Q$5001,"&lt;&gt;")=0,"",SUMIFS(BD!$Q$3:$Q$5001,BD!$A$3:$A$5001,K$3,BD!$B$3:$B$5001,$A$269)))</f>
        <v/>
      </c>
      <c r="L284" s="232" t="str">
        <f>IF(L$3="","",IF(COUNTIFS(BD!$A$3:$A$5001,L$3,BD!$B$3:$B$5001,$A$269,BD!$Q$3:$Q$5001,"&lt;&gt;")=0,"",SUMIFS(BD!$Q$3:$Q$5001,BD!$A$3:$A$5001,L$3,BD!$B$3:$B$5001,$A$269)))</f>
        <v/>
      </c>
      <c r="M284" s="232" t="str">
        <f>IF(M$3="","",IF(COUNTIFS(BD!$A$3:$A$5001,M$3,BD!$B$3:$B$5001,$A$269,BD!$Q$3:$Q$5001,"&lt;&gt;")=0,"",SUMIFS(BD!$Q$3:$Q$5001,BD!$A$3:$A$5001,M$3,BD!$B$3:$B$5001,$A$269)))</f>
        <v/>
      </c>
      <c r="N284" s="232" t="str">
        <f>IF(N$3="","",IF(COUNTIFS(BD!$A$3:$A$5001,N$3,BD!$B$3:$B$5001,$A$269,BD!$Q$3:$Q$5001,"&lt;&gt;")=0,"",SUMIFS(BD!$Q$3:$Q$5001,BD!$A$3:$A$5001,N$3,BD!$B$3:$B$5001,$A$269)))</f>
        <v/>
      </c>
      <c r="O284" s="232" t="str">
        <f>IF(O$3="","",IF(COUNTIFS(BD!$A$3:$A$5001,O$3,BD!$B$3:$B$5001,$A$269,BD!$Q$3:$Q$5001,"&lt;&gt;")=0,"",SUMIFS(BD!$Q$3:$Q$5001,BD!$A$3:$A$5001,O$3,BD!$B$3:$B$5001,$A$269)))</f>
        <v/>
      </c>
      <c r="P284" s="232" t="str">
        <f>IF(P$3="","",IF(COUNTIFS(BD!$A$3:$A$5001,P$3,BD!$B$3:$B$5001,$A$269,BD!$Q$3:$Q$5001,"&lt;&gt;")=0,"",SUMIFS(BD!$Q$3:$Q$5001,BD!$A$3:$A$5001,P$3,BD!$B$3:$B$5001,$A$269)))</f>
        <v/>
      </c>
      <c r="Q284" s="232" t="str">
        <f>IF(Q$3="","",IF(COUNTIFS(BD!$A$3:$A$5001,Q$3,BD!$B$3:$B$5001,$A$269,BD!$Q$3:$Q$5001,"&lt;&gt;")=0,"",SUMIFS(BD!$Q$3:$Q$5001,BD!$A$3:$A$5001,Q$3,BD!$B$3:$B$5001,$A$269)))</f>
        <v/>
      </c>
      <c r="R284" s="232" t="str">
        <f>IF(R$3="","",IF(COUNTIFS(BD!$A$3:$A$5001,R$3,BD!$B$3:$B$5001,$A$269,BD!$Q$3:$Q$5001,"&lt;&gt;")=0,"",SUMIFS(BD!$Q$3:$Q$5001,BD!$A$3:$A$5001,R$3,BD!$B$3:$B$5001,$A$269)))</f>
        <v/>
      </c>
      <c r="S284" s="232" t="str">
        <f>IF(S$3="","",IF(COUNTIFS(BD!$A$3:$A$5001,S$3,BD!$B$3:$B$5001,$A$269,BD!$Q$3:$Q$5001,"&lt;&gt;")=0,"",SUMIFS(BD!$Q$3:$Q$5001,BD!$A$3:$A$5001,S$3,BD!$B$3:$B$5001,$A$269)))</f>
        <v/>
      </c>
      <c r="T284" s="232" t="str">
        <f>IF(T$3="","",IF(COUNTIFS(BD!$A$3:$A$5001,T$3,BD!$B$3:$B$5001,$A$269,BD!$Q$3:$Q$5001,"&lt;&gt;")=0,"",SUMIFS(BD!$Q$3:$Q$5001,BD!$A$3:$A$5001,T$3,BD!$B$3:$B$5001,$A$269)))</f>
        <v/>
      </c>
      <c r="U284" s="232" t="str">
        <f>IF(U$3="","",IF(COUNTIFS(BD!$A$3:$A$5001,U$3,BD!$B$3:$B$5001,$A$269,BD!$Q$3:$Q$5001,"&lt;&gt;")=0,"",SUMIFS(BD!$Q$3:$Q$5001,BD!$A$3:$A$5001,U$3,BD!$B$3:$B$5001,$A$269)))</f>
        <v/>
      </c>
      <c r="V284" s="232" t="str">
        <f>IF(V$3="","",IF(COUNTIFS(BD!$A$3:$A$5001,V$3,BD!$B$3:$B$5001,$A$269,BD!$Q$3:$Q$5001,"&lt;&gt;")=0,"",SUMIFS(BD!$Q$3:$Q$5001,BD!$A$3:$A$5001,V$3,BD!$B$3:$B$5001,$A$269)))</f>
        <v/>
      </c>
      <c r="W284" s="232" t="str">
        <f>IF(W$3="","",IF(COUNTIFS(BD!$A$3:$A$5001,W$3,BD!$B$3:$B$5001,$A$269,BD!$Q$3:$Q$5001,"&lt;&gt;")=0,"",SUMIFS(BD!$Q$3:$Q$5001,BD!$A$3:$A$5001,W$3,BD!$B$3:$B$5001,$A$269)))</f>
        <v/>
      </c>
      <c r="X284" s="232" t="str">
        <f>IF(X$3="","",IF(COUNTIFS(BD!$A$3:$A$5001,X$3,BD!$B$3:$B$5001,$A$269,BD!$Q$3:$Q$5001,"&lt;&gt;")=0,"",SUMIFS(BD!$Q$3:$Q$5001,BD!$A$3:$A$5001,X$3,BD!$B$3:$B$5001,$A$269)))</f>
        <v/>
      </c>
      <c r="Y284" s="232" t="str">
        <f>IF(Y$3="","",IF(COUNTIFS(BD!$A$3:$A$5001,Y$3,BD!$B$3:$B$5001,$A$269,BD!$Q$3:$Q$5001,"&lt;&gt;")=0,"",SUMIFS(BD!$Q$3:$Q$5001,BD!$A$3:$A$5001,Y$3,BD!$B$3:$B$5001,$A$269)))</f>
        <v/>
      </c>
      <c r="Z284" s="232" t="str">
        <f>IF(Z$3="","",IF(COUNTIFS(BD!$A$3:$A$5001,Z$3,BD!$B$3:$B$5001,$A$269,BD!$Q$3:$Q$5001,"&lt;&gt;")=0,"",SUMIFS(BD!$Q$3:$Q$5001,BD!$A$3:$A$5001,Z$3,BD!$B$3:$B$5001,$A$269)))</f>
        <v/>
      </c>
      <c r="AA284" s="232" t="str">
        <f>IF(AA$3="","",IF(COUNTIFS(BD!$A$3:$A$5001,AA$3,BD!$B$3:$B$5001,$A$269,BD!$Q$3:$Q$5001,"&lt;&gt;")=0,"",SUMIFS(BD!$Q$3:$Q$5001,BD!$A$3:$A$5001,AA$3,BD!$B$3:$B$5001,$A$269)))</f>
        <v/>
      </c>
      <c r="AB284" s="232" t="str">
        <f>IF(AB$3="","",IF(COUNTIFS(BD!$A$3:$A$5001,AB$3,BD!$B$3:$B$5001,$A$269,BD!$Q$3:$Q$5001,"&lt;&gt;")=0,"",SUMIFS(BD!$Q$3:$Q$5001,BD!$A$3:$A$5001,AB$3,BD!$B$3:$B$5001,$A$269)))</f>
        <v/>
      </c>
      <c r="AC284" s="232" t="str">
        <f>IF(AC$3="","",IF(COUNTIFS(BD!$A$3:$A$5001,AC$3,BD!$B$3:$B$5001,$A$269,BD!$Q$3:$Q$5001,"&lt;&gt;")=0,"",SUMIFS(BD!$Q$3:$Q$5001,BD!$A$3:$A$5001,AC$3,BD!$B$3:$B$5001,$A$269)))</f>
        <v/>
      </c>
      <c r="AD284" s="232" t="str">
        <f>IF(AD$3="","",IF(COUNTIFS(BD!$A$3:$A$5001,AD$3,BD!$B$3:$B$5001,$A$269,BD!$Q$3:$Q$5001,"&lt;&gt;")=0,"",SUMIFS(BD!$Q$3:$Q$5001,BD!$A$3:$A$5001,AD$3,BD!$B$3:$B$5001,$A$269)))</f>
        <v/>
      </c>
      <c r="AE284" s="232" t="str">
        <f>IF(AE$3="","",IF(COUNTIFS(BD!$A$3:$A$5001,AE$3,BD!$B$3:$B$5001,$A$269,BD!$Q$3:$Q$5001,"&lt;&gt;")=0,"",SUMIFS(BD!$Q$3:$Q$5001,BD!$A$3:$A$5001,AE$3,BD!$B$3:$B$5001,$A$269)))</f>
        <v/>
      </c>
      <c r="AF284" s="232" t="str">
        <f>IF(AF$3="","",IF(COUNTIFS(BD!$A$3:$A$5001,AF$3,BD!$B$3:$B$5001,$A$269,BD!$Q$3:$Q$5001,"&lt;&gt;")=0,"",SUMIFS(BD!$Q$3:$Q$5001,BD!$A$3:$A$5001,AF$3,BD!$B$3:$B$5001,$A$269)))</f>
        <v/>
      </c>
      <c r="AG284" s="232" t="str">
        <f>IF(AG$3="","",IF(COUNTIFS(BD!$A$3:$A$5001,AG$3,BD!$B$3:$B$5001,$A$269,BD!$Q$3:$Q$5001,"&lt;&gt;")=0,"",SUMIFS(BD!$Q$3:$Q$5001,BD!$A$3:$A$5001,AG$3,BD!$B$3:$B$5001,$A$269)))</f>
        <v/>
      </c>
      <c r="AH284" s="232" t="str">
        <f>IF(AH$3="","",IF(COUNTIFS(BD!$A$3:$A$5001,AH$3,BD!$B$3:$B$5001,$A$269,BD!$Q$3:$Q$5001,"&lt;&gt;")=0,"",SUMIFS(BD!$Q$3:$Q$5001,BD!$A$3:$A$5001,AH$3,BD!$B$3:$B$5001,$A$269)))</f>
        <v/>
      </c>
      <c r="AI284" s="232" t="str">
        <f>IF(AI$3="","",IF(COUNTIFS(BD!$A$3:$A$5001,AI$3,BD!$B$3:$B$5001,$A$269,BD!$Q$3:$Q$5001,"&lt;&gt;")=0,"",SUMIFS(BD!$Q$3:$Q$5001,BD!$A$3:$A$5001,AI$3,BD!$B$3:$B$5001,$A$269)))</f>
        <v/>
      </c>
      <c r="AJ284" s="233" t="str">
        <f>IF(AJ$3="","",IF(COUNTIFS(BD!$A$3:$A$5001,AJ$3,BD!$B$3:$B$5001,$A$269,BD!$Q$3:$Q$5001,"&lt;&gt;")=0,"",SUMIFS(BD!$Q$3:$Q$5001,BD!$A$3:$A$5001,AJ$3,BD!$B$3:$B$5001,$A$269)))</f>
        <v/>
      </c>
      <c r="AK284" s="234" t="str">
        <f>IF(COUNT(F284:AJ284)=0,"",SUM(F284:AJ284))</f>
        <v/>
      </c>
    </row>
    <row r="285" ht="15.75" customHeight="1" hidden="1">
      <c r="A285" s="254"/>
      <c r="B285" s="251"/>
      <c r="C285" s="228" t="inlineStr">
        <is>
          <t xml:space="preserve">Desligamento</t>
        </is>
      </c>
      <c r="D285" s="229" t="str">
        <f>IFERROR(1/(1/INDEX(BD!$Y$39:$AS$39,MATCH($A$269,BD!$Y$22:$AS$22,0))),"")</f>
        <v/>
      </c>
      <c r="E285" s="230"/>
      <c r="F285" s="231" t="str">
        <f>IF(F$3="","",IF(COUNTIFS(BD!$A$3:$A$5001,F$3,BD!$B$3:$B$5001,$A$269,BD!$R$3:$R$5001,"&lt;&gt;")=0,"",SUMIFS(BD!$R$3:$R$5001,BD!$A$3:$A$5001,F$3,BD!$B$3:$B$5001,$A$269)))</f>
        <v/>
      </c>
      <c r="G285" s="232" t="str">
        <f>IF(G$3="","",IF(COUNTIFS(BD!$A$3:$A$5001,G$3,BD!$B$3:$B$5001,$A$269,BD!$R$3:$R$5001,"&lt;&gt;")=0,"",SUMIFS(BD!$R$3:$R$5001,BD!$A$3:$A$5001,G$3,BD!$B$3:$B$5001,$A$269)))</f>
        <v/>
      </c>
      <c r="H285" s="232" t="str">
        <f>IF(H$3="","",IF(COUNTIFS(BD!$A$3:$A$5001,H$3,BD!$B$3:$B$5001,$A$269,BD!$R$3:$R$5001,"&lt;&gt;")=0,"",SUMIFS(BD!$R$3:$R$5001,BD!$A$3:$A$5001,H$3,BD!$B$3:$B$5001,$A$269)))</f>
        <v/>
      </c>
      <c r="I285" s="232" t="str">
        <f>IF(I$3="","",IF(COUNTIFS(BD!$A$3:$A$5001,I$3,BD!$B$3:$B$5001,$A$269,BD!$R$3:$R$5001,"&lt;&gt;")=0,"",SUMIFS(BD!$R$3:$R$5001,BD!$A$3:$A$5001,I$3,BD!$B$3:$B$5001,$A$269)))</f>
        <v/>
      </c>
      <c r="J285" s="232" t="str">
        <f>IF(J$3="","",IF(COUNTIFS(BD!$A$3:$A$5001,J$3,BD!$B$3:$B$5001,$A$269,BD!$R$3:$R$5001,"&lt;&gt;")=0,"",SUMIFS(BD!$R$3:$R$5001,BD!$A$3:$A$5001,J$3,BD!$B$3:$B$5001,$A$269)))</f>
        <v/>
      </c>
      <c r="K285" s="232" t="str">
        <f>IF(K$3="","",IF(COUNTIFS(BD!$A$3:$A$5001,K$3,BD!$B$3:$B$5001,$A$269,BD!$R$3:$R$5001,"&lt;&gt;")=0,"",SUMIFS(BD!$R$3:$R$5001,BD!$A$3:$A$5001,K$3,BD!$B$3:$B$5001,$A$269)))</f>
        <v/>
      </c>
      <c r="L285" s="232" t="str">
        <f>IF(L$3="","",IF(COUNTIFS(BD!$A$3:$A$5001,L$3,BD!$B$3:$B$5001,$A$269,BD!$R$3:$R$5001,"&lt;&gt;")=0,"",SUMIFS(BD!$R$3:$R$5001,BD!$A$3:$A$5001,L$3,BD!$B$3:$B$5001,$A$269)))</f>
        <v/>
      </c>
      <c r="M285" s="232" t="str">
        <f>IF(M$3="","",IF(COUNTIFS(BD!$A$3:$A$5001,M$3,BD!$B$3:$B$5001,$A$269,BD!$R$3:$R$5001,"&lt;&gt;")=0,"",SUMIFS(BD!$R$3:$R$5001,BD!$A$3:$A$5001,M$3,BD!$B$3:$B$5001,$A$269)))</f>
        <v/>
      </c>
      <c r="N285" s="232" t="str">
        <f>IF(N$3="","",IF(COUNTIFS(BD!$A$3:$A$5001,N$3,BD!$B$3:$B$5001,$A$269,BD!$R$3:$R$5001,"&lt;&gt;")=0,"",SUMIFS(BD!$R$3:$R$5001,BD!$A$3:$A$5001,N$3,BD!$B$3:$B$5001,$A$269)))</f>
        <v/>
      </c>
      <c r="O285" s="232" t="str">
        <f>IF(O$3="","",IF(COUNTIFS(BD!$A$3:$A$5001,O$3,BD!$B$3:$B$5001,$A$269,BD!$R$3:$R$5001,"&lt;&gt;")=0,"",SUMIFS(BD!$R$3:$R$5001,BD!$A$3:$A$5001,O$3,BD!$B$3:$B$5001,$A$269)))</f>
        <v/>
      </c>
      <c r="P285" s="232" t="str">
        <f>IF(P$3="","",IF(COUNTIFS(BD!$A$3:$A$5001,P$3,BD!$B$3:$B$5001,$A$269,BD!$R$3:$R$5001,"&lt;&gt;")=0,"",SUMIFS(BD!$R$3:$R$5001,BD!$A$3:$A$5001,P$3,BD!$B$3:$B$5001,$A$269)))</f>
        <v/>
      </c>
      <c r="Q285" s="232" t="str">
        <f>IF(Q$3="","",IF(COUNTIFS(BD!$A$3:$A$5001,Q$3,BD!$B$3:$B$5001,$A$269,BD!$R$3:$R$5001,"&lt;&gt;")=0,"",SUMIFS(BD!$R$3:$R$5001,BD!$A$3:$A$5001,Q$3,BD!$B$3:$B$5001,$A$269)))</f>
        <v/>
      </c>
      <c r="R285" s="232" t="str">
        <f>IF(R$3="","",IF(COUNTIFS(BD!$A$3:$A$5001,R$3,BD!$B$3:$B$5001,$A$269,BD!$R$3:$R$5001,"&lt;&gt;")=0,"",SUMIFS(BD!$R$3:$R$5001,BD!$A$3:$A$5001,R$3,BD!$B$3:$B$5001,$A$269)))</f>
        <v/>
      </c>
      <c r="S285" s="232" t="str">
        <f>IF(S$3="","",IF(COUNTIFS(BD!$A$3:$A$5001,S$3,BD!$B$3:$B$5001,$A$269,BD!$R$3:$R$5001,"&lt;&gt;")=0,"",SUMIFS(BD!$R$3:$R$5001,BD!$A$3:$A$5001,S$3,BD!$B$3:$B$5001,$A$269)))</f>
        <v/>
      </c>
      <c r="T285" s="232" t="str">
        <f>IF(T$3="","",IF(COUNTIFS(BD!$A$3:$A$5001,T$3,BD!$B$3:$B$5001,$A$269,BD!$R$3:$R$5001,"&lt;&gt;")=0,"",SUMIFS(BD!$R$3:$R$5001,BD!$A$3:$A$5001,T$3,BD!$B$3:$B$5001,$A$269)))</f>
        <v/>
      </c>
      <c r="U285" s="232" t="str">
        <f>IF(U$3="","",IF(COUNTIFS(BD!$A$3:$A$5001,U$3,BD!$B$3:$B$5001,$A$269,BD!$R$3:$R$5001,"&lt;&gt;")=0,"",SUMIFS(BD!$R$3:$R$5001,BD!$A$3:$A$5001,U$3,BD!$B$3:$B$5001,$A$269)))</f>
        <v/>
      </c>
      <c r="V285" s="232" t="str">
        <f>IF(V$3="","",IF(COUNTIFS(BD!$A$3:$A$5001,V$3,BD!$B$3:$B$5001,$A$269,BD!$R$3:$R$5001,"&lt;&gt;")=0,"",SUMIFS(BD!$R$3:$R$5001,BD!$A$3:$A$5001,V$3,BD!$B$3:$B$5001,$A$269)))</f>
        <v/>
      </c>
      <c r="W285" s="232" t="str">
        <f>IF(W$3="","",IF(COUNTIFS(BD!$A$3:$A$5001,W$3,BD!$B$3:$B$5001,$A$269,BD!$R$3:$R$5001,"&lt;&gt;")=0,"",SUMIFS(BD!$R$3:$R$5001,BD!$A$3:$A$5001,W$3,BD!$B$3:$B$5001,$A$269)))</f>
        <v/>
      </c>
      <c r="X285" s="232" t="str">
        <f>IF(X$3="","",IF(COUNTIFS(BD!$A$3:$A$5001,X$3,BD!$B$3:$B$5001,$A$269,BD!$R$3:$R$5001,"&lt;&gt;")=0,"",SUMIFS(BD!$R$3:$R$5001,BD!$A$3:$A$5001,X$3,BD!$B$3:$B$5001,$A$269)))</f>
        <v/>
      </c>
      <c r="Y285" s="232" t="str">
        <f>IF(Y$3="","",IF(COUNTIFS(BD!$A$3:$A$5001,Y$3,BD!$B$3:$B$5001,$A$269,BD!$R$3:$R$5001,"&lt;&gt;")=0,"",SUMIFS(BD!$R$3:$R$5001,BD!$A$3:$A$5001,Y$3,BD!$B$3:$B$5001,$A$269)))</f>
        <v/>
      </c>
      <c r="Z285" s="232" t="str">
        <f>IF(Z$3="","",IF(COUNTIFS(BD!$A$3:$A$5001,Z$3,BD!$B$3:$B$5001,$A$269,BD!$R$3:$R$5001,"&lt;&gt;")=0,"",SUMIFS(BD!$R$3:$R$5001,BD!$A$3:$A$5001,Z$3,BD!$B$3:$B$5001,$A$269)))</f>
        <v/>
      </c>
      <c r="AA285" s="232" t="str">
        <f>IF(AA$3="","",IF(COUNTIFS(BD!$A$3:$A$5001,AA$3,BD!$B$3:$B$5001,$A$269,BD!$R$3:$R$5001,"&lt;&gt;")=0,"",SUMIFS(BD!$R$3:$R$5001,BD!$A$3:$A$5001,AA$3,BD!$B$3:$B$5001,$A$269)))</f>
        <v/>
      </c>
      <c r="AB285" s="232" t="str">
        <f>IF(AB$3="","",IF(COUNTIFS(BD!$A$3:$A$5001,AB$3,BD!$B$3:$B$5001,$A$269,BD!$R$3:$R$5001,"&lt;&gt;")=0,"",SUMIFS(BD!$R$3:$R$5001,BD!$A$3:$A$5001,AB$3,BD!$B$3:$B$5001,$A$269)))</f>
        <v/>
      </c>
      <c r="AC285" s="232" t="str">
        <f>IF(AC$3="","",IF(COUNTIFS(BD!$A$3:$A$5001,AC$3,BD!$B$3:$B$5001,$A$269,BD!$R$3:$R$5001,"&lt;&gt;")=0,"",SUMIFS(BD!$R$3:$R$5001,BD!$A$3:$A$5001,AC$3,BD!$B$3:$B$5001,$A$269)))</f>
        <v/>
      </c>
      <c r="AD285" s="232" t="str">
        <f>IF(AD$3="","",IF(COUNTIFS(BD!$A$3:$A$5001,AD$3,BD!$B$3:$B$5001,$A$269,BD!$R$3:$R$5001,"&lt;&gt;")=0,"",SUMIFS(BD!$R$3:$R$5001,BD!$A$3:$A$5001,AD$3,BD!$B$3:$B$5001,$A$269)))</f>
        <v/>
      </c>
      <c r="AE285" s="232" t="str">
        <f>IF(AE$3="","",IF(COUNTIFS(BD!$A$3:$A$5001,AE$3,BD!$B$3:$B$5001,$A$269,BD!$R$3:$R$5001,"&lt;&gt;")=0,"",SUMIFS(BD!$R$3:$R$5001,BD!$A$3:$A$5001,AE$3,BD!$B$3:$B$5001,$A$269)))</f>
        <v/>
      </c>
      <c r="AF285" s="232" t="str">
        <f>IF(AF$3="","",IF(COUNTIFS(BD!$A$3:$A$5001,AF$3,BD!$B$3:$B$5001,$A$269,BD!$R$3:$R$5001,"&lt;&gt;")=0,"",SUMIFS(BD!$R$3:$R$5001,BD!$A$3:$A$5001,AF$3,BD!$B$3:$B$5001,$A$269)))</f>
        <v/>
      </c>
      <c r="AG285" s="232" t="str">
        <f>IF(AG$3="","",IF(COUNTIFS(BD!$A$3:$A$5001,AG$3,BD!$B$3:$B$5001,$A$269,BD!$R$3:$R$5001,"&lt;&gt;")=0,"",SUMIFS(BD!$R$3:$R$5001,BD!$A$3:$A$5001,AG$3,BD!$B$3:$B$5001,$A$269)))</f>
        <v/>
      </c>
      <c r="AH285" s="232" t="str">
        <f>IF(AH$3="","",IF(COUNTIFS(BD!$A$3:$A$5001,AH$3,BD!$B$3:$B$5001,$A$269,BD!$R$3:$R$5001,"&lt;&gt;")=0,"",SUMIFS(BD!$R$3:$R$5001,BD!$A$3:$A$5001,AH$3,BD!$B$3:$B$5001,$A$269)))</f>
        <v/>
      </c>
      <c r="AI285" s="232" t="str">
        <f>IF(AI$3="","",IF(COUNTIFS(BD!$A$3:$A$5001,AI$3,BD!$B$3:$B$5001,$A$269,BD!$R$3:$R$5001,"&lt;&gt;")=0,"",SUMIFS(BD!$R$3:$R$5001,BD!$A$3:$A$5001,AI$3,BD!$B$3:$B$5001,$A$269)))</f>
        <v/>
      </c>
      <c r="AJ285" s="233" t="str">
        <f>IF(AJ$3="","",IF(COUNTIFS(BD!$A$3:$A$5001,AJ$3,BD!$B$3:$B$5001,$A$269,BD!$R$3:$R$5001,"&lt;&gt;")=0,"",SUMIFS(BD!$R$3:$R$5001,BD!$A$3:$A$5001,AJ$3,BD!$B$3:$B$5001,$A$269)))</f>
        <v/>
      </c>
      <c r="AK285" s="234" t="str">
        <f>IF(COUNT(F285:AJ285)=0,"",SUM(F285:AJ285))</f>
        <v/>
      </c>
    </row>
    <row r="286" ht="15.75" customHeight="1" hidden="1">
      <c r="A286" s="254"/>
      <c r="B286" s="251"/>
      <c r="C286" s="228" t="inlineStr">
        <is>
          <t xml:space="preserve">Desvios Comportamentais</t>
        </is>
      </c>
      <c r="D286" s="229" t="str">
        <f>IFERROR(1/(1/INDEX(BD!$Y$40:$AS$40,MATCH($A$269,BD!$Y$22:$AS$22,0))),"")</f>
        <v/>
      </c>
      <c r="E286" s="230"/>
      <c r="F286" s="231" t="str">
        <f>IF(F$3="","",IF(COUNTIFS(BD!$A$3:$A$5001,F$3,BD!$B$3:$B$5001,$A$269,BD!$S$3:$S$5001,"&lt;&gt;")=0,"",SUMIFS(BD!$S$3:$S$5001,BD!$A$3:$A$5001,F$3,BD!$B$3:$B$5001,$A$269)))</f>
        <v/>
      </c>
      <c r="G286" s="232" t="str">
        <f>IF(G$3="","",IF(COUNTIFS(BD!$A$3:$A$5001,G$3,BD!$B$3:$B$5001,$A$269,BD!$S$3:$S$5001,"&lt;&gt;")=0,"",SUMIFS(BD!$S$3:$S$5001,BD!$A$3:$A$5001,G$3,BD!$B$3:$B$5001,$A$269)))</f>
        <v/>
      </c>
      <c r="H286" s="232" t="str">
        <f>IF(H$3="","",IF(COUNTIFS(BD!$A$3:$A$5001,H$3,BD!$B$3:$B$5001,$A$269,BD!$S$3:$S$5001,"&lt;&gt;")=0,"",SUMIFS(BD!$S$3:$S$5001,BD!$A$3:$A$5001,H$3,BD!$B$3:$B$5001,$A$269)))</f>
        <v/>
      </c>
      <c r="I286" s="232" t="str">
        <f>IF(I$3="","",IF(COUNTIFS(BD!$A$3:$A$5001,I$3,BD!$B$3:$B$5001,$A$269,BD!$S$3:$S$5001,"&lt;&gt;")=0,"",SUMIFS(BD!$S$3:$S$5001,BD!$A$3:$A$5001,I$3,BD!$B$3:$B$5001,$A$269)))</f>
        <v/>
      </c>
      <c r="J286" s="232" t="str">
        <f>IF(J$3="","",IF(COUNTIFS(BD!$A$3:$A$5001,J$3,BD!$B$3:$B$5001,$A$269,BD!$S$3:$S$5001,"&lt;&gt;")=0,"",SUMIFS(BD!$S$3:$S$5001,BD!$A$3:$A$5001,J$3,BD!$B$3:$B$5001,$A$269)))</f>
        <v/>
      </c>
      <c r="K286" s="232" t="str">
        <f>IF(K$3="","",IF(COUNTIFS(BD!$A$3:$A$5001,K$3,BD!$B$3:$B$5001,$A$269,BD!$S$3:$S$5001,"&lt;&gt;")=0,"",SUMIFS(BD!$S$3:$S$5001,BD!$A$3:$A$5001,K$3,BD!$B$3:$B$5001,$A$269)))</f>
        <v/>
      </c>
      <c r="L286" s="232" t="str">
        <f>IF(L$3="","",IF(COUNTIFS(BD!$A$3:$A$5001,L$3,BD!$B$3:$B$5001,$A$269,BD!$S$3:$S$5001,"&lt;&gt;")=0,"",SUMIFS(BD!$S$3:$S$5001,BD!$A$3:$A$5001,L$3,BD!$B$3:$B$5001,$A$269)))</f>
        <v/>
      </c>
      <c r="M286" s="232" t="str">
        <f>IF(M$3="","",IF(COUNTIFS(BD!$A$3:$A$5001,M$3,BD!$B$3:$B$5001,$A$269,BD!$S$3:$S$5001,"&lt;&gt;")=0,"",SUMIFS(BD!$S$3:$S$5001,BD!$A$3:$A$5001,M$3,BD!$B$3:$B$5001,$A$269)))</f>
        <v/>
      </c>
      <c r="N286" s="232" t="str">
        <f>IF(N$3="","",IF(COUNTIFS(BD!$A$3:$A$5001,N$3,BD!$B$3:$B$5001,$A$269,BD!$S$3:$S$5001,"&lt;&gt;")=0,"",SUMIFS(BD!$S$3:$S$5001,BD!$A$3:$A$5001,N$3,BD!$B$3:$B$5001,$A$269)))</f>
        <v/>
      </c>
      <c r="O286" s="232" t="str">
        <f>IF(O$3="","",IF(COUNTIFS(BD!$A$3:$A$5001,O$3,BD!$B$3:$B$5001,$A$269,BD!$S$3:$S$5001,"&lt;&gt;")=0,"",SUMIFS(BD!$S$3:$S$5001,BD!$A$3:$A$5001,O$3,BD!$B$3:$B$5001,$A$269)))</f>
        <v/>
      </c>
      <c r="P286" s="232" t="str">
        <f>IF(P$3="","",IF(COUNTIFS(BD!$A$3:$A$5001,P$3,BD!$B$3:$B$5001,$A$269,BD!$S$3:$S$5001,"&lt;&gt;")=0,"",SUMIFS(BD!$S$3:$S$5001,BD!$A$3:$A$5001,P$3,BD!$B$3:$B$5001,$A$269)))</f>
        <v/>
      </c>
      <c r="Q286" s="232" t="str">
        <f>IF(Q$3="","",IF(COUNTIFS(BD!$A$3:$A$5001,Q$3,BD!$B$3:$B$5001,$A$269,BD!$S$3:$S$5001,"&lt;&gt;")=0,"",SUMIFS(BD!$S$3:$S$5001,BD!$A$3:$A$5001,Q$3,BD!$B$3:$B$5001,$A$269)))</f>
        <v/>
      </c>
      <c r="R286" s="232" t="str">
        <f>IF(R$3="","",IF(COUNTIFS(BD!$A$3:$A$5001,R$3,BD!$B$3:$B$5001,$A$269,BD!$S$3:$S$5001,"&lt;&gt;")=0,"",SUMIFS(BD!$S$3:$S$5001,BD!$A$3:$A$5001,R$3,BD!$B$3:$B$5001,$A$269)))</f>
        <v/>
      </c>
      <c r="S286" s="232" t="str">
        <f>IF(S$3="","",IF(COUNTIFS(BD!$A$3:$A$5001,S$3,BD!$B$3:$B$5001,$A$269,BD!$S$3:$S$5001,"&lt;&gt;")=0,"",SUMIFS(BD!$S$3:$S$5001,BD!$A$3:$A$5001,S$3,BD!$B$3:$B$5001,$A$269)))</f>
        <v/>
      </c>
      <c r="T286" s="232" t="str">
        <f>IF(T$3="","",IF(COUNTIFS(BD!$A$3:$A$5001,T$3,BD!$B$3:$B$5001,$A$269,BD!$S$3:$S$5001,"&lt;&gt;")=0,"",SUMIFS(BD!$S$3:$S$5001,BD!$A$3:$A$5001,T$3,BD!$B$3:$B$5001,$A$269)))</f>
        <v/>
      </c>
      <c r="U286" s="232" t="str">
        <f>IF(U$3="","",IF(COUNTIFS(BD!$A$3:$A$5001,U$3,BD!$B$3:$B$5001,$A$269,BD!$S$3:$S$5001,"&lt;&gt;")=0,"",SUMIFS(BD!$S$3:$S$5001,BD!$A$3:$A$5001,U$3,BD!$B$3:$B$5001,$A$269)))</f>
        <v/>
      </c>
      <c r="V286" s="232" t="str">
        <f>IF(V$3="","",IF(COUNTIFS(BD!$A$3:$A$5001,V$3,BD!$B$3:$B$5001,$A$269,BD!$S$3:$S$5001,"&lt;&gt;")=0,"",SUMIFS(BD!$S$3:$S$5001,BD!$A$3:$A$5001,V$3,BD!$B$3:$B$5001,$A$269)))</f>
        <v/>
      </c>
      <c r="W286" s="232" t="str">
        <f>IF(W$3="","",IF(COUNTIFS(BD!$A$3:$A$5001,W$3,BD!$B$3:$B$5001,$A$269,BD!$S$3:$S$5001,"&lt;&gt;")=0,"",SUMIFS(BD!$S$3:$S$5001,BD!$A$3:$A$5001,W$3,BD!$B$3:$B$5001,$A$269)))</f>
        <v/>
      </c>
      <c r="X286" s="232" t="str">
        <f>IF(X$3="","",IF(COUNTIFS(BD!$A$3:$A$5001,X$3,BD!$B$3:$B$5001,$A$269,BD!$S$3:$S$5001,"&lt;&gt;")=0,"",SUMIFS(BD!$S$3:$S$5001,BD!$A$3:$A$5001,X$3,BD!$B$3:$B$5001,$A$269)))</f>
        <v/>
      </c>
      <c r="Y286" s="232" t="str">
        <f>IF(Y$3="","",IF(COUNTIFS(BD!$A$3:$A$5001,Y$3,BD!$B$3:$B$5001,$A$269,BD!$S$3:$S$5001,"&lt;&gt;")=0,"",SUMIFS(BD!$S$3:$S$5001,BD!$A$3:$A$5001,Y$3,BD!$B$3:$B$5001,$A$269)))</f>
        <v/>
      </c>
      <c r="Z286" s="232" t="str">
        <f>IF(Z$3="","",IF(COUNTIFS(BD!$A$3:$A$5001,Z$3,BD!$B$3:$B$5001,$A$269,BD!$S$3:$S$5001,"&lt;&gt;")=0,"",SUMIFS(BD!$S$3:$S$5001,BD!$A$3:$A$5001,Z$3,BD!$B$3:$B$5001,$A$269)))</f>
        <v/>
      </c>
      <c r="AA286" s="232" t="str">
        <f>IF(AA$3="","",IF(COUNTIFS(BD!$A$3:$A$5001,AA$3,BD!$B$3:$B$5001,$A$269,BD!$S$3:$S$5001,"&lt;&gt;")=0,"",SUMIFS(BD!$S$3:$S$5001,BD!$A$3:$A$5001,AA$3,BD!$B$3:$B$5001,$A$269)))</f>
        <v/>
      </c>
      <c r="AB286" s="232" t="str">
        <f>IF(AB$3="","",IF(COUNTIFS(BD!$A$3:$A$5001,AB$3,BD!$B$3:$B$5001,$A$269,BD!$S$3:$S$5001,"&lt;&gt;")=0,"",SUMIFS(BD!$S$3:$S$5001,BD!$A$3:$A$5001,AB$3,BD!$B$3:$B$5001,$A$269)))</f>
        <v/>
      </c>
      <c r="AC286" s="232" t="str">
        <f>IF(AC$3="","",IF(COUNTIFS(BD!$A$3:$A$5001,AC$3,BD!$B$3:$B$5001,$A$269,BD!$S$3:$S$5001,"&lt;&gt;")=0,"",SUMIFS(BD!$S$3:$S$5001,BD!$A$3:$A$5001,AC$3,BD!$B$3:$B$5001,$A$269)))</f>
        <v/>
      </c>
      <c r="AD286" s="232" t="str">
        <f>IF(AD$3="","",IF(COUNTIFS(BD!$A$3:$A$5001,AD$3,BD!$B$3:$B$5001,$A$269,BD!$S$3:$S$5001,"&lt;&gt;")=0,"",SUMIFS(BD!$S$3:$S$5001,BD!$A$3:$A$5001,AD$3,BD!$B$3:$B$5001,$A$269)))</f>
        <v/>
      </c>
      <c r="AE286" s="232" t="str">
        <f>IF(AE$3="","",IF(COUNTIFS(BD!$A$3:$A$5001,AE$3,BD!$B$3:$B$5001,$A$269,BD!$S$3:$S$5001,"&lt;&gt;")=0,"",SUMIFS(BD!$S$3:$S$5001,BD!$A$3:$A$5001,AE$3,BD!$B$3:$B$5001,$A$269)))</f>
        <v/>
      </c>
      <c r="AF286" s="232" t="str">
        <f>IF(AF$3="","",IF(COUNTIFS(BD!$A$3:$A$5001,AF$3,BD!$B$3:$B$5001,$A$269,BD!$S$3:$S$5001,"&lt;&gt;")=0,"",SUMIFS(BD!$S$3:$S$5001,BD!$A$3:$A$5001,AF$3,BD!$B$3:$B$5001,$A$269)))</f>
        <v/>
      </c>
      <c r="AG286" s="232" t="str">
        <f>IF(AG$3="","",IF(COUNTIFS(BD!$A$3:$A$5001,AG$3,BD!$B$3:$B$5001,$A$269,BD!$S$3:$S$5001,"&lt;&gt;")=0,"",SUMIFS(BD!$S$3:$S$5001,BD!$A$3:$A$5001,AG$3,BD!$B$3:$B$5001,$A$269)))</f>
        <v/>
      </c>
      <c r="AH286" s="232" t="str">
        <f>IF(AH$3="","",IF(COUNTIFS(BD!$A$3:$A$5001,AH$3,BD!$B$3:$B$5001,$A$269,BD!$S$3:$S$5001,"&lt;&gt;")=0,"",SUMIFS(BD!$S$3:$S$5001,BD!$A$3:$A$5001,AH$3,BD!$B$3:$B$5001,$A$269)))</f>
        <v/>
      </c>
      <c r="AI286" s="232" t="str">
        <f>IF(AI$3="","",IF(COUNTIFS(BD!$A$3:$A$5001,AI$3,BD!$B$3:$B$5001,$A$269,BD!$S$3:$S$5001,"&lt;&gt;")=0,"",SUMIFS(BD!$S$3:$S$5001,BD!$A$3:$A$5001,AI$3,BD!$B$3:$B$5001,$A$269)))</f>
        <v/>
      </c>
      <c r="AJ286" s="233" t="str">
        <f>IF(AJ$3="","",IF(COUNTIFS(BD!$A$3:$A$5001,AJ$3,BD!$B$3:$B$5001,$A$269,BD!$S$3:$S$5001,"&lt;&gt;")=0,"",SUMIFS(BD!$S$3:$S$5001,BD!$A$3:$A$5001,AJ$3,BD!$B$3:$B$5001,$A$269)))</f>
        <v/>
      </c>
      <c r="AK286" s="234" t="str">
        <f>IF(COUNT(F286:AJ286)=0,"",SUM(F286:AJ286))</f>
        <v/>
      </c>
    </row>
    <row r="287" ht="15.75" customHeight="1" hidden="1">
      <c r="A287" s="254"/>
      <c r="B287" s="251"/>
      <c r="C287" s="228" t="inlineStr">
        <is>
          <t xml:space="preserve">Acidentes CAF</t>
        </is>
      </c>
      <c r="D287" s="229" t="str">
        <f>IFERROR(1/(1/INDEX(BD!$Y$41:$AS$41,MATCH($A$269,BD!$Y$22:$AS$22,0))),"")</f>
        <v/>
      </c>
      <c r="E287" s="230"/>
      <c r="F287" s="231" t="str">
        <f>IF(F$3="","",IF(COUNTIFS(BD!$A$3:$A$5001,F$3,BD!$B$3:$B$5001,$A$269,BD!$T$3:$T$5001,"&lt;&gt;")=0,"",SUMIFS(BD!$T$3:$T$5001,BD!$A$3:$A$5001,F$3,BD!$B$3:$B$5001,$A$269)))</f>
        <v/>
      </c>
      <c r="G287" s="232" t="str">
        <f>IF(G$3="","",IF(COUNTIFS(BD!$A$3:$A$5001,G$3,BD!$B$3:$B$5001,$A$269,BD!$T$3:$T$5001,"&lt;&gt;")=0,"",SUMIFS(BD!$T$3:$T$5001,BD!$A$3:$A$5001,G$3,BD!$B$3:$B$5001,$A$269)))</f>
        <v/>
      </c>
      <c r="H287" s="232" t="str">
        <f>IF(H$3="","",IF(COUNTIFS(BD!$A$3:$A$5001,H$3,BD!$B$3:$B$5001,$A$269,BD!$T$3:$T$5001,"&lt;&gt;")=0,"",SUMIFS(BD!$T$3:$T$5001,BD!$A$3:$A$5001,H$3,BD!$B$3:$B$5001,$A$269)))</f>
        <v/>
      </c>
      <c r="I287" s="232" t="str">
        <f>IF(I$3="","",IF(COUNTIFS(BD!$A$3:$A$5001,I$3,BD!$B$3:$B$5001,$A$269,BD!$T$3:$T$5001,"&lt;&gt;")=0,"",SUMIFS(BD!$T$3:$T$5001,BD!$A$3:$A$5001,I$3,BD!$B$3:$B$5001,$A$269)))</f>
        <v/>
      </c>
      <c r="J287" s="232" t="str">
        <f>IF(J$3="","",IF(COUNTIFS(BD!$A$3:$A$5001,J$3,BD!$B$3:$B$5001,$A$269,BD!$T$3:$T$5001,"&lt;&gt;")=0,"",SUMIFS(BD!$T$3:$T$5001,BD!$A$3:$A$5001,J$3,BD!$B$3:$B$5001,$A$269)))</f>
        <v/>
      </c>
      <c r="K287" s="232" t="str">
        <f>IF(K$3="","",IF(COUNTIFS(BD!$A$3:$A$5001,K$3,BD!$B$3:$B$5001,$A$269,BD!$T$3:$T$5001,"&lt;&gt;")=0,"",SUMIFS(BD!$T$3:$T$5001,BD!$A$3:$A$5001,K$3,BD!$B$3:$B$5001,$A$269)))</f>
        <v/>
      </c>
      <c r="L287" s="232" t="str">
        <f>IF(L$3="","",IF(COUNTIFS(BD!$A$3:$A$5001,L$3,BD!$B$3:$B$5001,$A$269,BD!$T$3:$T$5001,"&lt;&gt;")=0,"",SUMIFS(BD!$T$3:$T$5001,BD!$A$3:$A$5001,L$3,BD!$B$3:$B$5001,$A$269)))</f>
        <v/>
      </c>
      <c r="M287" s="232" t="str">
        <f>IF(M$3="","",IF(COUNTIFS(BD!$A$3:$A$5001,M$3,BD!$B$3:$B$5001,$A$269,BD!$T$3:$T$5001,"&lt;&gt;")=0,"",SUMIFS(BD!$T$3:$T$5001,BD!$A$3:$A$5001,M$3,BD!$B$3:$B$5001,$A$269)))</f>
        <v/>
      </c>
      <c r="N287" s="232" t="str">
        <f>IF(N$3="","",IF(COUNTIFS(BD!$A$3:$A$5001,N$3,BD!$B$3:$B$5001,$A$269,BD!$T$3:$T$5001,"&lt;&gt;")=0,"",SUMIFS(BD!$T$3:$T$5001,BD!$A$3:$A$5001,N$3,BD!$B$3:$B$5001,$A$269)))</f>
        <v/>
      </c>
      <c r="O287" s="232" t="str">
        <f>IF(O$3="","",IF(COUNTIFS(BD!$A$3:$A$5001,O$3,BD!$B$3:$B$5001,$A$269,BD!$T$3:$T$5001,"&lt;&gt;")=0,"",SUMIFS(BD!$T$3:$T$5001,BD!$A$3:$A$5001,O$3,BD!$B$3:$B$5001,$A$269)))</f>
        <v/>
      </c>
      <c r="P287" s="232" t="str">
        <f>IF(P$3="","",IF(COUNTIFS(BD!$A$3:$A$5001,P$3,BD!$B$3:$B$5001,$A$269,BD!$T$3:$T$5001,"&lt;&gt;")=0,"",SUMIFS(BD!$T$3:$T$5001,BD!$A$3:$A$5001,P$3,BD!$B$3:$B$5001,$A$269)))</f>
        <v/>
      </c>
      <c r="Q287" s="232" t="str">
        <f>IF(Q$3="","",IF(COUNTIFS(BD!$A$3:$A$5001,Q$3,BD!$B$3:$B$5001,$A$269,BD!$T$3:$T$5001,"&lt;&gt;")=0,"",SUMIFS(BD!$T$3:$T$5001,BD!$A$3:$A$5001,Q$3,BD!$B$3:$B$5001,$A$269)))</f>
        <v/>
      </c>
      <c r="R287" s="232" t="str">
        <f>IF(R$3="","",IF(COUNTIFS(BD!$A$3:$A$5001,R$3,BD!$B$3:$B$5001,$A$269,BD!$T$3:$T$5001,"&lt;&gt;")=0,"",SUMIFS(BD!$T$3:$T$5001,BD!$A$3:$A$5001,R$3,BD!$B$3:$B$5001,$A$269)))</f>
        <v/>
      </c>
      <c r="S287" s="232" t="str">
        <f>IF(S$3="","",IF(COUNTIFS(BD!$A$3:$A$5001,S$3,BD!$B$3:$B$5001,$A$269,BD!$T$3:$T$5001,"&lt;&gt;")=0,"",SUMIFS(BD!$T$3:$T$5001,BD!$A$3:$A$5001,S$3,BD!$B$3:$B$5001,$A$269)))</f>
        <v/>
      </c>
      <c r="T287" s="232" t="str">
        <f>IF(T$3="","",IF(COUNTIFS(BD!$A$3:$A$5001,T$3,BD!$B$3:$B$5001,$A$269,BD!$T$3:$T$5001,"&lt;&gt;")=0,"",SUMIFS(BD!$T$3:$T$5001,BD!$A$3:$A$5001,T$3,BD!$B$3:$B$5001,$A$269)))</f>
        <v/>
      </c>
      <c r="U287" s="232" t="str">
        <f>IF(U$3="","",IF(COUNTIFS(BD!$A$3:$A$5001,U$3,BD!$B$3:$B$5001,$A$269,BD!$T$3:$T$5001,"&lt;&gt;")=0,"",SUMIFS(BD!$T$3:$T$5001,BD!$A$3:$A$5001,U$3,BD!$B$3:$B$5001,$A$269)))</f>
        <v/>
      </c>
      <c r="V287" s="232" t="str">
        <f>IF(V$3="","",IF(COUNTIFS(BD!$A$3:$A$5001,V$3,BD!$B$3:$B$5001,$A$269,BD!$T$3:$T$5001,"&lt;&gt;")=0,"",SUMIFS(BD!$T$3:$T$5001,BD!$A$3:$A$5001,V$3,BD!$B$3:$B$5001,$A$269)))</f>
        <v/>
      </c>
      <c r="W287" s="232" t="str">
        <f>IF(W$3="","",IF(COUNTIFS(BD!$A$3:$A$5001,W$3,BD!$B$3:$B$5001,$A$269,BD!$T$3:$T$5001,"&lt;&gt;")=0,"",SUMIFS(BD!$T$3:$T$5001,BD!$A$3:$A$5001,W$3,BD!$B$3:$B$5001,$A$269)))</f>
        <v/>
      </c>
      <c r="X287" s="232" t="str">
        <f>IF(X$3="","",IF(COUNTIFS(BD!$A$3:$A$5001,X$3,BD!$B$3:$B$5001,$A$269,BD!$T$3:$T$5001,"&lt;&gt;")=0,"",SUMIFS(BD!$T$3:$T$5001,BD!$A$3:$A$5001,X$3,BD!$B$3:$B$5001,$A$269)))</f>
        <v/>
      </c>
      <c r="Y287" s="232" t="str">
        <f>IF(Y$3="","",IF(COUNTIFS(BD!$A$3:$A$5001,Y$3,BD!$B$3:$B$5001,$A$269,BD!$T$3:$T$5001,"&lt;&gt;")=0,"",SUMIFS(BD!$T$3:$T$5001,BD!$A$3:$A$5001,Y$3,BD!$B$3:$B$5001,$A$269)))</f>
        <v/>
      </c>
      <c r="Z287" s="232" t="str">
        <f>IF(Z$3="","",IF(COUNTIFS(BD!$A$3:$A$5001,Z$3,BD!$B$3:$B$5001,$A$269,BD!$T$3:$T$5001,"&lt;&gt;")=0,"",SUMIFS(BD!$T$3:$T$5001,BD!$A$3:$A$5001,Z$3,BD!$B$3:$B$5001,$A$269)))</f>
        <v/>
      </c>
      <c r="AA287" s="232" t="str">
        <f>IF(AA$3="","",IF(COUNTIFS(BD!$A$3:$A$5001,AA$3,BD!$B$3:$B$5001,$A$269,BD!$T$3:$T$5001,"&lt;&gt;")=0,"",SUMIFS(BD!$T$3:$T$5001,BD!$A$3:$A$5001,AA$3,BD!$B$3:$B$5001,$A$269)))</f>
        <v/>
      </c>
      <c r="AB287" s="232" t="str">
        <f>IF(AB$3="","",IF(COUNTIFS(BD!$A$3:$A$5001,AB$3,BD!$B$3:$B$5001,$A$269,BD!$T$3:$T$5001,"&lt;&gt;")=0,"",SUMIFS(BD!$T$3:$T$5001,BD!$A$3:$A$5001,AB$3,BD!$B$3:$B$5001,$A$269)))</f>
        <v/>
      </c>
      <c r="AC287" s="232" t="str">
        <f>IF(AC$3="","",IF(COUNTIFS(BD!$A$3:$A$5001,AC$3,BD!$B$3:$B$5001,$A$269,BD!$T$3:$T$5001,"&lt;&gt;")=0,"",SUMIFS(BD!$T$3:$T$5001,BD!$A$3:$A$5001,AC$3,BD!$B$3:$B$5001,$A$269)))</f>
        <v/>
      </c>
      <c r="AD287" s="232" t="str">
        <f>IF(AD$3="","",IF(COUNTIFS(BD!$A$3:$A$5001,AD$3,BD!$B$3:$B$5001,$A$269,BD!$T$3:$T$5001,"&lt;&gt;")=0,"",SUMIFS(BD!$T$3:$T$5001,BD!$A$3:$A$5001,AD$3,BD!$B$3:$B$5001,$A$269)))</f>
        <v/>
      </c>
      <c r="AE287" s="232" t="str">
        <f>IF(AE$3="","",IF(COUNTIFS(BD!$A$3:$A$5001,AE$3,BD!$B$3:$B$5001,$A$269,BD!$T$3:$T$5001,"&lt;&gt;")=0,"",SUMIFS(BD!$T$3:$T$5001,BD!$A$3:$A$5001,AE$3,BD!$B$3:$B$5001,$A$269)))</f>
        <v/>
      </c>
      <c r="AF287" s="232" t="str">
        <f>IF(AF$3="","",IF(COUNTIFS(BD!$A$3:$A$5001,AF$3,BD!$B$3:$B$5001,$A$269,BD!$T$3:$T$5001,"&lt;&gt;")=0,"",SUMIFS(BD!$T$3:$T$5001,BD!$A$3:$A$5001,AF$3,BD!$B$3:$B$5001,$A$269)))</f>
        <v/>
      </c>
      <c r="AG287" s="232" t="str">
        <f>IF(AG$3="","",IF(COUNTIFS(BD!$A$3:$A$5001,AG$3,BD!$B$3:$B$5001,$A$269,BD!$T$3:$T$5001,"&lt;&gt;")=0,"",SUMIFS(BD!$T$3:$T$5001,BD!$A$3:$A$5001,AG$3,BD!$B$3:$B$5001,$A$269)))</f>
        <v/>
      </c>
      <c r="AH287" s="232" t="str">
        <f>IF(AH$3="","",IF(COUNTIFS(BD!$A$3:$A$5001,AH$3,BD!$B$3:$B$5001,$A$269,BD!$T$3:$T$5001,"&lt;&gt;")=0,"",SUMIFS(BD!$T$3:$T$5001,BD!$A$3:$A$5001,AH$3,BD!$B$3:$B$5001,$A$269)))</f>
        <v/>
      </c>
      <c r="AI287" s="232" t="str">
        <f>IF(AI$3="","",IF(COUNTIFS(BD!$A$3:$A$5001,AI$3,BD!$B$3:$B$5001,$A$269,BD!$T$3:$T$5001,"&lt;&gt;")=0,"",SUMIFS(BD!$T$3:$T$5001,BD!$A$3:$A$5001,AI$3,BD!$B$3:$B$5001,$A$269)))</f>
        <v/>
      </c>
      <c r="AJ287" s="233" t="str">
        <f>IF(AJ$3="","",IF(COUNTIFS(BD!$A$3:$A$5001,AJ$3,BD!$B$3:$B$5001,$A$269,BD!$T$3:$T$5001,"&lt;&gt;")=0,"",SUMIFS(BD!$T$3:$T$5001,BD!$A$3:$A$5001,AJ$3,BD!$B$3:$B$5001,$A$269)))</f>
        <v/>
      </c>
      <c r="AK287" s="234" t="str">
        <f>IF(COUNT(F287:AJ287)=0,"",SUM(F287:AJ287))</f>
        <v/>
      </c>
    </row>
    <row r="288" ht="15.75" customHeight="1" hidden="1">
      <c r="A288" s="255"/>
      <c r="B288" s="252"/>
      <c r="C288" s="235" t="inlineStr">
        <is>
          <t xml:space="preserve">Acidentes SAF</t>
        </is>
      </c>
      <c r="D288" s="236" t="str">
        <f>IFERROR(1/(1/INDEX(BD!$Y$42:$AS$42,MATCH($A$269,BD!$Y$22:$AS$22,0))),"")</f>
        <v/>
      </c>
      <c r="E288" s="237"/>
      <c r="F288" s="238" t="str">
        <f>IF(F$3="","",IF(COUNTIFS(BD!$A$3:$A$5001,F$3,BD!$B$3:$B$5001,$A$269,BD!$U$3:$U$5001,"&lt;&gt;")=0,"",SUMIFS(BD!$U$3:$U$5001,BD!$A$3:$A$5001,F$3,BD!$B$3:$B$5001,$A$269)))</f>
        <v/>
      </c>
      <c r="G288" s="239" t="str">
        <f>IF(G$3="","",IF(COUNTIFS(BD!$A$3:$A$5001,G$3,BD!$B$3:$B$5001,$A$269,BD!$U$3:$U$5001,"&lt;&gt;")=0,"",SUMIFS(BD!$U$3:$U$5001,BD!$A$3:$A$5001,G$3,BD!$B$3:$B$5001,$A$269)))</f>
        <v/>
      </c>
      <c r="H288" s="239" t="str">
        <f>IF(H$3="","",IF(COUNTIFS(BD!$A$3:$A$5001,H$3,BD!$B$3:$B$5001,$A$269,BD!$U$3:$U$5001,"&lt;&gt;")=0,"",SUMIFS(BD!$U$3:$U$5001,BD!$A$3:$A$5001,H$3,BD!$B$3:$B$5001,$A$269)))</f>
        <v/>
      </c>
      <c r="I288" s="239" t="str">
        <f>IF(I$3="","",IF(COUNTIFS(BD!$A$3:$A$5001,I$3,BD!$B$3:$B$5001,$A$269,BD!$U$3:$U$5001,"&lt;&gt;")=0,"",SUMIFS(BD!$U$3:$U$5001,BD!$A$3:$A$5001,I$3,BD!$B$3:$B$5001,$A$269)))</f>
        <v/>
      </c>
      <c r="J288" s="239" t="str">
        <f>IF(J$3="","",IF(COUNTIFS(BD!$A$3:$A$5001,J$3,BD!$B$3:$B$5001,$A$269,BD!$U$3:$U$5001,"&lt;&gt;")=0,"",SUMIFS(BD!$U$3:$U$5001,BD!$A$3:$A$5001,J$3,BD!$B$3:$B$5001,$A$269)))</f>
        <v/>
      </c>
      <c r="K288" s="239" t="str">
        <f>IF(K$3="","",IF(COUNTIFS(BD!$A$3:$A$5001,K$3,BD!$B$3:$B$5001,$A$269,BD!$U$3:$U$5001,"&lt;&gt;")=0,"",SUMIFS(BD!$U$3:$U$5001,BD!$A$3:$A$5001,K$3,BD!$B$3:$B$5001,$A$269)))</f>
        <v/>
      </c>
      <c r="L288" s="239" t="str">
        <f>IF(L$3="","",IF(COUNTIFS(BD!$A$3:$A$5001,L$3,BD!$B$3:$B$5001,$A$269,BD!$U$3:$U$5001,"&lt;&gt;")=0,"",SUMIFS(BD!$U$3:$U$5001,BD!$A$3:$A$5001,L$3,BD!$B$3:$B$5001,$A$269)))</f>
        <v/>
      </c>
      <c r="M288" s="239" t="str">
        <f>IF(M$3="","",IF(COUNTIFS(BD!$A$3:$A$5001,M$3,BD!$B$3:$B$5001,$A$269,BD!$U$3:$U$5001,"&lt;&gt;")=0,"",SUMIFS(BD!$U$3:$U$5001,BD!$A$3:$A$5001,M$3,BD!$B$3:$B$5001,$A$269)))</f>
        <v/>
      </c>
      <c r="N288" s="239" t="str">
        <f>IF(N$3="","",IF(COUNTIFS(BD!$A$3:$A$5001,N$3,BD!$B$3:$B$5001,$A$269,BD!$U$3:$U$5001,"&lt;&gt;")=0,"",SUMIFS(BD!$U$3:$U$5001,BD!$A$3:$A$5001,N$3,BD!$B$3:$B$5001,$A$269)))</f>
        <v/>
      </c>
      <c r="O288" s="239" t="str">
        <f>IF(O$3="","",IF(COUNTIFS(BD!$A$3:$A$5001,O$3,BD!$B$3:$B$5001,$A$269,BD!$U$3:$U$5001,"&lt;&gt;")=0,"",SUMIFS(BD!$U$3:$U$5001,BD!$A$3:$A$5001,O$3,BD!$B$3:$B$5001,$A$269)))</f>
        <v/>
      </c>
      <c r="P288" s="239" t="str">
        <f>IF(P$3="","",IF(COUNTIFS(BD!$A$3:$A$5001,P$3,BD!$B$3:$B$5001,$A$269,BD!$U$3:$U$5001,"&lt;&gt;")=0,"",SUMIFS(BD!$U$3:$U$5001,BD!$A$3:$A$5001,P$3,BD!$B$3:$B$5001,$A$269)))</f>
        <v/>
      </c>
      <c r="Q288" s="239" t="str">
        <f>IF(Q$3="","",IF(COUNTIFS(BD!$A$3:$A$5001,Q$3,BD!$B$3:$B$5001,$A$269,BD!$U$3:$U$5001,"&lt;&gt;")=0,"",SUMIFS(BD!$U$3:$U$5001,BD!$A$3:$A$5001,Q$3,BD!$B$3:$B$5001,$A$269)))</f>
        <v/>
      </c>
      <c r="R288" s="239" t="str">
        <f>IF(R$3="","",IF(COUNTIFS(BD!$A$3:$A$5001,R$3,BD!$B$3:$B$5001,$A$269,BD!$U$3:$U$5001,"&lt;&gt;")=0,"",SUMIFS(BD!$U$3:$U$5001,BD!$A$3:$A$5001,R$3,BD!$B$3:$B$5001,$A$269)))</f>
        <v/>
      </c>
      <c r="S288" s="239" t="str">
        <f>IF(S$3="","",IF(COUNTIFS(BD!$A$3:$A$5001,S$3,BD!$B$3:$B$5001,$A$269,BD!$U$3:$U$5001,"&lt;&gt;")=0,"",SUMIFS(BD!$U$3:$U$5001,BD!$A$3:$A$5001,S$3,BD!$B$3:$B$5001,$A$269)))</f>
        <v/>
      </c>
      <c r="T288" s="239" t="str">
        <f>IF(T$3="","",IF(COUNTIFS(BD!$A$3:$A$5001,T$3,BD!$B$3:$B$5001,$A$269,BD!$U$3:$U$5001,"&lt;&gt;")=0,"",SUMIFS(BD!$U$3:$U$5001,BD!$A$3:$A$5001,T$3,BD!$B$3:$B$5001,$A$269)))</f>
        <v/>
      </c>
      <c r="U288" s="239" t="str">
        <f>IF(U$3="","",IF(COUNTIFS(BD!$A$3:$A$5001,U$3,BD!$B$3:$B$5001,$A$269,BD!$U$3:$U$5001,"&lt;&gt;")=0,"",SUMIFS(BD!$U$3:$U$5001,BD!$A$3:$A$5001,U$3,BD!$B$3:$B$5001,$A$269)))</f>
        <v/>
      </c>
      <c r="V288" s="239" t="str">
        <f>IF(V$3="","",IF(COUNTIFS(BD!$A$3:$A$5001,V$3,BD!$B$3:$B$5001,$A$269,BD!$U$3:$U$5001,"&lt;&gt;")=0,"",SUMIFS(BD!$U$3:$U$5001,BD!$A$3:$A$5001,V$3,BD!$B$3:$B$5001,$A$269)))</f>
        <v/>
      </c>
      <c r="W288" s="239" t="str">
        <f>IF(W$3="","",IF(COUNTIFS(BD!$A$3:$A$5001,W$3,BD!$B$3:$B$5001,$A$269,BD!$U$3:$U$5001,"&lt;&gt;")=0,"",SUMIFS(BD!$U$3:$U$5001,BD!$A$3:$A$5001,W$3,BD!$B$3:$B$5001,$A$269)))</f>
        <v/>
      </c>
      <c r="X288" s="239" t="str">
        <f>IF(X$3="","",IF(COUNTIFS(BD!$A$3:$A$5001,X$3,BD!$B$3:$B$5001,$A$269,BD!$U$3:$U$5001,"&lt;&gt;")=0,"",SUMIFS(BD!$U$3:$U$5001,BD!$A$3:$A$5001,X$3,BD!$B$3:$B$5001,$A$269)))</f>
        <v/>
      </c>
      <c r="Y288" s="239" t="str">
        <f>IF(Y$3="","",IF(COUNTIFS(BD!$A$3:$A$5001,Y$3,BD!$B$3:$B$5001,$A$269,BD!$U$3:$U$5001,"&lt;&gt;")=0,"",SUMIFS(BD!$U$3:$U$5001,BD!$A$3:$A$5001,Y$3,BD!$B$3:$B$5001,$A$269)))</f>
        <v/>
      </c>
      <c r="Z288" s="239" t="str">
        <f>IF(Z$3="","",IF(COUNTIFS(BD!$A$3:$A$5001,Z$3,BD!$B$3:$B$5001,$A$269,BD!$U$3:$U$5001,"&lt;&gt;")=0,"",SUMIFS(BD!$U$3:$U$5001,BD!$A$3:$A$5001,Z$3,BD!$B$3:$B$5001,$A$269)))</f>
        <v/>
      </c>
      <c r="AA288" s="239" t="str">
        <f>IF(AA$3="","",IF(COUNTIFS(BD!$A$3:$A$5001,AA$3,BD!$B$3:$B$5001,$A$269,BD!$U$3:$U$5001,"&lt;&gt;")=0,"",SUMIFS(BD!$U$3:$U$5001,BD!$A$3:$A$5001,AA$3,BD!$B$3:$B$5001,$A$269)))</f>
        <v/>
      </c>
      <c r="AB288" s="239" t="str">
        <f>IF(AB$3="","",IF(COUNTIFS(BD!$A$3:$A$5001,AB$3,BD!$B$3:$B$5001,$A$269,BD!$U$3:$U$5001,"&lt;&gt;")=0,"",SUMIFS(BD!$U$3:$U$5001,BD!$A$3:$A$5001,AB$3,BD!$B$3:$B$5001,$A$269)))</f>
        <v/>
      </c>
      <c r="AC288" s="239" t="str">
        <f>IF(AC$3="","",IF(COUNTIFS(BD!$A$3:$A$5001,AC$3,BD!$B$3:$B$5001,$A$269,BD!$U$3:$U$5001,"&lt;&gt;")=0,"",SUMIFS(BD!$U$3:$U$5001,BD!$A$3:$A$5001,AC$3,BD!$B$3:$B$5001,$A$269)))</f>
        <v/>
      </c>
      <c r="AD288" s="239" t="str">
        <f>IF(AD$3="","",IF(COUNTIFS(BD!$A$3:$A$5001,AD$3,BD!$B$3:$B$5001,$A$269,BD!$U$3:$U$5001,"&lt;&gt;")=0,"",SUMIFS(BD!$U$3:$U$5001,BD!$A$3:$A$5001,AD$3,BD!$B$3:$B$5001,$A$269)))</f>
        <v/>
      </c>
      <c r="AE288" s="239" t="str">
        <f>IF(AE$3="","",IF(COUNTIFS(BD!$A$3:$A$5001,AE$3,BD!$B$3:$B$5001,$A$269,BD!$U$3:$U$5001,"&lt;&gt;")=0,"",SUMIFS(BD!$U$3:$U$5001,BD!$A$3:$A$5001,AE$3,BD!$B$3:$B$5001,$A$269)))</f>
        <v/>
      </c>
      <c r="AF288" s="239" t="str">
        <f>IF(AF$3="","",IF(COUNTIFS(BD!$A$3:$A$5001,AF$3,BD!$B$3:$B$5001,$A$269,BD!$U$3:$U$5001,"&lt;&gt;")=0,"",SUMIFS(BD!$U$3:$U$5001,BD!$A$3:$A$5001,AF$3,BD!$B$3:$B$5001,$A$269)))</f>
        <v/>
      </c>
      <c r="AG288" s="239" t="str">
        <f>IF(AG$3="","",IF(COUNTIFS(BD!$A$3:$A$5001,AG$3,BD!$B$3:$B$5001,$A$269,BD!$U$3:$U$5001,"&lt;&gt;")=0,"",SUMIFS(BD!$U$3:$U$5001,BD!$A$3:$A$5001,AG$3,BD!$B$3:$B$5001,$A$269)))</f>
        <v/>
      </c>
      <c r="AH288" s="239" t="str">
        <f>IF(AH$3="","",IF(COUNTIFS(BD!$A$3:$A$5001,AH$3,BD!$B$3:$B$5001,$A$269,BD!$U$3:$U$5001,"&lt;&gt;")=0,"",SUMIFS(BD!$U$3:$U$5001,BD!$A$3:$A$5001,AH$3,BD!$B$3:$B$5001,$A$269)))</f>
        <v/>
      </c>
      <c r="AI288" s="239" t="str">
        <f>IF(AI$3="","",IF(COUNTIFS(BD!$A$3:$A$5001,AI$3,BD!$B$3:$B$5001,$A$269,BD!$U$3:$U$5001,"&lt;&gt;")=0,"",SUMIFS(BD!$U$3:$U$5001,BD!$A$3:$A$5001,AI$3,BD!$B$3:$B$5001,$A$269)))</f>
        <v/>
      </c>
      <c r="AJ288" s="240" t="str">
        <f>IF(AJ$3="","",IF(COUNTIFS(BD!$A$3:$A$5001,AJ$3,BD!$B$3:$B$5001,$A$269,BD!$U$3:$U$5001,"&lt;&gt;")=0,"",SUMIFS(BD!$U$3:$U$5001,BD!$A$3:$A$5001,AJ$3,BD!$B$3:$B$5001,$A$269)))</f>
        <v/>
      </c>
      <c r="AK288" s="236" t="str">
        <f>IF(COUNT(F288:AJ288)=0,"",SUM(F288:AJ288))</f>
        <v/>
      </c>
    </row>
    <row r="290" ht="15.75" customHeight="1" hidden="1">
      <c r="A290" s="253"/>
      <c r="B290" s="241" t="inlineStr">
        <is>
          <t xml:space="preserve">IN</t>
        </is>
      </c>
      <c r="C290" s="155" t="inlineStr">
        <is>
          <t xml:space="preserve">Veículos Recebidos</t>
        </is>
      </c>
      <c r="D290" s="156" t="str">
        <f>IFERROR(1/(1/INDEX(BD!$Y$23:$AS$23,MATCH($A$290,BD!$Y$22:$AS$22,0))),"")</f>
        <v/>
      </c>
      <c r="E290" s="157"/>
      <c r="F290" s="158" t="str">
        <f>IF(F$3="","",IF(COUNTIFS(BD!$A$3:$A$5001,F$3,BD!$B$3:$B$5001,$A$290,BD!$C$3:$C$5001,"&lt;&gt;")=0,"",SUMIFS(BD!$C$3:$C$5001,BD!$A$3:$A$5001,F$3,BD!$B$3:$B$5001,$A$290)))</f>
        <v/>
      </c>
      <c r="G290" s="159" t="str">
        <f>IF(G$3="","",IF(COUNTIFS(BD!$A$3:$A$5001,G$3,BD!$B$3:$B$5001,$A$290,BD!$C$3:$C$5001,"&lt;&gt;")=0,"",SUMIFS(BD!$C$3:$C$5001,BD!$A$3:$A$5001,G$3,BD!$B$3:$B$5001,$A$290)))</f>
        <v/>
      </c>
      <c r="H290" s="159" t="str">
        <f>IF(H$3="","",IF(COUNTIFS(BD!$A$3:$A$5001,H$3,BD!$B$3:$B$5001,$A$290,BD!$C$3:$C$5001,"&lt;&gt;")=0,"",SUMIFS(BD!$C$3:$C$5001,BD!$A$3:$A$5001,H$3,BD!$B$3:$B$5001,$A$290)))</f>
        <v/>
      </c>
      <c r="I290" s="159" t="str">
        <f>IF(I$3="","",IF(COUNTIFS(BD!$A$3:$A$5001,I$3,BD!$B$3:$B$5001,$A$290,BD!$C$3:$C$5001,"&lt;&gt;")=0,"",SUMIFS(BD!$C$3:$C$5001,BD!$A$3:$A$5001,I$3,BD!$B$3:$B$5001,$A$290)))</f>
        <v/>
      </c>
      <c r="J290" s="159" t="str">
        <f>IF(J$3="","",IF(COUNTIFS(BD!$A$3:$A$5001,J$3,BD!$B$3:$B$5001,$A$290,BD!$C$3:$C$5001,"&lt;&gt;")=0,"",SUMIFS(BD!$C$3:$C$5001,BD!$A$3:$A$5001,J$3,BD!$B$3:$B$5001,$A$290)))</f>
        <v/>
      </c>
      <c r="K290" s="159" t="str">
        <f>IF(K$3="","",IF(COUNTIFS(BD!$A$3:$A$5001,K$3,BD!$B$3:$B$5001,$A$290,BD!$C$3:$C$5001,"&lt;&gt;")=0,"",SUMIFS(BD!$C$3:$C$5001,BD!$A$3:$A$5001,K$3,BD!$B$3:$B$5001,$A$290)))</f>
        <v/>
      </c>
      <c r="L290" s="159" t="str">
        <f>IF(L$3="","",IF(COUNTIFS(BD!$A$3:$A$5001,L$3,BD!$B$3:$B$5001,$A$290,BD!$C$3:$C$5001,"&lt;&gt;")=0,"",SUMIFS(BD!$C$3:$C$5001,BD!$A$3:$A$5001,L$3,BD!$B$3:$B$5001,$A$290)))</f>
        <v/>
      </c>
      <c r="M290" s="159" t="str">
        <f>IF(M$3="","",IF(COUNTIFS(BD!$A$3:$A$5001,M$3,BD!$B$3:$B$5001,$A$290,BD!$C$3:$C$5001,"&lt;&gt;")=0,"",SUMIFS(BD!$C$3:$C$5001,BD!$A$3:$A$5001,M$3,BD!$B$3:$B$5001,$A$290)))</f>
        <v/>
      </c>
      <c r="N290" s="159" t="str">
        <f>IF(N$3="","",IF(COUNTIFS(BD!$A$3:$A$5001,N$3,BD!$B$3:$B$5001,$A$290,BD!$C$3:$C$5001,"&lt;&gt;")=0,"",SUMIFS(BD!$C$3:$C$5001,BD!$A$3:$A$5001,N$3,BD!$B$3:$B$5001,$A$290)))</f>
        <v/>
      </c>
      <c r="O290" s="159" t="str">
        <f>IF(O$3="","",IF(COUNTIFS(BD!$A$3:$A$5001,O$3,BD!$B$3:$B$5001,$A$290,BD!$C$3:$C$5001,"&lt;&gt;")=0,"",SUMIFS(BD!$C$3:$C$5001,BD!$A$3:$A$5001,O$3,BD!$B$3:$B$5001,$A$290)))</f>
        <v/>
      </c>
      <c r="P290" s="159" t="str">
        <f>IF(P$3="","",IF(COUNTIFS(BD!$A$3:$A$5001,P$3,BD!$B$3:$B$5001,$A$290,BD!$C$3:$C$5001,"&lt;&gt;")=0,"",SUMIFS(BD!$C$3:$C$5001,BD!$A$3:$A$5001,P$3,BD!$B$3:$B$5001,$A$290)))</f>
        <v/>
      </c>
      <c r="Q290" s="159" t="str">
        <f>IF(Q$3="","",IF(COUNTIFS(BD!$A$3:$A$5001,Q$3,BD!$B$3:$B$5001,$A$290,BD!$C$3:$C$5001,"&lt;&gt;")=0,"",SUMIFS(BD!$C$3:$C$5001,BD!$A$3:$A$5001,Q$3,BD!$B$3:$B$5001,$A$290)))</f>
        <v/>
      </c>
      <c r="R290" s="159" t="str">
        <f>IF(R$3="","",IF(COUNTIFS(BD!$A$3:$A$5001,R$3,BD!$B$3:$B$5001,$A$290,BD!$C$3:$C$5001,"&lt;&gt;")=0,"",SUMIFS(BD!$C$3:$C$5001,BD!$A$3:$A$5001,R$3,BD!$B$3:$B$5001,$A$290)))</f>
        <v/>
      </c>
      <c r="S290" s="159" t="str">
        <f>IF(S$3="","",IF(COUNTIFS(BD!$A$3:$A$5001,S$3,BD!$B$3:$B$5001,$A$290,BD!$C$3:$C$5001,"&lt;&gt;")=0,"",SUMIFS(BD!$C$3:$C$5001,BD!$A$3:$A$5001,S$3,BD!$B$3:$B$5001,$A$290)))</f>
        <v/>
      </c>
      <c r="T290" s="159" t="str">
        <f>IF(T$3="","",IF(COUNTIFS(BD!$A$3:$A$5001,T$3,BD!$B$3:$B$5001,$A$290,BD!$C$3:$C$5001,"&lt;&gt;")=0,"",SUMIFS(BD!$C$3:$C$5001,BD!$A$3:$A$5001,T$3,BD!$B$3:$B$5001,$A$290)))</f>
        <v/>
      </c>
      <c r="U290" s="159" t="str">
        <f>IF(U$3="","",IF(COUNTIFS(BD!$A$3:$A$5001,U$3,BD!$B$3:$B$5001,$A$290,BD!$C$3:$C$5001,"&lt;&gt;")=0,"",SUMIFS(BD!$C$3:$C$5001,BD!$A$3:$A$5001,U$3,BD!$B$3:$B$5001,$A$290)))</f>
        <v/>
      </c>
      <c r="V290" s="159" t="str">
        <f>IF(V$3="","",IF(COUNTIFS(BD!$A$3:$A$5001,V$3,BD!$B$3:$B$5001,$A$290,BD!$C$3:$C$5001,"&lt;&gt;")=0,"",SUMIFS(BD!$C$3:$C$5001,BD!$A$3:$A$5001,V$3,BD!$B$3:$B$5001,$A$290)))</f>
        <v/>
      </c>
      <c r="W290" s="159" t="str">
        <f>IF(W$3="","",IF(COUNTIFS(BD!$A$3:$A$5001,W$3,BD!$B$3:$B$5001,$A$290,BD!$C$3:$C$5001,"&lt;&gt;")=0,"",SUMIFS(BD!$C$3:$C$5001,BD!$A$3:$A$5001,W$3,BD!$B$3:$B$5001,$A$290)))</f>
        <v/>
      </c>
      <c r="X290" s="159" t="str">
        <f>IF(X$3="","",IF(COUNTIFS(BD!$A$3:$A$5001,X$3,BD!$B$3:$B$5001,$A$290,BD!$C$3:$C$5001,"&lt;&gt;")=0,"",SUMIFS(BD!$C$3:$C$5001,BD!$A$3:$A$5001,X$3,BD!$B$3:$B$5001,$A$290)))</f>
        <v/>
      </c>
      <c r="Y290" s="159" t="str">
        <f>IF(Y$3="","",IF(COUNTIFS(BD!$A$3:$A$5001,Y$3,BD!$B$3:$B$5001,$A$290,BD!$C$3:$C$5001,"&lt;&gt;")=0,"",SUMIFS(BD!$C$3:$C$5001,BD!$A$3:$A$5001,Y$3,BD!$B$3:$B$5001,$A$290)))</f>
        <v/>
      </c>
      <c r="Z290" s="159" t="str">
        <f>IF(Z$3="","",IF(COUNTIFS(BD!$A$3:$A$5001,Z$3,BD!$B$3:$B$5001,$A$290,BD!$C$3:$C$5001,"&lt;&gt;")=0,"",SUMIFS(BD!$C$3:$C$5001,BD!$A$3:$A$5001,Z$3,BD!$B$3:$B$5001,$A$290)))</f>
        <v/>
      </c>
      <c r="AA290" s="159" t="str">
        <f>IF(AA$3="","",IF(COUNTIFS(BD!$A$3:$A$5001,AA$3,BD!$B$3:$B$5001,$A$290,BD!$C$3:$C$5001,"&lt;&gt;")=0,"",SUMIFS(BD!$C$3:$C$5001,BD!$A$3:$A$5001,AA$3,BD!$B$3:$B$5001,$A$290)))</f>
        <v/>
      </c>
      <c r="AB290" s="159" t="str">
        <f>IF(AB$3="","",IF(COUNTIFS(BD!$A$3:$A$5001,AB$3,BD!$B$3:$B$5001,$A$290,BD!$C$3:$C$5001,"&lt;&gt;")=0,"",SUMIFS(BD!$C$3:$C$5001,BD!$A$3:$A$5001,AB$3,BD!$B$3:$B$5001,$A$290)))</f>
        <v/>
      </c>
      <c r="AC290" s="159" t="str">
        <f>IF(AC$3="","",IF(COUNTIFS(BD!$A$3:$A$5001,AC$3,BD!$B$3:$B$5001,$A$290,BD!$C$3:$C$5001,"&lt;&gt;")=0,"",SUMIFS(BD!$C$3:$C$5001,BD!$A$3:$A$5001,AC$3,BD!$B$3:$B$5001,$A$290)))</f>
        <v/>
      </c>
      <c r="AD290" s="159" t="str">
        <f>IF(AD$3="","",IF(COUNTIFS(BD!$A$3:$A$5001,AD$3,BD!$B$3:$B$5001,$A$290,BD!$C$3:$C$5001,"&lt;&gt;")=0,"",SUMIFS(BD!$C$3:$C$5001,BD!$A$3:$A$5001,AD$3,BD!$B$3:$B$5001,$A$290)))</f>
        <v/>
      </c>
      <c r="AE290" s="159" t="str">
        <f>IF(AE$3="","",IF(COUNTIFS(BD!$A$3:$A$5001,AE$3,BD!$B$3:$B$5001,$A$290,BD!$C$3:$C$5001,"&lt;&gt;")=0,"",SUMIFS(BD!$C$3:$C$5001,BD!$A$3:$A$5001,AE$3,BD!$B$3:$B$5001,$A$290)))</f>
        <v/>
      </c>
      <c r="AF290" s="159" t="str">
        <f>IF(AF$3="","",IF(COUNTIFS(BD!$A$3:$A$5001,AF$3,BD!$B$3:$B$5001,$A$290,BD!$C$3:$C$5001,"&lt;&gt;")=0,"",SUMIFS(BD!$C$3:$C$5001,BD!$A$3:$A$5001,AF$3,BD!$B$3:$B$5001,$A$290)))</f>
        <v/>
      </c>
      <c r="AG290" s="159" t="str">
        <f>IF(AG$3="","",IF(COUNTIFS(BD!$A$3:$A$5001,AG$3,BD!$B$3:$B$5001,$A$290,BD!$C$3:$C$5001,"&lt;&gt;")=0,"",SUMIFS(BD!$C$3:$C$5001,BD!$A$3:$A$5001,AG$3,BD!$B$3:$B$5001,$A$290)))</f>
        <v/>
      </c>
      <c r="AH290" s="159" t="str">
        <f>IF(AH$3="","",IF(COUNTIFS(BD!$A$3:$A$5001,AH$3,BD!$B$3:$B$5001,$A$290,BD!$C$3:$C$5001,"&lt;&gt;")=0,"",SUMIFS(BD!$C$3:$C$5001,BD!$A$3:$A$5001,AH$3,BD!$B$3:$B$5001,$A$290)))</f>
        <v/>
      </c>
      <c r="AI290" s="159" t="str">
        <f>IF(AI$3="","",IF(COUNTIFS(BD!$A$3:$A$5001,AI$3,BD!$B$3:$B$5001,$A$290,BD!$C$3:$C$5001,"&lt;&gt;")=0,"",SUMIFS(BD!$C$3:$C$5001,BD!$A$3:$A$5001,AI$3,BD!$B$3:$B$5001,$A$290)))</f>
        <v/>
      </c>
      <c r="AJ290" s="160" t="str">
        <f>IF(AJ$3="","",IF(COUNTIFS(BD!$A$3:$A$5001,AJ$3,BD!$B$3:$B$5001,$A$290,BD!$C$3:$C$5001,"&lt;&gt;")=0,"",SUMIFS(BD!$C$3:$C$5001,BD!$A$3:$A$5001,AJ$3,BD!$B$3:$B$5001,$A$290)))</f>
        <v/>
      </c>
      <c r="AK290" s="161" t="str">
        <f>IF(COUNT(F290:AJ290)=0,"",SUM(F290:AJ290))</f>
        <v/>
      </c>
    </row>
    <row r="291" ht="15.75" customHeight="1" hidden="1">
      <c r="A291" s="254"/>
      <c r="B291" s="242"/>
      <c r="C291" s="162" t="inlineStr">
        <is>
          <t xml:space="preserve">Pallets Movimentados</t>
        </is>
      </c>
      <c r="D291" s="163" t="str">
        <f>IFERROR(1/(1/INDEX(BD!$Y$24:$AS$24,MATCH($A$290,BD!$Y$22:$AS$22,0))),"")</f>
        <v/>
      </c>
      <c r="E291" s="164"/>
      <c r="F291" s="165" t="str">
        <f>IF(F$3="","",IF(COUNTIFS(BD!$A$3:$A$5001,F$3,BD!$B$3:$B$5001,$A$290,BD!$D$3:$D$5001,"&lt;&gt;")=0,"",SUMIFS(BD!$D$3:$D$5001,BD!$A$3:$A$5001,F$3,BD!$B$3:$B$5001,$A$290)))</f>
        <v/>
      </c>
      <c r="G291" s="166" t="str">
        <f>IF(G$3="","",IF(COUNTIFS(BD!$A$3:$A$5001,G$3,BD!$B$3:$B$5001,$A$290,BD!$D$3:$D$5001,"&lt;&gt;")=0,"",SUMIFS(BD!$D$3:$D$5001,BD!$A$3:$A$5001,G$3,BD!$B$3:$B$5001,$A$290)))</f>
        <v/>
      </c>
      <c r="H291" s="166" t="str">
        <f>IF(H$3="","",IF(COUNTIFS(BD!$A$3:$A$5001,H$3,BD!$B$3:$B$5001,$A$290,BD!$D$3:$D$5001,"&lt;&gt;")=0,"",SUMIFS(BD!$D$3:$D$5001,BD!$A$3:$A$5001,H$3,BD!$B$3:$B$5001,$A$290)))</f>
        <v/>
      </c>
      <c r="I291" s="166" t="str">
        <f>IF(I$3="","",IF(COUNTIFS(BD!$A$3:$A$5001,I$3,BD!$B$3:$B$5001,$A$290,BD!$D$3:$D$5001,"&lt;&gt;")=0,"",SUMIFS(BD!$D$3:$D$5001,BD!$A$3:$A$5001,I$3,BD!$B$3:$B$5001,$A$290)))</f>
        <v/>
      </c>
      <c r="J291" s="166" t="str">
        <f>IF(J$3="","",IF(COUNTIFS(BD!$A$3:$A$5001,J$3,BD!$B$3:$B$5001,$A$290,BD!$D$3:$D$5001,"&lt;&gt;")=0,"",SUMIFS(BD!$D$3:$D$5001,BD!$A$3:$A$5001,J$3,BD!$B$3:$B$5001,$A$290)))</f>
        <v/>
      </c>
      <c r="K291" s="166" t="str">
        <f>IF(K$3="","",IF(COUNTIFS(BD!$A$3:$A$5001,K$3,BD!$B$3:$B$5001,$A$290,BD!$D$3:$D$5001,"&lt;&gt;")=0,"",SUMIFS(BD!$D$3:$D$5001,BD!$A$3:$A$5001,K$3,BD!$B$3:$B$5001,$A$290)))</f>
        <v/>
      </c>
      <c r="L291" s="166" t="str">
        <f>IF(L$3="","",IF(COUNTIFS(BD!$A$3:$A$5001,L$3,BD!$B$3:$B$5001,$A$290,BD!$D$3:$D$5001,"&lt;&gt;")=0,"",SUMIFS(BD!$D$3:$D$5001,BD!$A$3:$A$5001,L$3,BD!$B$3:$B$5001,$A$290)))</f>
        <v/>
      </c>
      <c r="M291" s="166" t="str">
        <f>IF(M$3="","",IF(COUNTIFS(BD!$A$3:$A$5001,M$3,BD!$B$3:$B$5001,$A$290,BD!$D$3:$D$5001,"&lt;&gt;")=0,"",SUMIFS(BD!$D$3:$D$5001,BD!$A$3:$A$5001,M$3,BD!$B$3:$B$5001,$A$290)))</f>
        <v/>
      </c>
      <c r="N291" s="166" t="str">
        <f>IF(N$3="","",IF(COUNTIFS(BD!$A$3:$A$5001,N$3,BD!$B$3:$B$5001,$A$290,BD!$D$3:$D$5001,"&lt;&gt;")=0,"",SUMIFS(BD!$D$3:$D$5001,BD!$A$3:$A$5001,N$3,BD!$B$3:$B$5001,$A$290)))</f>
        <v/>
      </c>
      <c r="O291" s="166" t="str">
        <f>IF(O$3="","",IF(COUNTIFS(BD!$A$3:$A$5001,O$3,BD!$B$3:$B$5001,$A$290,BD!$D$3:$D$5001,"&lt;&gt;")=0,"",SUMIFS(BD!$D$3:$D$5001,BD!$A$3:$A$5001,O$3,BD!$B$3:$B$5001,$A$290)))</f>
        <v/>
      </c>
      <c r="P291" s="166" t="str">
        <f>IF(P$3="","",IF(COUNTIFS(BD!$A$3:$A$5001,P$3,BD!$B$3:$B$5001,$A$290,BD!$D$3:$D$5001,"&lt;&gt;")=0,"",SUMIFS(BD!$D$3:$D$5001,BD!$A$3:$A$5001,P$3,BD!$B$3:$B$5001,$A$290)))</f>
        <v/>
      </c>
      <c r="Q291" s="166" t="str">
        <f>IF(Q$3="","",IF(COUNTIFS(BD!$A$3:$A$5001,Q$3,BD!$B$3:$B$5001,$A$290,BD!$D$3:$D$5001,"&lt;&gt;")=0,"",SUMIFS(BD!$D$3:$D$5001,BD!$A$3:$A$5001,Q$3,BD!$B$3:$B$5001,$A$290)))</f>
        <v/>
      </c>
      <c r="R291" s="166" t="str">
        <f>IF(R$3="","",IF(COUNTIFS(BD!$A$3:$A$5001,R$3,BD!$B$3:$B$5001,$A$290,BD!$D$3:$D$5001,"&lt;&gt;")=0,"",SUMIFS(BD!$D$3:$D$5001,BD!$A$3:$A$5001,R$3,BD!$B$3:$B$5001,$A$290)))</f>
        <v/>
      </c>
      <c r="S291" s="166" t="str">
        <f>IF(S$3="","",IF(COUNTIFS(BD!$A$3:$A$5001,S$3,BD!$B$3:$B$5001,$A$290,BD!$D$3:$D$5001,"&lt;&gt;")=0,"",SUMIFS(BD!$D$3:$D$5001,BD!$A$3:$A$5001,S$3,BD!$B$3:$B$5001,$A$290)))</f>
        <v/>
      </c>
      <c r="T291" s="166" t="str">
        <f>IF(T$3="","",IF(COUNTIFS(BD!$A$3:$A$5001,T$3,BD!$B$3:$B$5001,$A$290,BD!$D$3:$D$5001,"&lt;&gt;")=0,"",SUMIFS(BD!$D$3:$D$5001,BD!$A$3:$A$5001,T$3,BD!$B$3:$B$5001,$A$290)))</f>
        <v/>
      </c>
      <c r="U291" s="166" t="str">
        <f>IF(U$3="","",IF(COUNTIFS(BD!$A$3:$A$5001,U$3,BD!$B$3:$B$5001,$A$290,BD!$D$3:$D$5001,"&lt;&gt;")=0,"",SUMIFS(BD!$D$3:$D$5001,BD!$A$3:$A$5001,U$3,BD!$B$3:$B$5001,$A$290)))</f>
        <v/>
      </c>
      <c r="V291" s="166" t="str">
        <f>IF(V$3="","",IF(COUNTIFS(BD!$A$3:$A$5001,V$3,BD!$B$3:$B$5001,$A$290,BD!$D$3:$D$5001,"&lt;&gt;")=0,"",SUMIFS(BD!$D$3:$D$5001,BD!$A$3:$A$5001,V$3,BD!$B$3:$B$5001,$A$290)))</f>
        <v/>
      </c>
      <c r="W291" s="166" t="str">
        <f>IF(W$3="","",IF(COUNTIFS(BD!$A$3:$A$5001,W$3,BD!$B$3:$B$5001,$A$290,BD!$D$3:$D$5001,"&lt;&gt;")=0,"",SUMIFS(BD!$D$3:$D$5001,BD!$A$3:$A$5001,W$3,BD!$B$3:$B$5001,$A$290)))</f>
        <v/>
      </c>
      <c r="X291" s="166" t="str">
        <f>IF(X$3="","",IF(COUNTIFS(BD!$A$3:$A$5001,X$3,BD!$B$3:$B$5001,$A$290,BD!$D$3:$D$5001,"&lt;&gt;")=0,"",SUMIFS(BD!$D$3:$D$5001,BD!$A$3:$A$5001,X$3,BD!$B$3:$B$5001,$A$290)))</f>
        <v/>
      </c>
      <c r="Y291" s="166" t="str">
        <f>IF(Y$3="","",IF(COUNTIFS(BD!$A$3:$A$5001,Y$3,BD!$B$3:$B$5001,$A$290,BD!$D$3:$D$5001,"&lt;&gt;")=0,"",SUMIFS(BD!$D$3:$D$5001,BD!$A$3:$A$5001,Y$3,BD!$B$3:$B$5001,$A$290)))</f>
        <v/>
      </c>
      <c r="Z291" s="166" t="str">
        <f>IF(Z$3="","",IF(COUNTIFS(BD!$A$3:$A$5001,Z$3,BD!$B$3:$B$5001,$A$290,BD!$D$3:$D$5001,"&lt;&gt;")=0,"",SUMIFS(BD!$D$3:$D$5001,BD!$A$3:$A$5001,Z$3,BD!$B$3:$B$5001,$A$290)))</f>
        <v/>
      </c>
      <c r="AA291" s="166" t="str">
        <f>IF(AA$3="","",IF(COUNTIFS(BD!$A$3:$A$5001,AA$3,BD!$B$3:$B$5001,$A$290,BD!$D$3:$D$5001,"&lt;&gt;")=0,"",SUMIFS(BD!$D$3:$D$5001,BD!$A$3:$A$5001,AA$3,BD!$B$3:$B$5001,$A$290)))</f>
        <v/>
      </c>
      <c r="AB291" s="166" t="str">
        <f>IF(AB$3="","",IF(COUNTIFS(BD!$A$3:$A$5001,AB$3,BD!$B$3:$B$5001,$A$290,BD!$D$3:$D$5001,"&lt;&gt;")=0,"",SUMIFS(BD!$D$3:$D$5001,BD!$A$3:$A$5001,AB$3,BD!$B$3:$B$5001,$A$290)))</f>
        <v/>
      </c>
      <c r="AC291" s="166" t="str">
        <f>IF(AC$3="","",IF(COUNTIFS(BD!$A$3:$A$5001,AC$3,BD!$B$3:$B$5001,$A$290,BD!$D$3:$D$5001,"&lt;&gt;")=0,"",SUMIFS(BD!$D$3:$D$5001,BD!$A$3:$A$5001,AC$3,BD!$B$3:$B$5001,$A$290)))</f>
        <v/>
      </c>
      <c r="AD291" s="166" t="str">
        <f>IF(AD$3="","",IF(COUNTIFS(BD!$A$3:$A$5001,AD$3,BD!$B$3:$B$5001,$A$290,BD!$D$3:$D$5001,"&lt;&gt;")=0,"",SUMIFS(BD!$D$3:$D$5001,BD!$A$3:$A$5001,AD$3,BD!$B$3:$B$5001,$A$290)))</f>
        <v/>
      </c>
      <c r="AE291" s="166" t="str">
        <f>IF(AE$3="","",IF(COUNTIFS(BD!$A$3:$A$5001,AE$3,BD!$B$3:$B$5001,$A$290,BD!$D$3:$D$5001,"&lt;&gt;")=0,"",SUMIFS(BD!$D$3:$D$5001,BD!$A$3:$A$5001,AE$3,BD!$B$3:$B$5001,$A$290)))</f>
        <v/>
      </c>
      <c r="AF291" s="166" t="str">
        <f>IF(AF$3="","",IF(COUNTIFS(BD!$A$3:$A$5001,AF$3,BD!$B$3:$B$5001,$A$290,BD!$D$3:$D$5001,"&lt;&gt;")=0,"",SUMIFS(BD!$D$3:$D$5001,BD!$A$3:$A$5001,AF$3,BD!$B$3:$B$5001,$A$290)))</f>
        <v/>
      </c>
      <c r="AG291" s="166" t="str">
        <f>IF(AG$3="","",IF(COUNTIFS(BD!$A$3:$A$5001,AG$3,BD!$B$3:$B$5001,$A$290,BD!$D$3:$D$5001,"&lt;&gt;")=0,"",SUMIFS(BD!$D$3:$D$5001,BD!$A$3:$A$5001,AG$3,BD!$B$3:$B$5001,$A$290)))</f>
        <v/>
      </c>
      <c r="AH291" s="166" t="str">
        <f>IF(AH$3="","",IF(COUNTIFS(BD!$A$3:$A$5001,AH$3,BD!$B$3:$B$5001,$A$290,BD!$D$3:$D$5001,"&lt;&gt;")=0,"",SUMIFS(BD!$D$3:$D$5001,BD!$A$3:$A$5001,AH$3,BD!$B$3:$B$5001,$A$290)))</f>
        <v/>
      </c>
      <c r="AI291" s="166" t="str">
        <f>IF(AI$3="","",IF(COUNTIFS(BD!$A$3:$A$5001,AI$3,BD!$B$3:$B$5001,$A$290,BD!$D$3:$D$5001,"&lt;&gt;")=0,"",SUMIFS(BD!$D$3:$D$5001,BD!$A$3:$A$5001,AI$3,BD!$B$3:$B$5001,$A$290)))</f>
        <v/>
      </c>
      <c r="AJ291" s="167" t="str">
        <f>IF(AJ$3="","",IF(COUNTIFS(BD!$A$3:$A$5001,AJ$3,BD!$B$3:$B$5001,$A$290,BD!$D$3:$D$5001,"&lt;&gt;")=0,"",SUMIFS(BD!$D$3:$D$5001,BD!$A$3:$A$5001,AJ$3,BD!$B$3:$B$5001,$A$290)))</f>
        <v/>
      </c>
      <c r="AK291" s="168" t="str">
        <f>IF(COUNT(F291:AJ291)=0,"",SUM(F291:AJ291))</f>
        <v/>
      </c>
    </row>
    <row r="292" ht="15.75" customHeight="1" hidden="1">
      <c r="A292" s="254"/>
      <c r="B292" s="243"/>
      <c r="C292" s="169" t="inlineStr">
        <is>
          <t xml:space="preserve">Toneladas Movimentadas</t>
        </is>
      </c>
      <c r="D292" s="170" t="str">
        <f>IFERROR(1/(1/INDEX(BD!$Y$25:$AS$25,MATCH($A$290,BD!$Y$22:$AS$22,0))),"")</f>
        <v/>
      </c>
      <c r="E292" s="171"/>
      <c r="F292" s="172" t="str">
        <f>IF(F$3="","",IF(COUNTIFS(BD!$A$3:$A$5001,F$3,BD!$B$3:$B$5001,$A$290,BD!$E$3:$E$5001,"&lt;&gt;")=0,"",SUMIFS(BD!$E$3:$E$5001,BD!$A$3:$A$5001,F$3,BD!$B$3:$B$5001,$A$290)))</f>
        <v/>
      </c>
      <c r="G292" s="173" t="str">
        <f>IF(G$3="","",IF(COUNTIFS(BD!$A$3:$A$5001,G$3,BD!$B$3:$B$5001,$A$290,BD!$E$3:$E$5001,"&lt;&gt;")=0,"",SUMIFS(BD!$E$3:$E$5001,BD!$A$3:$A$5001,G$3,BD!$B$3:$B$5001,$A$290)))</f>
        <v/>
      </c>
      <c r="H292" s="173" t="str">
        <f>IF(H$3="","",IF(COUNTIFS(BD!$A$3:$A$5001,H$3,BD!$B$3:$B$5001,$A$290,BD!$E$3:$E$5001,"&lt;&gt;")=0,"",SUMIFS(BD!$E$3:$E$5001,BD!$A$3:$A$5001,H$3,BD!$B$3:$B$5001,$A$290)))</f>
        <v/>
      </c>
      <c r="I292" s="173" t="str">
        <f>IF(I$3="","",IF(COUNTIFS(BD!$A$3:$A$5001,I$3,BD!$B$3:$B$5001,$A$290,BD!$E$3:$E$5001,"&lt;&gt;")=0,"",SUMIFS(BD!$E$3:$E$5001,BD!$A$3:$A$5001,I$3,BD!$B$3:$B$5001,$A$290)))</f>
        <v/>
      </c>
      <c r="J292" s="173" t="str">
        <f>IF(J$3="","",IF(COUNTIFS(BD!$A$3:$A$5001,J$3,BD!$B$3:$B$5001,$A$290,BD!$E$3:$E$5001,"&lt;&gt;")=0,"",SUMIFS(BD!$E$3:$E$5001,BD!$A$3:$A$5001,J$3,BD!$B$3:$B$5001,$A$290)))</f>
        <v/>
      </c>
      <c r="K292" s="173" t="str">
        <f>IF(K$3="","",IF(COUNTIFS(BD!$A$3:$A$5001,K$3,BD!$B$3:$B$5001,$A$290,BD!$E$3:$E$5001,"&lt;&gt;")=0,"",SUMIFS(BD!$E$3:$E$5001,BD!$A$3:$A$5001,K$3,BD!$B$3:$B$5001,$A$290)))</f>
        <v/>
      </c>
      <c r="L292" s="173" t="str">
        <f>IF(L$3="","",IF(COUNTIFS(BD!$A$3:$A$5001,L$3,BD!$B$3:$B$5001,$A$290,BD!$E$3:$E$5001,"&lt;&gt;")=0,"",SUMIFS(BD!$E$3:$E$5001,BD!$A$3:$A$5001,L$3,BD!$B$3:$B$5001,$A$290)))</f>
        <v/>
      </c>
      <c r="M292" s="173" t="str">
        <f>IF(M$3="","",IF(COUNTIFS(BD!$A$3:$A$5001,M$3,BD!$B$3:$B$5001,$A$290,BD!$E$3:$E$5001,"&lt;&gt;")=0,"",SUMIFS(BD!$E$3:$E$5001,BD!$A$3:$A$5001,M$3,BD!$B$3:$B$5001,$A$290)))</f>
        <v/>
      </c>
      <c r="N292" s="173" t="str">
        <f>IF(N$3="","",IF(COUNTIFS(BD!$A$3:$A$5001,N$3,BD!$B$3:$B$5001,$A$290,BD!$E$3:$E$5001,"&lt;&gt;")=0,"",SUMIFS(BD!$E$3:$E$5001,BD!$A$3:$A$5001,N$3,BD!$B$3:$B$5001,$A$290)))</f>
        <v/>
      </c>
      <c r="O292" s="173" t="str">
        <f>IF(O$3="","",IF(COUNTIFS(BD!$A$3:$A$5001,O$3,BD!$B$3:$B$5001,$A$290,BD!$E$3:$E$5001,"&lt;&gt;")=0,"",SUMIFS(BD!$E$3:$E$5001,BD!$A$3:$A$5001,O$3,BD!$B$3:$B$5001,$A$290)))</f>
        <v/>
      </c>
      <c r="P292" s="173" t="str">
        <f>IF(P$3="","",IF(COUNTIFS(BD!$A$3:$A$5001,P$3,BD!$B$3:$B$5001,$A$290,BD!$E$3:$E$5001,"&lt;&gt;")=0,"",SUMIFS(BD!$E$3:$E$5001,BD!$A$3:$A$5001,P$3,BD!$B$3:$B$5001,$A$290)))</f>
        <v/>
      </c>
      <c r="Q292" s="173" t="str">
        <f>IF(Q$3="","",IF(COUNTIFS(BD!$A$3:$A$5001,Q$3,BD!$B$3:$B$5001,$A$290,BD!$E$3:$E$5001,"&lt;&gt;")=0,"",SUMIFS(BD!$E$3:$E$5001,BD!$A$3:$A$5001,Q$3,BD!$B$3:$B$5001,$A$290)))</f>
        <v/>
      </c>
      <c r="R292" s="173" t="str">
        <f>IF(R$3="","",IF(COUNTIFS(BD!$A$3:$A$5001,R$3,BD!$B$3:$B$5001,$A$290,BD!$E$3:$E$5001,"&lt;&gt;")=0,"",SUMIFS(BD!$E$3:$E$5001,BD!$A$3:$A$5001,R$3,BD!$B$3:$B$5001,$A$290)))</f>
        <v/>
      </c>
      <c r="S292" s="173" t="str">
        <f>IF(S$3="","",IF(COUNTIFS(BD!$A$3:$A$5001,S$3,BD!$B$3:$B$5001,$A$290,BD!$E$3:$E$5001,"&lt;&gt;")=0,"",SUMIFS(BD!$E$3:$E$5001,BD!$A$3:$A$5001,S$3,BD!$B$3:$B$5001,$A$290)))</f>
        <v/>
      </c>
      <c r="T292" s="173" t="str">
        <f>IF(T$3="","",IF(COUNTIFS(BD!$A$3:$A$5001,T$3,BD!$B$3:$B$5001,$A$290,BD!$E$3:$E$5001,"&lt;&gt;")=0,"",SUMIFS(BD!$E$3:$E$5001,BD!$A$3:$A$5001,T$3,BD!$B$3:$B$5001,$A$290)))</f>
        <v/>
      </c>
      <c r="U292" s="173" t="str">
        <f>IF(U$3="","",IF(COUNTIFS(BD!$A$3:$A$5001,U$3,BD!$B$3:$B$5001,$A$290,BD!$E$3:$E$5001,"&lt;&gt;")=0,"",SUMIFS(BD!$E$3:$E$5001,BD!$A$3:$A$5001,U$3,BD!$B$3:$B$5001,$A$290)))</f>
        <v/>
      </c>
      <c r="V292" s="173" t="str">
        <f>IF(V$3="","",IF(COUNTIFS(BD!$A$3:$A$5001,V$3,BD!$B$3:$B$5001,$A$290,BD!$E$3:$E$5001,"&lt;&gt;")=0,"",SUMIFS(BD!$E$3:$E$5001,BD!$A$3:$A$5001,V$3,BD!$B$3:$B$5001,$A$290)))</f>
        <v/>
      </c>
      <c r="W292" s="173" t="str">
        <f>IF(W$3="","",IF(COUNTIFS(BD!$A$3:$A$5001,W$3,BD!$B$3:$B$5001,$A$290,BD!$E$3:$E$5001,"&lt;&gt;")=0,"",SUMIFS(BD!$E$3:$E$5001,BD!$A$3:$A$5001,W$3,BD!$B$3:$B$5001,$A$290)))</f>
        <v/>
      </c>
      <c r="X292" s="173" t="str">
        <f>IF(X$3="","",IF(COUNTIFS(BD!$A$3:$A$5001,X$3,BD!$B$3:$B$5001,$A$290,BD!$E$3:$E$5001,"&lt;&gt;")=0,"",SUMIFS(BD!$E$3:$E$5001,BD!$A$3:$A$5001,X$3,BD!$B$3:$B$5001,$A$290)))</f>
        <v/>
      </c>
      <c r="Y292" s="173" t="str">
        <f>IF(Y$3="","",IF(COUNTIFS(BD!$A$3:$A$5001,Y$3,BD!$B$3:$B$5001,$A$290,BD!$E$3:$E$5001,"&lt;&gt;")=0,"",SUMIFS(BD!$E$3:$E$5001,BD!$A$3:$A$5001,Y$3,BD!$B$3:$B$5001,$A$290)))</f>
        <v/>
      </c>
      <c r="Z292" s="173" t="str">
        <f>IF(Z$3="","",IF(COUNTIFS(BD!$A$3:$A$5001,Z$3,BD!$B$3:$B$5001,$A$290,BD!$E$3:$E$5001,"&lt;&gt;")=0,"",SUMIFS(BD!$E$3:$E$5001,BD!$A$3:$A$5001,Z$3,BD!$B$3:$B$5001,$A$290)))</f>
        <v/>
      </c>
      <c r="AA292" s="173" t="str">
        <f>IF(AA$3="","",IF(COUNTIFS(BD!$A$3:$A$5001,AA$3,BD!$B$3:$B$5001,$A$290,BD!$E$3:$E$5001,"&lt;&gt;")=0,"",SUMIFS(BD!$E$3:$E$5001,BD!$A$3:$A$5001,AA$3,BD!$B$3:$B$5001,$A$290)))</f>
        <v/>
      </c>
      <c r="AB292" s="173" t="str">
        <f>IF(AB$3="","",IF(COUNTIFS(BD!$A$3:$A$5001,AB$3,BD!$B$3:$B$5001,$A$290,BD!$E$3:$E$5001,"&lt;&gt;")=0,"",SUMIFS(BD!$E$3:$E$5001,BD!$A$3:$A$5001,AB$3,BD!$B$3:$B$5001,$A$290)))</f>
        <v/>
      </c>
      <c r="AC292" s="173" t="str">
        <f>IF(AC$3="","",IF(COUNTIFS(BD!$A$3:$A$5001,AC$3,BD!$B$3:$B$5001,$A$290,BD!$E$3:$E$5001,"&lt;&gt;")=0,"",SUMIFS(BD!$E$3:$E$5001,BD!$A$3:$A$5001,AC$3,BD!$B$3:$B$5001,$A$290)))</f>
        <v/>
      </c>
      <c r="AD292" s="173" t="str">
        <f>IF(AD$3="","",IF(COUNTIFS(BD!$A$3:$A$5001,AD$3,BD!$B$3:$B$5001,$A$290,BD!$E$3:$E$5001,"&lt;&gt;")=0,"",SUMIFS(BD!$E$3:$E$5001,BD!$A$3:$A$5001,AD$3,BD!$B$3:$B$5001,$A$290)))</f>
        <v/>
      </c>
      <c r="AE292" s="173" t="str">
        <f>IF(AE$3="","",IF(COUNTIFS(BD!$A$3:$A$5001,AE$3,BD!$B$3:$B$5001,$A$290,BD!$E$3:$E$5001,"&lt;&gt;")=0,"",SUMIFS(BD!$E$3:$E$5001,BD!$A$3:$A$5001,AE$3,BD!$B$3:$B$5001,$A$290)))</f>
        <v/>
      </c>
      <c r="AF292" s="173" t="str">
        <f>IF(AF$3="","",IF(COUNTIFS(BD!$A$3:$A$5001,AF$3,BD!$B$3:$B$5001,$A$290,BD!$E$3:$E$5001,"&lt;&gt;")=0,"",SUMIFS(BD!$E$3:$E$5001,BD!$A$3:$A$5001,AF$3,BD!$B$3:$B$5001,$A$290)))</f>
        <v/>
      </c>
      <c r="AG292" s="173" t="str">
        <f>IF(AG$3="","",IF(COUNTIFS(BD!$A$3:$A$5001,AG$3,BD!$B$3:$B$5001,$A$290,BD!$E$3:$E$5001,"&lt;&gt;")=0,"",SUMIFS(BD!$E$3:$E$5001,BD!$A$3:$A$5001,AG$3,BD!$B$3:$B$5001,$A$290)))</f>
        <v/>
      </c>
      <c r="AH292" s="173" t="str">
        <f>IF(AH$3="","",IF(COUNTIFS(BD!$A$3:$A$5001,AH$3,BD!$B$3:$B$5001,$A$290,BD!$E$3:$E$5001,"&lt;&gt;")=0,"",SUMIFS(BD!$E$3:$E$5001,BD!$A$3:$A$5001,AH$3,BD!$B$3:$B$5001,$A$290)))</f>
        <v/>
      </c>
      <c r="AI292" s="173" t="str">
        <f>IF(AI$3="","",IF(COUNTIFS(BD!$A$3:$A$5001,AI$3,BD!$B$3:$B$5001,$A$290,BD!$E$3:$E$5001,"&lt;&gt;")=0,"",SUMIFS(BD!$E$3:$E$5001,BD!$A$3:$A$5001,AI$3,BD!$B$3:$B$5001,$A$290)))</f>
        <v/>
      </c>
      <c r="AJ292" s="174" t="str">
        <f>IF(AJ$3="","",IF(COUNTIFS(BD!$A$3:$A$5001,AJ$3,BD!$B$3:$B$5001,$A$290,BD!$E$3:$E$5001,"&lt;&gt;")=0,"",SUMIFS(BD!$E$3:$E$5001,BD!$A$3:$A$5001,AJ$3,BD!$B$3:$B$5001,$A$290)))</f>
        <v/>
      </c>
      <c r="AK292" s="175" t="str">
        <f>IF(COUNT(F292:AJ292)=0,"",SUM(F292:AJ292))</f>
        <v/>
      </c>
    </row>
    <row r="293" ht="15.75" customHeight="1" hidden="1">
      <c r="A293" s="254"/>
      <c r="B293" s="244" t="inlineStr">
        <is>
          <t xml:space="preserve">OUT</t>
        </is>
      </c>
      <c r="C293" s="176" t="inlineStr">
        <is>
          <t xml:space="preserve">Veículos Expedidos</t>
        </is>
      </c>
      <c r="D293" s="177" t="str">
        <f>IFERROR(1/(1/INDEX(BD!$Y$26:$AS$26,MATCH($A$290,BD!$Y$22:$AS$22,0))),"")</f>
        <v/>
      </c>
      <c r="E293" s="178"/>
      <c r="F293" s="179" t="str">
        <f>IF(F$3="","",IF(COUNTIFS(BD!$A$3:$A$5001,F$3,BD!$B$3:$B$5001,$A$290,BD!$F$3:$F$5001,"&lt;&gt;")=0,"",SUMIFS(BD!$F$3:$F$5001,BD!$A$3:$A$5001,F$3,BD!$B$3:$B$5001,$A$290)))</f>
        <v/>
      </c>
      <c r="G293" s="180" t="str">
        <f>IF(G$3="","",IF(COUNTIFS(BD!$A$3:$A$5001,G$3,BD!$B$3:$B$5001,$A$290,BD!$F$3:$F$5001,"&lt;&gt;")=0,"",SUMIFS(BD!$F$3:$F$5001,BD!$A$3:$A$5001,G$3,BD!$B$3:$B$5001,$A$290)))</f>
        <v/>
      </c>
      <c r="H293" s="180" t="str">
        <f>IF(H$3="","",IF(COUNTIFS(BD!$A$3:$A$5001,H$3,BD!$B$3:$B$5001,$A$290,BD!$F$3:$F$5001,"&lt;&gt;")=0,"",SUMIFS(BD!$F$3:$F$5001,BD!$A$3:$A$5001,H$3,BD!$B$3:$B$5001,$A$290)))</f>
        <v/>
      </c>
      <c r="I293" s="180" t="str">
        <f>IF(I$3="","",IF(COUNTIFS(BD!$A$3:$A$5001,I$3,BD!$B$3:$B$5001,$A$290,BD!$F$3:$F$5001,"&lt;&gt;")=0,"",SUMIFS(BD!$F$3:$F$5001,BD!$A$3:$A$5001,I$3,BD!$B$3:$B$5001,$A$290)))</f>
        <v/>
      </c>
      <c r="J293" s="180" t="str">
        <f>IF(J$3="","",IF(COUNTIFS(BD!$A$3:$A$5001,J$3,BD!$B$3:$B$5001,$A$290,BD!$F$3:$F$5001,"&lt;&gt;")=0,"",SUMIFS(BD!$F$3:$F$5001,BD!$A$3:$A$5001,J$3,BD!$B$3:$B$5001,$A$290)))</f>
        <v/>
      </c>
      <c r="K293" s="180" t="str">
        <f>IF(K$3="","",IF(COUNTIFS(BD!$A$3:$A$5001,K$3,BD!$B$3:$B$5001,$A$290,BD!$F$3:$F$5001,"&lt;&gt;")=0,"",SUMIFS(BD!$F$3:$F$5001,BD!$A$3:$A$5001,K$3,BD!$B$3:$B$5001,$A$290)))</f>
        <v/>
      </c>
      <c r="L293" s="180" t="str">
        <f>IF(L$3="","",IF(COUNTIFS(BD!$A$3:$A$5001,L$3,BD!$B$3:$B$5001,$A$290,BD!$F$3:$F$5001,"&lt;&gt;")=0,"",SUMIFS(BD!$F$3:$F$5001,BD!$A$3:$A$5001,L$3,BD!$B$3:$B$5001,$A$290)))</f>
        <v/>
      </c>
      <c r="M293" s="180" t="str">
        <f>IF(M$3="","",IF(COUNTIFS(BD!$A$3:$A$5001,M$3,BD!$B$3:$B$5001,$A$290,BD!$F$3:$F$5001,"&lt;&gt;")=0,"",SUMIFS(BD!$F$3:$F$5001,BD!$A$3:$A$5001,M$3,BD!$B$3:$B$5001,$A$290)))</f>
        <v/>
      </c>
      <c r="N293" s="180" t="str">
        <f>IF(N$3="","",IF(COUNTIFS(BD!$A$3:$A$5001,N$3,BD!$B$3:$B$5001,$A$290,BD!$F$3:$F$5001,"&lt;&gt;")=0,"",SUMIFS(BD!$F$3:$F$5001,BD!$A$3:$A$5001,N$3,BD!$B$3:$B$5001,$A$290)))</f>
        <v/>
      </c>
      <c r="O293" s="180" t="str">
        <f>IF(O$3="","",IF(COUNTIFS(BD!$A$3:$A$5001,O$3,BD!$B$3:$B$5001,$A$290,BD!$F$3:$F$5001,"&lt;&gt;")=0,"",SUMIFS(BD!$F$3:$F$5001,BD!$A$3:$A$5001,O$3,BD!$B$3:$B$5001,$A$290)))</f>
        <v/>
      </c>
      <c r="P293" s="180" t="str">
        <f>IF(P$3="","",IF(COUNTIFS(BD!$A$3:$A$5001,P$3,BD!$B$3:$B$5001,$A$290,BD!$F$3:$F$5001,"&lt;&gt;")=0,"",SUMIFS(BD!$F$3:$F$5001,BD!$A$3:$A$5001,P$3,BD!$B$3:$B$5001,$A$290)))</f>
        <v/>
      </c>
      <c r="Q293" s="180" t="str">
        <f>IF(Q$3="","",IF(COUNTIFS(BD!$A$3:$A$5001,Q$3,BD!$B$3:$B$5001,$A$290,BD!$F$3:$F$5001,"&lt;&gt;")=0,"",SUMIFS(BD!$F$3:$F$5001,BD!$A$3:$A$5001,Q$3,BD!$B$3:$B$5001,$A$290)))</f>
        <v/>
      </c>
      <c r="R293" s="180" t="str">
        <f>IF(R$3="","",IF(COUNTIFS(BD!$A$3:$A$5001,R$3,BD!$B$3:$B$5001,$A$290,BD!$F$3:$F$5001,"&lt;&gt;")=0,"",SUMIFS(BD!$F$3:$F$5001,BD!$A$3:$A$5001,R$3,BD!$B$3:$B$5001,$A$290)))</f>
        <v/>
      </c>
      <c r="S293" s="180" t="str">
        <f>IF(S$3="","",IF(COUNTIFS(BD!$A$3:$A$5001,S$3,BD!$B$3:$B$5001,$A$290,BD!$F$3:$F$5001,"&lt;&gt;")=0,"",SUMIFS(BD!$F$3:$F$5001,BD!$A$3:$A$5001,S$3,BD!$B$3:$B$5001,$A$290)))</f>
        <v/>
      </c>
      <c r="T293" s="180" t="str">
        <f>IF(T$3="","",IF(COUNTIFS(BD!$A$3:$A$5001,T$3,BD!$B$3:$B$5001,$A$290,BD!$F$3:$F$5001,"&lt;&gt;")=0,"",SUMIFS(BD!$F$3:$F$5001,BD!$A$3:$A$5001,T$3,BD!$B$3:$B$5001,$A$290)))</f>
        <v/>
      </c>
      <c r="U293" s="180" t="str">
        <f>IF(U$3="","",IF(COUNTIFS(BD!$A$3:$A$5001,U$3,BD!$B$3:$B$5001,$A$290,BD!$F$3:$F$5001,"&lt;&gt;")=0,"",SUMIFS(BD!$F$3:$F$5001,BD!$A$3:$A$5001,U$3,BD!$B$3:$B$5001,$A$290)))</f>
        <v/>
      </c>
      <c r="V293" s="180" t="str">
        <f>IF(V$3="","",IF(COUNTIFS(BD!$A$3:$A$5001,V$3,BD!$B$3:$B$5001,$A$290,BD!$F$3:$F$5001,"&lt;&gt;")=0,"",SUMIFS(BD!$F$3:$F$5001,BD!$A$3:$A$5001,V$3,BD!$B$3:$B$5001,$A$290)))</f>
        <v/>
      </c>
      <c r="W293" s="180" t="str">
        <f>IF(W$3="","",IF(COUNTIFS(BD!$A$3:$A$5001,W$3,BD!$B$3:$B$5001,$A$290,BD!$F$3:$F$5001,"&lt;&gt;")=0,"",SUMIFS(BD!$F$3:$F$5001,BD!$A$3:$A$5001,W$3,BD!$B$3:$B$5001,$A$290)))</f>
        <v/>
      </c>
      <c r="X293" s="180" t="str">
        <f>IF(X$3="","",IF(COUNTIFS(BD!$A$3:$A$5001,X$3,BD!$B$3:$B$5001,$A$290,BD!$F$3:$F$5001,"&lt;&gt;")=0,"",SUMIFS(BD!$F$3:$F$5001,BD!$A$3:$A$5001,X$3,BD!$B$3:$B$5001,$A$290)))</f>
        <v/>
      </c>
      <c r="Y293" s="180" t="str">
        <f>IF(Y$3="","",IF(COUNTIFS(BD!$A$3:$A$5001,Y$3,BD!$B$3:$B$5001,$A$290,BD!$F$3:$F$5001,"&lt;&gt;")=0,"",SUMIFS(BD!$F$3:$F$5001,BD!$A$3:$A$5001,Y$3,BD!$B$3:$B$5001,$A$290)))</f>
        <v/>
      </c>
      <c r="Z293" s="180" t="str">
        <f>IF(Z$3="","",IF(COUNTIFS(BD!$A$3:$A$5001,Z$3,BD!$B$3:$B$5001,$A$290,BD!$F$3:$F$5001,"&lt;&gt;")=0,"",SUMIFS(BD!$F$3:$F$5001,BD!$A$3:$A$5001,Z$3,BD!$B$3:$B$5001,$A$290)))</f>
        <v/>
      </c>
      <c r="AA293" s="180" t="str">
        <f>IF(AA$3="","",IF(COUNTIFS(BD!$A$3:$A$5001,AA$3,BD!$B$3:$B$5001,$A$290,BD!$F$3:$F$5001,"&lt;&gt;")=0,"",SUMIFS(BD!$F$3:$F$5001,BD!$A$3:$A$5001,AA$3,BD!$B$3:$B$5001,$A$290)))</f>
        <v/>
      </c>
      <c r="AB293" s="180" t="str">
        <f>IF(AB$3="","",IF(COUNTIFS(BD!$A$3:$A$5001,AB$3,BD!$B$3:$B$5001,$A$290,BD!$F$3:$F$5001,"&lt;&gt;")=0,"",SUMIFS(BD!$F$3:$F$5001,BD!$A$3:$A$5001,AB$3,BD!$B$3:$B$5001,$A$290)))</f>
        <v/>
      </c>
      <c r="AC293" s="180" t="str">
        <f>IF(AC$3="","",IF(COUNTIFS(BD!$A$3:$A$5001,AC$3,BD!$B$3:$B$5001,$A$290,BD!$F$3:$F$5001,"&lt;&gt;")=0,"",SUMIFS(BD!$F$3:$F$5001,BD!$A$3:$A$5001,AC$3,BD!$B$3:$B$5001,$A$290)))</f>
        <v/>
      </c>
      <c r="AD293" s="180" t="str">
        <f>IF(AD$3="","",IF(COUNTIFS(BD!$A$3:$A$5001,AD$3,BD!$B$3:$B$5001,$A$290,BD!$F$3:$F$5001,"&lt;&gt;")=0,"",SUMIFS(BD!$F$3:$F$5001,BD!$A$3:$A$5001,AD$3,BD!$B$3:$B$5001,$A$290)))</f>
        <v/>
      </c>
      <c r="AE293" s="180" t="str">
        <f>IF(AE$3="","",IF(COUNTIFS(BD!$A$3:$A$5001,AE$3,BD!$B$3:$B$5001,$A$290,BD!$F$3:$F$5001,"&lt;&gt;")=0,"",SUMIFS(BD!$F$3:$F$5001,BD!$A$3:$A$5001,AE$3,BD!$B$3:$B$5001,$A$290)))</f>
        <v/>
      </c>
      <c r="AF293" s="180" t="str">
        <f>IF(AF$3="","",IF(COUNTIFS(BD!$A$3:$A$5001,AF$3,BD!$B$3:$B$5001,$A$290,BD!$F$3:$F$5001,"&lt;&gt;")=0,"",SUMIFS(BD!$F$3:$F$5001,BD!$A$3:$A$5001,AF$3,BD!$B$3:$B$5001,$A$290)))</f>
        <v/>
      </c>
      <c r="AG293" s="180" t="str">
        <f>IF(AG$3="","",IF(COUNTIFS(BD!$A$3:$A$5001,AG$3,BD!$B$3:$B$5001,$A$290,BD!$F$3:$F$5001,"&lt;&gt;")=0,"",SUMIFS(BD!$F$3:$F$5001,BD!$A$3:$A$5001,AG$3,BD!$B$3:$B$5001,$A$290)))</f>
        <v/>
      </c>
      <c r="AH293" s="180" t="str">
        <f>IF(AH$3="","",IF(COUNTIFS(BD!$A$3:$A$5001,AH$3,BD!$B$3:$B$5001,$A$290,BD!$F$3:$F$5001,"&lt;&gt;")=0,"",SUMIFS(BD!$F$3:$F$5001,BD!$A$3:$A$5001,AH$3,BD!$B$3:$B$5001,$A$290)))</f>
        <v/>
      </c>
      <c r="AI293" s="180" t="str">
        <f>IF(AI$3="","",IF(COUNTIFS(BD!$A$3:$A$5001,AI$3,BD!$B$3:$B$5001,$A$290,BD!$F$3:$F$5001,"&lt;&gt;")=0,"",SUMIFS(BD!$F$3:$F$5001,BD!$A$3:$A$5001,AI$3,BD!$B$3:$B$5001,$A$290)))</f>
        <v/>
      </c>
      <c r="AJ293" s="181" t="str">
        <f>IF(AJ$3="","",IF(COUNTIFS(BD!$A$3:$A$5001,AJ$3,BD!$B$3:$B$5001,$A$290,BD!$F$3:$F$5001,"&lt;&gt;")=0,"",SUMIFS(BD!$F$3:$F$5001,BD!$A$3:$A$5001,AJ$3,BD!$B$3:$B$5001,$A$290)))</f>
        <v/>
      </c>
      <c r="AK293" s="182" t="str">
        <f>IF(COUNT(F293:AJ293)=0,"",SUM(F293:AJ293))</f>
        <v/>
      </c>
    </row>
    <row r="294" ht="15.75" customHeight="1" hidden="1">
      <c r="A294" s="254"/>
      <c r="B294" s="245"/>
      <c r="C294" s="183" t="inlineStr">
        <is>
          <t xml:space="preserve">Pallets Movimentados</t>
        </is>
      </c>
      <c r="D294" s="184" t="str">
        <f>IFERROR(1/(1/INDEX(BD!$Y$27:$AS$27,MATCH($A$290,BD!$Y$22:$AS$22,0))),"")</f>
        <v/>
      </c>
      <c r="E294" s="185"/>
      <c r="F294" s="186" t="str">
        <f>IF(F$3="","",IF(COUNTIFS(BD!$A$3:$A$5001,F$3,BD!$B$3:$B$5001,$A$290,BD!$G$3:$G$5001,"&lt;&gt;")=0,"",SUMIFS(BD!$G$3:$G$5001,BD!$A$3:$A$5001,F$3,BD!$B$3:$B$5001,$A$290)))</f>
        <v/>
      </c>
      <c r="G294" s="187" t="str">
        <f>IF(G$3="","",IF(COUNTIFS(BD!$A$3:$A$5001,G$3,BD!$B$3:$B$5001,$A$290,BD!$G$3:$G$5001,"&lt;&gt;")=0,"",SUMIFS(BD!$G$3:$G$5001,BD!$A$3:$A$5001,G$3,BD!$B$3:$B$5001,$A$290)))</f>
        <v/>
      </c>
      <c r="H294" s="187" t="str">
        <f>IF(H$3="","",IF(COUNTIFS(BD!$A$3:$A$5001,H$3,BD!$B$3:$B$5001,$A$290,BD!$G$3:$G$5001,"&lt;&gt;")=0,"",SUMIFS(BD!$G$3:$G$5001,BD!$A$3:$A$5001,H$3,BD!$B$3:$B$5001,$A$290)))</f>
        <v/>
      </c>
      <c r="I294" s="187" t="str">
        <f>IF(I$3="","",IF(COUNTIFS(BD!$A$3:$A$5001,I$3,BD!$B$3:$B$5001,$A$290,BD!$G$3:$G$5001,"&lt;&gt;")=0,"",SUMIFS(BD!$G$3:$G$5001,BD!$A$3:$A$5001,I$3,BD!$B$3:$B$5001,$A$290)))</f>
        <v/>
      </c>
      <c r="J294" s="187" t="str">
        <f>IF(J$3="","",IF(COUNTIFS(BD!$A$3:$A$5001,J$3,BD!$B$3:$B$5001,$A$290,BD!$G$3:$G$5001,"&lt;&gt;")=0,"",SUMIFS(BD!$G$3:$G$5001,BD!$A$3:$A$5001,J$3,BD!$B$3:$B$5001,$A$290)))</f>
        <v/>
      </c>
      <c r="K294" s="187" t="str">
        <f>IF(K$3="","",IF(COUNTIFS(BD!$A$3:$A$5001,K$3,BD!$B$3:$B$5001,$A$290,BD!$G$3:$G$5001,"&lt;&gt;")=0,"",SUMIFS(BD!$G$3:$G$5001,BD!$A$3:$A$5001,K$3,BD!$B$3:$B$5001,$A$290)))</f>
        <v/>
      </c>
      <c r="L294" s="187" t="str">
        <f>IF(L$3="","",IF(COUNTIFS(BD!$A$3:$A$5001,L$3,BD!$B$3:$B$5001,$A$290,BD!$G$3:$G$5001,"&lt;&gt;")=0,"",SUMIFS(BD!$G$3:$G$5001,BD!$A$3:$A$5001,L$3,BD!$B$3:$B$5001,$A$290)))</f>
        <v/>
      </c>
      <c r="M294" s="187" t="str">
        <f>IF(M$3="","",IF(COUNTIFS(BD!$A$3:$A$5001,M$3,BD!$B$3:$B$5001,$A$290,BD!$G$3:$G$5001,"&lt;&gt;")=0,"",SUMIFS(BD!$G$3:$G$5001,BD!$A$3:$A$5001,M$3,BD!$B$3:$B$5001,$A$290)))</f>
        <v/>
      </c>
      <c r="N294" s="187" t="str">
        <f>IF(N$3="","",IF(COUNTIFS(BD!$A$3:$A$5001,N$3,BD!$B$3:$B$5001,$A$290,BD!$G$3:$G$5001,"&lt;&gt;")=0,"",SUMIFS(BD!$G$3:$G$5001,BD!$A$3:$A$5001,N$3,BD!$B$3:$B$5001,$A$290)))</f>
        <v/>
      </c>
      <c r="O294" s="187" t="str">
        <f>IF(O$3="","",IF(COUNTIFS(BD!$A$3:$A$5001,O$3,BD!$B$3:$B$5001,$A$290,BD!$G$3:$G$5001,"&lt;&gt;")=0,"",SUMIFS(BD!$G$3:$G$5001,BD!$A$3:$A$5001,O$3,BD!$B$3:$B$5001,$A$290)))</f>
        <v/>
      </c>
      <c r="P294" s="187" t="str">
        <f>IF(P$3="","",IF(COUNTIFS(BD!$A$3:$A$5001,P$3,BD!$B$3:$B$5001,$A$290,BD!$G$3:$G$5001,"&lt;&gt;")=0,"",SUMIFS(BD!$G$3:$G$5001,BD!$A$3:$A$5001,P$3,BD!$B$3:$B$5001,$A$290)))</f>
        <v/>
      </c>
      <c r="Q294" s="187" t="str">
        <f>IF(Q$3="","",IF(COUNTIFS(BD!$A$3:$A$5001,Q$3,BD!$B$3:$B$5001,$A$290,BD!$G$3:$G$5001,"&lt;&gt;")=0,"",SUMIFS(BD!$G$3:$G$5001,BD!$A$3:$A$5001,Q$3,BD!$B$3:$B$5001,$A$290)))</f>
        <v/>
      </c>
      <c r="R294" s="187" t="str">
        <f>IF(R$3="","",IF(COUNTIFS(BD!$A$3:$A$5001,R$3,BD!$B$3:$B$5001,$A$290,BD!$G$3:$G$5001,"&lt;&gt;")=0,"",SUMIFS(BD!$G$3:$G$5001,BD!$A$3:$A$5001,R$3,BD!$B$3:$B$5001,$A$290)))</f>
        <v/>
      </c>
      <c r="S294" s="187" t="str">
        <f>IF(S$3="","",IF(COUNTIFS(BD!$A$3:$A$5001,S$3,BD!$B$3:$B$5001,$A$290,BD!$G$3:$G$5001,"&lt;&gt;")=0,"",SUMIFS(BD!$G$3:$G$5001,BD!$A$3:$A$5001,S$3,BD!$B$3:$B$5001,$A$290)))</f>
        <v/>
      </c>
      <c r="T294" s="187" t="str">
        <f>IF(T$3="","",IF(COUNTIFS(BD!$A$3:$A$5001,T$3,BD!$B$3:$B$5001,$A$290,BD!$G$3:$G$5001,"&lt;&gt;")=0,"",SUMIFS(BD!$G$3:$G$5001,BD!$A$3:$A$5001,T$3,BD!$B$3:$B$5001,$A$290)))</f>
        <v/>
      </c>
      <c r="U294" s="187" t="str">
        <f>IF(U$3="","",IF(COUNTIFS(BD!$A$3:$A$5001,U$3,BD!$B$3:$B$5001,$A$290,BD!$G$3:$G$5001,"&lt;&gt;")=0,"",SUMIFS(BD!$G$3:$G$5001,BD!$A$3:$A$5001,U$3,BD!$B$3:$B$5001,$A$290)))</f>
        <v/>
      </c>
      <c r="V294" s="187" t="str">
        <f>IF(V$3="","",IF(COUNTIFS(BD!$A$3:$A$5001,V$3,BD!$B$3:$B$5001,$A$290,BD!$G$3:$G$5001,"&lt;&gt;")=0,"",SUMIFS(BD!$G$3:$G$5001,BD!$A$3:$A$5001,V$3,BD!$B$3:$B$5001,$A$290)))</f>
        <v/>
      </c>
      <c r="W294" s="187" t="str">
        <f>IF(W$3="","",IF(COUNTIFS(BD!$A$3:$A$5001,W$3,BD!$B$3:$B$5001,$A$290,BD!$G$3:$G$5001,"&lt;&gt;")=0,"",SUMIFS(BD!$G$3:$G$5001,BD!$A$3:$A$5001,W$3,BD!$B$3:$B$5001,$A$290)))</f>
        <v/>
      </c>
      <c r="X294" s="187" t="str">
        <f>IF(X$3="","",IF(COUNTIFS(BD!$A$3:$A$5001,X$3,BD!$B$3:$B$5001,$A$290,BD!$G$3:$G$5001,"&lt;&gt;")=0,"",SUMIFS(BD!$G$3:$G$5001,BD!$A$3:$A$5001,X$3,BD!$B$3:$B$5001,$A$290)))</f>
        <v/>
      </c>
      <c r="Y294" s="187" t="str">
        <f>IF(Y$3="","",IF(COUNTIFS(BD!$A$3:$A$5001,Y$3,BD!$B$3:$B$5001,$A$290,BD!$G$3:$G$5001,"&lt;&gt;")=0,"",SUMIFS(BD!$G$3:$G$5001,BD!$A$3:$A$5001,Y$3,BD!$B$3:$B$5001,$A$290)))</f>
        <v/>
      </c>
      <c r="Z294" s="187" t="str">
        <f>IF(Z$3="","",IF(COUNTIFS(BD!$A$3:$A$5001,Z$3,BD!$B$3:$B$5001,$A$290,BD!$G$3:$G$5001,"&lt;&gt;")=0,"",SUMIFS(BD!$G$3:$G$5001,BD!$A$3:$A$5001,Z$3,BD!$B$3:$B$5001,$A$290)))</f>
        <v/>
      </c>
      <c r="AA294" s="187" t="str">
        <f>IF(AA$3="","",IF(COUNTIFS(BD!$A$3:$A$5001,AA$3,BD!$B$3:$B$5001,$A$290,BD!$G$3:$G$5001,"&lt;&gt;")=0,"",SUMIFS(BD!$G$3:$G$5001,BD!$A$3:$A$5001,AA$3,BD!$B$3:$B$5001,$A$290)))</f>
        <v/>
      </c>
      <c r="AB294" s="187" t="str">
        <f>IF(AB$3="","",IF(COUNTIFS(BD!$A$3:$A$5001,AB$3,BD!$B$3:$B$5001,$A$290,BD!$G$3:$G$5001,"&lt;&gt;")=0,"",SUMIFS(BD!$G$3:$G$5001,BD!$A$3:$A$5001,AB$3,BD!$B$3:$B$5001,$A$290)))</f>
        <v/>
      </c>
      <c r="AC294" s="187" t="str">
        <f>IF(AC$3="","",IF(COUNTIFS(BD!$A$3:$A$5001,AC$3,BD!$B$3:$B$5001,$A$290,BD!$G$3:$G$5001,"&lt;&gt;")=0,"",SUMIFS(BD!$G$3:$G$5001,BD!$A$3:$A$5001,AC$3,BD!$B$3:$B$5001,$A$290)))</f>
        <v/>
      </c>
      <c r="AD294" s="187" t="str">
        <f>IF(AD$3="","",IF(COUNTIFS(BD!$A$3:$A$5001,AD$3,BD!$B$3:$B$5001,$A$290,BD!$G$3:$G$5001,"&lt;&gt;")=0,"",SUMIFS(BD!$G$3:$G$5001,BD!$A$3:$A$5001,AD$3,BD!$B$3:$B$5001,$A$290)))</f>
        <v/>
      </c>
      <c r="AE294" s="187" t="str">
        <f>IF(AE$3="","",IF(COUNTIFS(BD!$A$3:$A$5001,AE$3,BD!$B$3:$B$5001,$A$290,BD!$G$3:$G$5001,"&lt;&gt;")=0,"",SUMIFS(BD!$G$3:$G$5001,BD!$A$3:$A$5001,AE$3,BD!$B$3:$B$5001,$A$290)))</f>
        <v/>
      </c>
      <c r="AF294" s="187" t="str">
        <f>IF(AF$3="","",IF(COUNTIFS(BD!$A$3:$A$5001,AF$3,BD!$B$3:$B$5001,$A$290,BD!$G$3:$G$5001,"&lt;&gt;")=0,"",SUMIFS(BD!$G$3:$G$5001,BD!$A$3:$A$5001,AF$3,BD!$B$3:$B$5001,$A$290)))</f>
        <v/>
      </c>
      <c r="AG294" s="187" t="str">
        <f>IF(AG$3="","",IF(COUNTIFS(BD!$A$3:$A$5001,AG$3,BD!$B$3:$B$5001,$A$290,BD!$G$3:$G$5001,"&lt;&gt;")=0,"",SUMIFS(BD!$G$3:$G$5001,BD!$A$3:$A$5001,AG$3,BD!$B$3:$B$5001,$A$290)))</f>
        <v/>
      </c>
      <c r="AH294" s="187" t="str">
        <f>IF(AH$3="","",IF(COUNTIFS(BD!$A$3:$A$5001,AH$3,BD!$B$3:$B$5001,$A$290,BD!$G$3:$G$5001,"&lt;&gt;")=0,"",SUMIFS(BD!$G$3:$G$5001,BD!$A$3:$A$5001,AH$3,BD!$B$3:$B$5001,$A$290)))</f>
        <v/>
      </c>
      <c r="AI294" s="187" t="str">
        <f>IF(AI$3="","",IF(COUNTIFS(BD!$A$3:$A$5001,AI$3,BD!$B$3:$B$5001,$A$290,BD!$G$3:$G$5001,"&lt;&gt;")=0,"",SUMIFS(BD!$G$3:$G$5001,BD!$A$3:$A$5001,AI$3,BD!$B$3:$B$5001,$A$290)))</f>
        <v/>
      </c>
      <c r="AJ294" s="188" t="str">
        <f>IF(AJ$3="","",IF(COUNTIFS(BD!$A$3:$A$5001,AJ$3,BD!$B$3:$B$5001,$A$290,BD!$G$3:$G$5001,"&lt;&gt;")=0,"",SUMIFS(BD!$G$3:$G$5001,BD!$A$3:$A$5001,AJ$3,BD!$B$3:$B$5001,$A$290)))</f>
        <v/>
      </c>
      <c r="AK294" s="189" t="str">
        <f>IF(COUNT(F294:AJ294)=0,"",SUM(F294:AJ294))</f>
        <v/>
      </c>
    </row>
    <row r="295" ht="15.75" customHeight="1" hidden="1">
      <c r="A295" s="254"/>
      <c r="B295" s="246"/>
      <c r="C295" s="190" t="inlineStr">
        <is>
          <t xml:space="preserve">Toneladas Movimentadas</t>
        </is>
      </c>
      <c r="D295" s="191" t="str">
        <f>IFERROR(1/(1/INDEX(BD!$Y$28:$AS$28,MATCH($A$290,BD!$Y$22:$AS$22,0))),"")</f>
        <v/>
      </c>
      <c r="E295" s="192"/>
      <c r="F295" s="193" t="str">
        <f>IF(F$3="","",IF(COUNTIFS(BD!$A$3:$A$5001,F$3,BD!$B$3:$B$5001,$A$290,BD!$H$3:$H$5001,"&lt;&gt;")=0,"",SUMIFS(BD!$H$3:$H$5001,BD!$A$3:$A$5001,F$3,BD!$B$3:$B$5001,$A$290)))</f>
        <v/>
      </c>
      <c r="G295" s="194" t="str">
        <f>IF(G$3="","",IF(COUNTIFS(BD!$A$3:$A$5001,G$3,BD!$B$3:$B$5001,$A$290,BD!$H$3:$H$5001,"&lt;&gt;")=0,"",SUMIFS(BD!$H$3:$H$5001,BD!$A$3:$A$5001,G$3,BD!$B$3:$B$5001,$A$290)))</f>
        <v/>
      </c>
      <c r="H295" s="194" t="str">
        <f>IF(H$3="","",IF(COUNTIFS(BD!$A$3:$A$5001,H$3,BD!$B$3:$B$5001,$A$290,BD!$H$3:$H$5001,"&lt;&gt;")=0,"",SUMIFS(BD!$H$3:$H$5001,BD!$A$3:$A$5001,H$3,BD!$B$3:$B$5001,$A$290)))</f>
        <v/>
      </c>
      <c r="I295" s="194" t="str">
        <f>IF(I$3="","",IF(COUNTIFS(BD!$A$3:$A$5001,I$3,BD!$B$3:$B$5001,$A$290,BD!$H$3:$H$5001,"&lt;&gt;")=0,"",SUMIFS(BD!$H$3:$H$5001,BD!$A$3:$A$5001,I$3,BD!$B$3:$B$5001,$A$290)))</f>
        <v/>
      </c>
      <c r="J295" s="194" t="str">
        <f>IF(J$3="","",IF(COUNTIFS(BD!$A$3:$A$5001,J$3,BD!$B$3:$B$5001,$A$290,BD!$H$3:$H$5001,"&lt;&gt;")=0,"",SUMIFS(BD!$H$3:$H$5001,BD!$A$3:$A$5001,J$3,BD!$B$3:$B$5001,$A$290)))</f>
        <v/>
      </c>
      <c r="K295" s="194" t="str">
        <f>IF(K$3="","",IF(COUNTIFS(BD!$A$3:$A$5001,K$3,BD!$B$3:$B$5001,$A$290,BD!$H$3:$H$5001,"&lt;&gt;")=0,"",SUMIFS(BD!$H$3:$H$5001,BD!$A$3:$A$5001,K$3,BD!$B$3:$B$5001,$A$290)))</f>
        <v/>
      </c>
      <c r="L295" s="194" t="str">
        <f>IF(L$3="","",IF(COUNTIFS(BD!$A$3:$A$5001,L$3,BD!$B$3:$B$5001,$A$290,BD!$H$3:$H$5001,"&lt;&gt;")=0,"",SUMIFS(BD!$H$3:$H$5001,BD!$A$3:$A$5001,L$3,BD!$B$3:$B$5001,$A$290)))</f>
        <v/>
      </c>
      <c r="M295" s="194" t="str">
        <f>IF(M$3="","",IF(COUNTIFS(BD!$A$3:$A$5001,M$3,BD!$B$3:$B$5001,$A$290,BD!$H$3:$H$5001,"&lt;&gt;")=0,"",SUMIFS(BD!$H$3:$H$5001,BD!$A$3:$A$5001,M$3,BD!$B$3:$B$5001,$A$290)))</f>
        <v/>
      </c>
      <c r="N295" s="194" t="str">
        <f>IF(N$3="","",IF(COUNTIFS(BD!$A$3:$A$5001,N$3,BD!$B$3:$B$5001,$A$290,BD!$H$3:$H$5001,"&lt;&gt;")=0,"",SUMIFS(BD!$H$3:$H$5001,BD!$A$3:$A$5001,N$3,BD!$B$3:$B$5001,$A$290)))</f>
        <v/>
      </c>
      <c r="O295" s="194" t="str">
        <f>IF(O$3="","",IF(COUNTIFS(BD!$A$3:$A$5001,O$3,BD!$B$3:$B$5001,$A$290,BD!$H$3:$H$5001,"&lt;&gt;")=0,"",SUMIFS(BD!$H$3:$H$5001,BD!$A$3:$A$5001,O$3,BD!$B$3:$B$5001,$A$290)))</f>
        <v/>
      </c>
      <c r="P295" s="194" t="str">
        <f>IF(P$3="","",IF(COUNTIFS(BD!$A$3:$A$5001,P$3,BD!$B$3:$B$5001,$A$290,BD!$H$3:$H$5001,"&lt;&gt;")=0,"",SUMIFS(BD!$H$3:$H$5001,BD!$A$3:$A$5001,P$3,BD!$B$3:$B$5001,$A$290)))</f>
        <v/>
      </c>
      <c r="Q295" s="194" t="str">
        <f>IF(Q$3="","",IF(COUNTIFS(BD!$A$3:$A$5001,Q$3,BD!$B$3:$B$5001,$A$290,BD!$H$3:$H$5001,"&lt;&gt;")=0,"",SUMIFS(BD!$H$3:$H$5001,BD!$A$3:$A$5001,Q$3,BD!$B$3:$B$5001,$A$290)))</f>
        <v/>
      </c>
      <c r="R295" s="194" t="str">
        <f>IF(R$3="","",IF(COUNTIFS(BD!$A$3:$A$5001,R$3,BD!$B$3:$B$5001,$A$290,BD!$H$3:$H$5001,"&lt;&gt;")=0,"",SUMIFS(BD!$H$3:$H$5001,BD!$A$3:$A$5001,R$3,BD!$B$3:$B$5001,$A$290)))</f>
        <v/>
      </c>
      <c r="S295" s="194" t="str">
        <f>IF(S$3="","",IF(COUNTIFS(BD!$A$3:$A$5001,S$3,BD!$B$3:$B$5001,$A$290,BD!$H$3:$H$5001,"&lt;&gt;")=0,"",SUMIFS(BD!$H$3:$H$5001,BD!$A$3:$A$5001,S$3,BD!$B$3:$B$5001,$A$290)))</f>
        <v/>
      </c>
      <c r="T295" s="194" t="str">
        <f>IF(T$3="","",IF(COUNTIFS(BD!$A$3:$A$5001,T$3,BD!$B$3:$B$5001,$A$290,BD!$H$3:$H$5001,"&lt;&gt;")=0,"",SUMIFS(BD!$H$3:$H$5001,BD!$A$3:$A$5001,T$3,BD!$B$3:$B$5001,$A$290)))</f>
        <v/>
      </c>
      <c r="U295" s="194" t="str">
        <f>IF(U$3="","",IF(COUNTIFS(BD!$A$3:$A$5001,U$3,BD!$B$3:$B$5001,$A$290,BD!$H$3:$H$5001,"&lt;&gt;")=0,"",SUMIFS(BD!$H$3:$H$5001,BD!$A$3:$A$5001,U$3,BD!$B$3:$B$5001,$A$290)))</f>
        <v/>
      </c>
      <c r="V295" s="194" t="str">
        <f>IF(V$3="","",IF(COUNTIFS(BD!$A$3:$A$5001,V$3,BD!$B$3:$B$5001,$A$290,BD!$H$3:$H$5001,"&lt;&gt;")=0,"",SUMIFS(BD!$H$3:$H$5001,BD!$A$3:$A$5001,V$3,BD!$B$3:$B$5001,$A$290)))</f>
        <v/>
      </c>
      <c r="W295" s="194" t="str">
        <f>IF(W$3="","",IF(COUNTIFS(BD!$A$3:$A$5001,W$3,BD!$B$3:$B$5001,$A$290,BD!$H$3:$H$5001,"&lt;&gt;")=0,"",SUMIFS(BD!$H$3:$H$5001,BD!$A$3:$A$5001,W$3,BD!$B$3:$B$5001,$A$290)))</f>
        <v/>
      </c>
      <c r="X295" s="194" t="str">
        <f>IF(X$3="","",IF(COUNTIFS(BD!$A$3:$A$5001,X$3,BD!$B$3:$B$5001,$A$290,BD!$H$3:$H$5001,"&lt;&gt;")=0,"",SUMIFS(BD!$H$3:$H$5001,BD!$A$3:$A$5001,X$3,BD!$B$3:$B$5001,$A$290)))</f>
        <v/>
      </c>
      <c r="Y295" s="194" t="str">
        <f>IF(Y$3="","",IF(COUNTIFS(BD!$A$3:$A$5001,Y$3,BD!$B$3:$B$5001,$A$290,BD!$H$3:$H$5001,"&lt;&gt;")=0,"",SUMIFS(BD!$H$3:$H$5001,BD!$A$3:$A$5001,Y$3,BD!$B$3:$B$5001,$A$290)))</f>
        <v/>
      </c>
      <c r="Z295" s="194" t="str">
        <f>IF(Z$3="","",IF(COUNTIFS(BD!$A$3:$A$5001,Z$3,BD!$B$3:$B$5001,$A$290,BD!$H$3:$H$5001,"&lt;&gt;")=0,"",SUMIFS(BD!$H$3:$H$5001,BD!$A$3:$A$5001,Z$3,BD!$B$3:$B$5001,$A$290)))</f>
        <v/>
      </c>
      <c r="AA295" s="194" t="str">
        <f>IF(AA$3="","",IF(COUNTIFS(BD!$A$3:$A$5001,AA$3,BD!$B$3:$B$5001,$A$290,BD!$H$3:$H$5001,"&lt;&gt;")=0,"",SUMIFS(BD!$H$3:$H$5001,BD!$A$3:$A$5001,AA$3,BD!$B$3:$B$5001,$A$290)))</f>
        <v/>
      </c>
      <c r="AB295" s="194" t="str">
        <f>IF(AB$3="","",IF(COUNTIFS(BD!$A$3:$A$5001,AB$3,BD!$B$3:$B$5001,$A$290,BD!$H$3:$H$5001,"&lt;&gt;")=0,"",SUMIFS(BD!$H$3:$H$5001,BD!$A$3:$A$5001,AB$3,BD!$B$3:$B$5001,$A$290)))</f>
        <v/>
      </c>
      <c r="AC295" s="194" t="str">
        <f>IF(AC$3="","",IF(COUNTIFS(BD!$A$3:$A$5001,AC$3,BD!$B$3:$B$5001,$A$290,BD!$H$3:$H$5001,"&lt;&gt;")=0,"",SUMIFS(BD!$H$3:$H$5001,BD!$A$3:$A$5001,AC$3,BD!$B$3:$B$5001,$A$290)))</f>
        <v/>
      </c>
      <c r="AD295" s="194" t="str">
        <f>IF(AD$3="","",IF(COUNTIFS(BD!$A$3:$A$5001,AD$3,BD!$B$3:$B$5001,$A$290,BD!$H$3:$H$5001,"&lt;&gt;")=0,"",SUMIFS(BD!$H$3:$H$5001,BD!$A$3:$A$5001,AD$3,BD!$B$3:$B$5001,$A$290)))</f>
        <v/>
      </c>
      <c r="AE295" s="194" t="str">
        <f>IF(AE$3="","",IF(COUNTIFS(BD!$A$3:$A$5001,AE$3,BD!$B$3:$B$5001,$A$290,BD!$H$3:$H$5001,"&lt;&gt;")=0,"",SUMIFS(BD!$H$3:$H$5001,BD!$A$3:$A$5001,AE$3,BD!$B$3:$B$5001,$A$290)))</f>
        <v/>
      </c>
      <c r="AF295" s="194" t="str">
        <f>IF(AF$3="","",IF(COUNTIFS(BD!$A$3:$A$5001,AF$3,BD!$B$3:$B$5001,$A$290,BD!$H$3:$H$5001,"&lt;&gt;")=0,"",SUMIFS(BD!$H$3:$H$5001,BD!$A$3:$A$5001,AF$3,BD!$B$3:$B$5001,$A$290)))</f>
        <v/>
      </c>
      <c r="AG295" s="194" t="str">
        <f>IF(AG$3="","",IF(COUNTIFS(BD!$A$3:$A$5001,AG$3,BD!$B$3:$B$5001,$A$290,BD!$H$3:$H$5001,"&lt;&gt;")=0,"",SUMIFS(BD!$H$3:$H$5001,BD!$A$3:$A$5001,AG$3,BD!$B$3:$B$5001,$A$290)))</f>
        <v/>
      </c>
      <c r="AH295" s="194" t="str">
        <f>IF(AH$3="","",IF(COUNTIFS(BD!$A$3:$A$5001,AH$3,BD!$B$3:$B$5001,$A$290,BD!$H$3:$H$5001,"&lt;&gt;")=0,"",SUMIFS(BD!$H$3:$H$5001,BD!$A$3:$A$5001,AH$3,BD!$B$3:$B$5001,$A$290)))</f>
        <v/>
      </c>
      <c r="AI295" s="194" t="str">
        <f>IF(AI$3="","",IF(COUNTIFS(BD!$A$3:$A$5001,AI$3,BD!$B$3:$B$5001,$A$290,BD!$H$3:$H$5001,"&lt;&gt;")=0,"",SUMIFS(BD!$H$3:$H$5001,BD!$A$3:$A$5001,AI$3,BD!$B$3:$B$5001,$A$290)))</f>
        <v/>
      </c>
      <c r="AJ295" s="195" t="str">
        <f>IF(AJ$3="","",IF(COUNTIFS(BD!$A$3:$A$5001,AJ$3,BD!$B$3:$B$5001,$A$290,BD!$H$3:$H$5001,"&lt;&gt;")=0,"",SUMIFS(BD!$H$3:$H$5001,BD!$A$3:$A$5001,AJ$3,BD!$B$3:$B$5001,$A$290)))</f>
        <v/>
      </c>
      <c r="AK295" s="196" t="str">
        <f>IF(COUNT(F295:AJ295)=0,"",SUM(F295:AJ295))</f>
        <v/>
      </c>
    </row>
    <row r="296" ht="15.75" customHeight="1" hidden="1">
      <c r="A296" s="254"/>
      <c r="B296" s="247" t="inlineStr">
        <is>
          <t xml:space="preserve">NC</t>
        </is>
      </c>
      <c r="C296" s="197" t="inlineStr">
        <is>
          <t xml:space="preserve">Incidentes</t>
        </is>
      </c>
      <c r="D296" s="198" t="str">
        <f>IFERROR(1/(1/INDEX(BD!$Y$29:$AS$29,MATCH($A$290,BD!$Y$22:$AS$22,0))),"")</f>
        <v/>
      </c>
      <c r="E296" s="199"/>
      <c r="F296" s="200" t="str">
        <f>IF(F$3="","",IF(COUNTIFS(BD!$A$3:$A$5001,F$3,BD!$B$3:$B$5001,$A$290,BD!$I$3:$I$5001,"&lt;&gt;")=0,"",SUMIFS(BD!$I$3:$I$5001,BD!$A$3:$A$5001,F$3,BD!$B$3:$B$5001,$A$290)))</f>
        <v/>
      </c>
      <c r="G296" s="201" t="str">
        <f>IF(G$3="","",IF(COUNTIFS(BD!$A$3:$A$5001,G$3,BD!$B$3:$B$5001,$A$290,BD!$I$3:$I$5001,"&lt;&gt;")=0,"",SUMIFS(BD!$I$3:$I$5001,BD!$A$3:$A$5001,G$3,BD!$B$3:$B$5001,$A$290)))</f>
        <v/>
      </c>
      <c r="H296" s="201" t="str">
        <f>IF(H$3="","",IF(COUNTIFS(BD!$A$3:$A$5001,H$3,BD!$B$3:$B$5001,$A$290,BD!$I$3:$I$5001,"&lt;&gt;")=0,"",SUMIFS(BD!$I$3:$I$5001,BD!$A$3:$A$5001,H$3,BD!$B$3:$B$5001,$A$290)))</f>
        <v/>
      </c>
      <c r="I296" s="201" t="str">
        <f>IF(I$3="","",IF(COUNTIFS(BD!$A$3:$A$5001,I$3,BD!$B$3:$B$5001,$A$290,BD!$I$3:$I$5001,"&lt;&gt;")=0,"",SUMIFS(BD!$I$3:$I$5001,BD!$A$3:$A$5001,I$3,BD!$B$3:$B$5001,$A$290)))</f>
        <v/>
      </c>
      <c r="J296" s="201" t="str">
        <f>IF(J$3="","",IF(COUNTIFS(BD!$A$3:$A$5001,J$3,BD!$B$3:$B$5001,$A$290,BD!$I$3:$I$5001,"&lt;&gt;")=0,"",SUMIFS(BD!$I$3:$I$5001,BD!$A$3:$A$5001,J$3,BD!$B$3:$B$5001,$A$290)))</f>
        <v/>
      </c>
      <c r="K296" s="201" t="str">
        <f>IF(K$3="","",IF(COUNTIFS(BD!$A$3:$A$5001,K$3,BD!$B$3:$B$5001,$A$290,BD!$I$3:$I$5001,"&lt;&gt;")=0,"",SUMIFS(BD!$I$3:$I$5001,BD!$A$3:$A$5001,K$3,BD!$B$3:$B$5001,$A$290)))</f>
        <v/>
      </c>
      <c r="L296" s="201" t="str">
        <f>IF(L$3="","",IF(COUNTIFS(BD!$A$3:$A$5001,L$3,BD!$B$3:$B$5001,$A$290,BD!$I$3:$I$5001,"&lt;&gt;")=0,"",SUMIFS(BD!$I$3:$I$5001,BD!$A$3:$A$5001,L$3,BD!$B$3:$B$5001,$A$290)))</f>
        <v/>
      </c>
      <c r="M296" s="201" t="str">
        <f>IF(M$3="","",IF(COUNTIFS(BD!$A$3:$A$5001,M$3,BD!$B$3:$B$5001,$A$290,BD!$I$3:$I$5001,"&lt;&gt;")=0,"",SUMIFS(BD!$I$3:$I$5001,BD!$A$3:$A$5001,M$3,BD!$B$3:$B$5001,$A$290)))</f>
        <v/>
      </c>
      <c r="N296" s="201" t="str">
        <f>IF(N$3="","",IF(COUNTIFS(BD!$A$3:$A$5001,N$3,BD!$B$3:$B$5001,$A$290,BD!$I$3:$I$5001,"&lt;&gt;")=0,"",SUMIFS(BD!$I$3:$I$5001,BD!$A$3:$A$5001,N$3,BD!$B$3:$B$5001,$A$290)))</f>
        <v/>
      </c>
      <c r="O296" s="201" t="str">
        <f>IF(O$3="","",IF(COUNTIFS(BD!$A$3:$A$5001,O$3,BD!$B$3:$B$5001,$A$290,BD!$I$3:$I$5001,"&lt;&gt;")=0,"",SUMIFS(BD!$I$3:$I$5001,BD!$A$3:$A$5001,O$3,BD!$B$3:$B$5001,$A$290)))</f>
        <v/>
      </c>
      <c r="P296" s="201" t="str">
        <f>IF(P$3="","",IF(COUNTIFS(BD!$A$3:$A$5001,P$3,BD!$B$3:$B$5001,$A$290,BD!$I$3:$I$5001,"&lt;&gt;")=0,"",SUMIFS(BD!$I$3:$I$5001,BD!$A$3:$A$5001,P$3,BD!$B$3:$B$5001,$A$290)))</f>
        <v/>
      </c>
      <c r="Q296" s="201" t="str">
        <f>IF(Q$3="","",IF(COUNTIFS(BD!$A$3:$A$5001,Q$3,BD!$B$3:$B$5001,$A$290,BD!$I$3:$I$5001,"&lt;&gt;")=0,"",SUMIFS(BD!$I$3:$I$5001,BD!$A$3:$A$5001,Q$3,BD!$B$3:$B$5001,$A$290)))</f>
        <v/>
      </c>
      <c r="R296" s="201" t="str">
        <f>IF(R$3="","",IF(COUNTIFS(BD!$A$3:$A$5001,R$3,BD!$B$3:$B$5001,$A$290,BD!$I$3:$I$5001,"&lt;&gt;")=0,"",SUMIFS(BD!$I$3:$I$5001,BD!$A$3:$A$5001,R$3,BD!$B$3:$B$5001,$A$290)))</f>
        <v/>
      </c>
      <c r="S296" s="201" t="str">
        <f>IF(S$3="","",IF(COUNTIFS(BD!$A$3:$A$5001,S$3,BD!$B$3:$B$5001,$A$290,BD!$I$3:$I$5001,"&lt;&gt;")=0,"",SUMIFS(BD!$I$3:$I$5001,BD!$A$3:$A$5001,S$3,BD!$B$3:$B$5001,$A$290)))</f>
        <v/>
      </c>
      <c r="T296" s="201" t="str">
        <f>IF(T$3="","",IF(COUNTIFS(BD!$A$3:$A$5001,T$3,BD!$B$3:$B$5001,$A$290,BD!$I$3:$I$5001,"&lt;&gt;")=0,"",SUMIFS(BD!$I$3:$I$5001,BD!$A$3:$A$5001,T$3,BD!$B$3:$B$5001,$A$290)))</f>
        <v/>
      </c>
      <c r="U296" s="201" t="str">
        <f>IF(U$3="","",IF(COUNTIFS(BD!$A$3:$A$5001,U$3,BD!$B$3:$B$5001,$A$290,BD!$I$3:$I$5001,"&lt;&gt;")=0,"",SUMIFS(BD!$I$3:$I$5001,BD!$A$3:$A$5001,U$3,BD!$B$3:$B$5001,$A$290)))</f>
        <v/>
      </c>
      <c r="V296" s="201" t="str">
        <f>IF(V$3="","",IF(COUNTIFS(BD!$A$3:$A$5001,V$3,BD!$B$3:$B$5001,$A$290,BD!$I$3:$I$5001,"&lt;&gt;")=0,"",SUMIFS(BD!$I$3:$I$5001,BD!$A$3:$A$5001,V$3,BD!$B$3:$B$5001,$A$290)))</f>
        <v/>
      </c>
      <c r="W296" s="201" t="str">
        <f>IF(W$3="","",IF(COUNTIFS(BD!$A$3:$A$5001,W$3,BD!$B$3:$B$5001,$A$290,BD!$I$3:$I$5001,"&lt;&gt;")=0,"",SUMIFS(BD!$I$3:$I$5001,BD!$A$3:$A$5001,W$3,BD!$B$3:$B$5001,$A$290)))</f>
        <v/>
      </c>
      <c r="X296" s="201" t="str">
        <f>IF(X$3="","",IF(COUNTIFS(BD!$A$3:$A$5001,X$3,BD!$B$3:$B$5001,$A$290,BD!$I$3:$I$5001,"&lt;&gt;")=0,"",SUMIFS(BD!$I$3:$I$5001,BD!$A$3:$A$5001,X$3,BD!$B$3:$B$5001,$A$290)))</f>
        <v/>
      </c>
      <c r="Y296" s="201" t="str">
        <f>IF(Y$3="","",IF(COUNTIFS(BD!$A$3:$A$5001,Y$3,BD!$B$3:$B$5001,$A$290,BD!$I$3:$I$5001,"&lt;&gt;")=0,"",SUMIFS(BD!$I$3:$I$5001,BD!$A$3:$A$5001,Y$3,BD!$B$3:$B$5001,$A$290)))</f>
        <v/>
      </c>
      <c r="Z296" s="201" t="str">
        <f>IF(Z$3="","",IF(COUNTIFS(BD!$A$3:$A$5001,Z$3,BD!$B$3:$B$5001,$A$290,BD!$I$3:$I$5001,"&lt;&gt;")=0,"",SUMIFS(BD!$I$3:$I$5001,BD!$A$3:$A$5001,Z$3,BD!$B$3:$B$5001,$A$290)))</f>
        <v/>
      </c>
      <c r="AA296" s="201" t="str">
        <f>IF(AA$3="","",IF(COUNTIFS(BD!$A$3:$A$5001,AA$3,BD!$B$3:$B$5001,$A$290,BD!$I$3:$I$5001,"&lt;&gt;")=0,"",SUMIFS(BD!$I$3:$I$5001,BD!$A$3:$A$5001,AA$3,BD!$B$3:$B$5001,$A$290)))</f>
        <v/>
      </c>
      <c r="AB296" s="201" t="str">
        <f>IF(AB$3="","",IF(COUNTIFS(BD!$A$3:$A$5001,AB$3,BD!$B$3:$B$5001,$A$290,BD!$I$3:$I$5001,"&lt;&gt;")=0,"",SUMIFS(BD!$I$3:$I$5001,BD!$A$3:$A$5001,AB$3,BD!$B$3:$B$5001,$A$290)))</f>
        <v/>
      </c>
      <c r="AC296" s="201" t="str">
        <f>IF(AC$3="","",IF(COUNTIFS(BD!$A$3:$A$5001,AC$3,BD!$B$3:$B$5001,$A$290,BD!$I$3:$I$5001,"&lt;&gt;")=0,"",SUMIFS(BD!$I$3:$I$5001,BD!$A$3:$A$5001,AC$3,BD!$B$3:$B$5001,$A$290)))</f>
        <v/>
      </c>
      <c r="AD296" s="201" t="str">
        <f>IF(AD$3="","",IF(COUNTIFS(BD!$A$3:$A$5001,AD$3,BD!$B$3:$B$5001,$A$290,BD!$I$3:$I$5001,"&lt;&gt;")=0,"",SUMIFS(BD!$I$3:$I$5001,BD!$A$3:$A$5001,AD$3,BD!$B$3:$B$5001,$A$290)))</f>
        <v/>
      </c>
      <c r="AE296" s="201" t="str">
        <f>IF(AE$3="","",IF(COUNTIFS(BD!$A$3:$A$5001,AE$3,BD!$B$3:$B$5001,$A$290,BD!$I$3:$I$5001,"&lt;&gt;")=0,"",SUMIFS(BD!$I$3:$I$5001,BD!$A$3:$A$5001,AE$3,BD!$B$3:$B$5001,$A$290)))</f>
        <v/>
      </c>
      <c r="AF296" s="201" t="str">
        <f>IF(AF$3="","",IF(COUNTIFS(BD!$A$3:$A$5001,AF$3,BD!$B$3:$B$5001,$A$290,BD!$I$3:$I$5001,"&lt;&gt;")=0,"",SUMIFS(BD!$I$3:$I$5001,BD!$A$3:$A$5001,AF$3,BD!$B$3:$B$5001,$A$290)))</f>
        <v/>
      </c>
      <c r="AG296" s="201" t="str">
        <f>IF(AG$3="","",IF(COUNTIFS(BD!$A$3:$A$5001,AG$3,BD!$B$3:$B$5001,$A$290,BD!$I$3:$I$5001,"&lt;&gt;")=0,"",SUMIFS(BD!$I$3:$I$5001,BD!$A$3:$A$5001,AG$3,BD!$B$3:$B$5001,$A$290)))</f>
        <v/>
      </c>
      <c r="AH296" s="201" t="str">
        <f>IF(AH$3="","",IF(COUNTIFS(BD!$A$3:$A$5001,AH$3,BD!$B$3:$B$5001,$A$290,BD!$I$3:$I$5001,"&lt;&gt;")=0,"",SUMIFS(BD!$I$3:$I$5001,BD!$A$3:$A$5001,AH$3,BD!$B$3:$B$5001,$A$290)))</f>
        <v/>
      </c>
      <c r="AI296" s="201" t="str">
        <f>IF(AI$3="","",IF(COUNTIFS(BD!$A$3:$A$5001,AI$3,BD!$B$3:$B$5001,$A$290,BD!$I$3:$I$5001,"&lt;&gt;")=0,"",SUMIFS(BD!$I$3:$I$5001,BD!$A$3:$A$5001,AI$3,BD!$B$3:$B$5001,$A$290)))</f>
        <v/>
      </c>
      <c r="AJ296" s="202" t="str">
        <f>IF(AJ$3="","",IF(COUNTIFS(BD!$A$3:$A$5001,AJ$3,BD!$B$3:$B$5001,$A$290,BD!$I$3:$I$5001,"&lt;&gt;")=0,"",SUMIFS(BD!$I$3:$I$5001,BD!$A$3:$A$5001,AJ$3,BD!$B$3:$B$5001,$A$290)))</f>
        <v/>
      </c>
      <c r="AK296" s="203" t="str">
        <f>IF(COUNT(F296:AJ296)=0,"",SUM(F296:AJ296))</f>
        <v/>
      </c>
    </row>
    <row r="297" ht="15.75" customHeight="1" hidden="1">
      <c r="A297" s="254"/>
      <c r="B297" s="248"/>
      <c r="C297" s="204" t="inlineStr">
        <is>
          <t xml:space="preserve">No show</t>
        </is>
      </c>
      <c r="D297" s="205" t="str">
        <f>IFERROR(1/(1/INDEX(BD!$Y$30:$AS$30,MATCH($A$290,BD!$Y$22:$AS$22,0))),"")</f>
        <v/>
      </c>
      <c r="E297" s="206"/>
      <c r="F297" s="207" t="str">
        <f>IF(F$3="","",IF(COUNTIFS(BD!$A$3:$A$5001,F$3,BD!$B$3:$B$5001,$A$290,BD!$J$3:$J$5001,"&lt;&gt;")=0,"",SUMIFS(BD!$J$3:$J$5001,BD!$A$3:$A$5001,F$3,BD!$B$3:$B$5001,$A$290)))</f>
        <v/>
      </c>
      <c r="G297" s="208" t="str">
        <f>IF(G$3="","",IF(COUNTIFS(BD!$A$3:$A$5001,G$3,BD!$B$3:$B$5001,$A$290,BD!$J$3:$J$5001,"&lt;&gt;")=0,"",SUMIFS(BD!$J$3:$J$5001,BD!$A$3:$A$5001,G$3,BD!$B$3:$B$5001,$A$290)))</f>
        <v/>
      </c>
      <c r="H297" s="208" t="str">
        <f>IF(H$3="","",IF(COUNTIFS(BD!$A$3:$A$5001,H$3,BD!$B$3:$B$5001,$A$290,BD!$J$3:$J$5001,"&lt;&gt;")=0,"",SUMIFS(BD!$J$3:$J$5001,BD!$A$3:$A$5001,H$3,BD!$B$3:$B$5001,$A$290)))</f>
        <v/>
      </c>
      <c r="I297" s="208" t="str">
        <f>IF(I$3="","",IF(COUNTIFS(BD!$A$3:$A$5001,I$3,BD!$B$3:$B$5001,$A$290,BD!$J$3:$J$5001,"&lt;&gt;")=0,"",SUMIFS(BD!$J$3:$J$5001,BD!$A$3:$A$5001,I$3,BD!$B$3:$B$5001,$A$290)))</f>
        <v/>
      </c>
      <c r="J297" s="208" t="str">
        <f>IF(J$3="","",IF(COUNTIFS(BD!$A$3:$A$5001,J$3,BD!$B$3:$B$5001,$A$290,BD!$J$3:$J$5001,"&lt;&gt;")=0,"",SUMIFS(BD!$J$3:$J$5001,BD!$A$3:$A$5001,J$3,BD!$B$3:$B$5001,$A$290)))</f>
        <v/>
      </c>
      <c r="K297" s="208" t="str">
        <f>IF(K$3="","",IF(COUNTIFS(BD!$A$3:$A$5001,K$3,BD!$B$3:$B$5001,$A$290,BD!$J$3:$J$5001,"&lt;&gt;")=0,"",SUMIFS(BD!$J$3:$J$5001,BD!$A$3:$A$5001,K$3,BD!$B$3:$B$5001,$A$290)))</f>
        <v/>
      </c>
      <c r="L297" s="208" t="str">
        <f>IF(L$3="","",IF(COUNTIFS(BD!$A$3:$A$5001,L$3,BD!$B$3:$B$5001,$A$290,BD!$J$3:$J$5001,"&lt;&gt;")=0,"",SUMIFS(BD!$J$3:$J$5001,BD!$A$3:$A$5001,L$3,BD!$B$3:$B$5001,$A$290)))</f>
        <v/>
      </c>
      <c r="M297" s="208" t="str">
        <f>IF(M$3="","",IF(COUNTIFS(BD!$A$3:$A$5001,M$3,BD!$B$3:$B$5001,$A$290,BD!$J$3:$J$5001,"&lt;&gt;")=0,"",SUMIFS(BD!$J$3:$J$5001,BD!$A$3:$A$5001,M$3,BD!$B$3:$B$5001,$A$290)))</f>
        <v/>
      </c>
      <c r="N297" s="208" t="str">
        <f>IF(N$3="","",IF(COUNTIFS(BD!$A$3:$A$5001,N$3,BD!$B$3:$B$5001,$A$290,BD!$J$3:$J$5001,"&lt;&gt;")=0,"",SUMIFS(BD!$J$3:$J$5001,BD!$A$3:$A$5001,N$3,BD!$B$3:$B$5001,$A$290)))</f>
        <v/>
      </c>
      <c r="O297" s="208" t="str">
        <f>IF(O$3="","",IF(COUNTIFS(BD!$A$3:$A$5001,O$3,BD!$B$3:$B$5001,$A$290,BD!$J$3:$J$5001,"&lt;&gt;")=0,"",SUMIFS(BD!$J$3:$J$5001,BD!$A$3:$A$5001,O$3,BD!$B$3:$B$5001,$A$290)))</f>
        <v/>
      </c>
      <c r="P297" s="208" t="str">
        <f>IF(P$3="","",IF(COUNTIFS(BD!$A$3:$A$5001,P$3,BD!$B$3:$B$5001,$A$290,BD!$J$3:$J$5001,"&lt;&gt;")=0,"",SUMIFS(BD!$J$3:$J$5001,BD!$A$3:$A$5001,P$3,BD!$B$3:$B$5001,$A$290)))</f>
        <v/>
      </c>
      <c r="Q297" s="208" t="str">
        <f>IF(Q$3="","",IF(COUNTIFS(BD!$A$3:$A$5001,Q$3,BD!$B$3:$B$5001,$A$290,BD!$J$3:$J$5001,"&lt;&gt;")=0,"",SUMIFS(BD!$J$3:$J$5001,BD!$A$3:$A$5001,Q$3,BD!$B$3:$B$5001,$A$290)))</f>
        <v/>
      </c>
      <c r="R297" s="208" t="str">
        <f>IF(R$3="","",IF(COUNTIFS(BD!$A$3:$A$5001,R$3,BD!$B$3:$B$5001,$A$290,BD!$J$3:$J$5001,"&lt;&gt;")=0,"",SUMIFS(BD!$J$3:$J$5001,BD!$A$3:$A$5001,R$3,BD!$B$3:$B$5001,$A$290)))</f>
        <v/>
      </c>
      <c r="S297" s="208" t="str">
        <f>IF(S$3="","",IF(COUNTIFS(BD!$A$3:$A$5001,S$3,BD!$B$3:$B$5001,$A$290,BD!$J$3:$J$5001,"&lt;&gt;")=0,"",SUMIFS(BD!$J$3:$J$5001,BD!$A$3:$A$5001,S$3,BD!$B$3:$B$5001,$A$290)))</f>
        <v/>
      </c>
      <c r="T297" s="208" t="str">
        <f>IF(T$3="","",IF(COUNTIFS(BD!$A$3:$A$5001,T$3,BD!$B$3:$B$5001,$A$290,BD!$J$3:$J$5001,"&lt;&gt;")=0,"",SUMIFS(BD!$J$3:$J$5001,BD!$A$3:$A$5001,T$3,BD!$B$3:$B$5001,$A$290)))</f>
        <v/>
      </c>
      <c r="U297" s="208" t="str">
        <f>IF(U$3="","",IF(COUNTIFS(BD!$A$3:$A$5001,U$3,BD!$B$3:$B$5001,$A$290,BD!$J$3:$J$5001,"&lt;&gt;")=0,"",SUMIFS(BD!$J$3:$J$5001,BD!$A$3:$A$5001,U$3,BD!$B$3:$B$5001,$A$290)))</f>
        <v/>
      </c>
      <c r="V297" s="208" t="str">
        <f>IF(V$3="","",IF(COUNTIFS(BD!$A$3:$A$5001,V$3,BD!$B$3:$B$5001,$A$290,BD!$J$3:$J$5001,"&lt;&gt;")=0,"",SUMIFS(BD!$J$3:$J$5001,BD!$A$3:$A$5001,V$3,BD!$B$3:$B$5001,$A$290)))</f>
        <v/>
      </c>
      <c r="W297" s="208" t="str">
        <f>IF(W$3="","",IF(COUNTIFS(BD!$A$3:$A$5001,W$3,BD!$B$3:$B$5001,$A$290,BD!$J$3:$J$5001,"&lt;&gt;")=0,"",SUMIFS(BD!$J$3:$J$5001,BD!$A$3:$A$5001,W$3,BD!$B$3:$B$5001,$A$290)))</f>
        <v/>
      </c>
      <c r="X297" s="208" t="str">
        <f>IF(X$3="","",IF(COUNTIFS(BD!$A$3:$A$5001,X$3,BD!$B$3:$B$5001,$A$290,BD!$J$3:$J$5001,"&lt;&gt;")=0,"",SUMIFS(BD!$J$3:$J$5001,BD!$A$3:$A$5001,X$3,BD!$B$3:$B$5001,$A$290)))</f>
        <v/>
      </c>
      <c r="Y297" s="208" t="str">
        <f>IF(Y$3="","",IF(COUNTIFS(BD!$A$3:$A$5001,Y$3,BD!$B$3:$B$5001,$A$290,BD!$J$3:$J$5001,"&lt;&gt;")=0,"",SUMIFS(BD!$J$3:$J$5001,BD!$A$3:$A$5001,Y$3,BD!$B$3:$B$5001,$A$290)))</f>
        <v/>
      </c>
      <c r="Z297" s="208" t="str">
        <f>IF(Z$3="","",IF(COUNTIFS(BD!$A$3:$A$5001,Z$3,BD!$B$3:$B$5001,$A$290,BD!$J$3:$J$5001,"&lt;&gt;")=0,"",SUMIFS(BD!$J$3:$J$5001,BD!$A$3:$A$5001,Z$3,BD!$B$3:$B$5001,$A$290)))</f>
        <v/>
      </c>
      <c r="AA297" s="208" t="str">
        <f>IF(AA$3="","",IF(COUNTIFS(BD!$A$3:$A$5001,AA$3,BD!$B$3:$B$5001,$A$290,BD!$J$3:$J$5001,"&lt;&gt;")=0,"",SUMIFS(BD!$J$3:$J$5001,BD!$A$3:$A$5001,AA$3,BD!$B$3:$B$5001,$A$290)))</f>
        <v/>
      </c>
      <c r="AB297" s="208" t="str">
        <f>IF(AB$3="","",IF(COUNTIFS(BD!$A$3:$A$5001,AB$3,BD!$B$3:$B$5001,$A$290,BD!$J$3:$J$5001,"&lt;&gt;")=0,"",SUMIFS(BD!$J$3:$J$5001,BD!$A$3:$A$5001,AB$3,BD!$B$3:$B$5001,$A$290)))</f>
        <v/>
      </c>
      <c r="AC297" s="208" t="str">
        <f>IF(AC$3="","",IF(COUNTIFS(BD!$A$3:$A$5001,AC$3,BD!$B$3:$B$5001,$A$290,BD!$J$3:$J$5001,"&lt;&gt;")=0,"",SUMIFS(BD!$J$3:$J$5001,BD!$A$3:$A$5001,AC$3,BD!$B$3:$B$5001,$A$290)))</f>
        <v/>
      </c>
      <c r="AD297" s="208" t="str">
        <f>IF(AD$3="","",IF(COUNTIFS(BD!$A$3:$A$5001,AD$3,BD!$B$3:$B$5001,$A$290,BD!$J$3:$J$5001,"&lt;&gt;")=0,"",SUMIFS(BD!$J$3:$J$5001,BD!$A$3:$A$5001,AD$3,BD!$B$3:$B$5001,$A$290)))</f>
        <v/>
      </c>
      <c r="AE297" s="208" t="str">
        <f>IF(AE$3="","",IF(COUNTIFS(BD!$A$3:$A$5001,AE$3,BD!$B$3:$B$5001,$A$290,BD!$J$3:$J$5001,"&lt;&gt;")=0,"",SUMIFS(BD!$J$3:$J$5001,BD!$A$3:$A$5001,AE$3,BD!$B$3:$B$5001,$A$290)))</f>
        <v/>
      </c>
      <c r="AF297" s="208" t="str">
        <f>IF(AF$3="","",IF(COUNTIFS(BD!$A$3:$A$5001,AF$3,BD!$B$3:$B$5001,$A$290,BD!$J$3:$J$5001,"&lt;&gt;")=0,"",SUMIFS(BD!$J$3:$J$5001,BD!$A$3:$A$5001,AF$3,BD!$B$3:$B$5001,$A$290)))</f>
        <v/>
      </c>
      <c r="AG297" s="208" t="str">
        <f>IF(AG$3="","",IF(COUNTIFS(BD!$A$3:$A$5001,AG$3,BD!$B$3:$B$5001,$A$290,BD!$J$3:$J$5001,"&lt;&gt;")=0,"",SUMIFS(BD!$J$3:$J$5001,BD!$A$3:$A$5001,AG$3,BD!$B$3:$B$5001,$A$290)))</f>
        <v/>
      </c>
      <c r="AH297" s="208" t="str">
        <f>IF(AH$3="","",IF(COUNTIFS(BD!$A$3:$A$5001,AH$3,BD!$B$3:$B$5001,$A$290,BD!$J$3:$J$5001,"&lt;&gt;")=0,"",SUMIFS(BD!$J$3:$J$5001,BD!$A$3:$A$5001,AH$3,BD!$B$3:$B$5001,$A$290)))</f>
        <v/>
      </c>
      <c r="AI297" s="208" t="str">
        <f>IF(AI$3="","",IF(COUNTIFS(BD!$A$3:$A$5001,AI$3,BD!$B$3:$B$5001,$A$290,BD!$J$3:$J$5001,"&lt;&gt;")=0,"",SUMIFS(BD!$J$3:$J$5001,BD!$A$3:$A$5001,AI$3,BD!$B$3:$B$5001,$A$290)))</f>
        <v/>
      </c>
      <c r="AJ297" s="209" t="str">
        <f>IF(AJ$3="","",IF(COUNTIFS(BD!$A$3:$A$5001,AJ$3,BD!$B$3:$B$5001,$A$290,BD!$J$3:$J$5001,"&lt;&gt;")=0,"",SUMIFS(BD!$J$3:$J$5001,BD!$A$3:$A$5001,AJ$3,BD!$B$3:$B$5001,$A$290)))</f>
        <v/>
      </c>
      <c r="AK297" s="210" t="str">
        <f>IF(COUNT(F297:AJ297)=0,"",SUM(F297:AJ297))</f>
        <v/>
      </c>
    </row>
    <row r="298" ht="15.75" customHeight="1" hidden="1">
      <c r="A298" s="254"/>
      <c r="B298" s="249"/>
      <c r="C298" s="211" t="inlineStr">
        <is>
          <t xml:space="preserve">Backlog</t>
        </is>
      </c>
      <c r="D298" s="212" t="str">
        <f>IFERROR(1/(1/INDEX(BD!$Y$31:$AS$31,MATCH($A$290,BD!$Y$22:$AS$22,0))),"")</f>
        <v/>
      </c>
      <c r="E298" s="213"/>
      <c r="F298" s="214" t="str">
        <f>IF(F$3="","",IF(COUNTIFS(BD!$A$3:$A$5001,F$3,BD!$B$3:$B$5001,$A$290,BD!$K$3:$K$5001,"&lt;&gt;")=0,"",SUMIFS(BD!$K$3:$K$5001,BD!$A$3:$A$5001,F$3,BD!$B$3:$B$5001,$A$290)))</f>
        <v/>
      </c>
      <c r="G298" s="215" t="str">
        <f>IF(G$3="","",IF(COUNTIFS(BD!$A$3:$A$5001,G$3,BD!$B$3:$B$5001,$A$290,BD!$K$3:$K$5001,"&lt;&gt;")=0,"",SUMIFS(BD!$K$3:$K$5001,BD!$A$3:$A$5001,G$3,BD!$B$3:$B$5001,$A$290)))</f>
        <v/>
      </c>
      <c r="H298" s="215" t="str">
        <f>IF(H$3="","",IF(COUNTIFS(BD!$A$3:$A$5001,H$3,BD!$B$3:$B$5001,$A$290,BD!$K$3:$K$5001,"&lt;&gt;")=0,"",SUMIFS(BD!$K$3:$K$5001,BD!$A$3:$A$5001,H$3,BD!$B$3:$B$5001,$A$290)))</f>
        <v/>
      </c>
      <c r="I298" s="215" t="str">
        <f>IF(I$3="","",IF(COUNTIFS(BD!$A$3:$A$5001,I$3,BD!$B$3:$B$5001,$A$290,BD!$K$3:$K$5001,"&lt;&gt;")=0,"",SUMIFS(BD!$K$3:$K$5001,BD!$A$3:$A$5001,I$3,BD!$B$3:$B$5001,$A$290)))</f>
        <v/>
      </c>
      <c r="J298" s="215" t="str">
        <f>IF(J$3="","",IF(COUNTIFS(BD!$A$3:$A$5001,J$3,BD!$B$3:$B$5001,$A$290,BD!$K$3:$K$5001,"&lt;&gt;")=0,"",SUMIFS(BD!$K$3:$K$5001,BD!$A$3:$A$5001,J$3,BD!$B$3:$B$5001,$A$290)))</f>
        <v/>
      </c>
      <c r="K298" s="215" t="str">
        <f>IF(K$3="","",IF(COUNTIFS(BD!$A$3:$A$5001,K$3,BD!$B$3:$B$5001,$A$290,BD!$K$3:$K$5001,"&lt;&gt;")=0,"",SUMIFS(BD!$K$3:$K$5001,BD!$A$3:$A$5001,K$3,BD!$B$3:$B$5001,$A$290)))</f>
        <v/>
      </c>
      <c r="L298" s="215" t="str">
        <f>IF(L$3="","",IF(COUNTIFS(BD!$A$3:$A$5001,L$3,BD!$B$3:$B$5001,$A$290,BD!$K$3:$K$5001,"&lt;&gt;")=0,"",SUMIFS(BD!$K$3:$K$5001,BD!$A$3:$A$5001,L$3,BD!$B$3:$B$5001,$A$290)))</f>
        <v/>
      </c>
      <c r="M298" s="215" t="str">
        <f>IF(M$3="","",IF(COUNTIFS(BD!$A$3:$A$5001,M$3,BD!$B$3:$B$5001,$A$290,BD!$K$3:$K$5001,"&lt;&gt;")=0,"",SUMIFS(BD!$K$3:$K$5001,BD!$A$3:$A$5001,M$3,BD!$B$3:$B$5001,$A$290)))</f>
        <v/>
      </c>
      <c r="N298" s="215" t="str">
        <f>IF(N$3="","",IF(COUNTIFS(BD!$A$3:$A$5001,N$3,BD!$B$3:$B$5001,$A$290,BD!$K$3:$K$5001,"&lt;&gt;")=0,"",SUMIFS(BD!$K$3:$K$5001,BD!$A$3:$A$5001,N$3,BD!$B$3:$B$5001,$A$290)))</f>
        <v/>
      </c>
      <c r="O298" s="215" t="str">
        <f>IF(O$3="","",IF(COUNTIFS(BD!$A$3:$A$5001,O$3,BD!$B$3:$B$5001,$A$290,BD!$K$3:$K$5001,"&lt;&gt;")=0,"",SUMIFS(BD!$K$3:$K$5001,BD!$A$3:$A$5001,O$3,BD!$B$3:$B$5001,$A$290)))</f>
        <v/>
      </c>
      <c r="P298" s="215" t="str">
        <f>IF(P$3="","",IF(COUNTIFS(BD!$A$3:$A$5001,P$3,BD!$B$3:$B$5001,$A$290,BD!$K$3:$K$5001,"&lt;&gt;")=0,"",SUMIFS(BD!$K$3:$K$5001,BD!$A$3:$A$5001,P$3,BD!$B$3:$B$5001,$A$290)))</f>
        <v/>
      </c>
      <c r="Q298" s="215" t="str">
        <f>IF(Q$3="","",IF(COUNTIFS(BD!$A$3:$A$5001,Q$3,BD!$B$3:$B$5001,$A$290,BD!$K$3:$K$5001,"&lt;&gt;")=0,"",SUMIFS(BD!$K$3:$K$5001,BD!$A$3:$A$5001,Q$3,BD!$B$3:$B$5001,$A$290)))</f>
        <v/>
      </c>
      <c r="R298" s="215" t="str">
        <f>IF(R$3="","",IF(COUNTIFS(BD!$A$3:$A$5001,R$3,BD!$B$3:$B$5001,$A$290,BD!$K$3:$K$5001,"&lt;&gt;")=0,"",SUMIFS(BD!$K$3:$K$5001,BD!$A$3:$A$5001,R$3,BD!$B$3:$B$5001,$A$290)))</f>
        <v/>
      </c>
      <c r="S298" s="215" t="str">
        <f>IF(S$3="","",IF(COUNTIFS(BD!$A$3:$A$5001,S$3,BD!$B$3:$B$5001,$A$290,BD!$K$3:$K$5001,"&lt;&gt;")=0,"",SUMIFS(BD!$K$3:$K$5001,BD!$A$3:$A$5001,S$3,BD!$B$3:$B$5001,$A$290)))</f>
        <v/>
      </c>
      <c r="T298" s="215" t="str">
        <f>IF(T$3="","",IF(COUNTIFS(BD!$A$3:$A$5001,T$3,BD!$B$3:$B$5001,$A$290,BD!$K$3:$K$5001,"&lt;&gt;")=0,"",SUMIFS(BD!$K$3:$K$5001,BD!$A$3:$A$5001,T$3,BD!$B$3:$B$5001,$A$290)))</f>
        <v/>
      </c>
      <c r="U298" s="215" t="str">
        <f>IF(U$3="","",IF(COUNTIFS(BD!$A$3:$A$5001,U$3,BD!$B$3:$B$5001,$A$290,BD!$K$3:$K$5001,"&lt;&gt;")=0,"",SUMIFS(BD!$K$3:$K$5001,BD!$A$3:$A$5001,U$3,BD!$B$3:$B$5001,$A$290)))</f>
        <v/>
      </c>
      <c r="V298" s="215" t="str">
        <f>IF(V$3="","",IF(COUNTIFS(BD!$A$3:$A$5001,V$3,BD!$B$3:$B$5001,$A$290,BD!$K$3:$K$5001,"&lt;&gt;")=0,"",SUMIFS(BD!$K$3:$K$5001,BD!$A$3:$A$5001,V$3,BD!$B$3:$B$5001,$A$290)))</f>
        <v/>
      </c>
      <c r="W298" s="215" t="str">
        <f>IF(W$3="","",IF(COUNTIFS(BD!$A$3:$A$5001,W$3,BD!$B$3:$B$5001,$A$290,BD!$K$3:$K$5001,"&lt;&gt;")=0,"",SUMIFS(BD!$K$3:$K$5001,BD!$A$3:$A$5001,W$3,BD!$B$3:$B$5001,$A$290)))</f>
        <v/>
      </c>
      <c r="X298" s="215" t="str">
        <f>IF(X$3="","",IF(COUNTIFS(BD!$A$3:$A$5001,X$3,BD!$B$3:$B$5001,$A$290,BD!$K$3:$K$5001,"&lt;&gt;")=0,"",SUMIFS(BD!$K$3:$K$5001,BD!$A$3:$A$5001,X$3,BD!$B$3:$B$5001,$A$290)))</f>
        <v/>
      </c>
      <c r="Y298" s="215" t="str">
        <f>IF(Y$3="","",IF(COUNTIFS(BD!$A$3:$A$5001,Y$3,BD!$B$3:$B$5001,$A$290,BD!$K$3:$K$5001,"&lt;&gt;")=0,"",SUMIFS(BD!$K$3:$K$5001,BD!$A$3:$A$5001,Y$3,BD!$B$3:$B$5001,$A$290)))</f>
        <v/>
      </c>
      <c r="Z298" s="215" t="str">
        <f>IF(Z$3="","",IF(COUNTIFS(BD!$A$3:$A$5001,Z$3,BD!$B$3:$B$5001,$A$290,BD!$K$3:$K$5001,"&lt;&gt;")=0,"",SUMIFS(BD!$K$3:$K$5001,BD!$A$3:$A$5001,Z$3,BD!$B$3:$B$5001,$A$290)))</f>
        <v/>
      </c>
      <c r="AA298" s="215" t="str">
        <f>IF(AA$3="","",IF(COUNTIFS(BD!$A$3:$A$5001,AA$3,BD!$B$3:$B$5001,$A$290,BD!$K$3:$K$5001,"&lt;&gt;")=0,"",SUMIFS(BD!$K$3:$K$5001,BD!$A$3:$A$5001,AA$3,BD!$B$3:$B$5001,$A$290)))</f>
        <v/>
      </c>
      <c r="AB298" s="215" t="str">
        <f>IF(AB$3="","",IF(COUNTIFS(BD!$A$3:$A$5001,AB$3,BD!$B$3:$B$5001,$A$290,BD!$K$3:$K$5001,"&lt;&gt;")=0,"",SUMIFS(BD!$K$3:$K$5001,BD!$A$3:$A$5001,AB$3,BD!$B$3:$B$5001,$A$290)))</f>
        <v/>
      </c>
      <c r="AC298" s="215" t="str">
        <f>IF(AC$3="","",IF(COUNTIFS(BD!$A$3:$A$5001,AC$3,BD!$B$3:$B$5001,$A$290,BD!$K$3:$K$5001,"&lt;&gt;")=0,"",SUMIFS(BD!$K$3:$K$5001,BD!$A$3:$A$5001,AC$3,BD!$B$3:$B$5001,$A$290)))</f>
        <v/>
      </c>
      <c r="AD298" s="215" t="str">
        <f>IF(AD$3="","",IF(COUNTIFS(BD!$A$3:$A$5001,AD$3,BD!$B$3:$B$5001,$A$290,BD!$K$3:$K$5001,"&lt;&gt;")=0,"",SUMIFS(BD!$K$3:$K$5001,BD!$A$3:$A$5001,AD$3,BD!$B$3:$B$5001,$A$290)))</f>
        <v/>
      </c>
      <c r="AE298" s="215" t="str">
        <f>IF(AE$3="","",IF(COUNTIFS(BD!$A$3:$A$5001,AE$3,BD!$B$3:$B$5001,$A$290,BD!$K$3:$K$5001,"&lt;&gt;")=0,"",SUMIFS(BD!$K$3:$K$5001,BD!$A$3:$A$5001,AE$3,BD!$B$3:$B$5001,$A$290)))</f>
        <v/>
      </c>
      <c r="AF298" s="215" t="str">
        <f>IF(AF$3="","",IF(COUNTIFS(BD!$A$3:$A$5001,AF$3,BD!$B$3:$B$5001,$A$290,BD!$K$3:$K$5001,"&lt;&gt;")=0,"",SUMIFS(BD!$K$3:$K$5001,BD!$A$3:$A$5001,AF$3,BD!$B$3:$B$5001,$A$290)))</f>
        <v/>
      </c>
      <c r="AG298" s="215" t="str">
        <f>IF(AG$3="","",IF(COUNTIFS(BD!$A$3:$A$5001,AG$3,BD!$B$3:$B$5001,$A$290,BD!$K$3:$K$5001,"&lt;&gt;")=0,"",SUMIFS(BD!$K$3:$K$5001,BD!$A$3:$A$5001,AG$3,BD!$B$3:$B$5001,$A$290)))</f>
        <v/>
      </c>
      <c r="AH298" s="215" t="str">
        <f>IF(AH$3="","",IF(COUNTIFS(BD!$A$3:$A$5001,AH$3,BD!$B$3:$B$5001,$A$290,BD!$K$3:$K$5001,"&lt;&gt;")=0,"",SUMIFS(BD!$K$3:$K$5001,BD!$A$3:$A$5001,AH$3,BD!$B$3:$B$5001,$A$290)))</f>
        <v/>
      </c>
      <c r="AI298" s="215" t="str">
        <f>IF(AI$3="","",IF(COUNTIFS(BD!$A$3:$A$5001,AI$3,BD!$B$3:$B$5001,$A$290,BD!$K$3:$K$5001,"&lt;&gt;")=0,"",SUMIFS(BD!$K$3:$K$5001,BD!$A$3:$A$5001,AI$3,BD!$B$3:$B$5001,$A$290)))</f>
        <v/>
      </c>
      <c r="AJ298" s="216" t="str">
        <f>IF(AJ$3="","",IF(COUNTIFS(BD!$A$3:$A$5001,AJ$3,BD!$B$3:$B$5001,$A$290,BD!$K$3:$K$5001,"&lt;&gt;")=0,"",SUMIFS(BD!$K$3:$K$5001,BD!$A$3:$A$5001,AJ$3,BD!$B$3:$B$5001,$A$290)))</f>
        <v/>
      </c>
      <c r="AK298" s="212" t="str">
        <f>IFERROR(LOOKUP(9.99E+307,F298:AJ298),"")</f>
        <v/>
      </c>
    </row>
    <row r="299" ht="15.75" customHeight="1" hidden="1">
      <c r="A299" s="254"/>
      <c r="B299" s="241" t="inlineStr">
        <is>
          <t xml:space="preserve">OCUPAÇÃO (P.P)</t>
        </is>
      </c>
      <c r="C299" s="155" t="inlineStr">
        <is>
          <t xml:space="preserve">Posições Disponíveis</t>
        </is>
      </c>
      <c r="D299" s="156" t="str">
        <f>IFERROR(1/(1/INDEX(BD!$Y$32:$AS$32,MATCH($A$290,BD!$Y$22:$AS$22,0))),"")</f>
        <v/>
      </c>
      <c r="E299" s="157"/>
      <c r="F299" s="158" t="str">
        <f>IF(F$3="","",IF(COUNTIFS(BD!$A$3:$A$5001,F$3,BD!$B$3:$B$5001,$A$290,BD!$L$3:$L$5001,"&lt;&gt;")=0,"",SUMIFS(BD!$L$3:$L$5001,BD!$A$3:$A$5001,F$3,BD!$B$3:$B$5001,$A$290)))</f>
        <v/>
      </c>
      <c r="G299" s="159" t="str">
        <f>IF(G$3="","",IF(COUNTIFS(BD!$A$3:$A$5001,G$3,BD!$B$3:$B$5001,$A$290,BD!$L$3:$L$5001,"&lt;&gt;")=0,"",SUMIFS(BD!$L$3:$L$5001,BD!$A$3:$A$5001,G$3,BD!$B$3:$B$5001,$A$290)))</f>
        <v/>
      </c>
      <c r="H299" s="159" t="str">
        <f>IF(H$3="","",IF(COUNTIFS(BD!$A$3:$A$5001,H$3,BD!$B$3:$B$5001,$A$290,BD!$L$3:$L$5001,"&lt;&gt;")=0,"",SUMIFS(BD!$L$3:$L$5001,BD!$A$3:$A$5001,H$3,BD!$B$3:$B$5001,$A$290)))</f>
        <v/>
      </c>
      <c r="I299" s="159" t="str">
        <f>IF(I$3="","",IF(COUNTIFS(BD!$A$3:$A$5001,I$3,BD!$B$3:$B$5001,$A$290,BD!$L$3:$L$5001,"&lt;&gt;")=0,"",SUMIFS(BD!$L$3:$L$5001,BD!$A$3:$A$5001,I$3,BD!$B$3:$B$5001,$A$290)))</f>
        <v/>
      </c>
      <c r="J299" s="159" t="str">
        <f>IF(J$3="","",IF(COUNTIFS(BD!$A$3:$A$5001,J$3,BD!$B$3:$B$5001,$A$290,BD!$L$3:$L$5001,"&lt;&gt;")=0,"",SUMIFS(BD!$L$3:$L$5001,BD!$A$3:$A$5001,J$3,BD!$B$3:$B$5001,$A$290)))</f>
        <v/>
      </c>
      <c r="K299" s="159" t="str">
        <f>IF(K$3="","",IF(COUNTIFS(BD!$A$3:$A$5001,K$3,BD!$B$3:$B$5001,$A$290,BD!$L$3:$L$5001,"&lt;&gt;")=0,"",SUMIFS(BD!$L$3:$L$5001,BD!$A$3:$A$5001,K$3,BD!$B$3:$B$5001,$A$290)))</f>
        <v/>
      </c>
      <c r="L299" s="159" t="str">
        <f>IF(L$3="","",IF(COUNTIFS(BD!$A$3:$A$5001,L$3,BD!$B$3:$B$5001,$A$290,BD!$L$3:$L$5001,"&lt;&gt;")=0,"",SUMIFS(BD!$L$3:$L$5001,BD!$A$3:$A$5001,L$3,BD!$B$3:$B$5001,$A$290)))</f>
        <v/>
      </c>
      <c r="M299" s="159" t="str">
        <f>IF(M$3="","",IF(COUNTIFS(BD!$A$3:$A$5001,M$3,BD!$B$3:$B$5001,$A$290,BD!$L$3:$L$5001,"&lt;&gt;")=0,"",SUMIFS(BD!$L$3:$L$5001,BD!$A$3:$A$5001,M$3,BD!$B$3:$B$5001,$A$290)))</f>
        <v/>
      </c>
      <c r="N299" s="159" t="str">
        <f>IF(N$3="","",IF(COUNTIFS(BD!$A$3:$A$5001,N$3,BD!$B$3:$B$5001,$A$290,BD!$L$3:$L$5001,"&lt;&gt;")=0,"",SUMIFS(BD!$L$3:$L$5001,BD!$A$3:$A$5001,N$3,BD!$B$3:$B$5001,$A$290)))</f>
        <v/>
      </c>
      <c r="O299" s="159" t="str">
        <f>IF(O$3="","",IF(COUNTIFS(BD!$A$3:$A$5001,O$3,BD!$B$3:$B$5001,$A$290,BD!$L$3:$L$5001,"&lt;&gt;")=0,"",SUMIFS(BD!$L$3:$L$5001,BD!$A$3:$A$5001,O$3,BD!$B$3:$B$5001,$A$290)))</f>
        <v/>
      </c>
      <c r="P299" s="159" t="str">
        <f>IF(P$3="","",IF(COUNTIFS(BD!$A$3:$A$5001,P$3,BD!$B$3:$B$5001,$A$290,BD!$L$3:$L$5001,"&lt;&gt;")=0,"",SUMIFS(BD!$L$3:$L$5001,BD!$A$3:$A$5001,P$3,BD!$B$3:$B$5001,$A$290)))</f>
        <v/>
      </c>
      <c r="Q299" s="159" t="str">
        <f>IF(Q$3="","",IF(COUNTIFS(BD!$A$3:$A$5001,Q$3,BD!$B$3:$B$5001,$A$290,BD!$L$3:$L$5001,"&lt;&gt;")=0,"",SUMIFS(BD!$L$3:$L$5001,BD!$A$3:$A$5001,Q$3,BD!$B$3:$B$5001,$A$290)))</f>
        <v/>
      </c>
      <c r="R299" s="159" t="str">
        <f>IF(R$3="","",IF(COUNTIFS(BD!$A$3:$A$5001,R$3,BD!$B$3:$B$5001,$A$290,BD!$L$3:$L$5001,"&lt;&gt;")=0,"",SUMIFS(BD!$L$3:$L$5001,BD!$A$3:$A$5001,R$3,BD!$B$3:$B$5001,$A$290)))</f>
        <v/>
      </c>
      <c r="S299" s="159" t="str">
        <f>IF(S$3="","",IF(COUNTIFS(BD!$A$3:$A$5001,S$3,BD!$B$3:$B$5001,$A$290,BD!$L$3:$L$5001,"&lt;&gt;")=0,"",SUMIFS(BD!$L$3:$L$5001,BD!$A$3:$A$5001,S$3,BD!$B$3:$B$5001,$A$290)))</f>
        <v/>
      </c>
      <c r="T299" s="159" t="str">
        <f>IF(T$3="","",IF(COUNTIFS(BD!$A$3:$A$5001,T$3,BD!$B$3:$B$5001,$A$290,BD!$L$3:$L$5001,"&lt;&gt;")=0,"",SUMIFS(BD!$L$3:$L$5001,BD!$A$3:$A$5001,T$3,BD!$B$3:$B$5001,$A$290)))</f>
        <v/>
      </c>
      <c r="U299" s="159" t="str">
        <f>IF(U$3="","",IF(COUNTIFS(BD!$A$3:$A$5001,U$3,BD!$B$3:$B$5001,$A$290,BD!$L$3:$L$5001,"&lt;&gt;")=0,"",SUMIFS(BD!$L$3:$L$5001,BD!$A$3:$A$5001,U$3,BD!$B$3:$B$5001,$A$290)))</f>
        <v/>
      </c>
      <c r="V299" s="159" t="str">
        <f>IF(V$3="","",IF(COUNTIFS(BD!$A$3:$A$5001,V$3,BD!$B$3:$B$5001,$A$290,BD!$L$3:$L$5001,"&lt;&gt;")=0,"",SUMIFS(BD!$L$3:$L$5001,BD!$A$3:$A$5001,V$3,BD!$B$3:$B$5001,$A$290)))</f>
        <v/>
      </c>
      <c r="W299" s="159" t="str">
        <f>IF(W$3="","",IF(COUNTIFS(BD!$A$3:$A$5001,W$3,BD!$B$3:$B$5001,$A$290,BD!$L$3:$L$5001,"&lt;&gt;")=0,"",SUMIFS(BD!$L$3:$L$5001,BD!$A$3:$A$5001,W$3,BD!$B$3:$B$5001,$A$290)))</f>
        <v/>
      </c>
      <c r="X299" s="159" t="str">
        <f>IF(X$3="","",IF(COUNTIFS(BD!$A$3:$A$5001,X$3,BD!$B$3:$B$5001,$A$290,BD!$L$3:$L$5001,"&lt;&gt;")=0,"",SUMIFS(BD!$L$3:$L$5001,BD!$A$3:$A$5001,X$3,BD!$B$3:$B$5001,$A$290)))</f>
        <v/>
      </c>
      <c r="Y299" s="159" t="str">
        <f>IF(Y$3="","",IF(COUNTIFS(BD!$A$3:$A$5001,Y$3,BD!$B$3:$B$5001,$A$290,BD!$L$3:$L$5001,"&lt;&gt;")=0,"",SUMIFS(BD!$L$3:$L$5001,BD!$A$3:$A$5001,Y$3,BD!$B$3:$B$5001,$A$290)))</f>
        <v/>
      </c>
      <c r="Z299" s="159" t="str">
        <f>IF(Z$3="","",IF(COUNTIFS(BD!$A$3:$A$5001,Z$3,BD!$B$3:$B$5001,$A$290,BD!$L$3:$L$5001,"&lt;&gt;")=0,"",SUMIFS(BD!$L$3:$L$5001,BD!$A$3:$A$5001,Z$3,BD!$B$3:$B$5001,$A$290)))</f>
        <v/>
      </c>
      <c r="AA299" s="159" t="str">
        <f>IF(AA$3="","",IF(COUNTIFS(BD!$A$3:$A$5001,AA$3,BD!$B$3:$B$5001,$A$290,BD!$L$3:$L$5001,"&lt;&gt;")=0,"",SUMIFS(BD!$L$3:$L$5001,BD!$A$3:$A$5001,AA$3,BD!$B$3:$B$5001,$A$290)))</f>
        <v/>
      </c>
      <c r="AB299" s="159" t="str">
        <f>IF(AB$3="","",IF(COUNTIFS(BD!$A$3:$A$5001,AB$3,BD!$B$3:$B$5001,$A$290,BD!$L$3:$L$5001,"&lt;&gt;")=0,"",SUMIFS(BD!$L$3:$L$5001,BD!$A$3:$A$5001,AB$3,BD!$B$3:$B$5001,$A$290)))</f>
        <v/>
      </c>
      <c r="AC299" s="159" t="str">
        <f>IF(AC$3="","",IF(COUNTIFS(BD!$A$3:$A$5001,AC$3,BD!$B$3:$B$5001,$A$290,BD!$L$3:$L$5001,"&lt;&gt;")=0,"",SUMIFS(BD!$L$3:$L$5001,BD!$A$3:$A$5001,AC$3,BD!$B$3:$B$5001,$A$290)))</f>
        <v/>
      </c>
      <c r="AD299" s="159" t="str">
        <f>IF(AD$3="","",IF(COUNTIFS(BD!$A$3:$A$5001,AD$3,BD!$B$3:$B$5001,$A$290,BD!$L$3:$L$5001,"&lt;&gt;")=0,"",SUMIFS(BD!$L$3:$L$5001,BD!$A$3:$A$5001,AD$3,BD!$B$3:$B$5001,$A$290)))</f>
        <v/>
      </c>
      <c r="AE299" s="159" t="str">
        <f>IF(AE$3="","",IF(COUNTIFS(BD!$A$3:$A$5001,AE$3,BD!$B$3:$B$5001,$A$290,BD!$L$3:$L$5001,"&lt;&gt;")=0,"",SUMIFS(BD!$L$3:$L$5001,BD!$A$3:$A$5001,AE$3,BD!$B$3:$B$5001,$A$290)))</f>
        <v/>
      </c>
      <c r="AF299" s="159" t="str">
        <f>IF(AF$3="","",IF(COUNTIFS(BD!$A$3:$A$5001,AF$3,BD!$B$3:$B$5001,$A$290,BD!$L$3:$L$5001,"&lt;&gt;")=0,"",SUMIFS(BD!$L$3:$L$5001,BD!$A$3:$A$5001,AF$3,BD!$B$3:$B$5001,$A$290)))</f>
        <v/>
      </c>
      <c r="AG299" s="159" t="str">
        <f>IF(AG$3="","",IF(COUNTIFS(BD!$A$3:$A$5001,AG$3,BD!$B$3:$B$5001,$A$290,BD!$L$3:$L$5001,"&lt;&gt;")=0,"",SUMIFS(BD!$L$3:$L$5001,BD!$A$3:$A$5001,AG$3,BD!$B$3:$B$5001,$A$290)))</f>
        <v/>
      </c>
      <c r="AH299" s="159" t="str">
        <f>IF(AH$3="","",IF(COUNTIFS(BD!$A$3:$A$5001,AH$3,BD!$B$3:$B$5001,$A$290,BD!$L$3:$L$5001,"&lt;&gt;")=0,"",SUMIFS(BD!$L$3:$L$5001,BD!$A$3:$A$5001,AH$3,BD!$B$3:$B$5001,$A$290)))</f>
        <v/>
      </c>
      <c r="AI299" s="159" t="str">
        <f>IF(AI$3="","",IF(COUNTIFS(BD!$A$3:$A$5001,AI$3,BD!$B$3:$B$5001,$A$290,BD!$L$3:$L$5001,"&lt;&gt;")=0,"",SUMIFS(BD!$L$3:$L$5001,BD!$A$3:$A$5001,AI$3,BD!$B$3:$B$5001,$A$290)))</f>
        <v/>
      </c>
      <c r="AJ299" s="160" t="str">
        <f>IF(AJ$3="","",IF(COUNTIFS(BD!$A$3:$A$5001,AJ$3,BD!$B$3:$B$5001,$A$290,BD!$L$3:$L$5001,"&lt;&gt;")=0,"",SUMIFS(BD!$L$3:$L$5001,BD!$A$3:$A$5001,AJ$3,BD!$B$3:$B$5001,$A$290)))</f>
        <v/>
      </c>
      <c r="AK299" s="161" t="str">
        <f>IF(COUNT(F299:AJ299)&gt;0,LOOKUP(9.99E+307,F299:AJ299),IFERROR(IF(INDEX(BD!$V$3:$V$5001,MATCH($A$290,BD!$B$3:$B$5001,0))&amp;""="Contrato","",INDEX(BD!$V$3:$V$5001,MATCH($A$290,BD!$B$3:$B$5001,0))&amp;""),""))</f>
        <v/>
      </c>
    </row>
    <row r="300" ht="15.75" customHeight="1" hidden="1">
      <c r="A300" s="254"/>
      <c r="B300" s="242"/>
      <c r="C300" s="162" t="inlineStr">
        <is>
          <t xml:space="preserve">Posições Ocupadas</t>
        </is>
      </c>
      <c r="D300" s="163" t="str">
        <f>IFERROR(1/(1/INDEX(BD!$Y$33:$AS$33,MATCH($A$290,BD!$Y$22:$AS$22,0))),"")</f>
        <v/>
      </c>
      <c r="E300" s="164"/>
      <c r="F300" s="165" t="str">
        <f>IF(F$3="","",IF(COUNTIFS(BD!$A$3:$A$5001,F$3,BD!$B$3:$B$5001,$A$290,BD!$M$3:$M$5001,"&lt;&gt;")=0,"",SUMIFS(BD!$M$3:$M$5001,BD!$A$3:$A$5001,F$3,BD!$B$3:$B$5001,$A$290)))</f>
        <v/>
      </c>
      <c r="G300" s="166" t="str">
        <f>IF(G$3="","",IF(COUNTIFS(BD!$A$3:$A$5001,G$3,BD!$B$3:$B$5001,$A$290,BD!$M$3:$M$5001,"&lt;&gt;")=0,"",SUMIFS(BD!$M$3:$M$5001,BD!$A$3:$A$5001,G$3,BD!$B$3:$B$5001,$A$290)))</f>
        <v/>
      </c>
      <c r="H300" s="166" t="str">
        <f>IF(H$3="","",IF(COUNTIFS(BD!$A$3:$A$5001,H$3,BD!$B$3:$B$5001,$A$290,BD!$M$3:$M$5001,"&lt;&gt;")=0,"",SUMIFS(BD!$M$3:$M$5001,BD!$A$3:$A$5001,H$3,BD!$B$3:$B$5001,$A$290)))</f>
        <v/>
      </c>
      <c r="I300" s="166" t="str">
        <f>IF(I$3="","",IF(COUNTIFS(BD!$A$3:$A$5001,I$3,BD!$B$3:$B$5001,$A$290,BD!$M$3:$M$5001,"&lt;&gt;")=0,"",SUMIFS(BD!$M$3:$M$5001,BD!$A$3:$A$5001,I$3,BD!$B$3:$B$5001,$A$290)))</f>
        <v/>
      </c>
      <c r="J300" s="166" t="str">
        <f>IF(J$3="","",IF(COUNTIFS(BD!$A$3:$A$5001,J$3,BD!$B$3:$B$5001,$A$290,BD!$M$3:$M$5001,"&lt;&gt;")=0,"",SUMIFS(BD!$M$3:$M$5001,BD!$A$3:$A$5001,J$3,BD!$B$3:$B$5001,$A$290)))</f>
        <v/>
      </c>
      <c r="K300" s="166" t="str">
        <f>IF(K$3="","",IF(COUNTIFS(BD!$A$3:$A$5001,K$3,BD!$B$3:$B$5001,$A$290,BD!$M$3:$M$5001,"&lt;&gt;")=0,"",SUMIFS(BD!$M$3:$M$5001,BD!$A$3:$A$5001,K$3,BD!$B$3:$B$5001,$A$290)))</f>
        <v/>
      </c>
      <c r="L300" s="166" t="str">
        <f>IF(L$3="","",IF(COUNTIFS(BD!$A$3:$A$5001,L$3,BD!$B$3:$B$5001,$A$290,BD!$M$3:$M$5001,"&lt;&gt;")=0,"",SUMIFS(BD!$M$3:$M$5001,BD!$A$3:$A$5001,L$3,BD!$B$3:$B$5001,$A$290)))</f>
        <v/>
      </c>
      <c r="M300" s="166" t="str">
        <f>IF(M$3="","",IF(COUNTIFS(BD!$A$3:$A$5001,M$3,BD!$B$3:$B$5001,$A$290,BD!$M$3:$M$5001,"&lt;&gt;")=0,"",SUMIFS(BD!$M$3:$M$5001,BD!$A$3:$A$5001,M$3,BD!$B$3:$B$5001,$A$290)))</f>
        <v/>
      </c>
      <c r="N300" s="166" t="str">
        <f>IF(N$3="","",IF(COUNTIFS(BD!$A$3:$A$5001,N$3,BD!$B$3:$B$5001,$A$290,BD!$M$3:$M$5001,"&lt;&gt;")=0,"",SUMIFS(BD!$M$3:$M$5001,BD!$A$3:$A$5001,N$3,BD!$B$3:$B$5001,$A$290)))</f>
        <v/>
      </c>
      <c r="O300" s="166" t="str">
        <f>IF(O$3="","",IF(COUNTIFS(BD!$A$3:$A$5001,O$3,BD!$B$3:$B$5001,$A$290,BD!$M$3:$M$5001,"&lt;&gt;")=0,"",SUMIFS(BD!$M$3:$M$5001,BD!$A$3:$A$5001,O$3,BD!$B$3:$B$5001,$A$290)))</f>
        <v/>
      </c>
      <c r="P300" s="166" t="str">
        <f>IF(P$3="","",IF(COUNTIFS(BD!$A$3:$A$5001,P$3,BD!$B$3:$B$5001,$A$290,BD!$M$3:$M$5001,"&lt;&gt;")=0,"",SUMIFS(BD!$M$3:$M$5001,BD!$A$3:$A$5001,P$3,BD!$B$3:$B$5001,$A$290)))</f>
        <v/>
      </c>
      <c r="Q300" s="166" t="str">
        <f>IF(Q$3="","",IF(COUNTIFS(BD!$A$3:$A$5001,Q$3,BD!$B$3:$B$5001,$A$290,BD!$M$3:$M$5001,"&lt;&gt;")=0,"",SUMIFS(BD!$M$3:$M$5001,BD!$A$3:$A$5001,Q$3,BD!$B$3:$B$5001,$A$290)))</f>
        <v/>
      </c>
      <c r="R300" s="166" t="str">
        <f>IF(R$3="","",IF(COUNTIFS(BD!$A$3:$A$5001,R$3,BD!$B$3:$B$5001,$A$290,BD!$M$3:$M$5001,"&lt;&gt;")=0,"",SUMIFS(BD!$M$3:$M$5001,BD!$A$3:$A$5001,R$3,BD!$B$3:$B$5001,$A$290)))</f>
        <v/>
      </c>
      <c r="S300" s="166" t="str">
        <f>IF(S$3="","",IF(COUNTIFS(BD!$A$3:$A$5001,S$3,BD!$B$3:$B$5001,$A$290,BD!$M$3:$M$5001,"&lt;&gt;")=0,"",SUMIFS(BD!$M$3:$M$5001,BD!$A$3:$A$5001,S$3,BD!$B$3:$B$5001,$A$290)))</f>
        <v/>
      </c>
      <c r="T300" s="166" t="str">
        <f>IF(T$3="","",IF(COUNTIFS(BD!$A$3:$A$5001,T$3,BD!$B$3:$B$5001,$A$290,BD!$M$3:$M$5001,"&lt;&gt;")=0,"",SUMIFS(BD!$M$3:$M$5001,BD!$A$3:$A$5001,T$3,BD!$B$3:$B$5001,$A$290)))</f>
        <v/>
      </c>
      <c r="U300" s="166" t="str">
        <f>IF(U$3="","",IF(COUNTIFS(BD!$A$3:$A$5001,U$3,BD!$B$3:$B$5001,$A$290,BD!$M$3:$M$5001,"&lt;&gt;")=0,"",SUMIFS(BD!$M$3:$M$5001,BD!$A$3:$A$5001,U$3,BD!$B$3:$B$5001,$A$290)))</f>
        <v/>
      </c>
      <c r="V300" s="166" t="str">
        <f>IF(V$3="","",IF(COUNTIFS(BD!$A$3:$A$5001,V$3,BD!$B$3:$B$5001,$A$290,BD!$M$3:$M$5001,"&lt;&gt;")=0,"",SUMIFS(BD!$M$3:$M$5001,BD!$A$3:$A$5001,V$3,BD!$B$3:$B$5001,$A$290)))</f>
        <v/>
      </c>
      <c r="W300" s="166" t="str">
        <f>IF(W$3="","",IF(COUNTIFS(BD!$A$3:$A$5001,W$3,BD!$B$3:$B$5001,$A$290,BD!$M$3:$M$5001,"&lt;&gt;")=0,"",SUMIFS(BD!$M$3:$M$5001,BD!$A$3:$A$5001,W$3,BD!$B$3:$B$5001,$A$290)))</f>
        <v/>
      </c>
      <c r="X300" s="166" t="str">
        <f>IF(X$3="","",IF(COUNTIFS(BD!$A$3:$A$5001,X$3,BD!$B$3:$B$5001,$A$290,BD!$M$3:$M$5001,"&lt;&gt;")=0,"",SUMIFS(BD!$M$3:$M$5001,BD!$A$3:$A$5001,X$3,BD!$B$3:$B$5001,$A$290)))</f>
        <v/>
      </c>
      <c r="Y300" s="166" t="str">
        <f>IF(Y$3="","",IF(COUNTIFS(BD!$A$3:$A$5001,Y$3,BD!$B$3:$B$5001,$A$290,BD!$M$3:$M$5001,"&lt;&gt;")=0,"",SUMIFS(BD!$M$3:$M$5001,BD!$A$3:$A$5001,Y$3,BD!$B$3:$B$5001,$A$290)))</f>
        <v/>
      </c>
      <c r="Z300" s="166" t="str">
        <f>IF(Z$3="","",IF(COUNTIFS(BD!$A$3:$A$5001,Z$3,BD!$B$3:$B$5001,$A$290,BD!$M$3:$M$5001,"&lt;&gt;")=0,"",SUMIFS(BD!$M$3:$M$5001,BD!$A$3:$A$5001,Z$3,BD!$B$3:$B$5001,$A$290)))</f>
        <v/>
      </c>
      <c r="AA300" s="166" t="str">
        <f>IF(AA$3="","",IF(COUNTIFS(BD!$A$3:$A$5001,AA$3,BD!$B$3:$B$5001,$A$290,BD!$M$3:$M$5001,"&lt;&gt;")=0,"",SUMIFS(BD!$M$3:$M$5001,BD!$A$3:$A$5001,AA$3,BD!$B$3:$B$5001,$A$290)))</f>
        <v/>
      </c>
      <c r="AB300" s="166" t="str">
        <f>IF(AB$3="","",IF(COUNTIFS(BD!$A$3:$A$5001,AB$3,BD!$B$3:$B$5001,$A$290,BD!$M$3:$M$5001,"&lt;&gt;")=0,"",SUMIFS(BD!$M$3:$M$5001,BD!$A$3:$A$5001,AB$3,BD!$B$3:$B$5001,$A$290)))</f>
        <v/>
      </c>
      <c r="AC300" s="166" t="str">
        <f>IF(AC$3="","",IF(COUNTIFS(BD!$A$3:$A$5001,AC$3,BD!$B$3:$B$5001,$A$290,BD!$M$3:$M$5001,"&lt;&gt;")=0,"",SUMIFS(BD!$M$3:$M$5001,BD!$A$3:$A$5001,AC$3,BD!$B$3:$B$5001,$A$290)))</f>
        <v/>
      </c>
      <c r="AD300" s="166" t="str">
        <f>IF(AD$3="","",IF(COUNTIFS(BD!$A$3:$A$5001,AD$3,BD!$B$3:$B$5001,$A$290,BD!$M$3:$M$5001,"&lt;&gt;")=0,"",SUMIFS(BD!$M$3:$M$5001,BD!$A$3:$A$5001,AD$3,BD!$B$3:$B$5001,$A$290)))</f>
        <v/>
      </c>
      <c r="AE300" s="166" t="str">
        <f>IF(AE$3="","",IF(COUNTIFS(BD!$A$3:$A$5001,AE$3,BD!$B$3:$B$5001,$A$290,BD!$M$3:$M$5001,"&lt;&gt;")=0,"",SUMIFS(BD!$M$3:$M$5001,BD!$A$3:$A$5001,AE$3,BD!$B$3:$B$5001,$A$290)))</f>
        <v/>
      </c>
      <c r="AF300" s="166" t="str">
        <f>IF(AF$3="","",IF(COUNTIFS(BD!$A$3:$A$5001,AF$3,BD!$B$3:$B$5001,$A$290,BD!$M$3:$M$5001,"&lt;&gt;")=0,"",SUMIFS(BD!$M$3:$M$5001,BD!$A$3:$A$5001,AF$3,BD!$B$3:$B$5001,$A$290)))</f>
        <v/>
      </c>
      <c r="AG300" s="166" t="str">
        <f>IF(AG$3="","",IF(COUNTIFS(BD!$A$3:$A$5001,AG$3,BD!$B$3:$B$5001,$A$290,BD!$M$3:$M$5001,"&lt;&gt;")=0,"",SUMIFS(BD!$M$3:$M$5001,BD!$A$3:$A$5001,AG$3,BD!$B$3:$B$5001,$A$290)))</f>
        <v/>
      </c>
      <c r="AH300" s="166" t="str">
        <f>IF(AH$3="","",IF(COUNTIFS(BD!$A$3:$A$5001,AH$3,BD!$B$3:$B$5001,$A$290,BD!$M$3:$M$5001,"&lt;&gt;")=0,"",SUMIFS(BD!$M$3:$M$5001,BD!$A$3:$A$5001,AH$3,BD!$B$3:$B$5001,$A$290)))</f>
        <v/>
      </c>
      <c r="AI300" s="166" t="str">
        <f>IF(AI$3="","",IF(COUNTIFS(BD!$A$3:$A$5001,AI$3,BD!$B$3:$B$5001,$A$290,BD!$M$3:$M$5001,"&lt;&gt;")=0,"",SUMIFS(BD!$M$3:$M$5001,BD!$A$3:$A$5001,AI$3,BD!$B$3:$B$5001,$A$290)))</f>
        <v/>
      </c>
      <c r="AJ300" s="167" t="str">
        <f>IF(AJ$3="","",IF(COUNTIFS(BD!$A$3:$A$5001,AJ$3,BD!$B$3:$B$5001,$A$290,BD!$M$3:$M$5001,"&lt;&gt;")=0,"",SUMIFS(BD!$M$3:$M$5001,BD!$A$3:$A$5001,AJ$3,BD!$B$3:$B$5001,$A$290)))</f>
        <v/>
      </c>
      <c r="AK300" s="168" t="str">
        <f>IFERROR(LOOKUP(9.99E+307,F300:AJ300),"")</f>
        <v/>
      </c>
    </row>
    <row r="301" ht="15.75" customHeight="1" hidden="1">
      <c r="A301" s="254"/>
      <c r="B301" s="243"/>
      <c r="C301" s="169" t="inlineStr">
        <is>
          <t xml:space="preserve">Taxa de Ocupação</t>
        </is>
      </c>
      <c r="D301" s="217" t="str">
        <f>IFERROR(1/(1/INDEX(BD!$Y$34:$AS$34,MATCH($A$290,BD!$Y$22:$AS$22,0))),"")</f>
        <v/>
      </c>
      <c r="E301" s="171"/>
      <c r="F301" s="218" t="str">
        <f>IF(AND(ISNUMBER(F299),ISNUMBER(F300)),IF(F299&gt;0,F300/F299,""),"")</f>
        <v/>
      </c>
      <c r="G301" s="219" t="str">
        <f>IF(AND(ISNUMBER(G299),ISNUMBER(G300)),IF(G299&gt;0,G300/G299,""),"")</f>
        <v/>
      </c>
      <c r="H301" s="219" t="str">
        <f>IF(AND(ISNUMBER(H299),ISNUMBER(H300)),IF(H299&gt;0,H300/H299,""),"")</f>
        <v/>
      </c>
      <c r="I301" s="219" t="str">
        <f>IF(AND(ISNUMBER(I299),ISNUMBER(I300)),IF(I299&gt;0,I300/I299,""),"")</f>
        <v/>
      </c>
      <c r="J301" s="219" t="str">
        <f>IF(AND(ISNUMBER(J299),ISNUMBER(J300)),IF(J299&gt;0,J300/J299,""),"")</f>
        <v/>
      </c>
      <c r="K301" s="219" t="str">
        <f>IF(AND(ISNUMBER(K299),ISNUMBER(K300)),IF(K299&gt;0,K300/K299,""),"")</f>
        <v/>
      </c>
      <c r="L301" s="219" t="str">
        <f>IF(AND(ISNUMBER(L299),ISNUMBER(L300)),IF(L299&gt;0,L300/L299,""),"")</f>
        <v/>
      </c>
      <c r="M301" s="219" t="str">
        <f>IF(AND(ISNUMBER(M299),ISNUMBER(M300)),IF(M299&gt;0,M300/M299,""),"")</f>
        <v/>
      </c>
      <c r="N301" s="219" t="str">
        <f>IF(AND(ISNUMBER(N299),ISNUMBER(N300)),IF(N299&gt;0,N300/N299,""),"")</f>
        <v/>
      </c>
      <c r="O301" s="219" t="str">
        <f>IF(AND(ISNUMBER(O299),ISNUMBER(O300)),IF(O299&gt;0,O300/O299,""),"")</f>
        <v/>
      </c>
      <c r="P301" s="219" t="str">
        <f>IF(AND(ISNUMBER(P299),ISNUMBER(P300)),IF(P299&gt;0,P300/P299,""),"")</f>
        <v/>
      </c>
      <c r="Q301" s="219" t="str">
        <f>IF(AND(ISNUMBER(Q299),ISNUMBER(Q300)),IF(Q299&gt;0,Q300/Q299,""),"")</f>
        <v/>
      </c>
      <c r="R301" s="219" t="str">
        <f>IF(AND(ISNUMBER(R299),ISNUMBER(R300)),IF(R299&gt;0,R300/R299,""),"")</f>
        <v/>
      </c>
      <c r="S301" s="219" t="str">
        <f>IF(AND(ISNUMBER(S299),ISNUMBER(S300)),IF(S299&gt;0,S300/S299,""),"")</f>
        <v/>
      </c>
      <c r="T301" s="219" t="str">
        <f>IF(AND(ISNUMBER(T299),ISNUMBER(T300)),IF(T299&gt;0,T300/T299,""),"")</f>
        <v/>
      </c>
      <c r="U301" s="219" t="str">
        <f>IF(AND(ISNUMBER(U299),ISNUMBER(U300)),IF(U299&gt;0,U300/U299,""),"")</f>
        <v/>
      </c>
      <c r="V301" s="219" t="str">
        <f>IF(AND(ISNUMBER(V299),ISNUMBER(V300)),IF(V299&gt;0,V300/V299,""),"")</f>
        <v/>
      </c>
      <c r="W301" s="219" t="str">
        <f>IF(AND(ISNUMBER(W299),ISNUMBER(W300)),IF(W299&gt;0,W300/W299,""),"")</f>
        <v/>
      </c>
      <c r="X301" s="219" t="str">
        <f>IF(AND(ISNUMBER(X299),ISNUMBER(X300)),IF(X299&gt;0,X300/X299,""),"")</f>
        <v/>
      </c>
      <c r="Y301" s="219" t="str">
        <f>IF(AND(ISNUMBER(Y299),ISNUMBER(Y300)),IF(Y299&gt;0,Y300/Y299,""),"")</f>
        <v/>
      </c>
      <c r="Z301" s="219" t="str">
        <f>IF(AND(ISNUMBER(Z299),ISNUMBER(Z300)),IF(Z299&gt;0,Z300/Z299,""),"")</f>
        <v/>
      </c>
      <c r="AA301" s="219" t="str">
        <f>IF(AND(ISNUMBER(AA299),ISNUMBER(AA300)),IF(AA299&gt;0,AA300/AA299,""),"")</f>
        <v/>
      </c>
      <c r="AB301" s="219" t="str">
        <f>IF(AND(ISNUMBER(AB299),ISNUMBER(AB300)),IF(AB299&gt;0,AB300/AB299,""),"")</f>
        <v/>
      </c>
      <c r="AC301" s="219" t="str">
        <f>IF(AND(ISNUMBER(AC299),ISNUMBER(AC300)),IF(AC299&gt;0,AC300/AC299,""),"")</f>
        <v/>
      </c>
      <c r="AD301" s="219" t="str">
        <f>IF(AND(ISNUMBER(AD299),ISNUMBER(AD300)),IF(AD299&gt;0,AD300/AD299,""),"")</f>
        <v/>
      </c>
      <c r="AE301" s="219" t="str">
        <f>IF(AND(ISNUMBER(AE299),ISNUMBER(AE300)),IF(AE299&gt;0,AE300/AE299,""),"")</f>
        <v/>
      </c>
      <c r="AF301" s="219" t="str">
        <f>IF(AND(ISNUMBER(AF299),ISNUMBER(AF300)),IF(AF299&gt;0,AF300/AF299,""),"")</f>
        <v/>
      </c>
      <c r="AG301" s="219" t="str">
        <f>IF(AND(ISNUMBER(AG299),ISNUMBER(AG300)),IF(AG299&gt;0,AG300/AG299,""),"")</f>
        <v/>
      </c>
      <c r="AH301" s="219" t="str">
        <f>IF(AND(ISNUMBER(AH299),ISNUMBER(AH300)),IF(AH299&gt;0,AH300/AH299,""),"")</f>
        <v/>
      </c>
      <c r="AI301" s="219" t="str">
        <f>IF(AND(ISNUMBER(AI299),ISNUMBER(AI300)),IF(AI299&gt;0,AI300/AI299,""),"")</f>
        <v/>
      </c>
      <c r="AJ301" s="220" t="str">
        <f>IF(AND(ISNUMBER(AJ299),ISNUMBER(AJ300)),IF(AJ299&gt;0,AJ300/AJ299,""),"")</f>
        <v/>
      </c>
      <c r="AK301" s="217" t="str">
        <f>IF(AND(ISNUMBER(AK299),ISNUMBER(AK300)),IF(AK299&gt;0,AK300/AK299,""),"")</f>
        <v/>
      </c>
    </row>
    <row r="302" ht="15.75" customHeight="1" hidden="1">
      <c r="A302" s="254"/>
      <c r="B302" s="250" t="inlineStr">
        <is>
          <t xml:space="preserve">GENTE</t>
        </is>
      </c>
      <c r="C302" s="221" t="inlineStr">
        <is>
          <t xml:space="preserve">Efetivo Op.</t>
        </is>
      </c>
      <c r="D302" s="222" t="str">
        <f>IFERROR(1/(1/INDEX(BD!$Y$35:$AS$35,MATCH($A$290,BD!$Y$22:$AS$22,0))),"")</f>
        <v/>
      </c>
      <c r="E302" s="223"/>
      <c r="F302" s="224" t="str">
        <f>IF(F$3="","",IF(COUNTIFS(BD!$A$3:$A$5001,F$3,BD!$B$3:$B$5001,$A$290,BD!$N$3:$N$5001,"&lt;&gt;")=0,"",SUMIFS(BD!$N$3:$N$5001,BD!$A$3:$A$5001,F$3,BD!$B$3:$B$5001,$A$290)))</f>
        <v/>
      </c>
      <c r="G302" s="225" t="str">
        <f>IF(G$3="","",IF(COUNTIFS(BD!$A$3:$A$5001,G$3,BD!$B$3:$B$5001,$A$290,BD!$N$3:$N$5001,"&lt;&gt;")=0,"",SUMIFS(BD!$N$3:$N$5001,BD!$A$3:$A$5001,G$3,BD!$B$3:$B$5001,$A$290)))</f>
        <v/>
      </c>
      <c r="H302" s="225" t="str">
        <f>IF(H$3="","",IF(COUNTIFS(BD!$A$3:$A$5001,H$3,BD!$B$3:$B$5001,$A$290,BD!$N$3:$N$5001,"&lt;&gt;")=0,"",SUMIFS(BD!$N$3:$N$5001,BD!$A$3:$A$5001,H$3,BD!$B$3:$B$5001,$A$290)))</f>
        <v/>
      </c>
      <c r="I302" s="225" t="str">
        <f>IF(I$3="","",IF(COUNTIFS(BD!$A$3:$A$5001,I$3,BD!$B$3:$B$5001,$A$290,BD!$N$3:$N$5001,"&lt;&gt;")=0,"",SUMIFS(BD!$N$3:$N$5001,BD!$A$3:$A$5001,I$3,BD!$B$3:$B$5001,$A$290)))</f>
        <v/>
      </c>
      <c r="J302" s="225" t="str">
        <f>IF(J$3="","",IF(COUNTIFS(BD!$A$3:$A$5001,J$3,BD!$B$3:$B$5001,$A$290,BD!$N$3:$N$5001,"&lt;&gt;")=0,"",SUMIFS(BD!$N$3:$N$5001,BD!$A$3:$A$5001,J$3,BD!$B$3:$B$5001,$A$290)))</f>
        <v/>
      </c>
      <c r="K302" s="225" t="str">
        <f>IF(K$3="","",IF(COUNTIFS(BD!$A$3:$A$5001,K$3,BD!$B$3:$B$5001,$A$290,BD!$N$3:$N$5001,"&lt;&gt;")=0,"",SUMIFS(BD!$N$3:$N$5001,BD!$A$3:$A$5001,K$3,BD!$B$3:$B$5001,$A$290)))</f>
        <v/>
      </c>
      <c r="L302" s="225" t="str">
        <f>IF(L$3="","",IF(COUNTIFS(BD!$A$3:$A$5001,L$3,BD!$B$3:$B$5001,$A$290,BD!$N$3:$N$5001,"&lt;&gt;")=0,"",SUMIFS(BD!$N$3:$N$5001,BD!$A$3:$A$5001,L$3,BD!$B$3:$B$5001,$A$290)))</f>
        <v/>
      </c>
      <c r="M302" s="225" t="str">
        <f>IF(M$3="","",IF(COUNTIFS(BD!$A$3:$A$5001,M$3,BD!$B$3:$B$5001,$A$290,BD!$N$3:$N$5001,"&lt;&gt;")=0,"",SUMIFS(BD!$N$3:$N$5001,BD!$A$3:$A$5001,M$3,BD!$B$3:$B$5001,$A$290)))</f>
        <v/>
      </c>
      <c r="N302" s="225" t="str">
        <f>IF(N$3="","",IF(COUNTIFS(BD!$A$3:$A$5001,N$3,BD!$B$3:$B$5001,$A$290,BD!$N$3:$N$5001,"&lt;&gt;")=0,"",SUMIFS(BD!$N$3:$N$5001,BD!$A$3:$A$5001,N$3,BD!$B$3:$B$5001,$A$290)))</f>
        <v/>
      </c>
      <c r="O302" s="225" t="str">
        <f>IF(O$3="","",IF(COUNTIFS(BD!$A$3:$A$5001,O$3,BD!$B$3:$B$5001,$A$290,BD!$N$3:$N$5001,"&lt;&gt;")=0,"",SUMIFS(BD!$N$3:$N$5001,BD!$A$3:$A$5001,O$3,BD!$B$3:$B$5001,$A$290)))</f>
        <v/>
      </c>
      <c r="P302" s="225" t="str">
        <f>IF(P$3="","",IF(COUNTIFS(BD!$A$3:$A$5001,P$3,BD!$B$3:$B$5001,$A$290,BD!$N$3:$N$5001,"&lt;&gt;")=0,"",SUMIFS(BD!$N$3:$N$5001,BD!$A$3:$A$5001,P$3,BD!$B$3:$B$5001,$A$290)))</f>
        <v/>
      </c>
      <c r="Q302" s="225" t="str">
        <f>IF(Q$3="","",IF(COUNTIFS(BD!$A$3:$A$5001,Q$3,BD!$B$3:$B$5001,$A$290,BD!$N$3:$N$5001,"&lt;&gt;")=0,"",SUMIFS(BD!$N$3:$N$5001,BD!$A$3:$A$5001,Q$3,BD!$B$3:$B$5001,$A$290)))</f>
        <v/>
      </c>
      <c r="R302" s="225" t="str">
        <f>IF(R$3="","",IF(COUNTIFS(BD!$A$3:$A$5001,R$3,BD!$B$3:$B$5001,$A$290,BD!$N$3:$N$5001,"&lt;&gt;")=0,"",SUMIFS(BD!$N$3:$N$5001,BD!$A$3:$A$5001,R$3,BD!$B$3:$B$5001,$A$290)))</f>
        <v/>
      </c>
      <c r="S302" s="225" t="str">
        <f>IF(S$3="","",IF(COUNTIFS(BD!$A$3:$A$5001,S$3,BD!$B$3:$B$5001,$A$290,BD!$N$3:$N$5001,"&lt;&gt;")=0,"",SUMIFS(BD!$N$3:$N$5001,BD!$A$3:$A$5001,S$3,BD!$B$3:$B$5001,$A$290)))</f>
        <v/>
      </c>
      <c r="T302" s="225" t="str">
        <f>IF(T$3="","",IF(COUNTIFS(BD!$A$3:$A$5001,T$3,BD!$B$3:$B$5001,$A$290,BD!$N$3:$N$5001,"&lt;&gt;")=0,"",SUMIFS(BD!$N$3:$N$5001,BD!$A$3:$A$5001,T$3,BD!$B$3:$B$5001,$A$290)))</f>
        <v/>
      </c>
      <c r="U302" s="225" t="str">
        <f>IF(U$3="","",IF(COUNTIFS(BD!$A$3:$A$5001,U$3,BD!$B$3:$B$5001,$A$290,BD!$N$3:$N$5001,"&lt;&gt;")=0,"",SUMIFS(BD!$N$3:$N$5001,BD!$A$3:$A$5001,U$3,BD!$B$3:$B$5001,$A$290)))</f>
        <v/>
      </c>
      <c r="V302" s="225" t="str">
        <f>IF(V$3="","",IF(COUNTIFS(BD!$A$3:$A$5001,V$3,BD!$B$3:$B$5001,$A$290,BD!$N$3:$N$5001,"&lt;&gt;")=0,"",SUMIFS(BD!$N$3:$N$5001,BD!$A$3:$A$5001,V$3,BD!$B$3:$B$5001,$A$290)))</f>
        <v/>
      </c>
      <c r="W302" s="225" t="str">
        <f>IF(W$3="","",IF(COUNTIFS(BD!$A$3:$A$5001,W$3,BD!$B$3:$B$5001,$A$290,BD!$N$3:$N$5001,"&lt;&gt;")=0,"",SUMIFS(BD!$N$3:$N$5001,BD!$A$3:$A$5001,W$3,BD!$B$3:$B$5001,$A$290)))</f>
        <v/>
      </c>
      <c r="X302" s="225" t="str">
        <f>IF(X$3="","",IF(COUNTIFS(BD!$A$3:$A$5001,X$3,BD!$B$3:$B$5001,$A$290,BD!$N$3:$N$5001,"&lt;&gt;")=0,"",SUMIFS(BD!$N$3:$N$5001,BD!$A$3:$A$5001,X$3,BD!$B$3:$B$5001,$A$290)))</f>
        <v/>
      </c>
      <c r="Y302" s="225" t="str">
        <f>IF(Y$3="","",IF(COUNTIFS(BD!$A$3:$A$5001,Y$3,BD!$B$3:$B$5001,$A$290,BD!$N$3:$N$5001,"&lt;&gt;")=0,"",SUMIFS(BD!$N$3:$N$5001,BD!$A$3:$A$5001,Y$3,BD!$B$3:$B$5001,$A$290)))</f>
        <v/>
      </c>
      <c r="Z302" s="225" t="str">
        <f>IF(Z$3="","",IF(COUNTIFS(BD!$A$3:$A$5001,Z$3,BD!$B$3:$B$5001,$A$290,BD!$N$3:$N$5001,"&lt;&gt;")=0,"",SUMIFS(BD!$N$3:$N$5001,BD!$A$3:$A$5001,Z$3,BD!$B$3:$B$5001,$A$290)))</f>
        <v/>
      </c>
      <c r="AA302" s="225" t="str">
        <f>IF(AA$3="","",IF(COUNTIFS(BD!$A$3:$A$5001,AA$3,BD!$B$3:$B$5001,$A$290,BD!$N$3:$N$5001,"&lt;&gt;")=0,"",SUMIFS(BD!$N$3:$N$5001,BD!$A$3:$A$5001,AA$3,BD!$B$3:$B$5001,$A$290)))</f>
        <v/>
      </c>
      <c r="AB302" s="225" t="str">
        <f>IF(AB$3="","",IF(COUNTIFS(BD!$A$3:$A$5001,AB$3,BD!$B$3:$B$5001,$A$290,BD!$N$3:$N$5001,"&lt;&gt;")=0,"",SUMIFS(BD!$N$3:$N$5001,BD!$A$3:$A$5001,AB$3,BD!$B$3:$B$5001,$A$290)))</f>
        <v/>
      </c>
      <c r="AC302" s="225" t="str">
        <f>IF(AC$3="","",IF(COUNTIFS(BD!$A$3:$A$5001,AC$3,BD!$B$3:$B$5001,$A$290,BD!$N$3:$N$5001,"&lt;&gt;")=0,"",SUMIFS(BD!$N$3:$N$5001,BD!$A$3:$A$5001,AC$3,BD!$B$3:$B$5001,$A$290)))</f>
        <v/>
      </c>
      <c r="AD302" s="225" t="str">
        <f>IF(AD$3="","",IF(COUNTIFS(BD!$A$3:$A$5001,AD$3,BD!$B$3:$B$5001,$A$290,BD!$N$3:$N$5001,"&lt;&gt;")=0,"",SUMIFS(BD!$N$3:$N$5001,BD!$A$3:$A$5001,AD$3,BD!$B$3:$B$5001,$A$290)))</f>
        <v/>
      </c>
      <c r="AE302" s="225" t="str">
        <f>IF(AE$3="","",IF(COUNTIFS(BD!$A$3:$A$5001,AE$3,BD!$B$3:$B$5001,$A$290,BD!$N$3:$N$5001,"&lt;&gt;")=0,"",SUMIFS(BD!$N$3:$N$5001,BD!$A$3:$A$5001,AE$3,BD!$B$3:$B$5001,$A$290)))</f>
        <v/>
      </c>
      <c r="AF302" s="225" t="str">
        <f>IF(AF$3="","",IF(COUNTIFS(BD!$A$3:$A$5001,AF$3,BD!$B$3:$B$5001,$A$290,BD!$N$3:$N$5001,"&lt;&gt;")=0,"",SUMIFS(BD!$N$3:$N$5001,BD!$A$3:$A$5001,AF$3,BD!$B$3:$B$5001,$A$290)))</f>
        <v/>
      </c>
      <c r="AG302" s="225" t="str">
        <f>IF(AG$3="","",IF(COUNTIFS(BD!$A$3:$A$5001,AG$3,BD!$B$3:$B$5001,$A$290,BD!$N$3:$N$5001,"&lt;&gt;")=0,"",SUMIFS(BD!$N$3:$N$5001,BD!$A$3:$A$5001,AG$3,BD!$B$3:$B$5001,$A$290)))</f>
        <v/>
      </c>
      <c r="AH302" s="225" t="str">
        <f>IF(AH$3="","",IF(COUNTIFS(BD!$A$3:$A$5001,AH$3,BD!$B$3:$B$5001,$A$290,BD!$N$3:$N$5001,"&lt;&gt;")=0,"",SUMIFS(BD!$N$3:$N$5001,BD!$A$3:$A$5001,AH$3,BD!$B$3:$B$5001,$A$290)))</f>
        <v/>
      </c>
      <c r="AI302" s="225" t="str">
        <f>IF(AI$3="","",IF(COUNTIFS(BD!$A$3:$A$5001,AI$3,BD!$B$3:$B$5001,$A$290,BD!$N$3:$N$5001,"&lt;&gt;")=0,"",SUMIFS(BD!$N$3:$N$5001,BD!$A$3:$A$5001,AI$3,BD!$B$3:$B$5001,$A$290)))</f>
        <v/>
      </c>
      <c r="AJ302" s="226" t="str">
        <f>IF(AJ$3="","",IF(COUNTIFS(BD!$A$3:$A$5001,AJ$3,BD!$B$3:$B$5001,$A$290,BD!$N$3:$N$5001,"&lt;&gt;")=0,"",SUMIFS(BD!$N$3:$N$5001,BD!$A$3:$A$5001,AJ$3,BD!$B$3:$B$5001,$A$290)))</f>
        <v/>
      </c>
      <c r="AK302" s="227" t="str">
        <f>IFERROR(LOOKUP(9.99E+307,F302:AJ302),"")</f>
        <v/>
      </c>
    </row>
    <row r="303" ht="15.75" customHeight="1" hidden="1">
      <c r="A303" s="254"/>
      <c r="B303" s="251"/>
      <c r="C303" s="228" t="inlineStr">
        <is>
          <t xml:space="preserve">Falta</t>
        </is>
      </c>
      <c r="D303" s="229" t="str">
        <f>IFERROR(1/(1/INDEX(BD!$Y$36:$AS$36,MATCH($A$290,BD!$Y$22:$AS$22,0))),"")</f>
        <v/>
      </c>
      <c r="E303" s="230"/>
      <c r="F303" s="231" t="str">
        <f>IF(F$3="","",IF(COUNTIFS(BD!$A$3:$A$5001,F$3,BD!$B$3:$B$5001,$A$290,BD!$O$3:$O$5001,"&lt;&gt;")=0,"",SUMIFS(BD!$O$3:$O$5001,BD!$A$3:$A$5001,F$3,BD!$B$3:$B$5001,$A$290)))</f>
        <v/>
      </c>
      <c r="G303" s="232" t="str">
        <f>IF(G$3="","",IF(COUNTIFS(BD!$A$3:$A$5001,G$3,BD!$B$3:$B$5001,$A$290,BD!$O$3:$O$5001,"&lt;&gt;")=0,"",SUMIFS(BD!$O$3:$O$5001,BD!$A$3:$A$5001,G$3,BD!$B$3:$B$5001,$A$290)))</f>
        <v/>
      </c>
      <c r="H303" s="232" t="str">
        <f>IF(H$3="","",IF(COUNTIFS(BD!$A$3:$A$5001,H$3,BD!$B$3:$B$5001,$A$290,BD!$O$3:$O$5001,"&lt;&gt;")=0,"",SUMIFS(BD!$O$3:$O$5001,BD!$A$3:$A$5001,H$3,BD!$B$3:$B$5001,$A$290)))</f>
        <v/>
      </c>
      <c r="I303" s="232" t="str">
        <f>IF(I$3="","",IF(COUNTIFS(BD!$A$3:$A$5001,I$3,BD!$B$3:$B$5001,$A$290,BD!$O$3:$O$5001,"&lt;&gt;")=0,"",SUMIFS(BD!$O$3:$O$5001,BD!$A$3:$A$5001,I$3,BD!$B$3:$B$5001,$A$290)))</f>
        <v/>
      </c>
      <c r="J303" s="232" t="str">
        <f>IF(J$3="","",IF(COUNTIFS(BD!$A$3:$A$5001,J$3,BD!$B$3:$B$5001,$A$290,BD!$O$3:$O$5001,"&lt;&gt;")=0,"",SUMIFS(BD!$O$3:$O$5001,BD!$A$3:$A$5001,J$3,BD!$B$3:$B$5001,$A$290)))</f>
        <v/>
      </c>
      <c r="K303" s="232" t="str">
        <f>IF(K$3="","",IF(COUNTIFS(BD!$A$3:$A$5001,K$3,BD!$B$3:$B$5001,$A$290,BD!$O$3:$O$5001,"&lt;&gt;")=0,"",SUMIFS(BD!$O$3:$O$5001,BD!$A$3:$A$5001,K$3,BD!$B$3:$B$5001,$A$290)))</f>
        <v/>
      </c>
      <c r="L303" s="232" t="str">
        <f>IF(L$3="","",IF(COUNTIFS(BD!$A$3:$A$5001,L$3,BD!$B$3:$B$5001,$A$290,BD!$O$3:$O$5001,"&lt;&gt;")=0,"",SUMIFS(BD!$O$3:$O$5001,BD!$A$3:$A$5001,L$3,BD!$B$3:$B$5001,$A$290)))</f>
        <v/>
      </c>
      <c r="M303" s="232" t="str">
        <f>IF(M$3="","",IF(COUNTIFS(BD!$A$3:$A$5001,M$3,BD!$B$3:$B$5001,$A$290,BD!$O$3:$O$5001,"&lt;&gt;")=0,"",SUMIFS(BD!$O$3:$O$5001,BD!$A$3:$A$5001,M$3,BD!$B$3:$B$5001,$A$290)))</f>
        <v/>
      </c>
      <c r="N303" s="232" t="str">
        <f>IF(N$3="","",IF(COUNTIFS(BD!$A$3:$A$5001,N$3,BD!$B$3:$B$5001,$A$290,BD!$O$3:$O$5001,"&lt;&gt;")=0,"",SUMIFS(BD!$O$3:$O$5001,BD!$A$3:$A$5001,N$3,BD!$B$3:$B$5001,$A$290)))</f>
        <v/>
      </c>
      <c r="O303" s="232" t="str">
        <f>IF(O$3="","",IF(COUNTIFS(BD!$A$3:$A$5001,O$3,BD!$B$3:$B$5001,$A$290,BD!$O$3:$O$5001,"&lt;&gt;")=0,"",SUMIFS(BD!$O$3:$O$5001,BD!$A$3:$A$5001,O$3,BD!$B$3:$B$5001,$A$290)))</f>
        <v/>
      </c>
      <c r="P303" s="232" t="str">
        <f>IF(P$3="","",IF(COUNTIFS(BD!$A$3:$A$5001,P$3,BD!$B$3:$B$5001,$A$290,BD!$O$3:$O$5001,"&lt;&gt;")=0,"",SUMIFS(BD!$O$3:$O$5001,BD!$A$3:$A$5001,P$3,BD!$B$3:$B$5001,$A$290)))</f>
        <v/>
      </c>
      <c r="Q303" s="232" t="str">
        <f>IF(Q$3="","",IF(COUNTIFS(BD!$A$3:$A$5001,Q$3,BD!$B$3:$B$5001,$A$290,BD!$O$3:$O$5001,"&lt;&gt;")=0,"",SUMIFS(BD!$O$3:$O$5001,BD!$A$3:$A$5001,Q$3,BD!$B$3:$B$5001,$A$290)))</f>
        <v/>
      </c>
      <c r="R303" s="232" t="str">
        <f>IF(R$3="","",IF(COUNTIFS(BD!$A$3:$A$5001,R$3,BD!$B$3:$B$5001,$A$290,BD!$O$3:$O$5001,"&lt;&gt;")=0,"",SUMIFS(BD!$O$3:$O$5001,BD!$A$3:$A$5001,R$3,BD!$B$3:$B$5001,$A$290)))</f>
        <v/>
      </c>
      <c r="S303" s="232" t="str">
        <f>IF(S$3="","",IF(COUNTIFS(BD!$A$3:$A$5001,S$3,BD!$B$3:$B$5001,$A$290,BD!$O$3:$O$5001,"&lt;&gt;")=0,"",SUMIFS(BD!$O$3:$O$5001,BD!$A$3:$A$5001,S$3,BD!$B$3:$B$5001,$A$290)))</f>
        <v/>
      </c>
      <c r="T303" s="232" t="str">
        <f>IF(T$3="","",IF(COUNTIFS(BD!$A$3:$A$5001,T$3,BD!$B$3:$B$5001,$A$290,BD!$O$3:$O$5001,"&lt;&gt;")=0,"",SUMIFS(BD!$O$3:$O$5001,BD!$A$3:$A$5001,T$3,BD!$B$3:$B$5001,$A$290)))</f>
        <v/>
      </c>
      <c r="U303" s="232" t="str">
        <f>IF(U$3="","",IF(COUNTIFS(BD!$A$3:$A$5001,U$3,BD!$B$3:$B$5001,$A$290,BD!$O$3:$O$5001,"&lt;&gt;")=0,"",SUMIFS(BD!$O$3:$O$5001,BD!$A$3:$A$5001,U$3,BD!$B$3:$B$5001,$A$290)))</f>
        <v/>
      </c>
      <c r="V303" s="232" t="str">
        <f>IF(V$3="","",IF(COUNTIFS(BD!$A$3:$A$5001,V$3,BD!$B$3:$B$5001,$A$290,BD!$O$3:$O$5001,"&lt;&gt;")=0,"",SUMIFS(BD!$O$3:$O$5001,BD!$A$3:$A$5001,V$3,BD!$B$3:$B$5001,$A$290)))</f>
        <v/>
      </c>
      <c r="W303" s="232" t="str">
        <f>IF(W$3="","",IF(COUNTIFS(BD!$A$3:$A$5001,W$3,BD!$B$3:$B$5001,$A$290,BD!$O$3:$O$5001,"&lt;&gt;")=0,"",SUMIFS(BD!$O$3:$O$5001,BD!$A$3:$A$5001,W$3,BD!$B$3:$B$5001,$A$290)))</f>
        <v/>
      </c>
      <c r="X303" s="232" t="str">
        <f>IF(X$3="","",IF(COUNTIFS(BD!$A$3:$A$5001,X$3,BD!$B$3:$B$5001,$A$290,BD!$O$3:$O$5001,"&lt;&gt;")=0,"",SUMIFS(BD!$O$3:$O$5001,BD!$A$3:$A$5001,X$3,BD!$B$3:$B$5001,$A$290)))</f>
        <v/>
      </c>
      <c r="Y303" s="232" t="str">
        <f>IF(Y$3="","",IF(COUNTIFS(BD!$A$3:$A$5001,Y$3,BD!$B$3:$B$5001,$A$290,BD!$O$3:$O$5001,"&lt;&gt;")=0,"",SUMIFS(BD!$O$3:$O$5001,BD!$A$3:$A$5001,Y$3,BD!$B$3:$B$5001,$A$290)))</f>
        <v/>
      </c>
      <c r="Z303" s="232" t="str">
        <f>IF(Z$3="","",IF(COUNTIFS(BD!$A$3:$A$5001,Z$3,BD!$B$3:$B$5001,$A$290,BD!$O$3:$O$5001,"&lt;&gt;")=0,"",SUMIFS(BD!$O$3:$O$5001,BD!$A$3:$A$5001,Z$3,BD!$B$3:$B$5001,$A$290)))</f>
        <v/>
      </c>
      <c r="AA303" s="232" t="str">
        <f>IF(AA$3="","",IF(COUNTIFS(BD!$A$3:$A$5001,AA$3,BD!$B$3:$B$5001,$A$290,BD!$O$3:$O$5001,"&lt;&gt;")=0,"",SUMIFS(BD!$O$3:$O$5001,BD!$A$3:$A$5001,AA$3,BD!$B$3:$B$5001,$A$290)))</f>
        <v/>
      </c>
      <c r="AB303" s="232" t="str">
        <f>IF(AB$3="","",IF(COUNTIFS(BD!$A$3:$A$5001,AB$3,BD!$B$3:$B$5001,$A$290,BD!$O$3:$O$5001,"&lt;&gt;")=0,"",SUMIFS(BD!$O$3:$O$5001,BD!$A$3:$A$5001,AB$3,BD!$B$3:$B$5001,$A$290)))</f>
        <v/>
      </c>
      <c r="AC303" s="232" t="str">
        <f>IF(AC$3="","",IF(COUNTIFS(BD!$A$3:$A$5001,AC$3,BD!$B$3:$B$5001,$A$290,BD!$O$3:$O$5001,"&lt;&gt;")=0,"",SUMIFS(BD!$O$3:$O$5001,BD!$A$3:$A$5001,AC$3,BD!$B$3:$B$5001,$A$290)))</f>
        <v/>
      </c>
      <c r="AD303" s="232" t="str">
        <f>IF(AD$3="","",IF(COUNTIFS(BD!$A$3:$A$5001,AD$3,BD!$B$3:$B$5001,$A$290,BD!$O$3:$O$5001,"&lt;&gt;")=0,"",SUMIFS(BD!$O$3:$O$5001,BD!$A$3:$A$5001,AD$3,BD!$B$3:$B$5001,$A$290)))</f>
        <v/>
      </c>
      <c r="AE303" s="232" t="str">
        <f>IF(AE$3="","",IF(COUNTIFS(BD!$A$3:$A$5001,AE$3,BD!$B$3:$B$5001,$A$290,BD!$O$3:$O$5001,"&lt;&gt;")=0,"",SUMIFS(BD!$O$3:$O$5001,BD!$A$3:$A$5001,AE$3,BD!$B$3:$B$5001,$A$290)))</f>
        <v/>
      </c>
      <c r="AF303" s="232" t="str">
        <f>IF(AF$3="","",IF(COUNTIFS(BD!$A$3:$A$5001,AF$3,BD!$B$3:$B$5001,$A$290,BD!$O$3:$O$5001,"&lt;&gt;")=0,"",SUMIFS(BD!$O$3:$O$5001,BD!$A$3:$A$5001,AF$3,BD!$B$3:$B$5001,$A$290)))</f>
        <v/>
      </c>
      <c r="AG303" s="232" t="str">
        <f>IF(AG$3="","",IF(COUNTIFS(BD!$A$3:$A$5001,AG$3,BD!$B$3:$B$5001,$A$290,BD!$O$3:$O$5001,"&lt;&gt;")=0,"",SUMIFS(BD!$O$3:$O$5001,BD!$A$3:$A$5001,AG$3,BD!$B$3:$B$5001,$A$290)))</f>
        <v/>
      </c>
      <c r="AH303" s="232" t="str">
        <f>IF(AH$3="","",IF(COUNTIFS(BD!$A$3:$A$5001,AH$3,BD!$B$3:$B$5001,$A$290,BD!$O$3:$O$5001,"&lt;&gt;")=0,"",SUMIFS(BD!$O$3:$O$5001,BD!$A$3:$A$5001,AH$3,BD!$B$3:$B$5001,$A$290)))</f>
        <v/>
      </c>
      <c r="AI303" s="232" t="str">
        <f>IF(AI$3="","",IF(COUNTIFS(BD!$A$3:$A$5001,AI$3,BD!$B$3:$B$5001,$A$290,BD!$O$3:$O$5001,"&lt;&gt;")=0,"",SUMIFS(BD!$O$3:$O$5001,BD!$A$3:$A$5001,AI$3,BD!$B$3:$B$5001,$A$290)))</f>
        <v/>
      </c>
      <c r="AJ303" s="233" t="str">
        <f>IF(AJ$3="","",IF(COUNTIFS(BD!$A$3:$A$5001,AJ$3,BD!$B$3:$B$5001,$A$290,BD!$O$3:$O$5001,"&lt;&gt;")=0,"",SUMIFS(BD!$O$3:$O$5001,BD!$A$3:$A$5001,AJ$3,BD!$B$3:$B$5001,$A$290)))</f>
        <v/>
      </c>
      <c r="AK303" s="234" t="str">
        <f>IF(COUNT(F303:AJ303)=0,"",SUM(F303:AJ303))</f>
        <v/>
      </c>
    </row>
    <row r="304" ht="15.75" customHeight="1" hidden="1">
      <c r="A304" s="254"/>
      <c r="B304" s="251"/>
      <c r="C304" s="228" t="inlineStr">
        <is>
          <t xml:space="preserve">Folga</t>
        </is>
      </c>
      <c r="D304" s="229" t="str">
        <f>IFERROR(1/(1/INDEX(BD!$Y$37:$AS$37,MATCH($A$290,BD!$Y$22:$AS$22,0))),"")</f>
        <v/>
      </c>
      <c r="E304" s="230"/>
      <c r="F304" s="231" t="str">
        <f>IF(F$3="","",IF(COUNTIFS(BD!$A$3:$A$5001,F$3,BD!$B$3:$B$5001,$A$290,BD!$P$3:$P$5001,"&lt;&gt;")=0,"",SUMIFS(BD!$P$3:$P$5001,BD!$A$3:$A$5001,F$3,BD!$B$3:$B$5001,$A$290)))</f>
        <v/>
      </c>
      <c r="G304" s="232" t="str">
        <f>IF(G$3="","",IF(COUNTIFS(BD!$A$3:$A$5001,G$3,BD!$B$3:$B$5001,$A$290,BD!$P$3:$P$5001,"&lt;&gt;")=0,"",SUMIFS(BD!$P$3:$P$5001,BD!$A$3:$A$5001,G$3,BD!$B$3:$B$5001,$A$290)))</f>
        <v/>
      </c>
      <c r="H304" s="232" t="str">
        <f>IF(H$3="","",IF(COUNTIFS(BD!$A$3:$A$5001,H$3,BD!$B$3:$B$5001,$A$290,BD!$P$3:$P$5001,"&lt;&gt;")=0,"",SUMIFS(BD!$P$3:$P$5001,BD!$A$3:$A$5001,H$3,BD!$B$3:$B$5001,$A$290)))</f>
        <v/>
      </c>
      <c r="I304" s="232" t="str">
        <f>IF(I$3="","",IF(COUNTIFS(BD!$A$3:$A$5001,I$3,BD!$B$3:$B$5001,$A$290,BD!$P$3:$P$5001,"&lt;&gt;")=0,"",SUMIFS(BD!$P$3:$P$5001,BD!$A$3:$A$5001,I$3,BD!$B$3:$B$5001,$A$290)))</f>
        <v/>
      </c>
      <c r="J304" s="232" t="str">
        <f>IF(J$3="","",IF(COUNTIFS(BD!$A$3:$A$5001,J$3,BD!$B$3:$B$5001,$A$290,BD!$P$3:$P$5001,"&lt;&gt;")=0,"",SUMIFS(BD!$P$3:$P$5001,BD!$A$3:$A$5001,J$3,BD!$B$3:$B$5001,$A$290)))</f>
        <v/>
      </c>
      <c r="K304" s="232" t="str">
        <f>IF(K$3="","",IF(COUNTIFS(BD!$A$3:$A$5001,K$3,BD!$B$3:$B$5001,$A$290,BD!$P$3:$P$5001,"&lt;&gt;")=0,"",SUMIFS(BD!$P$3:$P$5001,BD!$A$3:$A$5001,K$3,BD!$B$3:$B$5001,$A$290)))</f>
        <v/>
      </c>
      <c r="L304" s="232" t="str">
        <f>IF(L$3="","",IF(COUNTIFS(BD!$A$3:$A$5001,L$3,BD!$B$3:$B$5001,$A$290,BD!$P$3:$P$5001,"&lt;&gt;")=0,"",SUMIFS(BD!$P$3:$P$5001,BD!$A$3:$A$5001,L$3,BD!$B$3:$B$5001,$A$290)))</f>
        <v/>
      </c>
      <c r="M304" s="232" t="str">
        <f>IF(M$3="","",IF(COUNTIFS(BD!$A$3:$A$5001,M$3,BD!$B$3:$B$5001,$A$290,BD!$P$3:$P$5001,"&lt;&gt;")=0,"",SUMIFS(BD!$P$3:$P$5001,BD!$A$3:$A$5001,M$3,BD!$B$3:$B$5001,$A$290)))</f>
        <v/>
      </c>
      <c r="N304" s="232" t="str">
        <f>IF(N$3="","",IF(COUNTIFS(BD!$A$3:$A$5001,N$3,BD!$B$3:$B$5001,$A$290,BD!$P$3:$P$5001,"&lt;&gt;")=0,"",SUMIFS(BD!$P$3:$P$5001,BD!$A$3:$A$5001,N$3,BD!$B$3:$B$5001,$A$290)))</f>
        <v/>
      </c>
      <c r="O304" s="232" t="str">
        <f>IF(O$3="","",IF(COUNTIFS(BD!$A$3:$A$5001,O$3,BD!$B$3:$B$5001,$A$290,BD!$P$3:$P$5001,"&lt;&gt;")=0,"",SUMIFS(BD!$P$3:$P$5001,BD!$A$3:$A$5001,O$3,BD!$B$3:$B$5001,$A$290)))</f>
        <v/>
      </c>
      <c r="P304" s="232" t="str">
        <f>IF(P$3="","",IF(COUNTIFS(BD!$A$3:$A$5001,P$3,BD!$B$3:$B$5001,$A$290,BD!$P$3:$P$5001,"&lt;&gt;")=0,"",SUMIFS(BD!$P$3:$P$5001,BD!$A$3:$A$5001,P$3,BD!$B$3:$B$5001,$A$290)))</f>
        <v/>
      </c>
      <c r="Q304" s="232" t="str">
        <f>IF(Q$3="","",IF(COUNTIFS(BD!$A$3:$A$5001,Q$3,BD!$B$3:$B$5001,$A$290,BD!$P$3:$P$5001,"&lt;&gt;")=0,"",SUMIFS(BD!$P$3:$P$5001,BD!$A$3:$A$5001,Q$3,BD!$B$3:$B$5001,$A$290)))</f>
        <v/>
      </c>
      <c r="R304" s="232" t="str">
        <f>IF(R$3="","",IF(COUNTIFS(BD!$A$3:$A$5001,R$3,BD!$B$3:$B$5001,$A$290,BD!$P$3:$P$5001,"&lt;&gt;")=0,"",SUMIFS(BD!$P$3:$P$5001,BD!$A$3:$A$5001,R$3,BD!$B$3:$B$5001,$A$290)))</f>
        <v/>
      </c>
      <c r="S304" s="232" t="str">
        <f>IF(S$3="","",IF(COUNTIFS(BD!$A$3:$A$5001,S$3,BD!$B$3:$B$5001,$A$290,BD!$P$3:$P$5001,"&lt;&gt;")=0,"",SUMIFS(BD!$P$3:$P$5001,BD!$A$3:$A$5001,S$3,BD!$B$3:$B$5001,$A$290)))</f>
        <v/>
      </c>
      <c r="T304" s="232" t="str">
        <f>IF(T$3="","",IF(COUNTIFS(BD!$A$3:$A$5001,T$3,BD!$B$3:$B$5001,$A$290,BD!$P$3:$P$5001,"&lt;&gt;")=0,"",SUMIFS(BD!$P$3:$P$5001,BD!$A$3:$A$5001,T$3,BD!$B$3:$B$5001,$A$290)))</f>
        <v/>
      </c>
      <c r="U304" s="232" t="str">
        <f>IF(U$3="","",IF(COUNTIFS(BD!$A$3:$A$5001,U$3,BD!$B$3:$B$5001,$A$290,BD!$P$3:$P$5001,"&lt;&gt;")=0,"",SUMIFS(BD!$P$3:$P$5001,BD!$A$3:$A$5001,U$3,BD!$B$3:$B$5001,$A$290)))</f>
        <v/>
      </c>
      <c r="V304" s="232" t="str">
        <f>IF(V$3="","",IF(COUNTIFS(BD!$A$3:$A$5001,V$3,BD!$B$3:$B$5001,$A$290,BD!$P$3:$P$5001,"&lt;&gt;")=0,"",SUMIFS(BD!$P$3:$P$5001,BD!$A$3:$A$5001,V$3,BD!$B$3:$B$5001,$A$290)))</f>
        <v/>
      </c>
      <c r="W304" s="232" t="str">
        <f>IF(W$3="","",IF(COUNTIFS(BD!$A$3:$A$5001,W$3,BD!$B$3:$B$5001,$A$290,BD!$P$3:$P$5001,"&lt;&gt;")=0,"",SUMIFS(BD!$P$3:$P$5001,BD!$A$3:$A$5001,W$3,BD!$B$3:$B$5001,$A$290)))</f>
        <v/>
      </c>
      <c r="X304" s="232" t="str">
        <f>IF(X$3="","",IF(COUNTIFS(BD!$A$3:$A$5001,X$3,BD!$B$3:$B$5001,$A$290,BD!$P$3:$P$5001,"&lt;&gt;")=0,"",SUMIFS(BD!$P$3:$P$5001,BD!$A$3:$A$5001,X$3,BD!$B$3:$B$5001,$A$290)))</f>
        <v/>
      </c>
      <c r="Y304" s="232" t="str">
        <f>IF(Y$3="","",IF(COUNTIFS(BD!$A$3:$A$5001,Y$3,BD!$B$3:$B$5001,$A$290,BD!$P$3:$P$5001,"&lt;&gt;")=0,"",SUMIFS(BD!$P$3:$P$5001,BD!$A$3:$A$5001,Y$3,BD!$B$3:$B$5001,$A$290)))</f>
        <v/>
      </c>
      <c r="Z304" s="232" t="str">
        <f>IF(Z$3="","",IF(COUNTIFS(BD!$A$3:$A$5001,Z$3,BD!$B$3:$B$5001,$A$290,BD!$P$3:$P$5001,"&lt;&gt;")=0,"",SUMIFS(BD!$P$3:$P$5001,BD!$A$3:$A$5001,Z$3,BD!$B$3:$B$5001,$A$290)))</f>
        <v/>
      </c>
      <c r="AA304" s="232" t="str">
        <f>IF(AA$3="","",IF(COUNTIFS(BD!$A$3:$A$5001,AA$3,BD!$B$3:$B$5001,$A$290,BD!$P$3:$P$5001,"&lt;&gt;")=0,"",SUMIFS(BD!$P$3:$P$5001,BD!$A$3:$A$5001,AA$3,BD!$B$3:$B$5001,$A$290)))</f>
        <v/>
      </c>
      <c r="AB304" s="232" t="str">
        <f>IF(AB$3="","",IF(COUNTIFS(BD!$A$3:$A$5001,AB$3,BD!$B$3:$B$5001,$A$290,BD!$P$3:$P$5001,"&lt;&gt;")=0,"",SUMIFS(BD!$P$3:$P$5001,BD!$A$3:$A$5001,AB$3,BD!$B$3:$B$5001,$A$290)))</f>
        <v/>
      </c>
      <c r="AC304" s="232" t="str">
        <f>IF(AC$3="","",IF(COUNTIFS(BD!$A$3:$A$5001,AC$3,BD!$B$3:$B$5001,$A$290,BD!$P$3:$P$5001,"&lt;&gt;")=0,"",SUMIFS(BD!$P$3:$P$5001,BD!$A$3:$A$5001,AC$3,BD!$B$3:$B$5001,$A$290)))</f>
        <v/>
      </c>
      <c r="AD304" s="232" t="str">
        <f>IF(AD$3="","",IF(COUNTIFS(BD!$A$3:$A$5001,AD$3,BD!$B$3:$B$5001,$A$290,BD!$P$3:$P$5001,"&lt;&gt;")=0,"",SUMIFS(BD!$P$3:$P$5001,BD!$A$3:$A$5001,AD$3,BD!$B$3:$B$5001,$A$290)))</f>
        <v/>
      </c>
      <c r="AE304" s="232" t="str">
        <f>IF(AE$3="","",IF(COUNTIFS(BD!$A$3:$A$5001,AE$3,BD!$B$3:$B$5001,$A$290,BD!$P$3:$P$5001,"&lt;&gt;")=0,"",SUMIFS(BD!$P$3:$P$5001,BD!$A$3:$A$5001,AE$3,BD!$B$3:$B$5001,$A$290)))</f>
        <v/>
      </c>
      <c r="AF304" s="232" t="str">
        <f>IF(AF$3="","",IF(COUNTIFS(BD!$A$3:$A$5001,AF$3,BD!$B$3:$B$5001,$A$290,BD!$P$3:$P$5001,"&lt;&gt;")=0,"",SUMIFS(BD!$P$3:$P$5001,BD!$A$3:$A$5001,AF$3,BD!$B$3:$B$5001,$A$290)))</f>
        <v/>
      </c>
      <c r="AG304" s="232" t="str">
        <f>IF(AG$3="","",IF(COUNTIFS(BD!$A$3:$A$5001,AG$3,BD!$B$3:$B$5001,$A$290,BD!$P$3:$P$5001,"&lt;&gt;")=0,"",SUMIFS(BD!$P$3:$P$5001,BD!$A$3:$A$5001,AG$3,BD!$B$3:$B$5001,$A$290)))</f>
        <v/>
      </c>
      <c r="AH304" s="232" t="str">
        <f>IF(AH$3="","",IF(COUNTIFS(BD!$A$3:$A$5001,AH$3,BD!$B$3:$B$5001,$A$290,BD!$P$3:$P$5001,"&lt;&gt;")=0,"",SUMIFS(BD!$P$3:$P$5001,BD!$A$3:$A$5001,AH$3,BD!$B$3:$B$5001,$A$290)))</f>
        <v/>
      </c>
      <c r="AI304" s="232" t="str">
        <f>IF(AI$3="","",IF(COUNTIFS(BD!$A$3:$A$5001,AI$3,BD!$B$3:$B$5001,$A$290,BD!$P$3:$P$5001,"&lt;&gt;")=0,"",SUMIFS(BD!$P$3:$P$5001,BD!$A$3:$A$5001,AI$3,BD!$B$3:$B$5001,$A$290)))</f>
        <v/>
      </c>
      <c r="AJ304" s="233" t="str">
        <f>IF(AJ$3="","",IF(COUNTIFS(BD!$A$3:$A$5001,AJ$3,BD!$B$3:$B$5001,$A$290,BD!$P$3:$P$5001,"&lt;&gt;")=0,"",SUMIFS(BD!$P$3:$P$5001,BD!$A$3:$A$5001,AJ$3,BD!$B$3:$B$5001,$A$290)))</f>
        <v/>
      </c>
      <c r="AK304" s="234" t="str">
        <f>IF(COUNT(F304:AJ304)=0,"",SUM(F304:AJ304))</f>
        <v/>
      </c>
    </row>
    <row r="305" ht="15.75" customHeight="1" hidden="1">
      <c r="A305" s="254"/>
      <c r="B305" s="251"/>
      <c r="C305" s="228" t="inlineStr">
        <is>
          <t xml:space="preserve">Férias</t>
        </is>
      </c>
      <c r="D305" s="229" t="str">
        <f>IFERROR(1/(1/INDEX(BD!$Y$38:$AS$38,MATCH($A$290,BD!$Y$22:$AS$22,0))),"")</f>
        <v/>
      </c>
      <c r="E305" s="230"/>
      <c r="F305" s="231" t="str">
        <f>IF(F$3="","",IF(COUNTIFS(BD!$A$3:$A$5001,F$3,BD!$B$3:$B$5001,$A$290,BD!$Q$3:$Q$5001,"&lt;&gt;")=0,"",SUMIFS(BD!$Q$3:$Q$5001,BD!$A$3:$A$5001,F$3,BD!$B$3:$B$5001,$A$290)))</f>
        <v/>
      </c>
      <c r="G305" s="232" t="str">
        <f>IF(G$3="","",IF(COUNTIFS(BD!$A$3:$A$5001,G$3,BD!$B$3:$B$5001,$A$290,BD!$Q$3:$Q$5001,"&lt;&gt;")=0,"",SUMIFS(BD!$Q$3:$Q$5001,BD!$A$3:$A$5001,G$3,BD!$B$3:$B$5001,$A$290)))</f>
        <v/>
      </c>
      <c r="H305" s="232" t="str">
        <f>IF(H$3="","",IF(COUNTIFS(BD!$A$3:$A$5001,H$3,BD!$B$3:$B$5001,$A$290,BD!$Q$3:$Q$5001,"&lt;&gt;")=0,"",SUMIFS(BD!$Q$3:$Q$5001,BD!$A$3:$A$5001,H$3,BD!$B$3:$B$5001,$A$290)))</f>
        <v/>
      </c>
      <c r="I305" s="232" t="str">
        <f>IF(I$3="","",IF(COUNTIFS(BD!$A$3:$A$5001,I$3,BD!$B$3:$B$5001,$A$290,BD!$Q$3:$Q$5001,"&lt;&gt;")=0,"",SUMIFS(BD!$Q$3:$Q$5001,BD!$A$3:$A$5001,I$3,BD!$B$3:$B$5001,$A$290)))</f>
        <v/>
      </c>
      <c r="J305" s="232" t="str">
        <f>IF(J$3="","",IF(COUNTIFS(BD!$A$3:$A$5001,J$3,BD!$B$3:$B$5001,$A$290,BD!$Q$3:$Q$5001,"&lt;&gt;")=0,"",SUMIFS(BD!$Q$3:$Q$5001,BD!$A$3:$A$5001,J$3,BD!$B$3:$B$5001,$A$290)))</f>
        <v/>
      </c>
      <c r="K305" s="232" t="str">
        <f>IF(K$3="","",IF(COUNTIFS(BD!$A$3:$A$5001,K$3,BD!$B$3:$B$5001,$A$290,BD!$Q$3:$Q$5001,"&lt;&gt;")=0,"",SUMIFS(BD!$Q$3:$Q$5001,BD!$A$3:$A$5001,K$3,BD!$B$3:$B$5001,$A$290)))</f>
        <v/>
      </c>
      <c r="L305" s="232" t="str">
        <f>IF(L$3="","",IF(COUNTIFS(BD!$A$3:$A$5001,L$3,BD!$B$3:$B$5001,$A$290,BD!$Q$3:$Q$5001,"&lt;&gt;")=0,"",SUMIFS(BD!$Q$3:$Q$5001,BD!$A$3:$A$5001,L$3,BD!$B$3:$B$5001,$A$290)))</f>
        <v/>
      </c>
      <c r="M305" s="232" t="str">
        <f>IF(M$3="","",IF(COUNTIFS(BD!$A$3:$A$5001,M$3,BD!$B$3:$B$5001,$A$290,BD!$Q$3:$Q$5001,"&lt;&gt;")=0,"",SUMIFS(BD!$Q$3:$Q$5001,BD!$A$3:$A$5001,M$3,BD!$B$3:$B$5001,$A$290)))</f>
        <v/>
      </c>
      <c r="N305" s="232" t="str">
        <f>IF(N$3="","",IF(COUNTIFS(BD!$A$3:$A$5001,N$3,BD!$B$3:$B$5001,$A$290,BD!$Q$3:$Q$5001,"&lt;&gt;")=0,"",SUMIFS(BD!$Q$3:$Q$5001,BD!$A$3:$A$5001,N$3,BD!$B$3:$B$5001,$A$290)))</f>
        <v/>
      </c>
      <c r="O305" s="232" t="str">
        <f>IF(O$3="","",IF(COUNTIFS(BD!$A$3:$A$5001,O$3,BD!$B$3:$B$5001,$A$290,BD!$Q$3:$Q$5001,"&lt;&gt;")=0,"",SUMIFS(BD!$Q$3:$Q$5001,BD!$A$3:$A$5001,O$3,BD!$B$3:$B$5001,$A$290)))</f>
        <v/>
      </c>
      <c r="P305" s="232" t="str">
        <f>IF(P$3="","",IF(COUNTIFS(BD!$A$3:$A$5001,P$3,BD!$B$3:$B$5001,$A$290,BD!$Q$3:$Q$5001,"&lt;&gt;")=0,"",SUMIFS(BD!$Q$3:$Q$5001,BD!$A$3:$A$5001,P$3,BD!$B$3:$B$5001,$A$290)))</f>
        <v/>
      </c>
      <c r="Q305" s="232" t="str">
        <f>IF(Q$3="","",IF(COUNTIFS(BD!$A$3:$A$5001,Q$3,BD!$B$3:$B$5001,$A$290,BD!$Q$3:$Q$5001,"&lt;&gt;")=0,"",SUMIFS(BD!$Q$3:$Q$5001,BD!$A$3:$A$5001,Q$3,BD!$B$3:$B$5001,$A$290)))</f>
        <v/>
      </c>
      <c r="R305" s="232" t="str">
        <f>IF(R$3="","",IF(COUNTIFS(BD!$A$3:$A$5001,R$3,BD!$B$3:$B$5001,$A$290,BD!$Q$3:$Q$5001,"&lt;&gt;")=0,"",SUMIFS(BD!$Q$3:$Q$5001,BD!$A$3:$A$5001,R$3,BD!$B$3:$B$5001,$A$290)))</f>
        <v/>
      </c>
      <c r="S305" s="232" t="str">
        <f>IF(S$3="","",IF(COUNTIFS(BD!$A$3:$A$5001,S$3,BD!$B$3:$B$5001,$A$290,BD!$Q$3:$Q$5001,"&lt;&gt;")=0,"",SUMIFS(BD!$Q$3:$Q$5001,BD!$A$3:$A$5001,S$3,BD!$B$3:$B$5001,$A$290)))</f>
        <v/>
      </c>
      <c r="T305" s="232" t="str">
        <f>IF(T$3="","",IF(COUNTIFS(BD!$A$3:$A$5001,T$3,BD!$B$3:$B$5001,$A$290,BD!$Q$3:$Q$5001,"&lt;&gt;")=0,"",SUMIFS(BD!$Q$3:$Q$5001,BD!$A$3:$A$5001,T$3,BD!$B$3:$B$5001,$A$290)))</f>
        <v/>
      </c>
      <c r="U305" s="232" t="str">
        <f>IF(U$3="","",IF(COUNTIFS(BD!$A$3:$A$5001,U$3,BD!$B$3:$B$5001,$A$290,BD!$Q$3:$Q$5001,"&lt;&gt;")=0,"",SUMIFS(BD!$Q$3:$Q$5001,BD!$A$3:$A$5001,U$3,BD!$B$3:$B$5001,$A$290)))</f>
        <v/>
      </c>
      <c r="V305" s="232" t="str">
        <f>IF(V$3="","",IF(COUNTIFS(BD!$A$3:$A$5001,V$3,BD!$B$3:$B$5001,$A$290,BD!$Q$3:$Q$5001,"&lt;&gt;")=0,"",SUMIFS(BD!$Q$3:$Q$5001,BD!$A$3:$A$5001,V$3,BD!$B$3:$B$5001,$A$290)))</f>
        <v/>
      </c>
      <c r="W305" s="232" t="str">
        <f>IF(W$3="","",IF(COUNTIFS(BD!$A$3:$A$5001,W$3,BD!$B$3:$B$5001,$A$290,BD!$Q$3:$Q$5001,"&lt;&gt;")=0,"",SUMIFS(BD!$Q$3:$Q$5001,BD!$A$3:$A$5001,W$3,BD!$B$3:$B$5001,$A$290)))</f>
        <v/>
      </c>
      <c r="X305" s="232" t="str">
        <f>IF(X$3="","",IF(COUNTIFS(BD!$A$3:$A$5001,X$3,BD!$B$3:$B$5001,$A$290,BD!$Q$3:$Q$5001,"&lt;&gt;")=0,"",SUMIFS(BD!$Q$3:$Q$5001,BD!$A$3:$A$5001,X$3,BD!$B$3:$B$5001,$A$290)))</f>
        <v/>
      </c>
      <c r="Y305" s="232" t="str">
        <f>IF(Y$3="","",IF(COUNTIFS(BD!$A$3:$A$5001,Y$3,BD!$B$3:$B$5001,$A$290,BD!$Q$3:$Q$5001,"&lt;&gt;")=0,"",SUMIFS(BD!$Q$3:$Q$5001,BD!$A$3:$A$5001,Y$3,BD!$B$3:$B$5001,$A$290)))</f>
        <v/>
      </c>
      <c r="Z305" s="232" t="str">
        <f>IF(Z$3="","",IF(COUNTIFS(BD!$A$3:$A$5001,Z$3,BD!$B$3:$B$5001,$A$290,BD!$Q$3:$Q$5001,"&lt;&gt;")=0,"",SUMIFS(BD!$Q$3:$Q$5001,BD!$A$3:$A$5001,Z$3,BD!$B$3:$B$5001,$A$290)))</f>
        <v/>
      </c>
      <c r="AA305" s="232" t="str">
        <f>IF(AA$3="","",IF(COUNTIFS(BD!$A$3:$A$5001,AA$3,BD!$B$3:$B$5001,$A$290,BD!$Q$3:$Q$5001,"&lt;&gt;")=0,"",SUMIFS(BD!$Q$3:$Q$5001,BD!$A$3:$A$5001,AA$3,BD!$B$3:$B$5001,$A$290)))</f>
        <v/>
      </c>
      <c r="AB305" s="232" t="str">
        <f>IF(AB$3="","",IF(COUNTIFS(BD!$A$3:$A$5001,AB$3,BD!$B$3:$B$5001,$A$290,BD!$Q$3:$Q$5001,"&lt;&gt;")=0,"",SUMIFS(BD!$Q$3:$Q$5001,BD!$A$3:$A$5001,AB$3,BD!$B$3:$B$5001,$A$290)))</f>
        <v/>
      </c>
      <c r="AC305" s="232" t="str">
        <f>IF(AC$3="","",IF(COUNTIFS(BD!$A$3:$A$5001,AC$3,BD!$B$3:$B$5001,$A$290,BD!$Q$3:$Q$5001,"&lt;&gt;")=0,"",SUMIFS(BD!$Q$3:$Q$5001,BD!$A$3:$A$5001,AC$3,BD!$B$3:$B$5001,$A$290)))</f>
        <v/>
      </c>
      <c r="AD305" s="232" t="str">
        <f>IF(AD$3="","",IF(COUNTIFS(BD!$A$3:$A$5001,AD$3,BD!$B$3:$B$5001,$A$290,BD!$Q$3:$Q$5001,"&lt;&gt;")=0,"",SUMIFS(BD!$Q$3:$Q$5001,BD!$A$3:$A$5001,AD$3,BD!$B$3:$B$5001,$A$290)))</f>
        <v/>
      </c>
      <c r="AE305" s="232" t="str">
        <f>IF(AE$3="","",IF(COUNTIFS(BD!$A$3:$A$5001,AE$3,BD!$B$3:$B$5001,$A$290,BD!$Q$3:$Q$5001,"&lt;&gt;")=0,"",SUMIFS(BD!$Q$3:$Q$5001,BD!$A$3:$A$5001,AE$3,BD!$B$3:$B$5001,$A$290)))</f>
        <v/>
      </c>
      <c r="AF305" s="232" t="str">
        <f>IF(AF$3="","",IF(COUNTIFS(BD!$A$3:$A$5001,AF$3,BD!$B$3:$B$5001,$A$290,BD!$Q$3:$Q$5001,"&lt;&gt;")=0,"",SUMIFS(BD!$Q$3:$Q$5001,BD!$A$3:$A$5001,AF$3,BD!$B$3:$B$5001,$A$290)))</f>
        <v/>
      </c>
      <c r="AG305" s="232" t="str">
        <f>IF(AG$3="","",IF(COUNTIFS(BD!$A$3:$A$5001,AG$3,BD!$B$3:$B$5001,$A$290,BD!$Q$3:$Q$5001,"&lt;&gt;")=0,"",SUMIFS(BD!$Q$3:$Q$5001,BD!$A$3:$A$5001,AG$3,BD!$B$3:$B$5001,$A$290)))</f>
        <v/>
      </c>
      <c r="AH305" s="232" t="str">
        <f>IF(AH$3="","",IF(COUNTIFS(BD!$A$3:$A$5001,AH$3,BD!$B$3:$B$5001,$A$290,BD!$Q$3:$Q$5001,"&lt;&gt;")=0,"",SUMIFS(BD!$Q$3:$Q$5001,BD!$A$3:$A$5001,AH$3,BD!$B$3:$B$5001,$A$290)))</f>
        <v/>
      </c>
      <c r="AI305" s="232" t="str">
        <f>IF(AI$3="","",IF(COUNTIFS(BD!$A$3:$A$5001,AI$3,BD!$B$3:$B$5001,$A$290,BD!$Q$3:$Q$5001,"&lt;&gt;")=0,"",SUMIFS(BD!$Q$3:$Q$5001,BD!$A$3:$A$5001,AI$3,BD!$B$3:$B$5001,$A$290)))</f>
        <v/>
      </c>
      <c r="AJ305" s="233" t="str">
        <f>IF(AJ$3="","",IF(COUNTIFS(BD!$A$3:$A$5001,AJ$3,BD!$B$3:$B$5001,$A$290,BD!$Q$3:$Q$5001,"&lt;&gt;")=0,"",SUMIFS(BD!$Q$3:$Q$5001,BD!$A$3:$A$5001,AJ$3,BD!$B$3:$B$5001,$A$290)))</f>
        <v/>
      </c>
      <c r="AK305" s="234" t="str">
        <f>IF(COUNT(F305:AJ305)=0,"",SUM(F305:AJ305))</f>
        <v/>
      </c>
    </row>
    <row r="306" ht="15.75" customHeight="1" hidden="1">
      <c r="A306" s="254"/>
      <c r="B306" s="251"/>
      <c r="C306" s="228" t="inlineStr">
        <is>
          <t xml:space="preserve">Desligamento</t>
        </is>
      </c>
      <c r="D306" s="229" t="str">
        <f>IFERROR(1/(1/INDEX(BD!$Y$39:$AS$39,MATCH($A$290,BD!$Y$22:$AS$22,0))),"")</f>
        <v/>
      </c>
      <c r="E306" s="230"/>
      <c r="F306" s="231" t="str">
        <f>IF(F$3="","",IF(COUNTIFS(BD!$A$3:$A$5001,F$3,BD!$B$3:$B$5001,$A$290,BD!$R$3:$R$5001,"&lt;&gt;")=0,"",SUMIFS(BD!$R$3:$R$5001,BD!$A$3:$A$5001,F$3,BD!$B$3:$B$5001,$A$290)))</f>
        <v/>
      </c>
      <c r="G306" s="232" t="str">
        <f>IF(G$3="","",IF(COUNTIFS(BD!$A$3:$A$5001,G$3,BD!$B$3:$B$5001,$A$290,BD!$R$3:$R$5001,"&lt;&gt;")=0,"",SUMIFS(BD!$R$3:$R$5001,BD!$A$3:$A$5001,G$3,BD!$B$3:$B$5001,$A$290)))</f>
        <v/>
      </c>
      <c r="H306" s="232" t="str">
        <f>IF(H$3="","",IF(COUNTIFS(BD!$A$3:$A$5001,H$3,BD!$B$3:$B$5001,$A$290,BD!$R$3:$R$5001,"&lt;&gt;")=0,"",SUMIFS(BD!$R$3:$R$5001,BD!$A$3:$A$5001,H$3,BD!$B$3:$B$5001,$A$290)))</f>
        <v/>
      </c>
      <c r="I306" s="232" t="str">
        <f>IF(I$3="","",IF(COUNTIFS(BD!$A$3:$A$5001,I$3,BD!$B$3:$B$5001,$A$290,BD!$R$3:$R$5001,"&lt;&gt;")=0,"",SUMIFS(BD!$R$3:$R$5001,BD!$A$3:$A$5001,I$3,BD!$B$3:$B$5001,$A$290)))</f>
        <v/>
      </c>
      <c r="J306" s="232" t="str">
        <f>IF(J$3="","",IF(COUNTIFS(BD!$A$3:$A$5001,J$3,BD!$B$3:$B$5001,$A$290,BD!$R$3:$R$5001,"&lt;&gt;")=0,"",SUMIFS(BD!$R$3:$R$5001,BD!$A$3:$A$5001,J$3,BD!$B$3:$B$5001,$A$290)))</f>
        <v/>
      </c>
      <c r="K306" s="232" t="str">
        <f>IF(K$3="","",IF(COUNTIFS(BD!$A$3:$A$5001,K$3,BD!$B$3:$B$5001,$A$290,BD!$R$3:$R$5001,"&lt;&gt;")=0,"",SUMIFS(BD!$R$3:$R$5001,BD!$A$3:$A$5001,K$3,BD!$B$3:$B$5001,$A$290)))</f>
        <v/>
      </c>
      <c r="L306" s="232" t="str">
        <f>IF(L$3="","",IF(COUNTIFS(BD!$A$3:$A$5001,L$3,BD!$B$3:$B$5001,$A$290,BD!$R$3:$R$5001,"&lt;&gt;")=0,"",SUMIFS(BD!$R$3:$R$5001,BD!$A$3:$A$5001,L$3,BD!$B$3:$B$5001,$A$290)))</f>
        <v/>
      </c>
      <c r="M306" s="232" t="str">
        <f>IF(M$3="","",IF(COUNTIFS(BD!$A$3:$A$5001,M$3,BD!$B$3:$B$5001,$A$290,BD!$R$3:$R$5001,"&lt;&gt;")=0,"",SUMIFS(BD!$R$3:$R$5001,BD!$A$3:$A$5001,M$3,BD!$B$3:$B$5001,$A$290)))</f>
        <v/>
      </c>
      <c r="N306" s="232" t="str">
        <f>IF(N$3="","",IF(COUNTIFS(BD!$A$3:$A$5001,N$3,BD!$B$3:$B$5001,$A$290,BD!$R$3:$R$5001,"&lt;&gt;")=0,"",SUMIFS(BD!$R$3:$R$5001,BD!$A$3:$A$5001,N$3,BD!$B$3:$B$5001,$A$290)))</f>
        <v/>
      </c>
      <c r="O306" s="232" t="str">
        <f>IF(O$3="","",IF(COUNTIFS(BD!$A$3:$A$5001,O$3,BD!$B$3:$B$5001,$A$290,BD!$R$3:$R$5001,"&lt;&gt;")=0,"",SUMIFS(BD!$R$3:$R$5001,BD!$A$3:$A$5001,O$3,BD!$B$3:$B$5001,$A$290)))</f>
        <v/>
      </c>
      <c r="P306" s="232" t="str">
        <f>IF(P$3="","",IF(COUNTIFS(BD!$A$3:$A$5001,P$3,BD!$B$3:$B$5001,$A$290,BD!$R$3:$R$5001,"&lt;&gt;")=0,"",SUMIFS(BD!$R$3:$R$5001,BD!$A$3:$A$5001,P$3,BD!$B$3:$B$5001,$A$290)))</f>
        <v/>
      </c>
      <c r="Q306" s="232" t="str">
        <f>IF(Q$3="","",IF(COUNTIFS(BD!$A$3:$A$5001,Q$3,BD!$B$3:$B$5001,$A$290,BD!$R$3:$R$5001,"&lt;&gt;")=0,"",SUMIFS(BD!$R$3:$R$5001,BD!$A$3:$A$5001,Q$3,BD!$B$3:$B$5001,$A$290)))</f>
        <v/>
      </c>
      <c r="R306" s="232" t="str">
        <f>IF(R$3="","",IF(COUNTIFS(BD!$A$3:$A$5001,R$3,BD!$B$3:$B$5001,$A$290,BD!$R$3:$R$5001,"&lt;&gt;")=0,"",SUMIFS(BD!$R$3:$R$5001,BD!$A$3:$A$5001,R$3,BD!$B$3:$B$5001,$A$290)))</f>
        <v/>
      </c>
      <c r="S306" s="232" t="str">
        <f>IF(S$3="","",IF(COUNTIFS(BD!$A$3:$A$5001,S$3,BD!$B$3:$B$5001,$A$290,BD!$R$3:$R$5001,"&lt;&gt;")=0,"",SUMIFS(BD!$R$3:$R$5001,BD!$A$3:$A$5001,S$3,BD!$B$3:$B$5001,$A$290)))</f>
        <v/>
      </c>
      <c r="T306" s="232" t="str">
        <f>IF(T$3="","",IF(COUNTIFS(BD!$A$3:$A$5001,T$3,BD!$B$3:$B$5001,$A$290,BD!$R$3:$R$5001,"&lt;&gt;")=0,"",SUMIFS(BD!$R$3:$R$5001,BD!$A$3:$A$5001,T$3,BD!$B$3:$B$5001,$A$290)))</f>
        <v/>
      </c>
      <c r="U306" s="232" t="str">
        <f>IF(U$3="","",IF(COUNTIFS(BD!$A$3:$A$5001,U$3,BD!$B$3:$B$5001,$A$290,BD!$R$3:$R$5001,"&lt;&gt;")=0,"",SUMIFS(BD!$R$3:$R$5001,BD!$A$3:$A$5001,U$3,BD!$B$3:$B$5001,$A$290)))</f>
        <v/>
      </c>
      <c r="V306" s="232" t="str">
        <f>IF(V$3="","",IF(COUNTIFS(BD!$A$3:$A$5001,V$3,BD!$B$3:$B$5001,$A$290,BD!$R$3:$R$5001,"&lt;&gt;")=0,"",SUMIFS(BD!$R$3:$R$5001,BD!$A$3:$A$5001,V$3,BD!$B$3:$B$5001,$A$290)))</f>
        <v/>
      </c>
      <c r="W306" s="232" t="str">
        <f>IF(W$3="","",IF(COUNTIFS(BD!$A$3:$A$5001,W$3,BD!$B$3:$B$5001,$A$290,BD!$R$3:$R$5001,"&lt;&gt;")=0,"",SUMIFS(BD!$R$3:$R$5001,BD!$A$3:$A$5001,W$3,BD!$B$3:$B$5001,$A$290)))</f>
        <v/>
      </c>
      <c r="X306" s="232" t="str">
        <f>IF(X$3="","",IF(COUNTIFS(BD!$A$3:$A$5001,X$3,BD!$B$3:$B$5001,$A$290,BD!$R$3:$R$5001,"&lt;&gt;")=0,"",SUMIFS(BD!$R$3:$R$5001,BD!$A$3:$A$5001,X$3,BD!$B$3:$B$5001,$A$290)))</f>
        <v/>
      </c>
      <c r="Y306" s="232" t="str">
        <f>IF(Y$3="","",IF(COUNTIFS(BD!$A$3:$A$5001,Y$3,BD!$B$3:$B$5001,$A$290,BD!$R$3:$R$5001,"&lt;&gt;")=0,"",SUMIFS(BD!$R$3:$R$5001,BD!$A$3:$A$5001,Y$3,BD!$B$3:$B$5001,$A$290)))</f>
        <v/>
      </c>
      <c r="Z306" s="232" t="str">
        <f>IF(Z$3="","",IF(COUNTIFS(BD!$A$3:$A$5001,Z$3,BD!$B$3:$B$5001,$A$290,BD!$R$3:$R$5001,"&lt;&gt;")=0,"",SUMIFS(BD!$R$3:$R$5001,BD!$A$3:$A$5001,Z$3,BD!$B$3:$B$5001,$A$290)))</f>
        <v/>
      </c>
      <c r="AA306" s="232" t="str">
        <f>IF(AA$3="","",IF(COUNTIFS(BD!$A$3:$A$5001,AA$3,BD!$B$3:$B$5001,$A$290,BD!$R$3:$R$5001,"&lt;&gt;")=0,"",SUMIFS(BD!$R$3:$R$5001,BD!$A$3:$A$5001,AA$3,BD!$B$3:$B$5001,$A$290)))</f>
        <v/>
      </c>
      <c r="AB306" s="232" t="str">
        <f>IF(AB$3="","",IF(COUNTIFS(BD!$A$3:$A$5001,AB$3,BD!$B$3:$B$5001,$A$290,BD!$R$3:$R$5001,"&lt;&gt;")=0,"",SUMIFS(BD!$R$3:$R$5001,BD!$A$3:$A$5001,AB$3,BD!$B$3:$B$5001,$A$290)))</f>
        <v/>
      </c>
      <c r="AC306" s="232" t="str">
        <f>IF(AC$3="","",IF(COUNTIFS(BD!$A$3:$A$5001,AC$3,BD!$B$3:$B$5001,$A$290,BD!$R$3:$R$5001,"&lt;&gt;")=0,"",SUMIFS(BD!$R$3:$R$5001,BD!$A$3:$A$5001,AC$3,BD!$B$3:$B$5001,$A$290)))</f>
        <v/>
      </c>
      <c r="AD306" s="232" t="str">
        <f>IF(AD$3="","",IF(COUNTIFS(BD!$A$3:$A$5001,AD$3,BD!$B$3:$B$5001,$A$290,BD!$R$3:$R$5001,"&lt;&gt;")=0,"",SUMIFS(BD!$R$3:$R$5001,BD!$A$3:$A$5001,AD$3,BD!$B$3:$B$5001,$A$290)))</f>
        <v/>
      </c>
      <c r="AE306" s="232" t="str">
        <f>IF(AE$3="","",IF(COUNTIFS(BD!$A$3:$A$5001,AE$3,BD!$B$3:$B$5001,$A$290,BD!$R$3:$R$5001,"&lt;&gt;")=0,"",SUMIFS(BD!$R$3:$R$5001,BD!$A$3:$A$5001,AE$3,BD!$B$3:$B$5001,$A$290)))</f>
        <v/>
      </c>
      <c r="AF306" s="232" t="str">
        <f>IF(AF$3="","",IF(COUNTIFS(BD!$A$3:$A$5001,AF$3,BD!$B$3:$B$5001,$A$290,BD!$R$3:$R$5001,"&lt;&gt;")=0,"",SUMIFS(BD!$R$3:$R$5001,BD!$A$3:$A$5001,AF$3,BD!$B$3:$B$5001,$A$290)))</f>
        <v/>
      </c>
      <c r="AG306" s="232" t="str">
        <f>IF(AG$3="","",IF(COUNTIFS(BD!$A$3:$A$5001,AG$3,BD!$B$3:$B$5001,$A$290,BD!$R$3:$R$5001,"&lt;&gt;")=0,"",SUMIFS(BD!$R$3:$R$5001,BD!$A$3:$A$5001,AG$3,BD!$B$3:$B$5001,$A$290)))</f>
        <v/>
      </c>
      <c r="AH306" s="232" t="str">
        <f>IF(AH$3="","",IF(COUNTIFS(BD!$A$3:$A$5001,AH$3,BD!$B$3:$B$5001,$A$290,BD!$R$3:$R$5001,"&lt;&gt;")=0,"",SUMIFS(BD!$R$3:$R$5001,BD!$A$3:$A$5001,AH$3,BD!$B$3:$B$5001,$A$290)))</f>
        <v/>
      </c>
      <c r="AI306" s="232" t="str">
        <f>IF(AI$3="","",IF(COUNTIFS(BD!$A$3:$A$5001,AI$3,BD!$B$3:$B$5001,$A$290,BD!$R$3:$R$5001,"&lt;&gt;")=0,"",SUMIFS(BD!$R$3:$R$5001,BD!$A$3:$A$5001,AI$3,BD!$B$3:$B$5001,$A$290)))</f>
        <v/>
      </c>
      <c r="AJ306" s="233" t="str">
        <f>IF(AJ$3="","",IF(COUNTIFS(BD!$A$3:$A$5001,AJ$3,BD!$B$3:$B$5001,$A$290,BD!$R$3:$R$5001,"&lt;&gt;")=0,"",SUMIFS(BD!$R$3:$R$5001,BD!$A$3:$A$5001,AJ$3,BD!$B$3:$B$5001,$A$290)))</f>
        <v/>
      </c>
      <c r="AK306" s="234" t="str">
        <f>IF(COUNT(F306:AJ306)=0,"",SUM(F306:AJ306))</f>
        <v/>
      </c>
    </row>
    <row r="307" ht="15.75" customHeight="1" hidden="1">
      <c r="A307" s="254"/>
      <c r="B307" s="251"/>
      <c r="C307" s="228" t="inlineStr">
        <is>
          <t xml:space="preserve">Desvios Comportamentais</t>
        </is>
      </c>
      <c r="D307" s="229" t="str">
        <f>IFERROR(1/(1/INDEX(BD!$Y$40:$AS$40,MATCH($A$290,BD!$Y$22:$AS$22,0))),"")</f>
        <v/>
      </c>
      <c r="E307" s="230"/>
      <c r="F307" s="231" t="str">
        <f>IF(F$3="","",IF(COUNTIFS(BD!$A$3:$A$5001,F$3,BD!$B$3:$B$5001,$A$290,BD!$S$3:$S$5001,"&lt;&gt;")=0,"",SUMIFS(BD!$S$3:$S$5001,BD!$A$3:$A$5001,F$3,BD!$B$3:$B$5001,$A$290)))</f>
        <v/>
      </c>
      <c r="G307" s="232" t="str">
        <f>IF(G$3="","",IF(COUNTIFS(BD!$A$3:$A$5001,G$3,BD!$B$3:$B$5001,$A$290,BD!$S$3:$S$5001,"&lt;&gt;")=0,"",SUMIFS(BD!$S$3:$S$5001,BD!$A$3:$A$5001,G$3,BD!$B$3:$B$5001,$A$290)))</f>
        <v/>
      </c>
      <c r="H307" s="232" t="str">
        <f>IF(H$3="","",IF(COUNTIFS(BD!$A$3:$A$5001,H$3,BD!$B$3:$B$5001,$A$290,BD!$S$3:$S$5001,"&lt;&gt;")=0,"",SUMIFS(BD!$S$3:$S$5001,BD!$A$3:$A$5001,H$3,BD!$B$3:$B$5001,$A$290)))</f>
        <v/>
      </c>
      <c r="I307" s="232" t="str">
        <f>IF(I$3="","",IF(COUNTIFS(BD!$A$3:$A$5001,I$3,BD!$B$3:$B$5001,$A$290,BD!$S$3:$S$5001,"&lt;&gt;")=0,"",SUMIFS(BD!$S$3:$S$5001,BD!$A$3:$A$5001,I$3,BD!$B$3:$B$5001,$A$290)))</f>
        <v/>
      </c>
      <c r="J307" s="232" t="str">
        <f>IF(J$3="","",IF(COUNTIFS(BD!$A$3:$A$5001,J$3,BD!$B$3:$B$5001,$A$290,BD!$S$3:$S$5001,"&lt;&gt;")=0,"",SUMIFS(BD!$S$3:$S$5001,BD!$A$3:$A$5001,J$3,BD!$B$3:$B$5001,$A$290)))</f>
        <v/>
      </c>
      <c r="K307" s="232" t="str">
        <f>IF(K$3="","",IF(COUNTIFS(BD!$A$3:$A$5001,K$3,BD!$B$3:$B$5001,$A$290,BD!$S$3:$S$5001,"&lt;&gt;")=0,"",SUMIFS(BD!$S$3:$S$5001,BD!$A$3:$A$5001,K$3,BD!$B$3:$B$5001,$A$290)))</f>
        <v/>
      </c>
      <c r="L307" s="232" t="str">
        <f>IF(L$3="","",IF(COUNTIFS(BD!$A$3:$A$5001,L$3,BD!$B$3:$B$5001,$A$290,BD!$S$3:$S$5001,"&lt;&gt;")=0,"",SUMIFS(BD!$S$3:$S$5001,BD!$A$3:$A$5001,L$3,BD!$B$3:$B$5001,$A$290)))</f>
        <v/>
      </c>
      <c r="M307" s="232" t="str">
        <f>IF(M$3="","",IF(COUNTIFS(BD!$A$3:$A$5001,M$3,BD!$B$3:$B$5001,$A$290,BD!$S$3:$S$5001,"&lt;&gt;")=0,"",SUMIFS(BD!$S$3:$S$5001,BD!$A$3:$A$5001,M$3,BD!$B$3:$B$5001,$A$290)))</f>
        <v/>
      </c>
      <c r="N307" s="232" t="str">
        <f>IF(N$3="","",IF(COUNTIFS(BD!$A$3:$A$5001,N$3,BD!$B$3:$B$5001,$A$290,BD!$S$3:$S$5001,"&lt;&gt;")=0,"",SUMIFS(BD!$S$3:$S$5001,BD!$A$3:$A$5001,N$3,BD!$B$3:$B$5001,$A$290)))</f>
        <v/>
      </c>
      <c r="O307" s="232" t="str">
        <f>IF(O$3="","",IF(COUNTIFS(BD!$A$3:$A$5001,O$3,BD!$B$3:$B$5001,$A$290,BD!$S$3:$S$5001,"&lt;&gt;")=0,"",SUMIFS(BD!$S$3:$S$5001,BD!$A$3:$A$5001,O$3,BD!$B$3:$B$5001,$A$290)))</f>
        <v/>
      </c>
      <c r="P307" s="232" t="str">
        <f>IF(P$3="","",IF(COUNTIFS(BD!$A$3:$A$5001,P$3,BD!$B$3:$B$5001,$A$290,BD!$S$3:$S$5001,"&lt;&gt;")=0,"",SUMIFS(BD!$S$3:$S$5001,BD!$A$3:$A$5001,P$3,BD!$B$3:$B$5001,$A$290)))</f>
        <v/>
      </c>
      <c r="Q307" s="232" t="str">
        <f>IF(Q$3="","",IF(COUNTIFS(BD!$A$3:$A$5001,Q$3,BD!$B$3:$B$5001,$A$290,BD!$S$3:$S$5001,"&lt;&gt;")=0,"",SUMIFS(BD!$S$3:$S$5001,BD!$A$3:$A$5001,Q$3,BD!$B$3:$B$5001,$A$290)))</f>
        <v/>
      </c>
      <c r="R307" s="232" t="str">
        <f>IF(R$3="","",IF(COUNTIFS(BD!$A$3:$A$5001,R$3,BD!$B$3:$B$5001,$A$290,BD!$S$3:$S$5001,"&lt;&gt;")=0,"",SUMIFS(BD!$S$3:$S$5001,BD!$A$3:$A$5001,R$3,BD!$B$3:$B$5001,$A$290)))</f>
        <v/>
      </c>
      <c r="S307" s="232" t="str">
        <f>IF(S$3="","",IF(COUNTIFS(BD!$A$3:$A$5001,S$3,BD!$B$3:$B$5001,$A$290,BD!$S$3:$S$5001,"&lt;&gt;")=0,"",SUMIFS(BD!$S$3:$S$5001,BD!$A$3:$A$5001,S$3,BD!$B$3:$B$5001,$A$290)))</f>
        <v/>
      </c>
      <c r="T307" s="232" t="str">
        <f>IF(T$3="","",IF(COUNTIFS(BD!$A$3:$A$5001,T$3,BD!$B$3:$B$5001,$A$290,BD!$S$3:$S$5001,"&lt;&gt;")=0,"",SUMIFS(BD!$S$3:$S$5001,BD!$A$3:$A$5001,T$3,BD!$B$3:$B$5001,$A$290)))</f>
        <v/>
      </c>
      <c r="U307" s="232" t="str">
        <f>IF(U$3="","",IF(COUNTIFS(BD!$A$3:$A$5001,U$3,BD!$B$3:$B$5001,$A$290,BD!$S$3:$S$5001,"&lt;&gt;")=0,"",SUMIFS(BD!$S$3:$S$5001,BD!$A$3:$A$5001,U$3,BD!$B$3:$B$5001,$A$290)))</f>
        <v/>
      </c>
      <c r="V307" s="232" t="str">
        <f>IF(V$3="","",IF(COUNTIFS(BD!$A$3:$A$5001,V$3,BD!$B$3:$B$5001,$A$290,BD!$S$3:$S$5001,"&lt;&gt;")=0,"",SUMIFS(BD!$S$3:$S$5001,BD!$A$3:$A$5001,V$3,BD!$B$3:$B$5001,$A$290)))</f>
        <v/>
      </c>
      <c r="W307" s="232" t="str">
        <f>IF(W$3="","",IF(COUNTIFS(BD!$A$3:$A$5001,W$3,BD!$B$3:$B$5001,$A$290,BD!$S$3:$S$5001,"&lt;&gt;")=0,"",SUMIFS(BD!$S$3:$S$5001,BD!$A$3:$A$5001,W$3,BD!$B$3:$B$5001,$A$290)))</f>
        <v/>
      </c>
      <c r="X307" s="232" t="str">
        <f>IF(X$3="","",IF(COUNTIFS(BD!$A$3:$A$5001,X$3,BD!$B$3:$B$5001,$A$290,BD!$S$3:$S$5001,"&lt;&gt;")=0,"",SUMIFS(BD!$S$3:$S$5001,BD!$A$3:$A$5001,X$3,BD!$B$3:$B$5001,$A$290)))</f>
        <v/>
      </c>
      <c r="Y307" s="232" t="str">
        <f>IF(Y$3="","",IF(COUNTIFS(BD!$A$3:$A$5001,Y$3,BD!$B$3:$B$5001,$A$290,BD!$S$3:$S$5001,"&lt;&gt;")=0,"",SUMIFS(BD!$S$3:$S$5001,BD!$A$3:$A$5001,Y$3,BD!$B$3:$B$5001,$A$290)))</f>
        <v/>
      </c>
      <c r="Z307" s="232" t="str">
        <f>IF(Z$3="","",IF(COUNTIFS(BD!$A$3:$A$5001,Z$3,BD!$B$3:$B$5001,$A$290,BD!$S$3:$S$5001,"&lt;&gt;")=0,"",SUMIFS(BD!$S$3:$S$5001,BD!$A$3:$A$5001,Z$3,BD!$B$3:$B$5001,$A$290)))</f>
        <v/>
      </c>
      <c r="AA307" s="232" t="str">
        <f>IF(AA$3="","",IF(COUNTIFS(BD!$A$3:$A$5001,AA$3,BD!$B$3:$B$5001,$A$290,BD!$S$3:$S$5001,"&lt;&gt;")=0,"",SUMIFS(BD!$S$3:$S$5001,BD!$A$3:$A$5001,AA$3,BD!$B$3:$B$5001,$A$290)))</f>
        <v/>
      </c>
      <c r="AB307" s="232" t="str">
        <f>IF(AB$3="","",IF(COUNTIFS(BD!$A$3:$A$5001,AB$3,BD!$B$3:$B$5001,$A$290,BD!$S$3:$S$5001,"&lt;&gt;")=0,"",SUMIFS(BD!$S$3:$S$5001,BD!$A$3:$A$5001,AB$3,BD!$B$3:$B$5001,$A$290)))</f>
        <v/>
      </c>
      <c r="AC307" s="232" t="str">
        <f>IF(AC$3="","",IF(COUNTIFS(BD!$A$3:$A$5001,AC$3,BD!$B$3:$B$5001,$A$290,BD!$S$3:$S$5001,"&lt;&gt;")=0,"",SUMIFS(BD!$S$3:$S$5001,BD!$A$3:$A$5001,AC$3,BD!$B$3:$B$5001,$A$290)))</f>
        <v/>
      </c>
      <c r="AD307" s="232" t="str">
        <f>IF(AD$3="","",IF(COUNTIFS(BD!$A$3:$A$5001,AD$3,BD!$B$3:$B$5001,$A$290,BD!$S$3:$S$5001,"&lt;&gt;")=0,"",SUMIFS(BD!$S$3:$S$5001,BD!$A$3:$A$5001,AD$3,BD!$B$3:$B$5001,$A$290)))</f>
        <v/>
      </c>
      <c r="AE307" s="232" t="str">
        <f>IF(AE$3="","",IF(COUNTIFS(BD!$A$3:$A$5001,AE$3,BD!$B$3:$B$5001,$A$290,BD!$S$3:$S$5001,"&lt;&gt;")=0,"",SUMIFS(BD!$S$3:$S$5001,BD!$A$3:$A$5001,AE$3,BD!$B$3:$B$5001,$A$290)))</f>
        <v/>
      </c>
      <c r="AF307" s="232" t="str">
        <f>IF(AF$3="","",IF(COUNTIFS(BD!$A$3:$A$5001,AF$3,BD!$B$3:$B$5001,$A$290,BD!$S$3:$S$5001,"&lt;&gt;")=0,"",SUMIFS(BD!$S$3:$S$5001,BD!$A$3:$A$5001,AF$3,BD!$B$3:$B$5001,$A$290)))</f>
        <v/>
      </c>
      <c r="AG307" s="232" t="str">
        <f>IF(AG$3="","",IF(COUNTIFS(BD!$A$3:$A$5001,AG$3,BD!$B$3:$B$5001,$A$290,BD!$S$3:$S$5001,"&lt;&gt;")=0,"",SUMIFS(BD!$S$3:$S$5001,BD!$A$3:$A$5001,AG$3,BD!$B$3:$B$5001,$A$290)))</f>
        <v/>
      </c>
      <c r="AH307" s="232" t="str">
        <f>IF(AH$3="","",IF(COUNTIFS(BD!$A$3:$A$5001,AH$3,BD!$B$3:$B$5001,$A$290,BD!$S$3:$S$5001,"&lt;&gt;")=0,"",SUMIFS(BD!$S$3:$S$5001,BD!$A$3:$A$5001,AH$3,BD!$B$3:$B$5001,$A$290)))</f>
        <v/>
      </c>
      <c r="AI307" s="232" t="str">
        <f>IF(AI$3="","",IF(COUNTIFS(BD!$A$3:$A$5001,AI$3,BD!$B$3:$B$5001,$A$290,BD!$S$3:$S$5001,"&lt;&gt;")=0,"",SUMIFS(BD!$S$3:$S$5001,BD!$A$3:$A$5001,AI$3,BD!$B$3:$B$5001,$A$290)))</f>
        <v/>
      </c>
      <c r="AJ307" s="233" t="str">
        <f>IF(AJ$3="","",IF(COUNTIFS(BD!$A$3:$A$5001,AJ$3,BD!$B$3:$B$5001,$A$290,BD!$S$3:$S$5001,"&lt;&gt;")=0,"",SUMIFS(BD!$S$3:$S$5001,BD!$A$3:$A$5001,AJ$3,BD!$B$3:$B$5001,$A$290)))</f>
        <v/>
      </c>
      <c r="AK307" s="234" t="str">
        <f>IF(COUNT(F307:AJ307)=0,"",SUM(F307:AJ307))</f>
        <v/>
      </c>
    </row>
    <row r="308" ht="15.75" customHeight="1" hidden="1">
      <c r="A308" s="254"/>
      <c r="B308" s="251"/>
      <c r="C308" s="228" t="inlineStr">
        <is>
          <t xml:space="preserve">Acidentes CAF</t>
        </is>
      </c>
      <c r="D308" s="229" t="str">
        <f>IFERROR(1/(1/INDEX(BD!$Y$41:$AS$41,MATCH($A$290,BD!$Y$22:$AS$22,0))),"")</f>
        <v/>
      </c>
      <c r="E308" s="230"/>
      <c r="F308" s="231" t="str">
        <f>IF(F$3="","",IF(COUNTIFS(BD!$A$3:$A$5001,F$3,BD!$B$3:$B$5001,$A$290,BD!$T$3:$T$5001,"&lt;&gt;")=0,"",SUMIFS(BD!$T$3:$T$5001,BD!$A$3:$A$5001,F$3,BD!$B$3:$B$5001,$A$290)))</f>
        <v/>
      </c>
      <c r="G308" s="232" t="str">
        <f>IF(G$3="","",IF(COUNTIFS(BD!$A$3:$A$5001,G$3,BD!$B$3:$B$5001,$A$290,BD!$T$3:$T$5001,"&lt;&gt;")=0,"",SUMIFS(BD!$T$3:$T$5001,BD!$A$3:$A$5001,G$3,BD!$B$3:$B$5001,$A$290)))</f>
        <v/>
      </c>
      <c r="H308" s="232" t="str">
        <f>IF(H$3="","",IF(COUNTIFS(BD!$A$3:$A$5001,H$3,BD!$B$3:$B$5001,$A$290,BD!$T$3:$T$5001,"&lt;&gt;")=0,"",SUMIFS(BD!$T$3:$T$5001,BD!$A$3:$A$5001,H$3,BD!$B$3:$B$5001,$A$290)))</f>
        <v/>
      </c>
      <c r="I308" s="232" t="str">
        <f>IF(I$3="","",IF(COUNTIFS(BD!$A$3:$A$5001,I$3,BD!$B$3:$B$5001,$A$290,BD!$T$3:$T$5001,"&lt;&gt;")=0,"",SUMIFS(BD!$T$3:$T$5001,BD!$A$3:$A$5001,I$3,BD!$B$3:$B$5001,$A$290)))</f>
        <v/>
      </c>
      <c r="J308" s="232" t="str">
        <f>IF(J$3="","",IF(COUNTIFS(BD!$A$3:$A$5001,J$3,BD!$B$3:$B$5001,$A$290,BD!$T$3:$T$5001,"&lt;&gt;")=0,"",SUMIFS(BD!$T$3:$T$5001,BD!$A$3:$A$5001,J$3,BD!$B$3:$B$5001,$A$290)))</f>
        <v/>
      </c>
      <c r="K308" s="232" t="str">
        <f>IF(K$3="","",IF(COUNTIFS(BD!$A$3:$A$5001,K$3,BD!$B$3:$B$5001,$A$290,BD!$T$3:$T$5001,"&lt;&gt;")=0,"",SUMIFS(BD!$T$3:$T$5001,BD!$A$3:$A$5001,K$3,BD!$B$3:$B$5001,$A$290)))</f>
        <v/>
      </c>
      <c r="L308" s="232" t="str">
        <f>IF(L$3="","",IF(COUNTIFS(BD!$A$3:$A$5001,L$3,BD!$B$3:$B$5001,$A$290,BD!$T$3:$T$5001,"&lt;&gt;")=0,"",SUMIFS(BD!$T$3:$T$5001,BD!$A$3:$A$5001,L$3,BD!$B$3:$B$5001,$A$290)))</f>
        <v/>
      </c>
      <c r="M308" s="232" t="str">
        <f>IF(M$3="","",IF(COUNTIFS(BD!$A$3:$A$5001,M$3,BD!$B$3:$B$5001,$A$290,BD!$T$3:$T$5001,"&lt;&gt;")=0,"",SUMIFS(BD!$T$3:$T$5001,BD!$A$3:$A$5001,M$3,BD!$B$3:$B$5001,$A$290)))</f>
        <v/>
      </c>
      <c r="N308" s="232" t="str">
        <f>IF(N$3="","",IF(COUNTIFS(BD!$A$3:$A$5001,N$3,BD!$B$3:$B$5001,$A$290,BD!$T$3:$T$5001,"&lt;&gt;")=0,"",SUMIFS(BD!$T$3:$T$5001,BD!$A$3:$A$5001,N$3,BD!$B$3:$B$5001,$A$290)))</f>
        <v/>
      </c>
      <c r="O308" s="232" t="str">
        <f>IF(O$3="","",IF(COUNTIFS(BD!$A$3:$A$5001,O$3,BD!$B$3:$B$5001,$A$290,BD!$T$3:$T$5001,"&lt;&gt;")=0,"",SUMIFS(BD!$T$3:$T$5001,BD!$A$3:$A$5001,O$3,BD!$B$3:$B$5001,$A$290)))</f>
        <v/>
      </c>
      <c r="P308" s="232" t="str">
        <f>IF(P$3="","",IF(COUNTIFS(BD!$A$3:$A$5001,P$3,BD!$B$3:$B$5001,$A$290,BD!$T$3:$T$5001,"&lt;&gt;")=0,"",SUMIFS(BD!$T$3:$T$5001,BD!$A$3:$A$5001,P$3,BD!$B$3:$B$5001,$A$290)))</f>
        <v/>
      </c>
      <c r="Q308" s="232" t="str">
        <f>IF(Q$3="","",IF(COUNTIFS(BD!$A$3:$A$5001,Q$3,BD!$B$3:$B$5001,$A$290,BD!$T$3:$T$5001,"&lt;&gt;")=0,"",SUMIFS(BD!$T$3:$T$5001,BD!$A$3:$A$5001,Q$3,BD!$B$3:$B$5001,$A$290)))</f>
        <v/>
      </c>
      <c r="R308" s="232" t="str">
        <f>IF(R$3="","",IF(COUNTIFS(BD!$A$3:$A$5001,R$3,BD!$B$3:$B$5001,$A$290,BD!$T$3:$T$5001,"&lt;&gt;")=0,"",SUMIFS(BD!$T$3:$T$5001,BD!$A$3:$A$5001,R$3,BD!$B$3:$B$5001,$A$290)))</f>
        <v/>
      </c>
      <c r="S308" s="232" t="str">
        <f>IF(S$3="","",IF(COUNTIFS(BD!$A$3:$A$5001,S$3,BD!$B$3:$B$5001,$A$290,BD!$T$3:$T$5001,"&lt;&gt;")=0,"",SUMIFS(BD!$T$3:$T$5001,BD!$A$3:$A$5001,S$3,BD!$B$3:$B$5001,$A$290)))</f>
        <v/>
      </c>
      <c r="T308" s="232" t="str">
        <f>IF(T$3="","",IF(COUNTIFS(BD!$A$3:$A$5001,T$3,BD!$B$3:$B$5001,$A$290,BD!$T$3:$T$5001,"&lt;&gt;")=0,"",SUMIFS(BD!$T$3:$T$5001,BD!$A$3:$A$5001,T$3,BD!$B$3:$B$5001,$A$290)))</f>
        <v/>
      </c>
      <c r="U308" s="232" t="str">
        <f>IF(U$3="","",IF(COUNTIFS(BD!$A$3:$A$5001,U$3,BD!$B$3:$B$5001,$A$290,BD!$T$3:$T$5001,"&lt;&gt;")=0,"",SUMIFS(BD!$T$3:$T$5001,BD!$A$3:$A$5001,U$3,BD!$B$3:$B$5001,$A$290)))</f>
        <v/>
      </c>
      <c r="V308" s="232" t="str">
        <f>IF(V$3="","",IF(COUNTIFS(BD!$A$3:$A$5001,V$3,BD!$B$3:$B$5001,$A$290,BD!$T$3:$T$5001,"&lt;&gt;")=0,"",SUMIFS(BD!$T$3:$T$5001,BD!$A$3:$A$5001,V$3,BD!$B$3:$B$5001,$A$290)))</f>
        <v/>
      </c>
      <c r="W308" s="232" t="str">
        <f>IF(W$3="","",IF(COUNTIFS(BD!$A$3:$A$5001,W$3,BD!$B$3:$B$5001,$A$290,BD!$T$3:$T$5001,"&lt;&gt;")=0,"",SUMIFS(BD!$T$3:$T$5001,BD!$A$3:$A$5001,W$3,BD!$B$3:$B$5001,$A$290)))</f>
        <v/>
      </c>
      <c r="X308" s="232" t="str">
        <f>IF(X$3="","",IF(COUNTIFS(BD!$A$3:$A$5001,X$3,BD!$B$3:$B$5001,$A$290,BD!$T$3:$T$5001,"&lt;&gt;")=0,"",SUMIFS(BD!$T$3:$T$5001,BD!$A$3:$A$5001,X$3,BD!$B$3:$B$5001,$A$290)))</f>
        <v/>
      </c>
      <c r="Y308" s="232" t="str">
        <f>IF(Y$3="","",IF(COUNTIFS(BD!$A$3:$A$5001,Y$3,BD!$B$3:$B$5001,$A$290,BD!$T$3:$T$5001,"&lt;&gt;")=0,"",SUMIFS(BD!$T$3:$T$5001,BD!$A$3:$A$5001,Y$3,BD!$B$3:$B$5001,$A$290)))</f>
        <v/>
      </c>
      <c r="Z308" s="232" t="str">
        <f>IF(Z$3="","",IF(COUNTIFS(BD!$A$3:$A$5001,Z$3,BD!$B$3:$B$5001,$A$290,BD!$T$3:$T$5001,"&lt;&gt;")=0,"",SUMIFS(BD!$T$3:$T$5001,BD!$A$3:$A$5001,Z$3,BD!$B$3:$B$5001,$A$290)))</f>
        <v/>
      </c>
      <c r="AA308" s="232" t="str">
        <f>IF(AA$3="","",IF(COUNTIFS(BD!$A$3:$A$5001,AA$3,BD!$B$3:$B$5001,$A$290,BD!$T$3:$T$5001,"&lt;&gt;")=0,"",SUMIFS(BD!$T$3:$T$5001,BD!$A$3:$A$5001,AA$3,BD!$B$3:$B$5001,$A$290)))</f>
        <v/>
      </c>
      <c r="AB308" s="232" t="str">
        <f>IF(AB$3="","",IF(COUNTIFS(BD!$A$3:$A$5001,AB$3,BD!$B$3:$B$5001,$A$290,BD!$T$3:$T$5001,"&lt;&gt;")=0,"",SUMIFS(BD!$T$3:$T$5001,BD!$A$3:$A$5001,AB$3,BD!$B$3:$B$5001,$A$290)))</f>
        <v/>
      </c>
      <c r="AC308" s="232" t="str">
        <f>IF(AC$3="","",IF(COUNTIFS(BD!$A$3:$A$5001,AC$3,BD!$B$3:$B$5001,$A$290,BD!$T$3:$T$5001,"&lt;&gt;")=0,"",SUMIFS(BD!$T$3:$T$5001,BD!$A$3:$A$5001,AC$3,BD!$B$3:$B$5001,$A$290)))</f>
        <v/>
      </c>
      <c r="AD308" s="232" t="str">
        <f>IF(AD$3="","",IF(COUNTIFS(BD!$A$3:$A$5001,AD$3,BD!$B$3:$B$5001,$A$290,BD!$T$3:$T$5001,"&lt;&gt;")=0,"",SUMIFS(BD!$T$3:$T$5001,BD!$A$3:$A$5001,AD$3,BD!$B$3:$B$5001,$A$290)))</f>
        <v/>
      </c>
      <c r="AE308" s="232" t="str">
        <f>IF(AE$3="","",IF(COUNTIFS(BD!$A$3:$A$5001,AE$3,BD!$B$3:$B$5001,$A$290,BD!$T$3:$T$5001,"&lt;&gt;")=0,"",SUMIFS(BD!$T$3:$T$5001,BD!$A$3:$A$5001,AE$3,BD!$B$3:$B$5001,$A$290)))</f>
        <v/>
      </c>
      <c r="AF308" s="232" t="str">
        <f>IF(AF$3="","",IF(COUNTIFS(BD!$A$3:$A$5001,AF$3,BD!$B$3:$B$5001,$A$290,BD!$T$3:$T$5001,"&lt;&gt;")=0,"",SUMIFS(BD!$T$3:$T$5001,BD!$A$3:$A$5001,AF$3,BD!$B$3:$B$5001,$A$290)))</f>
        <v/>
      </c>
      <c r="AG308" s="232" t="str">
        <f>IF(AG$3="","",IF(COUNTIFS(BD!$A$3:$A$5001,AG$3,BD!$B$3:$B$5001,$A$290,BD!$T$3:$T$5001,"&lt;&gt;")=0,"",SUMIFS(BD!$T$3:$T$5001,BD!$A$3:$A$5001,AG$3,BD!$B$3:$B$5001,$A$290)))</f>
        <v/>
      </c>
      <c r="AH308" s="232" t="str">
        <f>IF(AH$3="","",IF(COUNTIFS(BD!$A$3:$A$5001,AH$3,BD!$B$3:$B$5001,$A$290,BD!$T$3:$T$5001,"&lt;&gt;")=0,"",SUMIFS(BD!$T$3:$T$5001,BD!$A$3:$A$5001,AH$3,BD!$B$3:$B$5001,$A$290)))</f>
        <v/>
      </c>
      <c r="AI308" s="232" t="str">
        <f>IF(AI$3="","",IF(COUNTIFS(BD!$A$3:$A$5001,AI$3,BD!$B$3:$B$5001,$A$290,BD!$T$3:$T$5001,"&lt;&gt;")=0,"",SUMIFS(BD!$T$3:$T$5001,BD!$A$3:$A$5001,AI$3,BD!$B$3:$B$5001,$A$290)))</f>
        <v/>
      </c>
      <c r="AJ308" s="233" t="str">
        <f>IF(AJ$3="","",IF(COUNTIFS(BD!$A$3:$A$5001,AJ$3,BD!$B$3:$B$5001,$A$290,BD!$T$3:$T$5001,"&lt;&gt;")=0,"",SUMIFS(BD!$T$3:$T$5001,BD!$A$3:$A$5001,AJ$3,BD!$B$3:$B$5001,$A$290)))</f>
        <v/>
      </c>
      <c r="AK308" s="234" t="str">
        <f>IF(COUNT(F308:AJ308)=0,"",SUM(F308:AJ308))</f>
        <v/>
      </c>
    </row>
    <row r="309" ht="15.75" customHeight="1" hidden="1">
      <c r="A309" s="255"/>
      <c r="B309" s="252"/>
      <c r="C309" s="235" t="inlineStr">
        <is>
          <t xml:space="preserve">Acidentes SAF</t>
        </is>
      </c>
      <c r="D309" s="236" t="str">
        <f>IFERROR(1/(1/INDEX(BD!$Y$42:$AS$42,MATCH($A$290,BD!$Y$22:$AS$22,0))),"")</f>
        <v/>
      </c>
      <c r="E309" s="237"/>
      <c r="F309" s="238" t="str">
        <f>IF(F$3="","",IF(COUNTIFS(BD!$A$3:$A$5001,F$3,BD!$B$3:$B$5001,$A$290,BD!$U$3:$U$5001,"&lt;&gt;")=0,"",SUMIFS(BD!$U$3:$U$5001,BD!$A$3:$A$5001,F$3,BD!$B$3:$B$5001,$A$290)))</f>
        <v/>
      </c>
      <c r="G309" s="239" t="str">
        <f>IF(G$3="","",IF(COUNTIFS(BD!$A$3:$A$5001,G$3,BD!$B$3:$B$5001,$A$290,BD!$U$3:$U$5001,"&lt;&gt;")=0,"",SUMIFS(BD!$U$3:$U$5001,BD!$A$3:$A$5001,G$3,BD!$B$3:$B$5001,$A$290)))</f>
        <v/>
      </c>
      <c r="H309" s="239" t="str">
        <f>IF(H$3="","",IF(COUNTIFS(BD!$A$3:$A$5001,H$3,BD!$B$3:$B$5001,$A$290,BD!$U$3:$U$5001,"&lt;&gt;")=0,"",SUMIFS(BD!$U$3:$U$5001,BD!$A$3:$A$5001,H$3,BD!$B$3:$B$5001,$A$290)))</f>
        <v/>
      </c>
      <c r="I309" s="239" t="str">
        <f>IF(I$3="","",IF(COUNTIFS(BD!$A$3:$A$5001,I$3,BD!$B$3:$B$5001,$A$290,BD!$U$3:$U$5001,"&lt;&gt;")=0,"",SUMIFS(BD!$U$3:$U$5001,BD!$A$3:$A$5001,I$3,BD!$B$3:$B$5001,$A$290)))</f>
        <v/>
      </c>
      <c r="J309" s="239" t="str">
        <f>IF(J$3="","",IF(COUNTIFS(BD!$A$3:$A$5001,J$3,BD!$B$3:$B$5001,$A$290,BD!$U$3:$U$5001,"&lt;&gt;")=0,"",SUMIFS(BD!$U$3:$U$5001,BD!$A$3:$A$5001,J$3,BD!$B$3:$B$5001,$A$290)))</f>
        <v/>
      </c>
      <c r="K309" s="239" t="str">
        <f>IF(K$3="","",IF(COUNTIFS(BD!$A$3:$A$5001,K$3,BD!$B$3:$B$5001,$A$290,BD!$U$3:$U$5001,"&lt;&gt;")=0,"",SUMIFS(BD!$U$3:$U$5001,BD!$A$3:$A$5001,K$3,BD!$B$3:$B$5001,$A$290)))</f>
        <v/>
      </c>
      <c r="L309" s="239" t="str">
        <f>IF(L$3="","",IF(COUNTIFS(BD!$A$3:$A$5001,L$3,BD!$B$3:$B$5001,$A$290,BD!$U$3:$U$5001,"&lt;&gt;")=0,"",SUMIFS(BD!$U$3:$U$5001,BD!$A$3:$A$5001,L$3,BD!$B$3:$B$5001,$A$290)))</f>
        <v/>
      </c>
      <c r="M309" s="239" t="str">
        <f>IF(M$3="","",IF(COUNTIFS(BD!$A$3:$A$5001,M$3,BD!$B$3:$B$5001,$A$290,BD!$U$3:$U$5001,"&lt;&gt;")=0,"",SUMIFS(BD!$U$3:$U$5001,BD!$A$3:$A$5001,M$3,BD!$B$3:$B$5001,$A$290)))</f>
        <v/>
      </c>
      <c r="N309" s="239" t="str">
        <f>IF(N$3="","",IF(COUNTIFS(BD!$A$3:$A$5001,N$3,BD!$B$3:$B$5001,$A$290,BD!$U$3:$U$5001,"&lt;&gt;")=0,"",SUMIFS(BD!$U$3:$U$5001,BD!$A$3:$A$5001,N$3,BD!$B$3:$B$5001,$A$290)))</f>
        <v/>
      </c>
      <c r="O309" s="239" t="str">
        <f>IF(O$3="","",IF(COUNTIFS(BD!$A$3:$A$5001,O$3,BD!$B$3:$B$5001,$A$290,BD!$U$3:$U$5001,"&lt;&gt;")=0,"",SUMIFS(BD!$U$3:$U$5001,BD!$A$3:$A$5001,O$3,BD!$B$3:$B$5001,$A$290)))</f>
        <v/>
      </c>
      <c r="P309" s="239" t="str">
        <f>IF(P$3="","",IF(COUNTIFS(BD!$A$3:$A$5001,P$3,BD!$B$3:$B$5001,$A$290,BD!$U$3:$U$5001,"&lt;&gt;")=0,"",SUMIFS(BD!$U$3:$U$5001,BD!$A$3:$A$5001,P$3,BD!$B$3:$B$5001,$A$290)))</f>
        <v/>
      </c>
      <c r="Q309" s="239" t="str">
        <f>IF(Q$3="","",IF(COUNTIFS(BD!$A$3:$A$5001,Q$3,BD!$B$3:$B$5001,$A$290,BD!$U$3:$U$5001,"&lt;&gt;")=0,"",SUMIFS(BD!$U$3:$U$5001,BD!$A$3:$A$5001,Q$3,BD!$B$3:$B$5001,$A$290)))</f>
        <v/>
      </c>
      <c r="R309" s="239" t="str">
        <f>IF(R$3="","",IF(COUNTIFS(BD!$A$3:$A$5001,R$3,BD!$B$3:$B$5001,$A$290,BD!$U$3:$U$5001,"&lt;&gt;")=0,"",SUMIFS(BD!$U$3:$U$5001,BD!$A$3:$A$5001,R$3,BD!$B$3:$B$5001,$A$290)))</f>
        <v/>
      </c>
      <c r="S309" s="239" t="str">
        <f>IF(S$3="","",IF(COUNTIFS(BD!$A$3:$A$5001,S$3,BD!$B$3:$B$5001,$A$290,BD!$U$3:$U$5001,"&lt;&gt;")=0,"",SUMIFS(BD!$U$3:$U$5001,BD!$A$3:$A$5001,S$3,BD!$B$3:$B$5001,$A$290)))</f>
        <v/>
      </c>
      <c r="T309" s="239" t="str">
        <f>IF(T$3="","",IF(COUNTIFS(BD!$A$3:$A$5001,T$3,BD!$B$3:$B$5001,$A$290,BD!$U$3:$U$5001,"&lt;&gt;")=0,"",SUMIFS(BD!$U$3:$U$5001,BD!$A$3:$A$5001,T$3,BD!$B$3:$B$5001,$A$290)))</f>
        <v/>
      </c>
      <c r="U309" s="239" t="str">
        <f>IF(U$3="","",IF(COUNTIFS(BD!$A$3:$A$5001,U$3,BD!$B$3:$B$5001,$A$290,BD!$U$3:$U$5001,"&lt;&gt;")=0,"",SUMIFS(BD!$U$3:$U$5001,BD!$A$3:$A$5001,U$3,BD!$B$3:$B$5001,$A$290)))</f>
        <v/>
      </c>
      <c r="V309" s="239" t="str">
        <f>IF(V$3="","",IF(COUNTIFS(BD!$A$3:$A$5001,V$3,BD!$B$3:$B$5001,$A$290,BD!$U$3:$U$5001,"&lt;&gt;")=0,"",SUMIFS(BD!$U$3:$U$5001,BD!$A$3:$A$5001,V$3,BD!$B$3:$B$5001,$A$290)))</f>
        <v/>
      </c>
      <c r="W309" s="239" t="str">
        <f>IF(W$3="","",IF(COUNTIFS(BD!$A$3:$A$5001,W$3,BD!$B$3:$B$5001,$A$290,BD!$U$3:$U$5001,"&lt;&gt;")=0,"",SUMIFS(BD!$U$3:$U$5001,BD!$A$3:$A$5001,W$3,BD!$B$3:$B$5001,$A$290)))</f>
        <v/>
      </c>
      <c r="X309" s="239" t="str">
        <f>IF(X$3="","",IF(COUNTIFS(BD!$A$3:$A$5001,X$3,BD!$B$3:$B$5001,$A$290,BD!$U$3:$U$5001,"&lt;&gt;")=0,"",SUMIFS(BD!$U$3:$U$5001,BD!$A$3:$A$5001,X$3,BD!$B$3:$B$5001,$A$290)))</f>
        <v/>
      </c>
      <c r="Y309" s="239" t="str">
        <f>IF(Y$3="","",IF(COUNTIFS(BD!$A$3:$A$5001,Y$3,BD!$B$3:$B$5001,$A$290,BD!$U$3:$U$5001,"&lt;&gt;")=0,"",SUMIFS(BD!$U$3:$U$5001,BD!$A$3:$A$5001,Y$3,BD!$B$3:$B$5001,$A$290)))</f>
        <v/>
      </c>
      <c r="Z309" s="239" t="str">
        <f>IF(Z$3="","",IF(COUNTIFS(BD!$A$3:$A$5001,Z$3,BD!$B$3:$B$5001,$A$290,BD!$U$3:$U$5001,"&lt;&gt;")=0,"",SUMIFS(BD!$U$3:$U$5001,BD!$A$3:$A$5001,Z$3,BD!$B$3:$B$5001,$A$290)))</f>
        <v/>
      </c>
      <c r="AA309" s="239" t="str">
        <f>IF(AA$3="","",IF(COUNTIFS(BD!$A$3:$A$5001,AA$3,BD!$B$3:$B$5001,$A$290,BD!$U$3:$U$5001,"&lt;&gt;")=0,"",SUMIFS(BD!$U$3:$U$5001,BD!$A$3:$A$5001,AA$3,BD!$B$3:$B$5001,$A$290)))</f>
        <v/>
      </c>
      <c r="AB309" s="239" t="str">
        <f>IF(AB$3="","",IF(COUNTIFS(BD!$A$3:$A$5001,AB$3,BD!$B$3:$B$5001,$A$290,BD!$U$3:$U$5001,"&lt;&gt;")=0,"",SUMIFS(BD!$U$3:$U$5001,BD!$A$3:$A$5001,AB$3,BD!$B$3:$B$5001,$A$290)))</f>
        <v/>
      </c>
      <c r="AC309" s="239" t="str">
        <f>IF(AC$3="","",IF(COUNTIFS(BD!$A$3:$A$5001,AC$3,BD!$B$3:$B$5001,$A$290,BD!$U$3:$U$5001,"&lt;&gt;")=0,"",SUMIFS(BD!$U$3:$U$5001,BD!$A$3:$A$5001,AC$3,BD!$B$3:$B$5001,$A$290)))</f>
        <v/>
      </c>
      <c r="AD309" s="239" t="str">
        <f>IF(AD$3="","",IF(COUNTIFS(BD!$A$3:$A$5001,AD$3,BD!$B$3:$B$5001,$A$290,BD!$U$3:$U$5001,"&lt;&gt;")=0,"",SUMIFS(BD!$U$3:$U$5001,BD!$A$3:$A$5001,AD$3,BD!$B$3:$B$5001,$A$290)))</f>
        <v/>
      </c>
      <c r="AE309" s="239" t="str">
        <f>IF(AE$3="","",IF(COUNTIFS(BD!$A$3:$A$5001,AE$3,BD!$B$3:$B$5001,$A$290,BD!$U$3:$U$5001,"&lt;&gt;")=0,"",SUMIFS(BD!$U$3:$U$5001,BD!$A$3:$A$5001,AE$3,BD!$B$3:$B$5001,$A$290)))</f>
        <v/>
      </c>
      <c r="AF309" s="239" t="str">
        <f>IF(AF$3="","",IF(COUNTIFS(BD!$A$3:$A$5001,AF$3,BD!$B$3:$B$5001,$A$290,BD!$U$3:$U$5001,"&lt;&gt;")=0,"",SUMIFS(BD!$U$3:$U$5001,BD!$A$3:$A$5001,AF$3,BD!$B$3:$B$5001,$A$290)))</f>
        <v/>
      </c>
      <c r="AG309" s="239" t="str">
        <f>IF(AG$3="","",IF(COUNTIFS(BD!$A$3:$A$5001,AG$3,BD!$B$3:$B$5001,$A$290,BD!$U$3:$U$5001,"&lt;&gt;")=0,"",SUMIFS(BD!$U$3:$U$5001,BD!$A$3:$A$5001,AG$3,BD!$B$3:$B$5001,$A$290)))</f>
        <v/>
      </c>
      <c r="AH309" s="239" t="str">
        <f>IF(AH$3="","",IF(COUNTIFS(BD!$A$3:$A$5001,AH$3,BD!$B$3:$B$5001,$A$290,BD!$U$3:$U$5001,"&lt;&gt;")=0,"",SUMIFS(BD!$U$3:$U$5001,BD!$A$3:$A$5001,AH$3,BD!$B$3:$B$5001,$A$290)))</f>
        <v/>
      </c>
      <c r="AI309" s="239" t="str">
        <f>IF(AI$3="","",IF(COUNTIFS(BD!$A$3:$A$5001,AI$3,BD!$B$3:$B$5001,$A$290,BD!$U$3:$U$5001,"&lt;&gt;")=0,"",SUMIFS(BD!$U$3:$U$5001,BD!$A$3:$A$5001,AI$3,BD!$B$3:$B$5001,$A$290)))</f>
        <v/>
      </c>
      <c r="AJ309" s="240" t="str">
        <f>IF(AJ$3="","",IF(COUNTIFS(BD!$A$3:$A$5001,AJ$3,BD!$B$3:$B$5001,$A$290,BD!$U$3:$U$5001,"&lt;&gt;")=0,"",SUMIFS(BD!$U$3:$U$5001,BD!$A$3:$A$5001,AJ$3,BD!$B$3:$B$5001,$A$290)))</f>
        <v/>
      </c>
      <c r="AK309" s="236" t="str">
        <f>IF(COUNT(F309:AJ309)=0,"",SUM(F309:AJ309))</f>
        <v/>
      </c>
    </row>
    <row r="311" ht="15.75" customHeight="1" hidden="1">
      <c r="A311" s="253"/>
      <c r="B311" s="241" t="inlineStr">
        <is>
          <t xml:space="preserve">IN</t>
        </is>
      </c>
      <c r="C311" s="155" t="inlineStr">
        <is>
          <t xml:space="preserve">Veículos Recebidos</t>
        </is>
      </c>
      <c r="D311" s="156" t="str">
        <f>IFERROR(1/(1/INDEX(BD!$Y$23:$AS$23,MATCH($A$311,BD!$Y$22:$AS$22,0))),"")</f>
        <v/>
      </c>
      <c r="E311" s="157"/>
      <c r="F311" s="158" t="str">
        <f>IF(F$3="","",IF(COUNTIFS(BD!$A$3:$A$5001,F$3,BD!$B$3:$B$5001,$A$311,BD!$C$3:$C$5001,"&lt;&gt;")=0,"",SUMIFS(BD!$C$3:$C$5001,BD!$A$3:$A$5001,F$3,BD!$B$3:$B$5001,$A$311)))</f>
        <v/>
      </c>
      <c r="G311" s="159" t="str">
        <f>IF(G$3="","",IF(COUNTIFS(BD!$A$3:$A$5001,G$3,BD!$B$3:$B$5001,$A$311,BD!$C$3:$C$5001,"&lt;&gt;")=0,"",SUMIFS(BD!$C$3:$C$5001,BD!$A$3:$A$5001,G$3,BD!$B$3:$B$5001,$A$311)))</f>
        <v/>
      </c>
      <c r="H311" s="159" t="str">
        <f>IF(H$3="","",IF(COUNTIFS(BD!$A$3:$A$5001,H$3,BD!$B$3:$B$5001,$A$311,BD!$C$3:$C$5001,"&lt;&gt;")=0,"",SUMIFS(BD!$C$3:$C$5001,BD!$A$3:$A$5001,H$3,BD!$B$3:$B$5001,$A$311)))</f>
        <v/>
      </c>
      <c r="I311" s="159" t="str">
        <f>IF(I$3="","",IF(COUNTIFS(BD!$A$3:$A$5001,I$3,BD!$B$3:$B$5001,$A$311,BD!$C$3:$C$5001,"&lt;&gt;")=0,"",SUMIFS(BD!$C$3:$C$5001,BD!$A$3:$A$5001,I$3,BD!$B$3:$B$5001,$A$311)))</f>
        <v/>
      </c>
      <c r="J311" s="159" t="str">
        <f>IF(J$3="","",IF(COUNTIFS(BD!$A$3:$A$5001,J$3,BD!$B$3:$B$5001,$A$311,BD!$C$3:$C$5001,"&lt;&gt;")=0,"",SUMIFS(BD!$C$3:$C$5001,BD!$A$3:$A$5001,J$3,BD!$B$3:$B$5001,$A$311)))</f>
        <v/>
      </c>
      <c r="K311" s="159" t="str">
        <f>IF(K$3="","",IF(COUNTIFS(BD!$A$3:$A$5001,K$3,BD!$B$3:$B$5001,$A$311,BD!$C$3:$C$5001,"&lt;&gt;")=0,"",SUMIFS(BD!$C$3:$C$5001,BD!$A$3:$A$5001,K$3,BD!$B$3:$B$5001,$A$311)))</f>
        <v/>
      </c>
      <c r="L311" s="159" t="str">
        <f>IF(L$3="","",IF(COUNTIFS(BD!$A$3:$A$5001,L$3,BD!$B$3:$B$5001,$A$311,BD!$C$3:$C$5001,"&lt;&gt;")=0,"",SUMIFS(BD!$C$3:$C$5001,BD!$A$3:$A$5001,L$3,BD!$B$3:$B$5001,$A$311)))</f>
        <v/>
      </c>
      <c r="M311" s="159" t="str">
        <f>IF(M$3="","",IF(COUNTIFS(BD!$A$3:$A$5001,M$3,BD!$B$3:$B$5001,$A$311,BD!$C$3:$C$5001,"&lt;&gt;")=0,"",SUMIFS(BD!$C$3:$C$5001,BD!$A$3:$A$5001,M$3,BD!$B$3:$B$5001,$A$311)))</f>
        <v/>
      </c>
      <c r="N311" s="159" t="str">
        <f>IF(N$3="","",IF(COUNTIFS(BD!$A$3:$A$5001,N$3,BD!$B$3:$B$5001,$A$311,BD!$C$3:$C$5001,"&lt;&gt;")=0,"",SUMIFS(BD!$C$3:$C$5001,BD!$A$3:$A$5001,N$3,BD!$B$3:$B$5001,$A$311)))</f>
        <v/>
      </c>
      <c r="O311" s="159" t="str">
        <f>IF(O$3="","",IF(COUNTIFS(BD!$A$3:$A$5001,O$3,BD!$B$3:$B$5001,$A$311,BD!$C$3:$C$5001,"&lt;&gt;")=0,"",SUMIFS(BD!$C$3:$C$5001,BD!$A$3:$A$5001,O$3,BD!$B$3:$B$5001,$A$311)))</f>
        <v/>
      </c>
      <c r="P311" s="159" t="str">
        <f>IF(P$3="","",IF(COUNTIFS(BD!$A$3:$A$5001,P$3,BD!$B$3:$B$5001,$A$311,BD!$C$3:$C$5001,"&lt;&gt;")=0,"",SUMIFS(BD!$C$3:$C$5001,BD!$A$3:$A$5001,P$3,BD!$B$3:$B$5001,$A$311)))</f>
        <v/>
      </c>
      <c r="Q311" s="159" t="str">
        <f>IF(Q$3="","",IF(COUNTIFS(BD!$A$3:$A$5001,Q$3,BD!$B$3:$B$5001,$A$311,BD!$C$3:$C$5001,"&lt;&gt;")=0,"",SUMIFS(BD!$C$3:$C$5001,BD!$A$3:$A$5001,Q$3,BD!$B$3:$B$5001,$A$311)))</f>
        <v/>
      </c>
      <c r="R311" s="159" t="str">
        <f>IF(R$3="","",IF(COUNTIFS(BD!$A$3:$A$5001,R$3,BD!$B$3:$B$5001,$A$311,BD!$C$3:$C$5001,"&lt;&gt;")=0,"",SUMIFS(BD!$C$3:$C$5001,BD!$A$3:$A$5001,R$3,BD!$B$3:$B$5001,$A$311)))</f>
        <v/>
      </c>
      <c r="S311" s="159" t="str">
        <f>IF(S$3="","",IF(COUNTIFS(BD!$A$3:$A$5001,S$3,BD!$B$3:$B$5001,$A$311,BD!$C$3:$C$5001,"&lt;&gt;")=0,"",SUMIFS(BD!$C$3:$C$5001,BD!$A$3:$A$5001,S$3,BD!$B$3:$B$5001,$A$311)))</f>
        <v/>
      </c>
      <c r="T311" s="159" t="str">
        <f>IF(T$3="","",IF(COUNTIFS(BD!$A$3:$A$5001,T$3,BD!$B$3:$B$5001,$A$311,BD!$C$3:$C$5001,"&lt;&gt;")=0,"",SUMIFS(BD!$C$3:$C$5001,BD!$A$3:$A$5001,T$3,BD!$B$3:$B$5001,$A$311)))</f>
        <v/>
      </c>
      <c r="U311" s="159" t="str">
        <f>IF(U$3="","",IF(COUNTIFS(BD!$A$3:$A$5001,U$3,BD!$B$3:$B$5001,$A$311,BD!$C$3:$C$5001,"&lt;&gt;")=0,"",SUMIFS(BD!$C$3:$C$5001,BD!$A$3:$A$5001,U$3,BD!$B$3:$B$5001,$A$311)))</f>
        <v/>
      </c>
      <c r="V311" s="159" t="str">
        <f>IF(V$3="","",IF(COUNTIFS(BD!$A$3:$A$5001,V$3,BD!$B$3:$B$5001,$A$311,BD!$C$3:$C$5001,"&lt;&gt;")=0,"",SUMIFS(BD!$C$3:$C$5001,BD!$A$3:$A$5001,V$3,BD!$B$3:$B$5001,$A$311)))</f>
        <v/>
      </c>
      <c r="W311" s="159" t="str">
        <f>IF(W$3="","",IF(COUNTIFS(BD!$A$3:$A$5001,W$3,BD!$B$3:$B$5001,$A$311,BD!$C$3:$C$5001,"&lt;&gt;")=0,"",SUMIFS(BD!$C$3:$C$5001,BD!$A$3:$A$5001,W$3,BD!$B$3:$B$5001,$A$311)))</f>
        <v/>
      </c>
      <c r="X311" s="159" t="str">
        <f>IF(X$3="","",IF(COUNTIFS(BD!$A$3:$A$5001,X$3,BD!$B$3:$B$5001,$A$311,BD!$C$3:$C$5001,"&lt;&gt;")=0,"",SUMIFS(BD!$C$3:$C$5001,BD!$A$3:$A$5001,X$3,BD!$B$3:$B$5001,$A$311)))</f>
        <v/>
      </c>
      <c r="Y311" s="159" t="str">
        <f>IF(Y$3="","",IF(COUNTIFS(BD!$A$3:$A$5001,Y$3,BD!$B$3:$B$5001,$A$311,BD!$C$3:$C$5001,"&lt;&gt;")=0,"",SUMIFS(BD!$C$3:$C$5001,BD!$A$3:$A$5001,Y$3,BD!$B$3:$B$5001,$A$311)))</f>
        <v/>
      </c>
      <c r="Z311" s="159" t="str">
        <f>IF(Z$3="","",IF(COUNTIFS(BD!$A$3:$A$5001,Z$3,BD!$B$3:$B$5001,$A$311,BD!$C$3:$C$5001,"&lt;&gt;")=0,"",SUMIFS(BD!$C$3:$C$5001,BD!$A$3:$A$5001,Z$3,BD!$B$3:$B$5001,$A$311)))</f>
        <v/>
      </c>
      <c r="AA311" s="159" t="str">
        <f>IF(AA$3="","",IF(COUNTIFS(BD!$A$3:$A$5001,AA$3,BD!$B$3:$B$5001,$A$311,BD!$C$3:$C$5001,"&lt;&gt;")=0,"",SUMIFS(BD!$C$3:$C$5001,BD!$A$3:$A$5001,AA$3,BD!$B$3:$B$5001,$A$311)))</f>
        <v/>
      </c>
      <c r="AB311" s="159" t="str">
        <f>IF(AB$3="","",IF(COUNTIFS(BD!$A$3:$A$5001,AB$3,BD!$B$3:$B$5001,$A$311,BD!$C$3:$C$5001,"&lt;&gt;")=0,"",SUMIFS(BD!$C$3:$C$5001,BD!$A$3:$A$5001,AB$3,BD!$B$3:$B$5001,$A$311)))</f>
        <v/>
      </c>
      <c r="AC311" s="159" t="str">
        <f>IF(AC$3="","",IF(COUNTIFS(BD!$A$3:$A$5001,AC$3,BD!$B$3:$B$5001,$A$311,BD!$C$3:$C$5001,"&lt;&gt;")=0,"",SUMIFS(BD!$C$3:$C$5001,BD!$A$3:$A$5001,AC$3,BD!$B$3:$B$5001,$A$311)))</f>
        <v/>
      </c>
      <c r="AD311" s="159" t="str">
        <f>IF(AD$3="","",IF(COUNTIFS(BD!$A$3:$A$5001,AD$3,BD!$B$3:$B$5001,$A$311,BD!$C$3:$C$5001,"&lt;&gt;")=0,"",SUMIFS(BD!$C$3:$C$5001,BD!$A$3:$A$5001,AD$3,BD!$B$3:$B$5001,$A$311)))</f>
        <v/>
      </c>
      <c r="AE311" s="159" t="str">
        <f>IF(AE$3="","",IF(COUNTIFS(BD!$A$3:$A$5001,AE$3,BD!$B$3:$B$5001,$A$311,BD!$C$3:$C$5001,"&lt;&gt;")=0,"",SUMIFS(BD!$C$3:$C$5001,BD!$A$3:$A$5001,AE$3,BD!$B$3:$B$5001,$A$311)))</f>
        <v/>
      </c>
      <c r="AF311" s="159" t="str">
        <f>IF(AF$3="","",IF(COUNTIFS(BD!$A$3:$A$5001,AF$3,BD!$B$3:$B$5001,$A$311,BD!$C$3:$C$5001,"&lt;&gt;")=0,"",SUMIFS(BD!$C$3:$C$5001,BD!$A$3:$A$5001,AF$3,BD!$B$3:$B$5001,$A$311)))</f>
        <v/>
      </c>
      <c r="AG311" s="159" t="str">
        <f>IF(AG$3="","",IF(COUNTIFS(BD!$A$3:$A$5001,AG$3,BD!$B$3:$B$5001,$A$311,BD!$C$3:$C$5001,"&lt;&gt;")=0,"",SUMIFS(BD!$C$3:$C$5001,BD!$A$3:$A$5001,AG$3,BD!$B$3:$B$5001,$A$311)))</f>
        <v/>
      </c>
      <c r="AH311" s="159" t="str">
        <f>IF(AH$3="","",IF(COUNTIFS(BD!$A$3:$A$5001,AH$3,BD!$B$3:$B$5001,$A$311,BD!$C$3:$C$5001,"&lt;&gt;")=0,"",SUMIFS(BD!$C$3:$C$5001,BD!$A$3:$A$5001,AH$3,BD!$B$3:$B$5001,$A$311)))</f>
        <v/>
      </c>
      <c r="AI311" s="159" t="str">
        <f>IF(AI$3="","",IF(COUNTIFS(BD!$A$3:$A$5001,AI$3,BD!$B$3:$B$5001,$A$311,BD!$C$3:$C$5001,"&lt;&gt;")=0,"",SUMIFS(BD!$C$3:$C$5001,BD!$A$3:$A$5001,AI$3,BD!$B$3:$B$5001,$A$311)))</f>
        <v/>
      </c>
      <c r="AJ311" s="160" t="str">
        <f>IF(AJ$3="","",IF(COUNTIFS(BD!$A$3:$A$5001,AJ$3,BD!$B$3:$B$5001,$A$311,BD!$C$3:$C$5001,"&lt;&gt;")=0,"",SUMIFS(BD!$C$3:$C$5001,BD!$A$3:$A$5001,AJ$3,BD!$B$3:$B$5001,$A$311)))</f>
        <v/>
      </c>
      <c r="AK311" s="161" t="str">
        <f>IF(COUNT(F311:AJ311)=0,"",SUM(F311:AJ311))</f>
        <v/>
      </c>
    </row>
    <row r="312" ht="15.75" customHeight="1" hidden="1">
      <c r="A312" s="254"/>
      <c r="B312" s="242"/>
      <c r="C312" s="162" t="inlineStr">
        <is>
          <t xml:space="preserve">Pallets Movimentados</t>
        </is>
      </c>
      <c r="D312" s="163" t="str">
        <f>IFERROR(1/(1/INDEX(BD!$Y$24:$AS$24,MATCH($A$311,BD!$Y$22:$AS$22,0))),"")</f>
        <v/>
      </c>
      <c r="E312" s="164"/>
      <c r="F312" s="165" t="str">
        <f>IF(F$3="","",IF(COUNTIFS(BD!$A$3:$A$5001,F$3,BD!$B$3:$B$5001,$A$311,BD!$D$3:$D$5001,"&lt;&gt;")=0,"",SUMIFS(BD!$D$3:$D$5001,BD!$A$3:$A$5001,F$3,BD!$B$3:$B$5001,$A$311)))</f>
        <v/>
      </c>
      <c r="G312" s="166" t="str">
        <f>IF(G$3="","",IF(COUNTIFS(BD!$A$3:$A$5001,G$3,BD!$B$3:$B$5001,$A$311,BD!$D$3:$D$5001,"&lt;&gt;")=0,"",SUMIFS(BD!$D$3:$D$5001,BD!$A$3:$A$5001,G$3,BD!$B$3:$B$5001,$A$311)))</f>
        <v/>
      </c>
      <c r="H312" s="166" t="str">
        <f>IF(H$3="","",IF(COUNTIFS(BD!$A$3:$A$5001,H$3,BD!$B$3:$B$5001,$A$311,BD!$D$3:$D$5001,"&lt;&gt;")=0,"",SUMIFS(BD!$D$3:$D$5001,BD!$A$3:$A$5001,H$3,BD!$B$3:$B$5001,$A$311)))</f>
        <v/>
      </c>
      <c r="I312" s="166" t="str">
        <f>IF(I$3="","",IF(COUNTIFS(BD!$A$3:$A$5001,I$3,BD!$B$3:$B$5001,$A$311,BD!$D$3:$D$5001,"&lt;&gt;")=0,"",SUMIFS(BD!$D$3:$D$5001,BD!$A$3:$A$5001,I$3,BD!$B$3:$B$5001,$A$311)))</f>
        <v/>
      </c>
      <c r="J312" s="166" t="str">
        <f>IF(J$3="","",IF(COUNTIFS(BD!$A$3:$A$5001,J$3,BD!$B$3:$B$5001,$A$311,BD!$D$3:$D$5001,"&lt;&gt;")=0,"",SUMIFS(BD!$D$3:$D$5001,BD!$A$3:$A$5001,J$3,BD!$B$3:$B$5001,$A$311)))</f>
        <v/>
      </c>
      <c r="K312" s="166" t="str">
        <f>IF(K$3="","",IF(COUNTIFS(BD!$A$3:$A$5001,K$3,BD!$B$3:$B$5001,$A$311,BD!$D$3:$D$5001,"&lt;&gt;")=0,"",SUMIFS(BD!$D$3:$D$5001,BD!$A$3:$A$5001,K$3,BD!$B$3:$B$5001,$A$311)))</f>
        <v/>
      </c>
      <c r="L312" s="166" t="str">
        <f>IF(L$3="","",IF(COUNTIFS(BD!$A$3:$A$5001,L$3,BD!$B$3:$B$5001,$A$311,BD!$D$3:$D$5001,"&lt;&gt;")=0,"",SUMIFS(BD!$D$3:$D$5001,BD!$A$3:$A$5001,L$3,BD!$B$3:$B$5001,$A$311)))</f>
        <v/>
      </c>
      <c r="M312" s="166" t="str">
        <f>IF(M$3="","",IF(COUNTIFS(BD!$A$3:$A$5001,M$3,BD!$B$3:$B$5001,$A$311,BD!$D$3:$D$5001,"&lt;&gt;")=0,"",SUMIFS(BD!$D$3:$D$5001,BD!$A$3:$A$5001,M$3,BD!$B$3:$B$5001,$A$311)))</f>
        <v/>
      </c>
      <c r="N312" s="166" t="str">
        <f>IF(N$3="","",IF(COUNTIFS(BD!$A$3:$A$5001,N$3,BD!$B$3:$B$5001,$A$311,BD!$D$3:$D$5001,"&lt;&gt;")=0,"",SUMIFS(BD!$D$3:$D$5001,BD!$A$3:$A$5001,N$3,BD!$B$3:$B$5001,$A$311)))</f>
        <v/>
      </c>
      <c r="O312" s="166" t="str">
        <f>IF(O$3="","",IF(COUNTIFS(BD!$A$3:$A$5001,O$3,BD!$B$3:$B$5001,$A$311,BD!$D$3:$D$5001,"&lt;&gt;")=0,"",SUMIFS(BD!$D$3:$D$5001,BD!$A$3:$A$5001,O$3,BD!$B$3:$B$5001,$A$311)))</f>
        <v/>
      </c>
      <c r="P312" s="166" t="str">
        <f>IF(P$3="","",IF(COUNTIFS(BD!$A$3:$A$5001,P$3,BD!$B$3:$B$5001,$A$311,BD!$D$3:$D$5001,"&lt;&gt;")=0,"",SUMIFS(BD!$D$3:$D$5001,BD!$A$3:$A$5001,P$3,BD!$B$3:$B$5001,$A$311)))</f>
        <v/>
      </c>
      <c r="Q312" s="166" t="str">
        <f>IF(Q$3="","",IF(COUNTIFS(BD!$A$3:$A$5001,Q$3,BD!$B$3:$B$5001,$A$311,BD!$D$3:$D$5001,"&lt;&gt;")=0,"",SUMIFS(BD!$D$3:$D$5001,BD!$A$3:$A$5001,Q$3,BD!$B$3:$B$5001,$A$311)))</f>
        <v/>
      </c>
      <c r="R312" s="166" t="str">
        <f>IF(R$3="","",IF(COUNTIFS(BD!$A$3:$A$5001,R$3,BD!$B$3:$B$5001,$A$311,BD!$D$3:$D$5001,"&lt;&gt;")=0,"",SUMIFS(BD!$D$3:$D$5001,BD!$A$3:$A$5001,R$3,BD!$B$3:$B$5001,$A$311)))</f>
        <v/>
      </c>
      <c r="S312" s="166" t="str">
        <f>IF(S$3="","",IF(COUNTIFS(BD!$A$3:$A$5001,S$3,BD!$B$3:$B$5001,$A$311,BD!$D$3:$D$5001,"&lt;&gt;")=0,"",SUMIFS(BD!$D$3:$D$5001,BD!$A$3:$A$5001,S$3,BD!$B$3:$B$5001,$A$311)))</f>
        <v/>
      </c>
      <c r="T312" s="166" t="str">
        <f>IF(T$3="","",IF(COUNTIFS(BD!$A$3:$A$5001,T$3,BD!$B$3:$B$5001,$A$311,BD!$D$3:$D$5001,"&lt;&gt;")=0,"",SUMIFS(BD!$D$3:$D$5001,BD!$A$3:$A$5001,T$3,BD!$B$3:$B$5001,$A$311)))</f>
        <v/>
      </c>
      <c r="U312" s="166" t="str">
        <f>IF(U$3="","",IF(COUNTIFS(BD!$A$3:$A$5001,U$3,BD!$B$3:$B$5001,$A$311,BD!$D$3:$D$5001,"&lt;&gt;")=0,"",SUMIFS(BD!$D$3:$D$5001,BD!$A$3:$A$5001,U$3,BD!$B$3:$B$5001,$A$311)))</f>
        <v/>
      </c>
      <c r="V312" s="166" t="str">
        <f>IF(V$3="","",IF(COUNTIFS(BD!$A$3:$A$5001,V$3,BD!$B$3:$B$5001,$A$311,BD!$D$3:$D$5001,"&lt;&gt;")=0,"",SUMIFS(BD!$D$3:$D$5001,BD!$A$3:$A$5001,V$3,BD!$B$3:$B$5001,$A$311)))</f>
        <v/>
      </c>
      <c r="W312" s="166" t="str">
        <f>IF(W$3="","",IF(COUNTIFS(BD!$A$3:$A$5001,W$3,BD!$B$3:$B$5001,$A$311,BD!$D$3:$D$5001,"&lt;&gt;")=0,"",SUMIFS(BD!$D$3:$D$5001,BD!$A$3:$A$5001,W$3,BD!$B$3:$B$5001,$A$311)))</f>
        <v/>
      </c>
      <c r="X312" s="166" t="str">
        <f>IF(X$3="","",IF(COUNTIFS(BD!$A$3:$A$5001,X$3,BD!$B$3:$B$5001,$A$311,BD!$D$3:$D$5001,"&lt;&gt;")=0,"",SUMIFS(BD!$D$3:$D$5001,BD!$A$3:$A$5001,X$3,BD!$B$3:$B$5001,$A$311)))</f>
        <v/>
      </c>
      <c r="Y312" s="166" t="str">
        <f>IF(Y$3="","",IF(COUNTIFS(BD!$A$3:$A$5001,Y$3,BD!$B$3:$B$5001,$A$311,BD!$D$3:$D$5001,"&lt;&gt;")=0,"",SUMIFS(BD!$D$3:$D$5001,BD!$A$3:$A$5001,Y$3,BD!$B$3:$B$5001,$A$311)))</f>
        <v/>
      </c>
      <c r="Z312" s="166" t="str">
        <f>IF(Z$3="","",IF(COUNTIFS(BD!$A$3:$A$5001,Z$3,BD!$B$3:$B$5001,$A$311,BD!$D$3:$D$5001,"&lt;&gt;")=0,"",SUMIFS(BD!$D$3:$D$5001,BD!$A$3:$A$5001,Z$3,BD!$B$3:$B$5001,$A$311)))</f>
        <v/>
      </c>
      <c r="AA312" s="166" t="str">
        <f>IF(AA$3="","",IF(COUNTIFS(BD!$A$3:$A$5001,AA$3,BD!$B$3:$B$5001,$A$311,BD!$D$3:$D$5001,"&lt;&gt;")=0,"",SUMIFS(BD!$D$3:$D$5001,BD!$A$3:$A$5001,AA$3,BD!$B$3:$B$5001,$A$311)))</f>
        <v/>
      </c>
      <c r="AB312" s="166" t="str">
        <f>IF(AB$3="","",IF(COUNTIFS(BD!$A$3:$A$5001,AB$3,BD!$B$3:$B$5001,$A$311,BD!$D$3:$D$5001,"&lt;&gt;")=0,"",SUMIFS(BD!$D$3:$D$5001,BD!$A$3:$A$5001,AB$3,BD!$B$3:$B$5001,$A$311)))</f>
        <v/>
      </c>
      <c r="AC312" s="166" t="str">
        <f>IF(AC$3="","",IF(COUNTIFS(BD!$A$3:$A$5001,AC$3,BD!$B$3:$B$5001,$A$311,BD!$D$3:$D$5001,"&lt;&gt;")=0,"",SUMIFS(BD!$D$3:$D$5001,BD!$A$3:$A$5001,AC$3,BD!$B$3:$B$5001,$A$311)))</f>
        <v/>
      </c>
      <c r="AD312" s="166" t="str">
        <f>IF(AD$3="","",IF(COUNTIFS(BD!$A$3:$A$5001,AD$3,BD!$B$3:$B$5001,$A$311,BD!$D$3:$D$5001,"&lt;&gt;")=0,"",SUMIFS(BD!$D$3:$D$5001,BD!$A$3:$A$5001,AD$3,BD!$B$3:$B$5001,$A$311)))</f>
        <v/>
      </c>
      <c r="AE312" s="166" t="str">
        <f>IF(AE$3="","",IF(COUNTIFS(BD!$A$3:$A$5001,AE$3,BD!$B$3:$B$5001,$A$311,BD!$D$3:$D$5001,"&lt;&gt;")=0,"",SUMIFS(BD!$D$3:$D$5001,BD!$A$3:$A$5001,AE$3,BD!$B$3:$B$5001,$A$311)))</f>
        <v/>
      </c>
      <c r="AF312" s="166" t="str">
        <f>IF(AF$3="","",IF(COUNTIFS(BD!$A$3:$A$5001,AF$3,BD!$B$3:$B$5001,$A$311,BD!$D$3:$D$5001,"&lt;&gt;")=0,"",SUMIFS(BD!$D$3:$D$5001,BD!$A$3:$A$5001,AF$3,BD!$B$3:$B$5001,$A$311)))</f>
        <v/>
      </c>
      <c r="AG312" s="166" t="str">
        <f>IF(AG$3="","",IF(COUNTIFS(BD!$A$3:$A$5001,AG$3,BD!$B$3:$B$5001,$A$311,BD!$D$3:$D$5001,"&lt;&gt;")=0,"",SUMIFS(BD!$D$3:$D$5001,BD!$A$3:$A$5001,AG$3,BD!$B$3:$B$5001,$A$311)))</f>
        <v/>
      </c>
      <c r="AH312" s="166" t="str">
        <f>IF(AH$3="","",IF(COUNTIFS(BD!$A$3:$A$5001,AH$3,BD!$B$3:$B$5001,$A$311,BD!$D$3:$D$5001,"&lt;&gt;")=0,"",SUMIFS(BD!$D$3:$D$5001,BD!$A$3:$A$5001,AH$3,BD!$B$3:$B$5001,$A$311)))</f>
        <v/>
      </c>
      <c r="AI312" s="166" t="str">
        <f>IF(AI$3="","",IF(COUNTIFS(BD!$A$3:$A$5001,AI$3,BD!$B$3:$B$5001,$A$311,BD!$D$3:$D$5001,"&lt;&gt;")=0,"",SUMIFS(BD!$D$3:$D$5001,BD!$A$3:$A$5001,AI$3,BD!$B$3:$B$5001,$A$311)))</f>
        <v/>
      </c>
      <c r="AJ312" s="167" t="str">
        <f>IF(AJ$3="","",IF(COUNTIFS(BD!$A$3:$A$5001,AJ$3,BD!$B$3:$B$5001,$A$311,BD!$D$3:$D$5001,"&lt;&gt;")=0,"",SUMIFS(BD!$D$3:$D$5001,BD!$A$3:$A$5001,AJ$3,BD!$B$3:$B$5001,$A$311)))</f>
        <v/>
      </c>
      <c r="AK312" s="168" t="str">
        <f>IF(COUNT(F312:AJ312)=0,"",SUM(F312:AJ312))</f>
        <v/>
      </c>
    </row>
    <row r="313" ht="15.75" customHeight="1" hidden="1">
      <c r="A313" s="254"/>
      <c r="B313" s="243"/>
      <c r="C313" s="169" t="inlineStr">
        <is>
          <t xml:space="preserve">Toneladas Movimentadas</t>
        </is>
      </c>
      <c r="D313" s="170" t="str">
        <f>IFERROR(1/(1/INDEX(BD!$Y$25:$AS$25,MATCH($A$311,BD!$Y$22:$AS$22,0))),"")</f>
        <v/>
      </c>
      <c r="E313" s="171"/>
      <c r="F313" s="172" t="str">
        <f>IF(F$3="","",IF(COUNTIFS(BD!$A$3:$A$5001,F$3,BD!$B$3:$B$5001,$A$311,BD!$E$3:$E$5001,"&lt;&gt;")=0,"",SUMIFS(BD!$E$3:$E$5001,BD!$A$3:$A$5001,F$3,BD!$B$3:$B$5001,$A$311)))</f>
        <v/>
      </c>
      <c r="G313" s="173" t="str">
        <f>IF(G$3="","",IF(COUNTIFS(BD!$A$3:$A$5001,G$3,BD!$B$3:$B$5001,$A$311,BD!$E$3:$E$5001,"&lt;&gt;")=0,"",SUMIFS(BD!$E$3:$E$5001,BD!$A$3:$A$5001,G$3,BD!$B$3:$B$5001,$A$311)))</f>
        <v/>
      </c>
      <c r="H313" s="173" t="str">
        <f>IF(H$3="","",IF(COUNTIFS(BD!$A$3:$A$5001,H$3,BD!$B$3:$B$5001,$A$311,BD!$E$3:$E$5001,"&lt;&gt;")=0,"",SUMIFS(BD!$E$3:$E$5001,BD!$A$3:$A$5001,H$3,BD!$B$3:$B$5001,$A$311)))</f>
        <v/>
      </c>
      <c r="I313" s="173" t="str">
        <f>IF(I$3="","",IF(COUNTIFS(BD!$A$3:$A$5001,I$3,BD!$B$3:$B$5001,$A$311,BD!$E$3:$E$5001,"&lt;&gt;")=0,"",SUMIFS(BD!$E$3:$E$5001,BD!$A$3:$A$5001,I$3,BD!$B$3:$B$5001,$A$311)))</f>
        <v/>
      </c>
      <c r="J313" s="173" t="str">
        <f>IF(J$3="","",IF(COUNTIFS(BD!$A$3:$A$5001,J$3,BD!$B$3:$B$5001,$A$311,BD!$E$3:$E$5001,"&lt;&gt;")=0,"",SUMIFS(BD!$E$3:$E$5001,BD!$A$3:$A$5001,J$3,BD!$B$3:$B$5001,$A$311)))</f>
        <v/>
      </c>
      <c r="K313" s="173" t="str">
        <f>IF(K$3="","",IF(COUNTIFS(BD!$A$3:$A$5001,K$3,BD!$B$3:$B$5001,$A$311,BD!$E$3:$E$5001,"&lt;&gt;")=0,"",SUMIFS(BD!$E$3:$E$5001,BD!$A$3:$A$5001,K$3,BD!$B$3:$B$5001,$A$311)))</f>
        <v/>
      </c>
      <c r="L313" s="173" t="str">
        <f>IF(L$3="","",IF(COUNTIFS(BD!$A$3:$A$5001,L$3,BD!$B$3:$B$5001,$A$311,BD!$E$3:$E$5001,"&lt;&gt;")=0,"",SUMIFS(BD!$E$3:$E$5001,BD!$A$3:$A$5001,L$3,BD!$B$3:$B$5001,$A$311)))</f>
        <v/>
      </c>
      <c r="M313" s="173" t="str">
        <f>IF(M$3="","",IF(COUNTIFS(BD!$A$3:$A$5001,M$3,BD!$B$3:$B$5001,$A$311,BD!$E$3:$E$5001,"&lt;&gt;")=0,"",SUMIFS(BD!$E$3:$E$5001,BD!$A$3:$A$5001,M$3,BD!$B$3:$B$5001,$A$311)))</f>
        <v/>
      </c>
      <c r="N313" s="173" t="str">
        <f>IF(N$3="","",IF(COUNTIFS(BD!$A$3:$A$5001,N$3,BD!$B$3:$B$5001,$A$311,BD!$E$3:$E$5001,"&lt;&gt;")=0,"",SUMIFS(BD!$E$3:$E$5001,BD!$A$3:$A$5001,N$3,BD!$B$3:$B$5001,$A$311)))</f>
        <v/>
      </c>
      <c r="O313" s="173" t="str">
        <f>IF(O$3="","",IF(COUNTIFS(BD!$A$3:$A$5001,O$3,BD!$B$3:$B$5001,$A$311,BD!$E$3:$E$5001,"&lt;&gt;")=0,"",SUMIFS(BD!$E$3:$E$5001,BD!$A$3:$A$5001,O$3,BD!$B$3:$B$5001,$A$311)))</f>
        <v/>
      </c>
      <c r="P313" s="173" t="str">
        <f>IF(P$3="","",IF(COUNTIFS(BD!$A$3:$A$5001,P$3,BD!$B$3:$B$5001,$A$311,BD!$E$3:$E$5001,"&lt;&gt;")=0,"",SUMIFS(BD!$E$3:$E$5001,BD!$A$3:$A$5001,P$3,BD!$B$3:$B$5001,$A$311)))</f>
        <v/>
      </c>
      <c r="Q313" s="173" t="str">
        <f>IF(Q$3="","",IF(COUNTIFS(BD!$A$3:$A$5001,Q$3,BD!$B$3:$B$5001,$A$311,BD!$E$3:$E$5001,"&lt;&gt;")=0,"",SUMIFS(BD!$E$3:$E$5001,BD!$A$3:$A$5001,Q$3,BD!$B$3:$B$5001,$A$311)))</f>
        <v/>
      </c>
      <c r="R313" s="173" t="str">
        <f>IF(R$3="","",IF(COUNTIFS(BD!$A$3:$A$5001,R$3,BD!$B$3:$B$5001,$A$311,BD!$E$3:$E$5001,"&lt;&gt;")=0,"",SUMIFS(BD!$E$3:$E$5001,BD!$A$3:$A$5001,R$3,BD!$B$3:$B$5001,$A$311)))</f>
        <v/>
      </c>
      <c r="S313" s="173" t="str">
        <f>IF(S$3="","",IF(COUNTIFS(BD!$A$3:$A$5001,S$3,BD!$B$3:$B$5001,$A$311,BD!$E$3:$E$5001,"&lt;&gt;")=0,"",SUMIFS(BD!$E$3:$E$5001,BD!$A$3:$A$5001,S$3,BD!$B$3:$B$5001,$A$311)))</f>
        <v/>
      </c>
      <c r="T313" s="173" t="str">
        <f>IF(T$3="","",IF(COUNTIFS(BD!$A$3:$A$5001,T$3,BD!$B$3:$B$5001,$A$311,BD!$E$3:$E$5001,"&lt;&gt;")=0,"",SUMIFS(BD!$E$3:$E$5001,BD!$A$3:$A$5001,T$3,BD!$B$3:$B$5001,$A$311)))</f>
        <v/>
      </c>
      <c r="U313" s="173" t="str">
        <f>IF(U$3="","",IF(COUNTIFS(BD!$A$3:$A$5001,U$3,BD!$B$3:$B$5001,$A$311,BD!$E$3:$E$5001,"&lt;&gt;")=0,"",SUMIFS(BD!$E$3:$E$5001,BD!$A$3:$A$5001,U$3,BD!$B$3:$B$5001,$A$311)))</f>
        <v/>
      </c>
      <c r="V313" s="173" t="str">
        <f>IF(V$3="","",IF(COUNTIFS(BD!$A$3:$A$5001,V$3,BD!$B$3:$B$5001,$A$311,BD!$E$3:$E$5001,"&lt;&gt;")=0,"",SUMIFS(BD!$E$3:$E$5001,BD!$A$3:$A$5001,V$3,BD!$B$3:$B$5001,$A$311)))</f>
        <v/>
      </c>
      <c r="W313" s="173" t="str">
        <f>IF(W$3="","",IF(COUNTIFS(BD!$A$3:$A$5001,W$3,BD!$B$3:$B$5001,$A$311,BD!$E$3:$E$5001,"&lt;&gt;")=0,"",SUMIFS(BD!$E$3:$E$5001,BD!$A$3:$A$5001,W$3,BD!$B$3:$B$5001,$A$311)))</f>
        <v/>
      </c>
      <c r="X313" s="173" t="str">
        <f>IF(X$3="","",IF(COUNTIFS(BD!$A$3:$A$5001,X$3,BD!$B$3:$B$5001,$A$311,BD!$E$3:$E$5001,"&lt;&gt;")=0,"",SUMIFS(BD!$E$3:$E$5001,BD!$A$3:$A$5001,X$3,BD!$B$3:$B$5001,$A$311)))</f>
        <v/>
      </c>
      <c r="Y313" s="173" t="str">
        <f>IF(Y$3="","",IF(COUNTIFS(BD!$A$3:$A$5001,Y$3,BD!$B$3:$B$5001,$A$311,BD!$E$3:$E$5001,"&lt;&gt;")=0,"",SUMIFS(BD!$E$3:$E$5001,BD!$A$3:$A$5001,Y$3,BD!$B$3:$B$5001,$A$311)))</f>
        <v/>
      </c>
      <c r="Z313" s="173" t="str">
        <f>IF(Z$3="","",IF(COUNTIFS(BD!$A$3:$A$5001,Z$3,BD!$B$3:$B$5001,$A$311,BD!$E$3:$E$5001,"&lt;&gt;")=0,"",SUMIFS(BD!$E$3:$E$5001,BD!$A$3:$A$5001,Z$3,BD!$B$3:$B$5001,$A$311)))</f>
        <v/>
      </c>
      <c r="AA313" s="173" t="str">
        <f>IF(AA$3="","",IF(COUNTIFS(BD!$A$3:$A$5001,AA$3,BD!$B$3:$B$5001,$A$311,BD!$E$3:$E$5001,"&lt;&gt;")=0,"",SUMIFS(BD!$E$3:$E$5001,BD!$A$3:$A$5001,AA$3,BD!$B$3:$B$5001,$A$311)))</f>
        <v/>
      </c>
      <c r="AB313" s="173" t="str">
        <f>IF(AB$3="","",IF(COUNTIFS(BD!$A$3:$A$5001,AB$3,BD!$B$3:$B$5001,$A$311,BD!$E$3:$E$5001,"&lt;&gt;")=0,"",SUMIFS(BD!$E$3:$E$5001,BD!$A$3:$A$5001,AB$3,BD!$B$3:$B$5001,$A$311)))</f>
        <v/>
      </c>
      <c r="AC313" s="173" t="str">
        <f>IF(AC$3="","",IF(COUNTIFS(BD!$A$3:$A$5001,AC$3,BD!$B$3:$B$5001,$A$311,BD!$E$3:$E$5001,"&lt;&gt;")=0,"",SUMIFS(BD!$E$3:$E$5001,BD!$A$3:$A$5001,AC$3,BD!$B$3:$B$5001,$A$311)))</f>
        <v/>
      </c>
      <c r="AD313" s="173" t="str">
        <f>IF(AD$3="","",IF(COUNTIFS(BD!$A$3:$A$5001,AD$3,BD!$B$3:$B$5001,$A$311,BD!$E$3:$E$5001,"&lt;&gt;")=0,"",SUMIFS(BD!$E$3:$E$5001,BD!$A$3:$A$5001,AD$3,BD!$B$3:$B$5001,$A$311)))</f>
        <v/>
      </c>
      <c r="AE313" s="173" t="str">
        <f>IF(AE$3="","",IF(COUNTIFS(BD!$A$3:$A$5001,AE$3,BD!$B$3:$B$5001,$A$311,BD!$E$3:$E$5001,"&lt;&gt;")=0,"",SUMIFS(BD!$E$3:$E$5001,BD!$A$3:$A$5001,AE$3,BD!$B$3:$B$5001,$A$311)))</f>
        <v/>
      </c>
      <c r="AF313" s="173" t="str">
        <f>IF(AF$3="","",IF(COUNTIFS(BD!$A$3:$A$5001,AF$3,BD!$B$3:$B$5001,$A$311,BD!$E$3:$E$5001,"&lt;&gt;")=0,"",SUMIFS(BD!$E$3:$E$5001,BD!$A$3:$A$5001,AF$3,BD!$B$3:$B$5001,$A$311)))</f>
        <v/>
      </c>
      <c r="AG313" s="173" t="str">
        <f>IF(AG$3="","",IF(COUNTIFS(BD!$A$3:$A$5001,AG$3,BD!$B$3:$B$5001,$A$311,BD!$E$3:$E$5001,"&lt;&gt;")=0,"",SUMIFS(BD!$E$3:$E$5001,BD!$A$3:$A$5001,AG$3,BD!$B$3:$B$5001,$A$311)))</f>
        <v/>
      </c>
      <c r="AH313" s="173" t="str">
        <f>IF(AH$3="","",IF(COUNTIFS(BD!$A$3:$A$5001,AH$3,BD!$B$3:$B$5001,$A$311,BD!$E$3:$E$5001,"&lt;&gt;")=0,"",SUMIFS(BD!$E$3:$E$5001,BD!$A$3:$A$5001,AH$3,BD!$B$3:$B$5001,$A$311)))</f>
        <v/>
      </c>
      <c r="AI313" s="173" t="str">
        <f>IF(AI$3="","",IF(COUNTIFS(BD!$A$3:$A$5001,AI$3,BD!$B$3:$B$5001,$A$311,BD!$E$3:$E$5001,"&lt;&gt;")=0,"",SUMIFS(BD!$E$3:$E$5001,BD!$A$3:$A$5001,AI$3,BD!$B$3:$B$5001,$A$311)))</f>
        <v/>
      </c>
      <c r="AJ313" s="174" t="str">
        <f>IF(AJ$3="","",IF(COUNTIFS(BD!$A$3:$A$5001,AJ$3,BD!$B$3:$B$5001,$A$311,BD!$E$3:$E$5001,"&lt;&gt;")=0,"",SUMIFS(BD!$E$3:$E$5001,BD!$A$3:$A$5001,AJ$3,BD!$B$3:$B$5001,$A$311)))</f>
        <v/>
      </c>
      <c r="AK313" s="175" t="str">
        <f>IF(COUNT(F313:AJ313)=0,"",SUM(F313:AJ313))</f>
        <v/>
      </c>
    </row>
    <row r="314" ht="15.75" customHeight="1" hidden="1">
      <c r="A314" s="254"/>
      <c r="B314" s="244" t="inlineStr">
        <is>
          <t xml:space="preserve">OUT</t>
        </is>
      </c>
      <c r="C314" s="176" t="inlineStr">
        <is>
          <t xml:space="preserve">Veículos Expedidos</t>
        </is>
      </c>
      <c r="D314" s="177" t="str">
        <f>IFERROR(1/(1/INDEX(BD!$Y$26:$AS$26,MATCH($A$311,BD!$Y$22:$AS$22,0))),"")</f>
        <v/>
      </c>
      <c r="E314" s="178"/>
      <c r="F314" s="179" t="str">
        <f>IF(F$3="","",IF(COUNTIFS(BD!$A$3:$A$5001,F$3,BD!$B$3:$B$5001,$A$311,BD!$F$3:$F$5001,"&lt;&gt;")=0,"",SUMIFS(BD!$F$3:$F$5001,BD!$A$3:$A$5001,F$3,BD!$B$3:$B$5001,$A$311)))</f>
        <v/>
      </c>
      <c r="G314" s="180" t="str">
        <f>IF(G$3="","",IF(COUNTIFS(BD!$A$3:$A$5001,G$3,BD!$B$3:$B$5001,$A$311,BD!$F$3:$F$5001,"&lt;&gt;")=0,"",SUMIFS(BD!$F$3:$F$5001,BD!$A$3:$A$5001,G$3,BD!$B$3:$B$5001,$A$311)))</f>
        <v/>
      </c>
      <c r="H314" s="180" t="str">
        <f>IF(H$3="","",IF(COUNTIFS(BD!$A$3:$A$5001,H$3,BD!$B$3:$B$5001,$A$311,BD!$F$3:$F$5001,"&lt;&gt;")=0,"",SUMIFS(BD!$F$3:$F$5001,BD!$A$3:$A$5001,H$3,BD!$B$3:$B$5001,$A$311)))</f>
        <v/>
      </c>
      <c r="I314" s="180" t="str">
        <f>IF(I$3="","",IF(COUNTIFS(BD!$A$3:$A$5001,I$3,BD!$B$3:$B$5001,$A$311,BD!$F$3:$F$5001,"&lt;&gt;")=0,"",SUMIFS(BD!$F$3:$F$5001,BD!$A$3:$A$5001,I$3,BD!$B$3:$B$5001,$A$311)))</f>
        <v/>
      </c>
      <c r="J314" s="180" t="str">
        <f>IF(J$3="","",IF(COUNTIFS(BD!$A$3:$A$5001,J$3,BD!$B$3:$B$5001,$A$311,BD!$F$3:$F$5001,"&lt;&gt;")=0,"",SUMIFS(BD!$F$3:$F$5001,BD!$A$3:$A$5001,J$3,BD!$B$3:$B$5001,$A$311)))</f>
        <v/>
      </c>
      <c r="K314" s="180" t="str">
        <f>IF(K$3="","",IF(COUNTIFS(BD!$A$3:$A$5001,K$3,BD!$B$3:$B$5001,$A$311,BD!$F$3:$F$5001,"&lt;&gt;")=0,"",SUMIFS(BD!$F$3:$F$5001,BD!$A$3:$A$5001,K$3,BD!$B$3:$B$5001,$A$311)))</f>
        <v/>
      </c>
      <c r="L314" s="180" t="str">
        <f>IF(L$3="","",IF(COUNTIFS(BD!$A$3:$A$5001,L$3,BD!$B$3:$B$5001,$A$311,BD!$F$3:$F$5001,"&lt;&gt;")=0,"",SUMIFS(BD!$F$3:$F$5001,BD!$A$3:$A$5001,L$3,BD!$B$3:$B$5001,$A$311)))</f>
        <v/>
      </c>
      <c r="M314" s="180" t="str">
        <f>IF(M$3="","",IF(COUNTIFS(BD!$A$3:$A$5001,M$3,BD!$B$3:$B$5001,$A$311,BD!$F$3:$F$5001,"&lt;&gt;")=0,"",SUMIFS(BD!$F$3:$F$5001,BD!$A$3:$A$5001,M$3,BD!$B$3:$B$5001,$A$311)))</f>
        <v/>
      </c>
      <c r="N314" s="180" t="str">
        <f>IF(N$3="","",IF(COUNTIFS(BD!$A$3:$A$5001,N$3,BD!$B$3:$B$5001,$A$311,BD!$F$3:$F$5001,"&lt;&gt;")=0,"",SUMIFS(BD!$F$3:$F$5001,BD!$A$3:$A$5001,N$3,BD!$B$3:$B$5001,$A$311)))</f>
        <v/>
      </c>
      <c r="O314" s="180" t="str">
        <f>IF(O$3="","",IF(COUNTIFS(BD!$A$3:$A$5001,O$3,BD!$B$3:$B$5001,$A$311,BD!$F$3:$F$5001,"&lt;&gt;")=0,"",SUMIFS(BD!$F$3:$F$5001,BD!$A$3:$A$5001,O$3,BD!$B$3:$B$5001,$A$311)))</f>
        <v/>
      </c>
      <c r="P314" s="180" t="str">
        <f>IF(P$3="","",IF(COUNTIFS(BD!$A$3:$A$5001,P$3,BD!$B$3:$B$5001,$A$311,BD!$F$3:$F$5001,"&lt;&gt;")=0,"",SUMIFS(BD!$F$3:$F$5001,BD!$A$3:$A$5001,P$3,BD!$B$3:$B$5001,$A$311)))</f>
        <v/>
      </c>
      <c r="Q314" s="180" t="str">
        <f>IF(Q$3="","",IF(COUNTIFS(BD!$A$3:$A$5001,Q$3,BD!$B$3:$B$5001,$A$311,BD!$F$3:$F$5001,"&lt;&gt;")=0,"",SUMIFS(BD!$F$3:$F$5001,BD!$A$3:$A$5001,Q$3,BD!$B$3:$B$5001,$A$311)))</f>
        <v/>
      </c>
      <c r="R314" s="180" t="str">
        <f>IF(R$3="","",IF(COUNTIFS(BD!$A$3:$A$5001,R$3,BD!$B$3:$B$5001,$A$311,BD!$F$3:$F$5001,"&lt;&gt;")=0,"",SUMIFS(BD!$F$3:$F$5001,BD!$A$3:$A$5001,R$3,BD!$B$3:$B$5001,$A$311)))</f>
        <v/>
      </c>
      <c r="S314" s="180" t="str">
        <f>IF(S$3="","",IF(COUNTIFS(BD!$A$3:$A$5001,S$3,BD!$B$3:$B$5001,$A$311,BD!$F$3:$F$5001,"&lt;&gt;")=0,"",SUMIFS(BD!$F$3:$F$5001,BD!$A$3:$A$5001,S$3,BD!$B$3:$B$5001,$A$311)))</f>
        <v/>
      </c>
      <c r="T314" s="180" t="str">
        <f>IF(T$3="","",IF(COUNTIFS(BD!$A$3:$A$5001,T$3,BD!$B$3:$B$5001,$A$311,BD!$F$3:$F$5001,"&lt;&gt;")=0,"",SUMIFS(BD!$F$3:$F$5001,BD!$A$3:$A$5001,T$3,BD!$B$3:$B$5001,$A$311)))</f>
        <v/>
      </c>
      <c r="U314" s="180" t="str">
        <f>IF(U$3="","",IF(COUNTIFS(BD!$A$3:$A$5001,U$3,BD!$B$3:$B$5001,$A$311,BD!$F$3:$F$5001,"&lt;&gt;")=0,"",SUMIFS(BD!$F$3:$F$5001,BD!$A$3:$A$5001,U$3,BD!$B$3:$B$5001,$A$311)))</f>
        <v/>
      </c>
      <c r="V314" s="180" t="str">
        <f>IF(V$3="","",IF(COUNTIFS(BD!$A$3:$A$5001,V$3,BD!$B$3:$B$5001,$A$311,BD!$F$3:$F$5001,"&lt;&gt;")=0,"",SUMIFS(BD!$F$3:$F$5001,BD!$A$3:$A$5001,V$3,BD!$B$3:$B$5001,$A$311)))</f>
        <v/>
      </c>
      <c r="W314" s="180" t="str">
        <f>IF(W$3="","",IF(COUNTIFS(BD!$A$3:$A$5001,W$3,BD!$B$3:$B$5001,$A$311,BD!$F$3:$F$5001,"&lt;&gt;")=0,"",SUMIFS(BD!$F$3:$F$5001,BD!$A$3:$A$5001,W$3,BD!$B$3:$B$5001,$A$311)))</f>
        <v/>
      </c>
      <c r="X314" s="180" t="str">
        <f>IF(X$3="","",IF(COUNTIFS(BD!$A$3:$A$5001,X$3,BD!$B$3:$B$5001,$A$311,BD!$F$3:$F$5001,"&lt;&gt;")=0,"",SUMIFS(BD!$F$3:$F$5001,BD!$A$3:$A$5001,X$3,BD!$B$3:$B$5001,$A$311)))</f>
        <v/>
      </c>
      <c r="Y314" s="180" t="str">
        <f>IF(Y$3="","",IF(COUNTIFS(BD!$A$3:$A$5001,Y$3,BD!$B$3:$B$5001,$A$311,BD!$F$3:$F$5001,"&lt;&gt;")=0,"",SUMIFS(BD!$F$3:$F$5001,BD!$A$3:$A$5001,Y$3,BD!$B$3:$B$5001,$A$311)))</f>
        <v/>
      </c>
      <c r="Z314" s="180" t="str">
        <f>IF(Z$3="","",IF(COUNTIFS(BD!$A$3:$A$5001,Z$3,BD!$B$3:$B$5001,$A$311,BD!$F$3:$F$5001,"&lt;&gt;")=0,"",SUMIFS(BD!$F$3:$F$5001,BD!$A$3:$A$5001,Z$3,BD!$B$3:$B$5001,$A$311)))</f>
        <v/>
      </c>
      <c r="AA314" s="180" t="str">
        <f>IF(AA$3="","",IF(COUNTIFS(BD!$A$3:$A$5001,AA$3,BD!$B$3:$B$5001,$A$311,BD!$F$3:$F$5001,"&lt;&gt;")=0,"",SUMIFS(BD!$F$3:$F$5001,BD!$A$3:$A$5001,AA$3,BD!$B$3:$B$5001,$A$311)))</f>
        <v/>
      </c>
      <c r="AB314" s="180" t="str">
        <f>IF(AB$3="","",IF(COUNTIFS(BD!$A$3:$A$5001,AB$3,BD!$B$3:$B$5001,$A$311,BD!$F$3:$F$5001,"&lt;&gt;")=0,"",SUMIFS(BD!$F$3:$F$5001,BD!$A$3:$A$5001,AB$3,BD!$B$3:$B$5001,$A$311)))</f>
        <v/>
      </c>
      <c r="AC314" s="180" t="str">
        <f>IF(AC$3="","",IF(COUNTIFS(BD!$A$3:$A$5001,AC$3,BD!$B$3:$B$5001,$A$311,BD!$F$3:$F$5001,"&lt;&gt;")=0,"",SUMIFS(BD!$F$3:$F$5001,BD!$A$3:$A$5001,AC$3,BD!$B$3:$B$5001,$A$311)))</f>
        <v/>
      </c>
      <c r="AD314" s="180" t="str">
        <f>IF(AD$3="","",IF(COUNTIFS(BD!$A$3:$A$5001,AD$3,BD!$B$3:$B$5001,$A$311,BD!$F$3:$F$5001,"&lt;&gt;")=0,"",SUMIFS(BD!$F$3:$F$5001,BD!$A$3:$A$5001,AD$3,BD!$B$3:$B$5001,$A$311)))</f>
        <v/>
      </c>
      <c r="AE314" s="180" t="str">
        <f>IF(AE$3="","",IF(COUNTIFS(BD!$A$3:$A$5001,AE$3,BD!$B$3:$B$5001,$A$311,BD!$F$3:$F$5001,"&lt;&gt;")=0,"",SUMIFS(BD!$F$3:$F$5001,BD!$A$3:$A$5001,AE$3,BD!$B$3:$B$5001,$A$311)))</f>
        <v/>
      </c>
      <c r="AF314" s="180" t="str">
        <f>IF(AF$3="","",IF(COUNTIFS(BD!$A$3:$A$5001,AF$3,BD!$B$3:$B$5001,$A$311,BD!$F$3:$F$5001,"&lt;&gt;")=0,"",SUMIFS(BD!$F$3:$F$5001,BD!$A$3:$A$5001,AF$3,BD!$B$3:$B$5001,$A$311)))</f>
        <v/>
      </c>
      <c r="AG314" s="180" t="str">
        <f>IF(AG$3="","",IF(COUNTIFS(BD!$A$3:$A$5001,AG$3,BD!$B$3:$B$5001,$A$311,BD!$F$3:$F$5001,"&lt;&gt;")=0,"",SUMIFS(BD!$F$3:$F$5001,BD!$A$3:$A$5001,AG$3,BD!$B$3:$B$5001,$A$311)))</f>
        <v/>
      </c>
      <c r="AH314" s="180" t="str">
        <f>IF(AH$3="","",IF(COUNTIFS(BD!$A$3:$A$5001,AH$3,BD!$B$3:$B$5001,$A$311,BD!$F$3:$F$5001,"&lt;&gt;")=0,"",SUMIFS(BD!$F$3:$F$5001,BD!$A$3:$A$5001,AH$3,BD!$B$3:$B$5001,$A$311)))</f>
        <v/>
      </c>
      <c r="AI314" s="180" t="str">
        <f>IF(AI$3="","",IF(COUNTIFS(BD!$A$3:$A$5001,AI$3,BD!$B$3:$B$5001,$A$311,BD!$F$3:$F$5001,"&lt;&gt;")=0,"",SUMIFS(BD!$F$3:$F$5001,BD!$A$3:$A$5001,AI$3,BD!$B$3:$B$5001,$A$311)))</f>
        <v/>
      </c>
      <c r="AJ314" s="181" t="str">
        <f>IF(AJ$3="","",IF(COUNTIFS(BD!$A$3:$A$5001,AJ$3,BD!$B$3:$B$5001,$A$311,BD!$F$3:$F$5001,"&lt;&gt;")=0,"",SUMIFS(BD!$F$3:$F$5001,BD!$A$3:$A$5001,AJ$3,BD!$B$3:$B$5001,$A$311)))</f>
        <v/>
      </c>
      <c r="AK314" s="182" t="str">
        <f>IF(COUNT(F314:AJ314)=0,"",SUM(F314:AJ314))</f>
        <v/>
      </c>
    </row>
    <row r="315" ht="15.75" customHeight="1" hidden="1">
      <c r="A315" s="254"/>
      <c r="B315" s="245"/>
      <c r="C315" s="183" t="inlineStr">
        <is>
          <t xml:space="preserve">Pallets Movimentados</t>
        </is>
      </c>
      <c r="D315" s="184" t="str">
        <f>IFERROR(1/(1/INDEX(BD!$Y$27:$AS$27,MATCH($A$311,BD!$Y$22:$AS$22,0))),"")</f>
        <v/>
      </c>
      <c r="E315" s="185"/>
      <c r="F315" s="186" t="str">
        <f>IF(F$3="","",IF(COUNTIFS(BD!$A$3:$A$5001,F$3,BD!$B$3:$B$5001,$A$311,BD!$G$3:$G$5001,"&lt;&gt;")=0,"",SUMIFS(BD!$G$3:$G$5001,BD!$A$3:$A$5001,F$3,BD!$B$3:$B$5001,$A$311)))</f>
        <v/>
      </c>
      <c r="G315" s="187" t="str">
        <f>IF(G$3="","",IF(COUNTIFS(BD!$A$3:$A$5001,G$3,BD!$B$3:$B$5001,$A$311,BD!$G$3:$G$5001,"&lt;&gt;")=0,"",SUMIFS(BD!$G$3:$G$5001,BD!$A$3:$A$5001,G$3,BD!$B$3:$B$5001,$A$311)))</f>
        <v/>
      </c>
      <c r="H315" s="187" t="str">
        <f>IF(H$3="","",IF(COUNTIFS(BD!$A$3:$A$5001,H$3,BD!$B$3:$B$5001,$A$311,BD!$G$3:$G$5001,"&lt;&gt;")=0,"",SUMIFS(BD!$G$3:$G$5001,BD!$A$3:$A$5001,H$3,BD!$B$3:$B$5001,$A$311)))</f>
        <v/>
      </c>
      <c r="I315" s="187" t="str">
        <f>IF(I$3="","",IF(COUNTIFS(BD!$A$3:$A$5001,I$3,BD!$B$3:$B$5001,$A$311,BD!$G$3:$G$5001,"&lt;&gt;")=0,"",SUMIFS(BD!$G$3:$G$5001,BD!$A$3:$A$5001,I$3,BD!$B$3:$B$5001,$A$311)))</f>
        <v/>
      </c>
      <c r="J315" s="187" t="str">
        <f>IF(J$3="","",IF(COUNTIFS(BD!$A$3:$A$5001,J$3,BD!$B$3:$B$5001,$A$311,BD!$G$3:$G$5001,"&lt;&gt;")=0,"",SUMIFS(BD!$G$3:$G$5001,BD!$A$3:$A$5001,J$3,BD!$B$3:$B$5001,$A$311)))</f>
        <v/>
      </c>
      <c r="K315" s="187" t="str">
        <f>IF(K$3="","",IF(COUNTIFS(BD!$A$3:$A$5001,K$3,BD!$B$3:$B$5001,$A$311,BD!$G$3:$G$5001,"&lt;&gt;")=0,"",SUMIFS(BD!$G$3:$G$5001,BD!$A$3:$A$5001,K$3,BD!$B$3:$B$5001,$A$311)))</f>
        <v/>
      </c>
      <c r="L315" s="187" t="str">
        <f>IF(L$3="","",IF(COUNTIFS(BD!$A$3:$A$5001,L$3,BD!$B$3:$B$5001,$A$311,BD!$G$3:$G$5001,"&lt;&gt;")=0,"",SUMIFS(BD!$G$3:$G$5001,BD!$A$3:$A$5001,L$3,BD!$B$3:$B$5001,$A$311)))</f>
        <v/>
      </c>
      <c r="M315" s="187" t="str">
        <f>IF(M$3="","",IF(COUNTIFS(BD!$A$3:$A$5001,M$3,BD!$B$3:$B$5001,$A$311,BD!$G$3:$G$5001,"&lt;&gt;")=0,"",SUMIFS(BD!$G$3:$G$5001,BD!$A$3:$A$5001,M$3,BD!$B$3:$B$5001,$A$311)))</f>
        <v/>
      </c>
      <c r="N315" s="187" t="str">
        <f>IF(N$3="","",IF(COUNTIFS(BD!$A$3:$A$5001,N$3,BD!$B$3:$B$5001,$A$311,BD!$G$3:$G$5001,"&lt;&gt;")=0,"",SUMIFS(BD!$G$3:$G$5001,BD!$A$3:$A$5001,N$3,BD!$B$3:$B$5001,$A$311)))</f>
        <v/>
      </c>
      <c r="O315" s="187" t="str">
        <f>IF(O$3="","",IF(COUNTIFS(BD!$A$3:$A$5001,O$3,BD!$B$3:$B$5001,$A$311,BD!$G$3:$G$5001,"&lt;&gt;")=0,"",SUMIFS(BD!$G$3:$G$5001,BD!$A$3:$A$5001,O$3,BD!$B$3:$B$5001,$A$311)))</f>
        <v/>
      </c>
      <c r="P315" s="187" t="str">
        <f>IF(P$3="","",IF(COUNTIFS(BD!$A$3:$A$5001,P$3,BD!$B$3:$B$5001,$A$311,BD!$G$3:$G$5001,"&lt;&gt;")=0,"",SUMIFS(BD!$G$3:$G$5001,BD!$A$3:$A$5001,P$3,BD!$B$3:$B$5001,$A$311)))</f>
        <v/>
      </c>
      <c r="Q315" s="187" t="str">
        <f>IF(Q$3="","",IF(COUNTIFS(BD!$A$3:$A$5001,Q$3,BD!$B$3:$B$5001,$A$311,BD!$G$3:$G$5001,"&lt;&gt;")=0,"",SUMIFS(BD!$G$3:$G$5001,BD!$A$3:$A$5001,Q$3,BD!$B$3:$B$5001,$A$311)))</f>
        <v/>
      </c>
      <c r="R315" s="187" t="str">
        <f>IF(R$3="","",IF(COUNTIFS(BD!$A$3:$A$5001,R$3,BD!$B$3:$B$5001,$A$311,BD!$G$3:$G$5001,"&lt;&gt;")=0,"",SUMIFS(BD!$G$3:$G$5001,BD!$A$3:$A$5001,R$3,BD!$B$3:$B$5001,$A$311)))</f>
        <v/>
      </c>
      <c r="S315" s="187" t="str">
        <f>IF(S$3="","",IF(COUNTIFS(BD!$A$3:$A$5001,S$3,BD!$B$3:$B$5001,$A$311,BD!$G$3:$G$5001,"&lt;&gt;")=0,"",SUMIFS(BD!$G$3:$G$5001,BD!$A$3:$A$5001,S$3,BD!$B$3:$B$5001,$A$311)))</f>
        <v/>
      </c>
      <c r="T315" s="187" t="str">
        <f>IF(T$3="","",IF(COUNTIFS(BD!$A$3:$A$5001,T$3,BD!$B$3:$B$5001,$A$311,BD!$G$3:$G$5001,"&lt;&gt;")=0,"",SUMIFS(BD!$G$3:$G$5001,BD!$A$3:$A$5001,T$3,BD!$B$3:$B$5001,$A$311)))</f>
        <v/>
      </c>
      <c r="U315" s="187" t="str">
        <f>IF(U$3="","",IF(COUNTIFS(BD!$A$3:$A$5001,U$3,BD!$B$3:$B$5001,$A$311,BD!$G$3:$G$5001,"&lt;&gt;")=0,"",SUMIFS(BD!$G$3:$G$5001,BD!$A$3:$A$5001,U$3,BD!$B$3:$B$5001,$A$311)))</f>
        <v/>
      </c>
      <c r="V315" s="187" t="str">
        <f>IF(V$3="","",IF(COUNTIFS(BD!$A$3:$A$5001,V$3,BD!$B$3:$B$5001,$A$311,BD!$G$3:$G$5001,"&lt;&gt;")=0,"",SUMIFS(BD!$G$3:$G$5001,BD!$A$3:$A$5001,V$3,BD!$B$3:$B$5001,$A$311)))</f>
        <v/>
      </c>
      <c r="W315" s="187" t="str">
        <f>IF(W$3="","",IF(COUNTIFS(BD!$A$3:$A$5001,W$3,BD!$B$3:$B$5001,$A$311,BD!$G$3:$G$5001,"&lt;&gt;")=0,"",SUMIFS(BD!$G$3:$G$5001,BD!$A$3:$A$5001,W$3,BD!$B$3:$B$5001,$A$311)))</f>
        <v/>
      </c>
      <c r="X315" s="187" t="str">
        <f>IF(X$3="","",IF(COUNTIFS(BD!$A$3:$A$5001,X$3,BD!$B$3:$B$5001,$A$311,BD!$G$3:$G$5001,"&lt;&gt;")=0,"",SUMIFS(BD!$G$3:$G$5001,BD!$A$3:$A$5001,X$3,BD!$B$3:$B$5001,$A$311)))</f>
        <v/>
      </c>
      <c r="Y315" s="187" t="str">
        <f>IF(Y$3="","",IF(COUNTIFS(BD!$A$3:$A$5001,Y$3,BD!$B$3:$B$5001,$A$311,BD!$G$3:$G$5001,"&lt;&gt;")=0,"",SUMIFS(BD!$G$3:$G$5001,BD!$A$3:$A$5001,Y$3,BD!$B$3:$B$5001,$A$311)))</f>
        <v/>
      </c>
      <c r="Z315" s="187" t="str">
        <f>IF(Z$3="","",IF(COUNTIFS(BD!$A$3:$A$5001,Z$3,BD!$B$3:$B$5001,$A$311,BD!$G$3:$G$5001,"&lt;&gt;")=0,"",SUMIFS(BD!$G$3:$G$5001,BD!$A$3:$A$5001,Z$3,BD!$B$3:$B$5001,$A$311)))</f>
        <v/>
      </c>
      <c r="AA315" s="187" t="str">
        <f>IF(AA$3="","",IF(COUNTIFS(BD!$A$3:$A$5001,AA$3,BD!$B$3:$B$5001,$A$311,BD!$G$3:$G$5001,"&lt;&gt;")=0,"",SUMIFS(BD!$G$3:$G$5001,BD!$A$3:$A$5001,AA$3,BD!$B$3:$B$5001,$A$311)))</f>
        <v/>
      </c>
      <c r="AB315" s="187" t="str">
        <f>IF(AB$3="","",IF(COUNTIFS(BD!$A$3:$A$5001,AB$3,BD!$B$3:$B$5001,$A$311,BD!$G$3:$G$5001,"&lt;&gt;")=0,"",SUMIFS(BD!$G$3:$G$5001,BD!$A$3:$A$5001,AB$3,BD!$B$3:$B$5001,$A$311)))</f>
        <v/>
      </c>
      <c r="AC315" s="187" t="str">
        <f>IF(AC$3="","",IF(COUNTIFS(BD!$A$3:$A$5001,AC$3,BD!$B$3:$B$5001,$A$311,BD!$G$3:$G$5001,"&lt;&gt;")=0,"",SUMIFS(BD!$G$3:$G$5001,BD!$A$3:$A$5001,AC$3,BD!$B$3:$B$5001,$A$311)))</f>
        <v/>
      </c>
      <c r="AD315" s="187" t="str">
        <f>IF(AD$3="","",IF(COUNTIFS(BD!$A$3:$A$5001,AD$3,BD!$B$3:$B$5001,$A$311,BD!$G$3:$G$5001,"&lt;&gt;")=0,"",SUMIFS(BD!$G$3:$G$5001,BD!$A$3:$A$5001,AD$3,BD!$B$3:$B$5001,$A$311)))</f>
        <v/>
      </c>
      <c r="AE315" s="187" t="str">
        <f>IF(AE$3="","",IF(COUNTIFS(BD!$A$3:$A$5001,AE$3,BD!$B$3:$B$5001,$A$311,BD!$G$3:$G$5001,"&lt;&gt;")=0,"",SUMIFS(BD!$G$3:$G$5001,BD!$A$3:$A$5001,AE$3,BD!$B$3:$B$5001,$A$311)))</f>
        <v/>
      </c>
      <c r="AF315" s="187" t="str">
        <f>IF(AF$3="","",IF(COUNTIFS(BD!$A$3:$A$5001,AF$3,BD!$B$3:$B$5001,$A$311,BD!$G$3:$G$5001,"&lt;&gt;")=0,"",SUMIFS(BD!$G$3:$G$5001,BD!$A$3:$A$5001,AF$3,BD!$B$3:$B$5001,$A$311)))</f>
        <v/>
      </c>
      <c r="AG315" s="187" t="str">
        <f>IF(AG$3="","",IF(COUNTIFS(BD!$A$3:$A$5001,AG$3,BD!$B$3:$B$5001,$A$311,BD!$G$3:$G$5001,"&lt;&gt;")=0,"",SUMIFS(BD!$G$3:$G$5001,BD!$A$3:$A$5001,AG$3,BD!$B$3:$B$5001,$A$311)))</f>
        <v/>
      </c>
      <c r="AH315" s="187" t="str">
        <f>IF(AH$3="","",IF(COUNTIFS(BD!$A$3:$A$5001,AH$3,BD!$B$3:$B$5001,$A$311,BD!$G$3:$G$5001,"&lt;&gt;")=0,"",SUMIFS(BD!$G$3:$G$5001,BD!$A$3:$A$5001,AH$3,BD!$B$3:$B$5001,$A$311)))</f>
        <v/>
      </c>
      <c r="AI315" s="187" t="str">
        <f>IF(AI$3="","",IF(COUNTIFS(BD!$A$3:$A$5001,AI$3,BD!$B$3:$B$5001,$A$311,BD!$G$3:$G$5001,"&lt;&gt;")=0,"",SUMIFS(BD!$G$3:$G$5001,BD!$A$3:$A$5001,AI$3,BD!$B$3:$B$5001,$A$311)))</f>
        <v/>
      </c>
      <c r="AJ315" s="188" t="str">
        <f>IF(AJ$3="","",IF(COUNTIFS(BD!$A$3:$A$5001,AJ$3,BD!$B$3:$B$5001,$A$311,BD!$G$3:$G$5001,"&lt;&gt;")=0,"",SUMIFS(BD!$G$3:$G$5001,BD!$A$3:$A$5001,AJ$3,BD!$B$3:$B$5001,$A$311)))</f>
        <v/>
      </c>
      <c r="AK315" s="189" t="str">
        <f>IF(COUNT(F315:AJ315)=0,"",SUM(F315:AJ315))</f>
        <v/>
      </c>
    </row>
    <row r="316" ht="15.75" customHeight="1" hidden="1">
      <c r="A316" s="254"/>
      <c r="B316" s="246"/>
      <c r="C316" s="190" t="inlineStr">
        <is>
          <t xml:space="preserve">Toneladas Movimentadas</t>
        </is>
      </c>
      <c r="D316" s="191" t="str">
        <f>IFERROR(1/(1/INDEX(BD!$Y$28:$AS$28,MATCH($A$311,BD!$Y$22:$AS$22,0))),"")</f>
        <v/>
      </c>
      <c r="E316" s="192"/>
      <c r="F316" s="193" t="str">
        <f>IF(F$3="","",IF(COUNTIFS(BD!$A$3:$A$5001,F$3,BD!$B$3:$B$5001,$A$311,BD!$H$3:$H$5001,"&lt;&gt;")=0,"",SUMIFS(BD!$H$3:$H$5001,BD!$A$3:$A$5001,F$3,BD!$B$3:$B$5001,$A$311)))</f>
        <v/>
      </c>
      <c r="G316" s="194" t="str">
        <f>IF(G$3="","",IF(COUNTIFS(BD!$A$3:$A$5001,G$3,BD!$B$3:$B$5001,$A$311,BD!$H$3:$H$5001,"&lt;&gt;")=0,"",SUMIFS(BD!$H$3:$H$5001,BD!$A$3:$A$5001,G$3,BD!$B$3:$B$5001,$A$311)))</f>
        <v/>
      </c>
      <c r="H316" s="194" t="str">
        <f>IF(H$3="","",IF(COUNTIFS(BD!$A$3:$A$5001,H$3,BD!$B$3:$B$5001,$A$311,BD!$H$3:$H$5001,"&lt;&gt;")=0,"",SUMIFS(BD!$H$3:$H$5001,BD!$A$3:$A$5001,H$3,BD!$B$3:$B$5001,$A$311)))</f>
        <v/>
      </c>
      <c r="I316" s="194" t="str">
        <f>IF(I$3="","",IF(COUNTIFS(BD!$A$3:$A$5001,I$3,BD!$B$3:$B$5001,$A$311,BD!$H$3:$H$5001,"&lt;&gt;")=0,"",SUMIFS(BD!$H$3:$H$5001,BD!$A$3:$A$5001,I$3,BD!$B$3:$B$5001,$A$311)))</f>
        <v/>
      </c>
      <c r="J316" s="194" t="str">
        <f>IF(J$3="","",IF(COUNTIFS(BD!$A$3:$A$5001,J$3,BD!$B$3:$B$5001,$A$311,BD!$H$3:$H$5001,"&lt;&gt;")=0,"",SUMIFS(BD!$H$3:$H$5001,BD!$A$3:$A$5001,J$3,BD!$B$3:$B$5001,$A$311)))</f>
        <v/>
      </c>
      <c r="K316" s="194" t="str">
        <f>IF(K$3="","",IF(COUNTIFS(BD!$A$3:$A$5001,K$3,BD!$B$3:$B$5001,$A$311,BD!$H$3:$H$5001,"&lt;&gt;")=0,"",SUMIFS(BD!$H$3:$H$5001,BD!$A$3:$A$5001,K$3,BD!$B$3:$B$5001,$A$311)))</f>
        <v/>
      </c>
      <c r="L316" s="194" t="str">
        <f>IF(L$3="","",IF(COUNTIFS(BD!$A$3:$A$5001,L$3,BD!$B$3:$B$5001,$A$311,BD!$H$3:$H$5001,"&lt;&gt;")=0,"",SUMIFS(BD!$H$3:$H$5001,BD!$A$3:$A$5001,L$3,BD!$B$3:$B$5001,$A$311)))</f>
        <v/>
      </c>
      <c r="M316" s="194" t="str">
        <f>IF(M$3="","",IF(COUNTIFS(BD!$A$3:$A$5001,M$3,BD!$B$3:$B$5001,$A$311,BD!$H$3:$H$5001,"&lt;&gt;")=0,"",SUMIFS(BD!$H$3:$H$5001,BD!$A$3:$A$5001,M$3,BD!$B$3:$B$5001,$A$311)))</f>
        <v/>
      </c>
      <c r="N316" s="194" t="str">
        <f>IF(N$3="","",IF(COUNTIFS(BD!$A$3:$A$5001,N$3,BD!$B$3:$B$5001,$A$311,BD!$H$3:$H$5001,"&lt;&gt;")=0,"",SUMIFS(BD!$H$3:$H$5001,BD!$A$3:$A$5001,N$3,BD!$B$3:$B$5001,$A$311)))</f>
        <v/>
      </c>
      <c r="O316" s="194" t="str">
        <f>IF(O$3="","",IF(COUNTIFS(BD!$A$3:$A$5001,O$3,BD!$B$3:$B$5001,$A$311,BD!$H$3:$H$5001,"&lt;&gt;")=0,"",SUMIFS(BD!$H$3:$H$5001,BD!$A$3:$A$5001,O$3,BD!$B$3:$B$5001,$A$311)))</f>
        <v/>
      </c>
      <c r="P316" s="194" t="str">
        <f>IF(P$3="","",IF(COUNTIFS(BD!$A$3:$A$5001,P$3,BD!$B$3:$B$5001,$A$311,BD!$H$3:$H$5001,"&lt;&gt;")=0,"",SUMIFS(BD!$H$3:$H$5001,BD!$A$3:$A$5001,P$3,BD!$B$3:$B$5001,$A$311)))</f>
        <v/>
      </c>
      <c r="Q316" s="194" t="str">
        <f>IF(Q$3="","",IF(COUNTIFS(BD!$A$3:$A$5001,Q$3,BD!$B$3:$B$5001,$A$311,BD!$H$3:$H$5001,"&lt;&gt;")=0,"",SUMIFS(BD!$H$3:$H$5001,BD!$A$3:$A$5001,Q$3,BD!$B$3:$B$5001,$A$311)))</f>
        <v/>
      </c>
      <c r="R316" s="194" t="str">
        <f>IF(R$3="","",IF(COUNTIFS(BD!$A$3:$A$5001,R$3,BD!$B$3:$B$5001,$A$311,BD!$H$3:$H$5001,"&lt;&gt;")=0,"",SUMIFS(BD!$H$3:$H$5001,BD!$A$3:$A$5001,R$3,BD!$B$3:$B$5001,$A$311)))</f>
        <v/>
      </c>
      <c r="S316" s="194" t="str">
        <f>IF(S$3="","",IF(COUNTIFS(BD!$A$3:$A$5001,S$3,BD!$B$3:$B$5001,$A$311,BD!$H$3:$H$5001,"&lt;&gt;")=0,"",SUMIFS(BD!$H$3:$H$5001,BD!$A$3:$A$5001,S$3,BD!$B$3:$B$5001,$A$311)))</f>
        <v/>
      </c>
      <c r="T316" s="194" t="str">
        <f>IF(T$3="","",IF(COUNTIFS(BD!$A$3:$A$5001,T$3,BD!$B$3:$B$5001,$A$311,BD!$H$3:$H$5001,"&lt;&gt;")=0,"",SUMIFS(BD!$H$3:$H$5001,BD!$A$3:$A$5001,T$3,BD!$B$3:$B$5001,$A$311)))</f>
        <v/>
      </c>
      <c r="U316" s="194" t="str">
        <f>IF(U$3="","",IF(COUNTIFS(BD!$A$3:$A$5001,U$3,BD!$B$3:$B$5001,$A$311,BD!$H$3:$H$5001,"&lt;&gt;")=0,"",SUMIFS(BD!$H$3:$H$5001,BD!$A$3:$A$5001,U$3,BD!$B$3:$B$5001,$A$311)))</f>
        <v/>
      </c>
      <c r="V316" s="194" t="str">
        <f>IF(V$3="","",IF(COUNTIFS(BD!$A$3:$A$5001,V$3,BD!$B$3:$B$5001,$A$311,BD!$H$3:$H$5001,"&lt;&gt;")=0,"",SUMIFS(BD!$H$3:$H$5001,BD!$A$3:$A$5001,V$3,BD!$B$3:$B$5001,$A$311)))</f>
        <v/>
      </c>
      <c r="W316" s="194" t="str">
        <f>IF(W$3="","",IF(COUNTIFS(BD!$A$3:$A$5001,W$3,BD!$B$3:$B$5001,$A$311,BD!$H$3:$H$5001,"&lt;&gt;")=0,"",SUMIFS(BD!$H$3:$H$5001,BD!$A$3:$A$5001,W$3,BD!$B$3:$B$5001,$A$311)))</f>
        <v/>
      </c>
      <c r="X316" s="194" t="str">
        <f>IF(X$3="","",IF(COUNTIFS(BD!$A$3:$A$5001,X$3,BD!$B$3:$B$5001,$A$311,BD!$H$3:$H$5001,"&lt;&gt;")=0,"",SUMIFS(BD!$H$3:$H$5001,BD!$A$3:$A$5001,X$3,BD!$B$3:$B$5001,$A$311)))</f>
        <v/>
      </c>
      <c r="Y316" s="194" t="str">
        <f>IF(Y$3="","",IF(COUNTIFS(BD!$A$3:$A$5001,Y$3,BD!$B$3:$B$5001,$A$311,BD!$H$3:$H$5001,"&lt;&gt;")=0,"",SUMIFS(BD!$H$3:$H$5001,BD!$A$3:$A$5001,Y$3,BD!$B$3:$B$5001,$A$311)))</f>
        <v/>
      </c>
      <c r="Z316" s="194" t="str">
        <f>IF(Z$3="","",IF(COUNTIFS(BD!$A$3:$A$5001,Z$3,BD!$B$3:$B$5001,$A$311,BD!$H$3:$H$5001,"&lt;&gt;")=0,"",SUMIFS(BD!$H$3:$H$5001,BD!$A$3:$A$5001,Z$3,BD!$B$3:$B$5001,$A$311)))</f>
        <v/>
      </c>
      <c r="AA316" s="194" t="str">
        <f>IF(AA$3="","",IF(COUNTIFS(BD!$A$3:$A$5001,AA$3,BD!$B$3:$B$5001,$A$311,BD!$H$3:$H$5001,"&lt;&gt;")=0,"",SUMIFS(BD!$H$3:$H$5001,BD!$A$3:$A$5001,AA$3,BD!$B$3:$B$5001,$A$311)))</f>
        <v/>
      </c>
      <c r="AB316" s="194" t="str">
        <f>IF(AB$3="","",IF(COUNTIFS(BD!$A$3:$A$5001,AB$3,BD!$B$3:$B$5001,$A$311,BD!$H$3:$H$5001,"&lt;&gt;")=0,"",SUMIFS(BD!$H$3:$H$5001,BD!$A$3:$A$5001,AB$3,BD!$B$3:$B$5001,$A$311)))</f>
        <v/>
      </c>
      <c r="AC316" s="194" t="str">
        <f>IF(AC$3="","",IF(COUNTIFS(BD!$A$3:$A$5001,AC$3,BD!$B$3:$B$5001,$A$311,BD!$H$3:$H$5001,"&lt;&gt;")=0,"",SUMIFS(BD!$H$3:$H$5001,BD!$A$3:$A$5001,AC$3,BD!$B$3:$B$5001,$A$311)))</f>
        <v/>
      </c>
      <c r="AD316" s="194" t="str">
        <f>IF(AD$3="","",IF(COUNTIFS(BD!$A$3:$A$5001,AD$3,BD!$B$3:$B$5001,$A$311,BD!$H$3:$H$5001,"&lt;&gt;")=0,"",SUMIFS(BD!$H$3:$H$5001,BD!$A$3:$A$5001,AD$3,BD!$B$3:$B$5001,$A$311)))</f>
        <v/>
      </c>
      <c r="AE316" s="194" t="str">
        <f>IF(AE$3="","",IF(COUNTIFS(BD!$A$3:$A$5001,AE$3,BD!$B$3:$B$5001,$A$311,BD!$H$3:$H$5001,"&lt;&gt;")=0,"",SUMIFS(BD!$H$3:$H$5001,BD!$A$3:$A$5001,AE$3,BD!$B$3:$B$5001,$A$311)))</f>
        <v/>
      </c>
      <c r="AF316" s="194" t="str">
        <f>IF(AF$3="","",IF(COUNTIFS(BD!$A$3:$A$5001,AF$3,BD!$B$3:$B$5001,$A$311,BD!$H$3:$H$5001,"&lt;&gt;")=0,"",SUMIFS(BD!$H$3:$H$5001,BD!$A$3:$A$5001,AF$3,BD!$B$3:$B$5001,$A$311)))</f>
        <v/>
      </c>
      <c r="AG316" s="194" t="str">
        <f>IF(AG$3="","",IF(COUNTIFS(BD!$A$3:$A$5001,AG$3,BD!$B$3:$B$5001,$A$311,BD!$H$3:$H$5001,"&lt;&gt;")=0,"",SUMIFS(BD!$H$3:$H$5001,BD!$A$3:$A$5001,AG$3,BD!$B$3:$B$5001,$A$311)))</f>
        <v/>
      </c>
      <c r="AH316" s="194" t="str">
        <f>IF(AH$3="","",IF(COUNTIFS(BD!$A$3:$A$5001,AH$3,BD!$B$3:$B$5001,$A$311,BD!$H$3:$H$5001,"&lt;&gt;")=0,"",SUMIFS(BD!$H$3:$H$5001,BD!$A$3:$A$5001,AH$3,BD!$B$3:$B$5001,$A$311)))</f>
        <v/>
      </c>
      <c r="AI316" s="194" t="str">
        <f>IF(AI$3="","",IF(COUNTIFS(BD!$A$3:$A$5001,AI$3,BD!$B$3:$B$5001,$A$311,BD!$H$3:$H$5001,"&lt;&gt;")=0,"",SUMIFS(BD!$H$3:$H$5001,BD!$A$3:$A$5001,AI$3,BD!$B$3:$B$5001,$A$311)))</f>
        <v/>
      </c>
      <c r="AJ316" s="195" t="str">
        <f>IF(AJ$3="","",IF(COUNTIFS(BD!$A$3:$A$5001,AJ$3,BD!$B$3:$B$5001,$A$311,BD!$H$3:$H$5001,"&lt;&gt;")=0,"",SUMIFS(BD!$H$3:$H$5001,BD!$A$3:$A$5001,AJ$3,BD!$B$3:$B$5001,$A$311)))</f>
        <v/>
      </c>
      <c r="AK316" s="196" t="str">
        <f>IF(COUNT(F316:AJ316)=0,"",SUM(F316:AJ316))</f>
        <v/>
      </c>
    </row>
    <row r="317" ht="15.75" customHeight="1" hidden="1">
      <c r="A317" s="254"/>
      <c r="B317" s="247" t="inlineStr">
        <is>
          <t xml:space="preserve">NC</t>
        </is>
      </c>
      <c r="C317" s="197" t="inlineStr">
        <is>
          <t xml:space="preserve">Incidentes</t>
        </is>
      </c>
      <c r="D317" s="198" t="str">
        <f>IFERROR(1/(1/INDEX(BD!$Y$29:$AS$29,MATCH($A$311,BD!$Y$22:$AS$22,0))),"")</f>
        <v/>
      </c>
      <c r="E317" s="199"/>
      <c r="F317" s="200" t="str">
        <f>IF(F$3="","",IF(COUNTIFS(BD!$A$3:$A$5001,F$3,BD!$B$3:$B$5001,$A$311,BD!$I$3:$I$5001,"&lt;&gt;")=0,"",SUMIFS(BD!$I$3:$I$5001,BD!$A$3:$A$5001,F$3,BD!$B$3:$B$5001,$A$311)))</f>
        <v/>
      </c>
      <c r="G317" s="201" t="str">
        <f>IF(G$3="","",IF(COUNTIFS(BD!$A$3:$A$5001,G$3,BD!$B$3:$B$5001,$A$311,BD!$I$3:$I$5001,"&lt;&gt;")=0,"",SUMIFS(BD!$I$3:$I$5001,BD!$A$3:$A$5001,G$3,BD!$B$3:$B$5001,$A$311)))</f>
        <v/>
      </c>
      <c r="H317" s="201" t="str">
        <f>IF(H$3="","",IF(COUNTIFS(BD!$A$3:$A$5001,H$3,BD!$B$3:$B$5001,$A$311,BD!$I$3:$I$5001,"&lt;&gt;")=0,"",SUMIFS(BD!$I$3:$I$5001,BD!$A$3:$A$5001,H$3,BD!$B$3:$B$5001,$A$311)))</f>
        <v/>
      </c>
      <c r="I317" s="201" t="str">
        <f>IF(I$3="","",IF(COUNTIFS(BD!$A$3:$A$5001,I$3,BD!$B$3:$B$5001,$A$311,BD!$I$3:$I$5001,"&lt;&gt;")=0,"",SUMIFS(BD!$I$3:$I$5001,BD!$A$3:$A$5001,I$3,BD!$B$3:$B$5001,$A$311)))</f>
        <v/>
      </c>
      <c r="J317" s="201" t="str">
        <f>IF(J$3="","",IF(COUNTIFS(BD!$A$3:$A$5001,J$3,BD!$B$3:$B$5001,$A$311,BD!$I$3:$I$5001,"&lt;&gt;")=0,"",SUMIFS(BD!$I$3:$I$5001,BD!$A$3:$A$5001,J$3,BD!$B$3:$B$5001,$A$311)))</f>
        <v/>
      </c>
      <c r="K317" s="201" t="str">
        <f>IF(K$3="","",IF(COUNTIFS(BD!$A$3:$A$5001,K$3,BD!$B$3:$B$5001,$A$311,BD!$I$3:$I$5001,"&lt;&gt;")=0,"",SUMIFS(BD!$I$3:$I$5001,BD!$A$3:$A$5001,K$3,BD!$B$3:$B$5001,$A$311)))</f>
        <v/>
      </c>
      <c r="L317" s="201" t="str">
        <f>IF(L$3="","",IF(COUNTIFS(BD!$A$3:$A$5001,L$3,BD!$B$3:$B$5001,$A$311,BD!$I$3:$I$5001,"&lt;&gt;")=0,"",SUMIFS(BD!$I$3:$I$5001,BD!$A$3:$A$5001,L$3,BD!$B$3:$B$5001,$A$311)))</f>
        <v/>
      </c>
      <c r="M317" s="201" t="str">
        <f>IF(M$3="","",IF(COUNTIFS(BD!$A$3:$A$5001,M$3,BD!$B$3:$B$5001,$A$311,BD!$I$3:$I$5001,"&lt;&gt;")=0,"",SUMIFS(BD!$I$3:$I$5001,BD!$A$3:$A$5001,M$3,BD!$B$3:$B$5001,$A$311)))</f>
        <v/>
      </c>
      <c r="N317" s="201" t="str">
        <f>IF(N$3="","",IF(COUNTIFS(BD!$A$3:$A$5001,N$3,BD!$B$3:$B$5001,$A$311,BD!$I$3:$I$5001,"&lt;&gt;")=0,"",SUMIFS(BD!$I$3:$I$5001,BD!$A$3:$A$5001,N$3,BD!$B$3:$B$5001,$A$311)))</f>
        <v/>
      </c>
      <c r="O317" s="201" t="str">
        <f>IF(O$3="","",IF(COUNTIFS(BD!$A$3:$A$5001,O$3,BD!$B$3:$B$5001,$A$311,BD!$I$3:$I$5001,"&lt;&gt;")=0,"",SUMIFS(BD!$I$3:$I$5001,BD!$A$3:$A$5001,O$3,BD!$B$3:$B$5001,$A$311)))</f>
        <v/>
      </c>
      <c r="P317" s="201" t="str">
        <f>IF(P$3="","",IF(COUNTIFS(BD!$A$3:$A$5001,P$3,BD!$B$3:$B$5001,$A$311,BD!$I$3:$I$5001,"&lt;&gt;")=0,"",SUMIFS(BD!$I$3:$I$5001,BD!$A$3:$A$5001,P$3,BD!$B$3:$B$5001,$A$311)))</f>
        <v/>
      </c>
      <c r="Q317" s="201" t="str">
        <f>IF(Q$3="","",IF(COUNTIFS(BD!$A$3:$A$5001,Q$3,BD!$B$3:$B$5001,$A$311,BD!$I$3:$I$5001,"&lt;&gt;")=0,"",SUMIFS(BD!$I$3:$I$5001,BD!$A$3:$A$5001,Q$3,BD!$B$3:$B$5001,$A$311)))</f>
        <v/>
      </c>
      <c r="R317" s="201" t="str">
        <f>IF(R$3="","",IF(COUNTIFS(BD!$A$3:$A$5001,R$3,BD!$B$3:$B$5001,$A$311,BD!$I$3:$I$5001,"&lt;&gt;")=0,"",SUMIFS(BD!$I$3:$I$5001,BD!$A$3:$A$5001,R$3,BD!$B$3:$B$5001,$A$311)))</f>
        <v/>
      </c>
      <c r="S317" s="201" t="str">
        <f>IF(S$3="","",IF(COUNTIFS(BD!$A$3:$A$5001,S$3,BD!$B$3:$B$5001,$A$311,BD!$I$3:$I$5001,"&lt;&gt;")=0,"",SUMIFS(BD!$I$3:$I$5001,BD!$A$3:$A$5001,S$3,BD!$B$3:$B$5001,$A$311)))</f>
        <v/>
      </c>
      <c r="T317" s="201" t="str">
        <f>IF(T$3="","",IF(COUNTIFS(BD!$A$3:$A$5001,T$3,BD!$B$3:$B$5001,$A$311,BD!$I$3:$I$5001,"&lt;&gt;")=0,"",SUMIFS(BD!$I$3:$I$5001,BD!$A$3:$A$5001,T$3,BD!$B$3:$B$5001,$A$311)))</f>
        <v/>
      </c>
      <c r="U317" s="201" t="str">
        <f>IF(U$3="","",IF(COUNTIFS(BD!$A$3:$A$5001,U$3,BD!$B$3:$B$5001,$A$311,BD!$I$3:$I$5001,"&lt;&gt;")=0,"",SUMIFS(BD!$I$3:$I$5001,BD!$A$3:$A$5001,U$3,BD!$B$3:$B$5001,$A$311)))</f>
        <v/>
      </c>
      <c r="V317" s="201" t="str">
        <f>IF(V$3="","",IF(COUNTIFS(BD!$A$3:$A$5001,V$3,BD!$B$3:$B$5001,$A$311,BD!$I$3:$I$5001,"&lt;&gt;")=0,"",SUMIFS(BD!$I$3:$I$5001,BD!$A$3:$A$5001,V$3,BD!$B$3:$B$5001,$A$311)))</f>
        <v/>
      </c>
      <c r="W317" s="201" t="str">
        <f>IF(W$3="","",IF(COUNTIFS(BD!$A$3:$A$5001,W$3,BD!$B$3:$B$5001,$A$311,BD!$I$3:$I$5001,"&lt;&gt;")=0,"",SUMIFS(BD!$I$3:$I$5001,BD!$A$3:$A$5001,W$3,BD!$B$3:$B$5001,$A$311)))</f>
        <v/>
      </c>
      <c r="X317" s="201" t="str">
        <f>IF(X$3="","",IF(COUNTIFS(BD!$A$3:$A$5001,X$3,BD!$B$3:$B$5001,$A$311,BD!$I$3:$I$5001,"&lt;&gt;")=0,"",SUMIFS(BD!$I$3:$I$5001,BD!$A$3:$A$5001,X$3,BD!$B$3:$B$5001,$A$311)))</f>
        <v/>
      </c>
      <c r="Y317" s="201" t="str">
        <f>IF(Y$3="","",IF(COUNTIFS(BD!$A$3:$A$5001,Y$3,BD!$B$3:$B$5001,$A$311,BD!$I$3:$I$5001,"&lt;&gt;")=0,"",SUMIFS(BD!$I$3:$I$5001,BD!$A$3:$A$5001,Y$3,BD!$B$3:$B$5001,$A$311)))</f>
        <v/>
      </c>
      <c r="Z317" s="201" t="str">
        <f>IF(Z$3="","",IF(COUNTIFS(BD!$A$3:$A$5001,Z$3,BD!$B$3:$B$5001,$A$311,BD!$I$3:$I$5001,"&lt;&gt;")=0,"",SUMIFS(BD!$I$3:$I$5001,BD!$A$3:$A$5001,Z$3,BD!$B$3:$B$5001,$A$311)))</f>
        <v/>
      </c>
      <c r="AA317" s="201" t="str">
        <f>IF(AA$3="","",IF(COUNTIFS(BD!$A$3:$A$5001,AA$3,BD!$B$3:$B$5001,$A$311,BD!$I$3:$I$5001,"&lt;&gt;")=0,"",SUMIFS(BD!$I$3:$I$5001,BD!$A$3:$A$5001,AA$3,BD!$B$3:$B$5001,$A$311)))</f>
        <v/>
      </c>
      <c r="AB317" s="201" t="str">
        <f>IF(AB$3="","",IF(COUNTIFS(BD!$A$3:$A$5001,AB$3,BD!$B$3:$B$5001,$A$311,BD!$I$3:$I$5001,"&lt;&gt;")=0,"",SUMIFS(BD!$I$3:$I$5001,BD!$A$3:$A$5001,AB$3,BD!$B$3:$B$5001,$A$311)))</f>
        <v/>
      </c>
      <c r="AC317" s="201" t="str">
        <f>IF(AC$3="","",IF(COUNTIFS(BD!$A$3:$A$5001,AC$3,BD!$B$3:$B$5001,$A$311,BD!$I$3:$I$5001,"&lt;&gt;")=0,"",SUMIFS(BD!$I$3:$I$5001,BD!$A$3:$A$5001,AC$3,BD!$B$3:$B$5001,$A$311)))</f>
        <v/>
      </c>
      <c r="AD317" s="201" t="str">
        <f>IF(AD$3="","",IF(COUNTIFS(BD!$A$3:$A$5001,AD$3,BD!$B$3:$B$5001,$A$311,BD!$I$3:$I$5001,"&lt;&gt;")=0,"",SUMIFS(BD!$I$3:$I$5001,BD!$A$3:$A$5001,AD$3,BD!$B$3:$B$5001,$A$311)))</f>
        <v/>
      </c>
      <c r="AE317" s="201" t="str">
        <f>IF(AE$3="","",IF(COUNTIFS(BD!$A$3:$A$5001,AE$3,BD!$B$3:$B$5001,$A$311,BD!$I$3:$I$5001,"&lt;&gt;")=0,"",SUMIFS(BD!$I$3:$I$5001,BD!$A$3:$A$5001,AE$3,BD!$B$3:$B$5001,$A$311)))</f>
        <v/>
      </c>
      <c r="AF317" s="201" t="str">
        <f>IF(AF$3="","",IF(COUNTIFS(BD!$A$3:$A$5001,AF$3,BD!$B$3:$B$5001,$A$311,BD!$I$3:$I$5001,"&lt;&gt;")=0,"",SUMIFS(BD!$I$3:$I$5001,BD!$A$3:$A$5001,AF$3,BD!$B$3:$B$5001,$A$311)))</f>
        <v/>
      </c>
      <c r="AG317" s="201" t="str">
        <f>IF(AG$3="","",IF(COUNTIFS(BD!$A$3:$A$5001,AG$3,BD!$B$3:$B$5001,$A$311,BD!$I$3:$I$5001,"&lt;&gt;")=0,"",SUMIFS(BD!$I$3:$I$5001,BD!$A$3:$A$5001,AG$3,BD!$B$3:$B$5001,$A$311)))</f>
        <v/>
      </c>
      <c r="AH317" s="201" t="str">
        <f>IF(AH$3="","",IF(COUNTIFS(BD!$A$3:$A$5001,AH$3,BD!$B$3:$B$5001,$A$311,BD!$I$3:$I$5001,"&lt;&gt;")=0,"",SUMIFS(BD!$I$3:$I$5001,BD!$A$3:$A$5001,AH$3,BD!$B$3:$B$5001,$A$311)))</f>
        <v/>
      </c>
      <c r="AI317" s="201" t="str">
        <f>IF(AI$3="","",IF(COUNTIFS(BD!$A$3:$A$5001,AI$3,BD!$B$3:$B$5001,$A$311,BD!$I$3:$I$5001,"&lt;&gt;")=0,"",SUMIFS(BD!$I$3:$I$5001,BD!$A$3:$A$5001,AI$3,BD!$B$3:$B$5001,$A$311)))</f>
        <v/>
      </c>
      <c r="AJ317" s="202" t="str">
        <f>IF(AJ$3="","",IF(COUNTIFS(BD!$A$3:$A$5001,AJ$3,BD!$B$3:$B$5001,$A$311,BD!$I$3:$I$5001,"&lt;&gt;")=0,"",SUMIFS(BD!$I$3:$I$5001,BD!$A$3:$A$5001,AJ$3,BD!$B$3:$B$5001,$A$311)))</f>
        <v/>
      </c>
      <c r="AK317" s="203" t="str">
        <f>IF(COUNT(F317:AJ317)=0,"",SUM(F317:AJ317))</f>
        <v/>
      </c>
    </row>
    <row r="318" ht="15.75" customHeight="1" hidden="1">
      <c r="A318" s="254"/>
      <c r="B318" s="248"/>
      <c r="C318" s="204" t="inlineStr">
        <is>
          <t xml:space="preserve">No show</t>
        </is>
      </c>
      <c r="D318" s="205" t="str">
        <f>IFERROR(1/(1/INDEX(BD!$Y$30:$AS$30,MATCH($A$311,BD!$Y$22:$AS$22,0))),"")</f>
        <v/>
      </c>
      <c r="E318" s="206"/>
      <c r="F318" s="207" t="str">
        <f>IF(F$3="","",IF(COUNTIFS(BD!$A$3:$A$5001,F$3,BD!$B$3:$B$5001,$A$311,BD!$J$3:$J$5001,"&lt;&gt;")=0,"",SUMIFS(BD!$J$3:$J$5001,BD!$A$3:$A$5001,F$3,BD!$B$3:$B$5001,$A$311)))</f>
        <v/>
      </c>
      <c r="G318" s="208" t="str">
        <f>IF(G$3="","",IF(COUNTIFS(BD!$A$3:$A$5001,G$3,BD!$B$3:$B$5001,$A$311,BD!$J$3:$J$5001,"&lt;&gt;")=0,"",SUMIFS(BD!$J$3:$J$5001,BD!$A$3:$A$5001,G$3,BD!$B$3:$B$5001,$A$311)))</f>
        <v/>
      </c>
      <c r="H318" s="208" t="str">
        <f>IF(H$3="","",IF(COUNTIFS(BD!$A$3:$A$5001,H$3,BD!$B$3:$B$5001,$A$311,BD!$J$3:$J$5001,"&lt;&gt;")=0,"",SUMIFS(BD!$J$3:$J$5001,BD!$A$3:$A$5001,H$3,BD!$B$3:$B$5001,$A$311)))</f>
        <v/>
      </c>
      <c r="I318" s="208" t="str">
        <f>IF(I$3="","",IF(COUNTIFS(BD!$A$3:$A$5001,I$3,BD!$B$3:$B$5001,$A$311,BD!$J$3:$J$5001,"&lt;&gt;")=0,"",SUMIFS(BD!$J$3:$J$5001,BD!$A$3:$A$5001,I$3,BD!$B$3:$B$5001,$A$311)))</f>
        <v/>
      </c>
      <c r="J318" s="208" t="str">
        <f>IF(J$3="","",IF(COUNTIFS(BD!$A$3:$A$5001,J$3,BD!$B$3:$B$5001,$A$311,BD!$J$3:$J$5001,"&lt;&gt;")=0,"",SUMIFS(BD!$J$3:$J$5001,BD!$A$3:$A$5001,J$3,BD!$B$3:$B$5001,$A$311)))</f>
        <v/>
      </c>
      <c r="K318" s="208" t="str">
        <f>IF(K$3="","",IF(COUNTIFS(BD!$A$3:$A$5001,K$3,BD!$B$3:$B$5001,$A$311,BD!$J$3:$J$5001,"&lt;&gt;")=0,"",SUMIFS(BD!$J$3:$J$5001,BD!$A$3:$A$5001,K$3,BD!$B$3:$B$5001,$A$311)))</f>
        <v/>
      </c>
      <c r="L318" s="208" t="str">
        <f>IF(L$3="","",IF(COUNTIFS(BD!$A$3:$A$5001,L$3,BD!$B$3:$B$5001,$A$311,BD!$J$3:$J$5001,"&lt;&gt;")=0,"",SUMIFS(BD!$J$3:$J$5001,BD!$A$3:$A$5001,L$3,BD!$B$3:$B$5001,$A$311)))</f>
        <v/>
      </c>
      <c r="M318" s="208" t="str">
        <f>IF(M$3="","",IF(COUNTIFS(BD!$A$3:$A$5001,M$3,BD!$B$3:$B$5001,$A$311,BD!$J$3:$J$5001,"&lt;&gt;")=0,"",SUMIFS(BD!$J$3:$J$5001,BD!$A$3:$A$5001,M$3,BD!$B$3:$B$5001,$A$311)))</f>
        <v/>
      </c>
      <c r="N318" s="208" t="str">
        <f>IF(N$3="","",IF(COUNTIFS(BD!$A$3:$A$5001,N$3,BD!$B$3:$B$5001,$A$311,BD!$J$3:$J$5001,"&lt;&gt;")=0,"",SUMIFS(BD!$J$3:$J$5001,BD!$A$3:$A$5001,N$3,BD!$B$3:$B$5001,$A$311)))</f>
        <v/>
      </c>
      <c r="O318" s="208" t="str">
        <f>IF(O$3="","",IF(COUNTIFS(BD!$A$3:$A$5001,O$3,BD!$B$3:$B$5001,$A$311,BD!$J$3:$J$5001,"&lt;&gt;")=0,"",SUMIFS(BD!$J$3:$J$5001,BD!$A$3:$A$5001,O$3,BD!$B$3:$B$5001,$A$311)))</f>
        <v/>
      </c>
      <c r="P318" s="208" t="str">
        <f>IF(P$3="","",IF(COUNTIFS(BD!$A$3:$A$5001,P$3,BD!$B$3:$B$5001,$A$311,BD!$J$3:$J$5001,"&lt;&gt;")=0,"",SUMIFS(BD!$J$3:$J$5001,BD!$A$3:$A$5001,P$3,BD!$B$3:$B$5001,$A$311)))</f>
        <v/>
      </c>
      <c r="Q318" s="208" t="str">
        <f>IF(Q$3="","",IF(COUNTIFS(BD!$A$3:$A$5001,Q$3,BD!$B$3:$B$5001,$A$311,BD!$J$3:$J$5001,"&lt;&gt;")=0,"",SUMIFS(BD!$J$3:$J$5001,BD!$A$3:$A$5001,Q$3,BD!$B$3:$B$5001,$A$311)))</f>
        <v/>
      </c>
      <c r="R318" s="208" t="str">
        <f>IF(R$3="","",IF(COUNTIFS(BD!$A$3:$A$5001,R$3,BD!$B$3:$B$5001,$A$311,BD!$J$3:$J$5001,"&lt;&gt;")=0,"",SUMIFS(BD!$J$3:$J$5001,BD!$A$3:$A$5001,R$3,BD!$B$3:$B$5001,$A$311)))</f>
        <v/>
      </c>
      <c r="S318" s="208" t="str">
        <f>IF(S$3="","",IF(COUNTIFS(BD!$A$3:$A$5001,S$3,BD!$B$3:$B$5001,$A$311,BD!$J$3:$J$5001,"&lt;&gt;")=0,"",SUMIFS(BD!$J$3:$J$5001,BD!$A$3:$A$5001,S$3,BD!$B$3:$B$5001,$A$311)))</f>
        <v/>
      </c>
      <c r="T318" s="208" t="str">
        <f>IF(T$3="","",IF(COUNTIFS(BD!$A$3:$A$5001,T$3,BD!$B$3:$B$5001,$A$311,BD!$J$3:$J$5001,"&lt;&gt;")=0,"",SUMIFS(BD!$J$3:$J$5001,BD!$A$3:$A$5001,T$3,BD!$B$3:$B$5001,$A$311)))</f>
        <v/>
      </c>
      <c r="U318" s="208" t="str">
        <f>IF(U$3="","",IF(COUNTIFS(BD!$A$3:$A$5001,U$3,BD!$B$3:$B$5001,$A$311,BD!$J$3:$J$5001,"&lt;&gt;")=0,"",SUMIFS(BD!$J$3:$J$5001,BD!$A$3:$A$5001,U$3,BD!$B$3:$B$5001,$A$311)))</f>
        <v/>
      </c>
      <c r="V318" s="208" t="str">
        <f>IF(V$3="","",IF(COUNTIFS(BD!$A$3:$A$5001,V$3,BD!$B$3:$B$5001,$A$311,BD!$J$3:$J$5001,"&lt;&gt;")=0,"",SUMIFS(BD!$J$3:$J$5001,BD!$A$3:$A$5001,V$3,BD!$B$3:$B$5001,$A$311)))</f>
        <v/>
      </c>
      <c r="W318" s="208" t="str">
        <f>IF(W$3="","",IF(COUNTIFS(BD!$A$3:$A$5001,W$3,BD!$B$3:$B$5001,$A$311,BD!$J$3:$J$5001,"&lt;&gt;")=0,"",SUMIFS(BD!$J$3:$J$5001,BD!$A$3:$A$5001,W$3,BD!$B$3:$B$5001,$A$311)))</f>
        <v/>
      </c>
      <c r="X318" s="208" t="str">
        <f>IF(X$3="","",IF(COUNTIFS(BD!$A$3:$A$5001,X$3,BD!$B$3:$B$5001,$A$311,BD!$J$3:$J$5001,"&lt;&gt;")=0,"",SUMIFS(BD!$J$3:$J$5001,BD!$A$3:$A$5001,X$3,BD!$B$3:$B$5001,$A$311)))</f>
        <v/>
      </c>
      <c r="Y318" s="208" t="str">
        <f>IF(Y$3="","",IF(COUNTIFS(BD!$A$3:$A$5001,Y$3,BD!$B$3:$B$5001,$A$311,BD!$J$3:$J$5001,"&lt;&gt;")=0,"",SUMIFS(BD!$J$3:$J$5001,BD!$A$3:$A$5001,Y$3,BD!$B$3:$B$5001,$A$311)))</f>
        <v/>
      </c>
      <c r="Z318" s="208" t="str">
        <f>IF(Z$3="","",IF(COUNTIFS(BD!$A$3:$A$5001,Z$3,BD!$B$3:$B$5001,$A$311,BD!$J$3:$J$5001,"&lt;&gt;")=0,"",SUMIFS(BD!$J$3:$J$5001,BD!$A$3:$A$5001,Z$3,BD!$B$3:$B$5001,$A$311)))</f>
        <v/>
      </c>
      <c r="AA318" s="208" t="str">
        <f>IF(AA$3="","",IF(COUNTIFS(BD!$A$3:$A$5001,AA$3,BD!$B$3:$B$5001,$A$311,BD!$J$3:$J$5001,"&lt;&gt;")=0,"",SUMIFS(BD!$J$3:$J$5001,BD!$A$3:$A$5001,AA$3,BD!$B$3:$B$5001,$A$311)))</f>
        <v/>
      </c>
      <c r="AB318" s="208" t="str">
        <f>IF(AB$3="","",IF(COUNTIFS(BD!$A$3:$A$5001,AB$3,BD!$B$3:$B$5001,$A$311,BD!$J$3:$J$5001,"&lt;&gt;")=0,"",SUMIFS(BD!$J$3:$J$5001,BD!$A$3:$A$5001,AB$3,BD!$B$3:$B$5001,$A$311)))</f>
        <v/>
      </c>
      <c r="AC318" s="208" t="str">
        <f>IF(AC$3="","",IF(COUNTIFS(BD!$A$3:$A$5001,AC$3,BD!$B$3:$B$5001,$A$311,BD!$J$3:$J$5001,"&lt;&gt;")=0,"",SUMIFS(BD!$J$3:$J$5001,BD!$A$3:$A$5001,AC$3,BD!$B$3:$B$5001,$A$311)))</f>
        <v/>
      </c>
      <c r="AD318" s="208" t="str">
        <f>IF(AD$3="","",IF(COUNTIFS(BD!$A$3:$A$5001,AD$3,BD!$B$3:$B$5001,$A$311,BD!$J$3:$J$5001,"&lt;&gt;")=0,"",SUMIFS(BD!$J$3:$J$5001,BD!$A$3:$A$5001,AD$3,BD!$B$3:$B$5001,$A$311)))</f>
        <v/>
      </c>
      <c r="AE318" s="208" t="str">
        <f>IF(AE$3="","",IF(COUNTIFS(BD!$A$3:$A$5001,AE$3,BD!$B$3:$B$5001,$A$311,BD!$J$3:$J$5001,"&lt;&gt;")=0,"",SUMIFS(BD!$J$3:$J$5001,BD!$A$3:$A$5001,AE$3,BD!$B$3:$B$5001,$A$311)))</f>
        <v/>
      </c>
      <c r="AF318" s="208" t="str">
        <f>IF(AF$3="","",IF(COUNTIFS(BD!$A$3:$A$5001,AF$3,BD!$B$3:$B$5001,$A$311,BD!$J$3:$J$5001,"&lt;&gt;")=0,"",SUMIFS(BD!$J$3:$J$5001,BD!$A$3:$A$5001,AF$3,BD!$B$3:$B$5001,$A$311)))</f>
        <v/>
      </c>
      <c r="AG318" s="208" t="str">
        <f>IF(AG$3="","",IF(COUNTIFS(BD!$A$3:$A$5001,AG$3,BD!$B$3:$B$5001,$A$311,BD!$J$3:$J$5001,"&lt;&gt;")=0,"",SUMIFS(BD!$J$3:$J$5001,BD!$A$3:$A$5001,AG$3,BD!$B$3:$B$5001,$A$311)))</f>
        <v/>
      </c>
      <c r="AH318" s="208" t="str">
        <f>IF(AH$3="","",IF(COUNTIFS(BD!$A$3:$A$5001,AH$3,BD!$B$3:$B$5001,$A$311,BD!$J$3:$J$5001,"&lt;&gt;")=0,"",SUMIFS(BD!$J$3:$J$5001,BD!$A$3:$A$5001,AH$3,BD!$B$3:$B$5001,$A$311)))</f>
        <v/>
      </c>
      <c r="AI318" s="208" t="str">
        <f>IF(AI$3="","",IF(COUNTIFS(BD!$A$3:$A$5001,AI$3,BD!$B$3:$B$5001,$A$311,BD!$J$3:$J$5001,"&lt;&gt;")=0,"",SUMIFS(BD!$J$3:$J$5001,BD!$A$3:$A$5001,AI$3,BD!$B$3:$B$5001,$A$311)))</f>
        <v/>
      </c>
      <c r="AJ318" s="209" t="str">
        <f>IF(AJ$3="","",IF(COUNTIFS(BD!$A$3:$A$5001,AJ$3,BD!$B$3:$B$5001,$A$311,BD!$J$3:$J$5001,"&lt;&gt;")=0,"",SUMIFS(BD!$J$3:$J$5001,BD!$A$3:$A$5001,AJ$3,BD!$B$3:$B$5001,$A$311)))</f>
        <v/>
      </c>
      <c r="AK318" s="210" t="str">
        <f>IF(COUNT(F318:AJ318)=0,"",SUM(F318:AJ318))</f>
        <v/>
      </c>
    </row>
    <row r="319" ht="15.75" customHeight="1" hidden="1">
      <c r="A319" s="254"/>
      <c r="B319" s="249"/>
      <c r="C319" s="211" t="inlineStr">
        <is>
          <t xml:space="preserve">Backlog</t>
        </is>
      </c>
      <c r="D319" s="212" t="str">
        <f>IFERROR(1/(1/INDEX(BD!$Y$31:$AS$31,MATCH($A$311,BD!$Y$22:$AS$22,0))),"")</f>
        <v/>
      </c>
      <c r="E319" s="213"/>
      <c r="F319" s="214" t="str">
        <f>IF(F$3="","",IF(COUNTIFS(BD!$A$3:$A$5001,F$3,BD!$B$3:$B$5001,$A$311,BD!$K$3:$K$5001,"&lt;&gt;")=0,"",SUMIFS(BD!$K$3:$K$5001,BD!$A$3:$A$5001,F$3,BD!$B$3:$B$5001,$A$311)))</f>
        <v/>
      </c>
      <c r="G319" s="215" t="str">
        <f>IF(G$3="","",IF(COUNTIFS(BD!$A$3:$A$5001,G$3,BD!$B$3:$B$5001,$A$311,BD!$K$3:$K$5001,"&lt;&gt;")=0,"",SUMIFS(BD!$K$3:$K$5001,BD!$A$3:$A$5001,G$3,BD!$B$3:$B$5001,$A$311)))</f>
        <v/>
      </c>
      <c r="H319" s="215" t="str">
        <f>IF(H$3="","",IF(COUNTIFS(BD!$A$3:$A$5001,H$3,BD!$B$3:$B$5001,$A$311,BD!$K$3:$K$5001,"&lt;&gt;")=0,"",SUMIFS(BD!$K$3:$K$5001,BD!$A$3:$A$5001,H$3,BD!$B$3:$B$5001,$A$311)))</f>
        <v/>
      </c>
      <c r="I319" s="215" t="str">
        <f>IF(I$3="","",IF(COUNTIFS(BD!$A$3:$A$5001,I$3,BD!$B$3:$B$5001,$A$311,BD!$K$3:$K$5001,"&lt;&gt;")=0,"",SUMIFS(BD!$K$3:$K$5001,BD!$A$3:$A$5001,I$3,BD!$B$3:$B$5001,$A$311)))</f>
        <v/>
      </c>
      <c r="J319" s="215" t="str">
        <f>IF(J$3="","",IF(COUNTIFS(BD!$A$3:$A$5001,J$3,BD!$B$3:$B$5001,$A$311,BD!$K$3:$K$5001,"&lt;&gt;")=0,"",SUMIFS(BD!$K$3:$K$5001,BD!$A$3:$A$5001,J$3,BD!$B$3:$B$5001,$A$311)))</f>
        <v/>
      </c>
      <c r="K319" s="215" t="str">
        <f>IF(K$3="","",IF(COUNTIFS(BD!$A$3:$A$5001,K$3,BD!$B$3:$B$5001,$A$311,BD!$K$3:$K$5001,"&lt;&gt;")=0,"",SUMIFS(BD!$K$3:$K$5001,BD!$A$3:$A$5001,K$3,BD!$B$3:$B$5001,$A$311)))</f>
        <v/>
      </c>
      <c r="L319" s="215" t="str">
        <f>IF(L$3="","",IF(COUNTIFS(BD!$A$3:$A$5001,L$3,BD!$B$3:$B$5001,$A$311,BD!$K$3:$K$5001,"&lt;&gt;")=0,"",SUMIFS(BD!$K$3:$K$5001,BD!$A$3:$A$5001,L$3,BD!$B$3:$B$5001,$A$311)))</f>
        <v/>
      </c>
      <c r="M319" s="215" t="str">
        <f>IF(M$3="","",IF(COUNTIFS(BD!$A$3:$A$5001,M$3,BD!$B$3:$B$5001,$A$311,BD!$K$3:$K$5001,"&lt;&gt;")=0,"",SUMIFS(BD!$K$3:$K$5001,BD!$A$3:$A$5001,M$3,BD!$B$3:$B$5001,$A$311)))</f>
        <v/>
      </c>
      <c r="N319" s="215" t="str">
        <f>IF(N$3="","",IF(COUNTIFS(BD!$A$3:$A$5001,N$3,BD!$B$3:$B$5001,$A$311,BD!$K$3:$K$5001,"&lt;&gt;")=0,"",SUMIFS(BD!$K$3:$K$5001,BD!$A$3:$A$5001,N$3,BD!$B$3:$B$5001,$A$311)))</f>
        <v/>
      </c>
      <c r="O319" s="215" t="str">
        <f>IF(O$3="","",IF(COUNTIFS(BD!$A$3:$A$5001,O$3,BD!$B$3:$B$5001,$A$311,BD!$K$3:$K$5001,"&lt;&gt;")=0,"",SUMIFS(BD!$K$3:$K$5001,BD!$A$3:$A$5001,O$3,BD!$B$3:$B$5001,$A$311)))</f>
        <v/>
      </c>
      <c r="P319" s="215" t="str">
        <f>IF(P$3="","",IF(COUNTIFS(BD!$A$3:$A$5001,P$3,BD!$B$3:$B$5001,$A$311,BD!$K$3:$K$5001,"&lt;&gt;")=0,"",SUMIFS(BD!$K$3:$K$5001,BD!$A$3:$A$5001,P$3,BD!$B$3:$B$5001,$A$311)))</f>
        <v/>
      </c>
      <c r="Q319" s="215" t="str">
        <f>IF(Q$3="","",IF(COUNTIFS(BD!$A$3:$A$5001,Q$3,BD!$B$3:$B$5001,$A$311,BD!$K$3:$K$5001,"&lt;&gt;")=0,"",SUMIFS(BD!$K$3:$K$5001,BD!$A$3:$A$5001,Q$3,BD!$B$3:$B$5001,$A$311)))</f>
        <v/>
      </c>
      <c r="R319" s="215" t="str">
        <f>IF(R$3="","",IF(COUNTIFS(BD!$A$3:$A$5001,R$3,BD!$B$3:$B$5001,$A$311,BD!$K$3:$K$5001,"&lt;&gt;")=0,"",SUMIFS(BD!$K$3:$K$5001,BD!$A$3:$A$5001,R$3,BD!$B$3:$B$5001,$A$311)))</f>
        <v/>
      </c>
      <c r="S319" s="215" t="str">
        <f>IF(S$3="","",IF(COUNTIFS(BD!$A$3:$A$5001,S$3,BD!$B$3:$B$5001,$A$311,BD!$K$3:$K$5001,"&lt;&gt;")=0,"",SUMIFS(BD!$K$3:$K$5001,BD!$A$3:$A$5001,S$3,BD!$B$3:$B$5001,$A$311)))</f>
        <v/>
      </c>
      <c r="T319" s="215" t="str">
        <f>IF(T$3="","",IF(COUNTIFS(BD!$A$3:$A$5001,T$3,BD!$B$3:$B$5001,$A$311,BD!$K$3:$K$5001,"&lt;&gt;")=0,"",SUMIFS(BD!$K$3:$K$5001,BD!$A$3:$A$5001,T$3,BD!$B$3:$B$5001,$A$311)))</f>
        <v/>
      </c>
      <c r="U319" s="215" t="str">
        <f>IF(U$3="","",IF(COUNTIFS(BD!$A$3:$A$5001,U$3,BD!$B$3:$B$5001,$A$311,BD!$K$3:$K$5001,"&lt;&gt;")=0,"",SUMIFS(BD!$K$3:$K$5001,BD!$A$3:$A$5001,U$3,BD!$B$3:$B$5001,$A$311)))</f>
        <v/>
      </c>
      <c r="V319" s="215" t="str">
        <f>IF(V$3="","",IF(COUNTIFS(BD!$A$3:$A$5001,V$3,BD!$B$3:$B$5001,$A$311,BD!$K$3:$K$5001,"&lt;&gt;")=0,"",SUMIFS(BD!$K$3:$K$5001,BD!$A$3:$A$5001,V$3,BD!$B$3:$B$5001,$A$311)))</f>
        <v/>
      </c>
      <c r="W319" s="215" t="str">
        <f>IF(W$3="","",IF(COUNTIFS(BD!$A$3:$A$5001,W$3,BD!$B$3:$B$5001,$A$311,BD!$K$3:$K$5001,"&lt;&gt;")=0,"",SUMIFS(BD!$K$3:$K$5001,BD!$A$3:$A$5001,W$3,BD!$B$3:$B$5001,$A$311)))</f>
        <v/>
      </c>
      <c r="X319" s="215" t="str">
        <f>IF(X$3="","",IF(COUNTIFS(BD!$A$3:$A$5001,X$3,BD!$B$3:$B$5001,$A$311,BD!$K$3:$K$5001,"&lt;&gt;")=0,"",SUMIFS(BD!$K$3:$K$5001,BD!$A$3:$A$5001,X$3,BD!$B$3:$B$5001,$A$311)))</f>
        <v/>
      </c>
      <c r="Y319" s="215" t="str">
        <f>IF(Y$3="","",IF(COUNTIFS(BD!$A$3:$A$5001,Y$3,BD!$B$3:$B$5001,$A$311,BD!$K$3:$K$5001,"&lt;&gt;")=0,"",SUMIFS(BD!$K$3:$K$5001,BD!$A$3:$A$5001,Y$3,BD!$B$3:$B$5001,$A$311)))</f>
        <v/>
      </c>
      <c r="Z319" s="215" t="str">
        <f>IF(Z$3="","",IF(COUNTIFS(BD!$A$3:$A$5001,Z$3,BD!$B$3:$B$5001,$A$311,BD!$K$3:$K$5001,"&lt;&gt;")=0,"",SUMIFS(BD!$K$3:$K$5001,BD!$A$3:$A$5001,Z$3,BD!$B$3:$B$5001,$A$311)))</f>
        <v/>
      </c>
      <c r="AA319" s="215" t="str">
        <f>IF(AA$3="","",IF(COUNTIFS(BD!$A$3:$A$5001,AA$3,BD!$B$3:$B$5001,$A$311,BD!$K$3:$K$5001,"&lt;&gt;")=0,"",SUMIFS(BD!$K$3:$K$5001,BD!$A$3:$A$5001,AA$3,BD!$B$3:$B$5001,$A$311)))</f>
        <v/>
      </c>
      <c r="AB319" s="215" t="str">
        <f>IF(AB$3="","",IF(COUNTIFS(BD!$A$3:$A$5001,AB$3,BD!$B$3:$B$5001,$A$311,BD!$K$3:$K$5001,"&lt;&gt;")=0,"",SUMIFS(BD!$K$3:$K$5001,BD!$A$3:$A$5001,AB$3,BD!$B$3:$B$5001,$A$311)))</f>
        <v/>
      </c>
      <c r="AC319" s="215" t="str">
        <f>IF(AC$3="","",IF(COUNTIFS(BD!$A$3:$A$5001,AC$3,BD!$B$3:$B$5001,$A$311,BD!$K$3:$K$5001,"&lt;&gt;")=0,"",SUMIFS(BD!$K$3:$K$5001,BD!$A$3:$A$5001,AC$3,BD!$B$3:$B$5001,$A$311)))</f>
        <v/>
      </c>
      <c r="AD319" s="215" t="str">
        <f>IF(AD$3="","",IF(COUNTIFS(BD!$A$3:$A$5001,AD$3,BD!$B$3:$B$5001,$A$311,BD!$K$3:$K$5001,"&lt;&gt;")=0,"",SUMIFS(BD!$K$3:$K$5001,BD!$A$3:$A$5001,AD$3,BD!$B$3:$B$5001,$A$311)))</f>
        <v/>
      </c>
      <c r="AE319" s="215" t="str">
        <f>IF(AE$3="","",IF(COUNTIFS(BD!$A$3:$A$5001,AE$3,BD!$B$3:$B$5001,$A$311,BD!$K$3:$K$5001,"&lt;&gt;")=0,"",SUMIFS(BD!$K$3:$K$5001,BD!$A$3:$A$5001,AE$3,BD!$B$3:$B$5001,$A$311)))</f>
        <v/>
      </c>
      <c r="AF319" s="215" t="str">
        <f>IF(AF$3="","",IF(COUNTIFS(BD!$A$3:$A$5001,AF$3,BD!$B$3:$B$5001,$A$311,BD!$K$3:$K$5001,"&lt;&gt;")=0,"",SUMIFS(BD!$K$3:$K$5001,BD!$A$3:$A$5001,AF$3,BD!$B$3:$B$5001,$A$311)))</f>
        <v/>
      </c>
      <c r="AG319" s="215" t="str">
        <f>IF(AG$3="","",IF(COUNTIFS(BD!$A$3:$A$5001,AG$3,BD!$B$3:$B$5001,$A$311,BD!$K$3:$K$5001,"&lt;&gt;")=0,"",SUMIFS(BD!$K$3:$K$5001,BD!$A$3:$A$5001,AG$3,BD!$B$3:$B$5001,$A$311)))</f>
        <v/>
      </c>
      <c r="AH319" s="215" t="str">
        <f>IF(AH$3="","",IF(COUNTIFS(BD!$A$3:$A$5001,AH$3,BD!$B$3:$B$5001,$A$311,BD!$K$3:$K$5001,"&lt;&gt;")=0,"",SUMIFS(BD!$K$3:$K$5001,BD!$A$3:$A$5001,AH$3,BD!$B$3:$B$5001,$A$311)))</f>
        <v/>
      </c>
      <c r="AI319" s="215" t="str">
        <f>IF(AI$3="","",IF(COUNTIFS(BD!$A$3:$A$5001,AI$3,BD!$B$3:$B$5001,$A$311,BD!$K$3:$K$5001,"&lt;&gt;")=0,"",SUMIFS(BD!$K$3:$K$5001,BD!$A$3:$A$5001,AI$3,BD!$B$3:$B$5001,$A$311)))</f>
        <v/>
      </c>
      <c r="AJ319" s="216" t="str">
        <f>IF(AJ$3="","",IF(COUNTIFS(BD!$A$3:$A$5001,AJ$3,BD!$B$3:$B$5001,$A$311,BD!$K$3:$K$5001,"&lt;&gt;")=0,"",SUMIFS(BD!$K$3:$K$5001,BD!$A$3:$A$5001,AJ$3,BD!$B$3:$B$5001,$A$311)))</f>
        <v/>
      </c>
      <c r="AK319" s="212" t="str">
        <f>IFERROR(LOOKUP(9.99E+307,F319:AJ319),"")</f>
        <v/>
      </c>
    </row>
    <row r="320" ht="15.75" customHeight="1" hidden="1">
      <c r="A320" s="254"/>
      <c r="B320" s="241" t="inlineStr">
        <is>
          <t xml:space="preserve">OCUPAÇÃO (P.P)</t>
        </is>
      </c>
      <c r="C320" s="155" t="inlineStr">
        <is>
          <t xml:space="preserve">Posições Disponíveis</t>
        </is>
      </c>
      <c r="D320" s="156" t="str">
        <f>IFERROR(1/(1/INDEX(BD!$Y$32:$AS$32,MATCH($A$311,BD!$Y$22:$AS$22,0))),"")</f>
        <v/>
      </c>
      <c r="E320" s="157"/>
      <c r="F320" s="158" t="str">
        <f>IF(F$3="","",IF(COUNTIFS(BD!$A$3:$A$5001,F$3,BD!$B$3:$B$5001,$A$311,BD!$L$3:$L$5001,"&lt;&gt;")=0,"",SUMIFS(BD!$L$3:$L$5001,BD!$A$3:$A$5001,F$3,BD!$B$3:$B$5001,$A$311)))</f>
        <v/>
      </c>
      <c r="G320" s="159" t="str">
        <f>IF(G$3="","",IF(COUNTIFS(BD!$A$3:$A$5001,G$3,BD!$B$3:$B$5001,$A$311,BD!$L$3:$L$5001,"&lt;&gt;")=0,"",SUMIFS(BD!$L$3:$L$5001,BD!$A$3:$A$5001,G$3,BD!$B$3:$B$5001,$A$311)))</f>
        <v/>
      </c>
      <c r="H320" s="159" t="str">
        <f>IF(H$3="","",IF(COUNTIFS(BD!$A$3:$A$5001,H$3,BD!$B$3:$B$5001,$A$311,BD!$L$3:$L$5001,"&lt;&gt;")=0,"",SUMIFS(BD!$L$3:$L$5001,BD!$A$3:$A$5001,H$3,BD!$B$3:$B$5001,$A$311)))</f>
        <v/>
      </c>
      <c r="I320" s="159" t="str">
        <f>IF(I$3="","",IF(COUNTIFS(BD!$A$3:$A$5001,I$3,BD!$B$3:$B$5001,$A$311,BD!$L$3:$L$5001,"&lt;&gt;")=0,"",SUMIFS(BD!$L$3:$L$5001,BD!$A$3:$A$5001,I$3,BD!$B$3:$B$5001,$A$311)))</f>
        <v/>
      </c>
      <c r="J320" s="159" t="str">
        <f>IF(J$3="","",IF(COUNTIFS(BD!$A$3:$A$5001,J$3,BD!$B$3:$B$5001,$A$311,BD!$L$3:$L$5001,"&lt;&gt;")=0,"",SUMIFS(BD!$L$3:$L$5001,BD!$A$3:$A$5001,J$3,BD!$B$3:$B$5001,$A$311)))</f>
        <v/>
      </c>
      <c r="K320" s="159" t="str">
        <f>IF(K$3="","",IF(COUNTIFS(BD!$A$3:$A$5001,K$3,BD!$B$3:$B$5001,$A$311,BD!$L$3:$L$5001,"&lt;&gt;")=0,"",SUMIFS(BD!$L$3:$L$5001,BD!$A$3:$A$5001,K$3,BD!$B$3:$B$5001,$A$311)))</f>
        <v/>
      </c>
      <c r="L320" s="159" t="str">
        <f>IF(L$3="","",IF(COUNTIFS(BD!$A$3:$A$5001,L$3,BD!$B$3:$B$5001,$A$311,BD!$L$3:$L$5001,"&lt;&gt;")=0,"",SUMIFS(BD!$L$3:$L$5001,BD!$A$3:$A$5001,L$3,BD!$B$3:$B$5001,$A$311)))</f>
        <v/>
      </c>
      <c r="M320" s="159" t="str">
        <f>IF(M$3="","",IF(COUNTIFS(BD!$A$3:$A$5001,M$3,BD!$B$3:$B$5001,$A$311,BD!$L$3:$L$5001,"&lt;&gt;")=0,"",SUMIFS(BD!$L$3:$L$5001,BD!$A$3:$A$5001,M$3,BD!$B$3:$B$5001,$A$311)))</f>
        <v/>
      </c>
      <c r="N320" s="159" t="str">
        <f>IF(N$3="","",IF(COUNTIFS(BD!$A$3:$A$5001,N$3,BD!$B$3:$B$5001,$A$311,BD!$L$3:$L$5001,"&lt;&gt;")=0,"",SUMIFS(BD!$L$3:$L$5001,BD!$A$3:$A$5001,N$3,BD!$B$3:$B$5001,$A$311)))</f>
        <v/>
      </c>
      <c r="O320" s="159" t="str">
        <f>IF(O$3="","",IF(COUNTIFS(BD!$A$3:$A$5001,O$3,BD!$B$3:$B$5001,$A$311,BD!$L$3:$L$5001,"&lt;&gt;")=0,"",SUMIFS(BD!$L$3:$L$5001,BD!$A$3:$A$5001,O$3,BD!$B$3:$B$5001,$A$311)))</f>
        <v/>
      </c>
      <c r="P320" s="159" t="str">
        <f>IF(P$3="","",IF(COUNTIFS(BD!$A$3:$A$5001,P$3,BD!$B$3:$B$5001,$A$311,BD!$L$3:$L$5001,"&lt;&gt;")=0,"",SUMIFS(BD!$L$3:$L$5001,BD!$A$3:$A$5001,P$3,BD!$B$3:$B$5001,$A$311)))</f>
        <v/>
      </c>
      <c r="Q320" s="159" t="str">
        <f>IF(Q$3="","",IF(COUNTIFS(BD!$A$3:$A$5001,Q$3,BD!$B$3:$B$5001,$A$311,BD!$L$3:$L$5001,"&lt;&gt;")=0,"",SUMIFS(BD!$L$3:$L$5001,BD!$A$3:$A$5001,Q$3,BD!$B$3:$B$5001,$A$311)))</f>
        <v/>
      </c>
      <c r="R320" s="159" t="str">
        <f>IF(R$3="","",IF(COUNTIFS(BD!$A$3:$A$5001,R$3,BD!$B$3:$B$5001,$A$311,BD!$L$3:$L$5001,"&lt;&gt;")=0,"",SUMIFS(BD!$L$3:$L$5001,BD!$A$3:$A$5001,R$3,BD!$B$3:$B$5001,$A$311)))</f>
        <v/>
      </c>
      <c r="S320" s="159" t="str">
        <f>IF(S$3="","",IF(COUNTIFS(BD!$A$3:$A$5001,S$3,BD!$B$3:$B$5001,$A$311,BD!$L$3:$L$5001,"&lt;&gt;")=0,"",SUMIFS(BD!$L$3:$L$5001,BD!$A$3:$A$5001,S$3,BD!$B$3:$B$5001,$A$311)))</f>
        <v/>
      </c>
      <c r="T320" s="159" t="str">
        <f>IF(T$3="","",IF(COUNTIFS(BD!$A$3:$A$5001,T$3,BD!$B$3:$B$5001,$A$311,BD!$L$3:$L$5001,"&lt;&gt;")=0,"",SUMIFS(BD!$L$3:$L$5001,BD!$A$3:$A$5001,T$3,BD!$B$3:$B$5001,$A$311)))</f>
        <v/>
      </c>
      <c r="U320" s="159" t="str">
        <f>IF(U$3="","",IF(COUNTIFS(BD!$A$3:$A$5001,U$3,BD!$B$3:$B$5001,$A$311,BD!$L$3:$L$5001,"&lt;&gt;")=0,"",SUMIFS(BD!$L$3:$L$5001,BD!$A$3:$A$5001,U$3,BD!$B$3:$B$5001,$A$311)))</f>
        <v/>
      </c>
      <c r="V320" s="159" t="str">
        <f>IF(V$3="","",IF(COUNTIFS(BD!$A$3:$A$5001,V$3,BD!$B$3:$B$5001,$A$311,BD!$L$3:$L$5001,"&lt;&gt;")=0,"",SUMIFS(BD!$L$3:$L$5001,BD!$A$3:$A$5001,V$3,BD!$B$3:$B$5001,$A$311)))</f>
        <v/>
      </c>
      <c r="W320" s="159" t="str">
        <f>IF(W$3="","",IF(COUNTIFS(BD!$A$3:$A$5001,W$3,BD!$B$3:$B$5001,$A$311,BD!$L$3:$L$5001,"&lt;&gt;")=0,"",SUMIFS(BD!$L$3:$L$5001,BD!$A$3:$A$5001,W$3,BD!$B$3:$B$5001,$A$311)))</f>
        <v/>
      </c>
      <c r="X320" s="159" t="str">
        <f>IF(X$3="","",IF(COUNTIFS(BD!$A$3:$A$5001,X$3,BD!$B$3:$B$5001,$A$311,BD!$L$3:$L$5001,"&lt;&gt;")=0,"",SUMIFS(BD!$L$3:$L$5001,BD!$A$3:$A$5001,X$3,BD!$B$3:$B$5001,$A$311)))</f>
        <v/>
      </c>
      <c r="Y320" s="159" t="str">
        <f>IF(Y$3="","",IF(COUNTIFS(BD!$A$3:$A$5001,Y$3,BD!$B$3:$B$5001,$A$311,BD!$L$3:$L$5001,"&lt;&gt;")=0,"",SUMIFS(BD!$L$3:$L$5001,BD!$A$3:$A$5001,Y$3,BD!$B$3:$B$5001,$A$311)))</f>
        <v/>
      </c>
      <c r="Z320" s="159" t="str">
        <f>IF(Z$3="","",IF(COUNTIFS(BD!$A$3:$A$5001,Z$3,BD!$B$3:$B$5001,$A$311,BD!$L$3:$L$5001,"&lt;&gt;")=0,"",SUMIFS(BD!$L$3:$L$5001,BD!$A$3:$A$5001,Z$3,BD!$B$3:$B$5001,$A$311)))</f>
        <v/>
      </c>
      <c r="AA320" s="159" t="str">
        <f>IF(AA$3="","",IF(COUNTIFS(BD!$A$3:$A$5001,AA$3,BD!$B$3:$B$5001,$A$311,BD!$L$3:$L$5001,"&lt;&gt;")=0,"",SUMIFS(BD!$L$3:$L$5001,BD!$A$3:$A$5001,AA$3,BD!$B$3:$B$5001,$A$311)))</f>
        <v/>
      </c>
      <c r="AB320" s="159" t="str">
        <f>IF(AB$3="","",IF(COUNTIFS(BD!$A$3:$A$5001,AB$3,BD!$B$3:$B$5001,$A$311,BD!$L$3:$L$5001,"&lt;&gt;")=0,"",SUMIFS(BD!$L$3:$L$5001,BD!$A$3:$A$5001,AB$3,BD!$B$3:$B$5001,$A$311)))</f>
        <v/>
      </c>
      <c r="AC320" s="159" t="str">
        <f>IF(AC$3="","",IF(COUNTIFS(BD!$A$3:$A$5001,AC$3,BD!$B$3:$B$5001,$A$311,BD!$L$3:$L$5001,"&lt;&gt;")=0,"",SUMIFS(BD!$L$3:$L$5001,BD!$A$3:$A$5001,AC$3,BD!$B$3:$B$5001,$A$311)))</f>
        <v/>
      </c>
      <c r="AD320" s="159" t="str">
        <f>IF(AD$3="","",IF(COUNTIFS(BD!$A$3:$A$5001,AD$3,BD!$B$3:$B$5001,$A$311,BD!$L$3:$L$5001,"&lt;&gt;")=0,"",SUMIFS(BD!$L$3:$L$5001,BD!$A$3:$A$5001,AD$3,BD!$B$3:$B$5001,$A$311)))</f>
        <v/>
      </c>
      <c r="AE320" s="159" t="str">
        <f>IF(AE$3="","",IF(COUNTIFS(BD!$A$3:$A$5001,AE$3,BD!$B$3:$B$5001,$A$311,BD!$L$3:$L$5001,"&lt;&gt;")=0,"",SUMIFS(BD!$L$3:$L$5001,BD!$A$3:$A$5001,AE$3,BD!$B$3:$B$5001,$A$311)))</f>
        <v/>
      </c>
      <c r="AF320" s="159" t="str">
        <f>IF(AF$3="","",IF(COUNTIFS(BD!$A$3:$A$5001,AF$3,BD!$B$3:$B$5001,$A$311,BD!$L$3:$L$5001,"&lt;&gt;")=0,"",SUMIFS(BD!$L$3:$L$5001,BD!$A$3:$A$5001,AF$3,BD!$B$3:$B$5001,$A$311)))</f>
        <v/>
      </c>
      <c r="AG320" s="159" t="str">
        <f>IF(AG$3="","",IF(COUNTIFS(BD!$A$3:$A$5001,AG$3,BD!$B$3:$B$5001,$A$311,BD!$L$3:$L$5001,"&lt;&gt;")=0,"",SUMIFS(BD!$L$3:$L$5001,BD!$A$3:$A$5001,AG$3,BD!$B$3:$B$5001,$A$311)))</f>
        <v/>
      </c>
      <c r="AH320" s="159" t="str">
        <f>IF(AH$3="","",IF(COUNTIFS(BD!$A$3:$A$5001,AH$3,BD!$B$3:$B$5001,$A$311,BD!$L$3:$L$5001,"&lt;&gt;")=0,"",SUMIFS(BD!$L$3:$L$5001,BD!$A$3:$A$5001,AH$3,BD!$B$3:$B$5001,$A$311)))</f>
        <v/>
      </c>
      <c r="AI320" s="159" t="str">
        <f>IF(AI$3="","",IF(COUNTIFS(BD!$A$3:$A$5001,AI$3,BD!$B$3:$B$5001,$A$311,BD!$L$3:$L$5001,"&lt;&gt;")=0,"",SUMIFS(BD!$L$3:$L$5001,BD!$A$3:$A$5001,AI$3,BD!$B$3:$B$5001,$A$311)))</f>
        <v/>
      </c>
      <c r="AJ320" s="160" t="str">
        <f>IF(AJ$3="","",IF(COUNTIFS(BD!$A$3:$A$5001,AJ$3,BD!$B$3:$B$5001,$A$311,BD!$L$3:$L$5001,"&lt;&gt;")=0,"",SUMIFS(BD!$L$3:$L$5001,BD!$A$3:$A$5001,AJ$3,BD!$B$3:$B$5001,$A$311)))</f>
        <v/>
      </c>
      <c r="AK320" s="161" t="str">
        <f>IF(COUNT(F320:AJ320)&gt;0,LOOKUP(9.99E+307,F320:AJ320),IFERROR(IF(INDEX(BD!$V$3:$V$5001,MATCH($A$311,BD!$B$3:$B$5001,0))&amp;""="Contrato","",INDEX(BD!$V$3:$V$5001,MATCH($A$311,BD!$B$3:$B$5001,0))&amp;""),""))</f>
        <v/>
      </c>
    </row>
    <row r="321" ht="15.75" customHeight="1" hidden="1">
      <c r="A321" s="254"/>
      <c r="B321" s="242"/>
      <c r="C321" s="162" t="inlineStr">
        <is>
          <t xml:space="preserve">Posições Ocupadas</t>
        </is>
      </c>
      <c r="D321" s="163" t="str">
        <f>IFERROR(1/(1/INDEX(BD!$Y$33:$AS$33,MATCH($A$311,BD!$Y$22:$AS$22,0))),"")</f>
        <v/>
      </c>
      <c r="E321" s="164"/>
      <c r="F321" s="165" t="str">
        <f>IF(F$3="","",IF(COUNTIFS(BD!$A$3:$A$5001,F$3,BD!$B$3:$B$5001,$A$311,BD!$M$3:$M$5001,"&lt;&gt;")=0,"",SUMIFS(BD!$M$3:$M$5001,BD!$A$3:$A$5001,F$3,BD!$B$3:$B$5001,$A$311)))</f>
        <v/>
      </c>
      <c r="G321" s="166" t="str">
        <f>IF(G$3="","",IF(COUNTIFS(BD!$A$3:$A$5001,G$3,BD!$B$3:$B$5001,$A$311,BD!$M$3:$M$5001,"&lt;&gt;")=0,"",SUMIFS(BD!$M$3:$M$5001,BD!$A$3:$A$5001,G$3,BD!$B$3:$B$5001,$A$311)))</f>
        <v/>
      </c>
      <c r="H321" s="166" t="str">
        <f>IF(H$3="","",IF(COUNTIFS(BD!$A$3:$A$5001,H$3,BD!$B$3:$B$5001,$A$311,BD!$M$3:$M$5001,"&lt;&gt;")=0,"",SUMIFS(BD!$M$3:$M$5001,BD!$A$3:$A$5001,H$3,BD!$B$3:$B$5001,$A$311)))</f>
        <v/>
      </c>
      <c r="I321" s="166" t="str">
        <f>IF(I$3="","",IF(COUNTIFS(BD!$A$3:$A$5001,I$3,BD!$B$3:$B$5001,$A$311,BD!$M$3:$M$5001,"&lt;&gt;")=0,"",SUMIFS(BD!$M$3:$M$5001,BD!$A$3:$A$5001,I$3,BD!$B$3:$B$5001,$A$311)))</f>
        <v/>
      </c>
      <c r="J321" s="166" t="str">
        <f>IF(J$3="","",IF(COUNTIFS(BD!$A$3:$A$5001,J$3,BD!$B$3:$B$5001,$A$311,BD!$M$3:$M$5001,"&lt;&gt;")=0,"",SUMIFS(BD!$M$3:$M$5001,BD!$A$3:$A$5001,J$3,BD!$B$3:$B$5001,$A$311)))</f>
        <v/>
      </c>
      <c r="K321" s="166" t="str">
        <f>IF(K$3="","",IF(COUNTIFS(BD!$A$3:$A$5001,K$3,BD!$B$3:$B$5001,$A$311,BD!$M$3:$M$5001,"&lt;&gt;")=0,"",SUMIFS(BD!$M$3:$M$5001,BD!$A$3:$A$5001,K$3,BD!$B$3:$B$5001,$A$311)))</f>
        <v/>
      </c>
      <c r="L321" s="166" t="str">
        <f>IF(L$3="","",IF(COUNTIFS(BD!$A$3:$A$5001,L$3,BD!$B$3:$B$5001,$A$311,BD!$M$3:$M$5001,"&lt;&gt;")=0,"",SUMIFS(BD!$M$3:$M$5001,BD!$A$3:$A$5001,L$3,BD!$B$3:$B$5001,$A$311)))</f>
        <v/>
      </c>
      <c r="M321" s="166" t="str">
        <f>IF(M$3="","",IF(COUNTIFS(BD!$A$3:$A$5001,M$3,BD!$B$3:$B$5001,$A$311,BD!$M$3:$M$5001,"&lt;&gt;")=0,"",SUMIFS(BD!$M$3:$M$5001,BD!$A$3:$A$5001,M$3,BD!$B$3:$B$5001,$A$311)))</f>
        <v/>
      </c>
      <c r="N321" s="166" t="str">
        <f>IF(N$3="","",IF(COUNTIFS(BD!$A$3:$A$5001,N$3,BD!$B$3:$B$5001,$A$311,BD!$M$3:$M$5001,"&lt;&gt;")=0,"",SUMIFS(BD!$M$3:$M$5001,BD!$A$3:$A$5001,N$3,BD!$B$3:$B$5001,$A$311)))</f>
        <v/>
      </c>
      <c r="O321" s="166" t="str">
        <f>IF(O$3="","",IF(COUNTIFS(BD!$A$3:$A$5001,O$3,BD!$B$3:$B$5001,$A$311,BD!$M$3:$M$5001,"&lt;&gt;")=0,"",SUMIFS(BD!$M$3:$M$5001,BD!$A$3:$A$5001,O$3,BD!$B$3:$B$5001,$A$311)))</f>
        <v/>
      </c>
      <c r="P321" s="166" t="str">
        <f>IF(P$3="","",IF(COUNTIFS(BD!$A$3:$A$5001,P$3,BD!$B$3:$B$5001,$A$311,BD!$M$3:$M$5001,"&lt;&gt;")=0,"",SUMIFS(BD!$M$3:$M$5001,BD!$A$3:$A$5001,P$3,BD!$B$3:$B$5001,$A$311)))</f>
        <v/>
      </c>
      <c r="Q321" s="166" t="str">
        <f>IF(Q$3="","",IF(COUNTIFS(BD!$A$3:$A$5001,Q$3,BD!$B$3:$B$5001,$A$311,BD!$M$3:$M$5001,"&lt;&gt;")=0,"",SUMIFS(BD!$M$3:$M$5001,BD!$A$3:$A$5001,Q$3,BD!$B$3:$B$5001,$A$311)))</f>
        <v/>
      </c>
      <c r="R321" s="166" t="str">
        <f>IF(R$3="","",IF(COUNTIFS(BD!$A$3:$A$5001,R$3,BD!$B$3:$B$5001,$A$311,BD!$M$3:$M$5001,"&lt;&gt;")=0,"",SUMIFS(BD!$M$3:$M$5001,BD!$A$3:$A$5001,R$3,BD!$B$3:$B$5001,$A$311)))</f>
        <v/>
      </c>
      <c r="S321" s="166" t="str">
        <f>IF(S$3="","",IF(COUNTIFS(BD!$A$3:$A$5001,S$3,BD!$B$3:$B$5001,$A$311,BD!$M$3:$M$5001,"&lt;&gt;")=0,"",SUMIFS(BD!$M$3:$M$5001,BD!$A$3:$A$5001,S$3,BD!$B$3:$B$5001,$A$311)))</f>
        <v/>
      </c>
      <c r="T321" s="166" t="str">
        <f>IF(T$3="","",IF(COUNTIFS(BD!$A$3:$A$5001,T$3,BD!$B$3:$B$5001,$A$311,BD!$M$3:$M$5001,"&lt;&gt;")=0,"",SUMIFS(BD!$M$3:$M$5001,BD!$A$3:$A$5001,T$3,BD!$B$3:$B$5001,$A$311)))</f>
        <v/>
      </c>
      <c r="U321" s="166" t="str">
        <f>IF(U$3="","",IF(COUNTIFS(BD!$A$3:$A$5001,U$3,BD!$B$3:$B$5001,$A$311,BD!$M$3:$M$5001,"&lt;&gt;")=0,"",SUMIFS(BD!$M$3:$M$5001,BD!$A$3:$A$5001,U$3,BD!$B$3:$B$5001,$A$311)))</f>
        <v/>
      </c>
      <c r="V321" s="166" t="str">
        <f>IF(V$3="","",IF(COUNTIFS(BD!$A$3:$A$5001,V$3,BD!$B$3:$B$5001,$A$311,BD!$M$3:$M$5001,"&lt;&gt;")=0,"",SUMIFS(BD!$M$3:$M$5001,BD!$A$3:$A$5001,V$3,BD!$B$3:$B$5001,$A$311)))</f>
        <v/>
      </c>
      <c r="W321" s="166" t="str">
        <f>IF(W$3="","",IF(COUNTIFS(BD!$A$3:$A$5001,W$3,BD!$B$3:$B$5001,$A$311,BD!$M$3:$M$5001,"&lt;&gt;")=0,"",SUMIFS(BD!$M$3:$M$5001,BD!$A$3:$A$5001,W$3,BD!$B$3:$B$5001,$A$311)))</f>
        <v/>
      </c>
      <c r="X321" s="166" t="str">
        <f>IF(X$3="","",IF(COUNTIFS(BD!$A$3:$A$5001,X$3,BD!$B$3:$B$5001,$A$311,BD!$M$3:$M$5001,"&lt;&gt;")=0,"",SUMIFS(BD!$M$3:$M$5001,BD!$A$3:$A$5001,X$3,BD!$B$3:$B$5001,$A$311)))</f>
        <v/>
      </c>
      <c r="Y321" s="166" t="str">
        <f>IF(Y$3="","",IF(COUNTIFS(BD!$A$3:$A$5001,Y$3,BD!$B$3:$B$5001,$A$311,BD!$M$3:$M$5001,"&lt;&gt;")=0,"",SUMIFS(BD!$M$3:$M$5001,BD!$A$3:$A$5001,Y$3,BD!$B$3:$B$5001,$A$311)))</f>
        <v/>
      </c>
      <c r="Z321" s="166" t="str">
        <f>IF(Z$3="","",IF(COUNTIFS(BD!$A$3:$A$5001,Z$3,BD!$B$3:$B$5001,$A$311,BD!$M$3:$M$5001,"&lt;&gt;")=0,"",SUMIFS(BD!$M$3:$M$5001,BD!$A$3:$A$5001,Z$3,BD!$B$3:$B$5001,$A$311)))</f>
        <v/>
      </c>
      <c r="AA321" s="166" t="str">
        <f>IF(AA$3="","",IF(COUNTIFS(BD!$A$3:$A$5001,AA$3,BD!$B$3:$B$5001,$A$311,BD!$M$3:$M$5001,"&lt;&gt;")=0,"",SUMIFS(BD!$M$3:$M$5001,BD!$A$3:$A$5001,AA$3,BD!$B$3:$B$5001,$A$311)))</f>
        <v/>
      </c>
      <c r="AB321" s="166" t="str">
        <f>IF(AB$3="","",IF(COUNTIFS(BD!$A$3:$A$5001,AB$3,BD!$B$3:$B$5001,$A$311,BD!$M$3:$M$5001,"&lt;&gt;")=0,"",SUMIFS(BD!$M$3:$M$5001,BD!$A$3:$A$5001,AB$3,BD!$B$3:$B$5001,$A$311)))</f>
        <v/>
      </c>
      <c r="AC321" s="166" t="str">
        <f>IF(AC$3="","",IF(COUNTIFS(BD!$A$3:$A$5001,AC$3,BD!$B$3:$B$5001,$A$311,BD!$M$3:$M$5001,"&lt;&gt;")=0,"",SUMIFS(BD!$M$3:$M$5001,BD!$A$3:$A$5001,AC$3,BD!$B$3:$B$5001,$A$311)))</f>
        <v/>
      </c>
      <c r="AD321" s="166" t="str">
        <f>IF(AD$3="","",IF(COUNTIFS(BD!$A$3:$A$5001,AD$3,BD!$B$3:$B$5001,$A$311,BD!$M$3:$M$5001,"&lt;&gt;")=0,"",SUMIFS(BD!$M$3:$M$5001,BD!$A$3:$A$5001,AD$3,BD!$B$3:$B$5001,$A$311)))</f>
        <v/>
      </c>
      <c r="AE321" s="166" t="str">
        <f>IF(AE$3="","",IF(COUNTIFS(BD!$A$3:$A$5001,AE$3,BD!$B$3:$B$5001,$A$311,BD!$M$3:$M$5001,"&lt;&gt;")=0,"",SUMIFS(BD!$M$3:$M$5001,BD!$A$3:$A$5001,AE$3,BD!$B$3:$B$5001,$A$311)))</f>
        <v/>
      </c>
      <c r="AF321" s="166" t="str">
        <f>IF(AF$3="","",IF(COUNTIFS(BD!$A$3:$A$5001,AF$3,BD!$B$3:$B$5001,$A$311,BD!$M$3:$M$5001,"&lt;&gt;")=0,"",SUMIFS(BD!$M$3:$M$5001,BD!$A$3:$A$5001,AF$3,BD!$B$3:$B$5001,$A$311)))</f>
        <v/>
      </c>
      <c r="AG321" s="166" t="str">
        <f>IF(AG$3="","",IF(COUNTIFS(BD!$A$3:$A$5001,AG$3,BD!$B$3:$B$5001,$A$311,BD!$M$3:$M$5001,"&lt;&gt;")=0,"",SUMIFS(BD!$M$3:$M$5001,BD!$A$3:$A$5001,AG$3,BD!$B$3:$B$5001,$A$311)))</f>
        <v/>
      </c>
      <c r="AH321" s="166" t="str">
        <f>IF(AH$3="","",IF(COUNTIFS(BD!$A$3:$A$5001,AH$3,BD!$B$3:$B$5001,$A$311,BD!$M$3:$M$5001,"&lt;&gt;")=0,"",SUMIFS(BD!$M$3:$M$5001,BD!$A$3:$A$5001,AH$3,BD!$B$3:$B$5001,$A$311)))</f>
        <v/>
      </c>
      <c r="AI321" s="166" t="str">
        <f>IF(AI$3="","",IF(COUNTIFS(BD!$A$3:$A$5001,AI$3,BD!$B$3:$B$5001,$A$311,BD!$M$3:$M$5001,"&lt;&gt;")=0,"",SUMIFS(BD!$M$3:$M$5001,BD!$A$3:$A$5001,AI$3,BD!$B$3:$B$5001,$A$311)))</f>
        <v/>
      </c>
      <c r="AJ321" s="167" t="str">
        <f>IF(AJ$3="","",IF(COUNTIFS(BD!$A$3:$A$5001,AJ$3,BD!$B$3:$B$5001,$A$311,BD!$M$3:$M$5001,"&lt;&gt;")=0,"",SUMIFS(BD!$M$3:$M$5001,BD!$A$3:$A$5001,AJ$3,BD!$B$3:$B$5001,$A$311)))</f>
        <v/>
      </c>
      <c r="AK321" s="168" t="str">
        <f>IFERROR(LOOKUP(9.99E+307,F321:AJ321),"")</f>
        <v/>
      </c>
    </row>
    <row r="322" ht="15.75" customHeight="1" hidden="1">
      <c r="A322" s="254"/>
      <c r="B322" s="243"/>
      <c r="C322" s="169" t="inlineStr">
        <is>
          <t xml:space="preserve">Taxa de Ocupação</t>
        </is>
      </c>
      <c r="D322" s="217" t="str">
        <f>IFERROR(1/(1/INDEX(BD!$Y$34:$AS$34,MATCH($A$311,BD!$Y$22:$AS$22,0))),"")</f>
        <v/>
      </c>
      <c r="E322" s="171"/>
      <c r="F322" s="218" t="str">
        <f>IF(AND(ISNUMBER(F320),ISNUMBER(F321)),IF(F320&gt;0,F321/F320,""),"")</f>
        <v/>
      </c>
      <c r="G322" s="219" t="str">
        <f>IF(AND(ISNUMBER(G320),ISNUMBER(G321)),IF(G320&gt;0,G321/G320,""),"")</f>
        <v/>
      </c>
      <c r="H322" s="219" t="str">
        <f>IF(AND(ISNUMBER(H320),ISNUMBER(H321)),IF(H320&gt;0,H321/H320,""),"")</f>
        <v/>
      </c>
      <c r="I322" s="219" t="str">
        <f>IF(AND(ISNUMBER(I320),ISNUMBER(I321)),IF(I320&gt;0,I321/I320,""),"")</f>
        <v/>
      </c>
      <c r="J322" s="219" t="str">
        <f>IF(AND(ISNUMBER(J320),ISNUMBER(J321)),IF(J320&gt;0,J321/J320,""),"")</f>
        <v/>
      </c>
      <c r="K322" s="219" t="str">
        <f>IF(AND(ISNUMBER(K320),ISNUMBER(K321)),IF(K320&gt;0,K321/K320,""),"")</f>
        <v/>
      </c>
      <c r="L322" s="219" t="str">
        <f>IF(AND(ISNUMBER(L320),ISNUMBER(L321)),IF(L320&gt;0,L321/L320,""),"")</f>
        <v/>
      </c>
      <c r="M322" s="219" t="str">
        <f>IF(AND(ISNUMBER(M320),ISNUMBER(M321)),IF(M320&gt;0,M321/M320,""),"")</f>
        <v/>
      </c>
      <c r="N322" s="219" t="str">
        <f>IF(AND(ISNUMBER(N320),ISNUMBER(N321)),IF(N320&gt;0,N321/N320,""),"")</f>
        <v/>
      </c>
      <c r="O322" s="219" t="str">
        <f>IF(AND(ISNUMBER(O320),ISNUMBER(O321)),IF(O320&gt;0,O321/O320,""),"")</f>
        <v/>
      </c>
      <c r="P322" s="219" t="str">
        <f>IF(AND(ISNUMBER(P320),ISNUMBER(P321)),IF(P320&gt;0,P321/P320,""),"")</f>
        <v/>
      </c>
      <c r="Q322" s="219" t="str">
        <f>IF(AND(ISNUMBER(Q320),ISNUMBER(Q321)),IF(Q320&gt;0,Q321/Q320,""),"")</f>
        <v/>
      </c>
      <c r="R322" s="219" t="str">
        <f>IF(AND(ISNUMBER(R320),ISNUMBER(R321)),IF(R320&gt;0,R321/R320,""),"")</f>
        <v/>
      </c>
      <c r="S322" s="219" t="str">
        <f>IF(AND(ISNUMBER(S320),ISNUMBER(S321)),IF(S320&gt;0,S321/S320,""),"")</f>
        <v/>
      </c>
      <c r="T322" s="219" t="str">
        <f>IF(AND(ISNUMBER(T320),ISNUMBER(T321)),IF(T320&gt;0,T321/T320,""),"")</f>
        <v/>
      </c>
      <c r="U322" s="219" t="str">
        <f>IF(AND(ISNUMBER(U320),ISNUMBER(U321)),IF(U320&gt;0,U321/U320,""),"")</f>
        <v/>
      </c>
      <c r="V322" s="219" t="str">
        <f>IF(AND(ISNUMBER(V320),ISNUMBER(V321)),IF(V320&gt;0,V321/V320,""),"")</f>
        <v/>
      </c>
      <c r="W322" s="219" t="str">
        <f>IF(AND(ISNUMBER(W320),ISNUMBER(W321)),IF(W320&gt;0,W321/W320,""),"")</f>
        <v/>
      </c>
      <c r="X322" s="219" t="str">
        <f>IF(AND(ISNUMBER(X320),ISNUMBER(X321)),IF(X320&gt;0,X321/X320,""),"")</f>
        <v/>
      </c>
      <c r="Y322" s="219" t="str">
        <f>IF(AND(ISNUMBER(Y320),ISNUMBER(Y321)),IF(Y320&gt;0,Y321/Y320,""),"")</f>
        <v/>
      </c>
      <c r="Z322" s="219" t="str">
        <f>IF(AND(ISNUMBER(Z320),ISNUMBER(Z321)),IF(Z320&gt;0,Z321/Z320,""),"")</f>
        <v/>
      </c>
      <c r="AA322" s="219" t="str">
        <f>IF(AND(ISNUMBER(AA320),ISNUMBER(AA321)),IF(AA320&gt;0,AA321/AA320,""),"")</f>
        <v/>
      </c>
      <c r="AB322" s="219" t="str">
        <f>IF(AND(ISNUMBER(AB320),ISNUMBER(AB321)),IF(AB320&gt;0,AB321/AB320,""),"")</f>
        <v/>
      </c>
      <c r="AC322" s="219" t="str">
        <f>IF(AND(ISNUMBER(AC320),ISNUMBER(AC321)),IF(AC320&gt;0,AC321/AC320,""),"")</f>
        <v/>
      </c>
      <c r="AD322" s="219" t="str">
        <f>IF(AND(ISNUMBER(AD320),ISNUMBER(AD321)),IF(AD320&gt;0,AD321/AD320,""),"")</f>
        <v/>
      </c>
      <c r="AE322" s="219" t="str">
        <f>IF(AND(ISNUMBER(AE320),ISNUMBER(AE321)),IF(AE320&gt;0,AE321/AE320,""),"")</f>
        <v/>
      </c>
      <c r="AF322" s="219" t="str">
        <f>IF(AND(ISNUMBER(AF320),ISNUMBER(AF321)),IF(AF320&gt;0,AF321/AF320,""),"")</f>
        <v/>
      </c>
      <c r="AG322" s="219" t="str">
        <f>IF(AND(ISNUMBER(AG320),ISNUMBER(AG321)),IF(AG320&gt;0,AG321/AG320,""),"")</f>
        <v/>
      </c>
      <c r="AH322" s="219" t="str">
        <f>IF(AND(ISNUMBER(AH320),ISNUMBER(AH321)),IF(AH320&gt;0,AH321/AH320,""),"")</f>
        <v/>
      </c>
      <c r="AI322" s="219" t="str">
        <f>IF(AND(ISNUMBER(AI320),ISNUMBER(AI321)),IF(AI320&gt;0,AI321/AI320,""),"")</f>
        <v/>
      </c>
      <c r="AJ322" s="220" t="str">
        <f>IF(AND(ISNUMBER(AJ320),ISNUMBER(AJ321)),IF(AJ320&gt;0,AJ321/AJ320,""),"")</f>
        <v/>
      </c>
      <c r="AK322" s="217" t="str">
        <f>IF(AND(ISNUMBER(AK320),ISNUMBER(AK321)),IF(AK320&gt;0,AK321/AK320,""),"")</f>
        <v/>
      </c>
    </row>
    <row r="323" ht="15.75" customHeight="1" hidden="1">
      <c r="A323" s="254"/>
      <c r="B323" s="250" t="inlineStr">
        <is>
          <t xml:space="preserve">GENTE</t>
        </is>
      </c>
      <c r="C323" s="221" t="inlineStr">
        <is>
          <t xml:space="preserve">Efetivo Op.</t>
        </is>
      </c>
      <c r="D323" s="222" t="str">
        <f>IFERROR(1/(1/INDEX(BD!$Y$35:$AS$35,MATCH($A$311,BD!$Y$22:$AS$22,0))),"")</f>
        <v/>
      </c>
      <c r="E323" s="223"/>
      <c r="F323" s="224" t="str">
        <f>IF(F$3="","",IF(COUNTIFS(BD!$A$3:$A$5001,F$3,BD!$B$3:$B$5001,$A$311,BD!$N$3:$N$5001,"&lt;&gt;")=0,"",SUMIFS(BD!$N$3:$N$5001,BD!$A$3:$A$5001,F$3,BD!$B$3:$B$5001,$A$311)))</f>
        <v/>
      </c>
      <c r="G323" s="225" t="str">
        <f>IF(G$3="","",IF(COUNTIFS(BD!$A$3:$A$5001,G$3,BD!$B$3:$B$5001,$A$311,BD!$N$3:$N$5001,"&lt;&gt;")=0,"",SUMIFS(BD!$N$3:$N$5001,BD!$A$3:$A$5001,G$3,BD!$B$3:$B$5001,$A$311)))</f>
        <v/>
      </c>
      <c r="H323" s="225" t="str">
        <f>IF(H$3="","",IF(COUNTIFS(BD!$A$3:$A$5001,H$3,BD!$B$3:$B$5001,$A$311,BD!$N$3:$N$5001,"&lt;&gt;")=0,"",SUMIFS(BD!$N$3:$N$5001,BD!$A$3:$A$5001,H$3,BD!$B$3:$B$5001,$A$311)))</f>
        <v/>
      </c>
      <c r="I323" s="225" t="str">
        <f>IF(I$3="","",IF(COUNTIFS(BD!$A$3:$A$5001,I$3,BD!$B$3:$B$5001,$A$311,BD!$N$3:$N$5001,"&lt;&gt;")=0,"",SUMIFS(BD!$N$3:$N$5001,BD!$A$3:$A$5001,I$3,BD!$B$3:$B$5001,$A$311)))</f>
        <v/>
      </c>
      <c r="J323" s="225" t="str">
        <f>IF(J$3="","",IF(COUNTIFS(BD!$A$3:$A$5001,J$3,BD!$B$3:$B$5001,$A$311,BD!$N$3:$N$5001,"&lt;&gt;")=0,"",SUMIFS(BD!$N$3:$N$5001,BD!$A$3:$A$5001,J$3,BD!$B$3:$B$5001,$A$311)))</f>
        <v/>
      </c>
      <c r="K323" s="225" t="str">
        <f>IF(K$3="","",IF(COUNTIFS(BD!$A$3:$A$5001,K$3,BD!$B$3:$B$5001,$A$311,BD!$N$3:$N$5001,"&lt;&gt;")=0,"",SUMIFS(BD!$N$3:$N$5001,BD!$A$3:$A$5001,K$3,BD!$B$3:$B$5001,$A$311)))</f>
        <v/>
      </c>
      <c r="L323" s="225" t="str">
        <f>IF(L$3="","",IF(COUNTIFS(BD!$A$3:$A$5001,L$3,BD!$B$3:$B$5001,$A$311,BD!$N$3:$N$5001,"&lt;&gt;")=0,"",SUMIFS(BD!$N$3:$N$5001,BD!$A$3:$A$5001,L$3,BD!$B$3:$B$5001,$A$311)))</f>
        <v/>
      </c>
      <c r="M323" s="225" t="str">
        <f>IF(M$3="","",IF(COUNTIFS(BD!$A$3:$A$5001,M$3,BD!$B$3:$B$5001,$A$311,BD!$N$3:$N$5001,"&lt;&gt;")=0,"",SUMIFS(BD!$N$3:$N$5001,BD!$A$3:$A$5001,M$3,BD!$B$3:$B$5001,$A$311)))</f>
        <v/>
      </c>
      <c r="N323" s="225" t="str">
        <f>IF(N$3="","",IF(COUNTIFS(BD!$A$3:$A$5001,N$3,BD!$B$3:$B$5001,$A$311,BD!$N$3:$N$5001,"&lt;&gt;")=0,"",SUMIFS(BD!$N$3:$N$5001,BD!$A$3:$A$5001,N$3,BD!$B$3:$B$5001,$A$311)))</f>
        <v/>
      </c>
      <c r="O323" s="225" t="str">
        <f>IF(O$3="","",IF(COUNTIFS(BD!$A$3:$A$5001,O$3,BD!$B$3:$B$5001,$A$311,BD!$N$3:$N$5001,"&lt;&gt;")=0,"",SUMIFS(BD!$N$3:$N$5001,BD!$A$3:$A$5001,O$3,BD!$B$3:$B$5001,$A$311)))</f>
        <v/>
      </c>
      <c r="P323" s="225" t="str">
        <f>IF(P$3="","",IF(COUNTIFS(BD!$A$3:$A$5001,P$3,BD!$B$3:$B$5001,$A$311,BD!$N$3:$N$5001,"&lt;&gt;")=0,"",SUMIFS(BD!$N$3:$N$5001,BD!$A$3:$A$5001,P$3,BD!$B$3:$B$5001,$A$311)))</f>
        <v/>
      </c>
      <c r="Q323" s="225" t="str">
        <f>IF(Q$3="","",IF(COUNTIFS(BD!$A$3:$A$5001,Q$3,BD!$B$3:$B$5001,$A$311,BD!$N$3:$N$5001,"&lt;&gt;")=0,"",SUMIFS(BD!$N$3:$N$5001,BD!$A$3:$A$5001,Q$3,BD!$B$3:$B$5001,$A$311)))</f>
        <v/>
      </c>
      <c r="R323" s="225" t="str">
        <f>IF(R$3="","",IF(COUNTIFS(BD!$A$3:$A$5001,R$3,BD!$B$3:$B$5001,$A$311,BD!$N$3:$N$5001,"&lt;&gt;")=0,"",SUMIFS(BD!$N$3:$N$5001,BD!$A$3:$A$5001,R$3,BD!$B$3:$B$5001,$A$311)))</f>
        <v/>
      </c>
      <c r="S323" s="225" t="str">
        <f>IF(S$3="","",IF(COUNTIFS(BD!$A$3:$A$5001,S$3,BD!$B$3:$B$5001,$A$311,BD!$N$3:$N$5001,"&lt;&gt;")=0,"",SUMIFS(BD!$N$3:$N$5001,BD!$A$3:$A$5001,S$3,BD!$B$3:$B$5001,$A$311)))</f>
        <v/>
      </c>
      <c r="T323" s="225" t="str">
        <f>IF(T$3="","",IF(COUNTIFS(BD!$A$3:$A$5001,T$3,BD!$B$3:$B$5001,$A$311,BD!$N$3:$N$5001,"&lt;&gt;")=0,"",SUMIFS(BD!$N$3:$N$5001,BD!$A$3:$A$5001,T$3,BD!$B$3:$B$5001,$A$311)))</f>
        <v/>
      </c>
      <c r="U323" s="225" t="str">
        <f>IF(U$3="","",IF(COUNTIFS(BD!$A$3:$A$5001,U$3,BD!$B$3:$B$5001,$A$311,BD!$N$3:$N$5001,"&lt;&gt;")=0,"",SUMIFS(BD!$N$3:$N$5001,BD!$A$3:$A$5001,U$3,BD!$B$3:$B$5001,$A$311)))</f>
        <v/>
      </c>
      <c r="V323" s="225" t="str">
        <f>IF(V$3="","",IF(COUNTIFS(BD!$A$3:$A$5001,V$3,BD!$B$3:$B$5001,$A$311,BD!$N$3:$N$5001,"&lt;&gt;")=0,"",SUMIFS(BD!$N$3:$N$5001,BD!$A$3:$A$5001,V$3,BD!$B$3:$B$5001,$A$311)))</f>
        <v/>
      </c>
      <c r="W323" s="225" t="str">
        <f>IF(W$3="","",IF(COUNTIFS(BD!$A$3:$A$5001,W$3,BD!$B$3:$B$5001,$A$311,BD!$N$3:$N$5001,"&lt;&gt;")=0,"",SUMIFS(BD!$N$3:$N$5001,BD!$A$3:$A$5001,W$3,BD!$B$3:$B$5001,$A$311)))</f>
        <v/>
      </c>
      <c r="X323" s="225" t="str">
        <f>IF(X$3="","",IF(COUNTIFS(BD!$A$3:$A$5001,X$3,BD!$B$3:$B$5001,$A$311,BD!$N$3:$N$5001,"&lt;&gt;")=0,"",SUMIFS(BD!$N$3:$N$5001,BD!$A$3:$A$5001,X$3,BD!$B$3:$B$5001,$A$311)))</f>
        <v/>
      </c>
      <c r="Y323" s="225" t="str">
        <f>IF(Y$3="","",IF(COUNTIFS(BD!$A$3:$A$5001,Y$3,BD!$B$3:$B$5001,$A$311,BD!$N$3:$N$5001,"&lt;&gt;")=0,"",SUMIFS(BD!$N$3:$N$5001,BD!$A$3:$A$5001,Y$3,BD!$B$3:$B$5001,$A$311)))</f>
        <v/>
      </c>
      <c r="Z323" s="225" t="str">
        <f>IF(Z$3="","",IF(COUNTIFS(BD!$A$3:$A$5001,Z$3,BD!$B$3:$B$5001,$A$311,BD!$N$3:$N$5001,"&lt;&gt;")=0,"",SUMIFS(BD!$N$3:$N$5001,BD!$A$3:$A$5001,Z$3,BD!$B$3:$B$5001,$A$311)))</f>
        <v/>
      </c>
      <c r="AA323" s="225" t="str">
        <f>IF(AA$3="","",IF(COUNTIFS(BD!$A$3:$A$5001,AA$3,BD!$B$3:$B$5001,$A$311,BD!$N$3:$N$5001,"&lt;&gt;")=0,"",SUMIFS(BD!$N$3:$N$5001,BD!$A$3:$A$5001,AA$3,BD!$B$3:$B$5001,$A$311)))</f>
        <v/>
      </c>
      <c r="AB323" s="225" t="str">
        <f>IF(AB$3="","",IF(COUNTIFS(BD!$A$3:$A$5001,AB$3,BD!$B$3:$B$5001,$A$311,BD!$N$3:$N$5001,"&lt;&gt;")=0,"",SUMIFS(BD!$N$3:$N$5001,BD!$A$3:$A$5001,AB$3,BD!$B$3:$B$5001,$A$311)))</f>
        <v/>
      </c>
      <c r="AC323" s="225" t="str">
        <f>IF(AC$3="","",IF(COUNTIFS(BD!$A$3:$A$5001,AC$3,BD!$B$3:$B$5001,$A$311,BD!$N$3:$N$5001,"&lt;&gt;")=0,"",SUMIFS(BD!$N$3:$N$5001,BD!$A$3:$A$5001,AC$3,BD!$B$3:$B$5001,$A$311)))</f>
        <v/>
      </c>
      <c r="AD323" s="225" t="str">
        <f>IF(AD$3="","",IF(COUNTIFS(BD!$A$3:$A$5001,AD$3,BD!$B$3:$B$5001,$A$311,BD!$N$3:$N$5001,"&lt;&gt;")=0,"",SUMIFS(BD!$N$3:$N$5001,BD!$A$3:$A$5001,AD$3,BD!$B$3:$B$5001,$A$311)))</f>
        <v/>
      </c>
      <c r="AE323" s="225" t="str">
        <f>IF(AE$3="","",IF(COUNTIFS(BD!$A$3:$A$5001,AE$3,BD!$B$3:$B$5001,$A$311,BD!$N$3:$N$5001,"&lt;&gt;")=0,"",SUMIFS(BD!$N$3:$N$5001,BD!$A$3:$A$5001,AE$3,BD!$B$3:$B$5001,$A$311)))</f>
        <v/>
      </c>
      <c r="AF323" s="225" t="str">
        <f>IF(AF$3="","",IF(COUNTIFS(BD!$A$3:$A$5001,AF$3,BD!$B$3:$B$5001,$A$311,BD!$N$3:$N$5001,"&lt;&gt;")=0,"",SUMIFS(BD!$N$3:$N$5001,BD!$A$3:$A$5001,AF$3,BD!$B$3:$B$5001,$A$311)))</f>
        <v/>
      </c>
      <c r="AG323" s="225" t="str">
        <f>IF(AG$3="","",IF(COUNTIFS(BD!$A$3:$A$5001,AG$3,BD!$B$3:$B$5001,$A$311,BD!$N$3:$N$5001,"&lt;&gt;")=0,"",SUMIFS(BD!$N$3:$N$5001,BD!$A$3:$A$5001,AG$3,BD!$B$3:$B$5001,$A$311)))</f>
        <v/>
      </c>
      <c r="AH323" s="225" t="str">
        <f>IF(AH$3="","",IF(COUNTIFS(BD!$A$3:$A$5001,AH$3,BD!$B$3:$B$5001,$A$311,BD!$N$3:$N$5001,"&lt;&gt;")=0,"",SUMIFS(BD!$N$3:$N$5001,BD!$A$3:$A$5001,AH$3,BD!$B$3:$B$5001,$A$311)))</f>
        <v/>
      </c>
      <c r="AI323" s="225" t="str">
        <f>IF(AI$3="","",IF(COUNTIFS(BD!$A$3:$A$5001,AI$3,BD!$B$3:$B$5001,$A$311,BD!$N$3:$N$5001,"&lt;&gt;")=0,"",SUMIFS(BD!$N$3:$N$5001,BD!$A$3:$A$5001,AI$3,BD!$B$3:$B$5001,$A$311)))</f>
        <v/>
      </c>
      <c r="AJ323" s="226" t="str">
        <f>IF(AJ$3="","",IF(COUNTIFS(BD!$A$3:$A$5001,AJ$3,BD!$B$3:$B$5001,$A$311,BD!$N$3:$N$5001,"&lt;&gt;")=0,"",SUMIFS(BD!$N$3:$N$5001,BD!$A$3:$A$5001,AJ$3,BD!$B$3:$B$5001,$A$311)))</f>
        <v/>
      </c>
      <c r="AK323" s="227" t="str">
        <f>IFERROR(LOOKUP(9.99E+307,F323:AJ323),"")</f>
        <v/>
      </c>
    </row>
    <row r="324" ht="15.75" customHeight="1" hidden="1">
      <c r="A324" s="254"/>
      <c r="B324" s="251"/>
      <c r="C324" s="228" t="inlineStr">
        <is>
          <t xml:space="preserve">Falta</t>
        </is>
      </c>
      <c r="D324" s="229" t="str">
        <f>IFERROR(1/(1/INDEX(BD!$Y$36:$AS$36,MATCH($A$311,BD!$Y$22:$AS$22,0))),"")</f>
        <v/>
      </c>
      <c r="E324" s="230"/>
      <c r="F324" s="231" t="str">
        <f>IF(F$3="","",IF(COUNTIFS(BD!$A$3:$A$5001,F$3,BD!$B$3:$B$5001,$A$311,BD!$O$3:$O$5001,"&lt;&gt;")=0,"",SUMIFS(BD!$O$3:$O$5001,BD!$A$3:$A$5001,F$3,BD!$B$3:$B$5001,$A$311)))</f>
        <v/>
      </c>
      <c r="G324" s="232" t="str">
        <f>IF(G$3="","",IF(COUNTIFS(BD!$A$3:$A$5001,G$3,BD!$B$3:$B$5001,$A$311,BD!$O$3:$O$5001,"&lt;&gt;")=0,"",SUMIFS(BD!$O$3:$O$5001,BD!$A$3:$A$5001,G$3,BD!$B$3:$B$5001,$A$311)))</f>
        <v/>
      </c>
      <c r="H324" s="232" t="str">
        <f>IF(H$3="","",IF(COUNTIFS(BD!$A$3:$A$5001,H$3,BD!$B$3:$B$5001,$A$311,BD!$O$3:$O$5001,"&lt;&gt;")=0,"",SUMIFS(BD!$O$3:$O$5001,BD!$A$3:$A$5001,H$3,BD!$B$3:$B$5001,$A$311)))</f>
        <v/>
      </c>
      <c r="I324" s="232" t="str">
        <f>IF(I$3="","",IF(COUNTIFS(BD!$A$3:$A$5001,I$3,BD!$B$3:$B$5001,$A$311,BD!$O$3:$O$5001,"&lt;&gt;")=0,"",SUMIFS(BD!$O$3:$O$5001,BD!$A$3:$A$5001,I$3,BD!$B$3:$B$5001,$A$311)))</f>
        <v/>
      </c>
      <c r="J324" s="232" t="str">
        <f>IF(J$3="","",IF(COUNTIFS(BD!$A$3:$A$5001,J$3,BD!$B$3:$B$5001,$A$311,BD!$O$3:$O$5001,"&lt;&gt;")=0,"",SUMIFS(BD!$O$3:$O$5001,BD!$A$3:$A$5001,J$3,BD!$B$3:$B$5001,$A$311)))</f>
        <v/>
      </c>
      <c r="K324" s="232" t="str">
        <f>IF(K$3="","",IF(COUNTIFS(BD!$A$3:$A$5001,K$3,BD!$B$3:$B$5001,$A$311,BD!$O$3:$O$5001,"&lt;&gt;")=0,"",SUMIFS(BD!$O$3:$O$5001,BD!$A$3:$A$5001,K$3,BD!$B$3:$B$5001,$A$311)))</f>
        <v/>
      </c>
      <c r="L324" s="232" t="str">
        <f>IF(L$3="","",IF(COUNTIFS(BD!$A$3:$A$5001,L$3,BD!$B$3:$B$5001,$A$311,BD!$O$3:$O$5001,"&lt;&gt;")=0,"",SUMIFS(BD!$O$3:$O$5001,BD!$A$3:$A$5001,L$3,BD!$B$3:$B$5001,$A$311)))</f>
        <v/>
      </c>
      <c r="M324" s="232" t="str">
        <f>IF(M$3="","",IF(COUNTIFS(BD!$A$3:$A$5001,M$3,BD!$B$3:$B$5001,$A$311,BD!$O$3:$O$5001,"&lt;&gt;")=0,"",SUMIFS(BD!$O$3:$O$5001,BD!$A$3:$A$5001,M$3,BD!$B$3:$B$5001,$A$311)))</f>
        <v/>
      </c>
      <c r="N324" s="232" t="str">
        <f>IF(N$3="","",IF(COUNTIFS(BD!$A$3:$A$5001,N$3,BD!$B$3:$B$5001,$A$311,BD!$O$3:$O$5001,"&lt;&gt;")=0,"",SUMIFS(BD!$O$3:$O$5001,BD!$A$3:$A$5001,N$3,BD!$B$3:$B$5001,$A$311)))</f>
        <v/>
      </c>
      <c r="O324" s="232" t="str">
        <f>IF(O$3="","",IF(COUNTIFS(BD!$A$3:$A$5001,O$3,BD!$B$3:$B$5001,$A$311,BD!$O$3:$O$5001,"&lt;&gt;")=0,"",SUMIFS(BD!$O$3:$O$5001,BD!$A$3:$A$5001,O$3,BD!$B$3:$B$5001,$A$311)))</f>
        <v/>
      </c>
      <c r="P324" s="232" t="str">
        <f>IF(P$3="","",IF(COUNTIFS(BD!$A$3:$A$5001,P$3,BD!$B$3:$B$5001,$A$311,BD!$O$3:$O$5001,"&lt;&gt;")=0,"",SUMIFS(BD!$O$3:$O$5001,BD!$A$3:$A$5001,P$3,BD!$B$3:$B$5001,$A$311)))</f>
        <v/>
      </c>
      <c r="Q324" s="232" t="str">
        <f>IF(Q$3="","",IF(COUNTIFS(BD!$A$3:$A$5001,Q$3,BD!$B$3:$B$5001,$A$311,BD!$O$3:$O$5001,"&lt;&gt;")=0,"",SUMIFS(BD!$O$3:$O$5001,BD!$A$3:$A$5001,Q$3,BD!$B$3:$B$5001,$A$311)))</f>
        <v/>
      </c>
      <c r="R324" s="232" t="str">
        <f>IF(R$3="","",IF(COUNTIFS(BD!$A$3:$A$5001,R$3,BD!$B$3:$B$5001,$A$311,BD!$O$3:$O$5001,"&lt;&gt;")=0,"",SUMIFS(BD!$O$3:$O$5001,BD!$A$3:$A$5001,R$3,BD!$B$3:$B$5001,$A$311)))</f>
        <v/>
      </c>
      <c r="S324" s="232" t="str">
        <f>IF(S$3="","",IF(COUNTIFS(BD!$A$3:$A$5001,S$3,BD!$B$3:$B$5001,$A$311,BD!$O$3:$O$5001,"&lt;&gt;")=0,"",SUMIFS(BD!$O$3:$O$5001,BD!$A$3:$A$5001,S$3,BD!$B$3:$B$5001,$A$311)))</f>
        <v/>
      </c>
      <c r="T324" s="232" t="str">
        <f>IF(T$3="","",IF(COUNTIFS(BD!$A$3:$A$5001,T$3,BD!$B$3:$B$5001,$A$311,BD!$O$3:$O$5001,"&lt;&gt;")=0,"",SUMIFS(BD!$O$3:$O$5001,BD!$A$3:$A$5001,T$3,BD!$B$3:$B$5001,$A$311)))</f>
        <v/>
      </c>
      <c r="U324" s="232" t="str">
        <f>IF(U$3="","",IF(COUNTIFS(BD!$A$3:$A$5001,U$3,BD!$B$3:$B$5001,$A$311,BD!$O$3:$O$5001,"&lt;&gt;")=0,"",SUMIFS(BD!$O$3:$O$5001,BD!$A$3:$A$5001,U$3,BD!$B$3:$B$5001,$A$311)))</f>
        <v/>
      </c>
      <c r="V324" s="232" t="str">
        <f>IF(V$3="","",IF(COUNTIFS(BD!$A$3:$A$5001,V$3,BD!$B$3:$B$5001,$A$311,BD!$O$3:$O$5001,"&lt;&gt;")=0,"",SUMIFS(BD!$O$3:$O$5001,BD!$A$3:$A$5001,V$3,BD!$B$3:$B$5001,$A$311)))</f>
        <v/>
      </c>
      <c r="W324" s="232" t="str">
        <f>IF(W$3="","",IF(COUNTIFS(BD!$A$3:$A$5001,W$3,BD!$B$3:$B$5001,$A$311,BD!$O$3:$O$5001,"&lt;&gt;")=0,"",SUMIFS(BD!$O$3:$O$5001,BD!$A$3:$A$5001,W$3,BD!$B$3:$B$5001,$A$311)))</f>
        <v/>
      </c>
      <c r="X324" s="232" t="str">
        <f>IF(X$3="","",IF(COUNTIFS(BD!$A$3:$A$5001,X$3,BD!$B$3:$B$5001,$A$311,BD!$O$3:$O$5001,"&lt;&gt;")=0,"",SUMIFS(BD!$O$3:$O$5001,BD!$A$3:$A$5001,X$3,BD!$B$3:$B$5001,$A$311)))</f>
        <v/>
      </c>
      <c r="Y324" s="232" t="str">
        <f>IF(Y$3="","",IF(COUNTIFS(BD!$A$3:$A$5001,Y$3,BD!$B$3:$B$5001,$A$311,BD!$O$3:$O$5001,"&lt;&gt;")=0,"",SUMIFS(BD!$O$3:$O$5001,BD!$A$3:$A$5001,Y$3,BD!$B$3:$B$5001,$A$311)))</f>
        <v/>
      </c>
      <c r="Z324" s="232" t="str">
        <f>IF(Z$3="","",IF(COUNTIFS(BD!$A$3:$A$5001,Z$3,BD!$B$3:$B$5001,$A$311,BD!$O$3:$O$5001,"&lt;&gt;")=0,"",SUMIFS(BD!$O$3:$O$5001,BD!$A$3:$A$5001,Z$3,BD!$B$3:$B$5001,$A$311)))</f>
        <v/>
      </c>
      <c r="AA324" s="232" t="str">
        <f>IF(AA$3="","",IF(COUNTIFS(BD!$A$3:$A$5001,AA$3,BD!$B$3:$B$5001,$A$311,BD!$O$3:$O$5001,"&lt;&gt;")=0,"",SUMIFS(BD!$O$3:$O$5001,BD!$A$3:$A$5001,AA$3,BD!$B$3:$B$5001,$A$311)))</f>
        <v/>
      </c>
      <c r="AB324" s="232" t="str">
        <f>IF(AB$3="","",IF(COUNTIFS(BD!$A$3:$A$5001,AB$3,BD!$B$3:$B$5001,$A$311,BD!$O$3:$O$5001,"&lt;&gt;")=0,"",SUMIFS(BD!$O$3:$O$5001,BD!$A$3:$A$5001,AB$3,BD!$B$3:$B$5001,$A$311)))</f>
        <v/>
      </c>
      <c r="AC324" s="232" t="str">
        <f>IF(AC$3="","",IF(COUNTIFS(BD!$A$3:$A$5001,AC$3,BD!$B$3:$B$5001,$A$311,BD!$O$3:$O$5001,"&lt;&gt;")=0,"",SUMIFS(BD!$O$3:$O$5001,BD!$A$3:$A$5001,AC$3,BD!$B$3:$B$5001,$A$311)))</f>
        <v/>
      </c>
      <c r="AD324" s="232" t="str">
        <f>IF(AD$3="","",IF(COUNTIFS(BD!$A$3:$A$5001,AD$3,BD!$B$3:$B$5001,$A$311,BD!$O$3:$O$5001,"&lt;&gt;")=0,"",SUMIFS(BD!$O$3:$O$5001,BD!$A$3:$A$5001,AD$3,BD!$B$3:$B$5001,$A$311)))</f>
        <v/>
      </c>
      <c r="AE324" s="232" t="str">
        <f>IF(AE$3="","",IF(COUNTIFS(BD!$A$3:$A$5001,AE$3,BD!$B$3:$B$5001,$A$311,BD!$O$3:$O$5001,"&lt;&gt;")=0,"",SUMIFS(BD!$O$3:$O$5001,BD!$A$3:$A$5001,AE$3,BD!$B$3:$B$5001,$A$311)))</f>
        <v/>
      </c>
      <c r="AF324" s="232" t="str">
        <f>IF(AF$3="","",IF(COUNTIFS(BD!$A$3:$A$5001,AF$3,BD!$B$3:$B$5001,$A$311,BD!$O$3:$O$5001,"&lt;&gt;")=0,"",SUMIFS(BD!$O$3:$O$5001,BD!$A$3:$A$5001,AF$3,BD!$B$3:$B$5001,$A$311)))</f>
        <v/>
      </c>
      <c r="AG324" s="232" t="str">
        <f>IF(AG$3="","",IF(COUNTIFS(BD!$A$3:$A$5001,AG$3,BD!$B$3:$B$5001,$A$311,BD!$O$3:$O$5001,"&lt;&gt;")=0,"",SUMIFS(BD!$O$3:$O$5001,BD!$A$3:$A$5001,AG$3,BD!$B$3:$B$5001,$A$311)))</f>
        <v/>
      </c>
      <c r="AH324" s="232" t="str">
        <f>IF(AH$3="","",IF(COUNTIFS(BD!$A$3:$A$5001,AH$3,BD!$B$3:$B$5001,$A$311,BD!$O$3:$O$5001,"&lt;&gt;")=0,"",SUMIFS(BD!$O$3:$O$5001,BD!$A$3:$A$5001,AH$3,BD!$B$3:$B$5001,$A$311)))</f>
        <v/>
      </c>
      <c r="AI324" s="232" t="str">
        <f>IF(AI$3="","",IF(COUNTIFS(BD!$A$3:$A$5001,AI$3,BD!$B$3:$B$5001,$A$311,BD!$O$3:$O$5001,"&lt;&gt;")=0,"",SUMIFS(BD!$O$3:$O$5001,BD!$A$3:$A$5001,AI$3,BD!$B$3:$B$5001,$A$311)))</f>
        <v/>
      </c>
      <c r="AJ324" s="233" t="str">
        <f>IF(AJ$3="","",IF(COUNTIFS(BD!$A$3:$A$5001,AJ$3,BD!$B$3:$B$5001,$A$311,BD!$O$3:$O$5001,"&lt;&gt;")=0,"",SUMIFS(BD!$O$3:$O$5001,BD!$A$3:$A$5001,AJ$3,BD!$B$3:$B$5001,$A$311)))</f>
        <v/>
      </c>
      <c r="AK324" s="234" t="str">
        <f>IF(COUNT(F324:AJ324)=0,"",SUM(F324:AJ324))</f>
        <v/>
      </c>
    </row>
    <row r="325" ht="15.75" customHeight="1" hidden="1">
      <c r="A325" s="254"/>
      <c r="B325" s="251"/>
      <c r="C325" s="228" t="inlineStr">
        <is>
          <t xml:space="preserve">Folga</t>
        </is>
      </c>
      <c r="D325" s="229" t="str">
        <f>IFERROR(1/(1/INDEX(BD!$Y$37:$AS$37,MATCH($A$311,BD!$Y$22:$AS$22,0))),"")</f>
        <v/>
      </c>
      <c r="E325" s="230"/>
      <c r="F325" s="231" t="str">
        <f>IF(F$3="","",IF(COUNTIFS(BD!$A$3:$A$5001,F$3,BD!$B$3:$B$5001,$A$311,BD!$P$3:$P$5001,"&lt;&gt;")=0,"",SUMIFS(BD!$P$3:$P$5001,BD!$A$3:$A$5001,F$3,BD!$B$3:$B$5001,$A$311)))</f>
        <v/>
      </c>
      <c r="G325" s="232" t="str">
        <f>IF(G$3="","",IF(COUNTIFS(BD!$A$3:$A$5001,G$3,BD!$B$3:$B$5001,$A$311,BD!$P$3:$P$5001,"&lt;&gt;")=0,"",SUMIFS(BD!$P$3:$P$5001,BD!$A$3:$A$5001,G$3,BD!$B$3:$B$5001,$A$311)))</f>
        <v/>
      </c>
      <c r="H325" s="232" t="str">
        <f>IF(H$3="","",IF(COUNTIFS(BD!$A$3:$A$5001,H$3,BD!$B$3:$B$5001,$A$311,BD!$P$3:$P$5001,"&lt;&gt;")=0,"",SUMIFS(BD!$P$3:$P$5001,BD!$A$3:$A$5001,H$3,BD!$B$3:$B$5001,$A$311)))</f>
        <v/>
      </c>
      <c r="I325" s="232" t="str">
        <f>IF(I$3="","",IF(COUNTIFS(BD!$A$3:$A$5001,I$3,BD!$B$3:$B$5001,$A$311,BD!$P$3:$P$5001,"&lt;&gt;")=0,"",SUMIFS(BD!$P$3:$P$5001,BD!$A$3:$A$5001,I$3,BD!$B$3:$B$5001,$A$311)))</f>
        <v/>
      </c>
      <c r="J325" s="232" t="str">
        <f>IF(J$3="","",IF(COUNTIFS(BD!$A$3:$A$5001,J$3,BD!$B$3:$B$5001,$A$311,BD!$P$3:$P$5001,"&lt;&gt;")=0,"",SUMIFS(BD!$P$3:$P$5001,BD!$A$3:$A$5001,J$3,BD!$B$3:$B$5001,$A$311)))</f>
        <v/>
      </c>
      <c r="K325" s="232" t="str">
        <f>IF(K$3="","",IF(COUNTIFS(BD!$A$3:$A$5001,K$3,BD!$B$3:$B$5001,$A$311,BD!$P$3:$P$5001,"&lt;&gt;")=0,"",SUMIFS(BD!$P$3:$P$5001,BD!$A$3:$A$5001,K$3,BD!$B$3:$B$5001,$A$311)))</f>
        <v/>
      </c>
      <c r="L325" s="232" t="str">
        <f>IF(L$3="","",IF(COUNTIFS(BD!$A$3:$A$5001,L$3,BD!$B$3:$B$5001,$A$311,BD!$P$3:$P$5001,"&lt;&gt;")=0,"",SUMIFS(BD!$P$3:$P$5001,BD!$A$3:$A$5001,L$3,BD!$B$3:$B$5001,$A$311)))</f>
        <v/>
      </c>
      <c r="M325" s="232" t="str">
        <f>IF(M$3="","",IF(COUNTIFS(BD!$A$3:$A$5001,M$3,BD!$B$3:$B$5001,$A$311,BD!$P$3:$P$5001,"&lt;&gt;")=0,"",SUMIFS(BD!$P$3:$P$5001,BD!$A$3:$A$5001,M$3,BD!$B$3:$B$5001,$A$311)))</f>
        <v/>
      </c>
      <c r="N325" s="232" t="str">
        <f>IF(N$3="","",IF(COUNTIFS(BD!$A$3:$A$5001,N$3,BD!$B$3:$B$5001,$A$311,BD!$P$3:$P$5001,"&lt;&gt;")=0,"",SUMIFS(BD!$P$3:$P$5001,BD!$A$3:$A$5001,N$3,BD!$B$3:$B$5001,$A$311)))</f>
        <v/>
      </c>
      <c r="O325" s="232" t="str">
        <f>IF(O$3="","",IF(COUNTIFS(BD!$A$3:$A$5001,O$3,BD!$B$3:$B$5001,$A$311,BD!$P$3:$P$5001,"&lt;&gt;")=0,"",SUMIFS(BD!$P$3:$P$5001,BD!$A$3:$A$5001,O$3,BD!$B$3:$B$5001,$A$311)))</f>
        <v/>
      </c>
      <c r="P325" s="232" t="str">
        <f>IF(P$3="","",IF(COUNTIFS(BD!$A$3:$A$5001,P$3,BD!$B$3:$B$5001,$A$311,BD!$P$3:$P$5001,"&lt;&gt;")=0,"",SUMIFS(BD!$P$3:$P$5001,BD!$A$3:$A$5001,P$3,BD!$B$3:$B$5001,$A$311)))</f>
        <v/>
      </c>
      <c r="Q325" s="232" t="str">
        <f>IF(Q$3="","",IF(COUNTIFS(BD!$A$3:$A$5001,Q$3,BD!$B$3:$B$5001,$A$311,BD!$P$3:$P$5001,"&lt;&gt;")=0,"",SUMIFS(BD!$P$3:$P$5001,BD!$A$3:$A$5001,Q$3,BD!$B$3:$B$5001,$A$311)))</f>
        <v/>
      </c>
      <c r="R325" s="232" t="str">
        <f>IF(R$3="","",IF(COUNTIFS(BD!$A$3:$A$5001,R$3,BD!$B$3:$B$5001,$A$311,BD!$P$3:$P$5001,"&lt;&gt;")=0,"",SUMIFS(BD!$P$3:$P$5001,BD!$A$3:$A$5001,R$3,BD!$B$3:$B$5001,$A$311)))</f>
        <v/>
      </c>
      <c r="S325" s="232" t="str">
        <f>IF(S$3="","",IF(COUNTIFS(BD!$A$3:$A$5001,S$3,BD!$B$3:$B$5001,$A$311,BD!$P$3:$P$5001,"&lt;&gt;")=0,"",SUMIFS(BD!$P$3:$P$5001,BD!$A$3:$A$5001,S$3,BD!$B$3:$B$5001,$A$311)))</f>
        <v/>
      </c>
      <c r="T325" s="232" t="str">
        <f>IF(T$3="","",IF(COUNTIFS(BD!$A$3:$A$5001,T$3,BD!$B$3:$B$5001,$A$311,BD!$P$3:$P$5001,"&lt;&gt;")=0,"",SUMIFS(BD!$P$3:$P$5001,BD!$A$3:$A$5001,T$3,BD!$B$3:$B$5001,$A$311)))</f>
        <v/>
      </c>
      <c r="U325" s="232" t="str">
        <f>IF(U$3="","",IF(COUNTIFS(BD!$A$3:$A$5001,U$3,BD!$B$3:$B$5001,$A$311,BD!$P$3:$P$5001,"&lt;&gt;")=0,"",SUMIFS(BD!$P$3:$P$5001,BD!$A$3:$A$5001,U$3,BD!$B$3:$B$5001,$A$311)))</f>
        <v/>
      </c>
      <c r="V325" s="232" t="str">
        <f>IF(V$3="","",IF(COUNTIFS(BD!$A$3:$A$5001,V$3,BD!$B$3:$B$5001,$A$311,BD!$P$3:$P$5001,"&lt;&gt;")=0,"",SUMIFS(BD!$P$3:$P$5001,BD!$A$3:$A$5001,V$3,BD!$B$3:$B$5001,$A$311)))</f>
        <v/>
      </c>
      <c r="W325" s="232" t="str">
        <f>IF(W$3="","",IF(COUNTIFS(BD!$A$3:$A$5001,W$3,BD!$B$3:$B$5001,$A$311,BD!$P$3:$P$5001,"&lt;&gt;")=0,"",SUMIFS(BD!$P$3:$P$5001,BD!$A$3:$A$5001,W$3,BD!$B$3:$B$5001,$A$311)))</f>
        <v/>
      </c>
      <c r="X325" s="232" t="str">
        <f>IF(X$3="","",IF(COUNTIFS(BD!$A$3:$A$5001,X$3,BD!$B$3:$B$5001,$A$311,BD!$P$3:$P$5001,"&lt;&gt;")=0,"",SUMIFS(BD!$P$3:$P$5001,BD!$A$3:$A$5001,X$3,BD!$B$3:$B$5001,$A$311)))</f>
        <v/>
      </c>
      <c r="Y325" s="232" t="str">
        <f>IF(Y$3="","",IF(COUNTIFS(BD!$A$3:$A$5001,Y$3,BD!$B$3:$B$5001,$A$311,BD!$P$3:$P$5001,"&lt;&gt;")=0,"",SUMIFS(BD!$P$3:$P$5001,BD!$A$3:$A$5001,Y$3,BD!$B$3:$B$5001,$A$311)))</f>
        <v/>
      </c>
      <c r="Z325" s="232" t="str">
        <f>IF(Z$3="","",IF(COUNTIFS(BD!$A$3:$A$5001,Z$3,BD!$B$3:$B$5001,$A$311,BD!$P$3:$P$5001,"&lt;&gt;")=0,"",SUMIFS(BD!$P$3:$P$5001,BD!$A$3:$A$5001,Z$3,BD!$B$3:$B$5001,$A$311)))</f>
        <v/>
      </c>
      <c r="AA325" s="232" t="str">
        <f>IF(AA$3="","",IF(COUNTIFS(BD!$A$3:$A$5001,AA$3,BD!$B$3:$B$5001,$A$311,BD!$P$3:$P$5001,"&lt;&gt;")=0,"",SUMIFS(BD!$P$3:$P$5001,BD!$A$3:$A$5001,AA$3,BD!$B$3:$B$5001,$A$311)))</f>
        <v/>
      </c>
      <c r="AB325" s="232" t="str">
        <f>IF(AB$3="","",IF(COUNTIFS(BD!$A$3:$A$5001,AB$3,BD!$B$3:$B$5001,$A$311,BD!$P$3:$P$5001,"&lt;&gt;")=0,"",SUMIFS(BD!$P$3:$P$5001,BD!$A$3:$A$5001,AB$3,BD!$B$3:$B$5001,$A$311)))</f>
        <v/>
      </c>
      <c r="AC325" s="232" t="str">
        <f>IF(AC$3="","",IF(COUNTIFS(BD!$A$3:$A$5001,AC$3,BD!$B$3:$B$5001,$A$311,BD!$P$3:$P$5001,"&lt;&gt;")=0,"",SUMIFS(BD!$P$3:$P$5001,BD!$A$3:$A$5001,AC$3,BD!$B$3:$B$5001,$A$311)))</f>
        <v/>
      </c>
      <c r="AD325" s="232" t="str">
        <f>IF(AD$3="","",IF(COUNTIFS(BD!$A$3:$A$5001,AD$3,BD!$B$3:$B$5001,$A$311,BD!$P$3:$P$5001,"&lt;&gt;")=0,"",SUMIFS(BD!$P$3:$P$5001,BD!$A$3:$A$5001,AD$3,BD!$B$3:$B$5001,$A$311)))</f>
        <v/>
      </c>
      <c r="AE325" s="232" t="str">
        <f>IF(AE$3="","",IF(COUNTIFS(BD!$A$3:$A$5001,AE$3,BD!$B$3:$B$5001,$A$311,BD!$P$3:$P$5001,"&lt;&gt;")=0,"",SUMIFS(BD!$P$3:$P$5001,BD!$A$3:$A$5001,AE$3,BD!$B$3:$B$5001,$A$311)))</f>
        <v/>
      </c>
      <c r="AF325" s="232" t="str">
        <f>IF(AF$3="","",IF(COUNTIFS(BD!$A$3:$A$5001,AF$3,BD!$B$3:$B$5001,$A$311,BD!$P$3:$P$5001,"&lt;&gt;")=0,"",SUMIFS(BD!$P$3:$P$5001,BD!$A$3:$A$5001,AF$3,BD!$B$3:$B$5001,$A$311)))</f>
        <v/>
      </c>
      <c r="AG325" s="232" t="str">
        <f>IF(AG$3="","",IF(COUNTIFS(BD!$A$3:$A$5001,AG$3,BD!$B$3:$B$5001,$A$311,BD!$P$3:$P$5001,"&lt;&gt;")=0,"",SUMIFS(BD!$P$3:$P$5001,BD!$A$3:$A$5001,AG$3,BD!$B$3:$B$5001,$A$311)))</f>
        <v/>
      </c>
      <c r="AH325" s="232" t="str">
        <f>IF(AH$3="","",IF(COUNTIFS(BD!$A$3:$A$5001,AH$3,BD!$B$3:$B$5001,$A$311,BD!$P$3:$P$5001,"&lt;&gt;")=0,"",SUMIFS(BD!$P$3:$P$5001,BD!$A$3:$A$5001,AH$3,BD!$B$3:$B$5001,$A$311)))</f>
        <v/>
      </c>
      <c r="AI325" s="232" t="str">
        <f>IF(AI$3="","",IF(COUNTIFS(BD!$A$3:$A$5001,AI$3,BD!$B$3:$B$5001,$A$311,BD!$P$3:$P$5001,"&lt;&gt;")=0,"",SUMIFS(BD!$P$3:$P$5001,BD!$A$3:$A$5001,AI$3,BD!$B$3:$B$5001,$A$311)))</f>
        <v/>
      </c>
      <c r="AJ325" s="233" t="str">
        <f>IF(AJ$3="","",IF(COUNTIFS(BD!$A$3:$A$5001,AJ$3,BD!$B$3:$B$5001,$A$311,BD!$P$3:$P$5001,"&lt;&gt;")=0,"",SUMIFS(BD!$P$3:$P$5001,BD!$A$3:$A$5001,AJ$3,BD!$B$3:$B$5001,$A$311)))</f>
        <v/>
      </c>
      <c r="AK325" s="234" t="str">
        <f>IF(COUNT(F325:AJ325)=0,"",SUM(F325:AJ325))</f>
        <v/>
      </c>
    </row>
    <row r="326" ht="15.75" customHeight="1" hidden="1">
      <c r="A326" s="254"/>
      <c r="B326" s="251"/>
      <c r="C326" s="228" t="inlineStr">
        <is>
          <t xml:space="preserve">Férias</t>
        </is>
      </c>
      <c r="D326" s="229" t="str">
        <f>IFERROR(1/(1/INDEX(BD!$Y$38:$AS$38,MATCH($A$311,BD!$Y$22:$AS$22,0))),"")</f>
        <v/>
      </c>
      <c r="E326" s="230"/>
      <c r="F326" s="231" t="str">
        <f>IF(F$3="","",IF(COUNTIFS(BD!$A$3:$A$5001,F$3,BD!$B$3:$B$5001,$A$311,BD!$Q$3:$Q$5001,"&lt;&gt;")=0,"",SUMIFS(BD!$Q$3:$Q$5001,BD!$A$3:$A$5001,F$3,BD!$B$3:$B$5001,$A$311)))</f>
        <v/>
      </c>
      <c r="G326" s="232" t="str">
        <f>IF(G$3="","",IF(COUNTIFS(BD!$A$3:$A$5001,G$3,BD!$B$3:$B$5001,$A$311,BD!$Q$3:$Q$5001,"&lt;&gt;")=0,"",SUMIFS(BD!$Q$3:$Q$5001,BD!$A$3:$A$5001,G$3,BD!$B$3:$B$5001,$A$311)))</f>
        <v/>
      </c>
      <c r="H326" s="232" t="str">
        <f>IF(H$3="","",IF(COUNTIFS(BD!$A$3:$A$5001,H$3,BD!$B$3:$B$5001,$A$311,BD!$Q$3:$Q$5001,"&lt;&gt;")=0,"",SUMIFS(BD!$Q$3:$Q$5001,BD!$A$3:$A$5001,H$3,BD!$B$3:$B$5001,$A$311)))</f>
        <v/>
      </c>
      <c r="I326" s="232" t="str">
        <f>IF(I$3="","",IF(COUNTIFS(BD!$A$3:$A$5001,I$3,BD!$B$3:$B$5001,$A$311,BD!$Q$3:$Q$5001,"&lt;&gt;")=0,"",SUMIFS(BD!$Q$3:$Q$5001,BD!$A$3:$A$5001,I$3,BD!$B$3:$B$5001,$A$311)))</f>
        <v/>
      </c>
      <c r="J326" s="232" t="str">
        <f>IF(J$3="","",IF(COUNTIFS(BD!$A$3:$A$5001,J$3,BD!$B$3:$B$5001,$A$311,BD!$Q$3:$Q$5001,"&lt;&gt;")=0,"",SUMIFS(BD!$Q$3:$Q$5001,BD!$A$3:$A$5001,J$3,BD!$B$3:$B$5001,$A$311)))</f>
        <v/>
      </c>
      <c r="K326" s="232" t="str">
        <f>IF(K$3="","",IF(COUNTIFS(BD!$A$3:$A$5001,K$3,BD!$B$3:$B$5001,$A$311,BD!$Q$3:$Q$5001,"&lt;&gt;")=0,"",SUMIFS(BD!$Q$3:$Q$5001,BD!$A$3:$A$5001,K$3,BD!$B$3:$B$5001,$A$311)))</f>
        <v/>
      </c>
      <c r="L326" s="232" t="str">
        <f>IF(L$3="","",IF(COUNTIFS(BD!$A$3:$A$5001,L$3,BD!$B$3:$B$5001,$A$311,BD!$Q$3:$Q$5001,"&lt;&gt;")=0,"",SUMIFS(BD!$Q$3:$Q$5001,BD!$A$3:$A$5001,L$3,BD!$B$3:$B$5001,$A$311)))</f>
        <v/>
      </c>
      <c r="M326" s="232" t="str">
        <f>IF(M$3="","",IF(COUNTIFS(BD!$A$3:$A$5001,M$3,BD!$B$3:$B$5001,$A$311,BD!$Q$3:$Q$5001,"&lt;&gt;")=0,"",SUMIFS(BD!$Q$3:$Q$5001,BD!$A$3:$A$5001,M$3,BD!$B$3:$B$5001,$A$311)))</f>
        <v/>
      </c>
      <c r="N326" s="232" t="str">
        <f>IF(N$3="","",IF(COUNTIFS(BD!$A$3:$A$5001,N$3,BD!$B$3:$B$5001,$A$311,BD!$Q$3:$Q$5001,"&lt;&gt;")=0,"",SUMIFS(BD!$Q$3:$Q$5001,BD!$A$3:$A$5001,N$3,BD!$B$3:$B$5001,$A$311)))</f>
        <v/>
      </c>
      <c r="O326" s="232" t="str">
        <f>IF(O$3="","",IF(COUNTIFS(BD!$A$3:$A$5001,O$3,BD!$B$3:$B$5001,$A$311,BD!$Q$3:$Q$5001,"&lt;&gt;")=0,"",SUMIFS(BD!$Q$3:$Q$5001,BD!$A$3:$A$5001,O$3,BD!$B$3:$B$5001,$A$311)))</f>
        <v/>
      </c>
      <c r="P326" s="232" t="str">
        <f>IF(P$3="","",IF(COUNTIFS(BD!$A$3:$A$5001,P$3,BD!$B$3:$B$5001,$A$311,BD!$Q$3:$Q$5001,"&lt;&gt;")=0,"",SUMIFS(BD!$Q$3:$Q$5001,BD!$A$3:$A$5001,P$3,BD!$B$3:$B$5001,$A$311)))</f>
        <v/>
      </c>
      <c r="Q326" s="232" t="str">
        <f>IF(Q$3="","",IF(COUNTIFS(BD!$A$3:$A$5001,Q$3,BD!$B$3:$B$5001,$A$311,BD!$Q$3:$Q$5001,"&lt;&gt;")=0,"",SUMIFS(BD!$Q$3:$Q$5001,BD!$A$3:$A$5001,Q$3,BD!$B$3:$B$5001,$A$311)))</f>
        <v/>
      </c>
      <c r="R326" s="232" t="str">
        <f>IF(R$3="","",IF(COUNTIFS(BD!$A$3:$A$5001,R$3,BD!$B$3:$B$5001,$A$311,BD!$Q$3:$Q$5001,"&lt;&gt;")=0,"",SUMIFS(BD!$Q$3:$Q$5001,BD!$A$3:$A$5001,R$3,BD!$B$3:$B$5001,$A$311)))</f>
        <v/>
      </c>
      <c r="S326" s="232" t="str">
        <f>IF(S$3="","",IF(COUNTIFS(BD!$A$3:$A$5001,S$3,BD!$B$3:$B$5001,$A$311,BD!$Q$3:$Q$5001,"&lt;&gt;")=0,"",SUMIFS(BD!$Q$3:$Q$5001,BD!$A$3:$A$5001,S$3,BD!$B$3:$B$5001,$A$311)))</f>
        <v/>
      </c>
      <c r="T326" s="232" t="str">
        <f>IF(T$3="","",IF(COUNTIFS(BD!$A$3:$A$5001,T$3,BD!$B$3:$B$5001,$A$311,BD!$Q$3:$Q$5001,"&lt;&gt;")=0,"",SUMIFS(BD!$Q$3:$Q$5001,BD!$A$3:$A$5001,T$3,BD!$B$3:$B$5001,$A$311)))</f>
        <v/>
      </c>
      <c r="U326" s="232" t="str">
        <f>IF(U$3="","",IF(COUNTIFS(BD!$A$3:$A$5001,U$3,BD!$B$3:$B$5001,$A$311,BD!$Q$3:$Q$5001,"&lt;&gt;")=0,"",SUMIFS(BD!$Q$3:$Q$5001,BD!$A$3:$A$5001,U$3,BD!$B$3:$B$5001,$A$311)))</f>
        <v/>
      </c>
      <c r="V326" s="232" t="str">
        <f>IF(V$3="","",IF(COUNTIFS(BD!$A$3:$A$5001,V$3,BD!$B$3:$B$5001,$A$311,BD!$Q$3:$Q$5001,"&lt;&gt;")=0,"",SUMIFS(BD!$Q$3:$Q$5001,BD!$A$3:$A$5001,V$3,BD!$B$3:$B$5001,$A$311)))</f>
        <v/>
      </c>
      <c r="W326" s="232" t="str">
        <f>IF(W$3="","",IF(COUNTIFS(BD!$A$3:$A$5001,W$3,BD!$B$3:$B$5001,$A$311,BD!$Q$3:$Q$5001,"&lt;&gt;")=0,"",SUMIFS(BD!$Q$3:$Q$5001,BD!$A$3:$A$5001,W$3,BD!$B$3:$B$5001,$A$311)))</f>
        <v/>
      </c>
      <c r="X326" s="232" t="str">
        <f>IF(X$3="","",IF(COUNTIFS(BD!$A$3:$A$5001,X$3,BD!$B$3:$B$5001,$A$311,BD!$Q$3:$Q$5001,"&lt;&gt;")=0,"",SUMIFS(BD!$Q$3:$Q$5001,BD!$A$3:$A$5001,X$3,BD!$B$3:$B$5001,$A$311)))</f>
        <v/>
      </c>
      <c r="Y326" s="232" t="str">
        <f>IF(Y$3="","",IF(COUNTIFS(BD!$A$3:$A$5001,Y$3,BD!$B$3:$B$5001,$A$311,BD!$Q$3:$Q$5001,"&lt;&gt;")=0,"",SUMIFS(BD!$Q$3:$Q$5001,BD!$A$3:$A$5001,Y$3,BD!$B$3:$B$5001,$A$311)))</f>
        <v/>
      </c>
      <c r="Z326" s="232" t="str">
        <f>IF(Z$3="","",IF(COUNTIFS(BD!$A$3:$A$5001,Z$3,BD!$B$3:$B$5001,$A$311,BD!$Q$3:$Q$5001,"&lt;&gt;")=0,"",SUMIFS(BD!$Q$3:$Q$5001,BD!$A$3:$A$5001,Z$3,BD!$B$3:$B$5001,$A$311)))</f>
        <v/>
      </c>
      <c r="AA326" s="232" t="str">
        <f>IF(AA$3="","",IF(COUNTIFS(BD!$A$3:$A$5001,AA$3,BD!$B$3:$B$5001,$A$311,BD!$Q$3:$Q$5001,"&lt;&gt;")=0,"",SUMIFS(BD!$Q$3:$Q$5001,BD!$A$3:$A$5001,AA$3,BD!$B$3:$B$5001,$A$311)))</f>
        <v/>
      </c>
      <c r="AB326" s="232" t="str">
        <f>IF(AB$3="","",IF(COUNTIFS(BD!$A$3:$A$5001,AB$3,BD!$B$3:$B$5001,$A$311,BD!$Q$3:$Q$5001,"&lt;&gt;")=0,"",SUMIFS(BD!$Q$3:$Q$5001,BD!$A$3:$A$5001,AB$3,BD!$B$3:$B$5001,$A$311)))</f>
        <v/>
      </c>
      <c r="AC326" s="232" t="str">
        <f>IF(AC$3="","",IF(COUNTIFS(BD!$A$3:$A$5001,AC$3,BD!$B$3:$B$5001,$A$311,BD!$Q$3:$Q$5001,"&lt;&gt;")=0,"",SUMIFS(BD!$Q$3:$Q$5001,BD!$A$3:$A$5001,AC$3,BD!$B$3:$B$5001,$A$311)))</f>
        <v/>
      </c>
      <c r="AD326" s="232" t="str">
        <f>IF(AD$3="","",IF(COUNTIFS(BD!$A$3:$A$5001,AD$3,BD!$B$3:$B$5001,$A$311,BD!$Q$3:$Q$5001,"&lt;&gt;")=0,"",SUMIFS(BD!$Q$3:$Q$5001,BD!$A$3:$A$5001,AD$3,BD!$B$3:$B$5001,$A$311)))</f>
        <v/>
      </c>
      <c r="AE326" s="232" t="str">
        <f>IF(AE$3="","",IF(COUNTIFS(BD!$A$3:$A$5001,AE$3,BD!$B$3:$B$5001,$A$311,BD!$Q$3:$Q$5001,"&lt;&gt;")=0,"",SUMIFS(BD!$Q$3:$Q$5001,BD!$A$3:$A$5001,AE$3,BD!$B$3:$B$5001,$A$311)))</f>
        <v/>
      </c>
      <c r="AF326" s="232" t="str">
        <f>IF(AF$3="","",IF(COUNTIFS(BD!$A$3:$A$5001,AF$3,BD!$B$3:$B$5001,$A$311,BD!$Q$3:$Q$5001,"&lt;&gt;")=0,"",SUMIFS(BD!$Q$3:$Q$5001,BD!$A$3:$A$5001,AF$3,BD!$B$3:$B$5001,$A$311)))</f>
        <v/>
      </c>
      <c r="AG326" s="232" t="str">
        <f>IF(AG$3="","",IF(COUNTIFS(BD!$A$3:$A$5001,AG$3,BD!$B$3:$B$5001,$A$311,BD!$Q$3:$Q$5001,"&lt;&gt;")=0,"",SUMIFS(BD!$Q$3:$Q$5001,BD!$A$3:$A$5001,AG$3,BD!$B$3:$B$5001,$A$311)))</f>
        <v/>
      </c>
      <c r="AH326" s="232" t="str">
        <f>IF(AH$3="","",IF(COUNTIFS(BD!$A$3:$A$5001,AH$3,BD!$B$3:$B$5001,$A$311,BD!$Q$3:$Q$5001,"&lt;&gt;")=0,"",SUMIFS(BD!$Q$3:$Q$5001,BD!$A$3:$A$5001,AH$3,BD!$B$3:$B$5001,$A$311)))</f>
        <v/>
      </c>
      <c r="AI326" s="232" t="str">
        <f>IF(AI$3="","",IF(COUNTIFS(BD!$A$3:$A$5001,AI$3,BD!$B$3:$B$5001,$A$311,BD!$Q$3:$Q$5001,"&lt;&gt;")=0,"",SUMIFS(BD!$Q$3:$Q$5001,BD!$A$3:$A$5001,AI$3,BD!$B$3:$B$5001,$A$311)))</f>
        <v/>
      </c>
      <c r="AJ326" s="233" t="str">
        <f>IF(AJ$3="","",IF(COUNTIFS(BD!$A$3:$A$5001,AJ$3,BD!$B$3:$B$5001,$A$311,BD!$Q$3:$Q$5001,"&lt;&gt;")=0,"",SUMIFS(BD!$Q$3:$Q$5001,BD!$A$3:$A$5001,AJ$3,BD!$B$3:$B$5001,$A$311)))</f>
        <v/>
      </c>
      <c r="AK326" s="234" t="str">
        <f>IF(COUNT(F326:AJ326)=0,"",SUM(F326:AJ326))</f>
        <v/>
      </c>
    </row>
    <row r="327" ht="15.75" customHeight="1" hidden="1">
      <c r="A327" s="254"/>
      <c r="B327" s="251"/>
      <c r="C327" s="228" t="inlineStr">
        <is>
          <t xml:space="preserve">Desligamento</t>
        </is>
      </c>
      <c r="D327" s="229" t="str">
        <f>IFERROR(1/(1/INDEX(BD!$Y$39:$AS$39,MATCH($A$311,BD!$Y$22:$AS$22,0))),"")</f>
        <v/>
      </c>
      <c r="E327" s="230"/>
      <c r="F327" s="231" t="str">
        <f>IF(F$3="","",IF(COUNTIFS(BD!$A$3:$A$5001,F$3,BD!$B$3:$B$5001,$A$311,BD!$R$3:$R$5001,"&lt;&gt;")=0,"",SUMIFS(BD!$R$3:$R$5001,BD!$A$3:$A$5001,F$3,BD!$B$3:$B$5001,$A$311)))</f>
        <v/>
      </c>
      <c r="G327" s="232" t="str">
        <f>IF(G$3="","",IF(COUNTIFS(BD!$A$3:$A$5001,G$3,BD!$B$3:$B$5001,$A$311,BD!$R$3:$R$5001,"&lt;&gt;")=0,"",SUMIFS(BD!$R$3:$R$5001,BD!$A$3:$A$5001,G$3,BD!$B$3:$B$5001,$A$311)))</f>
        <v/>
      </c>
      <c r="H327" s="232" t="str">
        <f>IF(H$3="","",IF(COUNTIFS(BD!$A$3:$A$5001,H$3,BD!$B$3:$B$5001,$A$311,BD!$R$3:$R$5001,"&lt;&gt;")=0,"",SUMIFS(BD!$R$3:$R$5001,BD!$A$3:$A$5001,H$3,BD!$B$3:$B$5001,$A$311)))</f>
        <v/>
      </c>
      <c r="I327" s="232" t="str">
        <f>IF(I$3="","",IF(COUNTIFS(BD!$A$3:$A$5001,I$3,BD!$B$3:$B$5001,$A$311,BD!$R$3:$R$5001,"&lt;&gt;")=0,"",SUMIFS(BD!$R$3:$R$5001,BD!$A$3:$A$5001,I$3,BD!$B$3:$B$5001,$A$311)))</f>
        <v/>
      </c>
      <c r="J327" s="232" t="str">
        <f>IF(J$3="","",IF(COUNTIFS(BD!$A$3:$A$5001,J$3,BD!$B$3:$B$5001,$A$311,BD!$R$3:$R$5001,"&lt;&gt;")=0,"",SUMIFS(BD!$R$3:$R$5001,BD!$A$3:$A$5001,J$3,BD!$B$3:$B$5001,$A$311)))</f>
        <v/>
      </c>
      <c r="K327" s="232" t="str">
        <f>IF(K$3="","",IF(COUNTIFS(BD!$A$3:$A$5001,K$3,BD!$B$3:$B$5001,$A$311,BD!$R$3:$R$5001,"&lt;&gt;")=0,"",SUMIFS(BD!$R$3:$R$5001,BD!$A$3:$A$5001,K$3,BD!$B$3:$B$5001,$A$311)))</f>
        <v/>
      </c>
      <c r="L327" s="232" t="str">
        <f>IF(L$3="","",IF(COUNTIFS(BD!$A$3:$A$5001,L$3,BD!$B$3:$B$5001,$A$311,BD!$R$3:$R$5001,"&lt;&gt;")=0,"",SUMIFS(BD!$R$3:$R$5001,BD!$A$3:$A$5001,L$3,BD!$B$3:$B$5001,$A$311)))</f>
        <v/>
      </c>
      <c r="M327" s="232" t="str">
        <f>IF(M$3="","",IF(COUNTIFS(BD!$A$3:$A$5001,M$3,BD!$B$3:$B$5001,$A$311,BD!$R$3:$R$5001,"&lt;&gt;")=0,"",SUMIFS(BD!$R$3:$R$5001,BD!$A$3:$A$5001,M$3,BD!$B$3:$B$5001,$A$311)))</f>
        <v/>
      </c>
      <c r="N327" s="232" t="str">
        <f>IF(N$3="","",IF(COUNTIFS(BD!$A$3:$A$5001,N$3,BD!$B$3:$B$5001,$A$311,BD!$R$3:$R$5001,"&lt;&gt;")=0,"",SUMIFS(BD!$R$3:$R$5001,BD!$A$3:$A$5001,N$3,BD!$B$3:$B$5001,$A$311)))</f>
        <v/>
      </c>
      <c r="O327" s="232" t="str">
        <f>IF(O$3="","",IF(COUNTIFS(BD!$A$3:$A$5001,O$3,BD!$B$3:$B$5001,$A$311,BD!$R$3:$R$5001,"&lt;&gt;")=0,"",SUMIFS(BD!$R$3:$R$5001,BD!$A$3:$A$5001,O$3,BD!$B$3:$B$5001,$A$311)))</f>
        <v/>
      </c>
      <c r="P327" s="232" t="str">
        <f>IF(P$3="","",IF(COUNTIFS(BD!$A$3:$A$5001,P$3,BD!$B$3:$B$5001,$A$311,BD!$R$3:$R$5001,"&lt;&gt;")=0,"",SUMIFS(BD!$R$3:$R$5001,BD!$A$3:$A$5001,P$3,BD!$B$3:$B$5001,$A$311)))</f>
        <v/>
      </c>
      <c r="Q327" s="232" t="str">
        <f>IF(Q$3="","",IF(COUNTIFS(BD!$A$3:$A$5001,Q$3,BD!$B$3:$B$5001,$A$311,BD!$R$3:$R$5001,"&lt;&gt;")=0,"",SUMIFS(BD!$R$3:$R$5001,BD!$A$3:$A$5001,Q$3,BD!$B$3:$B$5001,$A$311)))</f>
        <v/>
      </c>
      <c r="R327" s="232" t="str">
        <f>IF(R$3="","",IF(COUNTIFS(BD!$A$3:$A$5001,R$3,BD!$B$3:$B$5001,$A$311,BD!$R$3:$R$5001,"&lt;&gt;")=0,"",SUMIFS(BD!$R$3:$R$5001,BD!$A$3:$A$5001,R$3,BD!$B$3:$B$5001,$A$311)))</f>
        <v/>
      </c>
      <c r="S327" s="232" t="str">
        <f>IF(S$3="","",IF(COUNTIFS(BD!$A$3:$A$5001,S$3,BD!$B$3:$B$5001,$A$311,BD!$R$3:$R$5001,"&lt;&gt;")=0,"",SUMIFS(BD!$R$3:$R$5001,BD!$A$3:$A$5001,S$3,BD!$B$3:$B$5001,$A$311)))</f>
        <v/>
      </c>
      <c r="T327" s="232" t="str">
        <f>IF(T$3="","",IF(COUNTIFS(BD!$A$3:$A$5001,T$3,BD!$B$3:$B$5001,$A$311,BD!$R$3:$R$5001,"&lt;&gt;")=0,"",SUMIFS(BD!$R$3:$R$5001,BD!$A$3:$A$5001,T$3,BD!$B$3:$B$5001,$A$311)))</f>
        <v/>
      </c>
      <c r="U327" s="232" t="str">
        <f>IF(U$3="","",IF(COUNTIFS(BD!$A$3:$A$5001,U$3,BD!$B$3:$B$5001,$A$311,BD!$R$3:$R$5001,"&lt;&gt;")=0,"",SUMIFS(BD!$R$3:$R$5001,BD!$A$3:$A$5001,U$3,BD!$B$3:$B$5001,$A$311)))</f>
        <v/>
      </c>
      <c r="V327" s="232" t="str">
        <f>IF(V$3="","",IF(COUNTIFS(BD!$A$3:$A$5001,V$3,BD!$B$3:$B$5001,$A$311,BD!$R$3:$R$5001,"&lt;&gt;")=0,"",SUMIFS(BD!$R$3:$R$5001,BD!$A$3:$A$5001,V$3,BD!$B$3:$B$5001,$A$311)))</f>
        <v/>
      </c>
      <c r="W327" s="232" t="str">
        <f>IF(W$3="","",IF(COUNTIFS(BD!$A$3:$A$5001,W$3,BD!$B$3:$B$5001,$A$311,BD!$R$3:$R$5001,"&lt;&gt;")=0,"",SUMIFS(BD!$R$3:$R$5001,BD!$A$3:$A$5001,W$3,BD!$B$3:$B$5001,$A$311)))</f>
        <v/>
      </c>
      <c r="X327" s="232" t="str">
        <f>IF(X$3="","",IF(COUNTIFS(BD!$A$3:$A$5001,X$3,BD!$B$3:$B$5001,$A$311,BD!$R$3:$R$5001,"&lt;&gt;")=0,"",SUMIFS(BD!$R$3:$R$5001,BD!$A$3:$A$5001,X$3,BD!$B$3:$B$5001,$A$311)))</f>
        <v/>
      </c>
      <c r="Y327" s="232" t="str">
        <f>IF(Y$3="","",IF(COUNTIFS(BD!$A$3:$A$5001,Y$3,BD!$B$3:$B$5001,$A$311,BD!$R$3:$R$5001,"&lt;&gt;")=0,"",SUMIFS(BD!$R$3:$R$5001,BD!$A$3:$A$5001,Y$3,BD!$B$3:$B$5001,$A$311)))</f>
        <v/>
      </c>
      <c r="Z327" s="232" t="str">
        <f>IF(Z$3="","",IF(COUNTIFS(BD!$A$3:$A$5001,Z$3,BD!$B$3:$B$5001,$A$311,BD!$R$3:$R$5001,"&lt;&gt;")=0,"",SUMIFS(BD!$R$3:$R$5001,BD!$A$3:$A$5001,Z$3,BD!$B$3:$B$5001,$A$311)))</f>
        <v/>
      </c>
      <c r="AA327" s="232" t="str">
        <f>IF(AA$3="","",IF(COUNTIFS(BD!$A$3:$A$5001,AA$3,BD!$B$3:$B$5001,$A$311,BD!$R$3:$R$5001,"&lt;&gt;")=0,"",SUMIFS(BD!$R$3:$R$5001,BD!$A$3:$A$5001,AA$3,BD!$B$3:$B$5001,$A$311)))</f>
        <v/>
      </c>
      <c r="AB327" s="232" t="str">
        <f>IF(AB$3="","",IF(COUNTIFS(BD!$A$3:$A$5001,AB$3,BD!$B$3:$B$5001,$A$311,BD!$R$3:$R$5001,"&lt;&gt;")=0,"",SUMIFS(BD!$R$3:$R$5001,BD!$A$3:$A$5001,AB$3,BD!$B$3:$B$5001,$A$311)))</f>
        <v/>
      </c>
      <c r="AC327" s="232" t="str">
        <f>IF(AC$3="","",IF(COUNTIFS(BD!$A$3:$A$5001,AC$3,BD!$B$3:$B$5001,$A$311,BD!$R$3:$R$5001,"&lt;&gt;")=0,"",SUMIFS(BD!$R$3:$R$5001,BD!$A$3:$A$5001,AC$3,BD!$B$3:$B$5001,$A$311)))</f>
        <v/>
      </c>
      <c r="AD327" s="232" t="str">
        <f>IF(AD$3="","",IF(COUNTIFS(BD!$A$3:$A$5001,AD$3,BD!$B$3:$B$5001,$A$311,BD!$R$3:$R$5001,"&lt;&gt;")=0,"",SUMIFS(BD!$R$3:$R$5001,BD!$A$3:$A$5001,AD$3,BD!$B$3:$B$5001,$A$311)))</f>
        <v/>
      </c>
      <c r="AE327" s="232" t="str">
        <f>IF(AE$3="","",IF(COUNTIFS(BD!$A$3:$A$5001,AE$3,BD!$B$3:$B$5001,$A$311,BD!$R$3:$R$5001,"&lt;&gt;")=0,"",SUMIFS(BD!$R$3:$R$5001,BD!$A$3:$A$5001,AE$3,BD!$B$3:$B$5001,$A$311)))</f>
        <v/>
      </c>
      <c r="AF327" s="232" t="str">
        <f>IF(AF$3="","",IF(COUNTIFS(BD!$A$3:$A$5001,AF$3,BD!$B$3:$B$5001,$A$311,BD!$R$3:$R$5001,"&lt;&gt;")=0,"",SUMIFS(BD!$R$3:$R$5001,BD!$A$3:$A$5001,AF$3,BD!$B$3:$B$5001,$A$311)))</f>
        <v/>
      </c>
      <c r="AG327" s="232" t="str">
        <f>IF(AG$3="","",IF(COUNTIFS(BD!$A$3:$A$5001,AG$3,BD!$B$3:$B$5001,$A$311,BD!$R$3:$R$5001,"&lt;&gt;")=0,"",SUMIFS(BD!$R$3:$R$5001,BD!$A$3:$A$5001,AG$3,BD!$B$3:$B$5001,$A$311)))</f>
        <v/>
      </c>
      <c r="AH327" s="232" t="str">
        <f>IF(AH$3="","",IF(COUNTIFS(BD!$A$3:$A$5001,AH$3,BD!$B$3:$B$5001,$A$311,BD!$R$3:$R$5001,"&lt;&gt;")=0,"",SUMIFS(BD!$R$3:$R$5001,BD!$A$3:$A$5001,AH$3,BD!$B$3:$B$5001,$A$311)))</f>
        <v/>
      </c>
      <c r="AI327" s="232" t="str">
        <f>IF(AI$3="","",IF(COUNTIFS(BD!$A$3:$A$5001,AI$3,BD!$B$3:$B$5001,$A$311,BD!$R$3:$R$5001,"&lt;&gt;")=0,"",SUMIFS(BD!$R$3:$R$5001,BD!$A$3:$A$5001,AI$3,BD!$B$3:$B$5001,$A$311)))</f>
        <v/>
      </c>
      <c r="AJ327" s="233" t="str">
        <f>IF(AJ$3="","",IF(COUNTIFS(BD!$A$3:$A$5001,AJ$3,BD!$B$3:$B$5001,$A$311,BD!$R$3:$R$5001,"&lt;&gt;")=0,"",SUMIFS(BD!$R$3:$R$5001,BD!$A$3:$A$5001,AJ$3,BD!$B$3:$B$5001,$A$311)))</f>
        <v/>
      </c>
      <c r="AK327" s="234" t="str">
        <f>IF(COUNT(F327:AJ327)=0,"",SUM(F327:AJ327))</f>
        <v/>
      </c>
    </row>
    <row r="328" ht="15.75" customHeight="1" hidden="1">
      <c r="A328" s="254"/>
      <c r="B328" s="251"/>
      <c r="C328" s="228" t="inlineStr">
        <is>
          <t xml:space="preserve">Desvios Comportamentais</t>
        </is>
      </c>
      <c r="D328" s="229" t="str">
        <f>IFERROR(1/(1/INDEX(BD!$Y$40:$AS$40,MATCH($A$311,BD!$Y$22:$AS$22,0))),"")</f>
        <v/>
      </c>
      <c r="E328" s="230"/>
      <c r="F328" s="231" t="str">
        <f>IF(F$3="","",IF(COUNTIFS(BD!$A$3:$A$5001,F$3,BD!$B$3:$B$5001,$A$311,BD!$S$3:$S$5001,"&lt;&gt;")=0,"",SUMIFS(BD!$S$3:$S$5001,BD!$A$3:$A$5001,F$3,BD!$B$3:$B$5001,$A$311)))</f>
        <v/>
      </c>
      <c r="G328" s="232" t="str">
        <f>IF(G$3="","",IF(COUNTIFS(BD!$A$3:$A$5001,G$3,BD!$B$3:$B$5001,$A$311,BD!$S$3:$S$5001,"&lt;&gt;")=0,"",SUMIFS(BD!$S$3:$S$5001,BD!$A$3:$A$5001,G$3,BD!$B$3:$B$5001,$A$311)))</f>
        <v/>
      </c>
      <c r="H328" s="232" t="str">
        <f>IF(H$3="","",IF(COUNTIFS(BD!$A$3:$A$5001,H$3,BD!$B$3:$B$5001,$A$311,BD!$S$3:$S$5001,"&lt;&gt;")=0,"",SUMIFS(BD!$S$3:$S$5001,BD!$A$3:$A$5001,H$3,BD!$B$3:$B$5001,$A$311)))</f>
        <v/>
      </c>
      <c r="I328" s="232" t="str">
        <f>IF(I$3="","",IF(COUNTIFS(BD!$A$3:$A$5001,I$3,BD!$B$3:$B$5001,$A$311,BD!$S$3:$S$5001,"&lt;&gt;")=0,"",SUMIFS(BD!$S$3:$S$5001,BD!$A$3:$A$5001,I$3,BD!$B$3:$B$5001,$A$311)))</f>
        <v/>
      </c>
      <c r="J328" s="232" t="str">
        <f>IF(J$3="","",IF(COUNTIFS(BD!$A$3:$A$5001,J$3,BD!$B$3:$B$5001,$A$311,BD!$S$3:$S$5001,"&lt;&gt;")=0,"",SUMIFS(BD!$S$3:$S$5001,BD!$A$3:$A$5001,J$3,BD!$B$3:$B$5001,$A$311)))</f>
        <v/>
      </c>
      <c r="K328" s="232" t="str">
        <f>IF(K$3="","",IF(COUNTIFS(BD!$A$3:$A$5001,K$3,BD!$B$3:$B$5001,$A$311,BD!$S$3:$S$5001,"&lt;&gt;")=0,"",SUMIFS(BD!$S$3:$S$5001,BD!$A$3:$A$5001,K$3,BD!$B$3:$B$5001,$A$311)))</f>
        <v/>
      </c>
      <c r="L328" s="232" t="str">
        <f>IF(L$3="","",IF(COUNTIFS(BD!$A$3:$A$5001,L$3,BD!$B$3:$B$5001,$A$311,BD!$S$3:$S$5001,"&lt;&gt;")=0,"",SUMIFS(BD!$S$3:$S$5001,BD!$A$3:$A$5001,L$3,BD!$B$3:$B$5001,$A$311)))</f>
        <v/>
      </c>
      <c r="M328" s="232" t="str">
        <f>IF(M$3="","",IF(COUNTIFS(BD!$A$3:$A$5001,M$3,BD!$B$3:$B$5001,$A$311,BD!$S$3:$S$5001,"&lt;&gt;")=0,"",SUMIFS(BD!$S$3:$S$5001,BD!$A$3:$A$5001,M$3,BD!$B$3:$B$5001,$A$311)))</f>
        <v/>
      </c>
      <c r="N328" s="232" t="str">
        <f>IF(N$3="","",IF(COUNTIFS(BD!$A$3:$A$5001,N$3,BD!$B$3:$B$5001,$A$311,BD!$S$3:$S$5001,"&lt;&gt;")=0,"",SUMIFS(BD!$S$3:$S$5001,BD!$A$3:$A$5001,N$3,BD!$B$3:$B$5001,$A$311)))</f>
        <v/>
      </c>
      <c r="O328" s="232" t="str">
        <f>IF(O$3="","",IF(COUNTIFS(BD!$A$3:$A$5001,O$3,BD!$B$3:$B$5001,$A$311,BD!$S$3:$S$5001,"&lt;&gt;")=0,"",SUMIFS(BD!$S$3:$S$5001,BD!$A$3:$A$5001,O$3,BD!$B$3:$B$5001,$A$311)))</f>
        <v/>
      </c>
      <c r="P328" s="232" t="str">
        <f>IF(P$3="","",IF(COUNTIFS(BD!$A$3:$A$5001,P$3,BD!$B$3:$B$5001,$A$311,BD!$S$3:$S$5001,"&lt;&gt;")=0,"",SUMIFS(BD!$S$3:$S$5001,BD!$A$3:$A$5001,P$3,BD!$B$3:$B$5001,$A$311)))</f>
        <v/>
      </c>
      <c r="Q328" s="232" t="str">
        <f>IF(Q$3="","",IF(COUNTIFS(BD!$A$3:$A$5001,Q$3,BD!$B$3:$B$5001,$A$311,BD!$S$3:$S$5001,"&lt;&gt;")=0,"",SUMIFS(BD!$S$3:$S$5001,BD!$A$3:$A$5001,Q$3,BD!$B$3:$B$5001,$A$311)))</f>
        <v/>
      </c>
      <c r="R328" s="232" t="str">
        <f>IF(R$3="","",IF(COUNTIFS(BD!$A$3:$A$5001,R$3,BD!$B$3:$B$5001,$A$311,BD!$S$3:$S$5001,"&lt;&gt;")=0,"",SUMIFS(BD!$S$3:$S$5001,BD!$A$3:$A$5001,R$3,BD!$B$3:$B$5001,$A$311)))</f>
        <v/>
      </c>
      <c r="S328" s="232" t="str">
        <f>IF(S$3="","",IF(COUNTIFS(BD!$A$3:$A$5001,S$3,BD!$B$3:$B$5001,$A$311,BD!$S$3:$S$5001,"&lt;&gt;")=0,"",SUMIFS(BD!$S$3:$S$5001,BD!$A$3:$A$5001,S$3,BD!$B$3:$B$5001,$A$311)))</f>
        <v/>
      </c>
      <c r="T328" s="232" t="str">
        <f>IF(T$3="","",IF(COUNTIFS(BD!$A$3:$A$5001,T$3,BD!$B$3:$B$5001,$A$311,BD!$S$3:$S$5001,"&lt;&gt;")=0,"",SUMIFS(BD!$S$3:$S$5001,BD!$A$3:$A$5001,T$3,BD!$B$3:$B$5001,$A$311)))</f>
        <v/>
      </c>
      <c r="U328" s="232" t="str">
        <f>IF(U$3="","",IF(COUNTIFS(BD!$A$3:$A$5001,U$3,BD!$B$3:$B$5001,$A$311,BD!$S$3:$S$5001,"&lt;&gt;")=0,"",SUMIFS(BD!$S$3:$S$5001,BD!$A$3:$A$5001,U$3,BD!$B$3:$B$5001,$A$311)))</f>
        <v/>
      </c>
      <c r="V328" s="232" t="str">
        <f>IF(V$3="","",IF(COUNTIFS(BD!$A$3:$A$5001,V$3,BD!$B$3:$B$5001,$A$311,BD!$S$3:$S$5001,"&lt;&gt;")=0,"",SUMIFS(BD!$S$3:$S$5001,BD!$A$3:$A$5001,V$3,BD!$B$3:$B$5001,$A$311)))</f>
        <v/>
      </c>
      <c r="W328" s="232" t="str">
        <f>IF(W$3="","",IF(COUNTIFS(BD!$A$3:$A$5001,W$3,BD!$B$3:$B$5001,$A$311,BD!$S$3:$S$5001,"&lt;&gt;")=0,"",SUMIFS(BD!$S$3:$S$5001,BD!$A$3:$A$5001,W$3,BD!$B$3:$B$5001,$A$311)))</f>
        <v/>
      </c>
      <c r="X328" s="232" t="str">
        <f>IF(X$3="","",IF(COUNTIFS(BD!$A$3:$A$5001,X$3,BD!$B$3:$B$5001,$A$311,BD!$S$3:$S$5001,"&lt;&gt;")=0,"",SUMIFS(BD!$S$3:$S$5001,BD!$A$3:$A$5001,X$3,BD!$B$3:$B$5001,$A$311)))</f>
        <v/>
      </c>
      <c r="Y328" s="232" t="str">
        <f>IF(Y$3="","",IF(COUNTIFS(BD!$A$3:$A$5001,Y$3,BD!$B$3:$B$5001,$A$311,BD!$S$3:$S$5001,"&lt;&gt;")=0,"",SUMIFS(BD!$S$3:$S$5001,BD!$A$3:$A$5001,Y$3,BD!$B$3:$B$5001,$A$311)))</f>
        <v/>
      </c>
      <c r="Z328" s="232" t="str">
        <f>IF(Z$3="","",IF(COUNTIFS(BD!$A$3:$A$5001,Z$3,BD!$B$3:$B$5001,$A$311,BD!$S$3:$S$5001,"&lt;&gt;")=0,"",SUMIFS(BD!$S$3:$S$5001,BD!$A$3:$A$5001,Z$3,BD!$B$3:$B$5001,$A$311)))</f>
        <v/>
      </c>
      <c r="AA328" s="232" t="str">
        <f>IF(AA$3="","",IF(COUNTIFS(BD!$A$3:$A$5001,AA$3,BD!$B$3:$B$5001,$A$311,BD!$S$3:$S$5001,"&lt;&gt;")=0,"",SUMIFS(BD!$S$3:$S$5001,BD!$A$3:$A$5001,AA$3,BD!$B$3:$B$5001,$A$311)))</f>
        <v/>
      </c>
      <c r="AB328" s="232" t="str">
        <f>IF(AB$3="","",IF(COUNTIFS(BD!$A$3:$A$5001,AB$3,BD!$B$3:$B$5001,$A$311,BD!$S$3:$S$5001,"&lt;&gt;")=0,"",SUMIFS(BD!$S$3:$S$5001,BD!$A$3:$A$5001,AB$3,BD!$B$3:$B$5001,$A$311)))</f>
        <v/>
      </c>
      <c r="AC328" s="232" t="str">
        <f>IF(AC$3="","",IF(COUNTIFS(BD!$A$3:$A$5001,AC$3,BD!$B$3:$B$5001,$A$311,BD!$S$3:$S$5001,"&lt;&gt;")=0,"",SUMIFS(BD!$S$3:$S$5001,BD!$A$3:$A$5001,AC$3,BD!$B$3:$B$5001,$A$311)))</f>
        <v/>
      </c>
      <c r="AD328" s="232" t="str">
        <f>IF(AD$3="","",IF(COUNTIFS(BD!$A$3:$A$5001,AD$3,BD!$B$3:$B$5001,$A$311,BD!$S$3:$S$5001,"&lt;&gt;")=0,"",SUMIFS(BD!$S$3:$S$5001,BD!$A$3:$A$5001,AD$3,BD!$B$3:$B$5001,$A$311)))</f>
        <v/>
      </c>
      <c r="AE328" s="232" t="str">
        <f>IF(AE$3="","",IF(COUNTIFS(BD!$A$3:$A$5001,AE$3,BD!$B$3:$B$5001,$A$311,BD!$S$3:$S$5001,"&lt;&gt;")=0,"",SUMIFS(BD!$S$3:$S$5001,BD!$A$3:$A$5001,AE$3,BD!$B$3:$B$5001,$A$311)))</f>
        <v/>
      </c>
      <c r="AF328" s="232" t="str">
        <f>IF(AF$3="","",IF(COUNTIFS(BD!$A$3:$A$5001,AF$3,BD!$B$3:$B$5001,$A$311,BD!$S$3:$S$5001,"&lt;&gt;")=0,"",SUMIFS(BD!$S$3:$S$5001,BD!$A$3:$A$5001,AF$3,BD!$B$3:$B$5001,$A$311)))</f>
        <v/>
      </c>
      <c r="AG328" s="232" t="str">
        <f>IF(AG$3="","",IF(COUNTIFS(BD!$A$3:$A$5001,AG$3,BD!$B$3:$B$5001,$A$311,BD!$S$3:$S$5001,"&lt;&gt;")=0,"",SUMIFS(BD!$S$3:$S$5001,BD!$A$3:$A$5001,AG$3,BD!$B$3:$B$5001,$A$311)))</f>
        <v/>
      </c>
      <c r="AH328" s="232" t="str">
        <f>IF(AH$3="","",IF(COUNTIFS(BD!$A$3:$A$5001,AH$3,BD!$B$3:$B$5001,$A$311,BD!$S$3:$S$5001,"&lt;&gt;")=0,"",SUMIFS(BD!$S$3:$S$5001,BD!$A$3:$A$5001,AH$3,BD!$B$3:$B$5001,$A$311)))</f>
        <v/>
      </c>
      <c r="AI328" s="232" t="str">
        <f>IF(AI$3="","",IF(COUNTIFS(BD!$A$3:$A$5001,AI$3,BD!$B$3:$B$5001,$A$311,BD!$S$3:$S$5001,"&lt;&gt;")=0,"",SUMIFS(BD!$S$3:$S$5001,BD!$A$3:$A$5001,AI$3,BD!$B$3:$B$5001,$A$311)))</f>
        <v/>
      </c>
      <c r="AJ328" s="233" t="str">
        <f>IF(AJ$3="","",IF(COUNTIFS(BD!$A$3:$A$5001,AJ$3,BD!$B$3:$B$5001,$A$311,BD!$S$3:$S$5001,"&lt;&gt;")=0,"",SUMIFS(BD!$S$3:$S$5001,BD!$A$3:$A$5001,AJ$3,BD!$B$3:$B$5001,$A$311)))</f>
        <v/>
      </c>
      <c r="AK328" s="234" t="str">
        <f>IF(COUNT(F328:AJ328)=0,"",SUM(F328:AJ328))</f>
        <v/>
      </c>
    </row>
    <row r="329" ht="15.75" customHeight="1" hidden="1">
      <c r="A329" s="254"/>
      <c r="B329" s="251"/>
      <c r="C329" s="228" t="inlineStr">
        <is>
          <t xml:space="preserve">Acidentes CAF</t>
        </is>
      </c>
      <c r="D329" s="229" t="str">
        <f>IFERROR(1/(1/INDEX(BD!$Y$41:$AS$41,MATCH($A$311,BD!$Y$22:$AS$22,0))),"")</f>
        <v/>
      </c>
      <c r="E329" s="230"/>
      <c r="F329" s="231" t="str">
        <f>IF(F$3="","",IF(COUNTIFS(BD!$A$3:$A$5001,F$3,BD!$B$3:$B$5001,$A$311,BD!$T$3:$T$5001,"&lt;&gt;")=0,"",SUMIFS(BD!$T$3:$T$5001,BD!$A$3:$A$5001,F$3,BD!$B$3:$B$5001,$A$311)))</f>
        <v/>
      </c>
      <c r="G329" s="232" t="str">
        <f>IF(G$3="","",IF(COUNTIFS(BD!$A$3:$A$5001,G$3,BD!$B$3:$B$5001,$A$311,BD!$T$3:$T$5001,"&lt;&gt;")=0,"",SUMIFS(BD!$T$3:$T$5001,BD!$A$3:$A$5001,G$3,BD!$B$3:$B$5001,$A$311)))</f>
        <v/>
      </c>
      <c r="H329" s="232" t="str">
        <f>IF(H$3="","",IF(COUNTIFS(BD!$A$3:$A$5001,H$3,BD!$B$3:$B$5001,$A$311,BD!$T$3:$T$5001,"&lt;&gt;")=0,"",SUMIFS(BD!$T$3:$T$5001,BD!$A$3:$A$5001,H$3,BD!$B$3:$B$5001,$A$311)))</f>
        <v/>
      </c>
      <c r="I329" s="232" t="str">
        <f>IF(I$3="","",IF(COUNTIFS(BD!$A$3:$A$5001,I$3,BD!$B$3:$B$5001,$A$311,BD!$T$3:$T$5001,"&lt;&gt;")=0,"",SUMIFS(BD!$T$3:$T$5001,BD!$A$3:$A$5001,I$3,BD!$B$3:$B$5001,$A$311)))</f>
        <v/>
      </c>
      <c r="J329" s="232" t="str">
        <f>IF(J$3="","",IF(COUNTIFS(BD!$A$3:$A$5001,J$3,BD!$B$3:$B$5001,$A$311,BD!$T$3:$T$5001,"&lt;&gt;")=0,"",SUMIFS(BD!$T$3:$T$5001,BD!$A$3:$A$5001,J$3,BD!$B$3:$B$5001,$A$311)))</f>
        <v/>
      </c>
      <c r="K329" s="232" t="str">
        <f>IF(K$3="","",IF(COUNTIFS(BD!$A$3:$A$5001,K$3,BD!$B$3:$B$5001,$A$311,BD!$T$3:$T$5001,"&lt;&gt;")=0,"",SUMIFS(BD!$T$3:$T$5001,BD!$A$3:$A$5001,K$3,BD!$B$3:$B$5001,$A$311)))</f>
        <v/>
      </c>
      <c r="L329" s="232" t="str">
        <f>IF(L$3="","",IF(COUNTIFS(BD!$A$3:$A$5001,L$3,BD!$B$3:$B$5001,$A$311,BD!$T$3:$T$5001,"&lt;&gt;")=0,"",SUMIFS(BD!$T$3:$T$5001,BD!$A$3:$A$5001,L$3,BD!$B$3:$B$5001,$A$311)))</f>
        <v/>
      </c>
      <c r="M329" s="232" t="str">
        <f>IF(M$3="","",IF(COUNTIFS(BD!$A$3:$A$5001,M$3,BD!$B$3:$B$5001,$A$311,BD!$T$3:$T$5001,"&lt;&gt;")=0,"",SUMIFS(BD!$T$3:$T$5001,BD!$A$3:$A$5001,M$3,BD!$B$3:$B$5001,$A$311)))</f>
        <v/>
      </c>
      <c r="N329" s="232" t="str">
        <f>IF(N$3="","",IF(COUNTIFS(BD!$A$3:$A$5001,N$3,BD!$B$3:$B$5001,$A$311,BD!$T$3:$T$5001,"&lt;&gt;")=0,"",SUMIFS(BD!$T$3:$T$5001,BD!$A$3:$A$5001,N$3,BD!$B$3:$B$5001,$A$311)))</f>
        <v/>
      </c>
      <c r="O329" s="232" t="str">
        <f>IF(O$3="","",IF(COUNTIFS(BD!$A$3:$A$5001,O$3,BD!$B$3:$B$5001,$A$311,BD!$T$3:$T$5001,"&lt;&gt;")=0,"",SUMIFS(BD!$T$3:$T$5001,BD!$A$3:$A$5001,O$3,BD!$B$3:$B$5001,$A$311)))</f>
        <v/>
      </c>
      <c r="P329" s="232" t="str">
        <f>IF(P$3="","",IF(COUNTIFS(BD!$A$3:$A$5001,P$3,BD!$B$3:$B$5001,$A$311,BD!$T$3:$T$5001,"&lt;&gt;")=0,"",SUMIFS(BD!$T$3:$T$5001,BD!$A$3:$A$5001,P$3,BD!$B$3:$B$5001,$A$311)))</f>
        <v/>
      </c>
      <c r="Q329" s="232" t="str">
        <f>IF(Q$3="","",IF(COUNTIFS(BD!$A$3:$A$5001,Q$3,BD!$B$3:$B$5001,$A$311,BD!$T$3:$T$5001,"&lt;&gt;")=0,"",SUMIFS(BD!$T$3:$T$5001,BD!$A$3:$A$5001,Q$3,BD!$B$3:$B$5001,$A$311)))</f>
        <v/>
      </c>
      <c r="R329" s="232" t="str">
        <f>IF(R$3="","",IF(COUNTIFS(BD!$A$3:$A$5001,R$3,BD!$B$3:$B$5001,$A$311,BD!$T$3:$T$5001,"&lt;&gt;")=0,"",SUMIFS(BD!$T$3:$T$5001,BD!$A$3:$A$5001,R$3,BD!$B$3:$B$5001,$A$311)))</f>
        <v/>
      </c>
      <c r="S329" s="232" t="str">
        <f>IF(S$3="","",IF(COUNTIFS(BD!$A$3:$A$5001,S$3,BD!$B$3:$B$5001,$A$311,BD!$T$3:$T$5001,"&lt;&gt;")=0,"",SUMIFS(BD!$T$3:$T$5001,BD!$A$3:$A$5001,S$3,BD!$B$3:$B$5001,$A$311)))</f>
        <v/>
      </c>
      <c r="T329" s="232" t="str">
        <f>IF(T$3="","",IF(COUNTIFS(BD!$A$3:$A$5001,T$3,BD!$B$3:$B$5001,$A$311,BD!$T$3:$T$5001,"&lt;&gt;")=0,"",SUMIFS(BD!$T$3:$T$5001,BD!$A$3:$A$5001,T$3,BD!$B$3:$B$5001,$A$311)))</f>
        <v/>
      </c>
      <c r="U329" s="232" t="str">
        <f>IF(U$3="","",IF(COUNTIFS(BD!$A$3:$A$5001,U$3,BD!$B$3:$B$5001,$A$311,BD!$T$3:$T$5001,"&lt;&gt;")=0,"",SUMIFS(BD!$T$3:$T$5001,BD!$A$3:$A$5001,U$3,BD!$B$3:$B$5001,$A$311)))</f>
        <v/>
      </c>
      <c r="V329" s="232" t="str">
        <f>IF(V$3="","",IF(COUNTIFS(BD!$A$3:$A$5001,V$3,BD!$B$3:$B$5001,$A$311,BD!$T$3:$T$5001,"&lt;&gt;")=0,"",SUMIFS(BD!$T$3:$T$5001,BD!$A$3:$A$5001,V$3,BD!$B$3:$B$5001,$A$311)))</f>
        <v/>
      </c>
      <c r="W329" s="232" t="str">
        <f>IF(W$3="","",IF(COUNTIFS(BD!$A$3:$A$5001,W$3,BD!$B$3:$B$5001,$A$311,BD!$T$3:$T$5001,"&lt;&gt;")=0,"",SUMIFS(BD!$T$3:$T$5001,BD!$A$3:$A$5001,W$3,BD!$B$3:$B$5001,$A$311)))</f>
        <v/>
      </c>
      <c r="X329" s="232" t="str">
        <f>IF(X$3="","",IF(COUNTIFS(BD!$A$3:$A$5001,X$3,BD!$B$3:$B$5001,$A$311,BD!$T$3:$T$5001,"&lt;&gt;")=0,"",SUMIFS(BD!$T$3:$T$5001,BD!$A$3:$A$5001,X$3,BD!$B$3:$B$5001,$A$311)))</f>
        <v/>
      </c>
      <c r="Y329" s="232" t="str">
        <f>IF(Y$3="","",IF(COUNTIFS(BD!$A$3:$A$5001,Y$3,BD!$B$3:$B$5001,$A$311,BD!$T$3:$T$5001,"&lt;&gt;")=0,"",SUMIFS(BD!$T$3:$T$5001,BD!$A$3:$A$5001,Y$3,BD!$B$3:$B$5001,$A$311)))</f>
        <v/>
      </c>
      <c r="Z329" s="232" t="str">
        <f>IF(Z$3="","",IF(COUNTIFS(BD!$A$3:$A$5001,Z$3,BD!$B$3:$B$5001,$A$311,BD!$T$3:$T$5001,"&lt;&gt;")=0,"",SUMIFS(BD!$T$3:$T$5001,BD!$A$3:$A$5001,Z$3,BD!$B$3:$B$5001,$A$311)))</f>
        <v/>
      </c>
      <c r="AA329" s="232" t="str">
        <f>IF(AA$3="","",IF(COUNTIFS(BD!$A$3:$A$5001,AA$3,BD!$B$3:$B$5001,$A$311,BD!$T$3:$T$5001,"&lt;&gt;")=0,"",SUMIFS(BD!$T$3:$T$5001,BD!$A$3:$A$5001,AA$3,BD!$B$3:$B$5001,$A$311)))</f>
        <v/>
      </c>
      <c r="AB329" s="232" t="str">
        <f>IF(AB$3="","",IF(COUNTIFS(BD!$A$3:$A$5001,AB$3,BD!$B$3:$B$5001,$A$311,BD!$T$3:$T$5001,"&lt;&gt;")=0,"",SUMIFS(BD!$T$3:$T$5001,BD!$A$3:$A$5001,AB$3,BD!$B$3:$B$5001,$A$311)))</f>
        <v/>
      </c>
      <c r="AC329" s="232" t="str">
        <f>IF(AC$3="","",IF(COUNTIFS(BD!$A$3:$A$5001,AC$3,BD!$B$3:$B$5001,$A$311,BD!$T$3:$T$5001,"&lt;&gt;")=0,"",SUMIFS(BD!$T$3:$T$5001,BD!$A$3:$A$5001,AC$3,BD!$B$3:$B$5001,$A$311)))</f>
        <v/>
      </c>
      <c r="AD329" s="232" t="str">
        <f>IF(AD$3="","",IF(COUNTIFS(BD!$A$3:$A$5001,AD$3,BD!$B$3:$B$5001,$A$311,BD!$T$3:$T$5001,"&lt;&gt;")=0,"",SUMIFS(BD!$T$3:$T$5001,BD!$A$3:$A$5001,AD$3,BD!$B$3:$B$5001,$A$311)))</f>
        <v/>
      </c>
      <c r="AE329" s="232" t="str">
        <f>IF(AE$3="","",IF(COUNTIFS(BD!$A$3:$A$5001,AE$3,BD!$B$3:$B$5001,$A$311,BD!$T$3:$T$5001,"&lt;&gt;")=0,"",SUMIFS(BD!$T$3:$T$5001,BD!$A$3:$A$5001,AE$3,BD!$B$3:$B$5001,$A$311)))</f>
        <v/>
      </c>
      <c r="AF329" s="232" t="str">
        <f>IF(AF$3="","",IF(COUNTIFS(BD!$A$3:$A$5001,AF$3,BD!$B$3:$B$5001,$A$311,BD!$T$3:$T$5001,"&lt;&gt;")=0,"",SUMIFS(BD!$T$3:$T$5001,BD!$A$3:$A$5001,AF$3,BD!$B$3:$B$5001,$A$311)))</f>
        <v/>
      </c>
      <c r="AG329" s="232" t="str">
        <f>IF(AG$3="","",IF(COUNTIFS(BD!$A$3:$A$5001,AG$3,BD!$B$3:$B$5001,$A$311,BD!$T$3:$T$5001,"&lt;&gt;")=0,"",SUMIFS(BD!$T$3:$T$5001,BD!$A$3:$A$5001,AG$3,BD!$B$3:$B$5001,$A$311)))</f>
        <v/>
      </c>
      <c r="AH329" s="232" t="str">
        <f>IF(AH$3="","",IF(COUNTIFS(BD!$A$3:$A$5001,AH$3,BD!$B$3:$B$5001,$A$311,BD!$T$3:$T$5001,"&lt;&gt;")=0,"",SUMIFS(BD!$T$3:$T$5001,BD!$A$3:$A$5001,AH$3,BD!$B$3:$B$5001,$A$311)))</f>
        <v/>
      </c>
      <c r="AI329" s="232" t="str">
        <f>IF(AI$3="","",IF(COUNTIFS(BD!$A$3:$A$5001,AI$3,BD!$B$3:$B$5001,$A$311,BD!$T$3:$T$5001,"&lt;&gt;")=0,"",SUMIFS(BD!$T$3:$T$5001,BD!$A$3:$A$5001,AI$3,BD!$B$3:$B$5001,$A$311)))</f>
        <v/>
      </c>
      <c r="AJ329" s="233" t="str">
        <f>IF(AJ$3="","",IF(COUNTIFS(BD!$A$3:$A$5001,AJ$3,BD!$B$3:$B$5001,$A$311,BD!$T$3:$T$5001,"&lt;&gt;")=0,"",SUMIFS(BD!$T$3:$T$5001,BD!$A$3:$A$5001,AJ$3,BD!$B$3:$B$5001,$A$311)))</f>
        <v/>
      </c>
      <c r="AK329" s="234" t="str">
        <f>IF(COUNT(F329:AJ329)=0,"",SUM(F329:AJ329))</f>
        <v/>
      </c>
    </row>
    <row r="330" ht="15.75" customHeight="1" hidden="1">
      <c r="A330" s="255"/>
      <c r="B330" s="252"/>
      <c r="C330" s="235" t="inlineStr">
        <is>
          <t xml:space="preserve">Acidentes SAF</t>
        </is>
      </c>
      <c r="D330" s="236" t="str">
        <f>IFERROR(1/(1/INDEX(BD!$Y$42:$AS$42,MATCH($A$311,BD!$Y$22:$AS$22,0))),"")</f>
        <v/>
      </c>
      <c r="E330" s="237"/>
      <c r="F330" s="238" t="str">
        <f>IF(F$3="","",IF(COUNTIFS(BD!$A$3:$A$5001,F$3,BD!$B$3:$B$5001,$A$311,BD!$U$3:$U$5001,"&lt;&gt;")=0,"",SUMIFS(BD!$U$3:$U$5001,BD!$A$3:$A$5001,F$3,BD!$B$3:$B$5001,$A$311)))</f>
        <v/>
      </c>
      <c r="G330" s="239" t="str">
        <f>IF(G$3="","",IF(COUNTIFS(BD!$A$3:$A$5001,G$3,BD!$B$3:$B$5001,$A$311,BD!$U$3:$U$5001,"&lt;&gt;")=0,"",SUMIFS(BD!$U$3:$U$5001,BD!$A$3:$A$5001,G$3,BD!$B$3:$B$5001,$A$311)))</f>
        <v/>
      </c>
      <c r="H330" s="239" t="str">
        <f>IF(H$3="","",IF(COUNTIFS(BD!$A$3:$A$5001,H$3,BD!$B$3:$B$5001,$A$311,BD!$U$3:$U$5001,"&lt;&gt;")=0,"",SUMIFS(BD!$U$3:$U$5001,BD!$A$3:$A$5001,H$3,BD!$B$3:$B$5001,$A$311)))</f>
        <v/>
      </c>
      <c r="I330" s="239" t="str">
        <f>IF(I$3="","",IF(COUNTIFS(BD!$A$3:$A$5001,I$3,BD!$B$3:$B$5001,$A$311,BD!$U$3:$U$5001,"&lt;&gt;")=0,"",SUMIFS(BD!$U$3:$U$5001,BD!$A$3:$A$5001,I$3,BD!$B$3:$B$5001,$A$311)))</f>
        <v/>
      </c>
      <c r="J330" s="239" t="str">
        <f>IF(J$3="","",IF(COUNTIFS(BD!$A$3:$A$5001,J$3,BD!$B$3:$B$5001,$A$311,BD!$U$3:$U$5001,"&lt;&gt;")=0,"",SUMIFS(BD!$U$3:$U$5001,BD!$A$3:$A$5001,J$3,BD!$B$3:$B$5001,$A$311)))</f>
        <v/>
      </c>
      <c r="K330" s="239" t="str">
        <f>IF(K$3="","",IF(COUNTIFS(BD!$A$3:$A$5001,K$3,BD!$B$3:$B$5001,$A$311,BD!$U$3:$U$5001,"&lt;&gt;")=0,"",SUMIFS(BD!$U$3:$U$5001,BD!$A$3:$A$5001,K$3,BD!$B$3:$B$5001,$A$311)))</f>
        <v/>
      </c>
      <c r="L330" s="239" t="str">
        <f>IF(L$3="","",IF(COUNTIFS(BD!$A$3:$A$5001,L$3,BD!$B$3:$B$5001,$A$311,BD!$U$3:$U$5001,"&lt;&gt;")=0,"",SUMIFS(BD!$U$3:$U$5001,BD!$A$3:$A$5001,L$3,BD!$B$3:$B$5001,$A$311)))</f>
        <v/>
      </c>
      <c r="M330" s="239" t="str">
        <f>IF(M$3="","",IF(COUNTIFS(BD!$A$3:$A$5001,M$3,BD!$B$3:$B$5001,$A$311,BD!$U$3:$U$5001,"&lt;&gt;")=0,"",SUMIFS(BD!$U$3:$U$5001,BD!$A$3:$A$5001,M$3,BD!$B$3:$B$5001,$A$311)))</f>
        <v/>
      </c>
      <c r="N330" s="239" t="str">
        <f>IF(N$3="","",IF(COUNTIFS(BD!$A$3:$A$5001,N$3,BD!$B$3:$B$5001,$A$311,BD!$U$3:$U$5001,"&lt;&gt;")=0,"",SUMIFS(BD!$U$3:$U$5001,BD!$A$3:$A$5001,N$3,BD!$B$3:$B$5001,$A$311)))</f>
        <v/>
      </c>
      <c r="O330" s="239" t="str">
        <f>IF(O$3="","",IF(COUNTIFS(BD!$A$3:$A$5001,O$3,BD!$B$3:$B$5001,$A$311,BD!$U$3:$U$5001,"&lt;&gt;")=0,"",SUMIFS(BD!$U$3:$U$5001,BD!$A$3:$A$5001,O$3,BD!$B$3:$B$5001,$A$311)))</f>
        <v/>
      </c>
      <c r="P330" s="239" t="str">
        <f>IF(P$3="","",IF(COUNTIFS(BD!$A$3:$A$5001,P$3,BD!$B$3:$B$5001,$A$311,BD!$U$3:$U$5001,"&lt;&gt;")=0,"",SUMIFS(BD!$U$3:$U$5001,BD!$A$3:$A$5001,P$3,BD!$B$3:$B$5001,$A$311)))</f>
        <v/>
      </c>
      <c r="Q330" s="239" t="str">
        <f>IF(Q$3="","",IF(COUNTIFS(BD!$A$3:$A$5001,Q$3,BD!$B$3:$B$5001,$A$311,BD!$U$3:$U$5001,"&lt;&gt;")=0,"",SUMIFS(BD!$U$3:$U$5001,BD!$A$3:$A$5001,Q$3,BD!$B$3:$B$5001,$A$311)))</f>
        <v/>
      </c>
      <c r="R330" s="239" t="str">
        <f>IF(R$3="","",IF(COUNTIFS(BD!$A$3:$A$5001,R$3,BD!$B$3:$B$5001,$A$311,BD!$U$3:$U$5001,"&lt;&gt;")=0,"",SUMIFS(BD!$U$3:$U$5001,BD!$A$3:$A$5001,R$3,BD!$B$3:$B$5001,$A$311)))</f>
        <v/>
      </c>
      <c r="S330" s="239" t="str">
        <f>IF(S$3="","",IF(COUNTIFS(BD!$A$3:$A$5001,S$3,BD!$B$3:$B$5001,$A$311,BD!$U$3:$U$5001,"&lt;&gt;")=0,"",SUMIFS(BD!$U$3:$U$5001,BD!$A$3:$A$5001,S$3,BD!$B$3:$B$5001,$A$311)))</f>
        <v/>
      </c>
      <c r="T330" s="239" t="str">
        <f>IF(T$3="","",IF(COUNTIFS(BD!$A$3:$A$5001,T$3,BD!$B$3:$B$5001,$A$311,BD!$U$3:$U$5001,"&lt;&gt;")=0,"",SUMIFS(BD!$U$3:$U$5001,BD!$A$3:$A$5001,T$3,BD!$B$3:$B$5001,$A$311)))</f>
        <v/>
      </c>
      <c r="U330" s="239" t="str">
        <f>IF(U$3="","",IF(COUNTIFS(BD!$A$3:$A$5001,U$3,BD!$B$3:$B$5001,$A$311,BD!$U$3:$U$5001,"&lt;&gt;")=0,"",SUMIFS(BD!$U$3:$U$5001,BD!$A$3:$A$5001,U$3,BD!$B$3:$B$5001,$A$311)))</f>
        <v/>
      </c>
      <c r="V330" s="239" t="str">
        <f>IF(V$3="","",IF(COUNTIFS(BD!$A$3:$A$5001,V$3,BD!$B$3:$B$5001,$A$311,BD!$U$3:$U$5001,"&lt;&gt;")=0,"",SUMIFS(BD!$U$3:$U$5001,BD!$A$3:$A$5001,V$3,BD!$B$3:$B$5001,$A$311)))</f>
        <v/>
      </c>
      <c r="W330" s="239" t="str">
        <f>IF(W$3="","",IF(COUNTIFS(BD!$A$3:$A$5001,W$3,BD!$B$3:$B$5001,$A$311,BD!$U$3:$U$5001,"&lt;&gt;")=0,"",SUMIFS(BD!$U$3:$U$5001,BD!$A$3:$A$5001,W$3,BD!$B$3:$B$5001,$A$311)))</f>
        <v/>
      </c>
      <c r="X330" s="239" t="str">
        <f>IF(X$3="","",IF(COUNTIFS(BD!$A$3:$A$5001,X$3,BD!$B$3:$B$5001,$A$311,BD!$U$3:$U$5001,"&lt;&gt;")=0,"",SUMIFS(BD!$U$3:$U$5001,BD!$A$3:$A$5001,X$3,BD!$B$3:$B$5001,$A$311)))</f>
        <v/>
      </c>
      <c r="Y330" s="239" t="str">
        <f>IF(Y$3="","",IF(COUNTIFS(BD!$A$3:$A$5001,Y$3,BD!$B$3:$B$5001,$A$311,BD!$U$3:$U$5001,"&lt;&gt;")=0,"",SUMIFS(BD!$U$3:$U$5001,BD!$A$3:$A$5001,Y$3,BD!$B$3:$B$5001,$A$311)))</f>
        <v/>
      </c>
      <c r="Z330" s="239" t="str">
        <f>IF(Z$3="","",IF(COUNTIFS(BD!$A$3:$A$5001,Z$3,BD!$B$3:$B$5001,$A$311,BD!$U$3:$U$5001,"&lt;&gt;")=0,"",SUMIFS(BD!$U$3:$U$5001,BD!$A$3:$A$5001,Z$3,BD!$B$3:$B$5001,$A$311)))</f>
        <v/>
      </c>
      <c r="AA330" s="239" t="str">
        <f>IF(AA$3="","",IF(COUNTIFS(BD!$A$3:$A$5001,AA$3,BD!$B$3:$B$5001,$A$311,BD!$U$3:$U$5001,"&lt;&gt;")=0,"",SUMIFS(BD!$U$3:$U$5001,BD!$A$3:$A$5001,AA$3,BD!$B$3:$B$5001,$A$311)))</f>
        <v/>
      </c>
      <c r="AB330" s="239" t="str">
        <f>IF(AB$3="","",IF(COUNTIFS(BD!$A$3:$A$5001,AB$3,BD!$B$3:$B$5001,$A$311,BD!$U$3:$U$5001,"&lt;&gt;")=0,"",SUMIFS(BD!$U$3:$U$5001,BD!$A$3:$A$5001,AB$3,BD!$B$3:$B$5001,$A$311)))</f>
        <v/>
      </c>
      <c r="AC330" s="239" t="str">
        <f>IF(AC$3="","",IF(COUNTIFS(BD!$A$3:$A$5001,AC$3,BD!$B$3:$B$5001,$A$311,BD!$U$3:$U$5001,"&lt;&gt;")=0,"",SUMIFS(BD!$U$3:$U$5001,BD!$A$3:$A$5001,AC$3,BD!$B$3:$B$5001,$A$311)))</f>
        <v/>
      </c>
      <c r="AD330" s="239" t="str">
        <f>IF(AD$3="","",IF(COUNTIFS(BD!$A$3:$A$5001,AD$3,BD!$B$3:$B$5001,$A$311,BD!$U$3:$U$5001,"&lt;&gt;")=0,"",SUMIFS(BD!$U$3:$U$5001,BD!$A$3:$A$5001,AD$3,BD!$B$3:$B$5001,$A$311)))</f>
        <v/>
      </c>
      <c r="AE330" s="239" t="str">
        <f>IF(AE$3="","",IF(COUNTIFS(BD!$A$3:$A$5001,AE$3,BD!$B$3:$B$5001,$A$311,BD!$U$3:$U$5001,"&lt;&gt;")=0,"",SUMIFS(BD!$U$3:$U$5001,BD!$A$3:$A$5001,AE$3,BD!$B$3:$B$5001,$A$311)))</f>
        <v/>
      </c>
      <c r="AF330" s="239" t="str">
        <f>IF(AF$3="","",IF(COUNTIFS(BD!$A$3:$A$5001,AF$3,BD!$B$3:$B$5001,$A$311,BD!$U$3:$U$5001,"&lt;&gt;")=0,"",SUMIFS(BD!$U$3:$U$5001,BD!$A$3:$A$5001,AF$3,BD!$B$3:$B$5001,$A$311)))</f>
        <v/>
      </c>
      <c r="AG330" s="239" t="str">
        <f>IF(AG$3="","",IF(COUNTIFS(BD!$A$3:$A$5001,AG$3,BD!$B$3:$B$5001,$A$311,BD!$U$3:$U$5001,"&lt;&gt;")=0,"",SUMIFS(BD!$U$3:$U$5001,BD!$A$3:$A$5001,AG$3,BD!$B$3:$B$5001,$A$311)))</f>
        <v/>
      </c>
      <c r="AH330" s="239" t="str">
        <f>IF(AH$3="","",IF(COUNTIFS(BD!$A$3:$A$5001,AH$3,BD!$B$3:$B$5001,$A$311,BD!$U$3:$U$5001,"&lt;&gt;")=0,"",SUMIFS(BD!$U$3:$U$5001,BD!$A$3:$A$5001,AH$3,BD!$B$3:$B$5001,$A$311)))</f>
        <v/>
      </c>
      <c r="AI330" s="239" t="str">
        <f>IF(AI$3="","",IF(COUNTIFS(BD!$A$3:$A$5001,AI$3,BD!$B$3:$B$5001,$A$311,BD!$U$3:$U$5001,"&lt;&gt;")=0,"",SUMIFS(BD!$U$3:$U$5001,BD!$A$3:$A$5001,AI$3,BD!$B$3:$B$5001,$A$311)))</f>
        <v/>
      </c>
      <c r="AJ330" s="240" t="str">
        <f>IF(AJ$3="","",IF(COUNTIFS(BD!$A$3:$A$5001,AJ$3,BD!$B$3:$B$5001,$A$311,BD!$U$3:$U$5001,"&lt;&gt;")=0,"",SUMIFS(BD!$U$3:$U$5001,BD!$A$3:$A$5001,AJ$3,BD!$B$3:$B$5001,$A$311)))</f>
        <v/>
      </c>
      <c r="AK330" s="236" t="str">
        <f>IF(COUNT(F330:AJ330)=0,"",SUM(F330:AJ330))</f>
        <v/>
      </c>
    </row>
    <row r="332" ht="15.75" customHeight="1" hidden="1">
      <c r="A332" s="253"/>
      <c r="B332" s="241" t="inlineStr">
        <is>
          <t xml:space="preserve">IN</t>
        </is>
      </c>
      <c r="C332" s="155" t="inlineStr">
        <is>
          <t xml:space="preserve">Veículos Recebidos</t>
        </is>
      </c>
      <c r="D332" s="156" t="str">
        <f>IFERROR(1/(1/INDEX(BD!$Y$23:$AS$23,MATCH($A$332,BD!$Y$22:$AS$22,0))),"")</f>
        <v/>
      </c>
      <c r="E332" s="157"/>
      <c r="F332" s="158" t="str">
        <f>IF(F$3="","",IF(COUNTIFS(BD!$A$3:$A$5001,F$3,BD!$B$3:$B$5001,$A$332,BD!$C$3:$C$5001,"&lt;&gt;")=0,"",SUMIFS(BD!$C$3:$C$5001,BD!$A$3:$A$5001,F$3,BD!$B$3:$B$5001,$A$332)))</f>
        <v/>
      </c>
      <c r="G332" s="159" t="str">
        <f>IF(G$3="","",IF(COUNTIFS(BD!$A$3:$A$5001,G$3,BD!$B$3:$B$5001,$A$332,BD!$C$3:$C$5001,"&lt;&gt;")=0,"",SUMIFS(BD!$C$3:$C$5001,BD!$A$3:$A$5001,G$3,BD!$B$3:$B$5001,$A$332)))</f>
        <v/>
      </c>
      <c r="H332" s="159" t="str">
        <f>IF(H$3="","",IF(COUNTIFS(BD!$A$3:$A$5001,H$3,BD!$B$3:$B$5001,$A$332,BD!$C$3:$C$5001,"&lt;&gt;")=0,"",SUMIFS(BD!$C$3:$C$5001,BD!$A$3:$A$5001,H$3,BD!$B$3:$B$5001,$A$332)))</f>
        <v/>
      </c>
      <c r="I332" s="159" t="str">
        <f>IF(I$3="","",IF(COUNTIFS(BD!$A$3:$A$5001,I$3,BD!$B$3:$B$5001,$A$332,BD!$C$3:$C$5001,"&lt;&gt;")=0,"",SUMIFS(BD!$C$3:$C$5001,BD!$A$3:$A$5001,I$3,BD!$B$3:$B$5001,$A$332)))</f>
        <v/>
      </c>
      <c r="J332" s="159" t="str">
        <f>IF(J$3="","",IF(COUNTIFS(BD!$A$3:$A$5001,J$3,BD!$B$3:$B$5001,$A$332,BD!$C$3:$C$5001,"&lt;&gt;")=0,"",SUMIFS(BD!$C$3:$C$5001,BD!$A$3:$A$5001,J$3,BD!$B$3:$B$5001,$A$332)))</f>
        <v/>
      </c>
      <c r="K332" s="159" t="str">
        <f>IF(K$3="","",IF(COUNTIFS(BD!$A$3:$A$5001,K$3,BD!$B$3:$B$5001,$A$332,BD!$C$3:$C$5001,"&lt;&gt;")=0,"",SUMIFS(BD!$C$3:$C$5001,BD!$A$3:$A$5001,K$3,BD!$B$3:$B$5001,$A$332)))</f>
        <v/>
      </c>
      <c r="L332" s="159" t="str">
        <f>IF(L$3="","",IF(COUNTIFS(BD!$A$3:$A$5001,L$3,BD!$B$3:$B$5001,$A$332,BD!$C$3:$C$5001,"&lt;&gt;")=0,"",SUMIFS(BD!$C$3:$C$5001,BD!$A$3:$A$5001,L$3,BD!$B$3:$B$5001,$A$332)))</f>
        <v/>
      </c>
      <c r="M332" s="159" t="str">
        <f>IF(M$3="","",IF(COUNTIFS(BD!$A$3:$A$5001,M$3,BD!$B$3:$B$5001,$A$332,BD!$C$3:$C$5001,"&lt;&gt;")=0,"",SUMIFS(BD!$C$3:$C$5001,BD!$A$3:$A$5001,M$3,BD!$B$3:$B$5001,$A$332)))</f>
        <v/>
      </c>
      <c r="N332" s="159" t="str">
        <f>IF(N$3="","",IF(COUNTIFS(BD!$A$3:$A$5001,N$3,BD!$B$3:$B$5001,$A$332,BD!$C$3:$C$5001,"&lt;&gt;")=0,"",SUMIFS(BD!$C$3:$C$5001,BD!$A$3:$A$5001,N$3,BD!$B$3:$B$5001,$A$332)))</f>
        <v/>
      </c>
      <c r="O332" s="159" t="str">
        <f>IF(O$3="","",IF(COUNTIFS(BD!$A$3:$A$5001,O$3,BD!$B$3:$B$5001,$A$332,BD!$C$3:$C$5001,"&lt;&gt;")=0,"",SUMIFS(BD!$C$3:$C$5001,BD!$A$3:$A$5001,O$3,BD!$B$3:$B$5001,$A$332)))</f>
        <v/>
      </c>
      <c r="P332" s="159" t="str">
        <f>IF(P$3="","",IF(COUNTIFS(BD!$A$3:$A$5001,P$3,BD!$B$3:$B$5001,$A$332,BD!$C$3:$C$5001,"&lt;&gt;")=0,"",SUMIFS(BD!$C$3:$C$5001,BD!$A$3:$A$5001,P$3,BD!$B$3:$B$5001,$A$332)))</f>
        <v/>
      </c>
      <c r="Q332" s="159" t="str">
        <f>IF(Q$3="","",IF(COUNTIFS(BD!$A$3:$A$5001,Q$3,BD!$B$3:$B$5001,$A$332,BD!$C$3:$C$5001,"&lt;&gt;")=0,"",SUMIFS(BD!$C$3:$C$5001,BD!$A$3:$A$5001,Q$3,BD!$B$3:$B$5001,$A$332)))</f>
        <v/>
      </c>
      <c r="R332" s="159" t="str">
        <f>IF(R$3="","",IF(COUNTIFS(BD!$A$3:$A$5001,R$3,BD!$B$3:$B$5001,$A$332,BD!$C$3:$C$5001,"&lt;&gt;")=0,"",SUMIFS(BD!$C$3:$C$5001,BD!$A$3:$A$5001,R$3,BD!$B$3:$B$5001,$A$332)))</f>
        <v/>
      </c>
      <c r="S332" s="159" t="str">
        <f>IF(S$3="","",IF(COUNTIFS(BD!$A$3:$A$5001,S$3,BD!$B$3:$B$5001,$A$332,BD!$C$3:$C$5001,"&lt;&gt;")=0,"",SUMIFS(BD!$C$3:$C$5001,BD!$A$3:$A$5001,S$3,BD!$B$3:$B$5001,$A$332)))</f>
        <v/>
      </c>
      <c r="T332" s="159" t="str">
        <f>IF(T$3="","",IF(COUNTIFS(BD!$A$3:$A$5001,T$3,BD!$B$3:$B$5001,$A$332,BD!$C$3:$C$5001,"&lt;&gt;")=0,"",SUMIFS(BD!$C$3:$C$5001,BD!$A$3:$A$5001,T$3,BD!$B$3:$B$5001,$A$332)))</f>
        <v/>
      </c>
      <c r="U332" s="159" t="str">
        <f>IF(U$3="","",IF(COUNTIFS(BD!$A$3:$A$5001,U$3,BD!$B$3:$B$5001,$A$332,BD!$C$3:$C$5001,"&lt;&gt;")=0,"",SUMIFS(BD!$C$3:$C$5001,BD!$A$3:$A$5001,U$3,BD!$B$3:$B$5001,$A$332)))</f>
        <v/>
      </c>
      <c r="V332" s="159" t="str">
        <f>IF(V$3="","",IF(COUNTIFS(BD!$A$3:$A$5001,V$3,BD!$B$3:$B$5001,$A$332,BD!$C$3:$C$5001,"&lt;&gt;")=0,"",SUMIFS(BD!$C$3:$C$5001,BD!$A$3:$A$5001,V$3,BD!$B$3:$B$5001,$A$332)))</f>
        <v/>
      </c>
      <c r="W332" s="159" t="str">
        <f>IF(W$3="","",IF(COUNTIFS(BD!$A$3:$A$5001,W$3,BD!$B$3:$B$5001,$A$332,BD!$C$3:$C$5001,"&lt;&gt;")=0,"",SUMIFS(BD!$C$3:$C$5001,BD!$A$3:$A$5001,W$3,BD!$B$3:$B$5001,$A$332)))</f>
        <v/>
      </c>
      <c r="X332" s="159" t="str">
        <f>IF(X$3="","",IF(COUNTIFS(BD!$A$3:$A$5001,X$3,BD!$B$3:$B$5001,$A$332,BD!$C$3:$C$5001,"&lt;&gt;")=0,"",SUMIFS(BD!$C$3:$C$5001,BD!$A$3:$A$5001,X$3,BD!$B$3:$B$5001,$A$332)))</f>
        <v/>
      </c>
      <c r="Y332" s="159" t="str">
        <f>IF(Y$3="","",IF(COUNTIFS(BD!$A$3:$A$5001,Y$3,BD!$B$3:$B$5001,$A$332,BD!$C$3:$C$5001,"&lt;&gt;")=0,"",SUMIFS(BD!$C$3:$C$5001,BD!$A$3:$A$5001,Y$3,BD!$B$3:$B$5001,$A$332)))</f>
        <v/>
      </c>
      <c r="Z332" s="159" t="str">
        <f>IF(Z$3="","",IF(COUNTIFS(BD!$A$3:$A$5001,Z$3,BD!$B$3:$B$5001,$A$332,BD!$C$3:$C$5001,"&lt;&gt;")=0,"",SUMIFS(BD!$C$3:$C$5001,BD!$A$3:$A$5001,Z$3,BD!$B$3:$B$5001,$A$332)))</f>
        <v/>
      </c>
      <c r="AA332" s="159" t="str">
        <f>IF(AA$3="","",IF(COUNTIFS(BD!$A$3:$A$5001,AA$3,BD!$B$3:$B$5001,$A$332,BD!$C$3:$C$5001,"&lt;&gt;")=0,"",SUMIFS(BD!$C$3:$C$5001,BD!$A$3:$A$5001,AA$3,BD!$B$3:$B$5001,$A$332)))</f>
        <v/>
      </c>
      <c r="AB332" s="159" t="str">
        <f>IF(AB$3="","",IF(COUNTIFS(BD!$A$3:$A$5001,AB$3,BD!$B$3:$B$5001,$A$332,BD!$C$3:$C$5001,"&lt;&gt;")=0,"",SUMIFS(BD!$C$3:$C$5001,BD!$A$3:$A$5001,AB$3,BD!$B$3:$B$5001,$A$332)))</f>
        <v/>
      </c>
      <c r="AC332" s="159" t="str">
        <f>IF(AC$3="","",IF(COUNTIFS(BD!$A$3:$A$5001,AC$3,BD!$B$3:$B$5001,$A$332,BD!$C$3:$C$5001,"&lt;&gt;")=0,"",SUMIFS(BD!$C$3:$C$5001,BD!$A$3:$A$5001,AC$3,BD!$B$3:$B$5001,$A$332)))</f>
        <v/>
      </c>
      <c r="AD332" s="159" t="str">
        <f>IF(AD$3="","",IF(COUNTIFS(BD!$A$3:$A$5001,AD$3,BD!$B$3:$B$5001,$A$332,BD!$C$3:$C$5001,"&lt;&gt;")=0,"",SUMIFS(BD!$C$3:$C$5001,BD!$A$3:$A$5001,AD$3,BD!$B$3:$B$5001,$A$332)))</f>
        <v/>
      </c>
      <c r="AE332" s="159" t="str">
        <f>IF(AE$3="","",IF(COUNTIFS(BD!$A$3:$A$5001,AE$3,BD!$B$3:$B$5001,$A$332,BD!$C$3:$C$5001,"&lt;&gt;")=0,"",SUMIFS(BD!$C$3:$C$5001,BD!$A$3:$A$5001,AE$3,BD!$B$3:$B$5001,$A$332)))</f>
        <v/>
      </c>
      <c r="AF332" s="159" t="str">
        <f>IF(AF$3="","",IF(COUNTIFS(BD!$A$3:$A$5001,AF$3,BD!$B$3:$B$5001,$A$332,BD!$C$3:$C$5001,"&lt;&gt;")=0,"",SUMIFS(BD!$C$3:$C$5001,BD!$A$3:$A$5001,AF$3,BD!$B$3:$B$5001,$A$332)))</f>
        <v/>
      </c>
      <c r="AG332" s="159" t="str">
        <f>IF(AG$3="","",IF(COUNTIFS(BD!$A$3:$A$5001,AG$3,BD!$B$3:$B$5001,$A$332,BD!$C$3:$C$5001,"&lt;&gt;")=0,"",SUMIFS(BD!$C$3:$C$5001,BD!$A$3:$A$5001,AG$3,BD!$B$3:$B$5001,$A$332)))</f>
        <v/>
      </c>
      <c r="AH332" s="159" t="str">
        <f>IF(AH$3="","",IF(COUNTIFS(BD!$A$3:$A$5001,AH$3,BD!$B$3:$B$5001,$A$332,BD!$C$3:$C$5001,"&lt;&gt;")=0,"",SUMIFS(BD!$C$3:$C$5001,BD!$A$3:$A$5001,AH$3,BD!$B$3:$B$5001,$A$332)))</f>
        <v/>
      </c>
      <c r="AI332" s="159" t="str">
        <f>IF(AI$3="","",IF(COUNTIFS(BD!$A$3:$A$5001,AI$3,BD!$B$3:$B$5001,$A$332,BD!$C$3:$C$5001,"&lt;&gt;")=0,"",SUMIFS(BD!$C$3:$C$5001,BD!$A$3:$A$5001,AI$3,BD!$B$3:$B$5001,$A$332)))</f>
        <v/>
      </c>
      <c r="AJ332" s="160" t="str">
        <f>IF(AJ$3="","",IF(COUNTIFS(BD!$A$3:$A$5001,AJ$3,BD!$B$3:$B$5001,$A$332,BD!$C$3:$C$5001,"&lt;&gt;")=0,"",SUMIFS(BD!$C$3:$C$5001,BD!$A$3:$A$5001,AJ$3,BD!$B$3:$B$5001,$A$332)))</f>
        <v/>
      </c>
      <c r="AK332" s="161" t="str">
        <f>IF(COUNT(F332:AJ332)=0,"",SUM(F332:AJ332))</f>
        <v/>
      </c>
    </row>
    <row r="333" ht="15.75" customHeight="1" hidden="1">
      <c r="A333" s="254"/>
      <c r="B333" s="242"/>
      <c r="C333" s="162" t="inlineStr">
        <is>
          <t xml:space="preserve">Pallets Movimentados</t>
        </is>
      </c>
      <c r="D333" s="163" t="str">
        <f>IFERROR(1/(1/INDEX(BD!$Y$24:$AS$24,MATCH($A$332,BD!$Y$22:$AS$22,0))),"")</f>
        <v/>
      </c>
      <c r="E333" s="164"/>
      <c r="F333" s="165" t="str">
        <f>IF(F$3="","",IF(COUNTIFS(BD!$A$3:$A$5001,F$3,BD!$B$3:$B$5001,$A$332,BD!$D$3:$D$5001,"&lt;&gt;")=0,"",SUMIFS(BD!$D$3:$D$5001,BD!$A$3:$A$5001,F$3,BD!$B$3:$B$5001,$A$332)))</f>
        <v/>
      </c>
      <c r="G333" s="166" t="str">
        <f>IF(G$3="","",IF(COUNTIFS(BD!$A$3:$A$5001,G$3,BD!$B$3:$B$5001,$A$332,BD!$D$3:$D$5001,"&lt;&gt;")=0,"",SUMIFS(BD!$D$3:$D$5001,BD!$A$3:$A$5001,G$3,BD!$B$3:$B$5001,$A$332)))</f>
        <v/>
      </c>
      <c r="H333" s="166" t="str">
        <f>IF(H$3="","",IF(COUNTIFS(BD!$A$3:$A$5001,H$3,BD!$B$3:$B$5001,$A$332,BD!$D$3:$D$5001,"&lt;&gt;")=0,"",SUMIFS(BD!$D$3:$D$5001,BD!$A$3:$A$5001,H$3,BD!$B$3:$B$5001,$A$332)))</f>
        <v/>
      </c>
      <c r="I333" s="166" t="str">
        <f>IF(I$3="","",IF(COUNTIFS(BD!$A$3:$A$5001,I$3,BD!$B$3:$B$5001,$A$332,BD!$D$3:$D$5001,"&lt;&gt;")=0,"",SUMIFS(BD!$D$3:$D$5001,BD!$A$3:$A$5001,I$3,BD!$B$3:$B$5001,$A$332)))</f>
        <v/>
      </c>
      <c r="J333" s="166" t="str">
        <f>IF(J$3="","",IF(COUNTIFS(BD!$A$3:$A$5001,J$3,BD!$B$3:$B$5001,$A$332,BD!$D$3:$D$5001,"&lt;&gt;")=0,"",SUMIFS(BD!$D$3:$D$5001,BD!$A$3:$A$5001,J$3,BD!$B$3:$B$5001,$A$332)))</f>
        <v/>
      </c>
      <c r="K333" s="166" t="str">
        <f>IF(K$3="","",IF(COUNTIFS(BD!$A$3:$A$5001,K$3,BD!$B$3:$B$5001,$A$332,BD!$D$3:$D$5001,"&lt;&gt;")=0,"",SUMIFS(BD!$D$3:$D$5001,BD!$A$3:$A$5001,K$3,BD!$B$3:$B$5001,$A$332)))</f>
        <v/>
      </c>
      <c r="L333" s="166" t="str">
        <f>IF(L$3="","",IF(COUNTIFS(BD!$A$3:$A$5001,L$3,BD!$B$3:$B$5001,$A$332,BD!$D$3:$D$5001,"&lt;&gt;")=0,"",SUMIFS(BD!$D$3:$D$5001,BD!$A$3:$A$5001,L$3,BD!$B$3:$B$5001,$A$332)))</f>
        <v/>
      </c>
      <c r="M333" s="166" t="str">
        <f>IF(M$3="","",IF(COUNTIFS(BD!$A$3:$A$5001,M$3,BD!$B$3:$B$5001,$A$332,BD!$D$3:$D$5001,"&lt;&gt;")=0,"",SUMIFS(BD!$D$3:$D$5001,BD!$A$3:$A$5001,M$3,BD!$B$3:$B$5001,$A$332)))</f>
        <v/>
      </c>
      <c r="N333" s="166" t="str">
        <f>IF(N$3="","",IF(COUNTIFS(BD!$A$3:$A$5001,N$3,BD!$B$3:$B$5001,$A$332,BD!$D$3:$D$5001,"&lt;&gt;")=0,"",SUMIFS(BD!$D$3:$D$5001,BD!$A$3:$A$5001,N$3,BD!$B$3:$B$5001,$A$332)))</f>
        <v/>
      </c>
      <c r="O333" s="166" t="str">
        <f>IF(O$3="","",IF(COUNTIFS(BD!$A$3:$A$5001,O$3,BD!$B$3:$B$5001,$A$332,BD!$D$3:$D$5001,"&lt;&gt;")=0,"",SUMIFS(BD!$D$3:$D$5001,BD!$A$3:$A$5001,O$3,BD!$B$3:$B$5001,$A$332)))</f>
        <v/>
      </c>
      <c r="P333" s="166" t="str">
        <f>IF(P$3="","",IF(COUNTIFS(BD!$A$3:$A$5001,P$3,BD!$B$3:$B$5001,$A$332,BD!$D$3:$D$5001,"&lt;&gt;")=0,"",SUMIFS(BD!$D$3:$D$5001,BD!$A$3:$A$5001,P$3,BD!$B$3:$B$5001,$A$332)))</f>
        <v/>
      </c>
      <c r="Q333" s="166" t="str">
        <f>IF(Q$3="","",IF(COUNTIFS(BD!$A$3:$A$5001,Q$3,BD!$B$3:$B$5001,$A$332,BD!$D$3:$D$5001,"&lt;&gt;")=0,"",SUMIFS(BD!$D$3:$D$5001,BD!$A$3:$A$5001,Q$3,BD!$B$3:$B$5001,$A$332)))</f>
        <v/>
      </c>
      <c r="R333" s="166" t="str">
        <f>IF(R$3="","",IF(COUNTIFS(BD!$A$3:$A$5001,R$3,BD!$B$3:$B$5001,$A$332,BD!$D$3:$D$5001,"&lt;&gt;")=0,"",SUMIFS(BD!$D$3:$D$5001,BD!$A$3:$A$5001,R$3,BD!$B$3:$B$5001,$A$332)))</f>
        <v/>
      </c>
      <c r="S333" s="166" t="str">
        <f>IF(S$3="","",IF(COUNTIFS(BD!$A$3:$A$5001,S$3,BD!$B$3:$B$5001,$A$332,BD!$D$3:$D$5001,"&lt;&gt;")=0,"",SUMIFS(BD!$D$3:$D$5001,BD!$A$3:$A$5001,S$3,BD!$B$3:$B$5001,$A$332)))</f>
        <v/>
      </c>
      <c r="T333" s="166" t="str">
        <f>IF(T$3="","",IF(COUNTIFS(BD!$A$3:$A$5001,T$3,BD!$B$3:$B$5001,$A$332,BD!$D$3:$D$5001,"&lt;&gt;")=0,"",SUMIFS(BD!$D$3:$D$5001,BD!$A$3:$A$5001,T$3,BD!$B$3:$B$5001,$A$332)))</f>
        <v/>
      </c>
      <c r="U333" s="166" t="str">
        <f>IF(U$3="","",IF(COUNTIFS(BD!$A$3:$A$5001,U$3,BD!$B$3:$B$5001,$A$332,BD!$D$3:$D$5001,"&lt;&gt;")=0,"",SUMIFS(BD!$D$3:$D$5001,BD!$A$3:$A$5001,U$3,BD!$B$3:$B$5001,$A$332)))</f>
        <v/>
      </c>
      <c r="V333" s="166" t="str">
        <f>IF(V$3="","",IF(COUNTIFS(BD!$A$3:$A$5001,V$3,BD!$B$3:$B$5001,$A$332,BD!$D$3:$D$5001,"&lt;&gt;")=0,"",SUMIFS(BD!$D$3:$D$5001,BD!$A$3:$A$5001,V$3,BD!$B$3:$B$5001,$A$332)))</f>
        <v/>
      </c>
      <c r="W333" s="166" t="str">
        <f>IF(W$3="","",IF(COUNTIFS(BD!$A$3:$A$5001,W$3,BD!$B$3:$B$5001,$A$332,BD!$D$3:$D$5001,"&lt;&gt;")=0,"",SUMIFS(BD!$D$3:$D$5001,BD!$A$3:$A$5001,W$3,BD!$B$3:$B$5001,$A$332)))</f>
        <v/>
      </c>
      <c r="X333" s="166" t="str">
        <f>IF(X$3="","",IF(COUNTIFS(BD!$A$3:$A$5001,X$3,BD!$B$3:$B$5001,$A$332,BD!$D$3:$D$5001,"&lt;&gt;")=0,"",SUMIFS(BD!$D$3:$D$5001,BD!$A$3:$A$5001,X$3,BD!$B$3:$B$5001,$A$332)))</f>
        <v/>
      </c>
      <c r="Y333" s="166" t="str">
        <f>IF(Y$3="","",IF(COUNTIFS(BD!$A$3:$A$5001,Y$3,BD!$B$3:$B$5001,$A$332,BD!$D$3:$D$5001,"&lt;&gt;")=0,"",SUMIFS(BD!$D$3:$D$5001,BD!$A$3:$A$5001,Y$3,BD!$B$3:$B$5001,$A$332)))</f>
        <v/>
      </c>
      <c r="Z333" s="166" t="str">
        <f>IF(Z$3="","",IF(COUNTIFS(BD!$A$3:$A$5001,Z$3,BD!$B$3:$B$5001,$A$332,BD!$D$3:$D$5001,"&lt;&gt;")=0,"",SUMIFS(BD!$D$3:$D$5001,BD!$A$3:$A$5001,Z$3,BD!$B$3:$B$5001,$A$332)))</f>
        <v/>
      </c>
      <c r="AA333" s="166" t="str">
        <f>IF(AA$3="","",IF(COUNTIFS(BD!$A$3:$A$5001,AA$3,BD!$B$3:$B$5001,$A$332,BD!$D$3:$D$5001,"&lt;&gt;")=0,"",SUMIFS(BD!$D$3:$D$5001,BD!$A$3:$A$5001,AA$3,BD!$B$3:$B$5001,$A$332)))</f>
        <v/>
      </c>
      <c r="AB333" s="166" t="str">
        <f>IF(AB$3="","",IF(COUNTIFS(BD!$A$3:$A$5001,AB$3,BD!$B$3:$B$5001,$A$332,BD!$D$3:$D$5001,"&lt;&gt;")=0,"",SUMIFS(BD!$D$3:$D$5001,BD!$A$3:$A$5001,AB$3,BD!$B$3:$B$5001,$A$332)))</f>
        <v/>
      </c>
      <c r="AC333" s="166" t="str">
        <f>IF(AC$3="","",IF(COUNTIFS(BD!$A$3:$A$5001,AC$3,BD!$B$3:$B$5001,$A$332,BD!$D$3:$D$5001,"&lt;&gt;")=0,"",SUMIFS(BD!$D$3:$D$5001,BD!$A$3:$A$5001,AC$3,BD!$B$3:$B$5001,$A$332)))</f>
        <v/>
      </c>
      <c r="AD333" s="166" t="str">
        <f>IF(AD$3="","",IF(COUNTIFS(BD!$A$3:$A$5001,AD$3,BD!$B$3:$B$5001,$A$332,BD!$D$3:$D$5001,"&lt;&gt;")=0,"",SUMIFS(BD!$D$3:$D$5001,BD!$A$3:$A$5001,AD$3,BD!$B$3:$B$5001,$A$332)))</f>
        <v/>
      </c>
      <c r="AE333" s="166" t="str">
        <f>IF(AE$3="","",IF(COUNTIFS(BD!$A$3:$A$5001,AE$3,BD!$B$3:$B$5001,$A$332,BD!$D$3:$D$5001,"&lt;&gt;")=0,"",SUMIFS(BD!$D$3:$D$5001,BD!$A$3:$A$5001,AE$3,BD!$B$3:$B$5001,$A$332)))</f>
        <v/>
      </c>
      <c r="AF333" s="166" t="str">
        <f>IF(AF$3="","",IF(COUNTIFS(BD!$A$3:$A$5001,AF$3,BD!$B$3:$B$5001,$A$332,BD!$D$3:$D$5001,"&lt;&gt;")=0,"",SUMIFS(BD!$D$3:$D$5001,BD!$A$3:$A$5001,AF$3,BD!$B$3:$B$5001,$A$332)))</f>
        <v/>
      </c>
      <c r="AG333" s="166" t="str">
        <f>IF(AG$3="","",IF(COUNTIFS(BD!$A$3:$A$5001,AG$3,BD!$B$3:$B$5001,$A$332,BD!$D$3:$D$5001,"&lt;&gt;")=0,"",SUMIFS(BD!$D$3:$D$5001,BD!$A$3:$A$5001,AG$3,BD!$B$3:$B$5001,$A$332)))</f>
        <v/>
      </c>
      <c r="AH333" s="166" t="str">
        <f>IF(AH$3="","",IF(COUNTIFS(BD!$A$3:$A$5001,AH$3,BD!$B$3:$B$5001,$A$332,BD!$D$3:$D$5001,"&lt;&gt;")=0,"",SUMIFS(BD!$D$3:$D$5001,BD!$A$3:$A$5001,AH$3,BD!$B$3:$B$5001,$A$332)))</f>
        <v/>
      </c>
      <c r="AI333" s="166" t="str">
        <f>IF(AI$3="","",IF(COUNTIFS(BD!$A$3:$A$5001,AI$3,BD!$B$3:$B$5001,$A$332,BD!$D$3:$D$5001,"&lt;&gt;")=0,"",SUMIFS(BD!$D$3:$D$5001,BD!$A$3:$A$5001,AI$3,BD!$B$3:$B$5001,$A$332)))</f>
        <v/>
      </c>
      <c r="AJ333" s="167" t="str">
        <f>IF(AJ$3="","",IF(COUNTIFS(BD!$A$3:$A$5001,AJ$3,BD!$B$3:$B$5001,$A$332,BD!$D$3:$D$5001,"&lt;&gt;")=0,"",SUMIFS(BD!$D$3:$D$5001,BD!$A$3:$A$5001,AJ$3,BD!$B$3:$B$5001,$A$332)))</f>
        <v/>
      </c>
      <c r="AK333" s="168" t="str">
        <f>IF(COUNT(F333:AJ333)=0,"",SUM(F333:AJ333))</f>
        <v/>
      </c>
    </row>
    <row r="334" ht="15.75" customHeight="1" hidden="1">
      <c r="A334" s="254"/>
      <c r="B334" s="243"/>
      <c r="C334" s="169" t="inlineStr">
        <is>
          <t xml:space="preserve">Toneladas Movimentadas</t>
        </is>
      </c>
      <c r="D334" s="170" t="str">
        <f>IFERROR(1/(1/INDEX(BD!$Y$25:$AS$25,MATCH($A$332,BD!$Y$22:$AS$22,0))),"")</f>
        <v/>
      </c>
      <c r="E334" s="171"/>
      <c r="F334" s="172" t="str">
        <f>IF(F$3="","",IF(COUNTIFS(BD!$A$3:$A$5001,F$3,BD!$B$3:$B$5001,$A$332,BD!$E$3:$E$5001,"&lt;&gt;")=0,"",SUMIFS(BD!$E$3:$E$5001,BD!$A$3:$A$5001,F$3,BD!$B$3:$B$5001,$A$332)))</f>
        <v/>
      </c>
      <c r="G334" s="173" t="str">
        <f>IF(G$3="","",IF(COUNTIFS(BD!$A$3:$A$5001,G$3,BD!$B$3:$B$5001,$A$332,BD!$E$3:$E$5001,"&lt;&gt;")=0,"",SUMIFS(BD!$E$3:$E$5001,BD!$A$3:$A$5001,G$3,BD!$B$3:$B$5001,$A$332)))</f>
        <v/>
      </c>
      <c r="H334" s="173" t="str">
        <f>IF(H$3="","",IF(COUNTIFS(BD!$A$3:$A$5001,H$3,BD!$B$3:$B$5001,$A$332,BD!$E$3:$E$5001,"&lt;&gt;")=0,"",SUMIFS(BD!$E$3:$E$5001,BD!$A$3:$A$5001,H$3,BD!$B$3:$B$5001,$A$332)))</f>
        <v/>
      </c>
      <c r="I334" s="173" t="str">
        <f>IF(I$3="","",IF(COUNTIFS(BD!$A$3:$A$5001,I$3,BD!$B$3:$B$5001,$A$332,BD!$E$3:$E$5001,"&lt;&gt;")=0,"",SUMIFS(BD!$E$3:$E$5001,BD!$A$3:$A$5001,I$3,BD!$B$3:$B$5001,$A$332)))</f>
        <v/>
      </c>
      <c r="J334" s="173" t="str">
        <f>IF(J$3="","",IF(COUNTIFS(BD!$A$3:$A$5001,J$3,BD!$B$3:$B$5001,$A$332,BD!$E$3:$E$5001,"&lt;&gt;")=0,"",SUMIFS(BD!$E$3:$E$5001,BD!$A$3:$A$5001,J$3,BD!$B$3:$B$5001,$A$332)))</f>
        <v/>
      </c>
      <c r="K334" s="173" t="str">
        <f>IF(K$3="","",IF(COUNTIFS(BD!$A$3:$A$5001,K$3,BD!$B$3:$B$5001,$A$332,BD!$E$3:$E$5001,"&lt;&gt;")=0,"",SUMIFS(BD!$E$3:$E$5001,BD!$A$3:$A$5001,K$3,BD!$B$3:$B$5001,$A$332)))</f>
        <v/>
      </c>
      <c r="L334" s="173" t="str">
        <f>IF(L$3="","",IF(COUNTIFS(BD!$A$3:$A$5001,L$3,BD!$B$3:$B$5001,$A$332,BD!$E$3:$E$5001,"&lt;&gt;")=0,"",SUMIFS(BD!$E$3:$E$5001,BD!$A$3:$A$5001,L$3,BD!$B$3:$B$5001,$A$332)))</f>
        <v/>
      </c>
      <c r="M334" s="173" t="str">
        <f>IF(M$3="","",IF(COUNTIFS(BD!$A$3:$A$5001,M$3,BD!$B$3:$B$5001,$A$332,BD!$E$3:$E$5001,"&lt;&gt;")=0,"",SUMIFS(BD!$E$3:$E$5001,BD!$A$3:$A$5001,M$3,BD!$B$3:$B$5001,$A$332)))</f>
        <v/>
      </c>
      <c r="N334" s="173" t="str">
        <f>IF(N$3="","",IF(COUNTIFS(BD!$A$3:$A$5001,N$3,BD!$B$3:$B$5001,$A$332,BD!$E$3:$E$5001,"&lt;&gt;")=0,"",SUMIFS(BD!$E$3:$E$5001,BD!$A$3:$A$5001,N$3,BD!$B$3:$B$5001,$A$332)))</f>
        <v/>
      </c>
      <c r="O334" s="173" t="str">
        <f>IF(O$3="","",IF(COUNTIFS(BD!$A$3:$A$5001,O$3,BD!$B$3:$B$5001,$A$332,BD!$E$3:$E$5001,"&lt;&gt;")=0,"",SUMIFS(BD!$E$3:$E$5001,BD!$A$3:$A$5001,O$3,BD!$B$3:$B$5001,$A$332)))</f>
        <v/>
      </c>
      <c r="P334" s="173" t="str">
        <f>IF(P$3="","",IF(COUNTIFS(BD!$A$3:$A$5001,P$3,BD!$B$3:$B$5001,$A$332,BD!$E$3:$E$5001,"&lt;&gt;")=0,"",SUMIFS(BD!$E$3:$E$5001,BD!$A$3:$A$5001,P$3,BD!$B$3:$B$5001,$A$332)))</f>
        <v/>
      </c>
      <c r="Q334" s="173" t="str">
        <f>IF(Q$3="","",IF(COUNTIFS(BD!$A$3:$A$5001,Q$3,BD!$B$3:$B$5001,$A$332,BD!$E$3:$E$5001,"&lt;&gt;")=0,"",SUMIFS(BD!$E$3:$E$5001,BD!$A$3:$A$5001,Q$3,BD!$B$3:$B$5001,$A$332)))</f>
        <v/>
      </c>
      <c r="R334" s="173" t="str">
        <f>IF(R$3="","",IF(COUNTIFS(BD!$A$3:$A$5001,R$3,BD!$B$3:$B$5001,$A$332,BD!$E$3:$E$5001,"&lt;&gt;")=0,"",SUMIFS(BD!$E$3:$E$5001,BD!$A$3:$A$5001,R$3,BD!$B$3:$B$5001,$A$332)))</f>
        <v/>
      </c>
      <c r="S334" s="173" t="str">
        <f>IF(S$3="","",IF(COUNTIFS(BD!$A$3:$A$5001,S$3,BD!$B$3:$B$5001,$A$332,BD!$E$3:$E$5001,"&lt;&gt;")=0,"",SUMIFS(BD!$E$3:$E$5001,BD!$A$3:$A$5001,S$3,BD!$B$3:$B$5001,$A$332)))</f>
        <v/>
      </c>
      <c r="T334" s="173" t="str">
        <f>IF(T$3="","",IF(COUNTIFS(BD!$A$3:$A$5001,T$3,BD!$B$3:$B$5001,$A$332,BD!$E$3:$E$5001,"&lt;&gt;")=0,"",SUMIFS(BD!$E$3:$E$5001,BD!$A$3:$A$5001,T$3,BD!$B$3:$B$5001,$A$332)))</f>
        <v/>
      </c>
      <c r="U334" s="173" t="str">
        <f>IF(U$3="","",IF(COUNTIFS(BD!$A$3:$A$5001,U$3,BD!$B$3:$B$5001,$A$332,BD!$E$3:$E$5001,"&lt;&gt;")=0,"",SUMIFS(BD!$E$3:$E$5001,BD!$A$3:$A$5001,U$3,BD!$B$3:$B$5001,$A$332)))</f>
        <v/>
      </c>
      <c r="V334" s="173" t="str">
        <f>IF(V$3="","",IF(COUNTIFS(BD!$A$3:$A$5001,V$3,BD!$B$3:$B$5001,$A$332,BD!$E$3:$E$5001,"&lt;&gt;")=0,"",SUMIFS(BD!$E$3:$E$5001,BD!$A$3:$A$5001,V$3,BD!$B$3:$B$5001,$A$332)))</f>
        <v/>
      </c>
      <c r="W334" s="173" t="str">
        <f>IF(W$3="","",IF(COUNTIFS(BD!$A$3:$A$5001,W$3,BD!$B$3:$B$5001,$A$332,BD!$E$3:$E$5001,"&lt;&gt;")=0,"",SUMIFS(BD!$E$3:$E$5001,BD!$A$3:$A$5001,W$3,BD!$B$3:$B$5001,$A$332)))</f>
        <v/>
      </c>
      <c r="X334" s="173" t="str">
        <f>IF(X$3="","",IF(COUNTIFS(BD!$A$3:$A$5001,X$3,BD!$B$3:$B$5001,$A$332,BD!$E$3:$E$5001,"&lt;&gt;")=0,"",SUMIFS(BD!$E$3:$E$5001,BD!$A$3:$A$5001,X$3,BD!$B$3:$B$5001,$A$332)))</f>
        <v/>
      </c>
      <c r="Y334" s="173" t="str">
        <f>IF(Y$3="","",IF(COUNTIFS(BD!$A$3:$A$5001,Y$3,BD!$B$3:$B$5001,$A$332,BD!$E$3:$E$5001,"&lt;&gt;")=0,"",SUMIFS(BD!$E$3:$E$5001,BD!$A$3:$A$5001,Y$3,BD!$B$3:$B$5001,$A$332)))</f>
        <v/>
      </c>
      <c r="Z334" s="173" t="str">
        <f>IF(Z$3="","",IF(COUNTIFS(BD!$A$3:$A$5001,Z$3,BD!$B$3:$B$5001,$A$332,BD!$E$3:$E$5001,"&lt;&gt;")=0,"",SUMIFS(BD!$E$3:$E$5001,BD!$A$3:$A$5001,Z$3,BD!$B$3:$B$5001,$A$332)))</f>
        <v/>
      </c>
      <c r="AA334" s="173" t="str">
        <f>IF(AA$3="","",IF(COUNTIFS(BD!$A$3:$A$5001,AA$3,BD!$B$3:$B$5001,$A$332,BD!$E$3:$E$5001,"&lt;&gt;")=0,"",SUMIFS(BD!$E$3:$E$5001,BD!$A$3:$A$5001,AA$3,BD!$B$3:$B$5001,$A$332)))</f>
        <v/>
      </c>
      <c r="AB334" s="173" t="str">
        <f>IF(AB$3="","",IF(COUNTIFS(BD!$A$3:$A$5001,AB$3,BD!$B$3:$B$5001,$A$332,BD!$E$3:$E$5001,"&lt;&gt;")=0,"",SUMIFS(BD!$E$3:$E$5001,BD!$A$3:$A$5001,AB$3,BD!$B$3:$B$5001,$A$332)))</f>
        <v/>
      </c>
      <c r="AC334" s="173" t="str">
        <f>IF(AC$3="","",IF(COUNTIFS(BD!$A$3:$A$5001,AC$3,BD!$B$3:$B$5001,$A$332,BD!$E$3:$E$5001,"&lt;&gt;")=0,"",SUMIFS(BD!$E$3:$E$5001,BD!$A$3:$A$5001,AC$3,BD!$B$3:$B$5001,$A$332)))</f>
        <v/>
      </c>
      <c r="AD334" s="173" t="str">
        <f>IF(AD$3="","",IF(COUNTIFS(BD!$A$3:$A$5001,AD$3,BD!$B$3:$B$5001,$A$332,BD!$E$3:$E$5001,"&lt;&gt;")=0,"",SUMIFS(BD!$E$3:$E$5001,BD!$A$3:$A$5001,AD$3,BD!$B$3:$B$5001,$A$332)))</f>
        <v/>
      </c>
      <c r="AE334" s="173" t="str">
        <f>IF(AE$3="","",IF(COUNTIFS(BD!$A$3:$A$5001,AE$3,BD!$B$3:$B$5001,$A$332,BD!$E$3:$E$5001,"&lt;&gt;")=0,"",SUMIFS(BD!$E$3:$E$5001,BD!$A$3:$A$5001,AE$3,BD!$B$3:$B$5001,$A$332)))</f>
        <v/>
      </c>
      <c r="AF334" s="173" t="str">
        <f>IF(AF$3="","",IF(COUNTIFS(BD!$A$3:$A$5001,AF$3,BD!$B$3:$B$5001,$A$332,BD!$E$3:$E$5001,"&lt;&gt;")=0,"",SUMIFS(BD!$E$3:$E$5001,BD!$A$3:$A$5001,AF$3,BD!$B$3:$B$5001,$A$332)))</f>
        <v/>
      </c>
      <c r="AG334" s="173" t="str">
        <f>IF(AG$3="","",IF(COUNTIFS(BD!$A$3:$A$5001,AG$3,BD!$B$3:$B$5001,$A$332,BD!$E$3:$E$5001,"&lt;&gt;")=0,"",SUMIFS(BD!$E$3:$E$5001,BD!$A$3:$A$5001,AG$3,BD!$B$3:$B$5001,$A$332)))</f>
        <v/>
      </c>
      <c r="AH334" s="173" t="str">
        <f>IF(AH$3="","",IF(COUNTIFS(BD!$A$3:$A$5001,AH$3,BD!$B$3:$B$5001,$A$332,BD!$E$3:$E$5001,"&lt;&gt;")=0,"",SUMIFS(BD!$E$3:$E$5001,BD!$A$3:$A$5001,AH$3,BD!$B$3:$B$5001,$A$332)))</f>
        <v/>
      </c>
      <c r="AI334" s="173" t="str">
        <f>IF(AI$3="","",IF(COUNTIFS(BD!$A$3:$A$5001,AI$3,BD!$B$3:$B$5001,$A$332,BD!$E$3:$E$5001,"&lt;&gt;")=0,"",SUMIFS(BD!$E$3:$E$5001,BD!$A$3:$A$5001,AI$3,BD!$B$3:$B$5001,$A$332)))</f>
        <v/>
      </c>
      <c r="AJ334" s="174" t="str">
        <f>IF(AJ$3="","",IF(COUNTIFS(BD!$A$3:$A$5001,AJ$3,BD!$B$3:$B$5001,$A$332,BD!$E$3:$E$5001,"&lt;&gt;")=0,"",SUMIFS(BD!$E$3:$E$5001,BD!$A$3:$A$5001,AJ$3,BD!$B$3:$B$5001,$A$332)))</f>
        <v/>
      </c>
      <c r="AK334" s="175" t="str">
        <f>IF(COUNT(F334:AJ334)=0,"",SUM(F334:AJ334))</f>
        <v/>
      </c>
    </row>
    <row r="335" ht="15.75" customHeight="1" hidden="1">
      <c r="A335" s="254"/>
      <c r="B335" s="244" t="inlineStr">
        <is>
          <t xml:space="preserve">OUT</t>
        </is>
      </c>
      <c r="C335" s="176" t="inlineStr">
        <is>
          <t xml:space="preserve">Veículos Expedidos</t>
        </is>
      </c>
      <c r="D335" s="177" t="str">
        <f>IFERROR(1/(1/INDEX(BD!$Y$26:$AS$26,MATCH($A$332,BD!$Y$22:$AS$22,0))),"")</f>
        <v/>
      </c>
      <c r="E335" s="178"/>
      <c r="F335" s="179" t="str">
        <f>IF(F$3="","",IF(COUNTIFS(BD!$A$3:$A$5001,F$3,BD!$B$3:$B$5001,$A$332,BD!$F$3:$F$5001,"&lt;&gt;")=0,"",SUMIFS(BD!$F$3:$F$5001,BD!$A$3:$A$5001,F$3,BD!$B$3:$B$5001,$A$332)))</f>
        <v/>
      </c>
      <c r="G335" s="180" t="str">
        <f>IF(G$3="","",IF(COUNTIFS(BD!$A$3:$A$5001,G$3,BD!$B$3:$B$5001,$A$332,BD!$F$3:$F$5001,"&lt;&gt;")=0,"",SUMIFS(BD!$F$3:$F$5001,BD!$A$3:$A$5001,G$3,BD!$B$3:$B$5001,$A$332)))</f>
        <v/>
      </c>
      <c r="H335" s="180" t="str">
        <f>IF(H$3="","",IF(COUNTIFS(BD!$A$3:$A$5001,H$3,BD!$B$3:$B$5001,$A$332,BD!$F$3:$F$5001,"&lt;&gt;")=0,"",SUMIFS(BD!$F$3:$F$5001,BD!$A$3:$A$5001,H$3,BD!$B$3:$B$5001,$A$332)))</f>
        <v/>
      </c>
      <c r="I335" s="180" t="str">
        <f>IF(I$3="","",IF(COUNTIFS(BD!$A$3:$A$5001,I$3,BD!$B$3:$B$5001,$A$332,BD!$F$3:$F$5001,"&lt;&gt;")=0,"",SUMIFS(BD!$F$3:$F$5001,BD!$A$3:$A$5001,I$3,BD!$B$3:$B$5001,$A$332)))</f>
        <v/>
      </c>
      <c r="J335" s="180" t="str">
        <f>IF(J$3="","",IF(COUNTIFS(BD!$A$3:$A$5001,J$3,BD!$B$3:$B$5001,$A$332,BD!$F$3:$F$5001,"&lt;&gt;")=0,"",SUMIFS(BD!$F$3:$F$5001,BD!$A$3:$A$5001,J$3,BD!$B$3:$B$5001,$A$332)))</f>
        <v/>
      </c>
      <c r="K335" s="180" t="str">
        <f>IF(K$3="","",IF(COUNTIFS(BD!$A$3:$A$5001,K$3,BD!$B$3:$B$5001,$A$332,BD!$F$3:$F$5001,"&lt;&gt;")=0,"",SUMIFS(BD!$F$3:$F$5001,BD!$A$3:$A$5001,K$3,BD!$B$3:$B$5001,$A$332)))</f>
        <v/>
      </c>
      <c r="L335" s="180" t="str">
        <f>IF(L$3="","",IF(COUNTIFS(BD!$A$3:$A$5001,L$3,BD!$B$3:$B$5001,$A$332,BD!$F$3:$F$5001,"&lt;&gt;")=0,"",SUMIFS(BD!$F$3:$F$5001,BD!$A$3:$A$5001,L$3,BD!$B$3:$B$5001,$A$332)))</f>
        <v/>
      </c>
      <c r="M335" s="180" t="str">
        <f>IF(M$3="","",IF(COUNTIFS(BD!$A$3:$A$5001,M$3,BD!$B$3:$B$5001,$A$332,BD!$F$3:$F$5001,"&lt;&gt;")=0,"",SUMIFS(BD!$F$3:$F$5001,BD!$A$3:$A$5001,M$3,BD!$B$3:$B$5001,$A$332)))</f>
        <v/>
      </c>
      <c r="N335" s="180" t="str">
        <f>IF(N$3="","",IF(COUNTIFS(BD!$A$3:$A$5001,N$3,BD!$B$3:$B$5001,$A$332,BD!$F$3:$F$5001,"&lt;&gt;")=0,"",SUMIFS(BD!$F$3:$F$5001,BD!$A$3:$A$5001,N$3,BD!$B$3:$B$5001,$A$332)))</f>
        <v/>
      </c>
      <c r="O335" s="180" t="str">
        <f>IF(O$3="","",IF(COUNTIFS(BD!$A$3:$A$5001,O$3,BD!$B$3:$B$5001,$A$332,BD!$F$3:$F$5001,"&lt;&gt;")=0,"",SUMIFS(BD!$F$3:$F$5001,BD!$A$3:$A$5001,O$3,BD!$B$3:$B$5001,$A$332)))</f>
        <v/>
      </c>
      <c r="P335" s="180" t="str">
        <f>IF(P$3="","",IF(COUNTIFS(BD!$A$3:$A$5001,P$3,BD!$B$3:$B$5001,$A$332,BD!$F$3:$F$5001,"&lt;&gt;")=0,"",SUMIFS(BD!$F$3:$F$5001,BD!$A$3:$A$5001,P$3,BD!$B$3:$B$5001,$A$332)))</f>
        <v/>
      </c>
      <c r="Q335" s="180" t="str">
        <f>IF(Q$3="","",IF(COUNTIFS(BD!$A$3:$A$5001,Q$3,BD!$B$3:$B$5001,$A$332,BD!$F$3:$F$5001,"&lt;&gt;")=0,"",SUMIFS(BD!$F$3:$F$5001,BD!$A$3:$A$5001,Q$3,BD!$B$3:$B$5001,$A$332)))</f>
        <v/>
      </c>
      <c r="R335" s="180" t="str">
        <f>IF(R$3="","",IF(COUNTIFS(BD!$A$3:$A$5001,R$3,BD!$B$3:$B$5001,$A$332,BD!$F$3:$F$5001,"&lt;&gt;")=0,"",SUMIFS(BD!$F$3:$F$5001,BD!$A$3:$A$5001,R$3,BD!$B$3:$B$5001,$A$332)))</f>
        <v/>
      </c>
      <c r="S335" s="180" t="str">
        <f>IF(S$3="","",IF(COUNTIFS(BD!$A$3:$A$5001,S$3,BD!$B$3:$B$5001,$A$332,BD!$F$3:$F$5001,"&lt;&gt;")=0,"",SUMIFS(BD!$F$3:$F$5001,BD!$A$3:$A$5001,S$3,BD!$B$3:$B$5001,$A$332)))</f>
        <v/>
      </c>
      <c r="T335" s="180" t="str">
        <f>IF(T$3="","",IF(COUNTIFS(BD!$A$3:$A$5001,T$3,BD!$B$3:$B$5001,$A$332,BD!$F$3:$F$5001,"&lt;&gt;")=0,"",SUMIFS(BD!$F$3:$F$5001,BD!$A$3:$A$5001,T$3,BD!$B$3:$B$5001,$A$332)))</f>
        <v/>
      </c>
      <c r="U335" s="180" t="str">
        <f>IF(U$3="","",IF(COUNTIFS(BD!$A$3:$A$5001,U$3,BD!$B$3:$B$5001,$A$332,BD!$F$3:$F$5001,"&lt;&gt;")=0,"",SUMIFS(BD!$F$3:$F$5001,BD!$A$3:$A$5001,U$3,BD!$B$3:$B$5001,$A$332)))</f>
        <v/>
      </c>
      <c r="V335" s="180" t="str">
        <f>IF(V$3="","",IF(COUNTIFS(BD!$A$3:$A$5001,V$3,BD!$B$3:$B$5001,$A$332,BD!$F$3:$F$5001,"&lt;&gt;")=0,"",SUMIFS(BD!$F$3:$F$5001,BD!$A$3:$A$5001,V$3,BD!$B$3:$B$5001,$A$332)))</f>
        <v/>
      </c>
      <c r="W335" s="180" t="str">
        <f>IF(W$3="","",IF(COUNTIFS(BD!$A$3:$A$5001,W$3,BD!$B$3:$B$5001,$A$332,BD!$F$3:$F$5001,"&lt;&gt;")=0,"",SUMIFS(BD!$F$3:$F$5001,BD!$A$3:$A$5001,W$3,BD!$B$3:$B$5001,$A$332)))</f>
        <v/>
      </c>
      <c r="X335" s="180" t="str">
        <f>IF(X$3="","",IF(COUNTIFS(BD!$A$3:$A$5001,X$3,BD!$B$3:$B$5001,$A$332,BD!$F$3:$F$5001,"&lt;&gt;")=0,"",SUMIFS(BD!$F$3:$F$5001,BD!$A$3:$A$5001,X$3,BD!$B$3:$B$5001,$A$332)))</f>
        <v/>
      </c>
      <c r="Y335" s="180" t="str">
        <f>IF(Y$3="","",IF(COUNTIFS(BD!$A$3:$A$5001,Y$3,BD!$B$3:$B$5001,$A$332,BD!$F$3:$F$5001,"&lt;&gt;")=0,"",SUMIFS(BD!$F$3:$F$5001,BD!$A$3:$A$5001,Y$3,BD!$B$3:$B$5001,$A$332)))</f>
        <v/>
      </c>
      <c r="Z335" s="180" t="str">
        <f>IF(Z$3="","",IF(COUNTIFS(BD!$A$3:$A$5001,Z$3,BD!$B$3:$B$5001,$A$332,BD!$F$3:$F$5001,"&lt;&gt;")=0,"",SUMIFS(BD!$F$3:$F$5001,BD!$A$3:$A$5001,Z$3,BD!$B$3:$B$5001,$A$332)))</f>
        <v/>
      </c>
      <c r="AA335" s="180" t="str">
        <f>IF(AA$3="","",IF(COUNTIFS(BD!$A$3:$A$5001,AA$3,BD!$B$3:$B$5001,$A$332,BD!$F$3:$F$5001,"&lt;&gt;")=0,"",SUMIFS(BD!$F$3:$F$5001,BD!$A$3:$A$5001,AA$3,BD!$B$3:$B$5001,$A$332)))</f>
        <v/>
      </c>
      <c r="AB335" s="180" t="str">
        <f>IF(AB$3="","",IF(COUNTIFS(BD!$A$3:$A$5001,AB$3,BD!$B$3:$B$5001,$A$332,BD!$F$3:$F$5001,"&lt;&gt;")=0,"",SUMIFS(BD!$F$3:$F$5001,BD!$A$3:$A$5001,AB$3,BD!$B$3:$B$5001,$A$332)))</f>
        <v/>
      </c>
      <c r="AC335" s="180" t="str">
        <f>IF(AC$3="","",IF(COUNTIFS(BD!$A$3:$A$5001,AC$3,BD!$B$3:$B$5001,$A$332,BD!$F$3:$F$5001,"&lt;&gt;")=0,"",SUMIFS(BD!$F$3:$F$5001,BD!$A$3:$A$5001,AC$3,BD!$B$3:$B$5001,$A$332)))</f>
        <v/>
      </c>
      <c r="AD335" s="180" t="str">
        <f>IF(AD$3="","",IF(COUNTIFS(BD!$A$3:$A$5001,AD$3,BD!$B$3:$B$5001,$A$332,BD!$F$3:$F$5001,"&lt;&gt;")=0,"",SUMIFS(BD!$F$3:$F$5001,BD!$A$3:$A$5001,AD$3,BD!$B$3:$B$5001,$A$332)))</f>
        <v/>
      </c>
      <c r="AE335" s="180" t="str">
        <f>IF(AE$3="","",IF(COUNTIFS(BD!$A$3:$A$5001,AE$3,BD!$B$3:$B$5001,$A$332,BD!$F$3:$F$5001,"&lt;&gt;")=0,"",SUMIFS(BD!$F$3:$F$5001,BD!$A$3:$A$5001,AE$3,BD!$B$3:$B$5001,$A$332)))</f>
        <v/>
      </c>
      <c r="AF335" s="180" t="str">
        <f>IF(AF$3="","",IF(COUNTIFS(BD!$A$3:$A$5001,AF$3,BD!$B$3:$B$5001,$A$332,BD!$F$3:$F$5001,"&lt;&gt;")=0,"",SUMIFS(BD!$F$3:$F$5001,BD!$A$3:$A$5001,AF$3,BD!$B$3:$B$5001,$A$332)))</f>
        <v/>
      </c>
      <c r="AG335" s="180" t="str">
        <f>IF(AG$3="","",IF(COUNTIFS(BD!$A$3:$A$5001,AG$3,BD!$B$3:$B$5001,$A$332,BD!$F$3:$F$5001,"&lt;&gt;")=0,"",SUMIFS(BD!$F$3:$F$5001,BD!$A$3:$A$5001,AG$3,BD!$B$3:$B$5001,$A$332)))</f>
        <v/>
      </c>
      <c r="AH335" s="180" t="str">
        <f>IF(AH$3="","",IF(COUNTIFS(BD!$A$3:$A$5001,AH$3,BD!$B$3:$B$5001,$A$332,BD!$F$3:$F$5001,"&lt;&gt;")=0,"",SUMIFS(BD!$F$3:$F$5001,BD!$A$3:$A$5001,AH$3,BD!$B$3:$B$5001,$A$332)))</f>
        <v/>
      </c>
      <c r="AI335" s="180" t="str">
        <f>IF(AI$3="","",IF(COUNTIFS(BD!$A$3:$A$5001,AI$3,BD!$B$3:$B$5001,$A$332,BD!$F$3:$F$5001,"&lt;&gt;")=0,"",SUMIFS(BD!$F$3:$F$5001,BD!$A$3:$A$5001,AI$3,BD!$B$3:$B$5001,$A$332)))</f>
        <v/>
      </c>
      <c r="AJ335" s="181" t="str">
        <f>IF(AJ$3="","",IF(COUNTIFS(BD!$A$3:$A$5001,AJ$3,BD!$B$3:$B$5001,$A$332,BD!$F$3:$F$5001,"&lt;&gt;")=0,"",SUMIFS(BD!$F$3:$F$5001,BD!$A$3:$A$5001,AJ$3,BD!$B$3:$B$5001,$A$332)))</f>
        <v/>
      </c>
      <c r="AK335" s="182" t="str">
        <f>IF(COUNT(F335:AJ335)=0,"",SUM(F335:AJ335))</f>
        <v/>
      </c>
    </row>
    <row r="336" ht="15.75" customHeight="1" hidden="1">
      <c r="A336" s="254"/>
      <c r="B336" s="245"/>
      <c r="C336" s="183" t="inlineStr">
        <is>
          <t xml:space="preserve">Pallets Movimentados</t>
        </is>
      </c>
      <c r="D336" s="184" t="str">
        <f>IFERROR(1/(1/INDEX(BD!$Y$27:$AS$27,MATCH($A$332,BD!$Y$22:$AS$22,0))),"")</f>
        <v/>
      </c>
      <c r="E336" s="185"/>
      <c r="F336" s="186" t="str">
        <f>IF(F$3="","",IF(COUNTIFS(BD!$A$3:$A$5001,F$3,BD!$B$3:$B$5001,$A$332,BD!$G$3:$G$5001,"&lt;&gt;")=0,"",SUMIFS(BD!$G$3:$G$5001,BD!$A$3:$A$5001,F$3,BD!$B$3:$B$5001,$A$332)))</f>
        <v/>
      </c>
      <c r="G336" s="187" t="str">
        <f>IF(G$3="","",IF(COUNTIFS(BD!$A$3:$A$5001,G$3,BD!$B$3:$B$5001,$A$332,BD!$G$3:$G$5001,"&lt;&gt;")=0,"",SUMIFS(BD!$G$3:$G$5001,BD!$A$3:$A$5001,G$3,BD!$B$3:$B$5001,$A$332)))</f>
        <v/>
      </c>
      <c r="H336" s="187" t="str">
        <f>IF(H$3="","",IF(COUNTIFS(BD!$A$3:$A$5001,H$3,BD!$B$3:$B$5001,$A$332,BD!$G$3:$G$5001,"&lt;&gt;")=0,"",SUMIFS(BD!$G$3:$G$5001,BD!$A$3:$A$5001,H$3,BD!$B$3:$B$5001,$A$332)))</f>
        <v/>
      </c>
      <c r="I336" s="187" t="str">
        <f>IF(I$3="","",IF(COUNTIFS(BD!$A$3:$A$5001,I$3,BD!$B$3:$B$5001,$A$332,BD!$G$3:$G$5001,"&lt;&gt;")=0,"",SUMIFS(BD!$G$3:$G$5001,BD!$A$3:$A$5001,I$3,BD!$B$3:$B$5001,$A$332)))</f>
        <v/>
      </c>
      <c r="J336" s="187" t="str">
        <f>IF(J$3="","",IF(COUNTIFS(BD!$A$3:$A$5001,J$3,BD!$B$3:$B$5001,$A$332,BD!$G$3:$G$5001,"&lt;&gt;")=0,"",SUMIFS(BD!$G$3:$G$5001,BD!$A$3:$A$5001,J$3,BD!$B$3:$B$5001,$A$332)))</f>
        <v/>
      </c>
      <c r="K336" s="187" t="str">
        <f>IF(K$3="","",IF(COUNTIFS(BD!$A$3:$A$5001,K$3,BD!$B$3:$B$5001,$A$332,BD!$G$3:$G$5001,"&lt;&gt;")=0,"",SUMIFS(BD!$G$3:$G$5001,BD!$A$3:$A$5001,K$3,BD!$B$3:$B$5001,$A$332)))</f>
        <v/>
      </c>
      <c r="L336" s="187" t="str">
        <f>IF(L$3="","",IF(COUNTIFS(BD!$A$3:$A$5001,L$3,BD!$B$3:$B$5001,$A$332,BD!$G$3:$G$5001,"&lt;&gt;")=0,"",SUMIFS(BD!$G$3:$G$5001,BD!$A$3:$A$5001,L$3,BD!$B$3:$B$5001,$A$332)))</f>
        <v/>
      </c>
      <c r="M336" s="187" t="str">
        <f>IF(M$3="","",IF(COUNTIFS(BD!$A$3:$A$5001,M$3,BD!$B$3:$B$5001,$A$332,BD!$G$3:$G$5001,"&lt;&gt;")=0,"",SUMIFS(BD!$G$3:$G$5001,BD!$A$3:$A$5001,M$3,BD!$B$3:$B$5001,$A$332)))</f>
        <v/>
      </c>
      <c r="N336" s="187" t="str">
        <f>IF(N$3="","",IF(COUNTIFS(BD!$A$3:$A$5001,N$3,BD!$B$3:$B$5001,$A$332,BD!$G$3:$G$5001,"&lt;&gt;")=0,"",SUMIFS(BD!$G$3:$G$5001,BD!$A$3:$A$5001,N$3,BD!$B$3:$B$5001,$A$332)))</f>
        <v/>
      </c>
      <c r="O336" s="187" t="str">
        <f>IF(O$3="","",IF(COUNTIFS(BD!$A$3:$A$5001,O$3,BD!$B$3:$B$5001,$A$332,BD!$G$3:$G$5001,"&lt;&gt;")=0,"",SUMIFS(BD!$G$3:$G$5001,BD!$A$3:$A$5001,O$3,BD!$B$3:$B$5001,$A$332)))</f>
        <v/>
      </c>
      <c r="P336" s="187" t="str">
        <f>IF(P$3="","",IF(COUNTIFS(BD!$A$3:$A$5001,P$3,BD!$B$3:$B$5001,$A$332,BD!$G$3:$G$5001,"&lt;&gt;")=0,"",SUMIFS(BD!$G$3:$G$5001,BD!$A$3:$A$5001,P$3,BD!$B$3:$B$5001,$A$332)))</f>
        <v/>
      </c>
      <c r="Q336" s="187" t="str">
        <f>IF(Q$3="","",IF(COUNTIFS(BD!$A$3:$A$5001,Q$3,BD!$B$3:$B$5001,$A$332,BD!$G$3:$G$5001,"&lt;&gt;")=0,"",SUMIFS(BD!$G$3:$G$5001,BD!$A$3:$A$5001,Q$3,BD!$B$3:$B$5001,$A$332)))</f>
        <v/>
      </c>
      <c r="R336" s="187" t="str">
        <f>IF(R$3="","",IF(COUNTIFS(BD!$A$3:$A$5001,R$3,BD!$B$3:$B$5001,$A$332,BD!$G$3:$G$5001,"&lt;&gt;")=0,"",SUMIFS(BD!$G$3:$G$5001,BD!$A$3:$A$5001,R$3,BD!$B$3:$B$5001,$A$332)))</f>
        <v/>
      </c>
      <c r="S336" s="187" t="str">
        <f>IF(S$3="","",IF(COUNTIFS(BD!$A$3:$A$5001,S$3,BD!$B$3:$B$5001,$A$332,BD!$G$3:$G$5001,"&lt;&gt;")=0,"",SUMIFS(BD!$G$3:$G$5001,BD!$A$3:$A$5001,S$3,BD!$B$3:$B$5001,$A$332)))</f>
        <v/>
      </c>
      <c r="T336" s="187" t="str">
        <f>IF(T$3="","",IF(COUNTIFS(BD!$A$3:$A$5001,T$3,BD!$B$3:$B$5001,$A$332,BD!$G$3:$G$5001,"&lt;&gt;")=0,"",SUMIFS(BD!$G$3:$G$5001,BD!$A$3:$A$5001,T$3,BD!$B$3:$B$5001,$A$332)))</f>
        <v/>
      </c>
      <c r="U336" s="187" t="str">
        <f>IF(U$3="","",IF(COUNTIFS(BD!$A$3:$A$5001,U$3,BD!$B$3:$B$5001,$A$332,BD!$G$3:$G$5001,"&lt;&gt;")=0,"",SUMIFS(BD!$G$3:$G$5001,BD!$A$3:$A$5001,U$3,BD!$B$3:$B$5001,$A$332)))</f>
        <v/>
      </c>
      <c r="V336" s="187" t="str">
        <f>IF(V$3="","",IF(COUNTIFS(BD!$A$3:$A$5001,V$3,BD!$B$3:$B$5001,$A$332,BD!$G$3:$G$5001,"&lt;&gt;")=0,"",SUMIFS(BD!$G$3:$G$5001,BD!$A$3:$A$5001,V$3,BD!$B$3:$B$5001,$A$332)))</f>
        <v/>
      </c>
      <c r="W336" s="187" t="str">
        <f>IF(W$3="","",IF(COUNTIFS(BD!$A$3:$A$5001,W$3,BD!$B$3:$B$5001,$A$332,BD!$G$3:$G$5001,"&lt;&gt;")=0,"",SUMIFS(BD!$G$3:$G$5001,BD!$A$3:$A$5001,W$3,BD!$B$3:$B$5001,$A$332)))</f>
        <v/>
      </c>
      <c r="X336" s="187" t="str">
        <f>IF(X$3="","",IF(COUNTIFS(BD!$A$3:$A$5001,X$3,BD!$B$3:$B$5001,$A$332,BD!$G$3:$G$5001,"&lt;&gt;")=0,"",SUMIFS(BD!$G$3:$G$5001,BD!$A$3:$A$5001,X$3,BD!$B$3:$B$5001,$A$332)))</f>
        <v/>
      </c>
      <c r="Y336" s="187" t="str">
        <f>IF(Y$3="","",IF(COUNTIFS(BD!$A$3:$A$5001,Y$3,BD!$B$3:$B$5001,$A$332,BD!$G$3:$G$5001,"&lt;&gt;")=0,"",SUMIFS(BD!$G$3:$G$5001,BD!$A$3:$A$5001,Y$3,BD!$B$3:$B$5001,$A$332)))</f>
        <v/>
      </c>
      <c r="Z336" s="187" t="str">
        <f>IF(Z$3="","",IF(COUNTIFS(BD!$A$3:$A$5001,Z$3,BD!$B$3:$B$5001,$A$332,BD!$G$3:$G$5001,"&lt;&gt;")=0,"",SUMIFS(BD!$G$3:$G$5001,BD!$A$3:$A$5001,Z$3,BD!$B$3:$B$5001,$A$332)))</f>
        <v/>
      </c>
      <c r="AA336" s="187" t="str">
        <f>IF(AA$3="","",IF(COUNTIFS(BD!$A$3:$A$5001,AA$3,BD!$B$3:$B$5001,$A$332,BD!$G$3:$G$5001,"&lt;&gt;")=0,"",SUMIFS(BD!$G$3:$G$5001,BD!$A$3:$A$5001,AA$3,BD!$B$3:$B$5001,$A$332)))</f>
        <v/>
      </c>
      <c r="AB336" s="187" t="str">
        <f>IF(AB$3="","",IF(COUNTIFS(BD!$A$3:$A$5001,AB$3,BD!$B$3:$B$5001,$A$332,BD!$G$3:$G$5001,"&lt;&gt;")=0,"",SUMIFS(BD!$G$3:$G$5001,BD!$A$3:$A$5001,AB$3,BD!$B$3:$B$5001,$A$332)))</f>
        <v/>
      </c>
      <c r="AC336" s="187" t="str">
        <f>IF(AC$3="","",IF(COUNTIFS(BD!$A$3:$A$5001,AC$3,BD!$B$3:$B$5001,$A$332,BD!$G$3:$G$5001,"&lt;&gt;")=0,"",SUMIFS(BD!$G$3:$G$5001,BD!$A$3:$A$5001,AC$3,BD!$B$3:$B$5001,$A$332)))</f>
        <v/>
      </c>
      <c r="AD336" s="187" t="str">
        <f>IF(AD$3="","",IF(COUNTIFS(BD!$A$3:$A$5001,AD$3,BD!$B$3:$B$5001,$A$332,BD!$G$3:$G$5001,"&lt;&gt;")=0,"",SUMIFS(BD!$G$3:$G$5001,BD!$A$3:$A$5001,AD$3,BD!$B$3:$B$5001,$A$332)))</f>
        <v/>
      </c>
      <c r="AE336" s="187" t="str">
        <f>IF(AE$3="","",IF(COUNTIFS(BD!$A$3:$A$5001,AE$3,BD!$B$3:$B$5001,$A$332,BD!$G$3:$G$5001,"&lt;&gt;")=0,"",SUMIFS(BD!$G$3:$G$5001,BD!$A$3:$A$5001,AE$3,BD!$B$3:$B$5001,$A$332)))</f>
        <v/>
      </c>
      <c r="AF336" s="187" t="str">
        <f>IF(AF$3="","",IF(COUNTIFS(BD!$A$3:$A$5001,AF$3,BD!$B$3:$B$5001,$A$332,BD!$G$3:$G$5001,"&lt;&gt;")=0,"",SUMIFS(BD!$G$3:$G$5001,BD!$A$3:$A$5001,AF$3,BD!$B$3:$B$5001,$A$332)))</f>
        <v/>
      </c>
      <c r="AG336" s="187" t="str">
        <f>IF(AG$3="","",IF(COUNTIFS(BD!$A$3:$A$5001,AG$3,BD!$B$3:$B$5001,$A$332,BD!$G$3:$G$5001,"&lt;&gt;")=0,"",SUMIFS(BD!$G$3:$G$5001,BD!$A$3:$A$5001,AG$3,BD!$B$3:$B$5001,$A$332)))</f>
        <v/>
      </c>
      <c r="AH336" s="187" t="str">
        <f>IF(AH$3="","",IF(COUNTIFS(BD!$A$3:$A$5001,AH$3,BD!$B$3:$B$5001,$A$332,BD!$G$3:$G$5001,"&lt;&gt;")=0,"",SUMIFS(BD!$G$3:$G$5001,BD!$A$3:$A$5001,AH$3,BD!$B$3:$B$5001,$A$332)))</f>
        <v/>
      </c>
      <c r="AI336" s="187" t="str">
        <f>IF(AI$3="","",IF(COUNTIFS(BD!$A$3:$A$5001,AI$3,BD!$B$3:$B$5001,$A$332,BD!$G$3:$G$5001,"&lt;&gt;")=0,"",SUMIFS(BD!$G$3:$G$5001,BD!$A$3:$A$5001,AI$3,BD!$B$3:$B$5001,$A$332)))</f>
        <v/>
      </c>
      <c r="AJ336" s="188" t="str">
        <f>IF(AJ$3="","",IF(COUNTIFS(BD!$A$3:$A$5001,AJ$3,BD!$B$3:$B$5001,$A$332,BD!$G$3:$G$5001,"&lt;&gt;")=0,"",SUMIFS(BD!$G$3:$G$5001,BD!$A$3:$A$5001,AJ$3,BD!$B$3:$B$5001,$A$332)))</f>
        <v/>
      </c>
      <c r="AK336" s="189" t="str">
        <f>IF(COUNT(F336:AJ336)=0,"",SUM(F336:AJ336))</f>
        <v/>
      </c>
    </row>
    <row r="337" ht="15.75" customHeight="1" hidden="1">
      <c r="A337" s="254"/>
      <c r="B337" s="246"/>
      <c r="C337" s="190" t="inlineStr">
        <is>
          <t xml:space="preserve">Toneladas Movimentadas</t>
        </is>
      </c>
      <c r="D337" s="191" t="str">
        <f>IFERROR(1/(1/INDEX(BD!$Y$28:$AS$28,MATCH($A$332,BD!$Y$22:$AS$22,0))),"")</f>
        <v/>
      </c>
      <c r="E337" s="192"/>
      <c r="F337" s="193" t="str">
        <f>IF(F$3="","",IF(COUNTIFS(BD!$A$3:$A$5001,F$3,BD!$B$3:$B$5001,$A$332,BD!$H$3:$H$5001,"&lt;&gt;")=0,"",SUMIFS(BD!$H$3:$H$5001,BD!$A$3:$A$5001,F$3,BD!$B$3:$B$5001,$A$332)))</f>
        <v/>
      </c>
      <c r="G337" s="194" t="str">
        <f>IF(G$3="","",IF(COUNTIFS(BD!$A$3:$A$5001,G$3,BD!$B$3:$B$5001,$A$332,BD!$H$3:$H$5001,"&lt;&gt;")=0,"",SUMIFS(BD!$H$3:$H$5001,BD!$A$3:$A$5001,G$3,BD!$B$3:$B$5001,$A$332)))</f>
        <v/>
      </c>
      <c r="H337" s="194" t="str">
        <f>IF(H$3="","",IF(COUNTIFS(BD!$A$3:$A$5001,H$3,BD!$B$3:$B$5001,$A$332,BD!$H$3:$H$5001,"&lt;&gt;")=0,"",SUMIFS(BD!$H$3:$H$5001,BD!$A$3:$A$5001,H$3,BD!$B$3:$B$5001,$A$332)))</f>
        <v/>
      </c>
      <c r="I337" s="194" t="str">
        <f>IF(I$3="","",IF(COUNTIFS(BD!$A$3:$A$5001,I$3,BD!$B$3:$B$5001,$A$332,BD!$H$3:$H$5001,"&lt;&gt;")=0,"",SUMIFS(BD!$H$3:$H$5001,BD!$A$3:$A$5001,I$3,BD!$B$3:$B$5001,$A$332)))</f>
        <v/>
      </c>
      <c r="J337" s="194" t="str">
        <f>IF(J$3="","",IF(COUNTIFS(BD!$A$3:$A$5001,J$3,BD!$B$3:$B$5001,$A$332,BD!$H$3:$H$5001,"&lt;&gt;")=0,"",SUMIFS(BD!$H$3:$H$5001,BD!$A$3:$A$5001,J$3,BD!$B$3:$B$5001,$A$332)))</f>
        <v/>
      </c>
      <c r="K337" s="194" t="str">
        <f>IF(K$3="","",IF(COUNTIFS(BD!$A$3:$A$5001,K$3,BD!$B$3:$B$5001,$A$332,BD!$H$3:$H$5001,"&lt;&gt;")=0,"",SUMIFS(BD!$H$3:$H$5001,BD!$A$3:$A$5001,K$3,BD!$B$3:$B$5001,$A$332)))</f>
        <v/>
      </c>
      <c r="L337" s="194" t="str">
        <f>IF(L$3="","",IF(COUNTIFS(BD!$A$3:$A$5001,L$3,BD!$B$3:$B$5001,$A$332,BD!$H$3:$H$5001,"&lt;&gt;")=0,"",SUMIFS(BD!$H$3:$H$5001,BD!$A$3:$A$5001,L$3,BD!$B$3:$B$5001,$A$332)))</f>
        <v/>
      </c>
      <c r="M337" s="194" t="str">
        <f>IF(M$3="","",IF(COUNTIFS(BD!$A$3:$A$5001,M$3,BD!$B$3:$B$5001,$A$332,BD!$H$3:$H$5001,"&lt;&gt;")=0,"",SUMIFS(BD!$H$3:$H$5001,BD!$A$3:$A$5001,M$3,BD!$B$3:$B$5001,$A$332)))</f>
        <v/>
      </c>
      <c r="N337" s="194" t="str">
        <f>IF(N$3="","",IF(COUNTIFS(BD!$A$3:$A$5001,N$3,BD!$B$3:$B$5001,$A$332,BD!$H$3:$H$5001,"&lt;&gt;")=0,"",SUMIFS(BD!$H$3:$H$5001,BD!$A$3:$A$5001,N$3,BD!$B$3:$B$5001,$A$332)))</f>
        <v/>
      </c>
      <c r="O337" s="194" t="str">
        <f>IF(O$3="","",IF(COUNTIFS(BD!$A$3:$A$5001,O$3,BD!$B$3:$B$5001,$A$332,BD!$H$3:$H$5001,"&lt;&gt;")=0,"",SUMIFS(BD!$H$3:$H$5001,BD!$A$3:$A$5001,O$3,BD!$B$3:$B$5001,$A$332)))</f>
        <v/>
      </c>
      <c r="P337" s="194" t="str">
        <f>IF(P$3="","",IF(COUNTIFS(BD!$A$3:$A$5001,P$3,BD!$B$3:$B$5001,$A$332,BD!$H$3:$H$5001,"&lt;&gt;")=0,"",SUMIFS(BD!$H$3:$H$5001,BD!$A$3:$A$5001,P$3,BD!$B$3:$B$5001,$A$332)))</f>
        <v/>
      </c>
      <c r="Q337" s="194" t="str">
        <f>IF(Q$3="","",IF(COUNTIFS(BD!$A$3:$A$5001,Q$3,BD!$B$3:$B$5001,$A$332,BD!$H$3:$H$5001,"&lt;&gt;")=0,"",SUMIFS(BD!$H$3:$H$5001,BD!$A$3:$A$5001,Q$3,BD!$B$3:$B$5001,$A$332)))</f>
        <v/>
      </c>
      <c r="R337" s="194" t="str">
        <f>IF(R$3="","",IF(COUNTIFS(BD!$A$3:$A$5001,R$3,BD!$B$3:$B$5001,$A$332,BD!$H$3:$H$5001,"&lt;&gt;")=0,"",SUMIFS(BD!$H$3:$H$5001,BD!$A$3:$A$5001,R$3,BD!$B$3:$B$5001,$A$332)))</f>
        <v/>
      </c>
      <c r="S337" s="194" t="str">
        <f>IF(S$3="","",IF(COUNTIFS(BD!$A$3:$A$5001,S$3,BD!$B$3:$B$5001,$A$332,BD!$H$3:$H$5001,"&lt;&gt;")=0,"",SUMIFS(BD!$H$3:$H$5001,BD!$A$3:$A$5001,S$3,BD!$B$3:$B$5001,$A$332)))</f>
        <v/>
      </c>
      <c r="T337" s="194" t="str">
        <f>IF(T$3="","",IF(COUNTIFS(BD!$A$3:$A$5001,T$3,BD!$B$3:$B$5001,$A$332,BD!$H$3:$H$5001,"&lt;&gt;")=0,"",SUMIFS(BD!$H$3:$H$5001,BD!$A$3:$A$5001,T$3,BD!$B$3:$B$5001,$A$332)))</f>
        <v/>
      </c>
      <c r="U337" s="194" t="str">
        <f>IF(U$3="","",IF(COUNTIFS(BD!$A$3:$A$5001,U$3,BD!$B$3:$B$5001,$A$332,BD!$H$3:$H$5001,"&lt;&gt;")=0,"",SUMIFS(BD!$H$3:$H$5001,BD!$A$3:$A$5001,U$3,BD!$B$3:$B$5001,$A$332)))</f>
        <v/>
      </c>
      <c r="V337" s="194" t="str">
        <f>IF(V$3="","",IF(COUNTIFS(BD!$A$3:$A$5001,V$3,BD!$B$3:$B$5001,$A$332,BD!$H$3:$H$5001,"&lt;&gt;")=0,"",SUMIFS(BD!$H$3:$H$5001,BD!$A$3:$A$5001,V$3,BD!$B$3:$B$5001,$A$332)))</f>
        <v/>
      </c>
      <c r="W337" s="194" t="str">
        <f>IF(W$3="","",IF(COUNTIFS(BD!$A$3:$A$5001,W$3,BD!$B$3:$B$5001,$A$332,BD!$H$3:$H$5001,"&lt;&gt;")=0,"",SUMIFS(BD!$H$3:$H$5001,BD!$A$3:$A$5001,W$3,BD!$B$3:$B$5001,$A$332)))</f>
        <v/>
      </c>
      <c r="X337" s="194" t="str">
        <f>IF(X$3="","",IF(COUNTIFS(BD!$A$3:$A$5001,X$3,BD!$B$3:$B$5001,$A$332,BD!$H$3:$H$5001,"&lt;&gt;")=0,"",SUMIFS(BD!$H$3:$H$5001,BD!$A$3:$A$5001,X$3,BD!$B$3:$B$5001,$A$332)))</f>
        <v/>
      </c>
      <c r="Y337" s="194" t="str">
        <f>IF(Y$3="","",IF(COUNTIFS(BD!$A$3:$A$5001,Y$3,BD!$B$3:$B$5001,$A$332,BD!$H$3:$H$5001,"&lt;&gt;")=0,"",SUMIFS(BD!$H$3:$H$5001,BD!$A$3:$A$5001,Y$3,BD!$B$3:$B$5001,$A$332)))</f>
        <v/>
      </c>
      <c r="Z337" s="194" t="str">
        <f>IF(Z$3="","",IF(COUNTIFS(BD!$A$3:$A$5001,Z$3,BD!$B$3:$B$5001,$A$332,BD!$H$3:$H$5001,"&lt;&gt;")=0,"",SUMIFS(BD!$H$3:$H$5001,BD!$A$3:$A$5001,Z$3,BD!$B$3:$B$5001,$A$332)))</f>
        <v/>
      </c>
      <c r="AA337" s="194" t="str">
        <f>IF(AA$3="","",IF(COUNTIFS(BD!$A$3:$A$5001,AA$3,BD!$B$3:$B$5001,$A$332,BD!$H$3:$H$5001,"&lt;&gt;")=0,"",SUMIFS(BD!$H$3:$H$5001,BD!$A$3:$A$5001,AA$3,BD!$B$3:$B$5001,$A$332)))</f>
        <v/>
      </c>
      <c r="AB337" s="194" t="str">
        <f>IF(AB$3="","",IF(COUNTIFS(BD!$A$3:$A$5001,AB$3,BD!$B$3:$B$5001,$A$332,BD!$H$3:$H$5001,"&lt;&gt;")=0,"",SUMIFS(BD!$H$3:$H$5001,BD!$A$3:$A$5001,AB$3,BD!$B$3:$B$5001,$A$332)))</f>
        <v/>
      </c>
      <c r="AC337" s="194" t="str">
        <f>IF(AC$3="","",IF(COUNTIFS(BD!$A$3:$A$5001,AC$3,BD!$B$3:$B$5001,$A$332,BD!$H$3:$H$5001,"&lt;&gt;")=0,"",SUMIFS(BD!$H$3:$H$5001,BD!$A$3:$A$5001,AC$3,BD!$B$3:$B$5001,$A$332)))</f>
        <v/>
      </c>
      <c r="AD337" s="194" t="str">
        <f>IF(AD$3="","",IF(COUNTIFS(BD!$A$3:$A$5001,AD$3,BD!$B$3:$B$5001,$A$332,BD!$H$3:$H$5001,"&lt;&gt;")=0,"",SUMIFS(BD!$H$3:$H$5001,BD!$A$3:$A$5001,AD$3,BD!$B$3:$B$5001,$A$332)))</f>
        <v/>
      </c>
      <c r="AE337" s="194" t="str">
        <f>IF(AE$3="","",IF(COUNTIFS(BD!$A$3:$A$5001,AE$3,BD!$B$3:$B$5001,$A$332,BD!$H$3:$H$5001,"&lt;&gt;")=0,"",SUMIFS(BD!$H$3:$H$5001,BD!$A$3:$A$5001,AE$3,BD!$B$3:$B$5001,$A$332)))</f>
        <v/>
      </c>
      <c r="AF337" s="194" t="str">
        <f>IF(AF$3="","",IF(COUNTIFS(BD!$A$3:$A$5001,AF$3,BD!$B$3:$B$5001,$A$332,BD!$H$3:$H$5001,"&lt;&gt;")=0,"",SUMIFS(BD!$H$3:$H$5001,BD!$A$3:$A$5001,AF$3,BD!$B$3:$B$5001,$A$332)))</f>
        <v/>
      </c>
      <c r="AG337" s="194" t="str">
        <f>IF(AG$3="","",IF(COUNTIFS(BD!$A$3:$A$5001,AG$3,BD!$B$3:$B$5001,$A$332,BD!$H$3:$H$5001,"&lt;&gt;")=0,"",SUMIFS(BD!$H$3:$H$5001,BD!$A$3:$A$5001,AG$3,BD!$B$3:$B$5001,$A$332)))</f>
        <v/>
      </c>
      <c r="AH337" s="194" t="str">
        <f>IF(AH$3="","",IF(COUNTIFS(BD!$A$3:$A$5001,AH$3,BD!$B$3:$B$5001,$A$332,BD!$H$3:$H$5001,"&lt;&gt;")=0,"",SUMIFS(BD!$H$3:$H$5001,BD!$A$3:$A$5001,AH$3,BD!$B$3:$B$5001,$A$332)))</f>
        <v/>
      </c>
      <c r="AI337" s="194" t="str">
        <f>IF(AI$3="","",IF(COUNTIFS(BD!$A$3:$A$5001,AI$3,BD!$B$3:$B$5001,$A$332,BD!$H$3:$H$5001,"&lt;&gt;")=0,"",SUMIFS(BD!$H$3:$H$5001,BD!$A$3:$A$5001,AI$3,BD!$B$3:$B$5001,$A$332)))</f>
        <v/>
      </c>
      <c r="AJ337" s="195" t="str">
        <f>IF(AJ$3="","",IF(COUNTIFS(BD!$A$3:$A$5001,AJ$3,BD!$B$3:$B$5001,$A$332,BD!$H$3:$H$5001,"&lt;&gt;")=0,"",SUMIFS(BD!$H$3:$H$5001,BD!$A$3:$A$5001,AJ$3,BD!$B$3:$B$5001,$A$332)))</f>
        <v/>
      </c>
      <c r="AK337" s="196" t="str">
        <f>IF(COUNT(F337:AJ337)=0,"",SUM(F337:AJ337))</f>
        <v/>
      </c>
    </row>
    <row r="338" ht="15.75" customHeight="1" hidden="1">
      <c r="A338" s="254"/>
      <c r="B338" s="247" t="inlineStr">
        <is>
          <t xml:space="preserve">NC</t>
        </is>
      </c>
      <c r="C338" s="197" t="inlineStr">
        <is>
          <t xml:space="preserve">Incidentes</t>
        </is>
      </c>
      <c r="D338" s="198" t="str">
        <f>IFERROR(1/(1/INDEX(BD!$Y$29:$AS$29,MATCH($A$332,BD!$Y$22:$AS$22,0))),"")</f>
        <v/>
      </c>
      <c r="E338" s="199"/>
      <c r="F338" s="200" t="str">
        <f>IF(F$3="","",IF(COUNTIFS(BD!$A$3:$A$5001,F$3,BD!$B$3:$B$5001,$A$332,BD!$I$3:$I$5001,"&lt;&gt;")=0,"",SUMIFS(BD!$I$3:$I$5001,BD!$A$3:$A$5001,F$3,BD!$B$3:$B$5001,$A$332)))</f>
        <v/>
      </c>
      <c r="G338" s="201" t="str">
        <f>IF(G$3="","",IF(COUNTIFS(BD!$A$3:$A$5001,G$3,BD!$B$3:$B$5001,$A$332,BD!$I$3:$I$5001,"&lt;&gt;")=0,"",SUMIFS(BD!$I$3:$I$5001,BD!$A$3:$A$5001,G$3,BD!$B$3:$B$5001,$A$332)))</f>
        <v/>
      </c>
      <c r="H338" s="201" t="str">
        <f>IF(H$3="","",IF(COUNTIFS(BD!$A$3:$A$5001,H$3,BD!$B$3:$B$5001,$A$332,BD!$I$3:$I$5001,"&lt;&gt;")=0,"",SUMIFS(BD!$I$3:$I$5001,BD!$A$3:$A$5001,H$3,BD!$B$3:$B$5001,$A$332)))</f>
        <v/>
      </c>
      <c r="I338" s="201" t="str">
        <f>IF(I$3="","",IF(COUNTIFS(BD!$A$3:$A$5001,I$3,BD!$B$3:$B$5001,$A$332,BD!$I$3:$I$5001,"&lt;&gt;")=0,"",SUMIFS(BD!$I$3:$I$5001,BD!$A$3:$A$5001,I$3,BD!$B$3:$B$5001,$A$332)))</f>
        <v/>
      </c>
      <c r="J338" s="201" t="str">
        <f>IF(J$3="","",IF(COUNTIFS(BD!$A$3:$A$5001,J$3,BD!$B$3:$B$5001,$A$332,BD!$I$3:$I$5001,"&lt;&gt;")=0,"",SUMIFS(BD!$I$3:$I$5001,BD!$A$3:$A$5001,J$3,BD!$B$3:$B$5001,$A$332)))</f>
        <v/>
      </c>
      <c r="K338" s="201" t="str">
        <f>IF(K$3="","",IF(COUNTIFS(BD!$A$3:$A$5001,K$3,BD!$B$3:$B$5001,$A$332,BD!$I$3:$I$5001,"&lt;&gt;")=0,"",SUMIFS(BD!$I$3:$I$5001,BD!$A$3:$A$5001,K$3,BD!$B$3:$B$5001,$A$332)))</f>
        <v/>
      </c>
      <c r="L338" s="201" t="str">
        <f>IF(L$3="","",IF(COUNTIFS(BD!$A$3:$A$5001,L$3,BD!$B$3:$B$5001,$A$332,BD!$I$3:$I$5001,"&lt;&gt;")=0,"",SUMIFS(BD!$I$3:$I$5001,BD!$A$3:$A$5001,L$3,BD!$B$3:$B$5001,$A$332)))</f>
        <v/>
      </c>
      <c r="M338" s="201" t="str">
        <f>IF(M$3="","",IF(COUNTIFS(BD!$A$3:$A$5001,M$3,BD!$B$3:$B$5001,$A$332,BD!$I$3:$I$5001,"&lt;&gt;")=0,"",SUMIFS(BD!$I$3:$I$5001,BD!$A$3:$A$5001,M$3,BD!$B$3:$B$5001,$A$332)))</f>
        <v/>
      </c>
      <c r="N338" s="201" t="str">
        <f>IF(N$3="","",IF(COUNTIFS(BD!$A$3:$A$5001,N$3,BD!$B$3:$B$5001,$A$332,BD!$I$3:$I$5001,"&lt;&gt;")=0,"",SUMIFS(BD!$I$3:$I$5001,BD!$A$3:$A$5001,N$3,BD!$B$3:$B$5001,$A$332)))</f>
        <v/>
      </c>
      <c r="O338" s="201" t="str">
        <f>IF(O$3="","",IF(COUNTIFS(BD!$A$3:$A$5001,O$3,BD!$B$3:$B$5001,$A$332,BD!$I$3:$I$5001,"&lt;&gt;")=0,"",SUMIFS(BD!$I$3:$I$5001,BD!$A$3:$A$5001,O$3,BD!$B$3:$B$5001,$A$332)))</f>
        <v/>
      </c>
      <c r="P338" s="201" t="str">
        <f>IF(P$3="","",IF(COUNTIFS(BD!$A$3:$A$5001,P$3,BD!$B$3:$B$5001,$A$332,BD!$I$3:$I$5001,"&lt;&gt;")=0,"",SUMIFS(BD!$I$3:$I$5001,BD!$A$3:$A$5001,P$3,BD!$B$3:$B$5001,$A$332)))</f>
        <v/>
      </c>
      <c r="Q338" s="201" t="str">
        <f>IF(Q$3="","",IF(COUNTIFS(BD!$A$3:$A$5001,Q$3,BD!$B$3:$B$5001,$A$332,BD!$I$3:$I$5001,"&lt;&gt;")=0,"",SUMIFS(BD!$I$3:$I$5001,BD!$A$3:$A$5001,Q$3,BD!$B$3:$B$5001,$A$332)))</f>
        <v/>
      </c>
      <c r="R338" s="201" t="str">
        <f>IF(R$3="","",IF(COUNTIFS(BD!$A$3:$A$5001,R$3,BD!$B$3:$B$5001,$A$332,BD!$I$3:$I$5001,"&lt;&gt;")=0,"",SUMIFS(BD!$I$3:$I$5001,BD!$A$3:$A$5001,R$3,BD!$B$3:$B$5001,$A$332)))</f>
        <v/>
      </c>
      <c r="S338" s="201" t="str">
        <f>IF(S$3="","",IF(COUNTIFS(BD!$A$3:$A$5001,S$3,BD!$B$3:$B$5001,$A$332,BD!$I$3:$I$5001,"&lt;&gt;")=0,"",SUMIFS(BD!$I$3:$I$5001,BD!$A$3:$A$5001,S$3,BD!$B$3:$B$5001,$A$332)))</f>
        <v/>
      </c>
      <c r="T338" s="201" t="str">
        <f>IF(T$3="","",IF(COUNTIFS(BD!$A$3:$A$5001,T$3,BD!$B$3:$B$5001,$A$332,BD!$I$3:$I$5001,"&lt;&gt;")=0,"",SUMIFS(BD!$I$3:$I$5001,BD!$A$3:$A$5001,T$3,BD!$B$3:$B$5001,$A$332)))</f>
        <v/>
      </c>
      <c r="U338" s="201" t="str">
        <f>IF(U$3="","",IF(COUNTIFS(BD!$A$3:$A$5001,U$3,BD!$B$3:$B$5001,$A$332,BD!$I$3:$I$5001,"&lt;&gt;")=0,"",SUMIFS(BD!$I$3:$I$5001,BD!$A$3:$A$5001,U$3,BD!$B$3:$B$5001,$A$332)))</f>
        <v/>
      </c>
      <c r="V338" s="201" t="str">
        <f>IF(V$3="","",IF(COUNTIFS(BD!$A$3:$A$5001,V$3,BD!$B$3:$B$5001,$A$332,BD!$I$3:$I$5001,"&lt;&gt;")=0,"",SUMIFS(BD!$I$3:$I$5001,BD!$A$3:$A$5001,V$3,BD!$B$3:$B$5001,$A$332)))</f>
        <v/>
      </c>
      <c r="W338" s="201" t="str">
        <f>IF(W$3="","",IF(COUNTIFS(BD!$A$3:$A$5001,W$3,BD!$B$3:$B$5001,$A$332,BD!$I$3:$I$5001,"&lt;&gt;")=0,"",SUMIFS(BD!$I$3:$I$5001,BD!$A$3:$A$5001,W$3,BD!$B$3:$B$5001,$A$332)))</f>
        <v/>
      </c>
      <c r="X338" s="201" t="str">
        <f>IF(X$3="","",IF(COUNTIFS(BD!$A$3:$A$5001,X$3,BD!$B$3:$B$5001,$A$332,BD!$I$3:$I$5001,"&lt;&gt;")=0,"",SUMIFS(BD!$I$3:$I$5001,BD!$A$3:$A$5001,X$3,BD!$B$3:$B$5001,$A$332)))</f>
        <v/>
      </c>
      <c r="Y338" s="201" t="str">
        <f>IF(Y$3="","",IF(COUNTIFS(BD!$A$3:$A$5001,Y$3,BD!$B$3:$B$5001,$A$332,BD!$I$3:$I$5001,"&lt;&gt;")=0,"",SUMIFS(BD!$I$3:$I$5001,BD!$A$3:$A$5001,Y$3,BD!$B$3:$B$5001,$A$332)))</f>
        <v/>
      </c>
      <c r="Z338" s="201" t="str">
        <f>IF(Z$3="","",IF(COUNTIFS(BD!$A$3:$A$5001,Z$3,BD!$B$3:$B$5001,$A$332,BD!$I$3:$I$5001,"&lt;&gt;")=0,"",SUMIFS(BD!$I$3:$I$5001,BD!$A$3:$A$5001,Z$3,BD!$B$3:$B$5001,$A$332)))</f>
        <v/>
      </c>
      <c r="AA338" s="201" t="str">
        <f>IF(AA$3="","",IF(COUNTIFS(BD!$A$3:$A$5001,AA$3,BD!$B$3:$B$5001,$A$332,BD!$I$3:$I$5001,"&lt;&gt;")=0,"",SUMIFS(BD!$I$3:$I$5001,BD!$A$3:$A$5001,AA$3,BD!$B$3:$B$5001,$A$332)))</f>
        <v/>
      </c>
      <c r="AB338" s="201" t="str">
        <f>IF(AB$3="","",IF(COUNTIFS(BD!$A$3:$A$5001,AB$3,BD!$B$3:$B$5001,$A$332,BD!$I$3:$I$5001,"&lt;&gt;")=0,"",SUMIFS(BD!$I$3:$I$5001,BD!$A$3:$A$5001,AB$3,BD!$B$3:$B$5001,$A$332)))</f>
        <v/>
      </c>
      <c r="AC338" s="201" t="str">
        <f>IF(AC$3="","",IF(COUNTIFS(BD!$A$3:$A$5001,AC$3,BD!$B$3:$B$5001,$A$332,BD!$I$3:$I$5001,"&lt;&gt;")=0,"",SUMIFS(BD!$I$3:$I$5001,BD!$A$3:$A$5001,AC$3,BD!$B$3:$B$5001,$A$332)))</f>
        <v/>
      </c>
      <c r="AD338" s="201" t="str">
        <f>IF(AD$3="","",IF(COUNTIFS(BD!$A$3:$A$5001,AD$3,BD!$B$3:$B$5001,$A$332,BD!$I$3:$I$5001,"&lt;&gt;")=0,"",SUMIFS(BD!$I$3:$I$5001,BD!$A$3:$A$5001,AD$3,BD!$B$3:$B$5001,$A$332)))</f>
        <v/>
      </c>
      <c r="AE338" s="201" t="str">
        <f>IF(AE$3="","",IF(COUNTIFS(BD!$A$3:$A$5001,AE$3,BD!$B$3:$B$5001,$A$332,BD!$I$3:$I$5001,"&lt;&gt;")=0,"",SUMIFS(BD!$I$3:$I$5001,BD!$A$3:$A$5001,AE$3,BD!$B$3:$B$5001,$A$332)))</f>
        <v/>
      </c>
      <c r="AF338" s="201" t="str">
        <f>IF(AF$3="","",IF(COUNTIFS(BD!$A$3:$A$5001,AF$3,BD!$B$3:$B$5001,$A$332,BD!$I$3:$I$5001,"&lt;&gt;")=0,"",SUMIFS(BD!$I$3:$I$5001,BD!$A$3:$A$5001,AF$3,BD!$B$3:$B$5001,$A$332)))</f>
        <v/>
      </c>
      <c r="AG338" s="201" t="str">
        <f>IF(AG$3="","",IF(COUNTIFS(BD!$A$3:$A$5001,AG$3,BD!$B$3:$B$5001,$A$332,BD!$I$3:$I$5001,"&lt;&gt;")=0,"",SUMIFS(BD!$I$3:$I$5001,BD!$A$3:$A$5001,AG$3,BD!$B$3:$B$5001,$A$332)))</f>
        <v/>
      </c>
      <c r="AH338" s="201" t="str">
        <f>IF(AH$3="","",IF(COUNTIFS(BD!$A$3:$A$5001,AH$3,BD!$B$3:$B$5001,$A$332,BD!$I$3:$I$5001,"&lt;&gt;")=0,"",SUMIFS(BD!$I$3:$I$5001,BD!$A$3:$A$5001,AH$3,BD!$B$3:$B$5001,$A$332)))</f>
        <v/>
      </c>
      <c r="AI338" s="201" t="str">
        <f>IF(AI$3="","",IF(COUNTIFS(BD!$A$3:$A$5001,AI$3,BD!$B$3:$B$5001,$A$332,BD!$I$3:$I$5001,"&lt;&gt;")=0,"",SUMIFS(BD!$I$3:$I$5001,BD!$A$3:$A$5001,AI$3,BD!$B$3:$B$5001,$A$332)))</f>
        <v/>
      </c>
      <c r="AJ338" s="202" t="str">
        <f>IF(AJ$3="","",IF(COUNTIFS(BD!$A$3:$A$5001,AJ$3,BD!$B$3:$B$5001,$A$332,BD!$I$3:$I$5001,"&lt;&gt;")=0,"",SUMIFS(BD!$I$3:$I$5001,BD!$A$3:$A$5001,AJ$3,BD!$B$3:$B$5001,$A$332)))</f>
        <v/>
      </c>
      <c r="AK338" s="203" t="str">
        <f>IF(COUNT(F338:AJ338)=0,"",SUM(F338:AJ338))</f>
        <v/>
      </c>
    </row>
    <row r="339" ht="15.75" customHeight="1" hidden="1">
      <c r="A339" s="254"/>
      <c r="B339" s="248"/>
      <c r="C339" s="204" t="inlineStr">
        <is>
          <t xml:space="preserve">No show</t>
        </is>
      </c>
      <c r="D339" s="205" t="str">
        <f>IFERROR(1/(1/INDEX(BD!$Y$30:$AS$30,MATCH($A$332,BD!$Y$22:$AS$22,0))),"")</f>
        <v/>
      </c>
      <c r="E339" s="206"/>
      <c r="F339" s="207" t="str">
        <f>IF(F$3="","",IF(COUNTIFS(BD!$A$3:$A$5001,F$3,BD!$B$3:$B$5001,$A$332,BD!$J$3:$J$5001,"&lt;&gt;")=0,"",SUMIFS(BD!$J$3:$J$5001,BD!$A$3:$A$5001,F$3,BD!$B$3:$B$5001,$A$332)))</f>
        <v/>
      </c>
      <c r="G339" s="208" t="str">
        <f>IF(G$3="","",IF(COUNTIFS(BD!$A$3:$A$5001,G$3,BD!$B$3:$B$5001,$A$332,BD!$J$3:$J$5001,"&lt;&gt;")=0,"",SUMIFS(BD!$J$3:$J$5001,BD!$A$3:$A$5001,G$3,BD!$B$3:$B$5001,$A$332)))</f>
        <v/>
      </c>
      <c r="H339" s="208" t="str">
        <f>IF(H$3="","",IF(COUNTIFS(BD!$A$3:$A$5001,H$3,BD!$B$3:$B$5001,$A$332,BD!$J$3:$J$5001,"&lt;&gt;")=0,"",SUMIFS(BD!$J$3:$J$5001,BD!$A$3:$A$5001,H$3,BD!$B$3:$B$5001,$A$332)))</f>
        <v/>
      </c>
      <c r="I339" s="208" t="str">
        <f>IF(I$3="","",IF(COUNTIFS(BD!$A$3:$A$5001,I$3,BD!$B$3:$B$5001,$A$332,BD!$J$3:$J$5001,"&lt;&gt;")=0,"",SUMIFS(BD!$J$3:$J$5001,BD!$A$3:$A$5001,I$3,BD!$B$3:$B$5001,$A$332)))</f>
        <v/>
      </c>
      <c r="J339" s="208" t="str">
        <f>IF(J$3="","",IF(COUNTIFS(BD!$A$3:$A$5001,J$3,BD!$B$3:$B$5001,$A$332,BD!$J$3:$J$5001,"&lt;&gt;")=0,"",SUMIFS(BD!$J$3:$J$5001,BD!$A$3:$A$5001,J$3,BD!$B$3:$B$5001,$A$332)))</f>
        <v/>
      </c>
      <c r="K339" s="208" t="str">
        <f>IF(K$3="","",IF(COUNTIFS(BD!$A$3:$A$5001,K$3,BD!$B$3:$B$5001,$A$332,BD!$J$3:$J$5001,"&lt;&gt;")=0,"",SUMIFS(BD!$J$3:$J$5001,BD!$A$3:$A$5001,K$3,BD!$B$3:$B$5001,$A$332)))</f>
        <v/>
      </c>
      <c r="L339" s="208" t="str">
        <f>IF(L$3="","",IF(COUNTIFS(BD!$A$3:$A$5001,L$3,BD!$B$3:$B$5001,$A$332,BD!$J$3:$J$5001,"&lt;&gt;")=0,"",SUMIFS(BD!$J$3:$J$5001,BD!$A$3:$A$5001,L$3,BD!$B$3:$B$5001,$A$332)))</f>
        <v/>
      </c>
      <c r="M339" s="208" t="str">
        <f>IF(M$3="","",IF(COUNTIFS(BD!$A$3:$A$5001,M$3,BD!$B$3:$B$5001,$A$332,BD!$J$3:$J$5001,"&lt;&gt;")=0,"",SUMIFS(BD!$J$3:$J$5001,BD!$A$3:$A$5001,M$3,BD!$B$3:$B$5001,$A$332)))</f>
        <v/>
      </c>
      <c r="N339" s="208" t="str">
        <f>IF(N$3="","",IF(COUNTIFS(BD!$A$3:$A$5001,N$3,BD!$B$3:$B$5001,$A$332,BD!$J$3:$J$5001,"&lt;&gt;")=0,"",SUMIFS(BD!$J$3:$J$5001,BD!$A$3:$A$5001,N$3,BD!$B$3:$B$5001,$A$332)))</f>
        <v/>
      </c>
      <c r="O339" s="208" t="str">
        <f>IF(O$3="","",IF(COUNTIFS(BD!$A$3:$A$5001,O$3,BD!$B$3:$B$5001,$A$332,BD!$J$3:$J$5001,"&lt;&gt;")=0,"",SUMIFS(BD!$J$3:$J$5001,BD!$A$3:$A$5001,O$3,BD!$B$3:$B$5001,$A$332)))</f>
        <v/>
      </c>
      <c r="P339" s="208" t="str">
        <f>IF(P$3="","",IF(COUNTIFS(BD!$A$3:$A$5001,P$3,BD!$B$3:$B$5001,$A$332,BD!$J$3:$J$5001,"&lt;&gt;")=0,"",SUMIFS(BD!$J$3:$J$5001,BD!$A$3:$A$5001,P$3,BD!$B$3:$B$5001,$A$332)))</f>
        <v/>
      </c>
      <c r="Q339" s="208" t="str">
        <f>IF(Q$3="","",IF(COUNTIFS(BD!$A$3:$A$5001,Q$3,BD!$B$3:$B$5001,$A$332,BD!$J$3:$J$5001,"&lt;&gt;")=0,"",SUMIFS(BD!$J$3:$J$5001,BD!$A$3:$A$5001,Q$3,BD!$B$3:$B$5001,$A$332)))</f>
        <v/>
      </c>
      <c r="R339" s="208" t="str">
        <f>IF(R$3="","",IF(COUNTIFS(BD!$A$3:$A$5001,R$3,BD!$B$3:$B$5001,$A$332,BD!$J$3:$J$5001,"&lt;&gt;")=0,"",SUMIFS(BD!$J$3:$J$5001,BD!$A$3:$A$5001,R$3,BD!$B$3:$B$5001,$A$332)))</f>
        <v/>
      </c>
      <c r="S339" s="208" t="str">
        <f>IF(S$3="","",IF(COUNTIFS(BD!$A$3:$A$5001,S$3,BD!$B$3:$B$5001,$A$332,BD!$J$3:$J$5001,"&lt;&gt;")=0,"",SUMIFS(BD!$J$3:$J$5001,BD!$A$3:$A$5001,S$3,BD!$B$3:$B$5001,$A$332)))</f>
        <v/>
      </c>
      <c r="T339" s="208" t="str">
        <f>IF(T$3="","",IF(COUNTIFS(BD!$A$3:$A$5001,T$3,BD!$B$3:$B$5001,$A$332,BD!$J$3:$J$5001,"&lt;&gt;")=0,"",SUMIFS(BD!$J$3:$J$5001,BD!$A$3:$A$5001,T$3,BD!$B$3:$B$5001,$A$332)))</f>
        <v/>
      </c>
      <c r="U339" s="208" t="str">
        <f>IF(U$3="","",IF(COUNTIFS(BD!$A$3:$A$5001,U$3,BD!$B$3:$B$5001,$A$332,BD!$J$3:$J$5001,"&lt;&gt;")=0,"",SUMIFS(BD!$J$3:$J$5001,BD!$A$3:$A$5001,U$3,BD!$B$3:$B$5001,$A$332)))</f>
        <v/>
      </c>
      <c r="V339" s="208" t="str">
        <f>IF(V$3="","",IF(COUNTIFS(BD!$A$3:$A$5001,V$3,BD!$B$3:$B$5001,$A$332,BD!$J$3:$J$5001,"&lt;&gt;")=0,"",SUMIFS(BD!$J$3:$J$5001,BD!$A$3:$A$5001,V$3,BD!$B$3:$B$5001,$A$332)))</f>
        <v/>
      </c>
      <c r="W339" s="208" t="str">
        <f>IF(W$3="","",IF(COUNTIFS(BD!$A$3:$A$5001,W$3,BD!$B$3:$B$5001,$A$332,BD!$J$3:$J$5001,"&lt;&gt;")=0,"",SUMIFS(BD!$J$3:$J$5001,BD!$A$3:$A$5001,W$3,BD!$B$3:$B$5001,$A$332)))</f>
        <v/>
      </c>
      <c r="X339" s="208" t="str">
        <f>IF(X$3="","",IF(COUNTIFS(BD!$A$3:$A$5001,X$3,BD!$B$3:$B$5001,$A$332,BD!$J$3:$J$5001,"&lt;&gt;")=0,"",SUMIFS(BD!$J$3:$J$5001,BD!$A$3:$A$5001,X$3,BD!$B$3:$B$5001,$A$332)))</f>
        <v/>
      </c>
      <c r="Y339" s="208" t="str">
        <f>IF(Y$3="","",IF(COUNTIFS(BD!$A$3:$A$5001,Y$3,BD!$B$3:$B$5001,$A$332,BD!$J$3:$J$5001,"&lt;&gt;")=0,"",SUMIFS(BD!$J$3:$J$5001,BD!$A$3:$A$5001,Y$3,BD!$B$3:$B$5001,$A$332)))</f>
        <v/>
      </c>
      <c r="Z339" s="208" t="str">
        <f>IF(Z$3="","",IF(COUNTIFS(BD!$A$3:$A$5001,Z$3,BD!$B$3:$B$5001,$A$332,BD!$J$3:$J$5001,"&lt;&gt;")=0,"",SUMIFS(BD!$J$3:$J$5001,BD!$A$3:$A$5001,Z$3,BD!$B$3:$B$5001,$A$332)))</f>
        <v/>
      </c>
      <c r="AA339" s="208" t="str">
        <f>IF(AA$3="","",IF(COUNTIFS(BD!$A$3:$A$5001,AA$3,BD!$B$3:$B$5001,$A$332,BD!$J$3:$J$5001,"&lt;&gt;")=0,"",SUMIFS(BD!$J$3:$J$5001,BD!$A$3:$A$5001,AA$3,BD!$B$3:$B$5001,$A$332)))</f>
        <v/>
      </c>
      <c r="AB339" s="208" t="str">
        <f>IF(AB$3="","",IF(COUNTIFS(BD!$A$3:$A$5001,AB$3,BD!$B$3:$B$5001,$A$332,BD!$J$3:$J$5001,"&lt;&gt;")=0,"",SUMIFS(BD!$J$3:$J$5001,BD!$A$3:$A$5001,AB$3,BD!$B$3:$B$5001,$A$332)))</f>
        <v/>
      </c>
      <c r="AC339" s="208" t="str">
        <f>IF(AC$3="","",IF(COUNTIFS(BD!$A$3:$A$5001,AC$3,BD!$B$3:$B$5001,$A$332,BD!$J$3:$J$5001,"&lt;&gt;")=0,"",SUMIFS(BD!$J$3:$J$5001,BD!$A$3:$A$5001,AC$3,BD!$B$3:$B$5001,$A$332)))</f>
        <v/>
      </c>
      <c r="AD339" s="208" t="str">
        <f>IF(AD$3="","",IF(COUNTIFS(BD!$A$3:$A$5001,AD$3,BD!$B$3:$B$5001,$A$332,BD!$J$3:$J$5001,"&lt;&gt;")=0,"",SUMIFS(BD!$J$3:$J$5001,BD!$A$3:$A$5001,AD$3,BD!$B$3:$B$5001,$A$332)))</f>
        <v/>
      </c>
      <c r="AE339" s="208" t="str">
        <f>IF(AE$3="","",IF(COUNTIFS(BD!$A$3:$A$5001,AE$3,BD!$B$3:$B$5001,$A$332,BD!$J$3:$J$5001,"&lt;&gt;")=0,"",SUMIFS(BD!$J$3:$J$5001,BD!$A$3:$A$5001,AE$3,BD!$B$3:$B$5001,$A$332)))</f>
        <v/>
      </c>
      <c r="AF339" s="208" t="str">
        <f>IF(AF$3="","",IF(COUNTIFS(BD!$A$3:$A$5001,AF$3,BD!$B$3:$B$5001,$A$332,BD!$J$3:$J$5001,"&lt;&gt;")=0,"",SUMIFS(BD!$J$3:$J$5001,BD!$A$3:$A$5001,AF$3,BD!$B$3:$B$5001,$A$332)))</f>
        <v/>
      </c>
      <c r="AG339" s="208" t="str">
        <f>IF(AG$3="","",IF(COUNTIFS(BD!$A$3:$A$5001,AG$3,BD!$B$3:$B$5001,$A$332,BD!$J$3:$J$5001,"&lt;&gt;")=0,"",SUMIFS(BD!$J$3:$J$5001,BD!$A$3:$A$5001,AG$3,BD!$B$3:$B$5001,$A$332)))</f>
        <v/>
      </c>
      <c r="AH339" s="208" t="str">
        <f>IF(AH$3="","",IF(COUNTIFS(BD!$A$3:$A$5001,AH$3,BD!$B$3:$B$5001,$A$332,BD!$J$3:$J$5001,"&lt;&gt;")=0,"",SUMIFS(BD!$J$3:$J$5001,BD!$A$3:$A$5001,AH$3,BD!$B$3:$B$5001,$A$332)))</f>
        <v/>
      </c>
      <c r="AI339" s="208" t="str">
        <f>IF(AI$3="","",IF(COUNTIFS(BD!$A$3:$A$5001,AI$3,BD!$B$3:$B$5001,$A$332,BD!$J$3:$J$5001,"&lt;&gt;")=0,"",SUMIFS(BD!$J$3:$J$5001,BD!$A$3:$A$5001,AI$3,BD!$B$3:$B$5001,$A$332)))</f>
        <v/>
      </c>
      <c r="AJ339" s="209" t="str">
        <f>IF(AJ$3="","",IF(COUNTIFS(BD!$A$3:$A$5001,AJ$3,BD!$B$3:$B$5001,$A$332,BD!$J$3:$J$5001,"&lt;&gt;")=0,"",SUMIFS(BD!$J$3:$J$5001,BD!$A$3:$A$5001,AJ$3,BD!$B$3:$B$5001,$A$332)))</f>
        <v/>
      </c>
      <c r="AK339" s="210" t="str">
        <f>IF(COUNT(F339:AJ339)=0,"",SUM(F339:AJ339))</f>
        <v/>
      </c>
    </row>
    <row r="340" ht="15.75" customHeight="1" hidden="1">
      <c r="A340" s="254"/>
      <c r="B340" s="249"/>
      <c r="C340" s="211" t="inlineStr">
        <is>
          <t xml:space="preserve">Backlog</t>
        </is>
      </c>
      <c r="D340" s="212" t="str">
        <f>IFERROR(1/(1/INDEX(BD!$Y$31:$AS$31,MATCH($A$332,BD!$Y$22:$AS$22,0))),"")</f>
        <v/>
      </c>
      <c r="E340" s="213"/>
      <c r="F340" s="214" t="str">
        <f>IF(F$3="","",IF(COUNTIFS(BD!$A$3:$A$5001,F$3,BD!$B$3:$B$5001,$A$332,BD!$K$3:$K$5001,"&lt;&gt;")=0,"",SUMIFS(BD!$K$3:$K$5001,BD!$A$3:$A$5001,F$3,BD!$B$3:$B$5001,$A$332)))</f>
        <v/>
      </c>
      <c r="G340" s="215" t="str">
        <f>IF(G$3="","",IF(COUNTIFS(BD!$A$3:$A$5001,G$3,BD!$B$3:$B$5001,$A$332,BD!$K$3:$K$5001,"&lt;&gt;")=0,"",SUMIFS(BD!$K$3:$K$5001,BD!$A$3:$A$5001,G$3,BD!$B$3:$B$5001,$A$332)))</f>
        <v/>
      </c>
      <c r="H340" s="215" t="str">
        <f>IF(H$3="","",IF(COUNTIFS(BD!$A$3:$A$5001,H$3,BD!$B$3:$B$5001,$A$332,BD!$K$3:$K$5001,"&lt;&gt;")=0,"",SUMIFS(BD!$K$3:$K$5001,BD!$A$3:$A$5001,H$3,BD!$B$3:$B$5001,$A$332)))</f>
        <v/>
      </c>
      <c r="I340" s="215" t="str">
        <f>IF(I$3="","",IF(COUNTIFS(BD!$A$3:$A$5001,I$3,BD!$B$3:$B$5001,$A$332,BD!$K$3:$K$5001,"&lt;&gt;")=0,"",SUMIFS(BD!$K$3:$K$5001,BD!$A$3:$A$5001,I$3,BD!$B$3:$B$5001,$A$332)))</f>
        <v/>
      </c>
      <c r="J340" s="215" t="str">
        <f>IF(J$3="","",IF(COUNTIFS(BD!$A$3:$A$5001,J$3,BD!$B$3:$B$5001,$A$332,BD!$K$3:$K$5001,"&lt;&gt;")=0,"",SUMIFS(BD!$K$3:$K$5001,BD!$A$3:$A$5001,J$3,BD!$B$3:$B$5001,$A$332)))</f>
        <v/>
      </c>
      <c r="K340" s="215" t="str">
        <f>IF(K$3="","",IF(COUNTIFS(BD!$A$3:$A$5001,K$3,BD!$B$3:$B$5001,$A$332,BD!$K$3:$K$5001,"&lt;&gt;")=0,"",SUMIFS(BD!$K$3:$K$5001,BD!$A$3:$A$5001,K$3,BD!$B$3:$B$5001,$A$332)))</f>
        <v/>
      </c>
      <c r="L340" s="215" t="str">
        <f>IF(L$3="","",IF(COUNTIFS(BD!$A$3:$A$5001,L$3,BD!$B$3:$B$5001,$A$332,BD!$K$3:$K$5001,"&lt;&gt;")=0,"",SUMIFS(BD!$K$3:$K$5001,BD!$A$3:$A$5001,L$3,BD!$B$3:$B$5001,$A$332)))</f>
        <v/>
      </c>
      <c r="M340" s="215" t="str">
        <f>IF(M$3="","",IF(COUNTIFS(BD!$A$3:$A$5001,M$3,BD!$B$3:$B$5001,$A$332,BD!$K$3:$K$5001,"&lt;&gt;")=0,"",SUMIFS(BD!$K$3:$K$5001,BD!$A$3:$A$5001,M$3,BD!$B$3:$B$5001,$A$332)))</f>
        <v/>
      </c>
      <c r="N340" s="215" t="str">
        <f>IF(N$3="","",IF(COUNTIFS(BD!$A$3:$A$5001,N$3,BD!$B$3:$B$5001,$A$332,BD!$K$3:$K$5001,"&lt;&gt;")=0,"",SUMIFS(BD!$K$3:$K$5001,BD!$A$3:$A$5001,N$3,BD!$B$3:$B$5001,$A$332)))</f>
        <v/>
      </c>
      <c r="O340" s="215" t="str">
        <f>IF(O$3="","",IF(COUNTIFS(BD!$A$3:$A$5001,O$3,BD!$B$3:$B$5001,$A$332,BD!$K$3:$K$5001,"&lt;&gt;")=0,"",SUMIFS(BD!$K$3:$K$5001,BD!$A$3:$A$5001,O$3,BD!$B$3:$B$5001,$A$332)))</f>
        <v/>
      </c>
      <c r="P340" s="215" t="str">
        <f>IF(P$3="","",IF(COUNTIFS(BD!$A$3:$A$5001,P$3,BD!$B$3:$B$5001,$A$332,BD!$K$3:$K$5001,"&lt;&gt;")=0,"",SUMIFS(BD!$K$3:$K$5001,BD!$A$3:$A$5001,P$3,BD!$B$3:$B$5001,$A$332)))</f>
        <v/>
      </c>
      <c r="Q340" s="215" t="str">
        <f>IF(Q$3="","",IF(COUNTIFS(BD!$A$3:$A$5001,Q$3,BD!$B$3:$B$5001,$A$332,BD!$K$3:$K$5001,"&lt;&gt;")=0,"",SUMIFS(BD!$K$3:$K$5001,BD!$A$3:$A$5001,Q$3,BD!$B$3:$B$5001,$A$332)))</f>
        <v/>
      </c>
      <c r="R340" s="215" t="str">
        <f>IF(R$3="","",IF(COUNTIFS(BD!$A$3:$A$5001,R$3,BD!$B$3:$B$5001,$A$332,BD!$K$3:$K$5001,"&lt;&gt;")=0,"",SUMIFS(BD!$K$3:$K$5001,BD!$A$3:$A$5001,R$3,BD!$B$3:$B$5001,$A$332)))</f>
        <v/>
      </c>
      <c r="S340" s="215" t="str">
        <f>IF(S$3="","",IF(COUNTIFS(BD!$A$3:$A$5001,S$3,BD!$B$3:$B$5001,$A$332,BD!$K$3:$K$5001,"&lt;&gt;")=0,"",SUMIFS(BD!$K$3:$K$5001,BD!$A$3:$A$5001,S$3,BD!$B$3:$B$5001,$A$332)))</f>
        <v/>
      </c>
      <c r="T340" s="215" t="str">
        <f>IF(T$3="","",IF(COUNTIFS(BD!$A$3:$A$5001,T$3,BD!$B$3:$B$5001,$A$332,BD!$K$3:$K$5001,"&lt;&gt;")=0,"",SUMIFS(BD!$K$3:$K$5001,BD!$A$3:$A$5001,T$3,BD!$B$3:$B$5001,$A$332)))</f>
        <v/>
      </c>
      <c r="U340" s="215" t="str">
        <f>IF(U$3="","",IF(COUNTIFS(BD!$A$3:$A$5001,U$3,BD!$B$3:$B$5001,$A$332,BD!$K$3:$K$5001,"&lt;&gt;")=0,"",SUMIFS(BD!$K$3:$K$5001,BD!$A$3:$A$5001,U$3,BD!$B$3:$B$5001,$A$332)))</f>
        <v/>
      </c>
      <c r="V340" s="215" t="str">
        <f>IF(V$3="","",IF(COUNTIFS(BD!$A$3:$A$5001,V$3,BD!$B$3:$B$5001,$A$332,BD!$K$3:$K$5001,"&lt;&gt;")=0,"",SUMIFS(BD!$K$3:$K$5001,BD!$A$3:$A$5001,V$3,BD!$B$3:$B$5001,$A$332)))</f>
        <v/>
      </c>
      <c r="W340" s="215" t="str">
        <f>IF(W$3="","",IF(COUNTIFS(BD!$A$3:$A$5001,W$3,BD!$B$3:$B$5001,$A$332,BD!$K$3:$K$5001,"&lt;&gt;")=0,"",SUMIFS(BD!$K$3:$K$5001,BD!$A$3:$A$5001,W$3,BD!$B$3:$B$5001,$A$332)))</f>
        <v/>
      </c>
      <c r="X340" s="215" t="str">
        <f>IF(X$3="","",IF(COUNTIFS(BD!$A$3:$A$5001,X$3,BD!$B$3:$B$5001,$A$332,BD!$K$3:$K$5001,"&lt;&gt;")=0,"",SUMIFS(BD!$K$3:$K$5001,BD!$A$3:$A$5001,X$3,BD!$B$3:$B$5001,$A$332)))</f>
        <v/>
      </c>
      <c r="Y340" s="215" t="str">
        <f>IF(Y$3="","",IF(COUNTIFS(BD!$A$3:$A$5001,Y$3,BD!$B$3:$B$5001,$A$332,BD!$K$3:$K$5001,"&lt;&gt;")=0,"",SUMIFS(BD!$K$3:$K$5001,BD!$A$3:$A$5001,Y$3,BD!$B$3:$B$5001,$A$332)))</f>
        <v/>
      </c>
      <c r="Z340" s="215" t="str">
        <f>IF(Z$3="","",IF(COUNTIFS(BD!$A$3:$A$5001,Z$3,BD!$B$3:$B$5001,$A$332,BD!$K$3:$K$5001,"&lt;&gt;")=0,"",SUMIFS(BD!$K$3:$K$5001,BD!$A$3:$A$5001,Z$3,BD!$B$3:$B$5001,$A$332)))</f>
        <v/>
      </c>
      <c r="AA340" s="215" t="str">
        <f>IF(AA$3="","",IF(COUNTIFS(BD!$A$3:$A$5001,AA$3,BD!$B$3:$B$5001,$A$332,BD!$K$3:$K$5001,"&lt;&gt;")=0,"",SUMIFS(BD!$K$3:$K$5001,BD!$A$3:$A$5001,AA$3,BD!$B$3:$B$5001,$A$332)))</f>
        <v/>
      </c>
      <c r="AB340" s="215" t="str">
        <f>IF(AB$3="","",IF(COUNTIFS(BD!$A$3:$A$5001,AB$3,BD!$B$3:$B$5001,$A$332,BD!$K$3:$K$5001,"&lt;&gt;")=0,"",SUMIFS(BD!$K$3:$K$5001,BD!$A$3:$A$5001,AB$3,BD!$B$3:$B$5001,$A$332)))</f>
        <v/>
      </c>
      <c r="AC340" s="215" t="str">
        <f>IF(AC$3="","",IF(COUNTIFS(BD!$A$3:$A$5001,AC$3,BD!$B$3:$B$5001,$A$332,BD!$K$3:$K$5001,"&lt;&gt;")=0,"",SUMIFS(BD!$K$3:$K$5001,BD!$A$3:$A$5001,AC$3,BD!$B$3:$B$5001,$A$332)))</f>
        <v/>
      </c>
      <c r="AD340" s="215" t="str">
        <f>IF(AD$3="","",IF(COUNTIFS(BD!$A$3:$A$5001,AD$3,BD!$B$3:$B$5001,$A$332,BD!$K$3:$K$5001,"&lt;&gt;")=0,"",SUMIFS(BD!$K$3:$K$5001,BD!$A$3:$A$5001,AD$3,BD!$B$3:$B$5001,$A$332)))</f>
        <v/>
      </c>
      <c r="AE340" s="215" t="str">
        <f>IF(AE$3="","",IF(COUNTIFS(BD!$A$3:$A$5001,AE$3,BD!$B$3:$B$5001,$A$332,BD!$K$3:$K$5001,"&lt;&gt;")=0,"",SUMIFS(BD!$K$3:$K$5001,BD!$A$3:$A$5001,AE$3,BD!$B$3:$B$5001,$A$332)))</f>
        <v/>
      </c>
      <c r="AF340" s="215" t="str">
        <f>IF(AF$3="","",IF(COUNTIFS(BD!$A$3:$A$5001,AF$3,BD!$B$3:$B$5001,$A$332,BD!$K$3:$K$5001,"&lt;&gt;")=0,"",SUMIFS(BD!$K$3:$K$5001,BD!$A$3:$A$5001,AF$3,BD!$B$3:$B$5001,$A$332)))</f>
        <v/>
      </c>
      <c r="AG340" s="215" t="str">
        <f>IF(AG$3="","",IF(COUNTIFS(BD!$A$3:$A$5001,AG$3,BD!$B$3:$B$5001,$A$332,BD!$K$3:$K$5001,"&lt;&gt;")=0,"",SUMIFS(BD!$K$3:$K$5001,BD!$A$3:$A$5001,AG$3,BD!$B$3:$B$5001,$A$332)))</f>
        <v/>
      </c>
      <c r="AH340" s="215" t="str">
        <f>IF(AH$3="","",IF(COUNTIFS(BD!$A$3:$A$5001,AH$3,BD!$B$3:$B$5001,$A$332,BD!$K$3:$K$5001,"&lt;&gt;")=0,"",SUMIFS(BD!$K$3:$K$5001,BD!$A$3:$A$5001,AH$3,BD!$B$3:$B$5001,$A$332)))</f>
        <v/>
      </c>
      <c r="AI340" s="215" t="str">
        <f>IF(AI$3="","",IF(COUNTIFS(BD!$A$3:$A$5001,AI$3,BD!$B$3:$B$5001,$A$332,BD!$K$3:$K$5001,"&lt;&gt;")=0,"",SUMIFS(BD!$K$3:$K$5001,BD!$A$3:$A$5001,AI$3,BD!$B$3:$B$5001,$A$332)))</f>
        <v/>
      </c>
      <c r="AJ340" s="216" t="str">
        <f>IF(AJ$3="","",IF(COUNTIFS(BD!$A$3:$A$5001,AJ$3,BD!$B$3:$B$5001,$A$332,BD!$K$3:$K$5001,"&lt;&gt;")=0,"",SUMIFS(BD!$K$3:$K$5001,BD!$A$3:$A$5001,AJ$3,BD!$B$3:$B$5001,$A$332)))</f>
        <v/>
      </c>
      <c r="AK340" s="212" t="str">
        <f>IFERROR(LOOKUP(9.99E+307,F340:AJ340),"")</f>
        <v/>
      </c>
    </row>
    <row r="341" ht="15.75" customHeight="1" hidden="1">
      <c r="A341" s="254"/>
      <c r="B341" s="241" t="inlineStr">
        <is>
          <t xml:space="preserve">OCUPAÇÃO (P.P)</t>
        </is>
      </c>
      <c r="C341" s="155" t="inlineStr">
        <is>
          <t xml:space="preserve">Posições Disponíveis</t>
        </is>
      </c>
      <c r="D341" s="156" t="str">
        <f>IFERROR(1/(1/INDEX(BD!$Y$32:$AS$32,MATCH($A$332,BD!$Y$22:$AS$22,0))),"")</f>
        <v/>
      </c>
      <c r="E341" s="157"/>
      <c r="F341" s="158" t="str">
        <f>IF(F$3="","",IF(COUNTIFS(BD!$A$3:$A$5001,F$3,BD!$B$3:$B$5001,$A$332,BD!$L$3:$L$5001,"&lt;&gt;")=0,"",SUMIFS(BD!$L$3:$L$5001,BD!$A$3:$A$5001,F$3,BD!$B$3:$B$5001,$A$332)))</f>
        <v/>
      </c>
      <c r="G341" s="159" t="str">
        <f>IF(G$3="","",IF(COUNTIFS(BD!$A$3:$A$5001,G$3,BD!$B$3:$B$5001,$A$332,BD!$L$3:$L$5001,"&lt;&gt;")=0,"",SUMIFS(BD!$L$3:$L$5001,BD!$A$3:$A$5001,G$3,BD!$B$3:$B$5001,$A$332)))</f>
        <v/>
      </c>
      <c r="H341" s="159" t="str">
        <f>IF(H$3="","",IF(COUNTIFS(BD!$A$3:$A$5001,H$3,BD!$B$3:$B$5001,$A$332,BD!$L$3:$L$5001,"&lt;&gt;")=0,"",SUMIFS(BD!$L$3:$L$5001,BD!$A$3:$A$5001,H$3,BD!$B$3:$B$5001,$A$332)))</f>
        <v/>
      </c>
      <c r="I341" s="159" t="str">
        <f>IF(I$3="","",IF(COUNTIFS(BD!$A$3:$A$5001,I$3,BD!$B$3:$B$5001,$A$332,BD!$L$3:$L$5001,"&lt;&gt;")=0,"",SUMIFS(BD!$L$3:$L$5001,BD!$A$3:$A$5001,I$3,BD!$B$3:$B$5001,$A$332)))</f>
        <v/>
      </c>
      <c r="J341" s="159" t="str">
        <f>IF(J$3="","",IF(COUNTIFS(BD!$A$3:$A$5001,J$3,BD!$B$3:$B$5001,$A$332,BD!$L$3:$L$5001,"&lt;&gt;")=0,"",SUMIFS(BD!$L$3:$L$5001,BD!$A$3:$A$5001,J$3,BD!$B$3:$B$5001,$A$332)))</f>
        <v/>
      </c>
      <c r="K341" s="159" t="str">
        <f>IF(K$3="","",IF(COUNTIFS(BD!$A$3:$A$5001,K$3,BD!$B$3:$B$5001,$A$332,BD!$L$3:$L$5001,"&lt;&gt;")=0,"",SUMIFS(BD!$L$3:$L$5001,BD!$A$3:$A$5001,K$3,BD!$B$3:$B$5001,$A$332)))</f>
        <v/>
      </c>
      <c r="L341" s="159" t="str">
        <f>IF(L$3="","",IF(COUNTIFS(BD!$A$3:$A$5001,L$3,BD!$B$3:$B$5001,$A$332,BD!$L$3:$L$5001,"&lt;&gt;")=0,"",SUMIFS(BD!$L$3:$L$5001,BD!$A$3:$A$5001,L$3,BD!$B$3:$B$5001,$A$332)))</f>
        <v/>
      </c>
      <c r="M341" s="159" t="str">
        <f>IF(M$3="","",IF(COUNTIFS(BD!$A$3:$A$5001,M$3,BD!$B$3:$B$5001,$A$332,BD!$L$3:$L$5001,"&lt;&gt;")=0,"",SUMIFS(BD!$L$3:$L$5001,BD!$A$3:$A$5001,M$3,BD!$B$3:$B$5001,$A$332)))</f>
        <v/>
      </c>
      <c r="N341" s="159" t="str">
        <f>IF(N$3="","",IF(COUNTIFS(BD!$A$3:$A$5001,N$3,BD!$B$3:$B$5001,$A$332,BD!$L$3:$L$5001,"&lt;&gt;")=0,"",SUMIFS(BD!$L$3:$L$5001,BD!$A$3:$A$5001,N$3,BD!$B$3:$B$5001,$A$332)))</f>
        <v/>
      </c>
      <c r="O341" s="159" t="str">
        <f>IF(O$3="","",IF(COUNTIFS(BD!$A$3:$A$5001,O$3,BD!$B$3:$B$5001,$A$332,BD!$L$3:$L$5001,"&lt;&gt;")=0,"",SUMIFS(BD!$L$3:$L$5001,BD!$A$3:$A$5001,O$3,BD!$B$3:$B$5001,$A$332)))</f>
        <v/>
      </c>
      <c r="P341" s="159" t="str">
        <f>IF(P$3="","",IF(COUNTIFS(BD!$A$3:$A$5001,P$3,BD!$B$3:$B$5001,$A$332,BD!$L$3:$L$5001,"&lt;&gt;")=0,"",SUMIFS(BD!$L$3:$L$5001,BD!$A$3:$A$5001,P$3,BD!$B$3:$B$5001,$A$332)))</f>
        <v/>
      </c>
      <c r="Q341" s="159" t="str">
        <f>IF(Q$3="","",IF(COUNTIFS(BD!$A$3:$A$5001,Q$3,BD!$B$3:$B$5001,$A$332,BD!$L$3:$L$5001,"&lt;&gt;")=0,"",SUMIFS(BD!$L$3:$L$5001,BD!$A$3:$A$5001,Q$3,BD!$B$3:$B$5001,$A$332)))</f>
        <v/>
      </c>
      <c r="R341" s="159" t="str">
        <f>IF(R$3="","",IF(COUNTIFS(BD!$A$3:$A$5001,R$3,BD!$B$3:$B$5001,$A$332,BD!$L$3:$L$5001,"&lt;&gt;")=0,"",SUMIFS(BD!$L$3:$L$5001,BD!$A$3:$A$5001,R$3,BD!$B$3:$B$5001,$A$332)))</f>
        <v/>
      </c>
      <c r="S341" s="159" t="str">
        <f>IF(S$3="","",IF(COUNTIFS(BD!$A$3:$A$5001,S$3,BD!$B$3:$B$5001,$A$332,BD!$L$3:$L$5001,"&lt;&gt;")=0,"",SUMIFS(BD!$L$3:$L$5001,BD!$A$3:$A$5001,S$3,BD!$B$3:$B$5001,$A$332)))</f>
        <v/>
      </c>
      <c r="T341" s="159" t="str">
        <f>IF(T$3="","",IF(COUNTIFS(BD!$A$3:$A$5001,T$3,BD!$B$3:$B$5001,$A$332,BD!$L$3:$L$5001,"&lt;&gt;")=0,"",SUMIFS(BD!$L$3:$L$5001,BD!$A$3:$A$5001,T$3,BD!$B$3:$B$5001,$A$332)))</f>
        <v/>
      </c>
      <c r="U341" s="159" t="str">
        <f>IF(U$3="","",IF(COUNTIFS(BD!$A$3:$A$5001,U$3,BD!$B$3:$B$5001,$A$332,BD!$L$3:$L$5001,"&lt;&gt;")=0,"",SUMIFS(BD!$L$3:$L$5001,BD!$A$3:$A$5001,U$3,BD!$B$3:$B$5001,$A$332)))</f>
        <v/>
      </c>
      <c r="V341" s="159" t="str">
        <f>IF(V$3="","",IF(COUNTIFS(BD!$A$3:$A$5001,V$3,BD!$B$3:$B$5001,$A$332,BD!$L$3:$L$5001,"&lt;&gt;")=0,"",SUMIFS(BD!$L$3:$L$5001,BD!$A$3:$A$5001,V$3,BD!$B$3:$B$5001,$A$332)))</f>
        <v/>
      </c>
      <c r="W341" s="159" t="str">
        <f>IF(W$3="","",IF(COUNTIFS(BD!$A$3:$A$5001,W$3,BD!$B$3:$B$5001,$A$332,BD!$L$3:$L$5001,"&lt;&gt;")=0,"",SUMIFS(BD!$L$3:$L$5001,BD!$A$3:$A$5001,W$3,BD!$B$3:$B$5001,$A$332)))</f>
        <v/>
      </c>
      <c r="X341" s="159" t="str">
        <f>IF(X$3="","",IF(COUNTIFS(BD!$A$3:$A$5001,X$3,BD!$B$3:$B$5001,$A$332,BD!$L$3:$L$5001,"&lt;&gt;")=0,"",SUMIFS(BD!$L$3:$L$5001,BD!$A$3:$A$5001,X$3,BD!$B$3:$B$5001,$A$332)))</f>
        <v/>
      </c>
      <c r="Y341" s="159" t="str">
        <f>IF(Y$3="","",IF(COUNTIFS(BD!$A$3:$A$5001,Y$3,BD!$B$3:$B$5001,$A$332,BD!$L$3:$L$5001,"&lt;&gt;")=0,"",SUMIFS(BD!$L$3:$L$5001,BD!$A$3:$A$5001,Y$3,BD!$B$3:$B$5001,$A$332)))</f>
        <v/>
      </c>
      <c r="Z341" s="159" t="str">
        <f>IF(Z$3="","",IF(COUNTIFS(BD!$A$3:$A$5001,Z$3,BD!$B$3:$B$5001,$A$332,BD!$L$3:$L$5001,"&lt;&gt;")=0,"",SUMIFS(BD!$L$3:$L$5001,BD!$A$3:$A$5001,Z$3,BD!$B$3:$B$5001,$A$332)))</f>
        <v/>
      </c>
      <c r="AA341" s="159" t="str">
        <f>IF(AA$3="","",IF(COUNTIFS(BD!$A$3:$A$5001,AA$3,BD!$B$3:$B$5001,$A$332,BD!$L$3:$L$5001,"&lt;&gt;")=0,"",SUMIFS(BD!$L$3:$L$5001,BD!$A$3:$A$5001,AA$3,BD!$B$3:$B$5001,$A$332)))</f>
        <v/>
      </c>
      <c r="AB341" s="159" t="str">
        <f>IF(AB$3="","",IF(COUNTIFS(BD!$A$3:$A$5001,AB$3,BD!$B$3:$B$5001,$A$332,BD!$L$3:$L$5001,"&lt;&gt;")=0,"",SUMIFS(BD!$L$3:$L$5001,BD!$A$3:$A$5001,AB$3,BD!$B$3:$B$5001,$A$332)))</f>
        <v/>
      </c>
      <c r="AC341" s="159" t="str">
        <f>IF(AC$3="","",IF(COUNTIFS(BD!$A$3:$A$5001,AC$3,BD!$B$3:$B$5001,$A$332,BD!$L$3:$L$5001,"&lt;&gt;")=0,"",SUMIFS(BD!$L$3:$L$5001,BD!$A$3:$A$5001,AC$3,BD!$B$3:$B$5001,$A$332)))</f>
        <v/>
      </c>
      <c r="AD341" s="159" t="str">
        <f>IF(AD$3="","",IF(COUNTIFS(BD!$A$3:$A$5001,AD$3,BD!$B$3:$B$5001,$A$332,BD!$L$3:$L$5001,"&lt;&gt;")=0,"",SUMIFS(BD!$L$3:$L$5001,BD!$A$3:$A$5001,AD$3,BD!$B$3:$B$5001,$A$332)))</f>
        <v/>
      </c>
      <c r="AE341" s="159" t="str">
        <f>IF(AE$3="","",IF(COUNTIFS(BD!$A$3:$A$5001,AE$3,BD!$B$3:$B$5001,$A$332,BD!$L$3:$L$5001,"&lt;&gt;")=0,"",SUMIFS(BD!$L$3:$L$5001,BD!$A$3:$A$5001,AE$3,BD!$B$3:$B$5001,$A$332)))</f>
        <v/>
      </c>
      <c r="AF341" s="159" t="str">
        <f>IF(AF$3="","",IF(COUNTIFS(BD!$A$3:$A$5001,AF$3,BD!$B$3:$B$5001,$A$332,BD!$L$3:$L$5001,"&lt;&gt;")=0,"",SUMIFS(BD!$L$3:$L$5001,BD!$A$3:$A$5001,AF$3,BD!$B$3:$B$5001,$A$332)))</f>
        <v/>
      </c>
      <c r="AG341" s="159" t="str">
        <f>IF(AG$3="","",IF(COUNTIFS(BD!$A$3:$A$5001,AG$3,BD!$B$3:$B$5001,$A$332,BD!$L$3:$L$5001,"&lt;&gt;")=0,"",SUMIFS(BD!$L$3:$L$5001,BD!$A$3:$A$5001,AG$3,BD!$B$3:$B$5001,$A$332)))</f>
        <v/>
      </c>
      <c r="AH341" s="159" t="str">
        <f>IF(AH$3="","",IF(COUNTIFS(BD!$A$3:$A$5001,AH$3,BD!$B$3:$B$5001,$A$332,BD!$L$3:$L$5001,"&lt;&gt;")=0,"",SUMIFS(BD!$L$3:$L$5001,BD!$A$3:$A$5001,AH$3,BD!$B$3:$B$5001,$A$332)))</f>
        <v/>
      </c>
      <c r="AI341" s="159" t="str">
        <f>IF(AI$3="","",IF(COUNTIFS(BD!$A$3:$A$5001,AI$3,BD!$B$3:$B$5001,$A$332,BD!$L$3:$L$5001,"&lt;&gt;")=0,"",SUMIFS(BD!$L$3:$L$5001,BD!$A$3:$A$5001,AI$3,BD!$B$3:$B$5001,$A$332)))</f>
        <v/>
      </c>
      <c r="AJ341" s="160" t="str">
        <f>IF(AJ$3="","",IF(COUNTIFS(BD!$A$3:$A$5001,AJ$3,BD!$B$3:$B$5001,$A$332,BD!$L$3:$L$5001,"&lt;&gt;")=0,"",SUMIFS(BD!$L$3:$L$5001,BD!$A$3:$A$5001,AJ$3,BD!$B$3:$B$5001,$A$332)))</f>
        <v/>
      </c>
      <c r="AK341" s="161" t="str">
        <f>IF(COUNT(F341:AJ341)&gt;0,LOOKUP(9.99E+307,F341:AJ341),IFERROR(IF(INDEX(BD!$V$3:$V$5001,MATCH($A$332,BD!$B$3:$B$5001,0))&amp;""="Contrato","",INDEX(BD!$V$3:$V$5001,MATCH($A$332,BD!$B$3:$B$5001,0))&amp;""),""))</f>
        <v/>
      </c>
    </row>
    <row r="342" ht="15.75" customHeight="1" hidden="1">
      <c r="A342" s="254"/>
      <c r="B342" s="242"/>
      <c r="C342" s="162" t="inlineStr">
        <is>
          <t xml:space="preserve">Posições Ocupadas</t>
        </is>
      </c>
      <c r="D342" s="163" t="str">
        <f>IFERROR(1/(1/INDEX(BD!$Y$33:$AS$33,MATCH($A$332,BD!$Y$22:$AS$22,0))),"")</f>
        <v/>
      </c>
      <c r="E342" s="164"/>
      <c r="F342" s="165" t="str">
        <f>IF(F$3="","",IF(COUNTIFS(BD!$A$3:$A$5001,F$3,BD!$B$3:$B$5001,$A$332,BD!$M$3:$M$5001,"&lt;&gt;")=0,"",SUMIFS(BD!$M$3:$M$5001,BD!$A$3:$A$5001,F$3,BD!$B$3:$B$5001,$A$332)))</f>
        <v/>
      </c>
      <c r="G342" s="166" t="str">
        <f>IF(G$3="","",IF(COUNTIFS(BD!$A$3:$A$5001,G$3,BD!$B$3:$B$5001,$A$332,BD!$M$3:$M$5001,"&lt;&gt;")=0,"",SUMIFS(BD!$M$3:$M$5001,BD!$A$3:$A$5001,G$3,BD!$B$3:$B$5001,$A$332)))</f>
        <v/>
      </c>
      <c r="H342" s="166" t="str">
        <f>IF(H$3="","",IF(COUNTIFS(BD!$A$3:$A$5001,H$3,BD!$B$3:$B$5001,$A$332,BD!$M$3:$M$5001,"&lt;&gt;")=0,"",SUMIFS(BD!$M$3:$M$5001,BD!$A$3:$A$5001,H$3,BD!$B$3:$B$5001,$A$332)))</f>
        <v/>
      </c>
      <c r="I342" s="166" t="str">
        <f>IF(I$3="","",IF(COUNTIFS(BD!$A$3:$A$5001,I$3,BD!$B$3:$B$5001,$A$332,BD!$M$3:$M$5001,"&lt;&gt;")=0,"",SUMIFS(BD!$M$3:$M$5001,BD!$A$3:$A$5001,I$3,BD!$B$3:$B$5001,$A$332)))</f>
        <v/>
      </c>
      <c r="J342" s="166" t="str">
        <f>IF(J$3="","",IF(COUNTIFS(BD!$A$3:$A$5001,J$3,BD!$B$3:$B$5001,$A$332,BD!$M$3:$M$5001,"&lt;&gt;")=0,"",SUMIFS(BD!$M$3:$M$5001,BD!$A$3:$A$5001,J$3,BD!$B$3:$B$5001,$A$332)))</f>
        <v/>
      </c>
      <c r="K342" s="166" t="str">
        <f>IF(K$3="","",IF(COUNTIFS(BD!$A$3:$A$5001,K$3,BD!$B$3:$B$5001,$A$332,BD!$M$3:$M$5001,"&lt;&gt;")=0,"",SUMIFS(BD!$M$3:$M$5001,BD!$A$3:$A$5001,K$3,BD!$B$3:$B$5001,$A$332)))</f>
        <v/>
      </c>
      <c r="L342" s="166" t="str">
        <f>IF(L$3="","",IF(COUNTIFS(BD!$A$3:$A$5001,L$3,BD!$B$3:$B$5001,$A$332,BD!$M$3:$M$5001,"&lt;&gt;")=0,"",SUMIFS(BD!$M$3:$M$5001,BD!$A$3:$A$5001,L$3,BD!$B$3:$B$5001,$A$332)))</f>
        <v/>
      </c>
      <c r="M342" s="166" t="str">
        <f>IF(M$3="","",IF(COUNTIFS(BD!$A$3:$A$5001,M$3,BD!$B$3:$B$5001,$A$332,BD!$M$3:$M$5001,"&lt;&gt;")=0,"",SUMIFS(BD!$M$3:$M$5001,BD!$A$3:$A$5001,M$3,BD!$B$3:$B$5001,$A$332)))</f>
        <v/>
      </c>
      <c r="N342" s="166" t="str">
        <f>IF(N$3="","",IF(COUNTIFS(BD!$A$3:$A$5001,N$3,BD!$B$3:$B$5001,$A$332,BD!$M$3:$M$5001,"&lt;&gt;")=0,"",SUMIFS(BD!$M$3:$M$5001,BD!$A$3:$A$5001,N$3,BD!$B$3:$B$5001,$A$332)))</f>
        <v/>
      </c>
      <c r="O342" s="166" t="str">
        <f>IF(O$3="","",IF(COUNTIFS(BD!$A$3:$A$5001,O$3,BD!$B$3:$B$5001,$A$332,BD!$M$3:$M$5001,"&lt;&gt;")=0,"",SUMIFS(BD!$M$3:$M$5001,BD!$A$3:$A$5001,O$3,BD!$B$3:$B$5001,$A$332)))</f>
        <v/>
      </c>
      <c r="P342" s="166" t="str">
        <f>IF(P$3="","",IF(COUNTIFS(BD!$A$3:$A$5001,P$3,BD!$B$3:$B$5001,$A$332,BD!$M$3:$M$5001,"&lt;&gt;")=0,"",SUMIFS(BD!$M$3:$M$5001,BD!$A$3:$A$5001,P$3,BD!$B$3:$B$5001,$A$332)))</f>
        <v/>
      </c>
      <c r="Q342" s="166" t="str">
        <f>IF(Q$3="","",IF(COUNTIFS(BD!$A$3:$A$5001,Q$3,BD!$B$3:$B$5001,$A$332,BD!$M$3:$M$5001,"&lt;&gt;")=0,"",SUMIFS(BD!$M$3:$M$5001,BD!$A$3:$A$5001,Q$3,BD!$B$3:$B$5001,$A$332)))</f>
        <v/>
      </c>
      <c r="R342" s="166" t="str">
        <f>IF(R$3="","",IF(COUNTIFS(BD!$A$3:$A$5001,R$3,BD!$B$3:$B$5001,$A$332,BD!$M$3:$M$5001,"&lt;&gt;")=0,"",SUMIFS(BD!$M$3:$M$5001,BD!$A$3:$A$5001,R$3,BD!$B$3:$B$5001,$A$332)))</f>
        <v/>
      </c>
      <c r="S342" s="166" t="str">
        <f>IF(S$3="","",IF(COUNTIFS(BD!$A$3:$A$5001,S$3,BD!$B$3:$B$5001,$A$332,BD!$M$3:$M$5001,"&lt;&gt;")=0,"",SUMIFS(BD!$M$3:$M$5001,BD!$A$3:$A$5001,S$3,BD!$B$3:$B$5001,$A$332)))</f>
        <v/>
      </c>
      <c r="T342" s="166" t="str">
        <f>IF(T$3="","",IF(COUNTIFS(BD!$A$3:$A$5001,T$3,BD!$B$3:$B$5001,$A$332,BD!$M$3:$M$5001,"&lt;&gt;")=0,"",SUMIFS(BD!$M$3:$M$5001,BD!$A$3:$A$5001,T$3,BD!$B$3:$B$5001,$A$332)))</f>
        <v/>
      </c>
      <c r="U342" s="166" t="str">
        <f>IF(U$3="","",IF(COUNTIFS(BD!$A$3:$A$5001,U$3,BD!$B$3:$B$5001,$A$332,BD!$M$3:$M$5001,"&lt;&gt;")=0,"",SUMIFS(BD!$M$3:$M$5001,BD!$A$3:$A$5001,U$3,BD!$B$3:$B$5001,$A$332)))</f>
        <v/>
      </c>
      <c r="V342" s="166" t="str">
        <f>IF(V$3="","",IF(COUNTIFS(BD!$A$3:$A$5001,V$3,BD!$B$3:$B$5001,$A$332,BD!$M$3:$M$5001,"&lt;&gt;")=0,"",SUMIFS(BD!$M$3:$M$5001,BD!$A$3:$A$5001,V$3,BD!$B$3:$B$5001,$A$332)))</f>
        <v/>
      </c>
      <c r="W342" s="166" t="str">
        <f>IF(W$3="","",IF(COUNTIFS(BD!$A$3:$A$5001,W$3,BD!$B$3:$B$5001,$A$332,BD!$M$3:$M$5001,"&lt;&gt;")=0,"",SUMIFS(BD!$M$3:$M$5001,BD!$A$3:$A$5001,W$3,BD!$B$3:$B$5001,$A$332)))</f>
        <v/>
      </c>
      <c r="X342" s="166" t="str">
        <f>IF(X$3="","",IF(COUNTIFS(BD!$A$3:$A$5001,X$3,BD!$B$3:$B$5001,$A$332,BD!$M$3:$M$5001,"&lt;&gt;")=0,"",SUMIFS(BD!$M$3:$M$5001,BD!$A$3:$A$5001,X$3,BD!$B$3:$B$5001,$A$332)))</f>
        <v/>
      </c>
      <c r="Y342" s="166" t="str">
        <f>IF(Y$3="","",IF(COUNTIFS(BD!$A$3:$A$5001,Y$3,BD!$B$3:$B$5001,$A$332,BD!$M$3:$M$5001,"&lt;&gt;")=0,"",SUMIFS(BD!$M$3:$M$5001,BD!$A$3:$A$5001,Y$3,BD!$B$3:$B$5001,$A$332)))</f>
        <v/>
      </c>
      <c r="Z342" s="166" t="str">
        <f>IF(Z$3="","",IF(COUNTIFS(BD!$A$3:$A$5001,Z$3,BD!$B$3:$B$5001,$A$332,BD!$M$3:$M$5001,"&lt;&gt;")=0,"",SUMIFS(BD!$M$3:$M$5001,BD!$A$3:$A$5001,Z$3,BD!$B$3:$B$5001,$A$332)))</f>
        <v/>
      </c>
      <c r="AA342" s="166" t="str">
        <f>IF(AA$3="","",IF(COUNTIFS(BD!$A$3:$A$5001,AA$3,BD!$B$3:$B$5001,$A$332,BD!$M$3:$M$5001,"&lt;&gt;")=0,"",SUMIFS(BD!$M$3:$M$5001,BD!$A$3:$A$5001,AA$3,BD!$B$3:$B$5001,$A$332)))</f>
        <v/>
      </c>
      <c r="AB342" s="166" t="str">
        <f>IF(AB$3="","",IF(COUNTIFS(BD!$A$3:$A$5001,AB$3,BD!$B$3:$B$5001,$A$332,BD!$M$3:$M$5001,"&lt;&gt;")=0,"",SUMIFS(BD!$M$3:$M$5001,BD!$A$3:$A$5001,AB$3,BD!$B$3:$B$5001,$A$332)))</f>
        <v/>
      </c>
      <c r="AC342" s="166" t="str">
        <f>IF(AC$3="","",IF(COUNTIFS(BD!$A$3:$A$5001,AC$3,BD!$B$3:$B$5001,$A$332,BD!$M$3:$M$5001,"&lt;&gt;")=0,"",SUMIFS(BD!$M$3:$M$5001,BD!$A$3:$A$5001,AC$3,BD!$B$3:$B$5001,$A$332)))</f>
        <v/>
      </c>
      <c r="AD342" s="166" t="str">
        <f>IF(AD$3="","",IF(COUNTIFS(BD!$A$3:$A$5001,AD$3,BD!$B$3:$B$5001,$A$332,BD!$M$3:$M$5001,"&lt;&gt;")=0,"",SUMIFS(BD!$M$3:$M$5001,BD!$A$3:$A$5001,AD$3,BD!$B$3:$B$5001,$A$332)))</f>
        <v/>
      </c>
      <c r="AE342" s="166" t="str">
        <f>IF(AE$3="","",IF(COUNTIFS(BD!$A$3:$A$5001,AE$3,BD!$B$3:$B$5001,$A$332,BD!$M$3:$M$5001,"&lt;&gt;")=0,"",SUMIFS(BD!$M$3:$M$5001,BD!$A$3:$A$5001,AE$3,BD!$B$3:$B$5001,$A$332)))</f>
        <v/>
      </c>
      <c r="AF342" s="166" t="str">
        <f>IF(AF$3="","",IF(COUNTIFS(BD!$A$3:$A$5001,AF$3,BD!$B$3:$B$5001,$A$332,BD!$M$3:$M$5001,"&lt;&gt;")=0,"",SUMIFS(BD!$M$3:$M$5001,BD!$A$3:$A$5001,AF$3,BD!$B$3:$B$5001,$A$332)))</f>
        <v/>
      </c>
      <c r="AG342" s="166" t="str">
        <f>IF(AG$3="","",IF(COUNTIFS(BD!$A$3:$A$5001,AG$3,BD!$B$3:$B$5001,$A$332,BD!$M$3:$M$5001,"&lt;&gt;")=0,"",SUMIFS(BD!$M$3:$M$5001,BD!$A$3:$A$5001,AG$3,BD!$B$3:$B$5001,$A$332)))</f>
        <v/>
      </c>
      <c r="AH342" s="166" t="str">
        <f>IF(AH$3="","",IF(COUNTIFS(BD!$A$3:$A$5001,AH$3,BD!$B$3:$B$5001,$A$332,BD!$M$3:$M$5001,"&lt;&gt;")=0,"",SUMIFS(BD!$M$3:$M$5001,BD!$A$3:$A$5001,AH$3,BD!$B$3:$B$5001,$A$332)))</f>
        <v/>
      </c>
      <c r="AI342" s="166" t="str">
        <f>IF(AI$3="","",IF(COUNTIFS(BD!$A$3:$A$5001,AI$3,BD!$B$3:$B$5001,$A$332,BD!$M$3:$M$5001,"&lt;&gt;")=0,"",SUMIFS(BD!$M$3:$M$5001,BD!$A$3:$A$5001,AI$3,BD!$B$3:$B$5001,$A$332)))</f>
        <v/>
      </c>
      <c r="AJ342" s="167" t="str">
        <f>IF(AJ$3="","",IF(COUNTIFS(BD!$A$3:$A$5001,AJ$3,BD!$B$3:$B$5001,$A$332,BD!$M$3:$M$5001,"&lt;&gt;")=0,"",SUMIFS(BD!$M$3:$M$5001,BD!$A$3:$A$5001,AJ$3,BD!$B$3:$B$5001,$A$332)))</f>
        <v/>
      </c>
      <c r="AK342" s="168" t="str">
        <f>IFERROR(LOOKUP(9.99E+307,F342:AJ342),"")</f>
        <v/>
      </c>
    </row>
    <row r="343" ht="15.75" customHeight="1" hidden="1">
      <c r="A343" s="254"/>
      <c r="B343" s="243"/>
      <c r="C343" s="169" t="inlineStr">
        <is>
          <t xml:space="preserve">Taxa de Ocupação</t>
        </is>
      </c>
      <c r="D343" s="217" t="str">
        <f>IFERROR(1/(1/INDEX(BD!$Y$34:$AS$34,MATCH($A$332,BD!$Y$22:$AS$22,0))),"")</f>
        <v/>
      </c>
      <c r="E343" s="171"/>
      <c r="F343" s="218" t="str">
        <f>IF(AND(ISNUMBER(F341),ISNUMBER(F342)),IF(F341&gt;0,F342/F341,""),"")</f>
        <v/>
      </c>
      <c r="G343" s="219" t="str">
        <f>IF(AND(ISNUMBER(G341),ISNUMBER(G342)),IF(G341&gt;0,G342/G341,""),"")</f>
        <v/>
      </c>
      <c r="H343" s="219" t="str">
        <f>IF(AND(ISNUMBER(H341),ISNUMBER(H342)),IF(H341&gt;0,H342/H341,""),"")</f>
        <v/>
      </c>
      <c r="I343" s="219" t="str">
        <f>IF(AND(ISNUMBER(I341),ISNUMBER(I342)),IF(I341&gt;0,I342/I341,""),"")</f>
        <v/>
      </c>
      <c r="J343" s="219" t="str">
        <f>IF(AND(ISNUMBER(J341),ISNUMBER(J342)),IF(J341&gt;0,J342/J341,""),"")</f>
        <v/>
      </c>
      <c r="K343" s="219" t="str">
        <f>IF(AND(ISNUMBER(K341),ISNUMBER(K342)),IF(K341&gt;0,K342/K341,""),"")</f>
        <v/>
      </c>
      <c r="L343" s="219" t="str">
        <f>IF(AND(ISNUMBER(L341),ISNUMBER(L342)),IF(L341&gt;0,L342/L341,""),"")</f>
        <v/>
      </c>
      <c r="M343" s="219" t="str">
        <f>IF(AND(ISNUMBER(M341),ISNUMBER(M342)),IF(M341&gt;0,M342/M341,""),"")</f>
        <v/>
      </c>
      <c r="N343" s="219" t="str">
        <f>IF(AND(ISNUMBER(N341),ISNUMBER(N342)),IF(N341&gt;0,N342/N341,""),"")</f>
        <v/>
      </c>
      <c r="O343" s="219" t="str">
        <f>IF(AND(ISNUMBER(O341),ISNUMBER(O342)),IF(O341&gt;0,O342/O341,""),"")</f>
        <v/>
      </c>
      <c r="P343" s="219" t="str">
        <f>IF(AND(ISNUMBER(P341),ISNUMBER(P342)),IF(P341&gt;0,P342/P341,""),"")</f>
        <v/>
      </c>
      <c r="Q343" s="219" t="str">
        <f>IF(AND(ISNUMBER(Q341),ISNUMBER(Q342)),IF(Q341&gt;0,Q342/Q341,""),"")</f>
        <v/>
      </c>
      <c r="R343" s="219" t="str">
        <f>IF(AND(ISNUMBER(R341),ISNUMBER(R342)),IF(R341&gt;0,R342/R341,""),"")</f>
        <v/>
      </c>
      <c r="S343" s="219" t="str">
        <f>IF(AND(ISNUMBER(S341),ISNUMBER(S342)),IF(S341&gt;0,S342/S341,""),"")</f>
        <v/>
      </c>
      <c r="T343" s="219" t="str">
        <f>IF(AND(ISNUMBER(T341),ISNUMBER(T342)),IF(T341&gt;0,T342/T341,""),"")</f>
        <v/>
      </c>
      <c r="U343" s="219" t="str">
        <f>IF(AND(ISNUMBER(U341),ISNUMBER(U342)),IF(U341&gt;0,U342/U341,""),"")</f>
        <v/>
      </c>
      <c r="V343" s="219" t="str">
        <f>IF(AND(ISNUMBER(V341),ISNUMBER(V342)),IF(V341&gt;0,V342/V341,""),"")</f>
        <v/>
      </c>
      <c r="W343" s="219" t="str">
        <f>IF(AND(ISNUMBER(W341),ISNUMBER(W342)),IF(W341&gt;0,W342/W341,""),"")</f>
        <v/>
      </c>
      <c r="X343" s="219" t="str">
        <f>IF(AND(ISNUMBER(X341),ISNUMBER(X342)),IF(X341&gt;0,X342/X341,""),"")</f>
        <v/>
      </c>
      <c r="Y343" s="219" t="str">
        <f>IF(AND(ISNUMBER(Y341),ISNUMBER(Y342)),IF(Y341&gt;0,Y342/Y341,""),"")</f>
        <v/>
      </c>
      <c r="Z343" s="219" t="str">
        <f>IF(AND(ISNUMBER(Z341),ISNUMBER(Z342)),IF(Z341&gt;0,Z342/Z341,""),"")</f>
        <v/>
      </c>
      <c r="AA343" s="219" t="str">
        <f>IF(AND(ISNUMBER(AA341),ISNUMBER(AA342)),IF(AA341&gt;0,AA342/AA341,""),"")</f>
        <v/>
      </c>
      <c r="AB343" s="219" t="str">
        <f>IF(AND(ISNUMBER(AB341),ISNUMBER(AB342)),IF(AB341&gt;0,AB342/AB341,""),"")</f>
        <v/>
      </c>
      <c r="AC343" s="219" t="str">
        <f>IF(AND(ISNUMBER(AC341),ISNUMBER(AC342)),IF(AC341&gt;0,AC342/AC341,""),"")</f>
        <v/>
      </c>
      <c r="AD343" s="219" t="str">
        <f>IF(AND(ISNUMBER(AD341),ISNUMBER(AD342)),IF(AD341&gt;0,AD342/AD341,""),"")</f>
        <v/>
      </c>
      <c r="AE343" s="219" t="str">
        <f>IF(AND(ISNUMBER(AE341),ISNUMBER(AE342)),IF(AE341&gt;0,AE342/AE341,""),"")</f>
        <v/>
      </c>
      <c r="AF343" s="219" t="str">
        <f>IF(AND(ISNUMBER(AF341),ISNUMBER(AF342)),IF(AF341&gt;0,AF342/AF341,""),"")</f>
        <v/>
      </c>
      <c r="AG343" s="219" t="str">
        <f>IF(AND(ISNUMBER(AG341),ISNUMBER(AG342)),IF(AG341&gt;0,AG342/AG341,""),"")</f>
        <v/>
      </c>
      <c r="AH343" s="219" t="str">
        <f>IF(AND(ISNUMBER(AH341),ISNUMBER(AH342)),IF(AH341&gt;0,AH342/AH341,""),"")</f>
        <v/>
      </c>
      <c r="AI343" s="219" t="str">
        <f>IF(AND(ISNUMBER(AI341),ISNUMBER(AI342)),IF(AI341&gt;0,AI342/AI341,""),"")</f>
        <v/>
      </c>
      <c r="AJ343" s="220" t="str">
        <f>IF(AND(ISNUMBER(AJ341),ISNUMBER(AJ342)),IF(AJ341&gt;0,AJ342/AJ341,""),"")</f>
        <v/>
      </c>
      <c r="AK343" s="217" t="str">
        <f>IF(AND(ISNUMBER(AK341),ISNUMBER(AK342)),IF(AK341&gt;0,AK342/AK341,""),"")</f>
        <v/>
      </c>
    </row>
    <row r="344" ht="15.75" customHeight="1" hidden="1">
      <c r="A344" s="254"/>
      <c r="B344" s="250" t="inlineStr">
        <is>
          <t xml:space="preserve">GENTE</t>
        </is>
      </c>
      <c r="C344" s="221" t="inlineStr">
        <is>
          <t xml:space="preserve">Efetivo Op.</t>
        </is>
      </c>
      <c r="D344" s="222" t="str">
        <f>IFERROR(1/(1/INDEX(BD!$Y$35:$AS$35,MATCH($A$332,BD!$Y$22:$AS$22,0))),"")</f>
        <v/>
      </c>
      <c r="E344" s="223"/>
      <c r="F344" s="224" t="str">
        <f>IF(F$3="","",IF(COUNTIFS(BD!$A$3:$A$5001,F$3,BD!$B$3:$B$5001,$A$332,BD!$N$3:$N$5001,"&lt;&gt;")=0,"",SUMIFS(BD!$N$3:$N$5001,BD!$A$3:$A$5001,F$3,BD!$B$3:$B$5001,$A$332)))</f>
        <v/>
      </c>
      <c r="G344" s="225" t="str">
        <f>IF(G$3="","",IF(COUNTIFS(BD!$A$3:$A$5001,G$3,BD!$B$3:$B$5001,$A$332,BD!$N$3:$N$5001,"&lt;&gt;")=0,"",SUMIFS(BD!$N$3:$N$5001,BD!$A$3:$A$5001,G$3,BD!$B$3:$B$5001,$A$332)))</f>
        <v/>
      </c>
      <c r="H344" s="225" t="str">
        <f>IF(H$3="","",IF(COUNTIFS(BD!$A$3:$A$5001,H$3,BD!$B$3:$B$5001,$A$332,BD!$N$3:$N$5001,"&lt;&gt;")=0,"",SUMIFS(BD!$N$3:$N$5001,BD!$A$3:$A$5001,H$3,BD!$B$3:$B$5001,$A$332)))</f>
        <v/>
      </c>
      <c r="I344" s="225" t="str">
        <f>IF(I$3="","",IF(COUNTIFS(BD!$A$3:$A$5001,I$3,BD!$B$3:$B$5001,$A$332,BD!$N$3:$N$5001,"&lt;&gt;")=0,"",SUMIFS(BD!$N$3:$N$5001,BD!$A$3:$A$5001,I$3,BD!$B$3:$B$5001,$A$332)))</f>
        <v/>
      </c>
      <c r="J344" s="225" t="str">
        <f>IF(J$3="","",IF(COUNTIFS(BD!$A$3:$A$5001,J$3,BD!$B$3:$B$5001,$A$332,BD!$N$3:$N$5001,"&lt;&gt;")=0,"",SUMIFS(BD!$N$3:$N$5001,BD!$A$3:$A$5001,J$3,BD!$B$3:$B$5001,$A$332)))</f>
        <v/>
      </c>
      <c r="K344" s="225" t="str">
        <f>IF(K$3="","",IF(COUNTIFS(BD!$A$3:$A$5001,K$3,BD!$B$3:$B$5001,$A$332,BD!$N$3:$N$5001,"&lt;&gt;")=0,"",SUMIFS(BD!$N$3:$N$5001,BD!$A$3:$A$5001,K$3,BD!$B$3:$B$5001,$A$332)))</f>
        <v/>
      </c>
      <c r="L344" s="225" t="str">
        <f>IF(L$3="","",IF(COUNTIFS(BD!$A$3:$A$5001,L$3,BD!$B$3:$B$5001,$A$332,BD!$N$3:$N$5001,"&lt;&gt;")=0,"",SUMIFS(BD!$N$3:$N$5001,BD!$A$3:$A$5001,L$3,BD!$B$3:$B$5001,$A$332)))</f>
        <v/>
      </c>
      <c r="M344" s="225" t="str">
        <f>IF(M$3="","",IF(COUNTIFS(BD!$A$3:$A$5001,M$3,BD!$B$3:$B$5001,$A$332,BD!$N$3:$N$5001,"&lt;&gt;")=0,"",SUMIFS(BD!$N$3:$N$5001,BD!$A$3:$A$5001,M$3,BD!$B$3:$B$5001,$A$332)))</f>
        <v/>
      </c>
      <c r="N344" s="225" t="str">
        <f>IF(N$3="","",IF(COUNTIFS(BD!$A$3:$A$5001,N$3,BD!$B$3:$B$5001,$A$332,BD!$N$3:$N$5001,"&lt;&gt;")=0,"",SUMIFS(BD!$N$3:$N$5001,BD!$A$3:$A$5001,N$3,BD!$B$3:$B$5001,$A$332)))</f>
        <v/>
      </c>
      <c r="O344" s="225" t="str">
        <f>IF(O$3="","",IF(COUNTIFS(BD!$A$3:$A$5001,O$3,BD!$B$3:$B$5001,$A$332,BD!$N$3:$N$5001,"&lt;&gt;")=0,"",SUMIFS(BD!$N$3:$N$5001,BD!$A$3:$A$5001,O$3,BD!$B$3:$B$5001,$A$332)))</f>
        <v/>
      </c>
      <c r="P344" s="225" t="str">
        <f>IF(P$3="","",IF(COUNTIFS(BD!$A$3:$A$5001,P$3,BD!$B$3:$B$5001,$A$332,BD!$N$3:$N$5001,"&lt;&gt;")=0,"",SUMIFS(BD!$N$3:$N$5001,BD!$A$3:$A$5001,P$3,BD!$B$3:$B$5001,$A$332)))</f>
        <v/>
      </c>
      <c r="Q344" s="225" t="str">
        <f>IF(Q$3="","",IF(COUNTIFS(BD!$A$3:$A$5001,Q$3,BD!$B$3:$B$5001,$A$332,BD!$N$3:$N$5001,"&lt;&gt;")=0,"",SUMIFS(BD!$N$3:$N$5001,BD!$A$3:$A$5001,Q$3,BD!$B$3:$B$5001,$A$332)))</f>
        <v/>
      </c>
      <c r="R344" s="225" t="str">
        <f>IF(R$3="","",IF(COUNTIFS(BD!$A$3:$A$5001,R$3,BD!$B$3:$B$5001,$A$332,BD!$N$3:$N$5001,"&lt;&gt;")=0,"",SUMIFS(BD!$N$3:$N$5001,BD!$A$3:$A$5001,R$3,BD!$B$3:$B$5001,$A$332)))</f>
        <v/>
      </c>
      <c r="S344" s="225" t="str">
        <f>IF(S$3="","",IF(COUNTIFS(BD!$A$3:$A$5001,S$3,BD!$B$3:$B$5001,$A$332,BD!$N$3:$N$5001,"&lt;&gt;")=0,"",SUMIFS(BD!$N$3:$N$5001,BD!$A$3:$A$5001,S$3,BD!$B$3:$B$5001,$A$332)))</f>
        <v/>
      </c>
      <c r="T344" s="225" t="str">
        <f>IF(T$3="","",IF(COUNTIFS(BD!$A$3:$A$5001,T$3,BD!$B$3:$B$5001,$A$332,BD!$N$3:$N$5001,"&lt;&gt;")=0,"",SUMIFS(BD!$N$3:$N$5001,BD!$A$3:$A$5001,T$3,BD!$B$3:$B$5001,$A$332)))</f>
        <v/>
      </c>
      <c r="U344" s="225" t="str">
        <f>IF(U$3="","",IF(COUNTIFS(BD!$A$3:$A$5001,U$3,BD!$B$3:$B$5001,$A$332,BD!$N$3:$N$5001,"&lt;&gt;")=0,"",SUMIFS(BD!$N$3:$N$5001,BD!$A$3:$A$5001,U$3,BD!$B$3:$B$5001,$A$332)))</f>
        <v/>
      </c>
      <c r="V344" s="225" t="str">
        <f>IF(V$3="","",IF(COUNTIFS(BD!$A$3:$A$5001,V$3,BD!$B$3:$B$5001,$A$332,BD!$N$3:$N$5001,"&lt;&gt;")=0,"",SUMIFS(BD!$N$3:$N$5001,BD!$A$3:$A$5001,V$3,BD!$B$3:$B$5001,$A$332)))</f>
        <v/>
      </c>
      <c r="W344" s="225" t="str">
        <f>IF(W$3="","",IF(COUNTIFS(BD!$A$3:$A$5001,W$3,BD!$B$3:$B$5001,$A$332,BD!$N$3:$N$5001,"&lt;&gt;")=0,"",SUMIFS(BD!$N$3:$N$5001,BD!$A$3:$A$5001,W$3,BD!$B$3:$B$5001,$A$332)))</f>
        <v/>
      </c>
      <c r="X344" s="225" t="str">
        <f>IF(X$3="","",IF(COUNTIFS(BD!$A$3:$A$5001,X$3,BD!$B$3:$B$5001,$A$332,BD!$N$3:$N$5001,"&lt;&gt;")=0,"",SUMIFS(BD!$N$3:$N$5001,BD!$A$3:$A$5001,X$3,BD!$B$3:$B$5001,$A$332)))</f>
        <v/>
      </c>
      <c r="Y344" s="225" t="str">
        <f>IF(Y$3="","",IF(COUNTIFS(BD!$A$3:$A$5001,Y$3,BD!$B$3:$B$5001,$A$332,BD!$N$3:$N$5001,"&lt;&gt;")=0,"",SUMIFS(BD!$N$3:$N$5001,BD!$A$3:$A$5001,Y$3,BD!$B$3:$B$5001,$A$332)))</f>
        <v/>
      </c>
      <c r="Z344" s="225" t="str">
        <f>IF(Z$3="","",IF(COUNTIFS(BD!$A$3:$A$5001,Z$3,BD!$B$3:$B$5001,$A$332,BD!$N$3:$N$5001,"&lt;&gt;")=0,"",SUMIFS(BD!$N$3:$N$5001,BD!$A$3:$A$5001,Z$3,BD!$B$3:$B$5001,$A$332)))</f>
        <v/>
      </c>
      <c r="AA344" s="225" t="str">
        <f>IF(AA$3="","",IF(COUNTIFS(BD!$A$3:$A$5001,AA$3,BD!$B$3:$B$5001,$A$332,BD!$N$3:$N$5001,"&lt;&gt;")=0,"",SUMIFS(BD!$N$3:$N$5001,BD!$A$3:$A$5001,AA$3,BD!$B$3:$B$5001,$A$332)))</f>
        <v/>
      </c>
      <c r="AB344" s="225" t="str">
        <f>IF(AB$3="","",IF(COUNTIFS(BD!$A$3:$A$5001,AB$3,BD!$B$3:$B$5001,$A$332,BD!$N$3:$N$5001,"&lt;&gt;")=0,"",SUMIFS(BD!$N$3:$N$5001,BD!$A$3:$A$5001,AB$3,BD!$B$3:$B$5001,$A$332)))</f>
        <v/>
      </c>
      <c r="AC344" s="225" t="str">
        <f>IF(AC$3="","",IF(COUNTIFS(BD!$A$3:$A$5001,AC$3,BD!$B$3:$B$5001,$A$332,BD!$N$3:$N$5001,"&lt;&gt;")=0,"",SUMIFS(BD!$N$3:$N$5001,BD!$A$3:$A$5001,AC$3,BD!$B$3:$B$5001,$A$332)))</f>
        <v/>
      </c>
      <c r="AD344" s="225" t="str">
        <f>IF(AD$3="","",IF(COUNTIFS(BD!$A$3:$A$5001,AD$3,BD!$B$3:$B$5001,$A$332,BD!$N$3:$N$5001,"&lt;&gt;")=0,"",SUMIFS(BD!$N$3:$N$5001,BD!$A$3:$A$5001,AD$3,BD!$B$3:$B$5001,$A$332)))</f>
        <v/>
      </c>
      <c r="AE344" s="225" t="str">
        <f>IF(AE$3="","",IF(COUNTIFS(BD!$A$3:$A$5001,AE$3,BD!$B$3:$B$5001,$A$332,BD!$N$3:$N$5001,"&lt;&gt;")=0,"",SUMIFS(BD!$N$3:$N$5001,BD!$A$3:$A$5001,AE$3,BD!$B$3:$B$5001,$A$332)))</f>
        <v/>
      </c>
      <c r="AF344" s="225" t="str">
        <f>IF(AF$3="","",IF(COUNTIFS(BD!$A$3:$A$5001,AF$3,BD!$B$3:$B$5001,$A$332,BD!$N$3:$N$5001,"&lt;&gt;")=0,"",SUMIFS(BD!$N$3:$N$5001,BD!$A$3:$A$5001,AF$3,BD!$B$3:$B$5001,$A$332)))</f>
        <v/>
      </c>
      <c r="AG344" s="225" t="str">
        <f>IF(AG$3="","",IF(COUNTIFS(BD!$A$3:$A$5001,AG$3,BD!$B$3:$B$5001,$A$332,BD!$N$3:$N$5001,"&lt;&gt;")=0,"",SUMIFS(BD!$N$3:$N$5001,BD!$A$3:$A$5001,AG$3,BD!$B$3:$B$5001,$A$332)))</f>
        <v/>
      </c>
      <c r="AH344" s="225" t="str">
        <f>IF(AH$3="","",IF(COUNTIFS(BD!$A$3:$A$5001,AH$3,BD!$B$3:$B$5001,$A$332,BD!$N$3:$N$5001,"&lt;&gt;")=0,"",SUMIFS(BD!$N$3:$N$5001,BD!$A$3:$A$5001,AH$3,BD!$B$3:$B$5001,$A$332)))</f>
        <v/>
      </c>
      <c r="AI344" s="225" t="str">
        <f>IF(AI$3="","",IF(COUNTIFS(BD!$A$3:$A$5001,AI$3,BD!$B$3:$B$5001,$A$332,BD!$N$3:$N$5001,"&lt;&gt;")=0,"",SUMIFS(BD!$N$3:$N$5001,BD!$A$3:$A$5001,AI$3,BD!$B$3:$B$5001,$A$332)))</f>
        <v/>
      </c>
      <c r="AJ344" s="226" t="str">
        <f>IF(AJ$3="","",IF(COUNTIFS(BD!$A$3:$A$5001,AJ$3,BD!$B$3:$B$5001,$A$332,BD!$N$3:$N$5001,"&lt;&gt;")=0,"",SUMIFS(BD!$N$3:$N$5001,BD!$A$3:$A$5001,AJ$3,BD!$B$3:$B$5001,$A$332)))</f>
        <v/>
      </c>
      <c r="AK344" s="227" t="str">
        <f>IFERROR(LOOKUP(9.99E+307,F344:AJ344),"")</f>
        <v/>
      </c>
    </row>
    <row r="345" ht="15.75" customHeight="1" hidden="1">
      <c r="A345" s="254"/>
      <c r="B345" s="251"/>
      <c r="C345" s="228" t="inlineStr">
        <is>
          <t xml:space="preserve">Falta</t>
        </is>
      </c>
      <c r="D345" s="229" t="str">
        <f>IFERROR(1/(1/INDEX(BD!$Y$36:$AS$36,MATCH($A$332,BD!$Y$22:$AS$22,0))),"")</f>
        <v/>
      </c>
      <c r="E345" s="230"/>
      <c r="F345" s="231" t="str">
        <f>IF(F$3="","",IF(COUNTIFS(BD!$A$3:$A$5001,F$3,BD!$B$3:$B$5001,$A$332,BD!$O$3:$O$5001,"&lt;&gt;")=0,"",SUMIFS(BD!$O$3:$O$5001,BD!$A$3:$A$5001,F$3,BD!$B$3:$B$5001,$A$332)))</f>
        <v/>
      </c>
      <c r="G345" s="232" t="str">
        <f>IF(G$3="","",IF(COUNTIFS(BD!$A$3:$A$5001,G$3,BD!$B$3:$B$5001,$A$332,BD!$O$3:$O$5001,"&lt;&gt;")=0,"",SUMIFS(BD!$O$3:$O$5001,BD!$A$3:$A$5001,G$3,BD!$B$3:$B$5001,$A$332)))</f>
        <v/>
      </c>
      <c r="H345" s="232" t="str">
        <f>IF(H$3="","",IF(COUNTIFS(BD!$A$3:$A$5001,H$3,BD!$B$3:$B$5001,$A$332,BD!$O$3:$O$5001,"&lt;&gt;")=0,"",SUMIFS(BD!$O$3:$O$5001,BD!$A$3:$A$5001,H$3,BD!$B$3:$B$5001,$A$332)))</f>
        <v/>
      </c>
      <c r="I345" s="232" t="str">
        <f>IF(I$3="","",IF(COUNTIFS(BD!$A$3:$A$5001,I$3,BD!$B$3:$B$5001,$A$332,BD!$O$3:$O$5001,"&lt;&gt;")=0,"",SUMIFS(BD!$O$3:$O$5001,BD!$A$3:$A$5001,I$3,BD!$B$3:$B$5001,$A$332)))</f>
        <v/>
      </c>
      <c r="J345" s="232" t="str">
        <f>IF(J$3="","",IF(COUNTIFS(BD!$A$3:$A$5001,J$3,BD!$B$3:$B$5001,$A$332,BD!$O$3:$O$5001,"&lt;&gt;")=0,"",SUMIFS(BD!$O$3:$O$5001,BD!$A$3:$A$5001,J$3,BD!$B$3:$B$5001,$A$332)))</f>
        <v/>
      </c>
      <c r="K345" s="232" t="str">
        <f>IF(K$3="","",IF(COUNTIFS(BD!$A$3:$A$5001,K$3,BD!$B$3:$B$5001,$A$332,BD!$O$3:$O$5001,"&lt;&gt;")=0,"",SUMIFS(BD!$O$3:$O$5001,BD!$A$3:$A$5001,K$3,BD!$B$3:$B$5001,$A$332)))</f>
        <v/>
      </c>
      <c r="L345" s="232" t="str">
        <f>IF(L$3="","",IF(COUNTIFS(BD!$A$3:$A$5001,L$3,BD!$B$3:$B$5001,$A$332,BD!$O$3:$O$5001,"&lt;&gt;")=0,"",SUMIFS(BD!$O$3:$O$5001,BD!$A$3:$A$5001,L$3,BD!$B$3:$B$5001,$A$332)))</f>
        <v/>
      </c>
      <c r="M345" s="232" t="str">
        <f>IF(M$3="","",IF(COUNTIFS(BD!$A$3:$A$5001,M$3,BD!$B$3:$B$5001,$A$332,BD!$O$3:$O$5001,"&lt;&gt;")=0,"",SUMIFS(BD!$O$3:$O$5001,BD!$A$3:$A$5001,M$3,BD!$B$3:$B$5001,$A$332)))</f>
        <v/>
      </c>
      <c r="N345" s="232" t="str">
        <f>IF(N$3="","",IF(COUNTIFS(BD!$A$3:$A$5001,N$3,BD!$B$3:$B$5001,$A$332,BD!$O$3:$O$5001,"&lt;&gt;")=0,"",SUMIFS(BD!$O$3:$O$5001,BD!$A$3:$A$5001,N$3,BD!$B$3:$B$5001,$A$332)))</f>
        <v/>
      </c>
      <c r="O345" s="232" t="str">
        <f>IF(O$3="","",IF(COUNTIFS(BD!$A$3:$A$5001,O$3,BD!$B$3:$B$5001,$A$332,BD!$O$3:$O$5001,"&lt;&gt;")=0,"",SUMIFS(BD!$O$3:$O$5001,BD!$A$3:$A$5001,O$3,BD!$B$3:$B$5001,$A$332)))</f>
        <v/>
      </c>
      <c r="P345" s="232" t="str">
        <f>IF(P$3="","",IF(COUNTIFS(BD!$A$3:$A$5001,P$3,BD!$B$3:$B$5001,$A$332,BD!$O$3:$O$5001,"&lt;&gt;")=0,"",SUMIFS(BD!$O$3:$O$5001,BD!$A$3:$A$5001,P$3,BD!$B$3:$B$5001,$A$332)))</f>
        <v/>
      </c>
      <c r="Q345" s="232" t="str">
        <f>IF(Q$3="","",IF(COUNTIFS(BD!$A$3:$A$5001,Q$3,BD!$B$3:$B$5001,$A$332,BD!$O$3:$O$5001,"&lt;&gt;")=0,"",SUMIFS(BD!$O$3:$O$5001,BD!$A$3:$A$5001,Q$3,BD!$B$3:$B$5001,$A$332)))</f>
        <v/>
      </c>
      <c r="R345" s="232" t="str">
        <f>IF(R$3="","",IF(COUNTIFS(BD!$A$3:$A$5001,R$3,BD!$B$3:$B$5001,$A$332,BD!$O$3:$O$5001,"&lt;&gt;")=0,"",SUMIFS(BD!$O$3:$O$5001,BD!$A$3:$A$5001,R$3,BD!$B$3:$B$5001,$A$332)))</f>
        <v/>
      </c>
      <c r="S345" s="232" t="str">
        <f>IF(S$3="","",IF(COUNTIFS(BD!$A$3:$A$5001,S$3,BD!$B$3:$B$5001,$A$332,BD!$O$3:$O$5001,"&lt;&gt;")=0,"",SUMIFS(BD!$O$3:$O$5001,BD!$A$3:$A$5001,S$3,BD!$B$3:$B$5001,$A$332)))</f>
        <v/>
      </c>
      <c r="T345" s="232" t="str">
        <f>IF(T$3="","",IF(COUNTIFS(BD!$A$3:$A$5001,T$3,BD!$B$3:$B$5001,$A$332,BD!$O$3:$O$5001,"&lt;&gt;")=0,"",SUMIFS(BD!$O$3:$O$5001,BD!$A$3:$A$5001,T$3,BD!$B$3:$B$5001,$A$332)))</f>
        <v/>
      </c>
      <c r="U345" s="232" t="str">
        <f>IF(U$3="","",IF(COUNTIFS(BD!$A$3:$A$5001,U$3,BD!$B$3:$B$5001,$A$332,BD!$O$3:$O$5001,"&lt;&gt;")=0,"",SUMIFS(BD!$O$3:$O$5001,BD!$A$3:$A$5001,U$3,BD!$B$3:$B$5001,$A$332)))</f>
        <v/>
      </c>
      <c r="V345" s="232" t="str">
        <f>IF(V$3="","",IF(COUNTIFS(BD!$A$3:$A$5001,V$3,BD!$B$3:$B$5001,$A$332,BD!$O$3:$O$5001,"&lt;&gt;")=0,"",SUMIFS(BD!$O$3:$O$5001,BD!$A$3:$A$5001,V$3,BD!$B$3:$B$5001,$A$332)))</f>
        <v/>
      </c>
      <c r="W345" s="232" t="str">
        <f>IF(W$3="","",IF(COUNTIFS(BD!$A$3:$A$5001,W$3,BD!$B$3:$B$5001,$A$332,BD!$O$3:$O$5001,"&lt;&gt;")=0,"",SUMIFS(BD!$O$3:$O$5001,BD!$A$3:$A$5001,W$3,BD!$B$3:$B$5001,$A$332)))</f>
        <v/>
      </c>
      <c r="X345" s="232" t="str">
        <f>IF(X$3="","",IF(COUNTIFS(BD!$A$3:$A$5001,X$3,BD!$B$3:$B$5001,$A$332,BD!$O$3:$O$5001,"&lt;&gt;")=0,"",SUMIFS(BD!$O$3:$O$5001,BD!$A$3:$A$5001,X$3,BD!$B$3:$B$5001,$A$332)))</f>
        <v/>
      </c>
      <c r="Y345" s="232" t="str">
        <f>IF(Y$3="","",IF(COUNTIFS(BD!$A$3:$A$5001,Y$3,BD!$B$3:$B$5001,$A$332,BD!$O$3:$O$5001,"&lt;&gt;")=0,"",SUMIFS(BD!$O$3:$O$5001,BD!$A$3:$A$5001,Y$3,BD!$B$3:$B$5001,$A$332)))</f>
        <v/>
      </c>
      <c r="Z345" s="232" t="str">
        <f>IF(Z$3="","",IF(COUNTIFS(BD!$A$3:$A$5001,Z$3,BD!$B$3:$B$5001,$A$332,BD!$O$3:$O$5001,"&lt;&gt;")=0,"",SUMIFS(BD!$O$3:$O$5001,BD!$A$3:$A$5001,Z$3,BD!$B$3:$B$5001,$A$332)))</f>
        <v/>
      </c>
      <c r="AA345" s="232" t="str">
        <f>IF(AA$3="","",IF(COUNTIFS(BD!$A$3:$A$5001,AA$3,BD!$B$3:$B$5001,$A$332,BD!$O$3:$O$5001,"&lt;&gt;")=0,"",SUMIFS(BD!$O$3:$O$5001,BD!$A$3:$A$5001,AA$3,BD!$B$3:$B$5001,$A$332)))</f>
        <v/>
      </c>
      <c r="AB345" s="232" t="str">
        <f>IF(AB$3="","",IF(COUNTIFS(BD!$A$3:$A$5001,AB$3,BD!$B$3:$B$5001,$A$332,BD!$O$3:$O$5001,"&lt;&gt;")=0,"",SUMIFS(BD!$O$3:$O$5001,BD!$A$3:$A$5001,AB$3,BD!$B$3:$B$5001,$A$332)))</f>
        <v/>
      </c>
      <c r="AC345" s="232" t="str">
        <f>IF(AC$3="","",IF(COUNTIFS(BD!$A$3:$A$5001,AC$3,BD!$B$3:$B$5001,$A$332,BD!$O$3:$O$5001,"&lt;&gt;")=0,"",SUMIFS(BD!$O$3:$O$5001,BD!$A$3:$A$5001,AC$3,BD!$B$3:$B$5001,$A$332)))</f>
        <v/>
      </c>
      <c r="AD345" s="232" t="str">
        <f>IF(AD$3="","",IF(COUNTIFS(BD!$A$3:$A$5001,AD$3,BD!$B$3:$B$5001,$A$332,BD!$O$3:$O$5001,"&lt;&gt;")=0,"",SUMIFS(BD!$O$3:$O$5001,BD!$A$3:$A$5001,AD$3,BD!$B$3:$B$5001,$A$332)))</f>
        <v/>
      </c>
      <c r="AE345" s="232" t="str">
        <f>IF(AE$3="","",IF(COUNTIFS(BD!$A$3:$A$5001,AE$3,BD!$B$3:$B$5001,$A$332,BD!$O$3:$O$5001,"&lt;&gt;")=0,"",SUMIFS(BD!$O$3:$O$5001,BD!$A$3:$A$5001,AE$3,BD!$B$3:$B$5001,$A$332)))</f>
        <v/>
      </c>
      <c r="AF345" s="232" t="str">
        <f>IF(AF$3="","",IF(COUNTIFS(BD!$A$3:$A$5001,AF$3,BD!$B$3:$B$5001,$A$332,BD!$O$3:$O$5001,"&lt;&gt;")=0,"",SUMIFS(BD!$O$3:$O$5001,BD!$A$3:$A$5001,AF$3,BD!$B$3:$B$5001,$A$332)))</f>
        <v/>
      </c>
      <c r="AG345" s="232" t="str">
        <f>IF(AG$3="","",IF(COUNTIFS(BD!$A$3:$A$5001,AG$3,BD!$B$3:$B$5001,$A$332,BD!$O$3:$O$5001,"&lt;&gt;")=0,"",SUMIFS(BD!$O$3:$O$5001,BD!$A$3:$A$5001,AG$3,BD!$B$3:$B$5001,$A$332)))</f>
        <v/>
      </c>
      <c r="AH345" s="232" t="str">
        <f>IF(AH$3="","",IF(COUNTIFS(BD!$A$3:$A$5001,AH$3,BD!$B$3:$B$5001,$A$332,BD!$O$3:$O$5001,"&lt;&gt;")=0,"",SUMIFS(BD!$O$3:$O$5001,BD!$A$3:$A$5001,AH$3,BD!$B$3:$B$5001,$A$332)))</f>
        <v/>
      </c>
      <c r="AI345" s="232" t="str">
        <f>IF(AI$3="","",IF(COUNTIFS(BD!$A$3:$A$5001,AI$3,BD!$B$3:$B$5001,$A$332,BD!$O$3:$O$5001,"&lt;&gt;")=0,"",SUMIFS(BD!$O$3:$O$5001,BD!$A$3:$A$5001,AI$3,BD!$B$3:$B$5001,$A$332)))</f>
        <v/>
      </c>
      <c r="AJ345" s="233" t="str">
        <f>IF(AJ$3="","",IF(COUNTIFS(BD!$A$3:$A$5001,AJ$3,BD!$B$3:$B$5001,$A$332,BD!$O$3:$O$5001,"&lt;&gt;")=0,"",SUMIFS(BD!$O$3:$O$5001,BD!$A$3:$A$5001,AJ$3,BD!$B$3:$B$5001,$A$332)))</f>
        <v/>
      </c>
      <c r="AK345" s="234" t="str">
        <f>IF(COUNT(F345:AJ345)=0,"",SUM(F345:AJ345))</f>
        <v/>
      </c>
    </row>
    <row r="346" ht="15.75" customHeight="1" hidden="1">
      <c r="A346" s="254"/>
      <c r="B346" s="251"/>
      <c r="C346" s="228" t="inlineStr">
        <is>
          <t xml:space="preserve">Folga</t>
        </is>
      </c>
      <c r="D346" s="229" t="str">
        <f>IFERROR(1/(1/INDEX(BD!$Y$37:$AS$37,MATCH($A$332,BD!$Y$22:$AS$22,0))),"")</f>
        <v/>
      </c>
      <c r="E346" s="230"/>
      <c r="F346" s="231" t="str">
        <f>IF(F$3="","",IF(COUNTIFS(BD!$A$3:$A$5001,F$3,BD!$B$3:$B$5001,$A$332,BD!$P$3:$P$5001,"&lt;&gt;")=0,"",SUMIFS(BD!$P$3:$P$5001,BD!$A$3:$A$5001,F$3,BD!$B$3:$B$5001,$A$332)))</f>
        <v/>
      </c>
      <c r="G346" s="232" t="str">
        <f>IF(G$3="","",IF(COUNTIFS(BD!$A$3:$A$5001,G$3,BD!$B$3:$B$5001,$A$332,BD!$P$3:$P$5001,"&lt;&gt;")=0,"",SUMIFS(BD!$P$3:$P$5001,BD!$A$3:$A$5001,G$3,BD!$B$3:$B$5001,$A$332)))</f>
        <v/>
      </c>
      <c r="H346" s="232" t="str">
        <f>IF(H$3="","",IF(COUNTIFS(BD!$A$3:$A$5001,H$3,BD!$B$3:$B$5001,$A$332,BD!$P$3:$P$5001,"&lt;&gt;")=0,"",SUMIFS(BD!$P$3:$P$5001,BD!$A$3:$A$5001,H$3,BD!$B$3:$B$5001,$A$332)))</f>
        <v/>
      </c>
      <c r="I346" s="232" t="str">
        <f>IF(I$3="","",IF(COUNTIFS(BD!$A$3:$A$5001,I$3,BD!$B$3:$B$5001,$A$332,BD!$P$3:$P$5001,"&lt;&gt;")=0,"",SUMIFS(BD!$P$3:$P$5001,BD!$A$3:$A$5001,I$3,BD!$B$3:$B$5001,$A$332)))</f>
        <v/>
      </c>
      <c r="J346" s="232" t="str">
        <f>IF(J$3="","",IF(COUNTIFS(BD!$A$3:$A$5001,J$3,BD!$B$3:$B$5001,$A$332,BD!$P$3:$P$5001,"&lt;&gt;")=0,"",SUMIFS(BD!$P$3:$P$5001,BD!$A$3:$A$5001,J$3,BD!$B$3:$B$5001,$A$332)))</f>
        <v/>
      </c>
      <c r="K346" s="232" t="str">
        <f>IF(K$3="","",IF(COUNTIFS(BD!$A$3:$A$5001,K$3,BD!$B$3:$B$5001,$A$332,BD!$P$3:$P$5001,"&lt;&gt;")=0,"",SUMIFS(BD!$P$3:$P$5001,BD!$A$3:$A$5001,K$3,BD!$B$3:$B$5001,$A$332)))</f>
        <v/>
      </c>
      <c r="L346" s="232" t="str">
        <f>IF(L$3="","",IF(COUNTIFS(BD!$A$3:$A$5001,L$3,BD!$B$3:$B$5001,$A$332,BD!$P$3:$P$5001,"&lt;&gt;")=0,"",SUMIFS(BD!$P$3:$P$5001,BD!$A$3:$A$5001,L$3,BD!$B$3:$B$5001,$A$332)))</f>
        <v/>
      </c>
      <c r="M346" s="232" t="str">
        <f>IF(M$3="","",IF(COUNTIFS(BD!$A$3:$A$5001,M$3,BD!$B$3:$B$5001,$A$332,BD!$P$3:$P$5001,"&lt;&gt;")=0,"",SUMIFS(BD!$P$3:$P$5001,BD!$A$3:$A$5001,M$3,BD!$B$3:$B$5001,$A$332)))</f>
        <v/>
      </c>
      <c r="N346" s="232" t="str">
        <f>IF(N$3="","",IF(COUNTIFS(BD!$A$3:$A$5001,N$3,BD!$B$3:$B$5001,$A$332,BD!$P$3:$P$5001,"&lt;&gt;")=0,"",SUMIFS(BD!$P$3:$P$5001,BD!$A$3:$A$5001,N$3,BD!$B$3:$B$5001,$A$332)))</f>
        <v/>
      </c>
      <c r="O346" s="232" t="str">
        <f>IF(O$3="","",IF(COUNTIFS(BD!$A$3:$A$5001,O$3,BD!$B$3:$B$5001,$A$332,BD!$P$3:$P$5001,"&lt;&gt;")=0,"",SUMIFS(BD!$P$3:$P$5001,BD!$A$3:$A$5001,O$3,BD!$B$3:$B$5001,$A$332)))</f>
        <v/>
      </c>
      <c r="P346" s="232" t="str">
        <f>IF(P$3="","",IF(COUNTIFS(BD!$A$3:$A$5001,P$3,BD!$B$3:$B$5001,$A$332,BD!$P$3:$P$5001,"&lt;&gt;")=0,"",SUMIFS(BD!$P$3:$P$5001,BD!$A$3:$A$5001,P$3,BD!$B$3:$B$5001,$A$332)))</f>
        <v/>
      </c>
      <c r="Q346" s="232" t="str">
        <f>IF(Q$3="","",IF(COUNTIFS(BD!$A$3:$A$5001,Q$3,BD!$B$3:$B$5001,$A$332,BD!$P$3:$P$5001,"&lt;&gt;")=0,"",SUMIFS(BD!$P$3:$P$5001,BD!$A$3:$A$5001,Q$3,BD!$B$3:$B$5001,$A$332)))</f>
        <v/>
      </c>
      <c r="R346" s="232" t="str">
        <f>IF(R$3="","",IF(COUNTIFS(BD!$A$3:$A$5001,R$3,BD!$B$3:$B$5001,$A$332,BD!$P$3:$P$5001,"&lt;&gt;")=0,"",SUMIFS(BD!$P$3:$P$5001,BD!$A$3:$A$5001,R$3,BD!$B$3:$B$5001,$A$332)))</f>
        <v/>
      </c>
      <c r="S346" s="232" t="str">
        <f>IF(S$3="","",IF(COUNTIFS(BD!$A$3:$A$5001,S$3,BD!$B$3:$B$5001,$A$332,BD!$P$3:$P$5001,"&lt;&gt;")=0,"",SUMIFS(BD!$P$3:$P$5001,BD!$A$3:$A$5001,S$3,BD!$B$3:$B$5001,$A$332)))</f>
        <v/>
      </c>
      <c r="T346" s="232" t="str">
        <f>IF(T$3="","",IF(COUNTIFS(BD!$A$3:$A$5001,T$3,BD!$B$3:$B$5001,$A$332,BD!$P$3:$P$5001,"&lt;&gt;")=0,"",SUMIFS(BD!$P$3:$P$5001,BD!$A$3:$A$5001,T$3,BD!$B$3:$B$5001,$A$332)))</f>
        <v/>
      </c>
      <c r="U346" s="232" t="str">
        <f>IF(U$3="","",IF(COUNTIFS(BD!$A$3:$A$5001,U$3,BD!$B$3:$B$5001,$A$332,BD!$P$3:$P$5001,"&lt;&gt;")=0,"",SUMIFS(BD!$P$3:$P$5001,BD!$A$3:$A$5001,U$3,BD!$B$3:$B$5001,$A$332)))</f>
        <v/>
      </c>
      <c r="V346" s="232" t="str">
        <f>IF(V$3="","",IF(COUNTIFS(BD!$A$3:$A$5001,V$3,BD!$B$3:$B$5001,$A$332,BD!$P$3:$P$5001,"&lt;&gt;")=0,"",SUMIFS(BD!$P$3:$P$5001,BD!$A$3:$A$5001,V$3,BD!$B$3:$B$5001,$A$332)))</f>
        <v/>
      </c>
      <c r="W346" s="232" t="str">
        <f>IF(W$3="","",IF(COUNTIFS(BD!$A$3:$A$5001,W$3,BD!$B$3:$B$5001,$A$332,BD!$P$3:$P$5001,"&lt;&gt;")=0,"",SUMIFS(BD!$P$3:$P$5001,BD!$A$3:$A$5001,W$3,BD!$B$3:$B$5001,$A$332)))</f>
        <v/>
      </c>
      <c r="X346" s="232" t="str">
        <f>IF(X$3="","",IF(COUNTIFS(BD!$A$3:$A$5001,X$3,BD!$B$3:$B$5001,$A$332,BD!$P$3:$P$5001,"&lt;&gt;")=0,"",SUMIFS(BD!$P$3:$P$5001,BD!$A$3:$A$5001,X$3,BD!$B$3:$B$5001,$A$332)))</f>
        <v/>
      </c>
      <c r="Y346" s="232" t="str">
        <f>IF(Y$3="","",IF(COUNTIFS(BD!$A$3:$A$5001,Y$3,BD!$B$3:$B$5001,$A$332,BD!$P$3:$P$5001,"&lt;&gt;")=0,"",SUMIFS(BD!$P$3:$P$5001,BD!$A$3:$A$5001,Y$3,BD!$B$3:$B$5001,$A$332)))</f>
        <v/>
      </c>
      <c r="Z346" s="232" t="str">
        <f>IF(Z$3="","",IF(COUNTIFS(BD!$A$3:$A$5001,Z$3,BD!$B$3:$B$5001,$A$332,BD!$P$3:$P$5001,"&lt;&gt;")=0,"",SUMIFS(BD!$P$3:$P$5001,BD!$A$3:$A$5001,Z$3,BD!$B$3:$B$5001,$A$332)))</f>
        <v/>
      </c>
      <c r="AA346" s="232" t="str">
        <f>IF(AA$3="","",IF(COUNTIFS(BD!$A$3:$A$5001,AA$3,BD!$B$3:$B$5001,$A$332,BD!$P$3:$P$5001,"&lt;&gt;")=0,"",SUMIFS(BD!$P$3:$P$5001,BD!$A$3:$A$5001,AA$3,BD!$B$3:$B$5001,$A$332)))</f>
        <v/>
      </c>
      <c r="AB346" s="232" t="str">
        <f>IF(AB$3="","",IF(COUNTIFS(BD!$A$3:$A$5001,AB$3,BD!$B$3:$B$5001,$A$332,BD!$P$3:$P$5001,"&lt;&gt;")=0,"",SUMIFS(BD!$P$3:$P$5001,BD!$A$3:$A$5001,AB$3,BD!$B$3:$B$5001,$A$332)))</f>
        <v/>
      </c>
      <c r="AC346" s="232" t="str">
        <f>IF(AC$3="","",IF(COUNTIFS(BD!$A$3:$A$5001,AC$3,BD!$B$3:$B$5001,$A$332,BD!$P$3:$P$5001,"&lt;&gt;")=0,"",SUMIFS(BD!$P$3:$P$5001,BD!$A$3:$A$5001,AC$3,BD!$B$3:$B$5001,$A$332)))</f>
        <v/>
      </c>
      <c r="AD346" s="232" t="str">
        <f>IF(AD$3="","",IF(COUNTIFS(BD!$A$3:$A$5001,AD$3,BD!$B$3:$B$5001,$A$332,BD!$P$3:$P$5001,"&lt;&gt;")=0,"",SUMIFS(BD!$P$3:$P$5001,BD!$A$3:$A$5001,AD$3,BD!$B$3:$B$5001,$A$332)))</f>
        <v/>
      </c>
      <c r="AE346" s="232" t="str">
        <f>IF(AE$3="","",IF(COUNTIFS(BD!$A$3:$A$5001,AE$3,BD!$B$3:$B$5001,$A$332,BD!$P$3:$P$5001,"&lt;&gt;")=0,"",SUMIFS(BD!$P$3:$P$5001,BD!$A$3:$A$5001,AE$3,BD!$B$3:$B$5001,$A$332)))</f>
        <v/>
      </c>
      <c r="AF346" s="232" t="str">
        <f>IF(AF$3="","",IF(COUNTIFS(BD!$A$3:$A$5001,AF$3,BD!$B$3:$B$5001,$A$332,BD!$P$3:$P$5001,"&lt;&gt;")=0,"",SUMIFS(BD!$P$3:$P$5001,BD!$A$3:$A$5001,AF$3,BD!$B$3:$B$5001,$A$332)))</f>
        <v/>
      </c>
      <c r="AG346" s="232" t="str">
        <f>IF(AG$3="","",IF(COUNTIFS(BD!$A$3:$A$5001,AG$3,BD!$B$3:$B$5001,$A$332,BD!$P$3:$P$5001,"&lt;&gt;")=0,"",SUMIFS(BD!$P$3:$P$5001,BD!$A$3:$A$5001,AG$3,BD!$B$3:$B$5001,$A$332)))</f>
        <v/>
      </c>
      <c r="AH346" s="232" t="str">
        <f>IF(AH$3="","",IF(COUNTIFS(BD!$A$3:$A$5001,AH$3,BD!$B$3:$B$5001,$A$332,BD!$P$3:$P$5001,"&lt;&gt;")=0,"",SUMIFS(BD!$P$3:$P$5001,BD!$A$3:$A$5001,AH$3,BD!$B$3:$B$5001,$A$332)))</f>
        <v/>
      </c>
      <c r="AI346" s="232" t="str">
        <f>IF(AI$3="","",IF(COUNTIFS(BD!$A$3:$A$5001,AI$3,BD!$B$3:$B$5001,$A$332,BD!$P$3:$P$5001,"&lt;&gt;")=0,"",SUMIFS(BD!$P$3:$P$5001,BD!$A$3:$A$5001,AI$3,BD!$B$3:$B$5001,$A$332)))</f>
        <v/>
      </c>
      <c r="AJ346" s="233" t="str">
        <f>IF(AJ$3="","",IF(COUNTIFS(BD!$A$3:$A$5001,AJ$3,BD!$B$3:$B$5001,$A$332,BD!$P$3:$P$5001,"&lt;&gt;")=0,"",SUMIFS(BD!$P$3:$P$5001,BD!$A$3:$A$5001,AJ$3,BD!$B$3:$B$5001,$A$332)))</f>
        <v/>
      </c>
      <c r="AK346" s="234" t="str">
        <f>IF(COUNT(F346:AJ346)=0,"",SUM(F346:AJ346))</f>
        <v/>
      </c>
    </row>
    <row r="347" ht="15.75" customHeight="1" hidden="1">
      <c r="A347" s="254"/>
      <c r="B347" s="251"/>
      <c r="C347" s="228" t="inlineStr">
        <is>
          <t xml:space="preserve">Férias</t>
        </is>
      </c>
      <c r="D347" s="229" t="str">
        <f>IFERROR(1/(1/INDEX(BD!$Y$38:$AS$38,MATCH($A$332,BD!$Y$22:$AS$22,0))),"")</f>
        <v/>
      </c>
      <c r="E347" s="230"/>
      <c r="F347" s="231" t="str">
        <f>IF(F$3="","",IF(COUNTIFS(BD!$A$3:$A$5001,F$3,BD!$B$3:$B$5001,$A$332,BD!$Q$3:$Q$5001,"&lt;&gt;")=0,"",SUMIFS(BD!$Q$3:$Q$5001,BD!$A$3:$A$5001,F$3,BD!$B$3:$B$5001,$A$332)))</f>
        <v/>
      </c>
      <c r="G347" s="232" t="str">
        <f>IF(G$3="","",IF(COUNTIFS(BD!$A$3:$A$5001,G$3,BD!$B$3:$B$5001,$A$332,BD!$Q$3:$Q$5001,"&lt;&gt;")=0,"",SUMIFS(BD!$Q$3:$Q$5001,BD!$A$3:$A$5001,G$3,BD!$B$3:$B$5001,$A$332)))</f>
        <v/>
      </c>
      <c r="H347" s="232" t="str">
        <f>IF(H$3="","",IF(COUNTIFS(BD!$A$3:$A$5001,H$3,BD!$B$3:$B$5001,$A$332,BD!$Q$3:$Q$5001,"&lt;&gt;")=0,"",SUMIFS(BD!$Q$3:$Q$5001,BD!$A$3:$A$5001,H$3,BD!$B$3:$B$5001,$A$332)))</f>
        <v/>
      </c>
      <c r="I347" s="232" t="str">
        <f>IF(I$3="","",IF(COUNTIFS(BD!$A$3:$A$5001,I$3,BD!$B$3:$B$5001,$A$332,BD!$Q$3:$Q$5001,"&lt;&gt;")=0,"",SUMIFS(BD!$Q$3:$Q$5001,BD!$A$3:$A$5001,I$3,BD!$B$3:$B$5001,$A$332)))</f>
        <v/>
      </c>
      <c r="J347" s="232" t="str">
        <f>IF(J$3="","",IF(COUNTIFS(BD!$A$3:$A$5001,J$3,BD!$B$3:$B$5001,$A$332,BD!$Q$3:$Q$5001,"&lt;&gt;")=0,"",SUMIFS(BD!$Q$3:$Q$5001,BD!$A$3:$A$5001,J$3,BD!$B$3:$B$5001,$A$332)))</f>
        <v/>
      </c>
      <c r="K347" s="232" t="str">
        <f>IF(K$3="","",IF(COUNTIFS(BD!$A$3:$A$5001,K$3,BD!$B$3:$B$5001,$A$332,BD!$Q$3:$Q$5001,"&lt;&gt;")=0,"",SUMIFS(BD!$Q$3:$Q$5001,BD!$A$3:$A$5001,K$3,BD!$B$3:$B$5001,$A$332)))</f>
        <v/>
      </c>
      <c r="L347" s="232" t="str">
        <f>IF(L$3="","",IF(COUNTIFS(BD!$A$3:$A$5001,L$3,BD!$B$3:$B$5001,$A$332,BD!$Q$3:$Q$5001,"&lt;&gt;")=0,"",SUMIFS(BD!$Q$3:$Q$5001,BD!$A$3:$A$5001,L$3,BD!$B$3:$B$5001,$A$332)))</f>
        <v/>
      </c>
      <c r="M347" s="232" t="str">
        <f>IF(M$3="","",IF(COUNTIFS(BD!$A$3:$A$5001,M$3,BD!$B$3:$B$5001,$A$332,BD!$Q$3:$Q$5001,"&lt;&gt;")=0,"",SUMIFS(BD!$Q$3:$Q$5001,BD!$A$3:$A$5001,M$3,BD!$B$3:$B$5001,$A$332)))</f>
        <v/>
      </c>
      <c r="N347" s="232" t="str">
        <f>IF(N$3="","",IF(COUNTIFS(BD!$A$3:$A$5001,N$3,BD!$B$3:$B$5001,$A$332,BD!$Q$3:$Q$5001,"&lt;&gt;")=0,"",SUMIFS(BD!$Q$3:$Q$5001,BD!$A$3:$A$5001,N$3,BD!$B$3:$B$5001,$A$332)))</f>
        <v/>
      </c>
      <c r="O347" s="232" t="str">
        <f>IF(O$3="","",IF(COUNTIFS(BD!$A$3:$A$5001,O$3,BD!$B$3:$B$5001,$A$332,BD!$Q$3:$Q$5001,"&lt;&gt;")=0,"",SUMIFS(BD!$Q$3:$Q$5001,BD!$A$3:$A$5001,O$3,BD!$B$3:$B$5001,$A$332)))</f>
        <v/>
      </c>
      <c r="P347" s="232" t="str">
        <f>IF(P$3="","",IF(COUNTIFS(BD!$A$3:$A$5001,P$3,BD!$B$3:$B$5001,$A$332,BD!$Q$3:$Q$5001,"&lt;&gt;")=0,"",SUMIFS(BD!$Q$3:$Q$5001,BD!$A$3:$A$5001,P$3,BD!$B$3:$B$5001,$A$332)))</f>
        <v/>
      </c>
      <c r="Q347" s="232" t="str">
        <f>IF(Q$3="","",IF(COUNTIFS(BD!$A$3:$A$5001,Q$3,BD!$B$3:$B$5001,$A$332,BD!$Q$3:$Q$5001,"&lt;&gt;")=0,"",SUMIFS(BD!$Q$3:$Q$5001,BD!$A$3:$A$5001,Q$3,BD!$B$3:$B$5001,$A$332)))</f>
        <v/>
      </c>
      <c r="R347" s="232" t="str">
        <f>IF(R$3="","",IF(COUNTIFS(BD!$A$3:$A$5001,R$3,BD!$B$3:$B$5001,$A$332,BD!$Q$3:$Q$5001,"&lt;&gt;")=0,"",SUMIFS(BD!$Q$3:$Q$5001,BD!$A$3:$A$5001,R$3,BD!$B$3:$B$5001,$A$332)))</f>
        <v/>
      </c>
      <c r="S347" s="232" t="str">
        <f>IF(S$3="","",IF(COUNTIFS(BD!$A$3:$A$5001,S$3,BD!$B$3:$B$5001,$A$332,BD!$Q$3:$Q$5001,"&lt;&gt;")=0,"",SUMIFS(BD!$Q$3:$Q$5001,BD!$A$3:$A$5001,S$3,BD!$B$3:$B$5001,$A$332)))</f>
        <v/>
      </c>
      <c r="T347" s="232" t="str">
        <f>IF(T$3="","",IF(COUNTIFS(BD!$A$3:$A$5001,T$3,BD!$B$3:$B$5001,$A$332,BD!$Q$3:$Q$5001,"&lt;&gt;")=0,"",SUMIFS(BD!$Q$3:$Q$5001,BD!$A$3:$A$5001,T$3,BD!$B$3:$B$5001,$A$332)))</f>
        <v/>
      </c>
      <c r="U347" s="232" t="str">
        <f>IF(U$3="","",IF(COUNTIFS(BD!$A$3:$A$5001,U$3,BD!$B$3:$B$5001,$A$332,BD!$Q$3:$Q$5001,"&lt;&gt;")=0,"",SUMIFS(BD!$Q$3:$Q$5001,BD!$A$3:$A$5001,U$3,BD!$B$3:$B$5001,$A$332)))</f>
        <v/>
      </c>
      <c r="V347" s="232" t="str">
        <f>IF(V$3="","",IF(COUNTIFS(BD!$A$3:$A$5001,V$3,BD!$B$3:$B$5001,$A$332,BD!$Q$3:$Q$5001,"&lt;&gt;")=0,"",SUMIFS(BD!$Q$3:$Q$5001,BD!$A$3:$A$5001,V$3,BD!$B$3:$B$5001,$A$332)))</f>
        <v/>
      </c>
      <c r="W347" s="232" t="str">
        <f>IF(W$3="","",IF(COUNTIFS(BD!$A$3:$A$5001,W$3,BD!$B$3:$B$5001,$A$332,BD!$Q$3:$Q$5001,"&lt;&gt;")=0,"",SUMIFS(BD!$Q$3:$Q$5001,BD!$A$3:$A$5001,W$3,BD!$B$3:$B$5001,$A$332)))</f>
        <v/>
      </c>
      <c r="X347" s="232" t="str">
        <f>IF(X$3="","",IF(COUNTIFS(BD!$A$3:$A$5001,X$3,BD!$B$3:$B$5001,$A$332,BD!$Q$3:$Q$5001,"&lt;&gt;")=0,"",SUMIFS(BD!$Q$3:$Q$5001,BD!$A$3:$A$5001,X$3,BD!$B$3:$B$5001,$A$332)))</f>
        <v/>
      </c>
      <c r="Y347" s="232" t="str">
        <f>IF(Y$3="","",IF(COUNTIFS(BD!$A$3:$A$5001,Y$3,BD!$B$3:$B$5001,$A$332,BD!$Q$3:$Q$5001,"&lt;&gt;")=0,"",SUMIFS(BD!$Q$3:$Q$5001,BD!$A$3:$A$5001,Y$3,BD!$B$3:$B$5001,$A$332)))</f>
        <v/>
      </c>
      <c r="Z347" s="232" t="str">
        <f>IF(Z$3="","",IF(COUNTIFS(BD!$A$3:$A$5001,Z$3,BD!$B$3:$B$5001,$A$332,BD!$Q$3:$Q$5001,"&lt;&gt;")=0,"",SUMIFS(BD!$Q$3:$Q$5001,BD!$A$3:$A$5001,Z$3,BD!$B$3:$B$5001,$A$332)))</f>
        <v/>
      </c>
      <c r="AA347" s="232" t="str">
        <f>IF(AA$3="","",IF(COUNTIFS(BD!$A$3:$A$5001,AA$3,BD!$B$3:$B$5001,$A$332,BD!$Q$3:$Q$5001,"&lt;&gt;")=0,"",SUMIFS(BD!$Q$3:$Q$5001,BD!$A$3:$A$5001,AA$3,BD!$B$3:$B$5001,$A$332)))</f>
        <v/>
      </c>
      <c r="AB347" s="232" t="str">
        <f>IF(AB$3="","",IF(COUNTIFS(BD!$A$3:$A$5001,AB$3,BD!$B$3:$B$5001,$A$332,BD!$Q$3:$Q$5001,"&lt;&gt;")=0,"",SUMIFS(BD!$Q$3:$Q$5001,BD!$A$3:$A$5001,AB$3,BD!$B$3:$B$5001,$A$332)))</f>
        <v/>
      </c>
      <c r="AC347" s="232" t="str">
        <f>IF(AC$3="","",IF(COUNTIFS(BD!$A$3:$A$5001,AC$3,BD!$B$3:$B$5001,$A$332,BD!$Q$3:$Q$5001,"&lt;&gt;")=0,"",SUMIFS(BD!$Q$3:$Q$5001,BD!$A$3:$A$5001,AC$3,BD!$B$3:$B$5001,$A$332)))</f>
        <v/>
      </c>
      <c r="AD347" s="232" t="str">
        <f>IF(AD$3="","",IF(COUNTIFS(BD!$A$3:$A$5001,AD$3,BD!$B$3:$B$5001,$A$332,BD!$Q$3:$Q$5001,"&lt;&gt;")=0,"",SUMIFS(BD!$Q$3:$Q$5001,BD!$A$3:$A$5001,AD$3,BD!$B$3:$B$5001,$A$332)))</f>
        <v/>
      </c>
      <c r="AE347" s="232" t="str">
        <f>IF(AE$3="","",IF(COUNTIFS(BD!$A$3:$A$5001,AE$3,BD!$B$3:$B$5001,$A$332,BD!$Q$3:$Q$5001,"&lt;&gt;")=0,"",SUMIFS(BD!$Q$3:$Q$5001,BD!$A$3:$A$5001,AE$3,BD!$B$3:$B$5001,$A$332)))</f>
        <v/>
      </c>
      <c r="AF347" s="232" t="str">
        <f>IF(AF$3="","",IF(COUNTIFS(BD!$A$3:$A$5001,AF$3,BD!$B$3:$B$5001,$A$332,BD!$Q$3:$Q$5001,"&lt;&gt;")=0,"",SUMIFS(BD!$Q$3:$Q$5001,BD!$A$3:$A$5001,AF$3,BD!$B$3:$B$5001,$A$332)))</f>
        <v/>
      </c>
      <c r="AG347" s="232" t="str">
        <f>IF(AG$3="","",IF(COUNTIFS(BD!$A$3:$A$5001,AG$3,BD!$B$3:$B$5001,$A$332,BD!$Q$3:$Q$5001,"&lt;&gt;")=0,"",SUMIFS(BD!$Q$3:$Q$5001,BD!$A$3:$A$5001,AG$3,BD!$B$3:$B$5001,$A$332)))</f>
        <v/>
      </c>
      <c r="AH347" s="232" t="str">
        <f>IF(AH$3="","",IF(COUNTIFS(BD!$A$3:$A$5001,AH$3,BD!$B$3:$B$5001,$A$332,BD!$Q$3:$Q$5001,"&lt;&gt;")=0,"",SUMIFS(BD!$Q$3:$Q$5001,BD!$A$3:$A$5001,AH$3,BD!$B$3:$B$5001,$A$332)))</f>
        <v/>
      </c>
      <c r="AI347" s="232" t="str">
        <f>IF(AI$3="","",IF(COUNTIFS(BD!$A$3:$A$5001,AI$3,BD!$B$3:$B$5001,$A$332,BD!$Q$3:$Q$5001,"&lt;&gt;")=0,"",SUMIFS(BD!$Q$3:$Q$5001,BD!$A$3:$A$5001,AI$3,BD!$B$3:$B$5001,$A$332)))</f>
        <v/>
      </c>
      <c r="AJ347" s="233" t="str">
        <f>IF(AJ$3="","",IF(COUNTIFS(BD!$A$3:$A$5001,AJ$3,BD!$B$3:$B$5001,$A$332,BD!$Q$3:$Q$5001,"&lt;&gt;")=0,"",SUMIFS(BD!$Q$3:$Q$5001,BD!$A$3:$A$5001,AJ$3,BD!$B$3:$B$5001,$A$332)))</f>
        <v/>
      </c>
      <c r="AK347" s="234" t="str">
        <f>IF(COUNT(F347:AJ347)=0,"",SUM(F347:AJ347))</f>
        <v/>
      </c>
    </row>
    <row r="348" ht="15.75" customHeight="1" hidden="1">
      <c r="A348" s="254"/>
      <c r="B348" s="251"/>
      <c r="C348" s="228" t="inlineStr">
        <is>
          <t xml:space="preserve">Desligamento</t>
        </is>
      </c>
      <c r="D348" s="229" t="str">
        <f>IFERROR(1/(1/INDEX(BD!$Y$39:$AS$39,MATCH($A$332,BD!$Y$22:$AS$22,0))),"")</f>
        <v/>
      </c>
      <c r="E348" s="230"/>
      <c r="F348" s="231" t="str">
        <f>IF(F$3="","",IF(COUNTIFS(BD!$A$3:$A$5001,F$3,BD!$B$3:$B$5001,$A$332,BD!$R$3:$R$5001,"&lt;&gt;")=0,"",SUMIFS(BD!$R$3:$R$5001,BD!$A$3:$A$5001,F$3,BD!$B$3:$B$5001,$A$332)))</f>
        <v/>
      </c>
      <c r="G348" s="232" t="str">
        <f>IF(G$3="","",IF(COUNTIFS(BD!$A$3:$A$5001,G$3,BD!$B$3:$B$5001,$A$332,BD!$R$3:$R$5001,"&lt;&gt;")=0,"",SUMIFS(BD!$R$3:$R$5001,BD!$A$3:$A$5001,G$3,BD!$B$3:$B$5001,$A$332)))</f>
        <v/>
      </c>
      <c r="H348" s="232" t="str">
        <f>IF(H$3="","",IF(COUNTIFS(BD!$A$3:$A$5001,H$3,BD!$B$3:$B$5001,$A$332,BD!$R$3:$R$5001,"&lt;&gt;")=0,"",SUMIFS(BD!$R$3:$R$5001,BD!$A$3:$A$5001,H$3,BD!$B$3:$B$5001,$A$332)))</f>
        <v/>
      </c>
      <c r="I348" s="232" t="str">
        <f>IF(I$3="","",IF(COUNTIFS(BD!$A$3:$A$5001,I$3,BD!$B$3:$B$5001,$A$332,BD!$R$3:$R$5001,"&lt;&gt;")=0,"",SUMIFS(BD!$R$3:$R$5001,BD!$A$3:$A$5001,I$3,BD!$B$3:$B$5001,$A$332)))</f>
        <v/>
      </c>
      <c r="J348" s="232" t="str">
        <f>IF(J$3="","",IF(COUNTIFS(BD!$A$3:$A$5001,J$3,BD!$B$3:$B$5001,$A$332,BD!$R$3:$R$5001,"&lt;&gt;")=0,"",SUMIFS(BD!$R$3:$R$5001,BD!$A$3:$A$5001,J$3,BD!$B$3:$B$5001,$A$332)))</f>
        <v/>
      </c>
      <c r="K348" s="232" t="str">
        <f>IF(K$3="","",IF(COUNTIFS(BD!$A$3:$A$5001,K$3,BD!$B$3:$B$5001,$A$332,BD!$R$3:$R$5001,"&lt;&gt;")=0,"",SUMIFS(BD!$R$3:$R$5001,BD!$A$3:$A$5001,K$3,BD!$B$3:$B$5001,$A$332)))</f>
        <v/>
      </c>
      <c r="L348" s="232" t="str">
        <f>IF(L$3="","",IF(COUNTIFS(BD!$A$3:$A$5001,L$3,BD!$B$3:$B$5001,$A$332,BD!$R$3:$R$5001,"&lt;&gt;")=0,"",SUMIFS(BD!$R$3:$R$5001,BD!$A$3:$A$5001,L$3,BD!$B$3:$B$5001,$A$332)))</f>
        <v/>
      </c>
      <c r="M348" s="232" t="str">
        <f>IF(M$3="","",IF(COUNTIFS(BD!$A$3:$A$5001,M$3,BD!$B$3:$B$5001,$A$332,BD!$R$3:$R$5001,"&lt;&gt;")=0,"",SUMIFS(BD!$R$3:$R$5001,BD!$A$3:$A$5001,M$3,BD!$B$3:$B$5001,$A$332)))</f>
        <v/>
      </c>
      <c r="N348" s="232" t="str">
        <f>IF(N$3="","",IF(COUNTIFS(BD!$A$3:$A$5001,N$3,BD!$B$3:$B$5001,$A$332,BD!$R$3:$R$5001,"&lt;&gt;")=0,"",SUMIFS(BD!$R$3:$R$5001,BD!$A$3:$A$5001,N$3,BD!$B$3:$B$5001,$A$332)))</f>
        <v/>
      </c>
      <c r="O348" s="232" t="str">
        <f>IF(O$3="","",IF(COUNTIFS(BD!$A$3:$A$5001,O$3,BD!$B$3:$B$5001,$A$332,BD!$R$3:$R$5001,"&lt;&gt;")=0,"",SUMIFS(BD!$R$3:$R$5001,BD!$A$3:$A$5001,O$3,BD!$B$3:$B$5001,$A$332)))</f>
        <v/>
      </c>
      <c r="P348" s="232" t="str">
        <f>IF(P$3="","",IF(COUNTIFS(BD!$A$3:$A$5001,P$3,BD!$B$3:$B$5001,$A$332,BD!$R$3:$R$5001,"&lt;&gt;")=0,"",SUMIFS(BD!$R$3:$R$5001,BD!$A$3:$A$5001,P$3,BD!$B$3:$B$5001,$A$332)))</f>
        <v/>
      </c>
      <c r="Q348" s="232" t="str">
        <f>IF(Q$3="","",IF(COUNTIFS(BD!$A$3:$A$5001,Q$3,BD!$B$3:$B$5001,$A$332,BD!$R$3:$R$5001,"&lt;&gt;")=0,"",SUMIFS(BD!$R$3:$R$5001,BD!$A$3:$A$5001,Q$3,BD!$B$3:$B$5001,$A$332)))</f>
        <v/>
      </c>
      <c r="R348" s="232" t="str">
        <f>IF(R$3="","",IF(COUNTIFS(BD!$A$3:$A$5001,R$3,BD!$B$3:$B$5001,$A$332,BD!$R$3:$R$5001,"&lt;&gt;")=0,"",SUMIFS(BD!$R$3:$R$5001,BD!$A$3:$A$5001,R$3,BD!$B$3:$B$5001,$A$332)))</f>
        <v/>
      </c>
      <c r="S348" s="232" t="str">
        <f>IF(S$3="","",IF(COUNTIFS(BD!$A$3:$A$5001,S$3,BD!$B$3:$B$5001,$A$332,BD!$R$3:$R$5001,"&lt;&gt;")=0,"",SUMIFS(BD!$R$3:$R$5001,BD!$A$3:$A$5001,S$3,BD!$B$3:$B$5001,$A$332)))</f>
        <v/>
      </c>
      <c r="T348" s="232" t="str">
        <f>IF(T$3="","",IF(COUNTIFS(BD!$A$3:$A$5001,T$3,BD!$B$3:$B$5001,$A$332,BD!$R$3:$R$5001,"&lt;&gt;")=0,"",SUMIFS(BD!$R$3:$R$5001,BD!$A$3:$A$5001,T$3,BD!$B$3:$B$5001,$A$332)))</f>
        <v/>
      </c>
      <c r="U348" s="232" t="str">
        <f>IF(U$3="","",IF(COUNTIFS(BD!$A$3:$A$5001,U$3,BD!$B$3:$B$5001,$A$332,BD!$R$3:$R$5001,"&lt;&gt;")=0,"",SUMIFS(BD!$R$3:$R$5001,BD!$A$3:$A$5001,U$3,BD!$B$3:$B$5001,$A$332)))</f>
        <v/>
      </c>
      <c r="V348" s="232" t="str">
        <f>IF(V$3="","",IF(COUNTIFS(BD!$A$3:$A$5001,V$3,BD!$B$3:$B$5001,$A$332,BD!$R$3:$R$5001,"&lt;&gt;")=0,"",SUMIFS(BD!$R$3:$R$5001,BD!$A$3:$A$5001,V$3,BD!$B$3:$B$5001,$A$332)))</f>
        <v/>
      </c>
      <c r="W348" s="232" t="str">
        <f>IF(W$3="","",IF(COUNTIFS(BD!$A$3:$A$5001,W$3,BD!$B$3:$B$5001,$A$332,BD!$R$3:$R$5001,"&lt;&gt;")=0,"",SUMIFS(BD!$R$3:$R$5001,BD!$A$3:$A$5001,W$3,BD!$B$3:$B$5001,$A$332)))</f>
        <v/>
      </c>
      <c r="X348" s="232" t="str">
        <f>IF(X$3="","",IF(COUNTIFS(BD!$A$3:$A$5001,X$3,BD!$B$3:$B$5001,$A$332,BD!$R$3:$R$5001,"&lt;&gt;")=0,"",SUMIFS(BD!$R$3:$R$5001,BD!$A$3:$A$5001,X$3,BD!$B$3:$B$5001,$A$332)))</f>
        <v/>
      </c>
      <c r="Y348" s="232" t="str">
        <f>IF(Y$3="","",IF(COUNTIFS(BD!$A$3:$A$5001,Y$3,BD!$B$3:$B$5001,$A$332,BD!$R$3:$R$5001,"&lt;&gt;")=0,"",SUMIFS(BD!$R$3:$R$5001,BD!$A$3:$A$5001,Y$3,BD!$B$3:$B$5001,$A$332)))</f>
        <v/>
      </c>
      <c r="Z348" s="232" t="str">
        <f>IF(Z$3="","",IF(COUNTIFS(BD!$A$3:$A$5001,Z$3,BD!$B$3:$B$5001,$A$332,BD!$R$3:$R$5001,"&lt;&gt;")=0,"",SUMIFS(BD!$R$3:$R$5001,BD!$A$3:$A$5001,Z$3,BD!$B$3:$B$5001,$A$332)))</f>
        <v/>
      </c>
      <c r="AA348" s="232" t="str">
        <f>IF(AA$3="","",IF(COUNTIFS(BD!$A$3:$A$5001,AA$3,BD!$B$3:$B$5001,$A$332,BD!$R$3:$R$5001,"&lt;&gt;")=0,"",SUMIFS(BD!$R$3:$R$5001,BD!$A$3:$A$5001,AA$3,BD!$B$3:$B$5001,$A$332)))</f>
        <v/>
      </c>
      <c r="AB348" s="232" t="str">
        <f>IF(AB$3="","",IF(COUNTIFS(BD!$A$3:$A$5001,AB$3,BD!$B$3:$B$5001,$A$332,BD!$R$3:$R$5001,"&lt;&gt;")=0,"",SUMIFS(BD!$R$3:$R$5001,BD!$A$3:$A$5001,AB$3,BD!$B$3:$B$5001,$A$332)))</f>
        <v/>
      </c>
      <c r="AC348" s="232" t="str">
        <f>IF(AC$3="","",IF(COUNTIFS(BD!$A$3:$A$5001,AC$3,BD!$B$3:$B$5001,$A$332,BD!$R$3:$R$5001,"&lt;&gt;")=0,"",SUMIFS(BD!$R$3:$R$5001,BD!$A$3:$A$5001,AC$3,BD!$B$3:$B$5001,$A$332)))</f>
        <v/>
      </c>
      <c r="AD348" s="232" t="str">
        <f>IF(AD$3="","",IF(COUNTIFS(BD!$A$3:$A$5001,AD$3,BD!$B$3:$B$5001,$A$332,BD!$R$3:$R$5001,"&lt;&gt;")=0,"",SUMIFS(BD!$R$3:$R$5001,BD!$A$3:$A$5001,AD$3,BD!$B$3:$B$5001,$A$332)))</f>
        <v/>
      </c>
      <c r="AE348" s="232" t="str">
        <f>IF(AE$3="","",IF(COUNTIFS(BD!$A$3:$A$5001,AE$3,BD!$B$3:$B$5001,$A$332,BD!$R$3:$R$5001,"&lt;&gt;")=0,"",SUMIFS(BD!$R$3:$R$5001,BD!$A$3:$A$5001,AE$3,BD!$B$3:$B$5001,$A$332)))</f>
        <v/>
      </c>
      <c r="AF348" s="232" t="str">
        <f>IF(AF$3="","",IF(COUNTIFS(BD!$A$3:$A$5001,AF$3,BD!$B$3:$B$5001,$A$332,BD!$R$3:$R$5001,"&lt;&gt;")=0,"",SUMIFS(BD!$R$3:$R$5001,BD!$A$3:$A$5001,AF$3,BD!$B$3:$B$5001,$A$332)))</f>
        <v/>
      </c>
      <c r="AG348" s="232" t="str">
        <f>IF(AG$3="","",IF(COUNTIFS(BD!$A$3:$A$5001,AG$3,BD!$B$3:$B$5001,$A$332,BD!$R$3:$R$5001,"&lt;&gt;")=0,"",SUMIFS(BD!$R$3:$R$5001,BD!$A$3:$A$5001,AG$3,BD!$B$3:$B$5001,$A$332)))</f>
        <v/>
      </c>
      <c r="AH348" s="232" t="str">
        <f>IF(AH$3="","",IF(COUNTIFS(BD!$A$3:$A$5001,AH$3,BD!$B$3:$B$5001,$A$332,BD!$R$3:$R$5001,"&lt;&gt;")=0,"",SUMIFS(BD!$R$3:$R$5001,BD!$A$3:$A$5001,AH$3,BD!$B$3:$B$5001,$A$332)))</f>
        <v/>
      </c>
      <c r="AI348" s="232" t="str">
        <f>IF(AI$3="","",IF(COUNTIFS(BD!$A$3:$A$5001,AI$3,BD!$B$3:$B$5001,$A$332,BD!$R$3:$R$5001,"&lt;&gt;")=0,"",SUMIFS(BD!$R$3:$R$5001,BD!$A$3:$A$5001,AI$3,BD!$B$3:$B$5001,$A$332)))</f>
        <v/>
      </c>
      <c r="AJ348" s="233" t="str">
        <f>IF(AJ$3="","",IF(COUNTIFS(BD!$A$3:$A$5001,AJ$3,BD!$B$3:$B$5001,$A$332,BD!$R$3:$R$5001,"&lt;&gt;")=0,"",SUMIFS(BD!$R$3:$R$5001,BD!$A$3:$A$5001,AJ$3,BD!$B$3:$B$5001,$A$332)))</f>
        <v/>
      </c>
      <c r="AK348" s="234" t="str">
        <f>IF(COUNT(F348:AJ348)=0,"",SUM(F348:AJ348))</f>
        <v/>
      </c>
    </row>
    <row r="349" ht="15.75" customHeight="1" hidden="1">
      <c r="A349" s="254"/>
      <c r="B349" s="251"/>
      <c r="C349" s="228" t="inlineStr">
        <is>
          <t xml:space="preserve">Desvios Comportamentais</t>
        </is>
      </c>
      <c r="D349" s="229" t="str">
        <f>IFERROR(1/(1/INDEX(BD!$Y$40:$AS$40,MATCH($A$332,BD!$Y$22:$AS$22,0))),"")</f>
        <v/>
      </c>
      <c r="E349" s="230"/>
      <c r="F349" s="231" t="str">
        <f>IF(F$3="","",IF(COUNTIFS(BD!$A$3:$A$5001,F$3,BD!$B$3:$B$5001,$A$332,BD!$S$3:$S$5001,"&lt;&gt;")=0,"",SUMIFS(BD!$S$3:$S$5001,BD!$A$3:$A$5001,F$3,BD!$B$3:$B$5001,$A$332)))</f>
        <v/>
      </c>
      <c r="G349" s="232" t="str">
        <f>IF(G$3="","",IF(COUNTIFS(BD!$A$3:$A$5001,G$3,BD!$B$3:$B$5001,$A$332,BD!$S$3:$S$5001,"&lt;&gt;")=0,"",SUMIFS(BD!$S$3:$S$5001,BD!$A$3:$A$5001,G$3,BD!$B$3:$B$5001,$A$332)))</f>
        <v/>
      </c>
      <c r="H349" s="232" t="str">
        <f>IF(H$3="","",IF(COUNTIFS(BD!$A$3:$A$5001,H$3,BD!$B$3:$B$5001,$A$332,BD!$S$3:$S$5001,"&lt;&gt;")=0,"",SUMIFS(BD!$S$3:$S$5001,BD!$A$3:$A$5001,H$3,BD!$B$3:$B$5001,$A$332)))</f>
        <v/>
      </c>
      <c r="I349" s="232" t="str">
        <f>IF(I$3="","",IF(COUNTIFS(BD!$A$3:$A$5001,I$3,BD!$B$3:$B$5001,$A$332,BD!$S$3:$S$5001,"&lt;&gt;")=0,"",SUMIFS(BD!$S$3:$S$5001,BD!$A$3:$A$5001,I$3,BD!$B$3:$B$5001,$A$332)))</f>
        <v/>
      </c>
      <c r="J349" s="232" t="str">
        <f>IF(J$3="","",IF(COUNTIFS(BD!$A$3:$A$5001,J$3,BD!$B$3:$B$5001,$A$332,BD!$S$3:$S$5001,"&lt;&gt;")=0,"",SUMIFS(BD!$S$3:$S$5001,BD!$A$3:$A$5001,J$3,BD!$B$3:$B$5001,$A$332)))</f>
        <v/>
      </c>
      <c r="K349" s="232" t="str">
        <f>IF(K$3="","",IF(COUNTIFS(BD!$A$3:$A$5001,K$3,BD!$B$3:$B$5001,$A$332,BD!$S$3:$S$5001,"&lt;&gt;")=0,"",SUMIFS(BD!$S$3:$S$5001,BD!$A$3:$A$5001,K$3,BD!$B$3:$B$5001,$A$332)))</f>
        <v/>
      </c>
      <c r="L349" s="232" t="str">
        <f>IF(L$3="","",IF(COUNTIFS(BD!$A$3:$A$5001,L$3,BD!$B$3:$B$5001,$A$332,BD!$S$3:$S$5001,"&lt;&gt;")=0,"",SUMIFS(BD!$S$3:$S$5001,BD!$A$3:$A$5001,L$3,BD!$B$3:$B$5001,$A$332)))</f>
        <v/>
      </c>
      <c r="M349" s="232" t="str">
        <f>IF(M$3="","",IF(COUNTIFS(BD!$A$3:$A$5001,M$3,BD!$B$3:$B$5001,$A$332,BD!$S$3:$S$5001,"&lt;&gt;")=0,"",SUMIFS(BD!$S$3:$S$5001,BD!$A$3:$A$5001,M$3,BD!$B$3:$B$5001,$A$332)))</f>
        <v/>
      </c>
      <c r="N349" s="232" t="str">
        <f>IF(N$3="","",IF(COUNTIFS(BD!$A$3:$A$5001,N$3,BD!$B$3:$B$5001,$A$332,BD!$S$3:$S$5001,"&lt;&gt;")=0,"",SUMIFS(BD!$S$3:$S$5001,BD!$A$3:$A$5001,N$3,BD!$B$3:$B$5001,$A$332)))</f>
        <v/>
      </c>
      <c r="O349" s="232" t="str">
        <f>IF(O$3="","",IF(COUNTIFS(BD!$A$3:$A$5001,O$3,BD!$B$3:$B$5001,$A$332,BD!$S$3:$S$5001,"&lt;&gt;")=0,"",SUMIFS(BD!$S$3:$S$5001,BD!$A$3:$A$5001,O$3,BD!$B$3:$B$5001,$A$332)))</f>
        <v/>
      </c>
      <c r="P349" s="232" t="str">
        <f>IF(P$3="","",IF(COUNTIFS(BD!$A$3:$A$5001,P$3,BD!$B$3:$B$5001,$A$332,BD!$S$3:$S$5001,"&lt;&gt;")=0,"",SUMIFS(BD!$S$3:$S$5001,BD!$A$3:$A$5001,P$3,BD!$B$3:$B$5001,$A$332)))</f>
        <v/>
      </c>
      <c r="Q349" s="232" t="str">
        <f>IF(Q$3="","",IF(COUNTIFS(BD!$A$3:$A$5001,Q$3,BD!$B$3:$B$5001,$A$332,BD!$S$3:$S$5001,"&lt;&gt;")=0,"",SUMIFS(BD!$S$3:$S$5001,BD!$A$3:$A$5001,Q$3,BD!$B$3:$B$5001,$A$332)))</f>
        <v/>
      </c>
      <c r="R349" s="232" t="str">
        <f>IF(R$3="","",IF(COUNTIFS(BD!$A$3:$A$5001,R$3,BD!$B$3:$B$5001,$A$332,BD!$S$3:$S$5001,"&lt;&gt;")=0,"",SUMIFS(BD!$S$3:$S$5001,BD!$A$3:$A$5001,R$3,BD!$B$3:$B$5001,$A$332)))</f>
        <v/>
      </c>
      <c r="S349" s="232" t="str">
        <f>IF(S$3="","",IF(COUNTIFS(BD!$A$3:$A$5001,S$3,BD!$B$3:$B$5001,$A$332,BD!$S$3:$S$5001,"&lt;&gt;")=0,"",SUMIFS(BD!$S$3:$S$5001,BD!$A$3:$A$5001,S$3,BD!$B$3:$B$5001,$A$332)))</f>
        <v/>
      </c>
      <c r="T349" s="232" t="str">
        <f>IF(T$3="","",IF(COUNTIFS(BD!$A$3:$A$5001,T$3,BD!$B$3:$B$5001,$A$332,BD!$S$3:$S$5001,"&lt;&gt;")=0,"",SUMIFS(BD!$S$3:$S$5001,BD!$A$3:$A$5001,T$3,BD!$B$3:$B$5001,$A$332)))</f>
        <v/>
      </c>
      <c r="U349" s="232" t="str">
        <f>IF(U$3="","",IF(COUNTIFS(BD!$A$3:$A$5001,U$3,BD!$B$3:$B$5001,$A$332,BD!$S$3:$S$5001,"&lt;&gt;")=0,"",SUMIFS(BD!$S$3:$S$5001,BD!$A$3:$A$5001,U$3,BD!$B$3:$B$5001,$A$332)))</f>
        <v/>
      </c>
      <c r="V349" s="232" t="str">
        <f>IF(V$3="","",IF(COUNTIFS(BD!$A$3:$A$5001,V$3,BD!$B$3:$B$5001,$A$332,BD!$S$3:$S$5001,"&lt;&gt;")=0,"",SUMIFS(BD!$S$3:$S$5001,BD!$A$3:$A$5001,V$3,BD!$B$3:$B$5001,$A$332)))</f>
        <v/>
      </c>
      <c r="W349" s="232" t="str">
        <f>IF(W$3="","",IF(COUNTIFS(BD!$A$3:$A$5001,W$3,BD!$B$3:$B$5001,$A$332,BD!$S$3:$S$5001,"&lt;&gt;")=0,"",SUMIFS(BD!$S$3:$S$5001,BD!$A$3:$A$5001,W$3,BD!$B$3:$B$5001,$A$332)))</f>
        <v/>
      </c>
      <c r="X349" s="232" t="str">
        <f>IF(X$3="","",IF(COUNTIFS(BD!$A$3:$A$5001,X$3,BD!$B$3:$B$5001,$A$332,BD!$S$3:$S$5001,"&lt;&gt;")=0,"",SUMIFS(BD!$S$3:$S$5001,BD!$A$3:$A$5001,X$3,BD!$B$3:$B$5001,$A$332)))</f>
        <v/>
      </c>
      <c r="Y349" s="232" t="str">
        <f>IF(Y$3="","",IF(COUNTIFS(BD!$A$3:$A$5001,Y$3,BD!$B$3:$B$5001,$A$332,BD!$S$3:$S$5001,"&lt;&gt;")=0,"",SUMIFS(BD!$S$3:$S$5001,BD!$A$3:$A$5001,Y$3,BD!$B$3:$B$5001,$A$332)))</f>
        <v/>
      </c>
      <c r="Z349" s="232" t="str">
        <f>IF(Z$3="","",IF(COUNTIFS(BD!$A$3:$A$5001,Z$3,BD!$B$3:$B$5001,$A$332,BD!$S$3:$S$5001,"&lt;&gt;")=0,"",SUMIFS(BD!$S$3:$S$5001,BD!$A$3:$A$5001,Z$3,BD!$B$3:$B$5001,$A$332)))</f>
        <v/>
      </c>
      <c r="AA349" s="232" t="str">
        <f>IF(AA$3="","",IF(COUNTIFS(BD!$A$3:$A$5001,AA$3,BD!$B$3:$B$5001,$A$332,BD!$S$3:$S$5001,"&lt;&gt;")=0,"",SUMIFS(BD!$S$3:$S$5001,BD!$A$3:$A$5001,AA$3,BD!$B$3:$B$5001,$A$332)))</f>
        <v/>
      </c>
      <c r="AB349" s="232" t="str">
        <f>IF(AB$3="","",IF(COUNTIFS(BD!$A$3:$A$5001,AB$3,BD!$B$3:$B$5001,$A$332,BD!$S$3:$S$5001,"&lt;&gt;")=0,"",SUMIFS(BD!$S$3:$S$5001,BD!$A$3:$A$5001,AB$3,BD!$B$3:$B$5001,$A$332)))</f>
        <v/>
      </c>
      <c r="AC349" s="232" t="str">
        <f>IF(AC$3="","",IF(COUNTIFS(BD!$A$3:$A$5001,AC$3,BD!$B$3:$B$5001,$A$332,BD!$S$3:$S$5001,"&lt;&gt;")=0,"",SUMIFS(BD!$S$3:$S$5001,BD!$A$3:$A$5001,AC$3,BD!$B$3:$B$5001,$A$332)))</f>
        <v/>
      </c>
      <c r="AD349" s="232" t="str">
        <f>IF(AD$3="","",IF(COUNTIFS(BD!$A$3:$A$5001,AD$3,BD!$B$3:$B$5001,$A$332,BD!$S$3:$S$5001,"&lt;&gt;")=0,"",SUMIFS(BD!$S$3:$S$5001,BD!$A$3:$A$5001,AD$3,BD!$B$3:$B$5001,$A$332)))</f>
        <v/>
      </c>
      <c r="AE349" s="232" t="str">
        <f>IF(AE$3="","",IF(COUNTIFS(BD!$A$3:$A$5001,AE$3,BD!$B$3:$B$5001,$A$332,BD!$S$3:$S$5001,"&lt;&gt;")=0,"",SUMIFS(BD!$S$3:$S$5001,BD!$A$3:$A$5001,AE$3,BD!$B$3:$B$5001,$A$332)))</f>
        <v/>
      </c>
      <c r="AF349" s="232" t="str">
        <f>IF(AF$3="","",IF(COUNTIFS(BD!$A$3:$A$5001,AF$3,BD!$B$3:$B$5001,$A$332,BD!$S$3:$S$5001,"&lt;&gt;")=0,"",SUMIFS(BD!$S$3:$S$5001,BD!$A$3:$A$5001,AF$3,BD!$B$3:$B$5001,$A$332)))</f>
        <v/>
      </c>
      <c r="AG349" s="232" t="str">
        <f>IF(AG$3="","",IF(COUNTIFS(BD!$A$3:$A$5001,AG$3,BD!$B$3:$B$5001,$A$332,BD!$S$3:$S$5001,"&lt;&gt;")=0,"",SUMIFS(BD!$S$3:$S$5001,BD!$A$3:$A$5001,AG$3,BD!$B$3:$B$5001,$A$332)))</f>
        <v/>
      </c>
      <c r="AH349" s="232" t="str">
        <f>IF(AH$3="","",IF(COUNTIFS(BD!$A$3:$A$5001,AH$3,BD!$B$3:$B$5001,$A$332,BD!$S$3:$S$5001,"&lt;&gt;")=0,"",SUMIFS(BD!$S$3:$S$5001,BD!$A$3:$A$5001,AH$3,BD!$B$3:$B$5001,$A$332)))</f>
        <v/>
      </c>
      <c r="AI349" s="232" t="str">
        <f>IF(AI$3="","",IF(COUNTIFS(BD!$A$3:$A$5001,AI$3,BD!$B$3:$B$5001,$A$332,BD!$S$3:$S$5001,"&lt;&gt;")=0,"",SUMIFS(BD!$S$3:$S$5001,BD!$A$3:$A$5001,AI$3,BD!$B$3:$B$5001,$A$332)))</f>
        <v/>
      </c>
      <c r="AJ349" s="233" t="str">
        <f>IF(AJ$3="","",IF(COUNTIFS(BD!$A$3:$A$5001,AJ$3,BD!$B$3:$B$5001,$A$332,BD!$S$3:$S$5001,"&lt;&gt;")=0,"",SUMIFS(BD!$S$3:$S$5001,BD!$A$3:$A$5001,AJ$3,BD!$B$3:$B$5001,$A$332)))</f>
        <v/>
      </c>
      <c r="AK349" s="234" t="str">
        <f>IF(COUNT(F349:AJ349)=0,"",SUM(F349:AJ349))</f>
        <v/>
      </c>
    </row>
    <row r="350" ht="15.75" customHeight="1" hidden="1">
      <c r="A350" s="254"/>
      <c r="B350" s="251"/>
      <c r="C350" s="228" t="inlineStr">
        <is>
          <t xml:space="preserve">Acidentes CAF</t>
        </is>
      </c>
      <c r="D350" s="229" t="str">
        <f>IFERROR(1/(1/INDEX(BD!$Y$41:$AS$41,MATCH($A$332,BD!$Y$22:$AS$22,0))),"")</f>
        <v/>
      </c>
      <c r="E350" s="230"/>
      <c r="F350" s="231" t="str">
        <f>IF(F$3="","",IF(COUNTIFS(BD!$A$3:$A$5001,F$3,BD!$B$3:$B$5001,$A$332,BD!$T$3:$T$5001,"&lt;&gt;")=0,"",SUMIFS(BD!$T$3:$T$5001,BD!$A$3:$A$5001,F$3,BD!$B$3:$B$5001,$A$332)))</f>
        <v/>
      </c>
      <c r="G350" s="232" t="str">
        <f>IF(G$3="","",IF(COUNTIFS(BD!$A$3:$A$5001,G$3,BD!$B$3:$B$5001,$A$332,BD!$T$3:$T$5001,"&lt;&gt;")=0,"",SUMIFS(BD!$T$3:$T$5001,BD!$A$3:$A$5001,G$3,BD!$B$3:$B$5001,$A$332)))</f>
        <v/>
      </c>
      <c r="H350" s="232" t="str">
        <f>IF(H$3="","",IF(COUNTIFS(BD!$A$3:$A$5001,H$3,BD!$B$3:$B$5001,$A$332,BD!$T$3:$T$5001,"&lt;&gt;")=0,"",SUMIFS(BD!$T$3:$T$5001,BD!$A$3:$A$5001,H$3,BD!$B$3:$B$5001,$A$332)))</f>
        <v/>
      </c>
      <c r="I350" s="232" t="str">
        <f>IF(I$3="","",IF(COUNTIFS(BD!$A$3:$A$5001,I$3,BD!$B$3:$B$5001,$A$332,BD!$T$3:$T$5001,"&lt;&gt;")=0,"",SUMIFS(BD!$T$3:$T$5001,BD!$A$3:$A$5001,I$3,BD!$B$3:$B$5001,$A$332)))</f>
        <v/>
      </c>
      <c r="J350" s="232" t="str">
        <f>IF(J$3="","",IF(COUNTIFS(BD!$A$3:$A$5001,J$3,BD!$B$3:$B$5001,$A$332,BD!$T$3:$T$5001,"&lt;&gt;")=0,"",SUMIFS(BD!$T$3:$T$5001,BD!$A$3:$A$5001,J$3,BD!$B$3:$B$5001,$A$332)))</f>
        <v/>
      </c>
      <c r="K350" s="232" t="str">
        <f>IF(K$3="","",IF(COUNTIFS(BD!$A$3:$A$5001,K$3,BD!$B$3:$B$5001,$A$332,BD!$T$3:$T$5001,"&lt;&gt;")=0,"",SUMIFS(BD!$T$3:$T$5001,BD!$A$3:$A$5001,K$3,BD!$B$3:$B$5001,$A$332)))</f>
        <v/>
      </c>
      <c r="L350" s="232" t="str">
        <f>IF(L$3="","",IF(COUNTIFS(BD!$A$3:$A$5001,L$3,BD!$B$3:$B$5001,$A$332,BD!$T$3:$T$5001,"&lt;&gt;")=0,"",SUMIFS(BD!$T$3:$T$5001,BD!$A$3:$A$5001,L$3,BD!$B$3:$B$5001,$A$332)))</f>
        <v/>
      </c>
      <c r="M350" s="232" t="str">
        <f>IF(M$3="","",IF(COUNTIFS(BD!$A$3:$A$5001,M$3,BD!$B$3:$B$5001,$A$332,BD!$T$3:$T$5001,"&lt;&gt;")=0,"",SUMIFS(BD!$T$3:$T$5001,BD!$A$3:$A$5001,M$3,BD!$B$3:$B$5001,$A$332)))</f>
        <v/>
      </c>
      <c r="N350" s="232" t="str">
        <f>IF(N$3="","",IF(COUNTIFS(BD!$A$3:$A$5001,N$3,BD!$B$3:$B$5001,$A$332,BD!$T$3:$T$5001,"&lt;&gt;")=0,"",SUMIFS(BD!$T$3:$T$5001,BD!$A$3:$A$5001,N$3,BD!$B$3:$B$5001,$A$332)))</f>
        <v/>
      </c>
      <c r="O350" s="232" t="str">
        <f>IF(O$3="","",IF(COUNTIFS(BD!$A$3:$A$5001,O$3,BD!$B$3:$B$5001,$A$332,BD!$T$3:$T$5001,"&lt;&gt;")=0,"",SUMIFS(BD!$T$3:$T$5001,BD!$A$3:$A$5001,O$3,BD!$B$3:$B$5001,$A$332)))</f>
        <v/>
      </c>
      <c r="P350" s="232" t="str">
        <f>IF(P$3="","",IF(COUNTIFS(BD!$A$3:$A$5001,P$3,BD!$B$3:$B$5001,$A$332,BD!$T$3:$T$5001,"&lt;&gt;")=0,"",SUMIFS(BD!$T$3:$T$5001,BD!$A$3:$A$5001,P$3,BD!$B$3:$B$5001,$A$332)))</f>
        <v/>
      </c>
      <c r="Q350" s="232" t="str">
        <f>IF(Q$3="","",IF(COUNTIFS(BD!$A$3:$A$5001,Q$3,BD!$B$3:$B$5001,$A$332,BD!$T$3:$T$5001,"&lt;&gt;")=0,"",SUMIFS(BD!$T$3:$T$5001,BD!$A$3:$A$5001,Q$3,BD!$B$3:$B$5001,$A$332)))</f>
        <v/>
      </c>
      <c r="R350" s="232" t="str">
        <f>IF(R$3="","",IF(COUNTIFS(BD!$A$3:$A$5001,R$3,BD!$B$3:$B$5001,$A$332,BD!$T$3:$T$5001,"&lt;&gt;")=0,"",SUMIFS(BD!$T$3:$T$5001,BD!$A$3:$A$5001,R$3,BD!$B$3:$B$5001,$A$332)))</f>
        <v/>
      </c>
      <c r="S350" s="232" t="str">
        <f>IF(S$3="","",IF(COUNTIFS(BD!$A$3:$A$5001,S$3,BD!$B$3:$B$5001,$A$332,BD!$T$3:$T$5001,"&lt;&gt;")=0,"",SUMIFS(BD!$T$3:$T$5001,BD!$A$3:$A$5001,S$3,BD!$B$3:$B$5001,$A$332)))</f>
        <v/>
      </c>
      <c r="T350" s="232" t="str">
        <f>IF(T$3="","",IF(COUNTIFS(BD!$A$3:$A$5001,T$3,BD!$B$3:$B$5001,$A$332,BD!$T$3:$T$5001,"&lt;&gt;")=0,"",SUMIFS(BD!$T$3:$T$5001,BD!$A$3:$A$5001,T$3,BD!$B$3:$B$5001,$A$332)))</f>
        <v/>
      </c>
      <c r="U350" s="232" t="str">
        <f>IF(U$3="","",IF(COUNTIFS(BD!$A$3:$A$5001,U$3,BD!$B$3:$B$5001,$A$332,BD!$T$3:$T$5001,"&lt;&gt;")=0,"",SUMIFS(BD!$T$3:$T$5001,BD!$A$3:$A$5001,U$3,BD!$B$3:$B$5001,$A$332)))</f>
        <v/>
      </c>
      <c r="V350" s="232" t="str">
        <f>IF(V$3="","",IF(COUNTIFS(BD!$A$3:$A$5001,V$3,BD!$B$3:$B$5001,$A$332,BD!$T$3:$T$5001,"&lt;&gt;")=0,"",SUMIFS(BD!$T$3:$T$5001,BD!$A$3:$A$5001,V$3,BD!$B$3:$B$5001,$A$332)))</f>
        <v/>
      </c>
      <c r="W350" s="232" t="str">
        <f>IF(W$3="","",IF(COUNTIFS(BD!$A$3:$A$5001,W$3,BD!$B$3:$B$5001,$A$332,BD!$T$3:$T$5001,"&lt;&gt;")=0,"",SUMIFS(BD!$T$3:$T$5001,BD!$A$3:$A$5001,W$3,BD!$B$3:$B$5001,$A$332)))</f>
        <v/>
      </c>
      <c r="X350" s="232" t="str">
        <f>IF(X$3="","",IF(COUNTIFS(BD!$A$3:$A$5001,X$3,BD!$B$3:$B$5001,$A$332,BD!$T$3:$T$5001,"&lt;&gt;")=0,"",SUMIFS(BD!$T$3:$T$5001,BD!$A$3:$A$5001,X$3,BD!$B$3:$B$5001,$A$332)))</f>
        <v/>
      </c>
      <c r="Y350" s="232" t="str">
        <f>IF(Y$3="","",IF(COUNTIFS(BD!$A$3:$A$5001,Y$3,BD!$B$3:$B$5001,$A$332,BD!$T$3:$T$5001,"&lt;&gt;")=0,"",SUMIFS(BD!$T$3:$T$5001,BD!$A$3:$A$5001,Y$3,BD!$B$3:$B$5001,$A$332)))</f>
        <v/>
      </c>
      <c r="Z350" s="232" t="str">
        <f>IF(Z$3="","",IF(COUNTIFS(BD!$A$3:$A$5001,Z$3,BD!$B$3:$B$5001,$A$332,BD!$T$3:$T$5001,"&lt;&gt;")=0,"",SUMIFS(BD!$T$3:$T$5001,BD!$A$3:$A$5001,Z$3,BD!$B$3:$B$5001,$A$332)))</f>
        <v/>
      </c>
      <c r="AA350" s="232" t="str">
        <f>IF(AA$3="","",IF(COUNTIFS(BD!$A$3:$A$5001,AA$3,BD!$B$3:$B$5001,$A$332,BD!$T$3:$T$5001,"&lt;&gt;")=0,"",SUMIFS(BD!$T$3:$T$5001,BD!$A$3:$A$5001,AA$3,BD!$B$3:$B$5001,$A$332)))</f>
        <v/>
      </c>
      <c r="AB350" s="232" t="str">
        <f>IF(AB$3="","",IF(COUNTIFS(BD!$A$3:$A$5001,AB$3,BD!$B$3:$B$5001,$A$332,BD!$T$3:$T$5001,"&lt;&gt;")=0,"",SUMIFS(BD!$T$3:$T$5001,BD!$A$3:$A$5001,AB$3,BD!$B$3:$B$5001,$A$332)))</f>
        <v/>
      </c>
      <c r="AC350" s="232" t="str">
        <f>IF(AC$3="","",IF(COUNTIFS(BD!$A$3:$A$5001,AC$3,BD!$B$3:$B$5001,$A$332,BD!$T$3:$T$5001,"&lt;&gt;")=0,"",SUMIFS(BD!$T$3:$T$5001,BD!$A$3:$A$5001,AC$3,BD!$B$3:$B$5001,$A$332)))</f>
        <v/>
      </c>
      <c r="AD350" s="232" t="str">
        <f>IF(AD$3="","",IF(COUNTIFS(BD!$A$3:$A$5001,AD$3,BD!$B$3:$B$5001,$A$332,BD!$T$3:$T$5001,"&lt;&gt;")=0,"",SUMIFS(BD!$T$3:$T$5001,BD!$A$3:$A$5001,AD$3,BD!$B$3:$B$5001,$A$332)))</f>
        <v/>
      </c>
      <c r="AE350" s="232" t="str">
        <f>IF(AE$3="","",IF(COUNTIFS(BD!$A$3:$A$5001,AE$3,BD!$B$3:$B$5001,$A$332,BD!$T$3:$T$5001,"&lt;&gt;")=0,"",SUMIFS(BD!$T$3:$T$5001,BD!$A$3:$A$5001,AE$3,BD!$B$3:$B$5001,$A$332)))</f>
        <v/>
      </c>
      <c r="AF350" s="232" t="str">
        <f>IF(AF$3="","",IF(COUNTIFS(BD!$A$3:$A$5001,AF$3,BD!$B$3:$B$5001,$A$332,BD!$T$3:$T$5001,"&lt;&gt;")=0,"",SUMIFS(BD!$T$3:$T$5001,BD!$A$3:$A$5001,AF$3,BD!$B$3:$B$5001,$A$332)))</f>
        <v/>
      </c>
      <c r="AG350" s="232" t="str">
        <f>IF(AG$3="","",IF(COUNTIFS(BD!$A$3:$A$5001,AG$3,BD!$B$3:$B$5001,$A$332,BD!$T$3:$T$5001,"&lt;&gt;")=0,"",SUMIFS(BD!$T$3:$T$5001,BD!$A$3:$A$5001,AG$3,BD!$B$3:$B$5001,$A$332)))</f>
        <v/>
      </c>
      <c r="AH350" s="232" t="str">
        <f>IF(AH$3="","",IF(COUNTIFS(BD!$A$3:$A$5001,AH$3,BD!$B$3:$B$5001,$A$332,BD!$T$3:$T$5001,"&lt;&gt;")=0,"",SUMIFS(BD!$T$3:$T$5001,BD!$A$3:$A$5001,AH$3,BD!$B$3:$B$5001,$A$332)))</f>
        <v/>
      </c>
      <c r="AI350" s="232" t="str">
        <f>IF(AI$3="","",IF(COUNTIFS(BD!$A$3:$A$5001,AI$3,BD!$B$3:$B$5001,$A$332,BD!$T$3:$T$5001,"&lt;&gt;")=0,"",SUMIFS(BD!$T$3:$T$5001,BD!$A$3:$A$5001,AI$3,BD!$B$3:$B$5001,$A$332)))</f>
        <v/>
      </c>
      <c r="AJ350" s="233" t="str">
        <f>IF(AJ$3="","",IF(COUNTIFS(BD!$A$3:$A$5001,AJ$3,BD!$B$3:$B$5001,$A$332,BD!$T$3:$T$5001,"&lt;&gt;")=0,"",SUMIFS(BD!$T$3:$T$5001,BD!$A$3:$A$5001,AJ$3,BD!$B$3:$B$5001,$A$332)))</f>
        <v/>
      </c>
      <c r="AK350" s="234" t="str">
        <f>IF(COUNT(F350:AJ350)=0,"",SUM(F350:AJ350))</f>
        <v/>
      </c>
    </row>
    <row r="351" ht="15.75" customHeight="1" hidden="1">
      <c r="A351" s="255"/>
      <c r="B351" s="252"/>
      <c r="C351" s="235" t="inlineStr">
        <is>
          <t xml:space="preserve">Acidentes SAF</t>
        </is>
      </c>
      <c r="D351" s="236" t="str">
        <f>IFERROR(1/(1/INDEX(BD!$Y$42:$AS$42,MATCH($A$332,BD!$Y$22:$AS$22,0))),"")</f>
        <v/>
      </c>
      <c r="E351" s="237"/>
      <c r="F351" s="238" t="str">
        <f>IF(F$3="","",IF(COUNTIFS(BD!$A$3:$A$5001,F$3,BD!$B$3:$B$5001,$A$332,BD!$U$3:$U$5001,"&lt;&gt;")=0,"",SUMIFS(BD!$U$3:$U$5001,BD!$A$3:$A$5001,F$3,BD!$B$3:$B$5001,$A$332)))</f>
        <v/>
      </c>
      <c r="G351" s="239" t="str">
        <f>IF(G$3="","",IF(COUNTIFS(BD!$A$3:$A$5001,G$3,BD!$B$3:$B$5001,$A$332,BD!$U$3:$U$5001,"&lt;&gt;")=0,"",SUMIFS(BD!$U$3:$U$5001,BD!$A$3:$A$5001,G$3,BD!$B$3:$B$5001,$A$332)))</f>
        <v/>
      </c>
      <c r="H351" s="239" t="str">
        <f>IF(H$3="","",IF(COUNTIFS(BD!$A$3:$A$5001,H$3,BD!$B$3:$B$5001,$A$332,BD!$U$3:$U$5001,"&lt;&gt;")=0,"",SUMIFS(BD!$U$3:$U$5001,BD!$A$3:$A$5001,H$3,BD!$B$3:$B$5001,$A$332)))</f>
        <v/>
      </c>
      <c r="I351" s="239" t="str">
        <f>IF(I$3="","",IF(COUNTIFS(BD!$A$3:$A$5001,I$3,BD!$B$3:$B$5001,$A$332,BD!$U$3:$U$5001,"&lt;&gt;")=0,"",SUMIFS(BD!$U$3:$U$5001,BD!$A$3:$A$5001,I$3,BD!$B$3:$B$5001,$A$332)))</f>
        <v/>
      </c>
      <c r="J351" s="239" t="str">
        <f>IF(J$3="","",IF(COUNTIFS(BD!$A$3:$A$5001,J$3,BD!$B$3:$B$5001,$A$332,BD!$U$3:$U$5001,"&lt;&gt;")=0,"",SUMIFS(BD!$U$3:$U$5001,BD!$A$3:$A$5001,J$3,BD!$B$3:$B$5001,$A$332)))</f>
        <v/>
      </c>
      <c r="K351" s="239" t="str">
        <f>IF(K$3="","",IF(COUNTIFS(BD!$A$3:$A$5001,K$3,BD!$B$3:$B$5001,$A$332,BD!$U$3:$U$5001,"&lt;&gt;")=0,"",SUMIFS(BD!$U$3:$U$5001,BD!$A$3:$A$5001,K$3,BD!$B$3:$B$5001,$A$332)))</f>
        <v/>
      </c>
      <c r="L351" s="239" t="str">
        <f>IF(L$3="","",IF(COUNTIFS(BD!$A$3:$A$5001,L$3,BD!$B$3:$B$5001,$A$332,BD!$U$3:$U$5001,"&lt;&gt;")=0,"",SUMIFS(BD!$U$3:$U$5001,BD!$A$3:$A$5001,L$3,BD!$B$3:$B$5001,$A$332)))</f>
        <v/>
      </c>
      <c r="M351" s="239" t="str">
        <f>IF(M$3="","",IF(COUNTIFS(BD!$A$3:$A$5001,M$3,BD!$B$3:$B$5001,$A$332,BD!$U$3:$U$5001,"&lt;&gt;")=0,"",SUMIFS(BD!$U$3:$U$5001,BD!$A$3:$A$5001,M$3,BD!$B$3:$B$5001,$A$332)))</f>
        <v/>
      </c>
      <c r="N351" s="239" t="str">
        <f>IF(N$3="","",IF(COUNTIFS(BD!$A$3:$A$5001,N$3,BD!$B$3:$B$5001,$A$332,BD!$U$3:$U$5001,"&lt;&gt;")=0,"",SUMIFS(BD!$U$3:$U$5001,BD!$A$3:$A$5001,N$3,BD!$B$3:$B$5001,$A$332)))</f>
        <v/>
      </c>
      <c r="O351" s="239" t="str">
        <f>IF(O$3="","",IF(COUNTIFS(BD!$A$3:$A$5001,O$3,BD!$B$3:$B$5001,$A$332,BD!$U$3:$U$5001,"&lt;&gt;")=0,"",SUMIFS(BD!$U$3:$U$5001,BD!$A$3:$A$5001,O$3,BD!$B$3:$B$5001,$A$332)))</f>
        <v/>
      </c>
      <c r="P351" s="239" t="str">
        <f>IF(P$3="","",IF(COUNTIFS(BD!$A$3:$A$5001,P$3,BD!$B$3:$B$5001,$A$332,BD!$U$3:$U$5001,"&lt;&gt;")=0,"",SUMIFS(BD!$U$3:$U$5001,BD!$A$3:$A$5001,P$3,BD!$B$3:$B$5001,$A$332)))</f>
        <v/>
      </c>
      <c r="Q351" s="239" t="str">
        <f>IF(Q$3="","",IF(COUNTIFS(BD!$A$3:$A$5001,Q$3,BD!$B$3:$B$5001,$A$332,BD!$U$3:$U$5001,"&lt;&gt;")=0,"",SUMIFS(BD!$U$3:$U$5001,BD!$A$3:$A$5001,Q$3,BD!$B$3:$B$5001,$A$332)))</f>
        <v/>
      </c>
      <c r="R351" s="239" t="str">
        <f>IF(R$3="","",IF(COUNTIFS(BD!$A$3:$A$5001,R$3,BD!$B$3:$B$5001,$A$332,BD!$U$3:$U$5001,"&lt;&gt;")=0,"",SUMIFS(BD!$U$3:$U$5001,BD!$A$3:$A$5001,R$3,BD!$B$3:$B$5001,$A$332)))</f>
        <v/>
      </c>
      <c r="S351" s="239" t="str">
        <f>IF(S$3="","",IF(COUNTIFS(BD!$A$3:$A$5001,S$3,BD!$B$3:$B$5001,$A$332,BD!$U$3:$U$5001,"&lt;&gt;")=0,"",SUMIFS(BD!$U$3:$U$5001,BD!$A$3:$A$5001,S$3,BD!$B$3:$B$5001,$A$332)))</f>
        <v/>
      </c>
      <c r="T351" s="239" t="str">
        <f>IF(T$3="","",IF(COUNTIFS(BD!$A$3:$A$5001,T$3,BD!$B$3:$B$5001,$A$332,BD!$U$3:$U$5001,"&lt;&gt;")=0,"",SUMIFS(BD!$U$3:$U$5001,BD!$A$3:$A$5001,T$3,BD!$B$3:$B$5001,$A$332)))</f>
        <v/>
      </c>
      <c r="U351" s="239" t="str">
        <f>IF(U$3="","",IF(COUNTIFS(BD!$A$3:$A$5001,U$3,BD!$B$3:$B$5001,$A$332,BD!$U$3:$U$5001,"&lt;&gt;")=0,"",SUMIFS(BD!$U$3:$U$5001,BD!$A$3:$A$5001,U$3,BD!$B$3:$B$5001,$A$332)))</f>
        <v/>
      </c>
      <c r="V351" s="239" t="str">
        <f>IF(V$3="","",IF(COUNTIFS(BD!$A$3:$A$5001,V$3,BD!$B$3:$B$5001,$A$332,BD!$U$3:$U$5001,"&lt;&gt;")=0,"",SUMIFS(BD!$U$3:$U$5001,BD!$A$3:$A$5001,V$3,BD!$B$3:$B$5001,$A$332)))</f>
        <v/>
      </c>
      <c r="W351" s="239" t="str">
        <f>IF(W$3="","",IF(COUNTIFS(BD!$A$3:$A$5001,W$3,BD!$B$3:$B$5001,$A$332,BD!$U$3:$U$5001,"&lt;&gt;")=0,"",SUMIFS(BD!$U$3:$U$5001,BD!$A$3:$A$5001,W$3,BD!$B$3:$B$5001,$A$332)))</f>
        <v/>
      </c>
      <c r="X351" s="239" t="str">
        <f>IF(X$3="","",IF(COUNTIFS(BD!$A$3:$A$5001,X$3,BD!$B$3:$B$5001,$A$332,BD!$U$3:$U$5001,"&lt;&gt;")=0,"",SUMIFS(BD!$U$3:$U$5001,BD!$A$3:$A$5001,X$3,BD!$B$3:$B$5001,$A$332)))</f>
        <v/>
      </c>
      <c r="Y351" s="239" t="str">
        <f>IF(Y$3="","",IF(COUNTIFS(BD!$A$3:$A$5001,Y$3,BD!$B$3:$B$5001,$A$332,BD!$U$3:$U$5001,"&lt;&gt;")=0,"",SUMIFS(BD!$U$3:$U$5001,BD!$A$3:$A$5001,Y$3,BD!$B$3:$B$5001,$A$332)))</f>
        <v/>
      </c>
      <c r="Z351" s="239" t="str">
        <f>IF(Z$3="","",IF(COUNTIFS(BD!$A$3:$A$5001,Z$3,BD!$B$3:$B$5001,$A$332,BD!$U$3:$U$5001,"&lt;&gt;")=0,"",SUMIFS(BD!$U$3:$U$5001,BD!$A$3:$A$5001,Z$3,BD!$B$3:$B$5001,$A$332)))</f>
        <v/>
      </c>
      <c r="AA351" s="239" t="str">
        <f>IF(AA$3="","",IF(COUNTIFS(BD!$A$3:$A$5001,AA$3,BD!$B$3:$B$5001,$A$332,BD!$U$3:$U$5001,"&lt;&gt;")=0,"",SUMIFS(BD!$U$3:$U$5001,BD!$A$3:$A$5001,AA$3,BD!$B$3:$B$5001,$A$332)))</f>
        <v/>
      </c>
      <c r="AB351" s="239" t="str">
        <f>IF(AB$3="","",IF(COUNTIFS(BD!$A$3:$A$5001,AB$3,BD!$B$3:$B$5001,$A$332,BD!$U$3:$U$5001,"&lt;&gt;")=0,"",SUMIFS(BD!$U$3:$U$5001,BD!$A$3:$A$5001,AB$3,BD!$B$3:$B$5001,$A$332)))</f>
        <v/>
      </c>
      <c r="AC351" s="239" t="str">
        <f>IF(AC$3="","",IF(COUNTIFS(BD!$A$3:$A$5001,AC$3,BD!$B$3:$B$5001,$A$332,BD!$U$3:$U$5001,"&lt;&gt;")=0,"",SUMIFS(BD!$U$3:$U$5001,BD!$A$3:$A$5001,AC$3,BD!$B$3:$B$5001,$A$332)))</f>
        <v/>
      </c>
      <c r="AD351" s="239" t="str">
        <f>IF(AD$3="","",IF(COUNTIFS(BD!$A$3:$A$5001,AD$3,BD!$B$3:$B$5001,$A$332,BD!$U$3:$U$5001,"&lt;&gt;")=0,"",SUMIFS(BD!$U$3:$U$5001,BD!$A$3:$A$5001,AD$3,BD!$B$3:$B$5001,$A$332)))</f>
        <v/>
      </c>
      <c r="AE351" s="239" t="str">
        <f>IF(AE$3="","",IF(COUNTIFS(BD!$A$3:$A$5001,AE$3,BD!$B$3:$B$5001,$A$332,BD!$U$3:$U$5001,"&lt;&gt;")=0,"",SUMIFS(BD!$U$3:$U$5001,BD!$A$3:$A$5001,AE$3,BD!$B$3:$B$5001,$A$332)))</f>
        <v/>
      </c>
      <c r="AF351" s="239" t="str">
        <f>IF(AF$3="","",IF(COUNTIFS(BD!$A$3:$A$5001,AF$3,BD!$B$3:$B$5001,$A$332,BD!$U$3:$U$5001,"&lt;&gt;")=0,"",SUMIFS(BD!$U$3:$U$5001,BD!$A$3:$A$5001,AF$3,BD!$B$3:$B$5001,$A$332)))</f>
        <v/>
      </c>
      <c r="AG351" s="239" t="str">
        <f>IF(AG$3="","",IF(COUNTIFS(BD!$A$3:$A$5001,AG$3,BD!$B$3:$B$5001,$A$332,BD!$U$3:$U$5001,"&lt;&gt;")=0,"",SUMIFS(BD!$U$3:$U$5001,BD!$A$3:$A$5001,AG$3,BD!$B$3:$B$5001,$A$332)))</f>
        <v/>
      </c>
      <c r="AH351" s="239" t="str">
        <f>IF(AH$3="","",IF(COUNTIFS(BD!$A$3:$A$5001,AH$3,BD!$B$3:$B$5001,$A$332,BD!$U$3:$U$5001,"&lt;&gt;")=0,"",SUMIFS(BD!$U$3:$U$5001,BD!$A$3:$A$5001,AH$3,BD!$B$3:$B$5001,$A$332)))</f>
        <v/>
      </c>
      <c r="AI351" s="239" t="str">
        <f>IF(AI$3="","",IF(COUNTIFS(BD!$A$3:$A$5001,AI$3,BD!$B$3:$B$5001,$A$332,BD!$U$3:$U$5001,"&lt;&gt;")=0,"",SUMIFS(BD!$U$3:$U$5001,BD!$A$3:$A$5001,AI$3,BD!$B$3:$B$5001,$A$332)))</f>
        <v/>
      </c>
      <c r="AJ351" s="240" t="str">
        <f>IF(AJ$3="","",IF(COUNTIFS(BD!$A$3:$A$5001,AJ$3,BD!$B$3:$B$5001,$A$332,BD!$U$3:$U$5001,"&lt;&gt;")=0,"",SUMIFS(BD!$U$3:$U$5001,BD!$A$3:$A$5001,AJ$3,BD!$B$3:$B$5001,$A$332)))</f>
        <v/>
      </c>
      <c r="AK351" s="236" t="str">
        <f>IF(COUNT(F351:AJ351)=0,"",SUM(F351:AJ351))</f>
        <v/>
      </c>
    </row>
    <row r="353" ht="15.75" customHeight="1" hidden="1">
      <c r="A353" s="253"/>
      <c r="B353" s="241" t="inlineStr">
        <is>
          <t xml:space="preserve">IN</t>
        </is>
      </c>
      <c r="C353" s="155" t="inlineStr">
        <is>
          <t xml:space="preserve">Veículos Recebidos</t>
        </is>
      </c>
      <c r="D353" s="156" t="str">
        <f>IFERROR(1/(1/INDEX(BD!$Y$23:$AS$23,MATCH($A$353,BD!$Y$22:$AS$22,0))),"")</f>
        <v/>
      </c>
      <c r="E353" s="157"/>
      <c r="F353" s="158" t="str">
        <f>IF(F$3="","",IF(COUNTIFS(BD!$A$3:$A$5001,F$3,BD!$B$3:$B$5001,$A$353,BD!$C$3:$C$5001,"&lt;&gt;")=0,"",SUMIFS(BD!$C$3:$C$5001,BD!$A$3:$A$5001,F$3,BD!$B$3:$B$5001,$A$353)))</f>
        <v/>
      </c>
      <c r="G353" s="159" t="str">
        <f>IF(G$3="","",IF(COUNTIFS(BD!$A$3:$A$5001,G$3,BD!$B$3:$B$5001,$A$353,BD!$C$3:$C$5001,"&lt;&gt;")=0,"",SUMIFS(BD!$C$3:$C$5001,BD!$A$3:$A$5001,G$3,BD!$B$3:$B$5001,$A$353)))</f>
        <v/>
      </c>
      <c r="H353" s="159" t="str">
        <f>IF(H$3="","",IF(COUNTIFS(BD!$A$3:$A$5001,H$3,BD!$B$3:$B$5001,$A$353,BD!$C$3:$C$5001,"&lt;&gt;")=0,"",SUMIFS(BD!$C$3:$C$5001,BD!$A$3:$A$5001,H$3,BD!$B$3:$B$5001,$A$353)))</f>
        <v/>
      </c>
      <c r="I353" s="159" t="str">
        <f>IF(I$3="","",IF(COUNTIFS(BD!$A$3:$A$5001,I$3,BD!$B$3:$B$5001,$A$353,BD!$C$3:$C$5001,"&lt;&gt;")=0,"",SUMIFS(BD!$C$3:$C$5001,BD!$A$3:$A$5001,I$3,BD!$B$3:$B$5001,$A$353)))</f>
        <v/>
      </c>
      <c r="J353" s="159" t="str">
        <f>IF(J$3="","",IF(COUNTIFS(BD!$A$3:$A$5001,J$3,BD!$B$3:$B$5001,$A$353,BD!$C$3:$C$5001,"&lt;&gt;")=0,"",SUMIFS(BD!$C$3:$C$5001,BD!$A$3:$A$5001,J$3,BD!$B$3:$B$5001,$A$353)))</f>
        <v/>
      </c>
      <c r="K353" s="159" t="str">
        <f>IF(K$3="","",IF(COUNTIFS(BD!$A$3:$A$5001,K$3,BD!$B$3:$B$5001,$A$353,BD!$C$3:$C$5001,"&lt;&gt;")=0,"",SUMIFS(BD!$C$3:$C$5001,BD!$A$3:$A$5001,K$3,BD!$B$3:$B$5001,$A$353)))</f>
        <v/>
      </c>
      <c r="L353" s="159" t="str">
        <f>IF(L$3="","",IF(COUNTIFS(BD!$A$3:$A$5001,L$3,BD!$B$3:$B$5001,$A$353,BD!$C$3:$C$5001,"&lt;&gt;")=0,"",SUMIFS(BD!$C$3:$C$5001,BD!$A$3:$A$5001,L$3,BD!$B$3:$B$5001,$A$353)))</f>
        <v/>
      </c>
      <c r="M353" s="159" t="str">
        <f>IF(M$3="","",IF(COUNTIFS(BD!$A$3:$A$5001,M$3,BD!$B$3:$B$5001,$A$353,BD!$C$3:$C$5001,"&lt;&gt;")=0,"",SUMIFS(BD!$C$3:$C$5001,BD!$A$3:$A$5001,M$3,BD!$B$3:$B$5001,$A$353)))</f>
        <v/>
      </c>
      <c r="N353" s="159" t="str">
        <f>IF(N$3="","",IF(COUNTIFS(BD!$A$3:$A$5001,N$3,BD!$B$3:$B$5001,$A$353,BD!$C$3:$C$5001,"&lt;&gt;")=0,"",SUMIFS(BD!$C$3:$C$5001,BD!$A$3:$A$5001,N$3,BD!$B$3:$B$5001,$A$353)))</f>
        <v/>
      </c>
      <c r="O353" s="159" t="str">
        <f>IF(O$3="","",IF(COUNTIFS(BD!$A$3:$A$5001,O$3,BD!$B$3:$B$5001,$A$353,BD!$C$3:$C$5001,"&lt;&gt;")=0,"",SUMIFS(BD!$C$3:$C$5001,BD!$A$3:$A$5001,O$3,BD!$B$3:$B$5001,$A$353)))</f>
        <v/>
      </c>
      <c r="P353" s="159" t="str">
        <f>IF(P$3="","",IF(COUNTIFS(BD!$A$3:$A$5001,P$3,BD!$B$3:$B$5001,$A$353,BD!$C$3:$C$5001,"&lt;&gt;")=0,"",SUMIFS(BD!$C$3:$C$5001,BD!$A$3:$A$5001,P$3,BD!$B$3:$B$5001,$A$353)))</f>
        <v/>
      </c>
      <c r="Q353" s="159" t="str">
        <f>IF(Q$3="","",IF(COUNTIFS(BD!$A$3:$A$5001,Q$3,BD!$B$3:$B$5001,$A$353,BD!$C$3:$C$5001,"&lt;&gt;")=0,"",SUMIFS(BD!$C$3:$C$5001,BD!$A$3:$A$5001,Q$3,BD!$B$3:$B$5001,$A$353)))</f>
        <v/>
      </c>
      <c r="R353" s="159" t="str">
        <f>IF(R$3="","",IF(COUNTIFS(BD!$A$3:$A$5001,R$3,BD!$B$3:$B$5001,$A$353,BD!$C$3:$C$5001,"&lt;&gt;")=0,"",SUMIFS(BD!$C$3:$C$5001,BD!$A$3:$A$5001,R$3,BD!$B$3:$B$5001,$A$353)))</f>
        <v/>
      </c>
      <c r="S353" s="159" t="str">
        <f>IF(S$3="","",IF(COUNTIFS(BD!$A$3:$A$5001,S$3,BD!$B$3:$B$5001,$A$353,BD!$C$3:$C$5001,"&lt;&gt;")=0,"",SUMIFS(BD!$C$3:$C$5001,BD!$A$3:$A$5001,S$3,BD!$B$3:$B$5001,$A$353)))</f>
        <v/>
      </c>
      <c r="T353" s="159" t="str">
        <f>IF(T$3="","",IF(COUNTIFS(BD!$A$3:$A$5001,T$3,BD!$B$3:$B$5001,$A$353,BD!$C$3:$C$5001,"&lt;&gt;")=0,"",SUMIFS(BD!$C$3:$C$5001,BD!$A$3:$A$5001,T$3,BD!$B$3:$B$5001,$A$353)))</f>
        <v/>
      </c>
      <c r="U353" s="159" t="str">
        <f>IF(U$3="","",IF(COUNTIFS(BD!$A$3:$A$5001,U$3,BD!$B$3:$B$5001,$A$353,BD!$C$3:$C$5001,"&lt;&gt;")=0,"",SUMIFS(BD!$C$3:$C$5001,BD!$A$3:$A$5001,U$3,BD!$B$3:$B$5001,$A$353)))</f>
        <v/>
      </c>
      <c r="V353" s="159" t="str">
        <f>IF(V$3="","",IF(COUNTIFS(BD!$A$3:$A$5001,V$3,BD!$B$3:$B$5001,$A$353,BD!$C$3:$C$5001,"&lt;&gt;")=0,"",SUMIFS(BD!$C$3:$C$5001,BD!$A$3:$A$5001,V$3,BD!$B$3:$B$5001,$A$353)))</f>
        <v/>
      </c>
      <c r="W353" s="159" t="str">
        <f>IF(W$3="","",IF(COUNTIFS(BD!$A$3:$A$5001,W$3,BD!$B$3:$B$5001,$A$353,BD!$C$3:$C$5001,"&lt;&gt;")=0,"",SUMIFS(BD!$C$3:$C$5001,BD!$A$3:$A$5001,W$3,BD!$B$3:$B$5001,$A$353)))</f>
        <v/>
      </c>
      <c r="X353" s="159" t="str">
        <f>IF(X$3="","",IF(COUNTIFS(BD!$A$3:$A$5001,X$3,BD!$B$3:$B$5001,$A$353,BD!$C$3:$C$5001,"&lt;&gt;")=0,"",SUMIFS(BD!$C$3:$C$5001,BD!$A$3:$A$5001,X$3,BD!$B$3:$B$5001,$A$353)))</f>
        <v/>
      </c>
      <c r="Y353" s="159" t="str">
        <f>IF(Y$3="","",IF(COUNTIFS(BD!$A$3:$A$5001,Y$3,BD!$B$3:$B$5001,$A$353,BD!$C$3:$C$5001,"&lt;&gt;")=0,"",SUMIFS(BD!$C$3:$C$5001,BD!$A$3:$A$5001,Y$3,BD!$B$3:$B$5001,$A$353)))</f>
        <v/>
      </c>
      <c r="Z353" s="159" t="str">
        <f>IF(Z$3="","",IF(COUNTIFS(BD!$A$3:$A$5001,Z$3,BD!$B$3:$B$5001,$A$353,BD!$C$3:$C$5001,"&lt;&gt;")=0,"",SUMIFS(BD!$C$3:$C$5001,BD!$A$3:$A$5001,Z$3,BD!$B$3:$B$5001,$A$353)))</f>
        <v/>
      </c>
      <c r="AA353" s="159" t="str">
        <f>IF(AA$3="","",IF(COUNTIFS(BD!$A$3:$A$5001,AA$3,BD!$B$3:$B$5001,$A$353,BD!$C$3:$C$5001,"&lt;&gt;")=0,"",SUMIFS(BD!$C$3:$C$5001,BD!$A$3:$A$5001,AA$3,BD!$B$3:$B$5001,$A$353)))</f>
        <v/>
      </c>
      <c r="AB353" s="159" t="str">
        <f>IF(AB$3="","",IF(COUNTIFS(BD!$A$3:$A$5001,AB$3,BD!$B$3:$B$5001,$A$353,BD!$C$3:$C$5001,"&lt;&gt;")=0,"",SUMIFS(BD!$C$3:$C$5001,BD!$A$3:$A$5001,AB$3,BD!$B$3:$B$5001,$A$353)))</f>
        <v/>
      </c>
      <c r="AC353" s="159" t="str">
        <f>IF(AC$3="","",IF(COUNTIFS(BD!$A$3:$A$5001,AC$3,BD!$B$3:$B$5001,$A$353,BD!$C$3:$C$5001,"&lt;&gt;")=0,"",SUMIFS(BD!$C$3:$C$5001,BD!$A$3:$A$5001,AC$3,BD!$B$3:$B$5001,$A$353)))</f>
        <v/>
      </c>
      <c r="AD353" s="159" t="str">
        <f>IF(AD$3="","",IF(COUNTIFS(BD!$A$3:$A$5001,AD$3,BD!$B$3:$B$5001,$A$353,BD!$C$3:$C$5001,"&lt;&gt;")=0,"",SUMIFS(BD!$C$3:$C$5001,BD!$A$3:$A$5001,AD$3,BD!$B$3:$B$5001,$A$353)))</f>
        <v/>
      </c>
      <c r="AE353" s="159" t="str">
        <f>IF(AE$3="","",IF(COUNTIFS(BD!$A$3:$A$5001,AE$3,BD!$B$3:$B$5001,$A$353,BD!$C$3:$C$5001,"&lt;&gt;")=0,"",SUMIFS(BD!$C$3:$C$5001,BD!$A$3:$A$5001,AE$3,BD!$B$3:$B$5001,$A$353)))</f>
        <v/>
      </c>
      <c r="AF353" s="159" t="str">
        <f>IF(AF$3="","",IF(COUNTIFS(BD!$A$3:$A$5001,AF$3,BD!$B$3:$B$5001,$A$353,BD!$C$3:$C$5001,"&lt;&gt;")=0,"",SUMIFS(BD!$C$3:$C$5001,BD!$A$3:$A$5001,AF$3,BD!$B$3:$B$5001,$A$353)))</f>
        <v/>
      </c>
      <c r="AG353" s="159" t="str">
        <f>IF(AG$3="","",IF(COUNTIFS(BD!$A$3:$A$5001,AG$3,BD!$B$3:$B$5001,$A$353,BD!$C$3:$C$5001,"&lt;&gt;")=0,"",SUMIFS(BD!$C$3:$C$5001,BD!$A$3:$A$5001,AG$3,BD!$B$3:$B$5001,$A$353)))</f>
        <v/>
      </c>
      <c r="AH353" s="159" t="str">
        <f>IF(AH$3="","",IF(COUNTIFS(BD!$A$3:$A$5001,AH$3,BD!$B$3:$B$5001,$A$353,BD!$C$3:$C$5001,"&lt;&gt;")=0,"",SUMIFS(BD!$C$3:$C$5001,BD!$A$3:$A$5001,AH$3,BD!$B$3:$B$5001,$A$353)))</f>
        <v/>
      </c>
      <c r="AI353" s="159" t="str">
        <f>IF(AI$3="","",IF(COUNTIFS(BD!$A$3:$A$5001,AI$3,BD!$B$3:$B$5001,$A$353,BD!$C$3:$C$5001,"&lt;&gt;")=0,"",SUMIFS(BD!$C$3:$C$5001,BD!$A$3:$A$5001,AI$3,BD!$B$3:$B$5001,$A$353)))</f>
        <v/>
      </c>
      <c r="AJ353" s="160" t="str">
        <f>IF(AJ$3="","",IF(COUNTIFS(BD!$A$3:$A$5001,AJ$3,BD!$B$3:$B$5001,$A$353,BD!$C$3:$C$5001,"&lt;&gt;")=0,"",SUMIFS(BD!$C$3:$C$5001,BD!$A$3:$A$5001,AJ$3,BD!$B$3:$B$5001,$A$353)))</f>
        <v/>
      </c>
      <c r="AK353" s="161" t="str">
        <f>IF(COUNT(F353:AJ353)=0,"",SUM(F353:AJ353))</f>
        <v/>
      </c>
    </row>
    <row r="354" ht="15.75" customHeight="1" hidden="1">
      <c r="A354" s="254"/>
      <c r="B354" s="242"/>
      <c r="C354" s="162" t="inlineStr">
        <is>
          <t xml:space="preserve">Pallets Movimentados</t>
        </is>
      </c>
      <c r="D354" s="163" t="str">
        <f>IFERROR(1/(1/INDEX(BD!$Y$24:$AS$24,MATCH($A$353,BD!$Y$22:$AS$22,0))),"")</f>
        <v/>
      </c>
      <c r="E354" s="164"/>
      <c r="F354" s="165" t="str">
        <f>IF(F$3="","",IF(COUNTIFS(BD!$A$3:$A$5001,F$3,BD!$B$3:$B$5001,$A$353,BD!$D$3:$D$5001,"&lt;&gt;")=0,"",SUMIFS(BD!$D$3:$D$5001,BD!$A$3:$A$5001,F$3,BD!$B$3:$B$5001,$A$353)))</f>
        <v/>
      </c>
      <c r="G354" s="166" t="str">
        <f>IF(G$3="","",IF(COUNTIFS(BD!$A$3:$A$5001,G$3,BD!$B$3:$B$5001,$A$353,BD!$D$3:$D$5001,"&lt;&gt;")=0,"",SUMIFS(BD!$D$3:$D$5001,BD!$A$3:$A$5001,G$3,BD!$B$3:$B$5001,$A$353)))</f>
        <v/>
      </c>
      <c r="H354" s="166" t="str">
        <f>IF(H$3="","",IF(COUNTIFS(BD!$A$3:$A$5001,H$3,BD!$B$3:$B$5001,$A$353,BD!$D$3:$D$5001,"&lt;&gt;")=0,"",SUMIFS(BD!$D$3:$D$5001,BD!$A$3:$A$5001,H$3,BD!$B$3:$B$5001,$A$353)))</f>
        <v/>
      </c>
      <c r="I354" s="166" t="str">
        <f>IF(I$3="","",IF(COUNTIFS(BD!$A$3:$A$5001,I$3,BD!$B$3:$B$5001,$A$353,BD!$D$3:$D$5001,"&lt;&gt;")=0,"",SUMIFS(BD!$D$3:$D$5001,BD!$A$3:$A$5001,I$3,BD!$B$3:$B$5001,$A$353)))</f>
        <v/>
      </c>
      <c r="J354" s="166" t="str">
        <f>IF(J$3="","",IF(COUNTIFS(BD!$A$3:$A$5001,J$3,BD!$B$3:$B$5001,$A$353,BD!$D$3:$D$5001,"&lt;&gt;")=0,"",SUMIFS(BD!$D$3:$D$5001,BD!$A$3:$A$5001,J$3,BD!$B$3:$B$5001,$A$353)))</f>
        <v/>
      </c>
      <c r="K354" s="166" t="str">
        <f>IF(K$3="","",IF(COUNTIFS(BD!$A$3:$A$5001,K$3,BD!$B$3:$B$5001,$A$353,BD!$D$3:$D$5001,"&lt;&gt;")=0,"",SUMIFS(BD!$D$3:$D$5001,BD!$A$3:$A$5001,K$3,BD!$B$3:$B$5001,$A$353)))</f>
        <v/>
      </c>
      <c r="L354" s="166" t="str">
        <f>IF(L$3="","",IF(COUNTIFS(BD!$A$3:$A$5001,L$3,BD!$B$3:$B$5001,$A$353,BD!$D$3:$D$5001,"&lt;&gt;")=0,"",SUMIFS(BD!$D$3:$D$5001,BD!$A$3:$A$5001,L$3,BD!$B$3:$B$5001,$A$353)))</f>
        <v/>
      </c>
      <c r="M354" s="166" t="str">
        <f>IF(M$3="","",IF(COUNTIFS(BD!$A$3:$A$5001,M$3,BD!$B$3:$B$5001,$A$353,BD!$D$3:$D$5001,"&lt;&gt;")=0,"",SUMIFS(BD!$D$3:$D$5001,BD!$A$3:$A$5001,M$3,BD!$B$3:$B$5001,$A$353)))</f>
        <v/>
      </c>
      <c r="N354" s="166" t="str">
        <f>IF(N$3="","",IF(COUNTIFS(BD!$A$3:$A$5001,N$3,BD!$B$3:$B$5001,$A$353,BD!$D$3:$D$5001,"&lt;&gt;")=0,"",SUMIFS(BD!$D$3:$D$5001,BD!$A$3:$A$5001,N$3,BD!$B$3:$B$5001,$A$353)))</f>
        <v/>
      </c>
      <c r="O354" s="166" t="str">
        <f>IF(O$3="","",IF(COUNTIFS(BD!$A$3:$A$5001,O$3,BD!$B$3:$B$5001,$A$353,BD!$D$3:$D$5001,"&lt;&gt;")=0,"",SUMIFS(BD!$D$3:$D$5001,BD!$A$3:$A$5001,O$3,BD!$B$3:$B$5001,$A$353)))</f>
        <v/>
      </c>
      <c r="P354" s="166" t="str">
        <f>IF(P$3="","",IF(COUNTIFS(BD!$A$3:$A$5001,P$3,BD!$B$3:$B$5001,$A$353,BD!$D$3:$D$5001,"&lt;&gt;")=0,"",SUMIFS(BD!$D$3:$D$5001,BD!$A$3:$A$5001,P$3,BD!$B$3:$B$5001,$A$353)))</f>
        <v/>
      </c>
      <c r="Q354" s="166" t="str">
        <f>IF(Q$3="","",IF(COUNTIFS(BD!$A$3:$A$5001,Q$3,BD!$B$3:$B$5001,$A$353,BD!$D$3:$D$5001,"&lt;&gt;")=0,"",SUMIFS(BD!$D$3:$D$5001,BD!$A$3:$A$5001,Q$3,BD!$B$3:$B$5001,$A$353)))</f>
        <v/>
      </c>
      <c r="R354" s="166" t="str">
        <f>IF(R$3="","",IF(COUNTIFS(BD!$A$3:$A$5001,R$3,BD!$B$3:$B$5001,$A$353,BD!$D$3:$D$5001,"&lt;&gt;")=0,"",SUMIFS(BD!$D$3:$D$5001,BD!$A$3:$A$5001,R$3,BD!$B$3:$B$5001,$A$353)))</f>
        <v/>
      </c>
      <c r="S354" s="166" t="str">
        <f>IF(S$3="","",IF(COUNTIFS(BD!$A$3:$A$5001,S$3,BD!$B$3:$B$5001,$A$353,BD!$D$3:$D$5001,"&lt;&gt;")=0,"",SUMIFS(BD!$D$3:$D$5001,BD!$A$3:$A$5001,S$3,BD!$B$3:$B$5001,$A$353)))</f>
        <v/>
      </c>
      <c r="T354" s="166" t="str">
        <f>IF(T$3="","",IF(COUNTIFS(BD!$A$3:$A$5001,T$3,BD!$B$3:$B$5001,$A$353,BD!$D$3:$D$5001,"&lt;&gt;")=0,"",SUMIFS(BD!$D$3:$D$5001,BD!$A$3:$A$5001,T$3,BD!$B$3:$B$5001,$A$353)))</f>
        <v/>
      </c>
      <c r="U354" s="166" t="str">
        <f>IF(U$3="","",IF(COUNTIFS(BD!$A$3:$A$5001,U$3,BD!$B$3:$B$5001,$A$353,BD!$D$3:$D$5001,"&lt;&gt;")=0,"",SUMIFS(BD!$D$3:$D$5001,BD!$A$3:$A$5001,U$3,BD!$B$3:$B$5001,$A$353)))</f>
        <v/>
      </c>
      <c r="V354" s="166" t="str">
        <f>IF(V$3="","",IF(COUNTIFS(BD!$A$3:$A$5001,V$3,BD!$B$3:$B$5001,$A$353,BD!$D$3:$D$5001,"&lt;&gt;")=0,"",SUMIFS(BD!$D$3:$D$5001,BD!$A$3:$A$5001,V$3,BD!$B$3:$B$5001,$A$353)))</f>
        <v/>
      </c>
      <c r="W354" s="166" t="str">
        <f>IF(W$3="","",IF(COUNTIFS(BD!$A$3:$A$5001,W$3,BD!$B$3:$B$5001,$A$353,BD!$D$3:$D$5001,"&lt;&gt;")=0,"",SUMIFS(BD!$D$3:$D$5001,BD!$A$3:$A$5001,W$3,BD!$B$3:$B$5001,$A$353)))</f>
        <v/>
      </c>
      <c r="X354" s="166" t="str">
        <f>IF(X$3="","",IF(COUNTIFS(BD!$A$3:$A$5001,X$3,BD!$B$3:$B$5001,$A$353,BD!$D$3:$D$5001,"&lt;&gt;")=0,"",SUMIFS(BD!$D$3:$D$5001,BD!$A$3:$A$5001,X$3,BD!$B$3:$B$5001,$A$353)))</f>
        <v/>
      </c>
      <c r="Y354" s="166" t="str">
        <f>IF(Y$3="","",IF(COUNTIFS(BD!$A$3:$A$5001,Y$3,BD!$B$3:$B$5001,$A$353,BD!$D$3:$D$5001,"&lt;&gt;")=0,"",SUMIFS(BD!$D$3:$D$5001,BD!$A$3:$A$5001,Y$3,BD!$B$3:$B$5001,$A$353)))</f>
        <v/>
      </c>
      <c r="Z354" s="166" t="str">
        <f>IF(Z$3="","",IF(COUNTIFS(BD!$A$3:$A$5001,Z$3,BD!$B$3:$B$5001,$A$353,BD!$D$3:$D$5001,"&lt;&gt;")=0,"",SUMIFS(BD!$D$3:$D$5001,BD!$A$3:$A$5001,Z$3,BD!$B$3:$B$5001,$A$353)))</f>
        <v/>
      </c>
      <c r="AA354" s="166" t="str">
        <f>IF(AA$3="","",IF(COUNTIFS(BD!$A$3:$A$5001,AA$3,BD!$B$3:$B$5001,$A$353,BD!$D$3:$D$5001,"&lt;&gt;")=0,"",SUMIFS(BD!$D$3:$D$5001,BD!$A$3:$A$5001,AA$3,BD!$B$3:$B$5001,$A$353)))</f>
        <v/>
      </c>
      <c r="AB354" s="166" t="str">
        <f>IF(AB$3="","",IF(COUNTIFS(BD!$A$3:$A$5001,AB$3,BD!$B$3:$B$5001,$A$353,BD!$D$3:$D$5001,"&lt;&gt;")=0,"",SUMIFS(BD!$D$3:$D$5001,BD!$A$3:$A$5001,AB$3,BD!$B$3:$B$5001,$A$353)))</f>
        <v/>
      </c>
      <c r="AC354" s="166" t="str">
        <f>IF(AC$3="","",IF(COUNTIFS(BD!$A$3:$A$5001,AC$3,BD!$B$3:$B$5001,$A$353,BD!$D$3:$D$5001,"&lt;&gt;")=0,"",SUMIFS(BD!$D$3:$D$5001,BD!$A$3:$A$5001,AC$3,BD!$B$3:$B$5001,$A$353)))</f>
        <v/>
      </c>
      <c r="AD354" s="166" t="str">
        <f>IF(AD$3="","",IF(COUNTIFS(BD!$A$3:$A$5001,AD$3,BD!$B$3:$B$5001,$A$353,BD!$D$3:$D$5001,"&lt;&gt;")=0,"",SUMIFS(BD!$D$3:$D$5001,BD!$A$3:$A$5001,AD$3,BD!$B$3:$B$5001,$A$353)))</f>
        <v/>
      </c>
      <c r="AE354" s="166" t="str">
        <f>IF(AE$3="","",IF(COUNTIFS(BD!$A$3:$A$5001,AE$3,BD!$B$3:$B$5001,$A$353,BD!$D$3:$D$5001,"&lt;&gt;")=0,"",SUMIFS(BD!$D$3:$D$5001,BD!$A$3:$A$5001,AE$3,BD!$B$3:$B$5001,$A$353)))</f>
        <v/>
      </c>
      <c r="AF354" s="166" t="str">
        <f>IF(AF$3="","",IF(COUNTIFS(BD!$A$3:$A$5001,AF$3,BD!$B$3:$B$5001,$A$353,BD!$D$3:$D$5001,"&lt;&gt;")=0,"",SUMIFS(BD!$D$3:$D$5001,BD!$A$3:$A$5001,AF$3,BD!$B$3:$B$5001,$A$353)))</f>
        <v/>
      </c>
      <c r="AG354" s="166" t="str">
        <f>IF(AG$3="","",IF(COUNTIFS(BD!$A$3:$A$5001,AG$3,BD!$B$3:$B$5001,$A$353,BD!$D$3:$D$5001,"&lt;&gt;")=0,"",SUMIFS(BD!$D$3:$D$5001,BD!$A$3:$A$5001,AG$3,BD!$B$3:$B$5001,$A$353)))</f>
        <v/>
      </c>
      <c r="AH354" s="166" t="str">
        <f>IF(AH$3="","",IF(COUNTIFS(BD!$A$3:$A$5001,AH$3,BD!$B$3:$B$5001,$A$353,BD!$D$3:$D$5001,"&lt;&gt;")=0,"",SUMIFS(BD!$D$3:$D$5001,BD!$A$3:$A$5001,AH$3,BD!$B$3:$B$5001,$A$353)))</f>
        <v/>
      </c>
      <c r="AI354" s="166" t="str">
        <f>IF(AI$3="","",IF(COUNTIFS(BD!$A$3:$A$5001,AI$3,BD!$B$3:$B$5001,$A$353,BD!$D$3:$D$5001,"&lt;&gt;")=0,"",SUMIFS(BD!$D$3:$D$5001,BD!$A$3:$A$5001,AI$3,BD!$B$3:$B$5001,$A$353)))</f>
        <v/>
      </c>
      <c r="AJ354" s="167" t="str">
        <f>IF(AJ$3="","",IF(COUNTIFS(BD!$A$3:$A$5001,AJ$3,BD!$B$3:$B$5001,$A$353,BD!$D$3:$D$5001,"&lt;&gt;")=0,"",SUMIFS(BD!$D$3:$D$5001,BD!$A$3:$A$5001,AJ$3,BD!$B$3:$B$5001,$A$353)))</f>
        <v/>
      </c>
      <c r="AK354" s="168" t="str">
        <f>IF(COUNT(F354:AJ354)=0,"",SUM(F354:AJ354))</f>
        <v/>
      </c>
    </row>
    <row r="355" ht="15.75" customHeight="1" hidden="1">
      <c r="A355" s="254"/>
      <c r="B355" s="243"/>
      <c r="C355" s="169" t="inlineStr">
        <is>
          <t xml:space="preserve">Toneladas Movimentadas</t>
        </is>
      </c>
      <c r="D355" s="170" t="str">
        <f>IFERROR(1/(1/INDEX(BD!$Y$25:$AS$25,MATCH($A$353,BD!$Y$22:$AS$22,0))),"")</f>
        <v/>
      </c>
      <c r="E355" s="171"/>
      <c r="F355" s="172" t="str">
        <f>IF(F$3="","",IF(COUNTIFS(BD!$A$3:$A$5001,F$3,BD!$B$3:$B$5001,$A$353,BD!$E$3:$E$5001,"&lt;&gt;")=0,"",SUMIFS(BD!$E$3:$E$5001,BD!$A$3:$A$5001,F$3,BD!$B$3:$B$5001,$A$353)))</f>
        <v/>
      </c>
      <c r="G355" s="173" t="str">
        <f>IF(G$3="","",IF(COUNTIFS(BD!$A$3:$A$5001,G$3,BD!$B$3:$B$5001,$A$353,BD!$E$3:$E$5001,"&lt;&gt;")=0,"",SUMIFS(BD!$E$3:$E$5001,BD!$A$3:$A$5001,G$3,BD!$B$3:$B$5001,$A$353)))</f>
        <v/>
      </c>
      <c r="H355" s="173" t="str">
        <f>IF(H$3="","",IF(COUNTIFS(BD!$A$3:$A$5001,H$3,BD!$B$3:$B$5001,$A$353,BD!$E$3:$E$5001,"&lt;&gt;")=0,"",SUMIFS(BD!$E$3:$E$5001,BD!$A$3:$A$5001,H$3,BD!$B$3:$B$5001,$A$353)))</f>
        <v/>
      </c>
      <c r="I355" s="173" t="str">
        <f>IF(I$3="","",IF(COUNTIFS(BD!$A$3:$A$5001,I$3,BD!$B$3:$B$5001,$A$353,BD!$E$3:$E$5001,"&lt;&gt;")=0,"",SUMIFS(BD!$E$3:$E$5001,BD!$A$3:$A$5001,I$3,BD!$B$3:$B$5001,$A$353)))</f>
        <v/>
      </c>
      <c r="J355" s="173" t="str">
        <f>IF(J$3="","",IF(COUNTIFS(BD!$A$3:$A$5001,J$3,BD!$B$3:$B$5001,$A$353,BD!$E$3:$E$5001,"&lt;&gt;")=0,"",SUMIFS(BD!$E$3:$E$5001,BD!$A$3:$A$5001,J$3,BD!$B$3:$B$5001,$A$353)))</f>
        <v/>
      </c>
      <c r="K355" s="173" t="str">
        <f>IF(K$3="","",IF(COUNTIFS(BD!$A$3:$A$5001,K$3,BD!$B$3:$B$5001,$A$353,BD!$E$3:$E$5001,"&lt;&gt;")=0,"",SUMIFS(BD!$E$3:$E$5001,BD!$A$3:$A$5001,K$3,BD!$B$3:$B$5001,$A$353)))</f>
        <v/>
      </c>
      <c r="L355" s="173" t="str">
        <f>IF(L$3="","",IF(COUNTIFS(BD!$A$3:$A$5001,L$3,BD!$B$3:$B$5001,$A$353,BD!$E$3:$E$5001,"&lt;&gt;")=0,"",SUMIFS(BD!$E$3:$E$5001,BD!$A$3:$A$5001,L$3,BD!$B$3:$B$5001,$A$353)))</f>
        <v/>
      </c>
      <c r="M355" s="173" t="str">
        <f>IF(M$3="","",IF(COUNTIFS(BD!$A$3:$A$5001,M$3,BD!$B$3:$B$5001,$A$353,BD!$E$3:$E$5001,"&lt;&gt;")=0,"",SUMIFS(BD!$E$3:$E$5001,BD!$A$3:$A$5001,M$3,BD!$B$3:$B$5001,$A$353)))</f>
        <v/>
      </c>
      <c r="N355" s="173" t="str">
        <f>IF(N$3="","",IF(COUNTIFS(BD!$A$3:$A$5001,N$3,BD!$B$3:$B$5001,$A$353,BD!$E$3:$E$5001,"&lt;&gt;")=0,"",SUMIFS(BD!$E$3:$E$5001,BD!$A$3:$A$5001,N$3,BD!$B$3:$B$5001,$A$353)))</f>
        <v/>
      </c>
      <c r="O355" s="173" t="str">
        <f>IF(O$3="","",IF(COUNTIFS(BD!$A$3:$A$5001,O$3,BD!$B$3:$B$5001,$A$353,BD!$E$3:$E$5001,"&lt;&gt;")=0,"",SUMIFS(BD!$E$3:$E$5001,BD!$A$3:$A$5001,O$3,BD!$B$3:$B$5001,$A$353)))</f>
        <v/>
      </c>
      <c r="P355" s="173" t="str">
        <f>IF(P$3="","",IF(COUNTIFS(BD!$A$3:$A$5001,P$3,BD!$B$3:$B$5001,$A$353,BD!$E$3:$E$5001,"&lt;&gt;")=0,"",SUMIFS(BD!$E$3:$E$5001,BD!$A$3:$A$5001,P$3,BD!$B$3:$B$5001,$A$353)))</f>
        <v/>
      </c>
      <c r="Q355" s="173" t="str">
        <f>IF(Q$3="","",IF(COUNTIFS(BD!$A$3:$A$5001,Q$3,BD!$B$3:$B$5001,$A$353,BD!$E$3:$E$5001,"&lt;&gt;")=0,"",SUMIFS(BD!$E$3:$E$5001,BD!$A$3:$A$5001,Q$3,BD!$B$3:$B$5001,$A$353)))</f>
        <v/>
      </c>
      <c r="R355" s="173" t="str">
        <f>IF(R$3="","",IF(COUNTIFS(BD!$A$3:$A$5001,R$3,BD!$B$3:$B$5001,$A$353,BD!$E$3:$E$5001,"&lt;&gt;")=0,"",SUMIFS(BD!$E$3:$E$5001,BD!$A$3:$A$5001,R$3,BD!$B$3:$B$5001,$A$353)))</f>
        <v/>
      </c>
      <c r="S355" s="173" t="str">
        <f>IF(S$3="","",IF(COUNTIFS(BD!$A$3:$A$5001,S$3,BD!$B$3:$B$5001,$A$353,BD!$E$3:$E$5001,"&lt;&gt;")=0,"",SUMIFS(BD!$E$3:$E$5001,BD!$A$3:$A$5001,S$3,BD!$B$3:$B$5001,$A$353)))</f>
        <v/>
      </c>
      <c r="T355" s="173" t="str">
        <f>IF(T$3="","",IF(COUNTIFS(BD!$A$3:$A$5001,T$3,BD!$B$3:$B$5001,$A$353,BD!$E$3:$E$5001,"&lt;&gt;")=0,"",SUMIFS(BD!$E$3:$E$5001,BD!$A$3:$A$5001,T$3,BD!$B$3:$B$5001,$A$353)))</f>
        <v/>
      </c>
      <c r="U355" s="173" t="str">
        <f>IF(U$3="","",IF(COUNTIFS(BD!$A$3:$A$5001,U$3,BD!$B$3:$B$5001,$A$353,BD!$E$3:$E$5001,"&lt;&gt;")=0,"",SUMIFS(BD!$E$3:$E$5001,BD!$A$3:$A$5001,U$3,BD!$B$3:$B$5001,$A$353)))</f>
        <v/>
      </c>
      <c r="V355" s="173" t="str">
        <f>IF(V$3="","",IF(COUNTIFS(BD!$A$3:$A$5001,V$3,BD!$B$3:$B$5001,$A$353,BD!$E$3:$E$5001,"&lt;&gt;")=0,"",SUMIFS(BD!$E$3:$E$5001,BD!$A$3:$A$5001,V$3,BD!$B$3:$B$5001,$A$353)))</f>
        <v/>
      </c>
      <c r="W355" s="173" t="str">
        <f>IF(W$3="","",IF(COUNTIFS(BD!$A$3:$A$5001,W$3,BD!$B$3:$B$5001,$A$353,BD!$E$3:$E$5001,"&lt;&gt;")=0,"",SUMIFS(BD!$E$3:$E$5001,BD!$A$3:$A$5001,W$3,BD!$B$3:$B$5001,$A$353)))</f>
        <v/>
      </c>
      <c r="X355" s="173" t="str">
        <f>IF(X$3="","",IF(COUNTIFS(BD!$A$3:$A$5001,X$3,BD!$B$3:$B$5001,$A$353,BD!$E$3:$E$5001,"&lt;&gt;")=0,"",SUMIFS(BD!$E$3:$E$5001,BD!$A$3:$A$5001,X$3,BD!$B$3:$B$5001,$A$353)))</f>
        <v/>
      </c>
      <c r="Y355" s="173" t="str">
        <f>IF(Y$3="","",IF(COUNTIFS(BD!$A$3:$A$5001,Y$3,BD!$B$3:$B$5001,$A$353,BD!$E$3:$E$5001,"&lt;&gt;")=0,"",SUMIFS(BD!$E$3:$E$5001,BD!$A$3:$A$5001,Y$3,BD!$B$3:$B$5001,$A$353)))</f>
        <v/>
      </c>
      <c r="Z355" s="173" t="str">
        <f>IF(Z$3="","",IF(COUNTIFS(BD!$A$3:$A$5001,Z$3,BD!$B$3:$B$5001,$A$353,BD!$E$3:$E$5001,"&lt;&gt;")=0,"",SUMIFS(BD!$E$3:$E$5001,BD!$A$3:$A$5001,Z$3,BD!$B$3:$B$5001,$A$353)))</f>
        <v/>
      </c>
      <c r="AA355" s="173" t="str">
        <f>IF(AA$3="","",IF(COUNTIFS(BD!$A$3:$A$5001,AA$3,BD!$B$3:$B$5001,$A$353,BD!$E$3:$E$5001,"&lt;&gt;")=0,"",SUMIFS(BD!$E$3:$E$5001,BD!$A$3:$A$5001,AA$3,BD!$B$3:$B$5001,$A$353)))</f>
        <v/>
      </c>
      <c r="AB355" s="173" t="str">
        <f>IF(AB$3="","",IF(COUNTIFS(BD!$A$3:$A$5001,AB$3,BD!$B$3:$B$5001,$A$353,BD!$E$3:$E$5001,"&lt;&gt;")=0,"",SUMIFS(BD!$E$3:$E$5001,BD!$A$3:$A$5001,AB$3,BD!$B$3:$B$5001,$A$353)))</f>
        <v/>
      </c>
      <c r="AC355" s="173" t="str">
        <f>IF(AC$3="","",IF(COUNTIFS(BD!$A$3:$A$5001,AC$3,BD!$B$3:$B$5001,$A$353,BD!$E$3:$E$5001,"&lt;&gt;")=0,"",SUMIFS(BD!$E$3:$E$5001,BD!$A$3:$A$5001,AC$3,BD!$B$3:$B$5001,$A$353)))</f>
        <v/>
      </c>
      <c r="AD355" s="173" t="str">
        <f>IF(AD$3="","",IF(COUNTIFS(BD!$A$3:$A$5001,AD$3,BD!$B$3:$B$5001,$A$353,BD!$E$3:$E$5001,"&lt;&gt;")=0,"",SUMIFS(BD!$E$3:$E$5001,BD!$A$3:$A$5001,AD$3,BD!$B$3:$B$5001,$A$353)))</f>
        <v/>
      </c>
      <c r="AE355" s="173" t="str">
        <f>IF(AE$3="","",IF(COUNTIFS(BD!$A$3:$A$5001,AE$3,BD!$B$3:$B$5001,$A$353,BD!$E$3:$E$5001,"&lt;&gt;")=0,"",SUMIFS(BD!$E$3:$E$5001,BD!$A$3:$A$5001,AE$3,BD!$B$3:$B$5001,$A$353)))</f>
        <v/>
      </c>
      <c r="AF355" s="173" t="str">
        <f>IF(AF$3="","",IF(COUNTIFS(BD!$A$3:$A$5001,AF$3,BD!$B$3:$B$5001,$A$353,BD!$E$3:$E$5001,"&lt;&gt;")=0,"",SUMIFS(BD!$E$3:$E$5001,BD!$A$3:$A$5001,AF$3,BD!$B$3:$B$5001,$A$353)))</f>
        <v/>
      </c>
      <c r="AG355" s="173" t="str">
        <f>IF(AG$3="","",IF(COUNTIFS(BD!$A$3:$A$5001,AG$3,BD!$B$3:$B$5001,$A$353,BD!$E$3:$E$5001,"&lt;&gt;")=0,"",SUMIFS(BD!$E$3:$E$5001,BD!$A$3:$A$5001,AG$3,BD!$B$3:$B$5001,$A$353)))</f>
        <v/>
      </c>
      <c r="AH355" s="173" t="str">
        <f>IF(AH$3="","",IF(COUNTIFS(BD!$A$3:$A$5001,AH$3,BD!$B$3:$B$5001,$A$353,BD!$E$3:$E$5001,"&lt;&gt;")=0,"",SUMIFS(BD!$E$3:$E$5001,BD!$A$3:$A$5001,AH$3,BD!$B$3:$B$5001,$A$353)))</f>
        <v/>
      </c>
      <c r="AI355" s="173" t="str">
        <f>IF(AI$3="","",IF(COUNTIFS(BD!$A$3:$A$5001,AI$3,BD!$B$3:$B$5001,$A$353,BD!$E$3:$E$5001,"&lt;&gt;")=0,"",SUMIFS(BD!$E$3:$E$5001,BD!$A$3:$A$5001,AI$3,BD!$B$3:$B$5001,$A$353)))</f>
        <v/>
      </c>
      <c r="AJ355" s="174" t="str">
        <f>IF(AJ$3="","",IF(COUNTIFS(BD!$A$3:$A$5001,AJ$3,BD!$B$3:$B$5001,$A$353,BD!$E$3:$E$5001,"&lt;&gt;")=0,"",SUMIFS(BD!$E$3:$E$5001,BD!$A$3:$A$5001,AJ$3,BD!$B$3:$B$5001,$A$353)))</f>
        <v/>
      </c>
      <c r="AK355" s="175" t="str">
        <f>IF(COUNT(F355:AJ355)=0,"",SUM(F355:AJ355))</f>
        <v/>
      </c>
    </row>
    <row r="356" ht="15.75" customHeight="1" hidden="1">
      <c r="A356" s="254"/>
      <c r="B356" s="244" t="inlineStr">
        <is>
          <t xml:space="preserve">OUT</t>
        </is>
      </c>
      <c r="C356" s="176" t="inlineStr">
        <is>
          <t xml:space="preserve">Veículos Expedidos</t>
        </is>
      </c>
      <c r="D356" s="177" t="str">
        <f>IFERROR(1/(1/INDEX(BD!$Y$26:$AS$26,MATCH($A$353,BD!$Y$22:$AS$22,0))),"")</f>
        <v/>
      </c>
      <c r="E356" s="178"/>
      <c r="F356" s="179" t="str">
        <f>IF(F$3="","",IF(COUNTIFS(BD!$A$3:$A$5001,F$3,BD!$B$3:$B$5001,$A$353,BD!$F$3:$F$5001,"&lt;&gt;")=0,"",SUMIFS(BD!$F$3:$F$5001,BD!$A$3:$A$5001,F$3,BD!$B$3:$B$5001,$A$353)))</f>
        <v/>
      </c>
      <c r="G356" s="180" t="str">
        <f>IF(G$3="","",IF(COUNTIFS(BD!$A$3:$A$5001,G$3,BD!$B$3:$B$5001,$A$353,BD!$F$3:$F$5001,"&lt;&gt;")=0,"",SUMIFS(BD!$F$3:$F$5001,BD!$A$3:$A$5001,G$3,BD!$B$3:$B$5001,$A$353)))</f>
        <v/>
      </c>
      <c r="H356" s="180" t="str">
        <f>IF(H$3="","",IF(COUNTIFS(BD!$A$3:$A$5001,H$3,BD!$B$3:$B$5001,$A$353,BD!$F$3:$F$5001,"&lt;&gt;")=0,"",SUMIFS(BD!$F$3:$F$5001,BD!$A$3:$A$5001,H$3,BD!$B$3:$B$5001,$A$353)))</f>
        <v/>
      </c>
      <c r="I356" s="180" t="str">
        <f>IF(I$3="","",IF(COUNTIFS(BD!$A$3:$A$5001,I$3,BD!$B$3:$B$5001,$A$353,BD!$F$3:$F$5001,"&lt;&gt;")=0,"",SUMIFS(BD!$F$3:$F$5001,BD!$A$3:$A$5001,I$3,BD!$B$3:$B$5001,$A$353)))</f>
        <v/>
      </c>
      <c r="J356" s="180" t="str">
        <f>IF(J$3="","",IF(COUNTIFS(BD!$A$3:$A$5001,J$3,BD!$B$3:$B$5001,$A$353,BD!$F$3:$F$5001,"&lt;&gt;")=0,"",SUMIFS(BD!$F$3:$F$5001,BD!$A$3:$A$5001,J$3,BD!$B$3:$B$5001,$A$353)))</f>
        <v/>
      </c>
      <c r="K356" s="180" t="str">
        <f>IF(K$3="","",IF(COUNTIFS(BD!$A$3:$A$5001,K$3,BD!$B$3:$B$5001,$A$353,BD!$F$3:$F$5001,"&lt;&gt;")=0,"",SUMIFS(BD!$F$3:$F$5001,BD!$A$3:$A$5001,K$3,BD!$B$3:$B$5001,$A$353)))</f>
        <v/>
      </c>
      <c r="L356" s="180" t="str">
        <f>IF(L$3="","",IF(COUNTIFS(BD!$A$3:$A$5001,L$3,BD!$B$3:$B$5001,$A$353,BD!$F$3:$F$5001,"&lt;&gt;")=0,"",SUMIFS(BD!$F$3:$F$5001,BD!$A$3:$A$5001,L$3,BD!$B$3:$B$5001,$A$353)))</f>
        <v/>
      </c>
      <c r="M356" s="180" t="str">
        <f>IF(M$3="","",IF(COUNTIFS(BD!$A$3:$A$5001,M$3,BD!$B$3:$B$5001,$A$353,BD!$F$3:$F$5001,"&lt;&gt;")=0,"",SUMIFS(BD!$F$3:$F$5001,BD!$A$3:$A$5001,M$3,BD!$B$3:$B$5001,$A$353)))</f>
        <v/>
      </c>
      <c r="N356" s="180" t="str">
        <f>IF(N$3="","",IF(COUNTIFS(BD!$A$3:$A$5001,N$3,BD!$B$3:$B$5001,$A$353,BD!$F$3:$F$5001,"&lt;&gt;")=0,"",SUMIFS(BD!$F$3:$F$5001,BD!$A$3:$A$5001,N$3,BD!$B$3:$B$5001,$A$353)))</f>
        <v/>
      </c>
      <c r="O356" s="180" t="str">
        <f>IF(O$3="","",IF(COUNTIFS(BD!$A$3:$A$5001,O$3,BD!$B$3:$B$5001,$A$353,BD!$F$3:$F$5001,"&lt;&gt;")=0,"",SUMIFS(BD!$F$3:$F$5001,BD!$A$3:$A$5001,O$3,BD!$B$3:$B$5001,$A$353)))</f>
        <v/>
      </c>
      <c r="P356" s="180" t="str">
        <f>IF(P$3="","",IF(COUNTIFS(BD!$A$3:$A$5001,P$3,BD!$B$3:$B$5001,$A$353,BD!$F$3:$F$5001,"&lt;&gt;")=0,"",SUMIFS(BD!$F$3:$F$5001,BD!$A$3:$A$5001,P$3,BD!$B$3:$B$5001,$A$353)))</f>
        <v/>
      </c>
      <c r="Q356" s="180" t="str">
        <f>IF(Q$3="","",IF(COUNTIFS(BD!$A$3:$A$5001,Q$3,BD!$B$3:$B$5001,$A$353,BD!$F$3:$F$5001,"&lt;&gt;")=0,"",SUMIFS(BD!$F$3:$F$5001,BD!$A$3:$A$5001,Q$3,BD!$B$3:$B$5001,$A$353)))</f>
        <v/>
      </c>
      <c r="R356" s="180" t="str">
        <f>IF(R$3="","",IF(COUNTIFS(BD!$A$3:$A$5001,R$3,BD!$B$3:$B$5001,$A$353,BD!$F$3:$F$5001,"&lt;&gt;")=0,"",SUMIFS(BD!$F$3:$F$5001,BD!$A$3:$A$5001,R$3,BD!$B$3:$B$5001,$A$353)))</f>
        <v/>
      </c>
      <c r="S356" s="180" t="str">
        <f>IF(S$3="","",IF(COUNTIFS(BD!$A$3:$A$5001,S$3,BD!$B$3:$B$5001,$A$353,BD!$F$3:$F$5001,"&lt;&gt;")=0,"",SUMIFS(BD!$F$3:$F$5001,BD!$A$3:$A$5001,S$3,BD!$B$3:$B$5001,$A$353)))</f>
        <v/>
      </c>
      <c r="T356" s="180" t="str">
        <f>IF(T$3="","",IF(COUNTIFS(BD!$A$3:$A$5001,T$3,BD!$B$3:$B$5001,$A$353,BD!$F$3:$F$5001,"&lt;&gt;")=0,"",SUMIFS(BD!$F$3:$F$5001,BD!$A$3:$A$5001,T$3,BD!$B$3:$B$5001,$A$353)))</f>
        <v/>
      </c>
      <c r="U356" s="180" t="str">
        <f>IF(U$3="","",IF(COUNTIFS(BD!$A$3:$A$5001,U$3,BD!$B$3:$B$5001,$A$353,BD!$F$3:$F$5001,"&lt;&gt;")=0,"",SUMIFS(BD!$F$3:$F$5001,BD!$A$3:$A$5001,U$3,BD!$B$3:$B$5001,$A$353)))</f>
        <v/>
      </c>
      <c r="V356" s="180" t="str">
        <f>IF(V$3="","",IF(COUNTIFS(BD!$A$3:$A$5001,V$3,BD!$B$3:$B$5001,$A$353,BD!$F$3:$F$5001,"&lt;&gt;")=0,"",SUMIFS(BD!$F$3:$F$5001,BD!$A$3:$A$5001,V$3,BD!$B$3:$B$5001,$A$353)))</f>
        <v/>
      </c>
      <c r="W356" s="180" t="str">
        <f>IF(W$3="","",IF(COUNTIFS(BD!$A$3:$A$5001,W$3,BD!$B$3:$B$5001,$A$353,BD!$F$3:$F$5001,"&lt;&gt;")=0,"",SUMIFS(BD!$F$3:$F$5001,BD!$A$3:$A$5001,W$3,BD!$B$3:$B$5001,$A$353)))</f>
        <v/>
      </c>
      <c r="X356" s="180" t="str">
        <f>IF(X$3="","",IF(COUNTIFS(BD!$A$3:$A$5001,X$3,BD!$B$3:$B$5001,$A$353,BD!$F$3:$F$5001,"&lt;&gt;")=0,"",SUMIFS(BD!$F$3:$F$5001,BD!$A$3:$A$5001,X$3,BD!$B$3:$B$5001,$A$353)))</f>
        <v/>
      </c>
      <c r="Y356" s="180" t="str">
        <f>IF(Y$3="","",IF(COUNTIFS(BD!$A$3:$A$5001,Y$3,BD!$B$3:$B$5001,$A$353,BD!$F$3:$F$5001,"&lt;&gt;")=0,"",SUMIFS(BD!$F$3:$F$5001,BD!$A$3:$A$5001,Y$3,BD!$B$3:$B$5001,$A$353)))</f>
        <v/>
      </c>
      <c r="Z356" s="180" t="str">
        <f>IF(Z$3="","",IF(COUNTIFS(BD!$A$3:$A$5001,Z$3,BD!$B$3:$B$5001,$A$353,BD!$F$3:$F$5001,"&lt;&gt;")=0,"",SUMIFS(BD!$F$3:$F$5001,BD!$A$3:$A$5001,Z$3,BD!$B$3:$B$5001,$A$353)))</f>
        <v/>
      </c>
      <c r="AA356" s="180" t="str">
        <f>IF(AA$3="","",IF(COUNTIFS(BD!$A$3:$A$5001,AA$3,BD!$B$3:$B$5001,$A$353,BD!$F$3:$F$5001,"&lt;&gt;")=0,"",SUMIFS(BD!$F$3:$F$5001,BD!$A$3:$A$5001,AA$3,BD!$B$3:$B$5001,$A$353)))</f>
        <v/>
      </c>
      <c r="AB356" s="180" t="str">
        <f>IF(AB$3="","",IF(COUNTIFS(BD!$A$3:$A$5001,AB$3,BD!$B$3:$B$5001,$A$353,BD!$F$3:$F$5001,"&lt;&gt;")=0,"",SUMIFS(BD!$F$3:$F$5001,BD!$A$3:$A$5001,AB$3,BD!$B$3:$B$5001,$A$353)))</f>
        <v/>
      </c>
      <c r="AC356" s="180" t="str">
        <f>IF(AC$3="","",IF(COUNTIFS(BD!$A$3:$A$5001,AC$3,BD!$B$3:$B$5001,$A$353,BD!$F$3:$F$5001,"&lt;&gt;")=0,"",SUMIFS(BD!$F$3:$F$5001,BD!$A$3:$A$5001,AC$3,BD!$B$3:$B$5001,$A$353)))</f>
        <v/>
      </c>
      <c r="AD356" s="180" t="str">
        <f>IF(AD$3="","",IF(COUNTIFS(BD!$A$3:$A$5001,AD$3,BD!$B$3:$B$5001,$A$353,BD!$F$3:$F$5001,"&lt;&gt;")=0,"",SUMIFS(BD!$F$3:$F$5001,BD!$A$3:$A$5001,AD$3,BD!$B$3:$B$5001,$A$353)))</f>
        <v/>
      </c>
      <c r="AE356" s="180" t="str">
        <f>IF(AE$3="","",IF(COUNTIFS(BD!$A$3:$A$5001,AE$3,BD!$B$3:$B$5001,$A$353,BD!$F$3:$F$5001,"&lt;&gt;")=0,"",SUMIFS(BD!$F$3:$F$5001,BD!$A$3:$A$5001,AE$3,BD!$B$3:$B$5001,$A$353)))</f>
        <v/>
      </c>
      <c r="AF356" s="180" t="str">
        <f>IF(AF$3="","",IF(COUNTIFS(BD!$A$3:$A$5001,AF$3,BD!$B$3:$B$5001,$A$353,BD!$F$3:$F$5001,"&lt;&gt;")=0,"",SUMIFS(BD!$F$3:$F$5001,BD!$A$3:$A$5001,AF$3,BD!$B$3:$B$5001,$A$353)))</f>
        <v/>
      </c>
      <c r="AG356" s="180" t="str">
        <f>IF(AG$3="","",IF(COUNTIFS(BD!$A$3:$A$5001,AG$3,BD!$B$3:$B$5001,$A$353,BD!$F$3:$F$5001,"&lt;&gt;")=0,"",SUMIFS(BD!$F$3:$F$5001,BD!$A$3:$A$5001,AG$3,BD!$B$3:$B$5001,$A$353)))</f>
        <v/>
      </c>
      <c r="AH356" s="180" t="str">
        <f>IF(AH$3="","",IF(COUNTIFS(BD!$A$3:$A$5001,AH$3,BD!$B$3:$B$5001,$A$353,BD!$F$3:$F$5001,"&lt;&gt;")=0,"",SUMIFS(BD!$F$3:$F$5001,BD!$A$3:$A$5001,AH$3,BD!$B$3:$B$5001,$A$353)))</f>
        <v/>
      </c>
      <c r="AI356" s="180" t="str">
        <f>IF(AI$3="","",IF(COUNTIFS(BD!$A$3:$A$5001,AI$3,BD!$B$3:$B$5001,$A$353,BD!$F$3:$F$5001,"&lt;&gt;")=0,"",SUMIFS(BD!$F$3:$F$5001,BD!$A$3:$A$5001,AI$3,BD!$B$3:$B$5001,$A$353)))</f>
        <v/>
      </c>
      <c r="AJ356" s="181" t="str">
        <f>IF(AJ$3="","",IF(COUNTIFS(BD!$A$3:$A$5001,AJ$3,BD!$B$3:$B$5001,$A$353,BD!$F$3:$F$5001,"&lt;&gt;")=0,"",SUMIFS(BD!$F$3:$F$5001,BD!$A$3:$A$5001,AJ$3,BD!$B$3:$B$5001,$A$353)))</f>
        <v/>
      </c>
      <c r="AK356" s="182" t="str">
        <f>IF(COUNT(F356:AJ356)=0,"",SUM(F356:AJ356))</f>
        <v/>
      </c>
    </row>
    <row r="357" ht="15.75" customHeight="1" hidden="1">
      <c r="A357" s="254"/>
      <c r="B357" s="245"/>
      <c r="C357" s="183" t="inlineStr">
        <is>
          <t xml:space="preserve">Pallets Movimentados</t>
        </is>
      </c>
      <c r="D357" s="184" t="str">
        <f>IFERROR(1/(1/INDEX(BD!$Y$27:$AS$27,MATCH($A$353,BD!$Y$22:$AS$22,0))),"")</f>
        <v/>
      </c>
      <c r="E357" s="185"/>
      <c r="F357" s="186" t="str">
        <f>IF(F$3="","",IF(COUNTIFS(BD!$A$3:$A$5001,F$3,BD!$B$3:$B$5001,$A$353,BD!$G$3:$G$5001,"&lt;&gt;")=0,"",SUMIFS(BD!$G$3:$G$5001,BD!$A$3:$A$5001,F$3,BD!$B$3:$B$5001,$A$353)))</f>
        <v/>
      </c>
      <c r="G357" s="187" t="str">
        <f>IF(G$3="","",IF(COUNTIFS(BD!$A$3:$A$5001,G$3,BD!$B$3:$B$5001,$A$353,BD!$G$3:$G$5001,"&lt;&gt;")=0,"",SUMIFS(BD!$G$3:$G$5001,BD!$A$3:$A$5001,G$3,BD!$B$3:$B$5001,$A$353)))</f>
        <v/>
      </c>
      <c r="H357" s="187" t="str">
        <f>IF(H$3="","",IF(COUNTIFS(BD!$A$3:$A$5001,H$3,BD!$B$3:$B$5001,$A$353,BD!$G$3:$G$5001,"&lt;&gt;")=0,"",SUMIFS(BD!$G$3:$G$5001,BD!$A$3:$A$5001,H$3,BD!$B$3:$B$5001,$A$353)))</f>
        <v/>
      </c>
      <c r="I357" s="187" t="str">
        <f>IF(I$3="","",IF(COUNTIFS(BD!$A$3:$A$5001,I$3,BD!$B$3:$B$5001,$A$353,BD!$G$3:$G$5001,"&lt;&gt;")=0,"",SUMIFS(BD!$G$3:$G$5001,BD!$A$3:$A$5001,I$3,BD!$B$3:$B$5001,$A$353)))</f>
        <v/>
      </c>
      <c r="J357" s="187" t="str">
        <f>IF(J$3="","",IF(COUNTIFS(BD!$A$3:$A$5001,J$3,BD!$B$3:$B$5001,$A$353,BD!$G$3:$G$5001,"&lt;&gt;")=0,"",SUMIFS(BD!$G$3:$G$5001,BD!$A$3:$A$5001,J$3,BD!$B$3:$B$5001,$A$353)))</f>
        <v/>
      </c>
      <c r="K357" s="187" t="str">
        <f>IF(K$3="","",IF(COUNTIFS(BD!$A$3:$A$5001,K$3,BD!$B$3:$B$5001,$A$353,BD!$G$3:$G$5001,"&lt;&gt;")=0,"",SUMIFS(BD!$G$3:$G$5001,BD!$A$3:$A$5001,K$3,BD!$B$3:$B$5001,$A$353)))</f>
        <v/>
      </c>
      <c r="L357" s="187" t="str">
        <f>IF(L$3="","",IF(COUNTIFS(BD!$A$3:$A$5001,L$3,BD!$B$3:$B$5001,$A$353,BD!$G$3:$G$5001,"&lt;&gt;")=0,"",SUMIFS(BD!$G$3:$G$5001,BD!$A$3:$A$5001,L$3,BD!$B$3:$B$5001,$A$353)))</f>
        <v/>
      </c>
      <c r="M357" s="187" t="str">
        <f>IF(M$3="","",IF(COUNTIFS(BD!$A$3:$A$5001,M$3,BD!$B$3:$B$5001,$A$353,BD!$G$3:$G$5001,"&lt;&gt;")=0,"",SUMIFS(BD!$G$3:$G$5001,BD!$A$3:$A$5001,M$3,BD!$B$3:$B$5001,$A$353)))</f>
        <v/>
      </c>
      <c r="N357" s="187" t="str">
        <f>IF(N$3="","",IF(COUNTIFS(BD!$A$3:$A$5001,N$3,BD!$B$3:$B$5001,$A$353,BD!$G$3:$G$5001,"&lt;&gt;")=0,"",SUMIFS(BD!$G$3:$G$5001,BD!$A$3:$A$5001,N$3,BD!$B$3:$B$5001,$A$353)))</f>
        <v/>
      </c>
      <c r="O357" s="187" t="str">
        <f>IF(O$3="","",IF(COUNTIFS(BD!$A$3:$A$5001,O$3,BD!$B$3:$B$5001,$A$353,BD!$G$3:$G$5001,"&lt;&gt;")=0,"",SUMIFS(BD!$G$3:$G$5001,BD!$A$3:$A$5001,O$3,BD!$B$3:$B$5001,$A$353)))</f>
        <v/>
      </c>
      <c r="P357" s="187" t="str">
        <f>IF(P$3="","",IF(COUNTIFS(BD!$A$3:$A$5001,P$3,BD!$B$3:$B$5001,$A$353,BD!$G$3:$G$5001,"&lt;&gt;")=0,"",SUMIFS(BD!$G$3:$G$5001,BD!$A$3:$A$5001,P$3,BD!$B$3:$B$5001,$A$353)))</f>
        <v/>
      </c>
      <c r="Q357" s="187" t="str">
        <f>IF(Q$3="","",IF(COUNTIFS(BD!$A$3:$A$5001,Q$3,BD!$B$3:$B$5001,$A$353,BD!$G$3:$G$5001,"&lt;&gt;")=0,"",SUMIFS(BD!$G$3:$G$5001,BD!$A$3:$A$5001,Q$3,BD!$B$3:$B$5001,$A$353)))</f>
        <v/>
      </c>
      <c r="R357" s="187" t="str">
        <f>IF(R$3="","",IF(COUNTIFS(BD!$A$3:$A$5001,R$3,BD!$B$3:$B$5001,$A$353,BD!$G$3:$G$5001,"&lt;&gt;")=0,"",SUMIFS(BD!$G$3:$G$5001,BD!$A$3:$A$5001,R$3,BD!$B$3:$B$5001,$A$353)))</f>
        <v/>
      </c>
      <c r="S357" s="187" t="str">
        <f>IF(S$3="","",IF(COUNTIFS(BD!$A$3:$A$5001,S$3,BD!$B$3:$B$5001,$A$353,BD!$G$3:$G$5001,"&lt;&gt;")=0,"",SUMIFS(BD!$G$3:$G$5001,BD!$A$3:$A$5001,S$3,BD!$B$3:$B$5001,$A$353)))</f>
        <v/>
      </c>
      <c r="T357" s="187" t="str">
        <f>IF(T$3="","",IF(COUNTIFS(BD!$A$3:$A$5001,T$3,BD!$B$3:$B$5001,$A$353,BD!$G$3:$G$5001,"&lt;&gt;")=0,"",SUMIFS(BD!$G$3:$G$5001,BD!$A$3:$A$5001,T$3,BD!$B$3:$B$5001,$A$353)))</f>
        <v/>
      </c>
      <c r="U357" s="187" t="str">
        <f>IF(U$3="","",IF(COUNTIFS(BD!$A$3:$A$5001,U$3,BD!$B$3:$B$5001,$A$353,BD!$G$3:$G$5001,"&lt;&gt;")=0,"",SUMIFS(BD!$G$3:$G$5001,BD!$A$3:$A$5001,U$3,BD!$B$3:$B$5001,$A$353)))</f>
        <v/>
      </c>
      <c r="V357" s="187" t="str">
        <f>IF(V$3="","",IF(COUNTIFS(BD!$A$3:$A$5001,V$3,BD!$B$3:$B$5001,$A$353,BD!$G$3:$G$5001,"&lt;&gt;")=0,"",SUMIFS(BD!$G$3:$G$5001,BD!$A$3:$A$5001,V$3,BD!$B$3:$B$5001,$A$353)))</f>
        <v/>
      </c>
      <c r="W357" s="187" t="str">
        <f>IF(W$3="","",IF(COUNTIFS(BD!$A$3:$A$5001,W$3,BD!$B$3:$B$5001,$A$353,BD!$G$3:$G$5001,"&lt;&gt;")=0,"",SUMIFS(BD!$G$3:$G$5001,BD!$A$3:$A$5001,W$3,BD!$B$3:$B$5001,$A$353)))</f>
        <v/>
      </c>
      <c r="X357" s="187" t="str">
        <f>IF(X$3="","",IF(COUNTIFS(BD!$A$3:$A$5001,X$3,BD!$B$3:$B$5001,$A$353,BD!$G$3:$G$5001,"&lt;&gt;")=0,"",SUMIFS(BD!$G$3:$G$5001,BD!$A$3:$A$5001,X$3,BD!$B$3:$B$5001,$A$353)))</f>
        <v/>
      </c>
      <c r="Y357" s="187" t="str">
        <f>IF(Y$3="","",IF(COUNTIFS(BD!$A$3:$A$5001,Y$3,BD!$B$3:$B$5001,$A$353,BD!$G$3:$G$5001,"&lt;&gt;")=0,"",SUMIFS(BD!$G$3:$G$5001,BD!$A$3:$A$5001,Y$3,BD!$B$3:$B$5001,$A$353)))</f>
        <v/>
      </c>
      <c r="Z357" s="187" t="str">
        <f>IF(Z$3="","",IF(COUNTIFS(BD!$A$3:$A$5001,Z$3,BD!$B$3:$B$5001,$A$353,BD!$G$3:$G$5001,"&lt;&gt;")=0,"",SUMIFS(BD!$G$3:$G$5001,BD!$A$3:$A$5001,Z$3,BD!$B$3:$B$5001,$A$353)))</f>
        <v/>
      </c>
      <c r="AA357" s="187" t="str">
        <f>IF(AA$3="","",IF(COUNTIFS(BD!$A$3:$A$5001,AA$3,BD!$B$3:$B$5001,$A$353,BD!$G$3:$G$5001,"&lt;&gt;")=0,"",SUMIFS(BD!$G$3:$G$5001,BD!$A$3:$A$5001,AA$3,BD!$B$3:$B$5001,$A$353)))</f>
        <v/>
      </c>
      <c r="AB357" s="187" t="str">
        <f>IF(AB$3="","",IF(COUNTIFS(BD!$A$3:$A$5001,AB$3,BD!$B$3:$B$5001,$A$353,BD!$G$3:$G$5001,"&lt;&gt;")=0,"",SUMIFS(BD!$G$3:$G$5001,BD!$A$3:$A$5001,AB$3,BD!$B$3:$B$5001,$A$353)))</f>
        <v/>
      </c>
      <c r="AC357" s="187" t="str">
        <f>IF(AC$3="","",IF(COUNTIFS(BD!$A$3:$A$5001,AC$3,BD!$B$3:$B$5001,$A$353,BD!$G$3:$G$5001,"&lt;&gt;")=0,"",SUMIFS(BD!$G$3:$G$5001,BD!$A$3:$A$5001,AC$3,BD!$B$3:$B$5001,$A$353)))</f>
        <v/>
      </c>
      <c r="AD357" s="187" t="str">
        <f>IF(AD$3="","",IF(COUNTIFS(BD!$A$3:$A$5001,AD$3,BD!$B$3:$B$5001,$A$353,BD!$G$3:$G$5001,"&lt;&gt;")=0,"",SUMIFS(BD!$G$3:$G$5001,BD!$A$3:$A$5001,AD$3,BD!$B$3:$B$5001,$A$353)))</f>
        <v/>
      </c>
      <c r="AE357" s="187" t="str">
        <f>IF(AE$3="","",IF(COUNTIFS(BD!$A$3:$A$5001,AE$3,BD!$B$3:$B$5001,$A$353,BD!$G$3:$G$5001,"&lt;&gt;")=0,"",SUMIFS(BD!$G$3:$G$5001,BD!$A$3:$A$5001,AE$3,BD!$B$3:$B$5001,$A$353)))</f>
        <v/>
      </c>
      <c r="AF357" s="187" t="str">
        <f>IF(AF$3="","",IF(COUNTIFS(BD!$A$3:$A$5001,AF$3,BD!$B$3:$B$5001,$A$353,BD!$G$3:$G$5001,"&lt;&gt;")=0,"",SUMIFS(BD!$G$3:$G$5001,BD!$A$3:$A$5001,AF$3,BD!$B$3:$B$5001,$A$353)))</f>
        <v/>
      </c>
      <c r="AG357" s="187" t="str">
        <f>IF(AG$3="","",IF(COUNTIFS(BD!$A$3:$A$5001,AG$3,BD!$B$3:$B$5001,$A$353,BD!$G$3:$G$5001,"&lt;&gt;")=0,"",SUMIFS(BD!$G$3:$G$5001,BD!$A$3:$A$5001,AG$3,BD!$B$3:$B$5001,$A$353)))</f>
        <v/>
      </c>
      <c r="AH357" s="187" t="str">
        <f>IF(AH$3="","",IF(COUNTIFS(BD!$A$3:$A$5001,AH$3,BD!$B$3:$B$5001,$A$353,BD!$G$3:$G$5001,"&lt;&gt;")=0,"",SUMIFS(BD!$G$3:$G$5001,BD!$A$3:$A$5001,AH$3,BD!$B$3:$B$5001,$A$353)))</f>
        <v/>
      </c>
      <c r="AI357" s="187" t="str">
        <f>IF(AI$3="","",IF(COUNTIFS(BD!$A$3:$A$5001,AI$3,BD!$B$3:$B$5001,$A$353,BD!$G$3:$G$5001,"&lt;&gt;")=0,"",SUMIFS(BD!$G$3:$G$5001,BD!$A$3:$A$5001,AI$3,BD!$B$3:$B$5001,$A$353)))</f>
        <v/>
      </c>
      <c r="AJ357" s="188" t="str">
        <f>IF(AJ$3="","",IF(COUNTIFS(BD!$A$3:$A$5001,AJ$3,BD!$B$3:$B$5001,$A$353,BD!$G$3:$G$5001,"&lt;&gt;")=0,"",SUMIFS(BD!$G$3:$G$5001,BD!$A$3:$A$5001,AJ$3,BD!$B$3:$B$5001,$A$353)))</f>
        <v/>
      </c>
      <c r="AK357" s="189" t="str">
        <f>IF(COUNT(F357:AJ357)=0,"",SUM(F357:AJ357))</f>
        <v/>
      </c>
    </row>
    <row r="358" ht="15.75" customHeight="1" hidden="1">
      <c r="A358" s="254"/>
      <c r="B358" s="246"/>
      <c r="C358" s="190" t="inlineStr">
        <is>
          <t xml:space="preserve">Toneladas Movimentadas</t>
        </is>
      </c>
      <c r="D358" s="191" t="str">
        <f>IFERROR(1/(1/INDEX(BD!$Y$28:$AS$28,MATCH($A$353,BD!$Y$22:$AS$22,0))),"")</f>
        <v/>
      </c>
      <c r="E358" s="192"/>
      <c r="F358" s="193" t="str">
        <f>IF(F$3="","",IF(COUNTIFS(BD!$A$3:$A$5001,F$3,BD!$B$3:$B$5001,$A$353,BD!$H$3:$H$5001,"&lt;&gt;")=0,"",SUMIFS(BD!$H$3:$H$5001,BD!$A$3:$A$5001,F$3,BD!$B$3:$B$5001,$A$353)))</f>
        <v/>
      </c>
      <c r="G358" s="194" t="str">
        <f>IF(G$3="","",IF(COUNTIFS(BD!$A$3:$A$5001,G$3,BD!$B$3:$B$5001,$A$353,BD!$H$3:$H$5001,"&lt;&gt;")=0,"",SUMIFS(BD!$H$3:$H$5001,BD!$A$3:$A$5001,G$3,BD!$B$3:$B$5001,$A$353)))</f>
        <v/>
      </c>
      <c r="H358" s="194" t="str">
        <f>IF(H$3="","",IF(COUNTIFS(BD!$A$3:$A$5001,H$3,BD!$B$3:$B$5001,$A$353,BD!$H$3:$H$5001,"&lt;&gt;")=0,"",SUMIFS(BD!$H$3:$H$5001,BD!$A$3:$A$5001,H$3,BD!$B$3:$B$5001,$A$353)))</f>
        <v/>
      </c>
      <c r="I358" s="194" t="str">
        <f>IF(I$3="","",IF(COUNTIFS(BD!$A$3:$A$5001,I$3,BD!$B$3:$B$5001,$A$353,BD!$H$3:$H$5001,"&lt;&gt;")=0,"",SUMIFS(BD!$H$3:$H$5001,BD!$A$3:$A$5001,I$3,BD!$B$3:$B$5001,$A$353)))</f>
        <v/>
      </c>
      <c r="J358" s="194" t="str">
        <f>IF(J$3="","",IF(COUNTIFS(BD!$A$3:$A$5001,J$3,BD!$B$3:$B$5001,$A$353,BD!$H$3:$H$5001,"&lt;&gt;")=0,"",SUMIFS(BD!$H$3:$H$5001,BD!$A$3:$A$5001,J$3,BD!$B$3:$B$5001,$A$353)))</f>
        <v/>
      </c>
      <c r="K358" s="194" t="str">
        <f>IF(K$3="","",IF(COUNTIFS(BD!$A$3:$A$5001,K$3,BD!$B$3:$B$5001,$A$353,BD!$H$3:$H$5001,"&lt;&gt;")=0,"",SUMIFS(BD!$H$3:$H$5001,BD!$A$3:$A$5001,K$3,BD!$B$3:$B$5001,$A$353)))</f>
        <v/>
      </c>
      <c r="L358" s="194" t="str">
        <f>IF(L$3="","",IF(COUNTIFS(BD!$A$3:$A$5001,L$3,BD!$B$3:$B$5001,$A$353,BD!$H$3:$H$5001,"&lt;&gt;")=0,"",SUMIFS(BD!$H$3:$H$5001,BD!$A$3:$A$5001,L$3,BD!$B$3:$B$5001,$A$353)))</f>
        <v/>
      </c>
      <c r="M358" s="194" t="str">
        <f>IF(M$3="","",IF(COUNTIFS(BD!$A$3:$A$5001,M$3,BD!$B$3:$B$5001,$A$353,BD!$H$3:$H$5001,"&lt;&gt;")=0,"",SUMIFS(BD!$H$3:$H$5001,BD!$A$3:$A$5001,M$3,BD!$B$3:$B$5001,$A$353)))</f>
        <v/>
      </c>
      <c r="N358" s="194" t="str">
        <f>IF(N$3="","",IF(COUNTIFS(BD!$A$3:$A$5001,N$3,BD!$B$3:$B$5001,$A$353,BD!$H$3:$H$5001,"&lt;&gt;")=0,"",SUMIFS(BD!$H$3:$H$5001,BD!$A$3:$A$5001,N$3,BD!$B$3:$B$5001,$A$353)))</f>
        <v/>
      </c>
      <c r="O358" s="194" t="str">
        <f>IF(O$3="","",IF(COUNTIFS(BD!$A$3:$A$5001,O$3,BD!$B$3:$B$5001,$A$353,BD!$H$3:$H$5001,"&lt;&gt;")=0,"",SUMIFS(BD!$H$3:$H$5001,BD!$A$3:$A$5001,O$3,BD!$B$3:$B$5001,$A$353)))</f>
        <v/>
      </c>
      <c r="P358" s="194" t="str">
        <f>IF(P$3="","",IF(COUNTIFS(BD!$A$3:$A$5001,P$3,BD!$B$3:$B$5001,$A$353,BD!$H$3:$H$5001,"&lt;&gt;")=0,"",SUMIFS(BD!$H$3:$H$5001,BD!$A$3:$A$5001,P$3,BD!$B$3:$B$5001,$A$353)))</f>
        <v/>
      </c>
      <c r="Q358" s="194" t="str">
        <f>IF(Q$3="","",IF(COUNTIFS(BD!$A$3:$A$5001,Q$3,BD!$B$3:$B$5001,$A$353,BD!$H$3:$H$5001,"&lt;&gt;")=0,"",SUMIFS(BD!$H$3:$H$5001,BD!$A$3:$A$5001,Q$3,BD!$B$3:$B$5001,$A$353)))</f>
        <v/>
      </c>
      <c r="R358" s="194" t="str">
        <f>IF(R$3="","",IF(COUNTIFS(BD!$A$3:$A$5001,R$3,BD!$B$3:$B$5001,$A$353,BD!$H$3:$H$5001,"&lt;&gt;")=0,"",SUMIFS(BD!$H$3:$H$5001,BD!$A$3:$A$5001,R$3,BD!$B$3:$B$5001,$A$353)))</f>
        <v/>
      </c>
      <c r="S358" s="194" t="str">
        <f>IF(S$3="","",IF(COUNTIFS(BD!$A$3:$A$5001,S$3,BD!$B$3:$B$5001,$A$353,BD!$H$3:$H$5001,"&lt;&gt;")=0,"",SUMIFS(BD!$H$3:$H$5001,BD!$A$3:$A$5001,S$3,BD!$B$3:$B$5001,$A$353)))</f>
        <v/>
      </c>
      <c r="T358" s="194" t="str">
        <f>IF(T$3="","",IF(COUNTIFS(BD!$A$3:$A$5001,T$3,BD!$B$3:$B$5001,$A$353,BD!$H$3:$H$5001,"&lt;&gt;")=0,"",SUMIFS(BD!$H$3:$H$5001,BD!$A$3:$A$5001,T$3,BD!$B$3:$B$5001,$A$353)))</f>
        <v/>
      </c>
      <c r="U358" s="194" t="str">
        <f>IF(U$3="","",IF(COUNTIFS(BD!$A$3:$A$5001,U$3,BD!$B$3:$B$5001,$A$353,BD!$H$3:$H$5001,"&lt;&gt;")=0,"",SUMIFS(BD!$H$3:$H$5001,BD!$A$3:$A$5001,U$3,BD!$B$3:$B$5001,$A$353)))</f>
        <v/>
      </c>
      <c r="V358" s="194" t="str">
        <f>IF(V$3="","",IF(COUNTIFS(BD!$A$3:$A$5001,V$3,BD!$B$3:$B$5001,$A$353,BD!$H$3:$H$5001,"&lt;&gt;")=0,"",SUMIFS(BD!$H$3:$H$5001,BD!$A$3:$A$5001,V$3,BD!$B$3:$B$5001,$A$353)))</f>
        <v/>
      </c>
      <c r="W358" s="194" t="str">
        <f>IF(W$3="","",IF(COUNTIFS(BD!$A$3:$A$5001,W$3,BD!$B$3:$B$5001,$A$353,BD!$H$3:$H$5001,"&lt;&gt;")=0,"",SUMIFS(BD!$H$3:$H$5001,BD!$A$3:$A$5001,W$3,BD!$B$3:$B$5001,$A$353)))</f>
        <v/>
      </c>
      <c r="X358" s="194" t="str">
        <f>IF(X$3="","",IF(COUNTIFS(BD!$A$3:$A$5001,X$3,BD!$B$3:$B$5001,$A$353,BD!$H$3:$H$5001,"&lt;&gt;")=0,"",SUMIFS(BD!$H$3:$H$5001,BD!$A$3:$A$5001,X$3,BD!$B$3:$B$5001,$A$353)))</f>
        <v/>
      </c>
      <c r="Y358" s="194" t="str">
        <f>IF(Y$3="","",IF(COUNTIFS(BD!$A$3:$A$5001,Y$3,BD!$B$3:$B$5001,$A$353,BD!$H$3:$H$5001,"&lt;&gt;")=0,"",SUMIFS(BD!$H$3:$H$5001,BD!$A$3:$A$5001,Y$3,BD!$B$3:$B$5001,$A$353)))</f>
        <v/>
      </c>
      <c r="Z358" s="194" t="str">
        <f>IF(Z$3="","",IF(COUNTIFS(BD!$A$3:$A$5001,Z$3,BD!$B$3:$B$5001,$A$353,BD!$H$3:$H$5001,"&lt;&gt;")=0,"",SUMIFS(BD!$H$3:$H$5001,BD!$A$3:$A$5001,Z$3,BD!$B$3:$B$5001,$A$353)))</f>
        <v/>
      </c>
      <c r="AA358" s="194" t="str">
        <f>IF(AA$3="","",IF(COUNTIFS(BD!$A$3:$A$5001,AA$3,BD!$B$3:$B$5001,$A$353,BD!$H$3:$H$5001,"&lt;&gt;")=0,"",SUMIFS(BD!$H$3:$H$5001,BD!$A$3:$A$5001,AA$3,BD!$B$3:$B$5001,$A$353)))</f>
        <v/>
      </c>
      <c r="AB358" s="194" t="str">
        <f>IF(AB$3="","",IF(COUNTIFS(BD!$A$3:$A$5001,AB$3,BD!$B$3:$B$5001,$A$353,BD!$H$3:$H$5001,"&lt;&gt;")=0,"",SUMIFS(BD!$H$3:$H$5001,BD!$A$3:$A$5001,AB$3,BD!$B$3:$B$5001,$A$353)))</f>
        <v/>
      </c>
      <c r="AC358" s="194" t="str">
        <f>IF(AC$3="","",IF(COUNTIFS(BD!$A$3:$A$5001,AC$3,BD!$B$3:$B$5001,$A$353,BD!$H$3:$H$5001,"&lt;&gt;")=0,"",SUMIFS(BD!$H$3:$H$5001,BD!$A$3:$A$5001,AC$3,BD!$B$3:$B$5001,$A$353)))</f>
        <v/>
      </c>
      <c r="AD358" s="194" t="str">
        <f>IF(AD$3="","",IF(COUNTIFS(BD!$A$3:$A$5001,AD$3,BD!$B$3:$B$5001,$A$353,BD!$H$3:$H$5001,"&lt;&gt;")=0,"",SUMIFS(BD!$H$3:$H$5001,BD!$A$3:$A$5001,AD$3,BD!$B$3:$B$5001,$A$353)))</f>
        <v/>
      </c>
      <c r="AE358" s="194" t="str">
        <f>IF(AE$3="","",IF(COUNTIFS(BD!$A$3:$A$5001,AE$3,BD!$B$3:$B$5001,$A$353,BD!$H$3:$H$5001,"&lt;&gt;")=0,"",SUMIFS(BD!$H$3:$H$5001,BD!$A$3:$A$5001,AE$3,BD!$B$3:$B$5001,$A$353)))</f>
        <v/>
      </c>
      <c r="AF358" s="194" t="str">
        <f>IF(AF$3="","",IF(COUNTIFS(BD!$A$3:$A$5001,AF$3,BD!$B$3:$B$5001,$A$353,BD!$H$3:$H$5001,"&lt;&gt;")=0,"",SUMIFS(BD!$H$3:$H$5001,BD!$A$3:$A$5001,AF$3,BD!$B$3:$B$5001,$A$353)))</f>
        <v/>
      </c>
      <c r="AG358" s="194" t="str">
        <f>IF(AG$3="","",IF(COUNTIFS(BD!$A$3:$A$5001,AG$3,BD!$B$3:$B$5001,$A$353,BD!$H$3:$H$5001,"&lt;&gt;")=0,"",SUMIFS(BD!$H$3:$H$5001,BD!$A$3:$A$5001,AG$3,BD!$B$3:$B$5001,$A$353)))</f>
        <v/>
      </c>
      <c r="AH358" s="194" t="str">
        <f>IF(AH$3="","",IF(COUNTIFS(BD!$A$3:$A$5001,AH$3,BD!$B$3:$B$5001,$A$353,BD!$H$3:$H$5001,"&lt;&gt;")=0,"",SUMIFS(BD!$H$3:$H$5001,BD!$A$3:$A$5001,AH$3,BD!$B$3:$B$5001,$A$353)))</f>
        <v/>
      </c>
      <c r="AI358" s="194" t="str">
        <f>IF(AI$3="","",IF(COUNTIFS(BD!$A$3:$A$5001,AI$3,BD!$B$3:$B$5001,$A$353,BD!$H$3:$H$5001,"&lt;&gt;")=0,"",SUMIFS(BD!$H$3:$H$5001,BD!$A$3:$A$5001,AI$3,BD!$B$3:$B$5001,$A$353)))</f>
        <v/>
      </c>
      <c r="AJ358" s="195" t="str">
        <f>IF(AJ$3="","",IF(COUNTIFS(BD!$A$3:$A$5001,AJ$3,BD!$B$3:$B$5001,$A$353,BD!$H$3:$H$5001,"&lt;&gt;")=0,"",SUMIFS(BD!$H$3:$H$5001,BD!$A$3:$A$5001,AJ$3,BD!$B$3:$B$5001,$A$353)))</f>
        <v/>
      </c>
      <c r="AK358" s="196" t="str">
        <f>IF(COUNT(F358:AJ358)=0,"",SUM(F358:AJ358))</f>
        <v/>
      </c>
    </row>
    <row r="359" ht="15.75" customHeight="1" hidden="1">
      <c r="A359" s="254"/>
      <c r="B359" s="247" t="inlineStr">
        <is>
          <t xml:space="preserve">NC</t>
        </is>
      </c>
      <c r="C359" s="197" t="inlineStr">
        <is>
          <t xml:space="preserve">Incidentes</t>
        </is>
      </c>
      <c r="D359" s="198" t="str">
        <f>IFERROR(1/(1/INDEX(BD!$Y$29:$AS$29,MATCH($A$353,BD!$Y$22:$AS$22,0))),"")</f>
        <v/>
      </c>
      <c r="E359" s="199"/>
      <c r="F359" s="200" t="str">
        <f>IF(F$3="","",IF(COUNTIFS(BD!$A$3:$A$5001,F$3,BD!$B$3:$B$5001,$A$353,BD!$I$3:$I$5001,"&lt;&gt;")=0,"",SUMIFS(BD!$I$3:$I$5001,BD!$A$3:$A$5001,F$3,BD!$B$3:$B$5001,$A$353)))</f>
        <v/>
      </c>
      <c r="G359" s="201" t="str">
        <f>IF(G$3="","",IF(COUNTIFS(BD!$A$3:$A$5001,G$3,BD!$B$3:$B$5001,$A$353,BD!$I$3:$I$5001,"&lt;&gt;")=0,"",SUMIFS(BD!$I$3:$I$5001,BD!$A$3:$A$5001,G$3,BD!$B$3:$B$5001,$A$353)))</f>
        <v/>
      </c>
      <c r="H359" s="201" t="str">
        <f>IF(H$3="","",IF(COUNTIFS(BD!$A$3:$A$5001,H$3,BD!$B$3:$B$5001,$A$353,BD!$I$3:$I$5001,"&lt;&gt;")=0,"",SUMIFS(BD!$I$3:$I$5001,BD!$A$3:$A$5001,H$3,BD!$B$3:$B$5001,$A$353)))</f>
        <v/>
      </c>
      <c r="I359" s="201" t="str">
        <f>IF(I$3="","",IF(COUNTIFS(BD!$A$3:$A$5001,I$3,BD!$B$3:$B$5001,$A$353,BD!$I$3:$I$5001,"&lt;&gt;")=0,"",SUMIFS(BD!$I$3:$I$5001,BD!$A$3:$A$5001,I$3,BD!$B$3:$B$5001,$A$353)))</f>
        <v/>
      </c>
      <c r="J359" s="201" t="str">
        <f>IF(J$3="","",IF(COUNTIFS(BD!$A$3:$A$5001,J$3,BD!$B$3:$B$5001,$A$353,BD!$I$3:$I$5001,"&lt;&gt;")=0,"",SUMIFS(BD!$I$3:$I$5001,BD!$A$3:$A$5001,J$3,BD!$B$3:$B$5001,$A$353)))</f>
        <v/>
      </c>
      <c r="K359" s="201" t="str">
        <f>IF(K$3="","",IF(COUNTIFS(BD!$A$3:$A$5001,K$3,BD!$B$3:$B$5001,$A$353,BD!$I$3:$I$5001,"&lt;&gt;")=0,"",SUMIFS(BD!$I$3:$I$5001,BD!$A$3:$A$5001,K$3,BD!$B$3:$B$5001,$A$353)))</f>
        <v/>
      </c>
      <c r="L359" s="201" t="str">
        <f>IF(L$3="","",IF(COUNTIFS(BD!$A$3:$A$5001,L$3,BD!$B$3:$B$5001,$A$353,BD!$I$3:$I$5001,"&lt;&gt;")=0,"",SUMIFS(BD!$I$3:$I$5001,BD!$A$3:$A$5001,L$3,BD!$B$3:$B$5001,$A$353)))</f>
        <v/>
      </c>
      <c r="M359" s="201" t="str">
        <f>IF(M$3="","",IF(COUNTIFS(BD!$A$3:$A$5001,M$3,BD!$B$3:$B$5001,$A$353,BD!$I$3:$I$5001,"&lt;&gt;")=0,"",SUMIFS(BD!$I$3:$I$5001,BD!$A$3:$A$5001,M$3,BD!$B$3:$B$5001,$A$353)))</f>
        <v/>
      </c>
      <c r="N359" s="201" t="str">
        <f>IF(N$3="","",IF(COUNTIFS(BD!$A$3:$A$5001,N$3,BD!$B$3:$B$5001,$A$353,BD!$I$3:$I$5001,"&lt;&gt;")=0,"",SUMIFS(BD!$I$3:$I$5001,BD!$A$3:$A$5001,N$3,BD!$B$3:$B$5001,$A$353)))</f>
        <v/>
      </c>
      <c r="O359" s="201" t="str">
        <f>IF(O$3="","",IF(COUNTIFS(BD!$A$3:$A$5001,O$3,BD!$B$3:$B$5001,$A$353,BD!$I$3:$I$5001,"&lt;&gt;")=0,"",SUMIFS(BD!$I$3:$I$5001,BD!$A$3:$A$5001,O$3,BD!$B$3:$B$5001,$A$353)))</f>
        <v/>
      </c>
      <c r="P359" s="201" t="str">
        <f>IF(P$3="","",IF(COUNTIFS(BD!$A$3:$A$5001,P$3,BD!$B$3:$B$5001,$A$353,BD!$I$3:$I$5001,"&lt;&gt;")=0,"",SUMIFS(BD!$I$3:$I$5001,BD!$A$3:$A$5001,P$3,BD!$B$3:$B$5001,$A$353)))</f>
        <v/>
      </c>
      <c r="Q359" s="201" t="str">
        <f>IF(Q$3="","",IF(COUNTIFS(BD!$A$3:$A$5001,Q$3,BD!$B$3:$B$5001,$A$353,BD!$I$3:$I$5001,"&lt;&gt;")=0,"",SUMIFS(BD!$I$3:$I$5001,BD!$A$3:$A$5001,Q$3,BD!$B$3:$B$5001,$A$353)))</f>
        <v/>
      </c>
      <c r="R359" s="201" t="str">
        <f>IF(R$3="","",IF(COUNTIFS(BD!$A$3:$A$5001,R$3,BD!$B$3:$B$5001,$A$353,BD!$I$3:$I$5001,"&lt;&gt;")=0,"",SUMIFS(BD!$I$3:$I$5001,BD!$A$3:$A$5001,R$3,BD!$B$3:$B$5001,$A$353)))</f>
        <v/>
      </c>
      <c r="S359" s="201" t="str">
        <f>IF(S$3="","",IF(COUNTIFS(BD!$A$3:$A$5001,S$3,BD!$B$3:$B$5001,$A$353,BD!$I$3:$I$5001,"&lt;&gt;")=0,"",SUMIFS(BD!$I$3:$I$5001,BD!$A$3:$A$5001,S$3,BD!$B$3:$B$5001,$A$353)))</f>
        <v/>
      </c>
      <c r="T359" s="201" t="str">
        <f>IF(T$3="","",IF(COUNTIFS(BD!$A$3:$A$5001,T$3,BD!$B$3:$B$5001,$A$353,BD!$I$3:$I$5001,"&lt;&gt;")=0,"",SUMIFS(BD!$I$3:$I$5001,BD!$A$3:$A$5001,T$3,BD!$B$3:$B$5001,$A$353)))</f>
        <v/>
      </c>
      <c r="U359" s="201" t="str">
        <f>IF(U$3="","",IF(COUNTIFS(BD!$A$3:$A$5001,U$3,BD!$B$3:$B$5001,$A$353,BD!$I$3:$I$5001,"&lt;&gt;")=0,"",SUMIFS(BD!$I$3:$I$5001,BD!$A$3:$A$5001,U$3,BD!$B$3:$B$5001,$A$353)))</f>
        <v/>
      </c>
      <c r="V359" s="201" t="str">
        <f>IF(V$3="","",IF(COUNTIFS(BD!$A$3:$A$5001,V$3,BD!$B$3:$B$5001,$A$353,BD!$I$3:$I$5001,"&lt;&gt;")=0,"",SUMIFS(BD!$I$3:$I$5001,BD!$A$3:$A$5001,V$3,BD!$B$3:$B$5001,$A$353)))</f>
        <v/>
      </c>
      <c r="W359" s="201" t="str">
        <f>IF(W$3="","",IF(COUNTIFS(BD!$A$3:$A$5001,W$3,BD!$B$3:$B$5001,$A$353,BD!$I$3:$I$5001,"&lt;&gt;")=0,"",SUMIFS(BD!$I$3:$I$5001,BD!$A$3:$A$5001,W$3,BD!$B$3:$B$5001,$A$353)))</f>
        <v/>
      </c>
      <c r="X359" s="201" t="str">
        <f>IF(X$3="","",IF(COUNTIFS(BD!$A$3:$A$5001,X$3,BD!$B$3:$B$5001,$A$353,BD!$I$3:$I$5001,"&lt;&gt;")=0,"",SUMIFS(BD!$I$3:$I$5001,BD!$A$3:$A$5001,X$3,BD!$B$3:$B$5001,$A$353)))</f>
        <v/>
      </c>
      <c r="Y359" s="201" t="str">
        <f>IF(Y$3="","",IF(COUNTIFS(BD!$A$3:$A$5001,Y$3,BD!$B$3:$B$5001,$A$353,BD!$I$3:$I$5001,"&lt;&gt;")=0,"",SUMIFS(BD!$I$3:$I$5001,BD!$A$3:$A$5001,Y$3,BD!$B$3:$B$5001,$A$353)))</f>
        <v/>
      </c>
      <c r="Z359" s="201" t="str">
        <f>IF(Z$3="","",IF(COUNTIFS(BD!$A$3:$A$5001,Z$3,BD!$B$3:$B$5001,$A$353,BD!$I$3:$I$5001,"&lt;&gt;")=0,"",SUMIFS(BD!$I$3:$I$5001,BD!$A$3:$A$5001,Z$3,BD!$B$3:$B$5001,$A$353)))</f>
        <v/>
      </c>
      <c r="AA359" s="201" t="str">
        <f>IF(AA$3="","",IF(COUNTIFS(BD!$A$3:$A$5001,AA$3,BD!$B$3:$B$5001,$A$353,BD!$I$3:$I$5001,"&lt;&gt;")=0,"",SUMIFS(BD!$I$3:$I$5001,BD!$A$3:$A$5001,AA$3,BD!$B$3:$B$5001,$A$353)))</f>
        <v/>
      </c>
      <c r="AB359" s="201" t="str">
        <f>IF(AB$3="","",IF(COUNTIFS(BD!$A$3:$A$5001,AB$3,BD!$B$3:$B$5001,$A$353,BD!$I$3:$I$5001,"&lt;&gt;")=0,"",SUMIFS(BD!$I$3:$I$5001,BD!$A$3:$A$5001,AB$3,BD!$B$3:$B$5001,$A$353)))</f>
        <v/>
      </c>
      <c r="AC359" s="201" t="str">
        <f>IF(AC$3="","",IF(COUNTIFS(BD!$A$3:$A$5001,AC$3,BD!$B$3:$B$5001,$A$353,BD!$I$3:$I$5001,"&lt;&gt;")=0,"",SUMIFS(BD!$I$3:$I$5001,BD!$A$3:$A$5001,AC$3,BD!$B$3:$B$5001,$A$353)))</f>
        <v/>
      </c>
      <c r="AD359" s="201" t="str">
        <f>IF(AD$3="","",IF(COUNTIFS(BD!$A$3:$A$5001,AD$3,BD!$B$3:$B$5001,$A$353,BD!$I$3:$I$5001,"&lt;&gt;")=0,"",SUMIFS(BD!$I$3:$I$5001,BD!$A$3:$A$5001,AD$3,BD!$B$3:$B$5001,$A$353)))</f>
        <v/>
      </c>
      <c r="AE359" s="201" t="str">
        <f>IF(AE$3="","",IF(COUNTIFS(BD!$A$3:$A$5001,AE$3,BD!$B$3:$B$5001,$A$353,BD!$I$3:$I$5001,"&lt;&gt;")=0,"",SUMIFS(BD!$I$3:$I$5001,BD!$A$3:$A$5001,AE$3,BD!$B$3:$B$5001,$A$353)))</f>
        <v/>
      </c>
      <c r="AF359" s="201" t="str">
        <f>IF(AF$3="","",IF(COUNTIFS(BD!$A$3:$A$5001,AF$3,BD!$B$3:$B$5001,$A$353,BD!$I$3:$I$5001,"&lt;&gt;")=0,"",SUMIFS(BD!$I$3:$I$5001,BD!$A$3:$A$5001,AF$3,BD!$B$3:$B$5001,$A$353)))</f>
        <v/>
      </c>
      <c r="AG359" s="201" t="str">
        <f>IF(AG$3="","",IF(COUNTIFS(BD!$A$3:$A$5001,AG$3,BD!$B$3:$B$5001,$A$353,BD!$I$3:$I$5001,"&lt;&gt;")=0,"",SUMIFS(BD!$I$3:$I$5001,BD!$A$3:$A$5001,AG$3,BD!$B$3:$B$5001,$A$353)))</f>
        <v/>
      </c>
      <c r="AH359" s="201" t="str">
        <f>IF(AH$3="","",IF(COUNTIFS(BD!$A$3:$A$5001,AH$3,BD!$B$3:$B$5001,$A$353,BD!$I$3:$I$5001,"&lt;&gt;")=0,"",SUMIFS(BD!$I$3:$I$5001,BD!$A$3:$A$5001,AH$3,BD!$B$3:$B$5001,$A$353)))</f>
        <v/>
      </c>
      <c r="AI359" s="201" t="str">
        <f>IF(AI$3="","",IF(COUNTIFS(BD!$A$3:$A$5001,AI$3,BD!$B$3:$B$5001,$A$353,BD!$I$3:$I$5001,"&lt;&gt;")=0,"",SUMIFS(BD!$I$3:$I$5001,BD!$A$3:$A$5001,AI$3,BD!$B$3:$B$5001,$A$353)))</f>
        <v/>
      </c>
      <c r="AJ359" s="202" t="str">
        <f>IF(AJ$3="","",IF(COUNTIFS(BD!$A$3:$A$5001,AJ$3,BD!$B$3:$B$5001,$A$353,BD!$I$3:$I$5001,"&lt;&gt;")=0,"",SUMIFS(BD!$I$3:$I$5001,BD!$A$3:$A$5001,AJ$3,BD!$B$3:$B$5001,$A$353)))</f>
        <v/>
      </c>
      <c r="AK359" s="203" t="str">
        <f>IF(COUNT(F359:AJ359)=0,"",SUM(F359:AJ359))</f>
        <v/>
      </c>
    </row>
    <row r="360" ht="15.75" customHeight="1" hidden="1">
      <c r="A360" s="254"/>
      <c r="B360" s="248"/>
      <c r="C360" s="204" t="inlineStr">
        <is>
          <t xml:space="preserve">No show</t>
        </is>
      </c>
      <c r="D360" s="205" t="str">
        <f>IFERROR(1/(1/INDEX(BD!$Y$30:$AS$30,MATCH($A$353,BD!$Y$22:$AS$22,0))),"")</f>
        <v/>
      </c>
      <c r="E360" s="206"/>
      <c r="F360" s="207" t="str">
        <f>IF(F$3="","",IF(COUNTIFS(BD!$A$3:$A$5001,F$3,BD!$B$3:$B$5001,$A$353,BD!$J$3:$J$5001,"&lt;&gt;")=0,"",SUMIFS(BD!$J$3:$J$5001,BD!$A$3:$A$5001,F$3,BD!$B$3:$B$5001,$A$353)))</f>
        <v/>
      </c>
      <c r="G360" s="208" t="str">
        <f>IF(G$3="","",IF(COUNTIFS(BD!$A$3:$A$5001,G$3,BD!$B$3:$B$5001,$A$353,BD!$J$3:$J$5001,"&lt;&gt;")=0,"",SUMIFS(BD!$J$3:$J$5001,BD!$A$3:$A$5001,G$3,BD!$B$3:$B$5001,$A$353)))</f>
        <v/>
      </c>
      <c r="H360" s="208" t="str">
        <f>IF(H$3="","",IF(COUNTIFS(BD!$A$3:$A$5001,H$3,BD!$B$3:$B$5001,$A$353,BD!$J$3:$J$5001,"&lt;&gt;")=0,"",SUMIFS(BD!$J$3:$J$5001,BD!$A$3:$A$5001,H$3,BD!$B$3:$B$5001,$A$353)))</f>
        <v/>
      </c>
      <c r="I360" s="208" t="str">
        <f>IF(I$3="","",IF(COUNTIFS(BD!$A$3:$A$5001,I$3,BD!$B$3:$B$5001,$A$353,BD!$J$3:$J$5001,"&lt;&gt;")=0,"",SUMIFS(BD!$J$3:$J$5001,BD!$A$3:$A$5001,I$3,BD!$B$3:$B$5001,$A$353)))</f>
        <v/>
      </c>
      <c r="J360" s="208" t="str">
        <f>IF(J$3="","",IF(COUNTIFS(BD!$A$3:$A$5001,J$3,BD!$B$3:$B$5001,$A$353,BD!$J$3:$J$5001,"&lt;&gt;")=0,"",SUMIFS(BD!$J$3:$J$5001,BD!$A$3:$A$5001,J$3,BD!$B$3:$B$5001,$A$353)))</f>
        <v/>
      </c>
      <c r="K360" s="208" t="str">
        <f>IF(K$3="","",IF(COUNTIFS(BD!$A$3:$A$5001,K$3,BD!$B$3:$B$5001,$A$353,BD!$J$3:$J$5001,"&lt;&gt;")=0,"",SUMIFS(BD!$J$3:$J$5001,BD!$A$3:$A$5001,K$3,BD!$B$3:$B$5001,$A$353)))</f>
        <v/>
      </c>
      <c r="L360" s="208" t="str">
        <f>IF(L$3="","",IF(COUNTIFS(BD!$A$3:$A$5001,L$3,BD!$B$3:$B$5001,$A$353,BD!$J$3:$J$5001,"&lt;&gt;")=0,"",SUMIFS(BD!$J$3:$J$5001,BD!$A$3:$A$5001,L$3,BD!$B$3:$B$5001,$A$353)))</f>
        <v/>
      </c>
      <c r="M360" s="208" t="str">
        <f>IF(M$3="","",IF(COUNTIFS(BD!$A$3:$A$5001,M$3,BD!$B$3:$B$5001,$A$353,BD!$J$3:$J$5001,"&lt;&gt;")=0,"",SUMIFS(BD!$J$3:$J$5001,BD!$A$3:$A$5001,M$3,BD!$B$3:$B$5001,$A$353)))</f>
        <v/>
      </c>
      <c r="N360" s="208" t="str">
        <f>IF(N$3="","",IF(COUNTIFS(BD!$A$3:$A$5001,N$3,BD!$B$3:$B$5001,$A$353,BD!$J$3:$J$5001,"&lt;&gt;")=0,"",SUMIFS(BD!$J$3:$J$5001,BD!$A$3:$A$5001,N$3,BD!$B$3:$B$5001,$A$353)))</f>
        <v/>
      </c>
      <c r="O360" s="208" t="str">
        <f>IF(O$3="","",IF(COUNTIFS(BD!$A$3:$A$5001,O$3,BD!$B$3:$B$5001,$A$353,BD!$J$3:$J$5001,"&lt;&gt;")=0,"",SUMIFS(BD!$J$3:$J$5001,BD!$A$3:$A$5001,O$3,BD!$B$3:$B$5001,$A$353)))</f>
        <v/>
      </c>
      <c r="P360" s="208" t="str">
        <f>IF(P$3="","",IF(COUNTIFS(BD!$A$3:$A$5001,P$3,BD!$B$3:$B$5001,$A$353,BD!$J$3:$J$5001,"&lt;&gt;")=0,"",SUMIFS(BD!$J$3:$J$5001,BD!$A$3:$A$5001,P$3,BD!$B$3:$B$5001,$A$353)))</f>
        <v/>
      </c>
      <c r="Q360" s="208" t="str">
        <f>IF(Q$3="","",IF(COUNTIFS(BD!$A$3:$A$5001,Q$3,BD!$B$3:$B$5001,$A$353,BD!$J$3:$J$5001,"&lt;&gt;")=0,"",SUMIFS(BD!$J$3:$J$5001,BD!$A$3:$A$5001,Q$3,BD!$B$3:$B$5001,$A$353)))</f>
        <v/>
      </c>
      <c r="R360" s="208" t="str">
        <f>IF(R$3="","",IF(COUNTIFS(BD!$A$3:$A$5001,R$3,BD!$B$3:$B$5001,$A$353,BD!$J$3:$J$5001,"&lt;&gt;")=0,"",SUMIFS(BD!$J$3:$J$5001,BD!$A$3:$A$5001,R$3,BD!$B$3:$B$5001,$A$353)))</f>
        <v/>
      </c>
      <c r="S360" s="208" t="str">
        <f>IF(S$3="","",IF(COUNTIFS(BD!$A$3:$A$5001,S$3,BD!$B$3:$B$5001,$A$353,BD!$J$3:$J$5001,"&lt;&gt;")=0,"",SUMIFS(BD!$J$3:$J$5001,BD!$A$3:$A$5001,S$3,BD!$B$3:$B$5001,$A$353)))</f>
        <v/>
      </c>
      <c r="T360" s="208" t="str">
        <f>IF(T$3="","",IF(COUNTIFS(BD!$A$3:$A$5001,T$3,BD!$B$3:$B$5001,$A$353,BD!$J$3:$J$5001,"&lt;&gt;")=0,"",SUMIFS(BD!$J$3:$J$5001,BD!$A$3:$A$5001,T$3,BD!$B$3:$B$5001,$A$353)))</f>
        <v/>
      </c>
      <c r="U360" s="208" t="str">
        <f>IF(U$3="","",IF(COUNTIFS(BD!$A$3:$A$5001,U$3,BD!$B$3:$B$5001,$A$353,BD!$J$3:$J$5001,"&lt;&gt;")=0,"",SUMIFS(BD!$J$3:$J$5001,BD!$A$3:$A$5001,U$3,BD!$B$3:$B$5001,$A$353)))</f>
        <v/>
      </c>
      <c r="V360" s="208" t="str">
        <f>IF(V$3="","",IF(COUNTIFS(BD!$A$3:$A$5001,V$3,BD!$B$3:$B$5001,$A$353,BD!$J$3:$J$5001,"&lt;&gt;")=0,"",SUMIFS(BD!$J$3:$J$5001,BD!$A$3:$A$5001,V$3,BD!$B$3:$B$5001,$A$353)))</f>
        <v/>
      </c>
      <c r="W360" s="208" t="str">
        <f>IF(W$3="","",IF(COUNTIFS(BD!$A$3:$A$5001,W$3,BD!$B$3:$B$5001,$A$353,BD!$J$3:$J$5001,"&lt;&gt;")=0,"",SUMIFS(BD!$J$3:$J$5001,BD!$A$3:$A$5001,W$3,BD!$B$3:$B$5001,$A$353)))</f>
        <v/>
      </c>
      <c r="X360" s="208" t="str">
        <f>IF(X$3="","",IF(COUNTIFS(BD!$A$3:$A$5001,X$3,BD!$B$3:$B$5001,$A$353,BD!$J$3:$J$5001,"&lt;&gt;")=0,"",SUMIFS(BD!$J$3:$J$5001,BD!$A$3:$A$5001,X$3,BD!$B$3:$B$5001,$A$353)))</f>
        <v/>
      </c>
      <c r="Y360" s="208" t="str">
        <f>IF(Y$3="","",IF(COUNTIFS(BD!$A$3:$A$5001,Y$3,BD!$B$3:$B$5001,$A$353,BD!$J$3:$J$5001,"&lt;&gt;")=0,"",SUMIFS(BD!$J$3:$J$5001,BD!$A$3:$A$5001,Y$3,BD!$B$3:$B$5001,$A$353)))</f>
        <v/>
      </c>
      <c r="Z360" s="208" t="str">
        <f>IF(Z$3="","",IF(COUNTIFS(BD!$A$3:$A$5001,Z$3,BD!$B$3:$B$5001,$A$353,BD!$J$3:$J$5001,"&lt;&gt;")=0,"",SUMIFS(BD!$J$3:$J$5001,BD!$A$3:$A$5001,Z$3,BD!$B$3:$B$5001,$A$353)))</f>
        <v/>
      </c>
      <c r="AA360" s="208" t="str">
        <f>IF(AA$3="","",IF(COUNTIFS(BD!$A$3:$A$5001,AA$3,BD!$B$3:$B$5001,$A$353,BD!$J$3:$J$5001,"&lt;&gt;")=0,"",SUMIFS(BD!$J$3:$J$5001,BD!$A$3:$A$5001,AA$3,BD!$B$3:$B$5001,$A$353)))</f>
        <v/>
      </c>
      <c r="AB360" s="208" t="str">
        <f>IF(AB$3="","",IF(COUNTIFS(BD!$A$3:$A$5001,AB$3,BD!$B$3:$B$5001,$A$353,BD!$J$3:$J$5001,"&lt;&gt;")=0,"",SUMIFS(BD!$J$3:$J$5001,BD!$A$3:$A$5001,AB$3,BD!$B$3:$B$5001,$A$353)))</f>
        <v/>
      </c>
      <c r="AC360" s="208" t="str">
        <f>IF(AC$3="","",IF(COUNTIFS(BD!$A$3:$A$5001,AC$3,BD!$B$3:$B$5001,$A$353,BD!$J$3:$J$5001,"&lt;&gt;")=0,"",SUMIFS(BD!$J$3:$J$5001,BD!$A$3:$A$5001,AC$3,BD!$B$3:$B$5001,$A$353)))</f>
        <v/>
      </c>
      <c r="AD360" s="208" t="str">
        <f>IF(AD$3="","",IF(COUNTIFS(BD!$A$3:$A$5001,AD$3,BD!$B$3:$B$5001,$A$353,BD!$J$3:$J$5001,"&lt;&gt;")=0,"",SUMIFS(BD!$J$3:$J$5001,BD!$A$3:$A$5001,AD$3,BD!$B$3:$B$5001,$A$353)))</f>
        <v/>
      </c>
      <c r="AE360" s="208" t="str">
        <f>IF(AE$3="","",IF(COUNTIFS(BD!$A$3:$A$5001,AE$3,BD!$B$3:$B$5001,$A$353,BD!$J$3:$J$5001,"&lt;&gt;")=0,"",SUMIFS(BD!$J$3:$J$5001,BD!$A$3:$A$5001,AE$3,BD!$B$3:$B$5001,$A$353)))</f>
        <v/>
      </c>
      <c r="AF360" s="208" t="str">
        <f>IF(AF$3="","",IF(COUNTIFS(BD!$A$3:$A$5001,AF$3,BD!$B$3:$B$5001,$A$353,BD!$J$3:$J$5001,"&lt;&gt;")=0,"",SUMIFS(BD!$J$3:$J$5001,BD!$A$3:$A$5001,AF$3,BD!$B$3:$B$5001,$A$353)))</f>
        <v/>
      </c>
      <c r="AG360" s="208" t="str">
        <f>IF(AG$3="","",IF(COUNTIFS(BD!$A$3:$A$5001,AG$3,BD!$B$3:$B$5001,$A$353,BD!$J$3:$J$5001,"&lt;&gt;")=0,"",SUMIFS(BD!$J$3:$J$5001,BD!$A$3:$A$5001,AG$3,BD!$B$3:$B$5001,$A$353)))</f>
        <v/>
      </c>
      <c r="AH360" s="208" t="str">
        <f>IF(AH$3="","",IF(COUNTIFS(BD!$A$3:$A$5001,AH$3,BD!$B$3:$B$5001,$A$353,BD!$J$3:$J$5001,"&lt;&gt;")=0,"",SUMIFS(BD!$J$3:$J$5001,BD!$A$3:$A$5001,AH$3,BD!$B$3:$B$5001,$A$353)))</f>
        <v/>
      </c>
      <c r="AI360" s="208" t="str">
        <f>IF(AI$3="","",IF(COUNTIFS(BD!$A$3:$A$5001,AI$3,BD!$B$3:$B$5001,$A$353,BD!$J$3:$J$5001,"&lt;&gt;")=0,"",SUMIFS(BD!$J$3:$J$5001,BD!$A$3:$A$5001,AI$3,BD!$B$3:$B$5001,$A$353)))</f>
        <v/>
      </c>
      <c r="AJ360" s="209" t="str">
        <f>IF(AJ$3="","",IF(COUNTIFS(BD!$A$3:$A$5001,AJ$3,BD!$B$3:$B$5001,$A$353,BD!$J$3:$J$5001,"&lt;&gt;")=0,"",SUMIFS(BD!$J$3:$J$5001,BD!$A$3:$A$5001,AJ$3,BD!$B$3:$B$5001,$A$353)))</f>
        <v/>
      </c>
      <c r="AK360" s="210" t="str">
        <f>IF(COUNT(F360:AJ360)=0,"",SUM(F360:AJ360))</f>
        <v/>
      </c>
    </row>
    <row r="361" ht="15.75" customHeight="1" hidden="1">
      <c r="A361" s="254"/>
      <c r="B361" s="249"/>
      <c r="C361" s="211" t="inlineStr">
        <is>
          <t xml:space="preserve">Backlog</t>
        </is>
      </c>
      <c r="D361" s="212" t="str">
        <f>IFERROR(1/(1/INDEX(BD!$Y$31:$AS$31,MATCH($A$353,BD!$Y$22:$AS$22,0))),"")</f>
        <v/>
      </c>
      <c r="E361" s="213"/>
      <c r="F361" s="214" t="str">
        <f>IF(F$3="","",IF(COUNTIFS(BD!$A$3:$A$5001,F$3,BD!$B$3:$B$5001,$A$353,BD!$K$3:$K$5001,"&lt;&gt;")=0,"",SUMIFS(BD!$K$3:$K$5001,BD!$A$3:$A$5001,F$3,BD!$B$3:$B$5001,$A$353)))</f>
        <v/>
      </c>
      <c r="G361" s="215" t="str">
        <f>IF(G$3="","",IF(COUNTIFS(BD!$A$3:$A$5001,G$3,BD!$B$3:$B$5001,$A$353,BD!$K$3:$K$5001,"&lt;&gt;")=0,"",SUMIFS(BD!$K$3:$K$5001,BD!$A$3:$A$5001,G$3,BD!$B$3:$B$5001,$A$353)))</f>
        <v/>
      </c>
      <c r="H361" s="215" t="str">
        <f>IF(H$3="","",IF(COUNTIFS(BD!$A$3:$A$5001,H$3,BD!$B$3:$B$5001,$A$353,BD!$K$3:$K$5001,"&lt;&gt;")=0,"",SUMIFS(BD!$K$3:$K$5001,BD!$A$3:$A$5001,H$3,BD!$B$3:$B$5001,$A$353)))</f>
        <v/>
      </c>
      <c r="I361" s="215" t="str">
        <f>IF(I$3="","",IF(COUNTIFS(BD!$A$3:$A$5001,I$3,BD!$B$3:$B$5001,$A$353,BD!$K$3:$K$5001,"&lt;&gt;")=0,"",SUMIFS(BD!$K$3:$K$5001,BD!$A$3:$A$5001,I$3,BD!$B$3:$B$5001,$A$353)))</f>
        <v/>
      </c>
      <c r="J361" s="215" t="str">
        <f>IF(J$3="","",IF(COUNTIFS(BD!$A$3:$A$5001,J$3,BD!$B$3:$B$5001,$A$353,BD!$K$3:$K$5001,"&lt;&gt;")=0,"",SUMIFS(BD!$K$3:$K$5001,BD!$A$3:$A$5001,J$3,BD!$B$3:$B$5001,$A$353)))</f>
        <v/>
      </c>
      <c r="K361" s="215" t="str">
        <f>IF(K$3="","",IF(COUNTIFS(BD!$A$3:$A$5001,K$3,BD!$B$3:$B$5001,$A$353,BD!$K$3:$K$5001,"&lt;&gt;")=0,"",SUMIFS(BD!$K$3:$K$5001,BD!$A$3:$A$5001,K$3,BD!$B$3:$B$5001,$A$353)))</f>
        <v/>
      </c>
      <c r="L361" s="215" t="str">
        <f>IF(L$3="","",IF(COUNTIFS(BD!$A$3:$A$5001,L$3,BD!$B$3:$B$5001,$A$353,BD!$K$3:$K$5001,"&lt;&gt;")=0,"",SUMIFS(BD!$K$3:$K$5001,BD!$A$3:$A$5001,L$3,BD!$B$3:$B$5001,$A$353)))</f>
        <v/>
      </c>
      <c r="M361" s="215" t="str">
        <f>IF(M$3="","",IF(COUNTIFS(BD!$A$3:$A$5001,M$3,BD!$B$3:$B$5001,$A$353,BD!$K$3:$K$5001,"&lt;&gt;")=0,"",SUMIFS(BD!$K$3:$K$5001,BD!$A$3:$A$5001,M$3,BD!$B$3:$B$5001,$A$353)))</f>
        <v/>
      </c>
      <c r="N361" s="215" t="str">
        <f>IF(N$3="","",IF(COUNTIFS(BD!$A$3:$A$5001,N$3,BD!$B$3:$B$5001,$A$353,BD!$K$3:$K$5001,"&lt;&gt;")=0,"",SUMIFS(BD!$K$3:$K$5001,BD!$A$3:$A$5001,N$3,BD!$B$3:$B$5001,$A$353)))</f>
        <v/>
      </c>
      <c r="O361" s="215" t="str">
        <f>IF(O$3="","",IF(COUNTIFS(BD!$A$3:$A$5001,O$3,BD!$B$3:$B$5001,$A$353,BD!$K$3:$K$5001,"&lt;&gt;")=0,"",SUMIFS(BD!$K$3:$K$5001,BD!$A$3:$A$5001,O$3,BD!$B$3:$B$5001,$A$353)))</f>
        <v/>
      </c>
      <c r="P361" s="215" t="str">
        <f>IF(P$3="","",IF(COUNTIFS(BD!$A$3:$A$5001,P$3,BD!$B$3:$B$5001,$A$353,BD!$K$3:$K$5001,"&lt;&gt;")=0,"",SUMIFS(BD!$K$3:$K$5001,BD!$A$3:$A$5001,P$3,BD!$B$3:$B$5001,$A$353)))</f>
        <v/>
      </c>
      <c r="Q361" s="215" t="str">
        <f>IF(Q$3="","",IF(COUNTIFS(BD!$A$3:$A$5001,Q$3,BD!$B$3:$B$5001,$A$353,BD!$K$3:$K$5001,"&lt;&gt;")=0,"",SUMIFS(BD!$K$3:$K$5001,BD!$A$3:$A$5001,Q$3,BD!$B$3:$B$5001,$A$353)))</f>
        <v/>
      </c>
      <c r="R361" s="215" t="str">
        <f>IF(R$3="","",IF(COUNTIFS(BD!$A$3:$A$5001,R$3,BD!$B$3:$B$5001,$A$353,BD!$K$3:$K$5001,"&lt;&gt;")=0,"",SUMIFS(BD!$K$3:$K$5001,BD!$A$3:$A$5001,R$3,BD!$B$3:$B$5001,$A$353)))</f>
        <v/>
      </c>
      <c r="S361" s="215" t="str">
        <f>IF(S$3="","",IF(COUNTIFS(BD!$A$3:$A$5001,S$3,BD!$B$3:$B$5001,$A$353,BD!$K$3:$K$5001,"&lt;&gt;")=0,"",SUMIFS(BD!$K$3:$K$5001,BD!$A$3:$A$5001,S$3,BD!$B$3:$B$5001,$A$353)))</f>
        <v/>
      </c>
      <c r="T361" s="215" t="str">
        <f>IF(T$3="","",IF(COUNTIFS(BD!$A$3:$A$5001,T$3,BD!$B$3:$B$5001,$A$353,BD!$K$3:$K$5001,"&lt;&gt;")=0,"",SUMIFS(BD!$K$3:$K$5001,BD!$A$3:$A$5001,T$3,BD!$B$3:$B$5001,$A$353)))</f>
        <v/>
      </c>
      <c r="U361" s="215" t="str">
        <f>IF(U$3="","",IF(COUNTIFS(BD!$A$3:$A$5001,U$3,BD!$B$3:$B$5001,$A$353,BD!$K$3:$K$5001,"&lt;&gt;")=0,"",SUMIFS(BD!$K$3:$K$5001,BD!$A$3:$A$5001,U$3,BD!$B$3:$B$5001,$A$353)))</f>
        <v/>
      </c>
      <c r="V361" s="215" t="str">
        <f>IF(V$3="","",IF(COUNTIFS(BD!$A$3:$A$5001,V$3,BD!$B$3:$B$5001,$A$353,BD!$K$3:$K$5001,"&lt;&gt;")=0,"",SUMIFS(BD!$K$3:$K$5001,BD!$A$3:$A$5001,V$3,BD!$B$3:$B$5001,$A$353)))</f>
        <v/>
      </c>
      <c r="W361" s="215" t="str">
        <f>IF(W$3="","",IF(COUNTIFS(BD!$A$3:$A$5001,W$3,BD!$B$3:$B$5001,$A$353,BD!$K$3:$K$5001,"&lt;&gt;")=0,"",SUMIFS(BD!$K$3:$K$5001,BD!$A$3:$A$5001,W$3,BD!$B$3:$B$5001,$A$353)))</f>
        <v/>
      </c>
      <c r="X361" s="215" t="str">
        <f>IF(X$3="","",IF(COUNTIFS(BD!$A$3:$A$5001,X$3,BD!$B$3:$B$5001,$A$353,BD!$K$3:$K$5001,"&lt;&gt;")=0,"",SUMIFS(BD!$K$3:$K$5001,BD!$A$3:$A$5001,X$3,BD!$B$3:$B$5001,$A$353)))</f>
        <v/>
      </c>
      <c r="Y361" s="215" t="str">
        <f>IF(Y$3="","",IF(COUNTIFS(BD!$A$3:$A$5001,Y$3,BD!$B$3:$B$5001,$A$353,BD!$K$3:$K$5001,"&lt;&gt;")=0,"",SUMIFS(BD!$K$3:$K$5001,BD!$A$3:$A$5001,Y$3,BD!$B$3:$B$5001,$A$353)))</f>
        <v/>
      </c>
      <c r="Z361" s="215" t="str">
        <f>IF(Z$3="","",IF(COUNTIFS(BD!$A$3:$A$5001,Z$3,BD!$B$3:$B$5001,$A$353,BD!$K$3:$K$5001,"&lt;&gt;")=0,"",SUMIFS(BD!$K$3:$K$5001,BD!$A$3:$A$5001,Z$3,BD!$B$3:$B$5001,$A$353)))</f>
        <v/>
      </c>
      <c r="AA361" s="215" t="str">
        <f>IF(AA$3="","",IF(COUNTIFS(BD!$A$3:$A$5001,AA$3,BD!$B$3:$B$5001,$A$353,BD!$K$3:$K$5001,"&lt;&gt;")=0,"",SUMIFS(BD!$K$3:$K$5001,BD!$A$3:$A$5001,AA$3,BD!$B$3:$B$5001,$A$353)))</f>
        <v/>
      </c>
      <c r="AB361" s="215" t="str">
        <f>IF(AB$3="","",IF(COUNTIFS(BD!$A$3:$A$5001,AB$3,BD!$B$3:$B$5001,$A$353,BD!$K$3:$K$5001,"&lt;&gt;")=0,"",SUMIFS(BD!$K$3:$K$5001,BD!$A$3:$A$5001,AB$3,BD!$B$3:$B$5001,$A$353)))</f>
        <v/>
      </c>
      <c r="AC361" s="215" t="str">
        <f>IF(AC$3="","",IF(COUNTIFS(BD!$A$3:$A$5001,AC$3,BD!$B$3:$B$5001,$A$353,BD!$K$3:$K$5001,"&lt;&gt;")=0,"",SUMIFS(BD!$K$3:$K$5001,BD!$A$3:$A$5001,AC$3,BD!$B$3:$B$5001,$A$353)))</f>
        <v/>
      </c>
      <c r="AD361" s="215" t="str">
        <f>IF(AD$3="","",IF(COUNTIFS(BD!$A$3:$A$5001,AD$3,BD!$B$3:$B$5001,$A$353,BD!$K$3:$K$5001,"&lt;&gt;")=0,"",SUMIFS(BD!$K$3:$K$5001,BD!$A$3:$A$5001,AD$3,BD!$B$3:$B$5001,$A$353)))</f>
        <v/>
      </c>
      <c r="AE361" s="215" t="str">
        <f>IF(AE$3="","",IF(COUNTIFS(BD!$A$3:$A$5001,AE$3,BD!$B$3:$B$5001,$A$353,BD!$K$3:$K$5001,"&lt;&gt;")=0,"",SUMIFS(BD!$K$3:$K$5001,BD!$A$3:$A$5001,AE$3,BD!$B$3:$B$5001,$A$353)))</f>
        <v/>
      </c>
      <c r="AF361" s="215" t="str">
        <f>IF(AF$3="","",IF(COUNTIFS(BD!$A$3:$A$5001,AF$3,BD!$B$3:$B$5001,$A$353,BD!$K$3:$K$5001,"&lt;&gt;")=0,"",SUMIFS(BD!$K$3:$K$5001,BD!$A$3:$A$5001,AF$3,BD!$B$3:$B$5001,$A$353)))</f>
        <v/>
      </c>
      <c r="AG361" s="215" t="str">
        <f>IF(AG$3="","",IF(COUNTIFS(BD!$A$3:$A$5001,AG$3,BD!$B$3:$B$5001,$A$353,BD!$K$3:$K$5001,"&lt;&gt;")=0,"",SUMIFS(BD!$K$3:$K$5001,BD!$A$3:$A$5001,AG$3,BD!$B$3:$B$5001,$A$353)))</f>
        <v/>
      </c>
      <c r="AH361" s="215" t="str">
        <f>IF(AH$3="","",IF(COUNTIFS(BD!$A$3:$A$5001,AH$3,BD!$B$3:$B$5001,$A$353,BD!$K$3:$K$5001,"&lt;&gt;")=0,"",SUMIFS(BD!$K$3:$K$5001,BD!$A$3:$A$5001,AH$3,BD!$B$3:$B$5001,$A$353)))</f>
        <v/>
      </c>
      <c r="AI361" s="215" t="str">
        <f>IF(AI$3="","",IF(COUNTIFS(BD!$A$3:$A$5001,AI$3,BD!$B$3:$B$5001,$A$353,BD!$K$3:$K$5001,"&lt;&gt;")=0,"",SUMIFS(BD!$K$3:$K$5001,BD!$A$3:$A$5001,AI$3,BD!$B$3:$B$5001,$A$353)))</f>
        <v/>
      </c>
      <c r="AJ361" s="216" t="str">
        <f>IF(AJ$3="","",IF(COUNTIFS(BD!$A$3:$A$5001,AJ$3,BD!$B$3:$B$5001,$A$353,BD!$K$3:$K$5001,"&lt;&gt;")=0,"",SUMIFS(BD!$K$3:$K$5001,BD!$A$3:$A$5001,AJ$3,BD!$B$3:$B$5001,$A$353)))</f>
        <v/>
      </c>
      <c r="AK361" s="212" t="str">
        <f>IFERROR(LOOKUP(9.99E+307,F361:AJ361),"")</f>
        <v/>
      </c>
    </row>
    <row r="362" ht="15.75" customHeight="1" hidden="1">
      <c r="A362" s="254"/>
      <c r="B362" s="241" t="inlineStr">
        <is>
          <t xml:space="preserve">OCUPAÇÃO (P.P)</t>
        </is>
      </c>
      <c r="C362" s="155" t="inlineStr">
        <is>
          <t xml:space="preserve">Posições Disponíveis</t>
        </is>
      </c>
      <c r="D362" s="156" t="str">
        <f>IFERROR(1/(1/INDEX(BD!$Y$32:$AS$32,MATCH($A$353,BD!$Y$22:$AS$22,0))),"")</f>
        <v/>
      </c>
      <c r="E362" s="157"/>
      <c r="F362" s="158" t="str">
        <f>IF(F$3="","",IF(COUNTIFS(BD!$A$3:$A$5001,F$3,BD!$B$3:$B$5001,$A$353,BD!$L$3:$L$5001,"&lt;&gt;")=0,"",SUMIFS(BD!$L$3:$L$5001,BD!$A$3:$A$5001,F$3,BD!$B$3:$B$5001,$A$353)))</f>
        <v/>
      </c>
      <c r="G362" s="159" t="str">
        <f>IF(G$3="","",IF(COUNTIFS(BD!$A$3:$A$5001,G$3,BD!$B$3:$B$5001,$A$353,BD!$L$3:$L$5001,"&lt;&gt;")=0,"",SUMIFS(BD!$L$3:$L$5001,BD!$A$3:$A$5001,G$3,BD!$B$3:$B$5001,$A$353)))</f>
        <v/>
      </c>
      <c r="H362" s="159" t="str">
        <f>IF(H$3="","",IF(COUNTIFS(BD!$A$3:$A$5001,H$3,BD!$B$3:$B$5001,$A$353,BD!$L$3:$L$5001,"&lt;&gt;")=0,"",SUMIFS(BD!$L$3:$L$5001,BD!$A$3:$A$5001,H$3,BD!$B$3:$B$5001,$A$353)))</f>
        <v/>
      </c>
      <c r="I362" s="159" t="str">
        <f>IF(I$3="","",IF(COUNTIFS(BD!$A$3:$A$5001,I$3,BD!$B$3:$B$5001,$A$353,BD!$L$3:$L$5001,"&lt;&gt;")=0,"",SUMIFS(BD!$L$3:$L$5001,BD!$A$3:$A$5001,I$3,BD!$B$3:$B$5001,$A$353)))</f>
        <v/>
      </c>
      <c r="J362" s="159" t="str">
        <f>IF(J$3="","",IF(COUNTIFS(BD!$A$3:$A$5001,J$3,BD!$B$3:$B$5001,$A$353,BD!$L$3:$L$5001,"&lt;&gt;")=0,"",SUMIFS(BD!$L$3:$L$5001,BD!$A$3:$A$5001,J$3,BD!$B$3:$B$5001,$A$353)))</f>
        <v/>
      </c>
      <c r="K362" s="159" t="str">
        <f>IF(K$3="","",IF(COUNTIFS(BD!$A$3:$A$5001,K$3,BD!$B$3:$B$5001,$A$353,BD!$L$3:$L$5001,"&lt;&gt;")=0,"",SUMIFS(BD!$L$3:$L$5001,BD!$A$3:$A$5001,K$3,BD!$B$3:$B$5001,$A$353)))</f>
        <v/>
      </c>
      <c r="L362" s="159" t="str">
        <f>IF(L$3="","",IF(COUNTIFS(BD!$A$3:$A$5001,L$3,BD!$B$3:$B$5001,$A$353,BD!$L$3:$L$5001,"&lt;&gt;")=0,"",SUMIFS(BD!$L$3:$L$5001,BD!$A$3:$A$5001,L$3,BD!$B$3:$B$5001,$A$353)))</f>
        <v/>
      </c>
      <c r="M362" s="159" t="str">
        <f>IF(M$3="","",IF(COUNTIFS(BD!$A$3:$A$5001,M$3,BD!$B$3:$B$5001,$A$353,BD!$L$3:$L$5001,"&lt;&gt;")=0,"",SUMIFS(BD!$L$3:$L$5001,BD!$A$3:$A$5001,M$3,BD!$B$3:$B$5001,$A$353)))</f>
        <v/>
      </c>
      <c r="N362" s="159" t="str">
        <f>IF(N$3="","",IF(COUNTIFS(BD!$A$3:$A$5001,N$3,BD!$B$3:$B$5001,$A$353,BD!$L$3:$L$5001,"&lt;&gt;")=0,"",SUMIFS(BD!$L$3:$L$5001,BD!$A$3:$A$5001,N$3,BD!$B$3:$B$5001,$A$353)))</f>
        <v/>
      </c>
      <c r="O362" s="159" t="str">
        <f>IF(O$3="","",IF(COUNTIFS(BD!$A$3:$A$5001,O$3,BD!$B$3:$B$5001,$A$353,BD!$L$3:$L$5001,"&lt;&gt;")=0,"",SUMIFS(BD!$L$3:$L$5001,BD!$A$3:$A$5001,O$3,BD!$B$3:$B$5001,$A$353)))</f>
        <v/>
      </c>
      <c r="P362" s="159" t="str">
        <f>IF(P$3="","",IF(COUNTIFS(BD!$A$3:$A$5001,P$3,BD!$B$3:$B$5001,$A$353,BD!$L$3:$L$5001,"&lt;&gt;")=0,"",SUMIFS(BD!$L$3:$L$5001,BD!$A$3:$A$5001,P$3,BD!$B$3:$B$5001,$A$353)))</f>
        <v/>
      </c>
      <c r="Q362" s="159" t="str">
        <f>IF(Q$3="","",IF(COUNTIFS(BD!$A$3:$A$5001,Q$3,BD!$B$3:$B$5001,$A$353,BD!$L$3:$L$5001,"&lt;&gt;")=0,"",SUMIFS(BD!$L$3:$L$5001,BD!$A$3:$A$5001,Q$3,BD!$B$3:$B$5001,$A$353)))</f>
        <v/>
      </c>
      <c r="R362" s="159" t="str">
        <f>IF(R$3="","",IF(COUNTIFS(BD!$A$3:$A$5001,R$3,BD!$B$3:$B$5001,$A$353,BD!$L$3:$L$5001,"&lt;&gt;")=0,"",SUMIFS(BD!$L$3:$L$5001,BD!$A$3:$A$5001,R$3,BD!$B$3:$B$5001,$A$353)))</f>
        <v/>
      </c>
      <c r="S362" s="159" t="str">
        <f>IF(S$3="","",IF(COUNTIFS(BD!$A$3:$A$5001,S$3,BD!$B$3:$B$5001,$A$353,BD!$L$3:$L$5001,"&lt;&gt;")=0,"",SUMIFS(BD!$L$3:$L$5001,BD!$A$3:$A$5001,S$3,BD!$B$3:$B$5001,$A$353)))</f>
        <v/>
      </c>
      <c r="T362" s="159" t="str">
        <f>IF(T$3="","",IF(COUNTIFS(BD!$A$3:$A$5001,T$3,BD!$B$3:$B$5001,$A$353,BD!$L$3:$L$5001,"&lt;&gt;")=0,"",SUMIFS(BD!$L$3:$L$5001,BD!$A$3:$A$5001,T$3,BD!$B$3:$B$5001,$A$353)))</f>
        <v/>
      </c>
      <c r="U362" s="159" t="str">
        <f>IF(U$3="","",IF(COUNTIFS(BD!$A$3:$A$5001,U$3,BD!$B$3:$B$5001,$A$353,BD!$L$3:$L$5001,"&lt;&gt;")=0,"",SUMIFS(BD!$L$3:$L$5001,BD!$A$3:$A$5001,U$3,BD!$B$3:$B$5001,$A$353)))</f>
        <v/>
      </c>
      <c r="V362" s="159" t="str">
        <f>IF(V$3="","",IF(COUNTIFS(BD!$A$3:$A$5001,V$3,BD!$B$3:$B$5001,$A$353,BD!$L$3:$L$5001,"&lt;&gt;")=0,"",SUMIFS(BD!$L$3:$L$5001,BD!$A$3:$A$5001,V$3,BD!$B$3:$B$5001,$A$353)))</f>
        <v/>
      </c>
      <c r="W362" s="159" t="str">
        <f>IF(W$3="","",IF(COUNTIFS(BD!$A$3:$A$5001,W$3,BD!$B$3:$B$5001,$A$353,BD!$L$3:$L$5001,"&lt;&gt;")=0,"",SUMIFS(BD!$L$3:$L$5001,BD!$A$3:$A$5001,W$3,BD!$B$3:$B$5001,$A$353)))</f>
        <v/>
      </c>
      <c r="X362" s="159" t="str">
        <f>IF(X$3="","",IF(COUNTIFS(BD!$A$3:$A$5001,X$3,BD!$B$3:$B$5001,$A$353,BD!$L$3:$L$5001,"&lt;&gt;")=0,"",SUMIFS(BD!$L$3:$L$5001,BD!$A$3:$A$5001,X$3,BD!$B$3:$B$5001,$A$353)))</f>
        <v/>
      </c>
      <c r="Y362" s="159" t="str">
        <f>IF(Y$3="","",IF(COUNTIFS(BD!$A$3:$A$5001,Y$3,BD!$B$3:$B$5001,$A$353,BD!$L$3:$L$5001,"&lt;&gt;")=0,"",SUMIFS(BD!$L$3:$L$5001,BD!$A$3:$A$5001,Y$3,BD!$B$3:$B$5001,$A$353)))</f>
        <v/>
      </c>
      <c r="Z362" s="159" t="str">
        <f>IF(Z$3="","",IF(COUNTIFS(BD!$A$3:$A$5001,Z$3,BD!$B$3:$B$5001,$A$353,BD!$L$3:$L$5001,"&lt;&gt;")=0,"",SUMIFS(BD!$L$3:$L$5001,BD!$A$3:$A$5001,Z$3,BD!$B$3:$B$5001,$A$353)))</f>
        <v/>
      </c>
      <c r="AA362" s="159" t="str">
        <f>IF(AA$3="","",IF(COUNTIFS(BD!$A$3:$A$5001,AA$3,BD!$B$3:$B$5001,$A$353,BD!$L$3:$L$5001,"&lt;&gt;")=0,"",SUMIFS(BD!$L$3:$L$5001,BD!$A$3:$A$5001,AA$3,BD!$B$3:$B$5001,$A$353)))</f>
        <v/>
      </c>
      <c r="AB362" s="159" t="str">
        <f>IF(AB$3="","",IF(COUNTIFS(BD!$A$3:$A$5001,AB$3,BD!$B$3:$B$5001,$A$353,BD!$L$3:$L$5001,"&lt;&gt;")=0,"",SUMIFS(BD!$L$3:$L$5001,BD!$A$3:$A$5001,AB$3,BD!$B$3:$B$5001,$A$353)))</f>
        <v/>
      </c>
      <c r="AC362" s="159" t="str">
        <f>IF(AC$3="","",IF(COUNTIFS(BD!$A$3:$A$5001,AC$3,BD!$B$3:$B$5001,$A$353,BD!$L$3:$L$5001,"&lt;&gt;")=0,"",SUMIFS(BD!$L$3:$L$5001,BD!$A$3:$A$5001,AC$3,BD!$B$3:$B$5001,$A$353)))</f>
        <v/>
      </c>
      <c r="AD362" s="159" t="str">
        <f>IF(AD$3="","",IF(COUNTIFS(BD!$A$3:$A$5001,AD$3,BD!$B$3:$B$5001,$A$353,BD!$L$3:$L$5001,"&lt;&gt;")=0,"",SUMIFS(BD!$L$3:$L$5001,BD!$A$3:$A$5001,AD$3,BD!$B$3:$B$5001,$A$353)))</f>
        <v/>
      </c>
      <c r="AE362" s="159" t="str">
        <f>IF(AE$3="","",IF(COUNTIFS(BD!$A$3:$A$5001,AE$3,BD!$B$3:$B$5001,$A$353,BD!$L$3:$L$5001,"&lt;&gt;")=0,"",SUMIFS(BD!$L$3:$L$5001,BD!$A$3:$A$5001,AE$3,BD!$B$3:$B$5001,$A$353)))</f>
        <v/>
      </c>
      <c r="AF362" s="159" t="str">
        <f>IF(AF$3="","",IF(COUNTIFS(BD!$A$3:$A$5001,AF$3,BD!$B$3:$B$5001,$A$353,BD!$L$3:$L$5001,"&lt;&gt;")=0,"",SUMIFS(BD!$L$3:$L$5001,BD!$A$3:$A$5001,AF$3,BD!$B$3:$B$5001,$A$353)))</f>
        <v/>
      </c>
      <c r="AG362" s="159" t="str">
        <f>IF(AG$3="","",IF(COUNTIFS(BD!$A$3:$A$5001,AG$3,BD!$B$3:$B$5001,$A$353,BD!$L$3:$L$5001,"&lt;&gt;")=0,"",SUMIFS(BD!$L$3:$L$5001,BD!$A$3:$A$5001,AG$3,BD!$B$3:$B$5001,$A$353)))</f>
        <v/>
      </c>
      <c r="AH362" s="159" t="str">
        <f>IF(AH$3="","",IF(COUNTIFS(BD!$A$3:$A$5001,AH$3,BD!$B$3:$B$5001,$A$353,BD!$L$3:$L$5001,"&lt;&gt;")=0,"",SUMIFS(BD!$L$3:$L$5001,BD!$A$3:$A$5001,AH$3,BD!$B$3:$B$5001,$A$353)))</f>
        <v/>
      </c>
      <c r="AI362" s="159" t="str">
        <f>IF(AI$3="","",IF(COUNTIFS(BD!$A$3:$A$5001,AI$3,BD!$B$3:$B$5001,$A$353,BD!$L$3:$L$5001,"&lt;&gt;")=0,"",SUMIFS(BD!$L$3:$L$5001,BD!$A$3:$A$5001,AI$3,BD!$B$3:$B$5001,$A$353)))</f>
        <v/>
      </c>
      <c r="AJ362" s="160" t="str">
        <f>IF(AJ$3="","",IF(COUNTIFS(BD!$A$3:$A$5001,AJ$3,BD!$B$3:$B$5001,$A$353,BD!$L$3:$L$5001,"&lt;&gt;")=0,"",SUMIFS(BD!$L$3:$L$5001,BD!$A$3:$A$5001,AJ$3,BD!$B$3:$B$5001,$A$353)))</f>
        <v/>
      </c>
      <c r="AK362" s="161" t="str">
        <f>IF(COUNT(F362:AJ362)&gt;0,LOOKUP(9.99E+307,F362:AJ362),IFERROR(IF(INDEX(BD!$V$3:$V$5001,MATCH($A$353,BD!$B$3:$B$5001,0))&amp;""="Contrato","",INDEX(BD!$V$3:$V$5001,MATCH($A$353,BD!$B$3:$B$5001,0))&amp;""),""))</f>
        <v/>
      </c>
    </row>
    <row r="363" ht="15.75" customHeight="1" hidden="1">
      <c r="A363" s="254"/>
      <c r="B363" s="242"/>
      <c r="C363" s="162" t="inlineStr">
        <is>
          <t xml:space="preserve">Posições Ocupadas</t>
        </is>
      </c>
      <c r="D363" s="163" t="str">
        <f>IFERROR(1/(1/INDEX(BD!$Y$33:$AS$33,MATCH($A$353,BD!$Y$22:$AS$22,0))),"")</f>
        <v/>
      </c>
      <c r="E363" s="164"/>
      <c r="F363" s="165" t="str">
        <f>IF(F$3="","",IF(COUNTIFS(BD!$A$3:$A$5001,F$3,BD!$B$3:$B$5001,$A$353,BD!$M$3:$M$5001,"&lt;&gt;")=0,"",SUMIFS(BD!$M$3:$M$5001,BD!$A$3:$A$5001,F$3,BD!$B$3:$B$5001,$A$353)))</f>
        <v/>
      </c>
      <c r="G363" s="166" t="str">
        <f>IF(G$3="","",IF(COUNTIFS(BD!$A$3:$A$5001,G$3,BD!$B$3:$B$5001,$A$353,BD!$M$3:$M$5001,"&lt;&gt;")=0,"",SUMIFS(BD!$M$3:$M$5001,BD!$A$3:$A$5001,G$3,BD!$B$3:$B$5001,$A$353)))</f>
        <v/>
      </c>
      <c r="H363" s="166" t="str">
        <f>IF(H$3="","",IF(COUNTIFS(BD!$A$3:$A$5001,H$3,BD!$B$3:$B$5001,$A$353,BD!$M$3:$M$5001,"&lt;&gt;")=0,"",SUMIFS(BD!$M$3:$M$5001,BD!$A$3:$A$5001,H$3,BD!$B$3:$B$5001,$A$353)))</f>
        <v/>
      </c>
      <c r="I363" s="166" t="str">
        <f>IF(I$3="","",IF(COUNTIFS(BD!$A$3:$A$5001,I$3,BD!$B$3:$B$5001,$A$353,BD!$M$3:$M$5001,"&lt;&gt;")=0,"",SUMIFS(BD!$M$3:$M$5001,BD!$A$3:$A$5001,I$3,BD!$B$3:$B$5001,$A$353)))</f>
        <v/>
      </c>
      <c r="J363" s="166" t="str">
        <f>IF(J$3="","",IF(COUNTIFS(BD!$A$3:$A$5001,J$3,BD!$B$3:$B$5001,$A$353,BD!$M$3:$M$5001,"&lt;&gt;")=0,"",SUMIFS(BD!$M$3:$M$5001,BD!$A$3:$A$5001,J$3,BD!$B$3:$B$5001,$A$353)))</f>
        <v/>
      </c>
      <c r="K363" s="166" t="str">
        <f>IF(K$3="","",IF(COUNTIFS(BD!$A$3:$A$5001,K$3,BD!$B$3:$B$5001,$A$353,BD!$M$3:$M$5001,"&lt;&gt;")=0,"",SUMIFS(BD!$M$3:$M$5001,BD!$A$3:$A$5001,K$3,BD!$B$3:$B$5001,$A$353)))</f>
        <v/>
      </c>
      <c r="L363" s="166" t="str">
        <f>IF(L$3="","",IF(COUNTIFS(BD!$A$3:$A$5001,L$3,BD!$B$3:$B$5001,$A$353,BD!$M$3:$M$5001,"&lt;&gt;")=0,"",SUMIFS(BD!$M$3:$M$5001,BD!$A$3:$A$5001,L$3,BD!$B$3:$B$5001,$A$353)))</f>
        <v/>
      </c>
      <c r="M363" s="166" t="str">
        <f>IF(M$3="","",IF(COUNTIFS(BD!$A$3:$A$5001,M$3,BD!$B$3:$B$5001,$A$353,BD!$M$3:$M$5001,"&lt;&gt;")=0,"",SUMIFS(BD!$M$3:$M$5001,BD!$A$3:$A$5001,M$3,BD!$B$3:$B$5001,$A$353)))</f>
        <v/>
      </c>
      <c r="N363" s="166" t="str">
        <f>IF(N$3="","",IF(COUNTIFS(BD!$A$3:$A$5001,N$3,BD!$B$3:$B$5001,$A$353,BD!$M$3:$M$5001,"&lt;&gt;")=0,"",SUMIFS(BD!$M$3:$M$5001,BD!$A$3:$A$5001,N$3,BD!$B$3:$B$5001,$A$353)))</f>
        <v/>
      </c>
      <c r="O363" s="166" t="str">
        <f>IF(O$3="","",IF(COUNTIFS(BD!$A$3:$A$5001,O$3,BD!$B$3:$B$5001,$A$353,BD!$M$3:$M$5001,"&lt;&gt;")=0,"",SUMIFS(BD!$M$3:$M$5001,BD!$A$3:$A$5001,O$3,BD!$B$3:$B$5001,$A$353)))</f>
        <v/>
      </c>
      <c r="P363" s="166" t="str">
        <f>IF(P$3="","",IF(COUNTIFS(BD!$A$3:$A$5001,P$3,BD!$B$3:$B$5001,$A$353,BD!$M$3:$M$5001,"&lt;&gt;")=0,"",SUMIFS(BD!$M$3:$M$5001,BD!$A$3:$A$5001,P$3,BD!$B$3:$B$5001,$A$353)))</f>
        <v/>
      </c>
      <c r="Q363" s="166" t="str">
        <f>IF(Q$3="","",IF(COUNTIFS(BD!$A$3:$A$5001,Q$3,BD!$B$3:$B$5001,$A$353,BD!$M$3:$M$5001,"&lt;&gt;")=0,"",SUMIFS(BD!$M$3:$M$5001,BD!$A$3:$A$5001,Q$3,BD!$B$3:$B$5001,$A$353)))</f>
        <v/>
      </c>
      <c r="R363" s="166" t="str">
        <f>IF(R$3="","",IF(COUNTIFS(BD!$A$3:$A$5001,R$3,BD!$B$3:$B$5001,$A$353,BD!$M$3:$M$5001,"&lt;&gt;")=0,"",SUMIFS(BD!$M$3:$M$5001,BD!$A$3:$A$5001,R$3,BD!$B$3:$B$5001,$A$353)))</f>
        <v/>
      </c>
      <c r="S363" s="166" t="str">
        <f>IF(S$3="","",IF(COUNTIFS(BD!$A$3:$A$5001,S$3,BD!$B$3:$B$5001,$A$353,BD!$M$3:$M$5001,"&lt;&gt;")=0,"",SUMIFS(BD!$M$3:$M$5001,BD!$A$3:$A$5001,S$3,BD!$B$3:$B$5001,$A$353)))</f>
        <v/>
      </c>
      <c r="T363" s="166" t="str">
        <f>IF(T$3="","",IF(COUNTIFS(BD!$A$3:$A$5001,T$3,BD!$B$3:$B$5001,$A$353,BD!$M$3:$M$5001,"&lt;&gt;")=0,"",SUMIFS(BD!$M$3:$M$5001,BD!$A$3:$A$5001,T$3,BD!$B$3:$B$5001,$A$353)))</f>
        <v/>
      </c>
      <c r="U363" s="166" t="str">
        <f>IF(U$3="","",IF(COUNTIFS(BD!$A$3:$A$5001,U$3,BD!$B$3:$B$5001,$A$353,BD!$M$3:$M$5001,"&lt;&gt;")=0,"",SUMIFS(BD!$M$3:$M$5001,BD!$A$3:$A$5001,U$3,BD!$B$3:$B$5001,$A$353)))</f>
        <v/>
      </c>
      <c r="V363" s="166" t="str">
        <f>IF(V$3="","",IF(COUNTIFS(BD!$A$3:$A$5001,V$3,BD!$B$3:$B$5001,$A$353,BD!$M$3:$M$5001,"&lt;&gt;")=0,"",SUMIFS(BD!$M$3:$M$5001,BD!$A$3:$A$5001,V$3,BD!$B$3:$B$5001,$A$353)))</f>
        <v/>
      </c>
      <c r="W363" s="166" t="str">
        <f>IF(W$3="","",IF(COUNTIFS(BD!$A$3:$A$5001,W$3,BD!$B$3:$B$5001,$A$353,BD!$M$3:$M$5001,"&lt;&gt;")=0,"",SUMIFS(BD!$M$3:$M$5001,BD!$A$3:$A$5001,W$3,BD!$B$3:$B$5001,$A$353)))</f>
        <v/>
      </c>
      <c r="X363" s="166" t="str">
        <f>IF(X$3="","",IF(COUNTIFS(BD!$A$3:$A$5001,X$3,BD!$B$3:$B$5001,$A$353,BD!$M$3:$M$5001,"&lt;&gt;")=0,"",SUMIFS(BD!$M$3:$M$5001,BD!$A$3:$A$5001,X$3,BD!$B$3:$B$5001,$A$353)))</f>
        <v/>
      </c>
      <c r="Y363" s="166" t="str">
        <f>IF(Y$3="","",IF(COUNTIFS(BD!$A$3:$A$5001,Y$3,BD!$B$3:$B$5001,$A$353,BD!$M$3:$M$5001,"&lt;&gt;")=0,"",SUMIFS(BD!$M$3:$M$5001,BD!$A$3:$A$5001,Y$3,BD!$B$3:$B$5001,$A$353)))</f>
        <v/>
      </c>
      <c r="Z363" s="166" t="str">
        <f>IF(Z$3="","",IF(COUNTIFS(BD!$A$3:$A$5001,Z$3,BD!$B$3:$B$5001,$A$353,BD!$M$3:$M$5001,"&lt;&gt;")=0,"",SUMIFS(BD!$M$3:$M$5001,BD!$A$3:$A$5001,Z$3,BD!$B$3:$B$5001,$A$353)))</f>
        <v/>
      </c>
      <c r="AA363" s="166" t="str">
        <f>IF(AA$3="","",IF(COUNTIFS(BD!$A$3:$A$5001,AA$3,BD!$B$3:$B$5001,$A$353,BD!$M$3:$M$5001,"&lt;&gt;")=0,"",SUMIFS(BD!$M$3:$M$5001,BD!$A$3:$A$5001,AA$3,BD!$B$3:$B$5001,$A$353)))</f>
        <v/>
      </c>
      <c r="AB363" s="166" t="str">
        <f>IF(AB$3="","",IF(COUNTIFS(BD!$A$3:$A$5001,AB$3,BD!$B$3:$B$5001,$A$353,BD!$M$3:$M$5001,"&lt;&gt;")=0,"",SUMIFS(BD!$M$3:$M$5001,BD!$A$3:$A$5001,AB$3,BD!$B$3:$B$5001,$A$353)))</f>
        <v/>
      </c>
      <c r="AC363" s="166" t="str">
        <f>IF(AC$3="","",IF(COUNTIFS(BD!$A$3:$A$5001,AC$3,BD!$B$3:$B$5001,$A$353,BD!$M$3:$M$5001,"&lt;&gt;")=0,"",SUMIFS(BD!$M$3:$M$5001,BD!$A$3:$A$5001,AC$3,BD!$B$3:$B$5001,$A$353)))</f>
        <v/>
      </c>
      <c r="AD363" s="166" t="str">
        <f>IF(AD$3="","",IF(COUNTIFS(BD!$A$3:$A$5001,AD$3,BD!$B$3:$B$5001,$A$353,BD!$M$3:$M$5001,"&lt;&gt;")=0,"",SUMIFS(BD!$M$3:$M$5001,BD!$A$3:$A$5001,AD$3,BD!$B$3:$B$5001,$A$353)))</f>
        <v/>
      </c>
      <c r="AE363" s="166" t="str">
        <f>IF(AE$3="","",IF(COUNTIFS(BD!$A$3:$A$5001,AE$3,BD!$B$3:$B$5001,$A$353,BD!$M$3:$M$5001,"&lt;&gt;")=0,"",SUMIFS(BD!$M$3:$M$5001,BD!$A$3:$A$5001,AE$3,BD!$B$3:$B$5001,$A$353)))</f>
        <v/>
      </c>
      <c r="AF363" s="166" t="str">
        <f>IF(AF$3="","",IF(COUNTIFS(BD!$A$3:$A$5001,AF$3,BD!$B$3:$B$5001,$A$353,BD!$M$3:$M$5001,"&lt;&gt;")=0,"",SUMIFS(BD!$M$3:$M$5001,BD!$A$3:$A$5001,AF$3,BD!$B$3:$B$5001,$A$353)))</f>
        <v/>
      </c>
      <c r="AG363" s="166" t="str">
        <f>IF(AG$3="","",IF(COUNTIFS(BD!$A$3:$A$5001,AG$3,BD!$B$3:$B$5001,$A$353,BD!$M$3:$M$5001,"&lt;&gt;")=0,"",SUMIFS(BD!$M$3:$M$5001,BD!$A$3:$A$5001,AG$3,BD!$B$3:$B$5001,$A$353)))</f>
        <v/>
      </c>
      <c r="AH363" s="166" t="str">
        <f>IF(AH$3="","",IF(COUNTIFS(BD!$A$3:$A$5001,AH$3,BD!$B$3:$B$5001,$A$353,BD!$M$3:$M$5001,"&lt;&gt;")=0,"",SUMIFS(BD!$M$3:$M$5001,BD!$A$3:$A$5001,AH$3,BD!$B$3:$B$5001,$A$353)))</f>
        <v/>
      </c>
      <c r="AI363" s="166" t="str">
        <f>IF(AI$3="","",IF(COUNTIFS(BD!$A$3:$A$5001,AI$3,BD!$B$3:$B$5001,$A$353,BD!$M$3:$M$5001,"&lt;&gt;")=0,"",SUMIFS(BD!$M$3:$M$5001,BD!$A$3:$A$5001,AI$3,BD!$B$3:$B$5001,$A$353)))</f>
        <v/>
      </c>
      <c r="AJ363" s="167" t="str">
        <f>IF(AJ$3="","",IF(COUNTIFS(BD!$A$3:$A$5001,AJ$3,BD!$B$3:$B$5001,$A$353,BD!$M$3:$M$5001,"&lt;&gt;")=0,"",SUMIFS(BD!$M$3:$M$5001,BD!$A$3:$A$5001,AJ$3,BD!$B$3:$B$5001,$A$353)))</f>
        <v/>
      </c>
      <c r="AK363" s="168" t="str">
        <f>IFERROR(LOOKUP(9.99E+307,F363:AJ363),"")</f>
        <v/>
      </c>
    </row>
    <row r="364" ht="15.75" customHeight="1" hidden="1">
      <c r="A364" s="254"/>
      <c r="B364" s="243"/>
      <c r="C364" s="169" t="inlineStr">
        <is>
          <t xml:space="preserve">Taxa de Ocupação</t>
        </is>
      </c>
      <c r="D364" s="217" t="str">
        <f>IFERROR(1/(1/INDEX(BD!$Y$34:$AS$34,MATCH($A$353,BD!$Y$22:$AS$22,0))),"")</f>
        <v/>
      </c>
      <c r="E364" s="171"/>
      <c r="F364" s="218" t="str">
        <f>IF(AND(ISNUMBER(F362),ISNUMBER(F363)),IF(F362&gt;0,F363/F362,""),"")</f>
        <v/>
      </c>
      <c r="G364" s="219" t="str">
        <f>IF(AND(ISNUMBER(G362),ISNUMBER(G363)),IF(G362&gt;0,G363/G362,""),"")</f>
        <v/>
      </c>
      <c r="H364" s="219" t="str">
        <f>IF(AND(ISNUMBER(H362),ISNUMBER(H363)),IF(H362&gt;0,H363/H362,""),"")</f>
        <v/>
      </c>
      <c r="I364" s="219" t="str">
        <f>IF(AND(ISNUMBER(I362),ISNUMBER(I363)),IF(I362&gt;0,I363/I362,""),"")</f>
        <v/>
      </c>
      <c r="J364" s="219" t="str">
        <f>IF(AND(ISNUMBER(J362),ISNUMBER(J363)),IF(J362&gt;0,J363/J362,""),"")</f>
        <v/>
      </c>
      <c r="K364" s="219" t="str">
        <f>IF(AND(ISNUMBER(K362),ISNUMBER(K363)),IF(K362&gt;0,K363/K362,""),"")</f>
        <v/>
      </c>
      <c r="L364" s="219" t="str">
        <f>IF(AND(ISNUMBER(L362),ISNUMBER(L363)),IF(L362&gt;0,L363/L362,""),"")</f>
        <v/>
      </c>
      <c r="M364" s="219" t="str">
        <f>IF(AND(ISNUMBER(M362),ISNUMBER(M363)),IF(M362&gt;0,M363/M362,""),"")</f>
        <v/>
      </c>
      <c r="N364" s="219" t="str">
        <f>IF(AND(ISNUMBER(N362),ISNUMBER(N363)),IF(N362&gt;0,N363/N362,""),"")</f>
        <v/>
      </c>
      <c r="O364" s="219" t="str">
        <f>IF(AND(ISNUMBER(O362),ISNUMBER(O363)),IF(O362&gt;0,O363/O362,""),"")</f>
        <v/>
      </c>
      <c r="P364" s="219" t="str">
        <f>IF(AND(ISNUMBER(P362),ISNUMBER(P363)),IF(P362&gt;0,P363/P362,""),"")</f>
        <v/>
      </c>
      <c r="Q364" s="219" t="str">
        <f>IF(AND(ISNUMBER(Q362),ISNUMBER(Q363)),IF(Q362&gt;0,Q363/Q362,""),"")</f>
        <v/>
      </c>
      <c r="R364" s="219" t="str">
        <f>IF(AND(ISNUMBER(R362),ISNUMBER(R363)),IF(R362&gt;0,R363/R362,""),"")</f>
        <v/>
      </c>
      <c r="S364" s="219" t="str">
        <f>IF(AND(ISNUMBER(S362),ISNUMBER(S363)),IF(S362&gt;0,S363/S362,""),"")</f>
        <v/>
      </c>
      <c r="T364" s="219" t="str">
        <f>IF(AND(ISNUMBER(T362),ISNUMBER(T363)),IF(T362&gt;0,T363/T362,""),"")</f>
        <v/>
      </c>
      <c r="U364" s="219" t="str">
        <f>IF(AND(ISNUMBER(U362),ISNUMBER(U363)),IF(U362&gt;0,U363/U362,""),"")</f>
        <v/>
      </c>
      <c r="V364" s="219" t="str">
        <f>IF(AND(ISNUMBER(V362),ISNUMBER(V363)),IF(V362&gt;0,V363/V362,""),"")</f>
        <v/>
      </c>
      <c r="W364" s="219" t="str">
        <f>IF(AND(ISNUMBER(W362),ISNUMBER(W363)),IF(W362&gt;0,W363/W362,""),"")</f>
        <v/>
      </c>
      <c r="X364" s="219" t="str">
        <f>IF(AND(ISNUMBER(X362),ISNUMBER(X363)),IF(X362&gt;0,X363/X362,""),"")</f>
        <v/>
      </c>
      <c r="Y364" s="219" t="str">
        <f>IF(AND(ISNUMBER(Y362),ISNUMBER(Y363)),IF(Y362&gt;0,Y363/Y362,""),"")</f>
        <v/>
      </c>
      <c r="Z364" s="219" t="str">
        <f>IF(AND(ISNUMBER(Z362),ISNUMBER(Z363)),IF(Z362&gt;0,Z363/Z362,""),"")</f>
        <v/>
      </c>
      <c r="AA364" s="219" t="str">
        <f>IF(AND(ISNUMBER(AA362),ISNUMBER(AA363)),IF(AA362&gt;0,AA363/AA362,""),"")</f>
        <v/>
      </c>
      <c r="AB364" s="219" t="str">
        <f>IF(AND(ISNUMBER(AB362),ISNUMBER(AB363)),IF(AB362&gt;0,AB363/AB362,""),"")</f>
        <v/>
      </c>
      <c r="AC364" s="219" t="str">
        <f>IF(AND(ISNUMBER(AC362),ISNUMBER(AC363)),IF(AC362&gt;0,AC363/AC362,""),"")</f>
        <v/>
      </c>
      <c r="AD364" s="219" t="str">
        <f>IF(AND(ISNUMBER(AD362),ISNUMBER(AD363)),IF(AD362&gt;0,AD363/AD362,""),"")</f>
        <v/>
      </c>
      <c r="AE364" s="219" t="str">
        <f>IF(AND(ISNUMBER(AE362),ISNUMBER(AE363)),IF(AE362&gt;0,AE363/AE362,""),"")</f>
        <v/>
      </c>
      <c r="AF364" s="219" t="str">
        <f>IF(AND(ISNUMBER(AF362),ISNUMBER(AF363)),IF(AF362&gt;0,AF363/AF362,""),"")</f>
        <v/>
      </c>
      <c r="AG364" s="219" t="str">
        <f>IF(AND(ISNUMBER(AG362),ISNUMBER(AG363)),IF(AG362&gt;0,AG363/AG362,""),"")</f>
        <v/>
      </c>
      <c r="AH364" s="219" t="str">
        <f>IF(AND(ISNUMBER(AH362),ISNUMBER(AH363)),IF(AH362&gt;0,AH363/AH362,""),"")</f>
        <v/>
      </c>
      <c r="AI364" s="219" t="str">
        <f>IF(AND(ISNUMBER(AI362),ISNUMBER(AI363)),IF(AI362&gt;0,AI363/AI362,""),"")</f>
        <v/>
      </c>
      <c r="AJ364" s="220" t="str">
        <f>IF(AND(ISNUMBER(AJ362),ISNUMBER(AJ363)),IF(AJ362&gt;0,AJ363/AJ362,""),"")</f>
        <v/>
      </c>
      <c r="AK364" s="217" t="str">
        <f>IF(AND(ISNUMBER(AK362),ISNUMBER(AK363)),IF(AK362&gt;0,AK363/AK362,""),"")</f>
        <v/>
      </c>
    </row>
    <row r="365" ht="15.75" customHeight="1" hidden="1">
      <c r="A365" s="254"/>
      <c r="B365" s="250" t="inlineStr">
        <is>
          <t xml:space="preserve">GENTE</t>
        </is>
      </c>
      <c r="C365" s="221" t="inlineStr">
        <is>
          <t xml:space="preserve">Efetivo Op.</t>
        </is>
      </c>
      <c r="D365" s="222" t="str">
        <f>IFERROR(1/(1/INDEX(BD!$Y$35:$AS$35,MATCH($A$353,BD!$Y$22:$AS$22,0))),"")</f>
        <v/>
      </c>
      <c r="E365" s="223"/>
      <c r="F365" s="224" t="str">
        <f>IF(F$3="","",IF(COUNTIFS(BD!$A$3:$A$5001,F$3,BD!$B$3:$B$5001,$A$353,BD!$N$3:$N$5001,"&lt;&gt;")=0,"",SUMIFS(BD!$N$3:$N$5001,BD!$A$3:$A$5001,F$3,BD!$B$3:$B$5001,$A$353)))</f>
        <v/>
      </c>
      <c r="G365" s="225" t="str">
        <f>IF(G$3="","",IF(COUNTIFS(BD!$A$3:$A$5001,G$3,BD!$B$3:$B$5001,$A$353,BD!$N$3:$N$5001,"&lt;&gt;")=0,"",SUMIFS(BD!$N$3:$N$5001,BD!$A$3:$A$5001,G$3,BD!$B$3:$B$5001,$A$353)))</f>
        <v/>
      </c>
      <c r="H365" s="225" t="str">
        <f>IF(H$3="","",IF(COUNTIFS(BD!$A$3:$A$5001,H$3,BD!$B$3:$B$5001,$A$353,BD!$N$3:$N$5001,"&lt;&gt;")=0,"",SUMIFS(BD!$N$3:$N$5001,BD!$A$3:$A$5001,H$3,BD!$B$3:$B$5001,$A$353)))</f>
        <v/>
      </c>
      <c r="I365" s="225" t="str">
        <f>IF(I$3="","",IF(COUNTIFS(BD!$A$3:$A$5001,I$3,BD!$B$3:$B$5001,$A$353,BD!$N$3:$N$5001,"&lt;&gt;")=0,"",SUMIFS(BD!$N$3:$N$5001,BD!$A$3:$A$5001,I$3,BD!$B$3:$B$5001,$A$353)))</f>
        <v/>
      </c>
      <c r="J365" s="225" t="str">
        <f>IF(J$3="","",IF(COUNTIFS(BD!$A$3:$A$5001,J$3,BD!$B$3:$B$5001,$A$353,BD!$N$3:$N$5001,"&lt;&gt;")=0,"",SUMIFS(BD!$N$3:$N$5001,BD!$A$3:$A$5001,J$3,BD!$B$3:$B$5001,$A$353)))</f>
        <v/>
      </c>
      <c r="K365" s="225" t="str">
        <f>IF(K$3="","",IF(COUNTIFS(BD!$A$3:$A$5001,K$3,BD!$B$3:$B$5001,$A$353,BD!$N$3:$N$5001,"&lt;&gt;")=0,"",SUMIFS(BD!$N$3:$N$5001,BD!$A$3:$A$5001,K$3,BD!$B$3:$B$5001,$A$353)))</f>
        <v/>
      </c>
      <c r="L365" s="225" t="str">
        <f>IF(L$3="","",IF(COUNTIFS(BD!$A$3:$A$5001,L$3,BD!$B$3:$B$5001,$A$353,BD!$N$3:$N$5001,"&lt;&gt;")=0,"",SUMIFS(BD!$N$3:$N$5001,BD!$A$3:$A$5001,L$3,BD!$B$3:$B$5001,$A$353)))</f>
        <v/>
      </c>
      <c r="M365" s="225" t="str">
        <f>IF(M$3="","",IF(COUNTIFS(BD!$A$3:$A$5001,M$3,BD!$B$3:$B$5001,$A$353,BD!$N$3:$N$5001,"&lt;&gt;")=0,"",SUMIFS(BD!$N$3:$N$5001,BD!$A$3:$A$5001,M$3,BD!$B$3:$B$5001,$A$353)))</f>
        <v/>
      </c>
      <c r="N365" s="225" t="str">
        <f>IF(N$3="","",IF(COUNTIFS(BD!$A$3:$A$5001,N$3,BD!$B$3:$B$5001,$A$353,BD!$N$3:$N$5001,"&lt;&gt;")=0,"",SUMIFS(BD!$N$3:$N$5001,BD!$A$3:$A$5001,N$3,BD!$B$3:$B$5001,$A$353)))</f>
        <v/>
      </c>
      <c r="O365" s="225" t="str">
        <f>IF(O$3="","",IF(COUNTIFS(BD!$A$3:$A$5001,O$3,BD!$B$3:$B$5001,$A$353,BD!$N$3:$N$5001,"&lt;&gt;")=0,"",SUMIFS(BD!$N$3:$N$5001,BD!$A$3:$A$5001,O$3,BD!$B$3:$B$5001,$A$353)))</f>
        <v/>
      </c>
      <c r="P365" s="225" t="str">
        <f>IF(P$3="","",IF(COUNTIFS(BD!$A$3:$A$5001,P$3,BD!$B$3:$B$5001,$A$353,BD!$N$3:$N$5001,"&lt;&gt;")=0,"",SUMIFS(BD!$N$3:$N$5001,BD!$A$3:$A$5001,P$3,BD!$B$3:$B$5001,$A$353)))</f>
        <v/>
      </c>
      <c r="Q365" s="225" t="str">
        <f>IF(Q$3="","",IF(COUNTIFS(BD!$A$3:$A$5001,Q$3,BD!$B$3:$B$5001,$A$353,BD!$N$3:$N$5001,"&lt;&gt;")=0,"",SUMIFS(BD!$N$3:$N$5001,BD!$A$3:$A$5001,Q$3,BD!$B$3:$B$5001,$A$353)))</f>
        <v/>
      </c>
      <c r="R365" s="225" t="str">
        <f>IF(R$3="","",IF(COUNTIFS(BD!$A$3:$A$5001,R$3,BD!$B$3:$B$5001,$A$353,BD!$N$3:$N$5001,"&lt;&gt;")=0,"",SUMIFS(BD!$N$3:$N$5001,BD!$A$3:$A$5001,R$3,BD!$B$3:$B$5001,$A$353)))</f>
        <v/>
      </c>
      <c r="S365" s="225" t="str">
        <f>IF(S$3="","",IF(COUNTIFS(BD!$A$3:$A$5001,S$3,BD!$B$3:$B$5001,$A$353,BD!$N$3:$N$5001,"&lt;&gt;")=0,"",SUMIFS(BD!$N$3:$N$5001,BD!$A$3:$A$5001,S$3,BD!$B$3:$B$5001,$A$353)))</f>
        <v/>
      </c>
      <c r="T365" s="225" t="str">
        <f>IF(T$3="","",IF(COUNTIFS(BD!$A$3:$A$5001,T$3,BD!$B$3:$B$5001,$A$353,BD!$N$3:$N$5001,"&lt;&gt;")=0,"",SUMIFS(BD!$N$3:$N$5001,BD!$A$3:$A$5001,T$3,BD!$B$3:$B$5001,$A$353)))</f>
        <v/>
      </c>
      <c r="U365" s="225" t="str">
        <f>IF(U$3="","",IF(COUNTIFS(BD!$A$3:$A$5001,U$3,BD!$B$3:$B$5001,$A$353,BD!$N$3:$N$5001,"&lt;&gt;")=0,"",SUMIFS(BD!$N$3:$N$5001,BD!$A$3:$A$5001,U$3,BD!$B$3:$B$5001,$A$353)))</f>
        <v/>
      </c>
      <c r="V365" s="225" t="str">
        <f>IF(V$3="","",IF(COUNTIFS(BD!$A$3:$A$5001,V$3,BD!$B$3:$B$5001,$A$353,BD!$N$3:$N$5001,"&lt;&gt;")=0,"",SUMIFS(BD!$N$3:$N$5001,BD!$A$3:$A$5001,V$3,BD!$B$3:$B$5001,$A$353)))</f>
        <v/>
      </c>
      <c r="W365" s="225" t="str">
        <f>IF(W$3="","",IF(COUNTIFS(BD!$A$3:$A$5001,W$3,BD!$B$3:$B$5001,$A$353,BD!$N$3:$N$5001,"&lt;&gt;")=0,"",SUMIFS(BD!$N$3:$N$5001,BD!$A$3:$A$5001,W$3,BD!$B$3:$B$5001,$A$353)))</f>
        <v/>
      </c>
      <c r="X365" s="225" t="str">
        <f>IF(X$3="","",IF(COUNTIFS(BD!$A$3:$A$5001,X$3,BD!$B$3:$B$5001,$A$353,BD!$N$3:$N$5001,"&lt;&gt;")=0,"",SUMIFS(BD!$N$3:$N$5001,BD!$A$3:$A$5001,X$3,BD!$B$3:$B$5001,$A$353)))</f>
        <v/>
      </c>
      <c r="Y365" s="225" t="str">
        <f>IF(Y$3="","",IF(COUNTIFS(BD!$A$3:$A$5001,Y$3,BD!$B$3:$B$5001,$A$353,BD!$N$3:$N$5001,"&lt;&gt;")=0,"",SUMIFS(BD!$N$3:$N$5001,BD!$A$3:$A$5001,Y$3,BD!$B$3:$B$5001,$A$353)))</f>
        <v/>
      </c>
      <c r="Z365" s="225" t="str">
        <f>IF(Z$3="","",IF(COUNTIFS(BD!$A$3:$A$5001,Z$3,BD!$B$3:$B$5001,$A$353,BD!$N$3:$N$5001,"&lt;&gt;")=0,"",SUMIFS(BD!$N$3:$N$5001,BD!$A$3:$A$5001,Z$3,BD!$B$3:$B$5001,$A$353)))</f>
        <v/>
      </c>
      <c r="AA365" s="225" t="str">
        <f>IF(AA$3="","",IF(COUNTIFS(BD!$A$3:$A$5001,AA$3,BD!$B$3:$B$5001,$A$353,BD!$N$3:$N$5001,"&lt;&gt;")=0,"",SUMIFS(BD!$N$3:$N$5001,BD!$A$3:$A$5001,AA$3,BD!$B$3:$B$5001,$A$353)))</f>
        <v/>
      </c>
      <c r="AB365" s="225" t="str">
        <f>IF(AB$3="","",IF(COUNTIFS(BD!$A$3:$A$5001,AB$3,BD!$B$3:$B$5001,$A$353,BD!$N$3:$N$5001,"&lt;&gt;")=0,"",SUMIFS(BD!$N$3:$N$5001,BD!$A$3:$A$5001,AB$3,BD!$B$3:$B$5001,$A$353)))</f>
        <v/>
      </c>
      <c r="AC365" s="225" t="str">
        <f>IF(AC$3="","",IF(COUNTIFS(BD!$A$3:$A$5001,AC$3,BD!$B$3:$B$5001,$A$353,BD!$N$3:$N$5001,"&lt;&gt;")=0,"",SUMIFS(BD!$N$3:$N$5001,BD!$A$3:$A$5001,AC$3,BD!$B$3:$B$5001,$A$353)))</f>
        <v/>
      </c>
      <c r="AD365" s="225" t="str">
        <f>IF(AD$3="","",IF(COUNTIFS(BD!$A$3:$A$5001,AD$3,BD!$B$3:$B$5001,$A$353,BD!$N$3:$N$5001,"&lt;&gt;")=0,"",SUMIFS(BD!$N$3:$N$5001,BD!$A$3:$A$5001,AD$3,BD!$B$3:$B$5001,$A$353)))</f>
        <v/>
      </c>
      <c r="AE365" s="225" t="str">
        <f>IF(AE$3="","",IF(COUNTIFS(BD!$A$3:$A$5001,AE$3,BD!$B$3:$B$5001,$A$353,BD!$N$3:$N$5001,"&lt;&gt;")=0,"",SUMIFS(BD!$N$3:$N$5001,BD!$A$3:$A$5001,AE$3,BD!$B$3:$B$5001,$A$353)))</f>
        <v/>
      </c>
      <c r="AF365" s="225" t="str">
        <f>IF(AF$3="","",IF(COUNTIFS(BD!$A$3:$A$5001,AF$3,BD!$B$3:$B$5001,$A$353,BD!$N$3:$N$5001,"&lt;&gt;")=0,"",SUMIFS(BD!$N$3:$N$5001,BD!$A$3:$A$5001,AF$3,BD!$B$3:$B$5001,$A$353)))</f>
        <v/>
      </c>
      <c r="AG365" s="225" t="str">
        <f>IF(AG$3="","",IF(COUNTIFS(BD!$A$3:$A$5001,AG$3,BD!$B$3:$B$5001,$A$353,BD!$N$3:$N$5001,"&lt;&gt;")=0,"",SUMIFS(BD!$N$3:$N$5001,BD!$A$3:$A$5001,AG$3,BD!$B$3:$B$5001,$A$353)))</f>
        <v/>
      </c>
      <c r="AH365" s="225" t="str">
        <f>IF(AH$3="","",IF(COUNTIFS(BD!$A$3:$A$5001,AH$3,BD!$B$3:$B$5001,$A$353,BD!$N$3:$N$5001,"&lt;&gt;")=0,"",SUMIFS(BD!$N$3:$N$5001,BD!$A$3:$A$5001,AH$3,BD!$B$3:$B$5001,$A$353)))</f>
        <v/>
      </c>
      <c r="AI365" s="225" t="str">
        <f>IF(AI$3="","",IF(COUNTIFS(BD!$A$3:$A$5001,AI$3,BD!$B$3:$B$5001,$A$353,BD!$N$3:$N$5001,"&lt;&gt;")=0,"",SUMIFS(BD!$N$3:$N$5001,BD!$A$3:$A$5001,AI$3,BD!$B$3:$B$5001,$A$353)))</f>
        <v/>
      </c>
      <c r="AJ365" s="226" t="str">
        <f>IF(AJ$3="","",IF(COUNTIFS(BD!$A$3:$A$5001,AJ$3,BD!$B$3:$B$5001,$A$353,BD!$N$3:$N$5001,"&lt;&gt;")=0,"",SUMIFS(BD!$N$3:$N$5001,BD!$A$3:$A$5001,AJ$3,BD!$B$3:$B$5001,$A$353)))</f>
        <v/>
      </c>
      <c r="AK365" s="227" t="str">
        <f>IFERROR(LOOKUP(9.99E+307,F365:AJ365),"")</f>
        <v/>
      </c>
    </row>
    <row r="366" ht="15.75" customHeight="1" hidden="1">
      <c r="A366" s="254"/>
      <c r="B366" s="251"/>
      <c r="C366" s="228" t="inlineStr">
        <is>
          <t xml:space="preserve">Falta</t>
        </is>
      </c>
      <c r="D366" s="229" t="str">
        <f>IFERROR(1/(1/INDEX(BD!$Y$36:$AS$36,MATCH($A$353,BD!$Y$22:$AS$22,0))),"")</f>
        <v/>
      </c>
      <c r="E366" s="230"/>
      <c r="F366" s="231" t="str">
        <f>IF(F$3="","",IF(COUNTIFS(BD!$A$3:$A$5001,F$3,BD!$B$3:$B$5001,$A$353,BD!$O$3:$O$5001,"&lt;&gt;")=0,"",SUMIFS(BD!$O$3:$O$5001,BD!$A$3:$A$5001,F$3,BD!$B$3:$B$5001,$A$353)))</f>
        <v/>
      </c>
      <c r="G366" s="232" t="str">
        <f>IF(G$3="","",IF(COUNTIFS(BD!$A$3:$A$5001,G$3,BD!$B$3:$B$5001,$A$353,BD!$O$3:$O$5001,"&lt;&gt;")=0,"",SUMIFS(BD!$O$3:$O$5001,BD!$A$3:$A$5001,G$3,BD!$B$3:$B$5001,$A$353)))</f>
        <v/>
      </c>
      <c r="H366" s="232" t="str">
        <f>IF(H$3="","",IF(COUNTIFS(BD!$A$3:$A$5001,H$3,BD!$B$3:$B$5001,$A$353,BD!$O$3:$O$5001,"&lt;&gt;")=0,"",SUMIFS(BD!$O$3:$O$5001,BD!$A$3:$A$5001,H$3,BD!$B$3:$B$5001,$A$353)))</f>
        <v/>
      </c>
      <c r="I366" s="232" t="str">
        <f>IF(I$3="","",IF(COUNTIFS(BD!$A$3:$A$5001,I$3,BD!$B$3:$B$5001,$A$353,BD!$O$3:$O$5001,"&lt;&gt;")=0,"",SUMIFS(BD!$O$3:$O$5001,BD!$A$3:$A$5001,I$3,BD!$B$3:$B$5001,$A$353)))</f>
        <v/>
      </c>
      <c r="J366" s="232" t="str">
        <f>IF(J$3="","",IF(COUNTIFS(BD!$A$3:$A$5001,J$3,BD!$B$3:$B$5001,$A$353,BD!$O$3:$O$5001,"&lt;&gt;")=0,"",SUMIFS(BD!$O$3:$O$5001,BD!$A$3:$A$5001,J$3,BD!$B$3:$B$5001,$A$353)))</f>
        <v/>
      </c>
      <c r="K366" s="232" t="str">
        <f>IF(K$3="","",IF(COUNTIFS(BD!$A$3:$A$5001,K$3,BD!$B$3:$B$5001,$A$353,BD!$O$3:$O$5001,"&lt;&gt;")=0,"",SUMIFS(BD!$O$3:$O$5001,BD!$A$3:$A$5001,K$3,BD!$B$3:$B$5001,$A$353)))</f>
        <v/>
      </c>
      <c r="L366" s="232" t="str">
        <f>IF(L$3="","",IF(COUNTIFS(BD!$A$3:$A$5001,L$3,BD!$B$3:$B$5001,$A$353,BD!$O$3:$O$5001,"&lt;&gt;")=0,"",SUMIFS(BD!$O$3:$O$5001,BD!$A$3:$A$5001,L$3,BD!$B$3:$B$5001,$A$353)))</f>
        <v/>
      </c>
      <c r="M366" s="232" t="str">
        <f>IF(M$3="","",IF(COUNTIFS(BD!$A$3:$A$5001,M$3,BD!$B$3:$B$5001,$A$353,BD!$O$3:$O$5001,"&lt;&gt;")=0,"",SUMIFS(BD!$O$3:$O$5001,BD!$A$3:$A$5001,M$3,BD!$B$3:$B$5001,$A$353)))</f>
        <v/>
      </c>
      <c r="N366" s="232" t="str">
        <f>IF(N$3="","",IF(COUNTIFS(BD!$A$3:$A$5001,N$3,BD!$B$3:$B$5001,$A$353,BD!$O$3:$O$5001,"&lt;&gt;")=0,"",SUMIFS(BD!$O$3:$O$5001,BD!$A$3:$A$5001,N$3,BD!$B$3:$B$5001,$A$353)))</f>
        <v/>
      </c>
      <c r="O366" s="232" t="str">
        <f>IF(O$3="","",IF(COUNTIFS(BD!$A$3:$A$5001,O$3,BD!$B$3:$B$5001,$A$353,BD!$O$3:$O$5001,"&lt;&gt;")=0,"",SUMIFS(BD!$O$3:$O$5001,BD!$A$3:$A$5001,O$3,BD!$B$3:$B$5001,$A$353)))</f>
        <v/>
      </c>
      <c r="P366" s="232" t="str">
        <f>IF(P$3="","",IF(COUNTIFS(BD!$A$3:$A$5001,P$3,BD!$B$3:$B$5001,$A$353,BD!$O$3:$O$5001,"&lt;&gt;")=0,"",SUMIFS(BD!$O$3:$O$5001,BD!$A$3:$A$5001,P$3,BD!$B$3:$B$5001,$A$353)))</f>
        <v/>
      </c>
      <c r="Q366" s="232" t="str">
        <f>IF(Q$3="","",IF(COUNTIFS(BD!$A$3:$A$5001,Q$3,BD!$B$3:$B$5001,$A$353,BD!$O$3:$O$5001,"&lt;&gt;")=0,"",SUMIFS(BD!$O$3:$O$5001,BD!$A$3:$A$5001,Q$3,BD!$B$3:$B$5001,$A$353)))</f>
        <v/>
      </c>
      <c r="R366" s="232" t="str">
        <f>IF(R$3="","",IF(COUNTIFS(BD!$A$3:$A$5001,R$3,BD!$B$3:$B$5001,$A$353,BD!$O$3:$O$5001,"&lt;&gt;")=0,"",SUMIFS(BD!$O$3:$O$5001,BD!$A$3:$A$5001,R$3,BD!$B$3:$B$5001,$A$353)))</f>
        <v/>
      </c>
      <c r="S366" s="232" t="str">
        <f>IF(S$3="","",IF(COUNTIFS(BD!$A$3:$A$5001,S$3,BD!$B$3:$B$5001,$A$353,BD!$O$3:$O$5001,"&lt;&gt;")=0,"",SUMIFS(BD!$O$3:$O$5001,BD!$A$3:$A$5001,S$3,BD!$B$3:$B$5001,$A$353)))</f>
        <v/>
      </c>
      <c r="T366" s="232" t="str">
        <f>IF(T$3="","",IF(COUNTIFS(BD!$A$3:$A$5001,T$3,BD!$B$3:$B$5001,$A$353,BD!$O$3:$O$5001,"&lt;&gt;")=0,"",SUMIFS(BD!$O$3:$O$5001,BD!$A$3:$A$5001,T$3,BD!$B$3:$B$5001,$A$353)))</f>
        <v/>
      </c>
      <c r="U366" s="232" t="str">
        <f>IF(U$3="","",IF(COUNTIFS(BD!$A$3:$A$5001,U$3,BD!$B$3:$B$5001,$A$353,BD!$O$3:$O$5001,"&lt;&gt;")=0,"",SUMIFS(BD!$O$3:$O$5001,BD!$A$3:$A$5001,U$3,BD!$B$3:$B$5001,$A$353)))</f>
        <v/>
      </c>
      <c r="V366" s="232" t="str">
        <f>IF(V$3="","",IF(COUNTIFS(BD!$A$3:$A$5001,V$3,BD!$B$3:$B$5001,$A$353,BD!$O$3:$O$5001,"&lt;&gt;")=0,"",SUMIFS(BD!$O$3:$O$5001,BD!$A$3:$A$5001,V$3,BD!$B$3:$B$5001,$A$353)))</f>
        <v/>
      </c>
      <c r="W366" s="232" t="str">
        <f>IF(W$3="","",IF(COUNTIFS(BD!$A$3:$A$5001,W$3,BD!$B$3:$B$5001,$A$353,BD!$O$3:$O$5001,"&lt;&gt;")=0,"",SUMIFS(BD!$O$3:$O$5001,BD!$A$3:$A$5001,W$3,BD!$B$3:$B$5001,$A$353)))</f>
        <v/>
      </c>
      <c r="X366" s="232" t="str">
        <f>IF(X$3="","",IF(COUNTIFS(BD!$A$3:$A$5001,X$3,BD!$B$3:$B$5001,$A$353,BD!$O$3:$O$5001,"&lt;&gt;")=0,"",SUMIFS(BD!$O$3:$O$5001,BD!$A$3:$A$5001,X$3,BD!$B$3:$B$5001,$A$353)))</f>
        <v/>
      </c>
      <c r="Y366" s="232" t="str">
        <f>IF(Y$3="","",IF(COUNTIFS(BD!$A$3:$A$5001,Y$3,BD!$B$3:$B$5001,$A$353,BD!$O$3:$O$5001,"&lt;&gt;")=0,"",SUMIFS(BD!$O$3:$O$5001,BD!$A$3:$A$5001,Y$3,BD!$B$3:$B$5001,$A$353)))</f>
        <v/>
      </c>
      <c r="Z366" s="232" t="str">
        <f>IF(Z$3="","",IF(COUNTIFS(BD!$A$3:$A$5001,Z$3,BD!$B$3:$B$5001,$A$353,BD!$O$3:$O$5001,"&lt;&gt;")=0,"",SUMIFS(BD!$O$3:$O$5001,BD!$A$3:$A$5001,Z$3,BD!$B$3:$B$5001,$A$353)))</f>
        <v/>
      </c>
      <c r="AA366" s="232" t="str">
        <f>IF(AA$3="","",IF(COUNTIFS(BD!$A$3:$A$5001,AA$3,BD!$B$3:$B$5001,$A$353,BD!$O$3:$O$5001,"&lt;&gt;")=0,"",SUMIFS(BD!$O$3:$O$5001,BD!$A$3:$A$5001,AA$3,BD!$B$3:$B$5001,$A$353)))</f>
        <v/>
      </c>
      <c r="AB366" s="232" t="str">
        <f>IF(AB$3="","",IF(COUNTIFS(BD!$A$3:$A$5001,AB$3,BD!$B$3:$B$5001,$A$353,BD!$O$3:$O$5001,"&lt;&gt;")=0,"",SUMIFS(BD!$O$3:$O$5001,BD!$A$3:$A$5001,AB$3,BD!$B$3:$B$5001,$A$353)))</f>
        <v/>
      </c>
      <c r="AC366" s="232" t="str">
        <f>IF(AC$3="","",IF(COUNTIFS(BD!$A$3:$A$5001,AC$3,BD!$B$3:$B$5001,$A$353,BD!$O$3:$O$5001,"&lt;&gt;")=0,"",SUMIFS(BD!$O$3:$O$5001,BD!$A$3:$A$5001,AC$3,BD!$B$3:$B$5001,$A$353)))</f>
        <v/>
      </c>
      <c r="AD366" s="232" t="str">
        <f>IF(AD$3="","",IF(COUNTIFS(BD!$A$3:$A$5001,AD$3,BD!$B$3:$B$5001,$A$353,BD!$O$3:$O$5001,"&lt;&gt;")=0,"",SUMIFS(BD!$O$3:$O$5001,BD!$A$3:$A$5001,AD$3,BD!$B$3:$B$5001,$A$353)))</f>
        <v/>
      </c>
      <c r="AE366" s="232" t="str">
        <f>IF(AE$3="","",IF(COUNTIFS(BD!$A$3:$A$5001,AE$3,BD!$B$3:$B$5001,$A$353,BD!$O$3:$O$5001,"&lt;&gt;")=0,"",SUMIFS(BD!$O$3:$O$5001,BD!$A$3:$A$5001,AE$3,BD!$B$3:$B$5001,$A$353)))</f>
        <v/>
      </c>
      <c r="AF366" s="232" t="str">
        <f>IF(AF$3="","",IF(COUNTIFS(BD!$A$3:$A$5001,AF$3,BD!$B$3:$B$5001,$A$353,BD!$O$3:$O$5001,"&lt;&gt;")=0,"",SUMIFS(BD!$O$3:$O$5001,BD!$A$3:$A$5001,AF$3,BD!$B$3:$B$5001,$A$353)))</f>
        <v/>
      </c>
      <c r="AG366" s="232" t="str">
        <f>IF(AG$3="","",IF(COUNTIFS(BD!$A$3:$A$5001,AG$3,BD!$B$3:$B$5001,$A$353,BD!$O$3:$O$5001,"&lt;&gt;")=0,"",SUMIFS(BD!$O$3:$O$5001,BD!$A$3:$A$5001,AG$3,BD!$B$3:$B$5001,$A$353)))</f>
        <v/>
      </c>
      <c r="AH366" s="232" t="str">
        <f>IF(AH$3="","",IF(COUNTIFS(BD!$A$3:$A$5001,AH$3,BD!$B$3:$B$5001,$A$353,BD!$O$3:$O$5001,"&lt;&gt;")=0,"",SUMIFS(BD!$O$3:$O$5001,BD!$A$3:$A$5001,AH$3,BD!$B$3:$B$5001,$A$353)))</f>
        <v/>
      </c>
      <c r="AI366" s="232" t="str">
        <f>IF(AI$3="","",IF(COUNTIFS(BD!$A$3:$A$5001,AI$3,BD!$B$3:$B$5001,$A$353,BD!$O$3:$O$5001,"&lt;&gt;")=0,"",SUMIFS(BD!$O$3:$O$5001,BD!$A$3:$A$5001,AI$3,BD!$B$3:$B$5001,$A$353)))</f>
        <v/>
      </c>
      <c r="AJ366" s="233" t="str">
        <f>IF(AJ$3="","",IF(COUNTIFS(BD!$A$3:$A$5001,AJ$3,BD!$B$3:$B$5001,$A$353,BD!$O$3:$O$5001,"&lt;&gt;")=0,"",SUMIFS(BD!$O$3:$O$5001,BD!$A$3:$A$5001,AJ$3,BD!$B$3:$B$5001,$A$353)))</f>
        <v/>
      </c>
      <c r="AK366" s="234" t="str">
        <f>IF(COUNT(F366:AJ366)=0,"",SUM(F366:AJ366))</f>
        <v/>
      </c>
    </row>
    <row r="367" ht="15.75" customHeight="1" hidden="1">
      <c r="A367" s="254"/>
      <c r="B367" s="251"/>
      <c r="C367" s="228" t="inlineStr">
        <is>
          <t xml:space="preserve">Folga</t>
        </is>
      </c>
      <c r="D367" s="229" t="str">
        <f>IFERROR(1/(1/INDEX(BD!$Y$37:$AS$37,MATCH($A$353,BD!$Y$22:$AS$22,0))),"")</f>
        <v/>
      </c>
      <c r="E367" s="230"/>
      <c r="F367" s="231" t="str">
        <f>IF(F$3="","",IF(COUNTIFS(BD!$A$3:$A$5001,F$3,BD!$B$3:$B$5001,$A$353,BD!$P$3:$P$5001,"&lt;&gt;")=0,"",SUMIFS(BD!$P$3:$P$5001,BD!$A$3:$A$5001,F$3,BD!$B$3:$B$5001,$A$353)))</f>
        <v/>
      </c>
      <c r="G367" s="232" t="str">
        <f>IF(G$3="","",IF(COUNTIFS(BD!$A$3:$A$5001,G$3,BD!$B$3:$B$5001,$A$353,BD!$P$3:$P$5001,"&lt;&gt;")=0,"",SUMIFS(BD!$P$3:$P$5001,BD!$A$3:$A$5001,G$3,BD!$B$3:$B$5001,$A$353)))</f>
        <v/>
      </c>
      <c r="H367" s="232" t="str">
        <f>IF(H$3="","",IF(COUNTIFS(BD!$A$3:$A$5001,H$3,BD!$B$3:$B$5001,$A$353,BD!$P$3:$P$5001,"&lt;&gt;")=0,"",SUMIFS(BD!$P$3:$P$5001,BD!$A$3:$A$5001,H$3,BD!$B$3:$B$5001,$A$353)))</f>
        <v/>
      </c>
      <c r="I367" s="232" t="str">
        <f>IF(I$3="","",IF(COUNTIFS(BD!$A$3:$A$5001,I$3,BD!$B$3:$B$5001,$A$353,BD!$P$3:$P$5001,"&lt;&gt;")=0,"",SUMIFS(BD!$P$3:$P$5001,BD!$A$3:$A$5001,I$3,BD!$B$3:$B$5001,$A$353)))</f>
        <v/>
      </c>
      <c r="J367" s="232" t="str">
        <f>IF(J$3="","",IF(COUNTIFS(BD!$A$3:$A$5001,J$3,BD!$B$3:$B$5001,$A$353,BD!$P$3:$P$5001,"&lt;&gt;")=0,"",SUMIFS(BD!$P$3:$P$5001,BD!$A$3:$A$5001,J$3,BD!$B$3:$B$5001,$A$353)))</f>
        <v/>
      </c>
      <c r="K367" s="232" t="str">
        <f>IF(K$3="","",IF(COUNTIFS(BD!$A$3:$A$5001,K$3,BD!$B$3:$B$5001,$A$353,BD!$P$3:$P$5001,"&lt;&gt;")=0,"",SUMIFS(BD!$P$3:$P$5001,BD!$A$3:$A$5001,K$3,BD!$B$3:$B$5001,$A$353)))</f>
        <v/>
      </c>
      <c r="L367" s="232" t="str">
        <f>IF(L$3="","",IF(COUNTIFS(BD!$A$3:$A$5001,L$3,BD!$B$3:$B$5001,$A$353,BD!$P$3:$P$5001,"&lt;&gt;")=0,"",SUMIFS(BD!$P$3:$P$5001,BD!$A$3:$A$5001,L$3,BD!$B$3:$B$5001,$A$353)))</f>
        <v/>
      </c>
      <c r="M367" s="232" t="str">
        <f>IF(M$3="","",IF(COUNTIFS(BD!$A$3:$A$5001,M$3,BD!$B$3:$B$5001,$A$353,BD!$P$3:$P$5001,"&lt;&gt;")=0,"",SUMIFS(BD!$P$3:$P$5001,BD!$A$3:$A$5001,M$3,BD!$B$3:$B$5001,$A$353)))</f>
        <v/>
      </c>
      <c r="N367" s="232" t="str">
        <f>IF(N$3="","",IF(COUNTIFS(BD!$A$3:$A$5001,N$3,BD!$B$3:$B$5001,$A$353,BD!$P$3:$P$5001,"&lt;&gt;")=0,"",SUMIFS(BD!$P$3:$P$5001,BD!$A$3:$A$5001,N$3,BD!$B$3:$B$5001,$A$353)))</f>
        <v/>
      </c>
      <c r="O367" s="232" t="str">
        <f>IF(O$3="","",IF(COUNTIFS(BD!$A$3:$A$5001,O$3,BD!$B$3:$B$5001,$A$353,BD!$P$3:$P$5001,"&lt;&gt;")=0,"",SUMIFS(BD!$P$3:$P$5001,BD!$A$3:$A$5001,O$3,BD!$B$3:$B$5001,$A$353)))</f>
        <v/>
      </c>
      <c r="P367" s="232" t="str">
        <f>IF(P$3="","",IF(COUNTIFS(BD!$A$3:$A$5001,P$3,BD!$B$3:$B$5001,$A$353,BD!$P$3:$P$5001,"&lt;&gt;")=0,"",SUMIFS(BD!$P$3:$P$5001,BD!$A$3:$A$5001,P$3,BD!$B$3:$B$5001,$A$353)))</f>
        <v/>
      </c>
      <c r="Q367" s="232" t="str">
        <f>IF(Q$3="","",IF(COUNTIFS(BD!$A$3:$A$5001,Q$3,BD!$B$3:$B$5001,$A$353,BD!$P$3:$P$5001,"&lt;&gt;")=0,"",SUMIFS(BD!$P$3:$P$5001,BD!$A$3:$A$5001,Q$3,BD!$B$3:$B$5001,$A$353)))</f>
        <v/>
      </c>
      <c r="R367" s="232" t="str">
        <f>IF(R$3="","",IF(COUNTIFS(BD!$A$3:$A$5001,R$3,BD!$B$3:$B$5001,$A$353,BD!$P$3:$P$5001,"&lt;&gt;")=0,"",SUMIFS(BD!$P$3:$P$5001,BD!$A$3:$A$5001,R$3,BD!$B$3:$B$5001,$A$353)))</f>
        <v/>
      </c>
      <c r="S367" s="232" t="str">
        <f>IF(S$3="","",IF(COUNTIFS(BD!$A$3:$A$5001,S$3,BD!$B$3:$B$5001,$A$353,BD!$P$3:$P$5001,"&lt;&gt;")=0,"",SUMIFS(BD!$P$3:$P$5001,BD!$A$3:$A$5001,S$3,BD!$B$3:$B$5001,$A$353)))</f>
        <v/>
      </c>
      <c r="T367" s="232" t="str">
        <f>IF(T$3="","",IF(COUNTIFS(BD!$A$3:$A$5001,T$3,BD!$B$3:$B$5001,$A$353,BD!$P$3:$P$5001,"&lt;&gt;")=0,"",SUMIFS(BD!$P$3:$P$5001,BD!$A$3:$A$5001,T$3,BD!$B$3:$B$5001,$A$353)))</f>
        <v/>
      </c>
      <c r="U367" s="232" t="str">
        <f>IF(U$3="","",IF(COUNTIFS(BD!$A$3:$A$5001,U$3,BD!$B$3:$B$5001,$A$353,BD!$P$3:$P$5001,"&lt;&gt;")=0,"",SUMIFS(BD!$P$3:$P$5001,BD!$A$3:$A$5001,U$3,BD!$B$3:$B$5001,$A$353)))</f>
        <v/>
      </c>
      <c r="V367" s="232" t="str">
        <f>IF(V$3="","",IF(COUNTIFS(BD!$A$3:$A$5001,V$3,BD!$B$3:$B$5001,$A$353,BD!$P$3:$P$5001,"&lt;&gt;")=0,"",SUMIFS(BD!$P$3:$P$5001,BD!$A$3:$A$5001,V$3,BD!$B$3:$B$5001,$A$353)))</f>
        <v/>
      </c>
      <c r="W367" s="232" t="str">
        <f>IF(W$3="","",IF(COUNTIFS(BD!$A$3:$A$5001,W$3,BD!$B$3:$B$5001,$A$353,BD!$P$3:$P$5001,"&lt;&gt;")=0,"",SUMIFS(BD!$P$3:$P$5001,BD!$A$3:$A$5001,W$3,BD!$B$3:$B$5001,$A$353)))</f>
        <v/>
      </c>
      <c r="X367" s="232" t="str">
        <f>IF(X$3="","",IF(COUNTIFS(BD!$A$3:$A$5001,X$3,BD!$B$3:$B$5001,$A$353,BD!$P$3:$P$5001,"&lt;&gt;")=0,"",SUMIFS(BD!$P$3:$P$5001,BD!$A$3:$A$5001,X$3,BD!$B$3:$B$5001,$A$353)))</f>
        <v/>
      </c>
      <c r="Y367" s="232" t="str">
        <f>IF(Y$3="","",IF(COUNTIFS(BD!$A$3:$A$5001,Y$3,BD!$B$3:$B$5001,$A$353,BD!$P$3:$P$5001,"&lt;&gt;")=0,"",SUMIFS(BD!$P$3:$P$5001,BD!$A$3:$A$5001,Y$3,BD!$B$3:$B$5001,$A$353)))</f>
        <v/>
      </c>
      <c r="Z367" s="232" t="str">
        <f>IF(Z$3="","",IF(COUNTIFS(BD!$A$3:$A$5001,Z$3,BD!$B$3:$B$5001,$A$353,BD!$P$3:$P$5001,"&lt;&gt;")=0,"",SUMIFS(BD!$P$3:$P$5001,BD!$A$3:$A$5001,Z$3,BD!$B$3:$B$5001,$A$353)))</f>
        <v/>
      </c>
      <c r="AA367" s="232" t="str">
        <f>IF(AA$3="","",IF(COUNTIFS(BD!$A$3:$A$5001,AA$3,BD!$B$3:$B$5001,$A$353,BD!$P$3:$P$5001,"&lt;&gt;")=0,"",SUMIFS(BD!$P$3:$P$5001,BD!$A$3:$A$5001,AA$3,BD!$B$3:$B$5001,$A$353)))</f>
        <v/>
      </c>
      <c r="AB367" s="232" t="str">
        <f>IF(AB$3="","",IF(COUNTIFS(BD!$A$3:$A$5001,AB$3,BD!$B$3:$B$5001,$A$353,BD!$P$3:$P$5001,"&lt;&gt;")=0,"",SUMIFS(BD!$P$3:$P$5001,BD!$A$3:$A$5001,AB$3,BD!$B$3:$B$5001,$A$353)))</f>
        <v/>
      </c>
      <c r="AC367" s="232" t="str">
        <f>IF(AC$3="","",IF(COUNTIFS(BD!$A$3:$A$5001,AC$3,BD!$B$3:$B$5001,$A$353,BD!$P$3:$P$5001,"&lt;&gt;")=0,"",SUMIFS(BD!$P$3:$P$5001,BD!$A$3:$A$5001,AC$3,BD!$B$3:$B$5001,$A$353)))</f>
        <v/>
      </c>
      <c r="AD367" s="232" t="str">
        <f>IF(AD$3="","",IF(COUNTIFS(BD!$A$3:$A$5001,AD$3,BD!$B$3:$B$5001,$A$353,BD!$P$3:$P$5001,"&lt;&gt;")=0,"",SUMIFS(BD!$P$3:$P$5001,BD!$A$3:$A$5001,AD$3,BD!$B$3:$B$5001,$A$353)))</f>
        <v/>
      </c>
      <c r="AE367" s="232" t="str">
        <f>IF(AE$3="","",IF(COUNTIFS(BD!$A$3:$A$5001,AE$3,BD!$B$3:$B$5001,$A$353,BD!$P$3:$P$5001,"&lt;&gt;")=0,"",SUMIFS(BD!$P$3:$P$5001,BD!$A$3:$A$5001,AE$3,BD!$B$3:$B$5001,$A$353)))</f>
        <v/>
      </c>
      <c r="AF367" s="232" t="str">
        <f>IF(AF$3="","",IF(COUNTIFS(BD!$A$3:$A$5001,AF$3,BD!$B$3:$B$5001,$A$353,BD!$P$3:$P$5001,"&lt;&gt;")=0,"",SUMIFS(BD!$P$3:$P$5001,BD!$A$3:$A$5001,AF$3,BD!$B$3:$B$5001,$A$353)))</f>
        <v/>
      </c>
      <c r="AG367" s="232" t="str">
        <f>IF(AG$3="","",IF(COUNTIFS(BD!$A$3:$A$5001,AG$3,BD!$B$3:$B$5001,$A$353,BD!$P$3:$P$5001,"&lt;&gt;")=0,"",SUMIFS(BD!$P$3:$P$5001,BD!$A$3:$A$5001,AG$3,BD!$B$3:$B$5001,$A$353)))</f>
        <v/>
      </c>
      <c r="AH367" s="232" t="str">
        <f>IF(AH$3="","",IF(COUNTIFS(BD!$A$3:$A$5001,AH$3,BD!$B$3:$B$5001,$A$353,BD!$P$3:$P$5001,"&lt;&gt;")=0,"",SUMIFS(BD!$P$3:$P$5001,BD!$A$3:$A$5001,AH$3,BD!$B$3:$B$5001,$A$353)))</f>
        <v/>
      </c>
      <c r="AI367" s="232" t="str">
        <f>IF(AI$3="","",IF(COUNTIFS(BD!$A$3:$A$5001,AI$3,BD!$B$3:$B$5001,$A$353,BD!$P$3:$P$5001,"&lt;&gt;")=0,"",SUMIFS(BD!$P$3:$P$5001,BD!$A$3:$A$5001,AI$3,BD!$B$3:$B$5001,$A$353)))</f>
        <v/>
      </c>
      <c r="AJ367" s="233" t="str">
        <f>IF(AJ$3="","",IF(COUNTIFS(BD!$A$3:$A$5001,AJ$3,BD!$B$3:$B$5001,$A$353,BD!$P$3:$P$5001,"&lt;&gt;")=0,"",SUMIFS(BD!$P$3:$P$5001,BD!$A$3:$A$5001,AJ$3,BD!$B$3:$B$5001,$A$353)))</f>
        <v/>
      </c>
      <c r="AK367" s="234" t="str">
        <f>IF(COUNT(F367:AJ367)=0,"",SUM(F367:AJ367))</f>
        <v/>
      </c>
    </row>
    <row r="368" ht="15.75" customHeight="1" hidden="1">
      <c r="A368" s="254"/>
      <c r="B368" s="251"/>
      <c r="C368" s="228" t="inlineStr">
        <is>
          <t xml:space="preserve">Férias</t>
        </is>
      </c>
      <c r="D368" s="229" t="str">
        <f>IFERROR(1/(1/INDEX(BD!$Y$38:$AS$38,MATCH($A$353,BD!$Y$22:$AS$22,0))),"")</f>
        <v/>
      </c>
      <c r="E368" s="230"/>
      <c r="F368" s="231" t="str">
        <f>IF(F$3="","",IF(COUNTIFS(BD!$A$3:$A$5001,F$3,BD!$B$3:$B$5001,$A$353,BD!$Q$3:$Q$5001,"&lt;&gt;")=0,"",SUMIFS(BD!$Q$3:$Q$5001,BD!$A$3:$A$5001,F$3,BD!$B$3:$B$5001,$A$353)))</f>
        <v/>
      </c>
      <c r="G368" s="232" t="str">
        <f>IF(G$3="","",IF(COUNTIFS(BD!$A$3:$A$5001,G$3,BD!$B$3:$B$5001,$A$353,BD!$Q$3:$Q$5001,"&lt;&gt;")=0,"",SUMIFS(BD!$Q$3:$Q$5001,BD!$A$3:$A$5001,G$3,BD!$B$3:$B$5001,$A$353)))</f>
        <v/>
      </c>
      <c r="H368" s="232" t="str">
        <f>IF(H$3="","",IF(COUNTIFS(BD!$A$3:$A$5001,H$3,BD!$B$3:$B$5001,$A$353,BD!$Q$3:$Q$5001,"&lt;&gt;")=0,"",SUMIFS(BD!$Q$3:$Q$5001,BD!$A$3:$A$5001,H$3,BD!$B$3:$B$5001,$A$353)))</f>
        <v/>
      </c>
      <c r="I368" s="232" t="str">
        <f>IF(I$3="","",IF(COUNTIFS(BD!$A$3:$A$5001,I$3,BD!$B$3:$B$5001,$A$353,BD!$Q$3:$Q$5001,"&lt;&gt;")=0,"",SUMIFS(BD!$Q$3:$Q$5001,BD!$A$3:$A$5001,I$3,BD!$B$3:$B$5001,$A$353)))</f>
        <v/>
      </c>
      <c r="J368" s="232" t="str">
        <f>IF(J$3="","",IF(COUNTIFS(BD!$A$3:$A$5001,J$3,BD!$B$3:$B$5001,$A$353,BD!$Q$3:$Q$5001,"&lt;&gt;")=0,"",SUMIFS(BD!$Q$3:$Q$5001,BD!$A$3:$A$5001,J$3,BD!$B$3:$B$5001,$A$353)))</f>
        <v/>
      </c>
      <c r="K368" s="232" t="str">
        <f>IF(K$3="","",IF(COUNTIFS(BD!$A$3:$A$5001,K$3,BD!$B$3:$B$5001,$A$353,BD!$Q$3:$Q$5001,"&lt;&gt;")=0,"",SUMIFS(BD!$Q$3:$Q$5001,BD!$A$3:$A$5001,K$3,BD!$B$3:$B$5001,$A$353)))</f>
        <v/>
      </c>
      <c r="L368" s="232" t="str">
        <f>IF(L$3="","",IF(COUNTIFS(BD!$A$3:$A$5001,L$3,BD!$B$3:$B$5001,$A$353,BD!$Q$3:$Q$5001,"&lt;&gt;")=0,"",SUMIFS(BD!$Q$3:$Q$5001,BD!$A$3:$A$5001,L$3,BD!$B$3:$B$5001,$A$353)))</f>
        <v/>
      </c>
      <c r="M368" s="232" t="str">
        <f>IF(M$3="","",IF(COUNTIFS(BD!$A$3:$A$5001,M$3,BD!$B$3:$B$5001,$A$353,BD!$Q$3:$Q$5001,"&lt;&gt;")=0,"",SUMIFS(BD!$Q$3:$Q$5001,BD!$A$3:$A$5001,M$3,BD!$B$3:$B$5001,$A$353)))</f>
        <v/>
      </c>
      <c r="N368" s="232" t="str">
        <f>IF(N$3="","",IF(COUNTIFS(BD!$A$3:$A$5001,N$3,BD!$B$3:$B$5001,$A$353,BD!$Q$3:$Q$5001,"&lt;&gt;")=0,"",SUMIFS(BD!$Q$3:$Q$5001,BD!$A$3:$A$5001,N$3,BD!$B$3:$B$5001,$A$353)))</f>
        <v/>
      </c>
      <c r="O368" s="232" t="str">
        <f>IF(O$3="","",IF(COUNTIFS(BD!$A$3:$A$5001,O$3,BD!$B$3:$B$5001,$A$353,BD!$Q$3:$Q$5001,"&lt;&gt;")=0,"",SUMIFS(BD!$Q$3:$Q$5001,BD!$A$3:$A$5001,O$3,BD!$B$3:$B$5001,$A$353)))</f>
        <v/>
      </c>
      <c r="P368" s="232" t="str">
        <f>IF(P$3="","",IF(COUNTIFS(BD!$A$3:$A$5001,P$3,BD!$B$3:$B$5001,$A$353,BD!$Q$3:$Q$5001,"&lt;&gt;")=0,"",SUMIFS(BD!$Q$3:$Q$5001,BD!$A$3:$A$5001,P$3,BD!$B$3:$B$5001,$A$353)))</f>
        <v/>
      </c>
      <c r="Q368" s="232" t="str">
        <f>IF(Q$3="","",IF(COUNTIFS(BD!$A$3:$A$5001,Q$3,BD!$B$3:$B$5001,$A$353,BD!$Q$3:$Q$5001,"&lt;&gt;")=0,"",SUMIFS(BD!$Q$3:$Q$5001,BD!$A$3:$A$5001,Q$3,BD!$B$3:$B$5001,$A$353)))</f>
        <v/>
      </c>
      <c r="R368" s="232" t="str">
        <f>IF(R$3="","",IF(COUNTIFS(BD!$A$3:$A$5001,R$3,BD!$B$3:$B$5001,$A$353,BD!$Q$3:$Q$5001,"&lt;&gt;")=0,"",SUMIFS(BD!$Q$3:$Q$5001,BD!$A$3:$A$5001,R$3,BD!$B$3:$B$5001,$A$353)))</f>
        <v/>
      </c>
      <c r="S368" s="232" t="str">
        <f>IF(S$3="","",IF(COUNTIFS(BD!$A$3:$A$5001,S$3,BD!$B$3:$B$5001,$A$353,BD!$Q$3:$Q$5001,"&lt;&gt;")=0,"",SUMIFS(BD!$Q$3:$Q$5001,BD!$A$3:$A$5001,S$3,BD!$B$3:$B$5001,$A$353)))</f>
        <v/>
      </c>
      <c r="T368" s="232" t="str">
        <f>IF(T$3="","",IF(COUNTIFS(BD!$A$3:$A$5001,T$3,BD!$B$3:$B$5001,$A$353,BD!$Q$3:$Q$5001,"&lt;&gt;")=0,"",SUMIFS(BD!$Q$3:$Q$5001,BD!$A$3:$A$5001,T$3,BD!$B$3:$B$5001,$A$353)))</f>
        <v/>
      </c>
      <c r="U368" s="232" t="str">
        <f>IF(U$3="","",IF(COUNTIFS(BD!$A$3:$A$5001,U$3,BD!$B$3:$B$5001,$A$353,BD!$Q$3:$Q$5001,"&lt;&gt;")=0,"",SUMIFS(BD!$Q$3:$Q$5001,BD!$A$3:$A$5001,U$3,BD!$B$3:$B$5001,$A$353)))</f>
        <v/>
      </c>
      <c r="V368" s="232" t="str">
        <f>IF(V$3="","",IF(COUNTIFS(BD!$A$3:$A$5001,V$3,BD!$B$3:$B$5001,$A$353,BD!$Q$3:$Q$5001,"&lt;&gt;")=0,"",SUMIFS(BD!$Q$3:$Q$5001,BD!$A$3:$A$5001,V$3,BD!$B$3:$B$5001,$A$353)))</f>
        <v/>
      </c>
      <c r="W368" s="232" t="str">
        <f>IF(W$3="","",IF(COUNTIFS(BD!$A$3:$A$5001,W$3,BD!$B$3:$B$5001,$A$353,BD!$Q$3:$Q$5001,"&lt;&gt;")=0,"",SUMIFS(BD!$Q$3:$Q$5001,BD!$A$3:$A$5001,W$3,BD!$B$3:$B$5001,$A$353)))</f>
        <v/>
      </c>
      <c r="X368" s="232" t="str">
        <f>IF(X$3="","",IF(COUNTIFS(BD!$A$3:$A$5001,X$3,BD!$B$3:$B$5001,$A$353,BD!$Q$3:$Q$5001,"&lt;&gt;")=0,"",SUMIFS(BD!$Q$3:$Q$5001,BD!$A$3:$A$5001,X$3,BD!$B$3:$B$5001,$A$353)))</f>
        <v/>
      </c>
      <c r="Y368" s="232" t="str">
        <f>IF(Y$3="","",IF(COUNTIFS(BD!$A$3:$A$5001,Y$3,BD!$B$3:$B$5001,$A$353,BD!$Q$3:$Q$5001,"&lt;&gt;")=0,"",SUMIFS(BD!$Q$3:$Q$5001,BD!$A$3:$A$5001,Y$3,BD!$B$3:$B$5001,$A$353)))</f>
        <v/>
      </c>
      <c r="Z368" s="232" t="str">
        <f>IF(Z$3="","",IF(COUNTIFS(BD!$A$3:$A$5001,Z$3,BD!$B$3:$B$5001,$A$353,BD!$Q$3:$Q$5001,"&lt;&gt;")=0,"",SUMIFS(BD!$Q$3:$Q$5001,BD!$A$3:$A$5001,Z$3,BD!$B$3:$B$5001,$A$353)))</f>
        <v/>
      </c>
      <c r="AA368" s="232" t="str">
        <f>IF(AA$3="","",IF(COUNTIFS(BD!$A$3:$A$5001,AA$3,BD!$B$3:$B$5001,$A$353,BD!$Q$3:$Q$5001,"&lt;&gt;")=0,"",SUMIFS(BD!$Q$3:$Q$5001,BD!$A$3:$A$5001,AA$3,BD!$B$3:$B$5001,$A$353)))</f>
        <v/>
      </c>
      <c r="AB368" s="232" t="str">
        <f>IF(AB$3="","",IF(COUNTIFS(BD!$A$3:$A$5001,AB$3,BD!$B$3:$B$5001,$A$353,BD!$Q$3:$Q$5001,"&lt;&gt;")=0,"",SUMIFS(BD!$Q$3:$Q$5001,BD!$A$3:$A$5001,AB$3,BD!$B$3:$B$5001,$A$353)))</f>
        <v/>
      </c>
      <c r="AC368" s="232" t="str">
        <f>IF(AC$3="","",IF(COUNTIFS(BD!$A$3:$A$5001,AC$3,BD!$B$3:$B$5001,$A$353,BD!$Q$3:$Q$5001,"&lt;&gt;")=0,"",SUMIFS(BD!$Q$3:$Q$5001,BD!$A$3:$A$5001,AC$3,BD!$B$3:$B$5001,$A$353)))</f>
        <v/>
      </c>
      <c r="AD368" s="232" t="str">
        <f>IF(AD$3="","",IF(COUNTIFS(BD!$A$3:$A$5001,AD$3,BD!$B$3:$B$5001,$A$353,BD!$Q$3:$Q$5001,"&lt;&gt;")=0,"",SUMIFS(BD!$Q$3:$Q$5001,BD!$A$3:$A$5001,AD$3,BD!$B$3:$B$5001,$A$353)))</f>
        <v/>
      </c>
      <c r="AE368" s="232" t="str">
        <f>IF(AE$3="","",IF(COUNTIFS(BD!$A$3:$A$5001,AE$3,BD!$B$3:$B$5001,$A$353,BD!$Q$3:$Q$5001,"&lt;&gt;")=0,"",SUMIFS(BD!$Q$3:$Q$5001,BD!$A$3:$A$5001,AE$3,BD!$B$3:$B$5001,$A$353)))</f>
        <v/>
      </c>
      <c r="AF368" s="232" t="str">
        <f>IF(AF$3="","",IF(COUNTIFS(BD!$A$3:$A$5001,AF$3,BD!$B$3:$B$5001,$A$353,BD!$Q$3:$Q$5001,"&lt;&gt;")=0,"",SUMIFS(BD!$Q$3:$Q$5001,BD!$A$3:$A$5001,AF$3,BD!$B$3:$B$5001,$A$353)))</f>
        <v/>
      </c>
      <c r="AG368" s="232" t="str">
        <f>IF(AG$3="","",IF(COUNTIFS(BD!$A$3:$A$5001,AG$3,BD!$B$3:$B$5001,$A$353,BD!$Q$3:$Q$5001,"&lt;&gt;")=0,"",SUMIFS(BD!$Q$3:$Q$5001,BD!$A$3:$A$5001,AG$3,BD!$B$3:$B$5001,$A$353)))</f>
        <v/>
      </c>
      <c r="AH368" s="232" t="str">
        <f>IF(AH$3="","",IF(COUNTIFS(BD!$A$3:$A$5001,AH$3,BD!$B$3:$B$5001,$A$353,BD!$Q$3:$Q$5001,"&lt;&gt;")=0,"",SUMIFS(BD!$Q$3:$Q$5001,BD!$A$3:$A$5001,AH$3,BD!$B$3:$B$5001,$A$353)))</f>
        <v/>
      </c>
      <c r="AI368" s="232" t="str">
        <f>IF(AI$3="","",IF(COUNTIFS(BD!$A$3:$A$5001,AI$3,BD!$B$3:$B$5001,$A$353,BD!$Q$3:$Q$5001,"&lt;&gt;")=0,"",SUMIFS(BD!$Q$3:$Q$5001,BD!$A$3:$A$5001,AI$3,BD!$B$3:$B$5001,$A$353)))</f>
        <v/>
      </c>
      <c r="AJ368" s="233" t="str">
        <f>IF(AJ$3="","",IF(COUNTIFS(BD!$A$3:$A$5001,AJ$3,BD!$B$3:$B$5001,$A$353,BD!$Q$3:$Q$5001,"&lt;&gt;")=0,"",SUMIFS(BD!$Q$3:$Q$5001,BD!$A$3:$A$5001,AJ$3,BD!$B$3:$B$5001,$A$353)))</f>
        <v/>
      </c>
      <c r="AK368" s="234" t="str">
        <f>IF(COUNT(F368:AJ368)=0,"",SUM(F368:AJ368))</f>
        <v/>
      </c>
    </row>
    <row r="369" ht="15.75" customHeight="1" hidden="1">
      <c r="A369" s="254"/>
      <c r="B369" s="251"/>
      <c r="C369" s="228" t="inlineStr">
        <is>
          <t xml:space="preserve">Desligamento</t>
        </is>
      </c>
      <c r="D369" s="229" t="str">
        <f>IFERROR(1/(1/INDEX(BD!$Y$39:$AS$39,MATCH($A$353,BD!$Y$22:$AS$22,0))),"")</f>
        <v/>
      </c>
      <c r="E369" s="230"/>
      <c r="F369" s="231" t="str">
        <f>IF(F$3="","",IF(COUNTIFS(BD!$A$3:$A$5001,F$3,BD!$B$3:$B$5001,$A$353,BD!$R$3:$R$5001,"&lt;&gt;")=0,"",SUMIFS(BD!$R$3:$R$5001,BD!$A$3:$A$5001,F$3,BD!$B$3:$B$5001,$A$353)))</f>
        <v/>
      </c>
      <c r="G369" s="232" t="str">
        <f>IF(G$3="","",IF(COUNTIFS(BD!$A$3:$A$5001,G$3,BD!$B$3:$B$5001,$A$353,BD!$R$3:$R$5001,"&lt;&gt;")=0,"",SUMIFS(BD!$R$3:$R$5001,BD!$A$3:$A$5001,G$3,BD!$B$3:$B$5001,$A$353)))</f>
        <v/>
      </c>
      <c r="H369" s="232" t="str">
        <f>IF(H$3="","",IF(COUNTIFS(BD!$A$3:$A$5001,H$3,BD!$B$3:$B$5001,$A$353,BD!$R$3:$R$5001,"&lt;&gt;")=0,"",SUMIFS(BD!$R$3:$R$5001,BD!$A$3:$A$5001,H$3,BD!$B$3:$B$5001,$A$353)))</f>
        <v/>
      </c>
      <c r="I369" s="232" t="str">
        <f>IF(I$3="","",IF(COUNTIFS(BD!$A$3:$A$5001,I$3,BD!$B$3:$B$5001,$A$353,BD!$R$3:$R$5001,"&lt;&gt;")=0,"",SUMIFS(BD!$R$3:$R$5001,BD!$A$3:$A$5001,I$3,BD!$B$3:$B$5001,$A$353)))</f>
        <v/>
      </c>
      <c r="J369" s="232" t="str">
        <f>IF(J$3="","",IF(COUNTIFS(BD!$A$3:$A$5001,J$3,BD!$B$3:$B$5001,$A$353,BD!$R$3:$R$5001,"&lt;&gt;")=0,"",SUMIFS(BD!$R$3:$R$5001,BD!$A$3:$A$5001,J$3,BD!$B$3:$B$5001,$A$353)))</f>
        <v/>
      </c>
      <c r="K369" s="232" t="str">
        <f>IF(K$3="","",IF(COUNTIFS(BD!$A$3:$A$5001,K$3,BD!$B$3:$B$5001,$A$353,BD!$R$3:$R$5001,"&lt;&gt;")=0,"",SUMIFS(BD!$R$3:$R$5001,BD!$A$3:$A$5001,K$3,BD!$B$3:$B$5001,$A$353)))</f>
        <v/>
      </c>
      <c r="L369" s="232" t="str">
        <f>IF(L$3="","",IF(COUNTIFS(BD!$A$3:$A$5001,L$3,BD!$B$3:$B$5001,$A$353,BD!$R$3:$R$5001,"&lt;&gt;")=0,"",SUMIFS(BD!$R$3:$R$5001,BD!$A$3:$A$5001,L$3,BD!$B$3:$B$5001,$A$353)))</f>
        <v/>
      </c>
      <c r="M369" s="232" t="str">
        <f>IF(M$3="","",IF(COUNTIFS(BD!$A$3:$A$5001,M$3,BD!$B$3:$B$5001,$A$353,BD!$R$3:$R$5001,"&lt;&gt;")=0,"",SUMIFS(BD!$R$3:$R$5001,BD!$A$3:$A$5001,M$3,BD!$B$3:$B$5001,$A$353)))</f>
        <v/>
      </c>
      <c r="N369" s="232" t="str">
        <f>IF(N$3="","",IF(COUNTIFS(BD!$A$3:$A$5001,N$3,BD!$B$3:$B$5001,$A$353,BD!$R$3:$R$5001,"&lt;&gt;")=0,"",SUMIFS(BD!$R$3:$R$5001,BD!$A$3:$A$5001,N$3,BD!$B$3:$B$5001,$A$353)))</f>
        <v/>
      </c>
      <c r="O369" s="232" t="str">
        <f>IF(O$3="","",IF(COUNTIFS(BD!$A$3:$A$5001,O$3,BD!$B$3:$B$5001,$A$353,BD!$R$3:$R$5001,"&lt;&gt;")=0,"",SUMIFS(BD!$R$3:$R$5001,BD!$A$3:$A$5001,O$3,BD!$B$3:$B$5001,$A$353)))</f>
        <v/>
      </c>
      <c r="P369" s="232" t="str">
        <f>IF(P$3="","",IF(COUNTIFS(BD!$A$3:$A$5001,P$3,BD!$B$3:$B$5001,$A$353,BD!$R$3:$R$5001,"&lt;&gt;")=0,"",SUMIFS(BD!$R$3:$R$5001,BD!$A$3:$A$5001,P$3,BD!$B$3:$B$5001,$A$353)))</f>
        <v/>
      </c>
      <c r="Q369" s="232" t="str">
        <f>IF(Q$3="","",IF(COUNTIFS(BD!$A$3:$A$5001,Q$3,BD!$B$3:$B$5001,$A$353,BD!$R$3:$R$5001,"&lt;&gt;")=0,"",SUMIFS(BD!$R$3:$R$5001,BD!$A$3:$A$5001,Q$3,BD!$B$3:$B$5001,$A$353)))</f>
        <v/>
      </c>
      <c r="R369" s="232" t="str">
        <f>IF(R$3="","",IF(COUNTIFS(BD!$A$3:$A$5001,R$3,BD!$B$3:$B$5001,$A$353,BD!$R$3:$R$5001,"&lt;&gt;")=0,"",SUMIFS(BD!$R$3:$R$5001,BD!$A$3:$A$5001,R$3,BD!$B$3:$B$5001,$A$353)))</f>
        <v/>
      </c>
      <c r="S369" s="232" t="str">
        <f>IF(S$3="","",IF(COUNTIFS(BD!$A$3:$A$5001,S$3,BD!$B$3:$B$5001,$A$353,BD!$R$3:$R$5001,"&lt;&gt;")=0,"",SUMIFS(BD!$R$3:$R$5001,BD!$A$3:$A$5001,S$3,BD!$B$3:$B$5001,$A$353)))</f>
        <v/>
      </c>
      <c r="T369" s="232" t="str">
        <f>IF(T$3="","",IF(COUNTIFS(BD!$A$3:$A$5001,T$3,BD!$B$3:$B$5001,$A$353,BD!$R$3:$R$5001,"&lt;&gt;")=0,"",SUMIFS(BD!$R$3:$R$5001,BD!$A$3:$A$5001,T$3,BD!$B$3:$B$5001,$A$353)))</f>
        <v/>
      </c>
      <c r="U369" s="232" t="str">
        <f>IF(U$3="","",IF(COUNTIFS(BD!$A$3:$A$5001,U$3,BD!$B$3:$B$5001,$A$353,BD!$R$3:$R$5001,"&lt;&gt;")=0,"",SUMIFS(BD!$R$3:$R$5001,BD!$A$3:$A$5001,U$3,BD!$B$3:$B$5001,$A$353)))</f>
        <v/>
      </c>
      <c r="V369" s="232" t="str">
        <f>IF(V$3="","",IF(COUNTIFS(BD!$A$3:$A$5001,V$3,BD!$B$3:$B$5001,$A$353,BD!$R$3:$R$5001,"&lt;&gt;")=0,"",SUMIFS(BD!$R$3:$R$5001,BD!$A$3:$A$5001,V$3,BD!$B$3:$B$5001,$A$353)))</f>
        <v/>
      </c>
      <c r="W369" s="232" t="str">
        <f>IF(W$3="","",IF(COUNTIFS(BD!$A$3:$A$5001,W$3,BD!$B$3:$B$5001,$A$353,BD!$R$3:$R$5001,"&lt;&gt;")=0,"",SUMIFS(BD!$R$3:$R$5001,BD!$A$3:$A$5001,W$3,BD!$B$3:$B$5001,$A$353)))</f>
        <v/>
      </c>
      <c r="X369" s="232" t="str">
        <f>IF(X$3="","",IF(COUNTIFS(BD!$A$3:$A$5001,X$3,BD!$B$3:$B$5001,$A$353,BD!$R$3:$R$5001,"&lt;&gt;")=0,"",SUMIFS(BD!$R$3:$R$5001,BD!$A$3:$A$5001,X$3,BD!$B$3:$B$5001,$A$353)))</f>
        <v/>
      </c>
      <c r="Y369" s="232" t="str">
        <f>IF(Y$3="","",IF(COUNTIFS(BD!$A$3:$A$5001,Y$3,BD!$B$3:$B$5001,$A$353,BD!$R$3:$R$5001,"&lt;&gt;")=0,"",SUMIFS(BD!$R$3:$R$5001,BD!$A$3:$A$5001,Y$3,BD!$B$3:$B$5001,$A$353)))</f>
        <v/>
      </c>
      <c r="Z369" s="232" t="str">
        <f>IF(Z$3="","",IF(COUNTIFS(BD!$A$3:$A$5001,Z$3,BD!$B$3:$B$5001,$A$353,BD!$R$3:$R$5001,"&lt;&gt;")=0,"",SUMIFS(BD!$R$3:$R$5001,BD!$A$3:$A$5001,Z$3,BD!$B$3:$B$5001,$A$353)))</f>
        <v/>
      </c>
      <c r="AA369" s="232" t="str">
        <f>IF(AA$3="","",IF(COUNTIFS(BD!$A$3:$A$5001,AA$3,BD!$B$3:$B$5001,$A$353,BD!$R$3:$R$5001,"&lt;&gt;")=0,"",SUMIFS(BD!$R$3:$R$5001,BD!$A$3:$A$5001,AA$3,BD!$B$3:$B$5001,$A$353)))</f>
        <v/>
      </c>
      <c r="AB369" s="232" t="str">
        <f>IF(AB$3="","",IF(COUNTIFS(BD!$A$3:$A$5001,AB$3,BD!$B$3:$B$5001,$A$353,BD!$R$3:$R$5001,"&lt;&gt;")=0,"",SUMIFS(BD!$R$3:$R$5001,BD!$A$3:$A$5001,AB$3,BD!$B$3:$B$5001,$A$353)))</f>
        <v/>
      </c>
      <c r="AC369" s="232" t="str">
        <f>IF(AC$3="","",IF(COUNTIFS(BD!$A$3:$A$5001,AC$3,BD!$B$3:$B$5001,$A$353,BD!$R$3:$R$5001,"&lt;&gt;")=0,"",SUMIFS(BD!$R$3:$R$5001,BD!$A$3:$A$5001,AC$3,BD!$B$3:$B$5001,$A$353)))</f>
        <v/>
      </c>
      <c r="AD369" s="232" t="str">
        <f>IF(AD$3="","",IF(COUNTIFS(BD!$A$3:$A$5001,AD$3,BD!$B$3:$B$5001,$A$353,BD!$R$3:$R$5001,"&lt;&gt;")=0,"",SUMIFS(BD!$R$3:$R$5001,BD!$A$3:$A$5001,AD$3,BD!$B$3:$B$5001,$A$353)))</f>
        <v/>
      </c>
      <c r="AE369" s="232" t="str">
        <f>IF(AE$3="","",IF(COUNTIFS(BD!$A$3:$A$5001,AE$3,BD!$B$3:$B$5001,$A$353,BD!$R$3:$R$5001,"&lt;&gt;")=0,"",SUMIFS(BD!$R$3:$R$5001,BD!$A$3:$A$5001,AE$3,BD!$B$3:$B$5001,$A$353)))</f>
        <v/>
      </c>
      <c r="AF369" s="232" t="str">
        <f>IF(AF$3="","",IF(COUNTIFS(BD!$A$3:$A$5001,AF$3,BD!$B$3:$B$5001,$A$353,BD!$R$3:$R$5001,"&lt;&gt;")=0,"",SUMIFS(BD!$R$3:$R$5001,BD!$A$3:$A$5001,AF$3,BD!$B$3:$B$5001,$A$353)))</f>
        <v/>
      </c>
      <c r="AG369" s="232" t="str">
        <f>IF(AG$3="","",IF(COUNTIFS(BD!$A$3:$A$5001,AG$3,BD!$B$3:$B$5001,$A$353,BD!$R$3:$R$5001,"&lt;&gt;")=0,"",SUMIFS(BD!$R$3:$R$5001,BD!$A$3:$A$5001,AG$3,BD!$B$3:$B$5001,$A$353)))</f>
        <v/>
      </c>
      <c r="AH369" s="232" t="str">
        <f>IF(AH$3="","",IF(COUNTIFS(BD!$A$3:$A$5001,AH$3,BD!$B$3:$B$5001,$A$353,BD!$R$3:$R$5001,"&lt;&gt;")=0,"",SUMIFS(BD!$R$3:$R$5001,BD!$A$3:$A$5001,AH$3,BD!$B$3:$B$5001,$A$353)))</f>
        <v/>
      </c>
      <c r="AI369" s="232" t="str">
        <f>IF(AI$3="","",IF(COUNTIFS(BD!$A$3:$A$5001,AI$3,BD!$B$3:$B$5001,$A$353,BD!$R$3:$R$5001,"&lt;&gt;")=0,"",SUMIFS(BD!$R$3:$R$5001,BD!$A$3:$A$5001,AI$3,BD!$B$3:$B$5001,$A$353)))</f>
        <v/>
      </c>
      <c r="AJ369" s="233" t="str">
        <f>IF(AJ$3="","",IF(COUNTIFS(BD!$A$3:$A$5001,AJ$3,BD!$B$3:$B$5001,$A$353,BD!$R$3:$R$5001,"&lt;&gt;")=0,"",SUMIFS(BD!$R$3:$R$5001,BD!$A$3:$A$5001,AJ$3,BD!$B$3:$B$5001,$A$353)))</f>
        <v/>
      </c>
      <c r="AK369" s="234" t="str">
        <f>IF(COUNT(F369:AJ369)=0,"",SUM(F369:AJ369))</f>
        <v/>
      </c>
    </row>
    <row r="370" ht="15.75" customHeight="1" hidden="1">
      <c r="A370" s="254"/>
      <c r="B370" s="251"/>
      <c r="C370" s="228" t="inlineStr">
        <is>
          <t xml:space="preserve">Desvios Comportamentais</t>
        </is>
      </c>
      <c r="D370" s="229" t="str">
        <f>IFERROR(1/(1/INDEX(BD!$Y$40:$AS$40,MATCH($A$353,BD!$Y$22:$AS$22,0))),"")</f>
        <v/>
      </c>
      <c r="E370" s="230"/>
      <c r="F370" s="231" t="str">
        <f>IF(F$3="","",IF(COUNTIFS(BD!$A$3:$A$5001,F$3,BD!$B$3:$B$5001,$A$353,BD!$S$3:$S$5001,"&lt;&gt;")=0,"",SUMIFS(BD!$S$3:$S$5001,BD!$A$3:$A$5001,F$3,BD!$B$3:$B$5001,$A$353)))</f>
        <v/>
      </c>
      <c r="G370" s="232" t="str">
        <f>IF(G$3="","",IF(COUNTIFS(BD!$A$3:$A$5001,G$3,BD!$B$3:$B$5001,$A$353,BD!$S$3:$S$5001,"&lt;&gt;")=0,"",SUMIFS(BD!$S$3:$S$5001,BD!$A$3:$A$5001,G$3,BD!$B$3:$B$5001,$A$353)))</f>
        <v/>
      </c>
      <c r="H370" s="232" t="str">
        <f>IF(H$3="","",IF(COUNTIFS(BD!$A$3:$A$5001,H$3,BD!$B$3:$B$5001,$A$353,BD!$S$3:$S$5001,"&lt;&gt;")=0,"",SUMIFS(BD!$S$3:$S$5001,BD!$A$3:$A$5001,H$3,BD!$B$3:$B$5001,$A$353)))</f>
        <v/>
      </c>
      <c r="I370" s="232" t="str">
        <f>IF(I$3="","",IF(COUNTIFS(BD!$A$3:$A$5001,I$3,BD!$B$3:$B$5001,$A$353,BD!$S$3:$S$5001,"&lt;&gt;")=0,"",SUMIFS(BD!$S$3:$S$5001,BD!$A$3:$A$5001,I$3,BD!$B$3:$B$5001,$A$353)))</f>
        <v/>
      </c>
      <c r="J370" s="232" t="str">
        <f>IF(J$3="","",IF(COUNTIFS(BD!$A$3:$A$5001,J$3,BD!$B$3:$B$5001,$A$353,BD!$S$3:$S$5001,"&lt;&gt;")=0,"",SUMIFS(BD!$S$3:$S$5001,BD!$A$3:$A$5001,J$3,BD!$B$3:$B$5001,$A$353)))</f>
        <v/>
      </c>
      <c r="K370" s="232" t="str">
        <f>IF(K$3="","",IF(COUNTIFS(BD!$A$3:$A$5001,K$3,BD!$B$3:$B$5001,$A$353,BD!$S$3:$S$5001,"&lt;&gt;")=0,"",SUMIFS(BD!$S$3:$S$5001,BD!$A$3:$A$5001,K$3,BD!$B$3:$B$5001,$A$353)))</f>
        <v/>
      </c>
      <c r="L370" s="232" t="str">
        <f>IF(L$3="","",IF(COUNTIFS(BD!$A$3:$A$5001,L$3,BD!$B$3:$B$5001,$A$353,BD!$S$3:$S$5001,"&lt;&gt;")=0,"",SUMIFS(BD!$S$3:$S$5001,BD!$A$3:$A$5001,L$3,BD!$B$3:$B$5001,$A$353)))</f>
        <v/>
      </c>
      <c r="M370" s="232" t="str">
        <f>IF(M$3="","",IF(COUNTIFS(BD!$A$3:$A$5001,M$3,BD!$B$3:$B$5001,$A$353,BD!$S$3:$S$5001,"&lt;&gt;")=0,"",SUMIFS(BD!$S$3:$S$5001,BD!$A$3:$A$5001,M$3,BD!$B$3:$B$5001,$A$353)))</f>
        <v/>
      </c>
      <c r="N370" s="232" t="str">
        <f>IF(N$3="","",IF(COUNTIFS(BD!$A$3:$A$5001,N$3,BD!$B$3:$B$5001,$A$353,BD!$S$3:$S$5001,"&lt;&gt;")=0,"",SUMIFS(BD!$S$3:$S$5001,BD!$A$3:$A$5001,N$3,BD!$B$3:$B$5001,$A$353)))</f>
        <v/>
      </c>
      <c r="O370" s="232" t="str">
        <f>IF(O$3="","",IF(COUNTIFS(BD!$A$3:$A$5001,O$3,BD!$B$3:$B$5001,$A$353,BD!$S$3:$S$5001,"&lt;&gt;")=0,"",SUMIFS(BD!$S$3:$S$5001,BD!$A$3:$A$5001,O$3,BD!$B$3:$B$5001,$A$353)))</f>
        <v/>
      </c>
      <c r="P370" s="232" t="str">
        <f>IF(P$3="","",IF(COUNTIFS(BD!$A$3:$A$5001,P$3,BD!$B$3:$B$5001,$A$353,BD!$S$3:$S$5001,"&lt;&gt;")=0,"",SUMIFS(BD!$S$3:$S$5001,BD!$A$3:$A$5001,P$3,BD!$B$3:$B$5001,$A$353)))</f>
        <v/>
      </c>
      <c r="Q370" s="232" t="str">
        <f>IF(Q$3="","",IF(COUNTIFS(BD!$A$3:$A$5001,Q$3,BD!$B$3:$B$5001,$A$353,BD!$S$3:$S$5001,"&lt;&gt;")=0,"",SUMIFS(BD!$S$3:$S$5001,BD!$A$3:$A$5001,Q$3,BD!$B$3:$B$5001,$A$353)))</f>
        <v/>
      </c>
      <c r="R370" s="232" t="str">
        <f>IF(R$3="","",IF(COUNTIFS(BD!$A$3:$A$5001,R$3,BD!$B$3:$B$5001,$A$353,BD!$S$3:$S$5001,"&lt;&gt;")=0,"",SUMIFS(BD!$S$3:$S$5001,BD!$A$3:$A$5001,R$3,BD!$B$3:$B$5001,$A$353)))</f>
        <v/>
      </c>
      <c r="S370" s="232" t="str">
        <f>IF(S$3="","",IF(COUNTIFS(BD!$A$3:$A$5001,S$3,BD!$B$3:$B$5001,$A$353,BD!$S$3:$S$5001,"&lt;&gt;")=0,"",SUMIFS(BD!$S$3:$S$5001,BD!$A$3:$A$5001,S$3,BD!$B$3:$B$5001,$A$353)))</f>
        <v/>
      </c>
      <c r="T370" s="232" t="str">
        <f>IF(T$3="","",IF(COUNTIFS(BD!$A$3:$A$5001,T$3,BD!$B$3:$B$5001,$A$353,BD!$S$3:$S$5001,"&lt;&gt;")=0,"",SUMIFS(BD!$S$3:$S$5001,BD!$A$3:$A$5001,T$3,BD!$B$3:$B$5001,$A$353)))</f>
        <v/>
      </c>
      <c r="U370" s="232" t="str">
        <f>IF(U$3="","",IF(COUNTIFS(BD!$A$3:$A$5001,U$3,BD!$B$3:$B$5001,$A$353,BD!$S$3:$S$5001,"&lt;&gt;")=0,"",SUMIFS(BD!$S$3:$S$5001,BD!$A$3:$A$5001,U$3,BD!$B$3:$B$5001,$A$353)))</f>
        <v/>
      </c>
      <c r="V370" s="232" t="str">
        <f>IF(V$3="","",IF(COUNTIFS(BD!$A$3:$A$5001,V$3,BD!$B$3:$B$5001,$A$353,BD!$S$3:$S$5001,"&lt;&gt;")=0,"",SUMIFS(BD!$S$3:$S$5001,BD!$A$3:$A$5001,V$3,BD!$B$3:$B$5001,$A$353)))</f>
        <v/>
      </c>
      <c r="W370" s="232" t="str">
        <f>IF(W$3="","",IF(COUNTIFS(BD!$A$3:$A$5001,W$3,BD!$B$3:$B$5001,$A$353,BD!$S$3:$S$5001,"&lt;&gt;")=0,"",SUMIFS(BD!$S$3:$S$5001,BD!$A$3:$A$5001,W$3,BD!$B$3:$B$5001,$A$353)))</f>
        <v/>
      </c>
      <c r="X370" s="232" t="str">
        <f>IF(X$3="","",IF(COUNTIFS(BD!$A$3:$A$5001,X$3,BD!$B$3:$B$5001,$A$353,BD!$S$3:$S$5001,"&lt;&gt;")=0,"",SUMIFS(BD!$S$3:$S$5001,BD!$A$3:$A$5001,X$3,BD!$B$3:$B$5001,$A$353)))</f>
        <v/>
      </c>
      <c r="Y370" s="232" t="str">
        <f>IF(Y$3="","",IF(COUNTIFS(BD!$A$3:$A$5001,Y$3,BD!$B$3:$B$5001,$A$353,BD!$S$3:$S$5001,"&lt;&gt;")=0,"",SUMIFS(BD!$S$3:$S$5001,BD!$A$3:$A$5001,Y$3,BD!$B$3:$B$5001,$A$353)))</f>
        <v/>
      </c>
      <c r="Z370" s="232" t="str">
        <f>IF(Z$3="","",IF(COUNTIFS(BD!$A$3:$A$5001,Z$3,BD!$B$3:$B$5001,$A$353,BD!$S$3:$S$5001,"&lt;&gt;")=0,"",SUMIFS(BD!$S$3:$S$5001,BD!$A$3:$A$5001,Z$3,BD!$B$3:$B$5001,$A$353)))</f>
        <v/>
      </c>
      <c r="AA370" s="232" t="str">
        <f>IF(AA$3="","",IF(COUNTIFS(BD!$A$3:$A$5001,AA$3,BD!$B$3:$B$5001,$A$353,BD!$S$3:$S$5001,"&lt;&gt;")=0,"",SUMIFS(BD!$S$3:$S$5001,BD!$A$3:$A$5001,AA$3,BD!$B$3:$B$5001,$A$353)))</f>
        <v/>
      </c>
      <c r="AB370" s="232" t="str">
        <f>IF(AB$3="","",IF(COUNTIFS(BD!$A$3:$A$5001,AB$3,BD!$B$3:$B$5001,$A$353,BD!$S$3:$S$5001,"&lt;&gt;")=0,"",SUMIFS(BD!$S$3:$S$5001,BD!$A$3:$A$5001,AB$3,BD!$B$3:$B$5001,$A$353)))</f>
        <v/>
      </c>
      <c r="AC370" s="232" t="str">
        <f>IF(AC$3="","",IF(COUNTIFS(BD!$A$3:$A$5001,AC$3,BD!$B$3:$B$5001,$A$353,BD!$S$3:$S$5001,"&lt;&gt;")=0,"",SUMIFS(BD!$S$3:$S$5001,BD!$A$3:$A$5001,AC$3,BD!$B$3:$B$5001,$A$353)))</f>
        <v/>
      </c>
      <c r="AD370" s="232" t="str">
        <f>IF(AD$3="","",IF(COUNTIFS(BD!$A$3:$A$5001,AD$3,BD!$B$3:$B$5001,$A$353,BD!$S$3:$S$5001,"&lt;&gt;")=0,"",SUMIFS(BD!$S$3:$S$5001,BD!$A$3:$A$5001,AD$3,BD!$B$3:$B$5001,$A$353)))</f>
        <v/>
      </c>
      <c r="AE370" s="232" t="str">
        <f>IF(AE$3="","",IF(COUNTIFS(BD!$A$3:$A$5001,AE$3,BD!$B$3:$B$5001,$A$353,BD!$S$3:$S$5001,"&lt;&gt;")=0,"",SUMIFS(BD!$S$3:$S$5001,BD!$A$3:$A$5001,AE$3,BD!$B$3:$B$5001,$A$353)))</f>
        <v/>
      </c>
      <c r="AF370" s="232" t="str">
        <f>IF(AF$3="","",IF(COUNTIFS(BD!$A$3:$A$5001,AF$3,BD!$B$3:$B$5001,$A$353,BD!$S$3:$S$5001,"&lt;&gt;")=0,"",SUMIFS(BD!$S$3:$S$5001,BD!$A$3:$A$5001,AF$3,BD!$B$3:$B$5001,$A$353)))</f>
        <v/>
      </c>
      <c r="AG370" s="232" t="str">
        <f>IF(AG$3="","",IF(COUNTIFS(BD!$A$3:$A$5001,AG$3,BD!$B$3:$B$5001,$A$353,BD!$S$3:$S$5001,"&lt;&gt;")=0,"",SUMIFS(BD!$S$3:$S$5001,BD!$A$3:$A$5001,AG$3,BD!$B$3:$B$5001,$A$353)))</f>
        <v/>
      </c>
      <c r="AH370" s="232" t="str">
        <f>IF(AH$3="","",IF(COUNTIFS(BD!$A$3:$A$5001,AH$3,BD!$B$3:$B$5001,$A$353,BD!$S$3:$S$5001,"&lt;&gt;")=0,"",SUMIFS(BD!$S$3:$S$5001,BD!$A$3:$A$5001,AH$3,BD!$B$3:$B$5001,$A$353)))</f>
        <v/>
      </c>
      <c r="AI370" s="232" t="str">
        <f>IF(AI$3="","",IF(COUNTIFS(BD!$A$3:$A$5001,AI$3,BD!$B$3:$B$5001,$A$353,BD!$S$3:$S$5001,"&lt;&gt;")=0,"",SUMIFS(BD!$S$3:$S$5001,BD!$A$3:$A$5001,AI$3,BD!$B$3:$B$5001,$A$353)))</f>
        <v/>
      </c>
      <c r="AJ370" s="233" t="str">
        <f>IF(AJ$3="","",IF(COUNTIFS(BD!$A$3:$A$5001,AJ$3,BD!$B$3:$B$5001,$A$353,BD!$S$3:$S$5001,"&lt;&gt;")=0,"",SUMIFS(BD!$S$3:$S$5001,BD!$A$3:$A$5001,AJ$3,BD!$B$3:$B$5001,$A$353)))</f>
        <v/>
      </c>
      <c r="AK370" s="234" t="str">
        <f>IF(COUNT(F370:AJ370)=0,"",SUM(F370:AJ370))</f>
        <v/>
      </c>
    </row>
    <row r="371" ht="15.75" customHeight="1" hidden="1">
      <c r="A371" s="254"/>
      <c r="B371" s="251"/>
      <c r="C371" s="228" t="inlineStr">
        <is>
          <t xml:space="preserve">Acidentes CAF</t>
        </is>
      </c>
      <c r="D371" s="229" t="str">
        <f>IFERROR(1/(1/INDEX(BD!$Y$41:$AS$41,MATCH($A$353,BD!$Y$22:$AS$22,0))),"")</f>
        <v/>
      </c>
      <c r="E371" s="230"/>
      <c r="F371" s="231" t="str">
        <f>IF(F$3="","",IF(COUNTIFS(BD!$A$3:$A$5001,F$3,BD!$B$3:$B$5001,$A$353,BD!$T$3:$T$5001,"&lt;&gt;")=0,"",SUMIFS(BD!$T$3:$T$5001,BD!$A$3:$A$5001,F$3,BD!$B$3:$B$5001,$A$353)))</f>
        <v/>
      </c>
      <c r="G371" s="232" t="str">
        <f>IF(G$3="","",IF(COUNTIFS(BD!$A$3:$A$5001,G$3,BD!$B$3:$B$5001,$A$353,BD!$T$3:$T$5001,"&lt;&gt;")=0,"",SUMIFS(BD!$T$3:$T$5001,BD!$A$3:$A$5001,G$3,BD!$B$3:$B$5001,$A$353)))</f>
        <v/>
      </c>
      <c r="H371" s="232" t="str">
        <f>IF(H$3="","",IF(COUNTIFS(BD!$A$3:$A$5001,H$3,BD!$B$3:$B$5001,$A$353,BD!$T$3:$T$5001,"&lt;&gt;")=0,"",SUMIFS(BD!$T$3:$T$5001,BD!$A$3:$A$5001,H$3,BD!$B$3:$B$5001,$A$353)))</f>
        <v/>
      </c>
      <c r="I371" s="232" t="str">
        <f>IF(I$3="","",IF(COUNTIFS(BD!$A$3:$A$5001,I$3,BD!$B$3:$B$5001,$A$353,BD!$T$3:$T$5001,"&lt;&gt;")=0,"",SUMIFS(BD!$T$3:$T$5001,BD!$A$3:$A$5001,I$3,BD!$B$3:$B$5001,$A$353)))</f>
        <v/>
      </c>
      <c r="J371" s="232" t="str">
        <f>IF(J$3="","",IF(COUNTIFS(BD!$A$3:$A$5001,J$3,BD!$B$3:$B$5001,$A$353,BD!$T$3:$T$5001,"&lt;&gt;")=0,"",SUMIFS(BD!$T$3:$T$5001,BD!$A$3:$A$5001,J$3,BD!$B$3:$B$5001,$A$353)))</f>
        <v/>
      </c>
      <c r="K371" s="232" t="str">
        <f>IF(K$3="","",IF(COUNTIFS(BD!$A$3:$A$5001,K$3,BD!$B$3:$B$5001,$A$353,BD!$T$3:$T$5001,"&lt;&gt;")=0,"",SUMIFS(BD!$T$3:$T$5001,BD!$A$3:$A$5001,K$3,BD!$B$3:$B$5001,$A$353)))</f>
        <v/>
      </c>
      <c r="L371" s="232" t="str">
        <f>IF(L$3="","",IF(COUNTIFS(BD!$A$3:$A$5001,L$3,BD!$B$3:$B$5001,$A$353,BD!$T$3:$T$5001,"&lt;&gt;")=0,"",SUMIFS(BD!$T$3:$T$5001,BD!$A$3:$A$5001,L$3,BD!$B$3:$B$5001,$A$353)))</f>
        <v/>
      </c>
      <c r="M371" s="232" t="str">
        <f>IF(M$3="","",IF(COUNTIFS(BD!$A$3:$A$5001,M$3,BD!$B$3:$B$5001,$A$353,BD!$T$3:$T$5001,"&lt;&gt;")=0,"",SUMIFS(BD!$T$3:$T$5001,BD!$A$3:$A$5001,M$3,BD!$B$3:$B$5001,$A$353)))</f>
        <v/>
      </c>
      <c r="N371" s="232" t="str">
        <f>IF(N$3="","",IF(COUNTIFS(BD!$A$3:$A$5001,N$3,BD!$B$3:$B$5001,$A$353,BD!$T$3:$T$5001,"&lt;&gt;")=0,"",SUMIFS(BD!$T$3:$T$5001,BD!$A$3:$A$5001,N$3,BD!$B$3:$B$5001,$A$353)))</f>
        <v/>
      </c>
      <c r="O371" s="232" t="str">
        <f>IF(O$3="","",IF(COUNTIFS(BD!$A$3:$A$5001,O$3,BD!$B$3:$B$5001,$A$353,BD!$T$3:$T$5001,"&lt;&gt;")=0,"",SUMIFS(BD!$T$3:$T$5001,BD!$A$3:$A$5001,O$3,BD!$B$3:$B$5001,$A$353)))</f>
        <v/>
      </c>
      <c r="P371" s="232" t="str">
        <f>IF(P$3="","",IF(COUNTIFS(BD!$A$3:$A$5001,P$3,BD!$B$3:$B$5001,$A$353,BD!$T$3:$T$5001,"&lt;&gt;")=0,"",SUMIFS(BD!$T$3:$T$5001,BD!$A$3:$A$5001,P$3,BD!$B$3:$B$5001,$A$353)))</f>
        <v/>
      </c>
      <c r="Q371" s="232" t="str">
        <f>IF(Q$3="","",IF(COUNTIFS(BD!$A$3:$A$5001,Q$3,BD!$B$3:$B$5001,$A$353,BD!$T$3:$T$5001,"&lt;&gt;")=0,"",SUMIFS(BD!$T$3:$T$5001,BD!$A$3:$A$5001,Q$3,BD!$B$3:$B$5001,$A$353)))</f>
        <v/>
      </c>
      <c r="R371" s="232" t="str">
        <f>IF(R$3="","",IF(COUNTIFS(BD!$A$3:$A$5001,R$3,BD!$B$3:$B$5001,$A$353,BD!$T$3:$T$5001,"&lt;&gt;")=0,"",SUMIFS(BD!$T$3:$T$5001,BD!$A$3:$A$5001,R$3,BD!$B$3:$B$5001,$A$353)))</f>
        <v/>
      </c>
      <c r="S371" s="232" t="str">
        <f>IF(S$3="","",IF(COUNTIFS(BD!$A$3:$A$5001,S$3,BD!$B$3:$B$5001,$A$353,BD!$T$3:$T$5001,"&lt;&gt;")=0,"",SUMIFS(BD!$T$3:$T$5001,BD!$A$3:$A$5001,S$3,BD!$B$3:$B$5001,$A$353)))</f>
        <v/>
      </c>
      <c r="T371" s="232" t="str">
        <f>IF(T$3="","",IF(COUNTIFS(BD!$A$3:$A$5001,T$3,BD!$B$3:$B$5001,$A$353,BD!$T$3:$T$5001,"&lt;&gt;")=0,"",SUMIFS(BD!$T$3:$T$5001,BD!$A$3:$A$5001,T$3,BD!$B$3:$B$5001,$A$353)))</f>
        <v/>
      </c>
      <c r="U371" s="232" t="str">
        <f>IF(U$3="","",IF(COUNTIFS(BD!$A$3:$A$5001,U$3,BD!$B$3:$B$5001,$A$353,BD!$T$3:$T$5001,"&lt;&gt;")=0,"",SUMIFS(BD!$T$3:$T$5001,BD!$A$3:$A$5001,U$3,BD!$B$3:$B$5001,$A$353)))</f>
        <v/>
      </c>
      <c r="V371" s="232" t="str">
        <f>IF(V$3="","",IF(COUNTIFS(BD!$A$3:$A$5001,V$3,BD!$B$3:$B$5001,$A$353,BD!$T$3:$T$5001,"&lt;&gt;")=0,"",SUMIFS(BD!$T$3:$T$5001,BD!$A$3:$A$5001,V$3,BD!$B$3:$B$5001,$A$353)))</f>
        <v/>
      </c>
      <c r="W371" s="232" t="str">
        <f>IF(W$3="","",IF(COUNTIFS(BD!$A$3:$A$5001,W$3,BD!$B$3:$B$5001,$A$353,BD!$T$3:$T$5001,"&lt;&gt;")=0,"",SUMIFS(BD!$T$3:$T$5001,BD!$A$3:$A$5001,W$3,BD!$B$3:$B$5001,$A$353)))</f>
        <v/>
      </c>
      <c r="X371" s="232" t="str">
        <f>IF(X$3="","",IF(COUNTIFS(BD!$A$3:$A$5001,X$3,BD!$B$3:$B$5001,$A$353,BD!$T$3:$T$5001,"&lt;&gt;")=0,"",SUMIFS(BD!$T$3:$T$5001,BD!$A$3:$A$5001,X$3,BD!$B$3:$B$5001,$A$353)))</f>
        <v/>
      </c>
      <c r="Y371" s="232" t="str">
        <f>IF(Y$3="","",IF(COUNTIFS(BD!$A$3:$A$5001,Y$3,BD!$B$3:$B$5001,$A$353,BD!$T$3:$T$5001,"&lt;&gt;")=0,"",SUMIFS(BD!$T$3:$T$5001,BD!$A$3:$A$5001,Y$3,BD!$B$3:$B$5001,$A$353)))</f>
        <v/>
      </c>
      <c r="Z371" s="232" t="str">
        <f>IF(Z$3="","",IF(COUNTIFS(BD!$A$3:$A$5001,Z$3,BD!$B$3:$B$5001,$A$353,BD!$T$3:$T$5001,"&lt;&gt;")=0,"",SUMIFS(BD!$T$3:$T$5001,BD!$A$3:$A$5001,Z$3,BD!$B$3:$B$5001,$A$353)))</f>
        <v/>
      </c>
      <c r="AA371" s="232" t="str">
        <f>IF(AA$3="","",IF(COUNTIFS(BD!$A$3:$A$5001,AA$3,BD!$B$3:$B$5001,$A$353,BD!$T$3:$T$5001,"&lt;&gt;")=0,"",SUMIFS(BD!$T$3:$T$5001,BD!$A$3:$A$5001,AA$3,BD!$B$3:$B$5001,$A$353)))</f>
        <v/>
      </c>
      <c r="AB371" s="232" t="str">
        <f>IF(AB$3="","",IF(COUNTIFS(BD!$A$3:$A$5001,AB$3,BD!$B$3:$B$5001,$A$353,BD!$T$3:$T$5001,"&lt;&gt;")=0,"",SUMIFS(BD!$T$3:$T$5001,BD!$A$3:$A$5001,AB$3,BD!$B$3:$B$5001,$A$353)))</f>
        <v/>
      </c>
      <c r="AC371" s="232" t="str">
        <f>IF(AC$3="","",IF(COUNTIFS(BD!$A$3:$A$5001,AC$3,BD!$B$3:$B$5001,$A$353,BD!$T$3:$T$5001,"&lt;&gt;")=0,"",SUMIFS(BD!$T$3:$T$5001,BD!$A$3:$A$5001,AC$3,BD!$B$3:$B$5001,$A$353)))</f>
        <v/>
      </c>
      <c r="AD371" s="232" t="str">
        <f>IF(AD$3="","",IF(COUNTIFS(BD!$A$3:$A$5001,AD$3,BD!$B$3:$B$5001,$A$353,BD!$T$3:$T$5001,"&lt;&gt;")=0,"",SUMIFS(BD!$T$3:$T$5001,BD!$A$3:$A$5001,AD$3,BD!$B$3:$B$5001,$A$353)))</f>
        <v/>
      </c>
      <c r="AE371" s="232" t="str">
        <f>IF(AE$3="","",IF(COUNTIFS(BD!$A$3:$A$5001,AE$3,BD!$B$3:$B$5001,$A$353,BD!$T$3:$T$5001,"&lt;&gt;")=0,"",SUMIFS(BD!$T$3:$T$5001,BD!$A$3:$A$5001,AE$3,BD!$B$3:$B$5001,$A$353)))</f>
        <v/>
      </c>
      <c r="AF371" s="232" t="str">
        <f>IF(AF$3="","",IF(COUNTIFS(BD!$A$3:$A$5001,AF$3,BD!$B$3:$B$5001,$A$353,BD!$T$3:$T$5001,"&lt;&gt;")=0,"",SUMIFS(BD!$T$3:$T$5001,BD!$A$3:$A$5001,AF$3,BD!$B$3:$B$5001,$A$353)))</f>
        <v/>
      </c>
      <c r="AG371" s="232" t="str">
        <f>IF(AG$3="","",IF(COUNTIFS(BD!$A$3:$A$5001,AG$3,BD!$B$3:$B$5001,$A$353,BD!$T$3:$T$5001,"&lt;&gt;")=0,"",SUMIFS(BD!$T$3:$T$5001,BD!$A$3:$A$5001,AG$3,BD!$B$3:$B$5001,$A$353)))</f>
        <v/>
      </c>
      <c r="AH371" s="232" t="str">
        <f>IF(AH$3="","",IF(COUNTIFS(BD!$A$3:$A$5001,AH$3,BD!$B$3:$B$5001,$A$353,BD!$T$3:$T$5001,"&lt;&gt;")=0,"",SUMIFS(BD!$T$3:$T$5001,BD!$A$3:$A$5001,AH$3,BD!$B$3:$B$5001,$A$353)))</f>
        <v/>
      </c>
      <c r="AI371" s="232" t="str">
        <f>IF(AI$3="","",IF(COUNTIFS(BD!$A$3:$A$5001,AI$3,BD!$B$3:$B$5001,$A$353,BD!$T$3:$T$5001,"&lt;&gt;")=0,"",SUMIFS(BD!$T$3:$T$5001,BD!$A$3:$A$5001,AI$3,BD!$B$3:$B$5001,$A$353)))</f>
        <v/>
      </c>
      <c r="AJ371" s="233" t="str">
        <f>IF(AJ$3="","",IF(COUNTIFS(BD!$A$3:$A$5001,AJ$3,BD!$B$3:$B$5001,$A$353,BD!$T$3:$T$5001,"&lt;&gt;")=0,"",SUMIFS(BD!$T$3:$T$5001,BD!$A$3:$A$5001,AJ$3,BD!$B$3:$B$5001,$A$353)))</f>
        <v/>
      </c>
      <c r="AK371" s="234" t="str">
        <f>IF(COUNT(F371:AJ371)=0,"",SUM(F371:AJ371))</f>
        <v/>
      </c>
    </row>
    <row r="372" ht="15.75" customHeight="1" hidden="1">
      <c r="A372" s="255"/>
      <c r="B372" s="252"/>
      <c r="C372" s="235" t="inlineStr">
        <is>
          <t xml:space="preserve">Acidentes SAF</t>
        </is>
      </c>
      <c r="D372" s="236" t="str">
        <f>IFERROR(1/(1/INDEX(BD!$Y$42:$AS$42,MATCH($A$353,BD!$Y$22:$AS$22,0))),"")</f>
        <v/>
      </c>
      <c r="E372" s="237"/>
      <c r="F372" s="238" t="str">
        <f>IF(F$3="","",IF(COUNTIFS(BD!$A$3:$A$5001,F$3,BD!$B$3:$B$5001,$A$353,BD!$U$3:$U$5001,"&lt;&gt;")=0,"",SUMIFS(BD!$U$3:$U$5001,BD!$A$3:$A$5001,F$3,BD!$B$3:$B$5001,$A$353)))</f>
        <v/>
      </c>
      <c r="G372" s="239" t="str">
        <f>IF(G$3="","",IF(COUNTIFS(BD!$A$3:$A$5001,G$3,BD!$B$3:$B$5001,$A$353,BD!$U$3:$U$5001,"&lt;&gt;")=0,"",SUMIFS(BD!$U$3:$U$5001,BD!$A$3:$A$5001,G$3,BD!$B$3:$B$5001,$A$353)))</f>
        <v/>
      </c>
      <c r="H372" s="239" t="str">
        <f>IF(H$3="","",IF(COUNTIFS(BD!$A$3:$A$5001,H$3,BD!$B$3:$B$5001,$A$353,BD!$U$3:$U$5001,"&lt;&gt;")=0,"",SUMIFS(BD!$U$3:$U$5001,BD!$A$3:$A$5001,H$3,BD!$B$3:$B$5001,$A$353)))</f>
        <v/>
      </c>
      <c r="I372" s="239" t="str">
        <f>IF(I$3="","",IF(COUNTIFS(BD!$A$3:$A$5001,I$3,BD!$B$3:$B$5001,$A$353,BD!$U$3:$U$5001,"&lt;&gt;")=0,"",SUMIFS(BD!$U$3:$U$5001,BD!$A$3:$A$5001,I$3,BD!$B$3:$B$5001,$A$353)))</f>
        <v/>
      </c>
      <c r="J372" s="239" t="str">
        <f>IF(J$3="","",IF(COUNTIFS(BD!$A$3:$A$5001,J$3,BD!$B$3:$B$5001,$A$353,BD!$U$3:$U$5001,"&lt;&gt;")=0,"",SUMIFS(BD!$U$3:$U$5001,BD!$A$3:$A$5001,J$3,BD!$B$3:$B$5001,$A$353)))</f>
        <v/>
      </c>
      <c r="K372" s="239" t="str">
        <f>IF(K$3="","",IF(COUNTIFS(BD!$A$3:$A$5001,K$3,BD!$B$3:$B$5001,$A$353,BD!$U$3:$U$5001,"&lt;&gt;")=0,"",SUMIFS(BD!$U$3:$U$5001,BD!$A$3:$A$5001,K$3,BD!$B$3:$B$5001,$A$353)))</f>
        <v/>
      </c>
      <c r="L372" s="239" t="str">
        <f>IF(L$3="","",IF(COUNTIFS(BD!$A$3:$A$5001,L$3,BD!$B$3:$B$5001,$A$353,BD!$U$3:$U$5001,"&lt;&gt;")=0,"",SUMIFS(BD!$U$3:$U$5001,BD!$A$3:$A$5001,L$3,BD!$B$3:$B$5001,$A$353)))</f>
        <v/>
      </c>
      <c r="M372" s="239" t="str">
        <f>IF(M$3="","",IF(COUNTIFS(BD!$A$3:$A$5001,M$3,BD!$B$3:$B$5001,$A$353,BD!$U$3:$U$5001,"&lt;&gt;")=0,"",SUMIFS(BD!$U$3:$U$5001,BD!$A$3:$A$5001,M$3,BD!$B$3:$B$5001,$A$353)))</f>
        <v/>
      </c>
      <c r="N372" s="239" t="str">
        <f>IF(N$3="","",IF(COUNTIFS(BD!$A$3:$A$5001,N$3,BD!$B$3:$B$5001,$A$353,BD!$U$3:$U$5001,"&lt;&gt;")=0,"",SUMIFS(BD!$U$3:$U$5001,BD!$A$3:$A$5001,N$3,BD!$B$3:$B$5001,$A$353)))</f>
        <v/>
      </c>
      <c r="O372" s="239" t="str">
        <f>IF(O$3="","",IF(COUNTIFS(BD!$A$3:$A$5001,O$3,BD!$B$3:$B$5001,$A$353,BD!$U$3:$U$5001,"&lt;&gt;")=0,"",SUMIFS(BD!$U$3:$U$5001,BD!$A$3:$A$5001,O$3,BD!$B$3:$B$5001,$A$353)))</f>
        <v/>
      </c>
      <c r="P372" s="239" t="str">
        <f>IF(P$3="","",IF(COUNTIFS(BD!$A$3:$A$5001,P$3,BD!$B$3:$B$5001,$A$353,BD!$U$3:$U$5001,"&lt;&gt;")=0,"",SUMIFS(BD!$U$3:$U$5001,BD!$A$3:$A$5001,P$3,BD!$B$3:$B$5001,$A$353)))</f>
        <v/>
      </c>
      <c r="Q372" s="239" t="str">
        <f>IF(Q$3="","",IF(COUNTIFS(BD!$A$3:$A$5001,Q$3,BD!$B$3:$B$5001,$A$353,BD!$U$3:$U$5001,"&lt;&gt;")=0,"",SUMIFS(BD!$U$3:$U$5001,BD!$A$3:$A$5001,Q$3,BD!$B$3:$B$5001,$A$353)))</f>
        <v/>
      </c>
      <c r="R372" s="239" t="str">
        <f>IF(R$3="","",IF(COUNTIFS(BD!$A$3:$A$5001,R$3,BD!$B$3:$B$5001,$A$353,BD!$U$3:$U$5001,"&lt;&gt;")=0,"",SUMIFS(BD!$U$3:$U$5001,BD!$A$3:$A$5001,R$3,BD!$B$3:$B$5001,$A$353)))</f>
        <v/>
      </c>
      <c r="S372" s="239" t="str">
        <f>IF(S$3="","",IF(COUNTIFS(BD!$A$3:$A$5001,S$3,BD!$B$3:$B$5001,$A$353,BD!$U$3:$U$5001,"&lt;&gt;")=0,"",SUMIFS(BD!$U$3:$U$5001,BD!$A$3:$A$5001,S$3,BD!$B$3:$B$5001,$A$353)))</f>
        <v/>
      </c>
      <c r="T372" s="239" t="str">
        <f>IF(T$3="","",IF(COUNTIFS(BD!$A$3:$A$5001,T$3,BD!$B$3:$B$5001,$A$353,BD!$U$3:$U$5001,"&lt;&gt;")=0,"",SUMIFS(BD!$U$3:$U$5001,BD!$A$3:$A$5001,T$3,BD!$B$3:$B$5001,$A$353)))</f>
        <v/>
      </c>
      <c r="U372" s="239" t="str">
        <f>IF(U$3="","",IF(COUNTIFS(BD!$A$3:$A$5001,U$3,BD!$B$3:$B$5001,$A$353,BD!$U$3:$U$5001,"&lt;&gt;")=0,"",SUMIFS(BD!$U$3:$U$5001,BD!$A$3:$A$5001,U$3,BD!$B$3:$B$5001,$A$353)))</f>
        <v/>
      </c>
      <c r="V372" s="239" t="str">
        <f>IF(V$3="","",IF(COUNTIFS(BD!$A$3:$A$5001,V$3,BD!$B$3:$B$5001,$A$353,BD!$U$3:$U$5001,"&lt;&gt;")=0,"",SUMIFS(BD!$U$3:$U$5001,BD!$A$3:$A$5001,V$3,BD!$B$3:$B$5001,$A$353)))</f>
        <v/>
      </c>
      <c r="W372" s="239" t="str">
        <f>IF(W$3="","",IF(COUNTIFS(BD!$A$3:$A$5001,W$3,BD!$B$3:$B$5001,$A$353,BD!$U$3:$U$5001,"&lt;&gt;")=0,"",SUMIFS(BD!$U$3:$U$5001,BD!$A$3:$A$5001,W$3,BD!$B$3:$B$5001,$A$353)))</f>
        <v/>
      </c>
      <c r="X372" s="239" t="str">
        <f>IF(X$3="","",IF(COUNTIFS(BD!$A$3:$A$5001,X$3,BD!$B$3:$B$5001,$A$353,BD!$U$3:$U$5001,"&lt;&gt;")=0,"",SUMIFS(BD!$U$3:$U$5001,BD!$A$3:$A$5001,X$3,BD!$B$3:$B$5001,$A$353)))</f>
        <v/>
      </c>
      <c r="Y372" s="239" t="str">
        <f>IF(Y$3="","",IF(COUNTIFS(BD!$A$3:$A$5001,Y$3,BD!$B$3:$B$5001,$A$353,BD!$U$3:$U$5001,"&lt;&gt;")=0,"",SUMIFS(BD!$U$3:$U$5001,BD!$A$3:$A$5001,Y$3,BD!$B$3:$B$5001,$A$353)))</f>
        <v/>
      </c>
      <c r="Z372" s="239" t="str">
        <f>IF(Z$3="","",IF(COUNTIFS(BD!$A$3:$A$5001,Z$3,BD!$B$3:$B$5001,$A$353,BD!$U$3:$U$5001,"&lt;&gt;")=0,"",SUMIFS(BD!$U$3:$U$5001,BD!$A$3:$A$5001,Z$3,BD!$B$3:$B$5001,$A$353)))</f>
        <v/>
      </c>
      <c r="AA372" s="239" t="str">
        <f>IF(AA$3="","",IF(COUNTIFS(BD!$A$3:$A$5001,AA$3,BD!$B$3:$B$5001,$A$353,BD!$U$3:$U$5001,"&lt;&gt;")=0,"",SUMIFS(BD!$U$3:$U$5001,BD!$A$3:$A$5001,AA$3,BD!$B$3:$B$5001,$A$353)))</f>
        <v/>
      </c>
      <c r="AB372" s="239" t="str">
        <f>IF(AB$3="","",IF(COUNTIFS(BD!$A$3:$A$5001,AB$3,BD!$B$3:$B$5001,$A$353,BD!$U$3:$U$5001,"&lt;&gt;")=0,"",SUMIFS(BD!$U$3:$U$5001,BD!$A$3:$A$5001,AB$3,BD!$B$3:$B$5001,$A$353)))</f>
        <v/>
      </c>
      <c r="AC372" s="239" t="str">
        <f>IF(AC$3="","",IF(COUNTIFS(BD!$A$3:$A$5001,AC$3,BD!$B$3:$B$5001,$A$353,BD!$U$3:$U$5001,"&lt;&gt;")=0,"",SUMIFS(BD!$U$3:$U$5001,BD!$A$3:$A$5001,AC$3,BD!$B$3:$B$5001,$A$353)))</f>
        <v/>
      </c>
      <c r="AD372" s="239" t="str">
        <f>IF(AD$3="","",IF(COUNTIFS(BD!$A$3:$A$5001,AD$3,BD!$B$3:$B$5001,$A$353,BD!$U$3:$U$5001,"&lt;&gt;")=0,"",SUMIFS(BD!$U$3:$U$5001,BD!$A$3:$A$5001,AD$3,BD!$B$3:$B$5001,$A$353)))</f>
        <v/>
      </c>
      <c r="AE372" s="239" t="str">
        <f>IF(AE$3="","",IF(COUNTIFS(BD!$A$3:$A$5001,AE$3,BD!$B$3:$B$5001,$A$353,BD!$U$3:$U$5001,"&lt;&gt;")=0,"",SUMIFS(BD!$U$3:$U$5001,BD!$A$3:$A$5001,AE$3,BD!$B$3:$B$5001,$A$353)))</f>
        <v/>
      </c>
      <c r="AF372" s="239" t="str">
        <f>IF(AF$3="","",IF(COUNTIFS(BD!$A$3:$A$5001,AF$3,BD!$B$3:$B$5001,$A$353,BD!$U$3:$U$5001,"&lt;&gt;")=0,"",SUMIFS(BD!$U$3:$U$5001,BD!$A$3:$A$5001,AF$3,BD!$B$3:$B$5001,$A$353)))</f>
        <v/>
      </c>
      <c r="AG372" s="239" t="str">
        <f>IF(AG$3="","",IF(COUNTIFS(BD!$A$3:$A$5001,AG$3,BD!$B$3:$B$5001,$A$353,BD!$U$3:$U$5001,"&lt;&gt;")=0,"",SUMIFS(BD!$U$3:$U$5001,BD!$A$3:$A$5001,AG$3,BD!$B$3:$B$5001,$A$353)))</f>
        <v/>
      </c>
      <c r="AH372" s="239" t="str">
        <f>IF(AH$3="","",IF(COUNTIFS(BD!$A$3:$A$5001,AH$3,BD!$B$3:$B$5001,$A$353,BD!$U$3:$U$5001,"&lt;&gt;")=0,"",SUMIFS(BD!$U$3:$U$5001,BD!$A$3:$A$5001,AH$3,BD!$B$3:$B$5001,$A$353)))</f>
        <v/>
      </c>
      <c r="AI372" s="239" t="str">
        <f>IF(AI$3="","",IF(COUNTIFS(BD!$A$3:$A$5001,AI$3,BD!$B$3:$B$5001,$A$353,BD!$U$3:$U$5001,"&lt;&gt;")=0,"",SUMIFS(BD!$U$3:$U$5001,BD!$A$3:$A$5001,AI$3,BD!$B$3:$B$5001,$A$353)))</f>
        <v/>
      </c>
      <c r="AJ372" s="240" t="str">
        <f>IF(AJ$3="","",IF(COUNTIFS(BD!$A$3:$A$5001,AJ$3,BD!$B$3:$B$5001,$A$353,BD!$U$3:$U$5001,"&lt;&gt;")=0,"",SUMIFS(BD!$U$3:$U$5001,BD!$A$3:$A$5001,AJ$3,BD!$B$3:$B$5001,$A$353)))</f>
        <v/>
      </c>
      <c r="AK372" s="236" t="str">
        <f>IF(COUNT(F372:AJ372)=0,"",SUM(F372:AJ372))</f>
        <v/>
      </c>
    </row>
    <row r="374" ht="15.75" customHeight="1" hidden="1">
      <c r="A374" s="253"/>
      <c r="B374" s="241" t="inlineStr">
        <is>
          <t xml:space="preserve">IN</t>
        </is>
      </c>
      <c r="C374" s="155" t="inlineStr">
        <is>
          <t xml:space="preserve">Veículos Recebidos</t>
        </is>
      </c>
      <c r="D374" s="156" t="str">
        <f>IFERROR(1/(1/INDEX(BD!$Y$23:$AS$23,MATCH($A$374,BD!$Y$22:$AS$22,0))),"")</f>
        <v/>
      </c>
      <c r="E374" s="157"/>
      <c r="F374" s="158" t="str">
        <f>IF(F$3="","",IF(COUNTIFS(BD!$A$3:$A$5001,F$3,BD!$B$3:$B$5001,$A$374,BD!$C$3:$C$5001,"&lt;&gt;")=0,"",SUMIFS(BD!$C$3:$C$5001,BD!$A$3:$A$5001,F$3,BD!$B$3:$B$5001,$A$374)))</f>
        <v/>
      </c>
      <c r="G374" s="159" t="str">
        <f>IF(G$3="","",IF(COUNTIFS(BD!$A$3:$A$5001,G$3,BD!$B$3:$B$5001,$A$374,BD!$C$3:$C$5001,"&lt;&gt;")=0,"",SUMIFS(BD!$C$3:$C$5001,BD!$A$3:$A$5001,G$3,BD!$B$3:$B$5001,$A$374)))</f>
        <v/>
      </c>
      <c r="H374" s="159" t="str">
        <f>IF(H$3="","",IF(COUNTIFS(BD!$A$3:$A$5001,H$3,BD!$B$3:$B$5001,$A$374,BD!$C$3:$C$5001,"&lt;&gt;")=0,"",SUMIFS(BD!$C$3:$C$5001,BD!$A$3:$A$5001,H$3,BD!$B$3:$B$5001,$A$374)))</f>
        <v/>
      </c>
      <c r="I374" s="159" t="str">
        <f>IF(I$3="","",IF(COUNTIFS(BD!$A$3:$A$5001,I$3,BD!$B$3:$B$5001,$A$374,BD!$C$3:$C$5001,"&lt;&gt;")=0,"",SUMIFS(BD!$C$3:$C$5001,BD!$A$3:$A$5001,I$3,BD!$B$3:$B$5001,$A$374)))</f>
        <v/>
      </c>
      <c r="J374" s="159" t="str">
        <f>IF(J$3="","",IF(COUNTIFS(BD!$A$3:$A$5001,J$3,BD!$B$3:$B$5001,$A$374,BD!$C$3:$C$5001,"&lt;&gt;")=0,"",SUMIFS(BD!$C$3:$C$5001,BD!$A$3:$A$5001,J$3,BD!$B$3:$B$5001,$A$374)))</f>
        <v/>
      </c>
      <c r="K374" s="159" t="str">
        <f>IF(K$3="","",IF(COUNTIFS(BD!$A$3:$A$5001,K$3,BD!$B$3:$B$5001,$A$374,BD!$C$3:$C$5001,"&lt;&gt;")=0,"",SUMIFS(BD!$C$3:$C$5001,BD!$A$3:$A$5001,K$3,BD!$B$3:$B$5001,$A$374)))</f>
        <v/>
      </c>
      <c r="L374" s="159" t="str">
        <f>IF(L$3="","",IF(COUNTIFS(BD!$A$3:$A$5001,L$3,BD!$B$3:$B$5001,$A$374,BD!$C$3:$C$5001,"&lt;&gt;")=0,"",SUMIFS(BD!$C$3:$C$5001,BD!$A$3:$A$5001,L$3,BD!$B$3:$B$5001,$A$374)))</f>
        <v/>
      </c>
      <c r="M374" s="159" t="str">
        <f>IF(M$3="","",IF(COUNTIFS(BD!$A$3:$A$5001,M$3,BD!$B$3:$B$5001,$A$374,BD!$C$3:$C$5001,"&lt;&gt;")=0,"",SUMIFS(BD!$C$3:$C$5001,BD!$A$3:$A$5001,M$3,BD!$B$3:$B$5001,$A$374)))</f>
        <v/>
      </c>
      <c r="N374" s="159" t="str">
        <f>IF(N$3="","",IF(COUNTIFS(BD!$A$3:$A$5001,N$3,BD!$B$3:$B$5001,$A$374,BD!$C$3:$C$5001,"&lt;&gt;")=0,"",SUMIFS(BD!$C$3:$C$5001,BD!$A$3:$A$5001,N$3,BD!$B$3:$B$5001,$A$374)))</f>
        <v/>
      </c>
      <c r="O374" s="159" t="str">
        <f>IF(O$3="","",IF(COUNTIFS(BD!$A$3:$A$5001,O$3,BD!$B$3:$B$5001,$A$374,BD!$C$3:$C$5001,"&lt;&gt;")=0,"",SUMIFS(BD!$C$3:$C$5001,BD!$A$3:$A$5001,O$3,BD!$B$3:$B$5001,$A$374)))</f>
        <v/>
      </c>
      <c r="P374" s="159" t="str">
        <f>IF(P$3="","",IF(COUNTIFS(BD!$A$3:$A$5001,P$3,BD!$B$3:$B$5001,$A$374,BD!$C$3:$C$5001,"&lt;&gt;")=0,"",SUMIFS(BD!$C$3:$C$5001,BD!$A$3:$A$5001,P$3,BD!$B$3:$B$5001,$A$374)))</f>
        <v/>
      </c>
      <c r="Q374" s="159" t="str">
        <f>IF(Q$3="","",IF(COUNTIFS(BD!$A$3:$A$5001,Q$3,BD!$B$3:$B$5001,$A$374,BD!$C$3:$C$5001,"&lt;&gt;")=0,"",SUMIFS(BD!$C$3:$C$5001,BD!$A$3:$A$5001,Q$3,BD!$B$3:$B$5001,$A$374)))</f>
        <v/>
      </c>
      <c r="R374" s="159" t="str">
        <f>IF(R$3="","",IF(COUNTIFS(BD!$A$3:$A$5001,R$3,BD!$B$3:$B$5001,$A$374,BD!$C$3:$C$5001,"&lt;&gt;")=0,"",SUMIFS(BD!$C$3:$C$5001,BD!$A$3:$A$5001,R$3,BD!$B$3:$B$5001,$A$374)))</f>
        <v/>
      </c>
      <c r="S374" s="159" t="str">
        <f>IF(S$3="","",IF(COUNTIFS(BD!$A$3:$A$5001,S$3,BD!$B$3:$B$5001,$A$374,BD!$C$3:$C$5001,"&lt;&gt;")=0,"",SUMIFS(BD!$C$3:$C$5001,BD!$A$3:$A$5001,S$3,BD!$B$3:$B$5001,$A$374)))</f>
        <v/>
      </c>
      <c r="T374" s="159" t="str">
        <f>IF(T$3="","",IF(COUNTIFS(BD!$A$3:$A$5001,T$3,BD!$B$3:$B$5001,$A$374,BD!$C$3:$C$5001,"&lt;&gt;")=0,"",SUMIFS(BD!$C$3:$C$5001,BD!$A$3:$A$5001,T$3,BD!$B$3:$B$5001,$A$374)))</f>
        <v/>
      </c>
      <c r="U374" s="159" t="str">
        <f>IF(U$3="","",IF(COUNTIFS(BD!$A$3:$A$5001,U$3,BD!$B$3:$B$5001,$A$374,BD!$C$3:$C$5001,"&lt;&gt;")=0,"",SUMIFS(BD!$C$3:$C$5001,BD!$A$3:$A$5001,U$3,BD!$B$3:$B$5001,$A$374)))</f>
        <v/>
      </c>
      <c r="V374" s="159" t="str">
        <f>IF(V$3="","",IF(COUNTIFS(BD!$A$3:$A$5001,V$3,BD!$B$3:$B$5001,$A$374,BD!$C$3:$C$5001,"&lt;&gt;")=0,"",SUMIFS(BD!$C$3:$C$5001,BD!$A$3:$A$5001,V$3,BD!$B$3:$B$5001,$A$374)))</f>
        <v/>
      </c>
      <c r="W374" s="159" t="str">
        <f>IF(W$3="","",IF(COUNTIFS(BD!$A$3:$A$5001,W$3,BD!$B$3:$B$5001,$A$374,BD!$C$3:$C$5001,"&lt;&gt;")=0,"",SUMIFS(BD!$C$3:$C$5001,BD!$A$3:$A$5001,W$3,BD!$B$3:$B$5001,$A$374)))</f>
        <v/>
      </c>
      <c r="X374" s="159" t="str">
        <f>IF(X$3="","",IF(COUNTIFS(BD!$A$3:$A$5001,X$3,BD!$B$3:$B$5001,$A$374,BD!$C$3:$C$5001,"&lt;&gt;")=0,"",SUMIFS(BD!$C$3:$C$5001,BD!$A$3:$A$5001,X$3,BD!$B$3:$B$5001,$A$374)))</f>
        <v/>
      </c>
      <c r="Y374" s="159" t="str">
        <f>IF(Y$3="","",IF(COUNTIFS(BD!$A$3:$A$5001,Y$3,BD!$B$3:$B$5001,$A$374,BD!$C$3:$C$5001,"&lt;&gt;")=0,"",SUMIFS(BD!$C$3:$C$5001,BD!$A$3:$A$5001,Y$3,BD!$B$3:$B$5001,$A$374)))</f>
        <v/>
      </c>
      <c r="Z374" s="159" t="str">
        <f>IF(Z$3="","",IF(COUNTIFS(BD!$A$3:$A$5001,Z$3,BD!$B$3:$B$5001,$A$374,BD!$C$3:$C$5001,"&lt;&gt;")=0,"",SUMIFS(BD!$C$3:$C$5001,BD!$A$3:$A$5001,Z$3,BD!$B$3:$B$5001,$A$374)))</f>
        <v/>
      </c>
      <c r="AA374" s="159" t="str">
        <f>IF(AA$3="","",IF(COUNTIFS(BD!$A$3:$A$5001,AA$3,BD!$B$3:$B$5001,$A$374,BD!$C$3:$C$5001,"&lt;&gt;")=0,"",SUMIFS(BD!$C$3:$C$5001,BD!$A$3:$A$5001,AA$3,BD!$B$3:$B$5001,$A$374)))</f>
        <v/>
      </c>
      <c r="AB374" s="159" t="str">
        <f>IF(AB$3="","",IF(COUNTIFS(BD!$A$3:$A$5001,AB$3,BD!$B$3:$B$5001,$A$374,BD!$C$3:$C$5001,"&lt;&gt;")=0,"",SUMIFS(BD!$C$3:$C$5001,BD!$A$3:$A$5001,AB$3,BD!$B$3:$B$5001,$A$374)))</f>
        <v/>
      </c>
      <c r="AC374" s="159" t="str">
        <f>IF(AC$3="","",IF(COUNTIFS(BD!$A$3:$A$5001,AC$3,BD!$B$3:$B$5001,$A$374,BD!$C$3:$C$5001,"&lt;&gt;")=0,"",SUMIFS(BD!$C$3:$C$5001,BD!$A$3:$A$5001,AC$3,BD!$B$3:$B$5001,$A$374)))</f>
        <v/>
      </c>
      <c r="AD374" s="159" t="str">
        <f>IF(AD$3="","",IF(COUNTIFS(BD!$A$3:$A$5001,AD$3,BD!$B$3:$B$5001,$A$374,BD!$C$3:$C$5001,"&lt;&gt;")=0,"",SUMIFS(BD!$C$3:$C$5001,BD!$A$3:$A$5001,AD$3,BD!$B$3:$B$5001,$A$374)))</f>
        <v/>
      </c>
      <c r="AE374" s="159" t="str">
        <f>IF(AE$3="","",IF(COUNTIFS(BD!$A$3:$A$5001,AE$3,BD!$B$3:$B$5001,$A$374,BD!$C$3:$C$5001,"&lt;&gt;")=0,"",SUMIFS(BD!$C$3:$C$5001,BD!$A$3:$A$5001,AE$3,BD!$B$3:$B$5001,$A$374)))</f>
        <v/>
      </c>
      <c r="AF374" s="159" t="str">
        <f>IF(AF$3="","",IF(COUNTIFS(BD!$A$3:$A$5001,AF$3,BD!$B$3:$B$5001,$A$374,BD!$C$3:$C$5001,"&lt;&gt;")=0,"",SUMIFS(BD!$C$3:$C$5001,BD!$A$3:$A$5001,AF$3,BD!$B$3:$B$5001,$A$374)))</f>
        <v/>
      </c>
      <c r="AG374" s="159" t="str">
        <f>IF(AG$3="","",IF(COUNTIFS(BD!$A$3:$A$5001,AG$3,BD!$B$3:$B$5001,$A$374,BD!$C$3:$C$5001,"&lt;&gt;")=0,"",SUMIFS(BD!$C$3:$C$5001,BD!$A$3:$A$5001,AG$3,BD!$B$3:$B$5001,$A$374)))</f>
        <v/>
      </c>
      <c r="AH374" s="159" t="str">
        <f>IF(AH$3="","",IF(COUNTIFS(BD!$A$3:$A$5001,AH$3,BD!$B$3:$B$5001,$A$374,BD!$C$3:$C$5001,"&lt;&gt;")=0,"",SUMIFS(BD!$C$3:$C$5001,BD!$A$3:$A$5001,AH$3,BD!$B$3:$B$5001,$A$374)))</f>
        <v/>
      </c>
      <c r="AI374" s="159" t="str">
        <f>IF(AI$3="","",IF(COUNTIFS(BD!$A$3:$A$5001,AI$3,BD!$B$3:$B$5001,$A$374,BD!$C$3:$C$5001,"&lt;&gt;")=0,"",SUMIFS(BD!$C$3:$C$5001,BD!$A$3:$A$5001,AI$3,BD!$B$3:$B$5001,$A$374)))</f>
        <v/>
      </c>
      <c r="AJ374" s="160" t="str">
        <f>IF(AJ$3="","",IF(COUNTIFS(BD!$A$3:$A$5001,AJ$3,BD!$B$3:$B$5001,$A$374,BD!$C$3:$C$5001,"&lt;&gt;")=0,"",SUMIFS(BD!$C$3:$C$5001,BD!$A$3:$A$5001,AJ$3,BD!$B$3:$B$5001,$A$374)))</f>
        <v/>
      </c>
      <c r="AK374" s="161" t="str">
        <f>IF(COUNT(F374:AJ374)=0,"",SUM(F374:AJ374))</f>
        <v/>
      </c>
    </row>
    <row r="375" ht="15.75" customHeight="1" hidden="1">
      <c r="A375" s="254"/>
      <c r="B375" s="242"/>
      <c r="C375" s="162" t="inlineStr">
        <is>
          <t xml:space="preserve">Pallets Movimentados</t>
        </is>
      </c>
      <c r="D375" s="163" t="str">
        <f>IFERROR(1/(1/INDEX(BD!$Y$24:$AS$24,MATCH($A$374,BD!$Y$22:$AS$22,0))),"")</f>
        <v/>
      </c>
      <c r="E375" s="164"/>
      <c r="F375" s="165" t="str">
        <f>IF(F$3="","",IF(COUNTIFS(BD!$A$3:$A$5001,F$3,BD!$B$3:$B$5001,$A$374,BD!$D$3:$D$5001,"&lt;&gt;")=0,"",SUMIFS(BD!$D$3:$D$5001,BD!$A$3:$A$5001,F$3,BD!$B$3:$B$5001,$A$374)))</f>
        <v/>
      </c>
      <c r="G375" s="166" t="str">
        <f>IF(G$3="","",IF(COUNTIFS(BD!$A$3:$A$5001,G$3,BD!$B$3:$B$5001,$A$374,BD!$D$3:$D$5001,"&lt;&gt;")=0,"",SUMIFS(BD!$D$3:$D$5001,BD!$A$3:$A$5001,G$3,BD!$B$3:$B$5001,$A$374)))</f>
        <v/>
      </c>
      <c r="H375" s="166" t="str">
        <f>IF(H$3="","",IF(COUNTIFS(BD!$A$3:$A$5001,H$3,BD!$B$3:$B$5001,$A$374,BD!$D$3:$D$5001,"&lt;&gt;")=0,"",SUMIFS(BD!$D$3:$D$5001,BD!$A$3:$A$5001,H$3,BD!$B$3:$B$5001,$A$374)))</f>
        <v/>
      </c>
      <c r="I375" s="166" t="str">
        <f>IF(I$3="","",IF(COUNTIFS(BD!$A$3:$A$5001,I$3,BD!$B$3:$B$5001,$A$374,BD!$D$3:$D$5001,"&lt;&gt;")=0,"",SUMIFS(BD!$D$3:$D$5001,BD!$A$3:$A$5001,I$3,BD!$B$3:$B$5001,$A$374)))</f>
        <v/>
      </c>
      <c r="J375" s="166" t="str">
        <f>IF(J$3="","",IF(COUNTIFS(BD!$A$3:$A$5001,J$3,BD!$B$3:$B$5001,$A$374,BD!$D$3:$D$5001,"&lt;&gt;")=0,"",SUMIFS(BD!$D$3:$D$5001,BD!$A$3:$A$5001,J$3,BD!$B$3:$B$5001,$A$374)))</f>
        <v/>
      </c>
      <c r="K375" s="166" t="str">
        <f>IF(K$3="","",IF(COUNTIFS(BD!$A$3:$A$5001,K$3,BD!$B$3:$B$5001,$A$374,BD!$D$3:$D$5001,"&lt;&gt;")=0,"",SUMIFS(BD!$D$3:$D$5001,BD!$A$3:$A$5001,K$3,BD!$B$3:$B$5001,$A$374)))</f>
        <v/>
      </c>
      <c r="L375" s="166" t="str">
        <f>IF(L$3="","",IF(COUNTIFS(BD!$A$3:$A$5001,L$3,BD!$B$3:$B$5001,$A$374,BD!$D$3:$D$5001,"&lt;&gt;")=0,"",SUMIFS(BD!$D$3:$D$5001,BD!$A$3:$A$5001,L$3,BD!$B$3:$B$5001,$A$374)))</f>
        <v/>
      </c>
      <c r="M375" s="166" t="str">
        <f>IF(M$3="","",IF(COUNTIFS(BD!$A$3:$A$5001,M$3,BD!$B$3:$B$5001,$A$374,BD!$D$3:$D$5001,"&lt;&gt;")=0,"",SUMIFS(BD!$D$3:$D$5001,BD!$A$3:$A$5001,M$3,BD!$B$3:$B$5001,$A$374)))</f>
        <v/>
      </c>
      <c r="N375" s="166" t="str">
        <f>IF(N$3="","",IF(COUNTIFS(BD!$A$3:$A$5001,N$3,BD!$B$3:$B$5001,$A$374,BD!$D$3:$D$5001,"&lt;&gt;")=0,"",SUMIFS(BD!$D$3:$D$5001,BD!$A$3:$A$5001,N$3,BD!$B$3:$B$5001,$A$374)))</f>
        <v/>
      </c>
      <c r="O375" s="166" t="str">
        <f>IF(O$3="","",IF(COUNTIFS(BD!$A$3:$A$5001,O$3,BD!$B$3:$B$5001,$A$374,BD!$D$3:$D$5001,"&lt;&gt;")=0,"",SUMIFS(BD!$D$3:$D$5001,BD!$A$3:$A$5001,O$3,BD!$B$3:$B$5001,$A$374)))</f>
        <v/>
      </c>
      <c r="P375" s="166" t="str">
        <f>IF(P$3="","",IF(COUNTIFS(BD!$A$3:$A$5001,P$3,BD!$B$3:$B$5001,$A$374,BD!$D$3:$D$5001,"&lt;&gt;")=0,"",SUMIFS(BD!$D$3:$D$5001,BD!$A$3:$A$5001,P$3,BD!$B$3:$B$5001,$A$374)))</f>
        <v/>
      </c>
      <c r="Q375" s="166" t="str">
        <f>IF(Q$3="","",IF(COUNTIFS(BD!$A$3:$A$5001,Q$3,BD!$B$3:$B$5001,$A$374,BD!$D$3:$D$5001,"&lt;&gt;")=0,"",SUMIFS(BD!$D$3:$D$5001,BD!$A$3:$A$5001,Q$3,BD!$B$3:$B$5001,$A$374)))</f>
        <v/>
      </c>
      <c r="R375" s="166" t="str">
        <f>IF(R$3="","",IF(COUNTIFS(BD!$A$3:$A$5001,R$3,BD!$B$3:$B$5001,$A$374,BD!$D$3:$D$5001,"&lt;&gt;")=0,"",SUMIFS(BD!$D$3:$D$5001,BD!$A$3:$A$5001,R$3,BD!$B$3:$B$5001,$A$374)))</f>
        <v/>
      </c>
      <c r="S375" s="166" t="str">
        <f>IF(S$3="","",IF(COUNTIFS(BD!$A$3:$A$5001,S$3,BD!$B$3:$B$5001,$A$374,BD!$D$3:$D$5001,"&lt;&gt;")=0,"",SUMIFS(BD!$D$3:$D$5001,BD!$A$3:$A$5001,S$3,BD!$B$3:$B$5001,$A$374)))</f>
        <v/>
      </c>
      <c r="T375" s="166" t="str">
        <f>IF(T$3="","",IF(COUNTIFS(BD!$A$3:$A$5001,T$3,BD!$B$3:$B$5001,$A$374,BD!$D$3:$D$5001,"&lt;&gt;")=0,"",SUMIFS(BD!$D$3:$D$5001,BD!$A$3:$A$5001,T$3,BD!$B$3:$B$5001,$A$374)))</f>
        <v/>
      </c>
      <c r="U375" s="166" t="str">
        <f>IF(U$3="","",IF(COUNTIFS(BD!$A$3:$A$5001,U$3,BD!$B$3:$B$5001,$A$374,BD!$D$3:$D$5001,"&lt;&gt;")=0,"",SUMIFS(BD!$D$3:$D$5001,BD!$A$3:$A$5001,U$3,BD!$B$3:$B$5001,$A$374)))</f>
        <v/>
      </c>
      <c r="V375" s="166" t="str">
        <f>IF(V$3="","",IF(COUNTIFS(BD!$A$3:$A$5001,V$3,BD!$B$3:$B$5001,$A$374,BD!$D$3:$D$5001,"&lt;&gt;")=0,"",SUMIFS(BD!$D$3:$D$5001,BD!$A$3:$A$5001,V$3,BD!$B$3:$B$5001,$A$374)))</f>
        <v/>
      </c>
      <c r="W375" s="166" t="str">
        <f>IF(W$3="","",IF(COUNTIFS(BD!$A$3:$A$5001,W$3,BD!$B$3:$B$5001,$A$374,BD!$D$3:$D$5001,"&lt;&gt;")=0,"",SUMIFS(BD!$D$3:$D$5001,BD!$A$3:$A$5001,W$3,BD!$B$3:$B$5001,$A$374)))</f>
        <v/>
      </c>
      <c r="X375" s="166" t="str">
        <f>IF(X$3="","",IF(COUNTIFS(BD!$A$3:$A$5001,X$3,BD!$B$3:$B$5001,$A$374,BD!$D$3:$D$5001,"&lt;&gt;")=0,"",SUMIFS(BD!$D$3:$D$5001,BD!$A$3:$A$5001,X$3,BD!$B$3:$B$5001,$A$374)))</f>
        <v/>
      </c>
      <c r="Y375" s="166" t="str">
        <f>IF(Y$3="","",IF(COUNTIFS(BD!$A$3:$A$5001,Y$3,BD!$B$3:$B$5001,$A$374,BD!$D$3:$D$5001,"&lt;&gt;")=0,"",SUMIFS(BD!$D$3:$D$5001,BD!$A$3:$A$5001,Y$3,BD!$B$3:$B$5001,$A$374)))</f>
        <v/>
      </c>
      <c r="Z375" s="166" t="str">
        <f>IF(Z$3="","",IF(COUNTIFS(BD!$A$3:$A$5001,Z$3,BD!$B$3:$B$5001,$A$374,BD!$D$3:$D$5001,"&lt;&gt;")=0,"",SUMIFS(BD!$D$3:$D$5001,BD!$A$3:$A$5001,Z$3,BD!$B$3:$B$5001,$A$374)))</f>
        <v/>
      </c>
      <c r="AA375" s="166" t="str">
        <f>IF(AA$3="","",IF(COUNTIFS(BD!$A$3:$A$5001,AA$3,BD!$B$3:$B$5001,$A$374,BD!$D$3:$D$5001,"&lt;&gt;")=0,"",SUMIFS(BD!$D$3:$D$5001,BD!$A$3:$A$5001,AA$3,BD!$B$3:$B$5001,$A$374)))</f>
        <v/>
      </c>
      <c r="AB375" s="166" t="str">
        <f>IF(AB$3="","",IF(COUNTIFS(BD!$A$3:$A$5001,AB$3,BD!$B$3:$B$5001,$A$374,BD!$D$3:$D$5001,"&lt;&gt;")=0,"",SUMIFS(BD!$D$3:$D$5001,BD!$A$3:$A$5001,AB$3,BD!$B$3:$B$5001,$A$374)))</f>
        <v/>
      </c>
      <c r="AC375" s="166" t="str">
        <f>IF(AC$3="","",IF(COUNTIFS(BD!$A$3:$A$5001,AC$3,BD!$B$3:$B$5001,$A$374,BD!$D$3:$D$5001,"&lt;&gt;")=0,"",SUMIFS(BD!$D$3:$D$5001,BD!$A$3:$A$5001,AC$3,BD!$B$3:$B$5001,$A$374)))</f>
        <v/>
      </c>
      <c r="AD375" s="166" t="str">
        <f>IF(AD$3="","",IF(COUNTIFS(BD!$A$3:$A$5001,AD$3,BD!$B$3:$B$5001,$A$374,BD!$D$3:$D$5001,"&lt;&gt;")=0,"",SUMIFS(BD!$D$3:$D$5001,BD!$A$3:$A$5001,AD$3,BD!$B$3:$B$5001,$A$374)))</f>
        <v/>
      </c>
      <c r="AE375" s="166" t="str">
        <f>IF(AE$3="","",IF(COUNTIFS(BD!$A$3:$A$5001,AE$3,BD!$B$3:$B$5001,$A$374,BD!$D$3:$D$5001,"&lt;&gt;")=0,"",SUMIFS(BD!$D$3:$D$5001,BD!$A$3:$A$5001,AE$3,BD!$B$3:$B$5001,$A$374)))</f>
        <v/>
      </c>
      <c r="AF375" s="166" t="str">
        <f>IF(AF$3="","",IF(COUNTIFS(BD!$A$3:$A$5001,AF$3,BD!$B$3:$B$5001,$A$374,BD!$D$3:$D$5001,"&lt;&gt;")=0,"",SUMIFS(BD!$D$3:$D$5001,BD!$A$3:$A$5001,AF$3,BD!$B$3:$B$5001,$A$374)))</f>
        <v/>
      </c>
      <c r="AG375" s="166" t="str">
        <f>IF(AG$3="","",IF(COUNTIFS(BD!$A$3:$A$5001,AG$3,BD!$B$3:$B$5001,$A$374,BD!$D$3:$D$5001,"&lt;&gt;")=0,"",SUMIFS(BD!$D$3:$D$5001,BD!$A$3:$A$5001,AG$3,BD!$B$3:$B$5001,$A$374)))</f>
        <v/>
      </c>
      <c r="AH375" s="166" t="str">
        <f>IF(AH$3="","",IF(COUNTIFS(BD!$A$3:$A$5001,AH$3,BD!$B$3:$B$5001,$A$374,BD!$D$3:$D$5001,"&lt;&gt;")=0,"",SUMIFS(BD!$D$3:$D$5001,BD!$A$3:$A$5001,AH$3,BD!$B$3:$B$5001,$A$374)))</f>
        <v/>
      </c>
      <c r="AI375" s="166" t="str">
        <f>IF(AI$3="","",IF(COUNTIFS(BD!$A$3:$A$5001,AI$3,BD!$B$3:$B$5001,$A$374,BD!$D$3:$D$5001,"&lt;&gt;")=0,"",SUMIFS(BD!$D$3:$D$5001,BD!$A$3:$A$5001,AI$3,BD!$B$3:$B$5001,$A$374)))</f>
        <v/>
      </c>
      <c r="AJ375" s="167" t="str">
        <f>IF(AJ$3="","",IF(COUNTIFS(BD!$A$3:$A$5001,AJ$3,BD!$B$3:$B$5001,$A$374,BD!$D$3:$D$5001,"&lt;&gt;")=0,"",SUMIFS(BD!$D$3:$D$5001,BD!$A$3:$A$5001,AJ$3,BD!$B$3:$B$5001,$A$374)))</f>
        <v/>
      </c>
      <c r="AK375" s="168" t="str">
        <f>IF(COUNT(F375:AJ375)=0,"",SUM(F375:AJ375))</f>
        <v/>
      </c>
    </row>
    <row r="376" ht="15.75" customHeight="1" hidden="1">
      <c r="A376" s="254"/>
      <c r="B376" s="243"/>
      <c r="C376" s="169" t="inlineStr">
        <is>
          <t xml:space="preserve">Toneladas Movimentadas</t>
        </is>
      </c>
      <c r="D376" s="170" t="str">
        <f>IFERROR(1/(1/INDEX(BD!$Y$25:$AS$25,MATCH($A$374,BD!$Y$22:$AS$22,0))),"")</f>
        <v/>
      </c>
      <c r="E376" s="171"/>
      <c r="F376" s="172" t="str">
        <f>IF(F$3="","",IF(COUNTIFS(BD!$A$3:$A$5001,F$3,BD!$B$3:$B$5001,$A$374,BD!$E$3:$E$5001,"&lt;&gt;")=0,"",SUMIFS(BD!$E$3:$E$5001,BD!$A$3:$A$5001,F$3,BD!$B$3:$B$5001,$A$374)))</f>
        <v/>
      </c>
      <c r="G376" s="173" t="str">
        <f>IF(G$3="","",IF(COUNTIFS(BD!$A$3:$A$5001,G$3,BD!$B$3:$B$5001,$A$374,BD!$E$3:$E$5001,"&lt;&gt;")=0,"",SUMIFS(BD!$E$3:$E$5001,BD!$A$3:$A$5001,G$3,BD!$B$3:$B$5001,$A$374)))</f>
        <v/>
      </c>
      <c r="H376" s="173" t="str">
        <f>IF(H$3="","",IF(COUNTIFS(BD!$A$3:$A$5001,H$3,BD!$B$3:$B$5001,$A$374,BD!$E$3:$E$5001,"&lt;&gt;")=0,"",SUMIFS(BD!$E$3:$E$5001,BD!$A$3:$A$5001,H$3,BD!$B$3:$B$5001,$A$374)))</f>
        <v/>
      </c>
      <c r="I376" s="173" t="str">
        <f>IF(I$3="","",IF(COUNTIFS(BD!$A$3:$A$5001,I$3,BD!$B$3:$B$5001,$A$374,BD!$E$3:$E$5001,"&lt;&gt;")=0,"",SUMIFS(BD!$E$3:$E$5001,BD!$A$3:$A$5001,I$3,BD!$B$3:$B$5001,$A$374)))</f>
        <v/>
      </c>
      <c r="J376" s="173" t="str">
        <f>IF(J$3="","",IF(COUNTIFS(BD!$A$3:$A$5001,J$3,BD!$B$3:$B$5001,$A$374,BD!$E$3:$E$5001,"&lt;&gt;")=0,"",SUMIFS(BD!$E$3:$E$5001,BD!$A$3:$A$5001,J$3,BD!$B$3:$B$5001,$A$374)))</f>
        <v/>
      </c>
      <c r="K376" s="173" t="str">
        <f>IF(K$3="","",IF(COUNTIFS(BD!$A$3:$A$5001,K$3,BD!$B$3:$B$5001,$A$374,BD!$E$3:$E$5001,"&lt;&gt;")=0,"",SUMIFS(BD!$E$3:$E$5001,BD!$A$3:$A$5001,K$3,BD!$B$3:$B$5001,$A$374)))</f>
        <v/>
      </c>
      <c r="L376" s="173" t="str">
        <f>IF(L$3="","",IF(COUNTIFS(BD!$A$3:$A$5001,L$3,BD!$B$3:$B$5001,$A$374,BD!$E$3:$E$5001,"&lt;&gt;")=0,"",SUMIFS(BD!$E$3:$E$5001,BD!$A$3:$A$5001,L$3,BD!$B$3:$B$5001,$A$374)))</f>
        <v/>
      </c>
      <c r="M376" s="173" t="str">
        <f>IF(M$3="","",IF(COUNTIFS(BD!$A$3:$A$5001,M$3,BD!$B$3:$B$5001,$A$374,BD!$E$3:$E$5001,"&lt;&gt;")=0,"",SUMIFS(BD!$E$3:$E$5001,BD!$A$3:$A$5001,M$3,BD!$B$3:$B$5001,$A$374)))</f>
        <v/>
      </c>
      <c r="N376" s="173" t="str">
        <f>IF(N$3="","",IF(COUNTIFS(BD!$A$3:$A$5001,N$3,BD!$B$3:$B$5001,$A$374,BD!$E$3:$E$5001,"&lt;&gt;")=0,"",SUMIFS(BD!$E$3:$E$5001,BD!$A$3:$A$5001,N$3,BD!$B$3:$B$5001,$A$374)))</f>
        <v/>
      </c>
      <c r="O376" s="173" t="str">
        <f>IF(O$3="","",IF(COUNTIFS(BD!$A$3:$A$5001,O$3,BD!$B$3:$B$5001,$A$374,BD!$E$3:$E$5001,"&lt;&gt;")=0,"",SUMIFS(BD!$E$3:$E$5001,BD!$A$3:$A$5001,O$3,BD!$B$3:$B$5001,$A$374)))</f>
        <v/>
      </c>
      <c r="P376" s="173" t="str">
        <f>IF(P$3="","",IF(COUNTIFS(BD!$A$3:$A$5001,P$3,BD!$B$3:$B$5001,$A$374,BD!$E$3:$E$5001,"&lt;&gt;")=0,"",SUMIFS(BD!$E$3:$E$5001,BD!$A$3:$A$5001,P$3,BD!$B$3:$B$5001,$A$374)))</f>
        <v/>
      </c>
      <c r="Q376" s="173" t="str">
        <f>IF(Q$3="","",IF(COUNTIFS(BD!$A$3:$A$5001,Q$3,BD!$B$3:$B$5001,$A$374,BD!$E$3:$E$5001,"&lt;&gt;")=0,"",SUMIFS(BD!$E$3:$E$5001,BD!$A$3:$A$5001,Q$3,BD!$B$3:$B$5001,$A$374)))</f>
        <v/>
      </c>
      <c r="R376" s="173" t="str">
        <f>IF(R$3="","",IF(COUNTIFS(BD!$A$3:$A$5001,R$3,BD!$B$3:$B$5001,$A$374,BD!$E$3:$E$5001,"&lt;&gt;")=0,"",SUMIFS(BD!$E$3:$E$5001,BD!$A$3:$A$5001,R$3,BD!$B$3:$B$5001,$A$374)))</f>
        <v/>
      </c>
      <c r="S376" s="173" t="str">
        <f>IF(S$3="","",IF(COUNTIFS(BD!$A$3:$A$5001,S$3,BD!$B$3:$B$5001,$A$374,BD!$E$3:$E$5001,"&lt;&gt;")=0,"",SUMIFS(BD!$E$3:$E$5001,BD!$A$3:$A$5001,S$3,BD!$B$3:$B$5001,$A$374)))</f>
        <v/>
      </c>
      <c r="T376" s="173" t="str">
        <f>IF(T$3="","",IF(COUNTIFS(BD!$A$3:$A$5001,T$3,BD!$B$3:$B$5001,$A$374,BD!$E$3:$E$5001,"&lt;&gt;")=0,"",SUMIFS(BD!$E$3:$E$5001,BD!$A$3:$A$5001,T$3,BD!$B$3:$B$5001,$A$374)))</f>
        <v/>
      </c>
      <c r="U376" s="173" t="str">
        <f>IF(U$3="","",IF(COUNTIFS(BD!$A$3:$A$5001,U$3,BD!$B$3:$B$5001,$A$374,BD!$E$3:$E$5001,"&lt;&gt;")=0,"",SUMIFS(BD!$E$3:$E$5001,BD!$A$3:$A$5001,U$3,BD!$B$3:$B$5001,$A$374)))</f>
        <v/>
      </c>
      <c r="V376" s="173" t="str">
        <f>IF(V$3="","",IF(COUNTIFS(BD!$A$3:$A$5001,V$3,BD!$B$3:$B$5001,$A$374,BD!$E$3:$E$5001,"&lt;&gt;")=0,"",SUMIFS(BD!$E$3:$E$5001,BD!$A$3:$A$5001,V$3,BD!$B$3:$B$5001,$A$374)))</f>
        <v/>
      </c>
      <c r="W376" s="173" t="str">
        <f>IF(W$3="","",IF(COUNTIFS(BD!$A$3:$A$5001,W$3,BD!$B$3:$B$5001,$A$374,BD!$E$3:$E$5001,"&lt;&gt;")=0,"",SUMIFS(BD!$E$3:$E$5001,BD!$A$3:$A$5001,W$3,BD!$B$3:$B$5001,$A$374)))</f>
        <v/>
      </c>
      <c r="X376" s="173" t="str">
        <f>IF(X$3="","",IF(COUNTIFS(BD!$A$3:$A$5001,X$3,BD!$B$3:$B$5001,$A$374,BD!$E$3:$E$5001,"&lt;&gt;")=0,"",SUMIFS(BD!$E$3:$E$5001,BD!$A$3:$A$5001,X$3,BD!$B$3:$B$5001,$A$374)))</f>
        <v/>
      </c>
      <c r="Y376" s="173" t="str">
        <f>IF(Y$3="","",IF(COUNTIFS(BD!$A$3:$A$5001,Y$3,BD!$B$3:$B$5001,$A$374,BD!$E$3:$E$5001,"&lt;&gt;")=0,"",SUMIFS(BD!$E$3:$E$5001,BD!$A$3:$A$5001,Y$3,BD!$B$3:$B$5001,$A$374)))</f>
        <v/>
      </c>
      <c r="Z376" s="173" t="str">
        <f>IF(Z$3="","",IF(COUNTIFS(BD!$A$3:$A$5001,Z$3,BD!$B$3:$B$5001,$A$374,BD!$E$3:$E$5001,"&lt;&gt;")=0,"",SUMIFS(BD!$E$3:$E$5001,BD!$A$3:$A$5001,Z$3,BD!$B$3:$B$5001,$A$374)))</f>
        <v/>
      </c>
      <c r="AA376" s="173" t="str">
        <f>IF(AA$3="","",IF(COUNTIFS(BD!$A$3:$A$5001,AA$3,BD!$B$3:$B$5001,$A$374,BD!$E$3:$E$5001,"&lt;&gt;")=0,"",SUMIFS(BD!$E$3:$E$5001,BD!$A$3:$A$5001,AA$3,BD!$B$3:$B$5001,$A$374)))</f>
        <v/>
      </c>
      <c r="AB376" s="173" t="str">
        <f>IF(AB$3="","",IF(COUNTIFS(BD!$A$3:$A$5001,AB$3,BD!$B$3:$B$5001,$A$374,BD!$E$3:$E$5001,"&lt;&gt;")=0,"",SUMIFS(BD!$E$3:$E$5001,BD!$A$3:$A$5001,AB$3,BD!$B$3:$B$5001,$A$374)))</f>
        <v/>
      </c>
      <c r="AC376" s="173" t="str">
        <f>IF(AC$3="","",IF(COUNTIFS(BD!$A$3:$A$5001,AC$3,BD!$B$3:$B$5001,$A$374,BD!$E$3:$E$5001,"&lt;&gt;")=0,"",SUMIFS(BD!$E$3:$E$5001,BD!$A$3:$A$5001,AC$3,BD!$B$3:$B$5001,$A$374)))</f>
        <v/>
      </c>
      <c r="AD376" s="173" t="str">
        <f>IF(AD$3="","",IF(COUNTIFS(BD!$A$3:$A$5001,AD$3,BD!$B$3:$B$5001,$A$374,BD!$E$3:$E$5001,"&lt;&gt;")=0,"",SUMIFS(BD!$E$3:$E$5001,BD!$A$3:$A$5001,AD$3,BD!$B$3:$B$5001,$A$374)))</f>
        <v/>
      </c>
      <c r="AE376" s="173" t="str">
        <f>IF(AE$3="","",IF(COUNTIFS(BD!$A$3:$A$5001,AE$3,BD!$B$3:$B$5001,$A$374,BD!$E$3:$E$5001,"&lt;&gt;")=0,"",SUMIFS(BD!$E$3:$E$5001,BD!$A$3:$A$5001,AE$3,BD!$B$3:$B$5001,$A$374)))</f>
        <v/>
      </c>
      <c r="AF376" s="173" t="str">
        <f>IF(AF$3="","",IF(COUNTIFS(BD!$A$3:$A$5001,AF$3,BD!$B$3:$B$5001,$A$374,BD!$E$3:$E$5001,"&lt;&gt;")=0,"",SUMIFS(BD!$E$3:$E$5001,BD!$A$3:$A$5001,AF$3,BD!$B$3:$B$5001,$A$374)))</f>
        <v/>
      </c>
      <c r="AG376" s="173" t="str">
        <f>IF(AG$3="","",IF(COUNTIFS(BD!$A$3:$A$5001,AG$3,BD!$B$3:$B$5001,$A$374,BD!$E$3:$E$5001,"&lt;&gt;")=0,"",SUMIFS(BD!$E$3:$E$5001,BD!$A$3:$A$5001,AG$3,BD!$B$3:$B$5001,$A$374)))</f>
        <v/>
      </c>
      <c r="AH376" s="173" t="str">
        <f>IF(AH$3="","",IF(COUNTIFS(BD!$A$3:$A$5001,AH$3,BD!$B$3:$B$5001,$A$374,BD!$E$3:$E$5001,"&lt;&gt;")=0,"",SUMIFS(BD!$E$3:$E$5001,BD!$A$3:$A$5001,AH$3,BD!$B$3:$B$5001,$A$374)))</f>
        <v/>
      </c>
      <c r="AI376" s="173" t="str">
        <f>IF(AI$3="","",IF(COUNTIFS(BD!$A$3:$A$5001,AI$3,BD!$B$3:$B$5001,$A$374,BD!$E$3:$E$5001,"&lt;&gt;")=0,"",SUMIFS(BD!$E$3:$E$5001,BD!$A$3:$A$5001,AI$3,BD!$B$3:$B$5001,$A$374)))</f>
        <v/>
      </c>
      <c r="AJ376" s="174" t="str">
        <f>IF(AJ$3="","",IF(COUNTIFS(BD!$A$3:$A$5001,AJ$3,BD!$B$3:$B$5001,$A$374,BD!$E$3:$E$5001,"&lt;&gt;")=0,"",SUMIFS(BD!$E$3:$E$5001,BD!$A$3:$A$5001,AJ$3,BD!$B$3:$B$5001,$A$374)))</f>
        <v/>
      </c>
      <c r="AK376" s="175" t="str">
        <f>IF(COUNT(F376:AJ376)=0,"",SUM(F376:AJ376))</f>
        <v/>
      </c>
    </row>
    <row r="377" ht="15.75" customHeight="1" hidden="1">
      <c r="A377" s="254"/>
      <c r="B377" s="244" t="inlineStr">
        <is>
          <t xml:space="preserve">OUT</t>
        </is>
      </c>
      <c r="C377" s="176" t="inlineStr">
        <is>
          <t xml:space="preserve">Veículos Expedidos</t>
        </is>
      </c>
      <c r="D377" s="177" t="str">
        <f>IFERROR(1/(1/INDEX(BD!$Y$26:$AS$26,MATCH($A$374,BD!$Y$22:$AS$22,0))),"")</f>
        <v/>
      </c>
      <c r="E377" s="178"/>
      <c r="F377" s="179" t="str">
        <f>IF(F$3="","",IF(COUNTIFS(BD!$A$3:$A$5001,F$3,BD!$B$3:$B$5001,$A$374,BD!$F$3:$F$5001,"&lt;&gt;")=0,"",SUMIFS(BD!$F$3:$F$5001,BD!$A$3:$A$5001,F$3,BD!$B$3:$B$5001,$A$374)))</f>
        <v/>
      </c>
      <c r="G377" s="180" t="str">
        <f>IF(G$3="","",IF(COUNTIFS(BD!$A$3:$A$5001,G$3,BD!$B$3:$B$5001,$A$374,BD!$F$3:$F$5001,"&lt;&gt;")=0,"",SUMIFS(BD!$F$3:$F$5001,BD!$A$3:$A$5001,G$3,BD!$B$3:$B$5001,$A$374)))</f>
        <v/>
      </c>
      <c r="H377" s="180" t="str">
        <f>IF(H$3="","",IF(COUNTIFS(BD!$A$3:$A$5001,H$3,BD!$B$3:$B$5001,$A$374,BD!$F$3:$F$5001,"&lt;&gt;")=0,"",SUMIFS(BD!$F$3:$F$5001,BD!$A$3:$A$5001,H$3,BD!$B$3:$B$5001,$A$374)))</f>
        <v/>
      </c>
      <c r="I377" s="180" t="str">
        <f>IF(I$3="","",IF(COUNTIFS(BD!$A$3:$A$5001,I$3,BD!$B$3:$B$5001,$A$374,BD!$F$3:$F$5001,"&lt;&gt;")=0,"",SUMIFS(BD!$F$3:$F$5001,BD!$A$3:$A$5001,I$3,BD!$B$3:$B$5001,$A$374)))</f>
        <v/>
      </c>
      <c r="J377" s="180" t="str">
        <f>IF(J$3="","",IF(COUNTIFS(BD!$A$3:$A$5001,J$3,BD!$B$3:$B$5001,$A$374,BD!$F$3:$F$5001,"&lt;&gt;")=0,"",SUMIFS(BD!$F$3:$F$5001,BD!$A$3:$A$5001,J$3,BD!$B$3:$B$5001,$A$374)))</f>
        <v/>
      </c>
      <c r="K377" s="180" t="str">
        <f>IF(K$3="","",IF(COUNTIFS(BD!$A$3:$A$5001,K$3,BD!$B$3:$B$5001,$A$374,BD!$F$3:$F$5001,"&lt;&gt;")=0,"",SUMIFS(BD!$F$3:$F$5001,BD!$A$3:$A$5001,K$3,BD!$B$3:$B$5001,$A$374)))</f>
        <v/>
      </c>
      <c r="L377" s="180" t="str">
        <f>IF(L$3="","",IF(COUNTIFS(BD!$A$3:$A$5001,L$3,BD!$B$3:$B$5001,$A$374,BD!$F$3:$F$5001,"&lt;&gt;")=0,"",SUMIFS(BD!$F$3:$F$5001,BD!$A$3:$A$5001,L$3,BD!$B$3:$B$5001,$A$374)))</f>
        <v/>
      </c>
      <c r="M377" s="180" t="str">
        <f>IF(M$3="","",IF(COUNTIFS(BD!$A$3:$A$5001,M$3,BD!$B$3:$B$5001,$A$374,BD!$F$3:$F$5001,"&lt;&gt;")=0,"",SUMIFS(BD!$F$3:$F$5001,BD!$A$3:$A$5001,M$3,BD!$B$3:$B$5001,$A$374)))</f>
        <v/>
      </c>
      <c r="N377" s="180" t="str">
        <f>IF(N$3="","",IF(COUNTIFS(BD!$A$3:$A$5001,N$3,BD!$B$3:$B$5001,$A$374,BD!$F$3:$F$5001,"&lt;&gt;")=0,"",SUMIFS(BD!$F$3:$F$5001,BD!$A$3:$A$5001,N$3,BD!$B$3:$B$5001,$A$374)))</f>
        <v/>
      </c>
      <c r="O377" s="180" t="str">
        <f>IF(O$3="","",IF(COUNTIFS(BD!$A$3:$A$5001,O$3,BD!$B$3:$B$5001,$A$374,BD!$F$3:$F$5001,"&lt;&gt;")=0,"",SUMIFS(BD!$F$3:$F$5001,BD!$A$3:$A$5001,O$3,BD!$B$3:$B$5001,$A$374)))</f>
        <v/>
      </c>
      <c r="P377" s="180" t="str">
        <f>IF(P$3="","",IF(COUNTIFS(BD!$A$3:$A$5001,P$3,BD!$B$3:$B$5001,$A$374,BD!$F$3:$F$5001,"&lt;&gt;")=0,"",SUMIFS(BD!$F$3:$F$5001,BD!$A$3:$A$5001,P$3,BD!$B$3:$B$5001,$A$374)))</f>
        <v/>
      </c>
      <c r="Q377" s="180" t="str">
        <f>IF(Q$3="","",IF(COUNTIFS(BD!$A$3:$A$5001,Q$3,BD!$B$3:$B$5001,$A$374,BD!$F$3:$F$5001,"&lt;&gt;")=0,"",SUMIFS(BD!$F$3:$F$5001,BD!$A$3:$A$5001,Q$3,BD!$B$3:$B$5001,$A$374)))</f>
        <v/>
      </c>
      <c r="R377" s="180" t="str">
        <f>IF(R$3="","",IF(COUNTIFS(BD!$A$3:$A$5001,R$3,BD!$B$3:$B$5001,$A$374,BD!$F$3:$F$5001,"&lt;&gt;")=0,"",SUMIFS(BD!$F$3:$F$5001,BD!$A$3:$A$5001,R$3,BD!$B$3:$B$5001,$A$374)))</f>
        <v/>
      </c>
      <c r="S377" s="180" t="str">
        <f>IF(S$3="","",IF(COUNTIFS(BD!$A$3:$A$5001,S$3,BD!$B$3:$B$5001,$A$374,BD!$F$3:$F$5001,"&lt;&gt;")=0,"",SUMIFS(BD!$F$3:$F$5001,BD!$A$3:$A$5001,S$3,BD!$B$3:$B$5001,$A$374)))</f>
        <v/>
      </c>
      <c r="T377" s="180" t="str">
        <f>IF(T$3="","",IF(COUNTIFS(BD!$A$3:$A$5001,T$3,BD!$B$3:$B$5001,$A$374,BD!$F$3:$F$5001,"&lt;&gt;")=0,"",SUMIFS(BD!$F$3:$F$5001,BD!$A$3:$A$5001,T$3,BD!$B$3:$B$5001,$A$374)))</f>
        <v/>
      </c>
      <c r="U377" s="180" t="str">
        <f>IF(U$3="","",IF(COUNTIFS(BD!$A$3:$A$5001,U$3,BD!$B$3:$B$5001,$A$374,BD!$F$3:$F$5001,"&lt;&gt;")=0,"",SUMIFS(BD!$F$3:$F$5001,BD!$A$3:$A$5001,U$3,BD!$B$3:$B$5001,$A$374)))</f>
        <v/>
      </c>
      <c r="V377" s="180" t="str">
        <f>IF(V$3="","",IF(COUNTIFS(BD!$A$3:$A$5001,V$3,BD!$B$3:$B$5001,$A$374,BD!$F$3:$F$5001,"&lt;&gt;")=0,"",SUMIFS(BD!$F$3:$F$5001,BD!$A$3:$A$5001,V$3,BD!$B$3:$B$5001,$A$374)))</f>
        <v/>
      </c>
      <c r="W377" s="180" t="str">
        <f>IF(W$3="","",IF(COUNTIFS(BD!$A$3:$A$5001,W$3,BD!$B$3:$B$5001,$A$374,BD!$F$3:$F$5001,"&lt;&gt;")=0,"",SUMIFS(BD!$F$3:$F$5001,BD!$A$3:$A$5001,W$3,BD!$B$3:$B$5001,$A$374)))</f>
        <v/>
      </c>
      <c r="X377" s="180" t="str">
        <f>IF(X$3="","",IF(COUNTIFS(BD!$A$3:$A$5001,X$3,BD!$B$3:$B$5001,$A$374,BD!$F$3:$F$5001,"&lt;&gt;")=0,"",SUMIFS(BD!$F$3:$F$5001,BD!$A$3:$A$5001,X$3,BD!$B$3:$B$5001,$A$374)))</f>
        <v/>
      </c>
      <c r="Y377" s="180" t="str">
        <f>IF(Y$3="","",IF(COUNTIFS(BD!$A$3:$A$5001,Y$3,BD!$B$3:$B$5001,$A$374,BD!$F$3:$F$5001,"&lt;&gt;")=0,"",SUMIFS(BD!$F$3:$F$5001,BD!$A$3:$A$5001,Y$3,BD!$B$3:$B$5001,$A$374)))</f>
        <v/>
      </c>
      <c r="Z377" s="180" t="str">
        <f>IF(Z$3="","",IF(COUNTIFS(BD!$A$3:$A$5001,Z$3,BD!$B$3:$B$5001,$A$374,BD!$F$3:$F$5001,"&lt;&gt;")=0,"",SUMIFS(BD!$F$3:$F$5001,BD!$A$3:$A$5001,Z$3,BD!$B$3:$B$5001,$A$374)))</f>
        <v/>
      </c>
      <c r="AA377" s="180" t="str">
        <f>IF(AA$3="","",IF(COUNTIFS(BD!$A$3:$A$5001,AA$3,BD!$B$3:$B$5001,$A$374,BD!$F$3:$F$5001,"&lt;&gt;")=0,"",SUMIFS(BD!$F$3:$F$5001,BD!$A$3:$A$5001,AA$3,BD!$B$3:$B$5001,$A$374)))</f>
        <v/>
      </c>
      <c r="AB377" s="180" t="str">
        <f>IF(AB$3="","",IF(COUNTIFS(BD!$A$3:$A$5001,AB$3,BD!$B$3:$B$5001,$A$374,BD!$F$3:$F$5001,"&lt;&gt;")=0,"",SUMIFS(BD!$F$3:$F$5001,BD!$A$3:$A$5001,AB$3,BD!$B$3:$B$5001,$A$374)))</f>
        <v/>
      </c>
      <c r="AC377" s="180" t="str">
        <f>IF(AC$3="","",IF(COUNTIFS(BD!$A$3:$A$5001,AC$3,BD!$B$3:$B$5001,$A$374,BD!$F$3:$F$5001,"&lt;&gt;")=0,"",SUMIFS(BD!$F$3:$F$5001,BD!$A$3:$A$5001,AC$3,BD!$B$3:$B$5001,$A$374)))</f>
        <v/>
      </c>
      <c r="AD377" s="180" t="str">
        <f>IF(AD$3="","",IF(COUNTIFS(BD!$A$3:$A$5001,AD$3,BD!$B$3:$B$5001,$A$374,BD!$F$3:$F$5001,"&lt;&gt;")=0,"",SUMIFS(BD!$F$3:$F$5001,BD!$A$3:$A$5001,AD$3,BD!$B$3:$B$5001,$A$374)))</f>
        <v/>
      </c>
      <c r="AE377" s="180" t="str">
        <f>IF(AE$3="","",IF(COUNTIFS(BD!$A$3:$A$5001,AE$3,BD!$B$3:$B$5001,$A$374,BD!$F$3:$F$5001,"&lt;&gt;")=0,"",SUMIFS(BD!$F$3:$F$5001,BD!$A$3:$A$5001,AE$3,BD!$B$3:$B$5001,$A$374)))</f>
        <v/>
      </c>
      <c r="AF377" s="180" t="str">
        <f>IF(AF$3="","",IF(COUNTIFS(BD!$A$3:$A$5001,AF$3,BD!$B$3:$B$5001,$A$374,BD!$F$3:$F$5001,"&lt;&gt;")=0,"",SUMIFS(BD!$F$3:$F$5001,BD!$A$3:$A$5001,AF$3,BD!$B$3:$B$5001,$A$374)))</f>
        <v/>
      </c>
      <c r="AG377" s="180" t="str">
        <f>IF(AG$3="","",IF(COUNTIFS(BD!$A$3:$A$5001,AG$3,BD!$B$3:$B$5001,$A$374,BD!$F$3:$F$5001,"&lt;&gt;")=0,"",SUMIFS(BD!$F$3:$F$5001,BD!$A$3:$A$5001,AG$3,BD!$B$3:$B$5001,$A$374)))</f>
        <v/>
      </c>
      <c r="AH377" s="180" t="str">
        <f>IF(AH$3="","",IF(COUNTIFS(BD!$A$3:$A$5001,AH$3,BD!$B$3:$B$5001,$A$374,BD!$F$3:$F$5001,"&lt;&gt;")=0,"",SUMIFS(BD!$F$3:$F$5001,BD!$A$3:$A$5001,AH$3,BD!$B$3:$B$5001,$A$374)))</f>
        <v/>
      </c>
      <c r="AI377" s="180" t="str">
        <f>IF(AI$3="","",IF(COUNTIFS(BD!$A$3:$A$5001,AI$3,BD!$B$3:$B$5001,$A$374,BD!$F$3:$F$5001,"&lt;&gt;")=0,"",SUMIFS(BD!$F$3:$F$5001,BD!$A$3:$A$5001,AI$3,BD!$B$3:$B$5001,$A$374)))</f>
        <v/>
      </c>
      <c r="AJ377" s="181" t="str">
        <f>IF(AJ$3="","",IF(COUNTIFS(BD!$A$3:$A$5001,AJ$3,BD!$B$3:$B$5001,$A$374,BD!$F$3:$F$5001,"&lt;&gt;")=0,"",SUMIFS(BD!$F$3:$F$5001,BD!$A$3:$A$5001,AJ$3,BD!$B$3:$B$5001,$A$374)))</f>
        <v/>
      </c>
      <c r="AK377" s="182" t="str">
        <f>IF(COUNT(F377:AJ377)=0,"",SUM(F377:AJ377))</f>
        <v/>
      </c>
    </row>
    <row r="378" ht="15.75" customHeight="1" hidden="1">
      <c r="A378" s="254"/>
      <c r="B378" s="245"/>
      <c r="C378" s="183" t="inlineStr">
        <is>
          <t xml:space="preserve">Pallets Movimentados</t>
        </is>
      </c>
      <c r="D378" s="184" t="str">
        <f>IFERROR(1/(1/INDEX(BD!$Y$27:$AS$27,MATCH($A$374,BD!$Y$22:$AS$22,0))),"")</f>
        <v/>
      </c>
      <c r="E378" s="185"/>
      <c r="F378" s="186" t="str">
        <f>IF(F$3="","",IF(COUNTIFS(BD!$A$3:$A$5001,F$3,BD!$B$3:$B$5001,$A$374,BD!$G$3:$G$5001,"&lt;&gt;")=0,"",SUMIFS(BD!$G$3:$G$5001,BD!$A$3:$A$5001,F$3,BD!$B$3:$B$5001,$A$374)))</f>
        <v/>
      </c>
      <c r="G378" s="187" t="str">
        <f>IF(G$3="","",IF(COUNTIFS(BD!$A$3:$A$5001,G$3,BD!$B$3:$B$5001,$A$374,BD!$G$3:$G$5001,"&lt;&gt;")=0,"",SUMIFS(BD!$G$3:$G$5001,BD!$A$3:$A$5001,G$3,BD!$B$3:$B$5001,$A$374)))</f>
        <v/>
      </c>
      <c r="H378" s="187" t="str">
        <f>IF(H$3="","",IF(COUNTIFS(BD!$A$3:$A$5001,H$3,BD!$B$3:$B$5001,$A$374,BD!$G$3:$G$5001,"&lt;&gt;")=0,"",SUMIFS(BD!$G$3:$G$5001,BD!$A$3:$A$5001,H$3,BD!$B$3:$B$5001,$A$374)))</f>
        <v/>
      </c>
      <c r="I378" s="187" t="str">
        <f>IF(I$3="","",IF(COUNTIFS(BD!$A$3:$A$5001,I$3,BD!$B$3:$B$5001,$A$374,BD!$G$3:$G$5001,"&lt;&gt;")=0,"",SUMIFS(BD!$G$3:$G$5001,BD!$A$3:$A$5001,I$3,BD!$B$3:$B$5001,$A$374)))</f>
        <v/>
      </c>
      <c r="J378" s="187" t="str">
        <f>IF(J$3="","",IF(COUNTIFS(BD!$A$3:$A$5001,J$3,BD!$B$3:$B$5001,$A$374,BD!$G$3:$G$5001,"&lt;&gt;")=0,"",SUMIFS(BD!$G$3:$G$5001,BD!$A$3:$A$5001,J$3,BD!$B$3:$B$5001,$A$374)))</f>
        <v/>
      </c>
      <c r="K378" s="187" t="str">
        <f>IF(K$3="","",IF(COUNTIFS(BD!$A$3:$A$5001,K$3,BD!$B$3:$B$5001,$A$374,BD!$G$3:$G$5001,"&lt;&gt;")=0,"",SUMIFS(BD!$G$3:$G$5001,BD!$A$3:$A$5001,K$3,BD!$B$3:$B$5001,$A$374)))</f>
        <v/>
      </c>
      <c r="L378" s="187" t="str">
        <f>IF(L$3="","",IF(COUNTIFS(BD!$A$3:$A$5001,L$3,BD!$B$3:$B$5001,$A$374,BD!$G$3:$G$5001,"&lt;&gt;")=0,"",SUMIFS(BD!$G$3:$G$5001,BD!$A$3:$A$5001,L$3,BD!$B$3:$B$5001,$A$374)))</f>
        <v/>
      </c>
      <c r="M378" s="187" t="str">
        <f>IF(M$3="","",IF(COUNTIFS(BD!$A$3:$A$5001,M$3,BD!$B$3:$B$5001,$A$374,BD!$G$3:$G$5001,"&lt;&gt;")=0,"",SUMIFS(BD!$G$3:$G$5001,BD!$A$3:$A$5001,M$3,BD!$B$3:$B$5001,$A$374)))</f>
        <v/>
      </c>
      <c r="N378" s="187" t="str">
        <f>IF(N$3="","",IF(COUNTIFS(BD!$A$3:$A$5001,N$3,BD!$B$3:$B$5001,$A$374,BD!$G$3:$G$5001,"&lt;&gt;")=0,"",SUMIFS(BD!$G$3:$G$5001,BD!$A$3:$A$5001,N$3,BD!$B$3:$B$5001,$A$374)))</f>
        <v/>
      </c>
      <c r="O378" s="187" t="str">
        <f>IF(O$3="","",IF(COUNTIFS(BD!$A$3:$A$5001,O$3,BD!$B$3:$B$5001,$A$374,BD!$G$3:$G$5001,"&lt;&gt;")=0,"",SUMIFS(BD!$G$3:$G$5001,BD!$A$3:$A$5001,O$3,BD!$B$3:$B$5001,$A$374)))</f>
        <v/>
      </c>
      <c r="P378" s="187" t="str">
        <f>IF(P$3="","",IF(COUNTIFS(BD!$A$3:$A$5001,P$3,BD!$B$3:$B$5001,$A$374,BD!$G$3:$G$5001,"&lt;&gt;")=0,"",SUMIFS(BD!$G$3:$G$5001,BD!$A$3:$A$5001,P$3,BD!$B$3:$B$5001,$A$374)))</f>
        <v/>
      </c>
      <c r="Q378" s="187" t="str">
        <f>IF(Q$3="","",IF(COUNTIFS(BD!$A$3:$A$5001,Q$3,BD!$B$3:$B$5001,$A$374,BD!$G$3:$G$5001,"&lt;&gt;")=0,"",SUMIFS(BD!$G$3:$G$5001,BD!$A$3:$A$5001,Q$3,BD!$B$3:$B$5001,$A$374)))</f>
        <v/>
      </c>
      <c r="R378" s="187" t="str">
        <f>IF(R$3="","",IF(COUNTIFS(BD!$A$3:$A$5001,R$3,BD!$B$3:$B$5001,$A$374,BD!$G$3:$G$5001,"&lt;&gt;")=0,"",SUMIFS(BD!$G$3:$G$5001,BD!$A$3:$A$5001,R$3,BD!$B$3:$B$5001,$A$374)))</f>
        <v/>
      </c>
      <c r="S378" s="187" t="str">
        <f>IF(S$3="","",IF(COUNTIFS(BD!$A$3:$A$5001,S$3,BD!$B$3:$B$5001,$A$374,BD!$G$3:$G$5001,"&lt;&gt;")=0,"",SUMIFS(BD!$G$3:$G$5001,BD!$A$3:$A$5001,S$3,BD!$B$3:$B$5001,$A$374)))</f>
        <v/>
      </c>
      <c r="T378" s="187" t="str">
        <f>IF(T$3="","",IF(COUNTIFS(BD!$A$3:$A$5001,T$3,BD!$B$3:$B$5001,$A$374,BD!$G$3:$G$5001,"&lt;&gt;")=0,"",SUMIFS(BD!$G$3:$G$5001,BD!$A$3:$A$5001,T$3,BD!$B$3:$B$5001,$A$374)))</f>
        <v/>
      </c>
      <c r="U378" s="187" t="str">
        <f>IF(U$3="","",IF(COUNTIFS(BD!$A$3:$A$5001,U$3,BD!$B$3:$B$5001,$A$374,BD!$G$3:$G$5001,"&lt;&gt;")=0,"",SUMIFS(BD!$G$3:$G$5001,BD!$A$3:$A$5001,U$3,BD!$B$3:$B$5001,$A$374)))</f>
        <v/>
      </c>
      <c r="V378" s="187" t="str">
        <f>IF(V$3="","",IF(COUNTIFS(BD!$A$3:$A$5001,V$3,BD!$B$3:$B$5001,$A$374,BD!$G$3:$G$5001,"&lt;&gt;")=0,"",SUMIFS(BD!$G$3:$G$5001,BD!$A$3:$A$5001,V$3,BD!$B$3:$B$5001,$A$374)))</f>
        <v/>
      </c>
      <c r="W378" s="187" t="str">
        <f>IF(W$3="","",IF(COUNTIFS(BD!$A$3:$A$5001,W$3,BD!$B$3:$B$5001,$A$374,BD!$G$3:$G$5001,"&lt;&gt;")=0,"",SUMIFS(BD!$G$3:$G$5001,BD!$A$3:$A$5001,W$3,BD!$B$3:$B$5001,$A$374)))</f>
        <v/>
      </c>
      <c r="X378" s="187" t="str">
        <f>IF(X$3="","",IF(COUNTIFS(BD!$A$3:$A$5001,X$3,BD!$B$3:$B$5001,$A$374,BD!$G$3:$G$5001,"&lt;&gt;")=0,"",SUMIFS(BD!$G$3:$G$5001,BD!$A$3:$A$5001,X$3,BD!$B$3:$B$5001,$A$374)))</f>
        <v/>
      </c>
      <c r="Y378" s="187" t="str">
        <f>IF(Y$3="","",IF(COUNTIFS(BD!$A$3:$A$5001,Y$3,BD!$B$3:$B$5001,$A$374,BD!$G$3:$G$5001,"&lt;&gt;")=0,"",SUMIFS(BD!$G$3:$G$5001,BD!$A$3:$A$5001,Y$3,BD!$B$3:$B$5001,$A$374)))</f>
        <v/>
      </c>
      <c r="Z378" s="187" t="str">
        <f>IF(Z$3="","",IF(COUNTIFS(BD!$A$3:$A$5001,Z$3,BD!$B$3:$B$5001,$A$374,BD!$G$3:$G$5001,"&lt;&gt;")=0,"",SUMIFS(BD!$G$3:$G$5001,BD!$A$3:$A$5001,Z$3,BD!$B$3:$B$5001,$A$374)))</f>
        <v/>
      </c>
      <c r="AA378" s="187" t="str">
        <f>IF(AA$3="","",IF(COUNTIFS(BD!$A$3:$A$5001,AA$3,BD!$B$3:$B$5001,$A$374,BD!$G$3:$G$5001,"&lt;&gt;")=0,"",SUMIFS(BD!$G$3:$G$5001,BD!$A$3:$A$5001,AA$3,BD!$B$3:$B$5001,$A$374)))</f>
        <v/>
      </c>
      <c r="AB378" s="187" t="str">
        <f>IF(AB$3="","",IF(COUNTIFS(BD!$A$3:$A$5001,AB$3,BD!$B$3:$B$5001,$A$374,BD!$G$3:$G$5001,"&lt;&gt;")=0,"",SUMIFS(BD!$G$3:$G$5001,BD!$A$3:$A$5001,AB$3,BD!$B$3:$B$5001,$A$374)))</f>
        <v/>
      </c>
      <c r="AC378" s="187" t="str">
        <f>IF(AC$3="","",IF(COUNTIFS(BD!$A$3:$A$5001,AC$3,BD!$B$3:$B$5001,$A$374,BD!$G$3:$G$5001,"&lt;&gt;")=0,"",SUMIFS(BD!$G$3:$G$5001,BD!$A$3:$A$5001,AC$3,BD!$B$3:$B$5001,$A$374)))</f>
        <v/>
      </c>
      <c r="AD378" s="187" t="str">
        <f>IF(AD$3="","",IF(COUNTIFS(BD!$A$3:$A$5001,AD$3,BD!$B$3:$B$5001,$A$374,BD!$G$3:$G$5001,"&lt;&gt;")=0,"",SUMIFS(BD!$G$3:$G$5001,BD!$A$3:$A$5001,AD$3,BD!$B$3:$B$5001,$A$374)))</f>
        <v/>
      </c>
      <c r="AE378" s="187" t="str">
        <f>IF(AE$3="","",IF(COUNTIFS(BD!$A$3:$A$5001,AE$3,BD!$B$3:$B$5001,$A$374,BD!$G$3:$G$5001,"&lt;&gt;")=0,"",SUMIFS(BD!$G$3:$G$5001,BD!$A$3:$A$5001,AE$3,BD!$B$3:$B$5001,$A$374)))</f>
        <v/>
      </c>
      <c r="AF378" s="187" t="str">
        <f>IF(AF$3="","",IF(COUNTIFS(BD!$A$3:$A$5001,AF$3,BD!$B$3:$B$5001,$A$374,BD!$G$3:$G$5001,"&lt;&gt;")=0,"",SUMIFS(BD!$G$3:$G$5001,BD!$A$3:$A$5001,AF$3,BD!$B$3:$B$5001,$A$374)))</f>
        <v/>
      </c>
      <c r="AG378" s="187" t="str">
        <f>IF(AG$3="","",IF(COUNTIFS(BD!$A$3:$A$5001,AG$3,BD!$B$3:$B$5001,$A$374,BD!$G$3:$G$5001,"&lt;&gt;")=0,"",SUMIFS(BD!$G$3:$G$5001,BD!$A$3:$A$5001,AG$3,BD!$B$3:$B$5001,$A$374)))</f>
        <v/>
      </c>
      <c r="AH378" s="187" t="str">
        <f>IF(AH$3="","",IF(COUNTIFS(BD!$A$3:$A$5001,AH$3,BD!$B$3:$B$5001,$A$374,BD!$G$3:$G$5001,"&lt;&gt;")=0,"",SUMIFS(BD!$G$3:$G$5001,BD!$A$3:$A$5001,AH$3,BD!$B$3:$B$5001,$A$374)))</f>
        <v/>
      </c>
      <c r="AI378" s="187" t="str">
        <f>IF(AI$3="","",IF(COUNTIFS(BD!$A$3:$A$5001,AI$3,BD!$B$3:$B$5001,$A$374,BD!$G$3:$G$5001,"&lt;&gt;")=0,"",SUMIFS(BD!$G$3:$G$5001,BD!$A$3:$A$5001,AI$3,BD!$B$3:$B$5001,$A$374)))</f>
        <v/>
      </c>
      <c r="AJ378" s="188" t="str">
        <f>IF(AJ$3="","",IF(COUNTIFS(BD!$A$3:$A$5001,AJ$3,BD!$B$3:$B$5001,$A$374,BD!$G$3:$G$5001,"&lt;&gt;")=0,"",SUMIFS(BD!$G$3:$G$5001,BD!$A$3:$A$5001,AJ$3,BD!$B$3:$B$5001,$A$374)))</f>
        <v/>
      </c>
      <c r="AK378" s="189" t="str">
        <f>IF(COUNT(F378:AJ378)=0,"",SUM(F378:AJ378))</f>
        <v/>
      </c>
    </row>
    <row r="379" ht="15.75" customHeight="1" hidden="1">
      <c r="A379" s="254"/>
      <c r="B379" s="246"/>
      <c r="C379" s="190" t="inlineStr">
        <is>
          <t xml:space="preserve">Toneladas Movimentadas</t>
        </is>
      </c>
      <c r="D379" s="191" t="str">
        <f>IFERROR(1/(1/INDEX(BD!$Y$28:$AS$28,MATCH($A$374,BD!$Y$22:$AS$22,0))),"")</f>
        <v/>
      </c>
      <c r="E379" s="192"/>
      <c r="F379" s="193" t="str">
        <f>IF(F$3="","",IF(COUNTIFS(BD!$A$3:$A$5001,F$3,BD!$B$3:$B$5001,$A$374,BD!$H$3:$H$5001,"&lt;&gt;")=0,"",SUMIFS(BD!$H$3:$H$5001,BD!$A$3:$A$5001,F$3,BD!$B$3:$B$5001,$A$374)))</f>
        <v/>
      </c>
      <c r="G379" s="194" t="str">
        <f>IF(G$3="","",IF(COUNTIFS(BD!$A$3:$A$5001,G$3,BD!$B$3:$B$5001,$A$374,BD!$H$3:$H$5001,"&lt;&gt;")=0,"",SUMIFS(BD!$H$3:$H$5001,BD!$A$3:$A$5001,G$3,BD!$B$3:$B$5001,$A$374)))</f>
        <v/>
      </c>
      <c r="H379" s="194" t="str">
        <f>IF(H$3="","",IF(COUNTIFS(BD!$A$3:$A$5001,H$3,BD!$B$3:$B$5001,$A$374,BD!$H$3:$H$5001,"&lt;&gt;")=0,"",SUMIFS(BD!$H$3:$H$5001,BD!$A$3:$A$5001,H$3,BD!$B$3:$B$5001,$A$374)))</f>
        <v/>
      </c>
      <c r="I379" s="194" t="str">
        <f>IF(I$3="","",IF(COUNTIFS(BD!$A$3:$A$5001,I$3,BD!$B$3:$B$5001,$A$374,BD!$H$3:$H$5001,"&lt;&gt;")=0,"",SUMIFS(BD!$H$3:$H$5001,BD!$A$3:$A$5001,I$3,BD!$B$3:$B$5001,$A$374)))</f>
        <v/>
      </c>
      <c r="J379" s="194" t="str">
        <f>IF(J$3="","",IF(COUNTIFS(BD!$A$3:$A$5001,J$3,BD!$B$3:$B$5001,$A$374,BD!$H$3:$H$5001,"&lt;&gt;")=0,"",SUMIFS(BD!$H$3:$H$5001,BD!$A$3:$A$5001,J$3,BD!$B$3:$B$5001,$A$374)))</f>
        <v/>
      </c>
      <c r="K379" s="194" t="str">
        <f>IF(K$3="","",IF(COUNTIFS(BD!$A$3:$A$5001,K$3,BD!$B$3:$B$5001,$A$374,BD!$H$3:$H$5001,"&lt;&gt;")=0,"",SUMIFS(BD!$H$3:$H$5001,BD!$A$3:$A$5001,K$3,BD!$B$3:$B$5001,$A$374)))</f>
        <v/>
      </c>
      <c r="L379" s="194" t="str">
        <f>IF(L$3="","",IF(COUNTIFS(BD!$A$3:$A$5001,L$3,BD!$B$3:$B$5001,$A$374,BD!$H$3:$H$5001,"&lt;&gt;")=0,"",SUMIFS(BD!$H$3:$H$5001,BD!$A$3:$A$5001,L$3,BD!$B$3:$B$5001,$A$374)))</f>
        <v/>
      </c>
      <c r="M379" s="194" t="str">
        <f>IF(M$3="","",IF(COUNTIFS(BD!$A$3:$A$5001,M$3,BD!$B$3:$B$5001,$A$374,BD!$H$3:$H$5001,"&lt;&gt;")=0,"",SUMIFS(BD!$H$3:$H$5001,BD!$A$3:$A$5001,M$3,BD!$B$3:$B$5001,$A$374)))</f>
        <v/>
      </c>
      <c r="N379" s="194" t="str">
        <f>IF(N$3="","",IF(COUNTIFS(BD!$A$3:$A$5001,N$3,BD!$B$3:$B$5001,$A$374,BD!$H$3:$H$5001,"&lt;&gt;")=0,"",SUMIFS(BD!$H$3:$H$5001,BD!$A$3:$A$5001,N$3,BD!$B$3:$B$5001,$A$374)))</f>
        <v/>
      </c>
      <c r="O379" s="194" t="str">
        <f>IF(O$3="","",IF(COUNTIFS(BD!$A$3:$A$5001,O$3,BD!$B$3:$B$5001,$A$374,BD!$H$3:$H$5001,"&lt;&gt;")=0,"",SUMIFS(BD!$H$3:$H$5001,BD!$A$3:$A$5001,O$3,BD!$B$3:$B$5001,$A$374)))</f>
        <v/>
      </c>
      <c r="P379" s="194" t="str">
        <f>IF(P$3="","",IF(COUNTIFS(BD!$A$3:$A$5001,P$3,BD!$B$3:$B$5001,$A$374,BD!$H$3:$H$5001,"&lt;&gt;")=0,"",SUMIFS(BD!$H$3:$H$5001,BD!$A$3:$A$5001,P$3,BD!$B$3:$B$5001,$A$374)))</f>
        <v/>
      </c>
      <c r="Q379" s="194" t="str">
        <f>IF(Q$3="","",IF(COUNTIFS(BD!$A$3:$A$5001,Q$3,BD!$B$3:$B$5001,$A$374,BD!$H$3:$H$5001,"&lt;&gt;")=0,"",SUMIFS(BD!$H$3:$H$5001,BD!$A$3:$A$5001,Q$3,BD!$B$3:$B$5001,$A$374)))</f>
        <v/>
      </c>
      <c r="R379" s="194" t="str">
        <f>IF(R$3="","",IF(COUNTIFS(BD!$A$3:$A$5001,R$3,BD!$B$3:$B$5001,$A$374,BD!$H$3:$H$5001,"&lt;&gt;")=0,"",SUMIFS(BD!$H$3:$H$5001,BD!$A$3:$A$5001,R$3,BD!$B$3:$B$5001,$A$374)))</f>
        <v/>
      </c>
      <c r="S379" s="194" t="str">
        <f>IF(S$3="","",IF(COUNTIFS(BD!$A$3:$A$5001,S$3,BD!$B$3:$B$5001,$A$374,BD!$H$3:$H$5001,"&lt;&gt;")=0,"",SUMIFS(BD!$H$3:$H$5001,BD!$A$3:$A$5001,S$3,BD!$B$3:$B$5001,$A$374)))</f>
        <v/>
      </c>
      <c r="T379" s="194" t="str">
        <f>IF(T$3="","",IF(COUNTIFS(BD!$A$3:$A$5001,T$3,BD!$B$3:$B$5001,$A$374,BD!$H$3:$H$5001,"&lt;&gt;")=0,"",SUMIFS(BD!$H$3:$H$5001,BD!$A$3:$A$5001,T$3,BD!$B$3:$B$5001,$A$374)))</f>
        <v/>
      </c>
      <c r="U379" s="194" t="str">
        <f>IF(U$3="","",IF(COUNTIFS(BD!$A$3:$A$5001,U$3,BD!$B$3:$B$5001,$A$374,BD!$H$3:$H$5001,"&lt;&gt;")=0,"",SUMIFS(BD!$H$3:$H$5001,BD!$A$3:$A$5001,U$3,BD!$B$3:$B$5001,$A$374)))</f>
        <v/>
      </c>
      <c r="V379" s="194" t="str">
        <f>IF(V$3="","",IF(COUNTIFS(BD!$A$3:$A$5001,V$3,BD!$B$3:$B$5001,$A$374,BD!$H$3:$H$5001,"&lt;&gt;")=0,"",SUMIFS(BD!$H$3:$H$5001,BD!$A$3:$A$5001,V$3,BD!$B$3:$B$5001,$A$374)))</f>
        <v/>
      </c>
      <c r="W379" s="194" t="str">
        <f>IF(W$3="","",IF(COUNTIFS(BD!$A$3:$A$5001,W$3,BD!$B$3:$B$5001,$A$374,BD!$H$3:$H$5001,"&lt;&gt;")=0,"",SUMIFS(BD!$H$3:$H$5001,BD!$A$3:$A$5001,W$3,BD!$B$3:$B$5001,$A$374)))</f>
        <v/>
      </c>
      <c r="X379" s="194" t="str">
        <f>IF(X$3="","",IF(COUNTIFS(BD!$A$3:$A$5001,X$3,BD!$B$3:$B$5001,$A$374,BD!$H$3:$H$5001,"&lt;&gt;")=0,"",SUMIFS(BD!$H$3:$H$5001,BD!$A$3:$A$5001,X$3,BD!$B$3:$B$5001,$A$374)))</f>
        <v/>
      </c>
      <c r="Y379" s="194" t="str">
        <f>IF(Y$3="","",IF(COUNTIFS(BD!$A$3:$A$5001,Y$3,BD!$B$3:$B$5001,$A$374,BD!$H$3:$H$5001,"&lt;&gt;")=0,"",SUMIFS(BD!$H$3:$H$5001,BD!$A$3:$A$5001,Y$3,BD!$B$3:$B$5001,$A$374)))</f>
        <v/>
      </c>
      <c r="Z379" s="194" t="str">
        <f>IF(Z$3="","",IF(COUNTIFS(BD!$A$3:$A$5001,Z$3,BD!$B$3:$B$5001,$A$374,BD!$H$3:$H$5001,"&lt;&gt;")=0,"",SUMIFS(BD!$H$3:$H$5001,BD!$A$3:$A$5001,Z$3,BD!$B$3:$B$5001,$A$374)))</f>
        <v/>
      </c>
      <c r="AA379" s="194" t="str">
        <f>IF(AA$3="","",IF(COUNTIFS(BD!$A$3:$A$5001,AA$3,BD!$B$3:$B$5001,$A$374,BD!$H$3:$H$5001,"&lt;&gt;")=0,"",SUMIFS(BD!$H$3:$H$5001,BD!$A$3:$A$5001,AA$3,BD!$B$3:$B$5001,$A$374)))</f>
        <v/>
      </c>
      <c r="AB379" s="194" t="str">
        <f>IF(AB$3="","",IF(COUNTIFS(BD!$A$3:$A$5001,AB$3,BD!$B$3:$B$5001,$A$374,BD!$H$3:$H$5001,"&lt;&gt;")=0,"",SUMIFS(BD!$H$3:$H$5001,BD!$A$3:$A$5001,AB$3,BD!$B$3:$B$5001,$A$374)))</f>
        <v/>
      </c>
      <c r="AC379" s="194" t="str">
        <f>IF(AC$3="","",IF(COUNTIFS(BD!$A$3:$A$5001,AC$3,BD!$B$3:$B$5001,$A$374,BD!$H$3:$H$5001,"&lt;&gt;")=0,"",SUMIFS(BD!$H$3:$H$5001,BD!$A$3:$A$5001,AC$3,BD!$B$3:$B$5001,$A$374)))</f>
        <v/>
      </c>
      <c r="AD379" s="194" t="str">
        <f>IF(AD$3="","",IF(COUNTIFS(BD!$A$3:$A$5001,AD$3,BD!$B$3:$B$5001,$A$374,BD!$H$3:$H$5001,"&lt;&gt;")=0,"",SUMIFS(BD!$H$3:$H$5001,BD!$A$3:$A$5001,AD$3,BD!$B$3:$B$5001,$A$374)))</f>
        <v/>
      </c>
      <c r="AE379" s="194" t="str">
        <f>IF(AE$3="","",IF(COUNTIFS(BD!$A$3:$A$5001,AE$3,BD!$B$3:$B$5001,$A$374,BD!$H$3:$H$5001,"&lt;&gt;")=0,"",SUMIFS(BD!$H$3:$H$5001,BD!$A$3:$A$5001,AE$3,BD!$B$3:$B$5001,$A$374)))</f>
        <v/>
      </c>
      <c r="AF379" s="194" t="str">
        <f>IF(AF$3="","",IF(COUNTIFS(BD!$A$3:$A$5001,AF$3,BD!$B$3:$B$5001,$A$374,BD!$H$3:$H$5001,"&lt;&gt;")=0,"",SUMIFS(BD!$H$3:$H$5001,BD!$A$3:$A$5001,AF$3,BD!$B$3:$B$5001,$A$374)))</f>
        <v/>
      </c>
      <c r="AG379" s="194" t="str">
        <f>IF(AG$3="","",IF(COUNTIFS(BD!$A$3:$A$5001,AG$3,BD!$B$3:$B$5001,$A$374,BD!$H$3:$H$5001,"&lt;&gt;")=0,"",SUMIFS(BD!$H$3:$H$5001,BD!$A$3:$A$5001,AG$3,BD!$B$3:$B$5001,$A$374)))</f>
        <v/>
      </c>
      <c r="AH379" s="194" t="str">
        <f>IF(AH$3="","",IF(COUNTIFS(BD!$A$3:$A$5001,AH$3,BD!$B$3:$B$5001,$A$374,BD!$H$3:$H$5001,"&lt;&gt;")=0,"",SUMIFS(BD!$H$3:$H$5001,BD!$A$3:$A$5001,AH$3,BD!$B$3:$B$5001,$A$374)))</f>
        <v/>
      </c>
      <c r="AI379" s="194" t="str">
        <f>IF(AI$3="","",IF(COUNTIFS(BD!$A$3:$A$5001,AI$3,BD!$B$3:$B$5001,$A$374,BD!$H$3:$H$5001,"&lt;&gt;")=0,"",SUMIFS(BD!$H$3:$H$5001,BD!$A$3:$A$5001,AI$3,BD!$B$3:$B$5001,$A$374)))</f>
        <v/>
      </c>
      <c r="AJ379" s="195" t="str">
        <f>IF(AJ$3="","",IF(COUNTIFS(BD!$A$3:$A$5001,AJ$3,BD!$B$3:$B$5001,$A$374,BD!$H$3:$H$5001,"&lt;&gt;")=0,"",SUMIFS(BD!$H$3:$H$5001,BD!$A$3:$A$5001,AJ$3,BD!$B$3:$B$5001,$A$374)))</f>
        <v/>
      </c>
      <c r="AK379" s="196" t="str">
        <f>IF(COUNT(F379:AJ379)=0,"",SUM(F379:AJ379))</f>
        <v/>
      </c>
    </row>
    <row r="380" ht="15.75" customHeight="1" hidden="1">
      <c r="A380" s="254"/>
      <c r="B380" s="247" t="inlineStr">
        <is>
          <t xml:space="preserve">NC</t>
        </is>
      </c>
      <c r="C380" s="197" t="inlineStr">
        <is>
          <t xml:space="preserve">Incidentes</t>
        </is>
      </c>
      <c r="D380" s="198" t="str">
        <f>IFERROR(1/(1/INDEX(BD!$Y$29:$AS$29,MATCH($A$374,BD!$Y$22:$AS$22,0))),"")</f>
        <v/>
      </c>
      <c r="E380" s="199"/>
      <c r="F380" s="200" t="str">
        <f>IF(F$3="","",IF(COUNTIFS(BD!$A$3:$A$5001,F$3,BD!$B$3:$B$5001,$A$374,BD!$I$3:$I$5001,"&lt;&gt;")=0,"",SUMIFS(BD!$I$3:$I$5001,BD!$A$3:$A$5001,F$3,BD!$B$3:$B$5001,$A$374)))</f>
        <v/>
      </c>
      <c r="G380" s="201" t="str">
        <f>IF(G$3="","",IF(COUNTIFS(BD!$A$3:$A$5001,G$3,BD!$B$3:$B$5001,$A$374,BD!$I$3:$I$5001,"&lt;&gt;")=0,"",SUMIFS(BD!$I$3:$I$5001,BD!$A$3:$A$5001,G$3,BD!$B$3:$B$5001,$A$374)))</f>
        <v/>
      </c>
      <c r="H380" s="201" t="str">
        <f>IF(H$3="","",IF(COUNTIFS(BD!$A$3:$A$5001,H$3,BD!$B$3:$B$5001,$A$374,BD!$I$3:$I$5001,"&lt;&gt;")=0,"",SUMIFS(BD!$I$3:$I$5001,BD!$A$3:$A$5001,H$3,BD!$B$3:$B$5001,$A$374)))</f>
        <v/>
      </c>
      <c r="I380" s="201" t="str">
        <f>IF(I$3="","",IF(COUNTIFS(BD!$A$3:$A$5001,I$3,BD!$B$3:$B$5001,$A$374,BD!$I$3:$I$5001,"&lt;&gt;")=0,"",SUMIFS(BD!$I$3:$I$5001,BD!$A$3:$A$5001,I$3,BD!$B$3:$B$5001,$A$374)))</f>
        <v/>
      </c>
      <c r="J380" s="201" t="str">
        <f>IF(J$3="","",IF(COUNTIFS(BD!$A$3:$A$5001,J$3,BD!$B$3:$B$5001,$A$374,BD!$I$3:$I$5001,"&lt;&gt;")=0,"",SUMIFS(BD!$I$3:$I$5001,BD!$A$3:$A$5001,J$3,BD!$B$3:$B$5001,$A$374)))</f>
        <v/>
      </c>
      <c r="K380" s="201" t="str">
        <f>IF(K$3="","",IF(COUNTIFS(BD!$A$3:$A$5001,K$3,BD!$B$3:$B$5001,$A$374,BD!$I$3:$I$5001,"&lt;&gt;")=0,"",SUMIFS(BD!$I$3:$I$5001,BD!$A$3:$A$5001,K$3,BD!$B$3:$B$5001,$A$374)))</f>
        <v/>
      </c>
      <c r="L380" s="201" t="str">
        <f>IF(L$3="","",IF(COUNTIFS(BD!$A$3:$A$5001,L$3,BD!$B$3:$B$5001,$A$374,BD!$I$3:$I$5001,"&lt;&gt;")=0,"",SUMIFS(BD!$I$3:$I$5001,BD!$A$3:$A$5001,L$3,BD!$B$3:$B$5001,$A$374)))</f>
        <v/>
      </c>
      <c r="M380" s="201" t="str">
        <f>IF(M$3="","",IF(COUNTIFS(BD!$A$3:$A$5001,M$3,BD!$B$3:$B$5001,$A$374,BD!$I$3:$I$5001,"&lt;&gt;")=0,"",SUMIFS(BD!$I$3:$I$5001,BD!$A$3:$A$5001,M$3,BD!$B$3:$B$5001,$A$374)))</f>
        <v/>
      </c>
      <c r="N380" s="201" t="str">
        <f>IF(N$3="","",IF(COUNTIFS(BD!$A$3:$A$5001,N$3,BD!$B$3:$B$5001,$A$374,BD!$I$3:$I$5001,"&lt;&gt;")=0,"",SUMIFS(BD!$I$3:$I$5001,BD!$A$3:$A$5001,N$3,BD!$B$3:$B$5001,$A$374)))</f>
        <v/>
      </c>
      <c r="O380" s="201" t="str">
        <f>IF(O$3="","",IF(COUNTIFS(BD!$A$3:$A$5001,O$3,BD!$B$3:$B$5001,$A$374,BD!$I$3:$I$5001,"&lt;&gt;")=0,"",SUMIFS(BD!$I$3:$I$5001,BD!$A$3:$A$5001,O$3,BD!$B$3:$B$5001,$A$374)))</f>
        <v/>
      </c>
      <c r="P380" s="201" t="str">
        <f>IF(P$3="","",IF(COUNTIFS(BD!$A$3:$A$5001,P$3,BD!$B$3:$B$5001,$A$374,BD!$I$3:$I$5001,"&lt;&gt;")=0,"",SUMIFS(BD!$I$3:$I$5001,BD!$A$3:$A$5001,P$3,BD!$B$3:$B$5001,$A$374)))</f>
        <v/>
      </c>
      <c r="Q380" s="201" t="str">
        <f>IF(Q$3="","",IF(COUNTIFS(BD!$A$3:$A$5001,Q$3,BD!$B$3:$B$5001,$A$374,BD!$I$3:$I$5001,"&lt;&gt;")=0,"",SUMIFS(BD!$I$3:$I$5001,BD!$A$3:$A$5001,Q$3,BD!$B$3:$B$5001,$A$374)))</f>
        <v/>
      </c>
      <c r="R380" s="201" t="str">
        <f>IF(R$3="","",IF(COUNTIFS(BD!$A$3:$A$5001,R$3,BD!$B$3:$B$5001,$A$374,BD!$I$3:$I$5001,"&lt;&gt;")=0,"",SUMIFS(BD!$I$3:$I$5001,BD!$A$3:$A$5001,R$3,BD!$B$3:$B$5001,$A$374)))</f>
        <v/>
      </c>
      <c r="S380" s="201" t="str">
        <f>IF(S$3="","",IF(COUNTIFS(BD!$A$3:$A$5001,S$3,BD!$B$3:$B$5001,$A$374,BD!$I$3:$I$5001,"&lt;&gt;")=0,"",SUMIFS(BD!$I$3:$I$5001,BD!$A$3:$A$5001,S$3,BD!$B$3:$B$5001,$A$374)))</f>
        <v/>
      </c>
      <c r="T380" s="201" t="str">
        <f>IF(T$3="","",IF(COUNTIFS(BD!$A$3:$A$5001,T$3,BD!$B$3:$B$5001,$A$374,BD!$I$3:$I$5001,"&lt;&gt;")=0,"",SUMIFS(BD!$I$3:$I$5001,BD!$A$3:$A$5001,T$3,BD!$B$3:$B$5001,$A$374)))</f>
        <v/>
      </c>
      <c r="U380" s="201" t="str">
        <f>IF(U$3="","",IF(COUNTIFS(BD!$A$3:$A$5001,U$3,BD!$B$3:$B$5001,$A$374,BD!$I$3:$I$5001,"&lt;&gt;")=0,"",SUMIFS(BD!$I$3:$I$5001,BD!$A$3:$A$5001,U$3,BD!$B$3:$B$5001,$A$374)))</f>
        <v/>
      </c>
      <c r="V380" s="201" t="str">
        <f>IF(V$3="","",IF(COUNTIFS(BD!$A$3:$A$5001,V$3,BD!$B$3:$B$5001,$A$374,BD!$I$3:$I$5001,"&lt;&gt;")=0,"",SUMIFS(BD!$I$3:$I$5001,BD!$A$3:$A$5001,V$3,BD!$B$3:$B$5001,$A$374)))</f>
        <v/>
      </c>
      <c r="W380" s="201" t="str">
        <f>IF(W$3="","",IF(COUNTIFS(BD!$A$3:$A$5001,W$3,BD!$B$3:$B$5001,$A$374,BD!$I$3:$I$5001,"&lt;&gt;")=0,"",SUMIFS(BD!$I$3:$I$5001,BD!$A$3:$A$5001,W$3,BD!$B$3:$B$5001,$A$374)))</f>
        <v/>
      </c>
      <c r="X380" s="201" t="str">
        <f>IF(X$3="","",IF(COUNTIFS(BD!$A$3:$A$5001,X$3,BD!$B$3:$B$5001,$A$374,BD!$I$3:$I$5001,"&lt;&gt;")=0,"",SUMIFS(BD!$I$3:$I$5001,BD!$A$3:$A$5001,X$3,BD!$B$3:$B$5001,$A$374)))</f>
        <v/>
      </c>
      <c r="Y380" s="201" t="str">
        <f>IF(Y$3="","",IF(COUNTIFS(BD!$A$3:$A$5001,Y$3,BD!$B$3:$B$5001,$A$374,BD!$I$3:$I$5001,"&lt;&gt;")=0,"",SUMIFS(BD!$I$3:$I$5001,BD!$A$3:$A$5001,Y$3,BD!$B$3:$B$5001,$A$374)))</f>
        <v/>
      </c>
      <c r="Z380" s="201" t="str">
        <f>IF(Z$3="","",IF(COUNTIFS(BD!$A$3:$A$5001,Z$3,BD!$B$3:$B$5001,$A$374,BD!$I$3:$I$5001,"&lt;&gt;")=0,"",SUMIFS(BD!$I$3:$I$5001,BD!$A$3:$A$5001,Z$3,BD!$B$3:$B$5001,$A$374)))</f>
        <v/>
      </c>
      <c r="AA380" s="201" t="str">
        <f>IF(AA$3="","",IF(COUNTIFS(BD!$A$3:$A$5001,AA$3,BD!$B$3:$B$5001,$A$374,BD!$I$3:$I$5001,"&lt;&gt;")=0,"",SUMIFS(BD!$I$3:$I$5001,BD!$A$3:$A$5001,AA$3,BD!$B$3:$B$5001,$A$374)))</f>
        <v/>
      </c>
      <c r="AB380" s="201" t="str">
        <f>IF(AB$3="","",IF(COUNTIFS(BD!$A$3:$A$5001,AB$3,BD!$B$3:$B$5001,$A$374,BD!$I$3:$I$5001,"&lt;&gt;")=0,"",SUMIFS(BD!$I$3:$I$5001,BD!$A$3:$A$5001,AB$3,BD!$B$3:$B$5001,$A$374)))</f>
        <v/>
      </c>
      <c r="AC380" s="201" t="str">
        <f>IF(AC$3="","",IF(COUNTIFS(BD!$A$3:$A$5001,AC$3,BD!$B$3:$B$5001,$A$374,BD!$I$3:$I$5001,"&lt;&gt;")=0,"",SUMIFS(BD!$I$3:$I$5001,BD!$A$3:$A$5001,AC$3,BD!$B$3:$B$5001,$A$374)))</f>
        <v/>
      </c>
      <c r="AD380" s="201" t="str">
        <f>IF(AD$3="","",IF(COUNTIFS(BD!$A$3:$A$5001,AD$3,BD!$B$3:$B$5001,$A$374,BD!$I$3:$I$5001,"&lt;&gt;")=0,"",SUMIFS(BD!$I$3:$I$5001,BD!$A$3:$A$5001,AD$3,BD!$B$3:$B$5001,$A$374)))</f>
        <v/>
      </c>
      <c r="AE380" s="201" t="str">
        <f>IF(AE$3="","",IF(COUNTIFS(BD!$A$3:$A$5001,AE$3,BD!$B$3:$B$5001,$A$374,BD!$I$3:$I$5001,"&lt;&gt;")=0,"",SUMIFS(BD!$I$3:$I$5001,BD!$A$3:$A$5001,AE$3,BD!$B$3:$B$5001,$A$374)))</f>
        <v/>
      </c>
      <c r="AF380" s="201" t="str">
        <f>IF(AF$3="","",IF(COUNTIFS(BD!$A$3:$A$5001,AF$3,BD!$B$3:$B$5001,$A$374,BD!$I$3:$I$5001,"&lt;&gt;")=0,"",SUMIFS(BD!$I$3:$I$5001,BD!$A$3:$A$5001,AF$3,BD!$B$3:$B$5001,$A$374)))</f>
        <v/>
      </c>
      <c r="AG380" s="201" t="str">
        <f>IF(AG$3="","",IF(COUNTIFS(BD!$A$3:$A$5001,AG$3,BD!$B$3:$B$5001,$A$374,BD!$I$3:$I$5001,"&lt;&gt;")=0,"",SUMIFS(BD!$I$3:$I$5001,BD!$A$3:$A$5001,AG$3,BD!$B$3:$B$5001,$A$374)))</f>
        <v/>
      </c>
      <c r="AH380" s="201" t="str">
        <f>IF(AH$3="","",IF(COUNTIFS(BD!$A$3:$A$5001,AH$3,BD!$B$3:$B$5001,$A$374,BD!$I$3:$I$5001,"&lt;&gt;")=0,"",SUMIFS(BD!$I$3:$I$5001,BD!$A$3:$A$5001,AH$3,BD!$B$3:$B$5001,$A$374)))</f>
        <v/>
      </c>
      <c r="AI380" s="201" t="str">
        <f>IF(AI$3="","",IF(COUNTIFS(BD!$A$3:$A$5001,AI$3,BD!$B$3:$B$5001,$A$374,BD!$I$3:$I$5001,"&lt;&gt;")=0,"",SUMIFS(BD!$I$3:$I$5001,BD!$A$3:$A$5001,AI$3,BD!$B$3:$B$5001,$A$374)))</f>
        <v/>
      </c>
      <c r="AJ380" s="202" t="str">
        <f>IF(AJ$3="","",IF(COUNTIFS(BD!$A$3:$A$5001,AJ$3,BD!$B$3:$B$5001,$A$374,BD!$I$3:$I$5001,"&lt;&gt;")=0,"",SUMIFS(BD!$I$3:$I$5001,BD!$A$3:$A$5001,AJ$3,BD!$B$3:$B$5001,$A$374)))</f>
        <v/>
      </c>
      <c r="AK380" s="203" t="str">
        <f>IF(COUNT(F380:AJ380)=0,"",SUM(F380:AJ380))</f>
        <v/>
      </c>
    </row>
    <row r="381" ht="15.75" customHeight="1" hidden="1">
      <c r="A381" s="254"/>
      <c r="B381" s="248"/>
      <c r="C381" s="204" t="inlineStr">
        <is>
          <t xml:space="preserve">No show</t>
        </is>
      </c>
      <c r="D381" s="205" t="str">
        <f>IFERROR(1/(1/INDEX(BD!$Y$30:$AS$30,MATCH($A$374,BD!$Y$22:$AS$22,0))),"")</f>
        <v/>
      </c>
      <c r="E381" s="206"/>
      <c r="F381" s="207" t="str">
        <f>IF(F$3="","",IF(COUNTIFS(BD!$A$3:$A$5001,F$3,BD!$B$3:$B$5001,$A$374,BD!$J$3:$J$5001,"&lt;&gt;")=0,"",SUMIFS(BD!$J$3:$J$5001,BD!$A$3:$A$5001,F$3,BD!$B$3:$B$5001,$A$374)))</f>
        <v/>
      </c>
      <c r="G381" s="208" t="str">
        <f>IF(G$3="","",IF(COUNTIFS(BD!$A$3:$A$5001,G$3,BD!$B$3:$B$5001,$A$374,BD!$J$3:$J$5001,"&lt;&gt;")=0,"",SUMIFS(BD!$J$3:$J$5001,BD!$A$3:$A$5001,G$3,BD!$B$3:$B$5001,$A$374)))</f>
        <v/>
      </c>
      <c r="H381" s="208" t="str">
        <f>IF(H$3="","",IF(COUNTIFS(BD!$A$3:$A$5001,H$3,BD!$B$3:$B$5001,$A$374,BD!$J$3:$J$5001,"&lt;&gt;")=0,"",SUMIFS(BD!$J$3:$J$5001,BD!$A$3:$A$5001,H$3,BD!$B$3:$B$5001,$A$374)))</f>
        <v/>
      </c>
      <c r="I381" s="208" t="str">
        <f>IF(I$3="","",IF(COUNTIFS(BD!$A$3:$A$5001,I$3,BD!$B$3:$B$5001,$A$374,BD!$J$3:$J$5001,"&lt;&gt;")=0,"",SUMIFS(BD!$J$3:$J$5001,BD!$A$3:$A$5001,I$3,BD!$B$3:$B$5001,$A$374)))</f>
        <v/>
      </c>
      <c r="J381" s="208" t="str">
        <f>IF(J$3="","",IF(COUNTIFS(BD!$A$3:$A$5001,J$3,BD!$B$3:$B$5001,$A$374,BD!$J$3:$J$5001,"&lt;&gt;")=0,"",SUMIFS(BD!$J$3:$J$5001,BD!$A$3:$A$5001,J$3,BD!$B$3:$B$5001,$A$374)))</f>
        <v/>
      </c>
      <c r="K381" s="208" t="str">
        <f>IF(K$3="","",IF(COUNTIFS(BD!$A$3:$A$5001,K$3,BD!$B$3:$B$5001,$A$374,BD!$J$3:$J$5001,"&lt;&gt;")=0,"",SUMIFS(BD!$J$3:$J$5001,BD!$A$3:$A$5001,K$3,BD!$B$3:$B$5001,$A$374)))</f>
        <v/>
      </c>
      <c r="L381" s="208" t="str">
        <f>IF(L$3="","",IF(COUNTIFS(BD!$A$3:$A$5001,L$3,BD!$B$3:$B$5001,$A$374,BD!$J$3:$J$5001,"&lt;&gt;")=0,"",SUMIFS(BD!$J$3:$J$5001,BD!$A$3:$A$5001,L$3,BD!$B$3:$B$5001,$A$374)))</f>
        <v/>
      </c>
      <c r="M381" s="208" t="str">
        <f>IF(M$3="","",IF(COUNTIFS(BD!$A$3:$A$5001,M$3,BD!$B$3:$B$5001,$A$374,BD!$J$3:$J$5001,"&lt;&gt;")=0,"",SUMIFS(BD!$J$3:$J$5001,BD!$A$3:$A$5001,M$3,BD!$B$3:$B$5001,$A$374)))</f>
        <v/>
      </c>
      <c r="N381" s="208" t="str">
        <f>IF(N$3="","",IF(COUNTIFS(BD!$A$3:$A$5001,N$3,BD!$B$3:$B$5001,$A$374,BD!$J$3:$J$5001,"&lt;&gt;")=0,"",SUMIFS(BD!$J$3:$J$5001,BD!$A$3:$A$5001,N$3,BD!$B$3:$B$5001,$A$374)))</f>
        <v/>
      </c>
      <c r="O381" s="208" t="str">
        <f>IF(O$3="","",IF(COUNTIFS(BD!$A$3:$A$5001,O$3,BD!$B$3:$B$5001,$A$374,BD!$J$3:$J$5001,"&lt;&gt;")=0,"",SUMIFS(BD!$J$3:$J$5001,BD!$A$3:$A$5001,O$3,BD!$B$3:$B$5001,$A$374)))</f>
        <v/>
      </c>
      <c r="P381" s="208" t="str">
        <f>IF(P$3="","",IF(COUNTIFS(BD!$A$3:$A$5001,P$3,BD!$B$3:$B$5001,$A$374,BD!$J$3:$J$5001,"&lt;&gt;")=0,"",SUMIFS(BD!$J$3:$J$5001,BD!$A$3:$A$5001,P$3,BD!$B$3:$B$5001,$A$374)))</f>
        <v/>
      </c>
      <c r="Q381" s="208" t="str">
        <f>IF(Q$3="","",IF(COUNTIFS(BD!$A$3:$A$5001,Q$3,BD!$B$3:$B$5001,$A$374,BD!$J$3:$J$5001,"&lt;&gt;")=0,"",SUMIFS(BD!$J$3:$J$5001,BD!$A$3:$A$5001,Q$3,BD!$B$3:$B$5001,$A$374)))</f>
        <v/>
      </c>
      <c r="R381" s="208" t="str">
        <f>IF(R$3="","",IF(COUNTIFS(BD!$A$3:$A$5001,R$3,BD!$B$3:$B$5001,$A$374,BD!$J$3:$J$5001,"&lt;&gt;")=0,"",SUMIFS(BD!$J$3:$J$5001,BD!$A$3:$A$5001,R$3,BD!$B$3:$B$5001,$A$374)))</f>
        <v/>
      </c>
      <c r="S381" s="208" t="str">
        <f>IF(S$3="","",IF(COUNTIFS(BD!$A$3:$A$5001,S$3,BD!$B$3:$B$5001,$A$374,BD!$J$3:$J$5001,"&lt;&gt;")=0,"",SUMIFS(BD!$J$3:$J$5001,BD!$A$3:$A$5001,S$3,BD!$B$3:$B$5001,$A$374)))</f>
        <v/>
      </c>
      <c r="T381" s="208" t="str">
        <f>IF(T$3="","",IF(COUNTIFS(BD!$A$3:$A$5001,T$3,BD!$B$3:$B$5001,$A$374,BD!$J$3:$J$5001,"&lt;&gt;")=0,"",SUMIFS(BD!$J$3:$J$5001,BD!$A$3:$A$5001,T$3,BD!$B$3:$B$5001,$A$374)))</f>
        <v/>
      </c>
      <c r="U381" s="208" t="str">
        <f>IF(U$3="","",IF(COUNTIFS(BD!$A$3:$A$5001,U$3,BD!$B$3:$B$5001,$A$374,BD!$J$3:$J$5001,"&lt;&gt;")=0,"",SUMIFS(BD!$J$3:$J$5001,BD!$A$3:$A$5001,U$3,BD!$B$3:$B$5001,$A$374)))</f>
        <v/>
      </c>
      <c r="V381" s="208" t="str">
        <f>IF(V$3="","",IF(COUNTIFS(BD!$A$3:$A$5001,V$3,BD!$B$3:$B$5001,$A$374,BD!$J$3:$J$5001,"&lt;&gt;")=0,"",SUMIFS(BD!$J$3:$J$5001,BD!$A$3:$A$5001,V$3,BD!$B$3:$B$5001,$A$374)))</f>
        <v/>
      </c>
      <c r="W381" s="208" t="str">
        <f>IF(W$3="","",IF(COUNTIFS(BD!$A$3:$A$5001,W$3,BD!$B$3:$B$5001,$A$374,BD!$J$3:$J$5001,"&lt;&gt;")=0,"",SUMIFS(BD!$J$3:$J$5001,BD!$A$3:$A$5001,W$3,BD!$B$3:$B$5001,$A$374)))</f>
        <v/>
      </c>
      <c r="X381" s="208" t="str">
        <f>IF(X$3="","",IF(COUNTIFS(BD!$A$3:$A$5001,X$3,BD!$B$3:$B$5001,$A$374,BD!$J$3:$J$5001,"&lt;&gt;")=0,"",SUMIFS(BD!$J$3:$J$5001,BD!$A$3:$A$5001,X$3,BD!$B$3:$B$5001,$A$374)))</f>
        <v/>
      </c>
      <c r="Y381" s="208" t="str">
        <f>IF(Y$3="","",IF(COUNTIFS(BD!$A$3:$A$5001,Y$3,BD!$B$3:$B$5001,$A$374,BD!$J$3:$J$5001,"&lt;&gt;")=0,"",SUMIFS(BD!$J$3:$J$5001,BD!$A$3:$A$5001,Y$3,BD!$B$3:$B$5001,$A$374)))</f>
        <v/>
      </c>
      <c r="Z381" s="208" t="str">
        <f>IF(Z$3="","",IF(COUNTIFS(BD!$A$3:$A$5001,Z$3,BD!$B$3:$B$5001,$A$374,BD!$J$3:$J$5001,"&lt;&gt;")=0,"",SUMIFS(BD!$J$3:$J$5001,BD!$A$3:$A$5001,Z$3,BD!$B$3:$B$5001,$A$374)))</f>
        <v/>
      </c>
      <c r="AA381" s="208" t="str">
        <f>IF(AA$3="","",IF(COUNTIFS(BD!$A$3:$A$5001,AA$3,BD!$B$3:$B$5001,$A$374,BD!$J$3:$J$5001,"&lt;&gt;")=0,"",SUMIFS(BD!$J$3:$J$5001,BD!$A$3:$A$5001,AA$3,BD!$B$3:$B$5001,$A$374)))</f>
        <v/>
      </c>
      <c r="AB381" s="208" t="str">
        <f>IF(AB$3="","",IF(COUNTIFS(BD!$A$3:$A$5001,AB$3,BD!$B$3:$B$5001,$A$374,BD!$J$3:$J$5001,"&lt;&gt;")=0,"",SUMIFS(BD!$J$3:$J$5001,BD!$A$3:$A$5001,AB$3,BD!$B$3:$B$5001,$A$374)))</f>
        <v/>
      </c>
      <c r="AC381" s="208" t="str">
        <f>IF(AC$3="","",IF(COUNTIFS(BD!$A$3:$A$5001,AC$3,BD!$B$3:$B$5001,$A$374,BD!$J$3:$J$5001,"&lt;&gt;")=0,"",SUMIFS(BD!$J$3:$J$5001,BD!$A$3:$A$5001,AC$3,BD!$B$3:$B$5001,$A$374)))</f>
        <v/>
      </c>
      <c r="AD381" s="208" t="str">
        <f>IF(AD$3="","",IF(COUNTIFS(BD!$A$3:$A$5001,AD$3,BD!$B$3:$B$5001,$A$374,BD!$J$3:$J$5001,"&lt;&gt;")=0,"",SUMIFS(BD!$J$3:$J$5001,BD!$A$3:$A$5001,AD$3,BD!$B$3:$B$5001,$A$374)))</f>
        <v/>
      </c>
      <c r="AE381" s="208" t="str">
        <f>IF(AE$3="","",IF(COUNTIFS(BD!$A$3:$A$5001,AE$3,BD!$B$3:$B$5001,$A$374,BD!$J$3:$J$5001,"&lt;&gt;")=0,"",SUMIFS(BD!$J$3:$J$5001,BD!$A$3:$A$5001,AE$3,BD!$B$3:$B$5001,$A$374)))</f>
        <v/>
      </c>
      <c r="AF381" s="208" t="str">
        <f>IF(AF$3="","",IF(COUNTIFS(BD!$A$3:$A$5001,AF$3,BD!$B$3:$B$5001,$A$374,BD!$J$3:$J$5001,"&lt;&gt;")=0,"",SUMIFS(BD!$J$3:$J$5001,BD!$A$3:$A$5001,AF$3,BD!$B$3:$B$5001,$A$374)))</f>
        <v/>
      </c>
      <c r="AG381" s="208" t="str">
        <f>IF(AG$3="","",IF(COUNTIFS(BD!$A$3:$A$5001,AG$3,BD!$B$3:$B$5001,$A$374,BD!$J$3:$J$5001,"&lt;&gt;")=0,"",SUMIFS(BD!$J$3:$J$5001,BD!$A$3:$A$5001,AG$3,BD!$B$3:$B$5001,$A$374)))</f>
        <v/>
      </c>
      <c r="AH381" s="208" t="str">
        <f>IF(AH$3="","",IF(COUNTIFS(BD!$A$3:$A$5001,AH$3,BD!$B$3:$B$5001,$A$374,BD!$J$3:$J$5001,"&lt;&gt;")=0,"",SUMIFS(BD!$J$3:$J$5001,BD!$A$3:$A$5001,AH$3,BD!$B$3:$B$5001,$A$374)))</f>
        <v/>
      </c>
      <c r="AI381" s="208" t="str">
        <f>IF(AI$3="","",IF(COUNTIFS(BD!$A$3:$A$5001,AI$3,BD!$B$3:$B$5001,$A$374,BD!$J$3:$J$5001,"&lt;&gt;")=0,"",SUMIFS(BD!$J$3:$J$5001,BD!$A$3:$A$5001,AI$3,BD!$B$3:$B$5001,$A$374)))</f>
        <v/>
      </c>
      <c r="AJ381" s="209" t="str">
        <f>IF(AJ$3="","",IF(COUNTIFS(BD!$A$3:$A$5001,AJ$3,BD!$B$3:$B$5001,$A$374,BD!$J$3:$J$5001,"&lt;&gt;")=0,"",SUMIFS(BD!$J$3:$J$5001,BD!$A$3:$A$5001,AJ$3,BD!$B$3:$B$5001,$A$374)))</f>
        <v/>
      </c>
      <c r="AK381" s="210" t="str">
        <f>IF(COUNT(F381:AJ381)=0,"",SUM(F381:AJ381))</f>
        <v/>
      </c>
    </row>
    <row r="382" ht="15.75" customHeight="1" hidden="1">
      <c r="A382" s="254"/>
      <c r="B382" s="249"/>
      <c r="C382" s="211" t="inlineStr">
        <is>
          <t xml:space="preserve">Backlog</t>
        </is>
      </c>
      <c r="D382" s="212" t="str">
        <f>IFERROR(1/(1/INDEX(BD!$Y$31:$AS$31,MATCH($A$374,BD!$Y$22:$AS$22,0))),"")</f>
        <v/>
      </c>
      <c r="E382" s="213"/>
      <c r="F382" s="214" t="str">
        <f>IF(F$3="","",IF(COUNTIFS(BD!$A$3:$A$5001,F$3,BD!$B$3:$B$5001,$A$374,BD!$K$3:$K$5001,"&lt;&gt;")=0,"",SUMIFS(BD!$K$3:$K$5001,BD!$A$3:$A$5001,F$3,BD!$B$3:$B$5001,$A$374)))</f>
        <v/>
      </c>
      <c r="G382" s="215" t="str">
        <f>IF(G$3="","",IF(COUNTIFS(BD!$A$3:$A$5001,G$3,BD!$B$3:$B$5001,$A$374,BD!$K$3:$K$5001,"&lt;&gt;")=0,"",SUMIFS(BD!$K$3:$K$5001,BD!$A$3:$A$5001,G$3,BD!$B$3:$B$5001,$A$374)))</f>
        <v/>
      </c>
      <c r="H382" s="215" t="str">
        <f>IF(H$3="","",IF(COUNTIFS(BD!$A$3:$A$5001,H$3,BD!$B$3:$B$5001,$A$374,BD!$K$3:$K$5001,"&lt;&gt;")=0,"",SUMIFS(BD!$K$3:$K$5001,BD!$A$3:$A$5001,H$3,BD!$B$3:$B$5001,$A$374)))</f>
        <v/>
      </c>
      <c r="I382" s="215" t="str">
        <f>IF(I$3="","",IF(COUNTIFS(BD!$A$3:$A$5001,I$3,BD!$B$3:$B$5001,$A$374,BD!$K$3:$K$5001,"&lt;&gt;")=0,"",SUMIFS(BD!$K$3:$K$5001,BD!$A$3:$A$5001,I$3,BD!$B$3:$B$5001,$A$374)))</f>
        <v/>
      </c>
      <c r="J382" s="215" t="str">
        <f>IF(J$3="","",IF(COUNTIFS(BD!$A$3:$A$5001,J$3,BD!$B$3:$B$5001,$A$374,BD!$K$3:$K$5001,"&lt;&gt;")=0,"",SUMIFS(BD!$K$3:$K$5001,BD!$A$3:$A$5001,J$3,BD!$B$3:$B$5001,$A$374)))</f>
        <v/>
      </c>
      <c r="K382" s="215" t="str">
        <f>IF(K$3="","",IF(COUNTIFS(BD!$A$3:$A$5001,K$3,BD!$B$3:$B$5001,$A$374,BD!$K$3:$K$5001,"&lt;&gt;")=0,"",SUMIFS(BD!$K$3:$K$5001,BD!$A$3:$A$5001,K$3,BD!$B$3:$B$5001,$A$374)))</f>
        <v/>
      </c>
      <c r="L382" s="215" t="str">
        <f>IF(L$3="","",IF(COUNTIFS(BD!$A$3:$A$5001,L$3,BD!$B$3:$B$5001,$A$374,BD!$K$3:$K$5001,"&lt;&gt;")=0,"",SUMIFS(BD!$K$3:$K$5001,BD!$A$3:$A$5001,L$3,BD!$B$3:$B$5001,$A$374)))</f>
        <v/>
      </c>
      <c r="M382" s="215" t="str">
        <f>IF(M$3="","",IF(COUNTIFS(BD!$A$3:$A$5001,M$3,BD!$B$3:$B$5001,$A$374,BD!$K$3:$K$5001,"&lt;&gt;")=0,"",SUMIFS(BD!$K$3:$K$5001,BD!$A$3:$A$5001,M$3,BD!$B$3:$B$5001,$A$374)))</f>
        <v/>
      </c>
      <c r="N382" s="215" t="str">
        <f>IF(N$3="","",IF(COUNTIFS(BD!$A$3:$A$5001,N$3,BD!$B$3:$B$5001,$A$374,BD!$K$3:$K$5001,"&lt;&gt;")=0,"",SUMIFS(BD!$K$3:$K$5001,BD!$A$3:$A$5001,N$3,BD!$B$3:$B$5001,$A$374)))</f>
        <v/>
      </c>
      <c r="O382" s="215" t="str">
        <f>IF(O$3="","",IF(COUNTIFS(BD!$A$3:$A$5001,O$3,BD!$B$3:$B$5001,$A$374,BD!$K$3:$K$5001,"&lt;&gt;")=0,"",SUMIFS(BD!$K$3:$K$5001,BD!$A$3:$A$5001,O$3,BD!$B$3:$B$5001,$A$374)))</f>
        <v/>
      </c>
      <c r="P382" s="215" t="str">
        <f>IF(P$3="","",IF(COUNTIFS(BD!$A$3:$A$5001,P$3,BD!$B$3:$B$5001,$A$374,BD!$K$3:$K$5001,"&lt;&gt;")=0,"",SUMIFS(BD!$K$3:$K$5001,BD!$A$3:$A$5001,P$3,BD!$B$3:$B$5001,$A$374)))</f>
        <v/>
      </c>
      <c r="Q382" s="215" t="str">
        <f>IF(Q$3="","",IF(COUNTIFS(BD!$A$3:$A$5001,Q$3,BD!$B$3:$B$5001,$A$374,BD!$K$3:$K$5001,"&lt;&gt;")=0,"",SUMIFS(BD!$K$3:$K$5001,BD!$A$3:$A$5001,Q$3,BD!$B$3:$B$5001,$A$374)))</f>
        <v/>
      </c>
      <c r="R382" s="215" t="str">
        <f>IF(R$3="","",IF(COUNTIFS(BD!$A$3:$A$5001,R$3,BD!$B$3:$B$5001,$A$374,BD!$K$3:$K$5001,"&lt;&gt;")=0,"",SUMIFS(BD!$K$3:$K$5001,BD!$A$3:$A$5001,R$3,BD!$B$3:$B$5001,$A$374)))</f>
        <v/>
      </c>
      <c r="S382" s="215" t="str">
        <f>IF(S$3="","",IF(COUNTIFS(BD!$A$3:$A$5001,S$3,BD!$B$3:$B$5001,$A$374,BD!$K$3:$K$5001,"&lt;&gt;")=0,"",SUMIFS(BD!$K$3:$K$5001,BD!$A$3:$A$5001,S$3,BD!$B$3:$B$5001,$A$374)))</f>
        <v/>
      </c>
      <c r="T382" s="215" t="str">
        <f>IF(T$3="","",IF(COUNTIFS(BD!$A$3:$A$5001,T$3,BD!$B$3:$B$5001,$A$374,BD!$K$3:$K$5001,"&lt;&gt;")=0,"",SUMIFS(BD!$K$3:$K$5001,BD!$A$3:$A$5001,T$3,BD!$B$3:$B$5001,$A$374)))</f>
        <v/>
      </c>
      <c r="U382" s="215" t="str">
        <f>IF(U$3="","",IF(COUNTIFS(BD!$A$3:$A$5001,U$3,BD!$B$3:$B$5001,$A$374,BD!$K$3:$K$5001,"&lt;&gt;")=0,"",SUMIFS(BD!$K$3:$K$5001,BD!$A$3:$A$5001,U$3,BD!$B$3:$B$5001,$A$374)))</f>
        <v/>
      </c>
      <c r="V382" s="215" t="str">
        <f>IF(V$3="","",IF(COUNTIFS(BD!$A$3:$A$5001,V$3,BD!$B$3:$B$5001,$A$374,BD!$K$3:$K$5001,"&lt;&gt;")=0,"",SUMIFS(BD!$K$3:$K$5001,BD!$A$3:$A$5001,V$3,BD!$B$3:$B$5001,$A$374)))</f>
        <v/>
      </c>
      <c r="W382" s="215" t="str">
        <f>IF(W$3="","",IF(COUNTIFS(BD!$A$3:$A$5001,W$3,BD!$B$3:$B$5001,$A$374,BD!$K$3:$K$5001,"&lt;&gt;")=0,"",SUMIFS(BD!$K$3:$K$5001,BD!$A$3:$A$5001,W$3,BD!$B$3:$B$5001,$A$374)))</f>
        <v/>
      </c>
      <c r="X382" s="215" t="str">
        <f>IF(X$3="","",IF(COUNTIFS(BD!$A$3:$A$5001,X$3,BD!$B$3:$B$5001,$A$374,BD!$K$3:$K$5001,"&lt;&gt;")=0,"",SUMIFS(BD!$K$3:$K$5001,BD!$A$3:$A$5001,X$3,BD!$B$3:$B$5001,$A$374)))</f>
        <v/>
      </c>
      <c r="Y382" s="215" t="str">
        <f>IF(Y$3="","",IF(COUNTIFS(BD!$A$3:$A$5001,Y$3,BD!$B$3:$B$5001,$A$374,BD!$K$3:$K$5001,"&lt;&gt;")=0,"",SUMIFS(BD!$K$3:$K$5001,BD!$A$3:$A$5001,Y$3,BD!$B$3:$B$5001,$A$374)))</f>
        <v/>
      </c>
      <c r="Z382" s="215" t="str">
        <f>IF(Z$3="","",IF(COUNTIFS(BD!$A$3:$A$5001,Z$3,BD!$B$3:$B$5001,$A$374,BD!$K$3:$K$5001,"&lt;&gt;")=0,"",SUMIFS(BD!$K$3:$K$5001,BD!$A$3:$A$5001,Z$3,BD!$B$3:$B$5001,$A$374)))</f>
        <v/>
      </c>
      <c r="AA382" s="215" t="str">
        <f>IF(AA$3="","",IF(COUNTIFS(BD!$A$3:$A$5001,AA$3,BD!$B$3:$B$5001,$A$374,BD!$K$3:$K$5001,"&lt;&gt;")=0,"",SUMIFS(BD!$K$3:$K$5001,BD!$A$3:$A$5001,AA$3,BD!$B$3:$B$5001,$A$374)))</f>
        <v/>
      </c>
      <c r="AB382" s="215" t="str">
        <f>IF(AB$3="","",IF(COUNTIFS(BD!$A$3:$A$5001,AB$3,BD!$B$3:$B$5001,$A$374,BD!$K$3:$K$5001,"&lt;&gt;")=0,"",SUMIFS(BD!$K$3:$K$5001,BD!$A$3:$A$5001,AB$3,BD!$B$3:$B$5001,$A$374)))</f>
        <v/>
      </c>
      <c r="AC382" s="215" t="str">
        <f>IF(AC$3="","",IF(COUNTIFS(BD!$A$3:$A$5001,AC$3,BD!$B$3:$B$5001,$A$374,BD!$K$3:$K$5001,"&lt;&gt;")=0,"",SUMIFS(BD!$K$3:$K$5001,BD!$A$3:$A$5001,AC$3,BD!$B$3:$B$5001,$A$374)))</f>
        <v/>
      </c>
      <c r="AD382" s="215" t="str">
        <f>IF(AD$3="","",IF(COUNTIFS(BD!$A$3:$A$5001,AD$3,BD!$B$3:$B$5001,$A$374,BD!$K$3:$K$5001,"&lt;&gt;")=0,"",SUMIFS(BD!$K$3:$K$5001,BD!$A$3:$A$5001,AD$3,BD!$B$3:$B$5001,$A$374)))</f>
        <v/>
      </c>
      <c r="AE382" s="215" t="str">
        <f>IF(AE$3="","",IF(COUNTIFS(BD!$A$3:$A$5001,AE$3,BD!$B$3:$B$5001,$A$374,BD!$K$3:$K$5001,"&lt;&gt;")=0,"",SUMIFS(BD!$K$3:$K$5001,BD!$A$3:$A$5001,AE$3,BD!$B$3:$B$5001,$A$374)))</f>
        <v/>
      </c>
      <c r="AF382" s="215" t="str">
        <f>IF(AF$3="","",IF(COUNTIFS(BD!$A$3:$A$5001,AF$3,BD!$B$3:$B$5001,$A$374,BD!$K$3:$K$5001,"&lt;&gt;")=0,"",SUMIFS(BD!$K$3:$K$5001,BD!$A$3:$A$5001,AF$3,BD!$B$3:$B$5001,$A$374)))</f>
        <v/>
      </c>
      <c r="AG382" s="215" t="str">
        <f>IF(AG$3="","",IF(COUNTIFS(BD!$A$3:$A$5001,AG$3,BD!$B$3:$B$5001,$A$374,BD!$K$3:$K$5001,"&lt;&gt;")=0,"",SUMIFS(BD!$K$3:$K$5001,BD!$A$3:$A$5001,AG$3,BD!$B$3:$B$5001,$A$374)))</f>
        <v/>
      </c>
      <c r="AH382" s="215" t="str">
        <f>IF(AH$3="","",IF(COUNTIFS(BD!$A$3:$A$5001,AH$3,BD!$B$3:$B$5001,$A$374,BD!$K$3:$K$5001,"&lt;&gt;")=0,"",SUMIFS(BD!$K$3:$K$5001,BD!$A$3:$A$5001,AH$3,BD!$B$3:$B$5001,$A$374)))</f>
        <v/>
      </c>
      <c r="AI382" s="215" t="str">
        <f>IF(AI$3="","",IF(COUNTIFS(BD!$A$3:$A$5001,AI$3,BD!$B$3:$B$5001,$A$374,BD!$K$3:$K$5001,"&lt;&gt;")=0,"",SUMIFS(BD!$K$3:$K$5001,BD!$A$3:$A$5001,AI$3,BD!$B$3:$B$5001,$A$374)))</f>
        <v/>
      </c>
      <c r="AJ382" s="216" t="str">
        <f>IF(AJ$3="","",IF(COUNTIFS(BD!$A$3:$A$5001,AJ$3,BD!$B$3:$B$5001,$A$374,BD!$K$3:$K$5001,"&lt;&gt;")=0,"",SUMIFS(BD!$K$3:$K$5001,BD!$A$3:$A$5001,AJ$3,BD!$B$3:$B$5001,$A$374)))</f>
        <v/>
      </c>
      <c r="AK382" s="212" t="str">
        <f>IFERROR(LOOKUP(9.99E+307,F382:AJ382),"")</f>
        <v/>
      </c>
    </row>
    <row r="383" ht="15.75" customHeight="1" hidden="1">
      <c r="A383" s="254"/>
      <c r="B383" s="241" t="inlineStr">
        <is>
          <t xml:space="preserve">OCUPAÇÃO (P.P)</t>
        </is>
      </c>
      <c r="C383" s="155" t="inlineStr">
        <is>
          <t xml:space="preserve">Posições Disponíveis</t>
        </is>
      </c>
      <c r="D383" s="156" t="str">
        <f>IFERROR(1/(1/INDEX(BD!$Y$32:$AS$32,MATCH($A$374,BD!$Y$22:$AS$22,0))),"")</f>
        <v/>
      </c>
      <c r="E383" s="157"/>
      <c r="F383" s="158" t="str">
        <f>IF(F$3="","",IF(COUNTIFS(BD!$A$3:$A$5001,F$3,BD!$B$3:$B$5001,$A$374,BD!$L$3:$L$5001,"&lt;&gt;")=0,"",SUMIFS(BD!$L$3:$L$5001,BD!$A$3:$A$5001,F$3,BD!$B$3:$B$5001,$A$374)))</f>
        <v/>
      </c>
      <c r="G383" s="159" t="str">
        <f>IF(G$3="","",IF(COUNTIFS(BD!$A$3:$A$5001,G$3,BD!$B$3:$B$5001,$A$374,BD!$L$3:$L$5001,"&lt;&gt;")=0,"",SUMIFS(BD!$L$3:$L$5001,BD!$A$3:$A$5001,G$3,BD!$B$3:$B$5001,$A$374)))</f>
        <v/>
      </c>
      <c r="H383" s="159" t="str">
        <f>IF(H$3="","",IF(COUNTIFS(BD!$A$3:$A$5001,H$3,BD!$B$3:$B$5001,$A$374,BD!$L$3:$L$5001,"&lt;&gt;")=0,"",SUMIFS(BD!$L$3:$L$5001,BD!$A$3:$A$5001,H$3,BD!$B$3:$B$5001,$A$374)))</f>
        <v/>
      </c>
      <c r="I383" s="159" t="str">
        <f>IF(I$3="","",IF(COUNTIFS(BD!$A$3:$A$5001,I$3,BD!$B$3:$B$5001,$A$374,BD!$L$3:$L$5001,"&lt;&gt;")=0,"",SUMIFS(BD!$L$3:$L$5001,BD!$A$3:$A$5001,I$3,BD!$B$3:$B$5001,$A$374)))</f>
        <v/>
      </c>
      <c r="J383" s="159" t="str">
        <f>IF(J$3="","",IF(COUNTIFS(BD!$A$3:$A$5001,J$3,BD!$B$3:$B$5001,$A$374,BD!$L$3:$L$5001,"&lt;&gt;")=0,"",SUMIFS(BD!$L$3:$L$5001,BD!$A$3:$A$5001,J$3,BD!$B$3:$B$5001,$A$374)))</f>
        <v/>
      </c>
      <c r="K383" s="159" t="str">
        <f>IF(K$3="","",IF(COUNTIFS(BD!$A$3:$A$5001,K$3,BD!$B$3:$B$5001,$A$374,BD!$L$3:$L$5001,"&lt;&gt;")=0,"",SUMIFS(BD!$L$3:$L$5001,BD!$A$3:$A$5001,K$3,BD!$B$3:$B$5001,$A$374)))</f>
        <v/>
      </c>
      <c r="L383" s="159" t="str">
        <f>IF(L$3="","",IF(COUNTIFS(BD!$A$3:$A$5001,L$3,BD!$B$3:$B$5001,$A$374,BD!$L$3:$L$5001,"&lt;&gt;")=0,"",SUMIFS(BD!$L$3:$L$5001,BD!$A$3:$A$5001,L$3,BD!$B$3:$B$5001,$A$374)))</f>
        <v/>
      </c>
      <c r="M383" s="159" t="str">
        <f>IF(M$3="","",IF(COUNTIFS(BD!$A$3:$A$5001,M$3,BD!$B$3:$B$5001,$A$374,BD!$L$3:$L$5001,"&lt;&gt;")=0,"",SUMIFS(BD!$L$3:$L$5001,BD!$A$3:$A$5001,M$3,BD!$B$3:$B$5001,$A$374)))</f>
        <v/>
      </c>
      <c r="N383" s="159" t="str">
        <f>IF(N$3="","",IF(COUNTIFS(BD!$A$3:$A$5001,N$3,BD!$B$3:$B$5001,$A$374,BD!$L$3:$L$5001,"&lt;&gt;")=0,"",SUMIFS(BD!$L$3:$L$5001,BD!$A$3:$A$5001,N$3,BD!$B$3:$B$5001,$A$374)))</f>
        <v/>
      </c>
      <c r="O383" s="159" t="str">
        <f>IF(O$3="","",IF(COUNTIFS(BD!$A$3:$A$5001,O$3,BD!$B$3:$B$5001,$A$374,BD!$L$3:$L$5001,"&lt;&gt;")=0,"",SUMIFS(BD!$L$3:$L$5001,BD!$A$3:$A$5001,O$3,BD!$B$3:$B$5001,$A$374)))</f>
        <v/>
      </c>
      <c r="P383" s="159" t="str">
        <f>IF(P$3="","",IF(COUNTIFS(BD!$A$3:$A$5001,P$3,BD!$B$3:$B$5001,$A$374,BD!$L$3:$L$5001,"&lt;&gt;")=0,"",SUMIFS(BD!$L$3:$L$5001,BD!$A$3:$A$5001,P$3,BD!$B$3:$B$5001,$A$374)))</f>
        <v/>
      </c>
      <c r="Q383" s="159" t="str">
        <f>IF(Q$3="","",IF(COUNTIFS(BD!$A$3:$A$5001,Q$3,BD!$B$3:$B$5001,$A$374,BD!$L$3:$L$5001,"&lt;&gt;")=0,"",SUMIFS(BD!$L$3:$L$5001,BD!$A$3:$A$5001,Q$3,BD!$B$3:$B$5001,$A$374)))</f>
        <v/>
      </c>
      <c r="R383" s="159" t="str">
        <f>IF(R$3="","",IF(COUNTIFS(BD!$A$3:$A$5001,R$3,BD!$B$3:$B$5001,$A$374,BD!$L$3:$L$5001,"&lt;&gt;")=0,"",SUMIFS(BD!$L$3:$L$5001,BD!$A$3:$A$5001,R$3,BD!$B$3:$B$5001,$A$374)))</f>
        <v/>
      </c>
      <c r="S383" s="159" t="str">
        <f>IF(S$3="","",IF(COUNTIFS(BD!$A$3:$A$5001,S$3,BD!$B$3:$B$5001,$A$374,BD!$L$3:$L$5001,"&lt;&gt;")=0,"",SUMIFS(BD!$L$3:$L$5001,BD!$A$3:$A$5001,S$3,BD!$B$3:$B$5001,$A$374)))</f>
        <v/>
      </c>
      <c r="T383" s="159" t="str">
        <f>IF(T$3="","",IF(COUNTIFS(BD!$A$3:$A$5001,T$3,BD!$B$3:$B$5001,$A$374,BD!$L$3:$L$5001,"&lt;&gt;")=0,"",SUMIFS(BD!$L$3:$L$5001,BD!$A$3:$A$5001,T$3,BD!$B$3:$B$5001,$A$374)))</f>
        <v/>
      </c>
      <c r="U383" s="159" t="str">
        <f>IF(U$3="","",IF(COUNTIFS(BD!$A$3:$A$5001,U$3,BD!$B$3:$B$5001,$A$374,BD!$L$3:$L$5001,"&lt;&gt;")=0,"",SUMIFS(BD!$L$3:$L$5001,BD!$A$3:$A$5001,U$3,BD!$B$3:$B$5001,$A$374)))</f>
        <v/>
      </c>
      <c r="V383" s="159" t="str">
        <f>IF(V$3="","",IF(COUNTIFS(BD!$A$3:$A$5001,V$3,BD!$B$3:$B$5001,$A$374,BD!$L$3:$L$5001,"&lt;&gt;")=0,"",SUMIFS(BD!$L$3:$L$5001,BD!$A$3:$A$5001,V$3,BD!$B$3:$B$5001,$A$374)))</f>
        <v/>
      </c>
      <c r="W383" s="159" t="str">
        <f>IF(W$3="","",IF(COUNTIFS(BD!$A$3:$A$5001,W$3,BD!$B$3:$B$5001,$A$374,BD!$L$3:$L$5001,"&lt;&gt;")=0,"",SUMIFS(BD!$L$3:$L$5001,BD!$A$3:$A$5001,W$3,BD!$B$3:$B$5001,$A$374)))</f>
        <v/>
      </c>
      <c r="X383" s="159" t="str">
        <f>IF(X$3="","",IF(COUNTIFS(BD!$A$3:$A$5001,X$3,BD!$B$3:$B$5001,$A$374,BD!$L$3:$L$5001,"&lt;&gt;")=0,"",SUMIFS(BD!$L$3:$L$5001,BD!$A$3:$A$5001,X$3,BD!$B$3:$B$5001,$A$374)))</f>
        <v/>
      </c>
      <c r="Y383" s="159" t="str">
        <f>IF(Y$3="","",IF(COUNTIFS(BD!$A$3:$A$5001,Y$3,BD!$B$3:$B$5001,$A$374,BD!$L$3:$L$5001,"&lt;&gt;")=0,"",SUMIFS(BD!$L$3:$L$5001,BD!$A$3:$A$5001,Y$3,BD!$B$3:$B$5001,$A$374)))</f>
        <v/>
      </c>
      <c r="Z383" s="159" t="str">
        <f>IF(Z$3="","",IF(COUNTIFS(BD!$A$3:$A$5001,Z$3,BD!$B$3:$B$5001,$A$374,BD!$L$3:$L$5001,"&lt;&gt;")=0,"",SUMIFS(BD!$L$3:$L$5001,BD!$A$3:$A$5001,Z$3,BD!$B$3:$B$5001,$A$374)))</f>
        <v/>
      </c>
      <c r="AA383" s="159" t="str">
        <f>IF(AA$3="","",IF(COUNTIFS(BD!$A$3:$A$5001,AA$3,BD!$B$3:$B$5001,$A$374,BD!$L$3:$L$5001,"&lt;&gt;")=0,"",SUMIFS(BD!$L$3:$L$5001,BD!$A$3:$A$5001,AA$3,BD!$B$3:$B$5001,$A$374)))</f>
        <v/>
      </c>
      <c r="AB383" s="159" t="str">
        <f>IF(AB$3="","",IF(COUNTIFS(BD!$A$3:$A$5001,AB$3,BD!$B$3:$B$5001,$A$374,BD!$L$3:$L$5001,"&lt;&gt;")=0,"",SUMIFS(BD!$L$3:$L$5001,BD!$A$3:$A$5001,AB$3,BD!$B$3:$B$5001,$A$374)))</f>
        <v/>
      </c>
      <c r="AC383" s="159" t="str">
        <f>IF(AC$3="","",IF(COUNTIFS(BD!$A$3:$A$5001,AC$3,BD!$B$3:$B$5001,$A$374,BD!$L$3:$L$5001,"&lt;&gt;")=0,"",SUMIFS(BD!$L$3:$L$5001,BD!$A$3:$A$5001,AC$3,BD!$B$3:$B$5001,$A$374)))</f>
        <v/>
      </c>
      <c r="AD383" s="159" t="str">
        <f>IF(AD$3="","",IF(COUNTIFS(BD!$A$3:$A$5001,AD$3,BD!$B$3:$B$5001,$A$374,BD!$L$3:$L$5001,"&lt;&gt;")=0,"",SUMIFS(BD!$L$3:$L$5001,BD!$A$3:$A$5001,AD$3,BD!$B$3:$B$5001,$A$374)))</f>
        <v/>
      </c>
      <c r="AE383" s="159" t="str">
        <f>IF(AE$3="","",IF(COUNTIFS(BD!$A$3:$A$5001,AE$3,BD!$B$3:$B$5001,$A$374,BD!$L$3:$L$5001,"&lt;&gt;")=0,"",SUMIFS(BD!$L$3:$L$5001,BD!$A$3:$A$5001,AE$3,BD!$B$3:$B$5001,$A$374)))</f>
        <v/>
      </c>
      <c r="AF383" s="159" t="str">
        <f>IF(AF$3="","",IF(COUNTIFS(BD!$A$3:$A$5001,AF$3,BD!$B$3:$B$5001,$A$374,BD!$L$3:$L$5001,"&lt;&gt;")=0,"",SUMIFS(BD!$L$3:$L$5001,BD!$A$3:$A$5001,AF$3,BD!$B$3:$B$5001,$A$374)))</f>
        <v/>
      </c>
      <c r="AG383" s="159" t="str">
        <f>IF(AG$3="","",IF(COUNTIFS(BD!$A$3:$A$5001,AG$3,BD!$B$3:$B$5001,$A$374,BD!$L$3:$L$5001,"&lt;&gt;")=0,"",SUMIFS(BD!$L$3:$L$5001,BD!$A$3:$A$5001,AG$3,BD!$B$3:$B$5001,$A$374)))</f>
        <v/>
      </c>
      <c r="AH383" s="159" t="str">
        <f>IF(AH$3="","",IF(COUNTIFS(BD!$A$3:$A$5001,AH$3,BD!$B$3:$B$5001,$A$374,BD!$L$3:$L$5001,"&lt;&gt;")=0,"",SUMIFS(BD!$L$3:$L$5001,BD!$A$3:$A$5001,AH$3,BD!$B$3:$B$5001,$A$374)))</f>
        <v/>
      </c>
      <c r="AI383" s="159" t="str">
        <f>IF(AI$3="","",IF(COUNTIFS(BD!$A$3:$A$5001,AI$3,BD!$B$3:$B$5001,$A$374,BD!$L$3:$L$5001,"&lt;&gt;")=0,"",SUMIFS(BD!$L$3:$L$5001,BD!$A$3:$A$5001,AI$3,BD!$B$3:$B$5001,$A$374)))</f>
        <v/>
      </c>
      <c r="AJ383" s="160" t="str">
        <f>IF(AJ$3="","",IF(COUNTIFS(BD!$A$3:$A$5001,AJ$3,BD!$B$3:$B$5001,$A$374,BD!$L$3:$L$5001,"&lt;&gt;")=0,"",SUMIFS(BD!$L$3:$L$5001,BD!$A$3:$A$5001,AJ$3,BD!$B$3:$B$5001,$A$374)))</f>
        <v/>
      </c>
      <c r="AK383" s="161" t="str">
        <f>IF(COUNT(F383:AJ383)&gt;0,LOOKUP(9.99E+307,F383:AJ383),IFERROR(IF(INDEX(BD!$V$3:$V$5001,MATCH($A$374,BD!$B$3:$B$5001,0))&amp;""="Contrato","",INDEX(BD!$V$3:$V$5001,MATCH($A$374,BD!$B$3:$B$5001,0))&amp;""),""))</f>
        <v/>
      </c>
    </row>
    <row r="384" ht="15.75" customHeight="1" hidden="1">
      <c r="A384" s="254"/>
      <c r="B384" s="242"/>
      <c r="C384" s="162" t="inlineStr">
        <is>
          <t xml:space="preserve">Posições Ocupadas</t>
        </is>
      </c>
      <c r="D384" s="163" t="str">
        <f>IFERROR(1/(1/INDEX(BD!$Y$33:$AS$33,MATCH($A$374,BD!$Y$22:$AS$22,0))),"")</f>
        <v/>
      </c>
      <c r="E384" s="164"/>
      <c r="F384" s="165" t="str">
        <f>IF(F$3="","",IF(COUNTIFS(BD!$A$3:$A$5001,F$3,BD!$B$3:$B$5001,$A$374,BD!$M$3:$M$5001,"&lt;&gt;")=0,"",SUMIFS(BD!$M$3:$M$5001,BD!$A$3:$A$5001,F$3,BD!$B$3:$B$5001,$A$374)))</f>
        <v/>
      </c>
      <c r="G384" s="166" t="str">
        <f>IF(G$3="","",IF(COUNTIFS(BD!$A$3:$A$5001,G$3,BD!$B$3:$B$5001,$A$374,BD!$M$3:$M$5001,"&lt;&gt;")=0,"",SUMIFS(BD!$M$3:$M$5001,BD!$A$3:$A$5001,G$3,BD!$B$3:$B$5001,$A$374)))</f>
        <v/>
      </c>
      <c r="H384" s="166" t="str">
        <f>IF(H$3="","",IF(COUNTIFS(BD!$A$3:$A$5001,H$3,BD!$B$3:$B$5001,$A$374,BD!$M$3:$M$5001,"&lt;&gt;")=0,"",SUMIFS(BD!$M$3:$M$5001,BD!$A$3:$A$5001,H$3,BD!$B$3:$B$5001,$A$374)))</f>
        <v/>
      </c>
      <c r="I384" s="166" t="str">
        <f>IF(I$3="","",IF(COUNTIFS(BD!$A$3:$A$5001,I$3,BD!$B$3:$B$5001,$A$374,BD!$M$3:$M$5001,"&lt;&gt;")=0,"",SUMIFS(BD!$M$3:$M$5001,BD!$A$3:$A$5001,I$3,BD!$B$3:$B$5001,$A$374)))</f>
        <v/>
      </c>
      <c r="J384" s="166" t="str">
        <f>IF(J$3="","",IF(COUNTIFS(BD!$A$3:$A$5001,J$3,BD!$B$3:$B$5001,$A$374,BD!$M$3:$M$5001,"&lt;&gt;")=0,"",SUMIFS(BD!$M$3:$M$5001,BD!$A$3:$A$5001,J$3,BD!$B$3:$B$5001,$A$374)))</f>
        <v/>
      </c>
      <c r="K384" s="166" t="str">
        <f>IF(K$3="","",IF(COUNTIFS(BD!$A$3:$A$5001,K$3,BD!$B$3:$B$5001,$A$374,BD!$M$3:$M$5001,"&lt;&gt;")=0,"",SUMIFS(BD!$M$3:$M$5001,BD!$A$3:$A$5001,K$3,BD!$B$3:$B$5001,$A$374)))</f>
        <v/>
      </c>
      <c r="L384" s="166" t="str">
        <f>IF(L$3="","",IF(COUNTIFS(BD!$A$3:$A$5001,L$3,BD!$B$3:$B$5001,$A$374,BD!$M$3:$M$5001,"&lt;&gt;")=0,"",SUMIFS(BD!$M$3:$M$5001,BD!$A$3:$A$5001,L$3,BD!$B$3:$B$5001,$A$374)))</f>
        <v/>
      </c>
      <c r="M384" s="166" t="str">
        <f>IF(M$3="","",IF(COUNTIFS(BD!$A$3:$A$5001,M$3,BD!$B$3:$B$5001,$A$374,BD!$M$3:$M$5001,"&lt;&gt;")=0,"",SUMIFS(BD!$M$3:$M$5001,BD!$A$3:$A$5001,M$3,BD!$B$3:$B$5001,$A$374)))</f>
        <v/>
      </c>
      <c r="N384" s="166" t="str">
        <f>IF(N$3="","",IF(COUNTIFS(BD!$A$3:$A$5001,N$3,BD!$B$3:$B$5001,$A$374,BD!$M$3:$M$5001,"&lt;&gt;")=0,"",SUMIFS(BD!$M$3:$M$5001,BD!$A$3:$A$5001,N$3,BD!$B$3:$B$5001,$A$374)))</f>
        <v/>
      </c>
      <c r="O384" s="166" t="str">
        <f>IF(O$3="","",IF(COUNTIFS(BD!$A$3:$A$5001,O$3,BD!$B$3:$B$5001,$A$374,BD!$M$3:$M$5001,"&lt;&gt;")=0,"",SUMIFS(BD!$M$3:$M$5001,BD!$A$3:$A$5001,O$3,BD!$B$3:$B$5001,$A$374)))</f>
        <v/>
      </c>
      <c r="P384" s="166" t="str">
        <f>IF(P$3="","",IF(COUNTIFS(BD!$A$3:$A$5001,P$3,BD!$B$3:$B$5001,$A$374,BD!$M$3:$M$5001,"&lt;&gt;")=0,"",SUMIFS(BD!$M$3:$M$5001,BD!$A$3:$A$5001,P$3,BD!$B$3:$B$5001,$A$374)))</f>
        <v/>
      </c>
      <c r="Q384" s="166" t="str">
        <f>IF(Q$3="","",IF(COUNTIFS(BD!$A$3:$A$5001,Q$3,BD!$B$3:$B$5001,$A$374,BD!$M$3:$M$5001,"&lt;&gt;")=0,"",SUMIFS(BD!$M$3:$M$5001,BD!$A$3:$A$5001,Q$3,BD!$B$3:$B$5001,$A$374)))</f>
        <v/>
      </c>
      <c r="R384" s="166" t="str">
        <f>IF(R$3="","",IF(COUNTIFS(BD!$A$3:$A$5001,R$3,BD!$B$3:$B$5001,$A$374,BD!$M$3:$M$5001,"&lt;&gt;")=0,"",SUMIFS(BD!$M$3:$M$5001,BD!$A$3:$A$5001,R$3,BD!$B$3:$B$5001,$A$374)))</f>
        <v/>
      </c>
      <c r="S384" s="166" t="str">
        <f>IF(S$3="","",IF(COUNTIFS(BD!$A$3:$A$5001,S$3,BD!$B$3:$B$5001,$A$374,BD!$M$3:$M$5001,"&lt;&gt;")=0,"",SUMIFS(BD!$M$3:$M$5001,BD!$A$3:$A$5001,S$3,BD!$B$3:$B$5001,$A$374)))</f>
        <v/>
      </c>
      <c r="T384" s="166" t="str">
        <f>IF(T$3="","",IF(COUNTIFS(BD!$A$3:$A$5001,T$3,BD!$B$3:$B$5001,$A$374,BD!$M$3:$M$5001,"&lt;&gt;")=0,"",SUMIFS(BD!$M$3:$M$5001,BD!$A$3:$A$5001,T$3,BD!$B$3:$B$5001,$A$374)))</f>
        <v/>
      </c>
      <c r="U384" s="166" t="str">
        <f>IF(U$3="","",IF(COUNTIFS(BD!$A$3:$A$5001,U$3,BD!$B$3:$B$5001,$A$374,BD!$M$3:$M$5001,"&lt;&gt;")=0,"",SUMIFS(BD!$M$3:$M$5001,BD!$A$3:$A$5001,U$3,BD!$B$3:$B$5001,$A$374)))</f>
        <v/>
      </c>
      <c r="V384" s="166" t="str">
        <f>IF(V$3="","",IF(COUNTIFS(BD!$A$3:$A$5001,V$3,BD!$B$3:$B$5001,$A$374,BD!$M$3:$M$5001,"&lt;&gt;")=0,"",SUMIFS(BD!$M$3:$M$5001,BD!$A$3:$A$5001,V$3,BD!$B$3:$B$5001,$A$374)))</f>
        <v/>
      </c>
      <c r="W384" s="166" t="str">
        <f>IF(W$3="","",IF(COUNTIFS(BD!$A$3:$A$5001,W$3,BD!$B$3:$B$5001,$A$374,BD!$M$3:$M$5001,"&lt;&gt;")=0,"",SUMIFS(BD!$M$3:$M$5001,BD!$A$3:$A$5001,W$3,BD!$B$3:$B$5001,$A$374)))</f>
        <v/>
      </c>
      <c r="X384" s="166" t="str">
        <f>IF(X$3="","",IF(COUNTIFS(BD!$A$3:$A$5001,X$3,BD!$B$3:$B$5001,$A$374,BD!$M$3:$M$5001,"&lt;&gt;")=0,"",SUMIFS(BD!$M$3:$M$5001,BD!$A$3:$A$5001,X$3,BD!$B$3:$B$5001,$A$374)))</f>
        <v/>
      </c>
      <c r="Y384" s="166" t="str">
        <f>IF(Y$3="","",IF(COUNTIFS(BD!$A$3:$A$5001,Y$3,BD!$B$3:$B$5001,$A$374,BD!$M$3:$M$5001,"&lt;&gt;")=0,"",SUMIFS(BD!$M$3:$M$5001,BD!$A$3:$A$5001,Y$3,BD!$B$3:$B$5001,$A$374)))</f>
        <v/>
      </c>
      <c r="Z384" s="166" t="str">
        <f>IF(Z$3="","",IF(COUNTIFS(BD!$A$3:$A$5001,Z$3,BD!$B$3:$B$5001,$A$374,BD!$M$3:$M$5001,"&lt;&gt;")=0,"",SUMIFS(BD!$M$3:$M$5001,BD!$A$3:$A$5001,Z$3,BD!$B$3:$B$5001,$A$374)))</f>
        <v/>
      </c>
      <c r="AA384" s="166" t="str">
        <f>IF(AA$3="","",IF(COUNTIFS(BD!$A$3:$A$5001,AA$3,BD!$B$3:$B$5001,$A$374,BD!$M$3:$M$5001,"&lt;&gt;")=0,"",SUMIFS(BD!$M$3:$M$5001,BD!$A$3:$A$5001,AA$3,BD!$B$3:$B$5001,$A$374)))</f>
        <v/>
      </c>
      <c r="AB384" s="166" t="str">
        <f>IF(AB$3="","",IF(COUNTIFS(BD!$A$3:$A$5001,AB$3,BD!$B$3:$B$5001,$A$374,BD!$M$3:$M$5001,"&lt;&gt;")=0,"",SUMIFS(BD!$M$3:$M$5001,BD!$A$3:$A$5001,AB$3,BD!$B$3:$B$5001,$A$374)))</f>
        <v/>
      </c>
      <c r="AC384" s="166" t="str">
        <f>IF(AC$3="","",IF(COUNTIFS(BD!$A$3:$A$5001,AC$3,BD!$B$3:$B$5001,$A$374,BD!$M$3:$M$5001,"&lt;&gt;")=0,"",SUMIFS(BD!$M$3:$M$5001,BD!$A$3:$A$5001,AC$3,BD!$B$3:$B$5001,$A$374)))</f>
        <v/>
      </c>
      <c r="AD384" s="166" t="str">
        <f>IF(AD$3="","",IF(COUNTIFS(BD!$A$3:$A$5001,AD$3,BD!$B$3:$B$5001,$A$374,BD!$M$3:$M$5001,"&lt;&gt;")=0,"",SUMIFS(BD!$M$3:$M$5001,BD!$A$3:$A$5001,AD$3,BD!$B$3:$B$5001,$A$374)))</f>
        <v/>
      </c>
      <c r="AE384" s="166" t="str">
        <f>IF(AE$3="","",IF(COUNTIFS(BD!$A$3:$A$5001,AE$3,BD!$B$3:$B$5001,$A$374,BD!$M$3:$M$5001,"&lt;&gt;")=0,"",SUMIFS(BD!$M$3:$M$5001,BD!$A$3:$A$5001,AE$3,BD!$B$3:$B$5001,$A$374)))</f>
        <v/>
      </c>
      <c r="AF384" s="166" t="str">
        <f>IF(AF$3="","",IF(COUNTIFS(BD!$A$3:$A$5001,AF$3,BD!$B$3:$B$5001,$A$374,BD!$M$3:$M$5001,"&lt;&gt;")=0,"",SUMIFS(BD!$M$3:$M$5001,BD!$A$3:$A$5001,AF$3,BD!$B$3:$B$5001,$A$374)))</f>
        <v/>
      </c>
      <c r="AG384" s="166" t="str">
        <f>IF(AG$3="","",IF(COUNTIFS(BD!$A$3:$A$5001,AG$3,BD!$B$3:$B$5001,$A$374,BD!$M$3:$M$5001,"&lt;&gt;")=0,"",SUMIFS(BD!$M$3:$M$5001,BD!$A$3:$A$5001,AG$3,BD!$B$3:$B$5001,$A$374)))</f>
        <v/>
      </c>
      <c r="AH384" s="166" t="str">
        <f>IF(AH$3="","",IF(COUNTIFS(BD!$A$3:$A$5001,AH$3,BD!$B$3:$B$5001,$A$374,BD!$M$3:$M$5001,"&lt;&gt;")=0,"",SUMIFS(BD!$M$3:$M$5001,BD!$A$3:$A$5001,AH$3,BD!$B$3:$B$5001,$A$374)))</f>
        <v/>
      </c>
      <c r="AI384" s="166" t="str">
        <f>IF(AI$3="","",IF(COUNTIFS(BD!$A$3:$A$5001,AI$3,BD!$B$3:$B$5001,$A$374,BD!$M$3:$M$5001,"&lt;&gt;")=0,"",SUMIFS(BD!$M$3:$M$5001,BD!$A$3:$A$5001,AI$3,BD!$B$3:$B$5001,$A$374)))</f>
        <v/>
      </c>
      <c r="AJ384" s="167" t="str">
        <f>IF(AJ$3="","",IF(COUNTIFS(BD!$A$3:$A$5001,AJ$3,BD!$B$3:$B$5001,$A$374,BD!$M$3:$M$5001,"&lt;&gt;")=0,"",SUMIFS(BD!$M$3:$M$5001,BD!$A$3:$A$5001,AJ$3,BD!$B$3:$B$5001,$A$374)))</f>
        <v/>
      </c>
      <c r="AK384" s="168" t="str">
        <f>IFERROR(LOOKUP(9.99E+307,F384:AJ384),"")</f>
        <v/>
      </c>
    </row>
    <row r="385" ht="15.75" customHeight="1" hidden="1">
      <c r="A385" s="254"/>
      <c r="B385" s="243"/>
      <c r="C385" s="169" t="inlineStr">
        <is>
          <t xml:space="preserve">Taxa de Ocupação</t>
        </is>
      </c>
      <c r="D385" s="217" t="str">
        <f>IFERROR(1/(1/INDEX(BD!$Y$34:$AS$34,MATCH($A$374,BD!$Y$22:$AS$22,0))),"")</f>
        <v/>
      </c>
      <c r="E385" s="171"/>
      <c r="F385" s="218" t="str">
        <f>IF(AND(ISNUMBER(F383),ISNUMBER(F384)),IF(F383&gt;0,F384/F383,""),"")</f>
        <v/>
      </c>
      <c r="G385" s="219" t="str">
        <f>IF(AND(ISNUMBER(G383),ISNUMBER(G384)),IF(G383&gt;0,G384/G383,""),"")</f>
        <v/>
      </c>
      <c r="H385" s="219" t="str">
        <f>IF(AND(ISNUMBER(H383),ISNUMBER(H384)),IF(H383&gt;0,H384/H383,""),"")</f>
        <v/>
      </c>
      <c r="I385" s="219" t="str">
        <f>IF(AND(ISNUMBER(I383),ISNUMBER(I384)),IF(I383&gt;0,I384/I383,""),"")</f>
        <v/>
      </c>
      <c r="J385" s="219" t="str">
        <f>IF(AND(ISNUMBER(J383),ISNUMBER(J384)),IF(J383&gt;0,J384/J383,""),"")</f>
        <v/>
      </c>
      <c r="K385" s="219" t="str">
        <f>IF(AND(ISNUMBER(K383),ISNUMBER(K384)),IF(K383&gt;0,K384/K383,""),"")</f>
        <v/>
      </c>
      <c r="L385" s="219" t="str">
        <f>IF(AND(ISNUMBER(L383),ISNUMBER(L384)),IF(L383&gt;0,L384/L383,""),"")</f>
        <v/>
      </c>
      <c r="M385" s="219" t="str">
        <f>IF(AND(ISNUMBER(M383),ISNUMBER(M384)),IF(M383&gt;0,M384/M383,""),"")</f>
        <v/>
      </c>
      <c r="N385" s="219" t="str">
        <f>IF(AND(ISNUMBER(N383),ISNUMBER(N384)),IF(N383&gt;0,N384/N383,""),"")</f>
        <v/>
      </c>
      <c r="O385" s="219" t="str">
        <f>IF(AND(ISNUMBER(O383),ISNUMBER(O384)),IF(O383&gt;0,O384/O383,""),"")</f>
        <v/>
      </c>
      <c r="P385" s="219" t="str">
        <f>IF(AND(ISNUMBER(P383),ISNUMBER(P384)),IF(P383&gt;0,P384/P383,""),"")</f>
        <v/>
      </c>
      <c r="Q385" s="219" t="str">
        <f>IF(AND(ISNUMBER(Q383),ISNUMBER(Q384)),IF(Q383&gt;0,Q384/Q383,""),"")</f>
        <v/>
      </c>
      <c r="R385" s="219" t="str">
        <f>IF(AND(ISNUMBER(R383),ISNUMBER(R384)),IF(R383&gt;0,R384/R383,""),"")</f>
        <v/>
      </c>
      <c r="S385" s="219" t="str">
        <f>IF(AND(ISNUMBER(S383),ISNUMBER(S384)),IF(S383&gt;0,S384/S383,""),"")</f>
        <v/>
      </c>
      <c r="T385" s="219" t="str">
        <f>IF(AND(ISNUMBER(T383),ISNUMBER(T384)),IF(T383&gt;0,T384/T383,""),"")</f>
        <v/>
      </c>
      <c r="U385" s="219" t="str">
        <f>IF(AND(ISNUMBER(U383),ISNUMBER(U384)),IF(U383&gt;0,U384/U383,""),"")</f>
        <v/>
      </c>
      <c r="V385" s="219" t="str">
        <f>IF(AND(ISNUMBER(V383),ISNUMBER(V384)),IF(V383&gt;0,V384/V383,""),"")</f>
        <v/>
      </c>
      <c r="W385" s="219" t="str">
        <f>IF(AND(ISNUMBER(W383),ISNUMBER(W384)),IF(W383&gt;0,W384/W383,""),"")</f>
        <v/>
      </c>
      <c r="X385" s="219" t="str">
        <f>IF(AND(ISNUMBER(X383),ISNUMBER(X384)),IF(X383&gt;0,X384/X383,""),"")</f>
        <v/>
      </c>
      <c r="Y385" s="219" t="str">
        <f>IF(AND(ISNUMBER(Y383),ISNUMBER(Y384)),IF(Y383&gt;0,Y384/Y383,""),"")</f>
        <v/>
      </c>
      <c r="Z385" s="219" t="str">
        <f>IF(AND(ISNUMBER(Z383),ISNUMBER(Z384)),IF(Z383&gt;0,Z384/Z383,""),"")</f>
        <v/>
      </c>
      <c r="AA385" s="219" t="str">
        <f>IF(AND(ISNUMBER(AA383),ISNUMBER(AA384)),IF(AA383&gt;0,AA384/AA383,""),"")</f>
        <v/>
      </c>
      <c r="AB385" s="219" t="str">
        <f>IF(AND(ISNUMBER(AB383),ISNUMBER(AB384)),IF(AB383&gt;0,AB384/AB383,""),"")</f>
        <v/>
      </c>
      <c r="AC385" s="219" t="str">
        <f>IF(AND(ISNUMBER(AC383),ISNUMBER(AC384)),IF(AC383&gt;0,AC384/AC383,""),"")</f>
        <v/>
      </c>
      <c r="AD385" s="219" t="str">
        <f>IF(AND(ISNUMBER(AD383),ISNUMBER(AD384)),IF(AD383&gt;0,AD384/AD383,""),"")</f>
        <v/>
      </c>
      <c r="AE385" s="219" t="str">
        <f>IF(AND(ISNUMBER(AE383),ISNUMBER(AE384)),IF(AE383&gt;0,AE384/AE383,""),"")</f>
        <v/>
      </c>
      <c r="AF385" s="219" t="str">
        <f>IF(AND(ISNUMBER(AF383),ISNUMBER(AF384)),IF(AF383&gt;0,AF384/AF383,""),"")</f>
        <v/>
      </c>
      <c r="AG385" s="219" t="str">
        <f>IF(AND(ISNUMBER(AG383),ISNUMBER(AG384)),IF(AG383&gt;0,AG384/AG383,""),"")</f>
        <v/>
      </c>
      <c r="AH385" s="219" t="str">
        <f>IF(AND(ISNUMBER(AH383),ISNUMBER(AH384)),IF(AH383&gt;0,AH384/AH383,""),"")</f>
        <v/>
      </c>
      <c r="AI385" s="219" t="str">
        <f>IF(AND(ISNUMBER(AI383),ISNUMBER(AI384)),IF(AI383&gt;0,AI384/AI383,""),"")</f>
        <v/>
      </c>
      <c r="AJ385" s="220" t="str">
        <f>IF(AND(ISNUMBER(AJ383),ISNUMBER(AJ384)),IF(AJ383&gt;0,AJ384/AJ383,""),"")</f>
        <v/>
      </c>
      <c r="AK385" s="217" t="str">
        <f>IF(AND(ISNUMBER(AK383),ISNUMBER(AK384)),IF(AK383&gt;0,AK384/AK383,""),"")</f>
        <v/>
      </c>
    </row>
    <row r="386" ht="15.75" customHeight="1" hidden="1">
      <c r="A386" s="254"/>
      <c r="B386" s="250" t="inlineStr">
        <is>
          <t xml:space="preserve">GENTE</t>
        </is>
      </c>
      <c r="C386" s="221" t="inlineStr">
        <is>
          <t xml:space="preserve">Efetivo Op.</t>
        </is>
      </c>
      <c r="D386" s="222" t="str">
        <f>IFERROR(1/(1/INDEX(BD!$Y$35:$AS$35,MATCH($A$374,BD!$Y$22:$AS$22,0))),"")</f>
        <v/>
      </c>
      <c r="E386" s="223"/>
      <c r="F386" s="224" t="str">
        <f>IF(F$3="","",IF(COUNTIFS(BD!$A$3:$A$5001,F$3,BD!$B$3:$B$5001,$A$374,BD!$N$3:$N$5001,"&lt;&gt;")=0,"",SUMIFS(BD!$N$3:$N$5001,BD!$A$3:$A$5001,F$3,BD!$B$3:$B$5001,$A$374)))</f>
        <v/>
      </c>
      <c r="G386" s="225" t="str">
        <f>IF(G$3="","",IF(COUNTIFS(BD!$A$3:$A$5001,G$3,BD!$B$3:$B$5001,$A$374,BD!$N$3:$N$5001,"&lt;&gt;")=0,"",SUMIFS(BD!$N$3:$N$5001,BD!$A$3:$A$5001,G$3,BD!$B$3:$B$5001,$A$374)))</f>
        <v/>
      </c>
      <c r="H386" s="225" t="str">
        <f>IF(H$3="","",IF(COUNTIFS(BD!$A$3:$A$5001,H$3,BD!$B$3:$B$5001,$A$374,BD!$N$3:$N$5001,"&lt;&gt;")=0,"",SUMIFS(BD!$N$3:$N$5001,BD!$A$3:$A$5001,H$3,BD!$B$3:$B$5001,$A$374)))</f>
        <v/>
      </c>
      <c r="I386" s="225" t="str">
        <f>IF(I$3="","",IF(COUNTIFS(BD!$A$3:$A$5001,I$3,BD!$B$3:$B$5001,$A$374,BD!$N$3:$N$5001,"&lt;&gt;")=0,"",SUMIFS(BD!$N$3:$N$5001,BD!$A$3:$A$5001,I$3,BD!$B$3:$B$5001,$A$374)))</f>
        <v/>
      </c>
      <c r="J386" s="225" t="str">
        <f>IF(J$3="","",IF(COUNTIFS(BD!$A$3:$A$5001,J$3,BD!$B$3:$B$5001,$A$374,BD!$N$3:$N$5001,"&lt;&gt;")=0,"",SUMIFS(BD!$N$3:$N$5001,BD!$A$3:$A$5001,J$3,BD!$B$3:$B$5001,$A$374)))</f>
        <v/>
      </c>
      <c r="K386" s="225" t="str">
        <f>IF(K$3="","",IF(COUNTIFS(BD!$A$3:$A$5001,K$3,BD!$B$3:$B$5001,$A$374,BD!$N$3:$N$5001,"&lt;&gt;")=0,"",SUMIFS(BD!$N$3:$N$5001,BD!$A$3:$A$5001,K$3,BD!$B$3:$B$5001,$A$374)))</f>
        <v/>
      </c>
      <c r="L386" s="225" t="str">
        <f>IF(L$3="","",IF(COUNTIFS(BD!$A$3:$A$5001,L$3,BD!$B$3:$B$5001,$A$374,BD!$N$3:$N$5001,"&lt;&gt;")=0,"",SUMIFS(BD!$N$3:$N$5001,BD!$A$3:$A$5001,L$3,BD!$B$3:$B$5001,$A$374)))</f>
        <v/>
      </c>
      <c r="M386" s="225" t="str">
        <f>IF(M$3="","",IF(COUNTIFS(BD!$A$3:$A$5001,M$3,BD!$B$3:$B$5001,$A$374,BD!$N$3:$N$5001,"&lt;&gt;")=0,"",SUMIFS(BD!$N$3:$N$5001,BD!$A$3:$A$5001,M$3,BD!$B$3:$B$5001,$A$374)))</f>
        <v/>
      </c>
      <c r="N386" s="225" t="str">
        <f>IF(N$3="","",IF(COUNTIFS(BD!$A$3:$A$5001,N$3,BD!$B$3:$B$5001,$A$374,BD!$N$3:$N$5001,"&lt;&gt;")=0,"",SUMIFS(BD!$N$3:$N$5001,BD!$A$3:$A$5001,N$3,BD!$B$3:$B$5001,$A$374)))</f>
        <v/>
      </c>
      <c r="O386" s="225" t="str">
        <f>IF(O$3="","",IF(COUNTIFS(BD!$A$3:$A$5001,O$3,BD!$B$3:$B$5001,$A$374,BD!$N$3:$N$5001,"&lt;&gt;")=0,"",SUMIFS(BD!$N$3:$N$5001,BD!$A$3:$A$5001,O$3,BD!$B$3:$B$5001,$A$374)))</f>
        <v/>
      </c>
      <c r="P386" s="225" t="str">
        <f>IF(P$3="","",IF(COUNTIFS(BD!$A$3:$A$5001,P$3,BD!$B$3:$B$5001,$A$374,BD!$N$3:$N$5001,"&lt;&gt;")=0,"",SUMIFS(BD!$N$3:$N$5001,BD!$A$3:$A$5001,P$3,BD!$B$3:$B$5001,$A$374)))</f>
        <v/>
      </c>
      <c r="Q386" s="225" t="str">
        <f>IF(Q$3="","",IF(COUNTIFS(BD!$A$3:$A$5001,Q$3,BD!$B$3:$B$5001,$A$374,BD!$N$3:$N$5001,"&lt;&gt;")=0,"",SUMIFS(BD!$N$3:$N$5001,BD!$A$3:$A$5001,Q$3,BD!$B$3:$B$5001,$A$374)))</f>
        <v/>
      </c>
      <c r="R386" s="225" t="str">
        <f>IF(R$3="","",IF(COUNTIFS(BD!$A$3:$A$5001,R$3,BD!$B$3:$B$5001,$A$374,BD!$N$3:$N$5001,"&lt;&gt;")=0,"",SUMIFS(BD!$N$3:$N$5001,BD!$A$3:$A$5001,R$3,BD!$B$3:$B$5001,$A$374)))</f>
        <v/>
      </c>
      <c r="S386" s="225" t="str">
        <f>IF(S$3="","",IF(COUNTIFS(BD!$A$3:$A$5001,S$3,BD!$B$3:$B$5001,$A$374,BD!$N$3:$N$5001,"&lt;&gt;")=0,"",SUMIFS(BD!$N$3:$N$5001,BD!$A$3:$A$5001,S$3,BD!$B$3:$B$5001,$A$374)))</f>
        <v/>
      </c>
      <c r="T386" s="225" t="str">
        <f>IF(T$3="","",IF(COUNTIFS(BD!$A$3:$A$5001,T$3,BD!$B$3:$B$5001,$A$374,BD!$N$3:$N$5001,"&lt;&gt;")=0,"",SUMIFS(BD!$N$3:$N$5001,BD!$A$3:$A$5001,T$3,BD!$B$3:$B$5001,$A$374)))</f>
        <v/>
      </c>
      <c r="U386" s="225" t="str">
        <f>IF(U$3="","",IF(COUNTIFS(BD!$A$3:$A$5001,U$3,BD!$B$3:$B$5001,$A$374,BD!$N$3:$N$5001,"&lt;&gt;")=0,"",SUMIFS(BD!$N$3:$N$5001,BD!$A$3:$A$5001,U$3,BD!$B$3:$B$5001,$A$374)))</f>
        <v/>
      </c>
      <c r="V386" s="225" t="str">
        <f>IF(V$3="","",IF(COUNTIFS(BD!$A$3:$A$5001,V$3,BD!$B$3:$B$5001,$A$374,BD!$N$3:$N$5001,"&lt;&gt;")=0,"",SUMIFS(BD!$N$3:$N$5001,BD!$A$3:$A$5001,V$3,BD!$B$3:$B$5001,$A$374)))</f>
        <v/>
      </c>
      <c r="W386" s="225" t="str">
        <f>IF(W$3="","",IF(COUNTIFS(BD!$A$3:$A$5001,W$3,BD!$B$3:$B$5001,$A$374,BD!$N$3:$N$5001,"&lt;&gt;")=0,"",SUMIFS(BD!$N$3:$N$5001,BD!$A$3:$A$5001,W$3,BD!$B$3:$B$5001,$A$374)))</f>
        <v/>
      </c>
      <c r="X386" s="225" t="str">
        <f>IF(X$3="","",IF(COUNTIFS(BD!$A$3:$A$5001,X$3,BD!$B$3:$B$5001,$A$374,BD!$N$3:$N$5001,"&lt;&gt;")=0,"",SUMIFS(BD!$N$3:$N$5001,BD!$A$3:$A$5001,X$3,BD!$B$3:$B$5001,$A$374)))</f>
        <v/>
      </c>
      <c r="Y386" s="225" t="str">
        <f>IF(Y$3="","",IF(COUNTIFS(BD!$A$3:$A$5001,Y$3,BD!$B$3:$B$5001,$A$374,BD!$N$3:$N$5001,"&lt;&gt;")=0,"",SUMIFS(BD!$N$3:$N$5001,BD!$A$3:$A$5001,Y$3,BD!$B$3:$B$5001,$A$374)))</f>
        <v/>
      </c>
      <c r="Z386" s="225" t="str">
        <f>IF(Z$3="","",IF(COUNTIFS(BD!$A$3:$A$5001,Z$3,BD!$B$3:$B$5001,$A$374,BD!$N$3:$N$5001,"&lt;&gt;")=0,"",SUMIFS(BD!$N$3:$N$5001,BD!$A$3:$A$5001,Z$3,BD!$B$3:$B$5001,$A$374)))</f>
        <v/>
      </c>
      <c r="AA386" s="225" t="str">
        <f>IF(AA$3="","",IF(COUNTIFS(BD!$A$3:$A$5001,AA$3,BD!$B$3:$B$5001,$A$374,BD!$N$3:$N$5001,"&lt;&gt;")=0,"",SUMIFS(BD!$N$3:$N$5001,BD!$A$3:$A$5001,AA$3,BD!$B$3:$B$5001,$A$374)))</f>
        <v/>
      </c>
      <c r="AB386" s="225" t="str">
        <f>IF(AB$3="","",IF(COUNTIFS(BD!$A$3:$A$5001,AB$3,BD!$B$3:$B$5001,$A$374,BD!$N$3:$N$5001,"&lt;&gt;")=0,"",SUMIFS(BD!$N$3:$N$5001,BD!$A$3:$A$5001,AB$3,BD!$B$3:$B$5001,$A$374)))</f>
        <v/>
      </c>
      <c r="AC386" s="225" t="str">
        <f>IF(AC$3="","",IF(COUNTIFS(BD!$A$3:$A$5001,AC$3,BD!$B$3:$B$5001,$A$374,BD!$N$3:$N$5001,"&lt;&gt;")=0,"",SUMIFS(BD!$N$3:$N$5001,BD!$A$3:$A$5001,AC$3,BD!$B$3:$B$5001,$A$374)))</f>
        <v/>
      </c>
      <c r="AD386" s="225" t="str">
        <f>IF(AD$3="","",IF(COUNTIFS(BD!$A$3:$A$5001,AD$3,BD!$B$3:$B$5001,$A$374,BD!$N$3:$N$5001,"&lt;&gt;")=0,"",SUMIFS(BD!$N$3:$N$5001,BD!$A$3:$A$5001,AD$3,BD!$B$3:$B$5001,$A$374)))</f>
        <v/>
      </c>
      <c r="AE386" s="225" t="str">
        <f>IF(AE$3="","",IF(COUNTIFS(BD!$A$3:$A$5001,AE$3,BD!$B$3:$B$5001,$A$374,BD!$N$3:$N$5001,"&lt;&gt;")=0,"",SUMIFS(BD!$N$3:$N$5001,BD!$A$3:$A$5001,AE$3,BD!$B$3:$B$5001,$A$374)))</f>
        <v/>
      </c>
      <c r="AF386" s="225" t="str">
        <f>IF(AF$3="","",IF(COUNTIFS(BD!$A$3:$A$5001,AF$3,BD!$B$3:$B$5001,$A$374,BD!$N$3:$N$5001,"&lt;&gt;")=0,"",SUMIFS(BD!$N$3:$N$5001,BD!$A$3:$A$5001,AF$3,BD!$B$3:$B$5001,$A$374)))</f>
        <v/>
      </c>
      <c r="AG386" s="225" t="str">
        <f>IF(AG$3="","",IF(COUNTIFS(BD!$A$3:$A$5001,AG$3,BD!$B$3:$B$5001,$A$374,BD!$N$3:$N$5001,"&lt;&gt;")=0,"",SUMIFS(BD!$N$3:$N$5001,BD!$A$3:$A$5001,AG$3,BD!$B$3:$B$5001,$A$374)))</f>
        <v/>
      </c>
      <c r="AH386" s="225" t="str">
        <f>IF(AH$3="","",IF(COUNTIFS(BD!$A$3:$A$5001,AH$3,BD!$B$3:$B$5001,$A$374,BD!$N$3:$N$5001,"&lt;&gt;")=0,"",SUMIFS(BD!$N$3:$N$5001,BD!$A$3:$A$5001,AH$3,BD!$B$3:$B$5001,$A$374)))</f>
        <v/>
      </c>
      <c r="AI386" s="225" t="str">
        <f>IF(AI$3="","",IF(COUNTIFS(BD!$A$3:$A$5001,AI$3,BD!$B$3:$B$5001,$A$374,BD!$N$3:$N$5001,"&lt;&gt;")=0,"",SUMIFS(BD!$N$3:$N$5001,BD!$A$3:$A$5001,AI$3,BD!$B$3:$B$5001,$A$374)))</f>
        <v/>
      </c>
      <c r="AJ386" s="226" t="str">
        <f>IF(AJ$3="","",IF(COUNTIFS(BD!$A$3:$A$5001,AJ$3,BD!$B$3:$B$5001,$A$374,BD!$N$3:$N$5001,"&lt;&gt;")=0,"",SUMIFS(BD!$N$3:$N$5001,BD!$A$3:$A$5001,AJ$3,BD!$B$3:$B$5001,$A$374)))</f>
        <v/>
      </c>
      <c r="AK386" s="227" t="str">
        <f>IFERROR(LOOKUP(9.99E+307,F386:AJ386),"")</f>
        <v/>
      </c>
    </row>
    <row r="387" ht="15.75" customHeight="1" hidden="1">
      <c r="A387" s="254"/>
      <c r="B387" s="251"/>
      <c r="C387" s="228" t="inlineStr">
        <is>
          <t xml:space="preserve">Falta</t>
        </is>
      </c>
      <c r="D387" s="229" t="str">
        <f>IFERROR(1/(1/INDEX(BD!$Y$36:$AS$36,MATCH($A$374,BD!$Y$22:$AS$22,0))),"")</f>
        <v/>
      </c>
      <c r="E387" s="230"/>
      <c r="F387" s="231" t="str">
        <f>IF(F$3="","",IF(COUNTIFS(BD!$A$3:$A$5001,F$3,BD!$B$3:$B$5001,$A$374,BD!$O$3:$O$5001,"&lt;&gt;")=0,"",SUMIFS(BD!$O$3:$O$5001,BD!$A$3:$A$5001,F$3,BD!$B$3:$B$5001,$A$374)))</f>
        <v/>
      </c>
      <c r="G387" s="232" t="str">
        <f>IF(G$3="","",IF(COUNTIFS(BD!$A$3:$A$5001,G$3,BD!$B$3:$B$5001,$A$374,BD!$O$3:$O$5001,"&lt;&gt;")=0,"",SUMIFS(BD!$O$3:$O$5001,BD!$A$3:$A$5001,G$3,BD!$B$3:$B$5001,$A$374)))</f>
        <v/>
      </c>
      <c r="H387" s="232" t="str">
        <f>IF(H$3="","",IF(COUNTIFS(BD!$A$3:$A$5001,H$3,BD!$B$3:$B$5001,$A$374,BD!$O$3:$O$5001,"&lt;&gt;")=0,"",SUMIFS(BD!$O$3:$O$5001,BD!$A$3:$A$5001,H$3,BD!$B$3:$B$5001,$A$374)))</f>
        <v/>
      </c>
      <c r="I387" s="232" t="str">
        <f>IF(I$3="","",IF(COUNTIFS(BD!$A$3:$A$5001,I$3,BD!$B$3:$B$5001,$A$374,BD!$O$3:$O$5001,"&lt;&gt;")=0,"",SUMIFS(BD!$O$3:$O$5001,BD!$A$3:$A$5001,I$3,BD!$B$3:$B$5001,$A$374)))</f>
        <v/>
      </c>
      <c r="J387" s="232" t="str">
        <f>IF(J$3="","",IF(COUNTIFS(BD!$A$3:$A$5001,J$3,BD!$B$3:$B$5001,$A$374,BD!$O$3:$O$5001,"&lt;&gt;")=0,"",SUMIFS(BD!$O$3:$O$5001,BD!$A$3:$A$5001,J$3,BD!$B$3:$B$5001,$A$374)))</f>
        <v/>
      </c>
      <c r="K387" s="232" t="str">
        <f>IF(K$3="","",IF(COUNTIFS(BD!$A$3:$A$5001,K$3,BD!$B$3:$B$5001,$A$374,BD!$O$3:$O$5001,"&lt;&gt;")=0,"",SUMIFS(BD!$O$3:$O$5001,BD!$A$3:$A$5001,K$3,BD!$B$3:$B$5001,$A$374)))</f>
        <v/>
      </c>
      <c r="L387" s="232" t="str">
        <f>IF(L$3="","",IF(COUNTIFS(BD!$A$3:$A$5001,L$3,BD!$B$3:$B$5001,$A$374,BD!$O$3:$O$5001,"&lt;&gt;")=0,"",SUMIFS(BD!$O$3:$O$5001,BD!$A$3:$A$5001,L$3,BD!$B$3:$B$5001,$A$374)))</f>
        <v/>
      </c>
      <c r="M387" s="232" t="str">
        <f>IF(M$3="","",IF(COUNTIFS(BD!$A$3:$A$5001,M$3,BD!$B$3:$B$5001,$A$374,BD!$O$3:$O$5001,"&lt;&gt;")=0,"",SUMIFS(BD!$O$3:$O$5001,BD!$A$3:$A$5001,M$3,BD!$B$3:$B$5001,$A$374)))</f>
        <v/>
      </c>
      <c r="N387" s="232" t="str">
        <f>IF(N$3="","",IF(COUNTIFS(BD!$A$3:$A$5001,N$3,BD!$B$3:$B$5001,$A$374,BD!$O$3:$O$5001,"&lt;&gt;")=0,"",SUMIFS(BD!$O$3:$O$5001,BD!$A$3:$A$5001,N$3,BD!$B$3:$B$5001,$A$374)))</f>
        <v/>
      </c>
      <c r="O387" s="232" t="str">
        <f>IF(O$3="","",IF(COUNTIFS(BD!$A$3:$A$5001,O$3,BD!$B$3:$B$5001,$A$374,BD!$O$3:$O$5001,"&lt;&gt;")=0,"",SUMIFS(BD!$O$3:$O$5001,BD!$A$3:$A$5001,O$3,BD!$B$3:$B$5001,$A$374)))</f>
        <v/>
      </c>
      <c r="P387" s="232" t="str">
        <f>IF(P$3="","",IF(COUNTIFS(BD!$A$3:$A$5001,P$3,BD!$B$3:$B$5001,$A$374,BD!$O$3:$O$5001,"&lt;&gt;")=0,"",SUMIFS(BD!$O$3:$O$5001,BD!$A$3:$A$5001,P$3,BD!$B$3:$B$5001,$A$374)))</f>
        <v/>
      </c>
      <c r="Q387" s="232" t="str">
        <f>IF(Q$3="","",IF(COUNTIFS(BD!$A$3:$A$5001,Q$3,BD!$B$3:$B$5001,$A$374,BD!$O$3:$O$5001,"&lt;&gt;")=0,"",SUMIFS(BD!$O$3:$O$5001,BD!$A$3:$A$5001,Q$3,BD!$B$3:$B$5001,$A$374)))</f>
        <v/>
      </c>
      <c r="R387" s="232" t="str">
        <f>IF(R$3="","",IF(COUNTIFS(BD!$A$3:$A$5001,R$3,BD!$B$3:$B$5001,$A$374,BD!$O$3:$O$5001,"&lt;&gt;")=0,"",SUMIFS(BD!$O$3:$O$5001,BD!$A$3:$A$5001,R$3,BD!$B$3:$B$5001,$A$374)))</f>
        <v/>
      </c>
      <c r="S387" s="232" t="str">
        <f>IF(S$3="","",IF(COUNTIFS(BD!$A$3:$A$5001,S$3,BD!$B$3:$B$5001,$A$374,BD!$O$3:$O$5001,"&lt;&gt;")=0,"",SUMIFS(BD!$O$3:$O$5001,BD!$A$3:$A$5001,S$3,BD!$B$3:$B$5001,$A$374)))</f>
        <v/>
      </c>
      <c r="T387" s="232" t="str">
        <f>IF(T$3="","",IF(COUNTIFS(BD!$A$3:$A$5001,T$3,BD!$B$3:$B$5001,$A$374,BD!$O$3:$O$5001,"&lt;&gt;")=0,"",SUMIFS(BD!$O$3:$O$5001,BD!$A$3:$A$5001,T$3,BD!$B$3:$B$5001,$A$374)))</f>
        <v/>
      </c>
      <c r="U387" s="232" t="str">
        <f>IF(U$3="","",IF(COUNTIFS(BD!$A$3:$A$5001,U$3,BD!$B$3:$B$5001,$A$374,BD!$O$3:$O$5001,"&lt;&gt;")=0,"",SUMIFS(BD!$O$3:$O$5001,BD!$A$3:$A$5001,U$3,BD!$B$3:$B$5001,$A$374)))</f>
        <v/>
      </c>
      <c r="V387" s="232" t="str">
        <f>IF(V$3="","",IF(COUNTIFS(BD!$A$3:$A$5001,V$3,BD!$B$3:$B$5001,$A$374,BD!$O$3:$O$5001,"&lt;&gt;")=0,"",SUMIFS(BD!$O$3:$O$5001,BD!$A$3:$A$5001,V$3,BD!$B$3:$B$5001,$A$374)))</f>
        <v/>
      </c>
      <c r="W387" s="232" t="str">
        <f>IF(W$3="","",IF(COUNTIFS(BD!$A$3:$A$5001,W$3,BD!$B$3:$B$5001,$A$374,BD!$O$3:$O$5001,"&lt;&gt;")=0,"",SUMIFS(BD!$O$3:$O$5001,BD!$A$3:$A$5001,W$3,BD!$B$3:$B$5001,$A$374)))</f>
        <v/>
      </c>
      <c r="X387" s="232" t="str">
        <f>IF(X$3="","",IF(COUNTIFS(BD!$A$3:$A$5001,X$3,BD!$B$3:$B$5001,$A$374,BD!$O$3:$O$5001,"&lt;&gt;")=0,"",SUMIFS(BD!$O$3:$O$5001,BD!$A$3:$A$5001,X$3,BD!$B$3:$B$5001,$A$374)))</f>
        <v/>
      </c>
      <c r="Y387" s="232" t="str">
        <f>IF(Y$3="","",IF(COUNTIFS(BD!$A$3:$A$5001,Y$3,BD!$B$3:$B$5001,$A$374,BD!$O$3:$O$5001,"&lt;&gt;")=0,"",SUMIFS(BD!$O$3:$O$5001,BD!$A$3:$A$5001,Y$3,BD!$B$3:$B$5001,$A$374)))</f>
        <v/>
      </c>
      <c r="Z387" s="232" t="str">
        <f>IF(Z$3="","",IF(COUNTIFS(BD!$A$3:$A$5001,Z$3,BD!$B$3:$B$5001,$A$374,BD!$O$3:$O$5001,"&lt;&gt;")=0,"",SUMIFS(BD!$O$3:$O$5001,BD!$A$3:$A$5001,Z$3,BD!$B$3:$B$5001,$A$374)))</f>
        <v/>
      </c>
      <c r="AA387" s="232" t="str">
        <f>IF(AA$3="","",IF(COUNTIFS(BD!$A$3:$A$5001,AA$3,BD!$B$3:$B$5001,$A$374,BD!$O$3:$O$5001,"&lt;&gt;")=0,"",SUMIFS(BD!$O$3:$O$5001,BD!$A$3:$A$5001,AA$3,BD!$B$3:$B$5001,$A$374)))</f>
        <v/>
      </c>
      <c r="AB387" s="232" t="str">
        <f>IF(AB$3="","",IF(COUNTIFS(BD!$A$3:$A$5001,AB$3,BD!$B$3:$B$5001,$A$374,BD!$O$3:$O$5001,"&lt;&gt;")=0,"",SUMIFS(BD!$O$3:$O$5001,BD!$A$3:$A$5001,AB$3,BD!$B$3:$B$5001,$A$374)))</f>
        <v/>
      </c>
      <c r="AC387" s="232" t="str">
        <f>IF(AC$3="","",IF(COUNTIFS(BD!$A$3:$A$5001,AC$3,BD!$B$3:$B$5001,$A$374,BD!$O$3:$O$5001,"&lt;&gt;")=0,"",SUMIFS(BD!$O$3:$O$5001,BD!$A$3:$A$5001,AC$3,BD!$B$3:$B$5001,$A$374)))</f>
        <v/>
      </c>
      <c r="AD387" s="232" t="str">
        <f>IF(AD$3="","",IF(COUNTIFS(BD!$A$3:$A$5001,AD$3,BD!$B$3:$B$5001,$A$374,BD!$O$3:$O$5001,"&lt;&gt;")=0,"",SUMIFS(BD!$O$3:$O$5001,BD!$A$3:$A$5001,AD$3,BD!$B$3:$B$5001,$A$374)))</f>
        <v/>
      </c>
      <c r="AE387" s="232" t="str">
        <f>IF(AE$3="","",IF(COUNTIFS(BD!$A$3:$A$5001,AE$3,BD!$B$3:$B$5001,$A$374,BD!$O$3:$O$5001,"&lt;&gt;")=0,"",SUMIFS(BD!$O$3:$O$5001,BD!$A$3:$A$5001,AE$3,BD!$B$3:$B$5001,$A$374)))</f>
        <v/>
      </c>
      <c r="AF387" s="232" t="str">
        <f>IF(AF$3="","",IF(COUNTIFS(BD!$A$3:$A$5001,AF$3,BD!$B$3:$B$5001,$A$374,BD!$O$3:$O$5001,"&lt;&gt;")=0,"",SUMIFS(BD!$O$3:$O$5001,BD!$A$3:$A$5001,AF$3,BD!$B$3:$B$5001,$A$374)))</f>
        <v/>
      </c>
      <c r="AG387" s="232" t="str">
        <f>IF(AG$3="","",IF(COUNTIFS(BD!$A$3:$A$5001,AG$3,BD!$B$3:$B$5001,$A$374,BD!$O$3:$O$5001,"&lt;&gt;")=0,"",SUMIFS(BD!$O$3:$O$5001,BD!$A$3:$A$5001,AG$3,BD!$B$3:$B$5001,$A$374)))</f>
        <v/>
      </c>
      <c r="AH387" s="232" t="str">
        <f>IF(AH$3="","",IF(COUNTIFS(BD!$A$3:$A$5001,AH$3,BD!$B$3:$B$5001,$A$374,BD!$O$3:$O$5001,"&lt;&gt;")=0,"",SUMIFS(BD!$O$3:$O$5001,BD!$A$3:$A$5001,AH$3,BD!$B$3:$B$5001,$A$374)))</f>
        <v/>
      </c>
      <c r="AI387" s="232" t="str">
        <f>IF(AI$3="","",IF(COUNTIFS(BD!$A$3:$A$5001,AI$3,BD!$B$3:$B$5001,$A$374,BD!$O$3:$O$5001,"&lt;&gt;")=0,"",SUMIFS(BD!$O$3:$O$5001,BD!$A$3:$A$5001,AI$3,BD!$B$3:$B$5001,$A$374)))</f>
        <v/>
      </c>
      <c r="AJ387" s="233" t="str">
        <f>IF(AJ$3="","",IF(COUNTIFS(BD!$A$3:$A$5001,AJ$3,BD!$B$3:$B$5001,$A$374,BD!$O$3:$O$5001,"&lt;&gt;")=0,"",SUMIFS(BD!$O$3:$O$5001,BD!$A$3:$A$5001,AJ$3,BD!$B$3:$B$5001,$A$374)))</f>
        <v/>
      </c>
      <c r="AK387" s="234" t="str">
        <f>IF(COUNT(F387:AJ387)=0,"",SUM(F387:AJ387))</f>
        <v/>
      </c>
    </row>
    <row r="388" ht="15.75" customHeight="1" hidden="1">
      <c r="A388" s="254"/>
      <c r="B388" s="251"/>
      <c r="C388" s="228" t="inlineStr">
        <is>
          <t xml:space="preserve">Folga</t>
        </is>
      </c>
      <c r="D388" s="229" t="str">
        <f>IFERROR(1/(1/INDEX(BD!$Y$37:$AS$37,MATCH($A$374,BD!$Y$22:$AS$22,0))),"")</f>
        <v/>
      </c>
      <c r="E388" s="230"/>
      <c r="F388" s="231" t="str">
        <f>IF(F$3="","",IF(COUNTIFS(BD!$A$3:$A$5001,F$3,BD!$B$3:$B$5001,$A$374,BD!$P$3:$P$5001,"&lt;&gt;")=0,"",SUMIFS(BD!$P$3:$P$5001,BD!$A$3:$A$5001,F$3,BD!$B$3:$B$5001,$A$374)))</f>
        <v/>
      </c>
      <c r="G388" s="232" t="str">
        <f>IF(G$3="","",IF(COUNTIFS(BD!$A$3:$A$5001,G$3,BD!$B$3:$B$5001,$A$374,BD!$P$3:$P$5001,"&lt;&gt;")=0,"",SUMIFS(BD!$P$3:$P$5001,BD!$A$3:$A$5001,G$3,BD!$B$3:$B$5001,$A$374)))</f>
        <v/>
      </c>
      <c r="H388" s="232" t="str">
        <f>IF(H$3="","",IF(COUNTIFS(BD!$A$3:$A$5001,H$3,BD!$B$3:$B$5001,$A$374,BD!$P$3:$P$5001,"&lt;&gt;")=0,"",SUMIFS(BD!$P$3:$P$5001,BD!$A$3:$A$5001,H$3,BD!$B$3:$B$5001,$A$374)))</f>
        <v/>
      </c>
      <c r="I388" s="232" t="str">
        <f>IF(I$3="","",IF(COUNTIFS(BD!$A$3:$A$5001,I$3,BD!$B$3:$B$5001,$A$374,BD!$P$3:$P$5001,"&lt;&gt;")=0,"",SUMIFS(BD!$P$3:$P$5001,BD!$A$3:$A$5001,I$3,BD!$B$3:$B$5001,$A$374)))</f>
        <v/>
      </c>
      <c r="J388" s="232" t="str">
        <f>IF(J$3="","",IF(COUNTIFS(BD!$A$3:$A$5001,J$3,BD!$B$3:$B$5001,$A$374,BD!$P$3:$P$5001,"&lt;&gt;")=0,"",SUMIFS(BD!$P$3:$P$5001,BD!$A$3:$A$5001,J$3,BD!$B$3:$B$5001,$A$374)))</f>
        <v/>
      </c>
      <c r="K388" s="232" t="str">
        <f>IF(K$3="","",IF(COUNTIFS(BD!$A$3:$A$5001,K$3,BD!$B$3:$B$5001,$A$374,BD!$P$3:$P$5001,"&lt;&gt;")=0,"",SUMIFS(BD!$P$3:$P$5001,BD!$A$3:$A$5001,K$3,BD!$B$3:$B$5001,$A$374)))</f>
        <v/>
      </c>
      <c r="L388" s="232" t="str">
        <f>IF(L$3="","",IF(COUNTIFS(BD!$A$3:$A$5001,L$3,BD!$B$3:$B$5001,$A$374,BD!$P$3:$P$5001,"&lt;&gt;")=0,"",SUMIFS(BD!$P$3:$P$5001,BD!$A$3:$A$5001,L$3,BD!$B$3:$B$5001,$A$374)))</f>
        <v/>
      </c>
      <c r="M388" s="232" t="str">
        <f>IF(M$3="","",IF(COUNTIFS(BD!$A$3:$A$5001,M$3,BD!$B$3:$B$5001,$A$374,BD!$P$3:$P$5001,"&lt;&gt;")=0,"",SUMIFS(BD!$P$3:$P$5001,BD!$A$3:$A$5001,M$3,BD!$B$3:$B$5001,$A$374)))</f>
        <v/>
      </c>
      <c r="N388" s="232" t="str">
        <f>IF(N$3="","",IF(COUNTIFS(BD!$A$3:$A$5001,N$3,BD!$B$3:$B$5001,$A$374,BD!$P$3:$P$5001,"&lt;&gt;")=0,"",SUMIFS(BD!$P$3:$P$5001,BD!$A$3:$A$5001,N$3,BD!$B$3:$B$5001,$A$374)))</f>
        <v/>
      </c>
      <c r="O388" s="232" t="str">
        <f>IF(O$3="","",IF(COUNTIFS(BD!$A$3:$A$5001,O$3,BD!$B$3:$B$5001,$A$374,BD!$P$3:$P$5001,"&lt;&gt;")=0,"",SUMIFS(BD!$P$3:$P$5001,BD!$A$3:$A$5001,O$3,BD!$B$3:$B$5001,$A$374)))</f>
        <v/>
      </c>
      <c r="P388" s="232" t="str">
        <f>IF(P$3="","",IF(COUNTIFS(BD!$A$3:$A$5001,P$3,BD!$B$3:$B$5001,$A$374,BD!$P$3:$P$5001,"&lt;&gt;")=0,"",SUMIFS(BD!$P$3:$P$5001,BD!$A$3:$A$5001,P$3,BD!$B$3:$B$5001,$A$374)))</f>
        <v/>
      </c>
      <c r="Q388" s="232" t="str">
        <f>IF(Q$3="","",IF(COUNTIFS(BD!$A$3:$A$5001,Q$3,BD!$B$3:$B$5001,$A$374,BD!$P$3:$P$5001,"&lt;&gt;")=0,"",SUMIFS(BD!$P$3:$P$5001,BD!$A$3:$A$5001,Q$3,BD!$B$3:$B$5001,$A$374)))</f>
        <v/>
      </c>
      <c r="R388" s="232" t="str">
        <f>IF(R$3="","",IF(COUNTIFS(BD!$A$3:$A$5001,R$3,BD!$B$3:$B$5001,$A$374,BD!$P$3:$P$5001,"&lt;&gt;")=0,"",SUMIFS(BD!$P$3:$P$5001,BD!$A$3:$A$5001,R$3,BD!$B$3:$B$5001,$A$374)))</f>
        <v/>
      </c>
      <c r="S388" s="232" t="str">
        <f>IF(S$3="","",IF(COUNTIFS(BD!$A$3:$A$5001,S$3,BD!$B$3:$B$5001,$A$374,BD!$P$3:$P$5001,"&lt;&gt;")=0,"",SUMIFS(BD!$P$3:$P$5001,BD!$A$3:$A$5001,S$3,BD!$B$3:$B$5001,$A$374)))</f>
        <v/>
      </c>
      <c r="T388" s="232" t="str">
        <f>IF(T$3="","",IF(COUNTIFS(BD!$A$3:$A$5001,T$3,BD!$B$3:$B$5001,$A$374,BD!$P$3:$P$5001,"&lt;&gt;")=0,"",SUMIFS(BD!$P$3:$P$5001,BD!$A$3:$A$5001,T$3,BD!$B$3:$B$5001,$A$374)))</f>
        <v/>
      </c>
      <c r="U388" s="232" t="str">
        <f>IF(U$3="","",IF(COUNTIFS(BD!$A$3:$A$5001,U$3,BD!$B$3:$B$5001,$A$374,BD!$P$3:$P$5001,"&lt;&gt;")=0,"",SUMIFS(BD!$P$3:$P$5001,BD!$A$3:$A$5001,U$3,BD!$B$3:$B$5001,$A$374)))</f>
        <v/>
      </c>
      <c r="V388" s="232" t="str">
        <f>IF(V$3="","",IF(COUNTIFS(BD!$A$3:$A$5001,V$3,BD!$B$3:$B$5001,$A$374,BD!$P$3:$P$5001,"&lt;&gt;")=0,"",SUMIFS(BD!$P$3:$P$5001,BD!$A$3:$A$5001,V$3,BD!$B$3:$B$5001,$A$374)))</f>
        <v/>
      </c>
      <c r="W388" s="232" t="str">
        <f>IF(W$3="","",IF(COUNTIFS(BD!$A$3:$A$5001,W$3,BD!$B$3:$B$5001,$A$374,BD!$P$3:$P$5001,"&lt;&gt;")=0,"",SUMIFS(BD!$P$3:$P$5001,BD!$A$3:$A$5001,W$3,BD!$B$3:$B$5001,$A$374)))</f>
        <v/>
      </c>
      <c r="X388" s="232" t="str">
        <f>IF(X$3="","",IF(COUNTIFS(BD!$A$3:$A$5001,X$3,BD!$B$3:$B$5001,$A$374,BD!$P$3:$P$5001,"&lt;&gt;")=0,"",SUMIFS(BD!$P$3:$P$5001,BD!$A$3:$A$5001,X$3,BD!$B$3:$B$5001,$A$374)))</f>
        <v/>
      </c>
      <c r="Y388" s="232" t="str">
        <f>IF(Y$3="","",IF(COUNTIFS(BD!$A$3:$A$5001,Y$3,BD!$B$3:$B$5001,$A$374,BD!$P$3:$P$5001,"&lt;&gt;")=0,"",SUMIFS(BD!$P$3:$P$5001,BD!$A$3:$A$5001,Y$3,BD!$B$3:$B$5001,$A$374)))</f>
        <v/>
      </c>
      <c r="Z388" s="232" t="str">
        <f>IF(Z$3="","",IF(COUNTIFS(BD!$A$3:$A$5001,Z$3,BD!$B$3:$B$5001,$A$374,BD!$P$3:$P$5001,"&lt;&gt;")=0,"",SUMIFS(BD!$P$3:$P$5001,BD!$A$3:$A$5001,Z$3,BD!$B$3:$B$5001,$A$374)))</f>
        <v/>
      </c>
      <c r="AA388" s="232" t="str">
        <f>IF(AA$3="","",IF(COUNTIFS(BD!$A$3:$A$5001,AA$3,BD!$B$3:$B$5001,$A$374,BD!$P$3:$P$5001,"&lt;&gt;")=0,"",SUMIFS(BD!$P$3:$P$5001,BD!$A$3:$A$5001,AA$3,BD!$B$3:$B$5001,$A$374)))</f>
        <v/>
      </c>
      <c r="AB388" s="232" t="str">
        <f>IF(AB$3="","",IF(COUNTIFS(BD!$A$3:$A$5001,AB$3,BD!$B$3:$B$5001,$A$374,BD!$P$3:$P$5001,"&lt;&gt;")=0,"",SUMIFS(BD!$P$3:$P$5001,BD!$A$3:$A$5001,AB$3,BD!$B$3:$B$5001,$A$374)))</f>
        <v/>
      </c>
      <c r="AC388" s="232" t="str">
        <f>IF(AC$3="","",IF(COUNTIFS(BD!$A$3:$A$5001,AC$3,BD!$B$3:$B$5001,$A$374,BD!$P$3:$P$5001,"&lt;&gt;")=0,"",SUMIFS(BD!$P$3:$P$5001,BD!$A$3:$A$5001,AC$3,BD!$B$3:$B$5001,$A$374)))</f>
        <v/>
      </c>
      <c r="AD388" s="232" t="str">
        <f>IF(AD$3="","",IF(COUNTIFS(BD!$A$3:$A$5001,AD$3,BD!$B$3:$B$5001,$A$374,BD!$P$3:$P$5001,"&lt;&gt;")=0,"",SUMIFS(BD!$P$3:$P$5001,BD!$A$3:$A$5001,AD$3,BD!$B$3:$B$5001,$A$374)))</f>
        <v/>
      </c>
      <c r="AE388" s="232" t="str">
        <f>IF(AE$3="","",IF(COUNTIFS(BD!$A$3:$A$5001,AE$3,BD!$B$3:$B$5001,$A$374,BD!$P$3:$P$5001,"&lt;&gt;")=0,"",SUMIFS(BD!$P$3:$P$5001,BD!$A$3:$A$5001,AE$3,BD!$B$3:$B$5001,$A$374)))</f>
        <v/>
      </c>
      <c r="AF388" s="232" t="str">
        <f>IF(AF$3="","",IF(COUNTIFS(BD!$A$3:$A$5001,AF$3,BD!$B$3:$B$5001,$A$374,BD!$P$3:$P$5001,"&lt;&gt;")=0,"",SUMIFS(BD!$P$3:$P$5001,BD!$A$3:$A$5001,AF$3,BD!$B$3:$B$5001,$A$374)))</f>
        <v/>
      </c>
      <c r="AG388" s="232" t="str">
        <f>IF(AG$3="","",IF(COUNTIFS(BD!$A$3:$A$5001,AG$3,BD!$B$3:$B$5001,$A$374,BD!$P$3:$P$5001,"&lt;&gt;")=0,"",SUMIFS(BD!$P$3:$P$5001,BD!$A$3:$A$5001,AG$3,BD!$B$3:$B$5001,$A$374)))</f>
        <v/>
      </c>
      <c r="AH388" s="232" t="str">
        <f>IF(AH$3="","",IF(COUNTIFS(BD!$A$3:$A$5001,AH$3,BD!$B$3:$B$5001,$A$374,BD!$P$3:$P$5001,"&lt;&gt;")=0,"",SUMIFS(BD!$P$3:$P$5001,BD!$A$3:$A$5001,AH$3,BD!$B$3:$B$5001,$A$374)))</f>
        <v/>
      </c>
      <c r="AI388" s="232" t="str">
        <f>IF(AI$3="","",IF(COUNTIFS(BD!$A$3:$A$5001,AI$3,BD!$B$3:$B$5001,$A$374,BD!$P$3:$P$5001,"&lt;&gt;")=0,"",SUMIFS(BD!$P$3:$P$5001,BD!$A$3:$A$5001,AI$3,BD!$B$3:$B$5001,$A$374)))</f>
        <v/>
      </c>
      <c r="AJ388" s="233" t="str">
        <f>IF(AJ$3="","",IF(COUNTIFS(BD!$A$3:$A$5001,AJ$3,BD!$B$3:$B$5001,$A$374,BD!$P$3:$P$5001,"&lt;&gt;")=0,"",SUMIFS(BD!$P$3:$P$5001,BD!$A$3:$A$5001,AJ$3,BD!$B$3:$B$5001,$A$374)))</f>
        <v/>
      </c>
      <c r="AK388" s="234" t="str">
        <f>IF(COUNT(F388:AJ388)=0,"",SUM(F388:AJ388))</f>
        <v/>
      </c>
    </row>
    <row r="389" ht="15.75" customHeight="1" hidden="1">
      <c r="A389" s="254"/>
      <c r="B389" s="251"/>
      <c r="C389" s="228" t="inlineStr">
        <is>
          <t xml:space="preserve">Férias</t>
        </is>
      </c>
      <c r="D389" s="229" t="str">
        <f>IFERROR(1/(1/INDEX(BD!$Y$38:$AS$38,MATCH($A$374,BD!$Y$22:$AS$22,0))),"")</f>
        <v/>
      </c>
      <c r="E389" s="230"/>
      <c r="F389" s="231" t="str">
        <f>IF(F$3="","",IF(COUNTIFS(BD!$A$3:$A$5001,F$3,BD!$B$3:$B$5001,$A$374,BD!$Q$3:$Q$5001,"&lt;&gt;")=0,"",SUMIFS(BD!$Q$3:$Q$5001,BD!$A$3:$A$5001,F$3,BD!$B$3:$B$5001,$A$374)))</f>
        <v/>
      </c>
      <c r="G389" s="232" t="str">
        <f>IF(G$3="","",IF(COUNTIFS(BD!$A$3:$A$5001,G$3,BD!$B$3:$B$5001,$A$374,BD!$Q$3:$Q$5001,"&lt;&gt;")=0,"",SUMIFS(BD!$Q$3:$Q$5001,BD!$A$3:$A$5001,G$3,BD!$B$3:$B$5001,$A$374)))</f>
        <v/>
      </c>
      <c r="H389" s="232" t="str">
        <f>IF(H$3="","",IF(COUNTIFS(BD!$A$3:$A$5001,H$3,BD!$B$3:$B$5001,$A$374,BD!$Q$3:$Q$5001,"&lt;&gt;")=0,"",SUMIFS(BD!$Q$3:$Q$5001,BD!$A$3:$A$5001,H$3,BD!$B$3:$B$5001,$A$374)))</f>
        <v/>
      </c>
      <c r="I389" s="232" t="str">
        <f>IF(I$3="","",IF(COUNTIFS(BD!$A$3:$A$5001,I$3,BD!$B$3:$B$5001,$A$374,BD!$Q$3:$Q$5001,"&lt;&gt;")=0,"",SUMIFS(BD!$Q$3:$Q$5001,BD!$A$3:$A$5001,I$3,BD!$B$3:$B$5001,$A$374)))</f>
        <v/>
      </c>
      <c r="J389" s="232" t="str">
        <f>IF(J$3="","",IF(COUNTIFS(BD!$A$3:$A$5001,J$3,BD!$B$3:$B$5001,$A$374,BD!$Q$3:$Q$5001,"&lt;&gt;")=0,"",SUMIFS(BD!$Q$3:$Q$5001,BD!$A$3:$A$5001,J$3,BD!$B$3:$B$5001,$A$374)))</f>
        <v/>
      </c>
      <c r="K389" s="232" t="str">
        <f>IF(K$3="","",IF(COUNTIFS(BD!$A$3:$A$5001,K$3,BD!$B$3:$B$5001,$A$374,BD!$Q$3:$Q$5001,"&lt;&gt;")=0,"",SUMIFS(BD!$Q$3:$Q$5001,BD!$A$3:$A$5001,K$3,BD!$B$3:$B$5001,$A$374)))</f>
        <v/>
      </c>
      <c r="L389" s="232" t="str">
        <f>IF(L$3="","",IF(COUNTIFS(BD!$A$3:$A$5001,L$3,BD!$B$3:$B$5001,$A$374,BD!$Q$3:$Q$5001,"&lt;&gt;")=0,"",SUMIFS(BD!$Q$3:$Q$5001,BD!$A$3:$A$5001,L$3,BD!$B$3:$B$5001,$A$374)))</f>
        <v/>
      </c>
      <c r="M389" s="232" t="str">
        <f>IF(M$3="","",IF(COUNTIFS(BD!$A$3:$A$5001,M$3,BD!$B$3:$B$5001,$A$374,BD!$Q$3:$Q$5001,"&lt;&gt;")=0,"",SUMIFS(BD!$Q$3:$Q$5001,BD!$A$3:$A$5001,M$3,BD!$B$3:$B$5001,$A$374)))</f>
        <v/>
      </c>
      <c r="N389" s="232" t="str">
        <f>IF(N$3="","",IF(COUNTIFS(BD!$A$3:$A$5001,N$3,BD!$B$3:$B$5001,$A$374,BD!$Q$3:$Q$5001,"&lt;&gt;")=0,"",SUMIFS(BD!$Q$3:$Q$5001,BD!$A$3:$A$5001,N$3,BD!$B$3:$B$5001,$A$374)))</f>
        <v/>
      </c>
      <c r="O389" s="232" t="str">
        <f>IF(O$3="","",IF(COUNTIFS(BD!$A$3:$A$5001,O$3,BD!$B$3:$B$5001,$A$374,BD!$Q$3:$Q$5001,"&lt;&gt;")=0,"",SUMIFS(BD!$Q$3:$Q$5001,BD!$A$3:$A$5001,O$3,BD!$B$3:$B$5001,$A$374)))</f>
        <v/>
      </c>
      <c r="P389" s="232" t="str">
        <f>IF(P$3="","",IF(COUNTIFS(BD!$A$3:$A$5001,P$3,BD!$B$3:$B$5001,$A$374,BD!$Q$3:$Q$5001,"&lt;&gt;")=0,"",SUMIFS(BD!$Q$3:$Q$5001,BD!$A$3:$A$5001,P$3,BD!$B$3:$B$5001,$A$374)))</f>
        <v/>
      </c>
      <c r="Q389" s="232" t="str">
        <f>IF(Q$3="","",IF(COUNTIFS(BD!$A$3:$A$5001,Q$3,BD!$B$3:$B$5001,$A$374,BD!$Q$3:$Q$5001,"&lt;&gt;")=0,"",SUMIFS(BD!$Q$3:$Q$5001,BD!$A$3:$A$5001,Q$3,BD!$B$3:$B$5001,$A$374)))</f>
        <v/>
      </c>
      <c r="R389" s="232" t="str">
        <f>IF(R$3="","",IF(COUNTIFS(BD!$A$3:$A$5001,R$3,BD!$B$3:$B$5001,$A$374,BD!$Q$3:$Q$5001,"&lt;&gt;")=0,"",SUMIFS(BD!$Q$3:$Q$5001,BD!$A$3:$A$5001,R$3,BD!$B$3:$B$5001,$A$374)))</f>
        <v/>
      </c>
      <c r="S389" s="232" t="str">
        <f>IF(S$3="","",IF(COUNTIFS(BD!$A$3:$A$5001,S$3,BD!$B$3:$B$5001,$A$374,BD!$Q$3:$Q$5001,"&lt;&gt;")=0,"",SUMIFS(BD!$Q$3:$Q$5001,BD!$A$3:$A$5001,S$3,BD!$B$3:$B$5001,$A$374)))</f>
        <v/>
      </c>
      <c r="T389" s="232" t="str">
        <f>IF(T$3="","",IF(COUNTIFS(BD!$A$3:$A$5001,T$3,BD!$B$3:$B$5001,$A$374,BD!$Q$3:$Q$5001,"&lt;&gt;")=0,"",SUMIFS(BD!$Q$3:$Q$5001,BD!$A$3:$A$5001,T$3,BD!$B$3:$B$5001,$A$374)))</f>
        <v/>
      </c>
      <c r="U389" s="232" t="str">
        <f>IF(U$3="","",IF(COUNTIFS(BD!$A$3:$A$5001,U$3,BD!$B$3:$B$5001,$A$374,BD!$Q$3:$Q$5001,"&lt;&gt;")=0,"",SUMIFS(BD!$Q$3:$Q$5001,BD!$A$3:$A$5001,U$3,BD!$B$3:$B$5001,$A$374)))</f>
        <v/>
      </c>
      <c r="V389" s="232" t="str">
        <f>IF(V$3="","",IF(COUNTIFS(BD!$A$3:$A$5001,V$3,BD!$B$3:$B$5001,$A$374,BD!$Q$3:$Q$5001,"&lt;&gt;")=0,"",SUMIFS(BD!$Q$3:$Q$5001,BD!$A$3:$A$5001,V$3,BD!$B$3:$B$5001,$A$374)))</f>
        <v/>
      </c>
      <c r="W389" s="232" t="str">
        <f>IF(W$3="","",IF(COUNTIFS(BD!$A$3:$A$5001,W$3,BD!$B$3:$B$5001,$A$374,BD!$Q$3:$Q$5001,"&lt;&gt;")=0,"",SUMIFS(BD!$Q$3:$Q$5001,BD!$A$3:$A$5001,W$3,BD!$B$3:$B$5001,$A$374)))</f>
        <v/>
      </c>
      <c r="X389" s="232" t="str">
        <f>IF(X$3="","",IF(COUNTIFS(BD!$A$3:$A$5001,X$3,BD!$B$3:$B$5001,$A$374,BD!$Q$3:$Q$5001,"&lt;&gt;")=0,"",SUMIFS(BD!$Q$3:$Q$5001,BD!$A$3:$A$5001,X$3,BD!$B$3:$B$5001,$A$374)))</f>
        <v/>
      </c>
      <c r="Y389" s="232" t="str">
        <f>IF(Y$3="","",IF(COUNTIFS(BD!$A$3:$A$5001,Y$3,BD!$B$3:$B$5001,$A$374,BD!$Q$3:$Q$5001,"&lt;&gt;")=0,"",SUMIFS(BD!$Q$3:$Q$5001,BD!$A$3:$A$5001,Y$3,BD!$B$3:$B$5001,$A$374)))</f>
        <v/>
      </c>
      <c r="Z389" s="232" t="str">
        <f>IF(Z$3="","",IF(COUNTIFS(BD!$A$3:$A$5001,Z$3,BD!$B$3:$B$5001,$A$374,BD!$Q$3:$Q$5001,"&lt;&gt;")=0,"",SUMIFS(BD!$Q$3:$Q$5001,BD!$A$3:$A$5001,Z$3,BD!$B$3:$B$5001,$A$374)))</f>
        <v/>
      </c>
      <c r="AA389" s="232" t="str">
        <f>IF(AA$3="","",IF(COUNTIFS(BD!$A$3:$A$5001,AA$3,BD!$B$3:$B$5001,$A$374,BD!$Q$3:$Q$5001,"&lt;&gt;")=0,"",SUMIFS(BD!$Q$3:$Q$5001,BD!$A$3:$A$5001,AA$3,BD!$B$3:$B$5001,$A$374)))</f>
        <v/>
      </c>
      <c r="AB389" s="232" t="str">
        <f>IF(AB$3="","",IF(COUNTIFS(BD!$A$3:$A$5001,AB$3,BD!$B$3:$B$5001,$A$374,BD!$Q$3:$Q$5001,"&lt;&gt;")=0,"",SUMIFS(BD!$Q$3:$Q$5001,BD!$A$3:$A$5001,AB$3,BD!$B$3:$B$5001,$A$374)))</f>
        <v/>
      </c>
      <c r="AC389" s="232" t="str">
        <f>IF(AC$3="","",IF(COUNTIFS(BD!$A$3:$A$5001,AC$3,BD!$B$3:$B$5001,$A$374,BD!$Q$3:$Q$5001,"&lt;&gt;")=0,"",SUMIFS(BD!$Q$3:$Q$5001,BD!$A$3:$A$5001,AC$3,BD!$B$3:$B$5001,$A$374)))</f>
        <v/>
      </c>
      <c r="AD389" s="232" t="str">
        <f>IF(AD$3="","",IF(COUNTIFS(BD!$A$3:$A$5001,AD$3,BD!$B$3:$B$5001,$A$374,BD!$Q$3:$Q$5001,"&lt;&gt;")=0,"",SUMIFS(BD!$Q$3:$Q$5001,BD!$A$3:$A$5001,AD$3,BD!$B$3:$B$5001,$A$374)))</f>
        <v/>
      </c>
      <c r="AE389" s="232" t="str">
        <f>IF(AE$3="","",IF(COUNTIFS(BD!$A$3:$A$5001,AE$3,BD!$B$3:$B$5001,$A$374,BD!$Q$3:$Q$5001,"&lt;&gt;")=0,"",SUMIFS(BD!$Q$3:$Q$5001,BD!$A$3:$A$5001,AE$3,BD!$B$3:$B$5001,$A$374)))</f>
        <v/>
      </c>
      <c r="AF389" s="232" t="str">
        <f>IF(AF$3="","",IF(COUNTIFS(BD!$A$3:$A$5001,AF$3,BD!$B$3:$B$5001,$A$374,BD!$Q$3:$Q$5001,"&lt;&gt;")=0,"",SUMIFS(BD!$Q$3:$Q$5001,BD!$A$3:$A$5001,AF$3,BD!$B$3:$B$5001,$A$374)))</f>
        <v/>
      </c>
      <c r="AG389" s="232" t="str">
        <f>IF(AG$3="","",IF(COUNTIFS(BD!$A$3:$A$5001,AG$3,BD!$B$3:$B$5001,$A$374,BD!$Q$3:$Q$5001,"&lt;&gt;")=0,"",SUMIFS(BD!$Q$3:$Q$5001,BD!$A$3:$A$5001,AG$3,BD!$B$3:$B$5001,$A$374)))</f>
        <v/>
      </c>
      <c r="AH389" s="232" t="str">
        <f>IF(AH$3="","",IF(COUNTIFS(BD!$A$3:$A$5001,AH$3,BD!$B$3:$B$5001,$A$374,BD!$Q$3:$Q$5001,"&lt;&gt;")=0,"",SUMIFS(BD!$Q$3:$Q$5001,BD!$A$3:$A$5001,AH$3,BD!$B$3:$B$5001,$A$374)))</f>
        <v/>
      </c>
      <c r="AI389" s="232" t="str">
        <f>IF(AI$3="","",IF(COUNTIFS(BD!$A$3:$A$5001,AI$3,BD!$B$3:$B$5001,$A$374,BD!$Q$3:$Q$5001,"&lt;&gt;")=0,"",SUMIFS(BD!$Q$3:$Q$5001,BD!$A$3:$A$5001,AI$3,BD!$B$3:$B$5001,$A$374)))</f>
        <v/>
      </c>
      <c r="AJ389" s="233" t="str">
        <f>IF(AJ$3="","",IF(COUNTIFS(BD!$A$3:$A$5001,AJ$3,BD!$B$3:$B$5001,$A$374,BD!$Q$3:$Q$5001,"&lt;&gt;")=0,"",SUMIFS(BD!$Q$3:$Q$5001,BD!$A$3:$A$5001,AJ$3,BD!$B$3:$B$5001,$A$374)))</f>
        <v/>
      </c>
      <c r="AK389" s="234" t="str">
        <f>IF(COUNT(F389:AJ389)=0,"",SUM(F389:AJ389))</f>
        <v/>
      </c>
    </row>
    <row r="390" ht="15.75" customHeight="1" hidden="1">
      <c r="A390" s="254"/>
      <c r="B390" s="251"/>
      <c r="C390" s="228" t="inlineStr">
        <is>
          <t xml:space="preserve">Desligamento</t>
        </is>
      </c>
      <c r="D390" s="229" t="str">
        <f>IFERROR(1/(1/INDEX(BD!$Y$39:$AS$39,MATCH($A$374,BD!$Y$22:$AS$22,0))),"")</f>
        <v/>
      </c>
      <c r="E390" s="230"/>
      <c r="F390" s="231" t="str">
        <f>IF(F$3="","",IF(COUNTIFS(BD!$A$3:$A$5001,F$3,BD!$B$3:$B$5001,$A$374,BD!$R$3:$R$5001,"&lt;&gt;")=0,"",SUMIFS(BD!$R$3:$R$5001,BD!$A$3:$A$5001,F$3,BD!$B$3:$B$5001,$A$374)))</f>
        <v/>
      </c>
      <c r="G390" s="232" t="str">
        <f>IF(G$3="","",IF(COUNTIFS(BD!$A$3:$A$5001,G$3,BD!$B$3:$B$5001,$A$374,BD!$R$3:$R$5001,"&lt;&gt;")=0,"",SUMIFS(BD!$R$3:$R$5001,BD!$A$3:$A$5001,G$3,BD!$B$3:$B$5001,$A$374)))</f>
        <v/>
      </c>
      <c r="H390" s="232" t="str">
        <f>IF(H$3="","",IF(COUNTIFS(BD!$A$3:$A$5001,H$3,BD!$B$3:$B$5001,$A$374,BD!$R$3:$R$5001,"&lt;&gt;")=0,"",SUMIFS(BD!$R$3:$R$5001,BD!$A$3:$A$5001,H$3,BD!$B$3:$B$5001,$A$374)))</f>
        <v/>
      </c>
      <c r="I390" s="232" t="str">
        <f>IF(I$3="","",IF(COUNTIFS(BD!$A$3:$A$5001,I$3,BD!$B$3:$B$5001,$A$374,BD!$R$3:$R$5001,"&lt;&gt;")=0,"",SUMIFS(BD!$R$3:$R$5001,BD!$A$3:$A$5001,I$3,BD!$B$3:$B$5001,$A$374)))</f>
        <v/>
      </c>
      <c r="J390" s="232" t="str">
        <f>IF(J$3="","",IF(COUNTIFS(BD!$A$3:$A$5001,J$3,BD!$B$3:$B$5001,$A$374,BD!$R$3:$R$5001,"&lt;&gt;")=0,"",SUMIFS(BD!$R$3:$R$5001,BD!$A$3:$A$5001,J$3,BD!$B$3:$B$5001,$A$374)))</f>
        <v/>
      </c>
      <c r="K390" s="232" t="str">
        <f>IF(K$3="","",IF(COUNTIFS(BD!$A$3:$A$5001,K$3,BD!$B$3:$B$5001,$A$374,BD!$R$3:$R$5001,"&lt;&gt;")=0,"",SUMIFS(BD!$R$3:$R$5001,BD!$A$3:$A$5001,K$3,BD!$B$3:$B$5001,$A$374)))</f>
        <v/>
      </c>
      <c r="L390" s="232" t="str">
        <f>IF(L$3="","",IF(COUNTIFS(BD!$A$3:$A$5001,L$3,BD!$B$3:$B$5001,$A$374,BD!$R$3:$R$5001,"&lt;&gt;")=0,"",SUMIFS(BD!$R$3:$R$5001,BD!$A$3:$A$5001,L$3,BD!$B$3:$B$5001,$A$374)))</f>
        <v/>
      </c>
      <c r="M390" s="232" t="str">
        <f>IF(M$3="","",IF(COUNTIFS(BD!$A$3:$A$5001,M$3,BD!$B$3:$B$5001,$A$374,BD!$R$3:$R$5001,"&lt;&gt;")=0,"",SUMIFS(BD!$R$3:$R$5001,BD!$A$3:$A$5001,M$3,BD!$B$3:$B$5001,$A$374)))</f>
        <v/>
      </c>
      <c r="N390" s="232" t="str">
        <f>IF(N$3="","",IF(COUNTIFS(BD!$A$3:$A$5001,N$3,BD!$B$3:$B$5001,$A$374,BD!$R$3:$R$5001,"&lt;&gt;")=0,"",SUMIFS(BD!$R$3:$R$5001,BD!$A$3:$A$5001,N$3,BD!$B$3:$B$5001,$A$374)))</f>
        <v/>
      </c>
      <c r="O390" s="232" t="str">
        <f>IF(O$3="","",IF(COUNTIFS(BD!$A$3:$A$5001,O$3,BD!$B$3:$B$5001,$A$374,BD!$R$3:$R$5001,"&lt;&gt;")=0,"",SUMIFS(BD!$R$3:$R$5001,BD!$A$3:$A$5001,O$3,BD!$B$3:$B$5001,$A$374)))</f>
        <v/>
      </c>
      <c r="P390" s="232" t="str">
        <f>IF(P$3="","",IF(COUNTIFS(BD!$A$3:$A$5001,P$3,BD!$B$3:$B$5001,$A$374,BD!$R$3:$R$5001,"&lt;&gt;")=0,"",SUMIFS(BD!$R$3:$R$5001,BD!$A$3:$A$5001,P$3,BD!$B$3:$B$5001,$A$374)))</f>
        <v/>
      </c>
      <c r="Q390" s="232" t="str">
        <f>IF(Q$3="","",IF(COUNTIFS(BD!$A$3:$A$5001,Q$3,BD!$B$3:$B$5001,$A$374,BD!$R$3:$R$5001,"&lt;&gt;")=0,"",SUMIFS(BD!$R$3:$R$5001,BD!$A$3:$A$5001,Q$3,BD!$B$3:$B$5001,$A$374)))</f>
        <v/>
      </c>
      <c r="R390" s="232" t="str">
        <f>IF(R$3="","",IF(COUNTIFS(BD!$A$3:$A$5001,R$3,BD!$B$3:$B$5001,$A$374,BD!$R$3:$R$5001,"&lt;&gt;")=0,"",SUMIFS(BD!$R$3:$R$5001,BD!$A$3:$A$5001,R$3,BD!$B$3:$B$5001,$A$374)))</f>
        <v/>
      </c>
      <c r="S390" s="232" t="str">
        <f>IF(S$3="","",IF(COUNTIFS(BD!$A$3:$A$5001,S$3,BD!$B$3:$B$5001,$A$374,BD!$R$3:$R$5001,"&lt;&gt;")=0,"",SUMIFS(BD!$R$3:$R$5001,BD!$A$3:$A$5001,S$3,BD!$B$3:$B$5001,$A$374)))</f>
        <v/>
      </c>
      <c r="T390" s="232" t="str">
        <f>IF(T$3="","",IF(COUNTIFS(BD!$A$3:$A$5001,T$3,BD!$B$3:$B$5001,$A$374,BD!$R$3:$R$5001,"&lt;&gt;")=0,"",SUMIFS(BD!$R$3:$R$5001,BD!$A$3:$A$5001,T$3,BD!$B$3:$B$5001,$A$374)))</f>
        <v/>
      </c>
      <c r="U390" s="232" t="str">
        <f>IF(U$3="","",IF(COUNTIFS(BD!$A$3:$A$5001,U$3,BD!$B$3:$B$5001,$A$374,BD!$R$3:$R$5001,"&lt;&gt;")=0,"",SUMIFS(BD!$R$3:$R$5001,BD!$A$3:$A$5001,U$3,BD!$B$3:$B$5001,$A$374)))</f>
        <v/>
      </c>
      <c r="V390" s="232" t="str">
        <f>IF(V$3="","",IF(COUNTIFS(BD!$A$3:$A$5001,V$3,BD!$B$3:$B$5001,$A$374,BD!$R$3:$R$5001,"&lt;&gt;")=0,"",SUMIFS(BD!$R$3:$R$5001,BD!$A$3:$A$5001,V$3,BD!$B$3:$B$5001,$A$374)))</f>
        <v/>
      </c>
      <c r="W390" s="232" t="str">
        <f>IF(W$3="","",IF(COUNTIFS(BD!$A$3:$A$5001,W$3,BD!$B$3:$B$5001,$A$374,BD!$R$3:$R$5001,"&lt;&gt;")=0,"",SUMIFS(BD!$R$3:$R$5001,BD!$A$3:$A$5001,W$3,BD!$B$3:$B$5001,$A$374)))</f>
        <v/>
      </c>
      <c r="X390" s="232" t="str">
        <f>IF(X$3="","",IF(COUNTIFS(BD!$A$3:$A$5001,X$3,BD!$B$3:$B$5001,$A$374,BD!$R$3:$R$5001,"&lt;&gt;")=0,"",SUMIFS(BD!$R$3:$R$5001,BD!$A$3:$A$5001,X$3,BD!$B$3:$B$5001,$A$374)))</f>
        <v/>
      </c>
      <c r="Y390" s="232" t="str">
        <f>IF(Y$3="","",IF(COUNTIFS(BD!$A$3:$A$5001,Y$3,BD!$B$3:$B$5001,$A$374,BD!$R$3:$R$5001,"&lt;&gt;")=0,"",SUMIFS(BD!$R$3:$R$5001,BD!$A$3:$A$5001,Y$3,BD!$B$3:$B$5001,$A$374)))</f>
        <v/>
      </c>
      <c r="Z390" s="232" t="str">
        <f>IF(Z$3="","",IF(COUNTIFS(BD!$A$3:$A$5001,Z$3,BD!$B$3:$B$5001,$A$374,BD!$R$3:$R$5001,"&lt;&gt;")=0,"",SUMIFS(BD!$R$3:$R$5001,BD!$A$3:$A$5001,Z$3,BD!$B$3:$B$5001,$A$374)))</f>
        <v/>
      </c>
      <c r="AA390" s="232" t="str">
        <f>IF(AA$3="","",IF(COUNTIFS(BD!$A$3:$A$5001,AA$3,BD!$B$3:$B$5001,$A$374,BD!$R$3:$R$5001,"&lt;&gt;")=0,"",SUMIFS(BD!$R$3:$R$5001,BD!$A$3:$A$5001,AA$3,BD!$B$3:$B$5001,$A$374)))</f>
        <v/>
      </c>
      <c r="AB390" s="232" t="str">
        <f>IF(AB$3="","",IF(COUNTIFS(BD!$A$3:$A$5001,AB$3,BD!$B$3:$B$5001,$A$374,BD!$R$3:$R$5001,"&lt;&gt;")=0,"",SUMIFS(BD!$R$3:$R$5001,BD!$A$3:$A$5001,AB$3,BD!$B$3:$B$5001,$A$374)))</f>
        <v/>
      </c>
      <c r="AC390" s="232" t="str">
        <f>IF(AC$3="","",IF(COUNTIFS(BD!$A$3:$A$5001,AC$3,BD!$B$3:$B$5001,$A$374,BD!$R$3:$R$5001,"&lt;&gt;")=0,"",SUMIFS(BD!$R$3:$R$5001,BD!$A$3:$A$5001,AC$3,BD!$B$3:$B$5001,$A$374)))</f>
        <v/>
      </c>
      <c r="AD390" s="232" t="str">
        <f>IF(AD$3="","",IF(COUNTIFS(BD!$A$3:$A$5001,AD$3,BD!$B$3:$B$5001,$A$374,BD!$R$3:$R$5001,"&lt;&gt;")=0,"",SUMIFS(BD!$R$3:$R$5001,BD!$A$3:$A$5001,AD$3,BD!$B$3:$B$5001,$A$374)))</f>
        <v/>
      </c>
      <c r="AE390" s="232" t="str">
        <f>IF(AE$3="","",IF(COUNTIFS(BD!$A$3:$A$5001,AE$3,BD!$B$3:$B$5001,$A$374,BD!$R$3:$R$5001,"&lt;&gt;")=0,"",SUMIFS(BD!$R$3:$R$5001,BD!$A$3:$A$5001,AE$3,BD!$B$3:$B$5001,$A$374)))</f>
        <v/>
      </c>
      <c r="AF390" s="232" t="str">
        <f>IF(AF$3="","",IF(COUNTIFS(BD!$A$3:$A$5001,AF$3,BD!$B$3:$B$5001,$A$374,BD!$R$3:$R$5001,"&lt;&gt;")=0,"",SUMIFS(BD!$R$3:$R$5001,BD!$A$3:$A$5001,AF$3,BD!$B$3:$B$5001,$A$374)))</f>
        <v/>
      </c>
      <c r="AG390" s="232" t="str">
        <f>IF(AG$3="","",IF(COUNTIFS(BD!$A$3:$A$5001,AG$3,BD!$B$3:$B$5001,$A$374,BD!$R$3:$R$5001,"&lt;&gt;")=0,"",SUMIFS(BD!$R$3:$R$5001,BD!$A$3:$A$5001,AG$3,BD!$B$3:$B$5001,$A$374)))</f>
        <v/>
      </c>
      <c r="AH390" s="232" t="str">
        <f>IF(AH$3="","",IF(COUNTIFS(BD!$A$3:$A$5001,AH$3,BD!$B$3:$B$5001,$A$374,BD!$R$3:$R$5001,"&lt;&gt;")=0,"",SUMIFS(BD!$R$3:$R$5001,BD!$A$3:$A$5001,AH$3,BD!$B$3:$B$5001,$A$374)))</f>
        <v/>
      </c>
      <c r="AI390" s="232" t="str">
        <f>IF(AI$3="","",IF(COUNTIFS(BD!$A$3:$A$5001,AI$3,BD!$B$3:$B$5001,$A$374,BD!$R$3:$R$5001,"&lt;&gt;")=0,"",SUMIFS(BD!$R$3:$R$5001,BD!$A$3:$A$5001,AI$3,BD!$B$3:$B$5001,$A$374)))</f>
        <v/>
      </c>
      <c r="AJ390" s="233" t="str">
        <f>IF(AJ$3="","",IF(COUNTIFS(BD!$A$3:$A$5001,AJ$3,BD!$B$3:$B$5001,$A$374,BD!$R$3:$R$5001,"&lt;&gt;")=0,"",SUMIFS(BD!$R$3:$R$5001,BD!$A$3:$A$5001,AJ$3,BD!$B$3:$B$5001,$A$374)))</f>
        <v/>
      </c>
      <c r="AK390" s="234" t="str">
        <f>IF(COUNT(F390:AJ390)=0,"",SUM(F390:AJ390))</f>
        <v/>
      </c>
    </row>
    <row r="391" ht="15.75" customHeight="1" hidden="1">
      <c r="A391" s="254"/>
      <c r="B391" s="251"/>
      <c r="C391" s="228" t="inlineStr">
        <is>
          <t xml:space="preserve">Desvios Comportamentais</t>
        </is>
      </c>
      <c r="D391" s="229" t="str">
        <f>IFERROR(1/(1/INDEX(BD!$Y$40:$AS$40,MATCH($A$374,BD!$Y$22:$AS$22,0))),"")</f>
        <v/>
      </c>
      <c r="E391" s="230"/>
      <c r="F391" s="231" t="str">
        <f>IF(F$3="","",IF(COUNTIFS(BD!$A$3:$A$5001,F$3,BD!$B$3:$B$5001,$A$374,BD!$S$3:$S$5001,"&lt;&gt;")=0,"",SUMIFS(BD!$S$3:$S$5001,BD!$A$3:$A$5001,F$3,BD!$B$3:$B$5001,$A$374)))</f>
        <v/>
      </c>
      <c r="G391" s="232" t="str">
        <f>IF(G$3="","",IF(COUNTIFS(BD!$A$3:$A$5001,G$3,BD!$B$3:$B$5001,$A$374,BD!$S$3:$S$5001,"&lt;&gt;")=0,"",SUMIFS(BD!$S$3:$S$5001,BD!$A$3:$A$5001,G$3,BD!$B$3:$B$5001,$A$374)))</f>
        <v/>
      </c>
      <c r="H391" s="232" t="str">
        <f>IF(H$3="","",IF(COUNTIFS(BD!$A$3:$A$5001,H$3,BD!$B$3:$B$5001,$A$374,BD!$S$3:$S$5001,"&lt;&gt;")=0,"",SUMIFS(BD!$S$3:$S$5001,BD!$A$3:$A$5001,H$3,BD!$B$3:$B$5001,$A$374)))</f>
        <v/>
      </c>
      <c r="I391" s="232" t="str">
        <f>IF(I$3="","",IF(COUNTIFS(BD!$A$3:$A$5001,I$3,BD!$B$3:$B$5001,$A$374,BD!$S$3:$S$5001,"&lt;&gt;")=0,"",SUMIFS(BD!$S$3:$S$5001,BD!$A$3:$A$5001,I$3,BD!$B$3:$B$5001,$A$374)))</f>
        <v/>
      </c>
      <c r="J391" s="232" t="str">
        <f>IF(J$3="","",IF(COUNTIFS(BD!$A$3:$A$5001,J$3,BD!$B$3:$B$5001,$A$374,BD!$S$3:$S$5001,"&lt;&gt;")=0,"",SUMIFS(BD!$S$3:$S$5001,BD!$A$3:$A$5001,J$3,BD!$B$3:$B$5001,$A$374)))</f>
        <v/>
      </c>
      <c r="K391" s="232" t="str">
        <f>IF(K$3="","",IF(COUNTIFS(BD!$A$3:$A$5001,K$3,BD!$B$3:$B$5001,$A$374,BD!$S$3:$S$5001,"&lt;&gt;")=0,"",SUMIFS(BD!$S$3:$S$5001,BD!$A$3:$A$5001,K$3,BD!$B$3:$B$5001,$A$374)))</f>
        <v/>
      </c>
      <c r="L391" s="232" t="str">
        <f>IF(L$3="","",IF(COUNTIFS(BD!$A$3:$A$5001,L$3,BD!$B$3:$B$5001,$A$374,BD!$S$3:$S$5001,"&lt;&gt;")=0,"",SUMIFS(BD!$S$3:$S$5001,BD!$A$3:$A$5001,L$3,BD!$B$3:$B$5001,$A$374)))</f>
        <v/>
      </c>
      <c r="M391" s="232" t="str">
        <f>IF(M$3="","",IF(COUNTIFS(BD!$A$3:$A$5001,M$3,BD!$B$3:$B$5001,$A$374,BD!$S$3:$S$5001,"&lt;&gt;")=0,"",SUMIFS(BD!$S$3:$S$5001,BD!$A$3:$A$5001,M$3,BD!$B$3:$B$5001,$A$374)))</f>
        <v/>
      </c>
      <c r="N391" s="232" t="str">
        <f>IF(N$3="","",IF(COUNTIFS(BD!$A$3:$A$5001,N$3,BD!$B$3:$B$5001,$A$374,BD!$S$3:$S$5001,"&lt;&gt;")=0,"",SUMIFS(BD!$S$3:$S$5001,BD!$A$3:$A$5001,N$3,BD!$B$3:$B$5001,$A$374)))</f>
        <v/>
      </c>
      <c r="O391" s="232" t="str">
        <f>IF(O$3="","",IF(COUNTIFS(BD!$A$3:$A$5001,O$3,BD!$B$3:$B$5001,$A$374,BD!$S$3:$S$5001,"&lt;&gt;")=0,"",SUMIFS(BD!$S$3:$S$5001,BD!$A$3:$A$5001,O$3,BD!$B$3:$B$5001,$A$374)))</f>
        <v/>
      </c>
      <c r="P391" s="232" t="str">
        <f>IF(P$3="","",IF(COUNTIFS(BD!$A$3:$A$5001,P$3,BD!$B$3:$B$5001,$A$374,BD!$S$3:$S$5001,"&lt;&gt;")=0,"",SUMIFS(BD!$S$3:$S$5001,BD!$A$3:$A$5001,P$3,BD!$B$3:$B$5001,$A$374)))</f>
        <v/>
      </c>
      <c r="Q391" s="232" t="str">
        <f>IF(Q$3="","",IF(COUNTIFS(BD!$A$3:$A$5001,Q$3,BD!$B$3:$B$5001,$A$374,BD!$S$3:$S$5001,"&lt;&gt;")=0,"",SUMIFS(BD!$S$3:$S$5001,BD!$A$3:$A$5001,Q$3,BD!$B$3:$B$5001,$A$374)))</f>
        <v/>
      </c>
      <c r="R391" s="232" t="str">
        <f>IF(R$3="","",IF(COUNTIFS(BD!$A$3:$A$5001,R$3,BD!$B$3:$B$5001,$A$374,BD!$S$3:$S$5001,"&lt;&gt;")=0,"",SUMIFS(BD!$S$3:$S$5001,BD!$A$3:$A$5001,R$3,BD!$B$3:$B$5001,$A$374)))</f>
        <v/>
      </c>
      <c r="S391" s="232" t="str">
        <f>IF(S$3="","",IF(COUNTIFS(BD!$A$3:$A$5001,S$3,BD!$B$3:$B$5001,$A$374,BD!$S$3:$S$5001,"&lt;&gt;")=0,"",SUMIFS(BD!$S$3:$S$5001,BD!$A$3:$A$5001,S$3,BD!$B$3:$B$5001,$A$374)))</f>
        <v/>
      </c>
      <c r="T391" s="232" t="str">
        <f>IF(T$3="","",IF(COUNTIFS(BD!$A$3:$A$5001,T$3,BD!$B$3:$B$5001,$A$374,BD!$S$3:$S$5001,"&lt;&gt;")=0,"",SUMIFS(BD!$S$3:$S$5001,BD!$A$3:$A$5001,T$3,BD!$B$3:$B$5001,$A$374)))</f>
        <v/>
      </c>
      <c r="U391" s="232" t="str">
        <f>IF(U$3="","",IF(COUNTIFS(BD!$A$3:$A$5001,U$3,BD!$B$3:$B$5001,$A$374,BD!$S$3:$S$5001,"&lt;&gt;")=0,"",SUMIFS(BD!$S$3:$S$5001,BD!$A$3:$A$5001,U$3,BD!$B$3:$B$5001,$A$374)))</f>
        <v/>
      </c>
      <c r="V391" s="232" t="str">
        <f>IF(V$3="","",IF(COUNTIFS(BD!$A$3:$A$5001,V$3,BD!$B$3:$B$5001,$A$374,BD!$S$3:$S$5001,"&lt;&gt;")=0,"",SUMIFS(BD!$S$3:$S$5001,BD!$A$3:$A$5001,V$3,BD!$B$3:$B$5001,$A$374)))</f>
        <v/>
      </c>
      <c r="W391" s="232" t="str">
        <f>IF(W$3="","",IF(COUNTIFS(BD!$A$3:$A$5001,W$3,BD!$B$3:$B$5001,$A$374,BD!$S$3:$S$5001,"&lt;&gt;")=0,"",SUMIFS(BD!$S$3:$S$5001,BD!$A$3:$A$5001,W$3,BD!$B$3:$B$5001,$A$374)))</f>
        <v/>
      </c>
      <c r="X391" s="232" t="str">
        <f>IF(X$3="","",IF(COUNTIFS(BD!$A$3:$A$5001,X$3,BD!$B$3:$B$5001,$A$374,BD!$S$3:$S$5001,"&lt;&gt;")=0,"",SUMIFS(BD!$S$3:$S$5001,BD!$A$3:$A$5001,X$3,BD!$B$3:$B$5001,$A$374)))</f>
        <v/>
      </c>
      <c r="Y391" s="232" t="str">
        <f>IF(Y$3="","",IF(COUNTIFS(BD!$A$3:$A$5001,Y$3,BD!$B$3:$B$5001,$A$374,BD!$S$3:$S$5001,"&lt;&gt;")=0,"",SUMIFS(BD!$S$3:$S$5001,BD!$A$3:$A$5001,Y$3,BD!$B$3:$B$5001,$A$374)))</f>
        <v/>
      </c>
      <c r="Z391" s="232" t="str">
        <f>IF(Z$3="","",IF(COUNTIFS(BD!$A$3:$A$5001,Z$3,BD!$B$3:$B$5001,$A$374,BD!$S$3:$S$5001,"&lt;&gt;")=0,"",SUMIFS(BD!$S$3:$S$5001,BD!$A$3:$A$5001,Z$3,BD!$B$3:$B$5001,$A$374)))</f>
        <v/>
      </c>
      <c r="AA391" s="232" t="str">
        <f>IF(AA$3="","",IF(COUNTIFS(BD!$A$3:$A$5001,AA$3,BD!$B$3:$B$5001,$A$374,BD!$S$3:$S$5001,"&lt;&gt;")=0,"",SUMIFS(BD!$S$3:$S$5001,BD!$A$3:$A$5001,AA$3,BD!$B$3:$B$5001,$A$374)))</f>
        <v/>
      </c>
      <c r="AB391" s="232" t="str">
        <f>IF(AB$3="","",IF(COUNTIFS(BD!$A$3:$A$5001,AB$3,BD!$B$3:$B$5001,$A$374,BD!$S$3:$S$5001,"&lt;&gt;")=0,"",SUMIFS(BD!$S$3:$S$5001,BD!$A$3:$A$5001,AB$3,BD!$B$3:$B$5001,$A$374)))</f>
        <v/>
      </c>
      <c r="AC391" s="232" t="str">
        <f>IF(AC$3="","",IF(COUNTIFS(BD!$A$3:$A$5001,AC$3,BD!$B$3:$B$5001,$A$374,BD!$S$3:$S$5001,"&lt;&gt;")=0,"",SUMIFS(BD!$S$3:$S$5001,BD!$A$3:$A$5001,AC$3,BD!$B$3:$B$5001,$A$374)))</f>
        <v/>
      </c>
      <c r="AD391" s="232" t="str">
        <f>IF(AD$3="","",IF(COUNTIFS(BD!$A$3:$A$5001,AD$3,BD!$B$3:$B$5001,$A$374,BD!$S$3:$S$5001,"&lt;&gt;")=0,"",SUMIFS(BD!$S$3:$S$5001,BD!$A$3:$A$5001,AD$3,BD!$B$3:$B$5001,$A$374)))</f>
        <v/>
      </c>
      <c r="AE391" s="232" t="str">
        <f>IF(AE$3="","",IF(COUNTIFS(BD!$A$3:$A$5001,AE$3,BD!$B$3:$B$5001,$A$374,BD!$S$3:$S$5001,"&lt;&gt;")=0,"",SUMIFS(BD!$S$3:$S$5001,BD!$A$3:$A$5001,AE$3,BD!$B$3:$B$5001,$A$374)))</f>
        <v/>
      </c>
      <c r="AF391" s="232" t="str">
        <f>IF(AF$3="","",IF(COUNTIFS(BD!$A$3:$A$5001,AF$3,BD!$B$3:$B$5001,$A$374,BD!$S$3:$S$5001,"&lt;&gt;")=0,"",SUMIFS(BD!$S$3:$S$5001,BD!$A$3:$A$5001,AF$3,BD!$B$3:$B$5001,$A$374)))</f>
        <v/>
      </c>
      <c r="AG391" s="232" t="str">
        <f>IF(AG$3="","",IF(COUNTIFS(BD!$A$3:$A$5001,AG$3,BD!$B$3:$B$5001,$A$374,BD!$S$3:$S$5001,"&lt;&gt;")=0,"",SUMIFS(BD!$S$3:$S$5001,BD!$A$3:$A$5001,AG$3,BD!$B$3:$B$5001,$A$374)))</f>
        <v/>
      </c>
      <c r="AH391" s="232" t="str">
        <f>IF(AH$3="","",IF(COUNTIFS(BD!$A$3:$A$5001,AH$3,BD!$B$3:$B$5001,$A$374,BD!$S$3:$S$5001,"&lt;&gt;")=0,"",SUMIFS(BD!$S$3:$S$5001,BD!$A$3:$A$5001,AH$3,BD!$B$3:$B$5001,$A$374)))</f>
        <v/>
      </c>
      <c r="AI391" s="232" t="str">
        <f>IF(AI$3="","",IF(COUNTIFS(BD!$A$3:$A$5001,AI$3,BD!$B$3:$B$5001,$A$374,BD!$S$3:$S$5001,"&lt;&gt;")=0,"",SUMIFS(BD!$S$3:$S$5001,BD!$A$3:$A$5001,AI$3,BD!$B$3:$B$5001,$A$374)))</f>
        <v/>
      </c>
      <c r="AJ391" s="233" t="str">
        <f>IF(AJ$3="","",IF(COUNTIFS(BD!$A$3:$A$5001,AJ$3,BD!$B$3:$B$5001,$A$374,BD!$S$3:$S$5001,"&lt;&gt;")=0,"",SUMIFS(BD!$S$3:$S$5001,BD!$A$3:$A$5001,AJ$3,BD!$B$3:$B$5001,$A$374)))</f>
        <v/>
      </c>
      <c r="AK391" s="234" t="str">
        <f>IF(COUNT(F391:AJ391)=0,"",SUM(F391:AJ391))</f>
        <v/>
      </c>
    </row>
    <row r="392" ht="15.75" customHeight="1" hidden="1">
      <c r="A392" s="254"/>
      <c r="B392" s="251"/>
      <c r="C392" s="228" t="inlineStr">
        <is>
          <t xml:space="preserve">Acidentes CAF</t>
        </is>
      </c>
      <c r="D392" s="229" t="str">
        <f>IFERROR(1/(1/INDEX(BD!$Y$41:$AS$41,MATCH($A$374,BD!$Y$22:$AS$22,0))),"")</f>
        <v/>
      </c>
      <c r="E392" s="230"/>
      <c r="F392" s="231" t="str">
        <f>IF(F$3="","",IF(COUNTIFS(BD!$A$3:$A$5001,F$3,BD!$B$3:$B$5001,$A$374,BD!$T$3:$T$5001,"&lt;&gt;")=0,"",SUMIFS(BD!$T$3:$T$5001,BD!$A$3:$A$5001,F$3,BD!$B$3:$B$5001,$A$374)))</f>
        <v/>
      </c>
      <c r="G392" s="232" t="str">
        <f>IF(G$3="","",IF(COUNTIFS(BD!$A$3:$A$5001,G$3,BD!$B$3:$B$5001,$A$374,BD!$T$3:$T$5001,"&lt;&gt;")=0,"",SUMIFS(BD!$T$3:$T$5001,BD!$A$3:$A$5001,G$3,BD!$B$3:$B$5001,$A$374)))</f>
        <v/>
      </c>
      <c r="H392" s="232" t="str">
        <f>IF(H$3="","",IF(COUNTIFS(BD!$A$3:$A$5001,H$3,BD!$B$3:$B$5001,$A$374,BD!$T$3:$T$5001,"&lt;&gt;")=0,"",SUMIFS(BD!$T$3:$T$5001,BD!$A$3:$A$5001,H$3,BD!$B$3:$B$5001,$A$374)))</f>
        <v/>
      </c>
      <c r="I392" s="232" t="str">
        <f>IF(I$3="","",IF(COUNTIFS(BD!$A$3:$A$5001,I$3,BD!$B$3:$B$5001,$A$374,BD!$T$3:$T$5001,"&lt;&gt;")=0,"",SUMIFS(BD!$T$3:$T$5001,BD!$A$3:$A$5001,I$3,BD!$B$3:$B$5001,$A$374)))</f>
        <v/>
      </c>
      <c r="J392" s="232" t="str">
        <f>IF(J$3="","",IF(COUNTIFS(BD!$A$3:$A$5001,J$3,BD!$B$3:$B$5001,$A$374,BD!$T$3:$T$5001,"&lt;&gt;")=0,"",SUMIFS(BD!$T$3:$T$5001,BD!$A$3:$A$5001,J$3,BD!$B$3:$B$5001,$A$374)))</f>
        <v/>
      </c>
      <c r="K392" s="232" t="str">
        <f>IF(K$3="","",IF(COUNTIFS(BD!$A$3:$A$5001,K$3,BD!$B$3:$B$5001,$A$374,BD!$T$3:$T$5001,"&lt;&gt;")=0,"",SUMIFS(BD!$T$3:$T$5001,BD!$A$3:$A$5001,K$3,BD!$B$3:$B$5001,$A$374)))</f>
        <v/>
      </c>
      <c r="L392" s="232" t="str">
        <f>IF(L$3="","",IF(COUNTIFS(BD!$A$3:$A$5001,L$3,BD!$B$3:$B$5001,$A$374,BD!$T$3:$T$5001,"&lt;&gt;")=0,"",SUMIFS(BD!$T$3:$T$5001,BD!$A$3:$A$5001,L$3,BD!$B$3:$B$5001,$A$374)))</f>
        <v/>
      </c>
      <c r="M392" s="232" t="str">
        <f>IF(M$3="","",IF(COUNTIFS(BD!$A$3:$A$5001,M$3,BD!$B$3:$B$5001,$A$374,BD!$T$3:$T$5001,"&lt;&gt;")=0,"",SUMIFS(BD!$T$3:$T$5001,BD!$A$3:$A$5001,M$3,BD!$B$3:$B$5001,$A$374)))</f>
        <v/>
      </c>
      <c r="N392" s="232" t="str">
        <f>IF(N$3="","",IF(COUNTIFS(BD!$A$3:$A$5001,N$3,BD!$B$3:$B$5001,$A$374,BD!$T$3:$T$5001,"&lt;&gt;")=0,"",SUMIFS(BD!$T$3:$T$5001,BD!$A$3:$A$5001,N$3,BD!$B$3:$B$5001,$A$374)))</f>
        <v/>
      </c>
      <c r="O392" s="232" t="str">
        <f>IF(O$3="","",IF(COUNTIFS(BD!$A$3:$A$5001,O$3,BD!$B$3:$B$5001,$A$374,BD!$T$3:$T$5001,"&lt;&gt;")=0,"",SUMIFS(BD!$T$3:$T$5001,BD!$A$3:$A$5001,O$3,BD!$B$3:$B$5001,$A$374)))</f>
        <v/>
      </c>
      <c r="P392" s="232" t="str">
        <f>IF(P$3="","",IF(COUNTIFS(BD!$A$3:$A$5001,P$3,BD!$B$3:$B$5001,$A$374,BD!$T$3:$T$5001,"&lt;&gt;")=0,"",SUMIFS(BD!$T$3:$T$5001,BD!$A$3:$A$5001,P$3,BD!$B$3:$B$5001,$A$374)))</f>
        <v/>
      </c>
      <c r="Q392" s="232" t="str">
        <f>IF(Q$3="","",IF(COUNTIFS(BD!$A$3:$A$5001,Q$3,BD!$B$3:$B$5001,$A$374,BD!$T$3:$T$5001,"&lt;&gt;")=0,"",SUMIFS(BD!$T$3:$T$5001,BD!$A$3:$A$5001,Q$3,BD!$B$3:$B$5001,$A$374)))</f>
        <v/>
      </c>
      <c r="R392" s="232" t="str">
        <f>IF(R$3="","",IF(COUNTIFS(BD!$A$3:$A$5001,R$3,BD!$B$3:$B$5001,$A$374,BD!$T$3:$T$5001,"&lt;&gt;")=0,"",SUMIFS(BD!$T$3:$T$5001,BD!$A$3:$A$5001,R$3,BD!$B$3:$B$5001,$A$374)))</f>
        <v/>
      </c>
      <c r="S392" s="232" t="str">
        <f>IF(S$3="","",IF(COUNTIFS(BD!$A$3:$A$5001,S$3,BD!$B$3:$B$5001,$A$374,BD!$T$3:$T$5001,"&lt;&gt;")=0,"",SUMIFS(BD!$T$3:$T$5001,BD!$A$3:$A$5001,S$3,BD!$B$3:$B$5001,$A$374)))</f>
        <v/>
      </c>
      <c r="T392" s="232" t="str">
        <f>IF(T$3="","",IF(COUNTIFS(BD!$A$3:$A$5001,T$3,BD!$B$3:$B$5001,$A$374,BD!$T$3:$T$5001,"&lt;&gt;")=0,"",SUMIFS(BD!$T$3:$T$5001,BD!$A$3:$A$5001,T$3,BD!$B$3:$B$5001,$A$374)))</f>
        <v/>
      </c>
      <c r="U392" s="232" t="str">
        <f>IF(U$3="","",IF(COUNTIFS(BD!$A$3:$A$5001,U$3,BD!$B$3:$B$5001,$A$374,BD!$T$3:$T$5001,"&lt;&gt;")=0,"",SUMIFS(BD!$T$3:$T$5001,BD!$A$3:$A$5001,U$3,BD!$B$3:$B$5001,$A$374)))</f>
        <v/>
      </c>
      <c r="V392" s="232" t="str">
        <f>IF(V$3="","",IF(COUNTIFS(BD!$A$3:$A$5001,V$3,BD!$B$3:$B$5001,$A$374,BD!$T$3:$T$5001,"&lt;&gt;")=0,"",SUMIFS(BD!$T$3:$T$5001,BD!$A$3:$A$5001,V$3,BD!$B$3:$B$5001,$A$374)))</f>
        <v/>
      </c>
      <c r="W392" s="232" t="str">
        <f>IF(W$3="","",IF(COUNTIFS(BD!$A$3:$A$5001,W$3,BD!$B$3:$B$5001,$A$374,BD!$T$3:$T$5001,"&lt;&gt;")=0,"",SUMIFS(BD!$T$3:$T$5001,BD!$A$3:$A$5001,W$3,BD!$B$3:$B$5001,$A$374)))</f>
        <v/>
      </c>
      <c r="X392" s="232" t="str">
        <f>IF(X$3="","",IF(COUNTIFS(BD!$A$3:$A$5001,X$3,BD!$B$3:$B$5001,$A$374,BD!$T$3:$T$5001,"&lt;&gt;")=0,"",SUMIFS(BD!$T$3:$T$5001,BD!$A$3:$A$5001,X$3,BD!$B$3:$B$5001,$A$374)))</f>
        <v/>
      </c>
      <c r="Y392" s="232" t="str">
        <f>IF(Y$3="","",IF(COUNTIFS(BD!$A$3:$A$5001,Y$3,BD!$B$3:$B$5001,$A$374,BD!$T$3:$T$5001,"&lt;&gt;")=0,"",SUMIFS(BD!$T$3:$T$5001,BD!$A$3:$A$5001,Y$3,BD!$B$3:$B$5001,$A$374)))</f>
        <v/>
      </c>
      <c r="Z392" s="232" t="str">
        <f>IF(Z$3="","",IF(COUNTIFS(BD!$A$3:$A$5001,Z$3,BD!$B$3:$B$5001,$A$374,BD!$T$3:$T$5001,"&lt;&gt;")=0,"",SUMIFS(BD!$T$3:$T$5001,BD!$A$3:$A$5001,Z$3,BD!$B$3:$B$5001,$A$374)))</f>
        <v/>
      </c>
      <c r="AA392" s="232" t="str">
        <f>IF(AA$3="","",IF(COUNTIFS(BD!$A$3:$A$5001,AA$3,BD!$B$3:$B$5001,$A$374,BD!$T$3:$T$5001,"&lt;&gt;")=0,"",SUMIFS(BD!$T$3:$T$5001,BD!$A$3:$A$5001,AA$3,BD!$B$3:$B$5001,$A$374)))</f>
        <v/>
      </c>
      <c r="AB392" s="232" t="str">
        <f>IF(AB$3="","",IF(COUNTIFS(BD!$A$3:$A$5001,AB$3,BD!$B$3:$B$5001,$A$374,BD!$T$3:$T$5001,"&lt;&gt;")=0,"",SUMIFS(BD!$T$3:$T$5001,BD!$A$3:$A$5001,AB$3,BD!$B$3:$B$5001,$A$374)))</f>
        <v/>
      </c>
      <c r="AC392" s="232" t="str">
        <f>IF(AC$3="","",IF(COUNTIFS(BD!$A$3:$A$5001,AC$3,BD!$B$3:$B$5001,$A$374,BD!$T$3:$T$5001,"&lt;&gt;")=0,"",SUMIFS(BD!$T$3:$T$5001,BD!$A$3:$A$5001,AC$3,BD!$B$3:$B$5001,$A$374)))</f>
        <v/>
      </c>
      <c r="AD392" s="232" t="str">
        <f>IF(AD$3="","",IF(COUNTIFS(BD!$A$3:$A$5001,AD$3,BD!$B$3:$B$5001,$A$374,BD!$T$3:$T$5001,"&lt;&gt;")=0,"",SUMIFS(BD!$T$3:$T$5001,BD!$A$3:$A$5001,AD$3,BD!$B$3:$B$5001,$A$374)))</f>
        <v/>
      </c>
      <c r="AE392" s="232" t="str">
        <f>IF(AE$3="","",IF(COUNTIFS(BD!$A$3:$A$5001,AE$3,BD!$B$3:$B$5001,$A$374,BD!$T$3:$T$5001,"&lt;&gt;")=0,"",SUMIFS(BD!$T$3:$T$5001,BD!$A$3:$A$5001,AE$3,BD!$B$3:$B$5001,$A$374)))</f>
        <v/>
      </c>
      <c r="AF392" s="232" t="str">
        <f>IF(AF$3="","",IF(COUNTIFS(BD!$A$3:$A$5001,AF$3,BD!$B$3:$B$5001,$A$374,BD!$T$3:$T$5001,"&lt;&gt;")=0,"",SUMIFS(BD!$T$3:$T$5001,BD!$A$3:$A$5001,AF$3,BD!$B$3:$B$5001,$A$374)))</f>
        <v/>
      </c>
      <c r="AG392" s="232" t="str">
        <f>IF(AG$3="","",IF(COUNTIFS(BD!$A$3:$A$5001,AG$3,BD!$B$3:$B$5001,$A$374,BD!$T$3:$T$5001,"&lt;&gt;")=0,"",SUMIFS(BD!$T$3:$T$5001,BD!$A$3:$A$5001,AG$3,BD!$B$3:$B$5001,$A$374)))</f>
        <v/>
      </c>
      <c r="AH392" s="232" t="str">
        <f>IF(AH$3="","",IF(COUNTIFS(BD!$A$3:$A$5001,AH$3,BD!$B$3:$B$5001,$A$374,BD!$T$3:$T$5001,"&lt;&gt;")=0,"",SUMIFS(BD!$T$3:$T$5001,BD!$A$3:$A$5001,AH$3,BD!$B$3:$B$5001,$A$374)))</f>
        <v/>
      </c>
      <c r="AI392" s="232" t="str">
        <f>IF(AI$3="","",IF(COUNTIFS(BD!$A$3:$A$5001,AI$3,BD!$B$3:$B$5001,$A$374,BD!$T$3:$T$5001,"&lt;&gt;")=0,"",SUMIFS(BD!$T$3:$T$5001,BD!$A$3:$A$5001,AI$3,BD!$B$3:$B$5001,$A$374)))</f>
        <v/>
      </c>
      <c r="AJ392" s="233" t="str">
        <f>IF(AJ$3="","",IF(COUNTIFS(BD!$A$3:$A$5001,AJ$3,BD!$B$3:$B$5001,$A$374,BD!$T$3:$T$5001,"&lt;&gt;")=0,"",SUMIFS(BD!$T$3:$T$5001,BD!$A$3:$A$5001,AJ$3,BD!$B$3:$B$5001,$A$374)))</f>
        <v/>
      </c>
      <c r="AK392" s="234" t="str">
        <f>IF(COUNT(F392:AJ392)=0,"",SUM(F392:AJ392))</f>
        <v/>
      </c>
    </row>
    <row r="393" ht="15.75" customHeight="1" hidden="1">
      <c r="A393" s="255"/>
      <c r="B393" s="252"/>
      <c r="C393" s="235" t="inlineStr">
        <is>
          <t xml:space="preserve">Acidentes SAF</t>
        </is>
      </c>
      <c r="D393" s="236" t="str">
        <f>IFERROR(1/(1/INDEX(BD!$Y$42:$AS$42,MATCH($A$374,BD!$Y$22:$AS$22,0))),"")</f>
        <v/>
      </c>
      <c r="E393" s="237"/>
      <c r="F393" s="238" t="str">
        <f>IF(F$3="","",IF(COUNTIFS(BD!$A$3:$A$5001,F$3,BD!$B$3:$B$5001,$A$374,BD!$U$3:$U$5001,"&lt;&gt;")=0,"",SUMIFS(BD!$U$3:$U$5001,BD!$A$3:$A$5001,F$3,BD!$B$3:$B$5001,$A$374)))</f>
        <v/>
      </c>
      <c r="G393" s="239" t="str">
        <f>IF(G$3="","",IF(COUNTIFS(BD!$A$3:$A$5001,G$3,BD!$B$3:$B$5001,$A$374,BD!$U$3:$U$5001,"&lt;&gt;")=0,"",SUMIFS(BD!$U$3:$U$5001,BD!$A$3:$A$5001,G$3,BD!$B$3:$B$5001,$A$374)))</f>
        <v/>
      </c>
      <c r="H393" s="239" t="str">
        <f>IF(H$3="","",IF(COUNTIFS(BD!$A$3:$A$5001,H$3,BD!$B$3:$B$5001,$A$374,BD!$U$3:$U$5001,"&lt;&gt;")=0,"",SUMIFS(BD!$U$3:$U$5001,BD!$A$3:$A$5001,H$3,BD!$B$3:$B$5001,$A$374)))</f>
        <v/>
      </c>
      <c r="I393" s="239" t="str">
        <f>IF(I$3="","",IF(COUNTIFS(BD!$A$3:$A$5001,I$3,BD!$B$3:$B$5001,$A$374,BD!$U$3:$U$5001,"&lt;&gt;")=0,"",SUMIFS(BD!$U$3:$U$5001,BD!$A$3:$A$5001,I$3,BD!$B$3:$B$5001,$A$374)))</f>
        <v/>
      </c>
      <c r="J393" s="239" t="str">
        <f>IF(J$3="","",IF(COUNTIFS(BD!$A$3:$A$5001,J$3,BD!$B$3:$B$5001,$A$374,BD!$U$3:$U$5001,"&lt;&gt;")=0,"",SUMIFS(BD!$U$3:$U$5001,BD!$A$3:$A$5001,J$3,BD!$B$3:$B$5001,$A$374)))</f>
        <v/>
      </c>
      <c r="K393" s="239" t="str">
        <f>IF(K$3="","",IF(COUNTIFS(BD!$A$3:$A$5001,K$3,BD!$B$3:$B$5001,$A$374,BD!$U$3:$U$5001,"&lt;&gt;")=0,"",SUMIFS(BD!$U$3:$U$5001,BD!$A$3:$A$5001,K$3,BD!$B$3:$B$5001,$A$374)))</f>
        <v/>
      </c>
      <c r="L393" s="239" t="str">
        <f>IF(L$3="","",IF(COUNTIFS(BD!$A$3:$A$5001,L$3,BD!$B$3:$B$5001,$A$374,BD!$U$3:$U$5001,"&lt;&gt;")=0,"",SUMIFS(BD!$U$3:$U$5001,BD!$A$3:$A$5001,L$3,BD!$B$3:$B$5001,$A$374)))</f>
        <v/>
      </c>
      <c r="M393" s="239" t="str">
        <f>IF(M$3="","",IF(COUNTIFS(BD!$A$3:$A$5001,M$3,BD!$B$3:$B$5001,$A$374,BD!$U$3:$U$5001,"&lt;&gt;")=0,"",SUMIFS(BD!$U$3:$U$5001,BD!$A$3:$A$5001,M$3,BD!$B$3:$B$5001,$A$374)))</f>
        <v/>
      </c>
      <c r="N393" s="239" t="str">
        <f>IF(N$3="","",IF(COUNTIFS(BD!$A$3:$A$5001,N$3,BD!$B$3:$B$5001,$A$374,BD!$U$3:$U$5001,"&lt;&gt;")=0,"",SUMIFS(BD!$U$3:$U$5001,BD!$A$3:$A$5001,N$3,BD!$B$3:$B$5001,$A$374)))</f>
        <v/>
      </c>
      <c r="O393" s="239" t="str">
        <f>IF(O$3="","",IF(COUNTIFS(BD!$A$3:$A$5001,O$3,BD!$B$3:$B$5001,$A$374,BD!$U$3:$U$5001,"&lt;&gt;")=0,"",SUMIFS(BD!$U$3:$U$5001,BD!$A$3:$A$5001,O$3,BD!$B$3:$B$5001,$A$374)))</f>
        <v/>
      </c>
      <c r="P393" s="239" t="str">
        <f>IF(P$3="","",IF(COUNTIFS(BD!$A$3:$A$5001,P$3,BD!$B$3:$B$5001,$A$374,BD!$U$3:$U$5001,"&lt;&gt;")=0,"",SUMIFS(BD!$U$3:$U$5001,BD!$A$3:$A$5001,P$3,BD!$B$3:$B$5001,$A$374)))</f>
        <v/>
      </c>
      <c r="Q393" s="239" t="str">
        <f>IF(Q$3="","",IF(COUNTIFS(BD!$A$3:$A$5001,Q$3,BD!$B$3:$B$5001,$A$374,BD!$U$3:$U$5001,"&lt;&gt;")=0,"",SUMIFS(BD!$U$3:$U$5001,BD!$A$3:$A$5001,Q$3,BD!$B$3:$B$5001,$A$374)))</f>
        <v/>
      </c>
      <c r="R393" s="239" t="str">
        <f>IF(R$3="","",IF(COUNTIFS(BD!$A$3:$A$5001,R$3,BD!$B$3:$B$5001,$A$374,BD!$U$3:$U$5001,"&lt;&gt;")=0,"",SUMIFS(BD!$U$3:$U$5001,BD!$A$3:$A$5001,R$3,BD!$B$3:$B$5001,$A$374)))</f>
        <v/>
      </c>
      <c r="S393" s="239" t="str">
        <f>IF(S$3="","",IF(COUNTIFS(BD!$A$3:$A$5001,S$3,BD!$B$3:$B$5001,$A$374,BD!$U$3:$U$5001,"&lt;&gt;")=0,"",SUMIFS(BD!$U$3:$U$5001,BD!$A$3:$A$5001,S$3,BD!$B$3:$B$5001,$A$374)))</f>
        <v/>
      </c>
      <c r="T393" s="239" t="str">
        <f>IF(T$3="","",IF(COUNTIFS(BD!$A$3:$A$5001,T$3,BD!$B$3:$B$5001,$A$374,BD!$U$3:$U$5001,"&lt;&gt;")=0,"",SUMIFS(BD!$U$3:$U$5001,BD!$A$3:$A$5001,T$3,BD!$B$3:$B$5001,$A$374)))</f>
        <v/>
      </c>
      <c r="U393" s="239" t="str">
        <f>IF(U$3="","",IF(COUNTIFS(BD!$A$3:$A$5001,U$3,BD!$B$3:$B$5001,$A$374,BD!$U$3:$U$5001,"&lt;&gt;")=0,"",SUMIFS(BD!$U$3:$U$5001,BD!$A$3:$A$5001,U$3,BD!$B$3:$B$5001,$A$374)))</f>
        <v/>
      </c>
      <c r="V393" s="239" t="str">
        <f>IF(V$3="","",IF(COUNTIFS(BD!$A$3:$A$5001,V$3,BD!$B$3:$B$5001,$A$374,BD!$U$3:$U$5001,"&lt;&gt;")=0,"",SUMIFS(BD!$U$3:$U$5001,BD!$A$3:$A$5001,V$3,BD!$B$3:$B$5001,$A$374)))</f>
        <v/>
      </c>
      <c r="W393" s="239" t="str">
        <f>IF(W$3="","",IF(COUNTIFS(BD!$A$3:$A$5001,W$3,BD!$B$3:$B$5001,$A$374,BD!$U$3:$U$5001,"&lt;&gt;")=0,"",SUMIFS(BD!$U$3:$U$5001,BD!$A$3:$A$5001,W$3,BD!$B$3:$B$5001,$A$374)))</f>
        <v/>
      </c>
      <c r="X393" s="239" t="str">
        <f>IF(X$3="","",IF(COUNTIFS(BD!$A$3:$A$5001,X$3,BD!$B$3:$B$5001,$A$374,BD!$U$3:$U$5001,"&lt;&gt;")=0,"",SUMIFS(BD!$U$3:$U$5001,BD!$A$3:$A$5001,X$3,BD!$B$3:$B$5001,$A$374)))</f>
        <v/>
      </c>
      <c r="Y393" s="239" t="str">
        <f>IF(Y$3="","",IF(COUNTIFS(BD!$A$3:$A$5001,Y$3,BD!$B$3:$B$5001,$A$374,BD!$U$3:$U$5001,"&lt;&gt;")=0,"",SUMIFS(BD!$U$3:$U$5001,BD!$A$3:$A$5001,Y$3,BD!$B$3:$B$5001,$A$374)))</f>
        <v/>
      </c>
      <c r="Z393" s="239" t="str">
        <f>IF(Z$3="","",IF(COUNTIFS(BD!$A$3:$A$5001,Z$3,BD!$B$3:$B$5001,$A$374,BD!$U$3:$U$5001,"&lt;&gt;")=0,"",SUMIFS(BD!$U$3:$U$5001,BD!$A$3:$A$5001,Z$3,BD!$B$3:$B$5001,$A$374)))</f>
        <v/>
      </c>
      <c r="AA393" s="239" t="str">
        <f>IF(AA$3="","",IF(COUNTIFS(BD!$A$3:$A$5001,AA$3,BD!$B$3:$B$5001,$A$374,BD!$U$3:$U$5001,"&lt;&gt;")=0,"",SUMIFS(BD!$U$3:$U$5001,BD!$A$3:$A$5001,AA$3,BD!$B$3:$B$5001,$A$374)))</f>
        <v/>
      </c>
      <c r="AB393" s="239" t="str">
        <f>IF(AB$3="","",IF(COUNTIFS(BD!$A$3:$A$5001,AB$3,BD!$B$3:$B$5001,$A$374,BD!$U$3:$U$5001,"&lt;&gt;")=0,"",SUMIFS(BD!$U$3:$U$5001,BD!$A$3:$A$5001,AB$3,BD!$B$3:$B$5001,$A$374)))</f>
        <v/>
      </c>
      <c r="AC393" s="239" t="str">
        <f>IF(AC$3="","",IF(COUNTIFS(BD!$A$3:$A$5001,AC$3,BD!$B$3:$B$5001,$A$374,BD!$U$3:$U$5001,"&lt;&gt;")=0,"",SUMIFS(BD!$U$3:$U$5001,BD!$A$3:$A$5001,AC$3,BD!$B$3:$B$5001,$A$374)))</f>
        <v/>
      </c>
      <c r="AD393" s="239" t="str">
        <f>IF(AD$3="","",IF(COUNTIFS(BD!$A$3:$A$5001,AD$3,BD!$B$3:$B$5001,$A$374,BD!$U$3:$U$5001,"&lt;&gt;")=0,"",SUMIFS(BD!$U$3:$U$5001,BD!$A$3:$A$5001,AD$3,BD!$B$3:$B$5001,$A$374)))</f>
        <v/>
      </c>
      <c r="AE393" s="239" t="str">
        <f>IF(AE$3="","",IF(COUNTIFS(BD!$A$3:$A$5001,AE$3,BD!$B$3:$B$5001,$A$374,BD!$U$3:$U$5001,"&lt;&gt;")=0,"",SUMIFS(BD!$U$3:$U$5001,BD!$A$3:$A$5001,AE$3,BD!$B$3:$B$5001,$A$374)))</f>
        <v/>
      </c>
      <c r="AF393" s="239" t="str">
        <f>IF(AF$3="","",IF(COUNTIFS(BD!$A$3:$A$5001,AF$3,BD!$B$3:$B$5001,$A$374,BD!$U$3:$U$5001,"&lt;&gt;")=0,"",SUMIFS(BD!$U$3:$U$5001,BD!$A$3:$A$5001,AF$3,BD!$B$3:$B$5001,$A$374)))</f>
        <v/>
      </c>
      <c r="AG393" s="239" t="str">
        <f>IF(AG$3="","",IF(COUNTIFS(BD!$A$3:$A$5001,AG$3,BD!$B$3:$B$5001,$A$374,BD!$U$3:$U$5001,"&lt;&gt;")=0,"",SUMIFS(BD!$U$3:$U$5001,BD!$A$3:$A$5001,AG$3,BD!$B$3:$B$5001,$A$374)))</f>
        <v/>
      </c>
      <c r="AH393" s="239" t="str">
        <f>IF(AH$3="","",IF(COUNTIFS(BD!$A$3:$A$5001,AH$3,BD!$B$3:$B$5001,$A$374,BD!$U$3:$U$5001,"&lt;&gt;")=0,"",SUMIFS(BD!$U$3:$U$5001,BD!$A$3:$A$5001,AH$3,BD!$B$3:$B$5001,$A$374)))</f>
        <v/>
      </c>
      <c r="AI393" s="239" t="str">
        <f>IF(AI$3="","",IF(COUNTIFS(BD!$A$3:$A$5001,AI$3,BD!$B$3:$B$5001,$A$374,BD!$U$3:$U$5001,"&lt;&gt;")=0,"",SUMIFS(BD!$U$3:$U$5001,BD!$A$3:$A$5001,AI$3,BD!$B$3:$B$5001,$A$374)))</f>
        <v/>
      </c>
      <c r="AJ393" s="240" t="str">
        <f>IF(AJ$3="","",IF(COUNTIFS(BD!$A$3:$A$5001,AJ$3,BD!$B$3:$B$5001,$A$374,BD!$U$3:$U$5001,"&lt;&gt;")=0,"",SUMIFS(BD!$U$3:$U$5001,BD!$A$3:$A$5001,AJ$3,BD!$B$3:$B$5001,$A$374)))</f>
        <v/>
      </c>
      <c r="AK393" s="236" t="str">
        <f>IF(COUNT(F393:AJ393)=0,"",SUM(F393:AJ393))</f>
        <v/>
      </c>
    </row>
    <row r="395" ht="15.75" customHeight="1" hidden="1">
      <c r="A395" s="253"/>
      <c r="B395" s="241" t="inlineStr">
        <is>
          <t xml:space="preserve">IN</t>
        </is>
      </c>
      <c r="C395" s="155" t="inlineStr">
        <is>
          <t xml:space="preserve">Veículos Recebidos</t>
        </is>
      </c>
      <c r="D395" s="156" t="str">
        <f>IFERROR(1/(1/INDEX(BD!$Y$23:$AS$23,MATCH($A$395,BD!$Y$22:$AS$22,0))),"")</f>
        <v/>
      </c>
      <c r="E395" s="157"/>
      <c r="F395" s="158" t="str">
        <f>IF(F$3="","",IF(COUNTIFS(BD!$A$3:$A$5001,F$3,BD!$B$3:$B$5001,$A$395,BD!$C$3:$C$5001,"&lt;&gt;")=0,"",SUMIFS(BD!$C$3:$C$5001,BD!$A$3:$A$5001,F$3,BD!$B$3:$B$5001,$A$395)))</f>
        <v/>
      </c>
      <c r="G395" s="159" t="str">
        <f>IF(G$3="","",IF(COUNTIFS(BD!$A$3:$A$5001,G$3,BD!$B$3:$B$5001,$A$395,BD!$C$3:$C$5001,"&lt;&gt;")=0,"",SUMIFS(BD!$C$3:$C$5001,BD!$A$3:$A$5001,G$3,BD!$B$3:$B$5001,$A$395)))</f>
        <v/>
      </c>
      <c r="H395" s="159" t="str">
        <f>IF(H$3="","",IF(COUNTIFS(BD!$A$3:$A$5001,H$3,BD!$B$3:$B$5001,$A$395,BD!$C$3:$C$5001,"&lt;&gt;")=0,"",SUMIFS(BD!$C$3:$C$5001,BD!$A$3:$A$5001,H$3,BD!$B$3:$B$5001,$A$395)))</f>
        <v/>
      </c>
      <c r="I395" s="159" t="str">
        <f>IF(I$3="","",IF(COUNTIFS(BD!$A$3:$A$5001,I$3,BD!$B$3:$B$5001,$A$395,BD!$C$3:$C$5001,"&lt;&gt;")=0,"",SUMIFS(BD!$C$3:$C$5001,BD!$A$3:$A$5001,I$3,BD!$B$3:$B$5001,$A$395)))</f>
        <v/>
      </c>
      <c r="J395" s="159" t="str">
        <f>IF(J$3="","",IF(COUNTIFS(BD!$A$3:$A$5001,J$3,BD!$B$3:$B$5001,$A$395,BD!$C$3:$C$5001,"&lt;&gt;")=0,"",SUMIFS(BD!$C$3:$C$5001,BD!$A$3:$A$5001,J$3,BD!$B$3:$B$5001,$A$395)))</f>
        <v/>
      </c>
      <c r="K395" s="159" t="str">
        <f>IF(K$3="","",IF(COUNTIFS(BD!$A$3:$A$5001,K$3,BD!$B$3:$B$5001,$A$395,BD!$C$3:$C$5001,"&lt;&gt;")=0,"",SUMIFS(BD!$C$3:$C$5001,BD!$A$3:$A$5001,K$3,BD!$B$3:$B$5001,$A$395)))</f>
        <v/>
      </c>
      <c r="L395" s="159" t="str">
        <f>IF(L$3="","",IF(COUNTIFS(BD!$A$3:$A$5001,L$3,BD!$B$3:$B$5001,$A$395,BD!$C$3:$C$5001,"&lt;&gt;")=0,"",SUMIFS(BD!$C$3:$C$5001,BD!$A$3:$A$5001,L$3,BD!$B$3:$B$5001,$A$395)))</f>
        <v/>
      </c>
      <c r="M395" s="159" t="str">
        <f>IF(M$3="","",IF(COUNTIFS(BD!$A$3:$A$5001,M$3,BD!$B$3:$B$5001,$A$395,BD!$C$3:$C$5001,"&lt;&gt;")=0,"",SUMIFS(BD!$C$3:$C$5001,BD!$A$3:$A$5001,M$3,BD!$B$3:$B$5001,$A$395)))</f>
        <v/>
      </c>
      <c r="N395" s="159" t="str">
        <f>IF(N$3="","",IF(COUNTIFS(BD!$A$3:$A$5001,N$3,BD!$B$3:$B$5001,$A$395,BD!$C$3:$C$5001,"&lt;&gt;")=0,"",SUMIFS(BD!$C$3:$C$5001,BD!$A$3:$A$5001,N$3,BD!$B$3:$B$5001,$A$395)))</f>
        <v/>
      </c>
      <c r="O395" s="159" t="str">
        <f>IF(O$3="","",IF(COUNTIFS(BD!$A$3:$A$5001,O$3,BD!$B$3:$B$5001,$A$395,BD!$C$3:$C$5001,"&lt;&gt;")=0,"",SUMIFS(BD!$C$3:$C$5001,BD!$A$3:$A$5001,O$3,BD!$B$3:$B$5001,$A$395)))</f>
        <v/>
      </c>
      <c r="P395" s="159" t="str">
        <f>IF(P$3="","",IF(COUNTIFS(BD!$A$3:$A$5001,P$3,BD!$B$3:$B$5001,$A$395,BD!$C$3:$C$5001,"&lt;&gt;")=0,"",SUMIFS(BD!$C$3:$C$5001,BD!$A$3:$A$5001,P$3,BD!$B$3:$B$5001,$A$395)))</f>
        <v/>
      </c>
      <c r="Q395" s="159" t="str">
        <f>IF(Q$3="","",IF(COUNTIFS(BD!$A$3:$A$5001,Q$3,BD!$B$3:$B$5001,$A$395,BD!$C$3:$C$5001,"&lt;&gt;")=0,"",SUMIFS(BD!$C$3:$C$5001,BD!$A$3:$A$5001,Q$3,BD!$B$3:$B$5001,$A$395)))</f>
        <v/>
      </c>
      <c r="R395" s="159" t="str">
        <f>IF(R$3="","",IF(COUNTIFS(BD!$A$3:$A$5001,R$3,BD!$B$3:$B$5001,$A$395,BD!$C$3:$C$5001,"&lt;&gt;")=0,"",SUMIFS(BD!$C$3:$C$5001,BD!$A$3:$A$5001,R$3,BD!$B$3:$B$5001,$A$395)))</f>
        <v/>
      </c>
      <c r="S395" s="159" t="str">
        <f>IF(S$3="","",IF(COUNTIFS(BD!$A$3:$A$5001,S$3,BD!$B$3:$B$5001,$A$395,BD!$C$3:$C$5001,"&lt;&gt;")=0,"",SUMIFS(BD!$C$3:$C$5001,BD!$A$3:$A$5001,S$3,BD!$B$3:$B$5001,$A$395)))</f>
        <v/>
      </c>
      <c r="T395" s="159" t="str">
        <f>IF(T$3="","",IF(COUNTIFS(BD!$A$3:$A$5001,T$3,BD!$B$3:$B$5001,$A$395,BD!$C$3:$C$5001,"&lt;&gt;")=0,"",SUMIFS(BD!$C$3:$C$5001,BD!$A$3:$A$5001,T$3,BD!$B$3:$B$5001,$A$395)))</f>
        <v/>
      </c>
      <c r="U395" s="159" t="str">
        <f>IF(U$3="","",IF(COUNTIFS(BD!$A$3:$A$5001,U$3,BD!$B$3:$B$5001,$A$395,BD!$C$3:$C$5001,"&lt;&gt;")=0,"",SUMIFS(BD!$C$3:$C$5001,BD!$A$3:$A$5001,U$3,BD!$B$3:$B$5001,$A$395)))</f>
        <v/>
      </c>
      <c r="V395" s="159" t="str">
        <f>IF(V$3="","",IF(COUNTIFS(BD!$A$3:$A$5001,V$3,BD!$B$3:$B$5001,$A$395,BD!$C$3:$C$5001,"&lt;&gt;")=0,"",SUMIFS(BD!$C$3:$C$5001,BD!$A$3:$A$5001,V$3,BD!$B$3:$B$5001,$A$395)))</f>
        <v/>
      </c>
      <c r="W395" s="159" t="str">
        <f>IF(W$3="","",IF(COUNTIFS(BD!$A$3:$A$5001,W$3,BD!$B$3:$B$5001,$A$395,BD!$C$3:$C$5001,"&lt;&gt;")=0,"",SUMIFS(BD!$C$3:$C$5001,BD!$A$3:$A$5001,W$3,BD!$B$3:$B$5001,$A$395)))</f>
        <v/>
      </c>
      <c r="X395" s="159" t="str">
        <f>IF(X$3="","",IF(COUNTIFS(BD!$A$3:$A$5001,X$3,BD!$B$3:$B$5001,$A$395,BD!$C$3:$C$5001,"&lt;&gt;")=0,"",SUMIFS(BD!$C$3:$C$5001,BD!$A$3:$A$5001,X$3,BD!$B$3:$B$5001,$A$395)))</f>
        <v/>
      </c>
      <c r="Y395" s="159" t="str">
        <f>IF(Y$3="","",IF(COUNTIFS(BD!$A$3:$A$5001,Y$3,BD!$B$3:$B$5001,$A$395,BD!$C$3:$C$5001,"&lt;&gt;")=0,"",SUMIFS(BD!$C$3:$C$5001,BD!$A$3:$A$5001,Y$3,BD!$B$3:$B$5001,$A$395)))</f>
        <v/>
      </c>
      <c r="Z395" s="159" t="str">
        <f>IF(Z$3="","",IF(COUNTIFS(BD!$A$3:$A$5001,Z$3,BD!$B$3:$B$5001,$A$395,BD!$C$3:$C$5001,"&lt;&gt;")=0,"",SUMIFS(BD!$C$3:$C$5001,BD!$A$3:$A$5001,Z$3,BD!$B$3:$B$5001,$A$395)))</f>
        <v/>
      </c>
      <c r="AA395" s="159" t="str">
        <f>IF(AA$3="","",IF(COUNTIFS(BD!$A$3:$A$5001,AA$3,BD!$B$3:$B$5001,$A$395,BD!$C$3:$C$5001,"&lt;&gt;")=0,"",SUMIFS(BD!$C$3:$C$5001,BD!$A$3:$A$5001,AA$3,BD!$B$3:$B$5001,$A$395)))</f>
        <v/>
      </c>
      <c r="AB395" s="159" t="str">
        <f>IF(AB$3="","",IF(COUNTIFS(BD!$A$3:$A$5001,AB$3,BD!$B$3:$B$5001,$A$395,BD!$C$3:$C$5001,"&lt;&gt;")=0,"",SUMIFS(BD!$C$3:$C$5001,BD!$A$3:$A$5001,AB$3,BD!$B$3:$B$5001,$A$395)))</f>
        <v/>
      </c>
      <c r="AC395" s="159" t="str">
        <f>IF(AC$3="","",IF(COUNTIFS(BD!$A$3:$A$5001,AC$3,BD!$B$3:$B$5001,$A$395,BD!$C$3:$C$5001,"&lt;&gt;")=0,"",SUMIFS(BD!$C$3:$C$5001,BD!$A$3:$A$5001,AC$3,BD!$B$3:$B$5001,$A$395)))</f>
        <v/>
      </c>
      <c r="AD395" s="159" t="str">
        <f>IF(AD$3="","",IF(COUNTIFS(BD!$A$3:$A$5001,AD$3,BD!$B$3:$B$5001,$A$395,BD!$C$3:$C$5001,"&lt;&gt;")=0,"",SUMIFS(BD!$C$3:$C$5001,BD!$A$3:$A$5001,AD$3,BD!$B$3:$B$5001,$A$395)))</f>
        <v/>
      </c>
      <c r="AE395" s="159" t="str">
        <f>IF(AE$3="","",IF(COUNTIFS(BD!$A$3:$A$5001,AE$3,BD!$B$3:$B$5001,$A$395,BD!$C$3:$C$5001,"&lt;&gt;")=0,"",SUMIFS(BD!$C$3:$C$5001,BD!$A$3:$A$5001,AE$3,BD!$B$3:$B$5001,$A$395)))</f>
        <v/>
      </c>
      <c r="AF395" s="159" t="str">
        <f>IF(AF$3="","",IF(COUNTIFS(BD!$A$3:$A$5001,AF$3,BD!$B$3:$B$5001,$A$395,BD!$C$3:$C$5001,"&lt;&gt;")=0,"",SUMIFS(BD!$C$3:$C$5001,BD!$A$3:$A$5001,AF$3,BD!$B$3:$B$5001,$A$395)))</f>
        <v/>
      </c>
      <c r="AG395" s="159" t="str">
        <f>IF(AG$3="","",IF(COUNTIFS(BD!$A$3:$A$5001,AG$3,BD!$B$3:$B$5001,$A$395,BD!$C$3:$C$5001,"&lt;&gt;")=0,"",SUMIFS(BD!$C$3:$C$5001,BD!$A$3:$A$5001,AG$3,BD!$B$3:$B$5001,$A$395)))</f>
        <v/>
      </c>
      <c r="AH395" s="159" t="str">
        <f>IF(AH$3="","",IF(COUNTIFS(BD!$A$3:$A$5001,AH$3,BD!$B$3:$B$5001,$A$395,BD!$C$3:$C$5001,"&lt;&gt;")=0,"",SUMIFS(BD!$C$3:$C$5001,BD!$A$3:$A$5001,AH$3,BD!$B$3:$B$5001,$A$395)))</f>
        <v/>
      </c>
      <c r="AI395" s="159" t="str">
        <f>IF(AI$3="","",IF(COUNTIFS(BD!$A$3:$A$5001,AI$3,BD!$B$3:$B$5001,$A$395,BD!$C$3:$C$5001,"&lt;&gt;")=0,"",SUMIFS(BD!$C$3:$C$5001,BD!$A$3:$A$5001,AI$3,BD!$B$3:$B$5001,$A$395)))</f>
        <v/>
      </c>
      <c r="AJ395" s="160" t="str">
        <f>IF(AJ$3="","",IF(COUNTIFS(BD!$A$3:$A$5001,AJ$3,BD!$B$3:$B$5001,$A$395,BD!$C$3:$C$5001,"&lt;&gt;")=0,"",SUMIFS(BD!$C$3:$C$5001,BD!$A$3:$A$5001,AJ$3,BD!$B$3:$B$5001,$A$395)))</f>
        <v/>
      </c>
      <c r="AK395" s="161" t="str">
        <f>IF(COUNT(F395:AJ395)=0,"",SUM(F395:AJ395))</f>
        <v/>
      </c>
    </row>
    <row r="396" ht="15.75" customHeight="1" hidden="1">
      <c r="A396" s="254"/>
      <c r="B396" s="242"/>
      <c r="C396" s="162" t="inlineStr">
        <is>
          <t xml:space="preserve">Pallets Movimentados</t>
        </is>
      </c>
      <c r="D396" s="163" t="str">
        <f>IFERROR(1/(1/INDEX(BD!$Y$24:$AS$24,MATCH($A$395,BD!$Y$22:$AS$22,0))),"")</f>
        <v/>
      </c>
      <c r="E396" s="164"/>
      <c r="F396" s="165" t="str">
        <f>IF(F$3="","",IF(COUNTIFS(BD!$A$3:$A$5001,F$3,BD!$B$3:$B$5001,$A$395,BD!$D$3:$D$5001,"&lt;&gt;")=0,"",SUMIFS(BD!$D$3:$D$5001,BD!$A$3:$A$5001,F$3,BD!$B$3:$B$5001,$A$395)))</f>
        <v/>
      </c>
      <c r="G396" s="166" t="str">
        <f>IF(G$3="","",IF(COUNTIFS(BD!$A$3:$A$5001,G$3,BD!$B$3:$B$5001,$A$395,BD!$D$3:$D$5001,"&lt;&gt;")=0,"",SUMIFS(BD!$D$3:$D$5001,BD!$A$3:$A$5001,G$3,BD!$B$3:$B$5001,$A$395)))</f>
        <v/>
      </c>
      <c r="H396" s="166" t="str">
        <f>IF(H$3="","",IF(COUNTIFS(BD!$A$3:$A$5001,H$3,BD!$B$3:$B$5001,$A$395,BD!$D$3:$D$5001,"&lt;&gt;")=0,"",SUMIFS(BD!$D$3:$D$5001,BD!$A$3:$A$5001,H$3,BD!$B$3:$B$5001,$A$395)))</f>
        <v/>
      </c>
      <c r="I396" s="166" t="str">
        <f>IF(I$3="","",IF(COUNTIFS(BD!$A$3:$A$5001,I$3,BD!$B$3:$B$5001,$A$395,BD!$D$3:$D$5001,"&lt;&gt;")=0,"",SUMIFS(BD!$D$3:$D$5001,BD!$A$3:$A$5001,I$3,BD!$B$3:$B$5001,$A$395)))</f>
        <v/>
      </c>
      <c r="J396" s="166" t="str">
        <f>IF(J$3="","",IF(COUNTIFS(BD!$A$3:$A$5001,J$3,BD!$B$3:$B$5001,$A$395,BD!$D$3:$D$5001,"&lt;&gt;")=0,"",SUMIFS(BD!$D$3:$D$5001,BD!$A$3:$A$5001,J$3,BD!$B$3:$B$5001,$A$395)))</f>
        <v/>
      </c>
      <c r="K396" s="166" t="str">
        <f>IF(K$3="","",IF(COUNTIFS(BD!$A$3:$A$5001,K$3,BD!$B$3:$B$5001,$A$395,BD!$D$3:$D$5001,"&lt;&gt;")=0,"",SUMIFS(BD!$D$3:$D$5001,BD!$A$3:$A$5001,K$3,BD!$B$3:$B$5001,$A$395)))</f>
        <v/>
      </c>
      <c r="L396" s="166" t="str">
        <f>IF(L$3="","",IF(COUNTIFS(BD!$A$3:$A$5001,L$3,BD!$B$3:$B$5001,$A$395,BD!$D$3:$D$5001,"&lt;&gt;")=0,"",SUMIFS(BD!$D$3:$D$5001,BD!$A$3:$A$5001,L$3,BD!$B$3:$B$5001,$A$395)))</f>
        <v/>
      </c>
      <c r="M396" s="166" t="str">
        <f>IF(M$3="","",IF(COUNTIFS(BD!$A$3:$A$5001,M$3,BD!$B$3:$B$5001,$A$395,BD!$D$3:$D$5001,"&lt;&gt;")=0,"",SUMIFS(BD!$D$3:$D$5001,BD!$A$3:$A$5001,M$3,BD!$B$3:$B$5001,$A$395)))</f>
        <v/>
      </c>
      <c r="N396" s="166" t="str">
        <f>IF(N$3="","",IF(COUNTIFS(BD!$A$3:$A$5001,N$3,BD!$B$3:$B$5001,$A$395,BD!$D$3:$D$5001,"&lt;&gt;")=0,"",SUMIFS(BD!$D$3:$D$5001,BD!$A$3:$A$5001,N$3,BD!$B$3:$B$5001,$A$395)))</f>
        <v/>
      </c>
      <c r="O396" s="166" t="str">
        <f>IF(O$3="","",IF(COUNTIFS(BD!$A$3:$A$5001,O$3,BD!$B$3:$B$5001,$A$395,BD!$D$3:$D$5001,"&lt;&gt;")=0,"",SUMIFS(BD!$D$3:$D$5001,BD!$A$3:$A$5001,O$3,BD!$B$3:$B$5001,$A$395)))</f>
        <v/>
      </c>
      <c r="P396" s="166" t="str">
        <f>IF(P$3="","",IF(COUNTIFS(BD!$A$3:$A$5001,P$3,BD!$B$3:$B$5001,$A$395,BD!$D$3:$D$5001,"&lt;&gt;")=0,"",SUMIFS(BD!$D$3:$D$5001,BD!$A$3:$A$5001,P$3,BD!$B$3:$B$5001,$A$395)))</f>
        <v/>
      </c>
      <c r="Q396" s="166" t="str">
        <f>IF(Q$3="","",IF(COUNTIFS(BD!$A$3:$A$5001,Q$3,BD!$B$3:$B$5001,$A$395,BD!$D$3:$D$5001,"&lt;&gt;")=0,"",SUMIFS(BD!$D$3:$D$5001,BD!$A$3:$A$5001,Q$3,BD!$B$3:$B$5001,$A$395)))</f>
        <v/>
      </c>
      <c r="R396" s="166" t="str">
        <f>IF(R$3="","",IF(COUNTIFS(BD!$A$3:$A$5001,R$3,BD!$B$3:$B$5001,$A$395,BD!$D$3:$D$5001,"&lt;&gt;")=0,"",SUMIFS(BD!$D$3:$D$5001,BD!$A$3:$A$5001,R$3,BD!$B$3:$B$5001,$A$395)))</f>
        <v/>
      </c>
      <c r="S396" s="166" t="str">
        <f>IF(S$3="","",IF(COUNTIFS(BD!$A$3:$A$5001,S$3,BD!$B$3:$B$5001,$A$395,BD!$D$3:$D$5001,"&lt;&gt;")=0,"",SUMIFS(BD!$D$3:$D$5001,BD!$A$3:$A$5001,S$3,BD!$B$3:$B$5001,$A$395)))</f>
        <v/>
      </c>
      <c r="T396" s="166" t="str">
        <f>IF(T$3="","",IF(COUNTIFS(BD!$A$3:$A$5001,T$3,BD!$B$3:$B$5001,$A$395,BD!$D$3:$D$5001,"&lt;&gt;")=0,"",SUMIFS(BD!$D$3:$D$5001,BD!$A$3:$A$5001,T$3,BD!$B$3:$B$5001,$A$395)))</f>
        <v/>
      </c>
      <c r="U396" s="166" t="str">
        <f>IF(U$3="","",IF(COUNTIFS(BD!$A$3:$A$5001,U$3,BD!$B$3:$B$5001,$A$395,BD!$D$3:$D$5001,"&lt;&gt;")=0,"",SUMIFS(BD!$D$3:$D$5001,BD!$A$3:$A$5001,U$3,BD!$B$3:$B$5001,$A$395)))</f>
        <v/>
      </c>
      <c r="V396" s="166" t="str">
        <f>IF(V$3="","",IF(COUNTIFS(BD!$A$3:$A$5001,V$3,BD!$B$3:$B$5001,$A$395,BD!$D$3:$D$5001,"&lt;&gt;")=0,"",SUMIFS(BD!$D$3:$D$5001,BD!$A$3:$A$5001,V$3,BD!$B$3:$B$5001,$A$395)))</f>
        <v/>
      </c>
      <c r="W396" s="166" t="str">
        <f>IF(W$3="","",IF(COUNTIFS(BD!$A$3:$A$5001,W$3,BD!$B$3:$B$5001,$A$395,BD!$D$3:$D$5001,"&lt;&gt;")=0,"",SUMIFS(BD!$D$3:$D$5001,BD!$A$3:$A$5001,W$3,BD!$B$3:$B$5001,$A$395)))</f>
        <v/>
      </c>
      <c r="X396" s="166" t="str">
        <f>IF(X$3="","",IF(COUNTIFS(BD!$A$3:$A$5001,X$3,BD!$B$3:$B$5001,$A$395,BD!$D$3:$D$5001,"&lt;&gt;")=0,"",SUMIFS(BD!$D$3:$D$5001,BD!$A$3:$A$5001,X$3,BD!$B$3:$B$5001,$A$395)))</f>
        <v/>
      </c>
      <c r="Y396" s="166" t="str">
        <f>IF(Y$3="","",IF(COUNTIFS(BD!$A$3:$A$5001,Y$3,BD!$B$3:$B$5001,$A$395,BD!$D$3:$D$5001,"&lt;&gt;")=0,"",SUMIFS(BD!$D$3:$D$5001,BD!$A$3:$A$5001,Y$3,BD!$B$3:$B$5001,$A$395)))</f>
        <v/>
      </c>
      <c r="Z396" s="166" t="str">
        <f>IF(Z$3="","",IF(COUNTIFS(BD!$A$3:$A$5001,Z$3,BD!$B$3:$B$5001,$A$395,BD!$D$3:$D$5001,"&lt;&gt;")=0,"",SUMIFS(BD!$D$3:$D$5001,BD!$A$3:$A$5001,Z$3,BD!$B$3:$B$5001,$A$395)))</f>
        <v/>
      </c>
      <c r="AA396" s="166" t="str">
        <f>IF(AA$3="","",IF(COUNTIFS(BD!$A$3:$A$5001,AA$3,BD!$B$3:$B$5001,$A$395,BD!$D$3:$D$5001,"&lt;&gt;")=0,"",SUMIFS(BD!$D$3:$D$5001,BD!$A$3:$A$5001,AA$3,BD!$B$3:$B$5001,$A$395)))</f>
        <v/>
      </c>
      <c r="AB396" s="166" t="str">
        <f>IF(AB$3="","",IF(COUNTIFS(BD!$A$3:$A$5001,AB$3,BD!$B$3:$B$5001,$A$395,BD!$D$3:$D$5001,"&lt;&gt;")=0,"",SUMIFS(BD!$D$3:$D$5001,BD!$A$3:$A$5001,AB$3,BD!$B$3:$B$5001,$A$395)))</f>
        <v/>
      </c>
      <c r="AC396" s="166" t="str">
        <f>IF(AC$3="","",IF(COUNTIFS(BD!$A$3:$A$5001,AC$3,BD!$B$3:$B$5001,$A$395,BD!$D$3:$D$5001,"&lt;&gt;")=0,"",SUMIFS(BD!$D$3:$D$5001,BD!$A$3:$A$5001,AC$3,BD!$B$3:$B$5001,$A$395)))</f>
        <v/>
      </c>
      <c r="AD396" s="166" t="str">
        <f>IF(AD$3="","",IF(COUNTIFS(BD!$A$3:$A$5001,AD$3,BD!$B$3:$B$5001,$A$395,BD!$D$3:$D$5001,"&lt;&gt;")=0,"",SUMIFS(BD!$D$3:$D$5001,BD!$A$3:$A$5001,AD$3,BD!$B$3:$B$5001,$A$395)))</f>
        <v/>
      </c>
      <c r="AE396" s="166" t="str">
        <f>IF(AE$3="","",IF(COUNTIFS(BD!$A$3:$A$5001,AE$3,BD!$B$3:$B$5001,$A$395,BD!$D$3:$D$5001,"&lt;&gt;")=0,"",SUMIFS(BD!$D$3:$D$5001,BD!$A$3:$A$5001,AE$3,BD!$B$3:$B$5001,$A$395)))</f>
        <v/>
      </c>
      <c r="AF396" s="166" t="str">
        <f>IF(AF$3="","",IF(COUNTIFS(BD!$A$3:$A$5001,AF$3,BD!$B$3:$B$5001,$A$395,BD!$D$3:$D$5001,"&lt;&gt;")=0,"",SUMIFS(BD!$D$3:$D$5001,BD!$A$3:$A$5001,AF$3,BD!$B$3:$B$5001,$A$395)))</f>
        <v/>
      </c>
      <c r="AG396" s="166" t="str">
        <f>IF(AG$3="","",IF(COUNTIFS(BD!$A$3:$A$5001,AG$3,BD!$B$3:$B$5001,$A$395,BD!$D$3:$D$5001,"&lt;&gt;")=0,"",SUMIFS(BD!$D$3:$D$5001,BD!$A$3:$A$5001,AG$3,BD!$B$3:$B$5001,$A$395)))</f>
        <v/>
      </c>
      <c r="AH396" s="166" t="str">
        <f>IF(AH$3="","",IF(COUNTIFS(BD!$A$3:$A$5001,AH$3,BD!$B$3:$B$5001,$A$395,BD!$D$3:$D$5001,"&lt;&gt;")=0,"",SUMIFS(BD!$D$3:$D$5001,BD!$A$3:$A$5001,AH$3,BD!$B$3:$B$5001,$A$395)))</f>
        <v/>
      </c>
      <c r="AI396" s="166" t="str">
        <f>IF(AI$3="","",IF(COUNTIFS(BD!$A$3:$A$5001,AI$3,BD!$B$3:$B$5001,$A$395,BD!$D$3:$D$5001,"&lt;&gt;")=0,"",SUMIFS(BD!$D$3:$D$5001,BD!$A$3:$A$5001,AI$3,BD!$B$3:$B$5001,$A$395)))</f>
        <v/>
      </c>
      <c r="AJ396" s="167" t="str">
        <f>IF(AJ$3="","",IF(COUNTIFS(BD!$A$3:$A$5001,AJ$3,BD!$B$3:$B$5001,$A$395,BD!$D$3:$D$5001,"&lt;&gt;")=0,"",SUMIFS(BD!$D$3:$D$5001,BD!$A$3:$A$5001,AJ$3,BD!$B$3:$B$5001,$A$395)))</f>
        <v/>
      </c>
      <c r="AK396" s="168" t="str">
        <f>IF(COUNT(F396:AJ396)=0,"",SUM(F396:AJ396))</f>
        <v/>
      </c>
    </row>
    <row r="397" ht="15.75" customHeight="1" hidden="1">
      <c r="A397" s="254"/>
      <c r="B397" s="243"/>
      <c r="C397" s="169" t="inlineStr">
        <is>
          <t xml:space="preserve">Toneladas Movimentadas</t>
        </is>
      </c>
      <c r="D397" s="170" t="str">
        <f>IFERROR(1/(1/INDEX(BD!$Y$25:$AS$25,MATCH($A$395,BD!$Y$22:$AS$22,0))),"")</f>
        <v/>
      </c>
      <c r="E397" s="171"/>
      <c r="F397" s="172" t="str">
        <f>IF(F$3="","",IF(COUNTIFS(BD!$A$3:$A$5001,F$3,BD!$B$3:$B$5001,$A$395,BD!$E$3:$E$5001,"&lt;&gt;")=0,"",SUMIFS(BD!$E$3:$E$5001,BD!$A$3:$A$5001,F$3,BD!$B$3:$B$5001,$A$395)))</f>
        <v/>
      </c>
      <c r="G397" s="173" t="str">
        <f>IF(G$3="","",IF(COUNTIFS(BD!$A$3:$A$5001,G$3,BD!$B$3:$B$5001,$A$395,BD!$E$3:$E$5001,"&lt;&gt;")=0,"",SUMIFS(BD!$E$3:$E$5001,BD!$A$3:$A$5001,G$3,BD!$B$3:$B$5001,$A$395)))</f>
        <v/>
      </c>
      <c r="H397" s="173" t="str">
        <f>IF(H$3="","",IF(COUNTIFS(BD!$A$3:$A$5001,H$3,BD!$B$3:$B$5001,$A$395,BD!$E$3:$E$5001,"&lt;&gt;")=0,"",SUMIFS(BD!$E$3:$E$5001,BD!$A$3:$A$5001,H$3,BD!$B$3:$B$5001,$A$395)))</f>
        <v/>
      </c>
      <c r="I397" s="173" t="str">
        <f>IF(I$3="","",IF(COUNTIFS(BD!$A$3:$A$5001,I$3,BD!$B$3:$B$5001,$A$395,BD!$E$3:$E$5001,"&lt;&gt;")=0,"",SUMIFS(BD!$E$3:$E$5001,BD!$A$3:$A$5001,I$3,BD!$B$3:$B$5001,$A$395)))</f>
        <v/>
      </c>
      <c r="J397" s="173" t="str">
        <f>IF(J$3="","",IF(COUNTIFS(BD!$A$3:$A$5001,J$3,BD!$B$3:$B$5001,$A$395,BD!$E$3:$E$5001,"&lt;&gt;")=0,"",SUMIFS(BD!$E$3:$E$5001,BD!$A$3:$A$5001,J$3,BD!$B$3:$B$5001,$A$395)))</f>
        <v/>
      </c>
      <c r="K397" s="173" t="str">
        <f>IF(K$3="","",IF(COUNTIFS(BD!$A$3:$A$5001,K$3,BD!$B$3:$B$5001,$A$395,BD!$E$3:$E$5001,"&lt;&gt;")=0,"",SUMIFS(BD!$E$3:$E$5001,BD!$A$3:$A$5001,K$3,BD!$B$3:$B$5001,$A$395)))</f>
        <v/>
      </c>
      <c r="L397" s="173" t="str">
        <f>IF(L$3="","",IF(COUNTIFS(BD!$A$3:$A$5001,L$3,BD!$B$3:$B$5001,$A$395,BD!$E$3:$E$5001,"&lt;&gt;")=0,"",SUMIFS(BD!$E$3:$E$5001,BD!$A$3:$A$5001,L$3,BD!$B$3:$B$5001,$A$395)))</f>
        <v/>
      </c>
      <c r="M397" s="173" t="str">
        <f>IF(M$3="","",IF(COUNTIFS(BD!$A$3:$A$5001,M$3,BD!$B$3:$B$5001,$A$395,BD!$E$3:$E$5001,"&lt;&gt;")=0,"",SUMIFS(BD!$E$3:$E$5001,BD!$A$3:$A$5001,M$3,BD!$B$3:$B$5001,$A$395)))</f>
        <v/>
      </c>
      <c r="N397" s="173" t="str">
        <f>IF(N$3="","",IF(COUNTIFS(BD!$A$3:$A$5001,N$3,BD!$B$3:$B$5001,$A$395,BD!$E$3:$E$5001,"&lt;&gt;")=0,"",SUMIFS(BD!$E$3:$E$5001,BD!$A$3:$A$5001,N$3,BD!$B$3:$B$5001,$A$395)))</f>
        <v/>
      </c>
      <c r="O397" s="173" t="str">
        <f>IF(O$3="","",IF(COUNTIFS(BD!$A$3:$A$5001,O$3,BD!$B$3:$B$5001,$A$395,BD!$E$3:$E$5001,"&lt;&gt;")=0,"",SUMIFS(BD!$E$3:$E$5001,BD!$A$3:$A$5001,O$3,BD!$B$3:$B$5001,$A$395)))</f>
        <v/>
      </c>
      <c r="P397" s="173" t="str">
        <f>IF(P$3="","",IF(COUNTIFS(BD!$A$3:$A$5001,P$3,BD!$B$3:$B$5001,$A$395,BD!$E$3:$E$5001,"&lt;&gt;")=0,"",SUMIFS(BD!$E$3:$E$5001,BD!$A$3:$A$5001,P$3,BD!$B$3:$B$5001,$A$395)))</f>
        <v/>
      </c>
      <c r="Q397" s="173" t="str">
        <f>IF(Q$3="","",IF(COUNTIFS(BD!$A$3:$A$5001,Q$3,BD!$B$3:$B$5001,$A$395,BD!$E$3:$E$5001,"&lt;&gt;")=0,"",SUMIFS(BD!$E$3:$E$5001,BD!$A$3:$A$5001,Q$3,BD!$B$3:$B$5001,$A$395)))</f>
        <v/>
      </c>
      <c r="R397" s="173" t="str">
        <f>IF(R$3="","",IF(COUNTIFS(BD!$A$3:$A$5001,R$3,BD!$B$3:$B$5001,$A$395,BD!$E$3:$E$5001,"&lt;&gt;")=0,"",SUMIFS(BD!$E$3:$E$5001,BD!$A$3:$A$5001,R$3,BD!$B$3:$B$5001,$A$395)))</f>
        <v/>
      </c>
      <c r="S397" s="173" t="str">
        <f>IF(S$3="","",IF(COUNTIFS(BD!$A$3:$A$5001,S$3,BD!$B$3:$B$5001,$A$395,BD!$E$3:$E$5001,"&lt;&gt;")=0,"",SUMIFS(BD!$E$3:$E$5001,BD!$A$3:$A$5001,S$3,BD!$B$3:$B$5001,$A$395)))</f>
        <v/>
      </c>
      <c r="T397" s="173" t="str">
        <f>IF(T$3="","",IF(COUNTIFS(BD!$A$3:$A$5001,T$3,BD!$B$3:$B$5001,$A$395,BD!$E$3:$E$5001,"&lt;&gt;")=0,"",SUMIFS(BD!$E$3:$E$5001,BD!$A$3:$A$5001,T$3,BD!$B$3:$B$5001,$A$395)))</f>
        <v/>
      </c>
      <c r="U397" s="173" t="str">
        <f>IF(U$3="","",IF(COUNTIFS(BD!$A$3:$A$5001,U$3,BD!$B$3:$B$5001,$A$395,BD!$E$3:$E$5001,"&lt;&gt;")=0,"",SUMIFS(BD!$E$3:$E$5001,BD!$A$3:$A$5001,U$3,BD!$B$3:$B$5001,$A$395)))</f>
        <v/>
      </c>
      <c r="V397" s="173" t="str">
        <f>IF(V$3="","",IF(COUNTIFS(BD!$A$3:$A$5001,V$3,BD!$B$3:$B$5001,$A$395,BD!$E$3:$E$5001,"&lt;&gt;")=0,"",SUMIFS(BD!$E$3:$E$5001,BD!$A$3:$A$5001,V$3,BD!$B$3:$B$5001,$A$395)))</f>
        <v/>
      </c>
      <c r="W397" s="173" t="str">
        <f>IF(W$3="","",IF(COUNTIFS(BD!$A$3:$A$5001,W$3,BD!$B$3:$B$5001,$A$395,BD!$E$3:$E$5001,"&lt;&gt;")=0,"",SUMIFS(BD!$E$3:$E$5001,BD!$A$3:$A$5001,W$3,BD!$B$3:$B$5001,$A$395)))</f>
        <v/>
      </c>
      <c r="X397" s="173" t="str">
        <f>IF(X$3="","",IF(COUNTIFS(BD!$A$3:$A$5001,X$3,BD!$B$3:$B$5001,$A$395,BD!$E$3:$E$5001,"&lt;&gt;")=0,"",SUMIFS(BD!$E$3:$E$5001,BD!$A$3:$A$5001,X$3,BD!$B$3:$B$5001,$A$395)))</f>
        <v/>
      </c>
      <c r="Y397" s="173" t="str">
        <f>IF(Y$3="","",IF(COUNTIFS(BD!$A$3:$A$5001,Y$3,BD!$B$3:$B$5001,$A$395,BD!$E$3:$E$5001,"&lt;&gt;")=0,"",SUMIFS(BD!$E$3:$E$5001,BD!$A$3:$A$5001,Y$3,BD!$B$3:$B$5001,$A$395)))</f>
        <v/>
      </c>
      <c r="Z397" s="173" t="str">
        <f>IF(Z$3="","",IF(COUNTIFS(BD!$A$3:$A$5001,Z$3,BD!$B$3:$B$5001,$A$395,BD!$E$3:$E$5001,"&lt;&gt;")=0,"",SUMIFS(BD!$E$3:$E$5001,BD!$A$3:$A$5001,Z$3,BD!$B$3:$B$5001,$A$395)))</f>
        <v/>
      </c>
      <c r="AA397" s="173" t="str">
        <f>IF(AA$3="","",IF(COUNTIFS(BD!$A$3:$A$5001,AA$3,BD!$B$3:$B$5001,$A$395,BD!$E$3:$E$5001,"&lt;&gt;")=0,"",SUMIFS(BD!$E$3:$E$5001,BD!$A$3:$A$5001,AA$3,BD!$B$3:$B$5001,$A$395)))</f>
        <v/>
      </c>
      <c r="AB397" s="173" t="str">
        <f>IF(AB$3="","",IF(COUNTIFS(BD!$A$3:$A$5001,AB$3,BD!$B$3:$B$5001,$A$395,BD!$E$3:$E$5001,"&lt;&gt;")=0,"",SUMIFS(BD!$E$3:$E$5001,BD!$A$3:$A$5001,AB$3,BD!$B$3:$B$5001,$A$395)))</f>
        <v/>
      </c>
      <c r="AC397" s="173" t="str">
        <f>IF(AC$3="","",IF(COUNTIFS(BD!$A$3:$A$5001,AC$3,BD!$B$3:$B$5001,$A$395,BD!$E$3:$E$5001,"&lt;&gt;")=0,"",SUMIFS(BD!$E$3:$E$5001,BD!$A$3:$A$5001,AC$3,BD!$B$3:$B$5001,$A$395)))</f>
        <v/>
      </c>
      <c r="AD397" s="173" t="str">
        <f>IF(AD$3="","",IF(COUNTIFS(BD!$A$3:$A$5001,AD$3,BD!$B$3:$B$5001,$A$395,BD!$E$3:$E$5001,"&lt;&gt;")=0,"",SUMIFS(BD!$E$3:$E$5001,BD!$A$3:$A$5001,AD$3,BD!$B$3:$B$5001,$A$395)))</f>
        <v/>
      </c>
      <c r="AE397" s="173" t="str">
        <f>IF(AE$3="","",IF(COUNTIFS(BD!$A$3:$A$5001,AE$3,BD!$B$3:$B$5001,$A$395,BD!$E$3:$E$5001,"&lt;&gt;")=0,"",SUMIFS(BD!$E$3:$E$5001,BD!$A$3:$A$5001,AE$3,BD!$B$3:$B$5001,$A$395)))</f>
        <v/>
      </c>
      <c r="AF397" s="173" t="str">
        <f>IF(AF$3="","",IF(COUNTIFS(BD!$A$3:$A$5001,AF$3,BD!$B$3:$B$5001,$A$395,BD!$E$3:$E$5001,"&lt;&gt;")=0,"",SUMIFS(BD!$E$3:$E$5001,BD!$A$3:$A$5001,AF$3,BD!$B$3:$B$5001,$A$395)))</f>
        <v/>
      </c>
      <c r="AG397" s="173" t="str">
        <f>IF(AG$3="","",IF(COUNTIFS(BD!$A$3:$A$5001,AG$3,BD!$B$3:$B$5001,$A$395,BD!$E$3:$E$5001,"&lt;&gt;")=0,"",SUMIFS(BD!$E$3:$E$5001,BD!$A$3:$A$5001,AG$3,BD!$B$3:$B$5001,$A$395)))</f>
        <v/>
      </c>
      <c r="AH397" s="173" t="str">
        <f>IF(AH$3="","",IF(COUNTIFS(BD!$A$3:$A$5001,AH$3,BD!$B$3:$B$5001,$A$395,BD!$E$3:$E$5001,"&lt;&gt;")=0,"",SUMIFS(BD!$E$3:$E$5001,BD!$A$3:$A$5001,AH$3,BD!$B$3:$B$5001,$A$395)))</f>
        <v/>
      </c>
      <c r="AI397" s="173" t="str">
        <f>IF(AI$3="","",IF(COUNTIFS(BD!$A$3:$A$5001,AI$3,BD!$B$3:$B$5001,$A$395,BD!$E$3:$E$5001,"&lt;&gt;")=0,"",SUMIFS(BD!$E$3:$E$5001,BD!$A$3:$A$5001,AI$3,BD!$B$3:$B$5001,$A$395)))</f>
        <v/>
      </c>
      <c r="AJ397" s="174" t="str">
        <f>IF(AJ$3="","",IF(COUNTIFS(BD!$A$3:$A$5001,AJ$3,BD!$B$3:$B$5001,$A$395,BD!$E$3:$E$5001,"&lt;&gt;")=0,"",SUMIFS(BD!$E$3:$E$5001,BD!$A$3:$A$5001,AJ$3,BD!$B$3:$B$5001,$A$395)))</f>
        <v/>
      </c>
      <c r="AK397" s="175" t="str">
        <f>IF(COUNT(F397:AJ397)=0,"",SUM(F397:AJ397))</f>
        <v/>
      </c>
    </row>
    <row r="398" ht="15.75" customHeight="1" hidden="1">
      <c r="A398" s="254"/>
      <c r="B398" s="244" t="inlineStr">
        <is>
          <t xml:space="preserve">OUT</t>
        </is>
      </c>
      <c r="C398" s="176" t="inlineStr">
        <is>
          <t xml:space="preserve">Veículos Expedidos</t>
        </is>
      </c>
      <c r="D398" s="177" t="str">
        <f>IFERROR(1/(1/INDEX(BD!$Y$26:$AS$26,MATCH($A$395,BD!$Y$22:$AS$22,0))),"")</f>
        <v/>
      </c>
      <c r="E398" s="178"/>
      <c r="F398" s="179" t="str">
        <f>IF(F$3="","",IF(COUNTIFS(BD!$A$3:$A$5001,F$3,BD!$B$3:$B$5001,$A$395,BD!$F$3:$F$5001,"&lt;&gt;")=0,"",SUMIFS(BD!$F$3:$F$5001,BD!$A$3:$A$5001,F$3,BD!$B$3:$B$5001,$A$395)))</f>
        <v/>
      </c>
      <c r="G398" s="180" t="str">
        <f>IF(G$3="","",IF(COUNTIFS(BD!$A$3:$A$5001,G$3,BD!$B$3:$B$5001,$A$395,BD!$F$3:$F$5001,"&lt;&gt;")=0,"",SUMIFS(BD!$F$3:$F$5001,BD!$A$3:$A$5001,G$3,BD!$B$3:$B$5001,$A$395)))</f>
        <v/>
      </c>
      <c r="H398" s="180" t="str">
        <f>IF(H$3="","",IF(COUNTIFS(BD!$A$3:$A$5001,H$3,BD!$B$3:$B$5001,$A$395,BD!$F$3:$F$5001,"&lt;&gt;")=0,"",SUMIFS(BD!$F$3:$F$5001,BD!$A$3:$A$5001,H$3,BD!$B$3:$B$5001,$A$395)))</f>
        <v/>
      </c>
      <c r="I398" s="180" t="str">
        <f>IF(I$3="","",IF(COUNTIFS(BD!$A$3:$A$5001,I$3,BD!$B$3:$B$5001,$A$395,BD!$F$3:$F$5001,"&lt;&gt;")=0,"",SUMIFS(BD!$F$3:$F$5001,BD!$A$3:$A$5001,I$3,BD!$B$3:$B$5001,$A$395)))</f>
        <v/>
      </c>
      <c r="J398" s="180" t="str">
        <f>IF(J$3="","",IF(COUNTIFS(BD!$A$3:$A$5001,J$3,BD!$B$3:$B$5001,$A$395,BD!$F$3:$F$5001,"&lt;&gt;")=0,"",SUMIFS(BD!$F$3:$F$5001,BD!$A$3:$A$5001,J$3,BD!$B$3:$B$5001,$A$395)))</f>
        <v/>
      </c>
      <c r="K398" s="180" t="str">
        <f>IF(K$3="","",IF(COUNTIFS(BD!$A$3:$A$5001,K$3,BD!$B$3:$B$5001,$A$395,BD!$F$3:$F$5001,"&lt;&gt;")=0,"",SUMIFS(BD!$F$3:$F$5001,BD!$A$3:$A$5001,K$3,BD!$B$3:$B$5001,$A$395)))</f>
        <v/>
      </c>
      <c r="L398" s="180" t="str">
        <f>IF(L$3="","",IF(COUNTIFS(BD!$A$3:$A$5001,L$3,BD!$B$3:$B$5001,$A$395,BD!$F$3:$F$5001,"&lt;&gt;")=0,"",SUMIFS(BD!$F$3:$F$5001,BD!$A$3:$A$5001,L$3,BD!$B$3:$B$5001,$A$395)))</f>
        <v/>
      </c>
      <c r="M398" s="180" t="str">
        <f>IF(M$3="","",IF(COUNTIFS(BD!$A$3:$A$5001,M$3,BD!$B$3:$B$5001,$A$395,BD!$F$3:$F$5001,"&lt;&gt;")=0,"",SUMIFS(BD!$F$3:$F$5001,BD!$A$3:$A$5001,M$3,BD!$B$3:$B$5001,$A$395)))</f>
        <v/>
      </c>
      <c r="N398" s="180" t="str">
        <f>IF(N$3="","",IF(COUNTIFS(BD!$A$3:$A$5001,N$3,BD!$B$3:$B$5001,$A$395,BD!$F$3:$F$5001,"&lt;&gt;")=0,"",SUMIFS(BD!$F$3:$F$5001,BD!$A$3:$A$5001,N$3,BD!$B$3:$B$5001,$A$395)))</f>
        <v/>
      </c>
      <c r="O398" s="180" t="str">
        <f>IF(O$3="","",IF(COUNTIFS(BD!$A$3:$A$5001,O$3,BD!$B$3:$B$5001,$A$395,BD!$F$3:$F$5001,"&lt;&gt;")=0,"",SUMIFS(BD!$F$3:$F$5001,BD!$A$3:$A$5001,O$3,BD!$B$3:$B$5001,$A$395)))</f>
        <v/>
      </c>
      <c r="P398" s="180" t="str">
        <f>IF(P$3="","",IF(COUNTIFS(BD!$A$3:$A$5001,P$3,BD!$B$3:$B$5001,$A$395,BD!$F$3:$F$5001,"&lt;&gt;")=0,"",SUMIFS(BD!$F$3:$F$5001,BD!$A$3:$A$5001,P$3,BD!$B$3:$B$5001,$A$395)))</f>
        <v/>
      </c>
      <c r="Q398" s="180" t="str">
        <f>IF(Q$3="","",IF(COUNTIFS(BD!$A$3:$A$5001,Q$3,BD!$B$3:$B$5001,$A$395,BD!$F$3:$F$5001,"&lt;&gt;")=0,"",SUMIFS(BD!$F$3:$F$5001,BD!$A$3:$A$5001,Q$3,BD!$B$3:$B$5001,$A$395)))</f>
        <v/>
      </c>
      <c r="R398" s="180" t="str">
        <f>IF(R$3="","",IF(COUNTIFS(BD!$A$3:$A$5001,R$3,BD!$B$3:$B$5001,$A$395,BD!$F$3:$F$5001,"&lt;&gt;")=0,"",SUMIFS(BD!$F$3:$F$5001,BD!$A$3:$A$5001,R$3,BD!$B$3:$B$5001,$A$395)))</f>
        <v/>
      </c>
      <c r="S398" s="180" t="str">
        <f>IF(S$3="","",IF(COUNTIFS(BD!$A$3:$A$5001,S$3,BD!$B$3:$B$5001,$A$395,BD!$F$3:$F$5001,"&lt;&gt;")=0,"",SUMIFS(BD!$F$3:$F$5001,BD!$A$3:$A$5001,S$3,BD!$B$3:$B$5001,$A$395)))</f>
        <v/>
      </c>
      <c r="T398" s="180" t="str">
        <f>IF(T$3="","",IF(COUNTIFS(BD!$A$3:$A$5001,T$3,BD!$B$3:$B$5001,$A$395,BD!$F$3:$F$5001,"&lt;&gt;")=0,"",SUMIFS(BD!$F$3:$F$5001,BD!$A$3:$A$5001,T$3,BD!$B$3:$B$5001,$A$395)))</f>
        <v/>
      </c>
      <c r="U398" s="180" t="str">
        <f>IF(U$3="","",IF(COUNTIFS(BD!$A$3:$A$5001,U$3,BD!$B$3:$B$5001,$A$395,BD!$F$3:$F$5001,"&lt;&gt;")=0,"",SUMIFS(BD!$F$3:$F$5001,BD!$A$3:$A$5001,U$3,BD!$B$3:$B$5001,$A$395)))</f>
        <v/>
      </c>
      <c r="V398" s="180" t="str">
        <f>IF(V$3="","",IF(COUNTIFS(BD!$A$3:$A$5001,V$3,BD!$B$3:$B$5001,$A$395,BD!$F$3:$F$5001,"&lt;&gt;")=0,"",SUMIFS(BD!$F$3:$F$5001,BD!$A$3:$A$5001,V$3,BD!$B$3:$B$5001,$A$395)))</f>
        <v/>
      </c>
      <c r="W398" s="180" t="str">
        <f>IF(W$3="","",IF(COUNTIFS(BD!$A$3:$A$5001,W$3,BD!$B$3:$B$5001,$A$395,BD!$F$3:$F$5001,"&lt;&gt;")=0,"",SUMIFS(BD!$F$3:$F$5001,BD!$A$3:$A$5001,W$3,BD!$B$3:$B$5001,$A$395)))</f>
        <v/>
      </c>
      <c r="X398" s="180" t="str">
        <f>IF(X$3="","",IF(COUNTIFS(BD!$A$3:$A$5001,X$3,BD!$B$3:$B$5001,$A$395,BD!$F$3:$F$5001,"&lt;&gt;")=0,"",SUMIFS(BD!$F$3:$F$5001,BD!$A$3:$A$5001,X$3,BD!$B$3:$B$5001,$A$395)))</f>
        <v/>
      </c>
      <c r="Y398" s="180" t="str">
        <f>IF(Y$3="","",IF(COUNTIFS(BD!$A$3:$A$5001,Y$3,BD!$B$3:$B$5001,$A$395,BD!$F$3:$F$5001,"&lt;&gt;")=0,"",SUMIFS(BD!$F$3:$F$5001,BD!$A$3:$A$5001,Y$3,BD!$B$3:$B$5001,$A$395)))</f>
        <v/>
      </c>
      <c r="Z398" s="180" t="str">
        <f>IF(Z$3="","",IF(COUNTIFS(BD!$A$3:$A$5001,Z$3,BD!$B$3:$B$5001,$A$395,BD!$F$3:$F$5001,"&lt;&gt;")=0,"",SUMIFS(BD!$F$3:$F$5001,BD!$A$3:$A$5001,Z$3,BD!$B$3:$B$5001,$A$395)))</f>
        <v/>
      </c>
      <c r="AA398" s="180" t="str">
        <f>IF(AA$3="","",IF(COUNTIFS(BD!$A$3:$A$5001,AA$3,BD!$B$3:$B$5001,$A$395,BD!$F$3:$F$5001,"&lt;&gt;")=0,"",SUMIFS(BD!$F$3:$F$5001,BD!$A$3:$A$5001,AA$3,BD!$B$3:$B$5001,$A$395)))</f>
        <v/>
      </c>
      <c r="AB398" s="180" t="str">
        <f>IF(AB$3="","",IF(COUNTIFS(BD!$A$3:$A$5001,AB$3,BD!$B$3:$B$5001,$A$395,BD!$F$3:$F$5001,"&lt;&gt;")=0,"",SUMIFS(BD!$F$3:$F$5001,BD!$A$3:$A$5001,AB$3,BD!$B$3:$B$5001,$A$395)))</f>
        <v/>
      </c>
      <c r="AC398" s="180" t="str">
        <f>IF(AC$3="","",IF(COUNTIFS(BD!$A$3:$A$5001,AC$3,BD!$B$3:$B$5001,$A$395,BD!$F$3:$F$5001,"&lt;&gt;")=0,"",SUMIFS(BD!$F$3:$F$5001,BD!$A$3:$A$5001,AC$3,BD!$B$3:$B$5001,$A$395)))</f>
        <v/>
      </c>
      <c r="AD398" s="180" t="str">
        <f>IF(AD$3="","",IF(COUNTIFS(BD!$A$3:$A$5001,AD$3,BD!$B$3:$B$5001,$A$395,BD!$F$3:$F$5001,"&lt;&gt;")=0,"",SUMIFS(BD!$F$3:$F$5001,BD!$A$3:$A$5001,AD$3,BD!$B$3:$B$5001,$A$395)))</f>
        <v/>
      </c>
      <c r="AE398" s="180" t="str">
        <f>IF(AE$3="","",IF(COUNTIFS(BD!$A$3:$A$5001,AE$3,BD!$B$3:$B$5001,$A$395,BD!$F$3:$F$5001,"&lt;&gt;")=0,"",SUMIFS(BD!$F$3:$F$5001,BD!$A$3:$A$5001,AE$3,BD!$B$3:$B$5001,$A$395)))</f>
        <v/>
      </c>
      <c r="AF398" s="180" t="str">
        <f>IF(AF$3="","",IF(COUNTIFS(BD!$A$3:$A$5001,AF$3,BD!$B$3:$B$5001,$A$395,BD!$F$3:$F$5001,"&lt;&gt;")=0,"",SUMIFS(BD!$F$3:$F$5001,BD!$A$3:$A$5001,AF$3,BD!$B$3:$B$5001,$A$395)))</f>
        <v/>
      </c>
      <c r="AG398" s="180" t="str">
        <f>IF(AG$3="","",IF(COUNTIFS(BD!$A$3:$A$5001,AG$3,BD!$B$3:$B$5001,$A$395,BD!$F$3:$F$5001,"&lt;&gt;")=0,"",SUMIFS(BD!$F$3:$F$5001,BD!$A$3:$A$5001,AG$3,BD!$B$3:$B$5001,$A$395)))</f>
        <v/>
      </c>
      <c r="AH398" s="180" t="str">
        <f>IF(AH$3="","",IF(COUNTIFS(BD!$A$3:$A$5001,AH$3,BD!$B$3:$B$5001,$A$395,BD!$F$3:$F$5001,"&lt;&gt;")=0,"",SUMIFS(BD!$F$3:$F$5001,BD!$A$3:$A$5001,AH$3,BD!$B$3:$B$5001,$A$395)))</f>
        <v/>
      </c>
      <c r="AI398" s="180" t="str">
        <f>IF(AI$3="","",IF(COUNTIFS(BD!$A$3:$A$5001,AI$3,BD!$B$3:$B$5001,$A$395,BD!$F$3:$F$5001,"&lt;&gt;")=0,"",SUMIFS(BD!$F$3:$F$5001,BD!$A$3:$A$5001,AI$3,BD!$B$3:$B$5001,$A$395)))</f>
        <v/>
      </c>
      <c r="AJ398" s="181" t="str">
        <f>IF(AJ$3="","",IF(COUNTIFS(BD!$A$3:$A$5001,AJ$3,BD!$B$3:$B$5001,$A$395,BD!$F$3:$F$5001,"&lt;&gt;")=0,"",SUMIFS(BD!$F$3:$F$5001,BD!$A$3:$A$5001,AJ$3,BD!$B$3:$B$5001,$A$395)))</f>
        <v/>
      </c>
      <c r="AK398" s="182" t="str">
        <f>IF(COUNT(F398:AJ398)=0,"",SUM(F398:AJ398))</f>
        <v/>
      </c>
    </row>
    <row r="399" ht="15.75" customHeight="1" hidden="1">
      <c r="A399" s="254"/>
      <c r="B399" s="245"/>
      <c r="C399" s="183" t="inlineStr">
        <is>
          <t xml:space="preserve">Pallets Movimentados</t>
        </is>
      </c>
      <c r="D399" s="184" t="str">
        <f>IFERROR(1/(1/INDEX(BD!$Y$27:$AS$27,MATCH($A$395,BD!$Y$22:$AS$22,0))),"")</f>
        <v/>
      </c>
      <c r="E399" s="185"/>
      <c r="F399" s="186" t="str">
        <f>IF(F$3="","",IF(COUNTIFS(BD!$A$3:$A$5001,F$3,BD!$B$3:$B$5001,$A$395,BD!$G$3:$G$5001,"&lt;&gt;")=0,"",SUMIFS(BD!$G$3:$G$5001,BD!$A$3:$A$5001,F$3,BD!$B$3:$B$5001,$A$395)))</f>
        <v/>
      </c>
      <c r="G399" s="187" t="str">
        <f>IF(G$3="","",IF(COUNTIFS(BD!$A$3:$A$5001,G$3,BD!$B$3:$B$5001,$A$395,BD!$G$3:$G$5001,"&lt;&gt;")=0,"",SUMIFS(BD!$G$3:$G$5001,BD!$A$3:$A$5001,G$3,BD!$B$3:$B$5001,$A$395)))</f>
        <v/>
      </c>
      <c r="H399" s="187" t="str">
        <f>IF(H$3="","",IF(COUNTIFS(BD!$A$3:$A$5001,H$3,BD!$B$3:$B$5001,$A$395,BD!$G$3:$G$5001,"&lt;&gt;")=0,"",SUMIFS(BD!$G$3:$G$5001,BD!$A$3:$A$5001,H$3,BD!$B$3:$B$5001,$A$395)))</f>
        <v/>
      </c>
      <c r="I399" s="187" t="str">
        <f>IF(I$3="","",IF(COUNTIFS(BD!$A$3:$A$5001,I$3,BD!$B$3:$B$5001,$A$395,BD!$G$3:$G$5001,"&lt;&gt;")=0,"",SUMIFS(BD!$G$3:$G$5001,BD!$A$3:$A$5001,I$3,BD!$B$3:$B$5001,$A$395)))</f>
        <v/>
      </c>
      <c r="J399" s="187" t="str">
        <f>IF(J$3="","",IF(COUNTIFS(BD!$A$3:$A$5001,J$3,BD!$B$3:$B$5001,$A$395,BD!$G$3:$G$5001,"&lt;&gt;")=0,"",SUMIFS(BD!$G$3:$G$5001,BD!$A$3:$A$5001,J$3,BD!$B$3:$B$5001,$A$395)))</f>
        <v/>
      </c>
      <c r="K399" s="187" t="str">
        <f>IF(K$3="","",IF(COUNTIFS(BD!$A$3:$A$5001,K$3,BD!$B$3:$B$5001,$A$395,BD!$G$3:$G$5001,"&lt;&gt;")=0,"",SUMIFS(BD!$G$3:$G$5001,BD!$A$3:$A$5001,K$3,BD!$B$3:$B$5001,$A$395)))</f>
        <v/>
      </c>
      <c r="L399" s="187" t="str">
        <f>IF(L$3="","",IF(COUNTIFS(BD!$A$3:$A$5001,L$3,BD!$B$3:$B$5001,$A$395,BD!$G$3:$G$5001,"&lt;&gt;")=0,"",SUMIFS(BD!$G$3:$G$5001,BD!$A$3:$A$5001,L$3,BD!$B$3:$B$5001,$A$395)))</f>
        <v/>
      </c>
      <c r="M399" s="187" t="str">
        <f>IF(M$3="","",IF(COUNTIFS(BD!$A$3:$A$5001,M$3,BD!$B$3:$B$5001,$A$395,BD!$G$3:$G$5001,"&lt;&gt;")=0,"",SUMIFS(BD!$G$3:$G$5001,BD!$A$3:$A$5001,M$3,BD!$B$3:$B$5001,$A$395)))</f>
        <v/>
      </c>
      <c r="N399" s="187" t="str">
        <f>IF(N$3="","",IF(COUNTIFS(BD!$A$3:$A$5001,N$3,BD!$B$3:$B$5001,$A$395,BD!$G$3:$G$5001,"&lt;&gt;")=0,"",SUMIFS(BD!$G$3:$G$5001,BD!$A$3:$A$5001,N$3,BD!$B$3:$B$5001,$A$395)))</f>
        <v/>
      </c>
      <c r="O399" s="187" t="str">
        <f>IF(O$3="","",IF(COUNTIFS(BD!$A$3:$A$5001,O$3,BD!$B$3:$B$5001,$A$395,BD!$G$3:$G$5001,"&lt;&gt;")=0,"",SUMIFS(BD!$G$3:$G$5001,BD!$A$3:$A$5001,O$3,BD!$B$3:$B$5001,$A$395)))</f>
        <v/>
      </c>
      <c r="P399" s="187" t="str">
        <f>IF(P$3="","",IF(COUNTIFS(BD!$A$3:$A$5001,P$3,BD!$B$3:$B$5001,$A$395,BD!$G$3:$G$5001,"&lt;&gt;")=0,"",SUMIFS(BD!$G$3:$G$5001,BD!$A$3:$A$5001,P$3,BD!$B$3:$B$5001,$A$395)))</f>
        <v/>
      </c>
      <c r="Q399" s="187" t="str">
        <f>IF(Q$3="","",IF(COUNTIFS(BD!$A$3:$A$5001,Q$3,BD!$B$3:$B$5001,$A$395,BD!$G$3:$G$5001,"&lt;&gt;")=0,"",SUMIFS(BD!$G$3:$G$5001,BD!$A$3:$A$5001,Q$3,BD!$B$3:$B$5001,$A$395)))</f>
        <v/>
      </c>
      <c r="R399" s="187" t="str">
        <f>IF(R$3="","",IF(COUNTIFS(BD!$A$3:$A$5001,R$3,BD!$B$3:$B$5001,$A$395,BD!$G$3:$G$5001,"&lt;&gt;")=0,"",SUMIFS(BD!$G$3:$G$5001,BD!$A$3:$A$5001,R$3,BD!$B$3:$B$5001,$A$395)))</f>
        <v/>
      </c>
      <c r="S399" s="187" t="str">
        <f>IF(S$3="","",IF(COUNTIFS(BD!$A$3:$A$5001,S$3,BD!$B$3:$B$5001,$A$395,BD!$G$3:$G$5001,"&lt;&gt;")=0,"",SUMIFS(BD!$G$3:$G$5001,BD!$A$3:$A$5001,S$3,BD!$B$3:$B$5001,$A$395)))</f>
        <v/>
      </c>
      <c r="T399" s="187" t="str">
        <f>IF(T$3="","",IF(COUNTIFS(BD!$A$3:$A$5001,T$3,BD!$B$3:$B$5001,$A$395,BD!$G$3:$G$5001,"&lt;&gt;")=0,"",SUMIFS(BD!$G$3:$G$5001,BD!$A$3:$A$5001,T$3,BD!$B$3:$B$5001,$A$395)))</f>
        <v/>
      </c>
      <c r="U399" s="187" t="str">
        <f>IF(U$3="","",IF(COUNTIFS(BD!$A$3:$A$5001,U$3,BD!$B$3:$B$5001,$A$395,BD!$G$3:$G$5001,"&lt;&gt;")=0,"",SUMIFS(BD!$G$3:$G$5001,BD!$A$3:$A$5001,U$3,BD!$B$3:$B$5001,$A$395)))</f>
        <v/>
      </c>
      <c r="V399" s="187" t="str">
        <f>IF(V$3="","",IF(COUNTIFS(BD!$A$3:$A$5001,V$3,BD!$B$3:$B$5001,$A$395,BD!$G$3:$G$5001,"&lt;&gt;")=0,"",SUMIFS(BD!$G$3:$G$5001,BD!$A$3:$A$5001,V$3,BD!$B$3:$B$5001,$A$395)))</f>
        <v/>
      </c>
      <c r="W399" s="187" t="str">
        <f>IF(W$3="","",IF(COUNTIFS(BD!$A$3:$A$5001,W$3,BD!$B$3:$B$5001,$A$395,BD!$G$3:$G$5001,"&lt;&gt;")=0,"",SUMIFS(BD!$G$3:$G$5001,BD!$A$3:$A$5001,W$3,BD!$B$3:$B$5001,$A$395)))</f>
        <v/>
      </c>
      <c r="X399" s="187" t="str">
        <f>IF(X$3="","",IF(COUNTIFS(BD!$A$3:$A$5001,X$3,BD!$B$3:$B$5001,$A$395,BD!$G$3:$G$5001,"&lt;&gt;")=0,"",SUMIFS(BD!$G$3:$G$5001,BD!$A$3:$A$5001,X$3,BD!$B$3:$B$5001,$A$395)))</f>
        <v/>
      </c>
      <c r="Y399" s="187" t="str">
        <f>IF(Y$3="","",IF(COUNTIFS(BD!$A$3:$A$5001,Y$3,BD!$B$3:$B$5001,$A$395,BD!$G$3:$G$5001,"&lt;&gt;")=0,"",SUMIFS(BD!$G$3:$G$5001,BD!$A$3:$A$5001,Y$3,BD!$B$3:$B$5001,$A$395)))</f>
        <v/>
      </c>
      <c r="Z399" s="187" t="str">
        <f>IF(Z$3="","",IF(COUNTIFS(BD!$A$3:$A$5001,Z$3,BD!$B$3:$B$5001,$A$395,BD!$G$3:$G$5001,"&lt;&gt;")=0,"",SUMIFS(BD!$G$3:$G$5001,BD!$A$3:$A$5001,Z$3,BD!$B$3:$B$5001,$A$395)))</f>
        <v/>
      </c>
      <c r="AA399" s="187" t="str">
        <f>IF(AA$3="","",IF(COUNTIFS(BD!$A$3:$A$5001,AA$3,BD!$B$3:$B$5001,$A$395,BD!$G$3:$G$5001,"&lt;&gt;")=0,"",SUMIFS(BD!$G$3:$G$5001,BD!$A$3:$A$5001,AA$3,BD!$B$3:$B$5001,$A$395)))</f>
        <v/>
      </c>
      <c r="AB399" s="187" t="str">
        <f>IF(AB$3="","",IF(COUNTIFS(BD!$A$3:$A$5001,AB$3,BD!$B$3:$B$5001,$A$395,BD!$G$3:$G$5001,"&lt;&gt;")=0,"",SUMIFS(BD!$G$3:$G$5001,BD!$A$3:$A$5001,AB$3,BD!$B$3:$B$5001,$A$395)))</f>
        <v/>
      </c>
      <c r="AC399" s="187" t="str">
        <f>IF(AC$3="","",IF(COUNTIFS(BD!$A$3:$A$5001,AC$3,BD!$B$3:$B$5001,$A$395,BD!$G$3:$G$5001,"&lt;&gt;")=0,"",SUMIFS(BD!$G$3:$G$5001,BD!$A$3:$A$5001,AC$3,BD!$B$3:$B$5001,$A$395)))</f>
        <v/>
      </c>
      <c r="AD399" s="187" t="str">
        <f>IF(AD$3="","",IF(COUNTIFS(BD!$A$3:$A$5001,AD$3,BD!$B$3:$B$5001,$A$395,BD!$G$3:$G$5001,"&lt;&gt;")=0,"",SUMIFS(BD!$G$3:$G$5001,BD!$A$3:$A$5001,AD$3,BD!$B$3:$B$5001,$A$395)))</f>
        <v/>
      </c>
      <c r="AE399" s="187" t="str">
        <f>IF(AE$3="","",IF(COUNTIFS(BD!$A$3:$A$5001,AE$3,BD!$B$3:$B$5001,$A$395,BD!$G$3:$G$5001,"&lt;&gt;")=0,"",SUMIFS(BD!$G$3:$G$5001,BD!$A$3:$A$5001,AE$3,BD!$B$3:$B$5001,$A$395)))</f>
        <v/>
      </c>
      <c r="AF399" s="187" t="str">
        <f>IF(AF$3="","",IF(COUNTIFS(BD!$A$3:$A$5001,AF$3,BD!$B$3:$B$5001,$A$395,BD!$G$3:$G$5001,"&lt;&gt;")=0,"",SUMIFS(BD!$G$3:$G$5001,BD!$A$3:$A$5001,AF$3,BD!$B$3:$B$5001,$A$395)))</f>
        <v/>
      </c>
      <c r="AG399" s="187" t="str">
        <f>IF(AG$3="","",IF(COUNTIFS(BD!$A$3:$A$5001,AG$3,BD!$B$3:$B$5001,$A$395,BD!$G$3:$G$5001,"&lt;&gt;")=0,"",SUMIFS(BD!$G$3:$G$5001,BD!$A$3:$A$5001,AG$3,BD!$B$3:$B$5001,$A$395)))</f>
        <v/>
      </c>
      <c r="AH399" s="187" t="str">
        <f>IF(AH$3="","",IF(COUNTIFS(BD!$A$3:$A$5001,AH$3,BD!$B$3:$B$5001,$A$395,BD!$G$3:$G$5001,"&lt;&gt;")=0,"",SUMIFS(BD!$G$3:$G$5001,BD!$A$3:$A$5001,AH$3,BD!$B$3:$B$5001,$A$395)))</f>
        <v/>
      </c>
      <c r="AI399" s="187" t="str">
        <f>IF(AI$3="","",IF(COUNTIFS(BD!$A$3:$A$5001,AI$3,BD!$B$3:$B$5001,$A$395,BD!$G$3:$G$5001,"&lt;&gt;")=0,"",SUMIFS(BD!$G$3:$G$5001,BD!$A$3:$A$5001,AI$3,BD!$B$3:$B$5001,$A$395)))</f>
        <v/>
      </c>
      <c r="AJ399" s="188" t="str">
        <f>IF(AJ$3="","",IF(COUNTIFS(BD!$A$3:$A$5001,AJ$3,BD!$B$3:$B$5001,$A$395,BD!$G$3:$G$5001,"&lt;&gt;")=0,"",SUMIFS(BD!$G$3:$G$5001,BD!$A$3:$A$5001,AJ$3,BD!$B$3:$B$5001,$A$395)))</f>
        <v/>
      </c>
      <c r="AK399" s="189" t="str">
        <f>IF(COUNT(F399:AJ399)=0,"",SUM(F399:AJ399))</f>
        <v/>
      </c>
    </row>
    <row r="400" ht="15.75" customHeight="1" hidden="1">
      <c r="A400" s="254"/>
      <c r="B400" s="246"/>
      <c r="C400" s="190" t="inlineStr">
        <is>
          <t xml:space="preserve">Toneladas Movimentadas</t>
        </is>
      </c>
      <c r="D400" s="191" t="str">
        <f>IFERROR(1/(1/INDEX(BD!$Y$28:$AS$28,MATCH($A$395,BD!$Y$22:$AS$22,0))),"")</f>
        <v/>
      </c>
      <c r="E400" s="192"/>
      <c r="F400" s="193" t="str">
        <f>IF(F$3="","",IF(COUNTIFS(BD!$A$3:$A$5001,F$3,BD!$B$3:$B$5001,$A$395,BD!$H$3:$H$5001,"&lt;&gt;")=0,"",SUMIFS(BD!$H$3:$H$5001,BD!$A$3:$A$5001,F$3,BD!$B$3:$B$5001,$A$395)))</f>
        <v/>
      </c>
      <c r="G400" s="194" t="str">
        <f>IF(G$3="","",IF(COUNTIFS(BD!$A$3:$A$5001,G$3,BD!$B$3:$B$5001,$A$395,BD!$H$3:$H$5001,"&lt;&gt;")=0,"",SUMIFS(BD!$H$3:$H$5001,BD!$A$3:$A$5001,G$3,BD!$B$3:$B$5001,$A$395)))</f>
        <v/>
      </c>
      <c r="H400" s="194" t="str">
        <f>IF(H$3="","",IF(COUNTIFS(BD!$A$3:$A$5001,H$3,BD!$B$3:$B$5001,$A$395,BD!$H$3:$H$5001,"&lt;&gt;")=0,"",SUMIFS(BD!$H$3:$H$5001,BD!$A$3:$A$5001,H$3,BD!$B$3:$B$5001,$A$395)))</f>
        <v/>
      </c>
      <c r="I400" s="194" t="str">
        <f>IF(I$3="","",IF(COUNTIFS(BD!$A$3:$A$5001,I$3,BD!$B$3:$B$5001,$A$395,BD!$H$3:$H$5001,"&lt;&gt;")=0,"",SUMIFS(BD!$H$3:$H$5001,BD!$A$3:$A$5001,I$3,BD!$B$3:$B$5001,$A$395)))</f>
        <v/>
      </c>
      <c r="J400" s="194" t="str">
        <f>IF(J$3="","",IF(COUNTIFS(BD!$A$3:$A$5001,J$3,BD!$B$3:$B$5001,$A$395,BD!$H$3:$H$5001,"&lt;&gt;")=0,"",SUMIFS(BD!$H$3:$H$5001,BD!$A$3:$A$5001,J$3,BD!$B$3:$B$5001,$A$395)))</f>
        <v/>
      </c>
      <c r="K400" s="194" t="str">
        <f>IF(K$3="","",IF(COUNTIFS(BD!$A$3:$A$5001,K$3,BD!$B$3:$B$5001,$A$395,BD!$H$3:$H$5001,"&lt;&gt;")=0,"",SUMIFS(BD!$H$3:$H$5001,BD!$A$3:$A$5001,K$3,BD!$B$3:$B$5001,$A$395)))</f>
        <v/>
      </c>
      <c r="L400" s="194" t="str">
        <f>IF(L$3="","",IF(COUNTIFS(BD!$A$3:$A$5001,L$3,BD!$B$3:$B$5001,$A$395,BD!$H$3:$H$5001,"&lt;&gt;")=0,"",SUMIFS(BD!$H$3:$H$5001,BD!$A$3:$A$5001,L$3,BD!$B$3:$B$5001,$A$395)))</f>
        <v/>
      </c>
      <c r="M400" s="194" t="str">
        <f>IF(M$3="","",IF(COUNTIFS(BD!$A$3:$A$5001,M$3,BD!$B$3:$B$5001,$A$395,BD!$H$3:$H$5001,"&lt;&gt;")=0,"",SUMIFS(BD!$H$3:$H$5001,BD!$A$3:$A$5001,M$3,BD!$B$3:$B$5001,$A$395)))</f>
        <v/>
      </c>
      <c r="N400" s="194" t="str">
        <f>IF(N$3="","",IF(COUNTIFS(BD!$A$3:$A$5001,N$3,BD!$B$3:$B$5001,$A$395,BD!$H$3:$H$5001,"&lt;&gt;")=0,"",SUMIFS(BD!$H$3:$H$5001,BD!$A$3:$A$5001,N$3,BD!$B$3:$B$5001,$A$395)))</f>
        <v/>
      </c>
      <c r="O400" s="194" t="str">
        <f>IF(O$3="","",IF(COUNTIFS(BD!$A$3:$A$5001,O$3,BD!$B$3:$B$5001,$A$395,BD!$H$3:$H$5001,"&lt;&gt;")=0,"",SUMIFS(BD!$H$3:$H$5001,BD!$A$3:$A$5001,O$3,BD!$B$3:$B$5001,$A$395)))</f>
        <v/>
      </c>
      <c r="P400" s="194" t="str">
        <f>IF(P$3="","",IF(COUNTIFS(BD!$A$3:$A$5001,P$3,BD!$B$3:$B$5001,$A$395,BD!$H$3:$H$5001,"&lt;&gt;")=0,"",SUMIFS(BD!$H$3:$H$5001,BD!$A$3:$A$5001,P$3,BD!$B$3:$B$5001,$A$395)))</f>
        <v/>
      </c>
      <c r="Q400" s="194" t="str">
        <f>IF(Q$3="","",IF(COUNTIFS(BD!$A$3:$A$5001,Q$3,BD!$B$3:$B$5001,$A$395,BD!$H$3:$H$5001,"&lt;&gt;")=0,"",SUMIFS(BD!$H$3:$H$5001,BD!$A$3:$A$5001,Q$3,BD!$B$3:$B$5001,$A$395)))</f>
        <v/>
      </c>
      <c r="R400" s="194" t="str">
        <f>IF(R$3="","",IF(COUNTIFS(BD!$A$3:$A$5001,R$3,BD!$B$3:$B$5001,$A$395,BD!$H$3:$H$5001,"&lt;&gt;")=0,"",SUMIFS(BD!$H$3:$H$5001,BD!$A$3:$A$5001,R$3,BD!$B$3:$B$5001,$A$395)))</f>
        <v/>
      </c>
      <c r="S400" s="194" t="str">
        <f>IF(S$3="","",IF(COUNTIFS(BD!$A$3:$A$5001,S$3,BD!$B$3:$B$5001,$A$395,BD!$H$3:$H$5001,"&lt;&gt;")=0,"",SUMIFS(BD!$H$3:$H$5001,BD!$A$3:$A$5001,S$3,BD!$B$3:$B$5001,$A$395)))</f>
        <v/>
      </c>
      <c r="T400" s="194" t="str">
        <f>IF(T$3="","",IF(COUNTIFS(BD!$A$3:$A$5001,T$3,BD!$B$3:$B$5001,$A$395,BD!$H$3:$H$5001,"&lt;&gt;")=0,"",SUMIFS(BD!$H$3:$H$5001,BD!$A$3:$A$5001,T$3,BD!$B$3:$B$5001,$A$395)))</f>
        <v/>
      </c>
      <c r="U400" s="194" t="str">
        <f>IF(U$3="","",IF(COUNTIFS(BD!$A$3:$A$5001,U$3,BD!$B$3:$B$5001,$A$395,BD!$H$3:$H$5001,"&lt;&gt;")=0,"",SUMIFS(BD!$H$3:$H$5001,BD!$A$3:$A$5001,U$3,BD!$B$3:$B$5001,$A$395)))</f>
        <v/>
      </c>
      <c r="V400" s="194" t="str">
        <f>IF(V$3="","",IF(COUNTIFS(BD!$A$3:$A$5001,V$3,BD!$B$3:$B$5001,$A$395,BD!$H$3:$H$5001,"&lt;&gt;")=0,"",SUMIFS(BD!$H$3:$H$5001,BD!$A$3:$A$5001,V$3,BD!$B$3:$B$5001,$A$395)))</f>
        <v/>
      </c>
      <c r="W400" s="194" t="str">
        <f>IF(W$3="","",IF(COUNTIFS(BD!$A$3:$A$5001,W$3,BD!$B$3:$B$5001,$A$395,BD!$H$3:$H$5001,"&lt;&gt;")=0,"",SUMIFS(BD!$H$3:$H$5001,BD!$A$3:$A$5001,W$3,BD!$B$3:$B$5001,$A$395)))</f>
        <v/>
      </c>
      <c r="X400" s="194" t="str">
        <f>IF(X$3="","",IF(COUNTIFS(BD!$A$3:$A$5001,X$3,BD!$B$3:$B$5001,$A$395,BD!$H$3:$H$5001,"&lt;&gt;")=0,"",SUMIFS(BD!$H$3:$H$5001,BD!$A$3:$A$5001,X$3,BD!$B$3:$B$5001,$A$395)))</f>
        <v/>
      </c>
      <c r="Y400" s="194" t="str">
        <f>IF(Y$3="","",IF(COUNTIFS(BD!$A$3:$A$5001,Y$3,BD!$B$3:$B$5001,$A$395,BD!$H$3:$H$5001,"&lt;&gt;")=0,"",SUMIFS(BD!$H$3:$H$5001,BD!$A$3:$A$5001,Y$3,BD!$B$3:$B$5001,$A$395)))</f>
        <v/>
      </c>
      <c r="Z400" s="194" t="str">
        <f>IF(Z$3="","",IF(COUNTIFS(BD!$A$3:$A$5001,Z$3,BD!$B$3:$B$5001,$A$395,BD!$H$3:$H$5001,"&lt;&gt;")=0,"",SUMIFS(BD!$H$3:$H$5001,BD!$A$3:$A$5001,Z$3,BD!$B$3:$B$5001,$A$395)))</f>
        <v/>
      </c>
      <c r="AA400" s="194" t="str">
        <f>IF(AA$3="","",IF(COUNTIFS(BD!$A$3:$A$5001,AA$3,BD!$B$3:$B$5001,$A$395,BD!$H$3:$H$5001,"&lt;&gt;")=0,"",SUMIFS(BD!$H$3:$H$5001,BD!$A$3:$A$5001,AA$3,BD!$B$3:$B$5001,$A$395)))</f>
        <v/>
      </c>
      <c r="AB400" s="194" t="str">
        <f>IF(AB$3="","",IF(COUNTIFS(BD!$A$3:$A$5001,AB$3,BD!$B$3:$B$5001,$A$395,BD!$H$3:$H$5001,"&lt;&gt;")=0,"",SUMIFS(BD!$H$3:$H$5001,BD!$A$3:$A$5001,AB$3,BD!$B$3:$B$5001,$A$395)))</f>
        <v/>
      </c>
      <c r="AC400" s="194" t="str">
        <f>IF(AC$3="","",IF(COUNTIFS(BD!$A$3:$A$5001,AC$3,BD!$B$3:$B$5001,$A$395,BD!$H$3:$H$5001,"&lt;&gt;")=0,"",SUMIFS(BD!$H$3:$H$5001,BD!$A$3:$A$5001,AC$3,BD!$B$3:$B$5001,$A$395)))</f>
        <v/>
      </c>
      <c r="AD400" s="194" t="str">
        <f>IF(AD$3="","",IF(COUNTIFS(BD!$A$3:$A$5001,AD$3,BD!$B$3:$B$5001,$A$395,BD!$H$3:$H$5001,"&lt;&gt;")=0,"",SUMIFS(BD!$H$3:$H$5001,BD!$A$3:$A$5001,AD$3,BD!$B$3:$B$5001,$A$395)))</f>
        <v/>
      </c>
      <c r="AE400" s="194" t="str">
        <f>IF(AE$3="","",IF(COUNTIFS(BD!$A$3:$A$5001,AE$3,BD!$B$3:$B$5001,$A$395,BD!$H$3:$H$5001,"&lt;&gt;")=0,"",SUMIFS(BD!$H$3:$H$5001,BD!$A$3:$A$5001,AE$3,BD!$B$3:$B$5001,$A$395)))</f>
        <v/>
      </c>
      <c r="AF400" s="194" t="str">
        <f>IF(AF$3="","",IF(COUNTIFS(BD!$A$3:$A$5001,AF$3,BD!$B$3:$B$5001,$A$395,BD!$H$3:$H$5001,"&lt;&gt;")=0,"",SUMIFS(BD!$H$3:$H$5001,BD!$A$3:$A$5001,AF$3,BD!$B$3:$B$5001,$A$395)))</f>
        <v/>
      </c>
      <c r="AG400" s="194" t="str">
        <f>IF(AG$3="","",IF(COUNTIFS(BD!$A$3:$A$5001,AG$3,BD!$B$3:$B$5001,$A$395,BD!$H$3:$H$5001,"&lt;&gt;")=0,"",SUMIFS(BD!$H$3:$H$5001,BD!$A$3:$A$5001,AG$3,BD!$B$3:$B$5001,$A$395)))</f>
        <v/>
      </c>
      <c r="AH400" s="194" t="str">
        <f>IF(AH$3="","",IF(COUNTIFS(BD!$A$3:$A$5001,AH$3,BD!$B$3:$B$5001,$A$395,BD!$H$3:$H$5001,"&lt;&gt;")=0,"",SUMIFS(BD!$H$3:$H$5001,BD!$A$3:$A$5001,AH$3,BD!$B$3:$B$5001,$A$395)))</f>
        <v/>
      </c>
      <c r="AI400" s="194" t="str">
        <f>IF(AI$3="","",IF(COUNTIFS(BD!$A$3:$A$5001,AI$3,BD!$B$3:$B$5001,$A$395,BD!$H$3:$H$5001,"&lt;&gt;")=0,"",SUMIFS(BD!$H$3:$H$5001,BD!$A$3:$A$5001,AI$3,BD!$B$3:$B$5001,$A$395)))</f>
        <v/>
      </c>
      <c r="AJ400" s="195" t="str">
        <f>IF(AJ$3="","",IF(COUNTIFS(BD!$A$3:$A$5001,AJ$3,BD!$B$3:$B$5001,$A$395,BD!$H$3:$H$5001,"&lt;&gt;")=0,"",SUMIFS(BD!$H$3:$H$5001,BD!$A$3:$A$5001,AJ$3,BD!$B$3:$B$5001,$A$395)))</f>
        <v/>
      </c>
      <c r="AK400" s="196" t="str">
        <f>IF(COUNT(F400:AJ400)=0,"",SUM(F400:AJ400))</f>
        <v/>
      </c>
    </row>
    <row r="401" ht="15.75" customHeight="1" hidden="1">
      <c r="A401" s="254"/>
      <c r="B401" s="247" t="inlineStr">
        <is>
          <t xml:space="preserve">NC</t>
        </is>
      </c>
      <c r="C401" s="197" t="inlineStr">
        <is>
          <t xml:space="preserve">Incidentes</t>
        </is>
      </c>
      <c r="D401" s="198" t="str">
        <f>IFERROR(1/(1/INDEX(BD!$Y$29:$AS$29,MATCH($A$395,BD!$Y$22:$AS$22,0))),"")</f>
        <v/>
      </c>
      <c r="E401" s="199"/>
      <c r="F401" s="200" t="str">
        <f>IF(F$3="","",IF(COUNTIFS(BD!$A$3:$A$5001,F$3,BD!$B$3:$B$5001,$A$395,BD!$I$3:$I$5001,"&lt;&gt;")=0,"",SUMIFS(BD!$I$3:$I$5001,BD!$A$3:$A$5001,F$3,BD!$B$3:$B$5001,$A$395)))</f>
        <v/>
      </c>
      <c r="G401" s="201" t="str">
        <f>IF(G$3="","",IF(COUNTIFS(BD!$A$3:$A$5001,G$3,BD!$B$3:$B$5001,$A$395,BD!$I$3:$I$5001,"&lt;&gt;")=0,"",SUMIFS(BD!$I$3:$I$5001,BD!$A$3:$A$5001,G$3,BD!$B$3:$B$5001,$A$395)))</f>
        <v/>
      </c>
      <c r="H401" s="201" t="str">
        <f>IF(H$3="","",IF(COUNTIFS(BD!$A$3:$A$5001,H$3,BD!$B$3:$B$5001,$A$395,BD!$I$3:$I$5001,"&lt;&gt;")=0,"",SUMIFS(BD!$I$3:$I$5001,BD!$A$3:$A$5001,H$3,BD!$B$3:$B$5001,$A$395)))</f>
        <v/>
      </c>
      <c r="I401" s="201" t="str">
        <f>IF(I$3="","",IF(COUNTIFS(BD!$A$3:$A$5001,I$3,BD!$B$3:$B$5001,$A$395,BD!$I$3:$I$5001,"&lt;&gt;")=0,"",SUMIFS(BD!$I$3:$I$5001,BD!$A$3:$A$5001,I$3,BD!$B$3:$B$5001,$A$395)))</f>
        <v/>
      </c>
      <c r="J401" s="201" t="str">
        <f>IF(J$3="","",IF(COUNTIFS(BD!$A$3:$A$5001,J$3,BD!$B$3:$B$5001,$A$395,BD!$I$3:$I$5001,"&lt;&gt;")=0,"",SUMIFS(BD!$I$3:$I$5001,BD!$A$3:$A$5001,J$3,BD!$B$3:$B$5001,$A$395)))</f>
        <v/>
      </c>
      <c r="K401" s="201" t="str">
        <f>IF(K$3="","",IF(COUNTIFS(BD!$A$3:$A$5001,K$3,BD!$B$3:$B$5001,$A$395,BD!$I$3:$I$5001,"&lt;&gt;")=0,"",SUMIFS(BD!$I$3:$I$5001,BD!$A$3:$A$5001,K$3,BD!$B$3:$B$5001,$A$395)))</f>
        <v/>
      </c>
      <c r="L401" s="201" t="str">
        <f>IF(L$3="","",IF(COUNTIFS(BD!$A$3:$A$5001,L$3,BD!$B$3:$B$5001,$A$395,BD!$I$3:$I$5001,"&lt;&gt;")=0,"",SUMIFS(BD!$I$3:$I$5001,BD!$A$3:$A$5001,L$3,BD!$B$3:$B$5001,$A$395)))</f>
        <v/>
      </c>
      <c r="M401" s="201" t="str">
        <f>IF(M$3="","",IF(COUNTIFS(BD!$A$3:$A$5001,M$3,BD!$B$3:$B$5001,$A$395,BD!$I$3:$I$5001,"&lt;&gt;")=0,"",SUMIFS(BD!$I$3:$I$5001,BD!$A$3:$A$5001,M$3,BD!$B$3:$B$5001,$A$395)))</f>
        <v/>
      </c>
      <c r="N401" s="201" t="str">
        <f>IF(N$3="","",IF(COUNTIFS(BD!$A$3:$A$5001,N$3,BD!$B$3:$B$5001,$A$395,BD!$I$3:$I$5001,"&lt;&gt;")=0,"",SUMIFS(BD!$I$3:$I$5001,BD!$A$3:$A$5001,N$3,BD!$B$3:$B$5001,$A$395)))</f>
        <v/>
      </c>
      <c r="O401" s="201" t="str">
        <f>IF(O$3="","",IF(COUNTIFS(BD!$A$3:$A$5001,O$3,BD!$B$3:$B$5001,$A$395,BD!$I$3:$I$5001,"&lt;&gt;")=0,"",SUMIFS(BD!$I$3:$I$5001,BD!$A$3:$A$5001,O$3,BD!$B$3:$B$5001,$A$395)))</f>
        <v/>
      </c>
      <c r="P401" s="201" t="str">
        <f>IF(P$3="","",IF(COUNTIFS(BD!$A$3:$A$5001,P$3,BD!$B$3:$B$5001,$A$395,BD!$I$3:$I$5001,"&lt;&gt;")=0,"",SUMIFS(BD!$I$3:$I$5001,BD!$A$3:$A$5001,P$3,BD!$B$3:$B$5001,$A$395)))</f>
        <v/>
      </c>
      <c r="Q401" s="201" t="str">
        <f>IF(Q$3="","",IF(COUNTIFS(BD!$A$3:$A$5001,Q$3,BD!$B$3:$B$5001,$A$395,BD!$I$3:$I$5001,"&lt;&gt;")=0,"",SUMIFS(BD!$I$3:$I$5001,BD!$A$3:$A$5001,Q$3,BD!$B$3:$B$5001,$A$395)))</f>
        <v/>
      </c>
      <c r="R401" s="201" t="str">
        <f>IF(R$3="","",IF(COUNTIFS(BD!$A$3:$A$5001,R$3,BD!$B$3:$B$5001,$A$395,BD!$I$3:$I$5001,"&lt;&gt;")=0,"",SUMIFS(BD!$I$3:$I$5001,BD!$A$3:$A$5001,R$3,BD!$B$3:$B$5001,$A$395)))</f>
        <v/>
      </c>
      <c r="S401" s="201" t="str">
        <f>IF(S$3="","",IF(COUNTIFS(BD!$A$3:$A$5001,S$3,BD!$B$3:$B$5001,$A$395,BD!$I$3:$I$5001,"&lt;&gt;")=0,"",SUMIFS(BD!$I$3:$I$5001,BD!$A$3:$A$5001,S$3,BD!$B$3:$B$5001,$A$395)))</f>
        <v/>
      </c>
      <c r="T401" s="201" t="str">
        <f>IF(T$3="","",IF(COUNTIFS(BD!$A$3:$A$5001,T$3,BD!$B$3:$B$5001,$A$395,BD!$I$3:$I$5001,"&lt;&gt;")=0,"",SUMIFS(BD!$I$3:$I$5001,BD!$A$3:$A$5001,T$3,BD!$B$3:$B$5001,$A$395)))</f>
        <v/>
      </c>
      <c r="U401" s="201" t="str">
        <f>IF(U$3="","",IF(COUNTIFS(BD!$A$3:$A$5001,U$3,BD!$B$3:$B$5001,$A$395,BD!$I$3:$I$5001,"&lt;&gt;")=0,"",SUMIFS(BD!$I$3:$I$5001,BD!$A$3:$A$5001,U$3,BD!$B$3:$B$5001,$A$395)))</f>
        <v/>
      </c>
      <c r="V401" s="201" t="str">
        <f>IF(V$3="","",IF(COUNTIFS(BD!$A$3:$A$5001,V$3,BD!$B$3:$B$5001,$A$395,BD!$I$3:$I$5001,"&lt;&gt;")=0,"",SUMIFS(BD!$I$3:$I$5001,BD!$A$3:$A$5001,V$3,BD!$B$3:$B$5001,$A$395)))</f>
        <v/>
      </c>
      <c r="W401" s="201" t="str">
        <f>IF(W$3="","",IF(COUNTIFS(BD!$A$3:$A$5001,W$3,BD!$B$3:$B$5001,$A$395,BD!$I$3:$I$5001,"&lt;&gt;")=0,"",SUMIFS(BD!$I$3:$I$5001,BD!$A$3:$A$5001,W$3,BD!$B$3:$B$5001,$A$395)))</f>
        <v/>
      </c>
      <c r="X401" s="201" t="str">
        <f>IF(X$3="","",IF(COUNTIFS(BD!$A$3:$A$5001,X$3,BD!$B$3:$B$5001,$A$395,BD!$I$3:$I$5001,"&lt;&gt;")=0,"",SUMIFS(BD!$I$3:$I$5001,BD!$A$3:$A$5001,X$3,BD!$B$3:$B$5001,$A$395)))</f>
        <v/>
      </c>
      <c r="Y401" s="201" t="str">
        <f>IF(Y$3="","",IF(COUNTIFS(BD!$A$3:$A$5001,Y$3,BD!$B$3:$B$5001,$A$395,BD!$I$3:$I$5001,"&lt;&gt;")=0,"",SUMIFS(BD!$I$3:$I$5001,BD!$A$3:$A$5001,Y$3,BD!$B$3:$B$5001,$A$395)))</f>
        <v/>
      </c>
      <c r="Z401" s="201" t="str">
        <f>IF(Z$3="","",IF(COUNTIFS(BD!$A$3:$A$5001,Z$3,BD!$B$3:$B$5001,$A$395,BD!$I$3:$I$5001,"&lt;&gt;")=0,"",SUMIFS(BD!$I$3:$I$5001,BD!$A$3:$A$5001,Z$3,BD!$B$3:$B$5001,$A$395)))</f>
        <v/>
      </c>
      <c r="AA401" s="201" t="str">
        <f>IF(AA$3="","",IF(COUNTIFS(BD!$A$3:$A$5001,AA$3,BD!$B$3:$B$5001,$A$395,BD!$I$3:$I$5001,"&lt;&gt;")=0,"",SUMIFS(BD!$I$3:$I$5001,BD!$A$3:$A$5001,AA$3,BD!$B$3:$B$5001,$A$395)))</f>
        <v/>
      </c>
      <c r="AB401" s="201" t="str">
        <f>IF(AB$3="","",IF(COUNTIFS(BD!$A$3:$A$5001,AB$3,BD!$B$3:$B$5001,$A$395,BD!$I$3:$I$5001,"&lt;&gt;")=0,"",SUMIFS(BD!$I$3:$I$5001,BD!$A$3:$A$5001,AB$3,BD!$B$3:$B$5001,$A$395)))</f>
        <v/>
      </c>
      <c r="AC401" s="201" t="str">
        <f>IF(AC$3="","",IF(COUNTIFS(BD!$A$3:$A$5001,AC$3,BD!$B$3:$B$5001,$A$395,BD!$I$3:$I$5001,"&lt;&gt;")=0,"",SUMIFS(BD!$I$3:$I$5001,BD!$A$3:$A$5001,AC$3,BD!$B$3:$B$5001,$A$395)))</f>
        <v/>
      </c>
      <c r="AD401" s="201" t="str">
        <f>IF(AD$3="","",IF(COUNTIFS(BD!$A$3:$A$5001,AD$3,BD!$B$3:$B$5001,$A$395,BD!$I$3:$I$5001,"&lt;&gt;")=0,"",SUMIFS(BD!$I$3:$I$5001,BD!$A$3:$A$5001,AD$3,BD!$B$3:$B$5001,$A$395)))</f>
        <v/>
      </c>
      <c r="AE401" s="201" t="str">
        <f>IF(AE$3="","",IF(COUNTIFS(BD!$A$3:$A$5001,AE$3,BD!$B$3:$B$5001,$A$395,BD!$I$3:$I$5001,"&lt;&gt;")=0,"",SUMIFS(BD!$I$3:$I$5001,BD!$A$3:$A$5001,AE$3,BD!$B$3:$B$5001,$A$395)))</f>
        <v/>
      </c>
      <c r="AF401" s="201" t="str">
        <f>IF(AF$3="","",IF(COUNTIFS(BD!$A$3:$A$5001,AF$3,BD!$B$3:$B$5001,$A$395,BD!$I$3:$I$5001,"&lt;&gt;")=0,"",SUMIFS(BD!$I$3:$I$5001,BD!$A$3:$A$5001,AF$3,BD!$B$3:$B$5001,$A$395)))</f>
        <v/>
      </c>
      <c r="AG401" s="201" t="str">
        <f>IF(AG$3="","",IF(COUNTIFS(BD!$A$3:$A$5001,AG$3,BD!$B$3:$B$5001,$A$395,BD!$I$3:$I$5001,"&lt;&gt;")=0,"",SUMIFS(BD!$I$3:$I$5001,BD!$A$3:$A$5001,AG$3,BD!$B$3:$B$5001,$A$395)))</f>
        <v/>
      </c>
      <c r="AH401" s="201" t="str">
        <f>IF(AH$3="","",IF(COUNTIFS(BD!$A$3:$A$5001,AH$3,BD!$B$3:$B$5001,$A$395,BD!$I$3:$I$5001,"&lt;&gt;")=0,"",SUMIFS(BD!$I$3:$I$5001,BD!$A$3:$A$5001,AH$3,BD!$B$3:$B$5001,$A$395)))</f>
        <v/>
      </c>
      <c r="AI401" s="201" t="str">
        <f>IF(AI$3="","",IF(COUNTIFS(BD!$A$3:$A$5001,AI$3,BD!$B$3:$B$5001,$A$395,BD!$I$3:$I$5001,"&lt;&gt;")=0,"",SUMIFS(BD!$I$3:$I$5001,BD!$A$3:$A$5001,AI$3,BD!$B$3:$B$5001,$A$395)))</f>
        <v/>
      </c>
      <c r="AJ401" s="202" t="str">
        <f>IF(AJ$3="","",IF(COUNTIFS(BD!$A$3:$A$5001,AJ$3,BD!$B$3:$B$5001,$A$395,BD!$I$3:$I$5001,"&lt;&gt;")=0,"",SUMIFS(BD!$I$3:$I$5001,BD!$A$3:$A$5001,AJ$3,BD!$B$3:$B$5001,$A$395)))</f>
        <v/>
      </c>
      <c r="AK401" s="203" t="str">
        <f>IF(COUNT(F401:AJ401)=0,"",SUM(F401:AJ401))</f>
        <v/>
      </c>
    </row>
    <row r="402" ht="15.75" customHeight="1" hidden="1">
      <c r="A402" s="254"/>
      <c r="B402" s="248"/>
      <c r="C402" s="204" t="inlineStr">
        <is>
          <t xml:space="preserve">No show</t>
        </is>
      </c>
      <c r="D402" s="205" t="str">
        <f>IFERROR(1/(1/INDEX(BD!$Y$30:$AS$30,MATCH($A$395,BD!$Y$22:$AS$22,0))),"")</f>
        <v/>
      </c>
      <c r="E402" s="206"/>
      <c r="F402" s="207" t="str">
        <f>IF(F$3="","",IF(COUNTIFS(BD!$A$3:$A$5001,F$3,BD!$B$3:$B$5001,$A$395,BD!$J$3:$J$5001,"&lt;&gt;")=0,"",SUMIFS(BD!$J$3:$J$5001,BD!$A$3:$A$5001,F$3,BD!$B$3:$B$5001,$A$395)))</f>
        <v/>
      </c>
      <c r="G402" s="208" t="str">
        <f>IF(G$3="","",IF(COUNTIFS(BD!$A$3:$A$5001,G$3,BD!$B$3:$B$5001,$A$395,BD!$J$3:$J$5001,"&lt;&gt;")=0,"",SUMIFS(BD!$J$3:$J$5001,BD!$A$3:$A$5001,G$3,BD!$B$3:$B$5001,$A$395)))</f>
        <v/>
      </c>
      <c r="H402" s="208" t="str">
        <f>IF(H$3="","",IF(COUNTIFS(BD!$A$3:$A$5001,H$3,BD!$B$3:$B$5001,$A$395,BD!$J$3:$J$5001,"&lt;&gt;")=0,"",SUMIFS(BD!$J$3:$J$5001,BD!$A$3:$A$5001,H$3,BD!$B$3:$B$5001,$A$395)))</f>
        <v/>
      </c>
      <c r="I402" s="208" t="str">
        <f>IF(I$3="","",IF(COUNTIFS(BD!$A$3:$A$5001,I$3,BD!$B$3:$B$5001,$A$395,BD!$J$3:$J$5001,"&lt;&gt;")=0,"",SUMIFS(BD!$J$3:$J$5001,BD!$A$3:$A$5001,I$3,BD!$B$3:$B$5001,$A$395)))</f>
        <v/>
      </c>
      <c r="J402" s="208" t="str">
        <f>IF(J$3="","",IF(COUNTIFS(BD!$A$3:$A$5001,J$3,BD!$B$3:$B$5001,$A$395,BD!$J$3:$J$5001,"&lt;&gt;")=0,"",SUMIFS(BD!$J$3:$J$5001,BD!$A$3:$A$5001,J$3,BD!$B$3:$B$5001,$A$395)))</f>
        <v/>
      </c>
      <c r="K402" s="208" t="str">
        <f>IF(K$3="","",IF(COUNTIFS(BD!$A$3:$A$5001,K$3,BD!$B$3:$B$5001,$A$395,BD!$J$3:$J$5001,"&lt;&gt;")=0,"",SUMIFS(BD!$J$3:$J$5001,BD!$A$3:$A$5001,K$3,BD!$B$3:$B$5001,$A$395)))</f>
        <v/>
      </c>
      <c r="L402" s="208" t="str">
        <f>IF(L$3="","",IF(COUNTIFS(BD!$A$3:$A$5001,L$3,BD!$B$3:$B$5001,$A$395,BD!$J$3:$J$5001,"&lt;&gt;")=0,"",SUMIFS(BD!$J$3:$J$5001,BD!$A$3:$A$5001,L$3,BD!$B$3:$B$5001,$A$395)))</f>
        <v/>
      </c>
      <c r="M402" s="208" t="str">
        <f>IF(M$3="","",IF(COUNTIFS(BD!$A$3:$A$5001,M$3,BD!$B$3:$B$5001,$A$395,BD!$J$3:$J$5001,"&lt;&gt;")=0,"",SUMIFS(BD!$J$3:$J$5001,BD!$A$3:$A$5001,M$3,BD!$B$3:$B$5001,$A$395)))</f>
        <v/>
      </c>
      <c r="N402" s="208" t="str">
        <f>IF(N$3="","",IF(COUNTIFS(BD!$A$3:$A$5001,N$3,BD!$B$3:$B$5001,$A$395,BD!$J$3:$J$5001,"&lt;&gt;")=0,"",SUMIFS(BD!$J$3:$J$5001,BD!$A$3:$A$5001,N$3,BD!$B$3:$B$5001,$A$395)))</f>
        <v/>
      </c>
      <c r="O402" s="208" t="str">
        <f>IF(O$3="","",IF(COUNTIFS(BD!$A$3:$A$5001,O$3,BD!$B$3:$B$5001,$A$395,BD!$J$3:$J$5001,"&lt;&gt;")=0,"",SUMIFS(BD!$J$3:$J$5001,BD!$A$3:$A$5001,O$3,BD!$B$3:$B$5001,$A$395)))</f>
        <v/>
      </c>
      <c r="P402" s="208" t="str">
        <f>IF(P$3="","",IF(COUNTIFS(BD!$A$3:$A$5001,P$3,BD!$B$3:$B$5001,$A$395,BD!$J$3:$J$5001,"&lt;&gt;")=0,"",SUMIFS(BD!$J$3:$J$5001,BD!$A$3:$A$5001,P$3,BD!$B$3:$B$5001,$A$395)))</f>
        <v/>
      </c>
      <c r="Q402" s="208" t="str">
        <f>IF(Q$3="","",IF(COUNTIFS(BD!$A$3:$A$5001,Q$3,BD!$B$3:$B$5001,$A$395,BD!$J$3:$J$5001,"&lt;&gt;")=0,"",SUMIFS(BD!$J$3:$J$5001,BD!$A$3:$A$5001,Q$3,BD!$B$3:$B$5001,$A$395)))</f>
        <v/>
      </c>
      <c r="R402" s="208" t="str">
        <f>IF(R$3="","",IF(COUNTIFS(BD!$A$3:$A$5001,R$3,BD!$B$3:$B$5001,$A$395,BD!$J$3:$J$5001,"&lt;&gt;")=0,"",SUMIFS(BD!$J$3:$J$5001,BD!$A$3:$A$5001,R$3,BD!$B$3:$B$5001,$A$395)))</f>
        <v/>
      </c>
      <c r="S402" s="208" t="str">
        <f>IF(S$3="","",IF(COUNTIFS(BD!$A$3:$A$5001,S$3,BD!$B$3:$B$5001,$A$395,BD!$J$3:$J$5001,"&lt;&gt;")=0,"",SUMIFS(BD!$J$3:$J$5001,BD!$A$3:$A$5001,S$3,BD!$B$3:$B$5001,$A$395)))</f>
        <v/>
      </c>
      <c r="T402" s="208" t="str">
        <f>IF(T$3="","",IF(COUNTIFS(BD!$A$3:$A$5001,T$3,BD!$B$3:$B$5001,$A$395,BD!$J$3:$J$5001,"&lt;&gt;")=0,"",SUMIFS(BD!$J$3:$J$5001,BD!$A$3:$A$5001,T$3,BD!$B$3:$B$5001,$A$395)))</f>
        <v/>
      </c>
      <c r="U402" s="208" t="str">
        <f>IF(U$3="","",IF(COUNTIFS(BD!$A$3:$A$5001,U$3,BD!$B$3:$B$5001,$A$395,BD!$J$3:$J$5001,"&lt;&gt;")=0,"",SUMIFS(BD!$J$3:$J$5001,BD!$A$3:$A$5001,U$3,BD!$B$3:$B$5001,$A$395)))</f>
        <v/>
      </c>
      <c r="V402" s="208" t="str">
        <f>IF(V$3="","",IF(COUNTIFS(BD!$A$3:$A$5001,V$3,BD!$B$3:$B$5001,$A$395,BD!$J$3:$J$5001,"&lt;&gt;")=0,"",SUMIFS(BD!$J$3:$J$5001,BD!$A$3:$A$5001,V$3,BD!$B$3:$B$5001,$A$395)))</f>
        <v/>
      </c>
      <c r="W402" s="208" t="str">
        <f>IF(W$3="","",IF(COUNTIFS(BD!$A$3:$A$5001,W$3,BD!$B$3:$B$5001,$A$395,BD!$J$3:$J$5001,"&lt;&gt;")=0,"",SUMIFS(BD!$J$3:$J$5001,BD!$A$3:$A$5001,W$3,BD!$B$3:$B$5001,$A$395)))</f>
        <v/>
      </c>
      <c r="X402" s="208" t="str">
        <f>IF(X$3="","",IF(COUNTIFS(BD!$A$3:$A$5001,X$3,BD!$B$3:$B$5001,$A$395,BD!$J$3:$J$5001,"&lt;&gt;")=0,"",SUMIFS(BD!$J$3:$J$5001,BD!$A$3:$A$5001,X$3,BD!$B$3:$B$5001,$A$395)))</f>
        <v/>
      </c>
      <c r="Y402" s="208" t="str">
        <f>IF(Y$3="","",IF(COUNTIFS(BD!$A$3:$A$5001,Y$3,BD!$B$3:$B$5001,$A$395,BD!$J$3:$J$5001,"&lt;&gt;")=0,"",SUMIFS(BD!$J$3:$J$5001,BD!$A$3:$A$5001,Y$3,BD!$B$3:$B$5001,$A$395)))</f>
        <v/>
      </c>
      <c r="Z402" s="208" t="str">
        <f>IF(Z$3="","",IF(COUNTIFS(BD!$A$3:$A$5001,Z$3,BD!$B$3:$B$5001,$A$395,BD!$J$3:$J$5001,"&lt;&gt;")=0,"",SUMIFS(BD!$J$3:$J$5001,BD!$A$3:$A$5001,Z$3,BD!$B$3:$B$5001,$A$395)))</f>
        <v/>
      </c>
      <c r="AA402" s="208" t="str">
        <f>IF(AA$3="","",IF(COUNTIFS(BD!$A$3:$A$5001,AA$3,BD!$B$3:$B$5001,$A$395,BD!$J$3:$J$5001,"&lt;&gt;")=0,"",SUMIFS(BD!$J$3:$J$5001,BD!$A$3:$A$5001,AA$3,BD!$B$3:$B$5001,$A$395)))</f>
        <v/>
      </c>
      <c r="AB402" s="208" t="str">
        <f>IF(AB$3="","",IF(COUNTIFS(BD!$A$3:$A$5001,AB$3,BD!$B$3:$B$5001,$A$395,BD!$J$3:$J$5001,"&lt;&gt;")=0,"",SUMIFS(BD!$J$3:$J$5001,BD!$A$3:$A$5001,AB$3,BD!$B$3:$B$5001,$A$395)))</f>
        <v/>
      </c>
      <c r="AC402" s="208" t="str">
        <f>IF(AC$3="","",IF(COUNTIFS(BD!$A$3:$A$5001,AC$3,BD!$B$3:$B$5001,$A$395,BD!$J$3:$J$5001,"&lt;&gt;")=0,"",SUMIFS(BD!$J$3:$J$5001,BD!$A$3:$A$5001,AC$3,BD!$B$3:$B$5001,$A$395)))</f>
        <v/>
      </c>
      <c r="AD402" s="208" t="str">
        <f>IF(AD$3="","",IF(COUNTIFS(BD!$A$3:$A$5001,AD$3,BD!$B$3:$B$5001,$A$395,BD!$J$3:$J$5001,"&lt;&gt;")=0,"",SUMIFS(BD!$J$3:$J$5001,BD!$A$3:$A$5001,AD$3,BD!$B$3:$B$5001,$A$395)))</f>
        <v/>
      </c>
      <c r="AE402" s="208" t="str">
        <f>IF(AE$3="","",IF(COUNTIFS(BD!$A$3:$A$5001,AE$3,BD!$B$3:$B$5001,$A$395,BD!$J$3:$J$5001,"&lt;&gt;")=0,"",SUMIFS(BD!$J$3:$J$5001,BD!$A$3:$A$5001,AE$3,BD!$B$3:$B$5001,$A$395)))</f>
        <v/>
      </c>
      <c r="AF402" s="208" t="str">
        <f>IF(AF$3="","",IF(COUNTIFS(BD!$A$3:$A$5001,AF$3,BD!$B$3:$B$5001,$A$395,BD!$J$3:$J$5001,"&lt;&gt;")=0,"",SUMIFS(BD!$J$3:$J$5001,BD!$A$3:$A$5001,AF$3,BD!$B$3:$B$5001,$A$395)))</f>
        <v/>
      </c>
      <c r="AG402" s="208" t="str">
        <f>IF(AG$3="","",IF(COUNTIFS(BD!$A$3:$A$5001,AG$3,BD!$B$3:$B$5001,$A$395,BD!$J$3:$J$5001,"&lt;&gt;")=0,"",SUMIFS(BD!$J$3:$J$5001,BD!$A$3:$A$5001,AG$3,BD!$B$3:$B$5001,$A$395)))</f>
        <v/>
      </c>
      <c r="AH402" s="208" t="str">
        <f>IF(AH$3="","",IF(COUNTIFS(BD!$A$3:$A$5001,AH$3,BD!$B$3:$B$5001,$A$395,BD!$J$3:$J$5001,"&lt;&gt;")=0,"",SUMIFS(BD!$J$3:$J$5001,BD!$A$3:$A$5001,AH$3,BD!$B$3:$B$5001,$A$395)))</f>
        <v/>
      </c>
      <c r="AI402" s="208" t="str">
        <f>IF(AI$3="","",IF(COUNTIFS(BD!$A$3:$A$5001,AI$3,BD!$B$3:$B$5001,$A$395,BD!$J$3:$J$5001,"&lt;&gt;")=0,"",SUMIFS(BD!$J$3:$J$5001,BD!$A$3:$A$5001,AI$3,BD!$B$3:$B$5001,$A$395)))</f>
        <v/>
      </c>
      <c r="AJ402" s="209" t="str">
        <f>IF(AJ$3="","",IF(COUNTIFS(BD!$A$3:$A$5001,AJ$3,BD!$B$3:$B$5001,$A$395,BD!$J$3:$J$5001,"&lt;&gt;")=0,"",SUMIFS(BD!$J$3:$J$5001,BD!$A$3:$A$5001,AJ$3,BD!$B$3:$B$5001,$A$395)))</f>
        <v/>
      </c>
      <c r="AK402" s="210" t="str">
        <f>IF(COUNT(F402:AJ402)=0,"",SUM(F402:AJ402))</f>
        <v/>
      </c>
    </row>
    <row r="403" ht="15.75" customHeight="1" hidden="1">
      <c r="A403" s="254"/>
      <c r="B403" s="249"/>
      <c r="C403" s="211" t="inlineStr">
        <is>
          <t xml:space="preserve">Backlog</t>
        </is>
      </c>
      <c r="D403" s="212" t="str">
        <f>IFERROR(1/(1/INDEX(BD!$Y$31:$AS$31,MATCH($A$395,BD!$Y$22:$AS$22,0))),"")</f>
        <v/>
      </c>
      <c r="E403" s="213"/>
      <c r="F403" s="214" t="str">
        <f>IF(F$3="","",IF(COUNTIFS(BD!$A$3:$A$5001,F$3,BD!$B$3:$B$5001,$A$395,BD!$K$3:$K$5001,"&lt;&gt;")=0,"",SUMIFS(BD!$K$3:$K$5001,BD!$A$3:$A$5001,F$3,BD!$B$3:$B$5001,$A$395)))</f>
        <v/>
      </c>
      <c r="G403" s="215" t="str">
        <f>IF(G$3="","",IF(COUNTIFS(BD!$A$3:$A$5001,G$3,BD!$B$3:$B$5001,$A$395,BD!$K$3:$K$5001,"&lt;&gt;")=0,"",SUMIFS(BD!$K$3:$K$5001,BD!$A$3:$A$5001,G$3,BD!$B$3:$B$5001,$A$395)))</f>
        <v/>
      </c>
      <c r="H403" s="215" t="str">
        <f>IF(H$3="","",IF(COUNTIFS(BD!$A$3:$A$5001,H$3,BD!$B$3:$B$5001,$A$395,BD!$K$3:$K$5001,"&lt;&gt;")=0,"",SUMIFS(BD!$K$3:$K$5001,BD!$A$3:$A$5001,H$3,BD!$B$3:$B$5001,$A$395)))</f>
        <v/>
      </c>
      <c r="I403" s="215" t="str">
        <f>IF(I$3="","",IF(COUNTIFS(BD!$A$3:$A$5001,I$3,BD!$B$3:$B$5001,$A$395,BD!$K$3:$K$5001,"&lt;&gt;")=0,"",SUMIFS(BD!$K$3:$K$5001,BD!$A$3:$A$5001,I$3,BD!$B$3:$B$5001,$A$395)))</f>
        <v/>
      </c>
      <c r="J403" s="215" t="str">
        <f>IF(J$3="","",IF(COUNTIFS(BD!$A$3:$A$5001,J$3,BD!$B$3:$B$5001,$A$395,BD!$K$3:$K$5001,"&lt;&gt;")=0,"",SUMIFS(BD!$K$3:$K$5001,BD!$A$3:$A$5001,J$3,BD!$B$3:$B$5001,$A$395)))</f>
        <v/>
      </c>
      <c r="K403" s="215" t="str">
        <f>IF(K$3="","",IF(COUNTIFS(BD!$A$3:$A$5001,K$3,BD!$B$3:$B$5001,$A$395,BD!$K$3:$K$5001,"&lt;&gt;")=0,"",SUMIFS(BD!$K$3:$K$5001,BD!$A$3:$A$5001,K$3,BD!$B$3:$B$5001,$A$395)))</f>
        <v/>
      </c>
      <c r="L403" s="215" t="str">
        <f>IF(L$3="","",IF(COUNTIFS(BD!$A$3:$A$5001,L$3,BD!$B$3:$B$5001,$A$395,BD!$K$3:$K$5001,"&lt;&gt;")=0,"",SUMIFS(BD!$K$3:$K$5001,BD!$A$3:$A$5001,L$3,BD!$B$3:$B$5001,$A$395)))</f>
        <v/>
      </c>
      <c r="M403" s="215" t="str">
        <f>IF(M$3="","",IF(COUNTIFS(BD!$A$3:$A$5001,M$3,BD!$B$3:$B$5001,$A$395,BD!$K$3:$K$5001,"&lt;&gt;")=0,"",SUMIFS(BD!$K$3:$K$5001,BD!$A$3:$A$5001,M$3,BD!$B$3:$B$5001,$A$395)))</f>
        <v/>
      </c>
      <c r="N403" s="215" t="str">
        <f>IF(N$3="","",IF(COUNTIFS(BD!$A$3:$A$5001,N$3,BD!$B$3:$B$5001,$A$395,BD!$K$3:$K$5001,"&lt;&gt;")=0,"",SUMIFS(BD!$K$3:$K$5001,BD!$A$3:$A$5001,N$3,BD!$B$3:$B$5001,$A$395)))</f>
        <v/>
      </c>
      <c r="O403" s="215" t="str">
        <f>IF(O$3="","",IF(COUNTIFS(BD!$A$3:$A$5001,O$3,BD!$B$3:$B$5001,$A$395,BD!$K$3:$K$5001,"&lt;&gt;")=0,"",SUMIFS(BD!$K$3:$K$5001,BD!$A$3:$A$5001,O$3,BD!$B$3:$B$5001,$A$395)))</f>
        <v/>
      </c>
      <c r="P403" s="215" t="str">
        <f>IF(P$3="","",IF(COUNTIFS(BD!$A$3:$A$5001,P$3,BD!$B$3:$B$5001,$A$395,BD!$K$3:$K$5001,"&lt;&gt;")=0,"",SUMIFS(BD!$K$3:$K$5001,BD!$A$3:$A$5001,P$3,BD!$B$3:$B$5001,$A$395)))</f>
        <v/>
      </c>
      <c r="Q403" s="215" t="str">
        <f>IF(Q$3="","",IF(COUNTIFS(BD!$A$3:$A$5001,Q$3,BD!$B$3:$B$5001,$A$395,BD!$K$3:$K$5001,"&lt;&gt;")=0,"",SUMIFS(BD!$K$3:$K$5001,BD!$A$3:$A$5001,Q$3,BD!$B$3:$B$5001,$A$395)))</f>
        <v/>
      </c>
      <c r="R403" s="215" t="str">
        <f>IF(R$3="","",IF(COUNTIFS(BD!$A$3:$A$5001,R$3,BD!$B$3:$B$5001,$A$395,BD!$K$3:$K$5001,"&lt;&gt;")=0,"",SUMIFS(BD!$K$3:$K$5001,BD!$A$3:$A$5001,R$3,BD!$B$3:$B$5001,$A$395)))</f>
        <v/>
      </c>
      <c r="S403" s="215" t="str">
        <f>IF(S$3="","",IF(COUNTIFS(BD!$A$3:$A$5001,S$3,BD!$B$3:$B$5001,$A$395,BD!$K$3:$K$5001,"&lt;&gt;")=0,"",SUMIFS(BD!$K$3:$K$5001,BD!$A$3:$A$5001,S$3,BD!$B$3:$B$5001,$A$395)))</f>
        <v/>
      </c>
      <c r="T403" s="215" t="str">
        <f>IF(T$3="","",IF(COUNTIFS(BD!$A$3:$A$5001,T$3,BD!$B$3:$B$5001,$A$395,BD!$K$3:$K$5001,"&lt;&gt;")=0,"",SUMIFS(BD!$K$3:$K$5001,BD!$A$3:$A$5001,T$3,BD!$B$3:$B$5001,$A$395)))</f>
        <v/>
      </c>
      <c r="U403" s="215" t="str">
        <f>IF(U$3="","",IF(COUNTIFS(BD!$A$3:$A$5001,U$3,BD!$B$3:$B$5001,$A$395,BD!$K$3:$K$5001,"&lt;&gt;")=0,"",SUMIFS(BD!$K$3:$K$5001,BD!$A$3:$A$5001,U$3,BD!$B$3:$B$5001,$A$395)))</f>
        <v/>
      </c>
      <c r="V403" s="215" t="str">
        <f>IF(V$3="","",IF(COUNTIFS(BD!$A$3:$A$5001,V$3,BD!$B$3:$B$5001,$A$395,BD!$K$3:$K$5001,"&lt;&gt;")=0,"",SUMIFS(BD!$K$3:$K$5001,BD!$A$3:$A$5001,V$3,BD!$B$3:$B$5001,$A$395)))</f>
        <v/>
      </c>
      <c r="W403" s="215" t="str">
        <f>IF(W$3="","",IF(COUNTIFS(BD!$A$3:$A$5001,W$3,BD!$B$3:$B$5001,$A$395,BD!$K$3:$K$5001,"&lt;&gt;")=0,"",SUMIFS(BD!$K$3:$K$5001,BD!$A$3:$A$5001,W$3,BD!$B$3:$B$5001,$A$395)))</f>
        <v/>
      </c>
      <c r="X403" s="215" t="str">
        <f>IF(X$3="","",IF(COUNTIFS(BD!$A$3:$A$5001,X$3,BD!$B$3:$B$5001,$A$395,BD!$K$3:$K$5001,"&lt;&gt;")=0,"",SUMIFS(BD!$K$3:$K$5001,BD!$A$3:$A$5001,X$3,BD!$B$3:$B$5001,$A$395)))</f>
        <v/>
      </c>
      <c r="Y403" s="215" t="str">
        <f>IF(Y$3="","",IF(COUNTIFS(BD!$A$3:$A$5001,Y$3,BD!$B$3:$B$5001,$A$395,BD!$K$3:$K$5001,"&lt;&gt;")=0,"",SUMIFS(BD!$K$3:$K$5001,BD!$A$3:$A$5001,Y$3,BD!$B$3:$B$5001,$A$395)))</f>
        <v/>
      </c>
      <c r="Z403" s="215" t="str">
        <f>IF(Z$3="","",IF(COUNTIFS(BD!$A$3:$A$5001,Z$3,BD!$B$3:$B$5001,$A$395,BD!$K$3:$K$5001,"&lt;&gt;")=0,"",SUMIFS(BD!$K$3:$K$5001,BD!$A$3:$A$5001,Z$3,BD!$B$3:$B$5001,$A$395)))</f>
        <v/>
      </c>
      <c r="AA403" s="215" t="str">
        <f>IF(AA$3="","",IF(COUNTIFS(BD!$A$3:$A$5001,AA$3,BD!$B$3:$B$5001,$A$395,BD!$K$3:$K$5001,"&lt;&gt;")=0,"",SUMIFS(BD!$K$3:$K$5001,BD!$A$3:$A$5001,AA$3,BD!$B$3:$B$5001,$A$395)))</f>
        <v/>
      </c>
      <c r="AB403" s="215" t="str">
        <f>IF(AB$3="","",IF(COUNTIFS(BD!$A$3:$A$5001,AB$3,BD!$B$3:$B$5001,$A$395,BD!$K$3:$K$5001,"&lt;&gt;")=0,"",SUMIFS(BD!$K$3:$K$5001,BD!$A$3:$A$5001,AB$3,BD!$B$3:$B$5001,$A$395)))</f>
        <v/>
      </c>
      <c r="AC403" s="215" t="str">
        <f>IF(AC$3="","",IF(COUNTIFS(BD!$A$3:$A$5001,AC$3,BD!$B$3:$B$5001,$A$395,BD!$K$3:$K$5001,"&lt;&gt;")=0,"",SUMIFS(BD!$K$3:$K$5001,BD!$A$3:$A$5001,AC$3,BD!$B$3:$B$5001,$A$395)))</f>
        <v/>
      </c>
      <c r="AD403" s="215" t="str">
        <f>IF(AD$3="","",IF(COUNTIFS(BD!$A$3:$A$5001,AD$3,BD!$B$3:$B$5001,$A$395,BD!$K$3:$K$5001,"&lt;&gt;")=0,"",SUMIFS(BD!$K$3:$K$5001,BD!$A$3:$A$5001,AD$3,BD!$B$3:$B$5001,$A$395)))</f>
        <v/>
      </c>
      <c r="AE403" s="215" t="str">
        <f>IF(AE$3="","",IF(COUNTIFS(BD!$A$3:$A$5001,AE$3,BD!$B$3:$B$5001,$A$395,BD!$K$3:$K$5001,"&lt;&gt;")=0,"",SUMIFS(BD!$K$3:$K$5001,BD!$A$3:$A$5001,AE$3,BD!$B$3:$B$5001,$A$395)))</f>
        <v/>
      </c>
      <c r="AF403" s="215" t="str">
        <f>IF(AF$3="","",IF(COUNTIFS(BD!$A$3:$A$5001,AF$3,BD!$B$3:$B$5001,$A$395,BD!$K$3:$K$5001,"&lt;&gt;")=0,"",SUMIFS(BD!$K$3:$K$5001,BD!$A$3:$A$5001,AF$3,BD!$B$3:$B$5001,$A$395)))</f>
        <v/>
      </c>
      <c r="AG403" s="215" t="str">
        <f>IF(AG$3="","",IF(COUNTIFS(BD!$A$3:$A$5001,AG$3,BD!$B$3:$B$5001,$A$395,BD!$K$3:$K$5001,"&lt;&gt;")=0,"",SUMIFS(BD!$K$3:$K$5001,BD!$A$3:$A$5001,AG$3,BD!$B$3:$B$5001,$A$395)))</f>
        <v/>
      </c>
      <c r="AH403" s="215" t="str">
        <f>IF(AH$3="","",IF(COUNTIFS(BD!$A$3:$A$5001,AH$3,BD!$B$3:$B$5001,$A$395,BD!$K$3:$K$5001,"&lt;&gt;")=0,"",SUMIFS(BD!$K$3:$K$5001,BD!$A$3:$A$5001,AH$3,BD!$B$3:$B$5001,$A$395)))</f>
        <v/>
      </c>
      <c r="AI403" s="215" t="str">
        <f>IF(AI$3="","",IF(COUNTIFS(BD!$A$3:$A$5001,AI$3,BD!$B$3:$B$5001,$A$395,BD!$K$3:$K$5001,"&lt;&gt;")=0,"",SUMIFS(BD!$K$3:$K$5001,BD!$A$3:$A$5001,AI$3,BD!$B$3:$B$5001,$A$395)))</f>
        <v/>
      </c>
      <c r="AJ403" s="216" t="str">
        <f>IF(AJ$3="","",IF(COUNTIFS(BD!$A$3:$A$5001,AJ$3,BD!$B$3:$B$5001,$A$395,BD!$K$3:$K$5001,"&lt;&gt;")=0,"",SUMIFS(BD!$K$3:$K$5001,BD!$A$3:$A$5001,AJ$3,BD!$B$3:$B$5001,$A$395)))</f>
        <v/>
      </c>
      <c r="AK403" s="212" t="str">
        <f>IFERROR(LOOKUP(9.99E+307,F403:AJ403),"")</f>
        <v/>
      </c>
    </row>
    <row r="404" ht="15.75" customHeight="1" hidden="1">
      <c r="A404" s="254"/>
      <c r="B404" s="241" t="inlineStr">
        <is>
          <t xml:space="preserve">OCUPAÇÃO (P.P)</t>
        </is>
      </c>
      <c r="C404" s="155" t="inlineStr">
        <is>
          <t xml:space="preserve">Posições Disponíveis</t>
        </is>
      </c>
      <c r="D404" s="156" t="str">
        <f>IFERROR(1/(1/INDEX(BD!$Y$32:$AS$32,MATCH($A$395,BD!$Y$22:$AS$22,0))),"")</f>
        <v/>
      </c>
      <c r="E404" s="157"/>
      <c r="F404" s="158" t="str">
        <f>IF(F$3="","",IF(COUNTIFS(BD!$A$3:$A$5001,F$3,BD!$B$3:$B$5001,$A$395,BD!$L$3:$L$5001,"&lt;&gt;")=0,"",SUMIFS(BD!$L$3:$L$5001,BD!$A$3:$A$5001,F$3,BD!$B$3:$B$5001,$A$395)))</f>
        <v/>
      </c>
      <c r="G404" s="159" t="str">
        <f>IF(G$3="","",IF(COUNTIFS(BD!$A$3:$A$5001,G$3,BD!$B$3:$B$5001,$A$395,BD!$L$3:$L$5001,"&lt;&gt;")=0,"",SUMIFS(BD!$L$3:$L$5001,BD!$A$3:$A$5001,G$3,BD!$B$3:$B$5001,$A$395)))</f>
        <v/>
      </c>
      <c r="H404" s="159" t="str">
        <f>IF(H$3="","",IF(COUNTIFS(BD!$A$3:$A$5001,H$3,BD!$B$3:$B$5001,$A$395,BD!$L$3:$L$5001,"&lt;&gt;")=0,"",SUMIFS(BD!$L$3:$L$5001,BD!$A$3:$A$5001,H$3,BD!$B$3:$B$5001,$A$395)))</f>
        <v/>
      </c>
      <c r="I404" s="159" t="str">
        <f>IF(I$3="","",IF(COUNTIFS(BD!$A$3:$A$5001,I$3,BD!$B$3:$B$5001,$A$395,BD!$L$3:$L$5001,"&lt;&gt;")=0,"",SUMIFS(BD!$L$3:$L$5001,BD!$A$3:$A$5001,I$3,BD!$B$3:$B$5001,$A$395)))</f>
        <v/>
      </c>
      <c r="J404" s="159" t="str">
        <f>IF(J$3="","",IF(COUNTIFS(BD!$A$3:$A$5001,J$3,BD!$B$3:$B$5001,$A$395,BD!$L$3:$L$5001,"&lt;&gt;")=0,"",SUMIFS(BD!$L$3:$L$5001,BD!$A$3:$A$5001,J$3,BD!$B$3:$B$5001,$A$395)))</f>
        <v/>
      </c>
      <c r="K404" s="159" t="str">
        <f>IF(K$3="","",IF(COUNTIFS(BD!$A$3:$A$5001,K$3,BD!$B$3:$B$5001,$A$395,BD!$L$3:$L$5001,"&lt;&gt;")=0,"",SUMIFS(BD!$L$3:$L$5001,BD!$A$3:$A$5001,K$3,BD!$B$3:$B$5001,$A$395)))</f>
        <v/>
      </c>
      <c r="L404" s="159" t="str">
        <f>IF(L$3="","",IF(COUNTIFS(BD!$A$3:$A$5001,L$3,BD!$B$3:$B$5001,$A$395,BD!$L$3:$L$5001,"&lt;&gt;")=0,"",SUMIFS(BD!$L$3:$L$5001,BD!$A$3:$A$5001,L$3,BD!$B$3:$B$5001,$A$395)))</f>
        <v/>
      </c>
      <c r="M404" s="159" t="str">
        <f>IF(M$3="","",IF(COUNTIFS(BD!$A$3:$A$5001,M$3,BD!$B$3:$B$5001,$A$395,BD!$L$3:$L$5001,"&lt;&gt;")=0,"",SUMIFS(BD!$L$3:$L$5001,BD!$A$3:$A$5001,M$3,BD!$B$3:$B$5001,$A$395)))</f>
        <v/>
      </c>
      <c r="N404" s="159" t="str">
        <f>IF(N$3="","",IF(COUNTIFS(BD!$A$3:$A$5001,N$3,BD!$B$3:$B$5001,$A$395,BD!$L$3:$L$5001,"&lt;&gt;")=0,"",SUMIFS(BD!$L$3:$L$5001,BD!$A$3:$A$5001,N$3,BD!$B$3:$B$5001,$A$395)))</f>
        <v/>
      </c>
      <c r="O404" s="159" t="str">
        <f>IF(O$3="","",IF(COUNTIFS(BD!$A$3:$A$5001,O$3,BD!$B$3:$B$5001,$A$395,BD!$L$3:$L$5001,"&lt;&gt;")=0,"",SUMIFS(BD!$L$3:$L$5001,BD!$A$3:$A$5001,O$3,BD!$B$3:$B$5001,$A$395)))</f>
        <v/>
      </c>
      <c r="P404" s="159" t="str">
        <f>IF(P$3="","",IF(COUNTIFS(BD!$A$3:$A$5001,P$3,BD!$B$3:$B$5001,$A$395,BD!$L$3:$L$5001,"&lt;&gt;")=0,"",SUMIFS(BD!$L$3:$L$5001,BD!$A$3:$A$5001,P$3,BD!$B$3:$B$5001,$A$395)))</f>
        <v/>
      </c>
      <c r="Q404" s="159" t="str">
        <f>IF(Q$3="","",IF(COUNTIFS(BD!$A$3:$A$5001,Q$3,BD!$B$3:$B$5001,$A$395,BD!$L$3:$L$5001,"&lt;&gt;")=0,"",SUMIFS(BD!$L$3:$L$5001,BD!$A$3:$A$5001,Q$3,BD!$B$3:$B$5001,$A$395)))</f>
        <v/>
      </c>
      <c r="R404" s="159" t="str">
        <f>IF(R$3="","",IF(COUNTIFS(BD!$A$3:$A$5001,R$3,BD!$B$3:$B$5001,$A$395,BD!$L$3:$L$5001,"&lt;&gt;")=0,"",SUMIFS(BD!$L$3:$L$5001,BD!$A$3:$A$5001,R$3,BD!$B$3:$B$5001,$A$395)))</f>
        <v/>
      </c>
      <c r="S404" s="159" t="str">
        <f>IF(S$3="","",IF(COUNTIFS(BD!$A$3:$A$5001,S$3,BD!$B$3:$B$5001,$A$395,BD!$L$3:$L$5001,"&lt;&gt;")=0,"",SUMIFS(BD!$L$3:$L$5001,BD!$A$3:$A$5001,S$3,BD!$B$3:$B$5001,$A$395)))</f>
        <v/>
      </c>
      <c r="T404" s="159" t="str">
        <f>IF(T$3="","",IF(COUNTIFS(BD!$A$3:$A$5001,T$3,BD!$B$3:$B$5001,$A$395,BD!$L$3:$L$5001,"&lt;&gt;")=0,"",SUMIFS(BD!$L$3:$L$5001,BD!$A$3:$A$5001,T$3,BD!$B$3:$B$5001,$A$395)))</f>
        <v/>
      </c>
      <c r="U404" s="159" t="str">
        <f>IF(U$3="","",IF(COUNTIFS(BD!$A$3:$A$5001,U$3,BD!$B$3:$B$5001,$A$395,BD!$L$3:$L$5001,"&lt;&gt;")=0,"",SUMIFS(BD!$L$3:$L$5001,BD!$A$3:$A$5001,U$3,BD!$B$3:$B$5001,$A$395)))</f>
        <v/>
      </c>
      <c r="V404" s="159" t="str">
        <f>IF(V$3="","",IF(COUNTIFS(BD!$A$3:$A$5001,V$3,BD!$B$3:$B$5001,$A$395,BD!$L$3:$L$5001,"&lt;&gt;")=0,"",SUMIFS(BD!$L$3:$L$5001,BD!$A$3:$A$5001,V$3,BD!$B$3:$B$5001,$A$395)))</f>
        <v/>
      </c>
      <c r="W404" s="159" t="str">
        <f>IF(W$3="","",IF(COUNTIFS(BD!$A$3:$A$5001,W$3,BD!$B$3:$B$5001,$A$395,BD!$L$3:$L$5001,"&lt;&gt;")=0,"",SUMIFS(BD!$L$3:$L$5001,BD!$A$3:$A$5001,W$3,BD!$B$3:$B$5001,$A$395)))</f>
        <v/>
      </c>
      <c r="X404" s="159" t="str">
        <f>IF(X$3="","",IF(COUNTIFS(BD!$A$3:$A$5001,X$3,BD!$B$3:$B$5001,$A$395,BD!$L$3:$L$5001,"&lt;&gt;")=0,"",SUMIFS(BD!$L$3:$L$5001,BD!$A$3:$A$5001,X$3,BD!$B$3:$B$5001,$A$395)))</f>
        <v/>
      </c>
      <c r="Y404" s="159" t="str">
        <f>IF(Y$3="","",IF(COUNTIFS(BD!$A$3:$A$5001,Y$3,BD!$B$3:$B$5001,$A$395,BD!$L$3:$L$5001,"&lt;&gt;")=0,"",SUMIFS(BD!$L$3:$L$5001,BD!$A$3:$A$5001,Y$3,BD!$B$3:$B$5001,$A$395)))</f>
        <v/>
      </c>
      <c r="Z404" s="159" t="str">
        <f>IF(Z$3="","",IF(COUNTIFS(BD!$A$3:$A$5001,Z$3,BD!$B$3:$B$5001,$A$395,BD!$L$3:$L$5001,"&lt;&gt;")=0,"",SUMIFS(BD!$L$3:$L$5001,BD!$A$3:$A$5001,Z$3,BD!$B$3:$B$5001,$A$395)))</f>
        <v/>
      </c>
      <c r="AA404" s="159" t="str">
        <f>IF(AA$3="","",IF(COUNTIFS(BD!$A$3:$A$5001,AA$3,BD!$B$3:$B$5001,$A$395,BD!$L$3:$L$5001,"&lt;&gt;")=0,"",SUMIFS(BD!$L$3:$L$5001,BD!$A$3:$A$5001,AA$3,BD!$B$3:$B$5001,$A$395)))</f>
        <v/>
      </c>
      <c r="AB404" s="159" t="str">
        <f>IF(AB$3="","",IF(COUNTIFS(BD!$A$3:$A$5001,AB$3,BD!$B$3:$B$5001,$A$395,BD!$L$3:$L$5001,"&lt;&gt;")=0,"",SUMIFS(BD!$L$3:$L$5001,BD!$A$3:$A$5001,AB$3,BD!$B$3:$B$5001,$A$395)))</f>
        <v/>
      </c>
      <c r="AC404" s="159" t="str">
        <f>IF(AC$3="","",IF(COUNTIFS(BD!$A$3:$A$5001,AC$3,BD!$B$3:$B$5001,$A$395,BD!$L$3:$L$5001,"&lt;&gt;")=0,"",SUMIFS(BD!$L$3:$L$5001,BD!$A$3:$A$5001,AC$3,BD!$B$3:$B$5001,$A$395)))</f>
        <v/>
      </c>
      <c r="AD404" s="159" t="str">
        <f>IF(AD$3="","",IF(COUNTIFS(BD!$A$3:$A$5001,AD$3,BD!$B$3:$B$5001,$A$395,BD!$L$3:$L$5001,"&lt;&gt;")=0,"",SUMIFS(BD!$L$3:$L$5001,BD!$A$3:$A$5001,AD$3,BD!$B$3:$B$5001,$A$395)))</f>
        <v/>
      </c>
      <c r="AE404" s="159" t="str">
        <f>IF(AE$3="","",IF(COUNTIFS(BD!$A$3:$A$5001,AE$3,BD!$B$3:$B$5001,$A$395,BD!$L$3:$L$5001,"&lt;&gt;")=0,"",SUMIFS(BD!$L$3:$L$5001,BD!$A$3:$A$5001,AE$3,BD!$B$3:$B$5001,$A$395)))</f>
        <v/>
      </c>
      <c r="AF404" s="159" t="str">
        <f>IF(AF$3="","",IF(COUNTIFS(BD!$A$3:$A$5001,AF$3,BD!$B$3:$B$5001,$A$395,BD!$L$3:$L$5001,"&lt;&gt;")=0,"",SUMIFS(BD!$L$3:$L$5001,BD!$A$3:$A$5001,AF$3,BD!$B$3:$B$5001,$A$395)))</f>
        <v/>
      </c>
      <c r="AG404" s="159" t="str">
        <f>IF(AG$3="","",IF(COUNTIFS(BD!$A$3:$A$5001,AG$3,BD!$B$3:$B$5001,$A$395,BD!$L$3:$L$5001,"&lt;&gt;")=0,"",SUMIFS(BD!$L$3:$L$5001,BD!$A$3:$A$5001,AG$3,BD!$B$3:$B$5001,$A$395)))</f>
        <v/>
      </c>
      <c r="AH404" s="159" t="str">
        <f>IF(AH$3="","",IF(COUNTIFS(BD!$A$3:$A$5001,AH$3,BD!$B$3:$B$5001,$A$395,BD!$L$3:$L$5001,"&lt;&gt;")=0,"",SUMIFS(BD!$L$3:$L$5001,BD!$A$3:$A$5001,AH$3,BD!$B$3:$B$5001,$A$395)))</f>
        <v/>
      </c>
      <c r="AI404" s="159" t="str">
        <f>IF(AI$3="","",IF(COUNTIFS(BD!$A$3:$A$5001,AI$3,BD!$B$3:$B$5001,$A$395,BD!$L$3:$L$5001,"&lt;&gt;")=0,"",SUMIFS(BD!$L$3:$L$5001,BD!$A$3:$A$5001,AI$3,BD!$B$3:$B$5001,$A$395)))</f>
        <v/>
      </c>
      <c r="AJ404" s="160" t="str">
        <f>IF(AJ$3="","",IF(COUNTIFS(BD!$A$3:$A$5001,AJ$3,BD!$B$3:$B$5001,$A$395,BD!$L$3:$L$5001,"&lt;&gt;")=0,"",SUMIFS(BD!$L$3:$L$5001,BD!$A$3:$A$5001,AJ$3,BD!$B$3:$B$5001,$A$395)))</f>
        <v/>
      </c>
      <c r="AK404" s="161" t="str">
        <f>IF(COUNT(F404:AJ404)&gt;0,LOOKUP(9.99E+307,F404:AJ404),IFERROR(IF(INDEX(BD!$V$3:$V$5001,MATCH($A$395,BD!$B$3:$B$5001,0))&amp;""="Contrato","",INDEX(BD!$V$3:$V$5001,MATCH($A$395,BD!$B$3:$B$5001,0))&amp;""),""))</f>
        <v/>
      </c>
    </row>
    <row r="405" ht="15.75" customHeight="1" hidden="1">
      <c r="A405" s="254"/>
      <c r="B405" s="242"/>
      <c r="C405" s="162" t="inlineStr">
        <is>
          <t xml:space="preserve">Posições Ocupadas</t>
        </is>
      </c>
      <c r="D405" s="163" t="str">
        <f>IFERROR(1/(1/INDEX(BD!$Y$33:$AS$33,MATCH($A$395,BD!$Y$22:$AS$22,0))),"")</f>
        <v/>
      </c>
      <c r="E405" s="164"/>
      <c r="F405" s="165" t="str">
        <f>IF(F$3="","",IF(COUNTIFS(BD!$A$3:$A$5001,F$3,BD!$B$3:$B$5001,$A$395,BD!$M$3:$M$5001,"&lt;&gt;")=0,"",SUMIFS(BD!$M$3:$M$5001,BD!$A$3:$A$5001,F$3,BD!$B$3:$B$5001,$A$395)))</f>
        <v/>
      </c>
      <c r="G405" s="166" t="str">
        <f>IF(G$3="","",IF(COUNTIFS(BD!$A$3:$A$5001,G$3,BD!$B$3:$B$5001,$A$395,BD!$M$3:$M$5001,"&lt;&gt;")=0,"",SUMIFS(BD!$M$3:$M$5001,BD!$A$3:$A$5001,G$3,BD!$B$3:$B$5001,$A$395)))</f>
        <v/>
      </c>
      <c r="H405" s="166" t="str">
        <f>IF(H$3="","",IF(COUNTIFS(BD!$A$3:$A$5001,H$3,BD!$B$3:$B$5001,$A$395,BD!$M$3:$M$5001,"&lt;&gt;")=0,"",SUMIFS(BD!$M$3:$M$5001,BD!$A$3:$A$5001,H$3,BD!$B$3:$B$5001,$A$395)))</f>
        <v/>
      </c>
      <c r="I405" s="166" t="str">
        <f>IF(I$3="","",IF(COUNTIFS(BD!$A$3:$A$5001,I$3,BD!$B$3:$B$5001,$A$395,BD!$M$3:$M$5001,"&lt;&gt;")=0,"",SUMIFS(BD!$M$3:$M$5001,BD!$A$3:$A$5001,I$3,BD!$B$3:$B$5001,$A$395)))</f>
        <v/>
      </c>
      <c r="J405" s="166" t="str">
        <f>IF(J$3="","",IF(COUNTIFS(BD!$A$3:$A$5001,J$3,BD!$B$3:$B$5001,$A$395,BD!$M$3:$M$5001,"&lt;&gt;")=0,"",SUMIFS(BD!$M$3:$M$5001,BD!$A$3:$A$5001,J$3,BD!$B$3:$B$5001,$A$395)))</f>
        <v/>
      </c>
      <c r="K405" s="166" t="str">
        <f>IF(K$3="","",IF(COUNTIFS(BD!$A$3:$A$5001,K$3,BD!$B$3:$B$5001,$A$395,BD!$M$3:$M$5001,"&lt;&gt;")=0,"",SUMIFS(BD!$M$3:$M$5001,BD!$A$3:$A$5001,K$3,BD!$B$3:$B$5001,$A$395)))</f>
        <v/>
      </c>
      <c r="L405" s="166" t="str">
        <f>IF(L$3="","",IF(COUNTIFS(BD!$A$3:$A$5001,L$3,BD!$B$3:$B$5001,$A$395,BD!$M$3:$M$5001,"&lt;&gt;")=0,"",SUMIFS(BD!$M$3:$M$5001,BD!$A$3:$A$5001,L$3,BD!$B$3:$B$5001,$A$395)))</f>
        <v/>
      </c>
      <c r="M405" s="166" t="str">
        <f>IF(M$3="","",IF(COUNTIFS(BD!$A$3:$A$5001,M$3,BD!$B$3:$B$5001,$A$395,BD!$M$3:$M$5001,"&lt;&gt;")=0,"",SUMIFS(BD!$M$3:$M$5001,BD!$A$3:$A$5001,M$3,BD!$B$3:$B$5001,$A$395)))</f>
        <v/>
      </c>
      <c r="N405" s="166" t="str">
        <f>IF(N$3="","",IF(COUNTIFS(BD!$A$3:$A$5001,N$3,BD!$B$3:$B$5001,$A$395,BD!$M$3:$M$5001,"&lt;&gt;")=0,"",SUMIFS(BD!$M$3:$M$5001,BD!$A$3:$A$5001,N$3,BD!$B$3:$B$5001,$A$395)))</f>
        <v/>
      </c>
      <c r="O405" s="166" t="str">
        <f>IF(O$3="","",IF(COUNTIFS(BD!$A$3:$A$5001,O$3,BD!$B$3:$B$5001,$A$395,BD!$M$3:$M$5001,"&lt;&gt;")=0,"",SUMIFS(BD!$M$3:$M$5001,BD!$A$3:$A$5001,O$3,BD!$B$3:$B$5001,$A$395)))</f>
        <v/>
      </c>
      <c r="P405" s="166" t="str">
        <f>IF(P$3="","",IF(COUNTIFS(BD!$A$3:$A$5001,P$3,BD!$B$3:$B$5001,$A$395,BD!$M$3:$M$5001,"&lt;&gt;")=0,"",SUMIFS(BD!$M$3:$M$5001,BD!$A$3:$A$5001,P$3,BD!$B$3:$B$5001,$A$395)))</f>
        <v/>
      </c>
      <c r="Q405" s="166" t="str">
        <f>IF(Q$3="","",IF(COUNTIFS(BD!$A$3:$A$5001,Q$3,BD!$B$3:$B$5001,$A$395,BD!$M$3:$M$5001,"&lt;&gt;")=0,"",SUMIFS(BD!$M$3:$M$5001,BD!$A$3:$A$5001,Q$3,BD!$B$3:$B$5001,$A$395)))</f>
        <v/>
      </c>
      <c r="R405" s="166" t="str">
        <f>IF(R$3="","",IF(COUNTIFS(BD!$A$3:$A$5001,R$3,BD!$B$3:$B$5001,$A$395,BD!$M$3:$M$5001,"&lt;&gt;")=0,"",SUMIFS(BD!$M$3:$M$5001,BD!$A$3:$A$5001,R$3,BD!$B$3:$B$5001,$A$395)))</f>
        <v/>
      </c>
      <c r="S405" s="166" t="str">
        <f>IF(S$3="","",IF(COUNTIFS(BD!$A$3:$A$5001,S$3,BD!$B$3:$B$5001,$A$395,BD!$M$3:$M$5001,"&lt;&gt;")=0,"",SUMIFS(BD!$M$3:$M$5001,BD!$A$3:$A$5001,S$3,BD!$B$3:$B$5001,$A$395)))</f>
        <v/>
      </c>
      <c r="T405" s="166" t="str">
        <f>IF(T$3="","",IF(COUNTIFS(BD!$A$3:$A$5001,T$3,BD!$B$3:$B$5001,$A$395,BD!$M$3:$M$5001,"&lt;&gt;")=0,"",SUMIFS(BD!$M$3:$M$5001,BD!$A$3:$A$5001,T$3,BD!$B$3:$B$5001,$A$395)))</f>
        <v/>
      </c>
      <c r="U405" s="166" t="str">
        <f>IF(U$3="","",IF(COUNTIFS(BD!$A$3:$A$5001,U$3,BD!$B$3:$B$5001,$A$395,BD!$M$3:$M$5001,"&lt;&gt;")=0,"",SUMIFS(BD!$M$3:$M$5001,BD!$A$3:$A$5001,U$3,BD!$B$3:$B$5001,$A$395)))</f>
        <v/>
      </c>
      <c r="V405" s="166" t="str">
        <f>IF(V$3="","",IF(COUNTIFS(BD!$A$3:$A$5001,V$3,BD!$B$3:$B$5001,$A$395,BD!$M$3:$M$5001,"&lt;&gt;")=0,"",SUMIFS(BD!$M$3:$M$5001,BD!$A$3:$A$5001,V$3,BD!$B$3:$B$5001,$A$395)))</f>
        <v/>
      </c>
      <c r="W405" s="166" t="str">
        <f>IF(W$3="","",IF(COUNTIFS(BD!$A$3:$A$5001,W$3,BD!$B$3:$B$5001,$A$395,BD!$M$3:$M$5001,"&lt;&gt;")=0,"",SUMIFS(BD!$M$3:$M$5001,BD!$A$3:$A$5001,W$3,BD!$B$3:$B$5001,$A$395)))</f>
        <v/>
      </c>
      <c r="X405" s="166" t="str">
        <f>IF(X$3="","",IF(COUNTIFS(BD!$A$3:$A$5001,X$3,BD!$B$3:$B$5001,$A$395,BD!$M$3:$M$5001,"&lt;&gt;")=0,"",SUMIFS(BD!$M$3:$M$5001,BD!$A$3:$A$5001,X$3,BD!$B$3:$B$5001,$A$395)))</f>
        <v/>
      </c>
      <c r="Y405" s="166" t="str">
        <f>IF(Y$3="","",IF(COUNTIFS(BD!$A$3:$A$5001,Y$3,BD!$B$3:$B$5001,$A$395,BD!$M$3:$M$5001,"&lt;&gt;")=0,"",SUMIFS(BD!$M$3:$M$5001,BD!$A$3:$A$5001,Y$3,BD!$B$3:$B$5001,$A$395)))</f>
        <v/>
      </c>
      <c r="Z405" s="166" t="str">
        <f>IF(Z$3="","",IF(COUNTIFS(BD!$A$3:$A$5001,Z$3,BD!$B$3:$B$5001,$A$395,BD!$M$3:$M$5001,"&lt;&gt;")=0,"",SUMIFS(BD!$M$3:$M$5001,BD!$A$3:$A$5001,Z$3,BD!$B$3:$B$5001,$A$395)))</f>
        <v/>
      </c>
      <c r="AA405" s="166" t="str">
        <f>IF(AA$3="","",IF(COUNTIFS(BD!$A$3:$A$5001,AA$3,BD!$B$3:$B$5001,$A$395,BD!$M$3:$M$5001,"&lt;&gt;")=0,"",SUMIFS(BD!$M$3:$M$5001,BD!$A$3:$A$5001,AA$3,BD!$B$3:$B$5001,$A$395)))</f>
        <v/>
      </c>
      <c r="AB405" s="166" t="str">
        <f>IF(AB$3="","",IF(COUNTIFS(BD!$A$3:$A$5001,AB$3,BD!$B$3:$B$5001,$A$395,BD!$M$3:$M$5001,"&lt;&gt;")=0,"",SUMIFS(BD!$M$3:$M$5001,BD!$A$3:$A$5001,AB$3,BD!$B$3:$B$5001,$A$395)))</f>
        <v/>
      </c>
      <c r="AC405" s="166" t="str">
        <f>IF(AC$3="","",IF(COUNTIFS(BD!$A$3:$A$5001,AC$3,BD!$B$3:$B$5001,$A$395,BD!$M$3:$M$5001,"&lt;&gt;")=0,"",SUMIFS(BD!$M$3:$M$5001,BD!$A$3:$A$5001,AC$3,BD!$B$3:$B$5001,$A$395)))</f>
        <v/>
      </c>
      <c r="AD405" s="166" t="str">
        <f>IF(AD$3="","",IF(COUNTIFS(BD!$A$3:$A$5001,AD$3,BD!$B$3:$B$5001,$A$395,BD!$M$3:$M$5001,"&lt;&gt;")=0,"",SUMIFS(BD!$M$3:$M$5001,BD!$A$3:$A$5001,AD$3,BD!$B$3:$B$5001,$A$395)))</f>
        <v/>
      </c>
      <c r="AE405" s="166" t="str">
        <f>IF(AE$3="","",IF(COUNTIFS(BD!$A$3:$A$5001,AE$3,BD!$B$3:$B$5001,$A$395,BD!$M$3:$M$5001,"&lt;&gt;")=0,"",SUMIFS(BD!$M$3:$M$5001,BD!$A$3:$A$5001,AE$3,BD!$B$3:$B$5001,$A$395)))</f>
        <v/>
      </c>
      <c r="AF405" s="166" t="str">
        <f>IF(AF$3="","",IF(COUNTIFS(BD!$A$3:$A$5001,AF$3,BD!$B$3:$B$5001,$A$395,BD!$M$3:$M$5001,"&lt;&gt;")=0,"",SUMIFS(BD!$M$3:$M$5001,BD!$A$3:$A$5001,AF$3,BD!$B$3:$B$5001,$A$395)))</f>
        <v/>
      </c>
      <c r="AG405" s="166" t="str">
        <f>IF(AG$3="","",IF(COUNTIFS(BD!$A$3:$A$5001,AG$3,BD!$B$3:$B$5001,$A$395,BD!$M$3:$M$5001,"&lt;&gt;")=0,"",SUMIFS(BD!$M$3:$M$5001,BD!$A$3:$A$5001,AG$3,BD!$B$3:$B$5001,$A$395)))</f>
        <v/>
      </c>
      <c r="AH405" s="166" t="str">
        <f>IF(AH$3="","",IF(COUNTIFS(BD!$A$3:$A$5001,AH$3,BD!$B$3:$B$5001,$A$395,BD!$M$3:$M$5001,"&lt;&gt;")=0,"",SUMIFS(BD!$M$3:$M$5001,BD!$A$3:$A$5001,AH$3,BD!$B$3:$B$5001,$A$395)))</f>
        <v/>
      </c>
      <c r="AI405" s="166" t="str">
        <f>IF(AI$3="","",IF(COUNTIFS(BD!$A$3:$A$5001,AI$3,BD!$B$3:$B$5001,$A$395,BD!$M$3:$M$5001,"&lt;&gt;")=0,"",SUMIFS(BD!$M$3:$M$5001,BD!$A$3:$A$5001,AI$3,BD!$B$3:$B$5001,$A$395)))</f>
        <v/>
      </c>
      <c r="AJ405" s="167" t="str">
        <f>IF(AJ$3="","",IF(COUNTIFS(BD!$A$3:$A$5001,AJ$3,BD!$B$3:$B$5001,$A$395,BD!$M$3:$M$5001,"&lt;&gt;")=0,"",SUMIFS(BD!$M$3:$M$5001,BD!$A$3:$A$5001,AJ$3,BD!$B$3:$B$5001,$A$395)))</f>
        <v/>
      </c>
      <c r="AK405" s="168" t="str">
        <f>IFERROR(LOOKUP(9.99E+307,F405:AJ405),"")</f>
        <v/>
      </c>
    </row>
    <row r="406" ht="15.75" customHeight="1" hidden="1">
      <c r="A406" s="254"/>
      <c r="B406" s="243"/>
      <c r="C406" s="169" t="inlineStr">
        <is>
          <t xml:space="preserve">Taxa de Ocupação</t>
        </is>
      </c>
      <c r="D406" s="217" t="str">
        <f>IFERROR(1/(1/INDEX(BD!$Y$34:$AS$34,MATCH($A$395,BD!$Y$22:$AS$22,0))),"")</f>
        <v/>
      </c>
      <c r="E406" s="171"/>
      <c r="F406" s="218" t="str">
        <f>IF(AND(ISNUMBER(F404),ISNUMBER(F405)),IF(F404&gt;0,F405/F404,""),"")</f>
        <v/>
      </c>
      <c r="G406" s="219" t="str">
        <f>IF(AND(ISNUMBER(G404),ISNUMBER(G405)),IF(G404&gt;0,G405/G404,""),"")</f>
        <v/>
      </c>
      <c r="H406" s="219" t="str">
        <f>IF(AND(ISNUMBER(H404),ISNUMBER(H405)),IF(H404&gt;0,H405/H404,""),"")</f>
        <v/>
      </c>
      <c r="I406" s="219" t="str">
        <f>IF(AND(ISNUMBER(I404),ISNUMBER(I405)),IF(I404&gt;0,I405/I404,""),"")</f>
        <v/>
      </c>
      <c r="J406" s="219" t="str">
        <f>IF(AND(ISNUMBER(J404),ISNUMBER(J405)),IF(J404&gt;0,J405/J404,""),"")</f>
        <v/>
      </c>
      <c r="K406" s="219" t="str">
        <f>IF(AND(ISNUMBER(K404),ISNUMBER(K405)),IF(K404&gt;0,K405/K404,""),"")</f>
        <v/>
      </c>
      <c r="L406" s="219" t="str">
        <f>IF(AND(ISNUMBER(L404),ISNUMBER(L405)),IF(L404&gt;0,L405/L404,""),"")</f>
        <v/>
      </c>
      <c r="M406" s="219" t="str">
        <f>IF(AND(ISNUMBER(M404),ISNUMBER(M405)),IF(M404&gt;0,M405/M404,""),"")</f>
        <v/>
      </c>
      <c r="N406" s="219" t="str">
        <f>IF(AND(ISNUMBER(N404),ISNUMBER(N405)),IF(N404&gt;0,N405/N404,""),"")</f>
        <v/>
      </c>
      <c r="O406" s="219" t="str">
        <f>IF(AND(ISNUMBER(O404),ISNUMBER(O405)),IF(O404&gt;0,O405/O404,""),"")</f>
        <v/>
      </c>
      <c r="P406" s="219" t="str">
        <f>IF(AND(ISNUMBER(P404),ISNUMBER(P405)),IF(P404&gt;0,P405/P404,""),"")</f>
        <v/>
      </c>
      <c r="Q406" s="219" t="str">
        <f>IF(AND(ISNUMBER(Q404),ISNUMBER(Q405)),IF(Q404&gt;0,Q405/Q404,""),"")</f>
        <v/>
      </c>
      <c r="R406" s="219" t="str">
        <f>IF(AND(ISNUMBER(R404),ISNUMBER(R405)),IF(R404&gt;0,R405/R404,""),"")</f>
        <v/>
      </c>
      <c r="S406" s="219" t="str">
        <f>IF(AND(ISNUMBER(S404),ISNUMBER(S405)),IF(S404&gt;0,S405/S404,""),"")</f>
        <v/>
      </c>
      <c r="T406" s="219" t="str">
        <f>IF(AND(ISNUMBER(T404),ISNUMBER(T405)),IF(T404&gt;0,T405/T404,""),"")</f>
        <v/>
      </c>
      <c r="U406" s="219" t="str">
        <f>IF(AND(ISNUMBER(U404),ISNUMBER(U405)),IF(U404&gt;0,U405/U404,""),"")</f>
        <v/>
      </c>
      <c r="V406" s="219" t="str">
        <f>IF(AND(ISNUMBER(V404),ISNUMBER(V405)),IF(V404&gt;0,V405/V404,""),"")</f>
        <v/>
      </c>
      <c r="W406" s="219" t="str">
        <f>IF(AND(ISNUMBER(W404),ISNUMBER(W405)),IF(W404&gt;0,W405/W404,""),"")</f>
        <v/>
      </c>
      <c r="X406" s="219" t="str">
        <f>IF(AND(ISNUMBER(X404),ISNUMBER(X405)),IF(X404&gt;0,X405/X404,""),"")</f>
        <v/>
      </c>
      <c r="Y406" s="219" t="str">
        <f>IF(AND(ISNUMBER(Y404),ISNUMBER(Y405)),IF(Y404&gt;0,Y405/Y404,""),"")</f>
        <v/>
      </c>
      <c r="Z406" s="219" t="str">
        <f>IF(AND(ISNUMBER(Z404),ISNUMBER(Z405)),IF(Z404&gt;0,Z405/Z404,""),"")</f>
        <v/>
      </c>
      <c r="AA406" s="219" t="str">
        <f>IF(AND(ISNUMBER(AA404),ISNUMBER(AA405)),IF(AA404&gt;0,AA405/AA404,""),"")</f>
        <v/>
      </c>
      <c r="AB406" s="219" t="str">
        <f>IF(AND(ISNUMBER(AB404),ISNUMBER(AB405)),IF(AB404&gt;0,AB405/AB404,""),"")</f>
        <v/>
      </c>
      <c r="AC406" s="219" t="str">
        <f>IF(AND(ISNUMBER(AC404),ISNUMBER(AC405)),IF(AC404&gt;0,AC405/AC404,""),"")</f>
        <v/>
      </c>
      <c r="AD406" s="219" t="str">
        <f>IF(AND(ISNUMBER(AD404),ISNUMBER(AD405)),IF(AD404&gt;0,AD405/AD404,""),"")</f>
        <v/>
      </c>
      <c r="AE406" s="219" t="str">
        <f>IF(AND(ISNUMBER(AE404),ISNUMBER(AE405)),IF(AE404&gt;0,AE405/AE404,""),"")</f>
        <v/>
      </c>
      <c r="AF406" s="219" t="str">
        <f>IF(AND(ISNUMBER(AF404),ISNUMBER(AF405)),IF(AF404&gt;0,AF405/AF404,""),"")</f>
        <v/>
      </c>
      <c r="AG406" s="219" t="str">
        <f>IF(AND(ISNUMBER(AG404),ISNUMBER(AG405)),IF(AG404&gt;0,AG405/AG404,""),"")</f>
        <v/>
      </c>
      <c r="AH406" s="219" t="str">
        <f>IF(AND(ISNUMBER(AH404),ISNUMBER(AH405)),IF(AH404&gt;0,AH405/AH404,""),"")</f>
        <v/>
      </c>
      <c r="AI406" s="219" t="str">
        <f>IF(AND(ISNUMBER(AI404),ISNUMBER(AI405)),IF(AI404&gt;0,AI405/AI404,""),"")</f>
        <v/>
      </c>
      <c r="AJ406" s="220" t="str">
        <f>IF(AND(ISNUMBER(AJ404),ISNUMBER(AJ405)),IF(AJ404&gt;0,AJ405/AJ404,""),"")</f>
        <v/>
      </c>
      <c r="AK406" s="217" t="str">
        <f>IF(AND(ISNUMBER(AK404),ISNUMBER(AK405)),IF(AK404&gt;0,AK405/AK404,""),"")</f>
        <v/>
      </c>
    </row>
    <row r="407" ht="15.75" customHeight="1" hidden="1">
      <c r="A407" s="254"/>
      <c r="B407" s="250" t="inlineStr">
        <is>
          <t xml:space="preserve">GENTE</t>
        </is>
      </c>
      <c r="C407" s="221" t="inlineStr">
        <is>
          <t xml:space="preserve">Efetivo Op.</t>
        </is>
      </c>
      <c r="D407" s="222" t="str">
        <f>IFERROR(1/(1/INDEX(BD!$Y$35:$AS$35,MATCH($A$395,BD!$Y$22:$AS$22,0))),"")</f>
        <v/>
      </c>
      <c r="E407" s="223"/>
      <c r="F407" s="224" t="str">
        <f>IF(F$3="","",IF(COUNTIFS(BD!$A$3:$A$5001,F$3,BD!$B$3:$B$5001,$A$395,BD!$N$3:$N$5001,"&lt;&gt;")=0,"",SUMIFS(BD!$N$3:$N$5001,BD!$A$3:$A$5001,F$3,BD!$B$3:$B$5001,$A$395)))</f>
        <v/>
      </c>
      <c r="G407" s="225" t="str">
        <f>IF(G$3="","",IF(COUNTIFS(BD!$A$3:$A$5001,G$3,BD!$B$3:$B$5001,$A$395,BD!$N$3:$N$5001,"&lt;&gt;")=0,"",SUMIFS(BD!$N$3:$N$5001,BD!$A$3:$A$5001,G$3,BD!$B$3:$B$5001,$A$395)))</f>
        <v/>
      </c>
      <c r="H407" s="225" t="str">
        <f>IF(H$3="","",IF(COUNTIFS(BD!$A$3:$A$5001,H$3,BD!$B$3:$B$5001,$A$395,BD!$N$3:$N$5001,"&lt;&gt;")=0,"",SUMIFS(BD!$N$3:$N$5001,BD!$A$3:$A$5001,H$3,BD!$B$3:$B$5001,$A$395)))</f>
        <v/>
      </c>
      <c r="I407" s="225" t="str">
        <f>IF(I$3="","",IF(COUNTIFS(BD!$A$3:$A$5001,I$3,BD!$B$3:$B$5001,$A$395,BD!$N$3:$N$5001,"&lt;&gt;")=0,"",SUMIFS(BD!$N$3:$N$5001,BD!$A$3:$A$5001,I$3,BD!$B$3:$B$5001,$A$395)))</f>
        <v/>
      </c>
      <c r="J407" s="225" t="str">
        <f>IF(J$3="","",IF(COUNTIFS(BD!$A$3:$A$5001,J$3,BD!$B$3:$B$5001,$A$395,BD!$N$3:$N$5001,"&lt;&gt;")=0,"",SUMIFS(BD!$N$3:$N$5001,BD!$A$3:$A$5001,J$3,BD!$B$3:$B$5001,$A$395)))</f>
        <v/>
      </c>
      <c r="K407" s="225" t="str">
        <f>IF(K$3="","",IF(COUNTIFS(BD!$A$3:$A$5001,K$3,BD!$B$3:$B$5001,$A$395,BD!$N$3:$N$5001,"&lt;&gt;")=0,"",SUMIFS(BD!$N$3:$N$5001,BD!$A$3:$A$5001,K$3,BD!$B$3:$B$5001,$A$395)))</f>
        <v/>
      </c>
      <c r="L407" s="225" t="str">
        <f>IF(L$3="","",IF(COUNTIFS(BD!$A$3:$A$5001,L$3,BD!$B$3:$B$5001,$A$395,BD!$N$3:$N$5001,"&lt;&gt;")=0,"",SUMIFS(BD!$N$3:$N$5001,BD!$A$3:$A$5001,L$3,BD!$B$3:$B$5001,$A$395)))</f>
        <v/>
      </c>
      <c r="M407" s="225" t="str">
        <f>IF(M$3="","",IF(COUNTIFS(BD!$A$3:$A$5001,M$3,BD!$B$3:$B$5001,$A$395,BD!$N$3:$N$5001,"&lt;&gt;")=0,"",SUMIFS(BD!$N$3:$N$5001,BD!$A$3:$A$5001,M$3,BD!$B$3:$B$5001,$A$395)))</f>
        <v/>
      </c>
      <c r="N407" s="225" t="str">
        <f>IF(N$3="","",IF(COUNTIFS(BD!$A$3:$A$5001,N$3,BD!$B$3:$B$5001,$A$395,BD!$N$3:$N$5001,"&lt;&gt;")=0,"",SUMIFS(BD!$N$3:$N$5001,BD!$A$3:$A$5001,N$3,BD!$B$3:$B$5001,$A$395)))</f>
        <v/>
      </c>
      <c r="O407" s="225" t="str">
        <f>IF(O$3="","",IF(COUNTIFS(BD!$A$3:$A$5001,O$3,BD!$B$3:$B$5001,$A$395,BD!$N$3:$N$5001,"&lt;&gt;")=0,"",SUMIFS(BD!$N$3:$N$5001,BD!$A$3:$A$5001,O$3,BD!$B$3:$B$5001,$A$395)))</f>
        <v/>
      </c>
      <c r="P407" s="225" t="str">
        <f>IF(P$3="","",IF(COUNTIFS(BD!$A$3:$A$5001,P$3,BD!$B$3:$B$5001,$A$395,BD!$N$3:$N$5001,"&lt;&gt;")=0,"",SUMIFS(BD!$N$3:$N$5001,BD!$A$3:$A$5001,P$3,BD!$B$3:$B$5001,$A$395)))</f>
        <v/>
      </c>
      <c r="Q407" s="225" t="str">
        <f>IF(Q$3="","",IF(COUNTIFS(BD!$A$3:$A$5001,Q$3,BD!$B$3:$B$5001,$A$395,BD!$N$3:$N$5001,"&lt;&gt;")=0,"",SUMIFS(BD!$N$3:$N$5001,BD!$A$3:$A$5001,Q$3,BD!$B$3:$B$5001,$A$395)))</f>
        <v/>
      </c>
      <c r="R407" s="225" t="str">
        <f>IF(R$3="","",IF(COUNTIFS(BD!$A$3:$A$5001,R$3,BD!$B$3:$B$5001,$A$395,BD!$N$3:$N$5001,"&lt;&gt;")=0,"",SUMIFS(BD!$N$3:$N$5001,BD!$A$3:$A$5001,R$3,BD!$B$3:$B$5001,$A$395)))</f>
        <v/>
      </c>
      <c r="S407" s="225" t="str">
        <f>IF(S$3="","",IF(COUNTIFS(BD!$A$3:$A$5001,S$3,BD!$B$3:$B$5001,$A$395,BD!$N$3:$N$5001,"&lt;&gt;")=0,"",SUMIFS(BD!$N$3:$N$5001,BD!$A$3:$A$5001,S$3,BD!$B$3:$B$5001,$A$395)))</f>
        <v/>
      </c>
      <c r="T407" s="225" t="str">
        <f>IF(T$3="","",IF(COUNTIFS(BD!$A$3:$A$5001,T$3,BD!$B$3:$B$5001,$A$395,BD!$N$3:$N$5001,"&lt;&gt;")=0,"",SUMIFS(BD!$N$3:$N$5001,BD!$A$3:$A$5001,T$3,BD!$B$3:$B$5001,$A$395)))</f>
        <v/>
      </c>
      <c r="U407" s="225" t="str">
        <f>IF(U$3="","",IF(COUNTIFS(BD!$A$3:$A$5001,U$3,BD!$B$3:$B$5001,$A$395,BD!$N$3:$N$5001,"&lt;&gt;")=0,"",SUMIFS(BD!$N$3:$N$5001,BD!$A$3:$A$5001,U$3,BD!$B$3:$B$5001,$A$395)))</f>
        <v/>
      </c>
      <c r="V407" s="225" t="str">
        <f>IF(V$3="","",IF(COUNTIFS(BD!$A$3:$A$5001,V$3,BD!$B$3:$B$5001,$A$395,BD!$N$3:$N$5001,"&lt;&gt;")=0,"",SUMIFS(BD!$N$3:$N$5001,BD!$A$3:$A$5001,V$3,BD!$B$3:$B$5001,$A$395)))</f>
        <v/>
      </c>
      <c r="W407" s="225" t="str">
        <f>IF(W$3="","",IF(COUNTIFS(BD!$A$3:$A$5001,W$3,BD!$B$3:$B$5001,$A$395,BD!$N$3:$N$5001,"&lt;&gt;")=0,"",SUMIFS(BD!$N$3:$N$5001,BD!$A$3:$A$5001,W$3,BD!$B$3:$B$5001,$A$395)))</f>
        <v/>
      </c>
      <c r="X407" s="225" t="str">
        <f>IF(X$3="","",IF(COUNTIFS(BD!$A$3:$A$5001,X$3,BD!$B$3:$B$5001,$A$395,BD!$N$3:$N$5001,"&lt;&gt;")=0,"",SUMIFS(BD!$N$3:$N$5001,BD!$A$3:$A$5001,X$3,BD!$B$3:$B$5001,$A$395)))</f>
        <v/>
      </c>
      <c r="Y407" s="225" t="str">
        <f>IF(Y$3="","",IF(COUNTIFS(BD!$A$3:$A$5001,Y$3,BD!$B$3:$B$5001,$A$395,BD!$N$3:$N$5001,"&lt;&gt;")=0,"",SUMIFS(BD!$N$3:$N$5001,BD!$A$3:$A$5001,Y$3,BD!$B$3:$B$5001,$A$395)))</f>
        <v/>
      </c>
      <c r="Z407" s="225" t="str">
        <f>IF(Z$3="","",IF(COUNTIFS(BD!$A$3:$A$5001,Z$3,BD!$B$3:$B$5001,$A$395,BD!$N$3:$N$5001,"&lt;&gt;")=0,"",SUMIFS(BD!$N$3:$N$5001,BD!$A$3:$A$5001,Z$3,BD!$B$3:$B$5001,$A$395)))</f>
        <v/>
      </c>
      <c r="AA407" s="225" t="str">
        <f>IF(AA$3="","",IF(COUNTIFS(BD!$A$3:$A$5001,AA$3,BD!$B$3:$B$5001,$A$395,BD!$N$3:$N$5001,"&lt;&gt;")=0,"",SUMIFS(BD!$N$3:$N$5001,BD!$A$3:$A$5001,AA$3,BD!$B$3:$B$5001,$A$395)))</f>
        <v/>
      </c>
      <c r="AB407" s="225" t="str">
        <f>IF(AB$3="","",IF(COUNTIFS(BD!$A$3:$A$5001,AB$3,BD!$B$3:$B$5001,$A$395,BD!$N$3:$N$5001,"&lt;&gt;")=0,"",SUMIFS(BD!$N$3:$N$5001,BD!$A$3:$A$5001,AB$3,BD!$B$3:$B$5001,$A$395)))</f>
        <v/>
      </c>
      <c r="AC407" s="225" t="str">
        <f>IF(AC$3="","",IF(COUNTIFS(BD!$A$3:$A$5001,AC$3,BD!$B$3:$B$5001,$A$395,BD!$N$3:$N$5001,"&lt;&gt;")=0,"",SUMIFS(BD!$N$3:$N$5001,BD!$A$3:$A$5001,AC$3,BD!$B$3:$B$5001,$A$395)))</f>
        <v/>
      </c>
      <c r="AD407" s="225" t="str">
        <f>IF(AD$3="","",IF(COUNTIFS(BD!$A$3:$A$5001,AD$3,BD!$B$3:$B$5001,$A$395,BD!$N$3:$N$5001,"&lt;&gt;")=0,"",SUMIFS(BD!$N$3:$N$5001,BD!$A$3:$A$5001,AD$3,BD!$B$3:$B$5001,$A$395)))</f>
        <v/>
      </c>
      <c r="AE407" s="225" t="str">
        <f>IF(AE$3="","",IF(COUNTIFS(BD!$A$3:$A$5001,AE$3,BD!$B$3:$B$5001,$A$395,BD!$N$3:$N$5001,"&lt;&gt;")=0,"",SUMIFS(BD!$N$3:$N$5001,BD!$A$3:$A$5001,AE$3,BD!$B$3:$B$5001,$A$395)))</f>
        <v/>
      </c>
      <c r="AF407" s="225" t="str">
        <f>IF(AF$3="","",IF(COUNTIFS(BD!$A$3:$A$5001,AF$3,BD!$B$3:$B$5001,$A$395,BD!$N$3:$N$5001,"&lt;&gt;")=0,"",SUMIFS(BD!$N$3:$N$5001,BD!$A$3:$A$5001,AF$3,BD!$B$3:$B$5001,$A$395)))</f>
        <v/>
      </c>
      <c r="AG407" s="225" t="str">
        <f>IF(AG$3="","",IF(COUNTIFS(BD!$A$3:$A$5001,AG$3,BD!$B$3:$B$5001,$A$395,BD!$N$3:$N$5001,"&lt;&gt;")=0,"",SUMIFS(BD!$N$3:$N$5001,BD!$A$3:$A$5001,AG$3,BD!$B$3:$B$5001,$A$395)))</f>
        <v/>
      </c>
      <c r="AH407" s="225" t="str">
        <f>IF(AH$3="","",IF(COUNTIFS(BD!$A$3:$A$5001,AH$3,BD!$B$3:$B$5001,$A$395,BD!$N$3:$N$5001,"&lt;&gt;")=0,"",SUMIFS(BD!$N$3:$N$5001,BD!$A$3:$A$5001,AH$3,BD!$B$3:$B$5001,$A$395)))</f>
        <v/>
      </c>
      <c r="AI407" s="225" t="str">
        <f>IF(AI$3="","",IF(COUNTIFS(BD!$A$3:$A$5001,AI$3,BD!$B$3:$B$5001,$A$395,BD!$N$3:$N$5001,"&lt;&gt;")=0,"",SUMIFS(BD!$N$3:$N$5001,BD!$A$3:$A$5001,AI$3,BD!$B$3:$B$5001,$A$395)))</f>
        <v/>
      </c>
      <c r="AJ407" s="226" t="str">
        <f>IF(AJ$3="","",IF(COUNTIFS(BD!$A$3:$A$5001,AJ$3,BD!$B$3:$B$5001,$A$395,BD!$N$3:$N$5001,"&lt;&gt;")=0,"",SUMIFS(BD!$N$3:$N$5001,BD!$A$3:$A$5001,AJ$3,BD!$B$3:$B$5001,$A$395)))</f>
        <v/>
      </c>
      <c r="AK407" s="227" t="str">
        <f>IFERROR(LOOKUP(9.99E+307,F407:AJ407),"")</f>
        <v/>
      </c>
    </row>
    <row r="408" ht="15.75" customHeight="1" hidden="1">
      <c r="A408" s="254"/>
      <c r="B408" s="251"/>
      <c r="C408" s="228" t="inlineStr">
        <is>
          <t xml:space="preserve">Falta</t>
        </is>
      </c>
      <c r="D408" s="229" t="str">
        <f>IFERROR(1/(1/INDEX(BD!$Y$36:$AS$36,MATCH($A$395,BD!$Y$22:$AS$22,0))),"")</f>
        <v/>
      </c>
      <c r="E408" s="230"/>
      <c r="F408" s="231" t="str">
        <f>IF(F$3="","",IF(COUNTIFS(BD!$A$3:$A$5001,F$3,BD!$B$3:$B$5001,$A$395,BD!$O$3:$O$5001,"&lt;&gt;")=0,"",SUMIFS(BD!$O$3:$O$5001,BD!$A$3:$A$5001,F$3,BD!$B$3:$B$5001,$A$395)))</f>
        <v/>
      </c>
      <c r="G408" s="232" t="str">
        <f>IF(G$3="","",IF(COUNTIFS(BD!$A$3:$A$5001,G$3,BD!$B$3:$B$5001,$A$395,BD!$O$3:$O$5001,"&lt;&gt;")=0,"",SUMIFS(BD!$O$3:$O$5001,BD!$A$3:$A$5001,G$3,BD!$B$3:$B$5001,$A$395)))</f>
        <v/>
      </c>
      <c r="H408" s="232" t="str">
        <f>IF(H$3="","",IF(COUNTIFS(BD!$A$3:$A$5001,H$3,BD!$B$3:$B$5001,$A$395,BD!$O$3:$O$5001,"&lt;&gt;")=0,"",SUMIFS(BD!$O$3:$O$5001,BD!$A$3:$A$5001,H$3,BD!$B$3:$B$5001,$A$395)))</f>
        <v/>
      </c>
      <c r="I408" s="232" t="str">
        <f>IF(I$3="","",IF(COUNTIFS(BD!$A$3:$A$5001,I$3,BD!$B$3:$B$5001,$A$395,BD!$O$3:$O$5001,"&lt;&gt;")=0,"",SUMIFS(BD!$O$3:$O$5001,BD!$A$3:$A$5001,I$3,BD!$B$3:$B$5001,$A$395)))</f>
        <v/>
      </c>
      <c r="J408" s="232" t="str">
        <f>IF(J$3="","",IF(COUNTIFS(BD!$A$3:$A$5001,J$3,BD!$B$3:$B$5001,$A$395,BD!$O$3:$O$5001,"&lt;&gt;")=0,"",SUMIFS(BD!$O$3:$O$5001,BD!$A$3:$A$5001,J$3,BD!$B$3:$B$5001,$A$395)))</f>
        <v/>
      </c>
      <c r="K408" s="232" t="str">
        <f>IF(K$3="","",IF(COUNTIFS(BD!$A$3:$A$5001,K$3,BD!$B$3:$B$5001,$A$395,BD!$O$3:$O$5001,"&lt;&gt;")=0,"",SUMIFS(BD!$O$3:$O$5001,BD!$A$3:$A$5001,K$3,BD!$B$3:$B$5001,$A$395)))</f>
        <v/>
      </c>
      <c r="L408" s="232" t="str">
        <f>IF(L$3="","",IF(COUNTIFS(BD!$A$3:$A$5001,L$3,BD!$B$3:$B$5001,$A$395,BD!$O$3:$O$5001,"&lt;&gt;")=0,"",SUMIFS(BD!$O$3:$O$5001,BD!$A$3:$A$5001,L$3,BD!$B$3:$B$5001,$A$395)))</f>
        <v/>
      </c>
      <c r="M408" s="232" t="str">
        <f>IF(M$3="","",IF(COUNTIFS(BD!$A$3:$A$5001,M$3,BD!$B$3:$B$5001,$A$395,BD!$O$3:$O$5001,"&lt;&gt;")=0,"",SUMIFS(BD!$O$3:$O$5001,BD!$A$3:$A$5001,M$3,BD!$B$3:$B$5001,$A$395)))</f>
        <v/>
      </c>
      <c r="N408" s="232" t="str">
        <f>IF(N$3="","",IF(COUNTIFS(BD!$A$3:$A$5001,N$3,BD!$B$3:$B$5001,$A$395,BD!$O$3:$O$5001,"&lt;&gt;")=0,"",SUMIFS(BD!$O$3:$O$5001,BD!$A$3:$A$5001,N$3,BD!$B$3:$B$5001,$A$395)))</f>
        <v/>
      </c>
      <c r="O408" s="232" t="str">
        <f>IF(O$3="","",IF(COUNTIFS(BD!$A$3:$A$5001,O$3,BD!$B$3:$B$5001,$A$395,BD!$O$3:$O$5001,"&lt;&gt;")=0,"",SUMIFS(BD!$O$3:$O$5001,BD!$A$3:$A$5001,O$3,BD!$B$3:$B$5001,$A$395)))</f>
        <v/>
      </c>
      <c r="P408" s="232" t="str">
        <f>IF(P$3="","",IF(COUNTIFS(BD!$A$3:$A$5001,P$3,BD!$B$3:$B$5001,$A$395,BD!$O$3:$O$5001,"&lt;&gt;")=0,"",SUMIFS(BD!$O$3:$O$5001,BD!$A$3:$A$5001,P$3,BD!$B$3:$B$5001,$A$395)))</f>
        <v/>
      </c>
      <c r="Q408" s="232" t="str">
        <f>IF(Q$3="","",IF(COUNTIFS(BD!$A$3:$A$5001,Q$3,BD!$B$3:$B$5001,$A$395,BD!$O$3:$O$5001,"&lt;&gt;")=0,"",SUMIFS(BD!$O$3:$O$5001,BD!$A$3:$A$5001,Q$3,BD!$B$3:$B$5001,$A$395)))</f>
        <v/>
      </c>
      <c r="R408" s="232" t="str">
        <f>IF(R$3="","",IF(COUNTIFS(BD!$A$3:$A$5001,R$3,BD!$B$3:$B$5001,$A$395,BD!$O$3:$O$5001,"&lt;&gt;")=0,"",SUMIFS(BD!$O$3:$O$5001,BD!$A$3:$A$5001,R$3,BD!$B$3:$B$5001,$A$395)))</f>
        <v/>
      </c>
      <c r="S408" s="232" t="str">
        <f>IF(S$3="","",IF(COUNTIFS(BD!$A$3:$A$5001,S$3,BD!$B$3:$B$5001,$A$395,BD!$O$3:$O$5001,"&lt;&gt;")=0,"",SUMIFS(BD!$O$3:$O$5001,BD!$A$3:$A$5001,S$3,BD!$B$3:$B$5001,$A$395)))</f>
        <v/>
      </c>
      <c r="T408" s="232" t="str">
        <f>IF(T$3="","",IF(COUNTIFS(BD!$A$3:$A$5001,T$3,BD!$B$3:$B$5001,$A$395,BD!$O$3:$O$5001,"&lt;&gt;")=0,"",SUMIFS(BD!$O$3:$O$5001,BD!$A$3:$A$5001,T$3,BD!$B$3:$B$5001,$A$395)))</f>
        <v/>
      </c>
      <c r="U408" s="232" t="str">
        <f>IF(U$3="","",IF(COUNTIFS(BD!$A$3:$A$5001,U$3,BD!$B$3:$B$5001,$A$395,BD!$O$3:$O$5001,"&lt;&gt;")=0,"",SUMIFS(BD!$O$3:$O$5001,BD!$A$3:$A$5001,U$3,BD!$B$3:$B$5001,$A$395)))</f>
        <v/>
      </c>
      <c r="V408" s="232" t="str">
        <f>IF(V$3="","",IF(COUNTIFS(BD!$A$3:$A$5001,V$3,BD!$B$3:$B$5001,$A$395,BD!$O$3:$O$5001,"&lt;&gt;")=0,"",SUMIFS(BD!$O$3:$O$5001,BD!$A$3:$A$5001,V$3,BD!$B$3:$B$5001,$A$395)))</f>
        <v/>
      </c>
      <c r="W408" s="232" t="str">
        <f>IF(W$3="","",IF(COUNTIFS(BD!$A$3:$A$5001,W$3,BD!$B$3:$B$5001,$A$395,BD!$O$3:$O$5001,"&lt;&gt;")=0,"",SUMIFS(BD!$O$3:$O$5001,BD!$A$3:$A$5001,W$3,BD!$B$3:$B$5001,$A$395)))</f>
        <v/>
      </c>
      <c r="X408" s="232" t="str">
        <f>IF(X$3="","",IF(COUNTIFS(BD!$A$3:$A$5001,X$3,BD!$B$3:$B$5001,$A$395,BD!$O$3:$O$5001,"&lt;&gt;")=0,"",SUMIFS(BD!$O$3:$O$5001,BD!$A$3:$A$5001,X$3,BD!$B$3:$B$5001,$A$395)))</f>
        <v/>
      </c>
      <c r="Y408" s="232" t="str">
        <f>IF(Y$3="","",IF(COUNTIFS(BD!$A$3:$A$5001,Y$3,BD!$B$3:$B$5001,$A$395,BD!$O$3:$O$5001,"&lt;&gt;")=0,"",SUMIFS(BD!$O$3:$O$5001,BD!$A$3:$A$5001,Y$3,BD!$B$3:$B$5001,$A$395)))</f>
        <v/>
      </c>
      <c r="Z408" s="232" t="str">
        <f>IF(Z$3="","",IF(COUNTIFS(BD!$A$3:$A$5001,Z$3,BD!$B$3:$B$5001,$A$395,BD!$O$3:$O$5001,"&lt;&gt;")=0,"",SUMIFS(BD!$O$3:$O$5001,BD!$A$3:$A$5001,Z$3,BD!$B$3:$B$5001,$A$395)))</f>
        <v/>
      </c>
      <c r="AA408" s="232" t="str">
        <f>IF(AA$3="","",IF(COUNTIFS(BD!$A$3:$A$5001,AA$3,BD!$B$3:$B$5001,$A$395,BD!$O$3:$O$5001,"&lt;&gt;")=0,"",SUMIFS(BD!$O$3:$O$5001,BD!$A$3:$A$5001,AA$3,BD!$B$3:$B$5001,$A$395)))</f>
        <v/>
      </c>
      <c r="AB408" s="232" t="str">
        <f>IF(AB$3="","",IF(COUNTIFS(BD!$A$3:$A$5001,AB$3,BD!$B$3:$B$5001,$A$395,BD!$O$3:$O$5001,"&lt;&gt;")=0,"",SUMIFS(BD!$O$3:$O$5001,BD!$A$3:$A$5001,AB$3,BD!$B$3:$B$5001,$A$395)))</f>
        <v/>
      </c>
      <c r="AC408" s="232" t="str">
        <f>IF(AC$3="","",IF(COUNTIFS(BD!$A$3:$A$5001,AC$3,BD!$B$3:$B$5001,$A$395,BD!$O$3:$O$5001,"&lt;&gt;")=0,"",SUMIFS(BD!$O$3:$O$5001,BD!$A$3:$A$5001,AC$3,BD!$B$3:$B$5001,$A$395)))</f>
        <v/>
      </c>
      <c r="AD408" s="232" t="str">
        <f>IF(AD$3="","",IF(COUNTIFS(BD!$A$3:$A$5001,AD$3,BD!$B$3:$B$5001,$A$395,BD!$O$3:$O$5001,"&lt;&gt;")=0,"",SUMIFS(BD!$O$3:$O$5001,BD!$A$3:$A$5001,AD$3,BD!$B$3:$B$5001,$A$395)))</f>
        <v/>
      </c>
      <c r="AE408" s="232" t="str">
        <f>IF(AE$3="","",IF(COUNTIFS(BD!$A$3:$A$5001,AE$3,BD!$B$3:$B$5001,$A$395,BD!$O$3:$O$5001,"&lt;&gt;")=0,"",SUMIFS(BD!$O$3:$O$5001,BD!$A$3:$A$5001,AE$3,BD!$B$3:$B$5001,$A$395)))</f>
        <v/>
      </c>
      <c r="AF408" s="232" t="str">
        <f>IF(AF$3="","",IF(COUNTIFS(BD!$A$3:$A$5001,AF$3,BD!$B$3:$B$5001,$A$395,BD!$O$3:$O$5001,"&lt;&gt;")=0,"",SUMIFS(BD!$O$3:$O$5001,BD!$A$3:$A$5001,AF$3,BD!$B$3:$B$5001,$A$395)))</f>
        <v/>
      </c>
      <c r="AG408" s="232" t="str">
        <f>IF(AG$3="","",IF(COUNTIFS(BD!$A$3:$A$5001,AG$3,BD!$B$3:$B$5001,$A$395,BD!$O$3:$O$5001,"&lt;&gt;")=0,"",SUMIFS(BD!$O$3:$O$5001,BD!$A$3:$A$5001,AG$3,BD!$B$3:$B$5001,$A$395)))</f>
        <v/>
      </c>
      <c r="AH408" s="232" t="str">
        <f>IF(AH$3="","",IF(COUNTIFS(BD!$A$3:$A$5001,AH$3,BD!$B$3:$B$5001,$A$395,BD!$O$3:$O$5001,"&lt;&gt;")=0,"",SUMIFS(BD!$O$3:$O$5001,BD!$A$3:$A$5001,AH$3,BD!$B$3:$B$5001,$A$395)))</f>
        <v/>
      </c>
      <c r="AI408" s="232" t="str">
        <f>IF(AI$3="","",IF(COUNTIFS(BD!$A$3:$A$5001,AI$3,BD!$B$3:$B$5001,$A$395,BD!$O$3:$O$5001,"&lt;&gt;")=0,"",SUMIFS(BD!$O$3:$O$5001,BD!$A$3:$A$5001,AI$3,BD!$B$3:$B$5001,$A$395)))</f>
        <v/>
      </c>
      <c r="AJ408" s="233" t="str">
        <f>IF(AJ$3="","",IF(COUNTIFS(BD!$A$3:$A$5001,AJ$3,BD!$B$3:$B$5001,$A$395,BD!$O$3:$O$5001,"&lt;&gt;")=0,"",SUMIFS(BD!$O$3:$O$5001,BD!$A$3:$A$5001,AJ$3,BD!$B$3:$B$5001,$A$395)))</f>
        <v/>
      </c>
      <c r="AK408" s="234" t="str">
        <f>IF(COUNT(F408:AJ408)=0,"",SUM(F408:AJ408))</f>
        <v/>
      </c>
    </row>
    <row r="409" ht="15.75" customHeight="1" hidden="1">
      <c r="A409" s="254"/>
      <c r="B409" s="251"/>
      <c r="C409" s="228" t="inlineStr">
        <is>
          <t xml:space="preserve">Folga</t>
        </is>
      </c>
      <c r="D409" s="229" t="str">
        <f>IFERROR(1/(1/INDEX(BD!$Y$37:$AS$37,MATCH($A$395,BD!$Y$22:$AS$22,0))),"")</f>
        <v/>
      </c>
      <c r="E409" s="230"/>
      <c r="F409" s="231" t="str">
        <f>IF(F$3="","",IF(COUNTIFS(BD!$A$3:$A$5001,F$3,BD!$B$3:$B$5001,$A$395,BD!$P$3:$P$5001,"&lt;&gt;")=0,"",SUMIFS(BD!$P$3:$P$5001,BD!$A$3:$A$5001,F$3,BD!$B$3:$B$5001,$A$395)))</f>
        <v/>
      </c>
      <c r="G409" s="232" t="str">
        <f>IF(G$3="","",IF(COUNTIFS(BD!$A$3:$A$5001,G$3,BD!$B$3:$B$5001,$A$395,BD!$P$3:$P$5001,"&lt;&gt;")=0,"",SUMIFS(BD!$P$3:$P$5001,BD!$A$3:$A$5001,G$3,BD!$B$3:$B$5001,$A$395)))</f>
        <v/>
      </c>
      <c r="H409" s="232" t="str">
        <f>IF(H$3="","",IF(COUNTIFS(BD!$A$3:$A$5001,H$3,BD!$B$3:$B$5001,$A$395,BD!$P$3:$P$5001,"&lt;&gt;")=0,"",SUMIFS(BD!$P$3:$P$5001,BD!$A$3:$A$5001,H$3,BD!$B$3:$B$5001,$A$395)))</f>
        <v/>
      </c>
      <c r="I409" s="232" t="str">
        <f>IF(I$3="","",IF(COUNTIFS(BD!$A$3:$A$5001,I$3,BD!$B$3:$B$5001,$A$395,BD!$P$3:$P$5001,"&lt;&gt;")=0,"",SUMIFS(BD!$P$3:$P$5001,BD!$A$3:$A$5001,I$3,BD!$B$3:$B$5001,$A$395)))</f>
        <v/>
      </c>
      <c r="J409" s="232" t="str">
        <f>IF(J$3="","",IF(COUNTIFS(BD!$A$3:$A$5001,J$3,BD!$B$3:$B$5001,$A$395,BD!$P$3:$P$5001,"&lt;&gt;")=0,"",SUMIFS(BD!$P$3:$P$5001,BD!$A$3:$A$5001,J$3,BD!$B$3:$B$5001,$A$395)))</f>
        <v/>
      </c>
      <c r="K409" s="232" t="str">
        <f>IF(K$3="","",IF(COUNTIFS(BD!$A$3:$A$5001,K$3,BD!$B$3:$B$5001,$A$395,BD!$P$3:$P$5001,"&lt;&gt;")=0,"",SUMIFS(BD!$P$3:$P$5001,BD!$A$3:$A$5001,K$3,BD!$B$3:$B$5001,$A$395)))</f>
        <v/>
      </c>
      <c r="L409" s="232" t="str">
        <f>IF(L$3="","",IF(COUNTIFS(BD!$A$3:$A$5001,L$3,BD!$B$3:$B$5001,$A$395,BD!$P$3:$P$5001,"&lt;&gt;")=0,"",SUMIFS(BD!$P$3:$P$5001,BD!$A$3:$A$5001,L$3,BD!$B$3:$B$5001,$A$395)))</f>
        <v/>
      </c>
      <c r="M409" s="232" t="str">
        <f>IF(M$3="","",IF(COUNTIFS(BD!$A$3:$A$5001,M$3,BD!$B$3:$B$5001,$A$395,BD!$P$3:$P$5001,"&lt;&gt;")=0,"",SUMIFS(BD!$P$3:$P$5001,BD!$A$3:$A$5001,M$3,BD!$B$3:$B$5001,$A$395)))</f>
        <v/>
      </c>
      <c r="N409" s="232" t="str">
        <f>IF(N$3="","",IF(COUNTIFS(BD!$A$3:$A$5001,N$3,BD!$B$3:$B$5001,$A$395,BD!$P$3:$P$5001,"&lt;&gt;")=0,"",SUMIFS(BD!$P$3:$P$5001,BD!$A$3:$A$5001,N$3,BD!$B$3:$B$5001,$A$395)))</f>
        <v/>
      </c>
      <c r="O409" s="232" t="str">
        <f>IF(O$3="","",IF(COUNTIFS(BD!$A$3:$A$5001,O$3,BD!$B$3:$B$5001,$A$395,BD!$P$3:$P$5001,"&lt;&gt;")=0,"",SUMIFS(BD!$P$3:$P$5001,BD!$A$3:$A$5001,O$3,BD!$B$3:$B$5001,$A$395)))</f>
        <v/>
      </c>
      <c r="P409" s="232" t="str">
        <f>IF(P$3="","",IF(COUNTIFS(BD!$A$3:$A$5001,P$3,BD!$B$3:$B$5001,$A$395,BD!$P$3:$P$5001,"&lt;&gt;")=0,"",SUMIFS(BD!$P$3:$P$5001,BD!$A$3:$A$5001,P$3,BD!$B$3:$B$5001,$A$395)))</f>
        <v/>
      </c>
      <c r="Q409" s="232" t="str">
        <f>IF(Q$3="","",IF(COUNTIFS(BD!$A$3:$A$5001,Q$3,BD!$B$3:$B$5001,$A$395,BD!$P$3:$P$5001,"&lt;&gt;")=0,"",SUMIFS(BD!$P$3:$P$5001,BD!$A$3:$A$5001,Q$3,BD!$B$3:$B$5001,$A$395)))</f>
        <v/>
      </c>
      <c r="R409" s="232" t="str">
        <f>IF(R$3="","",IF(COUNTIFS(BD!$A$3:$A$5001,R$3,BD!$B$3:$B$5001,$A$395,BD!$P$3:$P$5001,"&lt;&gt;")=0,"",SUMIFS(BD!$P$3:$P$5001,BD!$A$3:$A$5001,R$3,BD!$B$3:$B$5001,$A$395)))</f>
        <v/>
      </c>
      <c r="S409" s="232" t="str">
        <f>IF(S$3="","",IF(COUNTIFS(BD!$A$3:$A$5001,S$3,BD!$B$3:$B$5001,$A$395,BD!$P$3:$P$5001,"&lt;&gt;")=0,"",SUMIFS(BD!$P$3:$P$5001,BD!$A$3:$A$5001,S$3,BD!$B$3:$B$5001,$A$395)))</f>
        <v/>
      </c>
      <c r="T409" s="232" t="str">
        <f>IF(T$3="","",IF(COUNTIFS(BD!$A$3:$A$5001,T$3,BD!$B$3:$B$5001,$A$395,BD!$P$3:$P$5001,"&lt;&gt;")=0,"",SUMIFS(BD!$P$3:$P$5001,BD!$A$3:$A$5001,T$3,BD!$B$3:$B$5001,$A$395)))</f>
        <v/>
      </c>
      <c r="U409" s="232" t="str">
        <f>IF(U$3="","",IF(COUNTIFS(BD!$A$3:$A$5001,U$3,BD!$B$3:$B$5001,$A$395,BD!$P$3:$P$5001,"&lt;&gt;")=0,"",SUMIFS(BD!$P$3:$P$5001,BD!$A$3:$A$5001,U$3,BD!$B$3:$B$5001,$A$395)))</f>
        <v/>
      </c>
      <c r="V409" s="232" t="str">
        <f>IF(V$3="","",IF(COUNTIFS(BD!$A$3:$A$5001,V$3,BD!$B$3:$B$5001,$A$395,BD!$P$3:$P$5001,"&lt;&gt;")=0,"",SUMIFS(BD!$P$3:$P$5001,BD!$A$3:$A$5001,V$3,BD!$B$3:$B$5001,$A$395)))</f>
        <v/>
      </c>
      <c r="W409" s="232" t="str">
        <f>IF(W$3="","",IF(COUNTIFS(BD!$A$3:$A$5001,W$3,BD!$B$3:$B$5001,$A$395,BD!$P$3:$P$5001,"&lt;&gt;")=0,"",SUMIFS(BD!$P$3:$P$5001,BD!$A$3:$A$5001,W$3,BD!$B$3:$B$5001,$A$395)))</f>
        <v/>
      </c>
      <c r="X409" s="232" t="str">
        <f>IF(X$3="","",IF(COUNTIFS(BD!$A$3:$A$5001,X$3,BD!$B$3:$B$5001,$A$395,BD!$P$3:$P$5001,"&lt;&gt;")=0,"",SUMIFS(BD!$P$3:$P$5001,BD!$A$3:$A$5001,X$3,BD!$B$3:$B$5001,$A$395)))</f>
        <v/>
      </c>
      <c r="Y409" s="232" t="str">
        <f>IF(Y$3="","",IF(COUNTIFS(BD!$A$3:$A$5001,Y$3,BD!$B$3:$B$5001,$A$395,BD!$P$3:$P$5001,"&lt;&gt;")=0,"",SUMIFS(BD!$P$3:$P$5001,BD!$A$3:$A$5001,Y$3,BD!$B$3:$B$5001,$A$395)))</f>
        <v/>
      </c>
      <c r="Z409" s="232" t="str">
        <f>IF(Z$3="","",IF(COUNTIFS(BD!$A$3:$A$5001,Z$3,BD!$B$3:$B$5001,$A$395,BD!$P$3:$P$5001,"&lt;&gt;")=0,"",SUMIFS(BD!$P$3:$P$5001,BD!$A$3:$A$5001,Z$3,BD!$B$3:$B$5001,$A$395)))</f>
        <v/>
      </c>
      <c r="AA409" s="232" t="str">
        <f>IF(AA$3="","",IF(COUNTIFS(BD!$A$3:$A$5001,AA$3,BD!$B$3:$B$5001,$A$395,BD!$P$3:$P$5001,"&lt;&gt;")=0,"",SUMIFS(BD!$P$3:$P$5001,BD!$A$3:$A$5001,AA$3,BD!$B$3:$B$5001,$A$395)))</f>
        <v/>
      </c>
      <c r="AB409" s="232" t="str">
        <f>IF(AB$3="","",IF(COUNTIFS(BD!$A$3:$A$5001,AB$3,BD!$B$3:$B$5001,$A$395,BD!$P$3:$P$5001,"&lt;&gt;")=0,"",SUMIFS(BD!$P$3:$P$5001,BD!$A$3:$A$5001,AB$3,BD!$B$3:$B$5001,$A$395)))</f>
        <v/>
      </c>
      <c r="AC409" s="232" t="str">
        <f>IF(AC$3="","",IF(COUNTIFS(BD!$A$3:$A$5001,AC$3,BD!$B$3:$B$5001,$A$395,BD!$P$3:$P$5001,"&lt;&gt;")=0,"",SUMIFS(BD!$P$3:$P$5001,BD!$A$3:$A$5001,AC$3,BD!$B$3:$B$5001,$A$395)))</f>
        <v/>
      </c>
      <c r="AD409" s="232" t="str">
        <f>IF(AD$3="","",IF(COUNTIFS(BD!$A$3:$A$5001,AD$3,BD!$B$3:$B$5001,$A$395,BD!$P$3:$P$5001,"&lt;&gt;")=0,"",SUMIFS(BD!$P$3:$P$5001,BD!$A$3:$A$5001,AD$3,BD!$B$3:$B$5001,$A$395)))</f>
        <v/>
      </c>
      <c r="AE409" s="232" t="str">
        <f>IF(AE$3="","",IF(COUNTIFS(BD!$A$3:$A$5001,AE$3,BD!$B$3:$B$5001,$A$395,BD!$P$3:$P$5001,"&lt;&gt;")=0,"",SUMIFS(BD!$P$3:$P$5001,BD!$A$3:$A$5001,AE$3,BD!$B$3:$B$5001,$A$395)))</f>
        <v/>
      </c>
      <c r="AF409" s="232" t="str">
        <f>IF(AF$3="","",IF(COUNTIFS(BD!$A$3:$A$5001,AF$3,BD!$B$3:$B$5001,$A$395,BD!$P$3:$P$5001,"&lt;&gt;")=0,"",SUMIFS(BD!$P$3:$P$5001,BD!$A$3:$A$5001,AF$3,BD!$B$3:$B$5001,$A$395)))</f>
        <v/>
      </c>
      <c r="AG409" s="232" t="str">
        <f>IF(AG$3="","",IF(COUNTIFS(BD!$A$3:$A$5001,AG$3,BD!$B$3:$B$5001,$A$395,BD!$P$3:$P$5001,"&lt;&gt;")=0,"",SUMIFS(BD!$P$3:$P$5001,BD!$A$3:$A$5001,AG$3,BD!$B$3:$B$5001,$A$395)))</f>
        <v/>
      </c>
      <c r="AH409" s="232" t="str">
        <f>IF(AH$3="","",IF(COUNTIFS(BD!$A$3:$A$5001,AH$3,BD!$B$3:$B$5001,$A$395,BD!$P$3:$P$5001,"&lt;&gt;")=0,"",SUMIFS(BD!$P$3:$P$5001,BD!$A$3:$A$5001,AH$3,BD!$B$3:$B$5001,$A$395)))</f>
        <v/>
      </c>
      <c r="AI409" s="232" t="str">
        <f>IF(AI$3="","",IF(COUNTIFS(BD!$A$3:$A$5001,AI$3,BD!$B$3:$B$5001,$A$395,BD!$P$3:$P$5001,"&lt;&gt;")=0,"",SUMIFS(BD!$P$3:$P$5001,BD!$A$3:$A$5001,AI$3,BD!$B$3:$B$5001,$A$395)))</f>
        <v/>
      </c>
      <c r="AJ409" s="233" t="str">
        <f>IF(AJ$3="","",IF(COUNTIFS(BD!$A$3:$A$5001,AJ$3,BD!$B$3:$B$5001,$A$395,BD!$P$3:$P$5001,"&lt;&gt;")=0,"",SUMIFS(BD!$P$3:$P$5001,BD!$A$3:$A$5001,AJ$3,BD!$B$3:$B$5001,$A$395)))</f>
        <v/>
      </c>
      <c r="AK409" s="234" t="str">
        <f>IF(COUNT(F409:AJ409)=0,"",SUM(F409:AJ409))</f>
        <v/>
      </c>
    </row>
    <row r="410" ht="15.75" customHeight="1" hidden="1">
      <c r="A410" s="254"/>
      <c r="B410" s="251"/>
      <c r="C410" s="228" t="inlineStr">
        <is>
          <t xml:space="preserve">Férias</t>
        </is>
      </c>
      <c r="D410" s="229" t="str">
        <f>IFERROR(1/(1/INDEX(BD!$Y$38:$AS$38,MATCH($A$395,BD!$Y$22:$AS$22,0))),"")</f>
        <v/>
      </c>
      <c r="E410" s="230"/>
      <c r="F410" s="231" t="str">
        <f>IF(F$3="","",IF(COUNTIFS(BD!$A$3:$A$5001,F$3,BD!$B$3:$B$5001,$A$395,BD!$Q$3:$Q$5001,"&lt;&gt;")=0,"",SUMIFS(BD!$Q$3:$Q$5001,BD!$A$3:$A$5001,F$3,BD!$B$3:$B$5001,$A$395)))</f>
        <v/>
      </c>
      <c r="G410" s="232" t="str">
        <f>IF(G$3="","",IF(COUNTIFS(BD!$A$3:$A$5001,G$3,BD!$B$3:$B$5001,$A$395,BD!$Q$3:$Q$5001,"&lt;&gt;")=0,"",SUMIFS(BD!$Q$3:$Q$5001,BD!$A$3:$A$5001,G$3,BD!$B$3:$B$5001,$A$395)))</f>
        <v/>
      </c>
      <c r="H410" s="232" t="str">
        <f>IF(H$3="","",IF(COUNTIFS(BD!$A$3:$A$5001,H$3,BD!$B$3:$B$5001,$A$395,BD!$Q$3:$Q$5001,"&lt;&gt;")=0,"",SUMIFS(BD!$Q$3:$Q$5001,BD!$A$3:$A$5001,H$3,BD!$B$3:$B$5001,$A$395)))</f>
        <v/>
      </c>
      <c r="I410" s="232" t="str">
        <f>IF(I$3="","",IF(COUNTIFS(BD!$A$3:$A$5001,I$3,BD!$B$3:$B$5001,$A$395,BD!$Q$3:$Q$5001,"&lt;&gt;")=0,"",SUMIFS(BD!$Q$3:$Q$5001,BD!$A$3:$A$5001,I$3,BD!$B$3:$B$5001,$A$395)))</f>
        <v/>
      </c>
      <c r="J410" s="232" t="str">
        <f>IF(J$3="","",IF(COUNTIFS(BD!$A$3:$A$5001,J$3,BD!$B$3:$B$5001,$A$395,BD!$Q$3:$Q$5001,"&lt;&gt;")=0,"",SUMIFS(BD!$Q$3:$Q$5001,BD!$A$3:$A$5001,J$3,BD!$B$3:$B$5001,$A$395)))</f>
        <v/>
      </c>
      <c r="K410" s="232" t="str">
        <f>IF(K$3="","",IF(COUNTIFS(BD!$A$3:$A$5001,K$3,BD!$B$3:$B$5001,$A$395,BD!$Q$3:$Q$5001,"&lt;&gt;")=0,"",SUMIFS(BD!$Q$3:$Q$5001,BD!$A$3:$A$5001,K$3,BD!$B$3:$B$5001,$A$395)))</f>
        <v/>
      </c>
      <c r="L410" s="232" t="str">
        <f>IF(L$3="","",IF(COUNTIFS(BD!$A$3:$A$5001,L$3,BD!$B$3:$B$5001,$A$395,BD!$Q$3:$Q$5001,"&lt;&gt;")=0,"",SUMIFS(BD!$Q$3:$Q$5001,BD!$A$3:$A$5001,L$3,BD!$B$3:$B$5001,$A$395)))</f>
        <v/>
      </c>
      <c r="M410" s="232" t="str">
        <f>IF(M$3="","",IF(COUNTIFS(BD!$A$3:$A$5001,M$3,BD!$B$3:$B$5001,$A$395,BD!$Q$3:$Q$5001,"&lt;&gt;")=0,"",SUMIFS(BD!$Q$3:$Q$5001,BD!$A$3:$A$5001,M$3,BD!$B$3:$B$5001,$A$395)))</f>
        <v/>
      </c>
      <c r="N410" s="232" t="str">
        <f>IF(N$3="","",IF(COUNTIFS(BD!$A$3:$A$5001,N$3,BD!$B$3:$B$5001,$A$395,BD!$Q$3:$Q$5001,"&lt;&gt;")=0,"",SUMIFS(BD!$Q$3:$Q$5001,BD!$A$3:$A$5001,N$3,BD!$B$3:$B$5001,$A$395)))</f>
        <v/>
      </c>
      <c r="O410" s="232" t="str">
        <f>IF(O$3="","",IF(COUNTIFS(BD!$A$3:$A$5001,O$3,BD!$B$3:$B$5001,$A$395,BD!$Q$3:$Q$5001,"&lt;&gt;")=0,"",SUMIFS(BD!$Q$3:$Q$5001,BD!$A$3:$A$5001,O$3,BD!$B$3:$B$5001,$A$395)))</f>
        <v/>
      </c>
      <c r="P410" s="232" t="str">
        <f>IF(P$3="","",IF(COUNTIFS(BD!$A$3:$A$5001,P$3,BD!$B$3:$B$5001,$A$395,BD!$Q$3:$Q$5001,"&lt;&gt;")=0,"",SUMIFS(BD!$Q$3:$Q$5001,BD!$A$3:$A$5001,P$3,BD!$B$3:$B$5001,$A$395)))</f>
        <v/>
      </c>
      <c r="Q410" s="232" t="str">
        <f>IF(Q$3="","",IF(COUNTIFS(BD!$A$3:$A$5001,Q$3,BD!$B$3:$B$5001,$A$395,BD!$Q$3:$Q$5001,"&lt;&gt;")=0,"",SUMIFS(BD!$Q$3:$Q$5001,BD!$A$3:$A$5001,Q$3,BD!$B$3:$B$5001,$A$395)))</f>
        <v/>
      </c>
      <c r="R410" s="232" t="str">
        <f>IF(R$3="","",IF(COUNTIFS(BD!$A$3:$A$5001,R$3,BD!$B$3:$B$5001,$A$395,BD!$Q$3:$Q$5001,"&lt;&gt;")=0,"",SUMIFS(BD!$Q$3:$Q$5001,BD!$A$3:$A$5001,R$3,BD!$B$3:$B$5001,$A$395)))</f>
        <v/>
      </c>
      <c r="S410" s="232" t="str">
        <f>IF(S$3="","",IF(COUNTIFS(BD!$A$3:$A$5001,S$3,BD!$B$3:$B$5001,$A$395,BD!$Q$3:$Q$5001,"&lt;&gt;")=0,"",SUMIFS(BD!$Q$3:$Q$5001,BD!$A$3:$A$5001,S$3,BD!$B$3:$B$5001,$A$395)))</f>
        <v/>
      </c>
      <c r="T410" s="232" t="str">
        <f>IF(T$3="","",IF(COUNTIFS(BD!$A$3:$A$5001,T$3,BD!$B$3:$B$5001,$A$395,BD!$Q$3:$Q$5001,"&lt;&gt;")=0,"",SUMIFS(BD!$Q$3:$Q$5001,BD!$A$3:$A$5001,T$3,BD!$B$3:$B$5001,$A$395)))</f>
        <v/>
      </c>
      <c r="U410" s="232" t="str">
        <f>IF(U$3="","",IF(COUNTIFS(BD!$A$3:$A$5001,U$3,BD!$B$3:$B$5001,$A$395,BD!$Q$3:$Q$5001,"&lt;&gt;")=0,"",SUMIFS(BD!$Q$3:$Q$5001,BD!$A$3:$A$5001,U$3,BD!$B$3:$B$5001,$A$395)))</f>
        <v/>
      </c>
      <c r="V410" s="232" t="str">
        <f>IF(V$3="","",IF(COUNTIFS(BD!$A$3:$A$5001,V$3,BD!$B$3:$B$5001,$A$395,BD!$Q$3:$Q$5001,"&lt;&gt;")=0,"",SUMIFS(BD!$Q$3:$Q$5001,BD!$A$3:$A$5001,V$3,BD!$B$3:$B$5001,$A$395)))</f>
        <v/>
      </c>
      <c r="W410" s="232" t="str">
        <f>IF(W$3="","",IF(COUNTIFS(BD!$A$3:$A$5001,W$3,BD!$B$3:$B$5001,$A$395,BD!$Q$3:$Q$5001,"&lt;&gt;")=0,"",SUMIFS(BD!$Q$3:$Q$5001,BD!$A$3:$A$5001,W$3,BD!$B$3:$B$5001,$A$395)))</f>
        <v/>
      </c>
      <c r="X410" s="232" t="str">
        <f>IF(X$3="","",IF(COUNTIFS(BD!$A$3:$A$5001,X$3,BD!$B$3:$B$5001,$A$395,BD!$Q$3:$Q$5001,"&lt;&gt;")=0,"",SUMIFS(BD!$Q$3:$Q$5001,BD!$A$3:$A$5001,X$3,BD!$B$3:$B$5001,$A$395)))</f>
        <v/>
      </c>
      <c r="Y410" s="232" t="str">
        <f>IF(Y$3="","",IF(COUNTIFS(BD!$A$3:$A$5001,Y$3,BD!$B$3:$B$5001,$A$395,BD!$Q$3:$Q$5001,"&lt;&gt;")=0,"",SUMIFS(BD!$Q$3:$Q$5001,BD!$A$3:$A$5001,Y$3,BD!$B$3:$B$5001,$A$395)))</f>
        <v/>
      </c>
      <c r="Z410" s="232" t="str">
        <f>IF(Z$3="","",IF(COUNTIFS(BD!$A$3:$A$5001,Z$3,BD!$B$3:$B$5001,$A$395,BD!$Q$3:$Q$5001,"&lt;&gt;")=0,"",SUMIFS(BD!$Q$3:$Q$5001,BD!$A$3:$A$5001,Z$3,BD!$B$3:$B$5001,$A$395)))</f>
        <v/>
      </c>
      <c r="AA410" s="232" t="str">
        <f>IF(AA$3="","",IF(COUNTIFS(BD!$A$3:$A$5001,AA$3,BD!$B$3:$B$5001,$A$395,BD!$Q$3:$Q$5001,"&lt;&gt;")=0,"",SUMIFS(BD!$Q$3:$Q$5001,BD!$A$3:$A$5001,AA$3,BD!$B$3:$B$5001,$A$395)))</f>
        <v/>
      </c>
      <c r="AB410" s="232" t="str">
        <f>IF(AB$3="","",IF(COUNTIFS(BD!$A$3:$A$5001,AB$3,BD!$B$3:$B$5001,$A$395,BD!$Q$3:$Q$5001,"&lt;&gt;")=0,"",SUMIFS(BD!$Q$3:$Q$5001,BD!$A$3:$A$5001,AB$3,BD!$B$3:$B$5001,$A$395)))</f>
        <v/>
      </c>
      <c r="AC410" s="232" t="str">
        <f>IF(AC$3="","",IF(COUNTIFS(BD!$A$3:$A$5001,AC$3,BD!$B$3:$B$5001,$A$395,BD!$Q$3:$Q$5001,"&lt;&gt;")=0,"",SUMIFS(BD!$Q$3:$Q$5001,BD!$A$3:$A$5001,AC$3,BD!$B$3:$B$5001,$A$395)))</f>
        <v/>
      </c>
      <c r="AD410" s="232" t="str">
        <f>IF(AD$3="","",IF(COUNTIFS(BD!$A$3:$A$5001,AD$3,BD!$B$3:$B$5001,$A$395,BD!$Q$3:$Q$5001,"&lt;&gt;")=0,"",SUMIFS(BD!$Q$3:$Q$5001,BD!$A$3:$A$5001,AD$3,BD!$B$3:$B$5001,$A$395)))</f>
        <v/>
      </c>
      <c r="AE410" s="232" t="str">
        <f>IF(AE$3="","",IF(COUNTIFS(BD!$A$3:$A$5001,AE$3,BD!$B$3:$B$5001,$A$395,BD!$Q$3:$Q$5001,"&lt;&gt;")=0,"",SUMIFS(BD!$Q$3:$Q$5001,BD!$A$3:$A$5001,AE$3,BD!$B$3:$B$5001,$A$395)))</f>
        <v/>
      </c>
      <c r="AF410" s="232" t="str">
        <f>IF(AF$3="","",IF(COUNTIFS(BD!$A$3:$A$5001,AF$3,BD!$B$3:$B$5001,$A$395,BD!$Q$3:$Q$5001,"&lt;&gt;")=0,"",SUMIFS(BD!$Q$3:$Q$5001,BD!$A$3:$A$5001,AF$3,BD!$B$3:$B$5001,$A$395)))</f>
        <v/>
      </c>
      <c r="AG410" s="232" t="str">
        <f>IF(AG$3="","",IF(COUNTIFS(BD!$A$3:$A$5001,AG$3,BD!$B$3:$B$5001,$A$395,BD!$Q$3:$Q$5001,"&lt;&gt;")=0,"",SUMIFS(BD!$Q$3:$Q$5001,BD!$A$3:$A$5001,AG$3,BD!$B$3:$B$5001,$A$395)))</f>
        <v/>
      </c>
      <c r="AH410" s="232" t="str">
        <f>IF(AH$3="","",IF(COUNTIFS(BD!$A$3:$A$5001,AH$3,BD!$B$3:$B$5001,$A$395,BD!$Q$3:$Q$5001,"&lt;&gt;")=0,"",SUMIFS(BD!$Q$3:$Q$5001,BD!$A$3:$A$5001,AH$3,BD!$B$3:$B$5001,$A$395)))</f>
        <v/>
      </c>
      <c r="AI410" s="232" t="str">
        <f>IF(AI$3="","",IF(COUNTIFS(BD!$A$3:$A$5001,AI$3,BD!$B$3:$B$5001,$A$395,BD!$Q$3:$Q$5001,"&lt;&gt;")=0,"",SUMIFS(BD!$Q$3:$Q$5001,BD!$A$3:$A$5001,AI$3,BD!$B$3:$B$5001,$A$395)))</f>
        <v/>
      </c>
      <c r="AJ410" s="233" t="str">
        <f>IF(AJ$3="","",IF(COUNTIFS(BD!$A$3:$A$5001,AJ$3,BD!$B$3:$B$5001,$A$395,BD!$Q$3:$Q$5001,"&lt;&gt;")=0,"",SUMIFS(BD!$Q$3:$Q$5001,BD!$A$3:$A$5001,AJ$3,BD!$B$3:$B$5001,$A$395)))</f>
        <v/>
      </c>
      <c r="AK410" s="234" t="str">
        <f>IF(COUNT(F410:AJ410)=0,"",SUM(F410:AJ410))</f>
        <v/>
      </c>
    </row>
    <row r="411" ht="15.75" customHeight="1" hidden="1">
      <c r="A411" s="254"/>
      <c r="B411" s="251"/>
      <c r="C411" s="228" t="inlineStr">
        <is>
          <t xml:space="preserve">Desligamento</t>
        </is>
      </c>
      <c r="D411" s="229" t="str">
        <f>IFERROR(1/(1/INDEX(BD!$Y$39:$AS$39,MATCH($A$395,BD!$Y$22:$AS$22,0))),"")</f>
        <v/>
      </c>
      <c r="E411" s="230"/>
      <c r="F411" s="231" t="str">
        <f>IF(F$3="","",IF(COUNTIFS(BD!$A$3:$A$5001,F$3,BD!$B$3:$B$5001,$A$395,BD!$R$3:$R$5001,"&lt;&gt;")=0,"",SUMIFS(BD!$R$3:$R$5001,BD!$A$3:$A$5001,F$3,BD!$B$3:$B$5001,$A$395)))</f>
        <v/>
      </c>
      <c r="G411" s="232" t="str">
        <f>IF(G$3="","",IF(COUNTIFS(BD!$A$3:$A$5001,G$3,BD!$B$3:$B$5001,$A$395,BD!$R$3:$R$5001,"&lt;&gt;")=0,"",SUMIFS(BD!$R$3:$R$5001,BD!$A$3:$A$5001,G$3,BD!$B$3:$B$5001,$A$395)))</f>
        <v/>
      </c>
      <c r="H411" s="232" t="str">
        <f>IF(H$3="","",IF(COUNTIFS(BD!$A$3:$A$5001,H$3,BD!$B$3:$B$5001,$A$395,BD!$R$3:$R$5001,"&lt;&gt;")=0,"",SUMIFS(BD!$R$3:$R$5001,BD!$A$3:$A$5001,H$3,BD!$B$3:$B$5001,$A$395)))</f>
        <v/>
      </c>
      <c r="I411" s="232" t="str">
        <f>IF(I$3="","",IF(COUNTIFS(BD!$A$3:$A$5001,I$3,BD!$B$3:$B$5001,$A$395,BD!$R$3:$R$5001,"&lt;&gt;")=0,"",SUMIFS(BD!$R$3:$R$5001,BD!$A$3:$A$5001,I$3,BD!$B$3:$B$5001,$A$395)))</f>
        <v/>
      </c>
      <c r="J411" s="232" t="str">
        <f>IF(J$3="","",IF(COUNTIFS(BD!$A$3:$A$5001,J$3,BD!$B$3:$B$5001,$A$395,BD!$R$3:$R$5001,"&lt;&gt;")=0,"",SUMIFS(BD!$R$3:$R$5001,BD!$A$3:$A$5001,J$3,BD!$B$3:$B$5001,$A$395)))</f>
        <v/>
      </c>
      <c r="K411" s="232" t="str">
        <f>IF(K$3="","",IF(COUNTIFS(BD!$A$3:$A$5001,K$3,BD!$B$3:$B$5001,$A$395,BD!$R$3:$R$5001,"&lt;&gt;")=0,"",SUMIFS(BD!$R$3:$R$5001,BD!$A$3:$A$5001,K$3,BD!$B$3:$B$5001,$A$395)))</f>
        <v/>
      </c>
      <c r="L411" s="232" t="str">
        <f>IF(L$3="","",IF(COUNTIFS(BD!$A$3:$A$5001,L$3,BD!$B$3:$B$5001,$A$395,BD!$R$3:$R$5001,"&lt;&gt;")=0,"",SUMIFS(BD!$R$3:$R$5001,BD!$A$3:$A$5001,L$3,BD!$B$3:$B$5001,$A$395)))</f>
        <v/>
      </c>
      <c r="M411" s="232" t="str">
        <f>IF(M$3="","",IF(COUNTIFS(BD!$A$3:$A$5001,M$3,BD!$B$3:$B$5001,$A$395,BD!$R$3:$R$5001,"&lt;&gt;")=0,"",SUMIFS(BD!$R$3:$R$5001,BD!$A$3:$A$5001,M$3,BD!$B$3:$B$5001,$A$395)))</f>
        <v/>
      </c>
      <c r="N411" s="232" t="str">
        <f>IF(N$3="","",IF(COUNTIFS(BD!$A$3:$A$5001,N$3,BD!$B$3:$B$5001,$A$395,BD!$R$3:$R$5001,"&lt;&gt;")=0,"",SUMIFS(BD!$R$3:$R$5001,BD!$A$3:$A$5001,N$3,BD!$B$3:$B$5001,$A$395)))</f>
        <v/>
      </c>
      <c r="O411" s="232" t="str">
        <f>IF(O$3="","",IF(COUNTIFS(BD!$A$3:$A$5001,O$3,BD!$B$3:$B$5001,$A$395,BD!$R$3:$R$5001,"&lt;&gt;")=0,"",SUMIFS(BD!$R$3:$R$5001,BD!$A$3:$A$5001,O$3,BD!$B$3:$B$5001,$A$395)))</f>
        <v/>
      </c>
      <c r="P411" s="232" t="str">
        <f>IF(P$3="","",IF(COUNTIFS(BD!$A$3:$A$5001,P$3,BD!$B$3:$B$5001,$A$395,BD!$R$3:$R$5001,"&lt;&gt;")=0,"",SUMIFS(BD!$R$3:$R$5001,BD!$A$3:$A$5001,P$3,BD!$B$3:$B$5001,$A$395)))</f>
        <v/>
      </c>
      <c r="Q411" s="232" t="str">
        <f>IF(Q$3="","",IF(COUNTIFS(BD!$A$3:$A$5001,Q$3,BD!$B$3:$B$5001,$A$395,BD!$R$3:$R$5001,"&lt;&gt;")=0,"",SUMIFS(BD!$R$3:$R$5001,BD!$A$3:$A$5001,Q$3,BD!$B$3:$B$5001,$A$395)))</f>
        <v/>
      </c>
      <c r="R411" s="232" t="str">
        <f>IF(R$3="","",IF(COUNTIFS(BD!$A$3:$A$5001,R$3,BD!$B$3:$B$5001,$A$395,BD!$R$3:$R$5001,"&lt;&gt;")=0,"",SUMIFS(BD!$R$3:$R$5001,BD!$A$3:$A$5001,R$3,BD!$B$3:$B$5001,$A$395)))</f>
        <v/>
      </c>
      <c r="S411" s="232" t="str">
        <f>IF(S$3="","",IF(COUNTIFS(BD!$A$3:$A$5001,S$3,BD!$B$3:$B$5001,$A$395,BD!$R$3:$R$5001,"&lt;&gt;")=0,"",SUMIFS(BD!$R$3:$R$5001,BD!$A$3:$A$5001,S$3,BD!$B$3:$B$5001,$A$395)))</f>
        <v/>
      </c>
      <c r="T411" s="232" t="str">
        <f>IF(T$3="","",IF(COUNTIFS(BD!$A$3:$A$5001,T$3,BD!$B$3:$B$5001,$A$395,BD!$R$3:$R$5001,"&lt;&gt;")=0,"",SUMIFS(BD!$R$3:$R$5001,BD!$A$3:$A$5001,T$3,BD!$B$3:$B$5001,$A$395)))</f>
        <v/>
      </c>
      <c r="U411" s="232" t="str">
        <f>IF(U$3="","",IF(COUNTIFS(BD!$A$3:$A$5001,U$3,BD!$B$3:$B$5001,$A$395,BD!$R$3:$R$5001,"&lt;&gt;")=0,"",SUMIFS(BD!$R$3:$R$5001,BD!$A$3:$A$5001,U$3,BD!$B$3:$B$5001,$A$395)))</f>
        <v/>
      </c>
      <c r="V411" s="232" t="str">
        <f>IF(V$3="","",IF(COUNTIFS(BD!$A$3:$A$5001,V$3,BD!$B$3:$B$5001,$A$395,BD!$R$3:$R$5001,"&lt;&gt;")=0,"",SUMIFS(BD!$R$3:$R$5001,BD!$A$3:$A$5001,V$3,BD!$B$3:$B$5001,$A$395)))</f>
        <v/>
      </c>
      <c r="W411" s="232" t="str">
        <f>IF(W$3="","",IF(COUNTIFS(BD!$A$3:$A$5001,W$3,BD!$B$3:$B$5001,$A$395,BD!$R$3:$R$5001,"&lt;&gt;")=0,"",SUMIFS(BD!$R$3:$R$5001,BD!$A$3:$A$5001,W$3,BD!$B$3:$B$5001,$A$395)))</f>
        <v/>
      </c>
      <c r="X411" s="232" t="str">
        <f>IF(X$3="","",IF(COUNTIFS(BD!$A$3:$A$5001,X$3,BD!$B$3:$B$5001,$A$395,BD!$R$3:$R$5001,"&lt;&gt;")=0,"",SUMIFS(BD!$R$3:$R$5001,BD!$A$3:$A$5001,X$3,BD!$B$3:$B$5001,$A$395)))</f>
        <v/>
      </c>
      <c r="Y411" s="232" t="str">
        <f>IF(Y$3="","",IF(COUNTIFS(BD!$A$3:$A$5001,Y$3,BD!$B$3:$B$5001,$A$395,BD!$R$3:$R$5001,"&lt;&gt;")=0,"",SUMIFS(BD!$R$3:$R$5001,BD!$A$3:$A$5001,Y$3,BD!$B$3:$B$5001,$A$395)))</f>
        <v/>
      </c>
      <c r="Z411" s="232" t="str">
        <f>IF(Z$3="","",IF(COUNTIFS(BD!$A$3:$A$5001,Z$3,BD!$B$3:$B$5001,$A$395,BD!$R$3:$R$5001,"&lt;&gt;")=0,"",SUMIFS(BD!$R$3:$R$5001,BD!$A$3:$A$5001,Z$3,BD!$B$3:$B$5001,$A$395)))</f>
        <v/>
      </c>
      <c r="AA411" s="232" t="str">
        <f>IF(AA$3="","",IF(COUNTIFS(BD!$A$3:$A$5001,AA$3,BD!$B$3:$B$5001,$A$395,BD!$R$3:$R$5001,"&lt;&gt;")=0,"",SUMIFS(BD!$R$3:$R$5001,BD!$A$3:$A$5001,AA$3,BD!$B$3:$B$5001,$A$395)))</f>
        <v/>
      </c>
      <c r="AB411" s="232" t="str">
        <f>IF(AB$3="","",IF(COUNTIFS(BD!$A$3:$A$5001,AB$3,BD!$B$3:$B$5001,$A$395,BD!$R$3:$R$5001,"&lt;&gt;")=0,"",SUMIFS(BD!$R$3:$R$5001,BD!$A$3:$A$5001,AB$3,BD!$B$3:$B$5001,$A$395)))</f>
        <v/>
      </c>
      <c r="AC411" s="232" t="str">
        <f>IF(AC$3="","",IF(COUNTIFS(BD!$A$3:$A$5001,AC$3,BD!$B$3:$B$5001,$A$395,BD!$R$3:$R$5001,"&lt;&gt;")=0,"",SUMIFS(BD!$R$3:$R$5001,BD!$A$3:$A$5001,AC$3,BD!$B$3:$B$5001,$A$395)))</f>
        <v/>
      </c>
      <c r="AD411" s="232" t="str">
        <f>IF(AD$3="","",IF(COUNTIFS(BD!$A$3:$A$5001,AD$3,BD!$B$3:$B$5001,$A$395,BD!$R$3:$R$5001,"&lt;&gt;")=0,"",SUMIFS(BD!$R$3:$R$5001,BD!$A$3:$A$5001,AD$3,BD!$B$3:$B$5001,$A$395)))</f>
        <v/>
      </c>
      <c r="AE411" s="232" t="str">
        <f>IF(AE$3="","",IF(COUNTIFS(BD!$A$3:$A$5001,AE$3,BD!$B$3:$B$5001,$A$395,BD!$R$3:$R$5001,"&lt;&gt;")=0,"",SUMIFS(BD!$R$3:$R$5001,BD!$A$3:$A$5001,AE$3,BD!$B$3:$B$5001,$A$395)))</f>
        <v/>
      </c>
      <c r="AF411" s="232" t="str">
        <f>IF(AF$3="","",IF(COUNTIFS(BD!$A$3:$A$5001,AF$3,BD!$B$3:$B$5001,$A$395,BD!$R$3:$R$5001,"&lt;&gt;")=0,"",SUMIFS(BD!$R$3:$R$5001,BD!$A$3:$A$5001,AF$3,BD!$B$3:$B$5001,$A$395)))</f>
        <v/>
      </c>
      <c r="AG411" s="232" t="str">
        <f>IF(AG$3="","",IF(COUNTIFS(BD!$A$3:$A$5001,AG$3,BD!$B$3:$B$5001,$A$395,BD!$R$3:$R$5001,"&lt;&gt;")=0,"",SUMIFS(BD!$R$3:$R$5001,BD!$A$3:$A$5001,AG$3,BD!$B$3:$B$5001,$A$395)))</f>
        <v/>
      </c>
      <c r="AH411" s="232" t="str">
        <f>IF(AH$3="","",IF(COUNTIFS(BD!$A$3:$A$5001,AH$3,BD!$B$3:$B$5001,$A$395,BD!$R$3:$R$5001,"&lt;&gt;")=0,"",SUMIFS(BD!$R$3:$R$5001,BD!$A$3:$A$5001,AH$3,BD!$B$3:$B$5001,$A$395)))</f>
        <v/>
      </c>
      <c r="AI411" s="232" t="str">
        <f>IF(AI$3="","",IF(COUNTIFS(BD!$A$3:$A$5001,AI$3,BD!$B$3:$B$5001,$A$395,BD!$R$3:$R$5001,"&lt;&gt;")=0,"",SUMIFS(BD!$R$3:$R$5001,BD!$A$3:$A$5001,AI$3,BD!$B$3:$B$5001,$A$395)))</f>
        <v/>
      </c>
      <c r="AJ411" s="233" t="str">
        <f>IF(AJ$3="","",IF(COUNTIFS(BD!$A$3:$A$5001,AJ$3,BD!$B$3:$B$5001,$A$395,BD!$R$3:$R$5001,"&lt;&gt;")=0,"",SUMIFS(BD!$R$3:$R$5001,BD!$A$3:$A$5001,AJ$3,BD!$B$3:$B$5001,$A$395)))</f>
        <v/>
      </c>
      <c r="AK411" s="234" t="str">
        <f>IF(COUNT(F411:AJ411)=0,"",SUM(F411:AJ411))</f>
        <v/>
      </c>
    </row>
    <row r="412" ht="15.75" customHeight="1" hidden="1">
      <c r="A412" s="254"/>
      <c r="B412" s="251"/>
      <c r="C412" s="228" t="inlineStr">
        <is>
          <t xml:space="preserve">Desvios Comportamentais</t>
        </is>
      </c>
      <c r="D412" s="229" t="str">
        <f>IFERROR(1/(1/INDEX(BD!$Y$40:$AS$40,MATCH($A$395,BD!$Y$22:$AS$22,0))),"")</f>
        <v/>
      </c>
      <c r="E412" s="230"/>
      <c r="F412" s="231" t="str">
        <f>IF(F$3="","",IF(COUNTIFS(BD!$A$3:$A$5001,F$3,BD!$B$3:$B$5001,$A$395,BD!$S$3:$S$5001,"&lt;&gt;")=0,"",SUMIFS(BD!$S$3:$S$5001,BD!$A$3:$A$5001,F$3,BD!$B$3:$B$5001,$A$395)))</f>
        <v/>
      </c>
      <c r="G412" s="232" t="str">
        <f>IF(G$3="","",IF(COUNTIFS(BD!$A$3:$A$5001,G$3,BD!$B$3:$B$5001,$A$395,BD!$S$3:$S$5001,"&lt;&gt;")=0,"",SUMIFS(BD!$S$3:$S$5001,BD!$A$3:$A$5001,G$3,BD!$B$3:$B$5001,$A$395)))</f>
        <v/>
      </c>
      <c r="H412" s="232" t="str">
        <f>IF(H$3="","",IF(COUNTIFS(BD!$A$3:$A$5001,H$3,BD!$B$3:$B$5001,$A$395,BD!$S$3:$S$5001,"&lt;&gt;")=0,"",SUMIFS(BD!$S$3:$S$5001,BD!$A$3:$A$5001,H$3,BD!$B$3:$B$5001,$A$395)))</f>
        <v/>
      </c>
      <c r="I412" s="232" t="str">
        <f>IF(I$3="","",IF(COUNTIFS(BD!$A$3:$A$5001,I$3,BD!$B$3:$B$5001,$A$395,BD!$S$3:$S$5001,"&lt;&gt;")=0,"",SUMIFS(BD!$S$3:$S$5001,BD!$A$3:$A$5001,I$3,BD!$B$3:$B$5001,$A$395)))</f>
        <v/>
      </c>
      <c r="J412" s="232" t="str">
        <f>IF(J$3="","",IF(COUNTIFS(BD!$A$3:$A$5001,J$3,BD!$B$3:$B$5001,$A$395,BD!$S$3:$S$5001,"&lt;&gt;")=0,"",SUMIFS(BD!$S$3:$S$5001,BD!$A$3:$A$5001,J$3,BD!$B$3:$B$5001,$A$395)))</f>
        <v/>
      </c>
      <c r="K412" s="232" t="str">
        <f>IF(K$3="","",IF(COUNTIFS(BD!$A$3:$A$5001,K$3,BD!$B$3:$B$5001,$A$395,BD!$S$3:$S$5001,"&lt;&gt;")=0,"",SUMIFS(BD!$S$3:$S$5001,BD!$A$3:$A$5001,K$3,BD!$B$3:$B$5001,$A$395)))</f>
        <v/>
      </c>
      <c r="L412" s="232" t="str">
        <f>IF(L$3="","",IF(COUNTIFS(BD!$A$3:$A$5001,L$3,BD!$B$3:$B$5001,$A$395,BD!$S$3:$S$5001,"&lt;&gt;")=0,"",SUMIFS(BD!$S$3:$S$5001,BD!$A$3:$A$5001,L$3,BD!$B$3:$B$5001,$A$395)))</f>
        <v/>
      </c>
      <c r="M412" s="232" t="str">
        <f>IF(M$3="","",IF(COUNTIFS(BD!$A$3:$A$5001,M$3,BD!$B$3:$B$5001,$A$395,BD!$S$3:$S$5001,"&lt;&gt;")=0,"",SUMIFS(BD!$S$3:$S$5001,BD!$A$3:$A$5001,M$3,BD!$B$3:$B$5001,$A$395)))</f>
        <v/>
      </c>
      <c r="N412" s="232" t="str">
        <f>IF(N$3="","",IF(COUNTIFS(BD!$A$3:$A$5001,N$3,BD!$B$3:$B$5001,$A$395,BD!$S$3:$S$5001,"&lt;&gt;")=0,"",SUMIFS(BD!$S$3:$S$5001,BD!$A$3:$A$5001,N$3,BD!$B$3:$B$5001,$A$395)))</f>
        <v/>
      </c>
      <c r="O412" s="232" t="str">
        <f>IF(O$3="","",IF(COUNTIFS(BD!$A$3:$A$5001,O$3,BD!$B$3:$B$5001,$A$395,BD!$S$3:$S$5001,"&lt;&gt;")=0,"",SUMIFS(BD!$S$3:$S$5001,BD!$A$3:$A$5001,O$3,BD!$B$3:$B$5001,$A$395)))</f>
        <v/>
      </c>
      <c r="P412" s="232" t="str">
        <f>IF(P$3="","",IF(COUNTIFS(BD!$A$3:$A$5001,P$3,BD!$B$3:$B$5001,$A$395,BD!$S$3:$S$5001,"&lt;&gt;")=0,"",SUMIFS(BD!$S$3:$S$5001,BD!$A$3:$A$5001,P$3,BD!$B$3:$B$5001,$A$395)))</f>
        <v/>
      </c>
      <c r="Q412" s="232" t="str">
        <f>IF(Q$3="","",IF(COUNTIFS(BD!$A$3:$A$5001,Q$3,BD!$B$3:$B$5001,$A$395,BD!$S$3:$S$5001,"&lt;&gt;")=0,"",SUMIFS(BD!$S$3:$S$5001,BD!$A$3:$A$5001,Q$3,BD!$B$3:$B$5001,$A$395)))</f>
        <v/>
      </c>
      <c r="R412" s="232" t="str">
        <f>IF(R$3="","",IF(COUNTIFS(BD!$A$3:$A$5001,R$3,BD!$B$3:$B$5001,$A$395,BD!$S$3:$S$5001,"&lt;&gt;")=0,"",SUMIFS(BD!$S$3:$S$5001,BD!$A$3:$A$5001,R$3,BD!$B$3:$B$5001,$A$395)))</f>
        <v/>
      </c>
      <c r="S412" s="232" t="str">
        <f>IF(S$3="","",IF(COUNTIFS(BD!$A$3:$A$5001,S$3,BD!$B$3:$B$5001,$A$395,BD!$S$3:$S$5001,"&lt;&gt;")=0,"",SUMIFS(BD!$S$3:$S$5001,BD!$A$3:$A$5001,S$3,BD!$B$3:$B$5001,$A$395)))</f>
        <v/>
      </c>
      <c r="T412" s="232" t="str">
        <f>IF(T$3="","",IF(COUNTIFS(BD!$A$3:$A$5001,T$3,BD!$B$3:$B$5001,$A$395,BD!$S$3:$S$5001,"&lt;&gt;")=0,"",SUMIFS(BD!$S$3:$S$5001,BD!$A$3:$A$5001,T$3,BD!$B$3:$B$5001,$A$395)))</f>
        <v/>
      </c>
      <c r="U412" s="232" t="str">
        <f>IF(U$3="","",IF(COUNTIFS(BD!$A$3:$A$5001,U$3,BD!$B$3:$B$5001,$A$395,BD!$S$3:$S$5001,"&lt;&gt;")=0,"",SUMIFS(BD!$S$3:$S$5001,BD!$A$3:$A$5001,U$3,BD!$B$3:$B$5001,$A$395)))</f>
        <v/>
      </c>
      <c r="V412" s="232" t="str">
        <f>IF(V$3="","",IF(COUNTIFS(BD!$A$3:$A$5001,V$3,BD!$B$3:$B$5001,$A$395,BD!$S$3:$S$5001,"&lt;&gt;")=0,"",SUMIFS(BD!$S$3:$S$5001,BD!$A$3:$A$5001,V$3,BD!$B$3:$B$5001,$A$395)))</f>
        <v/>
      </c>
      <c r="W412" s="232" t="str">
        <f>IF(W$3="","",IF(COUNTIFS(BD!$A$3:$A$5001,W$3,BD!$B$3:$B$5001,$A$395,BD!$S$3:$S$5001,"&lt;&gt;")=0,"",SUMIFS(BD!$S$3:$S$5001,BD!$A$3:$A$5001,W$3,BD!$B$3:$B$5001,$A$395)))</f>
        <v/>
      </c>
      <c r="X412" s="232" t="str">
        <f>IF(X$3="","",IF(COUNTIFS(BD!$A$3:$A$5001,X$3,BD!$B$3:$B$5001,$A$395,BD!$S$3:$S$5001,"&lt;&gt;")=0,"",SUMIFS(BD!$S$3:$S$5001,BD!$A$3:$A$5001,X$3,BD!$B$3:$B$5001,$A$395)))</f>
        <v/>
      </c>
      <c r="Y412" s="232" t="str">
        <f>IF(Y$3="","",IF(COUNTIFS(BD!$A$3:$A$5001,Y$3,BD!$B$3:$B$5001,$A$395,BD!$S$3:$S$5001,"&lt;&gt;")=0,"",SUMIFS(BD!$S$3:$S$5001,BD!$A$3:$A$5001,Y$3,BD!$B$3:$B$5001,$A$395)))</f>
        <v/>
      </c>
      <c r="Z412" s="232" t="str">
        <f>IF(Z$3="","",IF(COUNTIFS(BD!$A$3:$A$5001,Z$3,BD!$B$3:$B$5001,$A$395,BD!$S$3:$S$5001,"&lt;&gt;")=0,"",SUMIFS(BD!$S$3:$S$5001,BD!$A$3:$A$5001,Z$3,BD!$B$3:$B$5001,$A$395)))</f>
        <v/>
      </c>
      <c r="AA412" s="232" t="str">
        <f>IF(AA$3="","",IF(COUNTIFS(BD!$A$3:$A$5001,AA$3,BD!$B$3:$B$5001,$A$395,BD!$S$3:$S$5001,"&lt;&gt;")=0,"",SUMIFS(BD!$S$3:$S$5001,BD!$A$3:$A$5001,AA$3,BD!$B$3:$B$5001,$A$395)))</f>
        <v/>
      </c>
      <c r="AB412" s="232" t="str">
        <f>IF(AB$3="","",IF(COUNTIFS(BD!$A$3:$A$5001,AB$3,BD!$B$3:$B$5001,$A$395,BD!$S$3:$S$5001,"&lt;&gt;")=0,"",SUMIFS(BD!$S$3:$S$5001,BD!$A$3:$A$5001,AB$3,BD!$B$3:$B$5001,$A$395)))</f>
        <v/>
      </c>
      <c r="AC412" s="232" t="str">
        <f>IF(AC$3="","",IF(COUNTIFS(BD!$A$3:$A$5001,AC$3,BD!$B$3:$B$5001,$A$395,BD!$S$3:$S$5001,"&lt;&gt;")=0,"",SUMIFS(BD!$S$3:$S$5001,BD!$A$3:$A$5001,AC$3,BD!$B$3:$B$5001,$A$395)))</f>
        <v/>
      </c>
      <c r="AD412" s="232" t="str">
        <f>IF(AD$3="","",IF(COUNTIFS(BD!$A$3:$A$5001,AD$3,BD!$B$3:$B$5001,$A$395,BD!$S$3:$S$5001,"&lt;&gt;")=0,"",SUMIFS(BD!$S$3:$S$5001,BD!$A$3:$A$5001,AD$3,BD!$B$3:$B$5001,$A$395)))</f>
        <v/>
      </c>
      <c r="AE412" s="232" t="str">
        <f>IF(AE$3="","",IF(COUNTIFS(BD!$A$3:$A$5001,AE$3,BD!$B$3:$B$5001,$A$395,BD!$S$3:$S$5001,"&lt;&gt;")=0,"",SUMIFS(BD!$S$3:$S$5001,BD!$A$3:$A$5001,AE$3,BD!$B$3:$B$5001,$A$395)))</f>
        <v/>
      </c>
      <c r="AF412" s="232" t="str">
        <f>IF(AF$3="","",IF(COUNTIFS(BD!$A$3:$A$5001,AF$3,BD!$B$3:$B$5001,$A$395,BD!$S$3:$S$5001,"&lt;&gt;")=0,"",SUMIFS(BD!$S$3:$S$5001,BD!$A$3:$A$5001,AF$3,BD!$B$3:$B$5001,$A$395)))</f>
        <v/>
      </c>
      <c r="AG412" s="232" t="str">
        <f>IF(AG$3="","",IF(COUNTIFS(BD!$A$3:$A$5001,AG$3,BD!$B$3:$B$5001,$A$395,BD!$S$3:$S$5001,"&lt;&gt;")=0,"",SUMIFS(BD!$S$3:$S$5001,BD!$A$3:$A$5001,AG$3,BD!$B$3:$B$5001,$A$395)))</f>
        <v/>
      </c>
      <c r="AH412" s="232" t="str">
        <f>IF(AH$3="","",IF(COUNTIFS(BD!$A$3:$A$5001,AH$3,BD!$B$3:$B$5001,$A$395,BD!$S$3:$S$5001,"&lt;&gt;")=0,"",SUMIFS(BD!$S$3:$S$5001,BD!$A$3:$A$5001,AH$3,BD!$B$3:$B$5001,$A$395)))</f>
        <v/>
      </c>
      <c r="AI412" s="232" t="str">
        <f>IF(AI$3="","",IF(COUNTIFS(BD!$A$3:$A$5001,AI$3,BD!$B$3:$B$5001,$A$395,BD!$S$3:$S$5001,"&lt;&gt;")=0,"",SUMIFS(BD!$S$3:$S$5001,BD!$A$3:$A$5001,AI$3,BD!$B$3:$B$5001,$A$395)))</f>
        <v/>
      </c>
      <c r="AJ412" s="233" t="str">
        <f>IF(AJ$3="","",IF(COUNTIFS(BD!$A$3:$A$5001,AJ$3,BD!$B$3:$B$5001,$A$395,BD!$S$3:$S$5001,"&lt;&gt;")=0,"",SUMIFS(BD!$S$3:$S$5001,BD!$A$3:$A$5001,AJ$3,BD!$B$3:$B$5001,$A$395)))</f>
        <v/>
      </c>
      <c r="AK412" s="234" t="str">
        <f>IF(COUNT(F412:AJ412)=0,"",SUM(F412:AJ412))</f>
        <v/>
      </c>
    </row>
    <row r="413" ht="15.75" customHeight="1" hidden="1">
      <c r="A413" s="254"/>
      <c r="B413" s="251"/>
      <c r="C413" s="228" t="inlineStr">
        <is>
          <t xml:space="preserve">Acidentes CAF</t>
        </is>
      </c>
      <c r="D413" s="229" t="str">
        <f>IFERROR(1/(1/INDEX(BD!$Y$41:$AS$41,MATCH($A$395,BD!$Y$22:$AS$22,0))),"")</f>
        <v/>
      </c>
      <c r="E413" s="230"/>
      <c r="F413" s="231" t="str">
        <f>IF(F$3="","",IF(COUNTIFS(BD!$A$3:$A$5001,F$3,BD!$B$3:$B$5001,$A$395,BD!$T$3:$T$5001,"&lt;&gt;")=0,"",SUMIFS(BD!$T$3:$T$5001,BD!$A$3:$A$5001,F$3,BD!$B$3:$B$5001,$A$395)))</f>
        <v/>
      </c>
      <c r="G413" s="232" t="str">
        <f>IF(G$3="","",IF(COUNTIFS(BD!$A$3:$A$5001,G$3,BD!$B$3:$B$5001,$A$395,BD!$T$3:$T$5001,"&lt;&gt;")=0,"",SUMIFS(BD!$T$3:$T$5001,BD!$A$3:$A$5001,G$3,BD!$B$3:$B$5001,$A$395)))</f>
        <v/>
      </c>
      <c r="H413" s="232" t="str">
        <f>IF(H$3="","",IF(COUNTIFS(BD!$A$3:$A$5001,H$3,BD!$B$3:$B$5001,$A$395,BD!$T$3:$T$5001,"&lt;&gt;")=0,"",SUMIFS(BD!$T$3:$T$5001,BD!$A$3:$A$5001,H$3,BD!$B$3:$B$5001,$A$395)))</f>
        <v/>
      </c>
      <c r="I413" s="232" t="str">
        <f>IF(I$3="","",IF(COUNTIFS(BD!$A$3:$A$5001,I$3,BD!$B$3:$B$5001,$A$395,BD!$T$3:$T$5001,"&lt;&gt;")=0,"",SUMIFS(BD!$T$3:$T$5001,BD!$A$3:$A$5001,I$3,BD!$B$3:$B$5001,$A$395)))</f>
        <v/>
      </c>
      <c r="J413" s="232" t="str">
        <f>IF(J$3="","",IF(COUNTIFS(BD!$A$3:$A$5001,J$3,BD!$B$3:$B$5001,$A$395,BD!$T$3:$T$5001,"&lt;&gt;")=0,"",SUMIFS(BD!$T$3:$T$5001,BD!$A$3:$A$5001,J$3,BD!$B$3:$B$5001,$A$395)))</f>
        <v/>
      </c>
      <c r="K413" s="232" t="str">
        <f>IF(K$3="","",IF(COUNTIFS(BD!$A$3:$A$5001,K$3,BD!$B$3:$B$5001,$A$395,BD!$T$3:$T$5001,"&lt;&gt;")=0,"",SUMIFS(BD!$T$3:$T$5001,BD!$A$3:$A$5001,K$3,BD!$B$3:$B$5001,$A$395)))</f>
        <v/>
      </c>
      <c r="L413" s="232" t="str">
        <f>IF(L$3="","",IF(COUNTIFS(BD!$A$3:$A$5001,L$3,BD!$B$3:$B$5001,$A$395,BD!$T$3:$T$5001,"&lt;&gt;")=0,"",SUMIFS(BD!$T$3:$T$5001,BD!$A$3:$A$5001,L$3,BD!$B$3:$B$5001,$A$395)))</f>
        <v/>
      </c>
      <c r="M413" s="232" t="str">
        <f>IF(M$3="","",IF(COUNTIFS(BD!$A$3:$A$5001,M$3,BD!$B$3:$B$5001,$A$395,BD!$T$3:$T$5001,"&lt;&gt;")=0,"",SUMIFS(BD!$T$3:$T$5001,BD!$A$3:$A$5001,M$3,BD!$B$3:$B$5001,$A$395)))</f>
        <v/>
      </c>
      <c r="N413" s="232" t="str">
        <f>IF(N$3="","",IF(COUNTIFS(BD!$A$3:$A$5001,N$3,BD!$B$3:$B$5001,$A$395,BD!$T$3:$T$5001,"&lt;&gt;")=0,"",SUMIFS(BD!$T$3:$T$5001,BD!$A$3:$A$5001,N$3,BD!$B$3:$B$5001,$A$395)))</f>
        <v/>
      </c>
      <c r="O413" s="232" t="str">
        <f>IF(O$3="","",IF(COUNTIFS(BD!$A$3:$A$5001,O$3,BD!$B$3:$B$5001,$A$395,BD!$T$3:$T$5001,"&lt;&gt;")=0,"",SUMIFS(BD!$T$3:$T$5001,BD!$A$3:$A$5001,O$3,BD!$B$3:$B$5001,$A$395)))</f>
        <v/>
      </c>
      <c r="P413" s="232" t="str">
        <f>IF(P$3="","",IF(COUNTIFS(BD!$A$3:$A$5001,P$3,BD!$B$3:$B$5001,$A$395,BD!$T$3:$T$5001,"&lt;&gt;")=0,"",SUMIFS(BD!$T$3:$T$5001,BD!$A$3:$A$5001,P$3,BD!$B$3:$B$5001,$A$395)))</f>
        <v/>
      </c>
      <c r="Q413" s="232" t="str">
        <f>IF(Q$3="","",IF(COUNTIFS(BD!$A$3:$A$5001,Q$3,BD!$B$3:$B$5001,$A$395,BD!$T$3:$T$5001,"&lt;&gt;")=0,"",SUMIFS(BD!$T$3:$T$5001,BD!$A$3:$A$5001,Q$3,BD!$B$3:$B$5001,$A$395)))</f>
        <v/>
      </c>
      <c r="R413" s="232" t="str">
        <f>IF(R$3="","",IF(COUNTIFS(BD!$A$3:$A$5001,R$3,BD!$B$3:$B$5001,$A$395,BD!$T$3:$T$5001,"&lt;&gt;")=0,"",SUMIFS(BD!$T$3:$T$5001,BD!$A$3:$A$5001,R$3,BD!$B$3:$B$5001,$A$395)))</f>
        <v/>
      </c>
      <c r="S413" s="232" t="str">
        <f>IF(S$3="","",IF(COUNTIFS(BD!$A$3:$A$5001,S$3,BD!$B$3:$B$5001,$A$395,BD!$T$3:$T$5001,"&lt;&gt;")=0,"",SUMIFS(BD!$T$3:$T$5001,BD!$A$3:$A$5001,S$3,BD!$B$3:$B$5001,$A$395)))</f>
        <v/>
      </c>
      <c r="T413" s="232" t="str">
        <f>IF(T$3="","",IF(COUNTIFS(BD!$A$3:$A$5001,T$3,BD!$B$3:$B$5001,$A$395,BD!$T$3:$T$5001,"&lt;&gt;")=0,"",SUMIFS(BD!$T$3:$T$5001,BD!$A$3:$A$5001,T$3,BD!$B$3:$B$5001,$A$395)))</f>
        <v/>
      </c>
      <c r="U413" s="232" t="str">
        <f>IF(U$3="","",IF(COUNTIFS(BD!$A$3:$A$5001,U$3,BD!$B$3:$B$5001,$A$395,BD!$T$3:$T$5001,"&lt;&gt;")=0,"",SUMIFS(BD!$T$3:$T$5001,BD!$A$3:$A$5001,U$3,BD!$B$3:$B$5001,$A$395)))</f>
        <v/>
      </c>
      <c r="V413" s="232" t="str">
        <f>IF(V$3="","",IF(COUNTIFS(BD!$A$3:$A$5001,V$3,BD!$B$3:$B$5001,$A$395,BD!$T$3:$T$5001,"&lt;&gt;")=0,"",SUMIFS(BD!$T$3:$T$5001,BD!$A$3:$A$5001,V$3,BD!$B$3:$B$5001,$A$395)))</f>
        <v/>
      </c>
      <c r="W413" s="232" t="str">
        <f>IF(W$3="","",IF(COUNTIFS(BD!$A$3:$A$5001,W$3,BD!$B$3:$B$5001,$A$395,BD!$T$3:$T$5001,"&lt;&gt;")=0,"",SUMIFS(BD!$T$3:$T$5001,BD!$A$3:$A$5001,W$3,BD!$B$3:$B$5001,$A$395)))</f>
        <v/>
      </c>
      <c r="X413" s="232" t="str">
        <f>IF(X$3="","",IF(COUNTIFS(BD!$A$3:$A$5001,X$3,BD!$B$3:$B$5001,$A$395,BD!$T$3:$T$5001,"&lt;&gt;")=0,"",SUMIFS(BD!$T$3:$T$5001,BD!$A$3:$A$5001,X$3,BD!$B$3:$B$5001,$A$395)))</f>
        <v/>
      </c>
      <c r="Y413" s="232" t="str">
        <f>IF(Y$3="","",IF(COUNTIFS(BD!$A$3:$A$5001,Y$3,BD!$B$3:$B$5001,$A$395,BD!$T$3:$T$5001,"&lt;&gt;")=0,"",SUMIFS(BD!$T$3:$T$5001,BD!$A$3:$A$5001,Y$3,BD!$B$3:$B$5001,$A$395)))</f>
        <v/>
      </c>
      <c r="Z413" s="232" t="str">
        <f>IF(Z$3="","",IF(COUNTIFS(BD!$A$3:$A$5001,Z$3,BD!$B$3:$B$5001,$A$395,BD!$T$3:$T$5001,"&lt;&gt;")=0,"",SUMIFS(BD!$T$3:$T$5001,BD!$A$3:$A$5001,Z$3,BD!$B$3:$B$5001,$A$395)))</f>
        <v/>
      </c>
      <c r="AA413" s="232" t="str">
        <f>IF(AA$3="","",IF(COUNTIFS(BD!$A$3:$A$5001,AA$3,BD!$B$3:$B$5001,$A$395,BD!$T$3:$T$5001,"&lt;&gt;")=0,"",SUMIFS(BD!$T$3:$T$5001,BD!$A$3:$A$5001,AA$3,BD!$B$3:$B$5001,$A$395)))</f>
        <v/>
      </c>
      <c r="AB413" s="232" t="str">
        <f>IF(AB$3="","",IF(COUNTIFS(BD!$A$3:$A$5001,AB$3,BD!$B$3:$B$5001,$A$395,BD!$T$3:$T$5001,"&lt;&gt;")=0,"",SUMIFS(BD!$T$3:$T$5001,BD!$A$3:$A$5001,AB$3,BD!$B$3:$B$5001,$A$395)))</f>
        <v/>
      </c>
      <c r="AC413" s="232" t="str">
        <f>IF(AC$3="","",IF(COUNTIFS(BD!$A$3:$A$5001,AC$3,BD!$B$3:$B$5001,$A$395,BD!$T$3:$T$5001,"&lt;&gt;")=0,"",SUMIFS(BD!$T$3:$T$5001,BD!$A$3:$A$5001,AC$3,BD!$B$3:$B$5001,$A$395)))</f>
        <v/>
      </c>
      <c r="AD413" s="232" t="str">
        <f>IF(AD$3="","",IF(COUNTIFS(BD!$A$3:$A$5001,AD$3,BD!$B$3:$B$5001,$A$395,BD!$T$3:$T$5001,"&lt;&gt;")=0,"",SUMIFS(BD!$T$3:$T$5001,BD!$A$3:$A$5001,AD$3,BD!$B$3:$B$5001,$A$395)))</f>
        <v/>
      </c>
      <c r="AE413" s="232" t="str">
        <f>IF(AE$3="","",IF(COUNTIFS(BD!$A$3:$A$5001,AE$3,BD!$B$3:$B$5001,$A$395,BD!$T$3:$T$5001,"&lt;&gt;")=0,"",SUMIFS(BD!$T$3:$T$5001,BD!$A$3:$A$5001,AE$3,BD!$B$3:$B$5001,$A$395)))</f>
        <v/>
      </c>
      <c r="AF413" s="232" t="str">
        <f>IF(AF$3="","",IF(COUNTIFS(BD!$A$3:$A$5001,AF$3,BD!$B$3:$B$5001,$A$395,BD!$T$3:$T$5001,"&lt;&gt;")=0,"",SUMIFS(BD!$T$3:$T$5001,BD!$A$3:$A$5001,AF$3,BD!$B$3:$B$5001,$A$395)))</f>
        <v/>
      </c>
      <c r="AG413" s="232" t="str">
        <f>IF(AG$3="","",IF(COUNTIFS(BD!$A$3:$A$5001,AG$3,BD!$B$3:$B$5001,$A$395,BD!$T$3:$T$5001,"&lt;&gt;")=0,"",SUMIFS(BD!$T$3:$T$5001,BD!$A$3:$A$5001,AG$3,BD!$B$3:$B$5001,$A$395)))</f>
        <v/>
      </c>
      <c r="AH413" s="232" t="str">
        <f>IF(AH$3="","",IF(COUNTIFS(BD!$A$3:$A$5001,AH$3,BD!$B$3:$B$5001,$A$395,BD!$T$3:$T$5001,"&lt;&gt;")=0,"",SUMIFS(BD!$T$3:$T$5001,BD!$A$3:$A$5001,AH$3,BD!$B$3:$B$5001,$A$395)))</f>
        <v/>
      </c>
      <c r="AI413" s="232" t="str">
        <f>IF(AI$3="","",IF(COUNTIFS(BD!$A$3:$A$5001,AI$3,BD!$B$3:$B$5001,$A$395,BD!$T$3:$T$5001,"&lt;&gt;")=0,"",SUMIFS(BD!$T$3:$T$5001,BD!$A$3:$A$5001,AI$3,BD!$B$3:$B$5001,$A$395)))</f>
        <v/>
      </c>
      <c r="AJ413" s="233" t="str">
        <f>IF(AJ$3="","",IF(COUNTIFS(BD!$A$3:$A$5001,AJ$3,BD!$B$3:$B$5001,$A$395,BD!$T$3:$T$5001,"&lt;&gt;")=0,"",SUMIFS(BD!$T$3:$T$5001,BD!$A$3:$A$5001,AJ$3,BD!$B$3:$B$5001,$A$395)))</f>
        <v/>
      </c>
      <c r="AK413" s="234" t="str">
        <f>IF(COUNT(F413:AJ413)=0,"",SUM(F413:AJ413))</f>
        <v/>
      </c>
    </row>
    <row r="414" ht="15.75" customHeight="1" hidden="1">
      <c r="A414" s="255"/>
      <c r="B414" s="252"/>
      <c r="C414" s="235" t="inlineStr">
        <is>
          <t xml:space="preserve">Acidentes SAF</t>
        </is>
      </c>
      <c r="D414" s="236" t="str">
        <f>IFERROR(1/(1/INDEX(BD!$Y$42:$AS$42,MATCH($A$395,BD!$Y$22:$AS$22,0))),"")</f>
        <v/>
      </c>
      <c r="E414" s="237"/>
      <c r="F414" s="238" t="str">
        <f>IF(F$3="","",IF(COUNTIFS(BD!$A$3:$A$5001,F$3,BD!$B$3:$B$5001,$A$395,BD!$U$3:$U$5001,"&lt;&gt;")=0,"",SUMIFS(BD!$U$3:$U$5001,BD!$A$3:$A$5001,F$3,BD!$B$3:$B$5001,$A$395)))</f>
        <v/>
      </c>
      <c r="G414" s="239" t="str">
        <f>IF(G$3="","",IF(COUNTIFS(BD!$A$3:$A$5001,G$3,BD!$B$3:$B$5001,$A$395,BD!$U$3:$U$5001,"&lt;&gt;")=0,"",SUMIFS(BD!$U$3:$U$5001,BD!$A$3:$A$5001,G$3,BD!$B$3:$B$5001,$A$395)))</f>
        <v/>
      </c>
      <c r="H414" s="239" t="str">
        <f>IF(H$3="","",IF(COUNTIFS(BD!$A$3:$A$5001,H$3,BD!$B$3:$B$5001,$A$395,BD!$U$3:$U$5001,"&lt;&gt;")=0,"",SUMIFS(BD!$U$3:$U$5001,BD!$A$3:$A$5001,H$3,BD!$B$3:$B$5001,$A$395)))</f>
        <v/>
      </c>
      <c r="I414" s="239" t="str">
        <f>IF(I$3="","",IF(COUNTIFS(BD!$A$3:$A$5001,I$3,BD!$B$3:$B$5001,$A$395,BD!$U$3:$U$5001,"&lt;&gt;")=0,"",SUMIFS(BD!$U$3:$U$5001,BD!$A$3:$A$5001,I$3,BD!$B$3:$B$5001,$A$395)))</f>
        <v/>
      </c>
      <c r="J414" s="239" t="str">
        <f>IF(J$3="","",IF(COUNTIFS(BD!$A$3:$A$5001,J$3,BD!$B$3:$B$5001,$A$395,BD!$U$3:$U$5001,"&lt;&gt;")=0,"",SUMIFS(BD!$U$3:$U$5001,BD!$A$3:$A$5001,J$3,BD!$B$3:$B$5001,$A$395)))</f>
        <v/>
      </c>
      <c r="K414" s="239" t="str">
        <f>IF(K$3="","",IF(COUNTIFS(BD!$A$3:$A$5001,K$3,BD!$B$3:$B$5001,$A$395,BD!$U$3:$U$5001,"&lt;&gt;")=0,"",SUMIFS(BD!$U$3:$U$5001,BD!$A$3:$A$5001,K$3,BD!$B$3:$B$5001,$A$395)))</f>
        <v/>
      </c>
      <c r="L414" s="239" t="str">
        <f>IF(L$3="","",IF(COUNTIFS(BD!$A$3:$A$5001,L$3,BD!$B$3:$B$5001,$A$395,BD!$U$3:$U$5001,"&lt;&gt;")=0,"",SUMIFS(BD!$U$3:$U$5001,BD!$A$3:$A$5001,L$3,BD!$B$3:$B$5001,$A$395)))</f>
        <v/>
      </c>
      <c r="M414" s="239" t="str">
        <f>IF(M$3="","",IF(COUNTIFS(BD!$A$3:$A$5001,M$3,BD!$B$3:$B$5001,$A$395,BD!$U$3:$U$5001,"&lt;&gt;")=0,"",SUMIFS(BD!$U$3:$U$5001,BD!$A$3:$A$5001,M$3,BD!$B$3:$B$5001,$A$395)))</f>
        <v/>
      </c>
      <c r="N414" s="239" t="str">
        <f>IF(N$3="","",IF(COUNTIFS(BD!$A$3:$A$5001,N$3,BD!$B$3:$B$5001,$A$395,BD!$U$3:$U$5001,"&lt;&gt;")=0,"",SUMIFS(BD!$U$3:$U$5001,BD!$A$3:$A$5001,N$3,BD!$B$3:$B$5001,$A$395)))</f>
        <v/>
      </c>
      <c r="O414" s="239" t="str">
        <f>IF(O$3="","",IF(COUNTIFS(BD!$A$3:$A$5001,O$3,BD!$B$3:$B$5001,$A$395,BD!$U$3:$U$5001,"&lt;&gt;")=0,"",SUMIFS(BD!$U$3:$U$5001,BD!$A$3:$A$5001,O$3,BD!$B$3:$B$5001,$A$395)))</f>
        <v/>
      </c>
      <c r="P414" s="239" t="str">
        <f>IF(P$3="","",IF(COUNTIFS(BD!$A$3:$A$5001,P$3,BD!$B$3:$B$5001,$A$395,BD!$U$3:$U$5001,"&lt;&gt;")=0,"",SUMIFS(BD!$U$3:$U$5001,BD!$A$3:$A$5001,P$3,BD!$B$3:$B$5001,$A$395)))</f>
        <v/>
      </c>
      <c r="Q414" s="239" t="str">
        <f>IF(Q$3="","",IF(COUNTIFS(BD!$A$3:$A$5001,Q$3,BD!$B$3:$B$5001,$A$395,BD!$U$3:$U$5001,"&lt;&gt;")=0,"",SUMIFS(BD!$U$3:$U$5001,BD!$A$3:$A$5001,Q$3,BD!$B$3:$B$5001,$A$395)))</f>
        <v/>
      </c>
      <c r="R414" s="239" t="str">
        <f>IF(R$3="","",IF(COUNTIFS(BD!$A$3:$A$5001,R$3,BD!$B$3:$B$5001,$A$395,BD!$U$3:$U$5001,"&lt;&gt;")=0,"",SUMIFS(BD!$U$3:$U$5001,BD!$A$3:$A$5001,R$3,BD!$B$3:$B$5001,$A$395)))</f>
        <v/>
      </c>
      <c r="S414" s="239" t="str">
        <f>IF(S$3="","",IF(COUNTIFS(BD!$A$3:$A$5001,S$3,BD!$B$3:$B$5001,$A$395,BD!$U$3:$U$5001,"&lt;&gt;")=0,"",SUMIFS(BD!$U$3:$U$5001,BD!$A$3:$A$5001,S$3,BD!$B$3:$B$5001,$A$395)))</f>
        <v/>
      </c>
      <c r="T414" s="239" t="str">
        <f>IF(T$3="","",IF(COUNTIFS(BD!$A$3:$A$5001,T$3,BD!$B$3:$B$5001,$A$395,BD!$U$3:$U$5001,"&lt;&gt;")=0,"",SUMIFS(BD!$U$3:$U$5001,BD!$A$3:$A$5001,T$3,BD!$B$3:$B$5001,$A$395)))</f>
        <v/>
      </c>
      <c r="U414" s="239" t="str">
        <f>IF(U$3="","",IF(COUNTIFS(BD!$A$3:$A$5001,U$3,BD!$B$3:$B$5001,$A$395,BD!$U$3:$U$5001,"&lt;&gt;")=0,"",SUMIFS(BD!$U$3:$U$5001,BD!$A$3:$A$5001,U$3,BD!$B$3:$B$5001,$A$395)))</f>
        <v/>
      </c>
      <c r="V414" s="239" t="str">
        <f>IF(V$3="","",IF(COUNTIFS(BD!$A$3:$A$5001,V$3,BD!$B$3:$B$5001,$A$395,BD!$U$3:$U$5001,"&lt;&gt;")=0,"",SUMIFS(BD!$U$3:$U$5001,BD!$A$3:$A$5001,V$3,BD!$B$3:$B$5001,$A$395)))</f>
        <v/>
      </c>
      <c r="W414" s="239" t="str">
        <f>IF(W$3="","",IF(COUNTIFS(BD!$A$3:$A$5001,W$3,BD!$B$3:$B$5001,$A$395,BD!$U$3:$U$5001,"&lt;&gt;")=0,"",SUMIFS(BD!$U$3:$U$5001,BD!$A$3:$A$5001,W$3,BD!$B$3:$B$5001,$A$395)))</f>
        <v/>
      </c>
      <c r="X414" s="239" t="str">
        <f>IF(X$3="","",IF(COUNTIFS(BD!$A$3:$A$5001,X$3,BD!$B$3:$B$5001,$A$395,BD!$U$3:$U$5001,"&lt;&gt;")=0,"",SUMIFS(BD!$U$3:$U$5001,BD!$A$3:$A$5001,X$3,BD!$B$3:$B$5001,$A$395)))</f>
        <v/>
      </c>
      <c r="Y414" s="239" t="str">
        <f>IF(Y$3="","",IF(COUNTIFS(BD!$A$3:$A$5001,Y$3,BD!$B$3:$B$5001,$A$395,BD!$U$3:$U$5001,"&lt;&gt;")=0,"",SUMIFS(BD!$U$3:$U$5001,BD!$A$3:$A$5001,Y$3,BD!$B$3:$B$5001,$A$395)))</f>
        <v/>
      </c>
      <c r="Z414" s="239" t="str">
        <f>IF(Z$3="","",IF(COUNTIFS(BD!$A$3:$A$5001,Z$3,BD!$B$3:$B$5001,$A$395,BD!$U$3:$U$5001,"&lt;&gt;")=0,"",SUMIFS(BD!$U$3:$U$5001,BD!$A$3:$A$5001,Z$3,BD!$B$3:$B$5001,$A$395)))</f>
        <v/>
      </c>
      <c r="AA414" s="239" t="str">
        <f>IF(AA$3="","",IF(COUNTIFS(BD!$A$3:$A$5001,AA$3,BD!$B$3:$B$5001,$A$395,BD!$U$3:$U$5001,"&lt;&gt;")=0,"",SUMIFS(BD!$U$3:$U$5001,BD!$A$3:$A$5001,AA$3,BD!$B$3:$B$5001,$A$395)))</f>
        <v/>
      </c>
      <c r="AB414" s="239" t="str">
        <f>IF(AB$3="","",IF(COUNTIFS(BD!$A$3:$A$5001,AB$3,BD!$B$3:$B$5001,$A$395,BD!$U$3:$U$5001,"&lt;&gt;")=0,"",SUMIFS(BD!$U$3:$U$5001,BD!$A$3:$A$5001,AB$3,BD!$B$3:$B$5001,$A$395)))</f>
        <v/>
      </c>
      <c r="AC414" s="239" t="str">
        <f>IF(AC$3="","",IF(COUNTIFS(BD!$A$3:$A$5001,AC$3,BD!$B$3:$B$5001,$A$395,BD!$U$3:$U$5001,"&lt;&gt;")=0,"",SUMIFS(BD!$U$3:$U$5001,BD!$A$3:$A$5001,AC$3,BD!$B$3:$B$5001,$A$395)))</f>
        <v/>
      </c>
      <c r="AD414" s="239" t="str">
        <f>IF(AD$3="","",IF(COUNTIFS(BD!$A$3:$A$5001,AD$3,BD!$B$3:$B$5001,$A$395,BD!$U$3:$U$5001,"&lt;&gt;")=0,"",SUMIFS(BD!$U$3:$U$5001,BD!$A$3:$A$5001,AD$3,BD!$B$3:$B$5001,$A$395)))</f>
        <v/>
      </c>
      <c r="AE414" s="239" t="str">
        <f>IF(AE$3="","",IF(COUNTIFS(BD!$A$3:$A$5001,AE$3,BD!$B$3:$B$5001,$A$395,BD!$U$3:$U$5001,"&lt;&gt;")=0,"",SUMIFS(BD!$U$3:$U$5001,BD!$A$3:$A$5001,AE$3,BD!$B$3:$B$5001,$A$395)))</f>
        <v/>
      </c>
      <c r="AF414" s="239" t="str">
        <f>IF(AF$3="","",IF(COUNTIFS(BD!$A$3:$A$5001,AF$3,BD!$B$3:$B$5001,$A$395,BD!$U$3:$U$5001,"&lt;&gt;")=0,"",SUMIFS(BD!$U$3:$U$5001,BD!$A$3:$A$5001,AF$3,BD!$B$3:$B$5001,$A$395)))</f>
        <v/>
      </c>
      <c r="AG414" s="239" t="str">
        <f>IF(AG$3="","",IF(COUNTIFS(BD!$A$3:$A$5001,AG$3,BD!$B$3:$B$5001,$A$395,BD!$U$3:$U$5001,"&lt;&gt;")=0,"",SUMIFS(BD!$U$3:$U$5001,BD!$A$3:$A$5001,AG$3,BD!$B$3:$B$5001,$A$395)))</f>
        <v/>
      </c>
      <c r="AH414" s="239" t="str">
        <f>IF(AH$3="","",IF(COUNTIFS(BD!$A$3:$A$5001,AH$3,BD!$B$3:$B$5001,$A$395,BD!$U$3:$U$5001,"&lt;&gt;")=0,"",SUMIFS(BD!$U$3:$U$5001,BD!$A$3:$A$5001,AH$3,BD!$B$3:$B$5001,$A$395)))</f>
        <v/>
      </c>
      <c r="AI414" s="239" t="str">
        <f>IF(AI$3="","",IF(COUNTIFS(BD!$A$3:$A$5001,AI$3,BD!$B$3:$B$5001,$A$395,BD!$U$3:$U$5001,"&lt;&gt;")=0,"",SUMIFS(BD!$U$3:$U$5001,BD!$A$3:$A$5001,AI$3,BD!$B$3:$B$5001,$A$395)))</f>
        <v/>
      </c>
      <c r="AJ414" s="240" t="str">
        <f>IF(AJ$3="","",IF(COUNTIFS(BD!$A$3:$A$5001,AJ$3,BD!$B$3:$B$5001,$A$395,BD!$U$3:$U$5001,"&lt;&gt;")=0,"",SUMIFS(BD!$U$3:$U$5001,BD!$A$3:$A$5001,AJ$3,BD!$B$3:$B$5001,$A$395)))</f>
        <v/>
      </c>
      <c r="AK414" s="236" t="str">
        <f>IF(COUNT(F414:AJ414)=0,"",SUM(F414:AJ414))</f>
        <v/>
      </c>
    </row>
    <row r="416">
      <c r="A416" s="31" t="inlineStr">
        <is>
          <t xml:space="preserve">Mês / ano: filtro na célula vermelha do canto superior direito. Célula vazia = sem registro. MÊS: soma nos fluxos e NC; último dado em ocupação e efetivo. Taxa = ocupadas ÷ disponíveis (contrato). Ocupação: verde ≥ 90% (alta, boa notícia), verde escuro &gt; 100% (excede o contratado), amarelo 70–90% (média), vermelho &lt; 70% (ociosidade). Incidente &gt; 0 em vermelho. META: aba BD (tabela de metas).</t>
        </is>
      </c>
    </row>
  </sheetData>
  <sheetProtection password="CC30" sheet="1" objects="1" scenarios="1"/>
  <mergeCells count="124">
    <mergeCell ref="G1:AD1"/>
    <mergeCell ref="AE1:AK1"/>
    <mergeCell ref="A2:A3"/>
    <mergeCell ref="B2:C3"/>
    <mergeCell ref="D2:D3"/>
    <mergeCell ref="F2:AJ2"/>
    <mergeCell ref="AK2:AK3"/>
    <mergeCell ref="B5:B7"/>
    <mergeCell ref="B8:B10"/>
    <mergeCell ref="B11:B13"/>
    <mergeCell ref="B14:B16"/>
    <mergeCell ref="B17:B24"/>
    <mergeCell ref="A5:A24"/>
    <mergeCell ref="B26:B28"/>
    <mergeCell ref="B29:B31"/>
    <mergeCell ref="B32:B39"/>
    <mergeCell ref="A26:A39"/>
    <mergeCell ref="B41:B43"/>
    <mergeCell ref="B44:B46"/>
    <mergeCell ref="B47:B49"/>
    <mergeCell ref="B51:B58"/>
    <mergeCell ref="A41:A58"/>
    <mergeCell ref="B60:B62"/>
    <mergeCell ref="B63:B65"/>
    <mergeCell ref="B66:B68"/>
    <mergeCell ref="B70:B77"/>
    <mergeCell ref="A60:A77"/>
    <mergeCell ref="B79:B81"/>
    <mergeCell ref="B82:B84"/>
    <mergeCell ref="B85:B87"/>
    <mergeCell ref="B88:B90"/>
    <mergeCell ref="B91:B98"/>
    <mergeCell ref="A79:A98"/>
    <mergeCell ref="A100:AK100"/>
    <mergeCell ref="B101:B103"/>
    <mergeCell ref="B104:B106"/>
    <mergeCell ref="B107:B109"/>
    <mergeCell ref="B110:B112"/>
    <mergeCell ref="B113:B120"/>
    <mergeCell ref="A101:A120"/>
    <mergeCell ref="B122:B124"/>
    <mergeCell ref="B125:B127"/>
    <mergeCell ref="B128:B130"/>
    <mergeCell ref="B131:B133"/>
    <mergeCell ref="B134:B141"/>
    <mergeCell ref="A122:A141"/>
    <mergeCell ref="B143:B145"/>
    <mergeCell ref="B146:B148"/>
    <mergeCell ref="B149:B151"/>
    <mergeCell ref="B152:B154"/>
    <mergeCell ref="B155:B162"/>
    <mergeCell ref="A143:A162"/>
    <mergeCell ref="B164:B166"/>
    <mergeCell ref="B167:B169"/>
    <mergeCell ref="B170:B172"/>
    <mergeCell ref="B173:B175"/>
    <mergeCell ref="B176:B183"/>
    <mergeCell ref="A164:A183"/>
    <mergeCell ref="B185:B187"/>
    <mergeCell ref="B188:B190"/>
    <mergeCell ref="B191:B193"/>
    <mergeCell ref="B194:B196"/>
    <mergeCell ref="B197:B204"/>
    <mergeCell ref="A185:A204"/>
    <mergeCell ref="B206:B208"/>
    <mergeCell ref="B209:B211"/>
    <mergeCell ref="B212:B214"/>
    <mergeCell ref="B215:B217"/>
    <mergeCell ref="B218:B225"/>
    <mergeCell ref="A206:A225"/>
    <mergeCell ref="B227:B229"/>
    <mergeCell ref="B230:B232"/>
    <mergeCell ref="B233:B235"/>
    <mergeCell ref="B236:B238"/>
    <mergeCell ref="B239:B246"/>
    <mergeCell ref="A227:A246"/>
    <mergeCell ref="B248:B250"/>
    <mergeCell ref="B251:B253"/>
    <mergeCell ref="B254:B256"/>
    <mergeCell ref="B257:B259"/>
    <mergeCell ref="B260:B267"/>
    <mergeCell ref="A248:A267"/>
    <mergeCell ref="B269:B271"/>
    <mergeCell ref="B272:B274"/>
    <mergeCell ref="B275:B277"/>
    <mergeCell ref="B278:B280"/>
    <mergeCell ref="B281:B288"/>
    <mergeCell ref="A269:A288"/>
    <mergeCell ref="B290:B292"/>
    <mergeCell ref="B293:B295"/>
    <mergeCell ref="B296:B298"/>
    <mergeCell ref="B299:B301"/>
    <mergeCell ref="B302:B309"/>
    <mergeCell ref="A290:A309"/>
    <mergeCell ref="B311:B313"/>
    <mergeCell ref="B314:B316"/>
    <mergeCell ref="B317:B319"/>
    <mergeCell ref="B320:B322"/>
    <mergeCell ref="B323:B330"/>
    <mergeCell ref="A311:A330"/>
    <mergeCell ref="B332:B334"/>
    <mergeCell ref="B335:B337"/>
    <mergeCell ref="B338:B340"/>
    <mergeCell ref="B341:B343"/>
    <mergeCell ref="B344:B351"/>
    <mergeCell ref="A332:A351"/>
    <mergeCell ref="B353:B355"/>
    <mergeCell ref="B356:B358"/>
    <mergeCell ref="B359:B361"/>
    <mergeCell ref="B362:B364"/>
    <mergeCell ref="B365:B372"/>
    <mergeCell ref="A353:A372"/>
    <mergeCell ref="B374:B376"/>
    <mergeCell ref="B377:B379"/>
    <mergeCell ref="B380:B382"/>
    <mergeCell ref="B383:B385"/>
    <mergeCell ref="B386:B393"/>
    <mergeCell ref="A374:A393"/>
    <mergeCell ref="B395:B397"/>
    <mergeCell ref="B398:B400"/>
    <mergeCell ref="B401:B403"/>
    <mergeCell ref="B404:B406"/>
    <mergeCell ref="B407:B414"/>
    <mergeCell ref="A395:A414"/>
  </mergeCells>
  <conditionalFormatting sqref="F3:AJ3">
    <cfRule type="expression" dxfId="13" priority="1">
      <formula>AND(ISNUMBER(F3),WEEKDAY(F3,2)&gt;5)</formula>
    </cfRule>
  </conditionalFormatting>
  <conditionalFormatting sqref="F11:AJ11">
    <cfRule type="expression" dxfId="14" priority="2">
      <formula>AND(ISNUMBER(F11),F11&gt;0)</formula>
    </cfRule>
  </conditionalFormatting>
  <conditionalFormatting sqref="F16:AJ16 AK16">
    <cfRule type="expression" dxfId="15" priority="3" stopIfTrue="1">
      <formula>AND(ISNUMBER(F16),F16&gt;1)</formula>
    </cfRule>
  </conditionalFormatting>
  <conditionalFormatting sqref="F16:AJ16 AK16">
    <cfRule type="expression" dxfId="16" priority="4" stopIfTrue="1">
      <formula>AND(ISNUMBER(F16),F16&gt;=calculos!$B$6)</formula>
    </cfRule>
  </conditionalFormatting>
  <conditionalFormatting sqref="F16:AJ16 AK16">
    <cfRule type="expression" dxfId="17" priority="5" stopIfTrue="1">
      <formula>AND(ISNUMBER(F16),F16&gt;=calculos!$B$5)</formula>
    </cfRule>
  </conditionalFormatting>
  <conditionalFormatting sqref="F16:AJ16 AK16">
    <cfRule type="expression" dxfId="18" priority="6">
      <formula>ISNUMBER(F16)</formula>
    </cfRule>
  </conditionalFormatting>
  <conditionalFormatting sqref="F29:AJ29">
    <cfRule type="expression" dxfId="14" priority="7">
      <formula>AND(ISNUMBER(F29),F29&gt;0)</formula>
    </cfRule>
  </conditionalFormatting>
  <conditionalFormatting sqref="F47:AJ47">
    <cfRule type="expression" dxfId="14" priority="8">
      <formula>AND(ISNUMBER(F47),F47&gt;0)</formula>
    </cfRule>
  </conditionalFormatting>
  <conditionalFormatting sqref="F66:AJ66">
    <cfRule type="expression" dxfId="14" priority="9">
      <formula>AND(ISNUMBER(F66),F66&gt;0)</formula>
    </cfRule>
  </conditionalFormatting>
  <conditionalFormatting sqref="F85:AJ85">
    <cfRule type="expression" dxfId="14" priority="10">
      <formula>AND(ISNUMBER(F85),F85&gt;0)</formula>
    </cfRule>
  </conditionalFormatting>
  <conditionalFormatting sqref="F90:AJ90 AK90">
    <cfRule type="expression" dxfId="15" priority="11" stopIfTrue="1">
      <formula>AND(ISNUMBER(F90),F90&gt;1)</formula>
    </cfRule>
  </conditionalFormatting>
  <conditionalFormatting sqref="F90:AJ90 AK90">
    <cfRule type="expression" dxfId="16" priority="12" stopIfTrue="1">
      <formula>AND(ISNUMBER(F90),F90&gt;=calculos!$B$6)</formula>
    </cfRule>
  </conditionalFormatting>
  <conditionalFormatting sqref="F90:AJ90 AK90">
    <cfRule type="expression" dxfId="17" priority="13" stopIfTrue="1">
      <formula>AND(ISNUMBER(F90),F90&gt;=calculos!$B$5)</formula>
    </cfRule>
  </conditionalFormatting>
  <conditionalFormatting sqref="F90:AJ90 AK90">
    <cfRule type="expression" dxfId="18" priority="14">
      <formula>ISNUMBER(F90)</formula>
    </cfRule>
  </conditionalFormatting>
  <conditionalFormatting sqref="F107:AJ107">
    <cfRule type="expression" dxfId="14" priority="15">
      <formula>AND(ISNUMBER(F107),F107&gt;0)</formula>
    </cfRule>
  </conditionalFormatting>
  <conditionalFormatting sqref="F112:AJ112 AK112">
    <cfRule type="expression" dxfId="15" priority="16" stopIfTrue="1">
      <formula>AND(ISNUMBER(F112),F112&gt;1)</formula>
    </cfRule>
  </conditionalFormatting>
  <conditionalFormatting sqref="F112:AJ112 AK112">
    <cfRule type="expression" dxfId="16" priority="17" stopIfTrue="1">
      <formula>AND(ISNUMBER(F112),F112&gt;=calculos!$B$6)</formula>
    </cfRule>
  </conditionalFormatting>
  <conditionalFormatting sqref="F112:AJ112 AK112">
    <cfRule type="expression" dxfId="17" priority="18" stopIfTrue="1">
      <formula>AND(ISNUMBER(F112),F112&gt;=calculos!$B$5)</formula>
    </cfRule>
  </conditionalFormatting>
  <conditionalFormatting sqref="F112:AJ112 AK112">
    <cfRule type="expression" dxfId="18" priority="19">
      <formula>ISNUMBER(F112)</formula>
    </cfRule>
  </conditionalFormatting>
  <conditionalFormatting sqref="F128:AJ128">
    <cfRule type="expression" dxfId="14" priority="20">
      <formula>AND(ISNUMBER(F128),F128&gt;0)</formula>
    </cfRule>
  </conditionalFormatting>
  <conditionalFormatting sqref="F133:AJ133 AK133">
    <cfRule type="expression" dxfId="15" priority="21" stopIfTrue="1">
      <formula>AND(ISNUMBER(F133),F133&gt;1)</formula>
    </cfRule>
  </conditionalFormatting>
  <conditionalFormatting sqref="F133:AJ133 AK133">
    <cfRule type="expression" dxfId="16" priority="22" stopIfTrue="1">
      <formula>AND(ISNUMBER(F133),F133&gt;=calculos!$B$6)</formula>
    </cfRule>
  </conditionalFormatting>
  <conditionalFormatting sqref="F133:AJ133 AK133">
    <cfRule type="expression" dxfId="17" priority="23" stopIfTrue="1">
      <formula>AND(ISNUMBER(F133),F133&gt;=calculos!$B$5)</formula>
    </cfRule>
  </conditionalFormatting>
  <conditionalFormatting sqref="F133:AJ133 AK133">
    <cfRule type="expression" dxfId="18" priority="24">
      <formula>ISNUMBER(F133)</formula>
    </cfRule>
  </conditionalFormatting>
  <conditionalFormatting sqref="F149:AJ149">
    <cfRule type="expression" dxfId="14" priority="25">
      <formula>AND(ISNUMBER(F149),F149&gt;0)</formula>
    </cfRule>
  </conditionalFormatting>
  <conditionalFormatting sqref="F154:AJ154 AK154">
    <cfRule type="expression" dxfId="15" priority="26" stopIfTrue="1">
      <formula>AND(ISNUMBER(F154),F154&gt;1)</formula>
    </cfRule>
  </conditionalFormatting>
  <conditionalFormatting sqref="F154:AJ154 AK154">
    <cfRule type="expression" dxfId="16" priority="27" stopIfTrue="1">
      <formula>AND(ISNUMBER(F154),F154&gt;=calculos!$B$6)</formula>
    </cfRule>
  </conditionalFormatting>
  <conditionalFormatting sqref="F154:AJ154 AK154">
    <cfRule type="expression" dxfId="17" priority="28" stopIfTrue="1">
      <formula>AND(ISNUMBER(F154),F154&gt;=calculos!$B$5)</formula>
    </cfRule>
  </conditionalFormatting>
  <conditionalFormatting sqref="F154:AJ154 AK154">
    <cfRule type="expression" dxfId="18" priority="29">
      <formula>ISNUMBER(F154)</formula>
    </cfRule>
  </conditionalFormatting>
  <conditionalFormatting sqref="F170:AJ170">
    <cfRule type="expression" dxfId="14" priority="30">
      <formula>AND(ISNUMBER(F170),F170&gt;0)</formula>
    </cfRule>
  </conditionalFormatting>
  <conditionalFormatting sqref="F175:AJ175 AK175">
    <cfRule type="expression" dxfId="15" priority="31" stopIfTrue="1">
      <formula>AND(ISNUMBER(F175),F175&gt;1)</formula>
    </cfRule>
  </conditionalFormatting>
  <conditionalFormatting sqref="F175:AJ175 AK175">
    <cfRule type="expression" dxfId="16" priority="32" stopIfTrue="1">
      <formula>AND(ISNUMBER(F175),F175&gt;=calculos!$B$6)</formula>
    </cfRule>
  </conditionalFormatting>
  <conditionalFormatting sqref="F175:AJ175 AK175">
    <cfRule type="expression" dxfId="17" priority="33" stopIfTrue="1">
      <formula>AND(ISNUMBER(F175),F175&gt;=calculos!$B$5)</formula>
    </cfRule>
  </conditionalFormatting>
  <conditionalFormatting sqref="F175:AJ175 AK175">
    <cfRule type="expression" dxfId="18" priority="34">
      <formula>ISNUMBER(F175)</formula>
    </cfRule>
  </conditionalFormatting>
  <conditionalFormatting sqref="F191:AJ191">
    <cfRule type="expression" dxfId="14" priority="35">
      <formula>AND(ISNUMBER(F191),F191&gt;0)</formula>
    </cfRule>
  </conditionalFormatting>
  <conditionalFormatting sqref="F196:AJ196 AK196">
    <cfRule type="expression" dxfId="15" priority="36" stopIfTrue="1">
      <formula>AND(ISNUMBER(F196),F196&gt;1)</formula>
    </cfRule>
  </conditionalFormatting>
  <conditionalFormatting sqref="F196:AJ196 AK196">
    <cfRule type="expression" dxfId="16" priority="37" stopIfTrue="1">
      <formula>AND(ISNUMBER(F196),F196&gt;=calculos!$B$6)</formula>
    </cfRule>
  </conditionalFormatting>
  <conditionalFormatting sqref="F196:AJ196 AK196">
    <cfRule type="expression" dxfId="17" priority="38" stopIfTrue="1">
      <formula>AND(ISNUMBER(F196),F196&gt;=calculos!$B$5)</formula>
    </cfRule>
  </conditionalFormatting>
  <conditionalFormatting sqref="F196:AJ196 AK196">
    <cfRule type="expression" dxfId="18" priority="39">
      <formula>ISNUMBER(F196)</formula>
    </cfRule>
  </conditionalFormatting>
  <conditionalFormatting sqref="F212:AJ212">
    <cfRule type="expression" dxfId="14" priority="40">
      <formula>AND(ISNUMBER(F212),F212&gt;0)</formula>
    </cfRule>
  </conditionalFormatting>
  <conditionalFormatting sqref="F217:AJ217 AK217">
    <cfRule type="expression" dxfId="15" priority="41" stopIfTrue="1">
      <formula>AND(ISNUMBER(F217),F217&gt;1)</formula>
    </cfRule>
  </conditionalFormatting>
  <conditionalFormatting sqref="F217:AJ217 AK217">
    <cfRule type="expression" dxfId="16" priority="42" stopIfTrue="1">
      <formula>AND(ISNUMBER(F217),F217&gt;=calculos!$B$6)</formula>
    </cfRule>
  </conditionalFormatting>
  <conditionalFormatting sqref="F217:AJ217 AK217">
    <cfRule type="expression" dxfId="17" priority="43" stopIfTrue="1">
      <formula>AND(ISNUMBER(F217),F217&gt;=calculos!$B$5)</formula>
    </cfRule>
  </conditionalFormatting>
  <conditionalFormatting sqref="F217:AJ217 AK217">
    <cfRule type="expression" dxfId="18" priority="44">
      <formula>ISNUMBER(F217)</formula>
    </cfRule>
  </conditionalFormatting>
  <conditionalFormatting sqref="F233:AJ233">
    <cfRule type="expression" dxfId="14" priority="45">
      <formula>AND(ISNUMBER(F233),F233&gt;0)</formula>
    </cfRule>
  </conditionalFormatting>
  <conditionalFormatting sqref="F238:AJ238 AK238">
    <cfRule type="expression" dxfId="15" priority="46" stopIfTrue="1">
      <formula>AND(ISNUMBER(F238),F238&gt;1)</formula>
    </cfRule>
  </conditionalFormatting>
  <conditionalFormatting sqref="F238:AJ238 AK238">
    <cfRule type="expression" dxfId="16" priority="47" stopIfTrue="1">
      <formula>AND(ISNUMBER(F238),F238&gt;=calculos!$B$6)</formula>
    </cfRule>
  </conditionalFormatting>
  <conditionalFormatting sqref="F238:AJ238 AK238">
    <cfRule type="expression" dxfId="17" priority="48" stopIfTrue="1">
      <formula>AND(ISNUMBER(F238),F238&gt;=calculos!$B$5)</formula>
    </cfRule>
  </conditionalFormatting>
  <conditionalFormatting sqref="F238:AJ238 AK238">
    <cfRule type="expression" dxfId="18" priority="49">
      <formula>ISNUMBER(F238)</formula>
    </cfRule>
  </conditionalFormatting>
  <conditionalFormatting sqref="F254:AJ254">
    <cfRule type="expression" dxfId="14" priority="50">
      <formula>AND(ISNUMBER(F254),F254&gt;0)</formula>
    </cfRule>
  </conditionalFormatting>
  <conditionalFormatting sqref="F259:AJ259 AK259">
    <cfRule type="expression" dxfId="15" priority="51" stopIfTrue="1">
      <formula>AND(ISNUMBER(F259),F259&gt;1)</formula>
    </cfRule>
  </conditionalFormatting>
  <conditionalFormatting sqref="F259:AJ259 AK259">
    <cfRule type="expression" dxfId="16" priority="52" stopIfTrue="1">
      <formula>AND(ISNUMBER(F259),F259&gt;=calculos!$B$6)</formula>
    </cfRule>
  </conditionalFormatting>
  <conditionalFormatting sqref="F259:AJ259 AK259">
    <cfRule type="expression" dxfId="17" priority="53" stopIfTrue="1">
      <formula>AND(ISNUMBER(F259),F259&gt;=calculos!$B$5)</formula>
    </cfRule>
  </conditionalFormatting>
  <conditionalFormatting sqref="F259:AJ259 AK259">
    <cfRule type="expression" dxfId="18" priority="54">
      <formula>ISNUMBER(F259)</formula>
    </cfRule>
  </conditionalFormatting>
  <conditionalFormatting sqref="F275:AJ275">
    <cfRule type="expression" dxfId="14" priority="55">
      <formula>AND(ISNUMBER(F275),F275&gt;0)</formula>
    </cfRule>
  </conditionalFormatting>
  <conditionalFormatting sqref="F280:AJ280 AK280">
    <cfRule type="expression" dxfId="15" priority="56" stopIfTrue="1">
      <formula>AND(ISNUMBER(F280),F280&gt;1)</formula>
    </cfRule>
  </conditionalFormatting>
  <conditionalFormatting sqref="F280:AJ280 AK280">
    <cfRule type="expression" dxfId="16" priority="57" stopIfTrue="1">
      <formula>AND(ISNUMBER(F280),F280&gt;=calculos!$B$6)</formula>
    </cfRule>
  </conditionalFormatting>
  <conditionalFormatting sqref="F280:AJ280 AK280">
    <cfRule type="expression" dxfId="17" priority="58" stopIfTrue="1">
      <formula>AND(ISNUMBER(F280),F280&gt;=calculos!$B$5)</formula>
    </cfRule>
  </conditionalFormatting>
  <conditionalFormatting sqref="F280:AJ280 AK280">
    <cfRule type="expression" dxfId="18" priority="59">
      <formula>ISNUMBER(F280)</formula>
    </cfRule>
  </conditionalFormatting>
  <conditionalFormatting sqref="F296:AJ296">
    <cfRule type="expression" dxfId="14" priority="60">
      <formula>AND(ISNUMBER(F296),F296&gt;0)</formula>
    </cfRule>
  </conditionalFormatting>
  <conditionalFormatting sqref="F301:AJ301 AK301">
    <cfRule type="expression" dxfId="15" priority="61" stopIfTrue="1">
      <formula>AND(ISNUMBER(F301),F301&gt;1)</formula>
    </cfRule>
  </conditionalFormatting>
  <conditionalFormatting sqref="F301:AJ301 AK301">
    <cfRule type="expression" dxfId="16" priority="62" stopIfTrue="1">
      <formula>AND(ISNUMBER(F301),F301&gt;=calculos!$B$6)</formula>
    </cfRule>
  </conditionalFormatting>
  <conditionalFormatting sqref="F301:AJ301 AK301">
    <cfRule type="expression" dxfId="17" priority="63" stopIfTrue="1">
      <formula>AND(ISNUMBER(F301),F301&gt;=calculos!$B$5)</formula>
    </cfRule>
  </conditionalFormatting>
  <conditionalFormatting sqref="F301:AJ301 AK301">
    <cfRule type="expression" dxfId="18" priority="64">
      <formula>ISNUMBER(F301)</formula>
    </cfRule>
  </conditionalFormatting>
  <conditionalFormatting sqref="F317:AJ317">
    <cfRule type="expression" dxfId="14" priority="65">
      <formula>AND(ISNUMBER(F317),F317&gt;0)</formula>
    </cfRule>
  </conditionalFormatting>
  <conditionalFormatting sqref="F322:AJ322 AK322">
    <cfRule type="expression" dxfId="15" priority="66" stopIfTrue="1">
      <formula>AND(ISNUMBER(F322),F322&gt;1)</formula>
    </cfRule>
  </conditionalFormatting>
  <conditionalFormatting sqref="F322:AJ322 AK322">
    <cfRule type="expression" dxfId="16" priority="67" stopIfTrue="1">
      <formula>AND(ISNUMBER(F322),F322&gt;=calculos!$B$6)</formula>
    </cfRule>
  </conditionalFormatting>
  <conditionalFormatting sqref="F322:AJ322 AK322">
    <cfRule type="expression" dxfId="17" priority="68" stopIfTrue="1">
      <formula>AND(ISNUMBER(F322),F322&gt;=calculos!$B$5)</formula>
    </cfRule>
  </conditionalFormatting>
  <conditionalFormatting sqref="F322:AJ322 AK322">
    <cfRule type="expression" dxfId="18" priority="69">
      <formula>ISNUMBER(F322)</formula>
    </cfRule>
  </conditionalFormatting>
  <conditionalFormatting sqref="F338:AJ338">
    <cfRule type="expression" dxfId="14" priority="70">
      <formula>AND(ISNUMBER(F338),F338&gt;0)</formula>
    </cfRule>
  </conditionalFormatting>
  <conditionalFormatting sqref="F343:AJ343 AK343">
    <cfRule type="expression" dxfId="15" priority="71" stopIfTrue="1">
      <formula>AND(ISNUMBER(F343),F343&gt;1)</formula>
    </cfRule>
  </conditionalFormatting>
  <conditionalFormatting sqref="F343:AJ343 AK343">
    <cfRule type="expression" dxfId="16" priority="72" stopIfTrue="1">
      <formula>AND(ISNUMBER(F343),F343&gt;=calculos!$B$6)</formula>
    </cfRule>
  </conditionalFormatting>
  <conditionalFormatting sqref="F343:AJ343 AK343">
    <cfRule type="expression" dxfId="17" priority="73" stopIfTrue="1">
      <formula>AND(ISNUMBER(F343),F343&gt;=calculos!$B$5)</formula>
    </cfRule>
  </conditionalFormatting>
  <conditionalFormatting sqref="F343:AJ343 AK343">
    <cfRule type="expression" dxfId="18" priority="74">
      <formula>ISNUMBER(F343)</formula>
    </cfRule>
  </conditionalFormatting>
  <conditionalFormatting sqref="F359:AJ359">
    <cfRule type="expression" dxfId="14" priority="75">
      <formula>AND(ISNUMBER(F359),F359&gt;0)</formula>
    </cfRule>
  </conditionalFormatting>
  <conditionalFormatting sqref="F364:AJ364 AK364">
    <cfRule type="expression" dxfId="15" priority="76" stopIfTrue="1">
      <formula>AND(ISNUMBER(F364),F364&gt;1)</formula>
    </cfRule>
  </conditionalFormatting>
  <conditionalFormatting sqref="F364:AJ364 AK364">
    <cfRule type="expression" dxfId="16" priority="77" stopIfTrue="1">
      <formula>AND(ISNUMBER(F364),F364&gt;=calculos!$B$6)</formula>
    </cfRule>
  </conditionalFormatting>
  <conditionalFormatting sqref="F364:AJ364 AK364">
    <cfRule type="expression" dxfId="17" priority="78" stopIfTrue="1">
      <formula>AND(ISNUMBER(F364),F364&gt;=calculos!$B$5)</formula>
    </cfRule>
  </conditionalFormatting>
  <conditionalFormatting sqref="F364:AJ364 AK364">
    <cfRule type="expression" dxfId="18" priority="79">
      <formula>ISNUMBER(F364)</formula>
    </cfRule>
  </conditionalFormatting>
  <conditionalFormatting sqref="F380:AJ380">
    <cfRule type="expression" dxfId="14" priority="80">
      <formula>AND(ISNUMBER(F380),F380&gt;0)</formula>
    </cfRule>
  </conditionalFormatting>
  <conditionalFormatting sqref="F385:AJ385 AK385">
    <cfRule type="expression" dxfId="15" priority="81" stopIfTrue="1">
      <formula>AND(ISNUMBER(F385),F385&gt;1)</formula>
    </cfRule>
  </conditionalFormatting>
  <conditionalFormatting sqref="F385:AJ385 AK385">
    <cfRule type="expression" dxfId="16" priority="82" stopIfTrue="1">
      <formula>AND(ISNUMBER(F385),F385&gt;=calculos!$B$6)</formula>
    </cfRule>
  </conditionalFormatting>
  <conditionalFormatting sqref="F385:AJ385 AK385">
    <cfRule type="expression" dxfId="17" priority="83" stopIfTrue="1">
      <formula>AND(ISNUMBER(F385),F385&gt;=calculos!$B$5)</formula>
    </cfRule>
  </conditionalFormatting>
  <conditionalFormatting sqref="F385:AJ385 AK385">
    <cfRule type="expression" dxfId="18" priority="84">
      <formula>ISNUMBER(F385)</formula>
    </cfRule>
  </conditionalFormatting>
  <conditionalFormatting sqref="F401:AJ401">
    <cfRule type="expression" dxfId="14" priority="85">
      <formula>AND(ISNUMBER(F401),F401&gt;0)</formula>
    </cfRule>
  </conditionalFormatting>
  <conditionalFormatting sqref="F406:AJ406 AK406">
    <cfRule type="expression" dxfId="15" priority="86" stopIfTrue="1">
      <formula>AND(ISNUMBER(F406),F406&gt;1)</formula>
    </cfRule>
  </conditionalFormatting>
  <conditionalFormatting sqref="F406:AJ406 AK406">
    <cfRule type="expression" dxfId="16" priority="87" stopIfTrue="1">
      <formula>AND(ISNUMBER(F406),F406&gt;=calculos!$B$6)</formula>
    </cfRule>
  </conditionalFormatting>
  <conditionalFormatting sqref="F406:AJ406 AK406">
    <cfRule type="expression" dxfId="17" priority="88" stopIfTrue="1">
      <formula>AND(ISNUMBER(F406),F406&gt;=calculos!$B$5)</formula>
    </cfRule>
  </conditionalFormatting>
  <conditionalFormatting sqref="F406:AJ406 AK406">
    <cfRule type="expression" dxfId="18" priority="89">
      <formula>ISNUMBER(F406)</formula>
    </cfRule>
  </conditionalFormatting>
  <dataValidations count="1">
    <dataValidation type="list" allowBlank="1" showInputMessage="1" showErrorMessage="1" promptTitle="Mês" prompt="Escolha o mês do ano. Toda a aba se atualiza." errorTitle="Valor inválido" error="Escolha um mês da lista." sqref="AE1">
      <formula1>calculos!$AL$12:$AL$23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95959"/>
    <pageSetUpPr fitToPage="1"/>
  </sheetPr>
  <dimension ref="A1:AA51"/>
  <sheetViews>
    <sheetView showGridLines="0" zoomScale="85" zoomScaleNormal="85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" customWidth="1"/>
    <col min="2" max="2" width="10" customWidth="1"/>
    <col min="3" max="3" width="10" customWidth="1"/>
    <col min="4" max="4" width="10" customWidth="1"/>
    <col min="5" max="5" width="10" customWidth="1"/>
    <col min="6" max="6" width="2.5" customWidth="1"/>
    <col min="7" max="7" width="10" customWidth="1"/>
    <col min="8" max="8" width="10" customWidth="1"/>
    <col min="9" max="9" width="10" customWidth="1"/>
    <col min="10" max="10" width="10" customWidth="1"/>
    <col min="11" max="11" width="2.5" customWidth="1"/>
    <col min="12" max="12" width="10" customWidth="1"/>
    <col min="13" max="13" width="10" customWidth="1"/>
    <col min="14" max="14" width="10" customWidth="1"/>
    <col min="15" max="15" width="10" customWidth="1"/>
    <col min="16" max="16" width="2.5" customWidth="1"/>
    <col min="17" max="17" width="10" customWidth="1"/>
    <col min="18" max="18" width="10" customWidth="1"/>
    <col min="19" max="19" width="10" customWidth="1"/>
    <col min="20" max="20" width="10" customWidth="1"/>
    <col min="21" max="21" width="2.5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2" customWidth="1"/>
  </cols>
  <sheetData>
    <row r="1" ht="34.5" customHeight="1">
      <c r="A1" s="97"/>
      <c r="B1" s="97"/>
      <c r="C1" s="97"/>
      <c r="D1" s="97"/>
      <c r="E1" s="97"/>
      <c r="F1" s="97"/>
      <c r="G1" s="137" t="inlineStr">
        <is>
          <t xml:space="preserve">CONSOL MENSAL · QUADRO DE INDICADORES</t>
        </is>
      </c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8" t="inlineStr">
        <is>
          <t xml:space="preserve">OUTUBRO · 2026</t>
        </is>
      </c>
      <c r="W1" s="138"/>
      <c r="X1" s="138"/>
      <c r="Y1" s="138"/>
      <c r="Z1" s="138"/>
      <c r="AA1" s="138"/>
    </row>
    <row r="3" ht="24" customHeight="1">
      <c r="B3" s="100" t="inlineStr">
        <is>
          <t xml:space="preserve">CLIENTE  ▸</t>
        </is>
      </c>
      <c r="C3" s="100"/>
      <c r="D3" s="101" t="inlineStr">
        <is>
          <t xml:space="preserve">Todos</t>
        </is>
      </c>
      <c r="E3" s="102"/>
      <c r="F3" s="102"/>
      <c r="G3" s="102"/>
      <c r="H3" s="102"/>
      <c r="I3" s="103"/>
      <c r="Q3" s="266" t="str">
        <f>IF(calculos_quadro!$B$9=0,"Sem dados na Base para o mês escolhido","Dados até "&amp;TEXT(calculos_quadro!$C$7+calculos_quadro!$B$9-1,"dd/mm")&amp;"/"&amp;YEAR(calculos_quadro!$C$7)&amp;" · comparação: "&amp;calculos_quadro!$B$8&amp;", dias 1 a "&amp;calculos_quadro!$B$9)</f>
        <v>Sem dados na Base para o mês escolhido</v>
      </c>
      <c r="R3" s="266"/>
      <c r="S3" s="266"/>
      <c r="T3" s="266"/>
      <c r="U3" s="266"/>
      <c r="V3" s="266"/>
      <c r="W3" s="266"/>
      <c r="X3" s="266"/>
      <c r="Y3" s="266"/>
      <c r="Z3" s="266"/>
    </row>
    <row r="5" ht="20" customHeight="1">
      <c r="B5" s="267" t="inlineStr">
        <is>
          <t xml:space="preserve">QUADRO DE INDICADORES · cliente e mês selecionados</t>
        </is>
      </c>
      <c r="C5" s="267"/>
      <c r="D5" s="267"/>
      <c r="E5" s="267"/>
      <c r="F5" s="267"/>
      <c r="G5" s="267"/>
      <c r="H5" s="267"/>
      <c r="I5" s="267"/>
      <c r="J5" s="267"/>
      <c r="K5" s="267"/>
      <c r="L5" s="267"/>
      <c r="M5" s="267"/>
      <c r="N5" s="267"/>
      <c r="O5" s="267"/>
      <c r="P5" s="267"/>
      <c r="Q5" s="267"/>
      <c r="R5" s="267"/>
      <c r="S5" s="267"/>
      <c r="T5" s="267"/>
      <c r="U5" s="267"/>
      <c r="V5" s="267"/>
      <c r="W5" s="267"/>
      <c r="X5" s="267"/>
      <c r="Y5" s="267"/>
      <c r="Z5" s="267"/>
    </row>
    <row r="6" ht="28" customHeight="1">
      <c r="B6" s="268" t="inlineStr">
        <is>
          <t xml:space="preserve">GRUPO</t>
        </is>
      </c>
      <c r="C6" s="269"/>
      <c r="D6" s="268" t="inlineStr">
        <is>
          <t xml:space="preserve">INDICADOR</t>
        </is>
      </c>
      <c r="E6" s="270"/>
      <c r="F6" s="270"/>
      <c r="G6" s="269"/>
      <c r="H6" s="271" t="inlineStr">
        <is>
          <t xml:space="preserve">META</t>
        </is>
      </c>
      <c r="I6" s="272"/>
      <c r="J6" s="271" t="inlineStr">
        <is>
          <t xml:space="preserve">REALIZADO</t>
        </is>
      </c>
      <c r="K6" s="273"/>
      <c r="L6" s="272"/>
      <c r="M6" s="271" t="inlineStr">
        <is>
          <t xml:space="preserve">MÉDIA / DIA</t>
        </is>
      </c>
      <c r="N6" s="272"/>
      <c r="O6" s="271" t="inlineStr">
        <is>
          <t xml:space="preserve">MÁXIMO NO DIA</t>
        </is>
      </c>
      <c r="P6" s="273"/>
      <c r="Q6" s="272"/>
      <c r="R6" s="271" t="inlineStr">
        <is>
          <t xml:space="preserve">MÊS ANTERIOR</t>
        </is>
      </c>
      <c r="S6" s="272"/>
      <c r="T6" s="271" t="inlineStr">
        <is>
          <t xml:space="preserve">VARIAÇÃO</t>
        </is>
      </c>
      <c r="U6" s="273"/>
      <c r="V6" s="272"/>
      <c r="W6" s="271" t="inlineStr">
        <is>
          <t xml:space="preserve">% DA META</t>
        </is>
      </c>
      <c r="X6" s="272"/>
      <c r="Y6" s="271" t="inlineStr">
        <is>
          <t xml:space="preserve">STATUS</t>
        </is>
      </c>
      <c r="Z6" s="272"/>
    </row>
    <row r="7" ht="16" customHeight="1">
      <c r="B7" s="484" t="inlineStr">
        <is>
          <t xml:space="preserve">IN</t>
        </is>
      </c>
      <c r="C7" s="155"/>
      <c r="D7" s="275" t="inlineStr">
        <is>
          <t xml:space="preserve">Veículos Recebidos</t>
        </is>
      </c>
      <c r="E7" s="274"/>
      <c r="F7" s="274"/>
      <c r="G7" s="274"/>
      <c r="H7" s="277" t="str">
        <f>IF(calculos_quadro!$B$281=0,"—",calculos_quadro!$C$48)</f>
        <v/>
      </c>
      <c r="I7" s="276"/>
      <c r="J7" s="279">
        <f>IF(calculos_quadro!$B$281=0,"—",calculos_quadro!$C$43)</f>
        <v>0</v>
      </c>
      <c r="K7" s="278"/>
      <c r="L7" s="278"/>
      <c r="M7" s="281" t="str">
        <f>IF(calculos_quadro!$B$281=0,"—",calculos_quadro!$C$44)</f>
        <v/>
      </c>
      <c r="N7" s="280"/>
      <c r="O7" s="283">
        <f>IF(calculos_quadro!$B$281=0,"—",calculos_quadro!$C$45)</f>
        <v>0</v>
      </c>
      <c r="P7" s="282"/>
      <c r="Q7" s="282"/>
      <c r="R7" s="283" t="str">
        <f>IF(calculos_quadro!$B$281=0,"—",calculos_quadro!$C$46)</f>
        <v/>
      </c>
      <c r="S7" s="282"/>
      <c r="T7" s="285" t="str">
        <f>IF(calculos_quadro!$B$281=0,"—",calculos_quadro!$C$47)</f>
        <v/>
      </c>
      <c r="U7" s="284"/>
      <c r="V7" s="284"/>
      <c r="W7" s="287" t="str">
        <f>IF(calculos_quadro!$B$281=0,"—",calculos_quadro!$C$49)</f>
        <v/>
      </c>
      <c r="X7" s="286"/>
      <c r="Y7" s="289" t="str">
        <f>IF(calculos_quadro!$B$281=0,"—",calculos_quadro!$C$50)</f>
        <v/>
      </c>
      <c r="Z7" s="290"/>
    </row>
    <row r="8" ht="16" customHeight="1">
      <c r="B8" s="485"/>
      <c r="C8" s="162"/>
      <c r="D8" s="292" t="inlineStr">
        <is>
          <t xml:space="preserve">Pallets Movimentados</t>
        </is>
      </c>
      <c r="E8" s="291"/>
      <c r="F8" s="291"/>
      <c r="G8" s="291"/>
      <c r="H8" s="294" t="str">
        <f>IF(calculos_quadro!$B$282=0,"—",calculos_quadro!$D$48)</f>
        <v/>
      </c>
      <c r="I8" s="293"/>
      <c r="J8" s="296">
        <f>IF(calculos_quadro!$B$282=0,"—",calculos_quadro!$D$43)</f>
        <v>0</v>
      </c>
      <c r="K8" s="295"/>
      <c r="L8" s="295"/>
      <c r="M8" s="298" t="str">
        <f>IF(calculos_quadro!$B$282=0,"—",calculos_quadro!$D$44)</f>
        <v/>
      </c>
      <c r="N8" s="297"/>
      <c r="O8" s="300">
        <f>IF(calculos_quadro!$B$282=0,"—",calculos_quadro!$D$45)</f>
        <v>0</v>
      </c>
      <c r="P8" s="299"/>
      <c r="Q8" s="299"/>
      <c r="R8" s="300" t="str">
        <f>IF(calculos_quadro!$B$282=0,"—",calculos_quadro!$D$46)</f>
        <v/>
      </c>
      <c r="S8" s="299"/>
      <c r="T8" s="302" t="str">
        <f>IF(calculos_quadro!$B$282=0,"—",calculos_quadro!$D$47)</f>
        <v/>
      </c>
      <c r="U8" s="301"/>
      <c r="V8" s="301"/>
      <c r="W8" s="304" t="str">
        <f>IF(calculos_quadro!$B$282=0,"—",calculos_quadro!$D$49)</f>
        <v/>
      </c>
      <c r="X8" s="303"/>
      <c r="Y8" s="306" t="str">
        <f>IF(calculos_quadro!$B$282=0,"—",calculos_quadro!$D$50)</f>
        <v/>
      </c>
      <c r="Z8" s="307"/>
    </row>
    <row r="9" ht="16" customHeight="1">
      <c r="B9" s="486"/>
      <c r="C9" s="169"/>
      <c r="D9" s="309" t="inlineStr">
        <is>
          <t xml:space="preserve">Toneladas Movimentadas</t>
        </is>
      </c>
      <c r="E9" s="308"/>
      <c r="F9" s="308"/>
      <c r="G9" s="308"/>
      <c r="H9" s="311" t="str">
        <f>IF(calculos_quadro!$B$283=0,"—",calculos_quadro!$E$48)</f>
        <v/>
      </c>
      <c r="I9" s="310"/>
      <c r="J9" s="313">
        <f>IF(calculos_quadro!$B$283=0,"—",calculos_quadro!$E$43)</f>
        <v>0</v>
      </c>
      <c r="K9" s="312"/>
      <c r="L9" s="312"/>
      <c r="M9" s="315" t="str">
        <f>IF(calculos_quadro!$B$283=0,"—",calculos_quadro!$E$44)</f>
        <v/>
      </c>
      <c r="N9" s="314"/>
      <c r="O9" s="315">
        <f>IF(calculos_quadro!$B$283=0,"—",calculos_quadro!$E$45)</f>
        <v>0</v>
      </c>
      <c r="P9" s="314"/>
      <c r="Q9" s="314"/>
      <c r="R9" s="315" t="str">
        <f>IF(calculos_quadro!$B$283=0,"—",calculos_quadro!$E$46)</f>
        <v/>
      </c>
      <c r="S9" s="314"/>
      <c r="T9" s="317" t="str">
        <f>IF(calculos_quadro!$B$283=0,"—",calculos_quadro!$E$47)</f>
        <v/>
      </c>
      <c r="U9" s="316"/>
      <c r="V9" s="316"/>
      <c r="W9" s="319" t="str">
        <f>IF(calculos_quadro!$B$283=0,"—",calculos_quadro!$E$49)</f>
        <v/>
      </c>
      <c r="X9" s="318"/>
      <c r="Y9" s="321" t="str">
        <f>IF(calculos_quadro!$B$283=0,"—",calculos_quadro!$E$50)</f>
        <v/>
      </c>
      <c r="Z9" s="322"/>
    </row>
    <row r="10" ht="16" customHeight="1">
      <c r="B10" s="487" t="inlineStr">
        <is>
          <t xml:space="preserve">OUT</t>
        </is>
      </c>
      <c r="C10" s="176"/>
      <c r="D10" s="324" t="inlineStr">
        <is>
          <t xml:space="preserve">Veículos Expedidos</t>
        </is>
      </c>
      <c r="E10" s="323"/>
      <c r="F10" s="323"/>
      <c r="G10" s="323"/>
      <c r="H10" s="326" t="str">
        <f>IF(calculos_quadro!$B$284=0,"—",calculos_quadro!$F$48)</f>
        <v/>
      </c>
      <c r="I10" s="325"/>
      <c r="J10" s="328">
        <f>IF(calculos_quadro!$B$284=0,"—",calculos_quadro!$F$43)</f>
        <v>0</v>
      </c>
      <c r="K10" s="327"/>
      <c r="L10" s="327"/>
      <c r="M10" s="330" t="str">
        <f>IF(calculos_quadro!$B$284=0,"—",calculos_quadro!$F$44)</f>
        <v/>
      </c>
      <c r="N10" s="329"/>
      <c r="O10" s="332">
        <f>IF(calculos_quadro!$B$284=0,"—",calculos_quadro!$F$45)</f>
        <v>0</v>
      </c>
      <c r="P10" s="331"/>
      <c r="Q10" s="331"/>
      <c r="R10" s="332" t="str">
        <f>IF(calculos_quadro!$B$284=0,"—",calculos_quadro!$F$46)</f>
        <v/>
      </c>
      <c r="S10" s="331"/>
      <c r="T10" s="334" t="str">
        <f>IF(calculos_quadro!$B$284=0,"—",calculos_quadro!$F$47)</f>
        <v/>
      </c>
      <c r="U10" s="333"/>
      <c r="V10" s="333"/>
      <c r="W10" s="336" t="str">
        <f>IF(calculos_quadro!$B$284=0,"—",calculos_quadro!$F$49)</f>
        <v/>
      </c>
      <c r="X10" s="335"/>
      <c r="Y10" s="338" t="str">
        <f>IF(calculos_quadro!$B$284=0,"—",calculos_quadro!$F$50)</f>
        <v/>
      </c>
      <c r="Z10" s="339"/>
    </row>
    <row r="11" ht="16" customHeight="1">
      <c r="B11" s="488"/>
      <c r="C11" s="183"/>
      <c r="D11" s="341" t="inlineStr">
        <is>
          <t xml:space="preserve">Pallets Movimentados</t>
        </is>
      </c>
      <c r="E11" s="340"/>
      <c r="F11" s="340"/>
      <c r="G11" s="340"/>
      <c r="H11" s="343" t="str">
        <f>IF(calculos_quadro!$B$285=0,"—",calculos_quadro!$G$48)</f>
        <v/>
      </c>
      <c r="I11" s="342"/>
      <c r="J11" s="345">
        <f>IF(calculos_quadro!$B$285=0,"—",calculos_quadro!$G$43)</f>
        <v>0</v>
      </c>
      <c r="K11" s="344"/>
      <c r="L11" s="344"/>
      <c r="M11" s="347" t="str">
        <f>IF(calculos_quadro!$B$285=0,"—",calculos_quadro!$G$44)</f>
        <v/>
      </c>
      <c r="N11" s="346"/>
      <c r="O11" s="349">
        <f>IF(calculos_quadro!$B$285=0,"—",calculos_quadro!$G$45)</f>
        <v>0</v>
      </c>
      <c r="P11" s="348"/>
      <c r="Q11" s="348"/>
      <c r="R11" s="349" t="str">
        <f>IF(calculos_quadro!$B$285=0,"—",calculos_quadro!$G$46)</f>
        <v/>
      </c>
      <c r="S11" s="348"/>
      <c r="T11" s="351" t="str">
        <f>IF(calculos_quadro!$B$285=0,"—",calculos_quadro!$G$47)</f>
        <v/>
      </c>
      <c r="U11" s="350"/>
      <c r="V11" s="350"/>
      <c r="W11" s="353" t="str">
        <f>IF(calculos_quadro!$B$285=0,"—",calculos_quadro!$G$49)</f>
        <v/>
      </c>
      <c r="X11" s="352"/>
      <c r="Y11" s="355" t="str">
        <f>IF(calculos_quadro!$B$285=0,"—",calculos_quadro!$G$50)</f>
        <v/>
      </c>
      <c r="Z11" s="356"/>
    </row>
    <row r="12" ht="16" customHeight="1">
      <c r="B12" s="489"/>
      <c r="C12" s="190"/>
      <c r="D12" s="358" t="inlineStr">
        <is>
          <t xml:space="preserve">Toneladas Movimentadas</t>
        </is>
      </c>
      <c r="E12" s="357"/>
      <c r="F12" s="357"/>
      <c r="G12" s="357"/>
      <c r="H12" s="360" t="str">
        <f>IF(calculos_quadro!$B$286=0,"—",calculos_quadro!$H$48)</f>
        <v/>
      </c>
      <c r="I12" s="359"/>
      <c r="J12" s="362">
        <f>IF(calculos_quadro!$B$286=0,"—",calculos_quadro!$H$43)</f>
        <v>0</v>
      </c>
      <c r="K12" s="361"/>
      <c r="L12" s="361"/>
      <c r="M12" s="364" t="str">
        <f>IF(calculos_quadro!$B$286=0,"—",calculos_quadro!$H$44)</f>
        <v/>
      </c>
      <c r="N12" s="363"/>
      <c r="O12" s="364">
        <f>IF(calculos_quadro!$B$286=0,"—",calculos_quadro!$H$45)</f>
        <v>0</v>
      </c>
      <c r="P12" s="363"/>
      <c r="Q12" s="363"/>
      <c r="R12" s="364" t="str">
        <f>IF(calculos_quadro!$B$286=0,"—",calculos_quadro!$H$46)</f>
        <v/>
      </c>
      <c r="S12" s="363"/>
      <c r="T12" s="366" t="str">
        <f>IF(calculos_quadro!$B$286=0,"—",calculos_quadro!$H$47)</f>
        <v/>
      </c>
      <c r="U12" s="365"/>
      <c r="V12" s="365"/>
      <c r="W12" s="368" t="str">
        <f>IF(calculos_quadro!$B$286=0,"—",calculos_quadro!$H$49)</f>
        <v/>
      </c>
      <c r="X12" s="367"/>
      <c r="Y12" s="370" t="str">
        <f>IF(calculos_quadro!$B$286=0,"—",calculos_quadro!$H$50)</f>
        <v/>
      </c>
      <c r="Z12" s="371"/>
    </row>
    <row r="13" ht="16" customHeight="1">
      <c r="B13" s="490" t="inlineStr">
        <is>
          <t xml:space="preserve">NC</t>
        </is>
      </c>
      <c r="C13" s="197"/>
      <c r="D13" s="373" t="inlineStr">
        <is>
          <t xml:space="preserve">Incidentes</t>
        </is>
      </c>
      <c r="E13" s="372"/>
      <c r="F13" s="372"/>
      <c r="G13" s="372"/>
      <c r="H13" s="375" t="str">
        <f>IF(calculos_quadro!$B$287=0,"—",calculos_quadro!$I$48)</f>
        <v/>
      </c>
      <c r="I13" s="374"/>
      <c r="J13" s="377">
        <f>IF(calculos_quadro!$B$287=0,"—",calculos_quadro!$I$43)</f>
        <v>0</v>
      </c>
      <c r="K13" s="376"/>
      <c r="L13" s="376"/>
      <c r="M13" s="379" t="str">
        <f>IF(calculos_quadro!$B$287=0,"—",calculos_quadro!$I$44)</f>
        <v/>
      </c>
      <c r="N13" s="378"/>
      <c r="O13" s="381">
        <f>IF(calculos_quadro!$B$287=0,"—",calculos_quadro!$I$45)</f>
        <v>0</v>
      </c>
      <c r="P13" s="380"/>
      <c r="Q13" s="380"/>
      <c r="R13" s="381" t="str">
        <f>IF(calculos_quadro!$B$287=0,"—",calculos_quadro!$I$46)</f>
        <v/>
      </c>
      <c r="S13" s="380"/>
      <c r="T13" s="383" t="str">
        <f>IF(calculos_quadro!$B$287=0,"—",calculos_quadro!$I$47)</f>
        <v/>
      </c>
      <c r="U13" s="382"/>
      <c r="V13" s="382"/>
      <c r="W13" s="385" t="str">
        <f>IF(calculos_quadro!$B$287=0,"—",calculos_quadro!$I$49)</f>
        <v/>
      </c>
      <c r="X13" s="384"/>
      <c r="Y13" s="387" t="str">
        <f>IF(calculos_quadro!$B$287=0,"—",calculos_quadro!$I$50)</f>
        <v/>
      </c>
      <c r="Z13" s="388"/>
    </row>
    <row r="14" ht="16" customHeight="1">
      <c r="B14" s="491"/>
      <c r="C14" s="204"/>
      <c r="D14" s="390" t="inlineStr">
        <is>
          <t xml:space="preserve">No show</t>
        </is>
      </c>
      <c r="E14" s="389"/>
      <c r="F14" s="389"/>
      <c r="G14" s="389"/>
      <c r="H14" s="392" t="str">
        <f>IF(calculos_quadro!$B$288=0,"—",calculos_quadro!$J$48)</f>
        <v/>
      </c>
      <c r="I14" s="391"/>
      <c r="J14" s="394">
        <f>IF(calculos_quadro!$B$288=0,"—",calculos_quadro!$J$43)</f>
        <v>0</v>
      </c>
      <c r="K14" s="393"/>
      <c r="L14" s="393"/>
      <c r="M14" s="396" t="str">
        <f>IF(calculos_quadro!$B$288=0,"—",calculos_quadro!$J$44)</f>
        <v/>
      </c>
      <c r="N14" s="395"/>
      <c r="O14" s="398">
        <f>IF(calculos_quadro!$B$288=0,"—",calculos_quadro!$J$45)</f>
        <v>0</v>
      </c>
      <c r="P14" s="397"/>
      <c r="Q14" s="397"/>
      <c r="R14" s="398" t="str">
        <f>IF(calculos_quadro!$B$288=0,"—",calculos_quadro!$J$46)</f>
        <v/>
      </c>
      <c r="S14" s="397"/>
      <c r="T14" s="400" t="str">
        <f>IF(calculos_quadro!$B$288=0,"—",calculos_quadro!$J$47)</f>
        <v/>
      </c>
      <c r="U14" s="399"/>
      <c r="V14" s="399"/>
      <c r="W14" s="402" t="str">
        <f>IF(calculos_quadro!$B$288=0,"—",calculos_quadro!$J$49)</f>
        <v/>
      </c>
      <c r="X14" s="401"/>
      <c r="Y14" s="404" t="str">
        <f>IF(calculos_quadro!$B$288=0,"—",calculos_quadro!$J$50)</f>
        <v/>
      </c>
      <c r="Z14" s="405"/>
    </row>
    <row r="15" ht="16" customHeight="1">
      <c r="B15" s="492"/>
      <c r="C15" s="211"/>
      <c r="D15" s="407" t="inlineStr">
        <is>
          <t xml:space="preserve">Backlog</t>
        </is>
      </c>
      <c r="E15" s="406"/>
      <c r="F15" s="406"/>
      <c r="G15" s="406"/>
      <c r="H15" s="409" t="str">
        <f>IF(calculos_quadro!$B$289=0,"—",calculos_quadro!$K$48)</f>
        <v/>
      </c>
      <c r="I15" s="408"/>
      <c r="J15" s="411" t="str">
        <f>IF(calculos_quadro!$B$289=0,"—",calculos_quadro!$K$43)</f>
        <v/>
      </c>
      <c r="K15" s="410"/>
      <c r="L15" s="410"/>
      <c r="M15" s="413" t="str">
        <f>IF(calculos_quadro!$B$289=0,"—",calculos_quadro!$K$44)</f>
        <v/>
      </c>
      <c r="N15" s="412"/>
      <c r="O15" s="415" t="str">
        <f>IF(calculos_quadro!$B$289=0,"—",calculos_quadro!$K$45)</f>
        <v/>
      </c>
      <c r="P15" s="414"/>
      <c r="Q15" s="414"/>
      <c r="R15" s="415" t="str">
        <f>IF(calculos_quadro!$B$289=0,"—",calculos_quadro!$K$46)</f>
        <v/>
      </c>
      <c r="S15" s="414"/>
      <c r="T15" s="417" t="str">
        <f>IF(calculos_quadro!$B$289=0,"—",calculos_quadro!$K$47)</f>
        <v/>
      </c>
      <c r="U15" s="416"/>
      <c r="V15" s="416"/>
      <c r="W15" s="419" t="str">
        <f>IF(calculos_quadro!$B$289=0,"—",calculos_quadro!$K$49)</f>
        <v/>
      </c>
      <c r="X15" s="418"/>
      <c r="Y15" s="421" t="str">
        <f>IF(calculos_quadro!$B$289=0,"—",calculos_quadro!$K$50)</f>
        <v/>
      </c>
      <c r="Z15" s="422"/>
    </row>
    <row r="16" ht="16" customHeight="1">
      <c r="B16" s="484" t="inlineStr">
        <is>
          <t xml:space="preserve">OCUPAÇÃO (P.P)</t>
        </is>
      </c>
      <c r="C16" s="155"/>
      <c r="D16" s="275" t="inlineStr">
        <is>
          <t xml:space="preserve">Posições Disponíveis</t>
        </is>
      </c>
      <c r="E16" s="274"/>
      <c r="F16" s="274"/>
      <c r="G16" s="274"/>
      <c r="H16" s="277" t="str">
        <f>IF(calculos_quadro!$B$290=0,"—",calculos_quadro!$L$48)</f>
        <v/>
      </c>
      <c r="I16" s="276"/>
      <c r="J16" s="424" t="str">
        <f>IF(calculos_quadro!$B$290=0,"—",calculos_quadro!$L$43)</f>
        <v/>
      </c>
      <c r="K16" s="423"/>
      <c r="L16" s="423"/>
      <c r="M16" s="281"/>
      <c r="N16" s="280"/>
      <c r="O16" s="426" t="str">
        <f>IF(calculos_quadro!$B$290=0,"—",calculos_quadro!$L$45)</f>
        <v/>
      </c>
      <c r="P16" s="425"/>
      <c r="Q16" s="425"/>
      <c r="R16" s="426" t="str">
        <f>IF(calculos_quadro!$B$290=0,"—",calculos_quadro!$L$46)</f>
        <v/>
      </c>
      <c r="S16" s="425"/>
      <c r="T16" s="285" t="str">
        <f>IF(calculos_quadro!$B$290=0,"—",calculos_quadro!$L$47)</f>
        <v/>
      </c>
      <c r="U16" s="284"/>
      <c r="V16" s="284"/>
      <c r="W16" s="287" t="str">
        <f>IF(calculos_quadro!$B$290=0,"—",calculos_quadro!$L$49)</f>
        <v/>
      </c>
      <c r="X16" s="286"/>
      <c r="Y16" s="289" t="str">
        <f>IF(calculos_quadro!$B$290=0,"—",calculos_quadro!$L$50)</f>
        <v/>
      </c>
      <c r="Z16" s="290"/>
    </row>
    <row r="17" ht="16" customHeight="1">
      <c r="B17" s="485"/>
      <c r="C17" s="162"/>
      <c r="D17" s="292" t="inlineStr">
        <is>
          <t xml:space="preserve">Posições Ocupadas</t>
        </is>
      </c>
      <c r="E17" s="291"/>
      <c r="F17" s="291"/>
      <c r="G17" s="291"/>
      <c r="H17" s="294" t="str">
        <f>IF(calculos_quadro!$B$291=0,"—",calculos_quadro!$M$48)</f>
        <v/>
      </c>
      <c r="I17" s="293"/>
      <c r="J17" s="296" t="str">
        <f>IF(calculos_quadro!$B$291=0,"—",calculos_quadro!$M$43)</f>
        <v/>
      </c>
      <c r="K17" s="295"/>
      <c r="L17" s="295"/>
      <c r="M17" s="298" t="str">
        <f>IF(calculos_quadro!$B$291=0,"—",calculos_quadro!$M$44)</f>
        <v/>
      </c>
      <c r="N17" s="297"/>
      <c r="O17" s="300" t="str">
        <f>IF(calculos_quadro!$B$291=0,"—",calculos_quadro!$M$45)</f>
        <v/>
      </c>
      <c r="P17" s="299"/>
      <c r="Q17" s="299"/>
      <c r="R17" s="300" t="str">
        <f>IF(calculos_quadro!$B$291=0,"—",calculos_quadro!$M$46)</f>
        <v/>
      </c>
      <c r="S17" s="299"/>
      <c r="T17" s="302" t="str">
        <f>IF(calculos_quadro!$B$291=0,"—",calculos_quadro!$M$47)</f>
        <v/>
      </c>
      <c r="U17" s="301"/>
      <c r="V17" s="301"/>
      <c r="W17" s="304" t="str">
        <f>IF(calculos_quadro!$B$291=0,"—",calculos_quadro!$M$49)</f>
        <v/>
      </c>
      <c r="X17" s="303"/>
      <c r="Y17" s="306" t="str">
        <f>IF(calculos_quadro!$B$291=0,"—",calculos_quadro!$M$50)</f>
        <v/>
      </c>
      <c r="Z17" s="307"/>
    </row>
    <row r="18" ht="16" customHeight="1">
      <c r="B18" s="486"/>
      <c r="C18" s="169"/>
      <c r="D18" s="309" t="inlineStr">
        <is>
          <t xml:space="preserve">Taxa de Ocupação</t>
        </is>
      </c>
      <c r="E18" s="308"/>
      <c r="F18" s="308"/>
      <c r="G18" s="308"/>
      <c r="H18" s="428" t="str">
        <f>IF(calculos_quadro!$B$292=0,"—",calculos_quadro!$N$48)</f>
        <v/>
      </c>
      <c r="I18" s="427"/>
      <c r="J18" s="430" t="str">
        <f>IF(calculos_quadro!$B$292=0,"—",calculos_quadro!$N$43)</f>
        <v/>
      </c>
      <c r="K18" s="429"/>
      <c r="L18" s="429"/>
      <c r="M18" s="432" t="str">
        <f>IF(calculos_quadro!$B$292=0,"—",calculos_quadro!$N$44)</f>
        <v/>
      </c>
      <c r="N18" s="431"/>
      <c r="O18" s="432" t="str">
        <f>IF(calculos_quadro!$B$292=0,"—",calculos_quadro!$N$45)</f>
        <v/>
      </c>
      <c r="P18" s="431"/>
      <c r="Q18" s="431"/>
      <c r="R18" s="432" t="str">
        <f>IF(calculos_quadro!$B$292=0,"—",calculos_quadro!$N$46)</f>
        <v/>
      </c>
      <c r="S18" s="431"/>
      <c r="T18" s="317" t="str">
        <f>IF(calculos_quadro!$B$292=0,"—",calculos_quadro!$N$47)</f>
        <v/>
      </c>
      <c r="U18" s="316"/>
      <c r="V18" s="316"/>
      <c r="W18" s="319" t="str">
        <f>IF(calculos_quadro!$B$292=0,"—",calculos_quadro!$N$49)</f>
        <v/>
      </c>
      <c r="X18" s="318"/>
      <c r="Y18" s="321" t="str">
        <f>IF(calculos_quadro!$B$292=0,"—",calculos_quadro!$N$50)</f>
        <v/>
      </c>
      <c r="Z18" s="322"/>
    </row>
    <row r="19" ht="16" customHeight="1">
      <c r="B19" s="493" t="inlineStr">
        <is>
          <t xml:space="preserve">GENTE</t>
        </is>
      </c>
      <c r="C19" s="221"/>
      <c r="D19" s="434" t="inlineStr">
        <is>
          <t xml:space="preserve">Efetivo Op.</t>
        </is>
      </c>
      <c r="E19" s="433"/>
      <c r="F19" s="433"/>
      <c r="G19" s="433"/>
      <c r="H19" s="436" t="str">
        <f>IF(calculos_quadro!$B$293=0,"—",calculos_quadro!$O$48)</f>
        <v/>
      </c>
      <c r="I19" s="435"/>
      <c r="J19" s="438" t="str">
        <f>IF(calculos_quadro!$B$293=0,"—",calculos_quadro!$O$43)</f>
        <v/>
      </c>
      <c r="K19" s="437"/>
      <c r="L19" s="437"/>
      <c r="M19" s="440" t="str">
        <f>IF(calculos_quadro!$B$293=0,"—",calculos_quadro!$O$44)</f>
        <v/>
      </c>
      <c r="N19" s="439"/>
      <c r="O19" s="442" t="str">
        <f>IF(calculos_quadro!$B$293=0,"—",calculos_quadro!$O$45)</f>
        <v/>
      </c>
      <c r="P19" s="441"/>
      <c r="Q19" s="441"/>
      <c r="R19" s="442" t="str">
        <f>IF(calculos_quadro!$B$293=0,"—",calculos_quadro!$O$46)</f>
        <v/>
      </c>
      <c r="S19" s="441"/>
      <c r="T19" s="444" t="str">
        <f>IF(calculos_quadro!$B$293=0,"—",calculos_quadro!$O$47)</f>
        <v/>
      </c>
      <c r="U19" s="443"/>
      <c r="V19" s="443"/>
      <c r="W19" s="446" t="str">
        <f>IF(calculos_quadro!$B$293=0,"—",calculos_quadro!$O$49)</f>
        <v/>
      </c>
      <c r="X19" s="445"/>
      <c r="Y19" s="448" t="str">
        <f>IF(calculos_quadro!$B$293=0,"—",calculos_quadro!$O$50)</f>
        <v/>
      </c>
      <c r="Z19" s="449"/>
    </row>
    <row r="20" ht="16" customHeight="1">
      <c r="B20" s="494"/>
      <c r="C20" s="228"/>
      <c r="D20" s="451" t="inlineStr">
        <is>
          <t xml:space="preserve">Falta</t>
        </is>
      </c>
      <c r="E20" s="450"/>
      <c r="F20" s="450"/>
      <c r="G20" s="450"/>
      <c r="H20" s="453" t="str">
        <f>IF(calculos_quadro!$B$294=0,"—",calculos_quadro!$P$48)</f>
        <v/>
      </c>
      <c r="I20" s="452"/>
      <c r="J20" s="455">
        <f>IF(calculos_quadro!$B$294=0,"—",calculos_quadro!$P$43)</f>
        <v>0</v>
      </c>
      <c r="K20" s="454"/>
      <c r="L20" s="454"/>
      <c r="M20" s="457" t="str">
        <f>IF(calculos_quadro!$B$294=0,"—",calculos_quadro!$P$44)</f>
        <v/>
      </c>
      <c r="N20" s="456"/>
      <c r="O20" s="459">
        <f>IF(calculos_quadro!$B$294=0,"—",calculos_quadro!$P$45)</f>
        <v>0</v>
      </c>
      <c r="P20" s="458"/>
      <c r="Q20" s="458"/>
      <c r="R20" s="459" t="str">
        <f>IF(calculos_quadro!$B$294=0,"—",calculos_quadro!$P$46)</f>
        <v/>
      </c>
      <c r="S20" s="458"/>
      <c r="T20" s="461" t="str">
        <f>IF(calculos_quadro!$B$294=0,"—",calculos_quadro!$P$47)</f>
        <v/>
      </c>
      <c r="U20" s="460"/>
      <c r="V20" s="460"/>
      <c r="W20" s="463" t="str">
        <f>IF(calculos_quadro!$B$294=0,"—",calculos_quadro!$P$49)</f>
        <v/>
      </c>
      <c r="X20" s="462"/>
      <c r="Y20" s="465" t="str">
        <f>IF(calculos_quadro!$B$294=0,"—",calculos_quadro!$P$50)</f>
        <v/>
      </c>
      <c r="Z20" s="466"/>
    </row>
    <row r="21" ht="16" customHeight="1">
      <c r="B21" s="494"/>
      <c r="C21" s="228"/>
      <c r="D21" s="451" t="inlineStr">
        <is>
          <t xml:space="preserve">Folga</t>
        </is>
      </c>
      <c r="E21" s="450"/>
      <c r="F21" s="450"/>
      <c r="G21" s="450"/>
      <c r="H21" s="453" t="str">
        <f>IF(calculos_quadro!$B$295=0,"—",calculos_quadro!$Q$48)</f>
        <v/>
      </c>
      <c r="I21" s="452"/>
      <c r="J21" s="455">
        <f>IF(calculos_quadro!$B$295=0,"—",calculos_quadro!$Q$43)</f>
        <v>0</v>
      </c>
      <c r="K21" s="454"/>
      <c r="L21" s="454"/>
      <c r="M21" s="457" t="str">
        <f>IF(calculos_quadro!$B$295=0,"—",calculos_quadro!$Q$44)</f>
        <v/>
      </c>
      <c r="N21" s="456"/>
      <c r="O21" s="459">
        <f>IF(calculos_quadro!$B$295=0,"—",calculos_quadro!$Q$45)</f>
        <v>0</v>
      </c>
      <c r="P21" s="458"/>
      <c r="Q21" s="458"/>
      <c r="R21" s="459" t="str">
        <f>IF(calculos_quadro!$B$295=0,"—",calculos_quadro!$Q$46)</f>
        <v/>
      </c>
      <c r="S21" s="458"/>
      <c r="T21" s="461" t="str">
        <f>IF(calculos_quadro!$B$295=0,"—",calculos_quadro!$Q$47)</f>
        <v/>
      </c>
      <c r="U21" s="460"/>
      <c r="V21" s="460"/>
      <c r="W21" s="463" t="str">
        <f>IF(calculos_quadro!$B$295=0,"—",calculos_quadro!$Q$49)</f>
        <v/>
      </c>
      <c r="X21" s="462"/>
      <c r="Y21" s="465" t="str">
        <f>IF(calculos_quadro!$B$295=0,"—",calculos_quadro!$Q$50)</f>
        <v/>
      </c>
      <c r="Z21" s="466"/>
    </row>
    <row r="22" ht="16" customHeight="1">
      <c r="B22" s="494"/>
      <c r="C22" s="228"/>
      <c r="D22" s="451" t="inlineStr">
        <is>
          <t xml:space="preserve">Férias</t>
        </is>
      </c>
      <c r="E22" s="450"/>
      <c r="F22" s="450"/>
      <c r="G22" s="450"/>
      <c r="H22" s="453" t="str">
        <f>IF(calculos_quadro!$B$296=0,"—",calculos_quadro!$R$48)</f>
        <v/>
      </c>
      <c r="I22" s="452"/>
      <c r="J22" s="455">
        <f>IF(calculos_quadro!$B$296=0,"—",calculos_quadro!$R$43)</f>
        <v>0</v>
      </c>
      <c r="K22" s="454"/>
      <c r="L22" s="454"/>
      <c r="M22" s="457" t="str">
        <f>IF(calculos_quadro!$B$296=0,"—",calculos_quadro!$R$44)</f>
        <v/>
      </c>
      <c r="N22" s="456"/>
      <c r="O22" s="459">
        <f>IF(calculos_quadro!$B$296=0,"—",calculos_quadro!$R$45)</f>
        <v>0</v>
      </c>
      <c r="P22" s="458"/>
      <c r="Q22" s="458"/>
      <c r="R22" s="459" t="str">
        <f>IF(calculos_quadro!$B$296=0,"—",calculos_quadro!$R$46)</f>
        <v/>
      </c>
      <c r="S22" s="458"/>
      <c r="T22" s="461" t="str">
        <f>IF(calculos_quadro!$B$296=0,"—",calculos_quadro!$R$47)</f>
        <v/>
      </c>
      <c r="U22" s="460"/>
      <c r="V22" s="460"/>
      <c r="W22" s="463" t="str">
        <f>IF(calculos_quadro!$B$296=0,"—",calculos_quadro!$R$49)</f>
        <v/>
      </c>
      <c r="X22" s="462"/>
      <c r="Y22" s="465" t="str">
        <f>IF(calculos_quadro!$B$296=0,"—",calculos_quadro!$R$50)</f>
        <v/>
      </c>
      <c r="Z22" s="466"/>
    </row>
    <row r="23" ht="16" customHeight="1">
      <c r="B23" s="494"/>
      <c r="C23" s="228"/>
      <c r="D23" s="451" t="inlineStr">
        <is>
          <t xml:space="preserve">Desligamento</t>
        </is>
      </c>
      <c r="E23" s="450"/>
      <c r="F23" s="450"/>
      <c r="G23" s="450"/>
      <c r="H23" s="453" t="str">
        <f>IF(calculos_quadro!$B$297=0,"—",calculos_quadro!$S$48)</f>
        <v/>
      </c>
      <c r="I23" s="452"/>
      <c r="J23" s="455">
        <f>IF(calculos_quadro!$B$297=0,"—",calculos_quadro!$S$43)</f>
        <v>0</v>
      </c>
      <c r="K23" s="454"/>
      <c r="L23" s="454"/>
      <c r="M23" s="457" t="str">
        <f>IF(calculos_quadro!$B$297=0,"—",calculos_quadro!$S$44)</f>
        <v/>
      </c>
      <c r="N23" s="456"/>
      <c r="O23" s="459">
        <f>IF(calculos_quadro!$B$297=0,"—",calculos_quadro!$S$45)</f>
        <v>0</v>
      </c>
      <c r="P23" s="458"/>
      <c r="Q23" s="458"/>
      <c r="R23" s="459" t="str">
        <f>IF(calculos_quadro!$B$297=0,"—",calculos_quadro!$S$46)</f>
        <v/>
      </c>
      <c r="S23" s="458"/>
      <c r="T23" s="461" t="str">
        <f>IF(calculos_quadro!$B$297=0,"—",calculos_quadro!$S$47)</f>
        <v/>
      </c>
      <c r="U23" s="460"/>
      <c r="V23" s="460"/>
      <c r="W23" s="463" t="str">
        <f>IF(calculos_quadro!$B$297=0,"—",calculos_quadro!$S$49)</f>
        <v/>
      </c>
      <c r="X23" s="462"/>
      <c r="Y23" s="465" t="str">
        <f>IF(calculos_quadro!$B$297=0,"—",calculos_quadro!$S$50)</f>
        <v/>
      </c>
      <c r="Z23" s="466"/>
    </row>
    <row r="24" ht="16" customHeight="1">
      <c r="B24" s="494"/>
      <c r="C24" s="228"/>
      <c r="D24" s="451" t="inlineStr">
        <is>
          <t xml:space="preserve">Desvios Comportamentais</t>
        </is>
      </c>
      <c r="E24" s="450"/>
      <c r="F24" s="450"/>
      <c r="G24" s="450"/>
      <c r="H24" s="453" t="str">
        <f>IF(calculos_quadro!$B$298=0,"—",calculos_quadro!$T$48)</f>
        <v/>
      </c>
      <c r="I24" s="452"/>
      <c r="J24" s="455">
        <f>IF(calculos_quadro!$B$298=0,"—",calculos_quadro!$T$43)</f>
        <v>0</v>
      </c>
      <c r="K24" s="454"/>
      <c r="L24" s="454"/>
      <c r="M24" s="457" t="str">
        <f>IF(calculos_quadro!$B$298=0,"—",calculos_quadro!$T$44)</f>
        <v/>
      </c>
      <c r="N24" s="456"/>
      <c r="O24" s="459">
        <f>IF(calculos_quadro!$B$298=0,"—",calculos_quadro!$T$45)</f>
        <v>0</v>
      </c>
      <c r="P24" s="458"/>
      <c r="Q24" s="458"/>
      <c r="R24" s="459" t="str">
        <f>IF(calculos_quadro!$B$298=0,"—",calculos_quadro!$T$46)</f>
        <v/>
      </c>
      <c r="S24" s="458"/>
      <c r="T24" s="461" t="str">
        <f>IF(calculos_quadro!$B$298=0,"—",calculos_quadro!$T$47)</f>
        <v/>
      </c>
      <c r="U24" s="460"/>
      <c r="V24" s="460"/>
      <c r="W24" s="463" t="str">
        <f>IF(calculos_quadro!$B$298=0,"—",calculos_quadro!$T$49)</f>
        <v/>
      </c>
      <c r="X24" s="462"/>
      <c r="Y24" s="465" t="str">
        <f>IF(calculos_quadro!$B$298=0,"—",calculos_quadro!$T$50)</f>
        <v/>
      </c>
      <c r="Z24" s="466"/>
    </row>
    <row r="25" ht="16" customHeight="1">
      <c r="B25" s="494"/>
      <c r="C25" s="228"/>
      <c r="D25" s="451" t="inlineStr">
        <is>
          <t xml:space="preserve">Acidentes CAF</t>
        </is>
      </c>
      <c r="E25" s="450"/>
      <c r="F25" s="450"/>
      <c r="G25" s="450"/>
      <c r="H25" s="453" t="str">
        <f>IF(calculos_quadro!$B$299=0,"—",calculos_quadro!$U$48)</f>
        <v/>
      </c>
      <c r="I25" s="452"/>
      <c r="J25" s="455">
        <f>IF(calculos_quadro!$B$299=0,"—",calculos_quadro!$U$43)</f>
        <v>0</v>
      </c>
      <c r="K25" s="454"/>
      <c r="L25" s="454"/>
      <c r="M25" s="457" t="str">
        <f>IF(calculos_quadro!$B$299=0,"—",calculos_quadro!$U$44)</f>
        <v/>
      </c>
      <c r="N25" s="456"/>
      <c r="O25" s="459">
        <f>IF(calculos_quadro!$B$299=0,"—",calculos_quadro!$U$45)</f>
        <v>0</v>
      </c>
      <c r="P25" s="458"/>
      <c r="Q25" s="458"/>
      <c r="R25" s="459" t="str">
        <f>IF(calculos_quadro!$B$299=0,"—",calculos_quadro!$U$46)</f>
        <v/>
      </c>
      <c r="S25" s="458"/>
      <c r="T25" s="461" t="str">
        <f>IF(calculos_quadro!$B$299=0,"—",calculos_quadro!$U$47)</f>
        <v/>
      </c>
      <c r="U25" s="460"/>
      <c r="V25" s="460"/>
      <c r="W25" s="463" t="str">
        <f>IF(calculos_quadro!$B$299=0,"—",calculos_quadro!$U$49)</f>
        <v/>
      </c>
      <c r="X25" s="462"/>
      <c r="Y25" s="465" t="str">
        <f>IF(calculos_quadro!$B$299=0,"—",calculos_quadro!$U$50)</f>
        <v/>
      </c>
      <c r="Z25" s="466"/>
    </row>
    <row r="26" ht="16" customHeight="1">
      <c r="B26" s="495"/>
      <c r="C26" s="235"/>
      <c r="D26" s="468" t="inlineStr">
        <is>
          <t xml:space="preserve">Acidentes SAF</t>
        </is>
      </c>
      <c r="E26" s="467"/>
      <c r="F26" s="467"/>
      <c r="G26" s="467"/>
      <c r="H26" s="470" t="str">
        <f>IF(calculos_quadro!$B$300=0,"—",calculos_quadro!$V$48)</f>
        <v/>
      </c>
      <c r="I26" s="469"/>
      <c r="J26" s="472">
        <f>IF(calculos_quadro!$B$300=0,"—",calculos_quadro!$V$43)</f>
        <v>0</v>
      </c>
      <c r="K26" s="471"/>
      <c r="L26" s="471"/>
      <c r="M26" s="474" t="str">
        <f>IF(calculos_quadro!$B$300=0,"—",calculos_quadro!$V$44)</f>
        <v/>
      </c>
      <c r="N26" s="473"/>
      <c r="O26" s="476">
        <f>IF(calculos_quadro!$B$300=0,"—",calculos_quadro!$V$45)</f>
        <v>0</v>
      </c>
      <c r="P26" s="475"/>
      <c r="Q26" s="475"/>
      <c r="R26" s="476" t="str">
        <f>IF(calculos_quadro!$B$300=0,"—",calculos_quadro!$V$46)</f>
        <v/>
      </c>
      <c r="S26" s="475"/>
      <c r="T26" s="478" t="str">
        <f>IF(calculos_quadro!$B$300=0,"—",calculos_quadro!$V$47)</f>
        <v/>
      </c>
      <c r="U26" s="477"/>
      <c r="V26" s="477"/>
      <c r="W26" s="480" t="str">
        <f>IF(calculos_quadro!$B$300=0,"—",calculos_quadro!$V$49)</f>
        <v/>
      </c>
      <c r="X26" s="479"/>
      <c r="Y26" s="482" t="str">
        <f>IF(calculos_quadro!$B$300=0,"—",calculos_quadro!$V$50)</f>
        <v/>
      </c>
      <c r="Z26" s="483"/>
    </row>
    <row r="27">
      <c r="B27" s="31" t="inlineStr">
        <is>
          <t xml:space="preserve">Realizado: soma do mês nos fluxos (IN, OUT, incidentes, no show, falta, folga, férias, desligamento); último valor informado por cliente em backlog, posições, taxa e efetivo (dia sem lançamento mantém o valor anterior). Média/dia: dias com movimento. Metas e faixas: aba calculos (células amarelas). Vazio = sem registro.</t>
        </is>
      </c>
    </row>
    <row r="29" ht="20" customHeight="1">
      <c r="B29" s="267" t="inlineStr">
        <is>
          <t xml:space="preserve">RESUMO POR CLIENTE · mês inteiro · segue o filtro desta aba</t>
        </is>
      </c>
      <c r="C29" s="267"/>
      <c r="D29" s="267"/>
      <c r="E29" s="267"/>
      <c r="F29" s="267"/>
      <c r="G29" s="267"/>
      <c r="H29" s="267"/>
      <c r="I29" s="267"/>
      <c r="J29" s="267"/>
      <c r="K29" s="267"/>
      <c r="L29" s="267"/>
      <c r="M29" s="267"/>
      <c r="N29" s="267"/>
      <c r="O29" s="267"/>
      <c r="P29" s="267"/>
      <c r="Q29" s="267"/>
      <c r="R29" s="267"/>
      <c r="S29" s="267"/>
      <c r="T29" s="267"/>
      <c r="U29" s="267"/>
      <c r="V29" s="267"/>
      <c r="W29" s="267"/>
      <c r="X29" s="267"/>
      <c r="Y29" s="267"/>
      <c r="Z29" s="267"/>
    </row>
    <row r="30" ht="30" customHeight="1">
      <c r="B30" s="496" t="inlineStr">
        <is>
          <t xml:space="preserve">GRUPO</t>
        </is>
      </c>
      <c r="C30" s="497"/>
      <c r="D30" s="496" t="inlineStr">
        <is>
          <t xml:space="preserve">INDICADOR</t>
        </is>
      </c>
      <c r="E30" s="498"/>
      <c r="F30" s="498"/>
      <c r="G30" s="497"/>
      <c r="H30" s="499" t="str">
        <f>calculos_quadro!$G$258&amp;""</f>
        <v>Barry Callebaut</v>
      </c>
      <c r="I30" s="499" t="str">
        <f>calculos_quadro!$G$259&amp;""</f>
        <v>GM</v>
      </c>
      <c r="J30" s="500" t="str">
        <f>calculos_quadro!$G$260&amp;""</f>
        <v>Mondelez</v>
      </c>
      <c r="K30" s="501"/>
      <c r="L30" s="499" t="str">
        <f>calculos_quadro!$G$261&amp;""</f>
        <v>Nestlé</v>
      </c>
      <c r="M30" s="499" t="str">
        <f>calculos_quadro!$G$262&amp;""</f>
        <v>PMB</v>
      </c>
      <c r="N30" s="499" t="str">
        <f>calculos_quadro!$G$263&amp;""</f>
        <v/>
      </c>
      <c r="O30" s="500" t="str">
        <f>calculos_quadro!$G$264&amp;""</f>
        <v/>
      </c>
      <c r="P30" s="501"/>
      <c r="Q30" s="499" t="str">
        <f>calculos_quadro!$G$265&amp;""</f>
        <v/>
      </c>
      <c r="R30" s="499" t="str">
        <f>calculos_quadro!$G$266&amp;""</f>
        <v/>
      </c>
      <c r="S30" s="499" t="str">
        <f>calculos_quadro!$G$267&amp;""</f>
        <v/>
      </c>
      <c r="T30" s="500" t="str">
        <f>calculos_quadro!$G$268&amp;""</f>
        <v/>
      </c>
      <c r="U30" s="501"/>
      <c r="V30" s="499" t="str">
        <f>calculos_quadro!$G$269&amp;""</f>
        <v/>
      </c>
      <c r="W30" s="499" t="str">
        <f>calculos_quadro!$G$270&amp;""</f>
        <v/>
      </c>
      <c r="X30" s="499" t="str">
        <f>calculos_quadro!$G$271&amp;""</f>
        <v/>
      </c>
      <c r="Y30" s="499" t="str">
        <f>calculos_quadro!$G$272&amp;""</f>
        <v/>
      </c>
      <c r="Z30" s="499" t="str">
        <f>calculos_quadro!$G$273&amp;""</f>
        <v/>
      </c>
    </row>
    <row r="31" ht="15.75" customHeight="1">
      <c r="B31" s="484" t="inlineStr">
        <is>
          <t xml:space="preserve">IN</t>
        </is>
      </c>
      <c r="C31" s="155"/>
      <c r="D31" s="275" t="inlineStr">
        <is>
          <t xml:space="preserve">Veículos Recebidos</t>
        </is>
      </c>
      <c r="E31" s="274"/>
      <c r="F31" s="274"/>
      <c r="G31" s="274"/>
      <c r="H31" s="283">
        <f>IF(calculos_quadro!$G$258="","",IFERROR(INDEX(calculos_quadro!$B$90:$U$90,MATCH(calculos_quadro!$G$258,calculos_quadro!$B$89:$U$89,0)),""))</f>
        <v>0</v>
      </c>
      <c r="I31" s="283" t="str">
        <f>IF(calculos_quadro!$G$259="","",IFERROR(INDEX(calculos_quadro!$B$90:$U$90,MATCH(calculos_quadro!$G$259,calculos_quadro!$B$89:$U$89,0)),""))</f>
        <v>—</v>
      </c>
      <c r="J31" s="283">
        <f>IF(calculos_quadro!$G$260="","",IFERROR(INDEX(calculos_quadro!$B$90:$U$90,MATCH(calculos_quadro!$G$260,calculos_quadro!$B$89:$U$89,0)),""))</f>
        <v>0</v>
      </c>
      <c r="K31" s="282"/>
      <c r="L31" s="283">
        <f>IF(calculos_quadro!$G$261="","",IFERROR(INDEX(calculos_quadro!$B$90:$U$90,MATCH(calculos_quadro!$G$261,calculos_quadro!$B$89:$U$89,0)),""))</f>
        <v>0</v>
      </c>
      <c r="M31" s="283">
        <f>IF(calculos_quadro!$G$262="","",IFERROR(INDEX(calculos_quadro!$B$90:$U$90,MATCH(calculos_quadro!$G$262,calculos_quadro!$B$89:$U$89,0)),""))</f>
        <v>0</v>
      </c>
      <c r="N31" s="283" t="str">
        <f>IF(calculos_quadro!$G$263="","",IFERROR(INDEX(calculos_quadro!$B$90:$U$90,MATCH(calculos_quadro!$G$263,calculos_quadro!$B$89:$U$89,0)),""))</f>
        <v/>
      </c>
      <c r="O31" s="283" t="str">
        <f>IF(calculos_quadro!$G$264="","",IFERROR(INDEX(calculos_quadro!$B$90:$U$90,MATCH(calculos_quadro!$G$264,calculos_quadro!$B$89:$U$89,0)),""))</f>
        <v/>
      </c>
      <c r="P31" s="282"/>
      <c r="Q31" s="283" t="str">
        <f>IF(calculos_quadro!$G$265="","",IFERROR(INDEX(calculos_quadro!$B$90:$U$90,MATCH(calculos_quadro!$G$265,calculos_quadro!$B$89:$U$89,0)),""))</f>
        <v/>
      </c>
      <c r="R31" s="283" t="str">
        <f>IF(calculos_quadro!$G$266="","",IFERROR(INDEX(calculos_quadro!$B$90:$U$90,MATCH(calculos_quadro!$G$266,calculos_quadro!$B$89:$U$89,0)),""))</f>
        <v/>
      </c>
      <c r="S31" s="283" t="str">
        <f>IF(calculos_quadro!$G$267="","",IFERROR(INDEX(calculos_quadro!$B$90:$U$90,MATCH(calculos_quadro!$G$267,calculos_quadro!$B$89:$U$89,0)),""))</f>
        <v/>
      </c>
      <c r="T31" s="283" t="str">
        <f>IF(calculos_quadro!$G$268="","",IFERROR(INDEX(calculos_quadro!$B$90:$U$90,MATCH(calculos_quadro!$G$268,calculos_quadro!$B$89:$U$89,0)),""))</f>
        <v/>
      </c>
      <c r="U31" s="282"/>
      <c r="V31" s="283" t="str">
        <f>IF(calculos_quadro!$G$269="","",IFERROR(INDEX(calculos_quadro!$B$90:$U$90,MATCH(calculos_quadro!$G$269,calculos_quadro!$B$89:$U$89,0)),""))</f>
        <v/>
      </c>
      <c r="W31" s="283" t="str">
        <f>IF(calculos_quadro!$G$270="","",IFERROR(INDEX(calculos_quadro!$B$90:$U$90,MATCH(calculos_quadro!$G$270,calculos_quadro!$B$89:$U$89,0)),""))</f>
        <v/>
      </c>
      <c r="X31" s="283" t="str">
        <f>IF(calculos_quadro!$G$271="","",IFERROR(INDEX(calculos_quadro!$B$90:$U$90,MATCH(calculos_quadro!$G$271,calculos_quadro!$B$89:$U$89,0)),""))</f>
        <v/>
      </c>
      <c r="Y31" s="283" t="str">
        <f>IF(calculos_quadro!$G$272="","",IFERROR(INDEX(calculos_quadro!$B$90:$U$90,MATCH(calculos_quadro!$G$272,calculos_quadro!$B$89:$U$89,0)),""))</f>
        <v/>
      </c>
      <c r="Z31" s="283" t="str">
        <f>IF(calculos_quadro!$G$273="","",IFERROR(INDEX(calculos_quadro!$B$90:$U$90,MATCH(calculos_quadro!$G$273,calculos_quadro!$B$89:$U$89,0)),""))</f>
        <v/>
      </c>
    </row>
    <row r="32" ht="15.75" customHeight="1">
      <c r="B32" s="485"/>
      <c r="C32" s="162"/>
      <c r="D32" s="292" t="inlineStr">
        <is>
          <t xml:space="preserve">Pallets Movimentados</t>
        </is>
      </c>
      <c r="E32" s="291"/>
      <c r="F32" s="291"/>
      <c r="G32" s="291"/>
      <c r="H32" s="300">
        <f>IF(calculos_quadro!$G$258="","",IFERROR(INDEX(calculos_quadro!$B$91:$U$91,MATCH(calculos_quadro!$G$258,calculos_quadro!$B$89:$U$89,0)),""))</f>
        <v>0</v>
      </c>
      <c r="I32" s="300" t="str">
        <f>IF(calculos_quadro!$G$259="","",IFERROR(INDEX(calculos_quadro!$B$91:$U$91,MATCH(calculos_quadro!$G$259,calculos_quadro!$B$89:$U$89,0)),""))</f>
        <v>—</v>
      </c>
      <c r="J32" s="300">
        <f>IF(calculos_quadro!$G$260="","",IFERROR(INDEX(calculos_quadro!$B$91:$U$91,MATCH(calculos_quadro!$G$260,calculos_quadro!$B$89:$U$89,0)),""))</f>
        <v>0</v>
      </c>
      <c r="K32" s="299"/>
      <c r="L32" s="300">
        <f>IF(calculos_quadro!$G$261="","",IFERROR(INDEX(calculos_quadro!$B$91:$U$91,MATCH(calculos_quadro!$G$261,calculos_quadro!$B$89:$U$89,0)),""))</f>
        <v>0</v>
      </c>
      <c r="M32" s="300">
        <f>IF(calculos_quadro!$G$262="","",IFERROR(INDEX(calculos_quadro!$B$91:$U$91,MATCH(calculos_quadro!$G$262,calculos_quadro!$B$89:$U$89,0)),""))</f>
        <v>0</v>
      </c>
      <c r="N32" s="300" t="str">
        <f>IF(calculos_quadro!$G$263="","",IFERROR(INDEX(calculos_quadro!$B$91:$U$91,MATCH(calculos_quadro!$G$263,calculos_quadro!$B$89:$U$89,0)),""))</f>
        <v/>
      </c>
      <c r="O32" s="300" t="str">
        <f>IF(calculos_quadro!$G$264="","",IFERROR(INDEX(calculos_quadro!$B$91:$U$91,MATCH(calculos_quadro!$G$264,calculos_quadro!$B$89:$U$89,0)),""))</f>
        <v/>
      </c>
      <c r="P32" s="299"/>
      <c r="Q32" s="300" t="str">
        <f>IF(calculos_quadro!$G$265="","",IFERROR(INDEX(calculos_quadro!$B$91:$U$91,MATCH(calculos_quadro!$G$265,calculos_quadro!$B$89:$U$89,0)),""))</f>
        <v/>
      </c>
      <c r="R32" s="300" t="str">
        <f>IF(calculos_quadro!$G$266="","",IFERROR(INDEX(calculos_quadro!$B$91:$U$91,MATCH(calculos_quadro!$G$266,calculos_quadro!$B$89:$U$89,0)),""))</f>
        <v/>
      </c>
      <c r="S32" s="300" t="str">
        <f>IF(calculos_quadro!$G$267="","",IFERROR(INDEX(calculos_quadro!$B$91:$U$91,MATCH(calculos_quadro!$G$267,calculos_quadro!$B$89:$U$89,0)),""))</f>
        <v/>
      </c>
      <c r="T32" s="300" t="str">
        <f>IF(calculos_quadro!$G$268="","",IFERROR(INDEX(calculos_quadro!$B$91:$U$91,MATCH(calculos_quadro!$G$268,calculos_quadro!$B$89:$U$89,0)),""))</f>
        <v/>
      </c>
      <c r="U32" s="299"/>
      <c r="V32" s="300" t="str">
        <f>IF(calculos_quadro!$G$269="","",IFERROR(INDEX(calculos_quadro!$B$91:$U$91,MATCH(calculos_quadro!$G$269,calculos_quadro!$B$89:$U$89,0)),""))</f>
        <v/>
      </c>
      <c r="W32" s="300" t="str">
        <f>IF(calculos_quadro!$G$270="","",IFERROR(INDEX(calculos_quadro!$B$91:$U$91,MATCH(calculos_quadro!$G$270,calculos_quadro!$B$89:$U$89,0)),""))</f>
        <v/>
      </c>
      <c r="X32" s="300" t="str">
        <f>IF(calculos_quadro!$G$271="","",IFERROR(INDEX(calculos_quadro!$B$91:$U$91,MATCH(calculos_quadro!$G$271,calculos_quadro!$B$89:$U$89,0)),""))</f>
        <v/>
      </c>
      <c r="Y32" s="300" t="str">
        <f>IF(calculos_quadro!$G$272="","",IFERROR(INDEX(calculos_quadro!$B$91:$U$91,MATCH(calculos_quadro!$G$272,calculos_quadro!$B$89:$U$89,0)),""))</f>
        <v/>
      </c>
      <c r="Z32" s="300" t="str">
        <f>IF(calculos_quadro!$G$273="","",IFERROR(INDEX(calculos_quadro!$B$91:$U$91,MATCH(calculos_quadro!$G$273,calculos_quadro!$B$89:$U$89,0)),""))</f>
        <v/>
      </c>
    </row>
    <row r="33" ht="15.75" customHeight="1">
      <c r="B33" s="486"/>
      <c r="C33" s="169"/>
      <c r="D33" s="309" t="inlineStr">
        <is>
          <t xml:space="preserve">Toneladas Movimentadas</t>
        </is>
      </c>
      <c r="E33" s="308"/>
      <c r="F33" s="308"/>
      <c r="G33" s="308"/>
      <c r="H33" s="315">
        <f>IF(calculos_quadro!$G$258="","",IFERROR(INDEX(calculos_quadro!$B$92:$U$92,MATCH(calculos_quadro!$G$258,calculos_quadro!$B$89:$U$89,0)),""))</f>
        <v>0</v>
      </c>
      <c r="I33" s="315" t="str">
        <f>IF(calculos_quadro!$G$259="","",IFERROR(INDEX(calculos_quadro!$B$92:$U$92,MATCH(calculos_quadro!$G$259,calculos_quadro!$B$89:$U$89,0)),""))</f>
        <v>—</v>
      </c>
      <c r="J33" s="315">
        <f>IF(calculos_quadro!$G$260="","",IFERROR(INDEX(calculos_quadro!$B$92:$U$92,MATCH(calculos_quadro!$G$260,calculos_quadro!$B$89:$U$89,0)),""))</f>
        <v>0</v>
      </c>
      <c r="K33" s="314"/>
      <c r="L33" s="315">
        <f>IF(calculos_quadro!$G$261="","",IFERROR(INDEX(calculos_quadro!$B$92:$U$92,MATCH(calculos_quadro!$G$261,calculos_quadro!$B$89:$U$89,0)),""))</f>
        <v>0</v>
      </c>
      <c r="M33" s="315">
        <f>IF(calculos_quadro!$G$262="","",IFERROR(INDEX(calculos_quadro!$B$92:$U$92,MATCH(calculos_quadro!$G$262,calculos_quadro!$B$89:$U$89,0)),""))</f>
        <v>0</v>
      </c>
      <c r="N33" s="315" t="str">
        <f>IF(calculos_quadro!$G$263="","",IFERROR(INDEX(calculos_quadro!$B$92:$U$92,MATCH(calculos_quadro!$G$263,calculos_quadro!$B$89:$U$89,0)),""))</f>
        <v/>
      </c>
      <c r="O33" s="315" t="str">
        <f>IF(calculos_quadro!$G$264="","",IFERROR(INDEX(calculos_quadro!$B$92:$U$92,MATCH(calculos_quadro!$G$264,calculos_quadro!$B$89:$U$89,0)),""))</f>
        <v/>
      </c>
      <c r="P33" s="314"/>
      <c r="Q33" s="315" t="str">
        <f>IF(calculos_quadro!$G$265="","",IFERROR(INDEX(calculos_quadro!$B$92:$U$92,MATCH(calculos_quadro!$G$265,calculos_quadro!$B$89:$U$89,0)),""))</f>
        <v/>
      </c>
      <c r="R33" s="315" t="str">
        <f>IF(calculos_quadro!$G$266="","",IFERROR(INDEX(calculos_quadro!$B$92:$U$92,MATCH(calculos_quadro!$G$266,calculos_quadro!$B$89:$U$89,0)),""))</f>
        <v/>
      </c>
      <c r="S33" s="315" t="str">
        <f>IF(calculos_quadro!$G$267="","",IFERROR(INDEX(calculos_quadro!$B$92:$U$92,MATCH(calculos_quadro!$G$267,calculos_quadro!$B$89:$U$89,0)),""))</f>
        <v/>
      </c>
      <c r="T33" s="315" t="str">
        <f>IF(calculos_quadro!$G$268="","",IFERROR(INDEX(calculos_quadro!$B$92:$U$92,MATCH(calculos_quadro!$G$268,calculos_quadro!$B$89:$U$89,0)),""))</f>
        <v/>
      </c>
      <c r="U33" s="314"/>
      <c r="V33" s="315" t="str">
        <f>IF(calculos_quadro!$G$269="","",IFERROR(INDEX(calculos_quadro!$B$92:$U$92,MATCH(calculos_quadro!$G$269,calculos_quadro!$B$89:$U$89,0)),""))</f>
        <v/>
      </c>
      <c r="W33" s="315" t="str">
        <f>IF(calculos_quadro!$G$270="","",IFERROR(INDEX(calculos_quadro!$B$92:$U$92,MATCH(calculos_quadro!$G$270,calculos_quadro!$B$89:$U$89,0)),""))</f>
        <v/>
      </c>
      <c r="X33" s="315" t="str">
        <f>IF(calculos_quadro!$G$271="","",IFERROR(INDEX(calculos_quadro!$B$92:$U$92,MATCH(calculos_quadro!$G$271,calculos_quadro!$B$89:$U$89,0)),""))</f>
        <v/>
      </c>
      <c r="Y33" s="315" t="str">
        <f>IF(calculos_quadro!$G$272="","",IFERROR(INDEX(calculos_quadro!$B$92:$U$92,MATCH(calculos_quadro!$G$272,calculos_quadro!$B$89:$U$89,0)),""))</f>
        <v/>
      </c>
      <c r="Z33" s="315" t="str">
        <f>IF(calculos_quadro!$G$273="","",IFERROR(INDEX(calculos_quadro!$B$92:$U$92,MATCH(calculos_quadro!$G$273,calculos_quadro!$B$89:$U$89,0)),""))</f>
        <v/>
      </c>
    </row>
    <row r="34" ht="15.75" customHeight="1">
      <c r="B34" s="487" t="inlineStr">
        <is>
          <t xml:space="preserve">OUT</t>
        </is>
      </c>
      <c r="C34" s="176"/>
      <c r="D34" s="324" t="inlineStr">
        <is>
          <t xml:space="preserve">Veículos Expedidos</t>
        </is>
      </c>
      <c r="E34" s="323"/>
      <c r="F34" s="323"/>
      <c r="G34" s="323"/>
      <c r="H34" s="332">
        <f>IF(calculos_quadro!$G$258="","",IFERROR(INDEX(calculos_quadro!$B$93:$U$93,MATCH(calculos_quadro!$G$258,calculos_quadro!$B$89:$U$89,0)),""))</f>
        <v>0</v>
      </c>
      <c r="I34" s="332">
        <f>IF(calculos_quadro!$G$259="","",IFERROR(INDEX(calculos_quadro!$B$93:$U$93,MATCH(calculos_quadro!$G$259,calculos_quadro!$B$89:$U$89,0)),""))</f>
        <v>0</v>
      </c>
      <c r="J34" s="332">
        <f>IF(calculos_quadro!$G$260="","",IFERROR(INDEX(calculos_quadro!$B$93:$U$93,MATCH(calculos_quadro!$G$260,calculos_quadro!$B$89:$U$89,0)),""))</f>
        <v>0</v>
      </c>
      <c r="K34" s="331"/>
      <c r="L34" s="332">
        <f>IF(calculos_quadro!$G$261="","",IFERROR(INDEX(calculos_quadro!$B$93:$U$93,MATCH(calculos_quadro!$G$261,calculos_quadro!$B$89:$U$89,0)),""))</f>
        <v>0</v>
      </c>
      <c r="M34" s="332">
        <f>IF(calculos_quadro!$G$262="","",IFERROR(INDEX(calculos_quadro!$B$93:$U$93,MATCH(calculos_quadro!$G$262,calculos_quadro!$B$89:$U$89,0)),""))</f>
        <v>0</v>
      </c>
      <c r="N34" s="332" t="str">
        <f>IF(calculos_quadro!$G$263="","",IFERROR(INDEX(calculos_quadro!$B$93:$U$93,MATCH(calculos_quadro!$G$263,calculos_quadro!$B$89:$U$89,0)),""))</f>
        <v/>
      </c>
      <c r="O34" s="332" t="str">
        <f>IF(calculos_quadro!$G$264="","",IFERROR(INDEX(calculos_quadro!$B$93:$U$93,MATCH(calculos_quadro!$G$264,calculos_quadro!$B$89:$U$89,0)),""))</f>
        <v/>
      </c>
      <c r="P34" s="331"/>
      <c r="Q34" s="332" t="str">
        <f>IF(calculos_quadro!$G$265="","",IFERROR(INDEX(calculos_quadro!$B$93:$U$93,MATCH(calculos_quadro!$G$265,calculos_quadro!$B$89:$U$89,0)),""))</f>
        <v/>
      </c>
      <c r="R34" s="332" t="str">
        <f>IF(calculos_quadro!$G$266="","",IFERROR(INDEX(calculos_quadro!$B$93:$U$93,MATCH(calculos_quadro!$G$266,calculos_quadro!$B$89:$U$89,0)),""))</f>
        <v/>
      </c>
      <c r="S34" s="332" t="str">
        <f>IF(calculos_quadro!$G$267="","",IFERROR(INDEX(calculos_quadro!$B$93:$U$93,MATCH(calculos_quadro!$G$267,calculos_quadro!$B$89:$U$89,0)),""))</f>
        <v/>
      </c>
      <c r="T34" s="332" t="str">
        <f>IF(calculos_quadro!$G$268="","",IFERROR(INDEX(calculos_quadro!$B$93:$U$93,MATCH(calculos_quadro!$G$268,calculos_quadro!$B$89:$U$89,0)),""))</f>
        <v/>
      </c>
      <c r="U34" s="331"/>
      <c r="V34" s="332" t="str">
        <f>IF(calculos_quadro!$G$269="","",IFERROR(INDEX(calculos_quadro!$B$93:$U$93,MATCH(calculos_quadro!$G$269,calculos_quadro!$B$89:$U$89,0)),""))</f>
        <v/>
      </c>
      <c r="W34" s="332" t="str">
        <f>IF(calculos_quadro!$G$270="","",IFERROR(INDEX(calculos_quadro!$B$93:$U$93,MATCH(calculos_quadro!$G$270,calculos_quadro!$B$89:$U$89,0)),""))</f>
        <v/>
      </c>
      <c r="X34" s="332" t="str">
        <f>IF(calculos_quadro!$G$271="","",IFERROR(INDEX(calculos_quadro!$B$93:$U$93,MATCH(calculos_quadro!$G$271,calculos_quadro!$B$89:$U$89,0)),""))</f>
        <v/>
      </c>
      <c r="Y34" s="332" t="str">
        <f>IF(calculos_quadro!$G$272="","",IFERROR(INDEX(calculos_quadro!$B$93:$U$93,MATCH(calculos_quadro!$G$272,calculos_quadro!$B$89:$U$89,0)),""))</f>
        <v/>
      </c>
      <c r="Z34" s="332" t="str">
        <f>IF(calculos_quadro!$G$273="","",IFERROR(INDEX(calculos_quadro!$B$93:$U$93,MATCH(calculos_quadro!$G$273,calculos_quadro!$B$89:$U$89,0)),""))</f>
        <v/>
      </c>
    </row>
    <row r="35" ht="15.75" customHeight="1">
      <c r="B35" s="488"/>
      <c r="C35" s="183"/>
      <c r="D35" s="341" t="inlineStr">
        <is>
          <t xml:space="preserve">Pallets Movimentados</t>
        </is>
      </c>
      <c r="E35" s="340"/>
      <c r="F35" s="340"/>
      <c r="G35" s="340"/>
      <c r="H35" s="349">
        <f>IF(calculos_quadro!$G$258="","",IFERROR(INDEX(calculos_quadro!$B$94:$U$94,MATCH(calculos_quadro!$G$258,calculos_quadro!$B$89:$U$89,0)),""))</f>
        <v>0</v>
      </c>
      <c r="I35" s="349">
        <f>IF(calculos_quadro!$G$259="","",IFERROR(INDEX(calculos_quadro!$B$94:$U$94,MATCH(calculos_quadro!$G$259,calculos_quadro!$B$89:$U$89,0)),""))</f>
        <v>0</v>
      </c>
      <c r="J35" s="349">
        <f>IF(calculos_quadro!$G$260="","",IFERROR(INDEX(calculos_quadro!$B$94:$U$94,MATCH(calculos_quadro!$G$260,calculos_quadro!$B$89:$U$89,0)),""))</f>
        <v>0</v>
      </c>
      <c r="K35" s="348"/>
      <c r="L35" s="349">
        <f>IF(calculos_quadro!$G$261="","",IFERROR(INDEX(calculos_quadro!$B$94:$U$94,MATCH(calculos_quadro!$G$261,calculos_quadro!$B$89:$U$89,0)),""))</f>
        <v>0</v>
      </c>
      <c r="M35" s="349">
        <f>IF(calculos_quadro!$G$262="","",IFERROR(INDEX(calculos_quadro!$B$94:$U$94,MATCH(calculos_quadro!$G$262,calculos_quadro!$B$89:$U$89,0)),""))</f>
        <v>0</v>
      </c>
      <c r="N35" s="349" t="str">
        <f>IF(calculos_quadro!$G$263="","",IFERROR(INDEX(calculos_quadro!$B$94:$U$94,MATCH(calculos_quadro!$G$263,calculos_quadro!$B$89:$U$89,0)),""))</f>
        <v/>
      </c>
      <c r="O35" s="349" t="str">
        <f>IF(calculos_quadro!$G$264="","",IFERROR(INDEX(calculos_quadro!$B$94:$U$94,MATCH(calculos_quadro!$G$264,calculos_quadro!$B$89:$U$89,0)),""))</f>
        <v/>
      </c>
      <c r="P35" s="348"/>
      <c r="Q35" s="349" t="str">
        <f>IF(calculos_quadro!$G$265="","",IFERROR(INDEX(calculos_quadro!$B$94:$U$94,MATCH(calculos_quadro!$G$265,calculos_quadro!$B$89:$U$89,0)),""))</f>
        <v/>
      </c>
      <c r="R35" s="349" t="str">
        <f>IF(calculos_quadro!$G$266="","",IFERROR(INDEX(calculos_quadro!$B$94:$U$94,MATCH(calculos_quadro!$G$266,calculos_quadro!$B$89:$U$89,0)),""))</f>
        <v/>
      </c>
      <c r="S35" s="349" t="str">
        <f>IF(calculos_quadro!$G$267="","",IFERROR(INDEX(calculos_quadro!$B$94:$U$94,MATCH(calculos_quadro!$G$267,calculos_quadro!$B$89:$U$89,0)),""))</f>
        <v/>
      </c>
      <c r="T35" s="349" t="str">
        <f>IF(calculos_quadro!$G$268="","",IFERROR(INDEX(calculos_quadro!$B$94:$U$94,MATCH(calculos_quadro!$G$268,calculos_quadro!$B$89:$U$89,0)),""))</f>
        <v/>
      </c>
      <c r="U35" s="348"/>
      <c r="V35" s="349" t="str">
        <f>IF(calculos_quadro!$G$269="","",IFERROR(INDEX(calculos_quadro!$B$94:$U$94,MATCH(calculos_quadro!$G$269,calculos_quadro!$B$89:$U$89,0)),""))</f>
        <v/>
      </c>
      <c r="W35" s="349" t="str">
        <f>IF(calculos_quadro!$G$270="","",IFERROR(INDEX(calculos_quadro!$B$94:$U$94,MATCH(calculos_quadro!$G$270,calculos_quadro!$B$89:$U$89,0)),""))</f>
        <v/>
      </c>
      <c r="X35" s="349" t="str">
        <f>IF(calculos_quadro!$G$271="","",IFERROR(INDEX(calculos_quadro!$B$94:$U$94,MATCH(calculos_quadro!$G$271,calculos_quadro!$B$89:$U$89,0)),""))</f>
        <v/>
      </c>
      <c r="Y35" s="349" t="str">
        <f>IF(calculos_quadro!$G$272="","",IFERROR(INDEX(calculos_quadro!$B$94:$U$94,MATCH(calculos_quadro!$G$272,calculos_quadro!$B$89:$U$89,0)),""))</f>
        <v/>
      </c>
      <c r="Z35" s="349" t="str">
        <f>IF(calculos_quadro!$G$273="","",IFERROR(INDEX(calculos_quadro!$B$94:$U$94,MATCH(calculos_quadro!$G$273,calculos_quadro!$B$89:$U$89,0)),""))</f>
        <v/>
      </c>
    </row>
    <row r="36" ht="15.75" customHeight="1">
      <c r="B36" s="489"/>
      <c r="C36" s="190"/>
      <c r="D36" s="358" t="inlineStr">
        <is>
          <t xml:space="preserve">Toneladas Movimentadas</t>
        </is>
      </c>
      <c r="E36" s="357"/>
      <c r="F36" s="357"/>
      <c r="G36" s="357"/>
      <c r="H36" s="364">
        <f>IF(calculos_quadro!$G$258="","",IFERROR(INDEX(calculos_quadro!$B$95:$U$95,MATCH(calculos_quadro!$G$258,calculos_quadro!$B$89:$U$89,0)),""))</f>
        <v>0</v>
      </c>
      <c r="I36" s="364">
        <f>IF(calculos_quadro!$G$259="","",IFERROR(INDEX(calculos_quadro!$B$95:$U$95,MATCH(calculos_quadro!$G$259,calculos_quadro!$B$89:$U$89,0)),""))</f>
        <v>0</v>
      </c>
      <c r="J36" s="364">
        <f>IF(calculos_quadro!$G$260="","",IFERROR(INDEX(calculos_quadro!$B$95:$U$95,MATCH(calculos_quadro!$G$260,calculos_quadro!$B$89:$U$89,0)),""))</f>
        <v>0</v>
      </c>
      <c r="K36" s="363"/>
      <c r="L36" s="364">
        <f>IF(calculos_quadro!$G$261="","",IFERROR(INDEX(calculos_quadro!$B$95:$U$95,MATCH(calculos_quadro!$G$261,calculos_quadro!$B$89:$U$89,0)),""))</f>
        <v>0</v>
      </c>
      <c r="M36" s="364">
        <f>IF(calculos_quadro!$G$262="","",IFERROR(INDEX(calculos_quadro!$B$95:$U$95,MATCH(calculos_quadro!$G$262,calculos_quadro!$B$89:$U$89,0)),""))</f>
        <v>0</v>
      </c>
      <c r="N36" s="364" t="str">
        <f>IF(calculos_quadro!$G$263="","",IFERROR(INDEX(calculos_quadro!$B$95:$U$95,MATCH(calculos_quadro!$G$263,calculos_quadro!$B$89:$U$89,0)),""))</f>
        <v/>
      </c>
      <c r="O36" s="364" t="str">
        <f>IF(calculos_quadro!$G$264="","",IFERROR(INDEX(calculos_quadro!$B$95:$U$95,MATCH(calculos_quadro!$G$264,calculos_quadro!$B$89:$U$89,0)),""))</f>
        <v/>
      </c>
      <c r="P36" s="363"/>
      <c r="Q36" s="364" t="str">
        <f>IF(calculos_quadro!$G$265="","",IFERROR(INDEX(calculos_quadro!$B$95:$U$95,MATCH(calculos_quadro!$G$265,calculos_quadro!$B$89:$U$89,0)),""))</f>
        <v/>
      </c>
      <c r="R36" s="364" t="str">
        <f>IF(calculos_quadro!$G$266="","",IFERROR(INDEX(calculos_quadro!$B$95:$U$95,MATCH(calculos_quadro!$G$266,calculos_quadro!$B$89:$U$89,0)),""))</f>
        <v/>
      </c>
      <c r="S36" s="364" t="str">
        <f>IF(calculos_quadro!$G$267="","",IFERROR(INDEX(calculos_quadro!$B$95:$U$95,MATCH(calculos_quadro!$G$267,calculos_quadro!$B$89:$U$89,0)),""))</f>
        <v/>
      </c>
      <c r="T36" s="364" t="str">
        <f>IF(calculos_quadro!$G$268="","",IFERROR(INDEX(calculos_quadro!$B$95:$U$95,MATCH(calculos_quadro!$G$268,calculos_quadro!$B$89:$U$89,0)),""))</f>
        <v/>
      </c>
      <c r="U36" s="363"/>
      <c r="V36" s="364" t="str">
        <f>IF(calculos_quadro!$G$269="","",IFERROR(INDEX(calculos_quadro!$B$95:$U$95,MATCH(calculos_quadro!$G$269,calculos_quadro!$B$89:$U$89,0)),""))</f>
        <v/>
      </c>
      <c r="W36" s="364" t="str">
        <f>IF(calculos_quadro!$G$270="","",IFERROR(INDEX(calculos_quadro!$B$95:$U$95,MATCH(calculos_quadro!$G$270,calculos_quadro!$B$89:$U$89,0)),""))</f>
        <v/>
      </c>
      <c r="X36" s="364" t="str">
        <f>IF(calculos_quadro!$G$271="","",IFERROR(INDEX(calculos_quadro!$B$95:$U$95,MATCH(calculos_quadro!$G$271,calculos_quadro!$B$89:$U$89,0)),""))</f>
        <v/>
      </c>
      <c r="Y36" s="364" t="str">
        <f>IF(calculos_quadro!$G$272="","",IFERROR(INDEX(calculos_quadro!$B$95:$U$95,MATCH(calculos_quadro!$G$272,calculos_quadro!$B$89:$U$89,0)),""))</f>
        <v/>
      </c>
      <c r="Z36" s="364" t="str">
        <f>IF(calculos_quadro!$G$273="","",IFERROR(INDEX(calculos_quadro!$B$95:$U$95,MATCH(calculos_quadro!$G$273,calculos_quadro!$B$89:$U$89,0)),""))</f>
        <v/>
      </c>
    </row>
    <row r="37" ht="15.75" customHeight="1">
      <c r="B37" s="490" t="inlineStr">
        <is>
          <t xml:space="preserve">NC</t>
        </is>
      </c>
      <c r="C37" s="197"/>
      <c r="D37" s="373" t="inlineStr">
        <is>
          <t xml:space="preserve">Incidentes</t>
        </is>
      </c>
      <c r="E37" s="372"/>
      <c r="F37" s="372"/>
      <c r="G37" s="372"/>
      <c r="H37" s="381">
        <f>IF(calculos_quadro!$G$258="","",IFERROR(INDEX(calculos_quadro!$B$96:$U$96,MATCH(calculos_quadro!$G$258,calculos_quadro!$B$89:$U$89,0)),""))</f>
        <v>0</v>
      </c>
      <c r="I37" s="381">
        <f>IF(calculos_quadro!$G$259="","",IFERROR(INDEX(calculos_quadro!$B$96:$U$96,MATCH(calculos_quadro!$G$259,calculos_quadro!$B$89:$U$89,0)),""))</f>
        <v>0</v>
      </c>
      <c r="J37" s="381">
        <f>IF(calculos_quadro!$G$260="","",IFERROR(INDEX(calculos_quadro!$B$96:$U$96,MATCH(calculos_quadro!$G$260,calculos_quadro!$B$89:$U$89,0)),""))</f>
        <v>0</v>
      </c>
      <c r="K37" s="380"/>
      <c r="L37" s="381">
        <f>IF(calculos_quadro!$G$261="","",IFERROR(INDEX(calculos_quadro!$B$96:$U$96,MATCH(calculos_quadro!$G$261,calculos_quadro!$B$89:$U$89,0)),""))</f>
        <v>0</v>
      </c>
      <c r="M37" s="381">
        <f>IF(calculos_quadro!$G$262="","",IFERROR(INDEX(calculos_quadro!$B$96:$U$96,MATCH(calculos_quadro!$G$262,calculos_quadro!$B$89:$U$89,0)),""))</f>
        <v>0</v>
      </c>
      <c r="N37" s="381" t="str">
        <f>IF(calculos_quadro!$G$263="","",IFERROR(INDEX(calculos_quadro!$B$96:$U$96,MATCH(calculos_quadro!$G$263,calculos_quadro!$B$89:$U$89,0)),""))</f>
        <v/>
      </c>
      <c r="O37" s="381" t="str">
        <f>IF(calculos_quadro!$G$264="","",IFERROR(INDEX(calculos_quadro!$B$96:$U$96,MATCH(calculos_quadro!$G$264,calculos_quadro!$B$89:$U$89,0)),""))</f>
        <v/>
      </c>
      <c r="P37" s="380"/>
      <c r="Q37" s="381" t="str">
        <f>IF(calculos_quadro!$G$265="","",IFERROR(INDEX(calculos_quadro!$B$96:$U$96,MATCH(calculos_quadro!$G$265,calculos_quadro!$B$89:$U$89,0)),""))</f>
        <v/>
      </c>
      <c r="R37" s="381" t="str">
        <f>IF(calculos_quadro!$G$266="","",IFERROR(INDEX(calculos_quadro!$B$96:$U$96,MATCH(calculos_quadro!$G$266,calculos_quadro!$B$89:$U$89,0)),""))</f>
        <v/>
      </c>
      <c r="S37" s="381" t="str">
        <f>IF(calculos_quadro!$G$267="","",IFERROR(INDEX(calculos_quadro!$B$96:$U$96,MATCH(calculos_quadro!$G$267,calculos_quadro!$B$89:$U$89,0)),""))</f>
        <v/>
      </c>
      <c r="T37" s="381" t="str">
        <f>IF(calculos_quadro!$G$268="","",IFERROR(INDEX(calculos_quadro!$B$96:$U$96,MATCH(calculos_quadro!$G$268,calculos_quadro!$B$89:$U$89,0)),""))</f>
        <v/>
      </c>
      <c r="U37" s="380"/>
      <c r="V37" s="381" t="str">
        <f>IF(calculos_quadro!$G$269="","",IFERROR(INDEX(calculos_quadro!$B$96:$U$96,MATCH(calculos_quadro!$G$269,calculos_quadro!$B$89:$U$89,0)),""))</f>
        <v/>
      </c>
      <c r="W37" s="381" t="str">
        <f>IF(calculos_quadro!$G$270="","",IFERROR(INDEX(calculos_quadro!$B$96:$U$96,MATCH(calculos_quadro!$G$270,calculos_quadro!$B$89:$U$89,0)),""))</f>
        <v/>
      </c>
      <c r="X37" s="381" t="str">
        <f>IF(calculos_quadro!$G$271="","",IFERROR(INDEX(calculos_quadro!$B$96:$U$96,MATCH(calculos_quadro!$G$271,calculos_quadro!$B$89:$U$89,0)),""))</f>
        <v/>
      </c>
      <c r="Y37" s="381" t="str">
        <f>IF(calculos_quadro!$G$272="","",IFERROR(INDEX(calculos_quadro!$B$96:$U$96,MATCH(calculos_quadro!$G$272,calculos_quadro!$B$89:$U$89,0)),""))</f>
        <v/>
      </c>
      <c r="Z37" s="381" t="str">
        <f>IF(calculos_quadro!$G$273="","",IFERROR(INDEX(calculos_quadro!$B$96:$U$96,MATCH(calculos_quadro!$G$273,calculos_quadro!$B$89:$U$89,0)),""))</f>
        <v/>
      </c>
    </row>
    <row r="38" ht="15.75" customHeight="1">
      <c r="B38" s="491"/>
      <c r="C38" s="204"/>
      <c r="D38" s="390" t="inlineStr">
        <is>
          <t xml:space="preserve">No show</t>
        </is>
      </c>
      <c r="E38" s="389"/>
      <c r="F38" s="389"/>
      <c r="G38" s="389"/>
      <c r="H38" s="398">
        <f>IF(calculos_quadro!$G$258="","",IFERROR(INDEX(calculos_quadro!$B$97:$U$97,MATCH(calculos_quadro!$G$258,calculos_quadro!$B$89:$U$89,0)),""))</f>
        <v>0</v>
      </c>
      <c r="I38" s="398">
        <f>IF(calculos_quadro!$G$259="","",IFERROR(INDEX(calculos_quadro!$B$97:$U$97,MATCH(calculos_quadro!$G$259,calculos_quadro!$B$89:$U$89,0)),""))</f>
        <v>0</v>
      </c>
      <c r="J38" s="398">
        <f>IF(calculos_quadro!$G$260="","",IFERROR(INDEX(calculos_quadro!$B$97:$U$97,MATCH(calculos_quadro!$G$260,calculos_quadro!$B$89:$U$89,0)),""))</f>
        <v>0</v>
      </c>
      <c r="K38" s="397"/>
      <c r="L38" s="398">
        <f>IF(calculos_quadro!$G$261="","",IFERROR(INDEX(calculos_quadro!$B$97:$U$97,MATCH(calculos_quadro!$G$261,calculos_quadro!$B$89:$U$89,0)),""))</f>
        <v>0</v>
      </c>
      <c r="M38" s="398">
        <f>IF(calculos_quadro!$G$262="","",IFERROR(INDEX(calculos_quadro!$B$97:$U$97,MATCH(calculos_quadro!$G$262,calculos_quadro!$B$89:$U$89,0)),""))</f>
        <v>0</v>
      </c>
      <c r="N38" s="398" t="str">
        <f>IF(calculos_quadro!$G$263="","",IFERROR(INDEX(calculos_quadro!$B$97:$U$97,MATCH(calculos_quadro!$G$263,calculos_quadro!$B$89:$U$89,0)),""))</f>
        <v/>
      </c>
      <c r="O38" s="398" t="str">
        <f>IF(calculos_quadro!$G$264="","",IFERROR(INDEX(calculos_quadro!$B$97:$U$97,MATCH(calculos_quadro!$G$264,calculos_quadro!$B$89:$U$89,0)),""))</f>
        <v/>
      </c>
      <c r="P38" s="397"/>
      <c r="Q38" s="398" t="str">
        <f>IF(calculos_quadro!$G$265="","",IFERROR(INDEX(calculos_quadro!$B$97:$U$97,MATCH(calculos_quadro!$G$265,calculos_quadro!$B$89:$U$89,0)),""))</f>
        <v/>
      </c>
      <c r="R38" s="398" t="str">
        <f>IF(calculos_quadro!$G$266="","",IFERROR(INDEX(calculos_quadro!$B$97:$U$97,MATCH(calculos_quadro!$G$266,calculos_quadro!$B$89:$U$89,0)),""))</f>
        <v/>
      </c>
      <c r="S38" s="398" t="str">
        <f>IF(calculos_quadro!$G$267="","",IFERROR(INDEX(calculos_quadro!$B$97:$U$97,MATCH(calculos_quadro!$G$267,calculos_quadro!$B$89:$U$89,0)),""))</f>
        <v/>
      </c>
      <c r="T38" s="398" t="str">
        <f>IF(calculos_quadro!$G$268="","",IFERROR(INDEX(calculos_quadro!$B$97:$U$97,MATCH(calculos_quadro!$G$268,calculos_quadro!$B$89:$U$89,0)),""))</f>
        <v/>
      </c>
      <c r="U38" s="397"/>
      <c r="V38" s="398" t="str">
        <f>IF(calculos_quadro!$G$269="","",IFERROR(INDEX(calculos_quadro!$B$97:$U$97,MATCH(calculos_quadro!$G$269,calculos_quadro!$B$89:$U$89,0)),""))</f>
        <v/>
      </c>
      <c r="W38" s="398" t="str">
        <f>IF(calculos_quadro!$G$270="","",IFERROR(INDEX(calculos_quadro!$B$97:$U$97,MATCH(calculos_quadro!$G$270,calculos_quadro!$B$89:$U$89,0)),""))</f>
        <v/>
      </c>
      <c r="X38" s="398" t="str">
        <f>IF(calculos_quadro!$G$271="","",IFERROR(INDEX(calculos_quadro!$B$97:$U$97,MATCH(calculos_quadro!$G$271,calculos_quadro!$B$89:$U$89,0)),""))</f>
        <v/>
      </c>
      <c r="Y38" s="398" t="str">
        <f>IF(calculos_quadro!$G$272="","",IFERROR(INDEX(calculos_quadro!$B$97:$U$97,MATCH(calculos_quadro!$G$272,calculos_quadro!$B$89:$U$89,0)),""))</f>
        <v/>
      </c>
      <c r="Z38" s="398" t="str">
        <f>IF(calculos_quadro!$G$273="","",IFERROR(INDEX(calculos_quadro!$B$97:$U$97,MATCH(calculos_quadro!$G$273,calculos_quadro!$B$89:$U$89,0)),""))</f>
        <v/>
      </c>
    </row>
    <row r="39" ht="15.75" customHeight="1">
      <c r="B39" s="492"/>
      <c r="C39" s="211"/>
      <c r="D39" s="407" t="inlineStr">
        <is>
          <t xml:space="preserve">Backlog</t>
        </is>
      </c>
      <c r="E39" s="406"/>
      <c r="F39" s="406"/>
      <c r="G39" s="406"/>
      <c r="H39" s="415" t="str">
        <f>IF(calculos_quadro!$G$258="","",IFERROR(INDEX(calculos_quadro!$B$98:$U$98,MATCH(calculos_quadro!$G$258,calculos_quadro!$B$89:$U$89,0)),""))</f>
        <v/>
      </c>
      <c r="I39" s="415" t="str">
        <f>IF(calculos_quadro!$G$259="","",IFERROR(INDEX(calculos_quadro!$B$98:$U$98,MATCH(calculos_quadro!$G$259,calculos_quadro!$B$89:$U$89,0)),""))</f>
        <v/>
      </c>
      <c r="J39" s="415" t="str">
        <f>IF(calculos_quadro!$G$260="","",IFERROR(INDEX(calculos_quadro!$B$98:$U$98,MATCH(calculos_quadro!$G$260,calculos_quadro!$B$89:$U$89,0)),""))</f>
        <v/>
      </c>
      <c r="K39" s="414"/>
      <c r="L39" s="415" t="str">
        <f>IF(calculos_quadro!$G$261="","",IFERROR(INDEX(calculos_quadro!$B$98:$U$98,MATCH(calculos_quadro!$G$261,calculos_quadro!$B$89:$U$89,0)),""))</f>
        <v/>
      </c>
      <c r="M39" s="415" t="str">
        <f>IF(calculos_quadro!$G$262="","",IFERROR(INDEX(calculos_quadro!$B$98:$U$98,MATCH(calculos_quadro!$G$262,calculos_quadro!$B$89:$U$89,0)),""))</f>
        <v/>
      </c>
      <c r="N39" s="415" t="str">
        <f>IF(calculos_quadro!$G$263="","",IFERROR(INDEX(calculos_quadro!$B$98:$U$98,MATCH(calculos_quadro!$G$263,calculos_quadro!$B$89:$U$89,0)),""))</f>
        <v/>
      </c>
      <c r="O39" s="415" t="str">
        <f>IF(calculos_quadro!$G$264="","",IFERROR(INDEX(calculos_quadro!$B$98:$U$98,MATCH(calculos_quadro!$G$264,calculos_quadro!$B$89:$U$89,0)),""))</f>
        <v/>
      </c>
      <c r="P39" s="414"/>
      <c r="Q39" s="415" t="str">
        <f>IF(calculos_quadro!$G$265="","",IFERROR(INDEX(calculos_quadro!$B$98:$U$98,MATCH(calculos_quadro!$G$265,calculos_quadro!$B$89:$U$89,0)),""))</f>
        <v/>
      </c>
      <c r="R39" s="415" t="str">
        <f>IF(calculos_quadro!$G$266="","",IFERROR(INDEX(calculos_quadro!$B$98:$U$98,MATCH(calculos_quadro!$G$266,calculos_quadro!$B$89:$U$89,0)),""))</f>
        <v/>
      </c>
      <c r="S39" s="415" t="str">
        <f>IF(calculos_quadro!$G$267="","",IFERROR(INDEX(calculos_quadro!$B$98:$U$98,MATCH(calculos_quadro!$G$267,calculos_quadro!$B$89:$U$89,0)),""))</f>
        <v/>
      </c>
      <c r="T39" s="415" t="str">
        <f>IF(calculos_quadro!$G$268="","",IFERROR(INDEX(calculos_quadro!$B$98:$U$98,MATCH(calculos_quadro!$G$268,calculos_quadro!$B$89:$U$89,0)),""))</f>
        <v/>
      </c>
      <c r="U39" s="414"/>
      <c r="V39" s="415" t="str">
        <f>IF(calculos_quadro!$G$269="","",IFERROR(INDEX(calculos_quadro!$B$98:$U$98,MATCH(calculos_quadro!$G$269,calculos_quadro!$B$89:$U$89,0)),""))</f>
        <v/>
      </c>
      <c r="W39" s="415" t="str">
        <f>IF(calculos_quadro!$G$270="","",IFERROR(INDEX(calculos_quadro!$B$98:$U$98,MATCH(calculos_quadro!$G$270,calculos_quadro!$B$89:$U$89,0)),""))</f>
        <v/>
      </c>
      <c r="X39" s="415" t="str">
        <f>IF(calculos_quadro!$G$271="","",IFERROR(INDEX(calculos_quadro!$B$98:$U$98,MATCH(calculos_quadro!$G$271,calculos_quadro!$B$89:$U$89,0)),""))</f>
        <v/>
      </c>
      <c r="Y39" s="415" t="str">
        <f>IF(calculos_quadro!$G$272="","",IFERROR(INDEX(calculos_quadro!$B$98:$U$98,MATCH(calculos_quadro!$G$272,calculos_quadro!$B$89:$U$89,0)),""))</f>
        <v/>
      </c>
      <c r="Z39" s="415" t="str">
        <f>IF(calculos_quadro!$G$273="","",IFERROR(INDEX(calculos_quadro!$B$98:$U$98,MATCH(calculos_quadro!$G$273,calculos_quadro!$B$89:$U$89,0)),""))</f>
        <v/>
      </c>
    </row>
    <row r="40" ht="15.75" customHeight="1">
      <c r="B40" s="484" t="inlineStr">
        <is>
          <t xml:space="preserve">OCUPAÇÃO (P.P)</t>
        </is>
      </c>
      <c r="C40" s="155"/>
      <c r="D40" s="275" t="inlineStr">
        <is>
          <t xml:space="preserve">Posições Disponíveis</t>
        </is>
      </c>
      <c r="E40" s="274"/>
      <c r="F40" s="274"/>
      <c r="G40" s="274"/>
      <c r="H40" s="283" t="str">
        <f>IF(calculos_quadro!$G$258="","",IFERROR(INDEX(calculos_quadro!$B$99:$U$99,MATCH(calculos_quadro!$G$258,calculos_quadro!$B$89:$U$89,0)),""))</f>
        <v/>
      </c>
      <c r="I40" s="283" t="str">
        <f>IF(calculos_quadro!$G$259="","",IFERROR(INDEX(calculos_quadro!$B$99:$U$99,MATCH(calculos_quadro!$G$259,calculos_quadro!$B$89:$U$89,0)),""))</f>
        <v>—</v>
      </c>
      <c r="J40" s="283" t="str">
        <f>IF(calculos_quadro!$G$260="","",IFERROR(INDEX(calculos_quadro!$B$99:$U$99,MATCH(calculos_quadro!$G$260,calculos_quadro!$B$89:$U$89,0)),""))</f>
        <v>—</v>
      </c>
      <c r="K40" s="282"/>
      <c r="L40" s="283" t="str">
        <f>IF(calculos_quadro!$G$261="","",IFERROR(INDEX(calculos_quadro!$B$99:$U$99,MATCH(calculos_quadro!$G$261,calculos_quadro!$B$89:$U$89,0)),""))</f>
        <v>—</v>
      </c>
      <c r="M40" s="283" t="str">
        <f>IF(calculos_quadro!$G$262="","",IFERROR(INDEX(calculos_quadro!$B$99:$U$99,MATCH(calculos_quadro!$G$262,calculos_quadro!$B$89:$U$89,0)),""))</f>
        <v/>
      </c>
      <c r="N40" s="283" t="str">
        <f>IF(calculos_quadro!$G$263="","",IFERROR(INDEX(calculos_quadro!$B$99:$U$99,MATCH(calculos_quadro!$G$263,calculos_quadro!$B$89:$U$89,0)),""))</f>
        <v/>
      </c>
      <c r="O40" s="283" t="str">
        <f>IF(calculos_quadro!$G$264="","",IFERROR(INDEX(calculos_quadro!$B$99:$U$99,MATCH(calculos_quadro!$G$264,calculos_quadro!$B$89:$U$89,0)),""))</f>
        <v/>
      </c>
      <c r="P40" s="282"/>
      <c r="Q40" s="283" t="str">
        <f>IF(calculos_quadro!$G$265="","",IFERROR(INDEX(calculos_quadro!$B$99:$U$99,MATCH(calculos_quadro!$G$265,calculos_quadro!$B$89:$U$89,0)),""))</f>
        <v/>
      </c>
      <c r="R40" s="283" t="str">
        <f>IF(calculos_quadro!$G$266="","",IFERROR(INDEX(calculos_quadro!$B$99:$U$99,MATCH(calculos_quadro!$G$266,calculos_quadro!$B$89:$U$89,0)),""))</f>
        <v/>
      </c>
      <c r="S40" s="283" t="str">
        <f>IF(calculos_quadro!$G$267="","",IFERROR(INDEX(calculos_quadro!$B$99:$U$99,MATCH(calculos_quadro!$G$267,calculos_quadro!$B$89:$U$89,0)),""))</f>
        <v/>
      </c>
      <c r="T40" s="283" t="str">
        <f>IF(calculos_quadro!$G$268="","",IFERROR(INDEX(calculos_quadro!$B$99:$U$99,MATCH(calculos_quadro!$G$268,calculos_quadro!$B$89:$U$89,0)),""))</f>
        <v/>
      </c>
      <c r="U40" s="282"/>
      <c r="V40" s="283" t="str">
        <f>IF(calculos_quadro!$G$269="","",IFERROR(INDEX(calculos_quadro!$B$99:$U$99,MATCH(calculos_quadro!$G$269,calculos_quadro!$B$89:$U$89,0)),""))</f>
        <v/>
      </c>
      <c r="W40" s="283" t="str">
        <f>IF(calculos_quadro!$G$270="","",IFERROR(INDEX(calculos_quadro!$B$99:$U$99,MATCH(calculos_quadro!$G$270,calculos_quadro!$B$89:$U$89,0)),""))</f>
        <v/>
      </c>
      <c r="X40" s="283" t="str">
        <f>IF(calculos_quadro!$G$271="","",IFERROR(INDEX(calculos_quadro!$B$99:$U$99,MATCH(calculos_quadro!$G$271,calculos_quadro!$B$89:$U$89,0)),""))</f>
        <v/>
      </c>
      <c r="Y40" s="283" t="str">
        <f>IF(calculos_quadro!$G$272="","",IFERROR(INDEX(calculos_quadro!$B$99:$U$99,MATCH(calculos_quadro!$G$272,calculos_quadro!$B$89:$U$89,0)),""))</f>
        <v/>
      </c>
      <c r="Z40" s="283" t="str">
        <f>IF(calculos_quadro!$G$273="","",IFERROR(INDEX(calculos_quadro!$B$99:$U$99,MATCH(calculos_quadro!$G$273,calculos_quadro!$B$89:$U$89,0)),""))</f>
        <v/>
      </c>
    </row>
    <row r="41" ht="15.75" customHeight="1">
      <c r="B41" s="485"/>
      <c r="C41" s="162"/>
      <c r="D41" s="292" t="inlineStr">
        <is>
          <t xml:space="preserve">Posições Ocupadas</t>
        </is>
      </c>
      <c r="E41" s="291"/>
      <c r="F41" s="291"/>
      <c r="G41" s="291"/>
      <c r="H41" s="300" t="str">
        <f>IF(calculos_quadro!$G$258="","",IFERROR(INDEX(calculos_quadro!$B$100:$U$100,MATCH(calculos_quadro!$G$258,calculos_quadro!$B$89:$U$89,0)),""))</f>
        <v/>
      </c>
      <c r="I41" s="300" t="str">
        <f>IF(calculos_quadro!$G$259="","",IFERROR(INDEX(calculos_quadro!$B$100:$U$100,MATCH(calculos_quadro!$G$259,calculos_quadro!$B$89:$U$89,0)),""))</f>
        <v>—</v>
      </c>
      <c r="J41" s="300" t="str">
        <f>IF(calculos_quadro!$G$260="","",IFERROR(INDEX(calculos_quadro!$B$100:$U$100,MATCH(calculos_quadro!$G$260,calculos_quadro!$B$89:$U$89,0)),""))</f>
        <v/>
      </c>
      <c r="K41" s="299"/>
      <c r="L41" s="300" t="str">
        <f>IF(calculos_quadro!$G$261="","",IFERROR(INDEX(calculos_quadro!$B$100:$U$100,MATCH(calculos_quadro!$G$261,calculos_quadro!$B$89:$U$89,0)),""))</f>
        <v/>
      </c>
      <c r="M41" s="300" t="str">
        <f>IF(calculos_quadro!$G$262="","",IFERROR(INDEX(calculos_quadro!$B$100:$U$100,MATCH(calculos_quadro!$G$262,calculos_quadro!$B$89:$U$89,0)),""))</f>
        <v/>
      </c>
      <c r="N41" s="300" t="str">
        <f>IF(calculos_quadro!$G$263="","",IFERROR(INDEX(calculos_quadro!$B$100:$U$100,MATCH(calculos_quadro!$G$263,calculos_quadro!$B$89:$U$89,0)),""))</f>
        <v/>
      </c>
      <c r="O41" s="300" t="str">
        <f>IF(calculos_quadro!$G$264="","",IFERROR(INDEX(calculos_quadro!$B$100:$U$100,MATCH(calculos_quadro!$G$264,calculos_quadro!$B$89:$U$89,0)),""))</f>
        <v/>
      </c>
      <c r="P41" s="299"/>
      <c r="Q41" s="300" t="str">
        <f>IF(calculos_quadro!$G$265="","",IFERROR(INDEX(calculos_quadro!$B$100:$U$100,MATCH(calculos_quadro!$G$265,calculos_quadro!$B$89:$U$89,0)),""))</f>
        <v/>
      </c>
      <c r="R41" s="300" t="str">
        <f>IF(calculos_quadro!$G$266="","",IFERROR(INDEX(calculos_quadro!$B$100:$U$100,MATCH(calculos_quadro!$G$266,calculos_quadro!$B$89:$U$89,0)),""))</f>
        <v/>
      </c>
      <c r="S41" s="300" t="str">
        <f>IF(calculos_quadro!$G$267="","",IFERROR(INDEX(calculos_quadro!$B$100:$U$100,MATCH(calculos_quadro!$G$267,calculos_quadro!$B$89:$U$89,0)),""))</f>
        <v/>
      </c>
      <c r="T41" s="300" t="str">
        <f>IF(calculos_quadro!$G$268="","",IFERROR(INDEX(calculos_quadro!$B$100:$U$100,MATCH(calculos_quadro!$G$268,calculos_quadro!$B$89:$U$89,0)),""))</f>
        <v/>
      </c>
      <c r="U41" s="299"/>
      <c r="V41" s="300" t="str">
        <f>IF(calculos_quadro!$G$269="","",IFERROR(INDEX(calculos_quadro!$B$100:$U$100,MATCH(calculos_quadro!$G$269,calculos_quadro!$B$89:$U$89,0)),""))</f>
        <v/>
      </c>
      <c r="W41" s="300" t="str">
        <f>IF(calculos_quadro!$G$270="","",IFERROR(INDEX(calculos_quadro!$B$100:$U$100,MATCH(calculos_quadro!$G$270,calculos_quadro!$B$89:$U$89,0)),""))</f>
        <v/>
      </c>
      <c r="X41" s="300" t="str">
        <f>IF(calculos_quadro!$G$271="","",IFERROR(INDEX(calculos_quadro!$B$100:$U$100,MATCH(calculos_quadro!$G$271,calculos_quadro!$B$89:$U$89,0)),""))</f>
        <v/>
      </c>
      <c r="Y41" s="300" t="str">
        <f>IF(calculos_quadro!$G$272="","",IFERROR(INDEX(calculos_quadro!$B$100:$U$100,MATCH(calculos_quadro!$G$272,calculos_quadro!$B$89:$U$89,0)),""))</f>
        <v/>
      </c>
      <c r="Z41" s="300" t="str">
        <f>IF(calculos_quadro!$G$273="","",IFERROR(INDEX(calculos_quadro!$B$100:$U$100,MATCH(calculos_quadro!$G$273,calculos_quadro!$B$89:$U$89,0)),""))</f>
        <v/>
      </c>
    </row>
    <row r="42" ht="15.75" customHeight="1">
      <c r="B42" s="486"/>
      <c r="C42" s="169"/>
      <c r="D42" s="309" t="inlineStr">
        <is>
          <t xml:space="preserve">Taxa de Ocupação</t>
        </is>
      </c>
      <c r="E42" s="308"/>
      <c r="F42" s="308"/>
      <c r="G42" s="308"/>
      <c r="H42" s="319" t="str">
        <f>IF(calculos_quadro!$G$258="","",IFERROR(INDEX(calculos_quadro!$B$101:$U$101,MATCH(calculos_quadro!$G$258,calculos_quadro!$B$89:$U$89,0)),""))</f>
        <v/>
      </c>
      <c r="I42" s="319" t="str">
        <f>IF(calculos_quadro!$G$259="","",IFERROR(INDEX(calculos_quadro!$B$101:$U$101,MATCH(calculos_quadro!$G$259,calculos_quadro!$B$89:$U$89,0)),""))</f>
        <v>—</v>
      </c>
      <c r="J42" s="319" t="str">
        <f>IF(calculos_quadro!$G$260="","",IFERROR(INDEX(calculos_quadro!$B$101:$U$101,MATCH(calculos_quadro!$G$260,calculos_quadro!$B$89:$U$89,0)),""))</f>
        <v>—</v>
      </c>
      <c r="K42" s="318"/>
      <c r="L42" s="319" t="str">
        <f>IF(calculos_quadro!$G$261="","",IFERROR(INDEX(calculos_quadro!$B$101:$U$101,MATCH(calculos_quadro!$G$261,calculos_quadro!$B$89:$U$89,0)),""))</f>
        <v>—</v>
      </c>
      <c r="M42" s="319" t="str">
        <f>IF(calculos_quadro!$G$262="","",IFERROR(INDEX(calculos_quadro!$B$101:$U$101,MATCH(calculos_quadro!$G$262,calculos_quadro!$B$89:$U$89,0)),""))</f>
        <v/>
      </c>
      <c r="N42" s="319" t="str">
        <f>IF(calculos_quadro!$G$263="","",IFERROR(INDEX(calculos_quadro!$B$101:$U$101,MATCH(calculos_quadro!$G$263,calculos_quadro!$B$89:$U$89,0)),""))</f>
        <v/>
      </c>
      <c r="O42" s="319" t="str">
        <f>IF(calculos_quadro!$G$264="","",IFERROR(INDEX(calculos_quadro!$B$101:$U$101,MATCH(calculos_quadro!$G$264,calculos_quadro!$B$89:$U$89,0)),""))</f>
        <v/>
      </c>
      <c r="P42" s="318"/>
      <c r="Q42" s="319" t="str">
        <f>IF(calculos_quadro!$G$265="","",IFERROR(INDEX(calculos_quadro!$B$101:$U$101,MATCH(calculos_quadro!$G$265,calculos_quadro!$B$89:$U$89,0)),""))</f>
        <v/>
      </c>
      <c r="R42" s="319" t="str">
        <f>IF(calculos_quadro!$G$266="","",IFERROR(INDEX(calculos_quadro!$B$101:$U$101,MATCH(calculos_quadro!$G$266,calculos_quadro!$B$89:$U$89,0)),""))</f>
        <v/>
      </c>
      <c r="S42" s="319" t="str">
        <f>IF(calculos_quadro!$G$267="","",IFERROR(INDEX(calculos_quadro!$B$101:$U$101,MATCH(calculos_quadro!$G$267,calculos_quadro!$B$89:$U$89,0)),""))</f>
        <v/>
      </c>
      <c r="T42" s="319" t="str">
        <f>IF(calculos_quadro!$G$268="","",IFERROR(INDEX(calculos_quadro!$B$101:$U$101,MATCH(calculos_quadro!$G$268,calculos_quadro!$B$89:$U$89,0)),""))</f>
        <v/>
      </c>
      <c r="U42" s="318"/>
      <c r="V42" s="319" t="str">
        <f>IF(calculos_quadro!$G$269="","",IFERROR(INDEX(calculos_quadro!$B$101:$U$101,MATCH(calculos_quadro!$G$269,calculos_quadro!$B$89:$U$89,0)),""))</f>
        <v/>
      </c>
      <c r="W42" s="319" t="str">
        <f>IF(calculos_quadro!$G$270="","",IFERROR(INDEX(calculos_quadro!$B$101:$U$101,MATCH(calculos_quadro!$G$270,calculos_quadro!$B$89:$U$89,0)),""))</f>
        <v/>
      </c>
      <c r="X42" s="319" t="str">
        <f>IF(calculos_quadro!$G$271="","",IFERROR(INDEX(calculos_quadro!$B$101:$U$101,MATCH(calculos_quadro!$G$271,calculos_quadro!$B$89:$U$89,0)),""))</f>
        <v/>
      </c>
      <c r="Y42" s="319" t="str">
        <f>IF(calculos_quadro!$G$272="","",IFERROR(INDEX(calculos_quadro!$B$101:$U$101,MATCH(calculos_quadro!$G$272,calculos_quadro!$B$89:$U$89,0)),""))</f>
        <v/>
      </c>
      <c r="Z42" s="319" t="str">
        <f>IF(calculos_quadro!$G$273="","",IFERROR(INDEX(calculos_quadro!$B$101:$U$101,MATCH(calculos_quadro!$G$273,calculos_quadro!$B$89:$U$89,0)),""))</f>
        <v/>
      </c>
    </row>
    <row r="43" ht="15.75" customHeight="1">
      <c r="B43" s="493" t="inlineStr">
        <is>
          <t xml:space="preserve">GENTE</t>
        </is>
      </c>
      <c r="C43" s="221"/>
      <c r="D43" s="434" t="inlineStr">
        <is>
          <t xml:space="preserve">Efetivo Op.</t>
        </is>
      </c>
      <c r="E43" s="433"/>
      <c r="F43" s="433"/>
      <c r="G43" s="433"/>
      <c r="H43" s="442" t="str">
        <f>IF(calculos_quadro!$G$258="","",IFERROR(INDEX(calculos_quadro!$B$102:$U$102,MATCH(calculos_quadro!$G$258,calculos_quadro!$B$89:$U$89,0)),""))</f>
        <v/>
      </c>
      <c r="I43" s="442" t="str">
        <f>IF(calculos_quadro!$G$259="","",IFERROR(INDEX(calculos_quadro!$B$102:$U$102,MATCH(calculos_quadro!$G$259,calculos_quadro!$B$89:$U$89,0)),""))</f>
        <v/>
      </c>
      <c r="J43" s="442" t="str">
        <f>IF(calculos_quadro!$G$260="","",IFERROR(INDEX(calculos_quadro!$B$102:$U$102,MATCH(calculos_quadro!$G$260,calculos_quadro!$B$89:$U$89,0)),""))</f>
        <v/>
      </c>
      <c r="K43" s="441"/>
      <c r="L43" s="442" t="str">
        <f>IF(calculos_quadro!$G$261="","",IFERROR(INDEX(calculos_quadro!$B$102:$U$102,MATCH(calculos_quadro!$G$261,calculos_quadro!$B$89:$U$89,0)),""))</f>
        <v/>
      </c>
      <c r="M43" s="442" t="str">
        <f>IF(calculos_quadro!$G$262="","",IFERROR(INDEX(calculos_quadro!$B$102:$U$102,MATCH(calculos_quadro!$G$262,calculos_quadro!$B$89:$U$89,0)),""))</f>
        <v/>
      </c>
      <c r="N43" s="442" t="str">
        <f>IF(calculos_quadro!$G$263="","",IFERROR(INDEX(calculos_quadro!$B$102:$U$102,MATCH(calculos_quadro!$G$263,calculos_quadro!$B$89:$U$89,0)),""))</f>
        <v/>
      </c>
      <c r="O43" s="442" t="str">
        <f>IF(calculos_quadro!$G$264="","",IFERROR(INDEX(calculos_quadro!$B$102:$U$102,MATCH(calculos_quadro!$G$264,calculos_quadro!$B$89:$U$89,0)),""))</f>
        <v/>
      </c>
      <c r="P43" s="441"/>
      <c r="Q43" s="442" t="str">
        <f>IF(calculos_quadro!$G$265="","",IFERROR(INDEX(calculos_quadro!$B$102:$U$102,MATCH(calculos_quadro!$G$265,calculos_quadro!$B$89:$U$89,0)),""))</f>
        <v/>
      </c>
      <c r="R43" s="442" t="str">
        <f>IF(calculos_quadro!$G$266="","",IFERROR(INDEX(calculos_quadro!$B$102:$U$102,MATCH(calculos_quadro!$G$266,calculos_quadro!$B$89:$U$89,0)),""))</f>
        <v/>
      </c>
      <c r="S43" s="442" t="str">
        <f>IF(calculos_quadro!$G$267="","",IFERROR(INDEX(calculos_quadro!$B$102:$U$102,MATCH(calculos_quadro!$G$267,calculos_quadro!$B$89:$U$89,0)),""))</f>
        <v/>
      </c>
      <c r="T43" s="442" t="str">
        <f>IF(calculos_quadro!$G$268="","",IFERROR(INDEX(calculos_quadro!$B$102:$U$102,MATCH(calculos_quadro!$G$268,calculos_quadro!$B$89:$U$89,0)),""))</f>
        <v/>
      </c>
      <c r="U43" s="441"/>
      <c r="V43" s="442" t="str">
        <f>IF(calculos_quadro!$G$269="","",IFERROR(INDEX(calculos_quadro!$B$102:$U$102,MATCH(calculos_quadro!$G$269,calculos_quadro!$B$89:$U$89,0)),""))</f>
        <v/>
      </c>
      <c r="W43" s="442" t="str">
        <f>IF(calculos_quadro!$G$270="","",IFERROR(INDEX(calculos_quadro!$B$102:$U$102,MATCH(calculos_quadro!$G$270,calculos_quadro!$B$89:$U$89,0)),""))</f>
        <v/>
      </c>
      <c r="X43" s="442" t="str">
        <f>IF(calculos_quadro!$G$271="","",IFERROR(INDEX(calculos_quadro!$B$102:$U$102,MATCH(calculos_quadro!$G$271,calculos_quadro!$B$89:$U$89,0)),""))</f>
        <v/>
      </c>
      <c r="Y43" s="442" t="str">
        <f>IF(calculos_quadro!$G$272="","",IFERROR(INDEX(calculos_quadro!$B$102:$U$102,MATCH(calculos_quadro!$G$272,calculos_quadro!$B$89:$U$89,0)),""))</f>
        <v/>
      </c>
      <c r="Z43" s="442" t="str">
        <f>IF(calculos_quadro!$G$273="","",IFERROR(INDEX(calculos_quadro!$B$102:$U$102,MATCH(calculos_quadro!$G$273,calculos_quadro!$B$89:$U$89,0)),""))</f>
        <v/>
      </c>
    </row>
    <row r="44" ht="15.75" customHeight="1">
      <c r="B44" s="494"/>
      <c r="C44" s="228"/>
      <c r="D44" s="451" t="inlineStr">
        <is>
          <t xml:space="preserve">Falta</t>
        </is>
      </c>
      <c r="E44" s="450"/>
      <c r="F44" s="450"/>
      <c r="G44" s="450"/>
      <c r="H44" s="459">
        <f>IF(calculos_quadro!$G$258="","",IFERROR(INDEX(calculos_quadro!$B$103:$U$103,MATCH(calculos_quadro!$G$258,calculos_quadro!$B$89:$U$89,0)),""))</f>
        <v>0</v>
      </c>
      <c r="I44" s="459">
        <f>IF(calculos_quadro!$G$259="","",IFERROR(INDEX(calculos_quadro!$B$103:$U$103,MATCH(calculos_quadro!$G$259,calculos_quadro!$B$89:$U$89,0)),""))</f>
        <v>0</v>
      </c>
      <c r="J44" s="459">
        <f>IF(calculos_quadro!$G$260="","",IFERROR(INDEX(calculos_quadro!$B$103:$U$103,MATCH(calculos_quadro!$G$260,calculos_quadro!$B$89:$U$89,0)),""))</f>
        <v>0</v>
      </c>
      <c r="K44" s="458"/>
      <c r="L44" s="459">
        <f>IF(calculos_quadro!$G$261="","",IFERROR(INDEX(calculos_quadro!$B$103:$U$103,MATCH(calculos_quadro!$G$261,calculos_quadro!$B$89:$U$89,0)),""))</f>
        <v>0</v>
      </c>
      <c r="M44" s="459">
        <f>IF(calculos_quadro!$G$262="","",IFERROR(INDEX(calculos_quadro!$B$103:$U$103,MATCH(calculos_quadro!$G$262,calculos_quadro!$B$89:$U$89,0)),""))</f>
        <v>0</v>
      </c>
      <c r="N44" s="459" t="str">
        <f>IF(calculos_quadro!$G$263="","",IFERROR(INDEX(calculos_quadro!$B$103:$U$103,MATCH(calculos_quadro!$G$263,calculos_quadro!$B$89:$U$89,0)),""))</f>
        <v/>
      </c>
      <c r="O44" s="459" t="str">
        <f>IF(calculos_quadro!$G$264="","",IFERROR(INDEX(calculos_quadro!$B$103:$U$103,MATCH(calculos_quadro!$G$264,calculos_quadro!$B$89:$U$89,0)),""))</f>
        <v/>
      </c>
      <c r="P44" s="458"/>
      <c r="Q44" s="459" t="str">
        <f>IF(calculos_quadro!$G$265="","",IFERROR(INDEX(calculos_quadro!$B$103:$U$103,MATCH(calculos_quadro!$G$265,calculos_quadro!$B$89:$U$89,0)),""))</f>
        <v/>
      </c>
      <c r="R44" s="459" t="str">
        <f>IF(calculos_quadro!$G$266="","",IFERROR(INDEX(calculos_quadro!$B$103:$U$103,MATCH(calculos_quadro!$G$266,calculos_quadro!$B$89:$U$89,0)),""))</f>
        <v/>
      </c>
      <c r="S44" s="459" t="str">
        <f>IF(calculos_quadro!$G$267="","",IFERROR(INDEX(calculos_quadro!$B$103:$U$103,MATCH(calculos_quadro!$G$267,calculos_quadro!$B$89:$U$89,0)),""))</f>
        <v/>
      </c>
      <c r="T44" s="459" t="str">
        <f>IF(calculos_quadro!$G$268="","",IFERROR(INDEX(calculos_quadro!$B$103:$U$103,MATCH(calculos_quadro!$G$268,calculos_quadro!$B$89:$U$89,0)),""))</f>
        <v/>
      </c>
      <c r="U44" s="458"/>
      <c r="V44" s="459" t="str">
        <f>IF(calculos_quadro!$G$269="","",IFERROR(INDEX(calculos_quadro!$B$103:$U$103,MATCH(calculos_quadro!$G$269,calculos_quadro!$B$89:$U$89,0)),""))</f>
        <v/>
      </c>
      <c r="W44" s="459" t="str">
        <f>IF(calculos_quadro!$G$270="","",IFERROR(INDEX(calculos_quadro!$B$103:$U$103,MATCH(calculos_quadro!$G$270,calculos_quadro!$B$89:$U$89,0)),""))</f>
        <v/>
      </c>
      <c r="X44" s="459" t="str">
        <f>IF(calculos_quadro!$G$271="","",IFERROR(INDEX(calculos_quadro!$B$103:$U$103,MATCH(calculos_quadro!$G$271,calculos_quadro!$B$89:$U$89,0)),""))</f>
        <v/>
      </c>
      <c r="Y44" s="459" t="str">
        <f>IF(calculos_quadro!$G$272="","",IFERROR(INDEX(calculos_quadro!$B$103:$U$103,MATCH(calculos_quadro!$G$272,calculos_quadro!$B$89:$U$89,0)),""))</f>
        <v/>
      </c>
      <c r="Z44" s="459" t="str">
        <f>IF(calculos_quadro!$G$273="","",IFERROR(INDEX(calculos_quadro!$B$103:$U$103,MATCH(calculos_quadro!$G$273,calculos_quadro!$B$89:$U$89,0)),""))</f>
        <v/>
      </c>
    </row>
    <row r="45" ht="15.75" customHeight="1">
      <c r="B45" s="494"/>
      <c r="C45" s="228"/>
      <c r="D45" s="451" t="inlineStr">
        <is>
          <t xml:space="preserve">Folga</t>
        </is>
      </c>
      <c r="E45" s="450"/>
      <c r="F45" s="450"/>
      <c r="G45" s="450"/>
      <c r="H45" s="459">
        <f>IF(calculos_quadro!$G$258="","",IFERROR(INDEX(calculos_quadro!$B$104:$U$104,MATCH(calculos_quadro!$G$258,calculos_quadro!$B$89:$U$89,0)),""))</f>
        <v>0</v>
      </c>
      <c r="I45" s="459">
        <f>IF(calculos_quadro!$G$259="","",IFERROR(INDEX(calculos_quadro!$B$104:$U$104,MATCH(calculos_quadro!$G$259,calculos_quadro!$B$89:$U$89,0)),""))</f>
        <v>0</v>
      </c>
      <c r="J45" s="459">
        <f>IF(calculos_quadro!$G$260="","",IFERROR(INDEX(calculos_quadro!$B$104:$U$104,MATCH(calculos_quadro!$G$260,calculos_quadro!$B$89:$U$89,0)),""))</f>
        <v>0</v>
      </c>
      <c r="K45" s="458"/>
      <c r="L45" s="459">
        <f>IF(calculos_quadro!$G$261="","",IFERROR(INDEX(calculos_quadro!$B$104:$U$104,MATCH(calculos_quadro!$G$261,calculos_quadro!$B$89:$U$89,0)),""))</f>
        <v>0</v>
      </c>
      <c r="M45" s="459">
        <f>IF(calculos_quadro!$G$262="","",IFERROR(INDEX(calculos_quadro!$B$104:$U$104,MATCH(calculos_quadro!$G$262,calculos_quadro!$B$89:$U$89,0)),""))</f>
        <v>0</v>
      </c>
      <c r="N45" s="459" t="str">
        <f>IF(calculos_quadro!$G$263="","",IFERROR(INDEX(calculos_quadro!$B$104:$U$104,MATCH(calculos_quadro!$G$263,calculos_quadro!$B$89:$U$89,0)),""))</f>
        <v/>
      </c>
      <c r="O45" s="459" t="str">
        <f>IF(calculos_quadro!$G$264="","",IFERROR(INDEX(calculos_quadro!$B$104:$U$104,MATCH(calculos_quadro!$G$264,calculos_quadro!$B$89:$U$89,0)),""))</f>
        <v/>
      </c>
      <c r="P45" s="458"/>
      <c r="Q45" s="459" t="str">
        <f>IF(calculos_quadro!$G$265="","",IFERROR(INDEX(calculos_quadro!$B$104:$U$104,MATCH(calculos_quadro!$G$265,calculos_quadro!$B$89:$U$89,0)),""))</f>
        <v/>
      </c>
      <c r="R45" s="459" t="str">
        <f>IF(calculos_quadro!$G$266="","",IFERROR(INDEX(calculos_quadro!$B$104:$U$104,MATCH(calculos_quadro!$G$266,calculos_quadro!$B$89:$U$89,0)),""))</f>
        <v/>
      </c>
      <c r="S45" s="459" t="str">
        <f>IF(calculos_quadro!$G$267="","",IFERROR(INDEX(calculos_quadro!$B$104:$U$104,MATCH(calculos_quadro!$G$267,calculos_quadro!$B$89:$U$89,0)),""))</f>
        <v/>
      </c>
      <c r="T45" s="459" t="str">
        <f>IF(calculos_quadro!$G$268="","",IFERROR(INDEX(calculos_quadro!$B$104:$U$104,MATCH(calculos_quadro!$G$268,calculos_quadro!$B$89:$U$89,0)),""))</f>
        <v/>
      </c>
      <c r="U45" s="458"/>
      <c r="V45" s="459" t="str">
        <f>IF(calculos_quadro!$G$269="","",IFERROR(INDEX(calculos_quadro!$B$104:$U$104,MATCH(calculos_quadro!$G$269,calculos_quadro!$B$89:$U$89,0)),""))</f>
        <v/>
      </c>
      <c r="W45" s="459" t="str">
        <f>IF(calculos_quadro!$G$270="","",IFERROR(INDEX(calculos_quadro!$B$104:$U$104,MATCH(calculos_quadro!$G$270,calculos_quadro!$B$89:$U$89,0)),""))</f>
        <v/>
      </c>
      <c r="X45" s="459" t="str">
        <f>IF(calculos_quadro!$G$271="","",IFERROR(INDEX(calculos_quadro!$B$104:$U$104,MATCH(calculos_quadro!$G$271,calculos_quadro!$B$89:$U$89,0)),""))</f>
        <v/>
      </c>
      <c r="Y45" s="459" t="str">
        <f>IF(calculos_quadro!$G$272="","",IFERROR(INDEX(calculos_quadro!$B$104:$U$104,MATCH(calculos_quadro!$G$272,calculos_quadro!$B$89:$U$89,0)),""))</f>
        <v/>
      </c>
      <c r="Z45" s="459" t="str">
        <f>IF(calculos_quadro!$G$273="","",IFERROR(INDEX(calculos_quadro!$B$104:$U$104,MATCH(calculos_quadro!$G$273,calculos_quadro!$B$89:$U$89,0)),""))</f>
        <v/>
      </c>
    </row>
    <row r="46" ht="15.75" customHeight="1">
      <c r="B46" s="494"/>
      <c r="C46" s="228"/>
      <c r="D46" s="451" t="inlineStr">
        <is>
          <t xml:space="preserve">Férias</t>
        </is>
      </c>
      <c r="E46" s="450"/>
      <c r="F46" s="450"/>
      <c r="G46" s="450"/>
      <c r="H46" s="459">
        <f>IF(calculos_quadro!$G$258="","",IFERROR(INDEX(calculos_quadro!$B$105:$U$105,MATCH(calculos_quadro!$G$258,calculos_quadro!$B$89:$U$89,0)),""))</f>
        <v>0</v>
      </c>
      <c r="I46" s="459">
        <f>IF(calculos_quadro!$G$259="","",IFERROR(INDEX(calculos_quadro!$B$105:$U$105,MATCH(calculos_quadro!$G$259,calculos_quadro!$B$89:$U$89,0)),""))</f>
        <v>0</v>
      </c>
      <c r="J46" s="459">
        <f>IF(calculos_quadro!$G$260="","",IFERROR(INDEX(calculos_quadro!$B$105:$U$105,MATCH(calculos_quadro!$G$260,calculos_quadro!$B$89:$U$89,0)),""))</f>
        <v>0</v>
      </c>
      <c r="K46" s="458"/>
      <c r="L46" s="459">
        <f>IF(calculos_quadro!$G$261="","",IFERROR(INDEX(calculos_quadro!$B$105:$U$105,MATCH(calculos_quadro!$G$261,calculos_quadro!$B$89:$U$89,0)),""))</f>
        <v>0</v>
      </c>
      <c r="M46" s="459">
        <f>IF(calculos_quadro!$G$262="","",IFERROR(INDEX(calculos_quadro!$B$105:$U$105,MATCH(calculos_quadro!$G$262,calculos_quadro!$B$89:$U$89,0)),""))</f>
        <v>0</v>
      </c>
      <c r="N46" s="459" t="str">
        <f>IF(calculos_quadro!$G$263="","",IFERROR(INDEX(calculos_quadro!$B$105:$U$105,MATCH(calculos_quadro!$G$263,calculos_quadro!$B$89:$U$89,0)),""))</f>
        <v/>
      </c>
      <c r="O46" s="459" t="str">
        <f>IF(calculos_quadro!$G$264="","",IFERROR(INDEX(calculos_quadro!$B$105:$U$105,MATCH(calculos_quadro!$G$264,calculos_quadro!$B$89:$U$89,0)),""))</f>
        <v/>
      </c>
      <c r="P46" s="458"/>
      <c r="Q46" s="459" t="str">
        <f>IF(calculos_quadro!$G$265="","",IFERROR(INDEX(calculos_quadro!$B$105:$U$105,MATCH(calculos_quadro!$G$265,calculos_quadro!$B$89:$U$89,0)),""))</f>
        <v/>
      </c>
      <c r="R46" s="459" t="str">
        <f>IF(calculos_quadro!$G$266="","",IFERROR(INDEX(calculos_quadro!$B$105:$U$105,MATCH(calculos_quadro!$G$266,calculos_quadro!$B$89:$U$89,0)),""))</f>
        <v/>
      </c>
      <c r="S46" s="459" t="str">
        <f>IF(calculos_quadro!$G$267="","",IFERROR(INDEX(calculos_quadro!$B$105:$U$105,MATCH(calculos_quadro!$G$267,calculos_quadro!$B$89:$U$89,0)),""))</f>
        <v/>
      </c>
      <c r="T46" s="459" t="str">
        <f>IF(calculos_quadro!$G$268="","",IFERROR(INDEX(calculos_quadro!$B$105:$U$105,MATCH(calculos_quadro!$G$268,calculos_quadro!$B$89:$U$89,0)),""))</f>
        <v/>
      </c>
      <c r="U46" s="458"/>
      <c r="V46" s="459" t="str">
        <f>IF(calculos_quadro!$G$269="","",IFERROR(INDEX(calculos_quadro!$B$105:$U$105,MATCH(calculos_quadro!$G$269,calculos_quadro!$B$89:$U$89,0)),""))</f>
        <v/>
      </c>
      <c r="W46" s="459" t="str">
        <f>IF(calculos_quadro!$G$270="","",IFERROR(INDEX(calculos_quadro!$B$105:$U$105,MATCH(calculos_quadro!$G$270,calculos_quadro!$B$89:$U$89,0)),""))</f>
        <v/>
      </c>
      <c r="X46" s="459" t="str">
        <f>IF(calculos_quadro!$G$271="","",IFERROR(INDEX(calculos_quadro!$B$105:$U$105,MATCH(calculos_quadro!$G$271,calculos_quadro!$B$89:$U$89,0)),""))</f>
        <v/>
      </c>
      <c r="Y46" s="459" t="str">
        <f>IF(calculos_quadro!$G$272="","",IFERROR(INDEX(calculos_quadro!$B$105:$U$105,MATCH(calculos_quadro!$G$272,calculos_quadro!$B$89:$U$89,0)),""))</f>
        <v/>
      </c>
      <c r="Z46" s="459" t="str">
        <f>IF(calculos_quadro!$G$273="","",IFERROR(INDEX(calculos_quadro!$B$105:$U$105,MATCH(calculos_quadro!$G$273,calculos_quadro!$B$89:$U$89,0)),""))</f>
        <v/>
      </c>
    </row>
    <row r="47" ht="15.75" customHeight="1">
      <c r="B47" s="494"/>
      <c r="C47" s="228"/>
      <c r="D47" s="451" t="inlineStr">
        <is>
          <t xml:space="preserve">Desligamento</t>
        </is>
      </c>
      <c r="E47" s="450"/>
      <c r="F47" s="450"/>
      <c r="G47" s="450"/>
      <c r="H47" s="459">
        <f>IF(calculos_quadro!$G$258="","",IFERROR(INDEX(calculos_quadro!$B$106:$U$106,MATCH(calculos_quadro!$G$258,calculos_quadro!$B$89:$U$89,0)),""))</f>
        <v>0</v>
      </c>
      <c r="I47" s="459">
        <f>IF(calculos_quadro!$G$259="","",IFERROR(INDEX(calculos_quadro!$B$106:$U$106,MATCH(calculos_quadro!$G$259,calculos_quadro!$B$89:$U$89,0)),""))</f>
        <v>0</v>
      </c>
      <c r="J47" s="459">
        <f>IF(calculos_quadro!$G$260="","",IFERROR(INDEX(calculos_quadro!$B$106:$U$106,MATCH(calculos_quadro!$G$260,calculos_quadro!$B$89:$U$89,0)),""))</f>
        <v>0</v>
      </c>
      <c r="K47" s="458"/>
      <c r="L47" s="459">
        <f>IF(calculos_quadro!$G$261="","",IFERROR(INDEX(calculos_quadro!$B$106:$U$106,MATCH(calculos_quadro!$G$261,calculos_quadro!$B$89:$U$89,0)),""))</f>
        <v>0</v>
      </c>
      <c r="M47" s="459">
        <f>IF(calculos_quadro!$G$262="","",IFERROR(INDEX(calculos_quadro!$B$106:$U$106,MATCH(calculos_quadro!$G$262,calculos_quadro!$B$89:$U$89,0)),""))</f>
        <v>0</v>
      </c>
      <c r="N47" s="459" t="str">
        <f>IF(calculos_quadro!$G$263="","",IFERROR(INDEX(calculos_quadro!$B$106:$U$106,MATCH(calculos_quadro!$G$263,calculos_quadro!$B$89:$U$89,0)),""))</f>
        <v/>
      </c>
      <c r="O47" s="459" t="str">
        <f>IF(calculos_quadro!$G$264="","",IFERROR(INDEX(calculos_quadro!$B$106:$U$106,MATCH(calculos_quadro!$G$264,calculos_quadro!$B$89:$U$89,0)),""))</f>
        <v/>
      </c>
      <c r="P47" s="458"/>
      <c r="Q47" s="459" t="str">
        <f>IF(calculos_quadro!$G$265="","",IFERROR(INDEX(calculos_quadro!$B$106:$U$106,MATCH(calculos_quadro!$G$265,calculos_quadro!$B$89:$U$89,0)),""))</f>
        <v/>
      </c>
      <c r="R47" s="459" t="str">
        <f>IF(calculos_quadro!$G$266="","",IFERROR(INDEX(calculos_quadro!$B$106:$U$106,MATCH(calculos_quadro!$G$266,calculos_quadro!$B$89:$U$89,0)),""))</f>
        <v/>
      </c>
      <c r="S47" s="459" t="str">
        <f>IF(calculos_quadro!$G$267="","",IFERROR(INDEX(calculos_quadro!$B$106:$U$106,MATCH(calculos_quadro!$G$267,calculos_quadro!$B$89:$U$89,0)),""))</f>
        <v/>
      </c>
      <c r="T47" s="459" t="str">
        <f>IF(calculos_quadro!$G$268="","",IFERROR(INDEX(calculos_quadro!$B$106:$U$106,MATCH(calculos_quadro!$G$268,calculos_quadro!$B$89:$U$89,0)),""))</f>
        <v/>
      </c>
      <c r="U47" s="458"/>
      <c r="V47" s="459" t="str">
        <f>IF(calculos_quadro!$G$269="","",IFERROR(INDEX(calculos_quadro!$B$106:$U$106,MATCH(calculos_quadro!$G$269,calculos_quadro!$B$89:$U$89,0)),""))</f>
        <v/>
      </c>
      <c r="W47" s="459" t="str">
        <f>IF(calculos_quadro!$G$270="","",IFERROR(INDEX(calculos_quadro!$B$106:$U$106,MATCH(calculos_quadro!$G$270,calculos_quadro!$B$89:$U$89,0)),""))</f>
        <v/>
      </c>
      <c r="X47" s="459" t="str">
        <f>IF(calculos_quadro!$G$271="","",IFERROR(INDEX(calculos_quadro!$B$106:$U$106,MATCH(calculos_quadro!$G$271,calculos_quadro!$B$89:$U$89,0)),""))</f>
        <v/>
      </c>
      <c r="Y47" s="459" t="str">
        <f>IF(calculos_quadro!$G$272="","",IFERROR(INDEX(calculos_quadro!$B$106:$U$106,MATCH(calculos_quadro!$G$272,calculos_quadro!$B$89:$U$89,0)),""))</f>
        <v/>
      </c>
      <c r="Z47" s="459" t="str">
        <f>IF(calculos_quadro!$G$273="","",IFERROR(INDEX(calculos_quadro!$B$106:$U$106,MATCH(calculos_quadro!$G$273,calculos_quadro!$B$89:$U$89,0)),""))</f>
        <v/>
      </c>
    </row>
    <row r="48" ht="15.75" customHeight="1">
      <c r="B48" s="494"/>
      <c r="C48" s="228"/>
      <c r="D48" s="451" t="inlineStr">
        <is>
          <t xml:space="preserve">Desvios Comportamentais</t>
        </is>
      </c>
      <c r="E48" s="450"/>
      <c r="F48" s="450"/>
      <c r="G48" s="450"/>
      <c r="H48" s="459">
        <f>IF(calculos_quadro!$G$258="","",IFERROR(INDEX(calculos_quadro!$B$107:$U$107,MATCH(calculos_quadro!$G$258,calculos_quadro!$B$89:$U$89,0)),""))</f>
        <v>0</v>
      </c>
      <c r="I48" s="459">
        <f>IF(calculos_quadro!$G$259="","",IFERROR(INDEX(calculos_quadro!$B$107:$U$107,MATCH(calculos_quadro!$G$259,calculos_quadro!$B$89:$U$89,0)),""))</f>
        <v>0</v>
      </c>
      <c r="J48" s="459">
        <f>IF(calculos_quadro!$G$260="","",IFERROR(INDEX(calculos_quadro!$B$107:$U$107,MATCH(calculos_quadro!$G$260,calculos_quadro!$B$89:$U$89,0)),""))</f>
        <v>0</v>
      </c>
      <c r="K48" s="458"/>
      <c r="L48" s="459">
        <f>IF(calculos_quadro!$G$261="","",IFERROR(INDEX(calculos_quadro!$B$107:$U$107,MATCH(calculos_quadro!$G$261,calculos_quadro!$B$89:$U$89,0)),""))</f>
        <v>0</v>
      </c>
      <c r="M48" s="459">
        <f>IF(calculos_quadro!$G$262="","",IFERROR(INDEX(calculos_quadro!$B$107:$U$107,MATCH(calculos_quadro!$G$262,calculos_quadro!$B$89:$U$89,0)),""))</f>
        <v>0</v>
      </c>
      <c r="N48" s="459" t="str">
        <f>IF(calculos_quadro!$G$263="","",IFERROR(INDEX(calculos_quadro!$B$107:$U$107,MATCH(calculos_quadro!$G$263,calculos_quadro!$B$89:$U$89,0)),""))</f>
        <v/>
      </c>
      <c r="O48" s="459" t="str">
        <f>IF(calculos_quadro!$G$264="","",IFERROR(INDEX(calculos_quadro!$B$107:$U$107,MATCH(calculos_quadro!$G$264,calculos_quadro!$B$89:$U$89,0)),""))</f>
        <v/>
      </c>
      <c r="P48" s="458"/>
      <c r="Q48" s="459" t="str">
        <f>IF(calculos_quadro!$G$265="","",IFERROR(INDEX(calculos_quadro!$B$107:$U$107,MATCH(calculos_quadro!$G$265,calculos_quadro!$B$89:$U$89,0)),""))</f>
        <v/>
      </c>
      <c r="R48" s="459" t="str">
        <f>IF(calculos_quadro!$G$266="","",IFERROR(INDEX(calculos_quadro!$B$107:$U$107,MATCH(calculos_quadro!$G$266,calculos_quadro!$B$89:$U$89,0)),""))</f>
        <v/>
      </c>
      <c r="S48" s="459" t="str">
        <f>IF(calculos_quadro!$G$267="","",IFERROR(INDEX(calculos_quadro!$B$107:$U$107,MATCH(calculos_quadro!$G$267,calculos_quadro!$B$89:$U$89,0)),""))</f>
        <v/>
      </c>
      <c r="T48" s="459" t="str">
        <f>IF(calculos_quadro!$G$268="","",IFERROR(INDEX(calculos_quadro!$B$107:$U$107,MATCH(calculos_quadro!$G$268,calculos_quadro!$B$89:$U$89,0)),""))</f>
        <v/>
      </c>
      <c r="U48" s="458"/>
      <c r="V48" s="459" t="str">
        <f>IF(calculos_quadro!$G$269="","",IFERROR(INDEX(calculos_quadro!$B$107:$U$107,MATCH(calculos_quadro!$G$269,calculos_quadro!$B$89:$U$89,0)),""))</f>
        <v/>
      </c>
      <c r="W48" s="459" t="str">
        <f>IF(calculos_quadro!$G$270="","",IFERROR(INDEX(calculos_quadro!$B$107:$U$107,MATCH(calculos_quadro!$G$270,calculos_quadro!$B$89:$U$89,0)),""))</f>
        <v/>
      </c>
      <c r="X48" s="459" t="str">
        <f>IF(calculos_quadro!$G$271="","",IFERROR(INDEX(calculos_quadro!$B$107:$U$107,MATCH(calculos_quadro!$G$271,calculos_quadro!$B$89:$U$89,0)),""))</f>
        <v/>
      </c>
      <c r="Y48" s="459" t="str">
        <f>IF(calculos_quadro!$G$272="","",IFERROR(INDEX(calculos_quadro!$B$107:$U$107,MATCH(calculos_quadro!$G$272,calculos_quadro!$B$89:$U$89,0)),""))</f>
        <v/>
      </c>
      <c r="Z48" s="459" t="str">
        <f>IF(calculos_quadro!$G$273="","",IFERROR(INDEX(calculos_quadro!$B$107:$U$107,MATCH(calculos_quadro!$G$273,calculos_quadro!$B$89:$U$89,0)),""))</f>
        <v/>
      </c>
    </row>
    <row r="49" ht="15.75" customHeight="1">
      <c r="B49" s="494"/>
      <c r="C49" s="228"/>
      <c r="D49" s="451" t="inlineStr">
        <is>
          <t xml:space="preserve">Acidentes CAF</t>
        </is>
      </c>
      <c r="E49" s="450"/>
      <c r="F49" s="450"/>
      <c r="G49" s="450"/>
      <c r="H49" s="459">
        <f>IF(calculos_quadro!$G$258="","",IFERROR(INDEX(calculos_quadro!$B$108:$U$108,MATCH(calculos_quadro!$G$258,calculos_quadro!$B$89:$U$89,0)),""))</f>
        <v>0</v>
      </c>
      <c r="I49" s="459">
        <f>IF(calculos_quadro!$G$259="","",IFERROR(INDEX(calculos_quadro!$B$108:$U$108,MATCH(calculos_quadro!$G$259,calculos_quadro!$B$89:$U$89,0)),""))</f>
        <v>0</v>
      </c>
      <c r="J49" s="459">
        <f>IF(calculos_quadro!$G$260="","",IFERROR(INDEX(calculos_quadro!$B$108:$U$108,MATCH(calculos_quadro!$G$260,calculos_quadro!$B$89:$U$89,0)),""))</f>
        <v>0</v>
      </c>
      <c r="K49" s="458"/>
      <c r="L49" s="459">
        <f>IF(calculos_quadro!$G$261="","",IFERROR(INDEX(calculos_quadro!$B$108:$U$108,MATCH(calculos_quadro!$G$261,calculos_quadro!$B$89:$U$89,0)),""))</f>
        <v>0</v>
      </c>
      <c r="M49" s="459">
        <f>IF(calculos_quadro!$G$262="","",IFERROR(INDEX(calculos_quadro!$B$108:$U$108,MATCH(calculos_quadro!$G$262,calculos_quadro!$B$89:$U$89,0)),""))</f>
        <v>0</v>
      </c>
      <c r="N49" s="459" t="str">
        <f>IF(calculos_quadro!$G$263="","",IFERROR(INDEX(calculos_quadro!$B$108:$U$108,MATCH(calculos_quadro!$G$263,calculos_quadro!$B$89:$U$89,0)),""))</f>
        <v/>
      </c>
      <c r="O49" s="459" t="str">
        <f>IF(calculos_quadro!$G$264="","",IFERROR(INDEX(calculos_quadro!$B$108:$U$108,MATCH(calculos_quadro!$G$264,calculos_quadro!$B$89:$U$89,0)),""))</f>
        <v/>
      </c>
      <c r="P49" s="458"/>
      <c r="Q49" s="459" t="str">
        <f>IF(calculos_quadro!$G$265="","",IFERROR(INDEX(calculos_quadro!$B$108:$U$108,MATCH(calculos_quadro!$G$265,calculos_quadro!$B$89:$U$89,0)),""))</f>
        <v/>
      </c>
      <c r="R49" s="459" t="str">
        <f>IF(calculos_quadro!$G$266="","",IFERROR(INDEX(calculos_quadro!$B$108:$U$108,MATCH(calculos_quadro!$G$266,calculos_quadro!$B$89:$U$89,0)),""))</f>
        <v/>
      </c>
      <c r="S49" s="459" t="str">
        <f>IF(calculos_quadro!$G$267="","",IFERROR(INDEX(calculos_quadro!$B$108:$U$108,MATCH(calculos_quadro!$G$267,calculos_quadro!$B$89:$U$89,0)),""))</f>
        <v/>
      </c>
      <c r="T49" s="459" t="str">
        <f>IF(calculos_quadro!$G$268="","",IFERROR(INDEX(calculos_quadro!$B$108:$U$108,MATCH(calculos_quadro!$G$268,calculos_quadro!$B$89:$U$89,0)),""))</f>
        <v/>
      </c>
      <c r="U49" s="458"/>
      <c r="V49" s="459" t="str">
        <f>IF(calculos_quadro!$G$269="","",IFERROR(INDEX(calculos_quadro!$B$108:$U$108,MATCH(calculos_quadro!$G$269,calculos_quadro!$B$89:$U$89,0)),""))</f>
        <v/>
      </c>
      <c r="W49" s="459" t="str">
        <f>IF(calculos_quadro!$G$270="","",IFERROR(INDEX(calculos_quadro!$B$108:$U$108,MATCH(calculos_quadro!$G$270,calculos_quadro!$B$89:$U$89,0)),""))</f>
        <v/>
      </c>
      <c r="X49" s="459" t="str">
        <f>IF(calculos_quadro!$G$271="","",IFERROR(INDEX(calculos_quadro!$B$108:$U$108,MATCH(calculos_quadro!$G$271,calculos_quadro!$B$89:$U$89,0)),""))</f>
        <v/>
      </c>
      <c r="Y49" s="459" t="str">
        <f>IF(calculos_quadro!$G$272="","",IFERROR(INDEX(calculos_quadro!$B$108:$U$108,MATCH(calculos_quadro!$G$272,calculos_quadro!$B$89:$U$89,0)),""))</f>
        <v/>
      </c>
      <c r="Z49" s="459" t="str">
        <f>IF(calculos_quadro!$G$273="","",IFERROR(INDEX(calculos_quadro!$B$108:$U$108,MATCH(calculos_quadro!$G$273,calculos_quadro!$B$89:$U$89,0)),""))</f>
        <v/>
      </c>
    </row>
    <row r="50" ht="15.75" customHeight="1">
      <c r="B50" s="495"/>
      <c r="C50" s="235"/>
      <c r="D50" s="468" t="inlineStr">
        <is>
          <t xml:space="preserve">Acidentes SAF</t>
        </is>
      </c>
      <c r="E50" s="467"/>
      <c r="F50" s="467"/>
      <c r="G50" s="467"/>
      <c r="H50" s="476">
        <f>IF(calculos_quadro!$G$258="","",IFERROR(INDEX(calculos_quadro!$B$109:$U$109,MATCH(calculos_quadro!$G$258,calculos_quadro!$B$89:$U$89,0)),""))</f>
        <v>0</v>
      </c>
      <c r="I50" s="476">
        <f>IF(calculos_quadro!$G$259="","",IFERROR(INDEX(calculos_quadro!$B$109:$U$109,MATCH(calculos_quadro!$G$259,calculos_quadro!$B$89:$U$89,0)),""))</f>
        <v>0</v>
      </c>
      <c r="J50" s="476">
        <f>IF(calculos_quadro!$G$260="","",IFERROR(INDEX(calculos_quadro!$B$109:$U$109,MATCH(calculos_quadro!$G$260,calculos_quadro!$B$89:$U$89,0)),""))</f>
        <v>0</v>
      </c>
      <c r="K50" s="475"/>
      <c r="L50" s="476">
        <f>IF(calculos_quadro!$G$261="","",IFERROR(INDEX(calculos_quadro!$B$109:$U$109,MATCH(calculos_quadro!$G$261,calculos_quadro!$B$89:$U$89,0)),""))</f>
        <v>0</v>
      </c>
      <c r="M50" s="476">
        <f>IF(calculos_quadro!$G$262="","",IFERROR(INDEX(calculos_quadro!$B$109:$U$109,MATCH(calculos_quadro!$G$262,calculos_quadro!$B$89:$U$89,0)),""))</f>
        <v>0</v>
      </c>
      <c r="N50" s="476" t="str">
        <f>IF(calculos_quadro!$G$263="","",IFERROR(INDEX(calculos_quadro!$B$109:$U$109,MATCH(calculos_quadro!$G$263,calculos_quadro!$B$89:$U$89,0)),""))</f>
        <v/>
      </c>
      <c r="O50" s="476" t="str">
        <f>IF(calculos_quadro!$G$264="","",IFERROR(INDEX(calculos_quadro!$B$109:$U$109,MATCH(calculos_quadro!$G$264,calculos_quadro!$B$89:$U$89,0)),""))</f>
        <v/>
      </c>
      <c r="P50" s="475"/>
      <c r="Q50" s="476" t="str">
        <f>IF(calculos_quadro!$G$265="","",IFERROR(INDEX(calculos_quadro!$B$109:$U$109,MATCH(calculos_quadro!$G$265,calculos_quadro!$B$89:$U$89,0)),""))</f>
        <v/>
      </c>
      <c r="R50" s="476" t="str">
        <f>IF(calculos_quadro!$G$266="","",IFERROR(INDEX(calculos_quadro!$B$109:$U$109,MATCH(calculos_quadro!$G$266,calculos_quadro!$B$89:$U$89,0)),""))</f>
        <v/>
      </c>
      <c r="S50" s="476" t="str">
        <f>IF(calculos_quadro!$G$267="","",IFERROR(INDEX(calculos_quadro!$B$109:$U$109,MATCH(calculos_quadro!$G$267,calculos_quadro!$B$89:$U$89,0)),""))</f>
        <v/>
      </c>
      <c r="T50" s="476" t="str">
        <f>IF(calculos_quadro!$G$268="","",IFERROR(INDEX(calculos_quadro!$B$109:$U$109,MATCH(calculos_quadro!$G$268,calculos_quadro!$B$89:$U$89,0)),""))</f>
        <v/>
      </c>
      <c r="U50" s="475"/>
      <c r="V50" s="476" t="str">
        <f>IF(calculos_quadro!$G$269="","",IFERROR(INDEX(calculos_quadro!$B$109:$U$109,MATCH(calculos_quadro!$G$269,calculos_quadro!$B$89:$U$89,0)),""))</f>
        <v/>
      </c>
      <c r="W50" s="476" t="str">
        <f>IF(calculos_quadro!$G$270="","",IFERROR(INDEX(calculos_quadro!$B$109:$U$109,MATCH(calculos_quadro!$G$270,calculos_quadro!$B$89:$U$89,0)),""))</f>
        <v/>
      </c>
      <c r="X50" s="476" t="str">
        <f>IF(calculos_quadro!$G$271="","",IFERROR(INDEX(calculos_quadro!$B$109:$U$109,MATCH(calculos_quadro!$G$271,calculos_quadro!$B$89:$U$89,0)),""))</f>
        <v/>
      </c>
      <c r="Y50" s="476" t="str">
        <f>IF(calculos_quadro!$G$272="","",IFERROR(INDEX(calculos_quadro!$B$109:$U$109,MATCH(calculos_quadro!$G$272,calculos_quadro!$B$89:$U$89,0)),""))</f>
        <v/>
      </c>
      <c r="Z50" s="476" t="str">
        <f>IF(calculos_quadro!$G$273="","",IFERROR(INDEX(calculos_quadro!$B$109:$U$109,MATCH(calculos_quadro!$G$273,calculos_quadro!$B$89:$U$89,0)),""))</f>
        <v/>
      </c>
    </row>
    <row r="51">
      <c r="B51" s="31" t="inlineStr">
        <is>
          <t xml:space="preserve">Fluxos: soma do mês · Estoques (backlog, posições, efetivo): último dado do mês · TOTAL CD: posições disponíveis = capacidade física do CD; taxa = ocupadas ÷ capacidade.</t>
        </is>
      </c>
    </row>
  </sheetData>
  <sheetProtection password="CC30" sheet="1" objects="1" scenarios="1"/>
  <mergeCells count="292">
    <mergeCell ref="G1:U1"/>
    <mergeCell ref="V1:AA1"/>
    <mergeCell ref="B3:C3"/>
    <mergeCell ref="D3:I3"/>
    <mergeCell ref="Q3:Z3"/>
    <mergeCell ref="B5:Z5"/>
    <mergeCell ref="B6:C6"/>
    <mergeCell ref="D6:G6"/>
    <mergeCell ref="H6:I6"/>
    <mergeCell ref="J6:L6"/>
    <mergeCell ref="M6:N6"/>
    <mergeCell ref="O6:Q6"/>
    <mergeCell ref="R6:S6"/>
    <mergeCell ref="T6:V6"/>
    <mergeCell ref="W6:X6"/>
    <mergeCell ref="Y6:Z6"/>
    <mergeCell ref="D7:G7"/>
    <mergeCell ref="H7:I7"/>
    <mergeCell ref="J7:L7"/>
    <mergeCell ref="M7:N7"/>
    <mergeCell ref="O7:Q7"/>
    <mergeCell ref="R7:S7"/>
    <mergeCell ref="T7:V7"/>
    <mergeCell ref="W7:X7"/>
    <mergeCell ref="Y7:Z7"/>
    <mergeCell ref="D8:G8"/>
    <mergeCell ref="H8:I8"/>
    <mergeCell ref="J8:L8"/>
    <mergeCell ref="M8:N8"/>
    <mergeCell ref="O8:Q8"/>
    <mergeCell ref="R8:S8"/>
    <mergeCell ref="T8:V8"/>
    <mergeCell ref="W8:X8"/>
    <mergeCell ref="Y8:Z8"/>
    <mergeCell ref="D9:G9"/>
    <mergeCell ref="H9:I9"/>
    <mergeCell ref="J9:L9"/>
    <mergeCell ref="M9:N9"/>
    <mergeCell ref="O9:Q9"/>
    <mergeCell ref="R9:S9"/>
    <mergeCell ref="T9:V9"/>
    <mergeCell ref="W9:X9"/>
    <mergeCell ref="Y9:Z9"/>
    <mergeCell ref="D10:G10"/>
    <mergeCell ref="H10:I10"/>
    <mergeCell ref="J10:L10"/>
    <mergeCell ref="M10:N10"/>
    <mergeCell ref="O10:Q10"/>
    <mergeCell ref="R10:S10"/>
    <mergeCell ref="T10:V10"/>
    <mergeCell ref="W10:X10"/>
    <mergeCell ref="Y10:Z10"/>
    <mergeCell ref="D11:G11"/>
    <mergeCell ref="H11:I11"/>
    <mergeCell ref="J11:L11"/>
    <mergeCell ref="M11:N11"/>
    <mergeCell ref="O11:Q11"/>
    <mergeCell ref="R11:S11"/>
    <mergeCell ref="T11:V11"/>
    <mergeCell ref="W11:X11"/>
    <mergeCell ref="Y11:Z11"/>
    <mergeCell ref="D12:G12"/>
    <mergeCell ref="H12:I12"/>
    <mergeCell ref="J12:L12"/>
    <mergeCell ref="M12:N12"/>
    <mergeCell ref="O12:Q12"/>
    <mergeCell ref="R12:S12"/>
    <mergeCell ref="T12:V12"/>
    <mergeCell ref="W12:X12"/>
    <mergeCell ref="Y12:Z12"/>
    <mergeCell ref="D13:G13"/>
    <mergeCell ref="H13:I13"/>
    <mergeCell ref="J13:L13"/>
    <mergeCell ref="M13:N13"/>
    <mergeCell ref="O13:Q13"/>
    <mergeCell ref="R13:S13"/>
    <mergeCell ref="T13:V13"/>
    <mergeCell ref="W13:X13"/>
    <mergeCell ref="Y13:Z13"/>
    <mergeCell ref="D14:G14"/>
    <mergeCell ref="H14:I14"/>
    <mergeCell ref="J14:L14"/>
    <mergeCell ref="M14:N14"/>
    <mergeCell ref="O14:Q14"/>
    <mergeCell ref="R14:S14"/>
    <mergeCell ref="T14:V14"/>
    <mergeCell ref="W14:X14"/>
    <mergeCell ref="Y14:Z14"/>
    <mergeCell ref="D15:G15"/>
    <mergeCell ref="H15:I15"/>
    <mergeCell ref="J15:L15"/>
    <mergeCell ref="M15:N15"/>
    <mergeCell ref="O15:Q15"/>
    <mergeCell ref="R15:S15"/>
    <mergeCell ref="T15:V15"/>
    <mergeCell ref="W15:X15"/>
    <mergeCell ref="Y15:Z15"/>
    <mergeCell ref="D16:G16"/>
    <mergeCell ref="H16:I16"/>
    <mergeCell ref="J16:L16"/>
    <mergeCell ref="M16:N16"/>
    <mergeCell ref="O16:Q16"/>
    <mergeCell ref="R16:S16"/>
    <mergeCell ref="T16:V16"/>
    <mergeCell ref="W16:X16"/>
    <mergeCell ref="Y16:Z16"/>
    <mergeCell ref="D17:G17"/>
    <mergeCell ref="H17:I17"/>
    <mergeCell ref="J17:L17"/>
    <mergeCell ref="M17:N17"/>
    <mergeCell ref="O17:Q17"/>
    <mergeCell ref="R17:S17"/>
    <mergeCell ref="T17:V17"/>
    <mergeCell ref="W17:X17"/>
    <mergeCell ref="Y17:Z17"/>
    <mergeCell ref="D18:G18"/>
    <mergeCell ref="H18:I18"/>
    <mergeCell ref="J18:L18"/>
    <mergeCell ref="M18:N18"/>
    <mergeCell ref="O18:Q18"/>
    <mergeCell ref="R18:S18"/>
    <mergeCell ref="T18:V18"/>
    <mergeCell ref="W18:X18"/>
    <mergeCell ref="Y18:Z18"/>
    <mergeCell ref="D19:G19"/>
    <mergeCell ref="H19:I19"/>
    <mergeCell ref="J19:L19"/>
    <mergeCell ref="M19:N19"/>
    <mergeCell ref="O19:Q19"/>
    <mergeCell ref="R19:S19"/>
    <mergeCell ref="T19:V19"/>
    <mergeCell ref="W19:X19"/>
    <mergeCell ref="Y19:Z19"/>
    <mergeCell ref="D20:G20"/>
    <mergeCell ref="H20:I20"/>
    <mergeCell ref="J20:L20"/>
    <mergeCell ref="M20:N20"/>
    <mergeCell ref="O20:Q20"/>
    <mergeCell ref="R20:S20"/>
    <mergeCell ref="T20:V20"/>
    <mergeCell ref="W20:X20"/>
    <mergeCell ref="Y20:Z20"/>
    <mergeCell ref="D21:G21"/>
    <mergeCell ref="H21:I21"/>
    <mergeCell ref="J21:L21"/>
    <mergeCell ref="M21:N21"/>
    <mergeCell ref="O21:Q21"/>
    <mergeCell ref="R21:S21"/>
    <mergeCell ref="T21:V21"/>
    <mergeCell ref="W21:X21"/>
    <mergeCell ref="Y21:Z21"/>
    <mergeCell ref="D22:G22"/>
    <mergeCell ref="H22:I22"/>
    <mergeCell ref="J22:L22"/>
    <mergeCell ref="M22:N22"/>
    <mergeCell ref="O22:Q22"/>
    <mergeCell ref="R22:S22"/>
    <mergeCell ref="T22:V22"/>
    <mergeCell ref="W22:X22"/>
    <mergeCell ref="Y22:Z22"/>
    <mergeCell ref="D23:G23"/>
    <mergeCell ref="H23:I23"/>
    <mergeCell ref="J23:L23"/>
    <mergeCell ref="M23:N23"/>
    <mergeCell ref="O23:Q23"/>
    <mergeCell ref="R23:S23"/>
    <mergeCell ref="T23:V23"/>
    <mergeCell ref="W23:X23"/>
    <mergeCell ref="Y23:Z23"/>
    <mergeCell ref="D24:G24"/>
    <mergeCell ref="H24:I24"/>
    <mergeCell ref="J24:L24"/>
    <mergeCell ref="M24:N24"/>
    <mergeCell ref="O24:Q24"/>
    <mergeCell ref="R24:S24"/>
    <mergeCell ref="T24:V24"/>
    <mergeCell ref="W24:X24"/>
    <mergeCell ref="Y24:Z24"/>
    <mergeCell ref="D25:G25"/>
    <mergeCell ref="H25:I25"/>
    <mergeCell ref="J25:L25"/>
    <mergeCell ref="M25:N25"/>
    <mergeCell ref="O25:Q25"/>
    <mergeCell ref="R25:S25"/>
    <mergeCell ref="T25:V25"/>
    <mergeCell ref="W25:X25"/>
    <mergeCell ref="Y25:Z25"/>
    <mergeCell ref="D26:G26"/>
    <mergeCell ref="H26:I26"/>
    <mergeCell ref="J26:L26"/>
    <mergeCell ref="M26:N26"/>
    <mergeCell ref="O26:Q26"/>
    <mergeCell ref="R26:S26"/>
    <mergeCell ref="T26:V26"/>
    <mergeCell ref="W26:X26"/>
    <mergeCell ref="Y26:Z26"/>
    <mergeCell ref="B7:C9"/>
    <mergeCell ref="B10:C12"/>
    <mergeCell ref="B13:C15"/>
    <mergeCell ref="B16:C18"/>
    <mergeCell ref="B19:C26"/>
    <mergeCell ref="B29:Z29"/>
    <mergeCell ref="B30:C30"/>
    <mergeCell ref="D30:G30"/>
    <mergeCell ref="J30:K30"/>
    <mergeCell ref="O30:P30"/>
    <mergeCell ref="T30:U30"/>
    <mergeCell ref="D31:G31"/>
    <mergeCell ref="J31:K31"/>
    <mergeCell ref="O31:P31"/>
    <mergeCell ref="T31:U31"/>
    <mergeCell ref="D32:G32"/>
    <mergeCell ref="J32:K32"/>
    <mergeCell ref="O32:P32"/>
    <mergeCell ref="T32:U32"/>
    <mergeCell ref="D33:G33"/>
    <mergeCell ref="J33:K33"/>
    <mergeCell ref="O33:P33"/>
    <mergeCell ref="T33:U33"/>
    <mergeCell ref="D34:G34"/>
    <mergeCell ref="J34:K34"/>
    <mergeCell ref="O34:P34"/>
    <mergeCell ref="T34:U34"/>
    <mergeCell ref="D35:G35"/>
    <mergeCell ref="J35:K35"/>
    <mergeCell ref="O35:P35"/>
    <mergeCell ref="T35:U35"/>
    <mergeCell ref="D36:G36"/>
    <mergeCell ref="J36:K36"/>
    <mergeCell ref="O36:P36"/>
    <mergeCell ref="T36:U36"/>
    <mergeCell ref="D37:G37"/>
    <mergeCell ref="J37:K37"/>
    <mergeCell ref="O37:P37"/>
    <mergeCell ref="T37:U37"/>
    <mergeCell ref="D38:G38"/>
    <mergeCell ref="J38:K38"/>
    <mergeCell ref="O38:P38"/>
    <mergeCell ref="T38:U38"/>
    <mergeCell ref="D39:G39"/>
    <mergeCell ref="J39:K39"/>
    <mergeCell ref="O39:P39"/>
    <mergeCell ref="T39:U39"/>
    <mergeCell ref="D40:G40"/>
    <mergeCell ref="J40:K40"/>
    <mergeCell ref="O40:P40"/>
    <mergeCell ref="T40:U40"/>
    <mergeCell ref="D41:G41"/>
    <mergeCell ref="J41:K41"/>
    <mergeCell ref="O41:P41"/>
    <mergeCell ref="T41:U41"/>
    <mergeCell ref="D42:G42"/>
    <mergeCell ref="J42:K42"/>
    <mergeCell ref="O42:P42"/>
    <mergeCell ref="T42:U42"/>
    <mergeCell ref="D43:G43"/>
    <mergeCell ref="J43:K43"/>
    <mergeCell ref="O43:P43"/>
    <mergeCell ref="T43:U43"/>
    <mergeCell ref="D44:G44"/>
    <mergeCell ref="J44:K44"/>
    <mergeCell ref="O44:P44"/>
    <mergeCell ref="T44:U44"/>
    <mergeCell ref="D45:G45"/>
    <mergeCell ref="J45:K45"/>
    <mergeCell ref="O45:P45"/>
    <mergeCell ref="T45:U45"/>
    <mergeCell ref="D46:G46"/>
    <mergeCell ref="J46:K46"/>
    <mergeCell ref="O46:P46"/>
    <mergeCell ref="T46:U46"/>
    <mergeCell ref="D47:G47"/>
    <mergeCell ref="J47:K47"/>
    <mergeCell ref="O47:P47"/>
    <mergeCell ref="T47:U47"/>
    <mergeCell ref="D48:G48"/>
    <mergeCell ref="J48:K48"/>
    <mergeCell ref="O48:P48"/>
    <mergeCell ref="T48:U48"/>
    <mergeCell ref="D49:G49"/>
    <mergeCell ref="J49:K49"/>
    <mergeCell ref="O49:P49"/>
    <mergeCell ref="T49:U49"/>
    <mergeCell ref="D50:G50"/>
    <mergeCell ref="J50:K50"/>
    <mergeCell ref="O50:P50"/>
    <mergeCell ref="T50:U50"/>
    <mergeCell ref="B31:C33"/>
    <mergeCell ref="B34:C36"/>
    <mergeCell ref="B37:C39"/>
    <mergeCell ref="B40:C42"/>
    <mergeCell ref="B43:C50"/>
  </mergeCells>
  <conditionalFormatting sqref="T7">
    <cfRule type="expression" dxfId="10" priority="1">
      <formula>AND(ISNUMBER(T7),T7&gt;0)</formula>
    </cfRule>
  </conditionalFormatting>
  <conditionalFormatting sqref="T7">
    <cfRule type="expression" dxfId="11" priority="2">
      <formula>AND(ISNUMBER(T7),T7&lt;0)</formula>
    </cfRule>
  </conditionalFormatting>
  <conditionalFormatting sqref="Y7">
    <cfRule type="expression" dxfId="10" priority="3">
      <formula>OR(Y7="meta atingida",Y7="dentro do limite",Y7="ocupação alta",Y7="excede o contratado")</formula>
    </cfRule>
  </conditionalFormatting>
  <conditionalFormatting sqref="Y7">
    <cfRule type="expression" dxfId="12" priority="4">
      <formula>OR(Y7="ocupação média",Y7="abaixo da meta")</formula>
    </cfRule>
  </conditionalFormatting>
  <conditionalFormatting sqref="Y7">
    <cfRule type="expression" dxfId="11" priority="5">
      <formula>OR(Y7="ociosidade alta",Y7="acima do limite")</formula>
    </cfRule>
  </conditionalFormatting>
  <conditionalFormatting sqref="T8">
    <cfRule type="expression" dxfId="10" priority="6">
      <formula>AND(ISNUMBER(T8),T8&gt;0)</formula>
    </cfRule>
  </conditionalFormatting>
  <conditionalFormatting sqref="T8">
    <cfRule type="expression" dxfId="11" priority="7">
      <formula>AND(ISNUMBER(T8),T8&lt;0)</formula>
    </cfRule>
  </conditionalFormatting>
  <conditionalFormatting sqref="Y8">
    <cfRule type="expression" dxfId="10" priority="8">
      <formula>OR(Y8="meta atingida",Y8="dentro do limite",Y8="ocupação alta",Y8="excede o contratado")</formula>
    </cfRule>
  </conditionalFormatting>
  <conditionalFormatting sqref="Y8">
    <cfRule type="expression" dxfId="12" priority="9">
      <formula>OR(Y8="ocupação média",Y8="abaixo da meta")</formula>
    </cfRule>
  </conditionalFormatting>
  <conditionalFormatting sqref="Y8">
    <cfRule type="expression" dxfId="11" priority="10">
      <formula>OR(Y8="ociosidade alta",Y8="acima do limite")</formula>
    </cfRule>
  </conditionalFormatting>
  <conditionalFormatting sqref="T9">
    <cfRule type="expression" dxfId="10" priority="11">
      <formula>AND(ISNUMBER(T9),T9&gt;0)</formula>
    </cfRule>
  </conditionalFormatting>
  <conditionalFormatting sqref="T9">
    <cfRule type="expression" dxfId="11" priority="12">
      <formula>AND(ISNUMBER(T9),T9&lt;0)</formula>
    </cfRule>
  </conditionalFormatting>
  <conditionalFormatting sqref="Y9">
    <cfRule type="expression" dxfId="10" priority="13">
      <formula>OR(Y9="meta atingida",Y9="dentro do limite",Y9="ocupação alta",Y9="excede o contratado")</formula>
    </cfRule>
  </conditionalFormatting>
  <conditionalFormatting sqref="Y9">
    <cfRule type="expression" dxfId="12" priority="14">
      <formula>OR(Y9="ocupação média",Y9="abaixo da meta")</formula>
    </cfRule>
  </conditionalFormatting>
  <conditionalFormatting sqref="Y9">
    <cfRule type="expression" dxfId="11" priority="15">
      <formula>OR(Y9="ociosidade alta",Y9="acima do limite")</formula>
    </cfRule>
  </conditionalFormatting>
  <conditionalFormatting sqref="T10">
    <cfRule type="expression" dxfId="10" priority="16">
      <formula>AND(ISNUMBER(T10),T10&gt;0)</formula>
    </cfRule>
  </conditionalFormatting>
  <conditionalFormatting sqref="T10">
    <cfRule type="expression" dxfId="11" priority="17">
      <formula>AND(ISNUMBER(T10),T10&lt;0)</formula>
    </cfRule>
  </conditionalFormatting>
  <conditionalFormatting sqref="Y10">
    <cfRule type="expression" dxfId="10" priority="18">
      <formula>OR(Y10="meta atingida",Y10="dentro do limite",Y10="ocupação alta",Y10="excede o contratado")</formula>
    </cfRule>
  </conditionalFormatting>
  <conditionalFormatting sqref="Y10">
    <cfRule type="expression" dxfId="12" priority="19">
      <formula>OR(Y10="ocupação média",Y10="abaixo da meta")</formula>
    </cfRule>
  </conditionalFormatting>
  <conditionalFormatting sqref="Y10">
    <cfRule type="expression" dxfId="11" priority="20">
      <formula>OR(Y10="ociosidade alta",Y10="acima do limite")</formula>
    </cfRule>
  </conditionalFormatting>
  <conditionalFormatting sqref="T11">
    <cfRule type="expression" dxfId="10" priority="21">
      <formula>AND(ISNUMBER(T11),T11&gt;0)</formula>
    </cfRule>
  </conditionalFormatting>
  <conditionalFormatting sqref="T11">
    <cfRule type="expression" dxfId="11" priority="22">
      <formula>AND(ISNUMBER(T11),T11&lt;0)</formula>
    </cfRule>
  </conditionalFormatting>
  <conditionalFormatting sqref="Y11">
    <cfRule type="expression" dxfId="10" priority="23">
      <formula>OR(Y11="meta atingida",Y11="dentro do limite",Y11="ocupação alta",Y11="excede o contratado")</formula>
    </cfRule>
  </conditionalFormatting>
  <conditionalFormatting sqref="Y11">
    <cfRule type="expression" dxfId="12" priority="24">
      <formula>OR(Y11="ocupação média",Y11="abaixo da meta")</formula>
    </cfRule>
  </conditionalFormatting>
  <conditionalFormatting sqref="Y11">
    <cfRule type="expression" dxfId="11" priority="25">
      <formula>OR(Y11="ociosidade alta",Y11="acima do limite")</formula>
    </cfRule>
  </conditionalFormatting>
  <conditionalFormatting sqref="T12">
    <cfRule type="expression" dxfId="10" priority="26">
      <formula>AND(ISNUMBER(T12),T12&gt;0)</formula>
    </cfRule>
  </conditionalFormatting>
  <conditionalFormatting sqref="T12">
    <cfRule type="expression" dxfId="11" priority="27">
      <formula>AND(ISNUMBER(T12),T12&lt;0)</formula>
    </cfRule>
  </conditionalFormatting>
  <conditionalFormatting sqref="Y12">
    <cfRule type="expression" dxfId="10" priority="28">
      <formula>OR(Y12="meta atingida",Y12="dentro do limite",Y12="ocupação alta",Y12="excede o contratado")</formula>
    </cfRule>
  </conditionalFormatting>
  <conditionalFormatting sqref="Y12">
    <cfRule type="expression" dxfId="12" priority="29">
      <formula>OR(Y12="ocupação média",Y12="abaixo da meta")</formula>
    </cfRule>
  </conditionalFormatting>
  <conditionalFormatting sqref="Y12">
    <cfRule type="expression" dxfId="11" priority="30">
      <formula>OR(Y12="ociosidade alta",Y12="acima do limite")</formula>
    </cfRule>
  </conditionalFormatting>
  <conditionalFormatting sqref="T13">
    <cfRule type="expression" dxfId="10" priority="31">
      <formula>AND(ISNUMBER(T13),T13&lt;0)</formula>
    </cfRule>
  </conditionalFormatting>
  <conditionalFormatting sqref="T13">
    <cfRule type="expression" dxfId="11" priority="32">
      <formula>AND(ISNUMBER(T13),T13&gt;0)</formula>
    </cfRule>
  </conditionalFormatting>
  <conditionalFormatting sqref="Y13">
    <cfRule type="expression" dxfId="10" priority="33">
      <formula>OR(Y13="meta atingida",Y13="dentro do limite",Y13="ocupação alta",Y13="excede o contratado")</formula>
    </cfRule>
  </conditionalFormatting>
  <conditionalFormatting sqref="Y13">
    <cfRule type="expression" dxfId="12" priority="34">
      <formula>OR(Y13="ocupação média",Y13="abaixo da meta")</formula>
    </cfRule>
  </conditionalFormatting>
  <conditionalFormatting sqref="Y13">
    <cfRule type="expression" dxfId="11" priority="35">
      <formula>OR(Y13="ociosidade alta",Y13="acima do limite")</formula>
    </cfRule>
  </conditionalFormatting>
  <conditionalFormatting sqref="T14">
    <cfRule type="expression" dxfId="10" priority="36">
      <formula>AND(ISNUMBER(T14),T14&lt;0)</formula>
    </cfRule>
  </conditionalFormatting>
  <conditionalFormatting sqref="T14">
    <cfRule type="expression" dxfId="11" priority="37">
      <formula>AND(ISNUMBER(T14),T14&gt;0)</formula>
    </cfRule>
  </conditionalFormatting>
  <conditionalFormatting sqref="Y14">
    <cfRule type="expression" dxfId="10" priority="38">
      <formula>OR(Y14="meta atingida",Y14="dentro do limite",Y14="ocupação alta",Y14="excede o contratado")</formula>
    </cfRule>
  </conditionalFormatting>
  <conditionalFormatting sqref="Y14">
    <cfRule type="expression" dxfId="12" priority="39">
      <formula>OR(Y14="ocupação média",Y14="abaixo da meta")</formula>
    </cfRule>
  </conditionalFormatting>
  <conditionalFormatting sqref="Y14">
    <cfRule type="expression" dxfId="11" priority="40">
      <formula>OR(Y14="ociosidade alta",Y14="acima do limite")</formula>
    </cfRule>
  </conditionalFormatting>
  <conditionalFormatting sqref="T15">
    <cfRule type="expression" dxfId="10" priority="41">
      <formula>AND(ISNUMBER(T15),T15&lt;0)</formula>
    </cfRule>
  </conditionalFormatting>
  <conditionalFormatting sqref="T15">
    <cfRule type="expression" dxfId="11" priority="42">
      <formula>AND(ISNUMBER(T15),T15&gt;0)</formula>
    </cfRule>
  </conditionalFormatting>
  <conditionalFormatting sqref="Y15">
    <cfRule type="expression" dxfId="10" priority="43">
      <formula>OR(Y15="meta atingida",Y15="dentro do limite",Y15="ocupação alta",Y15="excede o contratado")</formula>
    </cfRule>
  </conditionalFormatting>
  <conditionalFormatting sqref="Y15">
    <cfRule type="expression" dxfId="12" priority="44">
      <formula>OR(Y15="ocupação média",Y15="abaixo da meta")</formula>
    </cfRule>
  </conditionalFormatting>
  <conditionalFormatting sqref="Y15">
    <cfRule type="expression" dxfId="11" priority="45">
      <formula>OR(Y15="ociosidade alta",Y15="acima do limite")</formula>
    </cfRule>
  </conditionalFormatting>
  <conditionalFormatting sqref="Y16">
    <cfRule type="expression" dxfId="10" priority="46">
      <formula>OR(Y16="meta atingida",Y16="dentro do limite",Y16="ocupação alta",Y16="excede o contratado")</formula>
    </cfRule>
  </conditionalFormatting>
  <conditionalFormatting sqref="Y16">
    <cfRule type="expression" dxfId="12" priority="47">
      <formula>OR(Y16="ocupação média",Y16="abaixo da meta")</formula>
    </cfRule>
  </conditionalFormatting>
  <conditionalFormatting sqref="Y16">
    <cfRule type="expression" dxfId="11" priority="48">
      <formula>OR(Y16="ociosidade alta",Y16="acima do limite")</formula>
    </cfRule>
  </conditionalFormatting>
  <conditionalFormatting sqref="Y17">
    <cfRule type="expression" dxfId="10" priority="49">
      <formula>OR(Y17="meta atingida",Y17="dentro do limite",Y17="ocupação alta",Y17="excede o contratado")</formula>
    </cfRule>
  </conditionalFormatting>
  <conditionalFormatting sqref="Y17">
    <cfRule type="expression" dxfId="12" priority="50">
      <formula>OR(Y17="ocupação média",Y17="abaixo da meta")</formula>
    </cfRule>
  </conditionalFormatting>
  <conditionalFormatting sqref="Y17">
    <cfRule type="expression" dxfId="11" priority="51">
      <formula>OR(Y17="ociosidade alta",Y17="acima do limite")</formula>
    </cfRule>
  </conditionalFormatting>
  <conditionalFormatting sqref="Y18">
    <cfRule type="expression" dxfId="10" priority="52">
      <formula>OR(Y18="meta atingida",Y18="dentro do limite",Y18="ocupação alta",Y18="excede o contratado")</formula>
    </cfRule>
  </conditionalFormatting>
  <conditionalFormatting sqref="Y18">
    <cfRule type="expression" dxfId="12" priority="53">
      <formula>OR(Y18="ocupação média",Y18="abaixo da meta")</formula>
    </cfRule>
  </conditionalFormatting>
  <conditionalFormatting sqref="Y18">
    <cfRule type="expression" dxfId="11" priority="54">
      <formula>OR(Y18="ociosidade alta",Y18="acima do limite")</formula>
    </cfRule>
  </conditionalFormatting>
  <conditionalFormatting sqref="T19">
    <cfRule type="expression" dxfId="10" priority="55">
      <formula>AND(ISNUMBER(T19),T19&gt;0)</formula>
    </cfRule>
  </conditionalFormatting>
  <conditionalFormatting sqref="T19">
    <cfRule type="expression" dxfId="11" priority="56">
      <formula>AND(ISNUMBER(T19),T19&lt;0)</formula>
    </cfRule>
  </conditionalFormatting>
  <conditionalFormatting sqref="Y19">
    <cfRule type="expression" dxfId="10" priority="57">
      <formula>OR(Y19="meta atingida",Y19="dentro do limite",Y19="ocupação alta",Y19="excede o contratado")</formula>
    </cfRule>
  </conditionalFormatting>
  <conditionalFormatting sqref="Y19">
    <cfRule type="expression" dxfId="12" priority="58">
      <formula>OR(Y19="ocupação média",Y19="abaixo da meta")</formula>
    </cfRule>
  </conditionalFormatting>
  <conditionalFormatting sqref="Y19">
    <cfRule type="expression" dxfId="11" priority="59">
      <formula>OR(Y19="ociosidade alta",Y19="acima do limite")</formula>
    </cfRule>
  </conditionalFormatting>
  <conditionalFormatting sqref="T20">
    <cfRule type="expression" dxfId="10" priority="60">
      <formula>AND(ISNUMBER(T20),T20&lt;0)</formula>
    </cfRule>
  </conditionalFormatting>
  <conditionalFormatting sqref="T20">
    <cfRule type="expression" dxfId="11" priority="61">
      <formula>AND(ISNUMBER(T20),T20&gt;0)</formula>
    </cfRule>
  </conditionalFormatting>
  <conditionalFormatting sqref="Y20">
    <cfRule type="expression" dxfId="10" priority="62">
      <formula>OR(Y20="meta atingida",Y20="dentro do limite",Y20="ocupação alta",Y20="excede o contratado")</formula>
    </cfRule>
  </conditionalFormatting>
  <conditionalFormatting sqref="Y20">
    <cfRule type="expression" dxfId="12" priority="63">
      <formula>OR(Y20="ocupação média",Y20="abaixo da meta")</formula>
    </cfRule>
  </conditionalFormatting>
  <conditionalFormatting sqref="Y20">
    <cfRule type="expression" dxfId="11" priority="64">
      <formula>OR(Y20="ociosidade alta",Y20="acima do limite")</formula>
    </cfRule>
  </conditionalFormatting>
  <conditionalFormatting sqref="Y21">
    <cfRule type="expression" dxfId="10" priority="65">
      <formula>OR(Y21="meta atingida",Y21="dentro do limite",Y21="ocupação alta",Y21="excede o contratado")</formula>
    </cfRule>
  </conditionalFormatting>
  <conditionalFormatting sqref="Y21">
    <cfRule type="expression" dxfId="12" priority="66">
      <formula>OR(Y21="ocupação média",Y21="abaixo da meta")</formula>
    </cfRule>
  </conditionalFormatting>
  <conditionalFormatting sqref="Y21">
    <cfRule type="expression" dxfId="11" priority="67">
      <formula>OR(Y21="ociosidade alta",Y21="acima do limite")</formula>
    </cfRule>
  </conditionalFormatting>
  <conditionalFormatting sqref="Y22">
    <cfRule type="expression" dxfId="10" priority="68">
      <formula>OR(Y22="meta atingida",Y22="dentro do limite",Y22="ocupação alta",Y22="excede o contratado")</formula>
    </cfRule>
  </conditionalFormatting>
  <conditionalFormatting sqref="Y22">
    <cfRule type="expression" dxfId="12" priority="69">
      <formula>OR(Y22="ocupação média",Y22="abaixo da meta")</formula>
    </cfRule>
  </conditionalFormatting>
  <conditionalFormatting sqref="Y22">
    <cfRule type="expression" dxfId="11" priority="70">
      <formula>OR(Y22="ociosidade alta",Y22="acima do limite")</formula>
    </cfRule>
  </conditionalFormatting>
  <conditionalFormatting sqref="T23">
    <cfRule type="expression" dxfId="10" priority="71">
      <formula>AND(ISNUMBER(T23),T23&lt;0)</formula>
    </cfRule>
  </conditionalFormatting>
  <conditionalFormatting sqref="T23">
    <cfRule type="expression" dxfId="11" priority="72">
      <formula>AND(ISNUMBER(T23),T23&gt;0)</formula>
    </cfRule>
  </conditionalFormatting>
  <conditionalFormatting sqref="Y23">
    <cfRule type="expression" dxfId="10" priority="73">
      <formula>OR(Y23="meta atingida",Y23="dentro do limite",Y23="ocupação alta",Y23="excede o contratado")</formula>
    </cfRule>
  </conditionalFormatting>
  <conditionalFormatting sqref="Y23">
    <cfRule type="expression" dxfId="12" priority="74">
      <formula>OR(Y23="ocupação média",Y23="abaixo da meta")</formula>
    </cfRule>
  </conditionalFormatting>
  <conditionalFormatting sqref="Y23">
    <cfRule type="expression" dxfId="11" priority="75">
      <formula>OR(Y23="ociosidade alta",Y23="acima do limite")</formula>
    </cfRule>
  </conditionalFormatting>
  <conditionalFormatting sqref="T24">
    <cfRule type="expression" dxfId="10" priority="76">
      <formula>AND(ISNUMBER(T24),T24&lt;0)</formula>
    </cfRule>
  </conditionalFormatting>
  <conditionalFormatting sqref="T24">
    <cfRule type="expression" dxfId="11" priority="77">
      <formula>AND(ISNUMBER(T24),T24&gt;0)</formula>
    </cfRule>
  </conditionalFormatting>
  <conditionalFormatting sqref="Y24">
    <cfRule type="expression" dxfId="10" priority="78">
      <formula>OR(Y24="meta atingida",Y24="dentro do limite",Y24="ocupação alta",Y24="excede o contratado")</formula>
    </cfRule>
  </conditionalFormatting>
  <conditionalFormatting sqref="Y24">
    <cfRule type="expression" dxfId="12" priority="79">
      <formula>OR(Y24="ocupação média",Y24="abaixo da meta")</formula>
    </cfRule>
  </conditionalFormatting>
  <conditionalFormatting sqref="Y24">
    <cfRule type="expression" dxfId="11" priority="80">
      <formula>OR(Y24="ociosidade alta",Y24="acima do limite")</formula>
    </cfRule>
  </conditionalFormatting>
  <conditionalFormatting sqref="T25">
    <cfRule type="expression" dxfId="10" priority="81">
      <formula>AND(ISNUMBER(T25),T25&lt;0)</formula>
    </cfRule>
  </conditionalFormatting>
  <conditionalFormatting sqref="T25">
    <cfRule type="expression" dxfId="11" priority="82">
      <formula>AND(ISNUMBER(T25),T25&gt;0)</formula>
    </cfRule>
  </conditionalFormatting>
  <conditionalFormatting sqref="Y25">
    <cfRule type="expression" dxfId="10" priority="83">
      <formula>OR(Y25="meta atingida",Y25="dentro do limite",Y25="ocupação alta",Y25="excede o contratado")</formula>
    </cfRule>
  </conditionalFormatting>
  <conditionalFormatting sqref="Y25">
    <cfRule type="expression" dxfId="12" priority="84">
      <formula>OR(Y25="ocupação média",Y25="abaixo da meta")</formula>
    </cfRule>
  </conditionalFormatting>
  <conditionalFormatting sqref="Y25">
    <cfRule type="expression" dxfId="11" priority="85">
      <formula>OR(Y25="ociosidade alta",Y25="acima do limite")</formula>
    </cfRule>
  </conditionalFormatting>
  <conditionalFormatting sqref="T26">
    <cfRule type="expression" dxfId="10" priority="86">
      <formula>AND(ISNUMBER(T26),T26&lt;0)</formula>
    </cfRule>
  </conditionalFormatting>
  <conditionalFormatting sqref="T26">
    <cfRule type="expression" dxfId="11" priority="87">
      <formula>AND(ISNUMBER(T26),T26&gt;0)</formula>
    </cfRule>
  </conditionalFormatting>
  <conditionalFormatting sqref="Y26">
    <cfRule type="expression" dxfId="10" priority="88">
      <formula>OR(Y26="meta atingida",Y26="dentro do limite",Y26="ocupação alta",Y26="excede o contratado")</formula>
    </cfRule>
  </conditionalFormatting>
  <conditionalFormatting sqref="Y26">
    <cfRule type="expression" dxfId="12" priority="89">
      <formula>OR(Y26="ocupação média",Y26="abaixo da meta")</formula>
    </cfRule>
  </conditionalFormatting>
  <conditionalFormatting sqref="Y26">
    <cfRule type="expression" dxfId="11" priority="90">
      <formula>OR(Y26="ociosidade alta",Y26="acima do limite")</formula>
    </cfRule>
  </conditionalFormatting>
  <dataValidations count="2">
    <dataValidation type="list" allowBlank="1" showInputMessage="1" showErrorMessage="1" promptTitle="Mês" prompt="Escolha o mês do ano. Toda a aba se atualiza." errorTitle="Valor inválido" error="Escolha um mês da lista." sqref="V1">
      <formula1>calculos!$AL$12:$AL$23</formula1>
    </dataValidation>
    <dataValidation type="list" allowBlank="1" showInputMessage="1" showErrorMessage="1" promptTitle="Cliente" prompt="Filtro próprio do Consol Mensal (quadro e resumo por cliente)." errorTitle="Valor inválido" error="Escolha um valor da lista." sqref="D3">
      <formula1>OFFSET(calculos!$AN$12,0,0,1+calculos!$AN$10,1)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BC310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38" max="38" width="20" customWidth="1"/>
    <col min="40" max="40" width="22" customWidth="1"/>
    <col min="41" max="41" width="12" customWidth="1"/>
    <col min="43" max="43" width="52" customWidth="1"/>
    <col min="46" max="46" width="14" customWidth="1"/>
    <col min="48" max="48" width="20" customWidth="1"/>
    <col min="50" max="50" width="11" customWidth="1"/>
    <col min="51" max="51" width="11" customWidth="1"/>
    <col min="52" max="52" width="11" customWidth="1"/>
    <col min="53" max="53" width="11" customWidth="1"/>
    <col min="55" max="55" width="11" customWidth="1"/>
  </cols>
  <sheetData>
    <row r="1">
      <c r="A1" s="26" t="inlineStr">
        <is>
          <t xml:space="preserve">CÁLCULOS — base da aba Dashboard (período digitado; gráficos no mês do dia inicial) · gerado automaticamente</t>
        </is>
      </c>
    </row>
    <row r="2">
      <c r="A2" s="27" t="inlineStr">
        <is>
          <t xml:space="preserve">Cliente selecionado</t>
        </is>
      </c>
      <c r="B2" s="27" t="str">
        <f>IF(OR(Dashboard!$D$3="",Dashboard!$D$3="Todos"),"Todos",Dashboard!$D$3)</f>
        <v>Todos</v>
      </c>
      <c r="C2" s="28">
        <f>IF(LEFT($B$2,9)="Depósito ",2,1)</f>
        <v>1</v>
      </c>
      <c r="D2" s="29" t="str">
        <f>IF($C$2=2,MID($B$2,10,60),$B$2)</f>
        <v>Todos</v>
      </c>
      <c r="E2" s="29" t="str">
        <f>IFERROR(INDEX($AO$12:$AO$32,MATCH($B$2,$AN$12:$AN$32,0)),"")</f>
        <v>JSL</v>
      </c>
    </row>
    <row r="3">
      <c r="A3" s="27" t="inlineStr">
        <is>
          <t xml:space="preserve">Capacidade (posições)</t>
        </is>
      </c>
      <c r="B3" s="30">
        <f>SUM($AU$13:$AU$13)</f>
        <v>5872</v>
      </c>
      <c r="C3" s="31" t="inlineStr">
        <is>
          <t xml:space="preserve">soma dos depósitos (tabela de capacidade à direita, células amarelas)</t>
        </is>
      </c>
    </row>
    <row r="4">
      <c r="A4" s="31" t="inlineStr">
        <is>
          <t xml:space="preserve">Capacidade (repetida p/ fórmulas)</t>
        </is>
      </c>
      <c r="B4" s="32">
        <f>$B$3</f>
        <v>5872</v>
      </c>
    </row>
    <row r="5">
      <c r="A5" s="27" t="inlineStr">
        <is>
          <t xml:space="preserve">Faixa de atenção (ocupação)</t>
        </is>
      </c>
      <c r="B5" s="33">
        <f>N(Config!$C$96)</f>
        <v>0.7</v>
      </c>
      <c r="C5" s="31" t="inlineStr">
        <is>
          <t xml:space="preserve">parâmetros na aba Config</t>
        </is>
      </c>
    </row>
    <row r="6">
      <c r="A6" s="27" t="inlineStr">
        <is>
          <t xml:space="preserve">Faixa crítica (ocupação)</t>
        </is>
      </c>
      <c r="B6" s="33">
        <f>N(Config!$C$97)</f>
        <v>0.9</v>
      </c>
    </row>
    <row r="7">
      <c r="A7" s="27" t="inlineStr">
        <is>
          <t xml:space="preserve">Competência</t>
        </is>
      </c>
      <c r="B7" s="35" t="str">
        <f>INDEX({"Janeiro","Fevereiro","Março","Abril","Maio","Junho","Julho","Agosto","Setembro","Outubro","Novembro","Dezembro"},MONTH($C$7))&amp;"/"&amp;YEAR($C$7)</f>
        <v>Outubro/2026</v>
      </c>
      <c r="C7" s="34">
        <f>IF(ISNUMBER(Dashboard!$Q$3),DATE(YEAR(Dashboard!$Q$3),MONTH(Dashboard!$Q$3),1),IFERROR(DATE(VALUE(RIGHT(TRIM(Dashboard!$Q$3),4)),MATCH(TRIM(LEFT(Dashboard!$Q$3,FIND("·",Dashboard!$Q$3)-1)),{"JANEIRO","FEVEREIRO","MARÇO","ABRIL","MAIO","JUNHO","JULHO","AGOSTO","SETEMBRO","OUTUBRO","NOVEMBRO","DEZEMBRO"},0),1),DATE(2026,10,1)))</f>
        <v>46296</v>
      </c>
      <c r="D7" s="34">
        <f>DATE(YEAR($C$7),MONTH($C$7)+1,0)</f>
        <v>46326</v>
      </c>
      <c r="E7" s="27" t="inlineStr">
        <is>
          <t xml:space="preserve">Período (cards)</t>
        </is>
      </c>
      <c r="F7" s="34">
        <f>IF(ISNUMBER(Dashboard!$Q$3),Dashboard!$Q$3,$C$7)</f>
        <v>46296</v>
      </c>
      <c r="G7" s="34">
        <f>IF(ISNUMBER(Dashboard!$V$3),MAX(Dashboard!$V$3,$F$7),$D$7)</f>
        <v>46326</v>
      </c>
    </row>
    <row r="8">
      <c r="A8" s="27" t="inlineStr">
        <is>
          <t xml:space="preserve">Mês anterior (comparação)</t>
        </is>
      </c>
      <c r="B8" s="35" t="str">
        <f>INDEX({"Janeiro","Fevereiro","Março","Abril","Maio","Junho","Julho","Agosto","Setembro","Outubro","Novembro","Dezembro"},MONTH($C$8))&amp;"/"&amp;YEAR($C$8)</f>
        <v>Setembro/2026</v>
      </c>
      <c r="C8" s="34">
        <f>DATE(YEAR($C$7),MONTH($C$7)-1,1)</f>
        <v>46266</v>
      </c>
      <c r="D8" s="34">
        <f>IF($B$9=0,$C$8-1,$C$8+MIN($B$9,DAY($C$7-1))-1)</f>
        <v>46265</v>
      </c>
      <c r="E8" s="27" t="inlineStr">
        <is>
          <t xml:space="preserve">Período anterior</t>
        </is>
      </c>
      <c r="F8" s="34">
        <f>$F$7-($G$7-$F$7+1)</f>
        <v>46265</v>
      </c>
      <c r="G8" s="34">
        <f>$F$7-1</f>
        <v>46295</v>
      </c>
    </row>
    <row r="9">
      <c r="A9" s="27" t="inlineStr">
        <is>
          <t xml:space="preserve">Último dia com dado no mês</t>
        </is>
      </c>
      <c r="B9" s="36">
        <f>IF(COUNTIFS(BD!$A$3:$A$5001,"&gt;="&amp;$C$7,BD!$A$3:$A$5001,"&lt;="&amp;$D$7)=0,0,DAY(_xlfn.MAXIFS(BD!$A$3:$A$5001,BD!$A$3:$A$5001,"&gt;="&amp;$C$7,BD!$A$3:$A$5001,"&lt;="&amp;$D$7)))</f>
        <v>0</v>
      </c>
      <c r="C9" s="31" t="inlineStr">
        <is>
          <t xml:space="preserve">o mês anterior é comparado do dia 1 até este dia</t>
        </is>
      </c>
    </row>
    <row r="10">
      <c r="AM10" s="38" t="inlineStr">
        <is>
          <t xml:space="preserve">clientes</t>
        </is>
      </c>
      <c r="AN10" s="39">
        <f>MAX(1,$AP$32)</f>
        <v>5</v>
      </c>
    </row>
    <row r="11" ht="40" customHeight="1">
      <c r="A11" s="37" t="inlineStr">
        <is>
          <t xml:space="preserve">Dia</t>
        </is>
      </c>
      <c r="B11" s="37" t="inlineStr">
        <is>
          <t xml:space="preserve">Data</t>
        </is>
      </c>
      <c r="C11" s="37" t="inlineStr">
        <is>
          <t xml:space="preserve">IN Veículos Recebidos</t>
        </is>
      </c>
      <c r="D11" s="37" t="inlineStr">
        <is>
          <t xml:space="preserve">IN Pallets Movimentados</t>
        </is>
      </c>
      <c r="E11" s="37" t="inlineStr">
        <is>
          <t xml:space="preserve">IN Toneladas Movimentadas</t>
        </is>
      </c>
      <c r="F11" s="37" t="inlineStr">
        <is>
          <t xml:space="preserve">OUT Veículos Expedidos</t>
        </is>
      </c>
      <c r="G11" s="37" t="inlineStr">
        <is>
          <t xml:space="preserve">OUT Pallets Movimentados</t>
        </is>
      </c>
      <c r="H11" s="37" t="inlineStr">
        <is>
          <t xml:space="preserve">OUT Toneladas Movimentadas</t>
        </is>
      </c>
      <c r="I11" s="37" t="inlineStr">
        <is>
          <t xml:space="preserve">NC Incidentes</t>
        </is>
      </c>
      <c r="J11" s="37" t="inlineStr">
        <is>
          <t xml:space="preserve">NC No show</t>
        </is>
      </c>
      <c r="K11" s="37" t="inlineStr">
        <is>
          <t xml:space="preserve">NC Backlog</t>
        </is>
      </c>
      <c r="L11" s="37" t="inlineStr">
        <is>
          <t xml:space="preserve">OCUPAÇÃO (P.P) Posições Disponíveis</t>
        </is>
      </c>
      <c r="M11" s="37" t="inlineStr">
        <is>
          <t xml:space="preserve">OCUPAÇÃO (P.P) Posições Ocupadas</t>
        </is>
      </c>
      <c r="N11" s="37" t="inlineStr">
        <is>
          <t xml:space="preserve">OCUPAÇÃO (P.P) Taxa de Ocupação</t>
        </is>
      </c>
      <c r="O11" s="37" t="inlineStr">
        <is>
          <t xml:space="preserve">GENTE Efetivo Op.</t>
        </is>
      </c>
      <c r="P11" s="37" t="inlineStr">
        <is>
          <t xml:space="preserve">GENTE Falta</t>
        </is>
      </c>
      <c r="Q11" s="37" t="inlineStr">
        <is>
          <t xml:space="preserve">GENTE Folga</t>
        </is>
      </c>
      <c r="R11" s="37" t="inlineStr">
        <is>
          <t xml:space="preserve">GENTE Férias</t>
        </is>
      </c>
      <c r="S11" s="37" t="inlineStr">
        <is>
          <t xml:space="preserve">GENTE Desligamento</t>
        </is>
      </c>
      <c r="T11" s="37" t="inlineStr">
        <is>
          <t xml:space="preserve">GENTE Desvios Comportamentais</t>
        </is>
      </c>
      <c r="U11" s="37" t="inlineStr">
        <is>
          <t xml:space="preserve">GENTE Acidentes CAF</t>
        </is>
      </c>
      <c r="V11" s="37" t="inlineStr">
        <is>
          <t xml:space="preserve">GENTE Acidentes SAF</t>
        </is>
      </c>
      <c r="W11" s="37" t="inlineStr">
        <is>
          <t xml:space="preserve">Faixa atenção</t>
        </is>
      </c>
      <c r="X11" s="37" t="inlineStr">
        <is>
          <t xml:space="preserve">Faixa crítica</t>
        </is>
      </c>
      <c r="AL11" s="37" t="inlineStr">
        <is>
          <t xml:space="preserve">Meses (filtros das abas)</t>
        </is>
      </c>
      <c r="AN11" s="37" t="inlineStr">
        <is>
          <t xml:space="preserve">Filtro: depósito / cliente</t>
        </is>
      </c>
      <c r="AO11" s="37" t="inlineStr">
        <is>
          <t xml:space="preserve">Depósito</t>
        </is>
      </c>
      <c r="AP11" s="37" t="inlineStr">
        <is>
          <t xml:space="preserve">Nº (vagas)</t>
        </is>
      </c>
      <c r="AQ11" s="37" t="inlineStr">
        <is>
          <t xml:space="preserve">Títulos dos gráficos (seguem os filtros)</t>
        </is>
      </c>
      <c r="AX11" s="37" t="inlineStr">
        <is>
          <t xml:space="preserve">Gráf A IN (diário)</t>
        </is>
      </c>
      <c r="AY11" s="37" t="inlineStr">
        <is>
          <t xml:space="preserve">Gráf A OUT (diário)</t>
        </is>
      </c>
      <c r="AZ11" s="37" t="inlineStr">
        <is>
          <t xml:space="preserve">Gráf B IN (diário)</t>
        </is>
      </c>
      <c r="BA11" s="37" t="inlineStr">
        <is>
          <t xml:space="preserve">Gráf B OUT (diário)</t>
        </is>
      </c>
      <c r="BC11" s="37" t="inlineStr">
        <is>
          <t xml:space="preserve">Rótulo contrato (último dia)</t>
        </is>
      </c>
    </row>
    <row r="12">
      <c r="A12" s="28">
        <v>1</v>
      </c>
      <c r="B12" s="46">
        <f>IF($A12&lt;=DAY($D$7),$C$7+$A12-1,"")</f>
        <v>46296</v>
      </c>
      <c r="C12" s="32">
        <f>IF($B12="","",IF($B$2="Todos",SUMIFS(BD!$C$3:$C$5001,BD!$A$3:$A$5001,$B12),SUMIFS(BD!$C$3:$C$5001,BD!$A$3:$A$5001,$B12,BD!$B$3:$B$5001,$D$2)))</f>
        <v>0</v>
      </c>
      <c r="D12" s="32">
        <f>IF($B12="","",IF($B$2="Todos",SUMIFS(BD!$D$3:$D$5001,BD!$A$3:$A$5001,$B12),SUMIFS(BD!$D$3:$D$5001,BD!$A$3:$A$5001,$B12,BD!$B$3:$B$5001,$D$2)))</f>
        <v>0</v>
      </c>
      <c r="E12" s="47">
        <f>IF($B12="","",IF($B$2="Todos",SUMIFS(BD!$E$3:$E$5001,BD!$A$3:$A$5001,$B12),SUMIFS(BD!$E$3:$E$5001,BD!$A$3:$A$5001,$B12,BD!$B$3:$B$5001,$D$2)))</f>
        <v>0</v>
      </c>
      <c r="F12" s="32">
        <f>IF($B12="","",IF($B$2="Todos",SUMIFS(BD!$F$3:$F$5001,BD!$A$3:$A$5001,$B12),SUMIFS(BD!$F$3:$F$5001,BD!$A$3:$A$5001,$B12,BD!$B$3:$B$5001,$D$2)))</f>
        <v>0</v>
      </c>
      <c r="G12" s="32">
        <f>IF($B12="","",IF($B$2="Todos",SUMIFS(BD!$G$3:$G$5001,BD!$A$3:$A$5001,$B12),SUMIFS(BD!$G$3:$G$5001,BD!$A$3:$A$5001,$B12,BD!$B$3:$B$5001,$D$2)))</f>
        <v>0</v>
      </c>
      <c r="H12" s="47">
        <f>IF($B12="","",IF($B$2="Todos",SUMIFS(BD!$H$3:$H$5001,BD!$A$3:$A$5001,$B12),SUMIFS(BD!$H$3:$H$5001,BD!$A$3:$A$5001,$B12,BD!$B$3:$B$5001,$D$2)))</f>
        <v>0</v>
      </c>
      <c r="I12" s="32">
        <f>IF($B12="","",IF($B$2="Todos",SUMIFS(BD!$I$3:$I$5001,BD!$A$3:$A$5001,$B12),SUMIFS(BD!$I$3:$I$5001,BD!$A$3:$A$5001,$B12,BD!$B$3:$B$5001,$D$2)))</f>
        <v>0</v>
      </c>
      <c r="J12" s="32">
        <f>IF($B12="","",IF($B$2="Todos",SUMIFS(BD!$J$3:$J$5001,BD!$A$3:$A$5001,$B12),SUMIFS(BD!$J$3:$J$5001,BD!$A$3:$A$5001,$B12,BD!$B$3:$B$5001,$D$2)))</f>
        <v>0</v>
      </c>
      <c r="K12" s="32" t="str">
        <f>IF($B$2="Todos",IF(COUNT($C$115:$V$115)=0,"",SUM($C$115:$V$115)),IFERROR(INDEX($C$115:$V$115,MATCH($D$2,$C$114:$V$114,0)),""))</f>
        <v/>
      </c>
      <c r="L12" s="48" t="str">
        <f>IF(M12="","",IF($B$2="Todos",IF($B$4&gt;0,$B$4,IF($B$2="Todos",IF(COUNT($C$185:$V$185)=0,"",SUM($C$185:$V$185)),IFERROR(INDEX($C$185:$V$185,MATCH($D$2,$C$184:$V$184,0)),""))),IFERROR(INDEX($C$185:$V$185,MATCH($D$2,$C$184:$V$184,0)),"")))</f>
        <v/>
      </c>
      <c r="M12" s="32" t="str">
        <f>IF($B$2="Todos",IF(COUNT($C$150:$V$150)=0,"",SUM($C$150:$V$150)),IFERROR(INDEX($C$150:$V$150,MATCH($D$2,$C$149:$V$149,0)),""))</f>
        <v/>
      </c>
      <c r="N12" s="49" t="str">
        <f>IF(AND(ISNUMBER(M12),ISNUMBER(L12)),IF(L12&gt;0,M12/L12,""),"")</f>
        <v/>
      </c>
      <c r="O12" s="32" t="str">
        <f>IF($B$2="Todos",IF(COUNT($C$220:$V$220)=0,"",SUM($C$220:$V$220)),IFERROR(INDEX($C$220:$V$220,MATCH($D$2,$C$219:$V$219,0)),""))</f>
        <v/>
      </c>
      <c r="P12" s="32">
        <f>IF($B12="","",IF($B$2="Todos",SUMIFS(BD!$O$3:$O$5001,BD!$A$3:$A$5001,$B12),SUMIFS(BD!$O$3:$O$5001,BD!$A$3:$A$5001,$B12,BD!$B$3:$B$5001,$D$2)))</f>
        <v>0</v>
      </c>
      <c r="Q12" s="32">
        <f>IF($B12="","",IF($B$2="Todos",SUMIFS(BD!$P$3:$P$5001,BD!$A$3:$A$5001,$B12),SUMIFS(BD!$P$3:$P$5001,BD!$A$3:$A$5001,$B12,BD!$B$3:$B$5001,$D$2)))</f>
        <v>0</v>
      </c>
      <c r="R12" s="32">
        <f>IF($B12="","",IF($B$2="Todos",SUMIFS(BD!$Q$3:$Q$5001,BD!$A$3:$A$5001,$B12),SUMIFS(BD!$Q$3:$Q$5001,BD!$A$3:$A$5001,$B12,BD!$B$3:$B$5001,$D$2)))</f>
        <v>0</v>
      </c>
      <c r="S12" s="32">
        <f>IF($B12="","",IF($B$2="Todos",SUMIFS(BD!$R$3:$R$5001,BD!$A$3:$A$5001,$B12),SUMIFS(BD!$R$3:$R$5001,BD!$A$3:$A$5001,$B12,BD!$B$3:$B$5001,$D$2)))</f>
        <v>0</v>
      </c>
      <c r="T12" s="32">
        <f>IF($B12="","",IF($B$2="Todos",SUMIFS(BD!$S$3:$S$5001,BD!$A$3:$A$5001,$B12),SUMIFS(BD!$S$3:$S$5001,BD!$A$3:$A$5001,$B12,BD!$B$3:$B$5001,$D$2)))</f>
        <v>0</v>
      </c>
      <c r="U12" s="32">
        <f>IF($B12="","",IF($B$2="Todos",SUMIFS(BD!$T$3:$T$5001,BD!$A$3:$A$5001,$B12),SUMIFS(BD!$T$3:$T$5001,BD!$A$3:$A$5001,$B12,BD!$B$3:$B$5001,$D$2)))</f>
        <v>0</v>
      </c>
      <c r="V12" s="32">
        <f>IF($B12="","",IF($B$2="Todos",SUMIFS(BD!$U$3:$U$5001,BD!$A$3:$A$5001,$B12),SUMIFS(BD!$U$3:$U$5001,BD!$A$3:$A$5001,$B12,BD!$B$3:$B$5001,$D$2)))</f>
        <v>0</v>
      </c>
      <c r="W12" s="50">
        <f>$B$5</f>
        <v>0.7</v>
      </c>
      <c r="X12" s="50">
        <f>$B$6</f>
        <v>0.9</v>
      </c>
      <c r="AL12" s="29" t="inlineStr">
        <is>
          <t xml:space="preserve">JANEIRO · 2026</t>
        </is>
      </c>
      <c r="AN12" s="29" t="inlineStr">
        <is>
          <t xml:space="preserve">Todos</t>
        </is>
      </c>
      <c r="AO12" s="28" t="inlineStr">
        <is>
          <t xml:space="preserve">JSL</t>
        </is>
      </c>
      <c r="AQ12" s="29" t="str">
        <f>Config!$D$81&amp;" — "&amp;IF($B$2="Todos","TODOS OS CLIENTES",UPPER($B$2))</f>
        <v>MOVIMENTAÇÃO VEÍCULO/DIA — TODOS OS CLIENTES</v>
      </c>
      <c r="AT12" s="37" t="inlineStr">
        <is>
          <t xml:space="preserve">Capacidade por depósito</t>
        </is>
      </c>
      <c r="AU12" s="37" t="inlineStr">
        <is>
          <t xml:space="preserve">Posições</t>
        </is>
      </c>
      <c r="AX12" s="61">
        <f>IF(OR($B12="",N(VALUE($AH$310))=0),"",IF(INDEX($C12:$V12,VALUE($AH$310))="","",IF(N(VALUE($AJ$310))=0,INDEX($C12:$V12,VALUE($AH$310)),IF(N(INDEX($C12:$V12,N(VALUE($AJ$310))))&gt;0,INDEX($C12:$V12,VALUE($AH$310))/INDEX($C12:$V12,N(VALUE($AJ$310))),""))))</f>
        <v>0</v>
      </c>
      <c r="AY12" s="61">
        <f>IF(OR($B12="",N(VALUE($AI$310))=0),"",IF(INDEX($C12:$V12,VALUE($AI$310))="","",IF(N(VALUE($AK$310))=0,INDEX($C12:$V12,VALUE($AI$310)),IF(N(INDEX($C12:$V12,N(VALUE($AK$310))))&gt;0,INDEX($C12:$V12,VALUE($AI$310))/INDEX($C12:$V12,N(VALUE($AK$310))),""))))</f>
        <v>0</v>
      </c>
      <c r="AZ12" s="61">
        <f>IF(OR($B12="",N(VALUE($AP$310))=0),"",IF(INDEX($C12:$V12,VALUE($AP$310))="","",IF(N(VALUE($AR$310))=0,INDEX($C12:$V12,VALUE($AP$310)),IF(N(INDEX($C12:$V12,N(VALUE($AR$310))))&gt;0,INDEX($C12:$V12,VALUE($AP$310))/INDEX($C12:$V12,N(VALUE($AR$310))),""))))</f>
        <v>0</v>
      </c>
      <c r="BA12" s="61">
        <f>IF(OR($B12="",N(VALUE($AQ$310))=0),"",IF(INDEX($C12:$V12,VALUE($AQ$310))="","",IF(N(VALUE($AS$310))=0,INDEX($C12:$V12,VALUE($AQ$310)),IF(N(INDEX($C12:$V12,N(VALUE($AS$310))))&gt;0,INDEX($C12:$V12,VALUE($AQ$310))/INDEX($C12:$V12,N(VALUE($AS$310))),""))))</f>
        <v>0</v>
      </c>
      <c r="BC12" s="32" t="str">
        <f>IF(AND($A12=$B$9,ISNUMBER(L12)),L12,NA())</f>
        <v/>
      </c>
    </row>
    <row r="13">
      <c r="A13" s="28">
        <v>2</v>
      </c>
      <c r="B13" s="46">
        <f>IF($A13&lt;=DAY($D$7),$C$7+$A13-1,"")</f>
        <v>46297</v>
      </c>
      <c r="C13" s="32">
        <f>IF($B13="","",IF($B$2="Todos",SUMIFS(BD!$C$3:$C$5001,BD!$A$3:$A$5001,$B13),SUMIFS(BD!$C$3:$C$5001,BD!$A$3:$A$5001,$B13,BD!$B$3:$B$5001,$D$2)))</f>
        <v>0</v>
      </c>
      <c r="D13" s="32">
        <f>IF($B13="","",IF($B$2="Todos",SUMIFS(BD!$D$3:$D$5001,BD!$A$3:$A$5001,$B13),SUMIFS(BD!$D$3:$D$5001,BD!$A$3:$A$5001,$B13,BD!$B$3:$B$5001,$D$2)))</f>
        <v>0</v>
      </c>
      <c r="E13" s="47">
        <f>IF($B13="","",IF($B$2="Todos",SUMIFS(BD!$E$3:$E$5001,BD!$A$3:$A$5001,$B13),SUMIFS(BD!$E$3:$E$5001,BD!$A$3:$A$5001,$B13,BD!$B$3:$B$5001,$D$2)))</f>
        <v>0</v>
      </c>
      <c r="F13" s="32">
        <f>IF($B13="","",IF($B$2="Todos",SUMIFS(BD!$F$3:$F$5001,BD!$A$3:$A$5001,$B13),SUMIFS(BD!$F$3:$F$5001,BD!$A$3:$A$5001,$B13,BD!$B$3:$B$5001,$D$2)))</f>
        <v>0</v>
      </c>
      <c r="G13" s="32">
        <f>IF($B13="","",IF($B$2="Todos",SUMIFS(BD!$G$3:$G$5001,BD!$A$3:$A$5001,$B13),SUMIFS(BD!$G$3:$G$5001,BD!$A$3:$A$5001,$B13,BD!$B$3:$B$5001,$D$2)))</f>
        <v>0</v>
      </c>
      <c r="H13" s="47">
        <f>IF($B13="","",IF($B$2="Todos",SUMIFS(BD!$H$3:$H$5001,BD!$A$3:$A$5001,$B13),SUMIFS(BD!$H$3:$H$5001,BD!$A$3:$A$5001,$B13,BD!$B$3:$B$5001,$D$2)))</f>
        <v>0</v>
      </c>
      <c r="I13" s="32">
        <f>IF($B13="","",IF($B$2="Todos",SUMIFS(BD!$I$3:$I$5001,BD!$A$3:$A$5001,$B13),SUMIFS(BD!$I$3:$I$5001,BD!$A$3:$A$5001,$B13,BD!$B$3:$B$5001,$D$2)))</f>
        <v>0</v>
      </c>
      <c r="J13" s="32">
        <f>IF($B13="","",IF($B$2="Todos",SUMIFS(BD!$J$3:$J$5001,BD!$A$3:$A$5001,$B13),SUMIFS(BD!$J$3:$J$5001,BD!$A$3:$A$5001,$B13,BD!$B$3:$B$5001,$D$2)))</f>
        <v>0</v>
      </c>
      <c r="K13" s="32" t="str">
        <f>IF($B$2="Todos",IF(COUNT($C$116:$V$116)=0,"",SUM($C$116:$V$116)),IFERROR(INDEX($C$116:$V$116,MATCH($D$2,$C$114:$V$114,0)),""))</f>
        <v/>
      </c>
      <c r="L13" s="48" t="str">
        <f>IF(M13="","",IF($B$2="Todos",IF($B$4&gt;0,$B$4,IF($B$2="Todos",IF(COUNT($C$186:$V$186)=0,"",SUM($C$186:$V$186)),IFERROR(INDEX($C$186:$V$186,MATCH($D$2,$C$184:$V$184,0)),""))),IFERROR(INDEX($C$186:$V$186,MATCH($D$2,$C$184:$V$184,0)),"")))</f>
        <v/>
      </c>
      <c r="M13" s="32" t="str">
        <f>IF($B$2="Todos",IF(COUNT($C$151:$V$151)=0,"",SUM($C$151:$V$151)),IFERROR(INDEX($C$151:$V$151,MATCH($D$2,$C$149:$V$149,0)),""))</f>
        <v/>
      </c>
      <c r="N13" s="49" t="str">
        <f>IF(AND(ISNUMBER(M13),ISNUMBER(L13)),IF(L13&gt;0,M13/L13,""),"")</f>
        <v/>
      </c>
      <c r="O13" s="32" t="str">
        <f>IF($B$2="Todos",IF(COUNT($C$221:$V$221)=0,"",SUM($C$221:$V$221)),IFERROR(INDEX($C$221:$V$221,MATCH($D$2,$C$219:$V$219,0)),""))</f>
        <v/>
      </c>
      <c r="P13" s="32">
        <f>IF($B13="","",IF($B$2="Todos",SUMIFS(BD!$O$3:$O$5001,BD!$A$3:$A$5001,$B13),SUMIFS(BD!$O$3:$O$5001,BD!$A$3:$A$5001,$B13,BD!$B$3:$B$5001,$D$2)))</f>
        <v>0</v>
      </c>
      <c r="Q13" s="32">
        <f>IF($B13="","",IF($B$2="Todos",SUMIFS(BD!$P$3:$P$5001,BD!$A$3:$A$5001,$B13),SUMIFS(BD!$P$3:$P$5001,BD!$A$3:$A$5001,$B13,BD!$B$3:$B$5001,$D$2)))</f>
        <v>0</v>
      </c>
      <c r="R13" s="32">
        <f>IF($B13="","",IF($B$2="Todos",SUMIFS(BD!$Q$3:$Q$5001,BD!$A$3:$A$5001,$B13),SUMIFS(BD!$Q$3:$Q$5001,BD!$A$3:$A$5001,$B13,BD!$B$3:$B$5001,$D$2)))</f>
        <v>0</v>
      </c>
      <c r="S13" s="32">
        <f>IF($B13="","",IF($B$2="Todos",SUMIFS(BD!$R$3:$R$5001,BD!$A$3:$A$5001,$B13),SUMIFS(BD!$R$3:$R$5001,BD!$A$3:$A$5001,$B13,BD!$B$3:$B$5001,$D$2)))</f>
        <v>0</v>
      </c>
      <c r="T13" s="32">
        <f>IF($B13="","",IF($B$2="Todos",SUMIFS(BD!$S$3:$S$5001,BD!$A$3:$A$5001,$B13),SUMIFS(BD!$S$3:$S$5001,BD!$A$3:$A$5001,$B13,BD!$B$3:$B$5001,$D$2)))</f>
        <v>0</v>
      </c>
      <c r="U13" s="32">
        <f>IF($B13="","",IF($B$2="Todos",SUMIFS(BD!$T$3:$T$5001,BD!$A$3:$A$5001,$B13),SUMIFS(BD!$T$3:$T$5001,BD!$A$3:$A$5001,$B13,BD!$B$3:$B$5001,$D$2)))</f>
        <v>0</v>
      </c>
      <c r="V13" s="32">
        <f>IF($B13="","",IF($B$2="Todos",SUMIFS(BD!$U$3:$U$5001,BD!$A$3:$A$5001,$B13),SUMIFS(BD!$U$3:$U$5001,BD!$A$3:$A$5001,$B13,BD!$B$3:$B$5001,$D$2)))</f>
        <v>0</v>
      </c>
      <c r="W13" s="50">
        <f>$B$5</f>
        <v>0.7</v>
      </c>
      <c r="X13" s="50">
        <f>$B$6</f>
        <v>0.9</v>
      </c>
      <c r="AL13" s="29" t="inlineStr">
        <is>
          <t xml:space="preserve">FEVEREIRO · 2026</t>
        </is>
      </c>
      <c r="AN13" s="29" t="str">
        <f>IFERROR(INDEX(Config!$B$10:$B$29,MATCH(1,$AP$13:$AP$32,0))&amp;"","")</f>
        <v>Barry Callebaut</v>
      </c>
      <c r="AO13" s="28" t="str">
        <f>IF(AN13="","",IF(INDEX(Config!$C$10:$C$29,MATCH(1,$AP$13:$AP$32,0))&amp;""="","JSL",INDEX(Config!$C$10:$C$29,MATCH(1,$AP$13:$AP$32,0))&amp;""))</f>
        <v>JSL</v>
      </c>
      <c r="AP13" s="38">
        <f>IF(Config!$B$10&amp;""="",0,0+1)</f>
        <v>1</v>
      </c>
      <c r="AQ13" s="29" t="str">
        <f>IF($AZ$310="Não se aplica",Config!$D$86,IF($AZ$310="Só ocupadas",Config!$D$85,Config!$D$84))&amp;" — "&amp;IF($B$2="Todos","TODOS OS CLIENTES",UPPER($B$2))</f>
        <v>OCUPAÇÃO DIÁRIA — TODOS OS CLIENTES</v>
      </c>
      <c r="AT13" s="40" t="inlineStr">
        <is>
          <t xml:space="preserve">JSL</t>
        </is>
      </c>
      <c r="AU13" s="41">
        <f>N(Config!$C$95)</f>
        <v>5872</v>
      </c>
      <c r="AV13" s="31" t="inlineStr">
        <is>
          <t xml:space="preserve">aba Config</t>
        </is>
      </c>
      <c r="AX13" s="61">
        <f>IF(OR($B13="",N(VALUE($AH$310))=0),"",IF(INDEX($C13:$V13,VALUE($AH$310))="","",IF(N(VALUE($AJ$310))=0,INDEX($C13:$V13,VALUE($AH$310)),IF(N(INDEX($C13:$V13,N(VALUE($AJ$310))))&gt;0,INDEX($C13:$V13,VALUE($AH$310))/INDEX($C13:$V13,N(VALUE($AJ$310))),""))))</f>
        <v>0</v>
      </c>
      <c r="AY13" s="61">
        <f>IF(OR($B13="",N(VALUE($AI$310))=0),"",IF(INDEX($C13:$V13,VALUE($AI$310))="","",IF(N(VALUE($AK$310))=0,INDEX($C13:$V13,VALUE($AI$310)),IF(N(INDEX($C13:$V13,N(VALUE($AK$310))))&gt;0,INDEX($C13:$V13,VALUE($AI$310))/INDEX($C13:$V13,N(VALUE($AK$310))),""))))</f>
        <v>0</v>
      </c>
      <c r="AZ13" s="61">
        <f>IF(OR($B13="",N(VALUE($AP$310))=0),"",IF(INDEX($C13:$V13,VALUE($AP$310))="","",IF(N(VALUE($AR$310))=0,INDEX($C13:$V13,VALUE($AP$310)),IF(N(INDEX($C13:$V13,N(VALUE($AR$310))))&gt;0,INDEX($C13:$V13,VALUE($AP$310))/INDEX($C13:$V13,N(VALUE($AR$310))),""))))</f>
        <v>0</v>
      </c>
      <c r="BA13" s="61">
        <f>IF(OR($B13="",N(VALUE($AQ$310))=0),"",IF(INDEX($C13:$V13,VALUE($AQ$310))="","",IF(N(VALUE($AS$310))=0,INDEX($C13:$V13,VALUE($AQ$310)),IF(N(INDEX($C13:$V13,N(VALUE($AS$310))))&gt;0,INDEX($C13:$V13,VALUE($AQ$310))/INDEX($C13:$V13,N(VALUE($AS$310))),""))))</f>
        <v>0</v>
      </c>
      <c r="BC13" s="32" t="str">
        <f>IF(AND($A13=$B$9,ISNUMBER(L13)),L13,NA())</f>
        <v/>
      </c>
    </row>
    <row r="14">
      <c r="A14" s="28">
        <v>3</v>
      </c>
      <c r="B14" s="46">
        <f>IF($A14&lt;=DAY($D$7),$C$7+$A14-1,"")</f>
        <v>46298</v>
      </c>
      <c r="C14" s="32">
        <f>IF($B14="","",IF($B$2="Todos",SUMIFS(BD!$C$3:$C$5001,BD!$A$3:$A$5001,$B14),SUMIFS(BD!$C$3:$C$5001,BD!$A$3:$A$5001,$B14,BD!$B$3:$B$5001,$D$2)))</f>
        <v>0</v>
      </c>
      <c r="D14" s="32">
        <f>IF($B14="","",IF($B$2="Todos",SUMIFS(BD!$D$3:$D$5001,BD!$A$3:$A$5001,$B14),SUMIFS(BD!$D$3:$D$5001,BD!$A$3:$A$5001,$B14,BD!$B$3:$B$5001,$D$2)))</f>
        <v>0</v>
      </c>
      <c r="E14" s="47">
        <f>IF($B14="","",IF($B$2="Todos",SUMIFS(BD!$E$3:$E$5001,BD!$A$3:$A$5001,$B14),SUMIFS(BD!$E$3:$E$5001,BD!$A$3:$A$5001,$B14,BD!$B$3:$B$5001,$D$2)))</f>
        <v>0</v>
      </c>
      <c r="F14" s="32">
        <f>IF($B14="","",IF($B$2="Todos",SUMIFS(BD!$F$3:$F$5001,BD!$A$3:$A$5001,$B14),SUMIFS(BD!$F$3:$F$5001,BD!$A$3:$A$5001,$B14,BD!$B$3:$B$5001,$D$2)))</f>
        <v>0</v>
      </c>
      <c r="G14" s="32">
        <f>IF($B14="","",IF($B$2="Todos",SUMIFS(BD!$G$3:$G$5001,BD!$A$3:$A$5001,$B14),SUMIFS(BD!$G$3:$G$5001,BD!$A$3:$A$5001,$B14,BD!$B$3:$B$5001,$D$2)))</f>
        <v>0</v>
      </c>
      <c r="H14" s="47">
        <f>IF($B14="","",IF($B$2="Todos",SUMIFS(BD!$H$3:$H$5001,BD!$A$3:$A$5001,$B14),SUMIFS(BD!$H$3:$H$5001,BD!$A$3:$A$5001,$B14,BD!$B$3:$B$5001,$D$2)))</f>
        <v>0</v>
      </c>
      <c r="I14" s="32">
        <f>IF($B14="","",IF($B$2="Todos",SUMIFS(BD!$I$3:$I$5001,BD!$A$3:$A$5001,$B14),SUMIFS(BD!$I$3:$I$5001,BD!$A$3:$A$5001,$B14,BD!$B$3:$B$5001,$D$2)))</f>
        <v>0</v>
      </c>
      <c r="J14" s="32">
        <f>IF($B14="","",IF($B$2="Todos",SUMIFS(BD!$J$3:$J$5001,BD!$A$3:$A$5001,$B14),SUMIFS(BD!$J$3:$J$5001,BD!$A$3:$A$5001,$B14,BD!$B$3:$B$5001,$D$2)))</f>
        <v>0</v>
      </c>
      <c r="K14" s="32" t="str">
        <f>IF($B$2="Todos",IF(COUNT($C$117:$V$117)=0,"",SUM($C$117:$V$117)),IFERROR(INDEX($C$117:$V$117,MATCH($D$2,$C$114:$V$114,0)),""))</f>
        <v/>
      </c>
      <c r="L14" s="48" t="str">
        <f>IF(M14="","",IF($B$2="Todos",IF($B$4&gt;0,$B$4,IF($B$2="Todos",IF(COUNT($C$187:$V$187)=0,"",SUM($C$187:$V$187)),IFERROR(INDEX($C$187:$V$187,MATCH($D$2,$C$184:$V$184,0)),""))),IFERROR(INDEX($C$187:$V$187,MATCH($D$2,$C$184:$V$184,0)),"")))</f>
        <v/>
      </c>
      <c r="M14" s="32" t="str">
        <f>IF($B$2="Todos",IF(COUNT($C$152:$V$152)=0,"",SUM($C$152:$V$152)),IFERROR(INDEX($C$152:$V$152,MATCH($D$2,$C$149:$V$149,0)),""))</f>
        <v/>
      </c>
      <c r="N14" s="49" t="str">
        <f>IF(AND(ISNUMBER(M14),ISNUMBER(L14)),IF(L14&gt;0,M14/L14,""),"")</f>
        <v/>
      </c>
      <c r="O14" s="32" t="str">
        <f>IF($B$2="Todos",IF(COUNT($C$222:$V$222)=0,"",SUM($C$222:$V$222)),IFERROR(INDEX($C$222:$V$222,MATCH($D$2,$C$219:$V$219,0)),""))</f>
        <v/>
      </c>
      <c r="P14" s="32">
        <f>IF($B14="","",IF($B$2="Todos",SUMIFS(BD!$O$3:$O$5001,BD!$A$3:$A$5001,$B14),SUMIFS(BD!$O$3:$O$5001,BD!$A$3:$A$5001,$B14,BD!$B$3:$B$5001,$D$2)))</f>
        <v>0</v>
      </c>
      <c r="Q14" s="32">
        <f>IF($B14="","",IF($B$2="Todos",SUMIFS(BD!$P$3:$P$5001,BD!$A$3:$A$5001,$B14),SUMIFS(BD!$P$3:$P$5001,BD!$A$3:$A$5001,$B14,BD!$B$3:$B$5001,$D$2)))</f>
        <v>0</v>
      </c>
      <c r="R14" s="32">
        <f>IF($B14="","",IF($B$2="Todos",SUMIFS(BD!$Q$3:$Q$5001,BD!$A$3:$A$5001,$B14),SUMIFS(BD!$Q$3:$Q$5001,BD!$A$3:$A$5001,$B14,BD!$B$3:$B$5001,$D$2)))</f>
        <v>0</v>
      </c>
      <c r="S14" s="32">
        <f>IF($B14="","",IF($B$2="Todos",SUMIFS(BD!$R$3:$R$5001,BD!$A$3:$A$5001,$B14),SUMIFS(BD!$R$3:$R$5001,BD!$A$3:$A$5001,$B14,BD!$B$3:$B$5001,$D$2)))</f>
        <v>0</v>
      </c>
      <c r="T14" s="32">
        <f>IF($B14="","",IF($B$2="Todos",SUMIFS(BD!$S$3:$S$5001,BD!$A$3:$A$5001,$B14),SUMIFS(BD!$S$3:$S$5001,BD!$A$3:$A$5001,$B14,BD!$B$3:$B$5001,$D$2)))</f>
        <v>0</v>
      </c>
      <c r="U14" s="32">
        <f>IF($B14="","",IF($B$2="Todos",SUMIFS(BD!$T$3:$T$5001,BD!$A$3:$A$5001,$B14),SUMIFS(BD!$T$3:$T$5001,BD!$A$3:$A$5001,$B14,BD!$B$3:$B$5001,$D$2)))</f>
        <v>0</v>
      </c>
      <c r="V14" s="32">
        <f>IF($B14="","",IF($B$2="Todos",SUMIFS(BD!$U$3:$U$5001,BD!$A$3:$A$5001,$B14),SUMIFS(BD!$U$3:$U$5001,BD!$A$3:$A$5001,$B14,BD!$B$3:$B$5001,$D$2)))</f>
        <v>0</v>
      </c>
      <c r="W14" s="50">
        <f>$B$5</f>
        <v>0.7</v>
      </c>
      <c r="X14" s="50">
        <f>$B$6</f>
        <v>0.9</v>
      </c>
      <c r="AL14" s="29" t="inlineStr">
        <is>
          <t xml:space="preserve">MARÇO · 2026</t>
        </is>
      </c>
      <c r="AN14" s="29" t="str">
        <f>IFERROR(INDEX(Config!$B$10:$B$29,MATCH(2,$AP$13:$AP$32,0))&amp;"","")</f>
        <v>GM</v>
      </c>
      <c r="AO14" s="28" t="str">
        <f>IF(AN14="","",IF(INDEX(Config!$C$10:$C$29,MATCH(2,$AP$13:$AP$32,0))&amp;""="","JSL",INDEX(Config!$C$10:$C$29,MATCH(2,$AP$13:$AP$32,0))&amp;""))</f>
        <v>JSL</v>
      </c>
      <c r="AP14" s="38">
        <f>IF(Config!$B$11&amp;""="",AP13,AP13+1)</f>
        <v>2</v>
      </c>
      <c r="AQ14" s="29" t="str">
        <f>$AL$310&amp;" — "&amp;IF($B$2="Todos","TODOS OS CLIENTES",UPPER($B$2))</f>
        <v>MOVIMENTAÇÃO PALETES/DIA — TODOS OS CLIENTES</v>
      </c>
      <c r="AX14" s="61">
        <f>IF(OR($B14="",N(VALUE($AH$310))=0),"",IF(INDEX($C14:$V14,VALUE($AH$310))="","",IF(N(VALUE($AJ$310))=0,INDEX($C14:$V14,VALUE($AH$310)),IF(N(INDEX($C14:$V14,N(VALUE($AJ$310))))&gt;0,INDEX($C14:$V14,VALUE($AH$310))/INDEX($C14:$V14,N(VALUE($AJ$310))),""))))</f>
        <v>0</v>
      </c>
      <c r="AY14" s="61">
        <f>IF(OR($B14="",N(VALUE($AI$310))=0),"",IF(INDEX($C14:$V14,VALUE($AI$310))="","",IF(N(VALUE($AK$310))=0,INDEX($C14:$V14,VALUE($AI$310)),IF(N(INDEX($C14:$V14,N(VALUE($AK$310))))&gt;0,INDEX($C14:$V14,VALUE($AI$310))/INDEX($C14:$V14,N(VALUE($AK$310))),""))))</f>
        <v>0</v>
      </c>
      <c r="AZ14" s="61">
        <f>IF(OR($B14="",N(VALUE($AP$310))=0),"",IF(INDEX($C14:$V14,VALUE($AP$310))="","",IF(N(VALUE($AR$310))=0,INDEX($C14:$V14,VALUE($AP$310)),IF(N(INDEX($C14:$V14,N(VALUE($AR$310))))&gt;0,INDEX($C14:$V14,VALUE($AP$310))/INDEX($C14:$V14,N(VALUE($AR$310))),""))))</f>
        <v>0</v>
      </c>
      <c r="BA14" s="61">
        <f>IF(OR($B14="",N(VALUE($AQ$310))=0),"",IF(INDEX($C14:$V14,VALUE($AQ$310))="","",IF(N(VALUE($AS$310))=0,INDEX($C14:$V14,VALUE($AQ$310)),IF(N(INDEX($C14:$V14,N(VALUE($AS$310))))&gt;0,INDEX($C14:$V14,VALUE($AQ$310))/INDEX($C14:$V14,N(VALUE($AS$310))),""))))</f>
        <v>0</v>
      </c>
      <c r="BC14" s="32" t="str">
        <f>IF(AND($A14=$B$9,ISNUMBER(L14)),L14,NA())</f>
        <v/>
      </c>
    </row>
    <row r="15">
      <c r="A15" s="28">
        <v>4</v>
      </c>
      <c r="B15" s="46">
        <f>IF($A15&lt;=DAY($D$7),$C$7+$A15-1,"")</f>
        <v>46299</v>
      </c>
      <c r="C15" s="32">
        <f>IF($B15="","",IF($B$2="Todos",SUMIFS(BD!$C$3:$C$5001,BD!$A$3:$A$5001,$B15),SUMIFS(BD!$C$3:$C$5001,BD!$A$3:$A$5001,$B15,BD!$B$3:$B$5001,$D$2)))</f>
        <v>0</v>
      </c>
      <c r="D15" s="32">
        <f>IF($B15="","",IF($B$2="Todos",SUMIFS(BD!$D$3:$D$5001,BD!$A$3:$A$5001,$B15),SUMIFS(BD!$D$3:$D$5001,BD!$A$3:$A$5001,$B15,BD!$B$3:$B$5001,$D$2)))</f>
        <v>0</v>
      </c>
      <c r="E15" s="47">
        <f>IF($B15="","",IF($B$2="Todos",SUMIFS(BD!$E$3:$E$5001,BD!$A$3:$A$5001,$B15),SUMIFS(BD!$E$3:$E$5001,BD!$A$3:$A$5001,$B15,BD!$B$3:$B$5001,$D$2)))</f>
        <v>0</v>
      </c>
      <c r="F15" s="32">
        <f>IF($B15="","",IF($B$2="Todos",SUMIFS(BD!$F$3:$F$5001,BD!$A$3:$A$5001,$B15),SUMIFS(BD!$F$3:$F$5001,BD!$A$3:$A$5001,$B15,BD!$B$3:$B$5001,$D$2)))</f>
        <v>0</v>
      </c>
      <c r="G15" s="32">
        <f>IF($B15="","",IF($B$2="Todos",SUMIFS(BD!$G$3:$G$5001,BD!$A$3:$A$5001,$B15),SUMIFS(BD!$G$3:$G$5001,BD!$A$3:$A$5001,$B15,BD!$B$3:$B$5001,$D$2)))</f>
        <v>0</v>
      </c>
      <c r="H15" s="47">
        <f>IF($B15="","",IF($B$2="Todos",SUMIFS(BD!$H$3:$H$5001,BD!$A$3:$A$5001,$B15),SUMIFS(BD!$H$3:$H$5001,BD!$A$3:$A$5001,$B15,BD!$B$3:$B$5001,$D$2)))</f>
        <v>0</v>
      </c>
      <c r="I15" s="32">
        <f>IF($B15="","",IF($B$2="Todos",SUMIFS(BD!$I$3:$I$5001,BD!$A$3:$A$5001,$B15),SUMIFS(BD!$I$3:$I$5001,BD!$A$3:$A$5001,$B15,BD!$B$3:$B$5001,$D$2)))</f>
        <v>0</v>
      </c>
      <c r="J15" s="32">
        <f>IF($B15="","",IF($B$2="Todos",SUMIFS(BD!$J$3:$J$5001,BD!$A$3:$A$5001,$B15),SUMIFS(BD!$J$3:$J$5001,BD!$A$3:$A$5001,$B15,BD!$B$3:$B$5001,$D$2)))</f>
        <v>0</v>
      </c>
      <c r="K15" s="32" t="str">
        <f>IF($B$2="Todos",IF(COUNT($C$118:$V$118)=0,"",SUM($C$118:$V$118)),IFERROR(INDEX($C$118:$V$118,MATCH($D$2,$C$114:$V$114,0)),""))</f>
        <v/>
      </c>
      <c r="L15" s="48" t="str">
        <f>IF(M15="","",IF($B$2="Todos",IF($B$4&gt;0,$B$4,IF($B$2="Todos",IF(COUNT($C$188:$V$188)=0,"",SUM($C$188:$V$188)),IFERROR(INDEX($C$188:$V$188,MATCH($D$2,$C$184:$V$184,0)),""))),IFERROR(INDEX($C$188:$V$188,MATCH($D$2,$C$184:$V$184,0)),"")))</f>
        <v/>
      </c>
      <c r="M15" s="32" t="str">
        <f>IF($B$2="Todos",IF(COUNT($C$153:$V$153)=0,"",SUM($C$153:$V$153)),IFERROR(INDEX($C$153:$V$153,MATCH($D$2,$C$149:$V$149,0)),""))</f>
        <v/>
      </c>
      <c r="N15" s="49" t="str">
        <f>IF(AND(ISNUMBER(M15),ISNUMBER(L15)),IF(L15&gt;0,M15/L15,""),"")</f>
        <v/>
      </c>
      <c r="O15" s="32" t="str">
        <f>IF($B$2="Todos",IF(COUNT($C$223:$V$223)=0,"",SUM($C$223:$V$223)),IFERROR(INDEX($C$223:$V$223,MATCH($D$2,$C$219:$V$219,0)),""))</f>
        <v/>
      </c>
      <c r="P15" s="32">
        <f>IF($B15="","",IF($B$2="Todos",SUMIFS(BD!$O$3:$O$5001,BD!$A$3:$A$5001,$B15),SUMIFS(BD!$O$3:$O$5001,BD!$A$3:$A$5001,$B15,BD!$B$3:$B$5001,$D$2)))</f>
        <v>0</v>
      </c>
      <c r="Q15" s="32">
        <f>IF($B15="","",IF($B$2="Todos",SUMIFS(BD!$P$3:$P$5001,BD!$A$3:$A$5001,$B15),SUMIFS(BD!$P$3:$P$5001,BD!$A$3:$A$5001,$B15,BD!$B$3:$B$5001,$D$2)))</f>
        <v>0</v>
      </c>
      <c r="R15" s="32">
        <f>IF($B15="","",IF($B$2="Todos",SUMIFS(BD!$Q$3:$Q$5001,BD!$A$3:$A$5001,$B15),SUMIFS(BD!$Q$3:$Q$5001,BD!$A$3:$A$5001,$B15,BD!$B$3:$B$5001,$D$2)))</f>
        <v>0</v>
      </c>
      <c r="S15" s="32">
        <f>IF($B15="","",IF($B$2="Todos",SUMIFS(BD!$R$3:$R$5001,BD!$A$3:$A$5001,$B15),SUMIFS(BD!$R$3:$R$5001,BD!$A$3:$A$5001,$B15,BD!$B$3:$B$5001,$D$2)))</f>
        <v>0</v>
      </c>
      <c r="T15" s="32">
        <f>IF($B15="","",IF($B$2="Todos",SUMIFS(BD!$S$3:$S$5001,BD!$A$3:$A$5001,$B15),SUMIFS(BD!$S$3:$S$5001,BD!$A$3:$A$5001,$B15,BD!$B$3:$B$5001,$D$2)))</f>
        <v>0</v>
      </c>
      <c r="U15" s="32">
        <f>IF($B15="","",IF($B$2="Todos",SUMIFS(BD!$T$3:$T$5001,BD!$A$3:$A$5001,$B15),SUMIFS(BD!$T$3:$T$5001,BD!$A$3:$A$5001,$B15,BD!$B$3:$B$5001,$D$2)))</f>
        <v>0</v>
      </c>
      <c r="V15" s="32">
        <f>IF($B15="","",IF($B$2="Todos",SUMIFS(BD!$U$3:$U$5001,BD!$A$3:$A$5001,$B15),SUMIFS(BD!$U$3:$U$5001,BD!$A$3:$A$5001,$B15,BD!$B$3:$B$5001,$D$2)))</f>
        <v>0</v>
      </c>
      <c r="W15" s="50">
        <f>$B$5</f>
        <v>0.7</v>
      </c>
      <c r="X15" s="50">
        <f>$B$6</f>
        <v>0.9</v>
      </c>
      <c r="AL15" s="29" t="inlineStr">
        <is>
          <t xml:space="preserve">ABRIL · 2026</t>
        </is>
      </c>
      <c r="AN15" s="29" t="str">
        <f>IFERROR(INDEX(Config!$B$10:$B$29,MATCH(3,$AP$13:$AP$32,0))&amp;"","")</f>
        <v>Mondelez</v>
      </c>
      <c r="AO15" s="28" t="str">
        <f>IF(AN15="","",IF(INDEX(Config!$C$10:$C$29,MATCH(3,$AP$13:$AP$32,0))&amp;""="","JSL",INDEX(Config!$C$10:$C$29,MATCH(3,$AP$13:$AP$32,0))&amp;""))</f>
        <v>JSL</v>
      </c>
      <c r="AP15" s="38">
        <f>IF(Config!$B$12&amp;""="",AP14,AP14+1)</f>
        <v>3</v>
      </c>
      <c r="AQ15" s="29" t="str">
        <f>$AT$310&amp;" — "&amp;IF($B$2="Todos","TODOS OS CLIENTES",UPPER($B$2))</f>
        <v>MOVIMENTAÇÃO TONS/DIA — TODOS OS CLIENTES</v>
      </c>
      <c r="AX15" s="61">
        <f>IF(OR($B15="",N(VALUE($AH$310))=0),"",IF(INDEX($C15:$V15,VALUE($AH$310))="","",IF(N(VALUE($AJ$310))=0,INDEX($C15:$V15,VALUE($AH$310)),IF(N(INDEX($C15:$V15,N(VALUE($AJ$310))))&gt;0,INDEX($C15:$V15,VALUE($AH$310))/INDEX($C15:$V15,N(VALUE($AJ$310))),""))))</f>
        <v>0</v>
      </c>
      <c r="AY15" s="61">
        <f>IF(OR($B15="",N(VALUE($AI$310))=0),"",IF(INDEX($C15:$V15,VALUE($AI$310))="","",IF(N(VALUE($AK$310))=0,INDEX($C15:$V15,VALUE($AI$310)),IF(N(INDEX($C15:$V15,N(VALUE($AK$310))))&gt;0,INDEX($C15:$V15,VALUE($AI$310))/INDEX($C15:$V15,N(VALUE($AK$310))),""))))</f>
        <v>0</v>
      </c>
      <c r="AZ15" s="61">
        <f>IF(OR($B15="",N(VALUE($AP$310))=0),"",IF(INDEX($C15:$V15,VALUE($AP$310))="","",IF(N(VALUE($AR$310))=0,INDEX($C15:$V15,VALUE($AP$310)),IF(N(INDEX($C15:$V15,N(VALUE($AR$310))))&gt;0,INDEX($C15:$V15,VALUE($AP$310))/INDEX($C15:$V15,N(VALUE($AR$310))),""))))</f>
        <v>0</v>
      </c>
      <c r="BA15" s="61">
        <f>IF(OR($B15="",N(VALUE($AQ$310))=0),"",IF(INDEX($C15:$V15,VALUE($AQ$310))="","",IF(N(VALUE($AS$310))=0,INDEX($C15:$V15,VALUE($AQ$310)),IF(N(INDEX($C15:$V15,N(VALUE($AS$310))))&gt;0,INDEX($C15:$V15,VALUE($AQ$310))/INDEX($C15:$V15,N(VALUE($AS$310))),""))))</f>
        <v>0</v>
      </c>
      <c r="BC15" s="32" t="str">
        <f>IF(AND($A15=$B$9,ISNUMBER(L15)),L15,NA())</f>
        <v/>
      </c>
    </row>
    <row r="16">
      <c r="A16" s="28">
        <v>5</v>
      </c>
      <c r="B16" s="46">
        <f>IF($A16&lt;=DAY($D$7),$C$7+$A16-1,"")</f>
        <v>46300</v>
      </c>
      <c r="C16" s="32">
        <f>IF($B16="","",IF($B$2="Todos",SUMIFS(BD!$C$3:$C$5001,BD!$A$3:$A$5001,$B16),SUMIFS(BD!$C$3:$C$5001,BD!$A$3:$A$5001,$B16,BD!$B$3:$B$5001,$D$2)))</f>
        <v>0</v>
      </c>
      <c r="D16" s="32">
        <f>IF($B16="","",IF($B$2="Todos",SUMIFS(BD!$D$3:$D$5001,BD!$A$3:$A$5001,$B16),SUMIFS(BD!$D$3:$D$5001,BD!$A$3:$A$5001,$B16,BD!$B$3:$B$5001,$D$2)))</f>
        <v>0</v>
      </c>
      <c r="E16" s="47">
        <f>IF($B16="","",IF($B$2="Todos",SUMIFS(BD!$E$3:$E$5001,BD!$A$3:$A$5001,$B16),SUMIFS(BD!$E$3:$E$5001,BD!$A$3:$A$5001,$B16,BD!$B$3:$B$5001,$D$2)))</f>
        <v>0</v>
      </c>
      <c r="F16" s="32">
        <f>IF($B16="","",IF($B$2="Todos",SUMIFS(BD!$F$3:$F$5001,BD!$A$3:$A$5001,$B16),SUMIFS(BD!$F$3:$F$5001,BD!$A$3:$A$5001,$B16,BD!$B$3:$B$5001,$D$2)))</f>
        <v>0</v>
      </c>
      <c r="G16" s="32">
        <f>IF($B16="","",IF($B$2="Todos",SUMIFS(BD!$G$3:$G$5001,BD!$A$3:$A$5001,$B16),SUMIFS(BD!$G$3:$G$5001,BD!$A$3:$A$5001,$B16,BD!$B$3:$B$5001,$D$2)))</f>
        <v>0</v>
      </c>
      <c r="H16" s="47">
        <f>IF($B16="","",IF($B$2="Todos",SUMIFS(BD!$H$3:$H$5001,BD!$A$3:$A$5001,$B16),SUMIFS(BD!$H$3:$H$5001,BD!$A$3:$A$5001,$B16,BD!$B$3:$B$5001,$D$2)))</f>
        <v>0</v>
      </c>
      <c r="I16" s="32">
        <f>IF($B16="","",IF($B$2="Todos",SUMIFS(BD!$I$3:$I$5001,BD!$A$3:$A$5001,$B16),SUMIFS(BD!$I$3:$I$5001,BD!$A$3:$A$5001,$B16,BD!$B$3:$B$5001,$D$2)))</f>
        <v>0</v>
      </c>
      <c r="J16" s="32">
        <f>IF($B16="","",IF($B$2="Todos",SUMIFS(BD!$J$3:$J$5001,BD!$A$3:$A$5001,$B16),SUMIFS(BD!$J$3:$J$5001,BD!$A$3:$A$5001,$B16,BD!$B$3:$B$5001,$D$2)))</f>
        <v>0</v>
      </c>
      <c r="K16" s="32" t="str">
        <f>IF($B$2="Todos",IF(COUNT($C$119:$V$119)=0,"",SUM($C$119:$V$119)),IFERROR(INDEX($C$119:$V$119,MATCH($D$2,$C$114:$V$114,0)),""))</f>
        <v/>
      </c>
      <c r="L16" s="48" t="str">
        <f>IF(M16="","",IF($B$2="Todos",IF($B$4&gt;0,$B$4,IF($B$2="Todos",IF(COUNT($C$189:$V$189)=0,"",SUM($C$189:$V$189)),IFERROR(INDEX($C$189:$V$189,MATCH($D$2,$C$184:$V$184,0)),""))),IFERROR(INDEX($C$189:$V$189,MATCH($D$2,$C$184:$V$184,0)),"")))</f>
        <v/>
      </c>
      <c r="M16" s="32" t="str">
        <f>IF($B$2="Todos",IF(COUNT($C$154:$V$154)=0,"",SUM($C$154:$V$154)),IFERROR(INDEX($C$154:$V$154,MATCH($D$2,$C$149:$V$149,0)),""))</f>
        <v/>
      </c>
      <c r="N16" s="49" t="str">
        <f>IF(AND(ISNUMBER(M16),ISNUMBER(L16)),IF(L16&gt;0,M16/L16,""),"")</f>
        <v/>
      </c>
      <c r="O16" s="32" t="str">
        <f>IF($B$2="Todos",IF(COUNT($C$224:$V$224)=0,"",SUM($C$224:$V$224)),IFERROR(INDEX($C$224:$V$224,MATCH($D$2,$C$219:$V$219,0)),""))</f>
        <v/>
      </c>
      <c r="P16" s="32">
        <f>IF($B16="","",IF($B$2="Todos",SUMIFS(BD!$O$3:$O$5001,BD!$A$3:$A$5001,$B16),SUMIFS(BD!$O$3:$O$5001,BD!$A$3:$A$5001,$B16,BD!$B$3:$B$5001,$D$2)))</f>
        <v>0</v>
      </c>
      <c r="Q16" s="32">
        <f>IF($B16="","",IF($B$2="Todos",SUMIFS(BD!$P$3:$P$5001,BD!$A$3:$A$5001,$B16),SUMIFS(BD!$P$3:$P$5001,BD!$A$3:$A$5001,$B16,BD!$B$3:$B$5001,$D$2)))</f>
        <v>0</v>
      </c>
      <c r="R16" s="32">
        <f>IF($B16="","",IF($B$2="Todos",SUMIFS(BD!$Q$3:$Q$5001,BD!$A$3:$A$5001,$B16),SUMIFS(BD!$Q$3:$Q$5001,BD!$A$3:$A$5001,$B16,BD!$B$3:$B$5001,$D$2)))</f>
        <v>0</v>
      </c>
      <c r="S16" s="32">
        <f>IF($B16="","",IF($B$2="Todos",SUMIFS(BD!$R$3:$R$5001,BD!$A$3:$A$5001,$B16),SUMIFS(BD!$R$3:$R$5001,BD!$A$3:$A$5001,$B16,BD!$B$3:$B$5001,$D$2)))</f>
        <v>0</v>
      </c>
      <c r="T16" s="32">
        <f>IF($B16="","",IF($B$2="Todos",SUMIFS(BD!$S$3:$S$5001,BD!$A$3:$A$5001,$B16),SUMIFS(BD!$S$3:$S$5001,BD!$A$3:$A$5001,$B16,BD!$B$3:$B$5001,$D$2)))</f>
        <v>0</v>
      </c>
      <c r="U16" s="32">
        <f>IF($B16="","",IF($B$2="Todos",SUMIFS(BD!$T$3:$T$5001,BD!$A$3:$A$5001,$B16),SUMIFS(BD!$T$3:$T$5001,BD!$A$3:$A$5001,$B16,BD!$B$3:$B$5001,$D$2)))</f>
        <v>0</v>
      </c>
      <c r="V16" s="32">
        <f>IF($B16="","",IF($B$2="Todos",SUMIFS(BD!$U$3:$U$5001,BD!$A$3:$A$5001,$B16),SUMIFS(BD!$U$3:$U$5001,BD!$A$3:$A$5001,$B16,BD!$B$3:$B$5001,$D$2)))</f>
        <v>0</v>
      </c>
      <c r="W16" s="50">
        <f>$B$5</f>
        <v>0.7</v>
      </c>
      <c r="X16" s="50">
        <f>$B$6</f>
        <v>0.9</v>
      </c>
      <c r="AL16" s="29" t="inlineStr">
        <is>
          <t xml:space="preserve">MAIO · 2026</t>
        </is>
      </c>
      <c r="AN16" s="29" t="str">
        <f>IFERROR(INDEX(Config!$B$10:$B$29,MATCH(4,$AP$13:$AP$32,0))&amp;"","")</f>
        <v>Nestlé</v>
      </c>
      <c r="AO16" s="28" t="str">
        <f>IF(AN16="","",IF(INDEX(Config!$C$10:$C$29,MATCH(4,$AP$13:$AP$32,0))&amp;""="","JSL",INDEX(Config!$C$10:$C$29,MATCH(4,$AP$13:$AP$32,0))&amp;""))</f>
        <v>JSL</v>
      </c>
      <c r="AP16" s="38">
        <f>IF(Config!$B$13&amp;""="",AP15,AP15+1)</f>
        <v>4</v>
      </c>
      <c r="AQ16" s="29" t="str">
        <f>$AM$310&amp;" — "&amp;IF($B$2="Todos","TODOS OS CLIENTES",UPPER($B$2))</f>
        <v>ACUMULADO SEMANAL PALETES — TODOS OS CLIENTES</v>
      </c>
      <c r="AX16" s="61">
        <f>IF(OR($B16="",N(VALUE($AH$310))=0),"",IF(INDEX($C16:$V16,VALUE($AH$310))="","",IF(N(VALUE($AJ$310))=0,INDEX($C16:$V16,VALUE($AH$310)),IF(N(INDEX($C16:$V16,N(VALUE($AJ$310))))&gt;0,INDEX($C16:$V16,VALUE($AH$310))/INDEX($C16:$V16,N(VALUE($AJ$310))),""))))</f>
        <v>0</v>
      </c>
      <c r="AY16" s="61">
        <f>IF(OR($B16="",N(VALUE($AI$310))=0),"",IF(INDEX($C16:$V16,VALUE($AI$310))="","",IF(N(VALUE($AK$310))=0,INDEX($C16:$V16,VALUE($AI$310)),IF(N(INDEX($C16:$V16,N(VALUE($AK$310))))&gt;0,INDEX($C16:$V16,VALUE($AI$310))/INDEX($C16:$V16,N(VALUE($AK$310))),""))))</f>
        <v>0</v>
      </c>
      <c r="AZ16" s="61">
        <f>IF(OR($B16="",N(VALUE($AP$310))=0),"",IF(INDEX($C16:$V16,VALUE($AP$310))="","",IF(N(VALUE($AR$310))=0,INDEX($C16:$V16,VALUE($AP$310)),IF(N(INDEX($C16:$V16,N(VALUE($AR$310))))&gt;0,INDEX($C16:$V16,VALUE($AP$310))/INDEX($C16:$V16,N(VALUE($AR$310))),""))))</f>
        <v>0</v>
      </c>
      <c r="BA16" s="61">
        <f>IF(OR($B16="",N(VALUE($AQ$310))=0),"",IF(INDEX($C16:$V16,VALUE($AQ$310))="","",IF(N(VALUE($AS$310))=0,INDEX($C16:$V16,VALUE($AQ$310)),IF(N(INDEX($C16:$V16,N(VALUE($AS$310))))&gt;0,INDEX($C16:$V16,VALUE($AQ$310))/INDEX($C16:$V16,N(VALUE($AS$310))),""))))</f>
        <v>0</v>
      </c>
      <c r="BC16" s="32" t="str">
        <f>IF(AND($A16=$B$9,ISNUMBER(L16)),L16,NA())</f>
        <v/>
      </c>
    </row>
    <row r="17">
      <c r="A17" s="28">
        <v>6</v>
      </c>
      <c r="B17" s="46">
        <f>IF($A17&lt;=DAY($D$7),$C$7+$A17-1,"")</f>
        <v>46301</v>
      </c>
      <c r="C17" s="32">
        <f>IF($B17="","",IF($B$2="Todos",SUMIFS(BD!$C$3:$C$5001,BD!$A$3:$A$5001,$B17),SUMIFS(BD!$C$3:$C$5001,BD!$A$3:$A$5001,$B17,BD!$B$3:$B$5001,$D$2)))</f>
        <v>0</v>
      </c>
      <c r="D17" s="32">
        <f>IF($B17="","",IF($B$2="Todos",SUMIFS(BD!$D$3:$D$5001,BD!$A$3:$A$5001,$B17),SUMIFS(BD!$D$3:$D$5001,BD!$A$3:$A$5001,$B17,BD!$B$3:$B$5001,$D$2)))</f>
        <v>0</v>
      </c>
      <c r="E17" s="47">
        <f>IF($B17="","",IF($B$2="Todos",SUMIFS(BD!$E$3:$E$5001,BD!$A$3:$A$5001,$B17),SUMIFS(BD!$E$3:$E$5001,BD!$A$3:$A$5001,$B17,BD!$B$3:$B$5001,$D$2)))</f>
        <v>0</v>
      </c>
      <c r="F17" s="32">
        <f>IF($B17="","",IF($B$2="Todos",SUMIFS(BD!$F$3:$F$5001,BD!$A$3:$A$5001,$B17),SUMIFS(BD!$F$3:$F$5001,BD!$A$3:$A$5001,$B17,BD!$B$3:$B$5001,$D$2)))</f>
        <v>0</v>
      </c>
      <c r="G17" s="32">
        <f>IF($B17="","",IF($B$2="Todos",SUMIFS(BD!$G$3:$G$5001,BD!$A$3:$A$5001,$B17),SUMIFS(BD!$G$3:$G$5001,BD!$A$3:$A$5001,$B17,BD!$B$3:$B$5001,$D$2)))</f>
        <v>0</v>
      </c>
      <c r="H17" s="47">
        <f>IF($B17="","",IF($B$2="Todos",SUMIFS(BD!$H$3:$H$5001,BD!$A$3:$A$5001,$B17),SUMIFS(BD!$H$3:$H$5001,BD!$A$3:$A$5001,$B17,BD!$B$3:$B$5001,$D$2)))</f>
        <v>0</v>
      </c>
      <c r="I17" s="32">
        <f>IF($B17="","",IF($B$2="Todos",SUMIFS(BD!$I$3:$I$5001,BD!$A$3:$A$5001,$B17),SUMIFS(BD!$I$3:$I$5001,BD!$A$3:$A$5001,$B17,BD!$B$3:$B$5001,$D$2)))</f>
        <v>0</v>
      </c>
      <c r="J17" s="32">
        <f>IF($B17="","",IF($B$2="Todos",SUMIFS(BD!$J$3:$J$5001,BD!$A$3:$A$5001,$B17),SUMIFS(BD!$J$3:$J$5001,BD!$A$3:$A$5001,$B17,BD!$B$3:$B$5001,$D$2)))</f>
        <v>0</v>
      </c>
      <c r="K17" s="32" t="str">
        <f>IF($B$2="Todos",IF(COUNT($C$120:$V$120)=0,"",SUM($C$120:$V$120)),IFERROR(INDEX($C$120:$V$120,MATCH($D$2,$C$114:$V$114,0)),""))</f>
        <v/>
      </c>
      <c r="L17" s="48" t="str">
        <f>IF(M17="","",IF($B$2="Todos",IF($B$4&gt;0,$B$4,IF($B$2="Todos",IF(COUNT($C$190:$V$190)=0,"",SUM($C$190:$V$190)),IFERROR(INDEX($C$190:$V$190,MATCH($D$2,$C$184:$V$184,0)),""))),IFERROR(INDEX($C$190:$V$190,MATCH($D$2,$C$184:$V$184,0)),"")))</f>
        <v/>
      </c>
      <c r="M17" s="32" t="str">
        <f>IF($B$2="Todos",IF(COUNT($C$155:$V$155)=0,"",SUM($C$155:$V$155)),IFERROR(INDEX($C$155:$V$155,MATCH($D$2,$C$149:$V$149,0)),""))</f>
        <v/>
      </c>
      <c r="N17" s="49" t="str">
        <f>IF(AND(ISNUMBER(M17),ISNUMBER(L17)),IF(L17&gt;0,M17/L17,""),"")</f>
        <v/>
      </c>
      <c r="O17" s="32" t="str">
        <f>IF($B$2="Todos",IF(COUNT($C$225:$V$225)=0,"",SUM($C$225:$V$225)),IFERROR(INDEX($C$225:$V$225,MATCH($D$2,$C$219:$V$219,0)),""))</f>
        <v/>
      </c>
      <c r="P17" s="32">
        <f>IF($B17="","",IF($B$2="Todos",SUMIFS(BD!$O$3:$O$5001,BD!$A$3:$A$5001,$B17),SUMIFS(BD!$O$3:$O$5001,BD!$A$3:$A$5001,$B17,BD!$B$3:$B$5001,$D$2)))</f>
        <v>0</v>
      </c>
      <c r="Q17" s="32">
        <f>IF($B17="","",IF($B$2="Todos",SUMIFS(BD!$P$3:$P$5001,BD!$A$3:$A$5001,$B17),SUMIFS(BD!$P$3:$P$5001,BD!$A$3:$A$5001,$B17,BD!$B$3:$B$5001,$D$2)))</f>
        <v>0</v>
      </c>
      <c r="R17" s="32">
        <f>IF($B17="","",IF($B$2="Todos",SUMIFS(BD!$Q$3:$Q$5001,BD!$A$3:$A$5001,$B17),SUMIFS(BD!$Q$3:$Q$5001,BD!$A$3:$A$5001,$B17,BD!$B$3:$B$5001,$D$2)))</f>
        <v>0</v>
      </c>
      <c r="S17" s="32">
        <f>IF($B17="","",IF($B$2="Todos",SUMIFS(BD!$R$3:$R$5001,BD!$A$3:$A$5001,$B17),SUMIFS(BD!$R$3:$R$5001,BD!$A$3:$A$5001,$B17,BD!$B$3:$B$5001,$D$2)))</f>
        <v>0</v>
      </c>
      <c r="T17" s="32">
        <f>IF($B17="","",IF($B$2="Todos",SUMIFS(BD!$S$3:$S$5001,BD!$A$3:$A$5001,$B17),SUMIFS(BD!$S$3:$S$5001,BD!$A$3:$A$5001,$B17,BD!$B$3:$B$5001,$D$2)))</f>
        <v>0</v>
      </c>
      <c r="U17" s="32">
        <f>IF($B17="","",IF($B$2="Todos",SUMIFS(BD!$T$3:$T$5001,BD!$A$3:$A$5001,$B17),SUMIFS(BD!$T$3:$T$5001,BD!$A$3:$A$5001,$B17,BD!$B$3:$B$5001,$D$2)))</f>
        <v>0</v>
      </c>
      <c r="V17" s="32">
        <f>IF($B17="","",IF($B$2="Todos",SUMIFS(BD!$U$3:$U$5001,BD!$A$3:$A$5001,$B17),SUMIFS(BD!$U$3:$U$5001,BD!$A$3:$A$5001,$B17,BD!$B$3:$B$5001,$D$2)))</f>
        <v>0</v>
      </c>
      <c r="W17" s="50">
        <f>$B$5</f>
        <v>0.7</v>
      </c>
      <c r="X17" s="50">
        <f>$B$6</f>
        <v>0.9</v>
      </c>
      <c r="AL17" s="29" t="inlineStr">
        <is>
          <t xml:space="preserve">JUNHO · 2026</t>
        </is>
      </c>
      <c r="AN17" s="29" t="str">
        <f>IFERROR(INDEX(Config!$B$10:$B$29,MATCH(5,$AP$13:$AP$32,0))&amp;"","")</f>
        <v>PMB</v>
      </c>
      <c r="AO17" s="28" t="str">
        <f>IF(AN17="","",IF(INDEX(Config!$C$10:$C$29,MATCH(5,$AP$13:$AP$32,0))&amp;""="","JSL",INDEX(Config!$C$10:$C$29,MATCH(5,$AP$13:$AP$32,0))&amp;""))</f>
        <v>JSL</v>
      </c>
      <c r="AP17" s="38">
        <f>IF(Config!$B$14&amp;""="",AP16,AP16+1)</f>
        <v>5</v>
      </c>
      <c r="AQ17" s="29" t="str">
        <f>$AU$310&amp;" — "&amp;IF($B$2="Todos","TODOS OS CLIENTES",UPPER($B$2))</f>
        <v>ACUMULADO SEMANAL TONS — TODOS OS CLIENTES</v>
      </c>
      <c r="AX17" s="61">
        <f>IF(OR($B17="",N(VALUE($AH$310))=0),"",IF(INDEX($C17:$V17,VALUE($AH$310))="","",IF(N(VALUE($AJ$310))=0,INDEX($C17:$V17,VALUE($AH$310)),IF(N(INDEX($C17:$V17,N(VALUE($AJ$310))))&gt;0,INDEX($C17:$V17,VALUE($AH$310))/INDEX($C17:$V17,N(VALUE($AJ$310))),""))))</f>
        <v>0</v>
      </c>
      <c r="AY17" s="61">
        <f>IF(OR($B17="",N(VALUE($AI$310))=0),"",IF(INDEX($C17:$V17,VALUE($AI$310))="","",IF(N(VALUE($AK$310))=0,INDEX($C17:$V17,VALUE($AI$310)),IF(N(INDEX($C17:$V17,N(VALUE($AK$310))))&gt;0,INDEX($C17:$V17,VALUE($AI$310))/INDEX($C17:$V17,N(VALUE($AK$310))),""))))</f>
        <v>0</v>
      </c>
      <c r="AZ17" s="61">
        <f>IF(OR($B17="",N(VALUE($AP$310))=0),"",IF(INDEX($C17:$V17,VALUE($AP$310))="","",IF(N(VALUE($AR$310))=0,INDEX($C17:$V17,VALUE($AP$310)),IF(N(INDEX($C17:$V17,N(VALUE($AR$310))))&gt;0,INDEX($C17:$V17,VALUE($AP$310))/INDEX($C17:$V17,N(VALUE($AR$310))),""))))</f>
        <v>0</v>
      </c>
      <c r="BA17" s="61">
        <f>IF(OR($B17="",N(VALUE($AQ$310))=0),"",IF(INDEX($C17:$V17,VALUE($AQ$310))="","",IF(N(VALUE($AS$310))=0,INDEX($C17:$V17,VALUE($AQ$310)),IF(N(INDEX($C17:$V17,N(VALUE($AS$310))))&gt;0,INDEX($C17:$V17,VALUE($AQ$310))/INDEX($C17:$V17,N(VALUE($AS$310))),""))))</f>
        <v>0</v>
      </c>
      <c r="BC17" s="32" t="str">
        <f>IF(AND($A17=$B$9,ISNUMBER(L17)),L17,NA())</f>
        <v/>
      </c>
    </row>
    <row r="18">
      <c r="A18" s="28">
        <v>7</v>
      </c>
      <c r="B18" s="46">
        <f>IF($A18&lt;=DAY($D$7),$C$7+$A18-1,"")</f>
        <v>46302</v>
      </c>
      <c r="C18" s="32">
        <f>IF($B18="","",IF($B$2="Todos",SUMIFS(BD!$C$3:$C$5001,BD!$A$3:$A$5001,$B18),SUMIFS(BD!$C$3:$C$5001,BD!$A$3:$A$5001,$B18,BD!$B$3:$B$5001,$D$2)))</f>
        <v>0</v>
      </c>
      <c r="D18" s="32">
        <f>IF($B18="","",IF($B$2="Todos",SUMIFS(BD!$D$3:$D$5001,BD!$A$3:$A$5001,$B18),SUMIFS(BD!$D$3:$D$5001,BD!$A$3:$A$5001,$B18,BD!$B$3:$B$5001,$D$2)))</f>
        <v>0</v>
      </c>
      <c r="E18" s="47">
        <f>IF($B18="","",IF($B$2="Todos",SUMIFS(BD!$E$3:$E$5001,BD!$A$3:$A$5001,$B18),SUMIFS(BD!$E$3:$E$5001,BD!$A$3:$A$5001,$B18,BD!$B$3:$B$5001,$D$2)))</f>
        <v>0</v>
      </c>
      <c r="F18" s="32">
        <f>IF($B18="","",IF($B$2="Todos",SUMIFS(BD!$F$3:$F$5001,BD!$A$3:$A$5001,$B18),SUMIFS(BD!$F$3:$F$5001,BD!$A$3:$A$5001,$B18,BD!$B$3:$B$5001,$D$2)))</f>
        <v>0</v>
      </c>
      <c r="G18" s="32">
        <f>IF($B18="","",IF($B$2="Todos",SUMIFS(BD!$G$3:$G$5001,BD!$A$3:$A$5001,$B18),SUMIFS(BD!$G$3:$G$5001,BD!$A$3:$A$5001,$B18,BD!$B$3:$B$5001,$D$2)))</f>
        <v>0</v>
      </c>
      <c r="H18" s="47">
        <f>IF($B18="","",IF($B$2="Todos",SUMIFS(BD!$H$3:$H$5001,BD!$A$3:$A$5001,$B18),SUMIFS(BD!$H$3:$H$5001,BD!$A$3:$A$5001,$B18,BD!$B$3:$B$5001,$D$2)))</f>
        <v>0</v>
      </c>
      <c r="I18" s="32">
        <f>IF($B18="","",IF($B$2="Todos",SUMIFS(BD!$I$3:$I$5001,BD!$A$3:$A$5001,$B18),SUMIFS(BD!$I$3:$I$5001,BD!$A$3:$A$5001,$B18,BD!$B$3:$B$5001,$D$2)))</f>
        <v>0</v>
      </c>
      <c r="J18" s="32">
        <f>IF($B18="","",IF($B$2="Todos",SUMIFS(BD!$J$3:$J$5001,BD!$A$3:$A$5001,$B18),SUMIFS(BD!$J$3:$J$5001,BD!$A$3:$A$5001,$B18,BD!$B$3:$B$5001,$D$2)))</f>
        <v>0</v>
      </c>
      <c r="K18" s="32" t="str">
        <f>IF($B$2="Todos",IF(COUNT($C$121:$V$121)=0,"",SUM($C$121:$V$121)),IFERROR(INDEX($C$121:$V$121,MATCH($D$2,$C$114:$V$114,0)),""))</f>
        <v/>
      </c>
      <c r="L18" s="48" t="str">
        <f>IF(M18="","",IF($B$2="Todos",IF($B$4&gt;0,$B$4,IF($B$2="Todos",IF(COUNT($C$191:$V$191)=0,"",SUM($C$191:$V$191)),IFERROR(INDEX($C$191:$V$191,MATCH($D$2,$C$184:$V$184,0)),""))),IFERROR(INDEX($C$191:$V$191,MATCH($D$2,$C$184:$V$184,0)),"")))</f>
        <v/>
      </c>
      <c r="M18" s="32" t="str">
        <f>IF($B$2="Todos",IF(COUNT($C$156:$V$156)=0,"",SUM($C$156:$V$156)),IFERROR(INDEX($C$156:$V$156,MATCH($D$2,$C$149:$V$149,0)),""))</f>
        <v/>
      </c>
      <c r="N18" s="49" t="str">
        <f>IF(AND(ISNUMBER(M18),ISNUMBER(L18)),IF(L18&gt;0,M18/L18,""),"")</f>
        <v/>
      </c>
      <c r="O18" s="32" t="str">
        <f>IF($B$2="Todos",IF(COUNT($C$226:$V$226)=0,"",SUM($C$226:$V$226)),IFERROR(INDEX($C$226:$V$226,MATCH($D$2,$C$219:$V$219,0)),""))</f>
        <v/>
      </c>
      <c r="P18" s="32">
        <f>IF($B18="","",IF($B$2="Todos",SUMIFS(BD!$O$3:$O$5001,BD!$A$3:$A$5001,$B18),SUMIFS(BD!$O$3:$O$5001,BD!$A$3:$A$5001,$B18,BD!$B$3:$B$5001,$D$2)))</f>
        <v>0</v>
      </c>
      <c r="Q18" s="32">
        <f>IF($B18="","",IF($B$2="Todos",SUMIFS(BD!$P$3:$P$5001,BD!$A$3:$A$5001,$B18),SUMIFS(BD!$P$3:$P$5001,BD!$A$3:$A$5001,$B18,BD!$B$3:$B$5001,$D$2)))</f>
        <v>0</v>
      </c>
      <c r="R18" s="32">
        <f>IF($B18="","",IF($B$2="Todos",SUMIFS(BD!$Q$3:$Q$5001,BD!$A$3:$A$5001,$B18),SUMIFS(BD!$Q$3:$Q$5001,BD!$A$3:$A$5001,$B18,BD!$B$3:$B$5001,$D$2)))</f>
        <v>0</v>
      </c>
      <c r="S18" s="32">
        <f>IF($B18="","",IF($B$2="Todos",SUMIFS(BD!$R$3:$R$5001,BD!$A$3:$A$5001,$B18),SUMIFS(BD!$R$3:$R$5001,BD!$A$3:$A$5001,$B18,BD!$B$3:$B$5001,$D$2)))</f>
        <v>0</v>
      </c>
      <c r="T18" s="32">
        <f>IF($B18="","",IF($B$2="Todos",SUMIFS(BD!$S$3:$S$5001,BD!$A$3:$A$5001,$B18),SUMIFS(BD!$S$3:$S$5001,BD!$A$3:$A$5001,$B18,BD!$B$3:$B$5001,$D$2)))</f>
        <v>0</v>
      </c>
      <c r="U18" s="32">
        <f>IF($B18="","",IF($B$2="Todos",SUMIFS(BD!$T$3:$T$5001,BD!$A$3:$A$5001,$B18),SUMIFS(BD!$T$3:$T$5001,BD!$A$3:$A$5001,$B18,BD!$B$3:$B$5001,$D$2)))</f>
        <v>0</v>
      </c>
      <c r="V18" s="32">
        <f>IF($B18="","",IF($B$2="Todos",SUMIFS(BD!$U$3:$U$5001,BD!$A$3:$A$5001,$B18),SUMIFS(BD!$U$3:$U$5001,BD!$A$3:$A$5001,$B18,BD!$B$3:$B$5001,$D$2)))</f>
        <v>0</v>
      </c>
      <c r="W18" s="50">
        <f>$B$5</f>
        <v>0.7</v>
      </c>
      <c r="X18" s="50">
        <f>$B$6</f>
        <v>0.9</v>
      </c>
      <c r="AL18" s="29" t="inlineStr">
        <is>
          <t xml:space="preserve">JULHO · 2026</t>
        </is>
      </c>
      <c r="AN18" s="29" t="str">
        <f>IFERROR(INDEX(Config!$B$10:$B$29,MATCH(6,$AP$13:$AP$32,0))&amp;"","")</f>
        <v/>
      </c>
      <c r="AO18" s="28" t="str">
        <f>IF(AN18="","",IF(INDEX(Config!$C$10:$C$29,MATCH(6,$AP$13:$AP$32,0))&amp;""="","JSL",INDEX(Config!$C$10:$C$29,MATCH(6,$AP$13:$AP$32,0))&amp;""))</f>
        <v/>
      </c>
      <c r="AP18" s="38">
        <f>IF(Config!$B$15&amp;""="",AP17,AP17+1)</f>
        <v>5</v>
      </c>
      <c r="AX18" s="61">
        <f>IF(OR($B18="",N(VALUE($AH$310))=0),"",IF(INDEX($C18:$V18,VALUE($AH$310))="","",IF(N(VALUE($AJ$310))=0,INDEX($C18:$V18,VALUE($AH$310)),IF(N(INDEX($C18:$V18,N(VALUE($AJ$310))))&gt;0,INDEX($C18:$V18,VALUE($AH$310))/INDEX($C18:$V18,N(VALUE($AJ$310))),""))))</f>
        <v>0</v>
      </c>
      <c r="AY18" s="61">
        <f>IF(OR($B18="",N(VALUE($AI$310))=0),"",IF(INDEX($C18:$V18,VALUE($AI$310))="","",IF(N(VALUE($AK$310))=0,INDEX($C18:$V18,VALUE($AI$310)),IF(N(INDEX($C18:$V18,N(VALUE($AK$310))))&gt;0,INDEX($C18:$V18,VALUE($AI$310))/INDEX($C18:$V18,N(VALUE($AK$310))),""))))</f>
        <v>0</v>
      </c>
      <c r="AZ18" s="61">
        <f>IF(OR($B18="",N(VALUE($AP$310))=0),"",IF(INDEX($C18:$V18,VALUE($AP$310))="","",IF(N(VALUE($AR$310))=0,INDEX($C18:$V18,VALUE($AP$310)),IF(N(INDEX($C18:$V18,N(VALUE($AR$310))))&gt;0,INDEX($C18:$V18,VALUE($AP$310))/INDEX($C18:$V18,N(VALUE($AR$310))),""))))</f>
        <v>0</v>
      </c>
      <c r="BA18" s="61">
        <f>IF(OR($B18="",N(VALUE($AQ$310))=0),"",IF(INDEX($C18:$V18,VALUE($AQ$310))="","",IF(N(VALUE($AS$310))=0,INDEX($C18:$V18,VALUE($AQ$310)),IF(N(INDEX($C18:$V18,N(VALUE($AS$310))))&gt;0,INDEX($C18:$V18,VALUE($AQ$310))/INDEX($C18:$V18,N(VALUE($AS$310))),""))))</f>
        <v>0</v>
      </c>
      <c r="BC18" s="32" t="str">
        <f>IF(AND($A18=$B$9,ISNUMBER(L18)),L18,NA())</f>
        <v/>
      </c>
    </row>
    <row r="19">
      <c r="A19" s="28">
        <v>8</v>
      </c>
      <c r="B19" s="46">
        <f>IF($A19&lt;=DAY($D$7),$C$7+$A19-1,"")</f>
        <v>46303</v>
      </c>
      <c r="C19" s="32">
        <f>IF($B19="","",IF($B$2="Todos",SUMIFS(BD!$C$3:$C$5001,BD!$A$3:$A$5001,$B19),SUMIFS(BD!$C$3:$C$5001,BD!$A$3:$A$5001,$B19,BD!$B$3:$B$5001,$D$2)))</f>
        <v>0</v>
      </c>
      <c r="D19" s="32">
        <f>IF($B19="","",IF($B$2="Todos",SUMIFS(BD!$D$3:$D$5001,BD!$A$3:$A$5001,$B19),SUMIFS(BD!$D$3:$D$5001,BD!$A$3:$A$5001,$B19,BD!$B$3:$B$5001,$D$2)))</f>
        <v>0</v>
      </c>
      <c r="E19" s="47">
        <f>IF($B19="","",IF($B$2="Todos",SUMIFS(BD!$E$3:$E$5001,BD!$A$3:$A$5001,$B19),SUMIFS(BD!$E$3:$E$5001,BD!$A$3:$A$5001,$B19,BD!$B$3:$B$5001,$D$2)))</f>
        <v>0</v>
      </c>
      <c r="F19" s="32">
        <f>IF($B19="","",IF($B$2="Todos",SUMIFS(BD!$F$3:$F$5001,BD!$A$3:$A$5001,$B19),SUMIFS(BD!$F$3:$F$5001,BD!$A$3:$A$5001,$B19,BD!$B$3:$B$5001,$D$2)))</f>
        <v>0</v>
      </c>
      <c r="G19" s="32">
        <f>IF($B19="","",IF($B$2="Todos",SUMIFS(BD!$G$3:$G$5001,BD!$A$3:$A$5001,$B19),SUMIFS(BD!$G$3:$G$5001,BD!$A$3:$A$5001,$B19,BD!$B$3:$B$5001,$D$2)))</f>
        <v>0</v>
      </c>
      <c r="H19" s="47">
        <f>IF($B19="","",IF($B$2="Todos",SUMIFS(BD!$H$3:$H$5001,BD!$A$3:$A$5001,$B19),SUMIFS(BD!$H$3:$H$5001,BD!$A$3:$A$5001,$B19,BD!$B$3:$B$5001,$D$2)))</f>
        <v>0</v>
      </c>
      <c r="I19" s="32">
        <f>IF($B19="","",IF($B$2="Todos",SUMIFS(BD!$I$3:$I$5001,BD!$A$3:$A$5001,$B19),SUMIFS(BD!$I$3:$I$5001,BD!$A$3:$A$5001,$B19,BD!$B$3:$B$5001,$D$2)))</f>
        <v>0</v>
      </c>
      <c r="J19" s="32">
        <f>IF($B19="","",IF($B$2="Todos",SUMIFS(BD!$J$3:$J$5001,BD!$A$3:$A$5001,$B19),SUMIFS(BD!$J$3:$J$5001,BD!$A$3:$A$5001,$B19,BD!$B$3:$B$5001,$D$2)))</f>
        <v>0</v>
      </c>
      <c r="K19" s="32" t="str">
        <f>IF($B$2="Todos",IF(COUNT($C$122:$V$122)=0,"",SUM($C$122:$V$122)),IFERROR(INDEX($C$122:$V$122,MATCH($D$2,$C$114:$V$114,0)),""))</f>
        <v/>
      </c>
      <c r="L19" s="48" t="str">
        <f>IF(M19="","",IF($B$2="Todos",IF($B$4&gt;0,$B$4,IF($B$2="Todos",IF(COUNT($C$192:$V$192)=0,"",SUM($C$192:$V$192)),IFERROR(INDEX($C$192:$V$192,MATCH($D$2,$C$184:$V$184,0)),""))),IFERROR(INDEX($C$192:$V$192,MATCH($D$2,$C$184:$V$184,0)),"")))</f>
        <v/>
      </c>
      <c r="M19" s="32" t="str">
        <f>IF($B$2="Todos",IF(COUNT($C$157:$V$157)=0,"",SUM($C$157:$V$157)),IFERROR(INDEX($C$157:$V$157,MATCH($D$2,$C$149:$V$149,0)),""))</f>
        <v/>
      </c>
      <c r="N19" s="49" t="str">
        <f>IF(AND(ISNUMBER(M19),ISNUMBER(L19)),IF(L19&gt;0,M19/L19,""),"")</f>
        <v/>
      </c>
      <c r="O19" s="32" t="str">
        <f>IF($B$2="Todos",IF(COUNT($C$227:$V$227)=0,"",SUM($C$227:$V$227)),IFERROR(INDEX($C$227:$V$227,MATCH($D$2,$C$219:$V$219,0)),""))</f>
        <v/>
      </c>
      <c r="P19" s="32">
        <f>IF($B19="","",IF($B$2="Todos",SUMIFS(BD!$O$3:$O$5001,BD!$A$3:$A$5001,$B19),SUMIFS(BD!$O$3:$O$5001,BD!$A$3:$A$5001,$B19,BD!$B$3:$B$5001,$D$2)))</f>
        <v>0</v>
      </c>
      <c r="Q19" s="32">
        <f>IF($B19="","",IF($B$2="Todos",SUMIFS(BD!$P$3:$P$5001,BD!$A$3:$A$5001,$B19),SUMIFS(BD!$P$3:$P$5001,BD!$A$3:$A$5001,$B19,BD!$B$3:$B$5001,$D$2)))</f>
        <v>0</v>
      </c>
      <c r="R19" s="32">
        <f>IF($B19="","",IF($B$2="Todos",SUMIFS(BD!$Q$3:$Q$5001,BD!$A$3:$A$5001,$B19),SUMIFS(BD!$Q$3:$Q$5001,BD!$A$3:$A$5001,$B19,BD!$B$3:$B$5001,$D$2)))</f>
        <v>0</v>
      </c>
      <c r="S19" s="32">
        <f>IF($B19="","",IF($B$2="Todos",SUMIFS(BD!$R$3:$R$5001,BD!$A$3:$A$5001,$B19),SUMIFS(BD!$R$3:$R$5001,BD!$A$3:$A$5001,$B19,BD!$B$3:$B$5001,$D$2)))</f>
        <v>0</v>
      </c>
      <c r="T19" s="32">
        <f>IF($B19="","",IF($B$2="Todos",SUMIFS(BD!$S$3:$S$5001,BD!$A$3:$A$5001,$B19),SUMIFS(BD!$S$3:$S$5001,BD!$A$3:$A$5001,$B19,BD!$B$3:$B$5001,$D$2)))</f>
        <v>0</v>
      </c>
      <c r="U19" s="32">
        <f>IF($B19="","",IF($B$2="Todos",SUMIFS(BD!$T$3:$T$5001,BD!$A$3:$A$5001,$B19),SUMIFS(BD!$T$3:$T$5001,BD!$A$3:$A$5001,$B19,BD!$B$3:$B$5001,$D$2)))</f>
        <v>0</v>
      </c>
      <c r="V19" s="32">
        <f>IF($B19="","",IF($B$2="Todos",SUMIFS(BD!$U$3:$U$5001,BD!$A$3:$A$5001,$B19),SUMIFS(BD!$U$3:$U$5001,BD!$A$3:$A$5001,$B19,BD!$B$3:$B$5001,$D$2)))</f>
        <v>0</v>
      </c>
      <c r="W19" s="50">
        <f>$B$5</f>
        <v>0.7</v>
      </c>
      <c r="X19" s="50">
        <f>$B$6</f>
        <v>0.9</v>
      </c>
      <c r="AL19" s="29" t="inlineStr">
        <is>
          <t xml:space="preserve">AGOSTO · 2026</t>
        </is>
      </c>
      <c r="AN19" s="29" t="str">
        <f>IFERROR(INDEX(Config!$B$10:$B$29,MATCH(7,$AP$13:$AP$32,0))&amp;"","")</f>
        <v/>
      </c>
      <c r="AO19" s="28" t="str">
        <f>IF(AN19="","",IF(INDEX(Config!$C$10:$C$29,MATCH(7,$AP$13:$AP$32,0))&amp;""="","JSL",INDEX(Config!$C$10:$C$29,MATCH(7,$AP$13:$AP$32,0))&amp;""))</f>
        <v/>
      </c>
      <c r="AP19" s="38">
        <f>IF(Config!$B$16&amp;""="",AP18,AP18+1)</f>
        <v>5</v>
      </c>
      <c r="AX19" s="61">
        <f>IF(OR($B19="",N(VALUE($AH$310))=0),"",IF(INDEX($C19:$V19,VALUE($AH$310))="","",IF(N(VALUE($AJ$310))=0,INDEX($C19:$V19,VALUE($AH$310)),IF(N(INDEX($C19:$V19,N(VALUE($AJ$310))))&gt;0,INDEX($C19:$V19,VALUE($AH$310))/INDEX($C19:$V19,N(VALUE($AJ$310))),""))))</f>
        <v>0</v>
      </c>
      <c r="AY19" s="61">
        <f>IF(OR($B19="",N(VALUE($AI$310))=0),"",IF(INDEX($C19:$V19,VALUE($AI$310))="","",IF(N(VALUE($AK$310))=0,INDEX($C19:$V19,VALUE($AI$310)),IF(N(INDEX($C19:$V19,N(VALUE($AK$310))))&gt;0,INDEX($C19:$V19,VALUE($AI$310))/INDEX($C19:$V19,N(VALUE($AK$310))),""))))</f>
        <v>0</v>
      </c>
      <c r="AZ19" s="61">
        <f>IF(OR($B19="",N(VALUE($AP$310))=0),"",IF(INDEX($C19:$V19,VALUE($AP$310))="","",IF(N(VALUE($AR$310))=0,INDEX($C19:$V19,VALUE($AP$310)),IF(N(INDEX($C19:$V19,N(VALUE($AR$310))))&gt;0,INDEX($C19:$V19,VALUE($AP$310))/INDEX($C19:$V19,N(VALUE($AR$310))),""))))</f>
        <v>0</v>
      </c>
      <c r="BA19" s="61">
        <f>IF(OR($B19="",N(VALUE($AQ$310))=0),"",IF(INDEX($C19:$V19,VALUE($AQ$310))="","",IF(N(VALUE($AS$310))=0,INDEX($C19:$V19,VALUE($AQ$310)),IF(N(INDEX($C19:$V19,N(VALUE($AS$310))))&gt;0,INDEX($C19:$V19,VALUE($AQ$310))/INDEX($C19:$V19,N(VALUE($AS$310))),""))))</f>
        <v>0</v>
      </c>
      <c r="BC19" s="32" t="str">
        <f>IF(AND($A19=$B$9,ISNUMBER(L19)),L19,NA())</f>
        <v/>
      </c>
    </row>
    <row r="20">
      <c r="A20" s="28">
        <v>9</v>
      </c>
      <c r="B20" s="46">
        <f>IF($A20&lt;=DAY($D$7),$C$7+$A20-1,"")</f>
        <v>46304</v>
      </c>
      <c r="C20" s="32">
        <f>IF($B20="","",IF($B$2="Todos",SUMIFS(BD!$C$3:$C$5001,BD!$A$3:$A$5001,$B20),SUMIFS(BD!$C$3:$C$5001,BD!$A$3:$A$5001,$B20,BD!$B$3:$B$5001,$D$2)))</f>
        <v>0</v>
      </c>
      <c r="D20" s="32">
        <f>IF($B20="","",IF($B$2="Todos",SUMIFS(BD!$D$3:$D$5001,BD!$A$3:$A$5001,$B20),SUMIFS(BD!$D$3:$D$5001,BD!$A$3:$A$5001,$B20,BD!$B$3:$B$5001,$D$2)))</f>
        <v>0</v>
      </c>
      <c r="E20" s="47">
        <f>IF($B20="","",IF($B$2="Todos",SUMIFS(BD!$E$3:$E$5001,BD!$A$3:$A$5001,$B20),SUMIFS(BD!$E$3:$E$5001,BD!$A$3:$A$5001,$B20,BD!$B$3:$B$5001,$D$2)))</f>
        <v>0</v>
      </c>
      <c r="F20" s="32">
        <f>IF($B20="","",IF($B$2="Todos",SUMIFS(BD!$F$3:$F$5001,BD!$A$3:$A$5001,$B20),SUMIFS(BD!$F$3:$F$5001,BD!$A$3:$A$5001,$B20,BD!$B$3:$B$5001,$D$2)))</f>
        <v>0</v>
      </c>
      <c r="G20" s="32">
        <f>IF($B20="","",IF($B$2="Todos",SUMIFS(BD!$G$3:$G$5001,BD!$A$3:$A$5001,$B20),SUMIFS(BD!$G$3:$G$5001,BD!$A$3:$A$5001,$B20,BD!$B$3:$B$5001,$D$2)))</f>
        <v>0</v>
      </c>
      <c r="H20" s="47">
        <f>IF($B20="","",IF($B$2="Todos",SUMIFS(BD!$H$3:$H$5001,BD!$A$3:$A$5001,$B20),SUMIFS(BD!$H$3:$H$5001,BD!$A$3:$A$5001,$B20,BD!$B$3:$B$5001,$D$2)))</f>
        <v>0</v>
      </c>
      <c r="I20" s="32">
        <f>IF($B20="","",IF($B$2="Todos",SUMIFS(BD!$I$3:$I$5001,BD!$A$3:$A$5001,$B20),SUMIFS(BD!$I$3:$I$5001,BD!$A$3:$A$5001,$B20,BD!$B$3:$B$5001,$D$2)))</f>
        <v>0</v>
      </c>
      <c r="J20" s="32">
        <f>IF($B20="","",IF($B$2="Todos",SUMIFS(BD!$J$3:$J$5001,BD!$A$3:$A$5001,$B20),SUMIFS(BD!$J$3:$J$5001,BD!$A$3:$A$5001,$B20,BD!$B$3:$B$5001,$D$2)))</f>
        <v>0</v>
      </c>
      <c r="K20" s="32" t="str">
        <f>IF($B$2="Todos",IF(COUNT($C$123:$V$123)=0,"",SUM($C$123:$V$123)),IFERROR(INDEX($C$123:$V$123,MATCH($D$2,$C$114:$V$114,0)),""))</f>
        <v/>
      </c>
      <c r="L20" s="48" t="str">
        <f>IF(M20="","",IF($B$2="Todos",IF($B$4&gt;0,$B$4,IF($B$2="Todos",IF(COUNT($C$193:$V$193)=0,"",SUM($C$193:$V$193)),IFERROR(INDEX($C$193:$V$193,MATCH($D$2,$C$184:$V$184,0)),""))),IFERROR(INDEX($C$193:$V$193,MATCH($D$2,$C$184:$V$184,0)),"")))</f>
        <v/>
      </c>
      <c r="M20" s="32" t="str">
        <f>IF($B$2="Todos",IF(COUNT($C$158:$V$158)=0,"",SUM($C$158:$V$158)),IFERROR(INDEX($C$158:$V$158,MATCH($D$2,$C$149:$V$149,0)),""))</f>
        <v/>
      </c>
      <c r="N20" s="49" t="str">
        <f>IF(AND(ISNUMBER(M20),ISNUMBER(L20)),IF(L20&gt;0,M20/L20,""),"")</f>
        <v/>
      </c>
      <c r="O20" s="32" t="str">
        <f>IF($B$2="Todos",IF(COUNT($C$228:$V$228)=0,"",SUM($C$228:$V$228)),IFERROR(INDEX($C$228:$V$228,MATCH($D$2,$C$219:$V$219,0)),""))</f>
        <v/>
      </c>
      <c r="P20" s="32">
        <f>IF($B20="","",IF($B$2="Todos",SUMIFS(BD!$O$3:$O$5001,BD!$A$3:$A$5001,$B20),SUMIFS(BD!$O$3:$O$5001,BD!$A$3:$A$5001,$B20,BD!$B$3:$B$5001,$D$2)))</f>
        <v>0</v>
      </c>
      <c r="Q20" s="32">
        <f>IF($B20="","",IF($B$2="Todos",SUMIFS(BD!$P$3:$P$5001,BD!$A$3:$A$5001,$B20),SUMIFS(BD!$P$3:$P$5001,BD!$A$3:$A$5001,$B20,BD!$B$3:$B$5001,$D$2)))</f>
        <v>0</v>
      </c>
      <c r="R20" s="32">
        <f>IF($B20="","",IF($B$2="Todos",SUMIFS(BD!$Q$3:$Q$5001,BD!$A$3:$A$5001,$B20),SUMIFS(BD!$Q$3:$Q$5001,BD!$A$3:$A$5001,$B20,BD!$B$3:$B$5001,$D$2)))</f>
        <v>0</v>
      </c>
      <c r="S20" s="32">
        <f>IF($B20="","",IF($B$2="Todos",SUMIFS(BD!$R$3:$R$5001,BD!$A$3:$A$5001,$B20),SUMIFS(BD!$R$3:$R$5001,BD!$A$3:$A$5001,$B20,BD!$B$3:$B$5001,$D$2)))</f>
        <v>0</v>
      </c>
      <c r="T20" s="32">
        <f>IF($B20="","",IF($B$2="Todos",SUMIFS(BD!$S$3:$S$5001,BD!$A$3:$A$5001,$B20),SUMIFS(BD!$S$3:$S$5001,BD!$A$3:$A$5001,$B20,BD!$B$3:$B$5001,$D$2)))</f>
        <v>0</v>
      </c>
      <c r="U20" s="32">
        <f>IF($B20="","",IF($B$2="Todos",SUMIFS(BD!$T$3:$T$5001,BD!$A$3:$A$5001,$B20),SUMIFS(BD!$T$3:$T$5001,BD!$A$3:$A$5001,$B20,BD!$B$3:$B$5001,$D$2)))</f>
        <v>0</v>
      </c>
      <c r="V20" s="32">
        <f>IF($B20="","",IF($B$2="Todos",SUMIFS(BD!$U$3:$U$5001,BD!$A$3:$A$5001,$B20),SUMIFS(BD!$U$3:$U$5001,BD!$A$3:$A$5001,$B20,BD!$B$3:$B$5001,$D$2)))</f>
        <v>0</v>
      </c>
      <c r="W20" s="50">
        <f>$B$5</f>
        <v>0.7</v>
      </c>
      <c r="X20" s="50">
        <f>$B$6</f>
        <v>0.9</v>
      </c>
      <c r="AL20" s="29" t="inlineStr">
        <is>
          <t xml:space="preserve">SETEMBRO · 2026</t>
        </is>
      </c>
      <c r="AN20" s="29" t="str">
        <f>IFERROR(INDEX(Config!$B$10:$B$29,MATCH(8,$AP$13:$AP$32,0))&amp;"","")</f>
        <v/>
      </c>
      <c r="AO20" s="28" t="str">
        <f>IF(AN20="","",IF(INDEX(Config!$C$10:$C$29,MATCH(8,$AP$13:$AP$32,0))&amp;""="","JSL",INDEX(Config!$C$10:$C$29,MATCH(8,$AP$13:$AP$32,0))&amp;""))</f>
        <v/>
      </c>
      <c r="AP20" s="38">
        <f>IF(Config!$B$17&amp;""="",AP19,AP19+1)</f>
        <v>5</v>
      </c>
      <c r="AX20" s="61">
        <f>IF(OR($B20="",N(VALUE($AH$310))=0),"",IF(INDEX($C20:$V20,VALUE($AH$310))="","",IF(N(VALUE($AJ$310))=0,INDEX($C20:$V20,VALUE($AH$310)),IF(N(INDEX($C20:$V20,N(VALUE($AJ$310))))&gt;0,INDEX($C20:$V20,VALUE($AH$310))/INDEX($C20:$V20,N(VALUE($AJ$310))),""))))</f>
        <v>0</v>
      </c>
      <c r="AY20" s="61">
        <f>IF(OR($B20="",N(VALUE($AI$310))=0),"",IF(INDEX($C20:$V20,VALUE($AI$310))="","",IF(N(VALUE($AK$310))=0,INDEX($C20:$V20,VALUE($AI$310)),IF(N(INDEX($C20:$V20,N(VALUE($AK$310))))&gt;0,INDEX($C20:$V20,VALUE($AI$310))/INDEX($C20:$V20,N(VALUE($AK$310))),""))))</f>
        <v>0</v>
      </c>
      <c r="AZ20" s="61">
        <f>IF(OR($B20="",N(VALUE($AP$310))=0),"",IF(INDEX($C20:$V20,VALUE($AP$310))="","",IF(N(VALUE($AR$310))=0,INDEX($C20:$V20,VALUE($AP$310)),IF(N(INDEX($C20:$V20,N(VALUE($AR$310))))&gt;0,INDEX($C20:$V20,VALUE($AP$310))/INDEX($C20:$V20,N(VALUE($AR$310))),""))))</f>
        <v>0</v>
      </c>
      <c r="BA20" s="61">
        <f>IF(OR($B20="",N(VALUE($AQ$310))=0),"",IF(INDEX($C20:$V20,VALUE($AQ$310))="","",IF(N(VALUE($AS$310))=0,INDEX($C20:$V20,VALUE($AQ$310)),IF(N(INDEX($C20:$V20,N(VALUE($AS$310))))&gt;0,INDEX($C20:$V20,VALUE($AQ$310))/INDEX($C20:$V20,N(VALUE($AS$310))),""))))</f>
        <v>0</v>
      </c>
      <c r="BC20" s="32" t="str">
        <f>IF(AND($A20=$B$9,ISNUMBER(L20)),L20,NA())</f>
        <v/>
      </c>
    </row>
    <row r="21">
      <c r="A21" s="28">
        <v>10</v>
      </c>
      <c r="B21" s="46">
        <f>IF($A21&lt;=DAY($D$7),$C$7+$A21-1,"")</f>
        <v>46305</v>
      </c>
      <c r="C21" s="32">
        <f>IF($B21="","",IF($B$2="Todos",SUMIFS(BD!$C$3:$C$5001,BD!$A$3:$A$5001,$B21),SUMIFS(BD!$C$3:$C$5001,BD!$A$3:$A$5001,$B21,BD!$B$3:$B$5001,$D$2)))</f>
        <v>0</v>
      </c>
      <c r="D21" s="32">
        <f>IF($B21="","",IF($B$2="Todos",SUMIFS(BD!$D$3:$D$5001,BD!$A$3:$A$5001,$B21),SUMIFS(BD!$D$3:$D$5001,BD!$A$3:$A$5001,$B21,BD!$B$3:$B$5001,$D$2)))</f>
        <v>0</v>
      </c>
      <c r="E21" s="47">
        <f>IF($B21="","",IF($B$2="Todos",SUMIFS(BD!$E$3:$E$5001,BD!$A$3:$A$5001,$B21),SUMIFS(BD!$E$3:$E$5001,BD!$A$3:$A$5001,$B21,BD!$B$3:$B$5001,$D$2)))</f>
        <v>0</v>
      </c>
      <c r="F21" s="32">
        <f>IF($B21="","",IF($B$2="Todos",SUMIFS(BD!$F$3:$F$5001,BD!$A$3:$A$5001,$B21),SUMIFS(BD!$F$3:$F$5001,BD!$A$3:$A$5001,$B21,BD!$B$3:$B$5001,$D$2)))</f>
        <v>0</v>
      </c>
      <c r="G21" s="32">
        <f>IF($B21="","",IF($B$2="Todos",SUMIFS(BD!$G$3:$G$5001,BD!$A$3:$A$5001,$B21),SUMIFS(BD!$G$3:$G$5001,BD!$A$3:$A$5001,$B21,BD!$B$3:$B$5001,$D$2)))</f>
        <v>0</v>
      </c>
      <c r="H21" s="47">
        <f>IF($B21="","",IF($B$2="Todos",SUMIFS(BD!$H$3:$H$5001,BD!$A$3:$A$5001,$B21),SUMIFS(BD!$H$3:$H$5001,BD!$A$3:$A$5001,$B21,BD!$B$3:$B$5001,$D$2)))</f>
        <v>0</v>
      </c>
      <c r="I21" s="32">
        <f>IF($B21="","",IF($B$2="Todos",SUMIFS(BD!$I$3:$I$5001,BD!$A$3:$A$5001,$B21),SUMIFS(BD!$I$3:$I$5001,BD!$A$3:$A$5001,$B21,BD!$B$3:$B$5001,$D$2)))</f>
        <v>0</v>
      </c>
      <c r="J21" s="32">
        <f>IF($B21="","",IF($B$2="Todos",SUMIFS(BD!$J$3:$J$5001,BD!$A$3:$A$5001,$B21),SUMIFS(BD!$J$3:$J$5001,BD!$A$3:$A$5001,$B21,BD!$B$3:$B$5001,$D$2)))</f>
        <v>0</v>
      </c>
      <c r="K21" s="32" t="str">
        <f>IF($B$2="Todos",IF(COUNT($C$124:$V$124)=0,"",SUM($C$124:$V$124)),IFERROR(INDEX($C$124:$V$124,MATCH($D$2,$C$114:$V$114,0)),""))</f>
        <v/>
      </c>
      <c r="L21" s="48" t="str">
        <f>IF(M21="","",IF($B$2="Todos",IF($B$4&gt;0,$B$4,IF($B$2="Todos",IF(COUNT($C$194:$V$194)=0,"",SUM($C$194:$V$194)),IFERROR(INDEX($C$194:$V$194,MATCH($D$2,$C$184:$V$184,0)),""))),IFERROR(INDEX($C$194:$V$194,MATCH($D$2,$C$184:$V$184,0)),"")))</f>
        <v/>
      </c>
      <c r="M21" s="32" t="str">
        <f>IF($B$2="Todos",IF(COUNT($C$159:$V$159)=0,"",SUM($C$159:$V$159)),IFERROR(INDEX($C$159:$V$159,MATCH($D$2,$C$149:$V$149,0)),""))</f>
        <v/>
      </c>
      <c r="N21" s="49" t="str">
        <f>IF(AND(ISNUMBER(M21),ISNUMBER(L21)),IF(L21&gt;0,M21/L21,""),"")</f>
        <v/>
      </c>
      <c r="O21" s="32" t="str">
        <f>IF($B$2="Todos",IF(COUNT($C$229:$V$229)=0,"",SUM($C$229:$V$229)),IFERROR(INDEX($C$229:$V$229,MATCH($D$2,$C$219:$V$219,0)),""))</f>
        <v/>
      </c>
      <c r="P21" s="32">
        <f>IF($B21="","",IF($B$2="Todos",SUMIFS(BD!$O$3:$O$5001,BD!$A$3:$A$5001,$B21),SUMIFS(BD!$O$3:$O$5001,BD!$A$3:$A$5001,$B21,BD!$B$3:$B$5001,$D$2)))</f>
        <v>0</v>
      </c>
      <c r="Q21" s="32">
        <f>IF($B21="","",IF($B$2="Todos",SUMIFS(BD!$P$3:$P$5001,BD!$A$3:$A$5001,$B21),SUMIFS(BD!$P$3:$P$5001,BD!$A$3:$A$5001,$B21,BD!$B$3:$B$5001,$D$2)))</f>
        <v>0</v>
      </c>
      <c r="R21" s="32">
        <f>IF($B21="","",IF($B$2="Todos",SUMIFS(BD!$Q$3:$Q$5001,BD!$A$3:$A$5001,$B21),SUMIFS(BD!$Q$3:$Q$5001,BD!$A$3:$A$5001,$B21,BD!$B$3:$B$5001,$D$2)))</f>
        <v>0</v>
      </c>
      <c r="S21" s="32">
        <f>IF($B21="","",IF($B$2="Todos",SUMIFS(BD!$R$3:$R$5001,BD!$A$3:$A$5001,$B21),SUMIFS(BD!$R$3:$R$5001,BD!$A$3:$A$5001,$B21,BD!$B$3:$B$5001,$D$2)))</f>
        <v>0</v>
      </c>
      <c r="T21" s="32">
        <f>IF($B21="","",IF($B$2="Todos",SUMIFS(BD!$S$3:$S$5001,BD!$A$3:$A$5001,$B21),SUMIFS(BD!$S$3:$S$5001,BD!$A$3:$A$5001,$B21,BD!$B$3:$B$5001,$D$2)))</f>
        <v>0</v>
      </c>
      <c r="U21" s="32">
        <f>IF($B21="","",IF($B$2="Todos",SUMIFS(BD!$T$3:$T$5001,BD!$A$3:$A$5001,$B21),SUMIFS(BD!$T$3:$T$5001,BD!$A$3:$A$5001,$B21,BD!$B$3:$B$5001,$D$2)))</f>
        <v>0</v>
      </c>
      <c r="V21" s="32">
        <f>IF($B21="","",IF($B$2="Todos",SUMIFS(BD!$U$3:$U$5001,BD!$A$3:$A$5001,$B21),SUMIFS(BD!$U$3:$U$5001,BD!$A$3:$A$5001,$B21,BD!$B$3:$B$5001,$D$2)))</f>
        <v>0</v>
      </c>
      <c r="W21" s="50">
        <f>$B$5</f>
        <v>0.7</v>
      </c>
      <c r="X21" s="50">
        <f>$B$6</f>
        <v>0.9</v>
      </c>
      <c r="AL21" s="29" t="inlineStr">
        <is>
          <t xml:space="preserve">OUTUBRO · 2026</t>
        </is>
      </c>
      <c r="AN21" s="29" t="str">
        <f>IFERROR(INDEX(Config!$B$10:$B$29,MATCH(9,$AP$13:$AP$32,0))&amp;"","")</f>
        <v/>
      </c>
      <c r="AO21" s="28" t="str">
        <f>IF(AN21="","",IF(INDEX(Config!$C$10:$C$29,MATCH(9,$AP$13:$AP$32,0))&amp;""="","JSL",INDEX(Config!$C$10:$C$29,MATCH(9,$AP$13:$AP$32,0))&amp;""))</f>
        <v/>
      </c>
      <c r="AP21" s="38">
        <f>IF(Config!$B$18&amp;""="",AP20,AP20+1)</f>
        <v>5</v>
      </c>
      <c r="AX21" s="61">
        <f>IF(OR($B21="",N(VALUE($AH$310))=0),"",IF(INDEX($C21:$V21,VALUE($AH$310))="","",IF(N(VALUE($AJ$310))=0,INDEX($C21:$V21,VALUE($AH$310)),IF(N(INDEX($C21:$V21,N(VALUE($AJ$310))))&gt;0,INDEX($C21:$V21,VALUE($AH$310))/INDEX($C21:$V21,N(VALUE($AJ$310))),""))))</f>
        <v>0</v>
      </c>
      <c r="AY21" s="61">
        <f>IF(OR($B21="",N(VALUE($AI$310))=0),"",IF(INDEX($C21:$V21,VALUE($AI$310))="","",IF(N(VALUE($AK$310))=0,INDEX($C21:$V21,VALUE($AI$310)),IF(N(INDEX($C21:$V21,N(VALUE($AK$310))))&gt;0,INDEX($C21:$V21,VALUE($AI$310))/INDEX($C21:$V21,N(VALUE($AK$310))),""))))</f>
        <v>0</v>
      </c>
      <c r="AZ21" s="61">
        <f>IF(OR($B21="",N(VALUE($AP$310))=0),"",IF(INDEX($C21:$V21,VALUE($AP$310))="","",IF(N(VALUE($AR$310))=0,INDEX($C21:$V21,VALUE($AP$310)),IF(N(INDEX($C21:$V21,N(VALUE($AR$310))))&gt;0,INDEX($C21:$V21,VALUE($AP$310))/INDEX($C21:$V21,N(VALUE($AR$310))),""))))</f>
        <v>0</v>
      </c>
      <c r="BA21" s="61">
        <f>IF(OR($B21="",N(VALUE($AQ$310))=0),"",IF(INDEX($C21:$V21,VALUE($AQ$310))="","",IF(N(VALUE($AS$310))=0,INDEX($C21:$V21,VALUE($AQ$310)),IF(N(INDEX($C21:$V21,N(VALUE($AS$310))))&gt;0,INDEX($C21:$V21,VALUE($AQ$310))/INDEX($C21:$V21,N(VALUE($AS$310))),""))))</f>
        <v>0</v>
      </c>
      <c r="BC21" s="32" t="str">
        <f>IF(AND($A21=$B$9,ISNUMBER(L21)),L21,NA())</f>
        <v/>
      </c>
    </row>
    <row r="22">
      <c r="A22" s="28">
        <v>11</v>
      </c>
      <c r="B22" s="46">
        <f>IF($A22&lt;=DAY($D$7),$C$7+$A22-1,"")</f>
        <v>46306</v>
      </c>
      <c r="C22" s="32">
        <f>IF($B22="","",IF($B$2="Todos",SUMIFS(BD!$C$3:$C$5001,BD!$A$3:$A$5001,$B22),SUMIFS(BD!$C$3:$C$5001,BD!$A$3:$A$5001,$B22,BD!$B$3:$B$5001,$D$2)))</f>
        <v>0</v>
      </c>
      <c r="D22" s="32">
        <f>IF($B22="","",IF($B$2="Todos",SUMIFS(BD!$D$3:$D$5001,BD!$A$3:$A$5001,$B22),SUMIFS(BD!$D$3:$D$5001,BD!$A$3:$A$5001,$B22,BD!$B$3:$B$5001,$D$2)))</f>
        <v>0</v>
      </c>
      <c r="E22" s="47">
        <f>IF($B22="","",IF($B$2="Todos",SUMIFS(BD!$E$3:$E$5001,BD!$A$3:$A$5001,$B22),SUMIFS(BD!$E$3:$E$5001,BD!$A$3:$A$5001,$B22,BD!$B$3:$B$5001,$D$2)))</f>
        <v>0</v>
      </c>
      <c r="F22" s="32">
        <f>IF($B22="","",IF($B$2="Todos",SUMIFS(BD!$F$3:$F$5001,BD!$A$3:$A$5001,$B22),SUMIFS(BD!$F$3:$F$5001,BD!$A$3:$A$5001,$B22,BD!$B$3:$B$5001,$D$2)))</f>
        <v>0</v>
      </c>
      <c r="G22" s="32">
        <f>IF($B22="","",IF($B$2="Todos",SUMIFS(BD!$G$3:$G$5001,BD!$A$3:$A$5001,$B22),SUMIFS(BD!$G$3:$G$5001,BD!$A$3:$A$5001,$B22,BD!$B$3:$B$5001,$D$2)))</f>
        <v>0</v>
      </c>
      <c r="H22" s="47">
        <f>IF($B22="","",IF($B$2="Todos",SUMIFS(BD!$H$3:$H$5001,BD!$A$3:$A$5001,$B22),SUMIFS(BD!$H$3:$H$5001,BD!$A$3:$A$5001,$B22,BD!$B$3:$B$5001,$D$2)))</f>
        <v>0</v>
      </c>
      <c r="I22" s="32">
        <f>IF($B22="","",IF($B$2="Todos",SUMIFS(BD!$I$3:$I$5001,BD!$A$3:$A$5001,$B22),SUMIFS(BD!$I$3:$I$5001,BD!$A$3:$A$5001,$B22,BD!$B$3:$B$5001,$D$2)))</f>
        <v>0</v>
      </c>
      <c r="J22" s="32">
        <f>IF($B22="","",IF($B$2="Todos",SUMIFS(BD!$J$3:$J$5001,BD!$A$3:$A$5001,$B22),SUMIFS(BD!$J$3:$J$5001,BD!$A$3:$A$5001,$B22,BD!$B$3:$B$5001,$D$2)))</f>
        <v>0</v>
      </c>
      <c r="K22" s="32" t="str">
        <f>IF($B$2="Todos",IF(COUNT($C$125:$V$125)=0,"",SUM($C$125:$V$125)),IFERROR(INDEX($C$125:$V$125,MATCH($D$2,$C$114:$V$114,0)),""))</f>
        <v/>
      </c>
      <c r="L22" s="48" t="str">
        <f>IF(M22="","",IF($B$2="Todos",IF($B$4&gt;0,$B$4,IF($B$2="Todos",IF(COUNT($C$195:$V$195)=0,"",SUM($C$195:$V$195)),IFERROR(INDEX($C$195:$V$195,MATCH($D$2,$C$184:$V$184,0)),""))),IFERROR(INDEX($C$195:$V$195,MATCH($D$2,$C$184:$V$184,0)),"")))</f>
        <v/>
      </c>
      <c r="M22" s="32" t="str">
        <f>IF($B$2="Todos",IF(COUNT($C$160:$V$160)=0,"",SUM($C$160:$V$160)),IFERROR(INDEX($C$160:$V$160,MATCH($D$2,$C$149:$V$149,0)),""))</f>
        <v/>
      </c>
      <c r="N22" s="49" t="str">
        <f>IF(AND(ISNUMBER(M22),ISNUMBER(L22)),IF(L22&gt;0,M22/L22,""),"")</f>
        <v/>
      </c>
      <c r="O22" s="32" t="str">
        <f>IF($B$2="Todos",IF(COUNT($C$230:$V$230)=0,"",SUM($C$230:$V$230)),IFERROR(INDEX($C$230:$V$230,MATCH($D$2,$C$219:$V$219,0)),""))</f>
        <v/>
      </c>
      <c r="P22" s="32">
        <f>IF($B22="","",IF($B$2="Todos",SUMIFS(BD!$O$3:$O$5001,BD!$A$3:$A$5001,$B22),SUMIFS(BD!$O$3:$O$5001,BD!$A$3:$A$5001,$B22,BD!$B$3:$B$5001,$D$2)))</f>
        <v>0</v>
      </c>
      <c r="Q22" s="32">
        <f>IF($B22="","",IF($B$2="Todos",SUMIFS(BD!$P$3:$P$5001,BD!$A$3:$A$5001,$B22),SUMIFS(BD!$P$3:$P$5001,BD!$A$3:$A$5001,$B22,BD!$B$3:$B$5001,$D$2)))</f>
        <v>0</v>
      </c>
      <c r="R22" s="32">
        <f>IF($B22="","",IF($B$2="Todos",SUMIFS(BD!$Q$3:$Q$5001,BD!$A$3:$A$5001,$B22),SUMIFS(BD!$Q$3:$Q$5001,BD!$A$3:$A$5001,$B22,BD!$B$3:$B$5001,$D$2)))</f>
        <v>0</v>
      </c>
      <c r="S22" s="32">
        <f>IF($B22="","",IF($B$2="Todos",SUMIFS(BD!$R$3:$R$5001,BD!$A$3:$A$5001,$B22),SUMIFS(BD!$R$3:$R$5001,BD!$A$3:$A$5001,$B22,BD!$B$3:$B$5001,$D$2)))</f>
        <v>0</v>
      </c>
      <c r="T22" s="32">
        <f>IF($B22="","",IF($B$2="Todos",SUMIFS(BD!$S$3:$S$5001,BD!$A$3:$A$5001,$B22),SUMIFS(BD!$S$3:$S$5001,BD!$A$3:$A$5001,$B22,BD!$B$3:$B$5001,$D$2)))</f>
        <v>0</v>
      </c>
      <c r="U22" s="32">
        <f>IF($B22="","",IF($B$2="Todos",SUMIFS(BD!$T$3:$T$5001,BD!$A$3:$A$5001,$B22),SUMIFS(BD!$T$3:$T$5001,BD!$A$3:$A$5001,$B22,BD!$B$3:$B$5001,$D$2)))</f>
        <v>0</v>
      </c>
      <c r="V22" s="32">
        <f>IF($B22="","",IF($B$2="Todos",SUMIFS(BD!$U$3:$U$5001,BD!$A$3:$A$5001,$B22),SUMIFS(BD!$U$3:$U$5001,BD!$A$3:$A$5001,$B22,BD!$B$3:$B$5001,$D$2)))</f>
        <v>0</v>
      </c>
      <c r="W22" s="50">
        <f>$B$5</f>
        <v>0.7</v>
      </c>
      <c r="X22" s="50">
        <f>$B$6</f>
        <v>0.9</v>
      </c>
      <c r="AL22" s="29" t="inlineStr">
        <is>
          <t xml:space="preserve">NOVEMBRO · 2026</t>
        </is>
      </c>
      <c r="AN22" s="29" t="str">
        <f>IFERROR(INDEX(Config!$B$10:$B$29,MATCH(10,$AP$13:$AP$32,0))&amp;"","")</f>
        <v/>
      </c>
      <c r="AO22" s="28" t="str">
        <f>IF(AN22="","",IF(INDEX(Config!$C$10:$C$29,MATCH(10,$AP$13:$AP$32,0))&amp;""="","JSL",INDEX(Config!$C$10:$C$29,MATCH(10,$AP$13:$AP$32,0))&amp;""))</f>
        <v/>
      </c>
      <c r="AP22" s="38">
        <f>IF(Config!$B$19&amp;""="",AP21,AP21+1)</f>
        <v>5</v>
      </c>
      <c r="AX22" s="61">
        <f>IF(OR($B22="",N(VALUE($AH$310))=0),"",IF(INDEX($C22:$V22,VALUE($AH$310))="","",IF(N(VALUE($AJ$310))=0,INDEX($C22:$V22,VALUE($AH$310)),IF(N(INDEX($C22:$V22,N(VALUE($AJ$310))))&gt;0,INDEX($C22:$V22,VALUE($AH$310))/INDEX($C22:$V22,N(VALUE($AJ$310))),""))))</f>
        <v>0</v>
      </c>
      <c r="AY22" s="61">
        <f>IF(OR($B22="",N(VALUE($AI$310))=0),"",IF(INDEX($C22:$V22,VALUE($AI$310))="","",IF(N(VALUE($AK$310))=0,INDEX($C22:$V22,VALUE($AI$310)),IF(N(INDEX($C22:$V22,N(VALUE($AK$310))))&gt;0,INDEX($C22:$V22,VALUE($AI$310))/INDEX($C22:$V22,N(VALUE($AK$310))),""))))</f>
        <v>0</v>
      </c>
      <c r="AZ22" s="61">
        <f>IF(OR($B22="",N(VALUE($AP$310))=0),"",IF(INDEX($C22:$V22,VALUE($AP$310))="","",IF(N(VALUE($AR$310))=0,INDEX($C22:$V22,VALUE($AP$310)),IF(N(INDEX($C22:$V22,N(VALUE($AR$310))))&gt;0,INDEX($C22:$V22,VALUE($AP$310))/INDEX($C22:$V22,N(VALUE($AR$310))),""))))</f>
        <v>0</v>
      </c>
      <c r="BA22" s="61">
        <f>IF(OR($B22="",N(VALUE($AQ$310))=0),"",IF(INDEX($C22:$V22,VALUE($AQ$310))="","",IF(N(VALUE($AS$310))=0,INDEX($C22:$V22,VALUE($AQ$310)),IF(N(INDEX($C22:$V22,N(VALUE($AS$310))))&gt;0,INDEX($C22:$V22,VALUE($AQ$310))/INDEX($C22:$V22,N(VALUE($AS$310))),""))))</f>
        <v>0</v>
      </c>
      <c r="BC22" s="32" t="str">
        <f>IF(AND($A22=$B$9,ISNUMBER(L22)),L22,NA())</f>
        <v/>
      </c>
    </row>
    <row r="23">
      <c r="A23" s="28">
        <v>12</v>
      </c>
      <c r="B23" s="46">
        <f>IF($A23&lt;=DAY($D$7),$C$7+$A23-1,"")</f>
        <v>46307</v>
      </c>
      <c r="C23" s="32">
        <f>IF($B23="","",IF($B$2="Todos",SUMIFS(BD!$C$3:$C$5001,BD!$A$3:$A$5001,$B23),SUMIFS(BD!$C$3:$C$5001,BD!$A$3:$A$5001,$B23,BD!$B$3:$B$5001,$D$2)))</f>
        <v>0</v>
      </c>
      <c r="D23" s="32">
        <f>IF($B23="","",IF($B$2="Todos",SUMIFS(BD!$D$3:$D$5001,BD!$A$3:$A$5001,$B23),SUMIFS(BD!$D$3:$D$5001,BD!$A$3:$A$5001,$B23,BD!$B$3:$B$5001,$D$2)))</f>
        <v>0</v>
      </c>
      <c r="E23" s="47">
        <f>IF($B23="","",IF($B$2="Todos",SUMIFS(BD!$E$3:$E$5001,BD!$A$3:$A$5001,$B23),SUMIFS(BD!$E$3:$E$5001,BD!$A$3:$A$5001,$B23,BD!$B$3:$B$5001,$D$2)))</f>
        <v>0</v>
      </c>
      <c r="F23" s="32">
        <f>IF($B23="","",IF($B$2="Todos",SUMIFS(BD!$F$3:$F$5001,BD!$A$3:$A$5001,$B23),SUMIFS(BD!$F$3:$F$5001,BD!$A$3:$A$5001,$B23,BD!$B$3:$B$5001,$D$2)))</f>
        <v>0</v>
      </c>
      <c r="G23" s="32">
        <f>IF($B23="","",IF($B$2="Todos",SUMIFS(BD!$G$3:$G$5001,BD!$A$3:$A$5001,$B23),SUMIFS(BD!$G$3:$G$5001,BD!$A$3:$A$5001,$B23,BD!$B$3:$B$5001,$D$2)))</f>
        <v>0</v>
      </c>
      <c r="H23" s="47">
        <f>IF($B23="","",IF($B$2="Todos",SUMIFS(BD!$H$3:$H$5001,BD!$A$3:$A$5001,$B23),SUMIFS(BD!$H$3:$H$5001,BD!$A$3:$A$5001,$B23,BD!$B$3:$B$5001,$D$2)))</f>
        <v>0</v>
      </c>
      <c r="I23" s="32">
        <f>IF($B23="","",IF($B$2="Todos",SUMIFS(BD!$I$3:$I$5001,BD!$A$3:$A$5001,$B23),SUMIFS(BD!$I$3:$I$5001,BD!$A$3:$A$5001,$B23,BD!$B$3:$B$5001,$D$2)))</f>
        <v>0</v>
      </c>
      <c r="J23" s="32">
        <f>IF($B23="","",IF($B$2="Todos",SUMIFS(BD!$J$3:$J$5001,BD!$A$3:$A$5001,$B23),SUMIFS(BD!$J$3:$J$5001,BD!$A$3:$A$5001,$B23,BD!$B$3:$B$5001,$D$2)))</f>
        <v>0</v>
      </c>
      <c r="K23" s="32" t="str">
        <f>IF($B$2="Todos",IF(COUNT($C$126:$V$126)=0,"",SUM($C$126:$V$126)),IFERROR(INDEX($C$126:$V$126,MATCH($D$2,$C$114:$V$114,0)),""))</f>
        <v/>
      </c>
      <c r="L23" s="48" t="str">
        <f>IF(M23="","",IF($B$2="Todos",IF($B$4&gt;0,$B$4,IF($B$2="Todos",IF(COUNT($C$196:$V$196)=0,"",SUM($C$196:$V$196)),IFERROR(INDEX($C$196:$V$196,MATCH($D$2,$C$184:$V$184,0)),""))),IFERROR(INDEX($C$196:$V$196,MATCH($D$2,$C$184:$V$184,0)),"")))</f>
        <v/>
      </c>
      <c r="M23" s="32" t="str">
        <f>IF($B$2="Todos",IF(COUNT($C$161:$V$161)=0,"",SUM($C$161:$V$161)),IFERROR(INDEX($C$161:$V$161,MATCH($D$2,$C$149:$V$149,0)),""))</f>
        <v/>
      </c>
      <c r="N23" s="49" t="str">
        <f>IF(AND(ISNUMBER(M23),ISNUMBER(L23)),IF(L23&gt;0,M23/L23,""),"")</f>
        <v/>
      </c>
      <c r="O23" s="32" t="str">
        <f>IF($B$2="Todos",IF(COUNT($C$231:$V$231)=0,"",SUM($C$231:$V$231)),IFERROR(INDEX($C$231:$V$231,MATCH($D$2,$C$219:$V$219,0)),""))</f>
        <v/>
      </c>
      <c r="P23" s="32">
        <f>IF($B23="","",IF($B$2="Todos",SUMIFS(BD!$O$3:$O$5001,BD!$A$3:$A$5001,$B23),SUMIFS(BD!$O$3:$O$5001,BD!$A$3:$A$5001,$B23,BD!$B$3:$B$5001,$D$2)))</f>
        <v>0</v>
      </c>
      <c r="Q23" s="32">
        <f>IF($B23="","",IF($B$2="Todos",SUMIFS(BD!$P$3:$P$5001,BD!$A$3:$A$5001,$B23),SUMIFS(BD!$P$3:$P$5001,BD!$A$3:$A$5001,$B23,BD!$B$3:$B$5001,$D$2)))</f>
        <v>0</v>
      </c>
      <c r="R23" s="32">
        <f>IF($B23="","",IF($B$2="Todos",SUMIFS(BD!$Q$3:$Q$5001,BD!$A$3:$A$5001,$B23),SUMIFS(BD!$Q$3:$Q$5001,BD!$A$3:$A$5001,$B23,BD!$B$3:$B$5001,$D$2)))</f>
        <v>0</v>
      </c>
      <c r="S23" s="32">
        <f>IF($B23="","",IF($B$2="Todos",SUMIFS(BD!$R$3:$R$5001,BD!$A$3:$A$5001,$B23),SUMIFS(BD!$R$3:$R$5001,BD!$A$3:$A$5001,$B23,BD!$B$3:$B$5001,$D$2)))</f>
        <v>0</v>
      </c>
      <c r="T23" s="32">
        <f>IF($B23="","",IF($B$2="Todos",SUMIFS(BD!$S$3:$S$5001,BD!$A$3:$A$5001,$B23),SUMIFS(BD!$S$3:$S$5001,BD!$A$3:$A$5001,$B23,BD!$B$3:$B$5001,$D$2)))</f>
        <v>0</v>
      </c>
      <c r="U23" s="32">
        <f>IF($B23="","",IF($B$2="Todos",SUMIFS(BD!$T$3:$T$5001,BD!$A$3:$A$5001,$B23),SUMIFS(BD!$T$3:$T$5001,BD!$A$3:$A$5001,$B23,BD!$B$3:$B$5001,$D$2)))</f>
        <v>0</v>
      </c>
      <c r="V23" s="32">
        <f>IF($B23="","",IF($B$2="Todos",SUMIFS(BD!$U$3:$U$5001,BD!$A$3:$A$5001,$B23),SUMIFS(BD!$U$3:$U$5001,BD!$A$3:$A$5001,$B23,BD!$B$3:$B$5001,$D$2)))</f>
        <v>0</v>
      </c>
      <c r="W23" s="50">
        <f>$B$5</f>
        <v>0.7</v>
      </c>
      <c r="X23" s="50">
        <f>$B$6</f>
        <v>0.9</v>
      </c>
      <c r="AL23" s="29" t="inlineStr">
        <is>
          <t xml:space="preserve">DEZEMBRO · 2026</t>
        </is>
      </c>
      <c r="AN23" s="29" t="str">
        <f>IFERROR(INDEX(Config!$B$10:$B$29,MATCH(11,$AP$13:$AP$32,0))&amp;"","")</f>
        <v/>
      </c>
      <c r="AO23" s="28" t="str">
        <f>IF(AN23="","",IF(INDEX(Config!$C$10:$C$29,MATCH(11,$AP$13:$AP$32,0))&amp;""="","JSL",INDEX(Config!$C$10:$C$29,MATCH(11,$AP$13:$AP$32,0))&amp;""))</f>
        <v/>
      </c>
      <c r="AP23" s="38">
        <f>IF(Config!$B$20&amp;""="",AP22,AP22+1)</f>
        <v>5</v>
      </c>
      <c r="AX23" s="61">
        <f>IF(OR($B23="",N(VALUE($AH$310))=0),"",IF(INDEX($C23:$V23,VALUE($AH$310))="","",IF(N(VALUE($AJ$310))=0,INDEX($C23:$V23,VALUE($AH$310)),IF(N(INDEX($C23:$V23,N(VALUE($AJ$310))))&gt;0,INDEX($C23:$V23,VALUE($AH$310))/INDEX($C23:$V23,N(VALUE($AJ$310))),""))))</f>
        <v>0</v>
      </c>
      <c r="AY23" s="61">
        <f>IF(OR($B23="",N(VALUE($AI$310))=0),"",IF(INDEX($C23:$V23,VALUE($AI$310))="","",IF(N(VALUE($AK$310))=0,INDEX($C23:$V23,VALUE($AI$310)),IF(N(INDEX($C23:$V23,N(VALUE($AK$310))))&gt;0,INDEX($C23:$V23,VALUE($AI$310))/INDEX($C23:$V23,N(VALUE($AK$310))),""))))</f>
        <v>0</v>
      </c>
      <c r="AZ23" s="61">
        <f>IF(OR($B23="",N(VALUE($AP$310))=0),"",IF(INDEX($C23:$V23,VALUE($AP$310))="","",IF(N(VALUE($AR$310))=0,INDEX($C23:$V23,VALUE($AP$310)),IF(N(INDEX($C23:$V23,N(VALUE($AR$310))))&gt;0,INDEX($C23:$V23,VALUE($AP$310))/INDEX($C23:$V23,N(VALUE($AR$310))),""))))</f>
        <v>0</v>
      </c>
      <c r="BA23" s="61">
        <f>IF(OR($B23="",N(VALUE($AQ$310))=0),"",IF(INDEX($C23:$V23,VALUE($AQ$310))="","",IF(N(VALUE($AS$310))=0,INDEX($C23:$V23,VALUE($AQ$310)),IF(N(INDEX($C23:$V23,N(VALUE($AS$310))))&gt;0,INDEX($C23:$V23,VALUE($AQ$310))/INDEX($C23:$V23,N(VALUE($AS$310))),""))))</f>
        <v>0</v>
      </c>
      <c r="BC23" s="32" t="str">
        <f>IF(AND($A23=$B$9,ISNUMBER(L23)),L23,NA())</f>
        <v/>
      </c>
    </row>
    <row r="24">
      <c r="A24" s="28">
        <v>13</v>
      </c>
      <c r="B24" s="46">
        <f>IF($A24&lt;=DAY($D$7),$C$7+$A24-1,"")</f>
        <v>46308</v>
      </c>
      <c r="C24" s="32">
        <f>IF($B24="","",IF($B$2="Todos",SUMIFS(BD!$C$3:$C$5001,BD!$A$3:$A$5001,$B24),SUMIFS(BD!$C$3:$C$5001,BD!$A$3:$A$5001,$B24,BD!$B$3:$B$5001,$D$2)))</f>
        <v>0</v>
      </c>
      <c r="D24" s="32">
        <f>IF($B24="","",IF($B$2="Todos",SUMIFS(BD!$D$3:$D$5001,BD!$A$3:$A$5001,$B24),SUMIFS(BD!$D$3:$D$5001,BD!$A$3:$A$5001,$B24,BD!$B$3:$B$5001,$D$2)))</f>
        <v>0</v>
      </c>
      <c r="E24" s="47">
        <f>IF($B24="","",IF($B$2="Todos",SUMIFS(BD!$E$3:$E$5001,BD!$A$3:$A$5001,$B24),SUMIFS(BD!$E$3:$E$5001,BD!$A$3:$A$5001,$B24,BD!$B$3:$B$5001,$D$2)))</f>
        <v>0</v>
      </c>
      <c r="F24" s="32">
        <f>IF($B24="","",IF($B$2="Todos",SUMIFS(BD!$F$3:$F$5001,BD!$A$3:$A$5001,$B24),SUMIFS(BD!$F$3:$F$5001,BD!$A$3:$A$5001,$B24,BD!$B$3:$B$5001,$D$2)))</f>
        <v>0</v>
      </c>
      <c r="G24" s="32">
        <f>IF($B24="","",IF($B$2="Todos",SUMIFS(BD!$G$3:$G$5001,BD!$A$3:$A$5001,$B24),SUMIFS(BD!$G$3:$G$5001,BD!$A$3:$A$5001,$B24,BD!$B$3:$B$5001,$D$2)))</f>
        <v>0</v>
      </c>
      <c r="H24" s="47">
        <f>IF($B24="","",IF($B$2="Todos",SUMIFS(BD!$H$3:$H$5001,BD!$A$3:$A$5001,$B24),SUMIFS(BD!$H$3:$H$5001,BD!$A$3:$A$5001,$B24,BD!$B$3:$B$5001,$D$2)))</f>
        <v>0</v>
      </c>
      <c r="I24" s="32">
        <f>IF($B24="","",IF($B$2="Todos",SUMIFS(BD!$I$3:$I$5001,BD!$A$3:$A$5001,$B24),SUMIFS(BD!$I$3:$I$5001,BD!$A$3:$A$5001,$B24,BD!$B$3:$B$5001,$D$2)))</f>
        <v>0</v>
      </c>
      <c r="J24" s="32">
        <f>IF($B24="","",IF($B$2="Todos",SUMIFS(BD!$J$3:$J$5001,BD!$A$3:$A$5001,$B24),SUMIFS(BD!$J$3:$J$5001,BD!$A$3:$A$5001,$B24,BD!$B$3:$B$5001,$D$2)))</f>
        <v>0</v>
      </c>
      <c r="K24" s="32" t="str">
        <f>IF($B$2="Todos",IF(COUNT($C$127:$V$127)=0,"",SUM($C$127:$V$127)),IFERROR(INDEX($C$127:$V$127,MATCH($D$2,$C$114:$V$114,0)),""))</f>
        <v/>
      </c>
      <c r="L24" s="48" t="str">
        <f>IF(M24="","",IF($B$2="Todos",IF($B$4&gt;0,$B$4,IF($B$2="Todos",IF(COUNT($C$197:$V$197)=0,"",SUM($C$197:$V$197)),IFERROR(INDEX($C$197:$V$197,MATCH($D$2,$C$184:$V$184,0)),""))),IFERROR(INDEX($C$197:$V$197,MATCH($D$2,$C$184:$V$184,0)),"")))</f>
        <v/>
      </c>
      <c r="M24" s="32" t="str">
        <f>IF($B$2="Todos",IF(COUNT($C$162:$V$162)=0,"",SUM($C$162:$V$162)),IFERROR(INDEX($C$162:$V$162,MATCH($D$2,$C$149:$V$149,0)),""))</f>
        <v/>
      </c>
      <c r="N24" s="49" t="str">
        <f>IF(AND(ISNUMBER(M24),ISNUMBER(L24)),IF(L24&gt;0,M24/L24,""),"")</f>
        <v/>
      </c>
      <c r="O24" s="32" t="str">
        <f>IF($B$2="Todos",IF(COUNT($C$232:$V$232)=0,"",SUM($C$232:$V$232)),IFERROR(INDEX($C$232:$V$232,MATCH($D$2,$C$219:$V$219,0)),""))</f>
        <v/>
      </c>
      <c r="P24" s="32">
        <f>IF($B24="","",IF($B$2="Todos",SUMIFS(BD!$O$3:$O$5001,BD!$A$3:$A$5001,$B24),SUMIFS(BD!$O$3:$O$5001,BD!$A$3:$A$5001,$B24,BD!$B$3:$B$5001,$D$2)))</f>
        <v>0</v>
      </c>
      <c r="Q24" s="32">
        <f>IF($B24="","",IF($B$2="Todos",SUMIFS(BD!$P$3:$P$5001,BD!$A$3:$A$5001,$B24),SUMIFS(BD!$P$3:$P$5001,BD!$A$3:$A$5001,$B24,BD!$B$3:$B$5001,$D$2)))</f>
        <v>0</v>
      </c>
      <c r="R24" s="32">
        <f>IF($B24="","",IF($B$2="Todos",SUMIFS(BD!$Q$3:$Q$5001,BD!$A$3:$A$5001,$B24),SUMIFS(BD!$Q$3:$Q$5001,BD!$A$3:$A$5001,$B24,BD!$B$3:$B$5001,$D$2)))</f>
        <v>0</v>
      </c>
      <c r="S24" s="32">
        <f>IF($B24="","",IF($B$2="Todos",SUMIFS(BD!$R$3:$R$5001,BD!$A$3:$A$5001,$B24),SUMIFS(BD!$R$3:$R$5001,BD!$A$3:$A$5001,$B24,BD!$B$3:$B$5001,$D$2)))</f>
        <v>0</v>
      </c>
      <c r="T24" s="32">
        <f>IF($B24="","",IF($B$2="Todos",SUMIFS(BD!$S$3:$S$5001,BD!$A$3:$A$5001,$B24),SUMIFS(BD!$S$3:$S$5001,BD!$A$3:$A$5001,$B24,BD!$B$3:$B$5001,$D$2)))</f>
        <v>0</v>
      </c>
      <c r="U24" s="32">
        <f>IF($B24="","",IF($B$2="Todos",SUMIFS(BD!$T$3:$T$5001,BD!$A$3:$A$5001,$B24),SUMIFS(BD!$T$3:$T$5001,BD!$A$3:$A$5001,$B24,BD!$B$3:$B$5001,$D$2)))</f>
        <v>0</v>
      </c>
      <c r="V24" s="32">
        <f>IF($B24="","",IF($B$2="Todos",SUMIFS(BD!$U$3:$U$5001,BD!$A$3:$A$5001,$B24),SUMIFS(BD!$U$3:$U$5001,BD!$A$3:$A$5001,$B24,BD!$B$3:$B$5001,$D$2)))</f>
        <v>0</v>
      </c>
      <c r="W24" s="50">
        <f>$B$5</f>
        <v>0.7</v>
      </c>
      <c r="X24" s="50">
        <f>$B$6</f>
        <v>0.9</v>
      </c>
      <c r="AN24" s="29" t="str">
        <f>IFERROR(INDEX(Config!$B$10:$B$29,MATCH(12,$AP$13:$AP$32,0))&amp;"","")</f>
        <v/>
      </c>
      <c r="AO24" s="28" t="str">
        <f>IF(AN24="","",IF(INDEX(Config!$C$10:$C$29,MATCH(12,$AP$13:$AP$32,0))&amp;""="","JSL",INDEX(Config!$C$10:$C$29,MATCH(12,$AP$13:$AP$32,0))&amp;""))</f>
        <v/>
      </c>
      <c r="AP24" s="38">
        <f>IF(Config!$B$21&amp;""="",AP23,AP23+1)</f>
        <v>5</v>
      </c>
      <c r="AX24" s="61">
        <f>IF(OR($B24="",N(VALUE($AH$310))=0),"",IF(INDEX($C24:$V24,VALUE($AH$310))="","",IF(N(VALUE($AJ$310))=0,INDEX($C24:$V24,VALUE($AH$310)),IF(N(INDEX($C24:$V24,N(VALUE($AJ$310))))&gt;0,INDEX($C24:$V24,VALUE($AH$310))/INDEX($C24:$V24,N(VALUE($AJ$310))),""))))</f>
        <v>0</v>
      </c>
      <c r="AY24" s="61">
        <f>IF(OR($B24="",N(VALUE($AI$310))=0),"",IF(INDEX($C24:$V24,VALUE($AI$310))="","",IF(N(VALUE($AK$310))=0,INDEX($C24:$V24,VALUE($AI$310)),IF(N(INDEX($C24:$V24,N(VALUE($AK$310))))&gt;0,INDEX($C24:$V24,VALUE($AI$310))/INDEX($C24:$V24,N(VALUE($AK$310))),""))))</f>
        <v>0</v>
      </c>
      <c r="AZ24" s="61">
        <f>IF(OR($B24="",N(VALUE($AP$310))=0),"",IF(INDEX($C24:$V24,VALUE($AP$310))="","",IF(N(VALUE($AR$310))=0,INDEX($C24:$V24,VALUE($AP$310)),IF(N(INDEX($C24:$V24,N(VALUE($AR$310))))&gt;0,INDEX($C24:$V24,VALUE($AP$310))/INDEX($C24:$V24,N(VALUE($AR$310))),""))))</f>
        <v>0</v>
      </c>
      <c r="BA24" s="61">
        <f>IF(OR($B24="",N(VALUE($AQ$310))=0),"",IF(INDEX($C24:$V24,VALUE($AQ$310))="","",IF(N(VALUE($AS$310))=0,INDEX($C24:$V24,VALUE($AQ$310)),IF(N(INDEX($C24:$V24,N(VALUE($AS$310))))&gt;0,INDEX($C24:$V24,VALUE($AQ$310))/INDEX($C24:$V24,N(VALUE($AS$310))),""))))</f>
        <v>0</v>
      </c>
      <c r="BC24" s="32" t="str">
        <f>IF(AND($A24=$B$9,ISNUMBER(L24)),L24,NA())</f>
        <v/>
      </c>
    </row>
    <row r="25">
      <c r="A25" s="28">
        <v>14</v>
      </c>
      <c r="B25" s="46">
        <f>IF($A25&lt;=DAY($D$7),$C$7+$A25-1,"")</f>
        <v>46309</v>
      </c>
      <c r="C25" s="32">
        <f>IF($B25="","",IF($B$2="Todos",SUMIFS(BD!$C$3:$C$5001,BD!$A$3:$A$5001,$B25),SUMIFS(BD!$C$3:$C$5001,BD!$A$3:$A$5001,$B25,BD!$B$3:$B$5001,$D$2)))</f>
        <v>0</v>
      </c>
      <c r="D25" s="32">
        <f>IF($B25="","",IF($B$2="Todos",SUMIFS(BD!$D$3:$D$5001,BD!$A$3:$A$5001,$B25),SUMIFS(BD!$D$3:$D$5001,BD!$A$3:$A$5001,$B25,BD!$B$3:$B$5001,$D$2)))</f>
        <v>0</v>
      </c>
      <c r="E25" s="47">
        <f>IF($B25="","",IF($B$2="Todos",SUMIFS(BD!$E$3:$E$5001,BD!$A$3:$A$5001,$B25),SUMIFS(BD!$E$3:$E$5001,BD!$A$3:$A$5001,$B25,BD!$B$3:$B$5001,$D$2)))</f>
        <v>0</v>
      </c>
      <c r="F25" s="32">
        <f>IF($B25="","",IF($B$2="Todos",SUMIFS(BD!$F$3:$F$5001,BD!$A$3:$A$5001,$B25),SUMIFS(BD!$F$3:$F$5001,BD!$A$3:$A$5001,$B25,BD!$B$3:$B$5001,$D$2)))</f>
        <v>0</v>
      </c>
      <c r="G25" s="32">
        <f>IF($B25="","",IF($B$2="Todos",SUMIFS(BD!$G$3:$G$5001,BD!$A$3:$A$5001,$B25),SUMIFS(BD!$G$3:$G$5001,BD!$A$3:$A$5001,$B25,BD!$B$3:$B$5001,$D$2)))</f>
        <v>0</v>
      </c>
      <c r="H25" s="47">
        <f>IF($B25="","",IF($B$2="Todos",SUMIFS(BD!$H$3:$H$5001,BD!$A$3:$A$5001,$B25),SUMIFS(BD!$H$3:$H$5001,BD!$A$3:$A$5001,$B25,BD!$B$3:$B$5001,$D$2)))</f>
        <v>0</v>
      </c>
      <c r="I25" s="32">
        <f>IF($B25="","",IF($B$2="Todos",SUMIFS(BD!$I$3:$I$5001,BD!$A$3:$A$5001,$B25),SUMIFS(BD!$I$3:$I$5001,BD!$A$3:$A$5001,$B25,BD!$B$3:$B$5001,$D$2)))</f>
        <v>0</v>
      </c>
      <c r="J25" s="32">
        <f>IF($B25="","",IF($B$2="Todos",SUMIFS(BD!$J$3:$J$5001,BD!$A$3:$A$5001,$B25),SUMIFS(BD!$J$3:$J$5001,BD!$A$3:$A$5001,$B25,BD!$B$3:$B$5001,$D$2)))</f>
        <v>0</v>
      </c>
      <c r="K25" s="32" t="str">
        <f>IF($B$2="Todos",IF(COUNT($C$128:$V$128)=0,"",SUM($C$128:$V$128)),IFERROR(INDEX($C$128:$V$128,MATCH($D$2,$C$114:$V$114,0)),""))</f>
        <v/>
      </c>
      <c r="L25" s="48" t="str">
        <f>IF(M25="","",IF($B$2="Todos",IF($B$4&gt;0,$B$4,IF($B$2="Todos",IF(COUNT($C$198:$V$198)=0,"",SUM($C$198:$V$198)),IFERROR(INDEX($C$198:$V$198,MATCH($D$2,$C$184:$V$184,0)),""))),IFERROR(INDEX($C$198:$V$198,MATCH($D$2,$C$184:$V$184,0)),"")))</f>
        <v/>
      </c>
      <c r="M25" s="32" t="str">
        <f>IF($B$2="Todos",IF(COUNT($C$163:$V$163)=0,"",SUM($C$163:$V$163)),IFERROR(INDEX($C$163:$V$163,MATCH($D$2,$C$149:$V$149,0)),""))</f>
        <v/>
      </c>
      <c r="N25" s="49" t="str">
        <f>IF(AND(ISNUMBER(M25),ISNUMBER(L25)),IF(L25&gt;0,M25/L25,""),"")</f>
        <v/>
      </c>
      <c r="O25" s="32" t="str">
        <f>IF($B$2="Todos",IF(COUNT($C$233:$V$233)=0,"",SUM($C$233:$V$233)),IFERROR(INDEX($C$233:$V$233,MATCH($D$2,$C$219:$V$219,0)),""))</f>
        <v/>
      </c>
      <c r="P25" s="32">
        <f>IF($B25="","",IF($B$2="Todos",SUMIFS(BD!$O$3:$O$5001,BD!$A$3:$A$5001,$B25),SUMIFS(BD!$O$3:$O$5001,BD!$A$3:$A$5001,$B25,BD!$B$3:$B$5001,$D$2)))</f>
        <v>0</v>
      </c>
      <c r="Q25" s="32">
        <f>IF($B25="","",IF($B$2="Todos",SUMIFS(BD!$P$3:$P$5001,BD!$A$3:$A$5001,$B25),SUMIFS(BD!$P$3:$P$5001,BD!$A$3:$A$5001,$B25,BD!$B$3:$B$5001,$D$2)))</f>
        <v>0</v>
      </c>
      <c r="R25" s="32">
        <f>IF($B25="","",IF($B$2="Todos",SUMIFS(BD!$Q$3:$Q$5001,BD!$A$3:$A$5001,$B25),SUMIFS(BD!$Q$3:$Q$5001,BD!$A$3:$A$5001,$B25,BD!$B$3:$B$5001,$D$2)))</f>
        <v>0</v>
      </c>
      <c r="S25" s="32">
        <f>IF($B25="","",IF($B$2="Todos",SUMIFS(BD!$R$3:$R$5001,BD!$A$3:$A$5001,$B25),SUMIFS(BD!$R$3:$R$5001,BD!$A$3:$A$5001,$B25,BD!$B$3:$B$5001,$D$2)))</f>
        <v>0</v>
      </c>
      <c r="T25" s="32">
        <f>IF($B25="","",IF($B$2="Todos",SUMIFS(BD!$S$3:$S$5001,BD!$A$3:$A$5001,$B25),SUMIFS(BD!$S$3:$S$5001,BD!$A$3:$A$5001,$B25,BD!$B$3:$B$5001,$D$2)))</f>
        <v>0</v>
      </c>
      <c r="U25" s="32">
        <f>IF($B25="","",IF($B$2="Todos",SUMIFS(BD!$T$3:$T$5001,BD!$A$3:$A$5001,$B25),SUMIFS(BD!$T$3:$T$5001,BD!$A$3:$A$5001,$B25,BD!$B$3:$B$5001,$D$2)))</f>
        <v>0</v>
      </c>
      <c r="V25" s="32">
        <f>IF($B25="","",IF($B$2="Todos",SUMIFS(BD!$U$3:$U$5001,BD!$A$3:$A$5001,$B25),SUMIFS(BD!$U$3:$U$5001,BD!$A$3:$A$5001,$B25,BD!$B$3:$B$5001,$D$2)))</f>
        <v>0</v>
      </c>
      <c r="W25" s="50">
        <f>$B$5</f>
        <v>0.7</v>
      </c>
      <c r="X25" s="50">
        <f>$B$6</f>
        <v>0.9</v>
      </c>
      <c r="AN25" s="29" t="str">
        <f>IFERROR(INDEX(Config!$B$10:$B$29,MATCH(13,$AP$13:$AP$32,0))&amp;"","")</f>
        <v/>
      </c>
      <c r="AO25" s="28" t="str">
        <f>IF(AN25="","",IF(INDEX(Config!$C$10:$C$29,MATCH(13,$AP$13:$AP$32,0))&amp;""="","JSL",INDEX(Config!$C$10:$C$29,MATCH(13,$AP$13:$AP$32,0))&amp;""))</f>
        <v/>
      </c>
      <c r="AP25" s="38">
        <f>IF(Config!$B$22&amp;""="",AP24,AP24+1)</f>
        <v>5</v>
      </c>
      <c r="AX25" s="61">
        <f>IF(OR($B25="",N(VALUE($AH$310))=0),"",IF(INDEX($C25:$V25,VALUE($AH$310))="","",IF(N(VALUE($AJ$310))=0,INDEX($C25:$V25,VALUE($AH$310)),IF(N(INDEX($C25:$V25,N(VALUE($AJ$310))))&gt;0,INDEX($C25:$V25,VALUE($AH$310))/INDEX($C25:$V25,N(VALUE($AJ$310))),""))))</f>
        <v>0</v>
      </c>
      <c r="AY25" s="61">
        <f>IF(OR($B25="",N(VALUE($AI$310))=0),"",IF(INDEX($C25:$V25,VALUE($AI$310))="","",IF(N(VALUE($AK$310))=0,INDEX($C25:$V25,VALUE($AI$310)),IF(N(INDEX($C25:$V25,N(VALUE($AK$310))))&gt;0,INDEX($C25:$V25,VALUE($AI$310))/INDEX($C25:$V25,N(VALUE($AK$310))),""))))</f>
        <v>0</v>
      </c>
      <c r="AZ25" s="61">
        <f>IF(OR($B25="",N(VALUE($AP$310))=0),"",IF(INDEX($C25:$V25,VALUE($AP$310))="","",IF(N(VALUE($AR$310))=0,INDEX($C25:$V25,VALUE($AP$310)),IF(N(INDEX($C25:$V25,N(VALUE($AR$310))))&gt;0,INDEX($C25:$V25,VALUE($AP$310))/INDEX($C25:$V25,N(VALUE($AR$310))),""))))</f>
        <v>0</v>
      </c>
      <c r="BA25" s="61">
        <f>IF(OR($B25="",N(VALUE($AQ$310))=0),"",IF(INDEX($C25:$V25,VALUE($AQ$310))="","",IF(N(VALUE($AS$310))=0,INDEX($C25:$V25,VALUE($AQ$310)),IF(N(INDEX($C25:$V25,N(VALUE($AS$310))))&gt;0,INDEX($C25:$V25,VALUE($AQ$310))/INDEX($C25:$V25,N(VALUE($AS$310))),""))))</f>
        <v>0</v>
      </c>
      <c r="BC25" s="32" t="str">
        <f>IF(AND($A25=$B$9,ISNUMBER(L25)),L25,NA())</f>
        <v/>
      </c>
    </row>
    <row r="26">
      <c r="A26" s="28">
        <v>15</v>
      </c>
      <c r="B26" s="46">
        <f>IF($A26&lt;=DAY($D$7),$C$7+$A26-1,"")</f>
        <v>46310</v>
      </c>
      <c r="C26" s="32">
        <f>IF($B26="","",IF($B$2="Todos",SUMIFS(BD!$C$3:$C$5001,BD!$A$3:$A$5001,$B26),SUMIFS(BD!$C$3:$C$5001,BD!$A$3:$A$5001,$B26,BD!$B$3:$B$5001,$D$2)))</f>
        <v>0</v>
      </c>
      <c r="D26" s="32">
        <f>IF($B26="","",IF($B$2="Todos",SUMIFS(BD!$D$3:$D$5001,BD!$A$3:$A$5001,$B26),SUMIFS(BD!$D$3:$D$5001,BD!$A$3:$A$5001,$B26,BD!$B$3:$B$5001,$D$2)))</f>
        <v>0</v>
      </c>
      <c r="E26" s="47">
        <f>IF($B26="","",IF($B$2="Todos",SUMIFS(BD!$E$3:$E$5001,BD!$A$3:$A$5001,$B26),SUMIFS(BD!$E$3:$E$5001,BD!$A$3:$A$5001,$B26,BD!$B$3:$B$5001,$D$2)))</f>
        <v>0</v>
      </c>
      <c r="F26" s="32">
        <f>IF($B26="","",IF($B$2="Todos",SUMIFS(BD!$F$3:$F$5001,BD!$A$3:$A$5001,$B26),SUMIFS(BD!$F$3:$F$5001,BD!$A$3:$A$5001,$B26,BD!$B$3:$B$5001,$D$2)))</f>
        <v>0</v>
      </c>
      <c r="G26" s="32">
        <f>IF($B26="","",IF($B$2="Todos",SUMIFS(BD!$G$3:$G$5001,BD!$A$3:$A$5001,$B26),SUMIFS(BD!$G$3:$G$5001,BD!$A$3:$A$5001,$B26,BD!$B$3:$B$5001,$D$2)))</f>
        <v>0</v>
      </c>
      <c r="H26" s="47">
        <f>IF($B26="","",IF($B$2="Todos",SUMIFS(BD!$H$3:$H$5001,BD!$A$3:$A$5001,$B26),SUMIFS(BD!$H$3:$H$5001,BD!$A$3:$A$5001,$B26,BD!$B$3:$B$5001,$D$2)))</f>
        <v>0</v>
      </c>
      <c r="I26" s="32">
        <f>IF($B26="","",IF($B$2="Todos",SUMIFS(BD!$I$3:$I$5001,BD!$A$3:$A$5001,$B26),SUMIFS(BD!$I$3:$I$5001,BD!$A$3:$A$5001,$B26,BD!$B$3:$B$5001,$D$2)))</f>
        <v>0</v>
      </c>
      <c r="J26" s="32">
        <f>IF($B26="","",IF($B$2="Todos",SUMIFS(BD!$J$3:$J$5001,BD!$A$3:$A$5001,$B26),SUMIFS(BD!$J$3:$J$5001,BD!$A$3:$A$5001,$B26,BD!$B$3:$B$5001,$D$2)))</f>
        <v>0</v>
      </c>
      <c r="K26" s="32" t="str">
        <f>IF($B$2="Todos",IF(COUNT($C$129:$V$129)=0,"",SUM($C$129:$V$129)),IFERROR(INDEX($C$129:$V$129,MATCH($D$2,$C$114:$V$114,0)),""))</f>
        <v/>
      </c>
      <c r="L26" s="48" t="str">
        <f>IF(M26="","",IF($B$2="Todos",IF($B$4&gt;0,$B$4,IF($B$2="Todos",IF(COUNT($C$199:$V$199)=0,"",SUM($C$199:$V$199)),IFERROR(INDEX($C$199:$V$199,MATCH($D$2,$C$184:$V$184,0)),""))),IFERROR(INDEX($C$199:$V$199,MATCH($D$2,$C$184:$V$184,0)),"")))</f>
        <v/>
      </c>
      <c r="M26" s="32" t="str">
        <f>IF($B$2="Todos",IF(COUNT($C$164:$V$164)=0,"",SUM($C$164:$V$164)),IFERROR(INDEX($C$164:$V$164,MATCH($D$2,$C$149:$V$149,0)),""))</f>
        <v/>
      </c>
      <c r="N26" s="49" t="str">
        <f>IF(AND(ISNUMBER(M26),ISNUMBER(L26)),IF(L26&gt;0,M26/L26,""),"")</f>
        <v/>
      </c>
      <c r="O26" s="32" t="str">
        <f>IF($B$2="Todos",IF(COUNT($C$234:$V$234)=0,"",SUM($C$234:$V$234)),IFERROR(INDEX($C$234:$V$234,MATCH($D$2,$C$219:$V$219,0)),""))</f>
        <v/>
      </c>
      <c r="P26" s="32">
        <f>IF($B26="","",IF($B$2="Todos",SUMIFS(BD!$O$3:$O$5001,BD!$A$3:$A$5001,$B26),SUMIFS(BD!$O$3:$O$5001,BD!$A$3:$A$5001,$B26,BD!$B$3:$B$5001,$D$2)))</f>
        <v>0</v>
      </c>
      <c r="Q26" s="32">
        <f>IF($B26="","",IF($B$2="Todos",SUMIFS(BD!$P$3:$P$5001,BD!$A$3:$A$5001,$B26),SUMIFS(BD!$P$3:$P$5001,BD!$A$3:$A$5001,$B26,BD!$B$3:$B$5001,$D$2)))</f>
        <v>0</v>
      </c>
      <c r="R26" s="32">
        <f>IF($B26="","",IF($B$2="Todos",SUMIFS(BD!$Q$3:$Q$5001,BD!$A$3:$A$5001,$B26),SUMIFS(BD!$Q$3:$Q$5001,BD!$A$3:$A$5001,$B26,BD!$B$3:$B$5001,$D$2)))</f>
        <v>0</v>
      </c>
      <c r="S26" s="32">
        <f>IF($B26="","",IF($B$2="Todos",SUMIFS(BD!$R$3:$R$5001,BD!$A$3:$A$5001,$B26),SUMIFS(BD!$R$3:$R$5001,BD!$A$3:$A$5001,$B26,BD!$B$3:$B$5001,$D$2)))</f>
        <v>0</v>
      </c>
      <c r="T26" s="32">
        <f>IF($B26="","",IF($B$2="Todos",SUMIFS(BD!$S$3:$S$5001,BD!$A$3:$A$5001,$B26),SUMIFS(BD!$S$3:$S$5001,BD!$A$3:$A$5001,$B26,BD!$B$3:$B$5001,$D$2)))</f>
        <v>0</v>
      </c>
      <c r="U26" s="32">
        <f>IF($B26="","",IF($B$2="Todos",SUMIFS(BD!$T$3:$T$5001,BD!$A$3:$A$5001,$B26),SUMIFS(BD!$T$3:$T$5001,BD!$A$3:$A$5001,$B26,BD!$B$3:$B$5001,$D$2)))</f>
        <v>0</v>
      </c>
      <c r="V26" s="32">
        <f>IF($B26="","",IF($B$2="Todos",SUMIFS(BD!$U$3:$U$5001,BD!$A$3:$A$5001,$B26),SUMIFS(BD!$U$3:$U$5001,BD!$A$3:$A$5001,$B26,BD!$B$3:$B$5001,$D$2)))</f>
        <v>0</v>
      </c>
      <c r="W26" s="50">
        <f>$B$5</f>
        <v>0.7</v>
      </c>
      <c r="X26" s="50">
        <f>$B$6</f>
        <v>0.9</v>
      </c>
      <c r="AN26" s="29" t="str">
        <f>IFERROR(INDEX(Config!$B$10:$B$29,MATCH(14,$AP$13:$AP$32,0))&amp;"","")</f>
        <v/>
      </c>
      <c r="AO26" s="28" t="str">
        <f>IF(AN26="","",IF(INDEX(Config!$C$10:$C$29,MATCH(14,$AP$13:$AP$32,0))&amp;""="","JSL",INDEX(Config!$C$10:$C$29,MATCH(14,$AP$13:$AP$32,0))&amp;""))</f>
        <v/>
      </c>
      <c r="AP26" s="38">
        <f>IF(Config!$B$23&amp;""="",AP25,AP25+1)</f>
        <v>5</v>
      </c>
      <c r="AX26" s="61">
        <f>IF(OR($B26="",N(VALUE($AH$310))=0),"",IF(INDEX($C26:$V26,VALUE($AH$310))="","",IF(N(VALUE($AJ$310))=0,INDEX($C26:$V26,VALUE($AH$310)),IF(N(INDEX($C26:$V26,N(VALUE($AJ$310))))&gt;0,INDEX($C26:$V26,VALUE($AH$310))/INDEX($C26:$V26,N(VALUE($AJ$310))),""))))</f>
        <v>0</v>
      </c>
      <c r="AY26" s="61">
        <f>IF(OR($B26="",N(VALUE($AI$310))=0),"",IF(INDEX($C26:$V26,VALUE($AI$310))="","",IF(N(VALUE($AK$310))=0,INDEX($C26:$V26,VALUE($AI$310)),IF(N(INDEX($C26:$V26,N(VALUE($AK$310))))&gt;0,INDEX($C26:$V26,VALUE($AI$310))/INDEX($C26:$V26,N(VALUE($AK$310))),""))))</f>
        <v>0</v>
      </c>
      <c r="AZ26" s="61">
        <f>IF(OR($B26="",N(VALUE($AP$310))=0),"",IF(INDEX($C26:$V26,VALUE($AP$310))="","",IF(N(VALUE($AR$310))=0,INDEX($C26:$V26,VALUE($AP$310)),IF(N(INDEX($C26:$V26,N(VALUE($AR$310))))&gt;0,INDEX($C26:$V26,VALUE($AP$310))/INDEX($C26:$V26,N(VALUE($AR$310))),""))))</f>
        <v>0</v>
      </c>
      <c r="BA26" s="61">
        <f>IF(OR($B26="",N(VALUE($AQ$310))=0),"",IF(INDEX($C26:$V26,VALUE($AQ$310))="","",IF(N(VALUE($AS$310))=0,INDEX($C26:$V26,VALUE($AQ$310)),IF(N(INDEX($C26:$V26,N(VALUE($AS$310))))&gt;0,INDEX($C26:$V26,VALUE($AQ$310))/INDEX($C26:$V26,N(VALUE($AS$310))),""))))</f>
        <v>0</v>
      </c>
      <c r="BC26" s="32" t="str">
        <f>IF(AND($A26=$B$9,ISNUMBER(L26)),L26,NA())</f>
        <v/>
      </c>
    </row>
    <row r="27">
      <c r="A27" s="28">
        <v>16</v>
      </c>
      <c r="B27" s="46">
        <f>IF($A27&lt;=DAY($D$7),$C$7+$A27-1,"")</f>
        <v>46311</v>
      </c>
      <c r="C27" s="32">
        <f>IF($B27="","",IF($B$2="Todos",SUMIFS(BD!$C$3:$C$5001,BD!$A$3:$A$5001,$B27),SUMIFS(BD!$C$3:$C$5001,BD!$A$3:$A$5001,$B27,BD!$B$3:$B$5001,$D$2)))</f>
        <v>0</v>
      </c>
      <c r="D27" s="32">
        <f>IF($B27="","",IF($B$2="Todos",SUMIFS(BD!$D$3:$D$5001,BD!$A$3:$A$5001,$B27),SUMIFS(BD!$D$3:$D$5001,BD!$A$3:$A$5001,$B27,BD!$B$3:$B$5001,$D$2)))</f>
        <v>0</v>
      </c>
      <c r="E27" s="47">
        <f>IF($B27="","",IF($B$2="Todos",SUMIFS(BD!$E$3:$E$5001,BD!$A$3:$A$5001,$B27),SUMIFS(BD!$E$3:$E$5001,BD!$A$3:$A$5001,$B27,BD!$B$3:$B$5001,$D$2)))</f>
        <v>0</v>
      </c>
      <c r="F27" s="32">
        <f>IF($B27="","",IF($B$2="Todos",SUMIFS(BD!$F$3:$F$5001,BD!$A$3:$A$5001,$B27),SUMIFS(BD!$F$3:$F$5001,BD!$A$3:$A$5001,$B27,BD!$B$3:$B$5001,$D$2)))</f>
        <v>0</v>
      </c>
      <c r="G27" s="32">
        <f>IF($B27="","",IF($B$2="Todos",SUMIFS(BD!$G$3:$G$5001,BD!$A$3:$A$5001,$B27),SUMIFS(BD!$G$3:$G$5001,BD!$A$3:$A$5001,$B27,BD!$B$3:$B$5001,$D$2)))</f>
        <v>0</v>
      </c>
      <c r="H27" s="47">
        <f>IF($B27="","",IF($B$2="Todos",SUMIFS(BD!$H$3:$H$5001,BD!$A$3:$A$5001,$B27),SUMIFS(BD!$H$3:$H$5001,BD!$A$3:$A$5001,$B27,BD!$B$3:$B$5001,$D$2)))</f>
        <v>0</v>
      </c>
      <c r="I27" s="32">
        <f>IF($B27="","",IF($B$2="Todos",SUMIFS(BD!$I$3:$I$5001,BD!$A$3:$A$5001,$B27),SUMIFS(BD!$I$3:$I$5001,BD!$A$3:$A$5001,$B27,BD!$B$3:$B$5001,$D$2)))</f>
        <v>0</v>
      </c>
      <c r="J27" s="32">
        <f>IF($B27="","",IF($B$2="Todos",SUMIFS(BD!$J$3:$J$5001,BD!$A$3:$A$5001,$B27),SUMIFS(BD!$J$3:$J$5001,BD!$A$3:$A$5001,$B27,BD!$B$3:$B$5001,$D$2)))</f>
        <v>0</v>
      </c>
      <c r="K27" s="32" t="str">
        <f>IF($B$2="Todos",IF(COUNT($C$130:$V$130)=0,"",SUM($C$130:$V$130)),IFERROR(INDEX($C$130:$V$130,MATCH($D$2,$C$114:$V$114,0)),""))</f>
        <v/>
      </c>
      <c r="L27" s="48" t="str">
        <f>IF(M27="","",IF($B$2="Todos",IF($B$4&gt;0,$B$4,IF($B$2="Todos",IF(COUNT($C$200:$V$200)=0,"",SUM($C$200:$V$200)),IFERROR(INDEX($C$200:$V$200,MATCH($D$2,$C$184:$V$184,0)),""))),IFERROR(INDEX($C$200:$V$200,MATCH($D$2,$C$184:$V$184,0)),"")))</f>
        <v/>
      </c>
      <c r="M27" s="32" t="str">
        <f>IF($B$2="Todos",IF(COUNT($C$165:$V$165)=0,"",SUM($C$165:$V$165)),IFERROR(INDEX($C$165:$V$165,MATCH($D$2,$C$149:$V$149,0)),""))</f>
        <v/>
      </c>
      <c r="N27" s="49" t="str">
        <f>IF(AND(ISNUMBER(M27),ISNUMBER(L27)),IF(L27&gt;0,M27/L27,""),"")</f>
        <v/>
      </c>
      <c r="O27" s="32" t="str">
        <f>IF($B$2="Todos",IF(COUNT($C$235:$V$235)=0,"",SUM($C$235:$V$235)),IFERROR(INDEX($C$235:$V$235,MATCH($D$2,$C$219:$V$219,0)),""))</f>
        <v/>
      </c>
      <c r="P27" s="32">
        <f>IF($B27="","",IF($B$2="Todos",SUMIFS(BD!$O$3:$O$5001,BD!$A$3:$A$5001,$B27),SUMIFS(BD!$O$3:$O$5001,BD!$A$3:$A$5001,$B27,BD!$B$3:$B$5001,$D$2)))</f>
        <v>0</v>
      </c>
      <c r="Q27" s="32">
        <f>IF($B27="","",IF($B$2="Todos",SUMIFS(BD!$P$3:$P$5001,BD!$A$3:$A$5001,$B27),SUMIFS(BD!$P$3:$P$5001,BD!$A$3:$A$5001,$B27,BD!$B$3:$B$5001,$D$2)))</f>
        <v>0</v>
      </c>
      <c r="R27" s="32">
        <f>IF($B27="","",IF($B$2="Todos",SUMIFS(BD!$Q$3:$Q$5001,BD!$A$3:$A$5001,$B27),SUMIFS(BD!$Q$3:$Q$5001,BD!$A$3:$A$5001,$B27,BD!$B$3:$B$5001,$D$2)))</f>
        <v>0</v>
      </c>
      <c r="S27" s="32">
        <f>IF($B27="","",IF($B$2="Todos",SUMIFS(BD!$R$3:$R$5001,BD!$A$3:$A$5001,$B27),SUMIFS(BD!$R$3:$R$5001,BD!$A$3:$A$5001,$B27,BD!$B$3:$B$5001,$D$2)))</f>
        <v>0</v>
      </c>
      <c r="T27" s="32">
        <f>IF($B27="","",IF($B$2="Todos",SUMIFS(BD!$S$3:$S$5001,BD!$A$3:$A$5001,$B27),SUMIFS(BD!$S$3:$S$5001,BD!$A$3:$A$5001,$B27,BD!$B$3:$B$5001,$D$2)))</f>
        <v>0</v>
      </c>
      <c r="U27" s="32">
        <f>IF($B27="","",IF($B$2="Todos",SUMIFS(BD!$T$3:$T$5001,BD!$A$3:$A$5001,$B27),SUMIFS(BD!$T$3:$T$5001,BD!$A$3:$A$5001,$B27,BD!$B$3:$B$5001,$D$2)))</f>
        <v>0</v>
      </c>
      <c r="V27" s="32">
        <f>IF($B27="","",IF($B$2="Todos",SUMIFS(BD!$U$3:$U$5001,BD!$A$3:$A$5001,$B27),SUMIFS(BD!$U$3:$U$5001,BD!$A$3:$A$5001,$B27,BD!$B$3:$B$5001,$D$2)))</f>
        <v>0</v>
      </c>
      <c r="W27" s="50">
        <f>$B$5</f>
        <v>0.7</v>
      </c>
      <c r="X27" s="50">
        <f>$B$6</f>
        <v>0.9</v>
      </c>
      <c r="AN27" s="29" t="str">
        <f>IFERROR(INDEX(Config!$B$10:$B$29,MATCH(15,$AP$13:$AP$32,0))&amp;"","")</f>
        <v/>
      </c>
      <c r="AO27" s="28" t="str">
        <f>IF(AN27="","",IF(INDEX(Config!$C$10:$C$29,MATCH(15,$AP$13:$AP$32,0))&amp;""="","JSL",INDEX(Config!$C$10:$C$29,MATCH(15,$AP$13:$AP$32,0))&amp;""))</f>
        <v/>
      </c>
      <c r="AP27" s="38">
        <f>IF(Config!$B$24&amp;""="",AP26,AP26+1)</f>
        <v>5</v>
      </c>
      <c r="AX27" s="61">
        <f>IF(OR($B27="",N(VALUE($AH$310))=0),"",IF(INDEX($C27:$V27,VALUE($AH$310))="","",IF(N(VALUE($AJ$310))=0,INDEX($C27:$V27,VALUE($AH$310)),IF(N(INDEX($C27:$V27,N(VALUE($AJ$310))))&gt;0,INDEX($C27:$V27,VALUE($AH$310))/INDEX($C27:$V27,N(VALUE($AJ$310))),""))))</f>
        <v>0</v>
      </c>
      <c r="AY27" s="61">
        <f>IF(OR($B27="",N(VALUE($AI$310))=0),"",IF(INDEX($C27:$V27,VALUE($AI$310))="","",IF(N(VALUE($AK$310))=0,INDEX($C27:$V27,VALUE($AI$310)),IF(N(INDEX($C27:$V27,N(VALUE($AK$310))))&gt;0,INDEX($C27:$V27,VALUE($AI$310))/INDEX($C27:$V27,N(VALUE($AK$310))),""))))</f>
        <v>0</v>
      </c>
      <c r="AZ27" s="61">
        <f>IF(OR($B27="",N(VALUE($AP$310))=0),"",IF(INDEX($C27:$V27,VALUE($AP$310))="","",IF(N(VALUE($AR$310))=0,INDEX($C27:$V27,VALUE($AP$310)),IF(N(INDEX($C27:$V27,N(VALUE($AR$310))))&gt;0,INDEX($C27:$V27,VALUE($AP$310))/INDEX($C27:$V27,N(VALUE($AR$310))),""))))</f>
        <v>0</v>
      </c>
      <c r="BA27" s="61">
        <f>IF(OR($B27="",N(VALUE($AQ$310))=0),"",IF(INDEX($C27:$V27,VALUE($AQ$310))="","",IF(N(VALUE($AS$310))=0,INDEX($C27:$V27,VALUE($AQ$310)),IF(N(INDEX($C27:$V27,N(VALUE($AS$310))))&gt;0,INDEX($C27:$V27,VALUE($AQ$310))/INDEX($C27:$V27,N(VALUE($AS$310))),""))))</f>
        <v>0</v>
      </c>
      <c r="BC27" s="32" t="str">
        <f>IF(AND($A27=$B$9,ISNUMBER(L27)),L27,NA())</f>
        <v/>
      </c>
    </row>
    <row r="28">
      <c r="A28" s="28">
        <v>17</v>
      </c>
      <c r="B28" s="46">
        <f>IF($A28&lt;=DAY($D$7),$C$7+$A28-1,"")</f>
        <v>46312</v>
      </c>
      <c r="C28" s="32">
        <f>IF($B28="","",IF($B$2="Todos",SUMIFS(BD!$C$3:$C$5001,BD!$A$3:$A$5001,$B28),SUMIFS(BD!$C$3:$C$5001,BD!$A$3:$A$5001,$B28,BD!$B$3:$B$5001,$D$2)))</f>
        <v>0</v>
      </c>
      <c r="D28" s="32">
        <f>IF($B28="","",IF($B$2="Todos",SUMIFS(BD!$D$3:$D$5001,BD!$A$3:$A$5001,$B28),SUMIFS(BD!$D$3:$D$5001,BD!$A$3:$A$5001,$B28,BD!$B$3:$B$5001,$D$2)))</f>
        <v>0</v>
      </c>
      <c r="E28" s="47">
        <f>IF($B28="","",IF($B$2="Todos",SUMIFS(BD!$E$3:$E$5001,BD!$A$3:$A$5001,$B28),SUMIFS(BD!$E$3:$E$5001,BD!$A$3:$A$5001,$B28,BD!$B$3:$B$5001,$D$2)))</f>
        <v>0</v>
      </c>
      <c r="F28" s="32">
        <f>IF($B28="","",IF($B$2="Todos",SUMIFS(BD!$F$3:$F$5001,BD!$A$3:$A$5001,$B28),SUMIFS(BD!$F$3:$F$5001,BD!$A$3:$A$5001,$B28,BD!$B$3:$B$5001,$D$2)))</f>
        <v>0</v>
      </c>
      <c r="G28" s="32">
        <f>IF($B28="","",IF($B$2="Todos",SUMIFS(BD!$G$3:$G$5001,BD!$A$3:$A$5001,$B28),SUMIFS(BD!$G$3:$G$5001,BD!$A$3:$A$5001,$B28,BD!$B$3:$B$5001,$D$2)))</f>
        <v>0</v>
      </c>
      <c r="H28" s="47">
        <f>IF($B28="","",IF($B$2="Todos",SUMIFS(BD!$H$3:$H$5001,BD!$A$3:$A$5001,$B28),SUMIFS(BD!$H$3:$H$5001,BD!$A$3:$A$5001,$B28,BD!$B$3:$B$5001,$D$2)))</f>
        <v>0</v>
      </c>
      <c r="I28" s="32">
        <f>IF($B28="","",IF($B$2="Todos",SUMIFS(BD!$I$3:$I$5001,BD!$A$3:$A$5001,$B28),SUMIFS(BD!$I$3:$I$5001,BD!$A$3:$A$5001,$B28,BD!$B$3:$B$5001,$D$2)))</f>
        <v>0</v>
      </c>
      <c r="J28" s="32">
        <f>IF($B28="","",IF($B$2="Todos",SUMIFS(BD!$J$3:$J$5001,BD!$A$3:$A$5001,$B28),SUMIFS(BD!$J$3:$J$5001,BD!$A$3:$A$5001,$B28,BD!$B$3:$B$5001,$D$2)))</f>
        <v>0</v>
      </c>
      <c r="K28" s="32" t="str">
        <f>IF($B$2="Todos",IF(COUNT($C$131:$V$131)=0,"",SUM($C$131:$V$131)),IFERROR(INDEX($C$131:$V$131,MATCH($D$2,$C$114:$V$114,0)),""))</f>
        <v/>
      </c>
      <c r="L28" s="48" t="str">
        <f>IF(M28="","",IF($B$2="Todos",IF($B$4&gt;0,$B$4,IF($B$2="Todos",IF(COUNT($C$201:$V$201)=0,"",SUM($C$201:$V$201)),IFERROR(INDEX($C$201:$V$201,MATCH($D$2,$C$184:$V$184,0)),""))),IFERROR(INDEX($C$201:$V$201,MATCH($D$2,$C$184:$V$184,0)),"")))</f>
        <v/>
      </c>
      <c r="M28" s="32" t="str">
        <f>IF($B$2="Todos",IF(COUNT($C$166:$V$166)=0,"",SUM($C$166:$V$166)),IFERROR(INDEX($C$166:$V$166,MATCH($D$2,$C$149:$V$149,0)),""))</f>
        <v/>
      </c>
      <c r="N28" s="49" t="str">
        <f>IF(AND(ISNUMBER(M28),ISNUMBER(L28)),IF(L28&gt;0,M28/L28,""),"")</f>
        <v/>
      </c>
      <c r="O28" s="32" t="str">
        <f>IF($B$2="Todos",IF(COUNT($C$236:$V$236)=0,"",SUM($C$236:$V$236)),IFERROR(INDEX($C$236:$V$236,MATCH($D$2,$C$219:$V$219,0)),""))</f>
        <v/>
      </c>
      <c r="P28" s="32">
        <f>IF($B28="","",IF($B$2="Todos",SUMIFS(BD!$O$3:$O$5001,BD!$A$3:$A$5001,$B28),SUMIFS(BD!$O$3:$O$5001,BD!$A$3:$A$5001,$B28,BD!$B$3:$B$5001,$D$2)))</f>
        <v>0</v>
      </c>
      <c r="Q28" s="32">
        <f>IF($B28="","",IF($B$2="Todos",SUMIFS(BD!$P$3:$P$5001,BD!$A$3:$A$5001,$B28),SUMIFS(BD!$P$3:$P$5001,BD!$A$3:$A$5001,$B28,BD!$B$3:$B$5001,$D$2)))</f>
        <v>0</v>
      </c>
      <c r="R28" s="32">
        <f>IF($B28="","",IF($B$2="Todos",SUMIFS(BD!$Q$3:$Q$5001,BD!$A$3:$A$5001,$B28),SUMIFS(BD!$Q$3:$Q$5001,BD!$A$3:$A$5001,$B28,BD!$B$3:$B$5001,$D$2)))</f>
        <v>0</v>
      </c>
      <c r="S28" s="32">
        <f>IF($B28="","",IF($B$2="Todos",SUMIFS(BD!$R$3:$R$5001,BD!$A$3:$A$5001,$B28),SUMIFS(BD!$R$3:$R$5001,BD!$A$3:$A$5001,$B28,BD!$B$3:$B$5001,$D$2)))</f>
        <v>0</v>
      </c>
      <c r="T28" s="32">
        <f>IF($B28="","",IF($B$2="Todos",SUMIFS(BD!$S$3:$S$5001,BD!$A$3:$A$5001,$B28),SUMIFS(BD!$S$3:$S$5001,BD!$A$3:$A$5001,$B28,BD!$B$3:$B$5001,$D$2)))</f>
        <v>0</v>
      </c>
      <c r="U28" s="32">
        <f>IF($B28="","",IF($B$2="Todos",SUMIFS(BD!$T$3:$T$5001,BD!$A$3:$A$5001,$B28),SUMIFS(BD!$T$3:$T$5001,BD!$A$3:$A$5001,$B28,BD!$B$3:$B$5001,$D$2)))</f>
        <v>0</v>
      </c>
      <c r="V28" s="32">
        <f>IF($B28="","",IF($B$2="Todos",SUMIFS(BD!$U$3:$U$5001,BD!$A$3:$A$5001,$B28),SUMIFS(BD!$U$3:$U$5001,BD!$A$3:$A$5001,$B28,BD!$B$3:$B$5001,$D$2)))</f>
        <v>0</v>
      </c>
      <c r="W28" s="50">
        <f>$B$5</f>
        <v>0.7</v>
      </c>
      <c r="X28" s="50">
        <f>$B$6</f>
        <v>0.9</v>
      </c>
      <c r="AN28" s="29" t="str">
        <f>IFERROR(INDEX(Config!$B$10:$B$29,MATCH(16,$AP$13:$AP$32,0))&amp;"","")</f>
        <v/>
      </c>
      <c r="AO28" s="28" t="str">
        <f>IF(AN28="","",IF(INDEX(Config!$C$10:$C$29,MATCH(16,$AP$13:$AP$32,0))&amp;""="","JSL",INDEX(Config!$C$10:$C$29,MATCH(16,$AP$13:$AP$32,0))&amp;""))</f>
        <v/>
      </c>
      <c r="AP28" s="38">
        <f>IF(Config!$B$25&amp;""="",AP27,AP27+1)</f>
        <v>5</v>
      </c>
      <c r="AX28" s="61">
        <f>IF(OR($B28="",N(VALUE($AH$310))=0),"",IF(INDEX($C28:$V28,VALUE($AH$310))="","",IF(N(VALUE($AJ$310))=0,INDEX($C28:$V28,VALUE($AH$310)),IF(N(INDEX($C28:$V28,N(VALUE($AJ$310))))&gt;0,INDEX($C28:$V28,VALUE($AH$310))/INDEX($C28:$V28,N(VALUE($AJ$310))),""))))</f>
        <v>0</v>
      </c>
      <c r="AY28" s="61">
        <f>IF(OR($B28="",N(VALUE($AI$310))=0),"",IF(INDEX($C28:$V28,VALUE($AI$310))="","",IF(N(VALUE($AK$310))=0,INDEX($C28:$V28,VALUE($AI$310)),IF(N(INDEX($C28:$V28,N(VALUE($AK$310))))&gt;0,INDEX($C28:$V28,VALUE($AI$310))/INDEX($C28:$V28,N(VALUE($AK$310))),""))))</f>
        <v>0</v>
      </c>
      <c r="AZ28" s="61">
        <f>IF(OR($B28="",N(VALUE($AP$310))=0),"",IF(INDEX($C28:$V28,VALUE($AP$310))="","",IF(N(VALUE($AR$310))=0,INDEX($C28:$V28,VALUE($AP$310)),IF(N(INDEX($C28:$V28,N(VALUE($AR$310))))&gt;0,INDEX($C28:$V28,VALUE($AP$310))/INDEX($C28:$V28,N(VALUE($AR$310))),""))))</f>
        <v>0</v>
      </c>
      <c r="BA28" s="61">
        <f>IF(OR($B28="",N(VALUE($AQ$310))=0),"",IF(INDEX($C28:$V28,VALUE($AQ$310))="","",IF(N(VALUE($AS$310))=0,INDEX($C28:$V28,VALUE($AQ$310)),IF(N(INDEX($C28:$V28,N(VALUE($AS$310))))&gt;0,INDEX($C28:$V28,VALUE($AQ$310))/INDEX($C28:$V28,N(VALUE($AS$310))),""))))</f>
        <v>0</v>
      </c>
      <c r="BC28" s="32" t="str">
        <f>IF(AND($A28=$B$9,ISNUMBER(L28)),L28,NA())</f>
        <v/>
      </c>
    </row>
    <row r="29">
      <c r="A29" s="28">
        <v>18</v>
      </c>
      <c r="B29" s="46">
        <f>IF($A29&lt;=DAY($D$7),$C$7+$A29-1,"")</f>
        <v>46313</v>
      </c>
      <c r="C29" s="32">
        <f>IF($B29="","",IF($B$2="Todos",SUMIFS(BD!$C$3:$C$5001,BD!$A$3:$A$5001,$B29),SUMIFS(BD!$C$3:$C$5001,BD!$A$3:$A$5001,$B29,BD!$B$3:$B$5001,$D$2)))</f>
        <v>0</v>
      </c>
      <c r="D29" s="32">
        <f>IF($B29="","",IF($B$2="Todos",SUMIFS(BD!$D$3:$D$5001,BD!$A$3:$A$5001,$B29),SUMIFS(BD!$D$3:$D$5001,BD!$A$3:$A$5001,$B29,BD!$B$3:$B$5001,$D$2)))</f>
        <v>0</v>
      </c>
      <c r="E29" s="47">
        <f>IF($B29="","",IF($B$2="Todos",SUMIFS(BD!$E$3:$E$5001,BD!$A$3:$A$5001,$B29),SUMIFS(BD!$E$3:$E$5001,BD!$A$3:$A$5001,$B29,BD!$B$3:$B$5001,$D$2)))</f>
        <v>0</v>
      </c>
      <c r="F29" s="32">
        <f>IF($B29="","",IF($B$2="Todos",SUMIFS(BD!$F$3:$F$5001,BD!$A$3:$A$5001,$B29),SUMIFS(BD!$F$3:$F$5001,BD!$A$3:$A$5001,$B29,BD!$B$3:$B$5001,$D$2)))</f>
        <v>0</v>
      </c>
      <c r="G29" s="32">
        <f>IF($B29="","",IF($B$2="Todos",SUMIFS(BD!$G$3:$G$5001,BD!$A$3:$A$5001,$B29),SUMIFS(BD!$G$3:$G$5001,BD!$A$3:$A$5001,$B29,BD!$B$3:$B$5001,$D$2)))</f>
        <v>0</v>
      </c>
      <c r="H29" s="47">
        <f>IF($B29="","",IF($B$2="Todos",SUMIFS(BD!$H$3:$H$5001,BD!$A$3:$A$5001,$B29),SUMIFS(BD!$H$3:$H$5001,BD!$A$3:$A$5001,$B29,BD!$B$3:$B$5001,$D$2)))</f>
        <v>0</v>
      </c>
      <c r="I29" s="32">
        <f>IF($B29="","",IF($B$2="Todos",SUMIFS(BD!$I$3:$I$5001,BD!$A$3:$A$5001,$B29),SUMIFS(BD!$I$3:$I$5001,BD!$A$3:$A$5001,$B29,BD!$B$3:$B$5001,$D$2)))</f>
        <v>0</v>
      </c>
      <c r="J29" s="32">
        <f>IF($B29="","",IF($B$2="Todos",SUMIFS(BD!$J$3:$J$5001,BD!$A$3:$A$5001,$B29),SUMIFS(BD!$J$3:$J$5001,BD!$A$3:$A$5001,$B29,BD!$B$3:$B$5001,$D$2)))</f>
        <v>0</v>
      </c>
      <c r="K29" s="32" t="str">
        <f>IF($B$2="Todos",IF(COUNT($C$132:$V$132)=0,"",SUM($C$132:$V$132)),IFERROR(INDEX($C$132:$V$132,MATCH($D$2,$C$114:$V$114,0)),""))</f>
        <v/>
      </c>
      <c r="L29" s="48" t="str">
        <f>IF(M29="","",IF($B$2="Todos",IF($B$4&gt;0,$B$4,IF($B$2="Todos",IF(COUNT($C$202:$V$202)=0,"",SUM($C$202:$V$202)),IFERROR(INDEX($C$202:$V$202,MATCH($D$2,$C$184:$V$184,0)),""))),IFERROR(INDEX($C$202:$V$202,MATCH($D$2,$C$184:$V$184,0)),"")))</f>
        <v/>
      </c>
      <c r="M29" s="32" t="str">
        <f>IF($B$2="Todos",IF(COUNT($C$167:$V$167)=0,"",SUM($C$167:$V$167)),IFERROR(INDEX($C$167:$V$167,MATCH($D$2,$C$149:$V$149,0)),""))</f>
        <v/>
      </c>
      <c r="N29" s="49" t="str">
        <f>IF(AND(ISNUMBER(M29),ISNUMBER(L29)),IF(L29&gt;0,M29/L29,""),"")</f>
        <v/>
      </c>
      <c r="O29" s="32" t="str">
        <f>IF($B$2="Todos",IF(COUNT($C$237:$V$237)=0,"",SUM($C$237:$V$237)),IFERROR(INDEX($C$237:$V$237,MATCH($D$2,$C$219:$V$219,0)),""))</f>
        <v/>
      </c>
      <c r="P29" s="32">
        <f>IF($B29="","",IF($B$2="Todos",SUMIFS(BD!$O$3:$O$5001,BD!$A$3:$A$5001,$B29),SUMIFS(BD!$O$3:$O$5001,BD!$A$3:$A$5001,$B29,BD!$B$3:$B$5001,$D$2)))</f>
        <v>0</v>
      </c>
      <c r="Q29" s="32">
        <f>IF($B29="","",IF($B$2="Todos",SUMIFS(BD!$P$3:$P$5001,BD!$A$3:$A$5001,$B29),SUMIFS(BD!$P$3:$P$5001,BD!$A$3:$A$5001,$B29,BD!$B$3:$B$5001,$D$2)))</f>
        <v>0</v>
      </c>
      <c r="R29" s="32">
        <f>IF($B29="","",IF($B$2="Todos",SUMIFS(BD!$Q$3:$Q$5001,BD!$A$3:$A$5001,$B29),SUMIFS(BD!$Q$3:$Q$5001,BD!$A$3:$A$5001,$B29,BD!$B$3:$B$5001,$D$2)))</f>
        <v>0</v>
      </c>
      <c r="S29" s="32">
        <f>IF($B29="","",IF($B$2="Todos",SUMIFS(BD!$R$3:$R$5001,BD!$A$3:$A$5001,$B29),SUMIFS(BD!$R$3:$R$5001,BD!$A$3:$A$5001,$B29,BD!$B$3:$B$5001,$D$2)))</f>
        <v>0</v>
      </c>
      <c r="T29" s="32">
        <f>IF($B29="","",IF($B$2="Todos",SUMIFS(BD!$S$3:$S$5001,BD!$A$3:$A$5001,$B29),SUMIFS(BD!$S$3:$S$5001,BD!$A$3:$A$5001,$B29,BD!$B$3:$B$5001,$D$2)))</f>
        <v>0</v>
      </c>
      <c r="U29" s="32">
        <f>IF($B29="","",IF($B$2="Todos",SUMIFS(BD!$T$3:$T$5001,BD!$A$3:$A$5001,$B29),SUMIFS(BD!$T$3:$T$5001,BD!$A$3:$A$5001,$B29,BD!$B$3:$B$5001,$D$2)))</f>
        <v>0</v>
      </c>
      <c r="V29" s="32">
        <f>IF($B29="","",IF($B$2="Todos",SUMIFS(BD!$U$3:$U$5001,BD!$A$3:$A$5001,$B29),SUMIFS(BD!$U$3:$U$5001,BD!$A$3:$A$5001,$B29,BD!$B$3:$B$5001,$D$2)))</f>
        <v>0</v>
      </c>
      <c r="W29" s="50">
        <f>$B$5</f>
        <v>0.7</v>
      </c>
      <c r="X29" s="50">
        <f>$B$6</f>
        <v>0.9</v>
      </c>
      <c r="AN29" s="29" t="str">
        <f>IFERROR(INDEX(Config!$B$10:$B$29,MATCH(17,$AP$13:$AP$32,0))&amp;"","")</f>
        <v/>
      </c>
      <c r="AO29" s="28" t="str">
        <f>IF(AN29="","",IF(INDEX(Config!$C$10:$C$29,MATCH(17,$AP$13:$AP$32,0))&amp;""="","JSL",INDEX(Config!$C$10:$C$29,MATCH(17,$AP$13:$AP$32,0))&amp;""))</f>
        <v/>
      </c>
      <c r="AP29" s="38">
        <f>IF(Config!$B$26&amp;""="",AP28,AP28+1)</f>
        <v>5</v>
      </c>
      <c r="AX29" s="61">
        <f>IF(OR($B29="",N(VALUE($AH$310))=0),"",IF(INDEX($C29:$V29,VALUE($AH$310))="","",IF(N(VALUE($AJ$310))=0,INDEX($C29:$V29,VALUE($AH$310)),IF(N(INDEX($C29:$V29,N(VALUE($AJ$310))))&gt;0,INDEX($C29:$V29,VALUE($AH$310))/INDEX($C29:$V29,N(VALUE($AJ$310))),""))))</f>
        <v>0</v>
      </c>
      <c r="AY29" s="61">
        <f>IF(OR($B29="",N(VALUE($AI$310))=0),"",IF(INDEX($C29:$V29,VALUE($AI$310))="","",IF(N(VALUE($AK$310))=0,INDEX($C29:$V29,VALUE($AI$310)),IF(N(INDEX($C29:$V29,N(VALUE($AK$310))))&gt;0,INDEX($C29:$V29,VALUE($AI$310))/INDEX($C29:$V29,N(VALUE($AK$310))),""))))</f>
        <v>0</v>
      </c>
      <c r="AZ29" s="61">
        <f>IF(OR($B29="",N(VALUE($AP$310))=0),"",IF(INDEX($C29:$V29,VALUE($AP$310))="","",IF(N(VALUE($AR$310))=0,INDEX($C29:$V29,VALUE($AP$310)),IF(N(INDEX($C29:$V29,N(VALUE($AR$310))))&gt;0,INDEX($C29:$V29,VALUE($AP$310))/INDEX($C29:$V29,N(VALUE($AR$310))),""))))</f>
        <v>0</v>
      </c>
      <c r="BA29" s="61">
        <f>IF(OR($B29="",N(VALUE($AQ$310))=0),"",IF(INDEX($C29:$V29,VALUE($AQ$310))="","",IF(N(VALUE($AS$310))=0,INDEX($C29:$V29,VALUE($AQ$310)),IF(N(INDEX($C29:$V29,N(VALUE($AS$310))))&gt;0,INDEX($C29:$V29,VALUE($AQ$310))/INDEX($C29:$V29,N(VALUE($AS$310))),""))))</f>
        <v>0</v>
      </c>
      <c r="BC29" s="32" t="str">
        <f>IF(AND($A29=$B$9,ISNUMBER(L29)),L29,NA())</f>
        <v/>
      </c>
    </row>
    <row r="30">
      <c r="A30" s="28">
        <v>19</v>
      </c>
      <c r="B30" s="46">
        <f>IF($A30&lt;=DAY($D$7),$C$7+$A30-1,"")</f>
        <v>46314</v>
      </c>
      <c r="C30" s="32">
        <f>IF($B30="","",IF($B$2="Todos",SUMIFS(BD!$C$3:$C$5001,BD!$A$3:$A$5001,$B30),SUMIFS(BD!$C$3:$C$5001,BD!$A$3:$A$5001,$B30,BD!$B$3:$B$5001,$D$2)))</f>
        <v>0</v>
      </c>
      <c r="D30" s="32">
        <f>IF($B30="","",IF($B$2="Todos",SUMIFS(BD!$D$3:$D$5001,BD!$A$3:$A$5001,$B30),SUMIFS(BD!$D$3:$D$5001,BD!$A$3:$A$5001,$B30,BD!$B$3:$B$5001,$D$2)))</f>
        <v>0</v>
      </c>
      <c r="E30" s="47">
        <f>IF($B30="","",IF($B$2="Todos",SUMIFS(BD!$E$3:$E$5001,BD!$A$3:$A$5001,$B30),SUMIFS(BD!$E$3:$E$5001,BD!$A$3:$A$5001,$B30,BD!$B$3:$B$5001,$D$2)))</f>
        <v>0</v>
      </c>
      <c r="F30" s="32">
        <f>IF($B30="","",IF($B$2="Todos",SUMIFS(BD!$F$3:$F$5001,BD!$A$3:$A$5001,$B30),SUMIFS(BD!$F$3:$F$5001,BD!$A$3:$A$5001,$B30,BD!$B$3:$B$5001,$D$2)))</f>
        <v>0</v>
      </c>
      <c r="G30" s="32">
        <f>IF($B30="","",IF($B$2="Todos",SUMIFS(BD!$G$3:$G$5001,BD!$A$3:$A$5001,$B30),SUMIFS(BD!$G$3:$G$5001,BD!$A$3:$A$5001,$B30,BD!$B$3:$B$5001,$D$2)))</f>
        <v>0</v>
      </c>
      <c r="H30" s="47">
        <f>IF($B30="","",IF($B$2="Todos",SUMIFS(BD!$H$3:$H$5001,BD!$A$3:$A$5001,$B30),SUMIFS(BD!$H$3:$H$5001,BD!$A$3:$A$5001,$B30,BD!$B$3:$B$5001,$D$2)))</f>
        <v>0</v>
      </c>
      <c r="I30" s="32">
        <f>IF($B30="","",IF($B$2="Todos",SUMIFS(BD!$I$3:$I$5001,BD!$A$3:$A$5001,$B30),SUMIFS(BD!$I$3:$I$5001,BD!$A$3:$A$5001,$B30,BD!$B$3:$B$5001,$D$2)))</f>
        <v>0</v>
      </c>
      <c r="J30" s="32">
        <f>IF($B30="","",IF($B$2="Todos",SUMIFS(BD!$J$3:$J$5001,BD!$A$3:$A$5001,$B30),SUMIFS(BD!$J$3:$J$5001,BD!$A$3:$A$5001,$B30,BD!$B$3:$B$5001,$D$2)))</f>
        <v>0</v>
      </c>
      <c r="K30" s="32" t="str">
        <f>IF($B$2="Todos",IF(COUNT($C$133:$V$133)=0,"",SUM($C$133:$V$133)),IFERROR(INDEX($C$133:$V$133,MATCH($D$2,$C$114:$V$114,0)),""))</f>
        <v/>
      </c>
      <c r="L30" s="48" t="str">
        <f>IF(M30="","",IF($B$2="Todos",IF($B$4&gt;0,$B$4,IF($B$2="Todos",IF(COUNT($C$203:$V$203)=0,"",SUM($C$203:$V$203)),IFERROR(INDEX($C$203:$V$203,MATCH($D$2,$C$184:$V$184,0)),""))),IFERROR(INDEX($C$203:$V$203,MATCH($D$2,$C$184:$V$184,0)),"")))</f>
        <v/>
      </c>
      <c r="M30" s="32" t="str">
        <f>IF($B$2="Todos",IF(COUNT($C$168:$V$168)=0,"",SUM($C$168:$V$168)),IFERROR(INDEX($C$168:$V$168,MATCH($D$2,$C$149:$V$149,0)),""))</f>
        <v/>
      </c>
      <c r="N30" s="49" t="str">
        <f>IF(AND(ISNUMBER(M30),ISNUMBER(L30)),IF(L30&gt;0,M30/L30,""),"")</f>
        <v/>
      </c>
      <c r="O30" s="32" t="str">
        <f>IF($B$2="Todos",IF(COUNT($C$238:$V$238)=0,"",SUM($C$238:$V$238)),IFERROR(INDEX($C$238:$V$238,MATCH($D$2,$C$219:$V$219,0)),""))</f>
        <v/>
      </c>
      <c r="P30" s="32">
        <f>IF($B30="","",IF($B$2="Todos",SUMIFS(BD!$O$3:$O$5001,BD!$A$3:$A$5001,$B30),SUMIFS(BD!$O$3:$O$5001,BD!$A$3:$A$5001,$B30,BD!$B$3:$B$5001,$D$2)))</f>
        <v>0</v>
      </c>
      <c r="Q30" s="32">
        <f>IF($B30="","",IF($B$2="Todos",SUMIFS(BD!$P$3:$P$5001,BD!$A$3:$A$5001,$B30),SUMIFS(BD!$P$3:$P$5001,BD!$A$3:$A$5001,$B30,BD!$B$3:$B$5001,$D$2)))</f>
        <v>0</v>
      </c>
      <c r="R30" s="32">
        <f>IF($B30="","",IF($B$2="Todos",SUMIFS(BD!$Q$3:$Q$5001,BD!$A$3:$A$5001,$B30),SUMIFS(BD!$Q$3:$Q$5001,BD!$A$3:$A$5001,$B30,BD!$B$3:$B$5001,$D$2)))</f>
        <v>0</v>
      </c>
      <c r="S30" s="32">
        <f>IF($B30="","",IF($B$2="Todos",SUMIFS(BD!$R$3:$R$5001,BD!$A$3:$A$5001,$B30),SUMIFS(BD!$R$3:$R$5001,BD!$A$3:$A$5001,$B30,BD!$B$3:$B$5001,$D$2)))</f>
        <v>0</v>
      </c>
      <c r="T30" s="32">
        <f>IF($B30="","",IF($B$2="Todos",SUMIFS(BD!$S$3:$S$5001,BD!$A$3:$A$5001,$B30),SUMIFS(BD!$S$3:$S$5001,BD!$A$3:$A$5001,$B30,BD!$B$3:$B$5001,$D$2)))</f>
        <v>0</v>
      </c>
      <c r="U30" s="32">
        <f>IF($B30="","",IF($B$2="Todos",SUMIFS(BD!$T$3:$T$5001,BD!$A$3:$A$5001,$B30),SUMIFS(BD!$T$3:$T$5001,BD!$A$3:$A$5001,$B30,BD!$B$3:$B$5001,$D$2)))</f>
        <v>0</v>
      </c>
      <c r="V30" s="32">
        <f>IF($B30="","",IF($B$2="Todos",SUMIFS(BD!$U$3:$U$5001,BD!$A$3:$A$5001,$B30),SUMIFS(BD!$U$3:$U$5001,BD!$A$3:$A$5001,$B30,BD!$B$3:$B$5001,$D$2)))</f>
        <v>0</v>
      </c>
      <c r="W30" s="50">
        <f>$B$5</f>
        <v>0.7</v>
      </c>
      <c r="X30" s="50">
        <f>$B$6</f>
        <v>0.9</v>
      </c>
      <c r="AN30" s="29" t="str">
        <f>IFERROR(INDEX(Config!$B$10:$B$29,MATCH(18,$AP$13:$AP$32,0))&amp;"","")</f>
        <v/>
      </c>
      <c r="AO30" s="28" t="str">
        <f>IF(AN30="","",IF(INDEX(Config!$C$10:$C$29,MATCH(18,$AP$13:$AP$32,0))&amp;""="","JSL",INDEX(Config!$C$10:$C$29,MATCH(18,$AP$13:$AP$32,0))&amp;""))</f>
        <v/>
      </c>
      <c r="AP30" s="38">
        <f>IF(Config!$B$27&amp;""="",AP29,AP29+1)</f>
        <v>5</v>
      </c>
      <c r="AX30" s="61">
        <f>IF(OR($B30="",N(VALUE($AH$310))=0),"",IF(INDEX($C30:$V30,VALUE($AH$310))="","",IF(N(VALUE($AJ$310))=0,INDEX($C30:$V30,VALUE($AH$310)),IF(N(INDEX($C30:$V30,N(VALUE($AJ$310))))&gt;0,INDEX($C30:$V30,VALUE($AH$310))/INDEX($C30:$V30,N(VALUE($AJ$310))),""))))</f>
        <v>0</v>
      </c>
      <c r="AY30" s="61">
        <f>IF(OR($B30="",N(VALUE($AI$310))=0),"",IF(INDEX($C30:$V30,VALUE($AI$310))="","",IF(N(VALUE($AK$310))=0,INDEX($C30:$V30,VALUE($AI$310)),IF(N(INDEX($C30:$V30,N(VALUE($AK$310))))&gt;0,INDEX($C30:$V30,VALUE($AI$310))/INDEX($C30:$V30,N(VALUE($AK$310))),""))))</f>
        <v>0</v>
      </c>
      <c r="AZ30" s="61">
        <f>IF(OR($B30="",N(VALUE($AP$310))=0),"",IF(INDEX($C30:$V30,VALUE($AP$310))="","",IF(N(VALUE($AR$310))=0,INDEX($C30:$V30,VALUE($AP$310)),IF(N(INDEX($C30:$V30,N(VALUE($AR$310))))&gt;0,INDEX($C30:$V30,VALUE($AP$310))/INDEX($C30:$V30,N(VALUE($AR$310))),""))))</f>
        <v>0</v>
      </c>
      <c r="BA30" s="61">
        <f>IF(OR($B30="",N(VALUE($AQ$310))=0),"",IF(INDEX($C30:$V30,VALUE($AQ$310))="","",IF(N(VALUE($AS$310))=0,INDEX($C30:$V30,VALUE($AQ$310)),IF(N(INDEX($C30:$V30,N(VALUE($AS$310))))&gt;0,INDEX($C30:$V30,VALUE($AQ$310))/INDEX($C30:$V30,N(VALUE($AS$310))),""))))</f>
        <v>0</v>
      </c>
      <c r="BC30" s="32" t="str">
        <f>IF(AND($A30=$B$9,ISNUMBER(L30)),L30,NA())</f>
        <v/>
      </c>
    </row>
    <row r="31">
      <c r="A31" s="28">
        <v>20</v>
      </c>
      <c r="B31" s="46">
        <f>IF($A31&lt;=DAY($D$7),$C$7+$A31-1,"")</f>
        <v>46315</v>
      </c>
      <c r="C31" s="32">
        <f>IF($B31="","",IF($B$2="Todos",SUMIFS(BD!$C$3:$C$5001,BD!$A$3:$A$5001,$B31),SUMIFS(BD!$C$3:$C$5001,BD!$A$3:$A$5001,$B31,BD!$B$3:$B$5001,$D$2)))</f>
        <v>0</v>
      </c>
      <c r="D31" s="32">
        <f>IF($B31="","",IF($B$2="Todos",SUMIFS(BD!$D$3:$D$5001,BD!$A$3:$A$5001,$B31),SUMIFS(BD!$D$3:$D$5001,BD!$A$3:$A$5001,$B31,BD!$B$3:$B$5001,$D$2)))</f>
        <v>0</v>
      </c>
      <c r="E31" s="47">
        <f>IF($B31="","",IF($B$2="Todos",SUMIFS(BD!$E$3:$E$5001,BD!$A$3:$A$5001,$B31),SUMIFS(BD!$E$3:$E$5001,BD!$A$3:$A$5001,$B31,BD!$B$3:$B$5001,$D$2)))</f>
        <v>0</v>
      </c>
      <c r="F31" s="32">
        <f>IF($B31="","",IF($B$2="Todos",SUMIFS(BD!$F$3:$F$5001,BD!$A$3:$A$5001,$B31),SUMIFS(BD!$F$3:$F$5001,BD!$A$3:$A$5001,$B31,BD!$B$3:$B$5001,$D$2)))</f>
        <v>0</v>
      </c>
      <c r="G31" s="32">
        <f>IF($B31="","",IF($B$2="Todos",SUMIFS(BD!$G$3:$G$5001,BD!$A$3:$A$5001,$B31),SUMIFS(BD!$G$3:$G$5001,BD!$A$3:$A$5001,$B31,BD!$B$3:$B$5001,$D$2)))</f>
        <v>0</v>
      </c>
      <c r="H31" s="47">
        <f>IF($B31="","",IF($B$2="Todos",SUMIFS(BD!$H$3:$H$5001,BD!$A$3:$A$5001,$B31),SUMIFS(BD!$H$3:$H$5001,BD!$A$3:$A$5001,$B31,BD!$B$3:$B$5001,$D$2)))</f>
        <v>0</v>
      </c>
      <c r="I31" s="32">
        <f>IF($B31="","",IF($B$2="Todos",SUMIFS(BD!$I$3:$I$5001,BD!$A$3:$A$5001,$B31),SUMIFS(BD!$I$3:$I$5001,BD!$A$3:$A$5001,$B31,BD!$B$3:$B$5001,$D$2)))</f>
        <v>0</v>
      </c>
      <c r="J31" s="32">
        <f>IF($B31="","",IF($B$2="Todos",SUMIFS(BD!$J$3:$J$5001,BD!$A$3:$A$5001,$B31),SUMIFS(BD!$J$3:$J$5001,BD!$A$3:$A$5001,$B31,BD!$B$3:$B$5001,$D$2)))</f>
        <v>0</v>
      </c>
      <c r="K31" s="32" t="str">
        <f>IF($B$2="Todos",IF(COUNT($C$134:$V$134)=0,"",SUM($C$134:$V$134)),IFERROR(INDEX($C$134:$V$134,MATCH($D$2,$C$114:$V$114,0)),""))</f>
        <v/>
      </c>
      <c r="L31" s="48" t="str">
        <f>IF(M31="","",IF($B$2="Todos",IF($B$4&gt;0,$B$4,IF($B$2="Todos",IF(COUNT($C$204:$V$204)=0,"",SUM($C$204:$V$204)),IFERROR(INDEX($C$204:$V$204,MATCH($D$2,$C$184:$V$184,0)),""))),IFERROR(INDEX($C$204:$V$204,MATCH($D$2,$C$184:$V$184,0)),"")))</f>
        <v/>
      </c>
      <c r="M31" s="32" t="str">
        <f>IF($B$2="Todos",IF(COUNT($C$169:$V$169)=0,"",SUM($C$169:$V$169)),IFERROR(INDEX($C$169:$V$169,MATCH($D$2,$C$149:$V$149,0)),""))</f>
        <v/>
      </c>
      <c r="N31" s="49" t="str">
        <f>IF(AND(ISNUMBER(M31),ISNUMBER(L31)),IF(L31&gt;0,M31/L31,""),"")</f>
        <v/>
      </c>
      <c r="O31" s="32" t="str">
        <f>IF($B$2="Todos",IF(COUNT($C$239:$V$239)=0,"",SUM($C$239:$V$239)),IFERROR(INDEX($C$239:$V$239,MATCH($D$2,$C$219:$V$219,0)),""))</f>
        <v/>
      </c>
      <c r="P31" s="32">
        <f>IF($B31="","",IF($B$2="Todos",SUMIFS(BD!$O$3:$O$5001,BD!$A$3:$A$5001,$B31),SUMIFS(BD!$O$3:$O$5001,BD!$A$3:$A$5001,$B31,BD!$B$3:$B$5001,$D$2)))</f>
        <v>0</v>
      </c>
      <c r="Q31" s="32">
        <f>IF($B31="","",IF($B$2="Todos",SUMIFS(BD!$P$3:$P$5001,BD!$A$3:$A$5001,$B31),SUMIFS(BD!$P$3:$P$5001,BD!$A$3:$A$5001,$B31,BD!$B$3:$B$5001,$D$2)))</f>
        <v>0</v>
      </c>
      <c r="R31" s="32">
        <f>IF($B31="","",IF($B$2="Todos",SUMIFS(BD!$Q$3:$Q$5001,BD!$A$3:$A$5001,$B31),SUMIFS(BD!$Q$3:$Q$5001,BD!$A$3:$A$5001,$B31,BD!$B$3:$B$5001,$D$2)))</f>
        <v>0</v>
      </c>
      <c r="S31" s="32">
        <f>IF($B31="","",IF($B$2="Todos",SUMIFS(BD!$R$3:$R$5001,BD!$A$3:$A$5001,$B31),SUMIFS(BD!$R$3:$R$5001,BD!$A$3:$A$5001,$B31,BD!$B$3:$B$5001,$D$2)))</f>
        <v>0</v>
      </c>
      <c r="T31" s="32">
        <f>IF($B31="","",IF($B$2="Todos",SUMIFS(BD!$S$3:$S$5001,BD!$A$3:$A$5001,$B31),SUMIFS(BD!$S$3:$S$5001,BD!$A$3:$A$5001,$B31,BD!$B$3:$B$5001,$D$2)))</f>
        <v>0</v>
      </c>
      <c r="U31" s="32">
        <f>IF($B31="","",IF($B$2="Todos",SUMIFS(BD!$T$3:$T$5001,BD!$A$3:$A$5001,$B31),SUMIFS(BD!$T$3:$T$5001,BD!$A$3:$A$5001,$B31,BD!$B$3:$B$5001,$D$2)))</f>
        <v>0</v>
      </c>
      <c r="V31" s="32">
        <f>IF($B31="","",IF($B$2="Todos",SUMIFS(BD!$U$3:$U$5001,BD!$A$3:$A$5001,$B31),SUMIFS(BD!$U$3:$U$5001,BD!$A$3:$A$5001,$B31,BD!$B$3:$B$5001,$D$2)))</f>
        <v>0</v>
      </c>
      <c r="W31" s="50">
        <f>$B$5</f>
        <v>0.7</v>
      </c>
      <c r="X31" s="50">
        <f>$B$6</f>
        <v>0.9</v>
      </c>
      <c r="AN31" s="29" t="str">
        <f>IFERROR(INDEX(Config!$B$10:$B$29,MATCH(19,$AP$13:$AP$32,0))&amp;"","")</f>
        <v/>
      </c>
      <c r="AO31" s="28" t="str">
        <f>IF(AN31="","",IF(INDEX(Config!$C$10:$C$29,MATCH(19,$AP$13:$AP$32,0))&amp;""="","JSL",INDEX(Config!$C$10:$C$29,MATCH(19,$AP$13:$AP$32,0))&amp;""))</f>
        <v/>
      </c>
      <c r="AP31" s="38">
        <f>IF(Config!$B$28&amp;""="",AP30,AP30+1)</f>
        <v>5</v>
      </c>
      <c r="AX31" s="61">
        <f>IF(OR($B31="",N(VALUE($AH$310))=0),"",IF(INDEX($C31:$V31,VALUE($AH$310))="","",IF(N(VALUE($AJ$310))=0,INDEX($C31:$V31,VALUE($AH$310)),IF(N(INDEX($C31:$V31,N(VALUE($AJ$310))))&gt;0,INDEX($C31:$V31,VALUE($AH$310))/INDEX($C31:$V31,N(VALUE($AJ$310))),""))))</f>
        <v>0</v>
      </c>
      <c r="AY31" s="61">
        <f>IF(OR($B31="",N(VALUE($AI$310))=0),"",IF(INDEX($C31:$V31,VALUE($AI$310))="","",IF(N(VALUE($AK$310))=0,INDEX($C31:$V31,VALUE($AI$310)),IF(N(INDEX($C31:$V31,N(VALUE($AK$310))))&gt;0,INDEX($C31:$V31,VALUE($AI$310))/INDEX($C31:$V31,N(VALUE($AK$310))),""))))</f>
        <v>0</v>
      </c>
      <c r="AZ31" s="61">
        <f>IF(OR($B31="",N(VALUE($AP$310))=0),"",IF(INDEX($C31:$V31,VALUE($AP$310))="","",IF(N(VALUE($AR$310))=0,INDEX($C31:$V31,VALUE($AP$310)),IF(N(INDEX($C31:$V31,N(VALUE($AR$310))))&gt;0,INDEX($C31:$V31,VALUE($AP$310))/INDEX($C31:$V31,N(VALUE($AR$310))),""))))</f>
        <v>0</v>
      </c>
      <c r="BA31" s="61">
        <f>IF(OR($B31="",N(VALUE($AQ$310))=0),"",IF(INDEX($C31:$V31,VALUE($AQ$310))="","",IF(N(VALUE($AS$310))=0,INDEX($C31:$V31,VALUE($AQ$310)),IF(N(INDEX($C31:$V31,N(VALUE($AS$310))))&gt;0,INDEX($C31:$V31,VALUE($AQ$310))/INDEX($C31:$V31,N(VALUE($AS$310))),""))))</f>
        <v>0</v>
      </c>
      <c r="BC31" s="32" t="str">
        <f>IF(AND($A31=$B$9,ISNUMBER(L31)),L31,NA())</f>
        <v/>
      </c>
    </row>
    <row r="32">
      <c r="A32" s="28">
        <v>21</v>
      </c>
      <c r="B32" s="46">
        <f>IF($A32&lt;=DAY($D$7),$C$7+$A32-1,"")</f>
        <v>46316</v>
      </c>
      <c r="C32" s="32">
        <f>IF($B32="","",IF($B$2="Todos",SUMIFS(BD!$C$3:$C$5001,BD!$A$3:$A$5001,$B32),SUMIFS(BD!$C$3:$C$5001,BD!$A$3:$A$5001,$B32,BD!$B$3:$B$5001,$D$2)))</f>
        <v>0</v>
      </c>
      <c r="D32" s="32">
        <f>IF($B32="","",IF($B$2="Todos",SUMIFS(BD!$D$3:$D$5001,BD!$A$3:$A$5001,$B32),SUMIFS(BD!$D$3:$D$5001,BD!$A$3:$A$5001,$B32,BD!$B$3:$B$5001,$D$2)))</f>
        <v>0</v>
      </c>
      <c r="E32" s="47">
        <f>IF($B32="","",IF($B$2="Todos",SUMIFS(BD!$E$3:$E$5001,BD!$A$3:$A$5001,$B32),SUMIFS(BD!$E$3:$E$5001,BD!$A$3:$A$5001,$B32,BD!$B$3:$B$5001,$D$2)))</f>
        <v>0</v>
      </c>
      <c r="F32" s="32">
        <f>IF($B32="","",IF($B$2="Todos",SUMIFS(BD!$F$3:$F$5001,BD!$A$3:$A$5001,$B32),SUMIFS(BD!$F$3:$F$5001,BD!$A$3:$A$5001,$B32,BD!$B$3:$B$5001,$D$2)))</f>
        <v>0</v>
      </c>
      <c r="G32" s="32">
        <f>IF($B32="","",IF($B$2="Todos",SUMIFS(BD!$G$3:$G$5001,BD!$A$3:$A$5001,$B32),SUMIFS(BD!$G$3:$G$5001,BD!$A$3:$A$5001,$B32,BD!$B$3:$B$5001,$D$2)))</f>
        <v>0</v>
      </c>
      <c r="H32" s="47">
        <f>IF($B32="","",IF($B$2="Todos",SUMIFS(BD!$H$3:$H$5001,BD!$A$3:$A$5001,$B32),SUMIFS(BD!$H$3:$H$5001,BD!$A$3:$A$5001,$B32,BD!$B$3:$B$5001,$D$2)))</f>
        <v>0</v>
      </c>
      <c r="I32" s="32">
        <f>IF($B32="","",IF($B$2="Todos",SUMIFS(BD!$I$3:$I$5001,BD!$A$3:$A$5001,$B32),SUMIFS(BD!$I$3:$I$5001,BD!$A$3:$A$5001,$B32,BD!$B$3:$B$5001,$D$2)))</f>
        <v>0</v>
      </c>
      <c r="J32" s="32">
        <f>IF($B32="","",IF($B$2="Todos",SUMIFS(BD!$J$3:$J$5001,BD!$A$3:$A$5001,$B32),SUMIFS(BD!$J$3:$J$5001,BD!$A$3:$A$5001,$B32,BD!$B$3:$B$5001,$D$2)))</f>
        <v>0</v>
      </c>
      <c r="K32" s="32" t="str">
        <f>IF($B$2="Todos",IF(COUNT($C$135:$V$135)=0,"",SUM($C$135:$V$135)),IFERROR(INDEX($C$135:$V$135,MATCH($D$2,$C$114:$V$114,0)),""))</f>
        <v/>
      </c>
      <c r="L32" s="48" t="str">
        <f>IF(M32="","",IF($B$2="Todos",IF($B$4&gt;0,$B$4,IF($B$2="Todos",IF(COUNT($C$205:$V$205)=0,"",SUM($C$205:$V$205)),IFERROR(INDEX($C$205:$V$205,MATCH($D$2,$C$184:$V$184,0)),""))),IFERROR(INDEX($C$205:$V$205,MATCH($D$2,$C$184:$V$184,0)),"")))</f>
        <v/>
      </c>
      <c r="M32" s="32" t="str">
        <f>IF($B$2="Todos",IF(COUNT($C$170:$V$170)=0,"",SUM($C$170:$V$170)),IFERROR(INDEX($C$170:$V$170,MATCH($D$2,$C$149:$V$149,0)),""))</f>
        <v/>
      </c>
      <c r="N32" s="49" t="str">
        <f>IF(AND(ISNUMBER(M32),ISNUMBER(L32)),IF(L32&gt;0,M32/L32,""),"")</f>
        <v/>
      </c>
      <c r="O32" s="32" t="str">
        <f>IF($B$2="Todos",IF(COUNT($C$240:$V$240)=0,"",SUM($C$240:$V$240)),IFERROR(INDEX($C$240:$V$240,MATCH($D$2,$C$219:$V$219,0)),""))</f>
        <v/>
      </c>
      <c r="P32" s="32">
        <f>IF($B32="","",IF($B$2="Todos",SUMIFS(BD!$O$3:$O$5001,BD!$A$3:$A$5001,$B32),SUMIFS(BD!$O$3:$O$5001,BD!$A$3:$A$5001,$B32,BD!$B$3:$B$5001,$D$2)))</f>
        <v>0</v>
      </c>
      <c r="Q32" s="32">
        <f>IF($B32="","",IF($B$2="Todos",SUMIFS(BD!$P$3:$P$5001,BD!$A$3:$A$5001,$B32),SUMIFS(BD!$P$3:$P$5001,BD!$A$3:$A$5001,$B32,BD!$B$3:$B$5001,$D$2)))</f>
        <v>0</v>
      </c>
      <c r="R32" s="32">
        <f>IF($B32="","",IF($B$2="Todos",SUMIFS(BD!$Q$3:$Q$5001,BD!$A$3:$A$5001,$B32),SUMIFS(BD!$Q$3:$Q$5001,BD!$A$3:$A$5001,$B32,BD!$B$3:$B$5001,$D$2)))</f>
        <v>0</v>
      </c>
      <c r="S32" s="32">
        <f>IF($B32="","",IF($B$2="Todos",SUMIFS(BD!$R$3:$R$5001,BD!$A$3:$A$5001,$B32),SUMIFS(BD!$R$3:$R$5001,BD!$A$3:$A$5001,$B32,BD!$B$3:$B$5001,$D$2)))</f>
        <v>0</v>
      </c>
      <c r="T32" s="32">
        <f>IF($B32="","",IF($B$2="Todos",SUMIFS(BD!$S$3:$S$5001,BD!$A$3:$A$5001,$B32),SUMIFS(BD!$S$3:$S$5001,BD!$A$3:$A$5001,$B32,BD!$B$3:$B$5001,$D$2)))</f>
        <v>0</v>
      </c>
      <c r="U32" s="32">
        <f>IF($B32="","",IF($B$2="Todos",SUMIFS(BD!$T$3:$T$5001,BD!$A$3:$A$5001,$B32),SUMIFS(BD!$T$3:$T$5001,BD!$A$3:$A$5001,$B32,BD!$B$3:$B$5001,$D$2)))</f>
        <v>0</v>
      </c>
      <c r="V32" s="32">
        <f>IF($B32="","",IF($B$2="Todos",SUMIFS(BD!$U$3:$U$5001,BD!$A$3:$A$5001,$B32),SUMIFS(BD!$U$3:$U$5001,BD!$A$3:$A$5001,$B32,BD!$B$3:$B$5001,$D$2)))</f>
        <v>0</v>
      </c>
      <c r="W32" s="50">
        <f>$B$5</f>
        <v>0.7</v>
      </c>
      <c r="X32" s="50">
        <f>$B$6</f>
        <v>0.9</v>
      </c>
      <c r="AN32" s="29" t="str">
        <f>IFERROR(INDEX(Config!$B$10:$B$29,MATCH(20,$AP$13:$AP$32,0))&amp;"","")</f>
        <v/>
      </c>
      <c r="AO32" s="28" t="str">
        <f>IF(AN32="","",IF(INDEX(Config!$C$10:$C$29,MATCH(20,$AP$13:$AP$32,0))&amp;""="","JSL",INDEX(Config!$C$10:$C$29,MATCH(20,$AP$13:$AP$32,0))&amp;""))</f>
        <v/>
      </c>
      <c r="AP32" s="38">
        <f>IF(Config!$B$29&amp;""="",AP31,AP31+1)</f>
        <v>5</v>
      </c>
      <c r="AX32" s="61">
        <f>IF(OR($B32="",N(VALUE($AH$310))=0),"",IF(INDEX($C32:$V32,VALUE($AH$310))="","",IF(N(VALUE($AJ$310))=0,INDEX($C32:$V32,VALUE($AH$310)),IF(N(INDEX($C32:$V32,N(VALUE($AJ$310))))&gt;0,INDEX($C32:$V32,VALUE($AH$310))/INDEX($C32:$V32,N(VALUE($AJ$310))),""))))</f>
        <v>0</v>
      </c>
      <c r="AY32" s="61">
        <f>IF(OR($B32="",N(VALUE($AI$310))=0),"",IF(INDEX($C32:$V32,VALUE($AI$310))="","",IF(N(VALUE($AK$310))=0,INDEX($C32:$V32,VALUE($AI$310)),IF(N(INDEX($C32:$V32,N(VALUE($AK$310))))&gt;0,INDEX($C32:$V32,VALUE($AI$310))/INDEX($C32:$V32,N(VALUE($AK$310))),""))))</f>
        <v>0</v>
      </c>
      <c r="AZ32" s="61">
        <f>IF(OR($B32="",N(VALUE($AP$310))=0),"",IF(INDEX($C32:$V32,VALUE($AP$310))="","",IF(N(VALUE($AR$310))=0,INDEX($C32:$V32,VALUE($AP$310)),IF(N(INDEX($C32:$V32,N(VALUE($AR$310))))&gt;0,INDEX($C32:$V32,VALUE($AP$310))/INDEX($C32:$V32,N(VALUE($AR$310))),""))))</f>
        <v>0</v>
      </c>
      <c r="BA32" s="61">
        <f>IF(OR($B32="",N(VALUE($AQ$310))=0),"",IF(INDEX($C32:$V32,VALUE($AQ$310))="","",IF(N(VALUE($AS$310))=0,INDEX($C32:$V32,VALUE($AQ$310)),IF(N(INDEX($C32:$V32,N(VALUE($AS$310))))&gt;0,INDEX($C32:$V32,VALUE($AQ$310))/INDEX($C32:$V32,N(VALUE($AS$310))),""))))</f>
        <v>0</v>
      </c>
      <c r="BC32" s="32" t="str">
        <f>IF(AND($A32=$B$9,ISNUMBER(L32)),L32,NA())</f>
        <v/>
      </c>
    </row>
    <row r="33">
      <c r="A33" s="28">
        <v>22</v>
      </c>
      <c r="B33" s="46">
        <f>IF($A33&lt;=DAY($D$7),$C$7+$A33-1,"")</f>
        <v>46317</v>
      </c>
      <c r="C33" s="32">
        <f>IF($B33="","",IF($B$2="Todos",SUMIFS(BD!$C$3:$C$5001,BD!$A$3:$A$5001,$B33),SUMIFS(BD!$C$3:$C$5001,BD!$A$3:$A$5001,$B33,BD!$B$3:$B$5001,$D$2)))</f>
        <v>0</v>
      </c>
      <c r="D33" s="32">
        <f>IF($B33="","",IF($B$2="Todos",SUMIFS(BD!$D$3:$D$5001,BD!$A$3:$A$5001,$B33),SUMIFS(BD!$D$3:$D$5001,BD!$A$3:$A$5001,$B33,BD!$B$3:$B$5001,$D$2)))</f>
        <v>0</v>
      </c>
      <c r="E33" s="47">
        <f>IF($B33="","",IF($B$2="Todos",SUMIFS(BD!$E$3:$E$5001,BD!$A$3:$A$5001,$B33),SUMIFS(BD!$E$3:$E$5001,BD!$A$3:$A$5001,$B33,BD!$B$3:$B$5001,$D$2)))</f>
        <v>0</v>
      </c>
      <c r="F33" s="32">
        <f>IF($B33="","",IF($B$2="Todos",SUMIFS(BD!$F$3:$F$5001,BD!$A$3:$A$5001,$B33),SUMIFS(BD!$F$3:$F$5001,BD!$A$3:$A$5001,$B33,BD!$B$3:$B$5001,$D$2)))</f>
        <v>0</v>
      </c>
      <c r="G33" s="32">
        <f>IF($B33="","",IF($B$2="Todos",SUMIFS(BD!$G$3:$G$5001,BD!$A$3:$A$5001,$B33),SUMIFS(BD!$G$3:$G$5001,BD!$A$3:$A$5001,$B33,BD!$B$3:$B$5001,$D$2)))</f>
        <v>0</v>
      </c>
      <c r="H33" s="47">
        <f>IF($B33="","",IF($B$2="Todos",SUMIFS(BD!$H$3:$H$5001,BD!$A$3:$A$5001,$B33),SUMIFS(BD!$H$3:$H$5001,BD!$A$3:$A$5001,$B33,BD!$B$3:$B$5001,$D$2)))</f>
        <v>0</v>
      </c>
      <c r="I33" s="32">
        <f>IF($B33="","",IF($B$2="Todos",SUMIFS(BD!$I$3:$I$5001,BD!$A$3:$A$5001,$B33),SUMIFS(BD!$I$3:$I$5001,BD!$A$3:$A$5001,$B33,BD!$B$3:$B$5001,$D$2)))</f>
        <v>0</v>
      </c>
      <c r="J33" s="32">
        <f>IF($B33="","",IF($B$2="Todos",SUMIFS(BD!$J$3:$J$5001,BD!$A$3:$A$5001,$B33),SUMIFS(BD!$J$3:$J$5001,BD!$A$3:$A$5001,$B33,BD!$B$3:$B$5001,$D$2)))</f>
        <v>0</v>
      </c>
      <c r="K33" s="32" t="str">
        <f>IF($B$2="Todos",IF(COUNT($C$136:$V$136)=0,"",SUM($C$136:$V$136)),IFERROR(INDEX($C$136:$V$136,MATCH($D$2,$C$114:$V$114,0)),""))</f>
        <v/>
      </c>
      <c r="L33" s="48" t="str">
        <f>IF(M33="","",IF($B$2="Todos",IF($B$4&gt;0,$B$4,IF($B$2="Todos",IF(COUNT($C$206:$V$206)=0,"",SUM($C$206:$V$206)),IFERROR(INDEX($C$206:$V$206,MATCH($D$2,$C$184:$V$184,0)),""))),IFERROR(INDEX($C$206:$V$206,MATCH($D$2,$C$184:$V$184,0)),"")))</f>
        <v/>
      </c>
      <c r="M33" s="32" t="str">
        <f>IF($B$2="Todos",IF(COUNT($C$171:$V$171)=0,"",SUM($C$171:$V$171)),IFERROR(INDEX($C$171:$V$171,MATCH($D$2,$C$149:$V$149,0)),""))</f>
        <v/>
      </c>
      <c r="N33" s="49" t="str">
        <f>IF(AND(ISNUMBER(M33),ISNUMBER(L33)),IF(L33&gt;0,M33/L33,""),"")</f>
        <v/>
      </c>
      <c r="O33" s="32" t="str">
        <f>IF($B$2="Todos",IF(COUNT($C$241:$V$241)=0,"",SUM($C$241:$V$241)),IFERROR(INDEX($C$241:$V$241,MATCH($D$2,$C$219:$V$219,0)),""))</f>
        <v/>
      </c>
      <c r="P33" s="32">
        <f>IF($B33="","",IF($B$2="Todos",SUMIFS(BD!$O$3:$O$5001,BD!$A$3:$A$5001,$B33),SUMIFS(BD!$O$3:$O$5001,BD!$A$3:$A$5001,$B33,BD!$B$3:$B$5001,$D$2)))</f>
        <v>0</v>
      </c>
      <c r="Q33" s="32">
        <f>IF($B33="","",IF($B$2="Todos",SUMIFS(BD!$P$3:$P$5001,BD!$A$3:$A$5001,$B33),SUMIFS(BD!$P$3:$P$5001,BD!$A$3:$A$5001,$B33,BD!$B$3:$B$5001,$D$2)))</f>
        <v>0</v>
      </c>
      <c r="R33" s="32">
        <f>IF($B33="","",IF($B$2="Todos",SUMIFS(BD!$Q$3:$Q$5001,BD!$A$3:$A$5001,$B33),SUMIFS(BD!$Q$3:$Q$5001,BD!$A$3:$A$5001,$B33,BD!$B$3:$B$5001,$D$2)))</f>
        <v>0</v>
      </c>
      <c r="S33" s="32">
        <f>IF($B33="","",IF($B$2="Todos",SUMIFS(BD!$R$3:$R$5001,BD!$A$3:$A$5001,$B33),SUMIFS(BD!$R$3:$R$5001,BD!$A$3:$A$5001,$B33,BD!$B$3:$B$5001,$D$2)))</f>
        <v>0</v>
      </c>
      <c r="T33" s="32">
        <f>IF($B33="","",IF($B$2="Todos",SUMIFS(BD!$S$3:$S$5001,BD!$A$3:$A$5001,$B33),SUMIFS(BD!$S$3:$S$5001,BD!$A$3:$A$5001,$B33,BD!$B$3:$B$5001,$D$2)))</f>
        <v>0</v>
      </c>
      <c r="U33" s="32">
        <f>IF($B33="","",IF($B$2="Todos",SUMIFS(BD!$T$3:$T$5001,BD!$A$3:$A$5001,$B33),SUMIFS(BD!$T$3:$T$5001,BD!$A$3:$A$5001,$B33,BD!$B$3:$B$5001,$D$2)))</f>
        <v>0</v>
      </c>
      <c r="V33" s="32">
        <f>IF($B33="","",IF($B$2="Todos",SUMIFS(BD!$U$3:$U$5001,BD!$A$3:$A$5001,$B33),SUMIFS(BD!$U$3:$U$5001,BD!$A$3:$A$5001,$B33,BD!$B$3:$B$5001,$D$2)))</f>
        <v>0</v>
      </c>
      <c r="W33" s="50">
        <f>$B$5</f>
        <v>0.7</v>
      </c>
      <c r="X33" s="50">
        <f>$B$6</f>
        <v>0.9</v>
      </c>
      <c r="AX33" s="61">
        <f>IF(OR($B33="",N(VALUE($AH$310))=0),"",IF(INDEX($C33:$V33,VALUE($AH$310))="","",IF(N(VALUE($AJ$310))=0,INDEX($C33:$V33,VALUE($AH$310)),IF(N(INDEX($C33:$V33,N(VALUE($AJ$310))))&gt;0,INDEX($C33:$V33,VALUE($AH$310))/INDEX($C33:$V33,N(VALUE($AJ$310))),""))))</f>
        <v>0</v>
      </c>
      <c r="AY33" s="61">
        <f>IF(OR($B33="",N(VALUE($AI$310))=0),"",IF(INDEX($C33:$V33,VALUE($AI$310))="","",IF(N(VALUE($AK$310))=0,INDEX($C33:$V33,VALUE($AI$310)),IF(N(INDEX($C33:$V33,N(VALUE($AK$310))))&gt;0,INDEX($C33:$V33,VALUE($AI$310))/INDEX($C33:$V33,N(VALUE($AK$310))),""))))</f>
        <v>0</v>
      </c>
      <c r="AZ33" s="61">
        <f>IF(OR($B33="",N(VALUE($AP$310))=0),"",IF(INDEX($C33:$V33,VALUE($AP$310))="","",IF(N(VALUE($AR$310))=0,INDEX($C33:$V33,VALUE($AP$310)),IF(N(INDEX($C33:$V33,N(VALUE($AR$310))))&gt;0,INDEX($C33:$V33,VALUE($AP$310))/INDEX($C33:$V33,N(VALUE($AR$310))),""))))</f>
        <v>0</v>
      </c>
      <c r="BA33" s="61">
        <f>IF(OR($B33="",N(VALUE($AQ$310))=0),"",IF(INDEX($C33:$V33,VALUE($AQ$310))="","",IF(N(VALUE($AS$310))=0,INDEX($C33:$V33,VALUE($AQ$310)),IF(N(INDEX($C33:$V33,N(VALUE($AS$310))))&gt;0,INDEX($C33:$V33,VALUE($AQ$310))/INDEX($C33:$V33,N(VALUE($AS$310))),""))))</f>
        <v>0</v>
      </c>
      <c r="BC33" s="32" t="str">
        <f>IF(AND($A33=$B$9,ISNUMBER(L33)),L33,NA())</f>
        <v/>
      </c>
    </row>
    <row r="34">
      <c r="A34" s="28">
        <v>23</v>
      </c>
      <c r="B34" s="46">
        <f>IF($A34&lt;=DAY($D$7),$C$7+$A34-1,"")</f>
        <v>46318</v>
      </c>
      <c r="C34" s="32">
        <f>IF($B34="","",IF($B$2="Todos",SUMIFS(BD!$C$3:$C$5001,BD!$A$3:$A$5001,$B34),SUMIFS(BD!$C$3:$C$5001,BD!$A$3:$A$5001,$B34,BD!$B$3:$B$5001,$D$2)))</f>
        <v>0</v>
      </c>
      <c r="D34" s="32">
        <f>IF($B34="","",IF($B$2="Todos",SUMIFS(BD!$D$3:$D$5001,BD!$A$3:$A$5001,$B34),SUMIFS(BD!$D$3:$D$5001,BD!$A$3:$A$5001,$B34,BD!$B$3:$B$5001,$D$2)))</f>
        <v>0</v>
      </c>
      <c r="E34" s="47">
        <f>IF($B34="","",IF($B$2="Todos",SUMIFS(BD!$E$3:$E$5001,BD!$A$3:$A$5001,$B34),SUMIFS(BD!$E$3:$E$5001,BD!$A$3:$A$5001,$B34,BD!$B$3:$B$5001,$D$2)))</f>
        <v>0</v>
      </c>
      <c r="F34" s="32">
        <f>IF($B34="","",IF($B$2="Todos",SUMIFS(BD!$F$3:$F$5001,BD!$A$3:$A$5001,$B34),SUMIFS(BD!$F$3:$F$5001,BD!$A$3:$A$5001,$B34,BD!$B$3:$B$5001,$D$2)))</f>
        <v>0</v>
      </c>
      <c r="G34" s="32">
        <f>IF($B34="","",IF($B$2="Todos",SUMIFS(BD!$G$3:$G$5001,BD!$A$3:$A$5001,$B34),SUMIFS(BD!$G$3:$G$5001,BD!$A$3:$A$5001,$B34,BD!$B$3:$B$5001,$D$2)))</f>
        <v>0</v>
      </c>
      <c r="H34" s="47">
        <f>IF($B34="","",IF($B$2="Todos",SUMIFS(BD!$H$3:$H$5001,BD!$A$3:$A$5001,$B34),SUMIFS(BD!$H$3:$H$5001,BD!$A$3:$A$5001,$B34,BD!$B$3:$B$5001,$D$2)))</f>
        <v>0</v>
      </c>
      <c r="I34" s="32">
        <f>IF($B34="","",IF($B$2="Todos",SUMIFS(BD!$I$3:$I$5001,BD!$A$3:$A$5001,$B34),SUMIFS(BD!$I$3:$I$5001,BD!$A$3:$A$5001,$B34,BD!$B$3:$B$5001,$D$2)))</f>
        <v>0</v>
      </c>
      <c r="J34" s="32">
        <f>IF($B34="","",IF($B$2="Todos",SUMIFS(BD!$J$3:$J$5001,BD!$A$3:$A$5001,$B34),SUMIFS(BD!$J$3:$J$5001,BD!$A$3:$A$5001,$B34,BD!$B$3:$B$5001,$D$2)))</f>
        <v>0</v>
      </c>
      <c r="K34" s="32" t="str">
        <f>IF($B$2="Todos",IF(COUNT($C$137:$V$137)=0,"",SUM($C$137:$V$137)),IFERROR(INDEX($C$137:$V$137,MATCH($D$2,$C$114:$V$114,0)),""))</f>
        <v/>
      </c>
      <c r="L34" s="48" t="str">
        <f>IF(M34="","",IF($B$2="Todos",IF($B$4&gt;0,$B$4,IF($B$2="Todos",IF(COUNT($C$207:$V$207)=0,"",SUM($C$207:$V$207)),IFERROR(INDEX($C$207:$V$207,MATCH($D$2,$C$184:$V$184,0)),""))),IFERROR(INDEX($C$207:$V$207,MATCH($D$2,$C$184:$V$184,0)),"")))</f>
        <v/>
      </c>
      <c r="M34" s="32" t="str">
        <f>IF($B$2="Todos",IF(COUNT($C$172:$V$172)=0,"",SUM($C$172:$V$172)),IFERROR(INDEX($C$172:$V$172,MATCH($D$2,$C$149:$V$149,0)),""))</f>
        <v/>
      </c>
      <c r="N34" s="49" t="str">
        <f>IF(AND(ISNUMBER(M34),ISNUMBER(L34)),IF(L34&gt;0,M34/L34,""),"")</f>
        <v/>
      </c>
      <c r="O34" s="32" t="str">
        <f>IF($B$2="Todos",IF(COUNT($C$242:$V$242)=0,"",SUM($C$242:$V$242)),IFERROR(INDEX($C$242:$V$242,MATCH($D$2,$C$219:$V$219,0)),""))</f>
        <v/>
      </c>
      <c r="P34" s="32">
        <f>IF($B34="","",IF($B$2="Todos",SUMIFS(BD!$O$3:$O$5001,BD!$A$3:$A$5001,$B34),SUMIFS(BD!$O$3:$O$5001,BD!$A$3:$A$5001,$B34,BD!$B$3:$B$5001,$D$2)))</f>
        <v>0</v>
      </c>
      <c r="Q34" s="32">
        <f>IF($B34="","",IF($B$2="Todos",SUMIFS(BD!$P$3:$P$5001,BD!$A$3:$A$5001,$B34),SUMIFS(BD!$P$3:$P$5001,BD!$A$3:$A$5001,$B34,BD!$B$3:$B$5001,$D$2)))</f>
        <v>0</v>
      </c>
      <c r="R34" s="32">
        <f>IF($B34="","",IF($B$2="Todos",SUMIFS(BD!$Q$3:$Q$5001,BD!$A$3:$A$5001,$B34),SUMIFS(BD!$Q$3:$Q$5001,BD!$A$3:$A$5001,$B34,BD!$B$3:$B$5001,$D$2)))</f>
        <v>0</v>
      </c>
      <c r="S34" s="32">
        <f>IF($B34="","",IF($B$2="Todos",SUMIFS(BD!$R$3:$R$5001,BD!$A$3:$A$5001,$B34),SUMIFS(BD!$R$3:$R$5001,BD!$A$3:$A$5001,$B34,BD!$B$3:$B$5001,$D$2)))</f>
        <v>0</v>
      </c>
      <c r="T34" s="32">
        <f>IF($B34="","",IF($B$2="Todos",SUMIFS(BD!$S$3:$S$5001,BD!$A$3:$A$5001,$B34),SUMIFS(BD!$S$3:$S$5001,BD!$A$3:$A$5001,$B34,BD!$B$3:$B$5001,$D$2)))</f>
        <v>0</v>
      </c>
      <c r="U34" s="32">
        <f>IF($B34="","",IF($B$2="Todos",SUMIFS(BD!$T$3:$T$5001,BD!$A$3:$A$5001,$B34),SUMIFS(BD!$T$3:$T$5001,BD!$A$3:$A$5001,$B34,BD!$B$3:$B$5001,$D$2)))</f>
        <v>0</v>
      </c>
      <c r="V34" s="32">
        <f>IF($B34="","",IF($B$2="Todos",SUMIFS(BD!$U$3:$U$5001,BD!$A$3:$A$5001,$B34),SUMIFS(BD!$U$3:$U$5001,BD!$A$3:$A$5001,$B34,BD!$B$3:$B$5001,$D$2)))</f>
        <v>0</v>
      </c>
      <c r="W34" s="50">
        <f>$B$5</f>
        <v>0.7</v>
      </c>
      <c r="X34" s="50">
        <f>$B$6</f>
        <v>0.9</v>
      </c>
      <c r="AX34" s="61">
        <f>IF(OR($B34="",N(VALUE($AH$310))=0),"",IF(INDEX($C34:$V34,VALUE($AH$310))="","",IF(N(VALUE($AJ$310))=0,INDEX($C34:$V34,VALUE($AH$310)),IF(N(INDEX($C34:$V34,N(VALUE($AJ$310))))&gt;0,INDEX($C34:$V34,VALUE($AH$310))/INDEX($C34:$V34,N(VALUE($AJ$310))),""))))</f>
        <v>0</v>
      </c>
      <c r="AY34" s="61">
        <f>IF(OR($B34="",N(VALUE($AI$310))=0),"",IF(INDEX($C34:$V34,VALUE($AI$310))="","",IF(N(VALUE($AK$310))=0,INDEX($C34:$V34,VALUE($AI$310)),IF(N(INDEX($C34:$V34,N(VALUE($AK$310))))&gt;0,INDEX($C34:$V34,VALUE($AI$310))/INDEX($C34:$V34,N(VALUE($AK$310))),""))))</f>
        <v>0</v>
      </c>
      <c r="AZ34" s="61">
        <f>IF(OR($B34="",N(VALUE($AP$310))=0),"",IF(INDEX($C34:$V34,VALUE($AP$310))="","",IF(N(VALUE($AR$310))=0,INDEX($C34:$V34,VALUE($AP$310)),IF(N(INDEX($C34:$V34,N(VALUE($AR$310))))&gt;0,INDEX($C34:$V34,VALUE($AP$310))/INDEX($C34:$V34,N(VALUE($AR$310))),""))))</f>
        <v>0</v>
      </c>
      <c r="BA34" s="61">
        <f>IF(OR($B34="",N(VALUE($AQ$310))=0),"",IF(INDEX($C34:$V34,VALUE($AQ$310))="","",IF(N(VALUE($AS$310))=0,INDEX($C34:$V34,VALUE($AQ$310)),IF(N(INDEX($C34:$V34,N(VALUE($AS$310))))&gt;0,INDEX($C34:$V34,VALUE($AQ$310))/INDEX($C34:$V34,N(VALUE($AS$310))),""))))</f>
        <v>0</v>
      </c>
      <c r="BC34" s="32" t="str">
        <f>IF(AND($A34=$B$9,ISNUMBER(L34)),L34,NA())</f>
        <v/>
      </c>
    </row>
    <row r="35">
      <c r="A35" s="28">
        <v>24</v>
      </c>
      <c r="B35" s="46">
        <f>IF($A35&lt;=DAY($D$7),$C$7+$A35-1,"")</f>
        <v>46319</v>
      </c>
      <c r="C35" s="32">
        <f>IF($B35="","",IF($B$2="Todos",SUMIFS(BD!$C$3:$C$5001,BD!$A$3:$A$5001,$B35),SUMIFS(BD!$C$3:$C$5001,BD!$A$3:$A$5001,$B35,BD!$B$3:$B$5001,$D$2)))</f>
        <v>0</v>
      </c>
      <c r="D35" s="32">
        <f>IF($B35="","",IF($B$2="Todos",SUMIFS(BD!$D$3:$D$5001,BD!$A$3:$A$5001,$B35),SUMIFS(BD!$D$3:$D$5001,BD!$A$3:$A$5001,$B35,BD!$B$3:$B$5001,$D$2)))</f>
        <v>0</v>
      </c>
      <c r="E35" s="47">
        <f>IF($B35="","",IF($B$2="Todos",SUMIFS(BD!$E$3:$E$5001,BD!$A$3:$A$5001,$B35),SUMIFS(BD!$E$3:$E$5001,BD!$A$3:$A$5001,$B35,BD!$B$3:$B$5001,$D$2)))</f>
        <v>0</v>
      </c>
      <c r="F35" s="32">
        <f>IF($B35="","",IF($B$2="Todos",SUMIFS(BD!$F$3:$F$5001,BD!$A$3:$A$5001,$B35),SUMIFS(BD!$F$3:$F$5001,BD!$A$3:$A$5001,$B35,BD!$B$3:$B$5001,$D$2)))</f>
        <v>0</v>
      </c>
      <c r="G35" s="32">
        <f>IF($B35="","",IF($B$2="Todos",SUMIFS(BD!$G$3:$G$5001,BD!$A$3:$A$5001,$B35),SUMIFS(BD!$G$3:$G$5001,BD!$A$3:$A$5001,$B35,BD!$B$3:$B$5001,$D$2)))</f>
        <v>0</v>
      </c>
      <c r="H35" s="47">
        <f>IF($B35="","",IF($B$2="Todos",SUMIFS(BD!$H$3:$H$5001,BD!$A$3:$A$5001,$B35),SUMIFS(BD!$H$3:$H$5001,BD!$A$3:$A$5001,$B35,BD!$B$3:$B$5001,$D$2)))</f>
        <v>0</v>
      </c>
      <c r="I35" s="32">
        <f>IF($B35="","",IF($B$2="Todos",SUMIFS(BD!$I$3:$I$5001,BD!$A$3:$A$5001,$B35),SUMIFS(BD!$I$3:$I$5001,BD!$A$3:$A$5001,$B35,BD!$B$3:$B$5001,$D$2)))</f>
        <v>0</v>
      </c>
      <c r="J35" s="32">
        <f>IF($B35="","",IF($B$2="Todos",SUMIFS(BD!$J$3:$J$5001,BD!$A$3:$A$5001,$B35),SUMIFS(BD!$J$3:$J$5001,BD!$A$3:$A$5001,$B35,BD!$B$3:$B$5001,$D$2)))</f>
        <v>0</v>
      </c>
      <c r="K35" s="32" t="str">
        <f>IF($B$2="Todos",IF(COUNT($C$138:$V$138)=0,"",SUM($C$138:$V$138)),IFERROR(INDEX($C$138:$V$138,MATCH($D$2,$C$114:$V$114,0)),""))</f>
        <v/>
      </c>
      <c r="L35" s="48" t="str">
        <f>IF(M35="","",IF($B$2="Todos",IF($B$4&gt;0,$B$4,IF($B$2="Todos",IF(COUNT($C$208:$V$208)=0,"",SUM($C$208:$V$208)),IFERROR(INDEX($C$208:$V$208,MATCH($D$2,$C$184:$V$184,0)),""))),IFERROR(INDEX($C$208:$V$208,MATCH($D$2,$C$184:$V$184,0)),"")))</f>
        <v/>
      </c>
      <c r="M35" s="32" t="str">
        <f>IF($B$2="Todos",IF(COUNT($C$173:$V$173)=0,"",SUM($C$173:$V$173)),IFERROR(INDEX($C$173:$V$173,MATCH($D$2,$C$149:$V$149,0)),""))</f>
        <v/>
      </c>
      <c r="N35" s="49" t="str">
        <f>IF(AND(ISNUMBER(M35),ISNUMBER(L35)),IF(L35&gt;0,M35/L35,""),"")</f>
        <v/>
      </c>
      <c r="O35" s="32" t="str">
        <f>IF($B$2="Todos",IF(COUNT($C$243:$V$243)=0,"",SUM($C$243:$V$243)),IFERROR(INDEX($C$243:$V$243,MATCH($D$2,$C$219:$V$219,0)),""))</f>
        <v/>
      </c>
      <c r="P35" s="32">
        <f>IF($B35="","",IF($B$2="Todos",SUMIFS(BD!$O$3:$O$5001,BD!$A$3:$A$5001,$B35),SUMIFS(BD!$O$3:$O$5001,BD!$A$3:$A$5001,$B35,BD!$B$3:$B$5001,$D$2)))</f>
        <v>0</v>
      </c>
      <c r="Q35" s="32">
        <f>IF($B35="","",IF($B$2="Todos",SUMIFS(BD!$P$3:$P$5001,BD!$A$3:$A$5001,$B35),SUMIFS(BD!$P$3:$P$5001,BD!$A$3:$A$5001,$B35,BD!$B$3:$B$5001,$D$2)))</f>
        <v>0</v>
      </c>
      <c r="R35" s="32">
        <f>IF($B35="","",IF($B$2="Todos",SUMIFS(BD!$Q$3:$Q$5001,BD!$A$3:$A$5001,$B35),SUMIFS(BD!$Q$3:$Q$5001,BD!$A$3:$A$5001,$B35,BD!$B$3:$B$5001,$D$2)))</f>
        <v>0</v>
      </c>
      <c r="S35" s="32">
        <f>IF($B35="","",IF($B$2="Todos",SUMIFS(BD!$R$3:$R$5001,BD!$A$3:$A$5001,$B35),SUMIFS(BD!$R$3:$R$5001,BD!$A$3:$A$5001,$B35,BD!$B$3:$B$5001,$D$2)))</f>
        <v>0</v>
      </c>
      <c r="T35" s="32">
        <f>IF($B35="","",IF($B$2="Todos",SUMIFS(BD!$S$3:$S$5001,BD!$A$3:$A$5001,$B35),SUMIFS(BD!$S$3:$S$5001,BD!$A$3:$A$5001,$B35,BD!$B$3:$B$5001,$D$2)))</f>
        <v>0</v>
      </c>
      <c r="U35" s="32">
        <f>IF($B35="","",IF($B$2="Todos",SUMIFS(BD!$T$3:$T$5001,BD!$A$3:$A$5001,$B35),SUMIFS(BD!$T$3:$T$5001,BD!$A$3:$A$5001,$B35,BD!$B$3:$B$5001,$D$2)))</f>
        <v>0</v>
      </c>
      <c r="V35" s="32">
        <f>IF($B35="","",IF($B$2="Todos",SUMIFS(BD!$U$3:$U$5001,BD!$A$3:$A$5001,$B35),SUMIFS(BD!$U$3:$U$5001,BD!$A$3:$A$5001,$B35,BD!$B$3:$B$5001,$D$2)))</f>
        <v>0</v>
      </c>
      <c r="W35" s="50">
        <f>$B$5</f>
        <v>0.7</v>
      </c>
      <c r="X35" s="50">
        <f>$B$6</f>
        <v>0.9</v>
      </c>
      <c r="AX35" s="61">
        <f>IF(OR($B35="",N(VALUE($AH$310))=0),"",IF(INDEX($C35:$V35,VALUE($AH$310))="","",IF(N(VALUE($AJ$310))=0,INDEX($C35:$V35,VALUE($AH$310)),IF(N(INDEX($C35:$V35,N(VALUE($AJ$310))))&gt;0,INDEX($C35:$V35,VALUE($AH$310))/INDEX($C35:$V35,N(VALUE($AJ$310))),""))))</f>
        <v>0</v>
      </c>
      <c r="AY35" s="61">
        <f>IF(OR($B35="",N(VALUE($AI$310))=0),"",IF(INDEX($C35:$V35,VALUE($AI$310))="","",IF(N(VALUE($AK$310))=0,INDEX($C35:$V35,VALUE($AI$310)),IF(N(INDEX($C35:$V35,N(VALUE($AK$310))))&gt;0,INDEX($C35:$V35,VALUE($AI$310))/INDEX($C35:$V35,N(VALUE($AK$310))),""))))</f>
        <v>0</v>
      </c>
      <c r="AZ35" s="61">
        <f>IF(OR($B35="",N(VALUE($AP$310))=0),"",IF(INDEX($C35:$V35,VALUE($AP$310))="","",IF(N(VALUE($AR$310))=0,INDEX($C35:$V35,VALUE($AP$310)),IF(N(INDEX($C35:$V35,N(VALUE($AR$310))))&gt;0,INDEX($C35:$V35,VALUE($AP$310))/INDEX($C35:$V35,N(VALUE($AR$310))),""))))</f>
        <v>0</v>
      </c>
      <c r="BA35" s="61">
        <f>IF(OR($B35="",N(VALUE($AQ$310))=0),"",IF(INDEX($C35:$V35,VALUE($AQ$310))="","",IF(N(VALUE($AS$310))=0,INDEX($C35:$V35,VALUE($AQ$310)),IF(N(INDEX($C35:$V35,N(VALUE($AS$310))))&gt;0,INDEX($C35:$V35,VALUE($AQ$310))/INDEX($C35:$V35,N(VALUE($AS$310))),""))))</f>
        <v>0</v>
      </c>
      <c r="BC35" s="32" t="str">
        <f>IF(AND($A35=$B$9,ISNUMBER(L35)),L35,NA())</f>
        <v/>
      </c>
    </row>
    <row r="36">
      <c r="A36" s="28">
        <v>25</v>
      </c>
      <c r="B36" s="46">
        <f>IF($A36&lt;=DAY($D$7),$C$7+$A36-1,"")</f>
        <v>46320</v>
      </c>
      <c r="C36" s="32">
        <f>IF($B36="","",IF($B$2="Todos",SUMIFS(BD!$C$3:$C$5001,BD!$A$3:$A$5001,$B36),SUMIFS(BD!$C$3:$C$5001,BD!$A$3:$A$5001,$B36,BD!$B$3:$B$5001,$D$2)))</f>
        <v>0</v>
      </c>
      <c r="D36" s="32">
        <f>IF($B36="","",IF($B$2="Todos",SUMIFS(BD!$D$3:$D$5001,BD!$A$3:$A$5001,$B36),SUMIFS(BD!$D$3:$D$5001,BD!$A$3:$A$5001,$B36,BD!$B$3:$B$5001,$D$2)))</f>
        <v>0</v>
      </c>
      <c r="E36" s="47">
        <f>IF($B36="","",IF($B$2="Todos",SUMIFS(BD!$E$3:$E$5001,BD!$A$3:$A$5001,$B36),SUMIFS(BD!$E$3:$E$5001,BD!$A$3:$A$5001,$B36,BD!$B$3:$B$5001,$D$2)))</f>
        <v>0</v>
      </c>
      <c r="F36" s="32">
        <f>IF($B36="","",IF($B$2="Todos",SUMIFS(BD!$F$3:$F$5001,BD!$A$3:$A$5001,$B36),SUMIFS(BD!$F$3:$F$5001,BD!$A$3:$A$5001,$B36,BD!$B$3:$B$5001,$D$2)))</f>
        <v>0</v>
      </c>
      <c r="G36" s="32">
        <f>IF($B36="","",IF($B$2="Todos",SUMIFS(BD!$G$3:$G$5001,BD!$A$3:$A$5001,$B36),SUMIFS(BD!$G$3:$G$5001,BD!$A$3:$A$5001,$B36,BD!$B$3:$B$5001,$D$2)))</f>
        <v>0</v>
      </c>
      <c r="H36" s="47">
        <f>IF($B36="","",IF($B$2="Todos",SUMIFS(BD!$H$3:$H$5001,BD!$A$3:$A$5001,$B36),SUMIFS(BD!$H$3:$H$5001,BD!$A$3:$A$5001,$B36,BD!$B$3:$B$5001,$D$2)))</f>
        <v>0</v>
      </c>
      <c r="I36" s="32">
        <f>IF($B36="","",IF($B$2="Todos",SUMIFS(BD!$I$3:$I$5001,BD!$A$3:$A$5001,$B36),SUMIFS(BD!$I$3:$I$5001,BD!$A$3:$A$5001,$B36,BD!$B$3:$B$5001,$D$2)))</f>
        <v>0</v>
      </c>
      <c r="J36" s="32">
        <f>IF($B36="","",IF($B$2="Todos",SUMIFS(BD!$J$3:$J$5001,BD!$A$3:$A$5001,$B36),SUMIFS(BD!$J$3:$J$5001,BD!$A$3:$A$5001,$B36,BD!$B$3:$B$5001,$D$2)))</f>
        <v>0</v>
      </c>
      <c r="K36" s="32" t="str">
        <f>IF($B$2="Todos",IF(COUNT($C$139:$V$139)=0,"",SUM($C$139:$V$139)),IFERROR(INDEX($C$139:$V$139,MATCH($D$2,$C$114:$V$114,0)),""))</f>
        <v/>
      </c>
      <c r="L36" s="48" t="str">
        <f>IF(M36="","",IF($B$2="Todos",IF($B$4&gt;0,$B$4,IF($B$2="Todos",IF(COUNT($C$209:$V$209)=0,"",SUM($C$209:$V$209)),IFERROR(INDEX($C$209:$V$209,MATCH($D$2,$C$184:$V$184,0)),""))),IFERROR(INDEX($C$209:$V$209,MATCH($D$2,$C$184:$V$184,0)),"")))</f>
        <v/>
      </c>
      <c r="M36" s="32" t="str">
        <f>IF($B$2="Todos",IF(COUNT($C$174:$V$174)=0,"",SUM($C$174:$V$174)),IFERROR(INDEX($C$174:$V$174,MATCH($D$2,$C$149:$V$149,0)),""))</f>
        <v/>
      </c>
      <c r="N36" s="49" t="str">
        <f>IF(AND(ISNUMBER(M36),ISNUMBER(L36)),IF(L36&gt;0,M36/L36,""),"")</f>
        <v/>
      </c>
      <c r="O36" s="32" t="str">
        <f>IF($B$2="Todos",IF(COUNT($C$244:$V$244)=0,"",SUM($C$244:$V$244)),IFERROR(INDEX($C$244:$V$244,MATCH($D$2,$C$219:$V$219,0)),""))</f>
        <v/>
      </c>
      <c r="P36" s="32">
        <f>IF($B36="","",IF($B$2="Todos",SUMIFS(BD!$O$3:$O$5001,BD!$A$3:$A$5001,$B36),SUMIFS(BD!$O$3:$O$5001,BD!$A$3:$A$5001,$B36,BD!$B$3:$B$5001,$D$2)))</f>
        <v>0</v>
      </c>
      <c r="Q36" s="32">
        <f>IF($B36="","",IF($B$2="Todos",SUMIFS(BD!$P$3:$P$5001,BD!$A$3:$A$5001,$B36),SUMIFS(BD!$P$3:$P$5001,BD!$A$3:$A$5001,$B36,BD!$B$3:$B$5001,$D$2)))</f>
        <v>0</v>
      </c>
      <c r="R36" s="32">
        <f>IF($B36="","",IF($B$2="Todos",SUMIFS(BD!$Q$3:$Q$5001,BD!$A$3:$A$5001,$B36),SUMIFS(BD!$Q$3:$Q$5001,BD!$A$3:$A$5001,$B36,BD!$B$3:$B$5001,$D$2)))</f>
        <v>0</v>
      </c>
      <c r="S36" s="32">
        <f>IF($B36="","",IF($B$2="Todos",SUMIFS(BD!$R$3:$R$5001,BD!$A$3:$A$5001,$B36),SUMIFS(BD!$R$3:$R$5001,BD!$A$3:$A$5001,$B36,BD!$B$3:$B$5001,$D$2)))</f>
        <v>0</v>
      </c>
      <c r="T36" s="32">
        <f>IF($B36="","",IF($B$2="Todos",SUMIFS(BD!$S$3:$S$5001,BD!$A$3:$A$5001,$B36),SUMIFS(BD!$S$3:$S$5001,BD!$A$3:$A$5001,$B36,BD!$B$3:$B$5001,$D$2)))</f>
        <v>0</v>
      </c>
      <c r="U36" s="32">
        <f>IF($B36="","",IF($B$2="Todos",SUMIFS(BD!$T$3:$T$5001,BD!$A$3:$A$5001,$B36),SUMIFS(BD!$T$3:$T$5001,BD!$A$3:$A$5001,$B36,BD!$B$3:$B$5001,$D$2)))</f>
        <v>0</v>
      </c>
      <c r="V36" s="32">
        <f>IF($B36="","",IF($B$2="Todos",SUMIFS(BD!$U$3:$U$5001,BD!$A$3:$A$5001,$B36),SUMIFS(BD!$U$3:$U$5001,BD!$A$3:$A$5001,$B36,BD!$B$3:$B$5001,$D$2)))</f>
        <v>0</v>
      </c>
      <c r="W36" s="50">
        <f>$B$5</f>
        <v>0.7</v>
      </c>
      <c r="X36" s="50">
        <f>$B$6</f>
        <v>0.9</v>
      </c>
      <c r="AX36" s="61">
        <f>IF(OR($B36="",N(VALUE($AH$310))=0),"",IF(INDEX($C36:$V36,VALUE($AH$310))="","",IF(N(VALUE($AJ$310))=0,INDEX($C36:$V36,VALUE($AH$310)),IF(N(INDEX($C36:$V36,N(VALUE($AJ$310))))&gt;0,INDEX($C36:$V36,VALUE($AH$310))/INDEX($C36:$V36,N(VALUE($AJ$310))),""))))</f>
        <v>0</v>
      </c>
      <c r="AY36" s="61">
        <f>IF(OR($B36="",N(VALUE($AI$310))=0),"",IF(INDEX($C36:$V36,VALUE($AI$310))="","",IF(N(VALUE($AK$310))=0,INDEX($C36:$V36,VALUE($AI$310)),IF(N(INDEX($C36:$V36,N(VALUE($AK$310))))&gt;0,INDEX($C36:$V36,VALUE($AI$310))/INDEX($C36:$V36,N(VALUE($AK$310))),""))))</f>
        <v>0</v>
      </c>
      <c r="AZ36" s="61">
        <f>IF(OR($B36="",N(VALUE($AP$310))=0),"",IF(INDEX($C36:$V36,VALUE($AP$310))="","",IF(N(VALUE($AR$310))=0,INDEX($C36:$V36,VALUE($AP$310)),IF(N(INDEX($C36:$V36,N(VALUE($AR$310))))&gt;0,INDEX($C36:$V36,VALUE($AP$310))/INDEX($C36:$V36,N(VALUE($AR$310))),""))))</f>
        <v>0</v>
      </c>
      <c r="BA36" s="61">
        <f>IF(OR($B36="",N(VALUE($AQ$310))=0),"",IF(INDEX($C36:$V36,VALUE($AQ$310))="","",IF(N(VALUE($AS$310))=0,INDEX($C36:$V36,VALUE($AQ$310)),IF(N(INDEX($C36:$V36,N(VALUE($AS$310))))&gt;0,INDEX($C36:$V36,VALUE($AQ$310))/INDEX($C36:$V36,N(VALUE($AS$310))),""))))</f>
        <v>0</v>
      </c>
      <c r="BC36" s="32" t="str">
        <f>IF(AND($A36=$B$9,ISNUMBER(L36)),L36,NA())</f>
        <v/>
      </c>
    </row>
    <row r="37">
      <c r="A37" s="28">
        <v>26</v>
      </c>
      <c r="B37" s="46">
        <f>IF($A37&lt;=DAY($D$7),$C$7+$A37-1,"")</f>
        <v>46321</v>
      </c>
      <c r="C37" s="32">
        <f>IF($B37="","",IF($B$2="Todos",SUMIFS(BD!$C$3:$C$5001,BD!$A$3:$A$5001,$B37),SUMIFS(BD!$C$3:$C$5001,BD!$A$3:$A$5001,$B37,BD!$B$3:$B$5001,$D$2)))</f>
        <v>0</v>
      </c>
      <c r="D37" s="32">
        <f>IF($B37="","",IF($B$2="Todos",SUMIFS(BD!$D$3:$D$5001,BD!$A$3:$A$5001,$B37),SUMIFS(BD!$D$3:$D$5001,BD!$A$3:$A$5001,$B37,BD!$B$3:$B$5001,$D$2)))</f>
        <v>0</v>
      </c>
      <c r="E37" s="47">
        <f>IF($B37="","",IF($B$2="Todos",SUMIFS(BD!$E$3:$E$5001,BD!$A$3:$A$5001,$B37),SUMIFS(BD!$E$3:$E$5001,BD!$A$3:$A$5001,$B37,BD!$B$3:$B$5001,$D$2)))</f>
        <v>0</v>
      </c>
      <c r="F37" s="32">
        <f>IF($B37="","",IF($B$2="Todos",SUMIFS(BD!$F$3:$F$5001,BD!$A$3:$A$5001,$B37),SUMIFS(BD!$F$3:$F$5001,BD!$A$3:$A$5001,$B37,BD!$B$3:$B$5001,$D$2)))</f>
        <v>0</v>
      </c>
      <c r="G37" s="32">
        <f>IF($B37="","",IF($B$2="Todos",SUMIFS(BD!$G$3:$G$5001,BD!$A$3:$A$5001,$B37),SUMIFS(BD!$G$3:$G$5001,BD!$A$3:$A$5001,$B37,BD!$B$3:$B$5001,$D$2)))</f>
        <v>0</v>
      </c>
      <c r="H37" s="47">
        <f>IF($B37="","",IF($B$2="Todos",SUMIFS(BD!$H$3:$H$5001,BD!$A$3:$A$5001,$B37),SUMIFS(BD!$H$3:$H$5001,BD!$A$3:$A$5001,$B37,BD!$B$3:$B$5001,$D$2)))</f>
        <v>0</v>
      </c>
      <c r="I37" s="32">
        <f>IF($B37="","",IF($B$2="Todos",SUMIFS(BD!$I$3:$I$5001,BD!$A$3:$A$5001,$B37),SUMIFS(BD!$I$3:$I$5001,BD!$A$3:$A$5001,$B37,BD!$B$3:$B$5001,$D$2)))</f>
        <v>0</v>
      </c>
      <c r="J37" s="32">
        <f>IF($B37="","",IF($B$2="Todos",SUMIFS(BD!$J$3:$J$5001,BD!$A$3:$A$5001,$B37),SUMIFS(BD!$J$3:$J$5001,BD!$A$3:$A$5001,$B37,BD!$B$3:$B$5001,$D$2)))</f>
        <v>0</v>
      </c>
      <c r="K37" s="32" t="str">
        <f>IF($B$2="Todos",IF(COUNT($C$140:$V$140)=0,"",SUM($C$140:$V$140)),IFERROR(INDEX($C$140:$V$140,MATCH($D$2,$C$114:$V$114,0)),""))</f>
        <v/>
      </c>
      <c r="L37" s="48" t="str">
        <f>IF(M37="","",IF($B$2="Todos",IF($B$4&gt;0,$B$4,IF($B$2="Todos",IF(COUNT($C$210:$V$210)=0,"",SUM($C$210:$V$210)),IFERROR(INDEX($C$210:$V$210,MATCH($D$2,$C$184:$V$184,0)),""))),IFERROR(INDEX($C$210:$V$210,MATCH($D$2,$C$184:$V$184,0)),"")))</f>
        <v/>
      </c>
      <c r="M37" s="32" t="str">
        <f>IF($B$2="Todos",IF(COUNT($C$175:$V$175)=0,"",SUM($C$175:$V$175)),IFERROR(INDEX($C$175:$V$175,MATCH($D$2,$C$149:$V$149,0)),""))</f>
        <v/>
      </c>
      <c r="N37" s="49" t="str">
        <f>IF(AND(ISNUMBER(M37),ISNUMBER(L37)),IF(L37&gt;0,M37/L37,""),"")</f>
        <v/>
      </c>
      <c r="O37" s="32" t="str">
        <f>IF($B$2="Todos",IF(COUNT($C$245:$V$245)=0,"",SUM($C$245:$V$245)),IFERROR(INDEX($C$245:$V$245,MATCH($D$2,$C$219:$V$219,0)),""))</f>
        <v/>
      </c>
      <c r="P37" s="32">
        <f>IF($B37="","",IF($B$2="Todos",SUMIFS(BD!$O$3:$O$5001,BD!$A$3:$A$5001,$B37),SUMIFS(BD!$O$3:$O$5001,BD!$A$3:$A$5001,$B37,BD!$B$3:$B$5001,$D$2)))</f>
        <v>0</v>
      </c>
      <c r="Q37" s="32">
        <f>IF($B37="","",IF($B$2="Todos",SUMIFS(BD!$P$3:$P$5001,BD!$A$3:$A$5001,$B37),SUMIFS(BD!$P$3:$P$5001,BD!$A$3:$A$5001,$B37,BD!$B$3:$B$5001,$D$2)))</f>
        <v>0</v>
      </c>
      <c r="R37" s="32">
        <f>IF($B37="","",IF($B$2="Todos",SUMIFS(BD!$Q$3:$Q$5001,BD!$A$3:$A$5001,$B37),SUMIFS(BD!$Q$3:$Q$5001,BD!$A$3:$A$5001,$B37,BD!$B$3:$B$5001,$D$2)))</f>
        <v>0</v>
      </c>
      <c r="S37" s="32">
        <f>IF($B37="","",IF($B$2="Todos",SUMIFS(BD!$R$3:$R$5001,BD!$A$3:$A$5001,$B37),SUMIFS(BD!$R$3:$R$5001,BD!$A$3:$A$5001,$B37,BD!$B$3:$B$5001,$D$2)))</f>
        <v>0</v>
      </c>
      <c r="T37" s="32">
        <f>IF($B37="","",IF($B$2="Todos",SUMIFS(BD!$S$3:$S$5001,BD!$A$3:$A$5001,$B37),SUMIFS(BD!$S$3:$S$5001,BD!$A$3:$A$5001,$B37,BD!$B$3:$B$5001,$D$2)))</f>
        <v>0</v>
      </c>
      <c r="U37" s="32">
        <f>IF($B37="","",IF($B$2="Todos",SUMIFS(BD!$T$3:$T$5001,BD!$A$3:$A$5001,$B37),SUMIFS(BD!$T$3:$T$5001,BD!$A$3:$A$5001,$B37,BD!$B$3:$B$5001,$D$2)))</f>
        <v>0</v>
      </c>
      <c r="V37" s="32">
        <f>IF($B37="","",IF($B$2="Todos",SUMIFS(BD!$U$3:$U$5001,BD!$A$3:$A$5001,$B37),SUMIFS(BD!$U$3:$U$5001,BD!$A$3:$A$5001,$B37,BD!$B$3:$B$5001,$D$2)))</f>
        <v>0</v>
      </c>
      <c r="W37" s="50">
        <f>$B$5</f>
        <v>0.7</v>
      </c>
      <c r="X37" s="50">
        <f>$B$6</f>
        <v>0.9</v>
      </c>
      <c r="AX37" s="61">
        <f>IF(OR($B37="",N(VALUE($AH$310))=0),"",IF(INDEX($C37:$V37,VALUE($AH$310))="","",IF(N(VALUE($AJ$310))=0,INDEX($C37:$V37,VALUE($AH$310)),IF(N(INDEX($C37:$V37,N(VALUE($AJ$310))))&gt;0,INDEX($C37:$V37,VALUE($AH$310))/INDEX($C37:$V37,N(VALUE($AJ$310))),""))))</f>
        <v>0</v>
      </c>
      <c r="AY37" s="61">
        <f>IF(OR($B37="",N(VALUE($AI$310))=0),"",IF(INDEX($C37:$V37,VALUE($AI$310))="","",IF(N(VALUE($AK$310))=0,INDEX($C37:$V37,VALUE($AI$310)),IF(N(INDEX($C37:$V37,N(VALUE($AK$310))))&gt;0,INDEX($C37:$V37,VALUE($AI$310))/INDEX($C37:$V37,N(VALUE($AK$310))),""))))</f>
        <v>0</v>
      </c>
      <c r="AZ37" s="61">
        <f>IF(OR($B37="",N(VALUE($AP$310))=0),"",IF(INDEX($C37:$V37,VALUE($AP$310))="","",IF(N(VALUE($AR$310))=0,INDEX($C37:$V37,VALUE($AP$310)),IF(N(INDEX($C37:$V37,N(VALUE($AR$310))))&gt;0,INDEX($C37:$V37,VALUE($AP$310))/INDEX($C37:$V37,N(VALUE($AR$310))),""))))</f>
        <v>0</v>
      </c>
      <c r="BA37" s="61">
        <f>IF(OR($B37="",N(VALUE($AQ$310))=0),"",IF(INDEX($C37:$V37,VALUE($AQ$310))="","",IF(N(VALUE($AS$310))=0,INDEX($C37:$V37,VALUE($AQ$310)),IF(N(INDEX($C37:$V37,N(VALUE($AS$310))))&gt;0,INDEX($C37:$V37,VALUE($AQ$310))/INDEX($C37:$V37,N(VALUE($AS$310))),""))))</f>
        <v>0</v>
      </c>
      <c r="BC37" s="32" t="str">
        <f>IF(AND($A37=$B$9,ISNUMBER(L37)),L37,NA())</f>
        <v/>
      </c>
    </row>
    <row r="38">
      <c r="A38" s="28">
        <v>27</v>
      </c>
      <c r="B38" s="46">
        <f>IF($A38&lt;=DAY($D$7),$C$7+$A38-1,"")</f>
        <v>46322</v>
      </c>
      <c r="C38" s="32">
        <f>IF($B38="","",IF($B$2="Todos",SUMIFS(BD!$C$3:$C$5001,BD!$A$3:$A$5001,$B38),SUMIFS(BD!$C$3:$C$5001,BD!$A$3:$A$5001,$B38,BD!$B$3:$B$5001,$D$2)))</f>
        <v>0</v>
      </c>
      <c r="D38" s="32">
        <f>IF($B38="","",IF($B$2="Todos",SUMIFS(BD!$D$3:$D$5001,BD!$A$3:$A$5001,$B38),SUMIFS(BD!$D$3:$D$5001,BD!$A$3:$A$5001,$B38,BD!$B$3:$B$5001,$D$2)))</f>
        <v>0</v>
      </c>
      <c r="E38" s="47">
        <f>IF($B38="","",IF($B$2="Todos",SUMIFS(BD!$E$3:$E$5001,BD!$A$3:$A$5001,$B38),SUMIFS(BD!$E$3:$E$5001,BD!$A$3:$A$5001,$B38,BD!$B$3:$B$5001,$D$2)))</f>
        <v>0</v>
      </c>
      <c r="F38" s="32">
        <f>IF($B38="","",IF($B$2="Todos",SUMIFS(BD!$F$3:$F$5001,BD!$A$3:$A$5001,$B38),SUMIFS(BD!$F$3:$F$5001,BD!$A$3:$A$5001,$B38,BD!$B$3:$B$5001,$D$2)))</f>
        <v>0</v>
      </c>
      <c r="G38" s="32">
        <f>IF($B38="","",IF($B$2="Todos",SUMIFS(BD!$G$3:$G$5001,BD!$A$3:$A$5001,$B38),SUMIFS(BD!$G$3:$G$5001,BD!$A$3:$A$5001,$B38,BD!$B$3:$B$5001,$D$2)))</f>
        <v>0</v>
      </c>
      <c r="H38" s="47">
        <f>IF($B38="","",IF($B$2="Todos",SUMIFS(BD!$H$3:$H$5001,BD!$A$3:$A$5001,$B38),SUMIFS(BD!$H$3:$H$5001,BD!$A$3:$A$5001,$B38,BD!$B$3:$B$5001,$D$2)))</f>
        <v>0</v>
      </c>
      <c r="I38" s="32">
        <f>IF($B38="","",IF($B$2="Todos",SUMIFS(BD!$I$3:$I$5001,BD!$A$3:$A$5001,$B38),SUMIFS(BD!$I$3:$I$5001,BD!$A$3:$A$5001,$B38,BD!$B$3:$B$5001,$D$2)))</f>
        <v>0</v>
      </c>
      <c r="J38" s="32">
        <f>IF($B38="","",IF($B$2="Todos",SUMIFS(BD!$J$3:$J$5001,BD!$A$3:$A$5001,$B38),SUMIFS(BD!$J$3:$J$5001,BD!$A$3:$A$5001,$B38,BD!$B$3:$B$5001,$D$2)))</f>
        <v>0</v>
      </c>
      <c r="K38" s="32" t="str">
        <f>IF($B$2="Todos",IF(COUNT($C$141:$V$141)=0,"",SUM($C$141:$V$141)),IFERROR(INDEX($C$141:$V$141,MATCH($D$2,$C$114:$V$114,0)),""))</f>
        <v/>
      </c>
      <c r="L38" s="48" t="str">
        <f>IF(M38="","",IF($B$2="Todos",IF($B$4&gt;0,$B$4,IF($B$2="Todos",IF(COUNT($C$211:$V$211)=0,"",SUM($C$211:$V$211)),IFERROR(INDEX($C$211:$V$211,MATCH($D$2,$C$184:$V$184,0)),""))),IFERROR(INDEX($C$211:$V$211,MATCH($D$2,$C$184:$V$184,0)),"")))</f>
        <v/>
      </c>
      <c r="M38" s="32" t="str">
        <f>IF($B$2="Todos",IF(COUNT($C$176:$V$176)=0,"",SUM($C$176:$V$176)),IFERROR(INDEX($C$176:$V$176,MATCH($D$2,$C$149:$V$149,0)),""))</f>
        <v/>
      </c>
      <c r="N38" s="49" t="str">
        <f>IF(AND(ISNUMBER(M38),ISNUMBER(L38)),IF(L38&gt;0,M38/L38,""),"")</f>
        <v/>
      </c>
      <c r="O38" s="32" t="str">
        <f>IF($B$2="Todos",IF(COUNT($C$246:$V$246)=0,"",SUM($C$246:$V$246)),IFERROR(INDEX($C$246:$V$246,MATCH($D$2,$C$219:$V$219,0)),""))</f>
        <v/>
      </c>
      <c r="P38" s="32">
        <f>IF($B38="","",IF($B$2="Todos",SUMIFS(BD!$O$3:$O$5001,BD!$A$3:$A$5001,$B38),SUMIFS(BD!$O$3:$O$5001,BD!$A$3:$A$5001,$B38,BD!$B$3:$B$5001,$D$2)))</f>
        <v>0</v>
      </c>
      <c r="Q38" s="32">
        <f>IF($B38="","",IF($B$2="Todos",SUMIFS(BD!$P$3:$P$5001,BD!$A$3:$A$5001,$B38),SUMIFS(BD!$P$3:$P$5001,BD!$A$3:$A$5001,$B38,BD!$B$3:$B$5001,$D$2)))</f>
        <v>0</v>
      </c>
      <c r="R38" s="32">
        <f>IF($B38="","",IF($B$2="Todos",SUMIFS(BD!$Q$3:$Q$5001,BD!$A$3:$A$5001,$B38),SUMIFS(BD!$Q$3:$Q$5001,BD!$A$3:$A$5001,$B38,BD!$B$3:$B$5001,$D$2)))</f>
        <v>0</v>
      </c>
      <c r="S38" s="32">
        <f>IF($B38="","",IF($B$2="Todos",SUMIFS(BD!$R$3:$R$5001,BD!$A$3:$A$5001,$B38),SUMIFS(BD!$R$3:$R$5001,BD!$A$3:$A$5001,$B38,BD!$B$3:$B$5001,$D$2)))</f>
        <v>0</v>
      </c>
      <c r="T38" s="32">
        <f>IF($B38="","",IF($B$2="Todos",SUMIFS(BD!$S$3:$S$5001,BD!$A$3:$A$5001,$B38),SUMIFS(BD!$S$3:$S$5001,BD!$A$3:$A$5001,$B38,BD!$B$3:$B$5001,$D$2)))</f>
        <v>0</v>
      </c>
      <c r="U38" s="32">
        <f>IF($B38="","",IF($B$2="Todos",SUMIFS(BD!$T$3:$T$5001,BD!$A$3:$A$5001,$B38),SUMIFS(BD!$T$3:$T$5001,BD!$A$3:$A$5001,$B38,BD!$B$3:$B$5001,$D$2)))</f>
        <v>0</v>
      </c>
      <c r="V38" s="32">
        <f>IF($B38="","",IF($B$2="Todos",SUMIFS(BD!$U$3:$U$5001,BD!$A$3:$A$5001,$B38),SUMIFS(BD!$U$3:$U$5001,BD!$A$3:$A$5001,$B38,BD!$B$3:$B$5001,$D$2)))</f>
        <v>0</v>
      </c>
      <c r="W38" s="50">
        <f>$B$5</f>
        <v>0.7</v>
      </c>
      <c r="X38" s="50">
        <f>$B$6</f>
        <v>0.9</v>
      </c>
      <c r="AX38" s="61">
        <f>IF(OR($B38="",N(VALUE($AH$310))=0),"",IF(INDEX($C38:$V38,VALUE($AH$310))="","",IF(N(VALUE($AJ$310))=0,INDEX($C38:$V38,VALUE($AH$310)),IF(N(INDEX($C38:$V38,N(VALUE($AJ$310))))&gt;0,INDEX($C38:$V38,VALUE($AH$310))/INDEX($C38:$V38,N(VALUE($AJ$310))),""))))</f>
        <v>0</v>
      </c>
      <c r="AY38" s="61">
        <f>IF(OR($B38="",N(VALUE($AI$310))=0),"",IF(INDEX($C38:$V38,VALUE($AI$310))="","",IF(N(VALUE($AK$310))=0,INDEX($C38:$V38,VALUE($AI$310)),IF(N(INDEX($C38:$V38,N(VALUE($AK$310))))&gt;0,INDEX($C38:$V38,VALUE($AI$310))/INDEX($C38:$V38,N(VALUE($AK$310))),""))))</f>
        <v>0</v>
      </c>
      <c r="AZ38" s="61">
        <f>IF(OR($B38="",N(VALUE($AP$310))=0),"",IF(INDEX($C38:$V38,VALUE($AP$310))="","",IF(N(VALUE($AR$310))=0,INDEX($C38:$V38,VALUE($AP$310)),IF(N(INDEX($C38:$V38,N(VALUE($AR$310))))&gt;0,INDEX($C38:$V38,VALUE($AP$310))/INDEX($C38:$V38,N(VALUE($AR$310))),""))))</f>
        <v>0</v>
      </c>
      <c r="BA38" s="61">
        <f>IF(OR($B38="",N(VALUE($AQ$310))=0),"",IF(INDEX($C38:$V38,VALUE($AQ$310))="","",IF(N(VALUE($AS$310))=0,INDEX($C38:$V38,VALUE($AQ$310)),IF(N(INDEX($C38:$V38,N(VALUE($AS$310))))&gt;0,INDEX($C38:$V38,VALUE($AQ$310))/INDEX($C38:$V38,N(VALUE($AS$310))),""))))</f>
        <v>0</v>
      </c>
      <c r="BC38" s="32" t="str">
        <f>IF(AND($A38=$B$9,ISNUMBER(L38)),L38,NA())</f>
        <v/>
      </c>
    </row>
    <row r="39">
      <c r="A39" s="28">
        <v>28</v>
      </c>
      <c r="B39" s="46">
        <f>IF($A39&lt;=DAY($D$7),$C$7+$A39-1,"")</f>
        <v>46323</v>
      </c>
      <c r="C39" s="32">
        <f>IF($B39="","",IF($B$2="Todos",SUMIFS(BD!$C$3:$C$5001,BD!$A$3:$A$5001,$B39),SUMIFS(BD!$C$3:$C$5001,BD!$A$3:$A$5001,$B39,BD!$B$3:$B$5001,$D$2)))</f>
        <v>0</v>
      </c>
      <c r="D39" s="32">
        <f>IF($B39="","",IF($B$2="Todos",SUMIFS(BD!$D$3:$D$5001,BD!$A$3:$A$5001,$B39),SUMIFS(BD!$D$3:$D$5001,BD!$A$3:$A$5001,$B39,BD!$B$3:$B$5001,$D$2)))</f>
        <v>0</v>
      </c>
      <c r="E39" s="47">
        <f>IF($B39="","",IF($B$2="Todos",SUMIFS(BD!$E$3:$E$5001,BD!$A$3:$A$5001,$B39),SUMIFS(BD!$E$3:$E$5001,BD!$A$3:$A$5001,$B39,BD!$B$3:$B$5001,$D$2)))</f>
        <v>0</v>
      </c>
      <c r="F39" s="32">
        <f>IF($B39="","",IF($B$2="Todos",SUMIFS(BD!$F$3:$F$5001,BD!$A$3:$A$5001,$B39),SUMIFS(BD!$F$3:$F$5001,BD!$A$3:$A$5001,$B39,BD!$B$3:$B$5001,$D$2)))</f>
        <v>0</v>
      </c>
      <c r="G39" s="32">
        <f>IF($B39="","",IF($B$2="Todos",SUMIFS(BD!$G$3:$G$5001,BD!$A$3:$A$5001,$B39),SUMIFS(BD!$G$3:$G$5001,BD!$A$3:$A$5001,$B39,BD!$B$3:$B$5001,$D$2)))</f>
        <v>0</v>
      </c>
      <c r="H39" s="47">
        <f>IF($B39="","",IF($B$2="Todos",SUMIFS(BD!$H$3:$H$5001,BD!$A$3:$A$5001,$B39),SUMIFS(BD!$H$3:$H$5001,BD!$A$3:$A$5001,$B39,BD!$B$3:$B$5001,$D$2)))</f>
        <v>0</v>
      </c>
      <c r="I39" s="32">
        <f>IF($B39="","",IF($B$2="Todos",SUMIFS(BD!$I$3:$I$5001,BD!$A$3:$A$5001,$B39),SUMIFS(BD!$I$3:$I$5001,BD!$A$3:$A$5001,$B39,BD!$B$3:$B$5001,$D$2)))</f>
        <v>0</v>
      </c>
      <c r="J39" s="32">
        <f>IF($B39="","",IF($B$2="Todos",SUMIFS(BD!$J$3:$J$5001,BD!$A$3:$A$5001,$B39),SUMIFS(BD!$J$3:$J$5001,BD!$A$3:$A$5001,$B39,BD!$B$3:$B$5001,$D$2)))</f>
        <v>0</v>
      </c>
      <c r="K39" s="32" t="str">
        <f>IF($B$2="Todos",IF(COUNT($C$142:$V$142)=0,"",SUM($C$142:$V$142)),IFERROR(INDEX($C$142:$V$142,MATCH($D$2,$C$114:$V$114,0)),""))</f>
        <v/>
      </c>
      <c r="L39" s="48" t="str">
        <f>IF(M39="","",IF($B$2="Todos",IF($B$4&gt;0,$B$4,IF($B$2="Todos",IF(COUNT($C$212:$V$212)=0,"",SUM($C$212:$V$212)),IFERROR(INDEX($C$212:$V$212,MATCH($D$2,$C$184:$V$184,0)),""))),IFERROR(INDEX($C$212:$V$212,MATCH($D$2,$C$184:$V$184,0)),"")))</f>
        <v/>
      </c>
      <c r="M39" s="32" t="str">
        <f>IF($B$2="Todos",IF(COUNT($C$177:$V$177)=0,"",SUM($C$177:$V$177)),IFERROR(INDEX($C$177:$V$177,MATCH($D$2,$C$149:$V$149,0)),""))</f>
        <v/>
      </c>
      <c r="N39" s="49" t="str">
        <f>IF(AND(ISNUMBER(M39),ISNUMBER(L39)),IF(L39&gt;0,M39/L39,""),"")</f>
        <v/>
      </c>
      <c r="O39" s="32" t="str">
        <f>IF($B$2="Todos",IF(COUNT($C$247:$V$247)=0,"",SUM($C$247:$V$247)),IFERROR(INDEX($C$247:$V$247,MATCH($D$2,$C$219:$V$219,0)),""))</f>
        <v/>
      </c>
      <c r="P39" s="32">
        <f>IF($B39="","",IF($B$2="Todos",SUMIFS(BD!$O$3:$O$5001,BD!$A$3:$A$5001,$B39),SUMIFS(BD!$O$3:$O$5001,BD!$A$3:$A$5001,$B39,BD!$B$3:$B$5001,$D$2)))</f>
        <v>0</v>
      </c>
      <c r="Q39" s="32">
        <f>IF($B39="","",IF($B$2="Todos",SUMIFS(BD!$P$3:$P$5001,BD!$A$3:$A$5001,$B39),SUMIFS(BD!$P$3:$P$5001,BD!$A$3:$A$5001,$B39,BD!$B$3:$B$5001,$D$2)))</f>
        <v>0</v>
      </c>
      <c r="R39" s="32">
        <f>IF($B39="","",IF($B$2="Todos",SUMIFS(BD!$Q$3:$Q$5001,BD!$A$3:$A$5001,$B39),SUMIFS(BD!$Q$3:$Q$5001,BD!$A$3:$A$5001,$B39,BD!$B$3:$B$5001,$D$2)))</f>
        <v>0</v>
      </c>
      <c r="S39" s="32">
        <f>IF($B39="","",IF($B$2="Todos",SUMIFS(BD!$R$3:$R$5001,BD!$A$3:$A$5001,$B39),SUMIFS(BD!$R$3:$R$5001,BD!$A$3:$A$5001,$B39,BD!$B$3:$B$5001,$D$2)))</f>
        <v>0</v>
      </c>
      <c r="T39" s="32">
        <f>IF($B39="","",IF($B$2="Todos",SUMIFS(BD!$S$3:$S$5001,BD!$A$3:$A$5001,$B39),SUMIFS(BD!$S$3:$S$5001,BD!$A$3:$A$5001,$B39,BD!$B$3:$B$5001,$D$2)))</f>
        <v>0</v>
      </c>
      <c r="U39" s="32">
        <f>IF($B39="","",IF($B$2="Todos",SUMIFS(BD!$T$3:$T$5001,BD!$A$3:$A$5001,$B39),SUMIFS(BD!$T$3:$T$5001,BD!$A$3:$A$5001,$B39,BD!$B$3:$B$5001,$D$2)))</f>
        <v>0</v>
      </c>
      <c r="V39" s="32">
        <f>IF($B39="","",IF($B$2="Todos",SUMIFS(BD!$U$3:$U$5001,BD!$A$3:$A$5001,$B39),SUMIFS(BD!$U$3:$U$5001,BD!$A$3:$A$5001,$B39,BD!$B$3:$B$5001,$D$2)))</f>
        <v>0</v>
      </c>
      <c r="W39" s="50">
        <f>$B$5</f>
        <v>0.7</v>
      </c>
      <c r="X39" s="50">
        <f>$B$6</f>
        <v>0.9</v>
      </c>
      <c r="AX39" s="61">
        <f>IF(OR($B39="",N(VALUE($AH$310))=0),"",IF(INDEX($C39:$V39,VALUE($AH$310))="","",IF(N(VALUE($AJ$310))=0,INDEX($C39:$V39,VALUE($AH$310)),IF(N(INDEX($C39:$V39,N(VALUE($AJ$310))))&gt;0,INDEX($C39:$V39,VALUE($AH$310))/INDEX($C39:$V39,N(VALUE($AJ$310))),""))))</f>
        <v>0</v>
      </c>
      <c r="AY39" s="61">
        <f>IF(OR($B39="",N(VALUE($AI$310))=0),"",IF(INDEX($C39:$V39,VALUE($AI$310))="","",IF(N(VALUE($AK$310))=0,INDEX($C39:$V39,VALUE($AI$310)),IF(N(INDEX($C39:$V39,N(VALUE($AK$310))))&gt;0,INDEX($C39:$V39,VALUE($AI$310))/INDEX($C39:$V39,N(VALUE($AK$310))),""))))</f>
        <v>0</v>
      </c>
      <c r="AZ39" s="61">
        <f>IF(OR($B39="",N(VALUE($AP$310))=0),"",IF(INDEX($C39:$V39,VALUE($AP$310))="","",IF(N(VALUE($AR$310))=0,INDEX($C39:$V39,VALUE($AP$310)),IF(N(INDEX($C39:$V39,N(VALUE($AR$310))))&gt;0,INDEX($C39:$V39,VALUE($AP$310))/INDEX($C39:$V39,N(VALUE($AR$310))),""))))</f>
        <v>0</v>
      </c>
      <c r="BA39" s="61">
        <f>IF(OR($B39="",N(VALUE($AQ$310))=0),"",IF(INDEX($C39:$V39,VALUE($AQ$310))="","",IF(N(VALUE($AS$310))=0,INDEX($C39:$V39,VALUE($AQ$310)),IF(N(INDEX($C39:$V39,N(VALUE($AS$310))))&gt;0,INDEX($C39:$V39,VALUE($AQ$310))/INDEX($C39:$V39,N(VALUE($AS$310))),""))))</f>
        <v>0</v>
      </c>
      <c r="BC39" s="32" t="str">
        <f>IF(AND($A39=$B$9,ISNUMBER(L39)),L39,NA())</f>
        <v/>
      </c>
    </row>
    <row r="40">
      <c r="A40" s="28">
        <v>29</v>
      </c>
      <c r="B40" s="46">
        <f>IF($A40&lt;=DAY($D$7),$C$7+$A40-1,"")</f>
        <v>46324</v>
      </c>
      <c r="C40" s="32">
        <f>IF($B40="","",IF($B$2="Todos",SUMIFS(BD!$C$3:$C$5001,BD!$A$3:$A$5001,$B40),SUMIFS(BD!$C$3:$C$5001,BD!$A$3:$A$5001,$B40,BD!$B$3:$B$5001,$D$2)))</f>
        <v>0</v>
      </c>
      <c r="D40" s="32">
        <f>IF($B40="","",IF($B$2="Todos",SUMIFS(BD!$D$3:$D$5001,BD!$A$3:$A$5001,$B40),SUMIFS(BD!$D$3:$D$5001,BD!$A$3:$A$5001,$B40,BD!$B$3:$B$5001,$D$2)))</f>
        <v>0</v>
      </c>
      <c r="E40" s="47">
        <f>IF($B40="","",IF($B$2="Todos",SUMIFS(BD!$E$3:$E$5001,BD!$A$3:$A$5001,$B40),SUMIFS(BD!$E$3:$E$5001,BD!$A$3:$A$5001,$B40,BD!$B$3:$B$5001,$D$2)))</f>
        <v>0</v>
      </c>
      <c r="F40" s="32">
        <f>IF($B40="","",IF($B$2="Todos",SUMIFS(BD!$F$3:$F$5001,BD!$A$3:$A$5001,$B40),SUMIFS(BD!$F$3:$F$5001,BD!$A$3:$A$5001,$B40,BD!$B$3:$B$5001,$D$2)))</f>
        <v>0</v>
      </c>
      <c r="G40" s="32">
        <f>IF($B40="","",IF($B$2="Todos",SUMIFS(BD!$G$3:$G$5001,BD!$A$3:$A$5001,$B40),SUMIFS(BD!$G$3:$G$5001,BD!$A$3:$A$5001,$B40,BD!$B$3:$B$5001,$D$2)))</f>
        <v>0</v>
      </c>
      <c r="H40" s="47">
        <f>IF($B40="","",IF($B$2="Todos",SUMIFS(BD!$H$3:$H$5001,BD!$A$3:$A$5001,$B40),SUMIFS(BD!$H$3:$H$5001,BD!$A$3:$A$5001,$B40,BD!$B$3:$B$5001,$D$2)))</f>
        <v>0</v>
      </c>
      <c r="I40" s="32">
        <f>IF($B40="","",IF($B$2="Todos",SUMIFS(BD!$I$3:$I$5001,BD!$A$3:$A$5001,$B40),SUMIFS(BD!$I$3:$I$5001,BD!$A$3:$A$5001,$B40,BD!$B$3:$B$5001,$D$2)))</f>
        <v>0</v>
      </c>
      <c r="J40" s="32">
        <f>IF($B40="","",IF($B$2="Todos",SUMIFS(BD!$J$3:$J$5001,BD!$A$3:$A$5001,$B40),SUMIFS(BD!$J$3:$J$5001,BD!$A$3:$A$5001,$B40,BD!$B$3:$B$5001,$D$2)))</f>
        <v>0</v>
      </c>
      <c r="K40" s="32" t="str">
        <f>IF($B$2="Todos",IF(COUNT($C$143:$V$143)=0,"",SUM($C$143:$V$143)),IFERROR(INDEX($C$143:$V$143,MATCH($D$2,$C$114:$V$114,0)),""))</f>
        <v/>
      </c>
      <c r="L40" s="48" t="str">
        <f>IF(M40="","",IF($B$2="Todos",IF($B$4&gt;0,$B$4,IF($B$2="Todos",IF(COUNT($C$213:$V$213)=0,"",SUM($C$213:$V$213)),IFERROR(INDEX($C$213:$V$213,MATCH($D$2,$C$184:$V$184,0)),""))),IFERROR(INDEX($C$213:$V$213,MATCH($D$2,$C$184:$V$184,0)),"")))</f>
        <v/>
      </c>
      <c r="M40" s="32" t="str">
        <f>IF($B$2="Todos",IF(COUNT($C$178:$V$178)=0,"",SUM($C$178:$V$178)),IFERROR(INDEX($C$178:$V$178,MATCH($D$2,$C$149:$V$149,0)),""))</f>
        <v/>
      </c>
      <c r="N40" s="49" t="str">
        <f>IF(AND(ISNUMBER(M40),ISNUMBER(L40)),IF(L40&gt;0,M40/L40,""),"")</f>
        <v/>
      </c>
      <c r="O40" s="32" t="str">
        <f>IF($B$2="Todos",IF(COUNT($C$248:$V$248)=0,"",SUM($C$248:$V$248)),IFERROR(INDEX($C$248:$V$248,MATCH($D$2,$C$219:$V$219,0)),""))</f>
        <v/>
      </c>
      <c r="P40" s="32">
        <f>IF($B40="","",IF($B$2="Todos",SUMIFS(BD!$O$3:$O$5001,BD!$A$3:$A$5001,$B40),SUMIFS(BD!$O$3:$O$5001,BD!$A$3:$A$5001,$B40,BD!$B$3:$B$5001,$D$2)))</f>
        <v>0</v>
      </c>
      <c r="Q40" s="32">
        <f>IF($B40="","",IF($B$2="Todos",SUMIFS(BD!$P$3:$P$5001,BD!$A$3:$A$5001,$B40),SUMIFS(BD!$P$3:$P$5001,BD!$A$3:$A$5001,$B40,BD!$B$3:$B$5001,$D$2)))</f>
        <v>0</v>
      </c>
      <c r="R40" s="32">
        <f>IF($B40="","",IF($B$2="Todos",SUMIFS(BD!$Q$3:$Q$5001,BD!$A$3:$A$5001,$B40),SUMIFS(BD!$Q$3:$Q$5001,BD!$A$3:$A$5001,$B40,BD!$B$3:$B$5001,$D$2)))</f>
        <v>0</v>
      </c>
      <c r="S40" s="32">
        <f>IF($B40="","",IF($B$2="Todos",SUMIFS(BD!$R$3:$R$5001,BD!$A$3:$A$5001,$B40),SUMIFS(BD!$R$3:$R$5001,BD!$A$3:$A$5001,$B40,BD!$B$3:$B$5001,$D$2)))</f>
        <v>0</v>
      </c>
      <c r="T40" s="32">
        <f>IF($B40="","",IF($B$2="Todos",SUMIFS(BD!$S$3:$S$5001,BD!$A$3:$A$5001,$B40),SUMIFS(BD!$S$3:$S$5001,BD!$A$3:$A$5001,$B40,BD!$B$3:$B$5001,$D$2)))</f>
        <v>0</v>
      </c>
      <c r="U40" s="32">
        <f>IF($B40="","",IF($B$2="Todos",SUMIFS(BD!$T$3:$T$5001,BD!$A$3:$A$5001,$B40),SUMIFS(BD!$T$3:$T$5001,BD!$A$3:$A$5001,$B40,BD!$B$3:$B$5001,$D$2)))</f>
        <v>0</v>
      </c>
      <c r="V40" s="32">
        <f>IF($B40="","",IF($B$2="Todos",SUMIFS(BD!$U$3:$U$5001,BD!$A$3:$A$5001,$B40),SUMIFS(BD!$U$3:$U$5001,BD!$A$3:$A$5001,$B40,BD!$B$3:$B$5001,$D$2)))</f>
        <v>0</v>
      </c>
      <c r="W40" s="50">
        <f>$B$5</f>
        <v>0.7</v>
      </c>
      <c r="X40" s="50">
        <f>$B$6</f>
        <v>0.9</v>
      </c>
      <c r="AX40" s="61">
        <f>IF(OR($B40="",N(VALUE($AH$310))=0),"",IF(INDEX($C40:$V40,VALUE($AH$310))="","",IF(N(VALUE($AJ$310))=0,INDEX($C40:$V40,VALUE($AH$310)),IF(N(INDEX($C40:$V40,N(VALUE($AJ$310))))&gt;0,INDEX($C40:$V40,VALUE($AH$310))/INDEX($C40:$V40,N(VALUE($AJ$310))),""))))</f>
        <v>0</v>
      </c>
      <c r="AY40" s="61">
        <f>IF(OR($B40="",N(VALUE($AI$310))=0),"",IF(INDEX($C40:$V40,VALUE($AI$310))="","",IF(N(VALUE($AK$310))=0,INDEX($C40:$V40,VALUE($AI$310)),IF(N(INDEX($C40:$V40,N(VALUE($AK$310))))&gt;0,INDEX($C40:$V40,VALUE($AI$310))/INDEX($C40:$V40,N(VALUE($AK$310))),""))))</f>
        <v>0</v>
      </c>
      <c r="AZ40" s="61">
        <f>IF(OR($B40="",N(VALUE($AP$310))=0),"",IF(INDEX($C40:$V40,VALUE($AP$310))="","",IF(N(VALUE($AR$310))=0,INDEX($C40:$V40,VALUE($AP$310)),IF(N(INDEX($C40:$V40,N(VALUE($AR$310))))&gt;0,INDEX($C40:$V40,VALUE($AP$310))/INDEX($C40:$V40,N(VALUE($AR$310))),""))))</f>
        <v>0</v>
      </c>
      <c r="BA40" s="61">
        <f>IF(OR($B40="",N(VALUE($AQ$310))=0),"",IF(INDEX($C40:$V40,VALUE($AQ$310))="","",IF(N(VALUE($AS$310))=0,INDEX($C40:$V40,VALUE($AQ$310)),IF(N(INDEX($C40:$V40,N(VALUE($AS$310))))&gt;0,INDEX($C40:$V40,VALUE($AQ$310))/INDEX($C40:$V40,N(VALUE($AS$310))),""))))</f>
        <v>0</v>
      </c>
      <c r="BC40" s="32" t="str">
        <f>IF(AND($A40=$B$9,ISNUMBER(L40)),L40,NA())</f>
        <v/>
      </c>
    </row>
    <row r="41">
      <c r="A41" s="28">
        <v>30</v>
      </c>
      <c r="B41" s="46">
        <f>IF($A41&lt;=DAY($D$7),$C$7+$A41-1,"")</f>
        <v>46325</v>
      </c>
      <c r="C41" s="32">
        <f>IF($B41="","",IF($B$2="Todos",SUMIFS(BD!$C$3:$C$5001,BD!$A$3:$A$5001,$B41),SUMIFS(BD!$C$3:$C$5001,BD!$A$3:$A$5001,$B41,BD!$B$3:$B$5001,$D$2)))</f>
        <v>0</v>
      </c>
      <c r="D41" s="32">
        <f>IF($B41="","",IF($B$2="Todos",SUMIFS(BD!$D$3:$D$5001,BD!$A$3:$A$5001,$B41),SUMIFS(BD!$D$3:$D$5001,BD!$A$3:$A$5001,$B41,BD!$B$3:$B$5001,$D$2)))</f>
        <v>0</v>
      </c>
      <c r="E41" s="47">
        <f>IF($B41="","",IF($B$2="Todos",SUMIFS(BD!$E$3:$E$5001,BD!$A$3:$A$5001,$B41),SUMIFS(BD!$E$3:$E$5001,BD!$A$3:$A$5001,$B41,BD!$B$3:$B$5001,$D$2)))</f>
        <v>0</v>
      </c>
      <c r="F41" s="32">
        <f>IF($B41="","",IF($B$2="Todos",SUMIFS(BD!$F$3:$F$5001,BD!$A$3:$A$5001,$B41),SUMIFS(BD!$F$3:$F$5001,BD!$A$3:$A$5001,$B41,BD!$B$3:$B$5001,$D$2)))</f>
        <v>0</v>
      </c>
      <c r="G41" s="32">
        <f>IF($B41="","",IF($B$2="Todos",SUMIFS(BD!$G$3:$G$5001,BD!$A$3:$A$5001,$B41),SUMIFS(BD!$G$3:$G$5001,BD!$A$3:$A$5001,$B41,BD!$B$3:$B$5001,$D$2)))</f>
        <v>0</v>
      </c>
      <c r="H41" s="47">
        <f>IF($B41="","",IF($B$2="Todos",SUMIFS(BD!$H$3:$H$5001,BD!$A$3:$A$5001,$B41),SUMIFS(BD!$H$3:$H$5001,BD!$A$3:$A$5001,$B41,BD!$B$3:$B$5001,$D$2)))</f>
        <v>0</v>
      </c>
      <c r="I41" s="32">
        <f>IF($B41="","",IF($B$2="Todos",SUMIFS(BD!$I$3:$I$5001,BD!$A$3:$A$5001,$B41),SUMIFS(BD!$I$3:$I$5001,BD!$A$3:$A$5001,$B41,BD!$B$3:$B$5001,$D$2)))</f>
        <v>0</v>
      </c>
      <c r="J41" s="32">
        <f>IF($B41="","",IF($B$2="Todos",SUMIFS(BD!$J$3:$J$5001,BD!$A$3:$A$5001,$B41),SUMIFS(BD!$J$3:$J$5001,BD!$A$3:$A$5001,$B41,BD!$B$3:$B$5001,$D$2)))</f>
        <v>0</v>
      </c>
      <c r="K41" s="32" t="str">
        <f>IF($B$2="Todos",IF(COUNT($C$144:$V$144)=0,"",SUM($C$144:$V$144)),IFERROR(INDEX($C$144:$V$144,MATCH($D$2,$C$114:$V$114,0)),""))</f>
        <v/>
      </c>
      <c r="L41" s="48" t="str">
        <f>IF(M41="","",IF($B$2="Todos",IF($B$4&gt;0,$B$4,IF($B$2="Todos",IF(COUNT($C$214:$V$214)=0,"",SUM($C$214:$V$214)),IFERROR(INDEX($C$214:$V$214,MATCH($D$2,$C$184:$V$184,0)),""))),IFERROR(INDEX($C$214:$V$214,MATCH($D$2,$C$184:$V$184,0)),"")))</f>
        <v/>
      </c>
      <c r="M41" s="32" t="str">
        <f>IF($B$2="Todos",IF(COUNT($C$179:$V$179)=0,"",SUM($C$179:$V$179)),IFERROR(INDEX($C$179:$V$179,MATCH($D$2,$C$149:$V$149,0)),""))</f>
        <v/>
      </c>
      <c r="N41" s="49" t="str">
        <f>IF(AND(ISNUMBER(M41),ISNUMBER(L41)),IF(L41&gt;0,M41/L41,""),"")</f>
        <v/>
      </c>
      <c r="O41" s="32" t="str">
        <f>IF($B$2="Todos",IF(COUNT($C$249:$V$249)=0,"",SUM($C$249:$V$249)),IFERROR(INDEX($C$249:$V$249,MATCH($D$2,$C$219:$V$219,0)),""))</f>
        <v/>
      </c>
      <c r="P41" s="32">
        <f>IF($B41="","",IF($B$2="Todos",SUMIFS(BD!$O$3:$O$5001,BD!$A$3:$A$5001,$B41),SUMIFS(BD!$O$3:$O$5001,BD!$A$3:$A$5001,$B41,BD!$B$3:$B$5001,$D$2)))</f>
        <v>0</v>
      </c>
      <c r="Q41" s="32">
        <f>IF($B41="","",IF($B$2="Todos",SUMIFS(BD!$P$3:$P$5001,BD!$A$3:$A$5001,$B41),SUMIFS(BD!$P$3:$P$5001,BD!$A$3:$A$5001,$B41,BD!$B$3:$B$5001,$D$2)))</f>
        <v>0</v>
      </c>
      <c r="R41" s="32">
        <f>IF($B41="","",IF($B$2="Todos",SUMIFS(BD!$Q$3:$Q$5001,BD!$A$3:$A$5001,$B41),SUMIFS(BD!$Q$3:$Q$5001,BD!$A$3:$A$5001,$B41,BD!$B$3:$B$5001,$D$2)))</f>
        <v>0</v>
      </c>
      <c r="S41" s="32">
        <f>IF($B41="","",IF($B$2="Todos",SUMIFS(BD!$R$3:$R$5001,BD!$A$3:$A$5001,$B41),SUMIFS(BD!$R$3:$R$5001,BD!$A$3:$A$5001,$B41,BD!$B$3:$B$5001,$D$2)))</f>
        <v>0</v>
      </c>
      <c r="T41" s="32">
        <f>IF($B41="","",IF($B$2="Todos",SUMIFS(BD!$S$3:$S$5001,BD!$A$3:$A$5001,$B41),SUMIFS(BD!$S$3:$S$5001,BD!$A$3:$A$5001,$B41,BD!$B$3:$B$5001,$D$2)))</f>
        <v>0</v>
      </c>
      <c r="U41" s="32">
        <f>IF($B41="","",IF($B$2="Todos",SUMIFS(BD!$T$3:$T$5001,BD!$A$3:$A$5001,$B41),SUMIFS(BD!$T$3:$T$5001,BD!$A$3:$A$5001,$B41,BD!$B$3:$B$5001,$D$2)))</f>
        <v>0</v>
      </c>
      <c r="V41" s="32">
        <f>IF($B41="","",IF($B$2="Todos",SUMIFS(BD!$U$3:$U$5001,BD!$A$3:$A$5001,$B41),SUMIFS(BD!$U$3:$U$5001,BD!$A$3:$A$5001,$B41,BD!$B$3:$B$5001,$D$2)))</f>
        <v>0</v>
      </c>
      <c r="W41" s="50">
        <f>$B$5</f>
        <v>0.7</v>
      </c>
      <c r="X41" s="50">
        <f>$B$6</f>
        <v>0.9</v>
      </c>
      <c r="AX41" s="61">
        <f>IF(OR($B41="",N(VALUE($AH$310))=0),"",IF(INDEX($C41:$V41,VALUE($AH$310))="","",IF(N(VALUE($AJ$310))=0,INDEX($C41:$V41,VALUE($AH$310)),IF(N(INDEX($C41:$V41,N(VALUE($AJ$310))))&gt;0,INDEX($C41:$V41,VALUE($AH$310))/INDEX($C41:$V41,N(VALUE($AJ$310))),""))))</f>
        <v>0</v>
      </c>
      <c r="AY41" s="61">
        <f>IF(OR($B41="",N(VALUE($AI$310))=0),"",IF(INDEX($C41:$V41,VALUE($AI$310))="","",IF(N(VALUE($AK$310))=0,INDEX($C41:$V41,VALUE($AI$310)),IF(N(INDEX($C41:$V41,N(VALUE($AK$310))))&gt;0,INDEX($C41:$V41,VALUE($AI$310))/INDEX($C41:$V41,N(VALUE($AK$310))),""))))</f>
        <v>0</v>
      </c>
      <c r="AZ41" s="61">
        <f>IF(OR($B41="",N(VALUE($AP$310))=0),"",IF(INDEX($C41:$V41,VALUE($AP$310))="","",IF(N(VALUE($AR$310))=0,INDEX($C41:$V41,VALUE($AP$310)),IF(N(INDEX($C41:$V41,N(VALUE($AR$310))))&gt;0,INDEX($C41:$V41,VALUE($AP$310))/INDEX($C41:$V41,N(VALUE($AR$310))),""))))</f>
        <v>0</v>
      </c>
      <c r="BA41" s="61">
        <f>IF(OR($B41="",N(VALUE($AQ$310))=0),"",IF(INDEX($C41:$V41,VALUE($AQ$310))="","",IF(N(VALUE($AS$310))=0,INDEX($C41:$V41,VALUE($AQ$310)),IF(N(INDEX($C41:$V41,N(VALUE($AS$310))))&gt;0,INDEX($C41:$V41,VALUE($AQ$310))/INDEX($C41:$V41,N(VALUE($AS$310))),""))))</f>
        <v>0</v>
      </c>
      <c r="BC41" s="32" t="str">
        <f>IF(AND($A41=$B$9,ISNUMBER(L41)),L41,NA())</f>
        <v/>
      </c>
    </row>
    <row r="42">
      <c r="A42" s="28">
        <v>31</v>
      </c>
      <c r="B42" s="46">
        <f>IF($A42&lt;=DAY($D$7),$C$7+$A42-1,"")</f>
        <v>46326</v>
      </c>
      <c r="C42" s="32">
        <f>IF($B42="","",IF($B$2="Todos",SUMIFS(BD!$C$3:$C$5001,BD!$A$3:$A$5001,$B42),SUMIFS(BD!$C$3:$C$5001,BD!$A$3:$A$5001,$B42,BD!$B$3:$B$5001,$D$2)))</f>
        <v>0</v>
      </c>
      <c r="D42" s="32">
        <f>IF($B42="","",IF($B$2="Todos",SUMIFS(BD!$D$3:$D$5001,BD!$A$3:$A$5001,$B42),SUMIFS(BD!$D$3:$D$5001,BD!$A$3:$A$5001,$B42,BD!$B$3:$B$5001,$D$2)))</f>
        <v>0</v>
      </c>
      <c r="E42" s="47">
        <f>IF($B42="","",IF($B$2="Todos",SUMIFS(BD!$E$3:$E$5001,BD!$A$3:$A$5001,$B42),SUMIFS(BD!$E$3:$E$5001,BD!$A$3:$A$5001,$B42,BD!$B$3:$B$5001,$D$2)))</f>
        <v>0</v>
      </c>
      <c r="F42" s="32">
        <f>IF($B42="","",IF($B$2="Todos",SUMIFS(BD!$F$3:$F$5001,BD!$A$3:$A$5001,$B42),SUMIFS(BD!$F$3:$F$5001,BD!$A$3:$A$5001,$B42,BD!$B$3:$B$5001,$D$2)))</f>
        <v>0</v>
      </c>
      <c r="G42" s="32">
        <f>IF($B42="","",IF($B$2="Todos",SUMIFS(BD!$G$3:$G$5001,BD!$A$3:$A$5001,$B42),SUMIFS(BD!$G$3:$G$5001,BD!$A$3:$A$5001,$B42,BD!$B$3:$B$5001,$D$2)))</f>
        <v>0</v>
      </c>
      <c r="H42" s="47">
        <f>IF($B42="","",IF($B$2="Todos",SUMIFS(BD!$H$3:$H$5001,BD!$A$3:$A$5001,$B42),SUMIFS(BD!$H$3:$H$5001,BD!$A$3:$A$5001,$B42,BD!$B$3:$B$5001,$D$2)))</f>
        <v>0</v>
      </c>
      <c r="I42" s="32">
        <f>IF($B42="","",IF($B$2="Todos",SUMIFS(BD!$I$3:$I$5001,BD!$A$3:$A$5001,$B42),SUMIFS(BD!$I$3:$I$5001,BD!$A$3:$A$5001,$B42,BD!$B$3:$B$5001,$D$2)))</f>
        <v>0</v>
      </c>
      <c r="J42" s="32">
        <f>IF($B42="","",IF($B$2="Todos",SUMIFS(BD!$J$3:$J$5001,BD!$A$3:$A$5001,$B42),SUMIFS(BD!$J$3:$J$5001,BD!$A$3:$A$5001,$B42,BD!$B$3:$B$5001,$D$2)))</f>
        <v>0</v>
      </c>
      <c r="K42" s="32" t="str">
        <f>IF($B$2="Todos",IF(COUNT($C$145:$V$145)=0,"",SUM($C$145:$V$145)),IFERROR(INDEX($C$145:$V$145,MATCH($D$2,$C$114:$V$114,0)),""))</f>
        <v/>
      </c>
      <c r="L42" s="48" t="str">
        <f>IF(M42="","",IF($B$2="Todos",IF($B$4&gt;0,$B$4,IF($B$2="Todos",IF(COUNT($C$215:$V$215)=0,"",SUM($C$215:$V$215)),IFERROR(INDEX($C$215:$V$215,MATCH($D$2,$C$184:$V$184,0)),""))),IFERROR(INDEX($C$215:$V$215,MATCH($D$2,$C$184:$V$184,0)),"")))</f>
        <v/>
      </c>
      <c r="M42" s="32" t="str">
        <f>IF($B$2="Todos",IF(COUNT($C$180:$V$180)=0,"",SUM($C$180:$V$180)),IFERROR(INDEX($C$180:$V$180,MATCH($D$2,$C$149:$V$149,0)),""))</f>
        <v/>
      </c>
      <c r="N42" s="49" t="str">
        <f>IF(AND(ISNUMBER(M42),ISNUMBER(L42)),IF(L42&gt;0,M42/L42,""),"")</f>
        <v/>
      </c>
      <c r="O42" s="32" t="str">
        <f>IF($B$2="Todos",IF(COUNT($C$250:$V$250)=0,"",SUM($C$250:$V$250)),IFERROR(INDEX($C$250:$V$250,MATCH($D$2,$C$219:$V$219,0)),""))</f>
        <v/>
      </c>
      <c r="P42" s="32">
        <f>IF($B42="","",IF($B$2="Todos",SUMIFS(BD!$O$3:$O$5001,BD!$A$3:$A$5001,$B42),SUMIFS(BD!$O$3:$O$5001,BD!$A$3:$A$5001,$B42,BD!$B$3:$B$5001,$D$2)))</f>
        <v>0</v>
      </c>
      <c r="Q42" s="32">
        <f>IF($B42="","",IF($B$2="Todos",SUMIFS(BD!$P$3:$P$5001,BD!$A$3:$A$5001,$B42),SUMIFS(BD!$P$3:$P$5001,BD!$A$3:$A$5001,$B42,BD!$B$3:$B$5001,$D$2)))</f>
        <v>0</v>
      </c>
      <c r="R42" s="32">
        <f>IF($B42="","",IF($B$2="Todos",SUMIFS(BD!$Q$3:$Q$5001,BD!$A$3:$A$5001,$B42),SUMIFS(BD!$Q$3:$Q$5001,BD!$A$3:$A$5001,$B42,BD!$B$3:$B$5001,$D$2)))</f>
        <v>0</v>
      </c>
      <c r="S42" s="32">
        <f>IF($B42="","",IF($B$2="Todos",SUMIFS(BD!$R$3:$R$5001,BD!$A$3:$A$5001,$B42),SUMIFS(BD!$R$3:$R$5001,BD!$A$3:$A$5001,$B42,BD!$B$3:$B$5001,$D$2)))</f>
        <v>0</v>
      </c>
      <c r="T42" s="32">
        <f>IF($B42="","",IF($B$2="Todos",SUMIFS(BD!$S$3:$S$5001,BD!$A$3:$A$5001,$B42),SUMIFS(BD!$S$3:$S$5001,BD!$A$3:$A$5001,$B42,BD!$B$3:$B$5001,$D$2)))</f>
        <v>0</v>
      </c>
      <c r="U42" s="32">
        <f>IF($B42="","",IF($B$2="Todos",SUMIFS(BD!$T$3:$T$5001,BD!$A$3:$A$5001,$B42),SUMIFS(BD!$T$3:$T$5001,BD!$A$3:$A$5001,$B42,BD!$B$3:$B$5001,$D$2)))</f>
        <v>0</v>
      </c>
      <c r="V42" s="32">
        <f>IF($B42="","",IF($B$2="Todos",SUMIFS(BD!$U$3:$U$5001,BD!$A$3:$A$5001,$B42),SUMIFS(BD!$U$3:$U$5001,BD!$A$3:$A$5001,$B42,BD!$B$3:$B$5001,$D$2)))</f>
        <v>0</v>
      </c>
      <c r="W42" s="50">
        <f>$B$5</f>
        <v>0.7</v>
      </c>
      <c r="X42" s="50">
        <f>$B$6</f>
        <v>0.9</v>
      </c>
      <c r="AX42" s="61">
        <f>IF(OR($B42="",N(VALUE($AH$310))=0),"",IF(INDEX($C42:$V42,VALUE($AH$310))="","",IF(N(VALUE($AJ$310))=0,INDEX($C42:$V42,VALUE($AH$310)),IF(N(INDEX($C42:$V42,N(VALUE($AJ$310))))&gt;0,INDEX($C42:$V42,VALUE($AH$310))/INDEX($C42:$V42,N(VALUE($AJ$310))),""))))</f>
        <v>0</v>
      </c>
      <c r="AY42" s="61">
        <f>IF(OR($B42="",N(VALUE($AI$310))=0),"",IF(INDEX($C42:$V42,VALUE($AI$310))="","",IF(N(VALUE($AK$310))=0,INDEX($C42:$V42,VALUE($AI$310)),IF(N(INDEX($C42:$V42,N(VALUE($AK$310))))&gt;0,INDEX($C42:$V42,VALUE($AI$310))/INDEX($C42:$V42,N(VALUE($AK$310))),""))))</f>
        <v>0</v>
      </c>
      <c r="AZ42" s="61">
        <f>IF(OR($B42="",N(VALUE($AP$310))=0),"",IF(INDEX($C42:$V42,VALUE($AP$310))="","",IF(N(VALUE($AR$310))=0,INDEX($C42:$V42,VALUE($AP$310)),IF(N(INDEX($C42:$V42,N(VALUE($AR$310))))&gt;0,INDEX($C42:$V42,VALUE($AP$310))/INDEX($C42:$V42,N(VALUE($AR$310))),""))))</f>
        <v>0</v>
      </c>
      <c r="BA42" s="61">
        <f>IF(OR($B42="",N(VALUE($AQ$310))=0),"",IF(INDEX($C42:$V42,VALUE($AQ$310))="","",IF(N(VALUE($AS$310))=0,INDEX($C42:$V42,VALUE($AQ$310)),IF(N(INDEX($C42:$V42,N(VALUE($AS$310))))&gt;0,INDEX($C42:$V42,VALUE($AQ$310))/INDEX($C42:$V42,N(VALUE($AS$310))),""))))</f>
        <v>0</v>
      </c>
      <c r="BC42" s="32" t="str">
        <f>IF(AND($A42=$B$9,ISNUMBER(L42)),L42,NA())</f>
        <v/>
      </c>
    </row>
    <row r="43">
      <c r="A43" s="51" t="inlineStr">
        <is>
          <t xml:space="preserve">Realizado no mês (soma · último valor em estoque)</t>
        </is>
      </c>
      <c r="C43" s="53">
        <f>SUM(C12:C42)</f>
        <v>0</v>
      </c>
      <c r="D43" s="53">
        <f>SUM(D12:D42)</f>
        <v>0</v>
      </c>
      <c r="E43" s="59">
        <f>SUM(E12:E42)</f>
        <v>0</v>
      </c>
      <c r="F43" s="53">
        <f>SUM(F12:F42)</f>
        <v>0</v>
      </c>
      <c r="G43" s="53">
        <f>SUM(G12:G42)</f>
        <v>0</v>
      </c>
      <c r="H43" s="59">
        <f>SUM(H12:H42)</f>
        <v>0</v>
      </c>
      <c r="I43" s="53">
        <f>SUM(I12:I42)</f>
        <v>0</v>
      </c>
      <c r="J43" s="53">
        <f>SUM(J12:J42)</f>
        <v>0</v>
      </c>
      <c r="K43" s="53" t="str">
        <f>IFERROR(LOOKUP(9.99E+307,K12:K42),"")</f>
        <v/>
      </c>
      <c r="L43" s="53" t="str">
        <f>IFERROR(LOOKUP(9.99E+307,L12:L42),"")</f>
        <v/>
      </c>
      <c r="M43" s="53" t="str">
        <f>IFERROR(LOOKUP(9.99E+307,M12:M42),"")</f>
        <v/>
      </c>
      <c r="N43" s="60" t="str">
        <f>IFERROR(LOOKUP(9.99E+307,N12:N42),"")</f>
        <v/>
      </c>
      <c r="O43" s="53" t="str">
        <f>IFERROR(LOOKUP(9.99E+307,O12:O42),"")</f>
        <v/>
      </c>
      <c r="P43" s="53">
        <f>SUM(P12:P42)</f>
        <v>0</v>
      </c>
      <c r="Q43" s="53">
        <f>SUM(Q12:Q42)</f>
        <v>0</v>
      </c>
      <c r="R43" s="53">
        <f>SUM(R12:R42)</f>
        <v>0</v>
      </c>
      <c r="S43" s="53">
        <f>SUM(S12:S42)</f>
        <v>0</v>
      </c>
      <c r="T43" s="53">
        <f>SUM(T12:T42)</f>
        <v>0</v>
      </c>
      <c r="U43" s="53">
        <f>SUM(U12:U42)</f>
        <v>0</v>
      </c>
      <c r="V43" s="53">
        <f>SUM(V12:V42)</f>
        <v>0</v>
      </c>
    </row>
    <row r="44">
      <c r="A44" s="52" t="inlineStr">
        <is>
          <t xml:space="preserve">Média por dia</t>
        </is>
      </c>
      <c r="C44" s="54" t="str">
        <f>IFERROR(AVERAGEIF(C12:C42,"&gt;0"),"")</f>
        <v/>
      </c>
      <c r="D44" s="54" t="str">
        <f>IFERROR(AVERAGEIF(D12:D42,"&gt;0"),"")</f>
        <v/>
      </c>
      <c r="E44" s="54" t="str">
        <f>IFERROR(AVERAGEIF(E12:E42,"&gt;0"),"")</f>
        <v/>
      </c>
      <c r="F44" s="54" t="str">
        <f>IFERROR(AVERAGEIF(F12:F42,"&gt;0"),"")</f>
        <v/>
      </c>
      <c r="G44" s="54" t="str">
        <f>IFERROR(AVERAGEIF(G12:G42,"&gt;0"),"")</f>
        <v/>
      </c>
      <c r="H44" s="54" t="str">
        <f>IFERROR(AVERAGEIF(H12:H42,"&gt;0"),"")</f>
        <v/>
      </c>
      <c r="I44" s="54" t="str">
        <f>IFERROR(AVERAGEIF(I12:I42,"&gt;0"),"")</f>
        <v/>
      </c>
      <c r="J44" s="54" t="str">
        <f>IFERROR(AVERAGEIF(J12:J42,"&gt;0"),"")</f>
        <v/>
      </c>
      <c r="K44" s="54" t="str">
        <f>IFERROR(AVERAGE(K12:K42),"")</f>
        <v/>
      </c>
      <c r="L44" s="54" t="str">
        <f>IFERROR(AVERAGE(L12:L42),"")</f>
        <v/>
      </c>
      <c r="M44" s="54" t="str">
        <f>IFERROR(AVERAGE(M12:M42),"")</f>
        <v/>
      </c>
      <c r="N44" s="56" t="str">
        <f>IFERROR(AVERAGE(N12:N42),"")</f>
        <v/>
      </c>
      <c r="O44" s="54" t="str">
        <f>IFERROR(AVERAGE(O12:O42),"")</f>
        <v/>
      </c>
      <c r="P44" s="54" t="str">
        <f>IFERROR(AVERAGEIF(P12:P42,"&gt;0"),"")</f>
        <v/>
      </c>
      <c r="Q44" s="54" t="str">
        <f>IFERROR(AVERAGEIF(Q12:Q42,"&gt;0"),"")</f>
        <v/>
      </c>
      <c r="R44" s="54" t="str">
        <f>IFERROR(AVERAGEIF(R12:R42,"&gt;0"),"")</f>
        <v/>
      </c>
      <c r="S44" s="54" t="str">
        <f>IFERROR(AVERAGEIF(S12:S42,"&gt;0"),"")</f>
        <v/>
      </c>
      <c r="T44" s="54" t="str">
        <f>IFERROR(AVERAGEIF(T12:T42,"&gt;0"),"")</f>
        <v/>
      </c>
      <c r="U44" s="54" t="str">
        <f>IFERROR(AVERAGEIF(U12:U42,"&gt;0"),"")</f>
        <v/>
      </c>
      <c r="V44" s="54" t="str">
        <f>IFERROR(AVERAGEIF(V12:V42,"&gt;0"),"")</f>
        <v/>
      </c>
    </row>
    <row r="45">
      <c r="A45" s="52" t="inlineStr">
        <is>
          <t xml:space="preserve">Máximo em um dia</t>
        </is>
      </c>
      <c r="C45" s="55">
        <f>IF(COUNT(C12:C42)=0,"",MAX(C12:C42))</f>
        <v>0</v>
      </c>
      <c r="D45" s="55">
        <f>IF(COUNT(D12:D42)=0,"",MAX(D12:D42))</f>
        <v>0</v>
      </c>
      <c r="E45" s="54">
        <f>IF(COUNT(E12:E42)=0,"",MAX(E12:E42))</f>
        <v>0</v>
      </c>
      <c r="F45" s="55">
        <f>IF(COUNT(F12:F42)=0,"",MAX(F12:F42))</f>
        <v>0</v>
      </c>
      <c r="G45" s="55">
        <f>IF(COUNT(G12:G42)=0,"",MAX(G12:G42))</f>
        <v>0</v>
      </c>
      <c r="H45" s="54">
        <f>IF(COUNT(H12:H42)=0,"",MAX(H12:H42))</f>
        <v>0</v>
      </c>
      <c r="I45" s="55">
        <f>IF(COUNT(I12:I42)=0,"",MAX(I12:I42))</f>
        <v>0</v>
      </c>
      <c r="J45" s="55">
        <f>IF(COUNT(J12:J42)=0,"",MAX(J12:J42))</f>
        <v>0</v>
      </c>
      <c r="K45" s="55" t="str">
        <f>IF(COUNT(K12:K42)=0,"",MAX(K12:K42))</f>
        <v/>
      </c>
      <c r="L45" s="55" t="str">
        <f>IF(COUNT(L12:L42)=0,"",MAX(L12:L42))</f>
        <v/>
      </c>
      <c r="M45" s="55" t="str">
        <f>IF(COUNT(M12:M42)=0,"",MAX(M12:M42))</f>
        <v/>
      </c>
      <c r="N45" s="56" t="str">
        <f>IF(COUNT(N12:N42)=0,"",MAX(N12:N42))</f>
        <v/>
      </c>
      <c r="O45" s="55" t="str">
        <f>IF(COUNT(O12:O42)=0,"",MAX(O12:O42))</f>
        <v/>
      </c>
      <c r="P45" s="55">
        <f>IF(COUNT(P12:P42)=0,"",MAX(P12:P42))</f>
        <v>0</v>
      </c>
      <c r="Q45" s="55">
        <f>IF(COUNT(Q12:Q42)=0,"",MAX(Q12:Q42))</f>
        <v>0</v>
      </c>
      <c r="R45" s="55">
        <f>IF(COUNT(R12:R42)=0,"",MAX(R12:R42))</f>
        <v>0</v>
      </c>
      <c r="S45" s="55">
        <f>IF(COUNT(S12:S42)=0,"",MAX(S12:S42))</f>
        <v>0</v>
      </c>
      <c r="T45" s="55">
        <f>IF(COUNT(T12:T42)=0,"",MAX(T12:T42))</f>
        <v>0</v>
      </c>
      <c r="U45" s="55">
        <f>IF(COUNT(U12:U42)=0,"",MAX(U12:U42))</f>
        <v>0</v>
      </c>
      <c r="V45" s="55">
        <f>IF(COUNT(V12:V42)=0,"",MAX(V12:V42))</f>
        <v>0</v>
      </c>
    </row>
    <row r="46">
      <c r="A46" s="52" t="inlineStr">
        <is>
          <t xml:space="preserve">Mês anterior (mesmo intervalo)</t>
        </is>
      </c>
      <c r="C46" s="55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55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54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55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55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54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55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55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55" t="str">
        <f>IF($B$9=0,"",IF($B$2="Todos",IF(COUNT($C$146:$V$146)=0,"",SUM($C$146:$V$146)),IFERROR(INDEX($C$146:$V$146,MATCH($D$2,$C$114:$V$114,0)),"")))</f>
        <v/>
      </c>
      <c r="L46" s="55" t="str">
        <f>IF(M46="","",IF($B$2="Todos",IF($B$4&gt;0,$B$4,IF($B$2="Todos",IF(COUNT($C$216:$V$216)=0,"",SUM($C$216:$V$216)),IFERROR(INDEX($C$216:$V$216,MATCH($D$2,$C$184:$V$184,0)),""))),IFERROR(INDEX($C$216:$V$216,MATCH($D$2,$C$184:$V$184,0)),"")))</f>
        <v/>
      </c>
      <c r="M46" s="55" t="str">
        <f>IF($B$9=0,"",IF($B$2="Todos",IF(COUNT($C$181:$V$181)=0,"",SUM($C$181:$V$181)),IFERROR(INDEX($C$181:$V$181,MATCH($D$2,$C$149:$V$149,0)),"")))</f>
        <v/>
      </c>
      <c r="N46" s="56" t="str">
        <f>IF(AND(ISNUMBER(M46),ISNUMBER(L46)),IF(L46&gt;0,M46/L46,""),"")</f>
        <v/>
      </c>
      <c r="O46" s="55" t="str">
        <f>IF($B$9=0,"",IF($B$2="Todos",IF(COUNT($C$251:$V$251)=0,"",SUM($C$251:$V$251)),IFERROR(INDEX($C$251:$V$251,MATCH($D$2,$C$219:$V$219,0)),"")))</f>
        <v/>
      </c>
      <c r="P46" s="55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Q46" s="55" t="str">
        <f>IF($B$9=0,"",IF($B$2="Todos",SUMIFS(BD!$P$3:$P$5001,BD!$A$3:$A$5001,"&gt;="&amp;$C$8,BD!$A$3:$A$5001,"&lt;="&amp;$D$8),SUMIFS(BD!$P$3:$P$5001,BD!$A$3:$A$5001,"&gt;="&amp;$C$8,BD!$A$3:$A$5001,"&lt;="&amp;$D$8,BD!$B$3:$B$5001,$D$2)))</f>
        <v/>
      </c>
      <c r="R46" s="55" t="str">
        <f>IF($B$9=0,"",IF($B$2="Todos",SUMIFS(BD!$Q$3:$Q$5001,BD!$A$3:$A$5001,"&gt;="&amp;$C$8,BD!$A$3:$A$5001,"&lt;="&amp;$D$8),SUMIFS(BD!$Q$3:$Q$5001,BD!$A$3:$A$5001,"&gt;="&amp;$C$8,BD!$A$3:$A$5001,"&lt;="&amp;$D$8,BD!$B$3:$B$5001,$D$2)))</f>
        <v/>
      </c>
      <c r="S46" s="55" t="str">
        <f>IF($B$9=0,"",IF($B$2="Todos",SUMIFS(BD!$R$3:$R$5001,BD!$A$3:$A$5001,"&gt;="&amp;$C$8,BD!$A$3:$A$5001,"&lt;="&amp;$D$8),SUMIFS(BD!$R$3:$R$5001,BD!$A$3:$A$5001,"&gt;="&amp;$C$8,BD!$A$3:$A$5001,"&lt;="&amp;$D$8,BD!$B$3:$B$5001,$D$2)))</f>
        <v/>
      </c>
      <c r="T46" s="55" t="str">
        <f>IF($B$9=0,"",IF($B$2="Todos",SUMIFS(BD!$S$3:$S$5001,BD!$A$3:$A$5001,"&gt;="&amp;$C$8,BD!$A$3:$A$5001,"&lt;="&amp;$D$8),SUMIFS(BD!$S$3:$S$5001,BD!$A$3:$A$5001,"&gt;="&amp;$C$8,BD!$A$3:$A$5001,"&lt;="&amp;$D$8,BD!$B$3:$B$5001,$D$2)))</f>
        <v/>
      </c>
      <c r="U46" s="55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V46" s="55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</row>
    <row r="47">
      <c r="A47" s="52" t="inlineStr">
        <is>
          <t xml:space="preserve">Variação vs mês anterior</t>
        </is>
      </c>
      <c r="C47" s="56" t="str">
        <f>IF(AND(ISNUMBER(C43),ISNUMBER(C46)),IF(C46&lt;&gt;0,C43/C46-1,""),"")</f>
        <v/>
      </c>
      <c r="D47" s="56" t="str">
        <f>IF(AND(ISNUMBER(D43),ISNUMBER(D46)),IF(D46&lt;&gt;0,D43/D46-1,""),"")</f>
        <v/>
      </c>
      <c r="E47" s="56" t="str">
        <f>IF(AND(ISNUMBER(E43),ISNUMBER(E46)),IF(E46&lt;&gt;0,E43/E46-1,""),"")</f>
        <v/>
      </c>
      <c r="F47" s="56" t="str">
        <f>IF(AND(ISNUMBER(F43),ISNUMBER(F46)),IF(F46&lt;&gt;0,F43/F46-1,""),"")</f>
        <v/>
      </c>
      <c r="G47" s="56" t="str">
        <f>IF(AND(ISNUMBER(G43),ISNUMBER(G46)),IF(G46&lt;&gt;0,G43/G46-1,""),"")</f>
        <v/>
      </c>
      <c r="H47" s="56" t="str">
        <f>IF(AND(ISNUMBER(H43),ISNUMBER(H46)),IF(H46&lt;&gt;0,H43/H46-1,""),"")</f>
        <v/>
      </c>
      <c r="I47" s="56" t="str">
        <f>IF(AND(ISNUMBER(I43),ISNUMBER(I46)),IF(I46&lt;&gt;0,I43/I46-1,""),"")</f>
        <v/>
      </c>
      <c r="J47" s="56" t="str">
        <f>IF(AND(ISNUMBER(J43),ISNUMBER(J46)),IF(J46&lt;&gt;0,J43/J46-1,""),"")</f>
        <v/>
      </c>
      <c r="K47" s="56" t="str">
        <f>IF(AND(ISNUMBER(K43),ISNUMBER(K46)),IF(K46&lt;&gt;0,K43/K46-1,""),"")</f>
        <v/>
      </c>
      <c r="L47" s="56" t="str">
        <f>IF(AND(ISNUMBER(L43),ISNUMBER(L46)),IF(L46&lt;&gt;0,L43/L46-1,""),"")</f>
        <v/>
      </c>
      <c r="M47" s="56" t="str">
        <f>IF(AND(ISNUMBER(M43),ISNUMBER(M46)),IF(M46&lt;&gt;0,M43/M46-1,""),"")</f>
        <v/>
      </c>
      <c r="N47" s="56" t="str">
        <f>IF(AND(ISNUMBER(N43),ISNUMBER(N46)),IF(N46&lt;&gt;0,N43/N46-1,""),"")</f>
        <v/>
      </c>
      <c r="O47" s="56" t="str">
        <f>IF(AND(ISNUMBER(O43),ISNUMBER(O46)),IF(O46&lt;&gt;0,O43/O46-1,""),"")</f>
        <v/>
      </c>
      <c r="P47" s="56" t="str">
        <f>IF(AND(ISNUMBER(P43),ISNUMBER(P46)),IF(P46&lt;&gt;0,P43/P46-1,""),"")</f>
        <v/>
      </c>
      <c r="Q47" s="56" t="str">
        <f>IF(AND(ISNUMBER(Q43),ISNUMBER(Q46)),IF(Q46&lt;&gt;0,Q43/Q46-1,""),"")</f>
        <v/>
      </c>
      <c r="R47" s="56" t="str">
        <f>IF(AND(ISNUMBER(R43),ISNUMBER(R46)),IF(R46&lt;&gt;0,R43/R46-1,""),"")</f>
        <v/>
      </c>
      <c r="S47" s="56" t="str">
        <f>IF(AND(ISNUMBER(S43),ISNUMBER(S46)),IF(S46&lt;&gt;0,S43/S46-1,""),"")</f>
        <v/>
      </c>
      <c r="T47" s="56" t="str">
        <f>IF(AND(ISNUMBER(T43),ISNUMBER(T46)),IF(T46&lt;&gt;0,T43/T46-1,""),"")</f>
        <v/>
      </c>
      <c r="U47" s="56" t="str">
        <f>IF(AND(ISNUMBER(U43),ISNUMBER(U46)),IF(U46&lt;&gt;0,U43/U46-1,""),"")</f>
        <v/>
      </c>
      <c r="V47" s="56" t="str">
        <f>IF(AND(ISNUMBER(V43),ISNUMBER(V46)),IF(V46&lt;&gt;0,V43/V46-1,""),"")</f>
        <v/>
      </c>
    </row>
    <row r="48">
      <c r="A48" s="52" t="inlineStr">
        <is>
          <t xml:space="preserve">Meta (seleção)</t>
        </is>
      </c>
      <c r="C48" s="55" t="str">
        <f>IFERROR(1/(1/INDEX(BD!$Y$23:$AS$23,MATCH($B$2,BD!$Y$22:$AS$22,0))),"")</f>
        <v/>
      </c>
      <c r="D48" s="55" t="str">
        <f>IFERROR(1/(1/INDEX(BD!$Y$24:$AS$24,MATCH($B$2,BD!$Y$22:$AS$22,0))),"")</f>
        <v/>
      </c>
      <c r="E48" s="55" t="str">
        <f>IFERROR(1/(1/INDEX(BD!$Y$25:$AS$25,MATCH($B$2,BD!$Y$22:$AS$22,0))),"")</f>
        <v/>
      </c>
      <c r="F48" s="55" t="str">
        <f>IFERROR(1/(1/INDEX(BD!$Y$26:$AS$26,MATCH($B$2,BD!$Y$22:$AS$22,0))),"")</f>
        <v/>
      </c>
      <c r="G48" s="55" t="str">
        <f>IFERROR(1/(1/INDEX(BD!$Y$27:$AS$27,MATCH($B$2,BD!$Y$22:$AS$22,0))),"")</f>
        <v/>
      </c>
      <c r="H48" s="55" t="str">
        <f>IFERROR(1/(1/INDEX(BD!$Y$28:$AS$28,MATCH($B$2,BD!$Y$22:$AS$22,0))),"")</f>
        <v/>
      </c>
      <c r="I48" s="55" t="str">
        <f>IFERROR(1/(1/INDEX(BD!$Y$29:$AS$29,MATCH($B$2,BD!$Y$22:$AS$22,0))),"")</f>
        <v/>
      </c>
      <c r="J48" s="55" t="str">
        <f>IFERROR(1/(1/INDEX(BD!$Y$30:$AS$30,MATCH($B$2,BD!$Y$22:$AS$22,0))),"")</f>
        <v/>
      </c>
      <c r="K48" s="55" t="str">
        <f>IFERROR(1/(1/INDEX(BD!$Y$31:$AS$31,MATCH($B$2,BD!$Y$22:$AS$22,0))),"")</f>
        <v/>
      </c>
      <c r="L48" s="55" t="str">
        <f>IFERROR(1/(1/INDEX(BD!$Y$32:$AS$32,MATCH($B$2,BD!$Y$22:$AS$22,0))),"")</f>
        <v/>
      </c>
      <c r="M48" s="55" t="str">
        <f>IFERROR(1/(1/INDEX(BD!$Y$33:$AS$33,MATCH($B$2,BD!$Y$22:$AS$22,0))),"")</f>
        <v/>
      </c>
      <c r="N48" s="57" t="str">
        <f>IFERROR(1/(1/INDEX(BD!$Y$34:$AS$34,MATCH($B$2,BD!$Y$22:$AS$22,0))),"")</f>
        <v/>
      </c>
      <c r="O48" s="55" t="str">
        <f>IFERROR(1/(1/INDEX(BD!$Y$35:$AS$35,MATCH($B$2,BD!$Y$22:$AS$22,0))),"")</f>
        <v/>
      </c>
      <c r="P48" s="55" t="str">
        <f>IFERROR(1/(1/INDEX(BD!$Y$36:$AS$36,MATCH($B$2,BD!$Y$22:$AS$22,0))),"")</f>
        <v/>
      </c>
      <c r="Q48" s="55" t="str">
        <f>IFERROR(1/(1/INDEX(BD!$Y$37:$AS$37,MATCH($B$2,BD!$Y$22:$AS$22,0))),"")</f>
        <v/>
      </c>
      <c r="R48" s="55" t="str">
        <f>IFERROR(1/(1/INDEX(BD!$Y$38:$AS$38,MATCH($B$2,BD!$Y$22:$AS$22,0))),"")</f>
        <v/>
      </c>
      <c r="S48" s="55" t="str">
        <f>IFERROR(1/(1/INDEX(BD!$Y$39:$AS$39,MATCH($B$2,BD!$Y$22:$AS$22,0))),"")</f>
        <v/>
      </c>
      <c r="T48" s="55" t="str">
        <f>IFERROR(1/(1/INDEX(BD!$Y$40:$AS$40,MATCH($B$2,BD!$Y$22:$AS$22,0))),"")</f>
        <v/>
      </c>
      <c r="U48" s="55" t="str">
        <f>IFERROR(1/(1/INDEX(BD!$Y$41:$AS$41,MATCH($B$2,BD!$Y$22:$AS$22,0))),"")</f>
        <v/>
      </c>
      <c r="V48" s="55" t="str">
        <f>IFERROR(1/(1/INDEX(BD!$Y$42:$AS$42,MATCH($B$2,BD!$Y$22:$AS$22,0))),"")</f>
        <v/>
      </c>
    </row>
    <row r="49">
      <c r="A49" s="52" t="inlineStr">
        <is>
          <t xml:space="preserve">% da meta</t>
        </is>
      </c>
      <c r="C49" s="57" t="str">
        <f>IF(AND(ISNUMBER(C48),ISNUMBER(C43)),IF(C48&gt;0,C43/C48,""),"")</f>
        <v/>
      </c>
      <c r="D49" s="57" t="str">
        <f>IF(AND(ISNUMBER(D48),ISNUMBER(D43)),IF(D48&gt;0,D43/D48,""),"")</f>
        <v/>
      </c>
      <c r="E49" s="57" t="str">
        <f>IF(AND(ISNUMBER(E48),ISNUMBER(E43)),IF(E48&gt;0,E43/E48,""),"")</f>
        <v/>
      </c>
      <c r="F49" s="57" t="str">
        <f>IF(AND(ISNUMBER(F48),ISNUMBER(F43)),IF(F48&gt;0,F43/F48,""),"")</f>
        <v/>
      </c>
      <c r="G49" s="57" t="str">
        <f>IF(AND(ISNUMBER(G48),ISNUMBER(G43)),IF(G48&gt;0,G43/G48,""),"")</f>
        <v/>
      </c>
      <c r="H49" s="57" t="str">
        <f>IF(AND(ISNUMBER(H48),ISNUMBER(H43)),IF(H48&gt;0,H43/H48,""),"")</f>
        <v/>
      </c>
      <c r="I49" s="57" t="str">
        <f>IF(AND(ISNUMBER(I48),ISNUMBER(I43)),IF(I48&gt;0,I43/I48,""),"")</f>
        <v/>
      </c>
      <c r="J49" s="57" t="str">
        <f>IF(AND(ISNUMBER(J48),ISNUMBER(J43)),IF(J48&gt;0,J43/J48,""),"")</f>
        <v/>
      </c>
      <c r="K49" s="57" t="str">
        <f>IF(AND(ISNUMBER(K48),ISNUMBER(K43)),IF(K48&gt;0,K43/K48,""),"")</f>
        <v/>
      </c>
      <c r="L49" s="57" t="str">
        <f>IF(AND(ISNUMBER(L48),ISNUMBER(L43)),IF(L48&gt;0,L43/L48,""),"")</f>
        <v/>
      </c>
      <c r="M49" s="57" t="str">
        <f>IF(AND(ISNUMBER(M48),ISNUMBER(M43)),IF(M48&gt;0,M43/M48,""),"")</f>
        <v/>
      </c>
      <c r="N49" s="57" t="str">
        <f>IF(AND(ISNUMBER(N48),ISNUMBER(N43)),IF(N48&gt;0,N43/N48,""),"")</f>
        <v/>
      </c>
      <c r="O49" s="57" t="str">
        <f>IF(AND(ISNUMBER(O48),ISNUMBER(O43)),IF(O48&gt;0,O43/O48,""),"")</f>
        <v/>
      </c>
      <c r="P49" s="57" t="str">
        <f>IF(AND(ISNUMBER(P48),ISNUMBER(P43)),IF(P48&gt;0,P43/P48,""),"")</f>
        <v/>
      </c>
      <c r="Q49" s="57" t="str">
        <f>IF(AND(ISNUMBER(Q48),ISNUMBER(Q43)),IF(Q48&gt;0,Q43/Q48,""),"")</f>
        <v/>
      </c>
      <c r="R49" s="57" t="str">
        <f>IF(AND(ISNUMBER(R48),ISNUMBER(R43)),IF(R48&gt;0,R43/R48,""),"")</f>
        <v/>
      </c>
      <c r="S49" s="57" t="str">
        <f>IF(AND(ISNUMBER(S48),ISNUMBER(S43)),IF(S48&gt;0,S43/S48,""),"")</f>
        <v/>
      </c>
      <c r="T49" s="57" t="str">
        <f>IF(AND(ISNUMBER(T48),ISNUMBER(T43)),IF(T48&gt;0,T43/T48,""),"")</f>
        <v/>
      </c>
      <c r="U49" s="57" t="str">
        <f>IF(AND(ISNUMBER(U48),ISNUMBER(U43)),IF(U48&gt;0,U43/U48,""),"")</f>
        <v/>
      </c>
      <c r="V49" s="57" t="str">
        <f>IF(AND(ISNUMBER(V48),ISNUMBER(V43)),IF(V48&gt;0,V43/V48,""),"")</f>
        <v/>
      </c>
    </row>
    <row r="50">
      <c r="A50" s="52" t="inlineStr">
        <is>
          <t xml:space="preserve">Status</t>
        </is>
      </c>
      <c r="C50" s="58" t="str">
        <f>IF(ISNUMBER(C49),IF(C49&gt;=1,"meta atingida","abaixo da meta"),"")</f>
        <v/>
      </c>
      <c r="D50" s="58" t="str">
        <f>IF(ISNUMBER(D49),IF(D49&gt;=1,"meta atingida","abaixo da meta"),"")</f>
        <v/>
      </c>
      <c r="E50" s="58" t="str">
        <f>IF(ISNUMBER(E49),IF(E49&gt;=1,"meta atingida","abaixo da meta"),"")</f>
        <v/>
      </c>
      <c r="F50" s="58" t="str">
        <f>IF(ISNUMBER(F49),IF(F49&gt;=1,"meta atingida","abaixo da meta"),"")</f>
        <v/>
      </c>
      <c r="G50" s="58" t="str">
        <f>IF(ISNUMBER(G49),IF(G49&gt;=1,"meta atingida","abaixo da meta"),"")</f>
        <v/>
      </c>
      <c r="H50" s="58" t="str">
        <f>IF(ISNUMBER(H49),IF(H49&gt;=1,"meta atingida","abaixo da meta"),"")</f>
        <v/>
      </c>
      <c r="I50" s="58" t="str">
        <f>IF(AND(ISNUMBER(I48),ISNUMBER(I43)),IF(I43&lt;=I48,"dentro do limite","acima do limite"),"")</f>
        <v/>
      </c>
      <c r="J50" s="58" t="str">
        <f>IF(AND(ISNUMBER(J48),ISNUMBER(J43)),IF(J43&lt;=J48,"dentro do limite","acima do limite"),"")</f>
        <v/>
      </c>
      <c r="K50" s="58" t="str">
        <f>IF(AND(ISNUMBER(K48),ISNUMBER(K43)),IF(K43&lt;=K48,"dentro do limite","acima do limite"),"")</f>
        <v/>
      </c>
      <c r="L50" s="58" t="str">
        <f>IF(ISNUMBER(L49),IF(L49&gt;=1,"meta atingida","abaixo da meta"),"")</f>
        <v/>
      </c>
      <c r="M50" s="58" t="str">
        <f>IF(ISNUMBER(M49),IF(M49&gt;=1,"meta atingida","abaixo da meta"),"")</f>
        <v/>
      </c>
      <c r="N50" s="58" t="str">
        <f>IF(ISNUMBER(N43),IF(N43&gt;1,"excede o contratado",IF(N43&gt;=$B$6,"ocupação alta",IF(N43&gt;=$B$5,"ocupação média","ociosidade alta"))),"")</f>
        <v/>
      </c>
      <c r="O50" s="58" t="str">
        <f>IF(ISNUMBER(O49),IF(O49&gt;=1,"meta atingida","abaixo da meta"),"")</f>
        <v/>
      </c>
      <c r="P50" s="58" t="str">
        <f>IF(AND(ISNUMBER(P48),ISNUMBER(P43)),IF(P43&lt;=P48,"dentro do limite","acima do limite"),"")</f>
        <v/>
      </c>
      <c r="Q50" s="58" t="str">
        <f>IF(ISNUMBER(Q49),IF(Q49&gt;=1,"meta atingida","abaixo da meta"),"")</f>
        <v/>
      </c>
      <c r="R50" s="58" t="str">
        <f>IF(ISNUMBER(R49),IF(R49&gt;=1,"meta atingida","abaixo da meta"),"")</f>
        <v/>
      </c>
      <c r="S50" s="58" t="str">
        <f>IF(AND(ISNUMBER(S48),ISNUMBER(S43)),IF(S43&lt;=S48,"dentro do limite","acima do limite"),"")</f>
        <v/>
      </c>
      <c r="T50" s="58" t="str">
        <f>IF(AND(ISNUMBER(T48),ISNUMBER(T43)),IF(T43&lt;=T48,"dentro do limite","acima do limite"),"")</f>
        <v/>
      </c>
      <c r="U50" s="58" t="str">
        <f>IF(AND(ISNUMBER(U48),ISNUMBER(U43)),IF(U43&lt;=U48,"dentro do limite","acima do limite"),"")</f>
        <v/>
      </c>
      <c r="V50" s="58" t="str">
        <f>IF(AND(ISNUMBER(V48),ISNUMBER(V43)),IF(V43&lt;=V48,"dentro do limite","acima do limite"),"")</f>
        <v/>
      </c>
    </row>
    <row r="78">
      <c r="A78" s="19" t="inlineStr">
        <is>
          <t xml:space="preserve">ACUMULADO SEMANAL — toneladas e pallets (seguem o filtro; mês do gráfico)</t>
        </is>
      </c>
    </row>
    <row r="79">
      <c r="A79" s="37" t="inlineStr">
        <is>
          <t xml:space="preserve">Semana</t>
        </is>
      </c>
      <c r="B79" s="37" t="inlineStr">
        <is>
          <t xml:space="preserve">Do dia</t>
        </is>
      </c>
      <c r="C79" s="37" t="inlineStr">
        <is>
          <t xml:space="preserve">Ao dia</t>
        </is>
      </c>
      <c r="D79" s="37" t="inlineStr">
        <is>
          <t xml:space="preserve">IN tons</t>
        </is>
      </c>
      <c r="E79" s="37" t="inlineStr">
        <is>
          <t xml:space="preserve">OUT tons</t>
        </is>
      </c>
      <c r="F79" s="37" t="inlineStr">
        <is>
          <t xml:space="preserve">IN pallets</t>
        </is>
      </c>
      <c r="G79" s="37" t="inlineStr">
        <is>
          <t xml:space="preserve">OUT pallets</t>
        </is>
      </c>
      <c r="AX79" s="37" t="inlineStr">
        <is>
          <t xml:space="preserve">Gráf A IN (semanal)</t>
        </is>
      </c>
      <c r="AY79" s="37" t="inlineStr">
        <is>
          <t xml:space="preserve">Gráf A OUT (semanal)</t>
        </is>
      </c>
      <c r="AZ79" s="37" t="inlineStr">
        <is>
          <t xml:space="preserve">Gráf B IN (semanal)</t>
        </is>
      </c>
      <c r="BA79" s="37" t="inlineStr">
        <is>
          <t xml:space="preserve">Gráf B OUT (semanal)</t>
        </is>
      </c>
    </row>
    <row r="80">
      <c r="A80" s="29" t="inlineStr">
        <is>
          <t xml:space="preserve">Sem 1 (01–07)</t>
        </is>
      </c>
      <c r="B80" s="28">
        <v>1</v>
      </c>
      <c r="C80" s="28">
        <v>7</v>
      </c>
      <c r="D80" s="61">
        <f>SUMIFS(E12:E42,A12:A42,"&gt;="&amp;$B80,A12:A42,"&lt;="&amp;$C80)</f>
        <v>0</v>
      </c>
      <c r="E80" s="61">
        <f>SUMIFS(H12:H42,A12:A42,"&gt;="&amp;$B80,A12:A42,"&lt;="&amp;$C80)</f>
        <v>0</v>
      </c>
      <c r="F80" s="32">
        <f>SUMIFS(D12:D42,A12:A42,"&gt;="&amp;$B80,A12:A42,"&lt;="&amp;$C80)</f>
        <v>0</v>
      </c>
      <c r="G80" s="32">
        <f>SUMIFS(G12:G42,A12:A42,"&gt;="&amp;$B80,A12:A42,"&lt;="&amp;$C80)</f>
        <v>0</v>
      </c>
      <c r="AX80" s="61">
        <f>IF(N(VALUE($AH$310))=0,"",IF(N(VALUE($AJ$310))=0,SUMIFS(AX$12:AX$42,$A$12:$A$42,"&gt;="&amp;$B80,$A$12:$A$42,"&lt;="&amp;$C80),IF(SUMIFS(INDEX($C$12:$V$42,0,N(VALUE($AJ$310))),$A$12:$A$42,"&gt;="&amp;$B80,$A$12:$A$42,"&lt;="&amp;$C80)&gt;0,SUMIFS(INDEX($C$12:$V$42,0,VALUE($AH$310)),$A$12:$A$42,"&gt;="&amp;$B80,$A$12:$A$42,"&lt;="&amp;$C80)/SUMIFS(INDEX($C$12:$V$42,0,N(VALUE($AJ$310))),$A$12:$A$42,"&gt;="&amp;$B80,$A$12:$A$42,"&lt;="&amp;$C80),"")))</f>
        <v>0</v>
      </c>
      <c r="AY80" s="61">
        <f>IF(N(VALUE($AI$310))=0,"",IF(N(VALUE($AK$310))=0,SUMIFS(AY$12:AY$42,$A$12:$A$42,"&gt;="&amp;$B80,$A$12:$A$42,"&lt;="&amp;$C80),IF(SUMIFS(INDEX($C$12:$V$42,0,N(VALUE($AK$310))),$A$12:$A$42,"&gt;="&amp;$B80,$A$12:$A$42,"&lt;="&amp;$C80)&gt;0,SUMIFS(INDEX($C$12:$V$42,0,VALUE($AI$310)),$A$12:$A$42,"&gt;="&amp;$B80,$A$12:$A$42,"&lt;="&amp;$C80)/SUMIFS(INDEX($C$12:$V$42,0,N(VALUE($AK$310))),$A$12:$A$42,"&gt;="&amp;$B80,$A$12:$A$42,"&lt;="&amp;$C80),"")))</f>
        <v>0</v>
      </c>
      <c r="AZ80" s="61">
        <f>IF(N(VALUE($AP$310))=0,"",IF(N(VALUE($AR$310))=0,SUMIFS(AZ$12:AZ$42,$A$12:$A$42,"&gt;="&amp;$B80,$A$12:$A$42,"&lt;="&amp;$C80),IF(SUMIFS(INDEX($C$12:$V$42,0,N(VALUE($AR$310))),$A$12:$A$42,"&gt;="&amp;$B80,$A$12:$A$42,"&lt;="&amp;$C80)&gt;0,SUMIFS(INDEX($C$12:$V$42,0,VALUE($AP$310)),$A$12:$A$42,"&gt;="&amp;$B80,$A$12:$A$42,"&lt;="&amp;$C80)/SUMIFS(INDEX($C$12:$V$42,0,N(VALUE($AR$310))),$A$12:$A$42,"&gt;="&amp;$B80,$A$12:$A$42,"&lt;="&amp;$C80),"")))</f>
        <v>0</v>
      </c>
      <c r="BA80" s="61">
        <f>IF(N(VALUE($AQ$310))=0,"",IF(N(VALUE($AS$310))=0,SUMIFS(BA$12:BA$42,$A$12:$A$42,"&gt;="&amp;$B80,$A$12:$A$42,"&lt;="&amp;$C80),IF(SUMIFS(INDEX($C$12:$V$42,0,N(VALUE($AS$310))),$A$12:$A$42,"&gt;="&amp;$B80,$A$12:$A$42,"&lt;="&amp;$C80)&gt;0,SUMIFS(INDEX($C$12:$V$42,0,VALUE($AQ$310)),$A$12:$A$42,"&gt;="&amp;$B80,$A$12:$A$42,"&lt;="&amp;$C80)/SUMIFS(INDEX($C$12:$V$42,0,N(VALUE($AS$310))),$A$12:$A$42,"&gt;="&amp;$B80,$A$12:$A$42,"&lt;="&amp;$C80),"")))</f>
        <v>0</v>
      </c>
    </row>
    <row r="81">
      <c r="A81" s="29" t="inlineStr">
        <is>
          <t xml:space="preserve">Sem 2 (08–14)</t>
        </is>
      </c>
      <c r="B81" s="28">
        <v>8</v>
      </c>
      <c r="C81" s="28">
        <v>14</v>
      </c>
      <c r="D81" s="61">
        <f>SUMIFS(E12:E42,A12:A42,"&gt;="&amp;$B81,A12:A42,"&lt;="&amp;$C81)</f>
        <v>0</v>
      </c>
      <c r="E81" s="61">
        <f>SUMIFS(H12:H42,A12:A42,"&gt;="&amp;$B81,A12:A42,"&lt;="&amp;$C81)</f>
        <v>0</v>
      </c>
      <c r="F81" s="32">
        <f>SUMIFS(D12:D42,A12:A42,"&gt;="&amp;$B81,A12:A42,"&lt;="&amp;$C81)</f>
        <v>0</v>
      </c>
      <c r="G81" s="32">
        <f>SUMIFS(G12:G42,A12:A42,"&gt;="&amp;$B81,A12:A42,"&lt;="&amp;$C81)</f>
        <v>0</v>
      </c>
      <c r="AX81" s="61">
        <f>IF(N(VALUE($AH$310))=0,"",IF(N(VALUE($AJ$310))=0,SUMIFS(AX$12:AX$42,$A$12:$A$42,"&gt;="&amp;$B81,$A$12:$A$42,"&lt;="&amp;$C81),IF(SUMIFS(INDEX($C$12:$V$42,0,N(VALUE($AJ$310))),$A$12:$A$42,"&gt;="&amp;$B81,$A$12:$A$42,"&lt;="&amp;$C81)&gt;0,SUMIFS(INDEX($C$12:$V$42,0,VALUE($AH$310)),$A$12:$A$42,"&gt;="&amp;$B81,$A$12:$A$42,"&lt;="&amp;$C81)/SUMIFS(INDEX($C$12:$V$42,0,N(VALUE($AJ$310))),$A$12:$A$42,"&gt;="&amp;$B81,$A$12:$A$42,"&lt;="&amp;$C81),"")))</f>
        <v>0</v>
      </c>
      <c r="AY81" s="61">
        <f>IF(N(VALUE($AI$310))=0,"",IF(N(VALUE($AK$310))=0,SUMIFS(AY$12:AY$42,$A$12:$A$42,"&gt;="&amp;$B81,$A$12:$A$42,"&lt;="&amp;$C81),IF(SUMIFS(INDEX($C$12:$V$42,0,N(VALUE($AK$310))),$A$12:$A$42,"&gt;="&amp;$B81,$A$12:$A$42,"&lt;="&amp;$C81)&gt;0,SUMIFS(INDEX($C$12:$V$42,0,VALUE($AI$310)),$A$12:$A$42,"&gt;="&amp;$B81,$A$12:$A$42,"&lt;="&amp;$C81)/SUMIFS(INDEX($C$12:$V$42,0,N(VALUE($AK$310))),$A$12:$A$42,"&gt;="&amp;$B81,$A$12:$A$42,"&lt;="&amp;$C81),"")))</f>
        <v>0</v>
      </c>
      <c r="AZ81" s="61">
        <f>IF(N(VALUE($AP$310))=0,"",IF(N(VALUE($AR$310))=0,SUMIFS(AZ$12:AZ$42,$A$12:$A$42,"&gt;="&amp;$B81,$A$12:$A$42,"&lt;="&amp;$C81),IF(SUMIFS(INDEX($C$12:$V$42,0,N(VALUE($AR$310))),$A$12:$A$42,"&gt;="&amp;$B81,$A$12:$A$42,"&lt;="&amp;$C81)&gt;0,SUMIFS(INDEX($C$12:$V$42,0,VALUE($AP$310)),$A$12:$A$42,"&gt;="&amp;$B81,$A$12:$A$42,"&lt;="&amp;$C81)/SUMIFS(INDEX($C$12:$V$42,0,N(VALUE($AR$310))),$A$12:$A$42,"&gt;="&amp;$B81,$A$12:$A$42,"&lt;="&amp;$C81),"")))</f>
        <v>0</v>
      </c>
      <c r="BA81" s="61">
        <f>IF(N(VALUE($AQ$310))=0,"",IF(N(VALUE($AS$310))=0,SUMIFS(BA$12:BA$42,$A$12:$A$42,"&gt;="&amp;$B81,$A$12:$A$42,"&lt;="&amp;$C81),IF(SUMIFS(INDEX($C$12:$V$42,0,N(VALUE($AS$310))),$A$12:$A$42,"&gt;="&amp;$B81,$A$12:$A$42,"&lt;="&amp;$C81)&gt;0,SUMIFS(INDEX($C$12:$V$42,0,VALUE($AQ$310)),$A$12:$A$42,"&gt;="&amp;$B81,$A$12:$A$42,"&lt;="&amp;$C81)/SUMIFS(INDEX($C$12:$V$42,0,N(VALUE($AS$310))),$A$12:$A$42,"&gt;="&amp;$B81,$A$12:$A$42,"&lt;="&amp;$C81),"")))</f>
        <v>0</v>
      </c>
    </row>
    <row r="82">
      <c r="A82" s="29" t="inlineStr">
        <is>
          <t xml:space="preserve">Sem 3 (15–21)</t>
        </is>
      </c>
      <c r="B82" s="28">
        <v>15</v>
      </c>
      <c r="C82" s="28">
        <v>21</v>
      </c>
      <c r="D82" s="61">
        <f>SUMIFS(E12:E42,A12:A42,"&gt;="&amp;$B82,A12:A42,"&lt;="&amp;$C82)</f>
        <v>0</v>
      </c>
      <c r="E82" s="61">
        <f>SUMIFS(H12:H42,A12:A42,"&gt;="&amp;$B82,A12:A42,"&lt;="&amp;$C82)</f>
        <v>0</v>
      </c>
      <c r="F82" s="32">
        <f>SUMIFS(D12:D42,A12:A42,"&gt;="&amp;$B82,A12:A42,"&lt;="&amp;$C82)</f>
        <v>0</v>
      </c>
      <c r="G82" s="32">
        <f>SUMIFS(G12:G42,A12:A42,"&gt;="&amp;$B82,A12:A42,"&lt;="&amp;$C82)</f>
        <v>0</v>
      </c>
      <c r="AX82" s="61">
        <f>IF(N(VALUE($AH$310))=0,"",IF(N(VALUE($AJ$310))=0,SUMIFS(AX$12:AX$42,$A$12:$A$42,"&gt;="&amp;$B82,$A$12:$A$42,"&lt;="&amp;$C82),IF(SUMIFS(INDEX($C$12:$V$42,0,N(VALUE($AJ$310))),$A$12:$A$42,"&gt;="&amp;$B82,$A$12:$A$42,"&lt;="&amp;$C82)&gt;0,SUMIFS(INDEX($C$12:$V$42,0,VALUE($AH$310)),$A$12:$A$42,"&gt;="&amp;$B82,$A$12:$A$42,"&lt;="&amp;$C82)/SUMIFS(INDEX($C$12:$V$42,0,N(VALUE($AJ$310))),$A$12:$A$42,"&gt;="&amp;$B82,$A$12:$A$42,"&lt;="&amp;$C82),"")))</f>
        <v>0</v>
      </c>
      <c r="AY82" s="61">
        <f>IF(N(VALUE($AI$310))=0,"",IF(N(VALUE($AK$310))=0,SUMIFS(AY$12:AY$42,$A$12:$A$42,"&gt;="&amp;$B82,$A$12:$A$42,"&lt;="&amp;$C82),IF(SUMIFS(INDEX($C$12:$V$42,0,N(VALUE($AK$310))),$A$12:$A$42,"&gt;="&amp;$B82,$A$12:$A$42,"&lt;="&amp;$C82)&gt;0,SUMIFS(INDEX($C$12:$V$42,0,VALUE($AI$310)),$A$12:$A$42,"&gt;="&amp;$B82,$A$12:$A$42,"&lt;="&amp;$C82)/SUMIFS(INDEX($C$12:$V$42,0,N(VALUE($AK$310))),$A$12:$A$42,"&gt;="&amp;$B82,$A$12:$A$42,"&lt;="&amp;$C82),"")))</f>
        <v>0</v>
      </c>
      <c r="AZ82" s="61">
        <f>IF(N(VALUE($AP$310))=0,"",IF(N(VALUE($AR$310))=0,SUMIFS(AZ$12:AZ$42,$A$12:$A$42,"&gt;="&amp;$B82,$A$12:$A$42,"&lt;="&amp;$C82),IF(SUMIFS(INDEX($C$12:$V$42,0,N(VALUE($AR$310))),$A$12:$A$42,"&gt;="&amp;$B82,$A$12:$A$42,"&lt;="&amp;$C82)&gt;0,SUMIFS(INDEX($C$12:$V$42,0,VALUE($AP$310)),$A$12:$A$42,"&gt;="&amp;$B82,$A$12:$A$42,"&lt;="&amp;$C82)/SUMIFS(INDEX($C$12:$V$42,0,N(VALUE($AR$310))),$A$12:$A$42,"&gt;="&amp;$B82,$A$12:$A$42,"&lt;="&amp;$C82),"")))</f>
        <v>0</v>
      </c>
      <c r="BA82" s="61">
        <f>IF(N(VALUE($AQ$310))=0,"",IF(N(VALUE($AS$310))=0,SUMIFS(BA$12:BA$42,$A$12:$A$42,"&gt;="&amp;$B82,$A$12:$A$42,"&lt;="&amp;$C82),IF(SUMIFS(INDEX($C$12:$V$42,0,N(VALUE($AS$310))),$A$12:$A$42,"&gt;="&amp;$B82,$A$12:$A$42,"&lt;="&amp;$C82)&gt;0,SUMIFS(INDEX($C$12:$V$42,0,VALUE($AQ$310)),$A$12:$A$42,"&gt;="&amp;$B82,$A$12:$A$42,"&lt;="&amp;$C82)/SUMIFS(INDEX($C$12:$V$42,0,N(VALUE($AS$310))),$A$12:$A$42,"&gt;="&amp;$B82,$A$12:$A$42,"&lt;="&amp;$C82),"")))</f>
        <v>0</v>
      </c>
    </row>
    <row r="83">
      <c r="A83" s="29" t="inlineStr">
        <is>
          <t xml:space="preserve">Sem 4 (22–28)</t>
        </is>
      </c>
      <c r="B83" s="28">
        <v>22</v>
      </c>
      <c r="C83" s="28">
        <v>28</v>
      </c>
      <c r="D83" s="61">
        <f>SUMIFS(E12:E42,A12:A42,"&gt;="&amp;$B83,A12:A42,"&lt;="&amp;$C83)</f>
        <v>0</v>
      </c>
      <c r="E83" s="61">
        <f>SUMIFS(H12:H42,A12:A42,"&gt;="&amp;$B83,A12:A42,"&lt;="&amp;$C83)</f>
        <v>0</v>
      </c>
      <c r="F83" s="32">
        <f>SUMIFS(D12:D42,A12:A42,"&gt;="&amp;$B83,A12:A42,"&lt;="&amp;$C83)</f>
        <v>0</v>
      </c>
      <c r="G83" s="32">
        <f>SUMIFS(G12:G42,A12:A42,"&gt;="&amp;$B83,A12:A42,"&lt;="&amp;$C83)</f>
        <v>0</v>
      </c>
      <c r="AX83" s="61">
        <f>IF(N(VALUE($AH$310))=0,"",IF(N(VALUE($AJ$310))=0,SUMIFS(AX$12:AX$42,$A$12:$A$42,"&gt;="&amp;$B83,$A$12:$A$42,"&lt;="&amp;$C83),IF(SUMIFS(INDEX($C$12:$V$42,0,N(VALUE($AJ$310))),$A$12:$A$42,"&gt;="&amp;$B83,$A$12:$A$42,"&lt;="&amp;$C83)&gt;0,SUMIFS(INDEX($C$12:$V$42,0,VALUE($AH$310)),$A$12:$A$42,"&gt;="&amp;$B83,$A$12:$A$42,"&lt;="&amp;$C83)/SUMIFS(INDEX($C$12:$V$42,0,N(VALUE($AJ$310))),$A$12:$A$42,"&gt;="&amp;$B83,$A$12:$A$42,"&lt;="&amp;$C83),"")))</f>
        <v>0</v>
      </c>
      <c r="AY83" s="61">
        <f>IF(N(VALUE($AI$310))=0,"",IF(N(VALUE($AK$310))=0,SUMIFS(AY$12:AY$42,$A$12:$A$42,"&gt;="&amp;$B83,$A$12:$A$42,"&lt;="&amp;$C83),IF(SUMIFS(INDEX($C$12:$V$42,0,N(VALUE($AK$310))),$A$12:$A$42,"&gt;="&amp;$B83,$A$12:$A$42,"&lt;="&amp;$C83)&gt;0,SUMIFS(INDEX($C$12:$V$42,0,VALUE($AI$310)),$A$12:$A$42,"&gt;="&amp;$B83,$A$12:$A$42,"&lt;="&amp;$C83)/SUMIFS(INDEX($C$12:$V$42,0,N(VALUE($AK$310))),$A$12:$A$42,"&gt;="&amp;$B83,$A$12:$A$42,"&lt;="&amp;$C83),"")))</f>
        <v>0</v>
      </c>
      <c r="AZ83" s="61">
        <f>IF(N(VALUE($AP$310))=0,"",IF(N(VALUE($AR$310))=0,SUMIFS(AZ$12:AZ$42,$A$12:$A$42,"&gt;="&amp;$B83,$A$12:$A$42,"&lt;="&amp;$C83),IF(SUMIFS(INDEX($C$12:$V$42,0,N(VALUE($AR$310))),$A$12:$A$42,"&gt;="&amp;$B83,$A$12:$A$42,"&lt;="&amp;$C83)&gt;0,SUMIFS(INDEX($C$12:$V$42,0,VALUE($AP$310)),$A$12:$A$42,"&gt;="&amp;$B83,$A$12:$A$42,"&lt;="&amp;$C83)/SUMIFS(INDEX($C$12:$V$42,0,N(VALUE($AR$310))),$A$12:$A$42,"&gt;="&amp;$B83,$A$12:$A$42,"&lt;="&amp;$C83),"")))</f>
        <v>0</v>
      </c>
      <c r="BA83" s="61">
        <f>IF(N(VALUE($AQ$310))=0,"",IF(N(VALUE($AS$310))=0,SUMIFS(BA$12:BA$42,$A$12:$A$42,"&gt;="&amp;$B83,$A$12:$A$42,"&lt;="&amp;$C83),IF(SUMIFS(INDEX($C$12:$V$42,0,N(VALUE($AS$310))),$A$12:$A$42,"&gt;="&amp;$B83,$A$12:$A$42,"&lt;="&amp;$C83)&gt;0,SUMIFS(INDEX($C$12:$V$42,0,VALUE($AQ$310)),$A$12:$A$42,"&gt;="&amp;$B83,$A$12:$A$42,"&lt;="&amp;$C83)/SUMIFS(INDEX($C$12:$V$42,0,N(VALUE($AS$310))),$A$12:$A$42,"&gt;="&amp;$B83,$A$12:$A$42,"&lt;="&amp;$C83),"")))</f>
        <v>0</v>
      </c>
    </row>
    <row r="84">
      <c r="A84" s="29" t="inlineStr">
        <is>
          <t xml:space="preserve">Sem 5 (29–fim)</t>
        </is>
      </c>
      <c r="B84" s="28">
        <v>29</v>
      </c>
      <c r="C84" s="28">
        <v>31</v>
      </c>
      <c r="D84" s="61">
        <f>SUMIFS(E12:E42,A12:A42,"&gt;="&amp;$B84,A12:A42,"&lt;="&amp;$C84)</f>
        <v>0</v>
      </c>
      <c r="E84" s="61">
        <f>SUMIFS(H12:H42,A12:A42,"&gt;="&amp;$B84,A12:A42,"&lt;="&amp;$C84)</f>
        <v>0</v>
      </c>
      <c r="F84" s="32">
        <f>SUMIFS(D12:D42,A12:A42,"&gt;="&amp;$B84,A12:A42,"&lt;="&amp;$C84)</f>
        <v>0</v>
      </c>
      <c r="G84" s="32">
        <f>SUMIFS(G12:G42,A12:A42,"&gt;="&amp;$B84,A12:A42,"&lt;="&amp;$C84)</f>
        <v>0</v>
      </c>
      <c r="AX84" s="61">
        <f>IF(N(VALUE($AH$310))=0,"",IF(N(VALUE($AJ$310))=0,SUMIFS(AX$12:AX$42,$A$12:$A$42,"&gt;="&amp;$B84,$A$12:$A$42,"&lt;="&amp;$C84),IF(SUMIFS(INDEX($C$12:$V$42,0,N(VALUE($AJ$310))),$A$12:$A$42,"&gt;="&amp;$B84,$A$12:$A$42,"&lt;="&amp;$C84)&gt;0,SUMIFS(INDEX($C$12:$V$42,0,VALUE($AH$310)),$A$12:$A$42,"&gt;="&amp;$B84,$A$12:$A$42,"&lt;="&amp;$C84)/SUMIFS(INDEX($C$12:$V$42,0,N(VALUE($AJ$310))),$A$12:$A$42,"&gt;="&amp;$B84,$A$12:$A$42,"&lt;="&amp;$C84),"")))</f>
        <v>0</v>
      </c>
      <c r="AY84" s="61">
        <f>IF(N(VALUE($AI$310))=0,"",IF(N(VALUE($AK$310))=0,SUMIFS(AY$12:AY$42,$A$12:$A$42,"&gt;="&amp;$B84,$A$12:$A$42,"&lt;="&amp;$C84),IF(SUMIFS(INDEX($C$12:$V$42,0,N(VALUE($AK$310))),$A$12:$A$42,"&gt;="&amp;$B84,$A$12:$A$42,"&lt;="&amp;$C84)&gt;0,SUMIFS(INDEX($C$12:$V$42,0,VALUE($AI$310)),$A$12:$A$42,"&gt;="&amp;$B84,$A$12:$A$42,"&lt;="&amp;$C84)/SUMIFS(INDEX($C$12:$V$42,0,N(VALUE($AK$310))),$A$12:$A$42,"&gt;="&amp;$B84,$A$12:$A$42,"&lt;="&amp;$C84),"")))</f>
        <v>0</v>
      </c>
      <c r="AZ84" s="61">
        <f>IF(N(VALUE($AP$310))=0,"",IF(N(VALUE($AR$310))=0,SUMIFS(AZ$12:AZ$42,$A$12:$A$42,"&gt;="&amp;$B84,$A$12:$A$42,"&lt;="&amp;$C84),IF(SUMIFS(INDEX($C$12:$V$42,0,N(VALUE($AR$310))),$A$12:$A$42,"&gt;="&amp;$B84,$A$12:$A$42,"&lt;="&amp;$C84)&gt;0,SUMIFS(INDEX($C$12:$V$42,0,VALUE($AP$310)),$A$12:$A$42,"&gt;="&amp;$B84,$A$12:$A$42,"&lt;="&amp;$C84)/SUMIFS(INDEX($C$12:$V$42,0,N(VALUE($AR$310))),$A$12:$A$42,"&gt;="&amp;$B84,$A$12:$A$42,"&lt;="&amp;$C84),"")))</f>
        <v>0</v>
      </c>
      <c r="BA84" s="61">
        <f>IF(N(VALUE($AQ$310))=0,"",IF(N(VALUE($AS$310))=0,SUMIFS(BA$12:BA$42,$A$12:$A$42,"&gt;="&amp;$B84,$A$12:$A$42,"&lt;="&amp;$C84),IF(SUMIFS(INDEX($C$12:$V$42,0,N(VALUE($AS$310))),$A$12:$A$42,"&gt;="&amp;$B84,$A$12:$A$42,"&lt;="&amp;$C84)&gt;0,SUMIFS(INDEX($C$12:$V$42,0,VALUE($AQ$310)),$A$12:$A$42,"&gt;="&amp;$B84,$A$12:$A$42,"&lt;="&amp;$C84)/SUMIFS(INDEX($C$12:$V$42,0,N(VALUE($AS$310))),$A$12:$A$42,"&gt;="&amp;$B84,$A$12:$A$42,"&lt;="&amp;$C84),"")))</f>
        <v>0</v>
      </c>
    </row>
    <row r="88">
      <c r="A88" s="19" t="inlineStr">
        <is>
          <t xml:space="preserve">POR CLIENTE — mês inteiro (todos os clientes). Estoque = último valor do mês.</t>
        </is>
      </c>
    </row>
    <row r="89" ht="30" customHeight="1">
      <c r="A89" s="37" t="inlineStr">
        <is>
          <t xml:space="preserve">Indicador</t>
        </is>
      </c>
      <c r="B89" s="37" t="str">
        <f>Config!$B$10&amp;""</f>
        <v>Barry Callebaut</v>
      </c>
      <c r="C89" s="37" t="str">
        <f>Config!$B$11&amp;""</f>
        <v>GM</v>
      </c>
      <c r="D89" s="37" t="str">
        <f>Config!$B$12&amp;""</f>
        <v>Mondelez</v>
      </c>
      <c r="E89" s="37" t="str">
        <f>Config!$B$13&amp;""</f>
        <v>Nestlé</v>
      </c>
      <c r="F89" s="37" t="str">
        <f>Config!$B$14&amp;""</f>
        <v>PMB</v>
      </c>
      <c r="G89" s="37" t="str">
        <f>Config!$B$15&amp;""</f>
        <v/>
      </c>
      <c r="H89" s="37" t="str">
        <f>Config!$B$16&amp;""</f>
        <v/>
      </c>
      <c r="I89" s="37" t="str">
        <f>Config!$B$17&amp;""</f>
        <v/>
      </c>
      <c r="J89" s="37" t="str">
        <f>Config!$B$18&amp;""</f>
        <v/>
      </c>
      <c r="K89" s="37" t="str">
        <f>Config!$B$19&amp;""</f>
        <v/>
      </c>
      <c r="L89" s="37" t="str">
        <f>Config!$B$20&amp;""</f>
        <v/>
      </c>
      <c r="M89" s="37" t="str">
        <f>Config!$B$21&amp;""</f>
        <v/>
      </c>
      <c r="N89" s="37" t="str">
        <f>Config!$B$22&amp;""</f>
        <v/>
      </c>
      <c r="O89" s="37" t="str">
        <f>Config!$B$23&amp;""</f>
        <v/>
      </c>
      <c r="P89" s="37" t="str">
        <f>Config!$B$24&amp;""</f>
        <v/>
      </c>
      <c r="Q89" s="37" t="str">
        <f>Config!$B$25&amp;""</f>
        <v/>
      </c>
      <c r="R89" s="37" t="str">
        <f>Config!$B$26&amp;""</f>
        <v/>
      </c>
      <c r="S89" s="37" t="str">
        <f>Config!$B$27&amp;""</f>
        <v/>
      </c>
      <c r="T89" s="37" t="str">
        <f>Config!$B$28&amp;""</f>
        <v/>
      </c>
      <c r="U89" s="37" t="str">
        <f>Config!$B$29&amp;""</f>
        <v/>
      </c>
      <c r="V89" s="37" t="inlineStr">
        <is>
          <t xml:space="preserve">TOTAL</t>
        </is>
      </c>
    </row>
    <row r="90">
      <c r="A90" s="29" t="inlineStr">
        <is>
          <t xml:space="preserve">IN · Veículos Recebidos</t>
        </is>
      </c>
      <c r="B90" s="32">
        <f>IF(B$89="","",IF(Config!$D$35&lt;&gt;"Não",SUMIFS(BD!$C$3:$C$5001,BD!$B$3:$B$5001,B$89,BD!$A$3:$A$5001,"&gt;="&amp;$C$7,BD!$A$3:$A$5001,"&lt;="&amp;$D$7),"—"))</f>
        <v>0</v>
      </c>
      <c r="C90" s="32" t="str">
        <f>IF(C$89="","",IF(Config!$D$36&lt;&gt;"Não",SUMIFS(BD!$C$3:$C$5001,BD!$B$3:$B$5001,C$89,BD!$A$3:$A$5001,"&gt;="&amp;$C$7,BD!$A$3:$A$5001,"&lt;="&amp;$D$7),"—"))</f>
        <v>—</v>
      </c>
      <c r="D90" s="32">
        <f>IF(D$89="","",IF(Config!$D$37&lt;&gt;"Não",SUMIFS(BD!$C$3:$C$5001,BD!$B$3:$B$5001,D$89,BD!$A$3:$A$5001,"&gt;="&amp;$C$7,BD!$A$3:$A$5001,"&lt;="&amp;$D$7),"—"))</f>
        <v>0</v>
      </c>
      <c r="E90" s="32">
        <f>IF(E$89="","",IF(Config!$D$38&lt;&gt;"Não",SUMIFS(BD!$C$3:$C$5001,BD!$B$3:$B$5001,E$89,BD!$A$3:$A$5001,"&gt;="&amp;$C$7,BD!$A$3:$A$5001,"&lt;="&amp;$D$7),"—"))</f>
        <v>0</v>
      </c>
      <c r="F90" s="32">
        <f>IF(F$89="","",IF(Config!$D$39&lt;&gt;"Não",SUMIFS(BD!$C$3:$C$5001,BD!$B$3:$B$5001,F$89,BD!$A$3:$A$5001,"&gt;="&amp;$C$7,BD!$A$3:$A$5001,"&lt;="&amp;$D$7),"—"))</f>
        <v>0</v>
      </c>
      <c r="G90" s="32" t="str">
        <f>IF(G$89="","",IF(Config!$D$40&lt;&gt;"Não",SUMIFS(BD!$C$3:$C$5001,BD!$B$3:$B$5001,G$89,BD!$A$3:$A$5001,"&gt;="&amp;$C$7,BD!$A$3:$A$5001,"&lt;="&amp;$D$7),"—"))</f>
        <v/>
      </c>
      <c r="H90" s="32" t="str">
        <f>IF(H$89="","",IF(Config!$D$41&lt;&gt;"Não",SUMIFS(BD!$C$3:$C$5001,BD!$B$3:$B$5001,H$89,BD!$A$3:$A$5001,"&gt;="&amp;$C$7,BD!$A$3:$A$5001,"&lt;="&amp;$D$7),"—"))</f>
        <v/>
      </c>
      <c r="I90" s="32" t="str">
        <f>IF(I$89="","",IF(Config!$D$42&lt;&gt;"Não",SUMIFS(BD!$C$3:$C$5001,BD!$B$3:$B$5001,I$89,BD!$A$3:$A$5001,"&gt;="&amp;$C$7,BD!$A$3:$A$5001,"&lt;="&amp;$D$7),"—"))</f>
        <v/>
      </c>
      <c r="J90" s="32" t="str">
        <f>IF(J$89="","",IF(Config!$D$43&lt;&gt;"Não",SUMIFS(BD!$C$3:$C$5001,BD!$B$3:$B$5001,J$89,BD!$A$3:$A$5001,"&gt;="&amp;$C$7,BD!$A$3:$A$5001,"&lt;="&amp;$D$7),"—"))</f>
        <v/>
      </c>
      <c r="K90" s="32" t="str">
        <f>IF(K$89="","",IF(Config!$D$44&lt;&gt;"Não",SUMIFS(BD!$C$3:$C$5001,BD!$B$3:$B$5001,K$89,BD!$A$3:$A$5001,"&gt;="&amp;$C$7,BD!$A$3:$A$5001,"&lt;="&amp;$D$7),"—"))</f>
        <v/>
      </c>
      <c r="L90" s="32" t="str">
        <f>IF(L$89="","",IF(Config!$D$45&lt;&gt;"Não",SUMIFS(BD!$C$3:$C$5001,BD!$B$3:$B$5001,L$89,BD!$A$3:$A$5001,"&gt;="&amp;$C$7,BD!$A$3:$A$5001,"&lt;="&amp;$D$7),"—"))</f>
        <v/>
      </c>
      <c r="M90" s="32" t="str">
        <f>IF(M$89="","",IF(Config!$D$46&lt;&gt;"Não",SUMIFS(BD!$C$3:$C$5001,BD!$B$3:$B$5001,M$89,BD!$A$3:$A$5001,"&gt;="&amp;$C$7,BD!$A$3:$A$5001,"&lt;="&amp;$D$7),"—"))</f>
        <v/>
      </c>
      <c r="N90" s="32" t="str">
        <f>IF(N$89="","",IF(Config!$D$47&lt;&gt;"Não",SUMIFS(BD!$C$3:$C$5001,BD!$B$3:$B$5001,N$89,BD!$A$3:$A$5001,"&gt;="&amp;$C$7,BD!$A$3:$A$5001,"&lt;="&amp;$D$7),"—"))</f>
        <v/>
      </c>
      <c r="O90" s="32" t="str">
        <f>IF(O$89="","",IF(Config!$D$48&lt;&gt;"Não",SUMIFS(BD!$C$3:$C$5001,BD!$B$3:$B$5001,O$89,BD!$A$3:$A$5001,"&gt;="&amp;$C$7,BD!$A$3:$A$5001,"&lt;="&amp;$D$7),"—"))</f>
        <v/>
      </c>
      <c r="P90" s="32" t="str">
        <f>IF(P$89="","",IF(Config!$D$49&lt;&gt;"Não",SUMIFS(BD!$C$3:$C$5001,BD!$B$3:$B$5001,P$89,BD!$A$3:$A$5001,"&gt;="&amp;$C$7,BD!$A$3:$A$5001,"&lt;="&amp;$D$7),"—"))</f>
        <v/>
      </c>
      <c r="Q90" s="32" t="str">
        <f>IF(Q$89="","",IF(Config!$D$50&lt;&gt;"Não",SUMIFS(BD!$C$3:$C$5001,BD!$B$3:$B$5001,Q$89,BD!$A$3:$A$5001,"&gt;="&amp;$C$7,BD!$A$3:$A$5001,"&lt;="&amp;$D$7),"—"))</f>
        <v/>
      </c>
      <c r="R90" s="32" t="str">
        <f>IF(R$89="","",IF(Config!$D$51&lt;&gt;"Não",SUMIFS(BD!$C$3:$C$5001,BD!$B$3:$B$5001,R$89,BD!$A$3:$A$5001,"&gt;="&amp;$C$7,BD!$A$3:$A$5001,"&lt;="&amp;$D$7),"—"))</f>
        <v/>
      </c>
      <c r="S90" s="32" t="str">
        <f>IF(S$89="","",IF(Config!$D$52&lt;&gt;"Não",SUMIFS(BD!$C$3:$C$5001,BD!$B$3:$B$5001,S$89,BD!$A$3:$A$5001,"&gt;="&amp;$C$7,BD!$A$3:$A$5001,"&lt;="&amp;$D$7),"—"))</f>
        <v/>
      </c>
      <c r="T90" s="32" t="str">
        <f>IF(T$89="","",IF(Config!$D$53&lt;&gt;"Não",SUMIFS(BD!$C$3:$C$5001,BD!$B$3:$B$5001,T$89,BD!$A$3:$A$5001,"&gt;="&amp;$C$7,BD!$A$3:$A$5001,"&lt;="&amp;$D$7),"—"))</f>
        <v/>
      </c>
      <c r="U90" s="32" t="str">
        <f>IF(U$89="","",IF(Config!$D$54&lt;&gt;"Não",SUMIFS(BD!$C$3:$C$5001,BD!$B$3:$B$5001,U$89,BD!$A$3:$A$5001,"&gt;="&amp;$C$7,BD!$A$3:$A$5001,"&lt;="&amp;$D$7),"—"))</f>
        <v/>
      </c>
      <c r="V90" s="62">
        <f>SUM(B90:U90)</f>
        <v>0</v>
      </c>
    </row>
    <row r="91">
      <c r="A91" s="29" t="inlineStr">
        <is>
          <t xml:space="preserve">IN · Pallets Movimentados</t>
        </is>
      </c>
      <c r="B91" s="32">
        <f>IF(B$89="","",IF(Config!$E$35&lt;&gt;"Não",SUMIFS(BD!$D$3:$D$5001,BD!$B$3:$B$5001,B$89,BD!$A$3:$A$5001,"&gt;="&amp;$C$7,BD!$A$3:$A$5001,"&lt;="&amp;$D$7),"—"))</f>
        <v>0</v>
      </c>
      <c r="C91" s="32" t="str">
        <f>IF(C$89="","",IF(Config!$E$36&lt;&gt;"Não",SUMIFS(BD!$D$3:$D$5001,BD!$B$3:$B$5001,C$89,BD!$A$3:$A$5001,"&gt;="&amp;$C$7,BD!$A$3:$A$5001,"&lt;="&amp;$D$7),"—"))</f>
        <v>—</v>
      </c>
      <c r="D91" s="32">
        <f>IF(D$89="","",IF(Config!$E$37&lt;&gt;"Não",SUMIFS(BD!$D$3:$D$5001,BD!$B$3:$B$5001,D$89,BD!$A$3:$A$5001,"&gt;="&amp;$C$7,BD!$A$3:$A$5001,"&lt;="&amp;$D$7),"—"))</f>
        <v>0</v>
      </c>
      <c r="E91" s="32">
        <f>IF(E$89="","",IF(Config!$E$38&lt;&gt;"Não",SUMIFS(BD!$D$3:$D$5001,BD!$B$3:$B$5001,E$89,BD!$A$3:$A$5001,"&gt;="&amp;$C$7,BD!$A$3:$A$5001,"&lt;="&amp;$D$7),"—"))</f>
        <v>0</v>
      </c>
      <c r="F91" s="32">
        <f>IF(F$89="","",IF(Config!$E$39&lt;&gt;"Não",SUMIFS(BD!$D$3:$D$5001,BD!$B$3:$B$5001,F$89,BD!$A$3:$A$5001,"&gt;="&amp;$C$7,BD!$A$3:$A$5001,"&lt;="&amp;$D$7),"—"))</f>
        <v>0</v>
      </c>
      <c r="G91" s="32" t="str">
        <f>IF(G$89="","",IF(Config!$E$40&lt;&gt;"Não",SUMIFS(BD!$D$3:$D$5001,BD!$B$3:$B$5001,G$89,BD!$A$3:$A$5001,"&gt;="&amp;$C$7,BD!$A$3:$A$5001,"&lt;="&amp;$D$7),"—"))</f>
        <v/>
      </c>
      <c r="H91" s="32" t="str">
        <f>IF(H$89="","",IF(Config!$E$41&lt;&gt;"Não",SUMIFS(BD!$D$3:$D$5001,BD!$B$3:$B$5001,H$89,BD!$A$3:$A$5001,"&gt;="&amp;$C$7,BD!$A$3:$A$5001,"&lt;="&amp;$D$7),"—"))</f>
        <v/>
      </c>
      <c r="I91" s="32" t="str">
        <f>IF(I$89="","",IF(Config!$E$42&lt;&gt;"Não",SUMIFS(BD!$D$3:$D$5001,BD!$B$3:$B$5001,I$89,BD!$A$3:$A$5001,"&gt;="&amp;$C$7,BD!$A$3:$A$5001,"&lt;="&amp;$D$7),"—"))</f>
        <v/>
      </c>
      <c r="J91" s="32" t="str">
        <f>IF(J$89="","",IF(Config!$E$43&lt;&gt;"Não",SUMIFS(BD!$D$3:$D$5001,BD!$B$3:$B$5001,J$89,BD!$A$3:$A$5001,"&gt;="&amp;$C$7,BD!$A$3:$A$5001,"&lt;="&amp;$D$7),"—"))</f>
        <v/>
      </c>
      <c r="K91" s="32" t="str">
        <f>IF(K$89="","",IF(Config!$E$44&lt;&gt;"Não",SUMIFS(BD!$D$3:$D$5001,BD!$B$3:$B$5001,K$89,BD!$A$3:$A$5001,"&gt;="&amp;$C$7,BD!$A$3:$A$5001,"&lt;="&amp;$D$7),"—"))</f>
        <v/>
      </c>
      <c r="L91" s="32" t="str">
        <f>IF(L$89="","",IF(Config!$E$45&lt;&gt;"Não",SUMIFS(BD!$D$3:$D$5001,BD!$B$3:$B$5001,L$89,BD!$A$3:$A$5001,"&gt;="&amp;$C$7,BD!$A$3:$A$5001,"&lt;="&amp;$D$7),"—"))</f>
        <v/>
      </c>
      <c r="M91" s="32" t="str">
        <f>IF(M$89="","",IF(Config!$E$46&lt;&gt;"Não",SUMIFS(BD!$D$3:$D$5001,BD!$B$3:$B$5001,M$89,BD!$A$3:$A$5001,"&gt;="&amp;$C$7,BD!$A$3:$A$5001,"&lt;="&amp;$D$7),"—"))</f>
        <v/>
      </c>
      <c r="N91" s="32" t="str">
        <f>IF(N$89="","",IF(Config!$E$47&lt;&gt;"Não",SUMIFS(BD!$D$3:$D$5001,BD!$B$3:$B$5001,N$89,BD!$A$3:$A$5001,"&gt;="&amp;$C$7,BD!$A$3:$A$5001,"&lt;="&amp;$D$7),"—"))</f>
        <v/>
      </c>
      <c r="O91" s="32" t="str">
        <f>IF(O$89="","",IF(Config!$E$48&lt;&gt;"Não",SUMIFS(BD!$D$3:$D$5001,BD!$B$3:$B$5001,O$89,BD!$A$3:$A$5001,"&gt;="&amp;$C$7,BD!$A$3:$A$5001,"&lt;="&amp;$D$7),"—"))</f>
        <v/>
      </c>
      <c r="P91" s="32" t="str">
        <f>IF(P$89="","",IF(Config!$E$49&lt;&gt;"Não",SUMIFS(BD!$D$3:$D$5001,BD!$B$3:$B$5001,P$89,BD!$A$3:$A$5001,"&gt;="&amp;$C$7,BD!$A$3:$A$5001,"&lt;="&amp;$D$7),"—"))</f>
        <v/>
      </c>
      <c r="Q91" s="32" t="str">
        <f>IF(Q$89="","",IF(Config!$E$50&lt;&gt;"Não",SUMIFS(BD!$D$3:$D$5001,BD!$B$3:$B$5001,Q$89,BD!$A$3:$A$5001,"&gt;="&amp;$C$7,BD!$A$3:$A$5001,"&lt;="&amp;$D$7),"—"))</f>
        <v/>
      </c>
      <c r="R91" s="32" t="str">
        <f>IF(R$89="","",IF(Config!$E$51&lt;&gt;"Não",SUMIFS(BD!$D$3:$D$5001,BD!$B$3:$B$5001,R$89,BD!$A$3:$A$5001,"&gt;="&amp;$C$7,BD!$A$3:$A$5001,"&lt;="&amp;$D$7),"—"))</f>
        <v/>
      </c>
      <c r="S91" s="32" t="str">
        <f>IF(S$89="","",IF(Config!$E$52&lt;&gt;"Não",SUMIFS(BD!$D$3:$D$5001,BD!$B$3:$B$5001,S$89,BD!$A$3:$A$5001,"&gt;="&amp;$C$7,BD!$A$3:$A$5001,"&lt;="&amp;$D$7),"—"))</f>
        <v/>
      </c>
      <c r="T91" s="32" t="str">
        <f>IF(T$89="","",IF(Config!$E$53&lt;&gt;"Não",SUMIFS(BD!$D$3:$D$5001,BD!$B$3:$B$5001,T$89,BD!$A$3:$A$5001,"&gt;="&amp;$C$7,BD!$A$3:$A$5001,"&lt;="&amp;$D$7),"—"))</f>
        <v/>
      </c>
      <c r="U91" s="32" t="str">
        <f>IF(U$89="","",IF(Config!$E$54&lt;&gt;"Não",SUMIFS(BD!$D$3:$D$5001,BD!$B$3:$B$5001,U$89,BD!$A$3:$A$5001,"&gt;="&amp;$C$7,BD!$A$3:$A$5001,"&lt;="&amp;$D$7),"—"))</f>
        <v/>
      </c>
      <c r="V91" s="62">
        <f>SUM(B91:U91)</f>
        <v>0</v>
      </c>
    </row>
    <row r="92">
      <c r="A92" s="29" t="inlineStr">
        <is>
          <t xml:space="preserve">IN · Toneladas Movimentadas</t>
        </is>
      </c>
      <c r="B92" s="61">
        <f>IF(B$89="","",IF(Config!$F$35&lt;&gt;"Não",SUMIFS(BD!$E$3:$E$5001,BD!$B$3:$B$5001,B$89,BD!$A$3:$A$5001,"&gt;="&amp;$C$7,BD!$A$3:$A$5001,"&lt;="&amp;$D$7),"—"))</f>
        <v>0</v>
      </c>
      <c r="C92" s="61" t="str">
        <f>IF(C$89="","",IF(Config!$F$36&lt;&gt;"Não",SUMIFS(BD!$E$3:$E$5001,BD!$B$3:$B$5001,C$89,BD!$A$3:$A$5001,"&gt;="&amp;$C$7,BD!$A$3:$A$5001,"&lt;="&amp;$D$7),"—"))</f>
        <v>—</v>
      </c>
      <c r="D92" s="61">
        <f>IF(D$89="","",IF(Config!$F$37&lt;&gt;"Não",SUMIFS(BD!$E$3:$E$5001,BD!$B$3:$B$5001,D$89,BD!$A$3:$A$5001,"&gt;="&amp;$C$7,BD!$A$3:$A$5001,"&lt;="&amp;$D$7),"—"))</f>
        <v>0</v>
      </c>
      <c r="E92" s="61">
        <f>IF(E$89="","",IF(Config!$F$38&lt;&gt;"Não",SUMIFS(BD!$E$3:$E$5001,BD!$B$3:$B$5001,E$89,BD!$A$3:$A$5001,"&gt;="&amp;$C$7,BD!$A$3:$A$5001,"&lt;="&amp;$D$7),"—"))</f>
        <v>0</v>
      </c>
      <c r="F92" s="61">
        <f>IF(F$89="","",IF(Config!$F$39&lt;&gt;"Não",SUMIFS(BD!$E$3:$E$5001,BD!$B$3:$B$5001,F$89,BD!$A$3:$A$5001,"&gt;="&amp;$C$7,BD!$A$3:$A$5001,"&lt;="&amp;$D$7),"—"))</f>
        <v>0</v>
      </c>
      <c r="G92" s="61" t="str">
        <f>IF(G$89="","",IF(Config!$F$40&lt;&gt;"Não",SUMIFS(BD!$E$3:$E$5001,BD!$B$3:$B$5001,G$89,BD!$A$3:$A$5001,"&gt;="&amp;$C$7,BD!$A$3:$A$5001,"&lt;="&amp;$D$7),"—"))</f>
        <v/>
      </c>
      <c r="H92" s="61" t="str">
        <f>IF(H$89="","",IF(Config!$F$41&lt;&gt;"Não",SUMIFS(BD!$E$3:$E$5001,BD!$B$3:$B$5001,H$89,BD!$A$3:$A$5001,"&gt;="&amp;$C$7,BD!$A$3:$A$5001,"&lt;="&amp;$D$7),"—"))</f>
        <v/>
      </c>
      <c r="I92" s="61" t="str">
        <f>IF(I$89="","",IF(Config!$F$42&lt;&gt;"Não",SUMIFS(BD!$E$3:$E$5001,BD!$B$3:$B$5001,I$89,BD!$A$3:$A$5001,"&gt;="&amp;$C$7,BD!$A$3:$A$5001,"&lt;="&amp;$D$7),"—"))</f>
        <v/>
      </c>
      <c r="J92" s="61" t="str">
        <f>IF(J$89="","",IF(Config!$F$43&lt;&gt;"Não",SUMIFS(BD!$E$3:$E$5001,BD!$B$3:$B$5001,J$89,BD!$A$3:$A$5001,"&gt;="&amp;$C$7,BD!$A$3:$A$5001,"&lt;="&amp;$D$7),"—"))</f>
        <v/>
      </c>
      <c r="K92" s="61" t="str">
        <f>IF(K$89="","",IF(Config!$F$44&lt;&gt;"Não",SUMIFS(BD!$E$3:$E$5001,BD!$B$3:$B$5001,K$89,BD!$A$3:$A$5001,"&gt;="&amp;$C$7,BD!$A$3:$A$5001,"&lt;="&amp;$D$7),"—"))</f>
        <v/>
      </c>
      <c r="L92" s="61" t="str">
        <f>IF(L$89="","",IF(Config!$F$45&lt;&gt;"Não",SUMIFS(BD!$E$3:$E$5001,BD!$B$3:$B$5001,L$89,BD!$A$3:$A$5001,"&gt;="&amp;$C$7,BD!$A$3:$A$5001,"&lt;="&amp;$D$7),"—"))</f>
        <v/>
      </c>
      <c r="M92" s="61" t="str">
        <f>IF(M$89="","",IF(Config!$F$46&lt;&gt;"Não",SUMIFS(BD!$E$3:$E$5001,BD!$B$3:$B$5001,M$89,BD!$A$3:$A$5001,"&gt;="&amp;$C$7,BD!$A$3:$A$5001,"&lt;="&amp;$D$7),"—"))</f>
        <v/>
      </c>
      <c r="N92" s="61" t="str">
        <f>IF(N$89="","",IF(Config!$F$47&lt;&gt;"Não",SUMIFS(BD!$E$3:$E$5001,BD!$B$3:$B$5001,N$89,BD!$A$3:$A$5001,"&gt;="&amp;$C$7,BD!$A$3:$A$5001,"&lt;="&amp;$D$7),"—"))</f>
        <v/>
      </c>
      <c r="O92" s="61" t="str">
        <f>IF(O$89="","",IF(Config!$F$48&lt;&gt;"Não",SUMIFS(BD!$E$3:$E$5001,BD!$B$3:$B$5001,O$89,BD!$A$3:$A$5001,"&gt;="&amp;$C$7,BD!$A$3:$A$5001,"&lt;="&amp;$D$7),"—"))</f>
        <v/>
      </c>
      <c r="P92" s="61" t="str">
        <f>IF(P$89="","",IF(Config!$F$49&lt;&gt;"Não",SUMIFS(BD!$E$3:$E$5001,BD!$B$3:$B$5001,P$89,BD!$A$3:$A$5001,"&gt;="&amp;$C$7,BD!$A$3:$A$5001,"&lt;="&amp;$D$7),"—"))</f>
        <v/>
      </c>
      <c r="Q92" s="61" t="str">
        <f>IF(Q$89="","",IF(Config!$F$50&lt;&gt;"Não",SUMIFS(BD!$E$3:$E$5001,BD!$B$3:$B$5001,Q$89,BD!$A$3:$A$5001,"&gt;="&amp;$C$7,BD!$A$3:$A$5001,"&lt;="&amp;$D$7),"—"))</f>
        <v/>
      </c>
      <c r="R92" s="61" t="str">
        <f>IF(R$89="","",IF(Config!$F$51&lt;&gt;"Não",SUMIFS(BD!$E$3:$E$5001,BD!$B$3:$B$5001,R$89,BD!$A$3:$A$5001,"&gt;="&amp;$C$7,BD!$A$3:$A$5001,"&lt;="&amp;$D$7),"—"))</f>
        <v/>
      </c>
      <c r="S92" s="61" t="str">
        <f>IF(S$89="","",IF(Config!$F$52&lt;&gt;"Não",SUMIFS(BD!$E$3:$E$5001,BD!$B$3:$B$5001,S$89,BD!$A$3:$A$5001,"&gt;="&amp;$C$7,BD!$A$3:$A$5001,"&lt;="&amp;$D$7),"—"))</f>
        <v/>
      </c>
      <c r="T92" s="61" t="str">
        <f>IF(T$89="","",IF(Config!$F$53&lt;&gt;"Não",SUMIFS(BD!$E$3:$E$5001,BD!$B$3:$B$5001,T$89,BD!$A$3:$A$5001,"&gt;="&amp;$C$7,BD!$A$3:$A$5001,"&lt;="&amp;$D$7),"—"))</f>
        <v/>
      </c>
      <c r="U92" s="61" t="str">
        <f>IF(U$89="","",IF(Config!$F$54&lt;&gt;"Não",SUMIFS(BD!$E$3:$E$5001,BD!$B$3:$B$5001,U$89,BD!$A$3:$A$5001,"&gt;="&amp;$C$7,BD!$A$3:$A$5001,"&lt;="&amp;$D$7),"—"))</f>
        <v/>
      </c>
      <c r="V92" s="63">
        <f>SUM(B92:U92)</f>
        <v>0</v>
      </c>
    </row>
    <row r="93">
      <c r="A93" s="29" t="inlineStr">
        <is>
          <t xml:space="preserve">OUT · Veículos Expedidos</t>
        </is>
      </c>
      <c r="B93" s="32">
        <f>IF(B$89="","",IF(Config!$G$35&lt;&gt;"Não",SUMIFS(BD!$F$3:$F$5001,BD!$B$3:$B$5001,B$89,BD!$A$3:$A$5001,"&gt;="&amp;$C$7,BD!$A$3:$A$5001,"&lt;="&amp;$D$7),"—"))</f>
        <v>0</v>
      </c>
      <c r="C93" s="32">
        <f>IF(C$89="","",IF(Config!$G$36&lt;&gt;"Não",SUMIFS(BD!$F$3:$F$5001,BD!$B$3:$B$5001,C$89,BD!$A$3:$A$5001,"&gt;="&amp;$C$7,BD!$A$3:$A$5001,"&lt;="&amp;$D$7),"—"))</f>
        <v>0</v>
      </c>
      <c r="D93" s="32">
        <f>IF(D$89="","",IF(Config!$G$37&lt;&gt;"Não",SUMIFS(BD!$F$3:$F$5001,BD!$B$3:$B$5001,D$89,BD!$A$3:$A$5001,"&gt;="&amp;$C$7,BD!$A$3:$A$5001,"&lt;="&amp;$D$7),"—"))</f>
        <v>0</v>
      </c>
      <c r="E93" s="32">
        <f>IF(E$89="","",IF(Config!$G$38&lt;&gt;"Não",SUMIFS(BD!$F$3:$F$5001,BD!$B$3:$B$5001,E$89,BD!$A$3:$A$5001,"&gt;="&amp;$C$7,BD!$A$3:$A$5001,"&lt;="&amp;$D$7),"—"))</f>
        <v>0</v>
      </c>
      <c r="F93" s="32">
        <f>IF(F$89="","",IF(Config!$G$39&lt;&gt;"Não",SUMIFS(BD!$F$3:$F$5001,BD!$B$3:$B$5001,F$89,BD!$A$3:$A$5001,"&gt;="&amp;$C$7,BD!$A$3:$A$5001,"&lt;="&amp;$D$7),"—"))</f>
        <v>0</v>
      </c>
      <c r="G93" s="32" t="str">
        <f>IF(G$89="","",IF(Config!$G$40&lt;&gt;"Não",SUMIFS(BD!$F$3:$F$5001,BD!$B$3:$B$5001,G$89,BD!$A$3:$A$5001,"&gt;="&amp;$C$7,BD!$A$3:$A$5001,"&lt;="&amp;$D$7),"—"))</f>
        <v/>
      </c>
      <c r="H93" s="32" t="str">
        <f>IF(H$89="","",IF(Config!$G$41&lt;&gt;"Não",SUMIFS(BD!$F$3:$F$5001,BD!$B$3:$B$5001,H$89,BD!$A$3:$A$5001,"&gt;="&amp;$C$7,BD!$A$3:$A$5001,"&lt;="&amp;$D$7),"—"))</f>
        <v/>
      </c>
      <c r="I93" s="32" t="str">
        <f>IF(I$89="","",IF(Config!$G$42&lt;&gt;"Não",SUMIFS(BD!$F$3:$F$5001,BD!$B$3:$B$5001,I$89,BD!$A$3:$A$5001,"&gt;="&amp;$C$7,BD!$A$3:$A$5001,"&lt;="&amp;$D$7),"—"))</f>
        <v/>
      </c>
      <c r="J93" s="32" t="str">
        <f>IF(J$89="","",IF(Config!$G$43&lt;&gt;"Não",SUMIFS(BD!$F$3:$F$5001,BD!$B$3:$B$5001,J$89,BD!$A$3:$A$5001,"&gt;="&amp;$C$7,BD!$A$3:$A$5001,"&lt;="&amp;$D$7),"—"))</f>
        <v/>
      </c>
      <c r="K93" s="32" t="str">
        <f>IF(K$89="","",IF(Config!$G$44&lt;&gt;"Não",SUMIFS(BD!$F$3:$F$5001,BD!$B$3:$B$5001,K$89,BD!$A$3:$A$5001,"&gt;="&amp;$C$7,BD!$A$3:$A$5001,"&lt;="&amp;$D$7),"—"))</f>
        <v/>
      </c>
      <c r="L93" s="32" t="str">
        <f>IF(L$89="","",IF(Config!$G$45&lt;&gt;"Não",SUMIFS(BD!$F$3:$F$5001,BD!$B$3:$B$5001,L$89,BD!$A$3:$A$5001,"&gt;="&amp;$C$7,BD!$A$3:$A$5001,"&lt;="&amp;$D$7),"—"))</f>
        <v/>
      </c>
      <c r="M93" s="32" t="str">
        <f>IF(M$89="","",IF(Config!$G$46&lt;&gt;"Não",SUMIFS(BD!$F$3:$F$5001,BD!$B$3:$B$5001,M$89,BD!$A$3:$A$5001,"&gt;="&amp;$C$7,BD!$A$3:$A$5001,"&lt;="&amp;$D$7),"—"))</f>
        <v/>
      </c>
      <c r="N93" s="32" t="str">
        <f>IF(N$89="","",IF(Config!$G$47&lt;&gt;"Não",SUMIFS(BD!$F$3:$F$5001,BD!$B$3:$B$5001,N$89,BD!$A$3:$A$5001,"&gt;="&amp;$C$7,BD!$A$3:$A$5001,"&lt;="&amp;$D$7),"—"))</f>
        <v/>
      </c>
      <c r="O93" s="32" t="str">
        <f>IF(O$89="","",IF(Config!$G$48&lt;&gt;"Não",SUMIFS(BD!$F$3:$F$5001,BD!$B$3:$B$5001,O$89,BD!$A$3:$A$5001,"&gt;="&amp;$C$7,BD!$A$3:$A$5001,"&lt;="&amp;$D$7),"—"))</f>
        <v/>
      </c>
      <c r="P93" s="32" t="str">
        <f>IF(P$89="","",IF(Config!$G$49&lt;&gt;"Não",SUMIFS(BD!$F$3:$F$5001,BD!$B$3:$B$5001,P$89,BD!$A$3:$A$5001,"&gt;="&amp;$C$7,BD!$A$3:$A$5001,"&lt;="&amp;$D$7),"—"))</f>
        <v/>
      </c>
      <c r="Q93" s="32" t="str">
        <f>IF(Q$89="","",IF(Config!$G$50&lt;&gt;"Não",SUMIFS(BD!$F$3:$F$5001,BD!$B$3:$B$5001,Q$89,BD!$A$3:$A$5001,"&gt;="&amp;$C$7,BD!$A$3:$A$5001,"&lt;="&amp;$D$7),"—"))</f>
        <v/>
      </c>
      <c r="R93" s="32" t="str">
        <f>IF(R$89="","",IF(Config!$G$51&lt;&gt;"Não",SUMIFS(BD!$F$3:$F$5001,BD!$B$3:$B$5001,R$89,BD!$A$3:$A$5001,"&gt;="&amp;$C$7,BD!$A$3:$A$5001,"&lt;="&amp;$D$7),"—"))</f>
        <v/>
      </c>
      <c r="S93" s="32" t="str">
        <f>IF(S$89="","",IF(Config!$G$52&lt;&gt;"Não",SUMIFS(BD!$F$3:$F$5001,BD!$B$3:$B$5001,S$89,BD!$A$3:$A$5001,"&gt;="&amp;$C$7,BD!$A$3:$A$5001,"&lt;="&amp;$D$7),"—"))</f>
        <v/>
      </c>
      <c r="T93" s="32" t="str">
        <f>IF(T$89="","",IF(Config!$G$53&lt;&gt;"Não",SUMIFS(BD!$F$3:$F$5001,BD!$B$3:$B$5001,T$89,BD!$A$3:$A$5001,"&gt;="&amp;$C$7,BD!$A$3:$A$5001,"&lt;="&amp;$D$7),"—"))</f>
        <v/>
      </c>
      <c r="U93" s="32" t="str">
        <f>IF(U$89="","",IF(Config!$G$54&lt;&gt;"Não",SUMIFS(BD!$F$3:$F$5001,BD!$B$3:$B$5001,U$89,BD!$A$3:$A$5001,"&gt;="&amp;$C$7,BD!$A$3:$A$5001,"&lt;="&amp;$D$7),"—"))</f>
        <v/>
      </c>
      <c r="V93" s="62">
        <f>SUM(B93:U93)</f>
        <v>0</v>
      </c>
    </row>
    <row r="94">
      <c r="A94" s="29" t="inlineStr">
        <is>
          <t xml:space="preserve">OUT · Pallets Movimentados</t>
        </is>
      </c>
      <c r="B94" s="32">
        <f>IF(B$89="","",IF(Config!$H$35&lt;&gt;"Não",SUMIFS(BD!$G$3:$G$5001,BD!$B$3:$B$5001,B$89,BD!$A$3:$A$5001,"&gt;="&amp;$C$7,BD!$A$3:$A$5001,"&lt;="&amp;$D$7),"—"))</f>
        <v>0</v>
      </c>
      <c r="C94" s="32">
        <f>IF(C$89="","",IF(Config!$H$36&lt;&gt;"Não",SUMIFS(BD!$G$3:$G$5001,BD!$B$3:$B$5001,C$89,BD!$A$3:$A$5001,"&gt;="&amp;$C$7,BD!$A$3:$A$5001,"&lt;="&amp;$D$7),"—"))</f>
        <v>0</v>
      </c>
      <c r="D94" s="32">
        <f>IF(D$89="","",IF(Config!$H$37&lt;&gt;"Não",SUMIFS(BD!$G$3:$G$5001,BD!$B$3:$B$5001,D$89,BD!$A$3:$A$5001,"&gt;="&amp;$C$7,BD!$A$3:$A$5001,"&lt;="&amp;$D$7),"—"))</f>
        <v>0</v>
      </c>
      <c r="E94" s="32">
        <f>IF(E$89="","",IF(Config!$H$38&lt;&gt;"Não",SUMIFS(BD!$G$3:$G$5001,BD!$B$3:$B$5001,E$89,BD!$A$3:$A$5001,"&gt;="&amp;$C$7,BD!$A$3:$A$5001,"&lt;="&amp;$D$7),"—"))</f>
        <v>0</v>
      </c>
      <c r="F94" s="32">
        <f>IF(F$89="","",IF(Config!$H$39&lt;&gt;"Não",SUMIFS(BD!$G$3:$G$5001,BD!$B$3:$B$5001,F$89,BD!$A$3:$A$5001,"&gt;="&amp;$C$7,BD!$A$3:$A$5001,"&lt;="&amp;$D$7),"—"))</f>
        <v>0</v>
      </c>
      <c r="G94" s="32" t="str">
        <f>IF(G$89="","",IF(Config!$H$40&lt;&gt;"Não",SUMIFS(BD!$G$3:$G$5001,BD!$B$3:$B$5001,G$89,BD!$A$3:$A$5001,"&gt;="&amp;$C$7,BD!$A$3:$A$5001,"&lt;="&amp;$D$7),"—"))</f>
        <v/>
      </c>
      <c r="H94" s="32" t="str">
        <f>IF(H$89="","",IF(Config!$H$41&lt;&gt;"Não",SUMIFS(BD!$G$3:$G$5001,BD!$B$3:$B$5001,H$89,BD!$A$3:$A$5001,"&gt;="&amp;$C$7,BD!$A$3:$A$5001,"&lt;="&amp;$D$7),"—"))</f>
        <v/>
      </c>
      <c r="I94" s="32" t="str">
        <f>IF(I$89="","",IF(Config!$H$42&lt;&gt;"Não",SUMIFS(BD!$G$3:$G$5001,BD!$B$3:$B$5001,I$89,BD!$A$3:$A$5001,"&gt;="&amp;$C$7,BD!$A$3:$A$5001,"&lt;="&amp;$D$7),"—"))</f>
        <v/>
      </c>
      <c r="J94" s="32" t="str">
        <f>IF(J$89="","",IF(Config!$H$43&lt;&gt;"Não",SUMIFS(BD!$G$3:$G$5001,BD!$B$3:$B$5001,J$89,BD!$A$3:$A$5001,"&gt;="&amp;$C$7,BD!$A$3:$A$5001,"&lt;="&amp;$D$7),"—"))</f>
        <v/>
      </c>
      <c r="K94" s="32" t="str">
        <f>IF(K$89="","",IF(Config!$H$44&lt;&gt;"Não",SUMIFS(BD!$G$3:$G$5001,BD!$B$3:$B$5001,K$89,BD!$A$3:$A$5001,"&gt;="&amp;$C$7,BD!$A$3:$A$5001,"&lt;="&amp;$D$7),"—"))</f>
        <v/>
      </c>
      <c r="L94" s="32" t="str">
        <f>IF(L$89="","",IF(Config!$H$45&lt;&gt;"Não",SUMIFS(BD!$G$3:$G$5001,BD!$B$3:$B$5001,L$89,BD!$A$3:$A$5001,"&gt;="&amp;$C$7,BD!$A$3:$A$5001,"&lt;="&amp;$D$7),"—"))</f>
        <v/>
      </c>
      <c r="M94" s="32" t="str">
        <f>IF(M$89="","",IF(Config!$H$46&lt;&gt;"Não",SUMIFS(BD!$G$3:$G$5001,BD!$B$3:$B$5001,M$89,BD!$A$3:$A$5001,"&gt;="&amp;$C$7,BD!$A$3:$A$5001,"&lt;="&amp;$D$7),"—"))</f>
        <v/>
      </c>
      <c r="N94" s="32" t="str">
        <f>IF(N$89="","",IF(Config!$H$47&lt;&gt;"Não",SUMIFS(BD!$G$3:$G$5001,BD!$B$3:$B$5001,N$89,BD!$A$3:$A$5001,"&gt;="&amp;$C$7,BD!$A$3:$A$5001,"&lt;="&amp;$D$7),"—"))</f>
        <v/>
      </c>
      <c r="O94" s="32" t="str">
        <f>IF(O$89="","",IF(Config!$H$48&lt;&gt;"Não",SUMIFS(BD!$G$3:$G$5001,BD!$B$3:$B$5001,O$89,BD!$A$3:$A$5001,"&gt;="&amp;$C$7,BD!$A$3:$A$5001,"&lt;="&amp;$D$7),"—"))</f>
        <v/>
      </c>
      <c r="P94" s="32" t="str">
        <f>IF(P$89="","",IF(Config!$H$49&lt;&gt;"Não",SUMIFS(BD!$G$3:$G$5001,BD!$B$3:$B$5001,P$89,BD!$A$3:$A$5001,"&gt;="&amp;$C$7,BD!$A$3:$A$5001,"&lt;="&amp;$D$7),"—"))</f>
        <v/>
      </c>
      <c r="Q94" s="32" t="str">
        <f>IF(Q$89="","",IF(Config!$H$50&lt;&gt;"Não",SUMIFS(BD!$G$3:$G$5001,BD!$B$3:$B$5001,Q$89,BD!$A$3:$A$5001,"&gt;="&amp;$C$7,BD!$A$3:$A$5001,"&lt;="&amp;$D$7),"—"))</f>
        <v/>
      </c>
      <c r="R94" s="32" t="str">
        <f>IF(R$89="","",IF(Config!$H$51&lt;&gt;"Não",SUMIFS(BD!$G$3:$G$5001,BD!$B$3:$B$5001,R$89,BD!$A$3:$A$5001,"&gt;="&amp;$C$7,BD!$A$3:$A$5001,"&lt;="&amp;$D$7),"—"))</f>
        <v/>
      </c>
      <c r="S94" s="32" t="str">
        <f>IF(S$89="","",IF(Config!$H$52&lt;&gt;"Não",SUMIFS(BD!$G$3:$G$5001,BD!$B$3:$B$5001,S$89,BD!$A$3:$A$5001,"&gt;="&amp;$C$7,BD!$A$3:$A$5001,"&lt;="&amp;$D$7),"—"))</f>
        <v/>
      </c>
      <c r="T94" s="32" t="str">
        <f>IF(T$89="","",IF(Config!$H$53&lt;&gt;"Não",SUMIFS(BD!$G$3:$G$5001,BD!$B$3:$B$5001,T$89,BD!$A$3:$A$5001,"&gt;="&amp;$C$7,BD!$A$3:$A$5001,"&lt;="&amp;$D$7),"—"))</f>
        <v/>
      </c>
      <c r="U94" s="32" t="str">
        <f>IF(U$89="","",IF(Config!$H$54&lt;&gt;"Não",SUMIFS(BD!$G$3:$G$5001,BD!$B$3:$B$5001,U$89,BD!$A$3:$A$5001,"&gt;="&amp;$C$7,BD!$A$3:$A$5001,"&lt;="&amp;$D$7),"—"))</f>
        <v/>
      </c>
      <c r="V94" s="62">
        <f>SUM(B94:U94)</f>
        <v>0</v>
      </c>
    </row>
    <row r="95">
      <c r="A95" s="29" t="inlineStr">
        <is>
          <t xml:space="preserve">OUT · Toneladas Movimentadas</t>
        </is>
      </c>
      <c r="B95" s="61">
        <f>IF(B$89="","",IF(Config!$I$35&lt;&gt;"Não",SUMIFS(BD!$H$3:$H$5001,BD!$B$3:$B$5001,B$89,BD!$A$3:$A$5001,"&gt;="&amp;$C$7,BD!$A$3:$A$5001,"&lt;="&amp;$D$7),"—"))</f>
        <v>0</v>
      </c>
      <c r="C95" s="61">
        <f>IF(C$89="","",IF(Config!$I$36&lt;&gt;"Não",SUMIFS(BD!$H$3:$H$5001,BD!$B$3:$B$5001,C$89,BD!$A$3:$A$5001,"&gt;="&amp;$C$7,BD!$A$3:$A$5001,"&lt;="&amp;$D$7),"—"))</f>
        <v>0</v>
      </c>
      <c r="D95" s="61">
        <f>IF(D$89="","",IF(Config!$I$37&lt;&gt;"Não",SUMIFS(BD!$H$3:$H$5001,BD!$B$3:$B$5001,D$89,BD!$A$3:$A$5001,"&gt;="&amp;$C$7,BD!$A$3:$A$5001,"&lt;="&amp;$D$7),"—"))</f>
        <v>0</v>
      </c>
      <c r="E95" s="61">
        <f>IF(E$89="","",IF(Config!$I$38&lt;&gt;"Não",SUMIFS(BD!$H$3:$H$5001,BD!$B$3:$B$5001,E$89,BD!$A$3:$A$5001,"&gt;="&amp;$C$7,BD!$A$3:$A$5001,"&lt;="&amp;$D$7),"—"))</f>
        <v>0</v>
      </c>
      <c r="F95" s="61">
        <f>IF(F$89="","",IF(Config!$I$39&lt;&gt;"Não",SUMIFS(BD!$H$3:$H$5001,BD!$B$3:$B$5001,F$89,BD!$A$3:$A$5001,"&gt;="&amp;$C$7,BD!$A$3:$A$5001,"&lt;="&amp;$D$7),"—"))</f>
        <v>0</v>
      </c>
      <c r="G95" s="61" t="str">
        <f>IF(G$89="","",IF(Config!$I$40&lt;&gt;"Não",SUMIFS(BD!$H$3:$H$5001,BD!$B$3:$B$5001,G$89,BD!$A$3:$A$5001,"&gt;="&amp;$C$7,BD!$A$3:$A$5001,"&lt;="&amp;$D$7),"—"))</f>
        <v/>
      </c>
      <c r="H95" s="61" t="str">
        <f>IF(H$89="","",IF(Config!$I$41&lt;&gt;"Não",SUMIFS(BD!$H$3:$H$5001,BD!$B$3:$B$5001,H$89,BD!$A$3:$A$5001,"&gt;="&amp;$C$7,BD!$A$3:$A$5001,"&lt;="&amp;$D$7),"—"))</f>
        <v/>
      </c>
      <c r="I95" s="61" t="str">
        <f>IF(I$89="","",IF(Config!$I$42&lt;&gt;"Não",SUMIFS(BD!$H$3:$H$5001,BD!$B$3:$B$5001,I$89,BD!$A$3:$A$5001,"&gt;="&amp;$C$7,BD!$A$3:$A$5001,"&lt;="&amp;$D$7),"—"))</f>
        <v/>
      </c>
      <c r="J95" s="61" t="str">
        <f>IF(J$89="","",IF(Config!$I$43&lt;&gt;"Não",SUMIFS(BD!$H$3:$H$5001,BD!$B$3:$B$5001,J$89,BD!$A$3:$A$5001,"&gt;="&amp;$C$7,BD!$A$3:$A$5001,"&lt;="&amp;$D$7),"—"))</f>
        <v/>
      </c>
      <c r="K95" s="61" t="str">
        <f>IF(K$89="","",IF(Config!$I$44&lt;&gt;"Não",SUMIFS(BD!$H$3:$H$5001,BD!$B$3:$B$5001,K$89,BD!$A$3:$A$5001,"&gt;="&amp;$C$7,BD!$A$3:$A$5001,"&lt;="&amp;$D$7),"—"))</f>
        <v/>
      </c>
      <c r="L95" s="61" t="str">
        <f>IF(L$89="","",IF(Config!$I$45&lt;&gt;"Não",SUMIFS(BD!$H$3:$H$5001,BD!$B$3:$B$5001,L$89,BD!$A$3:$A$5001,"&gt;="&amp;$C$7,BD!$A$3:$A$5001,"&lt;="&amp;$D$7),"—"))</f>
        <v/>
      </c>
      <c r="M95" s="61" t="str">
        <f>IF(M$89="","",IF(Config!$I$46&lt;&gt;"Não",SUMIFS(BD!$H$3:$H$5001,BD!$B$3:$B$5001,M$89,BD!$A$3:$A$5001,"&gt;="&amp;$C$7,BD!$A$3:$A$5001,"&lt;="&amp;$D$7),"—"))</f>
        <v/>
      </c>
      <c r="N95" s="61" t="str">
        <f>IF(N$89="","",IF(Config!$I$47&lt;&gt;"Não",SUMIFS(BD!$H$3:$H$5001,BD!$B$3:$B$5001,N$89,BD!$A$3:$A$5001,"&gt;="&amp;$C$7,BD!$A$3:$A$5001,"&lt;="&amp;$D$7),"—"))</f>
        <v/>
      </c>
      <c r="O95" s="61" t="str">
        <f>IF(O$89="","",IF(Config!$I$48&lt;&gt;"Não",SUMIFS(BD!$H$3:$H$5001,BD!$B$3:$B$5001,O$89,BD!$A$3:$A$5001,"&gt;="&amp;$C$7,BD!$A$3:$A$5001,"&lt;="&amp;$D$7),"—"))</f>
        <v/>
      </c>
      <c r="P95" s="61" t="str">
        <f>IF(P$89="","",IF(Config!$I$49&lt;&gt;"Não",SUMIFS(BD!$H$3:$H$5001,BD!$B$3:$B$5001,P$89,BD!$A$3:$A$5001,"&gt;="&amp;$C$7,BD!$A$3:$A$5001,"&lt;="&amp;$D$7),"—"))</f>
        <v/>
      </c>
      <c r="Q95" s="61" t="str">
        <f>IF(Q$89="","",IF(Config!$I$50&lt;&gt;"Não",SUMIFS(BD!$H$3:$H$5001,BD!$B$3:$B$5001,Q$89,BD!$A$3:$A$5001,"&gt;="&amp;$C$7,BD!$A$3:$A$5001,"&lt;="&amp;$D$7),"—"))</f>
        <v/>
      </c>
      <c r="R95" s="61" t="str">
        <f>IF(R$89="","",IF(Config!$I$51&lt;&gt;"Não",SUMIFS(BD!$H$3:$H$5001,BD!$B$3:$B$5001,R$89,BD!$A$3:$A$5001,"&gt;="&amp;$C$7,BD!$A$3:$A$5001,"&lt;="&amp;$D$7),"—"))</f>
        <v/>
      </c>
      <c r="S95" s="61" t="str">
        <f>IF(S$89="","",IF(Config!$I$52&lt;&gt;"Não",SUMIFS(BD!$H$3:$H$5001,BD!$B$3:$B$5001,S$89,BD!$A$3:$A$5001,"&gt;="&amp;$C$7,BD!$A$3:$A$5001,"&lt;="&amp;$D$7),"—"))</f>
        <v/>
      </c>
      <c r="T95" s="61" t="str">
        <f>IF(T$89="","",IF(Config!$I$53&lt;&gt;"Não",SUMIFS(BD!$H$3:$H$5001,BD!$B$3:$B$5001,T$89,BD!$A$3:$A$5001,"&gt;="&amp;$C$7,BD!$A$3:$A$5001,"&lt;="&amp;$D$7),"—"))</f>
        <v/>
      </c>
      <c r="U95" s="61" t="str">
        <f>IF(U$89="","",IF(Config!$I$54&lt;&gt;"Não",SUMIFS(BD!$H$3:$H$5001,BD!$B$3:$B$5001,U$89,BD!$A$3:$A$5001,"&gt;="&amp;$C$7,BD!$A$3:$A$5001,"&lt;="&amp;$D$7),"—"))</f>
        <v/>
      </c>
      <c r="V95" s="63">
        <f>SUM(B95:U95)</f>
        <v>0</v>
      </c>
    </row>
    <row r="96">
      <c r="A96" s="29" t="inlineStr">
        <is>
          <t xml:space="preserve">NC · Incidentes</t>
        </is>
      </c>
      <c r="B96" s="32">
        <f>IF(B$89="","",IF(Config!$J$35&lt;&gt;"Não",SUMIFS(BD!$I$3:$I$5001,BD!$B$3:$B$5001,B$89,BD!$A$3:$A$5001,"&gt;="&amp;$C$7,BD!$A$3:$A$5001,"&lt;="&amp;$D$7),"—"))</f>
        <v>0</v>
      </c>
      <c r="C96" s="32">
        <f>IF(C$89="","",IF(Config!$J$36&lt;&gt;"Não",SUMIFS(BD!$I$3:$I$5001,BD!$B$3:$B$5001,C$89,BD!$A$3:$A$5001,"&gt;="&amp;$C$7,BD!$A$3:$A$5001,"&lt;="&amp;$D$7),"—"))</f>
        <v>0</v>
      </c>
      <c r="D96" s="32">
        <f>IF(D$89="","",IF(Config!$J$37&lt;&gt;"Não",SUMIFS(BD!$I$3:$I$5001,BD!$B$3:$B$5001,D$89,BD!$A$3:$A$5001,"&gt;="&amp;$C$7,BD!$A$3:$A$5001,"&lt;="&amp;$D$7),"—"))</f>
        <v>0</v>
      </c>
      <c r="E96" s="32">
        <f>IF(E$89="","",IF(Config!$J$38&lt;&gt;"Não",SUMIFS(BD!$I$3:$I$5001,BD!$B$3:$B$5001,E$89,BD!$A$3:$A$5001,"&gt;="&amp;$C$7,BD!$A$3:$A$5001,"&lt;="&amp;$D$7),"—"))</f>
        <v>0</v>
      </c>
      <c r="F96" s="32">
        <f>IF(F$89="","",IF(Config!$J$39&lt;&gt;"Não",SUMIFS(BD!$I$3:$I$5001,BD!$B$3:$B$5001,F$89,BD!$A$3:$A$5001,"&gt;="&amp;$C$7,BD!$A$3:$A$5001,"&lt;="&amp;$D$7),"—"))</f>
        <v>0</v>
      </c>
      <c r="G96" s="32" t="str">
        <f>IF(G$89="","",IF(Config!$J$40&lt;&gt;"Não",SUMIFS(BD!$I$3:$I$5001,BD!$B$3:$B$5001,G$89,BD!$A$3:$A$5001,"&gt;="&amp;$C$7,BD!$A$3:$A$5001,"&lt;="&amp;$D$7),"—"))</f>
        <v/>
      </c>
      <c r="H96" s="32" t="str">
        <f>IF(H$89="","",IF(Config!$J$41&lt;&gt;"Não",SUMIFS(BD!$I$3:$I$5001,BD!$B$3:$B$5001,H$89,BD!$A$3:$A$5001,"&gt;="&amp;$C$7,BD!$A$3:$A$5001,"&lt;="&amp;$D$7),"—"))</f>
        <v/>
      </c>
      <c r="I96" s="32" t="str">
        <f>IF(I$89="","",IF(Config!$J$42&lt;&gt;"Não",SUMIFS(BD!$I$3:$I$5001,BD!$B$3:$B$5001,I$89,BD!$A$3:$A$5001,"&gt;="&amp;$C$7,BD!$A$3:$A$5001,"&lt;="&amp;$D$7),"—"))</f>
        <v/>
      </c>
      <c r="J96" s="32" t="str">
        <f>IF(J$89="","",IF(Config!$J$43&lt;&gt;"Não",SUMIFS(BD!$I$3:$I$5001,BD!$B$3:$B$5001,J$89,BD!$A$3:$A$5001,"&gt;="&amp;$C$7,BD!$A$3:$A$5001,"&lt;="&amp;$D$7),"—"))</f>
        <v/>
      </c>
      <c r="K96" s="32" t="str">
        <f>IF(K$89="","",IF(Config!$J$44&lt;&gt;"Não",SUMIFS(BD!$I$3:$I$5001,BD!$B$3:$B$5001,K$89,BD!$A$3:$A$5001,"&gt;="&amp;$C$7,BD!$A$3:$A$5001,"&lt;="&amp;$D$7),"—"))</f>
        <v/>
      </c>
      <c r="L96" s="32" t="str">
        <f>IF(L$89="","",IF(Config!$J$45&lt;&gt;"Não",SUMIFS(BD!$I$3:$I$5001,BD!$B$3:$B$5001,L$89,BD!$A$3:$A$5001,"&gt;="&amp;$C$7,BD!$A$3:$A$5001,"&lt;="&amp;$D$7),"—"))</f>
        <v/>
      </c>
      <c r="M96" s="32" t="str">
        <f>IF(M$89="","",IF(Config!$J$46&lt;&gt;"Não",SUMIFS(BD!$I$3:$I$5001,BD!$B$3:$B$5001,M$89,BD!$A$3:$A$5001,"&gt;="&amp;$C$7,BD!$A$3:$A$5001,"&lt;="&amp;$D$7),"—"))</f>
        <v/>
      </c>
      <c r="N96" s="32" t="str">
        <f>IF(N$89="","",IF(Config!$J$47&lt;&gt;"Não",SUMIFS(BD!$I$3:$I$5001,BD!$B$3:$B$5001,N$89,BD!$A$3:$A$5001,"&gt;="&amp;$C$7,BD!$A$3:$A$5001,"&lt;="&amp;$D$7),"—"))</f>
        <v/>
      </c>
      <c r="O96" s="32" t="str">
        <f>IF(O$89="","",IF(Config!$J$48&lt;&gt;"Não",SUMIFS(BD!$I$3:$I$5001,BD!$B$3:$B$5001,O$89,BD!$A$3:$A$5001,"&gt;="&amp;$C$7,BD!$A$3:$A$5001,"&lt;="&amp;$D$7),"—"))</f>
        <v/>
      </c>
      <c r="P96" s="32" t="str">
        <f>IF(P$89="","",IF(Config!$J$49&lt;&gt;"Não",SUMIFS(BD!$I$3:$I$5001,BD!$B$3:$B$5001,P$89,BD!$A$3:$A$5001,"&gt;="&amp;$C$7,BD!$A$3:$A$5001,"&lt;="&amp;$D$7),"—"))</f>
        <v/>
      </c>
      <c r="Q96" s="32" t="str">
        <f>IF(Q$89="","",IF(Config!$J$50&lt;&gt;"Não",SUMIFS(BD!$I$3:$I$5001,BD!$B$3:$B$5001,Q$89,BD!$A$3:$A$5001,"&gt;="&amp;$C$7,BD!$A$3:$A$5001,"&lt;="&amp;$D$7),"—"))</f>
        <v/>
      </c>
      <c r="R96" s="32" t="str">
        <f>IF(R$89="","",IF(Config!$J$51&lt;&gt;"Não",SUMIFS(BD!$I$3:$I$5001,BD!$B$3:$B$5001,R$89,BD!$A$3:$A$5001,"&gt;="&amp;$C$7,BD!$A$3:$A$5001,"&lt;="&amp;$D$7),"—"))</f>
        <v/>
      </c>
      <c r="S96" s="32" t="str">
        <f>IF(S$89="","",IF(Config!$J$52&lt;&gt;"Não",SUMIFS(BD!$I$3:$I$5001,BD!$B$3:$B$5001,S$89,BD!$A$3:$A$5001,"&gt;="&amp;$C$7,BD!$A$3:$A$5001,"&lt;="&amp;$D$7),"—"))</f>
        <v/>
      </c>
      <c r="T96" s="32" t="str">
        <f>IF(T$89="","",IF(Config!$J$53&lt;&gt;"Não",SUMIFS(BD!$I$3:$I$5001,BD!$B$3:$B$5001,T$89,BD!$A$3:$A$5001,"&gt;="&amp;$C$7,BD!$A$3:$A$5001,"&lt;="&amp;$D$7),"—"))</f>
        <v/>
      </c>
      <c r="U96" s="32" t="str">
        <f>IF(U$89="","",IF(Config!$J$54&lt;&gt;"Não",SUMIFS(BD!$I$3:$I$5001,BD!$B$3:$B$5001,U$89,BD!$A$3:$A$5001,"&gt;="&amp;$C$7,BD!$A$3:$A$5001,"&lt;="&amp;$D$7),"—"))</f>
        <v/>
      </c>
      <c r="V96" s="62">
        <f>SUM(B96:U96)</f>
        <v>0</v>
      </c>
    </row>
    <row r="97">
      <c r="A97" s="29" t="inlineStr">
        <is>
          <t xml:space="preserve">NC · No show</t>
        </is>
      </c>
      <c r="B97" s="32">
        <f>IF(B$89="","",IF(Config!$K$35&lt;&gt;"Não",SUMIFS(BD!$J$3:$J$5001,BD!$B$3:$B$5001,B$89,BD!$A$3:$A$5001,"&gt;="&amp;$C$7,BD!$A$3:$A$5001,"&lt;="&amp;$D$7),"—"))</f>
        <v>0</v>
      </c>
      <c r="C97" s="32">
        <f>IF(C$89="","",IF(Config!$K$36&lt;&gt;"Não",SUMIFS(BD!$J$3:$J$5001,BD!$B$3:$B$5001,C$89,BD!$A$3:$A$5001,"&gt;="&amp;$C$7,BD!$A$3:$A$5001,"&lt;="&amp;$D$7),"—"))</f>
        <v>0</v>
      </c>
      <c r="D97" s="32">
        <f>IF(D$89="","",IF(Config!$K$37&lt;&gt;"Não",SUMIFS(BD!$J$3:$J$5001,BD!$B$3:$B$5001,D$89,BD!$A$3:$A$5001,"&gt;="&amp;$C$7,BD!$A$3:$A$5001,"&lt;="&amp;$D$7),"—"))</f>
        <v>0</v>
      </c>
      <c r="E97" s="32">
        <f>IF(E$89="","",IF(Config!$K$38&lt;&gt;"Não",SUMIFS(BD!$J$3:$J$5001,BD!$B$3:$B$5001,E$89,BD!$A$3:$A$5001,"&gt;="&amp;$C$7,BD!$A$3:$A$5001,"&lt;="&amp;$D$7),"—"))</f>
        <v>0</v>
      </c>
      <c r="F97" s="32">
        <f>IF(F$89="","",IF(Config!$K$39&lt;&gt;"Não",SUMIFS(BD!$J$3:$J$5001,BD!$B$3:$B$5001,F$89,BD!$A$3:$A$5001,"&gt;="&amp;$C$7,BD!$A$3:$A$5001,"&lt;="&amp;$D$7),"—"))</f>
        <v>0</v>
      </c>
      <c r="G97" s="32" t="str">
        <f>IF(G$89="","",IF(Config!$K$40&lt;&gt;"Não",SUMIFS(BD!$J$3:$J$5001,BD!$B$3:$B$5001,G$89,BD!$A$3:$A$5001,"&gt;="&amp;$C$7,BD!$A$3:$A$5001,"&lt;="&amp;$D$7),"—"))</f>
        <v/>
      </c>
      <c r="H97" s="32" t="str">
        <f>IF(H$89="","",IF(Config!$K$41&lt;&gt;"Não",SUMIFS(BD!$J$3:$J$5001,BD!$B$3:$B$5001,H$89,BD!$A$3:$A$5001,"&gt;="&amp;$C$7,BD!$A$3:$A$5001,"&lt;="&amp;$D$7),"—"))</f>
        <v/>
      </c>
      <c r="I97" s="32" t="str">
        <f>IF(I$89="","",IF(Config!$K$42&lt;&gt;"Não",SUMIFS(BD!$J$3:$J$5001,BD!$B$3:$B$5001,I$89,BD!$A$3:$A$5001,"&gt;="&amp;$C$7,BD!$A$3:$A$5001,"&lt;="&amp;$D$7),"—"))</f>
        <v/>
      </c>
      <c r="J97" s="32" t="str">
        <f>IF(J$89="","",IF(Config!$K$43&lt;&gt;"Não",SUMIFS(BD!$J$3:$J$5001,BD!$B$3:$B$5001,J$89,BD!$A$3:$A$5001,"&gt;="&amp;$C$7,BD!$A$3:$A$5001,"&lt;="&amp;$D$7),"—"))</f>
        <v/>
      </c>
      <c r="K97" s="32" t="str">
        <f>IF(K$89="","",IF(Config!$K$44&lt;&gt;"Não",SUMIFS(BD!$J$3:$J$5001,BD!$B$3:$B$5001,K$89,BD!$A$3:$A$5001,"&gt;="&amp;$C$7,BD!$A$3:$A$5001,"&lt;="&amp;$D$7),"—"))</f>
        <v/>
      </c>
      <c r="L97" s="32" t="str">
        <f>IF(L$89="","",IF(Config!$K$45&lt;&gt;"Não",SUMIFS(BD!$J$3:$J$5001,BD!$B$3:$B$5001,L$89,BD!$A$3:$A$5001,"&gt;="&amp;$C$7,BD!$A$3:$A$5001,"&lt;="&amp;$D$7),"—"))</f>
        <v/>
      </c>
      <c r="M97" s="32" t="str">
        <f>IF(M$89="","",IF(Config!$K$46&lt;&gt;"Não",SUMIFS(BD!$J$3:$J$5001,BD!$B$3:$B$5001,M$89,BD!$A$3:$A$5001,"&gt;="&amp;$C$7,BD!$A$3:$A$5001,"&lt;="&amp;$D$7),"—"))</f>
        <v/>
      </c>
      <c r="N97" s="32" t="str">
        <f>IF(N$89="","",IF(Config!$K$47&lt;&gt;"Não",SUMIFS(BD!$J$3:$J$5001,BD!$B$3:$B$5001,N$89,BD!$A$3:$A$5001,"&gt;="&amp;$C$7,BD!$A$3:$A$5001,"&lt;="&amp;$D$7),"—"))</f>
        <v/>
      </c>
      <c r="O97" s="32" t="str">
        <f>IF(O$89="","",IF(Config!$K$48&lt;&gt;"Não",SUMIFS(BD!$J$3:$J$5001,BD!$B$3:$B$5001,O$89,BD!$A$3:$A$5001,"&gt;="&amp;$C$7,BD!$A$3:$A$5001,"&lt;="&amp;$D$7),"—"))</f>
        <v/>
      </c>
      <c r="P97" s="32" t="str">
        <f>IF(P$89="","",IF(Config!$K$49&lt;&gt;"Não",SUMIFS(BD!$J$3:$J$5001,BD!$B$3:$B$5001,P$89,BD!$A$3:$A$5001,"&gt;="&amp;$C$7,BD!$A$3:$A$5001,"&lt;="&amp;$D$7),"—"))</f>
        <v/>
      </c>
      <c r="Q97" s="32" t="str">
        <f>IF(Q$89="","",IF(Config!$K$50&lt;&gt;"Não",SUMIFS(BD!$J$3:$J$5001,BD!$B$3:$B$5001,Q$89,BD!$A$3:$A$5001,"&gt;="&amp;$C$7,BD!$A$3:$A$5001,"&lt;="&amp;$D$7),"—"))</f>
        <v/>
      </c>
      <c r="R97" s="32" t="str">
        <f>IF(R$89="","",IF(Config!$K$51&lt;&gt;"Não",SUMIFS(BD!$J$3:$J$5001,BD!$B$3:$B$5001,R$89,BD!$A$3:$A$5001,"&gt;="&amp;$C$7,BD!$A$3:$A$5001,"&lt;="&amp;$D$7),"—"))</f>
        <v/>
      </c>
      <c r="S97" s="32" t="str">
        <f>IF(S$89="","",IF(Config!$K$52&lt;&gt;"Não",SUMIFS(BD!$J$3:$J$5001,BD!$B$3:$B$5001,S$89,BD!$A$3:$A$5001,"&gt;="&amp;$C$7,BD!$A$3:$A$5001,"&lt;="&amp;$D$7),"—"))</f>
        <v/>
      </c>
      <c r="T97" s="32" t="str">
        <f>IF(T$89="","",IF(Config!$K$53&lt;&gt;"Não",SUMIFS(BD!$J$3:$J$5001,BD!$B$3:$B$5001,T$89,BD!$A$3:$A$5001,"&gt;="&amp;$C$7,BD!$A$3:$A$5001,"&lt;="&amp;$D$7),"—"))</f>
        <v/>
      </c>
      <c r="U97" s="32" t="str">
        <f>IF(U$89="","",IF(Config!$K$54&lt;&gt;"Não",SUMIFS(BD!$J$3:$J$5001,BD!$B$3:$B$5001,U$89,BD!$A$3:$A$5001,"&gt;="&amp;$C$7,BD!$A$3:$A$5001,"&lt;="&amp;$D$7),"—"))</f>
        <v/>
      </c>
      <c r="V97" s="62">
        <f>SUM(B97:U97)</f>
        <v>0</v>
      </c>
    </row>
    <row r="98">
      <c r="A98" s="29" t="inlineStr">
        <is>
          <t xml:space="preserve">NC · Backlog</t>
        </is>
      </c>
      <c r="B98" s="32" t="str">
        <f>IF(B$89="","",IF(Config!$L$35&lt;&gt;"Não",IF(COUNTIFS(BD!$B$3:$B$5001,B$89,BD!$A$3:$A$5001,"&gt;="&amp;$C$7,BD!$A$3:$A$5001,"&lt;="&amp;$D$7,BD!$K$3:$K$5001,"&lt;&gt;")=0,"",SUMIFS(BD!$K$3:$K$5001,BD!$B$3:$B$5001,B$89,BD!$A$3:$A$5001,_xlfn.MAXIFS(BD!$A$3:$A$5001,BD!$B$3:$B$5001,B$89,BD!$A$3:$A$5001,"&gt;="&amp;$C$7,BD!$A$3:$A$5001,"&lt;="&amp;$D$7,BD!$K$3:$K$5001,"&lt;&gt;"))),"—"))</f>
        <v/>
      </c>
      <c r="C98" s="32" t="str">
        <f>IF(C$89="","",IF(Config!$L$36&lt;&gt;"Não",IF(COUNTIFS(BD!$B$3:$B$5001,C$89,BD!$A$3:$A$5001,"&gt;="&amp;$C$7,BD!$A$3:$A$5001,"&lt;="&amp;$D$7,BD!$K$3:$K$5001,"&lt;&gt;")=0,"",SUMIFS(BD!$K$3:$K$5001,BD!$B$3:$B$5001,C$89,BD!$A$3:$A$5001,_xlfn.MAXIFS(BD!$A$3:$A$5001,BD!$B$3:$B$5001,C$89,BD!$A$3:$A$5001,"&gt;="&amp;$C$7,BD!$A$3:$A$5001,"&lt;="&amp;$D$7,BD!$K$3:$K$5001,"&lt;&gt;"))),"—"))</f>
        <v/>
      </c>
      <c r="D98" s="32" t="str">
        <f>IF(D$89="","",IF(Config!$L$37&lt;&gt;"Não",IF(COUNTIFS(BD!$B$3:$B$5001,D$89,BD!$A$3:$A$5001,"&gt;="&amp;$C$7,BD!$A$3:$A$5001,"&lt;="&amp;$D$7,BD!$K$3:$K$5001,"&lt;&gt;")=0,"",SUMIFS(BD!$K$3:$K$5001,BD!$B$3:$B$5001,D$89,BD!$A$3:$A$5001,_xlfn.MAXIFS(BD!$A$3:$A$5001,BD!$B$3:$B$5001,D$89,BD!$A$3:$A$5001,"&gt;="&amp;$C$7,BD!$A$3:$A$5001,"&lt;="&amp;$D$7,BD!$K$3:$K$5001,"&lt;&gt;"))),"—"))</f>
        <v/>
      </c>
      <c r="E98" s="32" t="str">
        <f>IF(E$89="","",IF(Config!$L$38&lt;&gt;"Não",IF(COUNTIFS(BD!$B$3:$B$5001,E$89,BD!$A$3:$A$5001,"&gt;="&amp;$C$7,BD!$A$3:$A$5001,"&lt;="&amp;$D$7,BD!$K$3:$K$5001,"&lt;&gt;")=0,"",SUMIFS(BD!$K$3:$K$5001,BD!$B$3:$B$5001,E$89,BD!$A$3:$A$5001,_xlfn.MAXIFS(BD!$A$3:$A$5001,BD!$B$3:$B$5001,E$89,BD!$A$3:$A$5001,"&gt;="&amp;$C$7,BD!$A$3:$A$5001,"&lt;="&amp;$D$7,BD!$K$3:$K$5001,"&lt;&gt;"))),"—"))</f>
        <v/>
      </c>
      <c r="F98" s="32" t="str">
        <f>IF(F$89="","",IF(Config!$L$39&lt;&gt;"Não",IF(COUNTIFS(BD!$B$3:$B$5001,F$89,BD!$A$3:$A$5001,"&gt;="&amp;$C$7,BD!$A$3:$A$5001,"&lt;="&amp;$D$7,BD!$K$3:$K$5001,"&lt;&gt;")=0,"",SUMIFS(BD!$K$3:$K$5001,BD!$B$3:$B$5001,F$89,BD!$A$3:$A$5001,_xlfn.MAXIFS(BD!$A$3:$A$5001,BD!$B$3:$B$5001,F$89,BD!$A$3:$A$5001,"&gt;="&amp;$C$7,BD!$A$3:$A$5001,"&lt;="&amp;$D$7,BD!$K$3:$K$5001,"&lt;&gt;"))),"—"))</f>
        <v/>
      </c>
      <c r="G98" s="32" t="str">
        <f>IF(G$89="","",IF(Config!$L$40&lt;&gt;"Não",IF(COUNTIFS(BD!$B$3:$B$5001,G$89,BD!$A$3:$A$5001,"&gt;="&amp;$C$7,BD!$A$3:$A$5001,"&lt;="&amp;$D$7,BD!$K$3:$K$5001,"&lt;&gt;")=0,"",SUMIFS(BD!$K$3:$K$5001,BD!$B$3:$B$5001,G$89,BD!$A$3:$A$5001,_xlfn.MAXIFS(BD!$A$3:$A$5001,BD!$B$3:$B$5001,G$89,BD!$A$3:$A$5001,"&gt;="&amp;$C$7,BD!$A$3:$A$5001,"&lt;="&amp;$D$7,BD!$K$3:$K$5001,"&lt;&gt;"))),"—"))</f>
        <v/>
      </c>
      <c r="H98" s="32" t="str">
        <f>IF(H$89="","",IF(Config!$L$41&lt;&gt;"Não",IF(COUNTIFS(BD!$B$3:$B$5001,H$89,BD!$A$3:$A$5001,"&gt;="&amp;$C$7,BD!$A$3:$A$5001,"&lt;="&amp;$D$7,BD!$K$3:$K$5001,"&lt;&gt;")=0,"",SUMIFS(BD!$K$3:$K$5001,BD!$B$3:$B$5001,H$89,BD!$A$3:$A$5001,_xlfn.MAXIFS(BD!$A$3:$A$5001,BD!$B$3:$B$5001,H$89,BD!$A$3:$A$5001,"&gt;="&amp;$C$7,BD!$A$3:$A$5001,"&lt;="&amp;$D$7,BD!$K$3:$K$5001,"&lt;&gt;"))),"—"))</f>
        <v/>
      </c>
      <c r="I98" s="32" t="str">
        <f>IF(I$89="","",IF(Config!$L$42&lt;&gt;"Não",IF(COUNTIFS(BD!$B$3:$B$5001,I$89,BD!$A$3:$A$5001,"&gt;="&amp;$C$7,BD!$A$3:$A$5001,"&lt;="&amp;$D$7,BD!$K$3:$K$5001,"&lt;&gt;")=0,"",SUMIFS(BD!$K$3:$K$5001,BD!$B$3:$B$5001,I$89,BD!$A$3:$A$5001,_xlfn.MAXIFS(BD!$A$3:$A$5001,BD!$B$3:$B$5001,I$89,BD!$A$3:$A$5001,"&gt;="&amp;$C$7,BD!$A$3:$A$5001,"&lt;="&amp;$D$7,BD!$K$3:$K$5001,"&lt;&gt;"))),"—"))</f>
        <v/>
      </c>
      <c r="J98" s="32" t="str">
        <f>IF(J$89="","",IF(Config!$L$43&lt;&gt;"Não",IF(COUNTIFS(BD!$B$3:$B$5001,J$89,BD!$A$3:$A$5001,"&gt;="&amp;$C$7,BD!$A$3:$A$5001,"&lt;="&amp;$D$7,BD!$K$3:$K$5001,"&lt;&gt;")=0,"",SUMIFS(BD!$K$3:$K$5001,BD!$B$3:$B$5001,J$89,BD!$A$3:$A$5001,_xlfn.MAXIFS(BD!$A$3:$A$5001,BD!$B$3:$B$5001,J$89,BD!$A$3:$A$5001,"&gt;="&amp;$C$7,BD!$A$3:$A$5001,"&lt;="&amp;$D$7,BD!$K$3:$K$5001,"&lt;&gt;"))),"—"))</f>
        <v/>
      </c>
      <c r="K98" s="32" t="str">
        <f>IF(K$89="","",IF(Config!$L$44&lt;&gt;"Não",IF(COUNTIFS(BD!$B$3:$B$5001,K$89,BD!$A$3:$A$5001,"&gt;="&amp;$C$7,BD!$A$3:$A$5001,"&lt;="&amp;$D$7,BD!$K$3:$K$5001,"&lt;&gt;")=0,"",SUMIFS(BD!$K$3:$K$5001,BD!$B$3:$B$5001,K$89,BD!$A$3:$A$5001,_xlfn.MAXIFS(BD!$A$3:$A$5001,BD!$B$3:$B$5001,K$89,BD!$A$3:$A$5001,"&gt;="&amp;$C$7,BD!$A$3:$A$5001,"&lt;="&amp;$D$7,BD!$K$3:$K$5001,"&lt;&gt;"))),"—"))</f>
        <v/>
      </c>
      <c r="L98" s="32" t="str">
        <f>IF(L$89="","",IF(Config!$L$45&lt;&gt;"Não",IF(COUNTIFS(BD!$B$3:$B$5001,L$89,BD!$A$3:$A$5001,"&gt;="&amp;$C$7,BD!$A$3:$A$5001,"&lt;="&amp;$D$7,BD!$K$3:$K$5001,"&lt;&gt;")=0,"",SUMIFS(BD!$K$3:$K$5001,BD!$B$3:$B$5001,L$89,BD!$A$3:$A$5001,_xlfn.MAXIFS(BD!$A$3:$A$5001,BD!$B$3:$B$5001,L$89,BD!$A$3:$A$5001,"&gt;="&amp;$C$7,BD!$A$3:$A$5001,"&lt;="&amp;$D$7,BD!$K$3:$K$5001,"&lt;&gt;"))),"—"))</f>
        <v/>
      </c>
      <c r="M98" s="32" t="str">
        <f>IF(M$89="","",IF(Config!$L$46&lt;&gt;"Não",IF(COUNTIFS(BD!$B$3:$B$5001,M$89,BD!$A$3:$A$5001,"&gt;="&amp;$C$7,BD!$A$3:$A$5001,"&lt;="&amp;$D$7,BD!$K$3:$K$5001,"&lt;&gt;")=0,"",SUMIFS(BD!$K$3:$K$5001,BD!$B$3:$B$5001,M$89,BD!$A$3:$A$5001,_xlfn.MAXIFS(BD!$A$3:$A$5001,BD!$B$3:$B$5001,M$89,BD!$A$3:$A$5001,"&gt;="&amp;$C$7,BD!$A$3:$A$5001,"&lt;="&amp;$D$7,BD!$K$3:$K$5001,"&lt;&gt;"))),"—"))</f>
        <v/>
      </c>
      <c r="N98" s="32" t="str">
        <f>IF(N$89="","",IF(Config!$L$47&lt;&gt;"Não",IF(COUNTIFS(BD!$B$3:$B$5001,N$89,BD!$A$3:$A$5001,"&gt;="&amp;$C$7,BD!$A$3:$A$5001,"&lt;="&amp;$D$7,BD!$K$3:$K$5001,"&lt;&gt;")=0,"",SUMIFS(BD!$K$3:$K$5001,BD!$B$3:$B$5001,N$89,BD!$A$3:$A$5001,_xlfn.MAXIFS(BD!$A$3:$A$5001,BD!$B$3:$B$5001,N$89,BD!$A$3:$A$5001,"&gt;="&amp;$C$7,BD!$A$3:$A$5001,"&lt;="&amp;$D$7,BD!$K$3:$K$5001,"&lt;&gt;"))),"—"))</f>
        <v/>
      </c>
      <c r="O98" s="32" t="str">
        <f>IF(O$89="","",IF(Config!$L$48&lt;&gt;"Não",IF(COUNTIFS(BD!$B$3:$B$5001,O$89,BD!$A$3:$A$5001,"&gt;="&amp;$C$7,BD!$A$3:$A$5001,"&lt;="&amp;$D$7,BD!$K$3:$K$5001,"&lt;&gt;")=0,"",SUMIFS(BD!$K$3:$K$5001,BD!$B$3:$B$5001,O$89,BD!$A$3:$A$5001,_xlfn.MAXIFS(BD!$A$3:$A$5001,BD!$B$3:$B$5001,O$89,BD!$A$3:$A$5001,"&gt;="&amp;$C$7,BD!$A$3:$A$5001,"&lt;="&amp;$D$7,BD!$K$3:$K$5001,"&lt;&gt;"))),"—"))</f>
        <v/>
      </c>
      <c r="P98" s="32" t="str">
        <f>IF(P$89="","",IF(Config!$L$49&lt;&gt;"Não",IF(COUNTIFS(BD!$B$3:$B$5001,P$89,BD!$A$3:$A$5001,"&gt;="&amp;$C$7,BD!$A$3:$A$5001,"&lt;="&amp;$D$7,BD!$K$3:$K$5001,"&lt;&gt;")=0,"",SUMIFS(BD!$K$3:$K$5001,BD!$B$3:$B$5001,P$89,BD!$A$3:$A$5001,_xlfn.MAXIFS(BD!$A$3:$A$5001,BD!$B$3:$B$5001,P$89,BD!$A$3:$A$5001,"&gt;="&amp;$C$7,BD!$A$3:$A$5001,"&lt;="&amp;$D$7,BD!$K$3:$K$5001,"&lt;&gt;"))),"—"))</f>
        <v/>
      </c>
      <c r="Q98" s="32" t="str">
        <f>IF(Q$89="","",IF(Config!$L$50&lt;&gt;"Não",IF(COUNTIFS(BD!$B$3:$B$5001,Q$89,BD!$A$3:$A$5001,"&gt;="&amp;$C$7,BD!$A$3:$A$5001,"&lt;="&amp;$D$7,BD!$K$3:$K$5001,"&lt;&gt;")=0,"",SUMIFS(BD!$K$3:$K$5001,BD!$B$3:$B$5001,Q$89,BD!$A$3:$A$5001,_xlfn.MAXIFS(BD!$A$3:$A$5001,BD!$B$3:$B$5001,Q$89,BD!$A$3:$A$5001,"&gt;="&amp;$C$7,BD!$A$3:$A$5001,"&lt;="&amp;$D$7,BD!$K$3:$K$5001,"&lt;&gt;"))),"—"))</f>
        <v/>
      </c>
      <c r="R98" s="32" t="str">
        <f>IF(R$89="","",IF(Config!$L$51&lt;&gt;"Não",IF(COUNTIFS(BD!$B$3:$B$5001,R$89,BD!$A$3:$A$5001,"&gt;="&amp;$C$7,BD!$A$3:$A$5001,"&lt;="&amp;$D$7,BD!$K$3:$K$5001,"&lt;&gt;")=0,"",SUMIFS(BD!$K$3:$K$5001,BD!$B$3:$B$5001,R$89,BD!$A$3:$A$5001,_xlfn.MAXIFS(BD!$A$3:$A$5001,BD!$B$3:$B$5001,R$89,BD!$A$3:$A$5001,"&gt;="&amp;$C$7,BD!$A$3:$A$5001,"&lt;="&amp;$D$7,BD!$K$3:$K$5001,"&lt;&gt;"))),"—"))</f>
        <v/>
      </c>
      <c r="S98" s="32" t="str">
        <f>IF(S$89="","",IF(Config!$L$52&lt;&gt;"Não",IF(COUNTIFS(BD!$B$3:$B$5001,S$89,BD!$A$3:$A$5001,"&gt;="&amp;$C$7,BD!$A$3:$A$5001,"&lt;="&amp;$D$7,BD!$K$3:$K$5001,"&lt;&gt;")=0,"",SUMIFS(BD!$K$3:$K$5001,BD!$B$3:$B$5001,S$89,BD!$A$3:$A$5001,_xlfn.MAXIFS(BD!$A$3:$A$5001,BD!$B$3:$B$5001,S$89,BD!$A$3:$A$5001,"&gt;="&amp;$C$7,BD!$A$3:$A$5001,"&lt;="&amp;$D$7,BD!$K$3:$K$5001,"&lt;&gt;"))),"—"))</f>
        <v/>
      </c>
      <c r="T98" s="32" t="str">
        <f>IF(T$89="","",IF(Config!$L$53&lt;&gt;"Não",IF(COUNTIFS(BD!$B$3:$B$5001,T$89,BD!$A$3:$A$5001,"&gt;="&amp;$C$7,BD!$A$3:$A$5001,"&lt;="&amp;$D$7,BD!$K$3:$K$5001,"&lt;&gt;")=0,"",SUMIFS(BD!$K$3:$K$5001,BD!$B$3:$B$5001,T$89,BD!$A$3:$A$5001,_xlfn.MAXIFS(BD!$A$3:$A$5001,BD!$B$3:$B$5001,T$89,BD!$A$3:$A$5001,"&gt;="&amp;$C$7,BD!$A$3:$A$5001,"&lt;="&amp;$D$7,BD!$K$3:$K$5001,"&lt;&gt;"))),"—"))</f>
        <v/>
      </c>
      <c r="U98" s="32" t="str">
        <f>IF(U$89="","",IF(Config!$L$54&lt;&gt;"Não",IF(COUNTIFS(BD!$B$3:$B$5001,U$89,BD!$A$3:$A$5001,"&gt;="&amp;$C$7,BD!$A$3:$A$5001,"&lt;="&amp;$D$7,BD!$K$3:$K$5001,"&lt;&gt;")=0,"",SUMIFS(BD!$K$3:$K$5001,BD!$B$3:$B$5001,U$89,BD!$A$3:$A$5001,_xlfn.MAXIFS(BD!$A$3:$A$5001,BD!$B$3:$B$5001,U$89,BD!$A$3:$A$5001,"&gt;="&amp;$C$7,BD!$A$3:$A$5001,"&lt;="&amp;$D$7,BD!$K$3:$K$5001,"&lt;&gt;"))),"—"))</f>
        <v/>
      </c>
      <c r="V98" s="62">
        <f>SUM(B98:U98)</f>
        <v>0</v>
      </c>
    </row>
    <row r="99">
      <c r="A99" s="29" t="inlineStr">
        <is>
          <t xml:space="preserve">OCUPAÇÃO (P.P) · Posições Disponíveis</t>
        </is>
      </c>
      <c r="B99" s="32" t="str">
        <f>IF(B$89="","",IF(Config!$M$35&lt;&gt;"Não",IF(N(IF(COUNTIFS(BD!$B$3:$B$5001,B$89,BD!$A$3:$A$5001,"&gt;="&amp;$C$7,BD!$A$3:$A$5001,"&lt;="&amp;$D$7,BD!$M$3:$M$5001,"&lt;&gt;")=0,"",SUMIFS(BD!$L$3:$L$5001,BD!$B$3:$B$5001,B$89,BD!$A$3:$A$5001,_xlfn.MAXIFS(BD!$A$3:$A$5001,BD!$B$3:$B$5001,B$89,BD!$A$3:$A$5001,"&gt;="&amp;$C$7,BD!$A$3:$A$5001,"&lt;="&amp;$D$7,BD!$M$3:$M$5001,"&lt;&gt;"))))=0,"",IF(COUNTIFS(BD!$B$3:$B$5001,B$89,BD!$A$3:$A$5001,"&gt;="&amp;$C$7,BD!$A$3:$A$5001,"&lt;="&amp;$D$7,BD!$M$3:$M$5001,"&lt;&gt;")=0,"",SUMIFS(BD!$L$3:$L$5001,BD!$B$3:$B$5001,B$89,BD!$A$3:$A$5001,_xlfn.MAXIFS(BD!$A$3:$A$5001,BD!$B$3:$B$5001,B$89,BD!$A$3:$A$5001,"&gt;="&amp;$C$7,BD!$A$3:$A$5001,"&lt;="&amp;$D$7,BD!$M$3:$M$5001,"&lt;&gt;")))),"—"))</f>
        <v/>
      </c>
      <c r="C99" s="32" t="str">
        <f>IF(C$89="","",IF(Config!$M$36&lt;&gt;"Não",IF(N(IF(COUNTIFS(BD!$B$3:$B$5001,C$89,BD!$A$3:$A$5001,"&gt;="&amp;$C$7,BD!$A$3:$A$5001,"&lt;="&amp;$D$7,BD!$M$3:$M$5001,"&lt;&gt;")=0,"",SUMIFS(BD!$L$3:$L$5001,BD!$B$3:$B$5001,C$89,BD!$A$3:$A$5001,_xlfn.MAXIFS(BD!$A$3:$A$5001,BD!$B$3:$B$5001,C$89,BD!$A$3:$A$5001,"&gt;="&amp;$C$7,BD!$A$3:$A$5001,"&lt;="&amp;$D$7,BD!$M$3:$M$5001,"&lt;&gt;"))))=0,"",IF(COUNTIFS(BD!$B$3:$B$5001,C$89,BD!$A$3:$A$5001,"&gt;="&amp;$C$7,BD!$A$3:$A$5001,"&lt;="&amp;$D$7,BD!$M$3:$M$5001,"&lt;&gt;")=0,"",SUMIFS(BD!$L$3:$L$5001,BD!$B$3:$B$5001,C$89,BD!$A$3:$A$5001,_xlfn.MAXIFS(BD!$A$3:$A$5001,BD!$B$3:$B$5001,C$89,BD!$A$3:$A$5001,"&gt;="&amp;$C$7,BD!$A$3:$A$5001,"&lt;="&amp;$D$7,BD!$M$3:$M$5001,"&lt;&gt;")))),"—"))</f>
        <v>—</v>
      </c>
      <c r="D99" s="32" t="str">
        <f>IF(D$89="","",IF(Config!$M$37&lt;&gt;"Não",IF(N(IF(COUNTIFS(BD!$B$3:$B$5001,D$89,BD!$A$3:$A$5001,"&gt;="&amp;$C$7,BD!$A$3:$A$5001,"&lt;="&amp;$D$7,BD!$M$3:$M$5001,"&lt;&gt;")=0,"",SUMIFS(BD!$L$3:$L$5001,BD!$B$3:$B$5001,D$89,BD!$A$3:$A$5001,_xlfn.MAXIFS(BD!$A$3:$A$5001,BD!$B$3:$B$5001,D$89,BD!$A$3:$A$5001,"&gt;="&amp;$C$7,BD!$A$3:$A$5001,"&lt;="&amp;$D$7,BD!$M$3:$M$5001,"&lt;&gt;"))))=0,"",IF(COUNTIFS(BD!$B$3:$B$5001,D$89,BD!$A$3:$A$5001,"&gt;="&amp;$C$7,BD!$A$3:$A$5001,"&lt;="&amp;$D$7,BD!$M$3:$M$5001,"&lt;&gt;")=0,"",SUMIFS(BD!$L$3:$L$5001,BD!$B$3:$B$5001,D$89,BD!$A$3:$A$5001,_xlfn.MAXIFS(BD!$A$3:$A$5001,BD!$B$3:$B$5001,D$89,BD!$A$3:$A$5001,"&gt;="&amp;$C$7,BD!$A$3:$A$5001,"&lt;="&amp;$D$7,BD!$M$3:$M$5001,"&lt;&gt;")))),"—"))</f>
        <v>—</v>
      </c>
      <c r="E99" s="32" t="str">
        <f>IF(E$89="","",IF(Config!$M$38&lt;&gt;"Não",IF(N(IF(COUNTIFS(BD!$B$3:$B$5001,E$89,BD!$A$3:$A$5001,"&gt;="&amp;$C$7,BD!$A$3:$A$5001,"&lt;="&amp;$D$7,BD!$M$3:$M$5001,"&lt;&gt;")=0,"",SUMIFS(BD!$L$3:$L$5001,BD!$B$3:$B$5001,E$89,BD!$A$3:$A$5001,_xlfn.MAXIFS(BD!$A$3:$A$5001,BD!$B$3:$B$5001,E$89,BD!$A$3:$A$5001,"&gt;="&amp;$C$7,BD!$A$3:$A$5001,"&lt;="&amp;$D$7,BD!$M$3:$M$5001,"&lt;&gt;"))))=0,"",IF(COUNTIFS(BD!$B$3:$B$5001,E$89,BD!$A$3:$A$5001,"&gt;="&amp;$C$7,BD!$A$3:$A$5001,"&lt;="&amp;$D$7,BD!$M$3:$M$5001,"&lt;&gt;")=0,"",SUMIFS(BD!$L$3:$L$5001,BD!$B$3:$B$5001,E$89,BD!$A$3:$A$5001,_xlfn.MAXIFS(BD!$A$3:$A$5001,BD!$B$3:$B$5001,E$89,BD!$A$3:$A$5001,"&gt;="&amp;$C$7,BD!$A$3:$A$5001,"&lt;="&amp;$D$7,BD!$M$3:$M$5001,"&lt;&gt;")))),"—"))</f>
        <v>—</v>
      </c>
      <c r="F99" s="32" t="str">
        <f>IF(F$89="","",IF(Config!$M$39&lt;&gt;"Não",IF(N(IF(COUNTIFS(BD!$B$3:$B$5001,F$89,BD!$A$3:$A$5001,"&gt;="&amp;$C$7,BD!$A$3:$A$5001,"&lt;="&amp;$D$7,BD!$M$3:$M$5001,"&lt;&gt;")=0,"",SUMIFS(BD!$L$3:$L$5001,BD!$B$3:$B$5001,F$89,BD!$A$3:$A$5001,_xlfn.MAXIFS(BD!$A$3:$A$5001,BD!$B$3:$B$5001,F$89,BD!$A$3:$A$5001,"&gt;="&amp;$C$7,BD!$A$3:$A$5001,"&lt;="&amp;$D$7,BD!$M$3:$M$5001,"&lt;&gt;"))))=0,"",IF(COUNTIFS(BD!$B$3:$B$5001,F$89,BD!$A$3:$A$5001,"&gt;="&amp;$C$7,BD!$A$3:$A$5001,"&lt;="&amp;$D$7,BD!$M$3:$M$5001,"&lt;&gt;")=0,"",SUMIFS(BD!$L$3:$L$5001,BD!$B$3:$B$5001,F$89,BD!$A$3:$A$5001,_xlfn.MAXIFS(BD!$A$3:$A$5001,BD!$B$3:$B$5001,F$89,BD!$A$3:$A$5001,"&gt;="&amp;$C$7,BD!$A$3:$A$5001,"&lt;="&amp;$D$7,BD!$M$3:$M$5001,"&lt;&gt;")))),"—"))</f>
        <v/>
      </c>
      <c r="G99" s="32" t="str">
        <f>IF(G$89="","",IF(Config!$M$40&lt;&gt;"Não",IF(N(IF(COUNTIFS(BD!$B$3:$B$5001,G$89,BD!$A$3:$A$5001,"&gt;="&amp;$C$7,BD!$A$3:$A$5001,"&lt;="&amp;$D$7,BD!$M$3:$M$5001,"&lt;&gt;")=0,"",SUMIFS(BD!$L$3:$L$5001,BD!$B$3:$B$5001,G$89,BD!$A$3:$A$5001,_xlfn.MAXIFS(BD!$A$3:$A$5001,BD!$B$3:$B$5001,G$89,BD!$A$3:$A$5001,"&gt;="&amp;$C$7,BD!$A$3:$A$5001,"&lt;="&amp;$D$7,BD!$M$3:$M$5001,"&lt;&gt;"))))=0,"",IF(COUNTIFS(BD!$B$3:$B$5001,G$89,BD!$A$3:$A$5001,"&gt;="&amp;$C$7,BD!$A$3:$A$5001,"&lt;="&amp;$D$7,BD!$M$3:$M$5001,"&lt;&gt;")=0,"",SUMIFS(BD!$L$3:$L$5001,BD!$B$3:$B$5001,G$89,BD!$A$3:$A$5001,_xlfn.MAXIFS(BD!$A$3:$A$5001,BD!$B$3:$B$5001,G$89,BD!$A$3:$A$5001,"&gt;="&amp;$C$7,BD!$A$3:$A$5001,"&lt;="&amp;$D$7,BD!$M$3:$M$5001,"&lt;&gt;")))),"—"))</f>
        <v/>
      </c>
      <c r="H99" s="32" t="str">
        <f>IF(H$89="","",IF(Config!$M$41&lt;&gt;"Não",IF(N(IF(COUNTIFS(BD!$B$3:$B$5001,H$89,BD!$A$3:$A$5001,"&gt;="&amp;$C$7,BD!$A$3:$A$5001,"&lt;="&amp;$D$7,BD!$M$3:$M$5001,"&lt;&gt;")=0,"",SUMIFS(BD!$L$3:$L$5001,BD!$B$3:$B$5001,H$89,BD!$A$3:$A$5001,_xlfn.MAXIFS(BD!$A$3:$A$5001,BD!$B$3:$B$5001,H$89,BD!$A$3:$A$5001,"&gt;="&amp;$C$7,BD!$A$3:$A$5001,"&lt;="&amp;$D$7,BD!$M$3:$M$5001,"&lt;&gt;"))))=0,"",IF(COUNTIFS(BD!$B$3:$B$5001,H$89,BD!$A$3:$A$5001,"&gt;="&amp;$C$7,BD!$A$3:$A$5001,"&lt;="&amp;$D$7,BD!$M$3:$M$5001,"&lt;&gt;")=0,"",SUMIFS(BD!$L$3:$L$5001,BD!$B$3:$B$5001,H$89,BD!$A$3:$A$5001,_xlfn.MAXIFS(BD!$A$3:$A$5001,BD!$B$3:$B$5001,H$89,BD!$A$3:$A$5001,"&gt;="&amp;$C$7,BD!$A$3:$A$5001,"&lt;="&amp;$D$7,BD!$M$3:$M$5001,"&lt;&gt;")))),"—"))</f>
        <v/>
      </c>
      <c r="I99" s="32" t="str">
        <f>IF(I$89="","",IF(Config!$M$42&lt;&gt;"Não",IF(N(IF(COUNTIFS(BD!$B$3:$B$5001,I$89,BD!$A$3:$A$5001,"&gt;="&amp;$C$7,BD!$A$3:$A$5001,"&lt;="&amp;$D$7,BD!$M$3:$M$5001,"&lt;&gt;")=0,"",SUMIFS(BD!$L$3:$L$5001,BD!$B$3:$B$5001,I$89,BD!$A$3:$A$5001,_xlfn.MAXIFS(BD!$A$3:$A$5001,BD!$B$3:$B$5001,I$89,BD!$A$3:$A$5001,"&gt;="&amp;$C$7,BD!$A$3:$A$5001,"&lt;="&amp;$D$7,BD!$M$3:$M$5001,"&lt;&gt;"))))=0,"",IF(COUNTIFS(BD!$B$3:$B$5001,I$89,BD!$A$3:$A$5001,"&gt;="&amp;$C$7,BD!$A$3:$A$5001,"&lt;="&amp;$D$7,BD!$M$3:$M$5001,"&lt;&gt;")=0,"",SUMIFS(BD!$L$3:$L$5001,BD!$B$3:$B$5001,I$89,BD!$A$3:$A$5001,_xlfn.MAXIFS(BD!$A$3:$A$5001,BD!$B$3:$B$5001,I$89,BD!$A$3:$A$5001,"&gt;="&amp;$C$7,BD!$A$3:$A$5001,"&lt;="&amp;$D$7,BD!$M$3:$M$5001,"&lt;&gt;")))),"—"))</f>
        <v/>
      </c>
      <c r="J99" s="32" t="str">
        <f>IF(J$89="","",IF(Config!$M$43&lt;&gt;"Não",IF(N(IF(COUNTIFS(BD!$B$3:$B$5001,J$89,BD!$A$3:$A$5001,"&gt;="&amp;$C$7,BD!$A$3:$A$5001,"&lt;="&amp;$D$7,BD!$M$3:$M$5001,"&lt;&gt;")=0,"",SUMIFS(BD!$L$3:$L$5001,BD!$B$3:$B$5001,J$89,BD!$A$3:$A$5001,_xlfn.MAXIFS(BD!$A$3:$A$5001,BD!$B$3:$B$5001,J$89,BD!$A$3:$A$5001,"&gt;="&amp;$C$7,BD!$A$3:$A$5001,"&lt;="&amp;$D$7,BD!$M$3:$M$5001,"&lt;&gt;"))))=0,"",IF(COUNTIFS(BD!$B$3:$B$5001,J$89,BD!$A$3:$A$5001,"&gt;="&amp;$C$7,BD!$A$3:$A$5001,"&lt;="&amp;$D$7,BD!$M$3:$M$5001,"&lt;&gt;")=0,"",SUMIFS(BD!$L$3:$L$5001,BD!$B$3:$B$5001,J$89,BD!$A$3:$A$5001,_xlfn.MAXIFS(BD!$A$3:$A$5001,BD!$B$3:$B$5001,J$89,BD!$A$3:$A$5001,"&gt;="&amp;$C$7,BD!$A$3:$A$5001,"&lt;="&amp;$D$7,BD!$M$3:$M$5001,"&lt;&gt;")))),"—"))</f>
        <v/>
      </c>
      <c r="K99" s="32" t="str">
        <f>IF(K$89="","",IF(Config!$M$44&lt;&gt;"Não",IF(N(IF(COUNTIFS(BD!$B$3:$B$5001,K$89,BD!$A$3:$A$5001,"&gt;="&amp;$C$7,BD!$A$3:$A$5001,"&lt;="&amp;$D$7,BD!$M$3:$M$5001,"&lt;&gt;")=0,"",SUMIFS(BD!$L$3:$L$5001,BD!$B$3:$B$5001,K$89,BD!$A$3:$A$5001,_xlfn.MAXIFS(BD!$A$3:$A$5001,BD!$B$3:$B$5001,K$89,BD!$A$3:$A$5001,"&gt;="&amp;$C$7,BD!$A$3:$A$5001,"&lt;="&amp;$D$7,BD!$M$3:$M$5001,"&lt;&gt;"))))=0,"",IF(COUNTIFS(BD!$B$3:$B$5001,K$89,BD!$A$3:$A$5001,"&gt;="&amp;$C$7,BD!$A$3:$A$5001,"&lt;="&amp;$D$7,BD!$M$3:$M$5001,"&lt;&gt;")=0,"",SUMIFS(BD!$L$3:$L$5001,BD!$B$3:$B$5001,K$89,BD!$A$3:$A$5001,_xlfn.MAXIFS(BD!$A$3:$A$5001,BD!$B$3:$B$5001,K$89,BD!$A$3:$A$5001,"&gt;="&amp;$C$7,BD!$A$3:$A$5001,"&lt;="&amp;$D$7,BD!$M$3:$M$5001,"&lt;&gt;")))),"—"))</f>
        <v/>
      </c>
      <c r="L99" s="32" t="str">
        <f>IF(L$89="","",IF(Config!$M$45&lt;&gt;"Não",IF(N(IF(COUNTIFS(BD!$B$3:$B$5001,L$89,BD!$A$3:$A$5001,"&gt;="&amp;$C$7,BD!$A$3:$A$5001,"&lt;="&amp;$D$7,BD!$M$3:$M$5001,"&lt;&gt;")=0,"",SUMIFS(BD!$L$3:$L$5001,BD!$B$3:$B$5001,L$89,BD!$A$3:$A$5001,_xlfn.MAXIFS(BD!$A$3:$A$5001,BD!$B$3:$B$5001,L$89,BD!$A$3:$A$5001,"&gt;="&amp;$C$7,BD!$A$3:$A$5001,"&lt;="&amp;$D$7,BD!$M$3:$M$5001,"&lt;&gt;"))))=0,"",IF(COUNTIFS(BD!$B$3:$B$5001,L$89,BD!$A$3:$A$5001,"&gt;="&amp;$C$7,BD!$A$3:$A$5001,"&lt;="&amp;$D$7,BD!$M$3:$M$5001,"&lt;&gt;")=0,"",SUMIFS(BD!$L$3:$L$5001,BD!$B$3:$B$5001,L$89,BD!$A$3:$A$5001,_xlfn.MAXIFS(BD!$A$3:$A$5001,BD!$B$3:$B$5001,L$89,BD!$A$3:$A$5001,"&gt;="&amp;$C$7,BD!$A$3:$A$5001,"&lt;="&amp;$D$7,BD!$M$3:$M$5001,"&lt;&gt;")))),"—"))</f>
        <v/>
      </c>
      <c r="M99" s="32" t="str">
        <f>IF(M$89="","",IF(Config!$M$46&lt;&gt;"Não",IF(N(IF(COUNTIFS(BD!$B$3:$B$5001,M$89,BD!$A$3:$A$5001,"&gt;="&amp;$C$7,BD!$A$3:$A$5001,"&lt;="&amp;$D$7,BD!$M$3:$M$5001,"&lt;&gt;")=0,"",SUMIFS(BD!$L$3:$L$5001,BD!$B$3:$B$5001,M$89,BD!$A$3:$A$5001,_xlfn.MAXIFS(BD!$A$3:$A$5001,BD!$B$3:$B$5001,M$89,BD!$A$3:$A$5001,"&gt;="&amp;$C$7,BD!$A$3:$A$5001,"&lt;="&amp;$D$7,BD!$M$3:$M$5001,"&lt;&gt;"))))=0,"",IF(COUNTIFS(BD!$B$3:$B$5001,M$89,BD!$A$3:$A$5001,"&gt;="&amp;$C$7,BD!$A$3:$A$5001,"&lt;="&amp;$D$7,BD!$M$3:$M$5001,"&lt;&gt;")=0,"",SUMIFS(BD!$L$3:$L$5001,BD!$B$3:$B$5001,M$89,BD!$A$3:$A$5001,_xlfn.MAXIFS(BD!$A$3:$A$5001,BD!$B$3:$B$5001,M$89,BD!$A$3:$A$5001,"&gt;="&amp;$C$7,BD!$A$3:$A$5001,"&lt;="&amp;$D$7,BD!$M$3:$M$5001,"&lt;&gt;")))),"—"))</f>
        <v/>
      </c>
      <c r="N99" s="32" t="str">
        <f>IF(N$89="","",IF(Config!$M$47&lt;&gt;"Não",IF(N(IF(COUNTIFS(BD!$B$3:$B$5001,N$89,BD!$A$3:$A$5001,"&gt;="&amp;$C$7,BD!$A$3:$A$5001,"&lt;="&amp;$D$7,BD!$M$3:$M$5001,"&lt;&gt;")=0,"",SUMIFS(BD!$L$3:$L$5001,BD!$B$3:$B$5001,N$89,BD!$A$3:$A$5001,_xlfn.MAXIFS(BD!$A$3:$A$5001,BD!$B$3:$B$5001,N$89,BD!$A$3:$A$5001,"&gt;="&amp;$C$7,BD!$A$3:$A$5001,"&lt;="&amp;$D$7,BD!$M$3:$M$5001,"&lt;&gt;"))))=0,"",IF(COUNTIFS(BD!$B$3:$B$5001,N$89,BD!$A$3:$A$5001,"&gt;="&amp;$C$7,BD!$A$3:$A$5001,"&lt;="&amp;$D$7,BD!$M$3:$M$5001,"&lt;&gt;")=0,"",SUMIFS(BD!$L$3:$L$5001,BD!$B$3:$B$5001,N$89,BD!$A$3:$A$5001,_xlfn.MAXIFS(BD!$A$3:$A$5001,BD!$B$3:$B$5001,N$89,BD!$A$3:$A$5001,"&gt;="&amp;$C$7,BD!$A$3:$A$5001,"&lt;="&amp;$D$7,BD!$M$3:$M$5001,"&lt;&gt;")))),"—"))</f>
        <v/>
      </c>
      <c r="O99" s="32" t="str">
        <f>IF(O$89="","",IF(Config!$M$48&lt;&gt;"Não",IF(N(IF(COUNTIFS(BD!$B$3:$B$5001,O$89,BD!$A$3:$A$5001,"&gt;="&amp;$C$7,BD!$A$3:$A$5001,"&lt;="&amp;$D$7,BD!$M$3:$M$5001,"&lt;&gt;")=0,"",SUMIFS(BD!$L$3:$L$5001,BD!$B$3:$B$5001,O$89,BD!$A$3:$A$5001,_xlfn.MAXIFS(BD!$A$3:$A$5001,BD!$B$3:$B$5001,O$89,BD!$A$3:$A$5001,"&gt;="&amp;$C$7,BD!$A$3:$A$5001,"&lt;="&amp;$D$7,BD!$M$3:$M$5001,"&lt;&gt;"))))=0,"",IF(COUNTIFS(BD!$B$3:$B$5001,O$89,BD!$A$3:$A$5001,"&gt;="&amp;$C$7,BD!$A$3:$A$5001,"&lt;="&amp;$D$7,BD!$M$3:$M$5001,"&lt;&gt;")=0,"",SUMIFS(BD!$L$3:$L$5001,BD!$B$3:$B$5001,O$89,BD!$A$3:$A$5001,_xlfn.MAXIFS(BD!$A$3:$A$5001,BD!$B$3:$B$5001,O$89,BD!$A$3:$A$5001,"&gt;="&amp;$C$7,BD!$A$3:$A$5001,"&lt;="&amp;$D$7,BD!$M$3:$M$5001,"&lt;&gt;")))),"—"))</f>
        <v/>
      </c>
      <c r="P99" s="32" t="str">
        <f>IF(P$89="","",IF(Config!$M$49&lt;&gt;"Não",IF(N(IF(COUNTIFS(BD!$B$3:$B$5001,P$89,BD!$A$3:$A$5001,"&gt;="&amp;$C$7,BD!$A$3:$A$5001,"&lt;="&amp;$D$7,BD!$M$3:$M$5001,"&lt;&gt;")=0,"",SUMIFS(BD!$L$3:$L$5001,BD!$B$3:$B$5001,P$89,BD!$A$3:$A$5001,_xlfn.MAXIFS(BD!$A$3:$A$5001,BD!$B$3:$B$5001,P$89,BD!$A$3:$A$5001,"&gt;="&amp;$C$7,BD!$A$3:$A$5001,"&lt;="&amp;$D$7,BD!$M$3:$M$5001,"&lt;&gt;"))))=0,"",IF(COUNTIFS(BD!$B$3:$B$5001,P$89,BD!$A$3:$A$5001,"&gt;="&amp;$C$7,BD!$A$3:$A$5001,"&lt;="&amp;$D$7,BD!$M$3:$M$5001,"&lt;&gt;")=0,"",SUMIFS(BD!$L$3:$L$5001,BD!$B$3:$B$5001,P$89,BD!$A$3:$A$5001,_xlfn.MAXIFS(BD!$A$3:$A$5001,BD!$B$3:$B$5001,P$89,BD!$A$3:$A$5001,"&gt;="&amp;$C$7,BD!$A$3:$A$5001,"&lt;="&amp;$D$7,BD!$M$3:$M$5001,"&lt;&gt;")))),"—"))</f>
        <v/>
      </c>
      <c r="Q99" s="32" t="str">
        <f>IF(Q$89="","",IF(Config!$M$50&lt;&gt;"Não",IF(N(IF(COUNTIFS(BD!$B$3:$B$5001,Q$89,BD!$A$3:$A$5001,"&gt;="&amp;$C$7,BD!$A$3:$A$5001,"&lt;="&amp;$D$7,BD!$M$3:$M$5001,"&lt;&gt;")=0,"",SUMIFS(BD!$L$3:$L$5001,BD!$B$3:$B$5001,Q$89,BD!$A$3:$A$5001,_xlfn.MAXIFS(BD!$A$3:$A$5001,BD!$B$3:$B$5001,Q$89,BD!$A$3:$A$5001,"&gt;="&amp;$C$7,BD!$A$3:$A$5001,"&lt;="&amp;$D$7,BD!$M$3:$M$5001,"&lt;&gt;"))))=0,"",IF(COUNTIFS(BD!$B$3:$B$5001,Q$89,BD!$A$3:$A$5001,"&gt;="&amp;$C$7,BD!$A$3:$A$5001,"&lt;="&amp;$D$7,BD!$M$3:$M$5001,"&lt;&gt;")=0,"",SUMIFS(BD!$L$3:$L$5001,BD!$B$3:$B$5001,Q$89,BD!$A$3:$A$5001,_xlfn.MAXIFS(BD!$A$3:$A$5001,BD!$B$3:$B$5001,Q$89,BD!$A$3:$A$5001,"&gt;="&amp;$C$7,BD!$A$3:$A$5001,"&lt;="&amp;$D$7,BD!$M$3:$M$5001,"&lt;&gt;")))),"—"))</f>
        <v/>
      </c>
      <c r="R99" s="32" t="str">
        <f>IF(R$89="","",IF(Config!$M$51&lt;&gt;"Não",IF(N(IF(COUNTIFS(BD!$B$3:$B$5001,R$89,BD!$A$3:$A$5001,"&gt;="&amp;$C$7,BD!$A$3:$A$5001,"&lt;="&amp;$D$7,BD!$M$3:$M$5001,"&lt;&gt;")=0,"",SUMIFS(BD!$L$3:$L$5001,BD!$B$3:$B$5001,R$89,BD!$A$3:$A$5001,_xlfn.MAXIFS(BD!$A$3:$A$5001,BD!$B$3:$B$5001,R$89,BD!$A$3:$A$5001,"&gt;="&amp;$C$7,BD!$A$3:$A$5001,"&lt;="&amp;$D$7,BD!$M$3:$M$5001,"&lt;&gt;"))))=0,"",IF(COUNTIFS(BD!$B$3:$B$5001,R$89,BD!$A$3:$A$5001,"&gt;="&amp;$C$7,BD!$A$3:$A$5001,"&lt;="&amp;$D$7,BD!$M$3:$M$5001,"&lt;&gt;")=0,"",SUMIFS(BD!$L$3:$L$5001,BD!$B$3:$B$5001,R$89,BD!$A$3:$A$5001,_xlfn.MAXIFS(BD!$A$3:$A$5001,BD!$B$3:$B$5001,R$89,BD!$A$3:$A$5001,"&gt;="&amp;$C$7,BD!$A$3:$A$5001,"&lt;="&amp;$D$7,BD!$M$3:$M$5001,"&lt;&gt;")))),"—"))</f>
        <v/>
      </c>
      <c r="S99" s="32" t="str">
        <f>IF(S$89="","",IF(Config!$M$52&lt;&gt;"Não",IF(N(IF(COUNTIFS(BD!$B$3:$B$5001,S$89,BD!$A$3:$A$5001,"&gt;="&amp;$C$7,BD!$A$3:$A$5001,"&lt;="&amp;$D$7,BD!$M$3:$M$5001,"&lt;&gt;")=0,"",SUMIFS(BD!$L$3:$L$5001,BD!$B$3:$B$5001,S$89,BD!$A$3:$A$5001,_xlfn.MAXIFS(BD!$A$3:$A$5001,BD!$B$3:$B$5001,S$89,BD!$A$3:$A$5001,"&gt;="&amp;$C$7,BD!$A$3:$A$5001,"&lt;="&amp;$D$7,BD!$M$3:$M$5001,"&lt;&gt;"))))=0,"",IF(COUNTIFS(BD!$B$3:$B$5001,S$89,BD!$A$3:$A$5001,"&gt;="&amp;$C$7,BD!$A$3:$A$5001,"&lt;="&amp;$D$7,BD!$M$3:$M$5001,"&lt;&gt;")=0,"",SUMIFS(BD!$L$3:$L$5001,BD!$B$3:$B$5001,S$89,BD!$A$3:$A$5001,_xlfn.MAXIFS(BD!$A$3:$A$5001,BD!$B$3:$B$5001,S$89,BD!$A$3:$A$5001,"&gt;="&amp;$C$7,BD!$A$3:$A$5001,"&lt;="&amp;$D$7,BD!$M$3:$M$5001,"&lt;&gt;")))),"—"))</f>
        <v/>
      </c>
      <c r="T99" s="32" t="str">
        <f>IF(T$89="","",IF(Config!$M$53&lt;&gt;"Não",IF(N(IF(COUNTIFS(BD!$B$3:$B$5001,T$89,BD!$A$3:$A$5001,"&gt;="&amp;$C$7,BD!$A$3:$A$5001,"&lt;="&amp;$D$7,BD!$M$3:$M$5001,"&lt;&gt;")=0,"",SUMIFS(BD!$L$3:$L$5001,BD!$B$3:$B$5001,T$89,BD!$A$3:$A$5001,_xlfn.MAXIFS(BD!$A$3:$A$5001,BD!$B$3:$B$5001,T$89,BD!$A$3:$A$5001,"&gt;="&amp;$C$7,BD!$A$3:$A$5001,"&lt;="&amp;$D$7,BD!$M$3:$M$5001,"&lt;&gt;"))))=0,"",IF(COUNTIFS(BD!$B$3:$B$5001,T$89,BD!$A$3:$A$5001,"&gt;="&amp;$C$7,BD!$A$3:$A$5001,"&lt;="&amp;$D$7,BD!$M$3:$M$5001,"&lt;&gt;")=0,"",SUMIFS(BD!$L$3:$L$5001,BD!$B$3:$B$5001,T$89,BD!$A$3:$A$5001,_xlfn.MAXIFS(BD!$A$3:$A$5001,BD!$B$3:$B$5001,T$89,BD!$A$3:$A$5001,"&gt;="&amp;$C$7,BD!$A$3:$A$5001,"&lt;="&amp;$D$7,BD!$M$3:$M$5001,"&lt;&gt;")))),"—"))</f>
        <v/>
      </c>
      <c r="U99" s="32" t="str">
        <f>IF(U$89="","",IF(Config!$M$54&lt;&gt;"Não",IF(N(IF(COUNTIFS(BD!$B$3:$B$5001,U$89,BD!$A$3:$A$5001,"&gt;="&amp;$C$7,BD!$A$3:$A$5001,"&lt;="&amp;$D$7,BD!$M$3:$M$5001,"&lt;&gt;")=0,"",SUMIFS(BD!$L$3:$L$5001,BD!$B$3:$B$5001,U$89,BD!$A$3:$A$5001,_xlfn.MAXIFS(BD!$A$3:$A$5001,BD!$B$3:$B$5001,U$89,BD!$A$3:$A$5001,"&gt;="&amp;$C$7,BD!$A$3:$A$5001,"&lt;="&amp;$D$7,BD!$M$3:$M$5001,"&lt;&gt;"))))=0,"",IF(COUNTIFS(BD!$B$3:$B$5001,U$89,BD!$A$3:$A$5001,"&gt;="&amp;$C$7,BD!$A$3:$A$5001,"&lt;="&amp;$D$7,BD!$M$3:$M$5001,"&lt;&gt;")=0,"",SUMIFS(BD!$L$3:$L$5001,BD!$B$3:$B$5001,U$89,BD!$A$3:$A$5001,_xlfn.MAXIFS(BD!$A$3:$A$5001,BD!$B$3:$B$5001,U$89,BD!$A$3:$A$5001,"&gt;="&amp;$C$7,BD!$A$3:$A$5001,"&lt;="&amp;$D$7,BD!$M$3:$M$5001,"&lt;&gt;")))),"—"))</f>
        <v/>
      </c>
      <c r="V99" s="62">
        <f>IF($B$4&gt;0,$B$4,SUM(B99:U99))</f>
        <v>5872</v>
      </c>
    </row>
    <row r="100">
      <c r="A100" s="29" t="inlineStr">
        <is>
          <t xml:space="preserve">OCUPAÇÃO (P.P) · Posições Ocupadas</t>
        </is>
      </c>
      <c r="B100" s="32" t="str">
        <f>IF(B$89="","",IF(Config!$N$35&lt;&gt;"Não",IF(COUNTIFS(BD!$B$3:$B$5001,B$89,BD!$A$3:$A$5001,"&gt;="&amp;$C$7,BD!$A$3:$A$5001,"&lt;="&amp;$D$7,BD!$M$3:$M$5001,"&lt;&gt;")=0,"",SUMIFS(BD!$M$3:$M$5001,BD!$B$3:$B$5001,B$89,BD!$A$3:$A$5001,_xlfn.MAXIFS(BD!$A$3:$A$5001,BD!$B$3:$B$5001,B$89,BD!$A$3:$A$5001,"&gt;="&amp;$C$7,BD!$A$3:$A$5001,"&lt;="&amp;$D$7,BD!$M$3:$M$5001,"&lt;&gt;"))),"—"))</f>
        <v/>
      </c>
      <c r="C100" s="32" t="str">
        <f>IF(C$89="","",IF(Config!$N$36&lt;&gt;"Não",IF(COUNTIFS(BD!$B$3:$B$5001,C$89,BD!$A$3:$A$5001,"&gt;="&amp;$C$7,BD!$A$3:$A$5001,"&lt;="&amp;$D$7,BD!$M$3:$M$5001,"&lt;&gt;")=0,"",SUMIFS(BD!$M$3:$M$5001,BD!$B$3:$B$5001,C$89,BD!$A$3:$A$5001,_xlfn.MAXIFS(BD!$A$3:$A$5001,BD!$B$3:$B$5001,C$89,BD!$A$3:$A$5001,"&gt;="&amp;$C$7,BD!$A$3:$A$5001,"&lt;="&amp;$D$7,BD!$M$3:$M$5001,"&lt;&gt;"))),"—"))</f>
        <v>—</v>
      </c>
      <c r="D100" s="32" t="str">
        <f>IF(D$89="","",IF(Config!$N$37&lt;&gt;"Não",IF(COUNTIFS(BD!$B$3:$B$5001,D$89,BD!$A$3:$A$5001,"&gt;="&amp;$C$7,BD!$A$3:$A$5001,"&lt;="&amp;$D$7,BD!$M$3:$M$5001,"&lt;&gt;")=0,"",SUMIFS(BD!$M$3:$M$5001,BD!$B$3:$B$5001,D$89,BD!$A$3:$A$5001,_xlfn.MAXIFS(BD!$A$3:$A$5001,BD!$B$3:$B$5001,D$89,BD!$A$3:$A$5001,"&gt;="&amp;$C$7,BD!$A$3:$A$5001,"&lt;="&amp;$D$7,BD!$M$3:$M$5001,"&lt;&gt;"))),"—"))</f>
        <v/>
      </c>
      <c r="E100" s="32" t="str">
        <f>IF(E$89="","",IF(Config!$N$38&lt;&gt;"Não",IF(COUNTIFS(BD!$B$3:$B$5001,E$89,BD!$A$3:$A$5001,"&gt;="&amp;$C$7,BD!$A$3:$A$5001,"&lt;="&amp;$D$7,BD!$M$3:$M$5001,"&lt;&gt;")=0,"",SUMIFS(BD!$M$3:$M$5001,BD!$B$3:$B$5001,E$89,BD!$A$3:$A$5001,_xlfn.MAXIFS(BD!$A$3:$A$5001,BD!$B$3:$B$5001,E$89,BD!$A$3:$A$5001,"&gt;="&amp;$C$7,BD!$A$3:$A$5001,"&lt;="&amp;$D$7,BD!$M$3:$M$5001,"&lt;&gt;"))),"—"))</f>
        <v/>
      </c>
      <c r="F100" s="32" t="str">
        <f>IF(F$89="","",IF(Config!$N$39&lt;&gt;"Não",IF(COUNTIFS(BD!$B$3:$B$5001,F$89,BD!$A$3:$A$5001,"&gt;="&amp;$C$7,BD!$A$3:$A$5001,"&lt;="&amp;$D$7,BD!$M$3:$M$5001,"&lt;&gt;")=0,"",SUMIFS(BD!$M$3:$M$5001,BD!$B$3:$B$5001,F$89,BD!$A$3:$A$5001,_xlfn.MAXIFS(BD!$A$3:$A$5001,BD!$B$3:$B$5001,F$89,BD!$A$3:$A$5001,"&gt;="&amp;$C$7,BD!$A$3:$A$5001,"&lt;="&amp;$D$7,BD!$M$3:$M$5001,"&lt;&gt;"))),"—"))</f>
        <v/>
      </c>
      <c r="G100" s="32" t="str">
        <f>IF(G$89="","",IF(Config!$N$40&lt;&gt;"Não",IF(COUNTIFS(BD!$B$3:$B$5001,G$89,BD!$A$3:$A$5001,"&gt;="&amp;$C$7,BD!$A$3:$A$5001,"&lt;="&amp;$D$7,BD!$M$3:$M$5001,"&lt;&gt;")=0,"",SUMIFS(BD!$M$3:$M$5001,BD!$B$3:$B$5001,G$89,BD!$A$3:$A$5001,_xlfn.MAXIFS(BD!$A$3:$A$5001,BD!$B$3:$B$5001,G$89,BD!$A$3:$A$5001,"&gt;="&amp;$C$7,BD!$A$3:$A$5001,"&lt;="&amp;$D$7,BD!$M$3:$M$5001,"&lt;&gt;"))),"—"))</f>
        <v/>
      </c>
      <c r="H100" s="32" t="str">
        <f>IF(H$89="","",IF(Config!$N$41&lt;&gt;"Não",IF(COUNTIFS(BD!$B$3:$B$5001,H$89,BD!$A$3:$A$5001,"&gt;="&amp;$C$7,BD!$A$3:$A$5001,"&lt;="&amp;$D$7,BD!$M$3:$M$5001,"&lt;&gt;")=0,"",SUMIFS(BD!$M$3:$M$5001,BD!$B$3:$B$5001,H$89,BD!$A$3:$A$5001,_xlfn.MAXIFS(BD!$A$3:$A$5001,BD!$B$3:$B$5001,H$89,BD!$A$3:$A$5001,"&gt;="&amp;$C$7,BD!$A$3:$A$5001,"&lt;="&amp;$D$7,BD!$M$3:$M$5001,"&lt;&gt;"))),"—"))</f>
        <v/>
      </c>
      <c r="I100" s="32" t="str">
        <f>IF(I$89="","",IF(Config!$N$42&lt;&gt;"Não",IF(COUNTIFS(BD!$B$3:$B$5001,I$89,BD!$A$3:$A$5001,"&gt;="&amp;$C$7,BD!$A$3:$A$5001,"&lt;="&amp;$D$7,BD!$M$3:$M$5001,"&lt;&gt;")=0,"",SUMIFS(BD!$M$3:$M$5001,BD!$B$3:$B$5001,I$89,BD!$A$3:$A$5001,_xlfn.MAXIFS(BD!$A$3:$A$5001,BD!$B$3:$B$5001,I$89,BD!$A$3:$A$5001,"&gt;="&amp;$C$7,BD!$A$3:$A$5001,"&lt;="&amp;$D$7,BD!$M$3:$M$5001,"&lt;&gt;"))),"—"))</f>
        <v/>
      </c>
      <c r="J100" s="32" t="str">
        <f>IF(J$89="","",IF(Config!$N$43&lt;&gt;"Não",IF(COUNTIFS(BD!$B$3:$B$5001,J$89,BD!$A$3:$A$5001,"&gt;="&amp;$C$7,BD!$A$3:$A$5001,"&lt;="&amp;$D$7,BD!$M$3:$M$5001,"&lt;&gt;")=0,"",SUMIFS(BD!$M$3:$M$5001,BD!$B$3:$B$5001,J$89,BD!$A$3:$A$5001,_xlfn.MAXIFS(BD!$A$3:$A$5001,BD!$B$3:$B$5001,J$89,BD!$A$3:$A$5001,"&gt;="&amp;$C$7,BD!$A$3:$A$5001,"&lt;="&amp;$D$7,BD!$M$3:$M$5001,"&lt;&gt;"))),"—"))</f>
        <v/>
      </c>
      <c r="K100" s="32" t="str">
        <f>IF(K$89="","",IF(Config!$N$44&lt;&gt;"Não",IF(COUNTIFS(BD!$B$3:$B$5001,K$89,BD!$A$3:$A$5001,"&gt;="&amp;$C$7,BD!$A$3:$A$5001,"&lt;="&amp;$D$7,BD!$M$3:$M$5001,"&lt;&gt;")=0,"",SUMIFS(BD!$M$3:$M$5001,BD!$B$3:$B$5001,K$89,BD!$A$3:$A$5001,_xlfn.MAXIFS(BD!$A$3:$A$5001,BD!$B$3:$B$5001,K$89,BD!$A$3:$A$5001,"&gt;="&amp;$C$7,BD!$A$3:$A$5001,"&lt;="&amp;$D$7,BD!$M$3:$M$5001,"&lt;&gt;"))),"—"))</f>
        <v/>
      </c>
      <c r="L100" s="32" t="str">
        <f>IF(L$89="","",IF(Config!$N$45&lt;&gt;"Não",IF(COUNTIFS(BD!$B$3:$B$5001,L$89,BD!$A$3:$A$5001,"&gt;="&amp;$C$7,BD!$A$3:$A$5001,"&lt;="&amp;$D$7,BD!$M$3:$M$5001,"&lt;&gt;")=0,"",SUMIFS(BD!$M$3:$M$5001,BD!$B$3:$B$5001,L$89,BD!$A$3:$A$5001,_xlfn.MAXIFS(BD!$A$3:$A$5001,BD!$B$3:$B$5001,L$89,BD!$A$3:$A$5001,"&gt;="&amp;$C$7,BD!$A$3:$A$5001,"&lt;="&amp;$D$7,BD!$M$3:$M$5001,"&lt;&gt;"))),"—"))</f>
        <v/>
      </c>
      <c r="M100" s="32" t="str">
        <f>IF(M$89="","",IF(Config!$N$46&lt;&gt;"Não",IF(COUNTIFS(BD!$B$3:$B$5001,M$89,BD!$A$3:$A$5001,"&gt;="&amp;$C$7,BD!$A$3:$A$5001,"&lt;="&amp;$D$7,BD!$M$3:$M$5001,"&lt;&gt;")=0,"",SUMIFS(BD!$M$3:$M$5001,BD!$B$3:$B$5001,M$89,BD!$A$3:$A$5001,_xlfn.MAXIFS(BD!$A$3:$A$5001,BD!$B$3:$B$5001,M$89,BD!$A$3:$A$5001,"&gt;="&amp;$C$7,BD!$A$3:$A$5001,"&lt;="&amp;$D$7,BD!$M$3:$M$5001,"&lt;&gt;"))),"—"))</f>
        <v/>
      </c>
      <c r="N100" s="32" t="str">
        <f>IF(N$89="","",IF(Config!$N$47&lt;&gt;"Não",IF(COUNTIFS(BD!$B$3:$B$5001,N$89,BD!$A$3:$A$5001,"&gt;="&amp;$C$7,BD!$A$3:$A$5001,"&lt;="&amp;$D$7,BD!$M$3:$M$5001,"&lt;&gt;")=0,"",SUMIFS(BD!$M$3:$M$5001,BD!$B$3:$B$5001,N$89,BD!$A$3:$A$5001,_xlfn.MAXIFS(BD!$A$3:$A$5001,BD!$B$3:$B$5001,N$89,BD!$A$3:$A$5001,"&gt;="&amp;$C$7,BD!$A$3:$A$5001,"&lt;="&amp;$D$7,BD!$M$3:$M$5001,"&lt;&gt;"))),"—"))</f>
        <v/>
      </c>
      <c r="O100" s="32" t="str">
        <f>IF(O$89="","",IF(Config!$N$48&lt;&gt;"Não",IF(COUNTIFS(BD!$B$3:$B$5001,O$89,BD!$A$3:$A$5001,"&gt;="&amp;$C$7,BD!$A$3:$A$5001,"&lt;="&amp;$D$7,BD!$M$3:$M$5001,"&lt;&gt;")=0,"",SUMIFS(BD!$M$3:$M$5001,BD!$B$3:$B$5001,O$89,BD!$A$3:$A$5001,_xlfn.MAXIFS(BD!$A$3:$A$5001,BD!$B$3:$B$5001,O$89,BD!$A$3:$A$5001,"&gt;="&amp;$C$7,BD!$A$3:$A$5001,"&lt;="&amp;$D$7,BD!$M$3:$M$5001,"&lt;&gt;"))),"—"))</f>
        <v/>
      </c>
      <c r="P100" s="32" t="str">
        <f>IF(P$89="","",IF(Config!$N$49&lt;&gt;"Não",IF(COUNTIFS(BD!$B$3:$B$5001,P$89,BD!$A$3:$A$5001,"&gt;="&amp;$C$7,BD!$A$3:$A$5001,"&lt;="&amp;$D$7,BD!$M$3:$M$5001,"&lt;&gt;")=0,"",SUMIFS(BD!$M$3:$M$5001,BD!$B$3:$B$5001,P$89,BD!$A$3:$A$5001,_xlfn.MAXIFS(BD!$A$3:$A$5001,BD!$B$3:$B$5001,P$89,BD!$A$3:$A$5001,"&gt;="&amp;$C$7,BD!$A$3:$A$5001,"&lt;="&amp;$D$7,BD!$M$3:$M$5001,"&lt;&gt;"))),"—"))</f>
        <v/>
      </c>
      <c r="Q100" s="32" t="str">
        <f>IF(Q$89="","",IF(Config!$N$50&lt;&gt;"Não",IF(COUNTIFS(BD!$B$3:$B$5001,Q$89,BD!$A$3:$A$5001,"&gt;="&amp;$C$7,BD!$A$3:$A$5001,"&lt;="&amp;$D$7,BD!$M$3:$M$5001,"&lt;&gt;")=0,"",SUMIFS(BD!$M$3:$M$5001,BD!$B$3:$B$5001,Q$89,BD!$A$3:$A$5001,_xlfn.MAXIFS(BD!$A$3:$A$5001,BD!$B$3:$B$5001,Q$89,BD!$A$3:$A$5001,"&gt;="&amp;$C$7,BD!$A$3:$A$5001,"&lt;="&amp;$D$7,BD!$M$3:$M$5001,"&lt;&gt;"))),"—"))</f>
        <v/>
      </c>
      <c r="R100" s="32" t="str">
        <f>IF(R$89="","",IF(Config!$N$51&lt;&gt;"Não",IF(COUNTIFS(BD!$B$3:$B$5001,R$89,BD!$A$3:$A$5001,"&gt;="&amp;$C$7,BD!$A$3:$A$5001,"&lt;="&amp;$D$7,BD!$M$3:$M$5001,"&lt;&gt;")=0,"",SUMIFS(BD!$M$3:$M$5001,BD!$B$3:$B$5001,R$89,BD!$A$3:$A$5001,_xlfn.MAXIFS(BD!$A$3:$A$5001,BD!$B$3:$B$5001,R$89,BD!$A$3:$A$5001,"&gt;="&amp;$C$7,BD!$A$3:$A$5001,"&lt;="&amp;$D$7,BD!$M$3:$M$5001,"&lt;&gt;"))),"—"))</f>
        <v/>
      </c>
      <c r="S100" s="32" t="str">
        <f>IF(S$89="","",IF(Config!$N$52&lt;&gt;"Não",IF(COUNTIFS(BD!$B$3:$B$5001,S$89,BD!$A$3:$A$5001,"&gt;="&amp;$C$7,BD!$A$3:$A$5001,"&lt;="&amp;$D$7,BD!$M$3:$M$5001,"&lt;&gt;")=0,"",SUMIFS(BD!$M$3:$M$5001,BD!$B$3:$B$5001,S$89,BD!$A$3:$A$5001,_xlfn.MAXIFS(BD!$A$3:$A$5001,BD!$B$3:$B$5001,S$89,BD!$A$3:$A$5001,"&gt;="&amp;$C$7,BD!$A$3:$A$5001,"&lt;="&amp;$D$7,BD!$M$3:$M$5001,"&lt;&gt;"))),"—"))</f>
        <v/>
      </c>
      <c r="T100" s="32" t="str">
        <f>IF(T$89="","",IF(Config!$N$53&lt;&gt;"Não",IF(COUNTIFS(BD!$B$3:$B$5001,T$89,BD!$A$3:$A$5001,"&gt;="&amp;$C$7,BD!$A$3:$A$5001,"&lt;="&amp;$D$7,BD!$M$3:$M$5001,"&lt;&gt;")=0,"",SUMIFS(BD!$M$3:$M$5001,BD!$B$3:$B$5001,T$89,BD!$A$3:$A$5001,_xlfn.MAXIFS(BD!$A$3:$A$5001,BD!$B$3:$B$5001,T$89,BD!$A$3:$A$5001,"&gt;="&amp;$C$7,BD!$A$3:$A$5001,"&lt;="&amp;$D$7,BD!$M$3:$M$5001,"&lt;&gt;"))),"—"))</f>
        <v/>
      </c>
      <c r="U100" s="32" t="str">
        <f>IF(U$89="","",IF(Config!$N$54&lt;&gt;"Não",IF(COUNTIFS(BD!$B$3:$B$5001,U$89,BD!$A$3:$A$5001,"&gt;="&amp;$C$7,BD!$A$3:$A$5001,"&lt;="&amp;$D$7,BD!$M$3:$M$5001,"&lt;&gt;")=0,"",SUMIFS(BD!$M$3:$M$5001,BD!$B$3:$B$5001,U$89,BD!$A$3:$A$5001,_xlfn.MAXIFS(BD!$A$3:$A$5001,BD!$B$3:$B$5001,U$89,BD!$A$3:$A$5001,"&gt;="&amp;$C$7,BD!$A$3:$A$5001,"&lt;="&amp;$D$7,BD!$M$3:$M$5001,"&lt;&gt;"))),"—"))</f>
        <v/>
      </c>
      <c r="V100" s="62">
        <f>SUM(B100:U100)</f>
        <v>0</v>
      </c>
    </row>
    <row r="101">
      <c r="A101" s="29" t="inlineStr">
        <is>
          <t xml:space="preserve">OCUPAÇÃO (P.P) · Taxa de Ocupação</t>
        </is>
      </c>
      <c r="B101" s="50" t="str">
        <f>IF(B$89="","",IF(AND(Config!$M$35&lt;&gt;"Não",Config!$N$35&lt;&gt;"Não"),IF(AND(ISNUMBER(B100),ISNUMBER(B99)),IF(B99&gt;0,B100/B99,""),""),"—"))</f>
        <v/>
      </c>
      <c r="C101" s="50" t="str">
        <f>IF(C$89="","",IF(AND(Config!$M$36&lt;&gt;"Não",Config!$N$36&lt;&gt;"Não"),IF(AND(ISNUMBER(C100),ISNUMBER(C99)),IF(C99&gt;0,C100/C99,""),""),"—"))</f>
        <v>—</v>
      </c>
      <c r="D101" s="50" t="str">
        <f>IF(D$89="","",IF(AND(Config!$M$37&lt;&gt;"Não",Config!$N$37&lt;&gt;"Não"),IF(AND(ISNUMBER(D100),ISNUMBER(D99)),IF(D99&gt;0,D100/D99,""),""),"—"))</f>
        <v>—</v>
      </c>
      <c r="E101" s="50" t="str">
        <f>IF(E$89="","",IF(AND(Config!$M$38&lt;&gt;"Não",Config!$N$38&lt;&gt;"Não"),IF(AND(ISNUMBER(E100),ISNUMBER(E99)),IF(E99&gt;0,E100/E99,""),""),"—"))</f>
        <v>—</v>
      </c>
      <c r="F101" s="50" t="str">
        <f>IF(F$89="","",IF(AND(Config!$M$39&lt;&gt;"Não",Config!$N$39&lt;&gt;"Não"),IF(AND(ISNUMBER(F100),ISNUMBER(F99)),IF(F99&gt;0,F100/F99,""),""),"—"))</f>
        <v/>
      </c>
      <c r="G101" s="50" t="str">
        <f>IF(G$89="","",IF(AND(Config!$M$40&lt;&gt;"Não",Config!$N$40&lt;&gt;"Não"),IF(AND(ISNUMBER(G100),ISNUMBER(G99)),IF(G99&gt;0,G100/G99,""),""),"—"))</f>
        <v/>
      </c>
      <c r="H101" s="50" t="str">
        <f>IF(H$89="","",IF(AND(Config!$M$41&lt;&gt;"Não",Config!$N$41&lt;&gt;"Não"),IF(AND(ISNUMBER(H100),ISNUMBER(H99)),IF(H99&gt;0,H100/H99,""),""),"—"))</f>
        <v/>
      </c>
      <c r="I101" s="50" t="str">
        <f>IF(I$89="","",IF(AND(Config!$M$42&lt;&gt;"Não",Config!$N$42&lt;&gt;"Não"),IF(AND(ISNUMBER(I100),ISNUMBER(I99)),IF(I99&gt;0,I100/I99,""),""),"—"))</f>
        <v/>
      </c>
      <c r="J101" s="50" t="str">
        <f>IF(J$89="","",IF(AND(Config!$M$43&lt;&gt;"Não",Config!$N$43&lt;&gt;"Não"),IF(AND(ISNUMBER(J100),ISNUMBER(J99)),IF(J99&gt;0,J100/J99,""),""),"—"))</f>
        <v/>
      </c>
      <c r="K101" s="50" t="str">
        <f>IF(K$89="","",IF(AND(Config!$M$44&lt;&gt;"Não",Config!$N$44&lt;&gt;"Não"),IF(AND(ISNUMBER(K100),ISNUMBER(K99)),IF(K99&gt;0,K100/K99,""),""),"—"))</f>
        <v/>
      </c>
      <c r="L101" s="50" t="str">
        <f>IF(L$89="","",IF(AND(Config!$M$45&lt;&gt;"Não",Config!$N$45&lt;&gt;"Não"),IF(AND(ISNUMBER(L100),ISNUMBER(L99)),IF(L99&gt;0,L100/L99,""),""),"—"))</f>
        <v/>
      </c>
      <c r="M101" s="50" t="str">
        <f>IF(M$89="","",IF(AND(Config!$M$46&lt;&gt;"Não",Config!$N$46&lt;&gt;"Não"),IF(AND(ISNUMBER(M100),ISNUMBER(M99)),IF(M99&gt;0,M100/M99,""),""),"—"))</f>
        <v/>
      </c>
      <c r="N101" s="50" t="str">
        <f>IF(N$89="","",IF(AND(Config!$M$47&lt;&gt;"Não",Config!$N$47&lt;&gt;"Não"),IF(AND(ISNUMBER(N100),ISNUMBER(N99)),IF(N99&gt;0,N100/N99,""),""),"—"))</f>
        <v/>
      </c>
      <c r="O101" s="50" t="str">
        <f>IF(O$89="","",IF(AND(Config!$M$48&lt;&gt;"Não",Config!$N$48&lt;&gt;"Não"),IF(AND(ISNUMBER(O100),ISNUMBER(O99)),IF(O99&gt;0,O100/O99,""),""),"—"))</f>
        <v/>
      </c>
      <c r="P101" s="50" t="str">
        <f>IF(P$89="","",IF(AND(Config!$M$49&lt;&gt;"Não",Config!$N$49&lt;&gt;"Não"),IF(AND(ISNUMBER(P100),ISNUMBER(P99)),IF(P99&gt;0,P100/P99,""),""),"—"))</f>
        <v/>
      </c>
      <c r="Q101" s="50" t="str">
        <f>IF(Q$89="","",IF(AND(Config!$M$50&lt;&gt;"Não",Config!$N$50&lt;&gt;"Não"),IF(AND(ISNUMBER(Q100),ISNUMBER(Q99)),IF(Q99&gt;0,Q100/Q99,""),""),"—"))</f>
        <v/>
      </c>
      <c r="R101" s="50" t="str">
        <f>IF(R$89="","",IF(AND(Config!$M$51&lt;&gt;"Não",Config!$N$51&lt;&gt;"Não"),IF(AND(ISNUMBER(R100),ISNUMBER(R99)),IF(R99&gt;0,R100/R99,""),""),"—"))</f>
        <v/>
      </c>
      <c r="S101" s="50" t="str">
        <f>IF(S$89="","",IF(AND(Config!$M$52&lt;&gt;"Não",Config!$N$52&lt;&gt;"Não"),IF(AND(ISNUMBER(S100),ISNUMBER(S99)),IF(S99&gt;0,S100/S99,""),""),"—"))</f>
        <v/>
      </c>
      <c r="T101" s="50" t="str">
        <f>IF(T$89="","",IF(AND(Config!$M$53&lt;&gt;"Não",Config!$N$53&lt;&gt;"Não"),IF(AND(ISNUMBER(T100),ISNUMBER(T99)),IF(T99&gt;0,T100/T99,""),""),"—"))</f>
        <v/>
      </c>
      <c r="U101" s="50" t="str">
        <f>IF(U$89="","",IF(AND(Config!$M$54&lt;&gt;"Não",Config!$N$54&lt;&gt;"Não"),IF(AND(ISNUMBER(U100),ISNUMBER(U99)),IF(U99&gt;0,U100/U99,""),""),"—"))</f>
        <v/>
      </c>
      <c r="V101" s="64">
        <f>IFERROR(V100/V99,"")</f>
        <v>0</v>
      </c>
    </row>
    <row r="102">
      <c r="A102" s="29" t="inlineStr">
        <is>
          <t xml:space="preserve">GENTE · Efetivo Op.</t>
        </is>
      </c>
      <c r="B102" s="32" t="str">
        <f>IF(B$89="","",IF(Config!$O$35&lt;&gt;"Não",IF(COUNTIFS(BD!$B$3:$B$5001,B$89,BD!$A$3:$A$5001,"&gt;="&amp;$C$7,BD!$A$3:$A$5001,"&lt;="&amp;$D$7,BD!$N$3:$N$5001,"&lt;&gt;")=0,"",SUMIFS(BD!$N$3:$N$5001,BD!$B$3:$B$5001,B$89,BD!$A$3:$A$5001,_xlfn.MAXIFS(BD!$A$3:$A$5001,BD!$B$3:$B$5001,B$89,BD!$A$3:$A$5001,"&gt;="&amp;$C$7,BD!$A$3:$A$5001,"&lt;="&amp;$D$7,BD!$N$3:$N$5001,"&lt;&gt;"))),"—"))</f>
        <v/>
      </c>
      <c r="C102" s="32" t="str">
        <f>IF(C$89="","",IF(Config!$O$36&lt;&gt;"Não",IF(COUNTIFS(BD!$B$3:$B$5001,C$89,BD!$A$3:$A$5001,"&gt;="&amp;$C$7,BD!$A$3:$A$5001,"&lt;="&amp;$D$7,BD!$N$3:$N$5001,"&lt;&gt;")=0,"",SUMIFS(BD!$N$3:$N$5001,BD!$B$3:$B$5001,C$89,BD!$A$3:$A$5001,_xlfn.MAXIFS(BD!$A$3:$A$5001,BD!$B$3:$B$5001,C$89,BD!$A$3:$A$5001,"&gt;="&amp;$C$7,BD!$A$3:$A$5001,"&lt;="&amp;$D$7,BD!$N$3:$N$5001,"&lt;&gt;"))),"—"))</f>
        <v/>
      </c>
      <c r="D102" s="32" t="str">
        <f>IF(D$89="","",IF(Config!$O$37&lt;&gt;"Não",IF(COUNTIFS(BD!$B$3:$B$5001,D$89,BD!$A$3:$A$5001,"&gt;="&amp;$C$7,BD!$A$3:$A$5001,"&lt;="&amp;$D$7,BD!$N$3:$N$5001,"&lt;&gt;")=0,"",SUMIFS(BD!$N$3:$N$5001,BD!$B$3:$B$5001,D$89,BD!$A$3:$A$5001,_xlfn.MAXIFS(BD!$A$3:$A$5001,BD!$B$3:$B$5001,D$89,BD!$A$3:$A$5001,"&gt;="&amp;$C$7,BD!$A$3:$A$5001,"&lt;="&amp;$D$7,BD!$N$3:$N$5001,"&lt;&gt;"))),"—"))</f>
        <v/>
      </c>
      <c r="E102" s="32" t="str">
        <f>IF(E$89="","",IF(Config!$O$38&lt;&gt;"Não",IF(COUNTIFS(BD!$B$3:$B$5001,E$89,BD!$A$3:$A$5001,"&gt;="&amp;$C$7,BD!$A$3:$A$5001,"&lt;="&amp;$D$7,BD!$N$3:$N$5001,"&lt;&gt;")=0,"",SUMIFS(BD!$N$3:$N$5001,BD!$B$3:$B$5001,E$89,BD!$A$3:$A$5001,_xlfn.MAXIFS(BD!$A$3:$A$5001,BD!$B$3:$B$5001,E$89,BD!$A$3:$A$5001,"&gt;="&amp;$C$7,BD!$A$3:$A$5001,"&lt;="&amp;$D$7,BD!$N$3:$N$5001,"&lt;&gt;"))),"—"))</f>
        <v/>
      </c>
      <c r="F102" s="32" t="str">
        <f>IF(F$89="","",IF(Config!$O$39&lt;&gt;"Não",IF(COUNTIFS(BD!$B$3:$B$5001,F$89,BD!$A$3:$A$5001,"&gt;="&amp;$C$7,BD!$A$3:$A$5001,"&lt;="&amp;$D$7,BD!$N$3:$N$5001,"&lt;&gt;")=0,"",SUMIFS(BD!$N$3:$N$5001,BD!$B$3:$B$5001,F$89,BD!$A$3:$A$5001,_xlfn.MAXIFS(BD!$A$3:$A$5001,BD!$B$3:$B$5001,F$89,BD!$A$3:$A$5001,"&gt;="&amp;$C$7,BD!$A$3:$A$5001,"&lt;="&amp;$D$7,BD!$N$3:$N$5001,"&lt;&gt;"))),"—"))</f>
        <v/>
      </c>
      <c r="G102" s="32" t="str">
        <f>IF(G$89="","",IF(Config!$O$40&lt;&gt;"Não",IF(COUNTIFS(BD!$B$3:$B$5001,G$89,BD!$A$3:$A$5001,"&gt;="&amp;$C$7,BD!$A$3:$A$5001,"&lt;="&amp;$D$7,BD!$N$3:$N$5001,"&lt;&gt;")=0,"",SUMIFS(BD!$N$3:$N$5001,BD!$B$3:$B$5001,G$89,BD!$A$3:$A$5001,_xlfn.MAXIFS(BD!$A$3:$A$5001,BD!$B$3:$B$5001,G$89,BD!$A$3:$A$5001,"&gt;="&amp;$C$7,BD!$A$3:$A$5001,"&lt;="&amp;$D$7,BD!$N$3:$N$5001,"&lt;&gt;"))),"—"))</f>
        <v/>
      </c>
      <c r="H102" s="32" t="str">
        <f>IF(H$89="","",IF(Config!$O$41&lt;&gt;"Não",IF(COUNTIFS(BD!$B$3:$B$5001,H$89,BD!$A$3:$A$5001,"&gt;="&amp;$C$7,BD!$A$3:$A$5001,"&lt;="&amp;$D$7,BD!$N$3:$N$5001,"&lt;&gt;")=0,"",SUMIFS(BD!$N$3:$N$5001,BD!$B$3:$B$5001,H$89,BD!$A$3:$A$5001,_xlfn.MAXIFS(BD!$A$3:$A$5001,BD!$B$3:$B$5001,H$89,BD!$A$3:$A$5001,"&gt;="&amp;$C$7,BD!$A$3:$A$5001,"&lt;="&amp;$D$7,BD!$N$3:$N$5001,"&lt;&gt;"))),"—"))</f>
        <v/>
      </c>
      <c r="I102" s="32" t="str">
        <f>IF(I$89="","",IF(Config!$O$42&lt;&gt;"Não",IF(COUNTIFS(BD!$B$3:$B$5001,I$89,BD!$A$3:$A$5001,"&gt;="&amp;$C$7,BD!$A$3:$A$5001,"&lt;="&amp;$D$7,BD!$N$3:$N$5001,"&lt;&gt;")=0,"",SUMIFS(BD!$N$3:$N$5001,BD!$B$3:$B$5001,I$89,BD!$A$3:$A$5001,_xlfn.MAXIFS(BD!$A$3:$A$5001,BD!$B$3:$B$5001,I$89,BD!$A$3:$A$5001,"&gt;="&amp;$C$7,BD!$A$3:$A$5001,"&lt;="&amp;$D$7,BD!$N$3:$N$5001,"&lt;&gt;"))),"—"))</f>
        <v/>
      </c>
      <c r="J102" s="32" t="str">
        <f>IF(J$89="","",IF(Config!$O$43&lt;&gt;"Não",IF(COUNTIFS(BD!$B$3:$B$5001,J$89,BD!$A$3:$A$5001,"&gt;="&amp;$C$7,BD!$A$3:$A$5001,"&lt;="&amp;$D$7,BD!$N$3:$N$5001,"&lt;&gt;")=0,"",SUMIFS(BD!$N$3:$N$5001,BD!$B$3:$B$5001,J$89,BD!$A$3:$A$5001,_xlfn.MAXIFS(BD!$A$3:$A$5001,BD!$B$3:$B$5001,J$89,BD!$A$3:$A$5001,"&gt;="&amp;$C$7,BD!$A$3:$A$5001,"&lt;="&amp;$D$7,BD!$N$3:$N$5001,"&lt;&gt;"))),"—"))</f>
        <v/>
      </c>
      <c r="K102" s="32" t="str">
        <f>IF(K$89="","",IF(Config!$O$44&lt;&gt;"Não",IF(COUNTIFS(BD!$B$3:$B$5001,K$89,BD!$A$3:$A$5001,"&gt;="&amp;$C$7,BD!$A$3:$A$5001,"&lt;="&amp;$D$7,BD!$N$3:$N$5001,"&lt;&gt;")=0,"",SUMIFS(BD!$N$3:$N$5001,BD!$B$3:$B$5001,K$89,BD!$A$3:$A$5001,_xlfn.MAXIFS(BD!$A$3:$A$5001,BD!$B$3:$B$5001,K$89,BD!$A$3:$A$5001,"&gt;="&amp;$C$7,BD!$A$3:$A$5001,"&lt;="&amp;$D$7,BD!$N$3:$N$5001,"&lt;&gt;"))),"—"))</f>
        <v/>
      </c>
      <c r="L102" s="32" t="str">
        <f>IF(L$89="","",IF(Config!$O$45&lt;&gt;"Não",IF(COUNTIFS(BD!$B$3:$B$5001,L$89,BD!$A$3:$A$5001,"&gt;="&amp;$C$7,BD!$A$3:$A$5001,"&lt;="&amp;$D$7,BD!$N$3:$N$5001,"&lt;&gt;")=0,"",SUMIFS(BD!$N$3:$N$5001,BD!$B$3:$B$5001,L$89,BD!$A$3:$A$5001,_xlfn.MAXIFS(BD!$A$3:$A$5001,BD!$B$3:$B$5001,L$89,BD!$A$3:$A$5001,"&gt;="&amp;$C$7,BD!$A$3:$A$5001,"&lt;="&amp;$D$7,BD!$N$3:$N$5001,"&lt;&gt;"))),"—"))</f>
        <v/>
      </c>
      <c r="M102" s="32" t="str">
        <f>IF(M$89="","",IF(Config!$O$46&lt;&gt;"Não",IF(COUNTIFS(BD!$B$3:$B$5001,M$89,BD!$A$3:$A$5001,"&gt;="&amp;$C$7,BD!$A$3:$A$5001,"&lt;="&amp;$D$7,BD!$N$3:$N$5001,"&lt;&gt;")=0,"",SUMIFS(BD!$N$3:$N$5001,BD!$B$3:$B$5001,M$89,BD!$A$3:$A$5001,_xlfn.MAXIFS(BD!$A$3:$A$5001,BD!$B$3:$B$5001,M$89,BD!$A$3:$A$5001,"&gt;="&amp;$C$7,BD!$A$3:$A$5001,"&lt;="&amp;$D$7,BD!$N$3:$N$5001,"&lt;&gt;"))),"—"))</f>
        <v/>
      </c>
      <c r="N102" s="32" t="str">
        <f>IF(N$89="","",IF(Config!$O$47&lt;&gt;"Não",IF(COUNTIFS(BD!$B$3:$B$5001,N$89,BD!$A$3:$A$5001,"&gt;="&amp;$C$7,BD!$A$3:$A$5001,"&lt;="&amp;$D$7,BD!$N$3:$N$5001,"&lt;&gt;")=0,"",SUMIFS(BD!$N$3:$N$5001,BD!$B$3:$B$5001,N$89,BD!$A$3:$A$5001,_xlfn.MAXIFS(BD!$A$3:$A$5001,BD!$B$3:$B$5001,N$89,BD!$A$3:$A$5001,"&gt;="&amp;$C$7,BD!$A$3:$A$5001,"&lt;="&amp;$D$7,BD!$N$3:$N$5001,"&lt;&gt;"))),"—"))</f>
        <v/>
      </c>
      <c r="O102" s="32" t="str">
        <f>IF(O$89="","",IF(Config!$O$48&lt;&gt;"Não",IF(COUNTIFS(BD!$B$3:$B$5001,O$89,BD!$A$3:$A$5001,"&gt;="&amp;$C$7,BD!$A$3:$A$5001,"&lt;="&amp;$D$7,BD!$N$3:$N$5001,"&lt;&gt;")=0,"",SUMIFS(BD!$N$3:$N$5001,BD!$B$3:$B$5001,O$89,BD!$A$3:$A$5001,_xlfn.MAXIFS(BD!$A$3:$A$5001,BD!$B$3:$B$5001,O$89,BD!$A$3:$A$5001,"&gt;="&amp;$C$7,BD!$A$3:$A$5001,"&lt;="&amp;$D$7,BD!$N$3:$N$5001,"&lt;&gt;"))),"—"))</f>
        <v/>
      </c>
      <c r="P102" s="32" t="str">
        <f>IF(P$89="","",IF(Config!$O$49&lt;&gt;"Não",IF(COUNTIFS(BD!$B$3:$B$5001,P$89,BD!$A$3:$A$5001,"&gt;="&amp;$C$7,BD!$A$3:$A$5001,"&lt;="&amp;$D$7,BD!$N$3:$N$5001,"&lt;&gt;")=0,"",SUMIFS(BD!$N$3:$N$5001,BD!$B$3:$B$5001,P$89,BD!$A$3:$A$5001,_xlfn.MAXIFS(BD!$A$3:$A$5001,BD!$B$3:$B$5001,P$89,BD!$A$3:$A$5001,"&gt;="&amp;$C$7,BD!$A$3:$A$5001,"&lt;="&amp;$D$7,BD!$N$3:$N$5001,"&lt;&gt;"))),"—"))</f>
        <v/>
      </c>
      <c r="Q102" s="32" t="str">
        <f>IF(Q$89="","",IF(Config!$O$50&lt;&gt;"Não",IF(COUNTIFS(BD!$B$3:$B$5001,Q$89,BD!$A$3:$A$5001,"&gt;="&amp;$C$7,BD!$A$3:$A$5001,"&lt;="&amp;$D$7,BD!$N$3:$N$5001,"&lt;&gt;")=0,"",SUMIFS(BD!$N$3:$N$5001,BD!$B$3:$B$5001,Q$89,BD!$A$3:$A$5001,_xlfn.MAXIFS(BD!$A$3:$A$5001,BD!$B$3:$B$5001,Q$89,BD!$A$3:$A$5001,"&gt;="&amp;$C$7,BD!$A$3:$A$5001,"&lt;="&amp;$D$7,BD!$N$3:$N$5001,"&lt;&gt;"))),"—"))</f>
        <v/>
      </c>
      <c r="R102" s="32" t="str">
        <f>IF(R$89="","",IF(Config!$O$51&lt;&gt;"Não",IF(COUNTIFS(BD!$B$3:$B$5001,R$89,BD!$A$3:$A$5001,"&gt;="&amp;$C$7,BD!$A$3:$A$5001,"&lt;="&amp;$D$7,BD!$N$3:$N$5001,"&lt;&gt;")=0,"",SUMIFS(BD!$N$3:$N$5001,BD!$B$3:$B$5001,R$89,BD!$A$3:$A$5001,_xlfn.MAXIFS(BD!$A$3:$A$5001,BD!$B$3:$B$5001,R$89,BD!$A$3:$A$5001,"&gt;="&amp;$C$7,BD!$A$3:$A$5001,"&lt;="&amp;$D$7,BD!$N$3:$N$5001,"&lt;&gt;"))),"—"))</f>
        <v/>
      </c>
      <c r="S102" s="32" t="str">
        <f>IF(S$89="","",IF(Config!$O$52&lt;&gt;"Não",IF(COUNTIFS(BD!$B$3:$B$5001,S$89,BD!$A$3:$A$5001,"&gt;="&amp;$C$7,BD!$A$3:$A$5001,"&lt;="&amp;$D$7,BD!$N$3:$N$5001,"&lt;&gt;")=0,"",SUMIFS(BD!$N$3:$N$5001,BD!$B$3:$B$5001,S$89,BD!$A$3:$A$5001,_xlfn.MAXIFS(BD!$A$3:$A$5001,BD!$B$3:$B$5001,S$89,BD!$A$3:$A$5001,"&gt;="&amp;$C$7,BD!$A$3:$A$5001,"&lt;="&amp;$D$7,BD!$N$3:$N$5001,"&lt;&gt;"))),"—"))</f>
        <v/>
      </c>
      <c r="T102" s="32" t="str">
        <f>IF(T$89="","",IF(Config!$O$53&lt;&gt;"Não",IF(COUNTIFS(BD!$B$3:$B$5001,T$89,BD!$A$3:$A$5001,"&gt;="&amp;$C$7,BD!$A$3:$A$5001,"&lt;="&amp;$D$7,BD!$N$3:$N$5001,"&lt;&gt;")=0,"",SUMIFS(BD!$N$3:$N$5001,BD!$B$3:$B$5001,T$89,BD!$A$3:$A$5001,_xlfn.MAXIFS(BD!$A$3:$A$5001,BD!$B$3:$B$5001,T$89,BD!$A$3:$A$5001,"&gt;="&amp;$C$7,BD!$A$3:$A$5001,"&lt;="&amp;$D$7,BD!$N$3:$N$5001,"&lt;&gt;"))),"—"))</f>
        <v/>
      </c>
      <c r="U102" s="32" t="str">
        <f>IF(U$89="","",IF(Config!$O$54&lt;&gt;"Não",IF(COUNTIFS(BD!$B$3:$B$5001,U$89,BD!$A$3:$A$5001,"&gt;="&amp;$C$7,BD!$A$3:$A$5001,"&lt;="&amp;$D$7,BD!$N$3:$N$5001,"&lt;&gt;")=0,"",SUMIFS(BD!$N$3:$N$5001,BD!$B$3:$B$5001,U$89,BD!$A$3:$A$5001,_xlfn.MAXIFS(BD!$A$3:$A$5001,BD!$B$3:$B$5001,U$89,BD!$A$3:$A$5001,"&gt;="&amp;$C$7,BD!$A$3:$A$5001,"&lt;="&amp;$D$7,BD!$N$3:$N$5001,"&lt;&gt;"))),"—"))</f>
        <v/>
      </c>
      <c r="V102" s="62">
        <f>SUM(B102:U102)</f>
        <v>0</v>
      </c>
    </row>
    <row r="103">
      <c r="A103" s="29" t="inlineStr">
        <is>
          <t xml:space="preserve">GENTE · Falta</t>
        </is>
      </c>
      <c r="B103" s="32">
        <f>IF(B$89="","",IF(Config!$P$35&lt;&gt;"Não",SUMIFS(BD!$O$3:$O$5001,BD!$B$3:$B$5001,B$89,BD!$A$3:$A$5001,"&gt;="&amp;$C$7,BD!$A$3:$A$5001,"&lt;="&amp;$D$7),"—"))</f>
        <v>0</v>
      </c>
      <c r="C103" s="32">
        <f>IF(C$89="","",IF(Config!$P$36&lt;&gt;"Não",SUMIFS(BD!$O$3:$O$5001,BD!$B$3:$B$5001,C$89,BD!$A$3:$A$5001,"&gt;="&amp;$C$7,BD!$A$3:$A$5001,"&lt;="&amp;$D$7),"—"))</f>
        <v>0</v>
      </c>
      <c r="D103" s="32">
        <f>IF(D$89="","",IF(Config!$P$37&lt;&gt;"Não",SUMIFS(BD!$O$3:$O$5001,BD!$B$3:$B$5001,D$89,BD!$A$3:$A$5001,"&gt;="&amp;$C$7,BD!$A$3:$A$5001,"&lt;="&amp;$D$7),"—"))</f>
        <v>0</v>
      </c>
      <c r="E103" s="32">
        <f>IF(E$89="","",IF(Config!$P$38&lt;&gt;"Não",SUMIFS(BD!$O$3:$O$5001,BD!$B$3:$B$5001,E$89,BD!$A$3:$A$5001,"&gt;="&amp;$C$7,BD!$A$3:$A$5001,"&lt;="&amp;$D$7),"—"))</f>
        <v>0</v>
      </c>
      <c r="F103" s="32">
        <f>IF(F$89="","",IF(Config!$P$39&lt;&gt;"Não",SUMIFS(BD!$O$3:$O$5001,BD!$B$3:$B$5001,F$89,BD!$A$3:$A$5001,"&gt;="&amp;$C$7,BD!$A$3:$A$5001,"&lt;="&amp;$D$7),"—"))</f>
        <v>0</v>
      </c>
      <c r="G103" s="32" t="str">
        <f>IF(G$89="","",IF(Config!$P$40&lt;&gt;"Não",SUMIFS(BD!$O$3:$O$5001,BD!$B$3:$B$5001,G$89,BD!$A$3:$A$5001,"&gt;="&amp;$C$7,BD!$A$3:$A$5001,"&lt;="&amp;$D$7),"—"))</f>
        <v/>
      </c>
      <c r="H103" s="32" t="str">
        <f>IF(H$89="","",IF(Config!$P$41&lt;&gt;"Não",SUMIFS(BD!$O$3:$O$5001,BD!$B$3:$B$5001,H$89,BD!$A$3:$A$5001,"&gt;="&amp;$C$7,BD!$A$3:$A$5001,"&lt;="&amp;$D$7),"—"))</f>
        <v/>
      </c>
      <c r="I103" s="32" t="str">
        <f>IF(I$89="","",IF(Config!$P$42&lt;&gt;"Não",SUMIFS(BD!$O$3:$O$5001,BD!$B$3:$B$5001,I$89,BD!$A$3:$A$5001,"&gt;="&amp;$C$7,BD!$A$3:$A$5001,"&lt;="&amp;$D$7),"—"))</f>
        <v/>
      </c>
      <c r="J103" s="32" t="str">
        <f>IF(J$89="","",IF(Config!$P$43&lt;&gt;"Não",SUMIFS(BD!$O$3:$O$5001,BD!$B$3:$B$5001,J$89,BD!$A$3:$A$5001,"&gt;="&amp;$C$7,BD!$A$3:$A$5001,"&lt;="&amp;$D$7),"—"))</f>
        <v/>
      </c>
      <c r="K103" s="32" t="str">
        <f>IF(K$89="","",IF(Config!$P$44&lt;&gt;"Não",SUMIFS(BD!$O$3:$O$5001,BD!$B$3:$B$5001,K$89,BD!$A$3:$A$5001,"&gt;="&amp;$C$7,BD!$A$3:$A$5001,"&lt;="&amp;$D$7),"—"))</f>
        <v/>
      </c>
      <c r="L103" s="32" t="str">
        <f>IF(L$89="","",IF(Config!$P$45&lt;&gt;"Não",SUMIFS(BD!$O$3:$O$5001,BD!$B$3:$B$5001,L$89,BD!$A$3:$A$5001,"&gt;="&amp;$C$7,BD!$A$3:$A$5001,"&lt;="&amp;$D$7),"—"))</f>
        <v/>
      </c>
      <c r="M103" s="32" t="str">
        <f>IF(M$89="","",IF(Config!$P$46&lt;&gt;"Não",SUMIFS(BD!$O$3:$O$5001,BD!$B$3:$B$5001,M$89,BD!$A$3:$A$5001,"&gt;="&amp;$C$7,BD!$A$3:$A$5001,"&lt;="&amp;$D$7),"—"))</f>
        <v/>
      </c>
      <c r="N103" s="32" t="str">
        <f>IF(N$89="","",IF(Config!$P$47&lt;&gt;"Não",SUMIFS(BD!$O$3:$O$5001,BD!$B$3:$B$5001,N$89,BD!$A$3:$A$5001,"&gt;="&amp;$C$7,BD!$A$3:$A$5001,"&lt;="&amp;$D$7),"—"))</f>
        <v/>
      </c>
      <c r="O103" s="32" t="str">
        <f>IF(O$89="","",IF(Config!$P$48&lt;&gt;"Não",SUMIFS(BD!$O$3:$O$5001,BD!$B$3:$B$5001,O$89,BD!$A$3:$A$5001,"&gt;="&amp;$C$7,BD!$A$3:$A$5001,"&lt;="&amp;$D$7),"—"))</f>
        <v/>
      </c>
      <c r="P103" s="32" t="str">
        <f>IF(P$89="","",IF(Config!$P$49&lt;&gt;"Não",SUMIFS(BD!$O$3:$O$5001,BD!$B$3:$B$5001,P$89,BD!$A$3:$A$5001,"&gt;="&amp;$C$7,BD!$A$3:$A$5001,"&lt;="&amp;$D$7),"—"))</f>
        <v/>
      </c>
      <c r="Q103" s="32" t="str">
        <f>IF(Q$89="","",IF(Config!$P$50&lt;&gt;"Não",SUMIFS(BD!$O$3:$O$5001,BD!$B$3:$B$5001,Q$89,BD!$A$3:$A$5001,"&gt;="&amp;$C$7,BD!$A$3:$A$5001,"&lt;="&amp;$D$7),"—"))</f>
        <v/>
      </c>
      <c r="R103" s="32" t="str">
        <f>IF(R$89="","",IF(Config!$P$51&lt;&gt;"Não",SUMIFS(BD!$O$3:$O$5001,BD!$B$3:$B$5001,R$89,BD!$A$3:$A$5001,"&gt;="&amp;$C$7,BD!$A$3:$A$5001,"&lt;="&amp;$D$7),"—"))</f>
        <v/>
      </c>
      <c r="S103" s="32" t="str">
        <f>IF(S$89="","",IF(Config!$P$52&lt;&gt;"Não",SUMIFS(BD!$O$3:$O$5001,BD!$B$3:$B$5001,S$89,BD!$A$3:$A$5001,"&gt;="&amp;$C$7,BD!$A$3:$A$5001,"&lt;="&amp;$D$7),"—"))</f>
        <v/>
      </c>
      <c r="T103" s="32" t="str">
        <f>IF(T$89="","",IF(Config!$P$53&lt;&gt;"Não",SUMIFS(BD!$O$3:$O$5001,BD!$B$3:$B$5001,T$89,BD!$A$3:$A$5001,"&gt;="&amp;$C$7,BD!$A$3:$A$5001,"&lt;="&amp;$D$7),"—"))</f>
        <v/>
      </c>
      <c r="U103" s="32" t="str">
        <f>IF(U$89="","",IF(Config!$P$54&lt;&gt;"Não",SUMIFS(BD!$O$3:$O$5001,BD!$B$3:$B$5001,U$89,BD!$A$3:$A$5001,"&gt;="&amp;$C$7,BD!$A$3:$A$5001,"&lt;="&amp;$D$7),"—"))</f>
        <v/>
      </c>
      <c r="V103" s="62">
        <f>SUM(B103:U103)</f>
        <v>0</v>
      </c>
    </row>
    <row r="104">
      <c r="A104" s="29" t="inlineStr">
        <is>
          <t xml:space="preserve">GENTE · Folga</t>
        </is>
      </c>
      <c r="B104" s="32">
        <f>IF(B$89="","",IF(Config!$Q$35&lt;&gt;"Não",SUMIFS(BD!$P$3:$P$5001,BD!$B$3:$B$5001,B$89,BD!$A$3:$A$5001,"&gt;="&amp;$C$7,BD!$A$3:$A$5001,"&lt;="&amp;$D$7),"—"))</f>
        <v>0</v>
      </c>
      <c r="C104" s="32">
        <f>IF(C$89="","",IF(Config!$Q$36&lt;&gt;"Não",SUMIFS(BD!$P$3:$P$5001,BD!$B$3:$B$5001,C$89,BD!$A$3:$A$5001,"&gt;="&amp;$C$7,BD!$A$3:$A$5001,"&lt;="&amp;$D$7),"—"))</f>
        <v>0</v>
      </c>
      <c r="D104" s="32">
        <f>IF(D$89="","",IF(Config!$Q$37&lt;&gt;"Não",SUMIFS(BD!$P$3:$P$5001,BD!$B$3:$B$5001,D$89,BD!$A$3:$A$5001,"&gt;="&amp;$C$7,BD!$A$3:$A$5001,"&lt;="&amp;$D$7),"—"))</f>
        <v>0</v>
      </c>
      <c r="E104" s="32">
        <f>IF(E$89="","",IF(Config!$Q$38&lt;&gt;"Não",SUMIFS(BD!$P$3:$P$5001,BD!$B$3:$B$5001,E$89,BD!$A$3:$A$5001,"&gt;="&amp;$C$7,BD!$A$3:$A$5001,"&lt;="&amp;$D$7),"—"))</f>
        <v>0</v>
      </c>
      <c r="F104" s="32">
        <f>IF(F$89="","",IF(Config!$Q$39&lt;&gt;"Não",SUMIFS(BD!$P$3:$P$5001,BD!$B$3:$B$5001,F$89,BD!$A$3:$A$5001,"&gt;="&amp;$C$7,BD!$A$3:$A$5001,"&lt;="&amp;$D$7),"—"))</f>
        <v>0</v>
      </c>
      <c r="G104" s="32" t="str">
        <f>IF(G$89="","",IF(Config!$Q$40&lt;&gt;"Não",SUMIFS(BD!$P$3:$P$5001,BD!$B$3:$B$5001,G$89,BD!$A$3:$A$5001,"&gt;="&amp;$C$7,BD!$A$3:$A$5001,"&lt;="&amp;$D$7),"—"))</f>
        <v/>
      </c>
      <c r="H104" s="32" t="str">
        <f>IF(H$89="","",IF(Config!$Q$41&lt;&gt;"Não",SUMIFS(BD!$P$3:$P$5001,BD!$B$3:$B$5001,H$89,BD!$A$3:$A$5001,"&gt;="&amp;$C$7,BD!$A$3:$A$5001,"&lt;="&amp;$D$7),"—"))</f>
        <v/>
      </c>
      <c r="I104" s="32" t="str">
        <f>IF(I$89="","",IF(Config!$Q$42&lt;&gt;"Não",SUMIFS(BD!$P$3:$P$5001,BD!$B$3:$B$5001,I$89,BD!$A$3:$A$5001,"&gt;="&amp;$C$7,BD!$A$3:$A$5001,"&lt;="&amp;$D$7),"—"))</f>
        <v/>
      </c>
      <c r="J104" s="32" t="str">
        <f>IF(J$89="","",IF(Config!$Q$43&lt;&gt;"Não",SUMIFS(BD!$P$3:$P$5001,BD!$B$3:$B$5001,J$89,BD!$A$3:$A$5001,"&gt;="&amp;$C$7,BD!$A$3:$A$5001,"&lt;="&amp;$D$7),"—"))</f>
        <v/>
      </c>
      <c r="K104" s="32" t="str">
        <f>IF(K$89="","",IF(Config!$Q$44&lt;&gt;"Não",SUMIFS(BD!$P$3:$P$5001,BD!$B$3:$B$5001,K$89,BD!$A$3:$A$5001,"&gt;="&amp;$C$7,BD!$A$3:$A$5001,"&lt;="&amp;$D$7),"—"))</f>
        <v/>
      </c>
      <c r="L104" s="32" t="str">
        <f>IF(L$89="","",IF(Config!$Q$45&lt;&gt;"Não",SUMIFS(BD!$P$3:$P$5001,BD!$B$3:$B$5001,L$89,BD!$A$3:$A$5001,"&gt;="&amp;$C$7,BD!$A$3:$A$5001,"&lt;="&amp;$D$7),"—"))</f>
        <v/>
      </c>
      <c r="M104" s="32" t="str">
        <f>IF(M$89="","",IF(Config!$Q$46&lt;&gt;"Não",SUMIFS(BD!$P$3:$P$5001,BD!$B$3:$B$5001,M$89,BD!$A$3:$A$5001,"&gt;="&amp;$C$7,BD!$A$3:$A$5001,"&lt;="&amp;$D$7),"—"))</f>
        <v/>
      </c>
      <c r="N104" s="32" t="str">
        <f>IF(N$89="","",IF(Config!$Q$47&lt;&gt;"Não",SUMIFS(BD!$P$3:$P$5001,BD!$B$3:$B$5001,N$89,BD!$A$3:$A$5001,"&gt;="&amp;$C$7,BD!$A$3:$A$5001,"&lt;="&amp;$D$7),"—"))</f>
        <v/>
      </c>
      <c r="O104" s="32" t="str">
        <f>IF(O$89="","",IF(Config!$Q$48&lt;&gt;"Não",SUMIFS(BD!$P$3:$P$5001,BD!$B$3:$B$5001,O$89,BD!$A$3:$A$5001,"&gt;="&amp;$C$7,BD!$A$3:$A$5001,"&lt;="&amp;$D$7),"—"))</f>
        <v/>
      </c>
      <c r="P104" s="32" t="str">
        <f>IF(P$89="","",IF(Config!$Q$49&lt;&gt;"Não",SUMIFS(BD!$P$3:$P$5001,BD!$B$3:$B$5001,P$89,BD!$A$3:$A$5001,"&gt;="&amp;$C$7,BD!$A$3:$A$5001,"&lt;="&amp;$D$7),"—"))</f>
        <v/>
      </c>
      <c r="Q104" s="32" t="str">
        <f>IF(Q$89="","",IF(Config!$Q$50&lt;&gt;"Não",SUMIFS(BD!$P$3:$P$5001,BD!$B$3:$B$5001,Q$89,BD!$A$3:$A$5001,"&gt;="&amp;$C$7,BD!$A$3:$A$5001,"&lt;="&amp;$D$7),"—"))</f>
        <v/>
      </c>
      <c r="R104" s="32" t="str">
        <f>IF(R$89="","",IF(Config!$Q$51&lt;&gt;"Não",SUMIFS(BD!$P$3:$P$5001,BD!$B$3:$B$5001,R$89,BD!$A$3:$A$5001,"&gt;="&amp;$C$7,BD!$A$3:$A$5001,"&lt;="&amp;$D$7),"—"))</f>
        <v/>
      </c>
      <c r="S104" s="32" t="str">
        <f>IF(S$89="","",IF(Config!$Q$52&lt;&gt;"Não",SUMIFS(BD!$P$3:$P$5001,BD!$B$3:$B$5001,S$89,BD!$A$3:$A$5001,"&gt;="&amp;$C$7,BD!$A$3:$A$5001,"&lt;="&amp;$D$7),"—"))</f>
        <v/>
      </c>
      <c r="T104" s="32" t="str">
        <f>IF(T$89="","",IF(Config!$Q$53&lt;&gt;"Não",SUMIFS(BD!$P$3:$P$5001,BD!$B$3:$B$5001,T$89,BD!$A$3:$A$5001,"&gt;="&amp;$C$7,BD!$A$3:$A$5001,"&lt;="&amp;$D$7),"—"))</f>
        <v/>
      </c>
      <c r="U104" s="32" t="str">
        <f>IF(U$89="","",IF(Config!$Q$54&lt;&gt;"Não",SUMIFS(BD!$P$3:$P$5001,BD!$B$3:$B$5001,U$89,BD!$A$3:$A$5001,"&gt;="&amp;$C$7,BD!$A$3:$A$5001,"&lt;="&amp;$D$7),"—"))</f>
        <v/>
      </c>
      <c r="V104" s="62">
        <f>SUM(B104:U104)</f>
        <v>0</v>
      </c>
    </row>
    <row r="105">
      <c r="A105" s="29" t="inlineStr">
        <is>
          <t xml:space="preserve">GENTE · Férias</t>
        </is>
      </c>
      <c r="B105" s="32">
        <f>IF(B$89="","",IF(Config!$R$35&lt;&gt;"Não",SUMIFS(BD!$Q$3:$Q$5001,BD!$B$3:$B$5001,B$89,BD!$A$3:$A$5001,"&gt;="&amp;$C$7,BD!$A$3:$A$5001,"&lt;="&amp;$D$7),"—"))</f>
        <v>0</v>
      </c>
      <c r="C105" s="32">
        <f>IF(C$89="","",IF(Config!$R$36&lt;&gt;"Não",SUMIFS(BD!$Q$3:$Q$5001,BD!$B$3:$B$5001,C$89,BD!$A$3:$A$5001,"&gt;="&amp;$C$7,BD!$A$3:$A$5001,"&lt;="&amp;$D$7),"—"))</f>
        <v>0</v>
      </c>
      <c r="D105" s="32">
        <f>IF(D$89="","",IF(Config!$R$37&lt;&gt;"Não",SUMIFS(BD!$Q$3:$Q$5001,BD!$B$3:$B$5001,D$89,BD!$A$3:$A$5001,"&gt;="&amp;$C$7,BD!$A$3:$A$5001,"&lt;="&amp;$D$7),"—"))</f>
        <v>0</v>
      </c>
      <c r="E105" s="32">
        <f>IF(E$89="","",IF(Config!$R$38&lt;&gt;"Não",SUMIFS(BD!$Q$3:$Q$5001,BD!$B$3:$B$5001,E$89,BD!$A$3:$A$5001,"&gt;="&amp;$C$7,BD!$A$3:$A$5001,"&lt;="&amp;$D$7),"—"))</f>
        <v>0</v>
      </c>
      <c r="F105" s="32">
        <f>IF(F$89="","",IF(Config!$R$39&lt;&gt;"Não",SUMIFS(BD!$Q$3:$Q$5001,BD!$B$3:$B$5001,F$89,BD!$A$3:$A$5001,"&gt;="&amp;$C$7,BD!$A$3:$A$5001,"&lt;="&amp;$D$7),"—"))</f>
        <v>0</v>
      </c>
      <c r="G105" s="32" t="str">
        <f>IF(G$89="","",IF(Config!$R$40&lt;&gt;"Não",SUMIFS(BD!$Q$3:$Q$5001,BD!$B$3:$B$5001,G$89,BD!$A$3:$A$5001,"&gt;="&amp;$C$7,BD!$A$3:$A$5001,"&lt;="&amp;$D$7),"—"))</f>
        <v/>
      </c>
      <c r="H105" s="32" t="str">
        <f>IF(H$89="","",IF(Config!$R$41&lt;&gt;"Não",SUMIFS(BD!$Q$3:$Q$5001,BD!$B$3:$B$5001,H$89,BD!$A$3:$A$5001,"&gt;="&amp;$C$7,BD!$A$3:$A$5001,"&lt;="&amp;$D$7),"—"))</f>
        <v/>
      </c>
      <c r="I105" s="32" t="str">
        <f>IF(I$89="","",IF(Config!$R$42&lt;&gt;"Não",SUMIFS(BD!$Q$3:$Q$5001,BD!$B$3:$B$5001,I$89,BD!$A$3:$A$5001,"&gt;="&amp;$C$7,BD!$A$3:$A$5001,"&lt;="&amp;$D$7),"—"))</f>
        <v/>
      </c>
      <c r="J105" s="32" t="str">
        <f>IF(J$89="","",IF(Config!$R$43&lt;&gt;"Não",SUMIFS(BD!$Q$3:$Q$5001,BD!$B$3:$B$5001,J$89,BD!$A$3:$A$5001,"&gt;="&amp;$C$7,BD!$A$3:$A$5001,"&lt;="&amp;$D$7),"—"))</f>
        <v/>
      </c>
      <c r="K105" s="32" t="str">
        <f>IF(K$89="","",IF(Config!$R$44&lt;&gt;"Não",SUMIFS(BD!$Q$3:$Q$5001,BD!$B$3:$B$5001,K$89,BD!$A$3:$A$5001,"&gt;="&amp;$C$7,BD!$A$3:$A$5001,"&lt;="&amp;$D$7),"—"))</f>
        <v/>
      </c>
      <c r="L105" s="32" t="str">
        <f>IF(L$89="","",IF(Config!$R$45&lt;&gt;"Não",SUMIFS(BD!$Q$3:$Q$5001,BD!$B$3:$B$5001,L$89,BD!$A$3:$A$5001,"&gt;="&amp;$C$7,BD!$A$3:$A$5001,"&lt;="&amp;$D$7),"—"))</f>
        <v/>
      </c>
      <c r="M105" s="32" t="str">
        <f>IF(M$89="","",IF(Config!$R$46&lt;&gt;"Não",SUMIFS(BD!$Q$3:$Q$5001,BD!$B$3:$B$5001,M$89,BD!$A$3:$A$5001,"&gt;="&amp;$C$7,BD!$A$3:$A$5001,"&lt;="&amp;$D$7),"—"))</f>
        <v/>
      </c>
      <c r="N105" s="32" t="str">
        <f>IF(N$89="","",IF(Config!$R$47&lt;&gt;"Não",SUMIFS(BD!$Q$3:$Q$5001,BD!$B$3:$B$5001,N$89,BD!$A$3:$A$5001,"&gt;="&amp;$C$7,BD!$A$3:$A$5001,"&lt;="&amp;$D$7),"—"))</f>
        <v/>
      </c>
      <c r="O105" s="32" t="str">
        <f>IF(O$89="","",IF(Config!$R$48&lt;&gt;"Não",SUMIFS(BD!$Q$3:$Q$5001,BD!$B$3:$B$5001,O$89,BD!$A$3:$A$5001,"&gt;="&amp;$C$7,BD!$A$3:$A$5001,"&lt;="&amp;$D$7),"—"))</f>
        <v/>
      </c>
      <c r="P105" s="32" t="str">
        <f>IF(P$89="","",IF(Config!$R$49&lt;&gt;"Não",SUMIFS(BD!$Q$3:$Q$5001,BD!$B$3:$B$5001,P$89,BD!$A$3:$A$5001,"&gt;="&amp;$C$7,BD!$A$3:$A$5001,"&lt;="&amp;$D$7),"—"))</f>
        <v/>
      </c>
      <c r="Q105" s="32" t="str">
        <f>IF(Q$89="","",IF(Config!$R$50&lt;&gt;"Não",SUMIFS(BD!$Q$3:$Q$5001,BD!$B$3:$B$5001,Q$89,BD!$A$3:$A$5001,"&gt;="&amp;$C$7,BD!$A$3:$A$5001,"&lt;="&amp;$D$7),"—"))</f>
        <v/>
      </c>
      <c r="R105" s="32" t="str">
        <f>IF(R$89="","",IF(Config!$R$51&lt;&gt;"Não",SUMIFS(BD!$Q$3:$Q$5001,BD!$B$3:$B$5001,R$89,BD!$A$3:$A$5001,"&gt;="&amp;$C$7,BD!$A$3:$A$5001,"&lt;="&amp;$D$7),"—"))</f>
        <v/>
      </c>
      <c r="S105" s="32" t="str">
        <f>IF(S$89="","",IF(Config!$R$52&lt;&gt;"Não",SUMIFS(BD!$Q$3:$Q$5001,BD!$B$3:$B$5001,S$89,BD!$A$3:$A$5001,"&gt;="&amp;$C$7,BD!$A$3:$A$5001,"&lt;="&amp;$D$7),"—"))</f>
        <v/>
      </c>
      <c r="T105" s="32" t="str">
        <f>IF(T$89="","",IF(Config!$R$53&lt;&gt;"Não",SUMIFS(BD!$Q$3:$Q$5001,BD!$B$3:$B$5001,T$89,BD!$A$3:$A$5001,"&gt;="&amp;$C$7,BD!$A$3:$A$5001,"&lt;="&amp;$D$7),"—"))</f>
        <v/>
      </c>
      <c r="U105" s="32" t="str">
        <f>IF(U$89="","",IF(Config!$R$54&lt;&gt;"Não",SUMIFS(BD!$Q$3:$Q$5001,BD!$B$3:$B$5001,U$89,BD!$A$3:$A$5001,"&gt;="&amp;$C$7,BD!$A$3:$A$5001,"&lt;="&amp;$D$7),"—"))</f>
        <v/>
      </c>
      <c r="V105" s="62">
        <f>SUM(B105:U105)</f>
        <v>0</v>
      </c>
    </row>
    <row r="106">
      <c r="A106" s="29" t="inlineStr">
        <is>
          <t xml:space="preserve">GENTE · Desligamento</t>
        </is>
      </c>
      <c r="B106" s="32">
        <f>IF(B$89="","",IF(Config!$S$35&lt;&gt;"Não",SUMIFS(BD!$R$3:$R$5001,BD!$B$3:$B$5001,B$89,BD!$A$3:$A$5001,"&gt;="&amp;$C$7,BD!$A$3:$A$5001,"&lt;="&amp;$D$7),"—"))</f>
        <v>0</v>
      </c>
      <c r="C106" s="32">
        <f>IF(C$89="","",IF(Config!$S$36&lt;&gt;"Não",SUMIFS(BD!$R$3:$R$5001,BD!$B$3:$B$5001,C$89,BD!$A$3:$A$5001,"&gt;="&amp;$C$7,BD!$A$3:$A$5001,"&lt;="&amp;$D$7),"—"))</f>
        <v>0</v>
      </c>
      <c r="D106" s="32">
        <f>IF(D$89="","",IF(Config!$S$37&lt;&gt;"Não",SUMIFS(BD!$R$3:$R$5001,BD!$B$3:$B$5001,D$89,BD!$A$3:$A$5001,"&gt;="&amp;$C$7,BD!$A$3:$A$5001,"&lt;="&amp;$D$7),"—"))</f>
        <v>0</v>
      </c>
      <c r="E106" s="32">
        <f>IF(E$89="","",IF(Config!$S$38&lt;&gt;"Não",SUMIFS(BD!$R$3:$R$5001,BD!$B$3:$B$5001,E$89,BD!$A$3:$A$5001,"&gt;="&amp;$C$7,BD!$A$3:$A$5001,"&lt;="&amp;$D$7),"—"))</f>
        <v>0</v>
      </c>
      <c r="F106" s="32">
        <f>IF(F$89="","",IF(Config!$S$39&lt;&gt;"Não",SUMIFS(BD!$R$3:$R$5001,BD!$B$3:$B$5001,F$89,BD!$A$3:$A$5001,"&gt;="&amp;$C$7,BD!$A$3:$A$5001,"&lt;="&amp;$D$7),"—"))</f>
        <v>0</v>
      </c>
      <c r="G106" s="32" t="str">
        <f>IF(G$89="","",IF(Config!$S$40&lt;&gt;"Não",SUMIFS(BD!$R$3:$R$5001,BD!$B$3:$B$5001,G$89,BD!$A$3:$A$5001,"&gt;="&amp;$C$7,BD!$A$3:$A$5001,"&lt;="&amp;$D$7),"—"))</f>
        <v/>
      </c>
      <c r="H106" s="32" t="str">
        <f>IF(H$89="","",IF(Config!$S$41&lt;&gt;"Não",SUMIFS(BD!$R$3:$R$5001,BD!$B$3:$B$5001,H$89,BD!$A$3:$A$5001,"&gt;="&amp;$C$7,BD!$A$3:$A$5001,"&lt;="&amp;$D$7),"—"))</f>
        <v/>
      </c>
      <c r="I106" s="32" t="str">
        <f>IF(I$89="","",IF(Config!$S$42&lt;&gt;"Não",SUMIFS(BD!$R$3:$R$5001,BD!$B$3:$B$5001,I$89,BD!$A$3:$A$5001,"&gt;="&amp;$C$7,BD!$A$3:$A$5001,"&lt;="&amp;$D$7),"—"))</f>
        <v/>
      </c>
      <c r="J106" s="32" t="str">
        <f>IF(J$89="","",IF(Config!$S$43&lt;&gt;"Não",SUMIFS(BD!$R$3:$R$5001,BD!$B$3:$B$5001,J$89,BD!$A$3:$A$5001,"&gt;="&amp;$C$7,BD!$A$3:$A$5001,"&lt;="&amp;$D$7),"—"))</f>
        <v/>
      </c>
      <c r="K106" s="32" t="str">
        <f>IF(K$89="","",IF(Config!$S$44&lt;&gt;"Não",SUMIFS(BD!$R$3:$R$5001,BD!$B$3:$B$5001,K$89,BD!$A$3:$A$5001,"&gt;="&amp;$C$7,BD!$A$3:$A$5001,"&lt;="&amp;$D$7),"—"))</f>
        <v/>
      </c>
      <c r="L106" s="32" t="str">
        <f>IF(L$89="","",IF(Config!$S$45&lt;&gt;"Não",SUMIFS(BD!$R$3:$R$5001,BD!$B$3:$B$5001,L$89,BD!$A$3:$A$5001,"&gt;="&amp;$C$7,BD!$A$3:$A$5001,"&lt;="&amp;$D$7),"—"))</f>
        <v/>
      </c>
      <c r="M106" s="32" t="str">
        <f>IF(M$89="","",IF(Config!$S$46&lt;&gt;"Não",SUMIFS(BD!$R$3:$R$5001,BD!$B$3:$B$5001,M$89,BD!$A$3:$A$5001,"&gt;="&amp;$C$7,BD!$A$3:$A$5001,"&lt;="&amp;$D$7),"—"))</f>
        <v/>
      </c>
      <c r="N106" s="32" t="str">
        <f>IF(N$89="","",IF(Config!$S$47&lt;&gt;"Não",SUMIFS(BD!$R$3:$R$5001,BD!$B$3:$B$5001,N$89,BD!$A$3:$A$5001,"&gt;="&amp;$C$7,BD!$A$3:$A$5001,"&lt;="&amp;$D$7),"—"))</f>
        <v/>
      </c>
      <c r="O106" s="32" t="str">
        <f>IF(O$89="","",IF(Config!$S$48&lt;&gt;"Não",SUMIFS(BD!$R$3:$R$5001,BD!$B$3:$B$5001,O$89,BD!$A$3:$A$5001,"&gt;="&amp;$C$7,BD!$A$3:$A$5001,"&lt;="&amp;$D$7),"—"))</f>
        <v/>
      </c>
      <c r="P106" s="32" t="str">
        <f>IF(P$89="","",IF(Config!$S$49&lt;&gt;"Não",SUMIFS(BD!$R$3:$R$5001,BD!$B$3:$B$5001,P$89,BD!$A$3:$A$5001,"&gt;="&amp;$C$7,BD!$A$3:$A$5001,"&lt;="&amp;$D$7),"—"))</f>
        <v/>
      </c>
      <c r="Q106" s="32" t="str">
        <f>IF(Q$89="","",IF(Config!$S$50&lt;&gt;"Não",SUMIFS(BD!$R$3:$R$5001,BD!$B$3:$B$5001,Q$89,BD!$A$3:$A$5001,"&gt;="&amp;$C$7,BD!$A$3:$A$5001,"&lt;="&amp;$D$7),"—"))</f>
        <v/>
      </c>
      <c r="R106" s="32" t="str">
        <f>IF(R$89="","",IF(Config!$S$51&lt;&gt;"Não",SUMIFS(BD!$R$3:$R$5001,BD!$B$3:$B$5001,R$89,BD!$A$3:$A$5001,"&gt;="&amp;$C$7,BD!$A$3:$A$5001,"&lt;="&amp;$D$7),"—"))</f>
        <v/>
      </c>
      <c r="S106" s="32" t="str">
        <f>IF(S$89="","",IF(Config!$S$52&lt;&gt;"Não",SUMIFS(BD!$R$3:$R$5001,BD!$B$3:$B$5001,S$89,BD!$A$3:$A$5001,"&gt;="&amp;$C$7,BD!$A$3:$A$5001,"&lt;="&amp;$D$7),"—"))</f>
        <v/>
      </c>
      <c r="T106" s="32" t="str">
        <f>IF(T$89="","",IF(Config!$S$53&lt;&gt;"Não",SUMIFS(BD!$R$3:$R$5001,BD!$B$3:$B$5001,T$89,BD!$A$3:$A$5001,"&gt;="&amp;$C$7,BD!$A$3:$A$5001,"&lt;="&amp;$D$7),"—"))</f>
        <v/>
      </c>
      <c r="U106" s="32" t="str">
        <f>IF(U$89="","",IF(Config!$S$54&lt;&gt;"Não",SUMIFS(BD!$R$3:$R$5001,BD!$B$3:$B$5001,U$89,BD!$A$3:$A$5001,"&gt;="&amp;$C$7,BD!$A$3:$A$5001,"&lt;="&amp;$D$7),"—"))</f>
        <v/>
      </c>
      <c r="V106" s="62">
        <f>SUM(B106:U106)</f>
        <v>0</v>
      </c>
    </row>
    <row r="107">
      <c r="A107" s="29" t="inlineStr">
        <is>
          <t xml:space="preserve">GENTE · Desvios Comportamentais</t>
        </is>
      </c>
      <c r="B107" s="32">
        <f>IF(B$89="","",IF(Config!$T$35&lt;&gt;"Não",SUMIFS(BD!$S$3:$S$5001,BD!$B$3:$B$5001,B$89,BD!$A$3:$A$5001,"&gt;="&amp;$C$7,BD!$A$3:$A$5001,"&lt;="&amp;$D$7),"—"))</f>
        <v>0</v>
      </c>
      <c r="C107" s="32">
        <f>IF(C$89="","",IF(Config!$T$36&lt;&gt;"Não",SUMIFS(BD!$S$3:$S$5001,BD!$B$3:$B$5001,C$89,BD!$A$3:$A$5001,"&gt;="&amp;$C$7,BD!$A$3:$A$5001,"&lt;="&amp;$D$7),"—"))</f>
        <v>0</v>
      </c>
      <c r="D107" s="32">
        <f>IF(D$89="","",IF(Config!$T$37&lt;&gt;"Não",SUMIFS(BD!$S$3:$S$5001,BD!$B$3:$B$5001,D$89,BD!$A$3:$A$5001,"&gt;="&amp;$C$7,BD!$A$3:$A$5001,"&lt;="&amp;$D$7),"—"))</f>
        <v>0</v>
      </c>
      <c r="E107" s="32">
        <f>IF(E$89="","",IF(Config!$T$38&lt;&gt;"Não",SUMIFS(BD!$S$3:$S$5001,BD!$B$3:$B$5001,E$89,BD!$A$3:$A$5001,"&gt;="&amp;$C$7,BD!$A$3:$A$5001,"&lt;="&amp;$D$7),"—"))</f>
        <v>0</v>
      </c>
      <c r="F107" s="32">
        <f>IF(F$89="","",IF(Config!$T$39&lt;&gt;"Não",SUMIFS(BD!$S$3:$S$5001,BD!$B$3:$B$5001,F$89,BD!$A$3:$A$5001,"&gt;="&amp;$C$7,BD!$A$3:$A$5001,"&lt;="&amp;$D$7),"—"))</f>
        <v>0</v>
      </c>
      <c r="G107" s="32" t="str">
        <f>IF(G$89="","",IF(Config!$T$40&lt;&gt;"Não",SUMIFS(BD!$S$3:$S$5001,BD!$B$3:$B$5001,G$89,BD!$A$3:$A$5001,"&gt;="&amp;$C$7,BD!$A$3:$A$5001,"&lt;="&amp;$D$7),"—"))</f>
        <v/>
      </c>
      <c r="H107" s="32" t="str">
        <f>IF(H$89="","",IF(Config!$T$41&lt;&gt;"Não",SUMIFS(BD!$S$3:$S$5001,BD!$B$3:$B$5001,H$89,BD!$A$3:$A$5001,"&gt;="&amp;$C$7,BD!$A$3:$A$5001,"&lt;="&amp;$D$7),"—"))</f>
        <v/>
      </c>
      <c r="I107" s="32" t="str">
        <f>IF(I$89="","",IF(Config!$T$42&lt;&gt;"Não",SUMIFS(BD!$S$3:$S$5001,BD!$B$3:$B$5001,I$89,BD!$A$3:$A$5001,"&gt;="&amp;$C$7,BD!$A$3:$A$5001,"&lt;="&amp;$D$7),"—"))</f>
        <v/>
      </c>
      <c r="J107" s="32" t="str">
        <f>IF(J$89="","",IF(Config!$T$43&lt;&gt;"Não",SUMIFS(BD!$S$3:$S$5001,BD!$B$3:$B$5001,J$89,BD!$A$3:$A$5001,"&gt;="&amp;$C$7,BD!$A$3:$A$5001,"&lt;="&amp;$D$7),"—"))</f>
        <v/>
      </c>
      <c r="K107" s="32" t="str">
        <f>IF(K$89="","",IF(Config!$T$44&lt;&gt;"Não",SUMIFS(BD!$S$3:$S$5001,BD!$B$3:$B$5001,K$89,BD!$A$3:$A$5001,"&gt;="&amp;$C$7,BD!$A$3:$A$5001,"&lt;="&amp;$D$7),"—"))</f>
        <v/>
      </c>
      <c r="L107" s="32" t="str">
        <f>IF(L$89="","",IF(Config!$T$45&lt;&gt;"Não",SUMIFS(BD!$S$3:$S$5001,BD!$B$3:$B$5001,L$89,BD!$A$3:$A$5001,"&gt;="&amp;$C$7,BD!$A$3:$A$5001,"&lt;="&amp;$D$7),"—"))</f>
        <v/>
      </c>
      <c r="M107" s="32" t="str">
        <f>IF(M$89="","",IF(Config!$T$46&lt;&gt;"Não",SUMIFS(BD!$S$3:$S$5001,BD!$B$3:$B$5001,M$89,BD!$A$3:$A$5001,"&gt;="&amp;$C$7,BD!$A$3:$A$5001,"&lt;="&amp;$D$7),"—"))</f>
        <v/>
      </c>
      <c r="N107" s="32" t="str">
        <f>IF(N$89="","",IF(Config!$T$47&lt;&gt;"Não",SUMIFS(BD!$S$3:$S$5001,BD!$B$3:$B$5001,N$89,BD!$A$3:$A$5001,"&gt;="&amp;$C$7,BD!$A$3:$A$5001,"&lt;="&amp;$D$7),"—"))</f>
        <v/>
      </c>
      <c r="O107" s="32" t="str">
        <f>IF(O$89="","",IF(Config!$T$48&lt;&gt;"Não",SUMIFS(BD!$S$3:$S$5001,BD!$B$3:$B$5001,O$89,BD!$A$3:$A$5001,"&gt;="&amp;$C$7,BD!$A$3:$A$5001,"&lt;="&amp;$D$7),"—"))</f>
        <v/>
      </c>
      <c r="P107" s="32" t="str">
        <f>IF(P$89="","",IF(Config!$T$49&lt;&gt;"Não",SUMIFS(BD!$S$3:$S$5001,BD!$B$3:$B$5001,P$89,BD!$A$3:$A$5001,"&gt;="&amp;$C$7,BD!$A$3:$A$5001,"&lt;="&amp;$D$7),"—"))</f>
        <v/>
      </c>
      <c r="Q107" s="32" t="str">
        <f>IF(Q$89="","",IF(Config!$T$50&lt;&gt;"Não",SUMIFS(BD!$S$3:$S$5001,BD!$B$3:$B$5001,Q$89,BD!$A$3:$A$5001,"&gt;="&amp;$C$7,BD!$A$3:$A$5001,"&lt;="&amp;$D$7),"—"))</f>
        <v/>
      </c>
      <c r="R107" s="32" t="str">
        <f>IF(R$89="","",IF(Config!$T$51&lt;&gt;"Não",SUMIFS(BD!$S$3:$S$5001,BD!$B$3:$B$5001,R$89,BD!$A$3:$A$5001,"&gt;="&amp;$C$7,BD!$A$3:$A$5001,"&lt;="&amp;$D$7),"—"))</f>
        <v/>
      </c>
      <c r="S107" s="32" t="str">
        <f>IF(S$89="","",IF(Config!$T$52&lt;&gt;"Não",SUMIFS(BD!$S$3:$S$5001,BD!$B$3:$B$5001,S$89,BD!$A$3:$A$5001,"&gt;="&amp;$C$7,BD!$A$3:$A$5001,"&lt;="&amp;$D$7),"—"))</f>
        <v/>
      </c>
      <c r="T107" s="32" t="str">
        <f>IF(T$89="","",IF(Config!$T$53&lt;&gt;"Não",SUMIFS(BD!$S$3:$S$5001,BD!$B$3:$B$5001,T$89,BD!$A$3:$A$5001,"&gt;="&amp;$C$7,BD!$A$3:$A$5001,"&lt;="&amp;$D$7),"—"))</f>
        <v/>
      </c>
      <c r="U107" s="32" t="str">
        <f>IF(U$89="","",IF(Config!$T$54&lt;&gt;"Não",SUMIFS(BD!$S$3:$S$5001,BD!$B$3:$B$5001,U$89,BD!$A$3:$A$5001,"&gt;="&amp;$C$7,BD!$A$3:$A$5001,"&lt;="&amp;$D$7),"—"))</f>
        <v/>
      </c>
      <c r="V107" s="62">
        <f>SUM(B107:U107)</f>
        <v>0</v>
      </c>
    </row>
    <row r="108">
      <c r="A108" s="29" t="inlineStr">
        <is>
          <t xml:space="preserve">GENTE · Acidentes CAF</t>
        </is>
      </c>
      <c r="B108" s="32">
        <f>IF(B$89="","",IF(Config!$U$35&lt;&gt;"Não",SUMIFS(BD!$T$3:$T$5001,BD!$B$3:$B$5001,B$89,BD!$A$3:$A$5001,"&gt;="&amp;$C$7,BD!$A$3:$A$5001,"&lt;="&amp;$D$7),"—"))</f>
        <v>0</v>
      </c>
      <c r="C108" s="32">
        <f>IF(C$89="","",IF(Config!$U$36&lt;&gt;"Não",SUMIFS(BD!$T$3:$T$5001,BD!$B$3:$B$5001,C$89,BD!$A$3:$A$5001,"&gt;="&amp;$C$7,BD!$A$3:$A$5001,"&lt;="&amp;$D$7),"—"))</f>
        <v>0</v>
      </c>
      <c r="D108" s="32">
        <f>IF(D$89="","",IF(Config!$U$37&lt;&gt;"Não",SUMIFS(BD!$T$3:$T$5001,BD!$B$3:$B$5001,D$89,BD!$A$3:$A$5001,"&gt;="&amp;$C$7,BD!$A$3:$A$5001,"&lt;="&amp;$D$7),"—"))</f>
        <v>0</v>
      </c>
      <c r="E108" s="32">
        <f>IF(E$89="","",IF(Config!$U$38&lt;&gt;"Não",SUMIFS(BD!$T$3:$T$5001,BD!$B$3:$B$5001,E$89,BD!$A$3:$A$5001,"&gt;="&amp;$C$7,BD!$A$3:$A$5001,"&lt;="&amp;$D$7),"—"))</f>
        <v>0</v>
      </c>
      <c r="F108" s="32">
        <f>IF(F$89="","",IF(Config!$U$39&lt;&gt;"Não",SUMIFS(BD!$T$3:$T$5001,BD!$B$3:$B$5001,F$89,BD!$A$3:$A$5001,"&gt;="&amp;$C$7,BD!$A$3:$A$5001,"&lt;="&amp;$D$7),"—"))</f>
        <v>0</v>
      </c>
      <c r="G108" s="32" t="str">
        <f>IF(G$89="","",IF(Config!$U$40&lt;&gt;"Não",SUMIFS(BD!$T$3:$T$5001,BD!$B$3:$B$5001,G$89,BD!$A$3:$A$5001,"&gt;="&amp;$C$7,BD!$A$3:$A$5001,"&lt;="&amp;$D$7),"—"))</f>
        <v/>
      </c>
      <c r="H108" s="32" t="str">
        <f>IF(H$89="","",IF(Config!$U$41&lt;&gt;"Não",SUMIFS(BD!$T$3:$T$5001,BD!$B$3:$B$5001,H$89,BD!$A$3:$A$5001,"&gt;="&amp;$C$7,BD!$A$3:$A$5001,"&lt;="&amp;$D$7),"—"))</f>
        <v/>
      </c>
      <c r="I108" s="32" t="str">
        <f>IF(I$89="","",IF(Config!$U$42&lt;&gt;"Não",SUMIFS(BD!$T$3:$T$5001,BD!$B$3:$B$5001,I$89,BD!$A$3:$A$5001,"&gt;="&amp;$C$7,BD!$A$3:$A$5001,"&lt;="&amp;$D$7),"—"))</f>
        <v/>
      </c>
      <c r="J108" s="32" t="str">
        <f>IF(J$89="","",IF(Config!$U$43&lt;&gt;"Não",SUMIFS(BD!$T$3:$T$5001,BD!$B$3:$B$5001,J$89,BD!$A$3:$A$5001,"&gt;="&amp;$C$7,BD!$A$3:$A$5001,"&lt;="&amp;$D$7),"—"))</f>
        <v/>
      </c>
      <c r="K108" s="32" t="str">
        <f>IF(K$89="","",IF(Config!$U$44&lt;&gt;"Não",SUMIFS(BD!$T$3:$T$5001,BD!$B$3:$B$5001,K$89,BD!$A$3:$A$5001,"&gt;="&amp;$C$7,BD!$A$3:$A$5001,"&lt;="&amp;$D$7),"—"))</f>
        <v/>
      </c>
      <c r="L108" s="32" t="str">
        <f>IF(L$89="","",IF(Config!$U$45&lt;&gt;"Não",SUMIFS(BD!$T$3:$T$5001,BD!$B$3:$B$5001,L$89,BD!$A$3:$A$5001,"&gt;="&amp;$C$7,BD!$A$3:$A$5001,"&lt;="&amp;$D$7),"—"))</f>
        <v/>
      </c>
      <c r="M108" s="32" t="str">
        <f>IF(M$89="","",IF(Config!$U$46&lt;&gt;"Não",SUMIFS(BD!$T$3:$T$5001,BD!$B$3:$B$5001,M$89,BD!$A$3:$A$5001,"&gt;="&amp;$C$7,BD!$A$3:$A$5001,"&lt;="&amp;$D$7),"—"))</f>
        <v/>
      </c>
      <c r="N108" s="32" t="str">
        <f>IF(N$89="","",IF(Config!$U$47&lt;&gt;"Não",SUMIFS(BD!$T$3:$T$5001,BD!$B$3:$B$5001,N$89,BD!$A$3:$A$5001,"&gt;="&amp;$C$7,BD!$A$3:$A$5001,"&lt;="&amp;$D$7),"—"))</f>
        <v/>
      </c>
      <c r="O108" s="32" t="str">
        <f>IF(O$89="","",IF(Config!$U$48&lt;&gt;"Não",SUMIFS(BD!$T$3:$T$5001,BD!$B$3:$B$5001,O$89,BD!$A$3:$A$5001,"&gt;="&amp;$C$7,BD!$A$3:$A$5001,"&lt;="&amp;$D$7),"—"))</f>
        <v/>
      </c>
      <c r="P108" s="32" t="str">
        <f>IF(P$89="","",IF(Config!$U$49&lt;&gt;"Não",SUMIFS(BD!$T$3:$T$5001,BD!$B$3:$B$5001,P$89,BD!$A$3:$A$5001,"&gt;="&amp;$C$7,BD!$A$3:$A$5001,"&lt;="&amp;$D$7),"—"))</f>
        <v/>
      </c>
      <c r="Q108" s="32" t="str">
        <f>IF(Q$89="","",IF(Config!$U$50&lt;&gt;"Não",SUMIFS(BD!$T$3:$T$5001,BD!$B$3:$B$5001,Q$89,BD!$A$3:$A$5001,"&gt;="&amp;$C$7,BD!$A$3:$A$5001,"&lt;="&amp;$D$7),"—"))</f>
        <v/>
      </c>
      <c r="R108" s="32" t="str">
        <f>IF(R$89="","",IF(Config!$U$51&lt;&gt;"Não",SUMIFS(BD!$T$3:$T$5001,BD!$B$3:$B$5001,R$89,BD!$A$3:$A$5001,"&gt;="&amp;$C$7,BD!$A$3:$A$5001,"&lt;="&amp;$D$7),"—"))</f>
        <v/>
      </c>
      <c r="S108" s="32" t="str">
        <f>IF(S$89="","",IF(Config!$U$52&lt;&gt;"Não",SUMIFS(BD!$T$3:$T$5001,BD!$B$3:$B$5001,S$89,BD!$A$3:$A$5001,"&gt;="&amp;$C$7,BD!$A$3:$A$5001,"&lt;="&amp;$D$7),"—"))</f>
        <v/>
      </c>
      <c r="T108" s="32" t="str">
        <f>IF(T$89="","",IF(Config!$U$53&lt;&gt;"Não",SUMIFS(BD!$T$3:$T$5001,BD!$B$3:$B$5001,T$89,BD!$A$3:$A$5001,"&gt;="&amp;$C$7,BD!$A$3:$A$5001,"&lt;="&amp;$D$7),"—"))</f>
        <v/>
      </c>
      <c r="U108" s="32" t="str">
        <f>IF(U$89="","",IF(Config!$U$54&lt;&gt;"Não",SUMIFS(BD!$T$3:$T$5001,BD!$B$3:$B$5001,U$89,BD!$A$3:$A$5001,"&gt;="&amp;$C$7,BD!$A$3:$A$5001,"&lt;="&amp;$D$7),"—"))</f>
        <v/>
      </c>
      <c r="V108" s="62">
        <f>SUM(B108:U108)</f>
        <v>0</v>
      </c>
    </row>
    <row r="109">
      <c r="A109" s="29" t="inlineStr">
        <is>
          <t xml:space="preserve">GENTE · Acidentes SAF</t>
        </is>
      </c>
      <c r="B109" s="32">
        <f>IF(B$89="","",IF(Config!$V$35&lt;&gt;"Não",SUMIFS(BD!$U$3:$U$5001,BD!$B$3:$B$5001,B$89,BD!$A$3:$A$5001,"&gt;="&amp;$C$7,BD!$A$3:$A$5001,"&lt;="&amp;$D$7),"—"))</f>
        <v>0</v>
      </c>
      <c r="C109" s="32">
        <f>IF(C$89="","",IF(Config!$V$36&lt;&gt;"Não",SUMIFS(BD!$U$3:$U$5001,BD!$B$3:$B$5001,C$89,BD!$A$3:$A$5001,"&gt;="&amp;$C$7,BD!$A$3:$A$5001,"&lt;="&amp;$D$7),"—"))</f>
        <v>0</v>
      </c>
      <c r="D109" s="32">
        <f>IF(D$89="","",IF(Config!$V$37&lt;&gt;"Não",SUMIFS(BD!$U$3:$U$5001,BD!$B$3:$B$5001,D$89,BD!$A$3:$A$5001,"&gt;="&amp;$C$7,BD!$A$3:$A$5001,"&lt;="&amp;$D$7),"—"))</f>
        <v>0</v>
      </c>
      <c r="E109" s="32">
        <f>IF(E$89="","",IF(Config!$V$38&lt;&gt;"Não",SUMIFS(BD!$U$3:$U$5001,BD!$B$3:$B$5001,E$89,BD!$A$3:$A$5001,"&gt;="&amp;$C$7,BD!$A$3:$A$5001,"&lt;="&amp;$D$7),"—"))</f>
        <v>0</v>
      </c>
      <c r="F109" s="32">
        <f>IF(F$89="","",IF(Config!$V$39&lt;&gt;"Não",SUMIFS(BD!$U$3:$U$5001,BD!$B$3:$B$5001,F$89,BD!$A$3:$A$5001,"&gt;="&amp;$C$7,BD!$A$3:$A$5001,"&lt;="&amp;$D$7),"—"))</f>
        <v>0</v>
      </c>
      <c r="G109" s="32" t="str">
        <f>IF(G$89="","",IF(Config!$V$40&lt;&gt;"Não",SUMIFS(BD!$U$3:$U$5001,BD!$B$3:$B$5001,G$89,BD!$A$3:$A$5001,"&gt;="&amp;$C$7,BD!$A$3:$A$5001,"&lt;="&amp;$D$7),"—"))</f>
        <v/>
      </c>
      <c r="H109" s="32" t="str">
        <f>IF(H$89="","",IF(Config!$V$41&lt;&gt;"Não",SUMIFS(BD!$U$3:$U$5001,BD!$B$3:$B$5001,H$89,BD!$A$3:$A$5001,"&gt;="&amp;$C$7,BD!$A$3:$A$5001,"&lt;="&amp;$D$7),"—"))</f>
        <v/>
      </c>
      <c r="I109" s="32" t="str">
        <f>IF(I$89="","",IF(Config!$V$42&lt;&gt;"Não",SUMIFS(BD!$U$3:$U$5001,BD!$B$3:$B$5001,I$89,BD!$A$3:$A$5001,"&gt;="&amp;$C$7,BD!$A$3:$A$5001,"&lt;="&amp;$D$7),"—"))</f>
        <v/>
      </c>
      <c r="J109" s="32" t="str">
        <f>IF(J$89="","",IF(Config!$V$43&lt;&gt;"Não",SUMIFS(BD!$U$3:$U$5001,BD!$B$3:$B$5001,J$89,BD!$A$3:$A$5001,"&gt;="&amp;$C$7,BD!$A$3:$A$5001,"&lt;="&amp;$D$7),"—"))</f>
        <v/>
      </c>
      <c r="K109" s="32" t="str">
        <f>IF(K$89="","",IF(Config!$V$44&lt;&gt;"Não",SUMIFS(BD!$U$3:$U$5001,BD!$B$3:$B$5001,K$89,BD!$A$3:$A$5001,"&gt;="&amp;$C$7,BD!$A$3:$A$5001,"&lt;="&amp;$D$7),"—"))</f>
        <v/>
      </c>
      <c r="L109" s="32" t="str">
        <f>IF(L$89="","",IF(Config!$V$45&lt;&gt;"Não",SUMIFS(BD!$U$3:$U$5001,BD!$B$3:$B$5001,L$89,BD!$A$3:$A$5001,"&gt;="&amp;$C$7,BD!$A$3:$A$5001,"&lt;="&amp;$D$7),"—"))</f>
        <v/>
      </c>
      <c r="M109" s="32" t="str">
        <f>IF(M$89="","",IF(Config!$V$46&lt;&gt;"Não",SUMIFS(BD!$U$3:$U$5001,BD!$B$3:$B$5001,M$89,BD!$A$3:$A$5001,"&gt;="&amp;$C$7,BD!$A$3:$A$5001,"&lt;="&amp;$D$7),"—"))</f>
        <v/>
      </c>
      <c r="N109" s="32" t="str">
        <f>IF(N$89="","",IF(Config!$V$47&lt;&gt;"Não",SUMIFS(BD!$U$3:$U$5001,BD!$B$3:$B$5001,N$89,BD!$A$3:$A$5001,"&gt;="&amp;$C$7,BD!$A$3:$A$5001,"&lt;="&amp;$D$7),"—"))</f>
        <v/>
      </c>
      <c r="O109" s="32" t="str">
        <f>IF(O$89="","",IF(Config!$V$48&lt;&gt;"Não",SUMIFS(BD!$U$3:$U$5001,BD!$B$3:$B$5001,O$89,BD!$A$3:$A$5001,"&gt;="&amp;$C$7,BD!$A$3:$A$5001,"&lt;="&amp;$D$7),"—"))</f>
        <v/>
      </c>
      <c r="P109" s="32" t="str">
        <f>IF(P$89="","",IF(Config!$V$49&lt;&gt;"Não",SUMIFS(BD!$U$3:$U$5001,BD!$B$3:$B$5001,P$89,BD!$A$3:$A$5001,"&gt;="&amp;$C$7,BD!$A$3:$A$5001,"&lt;="&amp;$D$7),"—"))</f>
        <v/>
      </c>
      <c r="Q109" s="32" t="str">
        <f>IF(Q$89="","",IF(Config!$V$50&lt;&gt;"Não",SUMIFS(BD!$U$3:$U$5001,BD!$B$3:$B$5001,Q$89,BD!$A$3:$A$5001,"&gt;="&amp;$C$7,BD!$A$3:$A$5001,"&lt;="&amp;$D$7),"—"))</f>
        <v/>
      </c>
      <c r="R109" s="32" t="str">
        <f>IF(R$89="","",IF(Config!$V$51&lt;&gt;"Não",SUMIFS(BD!$U$3:$U$5001,BD!$B$3:$B$5001,R$89,BD!$A$3:$A$5001,"&gt;="&amp;$C$7,BD!$A$3:$A$5001,"&lt;="&amp;$D$7),"—"))</f>
        <v/>
      </c>
      <c r="S109" s="32" t="str">
        <f>IF(S$89="","",IF(Config!$V$52&lt;&gt;"Não",SUMIFS(BD!$U$3:$U$5001,BD!$B$3:$B$5001,S$89,BD!$A$3:$A$5001,"&gt;="&amp;$C$7,BD!$A$3:$A$5001,"&lt;="&amp;$D$7),"—"))</f>
        <v/>
      </c>
      <c r="T109" s="32" t="str">
        <f>IF(T$89="","",IF(Config!$V$53&lt;&gt;"Não",SUMIFS(BD!$U$3:$U$5001,BD!$B$3:$B$5001,T$89,BD!$A$3:$A$5001,"&gt;="&amp;$C$7,BD!$A$3:$A$5001,"&lt;="&amp;$D$7),"—"))</f>
        <v/>
      </c>
      <c r="U109" s="32" t="str">
        <f>IF(U$89="","",IF(Config!$V$54&lt;&gt;"Não",SUMIFS(BD!$U$3:$U$5001,BD!$B$3:$B$5001,U$89,BD!$A$3:$A$5001,"&gt;="&amp;$C$7,BD!$A$3:$A$5001,"&lt;="&amp;$D$7),"—"))</f>
        <v/>
      </c>
      <c r="V109" s="62">
        <f>SUM(B109:U109)</f>
        <v>0</v>
      </c>
    </row>
    <row r="113">
      <c r="A113" s="19" t="inlineStr">
        <is>
          <t xml:space="preserve">ESTOQUES POR CLIENTE — último valor informado até cada dia (Backlog, Posições e Efetivo)</t>
        </is>
      </c>
    </row>
    <row r="114">
      <c r="A114" s="37" t="inlineStr">
        <is>
          <t xml:space="preserve">Backlog</t>
        </is>
      </c>
      <c r="B114" s="37" t="inlineStr">
        <is>
          <t xml:space="preserve">Data</t>
        </is>
      </c>
      <c r="C114" s="37" t="str">
        <f>Config!$B$10&amp;""</f>
        <v>Barry Callebaut</v>
      </c>
      <c r="D114" s="37" t="str">
        <f>Config!$B$11&amp;""</f>
        <v>GM</v>
      </c>
      <c r="E114" s="37" t="str">
        <f>Config!$B$12&amp;""</f>
        <v>Mondelez</v>
      </c>
      <c r="F114" s="37" t="str">
        <f>Config!$B$13&amp;""</f>
        <v>Nestlé</v>
      </c>
      <c r="G114" s="37" t="str">
        <f>Config!$B$14&amp;""</f>
        <v>PMB</v>
      </c>
      <c r="H114" s="37" t="str">
        <f>Config!$B$15&amp;""</f>
        <v/>
      </c>
      <c r="I114" s="37" t="str">
        <f>Config!$B$16&amp;""</f>
        <v/>
      </c>
      <c r="J114" s="37" t="str">
        <f>Config!$B$17&amp;""</f>
        <v/>
      </c>
      <c r="K114" s="37" t="str">
        <f>Config!$B$18&amp;""</f>
        <v/>
      </c>
      <c r="L114" s="37" t="str">
        <f>Config!$B$19&amp;""</f>
        <v/>
      </c>
      <c r="M114" s="37" t="str">
        <f>Config!$B$20&amp;""</f>
        <v/>
      </c>
      <c r="N114" s="37" t="str">
        <f>Config!$B$21&amp;""</f>
        <v/>
      </c>
      <c r="O114" s="37" t="str">
        <f>Config!$B$22&amp;""</f>
        <v/>
      </c>
      <c r="P114" s="37" t="str">
        <f>Config!$B$23&amp;""</f>
        <v/>
      </c>
      <c r="Q114" s="37" t="str">
        <f>Config!$B$24&amp;""</f>
        <v/>
      </c>
      <c r="R114" s="37" t="str">
        <f>Config!$B$25&amp;""</f>
        <v/>
      </c>
      <c r="S114" s="37" t="str">
        <f>Config!$B$26&amp;""</f>
        <v/>
      </c>
      <c r="T114" s="37" t="str">
        <f>Config!$B$27&amp;""</f>
        <v/>
      </c>
      <c r="U114" s="37" t="str">
        <f>Config!$B$28&amp;""</f>
        <v/>
      </c>
      <c r="V114" s="37" t="str">
        <f>Config!$B$29&amp;""</f>
        <v/>
      </c>
    </row>
    <row r="115">
      <c r="A115" s="38">
        <v>1</v>
      </c>
      <c r="B115" s="42">
        <f>$B$12</f>
        <v>46296</v>
      </c>
      <c r="C115" s="43" t="str">
        <f>IF(OR($B115="",$A115&gt;$B$9,C$114=""),"",IF(COUNTIFS(BD!$B$3:$B$5001,C$114,BD!$A$3:$A$5001,"&gt;="&amp;$C$7,BD!$A$3:$A$5001,"&lt;="&amp;$B115,BD!$K$3:$K$5001,"&lt;&gt;")=0,"",SUMIFS(BD!$K$3:$K$5001,BD!$B$3:$B$5001,C$114,BD!$A$3:$A$5001,_xlfn.MAXIFS(BD!$A$3:$A$5001,BD!$B$3:$B$5001,C$114,BD!$A$3:$A$5001,"&gt;="&amp;$C$7,BD!$A$3:$A$5001,"&lt;="&amp;$B115,BD!$K$3:$K$5001,"&lt;&gt;"))))</f>
        <v/>
      </c>
      <c r="D115" s="43" t="str">
        <f>IF(OR($B115="",$A115&gt;$B$9,D$114=""),"",IF(COUNTIFS(BD!$B$3:$B$5001,D$114,BD!$A$3:$A$5001,"&gt;="&amp;$C$7,BD!$A$3:$A$5001,"&lt;="&amp;$B115,BD!$K$3:$K$5001,"&lt;&gt;")=0,"",SUMIFS(BD!$K$3:$K$5001,BD!$B$3:$B$5001,D$114,BD!$A$3:$A$5001,_xlfn.MAXIFS(BD!$A$3:$A$5001,BD!$B$3:$B$5001,D$114,BD!$A$3:$A$5001,"&gt;="&amp;$C$7,BD!$A$3:$A$5001,"&lt;="&amp;$B115,BD!$K$3:$K$5001,"&lt;&gt;"))))</f>
        <v/>
      </c>
      <c r="E115" s="43" t="str">
        <f>IF(OR($B115="",$A115&gt;$B$9,E$114=""),"",IF(COUNTIFS(BD!$B$3:$B$5001,E$114,BD!$A$3:$A$5001,"&gt;="&amp;$C$7,BD!$A$3:$A$5001,"&lt;="&amp;$B115,BD!$K$3:$K$5001,"&lt;&gt;")=0,"",SUMIFS(BD!$K$3:$K$5001,BD!$B$3:$B$5001,E$114,BD!$A$3:$A$5001,_xlfn.MAXIFS(BD!$A$3:$A$5001,BD!$B$3:$B$5001,E$114,BD!$A$3:$A$5001,"&gt;="&amp;$C$7,BD!$A$3:$A$5001,"&lt;="&amp;$B115,BD!$K$3:$K$5001,"&lt;&gt;"))))</f>
        <v/>
      </c>
      <c r="F115" s="43" t="str">
        <f>IF(OR($B115="",$A115&gt;$B$9,F$114=""),"",IF(COUNTIFS(BD!$B$3:$B$5001,F$114,BD!$A$3:$A$5001,"&gt;="&amp;$C$7,BD!$A$3:$A$5001,"&lt;="&amp;$B115,BD!$K$3:$K$5001,"&lt;&gt;")=0,"",SUMIFS(BD!$K$3:$K$5001,BD!$B$3:$B$5001,F$114,BD!$A$3:$A$5001,_xlfn.MAXIFS(BD!$A$3:$A$5001,BD!$B$3:$B$5001,F$114,BD!$A$3:$A$5001,"&gt;="&amp;$C$7,BD!$A$3:$A$5001,"&lt;="&amp;$B115,BD!$K$3:$K$5001,"&lt;&gt;"))))</f>
        <v/>
      </c>
      <c r="G115" s="43" t="str">
        <f>IF(OR($B115="",$A115&gt;$B$9,G$114=""),"",IF(COUNTIFS(BD!$B$3:$B$5001,G$114,BD!$A$3:$A$5001,"&gt;="&amp;$C$7,BD!$A$3:$A$5001,"&lt;="&amp;$B115,BD!$K$3:$K$5001,"&lt;&gt;")=0,"",SUMIFS(BD!$K$3:$K$5001,BD!$B$3:$B$5001,G$114,BD!$A$3:$A$5001,_xlfn.MAXIFS(BD!$A$3:$A$5001,BD!$B$3:$B$5001,G$114,BD!$A$3:$A$5001,"&gt;="&amp;$C$7,BD!$A$3:$A$5001,"&lt;="&amp;$B115,BD!$K$3:$K$5001,"&lt;&gt;"))))</f>
        <v/>
      </c>
      <c r="H115" s="43" t="str">
        <f>IF(OR($B115="",$A115&gt;$B$9,H$114=""),"",IF(COUNTIFS(BD!$B$3:$B$5001,H$114,BD!$A$3:$A$5001,"&gt;="&amp;$C$7,BD!$A$3:$A$5001,"&lt;="&amp;$B115,BD!$K$3:$K$5001,"&lt;&gt;")=0,"",SUMIFS(BD!$K$3:$K$5001,BD!$B$3:$B$5001,H$114,BD!$A$3:$A$5001,_xlfn.MAXIFS(BD!$A$3:$A$5001,BD!$B$3:$B$5001,H$114,BD!$A$3:$A$5001,"&gt;="&amp;$C$7,BD!$A$3:$A$5001,"&lt;="&amp;$B115,BD!$K$3:$K$5001,"&lt;&gt;"))))</f>
        <v/>
      </c>
      <c r="I115" s="43" t="str">
        <f>IF(OR($B115="",$A115&gt;$B$9,I$114=""),"",IF(COUNTIFS(BD!$B$3:$B$5001,I$114,BD!$A$3:$A$5001,"&gt;="&amp;$C$7,BD!$A$3:$A$5001,"&lt;="&amp;$B115,BD!$K$3:$K$5001,"&lt;&gt;")=0,"",SUMIFS(BD!$K$3:$K$5001,BD!$B$3:$B$5001,I$114,BD!$A$3:$A$5001,_xlfn.MAXIFS(BD!$A$3:$A$5001,BD!$B$3:$B$5001,I$114,BD!$A$3:$A$5001,"&gt;="&amp;$C$7,BD!$A$3:$A$5001,"&lt;="&amp;$B115,BD!$K$3:$K$5001,"&lt;&gt;"))))</f>
        <v/>
      </c>
      <c r="J115" s="43" t="str">
        <f>IF(OR($B115="",$A115&gt;$B$9,J$114=""),"",IF(COUNTIFS(BD!$B$3:$B$5001,J$114,BD!$A$3:$A$5001,"&gt;="&amp;$C$7,BD!$A$3:$A$5001,"&lt;="&amp;$B115,BD!$K$3:$K$5001,"&lt;&gt;")=0,"",SUMIFS(BD!$K$3:$K$5001,BD!$B$3:$B$5001,J$114,BD!$A$3:$A$5001,_xlfn.MAXIFS(BD!$A$3:$A$5001,BD!$B$3:$B$5001,J$114,BD!$A$3:$A$5001,"&gt;="&amp;$C$7,BD!$A$3:$A$5001,"&lt;="&amp;$B115,BD!$K$3:$K$5001,"&lt;&gt;"))))</f>
        <v/>
      </c>
      <c r="K115" s="43" t="str">
        <f>IF(OR($B115="",$A115&gt;$B$9,K$114=""),"",IF(COUNTIFS(BD!$B$3:$B$5001,K$114,BD!$A$3:$A$5001,"&gt;="&amp;$C$7,BD!$A$3:$A$5001,"&lt;="&amp;$B115,BD!$K$3:$K$5001,"&lt;&gt;")=0,"",SUMIFS(BD!$K$3:$K$5001,BD!$B$3:$B$5001,K$114,BD!$A$3:$A$5001,_xlfn.MAXIFS(BD!$A$3:$A$5001,BD!$B$3:$B$5001,K$114,BD!$A$3:$A$5001,"&gt;="&amp;$C$7,BD!$A$3:$A$5001,"&lt;="&amp;$B115,BD!$K$3:$K$5001,"&lt;&gt;"))))</f>
        <v/>
      </c>
      <c r="L115" s="43" t="str">
        <f>IF(OR($B115="",$A115&gt;$B$9,L$114=""),"",IF(COUNTIFS(BD!$B$3:$B$5001,L$114,BD!$A$3:$A$5001,"&gt;="&amp;$C$7,BD!$A$3:$A$5001,"&lt;="&amp;$B115,BD!$K$3:$K$5001,"&lt;&gt;")=0,"",SUMIFS(BD!$K$3:$K$5001,BD!$B$3:$B$5001,L$114,BD!$A$3:$A$5001,_xlfn.MAXIFS(BD!$A$3:$A$5001,BD!$B$3:$B$5001,L$114,BD!$A$3:$A$5001,"&gt;="&amp;$C$7,BD!$A$3:$A$5001,"&lt;="&amp;$B115,BD!$K$3:$K$5001,"&lt;&gt;"))))</f>
        <v/>
      </c>
      <c r="M115" s="43" t="str">
        <f>IF(OR($B115="",$A115&gt;$B$9,M$114=""),"",IF(COUNTIFS(BD!$B$3:$B$5001,M$114,BD!$A$3:$A$5001,"&gt;="&amp;$C$7,BD!$A$3:$A$5001,"&lt;="&amp;$B115,BD!$K$3:$K$5001,"&lt;&gt;")=0,"",SUMIFS(BD!$K$3:$K$5001,BD!$B$3:$B$5001,M$114,BD!$A$3:$A$5001,_xlfn.MAXIFS(BD!$A$3:$A$5001,BD!$B$3:$B$5001,M$114,BD!$A$3:$A$5001,"&gt;="&amp;$C$7,BD!$A$3:$A$5001,"&lt;="&amp;$B115,BD!$K$3:$K$5001,"&lt;&gt;"))))</f>
        <v/>
      </c>
      <c r="N115" s="43" t="str">
        <f>IF(OR($B115="",$A115&gt;$B$9,N$114=""),"",IF(COUNTIFS(BD!$B$3:$B$5001,N$114,BD!$A$3:$A$5001,"&gt;="&amp;$C$7,BD!$A$3:$A$5001,"&lt;="&amp;$B115,BD!$K$3:$K$5001,"&lt;&gt;")=0,"",SUMIFS(BD!$K$3:$K$5001,BD!$B$3:$B$5001,N$114,BD!$A$3:$A$5001,_xlfn.MAXIFS(BD!$A$3:$A$5001,BD!$B$3:$B$5001,N$114,BD!$A$3:$A$5001,"&gt;="&amp;$C$7,BD!$A$3:$A$5001,"&lt;="&amp;$B115,BD!$K$3:$K$5001,"&lt;&gt;"))))</f>
        <v/>
      </c>
      <c r="O115" s="43" t="str">
        <f>IF(OR($B115="",$A115&gt;$B$9,O$114=""),"",IF(COUNTIFS(BD!$B$3:$B$5001,O$114,BD!$A$3:$A$5001,"&gt;="&amp;$C$7,BD!$A$3:$A$5001,"&lt;="&amp;$B115,BD!$K$3:$K$5001,"&lt;&gt;")=0,"",SUMIFS(BD!$K$3:$K$5001,BD!$B$3:$B$5001,O$114,BD!$A$3:$A$5001,_xlfn.MAXIFS(BD!$A$3:$A$5001,BD!$B$3:$B$5001,O$114,BD!$A$3:$A$5001,"&gt;="&amp;$C$7,BD!$A$3:$A$5001,"&lt;="&amp;$B115,BD!$K$3:$K$5001,"&lt;&gt;"))))</f>
        <v/>
      </c>
      <c r="P115" s="43" t="str">
        <f>IF(OR($B115="",$A115&gt;$B$9,P$114=""),"",IF(COUNTIFS(BD!$B$3:$B$5001,P$114,BD!$A$3:$A$5001,"&gt;="&amp;$C$7,BD!$A$3:$A$5001,"&lt;="&amp;$B115,BD!$K$3:$K$5001,"&lt;&gt;")=0,"",SUMIFS(BD!$K$3:$K$5001,BD!$B$3:$B$5001,P$114,BD!$A$3:$A$5001,_xlfn.MAXIFS(BD!$A$3:$A$5001,BD!$B$3:$B$5001,P$114,BD!$A$3:$A$5001,"&gt;="&amp;$C$7,BD!$A$3:$A$5001,"&lt;="&amp;$B115,BD!$K$3:$K$5001,"&lt;&gt;"))))</f>
        <v/>
      </c>
      <c r="Q115" s="43" t="str">
        <f>IF(OR($B115="",$A115&gt;$B$9,Q$114=""),"",IF(COUNTIFS(BD!$B$3:$B$5001,Q$114,BD!$A$3:$A$5001,"&gt;="&amp;$C$7,BD!$A$3:$A$5001,"&lt;="&amp;$B115,BD!$K$3:$K$5001,"&lt;&gt;")=0,"",SUMIFS(BD!$K$3:$K$5001,BD!$B$3:$B$5001,Q$114,BD!$A$3:$A$5001,_xlfn.MAXIFS(BD!$A$3:$A$5001,BD!$B$3:$B$5001,Q$114,BD!$A$3:$A$5001,"&gt;="&amp;$C$7,BD!$A$3:$A$5001,"&lt;="&amp;$B115,BD!$K$3:$K$5001,"&lt;&gt;"))))</f>
        <v/>
      </c>
      <c r="R115" s="43" t="str">
        <f>IF(OR($B115="",$A115&gt;$B$9,R$114=""),"",IF(COUNTIFS(BD!$B$3:$B$5001,R$114,BD!$A$3:$A$5001,"&gt;="&amp;$C$7,BD!$A$3:$A$5001,"&lt;="&amp;$B115,BD!$K$3:$K$5001,"&lt;&gt;")=0,"",SUMIFS(BD!$K$3:$K$5001,BD!$B$3:$B$5001,R$114,BD!$A$3:$A$5001,_xlfn.MAXIFS(BD!$A$3:$A$5001,BD!$B$3:$B$5001,R$114,BD!$A$3:$A$5001,"&gt;="&amp;$C$7,BD!$A$3:$A$5001,"&lt;="&amp;$B115,BD!$K$3:$K$5001,"&lt;&gt;"))))</f>
        <v/>
      </c>
      <c r="S115" s="43" t="str">
        <f>IF(OR($B115="",$A115&gt;$B$9,S$114=""),"",IF(COUNTIFS(BD!$B$3:$B$5001,S$114,BD!$A$3:$A$5001,"&gt;="&amp;$C$7,BD!$A$3:$A$5001,"&lt;="&amp;$B115,BD!$K$3:$K$5001,"&lt;&gt;")=0,"",SUMIFS(BD!$K$3:$K$5001,BD!$B$3:$B$5001,S$114,BD!$A$3:$A$5001,_xlfn.MAXIFS(BD!$A$3:$A$5001,BD!$B$3:$B$5001,S$114,BD!$A$3:$A$5001,"&gt;="&amp;$C$7,BD!$A$3:$A$5001,"&lt;="&amp;$B115,BD!$K$3:$K$5001,"&lt;&gt;"))))</f>
        <v/>
      </c>
      <c r="T115" s="43" t="str">
        <f>IF(OR($B115="",$A115&gt;$B$9,T$114=""),"",IF(COUNTIFS(BD!$B$3:$B$5001,T$114,BD!$A$3:$A$5001,"&gt;="&amp;$C$7,BD!$A$3:$A$5001,"&lt;="&amp;$B115,BD!$K$3:$K$5001,"&lt;&gt;")=0,"",SUMIFS(BD!$K$3:$K$5001,BD!$B$3:$B$5001,T$114,BD!$A$3:$A$5001,_xlfn.MAXIFS(BD!$A$3:$A$5001,BD!$B$3:$B$5001,T$114,BD!$A$3:$A$5001,"&gt;="&amp;$C$7,BD!$A$3:$A$5001,"&lt;="&amp;$B115,BD!$K$3:$K$5001,"&lt;&gt;"))))</f>
        <v/>
      </c>
      <c r="U115" s="43" t="str">
        <f>IF(OR($B115="",$A115&gt;$B$9,U$114=""),"",IF(COUNTIFS(BD!$B$3:$B$5001,U$114,BD!$A$3:$A$5001,"&gt;="&amp;$C$7,BD!$A$3:$A$5001,"&lt;="&amp;$B115,BD!$K$3:$K$5001,"&lt;&gt;")=0,"",SUMIFS(BD!$K$3:$K$5001,BD!$B$3:$B$5001,U$114,BD!$A$3:$A$5001,_xlfn.MAXIFS(BD!$A$3:$A$5001,BD!$B$3:$B$5001,U$114,BD!$A$3:$A$5001,"&gt;="&amp;$C$7,BD!$A$3:$A$5001,"&lt;="&amp;$B115,BD!$K$3:$K$5001,"&lt;&gt;"))))</f>
        <v/>
      </c>
      <c r="V115" s="43" t="str">
        <f>IF(OR($B115="",$A115&gt;$B$9,V$114=""),"",IF(COUNTIFS(BD!$B$3:$B$5001,V$114,BD!$A$3:$A$5001,"&gt;="&amp;$C$7,BD!$A$3:$A$5001,"&lt;="&amp;$B115,BD!$K$3:$K$5001,"&lt;&gt;")=0,"",SUMIFS(BD!$K$3:$K$5001,BD!$B$3:$B$5001,V$114,BD!$A$3:$A$5001,_xlfn.MAXIFS(BD!$A$3:$A$5001,BD!$B$3:$B$5001,V$114,BD!$A$3:$A$5001,"&gt;="&amp;$C$7,BD!$A$3:$A$5001,"&lt;="&amp;$B115,BD!$K$3:$K$5001,"&lt;&gt;"))))</f>
        <v/>
      </c>
    </row>
    <row r="116">
      <c r="A116" s="38">
        <v>2</v>
      </c>
      <c r="B116" s="42">
        <f>$B$13</f>
        <v>46297</v>
      </c>
      <c r="C116" s="43" t="str">
        <f>IF(OR($B116="",$A116&gt;$B$9,C$114=""),"",IF(COUNTIFS(BD!$B$3:$B$5001,C$114,BD!$A$3:$A$5001,"&gt;="&amp;$C$7,BD!$A$3:$A$5001,"&lt;="&amp;$B116,BD!$K$3:$K$5001,"&lt;&gt;")=0,"",SUMIFS(BD!$K$3:$K$5001,BD!$B$3:$B$5001,C$114,BD!$A$3:$A$5001,_xlfn.MAXIFS(BD!$A$3:$A$5001,BD!$B$3:$B$5001,C$114,BD!$A$3:$A$5001,"&gt;="&amp;$C$7,BD!$A$3:$A$5001,"&lt;="&amp;$B116,BD!$K$3:$K$5001,"&lt;&gt;"))))</f>
        <v/>
      </c>
      <c r="D116" s="43" t="str">
        <f>IF(OR($B116="",$A116&gt;$B$9,D$114=""),"",IF(COUNTIFS(BD!$B$3:$B$5001,D$114,BD!$A$3:$A$5001,"&gt;="&amp;$C$7,BD!$A$3:$A$5001,"&lt;="&amp;$B116,BD!$K$3:$K$5001,"&lt;&gt;")=0,"",SUMIFS(BD!$K$3:$K$5001,BD!$B$3:$B$5001,D$114,BD!$A$3:$A$5001,_xlfn.MAXIFS(BD!$A$3:$A$5001,BD!$B$3:$B$5001,D$114,BD!$A$3:$A$5001,"&gt;="&amp;$C$7,BD!$A$3:$A$5001,"&lt;="&amp;$B116,BD!$K$3:$K$5001,"&lt;&gt;"))))</f>
        <v/>
      </c>
      <c r="E116" s="43" t="str">
        <f>IF(OR($B116="",$A116&gt;$B$9,E$114=""),"",IF(COUNTIFS(BD!$B$3:$B$5001,E$114,BD!$A$3:$A$5001,"&gt;="&amp;$C$7,BD!$A$3:$A$5001,"&lt;="&amp;$B116,BD!$K$3:$K$5001,"&lt;&gt;")=0,"",SUMIFS(BD!$K$3:$K$5001,BD!$B$3:$B$5001,E$114,BD!$A$3:$A$5001,_xlfn.MAXIFS(BD!$A$3:$A$5001,BD!$B$3:$B$5001,E$114,BD!$A$3:$A$5001,"&gt;="&amp;$C$7,BD!$A$3:$A$5001,"&lt;="&amp;$B116,BD!$K$3:$K$5001,"&lt;&gt;"))))</f>
        <v/>
      </c>
      <c r="F116" s="43" t="str">
        <f>IF(OR($B116="",$A116&gt;$B$9,F$114=""),"",IF(COUNTIFS(BD!$B$3:$B$5001,F$114,BD!$A$3:$A$5001,"&gt;="&amp;$C$7,BD!$A$3:$A$5001,"&lt;="&amp;$B116,BD!$K$3:$K$5001,"&lt;&gt;")=0,"",SUMIFS(BD!$K$3:$K$5001,BD!$B$3:$B$5001,F$114,BD!$A$3:$A$5001,_xlfn.MAXIFS(BD!$A$3:$A$5001,BD!$B$3:$B$5001,F$114,BD!$A$3:$A$5001,"&gt;="&amp;$C$7,BD!$A$3:$A$5001,"&lt;="&amp;$B116,BD!$K$3:$K$5001,"&lt;&gt;"))))</f>
        <v/>
      </c>
      <c r="G116" s="43" t="str">
        <f>IF(OR($B116="",$A116&gt;$B$9,G$114=""),"",IF(COUNTIFS(BD!$B$3:$B$5001,G$114,BD!$A$3:$A$5001,"&gt;="&amp;$C$7,BD!$A$3:$A$5001,"&lt;="&amp;$B116,BD!$K$3:$K$5001,"&lt;&gt;")=0,"",SUMIFS(BD!$K$3:$K$5001,BD!$B$3:$B$5001,G$114,BD!$A$3:$A$5001,_xlfn.MAXIFS(BD!$A$3:$A$5001,BD!$B$3:$B$5001,G$114,BD!$A$3:$A$5001,"&gt;="&amp;$C$7,BD!$A$3:$A$5001,"&lt;="&amp;$B116,BD!$K$3:$K$5001,"&lt;&gt;"))))</f>
        <v/>
      </c>
      <c r="H116" s="43" t="str">
        <f>IF(OR($B116="",$A116&gt;$B$9,H$114=""),"",IF(COUNTIFS(BD!$B$3:$B$5001,H$114,BD!$A$3:$A$5001,"&gt;="&amp;$C$7,BD!$A$3:$A$5001,"&lt;="&amp;$B116,BD!$K$3:$K$5001,"&lt;&gt;")=0,"",SUMIFS(BD!$K$3:$K$5001,BD!$B$3:$B$5001,H$114,BD!$A$3:$A$5001,_xlfn.MAXIFS(BD!$A$3:$A$5001,BD!$B$3:$B$5001,H$114,BD!$A$3:$A$5001,"&gt;="&amp;$C$7,BD!$A$3:$A$5001,"&lt;="&amp;$B116,BD!$K$3:$K$5001,"&lt;&gt;"))))</f>
        <v/>
      </c>
      <c r="I116" s="43" t="str">
        <f>IF(OR($B116="",$A116&gt;$B$9,I$114=""),"",IF(COUNTIFS(BD!$B$3:$B$5001,I$114,BD!$A$3:$A$5001,"&gt;="&amp;$C$7,BD!$A$3:$A$5001,"&lt;="&amp;$B116,BD!$K$3:$K$5001,"&lt;&gt;")=0,"",SUMIFS(BD!$K$3:$K$5001,BD!$B$3:$B$5001,I$114,BD!$A$3:$A$5001,_xlfn.MAXIFS(BD!$A$3:$A$5001,BD!$B$3:$B$5001,I$114,BD!$A$3:$A$5001,"&gt;="&amp;$C$7,BD!$A$3:$A$5001,"&lt;="&amp;$B116,BD!$K$3:$K$5001,"&lt;&gt;"))))</f>
        <v/>
      </c>
      <c r="J116" s="43" t="str">
        <f>IF(OR($B116="",$A116&gt;$B$9,J$114=""),"",IF(COUNTIFS(BD!$B$3:$B$5001,J$114,BD!$A$3:$A$5001,"&gt;="&amp;$C$7,BD!$A$3:$A$5001,"&lt;="&amp;$B116,BD!$K$3:$K$5001,"&lt;&gt;")=0,"",SUMIFS(BD!$K$3:$K$5001,BD!$B$3:$B$5001,J$114,BD!$A$3:$A$5001,_xlfn.MAXIFS(BD!$A$3:$A$5001,BD!$B$3:$B$5001,J$114,BD!$A$3:$A$5001,"&gt;="&amp;$C$7,BD!$A$3:$A$5001,"&lt;="&amp;$B116,BD!$K$3:$K$5001,"&lt;&gt;"))))</f>
        <v/>
      </c>
      <c r="K116" s="43" t="str">
        <f>IF(OR($B116="",$A116&gt;$B$9,K$114=""),"",IF(COUNTIFS(BD!$B$3:$B$5001,K$114,BD!$A$3:$A$5001,"&gt;="&amp;$C$7,BD!$A$3:$A$5001,"&lt;="&amp;$B116,BD!$K$3:$K$5001,"&lt;&gt;")=0,"",SUMIFS(BD!$K$3:$K$5001,BD!$B$3:$B$5001,K$114,BD!$A$3:$A$5001,_xlfn.MAXIFS(BD!$A$3:$A$5001,BD!$B$3:$B$5001,K$114,BD!$A$3:$A$5001,"&gt;="&amp;$C$7,BD!$A$3:$A$5001,"&lt;="&amp;$B116,BD!$K$3:$K$5001,"&lt;&gt;"))))</f>
        <v/>
      </c>
      <c r="L116" s="43" t="str">
        <f>IF(OR($B116="",$A116&gt;$B$9,L$114=""),"",IF(COUNTIFS(BD!$B$3:$B$5001,L$114,BD!$A$3:$A$5001,"&gt;="&amp;$C$7,BD!$A$3:$A$5001,"&lt;="&amp;$B116,BD!$K$3:$K$5001,"&lt;&gt;")=0,"",SUMIFS(BD!$K$3:$K$5001,BD!$B$3:$B$5001,L$114,BD!$A$3:$A$5001,_xlfn.MAXIFS(BD!$A$3:$A$5001,BD!$B$3:$B$5001,L$114,BD!$A$3:$A$5001,"&gt;="&amp;$C$7,BD!$A$3:$A$5001,"&lt;="&amp;$B116,BD!$K$3:$K$5001,"&lt;&gt;"))))</f>
        <v/>
      </c>
      <c r="M116" s="43" t="str">
        <f>IF(OR($B116="",$A116&gt;$B$9,M$114=""),"",IF(COUNTIFS(BD!$B$3:$B$5001,M$114,BD!$A$3:$A$5001,"&gt;="&amp;$C$7,BD!$A$3:$A$5001,"&lt;="&amp;$B116,BD!$K$3:$K$5001,"&lt;&gt;")=0,"",SUMIFS(BD!$K$3:$K$5001,BD!$B$3:$B$5001,M$114,BD!$A$3:$A$5001,_xlfn.MAXIFS(BD!$A$3:$A$5001,BD!$B$3:$B$5001,M$114,BD!$A$3:$A$5001,"&gt;="&amp;$C$7,BD!$A$3:$A$5001,"&lt;="&amp;$B116,BD!$K$3:$K$5001,"&lt;&gt;"))))</f>
        <v/>
      </c>
      <c r="N116" s="43" t="str">
        <f>IF(OR($B116="",$A116&gt;$B$9,N$114=""),"",IF(COUNTIFS(BD!$B$3:$B$5001,N$114,BD!$A$3:$A$5001,"&gt;="&amp;$C$7,BD!$A$3:$A$5001,"&lt;="&amp;$B116,BD!$K$3:$K$5001,"&lt;&gt;")=0,"",SUMIFS(BD!$K$3:$K$5001,BD!$B$3:$B$5001,N$114,BD!$A$3:$A$5001,_xlfn.MAXIFS(BD!$A$3:$A$5001,BD!$B$3:$B$5001,N$114,BD!$A$3:$A$5001,"&gt;="&amp;$C$7,BD!$A$3:$A$5001,"&lt;="&amp;$B116,BD!$K$3:$K$5001,"&lt;&gt;"))))</f>
        <v/>
      </c>
      <c r="O116" s="43" t="str">
        <f>IF(OR($B116="",$A116&gt;$B$9,O$114=""),"",IF(COUNTIFS(BD!$B$3:$B$5001,O$114,BD!$A$3:$A$5001,"&gt;="&amp;$C$7,BD!$A$3:$A$5001,"&lt;="&amp;$B116,BD!$K$3:$K$5001,"&lt;&gt;")=0,"",SUMIFS(BD!$K$3:$K$5001,BD!$B$3:$B$5001,O$114,BD!$A$3:$A$5001,_xlfn.MAXIFS(BD!$A$3:$A$5001,BD!$B$3:$B$5001,O$114,BD!$A$3:$A$5001,"&gt;="&amp;$C$7,BD!$A$3:$A$5001,"&lt;="&amp;$B116,BD!$K$3:$K$5001,"&lt;&gt;"))))</f>
        <v/>
      </c>
      <c r="P116" s="43" t="str">
        <f>IF(OR($B116="",$A116&gt;$B$9,P$114=""),"",IF(COUNTIFS(BD!$B$3:$B$5001,P$114,BD!$A$3:$A$5001,"&gt;="&amp;$C$7,BD!$A$3:$A$5001,"&lt;="&amp;$B116,BD!$K$3:$K$5001,"&lt;&gt;")=0,"",SUMIFS(BD!$K$3:$K$5001,BD!$B$3:$B$5001,P$114,BD!$A$3:$A$5001,_xlfn.MAXIFS(BD!$A$3:$A$5001,BD!$B$3:$B$5001,P$114,BD!$A$3:$A$5001,"&gt;="&amp;$C$7,BD!$A$3:$A$5001,"&lt;="&amp;$B116,BD!$K$3:$K$5001,"&lt;&gt;"))))</f>
        <v/>
      </c>
      <c r="Q116" s="43" t="str">
        <f>IF(OR($B116="",$A116&gt;$B$9,Q$114=""),"",IF(COUNTIFS(BD!$B$3:$B$5001,Q$114,BD!$A$3:$A$5001,"&gt;="&amp;$C$7,BD!$A$3:$A$5001,"&lt;="&amp;$B116,BD!$K$3:$K$5001,"&lt;&gt;")=0,"",SUMIFS(BD!$K$3:$K$5001,BD!$B$3:$B$5001,Q$114,BD!$A$3:$A$5001,_xlfn.MAXIFS(BD!$A$3:$A$5001,BD!$B$3:$B$5001,Q$114,BD!$A$3:$A$5001,"&gt;="&amp;$C$7,BD!$A$3:$A$5001,"&lt;="&amp;$B116,BD!$K$3:$K$5001,"&lt;&gt;"))))</f>
        <v/>
      </c>
      <c r="R116" s="43" t="str">
        <f>IF(OR($B116="",$A116&gt;$B$9,R$114=""),"",IF(COUNTIFS(BD!$B$3:$B$5001,R$114,BD!$A$3:$A$5001,"&gt;="&amp;$C$7,BD!$A$3:$A$5001,"&lt;="&amp;$B116,BD!$K$3:$K$5001,"&lt;&gt;")=0,"",SUMIFS(BD!$K$3:$K$5001,BD!$B$3:$B$5001,R$114,BD!$A$3:$A$5001,_xlfn.MAXIFS(BD!$A$3:$A$5001,BD!$B$3:$B$5001,R$114,BD!$A$3:$A$5001,"&gt;="&amp;$C$7,BD!$A$3:$A$5001,"&lt;="&amp;$B116,BD!$K$3:$K$5001,"&lt;&gt;"))))</f>
        <v/>
      </c>
      <c r="S116" s="43" t="str">
        <f>IF(OR($B116="",$A116&gt;$B$9,S$114=""),"",IF(COUNTIFS(BD!$B$3:$B$5001,S$114,BD!$A$3:$A$5001,"&gt;="&amp;$C$7,BD!$A$3:$A$5001,"&lt;="&amp;$B116,BD!$K$3:$K$5001,"&lt;&gt;")=0,"",SUMIFS(BD!$K$3:$K$5001,BD!$B$3:$B$5001,S$114,BD!$A$3:$A$5001,_xlfn.MAXIFS(BD!$A$3:$A$5001,BD!$B$3:$B$5001,S$114,BD!$A$3:$A$5001,"&gt;="&amp;$C$7,BD!$A$3:$A$5001,"&lt;="&amp;$B116,BD!$K$3:$K$5001,"&lt;&gt;"))))</f>
        <v/>
      </c>
      <c r="T116" s="43" t="str">
        <f>IF(OR($B116="",$A116&gt;$B$9,T$114=""),"",IF(COUNTIFS(BD!$B$3:$B$5001,T$114,BD!$A$3:$A$5001,"&gt;="&amp;$C$7,BD!$A$3:$A$5001,"&lt;="&amp;$B116,BD!$K$3:$K$5001,"&lt;&gt;")=0,"",SUMIFS(BD!$K$3:$K$5001,BD!$B$3:$B$5001,T$114,BD!$A$3:$A$5001,_xlfn.MAXIFS(BD!$A$3:$A$5001,BD!$B$3:$B$5001,T$114,BD!$A$3:$A$5001,"&gt;="&amp;$C$7,BD!$A$3:$A$5001,"&lt;="&amp;$B116,BD!$K$3:$K$5001,"&lt;&gt;"))))</f>
        <v/>
      </c>
      <c r="U116" s="43" t="str">
        <f>IF(OR($B116="",$A116&gt;$B$9,U$114=""),"",IF(COUNTIFS(BD!$B$3:$B$5001,U$114,BD!$A$3:$A$5001,"&gt;="&amp;$C$7,BD!$A$3:$A$5001,"&lt;="&amp;$B116,BD!$K$3:$K$5001,"&lt;&gt;")=0,"",SUMIFS(BD!$K$3:$K$5001,BD!$B$3:$B$5001,U$114,BD!$A$3:$A$5001,_xlfn.MAXIFS(BD!$A$3:$A$5001,BD!$B$3:$B$5001,U$114,BD!$A$3:$A$5001,"&gt;="&amp;$C$7,BD!$A$3:$A$5001,"&lt;="&amp;$B116,BD!$K$3:$K$5001,"&lt;&gt;"))))</f>
        <v/>
      </c>
      <c r="V116" s="43" t="str">
        <f>IF(OR($B116="",$A116&gt;$B$9,V$114=""),"",IF(COUNTIFS(BD!$B$3:$B$5001,V$114,BD!$A$3:$A$5001,"&gt;="&amp;$C$7,BD!$A$3:$A$5001,"&lt;="&amp;$B116,BD!$K$3:$K$5001,"&lt;&gt;")=0,"",SUMIFS(BD!$K$3:$K$5001,BD!$B$3:$B$5001,V$114,BD!$A$3:$A$5001,_xlfn.MAXIFS(BD!$A$3:$A$5001,BD!$B$3:$B$5001,V$114,BD!$A$3:$A$5001,"&gt;="&amp;$C$7,BD!$A$3:$A$5001,"&lt;="&amp;$B116,BD!$K$3:$K$5001,"&lt;&gt;"))))</f>
        <v/>
      </c>
    </row>
    <row r="117">
      <c r="A117" s="38">
        <v>3</v>
      </c>
      <c r="B117" s="42">
        <f>$B$14</f>
        <v>46298</v>
      </c>
      <c r="C117" s="43" t="str">
        <f>IF(OR($B117="",$A117&gt;$B$9,C$114=""),"",IF(COUNTIFS(BD!$B$3:$B$5001,C$114,BD!$A$3:$A$5001,"&gt;="&amp;$C$7,BD!$A$3:$A$5001,"&lt;="&amp;$B117,BD!$K$3:$K$5001,"&lt;&gt;")=0,"",SUMIFS(BD!$K$3:$K$5001,BD!$B$3:$B$5001,C$114,BD!$A$3:$A$5001,_xlfn.MAXIFS(BD!$A$3:$A$5001,BD!$B$3:$B$5001,C$114,BD!$A$3:$A$5001,"&gt;="&amp;$C$7,BD!$A$3:$A$5001,"&lt;="&amp;$B117,BD!$K$3:$K$5001,"&lt;&gt;"))))</f>
        <v/>
      </c>
      <c r="D117" s="43" t="str">
        <f>IF(OR($B117="",$A117&gt;$B$9,D$114=""),"",IF(COUNTIFS(BD!$B$3:$B$5001,D$114,BD!$A$3:$A$5001,"&gt;="&amp;$C$7,BD!$A$3:$A$5001,"&lt;="&amp;$B117,BD!$K$3:$K$5001,"&lt;&gt;")=0,"",SUMIFS(BD!$K$3:$K$5001,BD!$B$3:$B$5001,D$114,BD!$A$3:$A$5001,_xlfn.MAXIFS(BD!$A$3:$A$5001,BD!$B$3:$B$5001,D$114,BD!$A$3:$A$5001,"&gt;="&amp;$C$7,BD!$A$3:$A$5001,"&lt;="&amp;$B117,BD!$K$3:$K$5001,"&lt;&gt;"))))</f>
        <v/>
      </c>
      <c r="E117" s="43" t="str">
        <f>IF(OR($B117="",$A117&gt;$B$9,E$114=""),"",IF(COUNTIFS(BD!$B$3:$B$5001,E$114,BD!$A$3:$A$5001,"&gt;="&amp;$C$7,BD!$A$3:$A$5001,"&lt;="&amp;$B117,BD!$K$3:$K$5001,"&lt;&gt;")=0,"",SUMIFS(BD!$K$3:$K$5001,BD!$B$3:$B$5001,E$114,BD!$A$3:$A$5001,_xlfn.MAXIFS(BD!$A$3:$A$5001,BD!$B$3:$B$5001,E$114,BD!$A$3:$A$5001,"&gt;="&amp;$C$7,BD!$A$3:$A$5001,"&lt;="&amp;$B117,BD!$K$3:$K$5001,"&lt;&gt;"))))</f>
        <v/>
      </c>
      <c r="F117" s="43" t="str">
        <f>IF(OR($B117="",$A117&gt;$B$9,F$114=""),"",IF(COUNTIFS(BD!$B$3:$B$5001,F$114,BD!$A$3:$A$5001,"&gt;="&amp;$C$7,BD!$A$3:$A$5001,"&lt;="&amp;$B117,BD!$K$3:$K$5001,"&lt;&gt;")=0,"",SUMIFS(BD!$K$3:$K$5001,BD!$B$3:$B$5001,F$114,BD!$A$3:$A$5001,_xlfn.MAXIFS(BD!$A$3:$A$5001,BD!$B$3:$B$5001,F$114,BD!$A$3:$A$5001,"&gt;="&amp;$C$7,BD!$A$3:$A$5001,"&lt;="&amp;$B117,BD!$K$3:$K$5001,"&lt;&gt;"))))</f>
        <v/>
      </c>
      <c r="G117" s="43" t="str">
        <f>IF(OR($B117="",$A117&gt;$B$9,G$114=""),"",IF(COUNTIFS(BD!$B$3:$B$5001,G$114,BD!$A$3:$A$5001,"&gt;="&amp;$C$7,BD!$A$3:$A$5001,"&lt;="&amp;$B117,BD!$K$3:$K$5001,"&lt;&gt;")=0,"",SUMIFS(BD!$K$3:$K$5001,BD!$B$3:$B$5001,G$114,BD!$A$3:$A$5001,_xlfn.MAXIFS(BD!$A$3:$A$5001,BD!$B$3:$B$5001,G$114,BD!$A$3:$A$5001,"&gt;="&amp;$C$7,BD!$A$3:$A$5001,"&lt;="&amp;$B117,BD!$K$3:$K$5001,"&lt;&gt;"))))</f>
        <v/>
      </c>
      <c r="H117" s="43" t="str">
        <f>IF(OR($B117="",$A117&gt;$B$9,H$114=""),"",IF(COUNTIFS(BD!$B$3:$B$5001,H$114,BD!$A$3:$A$5001,"&gt;="&amp;$C$7,BD!$A$3:$A$5001,"&lt;="&amp;$B117,BD!$K$3:$K$5001,"&lt;&gt;")=0,"",SUMIFS(BD!$K$3:$K$5001,BD!$B$3:$B$5001,H$114,BD!$A$3:$A$5001,_xlfn.MAXIFS(BD!$A$3:$A$5001,BD!$B$3:$B$5001,H$114,BD!$A$3:$A$5001,"&gt;="&amp;$C$7,BD!$A$3:$A$5001,"&lt;="&amp;$B117,BD!$K$3:$K$5001,"&lt;&gt;"))))</f>
        <v/>
      </c>
      <c r="I117" s="43" t="str">
        <f>IF(OR($B117="",$A117&gt;$B$9,I$114=""),"",IF(COUNTIFS(BD!$B$3:$B$5001,I$114,BD!$A$3:$A$5001,"&gt;="&amp;$C$7,BD!$A$3:$A$5001,"&lt;="&amp;$B117,BD!$K$3:$K$5001,"&lt;&gt;")=0,"",SUMIFS(BD!$K$3:$K$5001,BD!$B$3:$B$5001,I$114,BD!$A$3:$A$5001,_xlfn.MAXIFS(BD!$A$3:$A$5001,BD!$B$3:$B$5001,I$114,BD!$A$3:$A$5001,"&gt;="&amp;$C$7,BD!$A$3:$A$5001,"&lt;="&amp;$B117,BD!$K$3:$K$5001,"&lt;&gt;"))))</f>
        <v/>
      </c>
      <c r="J117" s="43" t="str">
        <f>IF(OR($B117="",$A117&gt;$B$9,J$114=""),"",IF(COUNTIFS(BD!$B$3:$B$5001,J$114,BD!$A$3:$A$5001,"&gt;="&amp;$C$7,BD!$A$3:$A$5001,"&lt;="&amp;$B117,BD!$K$3:$K$5001,"&lt;&gt;")=0,"",SUMIFS(BD!$K$3:$K$5001,BD!$B$3:$B$5001,J$114,BD!$A$3:$A$5001,_xlfn.MAXIFS(BD!$A$3:$A$5001,BD!$B$3:$B$5001,J$114,BD!$A$3:$A$5001,"&gt;="&amp;$C$7,BD!$A$3:$A$5001,"&lt;="&amp;$B117,BD!$K$3:$K$5001,"&lt;&gt;"))))</f>
        <v/>
      </c>
      <c r="K117" s="43" t="str">
        <f>IF(OR($B117="",$A117&gt;$B$9,K$114=""),"",IF(COUNTIFS(BD!$B$3:$B$5001,K$114,BD!$A$3:$A$5001,"&gt;="&amp;$C$7,BD!$A$3:$A$5001,"&lt;="&amp;$B117,BD!$K$3:$K$5001,"&lt;&gt;")=0,"",SUMIFS(BD!$K$3:$K$5001,BD!$B$3:$B$5001,K$114,BD!$A$3:$A$5001,_xlfn.MAXIFS(BD!$A$3:$A$5001,BD!$B$3:$B$5001,K$114,BD!$A$3:$A$5001,"&gt;="&amp;$C$7,BD!$A$3:$A$5001,"&lt;="&amp;$B117,BD!$K$3:$K$5001,"&lt;&gt;"))))</f>
        <v/>
      </c>
      <c r="L117" s="43" t="str">
        <f>IF(OR($B117="",$A117&gt;$B$9,L$114=""),"",IF(COUNTIFS(BD!$B$3:$B$5001,L$114,BD!$A$3:$A$5001,"&gt;="&amp;$C$7,BD!$A$3:$A$5001,"&lt;="&amp;$B117,BD!$K$3:$K$5001,"&lt;&gt;")=0,"",SUMIFS(BD!$K$3:$K$5001,BD!$B$3:$B$5001,L$114,BD!$A$3:$A$5001,_xlfn.MAXIFS(BD!$A$3:$A$5001,BD!$B$3:$B$5001,L$114,BD!$A$3:$A$5001,"&gt;="&amp;$C$7,BD!$A$3:$A$5001,"&lt;="&amp;$B117,BD!$K$3:$K$5001,"&lt;&gt;"))))</f>
        <v/>
      </c>
      <c r="M117" s="43" t="str">
        <f>IF(OR($B117="",$A117&gt;$B$9,M$114=""),"",IF(COUNTIFS(BD!$B$3:$B$5001,M$114,BD!$A$3:$A$5001,"&gt;="&amp;$C$7,BD!$A$3:$A$5001,"&lt;="&amp;$B117,BD!$K$3:$K$5001,"&lt;&gt;")=0,"",SUMIFS(BD!$K$3:$K$5001,BD!$B$3:$B$5001,M$114,BD!$A$3:$A$5001,_xlfn.MAXIFS(BD!$A$3:$A$5001,BD!$B$3:$B$5001,M$114,BD!$A$3:$A$5001,"&gt;="&amp;$C$7,BD!$A$3:$A$5001,"&lt;="&amp;$B117,BD!$K$3:$K$5001,"&lt;&gt;"))))</f>
        <v/>
      </c>
      <c r="N117" s="43" t="str">
        <f>IF(OR($B117="",$A117&gt;$B$9,N$114=""),"",IF(COUNTIFS(BD!$B$3:$B$5001,N$114,BD!$A$3:$A$5001,"&gt;="&amp;$C$7,BD!$A$3:$A$5001,"&lt;="&amp;$B117,BD!$K$3:$K$5001,"&lt;&gt;")=0,"",SUMIFS(BD!$K$3:$K$5001,BD!$B$3:$B$5001,N$114,BD!$A$3:$A$5001,_xlfn.MAXIFS(BD!$A$3:$A$5001,BD!$B$3:$B$5001,N$114,BD!$A$3:$A$5001,"&gt;="&amp;$C$7,BD!$A$3:$A$5001,"&lt;="&amp;$B117,BD!$K$3:$K$5001,"&lt;&gt;"))))</f>
        <v/>
      </c>
      <c r="O117" s="43" t="str">
        <f>IF(OR($B117="",$A117&gt;$B$9,O$114=""),"",IF(COUNTIFS(BD!$B$3:$B$5001,O$114,BD!$A$3:$A$5001,"&gt;="&amp;$C$7,BD!$A$3:$A$5001,"&lt;="&amp;$B117,BD!$K$3:$K$5001,"&lt;&gt;")=0,"",SUMIFS(BD!$K$3:$K$5001,BD!$B$3:$B$5001,O$114,BD!$A$3:$A$5001,_xlfn.MAXIFS(BD!$A$3:$A$5001,BD!$B$3:$B$5001,O$114,BD!$A$3:$A$5001,"&gt;="&amp;$C$7,BD!$A$3:$A$5001,"&lt;="&amp;$B117,BD!$K$3:$K$5001,"&lt;&gt;"))))</f>
        <v/>
      </c>
      <c r="P117" s="43" t="str">
        <f>IF(OR($B117="",$A117&gt;$B$9,P$114=""),"",IF(COUNTIFS(BD!$B$3:$B$5001,P$114,BD!$A$3:$A$5001,"&gt;="&amp;$C$7,BD!$A$3:$A$5001,"&lt;="&amp;$B117,BD!$K$3:$K$5001,"&lt;&gt;")=0,"",SUMIFS(BD!$K$3:$K$5001,BD!$B$3:$B$5001,P$114,BD!$A$3:$A$5001,_xlfn.MAXIFS(BD!$A$3:$A$5001,BD!$B$3:$B$5001,P$114,BD!$A$3:$A$5001,"&gt;="&amp;$C$7,BD!$A$3:$A$5001,"&lt;="&amp;$B117,BD!$K$3:$K$5001,"&lt;&gt;"))))</f>
        <v/>
      </c>
      <c r="Q117" s="43" t="str">
        <f>IF(OR($B117="",$A117&gt;$B$9,Q$114=""),"",IF(COUNTIFS(BD!$B$3:$B$5001,Q$114,BD!$A$3:$A$5001,"&gt;="&amp;$C$7,BD!$A$3:$A$5001,"&lt;="&amp;$B117,BD!$K$3:$K$5001,"&lt;&gt;")=0,"",SUMIFS(BD!$K$3:$K$5001,BD!$B$3:$B$5001,Q$114,BD!$A$3:$A$5001,_xlfn.MAXIFS(BD!$A$3:$A$5001,BD!$B$3:$B$5001,Q$114,BD!$A$3:$A$5001,"&gt;="&amp;$C$7,BD!$A$3:$A$5001,"&lt;="&amp;$B117,BD!$K$3:$K$5001,"&lt;&gt;"))))</f>
        <v/>
      </c>
      <c r="R117" s="43" t="str">
        <f>IF(OR($B117="",$A117&gt;$B$9,R$114=""),"",IF(COUNTIFS(BD!$B$3:$B$5001,R$114,BD!$A$3:$A$5001,"&gt;="&amp;$C$7,BD!$A$3:$A$5001,"&lt;="&amp;$B117,BD!$K$3:$K$5001,"&lt;&gt;")=0,"",SUMIFS(BD!$K$3:$K$5001,BD!$B$3:$B$5001,R$114,BD!$A$3:$A$5001,_xlfn.MAXIFS(BD!$A$3:$A$5001,BD!$B$3:$B$5001,R$114,BD!$A$3:$A$5001,"&gt;="&amp;$C$7,BD!$A$3:$A$5001,"&lt;="&amp;$B117,BD!$K$3:$K$5001,"&lt;&gt;"))))</f>
        <v/>
      </c>
      <c r="S117" s="43" t="str">
        <f>IF(OR($B117="",$A117&gt;$B$9,S$114=""),"",IF(COUNTIFS(BD!$B$3:$B$5001,S$114,BD!$A$3:$A$5001,"&gt;="&amp;$C$7,BD!$A$3:$A$5001,"&lt;="&amp;$B117,BD!$K$3:$K$5001,"&lt;&gt;")=0,"",SUMIFS(BD!$K$3:$K$5001,BD!$B$3:$B$5001,S$114,BD!$A$3:$A$5001,_xlfn.MAXIFS(BD!$A$3:$A$5001,BD!$B$3:$B$5001,S$114,BD!$A$3:$A$5001,"&gt;="&amp;$C$7,BD!$A$3:$A$5001,"&lt;="&amp;$B117,BD!$K$3:$K$5001,"&lt;&gt;"))))</f>
        <v/>
      </c>
      <c r="T117" s="43" t="str">
        <f>IF(OR($B117="",$A117&gt;$B$9,T$114=""),"",IF(COUNTIFS(BD!$B$3:$B$5001,T$114,BD!$A$3:$A$5001,"&gt;="&amp;$C$7,BD!$A$3:$A$5001,"&lt;="&amp;$B117,BD!$K$3:$K$5001,"&lt;&gt;")=0,"",SUMIFS(BD!$K$3:$K$5001,BD!$B$3:$B$5001,T$114,BD!$A$3:$A$5001,_xlfn.MAXIFS(BD!$A$3:$A$5001,BD!$B$3:$B$5001,T$114,BD!$A$3:$A$5001,"&gt;="&amp;$C$7,BD!$A$3:$A$5001,"&lt;="&amp;$B117,BD!$K$3:$K$5001,"&lt;&gt;"))))</f>
        <v/>
      </c>
      <c r="U117" s="43" t="str">
        <f>IF(OR($B117="",$A117&gt;$B$9,U$114=""),"",IF(COUNTIFS(BD!$B$3:$B$5001,U$114,BD!$A$3:$A$5001,"&gt;="&amp;$C$7,BD!$A$3:$A$5001,"&lt;="&amp;$B117,BD!$K$3:$K$5001,"&lt;&gt;")=0,"",SUMIFS(BD!$K$3:$K$5001,BD!$B$3:$B$5001,U$114,BD!$A$3:$A$5001,_xlfn.MAXIFS(BD!$A$3:$A$5001,BD!$B$3:$B$5001,U$114,BD!$A$3:$A$5001,"&gt;="&amp;$C$7,BD!$A$3:$A$5001,"&lt;="&amp;$B117,BD!$K$3:$K$5001,"&lt;&gt;"))))</f>
        <v/>
      </c>
      <c r="V117" s="43" t="str">
        <f>IF(OR($B117="",$A117&gt;$B$9,V$114=""),"",IF(COUNTIFS(BD!$B$3:$B$5001,V$114,BD!$A$3:$A$5001,"&gt;="&amp;$C$7,BD!$A$3:$A$5001,"&lt;="&amp;$B117,BD!$K$3:$K$5001,"&lt;&gt;")=0,"",SUMIFS(BD!$K$3:$K$5001,BD!$B$3:$B$5001,V$114,BD!$A$3:$A$5001,_xlfn.MAXIFS(BD!$A$3:$A$5001,BD!$B$3:$B$5001,V$114,BD!$A$3:$A$5001,"&gt;="&amp;$C$7,BD!$A$3:$A$5001,"&lt;="&amp;$B117,BD!$K$3:$K$5001,"&lt;&gt;"))))</f>
        <v/>
      </c>
    </row>
    <row r="118">
      <c r="A118" s="38">
        <v>4</v>
      </c>
      <c r="B118" s="42">
        <f>$B$15</f>
        <v>46299</v>
      </c>
      <c r="C118" s="43" t="str">
        <f>IF(OR($B118="",$A118&gt;$B$9,C$114=""),"",IF(COUNTIFS(BD!$B$3:$B$5001,C$114,BD!$A$3:$A$5001,"&gt;="&amp;$C$7,BD!$A$3:$A$5001,"&lt;="&amp;$B118,BD!$K$3:$K$5001,"&lt;&gt;")=0,"",SUMIFS(BD!$K$3:$K$5001,BD!$B$3:$B$5001,C$114,BD!$A$3:$A$5001,_xlfn.MAXIFS(BD!$A$3:$A$5001,BD!$B$3:$B$5001,C$114,BD!$A$3:$A$5001,"&gt;="&amp;$C$7,BD!$A$3:$A$5001,"&lt;="&amp;$B118,BD!$K$3:$K$5001,"&lt;&gt;"))))</f>
        <v/>
      </c>
      <c r="D118" s="43" t="str">
        <f>IF(OR($B118="",$A118&gt;$B$9,D$114=""),"",IF(COUNTIFS(BD!$B$3:$B$5001,D$114,BD!$A$3:$A$5001,"&gt;="&amp;$C$7,BD!$A$3:$A$5001,"&lt;="&amp;$B118,BD!$K$3:$K$5001,"&lt;&gt;")=0,"",SUMIFS(BD!$K$3:$K$5001,BD!$B$3:$B$5001,D$114,BD!$A$3:$A$5001,_xlfn.MAXIFS(BD!$A$3:$A$5001,BD!$B$3:$B$5001,D$114,BD!$A$3:$A$5001,"&gt;="&amp;$C$7,BD!$A$3:$A$5001,"&lt;="&amp;$B118,BD!$K$3:$K$5001,"&lt;&gt;"))))</f>
        <v/>
      </c>
      <c r="E118" s="43" t="str">
        <f>IF(OR($B118="",$A118&gt;$B$9,E$114=""),"",IF(COUNTIFS(BD!$B$3:$B$5001,E$114,BD!$A$3:$A$5001,"&gt;="&amp;$C$7,BD!$A$3:$A$5001,"&lt;="&amp;$B118,BD!$K$3:$K$5001,"&lt;&gt;")=0,"",SUMIFS(BD!$K$3:$K$5001,BD!$B$3:$B$5001,E$114,BD!$A$3:$A$5001,_xlfn.MAXIFS(BD!$A$3:$A$5001,BD!$B$3:$B$5001,E$114,BD!$A$3:$A$5001,"&gt;="&amp;$C$7,BD!$A$3:$A$5001,"&lt;="&amp;$B118,BD!$K$3:$K$5001,"&lt;&gt;"))))</f>
        <v/>
      </c>
      <c r="F118" s="43" t="str">
        <f>IF(OR($B118="",$A118&gt;$B$9,F$114=""),"",IF(COUNTIFS(BD!$B$3:$B$5001,F$114,BD!$A$3:$A$5001,"&gt;="&amp;$C$7,BD!$A$3:$A$5001,"&lt;="&amp;$B118,BD!$K$3:$K$5001,"&lt;&gt;")=0,"",SUMIFS(BD!$K$3:$K$5001,BD!$B$3:$B$5001,F$114,BD!$A$3:$A$5001,_xlfn.MAXIFS(BD!$A$3:$A$5001,BD!$B$3:$B$5001,F$114,BD!$A$3:$A$5001,"&gt;="&amp;$C$7,BD!$A$3:$A$5001,"&lt;="&amp;$B118,BD!$K$3:$K$5001,"&lt;&gt;"))))</f>
        <v/>
      </c>
      <c r="G118" s="43" t="str">
        <f>IF(OR($B118="",$A118&gt;$B$9,G$114=""),"",IF(COUNTIFS(BD!$B$3:$B$5001,G$114,BD!$A$3:$A$5001,"&gt;="&amp;$C$7,BD!$A$3:$A$5001,"&lt;="&amp;$B118,BD!$K$3:$K$5001,"&lt;&gt;")=0,"",SUMIFS(BD!$K$3:$K$5001,BD!$B$3:$B$5001,G$114,BD!$A$3:$A$5001,_xlfn.MAXIFS(BD!$A$3:$A$5001,BD!$B$3:$B$5001,G$114,BD!$A$3:$A$5001,"&gt;="&amp;$C$7,BD!$A$3:$A$5001,"&lt;="&amp;$B118,BD!$K$3:$K$5001,"&lt;&gt;"))))</f>
        <v/>
      </c>
      <c r="H118" s="43" t="str">
        <f>IF(OR($B118="",$A118&gt;$B$9,H$114=""),"",IF(COUNTIFS(BD!$B$3:$B$5001,H$114,BD!$A$3:$A$5001,"&gt;="&amp;$C$7,BD!$A$3:$A$5001,"&lt;="&amp;$B118,BD!$K$3:$K$5001,"&lt;&gt;")=0,"",SUMIFS(BD!$K$3:$K$5001,BD!$B$3:$B$5001,H$114,BD!$A$3:$A$5001,_xlfn.MAXIFS(BD!$A$3:$A$5001,BD!$B$3:$B$5001,H$114,BD!$A$3:$A$5001,"&gt;="&amp;$C$7,BD!$A$3:$A$5001,"&lt;="&amp;$B118,BD!$K$3:$K$5001,"&lt;&gt;"))))</f>
        <v/>
      </c>
      <c r="I118" s="43" t="str">
        <f>IF(OR($B118="",$A118&gt;$B$9,I$114=""),"",IF(COUNTIFS(BD!$B$3:$B$5001,I$114,BD!$A$3:$A$5001,"&gt;="&amp;$C$7,BD!$A$3:$A$5001,"&lt;="&amp;$B118,BD!$K$3:$K$5001,"&lt;&gt;")=0,"",SUMIFS(BD!$K$3:$K$5001,BD!$B$3:$B$5001,I$114,BD!$A$3:$A$5001,_xlfn.MAXIFS(BD!$A$3:$A$5001,BD!$B$3:$B$5001,I$114,BD!$A$3:$A$5001,"&gt;="&amp;$C$7,BD!$A$3:$A$5001,"&lt;="&amp;$B118,BD!$K$3:$K$5001,"&lt;&gt;"))))</f>
        <v/>
      </c>
      <c r="J118" s="43" t="str">
        <f>IF(OR($B118="",$A118&gt;$B$9,J$114=""),"",IF(COUNTIFS(BD!$B$3:$B$5001,J$114,BD!$A$3:$A$5001,"&gt;="&amp;$C$7,BD!$A$3:$A$5001,"&lt;="&amp;$B118,BD!$K$3:$K$5001,"&lt;&gt;")=0,"",SUMIFS(BD!$K$3:$K$5001,BD!$B$3:$B$5001,J$114,BD!$A$3:$A$5001,_xlfn.MAXIFS(BD!$A$3:$A$5001,BD!$B$3:$B$5001,J$114,BD!$A$3:$A$5001,"&gt;="&amp;$C$7,BD!$A$3:$A$5001,"&lt;="&amp;$B118,BD!$K$3:$K$5001,"&lt;&gt;"))))</f>
        <v/>
      </c>
      <c r="K118" s="43" t="str">
        <f>IF(OR($B118="",$A118&gt;$B$9,K$114=""),"",IF(COUNTIFS(BD!$B$3:$B$5001,K$114,BD!$A$3:$A$5001,"&gt;="&amp;$C$7,BD!$A$3:$A$5001,"&lt;="&amp;$B118,BD!$K$3:$K$5001,"&lt;&gt;")=0,"",SUMIFS(BD!$K$3:$K$5001,BD!$B$3:$B$5001,K$114,BD!$A$3:$A$5001,_xlfn.MAXIFS(BD!$A$3:$A$5001,BD!$B$3:$B$5001,K$114,BD!$A$3:$A$5001,"&gt;="&amp;$C$7,BD!$A$3:$A$5001,"&lt;="&amp;$B118,BD!$K$3:$K$5001,"&lt;&gt;"))))</f>
        <v/>
      </c>
      <c r="L118" s="43" t="str">
        <f>IF(OR($B118="",$A118&gt;$B$9,L$114=""),"",IF(COUNTIFS(BD!$B$3:$B$5001,L$114,BD!$A$3:$A$5001,"&gt;="&amp;$C$7,BD!$A$3:$A$5001,"&lt;="&amp;$B118,BD!$K$3:$K$5001,"&lt;&gt;")=0,"",SUMIFS(BD!$K$3:$K$5001,BD!$B$3:$B$5001,L$114,BD!$A$3:$A$5001,_xlfn.MAXIFS(BD!$A$3:$A$5001,BD!$B$3:$B$5001,L$114,BD!$A$3:$A$5001,"&gt;="&amp;$C$7,BD!$A$3:$A$5001,"&lt;="&amp;$B118,BD!$K$3:$K$5001,"&lt;&gt;"))))</f>
        <v/>
      </c>
      <c r="M118" s="43" t="str">
        <f>IF(OR($B118="",$A118&gt;$B$9,M$114=""),"",IF(COUNTIFS(BD!$B$3:$B$5001,M$114,BD!$A$3:$A$5001,"&gt;="&amp;$C$7,BD!$A$3:$A$5001,"&lt;="&amp;$B118,BD!$K$3:$K$5001,"&lt;&gt;")=0,"",SUMIFS(BD!$K$3:$K$5001,BD!$B$3:$B$5001,M$114,BD!$A$3:$A$5001,_xlfn.MAXIFS(BD!$A$3:$A$5001,BD!$B$3:$B$5001,M$114,BD!$A$3:$A$5001,"&gt;="&amp;$C$7,BD!$A$3:$A$5001,"&lt;="&amp;$B118,BD!$K$3:$K$5001,"&lt;&gt;"))))</f>
        <v/>
      </c>
      <c r="N118" s="43" t="str">
        <f>IF(OR($B118="",$A118&gt;$B$9,N$114=""),"",IF(COUNTIFS(BD!$B$3:$B$5001,N$114,BD!$A$3:$A$5001,"&gt;="&amp;$C$7,BD!$A$3:$A$5001,"&lt;="&amp;$B118,BD!$K$3:$K$5001,"&lt;&gt;")=0,"",SUMIFS(BD!$K$3:$K$5001,BD!$B$3:$B$5001,N$114,BD!$A$3:$A$5001,_xlfn.MAXIFS(BD!$A$3:$A$5001,BD!$B$3:$B$5001,N$114,BD!$A$3:$A$5001,"&gt;="&amp;$C$7,BD!$A$3:$A$5001,"&lt;="&amp;$B118,BD!$K$3:$K$5001,"&lt;&gt;"))))</f>
        <v/>
      </c>
      <c r="O118" s="43" t="str">
        <f>IF(OR($B118="",$A118&gt;$B$9,O$114=""),"",IF(COUNTIFS(BD!$B$3:$B$5001,O$114,BD!$A$3:$A$5001,"&gt;="&amp;$C$7,BD!$A$3:$A$5001,"&lt;="&amp;$B118,BD!$K$3:$K$5001,"&lt;&gt;")=0,"",SUMIFS(BD!$K$3:$K$5001,BD!$B$3:$B$5001,O$114,BD!$A$3:$A$5001,_xlfn.MAXIFS(BD!$A$3:$A$5001,BD!$B$3:$B$5001,O$114,BD!$A$3:$A$5001,"&gt;="&amp;$C$7,BD!$A$3:$A$5001,"&lt;="&amp;$B118,BD!$K$3:$K$5001,"&lt;&gt;"))))</f>
        <v/>
      </c>
      <c r="P118" s="43" t="str">
        <f>IF(OR($B118="",$A118&gt;$B$9,P$114=""),"",IF(COUNTIFS(BD!$B$3:$B$5001,P$114,BD!$A$3:$A$5001,"&gt;="&amp;$C$7,BD!$A$3:$A$5001,"&lt;="&amp;$B118,BD!$K$3:$K$5001,"&lt;&gt;")=0,"",SUMIFS(BD!$K$3:$K$5001,BD!$B$3:$B$5001,P$114,BD!$A$3:$A$5001,_xlfn.MAXIFS(BD!$A$3:$A$5001,BD!$B$3:$B$5001,P$114,BD!$A$3:$A$5001,"&gt;="&amp;$C$7,BD!$A$3:$A$5001,"&lt;="&amp;$B118,BD!$K$3:$K$5001,"&lt;&gt;"))))</f>
        <v/>
      </c>
      <c r="Q118" s="43" t="str">
        <f>IF(OR($B118="",$A118&gt;$B$9,Q$114=""),"",IF(COUNTIFS(BD!$B$3:$B$5001,Q$114,BD!$A$3:$A$5001,"&gt;="&amp;$C$7,BD!$A$3:$A$5001,"&lt;="&amp;$B118,BD!$K$3:$K$5001,"&lt;&gt;")=0,"",SUMIFS(BD!$K$3:$K$5001,BD!$B$3:$B$5001,Q$114,BD!$A$3:$A$5001,_xlfn.MAXIFS(BD!$A$3:$A$5001,BD!$B$3:$B$5001,Q$114,BD!$A$3:$A$5001,"&gt;="&amp;$C$7,BD!$A$3:$A$5001,"&lt;="&amp;$B118,BD!$K$3:$K$5001,"&lt;&gt;"))))</f>
        <v/>
      </c>
      <c r="R118" s="43" t="str">
        <f>IF(OR($B118="",$A118&gt;$B$9,R$114=""),"",IF(COUNTIFS(BD!$B$3:$B$5001,R$114,BD!$A$3:$A$5001,"&gt;="&amp;$C$7,BD!$A$3:$A$5001,"&lt;="&amp;$B118,BD!$K$3:$K$5001,"&lt;&gt;")=0,"",SUMIFS(BD!$K$3:$K$5001,BD!$B$3:$B$5001,R$114,BD!$A$3:$A$5001,_xlfn.MAXIFS(BD!$A$3:$A$5001,BD!$B$3:$B$5001,R$114,BD!$A$3:$A$5001,"&gt;="&amp;$C$7,BD!$A$3:$A$5001,"&lt;="&amp;$B118,BD!$K$3:$K$5001,"&lt;&gt;"))))</f>
        <v/>
      </c>
      <c r="S118" s="43" t="str">
        <f>IF(OR($B118="",$A118&gt;$B$9,S$114=""),"",IF(COUNTIFS(BD!$B$3:$B$5001,S$114,BD!$A$3:$A$5001,"&gt;="&amp;$C$7,BD!$A$3:$A$5001,"&lt;="&amp;$B118,BD!$K$3:$K$5001,"&lt;&gt;")=0,"",SUMIFS(BD!$K$3:$K$5001,BD!$B$3:$B$5001,S$114,BD!$A$3:$A$5001,_xlfn.MAXIFS(BD!$A$3:$A$5001,BD!$B$3:$B$5001,S$114,BD!$A$3:$A$5001,"&gt;="&amp;$C$7,BD!$A$3:$A$5001,"&lt;="&amp;$B118,BD!$K$3:$K$5001,"&lt;&gt;"))))</f>
        <v/>
      </c>
      <c r="T118" s="43" t="str">
        <f>IF(OR($B118="",$A118&gt;$B$9,T$114=""),"",IF(COUNTIFS(BD!$B$3:$B$5001,T$114,BD!$A$3:$A$5001,"&gt;="&amp;$C$7,BD!$A$3:$A$5001,"&lt;="&amp;$B118,BD!$K$3:$K$5001,"&lt;&gt;")=0,"",SUMIFS(BD!$K$3:$K$5001,BD!$B$3:$B$5001,T$114,BD!$A$3:$A$5001,_xlfn.MAXIFS(BD!$A$3:$A$5001,BD!$B$3:$B$5001,T$114,BD!$A$3:$A$5001,"&gt;="&amp;$C$7,BD!$A$3:$A$5001,"&lt;="&amp;$B118,BD!$K$3:$K$5001,"&lt;&gt;"))))</f>
        <v/>
      </c>
      <c r="U118" s="43" t="str">
        <f>IF(OR($B118="",$A118&gt;$B$9,U$114=""),"",IF(COUNTIFS(BD!$B$3:$B$5001,U$114,BD!$A$3:$A$5001,"&gt;="&amp;$C$7,BD!$A$3:$A$5001,"&lt;="&amp;$B118,BD!$K$3:$K$5001,"&lt;&gt;")=0,"",SUMIFS(BD!$K$3:$K$5001,BD!$B$3:$B$5001,U$114,BD!$A$3:$A$5001,_xlfn.MAXIFS(BD!$A$3:$A$5001,BD!$B$3:$B$5001,U$114,BD!$A$3:$A$5001,"&gt;="&amp;$C$7,BD!$A$3:$A$5001,"&lt;="&amp;$B118,BD!$K$3:$K$5001,"&lt;&gt;"))))</f>
        <v/>
      </c>
      <c r="V118" s="43" t="str">
        <f>IF(OR($B118="",$A118&gt;$B$9,V$114=""),"",IF(COUNTIFS(BD!$B$3:$B$5001,V$114,BD!$A$3:$A$5001,"&gt;="&amp;$C$7,BD!$A$3:$A$5001,"&lt;="&amp;$B118,BD!$K$3:$K$5001,"&lt;&gt;")=0,"",SUMIFS(BD!$K$3:$K$5001,BD!$B$3:$B$5001,V$114,BD!$A$3:$A$5001,_xlfn.MAXIFS(BD!$A$3:$A$5001,BD!$B$3:$B$5001,V$114,BD!$A$3:$A$5001,"&gt;="&amp;$C$7,BD!$A$3:$A$5001,"&lt;="&amp;$B118,BD!$K$3:$K$5001,"&lt;&gt;"))))</f>
        <v/>
      </c>
    </row>
    <row r="119">
      <c r="A119" s="38">
        <v>5</v>
      </c>
      <c r="B119" s="42">
        <f>$B$16</f>
        <v>46300</v>
      </c>
      <c r="C119" s="43" t="str">
        <f>IF(OR($B119="",$A119&gt;$B$9,C$114=""),"",IF(COUNTIFS(BD!$B$3:$B$5001,C$114,BD!$A$3:$A$5001,"&gt;="&amp;$C$7,BD!$A$3:$A$5001,"&lt;="&amp;$B119,BD!$K$3:$K$5001,"&lt;&gt;")=0,"",SUMIFS(BD!$K$3:$K$5001,BD!$B$3:$B$5001,C$114,BD!$A$3:$A$5001,_xlfn.MAXIFS(BD!$A$3:$A$5001,BD!$B$3:$B$5001,C$114,BD!$A$3:$A$5001,"&gt;="&amp;$C$7,BD!$A$3:$A$5001,"&lt;="&amp;$B119,BD!$K$3:$K$5001,"&lt;&gt;"))))</f>
        <v/>
      </c>
      <c r="D119" s="43" t="str">
        <f>IF(OR($B119="",$A119&gt;$B$9,D$114=""),"",IF(COUNTIFS(BD!$B$3:$B$5001,D$114,BD!$A$3:$A$5001,"&gt;="&amp;$C$7,BD!$A$3:$A$5001,"&lt;="&amp;$B119,BD!$K$3:$K$5001,"&lt;&gt;")=0,"",SUMIFS(BD!$K$3:$K$5001,BD!$B$3:$B$5001,D$114,BD!$A$3:$A$5001,_xlfn.MAXIFS(BD!$A$3:$A$5001,BD!$B$3:$B$5001,D$114,BD!$A$3:$A$5001,"&gt;="&amp;$C$7,BD!$A$3:$A$5001,"&lt;="&amp;$B119,BD!$K$3:$K$5001,"&lt;&gt;"))))</f>
        <v/>
      </c>
      <c r="E119" s="43" t="str">
        <f>IF(OR($B119="",$A119&gt;$B$9,E$114=""),"",IF(COUNTIFS(BD!$B$3:$B$5001,E$114,BD!$A$3:$A$5001,"&gt;="&amp;$C$7,BD!$A$3:$A$5001,"&lt;="&amp;$B119,BD!$K$3:$K$5001,"&lt;&gt;")=0,"",SUMIFS(BD!$K$3:$K$5001,BD!$B$3:$B$5001,E$114,BD!$A$3:$A$5001,_xlfn.MAXIFS(BD!$A$3:$A$5001,BD!$B$3:$B$5001,E$114,BD!$A$3:$A$5001,"&gt;="&amp;$C$7,BD!$A$3:$A$5001,"&lt;="&amp;$B119,BD!$K$3:$K$5001,"&lt;&gt;"))))</f>
        <v/>
      </c>
      <c r="F119" s="43" t="str">
        <f>IF(OR($B119="",$A119&gt;$B$9,F$114=""),"",IF(COUNTIFS(BD!$B$3:$B$5001,F$114,BD!$A$3:$A$5001,"&gt;="&amp;$C$7,BD!$A$3:$A$5001,"&lt;="&amp;$B119,BD!$K$3:$K$5001,"&lt;&gt;")=0,"",SUMIFS(BD!$K$3:$K$5001,BD!$B$3:$B$5001,F$114,BD!$A$3:$A$5001,_xlfn.MAXIFS(BD!$A$3:$A$5001,BD!$B$3:$B$5001,F$114,BD!$A$3:$A$5001,"&gt;="&amp;$C$7,BD!$A$3:$A$5001,"&lt;="&amp;$B119,BD!$K$3:$K$5001,"&lt;&gt;"))))</f>
        <v/>
      </c>
      <c r="G119" s="43" t="str">
        <f>IF(OR($B119="",$A119&gt;$B$9,G$114=""),"",IF(COUNTIFS(BD!$B$3:$B$5001,G$114,BD!$A$3:$A$5001,"&gt;="&amp;$C$7,BD!$A$3:$A$5001,"&lt;="&amp;$B119,BD!$K$3:$K$5001,"&lt;&gt;")=0,"",SUMIFS(BD!$K$3:$K$5001,BD!$B$3:$B$5001,G$114,BD!$A$3:$A$5001,_xlfn.MAXIFS(BD!$A$3:$A$5001,BD!$B$3:$B$5001,G$114,BD!$A$3:$A$5001,"&gt;="&amp;$C$7,BD!$A$3:$A$5001,"&lt;="&amp;$B119,BD!$K$3:$K$5001,"&lt;&gt;"))))</f>
        <v/>
      </c>
      <c r="H119" s="43" t="str">
        <f>IF(OR($B119="",$A119&gt;$B$9,H$114=""),"",IF(COUNTIFS(BD!$B$3:$B$5001,H$114,BD!$A$3:$A$5001,"&gt;="&amp;$C$7,BD!$A$3:$A$5001,"&lt;="&amp;$B119,BD!$K$3:$K$5001,"&lt;&gt;")=0,"",SUMIFS(BD!$K$3:$K$5001,BD!$B$3:$B$5001,H$114,BD!$A$3:$A$5001,_xlfn.MAXIFS(BD!$A$3:$A$5001,BD!$B$3:$B$5001,H$114,BD!$A$3:$A$5001,"&gt;="&amp;$C$7,BD!$A$3:$A$5001,"&lt;="&amp;$B119,BD!$K$3:$K$5001,"&lt;&gt;"))))</f>
        <v/>
      </c>
      <c r="I119" s="43" t="str">
        <f>IF(OR($B119="",$A119&gt;$B$9,I$114=""),"",IF(COUNTIFS(BD!$B$3:$B$5001,I$114,BD!$A$3:$A$5001,"&gt;="&amp;$C$7,BD!$A$3:$A$5001,"&lt;="&amp;$B119,BD!$K$3:$K$5001,"&lt;&gt;")=0,"",SUMIFS(BD!$K$3:$K$5001,BD!$B$3:$B$5001,I$114,BD!$A$3:$A$5001,_xlfn.MAXIFS(BD!$A$3:$A$5001,BD!$B$3:$B$5001,I$114,BD!$A$3:$A$5001,"&gt;="&amp;$C$7,BD!$A$3:$A$5001,"&lt;="&amp;$B119,BD!$K$3:$K$5001,"&lt;&gt;"))))</f>
        <v/>
      </c>
      <c r="J119" s="43" t="str">
        <f>IF(OR($B119="",$A119&gt;$B$9,J$114=""),"",IF(COUNTIFS(BD!$B$3:$B$5001,J$114,BD!$A$3:$A$5001,"&gt;="&amp;$C$7,BD!$A$3:$A$5001,"&lt;="&amp;$B119,BD!$K$3:$K$5001,"&lt;&gt;")=0,"",SUMIFS(BD!$K$3:$K$5001,BD!$B$3:$B$5001,J$114,BD!$A$3:$A$5001,_xlfn.MAXIFS(BD!$A$3:$A$5001,BD!$B$3:$B$5001,J$114,BD!$A$3:$A$5001,"&gt;="&amp;$C$7,BD!$A$3:$A$5001,"&lt;="&amp;$B119,BD!$K$3:$K$5001,"&lt;&gt;"))))</f>
        <v/>
      </c>
      <c r="K119" s="43" t="str">
        <f>IF(OR($B119="",$A119&gt;$B$9,K$114=""),"",IF(COUNTIFS(BD!$B$3:$B$5001,K$114,BD!$A$3:$A$5001,"&gt;="&amp;$C$7,BD!$A$3:$A$5001,"&lt;="&amp;$B119,BD!$K$3:$K$5001,"&lt;&gt;")=0,"",SUMIFS(BD!$K$3:$K$5001,BD!$B$3:$B$5001,K$114,BD!$A$3:$A$5001,_xlfn.MAXIFS(BD!$A$3:$A$5001,BD!$B$3:$B$5001,K$114,BD!$A$3:$A$5001,"&gt;="&amp;$C$7,BD!$A$3:$A$5001,"&lt;="&amp;$B119,BD!$K$3:$K$5001,"&lt;&gt;"))))</f>
        <v/>
      </c>
      <c r="L119" s="43" t="str">
        <f>IF(OR($B119="",$A119&gt;$B$9,L$114=""),"",IF(COUNTIFS(BD!$B$3:$B$5001,L$114,BD!$A$3:$A$5001,"&gt;="&amp;$C$7,BD!$A$3:$A$5001,"&lt;="&amp;$B119,BD!$K$3:$K$5001,"&lt;&gt;")=0,"",SUMIFS(BD!$K$3:$K$5001,BD!$B$3:$B$5001,L$114,BD!$A$3:$A$5001,_xlfn.MAXIFS(BD!$A$3:$A$5001,BD!$B$3:$B$5001,L$114,BD!$A$3:$A$5001,"&gt;="&amp;$C$7,BD!$A$3:$A$5001,"&lt;="&amp;$B119,BD!$K$3:$K$5001,"&lt;&gt;"))))</f>
        <v/>
      </c>
      <c r="M119" s="43" t="str">
        <f>IF(OR($B119="",$A119&gt;$B$9,M$114=""),"",IF(COUNTIFS(BD!$B$3:$B$5001,M$114,BD!$A$3:$A$5001,"&gt;="&amp;$C$7,BD!$A$3:$A$5001,"&lt;="&amp;$B119,BD!$K$3:$K$5001,"&lt;&gt;")=0,"",SUMIFS(BD!$K$3:$K$5001,BD!$B$3:$B$5001,M$114,BD!$A$3:$A$5001,_xlfn.MAXIFS(BD!$A$3:$A$5001,BD!$B$3:$B$5001,M$114,BD!$A$3:$A$5001,"&gt;="&amp;$C$7,BD!$A$3:$A$5001,"&lt;="&amp;$B119,BD!$K$3:$K$5001,"&lt;&gt;"))))</f>
        <v/>
      </c>
      <c r="N119" s="43" t="str">
        <f>IF(OR($B119="",$A119&gt;$B$9,N$114=""),"",IF(COUNTIFS(BD!$B$3:$B$5001,N$114,BD!$A$3:$A$5001,"&gt;="&amp;$C$7,BD!$A$3:$A$5001,"&lt;="&amp;$B119,BD!$K$3:$K$5001,"&lt;&gt;")=0,"",SUMIFS(BD!$K$3:$K$5001,BD!$B$3:$B$5001,N$114,BD!$A$3:$A$5001,_xlfn.MAXIFS(BD!$A$3:$A$5001,BD!$B$3:$B$5001,N$114,BD!$A$3:$A$5001,"&gt;="&amp;$C$7,BD!$A$3:$A$5001,"&lt;="&amp;$B119,BD!$K$3:$K$5001,"&lt;&gt;"))))</f>
        <v/>
      </c>
      <c r="O119" s="43" t="str">
        <f>IF(OR($B119="",$A119&gt;$B$9,O$114=""),"",IF(COUNTIFS(BD!$B$3:$B$5001,O$114,BD!$A$3:$A$5001,"&gt;="&amp;$C$7,BD!$A$3:$A$5001,"&lt;="&amp;$B119,BD!$K$3:$K$5001,"&lt;&gt;")=0,"",SUMIFS(BD!$K$3:$K$5001,BD!$B$3:$B$5001,O$114,BD!$A$3:$A$5001,_xlfn.MAXIFS(BD!$A$3:$A$5001,BD!$B$3:$B$5001,O$114,BD!$A$3:$A$5001,"&gt;="&amp;$C$7,BD!$A$3:$A$5001,"&lt;="&amp;$B119,BD!$K$3:$K$5001,"&lt;&gt;"))))</f>
        <v/>
      </c>
      <c r="P119" s="43" t="str">
        <f>IF(OR($B119="",$A119&gt;$B$9,P$114=""),"",IF(COUNTIFS(BD!$B$3:$B$5001,P$114,BD!$A$3:$A$5001,"&gt;="&amp;$C$7,BD!$A$3:$A$5001,"&lt;="&amp;$B119,BD!$K$3:$K$5001,"&lt;&gt;")=0,"",SUMIFS(BD!$K$3:$K$5001,BD!$B$3:$B$5001,P$114,BD!$A$3:$A$5001,_xlfn.MAXIFS(BD!$A$3:$A$5001,BD!$B$3:$B$5001,P$114,BD!$A$3:$A$5001,"&gt;="&amp;$C$7,BD!$A$3:$A$5001,"&lt;="&amp;$B119,BD!$K$3:$K$5001,"&lt;&gt;"))))</f>
        <v/>
      </c>
      <c r="Q119" s="43" t="str">
        <f>IF(OR($B119="",$A119&gt;$B$9,Q$114=""),"",IF(COUNTIFS(BD!$B$3:$B$5001,Q$114,BD!$A$3:$A$5001,"&gt;="&amp;$C$7,BD!$A$3:$A$5001,"&lt;="&amp;$B119,BD!$K$3:$K$5001,"&lt;&gt;")=0,"",SUMIFS(BD!$K$3:$K$5001,BD!$B$3:$B$5001,Q$114,BD!$A$3:$A$5001,_xlfn.MAXIFS(BD!$A$3:$A$5001,BD!$B$3:$B$5001,Q$114,BD!$A$3:$A$5001,"&gt;="&amp;$C$7,BD!$A$3:$A$5001,"&lt;="&amp;$B119,BD!$K$3:$K$5001,"&lt;&gt;"))))</f>
        <v/>
      </c>
      <c r="R119" s="43" t="str">
        <f>IF(OR($B119="",$A119&gt;$B$9,R$114=""),"",IF(COUNTIFS(BD!$B$3:$B$5001,R$114,BD!$A$3:$A$5001,"&gt;="&amp;$C$7,BD!$A$3:$A$5001,"&lt;="&amp;$B119,BD!$K$3:$K$5001,"&lt;&gt;")=0,"",SUMIFS(BD!$K$3:$K$5001,BD!$B$3:$B$5001,R$114,BD!$A$3:$A$5001,_xlfn.MAXIFS(BD!$A$3:$A$5001,BD!$B$3:$B$5001,R$114,BD!$A$3:$A$5001,"&gt;="&amp;$C$7,BD!$A$3:$A$5001,"&lt;="&amp;$B119,BD!$K$3:$K$5001,"&lt;&gt;"))))</f>
        <v/>
      </c>
      <c r="S119" s="43" t="str">
        <f>IF(OR($B119="",$A119&gt;$B$9,S$114=""),"",IF(COUNTIFS(BD!$B$3:$B$5001,S$114,BD!$A$3:$A$5001,"&gt;="&amp;$C$7,BD!$A$3:$A$5001,"&lt;="&amp;$B119,BD!$K$3:$K$5001,"&lt;&gt;")=0,"",SUMIFS(BD!$K$3:$K$5001,BD!$B$3:$B$5001,S$114,BD!$A$3:$A$5001,_xlfn.MAXIFS(BD!$A$3:$A$5001,BD!$B$3:$B$5001,S$114,BD!$A$3:$A$5001,"&gt;="&amp;$C$7,BD!$A$3:$A$5001,"&lt;="&amp;$B119,BD!$K$3:$K$5001,"&lt;&gt;"))))</f>
        <v/>
      </c>
      <c r="T119" s="43" t="str">
        <f>IF(OR($B119="",$A119&gt;$B$9,T$114=""),"",IF(COUNTIFS(BD!$B$3:$B$5001,T$114,BD!$A$3:$A$5001,"&gt;="&amp;$C$7,BD!$A$3:$A$5001,"&lt;="&amp;$B119,BD!$K$3:$K$5001,"&lt;&gt;")=0,"",SUMIFS(BD!$K$3:$K$5001,BD!$B$3:$B$5001,T$114,BD!$A$3:$A$5001,_xlfn.MAXIFS(BD!$A$3:$A$5001,BD!$B$3:$B$5001,T$114,BD!$A$3:$A$5001,"&gt;="&amp;$C$7,BD!$A$3:$A$5001,"&lt;="&amp;$B119,BD!$K$3:$K$5001,"&lt;&gt;"))))</f>
        <v/>
      </c>
      <c r="U119" s="43" t="str">
        <f>IF(OR($B119="",$A119&gt;$B$9,U$114=""),"",IF(COUNTIFS(BD!$B$3:$B$5001,U$114,BD!$A$3:$A$5001,"&gt;="&amp;$C$7,BD!$A$3:$A$5001,"&lt;="&amp;$B119,BD!$K$3:$K$5001,"&lt;&gt;")=0,"",SUMIFS(BD!$K$3:$K$5001,BD!$B$3:$B$5001,U$114,BD!$A$3:$A$5001,_xlfn.MAXIFS(BD!$A$3:$A$5001,BD!$B$3:$B$5001,U$114,BD!$A$3:$A$5001,"&gt;="&amp;$C$7,BD!$A$3:$A$5001,"&lt;="&amp;$B119,BD!$K$3:$K$5001,"&lt;&gt;"))))</f>
        <v/>
      </c>
      <c r="V119" s="43" t="str">
        <f>IF(OR($B119="",$A119&gt;$B$9,V$114=""),"",IF(COUNTIFS(BD!$B$3:$B$5001,V$114,BD!$A$3:$A$5001,"&gt;="&amp;$C$7,BD!$A$3:$A$5001,"&lt;="&amp;$B119,BD!$K$3:$K$5001,"&lt;&gt;")=0,"",SUMIFS(BD!$K$3:$K$5001,BD!$B$3:$B$5001,V$114,BD!$A$3:$A$5001,_xlfn.MAXIFS(BD!$A$3:$A$5001,BD!$B$3:$B$5001,V$114,BD!$A$3:$A$5001,"&gt;="&amp;$C$7,BD!$A$3:$A$5001,"&lt;="&amp;$B119,BD!$K$3:$K$5001,"&lt;&gt;"))))</f>
        <v/>
      </c>
    </row>
    <row r="120">
      <c r="A120" s="38">
        <v>6</v>
      </c>
      <c r="B120" s="42">
        <f>$B$17</f>
        <v>46301</v>
      </c>
      <c r="C120" s="43" t="str">
        <f>IF(OR($B120="",$A120&gt;$B$9,C$114=""),"",IF(COUNTIFS(BD!$B$3:$B$5001,C$114,BD!$A$3:$A$5001,"&gt;="&amp;$C$7,BD!$A$3:$A$5001,"&lt;="&amp;$B120,BD!$K$3:$K$5001,"&lt;&gt;")=0,"",SUMIFS(BD!$K$3:$K$5001,BD!$B$3:$B$5001,C$114,BD!$A$3:$A$5001,_xlfn.MAXIFS(BD!$A$3:$A$5001,BD!$B$3:$B$5001,C$114,BD!$A$3:$A$5001,"&gt;="&amp;$C$7,BD!$A$3:$A$5001,"&lt;="&amp;$B120,BD!$K$3:$K$5001,"&lt;&gt;"))))</f>
        <v/>
      </c>
      <c r="D120" s="43" t="str">
        <f>IF(OR($B120="",$A120&gt;$B$9,D$114=""),"",IF(COUNTIFS(BD!$B$3:$B$5001,D$114,BD!$A$3:$A$5001,"&gt;="&amp;$C$7,BD!$A$3:$A$5001,"&lt;="&amp;$B120,BD!$K$3:$K$5001,"&lt;&gt;")=0,"",SUMIFS(BD!$K$3:$K$5001,BD!$B$3:$B$5001,D$114,BD!$A$3:$A$5001,_xlfn.MAXIFS(BD!$A$3:$A$5001,BD!$B$3:$B$5001,D$114,BD!$A$3:$A$5001,"&gt;="&amp;$C$7,BD!$A$3:$A$5001,"&lt;="&amp;$B120,BD!$K$3:$K$5001,"&lt;&gt;"))))</f>
        <v/>
      </c>
      <c r="E120" s="43" t="str">
        <f>IF(OR($B120="",$A120&gt;$B$9,E$114=""),"",IF(COUNTIFS(BD!$B$3:$B$5001,E$114,BD!$A$3:$A$5001,"&gt;="&amp;$C$7,BD!$A$3:$A$5001,"&lt;="&amp;$B120,BD!$K$3:$K$5001,"&lt;&gt;")=0,"",SUMIFS(BD!$K$3:$K$5001,BD!$B$3:$B$5001,E$114,BD!$A$3:$A$5001,_xlfn.MAXIFS(BD!$A$3:$A$5001,BD!$B$3:$B$5001,E$114,BD!$A$3:$A$5001,"&gt;="&amp;$C$7,BD!$A$3:$A$5001,"&lt;="&amp;$B120,BD!$K$3:$K$5001,"&lt;&gt;"))))</f>
        <v/>
      </c>
      <c r="F120" s="43" t="str">
        <f>IF(OR($B120="",$A120&gt;$B$9,F$114=""),"",IF(COUNTIFS(BD!$B$3:$B$5001,F$114,BD!$A$3:$A$5001,"&gt;="&amp;$C$7,BD!$A$3:$A$5001,"&lt;="&amp;$B120,BD!$K$3:$K$5001,"&lt;&gt;")=0,"",SUMIFS(BD!$K$3:$K$5001,BD!$B$3:$B$5001,F$114,BD!$A$3:$A$5001,_xlfn.MAXIFS(BD!$A$3:$A$5001,BD!$B$3:$B$5001,F$114,BD!$A$3:$A$5001,"&gt;="&amp;$C$7,BD!$A$3:$A$5001,"&lt;="&amp;$B120,BD!$K$3:$K$5001,"&lt;&gt;"))))</f>
        <v/>
      </c>
      <c r="G120" s="43" t="str">
        <f>IF(OR($B120="",$A120&gt;$B$9,G$114=""),"",IF(COUNTIFS(BD!$B$3:$B$5001,G$114,BD!$A$3:$A$5001,"&gt;="&amp;$C$7,BD!$A$3:$A$5001,"&lt;="&amp;$B120,BD!$K$3:$K$5001,"&lt;&gt;")=0,"",SUMIFS(BD!$K$3:$K$5001,BD!$B$3:$B$5001,G$114,BD!$A$3:$A$5001,_xlfn.MAXIFS(BD!$A$3:$A$5001,BD!$B$3:$B$5001,G$114,BD!$A$3:$A$5001,"&gt;="&amp;$C$7,BD!$A$3:$A$5001,"&lt;="&amp;$B120,BD!$K$3:$K$5001,"&lt;&gt;"))))</f>
        <v/>
      </c>
      <c r="H120" s="43" t="str">
        <f>IF(OR($B120="",$A120&gt;$B$9,H$114=""),"",IF(COUNTIFS(BD!$B$3:$B$5001,H$114,BD!$A$3:$A$5001,"&gt;="&amp;$C$7,BD!$A$3:$A$5001,"&lt;="&amp;$B120,BD!$K$3:$K$5001,"&lt;&gt;")=0,"",SUMIFS(BD!$K$3:$K$5001,BD!$B$3:$B$5001,H$114,BD!$A$3:$A$5001,_xlfn.MAXIFS(BD!$A$3:$A$5001,BD!$B$3:$B$5001,H$114,BD!$A$3:$A$5001,"&gt;="&amp;$C$7,BD!$A$3:$A$5001,"&lt;="&amp;$B120,BD!$K$3:$K$5001,"&lt;&gt;"))))</f>
        <v/>
      </c>
      <c r="I120" s="43" t="str">
        <f>IF(OR($B120="",$A120&gt;$B$9,I$114=""),"",IF(COUNTIFS(BD!$B$3:$B$5001,I$114,BD!$A$3:$A$5001,"&gt;="&amp;$C$7,BD!$A$3:$A$5001,"&lt;="&amp;$B120,BD!$K$3:$K$5001,"&lt;&gt;")=0,"",SUMIFS(BD!$K$3:$K$5001,BD!$B$3:$B$5001,I$114,BD!$A$3:$A$5001,_xlfn.MAXIFS(BD!$A$3:$A$5001,BD!$B$3:$B$5001,I$114,BD!$A$3:$A$5001,"&gt;="&amp;$C$7,BD!$A$3:$A$5001,"&lt;="&amp;$B120,BD!$K$3:$K$5001,"&lt;&gt;"))))</f>
        <v/>
      </c>
      <c r="J120" s="43" t="str">
        <f>IF(OR($B120="",$A120&gt;$B$9,J$114=""),"",IF(COUNTIFS(BD!$B$3:$B$5001,J$114,BD!$A$3:$A$5001,"&gt;="&amp;$C$7,BD!$A$3:$A$5001,"&lt;="&amp;$B120,BD!$K$3:$K$5001,"&lt;&gt;")=0,"",SUMIFS(BD!$K$3:$K$5001,BD!$B$3:$B$5001,J$114,BD!$A$3:$A$5001,_xlfn.MAXIFS(BD!$A$3:$A$5001,BD!$B$3:$B$5001,J$114,BD!$A$3:$A$5001,"&gt;="&amp;$C$7,BD!$A$3:$A$5001,"&lt;="&amp;$B120,BD!$K$3:$K$5001,"&lt;&gt;"))))</f>
        <v/>
      </c>
      <c r="K120" s="43" t="str">
        <f>IF(OR($B120="",$A120&gt;$B$9,K$114=""),"",IF(COUNTIFS(BD!$B$3:$B$5001,K$114,BD!$A$3:$A$5001,"&gt;="&amp;$C$7,BD!$A$3:$A$5001,"&lt;="&amp;$B120,BD!$K$3:$K$5001,"&lt;&gt;")=0,"",SUMIFS(BD!$K$3:$K$5001,BD!$B$3:$B$5001,K$114,BD!$A$3:$A$5001,_xlfn.MAXIFS(BD!$A$3:$A$5001,BD!$B$3:$B$5001,K$114,BD!$A$3:$A$5001,"&gt;="&amp;$C$7,BD!$A$3:$A$5001,"&lt;="&amp;$B120,BD!$K$3:$K$5001,"&lt;&gt;"))))</f>
        <v/>
      </c>
      <c r="L120" s="43" t="str">
        <f>IF(OR($B120="",$A120&gt;$B$9,L$114=""),"",IF(COUNTIFS(BD!$B$3:$B$5001,L$114,BD!$A$3:$A$5001,"&gt;="&amp;$C$7,BD!$A$3:$A$5001,"&lt;="&amp;$B120,BD!$K$3:$K$5001,"&lt;&gt;")=0,"",SUMIFS(BD!$K$3:$K$5001,BD!$B$3:$B$5001,L$114,BD!$A$3:$A$5001,_xlfn.MAXIFS(BD!$A$3:$A$5001,BD!$B$3:$B$5001,L$114,BD!$A$3:$A$5001,"&gt;="&amp;$C$7,BD!$A$3:$A$5001,"&lt;="&amp;$B120,BD!$K$3:$K$5001,"&lt;&gt;"))))</f>
        <v/>
      </c>
      <c r="M120" s="43" t="str">
        <f>IF(OR($B120="",$A120&gt;$B$9,M$114=""),"",IF(COUNTIFS(BD!$B$3:$B$5001,M$114,BD!$A$3:$A$5001,"&gt;="&amp;$C$7,BD!$A$3:$A$5001,"&lt;="&amp;$B120,BD!$K$3:$K$5001,"&lt;&gt;")=0,"",SUMIFS(BD!$K$3:$K$5001,BD!$B$3:$B$5001,M$114,BD!$A$3:$A$5001,_xlfn.MAXIFS(BD!$A$3:$A$5001,BD!$B$3:$B$5001,M$114,BD!$A$3:$A$5001,"&gt;="&amp;$C$7,BD!$A$3:$A$5001,"&lt;="&amp;$B120,BD!$K$3:$K$5001,"&lt;&gt;"))))</f>
        <v/>
      </c>
      <c r="N120" s="43" t="str">
        <f>IF(OR($B120="",$A120&gt;$B$9,N$114=""),"",IF(COUNTIFS(BD!$B$3:$B$5001,N$114,BD!$A$3:$A$5001,"&gt;="&amp;$C$7,BD!$A$3:$A$5001,"&lt;="&amp;$B120,BD!$K$3:$K$5001,"&lt;&gt;")=0,"",SUMIFS(BD!$K$3:$K$5001,BD!$B$3:$B$5001,N$114,BD!$A$3:$A$5001,_xlfn.MAXIFS(BD!$A$3:$A$5001,BD!$B$3:$B$5001,N$114,BD!$A$3:$A$5001,"&gt;="&amp;$C$7,BD!$A$3:$A$5001,"&lt;="&amp;$B120,BD!$K$3:$K$5001,"&lt;&gt;"))))</f>
        <v/>
      </c>
      <c r="O120" s="43" t="str">
        <f>IF(OR($B120="",$A120&gt;$B$9,O$114=""),"",IF(COUNTIFS(BD!$B$3:$B$5001,O$114,BD!$A$3:$A$5001,"&gt;="&amp;$C$7,BD!$A$3:$A$5001,"&lt;="&amp;$B120,BD!$K$3:$K$5001,"&lt;&gt;")=0,"",SUMIFS(BD!$K$3:$K$5001,BD!$B$3:$B$5001,O$114,BD!$A$3:$A$5001,_xlfn.MAXIFS(BD!$A$3:$A$5001,BD!$B$3:$B$5001,O$114,BD!$A$3:$A$5001,"&gt;="&amp;$C$7,BD!$A$3:$A$5001,"&lt;="&amp;$B120,BD!$K$3:$K$5001,"&lt;&gt;"))))</f>
        <v/>
      </c>
      <c r="P120" s="43" t="str">
        <f>IF(OR($B120="",$A120&gt;$B$9,P$114=""),"",IF(COUNTIFS(BD!$B$3:$B$5001,P$114,BD!$A$3:$A$5001,"&gt;="&amp;$C$7,BD!$A$3:$A$5001,"&lt;="&amp;$B120,BD!$K$3:$K$5001,"&lt;&gt;")=0,"",SUMIFS(BD!$K$3:$K$5001,BD!$B$3:$B$5001,P$114,BD!$A$3:$A$5001,_xlfn.MAXIFS(BD!$A$3:$A$5001,BD!$B$3:$B$5001,P$114,BD!$A$3:$A$5001,"&gt;="&amp;$C$7,BD!$A$3:$A$5001,"&lt;="&amp;$B120,BD!$K$3:$K$5001,"&lt;&gt;"))))</f>
        <v/>
      </c>
      <c r="Q120" s="43" t="str">
        <f>IF(OR($B120="",$A120&gt;$B$9,Q$114=""),"",IF(COUNTIFS(BD!$B$3:$B$5001,Q$114,BD!$A$3:$A$5001,"&gt;="&amp;$C$7,BD!$A$3:$A$5001,"&lt;="&amp;$B120,BD!$K$3:$K$5001,"&lt;&gt;")=0,"",SUMIFS(BD!$K$3:$K$5001,BD!$B$3:$B$5001,Q$114,BD!$A$3:$A$5001,_xlfn.MAXIFS(BD!$A$3:$A$5001,BD!$B$3:$B$5001,Q$114,BD!$A$3:$A$5001,"&gt;="&amp;$C$7,BD!$A$3:$A$5001,"&lt;="&amp;$B120,BD!$K$3:$K$5001,"&lt;&gt;"))))</f>
        <v/>
      </c>
      <c r="R120" s="43" t="str">
        <f>IF(OR($B120="",$A120&gt;$B$9,R$114=""),"",IF(COUNTIFS(BD!$B$3:$B$5001,R$114,BD!$A$3:$A$5001,"&gt;="&amp;$C$7,BD!$A$3:$A$5001,"&lt;="&amp;$B120,BD!$K$3:$K$5001,"&lt;&gt;")=0,"",SUMIFS(BD!$K$3:$K$5001,BD!$B$3:$B$5001,R$114,BD!$A$3:$A$5001,_xlfn.MAXIFS(BD!$A$3:$A$5001,BD!$B$3:$B$5001,R$114,BD!$A$3:$A$5001,"&gt;="&amp;$C$7,BD!$A$3:$A$5001,"&lt;="&amp;$B120,BD!$K$3:$K$5001,"&lt;&gt;"))))</f>
        <v/>
      </c>
      <c r="S120" s="43" t="str">
        <f>IF(OR($B120="",$A120&gt;$B$9,S$114=""),"",IF(COUNTIFS(BD!$B$3:$B$5001,S$114,BD!$A$3:$A$5001,"&gt;="&amp;$C$7,BD!$A$3:$A$5001,"&lt;="&amp;$B120,BD!$K$3:$K$5001,"&lt;&gt;")=0,"",SUMIFS(BD!$K$3:$K$5001,BD!$B$3:$B$5001,S$114,BD!$A$3:$A$5001,_xlfn.MAXIFS(BD!$A$3:$A$5001,BD!$B$3:$B$5001,S$114,BD!$A$3:$A$5001,"&gt;="&amp;$C$7,BD!$A$3:$A$5001,"&lt;="&amp;$B120,BD!$K$3:$K$5001,"&lt;&gt;"))))</f>
        <v/>
      </c>
      <c r="T120" s="43" t="str">
        <f>IF(OR($B120="",$A120&gt;$B$9,T$114=""),"",IF(COUNTIFS(BD!$B$3:$B$5001,T$114,BD!$A$3:$A$5001,"&gt;="&amp;$C$7,BD!$A$3:$A$5001,"&lt;="&amp;$B120,BD!$K$3:$K$5001,"&lt;&gt;")=0,"",SUMIFS(BD!$K$3:$K$5001,BD!$B$3:$B$5001,T$114,BD!$A$3:$A$5001,_xlfn.MAXIFS(BD!$A$3:$A$5001,BD!$B$3:$B$5001,T$114,BD!$A$3:$A$5001,"&gt;="&amp;$C$7,BD!$A$3:$A$5001,"&lt;="&amp;$B120,BD!$K$3:$K$5001,"&lt;&gt;"))))</f>
        <v/>
      </c>
      <c r="U120" s="43" t="str">
        <f>IF(OR($B120="",$A120&gt;$B$9,U$114=""),"",IF(COUNTIFS(BD!$B$3:$B$5001,U$114,BD!$A$3:$A$5001,"&gt;="&amp;$C$7,BD!$A$3:$A$5001,"&lt;="&amp;$B120,BD!$K$3:$K$5001,"&lt;&gt;")=0,"",SUMIFS(BD!$K$3:$K$5001,BD!$B$3:$B$5001,U$114,BD!$A$3:$A$5001,_xlfn.MAXIFS(BD!$A$3:$A$5001,BD!$B$3:$B$5001,U$114,BD!$A$3:$A$5001,"&gt;="&amp;$C$7,BD!$A$3:$A$5001,"&lt;="&amp;$B120,BD!$K$3:$K$5001,"&lt;&gt;"))))</f>
        <v/>
      </c>
      <c r="V120" s="43" t="str">
        <f>IF(OR($B120="",$A120&gt;$B$9,V$114=""),"",IF(COUNTIFS(BD!$B$3:$B$5001,V$114,BD!$A$3:$A$5001,"&gt;="&amp;$C$7,BD!$A$3:$A$5001,"&lt;="&amp;$B120,BD!$K$3:$K$5001,"&lt;&gt;")=0,"",SUMIFS(BD!$K$3:$K$5001,BD!$B$3:$B$5001,V$114,BD!$A$3:$A$5001,_xlfn.MAXIFS(BD!$A$3:$A$5001,BD!$B$3:$B$5001,V$114,BD!$A$3:$A$5001,"&gt;="&amp;$C$7,BD!$A$3:$A$5001,"&lt;="&amp;$B120,BD!$K$3:$K$5001,"&lt;&gt;"))))</f>
        <v/>
      </c>
    </row>
    <row r="121">
      <c r="A121" s="38">
        <v>7</v>
      </c>
      <c r="B121" s="42">
        <f>$B$18</f>
        <v>46302</v>
      </c>
      <c r="C121" s="43" t="str">
        <f>IF(OR($B121="",$A121&gt;$B$9,C$114=""),"",IF(COUNTIFS(BD!$B$3:$B$5001,C$114,BD!$A$3:$A$5001,"&gt;="&amp;$C$7,BD!$A$3:$A$5001,"&lt;="&amp;$B121,BD!$K$3:$K$5001,"&lt;&gt;")=0,"",SUMIFS(BD!$K$3:$K$5001,BD!$B$3:$B$5001,C$114,BD!$A$3:$A$5001,_xlfn.MAXIFS(BD!$A$3:$A$5001,BD!$B$3:$B$5001,C$114,BD!$A$3:$A$5001,"&gt;="&amp;$C$7,BD!$A$3:$A$5001,"&lt;="&amp;$B121,BD!$K$3:$K$5001,"&lt;&gt;"))))</f>
        <v/>
      </c>
      <c r="D121" s="43" t="str">
        <f>IF(OR($B121="",$A121&gt;$B$9,D$114=""),"",IF(COUNTIFS(BD!$B$3:$B$5001,D$114,BD!$A$3:$A$5001,"&gt;="&amp;$C$7,BD!$A$3:$A$5001,"&lt;="&amp;$B121,BD!$K$3:$K$5001,"&lt;&gt;")=0,"",SUMIFS(BD!$K$3:$K$5001,BD!$B$3:$B$5001,D$114,BD!$A$3:$A$5001,_xlfn.MAXIFS(BD!$A$3:$A$5001,BD!$B$3:$B$5001,D$114,BD!$A$3:$A$5001,"&gt;="&amp;$C$7,BD!$A$3:$A$5001,"&lt;="&amp;$B121,BD!$K$3:$K$5001,"&lt;&gt;"))))</f>
        <v/>
      </c>
      <c r="E121" s="43" t="str">
        <f>IF(OR($B121="",$A121&gt;$B$9,E$114=""),"",IF(COUNTIFS(BD!$B$3:$B$5001,E$114,BD!$A$3:$A$5001,"&gt;="&amp;$C$7,BD!$A$3:$A$5001,"&lt;="&amp;$B121,BD!$K$3:$K$5001,"&lt;&gt;")=0,"",SUMIFS(BD!$K$3:$K$5001,BD!$B$3:$B$5001,E$114,BD!$A$3:$A$5001,_xlfn.MAXIFS(BD!$A$3:$A$5001,BD!$B$3:$B$5001,E$114,BD!$A$3:$A$5001,"&gt;="&amp;$C$7,BD!$A$3:$A$5001,"&lt;="&amp;$B121,BD!$K$3:$K$5001,"&lt;&gt;"))))</f>
        <v/>
      </c>
      <c r="F121" s="43" t="str">
        <f>IF(OR($B121="",$A121&gt;$B$9,F$114=""),"",IF(COUNTIFS(BD!$B$3:$B$5001,F$114,BD!$A$3:$A$5001,"&gt;="&amp;$C$7,BD!$A$3:$A$5001,"&lt;="&amp;$B121,BD!$K$3:$K$5001,"&lt;&gt;")=0,"",SUMIFS(BD!$K$3:$K$5001,BD!$B$3:$B$5001,F$114,BD!$A$3:$A$5001,_xlfn.MAXIFS(BD!$A$3:$A$5001,BD!$B$3:$B$5001,F$114,BD!$A$3:$A$5001,"&gt;="&amp;$C$7,BD!$A$3:$A$5001,"&lt;="&amp;$B121,BD!$K$3:$K$5001,"&lt;&gt;"))))</f>
        <v/>
      </c>
      <c r="G121" s="43" t="str">
        <f>IF(OR($B121="",$A121&gt;$B$9,G$114=""),"",IF(COUNTIFS(BD!$B$3:$B$5001,G$114,BD!$A$3:$A$5001,"&gt;="&amp;$C$7,BD!$A$3:$A$5001,"&lt;="&amp;$B121,BD!$K$3:$K$5001,"&lt;&gt;")=0,"",SUMIFS(BD!$K$3:$K$5001,BD!$B$3:$B$5001,G$114,BD!$A$3:$A$5001,_xlfn.MAXIFS(BD!$A$3:$A$5001,BD!$B$3:$B$5001,G$114,BD!$A$3:$A$5001,"&gt;="&amp;$C$7,BD!$A$3:$A$5001,"&lt;="&amp;$B121,BD!$K$3:$K$5001,"&lt;&gt;"))))</f>
        <v/>
      </c>
      <c r="H121" s="43" t="str">
        <f>IF(OR($B121="",$A121&gt;$B$9,H$114=""),"",IF(COUNTIFS(BD!$B$3:$B$5001,H$114,BD!$A$3:$A$5001,"&gt;="&amp;$C$7,BD!$A$3:$A$5001,"&lt;="&amp;$B121,BD!$K$3:$K$5001,"&lt;&gt;")=0,"",SUMIFS(BD!$K$3:$K$5001,BD!$B$3:$B$5001,H$114,BD!$A$3:$A$5001,_xlfn.MAXIFS(BD!$A$3:$A$5001,BD!$B$3:$B$5001,H$114,BD!$A$3:$A$5001,"&gt;="&amp;$C$7,BD!$A$3:$A$5001,"&lt;="&amp;$B121,BD!$K$3:$K$5001,"&lt;&gt;"))))</f>
        <v/>
      </c>
      <c r="I121" s="43" t="str">
        <f>IF(OR($B121="",$A121&gt;$B$9,I$114=""),"",IF(COUNTIFS(BD!$B$3:$B$5001,I$114,BD!$A$3:$A$5001,"&gt;="&amp;$C$7,BD!$A$3:$A$5001,"&lt;="&amp;$B121,BD!$K$3:$K$5001,"&lt;&gt;")=0,"",SUMIFS(BD!$K$3:$K$5001,BD!$B$3:$B$5001,I$114,BD!$A$3:$A$5001,_xlfn.MAXIFS(BD!$A$3:$A$5001,BD!$B$3:$B$5001,I$114,BD!$A$3:$A$5001,"&gt;="&amp;$C$7,BD!$A$3:$A$5001,"&lt;="&amp;$B121,BD!$K$3:$K$5001,"&lt;&gt;"))))</f>
        <v/>
      </c>
      <c r="J121" s="43" t="str">
        <f>IF(OR($B121="",$A121&gt;$B$9,J$114=""),"",IF(COUNTIFS(BD!$B$3:$B$5001,J$114,BD!$A$3:$A$5001,"&gt;="&amp;$C$7,BD!$A$3:$A$5001,"&lt;="&amp;$B121,BD!$K$3:$K$5001,"&lt;&gt;")=0,"",SUMIFS(BD!$K$3:$K$5001,BD!$B$3:$B$5001,J$114,BD!$A$3:$A$5001,_xlfn.MAXIFS(BD!$A$3:$A$5001,BD!$B$3:$B$5001,J$114,BD!$A$3:$A$5001,"&gt;="&amp;$C$7,BD!$A$3:$A$5001,"&lt;="&amp;$B121,BD!$K$3:$K$5001,"&lt;&gt;"))))</f>
        <v/>
      </c>
      <c r="K121" s="43" t="str">
        <f>IF(OR($B121="",$A121&gt;$B$9,K$114=""),"",IF(COUNTIFS(BD!$B$3:$B$5001,K$114,BD!$A$3:$A$5001,"&gt;="&amp;$C$7,BD!$A$3:$A$5001,"&lt;="&amp;$B121,BD!$K$3:$K$5001,"&lt;&gt;")=0,"",SUMIFS(BD!$K$3:$K$5001,BD!$B$3:$B$5001,K$114,BD!$A$3:$A$5001,_xlfn.MAXIFS(BD!$A$3:$A$5001,BD!$B$3:$B$5001,K$114,BD!$A$3:$A$5001,"&gt;="&amp;$C$7,BD!$A$3:$A$5001,"&lt;="&amp;$B121,BD!$K$3:$K$5001,"&lt;&gt;"))))</f>
        <v/>
      </c>
      <c r="L121" s="43" t="str">
        <f>IF(OR($B121="",$A121&gt;$B$9,L$114=""),"",IF(COUNTIFS(BD!$B$3:$B$5001,L$114,BD!$A$3:$A$5001,"&gt;="&amp;$C$7,BD!$A$3:$A$5001,"&lt;="&amp;$B121,BD!$K$3:$K$5001,"&lt;&gt;")=0,"",SUMIFS(BD!$K$3:$K$5001,BD!$B$3:$B$5001,L$114,BD!$A$3:$A$5001,_xlfn.MAXIFS(BD!$A$3:$A$5001,BD!$B$3:$B$5001,L$114,BD!$A$3:$A$5001,"&gt;="&amp;$C$7,BD!$A$3:$A$5001,"&lt;="&amp;$B121,BD!$K$3:$K$5001,"&lt;&gt;"))))</f>
        <v/>
      </c>
      <c r="M121" s="43" t="str">
        <f>IF(OR($B121="",$A121&gt;$B$9,M$114=""),"",IF(COUNTIFS(BD!$B$3:$B$5001,M$114,BD!$A$3:$A$5001,"&gt;="&amp;$C$7,BD!$A$3:$A$5001,"&lt;="&amp;$B121,BD!$K$3:$K$5001,"&lt;&gt;")=0,"",SUMIFS(BD!$K$3:$K$5001,BD!$B$3:$B$5001,M$114,BD!$A$3:$A$5001,_xlfn.MAXIFS(BD!$A$3:$A$5001,BD!$B$3:$B$5001,M$114,BD!$A$3:$A$5001,"&gt;="&amp;$C$7,BD!$A$3:$A$5001,"&lt;="&amp;$B121,BD!$K$3:$K$5001,"&lt;&gt;"))))</f>
        <v/>
      </c>
      <c r="N121" s="43" t="str">
        <f>IF(OR($B121="",$A121&gt;$B$9,N$114=""),"",IF(COUNTIFS(BD!$B$3:$B$5001,N$114,BD!$A$3:$A$5001,"&gt;="&amp;$C$7,BD!$A$3:$A$5001,"&lt;="&amp;$B121,BD!$K$3:$K$5001,"&lt;&gt;")=0,"",SUMIFS(BD!$K$3:$K$5001,BD!$B$3:$B$5001,N$114,BD!$A$3:$A$5001,_xlfn.MAXIFS(BD!$A$3:$A$5001,BD!$B$3:$B$5001,N$114,BD!$A$3:$A$5001,"&gt;="&amp;$C$7,BD!$A$3:$A$5001,"&lt;="&amp;$B121,BD!$K$3:$K$5001,"&lt;&gt;"))))</f>
        <v/>
      </c>
      <c r="O121" s="43" t="str">
        <f>IF(OR($B121="",$A121&gt;$B$9,O$114=""),"",IF(COUNTIFS(BD!$B$3:$B$5001,O$114,BD!$A$3:$A$5001,"&gt;="&amp;$C$7,BD!$A$3:$A$5001,"&lt;="&amp;$B121,BD!$K$3:$K$5001,"&lt;&gt;")=0,"",SUMIFS(BD!$K$3:$K$5001,BD!$B$3:$B$5001,O$114,BD!$A$3:$A$5001,_xlfn.MAXIFS(BD!$A$3:$A$5001,BD!$B$3:$B$5001,O$114,BD!$A$3:$A$5001,"&gt;="&amp;$C$7,BD!$A$3:$A$5001,"&lt;="&amp;$B121,BD!$K$3:$K$5001,"&lt;&gt;"))))</f>
        <v/>
      </c>
      <c r="P121" s="43" t="str">
        <f>IF(OR($B121="",$A121&gt;$B$9,P$114=""),"",IF(COUNTIFS(BD!$B$3:$B$5001,P$114,BD!$A$3:$A$5001,"&gt;="&amp;$C$7,BD!$A$3:$A$5001,"&lt;="&amp;$B121,BD!$K$3:$K$5001,"&lt;&gt;")=0,"",SUMIFS(BD!$K$3:$K$5001,BD!$B$3:$B$5001,P$114,BD!$A$3:$A$5001,_xlfn.MAXIFS(BD!$A$3:$A$5001,BD!$B$3:$B$5001,P$114,BD!$A$3:$A$5001,"&gt;="&amp;$C$7,BD!$A$3:$A$5001,"&lt;="&amp;$B121,BD!$K$3:$K$5001,"&lt;&gt;"))))</f>
        <v/>
      </c>
      <c r="Q121" s="43" t="str">
        <f>IF(OR($B121="",$A121&gt;$B$9,Q$114=""),"",IF(COUNTIFS(BD!$B$3:$B$5001,Q$114,BD!$A$3:$A$5001,"&gt;="&amp;$C$7,BD!$A$3:$A$5001,"&lt;="&amp;$B121,BD!$K$3:$K$5001,"&lt;&gt;")=0,"",SUMIFS(BD!$K$3:$K$5001,BD!$B$3:$B$5001,Q$114,BD!$A$3:$A$5001,_xlfn.MAXIFS(BD!$A$3:$A$5001,BD!$B$3:$B$5001,Q$114,BD!$A$3:$A$5001,"&gt;="&amp;$C$7,BD!$A$3:$A$5001,"&lt;="&amp;$B121,BD!$K$3:$K$5001,"&lt;&gt;"))))</f>
        <v/>
      </c>
      <c r="R121" s="43" t="str">
        <f>IF(OR($B121="",$A121&gt;$B$9,R$114=""),"",IF(COUNTIFS(BD!$B$3:$B$5001,R$114,BD!$A$3:$A$5001,"&gt;="&amp;$C$7,BD!$A$3:$A$5001,"&lt;="&amp;$B121,BD!$K$3:$K$5001,"&lt;&gt;")=0,"",SUMIFS(BD!$K$3:$K$5001,BD!$B$3:$B$5001,R$114,BD!$A$3:$A$5001,_xlfn.MAXIFS(BD!$A$3:$A$5001,BD!$B$3:$B$5001,R$114,BD!$A$3:$A$5001,"&gt;="&amp;$C$7,BD!$A$3:$A$5001,"&lt;="&amp;$B121,BD!$K$3:$K$5001,"&lt;&gt;"))))</f>
        <v/>
      </c>
      <c r="S121" s="43" t="str">
        <f>IF(OR($B121="",$A121&gt;$B$9,S$114=""),"",IF(COUNTIFS(BD!$B$3:$B$5001,S$114,BD!$A$3:$A$5001,"&gt;="&amp;$C$7,BD!$A$3:$A$5001,"&lt;="&amp;$B121,BD!$K$3:$K$5001,"&lt;&gt;")=0,"",SUMIFS(BD!$K$3:$K$5001,BD!$B$3:$B$5001,S$114,BD!$A$3:$A$5001,_xlfn.MAXIFS(BD!$A$3:$A$5001,BD!$B$3:$B$5001,S$114,BD!$A$3:$A$5001,"&gt;="&amp;$C$7,BD!$A$3:$A$5001,"&lt;="&amp;$B121,BD!$K$3:$K$5001,"&lt;&gt;"))))</f>
        <v/>
      </c>
      <c r="T121" s="43" t="str">
        <f>IF(OR($B121="",$A121&gt;$B$9,T$114=""),"",IF(COUNTIFS(BD!$B$3:$B$5001,T$114,BD!$A$3:$A$5001,"&gt;="&amp;$C$7,BD!$A$3:$A$5001,"&lt;="&amp;$B121,BD!$K$3:$K$5001,"&lt;&gt;")=0,"",SUMIFS(BD!$K$3:$K$5001,BD!$B$3:$B$5001,T$114,BD!$A$3:$A$5001,_xlfn.MAXIFS(BD!$A$3:$A$5001,BD!$B$3:$B$5001,T$114,BD!$A$3:$A$5001,"&gt;="&amp;$C$7,BD!$A$3:$A$5001,"&lt;="&amp;$B121,BD!$K$3:$K$5001,"&lt;&gt;"))))</f>
        <v/>
      </c>
      <c r="U121" s="43" t="str">
        <f>IF(OR($B121="",$A121&gt;$B$9,U$114=""),"",IF(COUNTIFS(BD!$B$3:$B$5001,U$114,BD!$A$3:$A$5001,"&gt;="&amp;$C$7,BD!$A$3:$A$5001,"&lt;="&amp;$B121,BD!$K$3:$K$5001,"&lt;&gt;")=0,"",SUMIFS(BD!$K$3:$K$5001,BD!$B$3:$B$5001,U$114,BD!$A$3:$A$5001,_xlfn.MAXIFS(BD!$A$3:$A$5001,BD!$B$3:$B$5001,U$114,BD!$A$3:$A$5001,"&gt;="&amp;$C$7,BD!$A$3:$A$5001,"&lt;="&amp;$B121,BD!$K$3:$K$5001,"&lt;&gt;"))))</f>
        <v/>
      </c>
      <c r="V121" s="43" t="str">
        <f>IF(OR($B121="",$A121&gt;$B$9,V$114=""),"",IF(COUNTIFS(BD!$B$3:$B$5001,V$114,BD!$A$3:$A$5001,"&gt;="&amp;$C$7,BD!$A$3:$A$5001,"&lt;="&amp;$B121,BD!$K$3:$K$5001,"&lt;&gt;")=0,"",SUMIFS(BD!$K$3:$K$5001,BD!$B$3:$B$5001,V$114,BD!$A$3:$A$5001,_xlfn.MAXIFS(BD!$A$3:$A$5001,BD!$B$3:$B$5001,V$114,BD!$A$3:$A$5001,"&gt;="&amp;$C$7,BD!$A$3:$A$5001,"&lt;="&amp;$B121,BD!$K$3:$K$5001,"&lt;&gt;"))))</f>
        <v/>
      </c>
    </row>
    <row r="122">
      <c r="A122" s="38">
        <v>8</v>
      </c>
      <c r="B122" s="42">
        <f>$B$19</f>
        <v>46303</v>
      </c>
      <c r="C122" s="43" t="str">
        <f>IF(OR($B122="",$A122&gt;$B$9,C$114=""),"",IF(COUNTIFS(BD!$B$3:$B$5001,C$114,BD!$A$3:$A$5001,"&gt;="&amp;$C$7,BD!$A$3:$A$5001,"&lt;="&amp;$B122,BD!$K$3:$K$5001,"&lt;&gt;")=0,"",SUMIFS(BD!$K$3:$K$5001,BD!$B$3:$B$5001,C$114,BD!$A$3:$A$5001,_xlfn.MAXIFS(BD!$A$3:$A$5001,BD!$B$3:$B$5001,C$114,BD!$A$3:$A$5001,"&gt;="&amp;$C$7,BD!$A$3:$A$5001,"&lt;="&amp;$B122,BD!$K$3:$K$5001,"&lt;&gt;"))))</f>
        <v/>
      </c>
      <c r="D122" s="43" t="str">
        <f>IF(OR($B122="",$A122&gt;$B$9,D$114=""),"",IF(COUNTIFS(BD!$B$3:$B$5001,D$114,BD!$A$3:$A$5001,"&gt;="&amp;$C$7,BD!$A$3:$A$5001,"&lt;="&amp;$B122,BD!$K$3:$K$5001,"&lt;&gt;")=0,"",SUMIFS(BD!$K$3:$K$5001,BD!$B$3:$B$5001,D$114,BD!$A$3:$A$5001,_xlfn.MAXIFS(BD!$A$3:$A$5001,BD!$B$3:$B$5001,D$114,BD!$A$3:$A$5001,"&gt;="&amp;$C$7,BD!$A$3:$A$5001,"&lt;="&amp;$B122,BD!$K$3:$K$5001,"&lt;&gt;"))))</f>
        <v/>
      </c>
      <c r="E122" s="43" t="str">
        <f>IF(OR($B122="",$A122&gt;$B$9,E$114=""),"",IF(COUNTIFS(BD!$B$3:$B$5001,E$114,BD!$A$3:$A$5001,"&gt;="&amp;$C$7,BD!$A$3:$A$5001,"&lt;="&amp;$B122,BD!$K$3:$K$5001,"&lt;&gt;")=0,"",SUMIFS(BD!$K$3:$K$5001,BD!$B$3:$B$5001,E$114,BD!$A$3:$A$5001,_xlfn.MAXIFS(BD!$A$3:$A$5001,BD!$B$3:$B$5001,E$114,BD!$A$3:$A$5001,"&gt;="&amp;$C$7,BD!$A$3:$A$5001,"&lt;="&amp;$B122,BD!$K$3:$K$5001,"&lt;&gt;"))))</f>
        <v/>
      </c>
      <c r="F122" s="43" t="str">
        <f>IF(OR($B122="",$A122&gt;$B$9,F$114=""),"",IF(COUNTIFS(BD!$B$3:$B$5001,F$114,BD!$A$3:$A$5001,"&gt;="&amp;$C$7,BD!$A$3:$A$5001,"&lt;="&amp;$B122,BD!$K$3:$K$5001,"&lt;&gt;")=0,"",SUMIFS(BD!$K$3:$K$5001,BD!$B$3:$B$5001,F$114,BD!$A$3:$A$5001,_xlfn.MAXIFS(BD!$A$3:$A$5001,BD!$B$3:$B$5001,F$114,BD!$A$3:$A$5001,"&gt;="&amp;$C$7,BD!$A$3:$A$5001,"&lt;="&amp;$B122,BD!$K$3:$K$5001,"&lt;&gt;"))))</f>
        <v/>
      </c>
      <c r="G122" s="43" t="str">
        <f>IF(OR($B122="",$A122&gt;$B$9,G$114=""),"",IF(COUNTIFS(BD!$B$3:$B$5001,G$114,BD!$A$3:$A$5001,"&gt;="&amp;$C$7,BD!$A$3:$A$5001,"&lt;="&amp;$B122,BD!$K$3:$K$5001,"&lt;&gt;")=0,"",SUMIFS(BD!$K$3:$K$5001,BD!$B$3:$B$5001,G$114,BD!$A$3:$A$5001,_xlfn.MAXIFS(BD!$A$3:$A$5001,BD!$B$3:$B$5001,G$114,BD!$A$3:$A$5001,"&gt;="&amp;$C$7,BD!$A$3:$A$5001,"&lt;="&amp;$B122,BD!$K$3:$K$5001,"&lt;&gt;"))))</f>
        <v/>
      </c>
      <c r="H122" s="43" t="str">
        <f>IF(OR($B122="",$A122&gt;$B$9,H$114=""),"",IF(COUNTIFS(BD!$B$3:$B$5001,H$114,BD!$A$3:$A$5001,"&gt;="&amp;$C$7,BD!$A$3:$A$5001,"&lt;="&amp;$B122,BD!$K$3:$K$5001,"&lt;&gt;")=0,"",SUMIFS(BD!$K$3:$K$5001,BD!$B$3:$B$5001,H$114,BD!$A$3:$A$5001,_xlfn.MAXIFS(BD!$A$3:$A$5001,BD!$B$3:$B$5001,H$114,BD!$A$3:$A$5001,"&gt;="&amp;$C$7,BD!$A$3:$A$5001,"&lt;="&amp;$B122,BD!$K$3:$K$5001,"&lt;&gt;"))))</f>
        <v/>
      </c>
      <c r="I122" s="43" t="str">
        <f>IF(OR($B122="",$A122&gt;$B$9,I$114=""),"",IF(COUNTIFS(BD!$B$3:$B$5001,I$114,BD!$A$3:$A$5001,"&gt;="&amp;$C$7,BD!$A$3:$A$5001,"&lt;="&amp;$B122,BD!$K$3:$K$5001,"&lt;&gt;")=0,"",SUMIFS(BD!$K$3:$K$5001,BD!$B$3:$B$5001,I$114,BD!$A$3:$A$5001,_xlfn.MAXIFS(BD!$A$3:$A$5001,BD!$B$3:$B$5001,I$114,BD!$A$3:$A$5001,"&gt;="&amp;$C$7,BD!$A$3:$A$5001,"&lt;="&amp;$B122,BD!$K$3:$K$5001,"&lt;&gt;"))))</f>
        <v/>
      </c>
      <c r="J122" s="43" t="str">
        <f>IF(OR($B122="",$A122&gt;$B$9,J$114=""),"",IF(COUNTIFS(BD!$B$3:$B$5001,J$114,BD!$A$3:$A$5001,"&gt;="&amp;$C$7,BD!$A$3:$A$5001,"&lt;="&amp;$B122,BD!$K$3:$K$5001,"&lt;&gt;")=0,"",SUMIFS(BD!$K$3:$K$5001,BD!$B$3:$B$5001,J$114,BD!$A$3:$A$5001,_xlfn.MAXIFS(BD!$A$3:$A$5001,BD!$B$3:$B$5001,J$114,BD!$A$3:$A$5001,"&gt;="&amp;$C$7,BD!$A$3:$A$5001,"&lt;="&amp;$B122,BD!$K$3:$K$5001,"&lt;&gt;"))))</f>
        <v/>
      </c>
      <c r="K122" s="43" t="str">
        <f>IF(OR($B122="",$A122&gt;$B$9,K$114=""),"",IF(COUNTIFS(BD!$B$3:$B$5001,K$114,BD!$A$3:$A$5001,"&gt;="&amp;$C$7,BD!$A$3:$A$5001,"&lt;="&amp;$B122,BD!$K$3:$K$5001,"&lt;&gt;")=0,"",SUMIFS(BD!$K$3:$K$5001,BD!$B$3:$B$5001,K$114,BD!$A$3:$A$5001,_xlfn.MAXIFS(BD!$A$3:$A$5001,BD!$B$3:$B$5001,K$114,BD!$A$3:$A$5001,"&gt;="&amp;$C$7,BD!$A$3:$A$5001,"&lt;="&amp;$B122,BD!$K$3:$K$5001,"&lt;&gt;"))))</f>
        <v/>
      </c>
      <c r="L122" s="43" t="str">
        <f>IF(OR($B122="",$A122&gt;$B$9,L$114=""),"",IF(COUNTIFS(BD!$B$3:$B$5001,L$114,BD!$A$3:$A$5001,"&gt;="&amp;$C$7,BD!$A$3:$A$5001,"&lt;="&amp;$B122,BD!$K$3:$K$5001,"&lt;&gt;")=0,"",SUMIFS(BD!$K$3:$K$5001,BD!$B$3:$B$5001,L$114,BD!$A$3:$A$5001,_xlfn.MAXIFS(BD!$A$3:$A$5001,BD!$B$3:$B$5001,L$114,BD!$A$3:$A$5001,"&gt;="&amp;$C$7,BD!$A$3:$A$5001,"&lt;="&amp;$B122,BD!$K$3:$K$5001,"&lt;&gt;"))))</f>
        <v/>
      </c>
      <c r="M122" s="43" t="str">
        <f>IF(OR($B122="",$A122&gt;$B$9,M$114=""),"",IF(COUNTIFS(BD!$B$3:$B$5001,M$114,BD!$A$3:$A$5001,"&gt;="&amp;$C$7,BD!$A$3:$A$5001,"&lt;="&amp;$B122,BD!$K$3:$K$5001,"&lt;&gt;")=0,"",SUMIFS(BD!$K$3:$K$5001,BD!$B$3:$B$5001,M$114,BD!$A$3:$A$5001,_xlfn.MAXIFS(BD!$A$3:$A$5001,BD!$B$3:$B$5001,M$114,BD!$A$3:$A$5001,"&gt;="&amp;$C$7,BD!$A$3:$A$5001,"&lt;="&amp;$B122,BD!$K$3:$K$5001,"&lt;&gt;"))))</f>
        <v/>
      </c>
      <c r="N122" s="43" t="str">
        <f>IF(OR($B122="",$A122&gt;$B$9,N$114=""),"",IF(COUNTIFS(BD!$B$3:$B$5001,N$114,BD!$A$3:$A$5001,"&gt;="&amp;$C$7,BD!$A$3:$A$5001,"&lt;="&amp;$B122,BD!$K$3:$K$5001,"&lt;&gt;")=0,"",SUMIFS(BD!$K$3:$K$5001,BD!$B$3:$B$5001,N$114,BD!$A$3:$A$5001,_xlfn.MAXIFS(BD!$A$3:$A$5001,BD!$B$3:$B$5001,N$114,BD!$A$3:$A$5001,"&gt;="&amp;$C$7,BD!$A$3:$A$5001,"&lt;="&amp;$B122,BD!$K$3:$K$5001,"&lt;&gt;"))))</f>
        <v/>
      </c>
      <c r="O122" s="43" t="str">
        <f>IF(OR($B122="",$A122&gt;$B$9,O$114=""),"",IF(COUNTIFS(BD!$B$3:$B$5001,O$114,BD!$A$3:$A$5001,"&gt;="&amp;$C$7,BD!$A$3:$A$5001,"&lt;="&amp;$B122,BD!$K$3:$K$5001,"&lt;&gt;")=0,"",SUMIFS(BD!$K$3:$K$5001,BD!$B$3:$B$5001,O$114,BD!$A$3:$A$5001,_xlfn.MAXIFS(BD!$A$3:$A$5001,BD!$B$3:$B$5001,O$114,BD!$A$3:$A$5001,"&gt;="&amp;$C$7,BD!$A$3:$A$5001,"&lt;="&amp;$B122,BD!$K$3:$K$5001,"&lt;&gt;"))))</f>
        <v/>
      </c>
      <c r="P122" s="43" t="str">
        <f>IF(OR($B122="",$A122&gt;$B$9,P$114=""),"",IF(COUNTIFS(BD!$B$3:$B$5001,P$114,BD!$A$3:$A$5001,"&gt;="&amp;$C$7,BD!$A$3:$A$5001,"&lt;="&amp;$B122,BD!$K$3:$K$5001,"&lt;&gt;")=0,"",SUMIFS(BD!$K$3:$K$5001,BD!$B$3:$B$5001,P$114,BD!$A$3:$A$5001,_xlfn.MAXIFS(BD!$A$3:$A$5001,BD!$B$3:$B$5001,P$114,BD!$A$3:$A$5001,"&gt;="&amp;$C$7,BD!$A$3:$A$5001,"&lt;="&amp;$B122,BD!$K$3:$K$5001,"&lt;&gt;"))))</f>
        <v/>
      </c>
      <c r="Q122" s="43" t="str">
        <f>IF(OR($B122="",$A122&gt;$B$9,Q$114=""),"",IF(COUNTIFS(BD!$B$3:$B$5001,Q$114,BD!$A$3:$A$5001,"&gt;="&amp;$C$7,BD!$A$3:$A$5001,"&lt;="&amp;$B122,BD!$K$3:$K$5001,"&lt;&gt;")=0,"",SUMIFS(BD!$K$3:$K$5001,BD!$B$3:$B$5001,Q$114,BD!$A$3:$A$5001,_xlfn.MAXIFS(BD!$A$3:$A$5001,BD!$B$3:$B$5001,Q$114,BD!$A$3:$A$5001,"&gt;="&amp;$C$7,BD!$A$3:$A$5001,"&lt;="&amp;$B122,BD!$K$3:$K$5001,"&lt;&gt;"))))</f>
        <v/>
      </c>
      <c r="R122" s="43" t="str">
        <f>IF(OR($B122="",$A122&gt;$B$9,R$114=""),"",IF(COUNTIFS(BD!$B$3:$B$5001,R$114,BD!$A$3:$A$5001,"&gt;="&amp;$C$7,BD!$A$3:$A$5001,"&lt;="&amp;$B122,BD!$K$3:$K$5001,"&lt;&gt;")=0,"",SUMIFS(BD!$K$3:$K$5001,BD!$B$3:$B$5001,R$114,BD!$A$3:$A$5001,_xlfn.MAXIFS(BD!$A$3:$A$5001,BD!$B$3:$B$5001,R$114,BD!$A$3:$A$5001,"&gt;="&amp;$C$7,BD!$A$3:$A$5001,"&lt;="&amp;$B122,BD!$K$3:$K$5001,"&lt;&gt;"))))</f>
        <v/>
      </c>
      <c r="S122" s="43" t="str">
        <f>IF(OR($B122="",$A122&gt;$B$9,S$114=""),"",IF(COUNTIFS(BD!$B$3:$B$5001,S$114,BD!$A$3:$A$5001,"&gt;="&amp;$C$7,BD!$A$3:$A$5001,"&lt;="&amp;$B122,BD!$K$3:$K$5001,"&lt;&gt;")=0,"",SUMIFS(BD!$K$3:$K$5001,BD!$B$3:$B$5001,S$114,BD!$A$3:$A$5001,_xlfn.MAXIFS(BD!$A$3:$A$5001,BD!$B$3:$B$5001,S$114,BD!$A$3:$A$5001,"&gt;="&amp;$C$7,BD!$A$3:$A$5001,"&lt;="&amp;$B122,BD!$K$3:$K$5001,"&lt;&gt;"))))</f>
        <v/>
      </c>
      <c r="T122" s="43" t="str">
        <f>IF(OR($B122="",$A122&gt;$B$9,T$114=""),"",IF(COUNTIFS(BD!$B$3:$B$5001,T$114,BD!$A$3:$A$5001,"&gt;="&amp;$C$7,BD!$A$3:$A$5001,"&lt;="&amp;$B122,BD!$K$3:$K$5001,"&lt;&gt;")=0,"",SUMIFS(BD!$K$3:$K$5001,BD!$B$3:$B$5001,T$114,BD!$A$3:$A$5001,_xlfn.MAXIFS(BD!$A$3:$A$5001,BD!$B$3:$B$5001,T$114,BD!$A$3:$A$5001,"&gt;="&amp;$C$7,BD!$A$3:$A$5001,"&lt;="&amp;$B122,BD!$K$3:$K$5001,"&lt;&gt;"))))</f>
        <v/>
      </c>
      <c r="U122" s="43" t="str">
        <f>IF(OR($B122="",$A122&gt;$B$9,U$114=""),"",IF(COUNTIFS(BD!$B$3:$B$5001,U$114,BD!$A$3:$A$5001,"&gt;="&amp;$C$7,BD!$A$3:$A$5001,"&lt;="&amp;$B122,BD!$K$3:$K$5001,"&lt;&gt;")=0,"",SUMIFS(BD!$K$3:$K$5001,BD!$B$3:$B$5001,U$114,BD!$A$3:$A$5001,_xlfn.MAXIFS(BD!$A$3:$A$5001,BD!$B$3:$B$5001,U$114,BD!$A$3:$A$5001,"&gt;="&amp;$C$7,BD!$A$3:$A$5001,"&lt;="&amp;$B122,BD!$K$3:$K$5001,"&lt;&gt;"))))</f>
        <v/>
      </c>
      <c r="V122" s="43" t="str">
        <f>IF(OR($B122="",$A122&gt;$B$9,V$114=""),"",IF(COUNTIFS(BD!$B$3:$B$5001,V$114,BD!$A$3:$A$5001,"&gt;="&amp;$C$7,BD!$A$3:$A$5001,"&lt;="&amp;$B122,BD!$K$3:$K$5001,"&lt;&gt;")=0,"",SUMIFS(BD!$K$3:$K$5001,BD!$B$3:$B$5001,V$114,BD!$A$3:$A$5001,_xlfn.MAXIFS(BD!$A$3:$A$5001,BD!$B$3:$B$5001,V$114,BD!$A$3:$A$5001,"&gt;="&amp;$C$7,BD!$A$3:$A$5001,"&lt;="&amp;$B122,BD!$K$3:$K$5001,"&lt;&gt;"))))</f>
        <v/>
      </c>
    </row>
    <row r="123">
      <c r="A123" s="38">
        <v>9</v>
      </c>
      <c r="B123" s="42">
        <f>$B$20</f>
        <v>46304</v>
      </c>
      <c r="C123" s="43" t="str">
        <f>IF(OR($B123="",$A123&gt;$B$9,C$114=""),"",IF(COUNTIFS(BD!$B$3:$B$5001,C$114,BD!$A$3:$A$5001,"&gt;="&amp;$C$7,BD!$A$3:$A$5001,"&lt;="&amp;$B123,BD!$K$3:$K$5001,"&lt;&gt;")=0,"",SUMIFS(BD!$K$3:$K$5001,BD!$B$3:$B$5001,C$114,BD!$A$3:$A$5001,_xlfn.MAXIFS(BD!$A$3:$A$5001,BD!$B$3:$B$5001,C$114,BD!$A$3:$A$5001,"&gt;="&amp;$C$7,BD!$A$3:$A$5001,"&lt;="&amp;$B123,BD!$K$3:$K$5001,"&lt;&gt;"))))</f>
        <v/>
      </c>
      <c r="D123" s="43" t="str">
        <f>IF(OR($B123="",$A123&gt;$B$9,D$114=""),"",IF(COUNTIFS(BD!$B$3:$B$5001,D$114,BD!$A$3:$A$5001,"&gt;="&amp;$C$7,BD!$A$3:$A$5001,"&lt;="&amp;$B123,BD!$K$3:$K$5001,"&lt;&gt;")=0,"",SUMIFS(BD!$K$3:$K$5001,BD!$B$3:$B$5001,D$114,BD!$A$3:$A$5001,_xlfn.MAXIFS(BD!$A$3:$A$5001,BD!$B$3:$B$5001,D$114,BD!$A$3:$A$5001,"&gt;="&amp;$C$7,BD!$A$3:$A$5001,"&lt;="&amp;$B123,BD!$K$3:$K$5001,"&lt;&gt;"))))</f>
        <v/>
      </c>
      <c r="E123" s="43" t="str">
        <f>IF(OR($B123="",$A123&gt;$B$9,E$114=""),"",IF(COUNTIFS(BD!$B$3:$B$5001,E$114,BD!$A$3:$A$5001,"&gt;="&amp;$C$7,BD!$A$3:$A$5001,"&lt;="&amp;$B123,BD!$K$3:$K$5001,"&lt;&gt;")=0,"",SUMIFS(BD!$K$3:$K$5001,BD!$B$3:$B$5001,E$114,BD!$A$3:$A$5001,_xlfn.MAXIFS(BD!$A$3:$A$5001,BD!$B$3:$B$5001,E$114,BD!$A$3:$A$5001,"&gt;="&amp;$C$7,BD!$A$3:$A$5001,"&lt;="&amp;$B123,BD!$K$3:$K$5001,"&lt;&gt;"))))</f>
        <v/>
      </c>
      <c r="F123" s="43" t="str">
        <f>IF(OR($B123="",$A123&gt;$B$9,F$114=""),"",IF(COUNTIFS(BD!$B$3:$B$5001,F$114,BD!$A$3:$A$5001,"&gt;="&amp;$C$7,BD!$A$3:$A$5001,"&lt;="&amp;$B123,BD!$K$3:$K$5001,"&lt;&gt;")=0,"",SUMIFS(BD!$K$3:$K$5001,BD!$B$3:$B$5001,F$114,BD!$A$3:$A$5001,_xlfn.MAXIFS(BD!$A$3:$A$5001,BD!$B$3:$B$5001,F$114,BD!$A$3:$A$5001,"&gt;="&amp;$C$7,BD!$A$3:$A$5001,"&lt;="&amp;$B123,BD!$K$3:$K$5001,"&lt;&gt;"))))</f>
        <v/>
      </c>
      <c r="G123" s="43" t="str">
        <f>IF(OR($B123="",$A123&gt;$B$9,G$114=""),"",IF(COUNTIFS(BD!$B$3:$B$5001,G$114,BD!$A$3:$A$5001,"&gt;="&amp;$C$7,BD!$A$3:$A$5001,"&lt;="&amp;$B123,BD!$K$3:$K$5001,"&lt;&gt;")=0,"",SUMIFS(BD!$K$3:$K$5001,BD!$B$3:$B$5001,G$114,BD!$A$3:$A$5001,_xlfn.MAXIFS(BD!$A$3:$A$5001,BD!$B$3:$B$5001,G$114,BD!$A$3:$A$5001,"&gt;="&amp;$C$7,BD!$A$3:$A$5001,"&lt;="&amp;$B123,BD!$K$3:$K$5001,"&lt;&gt;"))))</f>
        <v/>
      </c>
      <c r="H123" s="43" t="str">
        <f>IF(OR($B123="",$A123&gt;$B$9,H$114=""),"",IF(COUNTIFS(BD!$B$3:$B$5001,H$114,BD!$A$3:$A$5001,"&gt;="&amp;$C$7,BD!$A$3:$A$5001,"&lt;="&amp;$B123,BD!$K$3:$K$5001,"&lt;&gt;")=0,"",SUMIFS(BD!$K$3:$K$5001,BD!$B$3:$B$5001,H$114,BD!$A$3:$A$5001,_xlfn.MAXIFS(BD!$A$3:$A$5001,BD!$B$3:$B$5001,H$114,BD!$A$3:$A$5001,"&gt;="&amp;$C$7,BD!$A$3:$A$5001,"&lt;="&amp;$B123,BD!$K$3:$K$5001,"&lt;&gt;"))))</f>
        <v/>
      </c>
      <c r="I123" s="43" t="str">
        <f>IF(OR($B123="",$A123&gt;$B$9,I$114=""),"",IF(COUNTIFS(BD!$B$3:$B$5001,I$114,BD!$A$3:$A$5001,"&gt;="&amp;$C$7,BD!$A$3:$A$5001,"&lt;="&amp;$B123,BD!$K$3:$K$5001,"&lt;&gt;")=0,"",SUMIFS(BD!$K$3:$K$5001,BD!$B$3:$B$5001,I$114,BD!$A$3:$A$5001,_xlfn.MAXIFS(BD!$A$3:$A$5001,BD!$B$3:$B$5001,I$114,BD!$A$3:$A$5001,"&gt;="&amp;$C$7,BD!$A$3:$A$5001,"&lt;="&amp;$B123,BD!$K$3:$K$5001,"&lt;&gt;"))))</f>
        <v/>
      </c>
      <c r="J123" s="43" t="str">
        <f>IF(OR($B123="",$A123&gt;$B$9,J$114=""),"",IF(COUNTIFS(BD!$B$3:$B$5001,J$114,BD!$A$3:$A$5001,"&gt;="&amp;$C$7,BD!$A$3:$A$5001,"&lt;="&amp;$B123,BD!$K$3:$K$5001,"&lt;&gt;")=0,"",SUMIFS(BD!$K$3:$K$5001,BD!$B$3:$B$5001,J$114,BD!$A$3:$A$5001,_xlfn.MAXIFS(BD!$A$3:$A$5001,BD!$B$3:$B$5001,J$114,BD!$A$3:$A$5001,"&gt;="&amp;$C$7,BD!$A$3:$A$5001,"&lt;="&amp;$B123,BD!$K$3:$K$5001,"&lt;&gt;"))))</f>
        <v/>
      </c>
      <c r="K123" s="43" t="str">
        <f>IF(OR($B123="",$A123&gt;$B$9,K$114=""),"",IF(COUNTIFS(BD!$B$3:$B$5001,K$114,BD!$A$3:$A$5001,"&gt;="&amp;$C$7,BD!$A$3:$A$5001,"&lt;="&amp;$B123,BD!$K$3:$K$5001,"&lt;&gt;")=0,"",SUMIFS(BD!$K$3:$K$5001,BD!$B$3:$B$5001,K$114,BD!$A$3:$A$5001,_xlfn.MAXIFS(BD!$A$3:$A$5001,BD!$B$3:$B$5001,K$114,BD!$A$3:$A$5001,"&gt;="&amp;$C$7,BD!$A$3:$A$5001,"&lt;="&amp;$B123,BD!$K$3:$K$5001,"&lt;&gt;"))))</f>
        <v/>
      </c>
      <c r="L123" s="43" t="str">
        <f>IF(OR($B123="",$A123&gt;$B$9,L$114=""),"",IF(COUNTIFS(BD!$B$3:$B$5001,L$114,BD!$A$3:$A$5001,"&gt;="&amp;$C$7,BD!$A$3:$A$5001,"&lt;="&amp;$B123,BD!$K$3:$K$5001,"&lt;&gt;")=0,"",SUMIFS(BD!$K$3:$K$5001,BD!$B$3:$B$5001,L$114,BD!$A$3:$A$5001,_xlfn.MAXIFS(BD!$A$3:$A$5001,BD!$B$3:$B$5001,L$114,BD!$A$3:$A$5001,"&gt;="&amp;$C$7,BD!$A$3:$A$5001,"&lt;="&amp;$B123,BD!$K$3:$K$5001,"&lt;&gt;"))))</f>
        <v/>
      </c>
      <c r="M123" s="43" t="str">
        <f>IF(OR($B123="",$A123&gt;$B$9,M$114=""),"",IF(COUNTIFS(BD!$B$3:$B$5001,M$114,BD!$A$3:$A$5001,"&gt;="&amp;$C$7,BD!$A$3:$A$5001,"&lt;="&amp;$B123,BD!$K$3:$K$5001,"&lt;&gt;")=0,"",SUMIFS(BD!$K$3:$K$5001,BD!$B$3:$B$5001,M$114,BD!$A$3:$A$5001,_xlfn.MAXIFS(BD!$A$3:$A$5001,BD!$B$3:$B$5001,M$114,BD!$A$3:$A$5001,"&gt;="&amp;$C$7,BD!$A$3:$A$5001,"&lt;="&amp;$B123,BD!$K$3:$K$5001,"&lt;&gt;"))))</f>
        <v/>
      </c>
      <c r="N123" s="43" t="str">
        <f>IF(OR($B123="",$A123&gt;$B$9,N$114=""),"",IF(COUNTIFS(BD!$B$3:$B$5001,N$114,BD!$A$3:$A$5001,"&gt;="&amp;$C$7,BD!$A$3:$A$5001,"&lt;="&amp;$B123,BD!$K$3:$K$5001,"&lt;&gt;")=0,"",SUMIFS(BD!$K$3:$K$5001,BD!$B$3:$B$5001,N$114,BD!$A$3:$A$5001,_xlfn.MAXIFS(BD!$A$3:$A$5001,BD!$B$3:$B$5001,N$114,BD!$A$3:$A$5001,"&gt;="&amp;$C$7,BD!$A$3:$A$5001,"&lt;="&amp;$B123,BD!$K$3:$K$5001,"&lt;&gt;"))))</f>
        <v/>
      </c>
      <c r="O123" s="43" t="str">
        <f>IF(OR($B123="",$A123&gt;$B$9,O$114=""),"",IF(COUNTIFS(BD!$B$3:$B$5001,O$114,BD!$A$3:$A$5001,"&gt;="&amp;$C$7,BD!$A$3:$A$5001,"&lt;="&amp;$B123,BD!$K$3:$K$5001,"&lt;&gt;")=0,"",SUMIFS(BD!$K$3:$K$5001,BD!$B$3:$B$5001,O$114,BD!$A$3:$A$5001,_xlfn.MAXIFS(BD!$A$3:$A$5001,BD!$B$3:$B$5001,O$114,BD!$A$3:$A$5001,"&gt;="&amp;$C$7,BD!$A$3:$A$5001,"&lt;="&amp;$B123,BD!$K$3:$K$5001,"&lt;&gt;"))))</f>
        <v/>
      </c>
      <c r="P123" s="43" t="str">
        <f>IF(OR($B123="",$A123&gt;$B$9,P$114=""),"",IF(COUNTIFS(BD!$B$3:$B$5001,P$114,BD!$A$3:$A$5001,"&gt;="&amp;$C$7,BD!$A$3:$A$5001,"&lt;="&amp;$B123,BD!$K$3:$K$5001,"&lt;&gt;")=0,"",SUMIFS(BD!$K$3:$K$5001,BD!$B$3:$B$5001,P$114,BD!$A$3:$A$5001,_xlfn.MAXIFS(BD!$A$3:$A$5001,BD!$B$3:$B$5001,P$114,BD!$A$3:$A$5001,"&gt;="&amp;$C$7,BD!$A$3:$A$5001,"&lt;="&amp;$B123,BD!$K$3:$K$5001,"&lt;&gt;"))))</f>
        <v/>
      </c>
      <c r="Q123" s="43" t="str">
        <f>IF(OR($B123="",$A123&gt;$B$9,Q$114=""),"",IF(COUNTIFS(BD!$B$3:$B$5001,Q$114,BD!$A$3:$A$5001,"&gt;="&amp;$C$7,BD!$A$3:$A$5001,"&lt;="&amp;$B123,BD!$K$3:$K$5001,"&lt;&gt;")=0,"",SUMIFS(BD!$K$3:$K$5001,BD!$B$3:$B$5001,Q$114,BD!$A$3:$A$5001,_xlfn.MAXIFS(BD!$A$3:$A$5001,BD!$B$3:$B$5001,Q$114,BD!$A$3:$A$5001,"&gt;="&amp;$C$7,BD!$A$3:$A$5001,"&lt;="&amp;$B123,BD!$K$3:$K$5001,"&lt;&gt;"))))</f>
        <v/>
      </c>
      <c r="R123" s="43" t="str">
        <f>IF(OR($B123="",$A123&gt;$B$9,R$114=""),"",IF(COUNTIFS(BD!$B$3:$B$5001,R$114,BD!$A$3:$A$5001,"&gt;="&amp;$C$7,BD!$A$3:$A$5001,"&lt;="&amp;$B123,BD!$K$3:$K$5001,"&lt;&gt;")=0,"",SUMIFS(BD!$K$3:$K$5001,BD!$B$3:$B$5001,R$114,BD!$A$3:$A$5001,_xlfn.MAXIFS(BD!$A$3:$A$5001,BD!$B$3:$B$5001,R$114,BD!$A$3:$A$5001,"&gt;="&amp;$C$7,BD!$A$3:$A$5001,"&lt;="&amp;$B123,BD!$K$3:$K$5001,"&lt;&gt;"))))</f>
        <v/>
      </c>
      <c r="S123" s="43" t="str">
        <f>IF(OR($B123="",$A123&gt;$B$9,S$114=""),"",IF(COUNTIFS(BD!$B$3:$B$5001,S$114,BD!$A$3:$A$5001,"&gt;="&amp;$C$7,BD!$A$3:$A$5001,"&lt;="&amp;$B123,BD!$K$3:$K$5001,"&lt;&gt;")=0,"",SUMIFS(BD!$K$3:$K$5001,BD!$B$3:$B$5001,S$114,BD!$A$3:$A$5001,_xlfn.MAXIFS(BD!$A$3:$A$5001,BD!$B$3:$B$5001,S$114,BD!$A$3:$A$5001,"&gt;="&amp;$C$7,BD!$A$3:$A$5001,"&lt;="&amp;$B123,BD!$K$3:$K$5001,"&lt;&gt;"))))</f>
        <v/>
      </c>
      <c r="T123" s="43" t="str">
        <f>IF(OR($B123="",$A123&gt;$B$9,T$114=""),"",IF(COUNTIFS(BD!$B$3:$B$5001,T$114,BD!$A$3:$A$5001,"&gt;="&amp;$C$7,BD!$A$3:$A$5001,"&lt;="&amp;$B123,BD!$K$3:$K$5001,"&lt;&gt;")=0,"",SUMIFS(BD!$K$3:$K$5001,BD!$B$3:$B$5001,T$114,BD!$A$3:$A$5001,_xlfn.MAXIFS(BD!$A$3:$A$5001,BD!$B$3:$B$5001,T$114,BD!$A$3:$A$5001,"&gt;="&amp;$C$7,BD!$A$3:$A$5001,"&lt;="&amp;$B123,BD!$K$3:$K$5001,"&lt;&gt;"))))</f>
        <v/>
      </c>
      <c r="U123" s="43" t="str">
        <f>IF(OR($B123="",$A123&gt;$B$9,U$114=""),"",IF(COUNTIFS(BD!$B$3:$B$5001,U$114,BD!$A$3:$A$5001,"&gt;="&amp;$C$7,BD!$A$3:$A$5001,"&lt;="&amp;$B123,BD!$K$3:$K$5001,"&lt;&gt;")=0,"",SUMIFS(BD!$K$3:$K$5001,BD!$B$3:$B$5001,U$114,BD!$A$3:$A$5001,_xlfn.MAXIFS(BD!$A$3:$A$5001,BD!$B$3:$B$5001,U$114,BD!$A$3:$A$5001,"&gt;="&amp;$C$7,BD!$A$3:$A$5001,"&lt;="&amp;$B123,BD!$K$3:$K$5001,"&lt;&gt;"))))</f>
        <v/>
      </c>
      <c r="V123" s="43" t="str">
        <f>IF(OR($B123="",$A123&gt;$B$9,V$114=""),"",IF(COUNTIFS(BD!$B$3:$B$5001,V$114,BD!$A$3:$A$5001,"&gt;="&amp;$C$7,BD!$A$3:$A$5001,"&lt;="&amp;$B123,BD!$K$3:$K$5001,"&lt;&gt;")=0,"",SUMIFS(BD!$K$3:$K$5001,BD!$B$3:$B$5001,V$114,BD!$A$3:$A$5001,_xlfn.MAXIFS(BD!$A$3:$A$5001,BD!$B$3:$B$5001,V$114,BD!$A$3:$A$5001,"&gt;="&amp;$C$7,BD!$A$3:$A$5001,"&lt;="&amp;$B123,BD!$K$3:$K$5001,"&lt;&gt;"))))</f>
        <v/>
      </c>
    </row>
    <row r="124">
      <c r="A124" s="38">
        <v>10</v>
      </c>
      <c r="B124" s="42">
        <f>$B$21</f>
        <v>46305</v>
      </c>
      <c r="C124" s="43" t="str">
        <f>IF(OR($B124="",$A124&gt;$B$9,C$114=""),"",IF(COUNTIFS(BD!$B$3:$B$5001,C$114,BD!$A$3:$A$5001,"&gt;="&amp;$C$7,BD!$A$3:$A$5001,"&lt;="&amp;$B124,BD!$K$3:$K$5001,"&lt;&gt;")=0,"",SUMIFS(BD!$K$3:$K$5001,BD!$B$3:$B$5001,C$114,BD!$A$3:$A$5001,_xlfn.MAXIFS(BD!$A$3:$A$5001,BD!$B$3:$B$5001,C$114,BD!$A$3:$A$5001,"&gt;="&amp;$C$7,BD!$A$3:$A$5001,"&lt;="&amp;$B124,BD!$K$3:$K$5001,"&lt;&gt;"))))</f>
        <v/>
      </c>
      <c r="D124" s="43" t="str">
        <f>IF(OR($B124="",$A124&gt;$B$9,D$114=""),"",IF(COUNTIFS(BD!$B$3:$B$5001,D$114,BD!$A$3:$A$5001,"&gt;="&amp;$C$7,BD!$A$3:$A$5001,"&lt;="&amp;$B124,BD!$K$3:$K$5001,"&lt;&gt;")=0,"",SUMIFS(BD!$K$3:$K$5001,BD!$B$3:$B$5001,D$114,BD!$A$3:$A$5001,_xlfn.MAXIFS(BD!$A$3:$A$5001,BD!$B$3:$B$5001,D$114,BD!$A$3:$A$5001,"&gt;="&amp;$C$7,BD!$A$3:$A$5001,"&lt;="&amp;$B124,BD!$K$3:$K$5001,"&lt;&gt;"))))</f>
        <v/>
      </c>
      <c r="E124" s="43" t="str">
        <f>IF(OR($B124="",$A124&gt;$B$9,E$114=""),"",IF(COUNTIFS(BD!$B$3:$B$5001,E$114,BD!$A$3:$A$5001,"&gt;="&amp;$C$7,BD!$A$3:$A$5001,"&lt;="&amp;$B124,BD!$K$3:$K$5001,"&lt;&gt;")=0,"",SUMIFS(BD!$K$3:$K$5001,BD!$B$3:$B$5001,E$114,BD!$A$3:$A$5001,_xlfn.MAXIFS(BD!$A$3:$A$5001,BD!$B$3:$B$5001,E$114,BD!$A$3:$A$5001,"&gt;="&amp;$C$7,BD!$A$3:$A$5001,"&lt;="&amp;$B124,BD!$K$3:$K$5001,"&lt;&gt;"))))</f>
        <v/>
      </c>
      <c r="F124" s="43" t="str">
        <f>IF(OR($B124="",$A124&gt;$B$9,F$114=""),"",IF(COUNTIFS(BD!$B$3:$B$5001,F$114,BD!$A$3:$A$5001,"&gt;="&amp;$C$7,BD!$A$3:$A$5001,"&lt;="&amp;$B124,BD!$K$3:$K$5001,"&lt;&gt;")=0,"",SUMIFS(BD!$K$3:$K$5001,BD!$B$3:$B$5001,F$114,BD!$A$3:$A$5001,_xlfn.MAXIFS(BD!$A$3:$A$5001,BD!$B$3:$B$5001,F$114,BD!$A$3:$A$5001,"&gt;="&amp;$C$7,BD!$A$3:$A$5001,"&lt;="&amp;$B124,BD!$K$3:$K$5001,"&lt;&gt;"))))</f>
        <v/>
      </c>
      <c r="G124" s="43" t="str">
        <f>IF(OR($B124="",$A124&gt;$B$9,G$114=""),"",IF(COUNTIFS(BD!$B$3:$B$5001,G$114,BD!$A$3:$A$5001,"&gt;="&amp;$C$7,BD!$A$3:$A$5001,"&lt;="&amp;$B124,BD!$K$3:$K$5001,"&lt;&gt;")=0,"",SUMIFS(BD!$K$3:$K$5001,BD!$B$3:$B$5001,G$114,BD!$A$3:$A$5001,_xlfn.MAXIFS(BD!$A$3:$A$5001,BD!$B$3:$B$5001,G$114,BD!$A$3:$A$5001,"&gt;="&amp;$C$7,BD!$A$3:$A$5001,"&lt;="&amp;$B124,BD!$K$3:$K$5001,"&lt;&gt;"))))</f>
        <v/>
      </c>
      <c r="H124" s="43" t="str">
        <f>IF(OR($B124="",$A124&gt;$B$9,H$114=""),"",IF(COUNTIFS(BD!$B$3:$B$5001,H$114,BD!$A$3:$A$5001,"&gt;="&amp;$C$7,BD!$A$3:$A$5001,"&lt;="&amp;$B124,BD!$K$3:$K$5001,"&lt;&gt;")=0,"",SUMIFS(BD!$K$3:$K$5001,BD!$B$3:$B$5001,H$114,BD!$A$3:$A$5001,_xlfn.MAXIFS(BD!$A$3:$A$5001,BD!$B$3:$B$5001,H$114,BD!$A$3:$A$5001,"&gt;="&amp;$C$7,BD!$A$3:$A$5001,"&lt;="&amp;$B124,BD!$K$3:$K$5001,"&lt;&gt;"))))</f>
        <v/>
      </c>
      <c r="I124" s="43" t="str">
        <f>IF(OR($B124="",$A124&gt;$B$9,I$114=""),"",IF(COUNTIFS(BD!$B$3:$B$5001,I$114,BD!$A$3:$A$5001,"&gt;="&amp;$C$7,BD!$A$3:$A$5001,"&lt;="&amp;$B124,BD!$K$3:$K$5001,"&lt;&gt;")=0,"",SUMIFS(BD!$K$3:$K$5001,BD!$B$3:$B$5001,I$114,BD!$A$3:$A$5001,_xlfn.MAXIFS(BD!$A$3:$A$5001,BD!$B$3:$B$5001,I$114,BD!$A$3:$A$5001,"&gt;="&amp;$C$7,BD!$A$3:$A$5001,"&lt;="&amp;$B124,BD!$K$3:$K$5001,"&lt;&gt;"))))</f>
        <v/>
      </c>
      <c r="J124" s="43" t="str">
        <f>IF(OR($B124="",$A124&gt;$B$9,J$114=""),"",IF(COUNTIFS(BD!$B$3:$B$5001,J$114,BD!$A$3:$A$5001,"&gt;="&amp;$C$7,BD!$A$3:$A$5001,"&lt;="&amp;$B124,BD!$K$3:$K$5001,"&lt;&gt;")=0,"",SUMIFS(BD!$K$3:$K$5001,BD!$B$3:$B$5001,J$114,BD!$A$3:$A$5001,_xlfn.MAXIFS(BD!$A$3:$A$5001,BD!$B$3:$B$5001,J$114,BD!$A$3:$A$5001,"&gt;="&amp;$C$7,BD!$A$3:$A$5001,"&lt;="&amp;$B124,BD!$K$3:$K$5001,"&lt;&gt;"))))</f>
        <v/>
      </c>
      <c r="K124" s="43" t="str">
        <f>IF(OR($B124="",$A124&gt;$B$9,K$114=""),"",IF(COUNTIFS(BD!$B$3:$B$5001,K$114,BD!$A$3:$A$5001,"&gt;="&amp;$C$7,BD!$A$3:$A$5001,"&lt;="&amp;$B124,BD!$K$3:$K$5001,"&lt;&gt;")=0,"",SUMIFS(BD!$K$3:$K$5001,BD!$B$3:$B$5001,K$114,BD!$A$3:$A$5001,_xlfn.MAXIFS(BD!$A$3:$A$5001,BD!$B$3:$B$5001,K$114,BD!$A$3:$A$5001,"&gt;="&amp;$C$7,BD!$A$3:$A$5001,"&lt;="&amp;$B124,BD!$K$3:$K$5001,"&lt;&gt;"))))</f>
        <v/>
      </c>
      <c r="L124" s="43" t="str">
        <f>IF(OR($B124="",$A124&gt;$B$9,L$114=""),"",IF(COUNTIFS(BD!$B$3:$B$5001,L$114,BD!$A$3:$A$5001,"&gt;="&amp;$C$7,BD!$A$3:$A$5001,"&lt;="&amp;$B124,BD!$K$3:$K$5001,"&lt;&gt;")=0,"",SUMIFS(BD!$K$3:$K$5001,BD!$B$3:$B$5001,L$114,BD!$A$3:$A$5001,_xlfn.MAXIFS(BD!$A$3:$A$5001,BD!$B$3:$B$5001,L$114,BD!$A$3:$A$5001,"&gt;="&amp;$C$7,BD!$A$3:$A$5001,"&lt;="&amp;$B124,BD!$K$3:$K$5001,"&lt;&gt;"))))</f>
        <v/>
      </c>
      <c r="M124" s="43" t="str">
        <f>IF(OR($B124="",$A124&gt;$B$9,M$114=""),"",IF(COUNTIFS(BD!$B$3:$B$5001,M$114,BD!$A$3:$A$5001,"&gt;="&amp;$C$7,BD!$A$3:$A$5001,"&lt;="&amp;$B124,BD!$K$3:$K$5001,"&lt;&gt;")=0,"",SUMIFS(BD!$K$3:$K$5001,BD!$B$3:$B$5001,M$114,BD!$A$3:$A$5001,_xlfn.MAXIFS(BD!$A$3:$A$5001,BD!$B$3:$B$5001,M$114,BD!$A$3:$A$5001,"&gt;="&amp;$C$7,BD!$A$3:$A$5001,"&lt;="&amp;$B124,BD!$K$3:$K$5001,"&lt;&gt;"))))</f>
        <v/>
      </c>
      <c r="N124" s="43" t="str">
        <f>IF(OR($B124="",$A124&gt;$B$9,N$114=""),"",IF(COUNTIFS(BD!$B$3:$B$5001,N$114,BD!$A$3:$A$5001,"&gt;="&amp;$C$7,BD!$A$3:$A$5001,"&lt;="&amp;$B124,BD!$K$3:$K$5001,"&lt;&gt;")=0,"",SUMIFS(BD!$K$3:$K$5001,BD!$B$3:$B$5001,N$114,BD!$A$3:$A$5001,_xlfn.MAXIFS(BD!$A$3:$A$5001,BD!$B$3:$B$5001,N$114,BD!$A$3:$A$5001,"&gt;="&amp;$C$7,BD!$A$3:$A$5001,"&lt;="&amp;$B124,BD!$K$3:$K$5001,"&lt;&gt;"))))</f>
        <v/>
      </c>
      <c r="O124" s="43" t="str">
        <f>IF(OR($B124="",$A124&gt;$B$9,O$114=""),"",IF(COUNTIFS(BD!$B$3:$B$5001,O$114,BD!$A$3:$A$5001,"&gt;="&amp;$C$7,BD!$A$3:$A$5001,"&lt;="&amp;$B124,BD!$K$3:$K$5001,"&lt;&gt;")=0,"",SUMIFS(BD!$K$3:$K$5001,BD!$B$3:$B$5001,O$114,BD!$A$3:$A$5001,_xlfn.MAXIFS(BD!$A$3:$A$5001,BD!$B$3:$B$5001,O$114,BD!$A$3:$A$5001,"&gt;="&amp;$C$7,BD!$A$3:$A$5001,"&lt;="&amp;$B124,BD!$K$3:$K$5001,"&lt;&gt;"))))</f>
        <v/>
      </c>
      <c r="P124" s="43" t="str">
        <f>IF(OR($B124="",$A124&gt;$B$9,P$114=""),"",IF(COUNTIFS(BD!$B$3:$B$5001,P$114,BD!$A$3:$A$5001,"&gt;="&amp;$C$7,BD!$A$3:$A$5001,"&lt;="&amp;$B124,BD!$K$3:$K$5001,"&lt;&gt;")=0,"",SUMIFS(BD!$K$3:$K$5001,BD!$B$3:$B$5001,P$114,BD!$A$3:$A$5001,_xlfn.MAXIFS(BD!$A$3:$A$5001,BD!$B$3:$B$5001,P$114,BD!$A$3:$A$5001,"&gt;="&amp;$C$7,BD!$A$3:$A$5001,"&lt;="&amp;$B124,BD!$K$3:$K$5001,"&lt;&gt;"))))</f>
        <v/>
      </c>
      <c r="Q124" s="43" t="str">
        <f>IF(OR($B124="",$A124&gt;$B$9,Q$114=""),"",IF(COUNTIFS(BD!$B$3:$B$5001,Q$114,BD!$A$3:$A$5001,"&gt;="&amp;$C$7,BD!$A$3:$A$5001,"&lt;="&amp;$B124,BD!$K$3:$K$5001,"&lt;&gt;")=0,"",SUMIFS(BD!$K$3:$K$5001,BD!$B$3:$B$5001,Q$114,BD!$A$3:$A$5001,_xlfn.MAXIFS(BD!$A$3:$A$5001,BD!$B$3:$B$5001,Q$114,BD!$A$3:$A$5001,"&gt;="&amp;$C$7,BD!$A$3:$A$5001,"&lt;="&amp;$B124,BD!$K$3:$K$5001,"&lt;&gt;"))))</f>
        <v/>
      </c>
      <c r="R124" s="43" t="str">
        <f>IF(OR($B124="",$A124&gt;$B$9,R$114=""),"",IF(COUNTIFS(BD!$B$3:$B$5001,R$114,BD!$A$3:$A$5001,"&gt;="&amp;$C$7,BD!$A$3:$A$5001,"&lt;="&amp;$B124,BD!$K$3:$K$5001,"&lt;&gt;")=0,"",SUMIFS(BD!$K$3:$K$5001,BD!$B$3:$B$5001,R$114,BD!$A$3:$A$5001,_xlfn.MAXIFS(BD!$A$3:$A$5001,BD!$B$3:$B$5001,R$114,BD!$A$3:$A$5001,"&gt;="&amp;$C$7,BD!$A$3:$A$5001,"&lt;="&amp;$B124,BD!$K$3:$K$5001,"&lt;&gt;"))))</f>
        <v/>
      </c>
      <c r="S124" s="43" t="str">
        <f>IF(OR($B124="",$A124&gt;$B$9,S$114=""),"",IF(COUNTIFS(BD!$B$3:$B$5001,S$114,BD!$A$3:$A$5001,"&gt;="&amp;$C$7,BD!$A$3:$A$5001,"&lt;="&amp;$B124,BD!$K$3:$K$5001,"&lt;&gt;")=0,"",SUMIFS(BD!$K$3:$K$5001,BD!$B$3:$B$5001,S$114,BD!$A$3:$A$5001,_xlfn.MAXIFS(BD!$A$3:$A$5001,BD!$B$3:$B$5001,S$114,BD!$A$3:$A$5001,"&gt;="&amp;$C$7,BD!$A$3:$A$5001,"&lt;="&amp;$B124,BD!$K$3:$K$5001,"&lt;&gt;"))))</f>
        <v/>
      </c>
      <c r="T124" s="43" t="str">
        <f>IF(OR($B124="",$A124&gt;$B$9,T$114=""),"",IF(COUNTIFS(BD!$B$3:$B$5001,T$114,BD!$A$3:$A$5001,"&gt;="&amp;$C$7,BD!$A$3:$A$5001,"&lt;="&amp;$B124,BD!$K$3:$K$5001,"&lt;&gt;")=0,"",SUMIFS(BD!$K$3:$K$5001,BD!$B$3:$B$5001,T$114,BD!$A$3:$A$5001,_xlfn.MAXIFS(BD!$A$3:$A$5001,BD!$B$3:$B$5001,T$114,BD!$A$3:$A$5001,"&gt;="&amp;$C$7,BD!$A$3:$A$5001,"&lt;="&amp;$B124,BD!$K$3:$K$5001,"&lt;&gt;"))))</f>
        <v/>
      </c>
      <c r="U124" s="43" t="str">
        <f>IF(OR($B124="",$A124&gt;$B$9,U$114=""),"",IF(COUNTIFS(BD!$B$3:$B$5001,U$114,BD!$A$3:$A$5001,"&gt;="&amp;$C$7,BD!$A$3:$A$5001,"&lt;="&amp;$B124,BD!$K$3:$K$5001,"&lt;&gt;")=0,"",SUMIFS(BD!$K$3:$K$5001,BD!$B$3:$B$5001,U$114,BD!$A$3:$A$5001,_xlfn.MAXIFS(BD!$A$3:$A$5001,BD!$B$3:$B$5001,U$114,BD!$A$3:$A$5001,"&gt;="&amp;$C$7,BD!$A$3:$A$5001,"&lt;="&amp;$B124,BD!$K$3:$K$5001,"&lt;&gt;"))))</f>
        <v/>
      </c>
      <c r="V124" s="43" t="str">
        <f>IF(OR($B124="",$A124&gt;$B$9,V$114=""),"",IF(COUNTIFS(BD!$B$3:$B$5001,V$114,BD!$A$3:$A$5001,"&gt;="&amp;$C$7,BD!$A$3:$A$5001,"&lt;="&amp;$B124,BD!$K$3:$K$5001,"&lt;&gt;")=0,"",SUMIFS(BD!$K$3:$K$5001,BD!$B$3:$B$5001,V$114,BD!$A$3:$A$5001,_xlfn.MAXIFS(BD!$A$3:$A$5001,BD!$B$3:$B$5001,V$114,BD!$A$3:$A$5001,"&gt;="&amp;$C$7,BD!$A$3:$A$5001,"&lt;="&amp;$B124,BD!$K$3:$K$5001,"&lt;&gt;"))))</f>
        <v/>
      </c>
    </row>
    <row r="125">
      <c r="A125" s="38">
        <v>11</v>
      </c>
      <c r="B125" s="42">
        <f>$B$22</f>
        <v>46306</v>
      </c>
      <c r="C125" s="43" t="str">
        <f>IF(OR($B125="",$A125&gt;$B$9,C$114=""),"",IF(COUNTIFS(BD!$B$3:$B$5001,C$114,BD!$A$3:$A$5001,"&gt;="&amp;$C$7,BD!$A$3:$A$5001,"&lt;="&amp;$B125,BD!$K$3:$K$5001,"&lt;&gt;")=0,"",SUMIFS(BD!$K$3:$K$5001,BD!$B$3:$B$5001,C$114,BD!$A$3:$A$5001,_xlfn.MAXIFS(BD!$A$3:$A$5001,BD!$B$3:$B$5001,C$114,BD!$A$3:$A$5001,"&gt;="&amp;$C$7,BD!$A$3:$A$5001,"&lt;="&amp;$B125,BD!$K$3:$K$5001,"&lt;&gt;"))))</f>
        <v/>
      </c>
      <c r="D125" s="43" t="str">
        <f>IF(OR($B125="",$A125&gt;$B$9,D$114=""),"",IF(COUNTIFS(BD!$B$3:$B$5001,D$114,BD!$A$3:$A$5001,"&gt;="&amp;$C$7,BD!$A$3:$A$5001,"&lt;="&amp;$B125,BD!$K$3:$K$5001,"&lt;&gt;")=0,"",SUMIFS(BD!$K$3:$K$5001,BD!$B$3:$B$5001,D$114,BD!$A$3:$A$5001,_xlfn.MAXIFS(BD!$A$3:$A$5001,BD!$B$3:$B$5001,D$114,BD!$A$3:$A$5001,"&gt;="&amp;$C$7,BD!$A$3:$A$5001,"&lt;="&amp;$B125,BD!$K$3:$K$5001,"&lt;&gt;"))))</f>
        <v/>
      </c>
      <c r="E125" s="43" t="str">
        <f>IF(OR($B125="",$A125&gt;$B$9,E$114=""),"",IF(COUNTIFS(BD!$B$3:$B$5001,E$114,BD!$A$3:$A$5001,"&gt;="&amp;$C$7,BD!$A$3:$A$5001,"&lt;="&amp;$B125,BD!$K$3:$K$5001,"&lt;&gt;")=0,"",SUMIFS(BD!$K$3:$K$5001,BD!$B$3:$B$5001,E$114,BD!$A$3:$A$5001,_xlfn.MAXIFS(BD!$A$3:$A$5001,BD!$B$3:$B$5001,E$114,BD!$A$3:$A$5001,"&gt;="&amp;$C$7,BD!$A$3:$A$5001,"&lt;="&amp;$B125,BD!$K$3:$K$5001,"&lt;&gt;"))))</f>
        <v/>
      </c>
      <c r="F125" s="43" t="str">
        <f>IF(OR($B125="",$A125&gt;$B$9,F$114=""),"",IF(COUNTIFS(BD!$B$3:$B$5001,F$114,BD!$A$3:$A$5001,"&gt;="&amp;$C$7,BD!$A$3:$A$5001,"&lt;="&amp;$B125,BD!$K$3:$K$5001,"&lt;&gt;")=0,"",SUMIFS(BD!$K$3:$K$5001,BD!$B$3:$B$5001,F$114,BD!$A$3:$A$5001,_xlfn.MAXIFS(BD!$A$3:$A$5001,BD!$B$3:$B$5001,F$114,BD!$A$3:$A$5001,"&gt;="&amp;$C$7,BD!$A$3:$A$5001,"&lt;="&amp;$B125,BD!$K$3:$K$5001,"&lt;&gt;"))))</f>
        <v/>
      </c>
      <c r="G125" s="43" t="str">
        <f>IF(OR($B125="",$A125&gt;$B$9,G$114=""),"",IF(COUNTIFS(BD!$B$3:$B$5001,G$114,BD!$A$3:$A$5001,"&gt;="&amp;$C$7,BD!$A$3:$A$5001,"&lt;="&amp;$B125,BD!$K$3:$K$5001,"&lt;&gt;")=0,"",SUMIFS(BD!$K$3:$K$5001,BD!$B$3:$B$5001,G$114,BD!$A$3:$A$5001,_xlfn.MAXIFS(BD!$A$3:$A$5001,BD!$B$3:$B$5001,G$114,BD!$A$3:$A$5001,"&gt;="&amp;$C$7,BD!$A$3:$A$5001,"&lt;="&amp;$B125,BD!$K$3:$K$5001,"&lt;&gt;"))))</f>
        <v/>
      </c>
      <c r="H125" s="43" t="str">
        <f>IF(OR($B125="",$A125&gt;$B$9,H$114=""),"",IF(COUNTIFS(BD!$B$3:$B$5001,H$114,BD!$A$3:$A$5001,"&gt;="&amp;$C$7,BD!$A$3:$A$5001,"&lt;="&amp;$B125,BD!$K$3:$K$5001,"&lt;&gt;")=0,"",SUMIFS(BD!$K$3:$K$5001,BD!$B$3:$B$5001,H$114,BD!$A$3:$A$5001,_xlfn.MAXIFS(BD!$A$3:$A$5001,BD!$B$3:$B$5001,H$114,BD!$A$3:$A$5001,"&gt;="&amp;$C$7,BD!$A$3:$A$5001,"&lt;="&amp;$B125,BD!$K$3:$K$5001,"&lt;&gt;"))))</f>
        <v/>
      </c>
      <c r="I125" s="43" t="str">
        <f>IF(OR($B125="",$A125&gt;$B$9,I$114=""),"",IF(COUNTIFS(BD!$B$3:$B$5001,I$114,BD!$A$3:$A$5001,"&gt;="&amp;$C$7,BD!$A$3:$A$5001,"&lt;="&amp;$B125,BD!$K$3:$K$5001,"&lt;&gt;")=0,"",SUMIFS(BD!$K$3:$K$5001,BD!$B$3:$B$5001,I$114,BD!$A$3:$A$5001,_xlfn.MAXIFS(BD!$A$3:$A$5001,BD!$B$3:$B$5001,I$114,BD!$A$3:$A$5001,"&gt;="&amp;$C$7,BD!$A$3:$A$5001,"&lt;="&amp;$B125,BD!$K$3:$K$5001,"&lt;&gt;"))))</f>
        <v/>
      </c>
      <c r="J125" s="43" t="str">
        <f>IF(OR($B125="",$A125&gt;$B$9,J$114=""),"",IF(COUNTIFS(BD!$B$3:$B$5001,J$114,BD!$A$3:$A$5001,"&gt;="&amp;$C$7,BD!$A$3:$A$5001,"&lt;="&amp;$B125,BD!$K$3:$K$5001,"&lt;&gt;")=0,"",SUMIFS(BD!$K$3:$K$5001,BD!$B$3:$B$5001,J$114,BD!$A$3:$A$5001,_xlfn.MAXIFS(BD!$A$3:$A$5001,BD!$B$3:$B$5001,J$114,BD!$A$3:$A$5001,"&gt;="&amp;$C$7,BD!$A$3:$A$5001,"&lt;="&amp;$B125,BD!$K$3:$K$5001,"&lt;&gt;"))))</f>
        <v/>
      </c>
      <c r="K125" s="43" t="str">
        <f>IF(OR($B125="",$A125&gt;$B$9,K$114=""),"",IF(COUNTIFS(BD!$B$3:$B$5001,K$114,BD!$A$3:$A$5001,"&gt;="&amp;$C$7,BD!$A$3:$A$5001,"&lt;="&amp;$B125,BD!$K$3:$K$5001,"&lt;&gt;")=0,"",SUMIFS(BD!$K$3:$K$5001,BD!$B$3:$B$5001,K$114,BD!$A$3:$A$5001,_xlfn.MAXIFS(BD!$A$3:$A$5001,BD!$B$3:$B$5001,K$114,BD!$A$3:$A$5001,"&gt;="&amp;$C$7,BD!$A$3:$A$5001,"&lt;="&amp;$B125,BD!$K$3:$K$5001,"&lt;&gt;"))))</f>
        <v/>
      </c>
      <c r="L125" s="43" t="str">
        <f>IF(OR($B125="",$A125&gt;$B$9,L$114=""),"",IF(COUNTIFS(BD!$B$3:$B$5001,L$114,BD!$A$3:$A$5001,"&gt;="&amp;$C$7,BD!$A$3:$A$5001,"&lt;="&amp;$B125,BD!$K$3:$K$5001,"&lt;&gt;")=0,"",SUMIFS(BD!$K$3:$K$5001,BD!$B$3:$B$5001,L$114,BD!$A$3:$A$5001,_xlfn.MAXIFS(BD!$A$3:$A$5001,BD!$B$3:$B$5001,L$114,BD!$A$3:$A$5001,"&gt;="&amp;$C$7,BD!$A$3:$A$5001,"&lt;="&amp;$B125,BD!$K$3:$K$5001,"&lt;&gt;"))))</f>
        <v/>
      </c>
      <c r="M125" s="43" t="str">
        <f>IF(OR($B125="",$A125&gt;$B$9,M$114=""),"",IF(COUNTIFS(BD!$B$3:$B$5001,M$114,BD!$A$3:$A$5001,"&gt;="&amp;$C$7,BD!$A$3:$A$5001,"&lt;="&amp;$B125,BD!$K$3:$K$5001,"&lt;&gt;")=0,"",SUMIFS(BD!$K$3:$K$5001,BD!$B$3:$B$5001,M$114,BD!$A$3:$A$5001,_xlfn.MAXIFS(BD!$A$3:$A$5001,BD!$B$3:$B$5001,M$114,BD!$A$3:$A$5001,"&gt;="&amp;$C$7,BD!$A$3:$A$5001,"&lt;="&amp;$B125,BD!$K$3:$K$5001,"&lt;&gt;"))))</f>
        <v/>
      </c>
      <c r="N125" s="43" t="str">
        <f>IF(OR($B125="",$A125&gt;$B$9,N$114=""),"",IF(COUNTIFS(BD!$B$3:$B$5001,N$114,BD!$A$3:$A$5001,"&gt;="&amp;$C$7,BD!$A$3:$A$5001,"&lt;="&amp;$B125,BD!$K$3:$K$5001,"&lt;&gt;")=0,"",SUMIFS(BD!$K$3:$K$5001,BD!$B$3:$B$5001,N$114,BD!$A$3:$A$5001,_xlfn.MAXIFS(BD!$A$3:$A$5001,BD!$B$3:$B$5001,N$114,BD!$A$3:$A$5001,"&gt;="&amp;$C$7,BD!$A$3:$A$5001,"&lt;="&amp;$B125,BD!$K$3:$K$5001,"&lt;&gt;"))))</f>
        <v/>
      </c>
      <c r="O125" s="43" t="str">
        <f>IF(OR($B125="",$A125&gt;$B$9,O$114=""),"",IF(COUNTIFS(BD!$B$3:$B$5001,O$114,BD!$A$3:$A$5001,"&gt;="&amp;$C$7,BD!$A$3:$A$5001,"&lt;="&amp;$B125,BD!$K$3:$K$5001,"&lt;&gt;")=0,"",SUMIFS(BD!$K$3:$K$5001,BD!$B$3:$B$5001,O$114,BD!$A$3:$A$5001,_xlfn.MAXIFS(BD!$A$3:$A$5001,BD!$B$3:$B$5001,O$114,BD!$A$3:$A$5001,"&gt;="&amp;$C$7,BD!$A$3:$A$5001,"&lt;="&amp;$B125,BD!$K$3:$K$5001,"&lt;&gt;"))))</f>
        <v/>
      </c>
      <c r="P125" s="43" t="str">
        <f>IF(OR($B125="",$A125&gt;$B$9,P$114=""),"",IF(COUNTIFS(BD!$B$3:$B$5001,P$114,BD!$A$3:$A$5001,"&gt;="&amp;$C$7,BD!$A$3:$A$5001,"&lt;="&amp;$B125,BD!$K$3:$K$5001,"&lt;&gt;")=0,"",SUMIFS(BD!$K$3:$K$5001,BD!$B$3:$B$5001,P$114,BD!$A$3:$A$5001,_xlfn.MAXIFS(BD!$A$3:$A$5001,BD!$B$3:$B$5001,P$114,BD!$A$3:$A$5001,"&gt;="&amp;$C$7,BD!$A$3:$A$5001,"&lt;="&amp;$B125,BD!$K$3:$K$5001,"&lt;&gt;"))))</f>
        <v/>
      </c>
      <c r="Q125" s="43" t="str">
        <f>IF(OR($B125="",$A125&gt;$B$9,Q$114=""),"",IF(COUNTIFS(BD!$B$3:$B$5001,Q$114,BD!$A$3:$A$5001,"&gt;="&amp;$C$7,BD!$A$3:$A$5001,"&lt;="&amp;$B125,BD!$K$3:$K$5001,"&lt;&gt;")=0,"",SUMIFS(BD!$K$3:$K$5001,BD!$B$3:$B$5001,Q$114,BD!$A$3:$A$5001,_xlfn.MAXIFS(BD!$A$3:$A$5001,BD!$B$3:$B$5001,Q$114,BD!$A$3:$A$5001,"&gt;="&amp;$C$7,BD!$A$3:$A$5001,"&lt;="&amp;$B125,BD!$K$3:$K$5001,"&lt;&gt;"))))</f>
        <v/>
      </c>
      <c r="R125" s="43" t="str">
        <f>IF(OR($B125="",$A125&gt;$B$9,R$114=""),"",IF(COUNTIFS(BD!$B$3:$B$5001,R$114,BD!$A$3:$A$5001,"&gt;="&amp;$C$7,BD!$A$3:$A$5001,"&lt;="&amp;$B125,BD!$K$3:$K$5001,"&lt;&gt;")=0,"",SUMIFS(BD!$K$3:$K$5001,BD!$B$3:$B$5001,R$114,BD!$A$3:$A$5001,_xlfn.MAXIFS(BD!$A$3:$A$5001,BD!$B$3:$B$5001,R$114,BD!$A$3:$A$5001,"&gt;="&amp;$C$7,BD!$A$3:$A$5001,"&lt;="&amp;$B125,BD!$K$3:$K$5001,"&lt;&gt;"))))</f>
        <v/>
      </c>
      <c r="S125" s="43" t="str">
        <f>IF(OR($B125="",$A125&gt;$B$9,S$114=""),"",IF(COUNTIFS(BD!$B$3:$B$5001,S$114,BD!$A$3:$A$5001,"&gt;="&amp;$C$7,BD!$A$3:$A$5001,"&lt;="&amp;$B125,BD!$K$3:$K$5001,"&lt;&gt;")=0,"",SUMIFS(BD!$K$3:$K$5001,BD!$B$3:$B$5001,S$114,BD!$A$3:$A$5001,_xlfn.MAXIFS(BD!$A$3:$A$5001,BD!$B$3:$B$5001,S$114,BD!$A$3:$A$5001,"&gt;="&amp;$C$7,BD!$A$3:$A$5001,"&lt;="&amp;$B125,BD!$K$3:$K$5001,"&lt;&gt;"))))</f>
        <v/>
      </c>
      <c r="T125" s="43" t="str">
        <f>IF(OR($B125="",$A125&gt;$B$9,T$114=""),"",IF(COUNTIFS(BD!$B$3:$B$5001,T$114,BD!$A$3:$A$5001,"&gt;="&amp;$C$7,BD!$A$3:$A$5001,"&lt;="&amp;$B125,BD!$K$3:$K$5001,"&lt;&gt;")=0,"",SUMIFS(BD!$K$3:$K$5001,BD!$B$3:$B$5001,T$114,BD!$A$3:$A$5001,_xlfn.MAXIFS(BD!$A$3:$A$5001,BD!$B$3:$B$5001,T$114,BD!$A$3:$A$5001,"&gt;="&amp;$C$7,BD!$A$3:$A$5001,"&lt;="&amp;$B125,BD!$K$3:$K$5001,"&lt;&gt;"))))</f>
        <v/>
      </c>
      <c r="U125" s="43" t="str">
        <f>IF(OR($B125="",$A125&gt;$B$9,U$114=""),"",IF(COUNTIFS(BD!$B$3:$B$5001,U$114,BD!$A$3:$A$5001,"&gt;="&amp;$C$7,BD!$A$3:$A$5001,"&lt;="&amp;$B125,BD!$K$3:$K$5001,"&lt;&gt;")=0,"",SUMIFS(BD!$K$3:$K$5001,BD!$B$3:$B$5001,U$114,BD!$A$3:$A$5001,_xlfn.MAXIFS(BD!$A$3:$A$5001,BD!$B$3:$B$5001,U$114,BD!$A$3:$A$5001,"&gt;="&amp;$C$7,BD!$A$3:$A$5001,"&lt;="&amp;$B125,BD!$K$3:$K$5001,"&lt;&gt;"))))</f>
        <v/>
      </c>
      <c r="V125" s="43" t="str">
        <f>IF(OR($B125="",$A125&gt;$B$9,V$114=""),"",IF(COUNTIFS(BD!$B$3:$B$5001,V$114,BD!$A$3:$A$5001,"&gt;="&amp;$C$7,BD!$A$3:$A$5001,"&lt;="&amp;$B125,BD!$K$3:$K$5001,"&lt;&gt;")=0,"",SUMIFS(BD!$K$3:$K$5001,BD!$B$3:$B$5001,V$114,BD!$A$3:$A$5001,_xlfn.MAXIFS(BD!$A$3:$A$5001,BD!$B$3:$B$5001,V$114,BD!$A$3:$A$5001,"&gt;="&amp;$C$7,BD!$A$3:$A$5001,"&lt;="&amp;$B125,BD!$K$3:$K$5001,"&lt;&gt;"))))</f>
        <v/>
      </c>
    </row>
    <row r="126">
      <c r="A126" s="38">
        <v>12</v>
      </c>
      <c r="B126" s="42">
        <f>$B$23</f>
        <v>46307</v>
      </c>
      <c r="C126" s="43" t="str">
        <f>IF(OR($B126="",$A126&gt;$B$9,C$114=""),"",IF(COUNTIFS(BD!$B$3:$B$5001,C$114,BD!$A$3:$A$5001,"&gt;="&amp;$C$7,BD!$A$3:$A$5001,"&lt;="&amp;$B126,BD!$K$3:$K$5001,"&lt;&gt;")=0,"",SUMIFS(BD!$K$3:$K$5001,BD!$B$3:$B$5001,C$114,BD!$A$3:$A$5001,_xlfn.MAXIFS(BD!$A$3:$A$5001,BD!$B$3:$B$5001,C$114,BD!$A$3:$A$5001,"&gt;="&amp;$C$7,BD!$A$3:$A$5001,"&lt;="&amp;$B126,BD!$K$3:$K$5001,"&lt;&gt;"))))</f>
        <v/>
      </c>
      <c r="D126" s="43" t="str">
        <f>IF(OR($B126="",$A126&gt;$B$9,D$114=""),"",IF(COUNTIFS(BD!$B$3:$B$5001,D$114,BD!$A$3:$A$5001,"&gt;="&amp;$C$7,BD!$A$3:$A$5001,"&lt;="&amp;$B126,BD!$K$3:$K$5001,"&lt;&gt;")=0,"",SUMIFS(BD!$K$3:$K$5001,BD!$B$3:$B$5001,D$114,BD!$A$3:$A$5001,_xlfn.MAXIFS(BD!$A$3:$A$5001,BD!$B$3:$B$5001,D$114,BD!$A$3:$A$5001,"&gt;="&amp;$C$7,BD!$A$3:$A$5001,"&lt;="&amp;$B126,BD!$K$3:$K$5001,"&lt;&gt;"))))</f>
        <v/>
      </c>
      <c r="E126" s="43" t="str">
        <f>IF(OR($B126="",$A126&gt;$B$9,E$114=""),"",IF(COUNTIFS(BD!$B$3:$B$5001,E$114,BD!$A$3:$A$5001,"&gt;="&amp;$C$7,BD!$A$3:$A$5001,"&lt;="&amp;$B126,BD!$K$3:$K$5001,"&lt;&gt;")=0,"",SUMIFS(BD!$K$3:$K$5001,BD!$B$3:$B$5001,E$114,BD!$A$3:$A$5001,_xlfn.MAXIFS(BD!$A$3:$A$5001,BD!$B$3:$B$5001,E$114,BD!$A$3:$A$5001,"&gt;="&amp;$C$7,BD!$A$3:$A$5001,"&lt;="&amp;$B126,BD!$K$3:$K$5001,"&lt;&gt;"))))</f>
        <v/>
      </c>
      <c r="F126" s="43" t="str">
        <f>IF(OR($B126="",$A126&gt;$B$9,F$114=""),"",IF(COUNTIFS(BD!$B$3:$B$5001,F$114,BD!$A$3:$A$5001,"&gt;="&amp;$C$7,BD!$A$3:$A$5001,"&lt;="&amp;$B126,BD!$K$3:$K$5001,"&lt;&gt;")=0,"",SUMIFS(BD!$K$3:$K$5001,BD!$B$3:$B$5001,F$114,BD!$A$3:$A$5001,_xlfn.MAXIFS(BD!$A$3:$A$5001,BD!$B$3:$B$5001,F$114,BD!$A$3:$A$5001,"&gt;="&amp;$C$7,BD!$A$3:$A$5001,"&lt;="&amp;$B126,BD!$K$3:$K$5001,"&lt;&gt;"))))</f>
        <v/>
      </c>
      <c r="G126" s="43" t="str">
        <f>IF(OR($B126="",$A126&gt;$B$9,G$114=""),"",IF(COUNTIFS(BD!$B$3:$B$5001,G$114,BD!$A$3:$A$5001,"&gt;="&amp;$C$7,BD!$A$3:$A$5001,"&lt;="&amp;$B126,BD!$K$3:$K$5001,"&lt;&gt;")=0,"",SUMIFS(BD!$K$3:$K$5001,BD!$B$3:$B$5001,G$114,BD!$A$3:$A$5001,_xlfn.MAXIFS(BD!$A$3:$A$5001,BD!$B$3:$B$5001,G$114,BD!$A$3:$A$5001,"&gt;="&amp;$C$7,BD!$A$3:$A$5001,"&lt;="&amp;$B126,BD!$K$3:$K$5001,"&lt;&gt;"))))</f>
        <v/>
      </c>
      <c r="H126" s="43" t="str">
        <f>IF(OR($B126="",$A126&gt;$B$9,H$114=""),"",IF(COUNTIFS(BD!$B$3:$B$5001,H$114,BD!$A$3:$A$5001,"&gt;="&amp;$C$7,BD!$A$3:$A$5001,"&lt;="&amp;$B126,BD!$K$3:$K$5001,"&lt;&gt;")=0,"",SUMIFS(BD!$K$3:$K$5001,BD!$B$3:$B$5001,H$114,BD!$A$3:$A$5001,_xlfn.MAXIFS(BD!$A$3:$A$5001,BD!$B$3:$B$5001,H$114,BD!$A$3:$A$5001,"&gt;="&amp;$C$7,BD!$A$3:$A$5001,"&lt;="&amp;$B126,BD!$K$3:$K$5001,"&lt;&gt;"))))</f>
        <v/>
      </c>
      <c r="I126" s="43" t="str">
        <f>IF(OR($B126="",$A126&gt;$B$9,I$114=""),"",IF(COUNTIFS(BD!$B$3:$B$5001,I$114,BD!$A$3:$A$5001,"&gt;="&amp;$C$7,BD!$A$3:$A$5001,"&lt;="&amp;$B126,BD!$K$3:$K$5001,"&lt;&gt;")=0,"",SUMIFS(BD!$K$3:$K$5001,BD!$B$3:$B$5001,I$114,BD!$A$3:$A$5001,_xlfn.MAXIFS(BD!$A$3:$A$5001,BD!$B$3:$B$5001,I$114,BD!$A$3:$A$5001,"&gt;="&amp;$C$7,BD!$A$3:$A$5001,"&lt;="&amp;$B126,BD!$K$3:$K$5001,"&lt;&gt;"))))</f>
        <v/>
      </c>
      <c r="J126" s="43" t="str">
        <f>IF(OR($B126="",$A126&gt;$B$9,J$114=""),"",IF(COUNTIFS(BD!$B$3:$B$5001,J$114,BD!$A$3:$A$5001,"&gt;="&amp;$C$7,BD!$A$3:$A$5001,"&lt;="&amp;$B126,BD!$K$3:$K$5001,"&lt;&gt;")=0,"",SUMIFS(BD!$K$3:$K$5001,BD!$B$3:$B$5001,J$114,BD!$A$3:$A$5001,_xlfn.MAXIFS(BD!$A$3:$A$5001,BD!$B$3:$B$5001,J$114,BD!$A$3:$A$5001,"&gt;="&amp;$C$7,BD!$A$3:$A$5001,"&lt;="&amp;$B126,BD!$K$3:$K$5001,"&lt;&gt;"))))</f>
        <v/>
      </c>
      <c r="K126" s="43" t="str">
        <f>IF(OR($B126="",$A126&gt;$B$9,K$114=""),"",IF(COUNTIFS(BD!$B$3:$B$5001,K$114,BD!$A$3:$A$5001,"&gt;="&amp;$C$7,BD!$A$3:$A$5001,"&lt;="&amp;$B126,BD!$K$3:$K$5001,"&lt;&gt;")=0,"",SUMIFS(BD!$K$3:$K$5001,BD!$B$3:$B$5001,K$114,BD!$A$3:$A$5001,_xlfn.MAXIFS(BD!$A$3:$A$5001,BD!$B$3:$B$5001,K$114,BD!$A$3:$A$5001,"&gt;="&amp;$C$7,BD!$A$3:$A$5001,"&lt;="&amp;$B126,BD!$K$3:$K$5001,"&lt;&gt;"))))</f>
        <v/>
      </c>
      <c r="L126" s="43" t="str">
        <f>IF(OR($B126="",$A126&gt;$B$9,L$114=""),"",IF(COUNTIFS(BD!$B$3:$B$5001,L$114,BD!$A$3:$A$5001,"&gt;="&amp;$C$7,BD!$A$3:$A$5001,"&lt;="&amp;$B126,BD!$K$3:$K$5001,"&lt;&gt;")=0,"",SUMIFS(BD!$K$3:$K$5001,BD!$B$3:$B$5001,L$114,BD!$A$3:$A$5001,_xlfn.MAXIFS(BD!$A$3:$A$5001,BD!$B$3:$B$5001,L$114,BD!$A$3:$A$5001,"&gt;="&amp;$C$7,BD!$A$3:$A$5001,"&lt;="&amp;$B126,BD!$K$3:$K$5001,"&lt;&gt;"))))</f>
        <v/>
      </c>
      <c r="M126" s="43" t="str">
        <f>IF(OR($B126="",$A126&gt;$B$9,M$114=""),"",IF(COUNTIFS(BD!$B$3:$B$5001,M$114,BD!$A$3:$A$5001,"&gt;="&amp;$C$7,BD!$A$3:$A$5001,"&lt;="&amp;$B126,BD!$K$3:$K$5001,"&lt;&gt;")=0,"",SUMIFS(BD!$K$3:$K$5001,BD!$B$3:$B$5001,M$114,BD!$A$3:$A$5001,_xlfn.MAXIFS(BD!$A$3:$A$5001,BD!$B$3:$B$5001,M$114,BD!$A$3:$A$5001,"&gt;="&amp;$C$7,BD!$A$3:$A$5001,"&lt;="&amp;$B126,BD!$K$3:$K$5001,"&lt;&gt;"))))</f>
        <v/>
      </c>
      <c r="N126" s="43" t="str">
        <f>IF(OR($B126="",$A126&gt;$B$9,N$114=""),"",IF(COUNTIFS(BD!$B$3:$B$5001,N$114,BD!$A$3:$A$5001,"&gt;="&amp;$C$7,BD!$A$3:$A$5001,"&lt;="&amp;$B126,BD!$K$3:$K$5001,"&lt;&gt;")=0,"",SUMIFS(BD!$K$3:$K$5001,BD!$B$3:$B$5001,N$114,BD!$A$3:$A$5001,_xlfn.MAXIFS(BD!$A$3:$A$5001,BD!$B$3:$B$5001,N$114,BD!$A$3:$A$5001,"&gt;="&amp;$C$7,BD!$A$3:$A$5001,"&lt;="&amp;$B126,BD!$K$3:$K$5001,"&lt;&gt;"))))</f>
        <v/>
      </c>
      <c r="O126" s="43" t="str">
        <f>IF(OR($B126="",$A126&gt;$B$9,O$114=""),"",IF(COUNTIFS(BD!$B$3:$B$5001,O$114,BD!$A$3:$A$5001,"&gt;="&amp;$C$7,BD!$A$3:$A$5001,"&lt;="&amp;$B126,BD!$K$3:$K$5001,"&lt;&gt;")=0,"",SUMIFS(BD!$K$3:$K$5001,BD!$B$3:$B$5001,O$114,BD!$A$3:$A$5001,_xlfn.MAXIFS(BD!$A$3:$A$5001,BD!$B$3:$B$5001,O$114,BD!$A$3:$A$5001,"&gt;="&amp;$C$7,BD!$A$3:$A$5001,"&lt;="&amp;$B126,BD!$K$3:$K$5001,"&lt;&gt;"))))</f>
        <v/>
      </c>
      <c r="P126" s="43" t="str">
        <f>IF(OR($B126="",$A126&gt;$B$9,P$114=""),"",IF(COUNTIFS(BD!$B$3:$B$5001,P$114,BD!$A$3:$A$5001,"&gt;="&amp;$C$7,BD!$A$3:$A$5001,"&lt;="&amp;$B126,BD!$K$3:$K$5001,"&lt;&gt;")=0,"",SUMIFS(BD!$K$3:$K$5001,BD!$B$3:$B$5001,P$114,BD!$A$3:$A$5001,_xlfn.MAXIFS(BD!$A$3:$A$5001,BD!$B$3:$B$5001,P$114,BD!$A$3:$A$5001,"&gt;="&amp;$C$7,BD!$A$3:$A$5001,"&lt;="&amp;$B126,BD!$K$3:$K$5001,"&lt;&gt;"))))</f>
        <v/>
      </c>
      <c r="Q126" s="43" t="str">
        <f>IF(OR($B126="",$A126&gt;$B$9,Q$114=""),"",IF(COUNTIFS(BD!$B$3:$B$5001,Q$114,BD!$A$3:$A$5001,"&gt;="&amp;$C$7,BD!$A$3:$A$5001,"&lt;="&amp;$B126,BD!$K$3:$K$5001,"&lt;&gt;")=0,"",SUMIFS(BD!$K$3:$K$5001,BD!$B$3:$B$5001,Q$114,BD!$A$3:$A$5001,_xlfn.MAXIFS(BD!$A$3:$A$5001,BD!$B$3:$B$5001,Q$114,BD!$A$3:$A$5001,"&gt;="&amp;$C$7,BD!$A$3:$A$5001,"&lt;="&amp;$B126,BD!$K$3:$K$5001,"&lt;&gt;"))))</f>
        <v/>
      </c>
      <c r="R126" s="43" t="str">
        <f>IF(OR($B126="",$A126&gt;$B$9,R$114=""),"",IF(COUNTIFS(BD!$B$3:$B$5001,R$114,BD!$A$3:$A$5001,"&gt;="&amp;$C$7,BD!$A$3:$A$5001,"&lt;="&amp;$B126,BD!$K$3:$K$5001,"&lt;&gt;")=0,"",SUMIFS(BD!$K$3:$K$5001,BD!$B$3:$B$5001,R$114,BD!$A$3:$A$5001,_xlfn.MAXIFS(BD!$A$3:$A$5001,BD!$B$3:$B$5001,R$114,BD!$A$3:$A$5001,"&gt;="&amp;$C$7,BD!$A$3:$A$5001,"&lt;="&amp;$B126,BD!$K$3:$K$5001,"&lt;&gt;"))))</f>
        <v/>
      </c>
      <c r="S126" s="43" t="str">
        <f>IF(OR($B126="",$A126&gt;$B$9,S$114=""),"",IF(COUNTIFS(BD!$B$3:$B$5001,S$114,BD!$A$3:$A$5001,"&gt;="&amp;$C$7,BD!$A$3:$A$5001,"&lt;="&amp;$B126,BD!$K$3:$K$5001,"&lt;&gt;")=0,"",SUMIFS(BD!$K$3:$K$5001,BD!$B$3:$B$5001,S$114,BD!$A$3:$A$5001,_xlfn.MAXIFS(BD!$A$3:$A$5001,BD!$B$3:$B$5001,S$114,BD!$A$3:$A$5001,"&gt;="&amp;$C$7,BD!$A$3:$A$5001,"&lt;="&amp;$B126,BD!$K$3:$K$5001,"&lt;&gt;"))))</f>
        <v/>
      </c>
      <c r="T126" s="43" t="str">
        <f>IF(OR($B126="",$A126&gt;$B$9,T$114=""),"",IF(COUNTIFS(BD!$B$3:$B$5001,T$114,BD!$A$3:$A$5001,"&gt;="&amp;$C$7,BD!$A$3:$A$5001,"&lt;="&amp;$B126,BD!$K$3:$K$5001,"&lt;&gt;")=0,"",SUMIFS(BD!$K$3:$K$5001,BD!$B$3:$B$5001,T$114,BD!$A$3:$A$5001,_xlfn.MAXIFS(BD!$A$3:$A$5001,BD!$B$3:$B$5001,T$114,BD!$A$3:$A$5001,"&gt;="&amp;$C$7,BD!$A$3:$A$5001,"&lt;="&amp;$B126,BD!$K$3:$K$5001,"&lt;&gt;"))))</f>
        <v/>
      </c>
      <c r="U126" s="43" t="str">
        <f>IF(OR($B126="",$A126&gt;$B$9,U$114=""),"",IF(COUNTIFS(BD!$B$3:$B$5001,U$114,BD!$A$3:$A$5001,"&gt;="&amp;$C$7,BD!$A$3:$A$5001,"&lt;="&amp;$B126,BD!$K$3:$K$5001,"&lt;&gt;")=0,"",SUMIFS(BD!$K$3:$K$5001,BD!$B$3:$B$5001,U$114,BD!$A$3:$A$5001,_xlfn.MAXIFS(BD!$A$3:$A$5001,BD!$B$3:$B$5001,U$114,BD!$A$3:$A$5001,"&gt;="&amp;$C$7,BD!$A$3:$A$5001,"&lt;="&amp;$B126,BD!$K$3:$K$5001,"&lt;&gt;"))))</f>
        <v/>
      </c>
      <c r="V126" s="43" t="str">
        <f>IF(OR($B126="",$A126&gt;$B$9,V$114=""),"",IF(COUNTIFS(BD!$B$3:$B$5001,V$114,BD!$A$3:$A$5001,"&gt;="&amp;$C$7,BD!$A$3:$A$5001,"&lt;="&amp;$B126,BD!$K$3:$K$5001,"&lt;&gt;")=0,"",SUMIFS(BD!$K$3:$K$5001,BD!$B$3:$B$5001,V$114,BD!$A$3:$A$5001,_xlfn.MAXIFS(BD!$A$3:$A$5001,BD!$B$3:$B$5001,V$114,BD!$A$3:$A$5001,"&gt;="&amp;$C$7,BD!$A$3:$A$5001,"&lt;="&amp;$B126,BD!$K$3:$K$5001,"&lt;&gt;"))))</f>
        <v/>
      </c>
    </row>
    <row r="127">
      <c r="A127" s="38">
        <v>13</v>
      </c>
      <c r="B127" s="42">
        <f>$B$24</f>
        <v>46308</v>
      </c>
      <c r="C127" s="43" t="str">
        <f>IF(OR($B127="",$A127&gt;$B$9,C$114=""),"",IF(COUNTIFS(BD!$B$3:$B$5001,C$114,BD!$A$3:$A$5001,"&gt;="&amp;$C$7,BD!$A$3:$A$5001,"&lt;="&amp;$B127,BD!$K$3:$K$5001,"&lt;&gt;")=0,"",SUMIFS(BD!$K$3:$K$5001,BD!$B$3:$B$5001,C$114,BD!$A$3:$A$5001,_xlfn.MAXIFS(BD!$A$3:$A$5001,BD!$B$3:$B$5001,C$114,BD!$A$3:$A$5001,"&gt;="&amp;$C$7,BD!$A$3:$A$5001,"&lt;="&amp;$B127,BD!$K$3:$K$5001,"&lt;&gt;"))))</f>
        <v/>
      </c>
      <c r="D127" s="43" t="str">
        <f>IF(OR($B127="",$A127&gt;$B$9,D$114=""),"",IF(COUNTIFS(BD!$B$3:$B$5001,D$114,BD!$A$3:$A$5001,"&gt;="&amp;$C$7,BD!$A$3:$A$5001,"&lt;="&amp;$B127,BD!$K$3:$K$5001,"&lt;&gt;")=0,"",SUMIFS(BD!$K$3:$K$5001,BD!$B$3:$B$5001,D$114,BD!$A$3:$A$5001,_xlfn.MAXIFS(BD!$A$3:$A$5001,BD!$B$3:$B$5001,D$114,BD!$A$3:$A$5001,"&gt;="&amp;$C$7,BD!$A$3:$A$5001,"&lt;="&amp;$B127,BD!$K$3:$K$5001,"&lt;&gt;"))))</f>
        <v/>
      </c>
      <c r="E127" s="43" t="str">
        <f>IF(OR($B127="",$A127&gt;$B$9,E$114=""),"",IF(COUNTIFS(BD!$B$3:$B$5001,E$114,BD!$A$3:$A$5001,"&gt;="&amp;$C$7,BD!$A$3:$A$5001,"&lt;="&amp;$B127,BD!$K$3:$K$5001,"&lt;&gt;")=0,"",SUMIFS(BD!$K$3:$K$5001,BD!$B$3:$B$5001,E$114,BD!$A$3:$A$5001,_xlfn.MAXIFS(BD!$A$3:$A$5001,BD!$B$3:$B$5001,E$114,BD!$A$3:$A$5001,"&gt;="&amp;$C$7,BD!$A$3:$A$5001,"&lt;="&amp;$B127,BD!$K$3:$K$5001,"&lt;&gt;"))))</f>
        <v/>
      </c>
      <c r="F127" s="43" t="str">
        <f>IF(OR($B127="",$A127&gt;$B$9,F$114=""),"",IF(COUNTIFS(BD!$B$3:$B$5001,F$114,BD!$A$3:$A$5001,"&gt;="&amp;$C$7,BD!$A$3:$A$5001,"&lt;="&amp;$B127,BD!$K$3:$K$5001,"&lt;&gt;")=0,"",SUMIFS(BD!$K$3:$K$5001,BD!$B$3:$B$5001,F$114,BD!$A$3:$A$5001,_xlfn.MAXIFS(BD!$A$3:$A$5001,BD!$B$3:$B$5001,F$114,BD!$A$3:$A$5001,"&gt;="&amp;$C$7,BD!$A$3:$A$5001,"&lt;="&amp;$B127,BD!$K$3:$K$5001,"&lt;&gt;"))))</f>
        <v/>
      </c>
      <c r="G127" s="43" t="str">
        <f>IF(OR($B127="",$A127&gt;$B$9,G$114=""),"",IF(COUNTIFS(BD!$B$3:$B$5001,G$114,BD!$A$3:$A$5001,"&gt;="&amp;$C$7,BD!$A$3:$A$5001,"&lt;="&amp;$B127,BD!$K$3:$K$5001,"&lt;&gt;")=0,"",SUMIFS(BD!$K$3:$K$5001,BD!$B$3:$B$5001,G$114,BD!$A$3:$A$5001,_xlfn.MAXIFS(BD!$A$3:$A$5001,BD!$B$3:$B$5001,G$114,BD!$A$3:$A$5001,"&gt;="&amp;$C$7,BD!$A$3:$A$5001,"&lt;="&amp;$B127,BD!$K$3:$K$5001,"&lt;&gt;"))))</f>
        <v/>
      </c>
      <c r="H127" s="43" t="str">
        <f>IF(OR($B127="",$A127&gt;$B$9,H$114=""),"",IF(COUNTIFS(BD!$B$3:$B$5001,H$114,BD!$A$3:$A$5001,"&gt;="&amp;$C$7,BD!$A$3:$A$5001,"&lt;="&amp;$B127,BD!$K$3:$K$5001,"&lt;&gt;")=0,"",SUMIFS(BD!$K$3:$K$5001,BD!$B$3:$B$5001,H$114,BD!$A$3:$A$5001,_xlfn.MAXIFS(BD!$A$3:$A$5001,BD!$B$3:$B$5001,H$114,BD!$A$3:$A$5001,"&gt;="&amp;$C$7,BD!$A$3:$A$5001,"&lt;="&amp;$B127,BD!$K$3:$K$5001,"&lt;&gt;"))))</f>
        <v/>
      </c>
      <c r="I127" s="43" t="str">
        <f>IF(OR($B127="",$A127&gt;$B$9,I$114=""),"",IF(COUNTIFS(BD!$B$3:$B$5001,I$114,BD!$A$3:$A$5001,"&gt;="&amp;$C$7,BD!$A$3:$A$5001,"&lt;="&amp;$B127,BD!$K$3:$K$5001,"&lt;&gt;")=0,"",SUMIFS(BD!$K$3:$K$5001,BD!$B$3:$B$5001,I$114,BD!$A$3:$A$5001,_xlfn.MAXIFS(BD!$A$3:$A$5001,BD!$B$3:$B$5001,I$114,BD!$A$3:$A$5001,"&gt;="&amp;$C$7,BD!$A$3:$A$5001,"&lt;="&amp;$B127,BD!$K$3:$K$5001,"&lt;&gt;"))))</f>
        <v/>
      </c>
      <c r="J127" s="43" t="str">
        <f>IF(OR($B127="",$A127&gt;$B$9,J$114=""),"",IF(COUNTIFS(BD!$B$3:$B$5001,J$114,BD!$A$3:$A$5001,"&gt;="&amp;$C$7,BD!$A$3:$A$5001,"&lt;="&amp;$B127,BD!$K$3:$K$5001,"&lt;&gt;")=0,"",SUMIFS(BD!$K$3:$K$5001,BD!$B$3:$B$5001,J$114,BD!$A$3:$A$5001,_xlfn.MAXIFS(BD!$A$3:$A$5001,BD!$B$3:$B$5001,J$114,BD!$A$3:$A$5001,"&gt;="&amp;$C$7,BD!$A$3:$A$5001,"&lt;="&amp;$B127,BD!$K$3:$K$5001,"&lt;&gt;"))))</f>
        <v/>
      </c>
      <c r="K127" s="43" t="str">
        <f>IF(OR($B127="",$A127&gt;$B$9,K$114=""),"",IF(COUNTIFS(BD!$B$3:$B$5001,K$114,BD!$A$3:$A$5001,"&gt;="&amp;$C$7,BD!$A$3:$A$5001,"&lt;="&amp;$B127,BD!$K$3:$K$5001,"&lt;&gt;")=0,"",SUMIFS(BD!$K$3:$K$5001,BD!$B$3:$B$5001,K$114,BD!$A$3:$A$5001,_xlfn.MAXIFS(BD!$A$3:$A$5001,BD!$B$3:$B$5001,K$114,BD!$A$3:$A$5001,"&gt;="&amp;$C$7,BD!$A$3:$A$5001,"&lt;="&amp;$B127,BD!$K$3:$K$5001,"&lt;&gt;"))))</f>
        <v/>
      </c>
      <c r="L127" s="43" t="str">
        <f>IF(OR($B127="",$A127&gt;$B$9,L$114=""),"",IF(COUNTIFS(BD!$B$3:$B$5001,L$114,BD!$A$3:$A$5001,"&gt;="&amp;$C$7,BD!$A$3:$A$5001,"&lt;="&amp;$B127,BD!$K$3:$K$5001,"&lt;&gt;")=0,"",SUMIFS(BD!$K$3:$K$5001,BD!$B$3:$B$5001,L$114,BD!$A$3:$A$5001,_xlfn.MAXIFS(BD!$A$3:$A$5001,BD!$B$3:$B$5001,L$114,BD!$A$3:$A$5001,"&gt;="&amp;$C$7,BD!$A$3:$A$5001,"&lt;="&amp;$B127,BD!$K$3:$K$5001,"&lt;&gt;"))))</f>
        <v/>
      </c>
      <c r="M127" s="43" t="str">
        <f>IF(OR($B127="",$A127&gt;$B$9,M$114=""),"",IF(COUNTIFS(BD!$B$3:$B$5001,M$114,BD!$A$3:$A$5001,"&gt;="&amp;$C$7,BD!$A$3:$A$5001,"&lt;="&amp;$B127,BD!$K$3:$K$5001,"&lt;&gt;")=0,"",SUMIFS(BD!$K$3:$K$5001,BD!$B$3:$B$5001,M$114,BD!$A$3:$A$5001,_xlfn.MAXIFS(BD!$A$3:$A$5001,BD!$B$3:$B$5001,M$114,BD!$A$3:$A$5001,"&gt;="&amp;$C$7,BD!$A$3:$A$5001,"&lt;="&amp;$B127,BD!$K$3:$K$5001,"&lt;&gt;"))))</f>
        <v/>
      </c>
      <c r="N127" s="43" t="str">
        <f>IF(OR($B127="",$A127&gt;$B$9,N$114=""),"",IF(COUNTIFS(BD!$B$3:$B$5001,N$114,BD!$A$3:$A$5001,"&gt;="&amp;$C$7,BD!$A$3:$A$5001,"&lt;="&amp;$B127,BD!$K$3:$K$5001,"&lt;&gt;")=0,"",SUMIFS(BD!$K$3:$K$5001,BD!$B$3:$B$5001,N$114,BD!$A$3:$A$5001,_xlfn.MAXIFS(BD!$A$3:$A$5001,BD!$B$3:$B$5001,N$114,BD!$A$3:$A$5001,"&gt;="&amp;$C$7,BD!$A$3:$A$5001,"&lt;="&amp;$B127,BD!$K$3:$K$5001,"&lt;&gt;"))))</f>
        <v/>
      </c>
      <c r="O127" s="43" t="str">
        <f>IF(OR($B127="",$A127&gt;$B$9,O$114=""),"",IF(COUNTIFS(BD!$B$3:$B$5001,O$114,BD!$A$3:$A$5001,"&gt;="&amp;$C$7,BD!$A$3:$A$5001,"&lt;="&amp;$B127,BD!$K$3:$K$5001,"&lt;&gt;")=0,"",SUMIFS(BD!$K$3:$K$5001,BD!$B$3:$B$5001,O$114,BD!$A$3:$A$5001,_xlfn.MAXIFS(BD!$A$3:$A$5001,BD!$B$3:$B$5001,O$114,BD!$A$3:$A$5001,"&gt;="&amp;$C$7,BD!$A$3:$A$5001,"&lt;="&amp;$B127,BD!$K$3:$K$5001,"&lt;&gt;"))))</f>
        <v/>
      </c>
      <c r="P127" s="43" t="str">
        <f>IF(OR($B127="",$A127&gt;$B$9,P$114=""),"",IF(COUNTIFS(BD!$B$3:$B$5001,P$114,BD!$A$3:$A$5001,"&gt;="&amp;$C$7,BD!$A$3:$A$5001,"&lt;="&amp;$B127,BD!$K$3:$K$5001,"&lt;&gt;")=0,"",SUMIFS(BD!$K$3:$K$5001,BD!$B$3:$B$5001,P$114,BD!$A$3:$A$5001,_xlfn.MAXIFS(BD!$A$3:$A$5001,BD!$B$3:$B$5001,P$114,BD!$A$3:$A$5001,"&gt;="&amp;$C$7,BD!$A$3:$A$5001,"&lt;="&amp;$B127,BD!$K$3:$K$5001,"&lt;&gt;"))))</f>
        <v/>
      </c>
      <c r="Q127" s="43" t="str">
        <f>IF(OR($B127="",$A127&gt;$B$9,Q$114=""),"",IF(COUNTIFS(BD!$B$3:$B$5001,Q$114,BD!$A$3:$A$5001,"&gt;="&amp;$C$7,BD!$A$3:$A$5001,"&lt;="&amp;$B127,BD!$K$3:$K$5001,"&lt;&gt;")=0,"",SUMIFS(BD!$K$3:$K$5001,BD!$B$3:$B$5001,Q$114,BD!$A$3:$A$5001,_xlfn.MAXIFS(BD!$A$3:$A$5001,BD!$B$3:$B$5001,Q$114,BD!$A$3:$A$5001,"&gt;="&amp;$C$7,BD!$A$3:$A$5001,"&lt;="&amp;$B127,BD!$K$3:$K$5001,"&lt;&gt;"))))</f>
        <v/>
      </c>
      <c r="R127" s="43" t="str">
        <f>IF(OR($B127="",$A127&gt;$B$9,R$114=""),"",IF(COUNTIFS(BD!$B$3:$B$5001,R$114,BD!$A$3:$A$5001,"&gt;="&amp;$C$7,BD!$A$3:$A$5001,"&lt;="&amp;$B127,BD!$K$3:$K$5001,"&lt;&gt;")=0,"",SUMIFS(BD!$K$3:$K$5001,BD!$B$3:$B$5001,R$114,BD!$A$3:$A$5001,_xlfn.MAXIFS(BD!$A$3:$A$5001,BD!$B$3:$B$5001,R$114,BD!$A$3:$A$5001,"&gt;="&amp;$C$7,BD!$A$3:$A$5001,"&lt;="&amp;$B127,BD!$K$3:$K$5001,"&lt;&gt;"))))</f>
        <v/>
      </c>
      <c r="S127" s="43" t="str">
        <f>IF(OR($B127="",$A127&gt;$B$9,S$114=""),"",IF(COUNTIFS(BD!$B$3:$B$5001,S$114,BD!$A$3:$A$5001,"&gt;="&amp;$C$7,BD!$A$3:$A$5001,"&lt;="&amp;$B127,BD!$K$3:$K$5001,"&lt;&gt;")=0,"",SUMIFS(BD!$K$3:$K$5001,BD!$B$3:$B$5001,S$114,BD!$A$3:$A$5001,_xlfn.MAXIFS(BD!$A$3:$A$5001,BD!$B$3:$B$5001,S$114,BD!$A$3:$A$5001,"&gt;="&amp;$C$7,BD!$A$3:$A$5001,"&lt;="&amp;$B127,BD!$K$3:$K$5001,"&lt;&gt;"))))</f>
        <v/>
      </c>
      <c r="T127" s="43" t="str">
        <f>IF(OR($B127="",$A127&gt;$B$9,T$114=""),"",IF(COUNTIFS(BD!$B$3:$B$5001,T$114,BD!$A$3:$A$5001,"&gt;="&amp;$C$7,BD!$A$3:$A$5001,"&lt;="&amp;$B127,BD!$K$3:$K$5001,"&lt;&gt;")=0,"",SUMIFS(BD!$K$3:$K$5001,BD!$B$3:$B$5001,T$114,BD!$A$3:$A$5001,_xlfn.MAXIFS(BD!$A$3:$A$5001,BD!$B$3:$B$5001,T$114,BD!$A$3:$A$5001,"&gt;="&amp;$C$7,BD!$A$3:$A$5001,"&lt;="&amp;$B127,BD!$K$3:$K$5001,"&lt;&gt;"))))</f>
        <v/>
      </c>
      <c r="U127" s="43" t="str">
        <f>IF(OR($B127="",$A127&gt;$B$9,U$114=""),"",IF(COUNTIFS(BD!$B$3:$B$5001,U$114,BD!$A$3:$A$5001,"&gt;="&amp;$C$7,BD!$A$3:$A$5001,"&lt;="&amp;$B127,BD!$K$3:$K$5001,"&lt;&gt;")=0,"",SUMIFS(BD!$K$3:$K$5001,BD!$B$3:$B$5001,U$114,BD!$A$3:$A$5001,_xlfn.MAXIFS(BD!$A$3:$A$5001,BD!$B$3:$B$5001,U$114,BD!$A$3:$A$5001,"&gt;="&amp;$C$7,BD!$A$3:$A$5001,"&lt;="&amp;$B127,BD!$K$3:$K$5001,"&lt;&gt;"))))</f>
        <v/>
      </c>
      <c r="V127" s="43" t="str">
        <f>IF(OR($B127="",$A127&gt;$B$9,V$114=""),"",IF(COUNTIFS(BD!$B$3:$B$5001,V$114,BD!$A$3:$A$5001,"&gt;="&amp;$C$7,BD!$A$3:$A$5001,"&lt;="&amp;$B127,BD!$K$3:$K$5001,"&lt;&gt;")=0,"",SUMIFS(BD!$K$3:$K$5001,BD!$B$3:$B$5001,V$114,BD!$A$3:$A$5001,_xlfn.MAXIFS(BD!$A$3:$A$5001,BD!$B$3:$B$5001,V$114,BD!$A$3:$A$5001,"&gt;="&amp;$C$7,BD!$A$3:$A$5001,"&lt;="&amp;$B127,BD!$K$3:$K$5001,"&lt;&gt;"))))</f>
        <v/>
      </c>
    </row>
    <row r="128">
      <c r="A128" s="38">
        <v>14</v>
      </c>
      <c r="B128" s="42">
        <f>$B$25</f>
        <v>46309</v>
      </c>
      <c r="C128" s="43" t="str">
        <f>IF(OR($B128="",$A128&gt;$B$9,C$114=""),"",IF(COUNTIFS(BD!$B$3:$B$5001,C$114,BD!$A$3:$A$5001,"&gt;="&amp;$C$7,BD!$A$3:$A$5001,"&lt;="&amp;$B128,BD!$K$3:$K$5001,"&lt;&gt;")=0,"",SUMIFS(BD!$K$3:$K$5001,BD!$B$3:$B$5001,C$114,BD!$A$3:$A$5001,_xlfn.MAXIFS(BD!$A$3:$A$5001,BD!$B$3:$B$5001,C$114,BD!$A$3:$A$5001,"&gt;="&amp;$C$7,BD!$A$3:$A$5001,"&lt;="&amp;$B128,BD!$K$3:$K$5001,"&lt;&gt;"))))</f>
        <v/>
      </c>
      <c r="D128" s="43" t="str">
        <f>IF(OR($B128="",$A128&gt;$B$9,D$114=""),"",IF(COUNTIFS(BD!$B$3:$B$5001,D$114,BD!$A$3:$A$5001,"&gt;="&amp;$C$7,BD!$A$3:$A$5001,"&lt;="&amp;$B128,BD!$K$3:$K$5001,"&lt;&gt;")=0,"",SUMIFS(BD!$K$3:$K$5001,BD!$B$3:$B$5001,D$114,BD!$A$3:$A$5001,_xlfn.MAXIFS(BD!$A$3:$A$5001,BD!$B$3:$B$5001,D$114,BD!$A$3:$A$5001,"&gt;="&amp;$C$7,BD!$A$3:$A$5001,"&lt;="&amp;$B128,BD!$K$3:$K$5001,"&lt;&gt;"))))</f>
        <v/>
      </c>
      <c r="E128" s="43" t="str">
        <f>IF(OR($B128="",$A128&gt;$B$9,E$114=""),"",IF(COUNTIFS(BD!$B$3:$B$5001,E$114,BD!$A$3:$A$5001,"&gt;="&amp;$C$7,BD!$A$3:$A$5001,"&lt;="&amp;$B128,BD!$K$3:$K$5001,"&lt;&gt;")=0,"",SUMIFS(BD!$K$3:$K$5001,BD!$B$3:$B$5001,E$114,BD!$A$3:$A$5001,_xlfn.MAXIFS(BD!$A$3:$A$5001,BD!$B$3:$B$5001,E$114,BD!$A$3:$A$5001,"&gt;="&amp;$C$7,BD!$A$3:$A$5001,"&lt;="&amp;$B128,BD!$K$3:$K$5001,"&lt;&gt;"))))</f>
        <v/>
      </c>
      <c r="F128" s="43" t="str">
        <f>IF(OR($B128="",$A128&gt;$B$9,F$114=""),"",IF(COUNTIFS(BD!$B$3:$B$5001,F$114,BD!$A$3:$A$5001,"&gt;="&amp;$C$7,BD!$A$3:$A$5001,"&lt;="&amp;$B128,BD!$K$3:$K$5001,"&lt;&gt;")=0,"",SUMIFS(BD!$K$3:$K$5001,BD!$B$3:$B$5001,F$114,BD!$A$3:$A$5001,_xlfn.MAXIFS(BD!$A$3:$A$5001,BD!$B$3:$B$5001,F$114,BD!$A$3:$A$5001,"&gt;="&amp;$C$7,BD!$A$3:$A$5001,"&lt;="&amp;$B128,BD!$K$3:$K$5001,"&lt;&gt;"))))</f>
        <v/>
      </c>
      <c r="G128" s="43" t="str">
        <f>IF(OR($B128="",$A128&gt;$B$9,G$114=""),"",IF(COUNTIFS(BD!$B$3:$B$5001,G$114,BD!$A$3:$A$5001,"&gt;="&amp;$C$7,BD!$A$3:$A$5001,"&lt;="&amp;$B128,BD!$K$3:$K$5001,"&lt;&gt;")=0,"",SUMIFS(BD!$K$3:$K$5001,BD!$B$3:$B$5001,G$114,BD!$A$3:$A$5001,_xlfn.MAXIFS(BD!$A$3:$A$5001,BD!$B$3:$B$5001,G$114,BD!$A$3:$A$5001,"&gt;="&amp;$C$7,BD!$A$3:$A$5001,"&lt;="&amp;$B128,BD!$K$3:$K$5001,"&lt;&gt;"))))</f>
        <v/>
      </c>
      <c r="H128" s="43" t="str">
        <f>IF(OR($B128="",$A128&gt;$B$9,H$114=""),"",IF(COUNTIFS(BD!$B$3:$B$5001,H$114,BD!$A$3:$A$5001,"&gt;="&amp;$C$7,BD!$A$3:$A$5001,"&lt;="&amp;$B128,BD!$K$3:$K$5001,"&lt;&gt;")=0,"",SUMIFS(BD!$K$3:$K$5001,BD!$B$3:$B$5001,H$114,BD!$A$3:$A$5001,_xlfn.MAXIFS(BD!$A$3:$A$5001,BD!$B$3:$B$5001,H$114,BD!$A$3:$A$5001,"&gt;="&amp;$C$7,BD!$A$3:$A$5001,"&lt;="&amp;$B128,BD!$K$3:$K$5001,"&lt;&gt;"))))</f>
        <v/>
      </c>
      <c r="I128" s="43" t="str">
        <f>IF(OR($B128="",$A128&gt;$B$9,I$114=""),"",IF(COUNTIFS(BD!$B$3:$B$5001,I$114,BD!$A$3:$A$5001,"&gt;="&amp;$C$7,BD!$A$3:$A$5001,"&lt;="&amp;$B128,BD!$K$3:$K$5001,"&lt;&gt;")=0,"",SUMIFS(BD!$K$3:$K$5001,BD!$B$3:$B$5001,I$114,BD!$A$3:$A$5001,_xlfn.MAXIFS(BD!$A$3:$A$5001,BD!$B$3:$B$5001,I$114,BD!$A$3:$A$5001,"&gt;="&amp;$C$7,BD!$A$3:$A$5001,"&lt;="&amp;$B128,BD!$K$3:$K$5001,"&lt;&gt;"))))</f>
        <v/>
      </c>
      <c r="J128" s="43" t="str">
        <f>IF(OR($B128="",$A128&gt;$B$9,J$114=""),"",IF(COUNTIFS(BD!$B$3:$B$5001,J$114,BD!$A$3:$A$5001,"&gt;="&amp;$C$7,BD!$A$3:$A$5001,"&lt;="&amp;$B128,BD!$K$3:$K$5001,"&lt;&gt;")=0,"",SUMIFS(BD!$K$3:$K$5001,BD!$B$3:$B$5001,J$114,BD!$A$3:$A$5001,_xlfn.MAXIFS(BD!$A$3:$A$5001,BD!$B$3:$B$5001,J$114,BD!$A$3:$A$5001,"&gt;="&amp;$C$7,BD!$A$3:$A$5001,"&lt;="&amp;$B128,BD!$K$3:$K$5001,"&lt;&gt;"))))</f>
        <v/>
      </c>
      <c r="K128" s="43" t="str">
        <f>IF(OR($B128="",$A128&gt;$B$9,K$114=""),"",IF(COUNTIFS(BD!$B$3:$B$5001,K$114,BD!$A$3:$A$5001,"&gt;="&amp;$C$7,BD!$A$3:$A$5001,"&lt;="&amp;$B128,BD!$K$3:$K$5001,"&lt;&gt;")=0,"",SUMIFS(BD!$K$3:$K$5001,BD!$B$3:$B$5001,K$114,BD!$A$3:$A$5001,_xlfn.MAXIFS(BD!$A$3:$A$5001,BD!$B$3:$B$5001,K$114,BD!$A$3:$A$5001,"&gt;="&amp;$C$7,BD!$A$3:$A$5001,"&lt;="&amp;$B128,BD!$K$3:$K$5001,"&lt;&gt;"))))</f>
        <v/>
      </c>
      <c r="L128" s="43" t="str">
        <f>IF(OR($B128="",$A128&gt;$B$9,L$114=""),"",IF(COUNTIFS(BD!$B$3:$B$5001,L$114,BD!$A$3:$A$5001,"&gt;="&amp;$C$7,BD!$A$3:$A$5001,"&lt;="&amp;$B128,BD!$K$3:$K$5001,"&lt;&gt;")=0,"",SUMIFS(BD!$K$3:$K$5001,BD!$B$3:$B$5001,L$114,BD!$A$3:$A$5001,_xlfn.MAXIFS(BD!$A$3:$A$5001,BD!$B$3:$B$5001,L$114,BD!$A$3:$A$5001,"&gt;="&amp;$C$7,BD!$A$3:$A$5001,"&lt;="&amp;$B128,BD!$K$3:$K$5001,"&lt;&gt;"))))</f>
        <v/>
      </c>
      <c r="M128" s="43" t="str">
        <f>IF(OR($B128="",$A128&gt;$B$9,M$114=""),"",IF(COUNTIFS(BD!$B$3:$B$5001,M$114,BD!$A$3:$A$5001,"&gt;="&amp;$C$7,BD!$A$3:$A$5001,"&lt;="&amp;$B128,BD!$K$3:$K$5001,"&lt;&gt;")=0,"",SUMIFS(BD!$K$3:$K$5001,BD!$B$3:$B$5001,M$114,BD!$A$3:$A$5001,_xlfn.MAXIFS(BD!$A$3:$A$5001,BD!$B$3:$B$5001,M$114,BD!$A$3:$A$5001,"&gt;="&amp;$C$7,BD!$A$3:$A$5001,"&lt;="&amp;$B128,BD!$K$3:$K$5001,"&lt;&gt;"))))</f>
        <v/>
      </c>
      <c r="N128" s="43" t="str">
        <f>IF(OR($B128="",$A128&gt;$B$9,N$114=""),"",IF(COUNTIFS(BD!$B$3:$B$5001,N$114,BD!$A$3:$A$5001,"&gt;="&amp;$C$7,BD!$A$3:$A$5001,"&lt;="&amp;$B128,BD!$K$3:$K$5001,"&lt;&gt;")=0,"",SUMIFS(BD!$K$3:$K$5001,BD!$B$3:$B$5001,N$114,BD!$A$3:$A$5001,_xlfn.MAXIFS(BD!$A$3:$A$5001,BD!$B$3:$B$5001,N$114,BD!$A$3:$A$5001,"&gt;="&amp;$C$7,BD!$A$3:$A$5001,"&lt;="&amp;$B128,BD!$K$3:$K$5001,"&lt;&gt;"))))</f>
        <v/>
      </c>
      <c r="O128" s="43" t="str">
        <f>IF(OR($B128="",$A128&gt;$B$9,O$114=""),"",IF(COUNTIFS(BD!$B$3:$B$5001,O$114,BD!$A$3:$A$5001,"&gt;="&amp;$C$7,BD!$A$3:$A$5001,"&lt;="&amp;$B128,BD!$K$3:$K$5001,"&lt;&gt;")=0,"",SUMIFS(BD!$K$3:$K$5001,BD!$B$3:$B$5001,O$114,BD!$A$3:$A$5001,_xlfn.MAXIFS(BD!$A$3:$A$5001,BD!$B$3:$B$5001,O$114,BD!$A$3:$A$5001,"&gt;="&amp;$C$7,BD!$A$3:$A$5001,"&lt;="&amp;$B128,BD!$K$3:$K$5001,"&lt;&gt;"))))</f>
        <v/>
      </c>
      <c r="P128" s="43" t="str">
        <f>IF(OR($B128="",$A128&gt;$B$9,P$114=""),"",IF(COUNTIFS(BD!$B$3:$B$5001,P$114,BD!$A$3:$A$5001,"&gt;="&amp;$C$7,BD!$A$3:$A$5001,"&lt;="&amp;$B128,BD!$K$3:$K$5001,"&lt;&gt;")=0,"",SUMIFS(BD!$K$3:$K$5001,BD!$B$3:$B$5001,P$114,BD!$A$3:$A$5001,_xlfn.MAXIFS(BD!$A$3:$A$5001,BD!$B$3:$B$5001,P$114,BD!$A$3:$A$5001,"&gt;="&amp;$C$7,BD!$A$3:$A$5001,"&lt;="&amp;$B128,BD!$K$3:$K$5001,"&lt;&gt;"))))</f>
        <v/>
      </c>
      <c r="Q128" s="43" t="str">
        <f>IF(OR($B128="",$A128&gt;$B$9,Q$114=""),"",IF(COUNTIFS(BD!$B$3:$B$5001,Q$114,BD!$A$3:$A$5001,"&gt;="&amp;$C$7,BD!$A$3:$A$5001,"&lt;="&amp;$B128,BD!$K$3:$K$5001,"&lt;&gt;")=0,"",SUMIFS(BD!$K$3:$K$5001,BD!$B$3:$B$5001,Q$114,BD!$A$3:$A$5001,_xlfn.MAXIFS(BD!$A$3:$A$5001,BD!$B$3:$B$5001,Q$114,BD!$A$3:$A$5001,"&gt;="&amp;$C$7,BD!$A$3:$A$5001,"&lt;="&amp;$B128,BD!$K$3:$K$5001,"&lt;&gt;"))))</f>
        <v/>
      </c>
      <c r="R128" s="43" t="str">
        <f>IF(OR($B128="",$A128&gt;$B$9,R$114=""),"",IF(COUNTIFS(BD!$B$3:$B$5001,R$114,BD!$A$3:$A$5001,"&gt;="&amp;$C$7,BD!$A$3:$A$5001,"&lt;="&amp;$B128,BD!$K$3:$K$5001,"&lt;&gt;")=0,"",SUMIFS(BD!$K$3:$K$5001,BD!$B$3:$B$5001,R$114,BD!$A$3:$A$5001,_xlfn.MAXIFS(BD!$A$3:$A$5001,BD!$B$3:$B$5001,R$114,BD!$A$3:$A$5001,"&gt;="&amp;$C$7,BD!$A$3:$A$5001,"&lt;="&amp;$B128,BD!$K$3:$K$5001,"&lt;&gt;"))))</f>
        <v/>
      </c>
      <c r="S128" s="43" t="str">
        <f>IF(OR($B128="",$A128&gt;$B$9,S$114=""),"",IF(COUNTIFS(BD!$B$3:$B$5001,S$114,BD!$A$3:$A$5001,"&gt;="&amp;$C$7,BD!$A$3:$A$5001,"&lt;="&amp;$B128,BD!$K$3:$K$5001,"&lt;&gt;")=0,"",SUMIFS(BD!$K$3:$K$5001,BD!$B$3:$B$5001,S$114,BD!$A$3:$A$5001,_xlfn.MAXIFS(BD!$A$3:$A$5001,BD!$B$3:$B$5001,S$114,BD!$A$3:$A$5001,"&gt;="&amp;$C$7,BD!$A$3:$A$5001,"&lt;="&amp;$B128,BD!$K$3:$K$5001,"&lt;&gt;"))))</f>
        <v/>
      </c>
      <c r="T128" s="43" t="str">
        <f>IF(OR($B128="",$A128&gt;$B$9,T$114=""),"",IF(COUNTIFS(BD!$B$3:$B$5001,T$114,BD!$A$3:$A$5001,"&gt;="&amp;$C$7,BD!$A$3:$A$5001,"&lt;="&amp;$B128,BD!$K$3:$K$5001,"&lt;&gt;")=0,"",SUMIFS(BD!$K$3:$K$5001,BD!$B$3:$B$5001,T$114,BD!$A$3:$A$5001,_xlfn.MAXIFS(BD!$A$3:$A$5001,BD!$B$3:$B$5001,T$114,BD!$A$3:$A$5001,"&gt;="&amp;$C$7,BD!$A$3:$A$5001,"&lt;="&amp;$B128,BD!$K$3:$K$5001,"&lt;&gt;"))))</f>
        <v/>
      </c>
      <c r="U128" s="43" t="str">
        <f>IF(OR($B128="",$A128&gt;$B$9,U$114=""),"",IF(COUNTIFS(BD!$B$3:$B$5001,U$114,BD!$A$3:$A$5001,"&gt;="&amp;$C$7,BD!$A$3:$A$5001,"&lt;="&amp;$B128,BD!$K$3:$K$5001,"&lt;&gt;")=0,"",SUMIFS(BD!$K$3:$K$5001,BD!$B$3:$B$5001,U$114,BD!$A$3:$A$5001,_xlfn.MAXIFS(BD!$A$3:$A$5001,BD!$B$3:$B$5001,U$114,BD!$A$3:$A$5001,"&gt;="&amp;$C$7,BD!$A$3:$A$5001,"&lt;="&amp;$B128,BD!$K$3:$K$5001,"&lt;&gt;"))))</f>
        <v/>
      </c>
      <c r="V128" s="43" t="str">
        <f>IF(OR($B128="",$A128&gt;$B$9,V$114=""),"",IF(COUNTIFS(BD!$B$3:$B$5001,V$114,BD!$A$3:$A$5001,"&gt;="&amp;$C$7,BD!$A$3:$A$5001,"&lt;="&amp;$B128,BD!$K$3:$K$5001,"&lt;&gt;")=0,"",SUMIFS(BD!$K$3:$K$5001,BD!$B$3:$B$5001,V$114,BD!$A$3:$A$5001,_xlfn.MAXIFS(BD!$A$3:$A$5001,BD!$B$3:$B$5001,V$114,BD!$A$3:$A$5001,"&gt;="&amp;$C$7,BD!$A$3:$A$5001,"&lt;="&amp;$B128,BD!$K$3:$K$5001,"&lt;&gt;"))))</f>
        <v/>
      </c>
    </row>
    <row r="129">
      <c r="A129" s="38">
        <v>15</v>
      </c>
      <c r="B129" s="42">
        <f>$B$26</f>
        <v>46310</v>
      </c>
      <c r="C129" s="43" t="str">
        <f>IF(OR($B129="",$A129&gt;$B$9,C$114=""),"",IF(COUNTIFS(BD!$B$3:$B$5001,C$114,BD!$A$3:$A$5001,"&gt;="&amp;$C$7,BD!$A$3:$A$5001,"&lt;="&amp;$B129,BD!$K$3:$K$5001,"&lt;&gt;")=0,"",SUMIFS(BD!$K$3:$K$5001,BD!$B$3:$B$5001,C$114,BD!$A$3:$A$5001,_xlfn.MAXIFS(BD!$A$3:$A$5001,BD!$B$3:$B$5001,C$114,BD!$A$3:$A$5001,"&gt;="&amp;$C$7,BD!$A$3:$A$5001,"&lt;="&amp;$B129,BD!$K$3:$K$5001,"&lt;&gt;"))))</f>
        <v/>
      </c>
      <c r="D129" s="43" t="str">
        <f>IF(OR($B129="",$A129&gt;$B$9,D$114=""),"",IF(COUNTIFS(BD!$B$3:$B$5001,D$114,BD!$A$3:$A$5001,"&gt;="&amp;$C$7,BD!$A$3:$A$5001,"&lt;="&amp;$B129,BD!$K$3:$K$5001,"&lt;&gt;")=0,"",SUMIFS(BD!$K$3:$K$5001,BD!$B$3:$B$5001,D$114,BD!$A$3:$A$5001,_xlfn.MAXIFS(BD!$A$3:$A$5001,BD!$B$3:$B$5001,D$114,BD!$A$3:$A$5001,"&gt;="&amp;$C$7,BD!$A$3:$A$5001,"&lt;="&amp;$B129,BD!$K$3:$K$5001,"&lt;&gt;"))))</f>
        <v/>
      </c>
      <c r="E129" s="43" t="str">
        <f>IF(OR($B129="",$A129&gt;$B$9,E$114=""),"",IF(COUNTIFS(BD!$B$3:$B$5001,E$114,BD!$A$3:$A$5001,"&gt;="&amp;$C$7,BD!$A$3:$A$5001,"&lt;="&amp;$B129,BD!$K$3:$K$5001,"&lt;&gt;")=0,"",SUMIFS(BD!$K$3:$K$5001,BD!$B$3:$B$5001,E$114,BD!$A$3:$A$5001,_xlfn.MAXIFS(BD!$A$3:$A$5001,BD!$B$3:$B$5001,E$114,BD!$A$3:$A$5001,"&gt;="&amp;$C$7,BD!$A$3:$A$5001,"&lt;="&amp;$B129,BD!$K$3:$K$5001,"&lt;&gt;"))))</f>
        <v/>
      </c>
      <c r="F129" s="43" t="str">
        <f>IF(OR($B129="",$A129&gt;$B$9,F$114=""),"",IF(COUNTIFS(BD!$B$3:$B$5001,F$114,BD!$A$3:$A$5001,"&gt;="&amp;$C$7,BD!$A$3:$A$5001,"&lt;="&amp;$B129,BD!$K$3:$K$5001,"&lt;&gt;")=0,"",SUMIFS(BD!$K$3:$K$5001,BD!$B$3:$B$5001,F$114,BD!$A$3:$A$5001,_xlfn.MAXIFS(BD!$A$3:$A$5001,BD!$B$3:$B$5001,F$114,BD!$A$3:$A$5001,"&gt;="&amp;$C$7,BD!$A$3:$A$5001,"&lt;="&amp;$B129,BD!$K$3:$K$5001,"&lt;&gt;"))))</f>
        <v/>
      </c>
      <c r="G129" s="43" t="str">
        <f>IF(OR($B129="",$A129&gt;$B$9,G$114=""),"",IF(COUNTIFS(BD!$B$3:$B$5001,G$114,BD!$A$3:$A$5001,"&gt;="&amp;$C$7,BD!$A$3:$A$5001,"&lt;="&amp;$B129,BD!$K$3:$K$5001,"&lt;&gt;")=0,"",SUMIFS(BD!$K$3:$K$5001,BD!$B$3:$B$5001,G$114,BD!$A$3:$A$5001,_xlfn.MAXIFS(BD!$A$3:$A$5001,BD!$B$3:$B$5001,G$114,BD!$A$3:$A$5001,"&gt;="&amp;$C$7,BD!$A$3:$A$5001,"&lt;="&amp;$B129,BD!$K$3:$K$5001,"&lt;&gt;"))))</f>
        <v/>
      </c>
      <c r="H129" s="43" t="str">
        <f>IF(OR($B129="",$A129&gt;$B$9,H$114=""),"",IF(COUNTIFS(BD!$B$3:$B$5001,H$114,BD!$A$3:$A$5001,"&gt;="&amp;$C$7,BD!$A$3:$A$5001,"&lt;="&amp;$B129,BD!$K$3:$K$5001,"&lt;&gt;")=0,"",SUMIFS(BD!$K$3:$K$5001,BD!$B$3:$B$5001,H$114,BD!$A$3:$A$5001,_xlfn.MAXIFS(BD!$A$3:$A$5001,BD!$B$3:$B$5001,H$114,BD!$A$3:$A$5001,"&gt;="&amp;$C$7,BD!$A$3:$A$5001,"&lt;="&amp;$B129,BD!$K$3:$K$5001,"&lt;&gt;"))))</f>
        <v/>
      </c>
      <c r="I129" s="43" t="str">
        <f>IF(OR($B129="",$A129&gt;$B$9,I$114=""),"",IF(COUNTIFS(BD!$B$3:$B$5001,I$114,BD!$A$3:$A$5001,"&gt;="&amp;$C$7,BD!$A$3:$A$5001,"&lt;="&amp;$B129,BD!$K$3:$K$5001,"&lt;&gt;")=0,"",SUMIFS(BD!$K$3:$K$5001,BD!$B$3:$B$5001,I$114,BD!$A$3:$A$5001,_xlfn.MAXIFS(BD!$A$3:$A$5001,BD!$B$3:$B$5001,I$114,BD!$A$3:$A$5001,"&gt;="&amp;$C$7,BD!$A$3:$A$5001,"&lt;="&amp;$B129,BD!$K$3:$K$5001,"&lt;&gt;"))))</f>
        <v/>
      </c>
      <c r="J129" s="43" t="str">
        <f>IF(OR($B129="",$A129&gt;$B$9,J$114=""),"",IF(COUNTIFS(BD!$B$3:$B$5001,J$114,BD!$A$3:$A$5001,"&gt;="&amp;$C$7,BD!$A$3:$A$5001,"&lt;="&amp;$B129,BD!$K$3:$K$5001,"&lt;&gt;")=0,"",SUMIFS(BD!$K$3:$K$5001,BD!$B$3:$B$5001,J$114,BD!$A$3:$A$5001,_xlfn.MAXIFS(BD!$A$3:$A$5001,BD!$B$3:$B$5001,J$114,BD!$A$3:$A$5001,"&gt;="&amp;$C$7,BD!$A$3:$A$5001,"&lt;="&amp;$B129,BD!$K$3:$K$5001,"&lt;&gt;"))))</f>
        <v/>
      </c>
      <c r="K129" s="43" t="str">
        <f>IF(OR($B129="",$A129&gt;$B$9,K$114=""),"",IF(COUNTIFS(BD!$B$3:$B$5001,K$114,BD!$A$3:$A$5001,"&gt;="&amp;$C$7,BD!$A$3:$A$5001,"&lt;="&amp;$B129,BD!$K$3:$K$5001,"&lt;&gt;")=0,"",SUMIFS(BD!$K$3:$K$5001,BD!$B$3:$B$5001,K$114,BD!$A$3:$A$5001,_xlfn.MAXIFS(BD!$A$3:$A$5001,BD!$B$3:$B$5001,K$114,BD!$A$3:$A$5001,"&gt;="&amp;$C$7,BD!$A$3:$A$5001,"&lt;="&amp;$B129,BD!$K$3:$K$5001,"&lt;&gt;"))))</f>
        <v/>
      </c>
      <c r="L129" s="43" t="str">
        <f>IF(OR($B129="",$A129&gt;$B$9,L$114=""),"",IF(COUNTIFS(BD!$B$3:$B$5001,L$114,BD!$A$3:$A$5001,"&gt;="&amp;$C$7,BD!$A$3:$A$5001,"&lt;="&amp;$B129,BD!$K$3:$K$5001,"&lt;&gt;")=0,"",SUMIFS(BD!$K$3:$K$5001,BD!$B$3:$B$5001,L$114,BD!$A$3:$A$5001,_xlfn.MAXIFS(BD!$A$3:$A$5001,BD!$B$3:$B$5001,L$114,BD!$A$3:$A$5001,"&gt;="&amp;$C$7,BD!$A$3:$A$5001,"&lt;="&amp;$B129,BD!$K$3:$K$5001,"&lt;&gt;"))))</f>
        <v/>
      </c>
      <c r="M129" s="43" t="str">
        <f>IF(OR($B129="",$A129&gt;$B$9,M$114=""),"",IF(COUNTIFS(BD!$B$3:$B$5001,M$114,BD!$A$3:$A$5001,"&gt;="&amp;$C$7,BD!$A$3:$A$5001,"&lt;="&amp;$B129,BD!$K$3:$K$5001,"&lt;&gt;")=0,"",SUMIFS(BD!$K$3:$K$5001,BD!$B$3:$B$5001,M$114,BD!$A$3:$A$5001,_xlfn.MAXIFS(BD!$A$3:$A$5001,BD!$B$3:$B$5001,M$114,BD!$A$3:$A$5001,"&gt;="&amp;$C$7,BD!$A$3:$A$5001,"&lt;="&amp;$B129,BD!$K$3:$K$5001,"&lt;&gt;"))))</f>
        <v/>
      </c>
      <c r="N129" s="43" t="str">
        <f>IF(OR($B129="",$A129&gt;$B$9,N$114=""),"",IF(COUNTIFS(BD!$B$3:$B$5001,N$114,BD!$A$3:$A$5001,"&gt;="&amp;$C$7,BD!$A$3:$A$5001,"&lt;="&amp;$B129,BD!$K$3:$K$5001,"&lt;&gt;")=0,"",SUMIFS(BD!$K$3:$K$5001,BD!$B$3:$B$5001,N$114,BD!$A$3:$A$5001,_xlfn.MAXIFS(BD!$A$3:$A$5001,BD!$B$3:$B$5001,N$114,BD!$A$3:$A$5001,"&gt;="&amp;$C$7,BD!$A$3:$A$5001,"&lt;="&amp;$B129,BD!$K$3:$K$5001,"&lt;&gt;"))))</f>
        <v/>
      </c>
      <c r="O129" s="43" t="str">
        <f>IF(OR($B129="",$A129&gt;$B$9,O$114=""),"",IF(COUNTIFS(BD!$B$3:$B$5001,O$114,BD!$A$3:$A$5001,"&gt;="&amp;$C$7,BD!$A$3:$A$5001,"&lt;="&amp;$B129,BD!$K$3:$K$5001,"&lt;&gt;")=0,"",SUMIFS(BD!$K$3:$K$5001,BD!$B$3:$B$5001,O$114,BD!$A$3:$A$5001,_xlfn.MAXIFS(BD!$A$3:$A$5001,BD!$B$3:$B$5001,O$114,BD!$A$3:$A$5001,"&gt;="&amp;$C$7,BD!$A$3:$A$5001,"&lt;="&amp;$B129,BD!$K$3:$K$5001,"&lt;&gt;"))))</f>
        <v/>
      </c>
      <c r="P129" s="43" t="str">
        <f>IF(OR($B129="",$A129&gt;$B$9,P$114=""),"",IF(COUNTIFS(BD!$B$3:$B$5001,P$114,BD!$A$3:$A$5001,"&gt;="&amp;$C$7,BD!$A$3:$A$5001,"&lt;="&amp;$B129,BD!$K$3:$K$5001,"&lt;&gt;")=0,"",SUMIFS(BD!$K$3:$K$5001,BD!$B$3:$B$5001,P$114,BD!$A$3:$A$5001,_xlfn.MAXIFS(BD!$A$3:$A$5001,BD!$B$3:$B$5001,P$114,BD!$A$3:$A$5001,"&gt;="&amp;$C$7,BD!$A$3:$A$5001,"&lt;="&amp;$B129,BD!$K$3:$K$5001,"&lt;&gt;"))))</f>
        <v/>
      </c>
      <c r="Q129" s="43" t="str">
        <f>IF(OR($B129="",$A129&gt;$B$9,Q$114=""),"",IF(COUNTIFS(BD!$B$3:$B$5001,Q$114,BD!$A$3:$A$5001,"&gt;="&amp;$C$7,BD!$A$3:$A$5001,"&lt;="&amp;$B129,BD!$K$3:$K$5001,"&lt;&gt;")=0,"",SUMIFS(BD!$K$3:$K$5001,BD!$B$3:$B$5001,Q$114,BD!$A$3:$A$5001,_xlfn.MAXIFS(BD!$A$3:$A$5001,BD!$B$3:$B$5001,Q$114,BD!$A$3:$A$5001,"&gt;="&amp;$C$7,BD!$A$3:$A$5001,"&lt;="&amp;$B129,BD!$K$3:$K$5001,"&lt;&gt;"))))</f>
        <v/>
      </c>
      <c r="R129" s="43" t="str">
        <f>IF(OR($B129="",$A129&gt;$B$9,R$114=""),"",IF(COUNTIFS(BD!$B$3:$B$5001,R$114,BD!$A$3:$A$5001,"&gt;="&amp;$C$7,BD!$A$3:$A$5001,"&lt;="&amp;$B129,BD!$K$3:$K$5001,"&lt;&gt;")=0,"",SUMIFS(BD!$K$3:$K$5001,BD!$B$3:$B$5001,R$114,BD!$A$3:$A$5001,_xlfn.MAXIFS(BD!$A$3:$A$5001,BD!$B$3:$B$5001,R$114,BD!$A$3:$A$5001,"&gt;="&amp;$C$7,BD!$A$3:$A$5001,"&lt;="&amp;$B129,BD!$K$3:$K$5001,"&lt;&gt;"))))</f>
        <v/>
      </c>
      <c r="S129" s="43" t="str">
        <f>IF(OR($B129="",$A129&gt;$B$9,S$114=""),"",IF(COUNTIFS(BD!$B$3:$B$5001,S$114,BD!$A$3:$A$5001,"&gt;="&amp;$C$7,BD!$A$3:$A$5001,"&lt;="&amp;$B129,BD!$K$3:$K$5001,"&lt;&gt;")=0,"",SUMIFS(BD!$K$3:$K$5001,BD!$B$3:$B$5001,S$114,BD!$A$3:$A$5001,_xlfn.MAXIFS(BD!$A$3:$A$5001,BD!$B$3:$B$5001,S$114,BD!$A$3:$A$5001,"&gt;="&amp;$C$7,BD!$A$3:$A$5001,"&lt;="&amp;$B129,BD!$K$3:$K$5001,"&lt;&gt;"))))</f>
        <v/>
      </c>
      <c r="T129" s="43" t="str">
        <f>IF(OR($B129="",$A129&gt;$B$9,T$114=""),"",IF(COUNTIFS(BD!$B$3:$B$5001,T$114,BD!$A$3:$A$5001,"&gt;="&amp;$C$7,BD!$A$3:$A$5001,"&lt;="&amp;$B129,BD!$K$3:$K$5001,"&lt;&gt;")=0,"",SUMIFS(BD!$K$3:$K$5001,BD!$B$3:$B$5001,T$114,BD!$A$3:$A$5001,_xlfn.MAXIFS(BD!$A$3:$A$5001,BD!$B$3:$B$5001,T$114,BD!$A$3:$A$5001,"&gt;="&amp;$C$7,BD!$A$3:$A$5001,"&lt;="&amp;$B129,BD!$K$3:$K$5001,"&lt;&gt;"))))</f>
        <v/>
      </c>
      <c r="U129" s="43" t="str">
        <f>IF(OR($B129="",$A129&gt;$B$9,U$114=""),"",IF(COUNTIFS(BD!$B$3:$B$5001,U$114,BD!$A$3:$A$5001,"&gt;="&amp;$C$7,BD!$A$3:$A$5001,"&lt;="&amp;$B129,BD!$K$3:$K$5001,"&lt;&gt;")=0,"",SUMIFS(BD!$K$3:$K$5001,BD!$B$3:$B$5001,U$114,BD!$A$3:$A$5001,_xlfn.MAXIFS(BD!$A$3:$A$5001,BD!$B$3:$B$5001,U$114,BD!$A$3:$A$5001,"&gt;="&amp;$C$7,BD!$A$3:$A$5001,"&lt;="&amp;$B129,BD!$K$3:$K$5001,"&lt;&gt;"))))</f>
        <v/>
      </c>
      <c r="V129" s="43" t="str">
        <f>IF(OR($B129="",$A129&gt;$B$9,V$114=""),"",IF(COUNTIFS(BD!$B$3:$B$5001,V$114,BD!$A$3:$A$5001,"&gt;="&amp;$C$7,BD!$A$3:$A$5001,"&lt;="&amp;$B129,BD!$K$3:$K$5001,"&lt;&gt;")=0,"",SUMIFS(BD!$K$3:$K$5001,BD!$B$3:$B$5001,V$114,BD!$A$3:$A$5001,_xlfn.MAXIFS(BD!$A$3:$A$5001,BD!$B$3:$B$5001,V$114,BD!$A$3:$A$5001,"&gt;="&amp;$C$7,BD!$A$3:$A$5001,"&lt;="&amp;$B129,BD!$K$3:$K$5001,"&lt;&gt;"))))</f>
        <v/>
      </c>
    </row>
    <row r="130">
      <c r="A130" s="38">
        <v>16</v>
      </c>
      <c r="B130" s="42">
        <f>$B$27</f>
        <v>46311</v>
      </c>
      <c r="C130" s="43" t="str">
        <f>IF(OR($B130="",$A130&gt;$B$9,C$114=""),"",IF(COUNTIFS(BD!$B$3:$B$5001,C$114,BD!$A$3:$A$5001,"&gt;="&amp;$C$7,BD!$A$3:$A$5001,"&lt;="&amp;$B130,BD!$K$3:$K$5001,"&lt;&gt;")=0,"",SUMIFS(BD!$K$3:$K$5001,BD!$B$3:$B$5001,C$114,BD!$A$3:$A$5001,_xlfn.MAXIFS(BD!$A$3:$A$5001,BD!$B$3:$B$5001,C$114,BD!$A$3:$A$5001,"&gt;="&amp;$C$7,BD!$A$3:$A$5001,"&lt;="&amp;$B130,BD!$K$3:$K$5001,"&lt;&gt;"))))</f>
        <v/>
      </c>
      <c r="D130" s="43" t="str">
        <f>IF(OR($B130="",$A130&gt;$B$9,D$114=""),"",IF(COUNTIFS(BD!$B$3:$B$5001,D$114,BD!$A$3:$A$5001,"&gt;="&amp;$C$7,BD!$A$3:$A$5001,"&lt;="&amp;$B130,BD!$K$3:$K$5001,"&lt;&gt;")=0,"",SUMIFS(BD!$K$3:$K$5001,BD!$B$3:$B$5001,D$114,BD!$A$3:$A$5001,_xlfn.MAXIFS(BD!$A$3:$A$5001,BD!$B$3:$B$5001,D$114,BD!$A$3:$A$5001,"&gt;="&amp;$C$7,BD!$A$3:$A$5001,"&lt;="&amp;$B130,BD!$K$3:$K$5001,"&lt;&gt;"))))</f>
        <v/>
      </c>
      <c r="E130" s="43" t="str">
        <f>IF(OR($B130="",$A130&gt;$B$9,E$114=""),"",IF(COUNTIFS(BD!$B$3:$B$5001,E$114,BD!$A$3:$A$5001,"&gt;="&amp;$C$7,BD!$A$3:$A$5001,"&lt;="&amp;$B130,BD!$K$3:$K$5001,"&lt;&gt;")=0,"",SUMIFS(BD!$K$3:$K$5001,BD!$B$3:$B$5001,E$114,BD!$A$3:$A$5001,_xlfn.MAXIFS(BD!$A$3:$A$5001,BD!$B$3:$B$5001,E$114,BD!$A$3:$A$5001,"&gt;="&amp;$C$7,BD!$A$3:$A$5001,"&lt;="&amp;$B130,BD!$K$3:$K$5001,"&lt;&gt;"))))</f>
        <v/>
      </c>
      <c r="F130" s="43" t="str">
        <f>IF(OR($B130="",$A130&gt;$B$9,F$114=""),"",IF(COUNTIFS(BD!$B$3:$B$5001,F$114,BD!$A$3:$A$5001,"&gt;="&amp;$C$7,BD!$A$3:$A$5001,"&lt;="&amp;$B130,BD!$K$3:$K$5001,"&lt;&gt;")=0,"",SUMIFS(BD!$K$3:$K$5001,BD!$B$3:$B$5001,F$114,BD!$A$3:$A$5001,_xlfn.MAXIFS(BD!$A$3:$A$5001,BD!$B$3:$B$5001,F$114,BD!$A$3:$A$5001,"&gt;="&amp;$C$7,BD!$A$3:$A$5001,"&lt;="&amp;$B130,BD!$K$3:$K$5001,"&lt;&gt;"))))</f>
        <v/>
      </c>
      <c r="G130" s="43" t="str">
        <f>IF(OR($B130="",$A130&gt;$B$9,G$114=""),"",IF(COUNTIFS(BD!$B$3:$B$5001,G$114,BD!$A$3:$A$5001,"&gt;="&amp;$C$7,BD!$A$3:$A$5001,"&lt;="&amp;$B130,BD!$K$3:$K$5001,"&lt;&gt;")=0,"",SUMIFS(BD!$K$3:$K$5001,BD!$B$3:$B$5001,G$114,BD!$A$3:$A$5001,_xlfn.MAXIFS(BD!$A$3:$A$5001,BD!$B$3:$B$5001,G$114,BD!$A$3:$A$5001,"&gt;="&amp;$C$7,BD!$A$3:$A$5001,"&lt;="&amp;$B130,BD!$K$3:$K$5001,"&lt;&gt;"))))</f>
        <v/>
      </c>
      <c r="H130" s="43" t="str">
        <f>IF(OR($B130="",$A130&gt;$B$9,H$114=""),"",IF(COUNTIFS(BD!$B$3:$B$5001,H$114,BD!$A$3:$A$5001,"&gt;="&amp;$C$7,BD!$A$3:$A$5001,"&lt;="&amp;$B130,BD!$K$3:$K$5001,"&lt;&gt;")=0,"",SUMIFS(BD!$K$3:$K$5001,BD!$B$3:$B$5001,H$114,BD!$A$3:$A$5001,_xlfn.MAXIFS(BD!$A$3:$A$5001,BD!$B$3:$B$5001,H$114,BD!$A$3:$A$5001,"&gt;="&amp;$C$7,BD!$A$3:$A$5001,"&lt;="&amp;$B130,BD!$K$3:$K$5001,"&lt;&gt;"))))</f>
        <v/>
      </c>
      <c r="I130" s="43" t="str">
        <f>IF(OR($B130="",$A130&gt;$B$9,I$114=""),"",IF(COUNTIFS(BD!$B$3:$B$5001,I$114,BD!$A$3:$A$5001,"&gt;="&amp;$C$7,BD!$A$3:$A$5001,"&lt;="&amp;$B130,BD!$K$3:$K$5001,"&lt;&gt;")=0,"",SUMIFS(BD!$K$3:$K$5001,BD!$B$3:$B$5001,I$114,BD!$A$3:$A$5001,_xlfn.MAXIFS(BD!$A$3:$A$5001,BD!$B$3:$B$5001,I$114,BD!$A$3:$A$5001,"&gt;="&amp;$C$7,BD!$A$3:$A$5001,"&lt;="&amp;$B130,BD!$K$3:$K$5001,"&lt;&gt;"))))</f>
        <v/>
      </c>
      <c r="J130" s="43" t="str">
        <f>IF(OR($B130="",$A130&gt;$B$9,J$114=""),"",IF(COUNTIFS(BD!$B$3:$B$5001,J$114,BD!$A$3:$A$5001,"&gt;="&amp;$C$7,BD!$A$3:$A$5001,"&lt;="&amp;$B130,BD!$K$3:$K$5001,"&lt;&gt;")=0,"",SUMIFS(BD!$K$3:$K$5001,BD!$B$3:$B$5001,J$114,BD!$A$3:$A$5001,_xlfn.MAXIFS(BD!$A$3:$A$5001,BD!$B$3:$B$5001,J$114,BD!$A$3:$A$5001,"&gt;="&amp;$C$7,BD!$A$3:$A$5001,"&lt;="&amp;$B130,BD!$K$3:$K$5001,"&lt;&gt;"))))</f>
        <v/>
      </c>
      <c r="K130" s="43" t="str">
        <f>IF(OR($B130="",$A130&gt;$B$9,K$114=""),"",IF(COUNTIFS(BD!$B$3:$B$5001,K$114,BD!$A$3:$A$5001,"&gt;="&amp;$C$7,BD!$A$3:$A$5001,"&lt;="&amp;$B130,BD!$K$3:$K$5001,"&lt;&gt;")=0,"",SUMIFS(BD!$K$3:$K$5001,BD!$B$3:$B$5001,K$114,BD!$A$3:$A$5001,_xlfn.MAXIFS(BD!$A$3:$A$5001,BD!$B$3:$B$5001,K$114,BD!$A$3:$A$5001,"&gt;="&amp;$C$7,BD!$A$3:$A$5001,"&lt;="&amp;$B130,BD!$K$3:$K$5001,"&lt;&gt;"))))</f>
        <v/>
      </c>
      <c r="L130" s="43" t="str">
        <f>IF(OR($B130="",$A130&gt;$B$9,L$114=""),"",IF(COUNTIFS(BD!$B$3:$B$5001,L$114,BD!$A$3:$A$5001,"&gt;="&amp;$C$7,BD!$A$3:$A$5001,"&lt;="&amp;$B130,BD!$K$3:$K$5001,"&lt;&gt;")=0,"",SUMIFS(BD!$K$3:$K$5001,BD!$B$3:$B$5001,L$114,BD!$A$3:$A$5001,_xlfn.MAXIFS(BD!$A$3:$A$5001,BD!$B$3:$B$5001,L$114,BD!$A$3:$A$5001,"&gt;="&amp;$C$7,BD!$A$3:$A$5001,"&lt;="&amp;$B130,BD!$K$3:$K$5001,"&lt;&gt;"))))</f>
        <v/>
      </c>
      <c r="M130" s="43" t="str">
        <f>IF(OR($B130="",$A130&gt;$B$9,M$114=""),"",IF(COUNTIFS(BD!$B$3:$B$5001,M$114,BD!$A$3:$A$5001,"&gt;="&amp;$C$7,BD!$A$3:$A$5001,"&lt;="&amp;$B130,BD!$K$3:$K$5001,"&lt;&gt;")=0,"",SUMIFS(BD!$K$3:$K$5001,BD!$B$3:$B$5001,M$114,BD!$A$3:$A$5001,_xlfn.MAXIFS(BD!$A$3:$A$5001,BD!$B$3:$B$5001,M$114,BD!$A$3:$A$5001,"&gt;="&amp;$C$7,BD!$A$3:$A$5001,"&lt;="&amp;$B130,BD!$K$3:$K$5001,"&lt;&gt;"))))</f>
        <v/>
      </c>
      <c r="N130" s="43" t="str">
        <f>IF(OR($B130="",$A130&gt;$B$9,N$114=""),"",IF(COUNTIFS(BD!$B$3:$B$5001,N$114,BD!$A$3:$A$5001,"&gt;="&amp;$C$7,BD!$A$3:$A$5001,"&lt;="&amp;$B130,BD!$K$3:$K$5001,"&lt;&gt;")=0,"",SUMIFS(BD!$K$3:$K$5001,BD!$B$3:$B$5001,N$114,BD!$A$3:$A$5001,_xlfn.MAXIFS(BD!$A$3:$A$5001,BD!$B$3:$B$5001,N$114,BD!$A$3:$A$5001,"&gt;="&amp;$C$7,BD!$A$3:$A$5001,"&lt;="&amp;$B130,BD!$K$3:$K$5001,"&lt;&gt;"))))</f>
        <v/>
      </c>
      <c r="O130" s="43" t="str">
        <f>IF(OR($B130="",$A130&gt;$B$9,O$114=""),"",IF(COUNTIFS(BD!$B$3:$B$5001,O$114,BD!$A$3:$A$5001,"&gt;="&amp;$C$7,BD!$A$3:$A$5001,"&lt;="&amp;$B130,BD!$K$3:$K$5001,"&lt;&gt;")=0,"",SUMIFS(BD!$K$3:$K$5001,BD!$B$3:$B$5001,O$114,BD!$A$3:$A$5001,_xlfn.MAXIFS(BD!$A$3:$A$5001,BD!$B$3:$B$5001,O$114,BD!$A$3:$A$5001,"&gt;="&amp;$C$7,BD!$A$3:$A$5001,"&lt;="&amp;$B130,BD!$K$3:$K$5001,"&lt;&gt;"))))</f>
        <v/>
      </c>
      <c r="P130" s="43" t="str">
        <f>IF(OR($B130="",$A130&gt;$B$9,P$114=""),"",IF(COUNTIFS(BD!$B$3:$B$5001,P$114,BD!$A$3:$A$5001,"&gt;="&amp;$C$7,BD!$A$3:$A$5001,"&lt;="&amp;$B130,BD!$K$3:$K$5001,"&lt;&gt;")=0,"",SUMIFS(BD!$K$3:$K$5001,BD!$B$3:$B$5001,P$114,BD!$A$3:$A$5001,_xlfn.MAXIFS(BD!$A$3:$A$5001,BD!$B$3:$B$5001,P$114,BD!$A$3:$A$5001,"&gt;="&amp;$C$7,BD!$A$3:$A$5001,"&lt;="&amp;$B130,BD!$K$3:$K$5001,"&lt;&gt;"))))</f>
        <v/>
      </c>
      <c r="Q130" s="43" t="str">
        <f>IF(OR($B130="",$A130&gt;$B$9,Q$114=""),"",IF(COUNTIFS(BD!$B$3:$B$5001,Q$114,BD!$A$3:$A$5001,"&gt;="&amp;$C$7,BD!$A$3:$A$5001,"&lt;="&amp;$B130,BD!$K$3:$K$5001,"&lt;&gt;")=0,"",SUMIFS(BD!$K$3:$K$5001,BD!$B$3:$B$5001,Q$114,BD!$A$3:$A$5001,_xlfn.MAXIFS(BD!$A$3:$A$5001,BD!$B$3:$B$5001,Q$114,BD!$A$3:$A$5001,"&gt;="&amp;$C$7,BD!$A$3:$A$5001,"&lt;="&amp;$B130,BD!$K$3:$K$5001,"&lt;&gt;"))))</f>
        <v/>
      </c>
      <c r="R130" s="43" t="str">
        <f>IF(OR($B130="",$A130&gt;$B$9,R$114=""),"",IF(COUNTIFS(BD!$B$3:$B$5001,R$114,BD!$A$3:$A$5001,"&gt;="&amp;$C$7,BD!$A$3:$A$5001,"&lt;="&amp;$B130,BD!$K$3:$K$5001,"&lt;&gt;")=0,"",SUMIFS(BD!$K$3:$K$5001,BD!$B$3:$B$5001,R$114,BD!$A$3:$A$5001,_xlfn.MAXIFS(BD!$A$3:$A$5001,BD!$B$3:$B$5001,R$114,BD!$A$3:$A$5001,"&gt;="&amp;$C$7,BD!$A$3:$A$5001,"&lt;="&amp;$B130,BD!$K$3:$K$5001,"&lt;&gt;"))))</f>
        <v/>
      </c>
      <c r="S130" s="43" t="str">
        <f>IF(OR($B130="",$A130&gt;$B$9,S$114=""),"",IF(COUNTIFS(BD!$B$3:$B$5001,S$114,BD!$A$3:$A$5001,"&gt;="&amp;$C$7,BD!$A$3:$A$5001,"&lt;="&amp;$B130,BD!$K$3:$K$5001,"&lt;&gt;")=0,"",SUMIFS(BD!$K$3:$K$5001,BD!$B$3:$B$5001,S$114,BD!$A$3:$A$5001,_xlfn.MAXIFS(BD!$A$3:$A$5001,BD!$B$3:$B$5001,S$114,BD!$A$3:$A$5001,"&gt;="&amp;$C$7,BD!$A$3:$A$5001,"&lt;="&amp;$B130,BD!$K$3:$K$5001,"&lt;&gt;"))))</f>
        <v/>
      </c>
      <c r="T130" s="43" t="str">
        <f>IF(OR($B130="",$A130&gt;$B$9,T$114=""),"",IF(COUNTIFS(BD!$B$3:$B$5001,T$114,BD!$A$3:$A$5001,"&gt;="&amp;$C$7,BD!$A$3:$A$5001,"&lt;="&amp;$B130,BD!$K$3:$K$5001,"&lt;&gt;")=0,"",SUMIFS(BD!$K$3:$K$5001,BD!$B$3:$B$5001,T$114,BD!$A$3:$A$5001,_xlfn.MAXIFS(BD!$A$3:$A$5001,BD!$B$3:$B$5001,T$114,BD!$A$3:$A$5001,"&gt;="&amp;$C$7,BD!$A$3:$A$5001,"&lt;="&amp;$B130,BD!$K$3:$K$5001,"&lt;&gt;"))))</f>
        <v/>
      </c>
      <c r="U130" s="43" t="str">
        <f>IF(OR($B130="",$A130&gt;$B$9,U$114=""),"",IF(COUNTIFS(BD!$B$3:$B$5001,U$114,BD!$A$3:$A$5001,"&gt;="&amp;$C$7,BD!$A$3:$A$5001,"&lt;="&amp;$B130,BD!$K$3:$K$5001,"&lt;&gt;")=0,"",SUMIFS(BD!$K$3:$K$5001,BD!$B$3:$B$5001,U$114,BD!$A$3:$A$5001,_xlfn.MAXIFS(BD!$A$3:$A$5001,BD!$B$3:$B$5001,U$114,BD!$A$3:$A$5001,"&gt;="&amp;$C$7,BD!$A$3:$A$5001,"&lt;="&amp;$B130,BD!$K$3:$K$5001,"&lt;&gt;"))))</f>
        <v/>
      </c>
      <c r="V130" s="43" t="str">
        <f>IF(OR($B130="",$A130&gt;$B$9,V$114=""),"",IF(COUNTIFS(BD!$B$3:$B$5001,V$114,BD!$A$3:$A$5001,"&gt;="&amp;$C$7,BD!$A$3:$A$5001,"&lt;="&amp;$B130,BD!$K$3:$K$5001,"&lt;&gt;")=0,"",SUMIFS(BD!$K$3:$K$5001,BD!$B$3:$B$5001,V$114,BD!$A$3:$A$5001,_xlfn.MAXIFS(BD!$A$3:$A$5001,BD!$B$3:$B$5001,V$114,BD!$A$3:$A$5001,"&gt;="&amp;$C$7,BD!$A$3:$A$5001,"&lt;="&amp;$B130,BD!$K$3:$K$5001,"&lt;&gt;"))))</f>
        <v/>
      </c>
    </row>
    <row r="131">
      <c r="A131" s="38">
        <v>17</v>
      </c>
      <c r="B131" s="42">
        <f>$B$28</f>
        <v>46312</v>
      </c>
      <c r="C131" s="43" t="str">
        <f>IF(OR($B131="",$A131&gt;$B$9,C$114=""),"",IF(COUNTIFS(BD!$B$3:$B$5001,C$114,BD!$A$3:$A$5001,"&gt;="&amp;$C$7,BD!$A$3:$A$5001,"&lt;="&amp;$B131,BD!$K$3:$K$5001,"&lt;&gt;")=0,"",SUMIFS(BD!$K$3:$K$5001,BD!$B$3:$B$5001,C$114,BD!$A$3:$A$5001,_xlfn.MAXIFS(BD!$A$3:$A$5001,BD!$B$3:$B$5001,C$114,BD!$A$3:$A$5001,"&gt;="&amp;$C$7,BD!$A$3:$A$5001,"&lt;="&amp;$B131,BD!$K$3:$K$5001,"&lt;&gt;"))))</f>
        <v/>
      </c>
      <c r="D131" s="43" t="str">
        <f>IF(OR($B131="",$A131&gt;$B$9,D$114=""),"",IF(COUNTIFS(BD!$B$3:$B$5001,D$114,BD!$A$3:$A$5001,"&gt;="&amp;$C$7,BD!$A$3:$A$5001,"&lt;="&amp;$B131,BD!$K$3:$K$5001,"&lt;&gt;")=0,"",SUMIFS(BD!$K$3:$K$5001,BD!$B$3:$B$5001,D$114,BD!$A$3:$A$5001,_xlfn.MAXIFS(BD!$A$3:$A$5001,BD!$B$3:$B$5001,D$114,BD!$A$3:$A$5001,"&gt;="&amp;$C$7,BD!$A$3:$A$5001,"&lt;="&amp;$B131,BD!$K$3:$K$5001,"&lt;&gt;"))))</f>
        <v/>
      </c>
      <c r="E131" s="43" t="str">
        <f>IF(OR($B131="",$A131&gt;$B$9,E$114=""),"",IF(COUNTIFS(BD!$B$3:$B$5001,E$114,BD!$A$3:$A$5001,"&gt;="&amp;$C$7,BD!$A$3:$A$5001,"&lt;="&amp;$B131,BD!$K$3:$K$5001,"&lt;&gt;")=0,"",SUMIFS(BD!$K$3:$K$5001,BD!$B$3:$B$5001,E$114,BD!$A$3:$A$5001,_xlfn.MAXIFS(BD!$A$3:$A$5001,BD!$B$3:$B$5001,E$114,BD!$A$3:$A$5001,"&gt;="&amp;$C$7,BD!$A$3:$A$5001,"&lt;="&amp;$B131,BD!$K$3:$K$5001,"&lt;&gt;"))))</f>
        <v/>
      </c>
      <c r="F131" s="43" t="str">
        <f>IF(OR($B131="",$A131&gt;$B$9,F$114=""),"",IF(COUNTIFS(BD!$B$3:$B$5001,F$114,BD!$A$3:$A$5001,"&gt;="&amp;$C$7,BD!$A$3:$A$5001,"&lt;="&amp;$B131,BD!$K$3:$K$5001,"&lt;&gt;")=0,"",SUMIFS(BD!$K$3:$K$5001,BD!$B$3:$B$5001,F$114,BD!$A$3:$A$5001,_xlfn.MAXIFS(BD!$A$3:$A$5001,BD!$B$3:$B$5001,F$114,BD!$A$3:$A$5001,"&gt;="&amp;$C$7,BD!$A$3:$A$5001,"&lt;="&amp;$B131,BD!$K$3:$K$5001,"&lt;&gt;"))))</f>
        <v/>
      </c>
      <c r="G131" s="43" t="str">
        <f>IF(OR($B131="",$A131&gt;$B$9,G$114=""),"",IF(COUNTIFS(BD!$B$3:$B$5001,G$114,BD!$A$3:$A$5001,"&gt;="&amp;$C$7,BD!$A$3:$A$5001,"&lt;="&amp;$B131,BD!$K$3:$K$5001,"&lt;&gt;")=0,"",SUMIFS(BD!$K$3:$K$5001,BD!$B$3:$B$5001,G$114,BD!$A$3:$A$5001,_xlfn.MAXIFS(BD!$A$3:$A$5001,BD!$B$3:$B$5001,G$114,BD!$A$3:$A$5001,"&gt;="&amp;$C$7,BD!$A$3:$A$5001,"&lt;="&amp;$B131,BD!$K$3:$K$5001,"&lt;&gt;"))))</f>
        <v/>
      </c>
      <c r="H131" s="43" t="str">
        <f>IF(OR($B131="",$A131&gt;$B$9,H$114=""),"",IF(COUNTIFS(BD!$B$3:$B$5001,H$114,BD!$A$3:$A$5001,"&gt;="&amp;$C$7,BD!$A$3:$A$5001,"&lt;="&amp;$B131,BD!$K$3:$K$5001,"&lt;&gt;")=0,"",SUMIFS(BD!$K$3:$K$5001,BD!$B$3:$B$5001,H$114,BD!$A$3:$A$5001,_xlfn.MAXIFS(BD!$A$3:$A$5001,BD!$B$3:$B$5001,H$114,BD!$A$3:$A$5001,"&gt;="&amp;$C$7,BD!$A$3:$A$5001,"&lt;="&amp;$B131,BD!$K$3:$K$5001,"&lt;&gt;"))))</f>
        <v/>
      </c>
      <c r="I131" s="43" t="str">
        <f>IF(OR($B131="",$A131&gt;$B$9,I$114=""),"",IF(COUNTIFS(BD!$B$3:$B$5001,I$114,BD!$A$3:$A$5001,"&gt;="&amp;$C$7,BD!$A$3:$A$5001,"&lt;="&amp;$B131,BD!$K$3:$K$5001,"&lt;&gt;")=0,"",SUMIFS(BD!$K$3:$K$5001,BD!$B$3:$B$5001,I$114,BD!$A$3:$A$5001,_xlfn.MAXIFS(BD!$A$3:$A$5001,BD!$B$3:$B$5001,I$114,BD!$A$3:$A$5001,"&gt;="&amp;$C$7,BD!$A$3:$A$5001,"&lt;="&amp;$B131,BD!$K$3:$K$5001,"&lt;&gt;"))))</f>
        <v/>
      </c>
      <c r="J131" s="43" t="str">
        <f>IF(OR($B131="",$A131&gt;$B$9,J$114=""),"",IF(COUNTIFS(BD!$B$3:$B$5001,J$114,BD!$A$3:$A$5001,"&gt;="&amp;$C$7,BD!$A$3:$A$5001,"&lt;="&amp;$B131,BD!$K$3:$K$5001,"&lt;&gt;")=0,"",SUMIFS(BD!$K$3:$K$5001,BD!$B$3:$B$5001,J$114,BD!$A$3:$A$5001,_xlfn.MAXIFS(BD!$A$3:$A$5001,BD!$B$3:$B$5001,J$114,BD!$A$3:$A$5001,"&gt;="&amp;$C$7,BD!$A$3:$A$5001,"&lt;="&amp;$B131,BD!$K$3:$K$5001,"&lt;&gt;"))))</f>
        <v/>
      </c>
      <c r="K131" s="43" t="str">
        <f>IF(OR($B131="",$A131&gt;$B$9,K$114=""),"",IF(COUNTIFS(BD!$B$3:$B$5001,K$114,BD!$A$3:$A$5001,"&gt;="&amp;$C$7,BD!$A$3:$A$5001,"&lt;="&amp;$B131,BD!$K$3:$K$5001,"&lt;&gt;")=0,"",SUMIFS(BD!$K$3:$K$5001,BD!$B$3:$B$5001,K$114,BD!$A$3:$A$5001,_xlfn.MAXIFS(BD!$A$3:$A$5001,BD!$B$3:$B$5001,K$114,BD!$A$3:$A$5001,"&gt;="&amp;$C$7,BD!$A$3:$A$5001,"&lt;="&amp;$B131,BD!$K$3:$K$5001,"&lt;&gt;"))))</f>
        <v/>
      </c>
      <c r="L131" s="43" t="str">
        <f>IF(OR($B131="",$A131&gt;$B$9,L$114=""),"",IF(COUNTIFS(BD!$B$3:$B$5001,L$114,BD!$A$3:$A$5001,"&gt;="&amp;$C$7,BD!$A$3:$A$5001,"&lt;="&amp;$B131,BD!$K$3:$K$5001,"&lt;&gt;")=0,"",SUMIFS(BD!$K$3:$K$5001,BD!$B$3:$B$5001,L$114,BD!$A$3:$A$5001,_xlfn.MAXIFS(BD!$A$3:$A$5001,BD!$B$3:$B$5001,L$114,BD!$A$3:$A$5001,"&gt;="&amp;$C$7,BD!$A$3:$A$5001,"&lt;="&amp;$B131,BD!$K$3:$K$5001,"&lt;&gt;"))))</f>
        <v/>
      </c>
      <c r="M131" s="43" t="str">
        <f>IF(OR($B131="",$A131&gt;$B$9,M$114=""),"",IF(COUNTIFS(BD!$B$3:$B$5001,M$114,BD!$A$3:$A$5001,"&gt;="&amp;$C$7,BD!$A$3:$A$5001,"&lt;="&amp;$B131,BD!$K$3:$K$5001,"&lt;&gt;")=0,"",SUMIFS(BD!$K$3:$K$5001,BD!$B$3:$B$5001,M$114,BD!$A$3:$A$5001,_xlfn.MAXIFS(BD!$A$3:$A$5001,BD!$B$3:$B$5001,M$114,BD!$A$3:$A$5001,"&gt;="&amp;$C$7,BD!$A$3:$A$5001,"&lt;="&amp;$B131,BD!$K$3:$K$5001,"&lt;&gt;"))))</f>
        <v/>
      </c>
      <c r="N131" s="43" t="str">
        <f>IF(OR($B131="",$A131&gt;$B$9,N$114=""),"",IF(COUNTIFS(BD!$B$3:$B$5001,N$114,BD!$A$3:$A$5001,"&gt;="&amp;$C$7,BD!$A$3:$A$5001,"&lt;="&amp;$B131,BD!$K$3:$K$5001,"&lt;&gt;")=0,"",SUMIFS(BD!$K$3:$K$5001,BD!$B$3:$B$5001,N$114,BD!$A$3:$A$5001,_xlfn.MAXIFS(BD!$A$3:$A$5001,BD!$B$3:$B$5001,N$114,BD!$A$3:$A$5001,"&gt;="&amp;$C$7,BD!$A$3:$A$5001,"&lt;="&amp;$B131,BD!$K$3:$K$5001,"&lt;&gt;"))))</f>
        <v/>
      </c>
      <c r="O131" s="43" t="str">
        <f>IF(OR($B131="",$A131&gt;$B$9,O$114=""),"",IF(COUNTIFS(BD!$B$3:$B$5001,O$114,BD!$A$3:$A$5001,"&gt;="&amp;$C$7,BD!$A$3:$A$5001,"&lt;="&amp;$B131,BD!$K$3:$K$5001,"&lt;&gt;")=0,"",SUMIFS(BD!$K$3:$K$5001,BD!$B$3:$B$5001,O$114,BD!$A$3:$A$5001,_xlfn.MAXIFS(BD!$A$3:$A$5001,BD!$B$3:$B$5001,O$114,BD!$A$3:$A$5001,"&gt;="&amp;$C$7,BD!$A$3:$A$5001,"&lt;="&amp;$B131,BD!$K$3:$K$5001,"&lt;&gt;"))))</f>
        <v/>
      </c>
      <c r="P131" s="43" t="str">
        <f>IF(OR($B131="",$A131&gt;$B$9,P$114=""),"",IF(COUNTIFS(BD!$B$3:$B$5001,P$114,BD!$A$3:$A$5001,"&gt;="&amp;$C$7,BD!$A$3:$A$5001,"&lt;="&amp;$B131,BD!$K$3:$K$5001,"&lt;&gt;")=0,"",SUMIFS(BD!$K$3:$K$5001,BD!$B$3:$B$5001,P$114,BD!$A$3:$A$5001,_xlfn.MAXIFS(BD!$A$3:$A$5001,BD!$B$3:$B$5001,P$114,BD!$A$3:$A$5001,"&gt;="&amp;$C$7,BD!$A$3:$A$5001,"&lt;="&amp;$B131,BD!$K$3:$K$5001,"&lt;&gt;"))))</f>
        <v/>
      </c>
      <c r="Q131" s="43" t="str">
        <f>IF(OR($B131="",$A131&gt;$B$9,Q$114=""),"",IF(COUNTIFS(BD!$B$3:$B$5001,Q$114,BD!$A$3:$A$5001,"&gt;="&amp;$C$7,BD!$A$3:$A$5001,"&lt;="&amp;$B131,BD!$K$3:$K$5001,"&lt;&gt;")=0,"",SUMIFS(BD!$K$3:$K$5001,BD!$B$3:$B$5001,Q$114,BD!$A$3:$A$5001,_xlfn.MAXIFS(BD!$A$3:$A$5001,BD!$B$3:$B$5001,Q$114,BD!$A$3:$A$5001,"&gt;="&amp;$C$7,BD!$A$3:$A$5001,"&lt;="&amp;$B131,BD!$K$3:$K$5001,"&lt;&gt;"))))</f>
        <v/>
      </c>
      <c r="R131" s="43" t="str">
        <f>IF(OR($B131="",$A131&gt;$B$9,R$114=""),"",IF(COUNTIFS(BD!$B$3:$B$5001,R$114,BD!$A$3:$A$5001,"&gt;="&amp;$C$7,BD!$A$3:$A$5001,"&lt;="&amp;$B131,BD!$K$3:$K$5001,"&lt;&gt;")=0,"",SUMIFS(BD!$K$3:$K$5001,BD!$B$3:$B$5001,R$114,BD!$A$3:$A$5001,_xlfn.MAXIFS(BD!$A$3:$A$5001,BD!$B$3:$B$5001,R$114,BD!$A$3:$A$5001,"&gt;="&amp;$C$7,BD!$A$3:$A$5001,"&lt;="&amp;$B131,BD!$K$3:$K$5001,"&lt;&gt;"))))</f>
        <v/>
      </c>
      <c r="S131" s="43" t="str">
        <f>IF(OR($B131="",$A131&gt;$B$9,S$114=""),"",IF(COUNTIFS(BD!$B$3:$B$5001,S$114,BD!$A$3:$A$5001,"&gt;="&amp;$C$7,BD!$A$3:$A$5001,"&lt;="&amp;$B131,BD!$K$3:$K$5001,"&lt;&gt;")=0,"",SUMIFS(BD!$K$3:$K$5001,BD!$B$3:$B$5001,S$114,BD!$A$3:$A$5001,_xlfn.MAXIFS(BD!$A$3:$A$5001,BD!$B$3:$B$5001,S$114,BD!$A$3:$A$5001,"&gt;="&amp;$C$7,BD!$A$3:$A$5001,"&lt;="&amp;$B131,BD!$K$3:$K$5001,"&lt;&gt;"))))</f>
        <v/>
      </c>
      <c r="T131" s="43" t="str">
        <f>IF(OR($B131="",$A131&gt;$B$9,T$114=""),"",IF(COUNTIFS(BD!$B$3:$B$5001,T$114,BD!$A$3:$A$5001,"&gt;="&amp;$C$7,BD!$A$3:$A$5001,"&lt;="&amp;$B131,BD!$K$3:$K$5001,"&lt;&gt;")=0,"",SUMIFS(BD!$K$3:$K$5001,BD!$B$3:$B$5001,T$114,BD!$A$3:$A$5001,_xlfn.MAXIFS(BD!$A$3:$A$5001,BD!$B$3:$B$5001,T$114,BD!$A$3:$A$5001,"&gt;="&amp;$C$7,BD!$A$3:$A$5001,"&lt;="&amp;$B131,BD!$K$3:$K$5001,"&lt;&gt;"))))</f>
        <v/>
      </c>
      <c r="U131" s="43" t="str">
        <f>IF(OR($B131="",$A131&gt;$B$9,U$114=""),"",IF(COUNTIFS(BD!$B$3:$B$5001,U$114,BD!$A$3:$A$5001,"&gt;="&amp;$C$7,BD!$A$3:$A$5001,"&lt;="&amp;$B131,BD!$K$3:$K$5001,"&lt;&gt;")=0,"",SUMIFS(BD!$K$3:$K$5001,BD!$B$3:$B$5001,U$114,BD!$A$3:$A$5001,_xlfn.MAXIFS(BD!$A$3:$A$5001,BD!$B$3:$B$5001,U$114,BD!$A$3:$A$5001,"&gt;="&amp;$C$7,BD!$A$3:$A$5001,"&lt;="&amp;$B131,BD!$K$3:$K$5001,"&lt;&gt;"))))</f>
        <v/>
      </c>
      <c r="V131" s="43" t="str">
        <f>IF(OR($B131="",$A131&gt;$B$9,V$114=""),"",IF(COUNTIFS(BD!$B$3:$B$5001,V$114,BD!$A$3:$A$5001,"&gt;="&amp;$C$7,BD!$A$3:$A$5001,"&lt;="&amp;$B131,BD!$K$3:$K$5001,"&lt;&gt;")=0,"",SUMIFS(BD!$K$3:$K$5001,BD!$B$3:$B$5001,V$114,BD!$A$3:$A$5001,_xlfn.MAXIFS(BD!$A$3:$A$5001,BD!$B$3:$B$5001,V$114,BD!$A$3:$A$5001,"&gt;="&amp;$C$7,BD!$A$3:$A$5001,"&lt;="&amp;$B131,BD!$K$3:$K$5001,"&lt;&gt;"))))</f>
        <v/>
      </c>
    </row>
    <row r="132">
      <c r="A132" s="38">
        <v>18</v>
      </c>
      <c r="B132" s="42">
        <f>$B$29</f>
        <v>46313</v>
      </c>
      <c r="C132" s="43" t="str">
        <f>IF(OR($B132="",$A132&gt;$B$9,C$114=""),"",IF(COUNTIFS(BD!$B$3:$B$5001,C$114,BD!$A$3:$A$5001,"&gt;="&amp;$C$7,BD!$A$3:$A$5001,"&lt;="&amp;$B132,BD!$K$3:$K$5001,"&lt;&gt;")=0,"",SUMIFS(BD!$K$3:$K$5001,BD!$B$3:$B$5001,C$114,BD!$A$3:$A$5001,_xlfn.MAXIFS(BD!$A$3:$A$5001,BD!$B$3:$B$5001,C$114,BD!$A$3:$A$5001,"&gt;="&amp;$C$7,BD!$A$3:$A$5001,"&lt;="&amp;$B132,BD!$K$3:$K$5001,"&lt;&gt;"))))</f>
        <v/>
      </c>
      <c r="D132" s="43" t="str">
        <f>IF(OR($B132="",$A132&gt;$B$9,D$114=""),"",IF(COUNTIFS(BD!$B$3:$B$5001,D$114,BD!$A$3:$A$5001,"&gt;="&amp;$C$7,BD!$A$3:$A$5001,"&lt;="&amp;$B132,BD!$K$3:$K$5001,"&lt;&gt;")=0,"",SUMIFS(BD!$K$3:$K$5001,BD!$B$3:$B$5001,D$114,BD!$A$3:$A$5001,_xlfn.MAXIFS(BD!$A$3:$A$5001,BD!$B$3:$B$5001,D$114,BD!$A$3:$A$5001,"&gt;="&amp;$C$7,BD!$A$3:$A$5001,"&lt;="&amp;$B132,BD!$K$3:$K$5001,"&lt;&gt;"))))</f>
        <v/>
      </c>
      <c r="E132" s="43" t="str">
        <f>IF(OR($B132="",$A132&gt;$B$9,E$114=""),"",IF(COUNTIFS(BD!$B$3:$B$5001,E$114,BD!$A$3:$A$5001,"&gt;="&amp;$C$7,BD!$A$3:$A$5001,"&lt;="&amp;$B132,BD!$K$3:$K$5001,"&lt;&gt;")=0,"",SUMIFS(BD!$K$3:$K$5001,BD!$B$3:$B$5001,E$114,BD!$A$3:$A$5001,_xlfn.MAXIFS(BD!$A$3:$A$5001,BD!$B$3:$B$5001,E$114,BD!$A$3:$A$5001,"&gt;="&amp;$C$7,BD!$A$3:$A$5001,"&lt;="&amp;$B132,BD!$K$3:$K$5001,"&lt;&gt;"))))</f>
        <v/>
      </c>
      <c r="F132" s="43" t="str">
        <f>IF(OR($B132="",$A132&gt;$B$9,F$114=""),"",IF(COUNTIFS(BD!$B$3:$B$5001,F$114,BD!$A$3:$A$5001,"&gt;="&amp;$C$7,BD!$A$3:$A$5001,"&lt;="&amp;$B132,BD!$K$3:$K$5001,"&lt;&gt;")=0,"",SUMIFS(BD!$K$3:$K$5001,BD!$B$3:$B$5001,F$114,BD!$A$3:$A$5001,_xlfn.MAXIFS(BD!$A$3:$A$5001,BD!$B$3:$B$5001,F$114,BD!$A$3:$A$5001,"&gt;="&amp;$C$7,BD!$A$3:$A$5001,"&lt;="&amp;$B132,BD!$K$3:$K$5001,"&lt;&gt;"))))</f>
        <v/>
      </c>
      <c r="G132" s="43" t="str">
        <f>IF(OR($B132="",$A132&gt;$B$9,G$114=""),"",IF(COUNTIFS(BD!$B$3:$B$5001,G$114,BD!$A$3:$A$5001,"&gt;="&amp;$C$7,BD!$A$3:$A$5001,"&lt;="&amp;$B132,BD!$K$3:$K$5001,"&lt;&gt;")=0,"",SUMIFS(BD!$K$3:$K$5001,BD!$B$3:$B$5001,G$114,BD!$A$3:$A$5001,_xlfn.MAXIFS(BD!$A$3:$A$5001,BD!$B$3:$B$5001,G$114,BD!$A$3:$A$5001,"&gt;="&amp;$C$7,BD!$A$3:$A$5001,"&lt;="&amp;$B132,BD!$K$3:$K$5001,"&lt;&gt;"))))</f>
        <v/>
      </c>
      <c r="H132" s="43" t="str">
        <f>IF(OR($B132="",$A132&gt;$B$9,H$114=""),"",IF(COUNTIFS(BD!$B$3:$B$5001,H$114,BD!$A$3:$A$5001,"&gt;="&amp;$C$7,BD!$A$3:$A$5001,"&lt;="&amp;$B132,BD!$K$3:$K$5001,"&lt;&gt;")=0,"",SUMIFS(BD!$K$3:$K$5001,BD!$B$3:$B$5001,H$114,BD!$A$3:$A$5001,_xlfn.MAXIFS(BD!$A$3:$A$5001,BD!$B$3:$B$5001,H$114,BD!$A$3:$A$5001,"&gt;="&amp;$C$7,BD!$A$3:$A$5001,"&lt;="&amp;$B132,BD!$K$3:$K$5001,"&lt;&gt;"))))</f>
        <v/>
      </c>
      <c r="I132" s="43" t="str">
        <f>IF(OR($B132="",$A132&gt;$B$9,I$114=""),"",IF(COUNTIFS(BD!$B$3:$B$5001,I$114,BD!$A$3:$A$5001,"&gt;="&amp;$C$7,BD!$A$3:$A$5001,"&lt;="&amp;$B132,BD!$K$3:$K$5001,"&lt;&gt;")=0,"",SUMIFS(BD!$K$3:$K$5001,BD!$B$3:$B$5001,I$114,BD!$A$3:$A$5001,_xlfn.MAXIFS(BD!$A$3:$A$5001,BD!$B$3:$B$5001,I$114,BD!$A$3:$A$5001,"&gt;="&amp;$C$7,BD!$A$3:$A$5001,"&lt;="&amp;$B132,BD!$K$3:$K$5001,"&lt;&gt;"))))</f>
        <v/>
      </c>
      <c r="J132" s="43" t="str">
        <f>IF(OR($B132="",$A132&gt;$B$9,J$114=""),"",IF(COUNTIFS(BD!$B$3:$B$5001,J$114,BD!$A$3:$A$5001,"&gt;="&amp;$C$7,BD!$A$3:$A$5001,"&lt;="&amp;$B132,BD!$K$3:$K$5001,"&lt;&gt;")=0,"",SUMIFS(BD!$K$3:$K$5001,BD!$B$3:$B$5001,J$114,BD!$A$3:$A$5001,_xlfn.MAXIFS(BD!$A$3:$A$5001,BD!$B$3:$B$5001,J$114,BD!$A$3:$A$5001,"&gt;="&amp;$C$7,BD!$A$3:$A$5001,"&lt;="&amp;$B132,BD!$K$3:$K$5001,"&lt;&gt;"))))</f>
        <v/>
      </c>
      <c r="K132" s="43" t="str">
        <f>IF(OR($B132="",$A132&gt;$B$9,K$114=""),"",IF(COUNTIFS(BD!$B$3:$B$5001,K$114,BD!$A$3:$A$5001,"&gt;="&amp;$C$7,BD!$A$3:$A$5001,"&lt;="&amp;$B132,BD!$K$3:$K$5001,"&lt;&gt;")=0,"",SUMIFS(BD!$K$3:$K$5001,BD!$B$3:$B$5001,K$114,BD!$A$3:$A$5001,_xlfn.MAXIFS(BD!$A$3:$A$5001,BD!$B$3:$B$5001,K$114,BD!$A$3:$A$5001,"&gt;="&amp;$C$7,BD!$A$3:$A$5001,"&lt;="&amp;$B132,BD!$K$3:$K$5001,"&lt;&gt;"))))</f>
        <v/>
      </c>
      <c r="L132" s="43" t="str">
        <f>IF(OR($B132="",$A132&gt;$B$9,L$114=""),"",IF(COUNTIFS(BD!$B$3:$B$5001,L$114,BD!$A$3:$A$5001,"&gt;="&amp;$C$7,BD!$A$3:$A$5001,"&lt;="&amp;$B132,BD!$K$3:$K$5001,"&lt;&gt;")=0,"",SUMIFS(BD!$K$3:$K$5001,BD!$B$3:$B$5001,L$114,BD!$A$3:$A$5001,_xlfn.MAXIFS(BD!$A$3:$A$5001,BD!$B$3:$B$5001,L$114,BD!$A$3:$A$5001,"&gt;="&amp;$C$7,BD!$A$3:$A$5001,"&lt;="&amp;$B132,BD!$K$3:$K$5001,"&lt;&gt;"))))</f>
        <v/>
      </c>
      <c r="M132" s="43" t="str">
        <f>IF(OR($B132="",$A132&gt;$B$9,M$114=""),"",IF(COUNTIFS(BD!$B$3:$B$5001,M$114,BD!$A$3:$A$5001,"&gt;="&amp;$C$7,BD!$A$3:$A$5001,"&lt;="&amp;$B132,BD!$K$3:$K$5001,"&lt;&gt;")=0,"",SUMIFS(BD!$K$3:$K$5001,BD!$B$3:$B$5001,M$114,BD!$A$3:$A$5001,_xlfn.MAXIFS(BD!$A$3:$A$5001,BD!$B$3:$B$5001,M$114,BD!$A$3:$A$5001,"&gt;="&amp;$C$7,BD!$A$3:$A$5001,"&lt;="&amp;$B132,BD!$K$3:$K$5001,"&lt;&gt;"))))</f>
        <v/>
      </c>
      <c r="N132" s="43" t="str">
        <f>IF(OR($B132="",$A132&gt;$B$9,N$114=""),"",IF(COUNTIFS(BD!$B$3:$B$5001,N$114,BD!$A$3:$A$5001,"&gt;="&amp;$C$7,BD!$A$3:$A$5001,"&lt;="&amp;$B132,BD!$K$3:$K$5001,"&lt;&gt;")=0,"",SUMIFS(BD!$K$3:$K$5001,BD!$B$3:$B$5001,N$114,BD!$A$3:$A$5001,_xlfn.MAXIFS(BD!$A$3:$A$5001,BD!$B$3:$B$5001,N$114,BD!$A$3:$A$5001,"&gt;="&amp;$C$7,BD!$A$3:$A$5001,"&lt;="&amp;$B132,BD!$K$3:$K$5001,"&lt;&gt;"))))</f>
        <v/>
      </c>
      <c r="O132" s="43" t="str">
        <f>IF(OR($B132="",$A132&gt;$B$9,O$114=""),"",IF(COUNTIFS(BD!$B$3:$B$5001,O$114,BD!$A$3:$A$5001,"&gt;="&amp;$C$7,BD!$A$3:$A$5001,"&lt;="&amp;$B132,BD!$K$3:$K$5001,"&lt;&gt;")=0,"",SUMIFS(BD!$K$3:$K$5001,BD!$B$3:$B$5001,O$114,BD!$A$3:$A$5001,_xlfn.MAXIFS(BD!$A$3:$A$5001,BD!$B$3:$B$5001,O$114,BD!$A$3:$A$5001,"&gt;="&amp;$C$7,BD!$A$3:$A$5001,"&lt;="&amp;$B132,BD!$K$3:$K$5001,"&lt;&gt;"))))</f>
        <v/>
      </c>
      <c r="P132" s="43" t="str">
        <f>IF(OR($B132="",$A132&gt;$B$9,P$114=""),"",IF(COUNTIFS(BD!$B$3:$B$5001,P$114,BD!$A$3:$A$5001,"&gt;="&amp;$C$7,BD!$A$3:$A$5001,"&lt;="&amp;$B132,BD!$K$3:$K$5001,"&lt;&gt;")=0,"",SUMIFS(BD!$K$3:$K$5001,BD!$B$3:$B$5001,P$114,BD!$A$3:$A$5001,_xlfn.MAXIFS(BD!$A$3:$A$5001,BD!$B$3:$B$5001,P$114,BD!$A$3:$A$5001,"&gt;="&amp;$C$7,BD!$A$3:$A$5001,"&lt;="&amp;$B132,BD!$K$3:$K$5001,"&lt;&gt;"))))</f>
        <v/>
      </c>
      <c r="Q132" s="43" t="str">
        <f>IF(OR($B132="",$A132&gt;$B$9,Q$114=""),"",IF(COUNTIFS(BD!$B$3:$B$5001,Q$114,BD!$A$3:$A$5001,"&gt;="&amp;$C$7,BD!$A$3:$A$5001,"&lt;="&amp;$B132,BD!$K$3:$K$5001,"&lt;&gt;")=0,"",SUMIFS(BD!$K$3:$K$5001,BD!$B$3:$B$5001,Q$114,BD!$A$3:$A$5001,_xlfn.MAXIFS(BD!$A$3:$A$5001,BD!$B$3:$B$5001,Q$114,BD!$A$3:$A$5001,"&gt;="&amp;$C$7,BD!$A$3:$A$5001,"&lt;="&amp;$B132,BD!$K$3:$K$5001,"&lt;&gt;"))))</f>
        <v/>
      </c>
      <c r="R132" s="43" t="str">
        <f>IF(OR($B132="",$A132&gt;$B$9,R$114=""),"",IF(COUNTIFS(BD!$B$3:$B$5001,R$114,BD!$A$3:$A$5001,"&gt;="&amp;$C$7,BD!$A$3:$A$5001,"&lt;="&amp;$B132,BD!$K$3:$K$5001,"&lt;&gt;")=0,"",SUMIFS(BD!$K$3:$K$5001,BD!$B$3:$B$5001,R$114,BD!$A$3:$A$5001,_xlfn.MAXIFS(BD!$A$3:$A$5001,BD!$B$3:$B$5001,R$114,BD!$A$3:$A$5001,"&gt;="&amp;$C$7,BD!$A$3:$A$5001,"&lt;="&amp;$B132,BD!$K$3:$K$5001,"&lt;&gt;"))))</f>
        <v/>
      </c>
      <c r="S132" s="43" t="str">
        <f>IF(OR($B132="",$A132&gt;$B$9,S$114=""),"",IF(COUNTIFS(BD!$B$3:$B$5001,S$114,BD!$A$3:$A$5001,"&gt;="&amp;$C$7,BD!$A$3:$A$5001,"&lt;="&amp;$B132,BD!$K$3:$K$5001,"&lt;&gt;")=0,"",SUMIFS(BD!$K$3:$K$5001,BD!$B$3:$B$5001,S$114,BD!$A$3:$A$5001,_xlfn.MAXIFS(BD!$A$3:$A$5001,BD!$B$3:$B$5001,S$114,BD!$A$3:$A$5001,"&gt;="&amp;$C$7,BD!$A$3:$A$5001,"&lt;="&amp;$B132,BD!$K$3:$K$5001,"&lt;&gt;"))))</f>
        <v/>
      </c>
      <c r="T132" s="43" t="str">
        <f>IF(OR($B132="",$A132&gt;$B$9,T$114=""),"",IF(COUNTIFS(BD!$B$3:$B$5001,T$114,BD!$A$3:$A$5001,"&gt;="&amp;$C$7,BD!$A$3:$A$5001,"&lt;="&amp;$B132,BD!$K$3:$K$5001,"&lt;&gt;")=0,"",SUMIFS(BD!$K$3:$K$5001,BD!$B$3:$B$5001,T$114,BD!$A$3:$A$5001,_xlfn.MAXIFS(BD!$A$3:$A$5001,BD!$B$3:$B$5001,T$114,BD!$A$3:$A$5001,"&gt;="&amp;$C$7,BD!$A$3:$A$5001,"&lt;="&amp;$B132,BD!$K$3:$K$5001,"&lt;&gt;"))))</f>
        <v/>
      </c>
      <c r="U132" s="43" t="str">
        <f>IF(OR($B132="",$A132&gt;$B$9,U$114=""),"",IF(COUNTIFS(BD!$B$3:$B$5001,U$114,BD!$A$3:$A$5001,"&gt;="&amp;$C$7,BD!$A$3:$A$5001,"&lt;="&amp;$B132,BD!$K$3:$K$5001,"&lt;&gt;")=0,"",SUMIFS(BD!$K$3:$K$5001,BD!$B$3:$B$5001,U$114,BD!$A$3:$A$5001,_xlfn.MAXIFS(BD!$A$3:$A$5001,BD!$B$3:$B$5001,U$114,BD!$A$3:$A$5001,"&gt;="&amp;$C$7,BD!$A$3:$A$5001,"&lt;="&amp;$B132,BD!$K$3:$K$5001,"&lt;&gt;"))))</f>
        <v/>
      </c>
      <c r="V132" s="43" t="str">
        <f>IF(OR($B132="",$A132&gt;$B$9,V$114=""),"",IF(COUNTIFS(BD!$B$3:$B$5001,V$114,BD!$A$3:$A$5001,"&gt;="&amp;$C$7,BD!$A$3:$A$5001,"&lt;="&amp;$B132,BD!$K$3:$K$5001,"&lt;&gt;")=0,"",SUMIFS(BD!$K$3:$K$5001,BD!$B$3:$B$5001,V$114,BD!$A$3:$A$5001,_xlfn.MAXIFS(BD!$A$3:$A$5001,BD!$B$3:$B$5001,V$114,BD!$A$3:$A$5001,"&gt;="&amp;$C$7,BD!$A$3:$A$5001,"&lt;="&amp;$B132,BD!$K$3:$K$5001,"&lt;&gt;"))))</f>
        <v/>
      </c>
    </row>
    <row r="133">
      <c r="A133" s="38">
        <v>19</v>
      </c>
      <c r="B133" s="42">
        <f>$B$30</f>
        <v>46314</v>
      </c>
      <c r="C133" s="43" t="str">
        <f>IF(OR($B133="",$A133&gt;$B$9,C$114=""),"",IF(COUNTIFS(BD!$B$3:$B$5001,C$114,BD!$A$3:$A$5001,"&gt;="&amp;$C$7,BD!$A$3:$A$5001,"&lt;="&amp;$B133,BD!$K$3:$K$5001,"&lt;&gt;")=0,"",SUMIFS(BD!$K$3:$K$5001,BD!$B$3:$B$5001,C$114,BD!$A$3:$A$5001,_xlfn.MAXIFS(BD!$A$3:$A$5001,BD!$B$3:$B$5001,C$114,BD!$A$3:$A$5001,"&gt;="&amp;$C$7,BD!$A$3:$A$5001,"&lt;="&amp;$B133,BD!$K$3:$K$5001,"&lt;&gt;"))))</f>
        <v/>
      </c>
      <c r="D133" s="43" t="str">
        <f>IF(OR($B133="",$A133&gt;$B$9,D$114=""),"",IF(COUNTIFS(BD!$B$3:$B$5001,D$114,BD!$A$3:$A$5001,"&gt;="&amp;$C$7,BD!$A$3:$A$5001,"&lt;="&amp;$B133,BD!$K$3:$K$5001,"&lt;&gt;")=0,"",SUMIFS(BD!$K$3:$K$5001,BD!$B$3:$B$5001,D$114,BD!$A$3:$A$5001,_xlfn.MAXIFS(BD!$A$3:$A$5001,BD!$B$3:$B$5001,D$114,BD!$A$3:$A$5001,"&gt;="&amp;$C$7,BD!$A$3:$A$5001,"&lt;="&amp;$B133,BD!$K$3:$K$5001,"&lt;&gt;"))))</f>
        <v/>
      </c>
      <c r="E133" s="43" t="str">
        <f>IF(OR($B133="",$A133&gt;$B$9,E$114=""),"",IF(COUNTIFS(BD!$B$3:$B$5001,E$114,BD!$A$3:$A$5001,"&gt;="&amp;$C$7,BD!$A$3:$A$5001,"&lt;="&amp;$B133,BD!$K$3:$K$5001,"&lt;&gt;")=0,"",SUMIFS(BD!$K$3:$K$5001,BD!$B$3:$B$5001,E$114,BD!$A$3:$A$5001,_xlfn.MAXIFS(BD!$A$3:$A$5001,BD!$B$3:$B$5001,E$114,BD!$A$3:$A$5001,"&gt;="&amp;$C$7,BD!$A$3:$A$5001,"&lt;="&amp;$B133,BD!$K$3:$K$5001,"&lt;&gt;"))))</f>
        <v/>
      </c>
      <c r="F133" s="43" t="str">
        <f>IF(OR($B133="",$A133&gt;$B$9,F$114=""),"",IF(COUNTIFS(BD!$B$3:$B$5001,F$114,BD!$A$3:$A$5001,"&gt;="&amp;$C$7,BD!$A$3:$A$5001,"&lt;="&amp;$B133,BD!$K$3:$K$5001,"&lt;&gt;")=0,"",SUMIFS(BD!$K$3:$K$5001,BD!$B$3:$B$5001,F$114,BD!$A$3:$A$5001,_xlfn.MAXIFS(BD!$A$3:$A$5001,BD!$B$3:$B$5001,F$114,BD!$A$3:$A$5001,"&gt;="&amp;$C$7,BD!$A$3:$A$5001,"&lt;="&amp;$B133,BD!$K$3:$K$5001,"&lt;&gt;"))))</f>
        <v/>
      </c>
      <c r="G133" s="43" t="str">
        <f>IF(OR($B133="",$A133&gt;$B$9,G$114=""),"",IF(COUNTIFS(BD!$B$3:$B$5001,G$114,BD!$A$3:$A$5001,"&gt;="&amp;$C$7,BD!$A$3:$A$5001,"&lt;="&amp;$B133,BD!$K$3:$K$5001,"&lt;&gt;")=0,"",SUMIFS(BD!$K$3:$K$5001,BD!$B$3:$B$5001,G$114,BD!$A$3:$A$5001,_xlfn.MAXIFS(BD!$A$3:$A$5001,BD!$B$3:$B$5001,G$114,BD!$A$3:$A$5001,"&gt;="&amp;$C$7,BD!$A$3:$A$5001,"&lt;="&amp;$B133,BD!$K$3:$K$5001,"&lt;&gt;"))))</f>
        <v/>
      </c>
      <c r="H133" s="43" t="str">
        <f>IF(OR($B133="",$A133&gt;$B$9,H$114=""),"",IF(COUNTIFS(BD!$B$3:$B$5001,H$114,BD!$A$3:$A$5001,"&gt;="&amp;$C$7,BD!$A$3:$A$5001,"&lt;="&amp;$B133,BD!$K$3:$K$5001,"&lt;&gt;")=0,"",SUMIFS(BD!$K$3:$K$5001,BD!$B$3:$B$5001,H$114,BD!$A$3:$A$5001,_xlfn.MAXIFS(BD!$A$3:$A$5001,BD!$B$3:$B$5001,H$114,BD!$A$3:$A$5001,"&gt;="&amp;$C$7,BD!$A$3:$A$5001,"&lt;="&amp;$B133,BD!$K$3:$K$5001,"&lt;&gt;"))))</f>
        <v/>
      </c>
      <c r="I133" s="43" t="str">
        <f>IF(OR($B133="",$A133&gt;$B$9,I$114=""),"",IF(COUNTIFS(BD!$B$3:$B$5001,I$114,BD!$A$3:$A$5001,"&gt;="&amp;$C$7,BD!$A$3:$A$5001,"&lt;="&amp;$B133,BD!$K$3:$K$5001,"&lt;&gt;")=0,"",SUMIFS(BD!$K$3:$K$5001,BD!$B$3:$B$5001,I$114,BD!$A$3:$A$5001,_xlfn.MAXIFS(BD!$A$3:$A$5001,BD!$B$3:$B$5001,I$114,BD!$A$3:$A$5001,"&gt;="&amp;$C$7,BD!$A$3:$A$5001,"&lt;="&amp;$B133,BD!$K$3:$K$5001,"&lt;&gt;"))))</f>
        <v/>
      </c>
      <c r="J133" s="43" t="str">
        <f>IF(OR($B133="",$A133&gt;$B$9,J$114=""),"",IF(COUNTIFS(BD!$B$3:$B$5001,J$114,BD!$A$3:$A$5001,"&gt;="&amp;$C$7,BD!$A$3:$A$5001,"&lt;="&amp;$B133,BD!$K$3:$K$5001,"&lt;&gt;")=0,"",SUMIFS(BD!$K$3:$K$5001,BD!$B$3:$B$5001,J$114,BD!$A$3:$A$5001,_xlfn.MAXIFS(BD!$A$3:$A$5001,BD!$B$3:$B$5001,J$114,BD!$A$3:$A$5001,"&gt;="&amp;$C$7,BD!$A$3:$A$5001,"&lt;="&amp;$B133,BD!$K$3:$K$5001,"&lt;&gt;"))))</f>
        <v/>
      </c>
      <c r="K133" s="43" t="str">
        <f>IF(OR($B133="",$A133&gt;$B$9,K$114=""),"",IF(COUNTIFS(BD!$B$3:$B$5001,K$114,BD!$A$3:$A$5001,"&gt;="&amp;$C$7,BD!$A$3:$A$5001,"&lt;="&amp;$B133,BD!$K$3:$K$5001,"&lt;&gt;")=0,"",SUMIFS(BD!$K$3:$K$5001,BD!$B$3:$B$5001,K$114,BD!$A$3:$A$5001,_xlfn.MAXIFS(BD!$A$3:$A$5001,BD!$B$3:$B$5001,K$114,BD!$A$3:$A$5001,"&gt;="&amp;$C$7,BD!$A$3:$A$5001,"&lt;="&amp;$B133,BD!$K$3:$K$5001,"&lt;&gt;"))))</f>
        <v/>
      </c>
      <c r="L133" s="43" t="str">
        <f>IF(OR($B133="",$A133&gt;$B$9,L$114=""),"",IF(COUNTIFS(BD!$B$3:$B$5001,L$114,BD!$A$3:$A$5001,"&gt;="&amp;$C$7,BD!$A$3:$A$5001,"&lt;="&amp;$B133,BD!$K$3:$K$5001,"&lt;&gt;")=0,"",SUMIFS(BD!$K$3:$K$5001,BD!$B$3:$B$5001,L$114,BD!$A$3:$A$5001,_xlfn.MAXIFS(BD!$A$3:$A$5001,BD!$B$3:$B$5001,L$114,BD!$A$3:$A$5001,"&gt;="&amp;$C$7,BD!$A$3:$A$5001,"&lt;="&amp;$B133,BD!$K$3:$K$5001,"&lt;&gt;"))))</f>
        <v/>
      </c>
      <c r="M133" s="43" t="str">
        <f>IF(OR($B133="",$A133&gt;$B$9,M$114=""),"",IF(COUNTIFS(BD!$B$3:$B$5001,M$114,BD!$A$3:$A$5001,"&gt;="&amp;$C$7,BD!$A$3:$A$5001,"&lt;="&amp;$B133,BD!$K$3:$K$5001,"&lt;&gt;")=0,"",SUMIFS(BD!$K$3:$K$5001,BD!$B$3:$B$5001,M$114,BD!$A$3:$A$5001,_xlfn.MAXIFS(BD!$A$3:$A$5001,BD!$B$3:$B$5001,M$114,BD!$A$3:$A$5001,"&gt;="&amp;$C$7,BD!$A$3:$A$5001,"&lt;="&amp;$B133,BD!$K$3:$K$5001,"&lt;&gt;"))))</f>
        <v/>
      </c>
      <c r="N133" s="43" t="str">
        <f>IF(OR($B133="",$A133&gt;$B$9,N$114=""),"",IF(COUNTIFS(BD!$B$3:$B$5001,N$114,BD!$A$3:$A$5001,"&gt;="&amp;$C$7,BD!$A$3:$A$5001,"&lt;="&amp;$B133,BD!$K$3:$K$5001,"&lt;&gt;")=0,"",SUMIFS(BD!$K$3:$K$5001,BD!$B$3:$B$5001,N$114,BD!$A$3:$A$5001,_xlfn.MAXIFS(BD!$A$3:$A$5001,BD!$B$3:$B$5001,N$114,BD!$A$3:$A$5001,"&gt;="&amp;$C$7,BD!$A$3:$A$5001,"&lt;="&amp;$B133,BD!$K$3:$K$5001,"&lt;&gt;"))))</f>
        <v/>
      </c>
      <c r="O133" s="43" t="str">
        <f>IF(OR($B133="",$A133&gt;$B$9,O$114=""),"",IF(COUNTIFS(BD!$B$3:$B$5001,O$114,BD!$A$3:$A$5001,"&gt;="&amp;$C$7,BD!$A$3:$A$5001,"&lt;="&amp;$B133,BD!$K$3:$K$5001,"&lt;&gt;")=0,"",SUMIFS(BD!$K$3:$K$5001,BD!$B$3:$B$5001,O$114,BD!$A$3:$A$5001,_xlfn.MAXIFS(BD!$A$3:$A$5001,BD!$B$3:$B$5001,O$114,BD!$A$3:$A$5001,"&gt;="&amp;$C$7,BD!$A$3:$A$5001,"&lt;="&amp;$B133,BD!$K$3:$K$5001,"&lt;&gt;"))))</f>
        <v/>
      </c>
      <c r="P133" s="43" t="str">
        <f>IF(OR($B133="",$A133&gt;$B$9,P$114=""),"",IF(COUNTIFS(BD!$B$3:$B$5001,P$114,BD!$A$3:$A$5001,"&gt;="&amp;$C$7,BD!$A$3:$A$5001,"&lt;="&amp;$B133,BD!$K$3:$K$5001,"&lt;&gt;")=0,"",SUMIFS(BD!$K$3:$K$5001,BD!$B$3:$B$5001,P$114,BD!$A$3:$A$5001,_xlfn.MAXIFS(BD!$A$3:$A$5001,BD!$B$3:$B$5001,P$114,BD!$A$3:$A$5001,"&gt;="&amp;$C$7,BD!$A$3:$A$5001,"&lt;="&amp;$B133,BD!$K$3:$K$5001,"&lt;&gt;"))))</f>
        <v/>
      </c>
      <c r="Q133" s="43" t="str">
        <f>IF(OR($B133="",$A133&gt;$B$9,Q$114=""),"",IF(COUNTIFS(BD!$B$3:$B$5001,Q$114,BD!$A$3:$A$5001,"&gt;="&amp;$C$7,BD!$A$3:$A$5001,"&lt;="&amp;$B133,BD!$K$3:$K$5001,"&lt;&gt;")=0,"",SUMIFS(BD!$K$3:$K$5001,BD!$B$3:$B$5001,Q$114,BD!$A$3:$A$5001,_xlfn.MAXIFS(BD!$A$3:$A$5001,BD!$B$3:$B$5001,Q$114,BD!$A$3:$A$5001,"&gt;="&amp;$C$7,BD!$A$3:$A$5001,"&lt;="&amp;$B133,BD!$K$3:$K$5001,"&lt;&gt;"))))</f>
        <v/>
      </c>
      <c r="R133" s="43" t="str">
        <f>IF(OR($B133="",$A133&gt;$B$9,R$114=""),"",IF(COUNTIFS(BD!$B$3:$B$5001,R$114,BD!$A$3:$A$5001,"&gt;="&amp;$C$7,BD!$A$3:$A$5001,"&lt;="&amp;$B133,BD!$K$3:$K$5001,"&lt;&gt;")=0,"",SUMIFS(BD!$K$3:$K$5001,BD!$B$3:$B$5001,R$114,BD!$A$3:$A$5001,_xlfn.MAXIFS(BD!$A$3:$A$5001,BD!$B$3:$B$5001,R$114,BD!$A$3:$A$5001,"&gt;="&amp;$C$7,BD!$A$3:$A$5001,"&lt;="&amp;$B133,BD!$K$3:$K$5001,"&lt;&gt;"))))</f>
        <v/>
      </c>
      <c r="S133" s="43" t="str">
        <f>IF(OR($B133="",$A133&gt;$B$9,S$114=""),"",IF(COUNTIFS(BD!$B$3:$B$5001,S$114,BD!$A$3:$A$5001,"&gt;="&amp;$C$7,BD!$A$3:$A$5001,"&lt;="&amp;$B133,BD!$K$3:$K$5001,"&lt;&gt;")=0,"",SUMIFS(BD!$K$3:$K$5001,BD!$B$3:$B$5001,S$114,BD!$A$3:$A$5001,_xlfn.MAXIFS(BD!$A$3:$A$5001,BD!$B$3:$B$5001,S$114,BD!$A$3:$A$5001,"&gt;="&amp;$C$7,BD!$A$3:$A$5001,"&lt;="&amp;$B133,BD!$K$3:$K$5001,"&lt;&gt;"))))</f>
        <v/>
      </c>
      <c r="T133" s="43" t="str">
        <f>IF(OR($B133="",$A133&gt;$B$9,T$114=""),"",IF(COUNTIFS(BD!$B$3:$B$5001,T$114,BD!$A$3:$A$5001,"&gt;="&amp;$C$7,BD!$A$3:$A$5001,"&lt;="&amp;$B133,BD!$K$3:$K$5001,"&lt;&gt;")=0,"",SUMIFS(BD!$K$3:$K$5001,BD!$B$3:$B$5001,T$114,BD!$A$3:$A$5001,_xlfn.MAXIFS(BD!$A$3:$A$5001,BD!$B$3:$B$5001,T$114,BD!$A$3:$A$5001,"&gt;="&amp;$C$7,BD!$A$3:$A$5001,"&lt;="&amp;$B133,BD!$K$3:$K$5001,"&lt;&gt;"))))</f>
        <v/>
      </c>
      <c r="U133" s="43" t="str">
        <f>IF(OR($B133="",$A133&gt;$B$9,U$114=""),"",IF(COUNTIFS(BD!$B$3:$B$5001,U$114,BD!$A$3:$A$5001,"&gt;="&amp;$C$7,BD!$A$3:$A$5001,"&lt;="&amp;$B133,BD!$K$3:$K$5001,"&lt;&gt;")=0,"",SUMIFS(BD!$K$3:$K$5001,BD!$B$3:$B$5001,U$114,BD!$A$3:$A$5001,_xlfn.MAXIFS(BD!$A$3:$A$5001,BD!$B$3:$B$5001,U$114,BD!$A$3:$A$5001,"&gt;="&amp;$C$7,BD!$A$3:$A$5001,"&lt;="&amp;$B133,BD!$K$3:$K$5001,"&lt;&gt;"))))</f>
        <v/>
      </c>
      <c r="V133" s="43" t="str">
        <f>IF(OR($B133="",$A133&gt;$B$9,V$114=""),"",IF(COUNTIFS(BD!$B$3:$B$5001,V$114,BD!$A$3:$A$5001,"&gt;="&amp;$C$7,BD!$A$3:$A$5001,"&lt;="&amp;$B133,BD!$K$3:$K$5001,"&lt;&gt;")=0,"",SUMIFS(BD!$K$3:$K$5001,BD!$B$3:$B$5001,V$114,BD!$A$3:$A$5001,_xlfn.MAXIFS(BD!$A$3:$A$5001,BD!$B$3:$B$5001,V$114,BD!$A$3:$A$5001,"&gt;="&amp;$C$7,BD!$A$3:$A$5001,"&lt;="&amp;$B133,BD!$K$3:$K$5001,"&lt;&gt;"))))</f>
        <v/>
      </c>
    </row>
    <row r="134">
      <c r="A134" s="38">
        <v>20</v>
      </c>
      <c r="B134" s="42">
        <f>$B$31</f>
        <v>46315</v>
      </c>
      <c r="C134" s="43" t="str">
        <f>IF(OR($B134="",$A134&gt;$B$9,C$114=""),"",IF(COUNTIFS(BD!$B$3:$B$5001,C$114,BD!$A$3:$A$5001,"&gt;="&amp;$C$7,BD!$A$3:$A$5001,"&lt;="&amp;$B134,BD!$K$3:$K$5001,"&lt;&gt;")=0,"",SUMIFS(BD!$K$3:$K$5001,BD!$B$3:$B$5001,C$114,BD!$A$3:$A$5001,_xlfn.MAXIFS(BD!$A$3:$A$5001,BD!$B$3:$B$5001,C$114,BD!$A$3:$A$5001,"&gt;="&amp;$C$7,BD!$A$3:$A$5001,"&lt;="&amp;$B134,BD!$K$3:$K$5001,"&lt;&gt;"))))</f>
        <v/>
      </c>
      <c r="D134" s="43" t="str">
        <f>IF(OR($B134="",$A134&gt;$B$9,D$114=""),"",IF(COUNTIFS(BD!$B$3:$B$5001,D$114,BD!$A$3:$A$5001,"&gt;="&amp;$C$7,BD!$A$3:$A$5001,"&lt;="&amp;$B134,BD!$K$3:$K$5001,"&lt;&gt;")=0,"",SUMIFS(BD!$K$3:$K$5001,BD!$B$3:$B$5001,D$114,BD!$A$3:$A$5001,_xlfn.MAXIFS(BD!$A$3:$A$5001,BD!$B$3:$B$5001,D$114,BD!$A$3:$A$5001,"&gt;="&amp;$C$7,BD!$A$3:$A$5001,"&lt;="&amp;$B134,BD!$K$3:$K$5001,"&lt;&gt;"))))</f>
        <v/>
      </c>
      <c r="E134" s="43" t="str">
        <f>IF(OR($B134="",$A134&gt;$B$9,E$114=""),"",IF(COUNTIFS(BD!$B$3:$B$5001,E$114,BD!$A$3:$A$5001,"&gt;="&amp;$C$7,BD!$A$3:$A$5001,"&lt;="&amp;$B134,BD!$K$3:$K$5001,"&lt;&gt;")=0,"",SUMIFS(BD!$K$3:$K$5001,BD!$B$3:$B$5001,E$114,BD!$A$3:$A$5001,_xlfn.MAXIFS(BD!$A$3:$A$5001,BD!$B$3:$B$5001,E$114,BD!$A$3:$A$5001,"&gt;="&amp;$C$7,BD!$A$3:$A$5001,"&lt;="&amp;$B134,BD!$K$3:$K$5001,"&lt;&gt;"))))</f>
        <v/>
      </c>
      <c r="F134" s="43" t="str">
        <f>IF(OR($B134="",$A134&gt;$B$9,F$114=""),"",IF(COUNTIFS(BD!$B$3:$B$5001,F$114,BD!$A$3:$A$5001,"&gt;="&amp;$C$7,BD!$A$3:$A$5001,"&lt;="&amp;$B134,BD!$K$3:$K$5001,"&lt;&gt;")=0,"",SUMIFS(BD!$K$3:$K$5001,BD!$B$3:$B$5001,F$114,BD!$A$3:$A$5001,_xlfn.MAXIFS(BD!$A$3:$A$5001,BD!$B$3:$B$5001,F$114,BD!$A$3:$A$5001,"&gt;="&amp;$C$7,BD!$A$3:$A$5001,"&lt;="&amp;$B134,BD!$K$3:$K$5001,"&lt;&gt;"))))</f>
        <v/>
      </c>
      <c r="G134" s="43" t="str">
        <f>IF(OR($B134="",$A134&gt;$B$9,G$114=""),"",IF(COUNTIFS(BD!$B$3:$B$5001,G$114,BD!$A$3:$A$5001,"&gt;="&amp;$C$7,BD!$A$3:$A$5001,"&lt;="&amp;$B134,BD!$K$3:$K$5001,"&lt;&gt;")=0,"",SUMIFS(BD!$K$3:$K$5001,BD!$B$3:$B$5001,G$114,BD!$A$3:$A$5001,_xlfn.MAXIFS(BD!$A$3:$A$5001,BD!$B$3:$B$5001,G$114,BD!$A$3:$A$5001,"&gt;="&amp;$C$7,BD!$A$3:$A$5001,"&lt;="&amp;$B134,BD!$K$3:$K$5001,"&lt;&gt;"))))</f>
        <v/>
      </c>
      <c r="H134" s="43" t="str">
        <f>IF(OR($B134="",$A134&gt;$B$9,H$114=""),"",IF(COUNTIFS(BD!$B$3:$B$5001,H$114,BD!$A$3:$A$5001,"&gt;="&amp;$C$7,BD!$A$3:$A$5001,"&lt;="&amp;$B134,BD!$K$3:$K$5001,"&lt;&gt;")=0,"",SUMIFS(BD!$K$3:$K$5001,BD!$B$3:$B$5001,H$114,BD!$A$3:$A$5001,_xlfn.MAXIFS(BD!$A$3:$A$5001,BD!$B$3:$B$5001,H$114,BD!$A$3:$A$5001,"&gt;="&amp;$C$7,BD!$A$3:$A$5001,"&lt;="&amp;$B134,BD!$K$3:$K$5001,"&lt;&gt;"))))</f>
        <v/>
      </c>
      <c r="I134" s="43" t="str">
        <f>IF(OR($B134="",$A134&gt;$B$9,I$114=""),"",IF(COUNTIFS(BD!$B$3:$B$5001,I$114,BD!$A$3:$A$5001,"&gt;="&amp;$C$7,BD!$A$3:$A$5001,"&lt;="&amp;$B134,BD!$K$3:$K$5001,"&lt;&gt;")=0,"",SUMIFS(BD!$K$3:$K$5001,BD!$B$3:$B$5001,I$114,BD!$A$3:$A$5001,_xlfn.MAXIFS(BD!$A$3:$A$5001,BD!$B$3:$B$5001,I$114,BD!$A$3:$A$5001,"&gt;="&amp;$C$7,BD!$A$3:$A$5001,"&lt;="&amp;$B134,BD!$K$3:$K$5001,"&lt;&gt;"))))</f>
        <v/>
      </c>
      <c r="J134" s="43" t="str">
        <f>IF(OR($B134="",$A134&gt;$B$9,J$114=""),"",IF(COUNTIFS(BD!$B$3:$B$5001,J$114,BD!$A$3:$A$5001,"&gt;="&amp;$C$7,BD!$A$3:$A$5001,"&lt;="&amp;$B134,BD!$K$3:$K$5001,"&lt;&gt;")=0,"",SUMIFS(BD!$K$3:$K$5001,BD!$B$3:$B$5001,J$114,BD!$A$3:$A$5001,_xlfn.MAXIFS(BD!$A$3:$A$5001,BD!$B$3:$B$5001,J$114,BD!$A$3:$A$5001,"&gt;="&amp;$C$7,BD!$A$3:$A$5001,"&lt;="&amp;$B134,BD!$K$3:$K$5001,"&lt;&gt;"))))</f>
        <v/>
      </c>
      <c r="K134" s="43" t="str">
        <f>IF(OR($B134="",$A134&gt;$B$9,K$114=""),"",IF(COUNTIFS(BD!$B$3:$B$5001,K$114,BD!$A$3:$A$5001,"&gt;="&amp;$C$7,BD!$A$3:$A$5001,"&lt;="&amp;$B134,BD!$K$3:$K$5001,"&lt;&gt;")=0,"",SUMIFS(BD!$K$3:$K$5001,BD!$B$3:$B$5001,K$114,BD!$A$3:$A$5001,_xlfn.MAXIFS(BD!$A$3:$A$5001,BD!$B$3:$B$5001,K$114,BD!$A$3:$A$5001,"&gt;="&amp;$C$7,BD!$A$3:$A$5001,"&lt;="&amp;$B134,BD!$K$3:$K$5001,"&lt;&gt;"))))</f>
        <v/>
      </c>
      <c r="L134" s="43" t="str">
        <f>IF(OR($B134="",$A134&gt;$B$9,L$114=""),"",IF(COUNTIFS(BD!$B$3:$B$5001,L$114,BD!$A$3:$A$5001,"&gt;="&amp;$C$7,BD!$A$3:$A$5001,"&lt;="&amp;$B134,BD!$K$3:$K$5001,"&lt;&gt;")=0,"",SUMIFS(BD!$K$3:$K$5001,BD!$B$3:$B$5001,L$114,BD!$A$3:$A$5001,_xlfn.MAXIFS(BD!$A$3:$A$5001,BD!$B$3:$B$5001,L$114,BD!$A$3:$A$5001,"&gt;="&amp;$C$7,BD!$A$3:$A$5001,"&lt;="&amp;$B134,BD!$K$3:$K$5001,"&lt;&gt;"))))</f>
        <v/>
      </c>
      <c r="M134" s="43" t="str">
        <f>IF(OR($B134="",$A134&gt;$B$9,M$114=""),"",IF(COUNTIFS(BD!$B$3:$B$5001,M$114,BD!$A$3:$A$5001,"&gt;="&amp;$C$7,BD!$A$3:$A$5001,"&lt;="&amp;$B134,BD!$K$3:$K$5001,"&lt;&gt;")=0,"",SUMIFS(BD!$K$3:$K$5001,BD!$B$3:$B$5001,M$114,BD!$A$3:$A$5001,_xlfn.MAXIFS(BD!$A$3:$A$5001,BD!$B$3:$B$5001,M$114,BD!$A$3:$A$5001,"&gt;="&amp;$C$7,BD!$A$3:$A$5001,"&lt;="&amp;$B134,BD!$K$3:$K$5001,"&lt;&gt;"))))</f>
        <v/>
      </c>
      <c r="N134" s="43" t="str">
        <f>IF(OR($B134="",$A134&gt;$B$9,N$114=""),"",IF(COUNTIFS(BD!$B$3:$B$5001,N$114,BD!$A$3:$A$5001,"&gt;="&amp;$C$7,BD!$A$3:$A$5001,"&lt;="&amp;$B134,BD!$K$3:$K$5001,"&lt;&gt;")=0,"",SUMIFS(BD!$K$3:$K$5001,BD!$B$3:$B$5001,N$114,BD!$A$3:$A$5001,_xlfn.MAXIFS(BD!$A$3:$A$5001,BD!$B$3:$B$5001,N$114,BD!$A$3:$A$5001,"&gt;="&amp;$C$7,BD!$A$3:$A$5001,"&lt;="&amp;$B134,BD!$K$3:$K$5001,"&lt;&gt;"))))</f>
        <v/>
      </c>
      <c r="O134" s="43" t="str">
        <f>IF(OR($B134="",$A134&gt;$B$9,O$114=""),"",IF(COUNTIFS(BD!$B$3:$B$5001,O$114,BD!$A$3:$A$5001,"&gt;="&amp;$C$7,BD!$A$3:$A$5001,"&lt;="&amp;$B134,BD!$K$3:$K$5001,"&lt;&gt;")=0,"",SUMIFS(BD!$K$3:$K$5001,BD!$B$3:$B$5001,O$114,BD!$A$3:$A$5001,_xlfn.MAXIFS(BD!$A$3:$A$5001,BD!$B$3:$B$5001,O$114,BD!$A$3:$A$5001,"&gt;="&amp;$C$7,BD!$A$3:$A$5001,"&lt;="&amp;$B134,BD!$K$3:$K$5001,"&lt;&gt;"))))</f>
        <v/>
      </c>
      <c r="P134" s="43" t="str">
        <f>IF(OR($B134="",$A134&gt;$B$9,P$114=""),"",IF(COUNTIFS(BD!$B$3:$B$5001,P$114,BD!$A$3:$A$5001,"&gt;="&amp;$C$7,BD!$A$3:$A$5001,"&lt;="&amp;$B134,BD!$K$3:$K$5001,"&lt;&gt;")=0,"",SUMIFS(BD!$K$3:$K$5001,BD!$B$3:$B$5001,P$114,BD!$A$3:$A$5001,_xlfn.MAXIFS(BD!$A$3:$A$5001,BD!$B$3:$B$5001,P$114,BD!$A$3:$A$5001,"&gt;="&amp;$C$7,BD!$A$3:$A$5001,"&lt;="&amp;$B134,BD!$K$3:$K$5001,"&lt;&gt;"))))</f>
        <v/>
      </c>
      <c r="Q134" s="43" t="str">
        <f>IF(OR($B134="",$A134&gt;$B$9,Q$114=""),"",IF(COUNTIFS(BD!$B$3:$B$5001,Q$114,BD!$A$3:$A$5001,"&gt;="&amp;$C$7,BD!$A$3:$A$5001,"&lt;="&amp;$B134,BD!$K$3:$K$5001,"&lt;&gt;")=0,"",SUMIFS(BD!$K$3:$K$5001,BD!$B$3:$B$5001,Q$114,BD!$A$3:$A$5001,_xlfn.MAXIFS(BD!$A$3:$A$5001,BD!$B$3:$B$5001,Q$114,BD!$A$3:$A$5001,"&gt;="&amp;$C$7,BD!$A$3:$A$5001,"&lt;="&amp;$B134,BD!$K$3:$K$5001,"&lt;&gt;"))))</f>
        <v/>
      </c>
      <c r="R134" s="43" t="str">
        <f>IF(OR($B134="",$A134&gt;$B$9,R$114=""),"",IF(COUNTIFS(BD!$B$3:$B$5001,R$114,BD!$A$3:$A$5001,"&gt;="&amp;$C$7,BD!$A$3:$A$5001,"&lt;="&amp;$B134,BD!$K$3:$K$5001,"&lt;&gt;")=0,"",SUMIFS(BD!$K$3:$K$5001,BD!$B$3:$B$5001,R$114,BD!$A$3:$A$5001,_xlfn.MAXIFS(BD!$A$3:$A$5001,BD!$B$3:$B$5001,R$114,BD!$A$3:$A$5001,"&gt;="&amp;$C$7,BD!$A$3:$A$5001,"&lt;="&amp;$B134,BD!$K$3:$K$5001,"&lt;&gt;"))))</f>
        <v/>
      </c>
      <c r="S134" s="43" t="str">
        <f>IF(OR($B134="",$A134&gt;$B$9,S$114=""),"",IF(COUNTIFS(BD!$B$3:$B$5001,S$114,BD!$A$3:$A$5001,"&gt;="&amp;$C$7,BD!$A$3:$A$5001,"&lt;="&amp;$B134,BD!$K$3:$K$5001,"&lt;&gt;")=0,"",SUMIFS(BD!$K$3:$K$5001,BD!$B$3:$B$5001,S$114,BD!$A$3:$A$5001,_xlfn.MAXIFS(BD!$A$3:$A$5001,BD!$B$3:$B$5001,S$114,BD!$A$3:$A$5001,"&gt;="&amp;$C$7,BD!$A$3:$A$5001,"&lt;="&amp;$B134,BD!$K$3:$K$5001,"&lt;&gt;"))))</f>
        <v/>
      </c>
      <c r="T134" s="43" t="str">
        <f>IF(OR($B134="",$A134&gt;$B$9,T$114=""),"",IF(COUNTIFS(BD!$B$3:$B$5001,T$114,BD!$A$3:$A$5001,"&gt;="&amp;$C$7,BD!$A$3:$A$5001,"&lt;="&amp;$B134,BD!$K$3:$K$5001,"&lt;&gt;")=0,"",SUMIFS(BD!$K$3:$K$5001,BD!$B$3:$B$5001,T$114,BD!$A$3:$A$5001,_xlfn.MAXIFS(BD!$A$3:$A$5001,BD!$B$3:$B$5001,T$114,BD!$A$3:$A$5001,"&gt;="&amp;$C$7,BD!$A$3:$A$5001,"&lt;="&amp;$B134,BD!$K$3:$K$5001,"&lt;&gt;"))))</f>
        <v/>
      </c>
      <c r="U134" s="43" t="str">
        <f>IF(OR($B134="",$A134&gt;$B$9,U$114=""),"",IF(COUNTIFS(BD!$B$3:$B$5001,U$114,BD!$A$3:$A$5001,"&gt;="&amp;$C$7,BD!$A$3:$A$5001,"&lt;="&amp;$B134,BD!$K$3:$K$5001,"&lt;&gt;")=0,"",SUMIFS(BD!$K$3:$K$5001,BD!$B$3:$B$5001,U$114,BD!$A$3:$A$5001,_xlfn.MAXIFS(BD!$A$3:$A$5001,BD!$B$3:$B$5001,U$114,BD!$A$3:$A$5001,"&gt;="&amp;$C$7,BD!$A$3:$A$5001,"&lt;="&amp;$B134,BD!$K$3:$K$5001,"&lt;&gt;"))))</f>
        <v/>
      </c>
      <c r="V134" s="43" t="str">
        <f>IF(OR($B134="",$A134&gt;$B$9,V$114=""),"",IF(COUNTIFS(BD!$B$3:$B$5001,V$114,BD!$A$3:$A$5001,"&gt;="&amp;$C$7,BD!$A$3:$A$5001,"&lt;="&amp;$B134,BD!$K$3:$K$5001,"&lt;&gt;")=0,"",SUMIFS(BD!$K$3:$K$5001,BD!$B$3:$B$5001,V$114,BD!$A$3:$A$5001,_xlfn.MAXIFS(BD!$A$3:$A$5001,BD!$B$3:$B$5001,V$114,BD!$A$3:$A$5001,"&gt;="&amp;$C$7,BD!$A$3:$A$5001,"&lt;="&amp;$B134,BD!$K$3:$K$5001,"&lt;&gt;"))))</f>
        <v/>
      </c>
    </row>
    <row r="135">
      <c r="A135" s="38">
        <v>21</v>
      </c>
      <c r="B135" s="42">
        <f>$B$32</f>
        <v>46316</v>
      </c>
      <c r="C135" s="43" t="str">
        <f>IF(OR($B135="",$A135&gt;$B$9,C$114=""),"",IF(COUNTIFS(BD!$B$3:$B$5001,C$114,BD!$A$3:$A$5001,"&gt;="&amp;$C$7,BD!$A$3:$A$5001,"&lt;="&amp;$B135,BD!$K$3:$K$5001,"&lt;&gt;")=0,"",SUMIFS(BD!$K$3:$K$5001,BD!$B$3:$B$5001,C$114,BD!$A$3:$A$5001,_xlfn.MAXIFS(BD!$A$3:$A$5001,BD!$B$3:$B$5001,C$114,BD!$A$3:$A$5001,"&gt;="&amp;$C$7,BD!$A$3:$A$5001,"&lt;="&amp;$B135,BD!$K$3:$K$5001,"&lt;&gt;"))))</f>
        <v/>
      </c>
      <c r="D135" s="43" t="str">
        <f>IF(OR($B135="",$A135&gt;$B$9,D$114=""),"",IF(COUNTIFS(BD!$B$3:$B$5001,D$114,BD!$A$3:$A$5001,"&gt;="&amp;$C$7,BD!$A$3:$A$5001,"&lt;="&amp;$B135,BD!$K$3:$K$5001,"&lt;&gt;")=0,"",SUMIFS(BD!$K$3:$K$5001,BD!$B$3:$B$5001,D$114,BD!$A$3:$A$5001,_xlfn.MAXIFS(BD!$A$3:$A$5001,BD!$B$3:$B$5001,D$114,BD!$A$3:$A$5001,"&gt;="&amp;$C$7,BD!$A$3:$A$5001,"&lt;="&amp;$B135,BD!$K$3:$K$5001,"&lt;&gt;"))))</f>
        <v/>
      </c>
      <c r="E135" s="43" t="str">
        <f>IF(OR($B135="",$A135&gt;$B$9,E$114=""),"",IF(COUNTIFS(BD!$B$3:$B$5001,E$114,BD!$A$3:$A$5001,"&gt;="&amp;$C$7,BD!$A$3:$A$5001,"&lt;="&amp;$B135,BD!$K$3:$K$5001,"&lt;&gt;")=0,"",SUMIFS(BD!$K$3:$K$5001,BD!$B$3:$B$5001,E$114,BD!$A$3:$A$5001,_xlfn.MAXIFS(BD!$A$3:$A$5001,BD!$B$3:$B$5001,E$114,BD!$A$3:$A$5001,"&gt;="&amp;$C$7,BD!$A$3:$A$5001,"&lt;="&amp;$B135,BD!$K$3:$K$5001,"&lt;&gt;"))))</f>
        <v/>
      </c>
      <c r="F135" s="43" t="str">
        <f>IF(OR($B135="",$A135&gt;$B$9,F$114=""),"",IF(COUNTIFS(BD!$B$3:$B$5001,F$114,BD!$A$3:$A$5001,"&gt;="&amp;$C$7,BD!$A$3:$A$5001,"&lt;="&amp;$B135,BD!$K$3:$K$5001,"&lt;&gt;")=0,"",SUMIFS(BD!$K$3:$K$5001,BD!$B$3:$B$5001,F$114,BD!$A$3:$A$5001,_xlfn.MAXIFS(BD!$A$3:$A$5001,BD!$B$3:$B$5001,F$114,BD!$A$3:$A$5001,"&gt;="&amp;$C$7,BD!$A$3:$A$5001,"&lt;="&amp;$B135,BD!$K$3:$K$5001,"&lt;&gt;"))))</f>
        <v/>
      </c>
      <c r="G135" s="43" t="str">
        <f>IF(OR($B135="",$A135&gt;$B$9,G$114=""),"",IF(COUNTIFS(BD!$B$3:$B$5001,G$114,BD!$A$3:$A$5001,"&gt;="&amp;$C$7,BD!$A$3:$A$5001,"&lt;="&amp;$B135,BD!$K$3:$K$5001,"&lt;&gt;")=0,"",SUMIFS(BD!$K$3:$K$5001,BD!$B$3:$B$5001,G$114,BD!$A$3:$A$5001,_xlfn.MAXIFS(BD!$A$3:$A$5001,BD!$B$3:$B$5001,G$114,BD!$A$3:$A$5001,"&gt;="&amp;$C$7,BD!$A$3:$A$5001,"&lt;="&amp;$B135,BD!$K$3:$K$5001,"&lt;&gt;"))))</f>
        <v/>
      </c>
      <c r="H135" s="43" t="str">
        <f>IF(OR($B135="",$A135&gt;$B$9,H$114=""),"",IF(COUNTIFS(BD!$B$3:$B$5001,H$114,BD!$A$3:$A$5001,"&gt;="&amp;$C$7,BD!$A$3:$A$5001,"&lt;="&amp;$B135,BD!$K$3:$K$5001,"&lt;&gt;")=0,"",SUMIFS(BD!$K$3:$K$5001,BD!$B$3:$B$5001,H$114,BD!$A$3:$A$5001,_xlfn.MAXIFS(BD!$A$3:$A$5001,BD!$B$3:$B$5001,H$114,BD!$A$3:$A$5001,"&gt;="&amp;$C$7,BD!$A$3:$A$5001,"&lt;="&amp;$B135,BD!$K$3:$K$5001,"&lt;&gt;"))))</f>
        <v/>
      </c>
      <c r="I135" s="43" t="str">
        <f>IF(OR($B135="",$A135&gt;$B$9,I$114=""),"",IF(COUNTIFS(BD!$B$3:$B$5001,I$114,BD!$A$3:$A$5001,"&gt;="&amp;$C$7,BD!$A$3:$A$5001,"&lt;="&amp;$B135,BD!$K$3:$K$5001,"&lt;&gt;")=0,"",SUMIFS(BD!$K$3:$K$5001,BD!$B$3:$B$5001,I$114,BD!$A$3:$A$5001,_xlfn.MAXIFS(BD!$A$3:$A$5001,BD!$B$3:$B$5001,I$114,BD!$A$3:$A$5001,"&gt;="&amp;$C$7,BD!$A$3:$A$5001,"&lt;="&amp;$B135,BD!$K$3:$K$5001,"&lt;&gt;"))))</f>
        <v/>
      </c>
      <c r="J135" s="43" t="str">
        <f>IF(OR($B135="",$A135&gt;$B$9,J$114=""),"",IF(COUNTIFS(BD!$B$3:$B$5001,J$114,BD!$A$3:$A$5001,"&gt;="&amp;$C$7,BD!$A$3:$A$5001,"&lt;="&amp;$B135,BD!$K$3:$K$5001,"&lt;&gt;")=0,"",SUMIFS(BD!$K$3:$K$5001,BD!$B$3:$B$5001,J$114,BD!$A$3:$A$5001,_xlfn.MAXIFS(BD!$A$3:$A$5001,BD!$B$3:$B$5001,J$114,BD!$A$3:$A$5001,"&gt;="&amp;$C$7,BD!$A$3:$A$5001,"&lt;="&amp;$B135,BD!$K$3:$K$5001,"&lt;&gt;"))))</f>
        <v/>
      </c>
      <c r="K135" s="43" t="str">
        <f>IF(OR($B135="",$A135&gt;$B$9,K$114=""),"",IF(COUNTIFS(BD!$B$3:$B$5001,K$114,BD!$A$3:$A$5001,"&gt;="&amp;$C$7,BD!$A$3:$A$5001,"&lt;="&amp;$B135,BD!$K$3:$K$5001,"&lt;&gt;")=0,"",SUMIFS(BD!$K$3:$K$5001,BD!$B$3:$B$5001,K$114,BD!$A$3:$A$5001,_xlfn.MAXIFS(BD!$A$3:$A$5001,BD!$B$3:$B$5001,K$114,BD!$A$3:$A$5001,"&gt;="&amp;$C$7,BD!$A$3:$A$5001,"&lt;="&amp;$B135,BD!$K$3:$K$5001,"&lt;&gt;"))))</f>
        <v/>
      </c>
      <c r="L135" s="43" t="str">
        <f>IF(OR($B135="",$A135&gt;$B$9,L$114=""),"",IF(COUNTIFS(BD!$B$3:$B$5001,L$114,BD!$A$3:$A$5001,"&gt;="&amp;$C$7,BD!$A$3:$A$5001,"&lt;="&amp;$B135,BD!$K$3:$K$5001,"&lt;&gt;")=0,"",SUMIFS(BD!$K$3:$K$5001,BD!$B$3:$B$5001,L$114,BD!$A$3:$A$5001,_xlfn.MAXIFS(BD!$A$3:$A$5001,BD!$B$3:$B$5001,L$114,BD!$A$3:$A$5001,"&gt;="&amp;$C$7,BD!$A$3:$A$5001,"&lt;="&amp;$B135,BD!$K$3:$K$5001,"&lt;&gt;"))))</f>
        <v/>
      </c>
      <c r="M135" s="43" t="str">
        <f>IF(OR($B135="",$A135&gt;$B$9,M$114=""),"",IF(COUNTIFS(BD!$B$3:$B$5001,M$114,BD!$A$3:$A$5001,"&gt;="&amp;$C$7,BD!$A$3:$A$5001,"&lt;="&amp;$B135,BD!$K$3:$K$5001,"&lt;&gt;")=0,"",SUMIFS(BD!$K$3:$K$5001,BD!$B$3:$B$5001,M$114,BD!$A$3:$A$5001,_xlfn.MAXIFS(BD!$A$3:$A$5001,BD!$B$3:$B$5001,M$114,BD!$A$3:$A$5001,"&gt;="&amp;$C$7,BD!$A$3:$A$5001,"&lt;="&amp;$B135,BD!$K$3:$K$5001,"&lt;&gt;"))))</f>
        <v/>
      </c>
      <c r="N135" s="43" t="str">
        <f>IF(OR($B135="",$A135&gt;$B$9,N$114=""),"",IF(COUNTIFS(BD!$B$3:$B$5001,N$114,BD!$A$3:$A$5001,"&gt;="&amp;$C$7,BD!$A$3:$A$5001,"&lt;="&amp;$B135,BD!$K$3:$K$5001,"&lt;&gt;")=0,"",SUMIFS(BD!$K$3:$K$5001,BD!$B$3:$B$5001,N$114,BD!$A$3:$A$5001,_xlfn.MAXIFS(BD!$A$3:$A$5001,BD!$B$3:$B$5001,N$114,BD!$A$3:$A$5001,"&gt;="&amp;$C$7,BD!$A$3:$A$5001,"&lt;="&amp;$B135,BD!$K$3:$K$5001,"&lt;&gt;"))))</f>
        <v/>
      </c>
      <c r="O135" s="43" t="str">
        <f>IF(OR($B135="",$A135&gt;$B$9,O$114=""),"",IF(COUNTIFS(BD!$B$3:$B$5001,O$114,BD!$A$3:$A$5001,"&gt;="&amp;$C$7,BD!$A$3:$A$5001,"&lt;="&amp;$B135,BD!$K$3:$K$5001,"&lt;&gt;")=0,"",SUMIFS(BD!$K$3:$K$5001,BD!$B$3:$B$5001,O$114,BD!$A$3:$A$5001,_xlfn.MAXIFS(BD!$A$3:$A$5001,BD!$B$3:$B$5001,O$114,BD!$A$3:$A$5001,"&gt;="&amp;$C$7,BD!$A$3:$A$5001,"&lt;="&amp;$B135,BD!$K$3:$K$5001,"&lt;&gt;"))))</f>
        <v/>
      </c>
      <c r="P135" s="43" t="str">
        <f>IF(OR($B135="",$A135&gt;$B$9,P$114=""),"",IF(COUNTIFS(BD!$B$3:$B$5001,P$114,BD!$A$3:$A$5001,"&gt;="&amp;$C$7,BD!$A$3:$A$5001,"&lt;="&amp;$B135,BD!$K$3:$K$5001,"&lt;&gt;")=0,"",SUMIFS(BD!$K$3:$K$5001,BD!$B$3:$B$5001,P$114,BD!$A$3:$A$5001,_xlfn.MAXIFS(BD!$A$3:$A$5001,BD!$B$3:$B$5001,P$114,BD!$A$3:$A$5001,"&gt;="&amp;$C$7,BD!$A$3:$A$5001,"&lt;="&amp;$B135,BD!$K$3:$K$5001,"&lt;&gt;"))))</f>
        <v/>
      </c>
      <c r="Q135" s="43" t="str">
        <f>IF(OR($B135="",$A135&gt;$B$9,Q$114=""),"",IF(COUNTIFS(BD!$B$3:$B$5001,Q$114,BD!$A$3:$A$5001,"&gt;="&amp;$C$7,BD!$A$3:$A$5001,"&lt;="&amp;$B135,BD!$K$3:$K$5001,"&lt;&gt;")=0,"",SUMIFS(BD!$K$3:$K$5001,BD!$B$3:$B$5001,Q$114,BD!$A$3:$A$5001,_xlfn.MAXIFS(BD!$A$3:$A$5001,BD!$B$3:$B$5001,Q$114,BD!$A$3:$A$5001,"&gt;="&amp;$C$7,BD!$A$3:$A$5001,"&lt;="&amp;$B135,BD!$K$3:$K$5001,"&lt;&gt;"))))</f>
        <v/>
      </c>
      <c r="R135" s="43" t="str">
        <f>IF(OR($B135="",$A135&gt;$B$9,R$114=""),"",IF(COUNTIFS(BD!$B$3:$B$5001,R$114,BD!$A$3:$A$5001,"&gt;="&amp;$C$7,BD!$A$3:$A$5001,"&lt;="&amp;$B135,BD!$K$3:$K$5001,"&lt;&gt;")=0,"",SUMIFS(BD!$K$3:$K$5001,BD!$B$3:$B$5001,R$114,BD!$A$3:$A$5001,_xlfn.MAXIFS(BD!$A$3:$A$5001,BD!$B$3:$B$5001,R$114,BD!$A$3:$A$5001,"&gt;="&amp;$C$7,BD!$A$3:$A$5001,"&lt;="&amp;$B135,BD!$K$3:$K$5001,"&lt;&gt;"))))</f>
        <v/>
      </c>
      <c r="S135" s="43" t="str">
        <f>IF(OR($B135="",$A135&gt;$B$9,S$114=""),"",IF(COUNTIFS(BD!$B$3:$B$5001,S$114,BD!$A$3:$A$5001,"&gt;="&amp;$C$7,BD!$A$3:$A$5001,"&lt;="&amp;$B135,BD!$K$3:$K$5001,"&lt;&gt;")=0,"",SUMIFS(BD!$K$3:$K$5001,BD!$B$3:$B$5001,S$114,BD!$A$3:$A$5001,_xlfn.MAXIFS(BD!$A$3:$A$5001,BD!$B$3:$B$5001,S$114,BD!$A$3:$A$5001,"&gt;="&amp;$C$7,BD!$A$3:$A$5001,"&lt;="&amp;$B135,BD!$K$3:$K$5001,"&lt;&gt;"))))</f>
        <v/>
      </c>
      <c r="T135" s="43" t="str">
        <f>IF(OR($B135="",$A135&gt;$B$9,T$114=""),"",IF(COUNTIFS(BD!$B$3:$B$5001,T$114,BD!$A$3:$A$5001,"&gt;="&amp;$C$7,BD!$A$3:$A$5001,"&lt;="&amp;$B135,BD!$K$3:$K$5001,"&lt;&gt;")=0,"",SUMIFS(BD!$K$3:$K$5001,BD!$B$3:$B$5001,T$114,BD!$A$3:$A$5001,_xlfn.MAXIFS(BD!$A$3:$A$5001,BD!$B$3:$B$5001,T$114,BD!$A$3:$A$5001,"&gt;="&amp;$C$7,BD!$A$3:$A$5001,"&lt;="&amp;$B135,BD!$K$3:$K$5001,"&lt;&gt;"))))</f>
        <v/>
      </c>
      <c r="U135" s="43" t="str">
        <f>IF(OR($B135="",$A135&gt;$B$9,U$114=""),"",IF(COUNTIFS(BD!$B$3:$B$5001,U$114,BD!$A$3:$A$5001,"&gt;="&amp;$C$7,BD!$A$3:$A$5001,"&lt;="&amp;$B135,BD!$K$3:$K$5001,"&lt;&gt;")=0,"",SUMIFS(BD!$K$3:$K$5001,BD!$B$3:$B$5001,U$114,BD!$A$3:$A$5001,_xlfn.MAXIFS(BD!$A$3:$A$5001,BD!$B$3:$B$5001,U$114,BD!$A$3:$A$5001,"&gt;="&amp;$C$7,BD!$A$3:$A$5001,"&lt;="&amp;$B135,BD!$K$3:$K$5001,"&lt;&gt;"))))</f>
        <v/>
      </c>
      <c r="V135" s="43" t="str">
        <f>IF(OR($B135="",$A135&gt;$B$9,V$114=""),"",IF(COUNTIFS(BD!$B$3:$B$5001,V$114,BD!$A$3:$A$5001,"&gt;="&amp;$C$7,BD!$A$3:$A$5001,"&lt;="&amp;$B135,BD!$K$3:$K$5001,"&lt;&gt;")=0,"",SUMIFS(BD!$K$3:$K$5001,BD!$B$3:$B$5001,V$114,BD!$A$3:$A$5001,_xlfn.MAXIFS(BD!$A$3:$A$5001,BD!$B$3:$B$5001,V$114,BD!$A$3:$A$5001,"&gt;="&amp;$C$7,BD!$A$3:$A$5001,"&lt;="&amp;$B135,BD!$K$3:$K$5001,"&lt;&gt;"))))</f>
        <v/>
      </c>
    </row>
    <row r="136">
      <c r="A136" s="38">
        <v>22</v>
      </c>
      <c r="B136" s="42">
        <f>$B$33</f>
        <v>46317</v>
      </c>
      <c r="C136" s="43" t="str">
        <f>IF(OR($B136="",$A136&gt;$B$9,C$114=""),"",IF(COUNTIFS(BD!$B$3:$B$5001,C$114,BD!$A$3:$A$5001,"&gt;="&amp;$C$7,BD!$A$3:$A$5001,"&lt;="&amp;$B136,BD!$K$3:$K$5001,"&lt;&gt;")=0,"",SUMIFS(BD!$K$3:$K$5001,BD!$B$3:$B$5001,C$114,BD!$A$3:$A$5001,_xlfn.MAXIFS(BD!$A$3:$A$5001,BD!$B$3:$B$5001,C$114,BD!$A$3:$A$5001,"&gt;="&amp;$C$7,BD!$A$3:$A$5001,"&lt;="&amp;$B136,BD!$K$3:$K$5001,"&lt;&gt;"))))</f>
        <v/>
      </c>
      <c r="D136" s="43" t="str">
        <f>IF(OR($B136="",$A136&gt;$B$9,D$114=""),"",IF(COUNTIFS(BD!$B$3:$B$5001,D$114,BD!$A$3:$A$5001,"&gt;="&amp;$C$7,BD!$A$3:$A$5001,"&lt;="&amp;$B136,BD!$K$3:$K$5001,"&lt;&gt;")=0,"",SUMIFS(BD!$K$3:$K$5001,BD!$B$3:$B$5001,D$114,BD!$A$3:$A$5001,_xlfn.MAXIFS(BD!$A$3:$A$5001,BD!$B$3:$B$5001,D$114,BD!$A$3:$A$5001,"&gt;="&amp;$C$7,BD!$A$3:$A$5001,"&lt;="&amp;$B136,BD!$K$3:$K$5001,"&lt;&gt;"))))</f>
        <v/>
      </c>
      <c r="E136" s="43" t="str">
        <f>IF(OR($B136="",$A136&gt;$B$9,E$114=""),"",IF(COUNTIFS(BD!$B$3:$B$5001,E$114,BD!$A$3:$A$5001,"&gt;="&amp;$C$7,BD!$A$3:$A$5001,"&lt;="&amp;$B136,BD!$K$3:$K$5001,"&lt;&gt;")=0,"",SUMIFS(BD!$K$3:$K$5001,BD!$B$3:$B$5001,E$114,BD!$A$3:$A$5001,_xlfn.MAXIFS(BD!$A$3:$A$5001,BD!$B$3:$B$5001,E$114,BD!$A$3:$A$5001,"&gt;="&amp;$C$7,BD!$A$3:$A$5001,"&lt;="&amp;$B136,BD!$K$3:$K$5001,"&lt;&gt;"))))</f>
        <v/>
      </c>
      <c r="F136" s="43" t="str">
        <f>IF(OR($B136="",$A136&gt;$B$9,F$114=""),"",IF(COUNTIFS(BD!$B$3:$B$5001,F$114,BD!$A$3:$A$5001,"&gt;="&amp;$C$7,BD!$A$3:$A$5001,"&lt;="&amp;$B136,BD!$K$3:$K$5001,"&lt;&gt;")=0,"",SUMIFS(BD!$K$3:$K$5001,BD!$B$3:$B$5001,F$114,BD!$A$3:$A$5001,_xlfn.MAXIFS(BD!$A$3:$A$5001,BD!$B$3:$B$5001,F$114,BD!$A$3:$A$5001,"&gt;="&amp;$C$7,BD!$A$3:$A$5001,"&lt;="&amp;$B136,BD!$K$3:$K$5001,"&lt;&gt;"))))</f>
        <v/>
      </c>
      <c r="G136" s="43" t="str">
        <f>IF(OR($B136="",$A136&gt;$B$9,G$114=""),"",IF(COUNTIFS(BD!$B$3:$B$5001,G$114,BD!$A$3:$A$5001,"&gt;="&amp;$C$7,BD!$A$3:$A$5001,"&lt;="&amp;$B136,BD!$K$3:$K$5001,"&lt;&gt;")=0,"",SUMIFS(BD!$K$3:$K$5001,BD!$B$3:$B$5001,G$114,BD!$A$3:$A$5001,_xlfn.MAXIFS(BD!$A$3:$A$5001,BD!$B$3:$B$5001,G$114,BD!$A$3:$A$5001,"&gt;="&amp;$C$7,BD!$A$3:$A$5001,"&lt;="&amp;$B136,BD!$K$3:$K$5001,"&lt;&gt;"))))</f>
        <v/>
      </c>
      <c r="H136" s="43" t="str">
        <f>IF(OR($B136="",$A136&gt;$B$9,H$114=""),"",IF(COUNTIFS(BD!$B$3:$B$5001,H$114,BD!$A$3:$A$5001,"&gt;="&amp;$C$7,BD!$A$3:$A$5001,"&lt;="&amp;$B136,BD!$K$3:$K$5001,"&lt;&gt;")=0,"",SUMIFS(BD!$K$3:$K$5001,BD!$B$3:$B$5001,H$114,BD!$A$3:$A$5001,_xlfn.MAXIFS(BD!$A$3:$A$5001,BD!$B$3:$B$5001,H$114,BD!$A$3:$A$5001,"&gt;="&amp;$C$7,BD!$A$3:$A$5001,"&lt;="&amp;$B136,BD!$K$3:$K$5001,"&lt;&gt;"))))</f>
        <v/>
      </c>
      <c r="I136" s="43" t="str">
        <f>IF(OR($B136="",$A136&gt;$B$9,I$114=""),"",IF(COUNTIFS(BD!$B$3:$B$5001,I$114,BD!$A$3:$A$5001,"&gt;="&amp;$C$7,BD!$A$3:$A$5001,"&lt;="&amp;$B136,BD!$K$3:$K$5001,"&lt;&gt;")=0,"",SUMIFS(BD!$K$3:$K$5001,BD!$B$3:$B$5001,I$114,BD!$A$3:$A$5001,_xlfn.MAXIFS(BD!$A$3:$A$5001,BD!$B$3:$B$5001,I$114,BD!$A$3:$A$5001,"&gt;="&amp;$C$7,BD!$A$3:$A$5001,"&lt;="&amp;$B136,BD!$K$3:$K$5001,"&lt;&gt;"))))</f>
        <v/>
      </c>
      <c r="J136" s="43" t="str">
        <f>IF(OR($B136="",$A136&gt;$B$9,J$114=""),"",IF(COUNTIFS(BD!$B$3:$B$5001,J$114,BD!$A$3:$A$5001,"&gt;="&amp;$C$7,BD!$A$3:$A$5001,"&lt;="&amp;$B136,BD!$K$3:$K$5001,"&lt;&gt;")=0,"",SUMIFS(BD!$K$3:$K$5001,BD!$B$3:$B$5001,J$114,BD!$A$3:$A$5001,_xlfn.MAXIFS(BD!$A$3:$A$5001,BD!$B$3:$B$5001,J$114,BD!$A$3:$A$5001,"&gt;="&amp;$C$7,BD!$A$3:$A$5001,"&lt;="&amp;$B136,BD!$K$3:$K$5001,"&lt;&gt;"))))</f>
        <v/>
      </c>
      <c r="K136" s="43" t="str">
        <f>IF(OR($B136="",$A136&gt;$B$9,K$114=""),"",IF(COUNTIFS(BD!$B$3:$B$5001,K$114,BD!$A$3:$A$5001,"&gt;="&amp;$C$7,BD!$A$3:$A$5001,"&lt;="&amp;$B136,BD!$K$3:$K$5001,"&lt;&gt;")=0,"",SUMIFS(BD!$K$3:$K$5001,BD!$B$3:$B$5001,K$114,BD!$A$3:$A$5001,_xlfn.MAXIFS(BD!$A$3:$A$5001,BD!$B$3:$B$5001,K$114,BD!$A$3:$A$5001,"&gt;="&amp;$C$7,BD!$A$3:$A$5001,"&lt;="&amp;$B136,BD!$K$3:$K$5001,"&lt;&gt;"))))</f>
        <v/>
      </c>
      <c r="L136" s="43" t="str">
        <f>IF(OR($B136="",$A136&gt;$B$9,L$114=""),"",IF(COUNTIFS(BD!$B$3:$B$5001,L$114,BD!$A$3:$A$5001,"&gt;="&amp;$C$7,BD!$A$3:$A$5001,"&lt;="&amp;$B136,BD!$K$3:$K$5001,"&lt;&gt;")=0,"",SUMIFS(BD!$K$3:$K$5001,BD!$B$3:$B$5001,L$114,BD!$A$3:$A$5001,_xlfn.MAXIFS(BD!$A$3:$A$5001,BD!$B$3:$B$5001,L$114,BD!$A$3:$A$5001,"&gt;="&amp;$C$7,BD!$A$3:$A$5001,"&lt;="&amp;$B136,BD!$K$3:$K$5001,"&lt;&gt;"))))</f>
        <v/>
      </c>
      <c r="M136" s="43" t="str">
        <f>IF(OR($B136="",$A136&gt;$B$9,M$114=""),"",IF(COUNTIFS(BD!$B$3:$B$5001,M$114,BD!$A$3:$A$5001,"&gt;="&amp;$C$7,BD!$A$3:$A$5001,"&lt;="&amp;$B136,BD!$K$3:$K$5001,"&lt;&gt;")=0,"",SUMIFS(BD!$K$3:$K$5001,BD!$B$3:$B$5001,M$114,BD!$A$3:$A$5001,_xlfn.MAXIFS(BD!$A$3:$A$5001,BD!$B$3:$B$5001,M$114,BD!$A$3:$A$5001,"&gt;="&amp;$C$7,BD!$A$3:$A$5001,"&lt;="&amp;$B136,BD!$K$3:$K$5001,"&lt;&gt;"))))</f>
        <v/>
      </c>
      <c r="N136" s="43" t="str">
        <f>IF(OR($B136="",$A136&gt;$B$9,N$114=""),"",IF(COUNTIFS(BD!$B$3:$B$5001,N$114,BD!$A$3:$A$5001,"&gt;="&amp;$C$7,BD!$A$3:$A$5001,"&lt;="&amp;$B136,BD!$K$3:$K$5001,"&lt;&gt;")=0,"",SUMIFS(BD!$K$3:$K$5001,BD!$B$3:$B$5001,N$114,BD!$A$3:$A$5001,_xlfn.MAXIFS(BD!$A$3:$A$5001,BD!$B$3:$B$5001,N$114,BD!$A$3:$A$5001,"&gt;="&amp;$C$7,BD!$A$3:$A$5001,"&lt;="&amp;$B136,BD!$K$3:$K$5001,"&lt;&gt;"))))</f>
        <v/>
      </c>
      <c r="O136" s="43" t="str">
        <f>IF(OR($B136="",$A136&gt;$B$9,O$114=""),"",IF(COUNTIFS(BD!$B$3:$B$5001,O$114,BD!$A$3:$A$5001,"&gt;="&amp;$C$7,BD!$A$3:$A$5001,"&lt;="&amp;$B136,BD!$K$3:$K$5001,"&lt;&gt;")=0,"",SUMIFS(BD!$K$3:$K$5001,BD!$B$3:$B$5001,O$114,BD!$A$3:$A$5001,_xlfn.MAXIFS(BD!$A$3:$A$5001,BD!$B$3:$B$5001,O$114,BD!$A$3:$A$5001,"&gt;="&amp;$C$7,BD!$A$3:$A$5001,"&lt;="&amp;$B136,BD!$K$3:$K$5001,"&lt;&gt;"))))</f>
        <v/>
      </c>
      <c r="P136" s="43" t="str">
        <f>IF(OR($B136="",$A136&gt;$B$9,P$114=""),"",IF(COUNTIFS(BD!$B$3:$B$5001,P$114,BD!$A$3:$A$5001,"&gt;="&amp;$C$7,BD!$A$3:$A$5001,"&lt;="&amp;$B136,BD!$K$3:$K$5001,"&lt;&gt;")=0,"",SUMIFS(BD!$K$3:$K$5001,BD!$B$3:$B$5001,P$114,BD!$A$3:$A$5001,_xlfn.MAXIFS(BD!$A$3:$A$5001,BD!$B$3:$B$5001,P$114,BD!$A$3:$A$5001,"&gt;="&amp;$C$7,BD!$A$3:$A$5001,"&lt;="&amp;$B136,BD!$K$3:$K$5001,"&lt;&gt;"))))</f>
        <v/>
      </c>
      <c r="Q136" s="43" t="str">
        <f>IF(OR($B136="",$A136&gt;$B$9,Q$114=""),"",IF(COUNTIFS(BD!$B$3:$B$5001,Q$114,BD!$A$3:$A$5001,"&gt;="&amp;$C$7,BD!$A$3:$A$5001,"&lt;="&amp;$B136,BD!$K$3:$K$5001,"&lt;&gt;")=0,"",SUMIFS(BD!$K$3:$K$5001,BD!$B$3:$B$5001,Q$114,BD!$A$3:$A$5001,_xlfn.MAXIFS(BD!$A$3:$A$5001,BD!$B$3:$B$5001,Q$114,BD!$A$3:$A$5001,"&gt;="&amp;$C$7,BD!$A$3:$A$5001,"&lt;="&amp;$B136,BD!$K$3:$K$5001,"&lt;&gt;"))))</f>
        <v/>
      </c>
      <c r="R136" s="43" t="str">
        <f>IF(OR($B136="",$A136&gt;$B$9,R$114=""),"",IF(COUNTIFS(BD!$B$3:$B$5001,R$114,BD!$A$3:$A$5001,"&gt;="&amp;$C$7,BD!$A$3:$A$5001,"&lt;="&amp;$B136,BD!$K$3:$K$5001,"&lt;&gt;")=0,"",SUMIFS(BD!$K$3:$K$5001,BD!$B$3:$B$5001,R$114,BD!$A$3:$A$5001,_xlfn.MAXIFS(BD!$A$3:$A$5001,BD!$B$3:$B$5001,R$114,BD!$A$3:$A$5001,"&gt;="&amp;$C$7,BD!$A$3:$A$5001,"&lt;="&amp;$B136,BD!$K$3:$K$5001,"&lt;&gt;"))))</f>
        <v/>
      </c>
      <c r="S136" s="43" t="str">
        <f>IF(OR($B136="",$A136&gt;$B$9,S$114=""),"",IF(COUNTIFS(BD!$B$3:$B$5001,S$114,BD!$A$3:$A$5001,"&gt;="&amp;$C$7,BD!$A$3:$A$5001,"&lt;="&amp;$B136,BD!$K$3:$K$5001,"&lt;&gt;")=0,"",SUMIFS(BD!$K$3:$K$5001,BD!$B$3:$B$5001,S$114,BD!$A$3:$A$5001,_xlfn.MAXIFS(BD!$A$3:$A$5001,BD!$B$3:$B$5001,S$114,BD!$A$3:$A$5001,"&gt;="&amp;$C$7,BD!$A$3:$A$5001,"&lt;="&amp;$B136,BD!$K$3:$K$5001,"&lt;&gt;"))))</f>
        <v/>
      </c>
      <c r="T136" s="43" t="str">
        <f>IF(OR($B136="",$A136&gt;$B$9,T$114=""),"",IF(COUNTIFS(BD!$B$3:$B$5001,T$114,BD!$A$3:$A$5001,"&gt;="&amp;$C$7,BD!$A$3:$A$5001,"&lt;="&amp;$B136,BD!$K$3:$K$5001,"&lt;&gt;")=0,"",SUMIFS(BD!$K$3:$K$5001,BD!$B$3:$B$5001,T$114,BD!$A$3:$A$5001,_xlfn.MAXIFS(BD!$A$3:$A$5001,BD!$B$3:$B$5001,T$114,BD!$A$3:$A$5001,"&gt;="&amp;$C$7,BD!$A$3:$A$5001,"&lt;="&amp;$B136,BD!$K$3:$K$5001,"&lt;&gt;"))))</f>
        <v/>
      </c>
      <c r="U136" s="43" t="str">
        <f>IF(OR($B136="",$A136&gt;$B$9,U$114=""),"",IF(COUNTIFS(BD!$B$3:$B$5001,U$114,BD!$A$3:$A$5001,"&gt;="&amp;$C$7,BD!$A$3:$A$5001,"&lt;="&amp;$B136,BD!$K$3:$K$5001,"&lt;&gt;")=0,"",SUMIFS(BD!$K$3:$K$5001,BD!$B$3:$B$5001,U$114,BD!$A$3:$A$5001,_xlfn.MAXIFS(BD!$A$3:$A$5001,BD!$B$3:$B$5001,U$114,BD!$A$3:$A$5001,"&gt;="&amp;$C$7,BD!$A$3:$A$5001,"&lt;="&amp;$B136,BD!$K$3:$K$5001,"&lt;&gt;"))))</f>
        <v/>
      </c>
      <c r="V136" s="43" t="str">
        <f>IF(OR($B136="",$A136&gt;$B$9,V$114=""),"",IF(COUNTIFS(BD!$B$3:$B$5001,V$114,BD!$A$3:$A$5001,"&gt;="&amp;$C$7,BD!$A$3:$A$5001,"&lt;="&amp;$B136,BD!$K$3:$K$5001,"&lt;&gt;")=0,"",SUMIFS(BD!$K$3:$K$5001,BD!$B$3:$B$5001,V$114,BD!$A$3:$A$5001,_xlfn.MAXIFS(BD!$A$3:$A$5001,BD!$B$3:$B$5001,V$114,BD!$A$3:$A$5001,"&gt;="&amp;$C$7,BD!$A$3:$A$5001,"&lt;="&amp;$B136,BD!$K$3:$K$5001,"&lt;&gt;"))))</f>
        <v/>
      </c>
    </row>
    <row r="137">
      <c r="A137" s="38">
        <v>23</v>
      </c>
      <c r="B137" s="42">
        <f>$B$34</f>
        <v>46318</v>
      </c>
      <c r="C137" s="43" t="str">
        <f>IF(OR($B137="",$A137&gt;$B$9,C$114=""),"",IF(COUNTIFS(BD!$B$3:$B$5001,C$114,BD!$A$3:$A$5001,"&gt;="&amp;$C$7,BD!$A$3:$A$5001,"&lt;="&amp;$B137,BD!$K$3:$K$5001,"&lt;&gt;")=0,"",SUMIFS(BD!$K$3:$K$5001,BD!$B$3:$B$5001,C$114,BD!$A$3:$A$5001,_xlfn.MAXIFS(BD!$A$3:$A$5001,BD!$B$3:$B$5001,C$114,BD!$A$3:$A$5001,"&gt;="&amp;$C$7,BD!$A$3:$A$5001,"&lt;="&amp;$B137,BD!$K$3:$K$5001,"&lt;&gt;"))))</f>
        <v/>
      </c>
      <c r="D137" s="43" t="str">
        <f>IF(OR($B137="",$A137&gt;$B$9,D$114=""),"",IF(COUNTIFS(BD!$B$3:$B$5001,D$114,BD!$A$3:$A$5001,"&gt;="&amp;$C$7,BD!$A$3:$A$5001,"&lt;="&amp;$B137,BD!$K$3:$K$5001,"&lt;&gt;")=0,"",SUMIFS(BD!$K$3:$K$5001,BD!$B$3:$B$5001,D$114,BD!$A$3:$A$5001,_xlfn.MAXIFS(BD!$A$3:$A$5001,BD!$B$3:$B$5001,D$114,BD!$A$3:$A$5001,"&gt;="&amp;$C$7,BD!$A$3:$A$5001,"&lt;="&amp;$B137,BD!$K$3:$K$5001,"&lt;&gt;"))))</f>
        <v/>
      </c>
      <c r="E137" s="43" t="str">
        <f>IF(OR($B137="",$A137&gt;$B$9,E$114=""),"",IF(COUNTIFS(BD!$B$3:$B$5001,E$114,BD!$A$3:$A$5001,"&gt;="&amp;$C$7,BD!$A$3:$A$5001,"&lt;="&amp;$B137,BD!$K$3:$K$5001,"&lt;&gt;")=0,"",SUMIFS(BD!$K$3:$K$5001,BD!$B$3:$B$5001,E$114,BD!$A$3:$A$5001,_xlfn.MAXIFS(BD!$A$3:$A$5001,BD!$B$3:$B$5001,E$114,BD!$A$3:$A$5001,"&gt;="&amp;$C$7,BD!$A$3:$A$5001,"&lt;="&amp;$B137,BD!$K$3:$K$5001,"&lt;&gt;"))))</f>
        <v/>
      </c>
      <c r="F137" s="43" t="str">
        <f>IF(OR($B137="",$A137&gt;$B$9,F$114=""),"",IF(COUNTIFS(BD!$B$3:$B$5001,F$114,BD!$A$3:$A$5001,"&gt;="&amp;$C$7,BD!$A$3:$A$5001,"&lt;="&amp;$B137,BD!$K$3:$K$5001,"&lt;&gt;")=0,"",SUMIFS(BD!$K$3:$K$5001,BD!$B$3:$B$5001,F$114,BD!$A$3:$A$5001,_xlfn.MAXIFS(BD!$A$3:$A$5001,BD!$B$3:$B$5001,F$114,BD!$A$3:$A$5001,"&gt;="&amp;$C$7,BD!$A$3:$A$5001,"&lt;="&amp;$B137,BD!$K$3:$K$5001,"&lt;&gt;"))))</f>
        <v/>
      </c>
      <c r="G137" s="43" t="str">
        <f>IF(OR($B137="",$A137&gt;$B$9,G$114=""),"",IF(COUNTIFS(BD!$B$3:$B$5001,G$114,BD!$A$3:$A$5001,"&gt;="&amp;$C$7,BD!$A$3:$A$5001,"&lt;="&amp;$B137,BD!$K$3:$K$5001,"&lt;&gt;")=0,"",SUMIFS(BD!$K$3:$K$5001,BD!$B$3:$B$5001,G$114,BD!$A$3:$A$5001,_xlfn.MAXIFS(BD!$A$3:$A$5001,BD!$B$3:$B$5001,G$114,BD!$A$3:$A$5001,"&gt;="&amp;$C$7,BD!$A$3:$A$5001,"&lt;="&amp;$B137,BD!$K$3:$K$5001,"&lt;&gt;"))))</f>
        <v/>
      </c>
      <c r="H137" s="43" t="str">
        <f>IF(OR($B137="",$A137&gt;$B$9,H$114=""),"",IF(COUNTIFS(BD!$B$3:$B$5001,H$114,BD!$A$3:$A$5001,"&gt;="&amp;$C$7,BD!$A$3:$A$5001,"&lt;="&amp;$B137,BD!$K$3:$K$5001,"&lt;&gt;")=0,"",SUMIFS(BD!$K$3:$K$5001,BD!$B$3:$B$5001,H$114,BD!$A$3:$A$5001,_xlfn.MAXIFS(BD!$A$3:$A$5001,BD!$B$3:$B$5001,H$114,BD!$A$3:$A$5001,"&gt;="&amp;$C$7,BD!$A$3:$A$5001,"&lt;="&amp;$B137,BD!$K$3:$K$5001,"&lt;&gt;"))))</f>
        <v/>
      </c>
      <c r="I137" s="43" t="str">
        <f>IF(OR($B137="",$A137&gt;$B$9,I$114=""),"",IF(COUNTIFS(BD!$B$3:$B$5001,I$114,BD!$A$3:$A$5001,"&gt;="&amp;$C$7,BD!$A$3:$A$5001,"&lt;="&amp;$B137,BD!$K$3:$K$5001,"&lt;&gt;")=0,"",SUMIFS(BD!$K$3:$K$5001,BD!$B$3:$B$5001,I$114,BD!$A$3:$A$5001,_xlfn.MAXIFS(BD!$A$3:$A$5001,BD!$B$3:$B$5001,I$114,BD!$A$3:$A$5001,"&gt;="&amp;$C$7,BD!$A$3:$A$5001,"&lt;="&amp;$B137,BD!$K$3:$K$5001,"&lt;&gt;"))))</f>
        <v/>
      </c>
      <c r="J137" s="43" t="str">
        <f>IF(OR($B137="",$A137&gt;$B$9,J$114=""),"",IF(COUNTIFS(BD!$B$3:$B$5001,J$114,BD!$A$3:$A$5001,"&gt;="&amp;$C$7,BD!$A$3:$A$5001,"&lt;="&amp;$B137,BD!$K$3:$K$5001,"&lt;&gt;")=0,"",SUMIFS(BD!$K$3:$K$5001,BD!$B$3:$B$5001,J$114,BD!$A$3:$A$5001,_xlfn.MAXIFS(BD!$A$3:$A$5001,BD!$B$3:$B$5001,J$114,BD!$A$3:$A$5001,"&gt;="&amp;$C$7,BD!$A$3:$A$5001,"&lt;="&amp;$B137,BD!$K$3:$K$5001,"&lt;&gt;"))))</f>
        <v/>
      </c>
      <c r="K137" s="43" t="str">
        <f>IF(OR($B137="",$A137&gt;$B$9,K$114=""),"",IF(COUNTIFS(BD!$B$3:$B$5001,K$114,BD!$A$3:$A$5001,"&gt;="&amp;$C$7,BD!$A$3:$A$5001,"&lt;="&amp;$B137,BD!$K$3:$K$5001,"&lt;&gt;")=0,"",SUMIFS(BD!$K$3:$K$5001,BD!$B$3:$B$5001,K$114,BD!$A$3:$A$5001,_xlfn.MAXIFS(BD!$A$3:$A$5001,BD!$B$3:$B$5001,K$114,BD!$A$3:$A$5001,"&gt;="&amp;$C$7,BD!$A$3:$A$5001,"&lt;="&amp;$B137,BD!$K$3:$K$5001,"&lt;&gt;"))))</f>
        <v/>
      </c>
      <c r="L137" s="43" t="str">
        <f>IF(OR($B137="",$A137&gt;$B$9,L$114=""),"",IF(COUNTIFS(BD!$B$3:$B$5001,L$114,BD!$A$3:$A$5001,"&gt;="&amp;$C$7,BD!$A$3:$A$5001,"&lt;="&amp;$B137,BD!$K$3:$K$5001,"&lt;&gt;")=0,"",SUMIFS(BD!$K$3:$K$5001,BD!$B$3:$B$5001,L$114,BD!$A$3:$A$5001,_xlfn.MAXIFS(BD!$A$3:$A$5001,BD!$B$3:$B$5001,L$114,BD!$A$3:$A$5001,"&gt;="&amp;$C$7,BD!$A$3:$A$5001,"&lt;="&amp;$B137,BD!$K$3:$K$5001,"&lt;&gt;"))))</f>
        <v/>
      </c>
      <c r="M137" s="43" t="str">
        <f>IF(OR($B137="",$A137&gt;$B$9,M$114=""),"",IF(COUNTIFS(BD!$B$3:$B$5001,M$114,BD!$A$3:$A$5001,"&gt;="&amp;$C$7,BD!$A$3:$A$5001,"&lt;="&amp;$B137,BD!$K$3:$K$5001,"&lt;&gt;")=0,"",SUMIFS(BD!$K$3:$K$5001,BD!$B$3:$B$5001,M$114,BD!$A$3:$A$5001,_xlfn.MAXIFS(BD!$A$3:$A$5001,BD!$B$3:$B$5001,M$114,BD!$A$3:$A$5001,"&gt;="&amp;$C$7,BD!$A$3:$A$5001,"&lt;="&amp;$B137,BD!$K$3:$K$5001,"&lt;&gt;"))))</f>
        <v/>
      </c>
      <c r="N137" s="43" t="str">
        <f>IF(OR($B137="",$A137&gt;$B$9,N$114=""),"",IF(COUNTIFS(BD!$B$3:$B$5001,N$114,BD!$A$3:$A$5001,"&gt;="&amp;$C$7,BD!$A$3:$A$5001,"&lt;="&amp;$B137,BD!$K$3:$K$5001,"&lt;&gt;")=0,"",SUMIFS(BD!$K$3:$K$5001,BD!$B$3:$B$5001,N$114,BD!$A$3:$A$5001,_xlfn.MAXIFS(BD!$A$3:$A$5001,BD!$B$3:$B$5001,N$114,BD!$A$3:$A$5001,"&gt;="&amp;$C$7,BD!$A$3:$A$5001,"&lt;="&amp;$B137,BD!$K$3:$K$5001,"&lt;&gt;"))))</f>
        <v/>
      </c>
      <c r="O137" s="43" t="str">
        <f>IF(OR($B137="",$A137&gt;$B$9,O$114=""),"",IF(COUNTIFS(BD!$B$3:$B$5001,O$114,BD!$A$3:$A$5001,"&gt;="&amp;$C$7,BD!$A$3:$A$5001,"&lt;="&amp;$B137,BD!$K$3:$K$5001,"&lt;&gt;")=0,"",SUMIFS(BD!$K$3:$K$5001,BD!$B$3:$B$5001,O$114,BD!$A$3:$A$5001,_xlfn.MAXIFS(BD!$A$3:$A$5001,BD!$B$3:$B$5001,O$114,BD!$A$3:$A$5001,"&gt;="&amp;$C$7,BD!$A$3:$A$5001,"&lt;="&amp;$B137,BD!$K$3:$K$5001,"&lt;&gt;"))))</f>
        <v/>
      </c>
      <c r="P137" s="43" t="str">
        <f>IF(OR($B137="",$A137&gt;$B$9,P$114=""),"",IF(COUNTIFS(BD!$B$3:$B$5001,P$114,BD!$A$3:$A$5001,"&gt;="&amp;$C$7,BD!$A$3:$A$5001,"&lt;="&amp;$B137,BD!$K$3:$K$5001,"&lt;&gt;")=0,"",SUMIFS(BD!$K$3:$K$5001,BD!$B$3:$B$5001,P$114,BD!$A$3:$A$5001,_xlfn.MAXIFS(BD!$A$3:$A$5001,BD!$B$3:$B$5001,P$114,BD!$A$3:$A$5001,"&gt;="&amp;$C$7,BD!$A$3:$A$5001,"&lt;="&amp;$B137,BD!$K$3:$K$5001,"&lt;&gt;"))))</f>
        <v/>
      </c>
      <c r="Q137" s="43" t="str">
        <f>IF(OR($B137="",$A137&gt;$B$9,Q$114=""),"",IF(COUNTIFS(BD!$B$3:$B$5001,Q$114,BD!$A$3:$A$5001,"&gt;="&amp;$C$7,BD!$A$3:$A$5001,"&lt;="&amp;$B137,BD!$K$3:$K$5001,"&lt;&gt;")=0,"",SUMIFS(BD!$K$3:$K$5001,BD!$B$3:$B$5001,Q$114,BD!$A$3:$A$5001,_xlfn.MAXIFS(BD!$A$3:$A$5001,BD!$B$3:$B$5001,Q$114,BD!$A$3:$A$5001,"&gt;="&amp;$C$7,BD!$A$3:$A$5001,"&lt;="&amp;$B137,BD!$K$3:$K$5001,"&lt;&gt;"))))</f>
        <v/>
      </c>
      <c r="R137" s="43" t="str">
        <f>IF(OR($B137="",$A137&gt;$B$9,R$114=""),"",IF(COUNTIFS(BD!$B$3:$B$5001,R$114,BD!$A$3:$A$5001,"&gt;="&amp;$C$7,BD!$A$3:$A$5001,"&lt;="&amp;$B137,BD!$K$3:$K$5001,"&lt;&gt;")=0,"",SUMIFS(BD!$K$3:$K$5001,BD!$B$3:$B$5001,R$114,BD!$A$3:$A$5001,_xlfn.MAXIFS(BD!$A$3:$A$5001,BD!$B$3:$B$5001,R$114,BD!$A$3:$A$5001,"&gt;="&amp;$C$7,BD!$A$3:$A$5001,"&lt;="&amp;$B137,BD!$K$3:$K$5001,"&lt;&gt;"))))</f>
        <v/>
      </c>
      <c r="S137" s="43" t="str">
        <f>IF(OR($B137="",$A137&gt;$B$9,S$114=""),"",IF(COUNTIFS(BD!$B$3:$B$5001,S$114,BD!$A$3:$A$5001,"&gt;="&amp;$C$7,BD!$A$3:$A$5001,"&lt;="&amp;$B137,BD!$K$3:$K$5001,"&lt;&gt;")=0,"",SUMIFS(BD!$K$3:$K$5001,BD!$B$3:$B$5001,S$114,BD!$A$3:$A$5001,_xlfn.MAXIFS(BD!$A$3:$A$5001,BD!$B$3:$B$5001,S$114,BD!$A$3:$A$5001,"&gt;="&amp;$C$7,BD!$A$3:$A$5001,"&lt;="&amp;$B137,BD!$K$3:$K$5001,"&lt;&gt;"))))</f>
        <v/>
      </c>
      <c r="T137" s="43" t="str">
        <f>IF(OR($B137="",$A137&gt;$B$9,T$114=""),"",IF(COUNTIFS(BD!$B$3:$B$5001,T$114,BD!$A$3:$A$5001,"&gt;="&amp;$C$7,BD!$A$3:$A$5001,"&lt;="&amp;$B137,BD!$K$3:$K$5001,"&lt;&gt;")=0,"",SUMIFS(BD!$K$3:$K$5001,BD!$B$3:$B$5001,T$114,BD!$A$3:$A$5001,_xlfn.MAXIFS(BD!$A$3:$A$5001,BD!$B$3:$B$5001,T$114,BD!$A$3:$A$5001,"&gt;="&amp;$C$7,BD!$A$3:$A$5001,"&lt;="&amp;$B137,BD!$K$3:$K$5001,"&lt;&gt;"))))</f>
        <v/>
      </c>
      <c r="U137" s="43" t="str">
        <f>IF(OR($B137="",$A137&gt;$B$9,U$114=""),"",IF(COUNTIFS(BD!$B$3:$B$5001,U$114,BD!$A$3:$A$5001,"&gt;="&amp;$C$7,BD!$A$3:$A$5001,"&lt;="&amp;$B137,BD!$K$3:$K$5001,"&lt;&gt;")=0,"",SUMIFS(BD!$K$3:$K$5001,BD!$B$3:$B$5001,U$114,BD!$A$3:$A$5001,_xlfn.MAXIFS(BD!$A$3:$A$5001,BD!$B$3:$B$5001,U$114,BD!$A$3:$A$5001,"&gt;="&amp;$C$7,BD!$A$3:$A$5001,"&lt;="&amp;$B137,BD!$K$3:$K$5001,"&lt;&gt;"))))</f>
        <v/>
      </c>
      <c r="V137" s="43" t="str">
        <f>IF(OR($B137="",$A137&gt;$B$9,V$114=""),"",IF(COUNTIFS(BD!$B$3:$B$5001,V$114,BD!$A$3:$A$5001,"&gt;="&amp;$C$7,BD!$A$3:$A$5001,"&lt;="&amp;$B137,BD!$K$3:$K$5001,"&lt;&gt;")=0,"",SUMIFS(BD!$K$3:$K$5001,BD!$B$3:$B$5001,V$114,BD!$A$3:$A$5001,_xlfn.MAXIFS(BD!$A$3:$A$5001,BD!$B$3:$B$5001,V$114,BD!$A$3:$A$5001,"&gt;="&amp;$C$7,BD!$A$3:$A$5001,"&lt;="&amp;$B137,BD!$K$3:$K$5001,"&lt;&gt;"))))</f>
        <v/>
      </c>
    </row>
    <row r="138">
      <c r="A138" s="38">
        <v>24</v>
      </c>
      <c r="B138" s="42">
        <f>$B$35</f>
        <v>46319</v>
      </c>
      <c r="C138" s="43" t="str">
        <f>IF(OR($B138="",$A138&gt;$B$9,C$114=""),"",IF(COUNTIFS(BD!$B$3:$B$5001,C$114,BD!$A$3:$A$5001,"&gt;="&amp;$C$7,BD!$A$3:$A$5001,"&lt;="&amp;$B138,BD!$K$3:$K$5001,"&lt;&gt;")=0,"",SUMIFS(BD!$K$3:$K$5001,BD!$B$3:$B$5001,C$114,BD!$A$3:$A$5001,_xlfn.MAXIFS(BD!$A$3:$A$5001,BD!$B$3:$B$5001,C$114,BD!$A$3:$A$5001,"&gt;="&amp;$C$7,BD!$A$3:$A$5001,"&lt;="&amp;$B138,BD!$K$3:$K$5001,"&lt;&gt;"))))</f>
        <v/>
      </c>
      <c r="D138" s="43" t="str">
        <f>IF(OR($B138="",$A138&gt;$B$9,D$114=""),"",IF(COUNTIFS(BD!$B$3:$B$5001,D$114,BD!$A$3:$A$5001,"&gt;="&amp;$C$7,BD!$A$3:$A$5001,"&lt;="&amp;$B138,BD!$K$3:$K$5001,"&lt;&gt;")=0,"",SUMIFS(BD!$K$3:$K$5001,BD!$B$3:$B$5001,D$114,BD!$A$3:$A$5001,_xlfn.MAXIFS(BD!$A$3:$A$5001,BD!$B$3:$B$5001,D$114,BD!$A$3:$A$5001,"&gt;="&amp;$C$7,BD!$A$3:$A$5001,"&lt;="&amp;$B138,BD!$K$3:$K$5001,"&lt;&gt;"))))</f>
        <v/>
      </c>
      <c r="E138" s="43" t="str">
        <f>IF(OR($B138="",$A138&gt;$B$9,E$114=""),"",IF(COUNTIFS(BD!$B$3:$B$5001,E$114,BD!$A$3:$A$5001,"&gt;="&amp;$C$7,BD!$A$3:$A$5001,"&lt;="&amp;$B138,BD!$K$3:$K$5001,"&lt;&gt;")=0,"",SUMIFS(BD!$K$3:$K$5001,BD!$B$3:$B$5001,E$114,BD!$A$3:$A$5001,_xlfn.MAXIFS(BD!$A$3:$A$5001,BD!$B$3:$B$5001,E$114,BD!$A$3:$A$5001,"&gt;="&amp;$C$7,BD!$A$3:$A$5001,"&lt;="&amp;$B138,BD!$K$3:$K$5001,"&lt;&gt;"))))</f>
        <v/>
      </c>
      <c r="F138" s="43" t="str">
        <f>IF(OR($B138="",$A138&gt;$B$9,F$114=""),"",IF(COUNTIFS(BD!$B$3:$B$5001,F$114,BD!$A$3:$A$5001,"&gt;="&amp;$C$7,BD!$A$3:$A$5001,"&lt;="&amp;$B138,BD!$K$3:$K$5001,"&lt;&gt;")=0,"",SUMIFS(BD!$K$3:$K$5001,BD!$B$3:$B$5001,F$114,BD!$A$3:$A$5001,_xlfn.MAXIFS(BD!$A$3:$A$5001,BD!$B$3:$B$5001,F$114,BD!$A$3:$A$5001,"&gt;="&amp;$C$7,BD!$A$3:$A$5001,"&lt;="&amp;$B138,BD!$K$3:$K$5001,"&lt;&gt;"))))</f>
        <v/>
      </c>
      <c r="G138" s="43" t="str">
        <f>IF(OR($B138="",$A138&gt;$B$9,G$114=""),"",IF(COUNTIFS(BD!$B$3:$B$5001,G$114,BD!$A$3:$A$5001,"&gt;="&amp;$C$7,BD!$A$3:$A$5001,"&lt;="&amp;$B138,BD!$K$3:$K$5001,"&lt;&gt;")=0,"",SUMIFS(BD!$K$3:$K$5001,BD!$B$3:$B$5001,G$114,BD!$A$3:$A$5001,_xlfn.MAXIFS(BD!$A$3:$A$5001,BD!$B$3:$B$5001,G$114,BD!$A$3:$A$5001,"&gt;="&amp;$C$7,BD!$A$3:$A$5001,"&lt;="&amp;$B138,BD!$K$3:$K$5001,"&lt;&gt;"))))</f>
        <v/>
      </c>
      <c r="H138" s="43" t="str">
        <f>IF(OR($B138="",$A138&gt;$B$9,H$114=""),"",IF(COUNTIFS(BD!$B$3:$B$5001,H$114,BD!$A$3:$A$5001,"&gt;="&amp;$C$7,BD!$A$3:$A$5001,"&lt;="&amp;$B138,BD!$K$3:$K$5001,"&lt;&gt;")=0,"",SUMIFS(BD!$K$3:$K$5001,BD!$B$3:$B$5001,H$114,BD!$A$3:$A$5001,_xlfn.MAXIFS(BD!$A$3:$A$5001,BD!$B$3:$B$5001,H$114,BD!$A$3:$A$5001,"&gt;="&amp;$C$7,BD!$A$3:$A$5001,"&lt;="&amp;$B138,BD!$K$3:$K$5001,"&lt;&gt;"))))</f>
        <v/>
      </c>
      <c r="I138" s="43" t="str">
        <f>IF(OR($B138="",$A138&gt;$B$9,I$114=""),"",IF(COUNTIFS(BD!$B$3:$B$5001,I$114,BD!$A$3:$A$5001,"&gt;="&amp;$C$7,BD!$A$3:$A$5001,"&lt;="&amp;$B138,BD!$K$3:$K$5001,"&lt;&gt;")=0,"",SUMIFS(BD!$K$3:$K$5001,BD!$B$3:$B$5001,I$114,BD!$A$3:$A$5001,_xlfn.MAXIFS(BD!$A$3:$A$5001,BD!$B$3:$B$5001,I$114,BD!$A$3:$A$5001,"&gt;="&amp;$C$7,BD!$A$3:$A$5001,"&lt;="&amp;$B138,BD!$K$3:$K$5001,"&lt;&gt;"))))</f>
        <v/>
      </c>
      <c r="J138" s="43" t="str">
        <f>IF(OR($B138="",$A138&gt;$B$9,J$114=""),"",IF(COUNTIFS(BD!$B$3:$B$5001,J$114,BD!$A$3:$A$5001,"&gt;="&amp;$C$7,BD!$A$3:$A$5001,"&lt;="&amp;$B138,BD!$K$3:$K$5001,"&lt;&gt;")=0,"",SUMIFS(BD!$K$3:$K$5001,BD!$B$3:$B$5001,J$114,BD!$A$3:$A$5001,_xlfn.MAXIFS(BD!$A$3:$A$5001,BD!$B$3:$B$5001,J$114,BD!$A$3:$A$5001,"&gt;="&amp;$C$7,BD!$A$3:$A$5001,"&lt;="&amp;$B138,BD!$K$3:$K$5001,"&lt;&gt;"))))</f>
        <v/>
      </c>
      <c r="K138" s="43" t="str">
        <f>IF(OR($B138="",$A138&gt;$B$9,K$114=""),"",IF(COUNTIFS(BD!$B$3:$B$5001,K$114,BD!$A$3:$A$5001,"&gt;="&amp;$C$7,BD!$A$3:$A$5001,"&lt;="&amp;$B138,BD!$K$3:$K$5001,"&lt;&gt;")=0,"",SUMIFS(BD!$K$3:$K$5001,BD!$B$3:$B$5001,K$114,BD!$A$3:$A$5001,_xlfn.MAXIFS(BD!$A$3:$A$5001,BD!$B$3:$B$5001,K$114,BD!$A$3:$A$5001,"&gt;="&amp;$C$7,BD!$A$3:$A$5001,"&lt;="&amp;$B138,BD!$K$3:$K$5001,"&lt;&gt;"))))</f>
        <v/>
      </c>
      <c r="L138" s="43" t="str">
        <f>IF(OR($B138="",$A138&gt;$B$9,L$114=""),"",IF(COUNTIFS(BD!$B$3:$B$5001,L$114,BD!$A$3:$A$5001,"&gt;="&amp;$C$7,BD!$A$3:$A$5001,"&lt;="&amp;$B138,BD!$K$3:$K$5001,"&lt;&gt;")=0,"",SUMIFS(BD!$K$3:$K$5001,BD!$B$3:$B$5001,L$114,BD!$A$3:$A$5001,_xlfn.MAXIFS(BD!$A$3:$A$5001,BD!$B$3:$B$5001,L$114,BD!$A$3:$A$5001,"&gt;="&amp;$C$7,BD!$A$3:$A$5001,"&lt;="&amp;$B138,BD!$K$3:$K$5001,"&lt;&gt;"))))</f>
        <v/>
      </c>
      <c r="M138" s="43" t="str">
        <f>IF(OR($B138="",$A138&gt;$B$9,M$114=""),"",IF(COUNTIFS(BD!$B$3:$B$5001,M$114,BD!$A$3:$A$5001,"&gt;="&amp;$C$7,BD!$A$3:$A$5001,"&lt;="&amp;$B138,BD!$K$3:$K$5001,"&lt;&gt;")=0,"",SUMIFS(BD!$K$3:$K$5001,BD!$B$3:$B$5001,M$114,BD!$A$3:$A$5001,_xlfn.MAXIFS(BD!$A$3:$A$5001,BD!$B$3:$B$5001,M$114,BD!$A$3:$A$5001,"&gt;="&amp;$C$7,BD!$A$3:$A$5001,"&lt;="&amp;$B138,BD!$K$3:$K$5001,"&lt;&gt;"))))</f>
        <v/>
      </c>
      <c r="N138" s="43" t="str">
        <f>IF(OR($B138="",$A138&gt;$B$9,N$114=""),"",IF(COUNTIFS(BD!$B$3:$B$5001,N$114,BD!$A$3:$A$5001,"&gt;="&amp;$C$7,BD!$A$3:$A$5001,"&lt;="&amp;$B138,BD!$K$3:$K$5001,"&lt;&gt;")=0,"",SUMIFS(BD!$K$3:$K$5001,BD!$B$3:$B$5001,N$114,BD!$A$3:$A$5001,_xlfn.MAXIFS(BD!$A$3:$A$5001,BD!$B$3:$B$5001,N$114,BD!$A$3:$A$5001,"&gt;="&amp;$C$7,BD!$A$3:$A$5001,"&lt;="&amp;$B138,BD!$K$3:$K$5001,"&lt;&gt;"))))</f>
        <v/>
      </c>
      <c r="O138" s="43" t="str">
        <f>IF(OR($B138="",$A138&gt;$B$9,O$114=""),"",IF(COUNTIFS(BD!$B$3:$B$5001,O$114,BD!$A$3:$A$5001,"&gt;="&amp;$C$7,BD!$A$3:$A$5001,"&lt;="&amp;$B138,BD!$K$3:$K$5001,"&lt;&gt;")=0,"",SUMIFS(BD!$K$3:$K$5001,BD!$B$3:$B$5001,O$114,BD!$A$3:$A$5001,_xlfn.MAXIFS(BD!$A$3:$A$5001,BD!$B$3:$B$5001,O$114,BD!$A$3:$A$5001,"&gt;="&amp;$C$7,BD!$A$3:$A$5001,"&lt;="&amp;$B138,BD!$K$3:$K$5001,"&lt;&gt;"))))</f>
        <v/>
      </c>
      <c r="P138" s="43" t="str">
        <f>IF(OR($B138="",$A138&gt;$B$9,P$114=""),"",IF(COUNTIFS(BD!$B$3:$B$5001,P$114,BD!$A$3:$A$5001,"&gt;="&amp;$C$7,BD!$A$3:$A$5001,"&lt;="&amp;$B138,BD!$K$3:$K$5001,"&lt;&gt;")=0,"",SUMIFS(BD!$K$3:$K$5001,BD!$B$3:$B$5001,P$114,BD!$A$3:$A$5001,_xlfn.MAXIFS(BD!$A$3:$A$5001,BD!$B$3:$B$5001,P$114,BD!$A$3:$A$5001,"&gt;="&amp;$C$7,BD!$A$3:$A$5001,"&lt;="&amp;$B138,BD!$K$3:$K$5001,"&lt;&gt;"))))</f>
        <v/>
      </c>
      <c r="Q138" s="43" t="str">
        <f>IF(OR($B138="",$A138&gt;$B$9,Q$114=""),"",IF(COUNTIFS(BD!$B$3:$B$5001,Q$114,BD!$A$3:$A$5001,"&gt;="&amp;$C$7,BD!$A$3:$A$5001,"&lt;="&amp;$B138,BD!$K$3:$K$5001,"&lt;&gt;")=0,"",SUMIFS(BD!$K$3:$K$5001,BD!$B$3:$B$5001,Q$114,BD!$A$3:$A$5001,_xlfn.MAXIFS(BD!$A$3:$A$5001,BD!$B$3:$B$5001,Q$114,BD!$A$3:$A$5001,"&gt;="&amp;$C$7,BD!$A$3:$A$5001,"&lt;="&amp;$B138,BD!$K$3:$K$5001,"&lt;&gt;"))))</f>
        <v/>
      </c>
      <c r="R138" s="43" t="str">
        <f>IF(OR($B138="",$A138&gt;$B$9,R$114=""),"",IF(COUNTIFS(BD!$B$3:$B$5001,R$114,BD!$A$3:$A$5001,"&gt;="&amp;$C$7,BD!$A$3:$A$5001,"&lt;="&amp;$B138,BD!$K$3:$K$5001,"&lt;&gt;")=0,"",SUMIFS(BD!$K$3:$K$5001,BD!$B$3:$B$5001,R$114,BD!$A$3:$A$5001,_xlfn.MAXIFS(BD!$A$3:$A$5001,BD!$B$3:$B$5001,R$114,BD!$A$3:$A$5001,"&gt;="&amp;$C$7,BD!$A$3:$A$5001,"&lt;="&amp;$B138,BD!$K$3:$K$5001,"&lt;&gt;"))))</f>
        <v/>
      </c>
      <c r="S138" s="43" t="str">
        <f>IF(OR($B138="",$A138&gt;$B$9,S$114=""),"",IF(COUNTIFS(BD!$B$3:$B$5001,S$114,BD!$A$3:$A$5001,"&gt;="&amp;$C$7,BD!$A$3:$A$5001,"&lt;="&amp;$B138,BD!$K$3:$K$5001,"&lt;&gt;")=0,"",SUMIFS(BD!$K$3:$K$5001,BD!$B$3:$B$5001,S$114,BD!$A$3:$A$5001,_xlfn.MAXIFS(BD!$A$3:$A$5001,BD!$B$3:$B$5001,S$114,BD!$A$3:$A$5001,"&gt;="&amp;$C$7,BD!$A$3:$A$5001,"&lt;="&amp;$B138,BD!$K$3:$K$5001,"&lt;&gt;"))))</f>
        <v/>
      </c>
      <c r="T138" s="43" t="str">
        <f>IF(OR($B138="",$A138&gt;$B$9,T$114=""),"",IF(COUNTIFS(BD!$B$3:$B$5001,T$114,BD!$A$3:$A$5001,"&gt;="&amp;$C$7,BD!$A$3:$A$5001,"&lt;="&amp;$B138,BD!$K$3:$K$5001,"&lt;&gt;")=0,"",SUMIFS(BD!$K$3:$K$5001,BD!$B$3:$B$5001,T$114,BD!$A$3:$A$5001,_xlfn.MAXIFS(BD!$A$3:$A$5001,BD!$B$3:$B$5001,T$114,BD!$A$3:$A$5001,"&gt;="&amp;$C$7,BD!$A$3:$A$5001,"&lt;="&amp;$B138,BD!$K$3:$K$5001,"&lt;&gt;"))))</f>
        <v/>
      </c>
      <c r="U138" s="43" t="str">
        <f>IF(OR($B138="",$A138&gt;$B$9,U$114=""),"",IF(COUNTIFS(BD!$B$3:$B$5001,U$114,BD!$A$3:$A$5001,"&gt;="&amp;$C$7,BD!$A$3:$A$5001,"&lt;="&amp;$B138,BD!$K$3:$K$5001,"&lt;&gt;")=0,"",SUMIFS(BD!$K$3:$K$5001,BD!$B$3:$B$5001,U$114,BD!$A$3:$A$5001,_xlfn.MAXIFS(BD!$A$3:$A$5001,BD!$B$3:$B$5001,U$114,BD!$A$3:$A$5001,"&gt;="&amp;$C$7,BD!$A$3:$A$5001,"&lt;="&amp;$B138,BD!$K$3:$K$5001,"&lt;&gt;"))))</f>
        <v/>
      </c>
      <c r="V138" s="43" t="str">
        <f>IF(OR($B138="",$A138&gt;$B$9,V$114=""),"",IF(COUNTIFS(BD!$B$3:$B$5001,V$114,BD!$A$3:$A$5001,"&gt;="&amp;$C$7,BD!$A$3:$A$5001,"&lt;="&amp;$B138,BD!$K$3:$K$5001,"&lt;&gt;")=0,"",SUMIFS(BD!$K$3:$K$5001,BD!$B$3:$B$5001,V$114,BD!$A$3:$A$5001,_xlfn.MAXIFS(BD!$A$3:$A$5001,BD!$B$3:$B$5001,V$114,BD!$A$3:$A$5001,"&gt;="&amp;$C$7,BD!$A$3:$A$5001,"&lt;="&amp;$B138,BD!$K$3:$K$5001,"&lt;&gt;"))))</f>
        <v/>
      </c>
    </row>
    <row r="139">
      <c r="A139" s="38">
        <v>25</v>
      </c>
      <c r="B139" s="42">
        <f>$B$36</f>
        <v>46320</v>
      </c>
      <c r="C139" s="43" t="str">
        <f>IF(OR($B139="",$A139&gt;$B$9,C$114=""),"",IF(COUNTIFS(BD!$B$3:$B$5001,C$114,BD!$A$3:$A$5001,"&gt;="&amp;$C$7,BD!$A$3:$A$5001,"&lt;="&amp;$B139,BD!$K$3:$K$5001,"&lt;&gt;")=0,"",SUMIFS(BD!$K$3:$K$5001,BD!$B$3:$B$5001,C$114,BD!$A$3:$A$5001,_xlfn.MAXIFS(BD!$A$3:$A$5001,BD!$B$3:$B$5001,C$114,BD!$A$3:$A$5001,"&gt;="&amp;$C$7,BD!$A$3:$A$5001,"&lt;="&amp;$B139,BD!$K$3:$K$5001,"&lt;&gt;"))))</f>
        <v/>
      </c>
      <c r="D139" s="43" t="str">
        <f>IF(OR($B139="",$A139&gt;$B$9,D$114=""),"",IF(COUNTIFS(BD!$B$3:$B$5001,D$114,BD!$A$3:$A$5001,"&gt;="&amp;$C$7,BD!$A$3:$A$5001,"&lt;="&amp;$B139,BD!$K$3:$K$5001,"&lt;&gt;")=0,"",SUMIFS(BD!$K$3:$K$5001,BD!$B$3:$B$5001,D$114,BD!$A$3:$A$5001,_xlfn.MAXIFS(BD!$A$3:$A$5001,BD!$B$3:$B$5001,D$114,BD!$A$3:$A$5001,"&gt;="&amp;$C$7,BD!$A$3:$A$5001,"&lt;="&amp;$B139,BD!$K$3:$K$5001,"&lt;&gt;"))))</f>
        <v/>
      </c>
      <c r="E139" s="43" t="str">
        <f>IF(OR($B139="",$A139&gt;$B$9,E$114=""),"",IF(COUNTIFS(BD!$B$3:$B$5001,E$114,BD!$A$3:$A$5001,"&gt;="&amp;$C$7,BD!$A$3:$A$5001,"&lt;="&amp;$B139,BD!$K$3:$K$5001,"&lt;&gt;")=0,"",SUMIFS(BD!$K$3:$K$5001,BD!$B$3:$B$5001,E$114,BD!$A$3:$A$5001,_xlfn.MAXIFS(BD!$A$3:$A$5001,BD!$B$3:$B$5001,E$114,BD!$A$3:$A$5001,"&gt;="&amp;$C$7,BD!$A$3:$A$5001,"&lt;="&amp;$B139,BD!$K$3:$K$5001,"&lt;&gt;"))))</f>
        <v/>
      </c>
      <c r="F139" s="43" t="str">
        <f>IF(OR($B139="",$A139&gt;$B$9,F$114=""),"",IF(COUNTIFS(BD!$B$3:$B$5001,F$114,BD!$A$3:$A$5001,"&gt;="&amp;$C$7,BD!$A$3:$A$5001,"&lt;="&amp;$B139,BD!$K$3:$K$5001,"&lt;&gt;")=0,"",SUMIFS(BD!$K$3:$K$5001,BD!$B$3:$B$5001,F$114,BD!$A$3:$A$5001,_xlfn.MAXIFS(BD!$A$3:$A$5001,BD!$B$3:$B$5001,F$114,BD!$A$3:$A$5001,"&gt;="&amp;$C$7,BD!$A$3:$A$5001,"&lt;="&amp;$B139,BD!$K$3:$K$5001,"&lt;&gt;"))))</f>
        <v/>
      </c>
      <c r="G139" s="43" t="str">
        <f>IF(OR($B139="",$A139&gt;$B$9,G$114=""),"",IF(COUNTIFS(BD!$B$3:$B$5001,G$114,BD!$A$3:$A$5001,"&gt;="&amp;$C$7,BD!$A$3:$A$5001,"&lt;="&amp;$B139,BD!$K$3:$K$5001,"&lt;&gt;")=0,"",SUMIFS(BD!$K$3:$K$5001,BD!$B$3:$B$5001,G$114,BD!$A$3:$A$5001,_xlfn.MAXIFS(BD!$A$3:$A$5001,BD!$B$3:$B$5001,G$114,BD!$A$3:$A$5001,"&gt;="&amp;$C$7,BD!$A$3:$A$5001,"&lt;="&amp;$B139,BD!$K$3:$K$5001,"&lt;&gt;"))))</f>
        <v/>
      </c>
      <c r="H139" s="43" t="str">
        <f>IF(OR($B139="",$A139&gt;$B$9,H$114=""),"",IF(COUNTIFS(BD!$B$3:$B$5001,H$114,BD!$A$3:$A$5001,"&gt;="&amp;$C$7,BD!$A$3:$A$5001,"&lt;="&amp;$B139,BD!$K$3:$K$5001,"&lt;&gt;")=0,"",SUMIFS(BD!$K$3:$K$5001,BD!$B$3:$B$5001,H$114,BD!$A$3:$A$5001,_xlfn.MAXIFS(BD!$A$3:$A$5001,BD!$B$3:$B$5001,H$114,BD!$A$3:$A$5001,"&gt;="&amp;$C$7,BD!$A$3:$A$5001,"&lt;="&amp;$B139,BD!$K$3:$K$5001,"&lt;&gt;"))))</f>
        <v/>
      </c>
      <c r="I139" s="43" t="str">
        <f>IF(OR($B139="",$A139&gt;$B$9,I$114=""),"",IF(COUNTIFS(BD!$B$3:$B$5001,I$114,BD!$A$3:$A$5001,"&gt;="&amp;$C$7,BD!$A$3:$A$5001,"&lt;="&amp;$B139,BD!$K$3:$K$5001,"&lt;&gt;")=0,"",SUMIFS(BD!$K$3:$K$5001,BD!$B$3:$B$5001,I$114,BD!$A$3:$A$5001,_xlfn.MAXIFS(BD!$A$3:$A$5001,BD!$B$3:$B$5001,I$114,BD!$A$3:$A$5001,"&gt;="&amp;$C$7,BD!$A$3:$A$5001,"&lt;="&amp;$B139,BD!$K$3:$K$5001,"&lt;&gt;"))))</f>
        <v/>
      </c>
      <c r="J139" s="43" t="str">
        <f>IF(OR($B139="",$A139&gt;$B$9,J$114=""),"",IF(COUNTIFS(BD!$B$3:$B$5001,J$114,BD!$A$3:$A$5001,"&gt;="&amp;$C$7,BD!$A$3:$A$5001,"&lt;="&amp;$B139,BD!$K$3:$K$5001,"&lt;&gt;")=0,"",SUMIFS(BD!$K$3:$K$5001,BD!$B$3:$B$5001,J$114,BD!$A$3:$A$5001,_xlfn.MAXIFS(BD!$A$3:$A$5001,BD!$B$3:$B$5001,J$114,BD!$A$3:$A$5001,"&gt;="&amp;$C$7,BD!$A$3:$A$5001,"&lt;="&amp;$B139,BD!$K$3:$K$5001,"&lt;&gt;"))))</f>
        <v/>
      </c>
      <c r="K139" s="43" t="str">
        <f>IF(OR($B139="",$A139&gt;$B$9,K$114=""),"",IF(COUNTIFS(BD!$B$3:$B$5001,K$114,BD!$A$3:$A$5001,"&gt;="&amp;$C$7,BD!$A$3:$A$5001,"&lt;="&amp;$B139,BD!$K$3:$K$5001,"&lt;&gt;")=0,"",SUMIFS(BD!$K$3:$K$5001,BD!$B$3:$B$5001,K$114,BD!$A$3:$A$5001,_xlfn.MAXIFS(BD!$A$3:$A$5001,BD!$B$3:$B$5001,K$114,BD!$A$3:$A$5001,"&gt;="&amp;$C$7,BD!$A$3:$A$5001,"&lt;="&amp;$B139,BD!$K$3:$K$5001,"&lt;&gt;"))))</f>
        <v/>
      </c>
      <c r="L139" s="43" t="str">
        <f>IF(OR($B139="",$A139&gt;$B$9,L$114=""),"",IF(COUNTIFS(BD!$B$3:$B$5001,L$114,BD!$A$3:$A$5001,"&gt;="&amp;$C$7,BD!$A$3:$A$5001,"&lt;="&amp;$B139,BD!$K$3:$K$5001,"&lt;&gt;")=0,"",SUMIFS(BD!$K$3:$K$5001,BD!$B$3:$B$5001,L$114,BD!$A$3:$A$5001,_xlfn.MAXIFS(BD!$A$3:$A$5001,BD!$B$3:$B$5001,L$114,BD!$A$3:$A$5001,"&gt;="&amp;$C$7,BD!$A$3:$A$5001,"&lt;="&amp;$B139,BD!$K$3:$K$5001,"&lt;&gt;"))))</f>
        <v/>
      </c>
      <c r="M139" s="43" t="str">
        <f>IF(OR($B139="",$A139&gt;$B$9,M$114=""),"",IF(COUNTIFS(BD!$B$3:$B$5001,M$114,BD!$A$3:$A$5001,"&gt;="&amp;$C$7,BD!$A$3:$A$5001,"&lt;="&amp;$B139,BD!$K$3:$K$5001,"&lt;&gt;")=0,"",SUMIFS(BD!$K$3:$K$5001,BD!$B$3:$B$5001,M$114,BD!$A$3:$A$5001,_xlfn.MAXIFS(BD!$A$3:$A$5001,BD!$B$3:$B$5001,M$114,BD!$A$3:$A$5001,"&gt;="&amp;$C$7,BD!$A$3:$A$5001,"&lt;="&amp;$B139,BD!$K$3:$K$5001,"&lt;&gt;"))))</f>
        <v/>
      </c>
      <c r="N139" s="43" t="str">
        <f>IF(OR($B139="",$A139&gt;$B$9,N$114=""),"",IF(COUNTIFS(BD!$B$3:$B$5001,N$114,BD!$A$3:$A$5001,"&gt;="&amp;$C$7,BD!$A$3:$A$5001,"&lt;="&amp;$B139,BD!$K$3:$K$5001,"&lt;&gt;")=0,"",SUMIFS(BD!$K$3:$K$5001,BD!$B$3:$B$5001,N$114,BD!$A$3:$A$5001,_xlfn.MAXIFS(BD!$A$3:$A$5001,BD!$B$3:$B$5001,N$114,BD!$A$3:$A$5001,"&gt;="&amp;$C$7,BD!$A$3:$A$5001,"&lt;="&amp;$B139,BD!$K$3:$K$5001,"&lt;&gt;"))))</f>
        <v/>
      </c>
      <c r="O139" s="43" t="str">
        <f>IF(OR($B139="",$A139&gt;$B$9,O$114=""),"",IF(COUNTIFS(BD!$B$3:$B$5001,O$114,BD!$A$3:$A$5001,"&gt;="&amp;$C$7,BD!$A$3:$A$5001,"&lt;="&amp;$B139,BD!$K$3:$K$5001,"&lt;&gt;")=0,"",SUMIFS(BD!$K$3:$K$5001,BD!$B$3:$B$5001,O$114,BD!$A$3:$A$5001,_xlfn.MAXIFS(BD!$A$3:$A$5001,BD!$B$3:$B$5001,O$114,BD!$A$3:$A$5001,"&gt;="&amp;$C$7,BD!$A$3:$A$5001,"&lt;="&amp;$B139,BD!$K$3:$K$5001,"&lt;&gt;"))))</f>
        <v/>
      </c>
      <c r="P139" s="43" t="str">
        <f>IF(OR($B139="",$A139&gt;$B$9,P$114=""),"",IF(COUNTIFS(BD!$B$3:$B$5001,P$114,BD!$A$3:$A$5001,"&gt;="&amp;$C$7,BD!$A$3:$A$5001,"&lt;="&amp;$B139,BD!$K$3:$K$5001,"&lt;&gt;")=0,"",SUMIFS(BD!$K$3:$K$5001,BD!$B$3:$B$5001,P$114,BD!$A$3:$A$5001,_xlfn.MAXIFS(BD!$A$3:$A$5001,BD!$B$3:$B$5001,P$114,BD!$A$3:$A$5001,"&gt;="&amp;$C$7,BD!$A$3:$A$5001,"&lt;="&amp;$B139,BD!$K$3:$K$5001,"&lt;&gt;"))))</f>
        <v/>
      </c>
      <c r="Q139" s="43" t="str">
        <f>IF(OR($B139="",$A139&gt;$B$9,Q$114=""),"",IF(COUNTIFS(BD!$B$3:$B$5001,Q$114,BD!$A$3:$A$5001,"&gt;="&amp;$C$7,BD!$A$3:$A$5001,"&lt;="&amp;$B139,BD!$K$3:$K$5001,"&lt;&gt;")=0,"",SUMIFS(BD!$K$3:$K$5001,BD!$B$3:$B$5001,Q$114,BD!$A$3:$A$5001,_xlfn.MAXIFS(BD!$A$3:$A$5001,BD!$B$3:$B$5001,Q$114,BD!$A$3:$A$5001,"&gt;="&amp;$C$7,BD!$A$3:$A$5001,"&lt;="&amp;$B139,BD!$K$3:$K$5001,"&lt;&gt;"))))</f>
        <v/>
      </c>
      <c r="R139" s="43" t="str">
        <f>IF(OR($B139="",$A139&gt;$B$9,R$114=""),"",IF(COUNTIFS(BD!$B$3:$B$5001,R$114,BD!$A$3:$A$5001,"&gt;="&amp;$C$7,BD!$A$3:$A$5001,"&lt;="&amp;$B139,BD!$K$3:$K$5001,"&lt;&gt;")=0,"",SUMIFS(BD!$K$3:$K$5001,BD!$B$3:$B$5001,R$114,BD!$A$3:$A$5001,_xlfn.MAXIFS(BD!$A$3:$A$5001,BD!$B$3:$B$5001,R$114,BD!$A$3:$A$5001,"&gt;="&amp;$C$7,BD!$A$3:$A$5001,"&lt;="&amp;$B139,BD!$K$3:$K$5001,"&lt;&gt;"))))</f>
        <v/>
      </c>
      <c r="S139" s="43" t="str">
        <f>IF(OR($B139="",$A139&gt;$B$9,S$114=""),"",IF(COUNTIFS(BD!$B$3:$B$5001,S$114,BD!$A$3:$A$5001,"&gt;="&amp;$C$7,BD!$A$3:$A$5001,"&lt;="&amp;$B139,BD!$K$3:$K$5001,"&lt;&gt;")=0,"",SUMIFS(BD!$K$3:$K$5001,BD!$B$3:$B$5001,S$114,BD!$A$3:$A$5001,_xlfn.MAXIFS(BD!$A$3:$A$5001,BD!$B$3:$B$5001,S$114,BD!$A$3:$A$5001,"&gt;="&amp;$C$7,BD!$A$3:$A$5001,"&lt;="&amp;$B139,BD!$K$3:$K$5001,"&lt;&gt;"))))</f>
        <v/>
      </c>
      <c r="T139" s="43" t="str">
        <f>IF(OR($B139="",$A139&gt;$B$9,T$114=""),"",IF(COUNTIFS(BD!$B$3:$B$5001,T$114,BD!$A$3:$A$5001,"&gt;="&amp;$C$7,BD!$A$3:$A$5001,"&lt;="&amp;$B139,BD!$K$3:$K$5001,"&lt;&gt;")=0,"",SUMIFS(BD!$K$3:$K$5001,BD!$B$3:$B$5001,T$114,BD!$A$3:$A$5001,_xlfn.MAXIFS(BD!$A$3:$A$5001,BD!$B$3:$B$5001,T$114,BD!$A$3:$A$5001,"&gt;="&amp;$C$7,BD!$A$3:$A$5001,"&lt;="&amp;$B139,BD!$K$3:$K$5001,"&lt;&gt;"))))</f>
        <v/>
      </c>
      <c r="U139" s="43" t="str">
        <f>IF(OR($B139="",$A139&gt;$B$9,U$114=""),"",IF(COUNTIFS(BD!$B$3:$B$5001,U$114,BD!$A$3:$A$5001,"&gt;="&amp;$C$7,BD!$A$3:$A$5001,"&lt;="&amp;$B139,BD!$K$3:$K$5001,"&lt;&gt;")=0,"",SUMIFS(BD!$K$3:$K$5001,BD!$B$3:$B$5001,U$114,BD!$A$3:$A$5001,_xlfn.MAXIFS(BD!$A$3:$A$5001,BD!$B$3:$B$5001,U$114,BD!$A$3:$A$5001,"&gt;="&amp;$C$7,BD!$A$3:$A$5001,"&lt;="&amp;$B139,BD!$K$3:$K$5001,"&lt;&gt;"))))</f>
        <v/>
      </c>
      <c r="V139" s="43" t="str">
        <f>IF(OR($B139="",$A139&gt;$B$9,V$114=""),"",IF(COUNTIFS(BD!$B$3:$B$5001,V$114,BD!$A$3:$A$5001,"&gt;="&amp;$C$7,BD!$A$3:$A$5001,"&lt;="&amp;$B139,BD!$K$3:$K$5001,"&lt;&gt;")=0,"",SUMIFS(BD!$K$3:$K$5001,BD!$B$3:$B$5001,V$114,BD!$A$3:$A$5001,_xlfn.MAXIFS(BD!$A$3:$A$5001,BD!$B$3:$B$5001,V$114,BD!$A$3:$A$5001,"&gt;="&amp;$C$7,BD!$A$3:$A$5001,"&lt;="&amp;$B139,BD!$K$3:$K$5001,"&lt;&gt;"))))</f>
        <v/>
      </c>
    </row>
    <row r="140">
      <c r="A140" s="38">
        <v>26</v>
      </c>
      <c r="B140" s="42">
        <f>$B$37</f>
        <v>46321</v>
      </c>
      <c r="C140" s="43" t="str">
        <f>IF(OR($B140="",$A140&gt;$B$9,C$114=""),"",IF(COUNTIFS(BD!$B$3:$B$5001,C$114,BD!$A$3:$A$5001,"&gt;="&amp;$C$7,BD!$A$3:$A$5001,"&lt;="&amp;$B140,BD!$K$3:$K$5001,"&lt;&gt;")=0,"",SUMIFS(BD!$K$3:$K$5001,BD!$B$3:$B$5001,C$114,BD!$A$3:$A$5001,_xlfn.MAXIFS(BD!$A$3:$A$5001,BD!$B$3:$B$5001,C$114,BD!$A$3:$A$5001,"&gt;="&amp;$C$7,BD!$A$3:$A$5001,"&lt;="&amp;$B140,BD!$K$3:$K$5001,"&lt;&gt;"))))</f>
        <v/>
      </c>
      <c r="D140" s="43" t="str">
        <f>IF(OR($B140="",$A140&gt;$B$9,D$114=""),"",IF(COUNTIFS(BD!$B$3:$B$5001,D$114,BD!$A$3:$A$5001,"&gt;="&amp;$C$7,BD!$A$3:$A$5001,"&lt;="&amp;$B140,BD!$K$3:$K$5001,"&lt;&gt;")=0,"",SUMIFS(BD!$K$3:$K$5001,BD!$B$3:$B$5001,D$114,BD!$A$3:$A$5001,_xlfn.MAXIFS(BD!$A$3:$A$5001,BD!$B$3:$B$5001,D$114,BD!$A$3:$A$5001,"&gt;="&amp;$C$7,BD!$A$3:$A$5001,"&lt;="&amp;$B140,BD!$K$3:$K$5001,"&lt;&gt;"))))</f>
        <v/>
      </c>
      <c r="E140" s="43" t="str">
        <f>IF(OR($B140="",$A140&gt;$B$9,E$114=""),"",IF(COUNTIFS(BD!$B$3:$B$5001,E$114,BD!$A$3:$A$5001,"&gt;="&amp;$C$7,BD!$A$3:$A$5001,"&lt;="&amp;$B140,BD!$K$3:$K$5001,"&lt;&gt;")=0,"",SUMIFS(BD!$K$3:$K$5001,BD!$B$3:$B$5001,E$114,BD!$A$3:$A$5001,_xlfn.MAXIFS(BD!$A$3:$A$5001,BD!$B$3:$B$5001,E$114,BD!$A$3:$A$5001,"&gt;="&amp;$C$7,BD!$A$3:$A$5001,"&lt;="&amp;$B140,BD!$K$3:$K$5001,"&lt;&gt;"))))</f>
        <v/>
      </c>
      <c r="F140" s="43" t="str">
        <f>IF(OR($B140="",$A140&gt;$B$9,F$114=""),"",IF(COUNTIFS(BD!$B$3:$B$5001,F$114,BD!$A$3:$A$5001,"&gt;="&amp;$C$7,BD!$A$3:$A$5001,"&lt;="&amp;$B140,BD!$K$3:$K$5001,"&lt;&gt;")=0,"",SUMIFS(BD!$K$3:$K$5001,BD!$B$3:$B$5001,F$114,BD!$A$3:$A$5001,_xlfn.MAXIFS(BD!$A$3:$A$5001,BD!$B$3:$B$5001,F$114,BD!$A$3:$A$5001,"&gt;="&amp;$C$7,BD!$A$3:$A$5001,"&lt;="&amp;$B140,BD!$K$3:$K$5001,"&lt;&gt;"))))</f>
        <v/>
      </c>
      <c r="G140" s="43" t="str">
        <f>IF(OR($B140="",$A140&gt;$B$9,G$114=""),"",IF(COUNTIFS(BD!$B$3:$B$5001,G$114,BD!$A$3:$A$5001,"&gt;="&amp;$C$7,BD!$A$3:$A$5001,"&lt;="&amp;$B140,BD!$K$3:$K$5001,"&lt;&gt;")=0,"",SUMIFS(BD!$K$3:$K$5001,BD!$B$3:$B$5001,G$114,BD!$A$3:$A$5001,_xlfn.MAXIFS(BD!$A$3:$A$5001,BD!$B$3:$B$5001,G$114,BD!$A$3:$A$5001,"&gt;="&amp;$C$7,BD!$A$3:$A$5001,"&lt;="&amp;$B140,BD!$K$3:$K$5001,"&lt;&gt;"))))</f>
        <v/>
      </c>
      <c r="H140" s="43" t="str">
        <f>IF(OR($B140="",$A140&gt;$B$9,H$114=""),"",IF(COUNTIFS(BD!$B$3:$B$5001,H$114,BD!$A$3:$A$5001,"&gt;="&amp;$C$7,BD!$A$3:$A$5001,"&lt;="&amp;$B140,BD!$K$3:$K$5001,"&lt;&gt;")=0,"",SUMIFS(BD!$K$3:$K$5001,BD!$B$3:$B$5001,H$114,BD!$A$3:$A$5001,_xlfn.MAXIFS(BD!$A$3:$A$5001,BD!$B$3:$B$5001,H$114,BD!$A$3:$A$5001,"&gt;="&amp;$C$7,BD!$A$3:$A$5001,"&lt;="&amp;$B140,BD!$K$3:$K$5001,"&lt;&gt;"))))</f>
        <v/>
      </c>
      <c r="I140" s="43" t="str">
        <f>IF(OR($B140="",$A140&gt;$B$9,I$114=""),"",IF(COUNTIFS(BD!$B$3:$B$5001,I$114,BD!$A$3:$A$5001,"&gt;="&amp;$C$7,BD!$A$3:$A$5001,"&lt;="&amp;$B140,BD!$K$3:$K$5001,"&lt;&gt;")=0,"",SUMIFS(BD!$K$3:$K$5001,BD!$B$3:$B$5001,I$114,BD!$A$3:$A$5001,_xlfn.MAXIFS(BD!$A$3:$A$5001,BD!$B$3:$B$5001,I$114,BD!$A$3:$A$5001,"&gt;="&amp;$C$7,BD!$A$3:$A$5001,"&lt;="&amp;$B140,BD!$K$3:$K$5001,"&lt;&gt;"))))</f>
        <v/>
      </c>
      <c r="J140" s="43" t="str">
        <f>IF(OR($B140="",$A140&gt;$B$9,J$114=""),"",IF(COUNTIFS(BD!$B$3:$B$5001,J$114,BD!$A$3:$A$5001,"&gt;="&amp;$C$7,BD!$A$3:$A$5001,"&lt;="&amp;$B140,BD!$K$3:$K$5001,"&lt;&gt;")=0,"",SUMIFS(BD!$K$3:$K$5001,BD!$B$3:$B$5001,J$114,BD!$A$3:$A$5001,_xlfn.MAXIFS(BD!$A$3:$A$5001,BD!$B$3:$B$5001,J$114,BD!$A$3:$A$5001,"&gt;="&amp;$C$7,BD!$A$3:$A$5001,"&lt;="&amp;$B140,BD!$K$3:$K$5001,"&lt;&gt;"))))</f>
        <v/>
      </c>
      <c r="K140" s="43" t="str">
        <f>IF(OR($B140="",$A140&gt;$B$9,K$114=""),"",IF(COUNTIFS(BD!$B$3:$B$5001,K$114,BD!$A$3:$A$5001,"&gt;="&amp;$C$7,BD!$A$3:$A$5001,"&lt;="&amp;$B140,BD!$K$3:$K$5001,"&lt;&gt;")=0,"",SUMIFS(BD!$K$3:$K$5001,BD!$B$3:$B$5001,K$114,BD!$A$3:$A$5001,_xlfn.MAXIFS(BD!$A$3:$A$5001,BD!$B$3:$B$5001,K$114,BD!$A$3:$A$5001,"&gt;="&amp;$C$7,BD!$A$3:$A$5001,"&lt;="&amp;$B140,BD!$K$3:$K$5001,"&lt;&gt;"))))</f>
        <v/>
      </c>
      <c r="L140" s="43" t="str">
        <f>IF(OR($B140="",$A140&gt;$B$9,L$114=""),"",IF(COUNTIFS(BD!$B$3:$B$5001,L$114,BD!$A$3:$A$5001,"&gt;="&amp;$C$7,BD!$A$3:$A$5001,"&lt;="&amp;$B140,BD!$K$3:$K$5001,"&lt;&gt;")=0,"",SUMIFS(BD!$K$3:$K$5001,BD!$B$3:$B$5001,L$114,BD!$A$3:$A$5001,_xlfn.MAXIFS(BD!$A$3:$A$5001,BD!$B$3:$B$5001,L$114,BD!$A$3:$A$5001,"&gt;="&amp;$C$7,BD!$A$3:$A$5001,"&lt;="&amp;$B140,BD!$K$3:$K$5001,"&lt;&gt;"))))</f>
        <v/>
      </c>
      <c r="M140" s="43" t="str">
        <f>IF(OR($B140="",$A140&gt;$B$9,M$114=""),"",IF(COUNTIFS(BD!$B$3:$B$5001,M$114,BD!$A$3:$A$5001,"&gt;="&amp;$C$7,BD!$A$3:$A$5001,"&lt;="&amp;$B140,BD!$K$3:$K$5001,"&lt;&gt;")=0,"",SUMIFS(BD!$K$3:$K$5001,BD!$B$3:$B$5001,M$114,BD!$A$3:$A$5001,_xlfn.MAXIFS(BD!$A$3:$A$5001,BD!$B$3:$B$5001,M$114,BD!$A$3:$A$5001,"&gt;="&amp;$C$7,BD!$A$3:$A$5001,"&lt;="&amp;$B140,BD!$K$3:$K$5001,"&lt;&gt;"))))</f>
        <v/>
      </c>
      <c r="N140" s="43" t="str">
        <f>IF(OR($B140="",$A140&gt;$B$9,N$114=""),"",IF(COUNTIFS(BD!$B$3:$B$5001,N$114,BD!$A$3:$A$5001,"&gt;="&amp;$C$7,BD!$A$3:$A$5001,"&lt;="&amp;$B140,BD!$K$3:$K$5001,"&lt;&gt;")=0,"",SUMIFS(BD!$K$3:$K$5001,BD!$B$3:$B$5001,N$114,BD!$A$3:$A$5001,_xlfn.MAXIFS(BD!$A$3:$A$5001,BD!$B$3:$B$5001,N$114,BD!$A$3:$A$5001,"&gt;="&amp;$C$7,BD!$A$3:$A$5001,"&lt;="&amp;$B140,BD!$K$3:$K$5001,"&lt;&gt;"))))</f>
        <v/>
      </c>
      <c r="O140" s="43" t="str">
        <f>IF(OR($B140="",$A140&gt;$B$9,O$114=""),"",IF(COUNTIFS(BD!$B$3:$B$5001,O$114,BD!$A$3:$A$5001,"&gt;="&amp;$C$7,BD!$A$3:$A$5001,"&lt;="&amp;$B140,BD!$K$3:$K$5001,"&lt;&gt;")=0,"",SUMIFS(BD!$K$3:$K$5001,BD!$B$3:$B$5001,O$114,BD!$A$3:$A$5001,_xlfn.MAXIFS(BD!$A$3:$A$5001,BD!$B$3:$B$5001,O$114,BD!$A$3:$A$5001,"&gt;="&amp;$C$7,BD!$A$3:$A$5001,"&lt;="&amp;$B140,BD!$K$3:$K$5001,"&lt;&gt;"))))</f>
        <v/>
      </c>
      <c r="P140" s="43" t="str">
        <f>IF(OR($B140="",$A140&gt;$B$9,P$114=""),"",IF(COUNTIFS(BD!$B$3:$B$5001,P$114,BD!$A$3:$A$5001,"&gt;="&amp;$C$7,BD!$A$3:$A$5001,"&lt;="&amp;$B140,BD!$K$3:$K$5001,"&lt;&gt;")=0,"",SUMIFS(BD!$K$3:$K$5001,BD!$B$3:$B$5001,P$114,BD!$A$3:$A$5001,_xlfn.MAXIFS(BD!$A$3:$A$5001,BD!$B$3:$B$5001,P$114,BD!$A$3:$A$5001,"&gt;="&amp;$C$7,BD!$A$3:$A$5001,"&lt;="&amp;$B140,BD!$K$3:$K$5001,"&lt;&gt;"))))</f>
        <v/>
      </c>
      <c r="Q140" s="43" t="str">
        <f>IF(OR($B140="",$A140&gt;$B$9,Q$114=""),"",IF(COUNTIFS(BD!$B$3:$B$5001,Q$114,BD!$A$3:$A$5001,"&gt;="&amp;$C$7,BD!$A$3:$A$5001,"&lt;="&amp;$B140,BD!$K$3:$K$5001,"&lt;&gt;")=0,"",SUMIFS(BD!$K$3:$K$5001,BD!$B$3:$B$5001,Q$114,BD!$A$3:$A$5001,_xlfn.MAXIFS(BD!$A$3:$A$5001,BD!$B$3:$B$5001,Q$114,BD!$A$3:$A$5001,"&gt;="&amp;$C$7,BD!$A$3:$A$5001,"&lt;="&amp;$B140,BD!$K$3:$K$5001,"&lt;&gt;"))))</f>
        <v/>
      </c>
      <c r="R140" s="43" t="str">
        <f>IF(OR($B140="",$A140&gt;$B$9,R$114=""),"",IF(COUNTIFS(BD!$B$3:$B$5001,R$114,BD!$A$3:$A$5001,"&gt;="&amp;$C$7,BD!$A$3:$A$5001,"&lt;="&amp;$B140,BD!$K$3:$K$5001,"&lt;&gt;")=0,"",SUMIFS(BD!$K$3:$K$5001,BD!$B$3:$B$5001,R$114,BD!$A$3:$A$5001,_xlfn.MAXIFS(BD!$A$3:$A$5001,BD!$B$3:$B$5001,R$114,BD!$A$3:$A$5001,"&gt;="&amp;$C$7,BD!$A$3:$A$5001,"&lt;="&amp;$B140,BD!$K$3:$K$5001,"&lt;&gt;"))))</f>
        <v/>
      </c>
      <c r="S140" s="43" t="str">
        <f>IF(OR($B140="",$A140&gt;$B$9,S$114=""),"",IF(COUNTIFS(BD!$B$3:$B$5001,S$114,BD!$A$3:$A$5001,"&gt;="&amp;$C$7,BD!$A$3:$A$5001,"&lt;="&amp;$B140,BD!$K$3:$K$5001,"&lt;&gt;")=0,"",SUMIFS(BD!$K$3:$K$5001,BD!$B$3:$B$5001,S$114,BD!$A$3:$A$5001,_xlfn.MAXIFS(BD!$A$3:$A$5001,BD!$B$3:$B$5001,S$114,BD!$A$3:$A$5001,"&gt;="&amp;$C$7,BD!$A$3:$A$5001,"&lt;="&amp;$B140,BD!$K$3:$K$5001,"&lt;&gt;"))))</f>
        <v/>
      </c>
      <c r="T140" s="43" t="str">
        <f>IF(OR($B140="",$A140&gt;$B$9,T$114=""),"",IF(COUNTIFS(BD!$B$3:$B$5001,T$114,BD!$A$3:$A$5001,"&gt;="&amp;$C$7,BD!$A$3:$A$5001,"&lt;="&amp;$B140,BD!$K$3:$K$5001,"&lt;&gt;")=0,"",SUMIFS(BD!$K$3:$K$5001,BD!$B$3:$B$5001,T$114,BD!$A$3:$A$5001,_xlfn.MAXIFS(BD!$A$3:$A$5001,BD!$B$3:$B$5001,T$114,BD!$A$3:$A$5001,"&gt;="&amp;$C$7,BD!$A$3:$A$5001,"&lt;="&amp;$B140,BD!$K$3:$K$5001,"&lt;&gt;"))))</f>
        <v/>
      </c>
      <c r="U140" s="43" t="str">
        <f>IF(OR($B140="",$A140&gt;$B$9,U$114=""),"",IF(COUNTIFS(BD!$B$3:$B$5001,U$114,BD!$A$3:$A$5001,"&gt;="&amp;$C$7,BD!$A$3:$A$5001,"&lt;="&amp;$B140,BD!$K$3:$K$5001,"&lt;&gt;")=0,"",SUMIFS(BD!$K$3:$K$5001,BD!$B$3:$B$5001,U$114,BD!$A$3:$A$5001,_xlfn.MAXIFS(BD!$A$3:$A$5001,BD!$B$3:$B$5001,U$114,BD!$A$3:$A$5001,"&gt;="&amp;$C$7,BD!$A$3:$A$5001,"&lt;="&amp;$B140,BD!$K$3:$K$5001,"&lt;&gt;"))))</f>
        <v/>
      </c>
      <c r="V140" s="43" t="str">
        <f>IF(OR($B140="",$A140&gt;$B$9,V$114=""),"",IF(COUNTIFS(BD!$B$3:$B$5001,V$114,BD!$A$3:$A$5001,"&gt;="&amp;$C$7,BD!$A$3:$A$5001,"&lt;="&amp;$B140,BD!$K$3:$K$5001,"&lt;&gt;")=0,"",SUMIFS(BD!$K$3:$K$5001,BD!$B$3:$B$5001,V$114,BD!$A$3:$A$5001,_xlfn.MAXIFS(BD!$A$3:$A$5001,BD!$B$3:$B$5001,V$114,BD!$A$3:$A$5001,"&gt;="&amp;$C$7,BD!$A$3:$A$5001,"&lt;="&amp;$B140,BD!$K$3:$K$5001,"&lt;&gt;"))))</f>
        <v/>
      </c>
    </row>
    <row r="141">
      <c r="A141" s="38">
        <v>27</v>
      </c>
      <c r="B141" s="42">
        <f>$B$38</f>
        <v>46322</v>
      </c>
      <c r="C141" s="43" t="str">
        <f>IF(OR($B141="",$A141&gt;$B$9,C$114=""),"",IF(COUNTIFS(BD!$B$3:$B$5001,C$114,BD!$A$3:$A$5001,"&gt;="&amp;$C$7,BD!$A$3:$A$5001,"&lt;="&amp;$B141,BD!$K$3:$K$5001,"&lt;&gt;")=0,"",SUMIFS(BD!$K$3:$K$5001,BD!$B$3:$B$5001,C$114,BD!$A$3:$A$5001,_xlfn.MAXIFS(BD!$A$3:$A$5001,BD!$B$3:$B$5001,C$114,BD!$A$3:$A$5001,"&gt;="&amp;$C$7,BD!$A$3:$A$5001,"&lt;="&amp;$B141,BD!$K$3:$K$5001,"&lt;&gt;"))))</f>
        <v/>
      </c>
      <c r="D141" s="43" t="str">
        <f>IF(OR($B141="",$A141&gt;$B$9,D$114=""),"",IF(COUNTIFS(BD!$B$3:$B$5001,D$114,BD!$A$3:$A$5001,"&gt;="&amp;$C$7,BD!$A$3:$A$5001,"&lt;="&amp;$B141,BD!$K$3:$K$5001,"&lt;&gt;")=0,"",SUMIFS(BD!$K$3:$K$5001,BD!$B$3:$B$5001,D$114,BD!$A$3:$A$5001,_xlfn.MAXIFS(BD!$A$3:$A$5001,BD!$B$3:$B$5001,D$114,BD!$A$3:$A$5001,"&gt;="&amp;$C$7,BD!$A$3:$A$5001,"&lt;="&amp;$B141,BD!$K$3:$K$5001,"&lt;&gt;"))))</f>
        <v/>
      </c>
      <c r="E141" s="43" t="str">
        <f>IF(OR($B141="",$A141&gt;$B$9,E$114=""),"",IF(COUNTIFS(BD!$B$3:$B$5001,E$114,BD!$A$3:$A$5001,"&gt;="&amp;$C$7,BD!$A$3:$A$5001,"&lt;="&amp;$B141,BD!$K$3:$K$5001,"&lt;&gt;")=0,"",SUMIFS(BD!$K$3:$K$5001,BD!$B$3:$B$5001,E$114,BD!$A$3:$A$5001,_xlfn.MAXIFS(BD!$A$3:$A$5001,BD!$B$3:$B$5001,E$114,BD!$A$3:$A$5001,"&gt;="&amp;$C$7,BD!$A$3:$A$5001,"&lt;="&amp;$B141,BD!$K$3:$K$5001,"&lt;&gt;"))))</f>
        <v/>
      </c>
      <c r="F141" s="43" t="str">
        <f>IF(OR($B141="",$A141&gt;$B$9,F$114=""),"",IF(COUNTIFS(BD!$B$3:$B$5001,F$114,BD!$A$3:$A$5001,"&gt;="&amp;$C$7,BD!$A$3:$A$5001,"&lt;="&amp;$B141,BD!$K$3:$K$5001,"&lt;&gt;")=0,"",SUMIFS(BD!$K$3:$K$5001,BD!$B$3:$B$5001,F$114,BD!$A$3:$A$5001,_xlfn.MAXIFS(BD!$A$3:$A$5001,BD!$B$3:$B$5001,F$114,BD!$A$3:$A$5001,"&gt;="&amp;$C$7,BD!$A$3:$A$5001,"&lt;="&amp;$B141,BD!$K$3:$K$5001,"&lt;&gt;"))))</f>
        <v/>
      </c>
      <c r="G141" s="43" t="str">
        <f>IF(OR($B141="",$A141&gt;$B$9,G$114=""),"",IF(COUNTIFS(BD!$B$3:$B$5001,G$114,BD!$A$3:$A$5001,"&gt;="&amp;$C$7,BD!$A$3:$A$5001,"&lt;="&amp;$B141,BD!$K$3:$K$5001,"&lt;&gt;")=0,"",SUMIFS(BD!$K$3:$K$5001,BD!$B$3:$B$5001,G$114,BD!$A$3:$A$5001,_xlfn.MAXIFS(BD!$A$3:$A$5001,BD!$B$3:$B$5001,G$114,BD!$A$3:$A$5001,"&gt;="&amp;$C$7,BD!$A$3:$A$5001,"&lt;="&amp;$B141,BD!$K$3:$K$5001,"&lt;&gt;"))))</f>
        <v/>
      </c>
      <c r="H141" s="43" t="str">
        <f>IF(OR($B141="",$A141&gt;$B$9,H$114=""),"",IF(COUNTIFS(BD!$B$3:$B$5001,H$114,BD!$A$3:$A$5001,"&gt;="&amp;$C$7,BD!$A$3:$A$5001,"&lt;="&amp;$B141,BD!$K$3:$K$5001,"&lt;&gt;")=0,"",SUMIFS(BD!$K$3:$K$5001,BD!$B$3:$B$5001,H$114,BD!$A$3:$A$5001,_xlfn.MAXIFS(BD!$A$3:$A$5001,BD!$B$3:$B$5001,H$114,BD!$A$3:$A$5001,"&gt;="&amp;$C$7,BD!$A$3:$A$5001,"&lt;="&amp;$B141,BD!$K$3:$K$5001,"&lt;&gt;"))))</f>
        <v/>
      </c>
      <c r="I141" s="43" t="str">
        <f>IF(OR($B141="",$A141&gt;$B$9,I$114=""),"",IF(COUNTIFS(BD!$B$3:$B$5001,I$114,BD!$A$3:$A$5001,"&gt;="&amp;$C$7,BD!$A$3:$A$5001,"&lt;="&amp;$B141,BD!$K$3:$K$5001,"&lt;&gt;")=0,"",SUMIFS(BD!$K$3:$K$5001,BD!$B$3:$B$5001,I$114,BD!$A$3:$A$5001,_xlfn.MAXIFS(BD!$A$3:$A$5001,BD!$B$3:$B$5001,I$114,BD!$A$3:$A$5001,"&gt;="&amp;$C$7,BD!$A$3:$A$5001,"&lt;="&amp;$B141,BD!$K$3:$K$5001,"&lt;&gt;"))))</f>
        <v/>
      </c>
      <c r="J141" s="43" t="str">
        <f>IF(OR($B141="",$A141&gt;$B$9,J$114=""),"",IF(COUNTIFS(BD!$B$3:$B$5001,J$114,BD!$A$3:$A$5001,"&gt;="&amp;$C$7,BD!$A$3:$A$5001,"&lt;="&amp;$B141,BD!$K$3:$K$5001,"&lt;&gt;")=0,"",SUMIFS(BD!$K$3:$K$5001,BD!$B$3:$B$5001,J$114,BD!$A$3:$A$5001,_xlfn.MAXIFS(BD!$A$3:$A$5001,BD!$B$3:$B$5001,J$114,BD!$A$3:$A$5001,"&gt;="&amp;$C$7,BD!$A$3:$A$5001,"&lt;="&amp;$B141,BD!$K$3:$K$5001,"&lt;&gt;"))))</f>
        <v/>
      </c>
      <c r="K141" s="43" t="str">
        <f>IF(OR($B141="",$A141&gt;$B$9,K$114=""),"",IF(COUNTIFS(BD!$B$3:$B$5001,K$114,BD!$A$3:$A$5001,"&gt;="&amp;$C$7,BD!$A$3:$A$5001,"&lt;="&amp;$B141,BD!$K$3:$K$5001,"&lt;&gt;")=0,"",SUMIFS(BD!$K$3:$K$5001,BD!$B$3:$B$5001,K$114,BD!$A$3:$A$5001,_xlfn.MAXIFS(BD!$A$3:$A$5001,BD!$B$3:$B$5001,K$114,BD!$A$3:$A$5001,"&gt;="&amp;$C$7,BD!$A$3:$A$5001,"&lt;="&amp;$B141,BD!$K$3:$K$5001,"&lt;&gt;"))))</f>
        <v/>
      </c>
      <c r="L141" s="43" t="str">
        <f>IF(OR($B141="",$A141&gt;$B$9,L$114=""),"",IF(COUNTIFS(BD!$B$3:$B$5001,L$114,BD!$A$3:$A$5001,"&gt;="&amp;$C$7,BD!$A$3:$A$5001,"&lt;="&amp;$B141,BD!$K$3:$K$5001,"&lt;&gt;")=0,"",SUMIFS(BD!$K$3:$K$5001,BD!$B$3:$B$5001,L$114,BD!$A$3:$A$5001,_xlfn.MAXIFS(BD!$A$3:$A$5001,BD!$B$3:$B$5001,L$114,BD!$A$3:$A$5001,"&gt;="&amp;$C$7,BD!$A$3:$A$5001,"&lt;="&amp;$B141,BD!$K$3:$K$5001,"&lt;&gt;"))))</f>
        <v/>
      </c>
      <c r="M141" s="43" t="str">
        <f>IF(OR($B141="",$A141&gt;$B$9,M$114=""),"",IF(COUNTIFS(BD!$B$3:$B$5001,M$114,BD!$A$3:$A$5001,"&gt;="&amp;$C$7,BD!$A$3:$A$5001,"&lt;="&amp;$B141,BD!$K$3:$K$5001,"&lt;&gt;")=0,"",SUMIFS(BD!$K$3:$K$5001,BD!$B$3:$B$5001,M$114,BD!$A$3:$A$5001,_xlfn.MAXIFS(BD!$A$3:$A$5001,BD!$B$3:$B$5001,M$114,BD!$A$3:$A$5001,"&gt;="&amp;$C$7,BD!$A$3:$A$5001,"&lt;="&amp;$B141,BD!$K$3:$K$5001,"&lt;&gt;"))))</f>
        <v/>
      </c>
      <c r="N141" s="43" t="str">
        <f>IF(OR($B141="",$A141&gt;$B$9,N$114=""),"",IF(COUNTIFS(BD!$B$3:$B$5001,N$114,BD!$A$3:$A$5001,"&gt;="&amp;$C$7,BD!$A$3:$A$5001,"&lt;="&amp;$B141,BD!$K$3:$K$5001,"&lt;&gt;")=0,"",SUMIFS(BD!$K$3:$K$5001,BD!$B$3:$B$5001,N$114,BD!$A$3:$A$5001,_xlfn.MAXIFS(BD!$A$3:$A$5001,BD!$B$3:$B$5001,N$114,BD!$A$3:$A$5001,"&gt;="&amp;$C$7,BD!$A$3:$A$5001,"&lt;="&amp;$B141,BD!$K$3:$K$5001,"&lt;&gt;"))))</f>
        <v/>
      </c>
      <c r="O141" s="43" t="str">
        <f>IF(OR($B141="",$A141&gt;$B$9,O$114=""),"",IF(COUNTIFS(BD!$B$3:$B$5001,O$114,BD!$A$3:$A$5001,"&gt;="&amp;$C$7,BD!$A$3:$A$5001,"&lt;="&amp;$B141,BD!$K$3:$K$5001,"&lt;&gt;")=0,"",SUMIFS(BD!$K$3:$K$5001,BD!$B$3:$B$5001,O$114,BD!$A$3:$A$5001,_xlfn.MAXIFS(BD!$A$3:$A$5001,BD!$B$3:$B$5001,O$114,BD!$A$3:$A$5001,"&gt;="&amp;$C$7,BD!$A$3:$A$5001,"&lt;="&amp;$B141,BD!$K$3:$K$5001,"&lt;&gt;"))))</f>
        <v/>
      </c>
      <c r="P141" s="43" t="str">
        <f>IF(OR($B141="",$A141&gt;$B$9,P$114=""),"",IF(COUNTIFS(BD!$B$3:$B$5001,P$114,BD!$A$3:$A$5001,"&gt;="&amp;$C$7,BD!$A$3:$A$5001,"&lt;="&amp;$B141,BD!$K$3:$K$5001,"&lt;&gt;")=0,"",SUMIFS(BD!$K$3:$K$5001,BD!$B$3:$B$5001,P$114,BD!$A$3:$A$5001,_xlfn.MAXIFS(BD!$A$3:$A$5001,BD!$B$3:$B$5001,P$114,BD!$A$3:$A$5001,"&gt;="&amp;$C$7,BD!$A$3:$A$5001,"&lt;="&amp;$B141,BD!$K$3:$K$5001,"&lt;&gt;"))))</f>
        <v/>
      </c>
      <c r="Q141" s="43" t="str">
        <f>IF(OR($B141="",$A141&gt;$B$9,Q$114=""),"",IF(COUNTIFS(BD!$B$3:$B$5001,Q$114,BD!$A$3:$A$5001,"&gt;="&amp;$C$7,BD!$A$3:$A$5001,"&lt;="&amp;$B141,BD!$K$3:$K$5001,"&lt;&gt;")=0,"",SUMIFS(BD!$K$3:$K$5001,BD!$B$3:$B$5001,Q$114,BD!$A$3:$A$5001,_xlfn.MAXIFS(BD!$A$3:$A$5001,BD!$B$3:$B$5001,Q$114,BD!$A$3:$A$5001,"&gt;="&amp;$C$7,BD!$A$3:$A$5001,"&lt;="&amp;$B141,BD!$K$3:$K$5001,"&lt;&gt;"))))</f>
        <v/>
      </c>
      <c r="R141" s="43" t="str">
        <f>IF(OR($B141="",$A141&gt;$B$9,R$114=""),"",IF(COUNTIFS(BD!$B$3:$B$5001,R$114,BD!$A$3:$A$5001,"&gt;="&amp;$C$7,BD!$A$3:$A$5001,"&lt;="&amp;$B141,BD!$K$3:$K$5001,"&lt;&gt;")=0,"",SUMIFS(BD!$K$3:$K$5001,BD!$B$3:$B$5001,R$114,BD!$A$3:$A$5001,_xlfn.MAXIFS(BD!$A$3:$A$5001,BD!$B$3:$B$5001,R$114,BD!$A$3:$A$5001,"&gt;="&amp;$C$7,BD!$A$3:$A$5001,"&lt;="&amp;$B141,BD!$K$3:$K$5001,"&lt;&gt;"))))</f>
        <v/>
      </c>
      <c r="S141" s="43" t="str">
        <f>IF(OR($B141="",$A141&gt;$B$9,S$114=""),"",IF(COUNTIFS(BD!$B$3:$B$5001,S$114,BD!$A$3:$A$5001,"&gt;="&amp;$C$7,BD!$A$3:$A$5001,"&lt;="&amp;$B141,BD!$K$3:$K$5001,"&lt;&gt;")=0,"",SUMIFS(BD!$K$3:$K$5001,BD!$B$3:$B$5001,S$114,BD!$A$3:$A$5001,_xlfn.MAXIFS(BD!$A$3:$A$5001,BD!$B$3:$B$5001,S$114,BD!$A$3:$A$5001,"&gt;="&amp;$C$7,BD!$A$3:$A$5001,"&lt;="&amp;$B141,BD!$K$3:$K$5001,"&lt;&gt;"))))</f>
        <v/>
      </c>
      <c r="T141" s="43" t="str">
        <f>IF(OR($B141="",$A141&gt;$B$9,T$114=""),"",IF(COUNTIFS(BD!$B$3:$B$5001,T$114,BD!$A$3:$A$5001,"&gt;="&amp;$C$7,BD!$A$3:$A$5001,"&lt;="&amp;$B141,BD!$K$3:$K$5001,"&lt;&gt;")=0,"",SUMIFS(BD!$K$3:$K$5001,BD!$B$3:$B$5001,T$114,BD!$A$3:$A$5001,_xlfn.MAXIFS(BD!$A$3:$A$5001,BD!$B$3:$B$5001,T$114,BD!$A$3:$A$5001,"&gt;="&amp;$C$7,BD!$A$3:$A$5001,"&lt;="&amp;$B141,BD!$K$3:$K$5001,"&lt;&gt;"))))</f>
        <v/>
      </c>
      <c r="U141" s="43" t="str">
        <f>IF(OR($B141="",$A141&gt;$B$9,U$114=""),"",IF(COUNTIFS(BD!$B$3:$B$5001,U$114,BD!$A$3:$A$5001,"&gt;="&amp;$C$7,BD!$A$3:$A$5001,"&lt;="&amp;$B141,BD!$K$3:$K$5001,"&lt;&gt;")=0,"",SUMIFS(BD!$K$3:$K$5001,BD!$B$3:$B$5001,U$114,BD!$A$3:$A$5001,_xlfn.MAXIFS(BD!$A$3:$A$5001,BD!$B$3:$B$5001,U$114,BD!$A$3:$A$5001,"&gt;="&amp;$C$7,BD!$A$3:$A$5001,"&lt;="&amp;$B141,BD!$K$3:$K$5001,"&lt;&gt;"))))</f>
        <v/>
      </c>
      <c r="V141" s="43" t="str">
        <f>IF(OR($B141="",$A141&gt;$B$9,V$114=""),"",IF(COUNTIFS(BD!$B$3:$B$5001,V$114,BD!$A$3:$A$5001,"&gt;="&amp;$C$7,BD!$A$3:$A$5001,"&lt;="&amp;$B141,BD!$K$3:$K$5001,"&lt;&gt;")=0,"",SUMIFS(BD!$K$3:$K$5001,BD!$B$3:$B$5001,V$114,BD!$A$3:$A$5001,_xlfn.MAXIFS(BD!$A$3:$A$5001,BD!$B$3:$B$5001,V$114,BD!$A$3:$A$5001,"&gt;="&amp;$C$7,BD!$A$3:$A$5001,"&lt;="&amp;$B141,BD!$K$3:$K$5001,"&lt;&gt;"))))</f>
        <v/>
      </c>
    </row>
    <row r="142">
      <c r="A142" s="38">
        <v>28</v>
      </c>
      <c r="B142" s="42">
        <f>$B$39</f>
        <v>46323</v>
      </c>
      <c r="C142" s="43" t="str">
        <f>IF(OR($B142="",$A142&gt;$B$9,C$114=""),"",IF(COUNTIFS(BD!$B$3:$B$5001,C$114,BD!$A$3:$A$5001,"&gt;="&amp;$C$7,BD!$A$3:$A$5001,"&lt;="&amp;$B142,BD!$K$3:$K$5001,"&lt;&gt;")=0,"",SUMIFS(BD!$K$3:$K$5001,BD!$B$3:$B$5001,C$114,BD!$A$3:$A$5001,_xlfn.MAXIFS(BD!$A$3:$A$5001,BD!$B$3:$B$5001,C$114,BD!$A$3:$A$5001,"&gt;="&amp;$C$7,BD!$A$3:$A$5001,"&lt;="&amp;$B142,BD!$K$3:$K$5001,"&lt;&gt;"))))</f>
        <v/>
      </c>
      <c r="D142" s="43" t="str">
        <f>IF(OR($B142="",$A142&gt;$B$9,D$114=""),"",IF(COUNTIFS(BD!$B$3:$B$5001,D$114,BD!$A$3:$A$5001,"&gt;="&amp;$C$7,BD!$A$3:$A$5001,"&lt;="&amp;$B142,BD!$K$3:$K$5001,"&lt;&gt;")=0,"",SUMIFS(BD!$K$3:$K$5001,BD!$B$3:$B$5001,D$114,BD!$A$3:$A$5001,_xlfn.MAXIFS(BD!$A$3:$A$5001,BD!$B$3:$B$5001,D$114,BD!$A$3:$A$5001,"&gt;="&amp;$C$7,BD!$A$3:$A$5001,"&lt;="&amp;$B142,BD!$K$3:$K$5001,"&lt;&gt;"))))</f>
        <v/>
      </c>
      <c r="E142" s="43" t="str">
        <f>IF(OR($B142="",$A142&gt;$B$9,E$114=""),"",IF(COUNTIFS(BD!$B$3:$B$5001,E$114,BD!$A$3:$A$5001,"&gt;="&amp;$C$7,BD!$A$3:$A$5001,"&lt;="&amp;$B142,BD!$K$3:$K$5001,"&lt;&gt;")=0,"",SUMIFS(BD!$K$3:$K$5001,BD!$B$3:$B$5001,E$114,BD!$A$3:$A$5001,_xlfn.MAXIFS(BD!$A$3:$A$5001,BD!$B$3:$B$5001,E$114,BD!$A$3:$A$5001,"&gt;="&amp;$C$7,BD!$A$3:$A$5001,"&lt;="&amp;$B142,BD!$K$3:$K$5001,"&lt;&gt;"))))</f>
        <v/>
      </c>
      <c r="F142" s="43" t="str">
        <f>IF(OR($B142="",$A142&gt;$B$9,F$114=""),"",IF(COUNTIFS(BD!$B$3:$B$5001,F$114,BD!$A$3:$A$5001,"&gt;="&amp;$C$7,BD!$A$3:$A$5001,"&lt;="&amp;$B142,BD!$K$3:$K$5001,"&lt;&gt;")=0,"",SUMIFS(BD!$K$3:$K$5001,BD!$B$3:$B$5001,F$114,BD!$A$3:$A$5001,_xlfn.MAXIFS(BD!$A$3:$A$5001,BD!$B$3:$B$5001,F$114,BD!$A$3:$A$5001,"&gt;="&amp;$C$7,BD!$A$3:$A$5001,"&lt;="&amp;$B142,BD!$K$3:$K$5001,"&lt;&gt;"))))</f>
        <v/>
      </c>
      <c r="G142" s="43" t="str">
        <f>IF(OR($B142="",$A142&gt;$B$9,G$114=""),"",IF(COUNTIFS(BD!$B$3:$B$5001,G$114,BD!$A$3:$A$5001,"&gt;="&amp;$C$7,BD!$A$3:$A$5001,"&lt;="&amp;$B142,BD!$K$3:$K$5001,"&lt;&gt;")=0,"",SUMIFS(BD!$K$3:$K$5001,BD!$B$3:$B$5001,G$114,BD!$A$3:$A$5001,_xlfn.MAXIFS(BD!$A$3:$A$5001,BD!$B$3:$B$5001,G$114,BD!$A$3:$A$5001,"&gt;="&amp;$C$7,BD!$A$3:$A$5001,"&lt;="&amp;$B142,BD!$K$3:$K$5001,"&lt;&gt;"))))</f>
        <v/>
      </c>
      <c r="H142" s="43" t="str">
        <f>IF(OR($B142="",$A142&gt;$B$9,H$114=""),"",IF(COUNTIFS(BD!$B$3:$B$5001,H$114,BD!$A$3:$A$5001,"&gt;="&amp;$C$7,BD!$A$3:$A$5001,"&lt;="&amp;$B142,BD!$K$3:$K$5001,"&lt;&gt;")=0,"",SUMIFS(BD!$K$3:$K$5001,BD!$B$3:$B$5001,H$114,BD!$A$3:$A$5001,_xlfn.MAXIFS(BD!$A$3:$A$5001,BD!$B$3:$B$5001,H$114,BD!$A$3:$A$5001,"&gt;="&amp;$C$7,BD!$A$3:$A$5001,"&lt;="&amp;$B142,BD!$K$3:$K$5001,"&lt;&gt;"))))</f>
        <v/>
      </c>
      <c r="I142" s="43" t="str">
        <f>IF(OR($B142="",$A142&gt;$B$9,I$114=""),"",IF(COUNTIFS(BD!$B$3:$B$5001,I$114,BD!$A$3:$A$5001,"&gt;="&amp;$C$7,BD!$A$3:$A$5001,"&lt;="&amp;$B142,BD!$K$3:$K$5001,"&lt;&gt;")=0,"",SUMIFS(BD!$K$3:$K$5001,BD!$B$3:$B$5001,I$114,BD!$A$3:$A$5001,_xlfn.MAXIFS(BD!$A$3:$A$5001,BD!$B$3:$B$5001,I$114,BD!$A$3:$A$5001,"&gt;="&amp;$C$7,BD!$A$3:$A$5001,"&lt;="&amp;$B142,BD!$K$3:$K$5001,"&lt;&gt;"))))</f>
        <v/>
      </c>
      <c r="J142" s="43" t="str">
        <f>IF(OR($B142="",$A142&gt;$B$9,J$114=""),"",IF(COUNTIFS(BD!$B$3:$B$5001,J$114,BD!$A$3:$A$5001,"&gt;="&amp;$C$7,BD!$A$3:$A$5001,"&lt;="&amp;$B142,BD!$K$3:$K$5001,"&lt;&gt;")=0,"",SUMIFS(BD!$K$3:$K$5001,BD!$B$3:$B$5001,J$114,BD!$A$3:$A$5001,_xlfn.MAXIFS(BD!$A$3:$A$5001,BD!$B$3:$B$5001,J$114,BD!$A$3:$A$5001,"&gt;="&amp;$C$7,BD!$A$3:$A$5001,"&lt;="&amp;$B142,BD!$K$3:$K$5001,"&lt;&gt;"))))</f>
        <v/>
      </c>
      <c r="K142" s="43" t="str">
        <f>IF(OR($B142="",$A142&gt;$B$9,K$114=""),"",IF(COUNTIFS(BD!$B$3:$B$5001,K$114,BD!$A$3:$A$5001,"&gt;="&amp;$C$7,BD!$A$3:$A$5001,"&lt;="&amp;$B142,BD!$K$3:$K$5001,"&lt;&gt;")=0,"",SUMIFS(BD!$K$3:$K$5001,BD!$B$3:$B$5001,K$114,BD!$A$3:$A$5001,_xlfn.MAXIFS(BD!$A$3:$A$5001,BD!$B$3:$B$5001,K$114,BD!$A$3:$A$5001,"&gt;="&amp;$C$7,BD!$A$3:$A$5001,"&lt;="&amp;$B142,BD!$K$3:$K$5001,"&lt;&gt;"))))</f>
        <v/>
      </c>
      <c r="L142" s="43" t="str">
        <f>IF(OR($B142="",$A142&gt;$B$9,L$114=""),"",IF(COUNTIFS(BD!$B$3:$B$5001,L$114,BD!$A$3:$A$5001,"&gt;="&amp;$C$7,BD!$A$3:$A$5001,"&lt;="&amp;$B142,BD!$K$3:$K$5001,"&lt;&gt;")=0,"",SUMIFS(BD!$K$3:$K$5001,BD!$B$3:$B$5001,L$114,BD!$A$3:$A$5001,_xlfn.MAXIFS(BD!$A$3:$A$5001,BD!$B$3:$B$5001,L$114,BD!$A$3:$A$5001,"&gt;="&amp;$C$7,BD!$A$3:$A$5001,"&lt;="&amp;$B142,BD!$K$3:$K$5001,"&lt;&gt;"))))</f>
        <v/>
      </c>
      <c r="M142" s="43" t="str">
        <f>IF(OR($B142="",$A142&gt;$B$9,M$114=""),"",IF(COUNTIFS(BD!$B$3:$B$5001,M$114,BD!$A$3:$A$5001,"&gt;="&amp;$C$7,BD!$A$3:$A$5001,"&lt;="&amp;$B142,BD!$K$3:$K$5001,"&lt;&gt;")=0,"",SUMIFS(BD!$K$3:$K$5001,BD!$B$3:$B$5001,M$114,BD!$A$3:$A$5001,_xlfn.MAXIFS(BD!$A$3:$A$5001,BD!$B$3:$B$5001,M$114,BD!$A$3:$A$5001,"&gt;="&amp;$C$7,BD!$A$3:$A$5001,"&lt;="&amp;$B142,BD!$K$3:$K$5001,"&lt;&gt;"))))</f>
        <v/>
      </c>
      <c r="N142" s="43" t="str">
        <f>IF(OR($B142="",$A142&gt;$B$9,N$114=""),"",IF(COUNTIFS(BD!$B$3:$B$5001,N$114,BD!$A$3:$A$5001,"&gt;="&amp;$C$7,BD!$A$3:$A$5001,"&lt;="&amp;$B142,BD!$K$3:$K$5001,"&lt;&gt;")=0,"",SUMIFS(BD!$K$3:$K$5001,BD!$B$3:$B$5001,N$114,BD!$A$3:$A$5001,_xlfn.MAXIFS(BD!$A$3:$A$5001,BD!$B$3:$B$5001,N$114,BD!$A$3:$A$5001,"&gt;="&amp;$C$7,BD!$A$3:$A$5001,"&lt;="&amp;$B142,BD!$K$3:$K$5001,"&lt;&gt;"))))</f>
        <v/>
      </c>
      <c r="O142" s="43" t="str">
        <f>IF(OR($B142="",$A142&gt;$B$9,O$114=""),"",IF(COUNTIFS(BD!$B$3:$B$5001,O$114,BD!$A$3:$A$5001,"&gt;="&amp;$C$7,BD!$A$3:$A$5001,"&lt;="&amp;$B142,BD!$K$3:$K$5001,"&lt;&gt;")=0,"",SUMIFS(BD!$K$3:$K$5001,BD!$B$3:$B$5001,O$114,BD!$A$3:$A$5001,_xlfn.MAXIFS(BD!$A$3:$A$5001,BD!$B$3:$B$5001,O$114,BD!$A$3:$A$5001,"&gt;="&amp;$C$7,BD!$A$3:$A$5001,"&lt;="&amp;$B142,BD!$K$3:$K$5001,"&lt;&gt;"))))</f>
        <v/>
      </c>
      <c r="P142" s="43" t="str">
        <f>IF(OR($B142="",$A142&gt;$B$9,P$114=""),"",IF(COUNTIFS(BD!$B$3:$B$5001,P$114,BD!$A$3:$A$5001,"&gt;="&amp;$C$7,BD!$A$3:$A$5001,"&lt;="&amp;$B142,BD!$K$3:$K$5001,"&lt;&gt;")=0,"",SUMIFS(BD!$K$3:$K$5001,BD!$B$3:$B$5001,P$114,BD!$A$3:$A$5001,_xlfn.MAXIFS(BD!$A$3:$A$5001,BD!$B$3:$B$5001,P$114,BD!$A$3:$A$5001,"&gt;="&amp;$C$7,BD!$A$3:$A$5001,"&lt;="&amp;$B142,BD!$K$3:$K$5001,"&lt;&gt;"))))</f>
        <v/>
      </c>
      <c r="Q142" s="43" t="str">
        <f>IF(OR($B142="",$A142&gt;$B$9,Q$114=""),"",IF(COUNTIFS(BD!$B$3:$B$5001,Q$114,BD!$A$3:$A$5001,"&gt;="&amp;$C$7,BD!$A$3:$A$5001,"&lt;="&amp;$B142,BD!$K$3:$K$5001,"&lt;&gt;")=0,"",SUMIFS(BD!$K$3:$K$5001,BD!$B$3:$B$5001,Q$114,BD!$A$3:$A$5001,_xlfn.MAXIFS(BD!$A$3:$A$5001,BD!$B$3:$B$5001,Q$114,BD!$A$3:$A$5001,"&gt;="&amp;$C$7,BD!$A$3:$A$5001,"&lt;="&amp;$B142,BD!$K$3:$K$5001,"&lt;&gt;"))))</f>
        <v/>
      </c>
      <c r="R142" s="43" t="str">
        <f>IF(OR($B142="",$A142&gt;$B$9,R$114=""),"",IF(COUNTIFS(BD!$B$3:$B$5001,R$114,BD!$A$3:$A$5001,"&gt;="&amp;$C$7,BD!$A$3:$A$5001,"&lt;="&amp;$B142,BD!$K$3:$K$5001,"&lt;&gt;")=0,"",SUMIFS(BD!$K$3:$K$5001,BD!$B$3:$B$5001,R$114,BD!$A$3:$A$5001,_xlfn.MAXIFS(BD!$A$3:$A$5001,BD!$B$3:$B$5001,R$114,BD!$A$3:$A$5001,"&gt;="&amp;$C$7,BD!$A$3:$A$5001,"&lt;="&amp;$B142,BD!$K$3:$K$5001,"&lt;&gt;"))))</f>
        <v/>
      </c>
      <c r="S142" s="43" t="str">
        <f>IF(OR($B142="",$A142&gt;$B$9,S$114=""),"",IF(COUNTIFS(BD!$B$3:$B$5001,S$114,BD!$A$3:$A$5001,"&gt;="&amp;$C$7,BD!$A$3:$A$5001,"&lt;="&amp;$B142,BD!$K$3:$K$5001,"&lt;&gt;")=0,"",SUMIFS(BD!$K$3:$K$5001,BD!$B$3:$B$5001,S$114,BD!$A$3:$A$5001,_xlfn.MAXIFS(BD!$A$3:$A$5001,BD!$B$3:$B$5001,S$114,BD!$A$3:$A$5001,"&gt;="&amp;$C$7,BD!$A$3:$A$5001,"&lt;="&amp;$B142,BD!$K$3:$K$5001,"&lt;&gt;"))))</f>
        <v/>
      </c>
      <c r="T142" s="43" t="str">
        <f>IF(OR($B142="",$A142&gt;$B$9,T$114=""),"",IF(COUNTIFS(BD!$B$3:$B$5001,T$114,BD!$A$3:$A$5001,"&gt;="&amp;$C$7,BD!$A$3:$A$5001,"&lt;="&amp;$B142,BD!$K$3:$K$5001,"&lt;&gt;")=0,"",SUMIFS(BD!$K$3:$K$5001,BD!$B$3:$B$5001,T$114,BD!$A$3:$A$5001,_xlfn.MAXIFS(BD!$A$3:$A$5001,BD!$B$3:$B$5001,T$114,BD!$A$3:$A$5001,"&gt;="&amp;$C$7,BD!$A$3:$A$5001,"&lt;="&amp;$B142,BD!$K$3:$K$5001,"&lt;&gt;"))))</f>
        <v/>
      </c>
      <c r="U142" s="43" t="str">
        <f>IF(OR($B142="",$A142&gt;$B$9,U$114=""),"",IF(COUNTIFS(BD!$B$3:$B$5001,U$114,BD!$A$3:$A$5001,"&gt;="&amp;$C$7,BD!$A$3:$A$5001,"&lt;="&amp;$B142,BD!$K$3:$K$5001,"&lt;&gt;")=0,"",SUMIFS(BD!$K$3:$K$5001,BD!$B$3:$B$5001,U$114,BD!$A$3:$A$5001,_xlfn.MAXIFS(BD!$A$3:$A$5001,BD!$B$3:$B$5001,U$114,BD!$A$3:$A$5001,"&gt;="&amp;$C$7,BD!$A$3:$A$5001,"&lt;="&amp;$B142,BD!$K$3:$K$5001,"&lt;&gt;"))))</f>
        <v/>
      </c>
      <c r="V142" s="43" t="str">
        <f>IF(OR($B142="",$A142&gt;$B$9,V$114=""),"",IF(COUNTIFS(BD!$B$3:$B$5001,V$114,BD!$A$3:$A$5001,"&gt;="&amp;$C$7,BD!$A$3:$A$5001,"&lt;="&amp;$B142,BD!$K$3:$K$5001,"&lt;&gt;")=0,"",SUMIFS(BD!$K$3:$K$5001,BD!$B$3:$B$5001,V$114,BD!$A$3:$A$5001,_xlfn.MAXIFS(BD!$A$3:$A$5001,BD!$B$3:$B$5001,V$114,BD!$A$3:$A$5001,"&gt;="&amp;$C$7,BD!$A$3:$A$5001,"&lt;="&amp;$B142,BD!$K$3:$K$5001,"&lt;&gt;"))))</f>
        <v/>
      </c>
    </row>
    <row r="143">
      <c r="A143" s="38">
        <v>29</v>
      </c>
      <c r="B143" s="42">
        <f>$B$40</f>
        <v>46324</v>
      </c>
      <c r="C143" s="43" t="str">
        <f>IF(OR($B143="",$A143&gt;$B$9,C$114=""),"",IF(COUNTIFS(BD!$B$3:$B$5001,C$114,BD!$A$3:$A$5001,"&gt;="&amp;$C$7,BD!$A$3:$A$5001,"&lt;="&amp;$B143,BD!$K$3:$K$5001,"&lt;&gt;")=0,"",SUMIFS(BD!$K$3:$K$5001,BD!$B$3:$B$5001,C$114,BD!$A$3:$A$5001,_xlfn.MAXIFS(BD!$A$3:$A$5001,BD!$B$3:$B$5001,C$114,BD!$A$3:$A$5001,"&gt;="&amp;$C$7,BD!$A$3:$A$5001,"&lt;="&amp;$B143,BD!$K$3:$K$5001,"&lt;&gt;"))))</f>
        <v/>
      </c>
      <c r="D143" s="43" t="str">
        <f>IF(OR($B143="",$A143&gt;$B$9,D$114=""),"",IF(COUNTIFS(BD!$B$3:$B$5001,D$114,BD!$A$3:$A$5001,"&gt;="&amp;$C$7,BD!$A$3:$A$5001,"&lt;="&amp;$B143,BD!$K$3:$K$5001,"&lt;&gt;")=0,"",SUMIFS(BD!$K$3:$K$5001,BD!$B$3:$B$5001,D$114,BD!$A$3:$A$5001,_xlfn.MAXIFS(BD!$A$3:$A$5001,BD!$B$3:$B$5001,D$114,BD!$A$3:$A$5001,"&gt;="&amp;$C$7,BD!$A$3:$A$5001,"&lt;="&amp;$B143,BD!$K$3:$K$5001,"&lt;&gt;"))))</f>
        <v/>
      </c>
      <c r="E143" s="43" t="str">
        <f>IF(OR($B143="",$A143&gt;$B$9,E$114=""),"",IF(COUNTIFS(BD!$B$3:$B$5001,E$114,BD!$A$3:$A$5001,"&gt;="&amp;$C$7,BD!$A$3:$A$5001,"&lt;="&amp;$B143,BD!$K$3:$K$5001,"&lt;&gt;")=0,"",SUMIFS(BD!$K$3:$K$5001,BD!$B$3:$B$5001,E$114,BD!$A$3:$A$5001,_xlfn.MAXIFS(BD!$A$3:$A$5001,BD!$B$3:$B$5001,E$114,BD!$A$3:$A$5001,"&gt;="&amp;$C$7,BD!$A$3:$A$5001,"&lt;="&amp;$B143,BD!$K$3:$K$5001,"&lt;&gt;"))))</f>
        <v/>
      </c>
      <c r="F143" s="43" t="str">
        <f>IF(OR($B143="",$A143&gt;$B$9,F$114=""),"",IF(COUNTIFS(BD!$B$3:$B$5001,F$114,BD!$A$3:$A$5001,"&gt;="&amp;$C$7,BD!$A$3:$A$5001,"&lt;="&amp;$B143,BD!$K$3:$K$5001,"&lt;&gt;")=0,"",SUMIFS(BD!$K$3:$K$5001,BD!$B$3:$B$5001,F$114,BD!$A$3:$A$5001,_xlfn.MAXIFS(BD!$A$3:$A$5001,BD!$B$3:$B$5001,F$114,BD!$A$3:$A$5001,"&gt;="&amp;$C$7,BD!$A$3:$A$5001,"&lt;="&amp;$B143,BD!$K$3:$K$5001,"&lt;&gt;"))))</f>
        <v/>
      </c>
      <c r="G143" s="43" t="str">
        <f>IF(OR($B143="",$A143&gt;$B$9,G$114=""),"",IF(COUNTIFS(BD!$B$3:$B$5001,G$114,BD!$A$3:$A$5001,"&gt;="&amp;$C$7,BD!$A$3:$A$5001,"&lt;="&amp;$B143,BD!$K$3:$K$5001,"&lt;&gt;")=0,"",SUMIFS(BD!$K$3:$K$5001,BD!$B$3:$B$5001,G$114,BD!$A$3:$A$5001,_xlfn.MAXIFS(BD!$A$3:$A$5001,BD!$B$3:$B$5001,G$114,BD!$A$3:$A$5001,"&gt;="&amp;$C$7,BD!$A$3:$A$5001,"&lt;="&amp;$B143,BD!$K$3:$K$5001,"&lt;&gt;"))))</f>
        <v/>
      </c>
      <c r="H143" s="43" t="str">
        <f>IF(OR($B143="",$A143&gt;$B$9,H$114=""),"",IF(COUNTIFS(BD!$B$3:$B$5001,H$114,BD!$A$3:$A$5001,"&gt;="&amp;$C$7,BD!$A$3:$A$5001,"&lt;="&amp;$B143,BD!$K$3:$K$5001,"&lt;&gt;")=0,"",SUMIFS(BD!$K$3:$K$5001,BD!$B$3:$B$5001,H$114,BD!$A$3:$A$5001,_xlfn.MAXIFS(BD!$A$3:$A$5001,BD!$B$3:$B$5001,H$114,BD!$A$3:$A$5001,"&gt;="&amp;$C$7,BD!$A$3:$A$5001,"&lt;="&amp;$B143,BD!$K$3:$K$5001,"&lt;&gt;"))))</f>
        <v/>
      </c>
      <c r="I143" s="43" t="str">
        <f>IF(OR($B143="",$A143&gt;$B$9,I$114=""),"",IF(COUNTIFS(BD!$B$3:$B$5001,I$114,BD!$A$3:$A$5001,"&gt;="&amp;$C$7,BD!$A$3:$A$5001,"&lt;="&amp;$B143,BD!$K$3:$K$5001,"&lt;&gt;")=0,"",SUMIFS(BD!$K$3:$K$5001,BD!$B$3:$B$5001,I$114,BD!$A$3:$A$5001,_xlfn.MAXIFS(BD!$A$3:$A$5001,BD!$B$3:$B$5001,I$114,BD!$A$3:$A$5001,"&gt;="&amp;$C$7,BD!$A$3:$A$5001,"&lt;="&amp;$B143,BD!$K$3:$K$5001,"&lt;&gt;"))))</f>
        <v/>
      </c>
      <c r="J143" s="43" t="str">
        <f>IF(OR($B143="",$A143&gt;$B$9,J$114=""),"",IF(COUNTIFS(BD!$B$3:$B$5001,J$114,BD!$A$3:$A$5001,"&gt;="&amp;$C$7,BD!$A$3:$A$5001,"&lt;="&amp;$B143,BD!$K$3:$K$5001,"&lt;&gt;")=0,"",SUMIFS(BD!$K$3:$K$5001,BD!$B$3:$B$5001,J$114,BD!$A$3:$A$5001,_xlfn.MAXIFS(BD!$A$3:$A$5001,BD!$B$3:$B$5001,J$114,BD!$A$3:$A$5001,"&gt;="&amp;$C$7,BD!$A$3:$A$5001,"&lt;="&amp;$B143,BD!$K$3:$K$5001,"&lt;&gt;"))))</f>
        <v/>
      </c>
      <c r="K143" s="43" t="str">
        <f>IF(OR($B143="",$A143&gt;$B$9,K$114=""),"",IF(COUNTIFS(BD!$B$3:$B$5001,K$114,BD!$A$3:$A$5001,"&gt;="&amp;$C$7,BD!$A$3:$A$5001,"&lt;="&amp;$B143,BD!$K$3:$K$5001,"&lt;&gt;")=0,"",SUMIFS(BD!$K$3:$K$5001,BD!$B$3:$B$5001,K$114,BD!$A$3:$A$5001,_xlfn.MAXIFS(BD!$A$3:$A$5001,BD!$B$3:$B$5001,K$114,BD!$A$3:$A$5001,"&gt;="&amp;$C$7,BD!$A$3:$A$5001,"&lt;="&amp;$B143,BD!$K$3:$K$5001,"&lt;&gt;"))))</f>
        <v/>
      </c>
      <c r="L143" s="43" t="str">
        <f>IF(OR($B143="",$A143&gt;$B$9,L$114=""),"",IF(COUNTIFS(BD!$B$3:$B$5001,L$114,BD!$A$3:$A$5001,"&gt;="&amp;$C$7,BD!$A$3:$A$5001,"&lt;="&amp;$B143,BD!$K$3:$K$5001,"&lt;&gt;")=0,"",SUMIFS(BD!$K$3:$K$5001,BD!$B$3:$B$5001,L$114,BD!$A$3:$A$5001,_xlfn.MAXIFS(BD!$A$3:$A$5001,BD!$B$3:$B$5001,L$114,BD!$A$3:$A$5001,"&gt;="&amp;$C$7,BD!$A$3:$A$5001,"&lt;="&amp;$B143,BD!$K$3:$K$5001,"&lt;&gt;"))))</f>
        <v/>
      </c>
      <c r="M143" s="43" t="str">
        <f>IF(OR($B143="",$A143&gt;$B$9,M$114=""),"",IF(COUNTIFS(BD!$B$3:$B$5001,M$114,BD!$A$3:$A$5001,"&gt;="&amp;$C$7,BD!$A$3:$A$5001,"&lt;="&amp;$B143,BD!$K$3:$K$5001,"&lt;&gt;")=0,"",SUMIFS(BD!$K$3:$K$5001,BD!$B$3:$B$5001,M$114,BD!$A$3:$A$5001,_xlfn.MAXIFS(BD!$A$3:$A$5001,BD!$B$3:$B$5001,M$114,BD!$A$3:$A$5001,"&gt;="&amp;$C$7,BD!$A$3:$A$5001,"&lt;="&amp;$B143,BD!$K$3:$K$5001,"&lt;&gt;"))))</f>
        <v/>
      </c>
      <c r="N143" s="43" t="str">
        <f>IF(OR($B143="",$A143&gt;$B$9,N$114=""),"",IF(COUNTIFS(BD!$B$3:$B$5001,N$114,BD!$A$3:$A$5001,"&gt;="&amp;$C$7,BD!$A$3:$A$5001,"&lt;="&amp;$B143,BD!$K$3:$K$5001,"&lt;&gt;")=0,"",SUMIFS(BD!$K$3:$K$5001,BD!$B$3:$B$5001,N$114,BD!$A$3:$A$5001,_xlfn.MAXIFS(BD!$A$3:$A$5001,BD!$B$3:$B$5001,N$114,BD!$A$3:$A$5001,"&gt;="&amp;$C$7,BD!$A$3:$A$5001,"&lt;="&amp;$B143,BD!$K$3:$K$5001,"&lt;&gt;"))))</f>
        <v/>
      </c>
      <c r="O143" s="43" t="str">
        <f>IF(OR($B143="",$A143&gt;$B$9,O$114=""),"",IF(COUNTIFS(BD!$B$3:$B$5001,O$114,BD!$A$3:$A$5001,"&gt;="&amp;$C$7,BD!$A$3:$A$5001,"&lt;="&amp;$B143,BD!$K$3:$K$5001,"&lt;&gt;")=0,"",SUMIFS(BD!$K$3:$K$5001,BD!$B$3:$B$5001,O$114,BD!$A$3:$A$5001,_xlfn.MAXIFS(BD!$A$3:$A$5001,BD!$B$3:$B$5001,O$114,BD!$A$3:$A$5001,"&gt;="&amp;$C$7,BD!$A$3:$A$5001,"&lt;="&amp;$B143,BD!$K$3:$K$5001,"&lt;&gt;"))))</f>
        <v/>
      </c>
      <c r="P143" s="43" t="str">
        <f>IF(OR($B143="",$A143&gt;$B$9,P$114=""),"",IF(COUNTIFS(BD!$B$3:$B$5001,P$114,BD!$A$3:$A$5001,"&gt;="&amp;$C$7,BD!$A$3:$A$5001,"&lt;="&amp;$B143,BD!$K$3:$K$5001,"&lt;&gt;")=0,"",SUMIFS(BD!$K$3:$K$5001,BD!$B$3:$B$5001,P$114,BD!$A$3:$A$5001,_xlfn.MAXIFS(BD!$A$3:$A$5001,BD!$B$3:$B$5001,P$114,BD!$A$3:$A$5001,"&gt;="&amp;$C$7,BD!$A$3:$A$5001,"&lt;="&amp;$B143,BD!$K$3:$K$5001,"&lt;&gt;"))))</f>
        <v/>
      </c>
      <c r="Q143" s="43" t="str">
        <f>IF(OR($B143="",$A143&gt;$B$9,Q$114=""),"",IF(COUNTIFS(BD!$B$3:$B$5001,Q$114,BD!$A$3:$A$5001,"&gt;="&amp;$C$7,BD!$A$3:$A$5001,"&lt;="&amp;$B143,BD!$K$3:$K$5001,"&lt;&gt;")=0,"",SUMIFS(BD!$K$3:$K$5001,BD!$B$3:$B$5001,Q$114,BD!$A$3:$A$5001,_xlfn.MAXIFS(BD!$A$3:$A$5001,BD!$B$3:$B$5001,Q$114,BD!$A$3:$A$5001,"&gt;="&amp;$C$7,BD!$A$3:$A$5001,"&lt;="&amp;$B143,BD!$K$3:$K$5001,"&lt;&gt;"))))</f>
        <v/>
      </c>
      <c r="R143" s="43" t="str">
        <f>IF(OR($B143="",$A143&gt;$B$9,R$114=""),"",IF(COUNTIFS(BD!$B$3:$B$5001,R$114,BD!$A$3:$A$5001,"&gt;="&amp;$C$7,BD!$A$3:$A$5001,"&lt;="&amp;$B143,BD!$K$3:$K$5001,"&lt;&gt;")=0,"",SUMIFS(BD!$K$3:$K$5001,BD!$B$3:$B$5001,R$114,BD!$A$3:$A$5001,_xlfn.MAXIFS(BD!$A$3:$A$5001,BD!$B$3:$B$5001,R$114,BD!$A$3:$A$5001,"&gt;="&amp;$C$7,BD!$A$3:$A$5001,"&lt;="&amp;$B143,BD!$K$3:$K$5001,"&lt;&gt;"))))</f>
        <v/>
      </c>
      <c r="S143" s="43" t="str">
        <f>IF(OR($B143="",$A143&gt;$B$9,S$114=""),"",IF(COUNTIFS(BD!$B$3:$B$5001,S$114,BD!$A$3:$A$5001,"&gt;="&amp;$C$7,BD!$A$3:$A$5001,"&lt;="&amp;$B143,BD!$K$3:$K$5001,"&lt;&gt;")=0,"",SUMIFS(BD!$K$3:$K$5001,BD!$B$3:$B$5001,S$114,BD!$A$3:$A$5001,_xlfn.MAXIFS(BD!$A$3:$A$5001,BD!$B$3:$B$5001,S$114,BD!$A$3:$A$5001,"&gt;="&amp;$C$7,BD!$A$3:$A$5001,"&lt;="&amp;$B143,BD!$K$3:$K$5001,"&lt;&gt;"))))</f>
        <v/>
      </c>
      <c r="T143" s="43" t="str">
        <f>IF(OR($B143="",$A143&gt;$B$9,T$114=""),"",IF(COUNTIFS(BD!$B$3:$B$5001,T$114,BD!$A$3:$A$5001,"&gt;="&amp;$C$7,BD!$A$3:$A$5001,"&lt;="&amp;$B143,BD!$K$3:$K$5001,"&lt;&gt;")=0,"",SUMIFS(BD!$K$3:$K$5001,BD!$B$3:$B$5001,T$114,BD!$A$3:$A$5001,_xlfn.MAXIFS(BD!$A$3:$A$5001,BD!$B$3:$B$5001,T$114,BD!$A$3:$A$5001,"&gt;="&amp;$C$7,BD!$A$3:$A$5001,"&lt;="&amp;$B143,BD!$K$3:$K$5001,"&lt;&gt;"))))</f>
        <v/>
      </c>
      <c r="U143" s="43" t="str">
        <f>IF(OR($B143="",$A143&gt;$B$9,U$114=""),"",IF(COUNTIFS(BD!$B$3:$B$5001,U$114,BD!$A$3:$A$5001,"&gt;="&amp;$C$7,BD!$A$3:$A$5001,"&lt;="&amp;$B143,BD!$K$3:$K$5001,"&lt;&gt;")=0,"",SUMIFS(BD!$K$3:$K$5001,BD!$B$3:$B$5001,U$114,BD!$A$3:$A$5001,_xlfn.MAXIFS(BD!$A$3:$A$5001,BD!$B$3:$B$5001,U$114,BD!$A$3:$A$5001,"&gt;="&amp;$C$7,BD!$A$3:$A$5001,"&lt;="&amp;$B143,BD!$K$3:$K$5001,"&lt;&gt;"))))</f>
        <v/>
      </c>
      <c r="V143" s="43" t="str">
        <f>IF(OR($B143="",$A143&gt;$B$9,V$114=""),"",IF(COUNTIFS(BD!$B$3:$B$5001,V$114,BD!$A$3:$A$5001,"&gt;="&amp;$C$7,BD!$A$3:$A$5001,"&lt;="&amp;$B143,BD!$K$3:$K$5001,"&lt;&gt;")=0,"",SUMIFS(BD!$K$3:$K$5001,BD!$B$3:$B$5001,V$114,BD!$A$3:$A$5001,_xlfn.MAXIFS(BD!$A$3:$A$5001,BD!$B$3:$B$5001,V$114,BD!$A$3:$A$5001,"&gt;="&amp;$C$7,BD!$A$3:$A$5001,"&lt;="&amp;$B143,BD!$K$3:$K$5001,"&lt;&gt;"))))</f>
        <v/>
      </c>
    </row>
    <row r="144">
      <c r="A144" s="38">
        <v>30</v>
      </c>
      <c r="B144" s="42">
        <f>$B$41</f>
        <v>46325</v>
      </c>
      <c r="C144" s="43" t="str">
        <f>IF(OR($B144="",$A144&gt;$B$9,C$114=""),"",IF(COUNTIFS(BD!$B$3:$B$5001,C$114,BD!$A$3:$A$5001,"&gt;="&amp;$C$7,BD!$A$3:$A$5001,"&lt;="&amp;$B144,BD!$K$3:$K$5001,"&lt;&gt;")=0,"",SUMIFS(BD!$K$3:$K$5001,BD!$B$3:$B$5001,C$114,BD!$A$3:$A$5001,_xlfn.MAXIFS(BD!$A$3:$A$5001,BD!$B$3:$B$5001,C$114,BD!$A$3:$A$5001,"&gt;="&amp;$C$7,BD!$A$3:$A$5001,"&lt;="&amp;$B144,BD!$K$3:$K$5001,"&lt;&gt;"))))</f>
        <v/>
      </c>
      <c r="D144" s="43" t="str">
        <f>IF(OR($B144="",$A144&gt;$B$9,D$114=""),"",IF(COUNTIFS(BD!$B$3:$B$5001,D$114,BD!$A$3:$A$5001,"&gt;="&amp;$C$7,BD!$A$3:$A$5001,"&lt;="&amp;$B144,BD!$K$3:$K$5001,"&lt;&gt;")=0,"",SUMIFS(BD!$K$3:$K$5001,BD!$B$3:$B$5001,D$114,BD!$A$3:$A$5001,_xlfn.MAXIFS(BD!$A$3:$A$5001,BD!$B$3:$B$5001,D$114,BD!$A$3:$A$5001,"&gt;="&amp;$C$7,BD!$A$3:$A$5001,"&lt;="&amp;$B144,BD!$K$3:$K$5001,"&lt;&gt;"))))</f>
        <v/>
      </c>
      <c r="E144" s="43" t="str">
        <f>IF(OR($B144="",$A144&gt;$B$9,E$114=""),"",IF(COUNTIFS(BD!$B$3:$B$5001,E$114,BD!$A$3:$A$5001,"&gt;="&amp;$C$7,BD!$A$3:$A$5001,"&lt;="&amp;$B144,BD!$K$3:$K$5001,"&lt;&gt;")=0,"",SUMIFS(BD!$K$3:$K$5001,BD!$B$3:$B$5001,E$114,BD!$A$3:$A$5001,_xlfn.MAXIFS(BD!$A$3:$A$5001,BD!$B$3:$B$5001,E$114,BD!$A$3:$A$5001,"&gt;="&amp;$C$7,BD!$A$3:$A$5001,"&lt;="&amp;$B144,BD!$K$3:$K$5001,"&lt;&gt;"))))</f>
        <v/>
      </c>
      <c r="F144" s="43" t="str">
        <f>IF(OR($B144="",$A144&gt;$B$9,F$114=""),"",IF(COUNTIFS(BD!$B$3:$B$5001,F$114,BD!$A$3:$A$5001,"&gt;="&amp;$C$7,BD!$A$3:$A$5001,"&lt;="&amp;$B144,BD!$K$3:$K$5001,"&lt;&gt;")=0,"",SUMIFS(BD!$K$3:$K$5001,BD!$B$3:$B$5001,F$114,BD!$A$3:$A$5001,_xlfn.MAXIFS(BD!$A$3:$A$5001,BD!$B$3:$B$5001,F$114,BD!$A$3:$A$5001,"&gt;="&amp;$C$7,BD!$A$3:$A$5001,"&lt;="&amp;$B144,BD!$K$3:$K$5001,"&lt;&gt;"))))</f>
        <v/>
      </c>
      <c r="G144" s="43" t="str">
        <f>IF(OR($B144="",$A144&gt;$B$9,G$114=""),"",IF(COUNTIFS(BD!$B$3:$B$5001,G$114,BD!$A$3:$A$5001,"&gt;="&amp;$C$7,BD!$A$3:$A$5001,"&lt;="&amp;$B144,BD!$K$3:$K$5001,"&lt;&gt;")=0,"",SUMIFS(BD!$K$3:$K$5001,BD!$B$3:$B$5001,G$114,BD!$A$3:$A$5001,_xlfn.MAXIFS(BD!$A$3:$A$5001,BD!$B$3:$B$5001,G$114,BD!$A$3:$A$5001,"&gt;="&amp;$C$7,BD!$A$3:$A$5001,"&lt;="&amp;$B144,BD!$K$3:$K$5001,"&lt;&gt;"))))</f>
        <v/>
      </c>
      <c r="H144" s="43" t="str">
        <f>IF(OR($B144="",$A144&gt;$B$9,H$114=""),"",IF(COUNTIFS(BD!$B$3:$B$5001,H$114,BD!$A$3:$A$5001,"&gt;="&amp;$C$7,BD!$A$3:$A$5001,"&lt;="&amp;$B144,BD!$K$3:$K$5001,"&lt;&gt;")=0,"",SUMIFS(BD!$K$3:$K$5001,BD!$B$3:$B$5001,H$114,BD!$A$3:$A$5001,_xlfn.MAXIFS(BD!$A$3:$A$5001,BD!$B$3:$B$5001,H$114,BD!$A$3:$A$5001,"&gt;="&amp;$C$7,BD!$A$3:$A$5001,"&lt;="&amp;$B144,BD!$K$3:$K$5001,"&lt;&gt;"))))</f>
        <v/>
      </c>
      <c r="I144" s="43" t="str">
        <f>IF(OR($B144="",$A144&gt;$B$9,I$114=""),"",IF(COUNTIFS(BD!$B$3:$B$5001,I$114,BD!$A$3:$A$5001,"&gt;="&amp;$C$7,BD!$A$3:$A$5001,"&lt;="&amp;$B144,BD!$K$3:$K$5001,"&lt;&gt;")=0,"",SUMIFS(BD!$K$3:$K$5001,BD!$B$3:$B$5001,I$114,BD!$A$3:$A$5001,_xlfn.MAXIFS(BD!$A$3:$A$5001,BD!$B$3:$B$5001,I$114,BD!$A$3:$A$5001,"&gt;="&amp;$C$7,BD!$A$3:$A$5001,"&lt;="&amp;$B144,BD!$K$3:$K$5001,"&lt;&gt;"))))</f>
        <v/>
      </c>
      <c r="J144" s="43" t="str">
        <f>IF(OR($B144="",$A144&gt;$B$9,J$114=""),"",IF(COUNTIFS(BD!$B$3:$B$5001,J$114,BD!$A$3:$A$5001,"&gt;="&amp;$C$7,BD!$A$3:$A$5001,"&lt;="&amp;$B144,BD!$K$3:$K$5001,"&lt;&gt;")=0,"",SUMIFS(BD!$K$3:$K$5001,BD!$B$3:$B$5001,J$114,BD!$A$3:$A$5001,_xlfn.MAXIFS(BD!$A$3:$A$5001,BD!$B$3:$B$5001,J$114,BD!$A$3:$A$5001,"&gt;="&amp;$C$7,BD!$A$3:$A$5001,"&lt;="&amp;$B144,BD!$K$3:$K$5001,"&lt;&gt;"))))</f>
        <v/>
      </c>
      <c r="K144" s="43" t="str">
        <f>IF(OR($B144="",$A144&gt;$B$9,K$114=""),"",IF(COUNTIFS(BD!$B$3:$B$5001,K$114,BD!$A$3:$A$5001,"&gt;="&amp;$C$7,BD!$A$3:$A$5001,"&lt;="&amp;$B144,BD!$K$3:$K$5001,"&lt;&gt;")=0,"",SUMIFS(BD!$K$3:$K$5001,BD!$B$3:$B$5001,K$114,BD!$A$3:$A$5001,_xlfn.MAXIFS(BD!$A$3:$A$5001,BD!$B$3:$B$5001,K$114,BD!$A$3:$A$5001,"&gt;="&amp;$C$7,BD!$A$3:$A$5001,"&lt;="&amp;$B144,BD!$K$3:$K$5001,"&lt;&gt;"))))</f>
        <v/>
      </c>
      <c r="L144" s="43" t="str">
        <f>IF(OR($B144="",$A144&gt;$B$9,L$114=""),"",IF(COUNTIFS(BD!$B$3:$B$5001,L$114,BD!$A$3:$A$5001,"&gt;="&amp;$C$7,BD!$A$3:$A$5001,"&lt;="&amp;$B144,BD!$K$3:$K$5001,"&lt;&gt;")=0,"",SUMIFS(BD!$K$3:$K$5001,BD!$B$3:$B$5001,L$114,BD!$A$3:$A$5001,_xlfn.MAXIFS(BD!$A$3:$A$5001,BD!$B$3:$B$5001,L$114,BD!$A$3:$A$5001,"&gt;="&amp;$C$7,BD!$A$3:$A$5001,"&lt;="&amp;$B144,BD!$K$3:$K$5001,"&lt;&gt;"))))</f>
        <v/>
      </c>
      <c r="M144" s="43" t="str">
        <f>IF(OR($B144="",$A144&gt;$B$9,M$114=""),"",IF(COUNTIFS(BD!$B$3:$B$5001,M$114,BD!$A$3:$A$5001,"&gt;="&amp;$C$7,BD!$A$3:$A$5001,"&lt;="&amp;$B144,BD!$K$3:$K$5001,"&lt;&gt;")=0,"",SUMIFS(BD!$K$3:$K$5001,BD!$B$3:$B$5001,M$114,BD!$A$3:$A$5001,_xlfn.MAXIFS(BD!$A$3:$A$5001,BD!$B$3:$B$5001,M$114,BD!$A$3:$A$5001,"&gt;="&amp;$C$7,BD!$A$3:$A$5001,"&lt;="&amp;$B144,BD!$K$3:$K$5001,"&lt;&gt;"))))</f>
        <v/>
      </c>
      <c r="N144" s="43" t="str">
        <f>IF(OR($B144="",$A144&gt;$B$9,N$114=""),"",IF(COUNTIFS(BD!$B$3:$B$5001,N$114,BD!$A$3:$A$5001,"&gt;="&amp;$C$7,BD!$A$3:$A$5001,"&lt;="&amp;$B144,BD!$K$3:$K$5001,"&lt;&gt;")=0,"",SUMIFS(BD!$K$3:$K$5001,BD!$B$3:$B$5001,N$114,BD!$A$3:$A$5001,_xlfn.MAXIFS(BD!$A$3:$A$5001,BD!$B$3:$B$5001,N$114,BD!$A$3:$A$5001,"&gt;="&amp;$C$7,BD!$A$3:$A$5001,"&lt;="&amp;$B144,BD!$K$3:$K$5001,"&lt;&gt;"))))</f>
        <v/>
      </c>
      <c r="O144" s="43" t="str">
        <f>IF(OR($B144="",$A144&gt;$B$9,O$114=""),"",IF(COUNTIFS(BD!$B$3:$B$5001,O$114,BD!$A$3:$A$5001,"&gt;="&amp;$C$7,BD!$A$3:$A$5001,"&lt;="&amp;$B144,BD!$K$3:$K$5001,"&lt;&gt;")=0,"",SUMIFS(BD!$K$3:$K$5001,BD!$B$3:$B$5001,O$114,BD!$A$3:$A$5001,_xlfn.MAXIFS(BD!$A$3:$A$5001,BD!$B$3:$B$5001,O$114,BD!$A$3:$A$5001,"&gt;="&amp;$C$7,BD!$A$3:$A$5001,"&lt;="&amp;$B144,BD!$K$3:$K$5001,"&lt;&gt;"))))</f>
        <v/>
      </c>
      <c r="P144" s="43" t="str">
        <f>IF(OR($B144="",$A144&gt;$B$9,P$114=""),"",IF(COUNTIFS(BD!$B$3:$B$5001,P$114,BD!$A$3:$A$5001,"&gt;="&amp;$C$7,BD!$A$3:$A$5001,"&lt;="&amp;$B144,BD!$K$3:$K$5001,"&lt;&gt;")=0,"",SUMIFS(BD!$K$3:$K$5001,BD!$B$3:$B$5001,P$114,BD!$A$3:$A$5001,_xlfn.MAXIFS(BD!$A$3:$A$5001,BD!$B$3:$B$5001,P$114,BD!$A$3:$A$5001,"&gt;="&amp;$C$7,BD!$A$3:$A$5001,"&lt;="&amp;$B144,BD!$K$3:$K$5001,"&lt;&gt;"))))</f>
        <v/>
      </c>
      <c r="Q144" s="43" t="str">
        <f>IF(OR($B144="",$A144&gt;$B$9,Q$114=""),"",IF(COUNTIFS(BD!$B$3:$B$5001,Q$114,BD!$A$3:$A$5001,"&gt;="&amp;$C$7,BD!$A$3:$A$5001,"&lt;="&amp;$B144,BD!$K$3:$K$5001,"&lt;&gt;")=0,"",SUMIFS(BD!$K$3:$K$5001,BD!$B$3:$B$5001,Q$114,BD!$A$3:$A$5001,_xlfn.MAXIFS(BD!$A$3:$A$5001,BD!$B$3:$B$5001,Q$114,BD!$A$3:$A$5001,"&gt;="&amp;$C$7,BD!$A$3:$A$5001,"&lt;="&amp;$B144,BD!$K$3:$K$5001,"&lt;&gt;"))))</f>
        <v/>
      </c>
      <c r="R144" s="43" t="str">
        <f>IF(OR($B144="",$A144&gt;$B$9,R$114=""),"",IF(COUNTIFS(BD!$B$3:$B$5001,R$114,BD!$A$3:$A$5001,"&gt;="&amp;$C$7,BD!$A$3:$A$5001,"&lt;="&amp;$B144,BD!$K$3:$K$5001,"&lt;&gt;")=0,"",SUMIFS(BD!$K$3:$K$5001,BD!$B$3:$B$5001,R$114,BD!$A$3:$A$5001,_xlfn.MAXIFS(BD!$A$3:$A$5001,BD!$B$3:$B$5001,R$114,BD!$A$3:$A$5001,"&gt;="&amp;$C$7,BD!$A$3:$A$5001,"&lt;="&amp;$B144,BD!$K$3:$K$5001,"&lt;&gt;"))))</f>
        <v/>
      </c>
      <c r="S144" s="43" t="str">
        <f>IF(OR($B144="",$A144&gt;$B$9,S$114=""),"",IF(COUNTIFS(BD!$B$3:$B$5001,S$114,BD!$A$3:$A$5001,"&gt;="&amp;$C$7,BD!$A$3:$A$5001,"&lt;="&amp;$B144,BD!$K$3:$K$5001,"&lt;&gt;")=0,"",SUMIFS(BD!$K$3:$K$5001,BD!$B$3:$B$5001,S$114,BD!$A$3:$A$5001,_xlfn.MAXIFS(BD!$A$3:$A$5001,BD!$B$3:$B$5001,S$114,BD!$A$3:$A$5001,"&gt;="&amp;$C$7,BD!$A$3:$A$5001,"&lt;="&amp;$B144,BD!$K$3:$K$5001,"&lt;&gt;"))))</f>
        <v/>
      </c>
      <c r="T144" s="43" t="str">
        <f>IF(OR($B144="",$A144&gt;$B$9,T$114=""),"",IF(COUNTIFS(BD!$B$3:$B$5001,T$114,BD!$A$3:$A$5001,"&gt;="&amp;$C$7,BD!$A$3:$A$5001,"&lt;="&amp;$B144,BD!$K$3:$K$5001,"&lt;&gt;")=0,"",SUMIFS(BD!$K$3:$K$5001,BD!$B$3:$B$5001,T$114,BD!$A$3:$A$5001,_xlfn.MAXIFS(BD!$A$3:$A$5001,BD!$B$3:$B$5001,T$114,BD!$A$3:$A$5001,"&gt;="&amp;$C$7,BD!$A$3:$A$5001,"&lt;="&amp;$B144,BD!$K$3:$K$5001,"&lt;&gt;"))))</f>
        <v/>
      </c>
      <c r="U144" s="43" t="str">
        <f>IF(OR($B144="",$A144&gt;$B$9,U$114=""),"",IF(COUNTIFS(BD!$B$3:$B$5001,U$114,BD!$A$3:$A$5001,"&gt;="&amp;$C$7,BD!$A$3:$A$5001,"&lt;="&amp;$B144,BD!$K$3:$K$5001,"&lt;&gt;")=0,"",SUMIFS(BD!$K$3:$K$5001,BD!$B$3:$B$5001,U$114,BD!$A$3:$A$5001,_xlfn.MAXIFS(BD!$A$3:$A$5001,BD!$B$3:$B$5001,U$114,BD!$A$3:$A$5001,"&gt;="&amp;$C$7,BD!$A$3:$A$5001,"&lt;="&amp;$B144,BD!$K$3:$K$5001,"&lt;&gt;"))))</f>
        <v/>
      </c>
      <c r="V144" s="43" t="str">
        <f>IF(OR($B144="",$A144&gt;$B$9,V$114=""),"",IF(COUNTIFS(BD!$B$3:$B$5001,V$114,BD!$A$3:$A$5001,"&gt;="&amp;$C$7,BD!$A$3:$A$5001,"&lt;="&amp;$B144,BD!$K$3:$K$5001,"&lt;&gt;")=0,"",SUMIFS(BD!$K$3:$K$5001,BD!$B$3:$B$5001,V$114,BD!$A$3:$A$5001,_xlfn.MAXIFS(BD!$A$3:$A$5001,BD!$B$3:$B$5001,V$114,BD!$A$3:$A$5001,"&gt;="&amp;$C$7,BD!$A$3:$A$5001,"&lt;="&amp;$B144,BD!$K$3:$K$5001,"&lt;&gt;"))))</f>
        <v/>
      </c>
    </row>
    <row r="145">
      <c r="A145" s="38">
        <v>31</v>
      </c>
      <c r="B145" s="42">
        <f>$B$42</f>
        <v>46326</v>
      </c>
      <c r="C145" s="43" t="str">
        <f>IF(OR($B145="",$A145&gt;$B$9,C$114=""),"",IF(COUNTIFS(BD!$B$3:$B$5001,C$114,BD!$A$3:$A$5001,"&gt;="&amp;$C$7,BD!$A$3:$A$5001,"&lt;="&amp;$B145,BD!$K$3:$K$5001,"&lt;&gt;")=0,"",SUMIFS(BD!$K$3:$K$5001,BD!$B$3:$B$5001,C$114,BD!$A$3:$A$5001,_xlfn.MAXIFS(BD!$A$3:$A$5001,BD!$B$3:$B$5001,C$114,BD!$A$3:$A$5001,"&gt;="&amp;$C$7,BD!$A$3:$A$5001,"&lt;="&amp;$B145,BD!$K$3:$K$5001,"&lt;&gt;"))))</f>
        <v/>
      </c>
      <c r="D145" s="43" t="str">
        <f>IF(OR($B145="",$A145&gt;$B$9,D$114=""),"",IF(COUNTIFS(BD!$B$3:$B$5001,D$114,BD!$A$3:$A$5001,"&gt;="&amp;$C$7,BD!$A$3:$A$5001,"&lt;="&amp;$B145,BD!$K$3:$K$5001,"&lt;&gt;")=0,"",SUMIFS(BD!$K$3:$K$5001,BD!$B$3:$B$5001,D$114,BD!$A$3:$A$5001,_xlfn.MAXIFS(BD!$A$3:$A$5001,BD!$B$3:$B$5001,D$114,BD!$A$3:$A$5001,"&gt;="&amp;$C$7,BD!$A$3:$A$5001,"&lt;="&amp;$B145,BD!$K$3:$K$5001,"&lt;&gt;"))))</f>
        <v/>
      </c>
      <c r="E145" s="43" t="str">
        <f>IF(OR($B145="",$A145&gt;$B$9,E$114=""),"",IF(COUNTIFS(BD!$B$3:$B$5001,E$114,BD!$A$3:$A$5001,"&gt;="&amp;$C$7,BD!$A$3:$A$5001,"&lt;="&amp;$B145,BD!$K$3:$K$5001,"&lt;&gt;")=0,"",SUMIFS(BD!$K$3:$K$5001,BD!$B$3:$B$5001,E$114,BD!$A$3:$A$5001,_xlfn.MAXIFS(BD!$A$3:$A$5001,BD!$B$3:$B$5001,E$114,BD!$A$3:$A$5001,"&gt;="&amp;$C$7,BD!$A$3:$A$5001,"&lt;="&amp;$B145,BD!$K$3:$K$5001,"&lt;&gt;"))))</f>
        <v/>
      </c>
      <c r="F145" s="43" t="str">
        <f>IF(OR($B145="",$A145&gt;$B$9,F$114=""),"",IF(COUNTIFS(BD!$B$3:$B$5001,F$114,BD!$A$3:$A$5001,"&gt;="&amp;$C$7,BD!$A$3:$A$5001,"&lt;="&amp;$B145,BD!$K$3:$K$5001,"&lt;&gt;")=0,"",SUMIFS(BD!$K$3:$K$5001,BD!$B$3:$B$5001,F$114,BD!$A$3:$A$5001,_xlfn.MAXIFS(BD!$A$3:$A$5001,BD!$B$3:$B$5001,F$114,BD!$A$3:$A$5001,"&gt;="&amp;$C$7,BD!$A$3:$A$5001,"&lt;="&amp;$B145,BD!$K$3:$K$5001,"&lt;&gt;"))))</f>
        <v/>
      </c>
      <c r="G145" s="43" t="str">
        <f>IF(OR($B145="",$A145&gt;$B$9,G$114=""),"",IF(COUNTIFS(BD!$B$3:$B$5001,G$114,BD!$A$3:$A$5001,"&gt;="&amp;$C$7,BD!$A$3:$A$5001,"&lt;="&amp;$B145,BD!$K$3:$K$5001,"&lt;&gt;")=0,"",SUMIFS(BD!$K$3:$K$5001,BD!$B$3:$B$5001,G$114,BD!$A$3:$A$5001,_xlfn.MAXIFS(BD!$A$3:$A$5001,BD!$B$3:$B$5001,G$114,BD!$A$3:$A$5001,"&gt;="&amp;$C$7,BD!$A$3:$A$5001,"&lt;="&amp;$B145,BD!$K$3:$K$5001,"&lt;&gt;"))))</f>
        <v/>
      </c>
      <c r="H145" s="43" t="str">
        <f>IF(OR($B145="",$A145&gt;$B$9,H$114=""),"",IF(COUNTIFS(BD!$B$3:$B$5001,H$114,BD!$A$3:$A$5001,"&gt;="&amp;$C$7,BD!$A$3:$A$5001,"&lt;="&amp;$B145,BD!$K$3:$K$5001,"&lt;&gt;")=0,"",SUMIFS(BD!$K$3:$K$5001,BD!$B$3:$B$5001,H$114,BD!$A$3:$A$5001,_xlfn.MAXIFS(BD!$A$3:$A$5001,BD!$B$3:$B$5001,H$114,BD!$A$3:$A$5001,"&gt;="&amp;$C$7,BD!$A$3:$A$5001,"&lt;="&amp;$B145,BD!$K$3:$K$5001,"&lt;&gt;"))))</f>
        <v/>
      </c>
      <c r="I145" s="43" t="str">
        <f>IF(OR($B145="",$A145&gt;$B$9,I$114=""),"",IF(COUNTIFS(BD!$B$3:$B$5001,I$114,BD!$A$3:$A$5001,"&gt;="&amp;$C$7,BD!$A$3:$A$5001,"&lt;="&amp;$B145,BD!$K$3:$K$5001,"&lt;&gt;")=0,"",SUMIFS(BD!$K$3:$K$5001,BD!$B$3:$B$5001,I$114,BD!$A$3:$A$5001,_xlfn.MAXIFS(BD!$A$3:$A$5001,BD!$B$3:$B$5001,I$114,BD!$A$3:$A$5001,"&gt;="&amp;$C$7,BD!$A$3:$A$5001,"&lt;="&amp;$B145,BD!$K$3:$K$5001,"&lt;&gt;"))))</f>
        <v/>
      </c>
      <c r="J145" s="43" t="str">
        <f>IF(OR($B145="",$A145&gt;$B$9,J$114=""),"",IF(COUNTIFS(BD!$B$3:$B$5001,J$114,BD!$A$3:$A$5001,"&gt;="&amp;$C$7,BD!$A$3:$A$5001,"&lt;="&amp;$B145,BD!$K$3:$K$5001,"&lt;&gt;")=0,"",SUMIFS(BD!$K$3:$K$5001,BD!$B$3:$B$5001,J$114,BD!$A$3:$A$5001,_xlfn.MAXIFS(BD!$A$3:$A$5001,BD!$B$3:$B$5001,J$114,BD!$A$3:$A$5001,"&gt;="&amp;$C$7,BD!$A$3:$A$5001,"&lt;="&amp;$B145,BD!$K$3:$K$5001,"&lt;&gt;"))))</f>
        <v/>
      </c>
      <c r="K145" s="43" t="str">
        <f>IF(OR($B145="",$A145&gt;$B$9,K$114=""),"",IF(COUNTIFS(BD!$B$3:$B$5001,K$114,BD!$A$3:$A$5001,"&gt;="&amp;$C$7,BD!$A$3:$A$5001,"&lt;="&amp;$B145,BD!$K$3:$K$5001,"&lt;&gt;")=0,"",SUMIFS(BD!$K$3:$K$5001,BD!$B$3:$B$5001,K$114,BD!$A$3:$A$5001,_xlfn.MAXIFS(BD!$A$3:$A$5001,BD!$B$3:$B$5001,K$114,BD!$A$3:$A$5001,"&gt;="&amp;$C$7,BD!$A$3:$A$5001,"&lt;="&amp;$B145,BD!$K$3:$K$5001,"&lt;&gt;"))))</f>
        <v/>
      </c>
      <c r="L145" s="43" t="str">
        <f>IF(OR($B145="",$A145&gt;$B$9,L$114=""),"",IF(COUNTIFS(BD!$B$3:$B$5001,L$114,BD!$A$3:$A$5001,"&gt;="&amp;$C$7,BD!$A$3:$A$5001,"&lt;="&amp;$B145,BD!$K$3:$K$5001,"&lt;&gt;")=0,"",SUMIFS(BD!$K$3:$K$5001,BD!$B$3:$B$5001,L$114,BD!$A$3:$A$5001,_xlfn.MAXIFS(BD!$A$3:$A$5001,BD!$B$3:$B$5001,L$114,BD!$A$3:$A$5001,"&gt;="&amp;$C$7,BD!$A$3:$A$5001,"&lt;="&amp;$B145,BD!$K$3:$K$5001,"&lt;&gt;"))))</f>
        <v/>
      </c>
      <c r="M145" s="43" t="str">
        <f>IF(OR($B145="",$A145&gt;$B$9,M$114=""),"",IF(COUNTIFS(BD!$B$3:$B$5001,M$114,BD!$A$3:$A$5001,"&gt;="&amp;$C$7,BD!$A$3:$A$5001,"&lt;="&amp;$B145,BD!$K$3:$K$5001,"&lt;&gt;")=0,"",SUMIFS(BD!$K$3:$K$5001,BD!$B$3:$B$5001,M$114,BD!$A$3:$A$5001,_xlfn.MAXIFS(BD!$A$3:$A$5001,BD!$B$3:$B$5001,M$114,BD!$A$3:$A$5001,"&gt;="&amp;$C$7,BD!$A$3:$A$5001,"&lt;="&amp;$B145,BD!$K$3:$K$5001,"&lt;&gt;"))))</f>
        <v/>
      </c>
      <c r="N145" s="43" t="str">
        <f>IF(OR($B145="",$A145&gt;$B$9,N$114=""),"",IF(COUNTIFS(BD!$B$3:$B$5001,N$114,BD!$A$3:$A$5001,"&gt;="&amp;$C$7,BD!$A$3:$A$5001,"&lt;="&amp;$B145,BD!$K$3:$K$5001,"&lt;&gt;")=0,"",SUMIFS(BD!$K$3:$K$5001,BD!$B$3:$B$5001,N$114,BD!$A$3:$A$5001,_xlfn.MAXIFS(BD!$A$3:$A$5001,BD!$B$3:$B$5001,N$114,BD!$A$3:$A$5001,"&gt;="&amp;$C$7,BD!$A$3:$A$5001,"&lt;="&amp;$B145,BD!$K$3:$K$5001,"&lt;&gt;"))))</f>
        <v/>
      </c>
      <c r="O145" s="43" t="str">
        <f>IF(OR($B145="",$A145&gt;$B$9,O$114=""),"",IF(COUNTIFS(BD!$B$3:$B$5001,O$114,BD!$A$3:$A$5001,"&gt;="&amp;$C$7,BD!$A$3:$A$5001,"&lt;="&amp;$B145,BD!$K$3:$K$5001,"&lt;&gt;")=0,"",SUMIFS(BD!$K$3:$K$5001,BD!$B$3:$B$5001,O$114,BD!$A$3:$A$5001,_xlfn.MAXIFS(BD!$A$3:$A$5001,BD!$B$3:$B$5001,O$114,BD!$A$3:$A$5001,"&gt;="&amp;$C$7,BD!$A$3:$A$5001,"&lt;="&amp;$B145,BD!$K$3:$K$5001,"&lt;&gt;"))))</f>
        <v/>
      </c>
      <c r="P145" s="43" t="str">
        <f>IF(OR($B145="",$A145&gt;$B$9,P$114=""),"",IF(COUNTIFS(BD!$B$3:$B$5001,P$114,BD!$A$3:$A$5001,"&gt;="&amp;$C$7,BD!$A$3:$A$5001,"&lt;="&amp;$B145,BD!$K$3:$K$5001,"&lt;&gt;")=0,"",SUMIFS(BD!$K$3:$K$5001,BD!$B$3:$B$5001,P$114,BD!$A$3:$A$5001,_xlfn.MAXIFS(BD!$A$3:$A$5001,BD!$B$3:$B$5001,P$114,BD!$A$3:$A$5001,"&gt;="&amp;$C$7,BD!$A$3:$A$5001,"&lt;="&amp;$B145,BD!$K$3:$K$5001,"&lt;&gt;"))))</f>
        <v/>
      </c>
      <c r="Q145" s="43" t="str">
        <f>IF(OR($B145="",$A145&gt;$B$9,Q$114=""),"",IF(COUNTIFS(BD!$B$3:$B$5001,Q$114,BD!$A$3:$A$5001,"&gt;="&amp;$C$7,BD!$A$3:$A$5001,"&lt;="&amp;$B145,BD!$K$3:$K$5001,"&lt;&gt;")=0,"",SUMIFS(BD!$K$3:$K$5001,BD!$B$3:$B$5001,Q$114,BD!$A$3:$A$5001,_xlfn.MAXIFS(BD!$A$3:$A$5001,BD!$B$3:$B$5001,Q$114,BD!$A$3:$A$5001,"&gt;="&amp;$C$7,BD!$A$3:$A$5001,"&lt;="&amp;$B145,BD!$K$3:$K$5001,"&lt;&gt;"))))</f>
        <v/>
      </c>
      <c r="R145" s="43" t="str">
        <f>IF(OR($B145="",$A145&gt;$B$9,R$114=""),"",IF(COUNTIFS(BD!$B$3:$B$5001,R$114,BD!$A$3:$A$5001,"&gt;="&amp;$C$7,BD!$A$3:$A$5001,"&lt;="&amp;$B145,BD!$K$3:$K$5001,"&lt;&gt;")=0,"",SUMIFS(BD!$K$3:$K$5001,BD!$B$3:$B$5001,R$114,BD!$A$3:$A$5001,_xlfn.MAXIFS(BD!$A$3:$A$5001,BD!$B$3:$B$5001,R$114,BD!$A$3:$A$5001,"&gt;="&amp;$C$7,BD!$A$3:$A$5001,"&lt;="&amp;$B145,BD!$K$3:$K$5001,"&lt;&gt;"))))</f>
        <v/>
      </c>
      <c r="S145" s="43" t="str">
        <f>IF(OR($B145="",$A145&gt;$B$9,S$114=""),"",IF(COUNTIFS(BD!$B$3:$B$5001,S$114,BD!$A$3:$A$5001,"&gt;="&amp;$C$7,BD!$A$3:$A$5001,"&lt;="&amp;$B145,BD!$K$3:$K$5001,"&lt;&gt;")=0,"",SUMIFS(BD!$K$3:$K$5001,BD!$B$3:$B$5001,S$114,BD!$A$3:$A$5001,_xlfn.MAXIFS(BD!$A$3:$A$5001,BD!$B$3:$B$5001,S$114,BD!$A$3:$A$5001,"&gt;="&amp;$C$7,BD!$A$3:$A$5001,"&lt;="&amp;$B145,BD!$K$3:$K$5001,"&lt;&gt;"))))</f>
        <v/>
      </c>
      <c r="T145" s="43" t="str">
        <f>IF(OR($B145="",$A145&gt;$B$9,T$114=""),"",IF(COUNTIFS(BD!$B$3:$B$5001,T$114,BD!$A$3:$A$5001,"&gt;="&amp;$C$7,BD!$A$3:$A$5001,"&lt;="&amp;$B145,BD!$K$3:$K$5001,"&lt;&gt;")=0,"",SUMIFS(BD!$K$3:$K$5001,BD!$B$3:$B$5001,T$114,BD!$A$3:$A$5001,_xlfn.MAXIFS(BD!$A$3:$A$5001,BD!$B$3:$B$5001,T$114,BD!$A$3:$A$5001,"&gt;="&amp;$C$7,BD!$A$3:$A$5001,"&lt;="&amp;$B145,BD!$K$3:$K$5001,"&lt;&gt;"))))</f>
        <v/>
      </c>
      <c r="U145" s="43" t="str">
        <f>IF(OR($B145="",$A145&gt;$B$9,U$114=""),"",IF(COUNTIFS(BD!$B$3:$B$5001,U$114,BD!$A$3:$A$5001,"&gt;="&amp;$C$7,BD!$A$3:$A$5001,"&lt;="&amp;$B145,BD!$K$3:$K$5001,"&lt;&gt;")=0,"",SUMIFS(BD!$K$3:$K$5001,BD!$B$3:$B$5001,U$114,BD!$A$3:$A$5001,_xlfn.MAXIFS(BD!$A$3:$A$5001,BD!$B$3:$B$5001,U$114,BD!$A$3:$A$5001,"&gt;="&amp;$C$7,BD!$A$3:$A$5001,"&lt;="&amp;$B145,BD!$K$3:$K$5001,"&lt;&gt;"))))</f>
        <v/>
      </c>
      <c r="V145" s="43" t="str">
        <f>IF(OR($B145="",$A145&gt;$B$9,V$114=""),"",IF(COUNTIFS(BD!$B$3:$B$5001,V$114,BD!$A$3:$A$5001,"&gt;="&amp;$C$7,BD!$A$3:$A$5001,"&lt;="&amp;$B145,BD!$K$3:$K$5001,"&lt;&gt;")=0,"",SUMIFS(BD!$K$3:$K$5001,BD!$B$3:$B$5001,V$114,BD!$A$3:$A$5001,_xlfn.MAXIFS(BD!$A$3:$A$5001,BD!$B$3:$B$5001,V$114,BD!$A$3:$A$5001,"&gt;="&amp;$C$7,BD!$A$3:$A$5001,"&lt;="&amp;$B145,BD!$K$3:$K$5001,"&lt;&gt;"))))</f>
        <v/>
      </c>
    </row>
    <row r="146">
      <c r="A146" s="44" t="inlineStr">
        <is>
          <t xml:space="preserve">Mês anterior (último)</t>
        </is>
      </c>
      <c r="C146" s="45" t="str">
        <f>IF(C$114="","",IF(COUNTIFS(BD!$B$3:$B$5001,C$114,BD!$A$3:$A$5001,"&gt;="&amp;$C$8,BD!$A$3:$A$5001,"&lt;="&amp;$D$8,BD!$K$3:$K$5001,"&lt;&gt;")=0,"",SUMIFS(BD!$K$3:$K$5001,BD!$B$3:$B$5001,C$114,BD!$A$3:$A$5001,_xlfn.MAXIFS(BD!$A$3:$A$5001,BD!$B$3:$B$5001,C$114,BD!$A$3:$A$5001,"&gt;="&amp;$C$8,BD!$A$3:$A$5001,"&lt;="&amp;$D$8,BD!$K$3:$K$5001,"&lt;&gt;"))))</f>
        <v/>
      </c>
      <c r="D146" s="45" t="str">
        <f>IF(D$114="","",IF(COUNTIFS(BD!$B$3:$B$5001,D$114,BD!$A$3:$A$5001,"&gt;="&amp;$C$8,BD!$A$3:$A$5001,"&lt;="&amp;$D$8,BD!$K$3:$K$5001,"&lt;&gt;")=0,"",SUMIFS(BD!$K$3:$K$5001,BD!$B$3:$B$5001,D$114,BD!$A$3:$A$5001,_xlfn.MAXIFS(BD!$A$3:$A$5001,BD!$B$3:$B$5001,D$114,BD!$A$3:$A$5001,"&gt;="&amp;$C$8,BD!$A$3:$A$5001,"&lt;="&amp;$D$8,BD!$K$3:$K$5001,"&lt;&gt;"))))</f>
        <v/>
      </c>
      <c r="E146" s="45" t="str">
        <f>IF(E$114="","",IF(COUNTIFS(BD!$B$3:$B$5001,E$114,BD!$A$3:$A$5001,"&gt;="&amp;$C$8,BD!$A$3:$A$5001,"&lt;="&amp;$D$8,BD!$K$3:$K$5001,"&lt;&gt;")=0,"",SUMIFS(BD!$K$3:$K$5001,BD!$B$3:$B$5001,E$114,BD!$A$3:$A$5001,_xlfn.MAXIFS(BD!$A$3:$A$5001,BD!$B$3:$B$5001,E$114,BD!$A$3:$A$5001,"&gt;="&amp;$C$8,BD!$A$3:$A$5001,"&lt;="&amp;$D$8,BD!$K$3:$K$5001,"&lt;&gt;"))))</f>
        <v/>
      </c>
      <c r="F146" s="45" t="str">
        <f>IF(F$114="","",IF(COUNTIFS(BD!$B$3:$B$5001,F$114,BD!$A$3:$A$5001,"&gt;="&amp;$C$8,BD!$A$3:$A$5001,"&lt;="&amp;$D$8,BD!$K$3:$K$5001,"&lt;&gt;")=0,"",SUMIFS(BD!$K$3:$K$5001,BD!$B$3:$B$5001,F$114,BD!$A$3:$A$5001,_xlfn.MAXIFS(BD!$A$3:$A$5001,BD!$B$3:$B$5001,F$114,BD!$A$3:$A$5001,"&gt;="&amp;$C$8,BD!$A$3:$A$5001,"&lt;="&amp;$D$8,BD!$K$3:$K$5001,"&lt;&gt;"))))</f>
        <v/>
      </c>
      <c r="G146" s="45" t="str">
        <f>IF(G$114="","",IF(COUNTIFS(BD!$B$3:$B$5001,G$114,BD!$A$3:$A$5001,"&gt;="&amp;$C$8,BD!$A$3:$A$5001,"&lt;="&amp;$D$8,BD!$K$3:$K$5001,"&lt;&gt;")=0,"",SUMIFS(BD!$K$3:$K$5001,BD!$B$3:$B$5001,G$114,BD!$A$3:$A$5001,_xlfn.MAXIFS(BD!$A$3:$A$5001,BD!$B$3:$B$5001,G$114,BD!$A$3:$A$5001,"&gt;="&amp;$C$8,BD!$A$3:$A$5001,"&lt;="&amp;$D$8,BD!$K$3:$K$5001,"&lt;&gt;"))))</f>
        <v/>
      </c>
      <c r="H146" s="45" t="str">
        <f>IF(H$114="","",IF(COUNTIFS(BD!$B$3:$B$5001,H$114,BD!$A$3:$A$5001,"&gt;="&amp;$C$8,BD!$A$3:$A$5001,"&lt;="&amp;$D$8,BD!$K$3:$K$5001,"&lt;&gt;")=0,"",SUMIFS(BD!$K$3:$K$5001,BD!$B$3:$B$5001,H$114,BD!$A$3:$A$5001,_xlfn.MAXIFS(BD!$A$3:$A$5001,BD!$B$3:$B$5001,H$114,BD!$A$3:$A$5001,"&gt;="&amp;$C$8,BD!$A$3:$A$5001,"&lt;="&amp;$D$8,BD!$K$3:$K$5001,"&lt;&gt;"))))</f>
        <v/>
      </c>
      <c r="I146" s="45" t="str">
        <f>IF(I$114="","",IF(COUNTIFS(BD!$B$3:$B$5001,I$114,BD!$A$3:$A$5001,"&gt;="&amp;$C$8,BD!$A$3:$A$5001,"&lt;="&amp;$D$8,BD!$K$3:$K$5001,"&lt;&gt;")=0,"",SUMIFS(BD!$K$3:$K$5001,BD!$B$3:$B$5001,I$114,BD!$A$3:$A$5001,_xlfn.MAXIFS(BD!$A$3:$A$5001,BD!$B$3:$B$5001,I$114,BD!$A$3:$A$5001,"&gt;="&amp;$C$8,BD!$A$3:$A$5001,"&lt;="&amp;$D$8,BD!$K$3:$K$5001,"&lt;&gt;"))))</f>
        <v/>
      </c>
      <c r="J146" s="45" t="str">
        <f>IF(J$114="","",IF(COUNTIFS(BD!$B$3:$B$5001,J$114,BD!$A$3:$A$5001,"&gt;="&amp;$C$8,BD!$A$3:$A$5001,"&lt;="&amp;$D$8,BD!$K$3:$K$5001,"&lt;&gt;")=0,"",SUMIFS(BD!$K$3:$K$5001,BD!$B$3:$B$5001,J$114,BD!$A$3:$A$5001,_xlfn.MAXIFS(BD!$A$3:$A$5001,BD!$B$3:$B$5001,J$114,BD!$A$3:$A$5001,"&gt;="&amp;$C$8,BD!$A$3:$A$5001,"&lt;="&amp;$D$8,BD!$K$3:$K$5001,"&lt;&gt;"))))</f>
        <v/>
      </c>
      <c r="K146" s="45" t="str">
        <f>IF(K$114="","",IF(COUNTIFS(BD!$B$3:$B$5001,K$114,BD!$A$3:$A$5001,"&gt;="&amp;$C$8,BD!$A$3:$A$5001,"&lt;="&amp;$D$8,BD!$K$3:$K$5001,"&lt;&gt;")=0,"",SUMIFS(BD!$K$3:$K$5001,BD!$B$3:$B$5001,K$114,BD!$A$3:$A$5001,_xlfn.MAXIFS(BD!$A$3:$A$5001,BD!$B$3:$B$5001,K$114,BD!$A$3:$A$5001,"&gt;="&amp;$C$8,BD!$A$3:$A$5001,"&lt;="&amp;$D$8,BD!$K$3:$K$5001,"&lt;&gt;"))))</f>
        <v/>
      </c>
      <c r="L146" s="45" t="str">
        <f>IF(L$114="","",IF(COUNTIFS(BD!$B$3:$B$5001,L$114,BD!$A$3:$A$5001,"&gt;="&amp;$C$8,BD!$A$3:$A$5001,"&lt;="&amp;$D$8,BD!$K$3:$K$5001,"&lt;&gt;")=0,"",SUMIFS(BD!$K$3:$K$5001,BD!$B$3:$B$5001,L$114,BD!$A$3:$A$5001,_xlfn.MAXIFS(BD!$A$3:$A$5001,BD!$B$3:$B$5001,L$114,BD!$A$3:$A$5001,"&gt;="&amp;$C$8,BD!$A$3:$A$5001,"&lt;="&amp;$D$8,BD!$K$3:$K$5001,"&lt;&gt;"))))</f>
        <v/>
      </c>
      <c r="M146" s="45" t="str">
        <f>IF(M$114="","",IF(COUNTIFS(BD!$B$3:$B$5001,M$114,BD!$A$3:$A$5001,"&gt;="&amp;$C$8,BD!$A$3:$A$5001,"&lt;="&amp;$D$8,BD!$K$3:$K$5001,"&lt;&gt;")=0,"",SUMIFS(BD!$K$3:$K$5001,BD!$B$3:$B$5001,M$114,BD!$A$3:$A$5001,_xlfn.MAXIFS(BD!$A$3:$A$5001,BD!$B$3:$B$5001,M$114,BD!$A$3:$A$5001,"&gt;="&amp;$C$8,BD!$A$3:$A$5001,"&lt;="&amp;$D$8,BD!$K$3:$K$5001,"&lt;&gt;"))))</f>
        <v/>
      </c>
      <c r="N146" s="45" t="str">
        <f>IF(N$114="","",IF(COUNTIFS(BD!$B$3:$B$5001,N$114,BD!$A$3:$A$5001,"&gt;="&amp;$C$8,BD!$A$3:$A$5001,"&lt;="&amp;$D$8,BD!$K$3:$K$5001,"&lt;&gt;")=0,"",SUMIFS(BD!$K$3:$K$5001,BD!$B$3:$B$5001,N$114,BD!$A$3:$A$5001,_xlfn.MAXIFS(BD!$A$3:$A$5001,BD!$B$3:$B$5001,N$114,BD!$A$3:$A$5001,"&gt;="&amp;$C$8,BD!$A$3:$A$5001,"&lt;="&amp;$D$8,BD!$K$3:$K$5001,"&lt;&gt;"))))</f>
        <v/>
      </c>
      <c r="O146" s="45" t="str">
        <f>IF(O$114="","",IF(COUNTIFS(BD!$B$3:$B$5001,O$114,BD!$A$3:$A$5001,"&gt;="&amp;$C$8,BD!$A$3:$A$5001,"&lt;="&amp;$D$8,BD!$K$3:$K$5001,"&lt;&gt;")=0,"",SUMIFS(BD!$K$3:$K$5001,BD!$B$3:$B$5001,O$114,BD!$A$3:$A$5001,_xlfn.MAXIFS(BD!$A$3:$A$5001,BD!$B$3:$B$5001,O$114,BD!$A$3:$A$5001,"&gt;="&amp;$C$8,BD!$A$3:$A$5001,"&lt;="&amp;$D$8,BD!$K$3:$K$5001,"&lt;&gt;"))))</f>
        <v/>
      </c>
      <c r="P146" s="45" t="str">
        <f>IF(P$114="","",IF(COUNTIFS(BD!$B$3:$B$5001,P$114,BD!$A$3:$A$5001,"&gt;="&amp;$C$8,BD!$A$3:$A$5001,"&lt;="&amp;$D$8,BD!$K$3:$K$5001,"&lt;&gt;")=0,"",SUMIFS(BD!$K$3:$K$5001,BD!$B$3:$B$5001,P$114,BD!$A$3:$A$5001,_xlfn.MAXIFS(BD!$A$3:$A$5001,BD!$B$3:$B$5001,P$114,BD!$A$3:$A$5001,"&gt;="&amp;$C$8,BD!$A$3:$A$5001,"&lt;="&amp;$D$8,BD!$K$3:$K$5001,"&lt;&gt;"))))</f>
        <v/>
      </c>
      <c r="Q146" s="45" t="str">
        <f>IF(Q$114="","",IF(COUNTIFS(BD!$B$3:$B$5001,Q$114,BD!$A$3:$A$5001,"&gt;="&amp;$C$8,BD!$A$3:$A$5001,"&lt;="&amp;$D$8,BD!$K$3:$K$5001,"&lt;&gt;")=0,"",SUMIFS(BD!$K$3:$K$5001,BD!$B$3:$B$5001,Q$114,BD!$A$3:$A$5001,_xlfn.MAXIFS(BD!$A$3:$A$5001,BD!$B$3:$B$5001,Q$114,BD!$A$3:$A$5001,"&gt;="&amp;$C$8,BD!$A$3:$A$5001,"&lt;="&amp;$D$8,BD!$K$3:$K$5001,"&lt;&gt;"))))</f>
        <v/>
      </c>
      <c r="R146" s="45" t="str">
        <f>IF(R$114="","",IF(COUNTIFS(BD!$B$3:$B$5001,R$114,BD!$A$3:$A$5001,"&gt;="&amp;$C$8,BD!$A$3:$A$5001,"&lt;="&amp;$D$8,BD!$K$3:$K$5001,"&lt;&gt;")=0,"",SUMIFS(BD!$K$3:$K$5001,BD!$B$3:$B$5001,R$114,BD!$A$3:$A$5001,_xlfn.MAXIFS(BD!$A$3:$A$5001,BD!$B$3:$B$5001,R$114,BD!$A$3:$A$5001,"&gt;="&amp;$C$8,BD!$A$3:$A$5001,"&lt;="&amp;$D$8,BD!$K$3:$K$5001,"&lt;&gt;"))))</f>
        <v/>
      </c>
      <c r="S146" s="45" t="str">
        <f>IF(S$114="","",IF(COUNTIFS(BD!$B$3:$B$5001,S$114,BD!$A$3:$A$5001,"&gt;="&amp;$C$8,BD!$A$3:$A$5001,"&lt;="&amp;$D$8,BD!$K$3:$K$5001,"&lt;&gt;")=0,"",SUMIFS(BD!$K$3:$K$5001,BD!$B$3:$B$5001,S$114,BD!$A$3:$A$5001,_xlfn.MAXIFS(BD!$A$3:$A$5001,BD!$B$3:$B$5001,S$114,BD!$A$3:$A$5001,"&gt;="&amp;$C$8,BD!$A$3:$A$5001,"&lt;="&amp;$D$8,BD!$K$3:$K$5001,"&lt;&gt;"))))</f>
        <v/>
      </c>
      <c r="T146" s="45" t="str">
        <f>IF(T$114="","",IF(COUNTIFS(BD!$B$3:$B$5001,T$114,BD!$A$3:$A$5001,"&gt;="&amp;$C$8,BD!$A$3:$A$5001,"&lt;="&amp;$D$8,BD!$K$3:$K$5001,"&lt;&gt;")=0,"",SUMIFS(BD!$K$3:$K$5001,BD!$B$3:$B$5001,T$114,BD!$A$3:$A$5001,_xlfn.MAXIFS(BD!$A$3:$A$5001,BD!$B$3:$B$5001,T$114,BD!$A$3:$A$5001,"&gt;="&amp;$C$8,BD!$A$3:$A$5001,"&lt;="&amp;$D$8,BD!$K$3:$K$5001,"&lt;&gt;"))))</f>
        <v/>
      </c>
      <c r="U146" s="45" t="str">
        <f>IF(U$114="","",IF(COUNTIFS(BD!$B$3:$B$5001,U$114,BD!$A$3:$A$5001,"&gt;="&amp;$C$8,BD!$A$3:$A$5001,"&lt;="&amp;$D$8,BD!$K$3:$K$5001,"&lt;&gt;")=0,"",SUMIFS(BD!$K$3:$K$5001,BD!$B$3:$B$5001,U$114,BD!$A$3:$A$5001,_xlfn.MAXIFS(BD!$A$3:$A$5001,BD!$B$3:$B$5001,U$114,BD!$A$3:$A$5001,"&gt;="&amp;$C$8,BD!$A$3:$A$5001,"&lt;="&amp;$D$8,BD!$K$3:$K$5001,"&lt;&gt;"))))</f>
        <v/>
      </c>
      <c r="V146" s="45" t="str">
        <f>IF(V$114="","",IF(COUNTIFS(BD!$B$3:$B$5001,V$114,BD!$A$3:$A$5001,"&gt;="&amp;$C$8,BD!$A$3:$A$5001,"&lt;="&amp;$D$8,BD!$K$3:$K$5001,"&lt;&gt;")=0,"",SUMIFS(BD!$K$3:$K$5001,BD!$B$3:$B$5001,V$114,BD!$A$3:$A$5001,_xlfn.MAXIFS(BD!$A$3:$A$5001,BD!$B$3:$B$5001,V$114,BD!$A$3:$A$5001,"&gt;="&amp;$C$8,BD!$A$3:$A$5001,"&lt;="&amp;$D$8,BD!$K$3:$K$5001,"&lt;&gt;"))))</f>
        <v/>
      </c>
    </row>
    <row r="147">
      <c r="A147" s="44" t="inlineStr">
        <is>
          <t xml:space="preserve">Depósito</t>
        </is>
      </c>
      <c r="C147" s="38" t="str">
        <f>IF(Config!$C$10="","JSL",Config!$C$10)</f>
        <v>JSL</v>
      </c>
      <c r="D147" s="38" t="str">
        <f>IF(Config!$C$11="","JSL",Config!$C$11)</f>
        <v>JSL</v>
      </c>
      <c r="E147" s="38" t="str">
        <f>IF(Config!$C$12="","JSL",Config!$C$12)</f>
        <v>JSL</v>
      </c>
      <c r="F147" s="38" t="str">
        <f>IF(Config!$C$13="","JSL",Config!$C$13)</f>
        <v>JSL</v>
      </c>
      <c r="G147" s="38" t="str">
        <f>IF(Config!$C$14="","JSL",Config!$C$14)</f>
        <v>JSL</v>
      </c>
      <c r="H147" s="38" t="str">
        <f>IF(Config!$C$15="","JSL",Config!$C$15)</f>
        <v>JSL</v>
      </c>
      <c r="I147" s="38" t="str">
        <f>IF(Config!$C$16="","JSL",Config!$C$16)</f>
        <v>JSL</v>
      </c>
      <c r="J147" s="38" t="str">
        <f>IF(Config!$C$17="","JSL",Config!$C$17)</f>
        <v>JSL</v>
      </c>
      <c r="K147" s="38" t="str">
        <f>IF(Config!$C$18="","JSL",Config!$C$18)</f>
        <v>JSL</v>
      </c>
      <c r="L147" s="38" t="str">
        <f>IF(Config!$C$19="","JSL",Config!$C$19)</f>
        <v>JSL</v>
      </c>
      <c r="M147" s="38" t="str">
        <f>IF(Config!$C$20="","JSL",Config!$C$20)</f>
        <v>JSL</v>
      </c>
      <c r="N147" s="38" t="str">
        <f>IF(Config!$C$21="","JSL",Config!$C$21)</f>
        <v>JSL</v>
      </c>
      <c r="O147" s="38" t="str">
        <f>IF(Config!$C$22="","JSL",Config!$C$22)</f>
        <v>JSL</v>
      </c>
      <c r="P147" s="38" t="str">
        <f>IF(Config!$C$23="","JSL",Config!$C$23)</f>
        <v>JSL</v>
      </c>
      <c r="Q147" s="38" t="str">
        <f>IF(Config!$C$24="","JSL",Config!$C$24)</f>
        <v>JSL</v>
      </c>
      <c r="R147" s="38" t="str">
        <f>IF(Config!$C$25="","JSL",Config!$C$25)</f>
        <v>JSL</v>
      </c>
      <c r="S147" s="38" t="str">
        <f>IF(Config!$C$26="","JSL",Config!$C$26)</f>
        <v>JSL</v>
      </c>
      <c r="T147" s="38" t="str">
        <f>IF(Config!$C$27="","JSL",Config!$C$27)</f>
        <v>JSL</v>
      </c>
      <c r="U147" s="38" t="str">
        <f>IF(Config!$C$28="","JSL",Config!$C$28)</f>
        <v>JSL</v>
      </c>
      <c r="V147" s="38" t="str">
        <f>IF(Config!$C$29="","JSL",Config!$C$29)</f>
        <v>JSL</v>
      </c>
    </row>
    <row r="149">
      <c r="A149" s="37" t="inlineStr">
        <is>
          <t xml:space="preserve">Posições Ocupadas</t>
        </is>
      </c>
      <c r="B149" s="37" t="inlineStr">
        <is>
          <t xml:space="preserve">Data</t>
        </is>
      </c>
      <c r="C149" s="37" t="str">
        <f>Config!$B$10&amp;""</f>
        <v>Barry Callebaut</v>
      </c>
      <c r="D149" s="37" t="str">
        <f>Config!$B$11&amp;""</f>
        <v>GM</v>
      </c>
      <c r="E149" s="37" t="str">
        <f>Config!$B$12&amp;""</f>
        <v>Mondelez</v>
      </c>
      <c r="F149" s="37" t="str">
        <f>Config!$B$13&amp;""</f>
        <v>Nestlé</v>
      </c>
      <c r="G149" s="37" t="str">
        <f>Config!$B$14&amp;""</f>
        <v>PMB</v>
      </c>
      <c r="H149" s="37" t="str">
        <f>Config!$B$15&amp;""</f>
        <v/>
      </c>
      <c r="I149" s="37" t="str">
        <f>Config!$B$16&amp;""</f>
        <v/>
      </c>
      <c r="J149" s="37" t="str">
        <f>Config!$B$17&amp;""</f>
        <v/>
      </c>
      <c r="K149" s="37" t="str">
        <f>Config!$B$18&amp;""</f>
        <v/>
      </c>
      <c r="L149" s="37" t="str">
        <f>Config!$B$19&amp;""</f>
        <v/>
      </c>
      <c r="M149" s="37" t="str">
        <f>Config!$B$20&amp;""</f>
        <v/>
      </c>
      <c r="N149" s="37" t="str">
        <f>Config!$B$21&amp;""</f>
        <v/>
      </c>
      <c r="O149" s="37" t="str">
        <f>Config!$B$22&amp;""</f>
        <v/>
      </c>
      <c r="P149" s="37" t="str">
        <f>Config!$B$23&amp;""</f>
        <v/>
      </c>
      <c r="Q149" s="37" t="str">
        <f>Config!$B$24&amp;""</f>
        <v/>
      </c>
      <c r="R149" s="37" t="str">
        <f>Config!$B$25&amp;""</f>
        <v/>
      </c>
      <c r="S149" s="37" t="str">
        <f>Config!$B$26&amp;""</f>
        <v/>
      </c>
      <c r="T149" s="37" t="str">
        <f>Config!$B$27&amp;""</f>
        <v/>
      </c>
      <c r="U149" s="37" t="str">
        <f>Config!$B$28&amp;""</f>
        <v/>
      </c>
      <c r="V149" s="37" t="str">
        <f>Config!$B$29&amp;""</f>
        <v/>
      </c>
    </row>
    <row r="150">
      <c r="A150" s="38">
        <v>1</v>
      </c>
      <c r="B150" s="42">
        <f>$B$12</f>
        <v>46296</v>
      </c>
      <c r="C150" s="43" t="str">
        <f>IF(OR($B150="",$A150&gt;$B$9,C$149=""),"",IF(COUNTIFS(BD!$B$3:$B$5001,C$149,BD!$A$3:$A$5001,"&gt;="&amp;$C$7,BD!$A$3:$A$5001,"&lt;="&amp;$B150,BD!$M$3:$M$5001,"&lt;&gt;")=0,"",SUMIFS(BD!$M$3:$M$5001,BD!$B$3:$B$5001,C$149,BD!$A$3:$A$5001,_xlfn.MAXIFS(BD!$A$3:$A$5001,BD!$B$3:$B$5001,C$149,BD!$A$3:$A$5001,"&gt;="&amp;$C$7,BD!$A$3:$A$5001,"&lt;="&amp;$B150,BD!$M$3:$M$5001,"&lt;&gt;"))))</f>
        <v/>
      </c>
      <c r="D150" s="43" t="str">
        <f>IF(OR($B150="",$A150&gt;$B$9,D$149=""),"",IF(COUNTIFS(BD!$B$3:$B$5001,D$149,BD!$A$3:$A$5001,"&gt;="&amp;$C$7,BD!$A$3:$A$5001,"&lt;="&amp;$B150,BD!$M$3:$M$5001,"&lt;&gt;")=0,"",SUMIFS(BD!$M$3:$M$5001,BD!$B$3:$B$5001,D$149,BD!$A$3:$A$5001,_xlfn.MAXIFS(BD!$A$3:$A$5001,BD!$B$3:$B$5001,D$149,BD!$A$3:$A$5001,"&gt;="&amp;$C$7,BD!$A$3:$A$5001,"&lt;="&amp;$B150,BD!$M$3:$M$5001,"&lt;&gt;"))))</f>
        <v/>
      </c>
      <c r="E150" s="43" t="str">
        <f>IF(OR($B150="",$A150&gt;$B$9,E$149=""),"",IF(COUNTIFS(BD!$B$3:$B$5001,E$149,BD!$A$3:$A$5001,"&gt;="&amp;$C$7,BD!$A$3:$A$5001,"&lt;="&amp;$B150,BD!$M$3:$M$5001,"&lt;&gt;")=0,"",SUMIFS(BD!$M$3:$M$5001,BD!$B$3:$B$5001,E$149,BD!$A$3:$A$5001,_xlfn.MAXIFS(BD!$A$3:$A$5001,BD!$B$3:$B$5001,E$149,BD!$A$3:$A$5001,"&gt;="&amp;$C$7,BD!$A$3:$A$5001,"&lt;="&amp;$B150,BD!$M$3:$M$5001,"&lt;&gt;"))))</f>
        <v/>
      </c>
      <c r="F150" s="43" t="str">
        <f>IF(OR($B150="",$A150&gt;$B$9,F$149=""),"",IF(COUNTIFS(BD!$B$3:$B$5001,F$149,BD!$A$3:$A$5001,"&gt;="&amp;$C$7,BD!$A$3:$A$5001,"&lt;="&amp;$B150,BD!$M$3:$M$5001,"&lt;&gt;")=0,"",SUMIFS(BD!$M$3:$M$5001,BD!$B$3:$B$5001,F$149,BD!$A$3:$A$5001,_xlfn.MAXIFS(BD!$A$3:$A$5001,BD!$B$3:$B$5001,F$149,BD!$A$3:$A$5001,"&gt;="&amp;$C$7,BD!$A$3:$A$5001,"&lt;="&amp;$B150,BD!$M$3:$M$5001,"&lt;&gt;"))))</f>
        <v/>
      </c>
      <c r="G150" s="43" t="str">
        <f>IF(OR($B150="",$A150&gt;$B$9,G$149=""),"",IF(COUNTIFS(BD!$B$3:$B$5001,G$149,BD!$A$3:$A$5001,"&gt;="&amp;$C$7,BD!$A$3:$A$5001,"&lt;="&amp;$B150,BD!$M$3:$M$5001,"&lt;&gt;")=0,"",SUMIFS(BD!$M$3:$M$5001,BD!$B$3:$B$5001,G$149,BD!$A$3:$A$5001,_xlfn.MAXIFS(BD!$A$3:$A$5001,BD!$B$3:$B$5001,G$149,BD!$A$3:$A$5001,"&gt;="&amp;$C$7,BD!$A$3:$A$5001,"&lt;="&amp;$B150,BD!$M$3:$M$5001,"&lt;&gt;"))))</f>
        <v/>
      </c>
      <c r="H150" s="43" t="str">
        <f>IF(OR($B150="",$A150&gt;$B$9,H$149=""),"",IF(COUNTIFS(BD!$B$3:$B$5001,H$149,BD!$A$3:$A$5001,"&gt;="&amp;$C$7,BD!$A$3:$A$5001,"&lt;="&amp;$B150,BD!$M$3:$M$5001,"&lt;&gt;")=0,"",SUMIFS(BD!$M$3:$M$5001,BD!$B$3:$B$5001,H$149,BD!$A$3:$A$5001,_xlfn.MAXIFS(BD!$A$3:$A$5001,BD!$B$3:$B$5001,H$149,BD!$A$3:$A$5001,"&gt;="&amp;$C$7,BD!$A$3:$A$5001,"&lt;="&amp;$B150,BD!$M$3:$M$5001,"&lt;&gt;"))))</f>
        <v/>
      </c>
      <c r="I150" s="43" t="str">
        <f>IF(OR($B150="",$A150&gt;$B$9,I$149=""),"",IF(COUNTIFS(BD!$B$3:$B$5001,I$149,BD!$A$3:$A$5001,"&gt;="&amp;$C$7,BD!$A$3:$A$5001,"&lt;="&amp;$B150,BD!$M$3:$M$5001,"&lt;&gt;")=0,"",SUMIFS(BD!$M$3:$M$5001,BD!$B$3:$B$5001,I$149,BD!$A$3:$A$5001,_xlfn.MAXIFS(BD!$A$3:$A$5001,BD!$B$3:$B$5001,I$149,BD!$A$3:$A$5001,"&gt;="&amp;$C$7,BD!$A$3:$A$5001,"&lt;="&amp;$B150,BD!$M$3:$M$5001,"&lt;&gt;"))))</f>
        <v/>
      </c>
      <c r="J150" s="43" t="str">
        <f>IF(OR($B150="",$A150&gt;$B$9,J$149=""),"",IF(COUNTIFS(BD!$B$3:$B$5001,J$149,BD!$A$3:$A$5001,"&gt;="&amp;$C$7,BD!$A$3:$A$5001,"&lt;="&amp;$B150,BD!$M$3:$M$5001,"&lt;&gt;")=0,"",SUMIFS(BD!$M$3:$M$5001,BD!$B$3:$B$5001,J$149,BD!$A$3:$A$5001,_xlfn.MAXIFS(BD!$A$3:$A$5001,BD!$B$3:$B$5001,J$149,BD!$A$3:$A$5001,"&gt;="&amp;$C$7,BD!$A$3:$A$5001,"&lt;="&amp;$B150,BD!$M$3:$M$5001,"&lt;&gt;"))))</f>
        <v/>
      </c>
      <c r="K150" s="43" t="str">
        <f>IF(OR($B150="",$A150&gt;$B$9,K$149=""),"",IF(COUNTIFS(BD!$B$3:$B$5001,K$149,BD!$A$3:$A$5001,"&gt;="&amp;$C$7,BD!$A$3:$A$5001,"&lt;="&amp;$B150,BD!$M$3:$M$5001,"&lt;&gt;")=0,"",SUMIFS(BD!$M$3:$M$5001,BD!$B$3:$B$5001,K$149,BD!$A$3:$A$5001,_xlfn.MAXIFS(BD!$A$3:$A$5001,BD!$B$3:$B$5001,K$149,BD!$A$3:$A$5001,"&gt;="&amp;$C$7,BD!$A$3:$A$5001,"&lt;="&amp;$B150,BD!$M$3:$M$5001,"&lt;&gt;"))))</f>
        <v/>
      </c>
      <c r="L150" s="43" t="str">
        <f>IF(OR($B150="",$A150&gt;$B$9,L$149=""),"",IF(COUNTIFS(BD!$B$3:$B$5001,L$149,BD!$A$3:$A$5001,"&gt;="&amp;$C$7,BD!$A$3:$A$5001,"&lt;="&amp;$B150,BD!$M$3:$M$5001,"&lt;&gt;")=0,"",SUMIFS(BD!$M$3:$M$5001,BD!$B$3:$B$5001,L$149,BD!$A$3:$A$5001,_xlfn.MAXIFS(BD!$A$3:$A$5001,BD!$B$3:$B$5001,L$149,BD!$A$3:$A$5001,"&gt;="&amp;$C$7,BD!$A$3:$A$5001,"&lt;="&amp;$B150,BD!$M$3:$M$5001,"&lt;&gt;"))))</f>
        <v/>
      </c>
      <c r="M150" s="43" t="str">
        <f>IF(OR($B150="",$A150&gt;$B$9,M$149=""),"",IF(COUNTIFS(BD!$B$3:$B$5001,M$149,BD!$A$3:$A$5001,"&gt;="&amp;$C$7,BD!$A$3:$A$5001,"&lt;="&amp;$B150,BD!$M$3:$M$5001,"&lt;&gt;")=0,"",SUMIFS(BD!$M$3:$M$5001,BD!$B$3:$B$5001,M$149,BD!$A$3:$A$5001,_xlfn.MAXIFS(BD!$A$3:$A$5001,BD!$B$3:$B$5001,M$149,BD!$A$3:$A$5001,"&gt;="&amp;$C$7,BD!$A$3:$A$5001,"&lt;="&amp;$B150,BD!$M$3:$M$5001,"&lt;&gt;"))))</f>
        <v/>
      </c>
      <c r="N150" s="43" t="str">
        <f>IF(OR($B150="",$A150&gt;$B$9,N$149=""),"",IF(COUNTIFS(BD!$B$3:$B$5001,N$149,BD!$A$3:$A$5001,"&gt;="&amp;$C$7,BD!$A$3:$A$5001,"&lt;="&amp;$B150,BD!$M$3:$M$5001,"&lt;&gt;")=0,"",SUMIFS(BD!$M$3:$M$5001,BD!$B$3:$B$5001,N$149,BD!$A$3:$A$5001,_xlfn.MAXIFS(BD!$A$3:$A$5001,BD!$B$3:$B$5001,N$149,BD!$A$3:$A$5001,"&gt;="&amp;$C$7,BD!$A$3:$A$5001,"&lt;="&amp;$B150,BD!$M$3:$M$5001,"&lt;&gt;"))))</f>
        <v/>
      </c>
      <c r="O150" s="43" t="str">
        <f>IF(OR($B150="",$A150&gt;$B$9,O$149=""),"",IF(COUNTIFS(BD!$B$3:$B$5001,O$149,BD!$A$3:$A$5001,"&gt;="&amp;$C$7,BD!$A$3:$A$5001,"&lt;="&amp;$B150,BD!$M$3:$M$5001,"&lt;&gt;")=0,"",SUMIFS(BD!$M$3:$M$5001,BD!$B$3:$B$5001,O$149,BD!$A$3:$A$5001,_xlfn.MAXIFS(BD!$A$3:$A$5001,BD!$B$3:$B$5001,O$149,BD!$A$3:$A$5001,"&gt;="&amp;$C$7,BD!$A$3:$A$5001,"&lt;="&amp;$B150,BD!$M$3:$M$5001,"&lt;&gt;"))))</f>
        <v/>
      </c>
      <c r="P150" s="43" t="str">
        <f>IF(OR($B150="",$A150&gt;$B$9,P$149=""),"",IF(COUNTIFS(BD!$B$3:$B$5001,P$149,BD!$A$3:$A$5001,"&gt;="&amp;$C$7,BD!$A$3:$A$5001,"&lt;="&amp;$B150,BD!$M$3:$M$5001,"&lt;&gt;")=0,"",SUMIFS(BD!$M$3:$M$5001,BD!$B$3:$B$5001,P$149,BD!$A$3:$A$5001,_xlfn.MAXIFS(BD!$A$3:$A$5001,BD!$B$3:$B$5001,P$149,BD!$A$3:$A$5001,"&gt;="&amp;$C$7,BD!$A$3:$A$5001,"&lt;="&amp;$B150,BD!$M$3:$M$5001,"&lt;&gt;"))))</f>
        <v/>
      </c>
      <c r="Q150" s="43" t="str">
        <f>IF(OR($B150="",$A150&gt;$B$9,Q$149=""),"",IF(COUNTIFS(BD!$B$3:$B$5001,Q$149,BD!$A$3:$A$5001,"&gt;="&amp;$C$7,BD!$A$3:$A$5001,"&lt;="&amp;$B150,BD!$M$3:$M$5001,"&lt;&gt;")=0,"",SUMIFS(BD!$M$3:$M$5001,BD!$B$3:$B$5001,Q$149,BD!$A$3:$A$5001,_xlfn.MAXIFS(BD!$A$3:$A$5001,BD!$B$3:$B$5001,Q$149,BD!$A$3:$A$5001,"&gt;="&amp;$C$7,BD!$A$3:$A$5001,"&lt;="&amp;$B150,BD!$M$3:$M$5001,"&lt;&gt;"))))</f>
        <v/>
      </c>
      <c r="R150" s="43" t="str">
        <f>IF(OR($B150="",$A150&gt;$B$9,R$149=""),"",IF(COUNTIFS(BD!$B$3:$B$5001,R$149,BD!$A$3:$A$5001,"&gt;="&amp;$C$7,BD!$A$3:$A$5001,"&lt;="&amp;$B150,BD!$M$3:$M$5001,"&lt;&gt;")=0,"",SUMIFS(BD!$M$3:$M$5001,BD!$B$3:$B$5001,R$149,BD!$A$3:$A$5001,_xlfn.MAXIFS(BD!$A$3:$A$5001,BD!$B$3:$B$5001,R$149,BD!$A$3:$A$5001,"&gt;="&amp;$C$7,BD!$A$3:$A$5001,"&lt;="&amp;$B150,BD!$M$3:$M$5001,"&lt;&gt;"))))</f>
        <v/>
      </c>
      <c r="S150" s="43" t="str">
        <f>IF(OR($B150="",$A150&gt;$B$9,S$149=""),"",IF(COUNTIFS(BD!$B$3:$B$5001,S$149,BD!$A$3:$A$5001,"&gt;="&amp;$C$7,BD!$A$3:$A$5001,"&lt;="&amp;$B150,BD!$M$3:$M$5001,"&lt;&gt;")=0,"",SUMIFS(BD!$M$3:$M$5001,BD!$B$3:$B$5001,S$149,BD!$A$3:$A$5001,_xlfn.MAXIFS(BD!$A$3:$A$5001,BD!$B$3:$B$5001,S$149,BD!$A$3:$A$5001,"&gt;="&amp;$C$7,BD!$A$3:$A$5001,"&lt;="&amp;$B150,BD!$M$3:$M$5001,"&lt;&gt;"))))</f>
        <v/>
      </c>
      <c r="T150" s="43" t="str">
        <f>IF(OR($B150="",$A150&gt;$B$9,T$149=""),"",IF(COUNTIFS(BD!$B$3:$B$5001,T$149,BD!$A$3:$A$5001,"&gt;="&amp;$C$7,BD!$A$3:$A$5001,"&lt;="&amp;$B150,BD!$M$3:$M$5001,"&lt;&gt;")=0,"",SUMIFS(BD!$M$3:$M$5001,BD!$B$3:$B$5001,T$149,BD!$A$3:$A$5001,_xlfn.MAXIFS(BD!$A$3:$A$5001,BD!$B$3:$B$5001,T$149,BD!$A$3:$A$5001,"&gt;="&amp;$C$7,BD!$A$3:$A$5001,"&lt;="&amp;$B150,BD!$M$3:$M$5001,"&lt;&gt;"))))</f>
        <v/>
      </c>
      <c r="U150" s="43" t="str">
        <f>IF(OR($B150="",$A150&gt;$B$9,U$149=""),"",IF(COUNTIFS(BD!$B$3:$B$5001,U$149,BD!$A$3:$A$5001,"&gt;="&amp;$C$7,BD!$A$3:$A$5001,"&lt;="&amp;$B150,BD!$M$3:$M$5001,"&lt;&gt;")=0,"",SUMIFS(BD!$M$3:$M$5001,BD!$B$3:$B$5001,U$149,BD!$A$3:$A$5001,_xlfn.MAXIFS(BD!$A$3:$A$5001,BD!$B$3:$B$5001,U$149,BD!$A$3:$A$5001,"&gt;="&amp;$C$7,BD!$A$3:$A$5001,"&lt;="&amp;$B150,BD!$M$3:$M$5001,"&lt;&gt;"))))</f>
        <v/>
      </c>
      <c r="V150" s="43" t="str">
        <f>IF(OR($B150="",$A150&gt;$B$9,V$149=""),"",IF(COUNTIFS(BD!$B$3:$B$5001,V$149,BD!$A$3:$A$5001,"&gt;="&amp;$C$7,BD!$A$3:$A$5001,"&lt;="&amp;$B150,BD!$M$3:$M$5001,"&lt;&gt;")=0,"",SUMIFS(BD!$M$3:$M$5001,BD!$B$3:$B$5001,V$149,BD!$A$3:$A$5001,_xlfn.MAXIFS(BD!$A$3:$A$5001,BD!$B$3:$B$5001,V$149,BD!$A$3:$A$5001,"&gt;="&amp;$C$7,BD!$A$3:$A$5001,"&lt;="&amp;$B150,BD!$M$3:$M$5001,"&lt;&gt;"))))</f>
        <v/>
      </c>
    </row>
    <row r="151">
      <c r="A151" s="38">
        <v>2</v>
      </c>
      <c r="B151" s="42">
        <f>$B$13</f>
        <v>46297</v>
      </c>
      <c r="C151" s="43" t="str">
        <f>IF(OR($B151="",$A151&gt;$B$9,C$149=""),"",IF(COUNTIFS(BD!$B$3:$B$5001,C$149,BD!$A$3:$A$5001,"&gt;="&amp;$C$7,BD!$A$3:$A$5001,"&lt;="&amp;$B151,BD!$M$3:$M$5001,"&lt;&gt;")=0,"",SUMIFS(BD!$M$3:$M$5001,BD!$B$3:$B$5001,C$149,BD!$A$3:$A$5001,_xlfn.MAXIFS(BD!$A$3:$A$5001,BD!$B$3:$B$5001,C$149,BD!$A$3:$A$5001,"&gt;="&amp;$C$7,BD!$A$3:$A$5001,"&lt;="&amp;$B151,BD!$M$3:$M$5001,"&lt;&gt;"))))</f>
        <v/>
      </c>
      <c r="D151" s="43" t="str">
        <f>IF(OR($B151="",$A151&gt;$B$9,D$149=""),"",IF(COUNTIFS(BD!$B$3:$B$5001,D$149,BD!$A$3:$A$5001,"&gt;="&amp;$C$7,BD!$A$3:$A$5001,"&lt;="&amp;$B151,BD!$M$3:$M$5001,"&lt;&gt;")=0,"",SUMIFS(BD!$M$3:$M$5001,BD!$B$3:$B$5001,D$149,BD!$A$3:$A$5001,_xlfn.MAXIFS(BD!$A$3:$A$5001,BD!$B$3:$B$5001,D$149,BD!$A$3:$A$5001,"&gt;="&amp;$C$7,BD!$A$3:$A$5001,"&lt;="&amp;$B151,BD!$M$3:$M$5001,"&lt;&gt;"))))</f>
        <v/>
      </c>
      <c r="E151" s="43" t="str">
        <f>IF(OR($B151="",$A151&gt;$B$9,E$149=""),"",IF(COUNTIFS(BD!$B$3:$B$5001,E$149,BD!$A$3:$A$5001,"&gt;="&amp;$C$7,BD!$A$3:$A$5001,"&lt;="&amp;$B151,BD!$M$3:$M$5001,"&lt;&gt;")=0,"",SUMIFS(BD!$M$3:$M$5001,BD!$B$3:$B$5001,E$149,BD!$A$3:$A$5001,_xlfn.MAXIFS(BD!$A$3:$A$5001,BD!$B$3:$B$5001,E$149,BD!$A$3:$A$5001,"&gt;="&amp;$C$7,BD!$A$3:$A$5001,"&lt;="&amp;$B151,BD!$M$3:$M$5001,"&lt;&gt;"))))</f>
        <v/>
      </c>
      <c r="F151" s="43" t="str">
        <f>IF(OR($B151="",$A151&gt;$B$9,F$149=""),"",IF(COUNTIFS(BD!$B$3:$B$5001,F$149,BD!$A$3:$A$5001,"&gt;="&amp;$C$7,BD!$A$3:$A$5001,"&lt;="&amp;$B151,BD!$M$3:$M$5001,"&lt;&gt;")=0,"",SUMIFS(BD!$M$3:$M$5001,BD!$B$3:$B$5001,F$149,BD!$A$3:$A$5001,_xlfn.MAXIFS(BD!$A$3:$A$5001,BD!$B$3:$B$5001,F$149,BD!$A$3:$A$5001,"&gt;="&amp;$C$7,BD!$A$3:$A$5001,"&lt;="&amp;$B151,BD!$M$3:$M$5001,"&lt;&gt;"))))</f>
        <v/>
      </c>
      <c r="G151" s="43" t="str">
        <f>IF(OR($B151="",$A151&gt;$B$9,G$149=""),"",IF(COUNTIFS(BD!$B$3:$B$5001,G$149,BD!$A$3:$A$5001,"&gt;="&amp;$C$7,BD!$A$3:$A$5001,"&lt;="&amp;$B151,BD!$M$3:$M$5001,"&lt;&gt;")=0,"",SUMIFS(BD!$M$3:$M$5001,BD!$B$3:$B$5001,G$149,BD!$A$3:$A$5001,_xlfn.MAXIFS(BD!$A$3:$A$5001,BD!$B$3:$B$5001,G$149,BD!$A$3:$A$5001,"&gt;="&amp;$C$7,BD!$A$3:$A$5001,"&lt;="&amp;$B151,BD!$M$3:$M$5001,"&lt;&gt;"))))</f>
        <v/>
      </c>
      <c r="H151" s="43" t="str">
        <f>IF(OR($B151="",$A151&gt;$B$9,H$149=""),"",IF(COUNTIFS(BD!$B$3:$B$5001,H$149,BD!$A$3:$A$5001,"&gt;="&amp;$C$7,BD!$A$3:$A$5001,"&lt;="&amp;$B151,BD!$M$3:$M$5001,"&lt;&gt;")=0,"",SUMIFS(BD!$M$3:$M$5001,BD!$B$3:$B$5001,H$149,BD!$A$3:$A$5001,_xlfn.MAXIFS(BD!$A$3:$A$5001,BD!$B$3:$B$5001,H$149,BD!$A$3:$A$5001,"&gt;="&amp;$C$7,BD!$A$3:$A$5001,"&lt;="&amp;$B151,BD!$M$3:$M$5001,"&lt;&gt;"))))</f>
        <v/>
      </c>
      <c r="I151" s="43" t="str">
        <f>IF(OR($B151="",$A151&gt;$B$9,I$149=""),"",IF(COUNTIFS(BD!$B$3:$B$5001,I$149,BD!$A$3:$A$5001,"&gt;="&amp;$C$7,BD!$A$3:$A$5001,"&lt;="&amp;$B151,BD!$M$3:$M$5001,"&lt;&gt;")=0,"",SUMIFS(BD!$M$3:$M$5001,BD!$B$3:$B$5001,I$149,BD!$A$3:$A$5001,_xlfn.MAXIFS(BD!$A$3:$A$5001,BD!$B$3:$B$5001,I$149,BD!$A$3:$A$5001,"&gt;="&amp;$C$7,BD!$A$3:$A$5001,"&lt;="&amp;$B151,BD!$M$3:$M$5001,"&lt;&gt;"))))</f>
        <v/>
      </c>
      <c r="J151" s="43" t="str">
        <f>IF(OR($B151="",$A151&gt;$B$9,J$149=""),"",IF(COUNTIFS(BD!$B$3:$B$5001,J$149,BD!$A$3:$A$5001,"&gt;="&amp;$C$7,BD!$A$3:$A$5001,"&lt;="&amp;$B151,BD!$M$3:$M$5001,"&lt;&gt;")=0,"",SUMIFS(BD!$M$3:$M$5001,BD!$B$3:$B$5001,J$149,BD!$A$3:$A$5001,_xlfn.MAXIFS(BD!$A$3:$A$5001,BD!$B$3:$B$5001,J$149,BD!$A$3:$A$5001,"&gt;="&amp;$C$7,BD!$A$3:$A$5001,"&lt;="&amp;$B151,BD!$M$3:$M$5001,"&lt;&gt;"))))</f>
        <v/>
      </c>
      <c r="K151" s="43" t="str">
        <f>IF(OR($B151="",$A151&gt;$B$9,K$149=""),"",IF(COUNTIFS(BD!$B$3:$B$5001,K$149,BD!$A$3:$A$5001,"&gt;="&amp;$C$7,BD!$A$3:$A$5001,"&lt;="&amp;$B151,BD!$M$3:$M$5001,"&lt;&gt;")=0,"",SUMIFS(BD!$M$3:$M$5001,BD!$B$3:$B$5001,K$149,BD!$A$3:$A$5001,_xlfn.MAXIFS(BD!$A$3:$A$5001,BD!$B$3:$B$5001,K$149,BD!$A$3:$A$5001,"&gt;="&amp;$C$7,BD!$A$3:$A$5001,"&lt;="&amp;$B151,BD!$M$3:$M$5001,"&lt;&gt;"))))</f>
        <v/>
      </c>
      <c r="L151" s="43" t="str">
        <f>IF(OR($B151="",$A151&gt;$B$9,L$149=""),"",IF(COUNTIFS(BD!$B$3:$B$5001,L$149,BD!$A$3:$A$5001,"&gt;="&amp;$C$7,BD!$A$3:$A$5001,"&lt;="&amp;$B151,BD!$M$3:$M$5001,"&lt;&gt;")=0,"",SUMIFS(BD!$M$3:$M$5001,BD!$B$3:$B$5001,L$149,BD!$A$3:$A$5001,_xlfn.MAXIFS(BD!$A$3:$A$5001,BD!$B$3:$B$5001,L$149,BD!$A$3:$A$5001,"&gt;="&amp;$C$7,BD!$A$3:$A$5001,"&lt;="&amp;$B151,BD!$M$3:$M$5001,"&lt;&gt;"))))</f>
        <v/>
      </c>
      <c r="M151" s="43" t="str">
        <f>IF(OR($B151="",$A151&gt;$B$9,M$149=""),"",IF(COUNTIFS(BD!$B$3:$B$5001,M$149,BD!$A$3:$A$5001,"&gt;="&amp;$C$7,BD!$A$3:$A$5001,"&lt;="&amp;$B151,BD!$M$3:$M$5001,"&lt;&gt;")=0,"",SUMIFS(BD!$M$3:$M$5001,BD!$B$3:$B$5001,M$149,BD!$A$3:$A$5001,_xlfn.MAXIFS(BD!$A$3:$A$5001,BD!$B$3:$B$5001,M$149,BD!$A$3:$A$5001,"&gt;="&amp;$C$7,BD!$A$3:$A$5001,"&lt;="&amp;$B151,BD!$M$3:$M$5001,"&lt;&gt;"))))</f>
        <v/>
      </c>
      <c r="N151" s="43" t="str">
        <f>IF(OR($B151="",$A151&gt;$B$9,N$149=""),"",IF(COUNTIFS(BD!$B$3:$B$5001,N$149,BD!$A$3:$A$5001,"&gt;="&amp;$C$7,BD!$A$3:$A$5001,"&lt;="&amp;$B151,BD!$M$3:$M$5001,"&lt;&gt;")=0,"",SUMIFS(BD!$M$3:$M$5001,BD!$B$3:$B$5001,N$149,BD!$A$3:$A$5001,_xlfn.MAXIFS(BD!$A$3:$A$5001,BD!$B$3:$B$5001,N$149,BD!$A$3:$A$5001,"&gt;="&amp;$C$7,BD!$A$3:$A$5001,"&lt;="&amp;$B151,BD!$M$3:$M$5001,"&lt;&gt;"))))</f>
        <v/>
      </c>
      <c r="O151" s="43" t="str">
        <f>IF(OR($B151="",$A151&gt;$B$9,O$149=""),"",IF(COUNTIFS(BD!$B$3:$B$5001,O$149,BD!$A$3:$A$5001,"&gt;="&amp;$C$7,BD!$A$3:$A$5001,"&lt;="&amp;$B151,BD!$M$3:$M$5001,"&lt;&gt;")=0,"",SUMIFS(BD!$M$3:$M$5001,BD!$B$3:$B$5001,O$149,BD!$A$3:$A$5001,_xlfn.MAXIFS(BD!$A$3:$A$5001,BD!$B$3:$B$5001,O$149,BD!$A$3:$A$5001,"&gt;="&amp;$C$7,BD!$A$3:$A$5001,"&lt;="&amp;$B151,BD!$M$3:$M$5001,"&lt;&gt;"))))</f>
        <v/>
      </c>
      <c r="P151" s="43" t="str">
        <f>IF(OR($B151="",$A151&gt;$B$9,P$149=""),"",IF(COUNTIFS(BD!$B$3:$B$5001,P$149,BD!$A$3:$A$5001,"&gt;="&amp;$C$7,BD!$A$3:$A$5001,"&lt;="&amp;$B151,BD!$M$3:$M$5001,"&lt;&gt;")=0,"",SUMIFS(BD!$M$3:$M$5001,BD!$B$3:$B$5001,P$149,BD!$A$3:$A$5001,_xlfn.MAXIFS(BD!$A$3:$A$5001,BD!$B$3:$B$5001,P$149,BD!$A$3:$A$5001,"&gt;="&amp;$C$7,BD!$A$3:$A$5001,"&lt;="&amp;$B151,BD!$M$3:$M$5001,"&lt;&gt;"))))</f>
        <v/>
      </c>
      <c r="Q151" s="43" t="str">
        <f>IF(OR($B151="",$A151&gt;$B$9,Q$149=""),"",IF(COUNTIFS(BD!$B$3:$B$5001,Q$149,BD!$A$3:$A$5001,"&gt;="&amp;$C$7,BD!$A$3:$A$5001,"&lt;="&amp;$B151,BD!$M$3:$M$5001,"&lt;&gt;")=0,"",SUMIFS(BD!$M$3:$M$5001,BD!$B$3:$B$5001,Q$149,BD!$A$3:$A$5001,_xlfn.MAXIFS(BD!$A$3:$A$5001,BD!$B$3:$B$5001,Q$149,BD!$A$3:$A$5001,"&gt;="&amp;$C$7,BD!$A$3:$A$5001,"&lt;="&amp;$B151,BD!$M$3:$M$5001,"&lt;&gt;"))))</f>
        <v/>
      </c>
      <c r="R151" s="43" t="str">
        <f>IF(OR($B151="",$A151&gt;$B$9,R$149=""),"",IF(COUNTIFS(BD!$B$3:$B$5001,R$149,BD!$A$3:$A$5001,"&gt;="&amp;$C$7,BD!$A$3:$A$5001,"&lt;="&amp;$B151,BD!$M$3:$M$5001,"&lt;&gt;")=0,"",SUMIFS(BD!$M$3:$M$5001,BD!$B$3:$B$5001,R$149,BD!$A$3:$A$5001,_xlfn.MAXIFS(BD!$A$3:$A$5001,BD!$B$3:$B$5001,R$149,BD!$A$3:$A$5001,"&gt;="&amp;$C$7,BD!$A$3:$A$5001,"&lt;="&amp;$B151,BD!$M$3:$M$5001,"&lt;&gt;"))))</f>
        <v/>
      </c>
      <c r="S151" s="43" t="str">
        <f>IF(OR($B151="",$A151&gt;$B$9,S$149=""),"",IF(COUNTIFS(BD!$B$3:$B$5001,S$149,BD!$A$3:$A$5001,"&gt;="&amp;$C$7,BD!$A$3:$A$5001,"&lt;="&amp;$B151,BD!$M$3:$M$5001,"&lt;&gt;")=0,"",SUMIFS(BD!$M$3:$M$5001,BD!$B$3:$B$5001,S$149,BD!$A$3:$A$5001,_xlfn.MAXIFS(BD!$A$3:$A$5001,BD!$B$3:$B$5001,S$149,BD!$A$3:$A$5001,"&gt;="&amp;$C$7,BD!$A$3:$A$5001,"&lt;="&amp;$B151,BD!$M$3:$M$5001,"&lt;&gt;"))))</f>
        <v/>
      </c>
      <c r="T151" s="43" t="str">
        <f>IF(OR($B151="",$A151&gt;$B$9,T$149=""),"",IF(COUNTIFS(BD!$B$3:$B$5001,T$149,BD!$A$3:$A$5001,"&gt;="&amp;$C$7,BD!$A$3:$A$5001,"&lt;="&amp;$B151,BD!$M$3:$M$5001,"&lt;&gt;")=0,"",SUMIFS(BD!$M$3:$M$5001,BD!$B$3:$B$5001,T$149,BD!$A$3:$A$5001,_xlfn.MAXIFS(BD!$A$3:$A$5001,BD!$B$3:$B$5001,T$149,BD!$A$3:$A$5001,"&gt;="&amp;$C$7,BD!$A$3:$A$5001,"&lt;="&amp;$B151,BD!$M$3:$M$5001,"&lt;&gt;"))))</f>
        <v/>
      </c>
      <c r="U151" s="43" t="str">
        <f>IF(OR($B151="",$A151&gt;$B$9,U$149=""),"",IF(COUNTIFS(BD!$B$3:$B$5001,U$149,BD!$A$3:$A$5001,"&gt;="&amp;$C$7,BD!$A$3:$A$5001,"&lt;="&amp;$B151,BD!$M$3:$M$5001,"&lt;&gt;")=0,"",SUMIFS(BD!$M$3:$M$5001,BD!$B$3:$B$5001,U$149,BD!$A$3:$A$5001,_xlfn.MAXIFS(BD!$A$3:$A$5001,BD!$B$3:$B$5001,U$149,BD!$A$3:$A$5001,"&gt;="&amp;$C$7,BD!$A$3:$A$5001,"&lt;="&amp;$B151,BD!$M$3:$M$5001,"&lt;&gt;"))))</f>
        <v/>
      </c>
      <c r="V151" s="43" t="str">
        <f>IF(OR($B151="",$A151&gt;$B$9,V$149=""),"",IF(COUNTIFS(BD!$B$3:$B$5001,V$149,BD!$A$3:$A$5001,"&gt;="&amp;$C$7,BD!$A$3:$A$5001,"&lt;="&amp;$B151,BD!$M$3:$M$5001,"&lt;&gt;")=0,"",SUMIFS(BD!$M$3:$M$5001,BD!$B$3:$B$5001,V$149,BD!$A$3:$A$5001,_xlfn.MAXIFS(BD!$A$3:$A$5001,BD!$B$3:$B$5001,V$149,BD!$A$3:$A$5001,"&gt;="&amp;$C$7,BD!$A$3:$A$5001,"&lt;="&amp;$B151,BD!$M$3:$M$5001,"&lt;&gt;"))))</f>
        <v/>
      </c>
    </row>
    <row r="152">
      <c r="A152" s="38">
        <v>3</v>
      </c>
      <c r="B152" s="42">
        <f>$B$14</f>
        <v>46298</v>
      </c>
      <c r="C152" s="43" t="str">
        <f>IF(OR($B152="",$A152&gt;$B$9,C$149=""),"",IF(COUNTIFS(BD!$B$3:$B$5001,C$149,BD!$A$3:$A$5001,"&gt;="&amp;$C$7,BD!$A$3:$A$5001,"&lt;="&amp;$B152,BD!$M$3:$M$5001,"&lt;&gt;")=0,"",SUMIFS(BD!$M$3:$M$5001,BD!$B$3:$B$5001,C$149,BD!$A$3:$A$5001,_xlfn.MAXIFS(BD!$A$3:$A$5001,BD!$B$3:$B$5001,C$149,BD!$A$3:$A$5001,"&gt;="&amp;$C$7,BD!$A$3:$A$5001,"&lt;="&amp;$B152,BD!$M$3:$M$5001,"&lt;&gt;"))))</f>
        <v/>
      </c>
      <c r="D152" s="43" t="str">
        <f>IF(OR($B152="",$A152&gt;$B$9,D$149=""),"",IF(COUNTIFS(BD!$B$3:$B$5001,D$149,BD!$A$3:$A$5001,"&gt;="&amp;$C$7,BD!$A$3:$A$5001,"&lt;="&amp;$B152,BD!$M$3:$M$5001,"&lt;&gt;")=0,"",SUMIFS(BD!$M$3:$M$5001,BD!$B$3:$B$5001,D$149,BD!$A$3:$A$5001,_xlfn.MAXIFS(BD!$A$3:$A$5001,BD!$B$3:$B$5001,D$149,BD!$A$3:$A$5001,"&gt;="&amp;$C$7,BD!$A$3:$A$5001,"&lt;="&amp;$B152,BD!$M$3:$M$5001,"&lt;&gt;"))))</f>
        <v/>
      </c>
      <c r="E152" s="43" t="str">
        <f>IF(OR($B152="",$A152&gt;$B$9,E$149=""),"",IF(COUNTIFS(BD!$B$3:$B$5001,E$149,BD!$A$3:$A$5001,"&gt;="&amp;$C$7,BD!$A$3:$A$5001,"&lt;="&amp;$B152,BD!$M$3:$M$5001,"&lt;&gt;")=0,"",SUMIFS(BD!$M$3:$M$5001,BD!$B$3:$B$5001,E$149,BD!$A$3:$A$5001,_xlfn.MAXIFS(BD!$A$3:$A$5001,BD!$B$3:$B$5001,E$149,BD!$A$3:$A$5001,"&gt;="&amp;$C$7,BD!$A$3:$A$5001,"&lt;="&amp;$B152,BD!$M$3:$M$5001,"&lt;&gt;"))))</f>
        <v/>
      </c>
      <c r="F152" s="43" t="str">
        <f>IF(OR($B152="",$A152&gt;$B$9,F$149=""),"",IF(COUNTIFS(BD!$B$3:$B$5001,F$149,BD!$A$3:$A$5001,"&gt;="&amp;$C$7,BD!$A$3:$A$5001,"&lt;="&amp;$B152,BD!$M$3:$M$5001,"&lt;&gt;")=0,"",SUMIFS(BD!$M$3:$M$5001,BD!$B$3:$B$5001,F$149,BD!$A$3:$A$5001,_xlfn.MAXIFS(BD!$A$3:$A$5001,BD!$B$3:$B$5001,F$149,BD!$A$3:$A$5001,"&gt;="&amp;$C$7,BD!$A$3:$A$5001,"&lt;="&amp;$B152,BD!$M$3:$M$5001,"&lt;&gt;"))))</f>
        <v/>
      </c>
      <c r="G152" s="43" t="str">
        <f>IF(OR($B152="",$A152&gt;$B$9,G$149=""),"",IF(COUNTIFS(BD!$B$3:$B$5001,G$149,BD!$A$3:$A$5001,"&gt;="&amp;$C$7,BD!$A$3:$A$5001,"&lt;="&amp;$B152,BD!$M$3:$M$5001,"&lt;&gt;")=0,"",SUMIFS(BD!$M$3:$M$5001,BD!$B$3:$B$5001,G$149,BD!$A$3:$A$5001,_xlfn.MAXIFS(BD!$A$3:$A$5001,BD!$B$3:$B$5001,G$149,BD!$A$3:$A$5001,"&gt;="&amp;$C$7,BD!$A$3:$A$5001,"&lt;="&amp;$B152,BD!$M$3:$M$5001,"&lt;&gt;"))))</f>
        <v/>
      </c>
      <c r="H152" s="43" t="str">
        <f>IF(OR($B152="",$A152&gt;$B$9,H$149=""),"",IF(COUNTIFS(BD!$B$3:$B$5001,H$149,BD!$A$3:$A$5001,"&gt;="&amp;$C$7,BD!$A$3:$A$5001,"&lt;="&amp;$B152,BD!$M$3:$M$5001,"&lt;&gt;")=0,"",SUMIFS(BD!$M$3:$M$5001,BD!$B$3:$B$5001,H$149,BD!$A$3:$A$5001,_xlfn.MAXIFS(BD!$A$3:$A$5001,BD!$B$3:$B$5001,H$149,BD!$A$3:$A$5001,"&gt;="&amp;$C$7,BD!$A$3:$A$5001,"&lt;="&amp;$B152,BD!$M$3:$M$5001,"&lt;&gt;"))))</f>
        <v/>
      </c>
      <c r="I152" s="43" t="str">
        <f>IF(OR($B152="",$A152&gt;$B$9,I$149=""),"",IF(COUNTIFS(BD!$B$3:$B$5001,I$149,BD!$A$3:$A$5001,"&gt;="&amp;$C$7,BD!$A$3:$A$5001,"&lt;="&amp;$B152,BD!$M$3:$M$5001,"&lt;&gt;")=0,"",SUMIFS(BD!$M$3:$M$5001,BD!$B$3:$B$5001,I$149,BD!$A$3:$A$5001,_xlfn.MAXIFS(BD!$A$3:$A$5001,BD!$B$3:$B$5001,I$149,BD!$A$3:$A$5001,"&gt;="&amp;$C$7,BD!$A$3:$A$5001,"&lt;="&amp;$B152,BD!$M$3:$M$5001,"&lt;&gt;"))))</f>
        <v/>
      </c>
      <c r="J152" s="43" t="str">
        <f>IF(OR($B152="",$A152&gt;$B$9,J$149=""),"",IF(COUNTIFS(BD!$B$3:$B$5001,J$149,BD!$A$3:$A$5001,"&gt;="&amp;$C$7,BD!$A$3:$A$5001,"&lt;="&amp;$B152,BD!$M$3:$M$5001,"&lt;&gt;")=0,"",SUMIFS(BD!$M$3:$M$5001,BD!$B$3:$B$5001,J$149,BD!$A$3:$A$5001,_xlfn.MAXIFS(BD!$A$3:$A$5001,BD!$B$3:$B$5001,J$149,BD!$A$3:$A$5001,"&gt;="&amp;$C$7,BD!$A$3:$A$5001,"&lt;="&amp;$B152,BD!$M$3:$M$5001,"&lt;&gt;"))))</f>
        <v/>
      </c>
      <c r="K152" s="43" t="str">
        <f>IF(OR($B152="",$A152&gt;$B$9,K$149=""),"",IF(COUNTIFS(BD!$B$3:$B$5001,K$149,BD!$A$3:$A$5001,"&gt;="&amp;$C$7,BD!$A$3:$A$5001,"&lt;="&amp;$B152,BD!$M$3:$M$5001,"&lt;&gt;")=0,"",SUMIFS(BD!$M$3:$M$5001,BD!$B$3:$B$5001,K$149,BD!$A$3:$A$5001,_xlfn.MAXIFS(BD!$A$3:$A$5001,BD!$B$3:$B$5001,K$149,BD!$A$3:$A$5001,"&gt;="&amp;$C$7,BD!$A$3:$A$5001,"&lt;="&amp;$B152,BD!$M$3:$M$5001,"&lt;&gt;"))))</f>
        <v/>
      </c>
      <c r="L152" s="43" t="str">
        <f>IF(OR($B152="",$A152&gt;$B$9,L$149=""),"",IF(COUNTIFS(BD!$B$3:$B$5001,L$149,BD!$A$3:$A$5001,"&gt;="&amp;$C$7,BD!$A$3:$A$5001,"&lt;="&amp;$B152,BD!$M$3:$M$5001,"&lt;&gt;")=0,"",SUMIFS(BD!$M$3:$M$5001,BD!$B$3:$B$5001,L$149,BD!$A$3:$A$5001,_xlfn.MAXIFS(BD!$A$3:$A$5001,BD!$B$3:$B$5001,L$149,BD!$A$3:$A$5001,"&gt;="&amp;$C$7,BD!$A$3:$A$5001,"&lt;="&amp;$B152,BD!$M$3:$M$5001,"&lt;&gt;"))))</f>
        <v/>
      </c>
      <c r="M152" s="43" t="str">
        <f>IF(OR($B152="",$A152&gt;$B$9,M$149=""),"",IF(COUNTIFS(BD!$B$3:$B$5001,M$149,BD!$A$3:$A$5001,"&gt;="&amp;$C$7,BD!$A$3:$A$5001,"&lt;="&amp;$B152,BD!$M$3:$M$5001,"&lt;&gt;")=0,"",SUMIFS(BD!$M$3:$M$5001,BD!$B$3:$B$5001,M$149,BD!$A$3:$A$5001,_xlfn.MAXIFS(BD!$A$3:$A$5001,BD!$B$3:$B$5001,M$149,BD!$A$3:$A$5001,"&gt;="&amp;$C$7,BD!$A$3:$A$5001,"&lt;="&amp;$B152,BD!$M$3:$M$5001,"&lt;&gt;"))))</f>
        <v/>
      </c>
      <c r="N152" s="43" t="str">
        <f>IF(OR($B152="",$A152&gt;$B$9,N$149=""),"",IF(COUNTIFS(BD!$B$3:$B$5001,N$149,BD!$A$3:$A$5001,"&gt;="&amp;$C$7,BD!$A$3:$A$5001,"&lt;="&amp;$B152,BD!$M$3:$M$5001,"&lt;&gt;")=0,"",SUMIFS(BD!$M$3:$M$5001,BD!$B$3:$B$5001,N$149,BD!$A$3:$A$5001,_xlfn.MAXIFS(BD!$A$3:$A$5001,BD!$B$3:$B$5001,N$149,BD!$A$3:$A$5001,"&gt;="&amp;$C$7,BD!$A$3:$A$5001,"&lt;="&amp;$B152,BD!$M$3:$M$5001,"&lt;&gt;"))))</f>
        <v/>
      </c>
      <c r="O152" s="43" t="str">
        <f>IF(OR($B152="",$A152&gt;$B$9,O$149=""),"",IF(COUNTIFS(BD!$B$3:$B$5001,O$149,BD!$A$3:$A$5001,"&gt;="&amp;$C$7,BD!$A$3:$A$5001,"&lt;="&amp;$B152,BD!$M$3:$M$5001,"&lt;&gt;")=0,"",SUMIFS(BD!$M$3:$M$5001,BD!$B$3:$B$5001,O$149,BD!$A$3:$A$5001,_xlfn.MAXIFS(BD!$A$3:$A$5001,BD!$B$3:$B$5001,O$149,BD!$A$3:$A$5001,"&gt;="&amp;$C$7,BD!$A$3:$A$5001,"&lt;="&amp;$B152,BD!$M$3:$M$5001,"&lt;&gt;"))))</f>
        <v/>
      </c>
      <c r="P152" s="43" t="str">
        <f>IF(OR($B152="",$A152&gt;$B$9,P$149=""),"",IF(COUNTIFS(BD!$B$3:$B$5001,P$149,BD!$A$3:$A$5001,"&gt;="&amp;$C$7,BD!$A$3:$A$5001,"&lt;="&amp;$B152,BD!$M$3:$M$5001,"&lt;&gt;")=0,"",SUMIFS(BD!$M$3:$M$5001,BD!$B$3:$B$5001,P$149,BD!$A$3:$A$5001,_xlfn.MAXIFS(BD!$A$3:$A$5001,BD!$B$3:$B$5001,P$149,BD!$A$3:$A$5001,"&gt;="&amp;$C$7,BD!$A$3:$A$5001,"&lt;="&amp;$B152,BD!$M$3:$M$5001,"&lt;&gt;"))))</f>
        <v/>
      </c>
      <c r="Q152" s="43" t="str">
        <f>IF(OR($B152="",$A152&gt;$B$9,Q$149=""),"",IF(COUNTIFS(BD!$B$3:$B$5001,Q$149,BD!$A$3:$A$5001,"&gt;="&amp;$C$7,BD!$A$3:$A$5001,"&lt;="&amp;$B152,BD!$M$3:$M$5001,"&lt;&gt;")=0,"",SUMIFS(BD!$M$3:$M$5001,BD!$B$3:$B$5001,Q$149,BD!$A$3:$A$5001,_xlfn.MAXIFS(BD!$A$3:$A$5001,BD!$B$3:$B$5001,Q$149,BD!$A$3:$A$5001,"&gt;="&amp;$C$7,BD!$A$3:$A$5001,"&lt;="&amp;$B152,BD!$M$3:$M$5001,"&lt;&gt;"))))</f>
        <v/>
      </c>
      <c r="R152" s="43" t="str">
        <f>IF(OR($B152="",$A152&gt;$B$9,R$149=""),"",IF(COUNTIFS(BD!$B$3:$B$5001,R$149,BD!$A$3:$A$5001,"&gt;="&amp;$C$7,BD!$A$3:$A$5001,"&lt;="&amp;$B152,BD!$M$3:$M$5001,"&lt;&gt;")=0,"",SUMIFS(BD!$M$3:$M$5001,BD!$B$3:$B$5001,R$149,BD!$A$3:$A$5001,_xlfn.MAXIFS(BD!$A$3:$A$5001,BD!$B$3:$B$5001,R$149,BD!$A$3:$A$5001,"&gt;="&amp;$C$7,BD!$A$3:$A$5001,"&lt;="&amp;$B152,BD!$M$3:$M$5001,"&lt;&gt;"))))</f>
        <v/>
      </c>
      <c r="S152" s="43" t="str">
        <f>IF(OR($B152="",$A152&gt;$B$9,S$149=""),"",IF(COUNTIFS(BD!$B$3:$B$5001,S$149,BD!$A$3:$A$5001,"&gt;="&amp;$C$7,BD!$A$3:$A$5001,"&lt;="&amp;$B152,BD!$M$3:$M$5001,"&lt;&gt;")=0,"",SUMIFS(BD!$M$3:$M$5001,BD!$B$3:$B$5001,S$149,BD!$A$3:$A$5001,_xlfn.MAXIFS(BD!$A$3:$A$5001,BD!$B$3:$B$5001,S$149,BD!$A$3:$A$5001,"&gt;="&amp;$C$7,BD!$A$3:$A$5001,"&lt;="&amp;$B152,BD!$M$3:$M$5001,"&lt;&gt;"))))</f>
        <v/>
      </c>
      <c r="T152" s="43" t="str">
        <f>IF(OR($B152="",$A152&gt;$B$9,T$149=""),"",IF(COUNTIFS(BD!$B$3:$B$5001,T$149,BD!$A$3:$A$5001,"&gt;="&amp;$C$7,BD!$A$3:$A$5001,"&lt;="&amp;$B152,BD!$M$3:$M$5001,"&lt;&gt;")=0,"",SUMIFS(BD!$M$3:$M$5001,BD!$B$3:$B$5001,T$149,BD!$A$3:$A$5001,_xlfn.MAXIFS(BD!$A$3:$A$5001,BD!$B$3:$B$5001,T$149,BD!$A$3:$A$5001,"&gt;="&amp;$C$7,BD!$A$3:$A$5001,"&lt;="&amp;$B152,BD!$M$3:$M$5001,"&lt;&gt;"))))</f>
        <v/>
      </c>
      <c r="U152" s="43" t="str">
        <f>IF(OR($B152="",$A152&gt;$B$9,U$149=""),"",IF(COUNTIFS(BD!$B$3:$B$5001,U$149,BD!$A$3:$A$5001,"&gt;="&amp;$C$7,BD!$A$3:$A$5001,"&lt;="&amp;$B152,BD!$M$3:$M$5001,"&lt;&gt;")=0,"",SUMIFS(BD!$M$3:$M$5001,BD!$B$3:$B$5001,U$149,BD!$A$3:$A$5001,_xlfn.MAXIFS(BD!$A$3:$A$5001,BD!$B$3:$B$5001,U$149,BD!$A$3:$A$5001,"&gt;="&amp;$C$7,BD!$A$3:$A$5001,"&lt;="&amp;$B152,BD!$M$3:$M$5001,"&lt;&gt;"))))</f>
        <v/>
      </c>
      <c r="V152" s="43" t="str">
        <f>IF(OR($B152="",$A152&gt;$B$9,V$149=""),"",IF(COUNTIFS(BD!$B$3:$B$5001,V$149,BD!$A$3:$A$5001,"&gt;="&amp;$C$7,BD!$A$3:$A$5001,"&lt;="&amp;$B152,BD!$M$3:$M$5001,"&lt;&gt;")=0,"",SUMIFS(BD!$M$3:$M$5001,BD!$B$3:$B$5001,V$149,BD!$A$3:$A$5001,_xlfn.MAXIFS(BD!$A$3:$A$5001,BD!$B$3:$B$5001,V$149,BD!$A$3:$A$5001,"&gt;="&amp;$C$7,BD!$A$3:$A$5001,"&lt;="&amp;$B152,BD!$M$3:$M$5001,"&lt;&gt;"))))</f>
        <v/>
      </c>
    </row>
    <row r="153">
      <c r="A153" s="38">
        <v>4</v>
      </c>
      <c r="B153" s="42">
        <f>$B$15</f>
        <v>46299</v>
      </c>
      <c r="C153" s="43" t="str">
        <f>IF(OR($B153="",$A153&gt;$B$9,C$149=""),"",IF(COUNTIFS(BD!$B$3:$B$5001,C$149,BD!$A$3:$A$5001,"&gt;="&amp;$C$7,BD!$A$3:$A$5001,"&lt;="&amp;$B153,BD!$M$3:$M$5001,"&lt;&gt;")=0,"",SUMIFS(BD!$M$3:$M$5001,BD!$B$3:$B$5001,C$149,BD!$A$3:$A$5001,_xlfn.MAXIFS(BD!$A$3:$A$5001,BD!$B$3:$B$5001,C$149,BD!$A$3:$A$5001,"&gt;="&amp;$C$7,BD!$A$3:$A$5001,"&lt;="&amp;$B153,BD!$M$3:$M$5001,"&lt;&gt;"))))</f>
        <v/>
      </c>
      <c r="D153" s="43" t="str">
        <f>IF(OR($B153="",$A153&gt;$B$9,D$149=""),"",IF(COUNTIFS(BD!$B$3:$B$5001,D$149,BD!$A$3:$A$5001,"&gt;="&amp;$C$7,BD!$A$3:$A$5001,"&lt;="&amp;$B153,BD!$M$3:$M$5001,"&lt;&gt;")=0,"",SUMIFS(BD!$M$3:$M$5001,BD!$B$3:$B$5001,D$149,BD!$A$3:$A$5001,_xlfn.MAXIFS(BD!$A$3:$A$5001,BD!$B$3:$B$5001,D$149,BD!$A$3:$A$5001,"&gt;="&amp;$C$7,BD!$A$3:$A$5001,"&lt;="&amp;$B153,BD!$M$3:$M$5001,"&lt;&gt;"))))</f>
        <v/>
      </c>
      <c r="E153" s="43" t="str">
        <f>IF(OR($B153="",$A153&gt;$B$9,E$149=""),"",IF(COUNTIFS(BD!$B$3:$B$5001,E$149,BD!$A$3:$A$5001,"&gt;="&amp;$C$7,BD!$A$3:$A$5001,"&lt;="&amp;$B153,BD!$M$3:$M$5001,"&lt;&gt;")=0,"",SUMIFS(BD!$M$3:$M$5001,BD!$B$3:$B$5001,E$149,BD!$A$3:$A$5001,_xlfn.MAXIFS(BD!$A$3:$A$5001,BD!$B$3:$B$5001,E$149,BD!$A$3:$A$5001,"&gt;="&amp;$C$7,BD!$A$3:$A$5001,"&lt;="&amp;$B153,BD!$M$3:$M$5001,"&lt;&gt;"))))</f>
        <v/>
      </c>
      <c r="F153" s="43" t="str">
        <f>IF(OR($B153="",$A153&gt;$B$9,F$149=""),"",IF(COUNTIFS(BD!$B$3:$B$5001,F$149,BD!$A$3:$A$5001,"&gt;="&amp;$C$7,BD!$A$3:$A$5001,"&lt;="&amp;$B153,BD!$M$3:$M$5001,"&lt;&gt;")=0,"",SUMIFS(BD!$M$3:$M$5001,BD!$B$3:$B$5001,F$149,BD!$A$3:$A$5001,_xlfn.MAXIFS(BD!$A$3:$A$5001,BD!$B$3:$B$5001,F$149,BD!$A$3:$A$5001,"&gt;="&amp;$C$7,BD!$A$3:$A$5001,"&lt;="&amp;$B153,BD!$M$3:$M$5001,"&lt;&gt;"))))</f>
        <v/>
      </c>
      <c r="G153" s="43" t="str">
        <f>IF(OR($B153="",$A153&gt;$B$9,G$149=""),"",IF(COUNTIFS(BD!$B$3:$B$5001,G$149,BD!$A$3:$A$5001,"&gt;="&amp;$C$7,BD!$A$3:$A$5001,"&lt;="&amp;$B153,BD!$M$3:$M$5001,"&lt;&gt;")=0,"",SUMIFS(BD!$M$3:$M$5001,BD!$B$3:$B$5001,G$149,BD!$A$3:$A$5001,_xlfn.MAXIFS(BD!$A$3:$A$5001,BD!$B$3:$B$5001,G$149,BD!$A$3:$A$5001,"&gt;="&amp;$C$7,BD!$A$3:$A$5001,"&lt;="&amp;$B153,BD!$M$3:$M$5001,"&lt;&gt;"))))</f>
        <v/>
      </c>
      <c r="H153" s="43" t="str">
        <f>IF(OR($B153="",$A153&gt;$B$9,H$149=""),"",IF(COUNTIFS(BD!$B$3:$B$5001,H$149,BD!$A$3:$A$5001,"&gt;="&amp;$C$7,BD!$A$3:$A$5001,"&lt;="&amp;$B153,BD!$M$3:$M$5001,"&lt;&gt;")=0,"",SUMIFS(BD!$M$3:$M$5001,BD!$B$3:$B$5001,H$149,BD!$A$3:$A$5001,_xlfn.MAXIFS(BD!$A$3:$A$5001,BD!$B$3:$B$5001,H$149,BD!$A$3:$A$5001,"&gt;="&amp;$C$7,BD!$A$3:$A$5001,"&lt;="&amp;$B153,BD!$M$3:$M$5001,"&lt;&gt;"))))</f>
        <v/>
      </c>
      <c r="I153" s="43" t="str">
        <f>IF(OR($B153="",$A153&gt;$B$9,I$149=""),"",IF(COUNTIFS(BD!$B$3:$B$5001,I$149,BD!$A$3:$A$5001,"&gt;="&amp;$C$7,BD!$A$3:$A$5001,"&lt;="&amp;$B153,BD!$M$3:$M$5001,"&lt;&gt;")=0,"",SUMIFS(BD!$M$3:$M$5001,BD!$B$3:$B$5001,I$149,BD!$A$3:$A$5001,_xlfn.MAXIFS(BD!$A$3:$A$5001,BD!$B$3:$B$5001,I$149,BD!$A$3:$A$5001,"&gt;="&amp;$C$7,BD!$A$3:$A$5001,"&lt;="&amp;$B153,BD!$M$3:$M$5001,"&lt;&gt;"))))</f>
        <v/>
      </c>
      <c r="J153" s="43" t="str">
        <f>IF(OR($B153="",$A153&gt;$B$9,J$149=""),"",IF(COUNTIFS(BD!$B$3:$B$5001,J$149,BD!$A$3:$A$5001,"&gt;="&amp;$C$7,BD!$A$3:$A$5001,"&lt;="&amp;$B153,BD!$M$3:$M$5001,"&lt;&gt;")=0,"",SUMIFS(BD!$M$3:$M$5001,BD!$B$3:$B$5001,J$149,BD!$A$3:$A$5001,_xlfn.MAXIFS(BD!$A$3:$A$5001,BD!$B$3:$B$5001,J$149,BD!$A$3:$A$5001,"&gt;="&amp;$C$7,BD!$A$3:$A$5001,"&lt;="&amp;$B153,BD!$M$3:$M$5001,"&lt;&gt;"))))</f>
        <v/>
      </c>
      <c r="K153" s="43" t="str">
        <f>IF(OR($B153="",$A153&gt;$B$9,K$149=""),"",IF(COUNTIFS(BD!$B$3:$B$5001,K$149,BD!$A$3:$A$5001,"&gt;="&amp;$C$7,BD!$A$3:$A$5001,"&lt;="&amp;$B153,BD!$M$3:$M$5001,"&lt;&gt;")=0,"",SUMIFS(BD!$M$3:$M$5001,BD!$B$3:$B$5001,K$149,BD!$A$3:$A$5001,_xlfn.MAXIFS(BD!$A$3:$A$5001,BD!$B$3:$B$5001,K$149,BD!$A$3:$A$5001,"&gt;="&amp;$C$7,BD!$A$3:$A$5001,"&lt;="&amp;$B153,BD!$M$3:$M$5001,"&lt;&gt;"))))</f>
        <v/>
      </c>
      <c r="L153" s="43" t="str">
        <f>IF(OR($B153="",$A153&gt;$B$9,L$149=""),"",IF(COUNTIFS(BD!$B$3:$B$5001,L$149,BD!$A$3:$A$5001,"&gt;="&amp;$C$7,BD!$A$3:$A$5001,"&lt;="&amp;$B153,BD!$M$3:$M$5001,"&lt;&gt;")=0,"",SUMIFS(BD!$M$3:$M$5001,BD!$B$3:$B$5001,L$149,BD!$A$3:$A$5001,_xlfn.MAXIFS(BD!$A$3:$A$5001,BD!$B$3:$B$5001,L$149,BD!$A$3:$A$5001,"&gt;="&amp;$C$7,BD!$A$3:$A$5001,"&lt;="&amp;$B153,BD!$M$3:$M$5001,"&lt;&gt;"))))</f>
        <v/>
      </c>
      <c r="M153" s="43" t="str">
        <f>IF(OR($B153="",$A153&gt;$B$9,M$149=""),"",IF(COUNTIFS(BD!$B$3:$B$5001,M$149,BD!$A$3:$A$5001,"&gt;="&amp;$C$7,BD!$A$3:$A$5001,"&lt;="&amp;$B153,BD!$M$3:$M$5001,"&lt;&gt;")=0,"",SUMIFS(BD!$M$3:$M$5001,BD!$B$3:$B$5001,M$149,BD!$A$3:$A$5001,_xlfn.MAXIFS(BD!$A$3:$A$5001,BD!$B$3:$B$5001,M$149,BD!$A$3:$A$5001,"&gt;="&amp;$C$7,BD!$A$3:$A$5001,"&lt;="&amp;$B153,BD!$M$3:$M$5001,"&lt;&gt;"))))</f>
        <v/>
      </c>
      <c r="N153" s="43" t="str">
        <f>IF(OR($B153="",$A153&gt;$B$9,N$149=""),"",IF(COUNTIFS(BD!$B$3:$B$5001,N$149,BD!$A$3:$A$5001,"&gt;="&amp;$C$7,BD!$A$3:$A$5001,"&lt;="&amp;$B153,BD!$M$3:$M$5001,"&lt;&gt;")=0,"",SUMIFS(BD!$M$3:$M$5001,BD!$B$3:$B$5001,N$149,BD!$A$3:$A$5001,_xlfn.MAXIFS(BD!$A$3:$A$5001,BD!$B$3:$B$5001,N$149,BD!$A$3:$A$5001,"&gt;="&amp;$C$7,BD!$A$3:$A$5001,"&lt;="&amp;$B153,BD!$M$3:$M$5001,"&lt;&gt;"))))</f>
        <v/>
      </c>
      <c r="O153" s="43" t="str">
        <f>IF(OR($B153="",$A153&gt;$B$9,O$149=""),"",IF(COUNTIFS(BD!$B$3:$B$5001,O$149,BD!$A$3:$A$5001,"&gt;="&amp;$C$7,BD!$A$3:$A$5001,"&lt;="&amp;$B153,BD!$M$3:$M$5001,"&lt;&gt;")=0,"",SUMIFS(BD!$M$3:$M$5001,BD!$B$3:$B$5001,O$149,BD!$A$3:$A$5001,_xlfn.MAXIFS(BD!$A$3:$A$5001,BD!$B$3:$B$5001,O$149,BD!$A$3:$A$5001,"&gt;="&amp;$C$7,BD!$A$3:$A$5001,"&lt;="&amp;$B153,BD!$M$3:$M$5001,"&lt;&gt;"))))</f>
        <v/>
      </c>
      <c r="P153" s="43" t="str">
        <f>IF(OR($B153="",$A153&gt;$B$9,P$149=""),"",IF(COUNTIFS(BD!$B$3:$B$5001,P$149,BD!$A$3:$A$5001,"&gt;="&amp;$C$7,BD!$A$3:$A$5001,"&lt;="&amp;$B153,BD!$M$3:$M$5001,"&lt;&gt;")=0,"",SUMIFS(BD!$M$3:$M$5001,BD!$B$3:$B$5001,P$149,BD!$A$3:$A$5001,_xlfn.MAXIFS(BD!$A$3:$A$5001,BD!$B$3:$B$5001,P$149,BD!$A$3:$A$5001,"&gt;="&amp;$C$7,BD!$A$3:$A$5001,"&lt;="&amp;$B153,BD!$M$3:$M$5001,"&lt;&gt;"))))</f>
        <v/>
      </c>
      <c r="Q153" s="43" t="str">
        <f>IF(OR($B153="",$A153&gt;$B$9,Q$149=""),"",IF(COUNTIFS(BD!$B$3:$B$5001,Q$149,BD!$A$3:$A$5001,"&gt;="&amp;$C$7,BD!$A$3:$A$5001,"&lt;="&amp;$B153,BD!$M$3:$M$5001,"&lt;&gt;")=0,"",SUMIFS(BD!$M$3:$M$5001,BD!$B$3:$B$5001,Q$149,BD!$A$3:$A$5001,_xlfn.MAXIFS(BD!$A$3:$A$5001,BD!$B$3:$B$5001,Q$149,BD!$A$3:$A$5001,"&gt;="&amp;$C$7,BD!$A$3:$A$5001,"&lt;="&amp;$B153,BD!$M$3:$M$5001,"&lt;&gt;"))))</f>
        <v/>
      </c>
      <c r="R153" s="43" t="str">
        <f>IF(OR($B153="",$A153&gt;$B$9,R$149=""),"",IF(COUNTIFS(BD!$B$3:$B$5001,R$149,BD!$A$3:$A$5001,"&gt;="&amp;$C$7,BD!$A$3:$A$5001,"&lt;="&amp;$B153,BD!$M$3:$M$5001,"&lt;&gt;")=0,"",SUMIFS(BD!$M$3:$M$5001,BD!$B$3:$B$5001,R$149,BD!$A$3:$A$5001,_xlfn.MAXIFS(BD!$A$3:$A$5001,BD!$B$3:$B$5001,R$149,BD!$A$3:$A$5001,"&gt;="&amp;$C$7,BD!$A$3:$A$5001,"&lt;="&amp;$B153,BD!$M$3:$M$5001,"&lt;&gt;"))))</f>
        <v/>
      </c>
      <c r="S153" s="43" t="str">
        <f>IF(OR($B153="",$A153&gt;$B$9,S$149=""),"",IF(COUNTIFS(BD!$B$3:$B$5001,S$149,BD!$A$3:$A$5001,"&gt;="&amp;$C$7,BD!$A$3:$A$5001,"&lt;="&amp;$B153,BD!$M$3:$M$5001,"&lt;&gt;")=0,"",SUMIFS(BD!$M$3:$M$5001,BD!$B$3:$B$5001,S$149,BD!$A$3:$A$5001,_xlfn.MAXIFS(BD!$A$3:$A$5001,BD!$B$3:$B$5001,S$149,BD!$A$3:$A$5001,"&gt;="&amp;$C$7,BD!$A$3:$A$5001,"&lt;="&amp;$B153,BD!$M$3:$M$5001,"&lt;&gt;"))))</f>
        <v/>
      </c>
      <c r="T153" s="43" t="str">
        <f>IF(OR($B153="",$A153&gt;$B$9,T$149=""),"",IF(COUNTIFS(BD!$B$3:$B$5001,T$149,BD!$A$3:$A$5001,"&gt;="&amp;$C$7,BD!$A$3:$A$5001,"&lt;="&amp;$B153,BD!$M$3:$M$5001,"&lt;&gt;")=0,"",SUMIFS(BD!$M$3:$M$5001,BD!$B$3:$B$5001,T$149,BD!$A$3:$A$5001,_xlfn.MAXIFS(BD!$A$3:$A$5001,BD!$B$3:$B$5001,T$149,BD!$A$3:$A$5001,"&gt;="&amp;$C$7,BD!$A$3:$A$5001,"&lt;="&amp;$B153,BD!$M$3:$M$5001,"&lt;&gt;"))))</f>
        <v/>
      </c>
      <c r="U153" s="43" t="str">
        <f>IF(OR($B153="",$A153&gt;$B$9,U$149=""),"",IF(COUNTIFS(BD!$B$3:$B$5001,U$149,BD!$A$3:$A$5001,"&gt;="&amp;$C$7,BD!$A$3:$A$5001,"&lt;="&amp;$B153,BD!$M$3:$M$5001,"&lt;&gt;")=0,"",SUMIFS(BD!$M$3:$M$5001,BD!$B$3:$B$5001,U$149,BD!$A$3:$A$5001,_xlfn.MAXIFS(BD!$A$3:$A$5001,BD!$B$3:$B$5001,U$149,BD!$A$3:$A$5001,"&gt;="&amp;$C$7,BD!$A$3:$A$5001,"&lt;="&amp;$B153,BD!$M$3:$M$5001,"&lt;&gt;"))))</f>
        <v/>
      </c>
      <c r="V153" s="43" t="str">
        <f>IF(OR($B153="",$A153&gt;$B$9,V$149=""),"",IF(COUNTIFS(BD!$B$3:$B$5001,V$149,BD!$A$3:$A$5001,"&gt;="&amp;$C$7,BD!$A$3:$A$5001,"&lt;="&amp;$B153,BD!$M$3:$M$5001,"&lt;&gt;")=0,"",SUMIFS(BD!$M$3:$M$5001,BD!$B$3:$B$5001,V$149,BD!$A$3:$A$5001,_xlfn.MAXIFS(BD!$A$3:$A$5001,BD!$B$3:$B$5001,V$149,BD!$A$3:$A$5001,"&gt;="&amp;$C$7,BD!$A$3:$A$5001,"&lt;="&amp;$B153,BD!$M$3:$M$5001,"&lt;&gt;"))))</f>
        <v/>
      </c>
    </row>
    <row r="154">
      <c r="A154" s="38">
        <v>5</v>
      </c>
      <c r="B154" s="42">
        <f>$B$16</f>
        <v>46300</v>
      </c>
      <c r="C154" s="43" t="str">
        <f>IF(OR($B154="",$A154&gt;$B$9,C$149=""),"",IF(COUNTIFS(BD!$B$3:$B$5001,C$149,BD!$A$3:$A$5001,"&gt;="&amp;$C$7,BD!$A$3:$A$5001,"&lt;="&amp;$B154,BD!$M$3:$M$5001,"&lt;&gt;")=0,"",SUMIFS(BD!$M$3:$M$5001,BD!$B$3:$B$5001,C$149,BD!$A$3:$A$5001,_xlfn.MAXIFS(BD!$A$3:$A$5001,BD!$B$3:$B$5001,C$149,BD!$A$3:$A$5001,"&gt;="&amp;$C$7,BD!$A$3:$A$5001,"&lt;="&amp;$B154,BD!$M$3:$M$5001,"&lt;&gt;"))))</f>
        <v/>
      </c>
      <c r="D154" s="43" t="str">
        <f>IF(OR($B154="",$A154&gt;$B$9,D$149=""),"",IF(COUNTIFS(BD!$B$3:$B$5001,D$149,BD!$A$3:$A$5001,"&gt;="&amp;$C$7,BD!$A$3:$A$5001,"&lt;="&amp;$B154,BD!$M$3:$M$5001,"&lt;&gt;")=0,"",SUMIFS(BD!$M$3:$M$5001,BD!$B$3:$B$5001,D$149,BD!$A$3:$A$5001,_xlfn.MAXIFS(BD!$A$3:$A$5001,BD!$B$3:$B$5001,D$149,BD!$A$3:$A$5001,"&gt;="&amp;$C$7,BD!$A$3:$A$5001,"&lt;="&amp;$B154,BD!$M$3:$M$5001,"&lt;&gt;"))))</f>
        <v/>
      </c>
      <c r="E154" s="43" t="str">
        <f>IF(OR($B154="",$A154&gt;$B$9,E$149=""),"",IF(COUNTIFS(BD!$B$3:$B$5001,E$149,BD!$A$3:$A$5001,"&gt;="&amp;$C$7,BD!$A$3:$A$5001,"&lt;="&amp;$B154,BD!$M$3:$M$5001,"&lt;&gt;")=0,"",SUMIFS(BD!$M$3:$M$5001,BD!$B$3:$B$5001,E$149,BD!$A$3:$A$5001,_xlfn.MAXIFS(BD!$A$3:$A$5001,BD!$B$3:$B$5001,E$149,BD!$A$3:$A$5001,"&gt;="&amp;$C$7,BD!$A$3:$A$5001,"&lt;="&amp;$B154,BD!$M$3:$M$5001,"&lt;&gt;"))))</f>
        <v/>
      </c>
      <c r="F154" s="43" t="str">
        <f>IF(OR($B154="",$A154&gt;$B$9,F$149=""),"",IF(COUNTIFS(BD!$B$3:$B$5001,F$149,BD!$A$3:$A$5001,"&gt;="&amp;$C$7,BD!$A$3:$A$5001,"&lt;="&amp;$B154,BD!$M$3:$M$5001,"&lt;&gt;")=0,"",SUMIFS(BD!$M$3:$M$5001,BD!$B$3:$B$5001,F$149,BD!$A$3:$A$5001,_xlfn.MAXIFS(BD!$A$3:$A$5001,BD!$B$3:$B$5001,F$149,BD!$A$3:$A$5001,"&gt;="&amp;$C$7,BD!$A$3:$A$5001,"&lt;="&amp;$B154,BD!$M$3:$M$5001,"&lt;&gt;"))))</f>
        <v/>
      </c>
      <c r="G154" s="43" t="str">
        <f>IF(OR($B154="",$A154&gt;$B$9,G$149=""),"",IF(COUNTIFS(BD!$B$3:$B$5001,G$149,BD!$A$3:$A$5001,"&gt;="&amp;$C$7,BD!$A$3:$A$5001,"&lt;="&amp;$B154,BD!$M$3:$M$5001,"&lt;&gt;")=0,"",SUMIFS(BD!$M$3:$M$5001,BD!$B$3:$B$5001,G$149,BD!$A$3:$A$5001,_xlfn.MAXIFS(BD!$A$3:$A$5001,BD!$B$3:$B$5001,G$149,BD!$A$3:$A$5001,"&gt;="&amp;$C$7,BD!$A$3:$A$5001,"&lt;="&amp;$B154,BD!$M$3:$M$5001,"&lt;&gt;"))))</f>
        <v/>
      </c>
      <c r="H154" s="43" t="str">
        <f>IF(OR($B154="",$A154&gt;$B$9,H$149=""),"",IF(COUNTIFS(BD!$B$3:$B$5001,H$149,BD!$A$3:$A$5001,"&gt;="&amp;$C$7,BD!$A$3:$A$5001,"&lt;="&amp;$B154,BD!$M$3:$M$5001,"&lt;&gt;")=0,"",SUMIFS(BD!$M$3:$M$5001,BD!$B$3:$B$5001,H$149,BD!$A$3:$A$5001,_xlfn.MAXIFS(BD!$A$3:$A$5001,BD!$B$3:$B$5001,H$149,BD!$A$3:$A$5001,"&gt;="&amp;$C$7,BD!$A$3:$A$5001,"&lt;="&amp;$B154,BD!$M$3:$M$5001,"&lt;&gt;"))))</f>
        <v/>
      </c>
      <c r="I154" s="43" t="str">
        <f>IF(OR($B154="",$A154&gt;$B$9,I$149=""),"",IF(COUNTIFS(BD!$B$3:$B$5001,I$149,BD!$A$3:$A$5001,"&gt;="&amp;$C$7,BD!$A$3:$A$5001,"&lt;="&amp;$B154,BD!$M$3:$M$5001,"&lt;&gt;")=0,"",SUMIFS(BD!$M$3:$M$5001,BD!$B$3:$B$5001,I$149,BD!$A$3:$A$5001,_xlfn.MAXIFS(BD!$A$3:$A$5001,BD!$B$3:$B$5001,I$149,BD!$A$3:$A$5001,"&gt;="&amp;$C$7,BD!$A$3:$A$5001,"&lt;="&amp;$B154,BD!$M$3:$M$5001,"&lt;&gt;"))))</f>
        <v/>
      </c>
      <c r="J154" s="43" t="str">
        <f>IF(OR($B154="",$A154&gt;$B$9,J$149=""),"",IF(COUNTIFS(BD!$B$3:$B$5001,J$149,BD!$A$3:$A$5001,"&gt;="&amp;$C$7,BD!$A$3:$A$5001,"&lt;="&amp;$B154,BD!$M$3:$M$5001,"&lt;&gt;")=0,"",SUMIFS(BD!$M$3:$M$5001,BD!$B$3:$B$5001,J$149,BD!$A$3:$A$5001,_xlfn.MAXIFS(BD!$A$3:$A$5001,BD!$B$3:$B$5001,J$149,BD!$A$3:$A$5001,"&gt;="&amp;$C$7,BD!$A$3:$A$5001,"&lt;="&amp;$B154,BD!$M$3:$M$5001,"&lt;&gt;"))))</f>
        <v/>
      </c>
      <c r="K154" s="43" t="str">
        <f>IF(OR($B154="",$A154&gt;$B$9,K$149=""),"",IF(COUNTIFS(BD!$B$3:$B$5001,K$149,BD!$A$3:$A$5001,"&gt;="&amp;$C$7,BD!$A$3:$A$5001,"&lt;="&amp;$B154,BD!$M$3:$M$5001,"&lt;&gt;")=0,"",SUMIFS(BD!$M$3:$M$5001,BD!$B$3:$B$5001,K$149,BD!$A$3:$A$5001,_xlfn.MAXIFS(BD!$A$3:$A$5001,BD!$B$3:$B$5001,K$149,BD!$A$3:$A$5001,"&gt;="&amp;$C$7,BD!$A$3:$A$5001,"&lt;="&amp;$B154,BD!$M$3:$M$5001,"&lt;&gt;"))))</f>
        <v/>
      </c>
      <c r="L154" s="43" t="str">
        <f>IF(OR($B154="",$A154&gt;$B$9,L$149=""),"",IF(COUNTIFS(BD!$B$3:$B$5001,L$149,BD!$A$3:$A$5001,"&gt;="&amp;$C$7,BD!$A$3:$A$5001,"&lt;="&amp;$B154,BD!$M$3:$M$5001,"&lt;&gt;")=0,"",SUMIFS(BD!$M$3:$M$5001,BD!$B$3:$B$5001,L$149,BD!$A$3:$A$5001,_xlfn.MAXIFS(BD!$A$3:$A$5001,BD!$B$3:$B$5001,L$149,BD!$A$3:$A$5001,"&gt;="&amp;$C$7,BD!$A$3:$A$5001,"&lt;="&amp;$B154,BD!$M$3:$M$5001,"&lt;&gt;"))))</f>
        <v/>
      </c>
      <c r="M154" s="43" t="str">
        <f>IF(OR($B154="",$A154&gt;$B$9,M$149=""),"",IF(COUNTIFS(BD!$B$3:$B$5001,M$149,BD!$A$3:$A$5001,"&gt;="&amp;$C$7,BD!$A$3:$A$5001,"&lt;="&amp;$B154,BD!$M$3:$M$5001,"&lt;&gt;")=0,"",SUMIFS(BD!$M$3:$M$5001,BD!$B$3:$B$5001,M$149,BD!$A$3:$A$5001,_xlfn.MAXIFS(BD!$A$3:$A$5001,BD!$B$3:$B$5001,M$149,BD!$A$3:$A$5001,"&gt;="&amp;$C$7,BD!$A$3:$A$5001,"&lt;="&amp;$B154,BD!$M$3:$M$5001,"&lt;&gt;"))))</f>
        <v/>
      </c>
      <c r="N154" s="43" t="str">
        <f>IF(OR($B154="",$A154&gt;$B$9,N$149=""),"",IF(COUNTIFS(BD!$B$3:$B$5001,N$149,BD!$A$3:$A$5001,"&gt;="&amp;$C$7,BD!$A$3:$A$5001,"&lt;="&amp;$B154,BD!$M$3:$M$5001,"&lt;&gt;")=0,"",SUMIFS(BD!$M$3:$M$5001,BD!$B$3:$B$5001,N$149,BD!$A$3:$A$5001,_xlfn.MAXIFS(BD!$A$3:$A$5001,BD!$B$3:$B$5001,N$149,BD!$A$3:$A$5001,"&gt;="&amp;$C$7,BD!$A$3:$A$5001,"&lt;="&amp;$B154,BD!$M$3:$M$5001,"&lt;&gt;"))))</f>
        <v/>
      </c>
      <c r="O154" s="43" t="str">
        <f>IF(OR($B154="",$A154&gt;$B$9,O$149=""),"",IF(COUNTIFS(BD!$B$3:$B$5001,O$149,BD!$A$3:$A$5001,"&gt;="&amp;$C$7,BD!$A$3:$A$5001,"&lt;="&amp;$B154,BD!$M$3:$M$5001,"&lt;&gt;")=0,"",SUMIFS(BD!$M$3:$M$5001,BD!$B$3:$B$5001,O$149,BD!$A$3:$A$5001,_xlfn.MAXIFS(BD!$A$3:$A$5001,BD!$B$3:$B$5001,O$149,BD!$A$3:$A$5001,"&gt;="&amp;$C$7,BD!$A$3:$A$5001,"&lt;="&amp;$B154,BD!$M$3:$M$5001,"&lt;&gt;"))))</f>
        <v/>
      </c>
      <c r="P154" s="43" t="str">
        <f>IF(OR($B154="",$A154&gt;$B$9,P$149=""),"",IF(COUNTIFS(BD!$B$3:$B$5001,P$149,BD!$A$3:$A$5001,"&gt;="&amp;$C$7,BD!$A$3:$A$5001,"&lt;="&amp;$B154,BD!$M$3:$M$5001,"&lt;&gt;")=0,"",SUMIFS(BD!$M$3:$M$5001,BD!$B$3:$B$5001,P$149,BD!$A$3:$A$5001,_xlfn.MAXIFS(BD!$A$3:$A$5001,BD!$B$3:$B$5001,P$149,BD!$A$3:$A$5001,"&gt;="&amp;$C$7,BD!$A$3:$A$5001,"&lt;="&amp;$B154,BD!$M$3:$M$5001,"&lt;&gt;"))))</f>
        <v/>
      </c>
      <c r="Q154" s="43" t="str">
        <f>IF(OR($B154="",$A154&gt;$B$9,Q$149=""),"",IF(COUNTIFS(BD!$B$3:$B$5001,Q$149,BD!$A$3:$A$5001,"&gt;="&amp;$C$7,BD!$A$3:$A$5001,"&lt;="&amp;$B154,BD!$M$3:$M$5001,"&lt;&gt;")=0,"",SUMIFS(BD!$M$3:$M$5001,BD!$B$3:$B$5001,Q$149,BD!$A$3:$A$5001,_xlfn.MAXIFS(BD!$A$3:$A$5001,BD!$B$3:$B$5001,Q$149,BD!$A$3:$A$5001,"&gt;="&amp;$C$7,BD!$A$3:$A$5001,"&lt;="&amp;$B154,BD!$M$3:$M$5001,"&lt;&gt;"))))</f>
        <v/>
      </c>
      <c r="R154" s="43" t="str">
        <f>IF(OR($B154="",$A154&gt;$B$9,R$149=""),"",IF(COUNTIFS(BD!$B$3:$B$5001,R$149,BD!$A$3:$A$5001,"&gt;="&amp;$C$7,BD!$A$3:$A$5001,"&lt;="&amp;$B154,BD!$M$3:$M$5001,"&lt;&gt;")=0,"",SUMIFS(BD!$M$3:$M$5001,BD!$B$3:$B$5001,R$149,BD!$A$3:$A$5001,_xlfn.MAXIFS(BD!$A$3:$A$5001,BD!$B$3:$B$5001,R$149,BD!$A$3:$A$5001,"&gt;="&amp;$C$7,BD!$A$3:$A$5001,"&lt;="&amp;$B154,BD!$M$3:$M$5001,"&lt;&gt;"))))</f>
        <v/>
      </c>
      <c r="S154" s="43" t="str">
        <f>IF(OR($B154="",$A154&gt;$B$9,S$149=""),"",IF(COUNTIFS(BD!$B$3:$B$5001,S$149,BD!$A$3:$A$5001,"&gt;="&amp;$C$7,BD!$A$3:$A$5001,"&lt;="&amp;$B154,BD!$M$3:$M$5001,"&lt;&gt;")=0,"",SUMIFS(BD!$M$3:$M$5001,BD!$B$3:$B$5001,S$149,BD!$A$3:$A$5001,_xlfn.MAXIFS(BD!$A$3:$A$5001,BD!$B$3:$B$5001,S$149,BD!$A$3:$A$5001,"&gt;="&amp;$C$7,BD!$A$3:$A$5001,"&lt;="&amp;$B154,BD!$M$3:$M$5001,"&lt;&gt;"))))</f>
        <v/>
      </c>
      <c r="T154" s="43" t="str">
        <f>IF(OR($B154="",$A154&gt;$B$9,T$149=""),"",IF(COUNTIFS(BD!$B$3:$B$5001,T$149,BD!$A$3:$A$5001,"&gt;="&amp;$C$7,BD!$A$3:$A$5001,"&lt;="&amp;$B154,BD!$M$3:$M$5001,"&lt;&gt;")=0,"",SUMIFS(BD!$M$3:$M$5001,BD!$B$3:$B$5001,T$149,BD!$A$3:$A$5001,_xlfn.MAXIFS(BD!$A$3:$A$5001,BD!$B$3:$B$5001,T$149,BD!$A$3:$A$5001,"&gt;="&amp;$C$7,BD!$A$3:$A$5001,"&lt;="&amp;$B154,BD!$M$3:$M$5001,"&lt;&gt;"))))</f>
        <v/>
      </c>
      <c r="U154" s="43" t="str">
        <f>IF(OR($B154="",$A154&gt;$B$9,U$149=""),"",IF(COUNTIFS(BD!$B$3:$B$5001,U$149,BD!$A$3:$A$5001,"&gt;="&amp;$C$7,BD!$A$3:$A$5001,"&lt;="&amp;$B154,BD!$M$3:$M$5001,"&lt;&gt;")=0,"",SUMIFS(BD!$M$3:$M$5001,BD!$B$3:$B$5001,U$149,BD!$A$3:$A$5001,_xlfn.MAXIFS(BD!$A$3:$A$5001,BD!$B$3:$B$5001,U$149,BD!$A$3:$A$5001,"&gt;="&amp;$C$7,BD!$A$3:$A$5001,"&lt;="&amp;$B154,BD!$M$3:$M$5001,"&lt;&gt;"))))</f>
        <v/>
      </c>
      <c r="V154" s="43" t="str">
        <f>IF(OR($B154="",$A154&gt;$B$9,V$149=""),"",IF(COUNTIFS(BD!$B$3:$B$5001,V$149,BD!$A$3:$A$5001,"&gt;="&amp;$C$7,BD!$A$3:$A$5001,"&lt;="&amp;$B154,BD!$M$3:$M$5001,"&lt;&gt;")=0,"",SUMIFS(BD!$M$3:$M$5001,BD!$B$3:$B$5001,V$149,BD!$A$3:$A$5001,_xlfn.MAXIFS(BD!$A$3:$A$5001,BD!$B$3:$B$5001,V$149,BD!$A$3:$A$5001,"&gt;="&amp;$C$7,BD!$A$3:$A$5001,"&lt;="&amp;$B154,BD!$M$3:$M$5001,"&lt;&gt;"))))</f>
        <v/>
      </c>
    </row>
    <row r="155">
      <c r="A155" s="38">
        <v>6</v>
      </c>
      <c r="B155" s="42">
        <f>$B$17</f>
        <v>46301</v>
      </c>
      <c r="C155" s="43" t="str">
        <f>IF(OR($B155="",$A155&gt;$B$9,C$149=""),"",IF(COUNTIFS(BD!$B$3:$B$5001,C$149,BD!$A$3:$A$5001,"&gt;="&amp;$C$7,BD!$A$3:$A$5001,"&lt;="&amp;$B155,BD!$M$3:$M$5001,"&lt;&gt;")=0,"",SUMIFS(BD!$M$3:$M$5001,BD!$B$3:$B$5001,C$149,BD!$A$3:$A$5001,_xlfn.MAXIFS(BD!$A$3:$A$5001,BD!$B$3:$B$5001,C$149,BD!$A$3:$A$5001,"&gt;="&amp;$C$7,BD!$A$3:$A$5001,"&lt;="&amp;$B155,BD!$M$3:$M$5001,"&lt;&gt;"))))</f>
        <v/>
      </c>
      <c r="D155" s="43" t="str">
        <f>IF(OR($B155="",$A155&gt;$B$9,D$149=""),"",IF(COUNTIFS(BD!$B$3:$B$5001,D$149,BD!$A$3:$A$5001,"&gt;="&amp;$C$7,BD!$A$3:$A$5001,"&lt;="&amp;$B155,BD!$M$3:$M$5001,"&lt;&gt;")=0,"",SUMIFS(BD!$M$3:$M$5001,BD!$B$3:$B$5001,D$149,BD!$A$3:$A$5001,_xlfn.MAXIFS(BD!$A$3:$A$5001,BD!$B$3:$B$5001,D$149,BD!$A$3:$A$5001,"&gt;="&amp;$C$7,BD!$A$3:$A$5001,"&lt;="&amp;$B155,BD!$M$3:$M$5001,"&lt;&gt;"))))</f>
        <v/>
      </c>
      <c r="E155" s="43" t="str">
        <f>IF(OR($B155="",$A155&gt;$B$9,E$149=""),"",IF(COUNTIFS(BD!$B$3:$B$5001,E$149,BD!$A$3:$A$5001,"&gt;="&amp;$C$7,BD!$A$3:$A$5001,"&lt;="&amp;$B155,BD!$M$3:$M$5001,"&lt;&gt;")=0,"",SUMIFS(BD!$M$3:$M$5001,BD!$B$3:$B$5001,E$149,BD!$A$3:$A$5001,_xlfn.MAXIFS(BD!$A$3:$A$5001,BD!$B$3:$B$5001,E$149,BD!$A$3:$A$5001,"&gt;="&amp;$C$7,BD!$A$3:$A$5001,"&lt;="&amp;$B155,BD!$M$3:$M$5001,"&lt;&gt;"))))</f>
        <v/>
      </c>
      <c r="F155" s="43" t="str">
        <f>IF(OR($B155="",$A155&gt;$B$9,F$149=""),"",IF(COUNTIFS(BD!$B$3:$B$5001,F$149,BD!$A$3:$A$5001,"&gt;="&amp;$C$7,BD!$A$3:$A$5001,"&lt;="&amp;$B155,BD!$M$3:$M$5001,"&lt;&gt;")=0,"",SUMIFS(BD!$M$3:$M$5001,BD!$B$3:$B$5001,F$149,BD!$A$3:$A$5001,_xlfn.MAXIFS(BD!$A$3:$A$5001,BD!$B$3:$B$5001,F$149,BD!$A$3:$A$5001,"&gt;="&amp;$C$7,BD!$A$3:$A$5001,"&lt;="&amp;$B155,BD!$M$3:$M$5001,"&lt;&gt;"))))</f>
        <v/>
      </c>
      <c r="G155" s="43" t="str">
        <f>IF(OR($B155="",$A155&gt;$B$9,G$149=""),"",IF(COUNTIFS(BD!$B$3:$B$5001,G$149,BD!$A$3:$A$5001,"&gt;="&amp;$C$7,BD!$A$3:$A$5001,"&lt;="&amp;$B155,BD!$M$3:$M$5001,"&lt;&gt;")=0,"",SUMIFS(BD!$M$3:$M$5001,BD!$B$3:$B$5001,G$149,BD!$A$3:$A$5001,_xlfn.MAXIFS(BD!$A$3:$A$5001,BD!$B$3:$B$5001,G$149,BD!$A$3:$A$5001,"&gt;="&amp;$C$7,BD!$A$3:$A$5001,"&lt;="&amp;$B155,BD!$M$3:$M$5001,"&lt;&gt;"))))</f>
        <v/>
      </c>
      <c r="H155" s="43" t="str">
        <f>IF(OR($B155="",$A155&gt;$B$9,H$149=""),"",IF(COUNTIFS(BD!$B$3:$B$5001,H$149,BD!$A$3:$A$5001,"&gt;="&amp;$C$7,BD!$A$3:$A$5001,"&lt;="&amp;$B155,BD!$M$3:$M$5001,"&lt;&gt;")=0,"",SUMIFS(BD!$M$3:$M$5001,BD!$B$3:$B$5001,H$149,BD!$A$3:$A$5001,_xlfn.MAXIFS(BD!$A$3:$A$5001,BD!$B$3:$B$5001,H$149,BD!$A$3:$A$5001,"&gt;="&amp;$C$7,BD!$A$3:$A$5001,"&lt;="&amp;$B155,BD!$M$3:$M$5001,"&lt;&gt;"))))</f>
        <v/>
      </c>
      <c r="I155" s="43" t="str">
        <f>IF(OR($B155="",$A155&gt;$B$9,I$149=""),"",IF(COUNTIFS(BD!$B$3:$B$5001,I$149,BD!$A$3:$A$5001,"&gt;="&amp;$C$7,BD!$A$3:$A$5001,"&lt;="&amp;$B155,BD!$M$3:$M$5001,"&lt;&gt;")=0,"",SUMIFS(BD!$M$3:$M$5001,BD!$B$3:$B$5001,I$149,BD!$A$3:$A$5001,_xlfn.MAXIFS(BD!$A$3:$A$5001,BD!$B$3:$B$5001,I$149,BD!$A$3:$A$5001,"&gt;="&amp;$C$7,BD!$A$3:$A$5001,"&lt;="&amp;$B155,BD!$M$3:$M$5001,"&lt;&gt;"))))</f>
        <v/>
      </c>
      <c r="J155" s="43" t="str">
        <f>IF(OR($B155="",$A155&gt;$B$9,J$149=""),"",IF(COUNTIFS(BD!$B$3:$B$5001,J$149,BD!$A$3:$A$5001,"&gt;="&amp;$C$7,BD!$A$3:$A$5001,"&lt;="&amp;$B155,BD!$M$3:$M$5001,"&lt;&gt;")=0,"",SUMIFS(BD!$M$3:$M$5001,BD!$B$3:$B$5001,J$149,BD!$A$3:$A$5001,_xlfn.MAXIFS(BD!$A$3:$A$5001,BD!$B$3:$B$5001,J$149,BD!$A$3:$A$5001,"&gt;="&amp;$C$7,BD!$A$3:$A$5001,"&lt;="&amp;$B155,BD!$M$3:$M$5001,"&lt;&gt;"))))</f>
        <v/>
      </c>
      <c r="K155" s="43" t="str">
        <f>IF(OR($B155="",$A155&gt;$B$9,K$149=""),"",IF(COUNTIFS(BD!$B$3:$B$5001,K$149,BD!$A$3:$A$5001,"&gt;="&amp;$C$7,BD!$A$3:$A$5001,"&lt;="&amp;$B155,BD!$M$3:$M$5001,"&lt;&gt;")=0,"",SUMIFS(BD!$M$3:$M$5001,BD!$B$3:$B$5001,K$149,BD!$A$3:$A$5001,_xlfn.MAXIFS(BD!$A$3:$A$5001,BD!$B$3:$B$5001,K$149,BD!$A$3:$A$5001,"&gt;="&amp;$C$7,BD!$A$3:$A$5001,"&lt;="&amp;$B155,BD!$M$3:$M$5001,"&lt;&gt;"))))</f>
        <v/>
      </c>
      <c r="L155" s="43" t="str">
        <f>IF(OR($B155="",$A155&gt;$B$9,L$149=""),"",IF(COUNTIFS(BD!$B$3:$B$5001,L$149,BD!$A$3:$A$5001,"&gt;="&amp;$C$7,BD!$A$3:$A$5001,"&lt;="&amp;$B155,BD!$M$3:$M$5001,"&lt;&gt;")=0,"",SUMIFS(BD!$M$3:$M$5001,BD!$B$3:$B$5001,L$149,BD!$A$3:$A$5001,_xlfn.MAXIFS(BD!$A$3:$A$5001,BD!$B$3:$B$5001,L$149,BD!$A$3:$A$5001,"&gt;="&amp;$C$7,BD!$A$3:$A$5001,"&lt;="&amp;$B155,BD!$M$3:$M$5001,"&lt;&gt;"))))</f>
        <v/>
      </c>
      <c r="M155" s="43" t="str">
        <f>IF(OR($B155="",$A155&gt;$B$9,M$149=""),"",IF(COUNTIFS(BD!$B$3:$B$5001,M$149,BD!$A$3:$A$5001,"&gt;="&amp;$C$7,BD!$A$3:$A$5001,"&lt;="&amp;$B155,BD!$M$3:$M$5001,"&lt;&gt;")=0,"",SUMIFS(BD!$M$3:$M$5001,BD!$B$3:$B$5001,M$149,BD!$A$3:$A$5001,_xlfn.MAXIFS(BD!$A$3:$A$5001,BD!$B$3:$B$5001,M$149,BD!$A$3:$A$5001,"&gt;="&amp;$C$7,BD!$A$3:$A$5001,"&lt;="&amp;$B155,BD!$M$3:$M$5001,"&lt;&gt;"))))</f>
        <v/>
      </c>
      <c r="N155" s="43" t="str">
        <f>IF(OR($B155="",$A155&gt;$B$9,N$149=""),"",IF(COUNTIFS(BD!$B$3:$B$5001,N$149,BD!$A$3:$A$5001,"&gt;="&amp;$C$7,BD!$A$3:$A$5001,"&lt;="&amp;$B155,BD!$M$3:$M$5001,"&lt;&gt;")=0,"",SUMIFS(BD!$M$3:$M$5001,BD!$B$3:$B$5001,N$149,BD!$A$3:$A$5001,_xlfn.MAXIFS(BD!$A$3:$A$5001,BD!$B$3:$B$5001,N$149,BD!$A$3:$A$5001,"&gt;="&amp;$C$7,BD!$A$3:$A$5001,"&lt;="&amp;$B155,BD!$M$3:$M$5001,"&lt;&gt;"))))</f>
        <v/>
      </c>
      <c r="O155" s="43" t="str">
        <f>IF(OR($B155="",$A155&gt;$B$9,O$149=""),"",IF(COUNTIFS(BD!$B$3:$B$5001,O$149,BD!$A$3:$A$5001,"&gt;="&amp;$C$7,BD!$A$3:$A$5001,"&lt;="&amp;$B155,BD!$M$3:$M$5001,"&lt;&gt;")=0,"",SUMIFS(BD!$M$3:$M$5001,BD!$B$3:$B$5001,O$149,BD!$A$3:$A$5001,_xlfn.MAXIFS(BD!$A$3:$A$5001,BD!$B$3:$B$5001,O$149,BD!$A$3:$A$5001,"&gt;="&amp;$C$7,BD!$A$3:$A$5001,"&lt;="&amp;$B155,BD!$M$3:$M$5001,"&lt;&gt;"))))</f>
        <v/>
      </c>
      <c r="P155" s="43" t="str">
        <f>IF(OR($B155="",$A155&gt;$B$9,P$149=""),"",IF(COUNTIFS(BD!$B$3:$B$5001,P$149,BD!$A$3:$A$5001,"&gt;="&amp;$C$7,BD!$A$3:$A$5001,"&lt;="&amp;$B155,BD!$M$3:$M$5001,"&lt;&gt;")=0,"",SUMIFS(BD!$M$3:$M$5001,BD!$B$3:$B$5001,P$149,BD!$A$3:$A$5001,_xlfn.MAXIFS(BD!$A$3:$A$5001,BD!$B$3:$B$5001,P$149,BD!$A$3:$A$5001,"&gt;="&amp;$C$7,BD!$A$3:$A$5001,"&lt;="&amp;$B155,BD!$M$3:$M$5001,"&lt;&gt;"))))</f>
        <v/>
      </c>
      <c r="Q155" s="43" t="str">
        <f>IF(OR($B155="",$A155&gt;$B$9,Q$149=""),"",IF(COUNTIFS(BD!$B$3:$B$5001,Q$149,BD!$A$3:$A$5001,"&gt;="&amp;$C$7,BD!$A$3:$A$5001,"&lt;="&amp;$B155,BD!$M$3:$M$5001,"&lt;&gt;")=0,"",SUMIFS(BD!$M$3:$M$5001,BD!$B$3:$B$5001,Q$149,BD!$A$3:$A$5001,_xlfn.MAXIFS(BD!$A$3:$A$5001,BD!$B$3:$B$5001,Q$149,BD!$A$3:$A$5001,"&gt;="&amp;$C$7,BD!$A$3:$A$5001,"&lt;="&amp;$B155,BD!$M$3:$M$5001,"&lt;&gt;"))))</f>
        <v/>
      </c>
      <c r="R155" s="43" t="str">
        <f>IF(OR($B155="",$A155&gt;$B$9,R$149=""),"",IF(COUNTIFS(BD!$B$3:$B$5001,R$149,BD!$A$3:$A$5001,"&gt;="&amp;$C$7,BD!$A$3:$A$5001,"&lt;="&amp;$B155,BD!$M$3:$M$5001,"&lt;&gt;")=0,"",SUMIFS(BD!$M$3:$M$5001,BD!$B$3:$B$5001,R$149,BD!$A$3:$A$5001,_xlfn.MAXIFS(BD!$A$3:$A$5001,BD!$B$3:$B$5001,R$149,BD!$A$3:$A$5001,"&gt;="&amp;$C$7,BD!$A$3:$A$5001,"&lt;="&amp;$B155,BD!$M$3:$M$5001,"&lt;&gt;"))))</f>
        <v/>
      </c>
      <c r="S155" s="43" t="str">
        <f>IF(OR($B155="",$A155&gt;$B$9,S$149=""),"",IF(COUNTIFS(BD!$B$3:$B$5001,S$149,BD!$A$3:$A$5001,"&gt;="&amp;$C$7,BD!$A$3:$A$5001,"&lt;="&amp;$B155,BD!$M$3:$M$5001,"&lt;&gt;")=0,"",SUMIFS(BD!$M$3:$M$5001,BD!$B$3:$B$5001,S$149,BD!$A$3:$A$5001,_xlfn.MAXIFS(BD!$A$3:$A$5001,BD!$B$3:$B$5001,S$149,BD!$A$3:$A$5001,"&gt;="&amp;$C$7,BD!$A$3:$A$5001,"&lt;="&amp;$B155,BD!$M$3:$M$5001,"&lt;&gt;"))))</f>
        <v/>
      </c>
      <c r="T155" s="43" t="str">
        <f>IF(OR($B155="",$A155&gt;$B$9,T$149=""),"",IF(COUNTIFS(BD!$B$3:$B$5001,T$149,BD!$A$3:$A$5001,"&gt;="&amp;$C$7,BD!$A$3:$A$5001,"&lt;="&amp;$B155,BD!$M$3:$M$5001,"&lt;&gt;")=0,"",SUMIFS(BD!$M$3:$M$5001,BD!$B$3:$B$5001,T$149,BD!$A$3:$A$5001,_xlfn.MAXIFS(BD!$A$3:$A$5001,BD!$B$3:$B$5001,T$149,BD!$A$3:$A$5001,"&gt;="&amp;$C$7,BD!$A$3:$A$5001,"&lt;="&amp;$B155,BD!$M$3:$M$5001,"&lt;&gt;"))))</f>
        <v/>
      </c>
      <c r="U155" s="43" t="str">
        <f>IF(OR($B155="",$A155&gt;$B$9,U$149=""),"",IF(COUNTIFS(BD!$B$3:$B$5001,U$149,BD!$A$3:$A$5001,"&gt;="&amp;$C$7,BD!$A$3:$A$5001,"&lt;="&amp;$B155,BD!$M$3:$M$5001,"&lt;&gt;")=0,"",SUMIFS(BD!$M$3:$M$5001,BD!$B$3:$B$5001,U$149,BD!$A$3:$A$5001,_xlfn.MAXIFS(BD!$A$3:$A$5001,BD!$B$3:$B$5001,U$149,BD!$A$3:$A$5001,"&gt;="&amp;$C$7,BD!$A$3:$A$5001,"&lt;="&amp;$B155,BD!$M$3:$M$5001,"&lt;&gt;"))))</f>
        <v/>
      </c>
      <c r="V155" s="43" t="str">
        <f>IF(OR($B155="",$A155&gt;$B$9,V$149=""),"",IF(COUNTIFS(BD!$B$3:$B$5001,V$149,BD!$A$3:$A$5001,"&gt;="&amp;$C$7,BD!$A$3:$A$5001,"&lt;="&amp;$B155,BD!$M$3:$M$5001,"&lt;&gt;")=0,"",SUMIFS(BD!$M$3:$M$5001,BD!$B$3:$B$5001,V$149,BD!$A$3:$A$5001,_xlfn.MAXIFS(BD!$A$3:$A$5001,BD!$B$3:$B$5001,V$149,BD!$A$3:$A$5001,"&gt;="&amp;$C$7,BD!$A$3:$A$5001,"&lt;="&amp;$B155,BD!$M$3:$M$5001,"&lt;&gt;"))))</f>
        <v/>
      </c>
    </row>
    <row r="156">
      <c r="A156" s="38">
        <v>7</v>
      </c>
      <c r="B156" s="42">
        <f>$B$18</f>
        <v>46302</v>
      </c>
      <c r="C156" s="43" t="str">
        <f>IF(OR($B156="",$A156&gt;$B$9,C$149=""),"",IF(COUNTIFS(BD!$B$3:$B$5001,C$149,BD!$A$3:$A$5001,"&gt;="&amp;$C$7,BD!$A$3:$A$5001,"&lt;="&amp;$B156,BD!$M$3:$M$5001,"&lt;&gt;")=0,"",SUMIFS(BD!$M$3:$M$5001,BD!$B$3:$B$5001,C$149,BD!$A$3:$A$5001,_xlfn.MAXIFS(BD!$A$3:$A$5001,BD!$B$3:$B$5001,C$149,BD!$A$3:$A$5001,"&gt;="&amp;$C$7,BD!$A$3:$A$5001,"&lt;="&amp;$B156,BD!$M$3:$M$5001,"&lt;&gt;"))))</f>
        <v/>
      </c>
      <c r="D156" s="43" t="str">
        <f>IF(OR($B156="",$A156&gt;$B$9,D$149=""),"",IF(COUNTIFS(BD!$B$3:$B$5001,D$149,BD!$A$3:$A$5001,"&gt;="&amp;$C$7,BD!$A$3:$A$5001,"&lt;="&amp;$B156,BD!$M$3:$M$5001,"&lt;&gt;")=0,"",SUMIFS(BD!$M$3:$M$5001,BD!$B$3:$B$5001,D$149,BD!$A$3:$A$5001,_xlfn.MAXIFS(BD!$A$3:$A$5001,BD!$B$3:$B$5001,D$149,BD!$A$3:$A$5001,"&gt;="&amp;$C$7,BD!$A$3:$A$5001,"&lt;="&amp;$B156,BD!$M$3:$M$5001,"&lt;&gt;"))))</f>
        <v/>
      </c>
      <c r="E156" s="43" t="str">
        <f>IF(OR($B156="",$A156&gt;$B$9,E$149=""),"",IF(COUNTIFS(BD!$B$3:$B$5001,E$149,BD!$A$3:$A$5001,"&gt;="&amp;$C$7,BD!$A$3:$A$5001,"&lt;="&amp;$B156,BD!$M$3:$M$5001,"&lt;&gt;")=0,"",SUMIFS(BD!$M$3:$M$5001,BD!$B$3:$B$5001,E$149,BD!$A$3:$A$5001,_xlfn.MAXIFS(BD!$A$3:$A$5001,BD!$B$3:$B$5001,E$149,BD!$A$3:$A$5001,"&gt;="&amp;$C$7,BD!$A$3:$A$5001,"&lt;="&amp;$B156,BD!$M$3:$M$5001,"&lt;&gt;"))))</f>
        <v/>
      </c>
      <c r="F156" s="43" t="str">
        <f>IF(OR($B156="",$A156&gt;$B$9,F$149=""),"",IF(COUNTIFS(BD!$B$3:$B$5001,F$149,BD!$A$3:$A$5001,"&gt;="&amp;$C$7,BD!$A$3:$A$5001,"&lt;="&amp;$B156,BD!$M$3:$M$5001,"&lt;&gt;")=0,"",SUMIFS(BD!$M$3:$M$5001,BD!$B$3:$B$5001,F$149,BD!$A$3:$A$5001,_xlfn.MAXIFS(BD!$A$3:$A$5001,BD!$B$3:$B$5001,F$149,BD!$A$3:$A$5001,"&gt;="&amp;$C$7,BD!$A$3:$A$5001,"&lt;="&amp;$B156,BD!$M$3:$M$5001,"&lt;&gt;"))))</f>
        <v/>
      </c>
      <c r="G156" s="43" t="str">
        <f>IF(OR($B156="",$A156&gt;$B$9,G$149=""),"",IF(COUNTIFS(BD!$B$3:$B$5001,G$149,BD!$A$3:$A$5001,"&gt;="&amp;$C$7,BD!$A$3:$A$5001,"&lt;="&amp;$B156,BD!$M$3:$M$5001,"&lt;&gt;")=0,"",SUMIFS(BD!$M$3:$M$5001,BD!$B$3:$B$5001,G$149,BD!$A$3:$A$5001,_xlfn.MAXIFS(BD!$A$3:$A$5001,BD!$B$3:$B$5001,G$149,BD!$A$3:$A$5001,"&gt;="&amp;$C$7,BD!$A$3:$A$5001,"&lt;="&amp;$B156,BD!$M$3:$M$5001,"&lt;&gt;"))))</f>
        <v/>
      </c>
      <c r="H156" s="43" t="str">
        <f>IF(OR($B156="",$A156&gt;$B$9,H$149=""),"",IF(COUNTIFS(BD!$B$3:$B$5001,H$149,BD!$A$3:$A$5001,"&gt;="&amp;$C$7,BD!$A$3:$A$5001,"&lt;="&amp;$B156,BD!$M$3:$M$5001,"&lt;&gt;")=0,"",SUMIFS(BD!$M$3:$M$5001,BD!$B$3:$B$5001,H$149,BD!$A$3:$A$5001,_xlfn.MAXIFS(BD!$A$3:$A$5001,BD!$B$3:$B$5001,H$149,BD!$A$3:$A$5001,"&gt;="&amp;$C$7,BD!$A$3:$A$5001,"&lt;="&amp;$B156,BD!$M$3:$M$5001,"&lt;&gt;"))))</f>
        <v/>
      </c>
      <c r="I156" s="43" t="str">
        <f>IF(OR($B156="",$A156&gt;$B$9,I$149=""),"",IF(COUNTIFS(BD!$B$3:$B$5001,I$149,BD!$A$3:$A$5001,"&gt;="&amp;$C$7,BD!$A$3:$A$5001,"&lt;="&amp;$B156,BD!$M$3:$M$5001,"&lt;&gt;")=0,"",SUMIFS(BD!$M$3:$M$5001,BD!$B$3:$B$5001,I$149,BD!$A$3:$A$5001,_xlfn.MAXIFS(BD!$A$3:$A$5001,BD!$B$3:$B$5001,I$149,BD!$A$3:$A$5001,"&gt;="&amp;$C$7,BD!$A$3:$A$5001,"&lt;="&amp;$B156,BD!$M$3:$M$5001,"&lt;&gt;"))))</f>
        <v/>
      </c>
      <c r="J156" s="43" t="str">
        <f>IF(OR($B156="",$A156&gt;$B$9,J$149=""),"",IF(COUNTIFS(BD!$B$3:$B$5001,J$149,BD!$A$3:$A$5001,"&gt;="&amp;$C$7,BD!$A$3:$A$5001,"&lt;="&amp;$B156,BD!$M$3:$M$5001,"&lt;&gt;")=0,"",SUMIFS(BD!$M$3:$M$5001,BD!$B$3:$B$5001,J$149,BD!$A$3:$A$5001,_xlfn.MAXIFS(BD!$A$3:$A$5001,BD!$B$3:$B$5001,J$149,BD!$A$3:$A$5001,"&gt;="&amp;$C$7,BD!$A$3:$A$5001,"&lt;="&amp;$B156,BD!$M$3:$M$5001,"&lt;&gt;"))))</f>
        <v/>
      </c>
      <c r="K156" s="43" t="str">
        <f>IF(OR($B156="",$A156&gt;$B$9,K$149=""),"",IF(COUNTIFS(BD!$B$3:$B$5001,K$149,BD!$A$3:$A$5001,"&gt;="&amp;$C$7,BD!$A$3:$A$5001,"&lt;="&amp;$B156,BD!$M$3:$M$5001,"&lt;&gt;")=0,"",SUMIFS(BD!$M$3:$M$5001,BD!$B$3:$B$5001,K$149,BD!$A$3:$A$5001,_xlfn.MAXIFS(BD!$A$3:$A$5001,BD!$B$3:$B$5001,K$149,BD!$A$3:$A$5001,"&gt;="&amp;$C$7,BD!$A$3:$A$5001,"&lt;="&amp;$B156,BD!$M$3:$M$5001,"&lt;&gt;"))))</f>
        <v/>
      </c>
      <c r="L156" s="43" t="str">
        <f>IF(OR($B156="",$A156&gt;$B$9,L$149=""),"",IF(COUNTIFS(BD!$B$3:$B$5001,L$149,BD!$A$3:$A$5001,"&gt;="&amp;$C$7,BD!$A$3:$A$5001,"&lt;="&amp;$B156,BD!$M$3:$M$5001,"&lt;&gt;")=0,"",SUMIFS(BD!$M$3:$M$5001,BD!$B$3:$B$5001,L$149,BD!$A$3:$A$5001,_xlfn.MAXIFS(BD!$A$3:$A$5001,BD!$B$3:$B$5001,L$149,BD!$A$3:$A$5001,"&gt;="&amp;$C$7,BD!$A$3:$A$5001,"&lt;="&amp;$B156,BD!$M$3:$M$5001,"&lt;&gt;"))))</f>
        <v/>
      </c>
      <c r="M156" s="43" t="str">
        <f>IF(OR($B156="",$A156&gt;$B$9,M$149=""),"",IF(COUNTIFS(BD!$B$3:$B$5001,M$149,BD!$A$3:$A$5001,"&gt;="&amp;$C$7,BD!$A$3:$A$5001,"&lt;="&amp;$B156,BD!$M$3:$M$5001,"&lt;&gt;")=0,"",SUMIFS(BD!$M$3:$M$5001,BD!$B$3:$B$5001,M$149,BD!$A$3:$A$5001,_xlfn.MAXIFS(BD!$A$3:$A$5001,BD!$B$3:$B$5001,M$149,BD!$A$3:$A$5001,"&gt;="&amp;$C$7,BD!$A$3:$A$5001,"&lt;="&amp;$B156,BD!$M$3:$M$5001,"&lt;&gt;"))))</f>
        <v/>
      </c>
      <c r="N156" s="43" t="str">
        <f>IF(OR($B156="",$A156&gt;$B$9,N$149=""),"",IF(COUNTIFS(BD!$B$3:$B$5001,N$149,BD!$A$3:$A$5001,"&gt;="&amp;$C$7,BD!$A$3:$A$5001,"&lt;="&amp;$B156,BD!$M$3:$M$5001,"&lt;&gt;")=0,"",SUMIFS(BD!$M$3:$M$5001,BD!$B$3:$B$5001,N$149,BD!$A$3:$A$5001,_xlfn.MAXIFS(BD!$A$3:$A$5001,BD!$B$3:$B$5001,N$149,BD!$A$3:$A$5001,"&gt;="&amp;$C$7,BD!$A$3:$A$5001,"&lt;="&amp;$B156,BD!$M$3:$M$5001,"&lt;&gt;"))))</f>
        <v/>
      </c>
      <c r="O156" s="43" t="str">
        <f>IF(OR($B156="",$A156&gt;$B$9,O$149=""),"",IF(COUNTIFS(BD!$B$3:$B$5001,O$149,BD!$A$3:$A$5001,"&gt;="&amp;$C$7,BD!$A$3:$A$5001,"&lt;="&amp;$B156,BD!$M$3:$M$5001,"&lt;&gt;")=0,"",SUMIFS(BD!$M$3:$M$5001,BD!$B$3:$B$5001,O$149,BD!$A$3:$A$5001,_xlfn.MAXIFS(BD!$A$3:$A$5001,BD!$B$3:$B$5001,O$149,BD!$A$3:$A$5001,"&gt;="&amp;$C$7,BD!$A$3:$A$5001,"&lt;="&amp;$B156,BD!$M$3:$M$5001,"&lt;&gt;"))))</f>
        <v/>
      </c>
      <c r="P156" s="43" t="str">
        <f>IF(OR($B156="",$A156&gt;$B$9,P$149=""),"",IF(COUNTIFS(BD!$B$3:$B$5001,P$149,BD!$A$3:$A$5001,"&gt;="&amp;$C$7,BD!$A$3:$A$5001,"&lt;="&amp;$B156,BD!$M$3:$M$5001,"&lt;&gt;")=0,"",SUMIFS(BD!$M$3:$M$5001,BD!$B$3:$B$5001,P$149,BD!$A$3:$A$5001,_xlfn.MAXIFS(BD!$A$3:$A$5001,BD!$B$3:$B$5001,P$149,BD!$A$3:$A$5001,"&gt;="&amp;$C$7,BD!$A$3:$A$5001,"&lt;="&amp;$B156,BD!$M$3:$M$5001,"&lt;&gt;"))))</f>
        <v/>
      </c>
      <c r="Q156" s="43" t="str">
        <f>IF(OR($B156="",$A156&gt;$B$9,Q$149=""),"",IF(COUNTIFS(BD!$B$3:$B$5001,Q$149,BD!$A$3:$A$5001,"&gt;="&amp;$C$7,BD!$A$3:$A$5001,"&lt;="&amp;$B156,BD!$M$3:$M$5001,"&lt;&gt;")=0,"",SUMIFS(BD!$M$3:$M$5001,BD!$B$3:$B$5001,Q$149,BD!$A$3:$A$5001,_xlfn.MAXIFS(BD!$A$3:$A$5001,BD!$B$3:$B$5001,Q$149,BD!$A$3:$A$5001,"&gt;="&amp;$C$7,BD!$A$3:$A$5001,"&lt;="&amp;$B156,BD!$M$3:$M$5001,"&lt;&gt;"))))</f>
        <v/>
      </c>
      <c r="R156" s="43" t="str">
        <f>IF(OR($B156="",$A156&gt;$B$9,R$149=""),"",IF(COUNTIFS(BD!$B$3:$B$5001,R$149,BD!$A$3:$A$5001,"&gt;="&amp;$C$7,BD!$A$3:$A$5001,"&lt;="&amp;$B156,BD!$M$3:$M$5001,"&lt;&gt;")=0,"",SUMIFS(BD!$M$3:$M$5001,BD!$B$3:$B$5001,R$149,BD!$A$3:$A$5001,_xlfn.MAXIFS(BD!$A$3:$A$5001,BD!$B$3:$B$5001,R$149,BD!$A$3:$A$5001,"&gt;="&amp;$C$7,BD!$A$3:$A$5001,"&lt;="&amp;$B156,BD!$M$3:$M$5001,"&lt;&gt;"))))</f>
        <v/>
      </c>
      <c r="S156" s="43" t="str">
        <f>IF(OR($B156="",$A156&gt;$B$9,S$149=""),"",IF(COUNTIFS(BD!$B$3:$B$5001,S$149,BD!$A$3:$A$5001,"&gt;="&amp;$C$7,BD!$A$3:$A$5001,"&lt;="&amp;$B156,BD!$M$3:$M$5001,"&lt;&gt;")=0,"",SUMIFS(BD!$M$3:$M$5001,BD!$B$3:$B$5001,S$149,BD!$A$3:$A$5001,_xlfn.MAXIFS(BD!$A$3:$A$5001,BD!$B$3:$B$5001,S$149,BD!$A$3:$A$5001,"&gt;="&amp;$C$7,BD!$A$3:$A$5001,"&lt;="&amp;$B156,BD!$M$3:$M$5001,"&lt;&gt;"))))</f>
        <v/>
      </c>
      <c r="T156" s="43" t="str">
        <f>IF(OR($B156="",$A156&gt;$B$9,T$149=""),"",IF(COUNTIFS(BD!$B$3:$B$5001,T$149,BD!$A$3:$A$5001,"&gt;="&amp;$C$7,BD!$A$3:$A$5001,"&lt;="&amp;$B156,BD!$M$3:$M$5001,"&lt;&gt;")=0,"",SUMIFS(BD!$M$3:$M$5001,BD!$B$3:$B$5001,T$149,BD!$A$3:$A$5001,_xlfn.MAXIFS(BD!$A$3:$A$5001,BD!$B$3:$B$5001,T$149,BD!$A$3:$A$5001,"&gt;="&amp;$C$7,BD!$A$3:$A$5001,"&lt;="&amp;$B156,BD!$M$3:$M$5001,"&lt;&gt;"))))</f>
        <v/>
      </c>
      <c r="U156" s="43" t="str">
        <f>IF(OR($B156="",$A156&gt;$B$9,U$149=""),"",IF(COUNTIFS(BD!$B$3:$B$5001,U$149,BD!$A$3:$A$5001,"&gt;="&amp;$C$7,BD!$A$3:$A$5001,"&lt;="&amp;$B156,BD!$M$3:$M$5001,"&lt;&gt;")=0,"",SUMIFS(BD!$M$3:$M$5001,BD!$B$3:$B$5001,U$149,BD!$A$3:$A$5001,_xlfn.MAXIFS(BD!$A$3:$A$5001,BD!$B$3:$B$5001,U$149,BD!$A$3:$A$5001,"&gt;="&amp;$C$7,BD!$A$3:$A$5001,"&lt;="&amp;$B156,BD!$M$3:$M$5001,"&lt;&gt;"))))</f>
        <v/>
      </c>
      <c r="V156" s="43" t="str">
        <f>IF(OR($B156="",$A156&gt;$B$9,V$149=""),"",IF(COUNTIFS(BD!$B$3:$B$5001,V$149,BD!$A$3:$A$5001,"&gt;="&amp;$C$7,BD!$A$3:$A$5001,"&lt;="&amp;$B156,BD!$M$3:$M$5001,"&lt;&gt;")=0,"",SUMIFS(BD!$M$3:$M$5001,BD!$B$3:$B$5001,V$149,BD!$A$3:$A$5001,_xlfn.MAXIFS(BD!$A$3:$A$5001,BD!$B$3:$B$5001,V$149,BD!$A$3:$A$5001,"&gt;="&amp;$C$7,BD!$A$3:$A$5001,"&lt;="&amp;$B156,BD!$M$3:$M$5001,"&lt;&gt;"))))</f>
        <v/>
      </c>
    </row>
    <row r="157">
      <c r="A157" s="38">
        <v>8</v>
      </c>
      <c r="B157" s="42">
        <f>$B$19</f>
        <v>46303</v>
      </c>
      <c r="C157" s="43" t="str">
        <f>IF(OR($B157="",$A157&gt;$B$9,C$149=""),"",IF(COUNTIFS(BD!$B$3:$B$5001,C$149,BD!$A$3:$A$5001,"&gt;="&amp;$C$7,BD!$A$3:$A$5001,"&lt;="&amp;$B157,BD!$M$3:$M$5001,"&lt;&gt;")=0,"",SUMIFS(BD!$M$3:$M$5001,BD!$B$3:$B$5001,C$149,BD!$A$3:$A$5001,_xlfn.MAXIFS(BD!$A$3:$A$5001,BD!$B$3:$B$5001,C$149,BD!$A$3:$A$5001,"&gt;="&amp;$C$7,BD!$A$3:$A$5001,"&lt;="&amp;$B157,BD!$M$3:$M$5001,"&lt;&gt;"))))</f>
        <v/>
      </c>
      <c r="D157" s="43" t="str">
        <f>IF(OR($B157="",$A157&gt;$B$9,D$149=""),"",IF(COUNTIFS(BD!$B$3:$B$5001,D$149,BD!$A$3:$A$5001,"&gt;="&amp;$C$7,BD!$A$3:$A$5001,"&lt;="&amp;$B157,BD!$M$3:$M$5001,"&lt;&gt;")=0,"",SUMIFS(BD!$M$3:$M$5001,BD!$B$3:$B$5001,D$149,BD!$A$3:$A$5001,_xlfn.MAXIFS(BD!$A$3:$A$5001,BD!$B$3:$B$5001,D$149,BD!$A$3:$A$5001,"&gt;="&amp;$C$7,BD!$A$3:$A$5001,"&lt;="&amp;$B157,BD!$M$3:$M$5001,"&lt;&gt;"))))</f>
        <v/>
      </c>
      <c r="E157" s="43" t="str">
        <f>IF(OR($B157="",$A157&gt;$B$9,E$149=""),"",IF(COUNTIFS(BD!$B$3:$B$5001,E$149,BD!$A$3:$A$5001,"&gt;="&amp;$C$7,BD!$A$3:$A$5001,"&lt;="&amp;$B157,BD!$M$3:$M$5001,"&lt;&gt;")=0,"",SUMIFS(BD!$M$3:$M$5001,BD!$B$3:$B$5001,E$149,BD!$A$3:$A$5001,_xlfn.MAXIFS(BD!$A$3:$A$5001,BD!$B$3:$B$5001,E$149,BD!$A$3:$A$5001,"&gt;="&amp;$C$7,BD!$A$3:$A$5001,"&lt;="&amp;$B157,BD!$M$3:$M$5001,"&lt;&gt;"))))</f>
        <v/>
      </c>
      <c r="F157" s="43" t="str">
        <f>IF(OR($B157="",$A157&gt;$B$9,F$149=""),"",IF(COUNTIFS(BD!$B$3:$B$5001,F$149,BD!$A$3:$A$5001,"&gt;="&amp;$C$7,BD!$A$3:$A$5001,"&lt;="&amp;$B157,BD!$M$3:$M$5001,"&lt;&gt;")=0,"",SUMIFS(BD!$M$3:$M$5001,BD!$B$3:$B$5001,F$149,BD!$A$3:$A$5001,_xlfn.MAXIFS(BD!$A$3:$A$5001,BD!$B$3:$B$5001,F$149,BD!$A$3:$A$5001,"&gt;="&amp;$C$7,BD!$A$3:$A$5001,"&lt;="&amp;$B157,BD!$M$3:$M$5001,"&lt;&gt;"))))</f>
        <v/>
      </c>
      <c r="G157" s="43" t="str">
        <f>IF(OR($B157="",$A157&gt;$B$9,G$149=""),"",IF(COUNTIFS(BD!$B$3:$B$5001,G$149,BD!$A$3:$A$5001,"&gt;="&amp;$C$7,BD!$A$3:$A$5001,"&lt;="&amp;$B157,BD!$M$3:$M$5001,"&lt;&gt;")=0,"",SUMIFS(BD!$M$3:$M$5001,BD!$B$3:$B$5001,G$149,BD!$A$3:$A$5001,_xlfn.MAXIFS(BD!$A$3:$A$5001,BD!$B$3:$B$5001,G$149,BD!$A$3:$A$5001,"&gt;="&amp;$C$7,BD!$A$3:$A$5001,"&lt;="&amp;$B157,BD!$M$3:$M$5001,"&lt;&gt;"))))</f>
        <v/>
      </c>
      <c r="H157" s="43" t="str">
        <f>IF(OR($B157="",$A157&gt;$B$9,H$149=""),"",IF(COUNTIFS(BD!$B$3:$B$5001,H$149,BD!$A$3:$A$5001,"&gt;="&amp;$C$7,BD!$A$3:$A$5001,"&lt;="&amp;$B157,BD!$M$3:$M$5001,"&lt;&gt;")=0,"",SUMIFS(BD!$M$3:$M$5001,BD!$B$3:$B$5001,H$149,BD!$A$3:$A$5001,_xlfn.MAXIFS(BD!$A$3:$A$5001,BD!$B$3:$B$5001,H$149,BD!$A$3:$A$5001,"&gt;="&amp;$C$7,BD!$A$3:$A$5001,"&lt;="&amp;$B157,BD!$M$3:$M$5001,"&lt;&gt;"))))</f>
        <v/>
      </c>
      <c r="I157" s="43" t="str">
        <f>IF(OR($B157="",$A157&gt;$B$9,I$149=""),"",IF(COUNTIFS(BD!$B$3:$B$5001,I$149,BD!$A$3:$A$5001,"&gt;="&amp;$C$7,BD!$A$3:$A$5001,"&lt;="&amp;$B157,BD!$M$3:$M$5001,"&lt;&gt;")=0,"",SUMIFS(BD!$M$3:$M$5001,BD!$B$3:$B$5001,I$149,BD!$A$3:$A$5001,_xlfn.MAXIFS(BD!$A$3:$A$5001,BD!$B$3:$B$5001,I$149,BD!$A$3:$A$5001,"&gt;="&amp;$C$7,BD!$A$3:$A$5001,"&lt;="&amp;$B157,BD!$M$3:$M$5001,"&lt;&gt;"))))</f>
        <v/>
      </c>
      <c r="J157" s="43" t="str">
        <f>IF(OR($B157="",$A157&gt;$B$9,J$149=""),"",IF(COUNTIFS(BD!$B$3:$B$5001,J$149,BD!$A$3:$A$5001,"&gt;="&amp;$C$7,BD!$A$3:$A$5001,"&lt;="&amp;$B157,BD!$M$3:$M$5001,"&lt;&gt;")=0,"",SUMIFS(BD!$M$3:$M$5001,BD!$B$3:$B$5001,J$149,BD!$A$3:$A$5001,_xlfn.MAXIFS(BD!$A$3:$A$5001,BD!$B$3:$B$5001,J$149,BD!$A$3:$A$5001,"&gt;="&amp;$C$7,BD!$A$3:$A$5001,"&lt;="&amp;$B157,BD!$M$3:$M$5001,"&lt;&gt;"))))</f>
        <v/>
      </c>
      <c r="K157" s="43" t="str">
        <f>IF(OR($B157="",$A157&gt;$B$9,K$149=""),"",IF(COUNTIFS(BD!$B$3:$B$5001,K$149,BD!$A$3:$A$5001,"&gt;="&amp;$C$7,BD!$A$3:$A$5001,"&lt;="&amp;$B157,BD!$M$3:$M$5001,"&lt;&gt;")=0,"",SUMIFS(BD!$M$3:$M$5001,BD!$B$3:$B$5001,K$149,BD!$A$3:$A$5001,_xlfn.MAXIFS(BD!$A$3:$A$5001,BD!$B$3:$B$5001,K$149,BD!$A$3:$A$5001,"&gt;="&amp;$C$7,BD!$A$3:$A$5001,"&lt;="&amp;$B157,BD!$M$3:$M$5001,"&lt;&gt;"))))</f>
        <v/>
      </c>
      <c r="L157" s="43" t="str">
        <f>IF(OR($B157="",$A157&gt;$B$9,L$149=""),"",IF(COUNTIFS(BD!$B$3:$B$5001,L$149,BD!$A$3:$A$5001,"&gt;="&amp;$C$7,BD!$A$3:$A$5001,"&lt;="&amp;$B157,BD!$M$3:$M$5001,"&lt;&gt;")=0,"",SUMIFS(BD!$M$3:$M$5001,BD!$B$3:$B$5001,L$149,BD!$A$3:$A$5001,_xlfn.MAXIFS(BD!$A$3:$A$5001,BD!$B$3:$B$5001,L$149,BD!$A$3:$A$5001,"&gt;="&amp;$C$7,BD!$A$3:$A$5001,"&lt;="&amp;$B157,BD!$M$3:$M$5001,"&lt;&gt;"))))</f>
        <v/>
      </c>
      <c r="M157" s="43" t="str">
        <f>IF(OR($B157="",$A157&gt;$B$9,M$149=""),"",IF(COUNTIFS(BD!$B$3:$B$5001,M$149,BD!$A$3:$A$5001,"&gt;="&amp;$C$7,BD!$A$3:$A$5001,"&lt;="&amp;$B157,BD!$M$3:$M$5001,"&lt;&gt;")=0,"",SUMIFS(BD!$M$3:$M$5001,BD!$B$3:$B$5001,M$149,BD!$A$3:$A$5001,_xlfn.MAXIFS(BD!$A$3:$A$5001,BD!$B$3:$B$5001,M$149,BD!$A$3:$A$5001,"&gt;="&amp;$C$7,BD!$A$3:$A$5001,"&lt;="&amp;$B157,BD!$M$3:$M$5001,"&lt;&gt;"))))</f>
        <v/>
      </c>
      <c r="N157" s="43" t="str">
        <f>IF(OR($B157="",$A157&gt;$B$9,N$149=""),"",IF(COUNTIFS(BD!$B$3:$B$5001,N$149,BD!$A$3:$A$5001,"&gt;="&amp;$C$7,BD!$A$3:$A$5001,"&lt;="&amp;$B157,BD!$M$3:$M$5001,"&lt;&gt;")=0,"",SUMIFS(BD!$M$3:$M$5001,BD!$B$3:$B$5001,N$149,BD!$A$3:$A$5001,_xlfn.MAXIFS(BD!$A$3:$A$5001,BD!$B$3:$B$5001,N$149,BD!$A$3:$A$5001,"&gt;="&amp;$C$7,BD!$A$3:$A$5001,"&lt;="&amp;$B157,BD!$M$3:$M$5001,"&lt;&gt;"))))</f>
        <v/>
      </c>
      <c r="O157" s="43" t="str">
        <f>IF(OR($B157="",$A157&gt;$B$9,O$149=""),"",IF(COUNTIFS(BD!$B$3:$B$5001,O$149,BD!$A$3:$A$5001,"&gt;="&amp;$C$7,BD!$A$3:$A$5001,"&lt;="&amp;$B157,BD!$M$3:$M$5001,"&lt;&gt;")=0,"",SUMIFS(BD!$M$3:$M$5001,BD!$B$3:$B$5001,O$149,BD!$A$3:$A$5001,_xlfn.MAXIFS(BD!$A$3:$A$5001,BD!$B$3:$B$5001,O$149,BD!$A$3:$A$5001,"&gt;="&amp;$C$7,BD!$A$3:$A$5001,"&lt;="&amp;$B157,BD!$M$3:$M$5001,"&lt;&gt;"))))</f>
        <v/>
      </c>
      <c r="P157" s="43" t="str">
        <f>IF(OR($B157="",$A157&gt;$B$9,P$149=""),"",IF(COUNTIFS(BD!$B$3:$B$5001,P$149,BD!$A$3:$A$5001,"&gt;="&amp;$C$7,BD!$A$3:$A$5001,"&lt;="&amp;$B157,BD!$M$3:$M$5001,"&lt;&gt;")=0,"",SUMIFS(BD!$M$3:$M$5001,BD!$B$3:$B$5001,P$149,BD!$A$3:$A$5001,_xlfn.MAXIFS(BD!$A$3:$A$5001,BD!$B$3:$B$5001,P$149,BD!$A$3:$A$5001,"&gt;="&amp;$C$7,BD!$A$3:$A$5001,"&lt;="&amp;$B157,BD!$M$3:$M$5001,"&lt;&gt;"))))</f>
        <v/>
      </c>
      <c r="Q157" s="43" t="str">
        <f>IF(OR($B157="",$A157&gt;$B$9,Q$149=""),"",IF(COUNTIFS(BD!$B$3:$B$5001,Q$149,BD!$A$3:$A$5001,"&gt;="&amp;$C$7,BD!$A$3:$A$5001,"&lt;="&amp;$B157,BD!$M$3:$M$5001,"&lt;&gt;")=0,"",SUMIFS(BD!$M$3:$M$5001,BD!$B$3:$B$5001,Q$149,BD!$A$3:$A$5001,_xlfn.MAXIFS(BD!$A$3:$A$5001,BD!$B$3:$B$5001,Q$149,BD!$A$3:$A$5001,"&gt;="&amp;$C$7,BD!$A$3:$A$5001,"&lt;="&amp;$B157,BD!$M$3:$M$5001,"&lt;&gt;"))))</f>
        <v/>
      </c>
      <c r="R157" s="43" t="str">
        <f>IF(OR($B157="",$A157&gt;$B$9,R$149=""),"",IF(COUNTIFS(BD!$B$3:$B$5001,R$149,BD!$A$3:$A$5001,"&gt;="&amp;$C$7,BD!$A$3:$A$5001,"&lt;="&amp;$B157,BD!$M$3:$M$5001,"&lt;&gt;")=0,"",SUMIFS(BD!$M$3:$M$5001,BD!$B$3:$B$5001,R$149,BD!$A$3:$A$5001,_xlfn.MAXIFS(BD!$A$3:$A$5001,BD!$B$3:$B$5001,R$149,BD!$A$3:$A$5001,"&gt;="&amp;$C$7,BD!$A$3:$A$5001,"&lt;="&amp;$B157,BD!$M$3:$M$5001,"&lt;&gt;"))))</f>
        <v/>
      </c>
      <c r="S157" s="43" t="str">
        <f>IF(OR($B157="",$A157&gt;$B$9,S$149=""),"",IF(COUNTIFS(BD!$B$3:$B$5001,S$149,BD!$A$3:$A$5001,"&gt;="&amp;$C$7,BD!$A$3:$A$5001,"&lt;="&amp;$B157,BD!$M$3:$M$5001,"&lt;&gt;")=0,"",SUMIFS(BD!$M$3:$M$5001,BD!$B$3:$B$5001,S$149,BD!$A$3:$A$5001,_xlfn.MAXIFS(BD!$A$3:$A$5001,BD!$B$3:$B$5001,S$149,BD!$A$3:$A$5001,"&gt;="&amp;$C$7,BD!$A$3:$A$5001,"&lt;="&amp;$B157,BD!$M$3:$M$5001,"&lt;&gt;"))))</f>
        <v/>
      </c>
      <c r="T157" s="43" t="str">
        <f>IF(OR($B157="",$A157&gt;$B$9,T$149=""),"",IF(COUNTIFS(BD!$B$3:$B$5001,T$149,BD!$A$3:$A$5001,"&gt;="&amp;$C$7,BD!$A$3:$A$5001,"&lt;="&amp;$B157,BD!$M$3:$M$5001,"&lt;&gt;")=0,"",SUMIFS(BD!$M$3:$M$5001,BD!$B$3:$B$5001,T$149,BD!$A$3:$A$5001,_xlfn.MAXIFS(BD!$A$3:$A$5001,BD!$B$3:$B$5001,T$149,BD!$A$3:$A$5001,"&gt;="&amp;$C$7,BD!$A$3:$A$5001,"&lt;="&amp;$B157,BD!$M$3:$M$5001,"&lt;&gt;"))))</f>
        <v/>
      </c>
      <c r="U157" s="43" t="str">
        <f>IF(OR($B157="",$A157&gt;$B$9,U$149=""),"",IF(COUNTIFS(BD!$B$3:$B$5001,U$149,BD!$A$3:$A$5001,"&gt;="&amp;$C$7,BD!$A$3:$A$5001,"&lt;="&amp;$B157,BD!$M$3:$M$5001,"&lt;&gt;")=0,"",SUMIFS(BD!$M$3:$M$5001,BD!$B$3:$B$5001,U$149,BD!$A$3:$A$5001,_xlfn.MAXIFS(BD!$A$3:$A$5001,BD!$B$3:$B$5001,U$149,BD!$A$3:$A$5001,"&gt;="&amp;$C$7,BD!$A$3:$A$5001,"&lt;="&amp;$B157,BD!$M$3:$M$5001,"&lt;&gt;"))))</f>
        <v/>
      </c>
      <c r="V157" s="43" t="str">
        <f>IF(OR($B157="",$A157&gt;$B$9,V$149=""),"",IF(COUNTIFS(BD!$B$3:$B$5001,V$149,BD!$A$3:$A$5001,"&gt;="&amp;$C$7,BD!$A$3:$A$5001,"&lt;="&amp;$B157,BD!$M$3:$M$5001,"&lt;&gt;")=0,"",SUMIFS(BD!$M$3:$M$5001,BD!$B$3:$B$5001,V$149,BD!$A$3:$A$5001,_xlfn.MAXIFS(BD!$A$3:$A$5001,BD!$B$3:$B$5001,V$149,BD!$A$3:$A$5001,"&gt;="&amp;$C$7,BD!$A$3:$A$5001,"&lt;="&amp;$B157,BD!$M$3:$M$5001,"&lt;&gt;"))))</f>
        <v/>
      </c>
    </row>
    <row r="158">
      <c r="A158" s="38">
        <v>9</v>
      </c>
      <c r="B158" s="42">
        <f>$B$20</f>
        <v>46304</v>
      </c>
      <c r="C158" s="43" t="str">
        <f>IF(OR($B158="",$A158&gt;$B$9,C$149=""),"",IF(COUNTIFS(BD!$B$3:$B$5001,C$149,BD!$A$3:$A$5001,"&gt;="&amp;$C$7,BD!$A$3:$A$5001,"&lt;="&amp;$B158,BD!$M$3:$M$5001,"&lt;&gt;")=0,"",SUMIFS(BD!$M$3:$M$5001,BD!$B$3:$B$5001,C$149,BD!$A$3:$A$5001,_xlfn.MAXIFS(BD!$A$3:$A$5001,BD!$B$3:$B$5001,C$149,BD!$A$3:$A$5001,"&gt;="&amp;$C$7,BD!$A$3:$A$5001,"&lt;="&amp;$B158,BD!$M$3:$M$5001,"&lt;&gt;"))))</f>
        <v/>
      </c>
      <c r="D158" s="43" t="str">
        <f>IF(OR($B158="",$A158&gt;$B$9,D$149=""),"",IF(COUNTIFS(BD!$B$3:$B$5001,D$149,BD!$A$3:$A$5001,"&gt;="&amp;$C$7,BD!$A$3:$A$5001,"&lt;="&amp;$B158,BD!$M$3:$M$5001,"&lt;&gt;")=0,"",SUMIFS(BD!$M$3:$M$5001,BD!$B$3:$B$5001,D$149,BD!$A$3:$A$5001,_xlfn.MAXIFS(BD!$A$3:$A$5001,BD!$B$3:$B$5001,D$149,BD!$A$3:$A$5001,"&gt;="&amp;$C$7,BD!$A$3:$A$5001,"&lt;="&amp;$B158,BD!$M$3:$M$5001,"&lt;&gt;"))))</f>
        <v/>
      </c>
      <c r="E158" s="43" t="str">
        <f>IF(OR($B158="",$A158&gt;$B$9,E$149=""),"",IF(COUNTIFS(BD!$B$3:$B$5001,E$149,BD!$A$3:$A$5001,"&gt;="&amp;$C$7,BD!$A$3:$A$5001,"&lt;="&amp;$B158,BD!$M$3:$M$5001,"&lt;&gt;")=0,"",SUMIFS(BD!$M$3:$M$5001,BD!$B$3:$B$5001,E$149,BD!$A$3:$A$5001,_xlfn.MAXIFS(BD!$A$3:$A$5001,BD!$B$3:$B$5001,E$149,BD!$A$3:$A$5001,"&gt;="&amp;$C$7,BD!$A$3:$A$5001,"&lt;="&amp;$B158,BD!$M$3:$M$5001,"&lt;&gt;"))))</f>
        <v/>
      </c>
      <c r="F158" s="43" t="str">
        <f>IF(OR($B158="",$A158&gt;$B$9,F$149=""),"",IF(COUNTIFS(BD!$B$3:$B$5001,F$149,BD!$A$3:$A$5001,"&gt;="&amp;$C$7,BD!$A$3:$A$5001,"&lt;="&amp;$B158,BD!$M$3:$M$5001,"&lt;&gt;")=0,"",SUMIFS(BD!$M$3:$M$5001,BD!$B$3:$B$5001,F$149,BD!$A$3:$A$5001,_xlfn.MAXIFS(BD!$A$3:$A$5001,BD!$B$3:$B$5001,F$149,BD!$A$3:$A$5001,"&gt;="&amp;$C$7,BD!$A$3:$A$5001,"&lt;="&amp;$B158,BD!$M$3:$M$5001,"&lt;&gt;"))))</f>
        <v/>
      </c>
      <c r="G158" s="43" t="str">
        <f>IF(OR($B158="",$A158&gt;$B$9,G$149=""),"",IF(COUNTIFS(BD!$B$3:$B$5001,G$149,BD!$A$3:$A$5001,"&gt;="&amp;$C$7,BD!$A$3:$A$5001,"&lt;="&amp;$B158,BD!$M$3:$M$5001,"&lt;&gt;")=0,"",SUMIFS(BD!$M$3:$M$5001,BD!$B$3:$B$5001,G$149,BD!$A$3:$A$5001,_xlfn.MAXIFS(BD!$A$3:$A$5001,BD!$B$3:$B$5001,G$149,BD!$A$3:$A$5001,"&gt;="&amp;$C$7,BD!$A$3:$A$5001,"&lt;="&amp;$B158,BD!$M$3:$M$5001,"&lt;&gt;"))))</f>
        <v/>
      </c>
      <c r="H158" s="43" t="str">
        <f>IF(OR($B158="",$A158&gt;$B$9,H$149=""),"",IF(COUNTIFS(BD!$B$3:$B$5001,H$149,BD!$A$3:$A$5001,"&gt;="&amp;$C$7,BD!$A$3:$A$5001,"&lt;="&amp;$B158,BD!$M$3:$M$5001,"&lt;&gt;")=0,"",SUMIFS(BD!$M$3:$M$5001,BD!$B$3:$B$5001,H$149,BD!$A$3:$A$5001,_xlfn.MAXIFS(BD!$A$3:$A$5001,BD!$B$3:$B$5001,H$149,BD!$A$3:$A$5001,"&gt;="&amp;$C$7,BD!$A$3:$A$5001,"&lt;="&amp;$B158,BD!$M$3:$M$5001,"&lt;&gt;"))))</f>
        <v/>
      </c>
      <c r="I158" s="43" t="str">
        <f>IF(OR($B158="",$A158&gt;$B$9,I$149=""),"",IF(COUNTIFS(BD!$B$3:$B$5001,I$149,BD!$A$3:$A$5001,"&gt;="&amp;$C$7,BD!$A$3:$A$5001,"&lt;="&amp;$B158,BD!$M$3:$M$5001,"&lt;&gt;")=0,"",SUMIFS(BD!$M$3:$M$5001,BD!$B$3:$B$5001,I$149,BD!$A$3:$A$5001,_xlfn.MAXIFS(BD!$A$3:$A$5001,BD!$B$3:$B$5001,I$149,BD!$A$3:$A$5001,"&gt;="&amp;$C$7,BD!$A$3:$A$5001,"&lt;="&amp;$B158,BD!$M$3:$M$5001,"&lt;&gt;"))))</f>
        <v/>
      </c>
      <c r="J158" s="43" t="str">
        <f>IF(OR($B158="",$A158&gt;$B$9,J$149=""),"",IF(COUNTIFS(BD!$B$3:$B$5001,J$149,BD!$A$3:$A$5001,"&gt;="&amp;$C$7,BD!$A$3:$A$5001,"&lt;="&amp;$B158,BD!$M$3:$M$5001,"&lt;&gt;")=0,"",SUMIFS(BD!$M$3:$M$5001,BD!$B$3:$B$5001,J$149,BD!$A$3:$A$5001,_xlfn.MAXIFS(BD!$A$3:$A$5001,BD!$B$3:$B$5001,J$149,BD!$A$3:$A$5001,"&gt;="&amp;$C$7,BD!$A$3:$A$5001,"&lt;="&amp;$B158,BD!$M$3:$M$5001,"&lt;&gt;"))))</f>
        <v/>
      </c>
      <c r="K158" s="43" t="str">
        <f>IF(OR($B158="",$A158&gt;$B$9,K$149=""),"",IF(COUNTIFS(BD!$B$3:$B$5001,K$149,BD!$A$3:$A$5001,"&gt;="&amp;$C$7,BD!$A$3:$A$5001,"&lt;="&amp;$B158,BD!$M$3:$M$5001,"&lt;&gt;")=0,"",SUMIFS(BD!$M$3:$M$5001,BD!$B$3:$B$5001,K$149,BD!$A$3:$A$5001,_xlfn.MAXIFS(BD!$A$3:$A$5001,BD!$B$3:$B$5001,K$149,BD!$A$3:$A$5001,"&gt;="&amp;$C$7,BD!$A$3:$A$5001,"&lt;="&amp;$B158,BD!$M$3:$M$5001,"&lt;&gt;"))))</f>
        <v/>
      </c>
      <c r="L158" s="43" t="str">
        <f>IF(OR($B158="",$A158&gt;$B$9,L$149=""),"",IF(COUNTIFS(BD!$B$3:$B$5001,L$149,BD!$A$3:$A$5001,"&gt;="&amp;$C$7,BD!$A$3:$A$5001,"&lt;="&amp;$B158,BD!$M$3:$M$5001,"&lt;&gt;")=0,"",SUMIFS(BD!$M$3:$M$5001,BD!$B$3:$B$5001,L$149,BD!$A$3:$A$5001,_xlfn.MAXIFS(BD!$A$3:$A$5001,BD!$B$3:$B$5001,L$149,BD!$A$3:$A$5001,"&gt;="&amp;$C$7,BD!$A$3:$A$5001,"&lt;="&amp;$B158,BD!$M$3:$M$5001,"&lt;&gt;"))))</f>
        <v/>
      </c>
      <c r="M158" s="43" t="str">
        <f>IF(OR($B158="",$A158&gt;$B$9,M$149=""),"",IF(COUNTIFS(BD!$B$3:$B$5001,M$149,BD!$A$3:$A$5001,"&gt;="&amp;$C$7,BD!$A$3:$A$5001,"&lt;="&amp;$B158,BD!$M$3:$M$5001,"&lt;&gt;")=0,"",SUMIFS(BD!$M$3:$M$5001,BD!$B$3:$B$5001,M$149,BD!$A$3:$A$5001,_xlfn.MAXIFS(BD!$A$3:$A$5001,BD!$B$3:$B$5001,M$149,BD!$A$3:$A$5001,"&gt;="&amp;$C$7,BD!$A$3:$A$5001,"&lt;="&amp;$B158,BD!$M$3:$M$5001,"&lt;&gt;"))))</f>
        <v/>
      </c>
      <c r="N158" s="43" t="str">
        <f>IF(OR($B158="",$A158&gt;$B$9,N$149=""),"",IF(COUNTIFS(BD!$B$3:$B$5001,N$149,BD!$A$3:$A$5001,"&gt;="&amp;$C$7,BD!$A$3:$A$5001,"&lt;="&amp;$B158,BD!$M$3:$M$5001,"&lt;&gt;")=0,"",SUMIFS(BD!$M$3:$M$5001,BD!$B$3:$B$5001,N$149,BD!$A$3:$A$5001,_xlfn.MAXIFS(BD!$A$3:$A$5001,BD!$B$3:$B$5001,N$149,BD!$A$3:$A$5001,"&gt;="&amp;$C$7,BD!$A$3:$A$5001,"&lt;="&amp;$B158,BD!$M$3:$M$5001,"&lt;&gt;"))))</f>
        <v/>
      </c>
      <c r="O158" s="43" t="str">
        <f>IF(OR($B158="",$A158&gt;$B$9,O$149=""),"",IF(COUNTIFS(BD!$B$3:$B$5001,O$149,BD!$A$3:$A$5001,"&gt;="&amp;$C$7,BD!$A$3:$A$5001,"&lt;="&amp;$B158,BD!$M$3:$M$5001,"&lt;&gt;")=0,"",SUMIFS(BD!$M$3:$M$5001,BD!$B$3:$B$5001,O$149,BD!$A$3:$A$5001,_xlfn.MAXIFS(BD!$A$3:$A$5001,BD!$B$3:$B$5001,O$149,BD!$A$3:$A$5001,"&gt;="&amp;$C$7,BD!$A$3:$A$5001,"&lt;="&amp;$B158,BD!$M$3:$M$5001,"&lt;&gt;"))))</f>
        <v/>
      </c>
      <c r="P158" s="43" t="str">
        <f>IF(OR($B158="",$A158&gt;$B$9,P$149=""),"",IF(COUNTIFS(BD!$B$3:$B$5001,P$149,BD!$A$3:$A$5001,"&gt;="&amp;$C$7,BD!$A$3:$A$5001,"&lt;="&amp;$B158,BD!$M$3:$M$5001,"&lt;&gt;")=0,"",SUMIFS(BD!$M$3:$M$5001,BD!$B$3:$B$5001,P$149,BD!$A$3:$A$5001,_xlfn.MAXIFS(BD!$A$3:$A$5001,BD!$B$3:$B$5001,P$149,BD!$A$3:$A$5001,"&gt;="&amp;$C$7,BD!$A$3:$A$5001,"&lt;="&amp;$B158,BD!$M$3:$M$5001,"&lt;&gt;"))))</f>
        <v/>
      </c>
      <c r="Q158" s="43" t="str">
        <f>IF(OR($B158="",$A158&gt;$B$9,Q$149=""),"",IF(COUNTIFS(BD!$B$3:$B$5001,Q$149,BD!$A$3:$A$5001,"&gt;="&amp;$C$7,BD!$A$3:$A$5001,"&lt;="&amp;$B158,BD!$M$3:$M$5001,"&lt;&gt;")=0,"",SUMIFS(BD!$M$3:$M$5001,BD!$B$3:$B$5001,Q$149,BD!$A$3:$A$5001,_xlfn.MAXIFS(BD!$A$3:$A$5001,BD!$B$3:$B$5001,Q$149,BD!$A$3:$A$5001,"&gt;="&amp;$C$7,BD!$A$3:$A$5001,"&lt;="&amp;$B158,BD!$M$3:$M$5001,"&lt;&gt;"))))</f>
        <v/>
      </c>
      <c r="R158" s="43" t="str">
        <f>IF(OR($B158="",$A158&gt;$B$9,R$149=""),"",IF(COUNTIFS(BD!$B$3:$B$5001,R$149,BD!$A$3:$A$5001,"&gt;="&amp;$C$7,BD!$A$3:$A$5001,"&lt;="&amp;$B158,BD!$M$3:$M$5001,"&lt;&gt;")=0,"",SUMIFS(BD!$M$3:$M$5001,BD!$B$3:$B$5001,R$149,BD!$A$3:$A$5001,_xlfn.MAXIFS(BD!$A$3:$A$5001,BD!$B$3:$B$5001,R$149,BD!$A$3:$A$5001,"&gt;="&amp;$C$7,BD!$A$3:$A$5001,"&lt;="&amp;$B158,BD!$M$3:$M$5001,"&lt;&gt;"))))</f>
        <v/>
      </c>
      <c r="S158" s="43" t="str">
        <f>IF(OR($B158="",$A158&gt;$B$9,S$149=""),"",IF(COUNTIFS(BD!$B$3:$B$5001,S$149,BD!$A$3:$A$5001,"&gt;="&amp;$C$7,BD!$A$3:$A$5001,"&lt;="&amp;$B158,BD!$M$3:$M$5001,"&lt;&gt;")=0,"",SUMIFS(BD!$M$3:$M$5001,BD!$B$3:$B$5001,S$149,BD!$A$3:$A$5001,_xlfn.MAXIFS(BD!$A$3:$A$5001,BD!$B$3:$B$5001,S$149,BD!$A$3:$A$5001,"&gt;="&amp;$C$7,BD!$A$3:$A$5001,"&lt;="&amp;$B158,BD!$M$3:$M$5001,"&lt;&gt;"))))</f>
        <v/>
      </c>
      <c r="T158" s="43" t="str">
        <f>IF(OR($B158="",$A158&gt;$B$9,T$149=""),"",IF(COUNTIFS(BD!$B$3:$B$5001,T$149,BD!$A$3:$A$5001,"&gt;="&amp;$C$7,BD!$A$3:$A$5001,"&lt;="&amp;$B158,BD!$M$3:$M$5001,"&lt;&gt;")=0,"",SUMIFS(BD!$M$3:$M$5001,BD!$B$3:$B$5001,T$149,BD!$A$3:$A$5001,_xlfn.MAXIFS(BD!$A$3:$A$5001,BD!$B$3:$B$5001,T$149,BD!$A$3:$A$5001,"&gt;="&amp;$C$7,BD!$A$3:$A$5001,"&lt;="&amp;$B158,BD!$M$3:$M$5001,"&lt;&gt;"))))</f>
        <v/>
      </c>
      <c r="U158" s="43" t="str">
        <f>IF(OR($B158="",$A158&gt;$B$9,U$149=""),"",IF(COUNTIFS(BD!$B$3:$B$5001,U$149,BD!$A$3:$A$5001,"&gt;="&amp;$C$7,BD!$A$3:$A$5001,"&lt;="&amp;$B158,BD!$M$3:$M$5001,"&lt;&gt;")=0,"",SUMIFS(BD!$M$3:$M$5001,BD!$B$3:$B$5001,U$149,BD!$A$3:$A$5001,_xlfn.MAXIFS(BD!$A$3:$A$5001,BD!$B$3:$B$5001,U$149,BD!$A$3:$A$5001,"&gt;="&amp;$C$7,BD!$A$3:$A$5001,"&lt;="&amp;$B158,BD!$M$3:$M$5001,"&lt;&gt;"))))</f>
        <v/>
      </c>
      <c r="V158" s="43" t="str">
        <f>IF(OR($B158="",$A158&gt;$B$9,V$149=""),"",IF(COUNTIFS(BD!$B$3:$B$5001,V$149,BD!$A$3:$A$5001,"&gt;="&amp;$C$7,BD!$A$3:$A$5001,"&lt;="&amp;$B158,BD!$M$3:$M$5001,"&lt;&gt;")=0,"",SUMIFS(BD!$M$3:$M$5001,BD!$B$3:$B$5001,V$149,BD!$A$3:$A$5001,_xlfn.MAXIFS(BD!$A$3:$A$5001,BD!$B$3:$B$5001,V$149,BD!$A$3:$A$5001,"&gt;="&amp;$C$7,BD!$A$3:$A$5001,"&lt;="&amp;$B158,BD!$M$3:$M$5001,"&lt;&gt;"))))</f>
        <v/>
      </c>
    </row>
    <row r="159">
      <c r="A159" s="38">
        <v>10</v>
      </c>
      <c r="B159" s="42">
        <f>$B$21</f>
        <v>46305</v>
      </c>
      <c r="C159" s="43" t="str">
        <f>IF(OR($B159="",$A159&gt;$B$9,C$149=""),"",IF(COUNTIFS(BD!$B$3:$B$5001,C$149,BD!$A$3:$A$5001,"&gt;="&amp;$C$7,BD!$A$3:$A$5001,"&lt;="&amp;$B159,BD!$M$3:$M$5001,"&lt;&gt;")=0,"",SUMIFS(BD!$M$3:$M$5001,BD!$B$3:$B$5001,C$149,BD!$A$3:$A$5001,_xlfn.MAXIFS(BD!$A$3:$A$5001,BD!$B$3:$B$5001,C$149,BD!$A$3:$A$5001,"&gt;="&amp;$C$7,BD!$A$3:$A$5001,"&lt;="&amp;$B159,BD!$M$3:$M$5001,"&lt;&gt;"))))</f>
        <v/>
      </c>
      <c r="D159" s="43" t="str">
        <f>IF(OR($B159="",$A159&gt;$B$9,D$149=""),"",IF(COUNTIFS(BD!$B$3:$B$5001,D$149,BD!$A$3:$A$5001,"&gt;="&amp;$C$7,BD!$A$3:$A$5001,"&lt;="&amp;$B159,BD!$M$3:$M$5001,"&lt;&gt;")=0,"",SUMIFS(BD!$M$3:$M$5001,BD!$B$3:$B$5001,D$149,BD!$A$3:$A$5001,_xlfn.MAXIFS(BD!$A$3:$A$5001,BD!$B$3:$B$5001,D$149,BD!$A$3:$A$5001,"&gt;="&amp;$C$7,BD!$A$3:$A$5001,"&lt;="&amp;$B159,BD!$M$3:$M$5001,"&lt;&gt;"))))</f>
        <v/>
      </c>
      <c r="E159" s="43" t="str">
        <f>IF(OR($B159="",$A159&gt;$B$9,E$149=""),"",IF(COUNTIFS(BD!$B$3:$B$5001,E$149,BD!$A$3:$A$5001,"&gt;="&amp;$C$7,BD!$A$3:$A$5001,"&lt;="&amp;$B159,BD!$M$3:$M$5001,"&lt;&gt;")=0,"",SUMIFS(BD!$M$3:$M$5001,BD!$B$3:$B$5001,E$149,BD!$A$3:$A$5001,_xlfn.MAXIFS(BD!$A$3:$A$5001,BD!$B$3:$B$5001,E$149,BD!$A$3:$A$5001,"&gt;="&amp;$C$7,BD!$A$3:$A$5001,"&lt;="&amp;$B159,BD!$M$3:$M$5001,"&lt;&gt;"))))</f>
        <v/>
      </c>
      <c r="F159" s="43" t="str">
        <f>IF(OR($B159="",$A159&gt;$B$9,F$149=""),"",IF(COUNTIFS(BD!$B$3:$B$5001,F$149,BD!$A$3:$A$5001,"&gt;="&amp;$C$7,BD!$A$3:$A$5001,"&lt;="&amp;$B159,BD!$M$3:$M$5001,"&lt;&gt;")=0,"",SUMIFS(BD!$M$3:$M$5001,BD!$B$3:$B$5001,F$149,BD!$A$3:$A$5001,_xlfn.MAXIFS(BD!$A$3:$A$5001,BD!$B$3:$B$5001,F$149,BD!$A$3:$A$5001,"&gt;="&amp;$C$7,BD!$A$3:$A$5001,"&lt;="&amp;$B159,BD!$M$3:$M$5001,"&lt;&gt;"))))</f>
        <v/>
      </c>
      <c r="G159" s="43" t="str">
        <f>IF(OR($B159="",$A159&gt;$B$9,G$149=""),"",IF(COUNTIFS(BD!$B$3:$B$5001,G$149,BD!$A$3:$A$5001,"&gt;="&amp;$C$7,BD!$A$3:$A$5001,"&lt;="&amp;$B159,BD!$M$3:$M$5001,"&lt;&gt;")=0,"",SUMIFS(BD!$M$3:$M$5001,BD!$B$3:$B$5001,G$149,BD!$A$3:$A$5001,_xlfn.MAXIFS(BD!$A$3:$A$5001,BD!$B$3:$B$5001,G$149,BD!$A$3:$A$5001,"&gt;="&amp;$C$7,BD!$A$3:$A$5001,"&lt;="&amp;$B159,BD!$M$3:$M$5001,"&lt;&gt;"))))</f>
        <v/>
      </c>
      <c r="H159" s="43" t="str">
        <f>IF(OR($B159="",$A159&gt;$B$9,H$149=""),"",IF(COUNTIFS(BD!$B$3:$B$5001,H$149,BD!$A$3:$A$5001,"&gt;="&amp;$C$7,BD!$A$3:$A$5001,"&lt;="&amp;$B159,BD!$M$3:$M$5001,"&lt;&gt;")=0,"",SUMIFS(BD!$M$3:$M$5001,BD!$B$3:$B$5001,H$149,BD!$A$3:$A$5001,_xlfn.MAXIFS(BD!$A$3:$A$5001,BD!$B$3:$B$5001,H$149,BD!$A$3:$A$5001,"&gt;="&amp;$C$7,BD!$A$3:$A$5001,"&lt;="&amp;$B159,BD!$M$3:$M$5001,"&lt;&gt;"))))</f>
        <v/>
      </c>
      <c r="I159" s="43" t="str">
        <f>IF(OR($B159="",$A159&gt;$B$9,I$149=""),"",IF(COUNTIFS(BD!$B$3:$B$5001,I$149,BD!$A$3:$A$5001,"&gt;="&amp;$C$7,BD!$A$3:$A$5001,"&lt;="&amp;$B159,BD!$M$3:$M$5001,"&lt;&gt;")=0,"",SUMIFS(BD!$M$3:$M$5001,BD!$B$3:$B$5001,I$149,BD!$A$3:$A$5001,_xlfn.MAXIFS(BD!$A$3:$A$5001,BD!$B$3:$B$5001,I$149,BD!$A$3:$A$5001,"&gt;="&amp;$C$7,BD!$A$3:$A$5001,"&lt;="&amp;$B159,BD!$M$3:$M$5001,"&lt;&gt;"))))</f>
        <v/>
      </c>
      <c r="J159" s="43" t="str">
        <f>IF(OR($B159="",$A159&gt;$B$9,J$149=""),"",IF(COUNTIFS(BD!$B$3:$B$5001,J$149,BD!$A$3:$A$5001,"&gt;="&amp;$C$7,BD!$A$3:$A$5001,"&lt;="&amp;$B159,BD!$M$3:$M$5001,"&lt;&gt;")=0,"",SUMIFS(BD!$M$3:$M$5001,BD!$B$3:$B$5001,J$149,BD!$A$3:$A$5001,_xlfn.MAXIFS(BD!$A$3:$A$5001,BD!$B$3:$B$5001,J$149,BD!$A$3:$A$5001,"&gt;="&amp;$C$7,BD!$A$3:$A$5001,"&lt;="&amp;$B159,BD!$M$3:$M$5001,"&lt;&gt;"))))</f>
        <v/>
      </c>
      <c r="K159" s="43" t="str">
        <f>IF(OR($B159="",$A159&gt;$B$9,K$149=""),"",IF(COUNTIFS(BD!$B$3:$B$5001,K$149,BD!$A$3:$A$5001,"&gt;="&amp;$C$7,BD!$A$3:$A$5001,"&lt;="&amp;$B159,BD!$M$3:$M$5001,"&lt;&gt;")=0,"",SUMIFS(BD!$M$3:$M$5001,BD!$B$3:$B$5001,K$149,BD!$A$3:$A$5001,_xlfn.MAXIFS(BD!$A$3:$A$5001,BD!$B$3:$B$5001,K$149,BD!$A$3:$A$5001,"&gt;="&amp;$C$7,BD!$A$3:$A$5001,"&lt;="&amp;$B159,BD!$M$3:$M$5001,"&lt;&gt;"))))</f>
        <v/>
      </c>
      <c r="L159" s="43" t="str">
        <f>IF(OR($B159="",$A159&gt;$B$9,L$149=""),"",IF(COUNTIFS(BD!$B$3:$B$5001,L$149,BD!$A$3:$A$5001,"&gt;="&amp;$C$7,BD!$A$3:$A$5001,"&lt;="&amp;$B159,BD!$M$3:$M$5001,"&lt;&gt;")=0,"",SUMIFS(BD!$M$3:$M$5001,BD!$B$3:$B$5001,L$149,BD!$A$3:$A$5001,_xlfn.MAXIFS(BD!$A$3:$A$5001,BD!$B$3:$B$5001,L$149,BD!$A$3:$A$5001,"&gt;="&amp;$C$7,BD!$A$3:$A$5001,"&lt;="&amp;$B159,BD!$M$3:$M$5001,"&lt;&gt;"))))</f>
        <v/>
      </c>
      <c r="M159" s="43" t="str">
        <f>IF(OR($B159="",$A159&gt;$B$9,M$149=""),"",IF(COUNTIFS(BD!$B$3:$B$5001,M$149,BD!$A$3:$A$5001,"&gt;="&amp;$C$7,BD!$A$3:$A$5001,"&lt;="&amp;$B159,BD!$M$3:$M$5001,"&lt;&gt;")=0,"",SUMIFS(BD!$M$3:$M$5001,BD!$B$3:$B$5001,M$149,BD!$A$3:$A$5001,_xlfn.MAXIFS(BD!$A$3:$A$5001,BD!$B$3:$B$5001,M$149,BD!$A$3:$A$5001,"&gt;="&amp;$C$7,BD!$A$3:$A$5001,"&lt;="&amp;$B159,BD!$M$3:$M$5001,"&lt;&gt;"))))</f>
        <v/>
      </c>
      <c r="N159" s="43" t="str">
        <f>IF(OR($B159="",$A159&gt;$B$9,N$149=""),"",IF(COUNTIFS(BD!$B$3:$B$5001,N$149,BD!$A$3:$A$5001,"&gt;="&amp;$C$7,BD!$A$3:$A$5001,"&lt;="&amp;$B159,BD!$M$3:$M$5001,"&lt;&gt;")=0,"",SUMIFS(BD!$M$3:$M$5001,BD!$B$3:$B$5001,N$149,BD!$A$3:$A$5001,_xlfn.MAXIFS(BD!$A$3:$A$5001,BD!$B$3:$B$5001,N$149,BD!$A$3:$A$5001,"&gt;="&amp;$C$7,BD!$A$3:$A$5001,"&lt;="&amp;$B159,BD!$M$3:$M$5001,"&lt;&gt;"))))</f>
        <v/>
      </c>
      <c r="O159" s="43" t="str">
        <f>IF(OR($B159="",$A159&gt;$B$9,O$149=""),"",IF(COUNTIFS(BD!$B$3:$B$5001,O$149,BD!$A$3:$A$5001,"&gt;="&amp;$C$7,BD!$A$3:$A$5001,"&lt;="&amp;$B159,BD!$M$3:$M$5001,"&lt;&gt;")=0,"",SUMIFS(BD!$M$3:$M$5001,BD!$B$3:$B$5001,O$149,BD!$A$3:$A$5001,_xlfn.MAXIFS(BD!$A$3:$A$5001,BD!$B$3:$B$5001,O$149,BD!$A$3:$A$5001,"&gt;="&amp;$C$7,BD!$A$3:$A$5001,"&lt;="&amp;$B159,BD!$M$3:$M$5001,"&lt;&gt;"))))</f>
        <v/>
      </c>
      <c r="P159" s="43" t="str">
        <f>IF(OR($B159="",$A159&gt;$B$9,P$149=""),"",IF(COUNTIFS(BD!$B$3:$B$5001,P$149,BD!$A$3:$A$5001,"&gt;="&amp;$C$7,BD!$A$3:$A$5001,"&lt;="&amp;$B159,BD!$M$3:$M$5001,"&lt;&gt;")=0,"",SUMIFS(BD!$M$3:$M$5001,BD!$B$3:$B$5001,P$149,BD!$A$3:$A$5001,_xlfn.MAXIFS(BD!$A$3:$A$5001,BD!$B$3:$B$5001,P$149,BD!$A$3:$A$5001,"&gt;="&amp;$C$7,BD!$A$3:$A$5001,"&lt;="&amp;$B159,BD!$M$3:$M$5001,"&lt;&gt;"))))</f>
        <v/>
      </c>
      <c r="Q159" s="43" t="str">
        <f>IF(OR($B159="",$A159&gt;$B$9,Q$149=""),"",IF(COUNTIFS(BD!$B$3:$B$5001,Q$149,BD!$A$3:$A$5001,"&gt;="&amp;$C$7,BD!$A$3:$A$5001,"&lt;="&amp;$B159,BD!$M$3:$M$5001,"&lt;&gt;")=0,"",SUMIFS(BD!$M$3:$M$5001,BD!$B$3:$B$5001,Q$149,BD!$A$3:$A$5001,_xlfn.MAXIFS(BD!$A$3:$A$5001,BD!$B$3:$B$5001,Q$149,BD!$A$3:$A$5001,"&gt;="&amp;$C$7,BD!$A$3:$A$5001,"&lt;="&amp;$B159,BD!$M$3:$M$5001,"&lt;&gt;"))))</f>
        <v/>
      </c>
      <c r="R159" s="43" t="str">
        <f>IF(OR($B159="",$A159&gt;$B$9,R$149=""),"",IF(COUNTIFS(BD!$B$3:$B$5001,R$149,BD!$A$3:$A$5001,"&gt;="&amp;$C$7,BD!$A$3:$A$5001,"&lt;="&amp;$B159,BD!$M$3:$M$5001,"&lt;&gt;")=0,"",SUMIFS(BD!$M$3:$M$5001,BD!$B$3:$B$5001,R$149,BD!$A$3:$A$5001,_xlfn.MAXIFS(BD!$A$3:$A$5001,BD!$B$3:$B$5001,R$149,BD!$A$3:$A$5001,"&gt;="&amp;$C$7,BD!$A$3:$A$5001,"&lt;="&amp;$B159,BD!$M$3:$M$5001,"&lt;&gt;"))))</f>
        <v/>
      </c>
      <c r="S159" s="43" t="str">
        <f>IF(OR($B159="",$A159&gt;$B$9,S$149=""),"",IF(COUNTIFS(BD!$B$3:$B$5001,S$149,BD!$A$3:$A$5001,"&gt;="&amp;$C$7,BD!$A$3:$A$5001,"&lt;="&amp;$B159,BD!$M$3:$M$5001,"&lt;&gt;")=0,"",SUMIFS(BD!$M$3:$M$5001,BD!$B$3:$B$5001,S$149,BD!$A$3:$A$5001,_xlfn.MAXIFS(BD!$A$3:$A$5001,BD!$B$3:$B$5001,S$149,BD!$A$3:$A$5001,"&gt;="&amp;$C$7,BD!$A$3:$A$5001,"&lt;="&amp;$B159,BD!$M$3:$M$5001,"&lt;&gt;"))))</f>
        <v/>
      </c>
      <c r="T159" s="43" t="str">
        <f>IF(OR($B159="",$A159&gt;$B$9,T$149=""),"",IF(COUNTIFS(BD!$B$3:$B$5001,T$149,BD!$A$3:$A$5001,"&gt;="&amp;$C$7,BD!$A$3:$A$5001,"&lt;="&amp;$B159,BD!$M$3:$M$5001,"&lt;&gt;")=0,"",SUMIFS(BD!$M$3:$M$5001,BD!$B$3:$B$5001,T$149,BD!$A$3:$A$5001,_xlfn.MAXIFS(BD!$A$3:$A$5001,BD!$B$3:$B$5001,T$149,BD!$A$3:$A$5001,"&gt;="&amp;$C$7,BD!$A$3:$A$5001,"&lt;="&amp;$B159,BD!$M$3:$M$5001,"&lt;&gt;"))))</f>
        <v/>
      </c>
      <c r="U159" s="43" t="str">
        <f>IF(OR($B159="",$A159&gt;$B$9,U$149=""),"",IF(COUNTIFS(BD!$B$3:$B$5001,U$149,BD!$A$3:$A$5001,"&gt;="&amp;$C$7,BD!$A$3:$A$5001,"&lt;="&amp;$B159,BD!$M$3:$M$5001,"&lt;&gt;")=0,"",SUMIFS(BD!$M$3:$M$5001,BD!$B$3:$B$5001,U$149,BD!$A$3:$A$5001,_xlfn.MAXIFS(BD!$A$3:$A$5001,BD!$B$3:$B$5001,U$149,BD!$A$3:$A$5001,"&gt;="&amp;$C$7,BD!$A$3:$A$5001,"&lt;="&amp;$B159,BD!$M$3:$M$5001,"&lt;&gt;"))))</f>
        <v/>
      </c>
      <c r="V159" s="43" t="str">
        <f>IF(OR($B159="",$A159&gt;$B$9,V$149=""),"",IF(COUNTIFS(BD!$B$3:$B$5001,V$149,BD!$A$3:$A$5001,"&gt;="&amp;$C$7,BD!$A$3:$A$5001,"&lt;="&amp;$B159,BD!$M$3:$M$5001,"&lt;&gt;")=0,"",SUMIFS(BD!$M$3:$M$5001,BD!$B$3:$B$5001,V$149,BD!$A$3:$A$5001,_xlfn.MAXIFS(BD!$A$3:$A$5001,BD!$B$3:$B$5001,V$149,BD!$A$3:$A$5001,"&gt;="&amp;$C$7,BD!$A$3:$A$5001,"&lt;="&amp;$B159,BD!$M$3:$M$5001,"&lt;&gt;"))))</f>
        <v/>
      </c>
    </row>
    <row r="160">
      <c r="A160" s="38">
        <v>11</v>
      </c>
      <c r="B160" s="42">
        <f>$B$22</f>
        <v>46306</v>
      </c>
      <c r="C160" s="43" t="str">
        <f>IF(OR($B160="",$A160&gt;$B$9,C$149=""),"",IF(COUNTIFS(BD!$B$3:$B$5001,C$149,BD!$A$3:$A$5001,"&gt;="&amp;$C$7,BD!$A$3:$A$5001,"&lt;="&amp;$B160,BD!$M$3:$M$5001,"&lt;&gt;")=0,"",SUMIFS(BD!$M$3:$M$5001,BD!$B$3:$B$5001,C$149,BD!$A$3:$A$5001,_xlfn.MAXIFS(BD!$A$3:$A$5001,BD!$B$3:$B$5001,C$149,BD!$A$3:$A$5001,"&gt;="&amp;$C$7,BD!$A$3:$A$5001,"&lt;="&amp;$B160,BD!$M$3:$M$5001,"&lt;&gt;"))))</f>
        <v/>
      </c>
      <c r="D160" s="43" t="str">
        <f>IF(OR($B160="",$A160&gt;$B$9,D$149=""),"",IF(COUNTIFS(BD!$B$3:$B$5001,D$149,BD!$A$3:$A$5001,"&gt;="&amp;$C$7,BD!$A$3:$A$5001,"&lt;="&amp;$B160,BD!$M$3:$M$5001,"&lt;&gt;")=0,"",SUMIFS(BD!$M$3:$M$5001,BD!$B$3:$B$5001,D$149,BD!$A$3:$A$5001,_xlfn.MAXIFS(BD!$A$3:$A$5001,BD!$B$3:$B$5001,D$149,BD!$A$3:$A$5001,"&gt;="&amp;$C$7,BD!$A$3:$A$5001,"&lt;="&amp;$B160,BD!$M$3:$M$5001,"&lt;&gt;"))))</f>
        <v/>
      </c>
      <c r="E160" s="43" t="str">
        <f>IF(OR($B160="",$A160&gt;$B$9,E$149=""),"",IF(COUNTIFS(BD!$B$3:$B$5001,E$149,BD!$A$3:$A$5001,"&gt;="&amp;$C$7,BD!$A$3:$A$5001,"&lt;="&amp;$B160,BD!$M$3:$M$5001,"&lt;&gt;")=0,"",SUMIFS(BD!$M$3:$M$5001,BD!$B$3:$B$5001,E$149,BD!$A$3:$A$5001,_xlfn.MAXIFS(BD!$A$3:$A$5001,BD!$B$3:$B$5001,E$149,BD!$A$3:$A$5001,"&gt;="&amp;$C$7,BD!$A$3:$A$5001,"&lt;="&amp;$B160,BD!$M$3:$M$5001,"&lt;&gt;"))))</f>
        <v/>
      </c>
      <c r="F160" s="43" t="str">
        <f>IF(OR($B160="",$A160&gt;$B$9,F$149=""),"",IF(COUNTIFS(BD!$B$3:$B$5001,F$149,BD!$A$3:$A$5001,"&gt;="&amp;$C$7,BD!$A$3:$A$5001,"&lt;="&amp;$B160,BD!$M$3:$M$5001,"&lt;&gt;")=0,"",SUMIFS(BD!$M$3:$M$5001,BD!$B$3:$B$5001,F$149,BD!$A$3:$A$5001,_xlfn.MAXIFS(BD!$A$3:$A$5001,BD!$B$3:$B$5001,F$149,BD!$A$3:$A$5001,"&gt;="&amp;$C$7,BD!$A$3:$A$5001,"&lt;="&amp;$B160,BD!$M$3:$M$5001,"&lt;&gt;"))))</f>
        <v/>
      </c>
      <c r="G160" s="43" t="str">
        <f>IF(OR($B160="",$A160&gt;$B$9,G$149=""),"",IF(COUNTIFS(BD!$B$3:$B$5001,G$149,BD!$A$3:$A$5001,"&gt;="&amp;$C$7,BD!$A$3:$A$5001,"&lt;="&amp;$B160,BD!$M$3:$M$5001,"&lt;&gt;")=0,"",SUMIFS(BD!$M$3:$M$5001,BD!$B$3:$B$5001,G$149,BD!$A$3:$A$5001,_xlfn.MAXIFS(BD!$A$3:$A$5001,BD!$B$3:$B$5001,G$149,BD!$A$3:$A$5001,"&gt;="&amp;$C$7,BD!$A$3:$A$5001,"&lt;="&amp;$B160,BD!$M$3:$M$5001,"&lt;&gt;"))))</f>
        <v/>
      </c>
      <c r="H160" s="43" t="str">
        <f>IF(OR($B160="",$A160&gt;$B$9,H$149=""),"",IF(COUNTIFS(BD!$B$3:$B$5001,H$149,BD!$A$3:$A$5001,"&gt;="&amp;$C$7,BD!$A$3:$A$5001,"&lt;="&amp;$B160,BD!$M$3:$M$5001,"&lt;&gt;")=0,"",SUMIFS(BD!$M$3:$M$5001,BD!$B$3:$B$5001,H$149,BD!$A$3:$A$5001,_xlfn.MAXIFS(BD!$A$3:$A$5001,BD!$B$3:$B$5001,H$149,BD!$A$3:$A$5001,"&gt;="&amp;$C$7,BD!$A$3:$A$5001,"&lt;="&amp;$B160,BD!$M$3:$M$5001,"&lt;&gt;"))))</f>
        <v/>
      </c>
      <c r="I160" s="43" t="str">
        <f>IF(OR($B160="",$A160&gt;$B$9,I$149=""),"",IF(COUNTIFS(BD!$B$3:$B$5001,I$149,BD!$A$3:$A$5001,"&gt;="&amp;$C$7,BD!$A$3:$A$5001,"&lt;="&amp;$B160,BD!$M$3:$M$5001,"&lt;&gt;")=0,"",SUMIFS(BD!$M$3:$M$5001,BD!$B$3:$B$5001,I$149,BD!$A$3:$A$5001,_xlfn.MAXIFS(BD!$A$3:$A$5001,BD!$B$3:$B$5001,I$149,BD!$A$3:$A$5001,"&gt;="&amp;$C$7,BD!$A$3:$A$5001,"&lt;="&amp;$B160,BD!$M$3:$M$5001,"&lt;&gt;"))))</f>
        <v/>
      </c>
      <c r="J160" s="43" t="str">
        <f>IF(OR($B160="",$A160&gt;$B$9,J$149=""),"",IF(COUNTIFS(BD!$B$3:$B$5001,J$149,BD!$A$3:$A$5001,"&gt;="&amp;$C$7,BD!$A$3:$A$5001,"&lt;="&amp;$B160,BD!$M$3:$M$5001,"&lt;&gt;")=0,"",SUMIFS(BD!$M$3:$M$5001,BD!$B$3:$B$5001,J$149,BD!$A$3:$A$5001,_xlfn.MAXIFS(BD!$A$3:$A$5001,BD!$B$3:$B$5001,J$149,BD!$A$3:$A$5001,"&gt;="&amp;$C$7,BD!$A$3:$A$5001,"&lt;="&amp;$B160,BD!$M$3:$M$5001,"&lt;&gt;"))))</f>
        <v/>
      </c>
      <c r="K160" s="43" t="str">
        <f>IF(OR($B160="",$A160&gt;$B$9,K$149=""),"",IF(COUNTIFS(BD!$B$3:$B$5001,K$149,BD!$A$3:$A$5001,"&gt;="&amp;$C$7,BD!$A$3:$A$5001,"&lt;="&amp;$B160,BD!$M$3:$M$5001,"&lt;&gt;")=0,"",SUMIFS(BD!$M$3:$M$5001,BD!$B$3:$B$5001,K$149,BD!$A$3:$A$5001,_xlfn.MAXIFS(BD!$A$3:$A$5001,BD!$B$3:$B$5001,K$149,BD!$A$3:$A$5001,"&gt;="&amp;$C$7,BD!$A$3:$A$5001,"&lt;="&amp;$B160,BD!$M$3:$M$5001,"&lt;&gt;"))))</f>
        <v/>
      </c>
      <c r="L160" s="43" t="str">
        <f>IF(OR($B160="",$A160&gt;$B$9,L$149=""),"",IF(COUNTIFS(BD!$B$3:$B$5001,L$149,BD!$A$3:$A$5001,"&gt;="&amp;$C$7,BD!$A$3:$A$5001,"&lt;="&amp;$B160,BD!$M$3:$M$5001,"&lt;&gt;")=0,"",SUMIFS(BD!$M$3:$M$5001,BD!$B$3:$B$5001,L$149,BD!$A$3:$A$5001,_xlfn.MAXIFS(BD!$A$3:$A$5001,BD!$B$3:$B$5001,L$149,BD!$A$3:$A$5001,"&gt;="&amp;$C$7,BD!$A$3:$A$5001,"&lt;="&amp;$B160,BD!$M$3:$M$5001,"&lt;&gt;"))))</f>
        <v/>
      </c>
      <c r="M160" s="43" t="str">
        <f>IF(OR($B160="",$A160&gt;$B$9,M$149=""),"",IF(COUNTIFS(BD!$B$3:$B$5001,M$149,BD!$A$3:$A$5001,"&gt;="&amp;$C$7,BD!$A$3:$A$5001,"&lt;="&amp;$B160,BD!$M$3:$M$5001,"&lt;&gt;")=0,"",SUMIFS(BD!$M$3:$M$5001,BD!$B$3:$B$5001,M$149,BD!$A$3:$A$5001,_xlfn.MAXIFS(BD!$A$3:$A$5001,BD!$B$3:$B$5001,M$149,BD!$A$3:$A$5001,"&gt;="&amp;$C$7,BD!$A$3:$A$5001,"&lt;="&amp;$B160,BD!$M$3:$M$5001,"&lt;&gt;"))))</f>
        <v/>
      </c>
      <c r="N160" s="43" t="str">
        <f>IF(OR($B160="",$A160&gt;$B$9,N$149=""),"",IF(COUNTIFS(BD!$B$3:$B$5001,N$149,BD!$A$3:$A$5001,"&gt;="&amp;$C$7,BD!$A$3:$A$5001,"&lt;="&amp;$B160,BD!$M$3:$M$5001,"&lt;&gt;")=0,"",SUMIFS(BD!$M$3:$M$5001,BD!$B$3:$B$5001,N$149,BD!$A$3:$A$5001,_xlfn.MAXIFS(BD!$A$3:$A$5001,BD!$B$3:$B$5001,N$149,BD!$A$3:$A$5001,"&gt;="&amp;$C$7,BD!$A$3:$A$5001,"&lt;="&amp;$B160,BD!$M$3:$M$5001,"&lt;&gt;"))))</f>
        <v/>
      </c>
      <c r="O160" s="43" t="str">
        <f>IF(OR($B160="",$A160&gt;$B$9,O$149=""),"",IF(COUNTIFS(BD!$B$3:$B$5001,O$149,BD!$A$3:$A$5001,"&gt;="&amp;$C$7,BD!$A$3:$A$5001,"&lt;="&amp;$B160,BD!$M$3:$M$5001,"&lt;&gt;")=0,"",SUMIFS(BD!$M$3:$M$5001,BD!$B$3:$B$5001,O$149,BD!$A$3:$A$5001,_xlfn.MAXIFS(BD!$A$3:$A$5001,BD!$B$3:$B$5001,O$149,BD!$A$3:$A$5001,"&gt;="&amp;$C$7,BD!$A$3:$A$5001,"&lt;="&amp;$B160,BD!$M$3:$M$5001,"&lt;&gt;"))))</f>
        <v/>
      </c>
      <c r="P160" s="43" t="str">
        <f>IF(OR($B160="",$A160&gt;$B$9,P$149=""),"",IF(COUNTIFS(BD!$B$3:$B$5001,P$149,BD!$A$3:$A$5001,"&gt;="&amp;$C$7,BD!$A$3:$A$5001,"&lt;="&amp;$B160,BD!$M$3:$M$5001,"&lt;&gt;")=0,"",SUMIFS(BD!$M$3:$M$5001,BD!$B$3:$B$5001,P$149,BD!$A$3:$A$5001,_xlfn.MAXIFS(BD!$A$3:$A$5001,BD!$B$3:$B$5001,P$149,BD!$A$3:$A$5001,"&gt;="&amp;$C$7,BD!$A$3:$A$5001,"&lt;="&amp;$B160,BD!$M$3:$M$5001,"&lt;&gt;"))))</f>
        <v/>
      </c>
      <c r="Q160" s="43" t="str">
        <f>IF(OR($B160="",$A160&gt;$B$9,Q$149=""),"",IF(COUNTIFS(BD!$B$3:$B$5001,Q$149,BD!$A$3:$A$5001,"&gt;="&amp;$C$7,BD!$A$3:$A$5001,"&lt;="&amp;$B160,BD!$M$3:$M$5001,"&lt;&gt;")=0,"",SUMIFS(BD!$M$3:$M$5001,BD!$B$3:$B$5001,Q$149,BD!$A$3:$A$5001,_xlfn.MAXIFS(BD!$A$3:$A$5001,BD!$B$3:$B$5001,Q$149,BD!$A$3:$A$5001,"&gt;="&amp;$C$7,BD!$A$3:$A$5001,"&lt;="&amp;$B160,BD!$M$3:$M$5001,"&lt;&gt;"))))</f>
        <v/>
      </c>
      <c r="R160" s="43" t="str">
        <f>IF(OR($B160="",$A160&gt;$B$9,R$149=""),"",IF(COUNTIFS(BD!$B$3:$B$5001,R$149,BD!$A$3:$A$5001,"&gt;="&amp;$C$7,BD!$A$3:$A$5001,"&lt;="&amp;$B160,BD!$M$3:$M$5001,"&lt;&gt;")=0,"",SUMIFS(BD!$M$3:$M$5001,BD!$B$3:$B$5001,R$149,BD!$A$3:$A$5001,_xlfn.MAXIFS(BD!$A$3:$A$5001,BD!$B$3:$B$5001,R$149,BD!$A$3:$A$5001,"&gt;="&amp;$C$7,BD!$A$3:$A$5001,"&lt;="&amp;$B160,BD!$M$3:$M$5001,"&lt;&gt;"))))</f>
        <v/>
      </c>
      <c r="S160" s="43" t="str">
        <f>IF(OR($B160="",$A160&gt;$B$9,S$149=""),"",IF(COUNTIFS(BD!$B$3:$B$5001,S$149,BD!$A$3:$A$5001,"&gt;="&amp;$C$7,BD!$A$3:$A$5001,"&lt;="&amp;$B160,BD!$M$3:$M$5001,"&lt;&gt;")=0,"",SUMIFS(BD!$M$3:$M$5001,BD!$B$3:$B$5001,S$149,BD!$A$3:$A$5001,_xlfn.MAXIFS(BD!$A$3:$A$5001,BD!$B$3:$B$5001,S$149,BD!$A$3:$A$5001,"&gt;="&amp;$C$7,BD!$A$3:$A$5001,"&lt;="&amp;$B160,BD!$M$3:$M$5001,"&lt;&gt;"))))</f>
        <v/>
      </c>
      <c r="T160" s="43" t="str">
        <f>IF(OR($B160="",$A160&gt;$B$9,T$149=""),"",IF(COUNTIFS(BD!$B$3:$B$5001,T$149,BD!$A$3:$A$5001,"&gt;="&amp;$C$7,BD!$A$3:$A$5001,"&lt;="&amp;$B160,BD!$M$3:$M$5001,"&lt;&gt;")=0,"",SUMIFS(BD!$M$3:$M$5001,BD!$B$3:$B$5001,T$149,BD!$A$3:$A$5001,_xlfn.MAXIFS(BD!$A$3:$A$5001,BD!$B$3:$B$5001,T$149,BD!$A$3:$A$5001,"&gt;="&amp;$C$7,BD!$A$3:$A$5001,"&lt;="&amp;$B160,BD!$M$3:$M$5001,"&lt;&gt;"))))</f>
        <v/>
      </c>
      <c r="U160" s="43" t="str">
        <f>IF(OR($B160="",$A160&gt;$B$9,U$149=""),"",IF(COUNTIFS(BD!$B$3:$B$5001,U$149,BD!$A$3:$A$5001,"&gt;="&amp;$C$7,BD!$A$3:$A$5001,"&lt;="&amp;$B160,BD!$M$3:$M$5001,"&lt;&gt;")=0,"",SUMIFS(BD!$M$3:$M$5001,BD!$B$3:$B$5001,U$149,BD!$A$3:$A$5001,_xlfn.MAXIFS(BD!$A$3:$A$5001,BD!$B$3:$B$5001,U$149,BD!$A$3:$A$5001,"&gt;="&amp;$C$7,BD!$A$3:$A$5001,"&lt;="&amp;$B160,BD!$M$3:$M$5001,"&lt;&gt;"))))</f>
        <v/>
      </c>
      <c r="V160" s="43" t="str">
        <f>IF(OR($B160="",$A160&gt;$B$9,V$149=""),"",IF(COUNTIFS(BD!$B$3:$B$5001,V$149,BD!$A$3:$A$5001,"&gt;="&amp;$C$7,BD!$A$3:$A$5001,"&lt;="&amp;$B160,BD!$M$3:$M$5001,"&lt;&gt;")=0,"",SUMIFS(BD!$M$3:$M$5001,BD!$B$3:$B$5001,V$149,BD!$A$3:$A$5001,_xlfn.MAXIFS(BD!$A$3:$A$5001,BD!$B$3:$B$5001,V$149,BD!$A$3:$A$5001,"&gt;="&amp;$C$7,BD!$A$3:$A$5001,"&lt;="&amp;$B160,BD!$M$3:$M$5001,"&lt;&gt;"))))</f>
        <v/>
      </c>
    </row>
    <row r="161">
      <c r="A161" s="38">
        <v>12</v>
      </c>
      <c r="B161" s="42">
        <f>$B$23</f>
        <v>46307</v>
      </c>
      <c r="C161" s="43" t="str">
        <f>IF(OR($B161="",$A161&gt;$B$9,C$149=""),"",IF(COUNTIFS(BD!$B$3:$B$5001,C$149,BD!$A$3:$A$5001,"&gt;="&amp;$C$7,BD!$A$3:$A$5001,"&lt;="&amp;$B161,BD!$M$3:$M$5001,"&lt;&gt;")=0,"",SUMIFS(BD!$M$3:$M$5001,BD!$B$3:$B$5001,C$149,BD!$A$3:$A$5001,_xlfn.MAXIFS(BD!$A$3:$A$5001,BD!$B$3:$B$5001,C$149,BD!$A$3:$A$5001,"&gt;="&amp;$C$7,BD!$A$3:$A$5001,"&lt;="&amp;$B161,BD!$M$3:$M$5001,"&lt;&gt;"))))</f>
        <v/>
      </c>
      <c r="D161" s="43" t="str">
        <f>IF(OR($B161="",$A161&gt;$B$9,D$149=""),"",IF(COUNTIFS(BD!$B$3:$B$5001,D$149,BD!$A$3:$A$5001,"&gt;="&amp;$C$7,BD!$A$3:$A$5001,"&lt;="&amp;$B161,BD!$M$3:$M$5001,"&lt;&gt;")=0,"",SUMIFS(BD!$M$3:$M$5001,BD!$B$3:$B$5001,D$149,BD!$A$3:$A$5001,_xlfn.MAXIFS(BD!$A$3:$A$5001,BD!$B$3:$B$5001,D$149,BD!$A$3:$A$5001,"&gt;="&amp;$C$7,BD!$A$3:$A$5001,"&lt;="&amp;$B161,BD!$M$3:$M$5001,"&lt;&gt;"))))</f>
        <v/>
      </c>
      <c r="E161" s="43" t="str">
        <f>IF(OR($B161="",$A161&gt;$B$9,E$149=""),"",IF(COUNTIFS(BD!$B$3:$B$5001,E$149,BD!$A$3:$A$5001,"&gt;="&amp;$C$7,BD!$A$3:$A$5001,"&lt;="&amp;$B161,BD!$M$3:$M$5001,"&lt;&gt;")=0,"",SUMIFS(BD!$M$3:$M$5001,BD!$B$3:$B$5001,E$149,BD!$A$3:$A$5001,_xlfn.MAXIFS(BD!$A$3:$A$5001,BD!$B$3:$B$5001,E$149,BD!$A$3:$A$5001,"&gt;="&amp;$C$7,BD!$A$3:$A$5001,"&lt;="&amp;$B161,BD!$M$3:$M$5001,"&lt;&gt;"))))</f>
        <v/>
      </c>
      <c r="F161" s="43" t="str">
        <f>IF(OR($B161="",$A161&gt;$B$9,F$149=""),"",IF(COUNTIFS(BD!$B$3:$B$5001,F$149,BD!$A$3:$A$5001,"&gt;="&amp;$C$7,BD!$A$3:$A$5001,"&lt;="&amp;$B161,BD!$M$3:$M$5001,"&lt;&gt;")=0,"",SUMIFS(BD!$M$3:$M$5001,BD!$B$3:$B$5001,F$149,BD!$A$3:$A$5001,_xlfn.MAXIFS(BD!$A$3:$A$5001,BD!$B$3:$B$5001,F$149,BD!$A$3:$A$5001,"&gt;="&amp;$C$7,BD!$A$3:$A$5001,"&lt;="&amp;$B161,BD!$M$3:$M$5001,"&lt;&gt;"))))</f>
        <v/>
      </c>
      <c r="G161" s="43" t="str">
        <f>IF(OR($B161="",$A161&gt;$B$9,G$149=""),"",IF(COUNTIFS(BD!$B$3:$B$5001,G$149,BD!$A$3:$A$5001,"&gt;="&amp;$C$7,BD!$A$3:$A$5001,"&lt;="&amp;$B161,BD!$M$3:$M$5001,"&lt;&gt;")=0,"",SUMIFS(BD!$M$3:$M$5001,BD!$B$3:$B$5001,G$149,BD!$A$3:$A$5001,_xlfn.MAXIFS(BD!$A$3:$A$5001,BD!$B$3:$B$5001,G$149,BD!$A$3:$A$5001,"&gt;="&amp;$C$7,BD!$A$3:$A$5001,"&lt;="&amp;$B161,BD!$M$3:$M$5001,"&lt;&gt;"))))</f>
        <v/>
      </c>
      <c r="H161" s="43" t="str">
        <f>IF(OR($B161="",$A161&gt;$B$9,H$149=""),"",IF(COUNTIFS(BD!$B$3:$B$5001,H$149,BD!$A$3:$A$5001,"&gt;="&amp;$C$7,BD!$A$3:$A$5001,"&lt;="&amp;$B161,BD!$M$3:$M$5001,"&lt;&gt;")=0,"",SUMIFS(BD!$M$3:$M$5001,BD!$B$3:$B$5001,H$149,BD!$A$3:$A$5001,_xlfn.MAXIFS(BD!$A$3:$A$5001,BD!$B$3:$B$5001,H$149,BD!$A$3:$A$5001,"&gt;="&amp;$C$7,BD!$A$3:$A$5001,"&lt;="&amp;$B161,BD!$M$3:$M$5001,"&lt;&gt;"))))</f>
        <v/>
      </c>
      <c r="I161" s="43" t="str">
        <f>IF(OR($B161="",$A161&gt;$B$9,I$149=""),"",IF(COUNTIFS(BD!$B$3:$B$5001,I$149,BD!$A$3:$A$5001,"&gt;="&amp;$C$7,BD!$A$3:$A$5001,"&lt;="&amp;$B161,BD!$M$3:$M$5001,"&lt;&gt;")=0,"",SUMIFS(BD!$M$3:$M$5001,BD!$B$3:$B$5001,I$149,BD!$A$3:$A$5001,_xlfn.MAXIFS(BD!$A$3:$A$5001,BD!$B$3:$B$5001,I$149,BD!$A$3:$A$5001,"&gt;="&amp;$C$7,BD!$A$3:$A$5001,"&lt;="&amp;$B161,BD!$M$3:$M$5001,"&lt;&gt;"))))</f>
        <v/>
      </c>
      <c r="J161" s="43" t="str">
        <f>IF(OR($B161="",$A161&gt;$B$9,J$149=""),"",IF(COUNTIFS(BD!$B$3:$B$5001,J$149,BD!$A$3:$A$5001,"&gt;="&amp;$C$7,BD!$A$3:$A$5001,"&lt;="&amp;$B161,BD!$M$3:$M$5001,"&lt;&gt;")=0,"",SUMIFS(BD!$M$3:$M$5001,BD!$B$3:$B$5001,J$149,BD!$A$3:$A$5001,_xlfn.MAXIFS(BD!$A$3:$A$5001,BD!$B$3:$B$5001,J$149,BD!$A$3:$A$5001,"&gt;="&amp;$C$7,BD!$A$3:$A$5001,"&lt;="&amp;$B161,BD!$M$3:$M$5001,"&lt;&gt;"))))</f>
        <v/>
      </c>
      <c r="K161" s="43" t="str">
        <f>IF(OR($B161="",$A161&gt;$B$9,K$149=""),"",IF(COUNTIFS(BD!$B$3:$B$5001,K$149,BD!$A$3:$A$5001,"&gt;="&amp;$C$7,BD!$A$3:$A$5001,"&lt;="&amp;$B161,BD!$M$3:$M$5001,"&lt;&gt;")=0,"",SUMIFS(BD!$M$3:$M$5001,BD!$B$3:$B$5001,K$149,BD!$A$3:$A$5001,_xlfn.MAXIFS(BD!$A$3:$A$5001,BD!$B$3:$B$5001,K$149,BD!$A$3:$A$5001,"&gt;="&amp;$C$7,BD!$A$3:$A$5001,"&lt;="&amp;$B161,BD!$M$3:$M$5001,"&lt;&gt;"))))</f>
        <v/>
      </c>
      <c r="L161" s="43" t="str">
        <f>IF(OR($B161="",$A161&gt;$B$9,L$149=""),"",IF(COUNTIFS(BD!$B$3:$B$5001,L$149,BD!$A$3:$A$5001,"&gt;="&amp;$C$7,BD!$A$3:$A$5001,"&lt;="&amp;$B161,BD!$M$3:$M$5001,"&lt;&gt;")=0,"",SUMIFS(BD!$M$3:$M$5001,BD!$B$3:$B$5001,L$149,BD!$A$3:$A$5001,_xlfn.MAXIFS(BD!$A$3:$A$5001,BD!$B$3:$B$5001,L$149,BD!$A$3:$A$5001,"&gt;="&amp;$C$7,BD!$A$3:$A$5001,"&lt;="&amp;$B161,BD!$M$3:$M$5001,"&lt;&gt;"))))</f>
        <v/>
      </c>
      <c r="M161" s="43" t="str">
        <f>IF(OR($B161="",$A161&gt;$B$9,M$149=""),"",IF(COUNTIFS(BD!$B$3:$B$5001,M$149,BD!$A$3:$A$5001,"&gt;="&amp;$C$7,BD!$A$3:$A$5001,"&lt;="&amp;$B161,BD!$M$3:$M$5001,"&lt;&gt;")=0,"",SUMIFS(BD!$M$3:$M$5001,BD!$B$3:$B$5001,M$149,BD!$A$3:$A$5001,_xlfn.MAXIFS(BD!$A$3:$A$5001,BD!$B$3:$B$5001,M$149,BD!$A$3:$A$5001,"&gt;="&amp;$C$7,BD!$A$3:$A$5001,"&lt;="&amp;$B161,BD!$M$3:$M$5001,"&lt;&gt;"))))</f>
        <v/>
      </c>
      <c r="N161" s="43" t="str">
        <f>IF(OR($B161="",$A161&gt;$B$9,N$149=""),"",IF(COUNTIFS(BD!$B$3:$B$5001,N$149,BD!$A$3:$A$5001,"&gt;="&amp;$C$7,BD!$A$3:$A$5001,"&lt;="&amp;$B161,BD!$M$3:$M$5001,"&lt;&gt;")=0,"",SUMIFS(BD!$M$3:$M$5001,BD!$B$3:$B$5001,N$149,BD!$A$3:$A$5001,_xlfn.MAXIFS(BD!$A$3:$A$5001,BD!$B$3:$B$5001,N$149,BD!$A$3:$A$5001,"&gt;="&amp;$C$7,BD!$A$3:$A$5001,"&lt;="&amp;$B161,BD!$M$3:$M$5001,"&lt;&gt;"))))</f>
        <v/>
      </c>
      <c r="O161" s="43" t="str">
        <f>IF(OR($B161="",$A161&gt;$B$9,O$149=""),"",IF(COUNTIFS(BD!$B$3:$B$5001,O$149,BD!$A$3:$A$5001,"&gt;="&amp;$C$7,BD!$A$3:$A$5001,"&lt;="&amp;$B161,BD!$M$3:$M$5001,"&lt;&gt;")=0,"",SUMIFS(BD!$M$3:$M$5001,BD!$B$3:$B$5001,O$149,BD!$A$3:$A$5001,_xlfn.MAXIFS(BD!$A$3:$A$5001,BD!$B$3:$B$5001,O$149,BD!$A$3:$A$5001,"&gt;="&amp;$C$7,BD!$A$3:$A$5001,"&lt;="&amp;$B161,BD!$M$3:$M$5001,"&lt;&gt;"))))</f>
        <v/>
      </c>
      <c r="P161" s="43" t="str">
        <f>IF(OR($B161="",$A161&gt;$B$9,P$149=""),"",IF(COUNTIFS(BD!$B$3:$B$5001,P$149,BD!$A$3:$A$5001,"&gt;="&amp;$C$7,BD!$A$3:$A$5001,"&lt;="&amp;$B161,BD!$M$3:$M$5001,"&lt;&gt;")=0,"",SUMIFS(BD!$M$3:$M$5001,BD!$B$3:$B$5001,P$149,BD!$A$3:$A$5001,_xlfn.MAXIFS(BD!$A$3:$A$5001,BD!$B$3:$B$5001,P$149,BD!$A$3:$A$5001,"&gt;="&amp;$C$7,BD!$A$3:$A$5001,"&lt;="&amp;$B161,BD!$M$3:$M$5001,"&lt;&gt;"))))</f>
        <v/>
      </c>
      <c r="Q161" s="43" t="str">
        <f>IF(OR($B161="",$A161&gt;$B$9,Q$149=""),"",IF(COUNTIFS(BD!$B$3:$B$5001,Q$149,BD!$A$3:$A$5001,"&gt;="&amp;$C$7,BD!$A$3:$A$5001,"&lt;="&amp;$B161,BD!$M$3:$M$5001,"&lt;&gt;")=0,"",SUMIFS(BD!$M$3:$M$5001,BD!$B$3:$B$5001,Q$149,BD!$A$3:$A$5001,_xlfn.MAXIFS(BD!$A$3:$A$5001,BD!$B$3:$B$5001,Q$149,BD!$A$3:$A$5001,"&gt;="&amp;$C$7,BD!$A$3:$A$5001,"&lt;="&amp;$B161,BD!$M$3:$M$5001,"&lt;&gt;"))))</f>
        <v/>
      </c>
      <c r="R161" s="43" t="str">
        <f>IF(OR($B161="",$A161&gt;$B$9,R$149=""),"",IF(COUNTIFS(BD!$B$3:$B$5001,R$149,BD!$A$3:$A$5001,"&gt;="&amp;$C$7,BD!$A$3:$A$5001,"&lt;="&amp;$B161,BD!$M$3:$M$5001,"&lt;&gt;")=0,"",SUMIFS(BD!$M$3:$M$5001,BD!$B$3:$B$5001,R$149,BD!$A$3:$A$5001,_xlfn.MAXIFS(BD!$A$3:$A$5001,BD!$B$3:$B$5001,R$149,BD!$A$3:$A$5001,"&gt;="&amp;$C$7,BD!$A$3:$A$5001,"&lt;="&amp;$B161,BD!$M$3:$M$5001,"&lt;&gt;"))))</f>
        <v/>
      </c>
      <c r="S161" s="43" t="str">
        <f>IF(OR($B161="",$A161&gt;$B$9,S$149=""),"",IF(COUNTIFS(BD!$B$3:$B$5001,S$149,BD!$A$3:$A$5001,"&gt;="&amp;$C$7,BD!$A$3:$A$5001,"&lt;="&amp;$B161,BD!$M$3:$M$5001,"&lt;&gt;")=0,"",SUMIFS(BD!$M$3:$M$5001,BD!$B$3:$B$5001,S$149,BD!$A$3:$A$5001,_xlfn.MAXIFS(BD!$A$3:$A$5001,BD!$B$3:$B$5001,S$149,BD!$A$3:$A$5001,"&gt;="&amp;$C$7,BD!$A$3:$A$5001,"&lt;="&amp;$B161,BD!$M$3:$M$5001,"&lt;&gt;"))))</f>
        <v/>
      </c>
      <c r="T161" s="43" t="str">
        <f>IF(OR($B161="",$A161&gt;$B$9,T$149=""),"",IF(COUNTIFS(BD!$B$3:$B$5001,T$149,BD!$A$3:$A$5001,"&gt;="&amp;$C$7,BD!$A$3:$A$5001,"&lt;="&amp;$B161,BD!$M$3:$M$5001,"&lt;&gt;")=0,"",SUMIFS(BD!$M$3:$M$5001,BD!$B$3:$B$5001,T$149,BD!$A$3:$A$5001,_xlfn.MAXIFS(BD!$A$3:$A$5001,BD!$B$3:$B$5001,T$149,BD!$A$3:$A$5001,"&gt;="&amp;$C$7,BD!$A$3:$A$5001,"&lt;="&amp;$B161,BD!$M$3:$M$5001,"&lt;&gt;"))))</f>
        <v/>
      </c>
      <c r="U161" s="43" t="str">
        <f>IF(OR($B161="",$A161&gt;$B$9,U$149=""),"",IF(COUNTIFS(BD!$B$3:$B$5001,U$149,BD!$A$3:$A$5001,"&gt;="&amp;$C$7,BD!$A$3:$A$5001,"&lt;="&amp;$B161,BD!$M$3:$M$5001,"&lt;&gt;")=0,"",SUMIFS(BD!$M$3:$M$5001,BD!$B$3:$B$5001,U$149,BD!$A$3:$A$5001,_xlfn.MAXIFS(BD!$A$3:$A$5001,BD!$B$3:$B$5001,U$149,BD!$A$3:$A$5001,"&gt;="&amp;$C$7,BD!$A$3:$A$5001,"&lt;="&amp;$B161,BD!$M$3:$M$5001,"&lt;&gt;"))))</f>
        <v/>
      </c>
      <c r="V161" s="43" t="str">
        <f>IF(OR($B161="",$A161&gt;$B$9,V$149=""),"",IF(COUNTIFS(BD!$B$3:$B$5001,V$149,BD!$A$3:$A$5001,"&gt;="&amp;$C$7,BD!$A$3:$A$5001,"&lt;="&amp;$B161,BD!$M$3:$M$5001,"&lt;&gt;")=0,"",SUMIFS(BD!$M$3:$M$5001,BD!$B$3:$B$5001,V$149,BD!$A$3:$A$5001,_xlfn.MAXIFS(BD!$A$3:$A$5001,BD!$B$3:$B$5001,V$149,BD!$A$3:$A$5001,"&gt;="&amp;$C$7,BD!$A$3:$A$5001,"&lt;="&amp;$B161,BD!$M$3:$M$5001,"&lt;&gt;"))))</f>
        <v/>
      </c>
    </row>
    <row r="162">
      <c r="A162" s="38">
        <v>13</v>
      </c>
      <c r="B162" s="42">
        <f>$B$24</f>
        <v>46308</v>
      </c>
      <c r="C162" s="43" t="str">
        <f>IF(OR($B162="",$A162&gt;$B$9,C$149=""),"",IF(COUNTIFS(BD!$B$3:$B$5001,C$149,BD!$A$3:$A$5001,"&gt;="&amp;$C$7,BD!$A$3:$A$5001,"&lt;="&amp;$B162,BD!$M$3:$M$5001,"&lt;&gt;")=0,"",SUMIFS(BD!$M$3:$M$5001,BD!$B$3:$B$5001,C$149,BD!$A$3:$A$5001,_xlfn.MAXIFS(BD!$A$3:$A$5001,BD!$B$3:$B$5001,C$149,BD!$A$3:$A$5001,"&gt;="&amp;$C$7,BD!$A$3:$A$5001,"&lt;="&amp;$B162,BD!$M$3:$M$5001,"&lt;&gt;"))))</f>
        <v/>
      </c>
      <c r="D162" s="43" t="str">
        <f>IF(OR($B162="",$A162&gt;$B$9,D$149=""),"",IF(COUNTIFS(BD!$B$3:$B$5001,D$149,BD!$A$3:$A$5001,"&gt;="&amp;$C$7,BD!$A$3:$A$5001,"&lt;="&amp;$B162,BD!$M$3:$M$5001,"&lt;&gt;")=0,"",SUMIFS(BD!$M$3:$M$5001,BD!$B$3:$B$5001,D$149,BD!$A$3:$A$5001,_xlfn.MAXIFS(BD!$A$3:$A$5001,BD!$B$3:$B$5001,D$149,BD!$A$3:$A$5001,"&gt;="&amp;$C$7,BD!$A$3:$A$5001,"&lt;="&amp;$B162,BD!$M$3:$M$5001,"&lt;&gt;"))))</f>
        <v/>
      </c>
      <c r="E162" s="43" t="str">
        <f>IF(OR($B162="",$A162&gt;$B$9,E$149=""),"",IF(COUNTIFS(BD!$B$3:$B$5001,E$149,BD!$A$3:$A$5001,"&gt;="&amp;$C$7,BD!$A$3:$A$5001,"&lt;="&amp;$B162,BD!$M$3:$M$5001,"&lt;&gt;")=0,"",SUMIFS(BD!$M$3:$M$5001,BD!$B$3:$B$5001,E$149,BD!$A$3:$A$5001,_xlfn.MAXIFS(BD!$A$3:$A$5001,BD!$B$3:$B$5001,E$149,BD!$A$3:$A$5001,"&gt;="&amp;$C$7,BD!$A$3:$A$5001,"&lt;="&amp;$B162,BD!$M$3:$M$5001,"&lt;&gt;"))))</f>
        <v/>
      </c>
      <c r="F162" s="43" t="str">
        <f>IF(OR($B162="",$A162&gt;$B$9,F$149=""),"",IF(COUNTIFS(BD!$B$3:$B$5001,F$149,BD!$A$3:$A$5001,"&gt;="&amp;$C$7,BD!$A$3:$A$5001,"&lt;="&amp;$B162,BD!$M$3:$M$5001,"&lt;&gt;")=0,"",SUMIFS(BD!$M$3:$M$5001,BD!$B$3:$B$5001,F$149,BD!$A$3:$A$5001,_xlfn.MAXIFS(BD!$A$3:$A$5001,BD!$B$3:$B$5001,F$149,BD!$A$3:$A$5001,"&gt;="&amp;$C$7,BD!$A$3:$A$5001,"&lt;="&amp;$B162,BD!$M$3:$M$5001,"&lt;&gt;"))))</f>
        <v/>
      </c>
      <c r="G162" s="43" t="str">
        <f>IF(OR($B162="",$A162&gt;$B$9,G$149=""),"",IF(COUNTIFS(BD!$B$3:$B$5001,G$149,BD!$A$3:$A$5001,"&gt;="&amp;$C$7,BD!$A$3:$A$5001,"&lt;="&amp;$B162,BD!$M$3:$M$5001,"&lt;&gt;")=0,"",SUMIFS(BD!$M$3:$M$5001,BD!$B$3:$B$5001,G$149,BD!$A$3:$A$5001,_xlfn.MAXIFS(BD!$A$3:$A$5001,BD!$B$3:$B$5001,G$149,BD!$A$3:$A$5001,"&gt;="&amp;$C$7,BD!$A$3:$A$5001,"&lt;="&amp;$B162,BD!$M$3:$M$5001,"&lt;&gt;"))))</f>
        <v/>
      </c>
      <c r="H162" s="43" t="str">
        <f>IF(OR($B162="",$A162&gt;$B$9,H$149=""),"",IF(COUNTIFS(BD!$B$3:$B$5001,H$149,BD!$A$3:$A$5001,"&gt;="&amp;$C$7,BD!$A$3:$A$5001,"&lt;="&amp;$B162,BD!$M$3:$M$5001,"&lt;&gt;")=0,"",SUMIFS(BD!$M$3:$M$5001,BD!$B$3:$B$5001,H$149,BD!$A$3:$A$5001,_xlfn.MAXIFS(BD!$A$3:$A$5001,BD!$B$3:$B$5001,H$149,BD!$A$3:$A$5001,"&gt;="&amp;$C$7,BD!$A$3:$A$5001,"&lt;="&amp;$B162,BD!$M$3:$M$5001,"&lt;&gt;"))))</f>
        <v/>
      </c>
      <c r="I162" s="43" t="str">
        <f>IF(OR($B162="",$A162&gt;$B$9,I$149=""),"",IF(COUNTIFS(BD!$B$3:$B$5001,I$149,BD!$A$3:$A$5001,"&gt;="&amp;$C$7,BD!$A$3:$A$5001,"&lt;="&amp;$B162,BD!$M$3:$M$5001,"&lt;&gt;")=0,"",SUMIFS(BD!$M$3:$M$5001,BD!$B$3:$B$5001,I$149,BD!$A$3:$A$5001,_xlfn.MAXIFS(BD!$A$3:$A$5001,BD!$B$3:$B$5001,I$149,BD!$A$3:$A$5001,"&gt;="&amp;$C$7,BD!$A$3:$A$5001,"&lt;="&amp;$B162,BD!$M$3:$M$5001,"&lt;&gt;"))))</f>
        <v/>
      </c>
      <c r="J162" s="43" t="str">
        <f>IF(OR($B162="",$A162&gt;$B$9,J$149=""),"",IF(COUNTIFS(BD!$B$3:$B$5001,J$149,BD!$A$3:$A$5001,"&gt;="&amp;$C$7,BD!$A$3:$A$5001,"&lt;="&amp;$B162,BD!$M$3:$M$5001,"&lt;&gt;")=0,"",SUMIFS(BD!$M$3:$M$5001,BD!$B$3:$B$5001,J$149,BD!$A$3:$A$5001,_xlfn.MAXIFS(BD!$A$3:$A$5001,BD!$B$3:$B$5001,J$149,BD!$A$3:$A$5001,"&gt;="&amp;$C$7,BD!$A$3:$A$5001,"&lt;="&amp;$B162,BD!$M$3:$M$5001,"&lt;&gt;"))))</f>
        <v/>
      </c>
      <c r="K162" s="43" t="str">
        <f>IF(OR($B162="",$A162&gt;$B$9,K$149=""),"",IF(COUNTIFS(BD!$B$3:$B$5001,K$149,BD!$A$3:$A$5001,"&gt;="&amp;$C$7,BD!$A$3:$A$5001,"&lt;="&amp;$B162,BD!$M$3:$M$5001,"&lt;&gt;")=0,"",SUMIFS(BD!$M$3:$M$5001,BD!$B$3:$B$5001,K$149,BD!$A$3:$A$5001,_xlfn.MAXIFS(BD!$A$3:$A$5001,BD!$B$3:$B$5001,K$149,BD!$A$3:$A$5001,"&gt;="&amp;$C$7,BD!$A$3:$A$5001,"&lt;="&amp;$B162,BD!$M$3:$M$5001,"&lt;&gt;"))))</f>
        <v/>
      </c>
      <c r="L162" s="43" t="str">
        <f>IF(OR($B162="",$A162&gt;$B$9,L$149=""),"",IF(COUNTIFS(BD!$B$3:$B$5001,L$149,BD!$A$3:$A$5001,"&gt;="&amp;$C$7,BD!$A$3:$A$5001,"&lt;="&amp;$B162,BD!$M$3:$M$5001,"&lt;&gt;")=0,"",SUMIFS(BD!$M$3:$M$5001,BD!$B$3:$B$5001,L$149,BD!$A$3:$A$5001,_xlfn.MAXIFS(BD!$A$3:$A$5001,BD!$B$3:$B$5001,L$149,BD!$A$3:$A$5001,"&gt;="&amp;$C$7,BD!$A$3:$A$5001,"&lt;="&amp;$B162,BD!$M$3:$M$5001,"&lt;&gt;"))))</f>
        <v/>
      </c>
      <c r="M162" s="43" t="str">
        <f>IF(OR($B162="",$A162&gt;$B$9,M$149=""),"",IF(COUNTIFS(BD!$B$3:$B$5001,M$149,BD!$A$3:$A$5001,"&gt;="&amp;$C$7,BD!$A$3:$A$5001,"&lt;="&amp;$B162,BD!$M$3:$M$5001,"&lt;&gt;")=0,"",SUMIFS(BD!$M$3:$M$5001,BD!$B$3:$B$5001,M$149,BD!$A$3:$A$5001,_xlfn.MAXIFS(BD!$A$3:$A$5001,BD!$B$3:$B$5001,M$149,BD!$A$3:$A$5001,"&gt;="&amp;$C$7,BD!$A$3:$A$5001,"&lt;="&amp;$B162,BD!$M$3:$M$5001,"&lt;&gt;"))))</f>
        <v/>
      </c>
      <c r="N162" s="43" t="str">
        <f>IF(OR($B162="",$A162&gt;$B$9,N$149=""),"",IF(COUNTIFS(BD!$B$3:$B$5001,N$149,BD!$A$3:$A$5001,"&gt;="&amp;$C$7,BD!$A$3:$A$5001,"&lt;="&amp;$B162,BD!$M$3:$M$5001,"&lt;&gt;")=0,"",SUMIFS(BD!$M$3:$M$5001,BD!$B$3:$B$5001,N$149,BD!$A$3:$A$5001,_xlfn.MAXIFS(BD!$A$3:$A$5001,BD!$B$3:$B$5001,N$149,BD!$A$3:$A$5001,"&gt;="&amp;$C$7,BD!$A$3:$A$5001,"&lt;="&amp;$B162,BD!$M$3:$M$5001,"&lt;&gt;"))))</f>
        <v/>
      </c>
      <c r="O162" s="43" t="str">
        <f>IF(OR($B162="",$A162&gt;$B$9,O$149=""),"",IF(COUNTIFS(BD!$B$3:$B$5001,O$149,BD!$A$3:$A$5001,"&gt;="&amp;$C$7,BD!$A$3:$A$5001,"&lt;="&amp;$B162,BD!$M$3:$M$5001,"&lt;&gt;")=0,"",SUMIFS(BD!$M$3:$M$5001,BD!$B$3:$B$5001,O$149,BD!$A$3:$A$5001,_xlfn.MAXIFS(BD!$A$3:$A$5001,BD!$B$3:$B$5001,O$149,BD!$A$3:$A$5001,"&gt;="&amp;$C$7,BD!$A$3:$A$5001,"&lt;="&amp;$B162,BD!$M$3:$M$5001,"&lt;&gt;"))))</f>
        <v/>
      </c>
      <c r="P162" s="43" t="str">
        <f>IF(OR($B162="",$A162&gt;$B$9,P$149=""),"",IF(COUNTIFS(BD!$B$3:$B$5001,P$149,BD!$A$3:$A$5001,"&gt;="&amp;$C$7,BD!$A$3:$A$5001,"&lt;="&amp;$B162,BD!$M$3:$M$5001,"&lt;&gt;")=0,"",SUMIFS(BD!$M$3:$M$5001,BD!$B$3:$B$5001,P$149,BD!$A$3:$A$5001,_xlfn.MAXIFS(BD!$A$3:$A$5001,BD!$B$3:$B$5001,P$149,BD!$A$3:$A$5001,"&gt;="&amp;$C$7,BD!$A$3:$A$5001,"&lt;="&amp;$B162,BD!$M$3:$M$5001,"&lt;&gt;"))))</f>
        <v/>
      </c>
      <c r="Q162" s="43" t="str">
        <f>IF(OR($B162="",$A162&gt;$B$9,Q$149=""),"",IF(COUNTIFS(BD!$B$3:$B$5001,Q$149,BD!$A$3:$A$5001,"&gt;="&amp;$C$7,BD!$A$3:$A$5001,"&lt;="&amp;$B162,BD!$M$3:$M$5001,"&lt;&gt;")=0,"",SUMIFS(BD!$M$3:$M$5001,BD!$B$3:$B$5001,Q$149,BD!$A$3:$A$5001,_xlfn.MAXIFS(BD!$A$3:$A$5001,BD!$B$3:$B$5001,Q$149,BD!$A$3:$A$5001,"&gt;="&amp;$C$7,BD!$A$3:$A$5001,"&lt;="&amp;$B162,BD!$M$3:$M$5001,"&lt;&gt;"))))</f>
        <v/>
      </c>
      <c r="R162" s="43" t="str">
        <f>IF(OR($B162="",$A162&gt;$B$9,R$149=""),"",IF(COUNTIFS(BD!$B$3:$B$5001,R$149,BD!$A$3:$A$5001,"&gt;="&amp;$C$7,BD!$A$3:$A$5001,"&lt;="&amp;$B162,BD!$M$3:$M$5001,"&lt;&gt;")=0,"",SUMIFS(BD!$M$3:$M$5001,BD!$B$3:$B$5001,R$149,BD!$A$3:$A$5001,_xlfn.MAXIFS(BD!$A$3:$A$5001,BD!$B$3:$B$5001,R$149,BD!$A$3:$A$5001,"&gt;="&amp;$C$7,BD!$A$3:$A$5001,"&lt;="&amp;$B162,BD!$M$3:$M$5001,"&lt;&gt;"))))</f>
        <v/>
      </c>
      <c r="S162" s="43" t="str">
        <f>IF(OR($B162="",$A162&gt;$B$9,S$149=""),"",IF(COUNTIFS(BD!$B$3:$B$5001,S$149,BD!$A$3:$A$5001,"&gt;="&amp;$C$7,BD!$A$3:$A$5001,"&lt;="&amp;$B162,BD!$M$3:$M$5001,"&lt;&gt;")=0,"",SUMIFS(BD!$M$3:$M$5001,BD!$B$3:$B$5001,S$149,BD!$A$3:$A$5001,_xlfn.MAXIFS(BD!$A$3:$A$5001,BD!$B$3:$B$5001,S$149,BD!$A$3:$A$5001,"&gt;="&amp;$C$7,BD!$A$3:$A$5001,"&lt;="&amp;$B162,BD!$M$3:$M$5001,"&lt;&gt;"))))</f>
        <v/>
      </c>
      <c r="T162" s="43" t="str">
        <f>IF(OR($B162="",$A162&gt;$B$9,T$149=""),"",IF(COUNTIFS(BD!$B$3:$B$5001,T$149,BD!$A$3:$A$5001,"&gt;="&amp;$C$7,BD!$A$3:$A$5001,"&lt;="&amp;$B162,BD!$M$3:$M$5001,"&lt;&gt;")=0,"",SUMIFS(BD!$M$3:$M$5001,BD!$B$3:$B$5001,T$149,BD!$A$3:$A$5001,_xlfn.MAXIFS(BD!$A$3:$A$5001,BD!$B$3:$B$5001,T$149,BD!$A$3:$A$5001,"&gt;="&amp;$C$7,BD!$A$3:$A$5001,"&lt;="&amp;$B162,BD!$M$3:$M$5001,"&lt;&gt;"))))</f>
        <v/>
      </c>
      <c r="U162" s="43" t="str">
        <f>IF(OR($B162="",$A162&gt;$B$9,U$149=""),"",IF(COUNTIFS(BD!$B$3:$B$5001,U$149,BD!$A$3:$A$5001,"&gt;="&amp;$C$7,BD!$A$3:$A$5001,"&lt;="&amp;$B162,BD!$M$3:$M$5001,"&lt;&gt;")=0,"",SUMIFS(BD!$M$3:$M$5001,BD!$B$3:$B$5001,U$149,BD!$A$3:$A$5001,_xlfn.MAXIFS(BD!$A$3:$A$5001,BD!$B$3:$B$5001,U$149,BD!$A$3:$A$5001,"&gt;="&amp;$C$7,BD!$A$3:$A$5001,"&lt;="&amp;$B162,BD!$M$3:$M$5001,"&lt;&gt;"))))</f>
        <v/>
      </c>
      <c r="V162" s="43" t="str">
        <f>IF(OR($B162="",$A162&gt;$B$9,V$149=""),"",IF(COUNTIFS(BD!$B$3:$B$5001,V$149,BD!$A$3:$A$5001,"&gt;="&amp;$C$7,BD!$A$3:$A$5001,"&lt;="&amp;$B162,BD!$M$3:$M$5001,"&lt;&gt;")=0,"",SUMIFS(BD!$M$3:$M$5001,BD!$B$3:$B$5001,V$149,BD!$A$3:$A$5001,_xlfn.MAXIFS(BD!$A$3:$A$5001,BD!$B$3:$B$5001,V$149,BD!$A$3:$A$5001,"&gt;="&amp;$C$7,BD!$A$3:$A$5001,"&lt;="&amp;$B162,BD!$M$3:$M$5001,"&lt;&gt;"))))</f>
        <v/>
      </c>
    </row>
    <row r="163">
      <c r="A163" s="38">
        <v>14</v>
      </c>
      <c r="B163" s="42">
        <f>$B$25</f>
        <v>46309</v>
      </c>
      <c r="C163" s="43" t="str">
        <f>IF(OR($B163="",$A163&gt;$B$9,C$149=""),"",IF(COUNTIFS(BD!$B$3:$B$5001,C$149,BD!$A$3:$A$5001,"&gt;="&amp;$C$7,BD!$A$3:$A$5001,"&lt;="&amp;$B163,BD!$M$3:$M$5001,"&lt;&gt;")=0,"",SUMIFS(BD!$M$3:$M$5001,BD!$B$3:$B$5001,C$149,BD!$A$3:$A$5001,_xlfn.MAXIFS(BD!$A$3:$A$5001,BD!$B$3:$B$5001,C$149,BD!$A$3:$A$5001,"&gt;="&amp;$C$7,BD!$A$3:$A$5001,"&lt;="&amp;$B163,BD!$M$3:$M$5001,"&lt;&gt;"))))</f>
        <v/>
      </c>
      <c r="D163" s="43" t="str">
        <f>IF(OR($B163="",$A163&gt;$B$9,D$149=""),"",IF(COUNTIFS(BD!$B$3:$B$5001,D$149,BD!$A$3:$A$5001,"&gt;="&amp;$C$7,BD!$A$3:$A$5001,"&lt;="&amp;$B163,BD!$M$3:$M$5001,"&lt;&gt;")=0,"",SUMIFS(BD!$M$3:$M$5001,BD!$B$3:$B$5001,D$149,BD!$A$3:$A$5001,_xlfn.MAXIFS(BD!$A$3:$A$5001,BD!$B$3:$B$5001,D$149,BD!$A$3:$A$5001,"&gt;="&amp;$C$7,BD!$A$3:$A$5001,"&lt;="&amp;$B163,BD!$M$3:$M$5001,"&lt;&gt;"))))</f>
        <v/>
      </c>
      <c r="E163" s="43" t="str">
        <f>IF(OR($B163="",$A163&gt;$B$9,E$149=""),"",IF(COUNTIFS(BD!$B$3:$B$5001,E$149,BD!$A$3:$A$5001,"&gt;="&amp;$C$7,BD!$A$3:$A$5001,"&lt;="&amp;$B163,BD!$M$3:$M$5001,"&lt;&gt;")=0,"",SUMIFS(BD!$M$3:$M$5001,BD!$B$3:$B$5001,E$149,BD!$A$3:$A$5001,_xlfn.MAXIFS(BD!$A$3:$A$5001,BD!$B$3:$B$5001,E$149,BD!$A$3:$A$5001,"&gt;="&amp;$C$7,BD!$A$3:$A$5001,"&lt;="&amp;$B163,BD!$M$3:$M$5001,"&lt;&gt;"))))</f>
        <v/>
      </c>
      <c r="F163" s="43" t="str">
        <f>IF(OR($B163="",$A163&gt;$B$9,F$149=""),"",IF(COUNTIFS(BD!$B$3:$B$5001,F$149,BD!$A$3:$A$5001,"&gt;="&amp;$C$7,BD!$A$3:$A$5001,"&lt;="&amp;$B163,BD!$M$3:$M$5001,"&lt;&gt;")=0,"",SUMIFS(BD!$M$3:$M$5001,BD!$B$3:$B$5001,F$149,BD!$A$3:$A$5001,_xlfn.MAXIFS(BD!$A$3:$A$5001,BD!$B$3:$B$5001,F$149,BD!$A$3:$A$5001,"&gt;="&amp;$C$7,BD!$A$3:$A$5001,"&lt;="&amp;$B163,BD!$M$3:$M$5001,"&lt;&gt;"))))</f>
        <v/>
      </c>
      <c r="G163" s="43" t="str">
        <f>IF(OR($B163="",$A163&gt;$B$9,G$149=""),"",IF(COUNTIFS(BD!$B$3:$B$5001,G$149,BD!$A$3:$A$5001,"&gt;="&amp;$C$7,BD!$A$3:$A$5001,"&lt;="&amp;$B163,BD!$M$3:$M$5001,"&lt;&gt;")=0,"",SUMIFS(BD!$M$3:$M$5001,BD!$B$3:$B$5001,G$149,BD!$A$3:$A$5001,_xlfn.MAXIFS(BD!$A$3:$A$5001,BD!$B$3:$B$5001,G$149,BD!$A$3:$A$5001,"&gt;="&amp;$C$7,BD!$A$3:$A$5001,"&lt;="&amp;$B163,BD!$M$3:$M$5001,"&lt;&gt;"))))</f>
        <v/>
      </c>
      <c r="H163" s="43" t="str">
        <f>IF(OR($B163="",$A163&gt;$B$9,H$149=""),"",IF(COUNTIFS(BD!$B$3:$B$5001,H$149,BD!$A$3:$A$5001,"&gt;="&amp;$C$7,BD!$A$3:$A$5001,"&lt;="&amp;$B163,BD!$M$3:$M$5001,"&lt;&gt;")=0,"",SUMIFS(BD!$M$3:$M$5001,BD!$B$3:$B$5001,H$149,BD!$A$3:$A$5001,_xlfn.MAXIFS(BD!$A$3:$A$5001,BD!$B$3:$B$5001,H$149,BD!$A$3:$A$5001,"&gt;="&amp;$C$7,BD!$A$3:$A$5001,"&lt;="&amp;$B163,BD!$M$3:$M$5001,"&lt;&gt;"))))</f>
        <v/>
      </c>
      <c r="I163" s="43" t="str">
        <f>IF(OR($B163="",$A163&gt;$B$9,I$149=""),"",IF(COUNTIFS(BD!$B$3:$B$5001,I$149,BD!$A$3:$A$5001,"&gt;="&amp;$C$7,BD!$A$3:$A$5001,"&lt;="&amp;$B163,BD!$M$3:$M$5001,"&lt;&gt;")=0,"",SUMIFS(BD!$M$3:$M$5001,BD!$B$3:$B$5001,I$149,BD!$A$3:$A$5001,_xlfn.MAXIFS(BD!$A$3:$A$5001,BD!$B$3:$B$5001,I$149,BD!$A$3:$A$5001,"&gt;="&amp;$C$7,BD!$A$3:$A$5001,"&lt;="&amp;$B163,BD!$M$3:$M$5001,"&lt;&gt;"))))</f>
        <v/>
      </c>
      <c r="J163" s="43" t="str">
        <f>IF(OR($B163="",$A163&gt;$B$9,J$149=""),"",IF(COUNTIFS(BD!$B$3:$B$5001,J$149,BD!$A$3:$A$5001,"&gt;="&amp;$C$7,BD!$A$3:$A$5001,"&lt;="&amp;$B163,BD!$M$3:$M$5001,"&lt;&gt;")=0,"",SUMIFS(BD!$M$3:$M$5001,BD!$B$3:$B$5001,J$149,BD!$A$3:$A$5001,_xlfn.MAXIFS(BD!$A$3:$A$5001,BD!$B$3:$B$5001,J$149,BD!$A$3:$A$5001,"&gt;="&amp;$C$7,BD!$A$3:$A$5001,"&lt;="&amp;$B163,BD!$M$3:$M$5001,"&lt;&gt;"))))</f>
        <v/>
      </c>
      <c r="K163" s="43" t="str">
        <f>IF(OR($B163="",$A163&gt;$B$9,K$149=""),"",IF(COUNTIFS(BD!$B$3:$B$5001,K$149,BD!$A$3:$A$5001,"&gt;="&amp;$C$7,BD!$A$3:$A$5001,"&lt;="&amp;$B163,BD!$M$3:$M$5001,"&lt;&gt;")=0,"",SUMIFS(BD!$M$3:$M$5001,BD!$B$3:$B$5001,K$149,BD!$A$3:$A$5001,_xlfn.MAXIFS(BD!$A$3:$A$5001,BD!$B$3:$B$5001,K$149,BD!$A$3:$A$5001,"&gt;="&amp;$C$7,BD!$A$3:$A$5001,"&lt;="&amp;$B163,BD!$M$3:$M$5001,"&lt;&gt;"))))</f>
        <v/>
      </c>
      <c r="L163" s="43" t="str">
        <f>IF(OR($B163="",$A163&gt;$B$9,L$149=""),"",IF(COUNTIFS(BD!$B$3:$B$5001,L$149,BD!$A$3:$A$5001,"&gt;="&amp;$C$7,BD!$A$3:$A$5001,"&lt;="&amp;$B163,BD!$M$3:$M$5001,"&lt;&gt;")=0,"",SUMIFS(BD!$M$3:$M$5001,BD!$B$3:$B$5001,L$149,BD!$A$3:$A$5001,_xlfn.MAXIFS(BD!$A$3:$A$5001,BD!$B$3:$B$5001,L$149,BD!$A$3:$A$5001,"&gt;="&amp;$C$7,BD!$A$3:$A$5001,"&lt;="&amp;$B163,BD!$M$3:$M$5001,"&lt;&gt;"))))</f>
        <v/>
      </c>
      <c r="M163" s="43" t="str">
        <f>IF(OR($B163="",$A163&gt;$B$9,M$149=""),"",IF(COUNTIFS(BD!$B$3:$B$5001,M$149,BD!$A$3:$A$5001,"&gt;="&amp;$C$7,BD!$A$3:$A$5001,"&lt;="&amp;$B163,BD!$M$3:$M$5001,"&lt;&gt;")=0,"",SUMIFS(BD!$M$3:$M$5001,BD!$B$3:$B$5001,M$149,BD!$A$3:$A$5001,_xlfn.MAXIFS(BD!$A$3:$A$5001,BD!$B$3:$B$5001,M$149,BD!$A$3:$A$5001,"&gt;="&amp;$C$7,BD!$A$3:$A$5001,"&lt;="&amp;$B163,BD!$M$3:$M$5001,"&lt;&gt;"))))</f>
        <v/>
      </c>
      <c r="N163" s="43" t="str">
        <f>IF(OR($B163="",$A163&gt;$B$9,N$149=""),"",IF(COUNTIFS(BD!$B$3:$B$5001,N$149,BD!$A$3:$A$5001,"&gt;="&amp;$C$7,BD!$A$3:$A$5001,"&lt;="&amp;$B163,BD!$M$3:$M$5001,"&lt;&gt;")=0,"",SUMIFS(BD!$M$3:$M$5001,BD!$B$3:$B$5001,N$149,BD!$A$3:$A$5001,_xlfn.MAXIFS(BD!$A$3:$A$5001,BD!$B$3:$B$5001,N$149,BD!$A$3:$A$5001,"&gt;="&amp;$C$7,BD!$A$3:$A$5001,"&lt;="&amp;$B163,BD!$M$3:$M$5001,"&lt;&gt;"))))</f>
        <v/>
      </c>
      <c r="O163" s="43" t="str">
        <f>IF(OR($B163="",$A163&gt;$B$9,O$149=""),"",IF(COUNTIFS(BD!$B$3:$B$5001,O$149,BD!$A$3:$A$5001,"&gt;="&amp;$C$7,BD!$A$3:$A$5001,"&lt;="&amp;$B163,BD!$M$3:$M$5001,"&lt;&gt;")=0,"",SUMIFS(BD!$M$3:$M$5001,BD!$B$3:$B$5001,O$149,BD!$A$3:$A$5001,_xlfn.MAXIFS(BD!$A$3:$A$5001,BD!$B$3:$B$5001,O$149,BD!$A$3:$A$5001,"&gt;="&amp;$C$7,BD!$A$3:$A$5001,"&lt;="&amp;$B163,BD!$M$3:$M$5001,"&lt;&gt;"))))</f>
        <v/>
      </c>
      <c r="P163" s="43" t="str">
        <f>IF(OR($B163="",$A163&gt;$B$9,P$149=""),"",IF(COUNTIFS(BD!$B$3:$B$5001,P$149,BD!$A$3:$A$5001,"&gt;="&amp;$C$7,BD!$A$3:$A$5001,"&lt;="&amp;$B163,BD!$M$3:$M$5001,"&lt;&gt;")=0,"",SUMIFS(BD!$M$3:$M$5001,BD!$B$3:$B$5001,P$149,BD!$A$3:$A$5001,_xlfn.MAXIFS(BD!$A$3:$A$5001,BD!$B$3:$B$5001,P$149,BD!$A$3:$A$5001,"&gt;="&amp;$C$7,BD!$A$3:$A$5001,"&lt;="&amp;$B163,BD!$M$3:$M$5001,"&lt;&gt;"))))</f>
        <v/>
      </c>
      <c r="Q163" s="43" t="str">
        <f>IF(OR($B163="",$A163&gt;$B$9,Q$149=""),"",IF(COUNTIFS(BD!$B$3:$B$5001,Q$149,BD!$A$3:$A$5001,"&gt;="&amp;$C$7,BD!$A$3:$A$5001,"&lt;="&amp;$B163,BD!$M$3:$M$5001,"&lt;&gt;")=0,"",SUMIFS(BD!$M$3:$M$5001,BD!$B$3:$B$5001,Q$149,BD!$A$3:$A$5001,_xlfn.MAXIFS(BD!$A$3:$A$5001,BD!$B$3:$B$5001,Q$149,BD!$A$3:$A$5001,"&gt;="&amp;$C$7,BD!$A$3:$A$5001,"&lt;="&amp;$B163,BD!$M$3:$M$5001,"&lt;&gt;"))))</f>
        <v/>
      </c>
      <c r="R163" s="43" t="str">
        <f>IF(OR($B163="",$A163&gt;$B$9,R$149=""),"",IF(COUNTIFS(BD!$B$3:$B$5001,R$149,BD!$A$3:$A$5001,"&gt;="&amp;$C$7,BD!$A$3:$A$5001,"&lt;="&amp;$B163,BD!$M$3:$M$5001,"&lt;&gt;")=0,"",SUMIFS(BD!$M$3:$M$5001,BD!$B$3:$B$5001,R$149,BD!$A$3:$A$5001,_xlfn.MAXIFS(BD!$A$3:$A$5001,BD!$B$3:$B$5001,R$149,BD!$A$3:$A$5001,"&gt;="&amp;$C$7,BD!$A$3:$A$5001,"&lt;="&amp;$B163,BD!$M$3:$M$5001,"&lt;&gt;"))))</f>
        <v/>
      </c>
      <c r="S163" s="43" t="str">
        <f>IF(OR($B163="",$A163&gt;$B$9,S$149=""),"",IF(COUNTIFS(BD!$B$3:$B$5001,S$149,BD!$A$3:$A$5001,"&gt;="&amp;$C$7,BD!$A$3:$A$5001,"&lt;="&amp;$B163,BD!$M$3:$M$5001,"&lt;&gt;")=0,"",SUMIFS(BD!$M$3:$M$5001,BD!$B$3:$B$5001,S$149,BD!$A$3:$A$5001,_xlfn.MAXIFS(BD!$A$3:$A$5001,BD!$B$3:$B$5001,S$149,BD!$A$3:$A$5001,"&gt;="&amp;$C$7,BD!$A$3:$A$5001,"&lt;="&amp;$B163,BD!$M$3:$M$5001,"&lt;&gt;"))))</f>
        <v/>
      </c>
      <c r="T163" s="43" t="str">
        <f>IF(OR($B163="",$A163&gt;$B$9,T$149=""),"",IF(COUNTIFS(BD!$B$3:$B$5001,T$149,BD!$A$3:$A$5001,"&gt;="&amp;$C$7,BD!$A$3:$A$5001,"&lt;="&amp;$B163,BD!$M$3:$M$5001,"&lt;&gt;")=0,"",SUMIFS(BD!$M$3:$M$5001,BD!$B$3:$B$5001,T$149,BD!$A$3:$A$5001,_xlfn.MAXIFS(BD!$A$3:$A$5001,BD!$B$3:$B$5001,T$149,BD!$A$3:$A$5001,"&gt;="&amp;$C$7,BD!$A$3:$A$5001,"&lt;="&amp;$B163,BD!$M$3:$M$5001,"&lt;&gt;"))))</f>
        <v/>
      </c>
      <c r="U163" s="43" t="str">
        <f>IF(OR($B163="",$A163&gt;$B$9,U$149=""),"",IF(COUNTIFS(BD!$B$3:$B$5001,U$149,BD!$A$3:$A$5001,"&gt;="&amp;$C$7,BD!$A$3:$A$5001,"&lt;="&amp;$B163,BD!$M$3:$M$5001,"&lt;&gt;")=0,"",SUMIFS(BD!$M$3:$M$5001,BD!$B$3:$B$5001,U$149,BD!$A$3:$A$5001,_xlfn.MAXIFS(BD!$A$3:$A$5001,BD!$B$3:$B$5001,U$149,BD!$A$3:$A$5001,"&gt;="&amp;$C$7,BD!$A$3:$A$5001,"&lt;="&amp;$B163,BD!$M$3:$M$5001,"&lt;&gt;"))))</f>
        <v/>
      </c>
      <c r="V163" s="43" t="str">
        <f>IF(OR($B163="",$A163&gt;$B$9,V$149=""),"",IF(COUNTIFS(BD!$B$3:$B$5001,V$149,BD!$A$3:$A$5001,"&gt;="&amp;$C$7,BD!$A$3:$A$5001,"&lt;="&amp;$B163,BD!$M$3:$M$5001,"&lt;&gt;")=0,"",SUMIFS(BD!$M$3:$M$5001,BD!$B$3:$B$5001,V$149,BD!$A$3:$A$5001,_xlfn.MAXIFS(BD!$A$3:$A$5001,BD!$B$3:$B$5001,V$149,BD!$A$3:$A$5001,"&gt;="&amp;$C$7,BD!$A$3:$A$5001,"&lt;="&amp;$B163,BD!$M$3:$M$5001,"&lt;&gt;"))))</f>
        <v/>
      </c>
    </row>
    <row r="164">
      <c r="A164" s="38">
        <v>15</v>
      </c>
      <c r="B164" s="42">
        <f>$B$26</f>
        <v>46310</v>
      </c>
      <c r="C164" s="43" t="str">
        <f>IF(OR($B164="",$A164&gt;$B$9,C$149=""),"",IF(COUNTIFS(BD!$B$3:$B$5001,C$149,BD!$A$3:$A$5001,"&gt;="&amp;$C$7,BD!$A$3:$A$5001,"&lt;="&amp;$B164,BD!$M$3:$M$5001,"&lt;&gt;")=0,"",SUMIFS(BD!$M$3:$M$5001,BD!$B$3:$B$5001,C$149,BD!$A$3:$A$5001,_xlfn.MAXIFS(BD!$A$3:$A$5001,BD!$B$3:$B$5001,C$149,BD!$A$3:$A$5001,"&gt;="&amp;$C$7,BD!$A$3:$A$5001,"&lt;="&amp;$B164,BD!$M$3:$M$5001,"&lt;&gt;"))))</f>
        <v/>
      </c>
      <c r="D164" s="43" t="str">
        <f>IF(OR($B164="",$A164&gt;$B$9,D$149=""),"",IF(COUNTIFS(BD!$B$3:$B$5001,D$149,BD!$A$3:$A$5001,"&gt;="&amp;$C$7,BD!$A$3:$A$5001,"&lt;="&amp;$B164,BD!$M$3:$M$5001,"&lt;&gt;")=0,"",SUMIFS(BD!$M$3:$M$5001,BD!$B$3:$B$5001,D$149,BD!$A$3:$A$5001,_xlfn.MAXIFS(BD!$A$3:$A$5001,BD!$B$3:$B$5001,D$149,BD!$A$3:$A$5001,"&gt;="&amp;$C$7,BD!$A$3:$A$5001,"&lt;="&amp;$B164,BD!$M$3:$M$5001,"&lt;&gt;"))))</f>
        <v/>
      </c>
      <c r="E164" s="43" t="str">
        <f>IF(OR($B164="",$A164&gt;$B$9,E$149=""),"",IF(COUNTIFS(BD!$B$3:$B$5001,E$149,BD!$A$3:$A$5001,"&gt;="&amp;$C$7,BD!$A$3:$A$5001,"&lt;="&amp;$B164,BD!$M$3:$M$5001,"&lt;&gt;")=0,"",SUMIFS(BD!$M$3:$M$5001,BD!$B$3:$B$5001,E$149,BD!$A$3:$A$5001,_xlfn.MAXIFS(BD!$A$3:$A$5001,BD!$B$3:$B$5001,E$149,BD!$A$3:$A$5001,"&gt;="&amp;$C$7,BD!$A$3:$A$5001,"&lt;="&amp;$B164,BD!$M$3:$M$5001,"&lt;&gt;"))))</f>
        <v/>
      </c>
      <c r="F164" s="43" t="str">
        <f>IF(OR($B164="",$A164&gt;$B$9,F$149=""),"",IF(COUNTIFS(BD!$B$3:$B$5001,F$149,BD!$A$3:$A$5001,"&gt;="&amp;$C$7,BD!$A$3:$A$5001,"&lt;="&amp;$B164,BD!$M$3:$M$5001,"&lt;&gt;")=0,"",SUMIFS(BD!$M$3:$M$5001,BD!$B$3:$B$5001,F$149,BD!$A$3:$A$5001,_xlfn.MAXIFS(BD!$A$3:$A$5001,BD!$B$3:$B$5001,F$149,BD!$A$3:$A$5001,"&gt;="&amp;$C$7,BD!$A$3:$A$5001,"&lt;="&amp;$B164,BD!$M$3:$M$5001,"&lt;&gt;"))))</f>
        <v/>
      </c>
      <c r="G164" s="43" t="str">
        <f>IF(OR($B164="",$A164&gt;$B$9,G$149=""),"",IF(COUNTIFS(BD!$B$3:$B$5001,G$149,BD!$A$3:$A$5001,"&gt;="&amp;$C$7,BD!$A$3:$A$5001,"&lt;="&amp;$B164,BD!$M$3:$M$5001,"&lt;&gt;")=0,"",SUMIFS(BD!$M$3:$M$5001,BD!$B$3:$B$5001,G$149,BD!$A$3:$A$5001,_xlfn.MAXIFS(BD!$A$3:$A$5001,BD!$B$3:$B$5001,G$149,BD!$A$3:$A$5001,"&gt;="&amp;$C$7,BD!$A$3:$A$5001,"&lt;="&amp;$B164,BD!$M$3:$M$5001,"&lt;&gt;"))))</f>
        <v/>
      </c>
      <c r="H164" s="43" t="str">
        <f>IF(OR($B164="",$A164&gt;$B$9,H$149=""),"",IF(COUNTIFS(BD!$B$3:$B$5001,H$149,BD!$A$3:$A$5001,"&gt;="&amp;$C$7,BD!$A$3:$A$5001,"&lt;="&amp;$B164,BD!$M$3:$M$5001,"&lt;&gt;")=0,"",SUMIFS(BD!$M$3:$M$5001,BD!$B$3:$B$5001,H$149,BD!$A$3:$A$5001,_xlfn.MAXIFS(BD!$A$3:$A$5001,BD!$B$3:$B$5001,H$149,BD!$A$3:$A$5001,"&gt;="&amp;$C$7,BD!$A$3:$A$5001,"&lt;="&amp;$B164,BD!$M$3:$M$5001,"&lt;&gt;"))))</f>
        <v/>
      </c>
      <c r="I164" s="43" t="str">
        <f>IF(OR($B164="",$A164&gt;$B$9,I$149=""),"",IF(COUNTIFS(BD!$B$3:$B$5001,I$149,BD!$A$3:$A$5001,"&gt;="&amp;$C$7,BD!$A$3:$A$5001,"&lt;="&amp;$B164,BD!$M$3:$M$5001,"&lt;&gt;")=0,"",SUMIFS(BD!$M$3:$M$5001,BD!$B$3:$B$5001,I$149,BD!$A$3:$A$5001,_xlfn.MAXIFS(BD!$A$3:$A$5001,BD!$B$3:$B$5001,I$149,BD!$A$3:$A$5001,"&gt;="&amp;$C$7,BD!$A$3:$A$5001,"&lt;="&amp;$B164,BD!$M$3:$M$5001,"&lt;&gt;"))))</f>
        <v/>
      </c>
      <c r="J164" s="43" t="str">
        <f>IF(OR($B164="",$A164&gt;$B$9,J$149=""),"",IF(COUNTIFS(BD!$B$3:$B$5001,J$149,BD!$A$3:$A$5001,"&gt;="&amp;$C$7,BD!$A$3:$A$5001,"&lt;="&amp;$B164,BD!$M$3:$M$5001,"&lt;&gt;")=0,"",SUMIFS(BD!$M$3:$M$5001,BD!$B$3:$B$5001,J$149,BD!$A$3:$A$5001,_xlfn.MAXIFS(BD!$A$3:$A$5001,BD!$B$3:$B$5001,J$149,BD!$A$3:$A$5001,"&gt;="&amp;$C$7,BD!$A$3:$A$5001,"&lt;="&amp;$B164,BD!$M$3:$M$5001,"&lt;&gt;"))))</f>
        <v/>
      </c>
      <c r="K164" s="43" t="str">
        <f>IF(OR($B164="",$A164&gt;$B$9,K$149=""),"",IF(COUNTIFS(BD!$B$3:$B$5001,K$149,BD!$A$3:$A$5001,"&gt;="&amp;$C$7,BD!$A$3:$A$5001,"&lt;="&amp;$B164,BD!$M$3:$M$5001,"&lt;&gt;")=0,"",SUMIFS(BD!$M$3:$M$5001,BD!$B$3:$B$5001,K$149,BD!$A$3:$A$5001,_xlfn.MAXIFS(BD!$A$3:$A$5001,BD!$B$3:$B$5001,K$149,BD!$A$3:$A$5001,"&gt;="&amp;$C$7,BD!$A$3:$A$5001,"&lt;="&amp;$B164,BD!$M$3:$M$5001,"&lt;&gt;"))))</f>
        <v/>
      </c>
      <c r="L164" s="43" t="str">
        <f>IF(OR($B164="",$A164&gt;$B$9,L$149=""),"",IF(COUNTIFS(BD!$B$3:$B$5001,L$149,BD!$A$3:$A$5001,"&gt;="&amp;$C$7,BD!$A$3:$A$5001,"&lt;="&amp;$B164,BD!$M$3:$M$5001,"&lt;&gt;")=0,"",SUMIFS(BD!$M$3:$M$5001,BD!$B$3:$B$5001,L$149,BD!$A$3:$A$5001,_xlfn.MAXIFS(BD!$A$3:$A$5001,BD!$B$3:$B$5001,L$149,BD!$A$3:$A$5001,"&gt;="&amp;$C$7,BD!$A$3:$A$5001,"&lt;="&amp;$B164,BD!$M$3:$M$5001,"&lt;&gt;"))))</f>
        <v/>
      </c>
      <c r="M164" s="43" t="str">
        <f>IF(OR($B164="",$A164&gt;$B$9,M$149=""),"",IF(COUNTIFS(BD!$B$3:$B$5001,M$149,BD!$A$3:$A$5001,"&gt;="&amp;$C$7,BD!$A$3:$A$5001,"&lt;="&amp;$B164,BD!$M$3:$M$5001,"&lt;&gt;")=0,"",SUMIFS(BD!$M$3:$M$5001,BD!$B$3:$B$5001,M$149,BD!$A$3:$A$5001,_xlfn.MAXIFS(BD!$A$3:$A$5001,BD!$B$3:$B$5001,M$149,BD!$A$3:$A$5001,"&gt;="&amp;$C$7,BD!$A$3:$A$5001,"&lt;="&amp;$B164,BD!$M$3:$M$5001,"&lt;&gt;"))))</f>
        <v/>
      </c>
      <c r="N164" s="43" t="str">
        <f>IF(OR($B164="",$A164&gt;$B$9,N$149=""),"",IF(COUNTIFS(BD!$B$3:$B$5001,N$149,BD!$A$3:$A$5001,"&gt;="&amp;$C$7,BD!$A$3:$A$5001,"&lt;="&amp;$B164,BD!$M$3:$M$5001,"&lt;&gt;")=0,"",SUMIFS(BD!$M$3:$M$5001,BD!$B$3:$B$5001,N$149,BD!$A$3:$A$5001,_xlfn.MAXIFS(BD!$A$3:$A$5001,BD!$B$3:$B$5001,N$149,BD!$A$3:$A$5001,"&gt;="&amp;$C$7,BD!$A$3:$A$5001,"&lt;="&amp;$B164,BD!$M$3:$M$5001,"&lt;&gt;"))))</f>
        <v/>
      </c>
      <c r="O164" s="43" t="str">
        <f>IF(OR($B164="",$A164&gt;$B$9,O$149=""),"",IF(COUNTIFS(BD!$B$3:$B$5001,O$149,BD!$A$3:$A$5001,"&gt;="&amp;$C$7,BD!$A$3:$A$5001,"&lt;="&amp;$B164,BD!$M$3:$M$5001,"&lt;&gt;")=0,"",SUMIFS(BD!$M$3:$M$5001,BD!$B$3:$B$5001,O$149,BD!$A$3:$A$5001,_xlfn.MAXIFS(BD!$A$3:$A$5001,BD!$B$3:$B$5001,O$149,BD!$A$3:$A$5001,"&gt;="&amp;$C$7,BD!$A$3:$A$5001,"&lt;="&amp;$B164,BD!$M$3:$M$5001,"&lt;&gt;"))))</f>
        <v/>
      </c>
      <c r="P164" s="43" t="str">
        <f>IF(OR($B164="",$A164&gt;$B$9,P$149=""),"",IF(COUNTIFS(BD!$B$3:$B$5001,P$149,BD!$A$3:$A$5001,"&gt;="&amp;$C$7,BD!$A$3:$A$5001,"&lt;="&amp;$B164,BD!$M$3:$M$5001,"&lt;&gt;")=0,"",SUMIFS(BD!$M$3:$M$5001,BD!$B$3:$B$5001,P$149,BD!$A$3:$A$5001,_xlfn.MAXIFS(BD!$A$3:$A$5001,BD!$B$3:$B$5001,P$149,BD!$A$3:$A$5001,"&gt;="&amp;$C$7,BD!$A$3:$A$5001,"&lt;="&amp;$B164,BD!$M$3:$M$5001,"&lt;&gt;"))))</f>
        <v/>
      </c>
      <c r="Q164" s="43" t="str">
        <f>IF(OR($B164="",$A164&gt;$B$9,Q$149=""),"",IF(COUNTIFS(BD!$B$3:$B$5001,Q$149,BD!$A$3:$A$5001,"&gt;="&amp;$C$7,BD!$A$3:$A$5001,"&lt;="&amp;$B164,BD!$M$3:$M$5001,"&lt;&gt;")=0,"",SUMIFS(BD!$M$3:$M$5001,BD!$B$3:$B$5001,Q$149,BD!$A$3:$A$5001,_xlfn.MAXIFS(BD!$A$3:$A$5001,BD!$B$3:$B$5001,Q$149,BD!$A$3:$A$5001,"&gt;="&amp;$C$7,BD!$A$3:$A$5001,"&lt;="&amp;$B164,BD!$M$3:$M$5001,"&lt;&gt;"))))</f>
        <v/>
      </c>
      <c r="R164" s="43" t="str">
        <f>IF(OR($B164="",$A164&gt;$B$9,R$149=""),"",IF(COUNTIFS(BD!$B$3:$B$5001,R$149,BD!$A$3:$A$5001,"&gt;="&amp;$C$7,BD!$A$3:$A$5001,"&lt;="&amp;$B164,BD!$M$3:$M$5001,"&lt;&gt;")=0,"",SUMIFS(BD!$M$3:$M$5001,BD!$B$3:$B$5001,R$149,BD!$A$3:$A$5001,_xlfn.MAXIFS(BD!$A$3:$A$5001,BD!$B$3:$B$5001,R$149,BD!$A$3:$A$5001,"&gt;="&amp;$C$7,BD!$A$3:$A$5001,"&lt;="&amp;$B164,BD!$M$3:$M$5001,"&lt;&gt;"))))</f>
        <v/>
      </c>
      <c r="S164" s="43" t="str">
        <f>IF(OR($B164="",$A164&gt;$B$9,S$149=""),"",IF(COUNTIFS(BD!$B$3:$B$5001,S$149,BD!$A$3:$A$5001,"&gt;="&amp;$C$7,BD!$A$3:$A$5001,"&lt;="&amp;$B164,BD!$M$3:$M$5001,"&lt;&gt;")=0,"",SUMIFS(BD!$M$3:$M$5001,BD!$B$3:$B$5001,S$149,BD!$A$3:$A$5001,_xlfn.MAXIFS(BD!$A$3:$A$5001,BD!$B$3:$B$5001,S$149,BD!$A$3:$A$5001,"&gt;="&amp;$C$7,BD!$A$3:$A$5001,"&lt;="&amp;$B164,BD!$M$3:$M$5001,"&lt;&gt;"))))</f>
        <v/>
      </c>
      <c r="T164" s="43" t="str">
        <f>IF(OR($B164="",$A164&gt;$B$9,T$149=""),"",IF(COUNTIFS(BD!$B$3:$B$5001,T$149,BD!$A$3:$A$5001,"&gt;="&amp;$C$7,BD!$A$3:$A$5001,"&lt;="&amp;$B164,BD!$M$3:$M$5001,"&lt;&gt;")=0,"",SUMIFS(BD!$M$3:$M$5001,BD!$B$3:$B$5001,T$149,BD!$A$3:$A$5001,_xlfn.MAXIFS(BD!$A$3:$A$5001,BD!$B$3:$B$5001,T$149,BD!$A$3:$A$5001,"&gt;="&amp;$C$7,BD!$A$3:$A$5001,"&lt;="&amp;$B164,BD!$M$3:$M$5001,"&lt;&gt;"))))</f>
        <v/>
      </c>
      <c r="U164" s="43" t="str">
        <f>IF(OR($B164="",$A164&gt;$B$9,U$149=""),"",IF(COUNTIFS(BD!$B$3:$B$5001,U$149,BD!$A$3:$A$5001,"&gt;="&amp;$C$7,BD!$A$3:$A$5001,"&lt;="&amp;$B164,BD!$M$3:$M$5001,"&lt;&gt;")=0,"",SUMIFS(BD!$M$3:$M$5001,BD!$B$3:$B$5001,U$149,BD!$A$3:$A$5001,_xlfn.MAXIFS(BD!$A$3:$A$5001,BD!$B$3:$B$5001,U$149,BD!$A$3:$A$5001,"&gt;="&amp;$C$7,BD!$A$3:$A$5001,"&lt;="&amp;$B164,BD!$M$3:$M$5001,"&lt;&gt;"))))</f>
        <v/>
      </c>
      <c r="V164" s="43" t="str">
        <f>IF(OR($B164="",$A164&gt;$B$9,V$149=""),"",IF(COUNTIFS(BD!$B$3:$B$5001,V$149,BD!$A$3:$A$5001,"&gt;="&amp;$C$7,BD!$A$3:$A$5001,"&lt;="&amp;$B164,BD!$M$3:$M$5001,"&lt;&gt;")=0,"",SUMIFS(BD!$M$3:$M$5001,BD!$B$3:$B$5001,V$149,BD!$A$3:$A$5001,_xlfn.MAXIFS(BD!$A$3:$A$5001,BD!$B$3:$B$5001,V$149,BD!$A$3:$A$5001,"&gt;="&amp;$C$7,BD!$A$3:$A$5001,"&lt;="&amp;$B164,BD!$M$3:$M$5001,"&lt;&gt;"))))</f>
        <v/>
      </c>
    </row>
    <row r="165">
      <c r="A165" s="38">
        <v>16</v>
      </c>
      <c r="B165" s="42">
        <f>$B$27</f>
        <v>46311</v>
      </c>
      <c r="C165" s="43" t="str">
        <f>IF(OR($B165="",$A165&gt;$B$9,C$149=""),"",IF(COUNTIFS(BD!$B$3:$B$5001,C$149,BD!$A$3:$A$5001,"&gt;="&amp;$C$7,BD!$A$3:$A$5001,"&lt;="&amp;$B165,BD!$M$3:$M$5001,"&lt;&gt;")=0,"",SUMIFS(BD!$M$3:$M$5001,BD!$B$3:$B$5001,C$149,BD!$A$3:$A$5001,_xlfn.MAXIFS(BD!$A$3:$A$5001,BD!$B$3:$B$5001,C$149,BD!$A$3:$A$5001,"&gt;="&amp;$C$7,BD!$A$3:$A$5001,"&lt;="&amp;$B165,BD!$M$3:$M$5001,"&lt;&gt;"))))</f>
        <v/>
      </c>
      <c r="D165" s="43" t="str">
        <f>IF(OR($B165="",$A165&gt;$B$9,D$149=""),"",IF(COUNTIFS(BD!$B$3:$B$5001,D$149,BD!$A$3:$A$5001,"&gt;="&amp;$C$7,BD!$A$3:$A$5001,"&lt;="&amp;$B165,BD!$M$3:$M$5001,"&lt;&gt;")=0,"",SUMIFS(BD!$M$3:$M$5001,BD!$B$3:$B$5001,D$149,BD!$A$3:$A$5001,_xlfn.MAXIFS(BD!$A$3:$A$5001,BD!$B$3:$B$5001,D$149,BD!$A$3:$A$5001,"&gt;="&amp;$C$7,BD!$A$3:$A$5001,"&lt;="&amp;$B165,BD!$M$3:$M$5001,"&lt;&gt;"))))</f>
        <v/>
      </c>
      <c r="E165" s="43" t="str">
        <f>IF(OR($B165="",$A165&gt;$B$9,E$149=""),"",IF(COUNTIFS(BD!$B$3:$B$5001,E$149,BD!$A$3:$A$5001,"&gt;="&amp;$C$7,BD!$A$3:$A$5001,"&lt;="&amp;$B165,BD!$M$3:$M$5001,"&lt;&gt;")=0,"",SUMIFS(BD!$M$3:$M$5001,BD!$B$3:$B$5001,E$149,BD!$A$3:$A$5001,_xlfn.MAXIFS(BD!$A$3:$A$5001,BD!$B$3:$B$5001,E$149,BD!$A$3:$A$5001,"&gt;="&amp;$C$7,BD!$A$3:$A$5001,"&lt;="&amp;$B165,BD!$M$3:$M$5001,"&lt;&gt;"))))</f>
        <v/>
      </c>
      <c r="F165" s="43" t="str">
        <f>IF(OR($B165="",$A165&gt;$B$9,F$149=""),"",IF(COUNTIFS(BD!$B$3:$B$5001,F$149,BD!$A$3:$A$5001,"&gt;="&amp;$C$7,BD!$A$3:$A$5001,"&lt;="&amp;$B165,BD!$M$3:$M$5001,"&lt;&gt;")=0,"",SUMIFS(BD!$M$3:$M$5001,BD!$B$3:$B$5001,F$149,BD!$A$3:$A$5001,_xlfn.MAXIFS(BD!$A$3:$A$5001,BD!$B$3:$B$5001,F$149,BD!$A$3:$A$5001,"&gt;="&amp;$C$7,BD!$A$3:$A$5001,"&lt;="&amp;$B165,BD!$M$3:$M$5001,"&lt;&gt;"))))</f>
        <v/>
      </c>
      <c r="G165" s="43" t="str">
        <f>IF(OR($B165="",$A165&gt;$B$9,G$149=""),"",IF(COUNTIFS(BD!$B$3:$B$5001,G$149,BD!$A$3:$A$5001,"&gt;="&amp;$C$7,BD!$A$3:$A$5001,"&lt;="&amp;$B165,BD!$M$3:$M$5001,"&lt;&gt;")=0,"",SUMIFS(BD!$M$3:$M$5001,BD!$B$3:$B$5001,G$149,BD!$A$3:$A$5001,_xlfn.MAXIFS(BD!$A$3:$A$5001,BD!$B$3:$B$5001,G$149,BD!$A$3:$A$5001,"&gt;="&amp;$C$7,BD!$A$3:$A$5001,"&lt;="&amp;$B165,BD!$M$3:$M$5001,"&lt;&gt;"))))</f>
        <v/>
      </c>
      <c r="H165" s="43" t="str">
        <f>IF(OR($B165="",$A165&gt;$B$9,H$149=""),"",IF(COUNTIFS(BD!$B$3:$B$5001,H$149,BD!$A$3:$A$5001,"&gt;="&amp;$C$7,BD!$A$3:$A$5001,"&lt;="&amp;$B165,BD!$M$3:$M$5001,"&lt;&gt;")=0,"",SUMIFS(BD!$M$3:$M$5001,BD!$B$3:$B$5001,H$149,BD!$A$3:$A$5001,_xlfn.MAXIFS(BD!$A$3:$A$5001,BD!$B$3:$B$5001,H$149,BD!$A$3:$A$5001,"&gt;="&amp;$C$7,BD!$A$3:$A$5001,"&lt;="&amp;$B165,BD!$M$3:$M$5001,"&lt;&gt;"))))</f>
        <v/>
      </c>
      <c r="I165" s="43" t="str">
        <f>IF(OR($B165="",$A165&gt;$B$9,I$149=""),"",IF(COUNTIFS(BD!$B$3:$B$5001,I$149,BD!$A$3:$A$5001,"&gt;="&amp;$C$7,BD!$A$3:$A$5001,"&lt;="&amp;$B165,BD!$M$3:$M$5001,"&lt;&gt;")=0,"",SUMIFS(BD!$M$3:$M$5001,BD!$B$3:$B$5001,I$149,BD!$A$3:$A$5001,_xlfn.MAXIFS(BD!$A$3:$A$5001,BD!$B$3:$B$5001,I$149,BD!$A$3:$A$5001,"&gt;="&amp;$C$7,BD!$A$3:$A$5001,"&lt;="&amp;$B165,BD!$M$3:$M$5001,"&lt;&gt;"))))</f>
        <v/>
      </c>
      <c r="J165" s="43" t="str">
        <f>IF(OR($B165="",$A165&gt;$B$9,J$149=""),"",IF(COUNTIFS(BD!$B$3:$B$5001,J$149,BD!$A$3:$A$5001,"&gt;="&amp;$C$7,BD!$A$3:$A$5001,"&lt;="&amp;$B165,BD!$M$3:$M$5001,"&lt;&gt;")=0,"",SUMIFS(BD!$M$3:$M$5001,BD!$B$3:$B$5001,J$149,BD!$A$3:$A$5001,_xlfn.MAXIFS(BD!$A$3:$A$5001,BD!$B$3:$B$5001,J$149,BD!$A$3:$A$5001,"&gt;="&amp;$C$7,BD!$A$3:$A$5001,"&lt;="&amp;$B165,BD!$M$3:$M$5001,"&lt;&gt;"))))</f>
        <v/>
      </c>
      <c r="K165" s="43" t="str">
        <f>IF(OR($B165="",$A165&gt;$B$9,K$149=""),"",IF(COUNTIFS(BD!$B$3:$B$5001,K$149,BD!$A$3:$A$5001,"&gt;="&amp;$C$7,BD!$A$3:$A$5001,"&lt;="&amp;$B165,BD!$M$3:$M$5001,"&lt;&gt;")=0,"",SUMIFS(BD!$M$3:$M$5001,BD!$B$3:$B$5001,K$149,BD!$A$3:$A$5001,_xlfn.MAXIFS(BD!$A$3:$A$5001,BD!$B$3:$B$5001,K$149,BD!$A$3:$A$5001,"&gt;="&amp;$C$7,BD!$A$3:$A$5001,"&lt;="&amp;$B165,BD!$M$3:$M$5001,"&lt;&gt;"))))</f>
        <v/>
      </c>
      <c r="L165" s="43" t="str">
        <f>IF(OR($B165="",$A165&gt;$B$9,L$149=""),"",IF(COUNTIFS(BD!$B$3:$B$5001,L$149,BD!$A$3:$A$5001,"&gt;="&amp;$C$7,BD!$A$3:$A$5001,"&lt;="&amp;$B165,BD!$M$3:$M$5001,"&lt;&gt;")=0,"",SUMIFS(BD!$M$3:$M$5001,BD!$B$3:$B$5001,L$149,BD!$A$3:$A$5001,_xlfn.MAXIFS(BD!$A$3:$A$5001,BD!$B$3:$B$5001,L$149,BD!$A$3:$A$5001,"&gt;="&amp;$C$7,BD!$A$3:$A$5001,"&lt;="&amp;$B165,BD!$M$3:$M$5001,"&lt;&gt;"))))</f>
        <v/>
      </c>
      <c r="M165" s="43" t="str">
        <f>IF(OR($B165="",$A165&gt;$B$9,M$149=""),"",IF(COUNTIFS(BD!$B$3:$B$5001,M$149,BD!$A$3:$A$5001,"&gt;="&amp;$C$7,BD!$A$3:$A$5001,"&lt;="&amp;$B165,BD!$M$3:$M$5001,"&lt;&gt;")=0,"",SUMIFS(BD!$M$3:$M$5001,BD!$B$3:$B$5001,M$149,BD!$A$3:$A$5001,_xlfn.MAXIFS(BD!$A$3:$A$5001,BD!$B$3:$B$5001,M$149,BD!$A$3:$A$5001,"&gt;="&amp;$C$7,BD!$A$3:$A$5001,"&lt;="&amp;$B165,BD!$M$3:$M$5001,"&lt;&gt;"))))</f>
        <v/>
      </c>
      <c r="N165" s="43" t="str">
        <f>IF(OR($B165="",$A165&gt;$B$9,N$149=""),"",IF(COUNTIFS(BD!$B$3:$B$5001,N$149,BD!$A$3:$A$5001,"&gt;="&amp;$C$7,BD!$A$3:$A$5001,"&lt;="&amp;$B165,BD!$M$3:$M$5001,"&lt;&gt;")=0,"",SUMIFS(BD!$M$3:$M$5001,BD!$B$3:$B$5001,N$149,BD!$A$3:$A$5001,_xlfn.MAXIFS(BD!$A$3:$A$5001,BD!$B$3:$B$5001,N$149,BD!$A$3:$A$5001,"&gt;="&amp;$C$7,BD!$A$3:$A$5001,"&lt;="&amp;$B165,BD!$M$3:$M$5001,"&lt;&gt;"))))</f>
        <v/>
      </c>
      <c r="O165" s="43" t="str">
        <f>IF(OR($B165="",$A165&gt;$B$9,O$149=""),"",IF(COUNTIFS(BD!$B$3:$B$5001,O$149,BD!$A$3:$A$5001,"&gt;="&amp;$C$7,BD!$A$3:$A$5001,"&lt;="&amp;$B165,BD!$M$3:$M$5001,"&lt;&gt;")=0,"",SUMIFS(BD!$M$3:$M$5001,BD!$B$3:$B$5001,O$149,BD!$A$3:$A$5001,_xlfn.MAXIFS(BD!$A$3:$A$5001,BD!$B$3:$B$5001,O$149,BD!$A$3:$A$5001,"&gt;="&amp;$C$7,BD!$A$3:$A$5001,"&lt;="&amp;$B165,BD!$M$3:$M$5001,"&lt;&gt;"))))</f>
        <v/>
      </c>
      <c r="P165" s="43" t="str">
        <f>IF(OR($B165="",$A165&gt;$B$9,P$149=""),"",IF(COUNTIFS(BD!$B$3:$B$5001,P$149,BD!$A$3:$A$5001,"&gt;="&amp;$C$7,BD!$A$3:$A$5001,"&lt;="&amp;$B165,BD!$M$3:$M$5001,"&lt;&gt;")=0,"",SUMIFS(BD!$M$3:$M$5001,BD!$B$3:$B$5001,P$149,BD!$A$3:$A$5001,_xlfn.MAXIFS(BD!$A$3:$A$5001,BD!$B$3:$B$5001,P$149,BD!$A$3:$A$5001,"&gt;="&amp;$C$7,BD!$A$3:$A$5001,"&lt;="&amp;$B165,BD!$M$3:$M$5001,"&lt;&gt;"))))</f>
        <v/>
      </c>
      <c r="Q165" s="43" t="str">
        <f>IF(OR($B165="",$A165&gt;$B$9,Q$149=""),"",IF(COUNTIFS(BD!$B$3:$B$5001,Q$149,BD!$A$3:$A$5001,"&gt;="&amp;$C$7,BD!$A$3:$A$5001,"&lt;="&amp;$B165,BD!$M$3:$M$5001,"&lt;&gt;")=0,"",SUMIFS(BD!$M$3:$M$5001,BD!$B$3:$B$5001,Q$149,BD!$A$3:$A$5001,_xlfn.MAXIFS(BD!$A$3:$A$5001,BD!$B$3:$B$5001,Q$149,BD!$A$3:$A$5001,"&gt;="&amp;$C$7,BD!$A$3:$A$5001,"&lt;="&amp;$B165,BD!$M$3:$M$5001,"&lt;&gt;"))))</f>
        <v/>
      </c>
      <c r="R165" s="43" t="str">
        <f>IF(OR($B165="",$A165&gt;$B$9,R$149=""),"",IF(COUNTIFS(BD!$B$3:$B$5001,R$149,BD!$A$3:$A$5001,"&gt;="&amp;$C$7,BD!$A$3:$A$5001,"&lt;="&amp;$B165,BD!$M$3:$M$5001,"&lt;&gt;")=0,"",SUMIFS(BD!$M$3:$M$5001,BD!$B$3:$B$5001,R$149,BD!$A$3:$A$5001,_xlfn.MAXIFS(BD!$A$3:$A$5001,BD!$B$3:$B$5001,R$149,BD!$A$3:$A$5001,"&gt;="&amp;$C$7,BD!$A$3:$A$5001,"&lt;="&amp;$B165,BD!$M$3:$M$5001,"&lt;&gt;"))))</f>
        <v/>
      </c>
      <c r="S165" s="43" t="str">
        <f>IF(OR($B165="",$A165&gt;$B$9,S$149=""),"",IF(COUNTIFS(BD!$B$3:$B$5001,S$149,BD!$A$3:$A$5001,"&gt;="&amp;$C$7,BD!$A$3:$A$5001,"&lt;="&amp;$B165,BD!$M$3:$M$5001,"&lt;&gt;")=0,"",SUMIFS(BD!$M$3:$M$5001,BD!$B$3:$B$5001,S$149,BD!$A$3:$A$5001,_xlfn.MAXIFS(BD!$A$3:$A$5001,BD!$B$3:$B$5001,S$149,BD!$A$3:$A$5001,"&gt;="&amp;$C$7,BD!$A$3:$A$5001,"&lt;="&amp;$B165,BD!$M$3:$M$5001,"&lt;&gt;"))))</f>
        <v/>
      </c>
      <c r="T165" s="43" t="str">
        <f>IF(OR($B165="",$A165&gt;$B$9,T$149=""),"",IF(COUNTIFS(BD!$B$3:$B$5001,T$149,BD!$A$3:$A$5001,"&gt;="&amp;$C$7,BD!$A$3:$A$5001,"&lt;="&amp;$B165,BD!$M$3:$M$5001,"&lt;&gt;")=0,"",SUMIFS(BD!$M$3:$M$5001,BD!$B$3:$B$5001,T$149,BD!$A$3:$A$5001,_xlfn.MAXIFS(BD!$A$3:$A$5001,BD!$B$3:$B$5001,T$149,BD!$A$3:$A$5001,"&gt;="&amp;$C$7,BD!$A$3:$A$5001,"&lt;="&amp;$B165,BD!$M$3:$M$5001,"&lt;&gt;"))))</f>
        <v/>
      </c>
      <c r="U165" s="43" t="str">
        <f>IF(OR($B165="",$A165&gt;$B$9,U$149=""),"",IF(COUNTIFS(BD!$B$3:$B$5001,U$149,BD!$A$3:$A$5001,"&gt;="&amp;$C$7,BD!$A$3:$A$5001,"&lt;="&amp;$B165,BD!$M$3:$M$5001,"&lt;&gt;")=0,"",SUMIFS(BD!$M$3:$M$5001,BD!$B$3:$B$5001,U$149,BD!$A$3:$A$5001,_xlfn.MAXIFS(BD!$A$3:$A$5001,BD!$B$3:$B$5001,U$149,BD!$A$3:$A$5001,"&gt;="&amp;$C$7,BD!$A$3:$A$5001,"&lt;="&amp;$B165,BD!$M$3:$M$5001,"&lt;&gt;"))))</f>
        <v/>
      </c>
      <c r="V165" s="43" t="str">
        <f>IF(OR($B165="",$A165&gt;$B$9,V$149=""),"",IF(COUNTIFS(BD!$B$3:$B$5001,V$149,BD!$A$3:$A$5001,"&gt;="&amp;$C$7,BD!$A$3:$A$5001,"&lt;="&amp;$B165,BD!$M$3:$M$5001,"&lt;&gt;")=0,"",SUMIFS(BD!$M$3:$M$5001,BD!$B$3:$B$5001,V$149,BD!$A$3:$A$5001,_xlfn.MAXIFS(BD!$A$3:$A$5001,BD!$B$3:$B$5001,V$149,BD!$A$3:$A$5001,"&gt;="&amp;$C$7,BD!$A$3:$A$5001,"&lt;="&amp;$B165,BD!$M$3:$M$5001,"&lt;&gt;"))))</f>
        <v/>
      </c>
    </row>
    <row r="166">
      <c r="A166" s="38">
        <v>17</v>
      </c>
      <c r="B166" s="42">
        <f>$B$28</f>
        <v>46312</v>
      </c>
      <c r="C166" s="43" t="str">
        <f>IF(OR($B166="",$A166&gt;$B$9,C$149=""),"",IF(COUNTIFS(BD!$B$3:$B$5001,C$149,BD!$A$3:$A$5001,"&gt;="&amp;$C$7,BD!$A$3:$A$5001,"&lt;="&amp;$B166,BD!$M$3:$M$5001,"&lt;&gt;")=0,"",SUMIFS(BD!$M$3:$M$5001,BD!$B$3:$B$5001,C$149,BD!$A$3:$A$5001,_xlfn.MAXIFS(BD!$A$3:$A$5001,BD!$B$3:$B$5001,C$149,BD!$A$3:$A$5001,"&gt;="&amp;$C$7,BD!$A$3:$A$5001,"&lt;="&amp;$B166,BD!$M$3:$M$5001,"&lt;&gt;"))))</f>
        <v/>
      </c>
      <c r="D166" s="43" t="str">
        <f>IF(OR($B166="",$A166&gt;$B$9,D$149=""),"",IF(COUNTIFS(BD!$B$3:$B$5001,D$149,BD!$A$3:$A$5001,"&gt;="&amp;$C$7,BD!$A$3:$A$5001,"&lt;="&amp;$B166,BD!$M$3:$M$5001,"&lt;&gt;")=0,"",SUMIFS(BD!$M$3:$M$5001,BD!$B$3:$B$5001,D$149,BD!$A$3:$A$5001,_xlfn.MAXIFS(BD!$A$3:$A$5001,BD!$B$3:$B$5001,D$149,BD!$A$3:$A$5001,"&gt;="&amp;$C$7,BD!$A$3:$A$5001,"&lt;="&amp;$B166,BD!$M$3:$M$5001,"&lt;&gt;"))))</f>
        <v/>
      </c>
      <c r="E166" s="43" t="str">
        <f>IF(OR($B166="",$A166&gt;$B$9,E$149=""),"",IF(COUNTIFS(BD!$B$3:$B$5001,E$149,BD!$A$3:$A$5001,"&gt;="&amp;$C$7,BD!$A$3:$A$5001,"&lt;="&amp;$B166,BD!$M$3:$M$5001,"&lt;&gt;")=0,"",SUMIFS(BD!$M$3:$M$5001,BD!$B$3:$B$5001,E$149,BD!$A$3:$A$5001,_xlfn.MAXIFS(BD!$A$3:$A$5001,BD!$B$3:$B$5001,E$149,BD!$A$3:$A$5001,"&gt;="&amp;$C$7,BD!$A$3:$A$5001,"&lt;="&amp;$B166,BD!$M$3:$M$5001,"&lt;&gt;"))))</f>
        <v/>
      </c>
      <c r="F166" s="43" t="str">
        <f>IF(OR($B166="",$A166&gt;$B$9,F$149=""),"",IF(COUNTIFS(BD!$B$3:$B$5001,F$149,BD!$A$3:$A$5001,"&gt;="&amp;$C$7,BD!$A$3:$A$5001,"&lt;="&amp;$B166,BD!$M$3:$M$5001,"&lt;&gt;")=0,"",SUMIFS(BD!$M$3:$M$5001,BD!$B$3:$B$5001,F$149,BD!$A$3:$A$5001,_xlfn.MAXIFS(BD!$A$3:$A$5001,BD!$B$3:$B$5001,F$149,BD!$A$3:$A$5001,"&gt;="&amp;$C$7,BD!$A$3:$A$5001,"&lt;="&amp;$B166,BD!$M$3:$M$5001,"&lt;&gt;"))))</f>
        <v/>
      </c>
      <c r="G166" s="43" t="str">
        <f>IF(OR($B166="",$A166&gt;$B$9,G$149=""),"",IF(COUNTIFS(BD!$B$3:$B$5001,G$149,BD!$A$3:$A$5001,"&gt;="&amp;$C$7,BD!$A$3:$A$5001,"&lt;="&amp;$B166,BD!$M$3:$M$5001,"&lt;&gt;")=0,"",SUMIFS(BD!$M$3:$M$5001,BD!$B$3:$B$5001,G$149,BD!$A$3:$A$5001,_xlfn.MAXIFS(BD!$A$3:$A$5001,BD!$B$3:$B$5001,G$149,BD!$A$3:$A$5001,"&gt;="&amp;$C$7,BD!$A$3:$A$5001,"&lt;="&amp;$B166,BD!$M$3:$M$5001,"&lt;&gt;"))))</f>
        <v/>
      </c>
      <c r="H166" s="43" t="str">
        <f>IF(OR($B166="",$A166&gt;$B$9,H$149=""),"",IF(COUNTIFS(BD!$B$3:$B$5001,H$149,BD!$A$3:$A$5001,"&gt;="&amp;$C$7,BD!$A$3:$A$5001,"&lt;="&amp;$B166,BD!$M$3:$M$5001,"&lt;&gt;")=0,"",SUMIFS(BD!$M$3:$M$5001,BD!$B$3:$B$5001,H$149,BD!$A$3:$A$5001,_xlfn.MAXIFS(BD!$A$3:$A$5001,BD!$B$3:$B$5001,H$149,BD!$A$3:$A$5001,"&gt;="&amp;$C$7,BD!$A$3:$A$5001,"&lt;="&amp;$B166,BD!$M$3:$M$5001,"&lt;&gt;"))))</f>
        <v/>
      </c>
      <c r="I166" s="43" t="str">
        <f>IF(OR($B166="",$A166&gt;$B$9,I$149=""),"",IF(COUNTIFS(BD!$B$3:$B$5001,I$149,BD!$A$3:$A$5001,"&gt;="&amp;$C$7,BD!$A$3:$A$5001,"&lt;="&amp;$B166,BD!$M$3:$M$5001,"&lt;&gt;")=0,"",SUMIFS(BD!$M$3:$M$5001,BD!$B$3:$B$5001,I$149,BD!$A$3:$A$5001,_xlfn.MAXIFS(BD!$A$3:$A$5001,BD!$B$3:$B$5001,I$149,BD!$A$3:$A$5001,"&gt;="&amp;$C$7,BD!$A$3:$A$5001,"&lt;="&amp;$B166,BD!$M$3:$M$5001,"&lt;&gt;"))))</f>
        <v/>
      </c>
      <c r="J166" s="43" t="str">
        <f>IF(OR($B166="",$A166&gt;$B$9,J$149=""),"",IF(COUNTIFS(BD!$B$3:$B$5001,J$149,BD!$A$3:$A$5001,"&gt;="&amp;$C$7,BD!$A$3:$A$5001,"&lt;="&amp;$B166,BD!$M$3:$M$5001,"&lt;&gt;")=0,"",SUMIFS(BD!$M$3:$M$5001,BD!$B$3:$B$5001,J$149,BD!$A$3:$A$5001,_xlfn.MAXIFS(BD!$A$3:$A$5001,BD!$B$3:$B$5001,J$149,BD!$A$3:$A$5001,"&gt;="&amp;$C$7,BD!$A$3:$A$5001,"&lt;="&amp;$B166,BD!$M$3:$M$5001,"&lt;&gt;"))))</f>
        <v/>
      </c>
      <c r="K166" s="43" t="str">
        <f>IF(OR($B166="",$A166&gt;$B$9,K$149=""),"",IF(COUNTIFS(BD!$B$3:$B$5001,K$149,BD!$A$3:$A$5001,"&gt;="&amp;$C$7,BD!$A$3:$A$5001,"&lt;="&amp;$B166,BD!$M$3:$M$5001,"&lt;&gt;")=0,"",SUMIFS(BD!$M$3:$M$5001,BD!$B$3:$B$5001,K$149,BD!$A$3:$A$5001,_xlfn.MAXIFS(BD!$A$3:$A$5001,BD!$B$3:$B$5001,K$149,BD!$A$3:$A$5001,"&gt;="&amp;$C$7,BD!$A$3:$A$5001,"&lt;="&amp;$B166,BD!$M$3:$M$5001,"&lt;&gt;"))))</f>
        <v/>
      </c>
      <c r="L166" s="43" t="str">
        <f>IF(OR($B166="",$A166&gt;$B$9,L$149=""),"",IF(COUNTIFS(BD!$B$3:$B$5001,L$149,BD!$A$3:$A$5001,"&gt;="&amp;$C$7,BD!$A$3:$A$5001,"&lt;="&amp;$B166,BD!$M$3:$M$5001,"&lt;&gt;")=0,"",SUMIFS(BD!$M$3:$M$5001,BD!$B$3:$B$5001,L$149,BD!$A$3:$A$5001,_xlfn.MAXIFS(BD!$A$3:$A$5001,BD!$B$3:$B$5001,L$149,BD!$A$3:$A$5001,"&gt;="&amp;$C$7,BD!$A$3:$A$5001,"&lt;="&amp;$B166,BD!$M$3:$M$5001,"&lt;&gt;"))))</f>
        <v/>
      </c>
      <c r="M166" s="43" t="str">
        <f>IF(OR($B166="",$A166&gt;$B$9,M$149=""),"",IF(COUNTIFS(BD!$B$3:$B$5001,M$149,BD!$A$3:$A$5001,"&gt;="&amp;$C$7,BD!$A$3:$A$5001,"&lt;="&amp;$B166,BD!$M$3:$M$5001,"&lt;&gt;")=0,"",SUMIFS(BD!$M$3:$M$5001,BD!$B$3:$B$5001,M$149,BD!$A$3:$A$5001,_xlfn.MAXIFS(BD!$A$3:$A$5001,BD!$B$3:$B$5001,M$149,BD!$A$3:$A$5001,"&gt;="&amp;$C$7,BD!$A$3:$A$5001,"&lt;="&amp;$B166,BD!$M$3:$M$5001,"&lt;&gt;"))))</f>
        <v/>
      </c>
      <c r="N166" s="43" t="str">
        <f>IF(OR($B166="",$A166&gt;$B$9,N$149=""),"",IF(COUNTIFS(BD!$B$3:$B$5001,N$149,BD!$A$3:$A$5001,"&gt;="&amp;$C$7,BD!$A$3:$A$5001,"&lt;="&amp;$B166,BD!$M$3:$M$5001,"&lt;&gt;")=0,"",SUMIFS(BD!$M$3:$M$5001,BD!$B$3:$B$5001,N$149,BD!$A$3:$A$5001,_xlfn.MAXIFS(BD!$A$3:$A$5001,BD!$B$3:$B$5001,N$149,BD!$A$3:$A$5001,"&gt;="&amp;$C$7,BD!$A$3:$A$5001,"&lt;="&amp;$B166,BD!$M$3:$M$5001,"&lt;&gt;"))))</f>
        <v/>
      </c>
      <c r="O166" s="43" t="str">
        <f>IF(OR($B166="",$A166&gt;$B$9,O$149=""),"",IF(COUNTIFS(BD!$B$3:$B$5001,O$149,BD!$A$3:$A$5001,"&gt;="&amp;$C$7,BD!$A$3:$A$5001,"&lt;="&amp;$B166,BD!$M$3:$M$5001,"&lt;&gt;")=0,"",SUMIFS(BD!$M$3:$M$5001,BD!$B$3:$B$5001,O$149,BD!$A$3:$A$5001,_xlfn.MAXIFS(BD!$A$3:$A$5001,BD!$B$3:$B$5001,O$149,BD!$A$3:$A$5001,"&gt;="&amp;$C$7,BD!$A$3:$A$5001,"&lt;="&amp;$B166,BD!$M$3:$M$5001,"&lt;&gt;"))))</f>
        <v/>
      </c>
      <c r="P166" s="43" t="str">
        <f>IF(OR($B166="",$A166&gt;$B$9,P$149=""),"",IF(COUNTIFS(BD!$B$3:$B$5001,P$149,BD!$A$3:$A$5001,"&gt;="&amp;$C$7,BD!$A$3:$A$5001,"&lt;="&amp;$B166,BD!$M$3:$M$5001,"&lt;&gt;")=0,"",SUMIFS(BD!$M$3:$M$5001,BD!$B$3:$B$5001,P$149,BD!$A$3:$A$5001,_xlfn.MAXIFS(BD!$A$3:$A$5001,BD!$B$3:$B$5001,P$149,BD!$A$3:$A$5001,"&gt;="&amp;$C$7,BD!$A$3:$A$5001,"&lt;="&amp;$B166,BD!$M$3:$M$5001,"&lt;&gt;"))))</f>
        <v/>
      </c>
      <c r="Q166" s="43" t="str">
        <f>IF(OR($B166="",$A166&gt;$B$9,Q$149=""),"",IF(COUNTIFS(BD!$B$3:$B$5001,Q$149,BD!$A$3:$A$5001,"&gt;="&amp;$C$7,BD!$A$3:$A$5001,"&lt;="&amp;$B166,BD!$M$3:$M$5001,"&lt;&gt;")=0,"",SUMIFS(BD!$M$3:$M$5001,BD!$B$3:$B$5001,Q$149,BD!$A$3:$A$5001,_xlfn.MAXIFS(BD!$A$3:$A$5001,BD!$B$3:$B$5001,Q$149,BD!$A$3:$A$5001,"&gt;="&amp;$C$7,BD!$A$3:$A$5001,"&lt;="&amp;$B166,BD!$M$3:$M$5001,"&lt;&gt;"))))</f>
        <v/>
      </c>
      <c r="R166" s="43" t="str">
        <f>IF(OR($B166="",$A166&gt;$B$9,R$149=""),"",IF(COUNTIFS(BD!$B$3:$B$5001,R$149,BD!$A$3:$A$5001,"&gt;="&amp;$C$7,BD!$A$3:$A$5001,"&lt;="&amp;$B166,BD!$M$3:$M$5001,"&lt;&gt;")=0,"",SUMIFS(BD!$M$3:$M$5001,BD!$B$3:$B$5001,R$149,BD!$A$3:$A$5001,_xlfn.MAXIFS(BD!$A$3:$A$5001,BD!$B$3:$B$5001,R$149,BD!$A$3:$A$5001,"&gt;="&amp;$C$7,BD!$A$3:$A$5001,"&lt;="&amp;$B166,BD!$M$3:$M$5001,"&lt;&gt;"))))</f>
        <v/>
      </c>
      <c r="S166" s="43" t="str">
        <f>IF(OR($B166="",$A166&gt;$B$9,S$149=""),"",IF(COUNTIFS(BD!$B$3:$B$5001,S$149,BD!$A$3:$A$5001,"&gt;="&amp;$C$7,BD!$A$3:$A$5001,"&lt;="&amp;$B166,BD!$M$3:$M$5001,"&lt;&gt;")=0,"",SUMIFS(BD!$M$3:$M$5001,BD!$B$3:$B$5001,S$149,BD!$A$3:$A$5001,_xlfn.MAXIFS(BD!$A$3:$A$5001,BD!$B$3:$B$5001,S$149,BD!$A$3:$A$5001,"&gt;="&amp;$C$7,BD!$A$3:$A$5001,"&lt;="&amp;$B166,BD!$M$3:$M$5001,"&lt;&gt;"))))</f>
        <v/>
      </c>
      <c r="T166" s="43" t="str">
        <f>IF(OR($B166="",$A166&gt;$B$9,T$149=""),"",IF(COUNTIFS(BD!$B$3:$B$5001,T$149,BD!$A$3:$A$5001,"&gt;="&amp;$C$7,BD!$A$3:$A$5001,"&lt;="&amp;$B166,BD!$M$3:$M$5001,"&lt;&gt;")=0,"",SUMIFS(BD!$M$3:$M$5001,BD!$B$3:$B$5001,T$149,BD!$A$3:$A$5001,_xlfn.MAXIFS(BD!$A$3:$A$5001,BD!$B$3:$B$5001,T$149,BD!$A$3:$A$5001,"&gt;="&amp;$C$7,BD!$A$3:$A$5001,"&lt;="&amp;$B166,BD!$M$3:$M$5001,"&lt;&gt;"))))</f>
        <v/>
      </c>
      <c r="U166" s="43" t="str">
        <f>IF(OR($B166="",$A166&gt;$B$9,U$149=""),"",IF(COUNTIFS(BD!$B$3:$B$5001,U$149,BD!$A$3:$A$5001,"&gt;="&amp;$C$7,BD!$A$3:$A$5001,"&lt;="&amp;$B166,BD!$M$3:$M$5001,"&lt;&gt;")=0,"",SUMIFS(BD!$M$3:$M$5001,BD!$B$3:$B$5001,U$149,BD!$A$3:$A$5001,_xlfn.MAXIFS(BD!$A$3:$A$5001,BD!$B$3:$B$5001,U$149,BD!$A$3:$A$5001,"&gt;="&amp;$C$7,BD!$A$3:$A$5001,"&lt;="&amp;$B166,BD!$M$3:$M$5001,"&lt;&gt;"))))</f>
        <v/>
      </c>
      <c r="V166" s="43" t="str">
        <f>IF(OR($B166="",$A166&gt;$B$9,V$149=""),"",IF(COUNTIFS(BD!$B$3:$B$5001,V$149,BD!$A$3:$A$5001,"&gt;="&amp;$C$7,BD!$A$3:$A$5001,"&lt;="&amp;$B166,BD!$M$3:$M$5001,"&lt;&gt;")=0,"",SUMIFS(BD!$M$3:$M$5001,BD!$B$3:$B$5001,V$149,BD!$A$3:$A$5001,_xlfn.MAXIFS(BD!$A$3:$A$5001,BD!$B$3:$B$5001,V$149,BD!$A$3:$A$5001,"&gt;="&amp;$C$7,BD!$A$3:$A$5001,"&lt;="&amp;$B166,BD!$M$3:$M$5001,"&lt;&gt;"))))</f>
        <v/>
      </c>
    </row>
    <row r="167">
      <c r="A167" s="38">
        <v>18</v>
      </c>
      <c r="B167" s="42">
        <f>$B$29</f>
        <v>46313</v>
      </c>
      <c r="C167" s="43" t="str">
        <f>IF(OR($B167="",$A167&gt;$B$9,C$149=""),"",IF(COUNTIFS(BD!$B$3:$B$5001,C$149,BD!$A$3:$A$5001,"&gt;="&amp;$C$7,BD!$A$3:$A$5001,"&lt;="&amp;$B167,BD!$M$3:$M$5001,"&lt;&gt;")=0,"",SUMIFS(BD!$M$3:$M$5001,BD!$B$3:$B$5001,C$149,BD!$A$3:$A$5001,_xlfn.MAXIFS(BD!$A$3:$A$5001,BD!$B$3:$B$5001,C$149,BD!$A$3:$A$5001,"&gt;="&amp;$C$7,BD!$A$3:$A$5001,"&lt;="&amp;$B167,BD!$M$3:$M$5001,"&lt;&gt;"))))</f>
        <v/>
      </c>
      <c r="D167" s="43" t="str">
        <f>IF(OR($B167="",$A167&gt;$B$9,D$149=""),"",IF(COUNTIFS(BD!$B$3:$B$5001,D$149,BD!$A$3:$A$5001,"&gt;="&amp;$C$7,BD!$A$3:$A$5001,"&lt;="&amp;$B167,BD!$M$3:$M$5001,"&lt;&gt;")=0,"",SUMIFS(BD!$M$3:$M$5001,BD!$B$3:$B$5001,D$149,BD!$A$3:$A$5001,_xlfn.MAXIFS(BD!$A$3:$A$5001,BD!$B$3:$B$5001,D$149,BD!$A$3:$A$5001,"&gt;="&amp;$C$7,BD!$A$3:$A$5001,"&lt;="&amp;$B167,BD!$M$3:$M$5001,"&lt;&gt;"))))</f>
        <v/>
      </c>
      <c r="E167" s="43" t="str">
        <f>IF(OR($B167="",$A167&gt;$B$9,E$149=""),"",IF(COUNTIFS(BD!$B$3:$B$5001,E$149,BD!$A$3:$A$5001,"&gt;="&amp;$C$7,BD!$A$3:$A$5001,"&lt;="&amp;$B167,BD!$M$3:$M$5001,"&lt;&gt;")=0,"",SUMIFS(BD!$M$3:$M$5001,BD!$B$3:$B$5001,E$149,BD!$A$3:$A$5001,_xlfn.MAXIFS(BD!$A$3:$A$5001,BD!$B$3:$B$5001,E$149,BD!$A$3:$A$5001,"&gt;="&amp;$C$7,BD!$A$3:$A$5001,"&lt;="&amp;$B167,BD!$M$3:$M$5001,"&lt;&gt;"))))</f>
        <v/>
      </c>
      <c r="F167" s="43" t="str">
        <f>IF(OR($B167="",$A167&gt;$B$9,F$149=""),"",IF(COUNTIFS(BD!$B$3:$B$5001,F$149,BD!$A$3:$A$5001,"&gt;="&amp;$C$7,BD!$A$3:$A$5001,"&lt;="&amp;$B167,BD!$M$3:$M$5001,"&lt;&gt;")=0,"",SUMIFS(BD!$M$3:$M$5001,BD!$B$3:$B$5001,F$149,BD!$A$3:$A$5001,_xlfn.MAXIFS(BD!$A$3:$A$5001,BD!$B$3:$B$5001,F$149,BD!$A$3:$A$5001,"&gt;="&amp;$C$7,BD!$A$3:$A$5001,"&lt;="&amp;$B167,BD!$M$3:$M$5001,"&lt;&gt;"))))</f>
        <v/>
      </c>
      <c r="G167" s="43" t="str">
        <f>IF(OR($B167="",$A167&gt;$B$9,G$149=""),"",IF(COUNTIFS(BD!$B$3:$B$5001,G$149,BD!$A$3:$A$5001,"&gt;="&amp;$C$7,BD!$A$3:$A$5001,"&lt;="&amp;$B167,BD!$M$3:$M$5001,"&lt;&gt;")=0,"",SUMIFS(BD!$M$3:$M$5001,BD!$B$3:$B$5001,G$149,BD!$A$3:$A$5001,_xlfn.MAXIFS(BD!$A$3:$A$5001,BD!$B$3:$B$5001,G$149,BD!$A$3:$A$5001,"&gt;="&amp;$C$7,BD!$A$3:$A$5001,"&lt;="&amp;$B167,BD!$M$3:$M$5001,"&lt;&gt;"))))</f>
        <v/>
      </c>
      <c r="H167" s="43" t="str">
        <f>IF(OR($B167="",$A167&gt;$B$9,H$149=""),"",IF(COUNTIFS(BD!$B$3:$B$5001,H$149,BD!$A$3:$A$5001,"&gt;="&amp;$C$7,BD!$A$3:$A$5001,"&lt;="&amp;$B167,BD!$M$3:$M$5001,"&lt;&gt;")=0,"",SUMIFS(BD!$M$3:$M$5001,BD!$B$3:$B$5001,H$149,BD!$A$3:$A$5001,_xlfn.MAXIFS(BD!$A$3:$A$5001,BD!$B$3:$B$5001,H$149,BD!$A$3:$A$5001,"&gt;="&amp;$C$7,BD!$A$3:$A$5001,"&lt;="&amp;$B167,BD!$M$3:$M$5001,"&lt;&gt;"))))</f>
        <v/>
      </c>
      <c r="I167" s="43" t="str">
        <f>IF(OR($B167="",$A167&gt;$B$9,I$149=""),"",IF(COUNTIFS(BD!$B$3:$B$5001,I$149,BD!$A$3:$A$5001,"&gt;="&amp;$C$7,BD!$A$3:$A$5001,"&lt;="&amp;$B167,BD!$M$3:$M$5001,"&lt;&gt;")=0,"",SUMIFS(BD!$M$3:$M$5001,BD!$B$3:$B$5001,I$149,BD!$A$3:$A$5001,_xlfn.MAXIFS(BD!$A$3:$A$5001,BD!$B$3:$B$5001,I$149,BD!$A$3:$A$5001,"&gt;="&amp;$C$7,BD!$A$3:$A$5001,"&lt;="&amp;$B167,BD!$M$3:$M$5001,"&lt;&gt;"))))</f>
        <v/>
      </c>
      <c r="J167" s="43" t="str">
        <f>IF(OR($B167="",$A167&gt;$B$9,J$149=""),"",IF(COUNTIFS(BD!$B$3:$B$5001,J$149,BD!$A$3:$A$5001,"&gt;="&amp;$C$7,BD!$A$3:$A$5001,"&lt;="&amp;$B167,BD!$M$3:$M$5001,"&lt;&gt;")=0,"",SUMIFS(BD!$M$3:$M$5001,BD!$B$3:$B$5001,J$149,BD!$A$3:$A$5001,_xlfn.MAXIFS(BD!$A$3:$A$5001,BD!$B$3:$B$5001,J$149,BD!$A$3:$A$5001,"&gt;="&amp;$C$7,BD!$A$3:$A$5001,"&lt;="&amp;$B167,BD!$M$3:$M$5001,"&lt;&gt;"))))</f>
        <v/>
      </c>
      <c r="K167" s="43" t="str">
        <f>IF(OR($B167="",$A167&gt;$B$9,K$149=""),"",IF(COUNTIFS(BD!$B$3:$B$5001,K$149,BD!$A$3:$A$5001,"&gt;="&amp;$C$7,BD!$A$3:$A$5001,"&lt;="&amp;$B167,BD!$M$3:$M$5001,"&lt;&gt;")=0,"",SUMIFS(BD!$M$3:$M$5001,BD!$B$3:$B$5001,K$149,BD!$A$3:$A$5001,_xlfn.MAXIFS(BD!$A$3:$A$5001,BD!$B$3:$B$5001,K$149,BD!$A$3:$A$5001,"&gt;="&amp;$C$7,BD!$A$3:$A$5001,"&lt;="&amp;$B167,BD!$M$3:$M$5001,"&lt;&gt;"))))</f>
        <v/>
      </c>
      <c r="L167" s="43" t="str">
        <f>IF(OR($B167="",$A167&gt;$B$9,L$149=""),"",IF(COUNTIFS(BD!$B$3:$B$5001,L$149,BD!$A$3:$A$5001,"&gt;="&amp;$C$7,BD!$A$3:$A$5001,"&lt;="&amp;$B167,BD!$M$3:$M$5001,"&lt;&gt;")=0,"",SUMIFS(BD!$M$3:$M$5001,BD!$B$3:$B$5001,L$149,BD!$A$3:$A$5001,_xlfn.MAXIFS(BD!$A$3:$A$5001,BD!$B$3:$B$5001,L$149,BD!$A$3:$A$5001,"&gt;="&amp;$C$7,BD!$A$3:$A$5001,"&lt;="&amp;$B167,BD!$M$3:$M$5001,"&lt;&gt;"))))</f>
        <v/>
      </c>
      <c r="M167" s="43" t="str">
        <f>IF(OR($B167="",$A167&gt;$B$9,M$149=""),"",IF(COUNTIFS(BD!$B$3:$B$5001,M$149,BD!$A$3:$A$5001,"&gt;="&amp;$C$7,BD!$A$3:$A$5001,"&lt;="&amp;$B167,BD!$M$3:$M$5001,"&lt;&gt;")=0,"",SUMIFS(BD!$M$3:$M$5001,BD!$B$3:$B$5001,M$149,BD!$A$3:$A$5001,_xlfn.MAXIFS(BD!$A$3:$A$5001,BD!$B$3:$B$5001,M$149,BD!$A$3:$A$5001,"&gt;="&amp;$C$7,BD!$A$3:$A$5001,"&lt;="&amp;$B167,BD!$M$3:$M$5001,"&lt;&gt;"))))</f>
        <v/>
      </c>
      <c r="N167" s="43" t="str">
        <f>IF(OR($B167="",$A167&gt;$B$9,N$149=""),"",IF(COUNTIFS(BD!$B$3:$B$5001,N$149,BD!$A$3:$A$5001,"&gt;="&amp;$C$7,BD!$A$3:$A$5001,"&lt;="&amp;$B167,BD!$M$3:$M$5001,"&lt;&gt;")=0,"",SUMIFS(BD!$M$3:$M$5001,BD!$B$3:$B$5001,N$149,BD!$A$3:$A$5001,_xlfn.MAXIFS(BD!$A$3:$A$5001,BD!$B$3:$B$5001,N$149,BD!$A$3:$A$5001,"&gt;="&amp;$C$7,BD!$A$3:$A$5001,"&lt;="&amp;$B167,BD!$M$3:$M$5001,"&lt;&gt;"))))</f>
        <v/>
      </c>
      <c r="O167" s="43" t="str">
        <f>IF(OR($B167="",$A167&gt;$B$9,O$149=""),"",IF(COUNTIFS(BD!$B$3:$B$5001,O$149,BD!$A$3:$A$5001,"&gt;="&amp;$C$7,BD!$A$3:$A$5001,"&lt;="&amp;$B167,BD!$M$3:$M$5001,"&lt;&gt;")=0,"",SUMIFS(BD!$M$3:$M$5001,BD!$B$3:$B$5001,O$149,BD!$A$3:$A$5001,_xlfn.MAXIFS(BD!$A$3:$A$5001,BD!$B$3:$B$5001,O$149,BD!$A$3:$A$5001,"&gt;="&amp;$C$7,BD!$A$3:$A$5001,"&lt;="&amp;$B167,BD!$M$3:$M$5001,"&lt;&gt;"))))</f>
        <v/>
      </c>
      <c r="P167" s="43" t="str">
        <f>IF(OR($B167="",$A167&gt;$B$9,P$149=""),"",IF(COUNTIFS(BD!$B$3:$B$5001,P$149,BD!$A$3:$A$5001,"&gt;="&amp;$C$7,BD!$A$3:$A$5001,"&lt;="&amp;$B167,BD!$M$3:$M$5001,"&lt;&gt;")=0,"",SUMIFS(BD!$M$3:$M$5001,BD!$B$3:$B$5001,P$149,BD!$A$3:$A$5001,_xlfn.MAXIFS(BD!$A$3:$A$5001,BD!$B$3:$B$5001,P$149,BD!$A$3:$A$5001,"&gt;="&amp;$C$7,BD!$A$3:$A$5001,"&lt;="&amp;$B167,BD!$M$3:$M$5001,"&lt;&gt;"))))</f>
        <v/>
      </c>
      <c r="Q167" s="43" t="str">
        <f>IF(OR($B167="",$A167&gt;$B$9,Q$149=""),"",IF(COUNTIFS(BD!$B$3:$B$5001,Q$149,BD!$A$3:$A$5001,"&gt;="&amp;$C$7,BD!$A$3:$A$5001,"&lt;="&amp;$B167,BD!$M$3:$M$5001,"&lt;&gt;")=0,"",SUMIFS(BD!$M$3:$M$5001,BD!$B$3:$B$5001,Q$149,BD!$A$3:$A$5001,_xlfn.MAXIFS(BD!$A$3:$A$5001,BD!$B$3:$B$5001,Q$149,BD!$A$3:$A$5001,"&gt;="&amp;$C$7,BD!$A$3:$A$5001,"&lt;="&amp;$B167,BD!$M$3:$M$5001,"&lt;&gt;"))))</f>
        <v/>
      </c>
      <c r="R167" s="43" t="str">
        <f>IF(OR($B167="",$A167&gt;$B$9,R$149=""),"",IF(COUNTIFS(BD!$B$3:$B$5001,R$149,BD!$A$3:$A$5001,"&gt;="&amp;$C$7,BD!$A$3:$A$5001,"&lt;="&amp;$B167,BD!$M$3:$M$5001,"&lt;&gt;")=0,"",SUMIFS(BD!$M$3:$M$5001,BD!$B$3:$B$5001,R$149,BD!$A$3:$A$5001,_xlfn.MAXIFS(BD!$A$3:$A$5001,BD!$B$3:$B$5001,R$149,BD!$A$3:$A$5001,"&gt;="&amp;$C$7,BD!$A$3:$A$5001,"&lt;="&amp;$B167,BD!$M$3:$M$5001,"&lt;&gt;"))))</f>
        <v/>
      </c>
      <c r="S167" s="43" t="str">
        <f>IF(OR($B167="",$A167&gt;$B$9,S$149=""),"",IF(COUNTIFS(BD!$B$3:$B$5001,S$149,BD!$A$3:$A$5001,"&gt;="&amp;$C$7,BD!$A$3:$A$5001,"&lt;="&amp;$B167,BD!$M$3:$M$5001,"&lt;&gt;")=0,"",SUMIFS(BD!$M$3:$M$5001,BD!$B$3:$B$5001,S$149,BD!$A$3:$A$5001,_xlfn.MAXIFS(BD!$A$3:$A$5001,BD!$B$3:$B$5001,S$149,BD!$A$3:$A$5001,"&gt;="&amp;$C$7,BD!$A$3:$A$5001,"&lt;="&amp;$B167,BD!$M$3:$M$5001,"&lt;&gt;"))))</f>
        <v/>
      </c>
      <c r="T167" s="43" t="str">
        <f>IF(OR($B167="",$A167&gt;$B$9,T$149=""),"",IF(COUNTIFS(BD!$B$3:$B$5001,T$149,BD!$A$3:$A$5001,"&gt;="&amp;$C$7,BD!$A$3:$A$5001,"&lt;="&amp;$B167,BD!$M$3:$M$5001,"&lt;&gt;")=0,"",SUMIFS(BD!$M$3:$M$5001,BD!$B$3:$B$5001,T$149,BD!$A$3:$A$5001,_xlfn.MAXIFS(BD!$A$3:$A$5001,BD!$B$3:$B$5001,T$149,BD!$A$3:$A$5001,"&gt;="&amp;$C$7,BD!$A$3:$A$5001,"&lt;="&amp;$B167,BD!$M$3:$M$5001,"&lt;&gt;"))))</f>
        <v/>
      </c>
      <c r="U167" s="43" t="str">
        <f>IF(OR($B167="",$A167&gt;$B$9,U$149=""),"",IF(COUNTIFS(BD!$B$3:$B$5001,U$149,BD!$A$3:$A$5001,"&gt;="&amp;$C$7,BD!$A$3:$A$5001,"&lt;="&amp;$B167,BD!$M$3:$M$5001,"&lt;&gt;")=0,"",SUMIFS(BD!$M$3:$M$5001,BD!$B$3:$B$5001,U$149,BD!$A$3:$A$5001,_xlfn.MAXIFS(BD!$A$3:$A$5001,BD!$B$3:$B$5001,U$149,BD!$A$3:$A$5001,"&gt;="&amp;$C$7,BD!$A$3:$A$5001,"&lt;="&amp;$B167,BD!$M$3:$M$5001,"&lt;&gt;"))))</f>
        <v/>
      </c>
      <c r="V167" s="43" t="str">
        <f>IF(OR($B167="",$A167&gt;$B$9,V$149=""),"",IF(COUNTIFS(BD!$B$3:$B$5001,V$149,BD!$A$3:$A$5001,"&gt;="&amp;$C$7,BD!$A$3:$A$5001,"&lt;="&amp;$B167,BD!$M$3:$M$5001,"&lt;&gt;")=0,"",SUMIFS(BD!$M$3:$M$5001,BD!$B$3:$B$5001,V$149,BD!$A$3:$A$5001,_xlfn.MAXIFS(BD!$A$3:$A$5001,BD!$B$3:$B$5001,V$149,BD!$A$3:$A$5001,"&gt;="&amp;$C$7,BD!$A$3:$A$5001,"&lt;="&amp;$B167,BD!$M$3:$M$5001,"&lt;&gt;"))))</f>
        <v/>
      </c>
    </row>
    <row r="168">
      <c r="A168" s="38">
        <v>19</v>
      </c>
      <c r="B168" s="42">
        <f>$B$30</f>
        <v>46314</v>
      </c>
      <c r="C168" s="43" t="str">
        <f>IF(OR($B168="",$A168&gt;$B$9,C$149=""),"",IF(COUNTIFS(BD!$B$3:$B$5001,C$149,BD!$A$3:$A$5001,"&gt;="&amp;$C$7,BD!$A$3:$A$5001,"&lt;="&amp;$B168,BD!$M$3:$M$5001,"&lt;&gt;")=0,"",SUMIFS(BD!$M$3:$M$5001,BD!$B$3:$B$5001,C$149,BD!$A$3:$A$5001,_xlfn.MAXIFS(BD!$A$3:$A$5001,BD!$B$3:$B$5001,C$149,BD!$A$3:$A$5001,"&gt;="&amp;$C$7,BD!$A$3:$A$5001,"&lt;="&amp;$B168,BD!$M$3:$M$5001,"&lt;&gt;"))))</f>
        <v/>
      </c>
      <c r="D168" s="43" t="str">
        <f>IF(OR($B168="",$A168&gt;$B$9,D$149=""),"",IF(COUNTIFS(BD!$B$3:$B$5001,D$149,BD!$A$3:$A$5001,"&gt;="&amp;$C$7,BD!$A$3:$A$5001,"&lt;="&amp;$B168,BD!$M$3:$M$5001,"&lt;&gt;")=0,"",SUMIFS(BD!$M$3:$M$5001,BD!$B$3:$B$5001,D$149,BD!$A$3:$A$5001,_xlfn.MAXIFS(BD!$A$3:$A$5001,BD!$B$3:$B$5001,D$149,BD!$A$3:$A$5001,"&gt;="&amp;$C$7,BD!$A$3:$A$5001,"&lt;="&amp;$B168,BD!$M$3:$M$5001,"&lt;&gt;"))))</f>
        <v/>
      </c>
      <c r="E168" s="43" t="str">
        <f>IF(OR($B168="",$A168&gt;$B$9,E$149=""),"",IF(COUNTIFS(BD!$B$3:$B$5001,E$149,BD!$A$3:$A$5001,"&gt;="&amp;$C$7,BD!$A$3:$A$5001,"&lt;="&amp;$B168,BD!$M$3:$M$5001,"&lt;&gt;")=0,"",SUMIFS(BD!$M$3:$M$5001,BD!$B$3:$B$5001,E$149,BD!$A$3:$A$5001,_xlfn.MAXIFS(BD!$A$3:$A$5001,BD!$B$3:$B$5001,E$149,BD!$A$3:$A$5001,"&gt;="&amp;$C$7,BD!$A$3:$A$5001,"&lt;="&amp;$B168,BD!$M$3:$M$5001,"&lt;&gt;"))))</f>
        <v/>
      </c>
      <c r="F168" s="43" t="str">
        <f>IF(OR($B168="",$A168&gt;$B$9,F$149=""),"",IF(COUNTIFS(BD!$B$3:$B$5001,F$149,BD!$A$3:$A$5001,"&gt;="&amp;$C$7,BD!$A$3:$A$5001,"&lt;="&amp;$B168,BD!$M$3:$M$5001,"&lt;&gt;")=0,"",SUMIFS(BD!$M$3:$M$5001,BD!$B$3:$B$5001,F$149,BD!$A$3:$A$5001,_xlfn.MAXIFS(BD!$A$3:$A$5001,BD!$B$3:$B$5001,F$149,BD!$A$3:$A$5001,"&gt;="&amp;$C$7,BD!$A$3:$A$5001,"&lt;="&amp;$B168,BD!$M$3:$M$5001,"&lt;&gt;"))))</f>
        <v/>
      </c>
      <c r="G168" s="43" t="str">
        <f>IF(OR($B168="",$A168&gt;$B$9,G$149=""),"",IF(COUNTIFS(BD!$B$3:$B$5001,G$149,BD!$A$3:$A$5001,"&gt;="&amp;$C$7,BD!$A$3:$A$5001,"&lt;="&amp;$B168,BD!$M$3:$M$5001,"&lt;&gt;")=0,"",SUMIFS(BD!$M$3:$M$5001,BD!$B$3:$B$5001,G$149,BD!$A$3:$A$5001,_xlfn.MAXIFS(BD!$A$3:$A$5001,BD!$B$3:$B$5001,G$149,BD!$A$3:$A$5001,"&gt;="&amp;$C$7,BD!$A$3:$A$5001,"&lt;="&amp;$B168,BD!$M$3:$M$5001,"&lt;&gt;"))))</f>
        <v/>
      </c>
      <c r="H168" s="43" t="str">
        <f>IF(OR($B168="",$A168&gt;$B$9,H$149=""),"",IF(COUNTIFS(BD!$B$3:$B$5001,H$149,BD!$A$3:$A$5001,"&gt;="&amp;$C$7,BD!$A$3:$A$5001,"&lt;="&amp;$B168,BD!$M$3:$M$5001,"&lt;&gt;")=0,"",SUMIFS(BD!$M$3:$M$5001,BD!$B$3:$B$5001,H$149,BD!$A$3:$A$5001,_xlfn.MAXIFS(BD!$A$3:$A$5001,BD!$B$3:$B$5001,H$149,BD!$A$3:$A$5001,"&gt;="&amp;$C$7,BD!$A$3:$A$5001,"&lt;="&amp;$B168,BD!$M$3:$M$5001,"&lt;&gt;"))))</f>
        <v/>
      </c>
      <c r="I168" s="43" t="str">
        <f>IF(OR($B168="",$A168&gt;$B$9,I$149=""),"",IF(COUNTIFS(BD!$B$3:$B$5001,I$149,BD!$A$3:$A$5001,"&gt;="&amp;$C$7,BD!$A$3:$A$5001,"&lt;="&amp;$B168,BD!$M$3:$M$5001,"&lt;&gt;")=0,"",SUMIFS(BD!$M$3:$M$5001,BD!$B$3:$B$5001,I$149,BD!$A$3:$A$5001,_xlfn.MAXIFS(BD!$A$3:$A$5001,BD!$B$3:$B$5001,I$149,BD!$A$3:$A$5001,"&gt;="&amp;$C$7,BD!$A$3:$A$5001,"&lt;="&amp;$B168,BD!$M$3:$M$5001,"&lt;&gt;"))))</f>
        <v/>
      </c>
      <c r="J168" s="43" t="str">
        <f>IF(OR($B168="",$A168&gt;$B$9,J$149=""),"",IF(COUNTIFS(BD!$B$3:$B$5001,J$149,BD!$A$3:$A$5001,"&gt;="&amp;$C$7,BD!$A$3:$A$5001,"&lt;="&amp;$B168,BD!$M$3:$M$5001,"&lt;&gt;")=0,"",SUMIFS(BD!$M$3:$M$5001,BD!$B$3:$B$5001,J$149,BD!$A$3:$A$5001,_xlfn.MAXIFS(BD!$A$3:$A$5001,BD!$B$3:$B$5001,J$149,BD!$A$3:$A$5001,"&gt;="&amp;$C$7,BD!$A$3:$A$5001,"&lt;="&amp;$B168,BD!$M$3:$M$5001,"&lt;&gt;"))))</f>
        <v/>
      </c>
      <c r="K168" s="43" t="str">
        <f>IF(OR($B168="",$A168&gt;$B$9,K$149=""),"",IF(COUNTIFS(BD!$B$3:$B$5001,K$149,BD!$A$3:$A$5001,"&gt;="&amp;$C$7,BD!$A$3:$A$5001,"&lt;="&amp;$B168,BD!$M$3:$M$5001,"&lt;&gt;")=0,"",SUMIFS(BD!$M$3:$M$5001,BD!$B$3:$B$5001,K$149,BD!$A$3:$A$5001,_xlfn.MAXIFS(BD!$A$3:$A$5001,BD!$B$3:$B$5001,K$149,BD!$A$3:$A$5001,"&gt;="&amp;$C$7,BD!$A$3:$A$5001,"&lt;="&amp;$B168,BD!$M$3:$M$5001,"&lt;&gt;"))))</f>
        <v/>
      </c>
      <c r="L168" s="43" t="str">
        <f>IF(OR($B168="",$A168&gt;$B$9,L$149=""),"",IF(COUNTIFS(BD!$B$3:$B$5001,L$149,BD!$A$3:$A$5001,"&gt;="&amp;$C$7,BD!$A$3:$A$5001,"&lt;="&amp;$B168,BD!$M$3:$M$5001,"&lt;&gt;")=0,"",SUMIFS(BD!$M$3:$M$5001,BD!$B$3:$B$5001,L$149,BD!$A$3:$A$5001,_xlfn.MAXIFS(BD!$A$3:$A$5001,BD!$B$3:$B$5001,L$149,BD!$A$3:$A$5001,"&gt;="&amp;$C$7,BD!$A$3:$A$5001,"&lt;="&amp;$B168,BD!$M$3:$M$5001,"&lt;&gt;"))))</f>
        <v/>
      </c>
      <c r="M168" s="43" t="str">
        <f>IF(OR($B168="",$A168&gt;$B$9,M$149=""),"",IF(COUNTIFS(BD!$B$3:$B$5001,M$149,BD!$A$3:$A$5001,"&gt;="&amp;$C$7,BD!$A$3:$A$5001,"&lt;="&amp;$B168,BD!$M$3:$M$5001,"&lt;&gt;")=0,"",SUMIFS(BD!$M$3:$M$5001,BD!$B$3:$B$5001,M$149,BD!$A$3:$A$5001,_xlfn.MAXIFS(BD!$A$3:$A$5001,BD!$B$3:$B$5001,M$149,BD!$A$3:$A$5001,"&gt;="&amp;$C$7,BD!$A$3:$A$5001,"&lt;="&amp;$B168,BD!$M$3:$M$5001,"&lt;&gt;"))))</f>
        <v/>
      </c>
      <c r="N168" s="43" t="str">
        <f>IF(OR($B168="",$A168&gt;$B$9,N$149=""),"",IF(COUNTIFS(BD!$B$3:$B$5001,N$149,BD!$A$3:$A$5001,"&gt;="&amp;$C$7,BD!$A$3:$A$5001,"&lt;="&amp;$B168,BD!$M$3:$M$5001,"&lt;&gt;")=0,"",SUMIFS(BD!$M$3:$M$5001,BD!$B$3:$B$5001,N$149,BD!$A$3:$A$5001,_xlfn.MAXIFS(BD!$A$3:$A$5001,BD!$B$3:$B$5001,N$149,BD!$A$3:$A$5001,"&gt;="&amp;$C$7,BD!$A$3:$A$5001,"&lt;="&amp;$B168,BD!$M$3:$M$5001,"&lt;&gt;"))))</f>
        <v/>
      </c>
      <c r="O168" s="43" t="str">
        <f>IF(OR($B168="",$A168&gt;$B$9,O$149=""),"",IF(COUNTIFS(BD!$B$3:$B$5001,O$149,BD!$A$3:$A$5001,"&gt;="&amp;$C$7,BD!$A$3:$A$5001,"&lt;="&amp;$B168,BD!$M$3:$M$5001,"&lt;&gt;")=0,"",SUMIFS(BD!$M$3:$M$5001,BD!$B$3:$B$5001,O$149,BD!$A$3:$A$5001,_xlfn.MAXIFS(BD!$A$3:$A$5001,BD!$B$3:$B$5001,O$149,BD!$A$3:$A$5001,"&gt;="&amp;$C$7,BD!$A$3:$A$5001,"&lt;="&amp;$B168,BD!$M$3:$M$5001,"&lt;&gt;"))))</f>
        <v/>
      </c>
      <c r="P168" s="43" t="str">
        <f>IF(OR($B168="",$A168&gt;$B$9,P$149=""),"",IF(COUNTIFS(BD!$B$3:$B$5001,P$149,BD!$A$3:$A$5001,"&gt;="&amp;$C$7,BD!$A$3:$A$5001,"&lt;="&amp;$B168,BD!$M$3:$M$5001,"&lt;&gt;")=0,"",SUMIFS(BD!$M$3:$M$5001,BD!$B$3:$B$5001,P$149,BD!$A$3:$A$5001,_xlfn.MAXIFS(BD!$A$3:$A$5001,BD!$B$3:$B$5001,P$149,BD!$A$3:$A$5001,"&gt;="&amp;$C$7,BD!$A$3:$A$5001,"&lt;="&amp;$B168,BD!$M$3:$M$5001,"&lt;&gt;"))))</f>
        <v/>
      </c>
      <c r="Q168" s="43" t="str">
        <f>IF(OR($B168="",$A168&gt;$B$9,Q$149=""),"",IF(COUNTIFS(BD!$B$3:$B$5001,Q$149,BD!$A$3:$A$5001,"&gt;="&amp;$C$7,BD!$A$3:$A$5001,"&lt;="&amp;$B168,BD!$M$3:$M$5001,"&lt;&gt;")=0,"",SUMIFS(BD!$M$3:$M$5001,BD!$B$3:$B$5001,Q$149,BD!$A$3:$A$5001,_xlfn.MAXIFS(BD!$A$3:$A$5001,BD!$B$3:$B$5001,Q$149,BD!$A$3:$A$5001,"&gt;="&amp;$C$7,BD!$A$3:$A$5001,"&lt;="&amp;$B168,BD!$M$3:$M$5001,"&lt;&gt;"))))</f>
        <v/>
      </c>
      <c r="R168" s="43" t="str">
        <f>IF(OR($B168="",$A168&gt;$B$9,R$149=""),"",IF(COUNTIFS(BD!$B$3:$B$5001,R$149,BD!$A$3:$A$5001,"&gt;="&amp;$C$7,BD!$A$3:$A$5001,"&lt;="&amp;$B168,BD!$M$3:$M$5001,"&lt;&gt;")=0,"",SUMIFS(BD!$M$3:$M$5001,BD!$B$3:$B$5001,R$149,BD!$A$3:$A$5001,_xlfn.MAXIFS(BD!$A$3:$A$5001,BD!$B$3:$B$5001,R$149,BD!$A$3:$A$5001,"&gt;="&amp;$C$7,BD!$A$3:$A$5001,"&lt;="&amp;$B168,BD!$M$3:$M$5001,"&lt;&gt;"))))</f>
        <v/>
      </c>
      <c r="S168" s="43" t="str">
        <f>IF(OR($B168="",$A168&gt;$B$9,S$149=""),"",IF(COUNTIFS(BD!$B$3:$B$5001,S$149,BD!$A$3:$A$5001,"&gt;="&amp;$C$7,BD!$A$3:$A$5001,"&lt;="&amp;$B168,BD!$M$3:$M$5001,"&lt;&gt;")=0,"",SUMIFS(BD!$M$3:$M$5001,BD!$B$3:$B$5001,S$149,BD!$A$3:$A$5001,_xlfn.MAXIFS(BD!$A$3:$A$5001,BD!$B$3:$B$5001,S$149,BD!$A$3:$A$5001,"&gt;="&amp;$C$7,BD!$A$3:$A$5001,"&lt;="&amp;$B168,BD!$M$3:$M$5001,"&lt;&gt;"))))</f>
        <v/>
      </c>
      <c r="T168" s="43" t="str">
        <f>IF(OR($B168="",$A168&gt;$B$9,T$149=""),"",IF(COUNTIFS(BD!$B$3:$B$5001,T$149,BD!$A$3:$A$5001,"&gt;="&amp;$C$7,BD!$A$3:$A$5001,"&lt;="&amp;$B168,BD!$M$3:$M$5001,"&lt;&gt;")=0,"",SUMIFS(BD!$M$3:$M$5001,BD!$B$3:$B$5001,T$149,BD!$A$3:$A$5001,_xlfn.MAXIFS(BD!$A$3:$A$5001,BD!$B$3:$B$5001,T$149,BD!$A$3:$A$5001,"&gt;="&amp;$C$7,BD!$A$3:$A$5001,"&lt;="&amp;$B168,BD!$M$3:$M$5001,"&lt;&gt;"))))</f>
        <v/>
      </c>
      <c r="U168" s="43" t="str">
        <f>IF(OR($B168="",$A168&gt;$B$9,U$149=""),"",IF(COUNTIFS(BD!$B$3:$B$5001,U$149,BD!$A$3:$A$5001,"&gt;="&amp;$C$7,BD!$A$3:$A$5001,"&lt;="&amp;$B168,BD!$M$3:$M$5001,"&lt;&gt;")=0,"",SUMIFS(BD!$M$3:$M$5001,BD!$B$3:$B$5001,U$149,BD!$A$3:$A$5001,_xlfn.MAXIFS(BD!$A$3:$A$5001,BD!$B$3:$B$5001,U$149,BD!$A$3:$A$5001,"&gt;="&amp;$C$7,BD!$A$3:$A$5001,"&lt;="&amp;$B168,BD!$M$3:$M$5001,"&lt;&gt;"))))</f>
        <v/>
      </c>
      <c r="V168" s="43" t="str">
        <f>IF(OR($B168="",$A168&gt;$B$9,V$149=""),"",IF(COUNTIFS(BD!$B$3:$B$5001,V$149,BD!$A$3:$A$5001,"&gt;="&amp;$C$7,BD!$A$3:$A$5001,"&lt;="&amp;$B168,BD!$M$3:$M$5001,"&lt;&gt;")=0,"",SUMIFS(BD!$M$3:$M$5001,BD!$B$3:$B$5001,V$149,BD!$A$3:$A$5001,_xlfn.MAXIFS(BD!$A$3:$A$5001,BD!$B$3:$B$5001,V$149,BD!$A$3:$A$5001,"&gt;="&amp;$C$7,BD!$A$3:$A$5001,"&lt;="&amp;$B168,BD!$M$3:$M$5001,"&lt;&gt;"))))</f>
        <v/>
      </c>
    </row>
    <row r="169">
      <c r="A169" s="38">
        <v>20</v>
      </c>
      <c r="B169" s="42">
        <f>$B$31</f>
        <v>46315</v>
      </c>
      <c r="C169" s="43" t="str">
        <f>IF(OR($B169="",$A169&gt;$B$9,C$149=""),"",IF(COUNTIFS(BD!$B$3:$B$5001,C$149,BD!$A$3:$A$5001,"&gt;="&amp;$C$7,BD!$A$3:$A$5001,"&lt;="&amp;$B169,BD!$M$3:$M$5001,"&lt;&gt;")=0,"",SUMIFS(BD!$M$3:$M$5001,BD!$B$3:$B$5001,C$149,BD!$A$3:$A$5001,_xlfn.MAXIFS(BD!$A$3:$A$5001,BD!$B$3:$B$5001,C$149,BD!$A$3:$A$5001,"&gt;="&amp;$C$7,BD!$A$3:$A$5001,"&lt;="&amp;$B169,BD!$M$3:$M$5001,"&lt;&gt;"))))</f>
        <v/>
      </c>
      <c r="D169" s="43" t="str">
        <f>IF(OR($B169="",$A169&gt;$B$9,D$149=""),"",IF(COUNTIFS(BD!$B$3:$B$5001,D$149,BD!$A$3:$A$5001,"&gt;="&amp;$C$7,BD!$A$3:$A$5001,"&lt;="&amp;$B169,BD!$M$3:$M$5001,"&lt;&gt;")=0,"",SUMIFS(BD!$M$3:$M$5001,BD!$B$3:$B$5001,D$149,BD!$A$3:$A$5001,_xlfn.MAXIFS(BD!$A$3:$A$5001,BD!$B$3:$B$5001,D$149,BD!$A$3:$A$5001,"&gt;="&amp;$C$7,BD!$A$3:$A$5001,"&lt;="&amp;$B169,BD!$M$3:$M$5001,"&lt;&gt;"))))</f>
        <v/>
      </c>
      <c r="E169" s="43" t="str">
        <f>IF(OR($B169="",$A169&gt;$B$9,E$149=""),"",IF(COUNTIFS(BD!$B$3:$B$5001,E$149,BD!$A$3:$A$5001,"&gt;="&amp;$C$7,BD!$A$3:$A$5001,"&lt;="&amp;$B169,BD!$M$3:$M$5001,"&lt;&gt;")=0,"",SUMIFS(BD!$M$3:$M$5001,BD!$B$3:$B$5001,E$149,BD!$A$3:$A$5001,_xlfn.MAXIFS(BD!$A$3:$A$5001,BD!$B$3:$B$5001,E$149,BD!$A$3:$A$5001,"&gt;="&amp;$C$7,BD!$A$3:$A$5001,"&lt;="&amp;$B169,BD!$M$3:$M$5001,"&lt;&gt;"))))</f>
        <v/>
      </c>
      <c r="F169" s="43" t="str">
        <f>IF(OR($B169="",$A169&gt;$B$9,F$149=""),"",IF(COUNTIFS(BD!$B$3:$B$5001,F$149,BD!$A$3:$A$5001,"&gt;="&amp;$C$7,BD!$A$3:$A$5001,"&lt;="&amp;$B169,BD!$M$3:$M$5001,"&lt;&gt;")=0,"",SUMIFS(BD!$M$3:$M$5001,BD!$B$3:$B$5001,F$149,BD!$A$3:$A$5001,_xlfn.MAXIFS(BD!$A$3:$A$5001,BD!$B$3:$B$5001,F$149,BD!$A$3:$A$5001,"&gt;="&amp;$C$7,BD!$A$3:$A$5001,"&lt;="&amp;$B169,BD!$M$3:$M$5001,"&lt;&gt;"))))</f>
        <v/>
      </c>
      <c r="G169" s="43" t="str">
        <f>IF(OR($B169="",$A169&gt;$B$9,G$149=""),"",IF(COUNTIFS(BD!$B$3:$B$5001,G$149,BD!$A$3:$A$5001,"&gt;="&amp;$C$7,BD!$A$3:$A$5001,"&lt;="&amp;$B169,BD!$M$3:$M$5001,"&lt;&gt;")=0,"",SUMIFS(BD!$M$3:$M$5001,BD!$B$3:$B$5001,G$149,BD!$A$3:$A$5001,_xlfn.MAXIFS(BD!$A$3:$A$5001,BD!$B$3:$B$5001,G$149,BD!$A$3:$A$5001,"&gt;="&amp;$C$7,BD!$A$3:$A$5001,"&lt;="&amp;$B169,BD!$M$3:$M$5001,"&lt;&gt;"))))</f>
        <v/>
      </c>
      <c r="H169" s="43" t="str">
        <f>IF(OR($B169="",$A169&gt;$B$9,H$149=""),"",IF(COUNTIFS(BD!$B$3:$B$5001,H$149,BD!$A$3:$A$5001,"&gt;="&amp;$C$7,BD!$A$3:$A$5001,"&lt;="&amp;$B169,BD!$M$3:$M$5001,"&lt;&gt;")=0,"",SUMIFS(BD!$M$3:$M$5001,BD!$B$3:$B$5001,H$149,BD!$A$3:$A$5001,_xlfn.MAXIFS(BD!$A$3:$A$5001,BD!$B$3:$B$5001,H$149,BD!$A$3:$A$5001,"&gt;="&amp;$C$7,BD!$A$3:$A$5001,"&lt;="&amp;$B169,BD!$M$3:$M$5001,"&lt;&gt;"))))</f>
        <v/>
      </c>
      <c r="I169" s="43" t="str">
        <f>IF(OR($B169="",$A169&gt;$B$9,I$149=""),"",IF(COUNTIFS(BD!$B$3:$B$5001,I$149,BD!$A$3:$A$5001,"&gt;="&amp;$C$7,BD!$A$3:$A$5001,"&lt;="&amp;$B169,BD!$M$3:$M$5001,"&lt;&gt;")=0,"",SUMIFS(BD!$M$3:$M$5001,BD!$B$3:$B$5001,I$149,BD!$A$3:$A$5001,_xlfn.MAXIFS(BD!$A$3:$A$5001,BD!$B$3:$B$5001,I$149,BD!$A$3:$A$5001,"&gt;="&amp;$C$7,BD!$A$3:$A$5001,"&lt;="&amp;$B169,BD!$M$3:$M$5001,"&lt;&gt;"))))</f>
        <v/>
      </c>
      <c r="J169" s="43" t="str">
        <f>IF(OR($B169="",$A169&gt;$B$9,J$149=""),"",IF(COUNTIFS(BD!$B$3:$B$5001,J$149,BD!$A$3:$A$5001,"&gt;="&amp;$C$7,BD!$A$3:$A$5001,"&lt;="&amp;$B169,BD!$M$3:$M$5001,"&lt;&gt;")=0,"",SUMIFS(BD!$M$3:$M$5001,BD!$B$3:$B$5001,J$149,BD!$A$3:$A$5001,_xlfn.MAXIFS(BD!$A$3:$A$5001,BD!$B$3:$B$5001,J$149,BD!$A$3:$A$5001,"&gt;="&amp;$C$7,BD!$A$3:$A$5001,"&lt;="&amp;$B169,BD!$M$3:$M$5001,"&lt;&gt;"))))</f>
        <v/>
      </c>
      <c r="K169" s="43" t="str">
        <f>IF(OR($B169="",$A169&gt;$B$9,K$149=""),"",IF(COUNTIFS(BD!$B$3:$B$5001,K$149,BD!$A$3:$A$5001,"&gt;="&amp;$C$7,BD!$A$3:$A$5001,"&lt;="&amp;$B169,BD!$M$3:$M$5001,"&lt;&gt;")=0,"",SUMIFS(BD!$M$3:$M$5001,BD!$B$3:$B$5001,K$149,BD!$A$3:$A$5001,_xlfn.MAXIFS(BD!$A$3:$A$5001,BD!$B$3:$B$5001,K$149,BD!$A$3:$A$5001,"&gt;="&amp;$C$7,BD!$A$3:$A$5001,"&lt;="&amp;$B169,BD!$M$3:$M$5001,"&lt;&gt;"))))</f>
        <v/>
      </c>
      <c r="L169" s="43" t="str">
        <f>IF(OR($B169="",$A169&gt;$B$9,L$149=""),"",IF(COUNTIFS(BD!$B$3:$B$5001,L$149,BD!$A$3:$A$5001,"&gt;="&amp;$C$7,BD!$A$3:$A$5001,"&lt;="&amp;$B169,BD!$M$3:$M$5001,"&lt;&gt;")=0,"",SUMIFS(BD!$M$3:$M$5001,BD!$B$3:$B$5001,L$149,BD!$A$3:$A$5001,_xlfn.MAXIFS(BD!$A$3:$A$5001,BD!$B$3:$B$5001,L$149,BD!$A$3:$A$5001,"&gt;="&amp;$C$7,BD!$A$3:$A$5001,"&lt;="&amp;$B169,BD!$M$3:$M$5001,"&lt;&gt;"))))</f>
        <v/>
      </c>
      <c r="M169" s="43" t="str">
        <f>IF(OR($B169="",$A169&gt;$B$9,M$149=""),"",IF(COUNTIFS(BD!$B$3:$B$5001,M$149,BD!$A$3:$A$5001,"&gt;="&amp;$C$7,BD!$A$3:$A$5001,"&lt;="&amp;$B169,BD!$M$3:$M$5001,"&lt;&gt;")=0,"",SUMIFS(BD!$M$3:$M$5001,BD!$B$3:$B$5001,M$149,BD!$A$3:$A$5001,_xlfn.MAXIFS(BD!$A$3:$A$5001,BD!$B$3:$B$5001,M$149,BD!$A$3:$A$5001,"&gt;="&amp;$C$7,BD!$A$3:$A$5001,"&lt;="&amp;$B169,BD!$M$3:$M$5001,"&lt;&gt;"))))</f>
        <v/>
      </c>
      <c r="N169" s="43" t="str">
        <f>IF(OR($B169="",$A169&gt;$B$9,N$149=""),"",IF(COUNTIFS(BD!$B$3:$B$5001,N$149,BD!$A$3:$A$5001,"&gt;="&amp;$C$7,BD!$A$3:$A$5001,"&lt;="&amp;$B169,BD!$M$3:$M$5001,"&lt;&gt;")=0,"",SUMIFS(BD!$M$3:$M$5001,BD!$B$3:$B$5001,N$149,BD!$A$3:$A$5001,_xlfn.MAXIFS(BD!$A$3:$A$5001,BD!$B$3:$B$5001,N$149,BD!$A$3:$A$5001,"&gt;="&amp;$C$7,BD!$A$3:$A$5001,"&lt;="&amp;$B169,BD!$M$3:$M$5001,"&lt;&gt;"))))</f>
        <v/>
      </c>
      <c r="O169" s="43" t="str">
        <f>IF(OR($B169="",$A169&gt;$B$9,O$149=""),"",IF(COUNTIFS(BD!$B$3:$B$5001,O$149,BD!$A$3:$A$5001,"&gt;="&amp;$C$7,BD!$A$3:$A$5001,"&lt;="&amp;$B169,BD!$M$3:$M$5001,"&lt;&gt;")=0,"",SUMIFS(BD!$M$3:$M$5001,BD!$B$3:$B$5001,O$149,BD!$A$3:$A$5001,_xlfn.MAXIFS(BD!$A$3:$A$5001,BD!$B$3:$B$5001,O$149,BD!$A$3:$A$5001,"&gt;="&amp;$C$7,BD!$A$3:$A$5001,"&lt;="&amp;$B169,BD!$M$3:$M$5001,"&lt;&gt;"))))</f>
        <v/>
      </c>
      <c r="P169" s="43" t="str">
        <f>IF(OR($B169="",$A169&gt;$B$9,P$149=""),"",IF(COUNTIFS(BD!$B$3:$B$5001,P$149,BD!$A$3:$A$5001,"&gt;="&amp;$C$7,BD!$A$3:$A$5001,"&lt;="&amp;$B169,BD!$M$3:$M$5001,"&lt;&gt;")=0,"",SUMIFS(BD!$M$3:$M$5001,BD!$B$3:$B$5001,P$149,BD!$A$3:$A$5001,_xlfn.MAXIFS(BD!$A$3:$A$5001,BD!$B$3:$B$5001,P$149,BD!$A$3:$A$5001,"&gt;="&amp;$C$7,BD!$A$3:$A$5001,"&lt;="&amp;$B169,BD!$M$3:$M$5001,"&lt;&gt;"))))</f>
        <v/>
      </c>
      <c r="Q169" s="43" t="str">
        <f>IF(OR($B169="",$A169&gt;$B$9,Q$149=""),"",IF(COUNTIFS(BD!$B$3:$B$5001,Q$149,BD!$A$3:$A$5001,"&gt;="&amp;$C$7,BD!$A$3:$A$5001,"&lt;="&amp;$B169,BD!$M$3:$M$5001,"&lt;&gt;")=0,"",SUMIFS(BD!$M$3:$M$5001,BD!$B$3:$B$5001,Q$149,BD!$A$3:$A$5001,_xlfn.MAXIFS(BD!$A$3:$A$5001,BD!$B$3:$B$5001,Q$149,BD!$A$3:$A$5001,"&gt;="&amp;$C$7,BD!$A$3:$A$5001,"&lt;="&amp;$B169,BD!$M$3:$M$5001,"&lt;&gt;"))))</f>
        <v/>
      </c>
      <c r="R169" s="43" t="str">
        <f>IF(OR($B169="",$A169&gt;$B$9,R$149=""),"",IF(COUNTIFS(BD!$B$3:$B$5001,R$149,BD!$A$3:$A$5001,"&gt;="&amp;$C$7,BD!$A$3:$A$5001,"&lt;="&amp;$B169,BD!$M$3:$M$5001,"&lt;&gt;")=0,"",SUMIFS(BD!$M$3:$M$5001,BD!$B$3:$B$5001,R$149,BD!$A$3:$A$5001,_xlfn.MAXIFS(BD!$A$3:$A$5001,BD!$B$3:$B$5001,R$149,BD!$A$3:$A$5001,"&gt;="&amp;$C$7,BD!$A$3:$A$5001,"&lt;="&amp;$B169,BD!$M$3:$M$5001,"&lt;&gt;"))))</f>
        <v/>
      </c>
      <c r="S169" s="43" t="str">
        <f>IF(OR($B169="",$A169&gt;$B$9,S$149=""),"",IF(COUNTIFS(BD!$B$3:$B$5001,S$149,BD!$A$3:$A$5001,"&gt;="&amp;$C$7,BD!$A$3:$A$5001,"&lt;="&amp;$B169,BD!$M$3:$M$5001,"&lt;&gt;")=0,"",SUMIFS(BD!$M$3:$M$5001,BD!$B$3:$B$5001,S$149,BD!$A$3:$A$5001,_xlfn.MAXIFS(BD!$A$3:$A$5001,BD!$B$3:$B$5001,S$149,BD!$A$3:$A$5001,"&gt;="&amp;$C$7,BD!$A$3:$A$5001,"&lt;="&amp;$B169,BD!$M$3:$M$5001,"&lt;&gt;"))))</f>
        <v/>
      </c>
      <c r="T169" s="43" t="str">
        <f>IF(OR($B169="",$A169&gt;$B$9,T$149=""),"",IF(COUNTIFS(BD!$B$3:$B$5001,T$149,BD!$A$3:$A$5001,"&gt;="&amp;$C$7,BD!$A$3:$A$5001,"&lt;="&amp;$B169,BD!$M$3:$M$5001,"&lt;&gt;")=0,"",SUMIFS(BD!$M$3:$M$5001,BD!$B$3:$B$5001,T$149,BD!$A$3:$A$5001,_xlfn.MAXIFS(BD!$A$3:$A$5001,BD!$B$3:$B$5001,T$149,BD!$A$3:$A$5001,"&gt;="&amp;$C$7,BD!$A$3:$A$5001,"&lt;="&amp;$B169,BD!$M$3:$M$5001,"&lt;&gt;"))))</f>
        <v/>
      </c>
      <c r="U169" s="43" t="str">
        <f>IF(OR($B169="",$A169&gt;$B$9,U$149=""),"",IF(COUNTIFS(BD!$B$3:$B$5001,U$149,BD!$A$3:$A$5001,"&gt;="&amp;$C$7,BD!$A$3:$A$5001,"&lt;="&amp;$B169,BD!$M$3:$M$5001,"&lt;&gt;")=0,"",SUMIFS(BD!$M$3:$M$5001,BD!$B$3:$B$5001,U$149,BD!$A$3:$A$5001,_xlfn.MAXIFS(BD!$A$3:$A$5001,BD!$B$3:$B$5001,U$149,BD!$A$3:$A$5001,"&gt;="&amp;$C$7,BD!$A$3:$A$5001,"&lt;="&amp;$B169,BD!$M$3:$M$5001,"&lt;&gt;"))))</f>
        <v/>
      </c>
      <c r="V169" s="43" t="str">
        <f>IF(OR($B169="",$A169&gt;$B$9,V$149=""),"",IF(COUNTIFS(BD!$B$3:$B$5001,V$149,BD!$A$3:$A$5001,"&gt;="&amp;$C$7,BD!$A$3:$A$5001,"&lt;="&amp;$B169,BD!$M$3:$M$5001,"&lt;&gt;")=0,"",SUMIFS(BD!$M$3:$M$5001,BD!$B$3:$B$5001,V$149,BD!$A$3:$A$5001,_xlfn.MAXIFS(BD!$A$3:$A$5001,BD!$B$3:$B$5001,V$149,BD!$A$3:$A$5001,"&gt;="&amp;$C$7,BD!$A$3:$A$5001,"&lt;="&amp;$B169,BD!$M$3:$M$5001,"&lt;&gt;"))))</f>
        <v/>
      </c>
    </row>
    <row r="170">
      <c r="A170" s="38">
        <v>21</v>
      </c>
      <c r="B170" s="42">
        <f>$B$32</f>
        <v>46316</v>
      </c>
      <c r="C170" s="43" t="str">
        <f>IF(OR($B170="",$A170&gt;$B$9,C$149=""),"",IF(COUNTIFS(BD!$B$3:$B$5001,C$149,BD!$A$3:$A$5001,"&gt;="&amp;$C$7,BD!$A$3:$A$5001,"&lt;="&amp;$B170,BD!$M$3:$M$5001,"&lt;&gt;")=0,"",SUMIFS(BD!$M$3:$M$5001,BD!$B$3:$B$5001,C$149,BD!$A$3:$A$5001,_xlfn.MAXIFS(BD!$A$3:$A$5001,BD!$B$3:$B$5001,C$149,BD!$A$3:$A$5001,"&gt;="&amp;$C$7,BD!$A$3:$A$5001,"&lt;="&amp;$B170,BD!$M$3:$M$5001,"&lt;&gt;"))))</f>
        <v/>
      </c>
      <c r="D170" s="43" t="str">
        <f>IF(OR($B170="",$A170&gt;$B$9,D$149=""),"",IF(COUNTIFS(BD!$B$3:$B$5001,D$149,BD!$A$3:$A$5001,"&gt;="&amp;$C$7,BD!$A$3:$A$5001,"&lt;="&amp;$B170,BD!$M$3:$M$5001,"&lt;&gt;")=0,"",SUMIFS(BD!$M$3:$M$5001,BD!$B$3:$B$5001,D$149,BD!$A$3:$A$5001,_xlfn.MAXIFS(BD!$A$3:$A$5001,BD!$B$3:$B$5001,D$149,BD!$A$3:$A$5001,"&gt;="&amp;$C$7,BD!$A$3:$A$5001,"&lt;="&amp;$B170,BD!$M$3:$M$5001,"&lt;&gt;"))))</f>
        <v/>
      </c>
      <c r="E170" s="43" t="str">
        <f>IF(OR($B170="",$A170&gt;$B$9,E$149=""),"",IF(COUNTIFS(BD!$B$3:$B$5001,E$149,BD!$A$3:$A$5001,"&gt;="&amp;$C$7,BD!$A$3:$A$5001,"&lt;="&amp;$B170,BD!$M$3:$M$5001,"&lt;&gt;")=0,"",SUMIFS(BD!$M$3:$M$5001,BD!$B$3:$B$5001,E$149,BD!$A$3:$A$5001,_xlfn.MAXIFS(BD!$A$3:$A$5001,BD!$B$3:$B$5001,E$149,BD!$A$3:$A$5001,"&gt;="&amp;$C$7,BD!$A$3:$A$5001,"&lt;="&amp;$B170,BD!$M$3:$M$5001,"&lt;&gt;"))))</f>
        <v/>
      </c>
      <c r="F170" s="43" t="str">
        <f>IF(OR($B170="",$A170&gt;$B$9,F$149=""),"",IF(COUNTIFS(BD!$B$3:$B$5001,F$149,BD!$A$3:$A$5001,"&gt;="&amp;$C$7,BD!$A$3:$A$5001,"&lt;="&amp;$B170,BD!$M$3:$M$5001,"&lt;&gt;")=0,"",SUMIFS(BD!$M$3:$M$5001,BD!$B$3:$B$5001,F$149,BD!$A$3:$A$5001,_xlfn.MAXIFS(BD!$A$3:$A$5001,BD!$B$3:$B$5001,F$149,BD!$A$3:$A$5001,"&gt;="&amp;$C$7,BD!$A$3:$A$5001,"&lt;="&amp;$B170,BD!$M$3:$M$5001,"&lt;&gt;"))))</f>
        <v/>
      </c>
      <c r="G170" s="43" t="str">
        <f>IF(OR($B170="",$A170&gt;$B$9,G$149=""),"",IF(COUNTIFS(BD!$B$3:$B$5001,G$149,BD!$A$3:$A$5001,"&gt;="&amp;$C$7,BD!$A$3:$A$5001,"&lt;="&amp;$B170,BD!$M$3:$M$5001,"&lt;&gt;")=0,"",SUMIFS(BD!$M$3:$M$5001,BD!$B$3:$B$5001,G$149,BD!$A$3:$A$5001,_xlfn.MAXIFS(BD!$A$3:$A$5001,BD!$B$3:$B$5001,G$149,BD!$A$3:$A$5001,"&gt;="&amp;$C$7,BD!$A$3:$A$5001,"&lt;="&amp;$B170,BD!$M$3:$M$5001,"&lt;&gt;"))))</f>
        <v/>
      </c>
      <c r="H170" s="43" t="str">
        <f>IF(OR($B170="",$A170&gt;$B$9,H$149=""),"",IF(COUNTIFS(BD!$B$3:$B$5001,H$149,BD!$A$3:$A$5001,"&gt;="&amp;$C$7,BD!$A$3:$A$5001,"&lt;="&amp;$B170,BD!$M$3:$M$5001,"&lt;&gt;")=0,"",SUMIFS(BD!$M$3:$M$5001,BD!$B$3:$B$5001,H$149,BD!$A$3:$A$5001,_xlfn.MAXIFS(BD!$A$3:$A$5001,BD!$B$3:$B$5001,H$149,BD!$A$3:$A$5001,"&gt;="&amp;$C$7,BD!$A$3:$A$5001,"&lt;="&amp;$B170,BD!$M$3:$M$5001,"&lt;&gt;"))))</f>
        <v/>
      </c>
      <c r="I170" s="43" t="str">
        <f>IF(OR($B170="",$A170&gt;$B$9,I$149=""),"",IF(COUNTIFS(BD!$B$3:$B$5001,I$149,BD!$A$3:$A$5001,"&gt;="&amp;$C$7,BD!$A$3:$A$5001,"&lt;="&amp;$B170,BD!$M$3:$M$5001,"&lt;&gt;")=0,"",SUMIFS(BD!$M$3:$M$5001,BD!$B$3:$B$5001,I$149,BD!$A$3:$A$5001,_xlfn.MAXIFS(BD!$A$3:$A$5001,BD!$B$3:$B$5001,I$149,BD!$A$3:$A$5001,"&gt;="&amp;$C$7,BD!$A$3:$A$5001,"&lt;="&amp;$B170,BD!$M$3:$M$5001,"&lt;&gt;"))))</f>
        <v/>
      </c>
      <c r="J170" s="43" t="str">
        <f>IF(OR($B170="",$A170&gt;$B$9,J$149=""),"",IF(COUNTIFS(BD!$B$3:$B$5001,J$149,BD!$A$3:$A$5001,"&gt;="&amp;$C$7,BD!$A$3:$A$5001,"&lt;="&amp;$B170,BD!$M$3:$M$5001,"&lt;&gt;")=0,"",SUMIFS(BD!$M$3:$M$5001,BD!$B$3:$B$5001,J$149,BD!$A$3:$A$5001,_xlfn.MAXIFS(BD!$A$3:$A$5001,BD!$B$3:$B$5001,J$149,BD!$A$3:$A$5001,"&gt;="&amp;$C$7,BD!$A$3:$A$5001,"&lt;="&amp;$B170,BD!$M$3:$M$5001,"&lt;&gt;"))))</f>
        <v/>
      </c>
      <c r="K170" s="43" t="str">
        <f>IF(OR($B170="",$A170&gt;$B$9,K$149=""),"",IF(COUNTIFS(BD!$B$3:$B$5001,K$149,BD!$A$3:$A$5001,"&gt;="&amp;$C$7,BD!$A$3:$A$5001,"&lt;="&amp;$B170,BD!$M$3:$M$5001,"&lt;&gt;")=0,"",SUMIFS(BD!$M$3:$M$5001,BD!$B$3:$B$5001,K$149,BD!$A$3:$A$5001,_xlfn.MAXIFS(BD!$A$3:$A$5001,BD!$B$3:$B$5001,K$149,BD!$A$3:$A$5001,"&gt;="&amp;$C$7,BD!$A$3:$A$5001,"&lt;="&amp;$B170,BD!$M$3:$M$5001,"&lt;&gt;"))))</f>
        <v/>
      </c>
      <c r="L170" s="43" t="str">
        <f>IF(OR($B170="",$A170&gt;$B$9,L$149=""),"",IF(COUNTIFS(BD!$B$3:$B$5001,L$149,BD!$A$3:$A$5001,"&gt;="&amp;$C$7,BD!$A$3:$A$5001,"&lt;="&amp;$B170,BD!$M$3:$M$5001,"&lt;&gt;")=0,"",SUMIFS(BD!$M$3:$M$5001,BD!$B$3:$B$5001,L$149,BD!$A$3:$A$5001,_xlfn.MAXIFS(BD!$A$3:$A$5001,BD!$B$3:$B$5001,L$149,BD!$A$3:$A$5001,"&gt;="&amp;$C$7,BD!$A$3:$A$5001,"&lt;="&amp;$B170,BD!$M$3:$M$5001,"&lt;&gt;"))))</f>
        <v/>
      </c>
      <c r="M170" s="43" t="str">
        <f>IF(OR($B170="",$A170&gt;$B$9,M$149=""),"",IF(COUNTIFS(BD!$B$3:$B$5001,M$149,BD!$A$3:$A$5001,"&gt;="&amp;$C$7,BD!$A$3:$A$5001,"&lt;="&amp;$B170,BD!$M$3:$M$5001,"&lt;&gt;")=0,"",SUMIFS(BD!$M$3:$M$5001,BD!$B$3:$B$5001,M$149,BD!$A$3:$A$5001,_xlfn.MAXIFS(BD!$A$3:$A$5001,BD!$B$3:$B$5001,M$149,BD!$A$3:$A$5001,"&gt;="&amp;$C$7,BD!$A$3:$A$5001,"&lt;="&amp;$B170,BD!$M$3:$M$5001,"&lt;&gt;"))))</f>
        <v/>
      </c>
      <c r="N170" s="43" t="str">
        <f>IF(OR($B170="",$A170&gt;$B$9,N$149=""),"",IF(COUNTIFS(BD!$B$3:$B$5001,N$149,BD!$A$3:$A$5001,"&gt;="&amp;$C$7,BD!$A$3:$A$5001,"&lt;="&amp;$B170,BD!$M$3:$M$5001,"&lt;&gt;")=0,"",SUMIFS(BD!$M$3:$M$5001,BD!$B$3:$B$5001,N$149,BD!$A$3:$A$5001,_xlfn.MAXIFS(BD!$A$3:$A$5001,BD!$B$3:$B$5001,N$149,BD!$A$3:$A$5001,"&gt;="&amp;$C$7,BD!$A$3:$A$5001,"&lt;="&amp;$B170,BD!$M$3:$M$5001,"&lt;&gt;"))))</f>
        <v/>
      </c>
      <c r="O170" s="43" t="str">
        <f>IF(OR($B170="",$A170&gt;$B$9,O$149=""),"",IF(COUNTIFS(BD!$B$3:$B$5001,O$149,BD!$A$3:$A$5001,"&gt;="&amp;$C$7,BD!$A$3:$A$5001,"&lt;="&amp;$B170,BD!$M$3:$M$5001,"&lt;&gt;")=0,"",SUMIFS(BD!$M$3:$M$5001,BD!$B$3:$B$5001,O$149,BD!$A$3:$A$5001,_xlfn.MAXIFS(BD!$A$3:$A$5001,BD!$B$3:$B$5001,O$149,BD!$A$3:$A$5001,"&gt;="&amp;$C$7,BD!$A$3:$A$5001,"&lt;="&amp;$B170,BD!$M$3:$M$5001,"&lt;&gt;"))))</f>
        <v/>
      </c>
      <c r="P170" s="43" t="str">
        <f>IF(OR($B170="",$A170&gt;$B$9,P$149=""),"",IF(COUNTIFS(BD!$B$3:$B$5001,P$149,BD!$A$3:$A$5001,"&gt;="&amp;$C$7,BD!$A$3:$A$5001,"&lt;="&amp;$B170,BD!$M$3:$M$5001,"&lt;&gt;")=0,"",SUMIFS(BD!$M$3:$M$5001,BD!$B$3:$B$5001,P$149,BD!$A$3:$A$5001,_xlfn.MAXIFS(BD!$A$3:$A$5001,BD!$B$3:$B$5001,P$149,BD!$A$3:$A$5001,"&gt;="&amp;$C$7,BD!$A$3:$A$5001,"&lt;="&amp;$B170,BD!$M$3:$M$5001,"&lt;&gt;"))))</f>
        <v/>
      </c>
      <c r="Q170" s="43" t="str">
        <f>IF(OR($B170="",$A170&gt;$B$9,Q$149=""),"",IF(COUNTIFS(BD!$B$3:$B$5001,Q$149,BD!$A$3:$A$5001,"&gt;="&amp;$C$7,BD!$A$3:$A$5001,"&lt;="&amp;$B170,BD!$M$3:$M$5001,"&lt;&gt;")=0,"",SUMIFS(BD!$M$3:$M$5001,BD!$B$3:$B$5001,Q$149,BD!$A$3:$A$5001,_xlfn.MAXIFS(BD!$A$3:$A$5001,BD!$B$3:$B$5001,Q$149,BD!$A$3:$A$5001,"&gt;="&amp;$C$7,BD!$A$3:$A$5001,"&lt;="&amp;$B170,BD!$M$3:$M$5001,"&lt;&gt;"))))</f>
        <v/>
      </c>
      <c r="R170" s="43" t="str">
        <f>IF(OR($B170="",$A170&gt;$B$9,R$149=""),"",IF(COUNTIFS(BD!$B$3:$B$5001,R$149,BD!$A$3:$A$5001,"&gt;="&amp;$C$7,BD!$A$3:$A$5001,"&lt;="&amp;$B170,BD!$M$3:$M$5001,"&lt;&gt;")=0,"",SUMIFS(BD!$M$3:$M$5001,BD!$B$3:$B$5001,R$149,BD!$A$3:$A$5001,_xlfn.MAXIFS(BD!$A$3:$A$5001,BD!$B$3:$B$5001,R$149,BD!$A$3:$A$5001,"&gt;="&amp;$C$7,BD!$A$3:$A$5001,"&lt;="&amp;$B170,BD!$M$3:$M$5001,"&lt;&gt;"))))</f>
        <v/>
      </c>
      <c r="S170" s="43" t="str">
        <f>IF(OR($B170="",$A170&gt;$B$9,S$149=""),"",IF(COUNTIFS(BD!$B$3:$B$5001,S$149,BD!$A$3:$A$5001,"&gt;="&amp;$C$7,BD!$A$3:$A$5001,"&lt;="&amp;$B170,BD!$M$3:$M$5001,"&lt;&gt;")=0,"",SUMIFS(BD!$M$3:$M$5001,BD!$B$3:$B$5001,S$149,BD!$A$3:$A$5001,_xlfn.MAXIFS(BD!$A$3:$A$5001,BD!$B$3:$B$5001,S$149,BD!$A$3:$A$5001,"&gt;="&amp;$C$7,BD!$A$3:$A$5001,"&lt;="&amp;$B170,BD!$M$3:$M$5001,"&lt;&gt;"))))</f>
        <v/>
      </c>
      <c r="T170" s="43" t="str">
        <f>IF(OR($B170="",$A170&gt;$B$9,T$149=""),"",IF(COUNTIFS(BD!$B$3:$B$5001,T$149,BD!$A$3:$A$5001,"&gt;="&amp;$C$7,BD!$A$3:$A$5001,"&lt;="&amp;$B170,BD!$M$3:$M$5001,"&lt;&gt;")=0,"",SUMIFS(BD!$M$3:$M$5001,BD!$B$3:$B$5001,T$149,BD!$A$3:$A$5001,_xlfn.MAXIFS(BD!$A$3:$A$5001,BD!$B$3:$B$5001,T$149,BD!$A$3:$A$5001,"&gt;="&amp;$C$7,BD!$A$3:$A$5001,"&lt;="&amp;$B170,BD!$M$3:$M$5001,"&lt;&gt;"))))</f>
        <v/>
      </c>
      <c r="U170" s="43" t="str">
        <f>IF(OR($B170="",$A170&gt;$B$9,U$149=""),"",IF(COUNTIFS(BD!$B$3:$B$5001,U$149,BD!$A$3:$A$5001,"&gt;="&amp;$C$7,BD!$A$3:$A$5001,"&lt;="&amp;$B170,BD!$M$3:$M$5001,"&lt;&gt;")=0,"",SUMIFS(BD!$M$3:$M$5001,BD!$B$3:$B$5001,U$149,BD!$A$3:$A$5001,_xlfn.MAXIFS(BD!$A$3:$A$5001,BD!$B$3:$B$5001,U$149,BD!$A$3:$A$5001,"&gt;="&amp;$C$7,BD!$A$3:$A$5001,"&lt;="&amp;$B170,BD!$M$3:$M$5001,"&lt;&gt;"))))</f>
        <v/>
      </c>
      <c r="V170" s="43" t="str">
        <f>IF(OR($B170="",$A170&gt;$B$9,V$149=""),"",IF(COUNTIFS(BD!$B$3:$B$5001,V$149,BD!$A$3:$A$5001,"&gt;="&amp;$C$7,BD!$A$3:$A$5001,"&lt;="&amp;$B170,BD!$M$3:$M$5001,"&lt;&gt;")=0,"",SUMIFS(BD!$M$3:$M$5001,BD!$B$3:$B$5001,V$149,BD!$A$3:$A$5001,_xlfn.MAXIFS(BD!$A$3:$A$5001,BD!$B$3:$B$5001,V$149,BD!$A$3:$A$5001,"&gt;="&amp;$C$7,BD!$A$3:$A$5001,"&lt;="&amp;$B170,BD!$M$3:$M$5001,"&lt;&gt;"))))</f>
        <v/>
      </c>
    </row>
    <row r="171">
      <c r="A171" s="38">
        <v>22</v>
      </c>
      <c r="B171" s="42">
        <f>$B$33</f>
        <v>46317</v>
      </c>
      <c r="C171" s="43" t="str">
        <f>IF(OR($B171="",$A171&gt;$B$9,C$149=""),"",IF(COUNTIFS(BD!$B$3:$B$5001,C$149,BD!$A$3:$A$5001,"&gt;="&amp;$C$7,BD!$A$3:$A$5001,"&lt;="&amp;$B171,BD!$M$3:$M$5001,"&lt;&gt;")=0,"",SUMIFS(BD!$M$3:$M$5001,BD!$B$3:$B$5001,C$149,BD!$A$3:$A$5001,_xlfn.MAXIFS(BD!$A$3:$A$5001,BD!$B$3:$B$5001,C$149,BD!$A$3:$A$5001,"&gt;="&amp;$C$7,BD!$A$3:$A$5001,"&lt;="&amp;$B171,BD!$M$3:$M$5001,"&lt;&gt;"))))</f>
        <v/>
      </c>
      <c r="D171" s="43" t="str">
        <f>IF(OR($B171="",$A171&gt;$B$9,D$149=""),"",IF(COUNTIFS(BD!$B$3:$B$5001,D$149,BD!$A$3:$A$5001,"&gt;="&amp;$C$7,BD!$A$3:$A$5001,"&lt;="&amp;$B171,BD!$M$3:$M$5001,"&lt;&gt;")=0,"",SUMIFS(BD!$M$3:$M$5001,BD!$B$3:$B$5001,D$149,BD!$A$3:$A$5001,_xlfn.MAXIFS(BD!$A$3:$A$5001,BD!$B$3:$B$5001,D$149,BD!$A$3:$A$5001,"&gt;="&amp;$C$7,BD!$A$3:$A$5001,"&lt;="&amp;$B171,BD!$M$3:$M$5001,"&lt;&gt;"))))</f>
        <v/>
      </c>
      <c r="E171" s="43" t="str">
        <f>IF(OR($B171="",$A171&gt;$B$9,E$149=""),"",IF(COUNTIFS(BD!$B$3:$B$5001,E$149,BD!$A$3:$A$5001,"&gt;="&amp;$C$7,BD!$A$3:$A$5001,"&lt;="&amp;$B171,BD!$M$3:$M$5001,"&lt;&gt;")=0,"",SUMIFS(BD!$M$3:$M$5001,BD!$B$3:$B$5001,E$149,BD!$A$3:$A$5001,_xlfn.MAXIFS(BD!$A$3:$A$5001,BD!$B$3:$B$5001,E$149,BD!$A$3:$A$5001,"&gt;="&amp;$C$7,BD!$A$3:$A$5001,"&lt;="&amp;$B171,BD!$M$3:$M$5001,"&lt;&gt;"))))</f>
        <v/>
      </c>
      <c r="F171" s="43" t="str">
        <f>IF(OR($B171="",$A171&gt;$B$9,F$149=""),"",IF(COUNTIFS(BD!$B$3:$B$5001,F$149,BD!$A$3:$A$5001,"&gt;="&amp;$C$7,BD!$A$3:$A$5001,"&lt;="&amp;$B171,BD!$M$3:$M$5001,"&lt;&gt;")=0,"",SUMIFS(BD!$M$3:$M$5001,BD!$B$3:$B$5001,F$149,BD!$A$3:$A$5001,_xlfn.MAXIFS(BD!$A$3:$A$5001,BD!$B$3:$B$5001,F$149,BD!$A$3:$A$5001,"&gt;="&amp;$C$7,BD!$A$3:$A$5001,"&lt;="&amp;$B171,BD!$M$3:$M$5001,"&lt;&gt;"))))</f>
        <v/>
      </c>
      <c r="G171" s="43" t="str">
        <f>IF(OR($B171="",$A171&gt;$B$9,G$149=""),"",IF(COUNTIFS(BD!$B$3:$B$5001,G$149,BD!$A$3:$A$5001,"&gt;="&amp;$C$7,BD!$A$3:$A$5001,"&lt;="&amp;$B171,BD!$M$3:$M$5001,"&lt;&gt;")=0,"",SUMIFS(BD!$M$3:$M$5001,BD!$B$3:$B$5001,G$149,BD!$A$3:$A$5001,_xlfn.MAXIFS(BD!$A$3:$A$5001,BD!$B$3:$B$5001,G$149,BD!$A$3:$A$5001,"&gt;="&amp;$C$7,BD!$A$3:$A$5001,"&lt;="&amp;$B171,BD!$M$3:$M$5001,"&lt;&gt;"))))</f>
        <v/>
      </c>
      <c r="H171" s="43" t="str">
        <f>IF(OR($B171="",$A171&gt;$B$9,H$149=""),"",IF(COUNTIFS(BD!$B$3:$B$5001,H$149,BD!$A$3:$A$5001,"&gt;="&amp;$C$7,BD!$A$3:$A$5001,"&lt;="&amp;$B171,BD!$M$3:$M$5001,"&lt;&gt;")=0,"",SUMIFS(BD!$M$3:$M$5001,BD!$B$3:$B$5001,H$149,BD!$A$3:$A$5001,_xlfn.MAXIFS(BD!$A$3:$A$5001,BD!$B$3:$B$5001,H$149,BD!$A$3:$A$5001,"&gt;="&amp;$C$7,BD!$A$3:$A$5001,"&lt;="&amp;$B171,BD!$M$3:$M$5001,"&lt;&gt;"))))</f>
        <v/>
      </c>
      <c r="I171" s="43" t="str">
        <f>IF(OR($B171="",$A171&gt;$B$9,I$149=""),"",IF(COUNTIFS(BD!$B$3:$B$5001,I$149,BD!$A$3:$A$5001,"&gt;="&amp;$C$7,BD!$A$3:$A$5001,"&lt;="&amp;$B171,BD!$M$3:$M$5001,"&lt;&gt;")=0,"",SUMIFS(BD!$M$3:$M$5001,BD!$B$3:$B$5001,I$149,BD!$A$3:$A$5001,_xlfn.MAXIFS(BD!$A$3:$A$5001,BD!$B$3:$B$5001,I$149,BD!$A$3:$A$5001,"&gt;="&amp;$C$7,BD!$A$3:$A$5001,"&lt;="&amp;$B171,BD!$M$3:$M$5001,"&lt;&gt;"))))</f>
        <v/>
      </c>
      <c r="J171" s="43" t="str">
        <f>IF(OR($B171="",$A171&gt;$B$9,J$149=""),"",IF(COUNTIFS(BD!$B$3:$B$5001,J$149,BD!$A$3:$A$5001,"&gt;="&amp;$C$7,BD!$A$3:$A$5001,"&lt;="&amp;$B171,BD!$M$3:$M$5001,"&lt;&gt;")=0,"",SUMIFS(BD!$M$3:$M$5001,BD!$B$3:$B$5001,J$149,BD!$A$3:$A$5001,_xlfn.MAXIFS(BD!$A$3:$A$5001,BD!$B$3:$B$5001,J$149,BD!$A$3:$A$5001,"&gt;="&amp;$C$7,BD!$A$3:$A$5001,"&lt;="&amp;$B171,BD!$M$3:$M$5001,"&lt;&gt;"))))</f>
        <v/>
      </c>
      <c r="K171" s="43" t="str">
        <f>IF(OR($B171="",$A171&gt;$B$9,K$149=""),"",IF(COUNTIFS(BD!$B$3:$B$5001,K$149,BD!$A$3:$A$5001,"&gt;="&amp;$C$7,BD!$A$3:$A$5001,"&lt;="&amp;$B171,BD!$M$3:$M$5001,"&lt;&gt;")=0,"",SUMIFS(BD!$M$3:$M$5001,BD!$B$3:$B$5001,K$149,BD!$A$3:$A$5001,_xlfn.MAXIFS(BD!$A$3:$A$5001,BD!$B$3:$B$5001,K$149,BD!$A$3:$A$5001,"&gt;="&amp;$C$7,BD!$A$3:$A$5001,"&lt;="&amp;$B171,BD!$M$3:$M$5001,"&lt;&gt;"))))</f>
        <v/>
      </c>
      <c r="L171" s="43" t="str">
        <f>IF(OR($B171="",$A171&gt;$B$9,L$149=""),"",IF(COUNTIFS(BD!$B$3:$B$5001,L$149,BD!$A$3:$A$5001,"&gt;="&amp;$C$7,BD!$A$3:$A$5001,"&lt;="&amp;$B171,BD!$M$3:$M$5001,"&lt;&gt;")=0,"",SUMIFS(BD!$M$3:$M$5001,BD!$B$3:$B$5001,L$149,BD!$A$3:$A$5001,_xlfn.MAXIFS(BD!$A$3:$A$5001,BD!$B$3:$B$5001,L$149,BD!$A$3:$A$5001,"&gt;="&amp;$C$7,BD!$A$3:$A$5001,"&lt;="&amp;$B171,BD!$M$3:$M$5001,"&lt;&gt;"))))</f>
        <v/>
      </c>
      <c r="M171" s="43" t="str">
        <f>IF(OR($B171="",$A171&gt;$B$9,M$149=""),"",IF(COUNTIFS(BD!$B$3:$B$5001,M$149,BD!$A$3:$A$5001,"&gt;="&amp;$C$7,BD!$A$3:$A$5001,"&lt;="&amp;$B171,BD!$M$3:$M$5001,"&lt;&gt;")=0,"",SUMIFS(BD!$M$3:$M$5001,BD!$B$3:$B$5001,M$149,BD!$A$3:$A$5001,_xlfn.MAXIFS(BD!$A$3:$A$5001,BD!$B$3:$B$5001,M$149,BD!$A$3:$A$5001,"&gt;="&amp;$C$7,BD!$A$3:$A$5001,"&lt;="&amp;$B171,BD!$M$3:$M$5001,"&lt;&gt;"))))</f>
        <v/>
      </c>
      <c r="N171" s="43" t="str">
        <f>IF(OR($B171="",$A171&gt;$B$9,N$149=""),"",IF(COUNTIFS(BD!$B$3:$B$5001,N$149,BD!$A$3:$A$5001,"&gt;="&amp;$C$7,BD!$A$3:$A$5001,"&lt;="&amp;$B171,BD!$M$3:$M$5001,"&lt;&gt;")=0,"",SUMIFS(BD!$M$3:$M$5001,BD!$B$3:$B$5001,N$149,BD!$A$3:$A$5001,_xlfn.MAXIFS(BD!$A$3:$A$5001,BD!$B$3:$B$5001,N$149,BD!$A$3:$A$5001,"&gt;="&amp;$C$7,BD!$A$3:$A$5001,"&lt;="&amp;$B171,BD!$M$3:$M$5001,"&lt;&gt;"))))</f>
        <v/>
      </c>
      <c r="O171" s="43" t="str">
        <f>IF(OR($B171="",$A171&gt;$B$9,O$149=""),"",IF(COUNTIFS(BD!$B$3:$B$5001,O$149,BD!$A$3:$A$5001,"&gt;="&amp;$C$7,BD!$A$3:$A$5001,"&lt;="&amp;$B171,BD!$M$3:$M$5001,"&lt;&gt;")=0,"",SUMIFS(BD!$M$3:$M$5001,BD!$B$3:$B$5001,O$149,BD!$A$3:$A$5001,_xlfn.MAXIFS(BD!$A$3:$A$5001,BD!$B$3:$B$5001,O$149,BD!$A$3:$A$5001,"&gt;="&amp;$C$7,BD!$A$3:$A$5001,"&lt;="&amp;$B171,BD!$M$3:$M$5001,"&lt;&gt;"))))</f>
        <v/>
      </c>
      <c r="P171" s="43" t="str">
        <f>IF(OR($B171="",$A171&gt;$B$9,P$149=""),"",IF(COUNTIFS(BD!$B$3:$B$5001,P$149,BD!$A$3:$A$5001,"&gt;="&amp;$C$7,BD!$A$3:$A$5001,"&lt;="&amp;$B171,BD!$M$3:$M$5001,"&lt;&gt;")=0,"",SUMIFS(BD!$M$3:$M$5001,BD!$B$3:$B$5001,P$149,BD!$A$3:$A$5001,_xlfn.MAXIFS(BD!$A$3:$A$5001,BD!$B$3:$B$5001,P$149,BD!$A$3:$A$5001,"&gt;="&amp;$C$7,BD!$A$3:$A$5001,"&lt;="&amp;$B171,BD!$M$3:$M$5001,"&lt;&gt;"))))</f>
        <v/>
      </c>
      <c r="Q171" s="43" t="str">
        <f>IF(OR($B171="",$A171&gt;$B$9,Q$149=""),"",IF(COUNTIFS(BD!$B$3:$B$5001,Q$149,BD!$A$3:$A$5001,"&gt;="&amp;$C$7,BD!$A$3:$A$5001,"&lt;="&amp;$B171,BD!$M$3:$M$5001,"&lt;&gt;")=0,"",SUMIFS(BD!$M$3:$M$5001,BD!$B$3:$B$5001,Q$149,BD!$A$3:$A$5001,_xlfn.MAXIFS(BD!$A$3:$A$5001,BD!$B$3:$B$5001,Q$149,BD!$A$3:$A$5001,"&gt;="&amp;$C$7,BD!$A$3:$A$5001,"&lt;="&amp;$B171,BD!$M$3:$M$5001,"&lt;&gt;"))))</f>
        <v/>
      </c>
      <c r="R171" s="43" t="str">
        <f>IF(OR($B171="",$A171&gt;$B$9,R$149=""),"",IF(COUNTIFS(BD!$B$3:$B$5001,R$149,BD!$A$3:$A$5001,"&gt;="&amp;$C$7,BD!$A$3:$A$5001,"&lt;="&amp;$B171,BD!$M$3:$M$5001,"&lt;&gt;")=0,"",SUMIFS(BD!$M$3:$M$5001,BD!$B$3:$B$5001,R$149,BD!$A$3:$A$5001,_xlfn.MAXIFS(BD!$A$3:$A$5001,BD!$B$3:$B$5001,R$149,BD!$A$3:$A$5001,"&gt;="&amp;$C$7,BD!$A$3:$A$5001,"&lt;="&amp;$B171,BD!$M$3:$M$5001,"&lt;&gt;"))))</f>
        <v/>
      </c>
      <c r="S171" s="43" t="str">
        <f>IF(OR($B171="",$A171&gt;$B$9,S$149=""),"",IF(COUNTIFS(BD!$B$3:$B$5001,S$149,BD!$A$3:$A$5001,"&gt;="&amp;$C$7,BD!$A$3:$A$5001,"&lt;="&amp;$B171,BD!$M$3:$M$5001,"&lt;&gt;")=0,"",SUMIFS(BD!$M$3:$M$5001,BD!$B$3:$B$5001,S$149,BD!$A$3:$A$5001,_xlfn.MAXIFS(BD!$A$3:$A$5001,BD!$B$3:$B$5001,S$149,BD!$A$3:$A$5001,"&gt;="&amp;$C$7,BD!$A$3:$A$5001,"&lt;="&amp;$B171,BD!$M$3:$M$5001,"&lt;&gt;"))))</f>
        <v/>
      </c>
      <c r="T171" s="43" t="str">
        <f>IF(OR($B171="",$A171&gt;$B$9,T$149=""),"",IF(COUNTIFS(BD!$B$3:$B$5001,T$149,BD!$A$3:$A$5001,"&gt;="&amp;$C$7,BD!$A$3:$A$5001,"&lt;="&amp;$B171,BD!$M$3:$M$5001,"&lt;&gt;")=0,"",SUMIFS(BD!$M$3:$M$5001,BD!$B$3:$B$5001,T$149,BD!$A$3:$A$5001,_xlfn.MAXIFS(BD!$A$3:$A$5001,BD!$B$3:$B$5001,T$149,BD!$A$3:$A$5001,"&gt;="&amp;$C$7,BD!$A$3:$A$5001,"&lt;="&amp;$B171,BD!$M$3:$M$5001,"&lt;&gt;"))))</f>
        <v/>
      </c>
      <c r="U171" s="43" t="str">
        <f>IF(OR($B171="",$A171&gt;$B$9,U$149=""),"",IF(COUNTIFS(BD!$B$3:$B$5001,U$149,BD!$A$3:$A$5001,"&gt;="&amp;$C$7,BD!$A$3:$A$5001,"&lt;="&amp;$B171,BD!$M$3:$M$5001,"&lt;&gt;")=0,"",SUMIFS(BD!$M$3:$M$5001,BD!$B$3:$B$5001,U$149,BD!$A$3:$A$5001,_xlfn.MAXIFS(BD!$A$3:$A$5001,BD!$B$3:$B$5001,U$149,BD!$A$3:$A$5001,"&gt;="&amp;$C$7,BD!$A$3:$A$5001,"&lt;="&amp;$B171,BD!$M$3:$M$5001,"&lt;&gt;"))))</f>
        <v/>
      </c>
      <c r="V171" s="43" t="str">
        <f>IF(OR($B171="",$A171&gt;$B$9,V$149=""),"",IF(COUNTIFS(BD!$B$3:$B$5001,V$149,BD!$A$3:$A$5001,"&gt;="&amp;$C$7,BD!$A$3:$A$5001,"&lt;="&amp;$B171,BD!$M$3:$M$5001,"&lt;&gt;")=0,"",SUMIFS(BD!$M$3:$M$5001,BD!$B$3:$B$5001,V$149,BD!$A$3:$A$5001,_xlfn.MAXIFS(BD!$A$3:$A$5001,BD!$B$3:$B$5001,V$149,BD!$A$3:$A$5001,"&gt;="&amp;$C$7,BD!$A$3:$A$5001,"&lt;="&amp;$B171,BD!$M$3:$M$5001,"&lt;&gt;"))))</f>
        <v/>
      </c>
    </row>
    <row r="172">
      <c r="A172" s="38">
        <v>23</v>
      </c>
      <c r="B172" s="42">
        <f>$B$34</f>
        <v>46318</v>
      </c>
      <c r="C172" s="43" t="str">
        <f>IF(OR($B172="",$A172&gt;$B$9,C$149=""),"",IF(COUNTIFS(BD!$B$3:$B$5001,C$149,BD!$A$3:$A$5001,"&gt;="&amp;$C$7,BD!$A$3:$A$5001,"&lt;="&amp;$B172,BD!$M$3:$M$5001,"&lt;&gt;")=0,"",SUMIFS(BD!$M$3:$M$5001,BD!$B$3:$B$5001,C$149,BD!$A$3:$A$5001,_xlfn.MAXIFS(BD!$A$3:$A$5001,BD!$B$3:$B$5001,C$149,BD!$A$3:$A$5001,"&gt;="&amp;$C$7,BD!$A$3:$A$5001,"&lt;="&amp;$B172,BD!$M$3:$M$5001,"&lt;&gt;"))))</f>
        <v/>
      </c>
      <c r="D172" s="43" t="str">
        <f>IF(OR($B172="",$A172&gt;$B$9,D$149=""),"",IF(COUNTIFS(BD!$B$3:$B$5001,D$149,BD!$A$3:$A$5001,"&gt;="&amp;$C$7,BD!$A$3:$A$5001,"&lt;="&amp;$B172,BD!$M$3:$M$5001,"&lt;&gt;")=0,"",SUMIFS(BD!$M$3:$M$5001,BD!$B$3:$B$5001,D$149,BD!$A$3:$A$5001,_xlfn.MAXIFS(BD!$A$3:$A$5001,BD!$B$3:$B$5001,D$149,BD!$A$3:$A$5001,"&gt;="&amp;$C$7,BD!$A$3:$A$5001,"&lt;="&amp;$B172,BD!$M$3:$M$5001,"&lt;&gt;"))))</f>
        <v/>
      </c>
      <c r="E172" s="43" t="str">
        <f>IF(OR($B172="",$A172&gt;$B$9,E$149=""),"",IF(COUNTIFS(BD!$B$3:$B$5001,E$149,BD!$A$3:$A$5001,"&gt;="&amp;$C$7,BD!$A$3:$A$5001,"&lt;="&amp;$B172,BD!$M$3:$M$5001,"&lt;&gt;")=0,"",SUMIFS(BD!$M$3:$M$5001,BD!$B$3:$B$5001,E$149,BD!$A$3:$A$5001,_xlfn.MAXIFS(BD!$A$3:$A$5001,BD!$B$3:$B$5001,E$149,BD!$A$3:$A$5001,"&gt;="&amp;$C$7,BD!$A$3:$A$5001,"&lt;="&amp;$B172,BD!$M$3:$M$5001,"&lt;&gt;"))))</f>
        <v/>
      </c>
      <c r="F172" s="43" t="str">
        <f>IF(OR($B172="",$A172&gt;$B$9,F$149=""),"",IF(COUNTIFS(BD!$B$3:$B$5001,F$149,BD!$A$3:$A$5001,"&gt;="&amp;$C$7,BD!$A$3:$A$5001,"&lt;="&amp;$B172,BD!$M$3:$M$5001,"&lt;&gt;")=0,"",SUMIFS(BD!$M$3:$M$5001,BD!$B$3:$B$5001,F$149,BD!$A$3:$A$5001,_xlfn.MAXIFS(BD!$A$3:$A$5001,BD!$B$3:$B$5001,F$149,BD!$A$3:$A$5001,"&gt;="&amp;$C$7,BD!$A$3:$A$5001,"&lt;="&amp;$B172,BD!$M$3:$M$5001,"&lt;&gt;"))))</f>
        <v/>
      </c>
      <c r="G172" s="43" t="str">
        <f>IF(OR($B172="",$A172&gt;$B$9,G$149=""),"",IF(COUNTIFS(BD!$B$3:$B$5001,G$149,BD!$A$3:$A$5001,"&gt;="&amp;$C$7,BD!$A$3:$A$5001,"&lt;="&amp;$B172,BD!$M$3:$M$5001,"&lt;&gt;")=0,"",SUMIFS(BD!$M$3:$M$5001,BD!$B$3:$B$5001,G$149,BD!$A$3:$A$5001,_xlfn.MAXIFS(BD!$A$3:$A$5001,BD!$B$3:$B$5001,G$149,BD!$A$3:$A$5001,"&gt;="&amp;$C$7,BD!$A$3:$A$5001,"&lt;="&amp;$B172,BD!$M$3:$M$5001,"&lt;&gt;"))))</f>
        <v/>
      </c>
      <c r="H172" s="43" t="str">
        <f>IF(OR($B172="",$A172&gt;$B$9,H$149=""),"",IF(COUNTIFS(BD!$B$3:$B$5001,H$149,BD!$A$3:$A$5001,"&gt;="&amp;$C$7,BD!$A$3:$A$5001,"&lt;="&amp;$B172,BD!$M$3:$M$5001,"&lt;&gt;")=0,"",SUMIFS(BD!$M$3:$M$5001,BD!$B$3:$B$5001,H$149,BD!$A$3:$A$5001,_xlfn.MAXIFS(BD!$A$3:$A$5001,BD!$B$3:$B$5001,H$149,BD!$A$3:$A$5001,"&gt;="&amp;$C$7,BD!$A$3:$A$5001,"&lt;="&amp;$B172,BD!$M$3:$M$5001,"&lt;&gt;"))))</f>
        <v/>
      </c>
      <c r="I172" s="43" t="str">
        <f>IF(OR($B172="",$A172&gt;$B$9,I$149=""),"",IF(COUNTIFS(BD!$B$3:$B$5001,I$149,BD!$A$3:$A$5001,"&gt;="&amp;$C$7,BD!$A$3:$A$5001,"&lt;="&amp;$B172,BD!$M$3:$M$5001,"&lt;&gt;")=0,"",SUMIFS(BD!$M$3:$M$5001,BD!$B$3:$B$5001,I$149,BD!$A$3:$A$5001,_xlfn.MAXIFS(BD!$A$3:$A$5001,BD!$B$3:$B$5001,I$149,BD!$A$3:$A$5001,"&gt;="&amp;$C$7,BD!$A$3:$A$5001,"&lt;="&amp;$B172,BD!$M$3:$M$5001,"&lt;&gt;"))))</f>
        <v/>
      </c>
      <c r="J172" s="43" t="str">
        <f>IF(OR($B172="",$A172&gt;$B$9,J$149=""),"",IF(COUNTIFS(BD!$B$3:$B$5001,J$149,BD!$A$3:$A$5001,"&gt;="&amp;$C$7,BD!$A$3:$A$5001,"&lt;="&amp;$B172,BD!$M$3:$M$5001,"&lt;&gt;")=0,"",SUMIFS(BD!$M$3:$M$5001,BD!$B$3:$B$5001,J$149,BD!$A$3:$A$5001,_xlfn.MAXIFS(BD!$A$3:$A$5001,BD!$B$3:$B$5001,J$149,BD!$A$3:$A$5001,"&gt;="&amp;$C$7,BD!$A$3:$A$5001,"&lt;="&amp;$B172,BD!$M$3:$M$5001,"&lt;&gt;"))))</f>
        <v/>
      </c>
      <c r="K172" s="43" t="str">
        <f>IF(OR($B172="",$A172&gt;$B$9,K$149=""),"",IF(COUNTIFS(BD!$B$3:$B$5001,K$149,BD!$A$3:$A$5001,"&gt;="&amp;$C$7,BD!$A$3:$A$5001,"&lt;="&amp;$B172,BD!$M$3:$M$5001,"&lt;&gt;")=0,"",SUMIFS(BD!$M$3:$M$5001,BD!$B$3:$B$5001,K$149,BD!$A$3:$A$5001,_xlfn.MAXIFS(BD!$A$3:$A$5001,BD!$B$3:$B$5001,K$149,BD!$A$3:$A$5001,"&gt;="&amp;$C$7,BD!$A$3:$A$5001,"&lt;="&amp;$B172,BD!$M$3:$M$5001,"&lt;&gt;"))))</f>
        <v/>
      </c>
      <c r="L172" s="43" t="str">
        <f>IF(OR($B172="",$A172&gt;$B$9,L$149=""),"",IF(COUNTIFS(BD!$B$3:$B$5001,L$149,BD!$A$3:$A$5001,"&gt;="&amp;$C$7,BD!$A$3:$A$5001,"&lt;="&amp;$B172,BD!$M$3:$M$5001,"&lt;&gt;")=0,"",SUMIFS(BD!$M$3:$M$5001,BD!$B$3:$B$5001,L$149,BD!$A$3:$A$5001,_xlfn.MAXIFS(BD!$A$3:$A$5001,BD!$B$3:$B$5001,L$149,BD!$A$3:$A$5001,"&gt;="&amp;$C$7,BD!$A$3:$A$5001,"&lt;="&amp;$B172,BD!$M$3:$M$5001,"&lt;&gt;"))))</f>
        <v/>
      </c>
      <c r="M172" s="43" t="str">
        <f>IF(OR($B172="",$A172&gt;$B$9,M$149=""),"",IF(COUNTIFS(BD!$B$3:$B$5001,M$149,BD!$A$3:$A$5001,"&gt;="&amp;$C$7,BD!$A$3:$A$5001,"&lt;="&amp;$B172,BD!$M$3:$M$5001,"&lt;&gt;")=0,"",SUMIFS(BD!$M$3:$M$5001,BD!$B$3:$B$5001,M$149,BD!$A$3:$A$5001,_xlfn.MAXIFS(BD!$A$3:$A$5001,BD!$B$3:$B$5001,M$149,BD!$A$3:$A$5001,"&gt;="&amp;$C$7,BD!$A$3:$A$5001,"&lt;="&amp;$B172,BD!$M$3:$M$5001,"&lt;&gt;"))))</f>
        <v/>
      </c>
      <c r="N172" s="43" t="str">
        <f>IF(OR($B172="",$A172&gt;$B$9,N$149=""),"",IF(COUNTIFS(BD!$B$3:$B$5001,N$149,BD!$A$3:$A$5001,"&gt;="&amp;$C$7,BD!$A$3:$A$5001,"&lt;="&amp;$B172,BD!$M$3:$M$5001,"&lt;&gt;")=0,"",SUMIFS(BD!$M$3:$M$5001,BD!$B$3:$B$5001,N$149,BD!$A$3:$A$5001,_xlfn.MAXIFS(BD!$A$3:$A$5001,BD!$B$3:$B$5001,N$149,BD!$A$3:$A$5001,"&gt;="&amp;$C$7,BD!$A$3:$A$5001,"&lt;="&amp;$B172,BD!$M$3:$M$5001,"&lt;&gt;"))))</f>
        <v/>
      </c>
      <c r="O172" s="43" t="str">
        <f>IF(OR($B172="",$A172&gt;$B$9,O$149=""),"",IF(COUNTIFS(BD!$B$3:$B$5001,O$149,BD!$A$3:$A$5001,"&gt;="&amp;$C$7,BD!$A$3:$A$5001,"&lt;="&amp;$B172,BD!$M$3:$M$5001,"&lt;&gt;")=0,"",SUMIFS(BD!$M$3:$M$5001,BD!$B$3:$B$5001,O$149,BD!$A$3:$A$5001,_xlfn.MAXIFS(BD!$A$3:$A$5001,BD!$B$3:$B$5001,O$149,BD!$A$3:$A$5001,"&gt;="&amp;$C$7,BD!$A$3:$A$5001,"&lt;="&amp;$B172,BD!$M$3:$M$5001,"&lt;&gt;"))))</f>
        <v/>
      </c>
      <c r="P172" s="43" t="str">
        <f>IF(OR($B172="",$A172&gt;$B$9,P$149=""),"",IF(COUNTIFS(BD!$B$3:$B$5001,P$149,BD!$A$3:$A$5001,"&gt;="&amp;$C$7,BD!$A$3:$A$5001,"&lt;="&amp;$B172,BD!$M$3:$M$5001,"&lt;&gt;")=0,"",SUMIFS(BD!$M$3:$M$5001,BD!$B$3:$B$5001,P$149,BD!$A$3:$A$5001,_xlfn.MAXIFS(BD!$A$3:$A$5001,BD!$B$3:$B$5001,P$149,BD!$A$3:$A$5001,"&gt;="&amp;$C$7,BD!$A$3:$A$5001,"&lt;="&amp;$B172,BD!$M$3:$M$5001,"&lt;&gt;"))))</f>
        <v/>
      </c>
      <c r="Q172" s="43" t="str">
        <f>IF(OR($B172="",$A172&gt;$B$9,Q$149=""),"",IF(COUNTIFS(BD!$B$3:$B$5001,Q$149,BD!$A$3:$A$5001,"&gt;="&amp;$C$7,BD!$A$3:$A$5001,"&lt;="&amp;$B172,BD!$M$3:$M$5001,"&lt;&gt;")=0,"",SUMIFS(BD!$M$3:$M$5001,BD!$B$3:$B$5001,Q$149,BD!$A$3:$A$5001,_xlfn.MAXIFS(BD!$A$3:$A$5001,BD!$B$3:$B$5001,Q$149,BD!$A$3:$A$5001,"&gt;="&amp;$C$7,BD!$A$3:$A$5001,"&lt;="&amp;$B172,BD!$M$3:$M$5001,"&lt;&gt;"))))</f>
        <v/>
      </c>
      <c r="R172" s="43" t="str">
        <f>IF(OR($B172="",$A172&gt;$B$9,R$149=""),"",IF(COUNTIFS(BD!$B$3:$B$5001,R$149,BD!$A$3:$A$5001,"&gt;="&amp;$C$7,BD!$A$3:$A$5001,"&lt;="&amp;$B172,BD!$M$3:$M$5001,"&lt;&gt;")=0,"",SUMIFS(BD!$M$3:$M$5001,BD!$B$3:$B$5001,R$149,BD!$A$3:$A$5001,_xlfn.MAXIFS(BD!$A$3:$A$5001,BD!$B$3:$B$5001,R$149,BD!$A$3:$A$5001,"&gt;="&amp;$C$7,BD!$A$3:$A$5001,"&lt;="&amp;$B172,BD!$M$3:$M$5001,"&lt;&gt;"))))</f>
        <v/>
      </c>
      <c r="S172" s="43" t="str">
        <f>IF(OR($B172="",$A172&gt;$B$9,S$149=""),"",IF(COUNTIFS(BD!$B$3:$B$5001,S$149,BD!$A$3:$A$5001,"&gt;="&amp;$C$7,BD!$A$3:$A$5001,"&lt;="&amp;$B172,BD!$M$3:$M$5001,"&lt;&gt;")=0,"",SUMIFS(BD!$M$3:$M$5001,BD!$B$3:$B$5001,S$149,BD!$A$3:$A$5001,_xlfn.MAXIFS(BD!$A$3:$A$5001,BD!$B$3:$B$5001,S$149,BD!$A$3:$A$5001,"&gt;="&amp;$C$7,BD!$A$3:$A$5001,"&lt;="&amp;$B172,BD!$M$3:$M$5001,"&lt;&gt;"))))</f>
        <v/>
      </c>
      <c r="T172" s="43" t="str">
        <f>IF(OR($B172="",$A172&gt;$B$9,T$149=""),"",IF(COUNTIFS(BD!$B$3:$B$5001,T$149,BD!$A$3:$A$5001,"&gt;="&amp;$C$7,BD!$A$3:$A$5001,"&lt;="&amp;$B172,BD!$M$3:$M$5001,"&lt;&gt;")=0,"",SUMIFS(BD!$M$3:$M$5001,BD!$B$3:$B$5001,T$149,BD!$A$3:$A$5001,_xlfn.MAXIFS(BD!$A$3:$A$5001,BD!$B$3:$B$5001,T$149,BD!$A$3:$A$5001,"&gt;="&amp;$C$7,BD!$A$3:$A$5001,"&lt;="&amp;$B172,BD!$M$3:$M$5001,"&lt;&gt;"))))</f>
        <v/>
      </c>
      <c r="U172" s="43" t="str">
        <f>IF(OR($B172="",$A172&gt;$B$9,U$149=""),"",IF(COUNTIFS(BD!$B$3:$B$5001,U$149,BD!$A$3:$A$5001,"&gt;="&amp;$C$7,BD!$A$3:$A$5001,"&lt;="&amp;$B172,BD!$M$3:$M$5001,"&lt;&gt;")=0,"",SUMIFS(BD!$M$3:$M$5001,BD!$B$3:$B$5001,U$149,BD!$A$3:$A$5001,_xlfn.MAXIFS(BD!$A$3:$A$5001,BD!$B$3:$B$5001,U$149,BD!$A$3:$A$5001,"&gt;="&amp;$C$7,BD!$A$3:$A$5001,"&lt;="&amp;$B172,BD!$M$3:$M$5001,"&lt;&gt;"))))</f>
        <v/>
      </c>
      <c r="V172" s="43" t="str">
        <f>IF(OR($B172="",$A172&gt;$B$9,V$149=""),"",IF(COUNTIFS(BD!$B$3:$B$5001,V$149,BD!$A$3:$A$5001,"&gt;="&amp;$C$7,BD!$A$3:$A$5001,"&lt;="&amp;$B172,BD!$M$3:$M$5001,"&lt;&gt;")=0,"",SUMIFS(BD!$M$3:$M$5001,BD!$B$3:$B$5001,V$149,BD!$A$3:$A$5001,_xlfn.MAXIFS(BD!$A$3:$A$5001,BD!$B$3:$B$5001,V$149,BD!$A$3:$A$5001,"&gt;="&amp;$C$7,BD!$A$3:$A$5001,"&lt;="&amp;$B172,BD!$M$3:$M$5001,"&lt;&gt;"))))</f>
        <v/>
      </c>
    </row>
    <row r="173">
      <c r="A173" s="38">
        <v>24</v>
      </c>
      <c r="B173" s="42">
        <f>$B$35</f>
        <v>46319</v>
      </c>
      <c r="C173" s="43" t="str">
        <f>IF(OR($B173="",$A173&gt;$B$9,C$149=""),"",IF(COUNTIFS(BD!$B$3:$B$5001,C$149,BD!$A$3:$A$5001,"&gt;="&amp;$C$7,BD!$A$3:$A$5001,"&lt;="&amp;$B173,BD!$M$3:$M$5001,"&lt;&gt;")=0,"",SUMIFS(BD!$M$3:$M$5001,BD!$B$3:$B$5001,C$149,BD!$A$3:$A$5001,_xlfn.MAXIFS(BD!$A$3:$A$5001,BD!$B$3:$B$5001,C$149,BD!$A$3:$A$5001,"&gt;="&amp;$C$7,BD!$A$3:$A$5001,"&lt;="&amp;$B173,BD!$M$3:$M$5001,"&lt;&gt;"))))</f>
        <v/>
      </c>
      <c r="D173" s="43" t="str">
        <f>IF(OR($B173="",$A173&gt;$B$9,D$149=""),"",IF(COUNTIFS(BD!$B$3:$B$5001,D$149,BD!$A$3:$A$5001,"&gt;="&amp;$C$7,BD!$A$3:$A$5001,"&lt;="&amp;$B173,BD!$M$3:$M$5001,"&lt;&gt;")=0,"",SUMIFS(BD!$M$3:$M$5001,BD!$B$3:$B$5001,D$149,BD!$A$3:$A$5001,_xlfn.MAXIFS(BD!$A$3:$A$5001,BD!$B$3:$B$5001,D$149,BD!$A$3:$A$5001,"&gt;="&amp;$C$7,BD!$A$3:$A$5001,"&lt;="&amp;$B173,BD!$M$3:$M$5001,"&lt;&gt;"))))</f>
        <v/>
      </c>
      <c r="E173" s="43" t="str">
        <f>IF(OR($B173="",$A173&gt;$B$9,E$149=""),"",IF(COUNTIFS(BD!$B$3:$B$5001,E$149,BD!$A$3:$A$5001,"&gt;="&amp;$C$7,BD!$A$3:$A$5001,"&lt;="&amp;$B173,BD!$M$3:$M$5001,"&lt;&gt;")=0,"",SUMIFS(BD!$M$3:$M$5001,BD!$B$3:$B$5001,E$149,BD!$A$3:$A$5001,_xlfn.MAXIFS(BD!$A$3:$A$5001,BD!$B$3:$B$5001,E$149,BD!$A$3:$A$5001,"&gt;="&amp;$C$7,BD!$A$3:$A$5001,"&lt;="&amp;$B173,BD!$M$3:$M$5001,"&lt;&gt;"))))</f>
        <v/>
      </c>
      <c r="F173" s="43" t="str">
        <f>IF(OR($B173="",$A173&gt;$B$9,F$149=""),"",IF(COUNTIFS(BD!$B$3:$B$5001,F$149,BD!$A$3:$A$5001,"&gt;="&amp;$C$7,BD!$A$3:$A$5001,"&lt;="&amp;$B173,BD!$M$3:$M$5001,"&lt;&gt;")=0,"",SUMIFS(BD!$M$3:$M$5001,BD!$B$3:$B$5001,F$149,BD!$A$3:$A$5001,_xlfn.MAXIFS(BD!$A$3:$A$5001,BD!$B$3:$B$5001,F$149,BD!$A$3:$A$5001,"&gt;="&amp;$C$7,BD!$A$3:$A$5001,"&lt;="&amp;$B173,BD!$M$3:$M$5001,"&lt;&gt;"))))</f>
        <v/>
      </c>
      <c r="G173" s="43" t="str">
        <f>IF(OR($B173="",$A173&gt;$B$9,G$149=""),"",IF(COUNTIFS(BD!$B$3:$B$5001,G$149,BD!$A$3:$A$5001,"&gt;="&amp;$C$7,BD!$A$3:$A$5001,"&lt;="&amp;$B173,BD!$M$3:$M$5001,"&lt;&gt;")=0,"",SUMIFS(BD!$M$3:$M$5001,BD!$B$3:$B$5001,G$149,BD!$A$3:$A$5001,_xlfn.MAXIFS(BD!$A$3:$A$5001,BD!$B$3:$B$5001,G$149,BD!$A$3:$A$5001,"&gt;="&amp;$C$7,BD!$A$3:$A$5001,"&lt;="&amp;$B173,BD!$M$3:$M$5001,"&lt;&gt;"))))</f>
        <v/>
      </c>
      <c r="H173" s="43" t="str">
        <f>IF(OR($B173="",$A173&gt;$B$9,H$149=""),"",IF(COUNTIFS(BD!$B$3:$B$5001,H$149,BD!$A$3:$A$5001,"&gt;="&amp;$C$7,BD!$A$3:$A$5001,"&lt;="&amp;$B173,BD!$M$3:$M$5001,"&lt;&gt;")=0,"",SUMIFS(BD!$M$3:$M$5001,BD!$B$3:$B$5001,H$149,BD!$A$3:$A$5001,_xlfn.MAXIFS(BD!$A$3:$A$5001,BD!$B$3:$B$5001,H$149,BD!$A$3:$A$5001,"&gt;="&amp;$C$7,BD!$A$3:$A$5001,"&lt;="&amp;$B173,BD!$M$3:$M$5001,"&lt;&gt;"))))</f>
        <v/>
      </c>
      <c r="I173" s="43" t="str">
        <f>IF(OR($B173="",$A173&gt;$B$9,I$149=""),"",IF(COUNTIFS(BD!$B$3:$B$5001,I$149,BD!$A$3:$A$5001,"&gt;="&amp;$C$7,BD!$A$3:$A$5001,"&lt;="&amp;$B173,BD!$M$3:$M$5001,"&lt;&gt;")=0,"",SUMIFS(BD!$M$3:$M$5001,BD!$B$3:$B$5001,I$149,BD!$A$3:$A$5001,_xlfn.MAXIFS(BD!$A$3:$A$5001,BD!$B$3:$B$5001,I$149,BD!$A$3:$A$5001,"&gt;="&amp;$C$7,BD!$A$3:$A$5001,"&lt;="&amp;$B173,BD!$M$3:$M$5001,"&lt;&gt;"))))</f>
        <v/>
      </c>
      <c r="J173" s="43" t="str">
        <f>IF(OR($B173="",$A173&gt;$B$9,J$149=""),"",IF(COUNTIFS(BD!$B$3:$B$5001,J$149,BD!$A$3:$A$5001,"&gt;="&amp;$C$7,BD!$A$3:$A$5001,"&lt;="&amp;$B173,BD!$M$3:$M$5001,"&lt;&gt;")=0,"",SUMIFS(BD!$M$3:$M$5001,BD!$B$3:$B$5001,J$149,BD!$A$3:$A$5001,_xlfn.MAXIFS(BD!$A$3:$A$5001,BD!$B$3:$B$5001,J$149,BD!$A$3:$A$5001,"&gt;="&amp;$C$7,BD!$A$3:$A$5001,"&lt;="&amp;$B173,BD!$M$3:$M$5001,"&lt;&gt;"))))</f>
        <v/>
      </c>
      <c r="K173" s="43" t="str">
        <f>IF(OR($B173="",$A173&gt;$B$9,K$149=""),"",IF(COUNTIFS(BD!$B$3:$B$5001,K$149,BD!$A$3:$A$5001,"&gt;="&amp;$C$7,BD!$A$3:$A$5001,"&lt;="&amp;$B173,BD!$M$3:$M$5001,"&lt;&gt;")=0,"",SUMIFS(BD!$M$3:$M$5001,BD!$B$3:$B$5001,K$149,BD!$A$3:$A$5001,_xlfn.MAXIFS(BD!$A$3:$A$5001,BD!$B$3:$B$5001,K$149,BD!$A$3:$A$5001,"&gt;="&amp;$C$7,BD!$A$3:$A$5001,"&lt;="&amp;$B173,BD!$M$3:$M$5001,"&lt;&gt;"))))</f>
        <v/>
      </c>
      <c r="L173" s="43" t="str">
        <f>IF(OR($B173="",$A173&gt;$B$9,L$149=""),"",IF(COUNTIFS(BD!$B$3:$B$5001,L$149,BD!$A$3:$A$5001,"&gt;="&amp;$C$7,BD!$A$3:$A$5001,"&lt;="&amp;$B173,BD!$M$3:$M$5001,"&lt;&gt;")=0,"",SUMIFS(BD!$M$3:$M$5001,BD!$B$3:$B$5001,L$149,BD!$A$3:$A$5001,_xlfn.MAXIFS(BD!$A$3:$A$5001,BD!$B$3:$B$5001,L$149,BD!$A$3:$A$5001,"&gt;="&amp;$C$7,BD!$A$3:$A$5001,"&lt;="&amp;$B173,BD!$M$3:$M$5001,"&lt;&gt;"))))</f>
        <v/>
      </c>
      <c r="M173" s="43" t="str">
        <f>IF(OR($B173="",$A173&gt;$B$9,M$149=""),"",IF(COUNTIFS(BD!$B$3:$B$5001,M$149,BD!$A$3:$A$5001,"&gt;="&amp;$C$7,BD!$A$3:$A$5001,"&lt;="&amp;$B173,BD!$M$3:$M$5001,"&lt;&gt;")=0,"",SUMIFS(BD!$M$3:$M$5001,BD!$B$3:$B$5001,M$149,BD!$A$3:$A$5001,_xlfn.MAXIFS(BD!$A$3:$A$5001,BD!$B$3:$B$5001,M$149,BD!$A$3:$A$5001,"&gt;="&amp;$C$7,BD!$A$3:$A$5001,"&lt;="&amp;$B173,BD!$M$3:$M$5001,"&lt;&gt;"))))</f>
        <v/>
      </c>
      <c r="N173" s="43" t="str">
        <f>IF(OR($B173="",$A173&gt;$B$9,N$149=""),"",IF(COUNTIFS(BD!$B$3:$B$5001,N$149,BD!$A$3:$A$5001,"&gt;="&amp;$C$7,BD!$A$3:$A$5001,"&lt;="&amp;$B173,BD!$M$3:$M$5001,"&lt;&gt;")=0,"",SUMIFS(BD!$M$3:$M$5001,BD!$B$3:$B$5001,N$149,BD!$A$3:$A$5001,_xlfn.MAXIFS(BD!$A$3:$A$5001,BD!$B$3:$B$5001,N$149,BD!$A$3:$A$5001,"&gt;="&amp;$C$7,BD!$A$3:$A$5001,"&lt;="&amp;$B173,BD!$M$3:$M$5001,"&lt;&gt;"))))</f>
        <v/>
      </c>
      <c r="O173" s="43" t="str">
        <f>IF(OR($B173="",$A173&gt;$B$9,O$149=""),"",IF(COUNTIFS(BD!$B$3:$B$5001,O$149,BD!$A$3:$A$5001,"&gt;="&amp;$C$7,BD!$A$3:$A$5001,"&lt;="&amp;$B173,BD!$M$3:$M$5001,"&lt;&gt;")=0,"",SUMIFS(BD!$M$3:$M$5001,BD!$B$3:$B$5001,O$149,BD!$A$3:$A$5001,_xlfn.MAXIFS(BD!$A$3:$A$5001,BD!$B$3:$B$5001,O$149,BD!$A$3:$A$5001,"&gt;="&amp;$C$7,BD!$A$3:$A$5001,"&lt;="&amp;$B173,BD!$M$3:$M$5001,"&lt;&gt;"))))</f>
        <v/>
      </c>
      <c r="P173" s="43" t="str">
        <f>IF(OR($B173="",$A173&gt;$B$9,P$149=""),"",IF(COUNTIFS(BD!$B$3:$B$5001,P$149,BD!$A$3:$A$5001,"&gt;="&amp;$C$7,BD!$A$3:$A$5001,"&lt;="&amp;$B173,BD!$M$3:$M$5001,"&lt;&gt;")=0,"",SUMIFS(BD!$M$3:$M$5001,BD!$B$3:$B$5001,P$149,BD!$A$3:$A$5001,_xlfn.MAXIFS(BD!$A$3:$A$5001,BD!$B$3:$B$5001,P$149,BD!$A$3:$A$5001,"&gt;="&amp;$C$7,BD!$A$3:$A$5001,"&lt;="&amp;$B173,BD!$M$3:$M$5001,"&lt;&gt;"))))</f>
        <v/>
      </c>
      <c r="Q173" s="43" t="str">
        <f>IF(OR($B173="",$A173&gt;$B$9,Q$149=""),"",IF(COUNTIFS(BD!$B$3:$B$5001,Q$149,BD!$A$3:$A$5001,"&gt;="&amp;$C$7,BD!$A$3:$A$5001,"&lt;="&amp;$B173,BD!$M$3:$M$5001,"&lt;&gt;")=0,"",SUMIFS(BD!$M$3:$M$5001,BD!$B$3:$B$5001,Q$149,BD!$A$3:$A$5001,_xlfn.MAXIFS(BD!$A$3:$A$5001,BD!$B$3:$B$5001,Q$149,BD!$A$3:$A$5001,"&gt;="&amp;$C$7,BD!$A$3:$A$5001,"&lt;="&amp;$B173,BD!$M$3:$M$5001,"&lt;&gt;"))))</f>
        <v/>
      </c>
      <c r="R173" s="43" t="str">
        <f>IF(OR($B173="",$A173&gt;$B$9,R$149=""),"",IF(COUNTIFS(BD!$B$3:$B$5001,R$149,BD!$A$3:$A$5001,"&gt;="&amp;$C$7,BD!$A$3:$A$5001,"&lt;="&amp;$B173,BD!$M$3:$M$5001,"&lt;&gt;")=0,"",SUMIFS(BD!$M$3:$M$5001,BD!$B$3:$B$5001,R$149,BD!$A$3:$A$5001,_xlfn.MAXIFS(BD!$A$3:$A$5001,BD!$B$3:$B$5001,R$149,BD!$A$3:$A$5001,"&gt;="&amp;$C$7,BD!$A$3:$A$5001,"&lt;="&amp;$B173,BD!$M$3:$M$5001,"&lt;&gt;"))))</f>
        <v/>
      </c>
      <c r="S173" s="43" t="str">
        <f>IF(OR($B173="",$A173&gt;$B$9,S$149=""),"",IF(COUNTIFS(BD!$B$3:$B$5001,S$149,BD!$A$3:$A$5001,"&gt;="&amp;$C$7,BD!$A$3:$A$5001,"&lt;="&amp;$B173,BD!$M$3:$M$5001,"&lt;&gt;")=0,"",SUMIFS(BD!$M$3:$M$5001,BD!$B$3:$B$5001,S$149,BD!$A$3:$A$5001,_xlfn.MAXIFS(BD!$A$3:$A$5001,BD!$B$3:$B$5001,S$149,BD!$A$3:$A$5001,"&gt;="&amp;$C$7,BD!$A$3:$A$5001,"&lt;="&amp;$B173,BD!$M$3:$M$5001,"&lt;&gt;"))))</f>
        <v/>
      </c>
      <c r="T173" s="43" t="str">
        <f>IF(OR($B173="",$A173&gt;$B$9,T$149=""),"",IF(COUNTIFS(BD!$B$3:$B$5001,T$149,BD!$A$3:$A$5001,"&gt;="&amp;$C$7,BD!$A$3:$A$5001,"&lt;="&amp;$B173,BD!$M$3:$M$5001,"&lt;&gt;")=0,"",SUMIFS(BD!$M$3:$M$5001,BD!$B$3:$B$5001,T$149,BD!$A$3:$A$5001,_xlfn.MAXIFS(BD!$A$3:$A$5001,BD!$B$3:$B$5001,T$149,BD!$A$3:$A$5001,"&gt;="&amp;$C$7,BD!$A$3:$A$5001,"&lt;="&amp;$B173,BD!$M$3:$M$5001,"&lt;&gt;"))))</f>
        <v/>
      </c>
      <c r="U173" s="43" t="str">
        <f>IF(OR($B173="",$A173&gt;$B$9,U$149=""),"",IF(COUNTIFS(BD!$B$3:$B$5001,U$149,BD!$A$3:$A$5001,"&gt;="&amp;$C$7,BD!$A$3:$A$5001,"&lt;="&amp;$B173,BD!$M$3:$M$5001,"&lt;&gt;")=0,"",SUMIFS(BD!$M$3:$M$5001,BD!$B$3:$B$5001,U$149,BD!$A$3:$A$5001,_xlfn.MAXIFS(BD!$A$3:$A$5001,BD!$B$3:$B$5001,U$149,BD!$A$3:$A$5001,"&gt;="&amp;$C$7,BD!$A$3:$A$5001,"&lt;="&amp;$B173,BD!$M$3:$M$5001,"&lt;&gt;"))))</f>
        <v/>
      </c>
      <c r="V173" s="43" t="str">
        <f>IF(OR($B173="",$A173&gt;$B$9,V$149=""),"",IF(COUNTIFS(BD!$B$3:$B$5001,V$149,BD!$A$3:$A$5001,"&gt;="&amp;$C$7,BD!$A$3:$A$5001,"&lt;="&amp;$B173,BD!$M$3:$M$5001,"&lt;&gt;")=0,"",SUMIFS(BD!$M$3:$M$5001,BD!$B$3:$B$5001,V$149,BD!$A$3:$A$5001,_xlfn.MAXIFS(BD!$A$3:$A$5001,BD!$B$3:$B$5001,V$149,BD!$A$3:$A$5001,"&gt;="&amp;$C$7,BD!$A$3:$A$5001,"&lt;="&amp;$B173,BD!$M$3:$M$5001,"&lt;&gt;"))))</f>
        <v/>
      </c>
    </row>
    <row r="174">
      <c r="A174" s="38">
        <v>25</v>
      </c>
      <c r="B174" s="42">
        <f>$B$36</f>
        <v>46320</v>
      </c>
      <c r="C174" s="43" t="str">
        <f>IF(OR($B174="",$A174&gt;$B$9,C$149=""),"",IF(COUNTIFS(BD!$B$3:$B$5001,C$149,BD!$A$3:$A$5001,"&gt;="&amp;$C$7,BD!$A$3:$A$5001,"&lt;="&amp;$B174,BD!$M$3:$M$5001,"&lt;&gt;")=0,"",SUMIFS(BD!$M$3:$M$5001,BD!$B$3:$B$5001,C$149,BD!$A$3:$A$5001,_xlfn.MAXIFS(BD!$A$3:$A$5001,BD!$B$3:$B$5001,C$149,BD!$A$3:$A$5001,"&gt;="&amp;$C$7,BD!$A$3:$A$5001,"&lt;="&amp;$B174,BD!$M$3:$M$5001,"&lt;&gt;"))))</f>
        <v/>
      </c>
      <c r="D174" s="43" t="str">
        <f>IF(OR($B174="",$A174&gt;$B$9,D$149=""),"",IF(COUNTIFS(BD!$B$3:$B$5001,D$149,BD!$A$3:$A$5001,"&gt;="&amp;$C$7,BD!$A$3:$A$5001,"&lt;="&amp;$B174,BD!$M$3:$M$5001,"&lt;&gt;")=0,"",SUMIFS(BD!$M$3:$M$5001,BD!$B$3:$B$5001,D$149,BD!$A$3:$A$5001,_xlfn.MAXIFS(BD!$A$3:$A$5001,BD!$B$3:$B$5001,D$149,BD!$A$3:$A$5001,"&gt;="&amp;$C$7,BD!$A$3:$A$5001,"&lt;="&amp;$B174,BD!$M$3:$M$5001,"&lt;&gt;"))))</f>
        <v/>
      </c>
      <c r="E174" s="43" t="str">
        <f>IF(OR($B174="",$A174&gt;$B$9,E$149=""),"",IF(COUNTIFS(BD!$B$3:$B$5001,E$149,BD!$A$3:$A$5001,"&gt;="&amp;$C$7,BD!$A$3:$A$5001,"&lt;="&amp;$B174,BD!$M$3:$M$5001,"&lt;&gt;")=0,"",SUMIFS(BD!$M$3:$M$5001,BD!$B$3:$B$5001,E$149,BD!$A$3:$A$5001,_xlfn.MAXIFS(BD!$A$3:$A$5001,BD!$B$3:$B$5001,E$149,BD!$A$3:$A$5001,"&gt;="&amp;$C$7,BD!$A$3:$A$5001,"&lt;="&amp;$B174,BD!$M$3:$M$5001,"&lt;&gt;"))))</f>
        <v/>
      </c>
      <c r="F174" s="43" t="str">
        <f>IF(OR($B174="",$A174&gt;$B$9,F$149=""),"",IF(COUNTIFS(BD!$B$3:$B$5001,F$149,BD!$A$3:$A$5001,"&gt;="&amp;$C$7,BD!$A$3:$A$5001,"&lt;="&amp;$B174,BD!$M$3:$M$5001,"&lt;&gt;")=0,"",SUMIFS(BD!$M$3:$M$5001,BD!$B$3:$B$5001,F$149,BD!$A$3:$A$5001,_xlfn.MAXIFS(BD!$A$3:$A$5001,BD!$B$3:$B$5001,F$149,BD!$A$3:$A$5001,"&gt;="&amp;$C$7,BD!$A$3:$A$5001,"&lt;="&amp;$B174,BD!$M$3:$M$5001,"&lt;&gt;"))))</f>
        <v/>
      </c>
      <c r="G174" s="43" t="str">
        <f>IF(OR($B174="",$A174&gt;$B$9,G$149=""),"",IF(COUNTIFS(BD!$B$3:$B$5001,G$149,BD!$A$3:$A$5001,"&gt;="&amp;$C$7,BD!$A$3:$A$5001,"&lt;="&amp;$B174,BD!$M$3:$M$5001,"&lt;&gt;")=0,"",SUMIFS(BD!$M$3:$M$5001,BD!$B$3:$B$5001,G$149,BD!$A$3:$A$5001,_xlfn.MAXIFS(BD!$A$3:$A$5001,BD!$B$3:$B$5001,G$149,BD!$A$3:$A$5001,"&gt;="&amp;$C$7,BD!$A$3:$A$5001,"&lt;="&amp;$B174,BD!$M$3:$M$5001,"&lt;&gt;"))))</f>
        <v/>
      </c>
      <c r="H174" s="43" t="str">
        <f>IF(OR($B174="",$A174&gt;$B$9,H$149=""),"",IF(COUNTIFS(BD!$B$3:$B$5001,H$149,BD!$A$3:$A$5001,"&gt;="&amp;$C$7,BD!$A$3:$A$5001,"&lt;="&amp;$B174,BD!$M$3:$M$5001,"&lt;&gt;")=0,"",SUMIFS(BD!$M$3:$M$5001,BD!$B$3:$B$5001,H$149,BD!$A$3:$A$5001,_xlfn.MAXIFS(BD!$A$3:$A$5001,BD!$B$3:$B$5001,H$149,BD!$A$3:$A$5001,"&gt;="&amp;$C$7,BD!$A$3:$A$5001,"&lt;="&amp;$B174,BD!$M$3:$M$5001,"&lt;&gt;"))))</f>
        <v/>
      </c>
      <c r="I174" s="43" t="str">
        <f>IF(OR($B174="",$A174&gt;$B$9,I$149=""),"",IF(COUNTIFS(BD!$B$3:$B$5001,I$149,BD!$A$3:$A$5001,"&gt;="&amp;$C$7,BD!$A$3:$A$5001,"&lt;="&amp;$B174,BD!$M$3:$M$5001,"&lt;&gt;")=0,"",SUMIFS(BD!$M$3:$M$5001,BD!$B$3:$B$5001,I$149,BD!$A$3:$A$5001,_xlfn.MAXIFS(BD!$A$3:$A$5001,BD!$B$3:$B$5001,I$149,BD!$A$3:$A$5001,"&gt;="&amp;$C$7,BD!$A$3:$A$5001,"&lt;="&amp;$B174,BD!$M$3:$M$5001,"&lt;&gt;"))))</f>
        <v/>
      </c>
      <c r="J174" s="43" t="str">
        <f>IF(OR($B174="",$A174&gt;$B$9,J$149=""),"",IF(COUNTIFS(BD!$B$3:$B$5001,J$149,BD!$A$3:$A$5001,"&gt;="&amp;$C$7,BD!$A$3:$A$5001,"&lt;="&amp;$B174,BD!$M$3:$M$5001,"&lt;&gt;")=0,"",SUMIFS(BD!$M$3:$M$5001,BD!$B$3:$B$5001,J$149,BD!$A$3:$A$5001,_xlfn.MAXIFS(BD!$A$3:$A$5001,BD!$B$3:$B$5001,J$149,BD!$A$3:$A$5001,"&gt;="&amp;$C$7,BD!$A$3:$A$5001,"&lt;="&amp;$B174,BD!$M$3:$M$5001,"&lt;&gt;"))))</f>
        <v/>
      </c>
      <c r="K174" s="43" t="str">
        <f>IF(OR($B174="",$A174&gt;$B$9,K$149=""),"",IF(COUNTIFS(BD!$B$3:$B$5001,K$149,BD!$A$3:$A$5001,"&gt;="&amp;$C$7,BD!$A$3:$A$5001,"&lt;="&amp;$B174,BD!$M$3:$M$5001,"&lt;&gt;")=0,"",SUMIFS(BD!$M$3:$M$5001,BD!$B$3:$B$5001,K$149,BD!$A$3:$A$5001,_xlfn.MAXIFS(BD!$A$3:$A$5001,BD!$B$3:$B$5001,K$149,BD!$A$3:$A$5001,"&gt;="&amp;$C$7,BD!$A$3:$A$5001,"&lt;="&amp;$B174,BD!$M$3:$M$5001,"&lt;&gt;"))))</f>
        <v/>
      </c>
      <c r="L174" s="43" t="str">
        <f>IF(OR($B174="",$A174&gt;$B$9,L$149=""),"",IF(COUNTIFS(BD!$B$3:$B$5001,L$149,BD!$A$3:$A$5001,"&gt;="&amp;$C$7,BD!$A$3:$A$5001,"&lt;="&amp;$B174,BD!$M$3:$M$5001,"&lt;&gt;")=0,"",SUMIFS(BD!$M$3:$M$5001,BD!$B$3:$B$5001,L$149,BD!$A$3:$A$5001,_xlfn.MAXIFS(BD!$A$3:$A$5001,BD!$B$3:$B$5001,L$149,BD!$A$3:$A$5001,"&gt;="&amp;$C$7,BD!$A$3:$A$5001,"&lt;="&amp;$B174,BD!$M$3:$M$5001,"&lt;&gt;"))))</f>
        <v/>
      </c>
      <c r="M174" s="43" t="str">
        <f>IF(OR($B174="",$A174&gt;$B$9,M$149=""),"",IF(COUNTIFS(BD!$B$3:$B$5001,M$149,BD!$A$3:$A$5001,"&gt;="&amp;$C$7,BD!$A$3:$A$5001,"&lt;="&amp;$B174,BD!$M$3:$M$5001,"&lt;&gt;")=0,"",SUMIFS(BD!$M$3:$M$5001,BD!$B$3:$B$5001,M$149,BD!$A$3:$A$5001,_xlfn.MAXIFS(BD!$A$3:$A$5001,BD!$B$3:$B$5001,M$149,BD!$A$3:$A$5001,"&gt;="&amp;$C$7,BD!$A$3:$A$5001,"&lt;="&amp;$B174,BD!$M$3:$M$5001,"&lt;&gt;"))))</f>
        <v/>
      </c>
      <c r="N174" s="43" t="str">
        <f>IF(OR($B174="",$A174&gt;$B$9,N$149=""),"",IF(COUNTIFS(BD!$B$3:$B$5001,N$149,BD!$A$3:$A$5001,"&gt;="&amp;$C$7,BD!$A$3:$A$5001,"&lt;="&amp;$B174,BD!$M$3:$M$5001,"&lt;&gt;")=0,"",SUMIFS(BD!$M$3:$M$5001,BD!$B$3:$B$5001,N$149,BD!$A$3:$A$5001,_xlfn.MAXIFS(BD!$A$3:$A$5001,BD!$B$3:$B$5001,N$149,BD!$A$3:$A$5001,"&gt;="&amp;$C$7,BD!$A$3:$A$5001,"&lt;="&amp;$B174,BD!$M$3:$M$5001,"&lt;&gt;"))))</f>
        <v/>
      </c>
      <c r="O174" s="43" t="str">
        <f>IF(OR($B174="",$A174&gt;$B$9,O$149=""),"",IF(COUNTIFS(BD!$B$3:$B$5001,O$149,BD!$A$3:$A$5001,"&gt;="&amp;$C$7,BD!$A$3:$A$5001,"&lt;="&amp;$B174,BD!$M$3:$M$5001,"&lt;&gt;")=0,"",SUMIFS(BD!$M$3:$M$5001,BD!$B$3:$B$5001,O$149,BD!$A$3:$A$5001,_xlfn.MAXIFS(BD!$A$3:$A$5001,BD!$B$3:$B$5001,O$149,BD!$A$3:$A$5001,"&gt;="&amp;$C$7,BD!$A$3:$A$5001,"&lt;="&amp;$B174,BD!$M$3:$M$5001,"&lt;&gt;"))))</f>
        <v/>
      </c>
      <c r="P174" s="43" t="str">
        <f>IF(OR($B174="",$A174&gt;$B$9,P$149=""),"",IF(COUNTIFS(BD!$B$3:$B$5001,P$149,BD!$A$3:$A$5001,"&gt;="&amp;$C$7,BD!$A$3:$A$5001,"&lt;="&amp;$B174,BD!$M$3:$M$5001,"&lt;&gt;")=0,"",SUMIFS(BD!$M$3:$M$5001,BD!$B$3:$B$5001,P$149,BD!$A$3:$A$5001,_xlfn.MAXIFS(BD!$A$3:$A$5001,BD!$B$3:$B$5001,P$149,BD!$A$3:$A$5001,"&gt;="&amp;$C$7,BD!$A$3:$A$5001,"&lt;="&amp;$B174,BD!$M$3:$M$5001,"&lt;&gt;"))))</f>
        <v/>
      </c>
      <c r="Q174" s="43" t="str">
        <f>IF(OR($B174="",$A174&gt;$B$9,Q$149=""),"",IF(COUNTIFS(BD!$B$3:$B$5001,Q$149,BD!$A$3:$A$5001,"&gt;="&amp;$C$7,BD!$A$3:$A$5001,"&lt;="&amp;$B174,BD!$M$3:$M$5001,"&lt;&gt;")=0,"",SUMIFS(BD!$M$3:$M$5001,BD!$B$3:$B$5001,Q$149,BD!$A$3:$A$5001,_xlfn.MAXIFS(BD!$A$3:$A$5001,BD!$B$3:$B$5001,Q$149,BD!$A$3:$A$5001,"&gt;="&amp;$C$7,BD!$A$3:$A$5001,"&lt;="&amp;$B174,BD!$M$3:$M$5001,"&lt;&gt;"))))</f>
        <v/>
      </c>
      <c r="R174" s="43" t="str">
        <f>IF(OR($B174="",$A174&gt;$B$9,R$149=""),"",IF(COUNTIFS(BD!$B$3:$B$5001,R$149,BD!$A$3:$A$5001,"&gt;="&amp;$C$7,BD!$A$3:$A$5001,"&lt;="&amp;$B174,BD!$M$3:$M$5001,"&lt;&gt;")=0,"",SUMIFS(BD!$M$3:$M$5001,BD!$B$3:$B$5001,R$149,BD!$A$3:$A$5001,_xlfn.MAXIFS(BD!$A$3:$A$5001,BD!$B$3:$B$5001,R$149,BD!$A$3:$A$5001,"&gt;="&amp;$C$7,BD!$A$3:$A$5001,"&lt;="&amp;$B174,BD!$M$3:$M$5001,"&lt;&gt;"))))</f>
        <v/>
      </c>
      <c r="S174" s="43" t="str">
        <f>IF(OR($B174="",$A174&gt;$B$9,S$149=""),"",IF(COUNTIFS(BD!$B$3:$B$5001,S$149,BD!$A$3:$A$5001,"&gt;="&amp;$C$7,BD!$A$3:$A$5001,"&lt;="&amp;$B174,BD!$M$3:$M$5001,"&lt;&gt;")=0,"",SUMIFS(BD!$M$3:$M$5001,BD!$B$3:$B$5001,S$149,BD!$A$3:$A$5001,_xlfn.MAXIFS(BD!$A$3:$A$5001,BD!$B$3:$B$5001,S$149,BD!$A$3:$A$5001,"&gt;="&amp;$C$7,BD!$A$3:$A$5001,"&lt;="&amp;$B174,BD!$M$3:$M$5001,"&lt;&gt;"))))</f>
        <v/>
      </c>
      <c r="T174" s="43" t="str">
        <f>IF(OR($B174="",$A174&gt;$B$9,T$149=""),"",IF(COUNTIFS(BD!$B$3:$B$5001,T$149,BD!$A$3:$A$5001,"&gt;="&amp;$C$7,BD!$A$3:$A$5001,"&lt;="&amp;$B174,BD!$M$3:$M$5001,"&lt;&gt;")=0,"",SUMIFS(BD!$M$3:$M$5001,BD!$B$3:$B$5001,T$149,BD!$A$3:$A$5001,_xlfn.MAXIFS(BD!$A$3:$A$5001,BD!$B$3:$B$5001,T$149,BD!$A$3:$A$5001,"&gt;="&amp;$C$7,BD!$A$3:$A$5001,"&lt;="&amp;$B174,BD!$M$3:$M$5001,"&lt;&gt;"))))</f>
        <v/>
      </c>
      <c r="U174" s="43" t="str">
        <f>IF(OR($B174="",$A174&gt;$B$9,U$149=""),"",IF(COUNTIFS(BD!$B$3:$B$5001,U$149,BD!$A$3:$A$5001,"&gt;="&amp;$C$7,BD!$A$3:$A$5001,"&lt;="&amp;$B174,BD!$M$3:$M$5001,"&lt;&gt;")=0,"",SUMIFS(BD!$M$3:$M$5001,BD!$B$3:$B$5001,U$149,BD!$A$3:$A$5001,_xlfn.MAXIFS(BD!$A$3:$A$5001,BD!$B$3:$B$5001,U$149,BD!$A$3:$A$5001,"&gt;="&amp;$C$7,BD!$A$3:$A$5001,"&lt;="&amp;$B174,BD!$M$3:$M$5001,"&lt;&gt;"))))</f>
        <v/>
      </c>
      <c r="V174" s="43" t="str">
        <f>IF(OR($B174="",$A174&gt;$B$9,V$149=""),"",IF(COUNTIFS(BD!$B$3:$B$5001,V$149,BD!$A$3:$A$5001,"&gt;="&amp;$C$7,BD!$A$3:$A$5001,"&lt;="&amp;$B174,BD!$M$3:$M$5001,"&lt;&gt;")=0,"",SUMIFS(BD!$M$3:$M$5001,BD!$B$3:$B$5001,V$149,BD!$A$3:$A$5001,_xlfn.MAXIFS(BD!$A$3:$A$5001,BD!$B$3:$B$5001,V$149,BD!$A$3:$A$5001,"&gt;="&amp;$C$7,BD!$A$3:$A$5001,"&lt;="&amp;$B174,BD!$M$3:$M$5001,"&lt;&gt;"))))</f>
        <v/>
      </c>
    </row>
    <row r="175">
      <c r="A175" s="38">
        <v>26</v>
      </c>
      <c r="B175" s="42">
        <f>$B$37</f>
        <v>46321</v>
      </c>
      <c r="C175" s="43" t="str">
        <f>IF(OR($B175="",$A175&gt;$B$9,C$149=""),"",IF(COUNTIFS(BD!$B$3:$B$5001,C$149,BD!$A$3:$A$5001,"&gt;="&amp;$C$7,BD!$A$3:$A$5001,"&lt;="&amp;$B175,BD!$M$3:$M$5001,"&lt;&gt;")=0,"",SUMIFS(BD!$M$3:$M$5001,BD!$B$3:$B$5001,C$149,BD!$A$3:$A$5001,_xlfn.MAXIFS(BD!$A$3:$A$5001,BD!$B$3:$B$5001,C$149,BD!$A$3:$A$5001,"&gt;="&amp;$C$7,BD!$A$3:$A$5001,"&lt;="&amp;$B175,BD!$M$3:$M$5001,"&lt;&gt;"))))</f>
        <v/>
      </c>
      <c r="D175" s="43" t="str">
        <f>IF(OR($B175="",$A175&gt;$B$9,D$149=""),"",IF(COUNTIFS(BD!$B$3:$B$5001,D$149,BD!$A$3:$A$5001,"&gt;="&amp;$C$7,BD!$A$3:$A$5001,"&lt;="&amp;$B175,BD!$M$3:$M$5001,"&lt;&gt;")=0,"",SUMIFS(BD!$M$3:$M$5001,BD!$B$3:$B$5001,D$149,BD!$A$3:$A$5001,_xlfn.MAXIFS(BD!$A$3:$A$5001,BD!$B$3:$B$5001,D$149,BD!$A$3:$A$5001,"&gt;="&amp;$C$7,BD!$A$3:$A$5001,"&lt;="&amp;$B175,BD!$M$3:$M$5001,"&lt;&gt;"))))</f>
        <v/>
      </c>
      <c r="E175" s="43" t="str">
        <f>IF(OR($B175="",$A175&gt;$B$9,E$149=""),"",IF(COUNTIFS(BD!$B$3:$B$5001,E$149,BD!$A$3:$A$5001,"&gt;="&amp;$C$7,BD!$A$3:$A$5001,"&lt;="&amp;$B175,BD!$M$3:$M$5001,"&lt;&gt;")=0,"",SUMIFS(BD!$M$3:$M$5001,BD!$B$3:$B$5001,E$149,BD!$A$3:$A$5001,_xlfn.MAXIFS(BD!$A$3:$A$5001,BD!$B$3:$B$5001,E$149,BD!$A$3:$A$5001,"&gt;="&amp;$C$7,BD!$A$3:$A$5001,"&lt;="&amp;$B175,BD!$M$3:$M$5001,"&lt;&gt;"))))</f>
        <v/>
      </c>
      <c r="F175" s="43" t="str">
        <f>IF(OR($B175="",$A175&gt;$B$9,F$149=""),"",IF(COUNTIFS(BD!$B$3:$B$5001,F$149,BD!$A$3:$A$5001,"&gt;="&amp;$C$7,BD!$A$3:$A$5001,"&lt;="&amp;$B175,BD!$M$3:$M$5001,"&lt;&gt;")=0,"",SUMIFS(BD!$M$3:$M$5001,BD!$B$3:$B$5001,F$149,BD!$A$3:$A$5001,_xlfn.MAXIFS(BD!$A$3:$A$5001,BD!$B$3:$B$5001,F$149,BD!$A$3:$A$5001,"&gt;="&amp;$C$7,BD!$A$3:$A$5001,"&lt;="&amp;$B175,BD!$M$3:$M$5001,"&lt;&gt;"))))</f>
        <v/>
      </c>
      <c r="G175" s="43" t="str">
        <f>IF(OR($B175="",$A175&gt;$B$9,G$149=""),"",IF(COUNTIFS(BD!$B$3:$B$5001,G$149,BD!$A$3:$A$5001,"&gt;="&amp;$C$7,BD!$A$3:$A$5001,"&lt;="&amp;$B175,BD!$M$3:$M$5001,"&lt;&gt;")=0,"",SUMIFS(BD!$M$3:$M$5001,BD!$B$3:$B$5001,G$149,BD!$A$3:$A$5001,_xlfn.MAXIFS(BD!$A$3:$A$5001,BD!$B$3:$B$5001,G$149,BD!$A$3:$A$5001,"&gt;="&amp;$C$7,BD!$A$3:$A$5001,"&lt;="&amp;$B175,BD!$M$3:$M$5001,"&lt;&gt;"))))</f>
        <v/>
      </c>
      <c r="H175" s="43" t="str">
        <f>IF(OR($B175="",$A175&gt;$B$9,H$149=""),"",IF(COUNTIFS(BD!$B$3:$B$5001,H$149,BD!$A$3:$A$5001,"&gt;="&amp;$C$7,BD!$A$3:$A$5001,"&lt;="&amp;$B175,BD!$M$3:$M$5001,"&lt;&gt;")=0,"",SUMIFS(BD!$M$3:$M$5001,BD!$B$3:$B$5001,H$149,BD!$A$3:$A$5001,_xlfn.MAXIFS(BD!$A$3:$A$5001,BD!$B$3:$B$5001,H$149,BD!$A$3:$A$5001,"&gt;="&amp;$C$7,BD!$A$3:$A$5001,"&lt;="&amp;$B175,BD!$M$3:$M$5001,"&lt;&gt;"))))</f>
        <v/>
      </c>
      <c r="I175" s="43" t="str">
        <f>IF(OR($B175="",$A175&gt;$B$9,I$149=""),"",IF(COUNTIFS(BD!$B$3:$B$5001,I$149,BD!$A$3:$A$5001,"&gt;="&amp;$C$7,BD!$A$3:$A$5001,"&lt;="&amp;$B175,BD!$M$3:$M$5001,"&lt;&gt;")=0,"",SUMIFS(BD!$M$3:$M$5001,BD!$B$3:$B$5001,I$149,BD!$A$3:$A$5001,_xlfn.MAXIFS(BD!$A$3:$A$5001,BD!$B$3:$B$5001,I$149,BD!$A$3:$A$5001,"&gt;="&amp;$C$7,BD!$A$3:$A$5001,"&lt;="&amp;$B175,BD!$M$3:$M$5001,"&lt;&gt;"))))</f>
        <v/>
      </c>
      <c r="J175" s="43" t="str">
        <f>IF(OR($B175="",$A175&gt;$B$9,J$149=""),"",IF(COUNTIFS(BD!$B$3:$B$5001,J$149,BD!$A$3:$A$5001,"&gt;="&amp;$C$7,BD!$A$3:$A$5001,"&lt;="&amp;$B175,BD!$M$3:$M$5001,"&lt;&gt;")=0,"",SUMIFS(BD!$M$3:$M$5001,BD!$B$3:$B$5001,J$149,BD!$A$3:$A$5001,_xlfn.MAXIFS(BD!$A$3:$A$5001,BD!$B$3:$B$5001,J$149,BD!$A$3:$A$5001,"&gt;="&amp;$C$7,BD!$A$3:$A$5001,"&lt;="&amp;$B175,BD!$M$3:$M$5001,"&lt;&gt;"))))</f>
        <v/>
      </c>
      <c r="K175" s="43" t="str">
        <f>IF(OR($B175="",$A175&gt;$B$9,K$149=""),"",IF(COUNTIFS(BD!$B$3:$B$5001,K$149,BD!$A$3:$A$5001,"&gt;="&amp;$C$7,BD!$A$3:$A$5001,"&lt;="&amp;$B175,BD!$M$3:$M$5001,"&lt;&gt;")=0,"",SUMIFS(BD!$M$3:$M$5001,BD!$B$3:$B$5001,K$149,BD!$A$3:$A$5001,_xlfn.MAXIFS(BD!$A$3:$A$5001,BD!$B$3:$B$5001,K$149,BD!$A$3:$A$5001,"&gt;="&amp;$C$7,BD!$A$3:$A$5001,"&lt;="&amp;$B175,BD!$M$3:$M$5001,"&lt;&gt;"))))</f>
        <v/>
      </c>
      <c r="L175" s="43" t="str">
        <f>IF(OR($B175="",$A175&gt;$B$9,L$149=""),"",IF(COUNTIFS(BD!$B$3:$B$5001,L$149,BD!$A$3:$A$5001,"&gt;="&amp;$C$7,BD!$A$3:$A$5001,"&lt;="&amp;$B175,BD!$M$3:$M$5001,"&lt;&gt;")=0,"",SUMIFS(BD!$M$3:$M$5001,BD!$B$3:$B$5001,L$149,BD!$A$3:$A$5001,_xlfn.MAXIFS(BD!$A$3:$A$5001,BD!$B$3:$B$5001,L$149,BD!$A$3:$A$5001,"&gt;="&amp;$C$7,BD!$A$3:$A$5001,"&lt;="&amp;$B175,BD!$M$3:$M$5001,"&lt;&gt;"))))</f>
        <v/>
      </c>
      <c r="M175" s="43" t="str">
        <f>IF(OR($B175="",$A175&gt;$B$9,M$149=""),"",IF(COUNTIFS(BD!$B$3:$B$5001,M$149,BD!$A$3:$A$5001,"&gt;="&amp;$C$7,BD!$A$3:$A$5001,"&lt;="&amp;$B175,BD!$M$3:$M$5001,"&lt;&gt;")=0,"",SUMIFS(BD!$M$3:$M$5001,BD!$B$3:$B$5001,M$149,BD!$A$3:$A$5001,_xlfn.MAXIFS(BD!$A$3:$A$5001,BD!$B$3:$B$5001,M$149,BD!$A$3:$A$5001,"&gt;="&amp;$C$7,BD!$A$3:$A$5001,"&lt;="&amp;$B175,BD!$M$3:$M$5001,"&lt;&gt;"))))</f>
        <v/>
      </c>
      <c r="N175" s="43" t="str">
        <f>IF(OR($B175="",$A175&gt;$B$9,N$149=""),"",IF(COUNTIFS(BD!$B$3:$B$5001,N$149,BD!$A$3:$A$5001,"&gt;="&amp;$C$7,BD!$A$3:$A$5001,"&lt;="&amp;$B175,BD!$M$3:$M$5001,"&lt;&gt;")=0,"",SUMIFS(BD!$M$3:$M$5001,BD!$B$3:$B$5001,N$149,BD!$A$3:$A$5001,_xlfn.MAXIFS(BD!$A$3:$A$5001,BD!$B$3:$B$5001,N$149,BD!$A$3:$A$5001,"&gt;="&amp;$C$7,BD!$A$3:$A$5001,"&lt;="&amp;$B175,BD!$M$3:$M$5001,"&lt;&gt;"))))</f>
        <v/>
      </c>
      <c r="O175" s="43" t="str">
        <f>IF(OR($B175="",$A175&gt;$B$9,O$149=""),"",IF(COUNTIFS(BD!$B$3:$B$5001,O$149,BD!$A$3:$A$5001,"&gt;="&amp;$C$7,BD!$A$3:$A$5001,"&lt;="&amp;$B175,BD!$M$3:$M$5001,"&lt;&gt;")=0,"",SUMIFS(BD!$M$3:$M$5001,BD!$B$3:$B$5001,O$149,BD!$A$3:$A$5001,_xlfn.MAXIFS(BD!$A$3:$A$5001,BD!$B$3:$B$5001,O$149,BD!$A$3:$A$5001,"&gt;="&amp;$C$7,BD!$A$3:$A$5001,"&lt;="&amp;$B175,BD!$M$3:$M$5001,"&lt;&gt;"))))</f>
        <v/>
      </c>
      <c r="P175" s="43" t="str">
        <f>IF(OR($B175="",$A175&gt;$B$9,P$149=""),"",IF(COUNTIFS(BD!$B$3:$B$5001,P$149,BD!$A$3:$A$5001,"&gt;="&amp;$C$7,BD!$A$3:$A$5001,"&lt;="&amp;$B175,BD!$M$3:$M$5001,"&lt;&gt;")=0,"",SUMIFS(BD!$M$3:$M$5001,BD!$B$3:$B$5001,P$149,BD!$A$3:$A$5001,_xlfn.MAXIFS(BD!$A$3:$A$5001,BD!$B$3:$B$5001,P$149,BD!$A$3:$A$5001,"&gt;="&amp;$C$7,BD!$A$3:$A$5001,"&lt;="&amp;$B175,BD!$M$3:$M$5001,"&lt;&gt;"))))</f>
        <v/>
      </c>
      <c r="Q175" s="43" t="str">
        <f>IF(OR($B175="",$A175&gt;$B$9,Q$149=""),"",IF(COUNTIFS(BD!$B$3:$B$5001,Q$149,BD!$A$3:$A$5001,"&gt;="&amp;$C$7,BD!$A$3:$A$5001,"&lt;="&amp;$B175,BD!$M$3:$M$5001,"&lt;&gt;")=0,"",SUMIFS(BD!$M$3:$M$5001,BD!$B$3:$B$5001,Q$149,BD!$A$3:$A$5001,_xlfn.MAXIFS(BD!$A$3:$A$5001,BD!$B$3:$B$5001,Q$149,BD!$A$3:$A$5001,"&gt;="&amp;$C$7,BD!$A$3:$A$5001,"&lt;="&amp;$B175,BD!$M$3:$M$5001,"&lt;&gt;"))))</f>
        <v/>
      </c>
      <c r="R175" s="43" t="str">
        <f>IF(OR($B175="",$A175&gt;$B$9,R$149=""),"",IF(COUNTIFS(BD!$B$3:$B$5001,R$149,BD!$A$3:$A$5001,"&gt;="&amp;$C$7,BD!$A$3:$A$5001,"&lt;="&amp;$B175,BD!$M$3:$M$5001,"&lt;&gt;")=0,"",SUMIFS(BD!$M$3:$M$5001,BD!$B$3:$B$5001,R$149,BD!$A$3:$A$5001,_xlfn.MAXIFS(BD!$A$3:$A$5001,BD!$B$3:$B$5001,R$149,BD!$A$3:$A$5001,"&gt;="&amp;$C$7,BD!$A$3:$A$5001,"&lt;="&amp;$B175,BD!$M$3:$M$5001,"&lt;&gt;"))))</f>
        <v/>
      </c>
      <c r="S175" s="43" t="str">
        <f>IF(OR($B175="",$A175&gt;$B$9,S$149=""),"",IF(COUNTIFS(BD!$B$3:$B$5001,S$149,BD!$A$3:$A$5001,"&gt;="&amp;$C$7,BD!$A$3:$A$5001,"&lt;="&amp;$B175,BD!$M$3:$M$5001,"&lt;&gt;")=0,"",SUMIFS(BD!$M$3:$M$5001,BD!$B$3:$B$5001,S$149,BD!$A$3:$A$5001,_xlfn.MAXIFS(BD!$A$3:$A$5001,BD!$B$3:$B$5001,S$149,BD!$A$3:$A$5001,"&gt;="&amp;$C$7,BD!$A$3:$A$5001,"&lt;="&amp;$B175,BD!$M$3:$M$5001,"&lt;&gt;"))))</f>
        <v/>
      </c>
      <c r="T175" s="43" t="str">
        <f>IF(OR($B175="",$A175&gt;$B$9,T$149=""),"",IF(COUNTIFS(BD!$B$3:$B$5001,T$149,BD!$A$3:$A$5001,"&gt;="&amp;$C$7,BD!$A$3:$A$5001,"&lt;="&amp;$B175,BD!$M$3:$M$5001,"&lt;&gt;")=0,"",SUMIFS(BD!$M$3:$M$5001,BD!$B$3:$B$5001,T$149,BD!$A$3:$A$5001,_xlfn.MAXIFS(BD!$A$3:$A$5001,BD!$B$3:$B$5001,T$149,BD!$A$3:$A$5001,"&gt;="&amp;$C$7,BD!$A$3:$A$5001,"&lt;="&amp;$B175,BD!$M$3:$M$5001,"&lt;&gt;"))))</f>
        <v/>
      </c>
      <c r="U175" s="43" t="str">
        <f>IF(OR($B175="",$A175&gt;$B$9,U$149=""),"",IF(COUNTIFS(BD!$B$3:$B$5001,U$149,BD!$A$3:$A$5001,"&gt;="&amp;$C$7,BD!$A$3:$A$5001,"&lt;="&amp;$B175,BD!$M$3:$M$5001,"&lt;&gt;")=0,"",SUMIFS(BD!$M$3:$M$5001,BD!$B$3:$B$5001,U$149,BD!$A$3:$A$5001,_xlfn.MAXIFS(BD!$A$3:$A$5001,BD!$B$3:$B$5001,U$149,BD!$A$3:$A$5001,"&gt;="&amp;$C$7,BD!$A$3:$A$5001,"&lt;="&amp;$B175,BD!$M$3:$M$5001,"&lt;&gt;"))))</f>
        <v/>
      </c>
      <c r="V175" s="43" t="str">
        <f>IF(OR($B175="",$A175&gt;$B$9,V$149=""),"",IF(COUNTIFS(BD!$B$3:$B$5001,V$149,BD!$A$3:$A$5001,"&gt;="&amp;$C$7,BD!$A$3:$A$5001,"&lt;="&amp;$B175,BD!$M$3:$M$5001,"&lt;&gt;")=0,"",SUMIFS(BD!$M$3:$M$5001,BD!$B$3:$B$5001,V$149,BD!$A$3:$A$5001,_xlfn.MAXIFS(BD!$A$3:$A$5001,BD!$B$3:$B$5001,V$149,BD!$A$3:$A$5001,"&gt;="&amp;$C$7,BD!$A$3:$A$5001,"&lt;="&amp;$B175,BD!$M$3:$M$5001,"&lt;&gt;"))))</f>
        <v/>
      </c>
    </row>
    <row r="176">
      <c r="A176" s="38">
        <v>27</v>
      </c>
      <c r="B176" s="42">
        <f>$B$38</f>
        <v>46322</v>
      </c>
      <c r="C176" s="43" t="str">
        <f>IF(OR($B176="",$A176&gt;$B$9,C$149=""),"",IF(COUNTIFS(BD!$B$3:$B$5001,C$149,BD!$A$3:$A$5001,"&gt;="&amp;$C$7,BD!$A$3:$A$5001,"&lt;="&amp;$B176,BD!$M$3:$M$5001,"&lt;&gt;")=0,"",SUMIFS(BD!$M$3:$M$5001,BD!$B$3:$B$5001,C$149,BD!$A$3:$A$5001,_xlfn.MAXIFS(BD!$A$3:$A$5001,BD!$B$3:$B$5001,C$149,BD!$A$3:$A$5001,"&gt;="&amp;$C$7,BD!$A$3:$A$5001,"&lt;="&amp;$B176,BD!$M$3:$M$5001,"&lt;&gt;"))))</f>
        <v/>
      </c>
      <c r="D176" s="43" t="str">
        <f>IF(OR($B176="",$A176&gt;$B$9,D$149=""),"",IF(COUNTIFS(BD!$B$3:$B$5001,D$149,BD!$A$3:$A$5001,"&gt;="&amp;$C$7,BD!$A$3:$A$5001,"&lt;="&amp;$B176,BD!$M$3:$M$5001,"&lt;&gt;")=0,"",SUMIFS(BD!$M$3:$M$5001,BD!$B$3:$B$5001,D$149,BD!$A$3:$A$5001,_xlfn.MAXIFS(BD!$A$3:$A$5001,BD!$B$3:$B$5001,D$149,BD!$A$3:$A$5001,"&gt;="&amp;$C$7,BD!$A$3:$A$5001,"&lt;="&amp;$B176,BD!$M$3:$M$5001,"&lt;&gt;"))))</f>
        <v/>
      </c>
      <c r="E176" s="43" t="str">
        <f>IF(OR($B176="",$A176&gt;$B$9,E$149=""),"",IF(COUNTIFS(BD!$B$3:$B$5001,E$149,BD!$A$3:$A$5001,"&gt;="&amp;$C$7,BD!$A$3:$A$5001,"&lt;="&amp;$B176,BD!$M$3:$M$5001,"&lt;&gt;")=0,"",SUMIFS(BD!$M$3:$M$5001,BD!$B$3:$B$5001,E$149,BD!$A$3:$A$5001,_xlfn.MAXIFS(BD!$A$3:$A$5001,BD!$B$3:$B$5001,E$149,BD!$A$3:$A$5001,"&gt;="&amp;$C$7,BD!$A$3:$A$5001,"&lt;="&amp;$B176,BD!$M$3:$M$5001,"&lt;&gt;"))))</f>
        <v/>
      </c>
      <c r="F176" s="43" t="str">
        <f>IF(OR($B176="",$A176&gt;$B$9,F$149=""),"",IF(COUNTIFS(BD!$B$3:$B$5001,F$149,BD!$A$3:$A$5001,"&gt;="&amp;$C$7,BD!$A$3:$A$5001,"&lt;="&amp;$B176,BD!$M$3:$M$5001,"&lt;&gt;")=0,"",SUMIFS(BD!$M$3:$M$5001,BD!$B$3:$B$5001,F$149,BD!$A$3:$A$5001,_xlfn.MAXIFS(BD!$A$3:$A$5001,BD!$B$3:$B$5001,F$149,BD!$A$3:$A$5001,"&gt;="&amp;$C$7,BD!$A$3:$A$5001,"&lt;="&amp;$B176,BD!$M$3:$M$5001,"&lt;&gt;"))))</f>
        <v/>
      </c>
      <c r="G176" s="43" t="str">
        <f>IF(OR($B176="",$A176&gt;$B$9,G$149=""),"",IF(COUNTIFS(BD!$B$3:$B$5001,G$149,BD!$A$3:$A$5001,"&gt;="&amp;$C$7,BD!$A$3:$A$5001,"&lt;="&amp;$B176,BD!$M$3:$M$5001,"&lt;&gt;")=0,"",SUMIFS(BD!$M$3:$M$5001,BD!$B$3:$B$5001,G$149,BD!$A$3:$A$5001,_xlfn.MAXIFS(BD!$A$3:$A$5001,BD!$B$3:$B$5001,G$149,BD!$A$3:$A$5001,"&gt;="&amp;$C$7,BD!$A$3:$A$5001,"&lt;="&amp;$B176,BD!$M$3:$M$5001,"&lt;&gt;"))))</f>
        <v/>
      </c>
      <c r="H176" s="43" t="str">
        <f>IF(OR($B176="",$A176&gt;$B$9,H$149=""),"",IF(COUNTIFS(BD!$B$3:$B$5001,H$149,BD!$A$3:$A$5001,"&gt;="&amp;$C$7,BD!$A$3:$A$5001,"&lt;="&amp;$B176,BD!$M$3:$M$5001,"&lt;&gt;")=0,"",SUMIFS(BD!$M$3:$M$5001,BD!$B$3:$B$5001,H$149,BD!$A$3:$A$5001,_xlfn.MAXIFS(BD!$A$3:$A$5001,BD!$B$3:$B$5001,H$149,BD!$A$3:$A$5001,"&gt;="&amp;$C$7,BD!$A$3:$A$5001,"&lt;="&amp;$B176,BD!$M$3:$M$5001,"&lt;&gt;"))))</f>
        <v/>
      </c>
      <c r="I176" s="43" t="str">
        <f>IF(OR($B176="",$A176&gt;$B$9,I$149=""),"",IF(COUNTIFS(BD!$B$3:$B$5001,I$149,BD!$A$3:$A$5001,"&gt;="&amp;$C$7,BD!$A$3:$A$5001,"&lt;="&amp;$B176,BD!$M$3:$M$5001,"&lt;&gt;")=0,"",SUMIFS(BD!$M$3:$M$5001,BD!$B$3:$B$5001,I$149,BD!$A$3:$A$5001,_xlfn.MAXIFS(BD!$A$3:$A$5001,BD!$B$3:$B$5001,I$149,BD!$A$3:$A$5001,"&gt;="&amp;$C$7,BD!$A$3:$A$5001,"&lt;="&amp;$B176,BD!$M$3:$M$5001,"&lt;&gt;"))))</f>
        <v/>
      </c>
      <c r="J176" s="43" t="str">
        <f>IF(OR($B176="",$A176&gt;$B$9,J$149=""),"",IF(COUNTIFS(BD!$B$3:$B$5001,J$149,BD!$A$3:$A$5001,"&gt;="&amp;$C$7,BD!$A$3:$A$5001,"&lt;="&amp;$B176,BD!$M$3:$M$5001,"&lt;&gt;")=0,"",SUMIFS(BD!$M$3:$M$5001,BD!$B$3:$B$5001,J$149,BD!$A$3:$A$5001,_xlfn.MAXIFS(BD!$A$3:$A$5001,BD!$B$3:$B$5001,J$149,BD!$A$3:$A$5001,"&gt;="&amp;$C$7,BD!$A$3:$A$5001,"&lt;="&amp;$B176,BD!$M$3:$M$5001,"&lt;&gt;"))))</f>
        <v/>
      </c>
      <c r="K176" s="43" t="str">
        <f>IF(OR($B176="",$A176&gt;$B$9,K$149=""),"",IF(COUNTIFS(BD!$B$3:$B$5001,K$149,BD!$A$3:$A$5001,"&gt;="&amp;$C$7,BD!$A$3:$A$5001,"&lt;="&amp;$B176,BD!$M$3:$M$5001,"&lt;&gt;")=0,"",SUMIFS(BD!$M$3:$M$5001,BD!$B$3:$B$5001,K$149,BD!$A$3:$A$5001,_xlfn.MAXIFS(BD!$A$3:$A$5001,BD!$B$3:$B$5001,K$149,BD!$A$3:$A$5001,"&gt;="&amp;$C$7,BD!$A$3:$A$5001,"&lt;="&amp;$B176,BD!$M$3:$M$5001,"&lt;&gt;"))))</f>
        <v/>
      </c>
      <c r="L176" s="43" t="str">
        <f>IF(OR($B176="",$A176&gt;$B$9,L$149=""),"",IF(COUNTIFS(BD!$B$3:$B$5001,L$149,BD!$A$3:$A$5001,"&gt;="&amp;$C$7,BD!$A$3:$A$5001,"&lt;="&amp;$B176,BD!$M$3:$M$5001,"&lt;&gt;")=0,"",SUMIFS(BD!$M$3:$M$5001,BD!$B$3:$B$5001,L$149,BD!$A$3:$A$5001,_xlfn.MAXIFS(BD!$A$3:$A$5001,BD!$B$3:$B$5001,L$149,BD!$A$3:$A$5001,"&gt;="&amp;$C$7,BD!$A$3:$A$5001,"&lt;="&amp;$B176,BD!$M$3:$M$5001,"&lt;&gt;"))))</f>
        <v/>
      </c>
      <c r="M176" s="43" t="str">
        <f>IF(OR($B176="",$A176&gt;$B$9,M$149=""),"",IF(COUNTIFS(BD!$B$3:$B$5001,M$149,BD!$A$3:$A$5001,"&gt;="&amp;$C$7,BD!$A$3:$A$5001,"&lt;="&amp;$B176,BD!$M$3:$M$5001,"&lt;&gt;")=0,"",SUMIFS(BD!$M$3:$M$5001,BD!$B$3:$B$5001,M$149,BD!$A$3:$A$5001,_xlfn.MAXIFS(BD!$A$3:$A$5001,BD!$B$3:$B$5001,M$149,BD!$A$3:$A$5001,"&gt;="&amp;$C$7,BD!$A$3:$A$5001,"&lt;="&amp;$B176,BD!$M$3:$M$5001,"&lt;&gt;"))))</f>
        <v/>
      </c>
      <c r="N176" s="43" t="str">
        <f>IF(OR($B176="",$A176&gt;$B$9,N$149=""),"",IF(COUNTIFS(BD!$B$3:$B$5001,N$149,BD!$A$3:$A$5001,"&gt;="&amp;$C$7,BD!$A$3:$A$5001,"&lt;="&amp;$B176,BD!$M$3:$M$5001,"&lt;&gt;")=0,"",SUMIFS(BD!$M$3:$M$5001,BD!$B$3:$B$5001,N$149,BD!$A$3:$A$5001,_xlfn.MAXIFS(BD!$A$3:$A$5001,BD!$B$3:$B$5001,N$149,BD!$A$3:$A$5001,"&gt;="&amp;$C$7,BD!$A$3:$A$5001,"&lt;="&amp;$B176,BD!$M$3:$M$5001,"&lt;&gt;"))))</f>
        <v/>
      </c>
      <c r="O176" s="43" t="str">
        <f>IF(OR($B176="",$A176&gt;$B$9,O$149=""),"",IF(COUNTIFS(BD!$B$3:$B$5001,O$149,BD!$A$3:$A$5001,"&gt;="&amp;$C$7,BD!$A$3:$A$5001,"&lt;="&amp;$B176,BD!$M$3:$M$5001,"&lt;&gt;")=0,"",SUMIFS(BD!$M$3:$M$5001,BD!$B$3:$B$5001,O$149,BD!$A$3:$A$5001,_xlfn.MAXIFS(BD!$A$3:$A$5001,BD!$B$3:$B$5001,O$149,BD!$A$3:$A$5001,"&gt;="&amp;$C$7,BD!$A$3:$A$5001,"&lt;="&amp;$B176,BD!$M$3:$M$5001,"&lt;&gt;"))))</f>
        <v/>
      </c>
      <c r="P176" s="43" t="str">
        <f>IF(OR($B176="",$A176&gt;$B$9,P$149=""),"",IF(COUNTIFS(BD!$B$3:$B$5001,P$149,BD!$A$3:$A$5001,"&gt;="&amp;$C$7,BD!$A$3:$A$5001,"&lt;="&amp;$B176,BD!$M$3:$M$5001,"&lt;&gt;")=0,"",SUMIFS(BD!$M$3:$M$5001,BD!$B$3:$B$5001,P$149,BD!$A$3:$A$5001,_xlfn.MAXIFS(BD!$A$3:$A$5001,BD!$B$3:$B$5001,P$149,BD!$A$3:$A$5001,"&gt;="&amp;$C$7,BD!$A$3:$A$5001,"&lt;="&amp;$B176,BD!$M$3:$M$5001,"&lt;&gt;"))))</f>
        <v/>
      </c>
      <c r="Q176" s="43" t="str">
        <f>IF(OR($B176="",$A176&gt;$B$9,Q$149=""),"",IF(COUNTIFS(BD!$B$3:$B$5001,Q$149,BD!$A$3:$A$5001,"&gt;="&amp;$C$7,BD!$A$3:$A$5001,"&lt;="&amp;$B176,BD!$M$3:$M$5001,"&lt;&gt;")=0,"",SUMIFS(BD!$M$3:$M$5001,BD!$B$3:$B$5001,Q$149,BD!$A$3:$A$5001,_xlfn.MAXIFS(BD!$A$3:$A$5001,BD!$B$3:$B$5001,Q$149,BD!$A$3:$A$5001,"&gt;="&amp;$C$7,BD!$A$3:$A$5001,"&lt;="&amp;$B176,BD!$M$3:$M$5001,"&lt;&gt;"))))</f>
        <v/>
      </c>
      <c r="R176" s="43" t="str">
        <f>IF(OR($B176="",$A176&gt;$B$9,R$149=""),"",IF(COUNTIFS(BD!$B$3:$B$5001,R$149,BD!$A$3:$A$5001,"&gt;="&amp;$C$7,BD!$A$3:$A$5001,"&lt;="&amp;$B176,BD!$M$3:$M$5001,"&lt;&gt;")=0,"",SUMIFS(BD!$M$3:$M$5001,BD!$B$3:$B$5001,R$149,BD!$A$3:$A$5001,_xlfn.MAXIFS(BD!$A$3:$A$5001,BD!$B$3:$B$5001,R$149,BD!$A$3:$A$5001,"&gt;="&amp;$C$7,BD!$A$3:$A$5001,"&lt;="&amp;$B176,BD!$M$3:$M$5001,"&lt;&gt;"))))</f>
        <v/>
      </c>
      <c r="S176" s="43" t="str">
        <f>IF(OR($B176="",$A176&gt;$B$9,S$149=""),"",IF(COUNTIFS(BD!$B$3:$B$5001,S$149,BD!$A$3:$A$5001,"&gt;="&amp;$C$7,BD!$A$3:$A$5001,"&lt;="&amp;$B176,BD!$M$3:$M$5001,"&lt;&gt;")=0,"",SUMIFS(BD!$M$3:$M$5001,BD!$B$3:$B$5001,S$149,BD!$A$3:$A$5001,_xlfn.MAXIFS(BD!$A$3:$A$5001,BD!$B$3:$B$5001,S$149,BD!$A$3:$A$5001,"&gt;="&amp;$C$7,BD!$A$3:$A$5001,"&lt;="&amp;$B176,BD!$M$3:$M$5001,"&lt;&gt;"))))</f>
        <v/>
      </c>
      <c r="T176" s="43" t="str">
        <f>IF(OR($B176="",$A176&gt;$B$9,T$149=""),"",IF(COUNTIFS(BD!$B$3:$B$5001,T$149,BD!$A$3:$A$5001,"&gt;="&amp;$C$7,BD!$A$3:$A$5001,"&lt;="&amp;$B176,BD!$M$3:$M$5001,"&lt;&gt;")=0,"",SUMIFS(BD!$M$3:$M$5001,BD!$B$3:$B$5001,T$149,BD!$A$3:$A$5001,_xlfn.MAXIFS(BD!$A$3:$A$5001,BD!$B$3:$B$5001,T$149,BD!$A$3:$A$5001,"&gt;="&amp;$C$7,BD!$A$3:$A$5001,"&lt;="&amp;$B176,BD!$M$3:$M$5001,"&lt;&gt;"))))</f>
        <v/>
      </c>
      <c r="U176" s="43" t="str">
        <f>IF(OR($B176="",$A176&gt;$B$9,U$149=""),"",IF(COUNTIFS(BD!$B$3:$B$5001,U$149,BD!$A$3:$A$5001,"&gt;="&amp;$C$7,BD!$A$3:$A$5001,"&lt;="&amp;$B176,BD!$M$3:$M$5001,"&lt;&gt;")=0,"",SUMIFS(BD!$M$3:$M$5001,BD!$B$3:$B$5001,U$149,BD!$A$3:$A$5001,_xlfn.MAXIFS(BD!$A$3:$A$5001,BD!$B$3:$B$5001,U$149,BD!$A$3:$A$5001,"&gt;="&amp;$C$7,BD!$A$3:$A$5001,"&lt;="&amp;$B176,BD!$M$3:$M$5001,"&lt;&gt;"))))</f>
        <v/>
      </c>
      <c r="V176" s="43" t="str">
        <f>IF(OR($B176="",$A176&gt;$B$9,V$149=""),"",IF(COUNTIFS(BD!$B$3:$B$5001,V$149,BD!$A$3:$A$5001,"&gt;="&amp;$C$7,BD!$A$3:$A$5001,"&lt;="&amp;$B176,BD!$M$3:$M$5001,"&lt;&gt;")=0,"",SUMIFS(BD!$M$3:$M$5001,BD!$B$3:$B$5001,V$149,BD!$A$3:$A$5001,_xlfn.MAXIFS(BD!$A$3:$A$5001,BD!$B$3:$B$5001,V$149,BD!$A$3:$A$5001,"&gt;="&amp;$C$7,BD!$A$3:$A$5001,"&lt;="&amp;$B176,BD!$M$3:$M$5001,"&lt;&gt;"))))</f>
        <v/>
      </c>
    </row>
    <row r="177">
      <c r="A177" s="38">
        <v>28</v>
      </c>
      <c r="B177" s="42">
        <f>$B$39</f>
        <v>46323</v>
      </c>
      <c r="C177" s="43" t="str">
        <f>IF(OR($B177="",$A177&gt;$B$9,C$149=""),"",IF(COUNTIFS(BD!$B$3:$B$5001,C$149,BD!$A$3:$A$5001,"&gt;="&amp;$C$7,BD!$A$3:$A$5001,"&lt;="&amp;$B177,BD!$M$3:$M$5001,"&lt;&gt;")=0,"",SUMIFS(BD!$M$3:$M$5001,BD!$B$3:$B$5001,C$149,BD!$A$3:$A$5001,_xlfn.MAXIFS(BD!$A$3:$A$5001,BD!$B$3:$B$5001,C$149,BD!$A$3:$A$5001,"&gt;="&amp;$C$7,BD!$A$3:$A$5001,"&lt;="&amp;$B177,BD!$M$3:$M$5001,"&lt;&gt;"))))</f>
        <v/>
      </c>
      <c r="D177" s="43" t="str">
        <f>IF(OR($B177="",$A177&gt;$B$9,D$149=""),"",IF(COUNTIFS(BD!$B$3:$B$5001,D$149,BD!$A$3:$A$5001,"&gt;="&amp;$C$7,BD!$A$3:$A$5001,"&lt;="&amp;$B177,BD!$M$3:$M$5001,"&lt;&gt;")=0,"",SUMIFS(BD!$M$3:$M$5001,BD!$B$3:$B$5001,D$149,BD!$A$3:$A$5001,_xlfn.MAXIFS(BD!$A$3:$A$5001,BD!$B$3:$B$5001,D$149,BD!$A$3:$A$5001,"&gt;="&amp;$C$7,BD!$A$3:$A$5001,"&lt;="&amp;$B177,BD!$M$3:$M$5001,"&lt;&gt;"))))</f>
        <v/>
      </c>
      <c r="E177" s="43" t="str">
        <f>IF(OR($B177="",$A177&gt;$B$9,E$149=""),"",IF(COUNTIFS(BD!$B$3:$B$5001,E$149,BD!$A$3:$A$5001,"&gt;="&amp;$C$7,BD!$A$3:$A$5001,"&lt;="&amp;$B177,BD!$M$3:$M$5001,"&lt;&gt;")=0,"",SUMIFS(BD!$M$3:$M$5001,BD!$B$3:$B$5001,E$149,BD!$A$3:$A$5001,_xlfn.MAXIFS(BD!$A$3:$A$5001,BD!$B$3:$B$5001,E$149,BD!$A$3:$A$5001,"&gt;="&amp;$C$7,BD!$A$3:$A$5001,"&lt;="&amp;$B177,BD!$M$3:$M$5001,"&lt;&gt;"))))</f>
        <v/>
      </c>
      <c r="F177" s="43" t="str">
        <f>IF(OR($B177="",$A177&gt;$B$9,F$149=""),"",IF(COUNTIFS(BD!$B$3:$B$5001,F$149,BD!$A$3:$A$5001,"&gt;="&amp;$C$7,BD!$A$3:$A$5001,"&lt;="&amp;$B177,BD!$M$3:$M$5001,"&lt;&gt;")=0,"",SUMIFS(BD!$M$3:$M$5001,BD!$B$3:$B$5001,F$149,BD!$A$3:$A$5001,_xlfn.MAXIFS(BD!$A$3:$A$5001,BD!$B$3:$B$5001,F$149,BD!$A$3:$A$5001,"&gt;="&amp;$C$7,BD!$A$3:$A$5001,"&lt;="&amp;$B177,BD!$M$3:$M$5001,"&lt;&gt;"))))</f>
        <v/>
      </c>
      <c r="G177" s="43" t="str">
        <f>IF(OR($B177="",$A177&gt;$B$9,G$149=""),"",IF(COUNTIFS(BD!$B$3:$B$5001,G$149,BD!$A$3:$A$5001,"&gt;="&amp;$C$7,BD!$A$3:$A$5001,"&lt;="&amp;$B177,BD!$M$3:$M$5001,"&lt;&gt;")=0,"",SUMIFS(BD!$M$3:$M$5001,BD!$B$3:$B$5001,G$149,BD!$A$3:$A$5001,_xlfn.MAXIFS(BD!$A$3:$A$5001,BD!$B$3:$B$5001,G$149,BD!$A$3:$A$5001,"&gt;="&amp;$C$7,BD!$A$3:$A$5001,"&lt;="&amp;$B177,BD!$M$3:$M$5001,"&lt;&gt;"))))</f>
        <v/>
      </c>
      <c r="H177" s="43" t="str">
        <f>IF(OR($B177="",$A177&gt;$B$9,H$149=""),"",IF(COUNTIFS(BD!$B$3:$B$5001,H$149,BD!$A$3:$A$5001,"&gt;="&amp;$C$7,BD!$A$3:$A$5001,"&lt;="&amp;$B177,BD!$M$3:$M$5001,"&lt;&gt;")=0,"",SUMIFS(BD!$M$3:$M$5001,BD!$B$3:$B$5001,H$149,BD!$A$3:$A$5001,_xlfn.MAXIFS(BD!$A$3:$A$5001,BD!$B$3:$B$5001,H$149,BD!$A$3:$A$5001,"&gt;="&amp;$C$7,BD!$A$3:$A$5001,"&lt;="&amp;$B177,BD!$M$3:$M$5001,"&lt;&gt;"))))</f>
        <v/>
      </c>
      <c r="I177" s="43" t="str">
        <f>IF(OR($B177="",$A177&gt;$B$9,I$149=""),"",IF(COUNTIFS(BD!$B$3:$B$5001,I$149,BD!$A$3:$A$5001,"&gt;="&amp;$C$7,BD!$A$3:$A$5001,"&lt;="&amp;$B177,BD!$M$3:$M$5001,"&lt;&gt;")=0,"",SUMIFS(BD!$M$3:$M$5001,BD!$B$3:$B$5001,I$149,BD!$A$3:$A$5001,_xlfn.MAXIFS(BD!$A$3:$A$5001,BD!$B$3:$B$5001,I$149,BD!$A$3:$A$5001,"&gt;="&amp;$C$7,BD!$A$3:$A$5001,"&lt;="&amp;$B177,BD!$M$3:$M$5001,"&lt;&gt;"))))</f>
        <v/>
      </c>
      <c r="J177" s="43" t="str">
        <f>IF(OR($B177="",$A177&gt;$B$9,J$149=""),"",IF(COUNTIFS(BD!$B$3:$B$5001,J$149,BD!$A$3:$A$5001,"&gt;="&amp;$C$7,BD!$A$3:$A$5001,"&lt;="&amp;$B177,BD!$M$3:$M$5001,"&lt;&gt;")=0,"",SUMIFS(BD!$M$3:$M$5001,BD!$B$3:$B$5001,J$149,BD!$A$3:$A$5001,_xlfn.MAXIFS(BD!$A$3:$A$5001,BD!$B$3:$B$5001,J$149,BD!$A$3:$A$5001,"&gt;="&amp;$C$7,BD!$A$3:$A$5001,"&lt;="&amp;$B177,BD!$M$3:$M$5001,"&lt;&gt;"))))</f>
        <v/>
      </c>
      <c r="K177" s="43" t="str">
        <f>IF(OR($B177="",$A177&gt;$B$9,K$149=""),"",IF(COUNTIFS(BD!$B$3:$B$5001,K$149,BD!$A$3:$A$5001,"&gt;="&amp;$C$7,BD!$A$3:$A$5001,"&lt;="&amp;$B177,BD!$M$3:$M$5001,"&lt;&gt;")=0,"",SUMIFS(BD!$M$3:$M$5001,BD!$B$3:$B$5001,K$149,BD!$A$3:$A$5001,_xlfn.MAXIFS(BD!$A$3:$A$5001,BD!$B$3:$B$5001,K$149,BD!$A$3:$A$5001,"&gt;="&amp;$C$7,BD!$A$3:$A$5001,"&lt;="&amp;$B177,BD!$M$3:$M$5001,"&lt;&gt;"))))</f>
        <v/>
      </c>
      <c r="L177" s="43" t="str">
        <f>IF(OR($B177="",$A177&gt;$B$9,L$149=""),"",IF(COUNTIFS(BD!$B$3:$B$5001,L$149,BD!$A$3:$A$5001,"&gt;="&amp;$C$7,BD!$A$3:$A$5001,"&lt;="&amp;$B177,BD!$M$3:$M$5001,"&lt;&gt;")=0,"",SUMIFS(BD!$M$3:$M$5001,BD!$B$3:$B$5001,L$149,BD!$A$3:$A$5001,_xlfn.MAXIFS(BD!$A$3:$A$5001,BD!$B$3:$B$5001,L$149,BD!$A$3:$A$5001,"&gt;="&amp;$C$7,BD!$A$3:$A$5001,"&lt;="&amp;$B177,BD!$M$3:$M$5001,"&lt;&gt;"))))</f>
        <v/>
      </c>
      <c r="M177" s="43" t="str">
        <f>IF(OR($B177="",$A177&gt;$B$9,M$149=""),"",IF(COUNTIFS(BD!$B$3:$B$5001,M$149,BD!$A$3:$A$5001,"&gt;="&amp;$C$7,BD!$A$3:$A$5001,"&lt;="&amp;$B177,BD!$M$3:$M$5001,"&lt;&gt;")=0,"",SUMIFS(BD!$M$3:$M$5001,BD!$B$3:$B$5001,M$149,BD!$A$3:$A$5001,_xlfn.MAXIFS(BD!$A$3:$A$5001,BD!$B$3:$B$5001,M$149,BD!$A$3:$A$5001,"&gt;="&amp;$C$7,BD!$A$3:$A$5001,"&lt;="&amp;$B177,BD!$M$3:$M$5001,"&lt;&gt;"))))</f>
        <v/>
      </c>
      <c r="N177" s="43" t="str">
        <f>IF(OR($B177="",$A177&gt;$B$9,N$149=""),"",IF(COUNTIFS(BD!$B$3:$B$5001,N$149,BD!$A$3:$A$5001,"&gt;="&amp;$C$7,BD!$A$3:$A$5001,"&lt;="&amp;$B177,BD!$M$3:$M$5001,"&lt;&gt;")=0,"",SUMIFS(BD!$M$3:$M$5001,BD!$B$3:$B$5001,N$149,BD!$A$3:$A$5001,_xlfn.MAXIFS(BD!$A$3:$A$5001,BD!$B$3:$B$5001,N$149,BD!$A$3:$A$5001,"&gt;="&amp;$C$7,BD!$A$3:$A$5001,"&lt;="&amp;$B177,BD!$M$3:$M$5001,"&lt;&gt;"))))</f>
        <v/>
      </c>
      <c r="O177" s="43" t="str">
        <f>IF(OR($B177="",$A177&gt;$B$9,O$149=""),"",IF(COUNTIFS(BD!$B$3:$B$5001,O$149,BD!$A$3:$A$5001,"&gt;="&amp;$C$7,BD!$A$3:$A$5001,"&lt;="&amp;$B177,BD!$M$3:$M$5001,"&lt;&gt;")=0,"",SUMIFS(BD!$M$3:$M$5001,BD!$B$3:$B$5001,O$149,BD!$A$3:$A$5001,_xlfn.MAXIFS(BD!$A$3:$A$5001,BD!$B$3:$B$5001,O$149,BD!$A$3:$A$5001,"&gt;="&amp;$C$7,BD!$A$3:$A$5001,"&lt;="&amp;$B177,BD!$M$3:$M$5001,"&lt;&gt;"))))</f>
        <v/>
      </c>
      <c r="P177" s="43" t="str">
        <f>IF(OR($B177="",$A177&gt;$B$9,P$149=""),"",IF(COUNTIFS(BD!$B$3:$B$5001,P$149,BD!$A$3:$A$5001,"&gt;="&amp;$C$7,BD!$A$3:$A$5001,"&lt;="&amp;$B177,BD!$M$3:$M$5001,"&lt;&gt;")=0,"",SUMIFS(BD!$M$3:$M$5001,BD!$B$3:$B$5001,P$149,BD!$A$3:$A$5001,_xlfn.MAXIFS(BD!$A$3:$A$5001,BD!$B$3:$B$5001,P$149,BD!$A$3:$A$5001,"&gt;="&amp;$C$7,BD!$A$3:$A$5001,"&lt;="&amp;$B177,BD!$M$3:$M$5001,"&lt;&gt;"))))</f>
        <v/>
      </c>
      <c r="Q177" s="43" t="str">
        <f>IF(OR($B177="",$A177&gt;$B$9,Q$149=""),"",IF(COUNTIFS(BD!$B$3:$B$5001,Q$149,BD!$A$3:$A$5001,"&gt;="&amp;$C$7,BD!$A$3:$A$5001,"&lt;="&amp;$B177,BD!$M$3:$M$5001,"&lt;&gt;")=0,"",SUMIFS(BD!$M$3:$M$5001,BD!$B$3:$B$5001,Q$149,BD!$A$3:$A$5001,_xlfn.MAXIFS(BD!$A$3:$A$5001,BD!$B$3:$B$5001,Q$149,BD!$A$3:$A$5001,"&gt;="&amp;$C$7,BD!$A$3:$A$5001,"&lt;="&amp;$B177,BD!$M$3:$M$5001,"&lt;&gt;"))))</f>
        <v/>
      </c>
      <c r="R177" s="43" t="str">
        <f>IF(OR($B177="",$A177&gt;$B$9,R$149=""),"",IF(COUNTIFS(BD!$B$3:$B$5001,R$149,BD!$A$3:$A$5001,"&gt;="&amp;$C$7,BD!$A$3:$A$5001,"&lt;="&amp;$B177,BD!$M$3:$M$5001,"&lt;&gt;")=0,"",SUMIFS(BD!$M$3:$M$5001,BD!$B$3:$B$5001,R$149,BD!$A$3:$A$5001,_xlfn.MAXIFS(BD!$A$3:$A$5001,BD!$B$3:$B$5001,R$149,BD!$A$3:$A$5001,"&gt;="&amp;$C$7,BD!$A$3:$A$5001,"&lt;="&amp;$B177,BD!$M$3:$M$5001,"&lt;&gt;"))))</f>
        <v/>
      </c>
      <c r="S177" s="43" t="str">
        <f>IF(OR($B177="",$A177&gt;$B$9,S$149=""),"",IF(COUNTIFS(BD!$B$3:$B$5001,S$149,BD!$A$3:$A$5001,"&gt;="&amp;$C$7,BD!$A$3:$A$5001,"&lt;="&amp;$B177,BD!$M$3:$M$5001,"&lt;&gt;")=0,"",SUMIFS(BD!$M$3:$M$5001,BD!$B$3:$B$5001,S$149,BD!$A$3:$A$5001,_xlfn.MAXIFS(BD!$A$3:$A$5001,BD!$B$3:$B$5001,S$149,BD!$A$3:$A$5001,"&gt;="&amp;$C$7,BD!$A$3:$A$5001,"&lt;="&amp;$B177,BD!$M$3:$M$5001,"&lt;&gt;"))))</f>
        <v/>
      </c>
      <c r="T177" s="43" t="str">
        <f>IF(OR($B177="",$A177&gt;$B$9,T$149=""),"",IF(COUNTIFS(BD!$B$3:$B$5001,T$149,BD!$A$3:$A$5001,"&gt;="&amp;$C$7,BD!$A$3:$A$5001,"&lt;="&amp;$B177,BD!$M$3:$M$5001,"&lt;&gt;")=0,"",SUMIFS(BD!$M$3:$M$5001,BD!$B$3:$B$5001,T$149,BD!$A$3:$A$5001,_xlfn.MAXIFS(BD!$A$3:$A$5001,BD!$B$3:$B$5001,T$149,BD!$A$3:$A$5001,"&gt;="&amp;$C$7,BD!$A$3:$A$5001,"&lt;="&amp;$B177,BD!$M$3:$M$5001,"&lt;&gt;"))))</f>
        <v/>
      </c>
      <c r="U177" s="43" t="str">
        <f>IF(OR($B177="",$A177&gt;$B$9,U$149=""),"",IF(COUNTIFS(BD!$B$3:$B$5001,U$149,BD!$A$3:$A$5001,"&gt;="&amp;$C$7,BD!$A$3:$A$5001,"&lt;="&amp;$B177,BD!$M$3:$M$5001,"&lt;&gt;")=0,"",SUMIFS(BD!$M$3:$M$5001,BD!$B$3:$B$5001,U$149,BD!$A$3:$A$5001,_xlfn.MAXIFS(BD!$A$3:$A$5001,BD!$B$3:$B$5001,U$149,BD!$A$3:$A$5001,"&gt;="&amp;$C$7,BD!$A$3:$A$5001,"&lt;="&amp;$B177,BD!$M$3:$M$5001,"&lt;&gt;"))))</f>
        <v/>
      </c>
      <c r="V177" s="43" t="str">
        <f>IF(OR($B177="",$A177&gt;$B$9,V$149=""),"",IF(COUNTIFS(BD!$B$3:$B$5001,V$149,BD!$A$3:$A$5001,"&gt;="&amp;$C$7,BD!$A$3:$A$5001,"&lt;="&amp;$B177,BD!$M$3:$M$5001,"&lt;&gt;")=0,"",SUMIFS(BD!$M$3:$M$5001,BD!$B$3:$B$5001,V$149,BD!$A$3:$A$5001,_xlfn.MAXIFS(BD!$A$3:$A$5001,BD!$B$3:$B$5001,V$149,BD!$A$3:$A$5001,"&gt;="&amp;$C$7,BD!$A$3:$A$5001,"&lt;="&amp;$B177,BD!$M$3:$M$5001,"&lt;&gt;"))))</f>
        <v/>
      </c>
    </row>
    <row r="178">
      <c r="A178" s="38">
        <v>29</v>
      </c>
      <c r="B178" s="42">
        <f>$B$40</f>
        <v>46324</v>
      </c>
      <c r="C178" s="43" t="str">
        <f>IF(OR($B178="",$A178&gt;$B$9,C$149=""),"",IF(COUNTIFS(BD!$B$3:$B$5001,C$149,BD!$A$3:$A$5001,"&gt;="&amp;$C$7,BD!$A$3:$A$5001,"&lt;="&amp;$B178,BD!$M$3:$M$5001,"&lt;&gt;")=0,"",SUMIFS(BD!$M$3:$M$5001,BD!$B$3:$B$5001,C$149,BD!$A$3:$A$5001,_xlfn.MAXIFS(BD!$A$3:$A$5001,BD!$B$3:$B$5001,C$149,BD!$A$3:$A$5001,"&gt;="&amp;$C$7,BD!$A$3:$A$5001,"&lt;="&amp;$B178,BD!$M$3:$M$5001,"&lt;&gt;"))))</f>
        <v/>
      </c>
      <c r="D178" s="43" t="str">
        <f>IF(OR($B178="",$A178&gt;$B$9,D$149=""),"",IF(COUNTIFS(BD!$B$3:$B$5001,D$149,BD!$A$3:$A$5001,"&gt;="&amp;$C$7,BD!$A$3:$A$5001,"&lt;="&amp;$B178,BD!$M$3:$M$5001,"&lt;&gt;")=0,"",SUMIFS(BD!$M$3:$M$5001,BD!$B$3:$B$5001,D$149,BD!$A$3:$A$5001,_xlfn.MAXIFS(BD!$A$3:$A$5001,BD!$B$3:$B$5001,D$149,BD!$A$3:$A$5001,"&gt;="&amp;$C$7,BD!$A$3:$A$5001,"&lt;="&amp;$B178,BD!$M$3:$M$5001,"&lt;&gt;"))))</f>
        <v/>
      </c>
      <c r="E178" s="43" t="str">
        <f>IF(OR($B178="",$A178&gt;$B$9,E$149=""),"",IF(COUNTIFS(BD!$B$3:$B$5001,E$149,BD!$A$3:$A$5001,"&gt;="&amp;$C$7,BD!$A$3:$A$5001,"&lt;="&amp;$B178,BD!$M$3:$M$5001,"&lt;&gt;")=0,"",SUMIFS(BD!$M$3:$M$5001,BD!$B$3:$B$5001,E$149,BD!$A$3:$A$5001,_xlfn.MAXIFS(BD!$A$3:$A$5001,BD!$B$3:$B$5001,E$149,BD!$A$3:$A$5001,"&gt;="&amp;$C$7,BD!$A$3:$A$5001,"&lt;="&amp;$B178,BD!$M$3:$M$5001,"&lt;&gt;"))))</f>
        <v/>
      </c>
      <c r="F178" s="43" t="str">
        <f>IF(OR($B178="",$A178&gt;$B$9,F$149=""),"",IF(COUNTIFS(BD!$B$3:$B$5001,F$149,BD!$A$3:$A$5001,"&gt;="&amp;$C$7,BD!$A$3:$A$5001,"&lt;="&amp;$B178,BD!$M$3:$M$5001,"&lt;&gt;")=0,"",SUMIFS(BD!$M$3:$M$5001,BD!$B$3:$B$5001,F$149,BD!$A$3:$A$5001,_xlfn.MAXIFS(BD!$A$3:$A$5001,BD!$B$3:$B$5001,F$149,BD!$A$3:$A$5001,"&gt;="&amp;$C$7,BD!$A$3:$A$5001,"&lt;="&amp;$B178,BD!$M$3:$M$5001,"&lt;&gt;"))))</f>
        <v/>
      </c>
      <c r="G178" s="43" t="str">
        <f>IF(OR($B178="",$A178&gt;$B$9,G$149=""),"",IF(COUNTIFS(BD!$B$3:$B$5001,G$149,BD!$A$3:$A$5001,"&gt;="&amp;$C$7,BD!$A$3:$A$5001,"&lt;="&amp;$B178,BD!$M$3:$M$5001,"&lt;&gt;")=0,"",SUMIFS(BD!$M$3:$M$5001,BD!$B$3:$B$5001,G$149,BD!$A$3:$A$5001,_xlfn.MAXIFS(BD!$A$3:$A$5001,BD!$B$3:$B$5001,G$149,BD!$A$3:$A$5001,"&gt;="&amp;$C$7,BD!$A$3:$A$5001,"&lt;="&amp;$B178,BD!$M$3:$M$5001,"&lt;&gt;"))))</f>
        <v/>
      </c>
      <c r="H178" s="43" t="str">
        <f>IF(OR($B178="",$A178&gt;$B$9,H$149=""),"",IF(COUNTIFS(BD!$B$3:$B$5001,H$149,BD!$A$3:$A$5001,"&gt;="&amp;$C$7,BD!$A$3:$A$5001,"&lt;="&amp;$B178,BD!$M$3:$M$5001,"&lt;&gt;")=0,"",SUMIFS(BD!$M$3:$M$5001,BD!$B$3:$B$5001,H$149,BD!$A$3:$A$5001,_xlfn.MAXIFS(BD!$A$3:$A$5001,BD!$B$3:$B$5001,H$149,BD!$A$3:$A$5001,"&gt;="&amp;$C$7,BD!$A$3:$A$5001,"&lt;="&amp;$B178,BD!$M$3:$M$5001,"&lt;&gt;"))))</f>
        <v/>
      </c>
      <c r="I178" s="43" t="str">
        <f>IF(OR($B178="",$A178&gt;$B$9,I$149=""),"",IF(COUNTIFS(BD!$B$3:$B$5001,I$149,BD!$A$3:$A$5001,"&gt;="&amp;$C$7,BD!$A$3:$A$5001,"&lt;="&amp;$B178,BD!$M$3:$M$5001,"&lt;&gt;")=0,"",SUMIFS(BD!$M$3:$M$5001,BD!$B$3:$B$5001,I$149,BD!$A$3:$A$5001,_xlfn.MAXIFS(BD!$A$3:$A$5001,BD!$B$3:$B$5001,I$149,BD!$A$3:$A$5001,"&gt;="&amp;$C$7,BD!$A$3:$A$5001,"&lt;="&amp;$B178,BD!$M$3:$M$5001,"&lt;&gt;"))))</f>
        <v/>
      </c>
      <c r="J178" s="43" t="str">
        <f>IF(OR($B178="",$A178&gt;$B$9,J$149=""),"",IF(COUNTIFS(BD!$B$3:$B$5001,J$149,BD!$A$3:$A$5001,"&gt;="&amp;$C$7,BD!$A$3:$A$5001,"&lt;="&amp;$B178,BD!$M$3:$M$5001,"&lt;&gt;")=0,"",SUMIFS(BD!$M$3:$M$5001,BD!$B$3:$B$5001,J$149,BD!$A$3:$A$5001,_xlfn.MAXIFS(BD!$A$3:$A$5001,BD!$B$3:$B$5001,J$149,BD!$A$3:$A$5001,"&gt;="&amp;$C$7,BD!$A$3:$A$5001,"&lt;="&amp;$B178,BD!$M$3:$M$5001,"&lt;&gt;"))))</f>
        <v/>
      </c>
      <c r="K178" s="43" t="str">
        <f>IF(OR($B178="",$A178&gt;$B$9,K$149=""),"",IF(COUNTIFS(BD!$B$3:$B$5001,K$149,BD!$A$3:$A$5001,"&gt;="&amp;$C$7,BD!$A$3:$A$5001,"&lt;="&amp;$B178,BD!$M$3:$M$5001,"&lt;&gt;")=0,"",SUMIFS(BD!$M$3:$M$5001,BD!$B$3:$B$5001,K$149,BD!$A$3:$A$5001,_xlfn.MAXIFS(BD!$A$3:$A$5001,BD!$B$3:$B$5001,K$149,BD!$A$3:$A$5001,"&gt;="&amp;$C$7,BD!$A$3:$A$5001,"&lt;="&amp;$B178,BD!$M$3:$M$5001,"&lt;&gt;"))))</f>
        <v/>
      </c>
      <c r="L178" s="43" t="str">
        <f>IF(OR($B178="",$A178&gt;$B$9,L$149=""),"",IF(COUNTIFS(BD!$B$3:$B$5001,L$149,BD!$A$3:$A$5001,"&gt;="&amp;$C$7,BD!$A$3:$A$5001,"&lt;="&amp;$B178,BD!$M$3:$M$5001,"&lt;&gt;")=0,"",SUMIFS(BD!$M$3:$M$5001,BD!$B$3:$B$5001,L$149,BD!$A$3:$A$5001,_xlfn.MAXIFS(BD!$A$3:$A$5001,BD!$B$3:$B$5001,L$149,BD!$A$3:$A$5001,"&gt;="&amp;$C$7,BD!$A$3:$A$5001,"&lt;="&amp;$B178,BD!$M$3:$M$5001,"&lt;&gt;"))))</f>
        <v/>
      </c>
      <c r="M178" s="43" t="str">
        <f>IF(OR($B178="",$A178&gt;$B$9,M$149=""),"",IF(COUNTIFS(BD!$B$3:$B$5001,M$149,BD!$A$3:$A$5001,"&gt;="&amp;$C$7,BD!$A$3:$A$5001,"&lt;="&amp;$B178,BD!$M$3:$M$5001,"&lt;&gt;")=0,"",SUMIFS(BD!$M$3:$M$5001,BD!$B$3:$B$5001,M$149,BD!$A$3:$A$5001,_xlfn.MAXIFS(BD!$A$3:$A$5001,BD!$B$3:$B$5001,M$149,BD!$A$3:$A$5001,"&gt;="&amp;$C$7,BD!$A$3:$A$5001,"&lt;="&amp;$B178,BD!$M$3:$M$5001,"&lt;&gt;"))))</f>
        <v/>
      </c>
      <c r="N178" s="43" t="str">
        <f>IF(OR($B178="",$A178&gt;$B$9,N$149=""),"",IF(COUNTIFS(BD!$B$3:$B$5001,N$149,BD!$A$3:$A$5001,"&gt;="&amp;$C$7,BD!$A$3:$A$5001,"&lt;="&amp;$B178,BD!$M$3:$M$5001,"&lt;&gt;")=0,"",SUMIFS(BD!$M$3:$M$5001,BD!$B$3:$B$5001,N$149,BD!$A$3:$A$5001,_xlfn.MAXIFS(BD!$A$3:$A$5001,BD!$B$3:$B$5001,N$149,BD!$A$3:$A$5001,"&gt;="&amp;$C$7,BD!$A$3:$A$5001,"&lt;="&amp;$B178,BD!$M$3:$M$5001,"&lt;&gt;"))))</f>
        <v/>
      </c>
      <c r="O178" s="43" t="str">
        <f>IF(OR($B178="",$A178&gt;$B$9,O$149=""),"",IF(COUNTIFS(BD!$B$3:$B$5001,O$149,BD!$A$3:$A$5001,"&gt;="&amp;$C$7,BD!$A$3:$A$5001,"&lt;="&amp;$B178,BD!$M$3:$M$5001,"&lt;&gt;")=0,"",SUMIFS(BD!$M$3:$M$5001,BD!$B$3:$B$5001,O$149,BD!$A$3:$A$5001,_xlfn.MAXIFS(BD!$A$3:$A$5001,BD!$B$3:$B$5001,O$149,BD!$A$3:$A$5001,"&gt;="&amp;$C$7,BD!$A$3:$A$5001,"&lt;="&amp;$B178,BD!$M$3:$M$5001,"&lt;&gt;"))))</f>
        <v/>
      </c>
      <c r="P178" s="43" t="str">
        <f>IF(OR($B178="",$A178&gt;$B$9,P$149=""),"",IF(COUNTIFS(BD!$B$3:$B$5001,P$149,BD!$A$3:$A$5001,"&gt;="&amp;$C$7,BD!$A$3:$A$5001,"&lt;="&amp;$B178,BD!$M$3:$M$5001,"&lt;&gt;")=0,"",SUMIFS(BD!$M$3:$M$5001,BD!$B$3:$B$5001,P$149,BD!$A$3:$A$5001,_xlfn.MAXIFS(BD!$A$3:$A$5001,BD!$B$3:$B$5001,P$149,BD!$A$3:$A$5001,"&gt;="&amp;$C$7,BD!$A$3:$A$5001,"&lt;="&amp;$B178,BD!$M$3:$M$5001,"&lt;&gt;"))))</f>
        <v/>
      </c>
      <c r="Q178" s="43" t="str">
        <f>IF(OR($B178="",$A178&gt;$B$9,Q$149=""),"",IF(COUNTIFS(BD!$B$3:$B$5001,Q$149,BD!$A$3:$A$5001,"&gt;="&amp;$C$7,BD!$A$3:$A$5001,"&lt;="&amp;$B178,BD!$M$3:$M$5001,"&lt;&gt;")=0,"",SUMIFS(BD!$M$3:$M$5001,BD!$B$3:$B$5001,Q$149,BD!$A$3:$A$5001,_xlfn.MAXIFS(BD!$A$3:$A$5001,BD!$B$3:$B$5001,Q$149,BD!$A$3:$A$5001,"&gt;="&amp;$C$7,BD!$A$3:$A$5001,"&lt;="&amp;$B178,BD!$M$3:$M$5001,"&lt;&gt;"))))</f>
        <v/>
      </c>
      <c r="R178" s="43" t="str">
        <f>IF(OR($B178="",$A178&gt;$B$9,R$149=""),"",IF(COUNTIFS(BD!$B$3:$B$5001,R$149,BD!$A$3:$A$5001,"&gt;="&amp;$C$7,BD!$A$3:$A$5001,"&lt;="&amp;$B178,BD!$M$3:$M$5001,"&lt;&gt;")=0,"",SUMIFS(BD!$M$3:$M$5001,BD!$B$3:$B$5001,R$149,BD!$A$3:$A$5001,_xlfn.MAXIFS(BD!$A$3:$A$5001,BD!$B$3:$B$5001,R$149,BD!$A$3:$A$5001,"&gt;="&amp;$C$7,BD!$A$3:$A$5001,"&lt;="&amp;$B178,BD!$M$3:$M$5001,"&lt;&gt;"))))</f>
        <v/>
      </c>
      <c r="S178" s="43" t="str">
        <f>IF(OR($B178="",$A178&gt;$B$9,S$149=""),"",IF(COUNTIFS(BD!$B$3:$B$5001,S$149,BD!$A$3:$A$5001,"&gt;="&amp;$C$7,BD!$A$3:$A$5001,"&lt;="&amp;$B178,BD!$M$3:$M$5001,"&lt;&gt;")=0,"",SUMIFS(BD!$M$3:$M$5001,BD!$B$3:$B$5001,S$149,BD!$A$3:$A$5001,_xlfn.MAXIFS(BD!$A$3:$A$5001,BD!$B$3:$B$5001,S$149,BD!$A$3:$A$5001,"&gt;="&amp;$C$7,BD!$A$3:$A$5001,"&lt;="&amp;$B178,BD!$M$3:$M$5001,"&lt;&gt;"))))</f>
        <v/>
      </c>
      <c r="T178" s="43" t="str">
        <f>IF(OR($B178="",$A178&gt;$B$9,T$149=""),"",IF(COUNTIFS(BD!$B$3:$B$5001,T$149,BD!$A$3:$A$5001,"&gt;="&amp;$C$7,BD!$A$3:$A$5001,"&lt;="&amp;$B178,BD!$M$3:$M$5001,"&lt;&gt;")=0,"",SUMIFS(BD!$M$3:$M$5001,BD!$B$3:$B$5001,T$149,BD!$A$3:$A$5001,_xlfn.MAXIFS(BD!$A$3:$A$5001,BD!$B$3:$B$5001,T$149,BD!$A$3:$A$5001,"&gt;="&amp;$C$7,BD!$A$3:$A$5001,"&lt;="&amp;$B178,BD!$M$3:$M$5001,"&lt;&gt;"))))</f>
        <v/>
      </c>
      <c r="U178" s="43" t="str">
        <f>IF(OR($B178="",$A178&gt;$B$9,U$149=""),"",IF(COUNTIFS(BD!$B$3:$B$5001,U$149,BD!$A$3:$A$5001,"&gt;="&amp;$C$7,BD!$A$3:$A$5001,"&lt;="&amp;$B178,BD!$M$3:$M$5001,"&lt;&gt;")=0,"",SUMIFS(BD!$M$3:$M$5001,BD!$B$3:$B$5001,U$149,BD!$A$3:$A$5001,_xlfn.MAXIFS(BD!$A$3:$A$5001,BD!$B$3:$B$5001,U$149,BD!$A$3:$A$5001,"&gt;="&amp;$C$7,BD!$A$3:$A$5001,"&lt;="&amp;$B178,BD!$M$3:$M$5001,"&lt;&gt;"))))</f>
        <v/>
      </c>
      <c r="V178" s="43" t="str">
        <f>IF(OR($B178="",$A178&gt;$B$9,V$149=""),"",IF(COUNTIFS(BD!$B$3:$B$5001,V$149,BD!$A$3:$A$5001,"&gt;="&amp;$C$7,BD!$A$3:$A$5001,"&lt;="&amp;$B178,BD!$M$3:$M$5001,"&lt;&gt;")=0,"",SUMIFS(BD!$M$3:$M$5001,BD!$B$3:$B$5001,V$149,BD!$A$3:$A$5001,_xlfn.MAXIFS(BD!$A$3:$A$5001,BD!$B$3:$B$5001,V$149,BD!$A$3:$A$5001,"&gt;="&amp;$C$7,BD!$A$3:$A$5001,"&lt;="&amp;$B178,BD!$M$3:$M$5001,"&lt;&gt;"))))</f>
        <v/>
      </c>
    </row>
    <row r="179">
      <c r="A179" s="38">
        <v>30</v>
      </c>
      <c r="B179" s="42">
        <f>$B$41</f>
        <v>46325</v>
      </c>
      <c r="C179" s="43" t="str">
        <f>IF(OR($B179="",$A179&gt;$B$9,C$149=""),"",IF(COUNTIFS(BD!$B$3:$B$5001,C$149,BD!$A$3:$A$5001,"&gt;="&amp;$C$7,BD!$A$3:$A$5001,"&lt;="&amp;$B179,BD!$M$3:$M$5001,"&lt;&gt;")=0,"",SUMIFS(BD!$M$3:$M$5001,BD!$B$3:$B$5001,C$149,BD!$A$3:$A$5001,_xlfn.MAXIFS(BD!$A$3:$A$5001,BD!$B$3:$B$5001,C$149,BD!$A$3:$A$5001,"&gt;="&amp;$C$7,BD!$A$3:$A$5001,"&lt;="&amp;$B179,BD!$M$3:$M$5001,"&lt;&gt;"))))</f>
        <v/>
      </c>
      <c r="D179" s="43" t="str">
        <f>IF(OR($B179="",$A179&gt;$B$9,D$149=""),"",IF(COUNTIFS(BD!$B$3:$B$5001,D$149,BD!$A$3:$A$5001,"&gt;="&amp;$C$7,BD!$A$3:$A$5001,"&lt;="&amp;$B179,BD!$M$3:$M$5001,"&lt;&gt;")=0,"",SUMIFS(BD!$M$3:$M$5001,BD!$B$3:$B$5001,D$149,BD!$A$3:$A$5001,_xlfn.MAXIFS(BD!$A$3:$A$5001,BD!$B$3:$B$5001,D$149,BD!$A$3:$A$5001,"&gt;="&amp;$C$7,BD!$A$3:$A$5001,"&lt;="&amp;$B179,BD!$M$3:$M$5001,"&lt;&gt;"))))</f>
        <v/>
      </c>
      <c r="E179" s="43" t="str">
        <f>IF(OR($B179="",$A179&gt;$B$9,E$149=""),"",IF(COUNTIFS(BD!$B$3:$B$5001,E$149,BD!$A$3:$A$5001,"&gt;="&amp;$C$7,BD!$A$3:$A$5001,"&lt;="&amp;$B179,BD!$M$3:$M$5001,"&lt;&gt;")=0,"",SUMIFS(BD!$M$3:$M$5001,BD!$B$3:$B$5001,E$149,BD!$A$3:$A$5001,_xlfn.MAXIFS(BD!$A$3:$A$5001,BD!$B$3:$B$5001,E$149,BD!$A$3:$A$5001,"&gt;="&amp;$C$7,BD!$A$3:$A$5001,"&lt;="&amp;$B179,BD!$M$3:$M$5001,"&lt;&gt;"))))</f>
        <v/>
      </c>
      <c r="F179" s="43" t="str">
        <f>IF(OR($B179="",$A179&gt;$B$9,F$149=""),"",IF(COUNTIFS(BD!$B$3:$B$5001,F$149,BD!$A$3:$A$5001,"&gt;="&amp;$C$7,BD!$A$3:$A$5001,"&lt;="&amp;$B179,BD!$M$3:$M$5001,"&lt;&gt;")=0,"",SUMIFS(BD!$M$3:$M$5001,BD!$B$3:$B$5001,F$149,BD!$A$3:$A$5001,_xlfn.MAXIFS(BD!$A$3:$A$5001,BD!$B$3:$B$5001,F$149,BD!$A$3:$A$5001,"&gt;="&amp;$C$7,BD!$A$3:$A$5001,"&lt;="&amp;$B179,BD!$M$3:$M$5001,"&lt;&gt;"))))</f>
        <v/>
      </c>
      <c r="G179" s="43" t="str">
        <f>IF(OR($B179="",$A179&gt;$B$9,G$149=""),"",IF(COUNTIFS(BD!$B$3:$B$5001,G$149,BD!$A$3:$A$5001,"&gt;="&amp;$C$7,BD!$A$3:$A$5001,"&lt;="&amp;$B179,BD!$M$3:$M$5001,"&lt;&gt;")=0,"",SUMIFS(BD!$M$3:$M$5001,BD!$B$3:$B$5001,G$149,BD!$A$3:$A$5001,_xlfn.MAXIFS(BD!$A$3:$A$5001,BD!$B$3:$B$5001,G$149,BD!$A$3:$A$5001,"&gt;="&amp;$C$7,BD!$A$3:$A$5001,"&lt;="&amp;$B179,BD!$M$3:$M$5001,"&lt;&gt;"))))</f>
        <v/>
      </c>
      <c r="H179" s="43" t="str">
        <f>IF(OR($B179="",$A179&gt;$B$9,H$149=""),"",IF(COUNTIFS(BD!$B$3:$B$5001,H$149,BD!$A$3:$A$5001,"&gt;="&amp;$C$7,BD!$A$3:$A$5001,"&lt;="&amp;$B179,BD!$M$3:$M$5001,"&lt;&gt;")=0,"",SUMIFS(BD!$M$3:$M$5001,BD!$B$3:$B$5001,H$149,BD!$A$3:$A$5001,_xlfn.MAXIFS(BD!$A$3:$A$5001,BD!$B$3:$B$5001,H$149,BD!$A$3:$A$5001,"&gt;="&amp;$C$7,BD!$A$3:$A$5001,"&lt;="&amp;$B179,BD!$M$3:$M$5001,"&lt;&gt;"))))</f>
        <v/>
      </c>
      <c r="I179" s="43" t="str">
        <f>IF(OR($B179="",$A179&gt;$B$9,I$149=""),"",IF(COUNTIFS(BD!$B$3:$B$5001,I$149,BD!$A$3:$A$5001,"&gt;="&amp;$C$7,BD!$A$3:$A$5001,"&lt;="&amp;$B179,BD!$M$3:$M$5001,"&lt;&gt;")=0,"",SUMIFS(BD!$M$3:$M$5001,BD!$B$3:$B$5001,I$149,BD!$A$3:$A$5001,_xlfn.MAXIFS(BD!$A$3:$A$5001,BD!$B$3:$B$5001,I$149,BD!$A$3:$A$5001,"&gt;="&amp;$C$7,BD!$A$3:$A$5001,"&lt;="&amp;$B179,BD!$M$3:$M$5001,"&lt;&gt;"))))</f>
        <v/>
      </c>
      <c r="J179" s="43" t="str">
        <f>IF(OR($B179="",$A179&gt;$B$9,J$149=""),"",IF(COUNTIFS(BD!$B$3:$B$5001,J$149,BD!$A$3:$A$5001,"&gt;="&amp;$C$7,BD!$A$3:$A$5001,"&lt;="&amp;$B179,BD!$M$3:$M$5001,"&lt;&gt;")=0,"",SUMIFS(BD!$M$3:$M$5001,BD!$B$3:$B$5001,J$149,BD!$A$3:$A$5001,_xlfn.MAXIFS(BD!$A$3:$A$5001,BD!$B$3:$B$5001,J$149,BD!$A$3:$A$5001,"&gt;="&amp;$C$7,BD!$A$3:$A$5001,"&lt;="&amp;$B179,BD!$M$3:$M$5001,"&lt;&gt;"))))</f>
        <v/>
      </c>
      <c r="K179" s="43" t="str">
        <f>IF(OR($B179="",$A179&gt;$B$9,K$149=""),"",IF(COUNTIFS(BD!$B$3:$B$5001,K$149,BD!$A$3:$A$5001,"&gt;="&amp;$C$7,BD!$A$3:$A$5001,"&lt;="&amp;$B179,BD!$M$3:$M$5001,"&lt;&gt;")=0,"",SUMIFS(BD!$M$3:$M$5001,BD!$B$3:$B$5001,K$149,BD!$A$3:$A$5001,_xlfn.MAXIFS(BD!$A$3:$A$5001,BD!$B$3:$B$5001,K$149,BD!$A$3:$A$5001,"&gt;="&amp;$C$7,BD!$A$3:$A$5001,"&lt;="&amp;$B179,BD!$M$3:$M$5001,"&lt;&gt;"))))</f>
        <v/>
      </c>
      <c r="L179" s="43" t="str">
        <f>IF(OR($B179="",$A179&gt;$B$9,L$149=""),"",IF(COUNTIFS(BD!$B$3:$B$5001,L$149,BD!$A$3:$A$5001,"&gt;="&amp;$C$7,BD!$A$3:$A$5001,"&lt;="&amp;$B179,BD!$M$3:$M$5001,"&lt;&gt;")=0,"",SUMIFS(BD!$M$3:$M$5001,BD!$B$3:$B$5001,L$149,BD!$A$3:$A$5001,_xlfn.MAXIFS(BD!$A$3:$A$5001,BD!$B$3:$B$5001,L$149,BD!$A$3:$A$5001,"&gt;="&amp;$C$7,BD!$A$3:$A$5001,"&lt;="&amp;$B179,BD!$M$3:$M$5001,"&lt;&gt;"))))</f>
        <v/>
      </c>
      <c r="M179" s="43" t="str">
        <f>IF(OR($B179="",$A179&gt;$B$9,M$149=""),"",IF(COUNTIFS(BD!$B$3:$B$5001,M$149,BD!$A$3:$A$5001,"&gt;="&amp;$C$7,BD!$A$3:$A$5001,"&lt;="&amp;$B179,BD!$M$3:$M$5001,"&lt;&gt;")=0,"",SUMIFS(BD!$M$3:$M$5001,BD!$B$3:$B$5001,M$149,BD!$A$3:$A$5001,_xlfn.MAXIFS(BD!$A$3:$A$5001,BD!$B$3:$B$5001,M$149,BD!$A$3:$A$5001,"&gt;="&amp;$C$7,BD!$A$3:$A$5001,"&lt;="&amp;$B179,BD!$M$3:$M$5001,"&lt;&gt;"))))</f>
        <v/>
      </c>
      <c r="N179" s="43" t="str">
        <f>IF(OR($B179="",$A179&gt;$B$9,N$149=""),"",IF(COUNTIFS(BD!$B$3:$B$5001,N$149,BD!$A$3:$A$5001,"&gt;="&amp;$C$7,BD!$A$3:$A$5001,"&lt;="&amp;$B179,BD!$M$3:$M$5001,"&lt;&gt;")=0,"",SUMIFS(BD!$M$3:$M$5001,BD!$B$3:$B$5001,N$149,BD!$A$3:$A$5001,_xlfn.MAXIFS(BD!$A$3:$A$5001,BD!$B$3:$B$5001,N$149,BD!$A$3:$A$5001,"&gt;="&amp;$C$7,BD!$A$3:$A$5001,"&lt;="&amp;$B179,BD!$M$3:$M$5001,"&lt;&gt;"))))</f>
        <v/>
      </c>
      <c r="O179" s="43" t="str">
        <f>IF(OR($B179="",$A179&gt;$B$9,O$149=""),"",IF(COUNTIFS(BD!$B$3:$B$5001,O$149,BD!$A$3:$A$5001,"&gt;="&amp;$C$7,BD!$A$3:$A$5001,"&lt;="&amp;$B179,BD!$M$3:$M$5001,"&lt;&gt;")=0,"",SUMIFS(BD!$M$3:$M$5001,BD!$B$3:$B$5001,O$149,BD!$A$3:$A$5001,_xlfn.MAXIFS(BD!$A$3:$A$5001,BD!$B$3:$B$5001,O$149,BD!$A$3:$A$5001,"&gt;="&amp;$C$7,BD!$A$3:$A$5001,"&lt;="&amp;$B179,BD!$M$3:$M$5001,"&lt;&gt;"))))</f>
        <v/>
      </c>
      <c r="P179" s="43" t="str">
        <f>IF(OR($B179="",$A179&gt;$B$9,P$149=""),"",IF(COUNTIFS(BD!$B$3:$B$5001,P$149,BD!$A$3:$A$5001,"&gt;="&amp;$C$7,BD!$A$3:$A$5001,"&lt;="&amp;$B179,BD!$M$3:$M$5001,"&lt;&gt;")=0,"",SUMIFS(BD!$M$3:$M$5001,BD!$B$3:$B$5001,P$149,BD!$A$3:$A$5001,_xlfn.MAXIFS(BD!$A$3:$A$5001,BD!$B$3:$B$5001,P$149,BD!$A$3:$A$5001,"&gt;="&amp;$C$7,BD!$A$3:$A$5001,"&lt;="&amp;$B179,BD!$M$3:$M$5001,"&lt;&gt;"))))</f>
        <v/>
      </c>
      <c r="Q179" s="43" t="str">
        <f>IF(OR($B179="",$A179&gt;$B$9,Q$149=""),"",IF(COUNTIFS(BD!$B$3:$B$5001,Q$149,BD!$A$3:$A$5001,"&gt;="&amp;$C$7,BD!$A$3:$A$5001,"&lt;="&amp;$B179,BD!$M$3:$M$5001,"&lt;&gt;")=0,"",SUMIFS(BD!$M$3:$M$5001,BD!$B$3:$B$5001,Q$149,BD!$A$3:$A$5001,_xlfn.MAXIFS(BD!$A$3:$A$5001,BD!$B$3:$B$5001,Q$149,BD!$A$3:$A$5001,"&gt;="&amp;$C$7,BD!$A$3:$A$5001,"&lt;="&amp;$B179,BD!$M$3:$M$5001,"&lt;&gt;"))))</f>
        <v/>
      </c>
      <c r="R179" s="43" t="str">
        <f>IF(OR($B179="",$A179&gt;$B$9,R$149=""),"",IF(COUNTIFS(BD!$B$3:$B$5001,R$149,BD!$A$3:$A$5001,"&gt;="&amp;$C$7,BD!$A$3:$A$5001,"&lt;="&amp;$B179,BD!$M$3:$M$5001,"&lt;&gt;")=0,"",SUMIFS(BD!$M$3:$M$5001,BD!$B$3:$B$5001,R$149,BD!$A$3:$A$5001,_xlfn.MAXIFS(BD!$A$3:$A$5001,BD!$B$3:$B$5001,R$149,BD!$A$3:$A$5001,"&gt;="&amp;$C$7,BD!$A$3:$A$5001,"&lt;="&amp;$B179,BD!$M$3:$M$5001,"&lt;&gt;"))))</f>
        <v/>
      </c>
      <c r="S179" s="43" t="str">
        <f>IF(OR($B179="",$A179&gt;$B$9,S$149=""),"",IF(COUNTIFS(BD!$B$3:$B$5001,S$149,BD!$A$3:$A$5001,"&gt;="&amp;$C$7,BD!$A$3:$A$5001,"&lt;="&amp;$B179,BD!$M$3:$M$5001,"&lt;&gt;")=0,"",SUMIFS(BD!$M$3:$M$5001,BD!$B$3:$B$5001,S$149,BD!$A$3:$A$5001,_xlfn.MAXIFS(BD!$A$3:$A$5001,BD!$B$3:$B$5001,S$149,BD!$A$3:$A$5001,"&gt;="&amp;$C$7,BD!$A$3:$A$5001,"&lt;="&amp;$B179,BD!$M$3:$M$5001,"&lt;&gt;"))))</f>
        <v/>
      </c>
      <c r="T179" s="43" t="str">
        <f>IF(OR($B179="",$A179&gt;$B$9,T$149=""),"",IF(COUNTIFS(BD!$B$3:$B$5001,T$149,BD!$A$3:$A$5001,"&gt;="&amp;$C$7,BD!$A$3:$A$5001,"&lt;="&amp;$B179,BD!$M$3:$M$5001,"&lt;&gt;")=0,"",SUMIFS(BD!$M$3:$M$5001,BD!$B$3:$B$5001,T$149,BD!$A$3:$A$5001,_xlfn.MAXIFS(BD!$A$3:$A$5001,BD!$B$3:$B$5001,T$149,BD!$A$3:$A$5001,"&gt;="&amp;$C$7,BD!$A$3:$A$5001,"&lt;="&amp;$B179,BD!$M$3:$M$5001,"&lt;&gt;"))))</f>
        <v/>
      </c>
      <c r="U179" s="43" t="str">
        <f>IF(OR($B179="",$A179&gt;$B$9,U$149=""),"",IF(COUNTIFS(BD!$B$3:$B$5001,U$149,BD!$A$3:$A$5001,"&gt;="&amp;$C$7,BD!$A$3:$A$5001,"&lt;="&amp;$B179,BD!$M$3:$M$5001,"&lt;&gt;")=0,"",SUMIFS(BD!$M$3:$M$5001,BD!$B$3:$B$5001,U$149,BD!$A$3:$A$5001,_xlfn.MAXIFS(BD!$A$3:$A$5001,BD!$B$3:$B$5001,U$149,BD!$A$3:$A$5001,"&gt;="&amp;$C$7,BD!$A$3:$A$5001,"&lt;="&amp;$B179,BD!$M$3:$M$5001,"&lt;&gt;"))))</f>
        <v/>
      </c>
      <c r="V179" s="43" t="str">
        <f>IF(OR($B179="",$A179&gt;$B$9,V$149=""),"",IF(COUNTIFS(BD!$B$3:$B$5001,V$149,BD!$A$3:$A$5001,"&gt;="&amp;$C$7,BD!$A$3:$A$5001,"&lt;="&amp;$B179,BD!$M$3:$M$5001,"&lt;&gt;")=0,"",SUMIFS(BD!$M$3:$M$5001,BD!$B$3:$B$5001,V$149,BD!$A$3:$A$5001,_xlfn.MAXIFS(BD!$A$3:$A$5001,BD!$B$3:$B$5001,V$149,BD!$A$3:$A$5001,"&gt;="&amp;$C$7,BD!$A$3:$A$5001,"&lt;="&amp;$B179,BD!$M$3:$M$5001,"&lt;&gt;"))))</f>
        <v/>
      </c>
    </row>
    <row r="180">
      <c r="A180" s="38">
        <v>31</v>
      </c>
      <c r="B180" s="42">
        <f>$B$42</f>
        <v>46326</v>
      </c>
      <c r="C180" s="43" t="str">
        <f>IF(OR($B180="",$A180&gt;$B$9,C$149=""),"",IF(COUNTIFS(BD!$B$3:$B$5001,C$149,BD!$A$3:$A$5001,"&gt;="&amp;$C$7,BD!$A$3:$A$5001,"&lt;="&amp;$B180,BD!$M$3:$M$5001,"&lt;&gt;")=0,"",SUMIFS(BD!$M$3:$M$5001,BD!$B$3:$B$5001,C$149,BD!$A$3:$A$5001,_xlfn.MAXIFS(BD!$A$3:$A$5001,BD!$B$3:$B$5001,C$149,BD!$A$3:$A$5001,"&gt;="&amp;$C$7,BD!$A$3:$A$5001,"&lt;="&amp;$B180,BD!$M$3:$M$5001,"&lt;&gt;"))))</f>
        <v/>
      </c>
      <c r="D180" s="43" t="str">
        <f>IF(OR($B180="",$A180&gt;$B$9,D$149=""),"",IF(COUNTIFS(BD!$B$3:$B$5001,D$149,BD!$A$3:$A$5001,"&gt;="&amp;$C$7,BD!$A$3:$A$5001,"&lt;="&amp;$B180,BD!$M$3:$M$5001,"&lt;&gt;")=0,"",SUMIFS(BD!$M$3:$M$5001,BD!$B$3:$B$5001,D$149,BD!$A$3:$A$5001,_xlfn.MAXIFS(BD!$A$3:$A$5001,BD!$B$3:$B$5001,D$149,BD!$A$3:$A$5001,"&gt;="&amp;$C$7,BD!$A$3:$A$5001,"&lt;="&amp;$B180,BD!$M$3:$M$5001,"&lt;&gt;"))))</f>
        <v/>
      </c>
      <c r="E180" s="43" t="str">
        <f>IF(OR($B180="",$A180&gt;$B$9,E$149=""),"",IF(COUNTIFS(BD!$B$3:$B$5001,E$149,BD!$A$3:$A$5001,"&gt;="&amp;$C$7,BD!$A$3:$A$5001,"&lt;="&amp;$B180,BD!$M$3:$M$5001,"&lt;&gt;")=0,"",SUMIFS(BD!$M$3:$M$5001,BD!$B$3:$B$5001,E$149,BD!$A$3:$A$5001,_xlfn.MAXIFS(BD!$A$3:$A$5001,BD!$B$3:$B$5001,E$149,BD!$A$3:$A$5001,"&gt;="&amp;$C$7,BD!$A$3:$A$5001,"&lt;="&amp;$B180,BD!$M$3:$M$5001,"&lt;&gt;"))))</f>
        <v/>
      </c>
      <c r="F180" s="43" t="str">
        <f>IF(OR($B180="",$A180&gt;$B$9,F$149=""),"",IF(COUNTIFS(BD!$B$3:$B$5001,F$149,BD!$A$3:$A$5001,"&gt;="&amp;$C$7,BD!$A$3:$A$5001,"&lt;="&amp;$B180,BD!$M$3:$M$5001,"&lt;&gt;")=0,"",SUMIFS(BD!$M$3:$M$5001,BD!$B$3:$B$5001,F$149,BD!$A$3:$A$5001,_xlfn.MAXIFS(BD!$A$3:$A$5001,BD!$B$3:$B$5001,F$149,BD!$A$3:$A$5001,"&gt;="&amp;$C$7,BD!$A$3:$A$5001,"&lt;="&amp;$B180,BD!$M$3:$M$5001,"&lt;&gt;"))))</f>
        <v/>
      </c>
      <c r="G180" s="43" t="str">
        <f>IF(OR($B180="",$A180&gt;$B$9,G$149=""),"",IF(COUNTIFS(BD!$B$3:$B$5001,G$149,BD!$A$3:$A$5001,"&gt;="&amp;$C$7,BD!$A$3:$A$5001,"&lt;="&amp;$B180,BD!$M$3:$M$5001,"&lt;&gt;")=0,"",SUMIFS(BD!$M$3:$M$5001,BD!$B$3:$B$5001,G$149,BD!$A$3:$A$5001,_xlfn.MAXIFS(BD!$A$3:$A$5001,BD!$B$3:$B$5001,G$149,BD!$A$3:$A$5001,"&gt;="&amp;$C$7,BD!$A$3:$A$5001,"&lt;="&amp;$B180,BD!$M$3:$M$5001,"&lt;&gt;"))))</f>
        <v/>
      </c>
      <c r="H180" s="43" t="str">
        <f>IF(OR($B180="",$A180&gt;$B$9,H$149=""),"",IF(COUNTIFS(BD!$B$3:$B$5001,H$149,BD!$A$3:$A$5001,"&gt;="&amp;$C$7,BD!$A$3:$A$5001,"&lt;="&amp;$B180,BD!$M$3:$M$5001,"&lt;&gt;")=0,"",SUMIFS(BD!$M$3:$M$5001,BD!$B$3:$B$5001,H$149,BD!$A$3:$A$5001,_xlfn.MAXIFS(BD!$A$3:$A$5001,BD!$B$3:$B$5001,H$149,BD!$A$3:$A$5001,"&gt;="&amp;$C$7,BD!$A$3:$A$5001,"&lt;="&amp;$B180,BD!$M$3:$M$5001,"&lt;&gt;"))))</f>
        <v/>
      </c>
      <c r="I180" s="43" t="str">
        <f>IF(OR($B180="",$A180&gt;$B$9,I$149=""),"",IF(COUNTIFS(BD!$B$3:$B$5001,I$149,BD!$A$3:$A$5001,"&gt;="&amp;$C$7,BD!$A$3:$A$5001,"&lt;="&amp;$B180,BD!$M$3:$M$5001,"&lt;&gt;")=0,"",SUMIFS(BD!$M$3:$M$5001,BD!$B$3:$B$5001,I$149,BD!$A$3:$A$5001,_xlfn.MAXIFS(BD!$A$3:$A$5001,BD!$B$3:$B$5001,I$149,BD!$A$3:$A$5001,"&gt;="&amp;$C$7,BD!$A$3:$A$5001,"&lt;="&amp;$B180,BD!$M$3:$M$5001,"&lt;&gt;"))))</f>
        <v/>
      </c>
      <c r="J180" s="43" t="str">
        <f>IF(OR($B180="",$A180&gt;$B$9,J$149=""),"",IF(COUNTIFS(BD!$B$3:$B$5001,J$149,BD!$A$3:$A$5001,"&gt;="&amp;$C$7,BD!$A$3:$A$5001,"&lt;="&amp;$B180,BD!$M$3:$M$5001,"&lt;&gt;")=0,"",SUMIFS(BD!$M$3:$M$5001,BD!$B$3:$B$5001,J$149,BD!$A$3:$A$5001,_xlfn.MAXIFS(BD!$A$3:$A$5001,BD!$B$3:$B$5001,J$149,BD!$A$3:$A$5001,"&gt;="&amp;$C$7,BD!$A$3:$A$5001,"&lt;="&amp;$B180,BD!$M$3:$M$5001,"&lt;&gt;"))))</f>
        <v/>
      </c>
      <c r="K180" s="43" t="str">
        <f>IF(OR($B180="",$A180&gt;$B$9,K$149=""),"",IF(COUNTIFS(BD!$B$3:$B$5001,K$149,BD!$A$3:$A$5001,"&gt;="&amp;$C$7,BD!$A$3:$A$5001,"&lt;="&amp;$B180,BD!$M$3:$M$5001,"&lt;&gt;")=0,"",SUMIFS(BD!$M$3:$M$5001,BD!$B$3:$B$5001,K$149,BD!$A$3:$A$5001,_xlfn.MAXIFS(BD!$A$3:$A$5001,BD!$B$3:$B$5001,K$149,BD!$A$3:$A$5001,"&gt;="&amp;$C$7,BD!$A$3:$A$5001,"&lt;="&amp;$B180,BD!$M$3:$M$5001,"&lt;&gt;"))))</f>
        <v/>
      </c>
      <c r="L180" s="43" t="str">
        <f>IF(OR($B180="",$A180&gt;$B$9,L$149=""),"",IF(COUNTIFS(BD!$B$3:$B$5001,L$149,BD!$A$3:$A$5001,"&gt;="&amp;$C$7,BD!$A$3:$A$5001,"&lt;="&amp;$B180,BD!$M$3:$M$5001,"&lt;&gt;")=0,"",SUMIFS(BD!$M$3:$M$5001,BD!$B$3:$B$5001,L$149,BD!$A$3:$A$5001,_xlfn.MAXIFS(BD!$A$3:$A$5001,BD!$B$3:$B$5001,L$149,BD!$A$3:$A$5001,"&gt;="&amp;$C$7,BD!$A$3:$A$5001,"&lt;="&amp;$B180,BD!$M$3:$M$5001,"&lt;&gt;"))))</f>
        <v/>
      </c>
      <c r="M180" s="43" t="str">
        <f>IF(OR($B180="",$A180&gt;$B$9,M$149=""),"",IF(COUNTIFS(BD!$B$3:$B$5001,M$149,BD!$A$3:$A$5001,"&gt;="&amp;$C$7,BD!$A$3:$A$5001,"&lt;="&amp;$B180,BD!$M$3:$M$5001,"&lt;&gt;")=0,"",SUMIFS(BD!$M$3:$M$5001,BD!$B$3:$B$5001,M$149,BD!$A$3:$A$5001,_xlfn.MAXIFS(BD!$A$3:$A$5001,BD!$B$3:$B$5001,M$149,BD!$A$3:$A$5001,"&gt;="&amp;$C$7,BD!$A$3:$A$5001,"&lt;="&amp;$B180,BD!$M$3:$M$5001,"&lt;&gt;"))))</f>
        <v/>
      </c>
      <c r="N180" s="43" t="str">
        <f>IF(OR($B180="",$A180&gt;$B$9,N$149=""),"",IF(COUNTIFS(BD!$B$3:$B$5001,N$149,BD!$A$3:$A$5001,"&gt;="&amp;$C$7,BD!$A$3:$A$5001,"&lt;="&amp;$B180,BD!$M$3:$M$5001,"&lt;&gt;")=0,"",SUMIFS(BD!$M$3:$M$5001,BD!$B$3:$B$5001,N$149,BD!$A$3:$A$5001,_xlfn.MAXIFS(BD!$A$3:$A$5001,BD!$B$3:$B$5001,N$149,BD!$A$3:$A$5001,"&gt;="&amp;$C$7,BD!$A$3:$A$5001,"&lt;="&amp;$B180,BD!$M$3:$M$5001,"&lt;&gt;"))))</f>
        <v/>
      </c>
      <c r="O180" s="43" t="str">
        <f>IF(OR($B180="",$A180&gt;$B$9,O$149=""),"",IF(COUNTIFS(BD!$B$3:$B$5001,O$149,BD!$A$3:$A$5001,"&gt;="&amp;$C$7,BD!$A$3:$A$5001,"&lt;="&amp;$B180,BD!$M$3:$M$5001,"&lt;&gt;")=0,"",SUMIFS(BD!$M$3:$M$5001,BD!$B$3:$B$5001,O$149,BD!$A$3:$A$5001,_xlfn.MAXIFS(BD!$A$3:$A$5001,BD!$B$3:$B$5001,O$149,BD!$A$3:$A$5001,"&gt;="&amp;$C$7,BD!$A$3:$A$5001,"&lt;="&amp;$B180,BD!$M$3:$M$5001,"&lt;&gt;"))))</f>
        <v/>
      </c>
      <c r="P180" s="43" t="str">
        <f>IF(OR($B180="",$A180&gt;$B$9,P$149=""),"",IF(COUNTIFS(BD!$B$3:$B$5001,P$149,BD!$A$3:$A$5001,"&gt;="&amp;$C$7,BD!$A$3:$A$5001,"&lt;="&amp;$B180,BD!$M$3:$M$5001,"&lt;&gt;")=0,"",SUMIFS(BD!$M$3:$M$5001,BD!$B$3:$B$5001,P$149,BD!$A$3:$A$5001,_xlfn.MAXIFS(BD!$A$3:$A$5001,BD!$B$3:$B$5001,P$149,BD!$A$3:$A$5001,"&gt;="&amp;$C$7,BD!$A$3:$A$5001,"&lt;="&amp;$B180,BD!$M$3:$M$5001,"&lt;&gt;"))))</f>
        <v/>
      </c>
      <c r="Q180" s="43" t="str">
        <f>IF(OR($B180="",$A180&gt;$B$9,Q$149=""),"",IF(COUNTIFS(BD!$B$3:$B$5001,Q$149,BD!$A$3:$A$5001,"&gt;="&amp;$C$7,BD!$A$3:$A$5001,"&lt;="&amp;$B180,BD!$M$3:$M$5001,"&lt;&gt;")=0,"",SUMIFS(BD!$M$3:$M$5001,BD!$B$3:$B$5001,Q$149,BD!$A$3:$A$5001,_xlfn.MAXIFS(BD!$A$3:$A$5001,BD!$B$3:$B$5001,Q$149,BD!$A$3:$A$5001,"&gt;="&amp;$C$7,BD!$A$3:$A$5001,"&lt;="&amp;$B180,BD!$M$3:$M$5001,"&lt;&gt;"))))</f>
        <v/>
      </c>
      <c r="R180" s="43" t="str">
        <f>IF(OR($B180="",$A180&gt;$B$9,R$149=""),"",IF(COUNTIFS(BD!$B$3:$B$5001,R$149,BD!$A$3:$A$5001,"&gt;="&amp;$C$7,BD!$A$3:$A$5001,"&lt;="&amp;$B180,BD!$M$3:$M$5001,"&lt;&gt;")=0,"",SUMIFS(BD!$M$3:$M$5001,BD!$B$3:$B$5001,R$149,BD!$A$3:$A$5001,_xlfn.MAXIFS(BD!$A$3:$A$5001,BD!$B$3:$B$5001,R$149,BD!$A$3:$A$5001,"&gt;="&amp;$C$7,BD!$A$3:$A$5001,"&lt;="&amp;$B180,BD!$M$3:$M$5001,"&lt;&gt;"))))</f>
        <v/>
      </c>
      <c r="S180" s="43" t="str">
        <f>IF(OR($B180="",$A180&gt;$B$9,S$149=""),"",IF(COUNTIFS(BD!$B$3:$B$5001,S$149,BD!$A$3:$A$5001,"&gt;="&amp;$C$7,BD!$A$3:$A$5001,"&lt;="&amp;$B180,BD!$M$3:$M$5001,"&lt;&gt;")=0,"",SUMIFS(BD!$M$3:$M$5001,BD!$B$3:$B$5001,S$149,BD!$A$3:$A$5001,_xlfn.MAXIFS(BD!$A$3:$A$5001,BD!$B$3:$B$5001,S$149,BD!$A$3:$A$5001,"&gt;="&amp;$C$7,BD!$A$3:$A$5001,"&lt;="&amp;$B180,BD!$M$3:$M$5001,"&lt;&gt;"))))</f>
        <v/>
      </c>
      <c r="T180" s="43" t="str">
        <f>IF(OR($B180="",$A180&gt;$B$9,T$149=""),"",IF(COUNTIFS(BD!$B$3:$B$5001,T$149,BD!$A$3:$A$5001,"&gt;="&amp;$C$7,BD!$A$3:$A$5001,"&lt;="&amp;$B180,BD!$M$3:$M$5001,"&lt;&gt;")=0,"",SUMIFS(BD!$M$3:$M$5001,BD!$B$3:$B$5001,T$149,BD!$A$3:$A$5001,_xlfn.MAXIFS(BD!$A$3:$A$5001,BD!$B$3:$B$5001,T$149,BD!$A$3:$A$5001,"&gt;="&amp;$C$7,BD!$A$3:$A$5001,"&lt;="&amp;$B180,BD!$M$3:$M$5001,"&lt;&gt;"))))</f>
        <v/>
      </c>
      <c r="U180" s="43" t="str">
        <f>IF(OR($B180="",$A180&gt;$B$9,U$149=""),"",IF(COUNTIFS(BD!$B$3:$B$5001,U$149,BD!$A$3:$A$5001,"&gt;="&amp;$C$7,BD!$A$3:$A$5001,"&lt;="&amp;$B180,BD!$M$3:$M$5001,"&lt;&gt;")=0,"",SUMIFS(BD!$M$3:$M$5001,BD!$B$3:$B$5001,U$149,BD!$A$3:$A$5001,_xlfn.MAXIFS(BD!$A$3:$A$5001,BD!$B$3:$B$5001,U$149,BD!$A$3:$A$5001,"&gt;="&amp;$C$7,BD!$A$3:$A$5001,"&lt;="&amp;$B180,BD!$M$3:$M$5001,"&lt;&gt;"))))</f>
        <v/>
      </c>
      <c r="V180" s="43" t="str">
        <f>IF(OR($B180="",$A180&gt;$B$9,V$149=""),"",IF(COUNTIFS(BD!$B$3:$B$5001,V$149,BD!$A$3:$A$5001,"&gt;="&amp;$C$7,BD!$A$3:$A$5001,"&lt;="&amp;$B180,BD!$M$3:$M$5001,"&lt;&gt;")=0,"",SUMIFS(BD!$M$3:$M$5001,BD!$B$3:$B$5001,V$149,BD!$A$3:$A$5001,_xlfn.MAXIFS(BD!$A$3:$A$5001,BD!$B$3:$B$5001,V$149,BD!$A$3:$A$5001,"&gt;="&amp;$C$7,BD!$A$3:$A$5001,"&lt;="&amp;$B180,BD!$M$3:$M$5001,"&lt;&gt;"))))</f>
        <v/>
      </c>
    </row>
    <row r="181">
      <c r="A181" s="44" t="inlineStr">
        <is>
          <t xml:space="preserve">Mês anterior (último)</t>
        </is>
      </c>
      <c r="C181" s="45" t="str">
        <f>IF(C$149="","",IF(COUNTIFS(BD!$B$3:$B$5001,C$149,BD!$A$3:$A$5001,"&gt;="&amp;$C$8,BD!$A$3:$A$5001,"&lt;="&amp;$D$8,BD!$M$3:$M$5001,"&lt;&gt;")=0,"",SUMIFS(BD!$M$3:$M$5001,BD!$B$3:$B$5001,C$149,BD!$A$3:$A$5001,_xlfn.MAXIFS(BD!$A$3:$A$5001,BD!$B$3:$B$5001,C$149,BD!$A$3:$A$5001,"&gt;="&amp;$C$8,BD!$A$3:$A$5001,"&lt;="&amp;$D$8,BD!$M$3:$M$5001,"&lt;&gt;"))))</f>
        <v/>
      </c>
      <c r="D181" s="45" t="str">
        <f>IF(D$149="","",IF(COUNTIFS(BD!$B$3:$B$5001,D$149,BD!$A$3:$A$5001,"&gt;="&amp;$C$8,BD!$A$3:$A$5001,"&lt;="&amp;$D$8,BD!$M$3:$M$5001,"&lt;&gt;")=0,"",SUMIFS(BD!$M$3:$M$5001,BD!$B$3:$B$5001,D$149,BD!$A$3:$A$5001,_xlfn.MAXIFS(BD!$A$3:$A$5001,BD!$B$3:$B$5001,D$149,BD!$A$3:$A$5001,"&gt;="&amp;$C$8,BD!$A$3:$A$5001,"&lt;="&amp;$D$8,BD!$M$3:$M$5001,"&lt;&gt;"))))</f>
        <v/>
      </c>
      <c r="E181" s="45" t="str">
        <f>IF(E$149="","",IF(COUNTIFS(BD!$B$3:$B$5001,E$149,BD!$A$3:$A$5001,"&gt;="&amp;$C$8,BD!$A$3:$A$5001,"&lt;="&amp;$D$8,BD!$M$3:$M$5001,"&lt;&gt;")=0,"",SUMIFS(BD!$M$3:$M$5001,BD!$B$3:$B$5001,E$149,BD!$A$3:$A$5001,_xlfn.MAXIFS(BD!$A$3:$A$5001,BD!$B$3:$B$5001,E$149,BD!$A$3:$A$5001,"&gt;="&amp;$C$8,BD!$A$3:$A$5001,"&lt;="&amp;$D$8,BD!$M$3:$M$5001,"&lt;&gt;"))))</f>
        <v/>
      </c>
      <c r="F181" s="45" t="str">
        <f>IF(F$149="","",IF(COUNTIFS(BD!$B$3:$B$5001,F$149,BD!$A$3:$A$5001,"&gt;="&amp;$C$8,BD!$A$3:$A$5001,"&lt;="&amp;$D$8,BD!$M$3:$M$5001,"&lt;&gt;")=0,"",SUMIFS(BD!$M$3:$M$5001,BD!$B$3:$B$5001,F$149,BD!$A$3:$A$5001,_xlfn.MAXIFS(BD!$A$3:$A$5001,BD!$B$3:$B$5001,F$149,BD!$A$3:$A$5001,"&gt;="&amp;$C$8,BD!$A$3:$A$5001,"&lt;="&amp;$D$8,BD!$M$3:$M$5001,"&lt;&gt;"))))</f>
        <v/>
      </c>
      <c r="G181" s="45" t="str">
        <f>IF(G$149="","",IF(COUNTIFS(BD!$B$3:$B$5001,G$149,BD!$A$3:$A$5001,"&gt;="&amp;$C$8,BD!$A$3:$A$5001,"&lt;="&amp;$D$8,BD!$M$3:$M$5001,"&lt;&gt;")=0,"",SUMIFS(BD!$M$3:$M$5001,BD!$B$3:$B$5001,G$149,BD!$A$3:$A$5001,_xlfn.MAXIFS(BD!$A$3:$A$5001,BD!$B$3:$B$5001,G$149,BD!$A$3:$A$5001,"&gt;="&amp;$C$8,BD!$A$3:$A$5001,"&lt;="&amp;$D$8,BD!$M$3:$M$5001,"&lt;&gt;"))))</f>
        <v/>
      </c>
      <c r="H181" s="45" t="str">
        <f>IF(H$149="","",IF(COUNTIFS(BD!$B$3:$B$5001,H$149,BD!$A$3:$A$5001,"&gt;="&amp;$C$8,BD!$A$3:$A$5001,"&lt;="&amp;$D$8,BD!$M$3:$M$5001,"&lt;&gt;")=0,"",SUMIFS(BD!$M$3:$M$5001,BD!$B$3:$B$5001,H$149,BD!$A$3:$A$5001,_xlfn.MAXIFS(BD!$A$3:$A$5001,BD!$B$3:$B$5001,H$149,BD!$A$3:$A$5001,"&gt;="&amp;$C$8,BD!$A$3:$A$5001,"&lt;="&amp;$D$8,BD!$M$3:$M$5001,"&lt;&gt;"))))</f>
        <v/>
      </c>
      <c r="I181" s="45" t="str">
        <f>IF(I$149="","",IF(COUNTIFS(BD!$B$3:$B$5001,I$149,BD!$A$3:$A$5001,"&gt;="&amp;$C$8,BD!$A$3:$A$5001,"&lt;="&amp;$D$8,BD!$M$3:$M$5001,"&lt;&gt;")=0,"",SUMIFS(BD!$M$3:$M$5001,BD!$B$3:$B$5001,I$149,BD!$A$3:$A$5001,_xlfn.MAXIFS(BD!$A$3:$A$5001,BD!$B$3:$B$5001,I$149,BD!$A$3:$A$5001,"&gt;="&amp;$C$8,BD!$A$3:$A$5001,"&lt;="&amp;$D$8,BD!$M$3:$M$5001,"&lt;&gt;"))))</f>
        <v/>
      </c>
      <c r="J181" s="45" t="str">
        <f>IF(J$149="","",IF(COUNTIFS(BD!$B$3:$B$5001,J$149,BD!$A$3:$A$5001,"&gt;="&amp;$C$8,BD!$A$3:$A$5001,"&lt;="&amp;$D$8,BD!$M$3:$M$5001,"&lt;&gt;")=0,"",SUMIFS(BD!$M$3:$M$5001,BD!$B$3:$B$5001,J$149,BD!$A$3:$A$5001,_xlfn.MAXIFS(BD!$A$3:$A$5001,BD!$B$3:$B$5001,J$149,BD!$A$3:$A$5001,"&gt;="&amp;$C$8,BD!$A$3:$A$5001,"&lt;="&amp;$D$8,BD!$M$3:$M$5001,"&lt;&gt;"))))</f>
        <v/>
      </c>
      <c r="K181" s="45" t="str">
        <f>IF(K$149="","",IF(COUNTIFS(BD!$B$3:$B$5001,K$149,BD!$A$3:$A$5001,"&gt;="&amp;$C$8,BD!$A$3:$A$5001,"&lt;="&amp;$D$8,BD!$M$3:$M$5001,"&lt;&gt;")=0,"",SUMIFS(BD!$M$3:$M$5001,BD!$B$3:$B$5001,K$149,BD!$A$3:$A$5001,_xlfn.MAXIFS(BD!$A$3:$A$5001,BD!$B$3:$B$5001,K$149,BD!$A$3:$A$5001,"&gt;="&amp;$C$8,BD!$A$3:$A$5001,"&lt;="&amp;$D$8,BD!$M$3:$M$5001,"&lt;&gt;"))))</f>
        <v/>
      </c>
      <c r="L181" s="45" t="str">
        <f>IF(L$149="","",IF(COUNTIFS(BD!$B$3:$B$5001,L$149,BD!$A$3:$A$5001,"&gt;="&amp;$C$8,BD!$A$3:$A$5001,"&lt;="&amp;$D$8,BD!$M$3:$M$5001,"&lt;&gt;")=0,"",SUMIFS(BD!$M$3:$M$5001,BD!$B$3:$B$5001,L$149,BD!$A$3:$A$5001,_xlfn.MAXIFS(BD!$A$3:$A$5001,BD!$B$3:$B$5001,L$149,BD!$A$3:$A$5001,"&gt;="&amp;$C$8,BD!$A$3:$A$5001,"&lt;="&amp;$D$8,BD!$M$3:$M$5001,"&lt;&gt;"))))</f>
        <v/>
      </c>
      <c r="M181" s="45" t="str">
        <f>IF(M$149="","",IF(COUNTIFS(BD!$B$3:$B$5001,M$149,BD!$A$3:$A$5001,"&gt;="&amp;$C$8,BD!$A$3:$A$5001,"&lt;="&amp;$D$8,BD!$M$3:$M$5001,"&lt;&gt;")=0,"",SUMIFS(BD!$M$3:$M$5001,BD!$B$3:$B$5001,M$149,BD!$A$3:$A$5001,_xlfn.MAXIFS(BD!$A$3:$A$5001,BD!$B$3:$B$5001,M$149,BD!$A$3:$A$5001,"&gt;="&amp;$C$8,BD!$A$3:$A$5001,"&lt;="&amp;$D$8,BD!$M$3:$M$5001,"&lt;&gt;"))))</f>
        <v/>
      </c>
      <c r="N181" s="45" t="str">
        <f>IF(N$149="","",IF(COUNTIFS(BD!$B$3:$B$5001,N$149,BD!$A$3:$A$5001,"&gt;="&amp;$C$8,BD!$A$3:$A$5001,"&lt;="&amp;$D$8,BD!$M$3:$M$5001,"&lt;&gt;")=0,"",SUMIFS(BD!$M$3:$M$5001,BD!$B$3:$B$5001,N$149,BD!$A$3:$A$5001,_xlfn.MAXIFS(BD!$A$3:$A$5001,BD!$B$3:$B$5001,N$149,BD!$A$3:$A$5001,"&gt;="&amp;$C$8,BD!$A$3:$A$5001,"&lt;="&amp;$D$8,BD!$M$3:$M$5001,"&lt;&gt;"))))</f>
        <v/>
      </c>
      <c r="O181" s="45" t="str">
        <f>IF(O$149="","",IF(COUNTIFS(BD!$B$3:$B$5001,O$149,BD!$A$3:$A$5001,"&gt;="&amp;$C$8,BD!$A$3:$A$5001,"&lt;="&amp;$D$8,BD!$M$3:$M$5001,"&lt;&gt;")=0,"",SUMIFS(BD!$M$3:$M$5001,BD!$B$3:$B$5001,O$149,BD!$A$3:$A$5001,_xlfn.MAXIFS(BD!$A$3:$A$5001,BD!$B$3:$B$5001,O$149,BD!$A$3:$A$5001,"&gt;="&amp;$C$8,BD!$A$3:$A$5001,"&lt;="&amp;$D$8,BD!$M$3:$M$5001,"&lt;&gt;"))))</f>
        <v/>
      </c>
      <c r="P181" s="45" t="str">
        <f>IF(P$149="","",IF(COUNTIFS(BD!$B$3:$B$5001,P$149,BD!$A$3:$A$5001,"&gt;="&amp;$C$8,BD!$A$3:$A$5001,"&lt;="&amp;$D$8,BD!$M$3:$M$5001,"&lt;&gt;")=0,"",SUMIFS(BD!$M$3:$M$5001,BD!$B$3:$B$5001,P$149,BD!$A$3:$A$5001,_xlfn.MAXIFS(BD!$A$3:$A$5001,BD!$B$3:$B$5001,P$149,BD!$A$3:$A$5001,"&gt;="&amp;$C$8,BD!$A$3:$A$5001,"&lt;="&amp;$D$8,BD!$M$3:$M$5001,"&lt;&gt;"))))</f>
        <v/>
      </c>
      <c r="Q181" s="45" t="str">
        <f>IF(Q$149="","",IF(COUNTIFS(BD!$B$3:$B$5001,Q$149,BD!$A$3:$A$5001,"&gt;="&amp;$C$8,BD!$A$3:$A$5001,"&lt;="&amp;$D$8,BD!$M$3:$M$5001,"&lt;&gt;")=0,"",SUMIFS(BD!$M$3:$M$5001,BD!$B$3:$B$5001,Q$149,BD!$A$3:$A$5001,_xlfn.MAXIFS(BD!$A$3:$A$5001,BD!$B$3:$B$5001,Q$149,BD!$A$3:$A$5001,"&gt;="&amp;$C$8,BD!$A$3:$A$5001,"&lt;="&amp;$D$8,BD!$M$3:$M$5001,"&lt;&gt;"))))</f>
        <v/>
      </c>
      <c r="R181" s="45" t="str">
        <f>IF(R$149="","",IF(COUNTIFS(BD!$B$3:$B$5001,R$149,BD!$A$3:$A$5001,"&gt;="&amp;$C$8,BD!$A$3:$A$5001,"&lt;="&amp;$D$8,BD!$M$3:$M$5001,"&lt;&gt;")=0,"",SUMIFS(BD!$M$3:$M$5001,BD!$B$3:$B$5001,R$149,BD!$A$3:$A$5001,_xlfn.MAXIFS(BD!$A$3:$A$5001,BD!$B$3:$B$5001,R$149,BD!$A$3:$A$5001,"&gt;="&amp;$C$8,BD!$A$3:$A$5001,"&lt;="&amp;$D$8,BD!$M$3:$M$5001,"&lt;&gt;"))))</f>
        <v/>
      </c>
      <c r="S181" s="45" t="str">
        <f>IF(S$149="","",IF(COUNTIFS(BD!$B$3:$B$5001,S$149,BD!$A$3:$A$5001,"&gt;="&amp;$C$8,BD!$A$3:$A$5001,"&lt;="&amp;$D$8,BD!$M$3:$M$5001,"&lt;&gt;")=0,"",SUMIFS(BD!$M$3:$M$5001,BD!$B$3:$B$5001,S$149,BD!$A$3:$A$5001,_xlfn.MAXIFS(BD!$A$3:$A$5001,BD!$B$3:$B$5001,S$149,BD!$A$3:$A$5001,"&gt;="&amp;$C$8,BD!$A$3:$A$5001,"&lt;="&amp;$D$8,BD!$M$3:$M$5001,"&lt;&gt;"))))</f>
        <v/>
      </c>
      <c r="T181" s="45" t="str">
        <f>IF(T$149="","",IF(COUNTIFS(BD!$B$3:$B$5001,T$149,BD!$A$3:$A$5001,"&gt;="&amp;$C$8,BD!$A$3:$A$5001,"&lt;="&amp;$D$8,BD!$M$3:$M$5001,"&lt;&gt;")=0,"",SUMIFS(BD!$M$3:$M$5001,BD!$B$3:$B$5001,T$149,BD!$A$3:$A$5001,_xlfn.MAXIFS(BD!$A$3:$A$5001,BD!$B$3:$B$5001,T$149,BD!$A$3:$A$5001,"&gt;="&amp;$C$8,BD!$A$3:$A$5001,"&lt;="&amp;$D$8,BD!$M$3:$M$5001,"&lt;&gt;"))))</f>
        <v/>
      </c>
      <c r="U181" s="45" t="str">
        <f>IF(U$149="","",IF(COUNTIFS(BD!$B$3:$B$5001,U$149,BD!$A$3:$A$5001,"&gt;="&amp;$C$8,BD!$A$3:$A$5001,"&lt;="&amp;$D$8,BD!$M$3:$M$5001,"&lt;&gt;")=0,"",SUMIFS(BD!$M$3:$M$5001,BD!$B$3:$B$5001,U$149,BD!$A$3:$A$5001,_xlfn.MAXIFS(BD!$A$3:$A$5001,BD!$B$3:$B$5001,U$149,BD!$A$3:$A$5001,"&gt;="&amp;$C$8,BD!$A$3:$A$5001,"&lt;="&amp;$D$8,BD!$M$3:$M$5001,"&lt;&gt;"))))</f>
        <v/>
      </c>
      <c r="V181" s="45" t="str">
        <f>IF(V$149="","",IF(COUNTIFS(BD!$B$3:$B$5001,V$149,BD!$A$3:$A$5001,"&gt;="&amp;$C$8,BD!$A$3:$A$5001,"&lt;="&amp;$D$8,BD!$M$3:$M$5001,"&lt;&gt;")=0,"",SUMIFS(BD!$M$3:$M$5001,BD!$B$3:$B$5001,V$149,BD!$A$3:$A$5001,_xlfn.MAXIFS(BD!$A$3:$A$5001,BD!$B$3:$B$5001,V$149,BD!$A$3:$A$5001,"&gt;="&amp;$C$8,BD!$A$3:$A$5001,"&lt;="&amp;$D$8,BD!$M$3:$M$5001,"&lt;&gt;"))))</f>
        <v/>
      </c>
    </row>
    <row r="182">
      <c r="A182" s="44" t="inlineStr">
        <is>
          <t xml:space="preserve">Depósito</t>
        </is>
      </c>
      <c r="C182" s="38" t="str">
        <f>IF(Config!$C$10="","JSL",Config!$C$10)</f>
        <v>JSL</v>
      </c>
      <c r="D182" s="38" t="str">
        <f>IF(Config!$C$11="","JSL",Config!$C$11)</f>
        <v>JSL</v>
      </c>
      <c r="E182" s="38" t="str">
        <f>IF(Config!$C$12="","JSL",Config!$C$12)</f>
        <v>JSL</v>
      </c>
      <c r="F182" s="38" t="str">
        <f>IF(Config!$C$13="","JSL",Config!$C$13)</f>
        <v>JSL</v>
      </c>
      <c r="G182" s="38" t="str">
        <f>IF(Config!$C$14="","JSL",Config!$C$14)</f>
        <v>JSL</v>
      </c>
      <c r="H182" s="38" t="str">
        <f>IF(Config!$C$15="","JSL",Config!$C$15)</f>
        <v>JSL</v>
      </c>
      <c r="I182" s="38" t="str">
        <f>IF(Config!$C$16="","JSL",Config!$C$16)</f>
        <v>JSL</v>
      </c>
      <c r="J182" s="38" t="str">
        <f>IF(Config!$C$17="","JSL",Config!$C$17)</f>
        <v>JSL</v>
      </c>
      <c r="K182" s="38" t="str">
        <f>IF(Config!$C$18="","JSL",Config!$C$18)</f>
        <v>JSL</v>
      </c>
      <c r="L182" s="38" t="str">
        <f>IF(Config!$C$19="","JSL",Config!$C$19)</f>
        <v>JSL</v>
      </c>
      <c r="M182" s="38" t="str">
        <f>IF(Config!$C$20="","JSL",Config!$C$20)</f>
        <v>JSL</v>
      </c>
      <c r="N182" s="38" t="str">
        <f>IF(Config!$C$21="","JSL",Config!$C$21)</f>
        <v>JSL</v>
      </c>
      <c r="O182" s="38" t="str">
        <f>IF(Config!$C$22="","JSL",Config!$C$22)</f>
        <v>JSL</v>
      </c>
      <c r="P182" s="38" t="str">
        <f>IF(Config!$C$23="","JSL",Config!$C$23)</f>
        <v>JSL</v>
      </c>
      <c r="Q182" s="38" t="str">
        <f>IF(Config!$C$24="","JSL",Config!$C$24)</f>
        <v>JSL</v>
      </c>
      <c r="R182" s="38" t="str">
        <f>IF(Config!$C$25="","JSL",Config!$C$25)</f>
        <v>JSL</v>
      </c>
      <c r="S182" s="38" t="str">
        <f>IF(Config!$C$26="","JSL",Config!$C$26)</f>
        <v>JSL</v>
      </c>
      <c r="T182" s="38" t="str">
        <f>IF(Config!$C$27="","JSL",Config!$C$27)</f>
        <v>JSL</v>
      </c>
      <c r="U182" s="38" t="str">
        <f>IF(Config!$C$28="","JSL",Config!$C$28)</f>
        <v>JSL</v>
      </c>
      <c r="V182" s="38" t="str">
        <f>IF(Config!$C$29="","JSL",Config!$C$29)</f>
        <v>JSL</v>
      </c>
    </row>
    <row r="184">
      <c r="A184" s="37" t="inlineStr">
        <is>
          <t xml:space="preserve">Posições Disponíveis</t>
        </is>
      </c>
      <c r="B184" s="37" t="inlineStr">
        <is>
          <t xml:space="preserve">Data</t>
        </is>
      </c>
      <c r="C184" s="37" t="str">
        <f>Config!$B$10&amp;""</f>
        <v>Barry Callebaut</v>
      </c>
      <c r="D184" s="37" t="str">
        <f>Config!$B$11&amp;""</f>
        <v>GM</v>
      </c>
      <c r="E184" s="37" t="str">
        <f>Config!$B$12&amp;""</f>
        <v>Mondelez</v>
      </c>
      <c r="F184" s="37" t="str">
        <f>Config!$B$13&amp;""</f>
        <v>Nestlé</v>
      </c>
      <c r="G184" s="37" t="str">
        <f>Config!$B$14&amp;""</f>
        <v>PMB</v>
      </c>
      <c r="H184" s="37" t="str">
        <f>Config!$B$15&amp;""</f>
        <v/>
      </c>
      <c r="I184" s="37" t="str">
        <f>Config!$B$16&amp;""</f>
        <v/>
      </c>
      <c r="J184" s="37" t="str">
        <f>Config!$B$17&amp;""</f>
        <v/>
      </c>
      <c r="K184" s="37" t="str">
        <f>Config!$B$18&amp;""</f>
        <v/>
      </c>
      <c r="L184" s="37" t="str">
        <f>Config!$B$19&amp;""</f>
        <v/>
      </c>
      <c r="M184" s="37" t="str">
        <f>Config!$B$20&amp;""</f>
        <v/>
      </c>
      <c r="N184" s="37" t="str">
        <f>Config!$B$21&amp;""</f>
        <v/>
      </c>
      <c r="O184" s="37" t="str">
        <f>Config!$B$22&amp;""</f>
        <v/>
      </c>
      <c r="P184" s="37" t="str">
        <f>Config!$B$23&amp;""</f>
        <v/>
      </c>
      <c r="Q184" s="37" t="str">
        <f>Config!$B$24&amp;""</f>
        <v/>
      </c>
      <c r="R184" s="37" t="str">
        <f>Config!$B$25&amp;""</f>
        <v/>
      </c>
      <c r="S184" s="37" t="str">
        <f>Config!$B$26&amp;""</f>
        <v/>
      </c>
      <c r="T184" s="37" t="str">
        <f>Config!$B$27&amp;""</f>
        <v/>
      </c>
      <c r="U184" s="37" t="str">
        <f>Config!$B$28&amp;""</f>
        <v/>
      </c>
      <c r="V184" s="37" t="str">
        <f>Config!$B$29&amp;""</f>
        <v/>
      </c>
    </row>
    <row r="185">
      <c r="A185" s="38">
        <v>1</v>
      </c>
      <c r="B185" s="42">
        <f>$B$12</f>
        <v>46296</v>
      </c>
      <c r="C185" s="43" t="str">
        <f>IF(OR($B185="",$A185&gt;$B$9,C$184=""),"",IF(COUNTIFS(BD!$B$3:$B$5001,C$184,BD!$A$3:$A$5001,"&gt;="&amp;$C$7,BD!$A$3:$A$5001,"&lt;="&amp;$B185,BD!$L$3:$L$5001,"&lt;&gt;")=0,"",SUMIFS(BD!$L$3:$L$5001,BD!$B$3:$B$5001,C$184,BD!$A$3:$A$5001,_xlfn.MAXIFS(BD!$A$3:$A$5001,BD!$B$3:$B$5001,C$184,BD!$A$3:$A$5001,"&gt;="&amp;$C$7,BD!$A$3:$A$5001,"&lt;="&amp;$B185,BD!$L$3:$L$5001,"&lt;&gt;"))))</f>
        <v/>
      </c>
      <c r="D185" s="43" t="str">
        <f>IF(OR($B185="",$A185&gt;$B$9,D$184=""),"",IF(COUNTIFS(BD!$B$3:$B$5001,D$184,BD!$A$3:$A$5001,"&gt;="&amp;$C$7,BD!$A$3:$A$5001,"&lt;="&amp;$B185,BD!$L$3:$L$5001,"&lt;&gt;")=0,"",SUMIFS(BD!$L$3:$L$5001,BD!$B$3:$B$5001,D$184,BD!$A$3:$A$5001,_xlfn.MAXIFS(BD!$A$3:$A$5001,BD!$B$3:$B$5001,D$184,BD!$A$3:$A$5001,"&gt;="&amp;$C$7,BD!$A$3:$A$5001,"&lt;="&amp;$B185,BD!$L$3:$L$5001,"&lt;&gt;"))))</f>
        <v/>
      </c>
      <c r="E185" s="43" t="str">
        <f>IF(OR($B185="",$A185&gt;$B$9,E$184=""),"",IF(COUNTIFS(BD!$B$3:$B$5001,E$184,BD!$A$3:$A$5001,"&gt;="&amp;$C$7,BD!$A$3:$A$5001,"&lt;="&amp;$B185,BD!$L$3:$L$5001,"&lt;&gt;")=0,"",SUMIFS(BD!$L$3:$L$5001,BD!$B$3:$B$5001,E$184,BD!$A$3:$A$5001,_xlfn.MAXIFS(BD!$A$3:$A$5001,BD!$B$3:$B$5001,E$184,BD!$A$3:$A$5001,"&gt;="&amp;$C$7,BD!$A$3:$A$5001,"&lt;="&amp;$B185,BD!$L$3:$L$5001,"&lt;&gt;"))))</f>
        <v/>
      </c>
      <c r="F185" s="43" t="str">
        <f>IF(OR($B185="",$A185&gt;$B$9,F$184=""),"",IF(COUNTIFS(BD!$B$3:$B$5001,F$184,BD!$A$3:$A$5001,"&gt;="&amp;$C$7,BD!$A$3:$A$5001,"&lt;="&amp;$B185,BD!$L$3:$L$5001,"&lt;&gt;")=0,"",SUMIFS(BD!$L$3:$L$5001,BD!$B$3:$B$5001,F$184,BD!$A$3:$A$5001,_xlfn.MAXIFS(BD!$A$3:$A$5001,BD!$B$3:$B$5001,F$184,BD!$A$3:$A$5001,"&gt;="&amp;$C$7,BD!$A$3:$A$5001,"&lt;="&amp;$B185,BD!$L$3:$L$5001,"&lt;&gt;"))))</f>
        <v/>
      </c>
      <c r="G185" s="43" t="str">
        <f>IF(OR($B185="",$A185&gt;$B$9,G$184=""),"",IF(COUNTIFS(BD!$B$3:$B$5001,G$184,BD!$A$3:$A$5001,"&gt;="&amp;$C$7,BD!$A$3:$A$5001,"&lt;="&amp;$B185,BD!$L$3:$L$5001,"&lt;&gt;")=0,"",SUMIFS(BD!$L$3:$L$5001,BD!$B$3:$B$5001,G$184,BD!$A$3:$A$5001,_xlfn.MAXIFS(BD!$A$3:$A$5001,BD!$B$3:$B$5001,G$184,BD!$A$3:$A$5001,"&gt;="&amp;$C$7,BD!$A$3:$A$5001,"&lt;="&amp;$B185,BD!$L$3:$L$5001,"&lt;&gt;"))))</f>
        <v/>
      </c>
      <c r="H185" s="43" t="str">
        <f>IF(OR($B185="",$A185&gt;$B$9,H$184=""),"",IF(COUNTIFS(BD!$B$3:$B$5001,H$184,BD!$A$3:$A$5001,"&gt;="&amp;$C$7,BD!$A$3:$A$5001,"&lt;="&amp;$B185,BD!$L$3:$L$5001,"&lt;&gt;")=0,"",SUMIFS(BD!$L$3:$L$5001,BD!$B$3:$B$5001,H$184,BD!$A$3:$A$5001,_xlfn.MAXIFS(BD!$A$3:$A$5001,BD!$B$3:$B$5001,H$184,BD!$A$3:$A$5001,"&gt;="&amp;$C$7,BD!$A$3:$A$5001,"&lt;="&amp;$B185,BD!$L$3:$L$5001,"&lt;&gt;"))))</f>
        <v/>
      </c>
      <c r="I185" s="43" t="str">
        <f>IF(OR($B185="",$A185&gt;$B$9,I$184=""),"",IF(COUNTIFS(BD!$B$3:$B$5001,I$184,BD!$A$3:$A$5001,"&gt;="&amp;$C$7,BD!$A$3:$A$5001,"&lt;="&amp;$B185,BD!$L$3:$L$5001,"&lt;&gt;")=0,"",SUMIFS(BD!$L$3:$L$5001,BD!$B$3:$B$5001,I$184,BD!$A$3:$A$5001,_xlfn.MAXIFS(BD!$A$3:$A$5001,BD!$B$3:$B$5001,I$184,BD!$A$3:$A$5001,"&gt;="&amp;$C$7,BD!$A$3:$A$5001,"&lt;="&amp;$B185,BD!$L$3:$L$5001,"&lt;&gt;"))))</f>
        <v/>
      </c>
      <c r="J185" s="43" t="str">
        <f>IF(OR($B185="",$A185&gt;$B$9,J$184=""),"",IF(COUNTIFS(BD!$B$3:$B$5001,J$184,BD!$A$3:$A$5001,"&gt;="&amp;$C$7,BD!$A$3:$A$5001,"&lt;="&amp;$B185,BD!$L$3:$L$5001,"&lt;&gt;")=0,"",SUMIFS(BD!$L$3:$L$5001,BD!$B$3:$B$5001,J$184,BD!$A$3:$A$5001,_xlfn.MAXIFS(BD!$A$3:$A$5001,BD!$B$3:$B$5001,J$184,BD!$A$3:$A$5001,"&gt;="&amp;$C$7,BD!$A$3:$A$5001,"&lt;="&amp;$B185,BD!$L$3:$L$5001,"&lt;&gt;"))))</f>
        <v/>
      </c>
      <c r="K185" s="43" t="str">
        <f>IF(OR($B185="",$A185&gt;$B$9,K$184=""),"",IF(COUNTIFS(BD!$B$3:$B$5001,K$184,BD!$A$3:$A$5001,"&gt;="&amp;$C$7,BD!$A$3:$A$5001,"&lt;="&amp;$B185,BD!$L$3:$L$5001,"&lt;&gt;")=0,"",SUMIFS(BD!$L$3:$L$5001,BD!$B$3:$B$5001,K$184,BD!$A$3:$A$5001,_xlfn.MAXIFS(BD!$A$3:$A$5001,BD!$B$3:$B$5001,K$184,BD!$A$3:$A$5001,"&gt;="&amp;$C$7,BD!$A$3:$A$5001,"&lt;="&amp;$B185,BD!$L$3:$L$5001,"&lt;&gt;"))))</f>
        <v/>
      </c>
      <c r="L185" s="43" t="str">
        <f>IF(OR($B185="",$A185&gt;$B$9,L$184=""),"",IF(COUNTIFS(BD!$B$3:$B$5001,L$184,BD!$A$3:$A$5001,"&gt;="&amp;$C$7,BD!$A$3:$A$5001,"&lt;="&amp;$B185,BD!$L$3:$L$5001,"&lt;&gt;")=0,"",SUMIFS(BD!$L$3:$L$5001,BD!$B$3:$B$5001,L$184,BD!$A$3:$A$5001,_xlfn.MAXIFS(BD!$A$3:$A$5001,BD!$B$3:$B$5001,L$184,BD!$A$3:$A$5001,"&gt;="&amp;$C$7,BD!$A$3:$A$5001,"&lt;="&amp;$B185,BD!$L$3:$L$5001,"&lt;&gt;"))))</f>
        <v/>
      </c>
      <c r="M185" s="43" t="str">
        <f>IF(OR($B185="",$A185&gt;$B$9,M$184=""),"",IF(COUNTIFS(BD!$B$3:$B$5001,M$184,BD!$A$3:$A$5001,"&gt;="&amp;$C$7,BD!$A$3:$A$5001,"&lt;="&amp;$B185,BD!$L$3:$L$5001,"&lt;&gt;")=0,"",SUMIFS(BD!$L$3:$L$5001,BD!$B$3:$B$5001,M$184,BD!$A$3:$A$5001,_xlfn.MAXIFS(BD!$A$3:$A$5001,BD!$B$3:$B$5001,M$184,BD!$A$3:$A$5001,"&gt;="&amp;$C$7,BD!$A$3:$A$5001,"&lt;="&amp;$B185,BD!$L$3:$L$5001,"&lt;&gt;"))))</f>
        <v/>
      </c>
      <c r="N185" s="43" t="str">
        <f>IF(OR($B185="",$A185&gt;$B$9,N$184=""),"",IF(COUNTIFS(BD!$B$3:$B$5001,N$184,BD!$A$3:$A$5001,"&gt;="&amp;$C$7,BD!$A$3:$A$5001,"&lt;="&amp;$B185,BD!$L$3:$L$5001,"&lt;&gt;")=0,"",SUMIFS(BD!$L$3:$L$5001,BD!$B$3:$B$5001,N$184,BD!$A$3:$A$5001,_xlfn.MAXIFS(BD!$A$3:$A$5001,BD!$B$3:$B$5001,N$184,BD!$A$3:$A$5001,"&gt;="&amp;$C$7,BD!$A$3:$A$5001,"&lt;="&amp;$B185,BD!$L$3:$L$5001,"&lt;&gt;"))))</f>
        <v/>
      </c>
      <c r="O185" s="43" t="str">
        <f>IF(OR($B185="",$A185&gt;$B$9,O$184=""),"",IF(COUNTIFS(BD!$B$3:$B$5001,O$184,BD!$A$3:$A$5001,"&gt;="&amp;$C$7,BD!$A$3:$A$5001,"&lt;="&amp;$B185,BD!$L$3:$L$5001,"&lt;&gt;")=0,"",SUMIFS(BD!$L$3:$L$5001,BD!$B$3:$B$5001,O$184,BD!$A$3:$A$5001,_xlfn.MAXIFS(BD!$A$3:$A$5001,BD!$B$3:$B$5001,O$184,BD!$A$3:$A$5001,"&gt;="&amp;$C$7,BD!$A$3:$A$5001,"&lt;="&amp;$B185,BD!$L$3:$L$5001,"&lt;&gt;"))))</f>
        <v/>
      </c>
      <c r="P185" s="43" t="str">
        <f>IF(OR($B185="",$A185&gt;$B$9,P$184=""),"",IF(COUNTIFS(BD!$B$3:$B$5001,P$184,BD!$A$3:$A$5001,"&gt;="&amp;$C$7,BD!$A$3:$A$5001,"&lt;="&amp;$B185,BD!$L$3:$L$5001,"&lt;&gt;")=0,"",SUMIFS(BD!$L$3:$L$5001,BD!$B$3:$B$5001,P$184,BD!$A$3:$A$5001,_xlfn.MAXIFS(BD!$A$3:$A$5001,BD!$B$3:$B$5001,P$184,BD!$A$3:$A$5001,"&gt;="&amp;$C$7,BD!$A$3:$A$5001,"&lt;="&amp;$B185,BD!$L$3:$L$5001,"&lt;&gt;"))))</f>
        <v/>
      </c>
      <c r="Q185" s="43" t="str">
        <f>IF(OR($B185="",$A185&gt;$B$9,Q$184=""),"",IF(COUNTIFS(BD!$B$3:$B$5001,Q$184,BD!$A$3:$A$5001,"&gt;="&amp;$C$7,BD!$A$3:$A$5001,"&lt;="&amp;$B185,BD!$L$3:$L$5001,"&lt;&gt;")=0,"",SUMIFS(BD!$L$3:$L$5001,BD!$B$3:$B$5001,Q$184,BD!$A$3:$A$5001,_xlfn.MAXIFS(BD!$A$3:$A$5001,BD!$B$3:$B$5001,Q$184,BD!$A$3:$A$5001,"&gt;="&amp;$C$7,BD!$A$3:$A$5001,"&lt;="&amp;$B185,BD!$L$3:$L$5001,"&lt;&gt;"))))</f>
        <v/>
      </c>
      <c r="R185" s="43" t="str">
        <f>IF(OR($B185="",$A185&gt;$B$9,R$184=""),"",IF(COUNTIFS(BD!$B$3:$B$5001,R$184,BD!$A$3:$A$5001,"&gt;="&amp;$C$7,BD!$A$3:$A$5001,"&lt;="&amp;$B185,BD!$L$3:$L$5001,"&lt;&gt;")=0,"",SUMIFS(BD!$L$3:$L$5001,BD!$B$3:$B$5001,R$184,BD!$A$3:$A$5001,_xlfn.MAXIFS(BD!$A$3:$A$5001,BD!$B$3:$B$5001,R$184,BD!$A$3:$A$5001,"&gt;="&amp;$C$7,BD!$A$3:$A$5001,"&lt;="&amp;$B185,BD!$L$3:$L$5001,"&lt;&gt;"))))</f>
        <v/>
      </c>
      <c r="S185" s="43" t="str">
        <f>IF(OR($B185="",$A185&gt;$B$9,S$184=""),"",IF(COUNTIFS(BD!$B$3:$B$5001,S$184,BD!$A$3:$A$5001,"&gt;="&amp;$C$7,BD!$A$3:$A$5001,"&lt;="&amp;$B185,BD!$L$3:$L$5001,"&lt;&gt;")=0,"",SUMIFS(BD!$L$3:$L$5001,BD!$B$3:$B$5001,S$184,BD!$A$3:$A$5001,_xlfn.MAXIFS(BD!$A$3:$A$5001,BD!$B$3:$B$5001,S$184,BD!$A$3:$A$5001,"&gt;="&amp;$C$7,BD!$A$3:$A$5001,"&lt;="&amp;$B185,BD!$L$3:$L$5001,"&lt;&gt;"))))</f>
        <v/>
      </c>
      <c r="T185" s="43" t="str">
        <f>IF(OR($B185="",$A185&gt;$B$9,T$184=""),"",IF(COUNTIFS(BD!$B$3:$B$5001,T$184,BD!$A$3:$A$5001,"&gt;="&amp;$C$7,BD!$A$3:$A$5001,"&lt;="&amp;$B185,BD!$L$3:$L$5001,"&lt;&gt;")=0,"",SUMIFS(BD!$L$3:$L$5001,BD!$B$3:$B$5001,T$184,BD!$A$3:$A$5001,_xlfn.MAXIFS(BD!$A$3:$A$5001,BD!$B$3:$B$5001,T$184,BD!$A$3:$A$5001,"&gt;="&amp;$C$7,BD!$A$3:$A$5001,"&lt;="&amp;$B185,BD!$L$3:$L$5001,"&lt;&gt;"))))</f>
        <v/>
      </c>
      <c r="U185" s="43" t="str">
        <f>IF(OR($B185="",$A185&gt;$B$9,U$184=""),"",IF(COUNTIFS(BD!$B$3:$B$5001,U$184,BD!$A$3:$A$5001,"&gt;="&amp;$C$7,BD!$A$3:$A$5001,"&lt;="&amp;$B185,BD!$L$3:$L$5001,"&lt;&gt;")=0,"",SUMIFS(BD!$L$3:$L$5001,BD!$B$3:$B$5001,U$184,BD!$A$3:$A$5001,_xlfn.MAXIFS(BD!$A$3:$A$5001,BD!$B$3:$B$5001,U$184,BD!$A$3:$A$5001,"&gt;="&amp;$C$7,BD!$A$3:$A$5001,"&lt;="&amp;$B185,BD!$L$3:$L$5001,"&lt;&gt;"))))</f>
        <v/>
      </c>
      <c r="V185" s="43" t="str">
        <f>IF(OR($B185="",$A185&gt;$B$9,V$184=""),"",IF(COUNTIFS(BD!$B$3:$B$5001,V$184,BD!$A$3:$A$5001,"&gt;="&amp;$C$7,BD!$A$3:$A$5001,"&lt;="&amp;$B185,BD!$L$3:$L$5001,"&lt;&gt;")=0,"",SUMIFS(BD!$L$3:$L$5001,BD!$B$3:$B$5001,V$184,BD!$A$3:$A$5001,_xlfn.MAXIFS(BD!$A$3:$A$5001,BD!$B$3:$B$5001,V$184,BD!$A$3:$A$5001,"&gt;="&amp;$C$7,BD!$A$3:$A$5001,"&lt;="&amp;$B185,BD!$L$3:$L$5001,"&lt;&gt;"))))</f>
        <v/>
      </c>
    </row>
    <row r="186">
      <c r="A186" s="38">
        <v>2</v>
      </c>
      <c r="B186" s="42">
        <f>$B$13</f>
        <v>46297</v>
      </c>
      <c r="C186" s="43" t="str">
        <f>IF(OR($B186="",$A186&gt;$B$9,C$184=""),"",IF(COUNTIFS(BD!$B$3:$B$5001,C$184,BD!$A$3:$A$5001,"&gt;="&amp;$C$7,BD!$A$3:$A$5001,"&lt;="&amp;$B186,BD!$L$3:$L$5001,"&lt;&gt;")=0,"",SUMIFS(BD!$L$3:$L$5001,BD!$B$3:$B$5001,C$184,BD!$A$3:$A$5001,_xlfn.MAXIFS(BD!$A$3:$A$5001,BD!$B$3:$B$5001,C$184,BD!$A$3:$A$5001,"&gt;="&amp;$C$7,BD!$A$3:$A$5001,"&lt;="&amp;$B186,BD!$L$3:$L$5001,"&lt;&gt;"))))</f>
        <v/>
      </c>
      <c r="D186" s="43" t="str">
        <f>IF(OR($B186="",$A186&gt;$B$9,D$184=""),"",IF(COUNTIFS(BD!$B$3:$B$5001,D$184,BD!$A$3:$A$5001,"&gt;="&amp;$C$7,BD!$A$3:$A$5001,"&lt;="&amp;$B186,BD!$L$3:$L$5001,"&lt;&gt;")=0,"",SUMIFS(BD!$L$3:$L$5001,BD!$B$3:$B$5001,D$184,BD!$A$3:$A$5001,_xlfn.MAXIFS(BD!$A$3:$A$5001,BD!$B$3:$B$5001,D$184,BD!$A$3:$A$5001,"&gt;="&amp;$C$7,BD!$A$3:$A$5001,"&lt;="&amp;$B186,BD!$L$3:$L$5001,"&lt;&gt;"))))</f>
        <v/>
      </c>
      <c r="E186" s="43" t="str">
        <f>IF(OR($B186="",$A186&gt;$B$9,E$184=""),"",IF(COUNTIFS(BD!$B$3:$B$5001,E$184,BD!$A$3:$A$5001,"&gt;="&amp;$C$7,BD!$A$3:$A$5001,"&lt;="&amp;$B186,BD!$L$3:$L$5001,"&lt;&gt;")=0,"",SUMIFS(BD!$L$3:$L$5001,BD!$B$3:$B$5001,E$184,BD!$A$3:$A$5001,_xlfn.MAXIFS(BD!$A$3:$A$5001,BD!$B$3:$B$5001,E$184,BD!$A$3:$A$5001,"&gt;="&amp;$C$7,BD!$A$3:$A$5001,"&lt;="&amp;$B186,BD!$L$3:$L$5001,"&lt;&gt;"))))</f>
        <v/>
      </c>
      <c r="F186" s="43" t="str">
        <f>IF(OR($B186="",$A186&gt;$B$9,F$184=""),"",IF(COUNTIFS(BD!$B$3:$B$5001,F$184,BD!$A$3:$A$5001,"&gt;="&amp;$C$7,BD!$A$3:$A$5001,"&lt;="&amp;$B186,BD!$L$3:$L$5001,"&lt;&gt;")=0,"",SUMIFS(BD!$L$3:$L$5001,BD!$B$3:$B$5001,F$184,BD!$A$3:$A$5001,_xlfn.MAXIFS(BD!$A$3:$A$5001,BD!$B$3:$B$5001,F$184,BD!$A$3:$A$5001,"&gt;="&amp;$C$7,BD!$A$3:$A$5001,"&lt;="&amp;$B186,BD!$L$3:$L$5001,"&lt;&gt;"))))</f>
        <v/>
      </c>
      <c r="G186" s="43" t="str">
        <f>IF(OR($B186="",$A186&gt;$B$9,G$184=""),"",IF(COUNTIFS(BD!$B$3:$B$5001,G$184,BD!$A$3:$A$5001,"&gt;="&amp;$C$7,BD!$A$3:$A$5001,"&lt;="&amp;$B186,BD!$L$3:$L$5001,"&lt;&gt;")=0,"",SUMIFS(BD!$L$3:$L$5001,BD!$B$3:$B$5001,G$184,BD!$A$3:$A$5001,_xlfn.MAXIFS(BD!$A$3:$A$5001,BD!$B$3:$B$5001,G$184,BD!$A$3:$A$5001,"&gt;="&amp;$C$7,BD!$A$3:$A$5001,"&lt;="&amp;$B186,BD!$L$3:$L$5001,"&lt;&gt;"))))</f>
        <v/>
      </c>
      <c r="H186" s="43" t="str">
        <f>IF(OR($B186="",$A186&gt;$B$9,H$184=""),"",IF(COUNTIFS(BD!$B$3:$B$5001,H$184,BD!$A$3:$A$5001,"&gt;="&amp;$C$7,BD!$A$3:$A$5001,"&lt;="&amp;$B186,BD!$L$3:$L$5001,"&lt;&gt;")=0,"",SUMIFS(BD!$L$3:$L$5001,BD!$B$3:$B$5001,H$184,BD!$A$3:$A$5001,_xlfn.MAXIFS(BD!$A$3:$A$5001,BD!$B$3:$B$5001,H$184,BD!$A$3:$A$5001,"&gt;="&amp;$C$7,BD!$A$3:$A$5001,"&lt;="&amp;$B186,BD!$L$3:$L$5001,"&lt;&gt;"))))</f>
        <v/>
      </c>
      <c r="I186" s="43" t="str">
        <f>IF(OR($B186="",$A186&gt;$B$9,I$184=""),"",IF(COUNTIFS(BD!$B$3:$B$5001,I$184,BD!$A$3:$A$5001,"&gt;="&amp;$C$7,BD!$A$3:$A$5001,"&lt;="&amp;$B186,BD!$L$3:$L$5001,"&lt;&gt;")=0,"",SUMIFS(BD!$L$3:$L$5001,BD!$B$3:$B$5001,I$184,BD!$A$3:$A$5001,_xlfn.MAXIFS(BD!$A$3:$A$5001,BD!$B$3:$B$5001,I$184,BD!$A$3:$A$5001,"&gt;="&amp;$C$7,BD!$A$3:$A$5001,"&lt;="&amp;$B186,BD!$L$3:$L$5001,"&lt;&gt;"))))</f>
        <v/>
      </c>
      <c r="J186" s="43" t="str">
        <f>IF(OR($B186="",$A186&gt;$B$9,J$184=""),"",IF(COUNTIFS(BD!$B$3:$B$5001,J$184,BD!$A$3:$A$5001,"&gt;="&amp;$C$7,BD!$A$3:$A$5001,"&lt;="&amp;$B186,BD!$L$3:$L$5001,"&lt;&gt;")=0,"",SUMIFS(BD!$L$3:$L$5001,BD!$B$3:$B$5001,J$184,BD!$A$3:$A$5001,_xlfn.MAXIFS(BD!$A$3:$A$5001,BD!$B$3:$B$5001,J$184,BD!$A$3:$A$5001,"&gt;="&amp;$C$7,BD!$A$3:$A$5001,"&lt;="&amp;$B186,BD!$L$3:$L$5001,"&lt;&gt;"))))</f>
        <v/>
      </c>
      <c r="K186" s="43" t="str">
        <f>IF(OR($B186="",$A186&gt;$B$9,K$184=""),"",IF(COUNTIFS(BD!$B$3:$B$5001,K$184,BD!$A$3:$A$5001,"&gt;="&amp;$C$7,BD!$A$3:$A$5001,"&lt;="&amp;$B186,BD!$L$3:$L$5001,"&lt;&gt;")=0,"",SUMIFS(BD!$L$3:$L$5001,BD!$B$3:$B$5001,K$184,BD!$A$3:$A$5001,_xlfn.MAXIFS(BD!$A$3:$A$5001,BD!$B$3:$B$5001,K$184,BD!$A$3:$A$5001,"&gt;="&amp;$C$7,BD!$A$3:$A$5001,"&lt;="&amp;$B186,BD!$L$3:$L$5001,"&lt;&gt;"))))</f>
        <v/>
      </c>
      <c r="L186" s="43" t="str">
        <f>IF(OR($B186="",$A186&gt;$B$9,L$184=""),"",IF(COUNTIFS(BD!$B$3:$B$5001,L$184,BD!$A$3:$A$5001,"&gt;="&amp;$C$7,BD!$A$3:$A$5001,"&lt;="&amp;$B186,BD!$L$3:$L$5001,"&lt;&gt;")=0,"",SUMIFS(BD!$L$3:$L$5001,BD!$B$3:$B$5001,L$184,BD!$A$3:$A$5001,_xlfn.MAXIFS(BD!$A$3:$A$5001,BD!$B$3:$B$5001,L$184,BD!$A$3:$A$5001,"&gt;="&amp;$C$7,BD!$A$3:$A$5001,"&lt;="&amp;$B186,BD!$L$3:$L$5001,"&lt;&gt;"))))</f>
        <v/>
      </c>
      <c r="M186" s="43" t="str">
        <f>IF(OR($B186="",$A186&gt;$B$9,M$184=""),"",IF(COUNTIFS(BD!$B$3:$B$5001,M$184,BD!$A$3:$A$5001,"&gt;="&amp;$C$7,BD!$A$3:$A$5001,"&lt;="&amp;$B186,BD!$L$3:$L$5001,"&lt;&gt;")=0,"",SUMIFS(BD!$L$3:$L$5001,BD!$B$3:$B$5001,M$184,BD!$A$3:$A$5001,_xlfn.MAXIFS(BD!$A$3:$A$5001,BD!$B$3:$B$5001,M$184,BD!$A$3:$A$5001,"&gt;="&amp;$C$7,BD!$A$3:$A$5001,"&lt;="&amp;$B186,BD!$L$3:$L$5001,"&lt;&gt;"))))</f>
        <v/>
      </c>
      <c r="N186" s="43" t="str">
        <f>IF(OR($B186="",$A186&gt;$B$9,N$184=""),"",IF(COUNTIFS(BD!$B$3:$B$5001,N$184,BD!$A$3:$A$5001,"&gt;="&amp;$C$7,BD!$A$3:$A$5001,"&lt;="&amp;$B186,BD!$L$3:$L$5001,"&lt;&gt;")=0,"",SUMIFS(BD!$L$3:$L$5001,BD!$B$3:$B$5001,N$184,BD!$A$3:$A$5001,_xlfn.MAXIFS(BD!$A$3:$A$5001,BD!$B$3:$B$5001,N$184,BD!$A$3:$A$5001,"&gt;="&amp;$C$7,BD!$A$3:$A$5001,"&lt;="&amp;$B186,BD!$L$3:$L$5001,"&lt;&gt;"))))</f>
        <v/>
      </c>
      <c r="O186" s="43" t="str">
        <f>IF(OR($B186="",$A186&gt;$B$9,O$184=""),"",IF(COUNTIFS(BD!$B$3:$B$5001,O$184,BD!$A$3:$A$5001,"&gt;="&amp;$C$7,BD!$A$3:$A$5001,"&lt;="&amp;$B186,BD!$L$3:$L$5001,"&lt;&gt;")=0,"",SUMIFS(BD!$L$3:$L$5001,BD!$B$3:$B$5001,O$184,BD!$A$3:$A$5001,_xlfn.MAXIFS(BD!$A$3:$A$5001,BD!$B$3:$B$5001,O$184,BD!$A$3:$A$5001,"&gt;="&amp;$C$7,BD!$A$3:$A$5001,"&lt;="&amp;$B186,BD!$L$3:$L$5001,"&lt;&gt;"))))</f>
        <v/>
      </c>
      <c r="P186" s="43" t="str">
        <f>IF(OR($B186="",$A186&gt;$B$9,P$184=""),"",IF(COUNTIFS(BD!$B$3:$B$5001,P$184,BD!$A$3:$A$5001,"&gt;="&amp;$C$7,BD!$A$3:$A$5001,"&lt;="&amp;$B186,BD!$L$3:$L$5001,"&lt;&gt;")=0,"",SUMIFS(BD!$L$3:$L$5001,BD!$B$3:$B$5001,P$184,BD!$A$3:$A$5001,_xlfn.MAXIFS(BD!$A$3:$A$5001,BD!$B$3:$B$5001,P$184,BD!$A$3:$A$5001,"&gt;="&amp;$C$7,BD!$A$3:$A$5001,"&lt;="&amp;$B186,BD!$L$3:$L$5001,"&lt;&gt;"))))</f>
        <v/>
      </c>
      <c r="Q186" s="43" t="str">
        <f>IF(OR($B186="",$A186&gt;$B$9,Q$184=""),"",IF(COUNTIFS(BD!$B$3:$B$5001,Q$184,BD!$A$3:$A$5001,"&gt;="&amp;$C$7,BD!$A$3:$A$5001,"&lt;="&amp;$B186,BD!$L$3:$L$5001,"&lt;&gt;")=0,"",SUMIFS(BD!$L$3:$L$5001,BD!$B$3:$B$5001,Q$184,BD!$A$3:$A$5001,_xlfn.MAXIFS(BD!$A$3:$A$5001,BD!$B$3:$B$5001,Q$184,BD!$A$3:$A$5001,"&gt;="&amp;$C$7,BD!$A$3:$A$5001,"&lt;="&amp;$B186,BD!$L$3:$L$5001,"&lt;&gt;"))))</f>
        <v/>
      </c>
      <c r="R186" s="43" t="str">
        <f>IF(OR($B186="",$A186&gt;$B$9,R$184=""),"",IF(COUNTIFS(BD!$B$3:$B$5001,R$184,BD!$A$3:$A$5001,"&gt;="&amp;$C$7,BD!$A$3:$A$5001,"&lt;="&amp;$B186,BD!$L$3:$L$5001,"&lt;&gt;")=0,"",SUMIFS(BD!$L$3:$L$5001,BD!$B$3:$B$5001,R$184,BD!$A$3:$A$5001,_xlfn.MAXIFS(BD!$A$3:$A$5001,BD!$B$3:$B$5001,R$184,BD!$A$3:$A$5001,"&gt;="&amp;$C$7,BD!$A$3:$A$5001,"&lt;="&amp;$B186,BD!$L$3:$L$5001,"&lt;&gt;"))))</f>
        <v/>
      </c>
      <c r="S186" s="43" t="str">
        <f>IF(OR($B186="",$A186&gt;$B$9,S$184=""),"",IF(COUNTIFS(BD!$B$3:$B$5001,S$184,BD!$A$3:$A$5001,"&gt;="&amp;$C$7,BD!$A$3:$A$5001,"&lt;="&amp;$B186,BD!$L$3:$L$5001,"&lt;&gt;")=0,"",SUMIFS(BD!$L$3:$L$5001,BD!$B$3:$B$5001,S$184,BD!$A$3:$A$5001,_xlfn.MAXIFS(BD!$A$3:$A$5001,BD!$B$3:$B$5001,S$184,BD!$A$3:$A$5001,"&gt;="&amp;$C$7,BD!$A$3:$A$5001,"&lt;="&amp;$B186,BD!$L$3:$L$5001,"&lt;&gt;"))))</f>
        <v/>
      </c>
      <c r="T186" s="43" t="str">
        <f>IF(OR($B186="",$A186&gt;$B$9,T$184=""),"",IF(COUNTIFS(BD!$B$3:$B$5001,T$184,BD!$A$3:$A$5001,"&gt;="&amp;$C$7,BD!$A$3:$A$5001,"&lt;="&amp;$B186,BD!$L$3:$L$5001,"&lt;&gt;")=0,"",SUMIFS(BD!$L$3:$L$5001,BD!$B$3:$B$5001,T$184,BD!$A$3:$A$5001,_xlfn.MAXIFS(BD!$A$3:$A$5001,BD!$B$3:$B$5001,T$184,BD!$A$3:$A$5001,"&gt;="&amp;$C$7,BD!$A$3:$A$5001,"&lt;="&amp;$B186,BD!$L$3:$L$5001,"&lt;&gt;"))))</f>
        <v/>
      </c>
      <c r="U186" s="43" t="str">
        <f>IF(OR($B186="",$A186&gt;$B$9,U$184=""),"",IF(COUNTIFS(BD!$B$3:$B$5001,U$184,BD!$A$3:$A$5001,"&gt;="&amp;$C$7,BD!$A$3:$A$5001,"&lt;="&amp;$B186,BD!$L$3:$L$5001,"&lt;&gt;")=0,"",SUMIFS(BD!$L$3:$L$5001,BD!$B$3:$B$5001,U$184,BD!$A$3:$A$5001,_xlfn.MAXIFS(BD!$A$3:$A$5001,BD!$B$3:$B$5001,U$184,BD!$A$3:$A$5001,"&gt;="&amp;$C$7,BD!$A$3:$A$5001,"&lt;="&amp;$B186,BD!$L$3:$L$5001,"&lt;&gt;"))))</f>
        <v/>
      </c>
      <c r="V186" s="43" t="str">
        <f>IF(OR($B186="",$A186&gt;$B$9,V$184=""),"",IF(COUNTIFS(BD!$B$3:$B$5001,V$184,BD!$A$3:$A$5001,"&gt;="&amp;$C$7,BD!$A$3:$A$5001,"&lt;="&amp;$B186,BD!$L$3:$L$5001,"&lt;&gt;")=0,"",SUMIFS(BD!$L$3:$L$5001,BD!$B$3:$B$5001,V$184,BD!$A$3:$A$5001,_xlfn.MAXIFS(BD!$A$3:$A$5001,BD!$B$3:$B$5001,V$184,BD!$A$3:$A$5001,"&gt;="&amp;$C$7,BD!$A$3:$A$5001,"&lt;="&amp;$B186,BD!$L$3:$L$5001,"&lt;&gt;"))))</f>
        <v/>
      </c>
    </row>
    <row r="187">
      <c r="A187" s="38">
        <v>3</v>
      </c>
      <c r="B187" s="42">
        <f>$B$14</f>
        <v>46298</v>
      </c>
      <c r="C187" s="43" t="str">
        <f>IF(OR($B187="",$A187&gt;$B$9,C$184=""),"",IF(COUNTIFS(BD!$B$3:$B$5001,C$184,BD!$A$3:$A$5001,"&gt;="&amp;$C$7,BD!$A$3:$A$5001,"&lt;="&amp;$B187,BD!$L$3:$L$5001,"&lt;&gt;")=0,"",SUMIFS(BD!$L$3:$L$5001,BD!$B$3:$B$5001,C$184,BD!$A$3:$A$5001,_xlfn.MAXIFS(BD!$A$3:$A$5001,BD!$B$3:$B$5001,C$184,BD!$A$3:$A$5001,"&gt;="&amp;$C$7,BD!$A$3:$A$5001,"&lt;="&amp;$B187,BD!$L$3:$L$5001,"&lt;&gt;"))))</f>
        <v/>
      </c>
      <c r="D187" s="43" t="str">
        <f>IF(OR($B187="",$A187&gt;$B$9,D$184=""),"",IF(COUNTIFS(BD!$B$3:$B$5001,D$184,BD!$A$3:$A$5001,"&gt;="&amp;$C$7,BD!$A$3:$A$5001,"&lt;="&amp;$B187,BD!$L$3:$L$5001,"&lt;&gt;")=0,"",SUMIFS(BD!$L$3:$L$5001,BD!$B$3:$B$5001,D$184,BD!$A$3:$A$5001,_xlfn.MAXIFS(BD!$A$3:$A$5001,BD!$B$3:$B$5001,D$184,BD!$A$3:$A$5001,"&gt;="&amp;$C$7,BD!$A$3:$A$5001,"&lt;="&amp;$B187,BD!$L$3:$L$5001,"&lt;&gt;"))))</f>
        <v/>
      </c>
      <c r="E187" s="43" t="str">
        <f>IF(OR($B187="",$A187&gt;$B$9,E$184=""),"",IF(COUNTIFS(BD!$B$3:$B$5001,E$184,BD!$A$3:$A$5001,"&gt;="&amp;$C$7,BD!$A$3:$A$5001,"&lt;="&amp;$B187,BD!$L$3:$L$5001,"&lt;&gt;")=0,"",SUMIFS(BD!$L$3:$L$5001,BD!$B$3:$B$5001,E$184,BD!$A$3:$A$5001,_xlfn.MAXIFS(BD!$A$3:$A$5001,BD!$B$3:$B$5001,E$184,BD!$A$3:$A$5001,"&gt;="&amp;$C$7,BD!$A$3:$A$5001,"&lt;="&amp;$B187,BD!$L$3:$L$5001,"&lt;&gt;"))))</f>
        <v/>
      </c>
      <c r="F187" s="43" t="str">
        <f>IF(OR($B187="",$A187&gt;$B$9,F$184=""),"",IF(COUNTIFS(BD!$B$3:$B$5001,F$184,BD!$A$3:$A$5001,"&gt;="&amp;$C$7,BD!$A$3:$A$5001,"&lt;="&amp;$B187,BD!$L$3:$L$5001,"&lt;&gt;")=0,"",SUMIFS(BD!$L$3:$L$5001,BD!$B$3:$B$5001,F$184,BD!$A$3:$A$5001,_xlfn.MAXIFS(BD!$A$3:$A$5001,BD!$B$3:$B$5001,F$184,BD!$A$3:$A$5001,"&gt;="&amp;$C$7,BD!$A$3:$A$5001,"&lt;="&amp;$B187,BD!$L$3:$L$5001,"&lt;&gt;"))))</f>
        <v/>
      </c>
      <c r="G187" s="43" t="str">
        <f>IF(OR($B187="",$A187&gt;$B$9,G$184=""),"",IF(COUNTIFS(BD!$B$3:$B$5001,G$184,BD!$A$3:$A$5001,"&gt;="&amp;$C$7,BD!$A$3:$A$5001,"&lt;="&amp;$B187,BD!$L$3:$L$5001,"&lt;&gt;")=0,"",SUMIFS(BD!$L$3:$L$5001,BD!$B$3:$B$5001,G$184,BD!$A$3:$A$5001,_xlfn.MAXIFS(BD!$A$3:$A$5001,BD!$B$3:$B$5001,G$184,BD!$A$3:$A$5001,"&gt;="&amp;$C$7,BD!$A$3:$A$5001,"&lt;="&amp;$B187,BD!$L$3:$L$5001,"&lt;&gt;"))))</f>
        <v/>
      </c>
      <c r="H187" s="43" t="str">
        <f>IF(OR($B187="",$A187&gt;$B$9,H$184=""),"",IF(COUNTIFS(BD!$B$3:$B$5001,H$184,BD!$A$3:$A$5001,"&gt;="&amp;$C$7,BD!$A$3:$A$5001,"&lt;="&amp;$B187,BD!$L$3:$L$5001,"&lt;&gt;")=0,"",SUMIFS(BD!$L$3:$L$5001,BD!$B$3:$B$5001,H$184,BD!$A$3:$A$5001,_xlfn.MAXIFS(BD!$A$3:$A$5001,BD!$B$3:$B$5001,H$184,BD!$A$3:$A$5001,"&gt;="&amp;$C$7,BD!$A$3:$A$5001,"&lt;="&amp;$B187,BD!$L$3:$L$5001,"&lt;&gt;"))))</f>
        <v/>
      </c>
      <c r="I187" s="43" t="str">
        <f>IF(OR($B187="",$A187&gt;$B$9,I$184=""),"",IF(COUNTIFS(BD!$B$3:$B$5001,I$184,BD!$A$3:$A$5001,"&gt;="&amp;$C$7,BD!$A$3:$A$5001,"&lt;="&amp;$B187,BD!$L$3:$L$5001,"&lt;&gt;")=0,"",SUMIFS(BD!$L$3:$L$5001,BD!$B$3:$B$5001,I$184,BD!$A$3:$A$5001,_xlfn.MAXIFS(BD!$A$3:$A$5001,BD!$B$3:$B$5001,I$184,BD!$A$3:$A$5001,"&gt;="&amp;$C$7,BD!$A$3:$A$5001,"&lt;="&amp;$B187,BD!$L$3:$L$5001,"&lt;&gt;"))))</f>
        <v/>
      </c>
      <c r="J187" s="43" t="str">
        <f>IF(OR($B187="",$A187&gt;$B$9,J$184=""),"",IF(COUNTIFS(BD!$B$3:$B$5001,J$184,BD!$A$3:$A$5001,"&gt;="&amp;$C$7,BD!$A$3:$A$5001,"&lt;="&amp;$B187,BD!$L$3:$L$5001,"&lt;&gt;")=0,"",SUMIFS(BD!$L$3:$L$5001,BD!$B$3:$B$5001,J$184,BD!$A$3:$A$5001,_xlfn.MAXIFS(BD!$A$3:$A$5001,BD!$B$3:$B$5001,J$184,BD!$A$3:$A$5001,"&gt;="&amp;$C$7,BD!$A$3:$A$5001,"&lt;="&amp;$B187,BD!$L$3:$L$5001,"&lt;&gt;"))))</f>
        <v/>
      </c>
      <c r="K187" s="43" t="str">
        <f>IF(OR($B187="",$A187&gt;$B$9,K$184=""),"",IF(COUNTIFS(BD!$B$3:$B$5001,K$184,BD!$A$3:$A$5001,"&gt;="&amp;$C$7,BD!$A$3:$A$5001,"&lt;="&amp;$B187,BD!$L$3:$L$5001,"&lt;&gt;")=0,"",SUMIFS(BD!$L$3:$L$5001,BD!$B$3:$B$5001,K$184,BD!$A$3:$A$5001,_xlfn.MAXIFS(BD!$A$3:$A$5001,BD!$B$3:$B$5001,K$184,BD!$A$3:$A$5001,"&gt;="&amp;$C$7,BD!$A$3:$A$5001,"&lt;="&amp;$B187,BD!$L$3:$L$5001,"&lt;&gt;"))))</f>
        <v/>
      </c>
      <c r="L187" s="43" t="str">
        <f>IF(OR($B187="",$A187&gt;$B$9,L$184=""),"",IF(COUNTIFS(BD!$B$3:$B$5001,L$184,BD!$A$3:$A$5001,"&gt;="&amp;$C$7,BD!$A$3:$A$5001,"&lt;="&amp;$B187,BD!$L$3:$L$5001,"&lt;&gt;")=0,"",SUMIFS(BD!$L$3:$L$5001,BD!$B$3:$B$5001,L$184,BD!$A$3:$A$5001,_xlfn.MAXIFS(BD!$A$3:$A$5001,BD!$B$3:$B$5001,L$184,BD!$A$3:$A$5001,"&gt;="&amp;$C$7,BD!$A$3:$A$5001,"&lt;="&amp;$B187,BD!$L$3:$L$5001,"&lt;&gt;"))))</f>
        <v/>
      </c>
      <c r="M187" s="43" t="str">
        <f>IF(OR($B187="",$A187&gt;$B$9,M$184=""),"",IF(COUNTIFS(BD!$B$3:$B$5001,M$184,BD!$A$3:$A$5001,"&gt;="&amp;$C$7,BD!$A$3:$A$5001,"&lt;="&amp;$B187,BD!$L$3:$L$5001,"&lt;&gt;")=0,"",SUMIFS(BD!$L$3:$L$5001,BD!$B$3:$B$5001,M$184,BD!$A$3:$A$5001,_xlfn.MAXIFS(BD!$A$3:$A$5001,BD!$B$3:$B$5001,M$184,BD!$A$3:$A$5001,"&gt;="&amp;$C$7,BD!$A$3:$A$5001,"&lt;="&amp;$B187,BD!$L$3:$L$5001,"&lt;&gt;"))))</f>
        <v/>
      </c>
      <c r="N187" s="43" t="str">
        <f>IF(OR($B187="",$A187&gt;$B$9,N$184=""),"",IF(COUNTIFS(BD!$B$3:$B$5001,N$184,BD!$A$3:$A$5001,"&gt;="&amp;$C$7,BD!$A$3:$A$5001,"&lt;="&amp;$B187,BD!$L$3:$L$5001,"&lt;&gt;")=0,"",SUMIFS(BD!$L$3:$L$5001,BD!$B$3:$B$5001,N$184,BD!$A$3:$A$5001,_xlfn.MAXIFS(BD!$A$3:$A$5001,BD!$B$3:$B$5001,N$184,BD!$A$3:$A$5001,"&gt;="&amp;$C$7,BD!$A$3:$A$5001,"&lt;="&amp;$B187,BD!$L$3:$L$5001,"&lt;&gt;"))))</f>
        <v/>
      </c>
      <c r="O187" s="43" t="str">
        <f>IF(OR($B187="",$A187&gt;$B$9,O$184=""),"",IF(COUNTIFS(BD!$B$3:$B$5001,O$184,BD!$A$3:$A$5001,"&gt;="&amp;$C$7,BD!$A$3:$A$5001,"&lt;="&amp;$B187,BD!$L$3:$L$5001,"&lt;&gt;")=0,"",SUMIFS(BD!$L$3:$L$5001,BD!$B$3:$B$5001,O$184,BD!$A$3:$A$5001,_xlfn.MAXIFS(BD!$A$3:$A$5001,BD!$B$3:$B$5001,O$184,BD!$A$3:$A$5001,"&gt;="&amp;$C$7,BD!$A$3:$A$5001,"&lt;="&amp;$B187,BD!$L$3:$L$5001,"&lt;&gt;"))))</f>
        <v/>
      </c>
      <c r="P187" s="43" t="str">
        <f>IF(OR($B187="",$A187&gt;$B$9,P$184=""),"",IF(COUNTIFS(BD!$B$3:$B$5001,P$184,BD!$A$3:$A$5001,"&gt;="&amp;$C$7,BD!$A$3:$A$5001,"&lt;="&amp;$B187,BD!$L$3:$L$5001,"&lt;&gt;")=0,"",SUMIFS(BD!$L$3:$L$5001,BD!$B$3:$B$5001,P$184,BD!$A$3:$A$5001,_xlfn.MAXIFS(BD!$A$3:$A$5001,BD!$B$3:$B$5001,P$184,BD!$A$3:$A$5001,"&gt;="&amp;$C$7,BD!$A$3:$A$5001,"&lt;="&amp;$B187,BD!$L$3:$L$5001,"&lt;&gt;"))))</f>
        <v/>
      </c>
      <c r="Q187" s="43" t="str">
        <f>IF(OR($B187="",$A187&gt;$B$9,Q$184=""),"",IF(COUNTIFS(BD!$B$3:$B$5001,Q$184,BD!$A$3:$A$5001,"&gt;="&amp;$C$7,BD!$A$3:$A$5001,"&lt;="&amp;$B187,BD!$L$3:$L$5001,"&lt;&gt;")=0,"",SUMIFS(BD!$L$3:$L$5001,BD!$B$3:$B$5001,Q$184,BD!$A$3:$A$5001,_xlfn.MAXIFS(BD!$A$3:$A$5001,BD!$B$3:$B$5001,Q$184,BD!$A$3:$A$5001,"&gt;="&amp;$C$7,BD!$A$3:$A$5001,"&lt;="&amp;$B187,BD!$L$3:$L$5001,"&lt;&gt;"))))</f>
        <v/>
      </c>
      <c r="R187" s="43" t="str">
        <f>IF(OR($B187="",$A187&gt;$B$9,R$184=""),"",IF(COUNTIFS(BD!$B$3:$B$5001,R$184,BD!$A$3:$A$5001,"&gt;="&amp;$C$7,BD!$A$3:$A$5001,"&lt;="&amp;$B187,BD!$L$3:$L$5001,"&lt;&gt;")=0,"",SUMIFS(BD!$L$3:$L$5001,BD!$B$3:$B$5001,R$184,BD!$A$3:$A$5001,_xlfn.MAXIFS(BD!$A$3:$A$5001,BD!$B$3:$B$5001,R$184,BD!$A$3:$A$5001,"&gt;="&amp;$C$7,BD!$A$3:$A$5001,"&lt;="&amp;$B187,BD!$L$3:$L$5001,"&lt;&gt;"))))</f>
        <v/>
      </c>
      <c r="S187" s="43" t="str">
        <f>IF(OR($B187="",$A187&gt;$B$9,S$184=""),"",IF(COUNTIFS(BD!$B$3:$B$5001,S$184,BD!$A$3:$A$5001,"&gt;="&amp;$C$7,BD!$A$3:$A$5001,"&lt;="&amp;$B187,BD!$L$3:$L$5001,"&lt;&gt;")=0,"",SUMIFS(BD!$L$3:$L$5001,BD!$B$3:$B$5001,S$184,BD!$A$3:$A$5001,_xlfn.MAXIFS(BD!$A$3:$A$5001,BD!$B$3:$B$5001,S$184,BD!$A$3:$A$5001,"&gt;="&amp;$C$7,BD!$A$3:$A$5001,"&lt;="&amp;$B187,BD!$L$3:$L$5001,"&lt;&gt;"))))</f>
        <v/>
      </c>
      <c r="T187" s="43" t="str">
        <f>IF(OR($B187="",$A187&gt;$B$9,T$184=""),"",IF(COUNTIFS(BD!$B$3:$B$5001,T$184,BD!$A$3:$A$5001,"&gt;="&amp;$C$7,BD!$A$3:$A$5001,"&lt;="&amp;$B187,BD!$L$3:$L$5001,"&lt;&gt;")=0,"",SUMIFS(BD!$L$3:$L$5001,BD!$B$3:$B$5001,T$184,BD!$A$3:$A$5001,_xlfn.MAXIFS(BD!$A$3:$A$5001,BD!$B$3:$B$5001,T$184,BD!$A$3:$A$5001,"&gt;="&amp;$C$7,BD!$A$3:$A$5001,"&lt;="&amp;$B187,BD!$L$3:$L$5001,"&lt;&gt;"))))</f>
        <v/>
      </c>
      <c r="U187" s="43" t="str">
        <f>IF(OR($B187="",$A187&gt;$B$9,U$184=""),"",IF(COUNTIFS(BD!$B$3:$B$5001,U$184,BD!$A$3:$A$5001,"&gt;="&amp;$C$7,BD!$A$3:$A$5001,"&lt;="&amp;$B187,BD!$L$3:$L$5001,"&lt;&gt;")=0,"",SUMIFS(BD!$L$3:$L$5001,BD!$B$3:$B$5001,U$184,BD!$A$3:$A$5001,_xlfn.MAXIFS(BD!$A$3:$A$5001,BD!$B$3:$B$5001,U$184,BD!$A$3:$A$5001,"&gt;="&amp;$C$7,BD!$A$3:$A$5001,"&lt;="&amp;$B187,BD!$L$3:$L$5001,"&lt;&gt;"))))</f>
        <v/>
      </c>
      <c r="V187" s="43" t="str">
        <f>IF(OR($B187="",$A187&gt;$B$9,V$184=""),"",IF(COUNTIFS(BD!$B$3:$B$5001,V$184,BD!$A$3:$A$5001,"&gt;="&amp;$C$7,BD!$A$3:$A$5001,"&lt;="&amp;$B187,BD!$L$3:$L$5001,"&lt;&gt;")=0,"",SUMIFS(BD!$L$3:$L$5001,BD!$B$3:$B$5001,V$184,BD!$A$3:$A$5001,_xlfn.MAXIFS(BD!$A$3:$A$5001,BD!$B$3:$B$5001,V$184,BD!$A$3:$A$5001,"&gt;="&amp;$C$7,BD!$A$3:$A$5001,"&lt;="&amp;$B187,BD!$L$3:$L$5001,"&lt;&gt;"))))</f>
        <v/>
      </c>
    </row>
    <row r="188">
      <c r="A188" s="38">
        <v>4</v>
      </c>
      <c r="B188" s="42">
        <f>$B$15</f>
        <v>46299</v>
      </c>
      <c r="C188" s="43" t="str">
        <f>IF(OR($B188="",$A188&gt;$B$9,C$184=""),"",IF(COUNTIFS(BD!$B$3:$B$5001,C$184,BD!$A$3:$A$5001,"&gt;="&amp;$C$7,BD!$A$3:$A$5001,"&lt;="&amp;$B188,BD!$L$3:$L$5001,"&lt;&gt;")=0,"",SUMIFS(BD!$L$3:$L$5001,BD!$B$3:$B$5001,C$184,BD!$A$3:$A$5001,_xlfn.MAXIFS(BD!$A$3:$A$5001,BD!$B$3:$B$5001,C$184,BD!$A$3:$A$5001,"&gt;="&amp;$C$7,BD!$A$3:$A$5001,"&lt;="&amp;$B188,BD!$L$3:$L$5001,"&lt;&gt;"))))</f>
        <v/>
      </c>
      <c r="D188" s="43" t="str">
        <f>IF(OR($B188="",$A188&gt;$B$9,D$184=""),"",IF(COUNTIFS(BD!$B$3:$B$5001,D$184,BD!$A$3:$A$5001,"&gt;="&amp;$C$7,BD!$A$3:$A$5001,"&lt;="&amp;$B188,BD!$L$3:$L$5001,"&lt;&gt;")=0,"",SUMIFS(BD!$L$3:$L$5001,BD!$B$3:$B$5001,D$184,BD!$A$3:$A$5001,_xlfn.MAXIFS(BD!$A$3:$A$5001,BD!$B$3:$B$5001,D$184,BD!$A$3:$A$5001,"&gt;="&amp;$C$7,BD!$A$3:$A$5001,"&lt;="&amp;$B188,BD!$L$3:$L$5001,"&lt;&gt;"))))</f>
        <v/>
      </c>
      <c r="E188" s="43" t="str">
        <f>IF(OR($B188="",$A188&gt;$B$9,E$184=""),"",IF(COUNTIFS(BD!$B$3:$B$5001,E$184,BD!$A$3:$A$5001,"&gt;="&amp;$C$7,BD!$A$3:$A$5001,"&lt;="&amp;$B188,BD!$L$3:$L$5001,"&lt;&gt;")=0,"",SUMIFS(BD!$L$3:$L$5001,BD!$B$3:$B$5001,E$184,BD!$A$3:$A$5001,_xlfn.MAXIFS(BD!$A$3:$A$5001,BD!$B$3:$B$5001,E$184,BD!$A$3:$A$5001,"&gt;="&amp;$C$7,BD!$A$3:$A$5001,"&lt;="&amp;$B188,BD!$L$3:$L$5001,"&lt;&gt;"))))</f>
        <v/>
      </c>
      <c r="F188" s="43" t="str">
        <f>IF(OR($B188="",$A188&gt;$B$9,F$184=""),"",IF(COUNTIFS(BD!$B$3:$B$5001,F$184,BD!$A$3:$A$5001,"&gt;="&amp;$C$7,BD!$A$3:$A$5001,"&lt;="&amp;$B188,BD!$L$3:$L$5001,"&lt;&gt;")=0,"",SUMIFS(BD!$L$3:$L$5001,BD!$B$3:$B$5001,F$184,BD!$A$3:$A$5001,_xlfn.MAXIFS(BD!$A$3:$A$5001,BD!$B$3:$B$5001,F$184,BD!$A$3:$A$5001,"&gt;="&amp;$C$7,BD!$A$3:$A$5001,"&lt;="&amp;$B188,BD!$L$3:$L$5001,"&lt;&gt;"))))</f>
        <v/>
      </c>
      <c r="G188" s="43" t="str">
        <f>IF(OR($B188="",$A188&gt;$B$9,G$184=""),"",IF(COUNTIFS(BD!$B$3:$B$5001,G$184,BD!$A$3:$A$5001,"&gt;="&amp;$C$7,BD!$A$3:$A$5001,"&lt;="&amp;$B188,BD!$L$3:$L$5001,"&lt;&gt;")=0,"",SUMIFS(BD!$L$3:$L$5001,BD!$B$3:$B$5001,G$184,BD!$A$3:$A$5001,_xlfn.MAXIFS(BD!$A$3:$A$5001,BD!$B$3:$B$5001,G$184,BD!$A$3:$A$5001,"&gt;="&amp;$C$7,BD!$A$3:$A$5001,"&lt;="&amp;$B188,BD!$L$3:$L$5001,"&lt;&gt;"))))</f>
        <v/>
      </c>
      <c r="H188" s="43" t="str">
        <f>IF(OR($B188="",$A188&gt;$B$9,H$184=""),"",IF(COUNTIFS(BD!$B$3:$B$5001,H$184,BD!$A$3:$A$5001,"&gt;="&amp;$C$7,BD!$A$3:$A$5001,"&lt;="&amp;$B188,BD!$L$3:$L$5001,"&lt;&gt;")=0,"",SUMIFS(BD!$L$3:$L$5001,BD!$B$3:$B$5001,H$184,BD!$A$3:$A$5001,_xlfn.MAXIFS(BD!$A$3:$A$5001,BD!$B$3:$B$5001,H$184,BD!$A$3:$A$5001,"&gt;="&amp;$C$7,BD!$A$3:$A$5001,"&lt;="&amp;$B188,BD!$L$3:$L$5001,"&lt;&gt;"))))</f>
        <v/>
      </c>
      <c r="I188" s="43" t="str">
        <f>IF(OR($B188="",$A188&gt;$B$9,I$184=""),"",IF(COUNTIFS(BD!$B$3:$B$5001,I$184,BD!$A$3:$A$5001,"&gt;="&amp;$C$7,BD!$A$3:$A$5001,"&lt;="&amp;$B188,BD!$L$3:$L$5001,"&lt;&gt;")=0,"",SUMIFS(BD!$L$3:$L$5001,BD!$B$3:$B$5001,I$184,BD!$A$3:$A$5001,_xlfn.MAXIFS(BD!$A$3:$A$5001,BD!$B$3:$B$5001,I$184,BD!$A$3:$A$5001,"&gt;="&amp;$C$7,BD!$A$3:$A$5001,"&lt;="&amp;$B188,BD!$L$3:$L$5001,"&lt;&gt;"))))</f>
        <v/>
      </c>
      <c r="J188" s="43" t="str">
        <f>IF(OR($B188="",$A188&gt;$B$9,J$184=""),"",IF(COUNTIFS(BD!$B$3:$B$5001,J$184,BD!$A$3:$A$5001,"&gt;="&amp;$C$7,BD!$A$3:$A$5001,"&lt;="&amp;$B188,BD!$L$3:$L$5001,"&lt;&gt;")=0,"",SUMIFS(BD!$L$3:$L$5001,BD!$B$3:$B$5001,J$184,BD!$A$3:$A$5001,_xlfn.MAXIFS(BD!$A$3:$A$5001,BD!$B$3:$B$5001,J$184,BD!$A$3:$A$5001,"&gt;="&amp;$C$7,BD!$A$3:$A$5001,"&lt;="&amp;$B188,BD!$L$3:$L$5001,"&lt;&gt;"))))</f>
        <v/>
      </c>
      <c r="K188" s="43" t="str">
        <f>IF(OR($B188="",$A188&gt;$B$9,K$184=""),"",IF(COUNTIFS(BD!$B$3:$B$5001,K$184,BD!$A$3:$A$5001,"&gt;="&amp;$C$7,BD!$A$3:$A$5001,"&lt;="&amp;$B188,BD!$L$3:$L$5001,"&lt;&gt;")=0,"",SUMIFS(BD!$L$3:$L$5001,BD!$B$3:$B$5001,K$184,BD!$A$3:$A$5001,_xlfn.MAXIFS(BD!$A$3:$A$5001,BD!$B$3:$B$5001,K$184,BD!$A$3:$A$5001,"&gt;="&amp;$C$7,BD!$A$3:$A$5001,"&lt;="&amp;$B188,BD!$L$3:$L$5001,"&lt;&gt;"))))</f>
        <v/>
      </c>
      <c r="L188" s="43" t="str">
        <f>IF(OR($B188="",$A188&gt;$B$9,L$184=""),"",IF(COUNTIFS(BD!$B$3:$B$5001,L$184,BD!$A$3:$A$5001,"&gt;="&amp;$C$7,BD!$A$3:$A$5001,"&lt;="&amp;$B188,BD!$L$3:$L$5001,"&lt;&gt;")=0,"",SUMIFS(BD!$L$3:$L$5001,BD!$B$3:$B$5001,L$184,BD!$A$3:$A$5001,_xlfn.MAXIFS(BD!$A$3:$A$5001,BD!$B$3:$B$5001,L$184,BD!$A$3:$A$5001,"&gt;="&amp;$C$7,BD!$A$3:$A$5001,"&lt;="&amp;$B188,BD!$L$3:$L$5001,"&lt;&gt;"))))</f>
        <v/>
      </c>
      <c r="M188" s="43" t="str">
        <f>IF(OR($B188="",$A188&gt;$B$9,M$184=""),"",IF(COUNTIFS(BD!$B$3:$B$5001,M$184,BD!$A$3:$A$5001,"&gt;="&amp;$C$7,BD!$A$3:$A$5001,"&lt;="&amp;$B188,BD!$L$3:$L$5001,"&lt;&gt;")=0,"",SUMIFS(BD!$L$3:$L$5001,BD!$B$3:$B$5001,M$184,BD!$A$3:$A$5001,_xlfn.MAXIFS(BD!$A$3:$A$5001,BD!$B$3:$B$5001,M$184,BD!$A$3:$A$5001,"&gt;="&amp;$C$7,BD!$A$3:$A$5001,"&lt;="&amp;$B188,BD!$L$3:$L$5001,"&lt;&gt;"))))</f>
        <v/>
      </c>
      <c r="N188" s="43" t="str">
        <f>IF(OR($B188="",$A188&gt;$B$9,N$184=""),"",IF(COUNTIFS(BD!$B$3:$B$5001,N$184,BD!$A$3:$A$5001,"&gt;="&amp;$C$7,BD!$A$3:$A$5001,"&lt;="&amp;$B188,BD!$L$3:$L$5001,"&lt;&gt;")=0,"",SUMIFS(BD!$L$3:$L$5001,BD!$B$3:$B$5001,N$184,BD!$A$3:$A$5001,_xlfn.MAXIFS(BD!$A$3:$A$5001,BD!$B$3:$B$5001,N$184,BD!$A$3:$A$5001,"&gt;="&amp;$C$7,BD!$A$3:$A$5001,"&lt;="&amp;$B188,BD!$L$3:$L$5001,"&lt;&gt;"))))</f>
        <v/>
      </c>
      <c r="O188" s="43" t="str">
        <f>IF(OR($B188="",$A188&gt;$B$9,O$184=""),"",IF(COUNTIFS(BD!$B$3:$B$5001,O$184,BD!$A$3:$A$5001,"&gt;="&amp;$C$7,BD!$A$3:$A$5001,"&lt;="&amp;$B188,BD!$L$3:$L$5001,"&lt;&gt;")=0,"",SUMIFS(BD!$L$3:$L$5001,BD!$B$3:$B$5001,O$184,BD!$A$3:$A$5001,_xlfn.MAXIFS(BD!$A$3:$A$5001,BD!$B$3:$B$5001,O$184,BD!$A$3:$A$5001,"&gt;="&amp;$C$7,BD!$A$3:$A$5001,"&lt;="&amp;$B188,BD!$L$3:$L$5001,"&lt;&gt;"))))</f>
        <v/>
      </c>
      <c r="P188" s="43" t="str">
        <f>IF(OR($B188="",$A188&gt;$B$9,P$184=""),"",IF(COUNTIFS(BD!$B$3:$B$5001,P$184,BD!$A$3:$A$5001,"&gt;="&amp;$C$7,BD!$A$3:$A$5001,"&lt;="&amp;$B188,BD!$L$3:$L$5001,"&lt;&gt;")=0,"",SUMIFS(BD!$L$3:$L$5001,BD!$B$3:$B$5001,P$184,BD!$A$3:$A$5001,_xlfn.MAXIFS(BD!$A$3:$A$5001,BD!$B$3:$B$5001,P$184,BD!$A$3:$A$5001,"&gt;="&amp;$C$7,BD!$A$3:$A$5001,"&lt;="&amp;$B188,BD!$L$3:$L$5001,"&lt;&gt;"))))</f>
        <v/>
      </c>
      <c r="Q188" s="43" t="str">
        <f>IF(OR($B188="",$A188&gt;$B$9,Q$184=""),"",IF(COUNTIFS(BD!$B$3:$B$5001,Q$184,BD!$A$3:$A$5001,"&gt;="&amp;$C$7,BD!$A$3:$A$5001,"&lt;="&amp;$B188,BD!$L$3:$L$5001,"&lt;&gt;")=0,"",SUMIFS(BD!$L$3:$L$5001,BD!$B$3:$B$5001,Q$184,BD!$A$3:$A$5001,_xlfn.MAXIFS(BD!$A$3:$A$5001,BD!$B$3:$B$5001,Q$184,BD!$A$3:$A$5001,"&gt;="&amp;$C$7,BD!$A$3:$A$5001,"&lt;="&amp;$B188,BD!$L$3:$L$5001,"&lt;&gt;"))))</f>
        <v/>
      </c>
      <c r="R188" s="43" t="str">
        <f>IF(OR($B188="",$A188&gt;$B$9,R$184=""),"",IF(COUNTIFS(BD!$B$3:$B$5001,R$184,BD!$A$3:$A$5001,"&gt;="&amp;$C$7,BD!$A$3:$A$5001,"&lt;="&amp;$B188,BD!$L$3:$L$5001,"&lt;&gt;")=0,"",SUMIFS(BD!$L$3:$L$5001,BD!$B$3:$B$5001,R$184,BD!$A$3:$A$5001,_xlfn.MAXIFS(BD!$A$3:$A$5001,BD!$B$3:$B$5001,R$184,BD!$A$3:$A$5001,"&gt;="&amp;$C$7,BD!$A$3:$A$5001,"&lt;="&amp;$B188,BD!$L$3:$L$5001,"&lt;&gt;"))))</f>
        <v/>
      </c>
      <c r="S188" s="43" t="str">
        <f>IF(OR($B188="",$A188&gt;$B$9,S$184=""),"",IF(COUNTIFS(BD!$B$3:$B$5001,S$184,BD!$A$3:$A$5001,"&gt;="&amp;$C$7,BD!$A$3:$A$5001,"&lt;="&amp;$B188,BD!$L$3:$L$5001,"&lt;&gt;")=0,"",SUMIFS(BD!$L$3:$L$5001,BD!$B$3:$B$5001,S$184,BD!$A$3:$A$5001,_xlfn.MAXIFS(BD!$A$3:$A$5001,BD!$B$3:$B$5001,S$184,BD!$A$3:$A$5001,"&gt;="&amp;$C$7,BD!$A$3:$A$5001,"&lt;="&amp;$B188,BD!$L$3:$L$5001,"&lt;&gt;"))))</f>
        <v/>
      </c>
      <c r="T188" s="43" t="str">
        <f>IF(OR($B188="",$A188&gt;$B$9,T$184=""),"",IF(COUNTIFS(BD!$B$3:$B$5001,T$184,BD!$A$3:$A$5001,"&gt;="&amp;$C$7,BD!$A$3:$A$5001,"&lt;="&amp;$B188,BD!$L$3:$L$5001,"&lt;&gt;")=0,"",SUMIFS(BD!$L$3:$L$5001,BD!$B$3:$B$5001,T$184,BD!$A$3:$A$5001,_xlfn.MAXIFS(BD!$A$3:$A$5001,BD!$B$3:$B$5001,T$184,BD!$A$3:$A$5001,"&gt;="&amp;$C$7,BD!$A$3:$A$5001,"&lt;="&amp;$B188,BD!$L$3:$L$5001,"&lt;&gt;"))))</f>
        <v/>
      </c>
      <c r="U188" s="43" t="str">
        <f>IF(OR($B188="",$A188&gt;$B$9,U$184=""),"",IF(COUNTIFS(BD!$B$3:$B$5001,U$184,BD!$A$3:$A$5001,"&gt;="&amp;$C$7,BD!$A$3:$A$5001,"&lt;="&amp;$B188,BD!$L$3:$L$5001,"&lt;&gt;")=0,"",SUMIFS(BD!$L$3:$L$5001,BD!$B$3:$B$5001,U$184,BD!$A$3:$A$5001,_xlfn.MAXIFS(BD!$A$3:$A$5001,BD!$B$3:$B$5001,U$184,BD!$A$3:$A$5001,"&gt;="&amp;$C$7,BD!$A$3:$A$5001,"&lt;="&amp;$B188,BD!$L$3:$L$5001,"&lt;&gt;"))))</f>
        <v/>
      </c>
      <c r="V188" s="43" t="str">
        <f>IF(OR($B188="",$A188&gt;$B$9,V$184=""),"",IF(COUNTIFS(BD!$B$3:$B$5001,V$184,BD!$A$3:$A$5001,"&gt;="&amp;$C$7,BD!$A$3:$A$5001,"&lt;="&amp;$B188,BD!$L$3:$L$5001,"&lt;&gt;")=0,"",SUMIFS(BD!$L$3:$L$5001,BD!$B$3:$B$5001,V$184,BD!$A$3:$A$5001,_xlfn.MAXIFS(BD!$A$3:$A$5001,BD!$B$3:$B$5001,V$184,BD!$A$3:$A$5001,"&gt;="&amp;$C$7,BD!$A$3:$A$5001,"&lt;="&amp;$B188,BD!$L$3:$L$5001,"&lt;&gt;"))))</f>
        <v/>
      </c>
    </row>
    <row r="189">
      <c r="A189" s="38">
        <v>5</v>
      </c>
      <c r="B189" s="42">
        <f>$B$16</f>
        <v>46300</v>
      </c>
      <c r="C189" s="43" t="str">
        <f>IF(OR($B189="",$A189&gt;$B$9,C$184=""),"",IF(COUNTIFS(BD!$B$3:$B$5001,C$184,BD!$A$3:$A$5001,"&gt;="&amp;$C$7,BD!$A$3:$A$5001,"&lt;="&amp;$B189,BD!$L$3:$L$5001,"&lt;&gt;")=0,"",SUMIFS(BD!$L$3:$L$5001,BD!$B$3:$B$5001,C$184,BD!$A$3:$A$5001,_xlfn.MAXIFS(BD!$A$3:$A$5001,BD!$B$3:$B$5001,C$184,BD!$A$3:$A$5001,"&gt;="&amp;$C$7,BD!$A$3:$A$5001,"&lt;="&amp;$B189,BD!$L$3:$L$5001,"&lt;&gt;"))))</f>
        <v/>
      </c>
      <c r="D189" s="43" t="str">
        <f>IF(OR($B189="",$A189&gt;$B$9,D$184=""),"",IF(COUNTIFS(BD!$B$3:$B$5001,D$184,BD!$A$3:$A$5001,"&gt;="&amp;$C$7,BD!$A$3:$A$5001,"&lt;="&amp;$B189,BD!$L$3:$L$5001,"&lt;&gt;")=0,"",SUMIFS(BD!$L$3:$L$5001,BD!$B$3:$B$5001,D$184,BD!$A$3:$A$5001,_xlfn.MAXIFS(BD!$A$3:$A$5001,BD!$B$3:$B$5001,D$184,BD!$A$3:$A$5001,"&gt;="&amp;$C$7,BD!$A$3:$A$5001,"&lt;="&amp;$B189,BD!$L$3:$L$5001,"&lt;&gt;"))))</f>
        <v/>
      </c>
      <c r="E189" s="43" t="str">
        <f>IF(OR($B189="",$A189&gt;$B$9,E$184=""),"",IF(COUNTIFS(BD!$B$3:$B$5001,E$184,BD!$A$3:$A$5001,"&gt;="&amp;$C$7,BD!$A$3:$A$5001,"&lt;="&amp;$B189,BD!$L$3:$L$5001,"&lt;&gt;")=0,"",SUMIFS(BD!$L$3:$L$5001,BD!$B$3:$B$5001,E$184,BD!$A$3:$A$5001,_xlfn.MAXIFS(BD!$A$3:$A$5001,BD!$B$3:$B$5001,E$184,BD!$A$3:$A$5001,"&gt;="&amp;$C$7,BD!$A$3:$A$5001,"&lt;="&amp;$B189,BD!$L$3:$L$5001,"&lt;&gt;"))))</f>
        <v/>
      </c>
      <c r="F189" s="43" t="str">
        <f>IF(OR($B189="",$A189&gt;$B$9,F$184=""),"",IF(COUNTIFS(BD!$B$3:$B$5001,F$184,BD!$A$3:$A$5001,"&gt;="&amp;$C$7,BD!$A$3:$A$5001,"&lt;="&amp;$B189,BD!$L$3:$L$5001,"&lt;&gt;")=0,"",SUMIFS(BD!$L$3:$L$5001,BD!$B$3:$B$5001,F$184,BD!$A$3:$A$5001,_xlfn.MAXIFS(BD!$A$3:$A$5001,BD!$B$3:$B$5001,F$184,BD!$A$3:$A$5001,"&gt;="&amp;$C$7,BD!$A$3:$A$5001,"&lt;="&amp;$B189,BD!$L$3:$L$5001,"&lt;&gt;"))))</f>
        <v/>
      </c>
      <c r="G189" s="43" t="str">
        <f>IF(OR($B189="",$A189&gt;$B$9,G$184=""),"",IF(COUNTIFS(BD!$B$3:$B$5001,G$184,BD!$A$3:$A$5001,"&gt;="&amp;$C$7,BD!$A$3:$A$5001,"&lt;="&amp;$B189,BD!$L$3:$L$5001,"&lt;&gt;")=0,"",SUMIFS(BD!$L$3:$L$5001,BD!$B$3:$B$5001,G$184,BD!$A$3:$A$5001,_xlfn.MAXIFS(BD!$A$3:$A$5001,BD!$B$3:$B$5001,G$184,BD!$A$3:$A$5001,"&gt;="&amp;$C$7,BD!$A$3:$A$5001,"&lt;="&amp;$B189,BD!$L$3:$L$5001,"&lt;&gt;"))))</f>
        <v/>
      </c>
      <c r="H189" s="43" t="str">
        <f>IF(OR($B189="",$A189&gt;$B$9,H$184=""),"",IF(COUNTIFS(BD!$B$3:$B$5001,H$184,BD!$A$3:$A$5001,"&gt;="&amp;$C$7,BD!$A$3:$A$5001,"&lt;="&amp;$B189,BD!$L$3:$L$5001,"&lt;&gt;")=0,"",SUMIFS(BD!$L$3:$L$5001,BD!$B$3:$B$5001,H$184,BD!$A$3:$A$5001,_xlfn.MAXIFS(BD!$A$3:$A$5001,BD!$B$3:$B$5001,H$184,BD!$A$3:$A$5001,"&gt;="&amp;$C$7,BD!$A$3:$A$5001,"&lt;="&amp;$B189,BD!$L$3:$L$5001,"&lt;&gt;"))))</f>
        <v/>
      </c>
      <c r="I189" s="43" t="str">
        <f>IF(OR($B189="",$A189&gt;$B$9,I$184=""),"",IF(COUNTIFS(BD!$B$3:$B$5001,I$184,BD!$A$3:$A$5001,"&gt;="&amp;$C$7,BD!$A$3:$A$5001,"&lt;="&amp;$B189,BD!$L$3:$L$5001,"&lt;&gt;")=0,"",SUMIFS(BD!$L$3:$L$5001,BD!$B$3:$B$5001,I$184,BD!$A$3:$A$5001,_xlfn.MAXIFS(BD!$A$3:$A$5001,BD!$B$3:$B$5001,I$184,BD!$A$3:$A$5001,"&gt;="&amp;$C$7,BD!$A$3:$A$5001,"&lt;="&amp;$B189,BD!$L$3:$L$5001,"&lt;&gt;"))))</f>
        <v/>
      </c>
      <c r="J189" s="43" t="str">
        <f>IF(OR($B189="",$A189&gt;$B$9,J$184=""),"",IF(COUNTIFS(BD!$B$3:$B$5001,J$184,BD!$A$3:$A$5001,"&gt;="&amp;$C$7,BD!$A$3:$A$5001,"&lt;="&amp;$B189,BD!$L$3:$L$5001,"&lt;&gt;")=0,"",SUMIFS(BD!$L$3:$L$5001,BD!$B$3:$B$5001,J$184,BD!$A$3:$A$5001,_xlfn.MAXIFS(BD!$A$3:$A$5001,BD!$B$3:$B$5001,J$184,BD!$A$3:$A$5001,"&gt;="&amp;$C$7,BD!$A$3:$A$5001,"&lt;="&amp;$B189,BD!$L$3:$L$5001,"&lt;&gt;"))))</f>
        <v/>
      </c>
      <c r="K189" s="43" t="str">
        <f>IF(OR($B189="",$A189&gt;$B$9,K$184=""),"",IF(COUNTIFS(BD!$B$3:$B$5001,K$184,BD!$A$3:$A$5001,"&gt;="&amp;$C$7,BD!$A$3:$A$5001,"&lt;="&amp;$B189,BD!$L$3:$L$5001,"&lt;&gt;")=0,"",SUMIFS(BD!$L$3:$L$5001,BD!$B$3:$B$5001,K$184,BD!$A$3:$A$5001,_xlfn.MAXIFS(BD!$A$3:$A$5001,BD!$B$3:$B$5001,K$184,BD!$A$3:$A$5001,"&gt;="&amp;$C$7,BD!$A$3:$A$5001,"&lt;="&amp;$B189,BD!$L$3:$L$5001,"&lt;&gt;"))))</f>
        <v/>
      </c>
      <c r="L189" s="43" t="str">
        <f>IF(OR($B189="",$A189&gt;$B$9,L$184=""),"",IF(COUNTIFS(BD!$B$3:$B$5001,L$184,BD!$A$3:$A$5001,"&gt;="&amp;$C$7,BD!$A$3:$A$5001,"&lt;="&amp;$B189,BD!$L$3:$L$5001,"&lt;&gt;")=0,"",SUMIFS(BD!$L$3:$L$5001,BD!$B$3:$B$5001,L$184,BD!$A$3:$A$5001,_xlfn.MAXIFS(BD!$A$3:$A$5001,BD!$B$3:$B$5001,L$184,BD!$A$3:$A$5001,"&gt;="&amp;$C$7,BD!$A$3:$A$5001,"&lt;="&amp;$B189,BD!$L$3:$L$5001,"&lt;&gt;"))))</f>
        <v/>
      </c>
      <c r="M189" s="43" t="str">
        <f>IF(OR($B189="",$A189&gt;$B$9,M$184=""),"",IF(COUNTIFS(BD!$B$3:$B$5001,M$184,BD!$A$3:$A$5001,"&gt;="&amp;$C$7,BD!$A$3:$A$5001,"&lt;="&amp;$B189,BD!$L$3:$L$5001,"&lt;&gt;")=0,"",SUMIFS(BD!$L$3:$L$5001,BD!$B$3:$B$5001,M$184,BD!$A$3:$A$5001,_xlfn.MAXIFS(BD!$A$3:$A$5001,BD!$B$3:$B$5001,M$184,BD!$A$3:$A$5001,"&gt;="&amp;$C$7,BD!$A$3:$A$5001,"&lt;="&amp;$B189,BD!$L$3:$L$5001,"&lt;&gt;"))))</f>
        <v/>
      </c>
      <c r="N189" s="43" t="str">
        <f>IF(OR($B189="",$A189&gt;$B$9,N$184=""),"",IF(COUNTIFS(BD!$B$3:$B$5001,N$184,BD!$A$3:$A$5001,"&gt;="&amp;$C$7,BD!$A$3:$A$5001,"&lt;="&amp;$B189,BD!$L$3:$L$5001,"&lt;&gt;")=0,"",SUMIFS(BD!$L$3:$L$5001,BD!$B$3:$B$5001,N$184,BD!$A$3:$A$5001,_xlfn.MAXIFS(BD!$A$3:$A$5001,BD!$B$3:$B$5001,N$184,BD!$A$3:$A$5001,"&gt;="&amp;$C$7,BD!$A$3:$A$5001,"&lt;="&amp;$B189,BD!$L$3:$L$5001,"&lt;&gt;"))))</f>
        <v/>
      </c>
      <c r="O189" s="43" t="str">
        <f>IF(OR($B189="",$A189&gt;$B$9,O$184=""),"",IF(COUNTIFS(BD!$B$3:$B$5001,O$184,BD!$A$3:$A$5001,"&gt;="&amp;$C$7,BD!$A$3:$A$5001,"&lt;="&amp;$B189,BD!$L$3:$L$5001,"&lt;&gt;")=0,"",SUMIFS(BD!$L$3:$L$5001,BD!$B$3:$B$5001,O$184,BD!$A$3:$A$5001,_xlfn.MAXIFS(BD!$A$3:$A$5001,BD!$B$3:$B$5001,O$184,BD!$A$3:$A$5001,"&gt;="&amp;$C$7,BD!$A$3:$A$5001,"&lt;="&amp;$B189,BD!$L$3:$L$5001,"&lt;&gt;"))))</f>
        <v/>
      </c>
      <c r="P189" s="43" t="str">
        <f>IF(OR($B189="",$A189&gt;$B$9,P$184=""),"",IF(COUNTIFS(BD!$B$3:$B$5001,P$184,BD!$A$3:$A$5001,"&gt;="&amp;$C$7,BD!$A$3:$A$5001,"&lt;="&amp;$B189,BD!$L$3:$L$5001,"&lt;&gt;")=0,"",SUMIFS(BD!$L$3:$L$5001,BD!$B$3:$B$5001,P$184,BD!$A$3:$A$5001,_xlfn.MAXIFS(BD!$A$3:$A$5001,BD!$B$3:$B$5001,P$184,BD!$A$3:$A$5001,"&gt;="&amp;$C$7,BD!$A$3:$A$5001,"&lt;="&amp;$B189,BD!$L$3:$L$5001,"&lt;&gt;"))))</f>
        <v/>
      </c>
      <c r="Q189" s="43" t="str">
        <f>IF(OR($B189="",$A189&gt;$B$9,Q$184=""),"",IF(COUNTIFS(BD!$B$3:$B$5001,Q$184,BD!$A$3:$A$5001,"&gt;="&amp;$C$7,BD!$A$3:$A$5001,"&lt;="&amp;$B189,BD!$L$3:$L$5001,"&lt;&gt;")=0,"",SUMIFS(BD!$L$3:$L$5001,BD!$B$3:$B$5001,Q$184,BD!$A$3:$A$5001,_xlfn.MAXIFS(BD!$A$3:$A$5001,BD!$B$3:$B$5001,Q$184,BD!$A$3:$A$5001,"&gt;="&amp;$C$7,BD!$A$3:$A$5001,"&lt;="&amp;$B189,BD!$L$3:$L$5001,"&lt;&gt;"))))</f>
        <v/>
      </c>
      <c r="R189" s="43" t="str">
        <f>IF(OR($B189="",$A189&gt;$B$9,R$184=""),"",IF(COUNTIFS(BD!$B$3:$B$5001,R$184,BD!$A$3:$A$5001,"&gt;="&amp;$C$7,BD!$A$3:$A$5001,"&lt;="&amp;$B189,BD!$L$3:$L$5001,"&lt;&gt;")=0,"",SUMIFS(BD!$L$3:$L$5001,BD!$B$3:$B$5001,R$184,BD!$A$3:$A$5001,_xlfn.MAXIFS(BD!$A$3:$A$5001,BD!$B$3:$B$5001,R$184,BD!$A$3:$A$5001,"&gt;="&amp;$C$7,BD!$A$3:$A$5001,"&lt;="&amp;$B189,BD!$L$3:$L$5001,"&lt;&gt;"))))</f>
        <v/>
      </c>
      <c r="S189" s="43" t="str">
        <f>IF(OR($B189="",$A189&gt;$B$9,S$184=""),"",IF(COUNTIFS(BD!$B$3:$B$5001,S$184,BD!$A$3:$A$5001,"&gt;="&amp;$C$7,BD!$A$3:$A$5001,"&lt;="&amp;$B189,BD!$L$3:$L$5001,"&lt;&gt;")=0,"",SUMIFS(BD!$L$3:$L$5001,BD!$B$3:$B$5001,S$184,BD!$A$3:$A$5001,_xlfn.MAXIFS(BD!$A$3:$A$5001,BD!$B$3:$B$5001,S$184,BD!$A$3:$A$5001,"&gt;="&amp;$C$7,BD!$A$3:$A$5001,"&lt;="&amp;$B189,BD!$L$3:$L$5001,"&lt;&gt;"))))</f>
        <v/>
      </c>
      <c r="T189" s="43" t="str">
        <f>IF(OR($B189="",$A189&gt;$B$9,T$184=""),"",IF(COUNTIFS(BD!$B$3:$B$5001,T$184,BD!$A$3:$A$5001,"&gt;="&amp;$C$7,BD!$A$3:$A$5001,"&lt;="&amp;$B189,BD!$L$3:$L$5001,"&lt;&gt;")=0,"",SUMIFS(BD!$L$3:$L$5001,BD!$B$3:$B$5001,T$184,BD!$A$3:$A$5001,_xlfn.MAXIFS(BD!$A$3:$A$5001,BD!$B$3:$B$5001,T$184,BD!$A$3:$A$5001,"&gt;="&amp;$C$7,BD!$A$3:$A$5001,"&lt;="&amp;$B189,BD!$L$3:$L$5001,"&lt;&gt;"))))</f>
        <v/>
      </c>
      <c r="U189" s="43" t="str">
        <f>IF(OR($B189="",$A189&gt;$B$9,U$184=""),"",IF(COUNTIFS(BD!$B$3:$B$5001,U$184,BD!$A$3:$A$5001,"&gt;="&amp;$C$7,BD!$A$3:$A$5001,"&lt;="&amp;$B189,BD!$L$3:$L$5001,"&lt;&gt;")=0,"",SUMIFS(BD!$L$3:$L$5001,BD!$B$3:$B$5001,U$184,BD!$A$3:$A$5001,_xlfn.MAXIFS(BD!$A$3:$A$5001,BD!$B$3:$B$5001,U$184,BD!$A$3:$A$5001,"&gt;="&amp;$C$7,BD!$A$3:$A$5001,"&lt;="&amp;$B189,BD!$L$3:$L$5001,"&lt;&gt;"))))</f>
        <v/>
      </c>
      <c r="V189" s="43" t="str">
        <f>IF(OR($B189="",$A189&gt;$B$9,V$184=""),"",IF(COUNTIFS(BD!$B$3:$B$5001,V$184,BD!$A$3:$A$5001,"&gt;="&amp;$C$7,BD!$A$3:$A$5001,"&lt;="&amp;$B189,BD!$L$3:$L$5001,"&lt;&gt;")=0,"",SUMIFS(BD!$L$3:$L$5001,BD!$B$3:$B$5001,V$184,BD!$A$3:$A$5001,_xlfn.MAXIFS(BD!$A$3:$A$5001,BD!$B$3:$B$5001,V$184,BD!$A$3:$A$5001,"&gt;="&amp;$C$7,BD!$A$3:$A$5001,"&lt;="&amp;$B189,BD!$L$3:$L$5001,"&lt;&gt;"))))</f>
        <v/>
      </c>
    </row>
    <row r="190">
      <c r="A190" s="38">
        <v>6</v>
      </c>
      <c r="B190" s="42">
        <f>$B$17</f>
        <v>46301</v>
      </c>
      <c r="C190" s="43" t="str">
        <f>IF(OR($B190="",$A190&gt;$B$9,C$184=""),"",IF(COUNTIFS(BD!$B$3:$B$5001,C$184,BD!$A$3:$A$5001,"&gt;="&amp;$C$7,BD!$A$3:$A$5001,"&lt;="&amp;$B190,BD!$L$3:$L$5001,"&lt;&gt;")=0,"",SUMIFS(BD!$L$3:$L$5001,BD!$B$3:$B$5001,C$184,BD!$A$3:$A$5001,_xlfn.MAXIFS(BD!$A$3:$A$5001,BD!$B$3:$B$5001,C$184,BD!$A$3:$A$5001,"&gt;="&amp;$C$7,BD!$A$3:$A$5001,"&lt;="&amp;$B190,BD!$L$3:$L$5001,"&lt;&gt;"))))</f>
        <v/>
      </c>
      <c r="D190" s="43" t="str">
        <f>IF(OR($B190="",$A190&gt;$B$9,D$184=""),"",IF(COUNTIFS(BD!$B$3:$B$5001,D$184,BD!$A$3:$A$5001,"&gt;="&amp;$C$7,BD!$A$3:$A$5001,"&lt;="&amp;$B190,BD!$L$3:$L$5001,"&lt;&gt;")=0,"",SUMIFS(BD!$L$3:$L$5001,BD!$B$3:$B$5001,D$184,BD!$A$3:$A$5001,_xlfn.MAXIFS(BD!$A$3:$A$5001,BD!$B$3:$B$5001,D$184,BD!$A$3:$A$5001,"&gt;="&amp;$C$7,BD!$A$3:$A$5001,"&lt;="&amp;$B190,BD!$L$3:$L$5001,"&lt;&gt;"))))</f>
        <v/>
      </c>
      <c r="E190" s="43" t="str">
        <f>IF(OR($B190="",$A190&gt;$B$9,E$184=""),"",IF(COUNTIFS(BD!$B$3:$B$5001,E$184,BD!$A$3:$A$5001,"&gt;="&amp;$C$7,BD!$A$3:$A$5001,"&lt;="&amp;$B190,BD!$L$3:$L$5001,"&lt;&gt;")=0,"",SUMIFS(BD!$L$3:$L$5001,BD!$B$3:$B$5001,E$184,BD!$A$3:$A$5001,_xlfn.MAXIFS(BD!$A$3:$A$5001,BD!$B$3:$B$5001,E$184,BD!$A$3:$A$5001,"&gt;="&amp;$C$7,BD!$A$3:$A$5001,"&lt;="&amp;$B190,BD!$L$3:$L$5001,"&lt;&gt;"))))</f>
        <v/>
      </c>
      <c r="F190" s="43" t="str">
        <f>IF(OR($B190="",$A190&gt;$B$9,F$184=""),"",IF(COUNTIFS(BD!$B$3:$B$5001,F$184,BD!$A$3:$A$5001,"&gt;="&amp;$C$7,BD!$A$3:$A$5001,"&lt;="&amp;$B190,BD!$L$3:$L$5001,"&lt;&gt;")=0,"",SUMIFS(BD!$L$3:$L$5001,BD!$B$3:$B$5001,F$184,BD!$A$3:$A$5001,_xlfn.MAXIFS(BD!$A$3:$A$5001,BD!$B$3:$B$5001,F$184,BD!$A$3:$A$5001,"&gt;="&amp;$C$7,BD!$A$3:$A$5001,"&lt;="&amp;$B190,BD!$L$3:$L$5001,"&lt;&gt;"))))</f>
        <v/>
      </c>
      <c r="G190" s="43" t="str">
        <f>IF(OR($B190="",$A190&gt;$B$9,G$184=""),"",IF(COUNTIFS(BD!$B$3:$B$5001,G$184,BD!$A$3:$A$5001,"&gt;="&amp;$C$7,BD!$A$3:$A$5001,"&lt;="&amp;$B190,BD!$L$3:$L$5001,"&lt;&gt;")=0,"",SUMIFS(BD!$L$3:$L$5001,BD!$B$3:$B$5001,G$184,BD!$A$3:$A$5001,_xlfn.MAXIFS(BD!$A$3:$A$5001,BD!$B$3:$B$5001,G$184,BD!$A$3:$A$5001,"&gt;="&amp;$C$7,BD!$A$3:$A$5001,"&lt;="&amp;$B190,BD!$L$3:$L$5001,"&lt;&gt;"))))</f>
        <v/>
      </c>
      <c r="H190" s="43" t="str">
        <f>IF(OR($B190="",$A190&gt;$B$9,H$184=""),"",IF(COUNTIFS(BD!$B$3:$B$5001,H$184,BD!$A$3:$A$5001,"&gt;="&amp;$C$7,BD!$A$3:$A$5001,"&lt;="&amp;$B190,BD!$L$3:$L$5001,"&lt;&gt;")=0,"",SUMIFS(BD!$L$3:$L$5001,BD!$B$3:$B$5001,H$184,BD!$A$3:$A$5001,_xlfn.MAXIFS(BD!$A$3:$A$5001,BD!$B$3:$B$5001,H$184,BD!$A$3:$A$5001,"&gt;="&amp;$C$7,BD!$A$3:$A$5001,"&lt;="&amp;$B190,BD!$L$3:$L$5001,"&lt;&gt;"))))</f>
        <v/>
      </c>
      <c r="I190" s="43" t="str">
        <f>IF(OR($B190="",$A190&gt;$B$9,I$184=""),"",IF(COUNTIFS(BD!$B$3:$B$5001,I$184,BD!$A$3:$A$5001,"&gt;="&amp;$C$7,BD!$A$3:$A$5001,"&lt;="&amp;$B190,BD!$L$3:$L$5001,"&lt;&gt;")=0,"",SUMIFS(BD!$L$3:$L$5001,BD!$B$3:$B$5001,I$184,BD!$A$3:$A$5001,_xlfn.MAXIFS(BD!$A$3:$A$5001,BD!$B$3:$B$5001,I$184,BD!$A$3:$A$5001,"&gt;="&amp;$C$7,BD!$A$3:$A$5001,"&lt;="&amp;$B190,BD!$L$3:$L$5001,"&lt;&gt;"))))</f>
        <v/>
      </c>
      <c r="J190" s="43" t="str">
        <f>IF(OR($B190="",$A190&gt;$B$9,J$184=""),"",IF(COUNTIFS(BD!$B$3:$B$5001,J$184,BD!$A$3:$A$5001,"&gt;="&amp;$C$7,BD!$A$3:$A$5001,"&lt;="&amp;$B190,BD!$L$3:$L$5001,"&lt;&gt;")=0,"",SUMIFS(BD!$L$3:$L$5001,BD!$B$3:$B$5001,J$184,BD!$A$3:$A$5001,_xlfn.MAXIFS(BD!$A$3:$A$5001,BD!$B$3:$B$5001,J$184,BD!$A$3:$A$5001,"&gt;="&amp;$C$7,BD!$A$3:$A$5001,"&lt;="&amp;$B190,BD!$L$3:$L$5001,"&lt;&gt;"))))</f>
        <v/>
      </c>
      <c r="K190" s="43" t="str">
        <f>IF(OR($B190="",$A190&gt;$B$9,K$184=""),"",IF(COUNTIFS(BD!$B$3:$B$5001,K$184,BD!$A$3:$A$5001,"&gt;="&amp;$C$7,BD!$A$3:$A$5001,"&lt;="&amp;$B190,BD!$L$3:$L$5001,"&lt;&gt;")=0,"",SUMIFS(BD!$L$3:$L$5001,BD!$B$3:$B$5001,K$184,BD!$A$3:$A$5001,_xlfn.MAXIFS(BD!$A$3:$A$5001,BD!$B$3:$B$5001,K$184,BD!$A$3:$A$5001,"&gt;="&amp;$C$7,BD!$A$3:$A$5001,"&lt;="&amp;$B190,BD!$L$3:$L$5001,"&lt;&gt;"))))</f>
        <v/>
      </c>
      <c r="L190" s="43" t="str">
        <f>IF(OR($B190="",$A190&gt;$B$9,L$184=""),"",IF(COUNTIFS(BD!$B$3:$B$5001,L$184,BD!$A$3:$A$5001,"&gt;="&amp;$C$7,BD!$A$3:$A$5001,"&lt;="&amp;$B190,BD!$L$3:$L$5001,"&lt;&gt;")=0,"",SUMIFS(BD!$L$3:$L$5001,BD!$B$3:$B$5001,L$184,BD!$A$3:$A$5001,_xlfn.MAXIFS(BD!$A$3:$A$5001,BD!$B$3:$B$5001,L$184,BD!$A$3:$A$5001,"&gt;="&amp;$C$7,BD!$A$3:$A$5001,"&lt;="&amp;$B190,BD!$L$3:$L$5001,"&lt;&gt;"))))</f>
        <v/>
      </c>
      <c r="M190" s="43" t="str">
        <f>IF(OR($B190="",$A190&gt;$B$9,M$184=""),"",IF(COUNTIFS(BD!$B$3:$B$5001,M$184,BD!$A$3:$A$5001,"&gt;="&amp;$C$7,BD!$A$3:$A$5001,"&lt;="&amp;$B190,BD!$L$3:$L$5001,"&lt;&gt;")=0,"",SUMIFS(BD!$L$3:$L$5001,BD!$B$3:$B$5001,M$184,BD!$A$3:$A$5001,_xlfn.MAXIFS(BD!$A$3:$A$5001,BD!$B$3:$B$5001,M$184,BD!$A$3:$A$5001,"&gt;="&amp;$C$7,BD!$A$3:$A$5001,"&lt;="&amp;$B190,BD!$L$3:$L$5001,"&lt;&gt;"))))</f>
        <v/>
      </c>
      <c r="N190" s="43" t="str">
        <f>IF(OR($B190="",$A190&gt;$B$9,N$184=""),"",IF(COUNTIFS(BD!$B$3:$B$5001,N$184,BD!$A$3:$A$5001,"&gt;="&amp;$C$7,BD!$A$3:$A$5001,"&lt;="&amp;$B190,BD!$L$3:$L$5001,"&lt;&gt;")=0,"",SUMIFS(BD!$L$3:$L$5001,BD!$B$3:$B$5001,N$184,BD!$A$3:$A$5001,_xlfn.MAXIFS(BD!$A$3:$A$5001,BD!$B$3:$B$5001,N$184,BD!$A$3:$A$5001,"&gt;="&amp;$C$7,BD!$A$3:$A$5001,"&lt;="&amp;$B190,BD!$L$3:$L$5001,"&lt;&gt;"))))</f>
        <v/>
      </c>
      <c r="O190" s="43" t="str">
        <f>IF(OR($B190="",$A190&gt;$B$9,O$184=""),"",IF(COUNTIFS(BD!$B$3:$B$5001,O$184,BD!$A$3:$A$5001,"&gt;="&amp;$C$7,BD!$A$3:$A$5001,"&lt;="&amp;$B190,BD!$L$3:$L$5001,"&lt;&gt;")=0,"",SUMIFS(BD!$L$3:$L$5001,BD!$B$3:$B$5001,O$184,BD!$A$3:$A$5001,_xlfn.MAXIFS(BD!$A$3:$A$5001,BD!$B$3:$B$5001,O$184,BD!$A$3:$A$5001,"&gt;="&amp;$C$7,BD!$A$3:$A$5001,"&lt;="&amp;$B190,BD!$L$3:$L$5001,"&lt;&gt;"))))</f>
        <v/>
      </c>
      <c r="P190" s="43" t="str">
        <f>IF(OR($B190="",$A190&gt;$B$9,P$184=""),"",IF(COUNTIFS(BD!$B$3:$B$5001,P$184,BD!$A$3:$A$5001,"&gt;="&amp;$C$7,BD!$A$3:$A$5001,"&lt;="&amp;$B190,BD!$L$3:$L$5001,"&lt;&gt;")=0,"",SUMIFS(BD!$L$3:$L$5001,BD!$B$3:$B$5001,P$184,BD!$A$3:$A$5001,_xlfn.MAXIFS(BD!$A$3:$A$5001,BD!$B$3:$B$5001,P$184,BD!$A$3:$A$5001,"&gt;="&amp;$C$7,BD!$A$3:$A$5001,"&lt;="&amp;$B190,BD!$L$3:$L$5001,"&lt;&gt;"))))</f>
        <v/>
      </c>
      <c r="Q190" s="43" t="str">
        <f>IF(OR($B190="",$A190&gt;$B$9,Q$184=""),"",IF(COUNTIFS(BD!$B$3:$B$5001,Q$184,BD!$A$3:$A$5001,"&gt;="&amp;$C$7,BD!$A$3:$A$5001,"&lt;="&amp;$B190,BD!$L$3:$L$5001,"&lt;&gt;")=0,"",SUMIFS(BD!$L$3:$L$5001,BD!$B$3:$B$5001,Q$184,BD!$A$3:$A$5001,_xlfn.MAXIFS(BD!$A$3:$A$5001,BD!$B$3:$B$5001,Q$184,BD!$A$3:$A$5001,"&gt;="&amp;$C$7,BD!$A$3:$A$5001,"&lt;="&amp;$B190,BD!$L$3:$L$5001,"&lt;&gt;"))))</f>
        <v/>
      </c>
      <c r="R190" s="43" t="str">
        <f>IF(OR($B190="",$A190&gt;$B$9,R$184=""),"",IF(COUNTIFS(BD!$B$3:$B$5001,R$184,BD!$A$3:$A$5001,"&gt;="&amp;$C$7,BD!$A$3:$A$5001,"&lt;="&amp;$B190,BD!$L$3:$L$5001,"&lt;&gt;")=0,"",SUMIFS(BD!$L$3:$L$5001,BD!$B$3:$B$5001,R$184,BD!$A$3:$A$5001,_xlfn.MAXIFS(BD!$A$3:$A$5001,BD!$B$3:$B$5001,R$184,BD!$A$3:$A$5001,"&gt;="&amp;$C$7,BD!$A$3:$A$5001,"&lt;="&amp;$B190,BD!$L$3:$L$5001,"&lt;&gt;"))))</f>
        <v/>
      </c>
      <c r="S190" s="43" t="str">
        <f>IF(OR($B190="",$A190&gt;$B$9,S$184=""),"",IF(COUNTIFS(BD!$B$3:$B$5001,S$184,BD!$A$3:$A$5001,"&gt;="&amp;$C$7,BD!$A$3:$A$5001,"&lt;="&amp;$B190,BD!$L$3:$L$5001,"&lt;&gt;")=0,"",SUMIFS(BD!$L$3:$L$5001,BD!$B$3:$B$5001,S$184,BD!$A$3:$A$5001,_xlfn.MAXIFS(BD!$A$3:$A$5001,BD!$B$3:$B$5001,S$184,BD!$A$3:$A$5001,"&gt;="&amp;$C$7,BD!$A$3:$A$5001,"&lt;="&amp;$B190,BD!$L$3:$L$5001,"&lt;&gt;"))))</f>
        <v/>
      </c>
      <c r="T190" s="43" t="str">
        <f>IF(OR($B190="",$A190&gt;$B$9,T$184=""),"",IF(COUNTIFS(BD!$B$3:$B$5001,T$184,BD!$A$3:$A$5001,"&gt;="&amp;$C$7,BD!$A$3:$A$5001,"&lt;="&amp;$B190,BD!$L$3:$L$5001,"&lt;&gt;")=0,"",SUMIFS(BD!$L$3:$L$5001,BD!$B$3:$B$5001,T$184,BD!$A$3:$A$5001,_xlfn.MAXIFS(BD!$A$3:$A$5001,BD!$B$3:$B$5001,T$184,BD!$A$3:$A$5001,"&gt;="&amp;$C$7,BD!$A$3:$A$5001,"&lt;="&amp;$B190,BD!$L$3:$L$5001,"&lt;&gt;"))))</f>
        <v/>
      </c>
      <c r="U190" s="43" t="str">
        <f>IF(OR($B190="",$A190&gt;$B$9,U$184=""),"",IF(COUNTIFS(BD!$B$3:$B$5001,U$184,BD!$A$3:$A$5001,"&gt;="&amp;$C$7,BD!$A$3:$A$5001,"&lt;="&amp;$B190,BD!$L$3:$L$5001,"&lt;&gt;")=0,"",SUMIFS(BD!$L$3:$L$5001,BD!$B$3:$B$5001,U$184,BD!$A$3:$A$5001,_xlfn.MAXIFS(BD!$A$3:$A$5001,BD!$B$3:$B$5001,U$184,BD!$A$3:$A$5001,"&gt;="&amp;$C$7,BD!$A$3:$A$5001,"&lt;="&amp;$B190,BD!$L$3:$L$5001,"&lt;&gt;"))))</f>
        <v/>
      </c>
      <c r="V190" s="43" t="str">
        <f>IF(OR($B190="",$A190&gt;$B$9,V$184=""),"",IF(COUNTIFS(BD!$B$3:$B$5001,V$184,BD!$A$3:$A$5001,"&gt;="&amp;$C$7,BD!$A$3:$A$5001,"&lt;="&amp;$B190,BD!$L$3:$L$5001,"&lt;&gt;")=0,"",SUMIFS(BD!$L$3:$L$5001,BD!$B$3:$B$5001,V$184,BD!$A$3:$A$5001,_xlfn.MAXIFS(BD!$A$3:$A$5001,BD!$B$3:$B$5001,V$184,BD!$A$3:$A$5001,"&gt;="&amp;$C$7,BD!$A$3:$A$5001,"&lt;="&amp;$B190,BD!$L$3:$L$5001,"&lt;&gt;"))))</f>
        <v/>
      </c>
    </row>
    <row r="191">
      <c r="A191" s="38">
        <v>7</v>
      </c>
      <c r="B191" s="42">
        <f>$B$18</f>
        <v>46302</v>
      </c>
      <c r="C191" s="43" t="str">
        <f>IF(OR($B191="",$A191&gt;$B$9,C$184=""),"",IF(COUNTIFS(BD!$B$3:$B$5001,C$184,BD!$A$3:$A$5001,"&gt;="&amp;$C$7,BD!$A$3:$A$5001,"&lt;="&amp;$B191,BD!$L$3:$L$5001,"&lt;&gt;")=0,"",SUMIFS(BD!$L$3:$L$5001,BD!$B$3:$B$5001,C$184,BD!$A$3:$A$5001,_xlfn.MAXIFS(BD!$A$3:$A$5001,BD!$B$3:$B$5001,C$184,BD!$A$3:$A$5001,"&gt;="&amp;$C$7,BD!$A$3:$A$5001,"&lt;="&amp;$B191,BD!$L$3:$L$5001,"&lt;&gt;"))))</f>
        <v/>
      </c>
      <c r="D191" s="43" t="str">
        <f>IF(OR($B191="",$A191&gt;$B$9,D$184=""),"",IF(COUNTIFS(BD!$B$3:$B$5001,D$184,BD!$A$3:$A$5001,"&gt;="&amp;$C$7,BD!$A$3:$A$5001,"&lt;="&amp;$B191,BD!$L$3:$L$5001,"&lt;&gt;")=0,"",SUMIFS(BD!$L$3:$L$5001,BD!$B$3:$B$5001,D$184,BD!$A$3:$A$5001,_xlfn.MAXIFS(BD!$A$3:$A$5001,BD!$B$3:$B$5001,D$184,BD!$A$3:$A$5001,"&gt;="&amp;$C$7,BD!$A$3:$A$5001,"&lt;="&amp;$B191,BD!$L$3:$L$5001,"&lt;&gt;"))))</f>
        <v/>
      </c>
      <c r="E191" s="43" t="str">
        <f>IF(OR($B191="",$A191&gt;$B$9,E$184=""),"",IF(COUNTIFS(BD!$B$3:$B$5001,E$184,BD!$A$3:$A$5001,"&gt;="&amp;$C$7,BD!$A$3:$A$5001,"&lt;="&amp;$B191,BD!$L$3:$L$5001,"&lt;&gt;")=0,"",SUMIFS(BD!$L$3:$L$5001,BD!$B$3:$B$5001,E$184,BD!$A$3:$A$5001,_xlfn.MAXIFS(BD!$A$3:$A$5001,BD!$B$3:$B$5001,E$184,BD!$A$3:$A$5001,"&gt;="&amp;$C$7,BD!$A$3:$A$5001,"&lt;="&amp;$B191,BD!$L$3:$L$5001,"&lt;&gt;"))))</f>
        <v/>
      </c>
      <c r="F191" s="43" t="str">
        <f>IF(OR($B191="",$A191&gt;$B$9,F$184=""),"",IF(COUNTIFS(BD!$B$3:$B$5001,F$184,BD!$A$3:$A$5001,"&gt;="&amp;$C$7,BD!$A$3:$A$5001,"&lt;="&amp;$B191,BD!$L$3:$L$5001,"&lt;&gt;")=0,"",SUMIFS(BD!$L$3:$L$5001,BD!$B$3:$B$5001,F$184,BD!$A$3:$A$5001,_xlfn.MAXIFS(BD!$A$3:$A$5001,BD!$B$3:$B$5001,F$184,BD!$A$3:$A$5001,"&gt;="&amp;$C$7,BD!$A$3:$A$5001,"&lt;="&amp;$B191,BD!$L$3:$L$5001,"&lt;&gt;"))))</f>
        <v/>
      </c>
      <c r="G191" s="43" t="str">
        <f>IF(OR($B191="",$A191&gt;$B$9,G$184=""),"",IF(COUNTIFS(BD!$B$3:$B$5001,G$184,BD!$A$3:$A$5001,"&gt;="&amp;$C$7,BD!$A$3:$A$5001,"&lt;="&amp;$B191,BD!$L$3:$L$5001,"&lt;&gt;")=0,"",SUMIFS(BD!$L$3:$L$5001,BD!$B$3:$B$5001,G$184,BD!$A$3:$A$5001,_xlfn.MAXIFS(BD!$A$3:$A$5001,BD!$B$3:$B$5001,G$184,BD!$A$3:$A$5001,"&gt;="&amp;$C$7,BD!$A$3:$A$5001,"&lt;="&amp;$B191,BD!$L$3:$L$5001,"&lt;&gt;"))))</f>
        <v/>
      </c>
      <c r="H191" s="43" t="str">
        <f>IF(OR($B191="",$A191&gt;$B$9,H$184=""),"",IF(COUNTIFS(BD!$B$3:$B$5001,H$184,BD!$A$3:$A$5001,"&gt;="&amp;$C$7,BD!$A$3:$A$5001,"&lt;="&amp;$B191,BD!$L$3:$L$5001,"&lt;&gt;")=0,"",SUMIFS(BD!$L$3:$L$5001,BD!$B$3:$B$5001,H$184,BD!$A$3:$A$5001,_xlfn.MAXIFS(BD!$A$3:$A$5001,BD!$B$3:$B$5001,H$184,BD!$A$3:$A$5001,"&gt;="&amp;$C$7,BD!$A$3:$A$5001,"&lt;="&amp;$B191,BD!$L$3:$L$5001,"&lt;&gt;"))))</f>
        <v/>
      </c>
      <c r="I191" s="43" t="str">
        <f>IF(OR($B191="",$A191&gt;$B$9,I$184=""),"",IF(COUNTIFS(BD!$B$3:$B$5001,I$184,BD!$A$3:$A$5001,"&gt;="&amp;$C$7,BD!$A$3:$A$5001,"&lt;="&amp;$B191,BD!$L$3:$L$5001,"&lt;&gt;")=0,"",SUMIFS(BD!$L$3:$L$5001,BD!$B$3:$B$5001,I$184,BD!$A$3:$A$5001,_xlfn.MAXIFS(BD!$A$3:$A$5001,BD!$B$3:$B$5001,I$184,BD!$A$3:$A$5001,"&gt;="&amp;$C$7,BD!$A$3:$A$5001,"&lt;="&amp;$B191,BD!$L$3:$L$5001,"&lt;&gt;"))))</f>
        <v/>
      </c>
      <c r="J191" s="43" t="str">
        <f>IF(OR($B191="",$A191&gt;$B$9,J$184=""),"",IF(COUNTIFS(BD!$B$3:$B$5001,J$184,BD!$A$3:$A$5001,"&gt;="&amp;$C$7,BD!$A$3:$A$5001,"&lt;="&amp;$B191,BD!$L$3:$L$5001,"&lt;&gt;")=0,"",SUMIFS(BD!$L$3:$L$5001,BD!$B$3:$B$5001,J$184,BD!$A$3:$A$5001,_xlfn.MAXIFS(BD!$A$3:$A$5001,BD!$B$3:$B$5001,J$184,BD!$A$3:$A$5001,"&gt;="&amp;$C$7,BD!$A$3:$A$5001,"&lt;="&amp;$B191,BD!$L$3:$L$5001,"&lt;&gt;"))))</f>
        <v/>
      </c>
      <c r="K191" s="43" t="str">
        <f>IF(OR($B191="",$A191&gt;$B$9,K$184=""),"",IF(COUNTIFS(BD!$B$3:$B$5001,K$184,BD!$A$3:$A$5001,"&gt;="&amp;$C$7,BD!$A$3:$A$5001,"&lt;="&amp;$B191,BD!$L$3:$L$5001,"&lt;&gt;")=0,"",SUMIFS(BD!$L$3:$L$5001,BD!$B$3:$B$5001,K$184,BD!$A$3:$A$5001,_xlfn.MAXIFS(BD!$A$3:$A$5001,BD!$B$3:$B$5001,K$184,BD!$A$3:$A$5001,"&gt;="&amp;$C$7,BD!$A$3:$A$5001,"&lt;="&amp;$B191,BD!$L$3:$L$5001,"&lt;&gt;"))))</f>
        <v/>
      </c>
      <c r="L191" s="43" t="str">
        <f>IF(OR($B191="",$A191&gt;$B$9,L$184=""),"",IF(COUNTIFS(BD!$B$3:$B$5001,L$184,BD!$A$3:$A$5001,"&gt;="&amp;$C$7,BD!$A$3:$A$5001,"&lt;="&amp;$B191,BD!$L$3:$L$5001,"&lt;&gt;")=0,"",SUMIFS(BD!$L$3:$L$5001,BD!$B$3:$B$5001,L$184,BD!$A$3:$A$5001,_xlfn.MAXIFS(BD!$A$3:$A$5001,BD!$B$3:$B$5001,L$184,BD!$A$3:$A$5001,"&gt;="&amp;$C$7,BD!$A$3:$A$5001,"&lt;="&amp;$B191,BD!$L$3:$L$5001,"&lt;&gt;"))))</f>
        <v/>
      </c>
      <c r="M191" s="43" t="str">
        <f>IF(OR($B191="",$A191&gt;$B$9,M$184=""),"",IF(COUNTIFS(BD!$B$3:$B$5001,M$184,BD!$A$3:$A$5001,"&gt;="&amp;$C$7,BD!$A$3:$A$5001,"&lt;="&amp;$B191,BD!$L$3:$L$5001,"&lt;&gt;")=0,"",SUMIFS(BD!$L$3:$L$5001,BD!$B$3:$B$5001,M$184,BD!$A$3:$A$5001,_xlfn.MAXIFS(BD!$A$3:$A$5001,BD!$B$3:$B$5001,M$184,BD!$A$3:$A$5001,"&gt;="&amp;$C$7,BD!$A$3:$A$5001,"&lt;="&amp;$B191,BD!$L$3:$L$5001,"&lt;&gt;"))))</f>
        <v/>
      </c>
      <c r="N191" s="43" t="str">
        <f>IF(OR($B191="",$A191&gt;$B$9,N$184=""),"",IF(COUNTIFS(BD!$B$3:$B$5001,N$184,BD!$A$3:$A$5001,"&gt;="&amp;$C$7,BD!$A$3:$A$5001,"&lt;="&amp;$B191,BD!$L$3:$L$5001,"&lt;&gt;")=0,"",SUMIFS(BD!$L$3:$L$5001,BD!$B$3:$B$5001,N$184,BD!$A$3:$A$5001,_xlfn.MAXIFS(BD!$A$3:$A$5001,BD!$B$3:$B$5001,N$184,BD!$A$3:$A$5001,"&gt;="&amp;$C$7,BD!$A$3:$A$5001,"&lt;="&amp;$B191,BD!$L$3:$L$5001,"&lt;&gt;"))))</f>
        <v/>
      </c>
      <c r="O191" s="43" t="str">
        <f>IF(OR($B191="",$A191&gt;$B$9,O$184=""),"",IF(COUNTIFS(BD!$B$3:$B$5001,O$184,BD!$A$3:$A$5001,"&gt;="&amp;$C$7,BD!$A$3:$A$5001,"&lt;="&amp;$B191,BD!$L$3:$L$5001,"&lt;&gt;")=0,"",SUMIFS(BD!$L$3:$L$5001,BD!$B$3:$B$5001,O$184,BD!$A$3:$A$5001,_xlfn.MAXIFS(BD!$A$3:$A$5001,BD!$B$3:$B$5001,O$184,BD!$A$3:$A$5001,"&gt;="&amp;$C$7,BD!$A$3:$A$5001,"&lt;="&amp;$B191,BD!$L$3:$L$5001,"&lt;&gt;"))))</f>
        <v/>
      </c>
      <c r="P191" s="43" t="str">
        <f>IF(OR($B191="",$A191&gt;$B$9,P$184=""),"",IF(COUNTIFS(BD!$B$3:$B$5001,P$184,BD!$A$3:$A$5001,"&gt;="&amp;$C$7,BD!$A$3:$A$5001,"&lt;="&amp;$B191,BD!$L$3:$L$5001,"&lt;&gt;")=0,"",SUMIFS(BD!$L$3:$L$5001,BD!$B$3:$B$5001,P$184,BD!$A$3:$A$5001,_xlfn.MAXIFS(BD!$A$3:$A$5001,BD!$B$3:$B$5001,P$184,BD!$A$3:$A$5001,"&gt;="&amp;$C$7,BD!$A$3:$A$5001,"&lt;="&amp;$B191,BD!$L$3:$L$5001,"&lt;&gt;"))))</f>
        <v/>
      </c>
      <c r="Q191" s="43" t="str">
        <f>IF(OR($B191="",$A191&gt;$B$9,Q$184=""),"",IF(COUNTIFS(BD!$B$3:$B$5001,Q$184,BD!$A$3:$A$5001,"&gt;="&amp;$C$7,BD!$A$3:$A$5001,"&lt;="&amp;$B191,BD!$L$3:$L$5001,"&lt;&gt;")=0,"",SUMIFS(BD!$L$3:$L$5001,BD!$B$3:$B$5001,Q$184,BD!$A$3:$A$5001,_xlfn.MAXIFS(BD!$A$3:$A$5001,BD!$B$3:$B$5001,Q$184,BD!$A$3:$A$5001,"&gt;="&amp;$C$7,BD!$A$3:$A$5001,"&lt;="&amp;$B191,BD!$L$3:$L$5001,"&lt;&gt;"))))</f>
        <v/>
      </c>
      <c r="R191" s="43" t="str">
        <f>IF(OR($B191="",$A191&gt;$B$9,R$184=""),"",IF(COUNTIFS(BD!$B$3:$B$5001,R$184,BD!$A$3:$A$5001,"&gt;="&amp;$C$7,BD!$A$3:$A$5001,"&lt;="&amp;$B191,BD!$L$3:$L$5001,"&lt;&gt;")=0,"",SUMIFS(BD!$L$3:$L$5001,BD!$B$3:$B$5001,R$184,BD!$A$3:$A$5001,_xlfn.MAXIFS(BD!$A$3:$A$5001,BD!$B$3:$B$5001,R$184,BD!$A$3:$A$5001,"&gt;="&amp;$C$7,BD!$A$3:$A$5001,"&lt;="&amp;$B191,BD!$L$3:$L$5001,"&lt;&gt;"))))</f>
        <v/>
      </c>
      <c r="S191" s="43" t="str">
        <f>IF(OR($B191="",$A191&gt;$B$9,S$184=""),"",IF(COUNTIFS(BD!$B$3:$B$5001,S$184,BD!$A$3:$A$5001,"&gt;="&amp;$C$7,BD!$A$3:$A$5001,"&lt;="&amp;$B191,BD!$L$3:$L$5001,"&lt;&gt;")=0,"",SUMIFS(BD!$L$3:$L$5001,BD!$B$3:$B$5001,S$184,BD!$A$3:$A$5001,_xlfn.MAXIFS(BD!$A$3:$A$5001,BD!$B$3:$B$5001,S$184,BD!$A$3:$A$5001,"&gt;="&amp;$C$7,BD!$A$3:$A$5001,"&lt;="&amp;$B191,BD!$L$3:$L$5001,"&lt;&gt;"))))</f>
        <v/>
      </c>
      <c r="T191" s="43" t="str">
        <f>IF(OR($B191="",$A191&gt;$B$9,T$184=""),"",IF(COUNTIFS(BD!$B$3:$B$5001,T$184,BD!$A$3:$A$5001,"&gt;="&amp;$C$7,BD!$A$3:$A$5001,"&lt;="&amp;$B191,BD!$L$3:$L$5001,"&lt;&gt;")=0,"",SUMIFS(BD!$L$3:$L$5001,BD!$B$3:$B$5001,T$184,BD!$A$3:$A$5001,_xlfn.MAXIFS(BD!$A$3:$A$5001,BD!$B$3:$B$5001,T$184,BD!$A$3:$A$5001,"&gt;="&amp;$C$7,BD!$A$3:$A$5001,"&lt;="&amp;$B191,BD!$L$3:$L$5001,"&lt;&gt;"))))</f>
        <v/>
      </c>
      <c r="U191" s="43" t="str">
        <f>IF(OR($B191="",$A191&gt;$B$9,U$184=""),"",IF(COUNTIFS(BD!$B$3:$B$5001,U$184,BD!$A$3:$A$5001,"&gt;="&amp;$C$7,BD!$A$3:$A$5001,"&lt;="&amp;$B191,BD!$L$3:$L$5001,"&lt;&gt;")=0,"",SUMIFS(BD!$L$3:$L$5001,BD!$B$3:$B$5001,U$184,BD!$A$3:$A$5001,_xlfn.MAXIFS(BD!$A$3:$A$5001,BD!$B$3:$B$5001,U$184,BD!$A$3:$A$5001,"&gt;="&amp;$C$7,BD!$A$3:$A$5001,"&lt;="&amp;$B191,BD!$L$3:$L$5001,"&lt;&gt;"))))</f>
        <v/>
      </c>
      <c r="V191" s="43" t="str">
        <f>IF(OR($B191="",$A191&gt;$B$9,V$184=""),"",IF(COUNTIFS(BD!$B$3:$B$5001,V$184,BD!$A$3:$A$5001,"&gt;="&amp;$C$7,BD!$A$3:$A$5001,"&lt;="&amp;$B191,BD!$L$3:$L$5001,"&lt;&gt;")=0,"",SUMIFS(BD!$L$3:$L$5001,BD!$B$3:$B$5001,V$184,BD!$A$3:$A$5001,_xlfn.MAXIFS(BD!$A$3:$A$5001,BD!$B$3:$B$5001,V$184,BD!$A$3:$A$5001,"&gt;="&amp;$C$7,BD!$A$3:$A$5001,"&lt;="&amp;$B191,BD!$L$3:$L$5001,"&lt;&gt;"))))</f>
        <v/>
      </c>
    </row>
    <row r="192">
      <c r="A192" s="38">
        <v>8</v>
      </c>
      <c r="B192" s="42">
        <f>$B$19</f>
        <v>46303</v>
      </c>
      <c r="C192" s="43" t="str">
        <f>IF(OR($B192="",$A192&gt;$B$9,C$184=""),"",IF(COUNTIFS(BD!$B$3:$B$5001,C$184,BD!$A$3:$A$5001,"&gt;="&amp;$C$7,BD!$A$3:$A$5001,"&lt;="&amp;$B192,BD!$L$3:$L$5001,"&lt;&gt;")=0,"",SUMIFS(BD!$L$3:$L$5001,BD!$B$3:$B$5001,C$184,BD!$A$3:$A$5001,_xlfn.MAXIFS(BD!$A$3:$A$5001,BD!$B$3:$B$5001,C$184,BD!$A$3:$A$5001,"&gt;="&amp;$C$7,BD!$A$3:$A$5001,"&lt;="&amp;$B192,BD!$L$3:$L$5001,"&lt;&gt;"))))</f>
        <v/>
      </c>
      <c r="D192" s="43" t="str">
        <f>IF(OR($B192="",$A192&gt;$B$9,D$184=""),"",IF(COUNTIFS(BD!$B$3:$B$5001,D$184,BD!$A$3:$A$5001,"&gt;="&amp;$C$7,BD!$A$3:$A$5001,"&lt;="&amp;$B192,BD!$L$3:$L$5001,"&lt;&gt;")=0,"",SUMIFS(BD!$L$3:$L$5001,BD!$B$3:$B$5001,D$184,BD!$A$3:$A$5001,_xlfn.MAXIFS(BD!$A$3:$A$5001,BD!$B$3:$B$5001,D$184,BD!$A$3:$A$5001,"&gt;="&amp;$C$7,BD!$A$3:$A$5001,"&lt;="&amp;$B192,BD!$L$3:$L$5001,"&lt;&gt;"))))</f>
        <v/>
      </c>
      <c r="E192" s="43" t="str">
        <f>IF(OR($B192="",$A192&gt;$B$9,E$184=""),"",IF(COUNTIFS(BD!$B$3:$B$5001,E$184,BD!$A$3:$A$5001,"&gt;="&amp;$C$7,BD!$A$3:$A$5001,"&lt;="&amp;$B192,BD!$L$3:$L$5001,"&lt;&gt;")=0,"",SUMIFS(BD!$L$3:$L$5001,BD!$B$3:$B$5001,E$184,BD!$A$3:$A$5001,_xlfn.MAXIFS(BD!$A$3:$A$5001,BD!$B$3:$B$5001,E$184,BD!$A$3:$A$5001,"&gt;="&amp;$C$7,BD!$A$3:$A$5001,"&lt;="&amp;$B192,BD!$L$3:$L$5001,"&lt;&gt;"))))</f>
        <v/>
      </c>
      <c r="F192" s="43" t="str">
        <f>IF(OR($B192="",$A192&gt;$B$9,F$184=""),"",IF(COUNTIFS(BD!$B$3:$B$5001,F$184,BD!$A$3:$A$5001,"&gt;="&amp;$C$7,BD!$A$3:$A$5001,"&lt;="&amp;$B192,BD!$L$3:$L$5001,"&lt;&gt;")=0,"",SUMIFS(BD!$L$3:$L$5001,BD!$B$3:$B$5001,F$184,BD!$A$3:$A$5001,_xlfn.MAXIFS(BD!$A$3:$A$5001,BD!$B$3:$B$5001,F$184,BD!$A$3:$A$5001,"&gt;="&amp;$C$7,BD!$A$3:$A$5001,"&lt;="&amp;$B192,BD!$L$3:$L$5001,"&lt;&gt;"))))</f>
        <v/>
      </c>
      <c r="G192" s="43" t="str">
        <f>IF(OR($B192="",$A192&gt;$B$9,G$184=""),"",IF(COUNTIFS(BD!$B$3:$B$5001,G$184,BD!$A$3:$A$5001,"&gt;="&amp;$C$7,BD!$A$3:$A$5001,"&lt;="&amp;$B192,BD!$L$3:$L$5001,"&lt;&gt;")=0,"",SUMIFS(BD!$L$3:$L$5001,BD!$B$3:$B$5001,G$184,BD!$A$3:$A$5001,_xlfn.MAXIFS(BD!$A$3:$A$5001,BD!$B$3:$B$5001,G$184,BD!$A$3:$A$5001,"&gt;="&amp;$C$7,BD!$A$3:$A$5001,"&lt;="&amp;$B192,BD!$L$3:$L$5001,"&lt;&gt;"))))</f>
        <v/>
      </c>
      <c r="H192" s="43" t="str">
        <f>IF(OR($B192="",$A192&gt;$B$9,H$184=""),"",IF(COUNTIFS(BD!$B$3:$B$5001,H$184,BD!$A$3:$A$5001,"&gt;="&amp;$C$7,BD!$A$3:$A$5001,"&lt;="&amp;$B192,BD!$L$3:$L$5001,"&lt;&gt;")=0,"",SUMIFS(BD!$L$3:$L$5001,BD!$B$3:$B$5001,H$184,BD!$A$3:$A$5001,_xlfn.MAXIFS(BD!$A$3:$A$5001,BD!$B$3:$B$5001,H$184,BD!$A$3:$A$5001,"&gt;="&amp;$C$7,BD!$A$3:$A$5001,"&lt;="&amp;$B192,BD!$L$3:$L$5001,"&lt;&gt;"))))</f>
        <v/>
      </c>
      <c r="I192" s="43" t="str">
        <f>IF(OR($B192="",$A192&gt;$B$9,I$184=""),"",IF(COUNTIFS(BD!$B$3:$B$5001,I$184,BD!$A$3:$A$5001,"&gt;="&amp;$C$7,BD!$A$3:$A$5001,"&lt;="&amp;$B192,BD!$L$3:$L$5001,"&lt;&gt;")=0,"",SUMIFS(BD!$L$3:$L$5001,BD!$B$3:$B$5001,I$184,BD!$A$3:$A$5001,_xlfn.MAXIFS(BD!$A$3:$A$5001,BD!$B$3:$B$5001,I$184,BD!$A$3:$A$5001,"&gt;="&amp;$C$7,BD!$A$3:$A$5001,"&lt;="&amp;$B192,BD!$L$3:$L$5001,"&lt;&gt;"))))</f>
        <v/>
      </c>
      <c r="J192" s="43" t="str">
        <f>IF(OR($B192="",$A192&gt;$B$9,J$184=""),"",IF(COUNTIFS(BD!$B$3:$B$5001,J$184,BD!$A$3:$A$5001,"&gt;="&amp;$C$7,BD!$A$3:$A$5001,"&lt;="&amp;$B192,BD!$L$3:$L$5001,"&lt;&gt;")=0,"",SUMIFS(BD!$L$3:$L$5001,BD!$B$3:$B$5001,J$184,BD!$A$3:$A$5001,_xlfn.MAXIFS(BD!$A$3:$A$5001,BD!$B$3:$B$5001,J$184,BD!$A$3:$A$5001,"&gt;="&amp;$C$7,BD!$A$3:$A$5001,"&lt;="&amp;$B192,BD!$L$3:$L$5001,"&lt;&gt;"))))</f>
        <v/>
      </c>
      <c r="K192" s="43" t="str">
        <f>IF(OR($B192="",$A192&gt;$B$9,K$184=""),"",IF(COUNTIFS(BD!$B$3:$B$5001,K$184,BD!$A$3:$A$5001,"&gt;="&amp;$C$7,BD!$A$3:$A$5001,"&lt;="&amp;$B192,BD!$L$3:$L$5001,"&lt;&gt;")=0,"",SUMIFS(BD!$L$3:$L$5001,BD!$B$3:$B$5001,K$184,BD!$A$3:$A$5001,_xlfn.MAXIFS(BD!$A$3:$A$5001,BD!$B$3:$B$5001,K$184,BD!$A$3:$A$5001,"&gt;="&amp;$C$7,BD!$A$3:$A$5001,"&lt;="&amp;$B192,BD!$L$3:$L$5001,"&lt;&gt;"))))</f>
        <v/>
      </c>
      <c r="L192" s="43" t="str">
        <f>IF(OR($B192="",$A192&gt;$B$9,L$184=""),"",IF(COUNTIFS(BD!$B$3:$B$5001,L$184,BD!$A$3:$A$5001,"&gt;="&amp;$C$7,BD!$A$3:$A$5001,"&lt;="&amp;$B192,BD!$L$3:$L$5001,"&lt;&gt;")=0,"",SUMIFS(BD!$L$3:$L$5001,BD!$B$3:$B$5001,L$184,BD!$A$3:$A$5001,_xlfn.MAXIFS(BD!$A$3:$A$5001,BD!$B$3:$B$5001,L$184,BD!$A$3:$A$5001,"&gt;="&amp;$C$7,BD!$A$3:$A$5001,"&lt;="&amp;$B192,BD!$L$3:$L$5001,"&lt;&gt;"))))</f>
        <v/>
      </c>
      <c r="M192" s="43" t="str">
        <f>IF(OR($B192="",$A192&gt;$B$9,M$184=""),"",IF(COUNTIFS(BD!$B$3:$B$5001,M$184,BD!$A$3:$A$5001,"&gt;="&amp;$C$7,BD!$A$3:$A$5001,"&lt;="&amp;$B192,BD!$L$3:$L$5001,"&lt;&gt;")=0,"",SUMIFS(BD!$L$3:$L$5001,BD!$B$3:$B$5001,M$184,BD!$A$3:$A$5001,_xlfn.MAXIFS(BD!$A$3:$A$5001,BD!$B$3:$B$5001,M$184,BD!$A$3:$A$5001,"&gt;="&amp;$C$7,BD!$A$3:$A$5001,"&lt;="&amp;$B192,BD!$L$3:$L$5001,"&lt;&gt;"))))</f>
        <v/>
      </c>
      <c r="N192" s="43" t="str">
        <f>IF(OR($B192="",$A192&gt;$B$9,N$184=""),"",IF(COUNTIFS(BD!$B$3:$B$5001,N$184,BD!$A$3:$A$5001,"&gt;="&amp;$C$7,BD!$A$3:$A$5001,"&lt;="&amp;$B192,BD!$L$3:$L$5001,"&lt;&gt;")=0,"",SUMIFS(BD!$L$3:$L$5001,BD!$B$3:$B$5001,N$184,BD!$A$3:$A$5001,_xlfn.MAXIFS(BD!$A$3:$A$5001,BD!$B$3:$B$5001,N$184,BD!$A$3:$A$5001,"&gt;="&amp;$C$7,BD!$A$3:$A$5001,"&lt;="&amp;$B192,BD!$L$3:$L$5001,"&lt;&gt;"))))</f>
        <v/>
      </c>
      <c r="O192" s="43" t="str">
        <f>IF(OR($B192="",$A192&gt;$B$9,O$184=""),"",IF(COUNTIFS(BD!$B$3:$B$5001,O$184,BD!$A$3:$A$5001,"&gt;="&amp;$C$7,BD!$A$3:$A$5001,"&lt;="&amp;$B192,BD!$L$3:$L$5001,"&lt;&gt;")=0,"",SUMIFS(BD!$L$3:$L$5001,BD!$B$3:$B$5001,O$184,BD!$A$3:$A$5001,_xlfn.MAXIFS(BD!$A$3:$A$5001,BD!$B$3:$B$5001,O$184,BD!$A$3:$A$5001,"&gt;="&amp;$C$7,BD!$A$3:$A$5001,"&lt;="&amp;$B192,BD!$L$3:$L$5001,"&lt;&gt;"))))</f>
        <v/>
      </c>
      <c r="P192" s="43" t="str">
        <f>IF(OR($B192="",$A192&gt;$B$9,P$184=""),"",IF(COUNTIFS(BD!$B$3:$B$5001,P$184,BD!$A$3:$A$5001,"&gt;="&amp;$C$7,BD!$A$3:$A$5001,"&lt;="&amp;$B192,BD!$L$3:$L$5001,"&lt;&gt;")=0,"",SUMIFS(BD!$L$3:$L$5001,BD!$B$3:$B$5001,P$184,BD!$A$3:$A$5001,_xlfn.MAXIFS(BD!$A$3:$A$5001,BD!$B$3:$B$5001,P$184,BD!$A$3:$A$5001,"&gt;="&amp;$C$7,BD!$A$3:$A$5001,"&lt;="&amp;$B192,BD!$L$3:$L$5001,"&lt;&gt;"))))</f>
        <v/>
      </c>
      <c r="Q192" s="43" t="str">
        <f>IF(OR($B192="",$A192&gt;$B$9,Q$184=""),"",IF(COUNTIFS(BD!$B$3:$B$5001,Q$184,BD!$A$3:$A$5001,"&gt;="&amp;$C$7,BD!$A$3:$A$5001,"&lt;="&amp;$B192,BD!$L$3:$L$5001,"&lt;&gt;")=0,"",SUMIFS(BD!$L$3:$L$5001,BD!$B$3:$B$5001,Q$184,BD!$A$3:$A$5001,_xlfn.MAXIFS(BD!$A$3:$A$5001,BD!$B$3:$B$5001,Q$184,BD!$A$3:$A$5001,"&gt;="&amp;$C$7,BD!$A$3:$A$5001,"&lt;="&amp;$B192,BD!$L$3:$L$5001,"&lt;&gt;"))))</f>
        <v/>
      </c>
      <c r="R192" s="43" t="str">
        <f>IF(OR($B192="",$A192&gt;$B$9,R$184=""),"",IF(COUNTIFS(BD!$B$3:$B$5001,R$184,BD!$A$3:$A$5001,"&gt;="&amp;$C$7,BD!$A$3:$A$5001,"&lt;="&amp;$B192,BD!$L$3:$L$5001,"&lt;&gt;")=0,"",SUMIFS(BD!$L$3:$L$5001,BD!$B$3:$B$5001,R$184,BD!$A$3:$A$5001,_xlfn.MAXIFS(BD!$A$3:$A$5001,BD!$B$3:$B$5001,R$184,BD!$A$3:$A$5001,"&gt;="&amp;$C$7,BD!$A$3:$A$5001,"&lt;="&amp;$B192,BD!$L$3:$L$5001,"&lt;&gt;"))))</f>
        <v/>
      </c>
      <c r="S192" s="43" t="str">
        <f>IF(OR($B192="",$A192&gt;$B$9,S$184=""),"",IF(COUNTIFS(BD!$B$3:$B$5001,S$184,BD!$A$3:$A$5001,"&gt;="&amp;$C$7,BD!$A$3:$A$5001,"&lt;="&amp;$B192,BD!$L$3:$L$5001,"&lt;&gt;")=0,"",SUMIFS(BD!$L$3:$L$5001,BD!$B$3:$B$5001,S$184,BD!$A$3:$A$5001,_xlfn.MAXIFS(BD!$A$3:$A$5001,BD!$B$3:$B$5001,S$184,BD!$A$3:$A$5001,"&gt;="&amp;$C$7,BD!$A$3:$A$5001,"&lt;="&amp;$B192,BD!$L$3:$L$5001,"&lt;&gt;"))))</f>
        <v/>
      </c>
      <c r="T192" s="43" t="str">
        <f>IF(OR($B192="",$A192&gt;$B$9,T$184=""),"",IF(COUNTIFS(BD!$B$3:$B$5001,T$184,BD!$A$3:$A$5001,"&gt;="&amp;$C$7,BD!$A$3:$A$5001,"&lt;="&amp;$B192,BD!$L$3:$L$5001,"&lt;&gt;")=0,"",SUMIFS(BD!$L$3:$L$5001,BD!$B$3:$B$5001,T$184,BD!$A$3:$A$5001,_xlfn.MAXIFS(BD!$A$3:$A$5001,BD!$B$3:$B$5001,T$184,BD!$A$3:$A$5001,"&gt;="&amp;$C$7,BD!$A$3:$A$5001,"&lt;="&amp;$B192,BD!$L$3:$L$5001,"&lt;&gt;"))))</f>
        <v/>
      </c>
      <c r="U192" s="43" t="str">
        <f>IF(OR($B192="",$A192&gt;$B$9,U$184=""),"",IF(COUNTIFS(BD!$B$3:$B$5001,U$184,BD!$A$3:$A$5001,"&gt;="&amp;$C$7,BD!$A$3:$A$5001,"&lt;="&amp;$B192,BD!$L$3:$L$5001,"&lt;&gt;")=0,"",SUMIFS(BD!$L$3:$L$5001,BD!$B$3:$B$5001,U$184,BD!$A$3:$A$5001,_xlfn.MAXIFS(BD!$A$3:$A$5001,BD!$B$3:$B$5001,U$184,BD!$A$3:$A$5001,"&gt;="&amp;$C$7,BD!$A$3:$A$5001,"&lt;="&amp;$B192,BD!$L$3:$L$5001,"&lt;&gt;"))))</f>
        <v/>
      </c>
      <c r="V192" s="43" t="str">
        <f>IF(OR($B192="",$A192&gt;$B$9,V$184=""),"",IF(COUNTIFS(BD!$B$3:$B$5001,V$184,BD!$A$3:$A$5001,"&gt;="&amp;$C$7,BD!$A$3:$A$5001,"&lt;="&amp;$B192,BD!$L$3:$L$5001,"&lt;&gt;")=0,"",SUMIFS(BD!$L$3:$L$5001,BD!$B$3:$B$5001,V$184,BD!$A$3:$A$5001,_xlfn.MAXIFS(BD!$A$3:$A$5001,BD!$B$3:$B$5001,V$184,BD!$A$3:$A$5001,"&gt;="&amp;$C$7,BD!$A$3:$A$5001,"&lt;="&amp;$B192,BD!$L$3:$L$5001,"&lt;&gt;"))))</f>
        <v/>
      </c>
    </row>
    <row r="193">
      <c r="A193" s="38">
        <v>9</v>
      </c>
      <c r="B193" s="42">
        <f>$B$20</f>
        <v>46304</v>
      </c>
      <c r="C193" s="43" t="str">
        <f>IF(OR($B193="",$A193&gt;$B$9,C$184=""),"",IF(COUNTIFS(BD!$B$3:$B$5001,C$184,BD!$A$3:$A$5001,"&gt;="&amp;$C$7,BD!$A$3:$A$5001,"&lt;="&amp;$B193,BD!$L$3:$L$5001,"&lt;&gt;")=0,"",SUMIFS(BD!$L$3:$L$5001,BD!$B$3:$B$5001,C$184,BD!$A$3:$A$5001,_xlfn.MAXIFS(BD!$A$3:$A$5001,BD!$B$3:$B$5001,C$184,BD!$A$3:$A$5001,"&gt;="&amp;$C$7,BD!$A$3:$A$5001,"&lt;="&amp;$B193,BD!$L$3:$L$5001,"&lt;&gt;"))))</f>
        <v/>
      </c>
      <c r="D193" s="43" t="str">
        <f>IF(OR($B193="",$A193&gt;$B$9,D$184=""),"",IF(COUNTIFS(BD!$B$3:$B$5001,D$184,BD!$A$3:$A$5001,"&gt;="&amp;$C$7,BD!$A$3:$A$5001,"&lt;="&amp;$B193,BD!$L$3:$L$5001,"&lt;&gt;")=0,"",SUMIFS(BD!$L$3:$L$5001,BD!$B$3:$B$5001,D$184,BD!$A$3:$A$5001,_xlfn.MAXIFS(BD!$A$3:$A$5001,BD!$B$3:$B$5001,D$184,BD!$A$3:$A$5001,"&gt;="&amp;$C$7,BD!$A$3:$A$5001,"&lt;="&amp;$B193,BD!$L$3:$L$5001,"&lt;&gt;"))))</f>
        <v/>
      </c>
      <c r="E193" s="43" t="str">
        <f>IF(OR($B193="",$A193&gt;$B$9,E$184=""),"",IF(COUNTIFS(BD!$B$3:$B$5001,E$184,BD!$A$3:$A$5001,"&gt;="&amp;$C$7,BD!$A$3:$A$5001,"&lt;="&amp;$B193,BD!$L$3:$L$5001,"&lt;&gt;")=0,"",SUMIFS(BD!$L$3:$L$5001,BD!$B$3:$B$5001,E$184,BD!$A$3:$A$5001,_xlfn.MAXIFS(BD!$A$3:$A$5001,BD!$B$3:$B$5001,E$184,BD!$A$3:$A$5001,"&gt;="&amp;$C$7,BD!$A$3:$A$5001,"&lt;="&amp;$B193,BD!$L$3:$L$5001,"&lt;&gt;"))))</f>
        <v/>
      </c>
      <c r="F193" s="43" t="str">
        <f>IF(OR($B193="",$A193&gt;$B$9,F$184=""),"",IF(COUNTIFS(BD!$B$3:$B$5001,F$184,BD!$A$3:$A$5001,"&gt;="&amp;$C$7,BD!$A$3:$A$5001,"&lt;="&amp;$B193,BD!$L$3:$L$5001,"&lt;&gt;")=0,"",SUMIFS(BD!$L$3:$L$5001,BD!$B$3:$B$5001,F$184,BD!$A$3:$A$5001,_xlfn.MAXIFS(BD!$A$3:$A$5001,BD!$B$3:$B$5001,F$184,BD!$A$3:$A$5001,"&gt;="&amp;$C$7,BD!$A$3:$A$5001,"&lt;="&amp;$B193,BD!$L$3:$L$5001,"&lt;&gt;"))))</f>
        <v/>
      </c>
      <c r="G193" s="43" t="str">
        <f>IF(OR($B193="",$A193&gt;$B$9,G$184=""),"",IF(COUNTIFS(BD!$B$3:$B$5001,G$184,BD!$A$3:$A$5001,"&gt;="&amp;$C$7,BD!$A$3:$A$5001,"&lt;="&amp;$B193,BD!$L$3:$L$5001,"&lt;&gt;")=0,"",SUMIFS(BD!$L$3:$L$5001,BD!$B$3:$B$5001,G$184,BD!$A$3:$A$5001,_xlfn.MAXIFS(BD!$A$3:$A$5001,BD!$B$3:$B$5001,G$184,BD!$A$3:$A$5001,"&gt;="&amp;$C$7,BD!$A$3:$A$5001,"&lt;="&amp;$B193,BD!$L$3:$L$5001,"&lt;&gt;"))))</f>
        <v/>
      </c>
      <c r="H193" s="43" t="str">
        <f>IF(OR($B193="",$A193&gt;$B$9,H$184=""),"",IF(COUNTIFS(BD!$B$3:$B$5001,H$184,BD!$A$3:$A$5001,"&gt;="&amp;$C$7,BD!$A$3:$A$5001,"&lt;="&amp;$B193,BD!$L$3:$L$5001,"&lt;&gt;")=0,"",SUMIFS(BD!$L$3:$L$5001,BD!$B$3:$B$5001,H$184,BD!$A$3:$A$5001,_xlfn.MAXIFS(BD!$A$3:$A$5001,BD!$B$3:$B$5001,H$184,BD!$A$3:$A$5001,"&gt;="&amp;$C$7,BD!$A$3:$A$5001,"&lt;="&amp;$B193,BD!$L$3:$L$5001,"&lt;&gt;"))))</f>
        <v/>
      </c>
      <c r="I193" s="43" t="str">
        <f>IF(OR($B193="",$A193&gt;$B$9,I$184=""),"",IF(COUNTIFS(BD!$B$3:$B$5001,I$184,BD!$A$3:$A$5001,"&gt;="&amp;$C$7,BD!$A$3:$A$5001,"&lt;="&amp;$B193,BD!$L$3:$L$5001,"&lt;&gt;")=0,"",SUMIFS(BD!$L$3:$L$5001,BD!$B$3:$B$5001,I$184,BD!$A$3:$A$5001,_xlfn.MAXIFS(BD!$A$3:$A$5001,BD!$B$3:$B$5001,I$184,BD!$A$3:$A$5001,"&gt;="&amp;$C$7,BD!$A$3:$A$5001,"&lt;="&amp;$B193,BD!$L$3:$L$5001,"&lt;&gt;"))))</f>
        <v/>
      </c>
      <c r="J193" s="43" t="str">
        <f>IF(OR($B193="",$A193&gt;$B$9,J$184=""),"",IF(COUNTIFS(BD!$B$3:$B$5001,J$184,BD!$A$3:$A$5001,"&gt;="&amp;$C$7,BD!$A$3:$A$5001,"&lt;="&amp;$B193,BD!$L$3:$L$5001,"&lt;&gt;")=0,"",SUMIFS(BD!$L$3:$L$5001,BD!$B$3:$B$5001,J$184,BD!$A$3:$A$5001,_xlfn.MAXIFS(BD!$A$3:$A$5001,BD!$B$3:$B$5001,J$184,BD!$A$3:$A$5001,"&gt;="&amp;$C$7,BD!$A$3:$A$5001,"&lt;="&amp;$B193,BD!$L$3:$L$5001,"&lt;&gt;"))))</f>
        <v/>
      </c>
      <c r="K193" s="43" t="str">
        <f>IF(OR($B193="",$A193&gt;$B$9,K$184=""),"",IF(COUNTIFS(BD!$B$3:$B$5001,K$184,BD!$A$3:$A$5001,"&gt;="&amp;$C$7,BD!$A$3:$A$5001,"&lt;="&amp;$B193,BD!$L$3:$L$5001,"&lt;&gt;")=0,"",SUMIFS(BD!$L$3:$L$5001,BD!$B$3:$B$5001,K$184,BD!$A$3:$A$5001,_xlfn.MAXIFS(BD!$A$3:$A$5001,BD!$B$3:$B$5001,K$184,BD!$A$3:$A$5001,"&gt;="&amp;$C$7,BD!$A$3:$A$5001,"&lt;="&amp;$B193,BD!$L$3:$L$5001,"&lt;&gt;"))))</f>
        <v/>
      </c>
      <c r="L193" s="43" t="str">
        <f>IF(OR($B193="",$A193&gt;$B$9,L$184=""),"",IF(COUNTIFS(BD!$B$3:$B$5001,L$184,BD!$A$3:$A$5001,"&gt;="&amp;$C$7,BD!$A$3:$A$5001,"&lt;="&amp;$B193,BD!$L$3:$L$5001,"&lt;&gt;")=0,"",SUMIFS(BD!$L$3:$L$5001,BD!$B$3:$B$5001,L$184,BD!$A$3:$A$5001,_xlfn.MAXIFS(BD!$A$3:$A$5001,BD!$B$3:$B$5001,L$184,BD!$A$3:$A$5001,"&gt;="&amp;$C$7,BD!$A$3:$A$5001,"&lt;="&amp;$B193,BD!$L$3:$L$5001,"&lt;&gt;"))))</f>
        <v/>
      </c>
      <c r="M193" s="43" t="str">
        <f>IF(OR($B193="",$A193&gt;$B$9,M$184=""),"",IF(COUNTIFS(BD!$B$3:$B$5001,M$184,BD!$A$3:$A$5001,"&gt;="&amp;$C$7,BD!$A$3:$A$5001,"&lt;="&amp;$B193,BD!$L$3:$L$5001,"&lt;&gt;")=0,"",SUMIFS(BD!$L$3:$L$5001,BD!$B$3:$B$5001,M$184,BD!$A$3:$A$5001,_xlfn.MAXIFS(BD!$A$3:$A$5001,BD!$B$3:$B$5001,M$184,BD!$A$3:$A$5001,"&gt;="&amp;$C$7,BD!$A$3:$A$5001,"&lt;="&amp;$B193,BD!$L$3:$L$5001,"&lt;&gt;"))))</f>
        <v/>
      </c>
      <c r="N193" s="43" t="str">
        <f>IF(OR($B193="",$A193&gt;$B$9,N$184=""),"",IF(COUNTIFS(BD!$B$3:$B$5001,N$184,BD!$A$3:$A$5001,"&gt;="&amp;$C$7,BD!$A$3:$A$5001,"&lt;="&amp;$B193,BD!$L$3:$L$5001,"&lt;&gt;")=0,"",SUMIFS(BD!$L$3:$L$5001,BD!$B$3:$B$5001,N$184,BD!$A$3:$A$5001,_xlfn.MAXIFS(BD!$A$3:$A$5001,BD!$B$3:$B$5001,N$184,BD!$A$3:$A$5001,"&gt;="&amp;$C$7,BD!$A$3:$A$5001,"&lt;="&amp;$B193,BD!$L$3:$L$5001,"&lt;&gt;"))))</f>
        <v/>
      </c>
      <c r="O193" s="43" t="str">
        <f>IF(OR($B193="",$A193&gt;$B$9,O$184=""),"",IF(COUNTIFS(BD!$B$3:$B$5001,O$184,BD!$A$3:$A$5001,"&gt;="&amp;$C$7,BD!$A$3:$A$5001,"&lt;="&amp;$B193,BD!$L$3:$L$5001,"&lt;&gt;")=0,"",SUMIFS(BD!$L$3:$L$5001,BD!$B$3:$B$5001,O$184,BD!$A$3:$A$5001,_xlfn.MAXIFS(BD!$A$3:$A$5001,BD!$B$3:$B$5001,O$184,BD!$A$3:$A$5001,"&gt;="&amp;$C$7,BD!$A$3:$A$5001,"&lt;="&amp;$B193,BD!$L$3:$L$5001,"&lt;&gt;"))))</f>
        <v/>
      </c>
      <c r="P193" s="43" t="str">
        <f>IF(OR($B193="",$A193&gt;$B$9,P$184=""),"",IF(COUNTIFS(BD!$B$3:$B$5001,P$184,BD!$A$3:$A$5001,"&gt;="&amp;$C$7,BD!$A$3:$A$5001,"&lt;="&amp;$B193,BD!$L$3:$L$5001,"&lt;&gt;")=0,"",SUMIFS(BD!$L$3:$L$5001,BD!$B$3:$B$5001,P$184,BD!$A$3:$A$5001,_xlfn.MAXIFS(BD!$A$3:$A$5001,BD!$B$3:$B$5001,P$184,BD!$A$3:$A$5001,"&gt;="&amp;$C$7,BD!$A$3:$A$5001,"&lt;="&amp;$B193,BD!$L$3:$L$5001,"&lt;&gt;"))))</f>
        <v/>
      </c>
      <c r="Q193" s="43" t="str">
        <f>IF(OR($B193="",$A193&gt;$B$9,Q$184=""),"",IF(COUNTIFS(BD!$B$3:$B$5001,Q$184,BD!$A$3:$A$5001,"&gt;="&amp;$C$7,BD!$A$3:$A$5001,"&lt;="&amp;$B193,BD!$L$3:$L$5001,"&lt;&gt;")=0,"",SUMIFS(BD!$L$3:$L$5001,BD!$B$3:$B$5001,Q$184,BD!$A$3:$A$5001,_xlfn.MAXIFS(BD!$A$3:$A$5001,BD!$B$3:$B$5001,Q$184,BD!$A$3:$A$5001,"&gt;="&amp;$C$7,BD!$A$3:$A$5001,"&lt;="&amp;$B193,BD!$L$3:$L$5001,"&lt;&gt;"))))</f>
        <v/>
      </c>
      <c r="R193" s="43" t="str">
        <f>IF(OR($B193="",$A193&gt;$B$9,R$184=""),"",IF(COUNTIFS(BD!$B$3:$B$5001,R$184,BD!$A$3:$A$5001,"&gt;="&amp;$C$7,BD!$A$3:$A$5001,"&lt;="&amp;$B193,BD!$L$3:$L$5001,"&lt;&gt;")=0,"",SUMIFS(BD!$L$3:$L$5001,BD!$B$3:$B$5001,R$184,BD!$A$3:$A$5001,_xlfn.MAXIFS(BD!$A$3:$A$5001,BD!$B$3:$B$5001,R$184,BD!$A$3:$A$5001,"&gt;="&amp;$C$7,BD!$A$3:$A$5001,"&lt;="&amp;$B193,BD!$L$3:$L$5001,"&lt;&gt;"))))</f>
        <v/>
      </c>
      <c r="S193" s="43" t="str">
        <f>IF(OR($B193="",$A193&gt;$B$9,S$184=""),"",IF(COUNTIFS(BD!$B$3:$B$5001,S$184,BD!$A$3:$A$5001,"&gt;="&amp;$C$7,BD!$A$3:$A$5001,"&lt;="&amp;$B193,BD!$L$3:$L$5001,"&lt;&gt;")=0,"",SUMIFS(BD!$L$3:$L$5001,BD!$B$3:$B$5001,S$184,BD!$A$3:$A$5001,_xlfn.MAXIFS(BD!$A$3:$A$5001,BD!$B$3:$B$5001,S$184,BD!$A$3:$A$5001,"&gt;="&amp;$C$7,BD!$A$3:$A$5001,"&lt;="&amp;$B193,BD!$L$3:$L$5001,"&lt;&gt;"))))</f>
        <v/>
      </c>
      <c r="T193" s="43" t="str">
        <f>IF(OR($B193="",$A193&gt;$B$9,T$184=""),"",IF(COUNTIFS(BD!$B$3:$B$5001,T$184,BD!$A$3:$A$5001,"&gt;="&amp;$C$7,BD!$A$3:$A$5001,"&lt;="&amp;$B193,BD!$L$3:$L$5001,"&lt;&gt;")=0,"",SUMIFS(BD!$L$3:$L$5001,BD!$B$3:$B$5001,T$184,BD!$A$3:$A$5001,_xlfn.MAXIFS(BD!$A$3:$A$5001,BD!$B$3:$B$5001,T$184,BD!$A$3:$A$5001,"&gt;="&amp;$C$7,BD!$A$3:$A$5001,"&lt;="&amp;$B193,BD!$L$3:$L$5001,"&lt;&gt;"))))</f>
        <v/>
      </c>
      <c r="U193" s="43" t="str">
        <f>IF(OR($B193="",$A193&gt;$B$9,U$184=""),"",IF(COUNTIFS(BD!$B$3:$B$5001,U$184,BD!$A$3:$A$5001,"&gt;="&amp;$C$7,BD!$A$3:$A$5001,"&lt;="&amp;$B193,BD!$L$3:$L$5001,"&lt;&gt;")=0,"",SUMIFS(BD!$L$3:$L$5001,BD!$B$3:$B$5001,U$184,BD!$A$3:$A$5001,_xlfn.MAXIFS(BD!$A$3:$A$5001,BD!$B$3:$B$5001,U$184,BD!$A$3:$A$5001,"&gt;="&amp;$C$7,BD!$A$3:$A$5001,"&lt;="&amp;$B193,BD!$L$3:$L$5001,"&lt;&gt;"))))</f>
        <v/>
      </c>
      <c r="V193" s="43" t="str">
        <f>IF(OR($B193="",$A193&gt;$B$9,V$184=""),"",IF(COUNTIFS(BD!$B$3:$B$5001,V$184,BD!$A$3:$A$5001,"&gt;="&amp;$C$7,BD!$A$3:$A$5001,"&lt;="&amp;$B193,BD!$L$3:$L$5001,"&lt;&gt;")=0,"",SUMIFS(BD!$L$3:$L$5001,BD!$B$3:$B$5001,V$184,BD!$A$3:$A$5001,_xlfn.MAXIFS(BD!$A$3:$A$5001,BD!$B$3:$B$5001,V$184,BD!$A$3:$A$5001,"&gt;="&amp;$C$7,BD!$A$3:$A$5001,"&lt;="&amp;$B193,BD!$L$3:$L$5001,"&lt;&gt;"))))</f>
        <v/>
      </c>
    </row>
    <row r="194">
      <c r="A194" s="38">
        <v>10</v>
      </c>
      <c r="B194" s="42">
        <f>$B$21</f>
        <v>46305</v>
      </c>
      <c r="C194" s="43" t="str">
        <f>IF(OR($B194="",$A194&gt;$B$9,C$184=""),"",IF(COUNTIFS(BD!$B$3:$B$5001,C$184,BD!$A$3:$A$5001,"&gt;="&amp;$C$7,BD!$A$3:$A$5001,"&lt;="&amp;$B194,BD!$L$3:$L$5001,"&lt;&gt;")=0,"",SUMIFS(BD!$L$3:$L$5001,BD!$B$3:$B$5001,C$184,BD!$A$3:$A$5001,_xlfn.MAXIFS(BD!$A$3:$A$5001,BD!$B$3:$B$5001,C$184,BD!$A$3:$A$5001,"&gt;="&amp;$C$7,BD!$A$3:$A$5001,"&lt;="&amp;$B194,BD!$L$3:$L$5001,"&lt;&gt;"))))</f>
        <v/>
      </c>
      <c r="D194" s="43" t="str">
        <f>IF(OR($B194="",$A194&gt;$B$9,D$184=""),"",IF(COUNTIFS(BD!$B$3:$B$5001,D$184,BD!$A$3:$A$5001,"&gt;="&amp;$C$7,BD!$A$3:$A$5001,"&lt;="&amp;$B194,BD!$L$3:$L$5001,"&lt;&gt;")=0,"",SUMIFS(BD!$L$3:$L$5001,BD!$B$3:$B$5001,D$184,BD!$A$3:$A$5001,_xlfn.MAXIFS(BD!$A$3:$A$5001,BD!$B$3:$B$5001,D$184,BD!$A$3:$A$5001,"&gt;="&amp;$C$7,BD!$A$3:$A$5001,"&lt;="&amp;$B194,BD!$L$3:$L$5001,"&lt;&gt;"))))</f>
        <v/>
      </c>
      <c r="E194" s="43" t="str">
        <f>IF(OR($B194="",$A194&gt;$B$9,E$184=""),"",IF(COUNTIFS(BD!$B$3:$B$5001,E$184,BD!$A$3:$A$5001,"&gt;="&amp;$C$7,BD!$A$3:$A$5001,"&lt;="&amp;$B194,BD!$L$3:$L$5001,"&lt;&gt;")=0,"",SUMIFS(BD!$L$3:$L$5001,BD!$B$3:$B$5001,E$184,BD!$A$3:$A$5001,_xlfn.MAXIFS(BD!$A$3:$A$5001,BD!$B$3:$B$5001,E$184,BD!$A$3:$A$5001,"&gt;="&amp;$C$7,BD!$A$3:$A$5001,"&lt;="&amp;$B194,BD!$L$3:$L$5001,"&lt;&gt;"))))</f>
        <v/>
      </c>
      <c r="F194" s="43" t="str">
        <f>IF(OR($B194="",$A194&gt;$B$9,F$184=""),"",IF(COUNTIFS(BD!$B$3:$B$5001,F$184,BD!$A$3:$A$5001,"&gt;="&amp;$C$7,BD!$A$3:$A$5001,"&lt;="&amp;$B194,BD!$L$3:$L$5001,"&lt;&gt;")=0,"",SUMIFS(BD!$L$3:$L$5001,BD!$B$3:$B$5001,F$184,BD!$A$3:$A$5001,_xlfn.MAXIFS(BD!$A$3:$A$5001,BD!$B$3:$B$5001,F$184,BD!$A$3:$A$5001,"&gt;="&amp;$C$7,BD!$A$3:$A$5001,"&lt;="&amp;$B194,BD!$L$3:$L$5001,"&lt;&gt;"))))</f>
        <v/>
      </c>
      <c r="G194" s="43" t="str">
        <f>IF(OR($B194="",$A194&gt;$B$9,G$184=""),"",IF(COUNTIFS(BD!$B$3:$B$5001,G$184,BD!$A$3:$A$5001,"&gt;="&amp;$C$7,BD!$A$3:$A$5001,"&lt;="&amp;$B194,BD!$L$3:$L$5001,"&lt;&gt;")=0,"",SUMIFS(BD!$L$3:$L$5001,BD!$B$3:$B$5001,G$184,BD!$A$3:$A$5001,_xlfn.MAXIFS(BD!$A$3:$A$5001,BD!$B$3:$B$5001,G$184,BD!$A$3:$A$5001,"&gt;="&amp;$C$7,BD!$A$3:$A$5001,"&lt;="&amp;$B194,BD!$L$3:$L$5001,"&lt;&gt;"))))</f>
        <v/>
      </c>
      <c r="H194" s="43" t="str">
        <f>IF(OR($B194="",$A194&gt;$B$9,H$184=""),"",IF(COUNTIFS(BD!$B$3:$B$5001,H$184,BD!$A$3:$A$5001,"&gt;="&amp;$C$7,BD!$A$3:$A$5001,"&lt;="&amp;$B194,BD!$L$3:$L$5001,"&lt;&gt;")=0,"",SUMIFS(BD!$L$3:$L$5001,BD!$B$3:$B$5001,H$184,BD!$A$3:$A$5001,_xlfn.MAXIFS(BD!$A$3:$A$5001,BD!$B$3:$B$5001,H$184,BD!$A$3:$A$5001,"&gt;="&amp;$C$7,BD!$A$3:$A$5001,"&lt;="&amp;$B194,BD!$L$3:$L$5001,"&lt;&gt;"))))</f>
        <v/>
      </c>
      <c r="I194" s="43" t="str">
        <f>IF(OR($B194="",$A194&gt;$B$9,I$184=""),"",IF(COUNTIFS(BD!$B$3:$B$5001,I$184,BD!$A$3:$A$5001,"&gt;="&amp;$C$7,BD!$A$3:$A$5001,"&lt;="&amp;$B194,BD!$L$3:$L$5001,"&lt;&gt;")=0,"",SUMIFS(BD!$L$3:$L$5001,BD!$B$3:$B$5001,I$184,BD!$A$3:$A$5001,_xlfn.MAXIFS(BD!$A$3:$A$5001,BD!$B$3:$B$5001,I$184,BD!$A$3:$A$5001,"&gt;="&amp;$C$7,BD!$A$3:$A$5001,"&lt;="&amp;$B194,BD!$L$3:$L$5001,"&lt;&gt;"))))</f>
        <v/>
      </c>
      <c r="J194" s="43" t="str">
        <f>IF(OR($B194="",$A194&gt;$B$9,J$184=""),"",IF(COUNTIFS(BD!$B$3:$B$5001,J$184,BD!$A$3:$A$5001,"&gt;="&amp;$C$7,BD!$A$3:$A$5001,"&lt;="&amp;$B194,BD!$L$3:$L$5001,"&lt;&gt;")=0,"",SUMIFS(BD!$L$3:$L$5001,BD!$B$3:$B$5001,J$184,BD!$A$3:$A$5001,_xlfn.MAXIFS(BD!$A$3:$A$5001,BD!$B$3:$B$5001,J$184,BD!$A$3:$A$5001,"&gt;="&amp;$C$7,BD!$A$3:$A$5001,"&lt;="&amp;$B194,BD!$L$3:$L$5001,"&lt;&gt;"))))</f>
        <v/>
      </c>
      <c r="K194" s="43" t="str">
        <f>IF(OR($B194="",$A194&gt;$B$9,K$184=""),"",IF(COUNTIFS(BD!$B$3:$B$5001,K$184,BD!$A$3:$A$5001,"&gt;="&amp;$C$7,BD!$A$3:$A$5001,"&lt;="&amp;$B194,BD!$L$3:$L$5001,"&lt;&gt;")=0,"",SUMIFS(BD!$L$3:$L$5001,BD!$B$3:$B$5001,K$184,BD!$A$3:$A$5001,_xlfn.MAXIFS(BD!$A$3:$A$5001,BD!$B$3:$B$5001,K$184,BD!$A$3:$A$5001,"&gt;="&amp;$C$7,BD!$A$3:$A$5001,"&lt;="&amp;$B194,BD!$L$3:$L$5001,"&lt;&gt;"))))</f>
        <v/>
      </c>
      <c r="L194" s="43" t="str">
        <f>IF(OR($B194="",$A194&gt;$B$9,L$184=""),"",IF(COUNTIFS(BD!$B$3:$B$5001,L$184,BD!$A$3:$A$5001,"&gt;="&amp;$C$7,BD!$A$3:$A$5001,"&lt;="&amp;$B194,BD!$L$3:$L$5001,"&lt;&gt;")=0,"",SUMIFS(BD!$L$3:$L$5001,BD!$B$3:$B$5001,L$184,BD!$A$3:$A$5001,_xlfn.MAXIFS(BD!$A$3:$A$5001,BD!$B$3:$B$5001,L$184,BD!$A$3:$A$5001,"&gt;="&amp;$C$7,BD!$A$3:$A$5001,"&lt;="&amp;$B194,BD!$L$3:$L$5001,"&lt;&gt;"))))</f>
        <v/>
      </c>
      <c r="M194" s="43" t="str">
        <f>IF(OR($B194="",$A194&gt;$B$9,M$184=""),"",IF(COUNTIFS(BD!$B$3:$B$5001,M$184,BD!$A$3:$A$5001,"&gt;="&amp;$C$7,BD!$A$3:$A$5001,"&lt;="&amp;$B194,BD!$L$3:$L$5001,"&lt;&gt;")=0,"",SUMIFS(BD!$L$3:$L$5001,BD!$B$3:$B$5001,M$184,BD!$A$3:$A$5001,_xlfn.MAXIFS(BD!$A$3:$A$5001,BD!$B$3:$B$5001,M$184,BD!$A$3:$A$5001,"&gt;="&amp;$C$7,BD!$A$3:$A$5001,"&lt;="&amp;$B194,BD!$L$3:$L$5001,"&lt;&gt;"))))</f>
        <v/>
      </c>
      <c r="N194" s="43" t="str">
        <f>IF(OR($B194="",$A194&gt;$B$9,N$184=""),"",IF(COUNTIFS(BD!$B$3:$B$5001,N$184,BD!$A$3:$A$5001,"&gt;="&amp;$C$7,BD!$A$3:$A$5001,"&lt;="&amp;$B194,BD!$L$3:$L$5001,"&lt;&gt;")=0,"",SUMIFS(BD!$L$3:$L$5001,BD!$B$3:$B$5001,N$184,BD!$A$3:$A$5001,_xlfn.MAXIFS(BD!$A$3:$A$5001,BD!$B$3:$B$5001,N$184,BD!$A$3:$A$5001,"&gt;="&amp;$C$7,BD!$A$3:$A$5001,"&lt;="&amp;$B194,BD!$L$3:$L$5001,"&lt;&gt;"))))</f>
        <v/>
      </c>
      <c r="O194" s="43" t="str">
        <f>IF(OR($B194="",$A194&gt;$B$9,O$184=""),"",IF(COUNTIFS(BD!$B$3:$B$5001,O$184,BD!$A$3:$A$5001,"&gt;="&amp;$C$7,BD!$A$3:$A$5001,"&lt;="&amp;$B194,BD!$L$3:$L$5001,"&lt;&gt;")=0,"",SUMIFS(BD!$L$3:$L$5001,BD!$B$3:$B$5001,O$184,BD!$A$3:$A$5001,_xlfn.MAXIFS(BD!$A$3:$A$5001,BD!$B$3:$B$5001,O$184,BD!$A$3:$A$5001,"&gt;="&amp;$C$7,BD!$A$3:$A$5001,"&lt;="&amp;$B194,BD!$L$3:$L$5001,"&lt;&gt;"))))</f>
        <v/>
      </c>
      <c r="P194" s="43" t="str">
        <f>IF(OR($B194="",$A194&gt;$B$9,P$184=""),"",IF(COUNTIFS(BD!$B$3:$B$5001,P$184,BD!$A$3:$A$5001,"&gt;="&amp;$C$7,BD!$A$3:$A$5001,"&lt;="&amp;$B194,BD!$L$3:$L$5001,"&lt;&gt;")=0,"",SUMIFS(BD!$L$3:$L$5001,BD!$B$3:$B$5001,P$184,BD!$A$3:$A$5001,_xlfn.MAXIFS(BD!$A$3:$A$5001,BD!$B$3:$B$5001,P$184,BD!$A$3:$A$5001,"&gt;="&amp;$C$7,BD!$A$3:$A$5001,"&lt;="&amp;$B194,BD!$L$3:$L$5001,"&lt;&gt;"))))</f>
        <v/>
      </c>
      <c r="Q194" s="43" t="str">
        <f>IF(OR($B194="",$A194&gt;$B$9,Q$184=""),"",IF(COUNTIFS(BD!$B$3:$B$5001,Q$184,BD!$A$3:$A$5001,"&gt;="&amp;$C$7,BD!$A$3:$A$5001,"&lt;="&amp;$B194,BD!$L$3:$L$5001,"&lt;&gt;")=0,"",SUMIFS(BD!$L$3:$L$5001,BD!$B$3:$B$5001,Q$184,BD!$A$3:$A$5001,_xlfn.MAXIFS(BD!$A$3:$A$5001,BD!$B$3:$B$5001,Q$184,BD!$A$3:$A$5001,"&gt;="&amp;$C$7,BD!$A$3:$A$5001,"&lt;="&amp;$B194,BD!$L$3:$L$5001,"&lt;&gt;"))))</f>
        <v/>
      </c>
      <c r="R194" s="43" t="str">
        <f>IF(OR($B194="",$A194&gt;$B$9,R$184=""),"",IF(COUNTIFS(BD!$B$3:$B$5001,R$184,BD!$A$3:$A$5001,"&gt;="&amp;$C$7,BD!$A$3:$A$5001,"&lt;="&amp;$B194,BD!$L$3:$L$5001,"&lt;&gt;")=0,"",SUMIFS(BD!$L$3:$L$5001,BD!$B$3:$B$5001,R$184,BD!$A$3:$A$5001,_xlfn.MAXIFS(BD!$A$3:$A$5001,BD!$B$3:$B$5001,R$184,BD!$A$3:$A$5001,"&gt;="&amp;$C$7,BD!$A$3:$A$5001,"&lt;="&amp;$B194,BD!$L$3:$L$5001,"&lt;&gt;"))))</f>
        <v/>
      </c>
      <c r="S194" s="43" t="str">
        <f>IF(OR($B194="",$A194&gt;$B$9,S$184=""),"",IF(COUNTIFS(BD!$B$3:$B$5001,S$184,BD!$A$3:$A$5001,"&gt;="&amp;$C$7,BD!$A$3:$A$5001,"&lt;="&amp;$B194,BD!$L$3:$L$5001,"&lt;&gt;")=0,"",SUMIFS(BD!$L$3:$L$5001,BD!$B$3:$B$5001,S$184,BD!$A$3:$A$5001,_xlfn.MAXIFS(BD!$A$3:$A$5001,BD!$B$3:$B$5001,S$184,BD!$A$3:$A$5001,"&gt;="&amp;$C$7,BD!$A$3:$A$5001,"&lt;="&amp;$B194,BD!$L$3:$L$5001,"&lt;&gt;"))))</f>
        <v/>
      </c>
      <c r="T194" s="43" t="str">
        <f>IF(OR($B194="",$A194&gt;$B$9,T$184=""),"",IF(COUNTIFS(BD!$B$3:$B$5001,T$184,BD!$A$3:$A$5001,"&gt;="&amp;$C$7,BD!$A$3:$A$5001,"&lt;="&amp;$B194,BD!$L$3:$L$5001,"&lt;&gt;")=0,"",SUMIFS(BD!$L$3:$L$5001,BD!$B$3:$B$5001,T$184,BD!$A$3:$A$5001,_xlfn.MAXIFS(BD!$A$3:$A$5001,BD!$B$3:$B$5001,T$184,BD!$A$3:$A$5001,"&gt;="&amp;$C$7,BD!$A$3:$A$5001,"&lt;="&amp;$B194,BD!$L$3:$L$5001,"&lt;&gt;"))))</f>
        <v/>
      </c>
      <c r="U194" s="43" t="str">
        <f>IF(OR($B194="",$A194&gt;$B$9,U$184=""),"",IF(COUNTIFS(BD!$B$3:$B$5001,U$184,BD!$A$3:$A$5001,"&gt;="&amp;$C$7,BD!$A$3:$A$5001,"&lt;="&amp;$B194,BD!$L$3:$L$5001,"&lt;&gt;")=0,"",SUMIFS(BD!$L$3:$L$5001,BD!$B$3:$B$5001,U$184,BD!$A$3:$A$5001,_xlfn.MAXIFS(BD!$A$3:$A$5001,BD!$B$3:$B$5001,U$184,BD!$A$3:$A$5001,"&gt;="&amp;$C$7,BD!$A$3:$A$5001,"&lt;="&amp;$B194,BD!$L$3:$L$5001,"&lt;&gt;"))))</f>
        <v/>
      </c>
      <c r="V194" s="43" t="str">
        <f>IF(OR($B194="",$A194&gt;$B$9,V$184=""),"",IF(COUNTIFS(BD!$B$3:$B$5001,V$184,BD!$A$3:$A$5001,"&gt;="&amp;$C$7,BD!$A$3:$A$5001,"&lt;="&amp;$B194,BD!$L$3:$L$5001,"&lt;&gt;")=0,"",SUMIFS(BD!$L$3:$L$5001,BD!$B$3:$B$5001,V$184,BD!$A$3:$A$5001,_xlfn.MAXIFS(BD!$A$3:$A$5001,BD!$B$3:$B$5001,V$184,BD!$A$3:$A$5001,"&gt;="&amp;$C$7,BD!$A$3:$A$5001,"&lt;="&amp;$B194,BD!$L$3:$L$5001,"&lt;&gt;"))))</f>
        <v/>
      </c>
    </row>
    <row r="195">
      <c r="A195" s="38">
        <v>11</v>
      </c>
      <c r="B195" s="42">
        <f>$B$22</f>
        <v>46306</v>
      </c>
      <c r="C195" s="43" t="str">
        <f>IF(OR($B195="",$A195&gt;$B$9,C$184=""),"",IF(COUNTIFS(BD!$B$3:$B$5001,C$184,BD!$A$3:$A$5001,"&gt;="&amp;$C$7,BD!$A$3:$A$5001,"&lt;="&amp;$B195,BD!$L$3:$L$5001,"&lt;&gt;")=0,"",SUMIFS(BD!$L$3:$L$5001,BD!$B$3:$B$5001,C$184,BD!$A$3:$A$5001,_xlfn.MAXIFS(BD!$A$3:$A$5001,BD!$B$3:$B$5001,C$184,BD!$A$3:$A$5001,"&gt;="&amp;$C$7,BD!$A$3:$A$5001,"&lt;="&amp;$B195,BD!$L$3:$L$5001,"&lt;&gt;"))))</f>
        <v/>
      </c>
      <c r="D195" s="43" t="str">
        <f>IF(OR($B195="",$A195&gt;$B$9,D$184=""),"",IF(COUNTIFS(BD!$B$3:$B$5001,D$184,BD!$A$3:$A$5001,"&gt;="&amp;$C$7,BD!$A$3:$A$5001,"&lt;="&amp;$B195,BD!$L$3:$L$5001,"&lt;&gt;")=0,"",SUMIFS(BD!$L$3:$L$5001,BD!$B$3:$B$5001,D$184,BD!$A$3:$A$5001,_xlfn.MAXIFS(BD!$A$3:$A$5001,BD!$B$3:$B$5001,D$184,BD!$A$3:$A$5001,"&gt;="&amp;$C$7,BD!$A$3:$A$5001,"&lt;="&amp;$B195,BD!$L$3:$L$5001,"&lt;&gt;"))))</f>
        <v/>
      </c>
      <c r="E195" s="43" t="str">
        <f>IF(OR($B195="",$A195&gt;$B$9,E$184=""),"",IF(COUNTIFS(BD!$B$3:$B$5001,E$184,BD!$A$3:$A$5001,"&gt;="&amp;$C$7,BD!$A$3:$A$5001,"&lt;="&amp;$B195,BD!$L$3:$L$5001,"&lt;&gt;")=0,"",SUMIFS(BD!$L$3:$L$5001,BD!$B$3:$B$5001,E$184,BD!$A$3:$A$5001,_xlfn.MAXIFS(BD!$A$3:$A$5001,BD!$B$3:$B$5001,E$184,BD!$A$3:$A$5001,"&gt;="&amp;$C$7,BD!$A$3:$A$5001,"&lt;="&amp;$B195,BD!$L$3:$L$5001,"&lt;&gt;"))))</f>
        <v/>
      </c>
      <c r="F195" s="43" t="str">
        <f>IF(OR($B195="",$A195&gt;$B$9,F$184=""),"",IF(COUNTIFS(BD!$B$3:$B$5001,F$184,BD!$A$3:$A$5001,"&gt;="&amp;$C$7,BD!$A$3:$A$5001,"&lt;="&amp;$B195,BD!$L$3:$L$5001,"&lt;&gt;")=0,"",SUMIFS(BD!$L$3:$L$5001,BD!$B$3:$B$5001,F$184,BD!$A$3:$A$5001,_xlfn.MAXIFS(BD!$A$3:$A$5001,BD!$B$3:$B$5001,F$184,BD!$A$3:$A$5001,"&gt;="&amp;$C$7,BD!$A$3:$A$5001,"&lt;="&amp;$B195,BD!$L$3:$L$5001,"&lt;&gt;"))))</f>
        <v/>
      </c>
      <c r="G195" s="43" t="str">
        <f>IF(OR($B195="",$A195&gt;$B$9,G$184=""),"",IF(COUNTIFS(BD!$B$3:$B$5001,G$184,BD!$A$3:$A$5001,"&gt;="&amp;$C$7,BD!$A$3:$A$5001,"&lt;="&amp;$B195,BD!$L$3:$L$5001,"&lt;&gt;")=0,"",SUMIFS(BD!$L$3:$L$5001,BD!$B$3:$B$5001,G$184,BD!$A$3:$A$5001,_xlfn.MAXIFS(BD!$A$3:$A$5001,BD!$B$3:$B$5001,G$184,BD!$A$3:$A$5001,"&gt;="&amp;$C$7,BD!$A$3:$A$5001,"&lt;="&amp;$B195,BD!$L$3:$L$5001,"&lt;&gt;"))))</f>
        <v/>
      </c>
      <c r="H195" s="43" t="str">
        <f>IF(OR($B195="",$A195&gt;$B$9,H$184=""),"",IF(COUNTIFS(BD!$B$3:$B$5001,H$184,BD!$A$3:$A$5001,"&gt;="&amp;$C$7,BD!$A$3:$A$5001,"&lt;="&amp;$B195,BD!$L$3:$L$5001,"&lt;&gt;")=0,"",SUMIFS(BD!$L$3:$L$5001,BD!$B$3:$B$5001,H$184,BD!$A$3:$A$5001,_xlfn.MAXIFS(BD!$A$3:$A$5001,BD!$B$3:$B$5001,H$184,BD!$A$3:$A$5001,"&gt;="&amp;$C$7,BD!$A$3:$A$5001,"&lt;="&amp;$B195,BD!$L$3:$L$5001,"&lt;&gt;"))))</f>
        <v/>
      </c>
      <c r="I195" s="43" t="str">
        <f>IF(OR($B195="",$A195&gt;$B$9,I$184=""),"",IF(COUNTIFS(BD!$B$3:$B$5001,I$184,BD!$A$3:$A$5001,"&gt;="&amp;$C$7,BD!$A$3:$A$5001,"&lt;="&amp;$B195,BD!$L$3:$L$5001,"&lt;&gt;")=0,"",SUMIFS(BD!$L$3:$L$5001,BD!$B$3:$B$5001,I$184,BD!$A$3:$A$5001,_xlfn.MAXIFS(BD!$A$3:$A$5001,BD!$B$3:$B$5001,I$184,BD!$A$3:$A$5001,"&gt;="&amp;$C$7,BD!$A$3:$A$5001,"&lt;="&amp;$B195,BD!$L$3:$L$5001,"&lt;&gt;"))))</f>
        <v/>
      </c>
      <c r="J195" s="43" t="str">
        <f>IF(OR($B195="",$A195&gt;$B$9,J$184=""),"",IF(COUNTIFS(BD!$B$3:$B$5001,J$184,BD!$A$3:$A$5001,"&gt;="&amp;$C$7,BD!$A$3:$A$5001,"&lt;="&amp;$B195,BD!$L$3:$L$5001,"&lt;&gt;")=0,"",SUMIFS(BD!$L$3:$L$5001,BD!$B$3:$B$5001,J$184,BD!$A$3:$A$5001,_xlfn.MAXIFS(BD!$A$3:$A$5001,BD!$B$3:$B$5001,J$184,BD!$A$3:$A$5001,"&gt;="&amp;$C$7,BD!$A$3:$A$5001,"&lt;="&amp;$B195,BD!$L$3:$L$5001,"&lt;&gt;"))))</f>
        <v/>
      </c>
      <c r="K195" s="43" t="str">
        <f>IF(OR($B195="",$A195&gt;$B$9,K$184=""),"",IF(COUNTIFS(BD!$B$3:$B$5001,K$184,BD!$A$3:$A$5001,"&gt;="&amp;$C$7,BD!$A$3:$A$5001,"&lt;="&amp;$B195,BD!$L$3:$L$5001,"&lt;&gt;")=0,"",SUMIFS(BD!$L$3:$L$5001,BD!$B$3:$B$5001,K$184,BD!$A$3:$A$5001,_xlfn.MAXIFS(BD!$A$3:$A$5001,BD!$B$3:$B$5001,K$184,BD!$A$3:$A$5001,"&gt;="&amp;$C$7,BD!$A$3:$A$5001,"&lt;="&amp;$B195,BD!$L$3:$L$5001,"&lt;&gt;"))))</f>
        <v/>
      </c>
      <c r="L195" s="43" t="str">
        <f>IF(OR($B195="",$A195&gt;$B$9,L$184=""),"",IF(COUNTIFS(BD!$B$3:$B$5001,L$184,BD!$A$3:$A$5001,"&gt;="&amp;$C$7,BD!$A$3:$A$5001,"&lt;="&amp;$B195,BD!$L$3:$L$5001,"&lt;&gt;")=0,"",SUMIFS(BD!$L$3:$L$5001,BD!$B$3:$B$5001,L$184,BD!$A$3:$A$5001,_xlfn.MAXIFS(BD!$A$3:$A$5001,BD!$B$3:$B$5001,L$184,BD!$A$3:$A$5001,"&gt;="&amp;$C$7,BD!$A$3:$A$5001,"&lt;="&amp;$B195,BD!$L$3:$L$5001,"&lt;&gt;"))))</f>
        <v/>
      </c>
      <c r="M195" s="43" t="str">
        <f>IF(OR($B195="",$A195&gt;$B$9,M$184=""),"",IF(COUNTIFS(BD!$B$3:$B$5001,M$184,BD!$A$3:$A$5001,"&gt;="&amp;$C$7,BD!$A$3:$A$5001,"&lt;="&amp;$B195,BD!$L$3:$L$5001,"&lt;&gt;")=0,"",SUMIFS(BD!$L$3:$L$5001,BD!$B$3:$B$5001,M$184,BD!$A$3:$A$5001,_xlfn.MAXIFS(BD!$A$3:$A$5001,BD!$B$3:$B$5001,M$184,BD!$A$3:$A$5001,"&gt;="&amp;$C$7,BD!$A$3:$A$5001,"&lt;="&amp;$B195,BD!$L$3:$L$5001,"&lt;&gt;"))))</f>
        <v/>
      </c>
      <c r="N195" s="43" t="str">
        <f>IF(OR($B195="",$A195&gt;$B$9,N$184=""),"",IF(COUNTIFS(BD!$B$3:$B$5001,N$184,BD!$A$3:$A$5001,"&gt;="&amp;$C$7,BD!$A$3:$A$5001,"&lt;="&amp;$B195,BD!$L$3:$L$5001,"&lt;&gt;")=0,"",SUMIFS(BD!$L$3:$L$5001,BD!$B$3:$B$5001,N$184,BD!$A$3:$A$5001,_xlfn.MAXIFS(BD!$A$3:$A$5001,BD!$B$3:$B$5001,N$184,BD!$A$3:$A$5001,"&gt;="&amp;$C$7,BD!$A$3:$A$5001,"&lt;="&amp;$B195,BD!$L$3:$L$5001,"&lt;&gt;"))))</f>
        <v/>
      </c>
      <c r="O195" s="43" t="str">
        <f>IF(OR($B195="",$A195&gt;$B$9,O$184=""),"",IF(COUNTIFS(BD!$B$3:$B$5001,O$184,BD!$A$3:$A$5001,"&gt;="&amp;$C$7,BD!$A$3:$A$5001,"&lt;="&amp;$B195,BD!$L$3:$L$5001,"&lt;&gt;")=0,"",SUMIFS(BD!$L$3:$L$5001,BD!$B$3:$B$5001,O$184,BD!$A$3:$A$5001,_xlfn.MAXIFS(BD!$A$3:$A$5001,BD!$B$3:$B$5001,O$184,BD!$A$3:$A$5001,"&gt;="&amp;$C$7,BD!$A$3:$A$5001,"&lt;="&amp;$B195,BD!$L$3:$L$5001,"&lt;&gt;"))))</f>
        <v/>
      </c>
      <c r="P195" s="43" t="str">
        <f>IF(OR($B195="",$A195&gt;$B$9,P$184=""),"",IF(COUNTIFS(BD!$B$3:$B$5001,P$184,BD!$A$3:$A$5001,"&gt;="&amp;$C$7,BD!$A$3:$A$5001,"&lt;="&amp;$B195,BD!$L$3:$L$5001,"&lt;&gt;")=0,"",SUMIFS(BD!$L$3:$L$5001,BD!$B$3:$B$5001,P$184,BD!$A$3:$A$5001,_xlfn.MAXIFS(BD!$A$3:$A$5001,BD!$B$3:$B$5001,P$184,BD!$A$3:$A$5001,"&gt;="&amp;$C$7,BD!$A$3:$A$5001,"&lt;="&amp;$B195,BD!$L$3:$L$5001,"&lt;&gt;"))))</f>
        <v/>
      </c>
      <c r="Q195" s="43" t="str">
        <f>IF(OR($B195="",$A195&gt;$B$9,Q$184=""),"",IF(COUNTIFS(BD!$B$3:$B$5001,Q$184,BD!$A$3:$A$5001,"&gt;="&amp;$C$7,BD!$A$3:$A$5001,"&lt;="&amp;$B195,BD!$L$3:$L$5001,"&lt;&gt;")=0,"",SUMIFS(BD!$L$3:$L$5001,BD!$B$3:$B$5001,Q$184,BD!$A$3:$A$5001,_xlfn.MAXIFS(BD!$A$3:$A$5001,BD!$B$3:$B$5001,Q$184,BD!$A$3:$A$5001,"&gt;="&amp;$C$7,BD!$A$3:$A$5001,"&lt;="&amp;$B195,BD!$L$3:$L$5001,"&lt;&gt;"))))</f>
        <v/>
      </c>
      <c r="R195" s="43" t="str">
        <f>IF(OR($B195="",$A195&gt;$B$9,R$184=""),"",IF(COUNTIFS(BD!$B$3:$B$5001,R$184,BD!$A$3:$A$5001,"&gt;="&amp;$C$7,BD!$A$3:$A$5001,"&lt;="&amp;$B195,BD!$L$3:$L$5001,"&lt;&gt;")=0,"",SUMIFS(BD!$L$3:$L$5001,BD!$B$3:$B$5001,R$184,BD!$A$3:$A$5001,_xlfn.MAXIFS(BD!$A$3:$A$5001,BD!$B$3:$B$5001,R$184,BD!$A$3:$A$5001,"&gt;="&amp;$C$7,BD!$A$3:$A$5001,"&lt;="&amp;$B195,BD!$L$3:$L$5001,"&lt;&gt;"))))</f>
        <v/>
      </c>
      <c r="S195" s="43" t="str">
        <f>IF(OR($B195="",$A195&gt;$B$9,S$184=""),"",IF(COUNTIFS(BD!$B$3:$B$5001,S$184,BD!$A$3:$A$5001,"&gt;="&amp;$C$7,BD!$A$3:$A$5001,"&lt;="&amp;$B195,BD!$L$3:$L$5001,"&lt;&gt;")=0,"",SUMIFS(BD!$L$3:$L$5001,BD!$B$3:$B$5001,S$184,BD!$A$3:$A$5001,_xlfn.MAXIFS(BD!$A$3:$A$5001,BD!$B$3:$B$5001,S$184,BD!$A$3:$A$5001,"&gt;="&amp;$C$7,BD!$A$3:$A$5001,"&lt;="&amp;$B195,BD!$L$3:$L$5001,"&lt;&gt;"))))</f>
        <v/>
      </c>
      <c r="T195" s="43" t="str">
        <f>IF(OR($B195="",$A195&gt;$B$9,T$184=""),"",IF(COUNTIFS(BD!$B$3:$B$5001,T$184,BD!$A$3:$A$5001,"&gt;="&amp;$C$7,BD!$A$3:$A$5001,"&lt;="&amp;$B195,BD!$L$3:$L$5001,"&lt;&gt;")=0,"",SUMIFS(BD!$L$3:$L$5001,BD!$B$3:$B$5001,T$184,BD!$A$3:$A$5001,_xlfn.MAXIFS(BD!$A$3:$A$5001,BD!$B$3:$B$5001,T$184,BD!$A$3:$A$5001,"&gt;="&amp;$C$7,BD!$A$3:$A$5001,"&lt;="&amp;$B195,BD!$L$3:$L$5001,"&lt;&gt;"))))</f>
        <v/>
      </c>
      <c r="U195" s="43" t="str">
        <f>IF(OR($B195="",$A195&gt;$B$9,U$184=""),"",IF(COUNTIFS(BD!$B$3:$B$5001,U$184,BD!$A$3:$A$5001,"&gt;="&amp;$C$7,BD!$A$3:$A$5001,"&lt;="&amp;$B195,BD!$L$3:$L$5001,"&lt;&gt;")=0,"",SUMIFS(BD!$L$3:$L$5001,BD!$B$3:$B$5001,U$184,BD!$A$3:$A$5001,_xlfn.MAXIFS(BD!$A$3:$A$5001,BD!$B$3:$B$5001,U$184,BD!$A$3:$A$5001,"&gt;="&amp;$C$7,BD!$A$3:$A$5001,"&lt;="&amp;$B195,BD!$L$3:$L$5001,"&lt;&gt;"))))</f>
        <v/>
      </c>
      <c r="V195" s="43" t="str">
        <f>IF(OR($B195="",$A195&gt;$B$9,V$184=""),"",IF(COUNTIFS(BD!$B$3:$B$5001,V$184,BD!$A$3:$A$5001,"&gt;="&amp;$C$7,BD!$A$3:$A$5001,"&lt;="&amp;$B195,BD!$L$3:$L$5001,"&lt;&gt;")=0,"",SUMIFS(BD!$L$3:$L$5001,BD!$B$3:$B$5001,V$184,BD!$A$3:$A$5001,_xlfn.MAXIFS(BD!$A$3:$A$5001,BD!$B$3:$B$5001,V$184,BD!$A$3:$A$5001,"&gt;="&amp;$C$7,BD!$A$3:$A$5001,"&lt;="&amp;$B195,BD!$L$3:$L$5001,"&lt;&gt;"))))</f>
        <v/>
      </c>
    </row>
    <row r="196">
      <c r="A196" s="38">
        <v>12</v>
      </c>
      <c r="B196" s="42">
        <f>$B$23</f>
        <v>46307</v>
      </c>
      <c r="C196" s="43" t="str">
        <f>IF(OR($B196="",$A196&gt;$B$9,C$184=""),"",IF(COUNTIFS(BD!$B$3:$B$5001,C$184,BD!$A$3:$A$5001,"&gt;="&amp;$C$7,BD!$A$3:$A$5001,"&lt;="&amp;$B196,BD!$L$3:$L$5001,"&lt;&gt;")=0,"",SUMIFS(BD!$L$3:$L$5001,BD!$B$3:$B$5001,C$184,BD!$A$3:$A$5001,_xlfn.MAXIFS(BD!$A$3:$A$5001,BD!$B$3:$B$5001,C$184,BD!$A$3:$A$5001,"&gt;="&amp;$C$7,BD!$A$3:$A$5001,"&lt;="&amp;$B196,BD!$L$3:$L$5001,"&lt;&gt;"))))</f>
        <v/>
      </c>
      <c r="D196" s="43" t="str">
        <f>IF(OR($B196="",$A196&gt;$B$9,D$184=""),"",IF(COUNTIFS(BD!$B$3:$B$5001,D$184,BD!$A$3:$A$5001,"&gt;="&amp;$C$7,BD!$A$3:$A$5001,"&lt;="&amp;$B196,BD!$L$3:$L$5001,"&lt;&gt;")=0,"",SUMIFS(BD!$L$3:$L$5001,BD!$B$3:$B$5001,D$184,BD!$A$3:$A$5001,_xlfn.MAXIFS(BD!$A$3:$A$5001,BD!$B$3:$B$5001,D$184,BD!$A$3:$A$5001,"&gt;="&amp;$C$7,BD!$A$3:$A$5001,"&lt;="&amp;$B196,BD!$L$3:$L$5001,"&lt;&gt;"))))</f>
        <v/>
      </c>
      <c r="E196" s="43" t="str">
        <f>IF(OR($B196="",$A196&gt;$B$9,E$184=""),"",IF(COUNTIFS(BD!$B$3:$B$5001,E$184,BD!$A$3:$A$5001,"&gt;="&amp;$C$7,BD!$A$3:$A$5001,"&lt;="&amp;$B196,BD!$L$3:$L$5001,"&lt;&gt;")=0,"",SUMIFS(BD!$L$3:$L$5001,BD!$B$3:$B$5001,E$184,BD!$A$3:$A$5001,_xlfn.MAXIFS(BD!$A$3:$A$5001,BD!$B$3:$B$5001,E$184,BD!$A$3:$A$5001,"&gt;="&amp;$C$7,BD!$A$3:$A$5001,"&lt;="&amp;$B196,BD!$L$3:$L$5001,"&lt;&gt;"))))</f>
        <v/>
      </c>
      <c r="F196" s="43" t="str">
        <f>IF(OR($B196="",$A196&gt;$B$9,F$184=""),"",IF(COUNTIFS(BD!$B$3:$B$5001,F$184,BD!$A$3:$A$5001,"&gt;="&amp;$C$7,BD!$A$3:$A$5001,"&lt;="&amp;$B196,BD!$L$3:$L$5001,"&lt;&gt;")=0,"",SUMIFS(BD!$L$3:$L$5001,BD!$B$3:$B$5001,F$184,BD!$A$3:$A$5001,_xlfn.MAXIFS(BD!$A$3:$A$5001,BD!$B$3:$B$5001,F$184,BD!$A$3:$A$5001,"&gt;="&amp;$C$7,BD!$A$3:$A$5001,"&lt;="&amp;$B196,BD!$L$3:$L$5001,"&lt;&gt;"))))</f>
        <v/>
      </c>
      <c r="G196" s="43" t="str">
        <f>IF(OR($B196="",$A196&gt;$B$9,G$184=""),"",IF(COUNTIFS(BD!$B$3:$B$5001,G$184,BD!$A$3:$A$5001,"&gt;="&amp;$C$7,BD!$A$3:$A$5001,"&lt;="&amp;$B196,BD!$L$3:$L$5001,"&lt;&gt;")=0,"",SUMIFS(BD!$L$3:$L$5001,BD!$B$3:$B$5001,G$184,BD!$A$3:$A$5001,_xlfn.MAXIFS(BD!$A$3:$A$5001,BD!$B$3:$B$5001,G$184,BD!$A$3:$A$5001,"&gt;="&amp;$C$7,BD!$A$3:$A$5001,"&lt;="&amp;$B196,BD!$L$3:$L$5001,"&lt;&gt;"))))</f>
        <v/>
      </c>
      <c r="H196" s="43" t="str">
        <f>IF(OR($B196="",$A196&gt;$B$9,H$184=""),"",IF(COUNTIFS(BD!$B$3:$B$5001,H$184,BD!$A$3:$A$5001,"&gt;="&amp;$C$7,BD!$A$3:$A$5001,"&lt;="&amp;$B196,BD!$L$3:$L$5001,"&lt;&gt;")=0,"",SUMIFS(BD!$L$3:$L$5001,BD!$B$3:$B$5001,H$184,BD!$A$3:$A$5001,_xlfn.MAXIFS(BD!$A$3:$A$5001,BD!$B$3:$B$5001,H$184,BD!$A$3:$A$5001,"&gt;="&amp;$C$7,BD!$A$3:$A$5001,"&lt;="&amp;$B196,BD!$L$3:$L$5001,"&lt;&gt;"))))</f>
        <v/>
      </c>
      <c r="I196" s="43" t="str">
        <f>IF(OR($B196="",$A196&gt;$B$9,I$184=""),"",IF(COUNTIFS(BD!$B$3:$B$5001,I$184,BD!$A$3:$A$5001,"&gt;="&amp;$C$7,BD!$A$3:$A$5001,"&lt;="&amp;$B196,BD!$L$3:$L$5001,"&lt;&gt;")=0,"",SUMIFS(BD!$L$3:$L$5001,BD!$B$3:$B$5001,I$184,BD!$A$3:$A$5001,_xlfn.MAXIFS(BD!$A$3:$A$5001,BD!$B$3:$B$5001,I$184,BD!$A$3:$A$5001,"&gt;="&amp;$C$7,BD!$A$3:$A$5001,"&lt;="&amp;$B196,BD!$L$3:$L$5001,"&lt;&gt;"))))</f>
        <v/>
      </c>
      <c r="J196" s="43" t="str">
        <f>IF(OR($B196="",$A196&gt;$B$9,J$184=""),"",IF(COUNTIFS(BD!$B$3:$B$5001,J$184,BD!$A$3:$A$5001,"&gt;="&amp;$C$7,BD!$A$3:$A$5001,"&lt;="&amp;$B196,BD!$L$3:$L$5001,"&lt;&gt;")=0,"",SUMIFS(BD!$L$3:$L$5001,BD!$B$3:$B$5001,J$184,BD!$A$3:$A$5001,_xlfn.MAXIFS(BD!$A$3:$A$5001,BD!$B$3:$B$5001,J$184,BD!$A$3:$A$5001,"&gt;="&amp;$C$7,BD!$A$3:$A$5001,"&lt;="&amp;$B196,BD!$L$3:$L$5001,"&lt;&gt;"))))</f>
        <v/>
      </c>
      <c r="K196" s="43" t="str">
        <f>IF(OR($B196="",$A196&gt;$B$9,K$184=""),"",IF(COUNTIFS(BD!$B$3:$B$5001,K$184,BD!$A$3:$A$5001,"&gt;="&amp;$C$7,BD!$A$3:$A$5001,"&lt;="&amp;$B196,BD!$L$3:$L$5001,"&lt;&gt;")=0,"",SUMIFS(BD!$L$3:$L$5001,BD!$B$3:$B$5001,K$184,BD!$A$3:$A$5001,_xlfn.MAXIFS(BD!$A$3:$A$5001,BD!$B$3:$B$5001,K$184,BD!$A$3:$A$5001,"&gt;="&amp;$C$7,BD!$A$3:$A$5001,"&lt;="&amp;$B196,BD!$L$3:$L$5001,"&lt;&gt;"))))</f>
        <v/>
      </c>
      <c r="L196" s="43" t="str">
        <f>IF(OR($B196="",$A196&gt;$B$9,L$184=""),"",IF(COUNTIFS(BD!$B$3:$B$5001,L$184,BD!$A$3:$A$5001,"&gt;="&amp;$C$7,BD!$A$3:$A$5001,"&lt;="&amp;$B196,BD!$L$3:$L$5001,"&lt;&gt;")=0,"",SUMIFS(BD!$L$3:$L$5001,BD!$B$3:$B$5001,L$184,BD!$A$3:$A$5001,_xlfn.MAXIFS(BD!$A$3:$A$5001,BD!$B$3:$B$5001,L$184,BD!$A$3:$A$5001,"&gt;="&amp;$C$7,BD!$A$3:$A$5001,"&lt;="&amp;$B196,BD!$L$3:$L$5001,"&lt;&gt;"))))</f>
        <v/>
      </c>
      <c r="M196" s="43" t="str">
        <f>IF(OR($B196="",$A196&gt;$B$9,M$184=""),"",IF(COUNTIFS(BD!$B$3:$B$5001,M$184,BD!$A$3:$A$5001,"&gt;="&amp;$C$7,BD!$A$3:$A$5001,"&lt;="&amp;$B196,BD!$L$3:$L$5001,"&lt;&gt;")=0,"",SUMIFS(BD!$L$3:$L$5001,BD!$B$3:$B$5001,M$184,BD!$A$3:$A$5001,_xlfn.MAXIFS(BD!$A$3:$A$5001,BD!$B$3:$B$5001,M$184,BD!$A$3:$A$5001,"&gt;="&amp;$C$7,BD!$A$3:$A$5001,"&lt;="&amp;$B196,BD!$L$3:$L$5001,"&lt;&gt;"))))</f>
        <v/>
      </c>
      <c r="N196" s="43" t="str">
        <f>IF(OR($B196="",$A196&gt;$B$9,N$184=""),"",IF(COUNTIFS(BD!$B$3:$B$5001,N$184,BD!$A$3:$A$5001,"&gt;="&amp;$C$7,BD!$A$3:$A$5001,"&lt;="&amp;$B196,BD!$L$3:$L$5001,"&lt;&gt;")=0,"",SUMIFS(BD!$L$3:$L$5001,BD!$B$3:$B$5001,N$184,BD!$A$3:$A$5001,_xlfn.MAXIFS(BD!$A$3:$A$5001,BD!$B$3:$B$5001,N$184,BD!$A$3:$A$5001,"&gt;="&amp;$C$7,BD!$A$3:$A$5001,"&lt;="&amp;$B196,BD!$L$3:$L$5001,"&lt;&gt;"))))</f>
        <v/>
      </c>
      <c r="O196" s="43" t="str">
        <f>IF(OR($B196="",$A196&gt;$B$9,O$184=""),"",IF(COUNTIFS(BD!$B$3:$B$5001,O$184,BD!$A$3:$A$5001,"&gt;="&amp;$C$7,BD!$A$3:$A$5001,"&lt;="&amp;$B196,BD!$L$3:$L$5001,"&lt;&gt;")=0,"",SUMIFS(BD!$L$3:$L$5001,BD!$B$3:$B$5001,O$184,BD!$A$3:$A$5001,_xlfn.MAXIFS(BD!$A$3:$A$5001,BD!$B$3:$B$5001,O$184,BD!$A$3:$A$5001,"&gt;="&amp;$C$7,BD!$A$3:$A$5001,"&lt;="&amp;$B196,BD!$L$3:$L$5001,"&lt;&gt;"))))</f>
        <v/>
      </c>
      <c r="P196" s="43" t="str">
        <f>IF(OR($B196="",$A196&gt;$B$9,P$184=""),"",IF(COUNTIFS(BD!$B$3:$B$5001,P$184,BD!$A$3:$A$5001,"&gt;="&amp;$C$7,BD!$A$3:$A$5001,"&lt;="&amp;$B196,BD!$L$3:$L$5001,"&lt;&gt;")=0,"",SUMIFS(BD!$L$3:$L$5001,BD!$B$3:$B$5001,P$184,BD!$A$3:$A$5001,_xlfn.MAXIFS(BD!$A$3:$A$5001,BD!$B$3:$B$5001,P$184,BD!$A$3:$A$5001,"&gt;="&amp;$C$7,BD!$A$3:$A$5001,"&lt;="&amp;$B196,BD!$L$3:$L$5001,"&lt;&gt;"))))</f>
        <v/>
      </c>
      <c r="Q196" s="43" t="str">
        <f>IF(OR($B196="",$A196&gt;$B$9,Q$184=""),"",IF(COUNTIFS(BD!$B$3:$B$5001,Q$184,BD!$A$3:$A$5001,"&gt;="&amp;$C$7,BD!$A$3:$A$5001,"&lt;="&amp;$B196,BD!$L$3:$L$5001,"&lt;&gt;")=0,"",SUMIFS(BD!$L$3:$L$5001,BD!$B$3:$B$5001,Q$184,BD!$A$3:$A$5001,_xlfn.MAXIFS(BD!$A$3:$A$5001,BD!$B$3:$B$5001,Q$184,BD!$A$3:$A$5001,"&gt;="&amp;$C$7,BD!$A$3:$A$5001,"&lt;="&amp;$B196,BD!$L$3:$L$5001,"&lt;&gt;"))))</f>
        <v/>
      </c>
      <c r="R196" s="43" t="str">
        <f>IF(OR($B196="",$A196&gt;$B$9,R$184=""),"",IF(COUNTIFS(BD!$B$3:$B$5001,R$184,BD!$A$3:$A$5001,"&gt;="&amp;$C$7,BD!$A$3:$A$5001,"&lt;="&amp;$B196,BD!$L$3:$L$5001,"&lt;&gt;")=0,"",SUMIFS(BD!$L$3:$L$5001,BD!$B$3:$B$5001,R$184,BD!$A$3:$A$5001,_xlfn.MAXIFS(BD!$A$3:$A$5001,BD!$B$3:$B$5001,R$184,BD!$A$3:$A$5001,"&gt;="&amp;$C$7,BD!$A$3:$A$5001,"&lt;="&amp;$B196,BD!$L$3:$L$5001,"&lt;&gt;"))))</f>
        <v/>
      </c>
      <c r="S196" s="43" t="str">
        <f>IF(OR($B196="",$A196&gt;$B$9,S$184=""),"",IF(COUNTIFS(BD!$B$3:$B$5001,S$184,BD!$A$3:$A$5001,"&gt;="&amp;$C$7,BD!$A$3:$A$5001,"&lt;="&amp;$B196,BD!$L$3:$L$5001,"&lt;&gt;")=0,"",SUMIFS(BD!$L$3:$L$5001,BD!$B$3:$B$5001,S$184,BD!$A$3:$A$5001,_xlfn.MAXIFS(BD!$A$3:$A$5001,BD!$B$3:$B$5001,S$184,BD!$A$3:$A$5001,"&gt;="&amp;$C$7,BD!$A$3:$A$5001,"&lt;="&amp;$B196,BD!$L$3:$L$5001,"&lt;&gt;"))))</f>
        <v/>
      </c>
      <c r="T196" s="43" t="str">
        <f>IF(OR($B196="",$A196&gt;$B$9,T$184=""),"",IF(COUNTIFS(BD!$B$3:$B$5001,T$184,BD!$A$3:$A$5001,"&gt;="&amp;$C$7,BD!$A$3:$A$5001,"&lt;="&amp;$B196,BD!$L$3:$L$5001,"&lt;&gt;")=0,"",SUMIFS(BD!$L$3:$L$5001,BD!$B$3:$B$5001,T$184,BD!$A$3:$A$5001,_xlfn.MAXIFS(BD!$A$3:$A$5001,BD!$B$3:$B$5001,T$184,BD!$A$3:$A$5001,"&gt;="&amp;$C$7,BD!$A$3:$A$5001,"&lt;="&amp;$B196,BD!$L$3:$L$5001,"&lt;&gt;"))))</f>
        <v/>
      </c>
      <c r="U196" s="43" t="str">
        <f>IF(OR($B196="",$A196&gt;$B$9,U$184=""),"",IF(COUNTIFS(BD!$B$3:$B$5001,U$184,BD!$A$3:$A$5001,"&gt;="&amp;$C$7,BD!$A$3:$A$5001,"&lt;="&amp;$B196,BD!$L$3:$L$5001,"&lt;&gt;")=0,"",SUMIFS(BD!$L$3:$L$5001,BD!$B$3:$B$5001,U$184,BD!$A$3:$A$5001,_xlfn.MAXIFS(BD!$A$3:$A$5001,BD!$B$3:$B$5001,U$184,BD!$A$3:$A$5001,"&gt;="&amp;$C$7,BD!$A$3:$A$5001,"&lt;="&amp;$B196,BD!$L$3:$L$5001,"&lt;&gt;"))))</f>
        <v/>
      </c>
      <c r="V196" s="43" t="str">
        <f>IF(OR($B196="",$A196&gt;$B$9,V$184=""),"",IF(COUNTIFS(BD!$B$3:$B$5001,V$184,BD!$A$3:$A$5001,"&gt;="&amp;$C$7,BD!$A$3:$A$5001,"&lt;="&amp;$B196,BD!$L$3:$L$5001,"&lt;&gt;")=0,"",SUMIFS(BD!$L$3:$L$5001,BD!$B$3:$B$5001,V$184,BD!$A$3:$A$5001,_xlfn.MAXIFS(BD!$A$3:$A$5001,BD!$B$3:$B$5001,V$184,BD!$A$3:$A$5001,"&gt;="&amp;$C$7,BD!$A$3:$A$5001,"&lt;="&amp;$B196,BD!$L$3:$L$5001,"&lt;&gt;"))))</f>
        <v/>
      </c>
    </row>
    <row r="197">
      <c r="A197" s="38">
        <v>13</v>
      </c>
      <c r="B197" s="42">
        <f>$B$24</f>
        <v>46308</v>
      </c>
      <c r="C197" s="43" t="str">
        <f>IF(OR($B197="",$A197&gt;$B$9,C$184=""),"",IF(COUNTIFS(BD!$B$3:$B$5001,C$184,BD!$A$3:$A$5001,"&gt;="&amp;$C$7,BD!$A$3:$A$5001,"&lt;="&amp;$B197,BD!$L$3:$L$5001,"&lt;&gt;")=0,"",SUMIFS(BD!$L$3:$L$5001,BD!$B$3:$B$5001,C$184,BD!$A$3:$A$5001,_xlfn.MAXIFS(BD!$A$3:$A$5001,BD!$B$3:$B$5001,C$184,BD!$A$3:$A$5001,"&gt;="&amp;$C$7,BD!$A$3:$A$5001,"&lt;="&amp;$B197,BD!$L$3:$L$5001,"&lt;&gt;"))))</f>
        <v/>
      </c>
      <c r="D197" s="43" t="str">
        <f>IF(OR($B197="",$A197&gt;$B$9,D$184=""),"",IF(COUNTIFS(BD!$B$3:$B$5001,D$184,BD!$A$3:$A$5001,"&gt;="&amp;$C$7,BD!$A$3:$A$5001,"&lt;="&amp;$B197,BD!$L$3:$L$5001,"&lt;&gt;")=0,"",SUMIFS(BD!$L$3:$L$5001,BD!$B$3:$B$5001,D$184,BD!$A$3:$A$5001,_xlfn.MAXIFS(BD!$A$3:$A$5001,BD!$B$3:$B$5001,D$184,BD!$A$3:$A$5001,"&gt;="&amp;$C$7,BD!$A$3:$A$5001,"&lt;="&amp;$B197,BD!$L$3:$L$5001,"&lt;&gt;"))))</f>
        <v/>
      </c>
      <c r="E197" s="43" t="str">
        <f>IF(OR($B197="",$A197&gt;$B$9,E$184=""),"",IF(COUNTIFS(BD!$B$3:$B$5001,E$184,BD!$A$3:$A$5001,"&gt;="&amp;$C$7,BD!$A$3:$A$5001,"&lt;="&amp;$B197,BD!$L$3:$L$5001,"&lt;&gt;")=0,"",SUMIFS(BD!$L$3:$L$5001,BD!$B$3:$B$5001,E$184,BD!$A$3:$A$5001,_xlfn.MAXIFS(BD!$A$3:$A$5001,BD!$B$3:$B$5001,E$184,BD!$A$3:$A$5001,"&gt;="&amp;$C$7,BD!$A$3:$A$5001,"&lt;="&amp;$B197,BD!$L$3:$L$5001,"&lt;&gt;"))))</f>
        <v/>
      </c>
      <c r="F197" s="43" t="str">
        <f>IF(OR($B197="",$A197&gt;$B$9,F$184=""),"",IF(COUNTIFS(BD!$B$3:$B$5001,F$184,BD!$A$3:$A$5001,"&gt;="&amp;$C$7,BD!$A$3:$A$5001,"&lt;="&amp;$B197,BD!$L$3:$L$5001,"&lt;&gt;")=0,"",SUMIFS(BD!$L$3:$L$5001,BD!$B$3:$B$5001,F$184,BD!$A$3:$A$5001,_xlfn.MAXIFS(BD!$A$3:$A$5001,BD!$B$3:$B$5001,F$184,BD!$A$3:$A$5001,"&gt;="&amp;$C$7,BD!$A$3:$A$5001,"&lt;="&amp;$B197,BD!$L$3:$L$5001,"&lt;&gt;"))))</f>
        <v/>
      </c>
      <c r="G197" s="43" t="str">
        <f>IF(OR($B197="",$A197&gt;$B$9,G$184=""),"",IF(COUNTIFS(BD!$B$3:$B$5001,G$184,BD!$A$3:$A$5001,"&gt;="&amp;$C$7,BD!$A$3:$A$5001,"&lt;="&amp;$B197,BD!$L$3:$L$5001,"&lt;&gt;")=0,"",SUMIFS(BD!$L$3:$L$5001,BD!$B$3:$B$5001,G$184,BD!$A$3:$A$5001,_xlfn.MAXIFS(BD!$A$3:$A$5001,BD!$B$3:$B$5001,G$184,BD!$A$3:$A$5001,"&gt;="&amp;$C$7,BD!$A$3:$A$5001,"&lt;="&amp;$B197,BD!$L$3:$L$5001,"&lt;&gt;"))))</f>
        <v/>
      </c>
      <c r="H197" s="43" t="str">
        <f>IF(OR($B197="",$A197&gt;$B$9,H$184=""),"",IF(COUNTIFS(BD!$B$3:$B$5001,H$184,BD!$A$3:$A$5001,"&gt;="&amp;$C$7,BD!$A$3:$A$5001,"&lt;="&amp;$B197,BD!$L$3:$L$5001,"&lt;&gt;")=0,"",SUMIFS(BD!$L$3:$L$5001,BD!$B$3:$B$5001,H$184,BD!$A$3:$A$5001,_xlfn.MAXIFS(BD!$A$3:$A$5001,BD!$B$3:$B$5001,H$184,BD!$A$3:$A$5001,"&gt;="&amp;$C$7,BD!$A$3:$A$5001,"&lt;="&amp;$B197,BD!$L$3:$L$5001,"&lt;&gt;"))))</f>
        <v/>
      </c>
      <c r="I197" s="43" t="str">
        <f>IF(OR($B197="",$A197&gt;$B$9,I$184=""),"",IF(COUNTIFS(BD!$B$3:$B$5001,I$184,BD!$A$3:$A$5001,"&gt;="&amp;$C$7,BD!$A$3:$A$5001,"&lt;="&amp;$B197,BD!$L$3:$L$5001,"&lt;&gt;")=0,"",SUMIFS(BD!$L$3:$L$5001,BD!$B$3:$B$5001,I$184,BD!$A$3:$A$5001,_xlfn.MAXIFS(BD!$A$3:$A$5001,BD!$B$3:$B$5001,I$184,BD!$A$3:$A$5001,"&gt;="&amp;$C$7,BD!$A$3:$A$5001,"&lt;="&amp;$B197,BD!$L$3:$L$5001,"&lt;&gt;"))))</f>
        <v/>
      </c>
      <c r="J197" s="43" t="str">
        <f>IF(OR($B197="",$A197&gt;$B$9,J$184=""),"",IF(COUNTIFS(BD!$B$3:$B$5001,J$184,BD!$A$3:$A$5001,"&gt;="&amp;$C$7,BD!$A$3:$A$5001,"&lt;="&amp;$B197,BD!$L$3:$L$5001,"&lt;&gt;")=0,"",SUMIFS(BD!$L$3:$L$5001,BD!$B$3:$B$5001,J$184,BD!$A$3:$A$5001,_xlfn.MAXIFS(BD!$A$3:$A$5001,BD!$B$3:$B$5001,J$184,BD!$A$3:$A$5001,"&gt;="&amp;$C$7,BD!$A$3:$A$5001,"&lt;="&amp;$B197,BD!$L$3:$L$5001,"&lt;&gt;"))))</f>
        <v/>
      </c>
      <c r="K197" s="43" t="str">
        <f>IF(OR($B197="",$A197&gt;$B$9,K$184=""),"",IF(COUNTIFS(BD!$B$3:$B$5001,K$184,BD!$A$3:$A$5001,"&gt;="&amp;$C$7,BD!$A$3:$A$5001,"&lt;="&amp;$B197,BD!$L$3:$L$5001,"&lt;&gt;")=0,"",SUMIFS(BD!$L$3:$L$5001,BD!$B$3:$B$5001,K$184,BD!$A$3:$A$5001,_xlfn.MAXIFS(BD!$A$3:$A$5001,BD!$B$3:$B$5001,K$184,BD!$A$3:$A$5001,"&gt;="&amp;$C$7,BD!$A$3:$A$5001,"&lt;="&amp;$B197,BD!$L$3:$L$5001,"&lt;&gt;"))))</f>
        <v/>
      </c>
      <c r="L197" s="43" t="str">
        <f>IF(OR($B197="",$A197&gt;$B$9,L$184=""),"",IF(COUNTIFS(BD!$B$3:$B$5001,L$184,BD!$A$3:$A$5001,"&gt;="&amp;$C$7,BD!$A$3:$A$5001,"&lt;="&amp;$B197,BD!$L$3:$L$5001,"&lt;&gt;")=0,"",SUMIFS(BD!$L$3:$L$5001,BD!$B$3:$B$5001,L$184,BD!$A$3:$A$5001,_xlfn.MAXIFS(BD!$A$3:$A$5001,BD!$B$3:$B$5001,L$184,BD!$A$3:$A$5001,"&gt;="&amp;$C$7,BD!$A$3:$A$5001,"&lt;="&amp;$B197,BD!$L$3:$L$5001,"&lt;&gt;"))))</f>
        <v/>
      </c>
      <c r="M197" s="43" t="str">
        <f>IF(OR($B197="",$A197&gt;$B$9,M$184=""),"",IF(COUNTIFS(BD!$B$3:$B$5001,M$184,BD!$A$3:$A$5001,"&gt;="&amp;$C$7,BD!$A$3:$A$5001,"&lt;="&amp;$B197,BD!$L$3:$L$5001,"&lt;&gt;")=0,"",SUMIFS(BD!$L$3:$L$5001,BD!$B$3:$B$5001,M$184,BD!$A$3:$A$5001,_xlfn.MAXIFS(BD!$A$3:$A$5001,BD!$B$3:$B$5001,M$184,BD!$A$3:$A$5001,"&gt;="&amp;$C$7,BD!$A$3:$A$5001,"&lt;="&amp;$B197,BD!$L$3:$L$5001,"&lt;&gt;"))))</f>
        <v/>
      </c>
      <c r="N197" s="43" t="str">
        <f>IF(OR($B197="",$A197&gt;$B$9,N$184=""),"",IF(COUNTIFS(BD!$B$3:$B$5001,N$184,BD!$A$3:$A$5001,"&gt;="&amp;$C$7,BD!$A$3:$A$5001,"&lt;="&amp;$B197,BD!$L$3:$L$5001,"&lt;&gt;")=0,"",SUMIFS(BD!$L$3:$L$5001,BD!$B$3:$B$5001,N$184,BD!$A$3:$A$5001,_xlfn.MAXIFS(BD!$A$3:$A$5001,BD!$B$3:$B$5001,N$184,BD!$A$3:$A$5001,"&gt;="&amp;$C$7,BD!$A$3:$A$5001,"&lt;="&amp;$B197,BD!$L$3:$L$5001,"&lt;&gt;"))))</f>
        <v/>
      </c>
      <c r="O197" s="43" t="str">
        <f>IF(OR($B197="",$A197&gt;$B$9,O$184=""),"",IF(COUNTIFS(BD!$B$3:$B$5001,O$184,BD!$A$3:$A$5001,"&gt;="&amp;$C$7,BD!$A$3:$A$5001,"&lt;="&amp;$B197,BD!$L$3:$L$5001,"&lt;&gt;")=0,"",SUMIFS(BD!$L$3:$L$5001,BD!$B$3:$B$5001,O$184,BD!$A$3:$A$5001,_xlfn.MAXIFS(BD!$A$3:$A$5001,BD!$B$3:$B$5001,O$184,BD!$A$3:$A$5001,"&gt;="&amp;$C$7,BD!$A$3:$A$5001,"&lt;="&amp;$B197,BD!$L$3:$L$5001,"&lt;&gt;"))))</f>
        <v/>
      </c>
      <c r="P197" s="43" t="str">
        <f>IF(OR($B197="",$A197&gt;$B$9,P$184=""),"",IF(COUNTIFS(BD!$B$3:$B$5001,P$184,BD!$A$3:$A$5001,"&gt;="&amp;$C$7,BD!$A$3:$A$5001,"&lt;="&amp;$B197,BD!$L$3:$L$5001,"&lt;&gt;")=0,"",SUMIFS(BD!$L$3:$L$5001,BD!$B$3:$B$5001,P$184,BD!$A$3:$A$5001,_xlfn.MAXIFS(BD!$A$3:$A$5001,BD!$B$3:$B$5001,P$184,BD!$A$3:$A$5001,"&gt;="&amp;$C$7,BD!$A$3:$A$5001,"&lt;="&amp;$B197,BD!$L$3:$L$5001,"&lt;&gt;"))))</f>
        <v/>
      </c>
      <c r="Q197" s="43" t="str">
        <f>IF(OR($B197="",$A197&gt;$B$9,Q$184=""),"",IF(COUNTIFS(BD!$B$3:$B$5001,Q$184,BD!$A$3:$A$5001,"&gt;="&amp;$C$7,BD!$A$3:$A$5001,"&lt;="&amp;$B197,BD!$L$3:$L$5001,"&lt;&gt;")=0,"",SUMIFS(BD!$L$3:$L$5001,BD!$B$3:$B$5001,Q$184,BD!$A$3:$A$5001,_xlfn.MAXIFS(BD!$A$3:$A$5001,BD!$B$3:$B$5001,Q$184,BD!$A$3:$A$5001,"&gt;="&amp;$C$7,BD!$A$3:$A$5001,"&lt;="&amp;$B197,BD!$L$3:$L$5001,"&lt;&gt;"))))</f>
        <v/>
      </c>
      <c r="R197" s="43" t="str">
        <f>IF(OR($B197="",$A197&gt;$B$9,R$184=""),"",IF(COUNTIFS(BD!$B$3:$B$5001,R$184,BD!$A$3:$A$5001,"&gt;="&amp;$C$7,BD!$A$3:$A$5001,"&lt;="&amp;$B197,BD!$L$3:$L$5001,"&lt;&gt;")=0,"",SUMIFS(BD!$L$3:$L$5001,BD!$B$3:$B$5001,R$184,BD!$A$3:$A$5001,_xlfn.MAXIFS(BD!$A$3:$A$5001,BD!$B$3:$B$5001,R$184,BD!$A$3:$A$5001,"&gt;="&amp;$C$7,BD!$A$3:$A$5001,"&lt;="&amp;$B197,BD!$L$3:$L$5001,"&lt;&gt;"))))</f>
        <v/>
      </c>
      <c r="S197" s="43" t="str">
        <f>IF(OR($B197="",$A197&gt;$B$9,S$184=""),"",IF(COUNTIFS(BD!$B$3:$B$5001,S$184,BD!$A$3:$A$5001,"&gt;="&amp;$C$7,BD!$A$3:$A$5001,"&lt;="&amp;$B197,BD!$L$3:$L$5001,"&lt;&gt;")=0,"",SUMIFS(BD!$L$3:$L$5001,BD!$B$3:$B$5001,S$184,BD!$A$3:$A$5001,_xlfn.MAXIFS(BD!$A$3:$A$5001,BD!$B$3:$B$5001,S$184,BD!$A$3:$A$5001,"&gt;="&amp;$C$7,BD!$A$3:$A$5001,"&lt;="&amp;$B197,BD!$L$3:$L$5001,"&lt;&gt;"))))</f>
        <v/>
      </c>
      <c r="T197" s="43" t="str">
        <f>IF(OR($B197="",$A197&gt;$B$9,T$184=""),"",IF(COUNTIFS(BD!$B$3:$B$5001,T$184,BD!$A$3:$A$5001,"&gt;="&amp;$C$7,BD!$A$3:$A$5001,"&lt;="&amp;$B197,BD!$L$3:$L$5001,"&lt;&gt;")=0,"",SUMIFS(BD!$L$3:$L$5001,BD!$B$3:$B$5001,T$184,BD!$A$3:$A$5001,_xlfn.MAXIFS(BD!$A$3:$A$5001,BD!$B$3:$B$5001,T$184,BD!$A$3:$A$5001,"&gt;="&amp;$C$7,BD!$A$3:$A$5001,"&lt;="&amp;$B197,BD!$L$3:$L$5001,"&lt;&gt;"))))</f>
        <v/>
      </c>
      <c r="U197" s="43" t="str">
        <f>IF(OR($B197="",$A197&gt;$B$9,U$184=""),"",IF(COUNTIFS(BD!$B$3:$B$5001,U$184,BD!$A$3:$A$5001,"&gt;="&amp;$C$7,BD!$A$3:$A$5001,"&lt;="&amp;$B197,BD!$L$3:$L$5001,"&lt;&gt;")=0,"",SUMIFS(BD!$L$3:$L$5001,BD!$B$3:$B$5001,U$184,BD!$A$3:$A$5001,_xlfn.MAXIFS(BD!$A$3:$A$5001,BD!$B$3:$B$5001,U$184,BD!$A$3:$A$5001,"&gt;="&amp;$C$7,BD!$A$3:$A$5001,"&lt;="&amp;$B197,BD!$L$3:$L$5001,"&lt;&gt;"))))</f>
        <v/>
      </c>
      <c r="V197" s="43" t="str">
        <f>IF(OR($B197="",$A197&gt;$B$9,V$184=""),"",IF(COUNTIFS(BD!$B$3:$B$5001,V$184,BD!$A$3:$A$5001,"&gt;="&amp;$C$7,BD!$A$3:$A$5001,"&lt;="&amp;$B197,BD!$L$3:$L$5001,"&lt;&gt;")=0,"",SUMIFS(BD!$L$3:$L$5001,BD!$B$3:$B$5001,V$184,BD!$A$3:$A$5001,_xlfn.MAXIFS(BD!$A$3:$A$5001,BD!$B$3:$B$5001,V$184,BD!$A$3:$A$5001,"&gt;="&amp;$C$7,BD!$A$3:$A$5001,"&lt;="&amp;$B197,BD!$L$3:$L$5001,"&lt;&gt;"))))</f>
        <v/>
      </c>
    </row>
    <row r="198">
      <c r="A198" s="38">
        <v>14</v>
      </c>
      <c r="B198" s="42">
        <f>$B$25</f>
        <v>46309</v>
      </c>
      <c r="C198" s="43" t="str">
        <f>IF(OR($B198="",$A198&gt;$B$9,C$184=""),"",IF(COUNTIFS(BD!$B$3:$B$5001,C$184,BD!$A$3:$A$5001,"&gt;="&amp;$C$7,BD!$A$3:$A$5001,"&lt;="&amp;$B198,BD!$L$3:$L$5001,"&lt;&gt;")=0,"",SUMIFS(BD!$L$3:$L$5001,BD!$B$3:$B$5001,C$184,BD!$A$3:$A$5001,_xlfn.MAXIFS(BD!$A$3:$A$5001,BD!$B$3:$B$5001,C$184,BD!$A$3:$A$5001,"&gt;="&amp;$C$7,BD!$A$3:$A$5001,"&lt;="&amp;$B198,BD!$L$3:$L$5001,"&lt;&gt;"))))</f>
        <v/>
      </c>
      <c r="D198" s="43" t="str">
        <f>IF(OR($B198="",$A198&gt;$B$9,D$184=""),"",IF(COUNTIFS(BD!$B$3:$B$5001,D$184,BD!$A$3:$A$5001,"&gt;="&amp;$C$7,BD!$A$3:$A$5001,"&lt;="&amp;$B198,BD!$L$3:$L$5001,"&lt;&gt;")=0,"",SUMIFS(BD!$L$3:$L$5001,BD!$B$3:$B$5001,D$184,BD!$A$3:$A$5001,_xlfn.MAXIFS(BD!$A$3:$A$5001,BD!$B$3:$B$5001,D$184,BD!$A$3:$A$5001,"&gt;="&amp;$C$7,BD!$A$3:$A$5001,"&lt;="&amp;$B198,BD!$L$3:$L$5001,"&lt;&gt;"))))</f>
        <v/>
      </c>
      <c r="E198" s="43" t="str">
        <f>IF(OR($B198="",$A198&gt;$B$9,E$184=""),"",IF(COUNTIFS(BD!$B$3:$B$5001,E$184,BD!$A$3:$A$5001,"&gt;="&amp;$C$7,BD!$A$3:$A$5001,"&lt;="&amp;$B198,BD!$L$3:$L$5001,"&lt;&gt;")=0,"",SUMIFS(BD!$L$3:$L$5001,BD!$B$3:$B$5001,E$184,BD!$A$3:$A$5001,_xlfn.MAXIFS(BD!$A$3:$A$5001,BD!$B$3:$B$5001,E$184,BD!$A$3:$A$5001,"&gt;="&amp;$C$7,BD!$A$3:$A$5001,"&lt;="&amp;$B198,BD!$L$3:$L$5001,"&lt;&gt;"))))</f>
        <v/>
      </c>
      <c r="F198" s="43" t="str">
        <f>IF(OR($B198="",$A198&gt;$B$9,F$184=""),"",IF(COUNTIFS(BD!$B$3:$B$5001,F$184,BD!$A$3:$A$5001,"&gt;="&amp;$C$7,BD!$A$3:$A$5001,"&lt;="&amp;$B198,BD!$L$3:$L$5001,"&lt;&gt;")=0,"",SUMIFS(BD!$L$3:$L$5001,BD!$B$3:$B$5001,F$184,BD!$A$3:$A$5001,_xlfn.MAXIFS(BD!$A$3:$A$5001,BD!$B$3:$B$5001,F$184,BD!$A$3:$A$5001,"&gt;="&amp;$C$7,BD!$A$3:$A$5001,"&lt;="&amp;$B198,BD!$L$3:$L$5001,"&lt;&gt;"))))</f>
        <v/>
      </c>
      <c r="G198" s="43" t="str">
        <f>IF(OR($B198="",$A198&gt;$B$9,G$184=""),"",IF(COUNTIFS(BD!$B$3:$B$5001,G$184,BD!$A$3:$A$5001,"&gt;="&amp;$C$7,BD!$A$3:$A$5001,"&lt;="&amp;$B198,BD!$L$3:$L$5001,"&lt;&gt;")=0,"",SUMIFS(BD!$L$3:$L$5001,BD!$B$3:$B$5001,G$184,BD!$A$3:$A$5001,_xlfn.MAXIFS(BD!$A$3:$A$5001,BD!$B$3:$B$5001,G$184,BD!$A$3:$A$5001,"&gt;="&amp;$C$7,BD!$A$3:$A$5001,"&lt;="&amp;$B198,BD!$L$3:$L$5001,"&lt;&gt;"))))</f>
        <v/>
      </c>
      <c r="H198" s="43" t="str">
        <f>IF(OR($B198="",$A198&gt;$B$9,H$184=""),"",IF(COUNTIFS(BD!$B$3:$B$5001,H$184,BD!$A$3:$A$5001,"&gt;="&amp;$C$7,BD!$A$3:$A$5001,"&lt;="&amp;$B198,BD!$L$3:$L$5001,"&lt;&gt;")=0,"",SUMIFS(BD!$L$3:$L$5001,BD!$B$3:$B$5001,H$184,BD!$A$3:$A$5001,_xlfn.MAXIFS(BD!$A$3:$A$5001,BD!$B$3:$B$5001,H$184,BD!$A$3:$A$5001,"&gt;="&amp;$C$7,BD!$A$3:$A$5001,"&lt;="&amp;$B198,BD!$L$3:$L$5001,"&lt;&gt;"))))</f>
        <v/>
      </c>
      <c r="I198" s="43" t="str">
        <f>IF(OR($B198="",$A198&gt;$B$9,I$184=""),"",IF(COUNTIFS(BD!$B$3:$B$5001,I$184,BD!$A$3:$A$5001,"&gt;="&amp;$C$7,BD!$A$3:$A$5001,"&lt;="&amp;$B198,BD!$L$3:$L$5001,"&lt;&gt;")=0,"",SUMIFS(BD!$L$3:$L$5001,BD!$B$3:$B$5001,I$184,BD!$A$3:$A$5001,_xlfn.MAXIFS(BD!$A$3:$A$5001,BD!$B$3:$B$5001,I$184,BD!$A$3:$A$5001,"&gt;="&amp;$C$7,BD!$A$3:$A$5001,"&lt;="&amp;$B198,BD!$L$3:$L$5001,"&lt;&gt;"))))</f>
        <v/>
      </c>
      <c r="J198" s="43" t="str">
        <f>IF(OR($B198="",$A198&gt;$B$9,J$184=""),"",IF(COUNTIFS(BD!$B$3:$B$5001,J$184,BD!$A$3:$A$5001,"&gt;="&amp;$C$7,BD!$A$3:$A$5001,"&lt;="&amp;$B198,BD!$L$3:$L$5001,"&lt;&gt;")=0,"",SUMIFS(BD!$L$3:$L$5001,BD!$B$3:$B$5001,J$184,BD!$A$3:$A$5001,_xlfn.MAXIFS(BD!$A$3:$A$5001,BD!$B$3:$B$5001,J$184,BD!$A$3:$A$5001,"&gt;="&amp;$C$7,BD!$A$3:$A$5001,"&lt;="&amp;$B198,BD!$L$3:$L$5001,"&lt;&gt;"))))</f>
        <v/>
      </c>
      <c r="K198" s="43" t="str">
        <f>IF(OR($B198="",$A198&gt;$B$9,K$184=""),"",IF(COUNTIFS(BD!$B$3:$B$5001,K$184,BD!$A$3:$A$5001,"&gt;="&amp;$C$7,BD!$A$3:$A$5001,"&lt;="&amp;$B198,BD!$L$3:$L$5001,"&lt;&gt;")=0,"",SUMIFS(BD!$L$3:$L$5001,BD!$B$3:$B$5001,K$184,BD!$A$3:$A$5001,_xlfn.MAXIFS(BD!$A$3:$A$5001,BD!$B$3:$B$5001,K$184,BD!$A$3:$A$5001,"&gt;="&amp;$C$7,BD!$A$3:$A$5001,"&lt;="&amp;$B198,BD!$L$3:$L$5001,"&lt;&gt;"))))</f>
        <v/>
      </c>
      <c r="L198" s="43" t="str">
        <f>IF(OR($B198="",$A198&gt;$B$9,L$184=""),"",IF(COUNTIFS(BD!$B$3:$B$5001,L$184,BD!$A$3:$A$5001,"&gt;="&amp;$C$7,BD!$A$3:$A$5001,"&lt;="&amp;$B198,BD!$L$3:$L$5001,"&lt;&gt;")=0,"",SUMIFS(BD!$L$3:$L$5001,BD!$B$3:$B$5001,L$184,BD!$A$3:$A$5001,_xlfn.MAXIFS(BD!$A$3:$A$5001,BD!$B$3:$B$5001,L$184,BD!$A$3:$A$5001,"&gt;="&amp;$C$7,BD!$A$3:$A$5001,"&lt;="&amp;$B198,BD!$L$3:$L$5001,"&lt;&gt;"))))</f>
        <v/>
      </c>
      <c r="M198" s="43" t="str">
        <f>IF(OR($B198="",$A198&gt;$B$9,M$184=""),"",IF(COUNTIFS(BD!$B$3:$B$5001,M$184,BD!$A$3:$A$5001,"&gt;="&amp;$C$7,BD!$A$3:$A$5001,"&lt;="&amp;$B198,BD!$L$3:$L$5001,"&lt;&gt;")=0,"",SUMIFS(BD!$L$3:$L$5001,BD!$B$3:$B$5001,M$184,BD!$A$3:$A$5001,_xlfn.MAXIFS(BD!$A$3:$A$5001,BD!$B$3:$B$5001,M$184,BD!$A$3:$A$5001,"&gt;="&amp;$C$7,BD!$A$3:$A$5001,"&lt;="&amp;$B198,BD!$L$3:$L$5001,"&lt;&gt;"))))</f>
        <v/>
      </c>
      <c r="N198" s="43" t="str">
        <f>IF(OR($B198="",$A198&gt;$B$9,N$184=""),"",IF(COUNTIFS(BD!$B$3:$B$5001,N$184,BD!$A$3:$A$5001,"&gt;="&amp;$C$7,BD!$A$3:$A$5001,"&lt;="&amp;$B198,BD!$L$3:$L$5001,"&lt;&gt;")=0,"",SUMIFS(BD!$L$3:$L$5001,BD!$B$3:$B$5001,N$184,BD!$A$3:$A$5001,_xlfn.MAXIFS(BD!$A$3:$A$5001,BD!$B$3:$B$5001,N$184,BD!$A$3:$A$5001,"&gt;="&amp;$C$7,BD!$A$3:$A$5001,"&lt;="&amp;$B198,BD!$L$3:$L$5001,"&lt;&gt;"))))</f>
        <v/>
      </c>
      <c r="O198" s="43" t="str">
        <f>IF(OR($B198="",$A198&gt;$B$9,O$184=""),"",IF(COUNTIFS(BD!$B$3:$B$5001,O$184,BD!$A$3:$A$5001,"&gt;="&amp;$C$7,BD!$A$3:$A$5001,"&lt;="&amp;$B198,BD!$L$3:$L$5001,"&lt;&gt;")=0,"",SUMIFS(BD!$L$3:$L$5001,BD!$B$3:$B$5001,O$184,BD!$A$3:$A$5001,_xlfn.MAXIFS(BD!$A$3:$A$5001,BD!$B$3:$B$5001,O$184,BD!$A$3:$A$5001,"&gt;="&amp;$C$7,BD!$A$3:$A$5001,"&lt;="&amp;$B198,BD!$L$3:$L$5001,"&lt;&gt;"))))</f>
        <v/>
      </c>
      <c r="P198" s="43" t="str">
        <f>IF(OR($B198="",$A198&gt;$B$9,P$184=""),"",IF(COUNTIFS(BD!$B$3:$B$5001,P$184,BD!$A$3:$A$5001,"&gt;="&amp;$C$7,BD!$A$3:$A$5001,"&lt;="&amp;$B198,BD!$L$3:$L$5001,"&lt;&gt;")=0,"",SUMIFS(BD!$L$3:$L$5001,BD!$B$3:$B$5001,P$184,BD!$A$3:$A$5001,_xlfn.MAXIFS(BD!$A$3:$A$5001,BD!$B$3:$B$5001,P$184,BD!$A$3:$A$5001,"&gt;="&amp;$C$7,BD!$A$3:$A$5001,"&lt;="&amp;$B198,BD!$L$3:$L$5001,"&lt;&gt;"))))</f>
        <v/>
      </c>
      <c r="Q198" s="43" t="str">
        <f>IF(OR($B198="",$A198&gt;$B$9,Q$184=""),"",IF(COUNTIFS(BD!$B$3:$B$5001,Q$184,BD!$A$3:$A$5001,"&gt;="&amp;$C$7,BD!$A$3:$A$5001,"&lt;="&amp;$B198,BD!$L$3:$L$5001,"&lt;&gt;")=0,"",SUMIFS(BD!$L$3:$L$5001,BD!$B$3:$B$5001,Q$184,BD!$A$3:$A$5001,_xlfn.MAXIFS(BD!$A$3:$A$5001,BD!$B$3:$B$5001,Q$184,BD!$A$3:$A$5001,"&gt;="&amp;$C$7,BD!$A$3:$A$5001,"&lt;="&amp;$B198,BD!$L$3:$L$5001,"&lt;&gt;"))))</f>
        <v/>
      </c>
      <c r="R198" s="43" t="str">
        <f>IF(OR($B198="",$A198&gt;$B$9,R$184=""),"",IF(COUNTIFS(BD!$B$3:$B$5001,R$184,BD!$A$3:$A$5001,"&gt;="&amp;$C$7,BD!$A$3:$A$5001,"&lt;="&amp;$B198,BD!$L$3:$L$5001,"&lt;&gt;")=0,"",SUMIFS(BD!$L$3:$L$5001,BD!$B$3:$B$5001,R$184,BD!$A$3:$A$5001,_xlfn.MAXIFS(BD!$A$3:$A$5001,BD!$B$3:$B$5001,R$184,BD!$A$3:$A$5001,"&gt;="&amp;$C$7,BD!$A$3:$A$5001,"&lt;="&amp;$B198,BD!$L$3:$L$5001,"&lt;&gt;"))))</f>
        <v/>
      </c>
      <c r="S198" s="43" t="str">
        <f>IF(OR($B198="",$A198&gt;$B$9,S$184=""),"",IF(COUNTIFS(BD!$B$3:$B$5001,S$184,BD!$A$3:$A$5001,"&gt;="&amp;$C$7,BD!$A$3:$A$5001,"&lt;="&amp;$B198,BD!$L$3:$L$5001,"&lt;&gt;")=0,"",SUMIFS(BD!$L$3:$L$5001,BD!$B$3:$B$5001,S$184,BD!$A$3:$A$5001,_xlfn.MAXIFS(BD!$A$3:$A$5001,BD!$B$3:$B$5001,S$184,BD!$A$3:$A$5001,"&gt;="&amp;$C$7,BD!$A$3:$A$5001,"&lt;="&amp;$B198,BD!$L$3:$L$5001,"&lt;&gt;"))))</f>
        <v/>
      </c>
      <c r="T198" s="43" t="str">
        <f>IF(OR($B198="",$A198&gt;$B$9,T$184=""),"",IF(COUNTIFS(BD!$B$3:$B$5001,T$184,BD!$A$3:$A$5001,"&gt;="&amp;$C$7,BD!$A$3:$A$5001,"&lt;="&amp;$B198,BD!$L$3:$L$5001,"&lt;&gt;")=0,"",SUMIFS(BD!$L$3:$L$5001,BD!$B$3:$B$5001,T$184,BD!$A$3:$A$5001,_xlfn.MAXIFS(BD!$A$3:$A$5001,BD!$B$3:$B$5001,T$184,BD!$A$3:$A$5001,"&gt;="&amp;$C$7,BD!$A$3:$A$5001,"&lt;="&amp;$B198,BD!$L$3:$L$5001,"&lt;&gt;"))))</f>
        <v/>
      </c>
      <c r="U198" s="43" t="str">
        <f>IF(OR($B198="",$A198&gt;$B$9,U$184=""),"",IF(COUNTIFS(BD!$B$3:$B$5001,U$184,BD!$A$3:$A$5001,"&gt;="&amp;$C$7,BD!$A$3:$A$5001,"&lt;="&amp;$B198,BD!$L$3:$L$5001,"&lt;&gt;")=0,"",SUMIFS(BD!$L$3:$L$5001,BD!$B$3:$B$5001,U$184,BD!$A$3:$A$5001,_xlfn.MAXIFS(BD!$A$3:$A$5001,BD!$B$3:$B$5001,U$184,BD!$A$3:$A$5001,"&gt;="&amp;$C$7,BD!$A$3:$A$5001,"&lt;="&amp;$B198,BD!$L$3:$L$5001,"&lt;&gt;"))))</f>
        <v/>
      </c>
      <c r="V198" s="43" t="str">
        <f>IF(OR($B198="",$A198&gt;$B$9,V$184=""),"",IF(COUNTIFS(BD!$B$3:$B$5001,V$184,BD!$A$3:$A$5001,"&gt;="&amp;$C$7,BD!$A$3:$A$5001,"&lt;="&amp;$B198,BD!$L$3:$L$5001,"&lt;&gt;")=0,"",SUMIFS(BD!$L$3:$L$5001,BD!$B$3:$B$5001,V$184,BD!$A$3:$A$5001,_xlfn.MAXIFS(BD!$A$3:$A$5001,BD!$B$3:$B$5001,V$184,BD!$A$3:$A$5001,"&gt;="&amp;$C$7,BD!$A$3:$A$5001,"&lt;="&amp;$B198,BD!$L$3:$L$5001,"&lt;&gt;"))))</f>
        <v/>
      </c>
    </row>
    <row r="199">
      <c r="A199" s="38">
        <v>15</v>
      </c>
      <c r="B199" s="42">
        <f>$B$26</f>
        <v>46310</v>
      </c>
      <c r="C199" s="43" t="str">
        <f>IF(OR($B199="",$A199&gt;$B$9,C$184=""),"",IF(COUNTIFS(BD!$B$3:$B$5001,C$184,BD!$A$3:$A$5001,"&gt;="&amp;$C$7,BD!$A$3:$A$5001,"&lt;="&amp;$B199,BD!$L$3:$L$5001,"&lt;&gt;")=0,"",SUMIFS(BD!$L$3:$L$5001,BD!$B$3:$B$5001,C$184,BD!$A$3:$A$5001,_xlfn.MAXIFS(BD!$A$3:$A$5001,BD!$B$3:$B$5001,C$184,BD!$A$3:$A$5001,"&gt;="&amp;$C$7,BD!$A$3:$A$5001,"&lt;="&amp;$B199,BD!$L$3:$L$5001,"&lt;&gt;"))))</f>
        <v/>
      </c>
      <c r="D199" s="43" t="str">
        <f>IF(OR($B199="",$A199&gt;$B$9,D$184=""),"",IF(COUNTIFS(BD!$B$3:$B$5001,D$184,BD!$A$3:$A$5001,"&gt;="&amp;$C$7,BD!$A$3:$A$5001,"&lt;="&amp;$B199,BD!$L$3:$L$5001,"&lt;&gt;")=0,"",SUMIFS(BD!$L$3:$L$5001,BD!$B$3:$B$5001,D$184,BD!$A$3:$A$5001,_xlfn.MAXIFS(BD!$A$3:$A$5001,BD!$B$3:$B$5001,D$184,BD!$A$3:$A$5001,"&gt;="&amp;$C$7,BD!$A$3:$A$5001,"&lt;="&amp;$B199,BD!$L$3:$L$5001,"&lt;&gt;"))))</f>
        <v/>
      </c>
      <c r="E199" s="43" t="str">
        <f>IF(OR($B199="",$A199&gt;$B$9,E$184=""),"",IF(COUNTIFS(BD!$B$3:$B$5001,E$184,BD!$A$3:$A$5001,"&gt;="&amp;$C$7,BD!$A$3:$A$5001,"&lt;="&amp;$B199,BD!$L$3:$L$5001,"&lt;&gt;")=0,"",SUMIFS(BD!$L$3:$L$5001,BD!$B$3:$B$5001,E$184,BD!$A$3:$A$5001,_xlfn.MAXIFS(BD!$A$3:$A$5001,BD!$B$3:$B$5001,E$184,BD!$A$3:$A$5001,"&gt;="&amp;$C$7,BD!$A$3:$A$5001,"&lt;="&amp;$B199,BD!$L$3:$L$5001,"&lt;&gt;"))))</f>
        <v/>
      </c>
      <c r="F199" s="43" t="str">
        <f>IF(OR($B199="",$A199&gt;$B$9,F$184=""),"",IF(COUNTIFS(BD!$B$3:$B$5001,F$184,BD!$A$3:$A$5001,"&gt;="&amp;$C$7,BD!$A$3:$A$5001,"&lt;="&amp;$B199,BD!$L$3:$L$5001,"&lt;&gt;")=0,"",SUMIFS(BD!$L$3:$L$5001,BD!$B$3:$B$5001,F$184,BD!$A$3:$A$5001,_xlfn.MAXIFS(BD!$A$3:$A$5001,BD!$B$3:$B$5001,F$184,BD!$A$3:$A$5001,"&gt;="&amp;$C$7,BD!$A$3:$A$5001,"&lt;="&amp;$B199,BD!$L$3:$L$5001,"&lt;&gt;"))))</f>
        <v/>
      </c>
      <c r="G199" s="43" t="str">
        <f>IF(OR($B199="",$A199&gt;$B$9,G$184=""),"",IF(COUNTIFS(BD!$B$3:$B$5001,G$184,BD!$A$3:$A$5001,"&gt;="&amp;$C$7,BD!$A$3:$A$5001,"&lt;="&amp;$B199,BD!$L$3:$L$5001,"&lt;&gt;")=0,"",SUMIFS(BD!$L$3:$L$5001,BD!$B$3:$B$5001,G$184,BD!$A$3:$A$5001,_xlfn.MAXIFS(BD!$A$3:$A$5001,BD!$B$3:$B$5001,G$184,BD!$A$3:$A$5001,"&gt;="&amp;$C$7,BD!$A$3:$A$5001,"&lt;="&amp;$B199,BD!$L$3:$L$5001,"&lt;&gt;"))))</f>
        <v/>
      </c>
      <c r="H199" s="43" t="str">
        <f>IF(OR($B199="",$A199&gt;$B$9,H$184=""),"",IF(COUNTIFS(BD!$B$3:$B$5001,H$184,BD!$A$3:$A$5001,"&gt;="&amp;$C$7,BD!$A$3:$A$5001,"&lt;="&amp;$B199,BD!$L$3:$L$5001,"&lt;&gt;")=0,"",SUMIFS(BD!$L$3:$L$5001,BD!$B$3:$B$5001,H$184,BD!$A$3:$A$5001,_xlfn.MAXIFS(BD!$A$3:$A$5001,BD!$B$3:$B$5001,H$184,BD!$A$3:$A$5001,"&gt;="&amp;$C$7,BD!$A$3:$A$5001,"&lt;="&amp;$B199,BD!$L$3:$L$5001,"&lt;&gt;"))))</f>
        <v/>
      </c>
      <c r="I199" s="43" t="str">
        <f>IF(OR($B199="",$A199&gt;$B$9,I$184=""),"",IF(COUNTIFS(BD!$B$3:$B$5001,I$184,BD!$A$3:$A$5001,"&gt;="&amp;$C$7,BD!$A$3:$A$5001,"&lt;="&amp;$B199,BD!$L$3:$L$5001,"&lt;&gt;")=0,"",SUMIFS(BD!$L$3:$L$5001,BD!$B$3:$B$5001,I$184,BD!$A$3:$A$5001,_xlfn.MAXIFS(BD!$A$3:$A$5001,BD!$B$3:$B$5001,I$184,BD!$A$3:$A$5001,"&gt;="&amp;$C$7,BD!$A$3:$A$5001,"&lt;="&amp;$B199,BD!$L$3:$L$5001,"&lt;&gt;"))))</f>
        <v/>
      </c>
      <c r="J199" s="43" t="str">
        <f>IF(OR($B199="",$A199&gt;$B$9,J$184=""),"",IF(COUNTIFS(BD!$B$3:$B$5001,J$184,BD!$A$3:$A$5001,"&gt;="&amp;$C$7,BD!$A$3:$A$5001,"&lt;="&amp;$B199,BD!$L$3:$L$5001,"&lt;&gt;")=0,"",SUMIFS(BD!$L$3:$L$5001,BD!$B$3:$B$5001,J$184,BD!$A$3:$A$5001,_xlfn.MAXIFS(BD!$A$3:$A$5001,BD!$B$3:$B$5001,J$184,BD!$A$3:$A$5001,"&gt;="&amp;$C$7,BD!$A$3:$A$5001,"&lt;="&amp;$B199,BD!$L$3:$L$5001,"&lt;&gt;"))))</f>
        <v/>
      </c>
      <c r="K199" s="43" t="str">
        <f>IF(OR($B199="",$A199&gt;$B$9,K$184=""),"",IF(COUNTIFS(BD!$B$3:$B$5001,K$184,BD!$A$3:$A$5001,"&gt;="&amp;$C$7,BD!$A$3:$A$5001,"&lt;="&amp;$B199,BD!$L$3:$L$5001,"&lt;&gt;")=0,"",SUMIFS(BD!$L$3:$L$5001,BD!$B$3:$B$5001,K$184,BD!$A$3:$A$5001,_xlfn.MAXIFS(BD!$A$3:$A$5001,BD!$B$3:$B$5001,K$184,BD!$A$3:$A$5001,"&gt;="&amp;$C$7,BD!$A$3:$A$5001,"&lt;="&amp;$B199,BD!$L$3:$L$5001,"&lt;&gt;"))))</f>
        <v/>
      </c>
      <c r="L199" s="43" t="str">
        <f>IF(OR($B199="",$A199&gt;$B$9,L$184=""),"",IF(COUNTIFS(BD!$B$3:$B$5001,L$184,BD!$A$3:$A$5001,"&gt;="&amp;$C$7,BD!$A$3:$A$5001,"&lt;="&amp;$B199,BD!$L$3:$L$5001,"&lt;&gt;")=0,"",SUMIFS(BD!$L$3:$L$5001,BD!$B$3:$B$5001,L$184,BD!$A$3:$A$5001,_xlfn.MAXIFS(BD!$A$3:$A$5001,BD!$B$3:$B$5001,L$184,BD!$A$3:$A$5001,"&gt;="&amp;$C$7,BD!$A$3:$A$5001,"&lt;="&amp;$B199,BD!$L$3:$L$5001,"&lt;&gt;"))))</f>
        <v/>
      </c>
      <c r="M199" s="43" t="str">
        <f>IF(OR($B199="",$A199&gt;$B$9,M$184=""),"",IF(COUNTIFS(BD!$B$3:$B$5001,M$184,BD!$A$3:$A$5001,"&gt;="&amp;$C$7,BD!$A$3:$A$5001,"&lt;="&amp;$B199,BD!$L$3:$L$5001,"&lt;&gt;")=0,"",SUMIFS(BD!$L$3:$L$5001,BD!$B$3:$B$5001,M$184,BD!$A$3:$A$5001,_xlfn.MAXIFS(BD!$A$3:$A$5001,BD!$B$3:$B$5001,M$184,BD!$A$3:$A$5001,"&gt;="&amp;$C$7,BD!$A$3:$A$5001,"&lt;="&amp;$B199,BD!$L$3:$L$5001,"&lt;&gt;"))))</f>
        <v/>
      </c>
      <c r="N199" s="43" t="str">
        <f>IF(OR($B199="",$A199&gt;$B$9,N$184=""),"",IF(COUNTIFS(BD!$B$3:$B$5001,N$184,BD!$A$3:$A$5001,"&gt;="&amp;$C$7,BD!$A$3:$A$5001,"&lt;="&amp;$B199,BD!$L$3:$L$5001,"&lt;&gt;")=0,"",SUMIFS(BD!$L$3:$L$5001,BD!$B$3:$B$5001,N$184,BD!$A$3:$A$5001,_xlfn.MAXIFS(BD!$A$3:$A$5001,BD!$B$3:$B$5001,N$184,BD!$A$3:$A$5001,"&gt;="&amp;$C$7,BD!$A$3:$A$5001,"&lt;="&amp;$B199,BD!$L$3:$L$5001,"&lt;&gt;"))))</f>
        <v/>
      </c>
      <c r="O199" s="43" t="str">
        <f>IF(OR($B199="",$A199&gt;$B$9,O$184=""),"",IF(COUNTIFS(BD!$B$3:$B$5001,O$184,BD!$A$3:$A$5001,"&gt;="&amp;$C$7,BD!$A$3:$A$5001,"&lt;="&amp;$B199,BD!$L$3:$L$5001,"&lt;&gt;")=0,"",SUMIFS(BD!$L$3:$L$5001,BD!$B$3:$B$5001,O$184,BD!$A$3:$A$5001,_xlfn.MAXIFS(BD!$A$3:$A$5001,BD!$B$3:$B$5001,O$184,BD!$A$3:$A$5001,"&gt;="&amp;$C$7,BD!$A$3:$A$5001,"&lt;="&amp;$B199,BD!$L$3:$L$5001,"&lt;&gt;"))))</f>
        <v/>
      </c>
      <c r="P199" s="43" t="str">
        <f>IF(OR($B199="",$A199&gt;$B$9,P$184=""),"",IF(COUNTIFS(BD!$B$3:$B$5001,P$184,BD!$A$3:$A$5001,"&gt;="&amp;$C$7,BD!$A$3:$A$5001,"&lt;="&amp;$B199,BD!$L$3:$L$5001,"&lt;&gt;")=0,"",SUMIFS(BD!$L$3:$L$5001,BD!$B$3:$B$5001,P$184,BD!$A$3:$A$5001,_xlfn.MAXIFS(BD!$A$3:$A$5001,BD!$B$3:$B$5001,P$184,BD!$A$3:$A$5001,"&gt;="&amp;$C$7,BD!$A$3:$A$5001,"&lt;="&amp;$B199,BD!$L$3:$L$5001,"&lt;&gt;"))))</f>
        <v/>
      </c>
      <c r="Q199" s="43" t="str">
        <f>IF(OR($B199="",$A199&gt;$B$9,Q$184=""),"",IF(COUNTIFS(BD!$B$3:$B$5001,Q$184,BD!$A$3:$A$5001,"&gt;="&amp;$C$7,BD!$A$3:$A$5001,"&lt;="&amp;$B199,BD!$L$3:$L$5001,"&lt;&gt;")=0,"",SUMIFS(BD!$L$3:$L$5001,BD!$B$3:$B$5001,Q$184,BD!$A$3:$A$5001,_xlfn.MAXIFS(BD!$A$3:$A$5001,BD!$B$3:$B$5001,Q$184,BD!$A$3:$A$5001,"&gt;="&amp;$C$7,BD!$A$3:$A$5001,"&lt;="&amp;$B199,BD!$L$3:$L$5001,"&lt;&gt;"))))</f>
        <v/>
      </c>
      <c r="R199" s="43" t="str">
        <f>IF(OR($B199="",$A199&gt;$B$9,R$184=""),"",IF(COUNTIFS(BD!$B$3:$B$5001,R$184,BD!$A$3:$A$5001,"&gt;="&amp;$C$7,BD!$A$3:$A$5001,"&lt;="&amp;$B199,BD!$L$3:$L$5001,"&lt;&gt;")=0,"",SUMIFS(BD!$L$3:$L$5001,BD!$B$3:$B$5001,R$184,BD!$A$3:$A$5001,_xlfn.MAXIFS(BD!$A$3:$A$5001,BD!$B$3:$B$5001,R$184,BD!$A$3:$A$5001,"&gt;="&amp;$C$7,BD!$A$3:$A$5001,"&lt;="&amp;$B199,BD!$L$3:$L$5001,"&lt;&gt;"))))</f>
        <v/>
      </c>
      <c r="S199" s="43" t="str">
        <f>IF(OR($B199="",$A199&gt;$B$9,S$184=""),"",IF(COUNTIFS(BD!$B$3:$B$5001,S$184,BD!$A$3:$A$5001,"&gt;="&amp;$C$7,BD!$A$3:$A$5001,"&lt;="&amp;$B199,BD!$L$3:$L$5001,"&lt;&gt;")=0,"",SUMIFS(BD!$L$3:$L$5001,BD!$B$3:$B$5001,S$184,BD!$A$3:$A$5001,_xlfn.MAXIFS(BD!$A$3:$A$5001,BD!$B$3:$B$5001,S$184,BD!$A$3:$A$5001,"&gt;="&amp;$C$7,BD!$A$3:$A$5001,"&lt;="&amp;$B199,BD!$L$3:$L$5001,"&lt;&gt;"))))</f>
        <v/>
      </c>
      <c r="T199" s="43" t="str">
        <f>IF(OR($B199="",$A199&gt;$B$9,T$184=""),"",IF(COUNTIFS(BD!$B$3:$B$5001,T$184,BD!$A$3:$A$5001,"&gt;="&amp;$C$7,BD!$A$3:$A$5001,"&lt;="&amp;$B199,BD!$L$3:$L$5001,"&lt;&gt;")=0,"",SUMIFS(BD!$L$3:$L$5001,BD!$B$3:$B$5001,T$184,BD!$A$3:$A$5001,_xlfn.MAXIFS(BD!$A$3:$A$5001,BD!$B$3:$B$5001,T$184,BD!$A$3:$A$5001,"&gt;="&amp;$C$7,BD!$A$3:$A$5001,"&lt;="&amp;$B199,BD!$L$3:$L$5001,"&lt;&gt;"))))</f>
        <v/>
      </c>
      <c r="U199" s="43" t="str">
        <f>IF(OR($B199="",$A199&gt;$B$9,U$184=""),"",IF(COUNTIFS(BD!$B$3:$B$5001,U$184,BD!$A$3:$A$5001,"&gt;="&amp;$C$7,BD!$A$3:$A$5001,"&lt;="&amp;$B199,BD!$L$3:$L$5001,"&lt;&gt;")=0,"",SUMIFS(BD!$L$3:$L$5001,BD!$B$3:$B$5001,U$184,BD!$A$3:$A$5001,_xlfn.MAXIFS(BD!$A$3:$A$5001,BD!$B$3:$B$5001,U$184,BD!$A$3:$A$5001,"&gt;="&amp;$C$7,BD!$A$3:$A$5001,"&lt;="&amp;$B199,BD!$L$3:$L$5001,"&lt;&gt;"))))</f>
        <v/>
      </c>
      <c r="V199" s="43" t="str">
        <f>IF(OR($B199="",$A199&gt;$B$9,V$184=""),"",IF(COUNTIFS(BD!$B$3:$B$5001,V$184,BD!$A$3:$A$5001,"&gt;="&amp;$C$7,BD!$A$3:$A$5001,"&lt;="&amp;$B199,BD!$L$3:$L$5001,"&lt;&gt;")=0,"",SUMIFS(BD!$L$3:$L$5001,BD!$B$3:$B$5001,V$184,BD!$A$3:$A$5001,_xlfn.MAXIFS(BD!$A$3:$A$5001,BD!$B$3:$B$5001,V$184,BD!$A$3:$A$5001,"&gt;="&amp;$C$7,BD!$A$3:$A$5001,"&lt;="&amp;$B199,BD!$L$3:$L$5001,"&lt;&gt;"))))</f>
        <v/>
      </c>
    </row>
    <row r="200">
      <c r="A200" s="38">
        <v>16</v>
      </c>
      <c r="B200" s="42">
        <f>$B$27</f>
        <v>46311</v>
      </c>
      <c r="C200" s="43" t="str">
        <f>IF(OR($B200="",$A200&gt;$B$9,C$184=""),"",IF(COUNTIFS(BD!$B$3:$B$5001,C$184,BD!$A$3:$A$5001,"&gt;="&amp;$C$7,BD!$A$3:$A$5001,"&lt;="&amp;$B200,BD!$L$3:$L$5001,"&lt;&gt;")=0,"",SUMIFS(BD!$L$3:$L$5001,BD!$B$3:$B$5001,C$184,BD!$A$3:$A$5001,_xlfn.MAXIFS(BD!$A$3:$A$5001,BD!$B$3:$B$5001,C$184,BD!$A$3:$A$5001,"&gt;="&amp;$C$7,BD!$A$3:$A$5001,"&lt;="&amp;$B200,BD!$L$3:$L$5001,"&lt;&gt;"))))</f>
        <v/>
      </c>
      <c r="D200" s="43" t="str">
        <f>IF(OR($B200="",$A200&gt;$B$9,D$184=""),"",IF(COUNTIFS(BD!$B$3:$B$5001,D$184,BD!$A$3:$A$5001,"&gt;="&amp;$C$7,BD!$A$3:$A$5001,"&lt;="&amp;$B200,BD!$L$3:$L$5001,"&lt;&gt;")=0,"",SUMIFS(BD!$L$3:$L$5001,BD!$B$3:$B$5001,D$184,BD!$A$3:$A$5001,_xlfn.MAXIFS(BD!$A$3:$A$5001,BD!$B$3:$B$5001,D$184,BD!$A$3:$A$5001,"&gt;="&amp;$C$7,BD!$A$3:$A$5001,"&lt;="&amp;$B200,BD!$L$3:$L$5001,"&lt;&gt;"))))</f>
        <v/>
      </c>
      <c r="E200" s="43" t="str">
        <f>IF(OR($B200="",$A200&gt;$B$9,E$184=""),"",IF(COUNTIFS(BD!$B$3:$B$5001,E$184,BD!$A$3:$A$5001,"&gt;="&amp;$C$7,BD!$A$3:$A$5001,"&lt;="&amp;$B200,BD!$L$3:$L$5001,"&lt;&gt;")=0,"",SUMIFS(BD!$L$3:$L$5001,BD!$B$3:$B$5001,E$184,BD!$A$3:$A$5001,_xlfn.MAXIFS(BD!$A$3:$A$5001,BD!$B$3:$B$5001,E$184,BD!$A$3:$A$5001,"&gt;="&amp;$C$7,BD!$A$3:$A$5001,"&lt;="&amp;$B200,BD!$L$3:$L$5001,"&lt;&gt;"))))</f>
        <v/>
      </c>
      <c r="F200" s="43" t="str">
        <f>IF(OR($B200="",$A200&gt;$B$9,F$184=""),"",IF(COUNTIFS(BD!$B$3:$B$5001,F$184,BD!$A$3:$A$5001,"&gt;="&amp;$C$7,BD!$A$3:$A$5001,"&lt;="&amp;$B200,BD!$L$3:$L$5001,"&lt;&gt;")=0,"",SUMIFS(BD!$L$3:$L$5001,BD!$B$3:$B$5001,F$184,BD!$A$3:$A$5001,_xlfn.MAXIFS(BD!$A$3:$A$5001,BD!$B$3:$B$5001,F$184,BD!$A$3:$A$5001,"&gt;="&amp;$C$7,BD!$A$3:$A$5001,"&lt;="&amp;$B200,BD!$L$3:$L$5001,"&lt;&gt;"))))</f>
        <v/>
      </c>
      <c r="G200" s="43" t="str">
        <f>IF(OR($B200="",$A200&gt;$B$9,G$184=""),"",IF(COUNTIFS(BD!$B$3:$B$5001,G$184,BD!$A$3:$A$5001,"&gt;="&amp;$C$7,BD!$A$3:$A$5001,"&lt;="&amp;$B200,BD!$L$3:$L$5001,"&lt;&gt;")=0,"",SUMIFS(BD!$L$3:$L$5001,BD!$B$3:$B$5001,G$184,BD!$A$3:$A$5001,_xlfn.MAXIFS(BD!$A$3:$A$5001,BD!$B$3:$B$5001,G$184,BD!$A$3:$A$5001,"&gt;="&amp;$C$7,BD!$A$3:$A$5001,"&lt;="&amp;$B200,BD!$L$3:$L$5001,"&lt;&gt;"))))</f>
        <v/>
      </c>
      <c r="H200" s="43" t="str">
        <f>IF(OR($B200="",$A200&gt;$B$9,H$184=""),"",IF(COUNTIFS(BD!$B$3:$B$5001,H$184,BD!$A$3:$A$5001,"&gt;="&amp;$C$7,BD!$A$3:$A$5001,"&lt;="&amp;$B200,BD!$L$3:$L$5001,"&lt;&gt;")=0,"",SUMIFS(BD!$L$3:$L$5001,BD!$B$3:$B$5001,H$184,BD!$A$3:$A$5001,_xlfn.MAXIFS(BD!$A$3:$A$5001,BD!$B$3:$B$5001,H$184,BD!$A$3:$A$5001,"&gt;="&amp;$C$7,BD!$A$3:$A$5001,"&lt;="&amp;$B200,BD!$L$3:$L$5001,"&lt;&gt;"))))</f>
        <v/>
      </c>
      <c r="I200" s="43" t="str">
        <f>IF(OR($B200="",$A200&gt;$B$9,I$184=""),"",IF(COUNTIFS(BD!$B$3:$B$5001,I$184,BD!$A$3:$A$5001,"&gt;="&amp;$C$7,BD!$A$3:$A$5001,"&lt;="&amp;$B200,BD!$L$3:$L$5001,"&lt;&gt;")=0,"",SUMIFS(BD!$L$3:$L$5001,BD!$B$3:$B$5001,I$184,BD!$A$3:$A$5001,_xlfn.MAXIFS(BD!$A$3:$A$5001,BD!$B$3:$B$5001,I$184,BD!$A$3:$A$5001,"&gt;="&amp;$C$7,BD!$A$3:$A$5001,"&lt;="&amp;$B200,BD!$L$3:$L$5001,"&lt;&gt;"))))</f>
        <v/>
      </c>
      <c r="J200" s="43" t="str">
        <f>IF(OR($B200="",$A200&gt;$B$9,J$184=""),"",IF(COUNTIFS(BD!$B$3:$B$5001,J$184,BD!$A$3:$A$5001,"&gt;="&amp;$C$7,BD!$A$3:$A$5001,"&lt;="&amp;$B200,BD!$L$3:$L$5001,"&lt;&gt;")=0,"",SUMIFS(BD!$L$3:$L$5001,BD!$B$3:$B$5001,J$184,BD!$A$3:$A$5001,_xlfn.MAXIFS(BD!$A$3:$A$5001,BD!$B$3:$B$5001,J$184,BD!$A$3:$A$5001,"&gt;="&amp;$C$7,BD!$A$3:$A$5001,"&lt;="&amp;$B200,BD!$L$3:$L$5001,"&lt;&gt;"))))</f>
        <v/>
      </c>
      <c r="K200" s="43" t="str">
        <f>IF(OR($B200="",$A200&gt;$B$9,K$184=""),"",IF(COUNTIFS(BD!$B$3:$B$5001,K$184,BD!$A$3:$A$5001,"&gt;="&amp;$C$7,BD!$A$3:$A$5001,"&lt;="&amp;$B200,BD!$L$3:$L$5001,"&lt;&gt;")=0,"",SUMIFS(BD!$L$3:$L$5001,BD!$B$3:$B$5001,K$184,BD!$A$3:$A$5001,_xlfn.MAXIFS(BD!$A$3:$A$5001,BD!$B$3:$B$5001,K$184,BD!$A$3:$A$5001,"&gt;="&amp;$C$7,BD!$A$3:$A$5001,"&lt;="&amp;$B200,BD!$L$3:$L$5001,"&lt;&gt;"))))</f>
        <v/>
      </c>
      <c r="L200" s="43" t="str">
        <f>IF(OR($B200="",$A200&gt;$B$9,L$184=""),"",IF(COUNTIFS(BD!$B$3:$B$5001,L$184,BD!$A$3:$A$5001,"&gt;="&amp;$C$7,BD!$A$3:$A$5001,"&lt;="&amp;$B200,BD!$L$3:$L$5001,"&lt;&gt;")=0,"",SUMIFS(BD!$L$3:$L$5001,BD!$B$3:$B$5001,L$184,BD!$A$3:$A$5001,_xlfn.MAXIFS(BD!$A$3:$A$5001,BD!$B$3:$B$5001,L$184,BD!$A$3:$A$5001,"&gt;="&amp;$C$7,BD!$A$3:$A$5001,"&lt;="&amp;$B200,BD!$L$3:$L$5001,"&lt;&gt;"))))</f>
        <v/>
      </c>
      <c r="M200" s="43" t="str">
        <f>IF(OR($B200="",$A200&gt;$B$9,M$184=""),"",IF(COUNTIFS(BD!$B$3:$B$5001,M$184,BD!$A$3:$A$5001,"&gt;="&amp;$C$7,BD!$A$3:$A$5001,"&lt;="&amp;$B200,BD!$L$3:$L$5001,"&lt;&gt;")=0,"",SUMIFS(BD!$L$3:$L$5001,BD!$B$3:$B$5001,M$184,BD!$A$3:$A$5001,_xlfn.MAXIFS(BD!$A$3:$A$5001,BD!$B$3:$B$5001,M$184,BD!$A$3:$A$5001,"&gt;="&amp;$C$7,BD!$A$3:$A$5001,"&lt;="&amp;$B200,BD!$L$3:$L$5001,"&lt;&gt;"))))</f>
        <v/>
      </c>
      <c r="N200" s="43" t="str">
        <f>IF(OR($B200="",$A200&gt;$B$9,N$184=""),"",IF(COUNTIFS(BD!$B$3:$B$5001,N$184,BD!$A$3:$A$5001,"&gt;="&amp;$C$7,BD!$A$3:$A$5001,"&lt;="&amp;$B200,BD!$L$3:$L$5001,"&lt;&gt;")=0,"",SUMIFS(BD!$L$3:$L$5001,BD!$B$3:$B$5001,N$184,BD!$A$3:$A$5001,_xlfn.MAXIFS(BD!$A$3:$A$5001,BD!$B$3:$B$5001,N$184,BD!$A$3:$A$5001,"&gt;="&amp;$C$7,BD!$A$3:$A$5001,"&lt;="&amp;$B200,BD!$L$3:$L$5001,"&lt;&gt;"))))</f>
        <v/>
      </c>
      <c r="O200" s="43" t="str">
        <f>IF(OR($B200="",$A200&gt;$B$9,O$184=""),"",IF(COUNTIFS(BD!$B$3:$B$5001,O$184,BD!$A$3:$A$5001,"&gt;="&amp;$C$7,BD!$A$3:$A$5001,"&lt;="&amp;$B200,BD!$L$3:$L$5001,"&lt;&gt;")=0,"",SUMIFS(BD!$L$3:$L$5001,BD!$B$3:$B$5001,O$184,BD!$A$3:$A$5001,_xlfn.MAXIFS(BD!$A$3:$A$5001,BD!$B$3:$B$5001,O$184,BD!$A$3:$A$5001,"&gt;="&amp;$C$7,BD!$A$3:$A$5001,"&lt;="&amp;$B200,BD!$L$3:$L$5001,"&lt;&gt;"))))</f>
        <v/>
      </c>
      <c r="P200" s="43" t="str">
        <f>IF(OR($B200="",$A200&gt;$B$9,P$184=""),"",IF(COUNTIFS(BD!$B$3:$B$5001,P$184,BD!$A$3:$A$5001,"&gt;="&amp;$C$7,BD!$A$3:$A$5001,"&lt;="&amp;$B200,BD!$L$3:$L$5001,"&lt;&gt;")=0,"",SUMIFS(BD!$L$3:$L$5001,BD!$B$3:$B$5001,P$184,BD!$A$3:$A$5001,_xlfn.MAXIFS(BD!$A$3:$A$5001,BD!$B$3:$B$5001,P$184,BD!$A$3:$A$5001,"&gt;="&amp;$C$7,BD!$A$3:$A$5001,"&lt;="&amp;$B200,BD!$L$3:$L$5001,"&lt;&gt;"))))</f>
        <v/>
      </c>
      <c r="Q200" s="43" t="str">
        <f>IF(OR($B200="",$A200&gt;$B$9,Q$184=""),"",IF(COUNTIFS(BD!$B$3:$B$5001,Q$184,BD!$A$3:$A$5001,"&gt;="&amp;$C$7,BD!$A$3:$A$5001,"&lt;="&amp;$B200,BD!$L$3:$L$5001,"&lt;&gt;")=0,"",SUMIFS(BD!$L$3:$L$5001,BD!$B$3:$B$5001,Q$184,BD!$A$3:$A$5001,_xlfn.MAXIFS(BD!$A$3:$A$5001,BD!$B$3:$B$5001,Q$184,BD!$A$3:$A$5001,"&gt;="&amp;$C$7,BD!$A$3:$A$5001,"&lt;="&amp;$B200,BD!$L$3:$L$5001,"&lt;&gt;"))))</f>
        <v/>
      </c>
      <c r="R200" s="43" t="str">
        <f>IF(OR($B200="",$A200&gt;$B$9,R$184=""),"",IF(COUNTIFS(BD!$B$3:$B$5001,R$184,BD!$A$3:$A$5001,"&gt;="&amp;$C$7,BD!$A$3:$A$5001,"&lt;="&amp;$B200,BD!$L$3:$L$5001,"&lt;&gt;")=0,"",SUMIFS(BD!$L$3:$L$5001,BD!$B$3:$B$5001,R$184,BD!$A$3:$A$5001,_xlfn.MAXIFS(BD!$A$3:$A$5001,BD!$B$3:$B$5001,R$184,BD!$A$3:$A$5001,"&gt;="&amp;$C$7,BD!$A$3:$A$5001,"&lt;="&amp;$B200,BD!$L$3:$L$5001,"&lt;&gt;"))))</f>
        <v/>
      </c>
      <c r="S200" s="43" t="str">
        <f>IF(OR($B200="",$A200&gt;$B$9,S$184=""),"",IF(COUNTIFS(BD!$B$3:$B$5001,S$184,BD!$A$3:$A$5001,"&gt;="&amp;$C$7,BD!$A$3:$A$5001,"&lt;="&amp;$B200,BD!$L$3:$L$5001,"&lt;&gt;")=0,"",SUMIFS(BD!$L$3:$L$5001,BD!$B$3:$B$5001,S$184,BD!$A$3:$A$5001,_xlfn.MAXIFS(BD!$A$3:$A$5001,BD!$B$3:$B$5001,S$184,BD!$A$3:$A$5001,"&gt;="&amp;$C$7,BD!$A$3:$A$5001,"&lt;="&amp;$B200,BD!$L$3:$L$5001,"&lt;&gt;"))))</f>
        <v/>
      </c>
      <c r="T200" s="43" t="str">
        <f>IF(OR($B200="",$A200&gt;$B$9,T$184=""),"",IF(COUNTIFS(BD!$B$3:$B$5001,T$184,BD!$A$3:$A$5001,"&gt;="&amp;$C$7,BD!$A$3:$A$5001,"&lt;="&amp;$B200,BD!$L$3:$L$5001,"&lt;&gt;")=0,"",SUMIFS(BD!$L$3:$L$5001,BD!$B$3:$B$5001,T$184,BD!$A$3:$A$5001,_xlfn.MAXIFS(BD!$A$3:$A$5001,BD!$B$3:$B$5001,T$184,BD!$A$3:$A$5001,"&gt;="&amp;$C$7,BD!$A$3:$A$5001,"&lt;="&amp;$B200,BD!$L$3:$L$5001,"&lt;&gt;"))))</f>
        <v/>
      </c>
      <c r="U200" s="43" t="str">
        <f>IF(OR($B200="",$A200&gt;$B$9,U$184=""),"",IF(COUNTIFS(BD!$B$3:$B$5001,U$184,BD!$A$3:$A$5001,"&gt;="&amp;$C$7,BD!$A$3:$A$5001,"&lt;="&amp;$B200,BD!$L$3:$L$5001,"&lt;&gt;")=0,"",SUMIFS(BD!$L$3:$L$5001,BD!$B$3:$B$5001,U$184,BD!$A$3:$A$5001,_xlfn.MAXIFS(BD!$A$3:$A$5001,BD!$B$3:$B$5001,U$184,BD!$A$3:$A$5001,"&gt;="&amp;$C$7,BD!$A$3:$A$5001,"&lt;="&amp;$B200,BD!$L$3:$L$5001,"&lt;&gt;"))))</f>
        <v/>
      </c>
      <c r="V200" s="43" t="str">
        <f>IF(OR($B200="",$A200&gt;$B$9,V$184=""),"",IF(COUNTIFS(BD!$B$3:$B$5001,V$184,BD!$A$3:$A$5001,"&gt;="&amp;$C$7,BD!$A$3:$A$5001,"&lt;="&amp;$B200,BD!$L$3:$L$5001,"&lt;&gt;")=0,"",SUMIFS(BD!$L$3:$L$5001,BD!$B$3:$B$5001,V$184,BD!$A$3:$A$5001,_xlfn.MAXIFS(BD!$A$3:$A$5001,BD!$B$3:$B$5001,V$184,BD!$A$3:$A$5001,"&gt;="&amp;$C$7,BD!$A$3:$A$5001,"&lt;="&amp;$B200,BD!$L$3:$L$5001,"&lt;&gt;"))))</f>
        <v/>
      </c>
    </row>
    <row r="201">
      <c r="A201" s="38">
        <v>17</v>
      </c>
      <c r="B201" s="42">
        <f>$B$28</f>
        <v>46312</v>
      </c>
      <c r="C201" s="43" t="str">
        <f>IF(OR($B201="",$A201&gt;$B$9,C$184=""),"",IF(COUNTIFS(BD!$B$3:$B$5001,C$184,BD!$A$3:$A$5001,"&gt;="&amp;$C$7,BD!$A$3:$A$5001,"&lt;="&amp;$B201,BD!$L$3:$L$5001,"&lt;&gt;")=0,"",SUMIFS(BD!$L$3:$L$5001,BD!$B$3:$B$5001,C$184,BD!$A$3:$A$5001,_xlfn.MAXIFS(BD!$A$3:$A$5001,BD!$B$3:$B$5001,C$184,BD!$A$3:$A$5001,"&gt;="&amp;$C$7,BD!$A$3:$A$5001,"&lt;="&amp;$B201,BD!$L$3:$L$5001,"&lt;&gt;"))))</f>
        <v/>
      </c>
      <c r="D201" s="43" t="str">
        <f>IF(OR($B201="",$A201&gt;$B$9,D$184=""),"",IF(COUNTIFS(BD!$B$3:$B$5001,D$184,BD!$A$3:$A$5001,"&gt;="&amp;$C$7,BD!$A$3:$A$5001,"&lt;="&amp;$B201,BD!$L$3:$L$5001,"&lt;&gt;")=0,"",SUMIFS(BD!$L$3:$L$5001,BD!$B$3:$B$5001,D$184,BD!$A$3:$A$5001,_xlfn.MAXIFS(BD!$A$3:$A$5001,BD!$B$3:$B$5001,D$184,BD!$A$3:$A$5001,"&gt;="&amp;$C$7,BD!$A$3:$A$5001,"&lt;="&amp;$B201,BD!$L$3:$L$5001,"&lt;&gt;"))))</f>
        <v/>
      </c>
      <c r="E201" s="43" t="str">
        <f>IF(OR($B201="",$A201&gt;$B$9,E$184=""),"",IF(COUNTIFS(BD!$B$3:$B$5001,E$184,BD!$A$3:$A$5001,"&gt;="&amp;$C$7,BD!$A$3:$A$5001,"&lt;="&amp;$B201,BD!$L$3:$L$5001,"&lt;&gt;")=0,"",SUMIFS(BD!$L$3:$L$5001,BD!$B$3:$B$5001,E$184,BD!$A$3:$A$5001,_xlfn.MAXIFS(BD!$A$3:$A$5001,BD!$B$3:$B$5001,E$184,BD!$A$3:$A$5001,"&gt;="&amp;$C$7,BD!$A$3:$A$5001,"&lt;="&amp;$B201,BD!$L$3:$L$5001,"&lt;&gt;"))))</f>
        <v/>
      </c>
      <c r="F201" s="43" t="str">
        <f>IF(OR($B201="",$A201&gt;$B$9,F$184=""),"",IF(COUNTIFS(BD!$B$3:$B$5001,F$184,BD!$A$3:$A$5001,"&gt;="&amp;$C$7,BD!$A$3:$A$5001,"&lt;="&amp;$B201,BD!$L$3:$L$5001,"&lt;&gt;")=0,"",SUMIFS(BD!$L$3:$L$5001,BD!$B$3:$B$5001,F$184,BD!$A$3:$A$5001,_xlfn.MAXIFS(BD!$A$3:$A$5001,BD!$B$3:$B$5001,F$184,BD!$A$3:$A$5001,"&gt;="&amp;$C$7,BD!$A$3:$A$5001,"&lt;="&amp;$B201,BD!$L$3:$L$5001,"&lt;&gt;"))))</f>
        <v/>
      </c>
      <c r="G201" s="43" t="str">
        <f>IF(OR($B201="",$A201&gt;$B$9,G$184=""),"",IF(COUNTIFS(BD!$B$3:$B$5001,G$184,BD!$A$3:$A$5001,"&gt;="&amp;$C$7,BD!$A$3:$A$5001,"&lt;="&amp;$B201,BD!$L$3:$L$5001,"&lt;&gt;")=0,"",SUMIFS(BD!$L$3:$L$5001,BD!$B$3:$B$5001,G$184,BD!$A$3:$A$5001,_xlfn.MAXIFS(BD!$A$3:$A$5001,BD!$B$3:$B$5001,G$184,BD!$A$3:$A$5001,"&gt;="&amp;$C$7,BD!$A$3:$A$5001,"&lt;="&amp;$B201,BD!$L$3:$L$5001,"&lt;&gt;"))))</f>
        <v/>
      </c>
      <c r="H201" s="43" t="str">
        <f>IF(OR($B201="",$A201&gt;$B$9,H$184=""),"",IF(COUNTIFS(BD!$B$3:$B$5001,H$184,BD!$A$3:$A$5001,"&gt;="&amp;$C$7,BD!$A$3:$A$5001,"&lt;="&amp;$B201,BD!$L$3:$L$5001,"&lt;&gt;")=0,"",SUMIFS(BD!$L$3:$L$5001,BD!$B$3:$B$5001,H$184,BD!$A$3:$A$5001,_xlfn.MAXIFS(BD!$A$3:$A$5001,BD!$B$3:$B$5001,H$184,BD!$A$3:$A$5001,"&gt;="&amp;$C$7,BD!$A$3:$A$5001,"&lt;="&amp;$B201,BD!$L$3:$L$5001,"&lt;&gt;"))))</f>
        <v/>
      </c>
      <c r="I201" s="43" t="str">
        <f>IF(OR($B201="",$A201&gt;$B$9,I$184=""),"",IF(COUNTIFS(BD!$B$3:$B$5001,I$184,BD!$A$3:$A$5001,"&gt;="&amp;$C$7,BD!$A$3:$A$5001,"&lt;="&amp;$B201,BD!$L$3:$L$5001,"&lt;&gt;")=0,"",SUMIFS(BD!$L$3:$L$5001,BD!$B$3:$B$5001,I$184,BD!$A$3:$A$5001,_xlfn.MAXIFS(BD!$A$3:$A$5001,BD!$B$3:$B$5001,I$184,BD!$A$3:$A$5001,"&gt;="&amp;$C$7,BD!$A$3:$A$5001,"&lt;="&amp;$B201,BD!$L$3:$L$5001,"&lt;&gt;"))))</f>
        <v/>
      </c>
      <c r="J201" s="43" t="str">
        <f>IF(OR($B201="",$A201&gt;$B$9,J$184=""),"",IF(COUNTIFS(BD!$B$3:$B$5001,J$184,BD!$A$3:$A$5001,"&gt;="&amp;$C$7,BD!$A$3:$A$5001,"&lt;="&amp;$B201,BD!$L$3:$L$5001,"&lt;&gt;")=0,"",SUMIFS(BD!$L$3:$L$5001,BD!$B$3:$B$5001,J$184,BD!$A$3:$A$5001,_xlfn.MAXIFS(BD!$A$3:$A$5001,BD!$B$3:$B$5001,J$184,BD!$A$3:$A$5001,"&gt;="&amp;$C$7,BD!$A$3:$A$5001,"&lt;="&amp;$B201,BD!$L$3:$L$5001,"&lt;&gt;"))))</f>
        <v/>
      </c>
      <c r="K201" s="43" t="str">
        <f>IF(OR($B201="",$A201&gt;$B$9,K$184=""),"",IF(COUNTIFS(BD!$B$3:$B$5001,K$184,BD!$A$3:$A$5001,"&gt;="&amp;$C$7,BD!$A$3:$A$5001,"&lt;="&amp;$B201,BD!$L$3:$L$5001,"&lt;&gt;")=0,"",SUMIFS(BD!$L$3:$L$5001,BD!$B$3:$B$5001,K$184,BD!$A$3:$A$5001,_xlfn.MAXIFS(BD!$A$3:$A$5001,BD!$B$3:$B$5001,K$184,BD!$A$3:$A$5001,"&gt;="&amp;$C$7,BD!$A$3:$A$5001,"&lt;="&amp;$B201,BD!$L$3:$L$5001,"&lt;&gt;"))))</f>
        <v/>
      </c>
      <c r="L201" s="43" t="str">
        <f>IF(OR($B201="",$A201&gt;$B$9,L$184=""),"",IF(COUNTIFS(BD!$B$3:$B$5001,L$184,BD!$A$3:$A$5001,"&gt;="&amp;$C$7,BD!$A$3:$A$5001,"&lt;="&amp;$B201,BD!$L$3:$L$5001,"&lt;&gt;")=0,"",SUMIFS(BD!$L$3:$L$5001,BD!$B$3:$B$5001,L$184,BD!$A$3:$A$5001,_xlfn.MAXIFS(BD!$A$3:$A$5001,BD!$B$3:$B$5001,L$184,BD!$A$3:$A$5001,"&gt;="&amp;$C$7,BD!$A$3:$A$5001,"&lt;="&amp;$B201,BD!$L$3:$L$5001,"&lt;&gt;"))))</f>
        <v/>
      </c>
      <c r="M201" s="43" t="str">
        <f>IF(OR($B201="",$A201&gt;$B$9,M$184=""),"",IF(COUNTIFS(BD!$B$3:$B$5001,M$184,BD!$A$3:$A$5001,"&gt;="&amp;$C$7,BD!$A$3:$A$5001,"&lt;="&amp;$B201,BD!$L$3:$L$5001,"&lt;&gt;")=0,"",SUMIFS(BD!$L$3:$L$5001,BD!$B$3:$B$5001,M$184,BD!$A$3:$A$5001,_xlfn.MAXIFS(BD!$A$3:$A$5001,BD!$B$3:$B$5001,M$184,BD!$A$3:$A$5001,"&gt;="&amp;$C$7,BD!$A$3:$A$5001,"&lt;="&amp;$B201,BD!$L$3:$L$5001,"&lt;&gt;"))))</f>
        <v/>
      </c>
      <c r="N201" s="43" t="str">
        <f>IF(OR($B201="",$A201&gt;$B$9,N$184=""),"",IF(COUNTIFS(BD!$B$3:$B$5001,N$184,BD!$A$3:$A$5001,"&gt;="&amp;$C$7,BD!$A$3:$A$5001,"&lt;="&amp;$B201,BD!$L$3:$L$5001,"&lt;&gt;")=0,"",SUMIFS(BD!$L$3:$L$5001,BD!$B$3:$B$5001,N$184,BD!$A$3:$A$5001,_xlfn.MAXIFS(BD!$A$3:$A$5001,BD!$B$3:$B$5001,N$184,BD!$A$3:$A$5001,"&gt;="&amp;$C$7,BD!$A$3:$A$5001,"&lt;="&amp;$B201,BD!$L$3:$L$5001,"&lt;&gt;"))))</f>
        <v/>
      </c>
      <c r="O201" s="43" t="str">
        <f>IF(OR($B201="",$A201&gt;$B$9,O$184=""),"",IF(COUNTIFS(BD!$B$3:$B$5001,O$184,BD!$A$3:$A$5001,"&gt;="&amp;$C$7,BD!$A$3:$A$5001,"&lt;="&amp;$B201,BD!$L$3:$L$5001,"&lt;&gt;")=0,"",SUMIFS(BD!$L$3:$L$5001,BD!$B$3:$B$5001,O$184,BD!$A$3:$A$5001,_xlfn.MAXIFS(BD!$A$3:$A$5001,BD!$B$3:$B$5001,O$184,BD!$A$3:$A$5001,"&gt;="&amp;$C$7,BD!$A$3:$A$5001,"&lt;="&amp;$B201,BD!$L$3:$L$5001,"&lt;&gt;"))))</f>
        <v/>
      </c>
      <c r="P201" s="43" t="str">
        <f>IF(OR($B201="",$A201&gt;$B$9,P$184=""),"",IF(COUNTIFS(BD!$B$3:$B$5001,P$184,BD!$A$3:$A$5001,"&gt;="&amp;$C$7,BD!$A$3:$A$5001,"&lt;="&amp;$B201,BD!$L$3:$L$5001,"&lt;&gt;")=0,"",SUMIFS(BD!$L$3:$L$5001,BD!$B$3:$B$5001,P$184,BD!$A$3:$A$5001,_xlfn.MAXIFS(BD!$A$3:$A$5001,BD!$B$3:$B$5001,P$184,BD!$A$3:$A$5001,"&gt;="&amp;$C$7,BD!$A$3:$A$5001,"&lt;="&amp;$B201,BD!$L$3:$L$5001,"&lt;&gt;"))))</f>
        <v/>
      </c>
      <c r="Q201" s="43" t="str">
        <f>IF(OR($B201="",$A201&gt;$B$9,Q$184=""),"",IF(COUNTIFS(BD!$B$3:$B$5001,Q$184,BD!$A$3:$A$5001,"&gt;="&amp;$C$7,BD!$A$3:$A$5001,"&lt;="&amp;$B201,BD!$L$3:$L$5001,"&lt;&gt;")=0,"",SUMIFS(BD!$L$3:$L$5001,BD!$B$3:$B$5001,Q$184,BD!$A$3:$A$5001,_xlfn.MAXIFS(BD!$A$3:$A$5001,BD!$B$3:$B$5001,Q$184,BD!$A$3:$A$5001,"&gt;="&amp;$C$7,BD!$A$3:$A$5001,"&lt;="&amp;$B201,BD!$L$3:$L$5001,"&lt;&gt;"))))</f>
        <v/>
      </c>
      <c r="R201" s="43" t="str">
        <f>IF(OR($B201="",$A201&gt;$B$9,R$184=""),"",IF(COUNTIFS(BD!$B$3:$B$5001,R$184,BD!$A$3:$A$5001,"&gt;="&amp;$C$7,BD!$A$3:$A$5001,"&lt;="&amp;$B201,BD!$L$3:$L$5001,"&lt;&gt;")=0,"",SUMIFS(BD!$L$3:$L$5001,BD!$B$3:$B$5001,R$184,BD!$A$3:$A$5001,_xlfn.MAXIFS(BD!$A$3:$A$5001,BD!$B$3:$B$5001,R$184,BD!$A$3:$A$5001,"&gt;="&amp;$C$7,BD!$A$3:$A$5001,"&lt;="&amp;$B201,BD!$L$3:$L$5001,"&lt;&gt;"))))</f>
        <v/>
      </c>
      <c r="S201" s="43" t="str">
        <f>IF(OR($B201="",$A201&gt;$B$9,S$184=""),"",IF(COUNTIFS(BD!$B$3:$B$5001,S$184,BD!$A$3:$A$5001,"&gt;="&amp;$C$7,BD!$A$3:$A$5001,"&lt;="&amp;$B201,BD!$L$3:$L$5001,"&lt;&gt;")=0,"",SUMIFS(BD!$L$3:$L$5001,BD!$B$3:$B$5001,S$184,BD!$A$3:$A$5001,_xlfn.MAXIFS(BD!$A$3:$A$5001,BD!$B$3:$B$5001,S$184,BD!$A$3:$A$5001,"&gt;="&amp;$C$7,BD!$A$3:$A$5001,"&lt;="&amp;$B201,BD!$L$3:$L$5001,"&lt;&gt;"))))</f>
        <v/>
      </c>
      <c r="T201" s="43" t="str">
        <f>IF(OR($B201="",$A201&gt;$B$9,T$184=""),"",IF(COUNTIFS(BD!$B$3:$B$5001,T$184,BD!$A$3:$A$5001,"&gt;="&amp;$C$7,BD!$A$3:$A$5001,"&lt;="&amp;$B201,BD!$L$3:$L$5001,"&lt;&gt;")=0,"",SUMIFS(BD!$L$3:$L$5001,BD!$B$3:$B$5001,T$184,BD!$A$3:$A$5001,_xlfn.MAXIFS(BD!$A$3:$A$5001,BD!$B$3:$B$5001,T$184,BD!$A$3:$A$5001,"&gt;="&amp;$C$7,BD!$A$3:$A$5001,"&lt;="&amp;$B201,BD!$L$3:$L$5001,"&lt;&gt;"))))</f>
        <v/>
      </c>
      <c r="U201" s="43" t="str">
        <f>IF(OR($B201="",$A201&gt;$B$9,U$184=""),"",IF(COUNTIFS(BD!$B$3:$B$5001,U$184,BD!$A$3:$A$5001,"&gt;="&amp;$C$7,BD!$A$3:$A$5001,"&lt;="&amp;$B201,BD!$L$3:$L$5001,"&lt;&gt;")=0,"",SUMIFS(BD!$L$3:$L$5001,BD!$B$3:$B$5001,U$184,BD!$A$3:$A$5001,_xlfn.MAXIFS(BD!$A$3:$A$5001,BD!$B$3:$B$5001,U$184,BD!$A$3:$A$5001,"&gt;="&amp;$C$7,BD!$A$3:$A$5001,"&lt;="&amp;$B201,BD!$L$3:$L$5001,"&lt;&gt;"))))</f>
        <v/>
      </c>
      <c r="V201" s="43" t="str">
        <f>IF(OR($B201="",$A201&gt;$B$9,V$184=""),"",IF(COUNTIFS(BD!$B$3:$B$5001,V$184,BD!$A$3:$A$5001,"&gt;="&amp;$C$7,BD!$A$3:$A$5001,"&lt;="&amp;$B201,BD!$L$3:$L$5001,"&lt;&gt;")=0,"",SUMIFS(BD!$L$3:$L$5001,BD!$B$3:$B$5001,V$184,BD!$A$3:$A$5001,_xlfn.MAXIFS(BD!$A$3:$A$5001,BD!$B$3:$B$5001,V$184,BD!$A$3:$A$5001,"&gt;="&amp;$C$7,BD!$A$3:$A$5001,"&lt;="&amp;$B201,BD!$L$3:$L$5001,"&lt;&gt;"))))</f>
        <v/>
      </c>
    </row>
    <row r="202">
      <c r="A202" s="38">
        <v>18</v>
      </c>
      <c r="B202" s="42">
        <f>$B$29</f>
        <v>46313</v>
      </c>
      <c r="C202" s="43" t="str">
        <f>IF(OR($B202="",$A202&gt;$B$9,C$184=""),"",IF(COUNTIFS(BD!$B$3:$B$5001,C$184,BD!$A$3:$A$5001,"&gt;="&amp;$C$7,BD!$A$3:$A$5001,"&lt;="&amp;$B202,BD!$L$3:$L$5001,"&lt;&gt;")=0,"",SUMIFS(BD!$L$3:$L$5001,BD!$B$3:$B$5001,C$184,BD!$A$3:$A$5001,_xlfn.MAXIFS(BD!$A$3:$A$5001,BD!$B$3:$B$5001,C$184,BD!$A$3:$A$5001,"&gt;="&amp;$C$7,BD!$A$3:$A$5001,"&lt;="&amp;$B202,BD!$L$3:$L$5001,"&lt;&gt;"))))</f>
        <v/>
      </c>
      <c r="D202" s="43" t="str">
        <f>IF(OR($B202="",$A202&gt;$B$9,D$184=""),"",IF(COUNTIFS(BD!$B$3:$B$5001,D$184,BD!$A$3:$A$5001,"&gt;="&amp;$C$7,BD!$A$3:$A$5001,"&lt;="&amp;$B202,BD!$L$3:$L$5001,"&lt;&gt;")=0,"",SUMIFS(BD!$L$3:$L$5001,BD!$B$3:$B$5001,D$184,BD!$A$3:$A$5001,_xlfn.MAXIFS(BD!$A$3:$A$5001,BD!$B$3:$B$5001,D$184,BD!$A$3:$A$5001,"&gt;="&amp;$C$7,BD!$A$3:$A$5001,"&lt;="&amp;$B202,BD!$L$3:$L$5001,"&lt;&gt;"))))</f>
        <v/>
      </c>
      <c r="E202" s="43" t="str">
        <f>IF(OR($B202="",$A202&gt;$B$9,E$184=""),"",IF(COUNTIFS(BD!$B$3:$B$5001,E$184,BD!$A$3:$A$5001,"&gt;="&amp;$C$7,BD!$A$3:$A$5001,"&lt;="&amp;$B202,BD!$L$3:$L$5001,"&lt;&gt;")=0,"",SUMIFS(BD!$L$3:$L$5001,BD!$B$3:$B$5001,E$184,BD!$A$3:$A$5001,_xlfn.MAXIFS(BD!$A$3:$A$5001,BD!$B$3:$B$5001,E$184,BD!$A$3:$A$5001,"&gt;="&amp;$C$7,BD!$A$3:$A$5001,"&lt;="&amp;$B202,BD!$L$3:$L$5001,"&lt;&gt;"))))</f>
        <v/>
      </c>
      <c r="F202" s="43" t="str">
        <f>IF(OR($B202="",$A202&gt;$B$9,F$184=""),"",IF(COUNTIFS(BD!$B$3:$B$5001,F$184,BD!$A$3:$A$5001,"&gt;="&amp;$C$7,BD!$A$3:$A$5001,"&lt;="&amp;$B202,BD!$L$3:$L$5001,"&lt;&gt;")=0,"",SUMIFS(BD!$L$3:$L$5001,BD!$B$3:$B$5001,F$184,BD!$A$3:$A$5001,_xlfn.MAXIFS(BD!$A$3:$A$5001,BD!$B$3:$B$5001,F$184,BD!$A$3:$A$5001,"&gt;="&amp;$C$7,BD!$A$3:$A$5001,"&lt;="&amp;$B202,BD!$L$3:$L$5001,"&lt;&gt;"))))</f>
        <v/>
      </c>
      <c r="G202" s="43" t="str">
        <f>IF(OR($B202="",$A202&gt;$B$9,G$184=""),"",IF(COUNTIFS(BD!$B$3:$B$5001,G$184,BD!$A$3:$A$5001,"&gt;="&amp;$C$7,BD!$A$3:$A$5001,"&lt;="&amp;$B202,BD!$L$3:$L$5001,"&lt;&gt;")=0,"",SUMIFS(BD!$L$3:$L$5001,BD!$B$3:$B$5001,G$184,BD!$A$3:$A$5001,_xlfn.MAXIFS(BD!$A$3:$A$5001,BD!$B$3:$B$5001,G$184,BD!$A$3:$A$5001,"&gt;="&amp;$C$7,BD!$A$3:$A$5001,"&lt;="&amp;$B202,BD!$L$3:$L$5001,"&lt;&gt;"))))</f>
        <v/>
      </c>
      <c r="H202" s="43" t="str">
        <f>IF(OR($B202="",$A202&gt;$B$9,H$184=""),"",IF(COUNTIFS(BD!$B$3:$B$5001,H$184,BD!$A$3:$A$5001,"&gt;="&amp;$C$7,BD!$A$3:$A$5001,"&lt;="&amp;$B202,BD!$L$3:$L$5001,"&lt;&gt;")=0,"",SUMIFS(BD!$L$3:$L$5001,BD!$B$3:$B$5001,H$184,BD!$A$3:$A$5001,_xlfn.MAXIFS(BD!$A$3:$A$5001,BD!$B$3:$B$5001,H$184,BD!$A$3:$A$5001,"&gt;="&amp;$C$7,BD!$A$3:$A$5001,"&lt;="&amp;$B202,BD!$L$3:$L$5001,"&lt;&gt;"))))</f>
        <v/>
      </c>
      <c r="I202" s="43" t="str">
        <f>IF(OR($B202="",$A202&gt;$B$9,I$184=""),"",IF(COUNTIFS(BD!$B$3:$B$5001,I$184,BD!$A$3:$A$5001,"&gt;="&amp;$C$7,BD!$A$3:$A$5001,"&lt;="&amp;$B202,BD!$L$3:$L$5001,"&lt;&gt;")=0,"",SUMIFS(BD!$L$3:$L$5001,BD!$B$3:$B$5001,I$184,BD!$A$3:$A$5001,_xlfn.MAXIFS(BD!$A$3:$A$5001,BD!$B$3:$B$5001,I$184,BD!$A$3:$A$5001,"&gt;="&amp;$C$7,BD!$A$3:$A$5001,"&lt;="&amp;$B202,BD!$L$3:$L$5001,"&lt;&gt;"))))</f>
        <v/>
      </c>
      <c r="J202" s="43" t="str">
        <f>IF(OR($B202="",$A202&gt;$B$9,J$184=""),"",IF(COUNTIFS(BD!$B$3:$B$5001,J$184,BD!$A$3:$A$5001,"&gt;="&amp;$C$7,BD!$A$3:$A$5001,"&lt;="&amp;$B202,BD!$L$3:$L$5001,"&lt;&gt;")=0,"",SUMIFS(BD!$L$3:$L$5001,BD!$B$3:$B$5001,J$184,BD!$A$3:$A$5001,_xlfn.MAXIFS(BD!$A$3:$A$5001,BD!$B$3:$B$5001,J$184,BD!$A$3:$A$5001,"&gt;="&amp;$C$7,BD!$A$3:$A$5001,"&lt;="&amp;$B202,BD!$L$3:$L$5001,"&lt;&gt;"))))</f>
        <v/>
      </c>
      <c r="K202" s="43" t="str">
        <f>IF(OR($B202="",$A202&gt;$B$9,K$184=""),"",IF(COUNTIFS(BD!$B$3:$B$5001,K$184,BD!$A$3:$A$5001,"&gt;="&amp;$C$7,BD!$A$3:$A$5001,"&lt;="&amp;$B202,BD!$L$3:$L$5001,"&lt;&gt;")=0,"",SUMIFS(BD!$L$3:$L$5001,BD!$B$3:$B$5001,K$184,BD!$A$3:$A$5001,_xlfn.MAXIFS(BD!$A$3:$A$5001,BD!$B$3:$B$5001,K$184,BD!$A$3:$A$5001,"&gt;="&amp;$C$7,BD!$A$3:$A$5001,"&lt;="&amp;$B202,BD!$L$3:$L$5001,"&lt;&gt;"))))</f>
        <v/>
      </c>
      <c r="L202" s="43" t="str">
        <f>IF(OR($B202="",$A202&gt;$B$9,L$184=""),"",IF(COUNTIFS(BD!$B$3:$B$5001,L$184,BD!$A$3:$A$5001,"&gt;="&amp;$C$7,BD!$A$3:$A$5001,"&lt;="&amp;$B202,BD!$L$3:$L$5001,"&lt;&gt;")=0,"",SUMIFS(BD!$L$3:$L$5001,BD!$B$3:$B$5001,L$184,BD!$A$3:$A$5001,_xlfn.MAXIFS(BD!$A$3:$A$5001,BD!$B$3:$B$5001,L$184,BD!$A$3:$A$5001,"&gt;="&amp;$C$7,BD!$A$3:$A$5001,"&lt;="&amp;$B202,BD!$L$3:$L$5001,"&lt;&gt;"))))</f>
        <v/>
      </c>
      <c r="M202" s="43" t="str">
        <f>IF(OR($B202="",$A202&gt;$B$9,M$184=""),"",IF(COUNTIFS(BD!$B$3:$B$5001,M$184,BD!$A$3:$A$5001,"&gt;="&amp;$C$7,BD!$A$3:$A$5001,"&lt;="&amp;$B202,BD!$L$3:$L$5001,"&lt;&gt;")=0,"",SUMIFS(BD!$L$3:$L$5001,BD!$B$3:$B$5001,M$184,BD!$A$3:$A$5001,_xlfn.MAXIFS(BD!$A$3:$A$5001,BD!$B$3:$B$5001,M$184,BD!$A$3:$A$5001,"&gt;="&amp;$C$7,BD!$A$3:$A$5001,"&lt;="&amp;$B202,BD!$L$3:$L$5001,"&lt;&gt;"))))</f>
        <v/>
      </c>
      <c r="N202" s="43" t="str">
        <f>IF(OR($B202="",$A202&gt;$B$9,N$184=""),"",IF(COUNTIFS(BD!$B$3:$B$5001,N$184,BD!$A$3:$A$5001,"&gt;="&amp;$C$7,BD!$A$3:$A$5001,"&lt;="&amp;$B202,BD!$L$3:$L$5001,"&lt;&gt;")=0,"",SUMIFS(BD!$L$3:$L$5001,BD!$B$3:$B$5001,N$184,BD!$A$3:$A$5001,_xlfn.MAXIFS(BD!$A$3:$A$5001,BD!$B$3:$B$5001,N$184,BD!$A$3:$A$5001,"&gt;="&amp;$C$7,BD!$A$3:$A$5001,"&lt;="&amp;$B202,BD!$L$3:$L$5001,"&lt;&gt;"))))</f>
        <v/>
      </c>
      <c r="O202" s="43" t="str">
        <f>IF(OR($B202="",$A202&gt;$B$9,O$184=""),"",IF(COUNTIFS(BD!$B$3:$B$5001,O$184,BD!$A$3:$A$5001,"&gt;="&amp;$C$7,BD!$A$3:$A$5001,"&lt;="&amp;$B202,BD!$L$3:$L$5001,"&lt;&gt;")=0,"",SUMIFS(BD!$L$3:$L$5001,BD!$B$3:$B$5001,O$184,BD!$A$3:$A$5001,_xlfn.MAXIFS(BD!$A$3:$A$5001,BD!$B$3:$B$5001,O$184,BD!$A$3:$A$5001,"&gt;="&amp;$C$7,BD!$A$3:$A$5001,"&lt;="&amp;$B202,BD!$L$3:$L$5001,"&lt;&gt;"))))</f>
        <v/>
      </c>
      <c r="P202" s="43" t="str">
        <f>IF(OR($B202="",$A202&gt;$B$9,P$184=""),"",IF(COUNTIFS(BD!$B$3:$B$5001,P$184,BD!$A$3:$A$5001,"&gt;="&amp;$C$7,BD!$A$3:$A$5001,"&lt;="&amp;$B202,BD!$L$3:$L$5001,"&lt;&gt;")=0,"",SUMIFS(BD!$L$3:$L$5001,BD!$B$3:$B$5001,P$184,BD!$A$3:$A$5001,_xlfn.MAXIFS(BD!$A$3:$A$5001,BD!$B$3:$B$5001,P$184,BD!$A$3:$A$5001,"&gt;="&amp;$C$7,BD!$A$3:$A$5001,"&lt;="&amp;$B202,BD!$L$3:$L$5001,"&lt;&gt;"))))</f>
        <v/>
      </c>
      <c r="Q202" s="43" t="str">
        <f>IF(OR($B202="",$A202&gt;$B$9,Q$184=""),"",IF(COUNTIFS(BD!$B$3:$B$5001,Q$184,BD!$A$3:$A$5001,"&gt;="&amp;$C$7,BD!$A$3:$A$5001,"&lt;="&amp;$B202,BD!$L$3:$L$5001,"&lt;&gt;")=0,"",SUMIFS(BD!$L$3:$L$5001,BD!$B$3:$B$5001,Q$184,BD!$A$3:$A$5001,_xlfn.MAXIFS(BD!$A$3:$A$5001,BD!$B$3:$B$5001,Q$184,BD!$A$3:$A$5001,"&gt;="&amp;$C$7,BD!$A$3:$A$5001,"&lt;="&amp;$B202,BD!$L$3:$L$5001,"&lt;&gt;"))))</f>
        <v/>
      </c>
      <c r="R202" s="43" t="str">
        <f>IF(OR($B202="",$A202&gt;$B$9,R$184=""),"",IF(COUNTIFS(BD!$B$3:$B$5001,R$184,BD!$A$3:$A$5001,"&gt;="&amp;$C$7,BD!$A$3:$A$5001,"&lt;="&amp;$B202,BD!$L$3:$L$5001,"&lt;&gt;")=0,"",SUMIFS(BD!$L$3:$L$5001,BD!$B$3:$B$5001,R$184,BD!$A$3:$A$5001,_xlfn.MAXIFS(BD!$A$3:$A$5001,BD!$B$3:$B$5001,R$184,BD!$A$3:$A$5001,"&gt;="&amp;$C$7,BD!$A$3:$A$5001,"&lt;="&amp;$B202,BD!$L$3:$L$5001,"&lt;&gt;"))))</f>
        <v/>
      </c>
      <c r="S202" s="43" t="str">
        <f>IF(OR($B202="",$A202&gt;$B$9,S$184=""),"",IF(COUNTIFS(BD!$B$3:$B$5001,S$184,BD!$A$3:$A$5001,"&gt;="&amp;$C$7,BD!$A$3:$A$5001,"&lt;="&amp;$B202,BD!$L$3:$L$5001,"&lt;&gt;")=0,"",SUMIFS(BD!$L$3:$L$5001,BD!$B$3:$B$5001,S$184,BD!$A$3:$A$5001,_xlfn.MAXIFS(BD!$A$3:$A$5001,BD!$B$3:$B$5001,S$184,BD!$A$3:$A$5001,"&gt;="&amp;$C$7,BD!$A$3:$A$5001,"&lt;="&amp;$B202,BD!$L$3:$L$5001,"&lt;&gt;"))))</f>
        <v/>
      </c>
      <c r="T202" s="43" t="str">
        <f>IF(OR($B202="",$A202&gt;$B$9,T$184=""),"",IF(COUNTIFS(BD!$B$3:$B$5001,T$184,BD!$A$3:$A$5001,"&gt;="&amp;$C$7,BD!$A$3:$A$5001,"&lt;="&amp;$B202,BD!$L$3:$L$5001,"&lt;&gt;")=0,"",SUMIFS(BD!$L$3:$L$5001,BD!$B$3:$B$5001,T$184,BD!$A$3:$A$5001,_xlfn.MAXIFS(BD!$A$3:$A$5001,BD!$B$3:$B$5001,T$184,BD!$A$3:$A$5001,"&gt;="&amp;$C$7,BD!$A$3:$A$5001,"&lt;="&amp;$B202,BD!$L$3:$L$5001,"&lt;&gt;"))))</f>
        <v/>
      </c>
      <c r="U202" s="43" t="str">
        <f>IF(OR($B202="",$A202&gt;$B$9,U$184=""),"",IF(COUNTIFS(BD!$B$3:$B$5001,U$184,BD!$A$3:$A$5001,"&gt;="&amp;$C$7,BD!$A$3:$A$5001,"&lt;="&amp;$B202,BD!$L$3:$L$5001,"&lt;&gt;")=0,"",SUMIFS(BD!$L$3:$L$5001,BD!$B$3:$B$5001,U$184,BD!$A$3:$A$5001,_xlfn.MAXIFS(BD!$A$3:$A$5001,BD!$B$3:$B$5001,U$184,BD!$A$3:$A$5001,"&gt;="&amp;$C$7,BD!$A$3:$A$5001,"&lt;="&amp;$B202,BD!$L$3:$L$5001,"&lt;&gt;"))))</f>
        <v/>
      </c>
      <c r="V202" s="43" t="str">
        <f>IF(OR($B202="",$A202&gt;$B$9,V$184=""),"",IF(COUNTIFS(BD!$B$3:$B$5001,V$184,BD!$A$3:$A$5001,"&gt;="&amp;$C$7,BD!$A$3:$A$5001,"&lt;="&amp;$B202,BD!$L$3:$L$5001,"&lt;&gt;")=0,"",SUMIFS(BD!$L$3:$L$5001,BD!$B$3:$B$5001,V$184,BD!$A$3:$A$5001,_xlfn.MAXIFS(BD!$A$3:$A$5001,BD!$B$3:$B$5001,V$184,BD!$A$3:$A$5001,"&gt;="&amp;$C$7,BD!$A$3:$A$5001,"&lt;="&amp;$B202,BD!$L$3:$L$5001,"&lt;&gt;"))))</f>
        <v/>
      </c>
    </row>
    <row r="203">
      <c r="A203" s="38">
        <v>19</v>
      </c>
      <c r="B203" s="42">
        <f>$B$30</f>
        <v>46314</v>
      </c>
      <c r="C203" s="43" t="str">
        <f>IF(OR($B203="",$A203&gt;$B$9,C$184=""),"",IF(COUNTIFS(BD!$B$3:$B$5001,C$184,BD!$A$3:$A$5001,"&gt;="&amp;$C$7,BD!$A$3:$A$5001,"&lt;="&amp;$B203,BD!$L$3:$L$5001,"&lt;&gt;")=0,"",SUMIFS(BD!$L$3:$L$5001,BD!$B$3:$B$5001,C$184,BD!$A$3:$A$5001,_xlfn.MAXIFS(BD!$A$3:$A$5001,BD!$B$3:$B$5001,C$184,BD!$A$3:$A$5001,"&gt;="&amp;$C$7,BD!$A$3:$A$5001,"&lt;="&amp;$B203,BD!$L$3:$L$5001,"&lt;&gt;"))))</f>
        <v/>
      </c>
      <c r="D203" s="43" t="str">
        <f>IF(OR($B203="",$A203&gt;$B$9,D$184=""),"",IF(COUNTIFS(BD!$B$3:$B$5001,D$184,BD!$A$3:$A$5001,"&gt;="&amp;$C$7,BD!$A$3:$A$5001,"&lt;="&amp;$B203,BD!$L$3:$L$5001,"&lt;&gt;")=0,"",SUMIFS(BD!$L$3:$L$5001,BD!$B$3:$B$5001,D$184,BD!$A$3:$A$5001,_xlfn.MAXIFS(BD!$A$3:$A$5001,BD!$B$3:$B$5001,D$184,BD!$A$3:$A$5001,"&gt;="&amp;$C$7,BD!$A$3:$A$5001,"&lt;="&amp;$B203,BD!$L$3:$L$5001,"&lt;&gt;"))))</f>
        <v/>
      </c>
      <c r="E203" s="43" t="str">
        <f>IF(OR($B203="",$A203&gt;$B$9,E$184=""),"",IF(COUNTIFS(BD!$B$3:$B$5001,E$184,BD!$A$3:$A$5001,"&gt;="&amp;$C$7,BD!$A$3:$A$5001,"&lt;="&amp;$B203,BD!$L$3:$L$5001,"&lt;&gt;")=0,"",SUMIFS(BD!$L$3:$L$5001,BD!$B$3:$B$5001,E$184,BD!$A$3:$A$5001,_xlfn.MAXIFS(BD!$A$3:$A$5001,BD!$B$3:$B$5001,E$184,BD!$A$3:$A$5001,"&gt;="&amp;$C$7,BD!$A$3:$A$5001,"&lt;="&amp;$B203,BD!$L$3:$L$5001,"&lt;&gt;"))))</f>
        <v/>
      </c>
      <c r="F203" s="43" t="str">
        <f>IF(OR($B203="",$A203&gt;$B$9,F$184=""),"",IF(COUNTIFS(BD!$B$3:$B$5001,F$184,BD!$A$3:$A$5001,"&gt;="&amp;$C$7,BD!$A$3:$A$5001,"&lt;="&amp;$B203,BD!$L$3:$L$5001,"&lt;&gt;")=0,"",SUMIFS(BD!$L$3:$L$5001,BD!$B$3:$B$5001,F$184,BD!$A$3:$A$5001,_xlfn.MAXIFS(BD!$A$3:$A$5001,BD!$B$3:$B$5001,F$184,BD!$A$3:$A$5001,"&gt;="&amp;$C$7,BD!$A$3:$A$5001,"&lt;="&amp;$B203,BD!$L$3:$L$5001,"&lt;&gt;"))))</f>
        <v/>
      </c>
      <c r="G203" s="43" t="str">
        <f>IF(OR($B203="",$A203&gt;$B$9,G$184=""),"",IF(COUNTIFS(BD!$B$3:$B$5001,G$184,BD!$A$3:$A$5001,"&gt;="&amp;$C$7,BD!$A$3:$A$5001,"&lt;="&amp;$B203,BD!$L$3:$L$5001,"&lt;&gt;")=0,"",SUMIFS(BD!$L$3:$L$5001,BD!$B$3:$B$5001,G$184,BD!$A$3:$A$5001,_xlfn.MAXIFS(BD!$A$3:$A$5001,BD!$B$3:$B$5001,G$184,BD!$A$3:$A$5001,"&gt;="&amp;$C$7,BD!$A$3:$A$5001,"&lt;="&amp;$B203,BD!$L$3:$L$5001,"&lt;&gt;"))))</f>
        <v/>
      </c>
      <c r="H203" s="43" t="str">
        <f>IF(OR($B203="",$A203&gt;$B$9,H$184=""),"",IF(COUNTIFS(BD!$B$3:$B$5001,H$184,BD!$A$3:$A$5001,"&gt;="&amp;$C$7,BD!$A$3:$A$5001,"&lt;="&amp;$B203,BD!$L$3:$L$5001,"&lt;&gt;")=0,"",SUMIFS(BD!$L$3:$L$5001,BD!$B$3:$B$5001,H$184,BD!$A$3:$A$5001,_xlfn.MAXIFS(BD!$A$3:$A$5001,BD!$B$3:$B$5001,H$184,BD!$A$3:$A$5001,"&gt;="&amp;$C$7,BD!$A$3:$A$5001,"&lt;="&amp;$B203,BD!$L$3:$L$5001,"&lt;&gt;"))))</f>
        <v/>
      </c>
      <c r="I203" s="43" t="str">
        <f>IF(OR($B203="",$A203&gt;$B$9,I$184=""),"",IF(COUNTIFS(BD!$B$3:$B$5001,I$184,BD!$A$3:$A$5001,"&gt;="&amp;$C$7,BD!$A$3:$A$5001,"&lt;="&amp;$B203,BD!$L$3:$L$5001,"&lt;&gt;")=0,"",SUMIFS(BD!$L$3:$L$5001,BD!$B$3:$B$5001,I$184,BD!$A$3:$A$5001,_xlfn.MAXIFS(BD!$A$3:$A$5001,BD!$B$3:$B$5001,I$184,BD!$A$3:$A$5001,"&gt;="&amp;$C$7,BD!$A$3:$A$5001,"&lt;="&amp;$B203,BD!$L$3:$L$5001,"&lt;&gt;"))))</f>
        <v/>
      </c>
      <c r="J203" s="43" t="str">
        <f>IF(OR($B203="",$A203&gt;$B$9,J$184=""),"",IF(COUNTIFS(BD!$B$3:$B$5001,J$184,BD!$A$3:$A$5001,"&gt;="&amp;$C$7,BD!$A$3:$A$5001,"&lt;="&amp;$B203,BD!$L$3:$L$5001,"&lt;&gt;")=0,"",SUMIFS(BD!$L$3:$L$5001,BD!$B$3:$B$5001,J$184,BD!$A$3:$A$5001,_xlfn.MAXIFS(BD!$A$3:$A$5001,BD!$B$3:$B$5001,J$184,BD!$A$3:$A$5001,"&gt;="&amp;$C$7,BD!$A$3:$A$5001,"&lt;="&amp;$B203,BD!$L$3:$L$5001,"&lt;&gt;"))))</f>
        <v/>
      </c>
      <c r="K203" s="43" t="str">
        <f>IF(OR($B203="",$A203&gt;$B$9,K$184=""),"",IF(COUNTIFS(BD!$B$3:$B$5001,K$184,BD!$A$3:$A$5001,"&gt;="&amp;$C$7,BD!$A$3:$A$5001,"&lt;="&amp;$B203,BD!$L$3:$L$5001,"&lt;&gt;")=0,"",SUMIFS(BD!$L$3:$L$5001,BD!$B$3:$B$5001,K$184,BD!$A$3:$A$5001,_xlfn.MAXIFS(BD!$A$3:$A$5001,BD!$B$3:$B$5001,K$184,BD!$A$3:$A$5001,"&gt;="&amp;$C$7,BD!$A$3:$A$5001,"&lt;="&amp;$B203,BD!$L$3:$L$5001,"&lt;&gt;"))))</f>
        <v/>
      </c>
      <c r="L203" s="43" t="str">
        <f>IF(OR($B203="",$A203&gt;$B$9,L$184=""),"",IF(COUNTIFS(BD!$B$3:$B$5001,L$184,BD!$A$3:$A$5001,"&gt;="&amp;$C$7,BD!$A$3:$A$5001,"&lt;="&amp;$B203,BD!$L$3:$L$5001,"&lt;&gt;")=0,"",SUMIFS(BD!$L$3:$L$5001,BD!$B$3:$B$5001,L$184,BD!$A$3:$A$5001,_xlfn.MAXIFS(BD!$A$3:$A$5001,BD!$B$3:$B$5001,L$184,BD!$A$3:$A$5001,"&gt;="&amp;$C$7,BD!$A$3:$A$5001,"&lt;="&amp;$B203,BD!$L$3:$L$5001,"&lt;&gt;"))))</f>
        <v/>
      </c>
      <c r="M203" s="43" t="str">
        <f>IF(OR($B203="",$A203&gt;$B$9,M$184=""),"",IF(COUNTIFS(BD!$B$3:$B$5001,M$184,BD!$A$3:$A$5001,"&gt;="&amp;$C$7,BD!$A$3:$A$5001,"&lt;="&amp;$B203,BD!$L$3:$L$5001,"&lt;&gt;")=0,"",SUMIFS(BD!$L$3:$L$5001,BD!$B$3:$B$5001,M$184,BD!$A$3:$A$5001,_xlfn.MAXIFS(BD!$A$3:$A$5001,BD!$B$3:$B$5001,M$184,BD!$A$3:$A$5001,"&gt;="&amp;$C$7,BD!$A$3:$A$5001,"&lt;="&amp;$B203,BD!$L$3:$L$5001,"&lt;&gt;"))))</f>
        <v/>
      </c>
      <c r="N203" s="43" t="str">
        <f>IF(OR($B203="",$A203&gt;$B$9,N$184=""),"",IF(COUNTIFS(BD!$B$3:$B$5001,N$184,BD!$A$3:$A$5001,"&gt;="&amp;$C$7,BD!$A$3:$A$5001,"&lt;="&amp;$B203,BD!$L$3:$L$5001,"&lt;&gt;")=0,"",SUMIFS(BD!$L$3:$L$5001,BD!$B$3:$B$5001,N$184,BD!$A$3:$A$5001,_xlfn.MAXIFS(BD!$A$3:$A$5001,BD!$B$3:$B$5001,N$184,BD!$A$3:$A$5001,"&gt;="&amp;$C$7,BD!$A$3:$A$5001,"&lt;="&amp;$B203,BD!$L$3:$L$5001,"&lt;&gt;"))))</f>
        <v/>
      </c>
      <c r="O203" s="43" t="str">
        <f>IF(OR($B203="",$A203&gt;$B$9,O$184=""),"",IF(COUNTIFS(BD!$B$3:$B$5001,O$184,BD!$A$3:$A$5001,"&gt;="&amp;$C$7,BD!$A$3:$A$5001,"&lt;="&amp;$B203,BD!$L$3:$L$5001,"&lt;&gt;")=0,"",SUMIFS(BD!$L$3:$L$5001,BD!$B$3:$B$5001,O$184,BD!$A$3:$A$5001,_xlfn.MAXIFS(BD!$A$3:$A$5001,BD!$B$3:$B$5001,O$184,BD!$A$3:$A$5001,"&gt;="&amp;$C$7,BD!$A$3:$A$5001,"&lt;="&amp;$B203,BD!$L$3:$L$5001,"&lt;&gt;"))))</f>
        <v/>
      </c>
      <c r="P203" s="43" t="str">
        <f>IF(OR($B203="",$A203&gt;$B$9,P$184=""),"",IF(COUNTIFS(BD!$B$3:$B$5001,P$184,BD!$A$3:$A$5001,"&gt;="&amp;$C$7,BD!$A$3:$A$5001,"&lt;="&amp;$B203,BD!$L$3:$L$5001,"&lt;&gt;")=0,"",SUMIFS(BD!$L$3:$L$5001,BD!$B$3:$B$5001,P$184,BD!$A$3:$A$5001,_xlfn.MAXIFS(BD!$A$3:$A$5001,BD!$B$3:$B$5001,P$184,BD!$A$3:$A$5001,"&gt;="&amp;$C$7,BD!$A$3:$A$5001,"&lt;="&amp;$B203,BD!$L$3:$L$5001,"&lt;&gt;"))))</f>
        <v/>
      </c>
      <c r="Q203" s="43" t="str">
        <f>IF(OR($B203="",$A203&gt;$B$9,Q$184=""),"",IF(COUNTIFS(BD!$B$3:$B$5001,Q$184,BD!$A$3:$A$5001,"&gt;="&amp;$C$7,BD!$A$3:$A$5001,"&lt;="&amp;$B203,BD!$L$3:$L$5001,"&lt;&gt;")=0,"",SUMIFS(BD!$L$3:$L$5001,BD!$B$3:$B$5001,Q$184,BD!$A$3:$A$5001,_xlfn.MAXIFS(BD!$A$3:$A$5001,BD!$B$3:$B$5001,Q$184,BD!$A$3:$A$5001,"&gt;="&amp;$C$7,BD!$A$3:$A$5001,"&lt;="&amp;$B203,BD!$L$3:$L$5001,"&lt;&gt;"))))</f>
        <v/>
      </c>
      <c r="R203" s="43" t="str">
        <f>IF(OR($B203="",$A203&gt;$B$9,R$184=""),"",IF(COUNTIFS(BD!$B$3:$B$5001,R$184,BD!$A$3:$A$5001,"&gt;="&amp;$C$7,BD!$A$3:$A$5001,"&lt;="&amp;$B203,BD!$L$3:$L$5001,"&lt;&gt;")=0,"",SUMIFS(BD!$L$3:$L$5001,BD!$B$3:$B$5001,R$184,BD!$A$3:$A$5001,_xlfn.MAXIFS(BD!$A$3:$A$5001,BD!$B$3:$B$5001,R$184,BD!$A$3:$A$5001,"&gt;="&amp;$C$7,BD!$A$3:$A$5001,"&lt;="&amp;$B203,BD!$L$3:$L$5001,"&lt;&gt;"))))</f>
        <v/>
      </c>
      <c r="S203" s="43" t="str">
        <f>IF(OR($B203="",$A203&gt;$B$9,S$184=""),"",IF(COUNTIFS(BD!$B$3:$B$5001,S$184,BD!$A$3:$A$5001,"&gt;="&amp;$C$7,BD!$A$3:$A$5001,"&lt;="&amp;$B203,BD!$L$3:$L$5001,"&lt;&gt;")=0,"",SUMIFS(BD!$L$3:$L$5001,BD!$B$3:$B$5001,S$184,BD!$A$3:$A$5001,_xlfn.MAXIFS(BD!$A$3:$A$5001,BD!$B$3:$B$5001,S$184,BD!$A$3:$A$5001,"&gt;="&amp;$C$7,BD!$A$3:$A$5001,"&lt;="&amp;$B203,BD!$L$3:$L$5001,"&lt;&gt;"))))</f>
        <v/>
      </c>
      <c r="T203" s="43" t="str">
        <f>IF(OR($B203="",$A203&gt;$B$9,T$184=""),"",IF(COUNTIFS(BD!$B$3:$B$5001,T$184,BD!$A$3:$A$5001,"&gt;="&amp;$C$7,BD!$A$3:$A$5001,"&lt;="&amp;$B203,BD!$L$3:$L$5001,"&lt;&gt;")=0,"",SUMIFS(BD!$L$3:$L$5001,BD!$B$3:$B$5001,T$184,BD!$A$3:$A$5001,_xlfn.MAXIFS(BD!$A$3:$A$5001,BD!$B$3:$B$5001,T$184,BD!$A$3:$A$5001,"&gt;="&amp;$C$7,BD!$A$3:$A$5001,"&lt;="&amp;$B203,BD!$L$3:$L$5001,"&lt;&gt;"))))</f>
        <v/>
      </c>
      <c r="U203" s="43" t="str">
        <f>IF(OR($B203="",$A203&gt;$B$9,U$184=""),"",IF(COUNTIFS(BD!$B$3:$B$5001,U$184,BD!$A$3:$A$5001,"&gt;="&amp;$C$7,BD!$A$3:$A$5001,"&lt;="&amp;$B203,BD!$L$3:$L$5001,"&lt;&gt;")=0,"",SUMIFS(BD!$L$3:$L$5001,BD!$B$3:$B$5001,U$184,BD!$A$3:$A$5001,_xlfn.MAXIFS(BD!$A$3:$A$5001,BD!$B$3:$B$5001,U$184,BD!$A$3:$A$5001,"&gt;="&amp;$C$7,BD!$A$3:$A$5001,"&lt;="&amp;$B203,BD!$L$3:$L$5001,"&lt;&gt;"))))</f>
        <v/>
      </c>
      <c r="V203" s="43" t="str">
        <f>IF(OR($B203="",$A203&gt;$B$9,V$184=""),"",IF(COUNTIFS(BD!$B$3:$B$5001,V$184,BD!$A$3:$A$5001,"&gt;="&amp;$C$7,BD!$A$3:$A$5001,"&lt;="&amp;$B203,BD!$L$3:$L$5001,"&lt;&gt;")=0,"",SUMIFS(BD!$L$3:$L$5001,BD!$B$3:$B$5001,V$184,BD!$A$3:$A$5001,_xlfn.MAXIFS(BD!$A$3:$A$5001,BD!$B$3:$B$5001,V$184,BD!$A$3:$A$5001,"&gt;="&amp;$C$7,BD!$A$3:$A$5001,"&lt;="&amp;$B203,BD!$L$3:$L$5001,"&lt;&gt;"))))</f>
        <v/>
      </c>
    </row>
    <row r="204">
      <c r="A204" s="38">
        <v>20</v>
      </c>
      <c r="B204" s="42">
        <f>$B$31</f>
        <v>46315</v>
      </c>
      <c r="C204" s="43" t="str">
        <f>IF(OR($B204="",$A204&gt;$B$9,C$184=""),"",IF(COUNTIFS(BD!$B$3:$B$5001,C$184,BD!$A$3:$A$5001,"&gt;="&amp;$C$7,BD!$A$3:$A$5001,"&lt;="&amp;$B204,BD!$L$3:$L$5001,"&lt;&gt;")=0,"",SUMIFS(BD!$L$3:$L$5001,BD!$B$3:$B$5001,C$184,BD!$A$3:$A$5001,_xlfn.MAXIFS(BD!$A$3:$A$5001,BD!$B$3:$B$5001,C$184,BD!$A$3:$A$5001,"&gt;="&amp;$C$7,BD!$A$3:$A$5001,"&lt;="&amp;$B204,BD!$L$3:$L$5001,"&lt;&gt;"))))</f>
        <v/>
      </c>
      <c r="D204" s="43" t="str">
        <f>IF(OR($B204="",$A204&gt;$B$9,D$184=""),"",IF(COUNTIFS(BD!$B$3:$B$5001,D$184,BD!$A$3:$A$5001,"&gt;="&amp;$C$7,BD!$A$3:$A$5001,"&lt;="&amp;$B204,BD!$L$3:$L$5001,"&lt;&gt;")=0,"",SUMIFS(BD!$L$3:$L$5001,BD!$B$3:$B$5001,D$184,BD!$A$3:$A$5001,_xlfn.MAXIFS(BD!$A$3:$A$5001,BD!$B$3:$B$5001,D$184,BD!$A$3:$A$5001,"&gt;="&amp;$C$7,BD!$A$3:$A$5001,"&lt;="&amp;$B204,BD!$L$3:$L$5001,"&lt;&gt;"))))</f>
        <v/>
      </c>
      <c r="E204" s="43" t="str">
        <f>IF(OR($B204="",$A204&gt;$B$9,E$184=""),"",IF(COUNTIFS(BD!$B$3:$B$5001,E$184,BD!$A$3:$A$5001,"&gt;="&amp;$C$7,BD!$A$3:$A$5001,"&lt;="&amp;$B204,BD!$L$3:$L$5001,"&lt;&gt;")=0,"",SUMIFS(BD!$L$3:$L$5001,BD!$B$3:$B$5001,E$184,BD!$A$3:$A$5001,_xlfn.MAXIFS(BD!$A$3:$A$5001,BD!$B$3:$B$5001,E$184,BD!$A$3:$A$5001,"&gt;="&amp;$C$7,BD!$A$3:$A$5001,"&lt;="&amp;$B204,BD!$L$3:$L$5001,"&lt;&gt;"))))</f>
        <v/>
      </c>
      <c r="F204" s="43" t="str">
        <f>IF(OR($B204="",$A204&gt;$B$9,F$184=""),"",IF(COUNTIFS(BD!$B$3:$B$5001,F$184,BD!$A$3:$A$5001,"&gt;="&amp;$C$7,BD!$A$3:$A$5001,"&lt;="&amp;$B204,BD!$L$3:$L$5001,"&lt;&gt;")=0,"",SUMIFS(BD!$L$3:$L$5001,BD!$B$3:$B$5001,F$184,BD!$A$3:$A$5001,_xlfn.MAXIFS(BD!$A$3:$A$5001,BD!$B$3:$B$5001,F$184,BD!$A$3:$A$5001,"&gt;="&amp;$C$7,BD!$A$3:$A$5001,"&lt;="&amp;$B204,BD!$L$3:$L$5001,"&lt;&gt;"))))</f>
        <v/>
      </c>
      <c r="G204" s="43" t="str">
        <f>IF(OR($B204="",$A204&gt;$B$9,G$184=""),"",IF(COUNTIFS(BD!$B$3:$B$5001,G$184,BD!$A$3:$A$5001,"&gt;="&amp;$C$7,BD!$A$3:$A$5001,"&lt;="&amp;$B204,BD!$L$3:$L$5001,"&lt;&gt;")=0,"",SUMIFS(BD!$L$3:$L$5001,BD!$B$3:$B$5001,G$184,BD!$A$3:$A$5001,_xlfn.MAXIFS(BD!$A$3:$A$5001,BD!$B$3:$B$5001,G$184,BD!$A$3:$A$5001,"&gt;="&amp;$C$7,BD!$A$3:$A$5001,"&lt;="&amp;$B204,BD!$L$3:$L$5001,"&lt;&gt;"))))</f>
        <v/>
      </c>
      <c r="H204" s="43" t="str">
        <f>IF(OR($B204="",$A204&gt;$B$9,H$184=""),"",IF(COUNTIFS(BD!$B$3:$B$5001,H$184,BD!$A$3:$A$5001,"&gt;="&amp;$C$7,BD!$A$3:$A$5001,"&lt;="&amp;$B204,BD!$L$3:$L$5001,"&lt;&gt;")=0,"",SUMIFS(BD!$L$3:$L$5001,BD!$B$3:$B$5001,H$184,BD!$A$3:$A$5001,_xlfn.MAXIFS(BD!$A$3:$A$5001,BD!$B$3:$B$5001,H$184,BD!$A$3:$A$5001,"&gt;="&amp;$C$7,BD!$A$3:$A$5001,"&lt;="&amp;$B204,BD!$L$3:$L$5001,"&lt;&gt;"))))</f>
        <v/>
      </c>
      <c r="I204" s="43" t="str">
        <f>IF(OR($B204="",$A204&gt;$B$9,I$184=""),"",IF(COUNTIFS(BD!$B$3:$B$5001,I$184,BD!$A$3:$A$5001,"&gt;="&amp;$C$7,BD!$A$3:$A$5001,"&lt;="&amp;$B204,BD!$L$3:$L$5001,"&lt;&gt;")=0,"",SUMIFS(BD!$L$3:$L$5001,BD!$B$3:$B$5001,I$184,BD!$A$3:$A$5001,_xlfn.MAXIFS(BD!$A$3:$A$5001,BD!$B$3:$B$5001,I$184,BD!$A$3:$A$5001,"&gt;="&amp;$C$7,BD!$A$3:$A$5001,"&lt;="&amp;$B204,BD!$L$3:$L$5001,"&lt;&gt;"))))</f>
        <v/>
      </c>
      <c r="J204" s="43" t="str">
        <f>IF(OR($B204="",$A204&gt;$B$9,J$184=""),"",IF(COUNTIFS(BD!$B$3:$B$5001,J$184,BD!$A$3:$A$5001,"&gt;="&amp;$C$7,BD!$A$3:$A$5001,"&lt;="&amp;$B204,BD!$L$3:$L$5001,"&lt;&gt;")=0,"",SUMIFS(BD!$L$3:$L$5001,BD!$B$3:$B$5001,J$184,BD!$A$3:$A$5001,_xlfn.MAXIFS(BD!$A$3:$A$5001,BD!$B$3:$B$5001,J$184,BD!$A$3:$A$5001,"&gt;="&amp;$C$7,BD!$A$3:$A$5001,"&lt;="&amp;$B204,BD!$L$3:$L$5001,"&lt;&gt;"))))</f>
        <v/>
      </c>
      <c r="K204" s="43" t="str">
        <f>IF(OR($B204="",$A204&gt;$B$9,K$184=""),"",IF(COUNTIFS(BD!$B$3:$B$5001,K$184,BD!$A$3:$A$5001,"&gt;="&amp;$C$7,BD!$A$3:$A$5001,"&lt;="&amp;$B204,BD!$L$3:$L$5001,"&lt;&gt;")=0,"",SUMIFS(BD!$L$3:$L$5001,BD!$B$3:$B$5001,K$184,BD!$A$3:$A$5001,_xlfn.MAXIFS(BD!$A$3:$A$5001,BD!$B$3:$B$5001,K$184,BD!$A$3:$A$5001,"&gt;="&amp;$C$7,BD!$A$3:$A$5001,"&lt;="&amp;$B204,BD!$L$3:$L$5001,"&lt;&gt;"))))</f>
        <v/>
      </c>
      <c r="L204" s="43" t="str">
        <f>IF(OR($B204="",$A204&gt;$B$9,L$184=""),"",IF(COUNTIFS(BD!$B$3:$B$5001,L$184,BD!$A$3:$A$5001,"&gt;="&amp;$C$7,BD!$A$3:$A$5001,"&lt;="&amp;$B204,BD!$L$3:$L$5001,"&lt;&gt;")=0,"",SUMIFS(BD!$L$3:$L$5001,BD!$B$3:$B$5001,L$184,BD!$A$3:$A$5001,_xlfn.MAXIFS(BD!$A$3:$A$5001,BD!$B$3:$B$5001,L$184,BD!$A$3:$A$5001,"&gt;="&amp;$C$7,BD!$A$3:$A$5001,"&lt;="&amp;$B204,BD!$L$3:$L$5001,"&lt;&gt;"))))</f>
        <v/>
      </c>
      <c r="M204" s="43" t="str">
        <f>IF(OR($B204="",$A204&gt;$B$9,M$184=""),"",IF(COUNTIFS(BD!$B$3:$B$5001,M$184,BD!$A$3:$A$5001,"&gt;="&amp;$C$7,BD!$A$3:$A$5001,"&lt;="&amp;$B204,BD!$L$3:$L$5001,"&lt;&gt;")=0,"",SUMIFS(BD!$L$3:$L$5001,BD!$B$3:$B$5001,M$184,BD!$A$3:$A$5001,_xlfn.MAXIFS(BD!$A$3:$A$5001,BD!$B$3:$B$5001,M$184,BD!$A$3:$A$5001,"&gt;="&amp;$C$7,BD!$A$3:$A$5001,"&lt;="&amp;$B204,BD!$L$3:$L$5001,"&lt;&gt;"))))</f>
        <v/>
      </c>
      <c r="N204" s="43" t="str">
        <f>IF(OR($B204="",$A204&gt;$B$9,N$184=""),"",IF(COUNTIFS(BD!$B$3:$B$5001,N$184,BD!$A$3:$A$5001,"&gt;="&amp;$C$7,BD!$A$3:$A$5001,"&lt;="&amp;$B204,BD!$L$3:$L$5001,"&lt;&gt;")=0,"",SUMIFS(BD!$L$3:$L$5001,BD!$B$3:$B$5001,N$184,BD!$A$3:$A$5001,_xlfn.MAXIFS(BD!$A$3:$A$5001,BD!$B$3:$B$5001,N$184,BD!$A$3:$A$5001,"&gt;="&amp;$C$7,BD!$A$3:$A$5001,"&lt;="&amp;$B204,BD!$L$3:$L$5001,"&lt;&gt;"))))</f>
        <v/>
      </c>
      <c r="O204" s="43" t="str">
        <f>IF(OR($B204="",$A204&gt;$B$9,O$184=""),"",IF(COUNTIFS(BD!$B$3:$B$5001,O$184,BD!$A$3:$A$5001,"&gt;="&amp;$C$7,BD!$A$3:$A$5001,"&lt;="&amp;$B204,BD!$L$3:$L$5001,"&lt;&gt;")=0,"",SUMIFS(BD!$L$3:$L$5001,BD!$B$3:$B$5001,O$184,BD!$A$3:$A$5001,_xlfn.MAXIFS(BD!$A$3:$A$5001,BD!$B$3:$B$5001,O$184,BD!$A$3:$A$5001,"&gt;="&amp;$C$7,BD!$A$3:$A$5001,"&lt;="&amp;$B204,BD!$L$3:$L$5001,"&lt;&gt;"))))</f>
        <v/>
      </c>
      <c r="P204" s="43" t="str">
        <f>IF(OR($B204="",$A204&gt;$B$9,P$184=""),"",IF(COUNTIFS(BD!$B$3:$B$5001,P$184,BD!$A$3:$A$5001,"&gt;="&amp;$C$7,BD!$A$3:$A$5001,"&lt;="&amp;$B204,BD!$L$3:$L$5001,"&lt;&gt;")=0,"",SUMIFS(BD!$L$3:$L$5001,BD!$B$3:$B$5001,P$184,BD!$A$3:$A$5001,_xlfn.MAXIFS(BD!$A$3:$A$5001,BD!$B$3:$B$5001,P$184,BD!$A$3:$A$5001,"&gt;="&amp;$C$7,BD!$A$3:$A$5001,"&lt;="&amp;$B204,BD!$L$3:$L$5001,"&lt;&gt;"))))</f>
        <v/>
      </c>
      <c r="Q204" s="43" t="str">
        <f>IF(OR($B204="",$A204&gt;$B$9,Q$184=""),"",IF(COUNTIFS(BD!$B$3:$B$5001,Q$184,BD!$A$3:$A$5001,"&gt;="&amp;$C$7,BD!$A$3:$A$5001,"&lt;="&amp;$B204,BD!$L$3:$L$5001,"&lt;&gt;")=0,"",SUMIFS(BD!$L$3:$L$5001,BD!$B$3:$B$5001,Q$184,BD!$A$3:$A$5001,_xlfn.MAXIFS(BD!$A$3:$A$5001,BD!$B$3:$B$5001,Q$184,BD!$A$3:$A$5001,"&gt;="&amp;$C$7,BD!$A$3:$A$5001,"&lt;="&amp;$B204,BD!$L$3:$L$5001,"&lt;&gt;"))))</f>
        <v/>
      </c>
      <c r="R204" s="43" t="str">
        <f>IF(OR($B204="",$A204&gt;$B$9,R$184=""),"",IF(COUNTIFS(BD!$B$3:$B$5001,R$184,BD!$A$3:$A$5001,"&gt;="&amp;$C$7,BD!$A$3:$A$5001,"&lt;="&amp;$B204,BD!$L$3:$L$5001,"&lt;&gt;")=0,"",SUMIFS(BD!$L$3:$L$5001,BD!$B$3:$B$5001,R$184,BD!$A$3:$A$5001,_xlfn.MAXIFS(BD!$A$3:$A$5001,BD!$B$3:$B$5001,R$184,BD!$A$3:$A$5001,"&gt;="&amp;$C$7,BD!$A$3:$A$5001,"&lt;="&amp;$B204,BD!$L$3:$L$5001,"&lt;&gt;"))))</f>
        <v/>
      </c>
      <c r="S204" s="43" t="str">
        <f>IF(OR($B204="",$A204&gt;$B$9,S$184=""),"",IF(COUNTIFS(BD!$B$3:$B$5001,S$184,BD!$A$3:$A$5001,"&gt;="&amp;$C$7,BD!$A$3:$A$5001,"&lt;="&amp;$B204,BD!$L$3:$L$5001,"&lt;&gt;")=0,"",SUMIFS(BD!$L$3:$L$5001,BD!$B$3:$B$5001,S$184,BD!$A$3:$A$5001,_xlfn.MAXIFS(BD!$A$3:$A$5001,BD!$B$3:$B$5001,S$184,BD!$A$3:$A$5001,"&gt;="&amp;$C$7,BD!$A$3:$A$5001,"&lt;="&amp;$B204,BD!$L$3:$L$5001,"&lt;&gt;"))))</f>
        <v/>
      </c>
      <c r="T204" s="43" t="str">
        <f>IF(OR($B204="",$A204&gt;$B$9,T$184=""),"",IF(COUNTIFS(BD!$B$3:$B$5001,T$184,BD!$A$3:$A$5001,"&gt;="&amp;$C$7,BD!$A$3:$A$5001,"&lt;="&amp;$B204,BD!$L$3:$L$5001,"&lt;&gt;")=0,"",SUMIFS(BD!$L$3:$L$5001,BD!$B$3:$B$5001,T$184,BD!$A$3:$A$5001,_xlfn.MAXIFS(BD!$A$3:$A$5001,BD!$B$3:$B$5001,T$184,BD!$A$3:$A$5001,"&gt;="&amp;$C$7,BD!$A$3:$A$5001,"&lt;="&amp;$B204,BD!$L$3:$L$5001,"&lt;&gt;"))))</f>
        <v/>
      </c>
      <c r="U204" s="43" t="str">
        <f>IF(OR($B204="",$A204&gt;$B$9,U$184=""),"",IF(COUNTIFS(BD!$B$3:$B$5001,U$184,BD!$A$3:$A$5001,"&gt;="&amp;$C$7,BD!$A$3:$A$5001,"&lt;="&amp;$B204,BD!$L$3:$L$5001,"&lt;&gt;")=0,"",SUMIFS(BD!$L$3:$L$5001,BD!$B$3:$B$5001,U$184,BD!$A$3:$A$5001,_xlfn.MAXIFS(BD!$A$3:$A$5001,BD!$B$3:$B$5001,U$184,BD!$A$3:$A$5001,"&gt;="&amp;$C$7,BD!$A$3:$A$5001,"&lt;="&amp;$B204,BD!$L$3:$L$5001,"&lt;&gt;"))))</f>
        <v/>
      </c>
      <c r="V204" s="43" t="str">
        <f>IF(OR($B204="",$A204&gt;$B$9,V$184=""),"",IF(COUNTIFS(BD!$B$3:$B$5001,V$184,BD!$A$3:$A$5001,"&gt;="&amp;$C$7,BD!$A$3:$A$5001,"&lt;="&amp;$B204,BD!$L$3:$L$5001,"&lt;&gt;")=0,"",SUMIFS(BD!$L$3:$L$5001,BD!$B$3:$B$5001,V$184,BD!$A$3:$A$5001,_xlfn.MAXIFS(BD!$A$3:$A$5001,BD!$B$3:$B$5001,V$184,BD!$A$3:$A$5001,"&gt;="&amp;$C$7,BD!$A$3:$A$5001,"&lt;="&amp;$B204,BD!$L$3:$L$5001,"&lt;&gt;"))))</f>
        <v/>
      </c>
    </row>
    <row r="205">
      <c r="A205" s="38">
        <v>21</v>
      </c>
      <c r="B205" s="42">
        <f>$B$32</f>
        <v>46316</v>
      </c>
      <c r="C205" s="43" t="str">
        <f>IF(OR($B205="",$A205&gt;$B$9,C$184=""),"",IF(COUNTIFS(BD!$B$3:$B$5001,C$184,BD!$A$3:$A$5001,"&gt;="&amp;$C$7,BD!$A$3:$A$5001,"&lt;="&amp;$B205,BD!$L$3:$L$5001,"&lt;&gt;")=0,"",SUMIFS(BD!$L$3:$L$5001,BD!$B$3:$B$5001,C$184,BD!$A$3:$A$5001,_xlfn.MAXIFS(BD!$A$3:$A$5001,BD!$B$3:$B$5001,C$184,BD!$A$3:$A$5001,"&gt;="&amp;$C$7,BD!$A$3:$A$5001,"&lt;="&amp;$B205,BD!$L$3:$L$5001,"&lt;&gt;"))))</f>
        <v/>
      </c>
      <c r="D205" s="43" t="str">
        <f>IF(OR($B205="",$A205&gt;$B$9,D$184=""),"",IF(COUNTIFS(BD!$B$3:$B$5001,D$184,BD!$A$3:$A$5001,"&gt;="&amp;$C$7,BD!$A$3:$A$5001,"&lt;="&amp;$B205,BD!$L$3:$L$5001,"&lt;&gt;")=0,"",SUMIFS(BD!$L$3:$L$5001,BD!$B$3:$B$5001,D$184,BD!$A$3:$A$5001,_xlfn.MAXIFS(BD!$A$3:$A$5001,BD!$B$3:$B$5001,D$184,BD!$A$3:$A$5001,"&gt;="&amp;$C$7,BD!$A$3:$A$5001,"&lt;="&amp;$B205,BD!$L$3:$L$5001,"&lt;&gt;"))))</f>
        <v/>
      </c>
      <c r="E205" s="43" t="str">
        <f>IF(OR($B205="",$A205&gt;$B$9,E$184=""),"",IF(COUNTIFS(BD!$B$3:$B$5001,E$184,BD!$A$3:$A$5001,"&gt;="&amp;$C$7,BD!$A$3:$A$5001,"&lt;="&amp;$B205,BD!$L$3:$L$5001,"&lt;&gt;")=0,"",SUMIFS(BD!$L$3:$L$5001,BD!$B$3:$B$5001,E$184,BD!$A$3:$A$5001,_xlfn.MAXIFS(BD!$A$3:$A$5001,BD!$B$3:$B$5001,E$184,BD!$A$3:$A$5001,"&gt;="&amp;$C$7,BD!$A$3:$A$5001,"&lt;="&amp;$B205,BD!$L$3:$L$5001,"&lt;&gt;"))))</f>
        <v/>
      </c>
      <c r="F205" s="43" t="str">
        <f>IF(OR($B205="",$A205&gt;$B$9,F$184=""),"",IF(COUNTIFS(BD!$B$3:$B$5001,F$184,BD!$A$3:$A$5001,"&gt;="&amp;$C$7,BD!$A$3:$A$5001,"&lt;="&amp;$B205,BD!$L$3:$L$5001,"&lt;&gt;")=0,"",SUMIFS(BD!$L$3:$L$5001,BD!$B$3:$B$5001,F$184,BD!$A$3:$A$5001,_xlfn.MAXIFS(BD!$A$3:$A$5001,BD!$B$3:$B$5001,F$184,BD!$A$3:$A$5001,"&gt;="&amp;$C$7,BD!$A$3:$A$5001,"&lt;="&amp;$B205,BD!$L$3:$L$5001,"&lt;&gt;"))))</f>
        <v/>
      </c>
      <c r="G205" s="43" t="str">
        <f>IF(OR($B205="",$A205&gt;$B$9,G$184=""),"",IF(COUNTIFS(BD!$B$3:$B$5001,G$184,BD!$A$3:$A$5001,"&gt;="&amp;$C$7,BD!$A$3:$A$5001,"&lt;="&amp;$B205,BD!$L$3:$L$5001,"&lt;&gt;")=0,"",SUMIFS(BD!$L$3:$L$5001,BD!$B$3:$B$5001,G$184,BD!$A$3:$A$5001,_xlfn.MAXIFS(BD!$A$3:$A$5001,BD!$B$3:$B$5001,G$184,BD!$A$3:$A$5001,"&gt;="&amp;$C$7,BD!$A$3:$A$5001,"&lt;="&amp;$B205,BD!$L$3:$L$5001,"&lt;&gt;"))))</f>
        <v/>
      </c>
      <c r="H205" s="43" t="str">
        <f>IF(OR($B205="",$A205&gt;$B$9,H$184=""),"",IF(COUNTIFS(BD!$B$3:$B$5001,H$184,BD!$A$3:$A$5001,"&gt;="&amp;$C$7,BD!$A$3:$A$5001,"&lt;="&amp;$B205,BD!$L$3:$L$5001,"&lt;&gt;")=0,"",SUMIFS(BD!$L$3:$L$5001,BD!$B$3:$B$5001,H$184,BD!$A$3:$A$5001,_xlfn.MAXIFS(BD!$A$3:$A$5001,BD!$B$3:$B$5001,H$184,BD!$A$3:$A$5001,"&gt;="&amp;$C$7,BD!$A$3:$A$5001,"&lt;="&amp;$B205,BD!$L$3:$L$5001,"&lt;&gt;"))))</f>
        <v/>
      </c>
      <c r="I205" s="43" t="str">
        <f>IF(OR($B205="",$A205&gt;$B$9,I$184=""),"",IF(COUNTIFS(BD!$B$3:$B$5001,I$184,BD!$A$3:$A$5001,"&gt;="&amp;$C$7,BD!$A$3:$A$5001,"&lt;="&amp;$B205,BD!$L$3:$L$5001,"&lt;&gt;")=0,"",SUMIFS(BD!$L$3:$L$5001,BD!$B$3:$B$5001,I$184,BD!$A$3:$A$5001,_xlfn.MAXIFS(BD!$A$3:$A$5001,BD!$B$3:$B$5001,I$184,BD!$A$3:$A$5001,"&gt;="&amp;$C$7,BD!$A$3:$A$5001,"&lt;="&amp;$B205,BD!$L$3:$L$5001,"&lt;&gt;"))))</f>
        <v/>
      </c>
      <c r="J205" s="43" t="str">
        <f>IF(OR($B205="",$A205&gt;$B$9,J$184=""),"",IF(COUNTIFS(BD!$B$3:$B$5001,J$184,BD!$A$3:$A$5001,"&gt;="&amp;$C$7,BD!$A$3:$A$5001,"&lt;="&amp;$B205,BD!$L$3:$L$5001,"&lt;&gt;")=0,"",SUMIFS(BD!$L$3:$L$5001,BD!$B$3:$B$5001,J$184,BD!$A$3:$A$5001,_xlfn.MAXIFS(BD!$A$3:$A$5001,BD!$B$3:$B$5001,J$184,BD!$A$3:$A$5001,"&gt;="&amp;$C$7,BD!$A$3:$A$5001,"&lt;="&amp;$B205,BD!$L$3:$L$5001,"&lt;&gt;"))))</f>
        <v/>
      </c>
      <c r="K205" s="43" t="str">
        <f>IF(OR($B205="",$A205&gt;$B$9,K$184=""),"",IF(COUNTIFS(BD!$B$3:$B$5001,K$184,BD!$A$3:$A$5001,"&gt;="&amp;$C$7,BD!$A$3:$A$5001,"&lt;="&amp;$B205,BD!$L$3:$L$5001,"&lt;&gt;")=0,"",SUMIFS(BD!$L$3:$L$5001,BD!$B$3:$B$5001,K$184,BD!$A$3:$A$5001,_xlfn.MAXIFS(BD!$A$3:$A$5001,BD!$B$3:$B$5001,K$184,BD!$A$3:$A$5001,"&gt;="&amp;$C$7,BD!$A$3:$A$5001,"&lt;="&amp;$B205,BD!$L$3:$L$5001,"&lt;&gt;"))))</f>
        <v/>
      </c>
      <c r="L205" s="43" t="str">
        <f>IF(OR($B205="",$A205&gt;$B$9,L$184=""),"",IF(COUNTIFS(BD!$B$3:$B$5001,L$184,BD!$A$3:$A$5001,"&gt;="&amp;$C$7,BD!$A$3:$A$5001,"&lt;="&amp;$B205,BD!$L$3:$L$5001,"&lt;&gt;")=0,"",SUMIFS(BD!$L$3:$L$5001,BD!$B$3:$B$5001,L$184,BD!$A$3:$A$5001,_xlfn.MAXIFS(BD!$A$3:$A$5001,BD!$B$3:$B$5001,L$184,BD!$A$3:$A$5001,"&gt;="&amp;$C$7,BD!$A$3:$A$5001,"&lt;="&amp;$B205,BD!$L$3:$L$5001,"&lt;&gt;"))))</f>
        <v/>
      </c>
      <c r="M205" s="43" t="str">
        <f>IF(OR($B205="",$A205&gt;$B$9,M$184=""),"",IF(COUNTIFS(BD!$B$3:$B$5001,M$184,BD!$A$3:$A$5001,"&gt;="&amp;$C$7,BD!$A$3:$A$5001,"&lt;="&amp;$B205,BD!$L$3:$L$5001,"&lt;&gt;")=0,"",SUMIFS(BD!$L$3:$L$5001,BD!$B$3:$B$5001,M$184,BD!$A$3:$A$5001,_xlfn.MAXIFS(BD!$A$3:$A$5001,BD!$B$3:$B$5001,M$184,BD!$A$3:$A$5001,"&gt;="&amp;$C$7,BD!$A$3:$A$5001,"&lt;="&amp;$B205,BD!$L$3:$L$5001,"&lt;&gt;"))))</f>
        <v/>
      </c>
      <c r="N205" s="43" t="str">
        <f>IF(OR($B205="",$A205&gt;$B$9,N$184=""),"",IF(COUNTIFS(BD!$B$3:$B$5001,N$184,BD!$A$3:$A$5001,"&gt;="&amp;$C$7,BD!$A$3:$A$5001,"&lt;="&amp;$B205,BD!$L$3:$L$5001,"&lt;&gt;")=0,"",SUMIFS(BD!$L$3:$L$5001,BD!$B$3:$B$5001,N$184,BD!$A$3:$A$5001,_xlfn.MAXIFS(BD!$A$3:$A$5001,BD!$B$3:$B$5001,N$184,BD!$A$3:$A$5001,"&gt;="&amp;$C$7,BD!$A$3:$A$5001,"&lt;="&amp;$B205,BD!$L$3:$L$5001,"&lt;&gt;"))))</f>
        <v/>
      </c>
      <c r="O205" s="43" t="str">
        <f>IF(OR($B205="",$A205&gt;$B$9,O$184=""),"",IF(COUNTIFS(BD!$B$3:$B$5001,O$184,BD!$A$3:$A$5001,"&gt;="&amp;$C$7,BD!$A$3:$A$5001,"&lt;="&amp;$B205,BD!$L$3:$L$5001,"&lt;&gt;")=0,"",SUMIFS(BD!$L$3:$L$5001,BD!$B$3:$B$5001,O$184,BD!$A$3:$A$5001,_xlfn.MAXIFS(BD!$A$3:$A$5001,BD!$B$3:$B$5001,O$184,BD!$A$3:$A$5001,"&gt;="&amp;$C$7,BD!$A$3:$A$5001,"&lt;="&amp;$B205,BD!$L$3:$L$5001,"&lt;&gt;"))))</f>
        <v/>
      </c>
      <c r="P205" s="43" t="str">
        <f>IF(OR($B205="",$A205&gt;$B$9,P$184=""),"",IF(COUNTIFS(BD!$B$3:$B$5001,P$184,BD!$A$3:$A$5001,"&gt;="&amp;$C$7,BD!$A$3:$A$5001,"&lt;="&amp;$B205,BD!$L$3:$L$5001,"&lt;&gt;")=0,"",SUMIFS(BD!$L$3:$L$5001,BD!$B$3:$B$5001,P$184,BD!$A$3:$A$5001,_xlfn.MAXIFS(BD!$A$3:$A$5001,BD!$B$3:$B$5001,P$184,BD!$A$3:$A$5001,"&gt;="&amp;$C$7,BD!$A$3:$A$5001,"&lt;="&amp;$B205,BD!$L$3:$L$5001,"&lt;&gt;"))))</f>
        <v/>
      </c>
      <c r="Q205" s="43" t="str">
        <f>IF(OR($B205="",$A205&gt;$B$9,Q$184=""),"",IF(COUNTIFS(BD!$B$3:$B$5001,Q$184,BD!$A$3:$A$5001,"&gt;="&amp;$C$7,BD!$A$3:$A$5001,"&lt;="&amp;$B205,BD!$L$3:$L$5001,"&lt;&gt;")=0,"",SUMIFS(BD!$L$3:$L$5001,BD!$B$3:$B$5001,Q$184,BD!$A$3:$A$5001,_xlfn.MAXIFS(BD!$A$3:$A$5001,BD!$B$3:$B$5001,Q$184,BD!$A$3:$A$5001,"&gt;="&amp;$C$7,BD!$A$3:$A$5001,"&lt;="&amp;$B205,BD!$L$3:$L$5001,"&lt;&gt;"))))</f>
        <v/>
      </c>
      <c r="R205" s="43" t="str">
        <f>IF(OR($B205="",$A205&gt;$B$9,R$184=""),"",IF(COUNTIFS(BD!$B$3:$B$5001,R$184,BD!$A$3:$A$5001,"&gt;="&amp;$C$7,BD!$A$3:$A$5001,"&lt;="&amp;$B205,BD!$L$3:$L$5001,"&lt;&gt;")=0,"",SUMIFS(BD!$L$3:$L$5001,BD!$B$3:$B$5001,R$184,BD!$A$3:$A$5001,_xlfn.MAXIFS(BD!$A$3:$A$5001,BD!$B$3:$B$5001,R$184,BD!$A$3:$A$5001,"&gt;="&amp;$C$7,BD!$A$3:$A$5001,"&lt;="&amp;$B205,BD!$L$3:$L$5001,"&lt;&gt;"))))</f>
        <v/>
      </c>
      <c r="S205" s="43" t="str">
        <f>IF(OR($B205="",$A205&gt;$B$9,S$184=""),"",IF(COUNTIFS(BD!$B$3:$B$5001,S$184,BD!$A$3:$A$5001,"&gt;="&amp;$C$7,BD!$A$3:$A$5001,"&lt;="&amp;$B205,BD!$L$3:$L$5001,"&lt;&gt;")=0,"",SUMIFS(BD!$L$3:$L$5001,BD!$B$3:$B$5001,S$184,BD!$A$3:$A$5001,_xlfn.MAXIFS(BD!$A$3:$A$5001,BD!$B$3:$B$5001,S$184,BD!$A$3:$A$5001,"&gt;="&amp;$C$7,BD!$A$3:$A$5001,"&lt;="&amp;$B205,BD!$L$3:$L$5001,"&lt;&gt;"))))</f>
        <v/>
      </c>
      <c r="T205" s="43" t="str">
        <f>IF(OR($B205="",$A205&gt;$B$9,T$184=""),"",IF(COUNTIFS(BD!$B$3:$B$5001,T$184,BD!$A$3:$A$5001,"&gt;="&amp;$C$7,BD!$A$3:$A$5001,"&lt;="&amp;$B205,BD!$L$3:$L$5001,"&lt;&gt;")=0,"",SUMIFS(BD!$L$3:$L$5001,BD!$B$3:$B$5001,T$184,BD!$A$3:$A$5001,_xlfn.MAXIFS(BD!$A$3:$A$5001,BD!$B$3:$B$5001,T$184,BD!$A$3:$A$5001,"&gt;="&amp;$C$7,BD!$A$3:$A$5001,"&lt;="&amp;$B205,BD!$L$3:$L$5001,"&lt;&gt;"))))</f>
        <v/>
      </c>
      <c r="U205" s="43" t="str">
        <f>IF(OR($B205="",$A205&gt;$B$9,U$184=""),"",IF(COUNTIFS(BD!$B$3:$B$5001,U$184,BD!$A$3:$A$5001,"&gt;="&amp;$C$7,BD!$A$3:$A$5001,"&lt;="&amp;$B205,BD!$L$3:$L$5001,"&lt;&gt;")=0,"",SUMIFS(BD!$L$3:$L$5001,BD!$B$3:$B$5001,U$184,BD!$A$3:$A$5001,_xlfn.MAXIFS(BD!$A$3:$A$5001,BD!$B$3:$B$5001,U$184,BD!$A$3:$A$5001,"&gt;="&amp;$C$7,BD!$A$3:$A$5001,"&lt;="&amp;$B205,BD!$L$3:$L$5001,"&lt;&gt;"))))</f>
        <v/>
      </c>
      <c r="V205" s="43" t="str">
        <f>IF(OR($B205="",$A205&gt;$B$9,V$184=""),"",IF(COUNTIFS(BD!$B$3:$B$5001,V$184,BD!$A$3:$A$5001,"&gt;="&amp;$C$7,BD!$A$3:$A$5001,"&lt;="&amp;$B205,BD!$L$3:$L$5001,"&lt;&gt;")=0,"",SUMIFS(BD!$L$3:$L$5001,BD!$B$3:$B$5001,V$184,BD!$A$3:$A$5001,_xlfn.MAXIFS(BD!$A$3:$A$5001,BD!$B$3:$B$5001,V$184,BD!$A$3:$A$5001,"&gt;="&amp;$C$7,BD!$A$3:$A$5001,"&lt;="&amp;$B205,BD!$L$3:$L$5001,"&lt;&gt;"))))</f>
        <v/>
      </c>
    </row>
    <row r="206">
      <c r="A206" s="38">
        <v>22</v>
      </c>
      <c r="B206" s="42">
        <f>$B$33</f>
        <v>46317</v>
      </c>
      <c r="C206" s="43" t="str">
        <f>IF(OR($B206="",$A206&gt;$B$9,C$184=""),"",IF(COUNTIFS(BD!$B$3:$B$5001,C$184,BD!$A$3:$A$5001,"&gt;="&amp;$C$7,BD!$A$3:$A$5001,"&lt;="&amp;$B206,BD!$L$3:$L$5001,"&lt;&gt;")=0,"",SUMIFS(BD!$L$3:$L$5001,BD!$B$3:$B$5001,C$184,BD!$A$3:$A$5001,_xlfn.MAXIFS(BD!$A$3:$A$5001,BD!$B$3:$B$5001,C$184,BD!$A$3:$A$5001,"&gt;="&amp;$C$7,BD!$A$3:$A$5001,"&lt;="&amp;$B206,BD!$L$3:$L$5001,"&lt;&gt;"))))</f>
        <v/>
      </c>
      <c r="D206" s="43" t="str">
        <f>IF(OR($B206="",$A206&gt;$B$9,D$184=""),"",IF(COUNTIFS(BD!$B$3:$B$5001,D$184,BD!$A$3:$A$5001,"&gt;="&amp;$C$7,BD!$A$3:$A$5001,"&lt;="&amp;$B206,BD!$L$3:$L$5001,"&lt;&gt;")=0,"",SUMIFS(BD!$L$3:$L$5001,BD!$B$3:$B$5001,D$184,BD!$A$3:$A$5001,_xlfn.MAXIFS(BD!$A$3:$A$5001,BD!$B$3:$B$5001,D$184,BD!$A$3:$A$5001,"&gt;="&amp;$C$7,BD!$A$3:$A$5001,"&lt;="&amp;$B206,BD!$L$3:$L$5001,"&lt;&gt;"))))</f>
        <v/>
      </c>
      <c r="E206" s="43" t="str">
        <f>IF(OR($B206="",$A206&gt;$B$9,E$184=""),"",IF(COUNTIFS(BD!$B$3:$B$5001,E$184,BD!$A$3:$A$5001,"&gt;="&amp;$C$7,BD!$A$3:$A$5001,"&lt;="&amp;$B206,BD!$L$3:$L$5001,"&lt;&gt;")=0,"",SUMIFS(BD!$L$3:$L$5001,BD!$B$3:$B$5001,E$184,BD!$A$3:$A$5001,_xlfn.MAXIFS(BD!$A$3:$A$5001,BD!$B$3:$B$5001,E$184,BD!$A$3:$A$5001,"&gt;="&amp;$C$7,BD!$A$3:$A$5001,"&lt;="&amp;$B206,BD!$L$3:$L$5001,"&lt;&gt;"))))</f>
        <v/>
      </c>
      <c r="F206" s="43" t="str">
        <f>IF(OR($B206="",$A206&gt;$B$9,F$184=""),"",IF(COUNTIFS(BD!$B$3:$B$5001,F$184,BD!$A$3:$A$5001,"&gt;="&amp;$C$7,BD!$A$3:$A$5001,"&lt;="&amp;$B206,BD!$L$3:$L$5001,"&lt;&gt;")=0,"",SUMIFS(BD!$L$3:$L$5001,BD!$B$3:$B$5001,F$184,BD!$A$3:$A$5001,_xlfn.MAXIFS(BD!$A$3:$A$5001,BD!$B$3:$B$5001,F$184,BD!$A$3:$A$5001,"&gt;="&amp;$C$7,BD!$A$3:$A$5001,"&lt;="&amp;$B206,BD!$L$3:$L$5001,"&lt;&gt;"))))</f>
        <v/>
      </c>
      <c r="G206" s="43" t="str">
        <f>IF(OR($B206="",$A206&gt;$B$9,G$184=""),"",IF(COUNTIFS(BD!$B$3:$B$5001,G$184,BD!$A$3:$A$5001,"&gt;="&amp;$C$7,BD!$A$3:$A$5001,"&lt;="&amp;$B206,BD!$L$3:$L$5001,"&lt;&gt;")=0,"",SUMIFS(BD!$L$3:$L$5001,BD!$B$3:$B$5001,G$184,BD!$A$3:$A$5001,_xlfn.MAXIFS(BD!$A$3:$A$5001,BD!$B$3:$B$5001,G$184,BD!$A$3:$A$5001,"&gt;="&amp;$C$7,BD!$A$3:$A$5001,"&lt;="&amp;$B206,BD!$L$3:$L$5001,"&lt;&gt;"))))</f>
        <v/>
      </c>
      <c r="H206" s="43" t="str">
        <f>IF(OR($B206="",$A206&gt;$B$9,H$184=""),"",IF(COUNTIFS(BD!$B$3:$B$5001,H$184,BD!$A$3:$A$5001,"&gt;="&amp;$C$7,BD!$A$3:$A$5001,"&lt;="&amp;$B206,BD!$L$3:$L$5001,"&lt;&gt;")=0,"",SUMIFS(BD!$L$3:$L$5001,BD!$B$3:$B$5001,H$184,BD!$A$3:$A$5001,_xlfn.MAXIFS(BD!$A$3:$A$5001,BD!$B$3:$B$5001,H$184,BD!$A$3:$A$5001,"&gt;="&amp;$C$7,BD!$A$3:$A$5001,"&lt;="&amp;$B206,BD!$L$3:$L$5001,"&lt;&gt;"))))</f>
        <v/>
      </c>
      <c r="I206" s="43" t="str">
        <f>IF(OR($B206="",$A206&gt;$B$9,I$184=""),"",IF(COUNTIFS(BD!$B$3:$B$5001,I$184,BD!$A$3:$A$5001,"&gt;="&amp;$C$7,BD!$A$3:$A$5001,"&lt;="&amp;$B206,BD!$L$3:$L$5001,"&lt;&gt;")=0,"",SUMIFS(BD!$L$3:$L$5001,BD!$B$3:$B$5001,I$184,BD!$A$3:$A$5001,_xlfn.MAXIFS(BD!$A$3:$A$5001,BD!$B$3:$B$5001,I$184,BD!$A$3:$A$5001,"&gt;="&amp;$C$7,BD!$A$3:$A$5001,"&lt;="&amp;$B206,BD!$L$3:$L$5001,"&lt;&gt;"))))</f>
        <v/>
      </c>
      <c r="J206" s="43" t="str">
        <f>IF(OR($B206="",$A206&gt;$B$9,J$184=""),"",IF(COUNTIFS(BD!$B$3:$B$5001,J$184,BD!$A$3:$A$5001,"&gt;="&amp;$C$7,BD!$A$3:$A$5001,"&lt;="&amp;$B206,BD!$L$3:$L$5001,"&lt;&gt;")=0,"",SUMIFS(BD!$L$3:$L$5001,BD!$B$3:$B$5001,J$184,BD!$A$3:$A$5001,_xlfn.MAXIFS(BD!$A$3:$A$5001,BD!$B$3:$B$5001,J$184,BD!$A$3:$A$5001,"&gt;="&amp;$C$7,BD!$A$3:$A$5001,"&lt;="&amp;$B206,BD!$L$3:$L$5001,"&lt;&gt;"))))</f>
        <v/>
      </c>
      <c r="K206" s="43" t="str">
        <f>IF(OR($B206="",$A206&gt;$B$9,K$184=""),"",IF(COUNTIFS(BD!$B$3:$B$5001,K$184,BD!$A$3:$A$5001,"&gt;="&amp;$C$7,BD!$A$3:$A$5001,"&lt;="&amp;$B206,BD!$L$3:$L$5001,"&lt;&gt;")=0,"",SUMIFS(BD!$L$3:$L$5001,BD!$B$3:$B$5001,K$184,BD!$A$3:$A$5001,_xlfn.MAXIFS(BD!$A$3:$A$5001,BD!$B$3:$B$5001,K$184,BD!$A$3:$A$5001,"&gt;="&amp;$C$7,BD!$A$3:$A$5001,"&lt;="&amp;$B206,BD!$L$3:$L$5001,"&lt;&gt;"))))</f>
        <v/>
      </c>
      <c r="L206" s="43" t="str">
        <f>IF(OR($B206="",$A206&gt;$B$9,L$184=""),"",IF(COUNTIFS(BD!$B$3:$B$5001,L$184,BD!$A$3:$A$5001,"&gt;="&amp;$C$7,BD!$A$3:$A$5001,"&lt;="&amp;$B206,BD!$L$3:$L$5001,"&lt;&gt;")=0,"",SUMIFS(BD!$L$3:$L$5001,BD!$B$3:$B$5001,L$184,BD!$A$3:$A$5001,_xlfn.MAXIFS(BD!$A$3:$A$5001,BD!$B$3:$B$5001,L$184,BD!$A$3:$A$5001,"&gt;="&amp;$C$7,BD!$A$3:$A$5001,"&lt;="&amp;$B206,BD!$L$3:$L$5001,"&lt;&gt;"))))</f>
        <v/>
      </c>
      <c r="M206" s="43" t="str">
        <f>IF(OR($B206="",$A206&gt;$B$9,M$184=""),"",IF(COUNTIFS(BD!$B$3:$B$5001,M$184,BD!$A$3:$A$5001,"&gt;="&amp;$C$7,BD!$A$3:$A$5001,"&lt;="&amp;$B206,BD!$L$3:$L$5001,"&lt;&gt;")=0,"",SUMIFS(BD!$L$3:$L$5001,BD!$B$3:$B$5001,M$184,BD!$A$3:$A$5001,_xlfn.MAXIFS(BD!$A$3:$A$5001,BD!$B$3:$B$5001,M$184,BD!$A$3:$A$5001,"&gt;="&amp;$C$7,BD!$A$3:$A$5001,"&lt;="&amp;$B206,BD!$L$3:$L$5001,"&lt;&gt;"))))</f>
        <v/>
      </c>
      <c r="N206" s="43" t="str">
        <f>IF(OR($B206="",$A206&gt;$B$9,N$184=""),"",IF(COUNTIFS(BD!$B$3:$B$5001,N$184,BD!$A$3:$A$5001,"&gt;="&amp;$C$7,BD!$A$3:$A$5001,"&lt;="&amp;$B206,BD!$L$3:$L$5001,"&lt;&gt;")=0,"",SUMIFS(BD!$L$3:$L$5001,BD!$B$3:$B$5001,N$184,BD!$A$3:$A$5001,_xlfn.MAXIFS(BD!$A$3:$A$5001,BD!$B$3:$B$5001,N$184,BD!$A$3:$A$5001,"&gt;="&amp;$C$7,BD!$A$3:$A$5001,"&lt;="&amp;$B206,BD!$L$3:$L$5001,"&lt;&gt;"))))</f>
        <v/>
      </c>
      <c r="O206" s="43" t="str">
        <f>IF(OR($B206="",$A206&gt;$B$9,O$184=""),"",IF(COUNTIFS(BD!$B$3:$B$5001,O$184,BD!$A$3:$A$5001,"&gt;="&amp;$C$7,BD!$A$3:$A$5001,"&lt;="&amp;$B206,BD!$L$3:$L$5001,"&lt;&gt;")=0,"",SUMIFS(BD!$L$3:$L$5001,BD!$B$3:$B$5001,O$184,BD!$A$3:$A$5001,_xlfn.MAXIFS(BD!$A$3:$A$5001,BD!$B$3:$B$5001,O$184,BD!$A$3:$A$5001,"&gt;="&amp;$C$7,BD!$A$3:$A$5001,"&lt;="&amp;$B206,BD!$L$3:$L$5001,"&lt;&gt;"))))</f>
        <v/>
      </c>
      <c r="P206" s="43" t="str">
        <f>IF(OR($B206="",$A206&gt;$B$9,P$184=""),"",IF(COUNTIFS(BD!$B$3:$B$5001,P$184,BD!$A$3:$A$5001,"&gt;="&amp;$C$7,BD!$A$3:$A$5001,"&lt;="&amp;$B206,BD!$L$3:$L$5001,"&lt;&gt;")=0,"",SUMIFS(BD!$L$3:$L$5001,BD!$B$3:$B$5001,P$184,BD!$A$3:$A$5001,_xlfn.MAXIFS(BD!$A$3:$A$5001,BD!$B$3:$B$5001,P$184,BD!$A$3:$A$5001,"&gt;="&amp;$C$7,BD!$A$3:$A$5001,"&lt;="&amp;$B206,BD!$L$3:$L$5001,"&lt;&gt;"))))</f>
        <v/>
      </c>
      <c r="Q206" s="43" t="str">
        <f>IF(OR($B206="",$A206&gt;$B$9,Q$184=""),"",IF(COUNTIFS(BD!$B$3:$B$5001,Q$184,BD!$A$3:$A$5001,"&gt;="&amp;$C$7,BD!$A$3:$A$5001,"&lt;="&amp;$B206,BD!$L$3:$L$5001,"&lt;&gt;")=0,"",SUMIFS(BD!$L$3:$L$5001,BD!$B$3:$B$5001,Q$184,BD!$A$3:$A$5001,_xlfn.MAXIFS(BD!$A$3:$A$5001,BD!$B$3:$B$5001,Q$184,BD!$A$3:$A$5001,"&gt;="&amp;$C$7,BD!$A$3:$A$5001,"&lt;="&amp;$B206,BD!$L$3:$L$5001,"&lt;&gt;"))))</f>
        <v/>
      </c>
      <c r="R206" s="43" t="str">
        <f>IF(OR($B206="",$A206&gt;$B$9,R$184=""),"",IF(COUNTIFS(BD!$B$3:$B$5001,R$184,BD!$A$3:$A$5001,"&gt;="&amp;$C$7,BD!$A$3:$A$5001,"&lt;="&amp;$B206,BD!$L$3:$L$5001,"&lt;&gt;")=0,"",SUMIFS(BD!$L$3:$L$5001,BD!$B$3:$B$5001,R$184,BD!$A$3:$A$5001,_xlfn.MAXIFS(BD!$A$3:$A$5001,BD!$B$3:$B$5001,R$184,BD!$A$3:$A$5001,"&gt;="&amp;$C$7,BD!$A$3:$A$5001,"&lt;="&amp;$B206,BD!$L$3:$L$5001,"&lt;&gt;"))))</f>
        <v/>
      </c>
      <c r="S206" s="43" t="str">
        <f>IF(OR($B206="",$A206&gt;$B$9,S$184=""),"",IF(COUNTIFS(BD!$B$3:$B$5001,S$184,BD!$A$3:$A$5001,"&gt;="&amp;$C$7,BD!$A$3:$A$5001,"&lt;="&amp;$B206,BD!$L$3:$L$5001,"&lt;&gt;")=0,"",SUMIFS(BD!$L$3:$L$5001,BD!$B$3:$B$5001,S$184,BD!$A$3:$A$5001,_xlfn.MAXIFS(BD!$A$3:$A$5001,BD!$B$3:$B$5001,S$184,BD!$A$3:$A$5001,"&gt;="&amp;$C$7,BD!$A$3:$A$5001,"&lt;="&amp;$B206,BD!$L$3:$L$5001,"&lt;&gt;"))))</f>
        <v/>
      </c>
      <c r="T206" s="43" t="str">
        <f>IF(OR($B206="",$A206&gt;$B$9,T$184=""),"",IF(COUNTIFS(BD!$B$3:$B$5001,T$184,BD!$A$3:$A$5001,"&gt;="&amp;$C$7,BD!$A$3:$A$5001,"&lt;="&amp;$B206,BD!$L$3:$L$5001,"&lt;&gt;")=0,"",SUMIFS(BD!$L$3:$L$5001,BD!$B$3:$B$5001,T$184,BD!$A$3:$A$5001,_xlfn.MAXIFS(BD!$A$3:$A$5001,BD!$B$3:$B$5001,T$184,BD!$A$3:$A$5001,"&gt;="&amp;$C$7,BD!$A$3:$A$5001,"&lt;="&amp;$B206,BD!$L$3:$L$5001,"&lt;&gt;"))))</f>
        <v/>
      </c>
      <c r="U206" s="43" t="str">
        <f>IF(OR($B206="",$A206&gt;$B$9,U$184=""),"",IF(COUNTIFS(BD!$B$3:$B$5001,U$184,BD!$A$3:$A$5001,"&gt;="&amp;$C$7,BD!$A$3:$A$5001,"&lt;="&amp;$B206,BD!$L$3:$L$5001,"&lt;&gt;")=0,"",SUMIFS(BD!$L$3:$L$5001,BD!$B$3:$B$5001,U$184,BD!$A$3:$A$5001,_xlfn.MAXIFS(BD!$A$3:$A$5001,BD!$B$3:$B$5001,U$184,BD!$A$3:$A$5001,"&gt;="&amp;$C$7,BD!$A$3:$A$5001,"&lt;="&amp;$B206,BD!$L$3:$L$5001,"&lt;&gt;"))))</f>
        <v/>
      </c>
      <c r="V206" s="43" t="str">
        <f>IF(OR($B206="",$A206&gt;$B$9,V$184=""),"",IF(COUNTIFS(BD!$B$3:$B$5001,V$184,BD!$A$3:$A$5001,"&gt;="&amp;$C$7,BD!$A$3:$A$5001,"&lt;="&amp;$B206,BD!$L$3:$L$5001,"&lt;&gt;")=0,"",SUMIFS(BD!$L$3:$L$5001,BD!$B$3:$B$5001,V$184,BD!$A$3:$A$5001,_xlfn.MAXIFS(BD!$A$3:$A$5001,BD!$B$3:$B$5001,V$184,BD!$A$3:$A$5001,"&gt;="&amp;$C$7,BD!$A$3:$A$5001,"&lt;="&amp;$B206,BD!$L$3:$L$5001,"&lt;&gt;"))))</f>
        <v/>
      </c>
    </row>
    <row r="207">
      <c r="A207" s="38">
        <v>23</v>
      </c>
      <c r="B207" s="42">
        <f>$B$34</f>
        <v>46318</v>
      </c>
      <c r="C207" s="43" t="str">
        <f>IF(OR($B207="",$A207&gt;$B$9,C$184=""),"",IF(COUNTIFS(BD!$B$3:$B$5001,C$184,BD!$A$3:$A$5001,"&gt;="&amp;$C$7,BD!$A$3:$A$5001,"&lt;="&amp;$B207,BD!$L$3:$L$5001,"&lt;&gt;")=0,"",SUMIFS(BD!$L$3:$L$5001,BD!$B$3:$B$5001,C$184,BD!$A$3:$A$5001,_xlfn.MAXIFS(BD!$A$3:$A$5001,BD!$B$3:$B$5001,C$184,BD!$A$3:$A$5001,"&gt;="&amp;$C$7,BD!$A$3:$A$5001,"&lt;="&amp;$B207,BD!$L$3:$L$5001,"&lt;&gt;"))))</f>
        <v/>
      </c>
      <c r="D207" s="43" t="str">
        <f>IF(OR($B207="",$A207&gt;$B$9,D$184=""),"",IF(COUNTIFS(BD!$B$3:$B$5001,D$184,BD!$A$3:$A$5001,"&gt;="&amp;$C$7,BD!$A$3:$A$5001,"&lt;="&amp;$B207,BD!$L$3:$L$5001,"&lt;&gt;")=0,"",SUMIFS(BD!$L$3:$L$5001,BD!$B$3:$B$5001,D$184,BD!$A$3:$A$5001,_xlfn.MAXIFS(BD!$A$3:$A$5001,BD!$B$3:$B$5001,D$184,BD!$A$3:$A$5001,"&gt;="&amp;$C$7,BD!$A$3:$A$5001,"&lt;="&amp;$B207,BD!$L$3:$L$5001,"&lt;&gt;"))))</f>
        <v/>
      </c>
      <c r="E207" s="43" t="str">
        <f>IF(OR($B207="",$A207&gt;$B$9,E$184=""),"",IF(COUNTIFS(BD!$B$3:$B$5001,E$184,BD!$A$3:$A$5001,"&gt;="&amp;$C$7,BD!$A$3:$A$5001,"&lt;="&amp;$B207,BD!$L$3:$L$5001,"&lt;&gt;")=0,"",SUMIFS(BD!$L$3:$L$5001,BD!$B$3:$B$5001,E$184,BD!$A$3:$A$5001,_xlfn.MAXIFS(BD!$A$3:$A$5001,BD!$B$3:$B$5001,E$184,BD!$A$3:$A$5001,"&gt;="&amp;$C$7,BD!$A$3:$A$5001,"&lt;="&amp;$B207,BD!$L$3:$L$5001,"&lt;&gt;"))))</f>
        <v/>
      </c>
      <c r="F207" s="43" t="str">
        <f>IF(OR($B207="",$A207&gt;$B$9,F$184=""),"",IF(COUNTIFS(BD!$B$3:$B$5001,F$184,BD!$A$3:$A$5001,"&gt;="&amp;$C$7,BD!$A$3:$A$5001,"&lt;="&amp;$B207,BD!$L$3:$L$5001,"&lt;&gt;")=0,"",SUMIFS(BD!$L$3:$L$5001,BD!$B$3:$B$5001,F$184,BD!$A$3:$A$5001,_xlfn.MAXIFS(BD!$A$3:$A$5001,BD!$B$3:$B$5001,F$184,BD!$A$3:$A$5001,"&gt;="&amp;$C$7,BD!$A$3:$A$5001,"&lt;="&amp;$B207,BD!$L$3:$L$5001,"&lt;&gt;"))))</f>
        <v/>
      </c>
      <c r="G207" s="43" t="str">
        <f>IF(OR($B207="",$A207&gt;$B$9,G$184=""),"",IF(COUNTIFS(BD!$B$3:$B$5001,G$184,BD!$A$3:$A$5001,"&gt;="&amp;$C$7,BD!$A$3:$A$5001,"&lt;="&amp;$B207,BD!$L$3:$L$5001,"&lt;&gt;")=0,"",SUMIFS(BD!$L$3:$L$5001,BD!$B$3:$B$5001,G$184,BD!$A$3:$A$5001,_xlfn.MAXIFS(BD!$A$3:$A$5001,BD!$B$3:$B$5001,G$184,BD!$A$3:$A$5001,"&gt;="&amp;$C$7,BD!$A$3:$A$5001,"&lt;="&amp;$B207,BD!$L$3:$L$5001,"&lt;&gt;"))))</f>
        <v/>
      </c>
      <c r="H207" s="43" t="str">
        <f>IF(OR($B207="",$A207&gt;$B$9,H$184=""),"",IF(COUNTIFS(BD!$B$3:$B$5001,H$184,BD!$A$3:$A$5001,"&gt;="&amp;$C$7,BD!$A$3:$A$5001,"&lt;="&amp;$B207,BD!$L$3:$L$5001,"&lt;&gt;")=0,"",SUMIFS(BD!$L$3:$L$5001,BD!$B$3:$B$5001,H$184,BD!$A$3:$A$5001,_xlfn.MAXIFS(BD!$A$3:$A$5001,BD!$B$3:$B$5001,H$184,BD!$A$3:$A$5001,"&gt;="&amp;$C$7,BD!$A$3:$A$5001,"&lt;="&amp;$B207,BD!$L$3:$L$5001,"&lt;&gt;"))))</f>
        <v/>
      </c>
      <c r="I207" s="43" t="str">
        <f>IF(OR($B207="",$A207&gt;$B$9,I$184=""),"",IF(COUNTIFS(BD!$B$3:$B$5001,I$184,BD!$A$3:$A$5001,"&gt;="&amp;$C$7,BD!$A$3:$A$5001,"&lt;="&amp;$B207,BD!$L$3:$L$5001,"&lt;&gt;")=0,"",SUMIFS(BD!$L$3:$L$5001,BD!$B$3:$B$5001,I$184,BD!$A$3:$A$5001,_xlfn.MAXIFS(BD!$A$3:$A$5001,BD!$B$3:$B$5001,I$184,BD!$A$3:$A$5001,"&gt;="&amp;$C$7,BD!$A$3:$A$5001,"&lt;="&amp;$B207,BD!$L$3:$L$5001,"&lt;&gt;"))))</f>
        <v/>
      </c>
      <c r="J207" s="43" t="str">
        <f>IF(OR($B207="",$A207&gt;$B$9,J$184=""),"",IF(COUNTIFS(BD!$B$3:$B$5001,J$184,BD!$A$3:$A$5001,"&gt;="&amp;$C$7,BD!$A$3:$A$5001,"&lt;="&amp;$B207,BD!$L$3:$L$5001,"&lt;&gt;")=0,"",SUMIFS(BD!$L$3:$L$5001,BD!$B$3:$B$5001,J$184,BD!$A$3:$A$5001,_xlfn.MAXIFS(BD!$A$3:$A$5001,BD!$B$3:$B$5001,J$184,BD!$A$3:$A$5001,"&gt;="&amp;$C$7,BD!$A$3:$A$5001,"&lt;="&amp;$B207,BD!$L$3:$L$5001,"&lt;&gt;"))))</f>
        <v/>
      </c>
      <c r="K207" s="43" t="str">
        <f>IF(OR($B207="",$A207&gt;$B$9,K$184=""),"",IF(COUNTIFS(BD!$B$3:$B$5001,K$184,BD!$A$3:$A$5001,"&gt;="&amp;$C$7,BD!$A$3:$A$5001,"&lt;="&amp;$B207,BD!$L$3:$L$5001,"&lt;&gt;")=0,"",SUMIFS(BD!$L$3:$L$5001,BD!$B$3:$B$5001,K$184,BD!$A$3:$A$5001,_xlfn.MAXIFS(BD!$A$3:$A$5001,BD!$B$3:$B$5001,K$184,BD!$A$3:$A$5001,"&gt;="&amp;$C$7,BD!$A$3:$A$5001,"&lt;="&amp;$B207,BD!$L$3:$L$5001,"&lt;&gt;"))))</f>
        <v/>
      </c>
      <c r="L207" s="43" t="str">
        <f>IF(OR($B207="",$A207&gt;$B$9,L$184=""),"",IF(COUNTIFS(BD!$B$3:$B$5001,L$184,BD!$A$3:$A$5001,"&gt;="&amp;$C$7,BD!$A$3:$A$5001,"&lt;="&amp;$B207,BD!$L$3:$L$5001,"&lt;&gt;")=0,"",SUMIFS(BD!$L$3:$L$5001,BD!$B$3:$B$5001,L$184,BD!$A$3:$A$5001,_xlfn.MAXIFS(BD!$A$3:$A$5001,BD!$B$3:$B$5001,L$184,BD!$A$3:$A$5001,"&gt;="&amp;$C$7,BD!$A$3:$A$5001,"&lt;="&amp;$B207,BD!$L$3:$L$5001,"&lt;&gt;"))))</f>
        <v/>
      </c>
      <c r="M207" s="43" t="str">
        <f>IF(OR($B207="",$A207&gt;$B$9,M$184=""),"",IF(COUNTIFS(BD!$B$3:$B$5001,M$184,BD!$A$3:$A$5001,"&gt;="&amp;$C$7,BD!$A$3:$A$5001,"&lt;="&amp;$B207,BD!$L$3:$L$5001,"&lt;&gt;")=0,"",SUMIFS(BD!$L$3:$L$5001,BD!$B$3:$B$5001,M$184,BD!$A$3:$A$5001,_xlfn.MAXIFS(BD!$A$3:$A$5001,BD!$B$3:$B$5001,M$184,BD!$A$3:$A$5001,"&gt;="&amp;$C$7,BD!$A$3:$A$5001,"&lt;="&amp;$B207,BD!$L$3:$L$5001,"&lt;&gt;"))))</f>
        <v/>
      </c>
      <c r="N207" s="43" t="str">
        <f>IF(OR($B207="",$A207&gt;$B$9,N$184=""),"",IF(COUNTIFS(BD!$B$3:$B$5001,N$184,BD!$A$3:$A$5001,"&gt;="&amp;$C$7,BD!$A$3:$A$5001,"&lt;="&amp;$B207,BD!$L$3:$L$5001,"&lt;&gt;")=0,"",SUMIFS(BD!$L$3:$L$5001,BD!$B$3:$B$5001,N$184,BD!$A$3:$A$5001,_xlfn.MAXIFS(BD!$A$3:$A$5001,BD!$B$3:$B$5001,N$184,BD!$A$3:$A$5001,"&gt;="&amp;$C$7,BD!$A$3:$A$5001,"&lt;="&amp;$B207,BD!$L$3:$L$5001,"&lt;&gt;"))))</f>
        <v/>
      </c>
      <c r="O207" s="43" t="str">
        <f>IF(OR($B207="",$A207&gt;$B$9,O$184=""),"",IF(COUNTIFS(BD!$B$3:$B$5001,O$184,BD!$A$3:$A$5001,"&gt;="&amp;$C$7,BD!$A$3:$A$5001,"&lt;="&amp;$B207,BD!$L$3:$L$5001,"&lt;&gt;")=0,"",SUMIFS(BD!$L$3:$L$5001,BD!$B$3:$B$5001,O$184,BD!$A$3:$A$5001,_xlfn.MAXIFS(BD!$A$3:$A$5001,BD!$B$3:$B$5001,O$184,BD!$A$3:$A$5001,"&gt;="&amp;$C$7,BD!$A$3:$A$5001,"&lt;="&amp;$B207,BD!$L$3:$L$5001,"&lt;&gt;"))))</f>
        <v/>
      </c>
      <c r="P207" s="43" t="str">
        <f>IF(OR($B207="",$A207&gt;$B$9,P$184=""),"",IF(COUNTIFS(BD!$B$3:$B$5001,P$184,BD!$A$3:$A$5001,"&gt;="&amp;$C$7,BD!$A$3:$A$5001,"&lt;="&amp;$B207,BD!$L$3:$L$5001,"&lt;&gt;")=0,"",SUMIFS(BD!$L$3:$L$5001,BD!$B$3:$B$5001,P$184,BD!$A$3:$A$5001,_xlfn.MAXIFS(BD!$A$3:$A$5001,BD!$B$3:$B$5001,P$184,BD!$A$3:$A$5001,"&gt;="&amp;$C$7,BD!$A$3:$A$5001,"&lt;="&amp;$B207,BD!$L$3:$L$5001,"&lt;&gt;"))))</f>
        <v/>
      </c>
      <c r="Q207" s="43" t="str">
        <f>IF(OR($B207="",$A207&gt;$B$9,Q$184=""),"",IF(COUNTIFS(BD!$B$3:$B$5001,Q$184,BD!$A$3:$A$5001,"&gt;="&amp;$C$7,BD!$A$3:$A$5001,"&lt;="&amp;$B207,BD!$L$3:$L$5001,"&lt;&gt;")=0,"",SUMIFS(BD!$L$3:$L$5001,BD!$B$3:$B$5001,Q$184,BD!$A$3:$A$5001,_xlfn.MAXIFS(BD!$A$3:$A$5001,BD!$B$3:$B$5001,Q$184,BD!$A$3:$A$5001,"&gt;="&amp;$C$7,BD!$A$3:$A$5001,"&lt;="&amp;$B207,BD!$L$3:$L$5001,"&lt;&gt;"))))</f>
        <v/>
      </c>
      <c r="R207" s="43" t="str">
        <f>IF(OR($B207="",$A207&gt;$B$9,R$184=""),"",IF(COUNTIFS(BD!$B$3:$B$5001,R$184,BD!$A$3:$A$5001,"&gt;="&amp;$C$7,BD!$A$3:$A$5001,"&lt;="&amp;$B207,BD!$L$3:$L$5001,"&lt;&gt;")=0,"",SUMIFS(BD!$L$3:$L$5001,BD!$B$3:$B$5001,R$184,BD!$A$3:$A$5001,_xlfn.MAXIFS(BD!$A$3:$A$5001,BD!$B$3:$B$5001,R$184,BD!$A$3:$A$5001,"&gt;="&amp;$C$7,BD!$A$3:$A$5001,"&lt;="&amp;$B207,BD!$L$3:$L$5001,"&lt;&gt;"))))</f>
        <v/>
      </c>
      <c r="S207" s="43" t="str">
        <f>IF(OR($B207="",$A207&gt;$B$9,S$184=""),"",IF(COUNTIFS(BD!$B$3:$B$5001,S$184,BD!$A$3:$A$5001,"&gt;="&amp;$C$7,BD!$A$3:$A$5001,"&lt;="&amp;$B207,BD!$L$3:$L$5001,"&lt;&gt;")=0,"",SUMIFS(BD!$L$3:$L$5001,BD!$B$3:$B$5001,S$184,BD!$A$3:$A$5001,_xlfn.MAXIFS(BD!$A$3:$A$5001,BD!$B$3:$B$5001,S$184,BD!$A$3:$A$5001,"&gt;="&amp;$C$7,BD!$A$3:$A$5001,"&lt;="&amp;$B207,BD!$L$3:$L$5001,"&lt;&gt;"))))</f>
        <v/>
      </c>
      <c r="T207" s="43" t="str">
        <f>IF(OR($B207="",$A207&gt;$B$9,T$184=""),"",IF(COUNTIFS(BD!$B$3:$B$5001,T$184,BD!$A$3:$A$5001,"&gt;="&amp;$C$7,BD!$A$3:$A$5001,"&lt;="&amp;$B207,BD!$L$3:$L$5001,"&lt;&gt;")=0,"",SUMIFS(BD!$L$3:$L$5001,BD!$B$3:$B$5001,T$184,BD!$A$3:$A$5001,_xlfn.MAXIFS(BD!$A$3:$A$5001,BD!$B$3:$B$5001,T$184,BD!$A$3:$A$5001,"&gt;="&amp;$C$7,BD!$A$3:$A$5001,"&lt;="&amp;$B207,BD!$L$3:$L$5001,"&lt;&gt;"))))</f>
        <v/>
      </c>
      <c r="U207" s="43" t="str">
        <f>IF(OR($B207="",$A207&gt;$B$9,U$184=""),"",IF(COUNTIFS(BD!$B$3:$B$5001,U$184,BD!$A$3:$A$5001,"&gt;="&amp;$C$7,BD!$A$3:$A$5001,"&lt;="&amp;$B207,BD!$L$3:$L$5001,"&lt;&gt;")=0,"",SUMIFS(BD!$L$3:$L$5001,BD!$B$3:$B$5001,U$184,BD!$A$3:$A$5001,_xlfn.MAXIFS(BD!$A$3:$A$5001,BD!$B$3:$B$5001,U$184,BD!$A$3:$A$5001,"&gt;="&amp;$C$7,BD!$A$3:$A$5001,"&lt;="&amp;$B207,BD!$L$3:$L$5001,"&lt;&gt;"))))</f>
        <v/>
      </c>
      <c r="V207" s="43" t="str">
        <f>IF(OR($B207="",$A207&gt;$B$9,V$184=""),"",IF(COUNTIFS(BD!$B$3:$B$5001,V$184,BD!$A$3:$A$5001,"&gt;="&amp;$C$7,BD!$A$3:$A$5001,"&lt;="&amp;$B207,BD!$L$3:$L$5001,"&lt;&gt;")=0,"",SUMIFS(BD!$L$3:$L$5001,BD!$B$3:$B$5001,V$184,BD!$A$3:$A$5001,_xlfn.MAXIFS(BD!$A$3:$A$5001,BD!$B$3:$B$5001,V$184,BD!$A$3:$A$5001,"&gt;="&amp;$C$7,BD!$A$3:$A$5001,"&lt;="&amp;$B207,BD!$L$3:$L$5001,"&lt;&gt;"))))</f>
        <v/>
      </c>
    </row>
    <row r="208">
      <c r="A208" s="38">
        <v>24</v>
      </c>
      <c r="B208" s="42">
        <f>$B$35</f>
        <v>46319</v>
      </c>
      <c r="C208" s="43" t="str">
        <f>IF(OR($B208="",$A208&gt;$B$9,C$184=""),"",IF(COUNTIFS(BD!$B$3:$B$5001,C$184,BD!$A$3:$A$5001,"&gt;="&amp;$C$7,BD!$A$3:$A$5001,"&lt;="&amp;$B208,BD!$L$3:$L$5001,"&lt;&gt;")=0,"",SUMIFS(BD!$L$3:$L$5001,BD!$B$3:$B$5001,C$184,BD!$A$3:$A$5001,_xlfn.MAXIFS(BD!$A$3:$A$5001,BD!$B$3:$B$5001,C$184,BD!$A$3:$A$5001,"&gt;="&amp;$C$7,BD!$A$3:$A$5001,"&lt;="&amp;$B208,BD!$L$3:$L$5001,"&lt;&gt;"))))</f>
        <v/>
      </c>
      <c r="D208" s="43" t="str">
        <f>IF(OR($B208="",$A208&gt;$B$9,D$184=""),"",IF(COUNTIFS(BD!$B$3:$B$5001,D$184,BD!$A$3:$A$5001,"&gt;="&amp;$C$7,BD!$A$3:$A$5001,"&lt;="&amp;$B208,BD!$L$3:$L$5001,"&lt;&gt;")=0,"",SUMIFS(BD!$L$3:$L$5001,BD!$B$3:$B$5001,D$184,BD!$A$3:$A$5001,_xlfn.MAXIFS(BD!$A$3:$A$5001,BD!$B$3:$B$5001,D$184,BD!$A$3:$A$5001,"&gt;="&amp;$C$7,BD!$A$3:$A$5001,"&lt;="&amp;$B208,BD!$L$3:$L$5001,"&lt;&gt;"))))</f>
        <v/>
      </c>
      <c r="E208" s="43" t="str">
        <f>IF(OR($B208="",$A208&gt;$B$9,E$184=""),"",IF(COUNTIFS(BD!$B$3:$B$5001,E$184,BD!$A$3:$A$5001,"&gt;="&amp;$C$7,BD!$A$3:$A$5001,"&lt;="&amp;$B208,BD!$L$3:$L$5001,"&lt;&gt;")=0,"",SUMIFS(BD!$L$3:$L$5001,BD!$B$3:$B$5001,E$184,BD!$A$3:$A$5001,_xlfn.MAXIFS(BD!$A$3:$A$5001,BD!$B$3:$B$5001,E$184,BD!$A$3:$A$5001,"&gt;="&amp;$C$7,BD!$A$3:$A$5001,"&lt;="&amp;$B208,BD!$L$3:$L$5001,"&lt;&gt;"))))</f>
        <v/>
      </c>
      <c r="F208" s="43" t="str">
        <f>IF(OR($B208="",$A208&gt;$B$9,F$184=""),"",IF(COUNTIFS(BD!$B$3:$B$5001,F$184,BD!$A$3:$A$5001,"&gt;="&amp;$C$7,BD!$A$3:$A$5001,"&lt;="&amp;$B208,BD!$L$3:$L$5001,"&lt;&gt;")=0,"",SUMIFS(BD!$L$3:$L$5001,BD!$B$3:$B$5001,F$184,BD!$A$3:$A$5001,_xlfn.MAXIFS(BD!$A$3:$A$5001,BD!$B$3:$B$5001,F$184,BD!$A$3:$A$5001,"&gt;="&amp;$C$7,BD!$A$3:$A$5001,"&lt;="&amp;$B208,BD!$L$3:$L$5001,"&lt;&gt;"))))</f>
        <v/>
      </c>
      <c r="G208" s="43" t="str">
        <f>IF(OR($B208="",$A208&gt;$B$9,G$184=""),"",IF(COUNTIFS(BD!$B$3:$B$5001,G$184,BD!$A$3:$A$5001,"&gt;="&amp;$C$7,BD!$A$3:$A$5001,"&lt;="&amp;$B208,BD!$L$3:$L$5001,"&lt;&gt;")=0,"",SUMIFS(BD!$L$3:$L$5001,BD!$B$3:$B$5001,G$184,BD!$A$3:$A$5001,_xlfn.MAXIFS(BD!$A$3:$A$5001,BD!$B$3:$B$5001,G$184,BD!$A$3:$A$5001,"&gt;="&amp;$C$7,BD!$A$3:$A$5001,"&lt;="&amp;$B208,BD!$L$3:$L$5001,"&lt;&gt;"))))</f>
        <v/>
      </c>
      <c r="H208" s="43" t="str">
        <f>IF(OR($B208="",$A208&gt;$B$9,H$184=""),"",IF(COUNTIFS(BD!$B$3:$B$5001,H$184,BD!$A$3:$A$5001,"&gt;="&amp;$C$7,BD!$A$3:$A$5001,"&lt;="&amp;$B208,BD!$L$3:$L$5001,"&lt;&gt;")=0,"",SUMIFS(BD!$L$3:$L$5001,BD!$B$3:$B$5001,H$184,BD!$A$3:$A$5001,_xlfn.MAXIFS(BD!$A$3:$A$5001,BD!$B$3:$B$5001,H$184,BD!$A$3:$A$5001,"&gt;="&amp;$C$7,BD!$A$3:$A$5001,"&lt;="&amp;$B208,BD!$L$3:$L$5001,"&lt;&gt;"))))</f>
        <v/>
      </c>
      <c r="I208" s="43" t="str">
        <f>IF(OR($B208="",$A208&gt;$B$9,I$184=""),"",IF(COUNTIFS(BD!$B$3:$B$5001,I$184,BD!$A$3:$A$5001,"&gt;="&amp;$C$7,BD!$A$3:$A$5001,"&lt;="&amp;$B208,BD!$L$3:$L$5001,"&lt;&gt;")=0,"",SUMIFS(BD!$L$3:$L$5001,BD!$B$3:$B$5001,I$184,BD!$A$3:$A$5001,_xlfn.MAXIFS(BD!$A$3:$A$5001,BD!$B$3:$B$5001,I$184,BD!$A$3:$A$5001,"&gt;="&amp;$C$7,BD!$A$3:$A$5001,"&lt;="&amp;$B208,BD!$L$3:$L$5001,"&lt;&gt;"))))</f>
        <v/>
      </c>
      <c r="J208" s="43" t="str">
        <f>IF(OR($B208="",$A208&gt;$B$9,J$184=""),"",IF(COUNTIFS(BD!$B$3:$B$5001,J$184,BD!$A$3:$A$5001,"&gt;="&amp;$C$7,BD!$A$3:$A$5001,"&lt;="&amp;$B208,BD!$L$3:$L$5001,"&lt;&gt;")=0,"",SUMIFS(BD!$L$3:$L$5001,BD!$B$3:$B$5001,J$184,BD!$A$3:$A$5001,_xlfn.MAXIFS(BD!$A$3:$A$5001,BD!$B$3:$B$5001,J$184,BD!$A$3:$A$5001,"&gt;="&amp;$C$7,BD!$A$3:$A$5001,"&lt;="&amp;$B208,BD!$L$3:$L$5001,"&lt;&gt;"))))</f>
        <v/>
      </c>
      <c r="K208" s="43" t="str">
        <f>IF(OR($B208="",$A208&gt;$B$9,K$184=""),"",IF(COUNTIFS(BD!$B$3:$B$5001,K$184,BD!$A$3:$A$5001,"&gt;="&amp;$C$7,BD!$A$3:$A$5001,"&lt;="&amp;$B208,BD!$L$3:$L$5001,"&lt;&gt;")=0,"",SUMIFS(BD!$L$3:$L$5001,BD!$B$3:$B$5001,K$184,BD!$A$3:$A$5001,_xlfn.MAXIFS(BD!$A$3:$A$5001,BD!$B$3:$B$5001,K$184,BD!$A$3:$A$5001,"&gt;="&amp;$C$7,BD!$A$3:$A$5001,"&lt;="&amp;$B208,BD!$L$3:$L$5001,"&lt;&gt;"))))</f>
        <v/>
      </c>
      <c r="L208" s="43" t="str">
        <f>IF(OR($B208="",$A208&gt;$B$9,L$184=""),"",IF(COUNTIFS(BD!$B$3:$B$5001,L$184,BD!$A$3:$A$5001,"&gt;="&amp;$C$7,BD!$A$3:$A$5001,"&lt;="&amp;$B208,BD!$L$3:$L$5001,"&lt;&gt;")=0,"",SUMIFS(BD!$L$3:$L$5001,BD!$B$3:$B$5001,L$184,BD!$A$3:$A$5001,_xlfn.MAXIFS(BD!$A$3:$A$5001,BD!$B$3:$B$5001,L$184,BD!$A$3:$A$5001,"&gt;="&amp;$C$7,BD!$A$3:$A$5001,"&lt;="&amp;$B208,BD!$L$3:$L$5001,"&lt;&gt;"))))</f>
        <v/>
      </c>
      <c r="M208" s="43" t="str">
        <f>IF(OR($B208="",$A208&gt;$B$9,M$184=""),"",IF(COUNTIFS(BD!$B$3:$B$5001,M$184,BD!$A$3:$A$5001,"&gt;="&amp;$C$7,BD!$A$3:$A$5001,"&lt;="&amp;$B208,BD!$L$3:$L$5001,"&lt;&gt;")=0,"",SUMIFS(BD!$L$3:$L$5001,BD!$B$3:$B$5001,M$184,BD!$A$3:$A$5001,_xlfn.MAXIFS(BD!$A$3:$A$5001,BD!$B$3:$B$5001,M$184,BD!$A$3:$A$5001,"&gt;="&amp;$C$7,BD!$A$3:$A$5001,"&lt;="&amp;$B208,BD!$L$3:$L$5001,"&lt;&gt;"))))</f>
        <v/>
      </c>
      <c r="N208" s="43" t="str">
        <f>IF(OR($B208="",$A208&gt;$B$9,N$184=""),"",IF(COUNTIFS(BD!$B$3:$B$5001,N$184,BD!$A$3:$A$5001,"&gt;="&amp;$C$7,BD!$A$3:$A$5001,"&lt;="&amp;$B208,BD!$L$3:$L$5001,"&lt;&gt;")=0,"",SUMIFS(BD!$L$3:$L$5001,BD!$B$3:$B$5001,N$184,BD!$A$3:$A$5001,_xlfn.MAXIFS(BD!$A$3:$A$5001,BD!$B$3:$B$5001,N$184,BD!$A$3:$A$5001,"&gt;="&amp;$C$7,BD!$A$3:$A$5001,"&lt;="&amp;$B208,BD!$L$3:$L$5001,"&lt;&gt;"))))</f>
        <v/>
      </c>
      <c r="O208" s="43" t="str">
        <f>IF(OR($B208="",$A208&gt;$B$9,O$184=""),"",IF(COUNTIFS(BD!$B$3:$B$5001,O$184,BD!$A$3:$A$5001,"&gt;="&amp;$C$7,BD!$A$3:$A$5001,"&lt;="&amp;$B208,BD!$L$3:$L$5001,"&lt;&gt;")=0,"",SUMIFS(BD!$L$3:$L$5001,BD!$B$3:$B$5001,O$184,BD!$A$3:$A$5001,_xlfn.MAXIFS(BD!$A$3:$A$5001,BD!$B$3:$B$5001,O$184,BD!$A$3:$A$5001,"&gt;="&amp;$C$7,BD!$A$3:$A$5001,"&lt;="&amp;$B208,BD!$L$3:$L$5001,"&lt;&gt;"))))</f>
        <v/>
      </c>
      <c r="P208" s="43" t="str">
        <f>IF(OR($B208="",$A208&gt;$B$9,P$184=""),"",IF(COUNTIFS(BD!$B$3:$B$5001,P$184,BD!$A$3:$A$5001,"&gt;="&amp;$C$7,BD!$A$3:$A$5001,"&lt;="&amp;$B208,BD!$L$3:$L$5001,"&lt;&gt;")=0,"",SUMIFS(BD!$L$3:$L$5001,BD!$B$3:$B$5001,P$184,BD!$A$3:$A$5001,_xlfn.MAXIFS(BD!$A$3:$A$5001,BD!$B$3:$B$5001,P$184,BD!$A$3:$A$5001,"&gt;="&amp;$C$7,BD!$A$3:$A$5001,"&lt;="&amp;$B208,BD!$L$3:$L$5001,"&lt;&gt;"))))</f>
        <v/>
      </c>
      <c r="Q208" s="43" t="str">
        <f>IF(OR($B208="",$A208&gt;$B$9,Q$184=""),"",IF(COUNTIFS(BD!$B$3:$B$5001,Q$184,BD!$A$3:$A$5001,"&gt;="&amp;$C$7,BD!$A$3:$A$5001,"&lt;="&amp;$B208,BD!$L$3:$L$5001,"&lt;&gt;")=0,"",SUMIFS(BD!$L$3:$L$5001,BD!$B$3:$B$5001,Q$184,BD!$A$3:$A$5001,_xlfn.MAXIFS(BD!$A$3:$A$5001,BD!$B$3:$B$5001,Q$184,BD!$A$3:$A$5001,"&gt;="&amp;$C$7,BD!$A$3:$A$5001,"&lt;="&amp;$B208,BD!$L$3:$L$5001,"&lt;&gt;"))))</f>
        <v/>
      </c>
      <c r="R208" s="43" t="str">
        <f>IF(OR($B208="",$A208&gt;$B$9,R$184=""),"",IF(COUNTIFS(BD!$B$3:$B$5001,R$184,BD!$A$3:$A$5001,"&gt;="&amp;$C$7,BD!$A$3:$A$5001,"&lt;="&amp;$B208,BD!$L$3:$L$5001,"&lt;&gt;")=0,"",SUMIFS(BD!$L$3:$L$5001,BD!$B$3:$B$5001,R$184,BD!$A$3:$A$5001,_xlfn.MAXIFS(BD!$A$3:$A$5001,BD!$B$3:$B$5001,R$184,BD!$A$3:$A$5001,"&gt;="&amp;$C$7,BD!$A$3:$A$5001,"&lt;="&amp;$B208,BD!$L$3:$L$5001,"&lt;&gt;"))))</f>
        <v/>
      </c>
      <c r="S208" s="43" t="str">
        <f>IF(OR($B208="",$A208&gt;$B$9,S$184=""),"",IF(COUNTIFS(BD!$B$3:$B$5001,S$184,BD!$A$3:$A$5001,"&gt;="&amp;$C$7,BD!$A$3:$A$5001,"&lt;="&amp;$B208,BD!$L$3:$L$5001,"&lt;&gt;")=0,"",SUMIFS(BD!$L$3:$L$5001,BD!$B$3:$B$5001,S$184,BD!$A$3:$A$5001,_xlfn.MAXIFS(BD!$A$3:$A$5001,BD!$B$3:$B$5001,S$184,BD!$A$3:$A$5001,"&gt;="&amp;$C$7,BD!$A$3:$A$5001,"&lt;="&amp;$B208,BD!$L$3:$L$5001,"&lt;&gt;"))))</f>
        <v/>
      </c>
      <c r="T208" s="43" t="str">
        <f>IF(OR($B208="",$A208&gt;$B$9,T$184=""),"",IF(COUNTIFS(BD!$B$3:$B$5001,T$184,BD!$A$3:$A$5001,"&gt;="&amp;$C$7,BD!$A$3:$A$5001,"&lt;="&amp;$B208,BD!$L$3:$L$5001,"&lt;&gt;")=0,"",SUMIFS(BD!$L$3:$L$5001,BD!$B$3:$B$5001,T$184,BD!$A$3:$A$5001,_xlfn.MAXIFS(BD!$A$3:$A$5001,BD!$B$3:$B$5001,T$184,BD!$A$3:$A$5001,"&gt;="&amp;$C$7,BD!$A$3:$A$5001,"&lt;="&amp;$B208,BD!$L$3:$L$5001,"&lt;&gt;"))))</f>
        <v/>
      </c>
      <c r="U208" s="43" t="str">
        <f>IF(OR($B208="",$A208&gt;$B$9,U$184=""),"",IF(COUNTIFS(BD!$B$3:$B$5001,U$184,BD!$A$3:$A$5001,"&gt;="&amp;$C$7,BD!$A$3:$A$5001,"&lt;="&amp;$B208,BD!$L$3:$L$5001,"&lt;&gt;")=0,"",SUMIFS(BD!$L$3:$L$5001,BD!$B$3:$B$5001,U$184,BD!$A$3:$A$5001,_xlfn.MAXIFS(BD!$A$3:$A$5001,BD!$B$3:$B$5001,U$184,BD!$A$3:$A$5001,"&gt;="&amp;$C$7,BD!$A$3:$A$5001,"&lt;="&amp;$B208,BD!$L$3:$L$5001,"&lt;&gt;"))))</f>
        <v/>
      </c>
      <c r="V208" s="43" t="str">
        <f>IF(OR($B208="",$A208&gt;$B$9,V$184=""),"",IF(COUNTIFS(BD!$B$3:$B$5001,V$184,BD!$A$3:$A$5001,"&gt;="&amp;$C$7,BD!$A$3:$A$5001,"&lt;="&amp;$B208,BD!$L$3:$L$5001,"&lt;&gt;")=0,"",SUMIFS(BD!$L$3:$L$5001,BD!$B$3:$B$5001,V$184,BD!$A$3:$A$5001,_xlfn.MAXIFS(BD!$A$3:$A$5001,BD!$B$3:$B$5001,V$184,BD!$A$3:$A$5001,"&gt;="&amp;$C$7,BD!$A$3:$A$5001,"&lt;="&amp;$B208,BD!$L$3:$L$5001,"&lt;&gt;"))))</f>
        <v/>
      </c>
    </row>
    <row r="209">
      <c r="A209" s="38">
        <v>25</v>
      </c>
      <c r="B209" s="42">
        <f>$B$36</f>
        <v>46320</v>
      </c>
      <c r="C209" s="43" t="str">
        <f>IF(OR($B209="",$A209&gt;$B$9,C$184=""),"",IF(COUNTIFS(BD!$B$3:$B$5001,C$184,BD!$A$3:$A$5001,"&gt;="&amp;$C$7,BD!$A$3:$A$5001,"&lt;="&amp;$B209,BD!$L$3:$L$5001,"&lt;&gt;")=0,"",SUMIFS(BD!$L$3:$L$5001,BD!$B$3:$B$5001,C$184,BD!$A$3:$A$5001,_xlfn.MAXIFS(BD!$A$3:$A$5001,BD!$B$3:$B$5001,C$184,BD!$A$3:$A$5001,"&gt;="&amp;$C$7,BD!$A$3:$A$5001,"&lt;="&amp;$B209,BD!$L$3:$L$5001,"&lt;&gt;"))))</f>
        <v/>
      </c>
      <c r="D209" s="43" t="str">
        <f>IF(OR($B209="",$A209&gt;$B$9,D$184=""),"",IF(COUNTIFS(BD!$B$3:$B$5001,D$184,BD!$A$3:$A$5001,"&gt;="&amp;$C$7,BD!$A$3:$A$5001,"&lt;="&amp;$B209,BD!$L$3:$L$5001,"&lt;&gt;")=0,"",SUMIFS(BD!$L$3:$L$5001,BD!$B$3:$B$5001,D$184,BD!$A$3:$A$5001,_xlfn.MAXIFS(BD!$A$3:$A$5001,BD!$B$3:$B$5001,D$184,BD!$A$3:$A$5001,"&gt;="&amp;$C$7,BD!$A$3:$A$5001,"&lt;="&amp;$B209,BD!$L$3:$L$5001,"&lt;&gt;"))))</f>
        <v/>
      </c>
      <c r="E209" s="43" t="str">
        <f>IF(OR($B209="",$A209&gt;$B$9,E$184=""),"",IF(COUNTIFS(BD!$B$3:$B$5001,E$184,BD!$A$3:$A$5001,"&gt;="&amp;$C$7,BD!$A$3:$A$5001,"&lt;="&amp;$B209,BD!$L$3:$L$5001,"&lt;&gt;")=0,"",SUMIFS(BD!$L$3:$L$5001,BD!$B$3:$B$5001,E$184,BD!$A$3:$A$5001,_xlfn.MAXIFS(BD!$A$3:$A$5001,BD!$B$3:$B$5001,E$184,BD!$A$3:$A$5001,"&gt;="&amp;$C$7,BD!$A$3:$A$5001,"&lt;="&amp;$B209,BD!$L$3:$L$5001,"&lt;&gt;"))))</f>
        <v/>
      </c>
      <c r="F209" s="43" t="str">
        <f>IF(OR($B209="",$A209&gt;$B$9,F$184=""),"",IF(COUNTIFS(BD!$B$3:$B$5001,F$184,BD!$A$3:$A$5001,"&gt;="&amp;$C$7,BD!$A$3:$A$5001,"&lt;="&amp;$B209,BD!$L$3:$L$5001,"&lt;&gt;")=0,"",SUMIFS(BD!$L$3:$L$5001,BD!$B$3:$B$5001,F$184,BD!$A$3:$A$5001,_xlfn.MAXIFS(BD!$A$3:$A$5001,BD!$B$3:$B$5001,F$184,BD!$A$3:$A$5001,"&gt;="&amp;$C$7,BD!$A$3:$A$5001,"&lt;="&amp;$B209,BD!$L$3:$L$5001,"&lt;&gt;"))))</f>
        <v/>
      </c>
      <c r="G209" s="43" t="str">
        <f>IF(OR($B209="",$A209&gt;$B$9,G$184=""),"",IF(COUNTIFS(BD!$B$3:$B$5001,G$184,BD!$A$3:$A$5001,"&gt;="&amp;$C$7,BD!$A$3:$A$5001,"&lt;="&amp;$B209,BD!$L$3:$L$5001,"&lt;&gt;")=0,"",SUMIFS(BD!$L$3:$L$5001,BD!$B$3:$B$5001,G$184,BD!$A$3:$A$5001,_xlfn.MAXIFS(BD!$A$3:$A$5001,BD!$B$3:$B$5001,G$184,BD!$A$3:$A$5001,"&gt;="&amp;$C$7,BD!$A$3:$A$5001,"&lt;="&amp;$B209,BD!$L$3:$L$5001,"&lt;&gt;"))))</f>
        <v/>
      </c>
      <c r="H209" s="43" t="str">
        <f>IF(OR($B209="",$A209&gt;$B$9,H$184=""),"",IF(COUNTIFS(BD!$B$3:$B$5001,H$184,BD!$A$3:$A$5001,"&gt;="&amp;$C$7,BD!$A$3:$A$5001,"&lt;="&amp;$B209,BD!$L$3:$L$5001,"&lt;&gt;")=0,"",SUMIFS(BD!$L$3:$L$5001,BD!$B$3:$B$5001,H$184,BD!$A$3:$A$5001,_xlfn.MAXIFS(BD!$A$3:$A$5001,BD!$B$3:$B$5001,H$184,BD!$A$3:$A$5001,"&gt;="&amp;$C$7,BD!$A$3:$A$5001,"&lt;="&amp;$B209,BD!$L$3:$L$5001,"&lt;&gt;"))))</f>
        <v/>
      </c>
      <c r="I209" s="43" t="str">
        <f>IF(OR($B209="",$A209&gt;$B$9,I$184=""),"",IF(COUNTIFS(BD!$B$3:$B$5001,I$184,BD!$A$3:$A$5001,"&gt;="&amp;$C$7,BD!$A$3:$A$5001,"&lt;="&amp;$B209,BD!$L$3:$L$5001,"&lt;&gt;")=0,"",SUMIFS(BD!$L$3:$L$5001,BD!$B$3:$B$5001,I$184,BD!$A$3:$A$5001,_xlfn.MAXIFS(BD!$A$3:$A$5001,BD!$B$3:$B$5001,I$184,BD!$A$3:$A$5001,"&gt;="&amp;$C$7,BD!$A$3:$A$5001,"&lt;="&amp;$B209,BD!$L$3:$L$5001,"&lt;&gt;"))))</f>
        <v/>
      </c>
      <c r="J209" s="43" t="str">
        <f>IF(OR($B209="",$A209&gt;$B$9,J$184=""),"",IF(COUNTIFS(BD!$B$3:$B$5001,J$184,BD!$A$3:$A$5001,"&gt;="&amp;$C$7,BD!$A$3:$A$5001,"&lt;="&amp;$B209,BD!$L$3:$L$5001,"&lt;&gt;")=0,"",SUMIFS(BD!$L$3:$L$5001,BD!$B$3:$B$5001,J$184,BD!$A$3:$A$5001,_xlfn.MAXIFS(BD!$A$3:$A$5001,BD!$B$3:$B$5001,J$184,BD!$A$3:$A$5001,"&gt;="&amp;$C$7,BD!$A$3:$A$5001,"&lt;="&amp;$B209,BD!$L$3:$L$5001,"&lt;&gt;"))))</f>
        <v/>
      </c>
      <c r="K209" s="43" t="str">
        <f>IF(OR($B209="",$A209&gt;$B$9,K$184=""),"",IF(COUNTIFS(BD!$B$3:$B$5001,K$184,BD!$A$3:$A$5001,"&gt;="&amp;$C$7,BD!$A$3:$A$5001,"&lt;="&amp;$B209,BD!$L$3:$L$5001,"&lt;&gt;")=0,"",SUMIFS(BD!$L$3:$L$5001,BD!$B$3:$B$5001,K$184,BD!$A$3:$A$5001,_xlfn.MAXIFS(BD!$A$3:$A$5001,BD!$B$3:$B$5001,K$184,BD!$A$3:$A$5001,"&gt;="&amp;$C$7,BD!$A$3:$A$5001,"&lt;="&amp;$B209,BD!$L$3:$L$5001,"&lt;&gt;"))))</f>
        <v/>
      </c>
      <c r="L209" s="43" t="str">
        <f>IF(OR($B209="",$A209&gt;$B$9,L$184=""),"",IF(COUNTIFS(BD!$B$3:$B$5001,L$184,BD!$A$3:$A$5001,"&gt;="&amp;$C$7,BD!$A$3:$A$5001,"&lt;="&amp;$B209,BD!$L$3:$L$5001,"&lt;&gt;")=0,"",SUMIFS(BD!$L$3:$L$5001,BD!$B$3:$B$5001,L$184,BD!$A$3:$A$5001,_xlfn.MAXIFS(BD!$A$3:$A$5001,BD!$B$3:$B$5001,L$184,BD!$A$3:$A$5001,"&gt;="&amp;$C$7,BD!$A$3:$A$5001,"&lt;="&amp;$B209,BD!$L$3:$L$5001,"&lt;&gt;"))))</f>
        <v/>
      </c>
      <c r="M209" s="43" t="str">
        <f>IF(OR($B209="",$A209&gt;$B$9,M$184=""),"",IF(COUNTIFS(BD!$B$3:$B$5001,M$184,BD!$A$3:$A$5001,"&gt;="&amp;$C$7,BD!$A$3:$A$5001,"&lt;="&amp;$B209,BD!$L$3:$L$5001,"&lt;&gt;")=0,"",SUMIFS(BD!$L$3:$L$5001,BD!$B$3:$B$5001,M$184,BD!$A$3:$A$5001,_xlfn.MAXIFS(BD!$A$3:$A$5001,BD!$B$3:$B$5001,M$184,BD!$A$3:$A$5001,"&gt;="&amp;$C$7,BD!$A$3:$A$5001,"&lt;="&amp;$B209,BD!$L$3:$L$5001,"&lt;&gt;"))))</f>
        <v/>
      </c>
      <c r="N209" s="43" t="str">
        <f>IF(OR($B209="",$A209&gt;$B$9,N$184=""),"",IF(COUNTIFS(BD!$B$3:$B$5001,N$184,BD!$A$3:$A$5001,"&gt;="&amp;$C$7,BD!$A$3:$A$5001,"&lt;="&amp;$B209,BD!$L$3:$L$5001,"&lt;&gt;")=0,"",SUMIFS(BD!$L$3:$L$5001,BD!$B$3:$B$5001,N$184,BD!$A$3:$A$5001,_xlfn.MAXIFS(BD!$A$3:$A$5001,BD!$B$3:$B$5001,N$184,BD!$A$3:$A$5001,"&gt;="&amp;$C$7,BD!$A$3:$A$5001,"&lt;="&amp;$B209,BD!$L$3:$L$5001,"&lt;&gt;"))))</f>
        <v/>
      </c>
      <c r="O209" s="43" t="str">
        <f>IF(OR($B209="",$A209&gt;$B$9,O$184=""),"",IF(COUNTIFS(BD!$B$3:$B$5001,O$184,BD!$A$3:$A$5001,"&gt;="&amp;$C$7,BD!$A$3:$A$5001,"&lt;="&amp;$B209,BD!$L$3:$L$5001,"&lt;&gt;")=0,"",SUMIFS(BD!$L$3:$L$5001,BD!$B$3:$B$5001,O$184,BD!$A$3:$A$5001,_xlfn.MAXIFS(BD!$A$3:$A$5001,BD!$B$3:$B$5001,O$184,BD!$A$3:$A$5001,"&gt;="&amp;$C$7,BD!$A$3:$A$5001,"&lt;="&amp;$B209,BD!$L$3:$L$5001,"&lt;&gt;"))))</f>
        <v/>
      </c>
      <c r="P209" s="43" t="str">
        <f>IF(OR($B209="",$A209&gt;$B$9,P$184=""),"",IF(COUNTIFS(BD!$B$3:$B$5001,P$184,BD!$A$3:$A$5001,"&gt;="&amp;$C$7,BD!$A$3:$A$5001,"&lt;="&amp;$B209,BD!$L$3:$L$5001,"&lt;&gt;")=0,"",SUMIFS(BD!$L$3:$L$5001,BD!$B$3:$B$5001,P$184,BD!$A$3:$A$5001,_xlfn.MAXIFS(BD!$A$3:$A$5001,BD!$B$3:$B$5001,P$184,BD!$A$3:$A$5001,"&gt;="&amp;$C$7,BD!$A$3:$A$5001,"&lt;="&amp;$B209,BD!$L$3:$L$5001,"&lt;&gt;"))))</f>
        <v/>
      </c>
      <c r="Q209" s="43" t="str">
        <f>IF(OR($B209="",$A209&gt;$B$9,Q$184=""),"",IF(COUNTIFS(BD!$B$3:$B$5001,Q$184,BD!$A$3:$A$5001,"&gt;="&amp;$C$7,BD!$A$3:$A$5001,"&lt;="&amp;$B209,BD!$L$3:$L$5001,"&lt;&gt;")=0,"",SUMIFS(BD!$L$3:$L$5001,BD!$B$3:$B$5001,Q$184,BD!$A$3:$A$5001,_xlfn.MAXIFS(BD!$A$3:$A$5001,BD!$B$3:$B$5001,Q$184,BD!$A$3:$A$5001,"&gt;="&amp;$C$7,BD!$A$3:$A$5001,"&lt;="&amp;$B209,BD!$L$3:$L$5001,"&lt;&gt;"))))</f>
        <v/>
      </c>
      <c r="R209" s="43" t="str">
        <f>IF(OR($B209="",$A209&gt;$B$9,R$184=""),"",IF(COUNTIFS(BD!$B$3:$B$5001,R$184,BD!$A$3:$A$5001,"&gt;="&amp;$C$7,BD!$A$3:$A$5001,"&lt;="&amp;$B209,BD!$L$3:$L$5001,"&lt;&gt;")=0,"",SUMIFS(BD!$L$3:$L$5001,BD!$B$3:$B$5001,R$184,BD!$A$3:$A$5001,_xlfn.MAXIFS(BD!$A$3:$A$5001,BD!$B$3:$B$5001,R$184,BD!$A$3:$A$5001,"&gt;="&amp;$C$7,BD!$A$3:$A$5001,"&lt;="&amp;$B209,BD!$L$3:$L$5001,"&lt;&gt;"))))</f>
        <v/>
      </c>
      <c r="S209" s="43" t="str">
        <f>IF(OR($B209="",$A209&gt;$B$9,S$184=""),"",IF(COUNTIFS(BD!$B$3:$B$5001,S$184,BD!$A$3:$A$5001,"&gt;="&amp;$C$7,BD!$A$3:$A$5001,"&lt;="&amp;$B209,BD!$L$3:$L$5001,"&lt;&gt;")=0,"",SUMIFS(BD!$L$3:$L$5001,BD!$B$3:$B$5001,S$184,BD!$A$3:$A$5001,_xlfn.MAXIFS(BD!$A$3:$A$5001,BD!$B$3:$B$5001,S$184,BD!$A$3:$A$5001,"&gt;="&amp;$C$7,BD!$A$3:$A$5001,"&lt;="&amp;$B209,BD!$L$3:$L$5001,"&lt;&gt;"))))</f>
        <v/>
      </c>
      <c r="T209" s="43" t="str">
        <f>IF(OR($B209="",$A209&gt;$B$9,T$184=""),"",IF(COUNTIFS(BD!$B$3:$B$5001,T$184,BD!$A$3:$A$5001,"&gt;="&amp;$C$7,BD!$A$3:$A$5001,"&lt;="&amp;$B209,BD!$L$3:$L$5001,"&lt;&gt;")=0,"",SUMIFS(BD!$L$3:$L$5001,BD!$B$3:$B$5001,T$184,BD!$A$3:$A$5001,_xlfn.MAXIFS(BD!$A$3:$A$5001,BD!$B$3:$B$5001,T$184,BD!$A$3:$A$5001,"&gt;="&amp;$C$7,BD!$A$3:$A$5001,"&lt;="&amp;$B209,BD!$L$3:$L$5001,"&lt;&gt;"))))</f>
        <v/>
      </c>
      <c r="U209" s="43" t="str">
        <f>IF(OR($B209="",$A209&gt;$B$9,U$184=""),"",IF(COUNTIFS(BD!$B$3:$B$5001,U$184,BD!$A$3:$A$5001,"&gt;="&amp;$C$7,BD!$A$3:$A$5001,"&lt;="&amp;$B209,BD!$L$3:$L$5001,"&lt;&gt;")=0,"",SUMIFS(BD!$L$3:$L$5001,BD!$B$3:$B$5001,U$184,BD!$A$3:$A$5001,_xlfn.MAXIFS(BD!$A$3:$A$5001,BD!$B$3:$B$5001,U$184,BD!$A$3:$A$5001,"&gt;="&amp;$C$7,BD!$A$3:$A$5001,"&lt;="&amp;$B209,BD!$L$3:$L$5001,"&lt;&gt;"))))</f>
        <v/>
      </c>
      <c r="V209" s="43" t="str">
        <f>IF(OR($B209="",$A209&gt;$B$9,V$184=""),"",IF(COUNTIFS(BD!$B$3:$B$5001,V$184,BD!$A$3:$A$5001,"&gt;="&amp;$C$7,BD!$A$3:$A$5001,"&lt;="&amp;$B209,BD!$L$3:$L$5001,"&lt;&gt;")=0,"",SUMIFS(BD!$L$3:$L$5001,BD!$B$3:$B$5001,V$184,BD!$A$3:$A$5001,_xlfn.MAXIFS(BD!$A$3:$A$5001,BD!$B$3:$B$5001,V$184,BD!$A$3:$A$5001,"&gt;="&amp;$C$7,BD!$A$3:$A$5001,"&lt;="&amp;$B209,BD!$L$3:$L$5001,"&lt;&gt;"))))</f>
        <v/>
      </c>
    </row>
    <row r="210">
      <c r="A210" s="38">
        <v>26</v>
      </c>
      <c r="B210" s="42">
        <f>$B$37</f>
        <v>46321</v>
      </c>
      <c r="C210" s="43" t="str">
        <f>IF(OR($B210="",$A210&gt;$B$9,C$184=""),"",IF(COUNTIFS(BD!$B$3:$B$5001,C$184,BD!$A$3:$A$5001,"&gt;="&amp;$C$7,BD!$A$3:$A$5001,"&lt;="&amp;$B210,BD!$L$3:$L$5001,"&lt;&gt;")=0,"",SUMIFS(BD!$L$3:$L$5001,BD!$B$3:$B$5001,C$184,BD!$A$3:$A$5001,_xlfn.MAXIFS(BD!$A$3:$A$5001,BD!$B$3:$B$5001,C$184,BD!$A$3:$A$5001,"&gt;="&amp;$C$7,BD!$A$3:$A$5001,"&lt;="&amp;$B210,BD!$L$3:$L$5001,"&lt;&gt;"))))</f>
        <v/>
      </c>
      <c r="D210" s="43" t="str">
        <f>IF(OR($B210="",$A210&gt;$B$9,D$184=""),"",IF(COUNTIFS(BD!$B$3:$B$5001,D$184,BD!$A$3:$A$5001,"&gt;="&amp;$C$7,BD!$A$3:$A$5001,"&lt;="&amp;$B210,BD!$L$3:$L$5001,"&lt;&gt;")=0,"",SUMIFS(BD!$L$3:$L$5001,BD!$B$3:$B$5001,D$184,BD!$A$3:$A$5001,_xlfn.MAXIFS(BD!$A$3:$A$5001,BD!$B$3:$B$5001,D$184,BD!$A$3:$A$5001,"&gt;="&amp;$C$7,BD!$A$3:$A$5001,"&lt;="&amp;$B210,BD!$L$3:$L$5001,"&lt;&gt;"))))</f>
        <v/>
      </c>
      <c r="E210" s="43" t="str">
        <f>IF(OR($B210="",$A210&gt;$B$9,E$184=""),"",IF(COUNTIFS(BD!$B$3:$B$5001,E$184,BD!$A$3:$A$5001,"&gt;="&amp;$C$7,BD!$A$3:$A$5001,"&lt;="&amp;$B210,BD!$L$3:$L$5001,"&lt;&gt;")=0,"",SUMIFS(BD!$L$3:$L$5001,BD!$B$3:$B$5001,E$184,BD!$A$3:$A$5001,_xlfn.MAXIFS(BD!$A$3:$A$5001,BD!$B$3:$B$5001,E$184,BD!$A$3:$A$5001,"&gt;="&amp;$C$7,BD!$A$3:$A$5001,"&lt;="&amp;$B210,BD!$L$3:$L$5001,"&lt;&gt;"))))</f>
        <v/>
      </c>
      <c r="F210" s="43" t="str">
        <f>IF(OR($B210="",$A210&gt;$B$9,F$184=""),"",IF(COUNTIFS(BD!$B$3:$B$5001,F$184,BD!$A$3:$A$5001,"&gt;="&amp;$C$7,BD!$A$3:$A$5001,"&lt;="&amp;$B210,BD!$L$3:$L$5001,"&lt;&gt;")=0,"",SUMIFS(BD!$L$3:$L$5001,BD!$B$3:$B$5001,F$184,BD!$A$3:$A$5001,_xlfn.MAXIFS(BD!$A$3:$A$5001,BD!$B$3:$B$5001,F$184,BD!$A$3:$A$5001,"&gt;="&amp;$C$7,BD!$A$3:$A$5001,"&lt;="&amp;$B210,BD!$L$3:$L$5001,"&lt;&gt;"))))</f>
        <v/>
      </c>
      <c r="G210" s="43" t="str">
        <f>IF(OR($B210="",$A210&gt;$B$9,G$184=""),"",IF(COUNTIFS(BD!$B$3:$B$5001,G$184,BD!$A$3:$A$5001,"&gt;="&amp;$C$7,BD!$A$3:$A$5001,"&lt;="&amp;$B210,BD!$L$3:$L$5001,"&lt;&gt;")=0,"",SUMIFS(BD!$L$3:$L$5001,BD!$B$3:$B$5001,G$184,BD!$A$3:$A$5001,_xlfn.MAXIFS(BD!$A$3:$A$5001,BD!$B$3:$B$5001,G$184,BD!$A$3:$A$5001,"&gt;="&amp;$C$7,BD!$A$3:$A$5001,"&lt;="&amp;$B210,BD!$L$3:$L$5001,"&lt;&gt;"))))</f>
        <v/>
      </c>
      <c r="H210" s="43" t="str">
        <f>IF(OR($B210="",$A210&gt;$B$9,H$184=""),"",IF(COUNTIFS(BD!$B$3:$B$5001,H$184,BD!$A$3:$A$5001,"&gt;="&amp;$C$7,BD!$A$3:$A$5001,"&lt;="&amp;$B210,BD!$L$3:$L$5001,"&lt;&gt;")=0,"",SUMIFS(BD!$L$3:$L$5001,BD!$B$3:$B$5001,H$184,BD!$A$3:$A$5001,_xlfn.MAXIFS(BD!$A$3:$A$5001,BD!$B$3:$B$5001,H$184,BD!$A$3:$A$5001,"&gt;="&amp;$C$7,BD!$A$3:$A$5001,"&lt;="&amp;$B210,BD!$L$3:$L$5001,"&lt;&gt;"))))</f>
        <v/>
      </c>
      <c r="I210" s="43" t="str">
        <f>IF(OR($B210="",$A210&gt;$B$9,I$184=""),"",IF(COUNTIFS(BD!$B$3:$B$5001,I$184,BD!$A$3:$A$5001,"&gt;="&amp;$C$7,BD!$A$3:$A$5001,"&lt;="&amp;$B210,BD!$L$3:$L$5001,"&lt;&gt;")=0,"",SUMIFS(BD!$L$3:$L$5001,BD!$B$3:$B$5001,I$184,BD!$A$3:$A$5001,_xlfn.MAXIFS(BD!$A$3:$A$5001,BD!$B$3:$B$5001,I$184,BD!$A$3:$A$5001,"&gt;="&amp;$C$7,BD!$A$3:$A$5001,"&lt;="&amp;$B210,BD!$L$3:$L$5001,"&lt;&gt;"))))</f>
        <v/>
      </c>
      <c r="J210" s="43" t="str">
        <f>IF(OR($B210="",$A210&gt;$B$9,J$184=""),"",IF(COUNTIFS(BD!$B$3:$B$5001,J$184,BD!$A$3:$A$5001,"&gt;="&amp;$C$7,BD!$A$3:$A$5001,"&lt;="&amp;$B210,BD!$L$3:$L$5001,"&lt;&gt;")=0,"",SUMIFS(BD!$L$3:$L$5001,BD!$B$3:$B$5001,J$184,BD!$A$3:$A$5001,_xlfn.MAXIFS(BD!$A$3:$A$5001,BD!$B$3:$B$5001,J$184,BD!$A$3:$A$5001,"&gt;="&amp;$C$7,BD!$A$3:$A$5001,"&lt;="&amp;$B210,BD!$L$3:$L$5001,"&lt;&gt;"))))</f>
        <v/>
      </c>
      <c r="K210" s="43" t="str">
        <f>IF(OR($B210="",$A210&gt;$B$9,K$184=""),"",IF(COUNTIFS(BD!$B$3:$B$5001,K$184,BD!$A$3:$A$5001,"&gt;="&amp;$C$7,BD!$A$3:$A$5001,"&lt;="&amp;$B210,BD!$L$3:$L$5001,"&lt;&gt;")=0,"",SUMIFS(BD!$L$3:$L$5001,BD!$B$3:$B$5001,K$184,BD!$A$3:$A$5001,_xlfn.MAXIFS(BD!$A$3:$A$5001,BD!$B$3:$B$5001,K$184,BD!$A$3:$A$5001,"&gt;="&amp;$C$7,BD!$A$3:$A$5001,"&lt;="&amp;$B210,BD!$L$3:$L$5001,"&lt;&gt;"))))</f>
        <v/>
      </c>
      <c r="L210" s="43" t="str">
        <f>IF(OR($B210="",$A210&gt;$B$9,L$184=""),"",IF(COUNTIFS(BD!$B$3:$B$5001,L$184,BD!$A$3:$A$5001,"&gt;="&amp;$C$7,BD!$A$3:$A$5001,"&lt;="&amp;$B210,BD!$L$3:$L$5001,"&lt;&gt;")=0,"",SUMIFS(BD!$L$3:$L$5001,BD!$B$3:$B$5001,L$184,BD!$A$3:$A$5001,_xlfn.MAXIFS(BD!$A$3:$A$5001,BD!$B$3:$B$5001,L$184,BD!$A$3:$A$5001,"&gt;="&amp;$C$7,BD!$A$3:$A$5001,"&lt;="&amp;$B210,BD!$L$3:$L$5001,"&lt;&gt;"))))</f>
        <v/>
      </c>
      <c r="M210" s="43" t="str">
        <f>IF(OR($B210="",$A210&gt;$B$9,M$184=""),"",IF(COUNTIFS(BD!$B$3:$B$5001,M$184,BD!$A$3:$A$5001,"&gt;="&amp;$C$7,BD!$A$3:$A$5001,"&lt;="&amp;$B210,BD!$L$3:$L$5001,"&lt;&gt;")=0,"",SUMIFS(BD!$L$3:$L$5001,BD!$B$3:$B$5001,M$184,BD!$A$3:$A$5001,_xlfn.MAXIFS(BD!$A$3:$A$5001,BD!$B$3:$B$5001,M$184,BD!$A$3:$A$5001,"&gt;="&amp;$C$7,BD!$A$3:$A$5001,"&lt;="&amp;$B210,BD!$L$3:$L$5001,"&lt;&gt;"))))</f>
        <v/>
      </c>
      <c r="N210" s="43" t="str">
        <f>IF(OR($B210="",$A210&gt;$B$9,N$184=""),"",IF(COUNTIFS(BD!$B$3:$B$5001,N$184,BD!$A$3:$A$5001,"&gt;="&amp;$C$7,BD!$A$3:$A$5001,"&lt;="&amp;$B210,BD!$L$3:$L$5001,"&lt;&gt;")=0,"",SUMIFS(BD!$L$3:$L$5001,BD!$B$3:$B$5001,N$184,BD!$A$3:$A$5001,_xlfn.MAXIFS(BD!$A$3:$A$5001,BD!$B$3:$B$5001,N$184,BD!$A$3:$A$5001,"&gt;="&amp;$C$7,BD!$A$3:$A$5001,"&lt;="&amp;$B210,BD!$L$3:$L$5001,"&lt;&gt;"))))</f>
        <v/>
      </c>
      <c r="O210" s="43" t="str">
        <f>IF(OR($B210="",$A210&gt;$B$9,O$184=""),"",IF(COUNTIFS(BD!$B$3:$B$5001,O$184,BD!$A$3:$A$5001,"&gt;="&amp;$C$7,BD!$A$3:$A$5001,"&lt;="&amp;$B210,BD!$L$3:$L$5001,"&lt;&gt;")=0,"",SUMIFS(BD!$L$3:$L$5001,BD!$B$3:$B$5001,O$184,BD!$A$3:$A$5001,_xlfn.MAXIFS(BD!$A$3:$A$5001,BD!$B$3:$B$5001,O$184,BD!$A$3:$A$5001,"&gt;="&amp;$C$7,BD!$A$3:$A$5001,"&lt;="&amp;$B210,BD!$L$3:$L$5001,"&lt;&gt;"))))</f>
        <v/>
      </c>
      <c r="P210" s="43" t="str">
        <f>IF(OR($B210="",$A210&gt;$B$9,P$184=""),"",IF(COUNTIFS(BD!$B$3:$B$5001,P$184,BD!$A$3:$A$5001,"&gt;="&amp;$C$7,BD!$A$3:$A$5001,"&lt;="&amp;$B210,BD!$L$3:$L$5001,"&lt;&gt;")=0,"",SUMIFS(BD!$L$3:$L$5001,BD!$B$3:$B$5001,P$184,BD!$A$3:$A$5001,_xlfn.MAXIFS(BD!$A$3:$A$5001,BD!$B$3:$B$5001,P$184,BD!$A$3:$A$5001,"&gt;="&amp;$C$7,BD!$A$3:$A$5001,"&lt;="&amp;$B210,BD!$L$3:$L$5001,"&lt;&gt;"))))</f>
        <v/>
      </c>
      <c r="Q210" s="43" t="str">
        <f>IF(OR($B210="",$A210&gt;$B$9,Q$184=""),"",IF(COUNTIFS(BD!$B$3:$B$5001,Q$184,BD!$A$3:$A$5001,"&gt;="&amp;$C$7,BD!$A$3:$A$5001,"&lt;="&amp;$B210,BD!$L$3:$L$5001,"&lt;&gt;")=0,"",SUMIFS(BD!$L$3:$L$5001,BD!$B$3:$B$5001,Q$184,BD!$A$3:$A$5001,_xlfn.MAXIFS(BD!$A$3:$A$5001,BD!$B$3:$B$5001,Q$184,BD!$A$3:$A$5001,"&gt;="&amp;$C$7,BD!$A$3:$A$5001,"&lt;="&amp;$B210,BD!$L$3:$L$5001,"&lt;&gt;"))))</f>
        <v/>
      </c>
      <c r="R210" s="43" t="str">
        <f>IF(OR($B210="",$A210&gt;$B$9,R$184=""),"",IF(COUNTIFS(BD!$B$3:$B$5001,R$184,BD!$A$3:$A$5001,"&gt;="&amp;$C$7,BD!$A$3:$A$5001,"&lt;="&amp;$B210,BD!$L$3:$L$5001,"&lt;&gt;")=0,"",SUMIFS(BD!$L$3:$L$5001,BD!$B$3:$B$5001,R$184,BD!$A$3:$A$5001,_xlfn.MAXIFS(BD!$A$3:$A$5001,BD!$B$3:$B$5001,R$184,BD!$A$3:$A$5001,"&gt;="&amp;$C$7,BD!$A$3:$A$5001,"&lt;="&amp;$B210,BD!$L$3:$L$5001,"&lt;&gt;"))))</f>
        <v/>
      </c>
      <c r="S210" s="43" t="str">
        <f>IF(OR($B210="",$A210&gt;$B$9,S$184=""),"",IF(COUNTIFS(BD!$B$3:$B$5001,S$184,BD!$A$3:$A$5001,"&gt;="&amp;$C$7,BD!$A$3:$A$5001,"&lt;="&amp;$B210,BD!$L$3:$L$5001,"&lt;&gt;")=0,"",SUMIFS(BD!$L$3:$L$5001,BD!$B$3:$B$5001,S$184,BD!$A$3:$A$5001,_xlfn.MAXIFS(BD!$A$3:$A$5001,BD!$B$3:$B$5001,S$184,BD!$A$3:$A$5001,"&gt;="&amp;$C$7,BD!$A$3:$A$5001,"&lt;="&amp;$B210,BD!$L$3:$L$5001,"&lt;&gt;"))))</f>
        <v/>
      </c>
      <c r="T210" s="43" t="str">
        <f>IF(OR($B210="",$A210&gt;$B$9,T$184=""),"",IF(COUNTIFS(BD!$B$3:$B$5001,T$184,BD!$A$3:$A$5001,"&gt;="&amp;$C$7,BD!$A$3:$A$5001,"&lt;="&amp;$B210,BD!$L$3:$L$5001,"&lt;&gt;")=0,"",SUMIFS(BD!$L$3:$L$5001,BD!$B$3:$B$5001,T$184,BD!$A$3:$A$5001,_xlfn.MAXIFS(BD!$A$3:$A$5001,BD!$B$3:$B$5001,T$184,BD!$A$3:$A$5001,"&gt;="&amp;$C$7,BD!$A$3:$A$5001,"&lt;="&amp;$B210,BD!$L$3:$L$5001,"&lt;&gt;"))))</f>
        <v/>
      </c>
      <c r="U210" s="43" t="str">
        <f>IF(OR($B210="",$A210&gt;$B$9,U$184=""),"",IF(COUNTIFS(BD!$B$3:$B$5001,U$184,BD!$A$3:$A$5001,"&gt;="&amp;$C$7,BD!$A$3:$A$5001,"&lt;="&amp;$B210,BD!$L$3:$L$5001,"&lt;&gt;")=0,"",SUMIFS(BD!$L$3:$L$5001,BD!$B$3:$B$5001,U$184,BD!$A$3:$A$5001,_xlfn.MAXIFS(BD!$A$3:$A$5001,BD!$B$3:$B$5001,U$184,BD!$A$3:$A$5001,"&gt;="&amp;$C$7,BD!$A$3:$A$5001,"&lt;="&amp;$B210,BD!$L$3:$L$5001,"&lt;&gt;"))))</f>
        <v/>
      </c>
      <c r="V210" s="43" t="str">
        <f>IF(OR($B210="",$A210&gt;$B$9,V$184=""),"",IF(COUNTIFS(BD!$B$3:$B$5001,V$184,BD!$A$3:$A$5001,"&gt;="&amp;$C$7,BD!$A$3:$A$5001,"&lt;="&amp;$B210,BD!$L$3:$L$5001,"&lt;&gt;")=0,"",SUMIFS(BD!$L$3:$L$5001,BD!$B$3:$B$5001,V$184,BD!$A$3:$A$5001,_xlfn.MAXIFS(BD!$A$3:$A$5001,BD!$B$3:$B$5001,V$184,BD!$A$3:$A$5001,"&gt;="&amp;$C$7,BD!$A$3:$A$5001,"&lt;="&amp;$B210,BD!$L$3:$L$5001,"&lt;&gt;"))))</f>
        <v/>
      </c>
    </row>
    <row r="211">
      <c r="A211" s="38">
        <v>27</v>
      </c>
      <c r="B211" s="42">
        <f>$B$38</f>
        <v>46322</v>
      </c>
      <c r="C211" s="43" t="str">
        <f>IF(OR($B211="",$A211&gt;$B$9,C$184=""),"",IF(COUNTIFS(BD!$B$3:$B$5001,C$184,BD!$A$3:$A$5001,"&gt;="&amp;$C$7,BD!$A$3:$A$5001,"&lt;="&amp;$B211,BD!$L$3:$L$5001,"&lt;&gt;")=0,"",SUMIFS(BD!$L$3:$L$5001,BD!$B$3:$B$5001,C$184,BD!$A$3:$A$5001,_xlfn.MAXIFS(BD!$A$3:$A$5001,BD!$B$3:$B$5001,C$184,BD!$A$3:$A$5001,"&gt;="&amp;$C$7,BD!$A$3:$A$5001,"&lt;="&amp;$B211,BD!$L$3:$L$5001,"&lt;&gt;"))))</f>
        <v/>
      </c>
      <c r="D211" s="43" t="str">
        <f>IF(OR($B211="",$A211&gt;$B$9,D$184=""),"",IF(COUNTIFS(BD!$B$3:$B$5001,D$184,BD!$A$3:$A$5001,"&gt;="&amp;$C$7,BD!$A$3:$A$5001,"&lt;="&amp;$B211,BD!$L$3:$L$5001,"&lt;&gt;")=0,"",SUMIFS(BD!$L$3:$L$5001,BD!$B$3:$B$5001,D$184,BD!$A$3:$A$5001,_xlfn.MAXIFS(BD!$A$3:$A$5001,BD!$B$3:$B$5001,D$184,BD!$A$3:$A$5001,"&gt;="&amp;$C$7,BD!$A$3:$A$5001,"&lt;="&amp;$B211,BD!$L$3:$L$5001,"&lt;&gt;"))))</f>
        <v/>
      </c>
      <c r="E211" s="43" t="str">
        <f>IF(OR($B211="",$A211&gt;$B$9,E$184=""),"",IF(COUNTIFS(BD!$B$3:$B$5001,E$184,BD!$A$3:$A$5001,"&gt;="&amp;$C$7,BD!$A$3:$A$5001,"&lt;="&amp;$B211,BD!$L$3:$L$5001,"&lt;&gt;")=0,"",SUMIFS(BD!$L$3:$L$5001,BD!$B$3:$B$5001,E$184,BD!$A$3:$A$5001,_xlfn.MAXIFS(BD!$A$3:$A$5001,BD!$B$3:$B$5001,E$184,BD!$A$3:$A$5001,"&gt;="&amp;$C$7,BD!$A$3:$A$5001,"&lt;="&amp;$B211,BD!$L$3:$L$5001,"&lt;&gt;"))))</f>
        <v/>
      </c>
      <c r="F211" s="43" t="str">
        <f>IF(OR($B211="",$A211&gt;$B$9,F$184=""),"",IF(COUNTIFS(BD!$B$3:$B$5001,F$184,BD!$A$3:$A$5001,"&gt;="&amp;$C$7,BD!$A$3:$A$5001,"&lt;="&amp;$B211,BD!$L$3:$L$5001,"&lt;&gt;")=0,"",SUMIFS(BD!$L$3:$L$5001,BD!$B$3:$B$5001,F$184,BD!$A$3:$A$5001,_xlfn.MAXIFS(BD!$A$3:$A$5001,BD!$B$3:$B$5001,F$184,BD!$A$3:$A$5001,"&gt;="&amp;$C$7,BD!$A$3:$A$5001,"&lt;="&amp;$B211,BD!$L$3:$L$5001,"&lt;&gt;"))))</f>
        <v/>
      </c>
      <c r="G211" s="43" t="str">
        <f>IF(OR($B211="",$A211&gt;$B$9,G$184=""),"",IF(COUNTIFS(BD!$B$3:$B$5001,G$184,BD!$A$3:$A$5001,"&gt;="&amp;$C$7,BD!$A$3:$A$5001,"&lt;="&amp;$B211,BD!$L$3:$L$5001,"&lt;&gt;")=0,"",SUMIFS(BD!$L$3:$L$5001,BD!$B$3:$B$5001,G$184,BD!$A$3:$A$5001,_xlfn.MAXIFS(BD!$A$3:$A$5001,BD!$B$3:$B$5001,G$184,BD!$A$3:$A$5001,"&gt;="&amp;$C$7,BD!$A$3:$A$5001,"&lt;="&amp;$B211,BD!$L$3:$L$5001,"&lt;&gt;"))))</f>
        <v/>
      </c>
      <c r="H211" s="43" t="str">
        <f>IF(OR($B211="",$A211&gt;$B$9,H$184=""),"",IF(COUNTIFS(BD!$B$3:$B$5001,H$184,BD!$A$3:$A$5001,"&gt;="&amp;$C$7,BD!$A$3:$A$5001,"&lt;="&amp;$B211,BD!$L$3:$L$5001,"&lt;&gt;")=0,"",SUMIFS(BD!$L$3:$L$5001,BD!$B$3:$B$5001,H$184,BD!$A$3:$A$5001,_xlfn.MAXIFS(BD!$A$3:$A$5001,BD!$B$3:$B$5001,H$184,BD!$A$3:$A$5001,"&gt;="&amp;$C$7,BD!$A$3:$A$5001,"&lt;="&amp;$B211,BD!$L$3:$L$5001,"&lt;&gt;"))))</f>
        <v/>
      </c>
      <c r="I211" s="43" t="str">
        <f>IF(OR($B211="",$A211&gt;$B$9,I$184=""),"",IF(COUNTIFS(BD!$B$3:$B$5001,I$184,BD!$A$3:$A$5001,"&gt;="&amp;$C$7,BD!$A$3:$A$5001,"&lt;="&amp;$B211,BD!$L$3:$L$5001,"&lt;&gt;")=0,"",SUMIFS(BD!$L$3:$L$5001,BD!$B$3:$B$5001,I$184,BD!$A$3:$A$5001,_xlfn.MAXIFS(BD!$A$3:$A$5001,BD!$B$3:$B$5001,I$184,BD!$A$3:$A$5001,"&gt;="&amp;$C$7,BD!$A$3:$A$5001,"&lt;="&amp;$B211,BD!$L$3:$L$5001,"&lt;&gt;"))))</f>
        <v/>
      </c>
      <c r="J211" s="43" t="str">
        <f>IF(OR($B211="",$A211&gt;$B$9,J$184=""),"",IF(COUNTIFS(BD!$B$3:$B$5001,J$184,BD!$A$3:$A$5001,"&gt;="&amp;$C$7,BD!$A$3:$A$5001,"&lt;="&amp;$B211,BD!$L$3:$L$5001,"&lt;&gt;")=0,"",SUMIFS(BD!$L$3:$L$5001,BD!$B$3:$B$5001,J$184,BD!$A$3:$A$5001,_xlfn.MAXIFS(BD!$A$3:$A$5001,BD!$B$3:$B$5001,J$184,BD!$A$3:$A$5001,"&gt;="&amp;$C$7,BD!$A$3:$A$5001,"&lt;="&amp;$B211,BD!$L$3:$L$5001,"&lt;&gt;"))))</f>
        <v/>
      </c>
      <c r="K211" s="43" t="str">
        <f>IF(OR($B211="",$A211&gt;$B$9,K$184=""),"",IF(COUNTIFS(BD!$B$3:$B$5001,K$184,BD!$A$3:$A$5001,"&gt;="&amp;$C$7,BD!$A$3:$A$5001,"&lt;="&amp;$B211,BD!$L$3:$L$5001,"&lt;&gt;")=0,"",SUMIFS(BD!$L$3:$L$5001,BD!$B$3:$B$5001,K$184,BD!$A$3:$A$5001,_xlfn.MAXIFS(BD!$A$3:$A$5001,BD!$B$3:$B$5001,K$184,BD!$A$3:$A$5001,"&gt;="&amp;$C$7,BD!$A$3:$A$5001,"&lt;="&amp;$B211,BD!$L$3:$L$5001,"&lt;&gt;"))))</f>
        <v/>
      </c>
      <c r="L211" s="43" t="str">
        <f>IF(OR($B211="",$A211&gt;$B$9,L$184=""),"",IF(COUNTIFS(BD!$B$3:$B$5001,L$184,BD!$A$3:$A$5001,"&gt;="&amp;$C$7,BD!$A$3:$A$5001,"&lt;="&amp;$B211,BD!$L$3:$L$5001,"&lt;&gt;")=0,"",SUMIFS(BD!$L$3:$L$5001,BD!$B$3:$B$5001,L$184,BD!$A$3:$A$5001,_xlfn.MAXIFS(BD!$A$3:$A$5001,BD!$B$3:$B$5001,L$184,BD!$A$3:$A$5001,"&gt;="&amp;$C$7,BD!$A$3:$A$5001,"&lt;="&amp;$B211,BD!$L$3:$L$5001,"&lt;&gt;"))))</f>
        <v/>
      </c>
      <c r="M211" s="43" t="str">
        <f>IF(OR($B211="",$A211&gt;$B$9,M$184=""),"",IF(COUNTIFS(BD!$B$3:$B$5001,M$184,BD!$A$3:$A$5001,"&gt;="&amp;$C$7,BD!$A$3:$A$5001,"&lt;="&amp;$B211,BD!$L$3:$L$5001,"&lt;&gt;")=0,"",SUMIFS(BD!$L$3:$L$5001,BD!$B$3:$B$5001,M$184,BD!$A$3:$A$5001,_xlfn.MAXIFS(BD!$A$3:$A$5001,BD!$B$3:$B$5001,M$184,BD!$A$3:$A$5001,"&gt;="&amp;$C$7,BD!$A$3:$A$5001,"&lt;="&amp;$B211,BD!$L$3:$L$5001,"&lt;&gt;"))))</f>
        <v/>
      </c>
      <c r="N211" s="43" t="str">
        <f>IF(OR($B211="",$A211&gt;$B$9,N$184=""),"",IF(COUNTIFS(BD!$B$3:$B$5001,N$184,BD!$A$3:$A$5001,"&gt;="&amp;$C$7,BD!$A$3:$A$5001,"&lt;="&amp;$B211,BD!$L$3:$L$5001,"&lt;&gt;")=0,"",SUMIFS(BD!$L$3:$L$5001,BD!$B$3:$B$5001,N$184,BD!$A$3:$A$5001,_xlfn.MAXIFS(BD!$A$3:$A$5001,BD!$B$3:$B$5001,N$184,BD!$A$3:$A$5001,"&gt;="&amp;$C$7,BD!$A$3:$A$5001,"&lt;="&amp;$B211,BD!$L$3:$L$5001,"&lt;&gt;"))))</f>
        <v/>
      </c>
      <c r="O211" s="43" t="str">
        <f>IF(OR($B211="",$A211&gt;$B$9,O$184=""),"",IF(COUNTIFS(BD!$B$3:$B$5001,O$184,BD!$A$3:$A$5001,"&gt;="&amp;$C$7,BD!$A$3:$A$5001,"&lt;="&amp;$B211,BD!$L$3:$L$5001,"&lt;&gt;")=0,"",SUMIFS(BD!$L$3:$L$5001,BD!$B$3:$B$5001,O$184,BD!$A$3:$A$5001,_xlfn.MAXIFS(BD!$A$3:$A$5001,BD!$B$3:$B$5001,O$184,BD!$A$3:$A$5001,"&gt;="&amp;$C$7,BD!$A$3:$A$5001,"&lt;="&amp;$B211,BD!$L$3:$L$5001,"&lt;&gt;"))))</f>
        <v/>
      </c>
      <c r="P211" s="43" t="str">
        <f>IF(OR($B211="",$A211&gt;$B$9,P$184=""),"",IF(COUNTIFS(BD!$B$3:$B$5001,P$184,BD!$A$3:$A$5001,"&gt;="&amp;$C$7,BD!$A$3:$A$5001,"&lt;="&amp;$B211,BD!$L$3:$L$5001,"&lt;&gt;")=0,"",SUMIFS(BD!$L$3:$L$5001,BD!$B$3:$B$5001,P$184,BD!$A$3:$A$5001,_xlfn.MAXIFS(BD!$A$3:$A$5001,BD!$B$3:$B$5001,P$184,BD!$A$3:$A$5001,"&gt;="&amp;$C$7,BD!$A$3:$A$5001,"&lt;="&amp;$B211,BD!$L$3:$L$5001,"&lt;&gt;"))))</f>
        <v/>
      </c>
      <c r="Q211" s="43" t="str">
        <f>IF(OR($B211="",$A211&gt;$B$9,Q$184=""),"",IF(COUNTIFS(BD!$B$3:$B$5001,Q$184,BD!$A$3:$A$5001,"&gt;="&amp;$C$7,BD!$A$3:$A$5001,"&lt;="&amp;$B211,BD!$L$3:$L$5001,"&lt;&gt;")=0,"",SUMIFS(BD!$L$3:$L$5001,BD!$B$3:$B$5001,Q$184,BD!$A$3:$A$5001,_xlfn.MAXIFS(BD!$A$3:$A$5001,BD!$B$3:$B$5001,Q$184,BD!$A$3:$A$5001,"&gt;="&amp;$C$7,BD!$A$3:$A$5001,"&lt;="&amp;$B211,BD!$L$3:$L$5001,"&lt;&gt;"))))</f>
        <v/>
      </c>
      <c r="R211" s="43" t="str">
        <f>IF(OR($B211="",$A211&gt;$B$9,R$184=""),"",IF(COUNTIFS(BD!$B$3:$B$5001,R$184,BD!$A$3:$A$5001,"&gt;="&amp;$C$7,BD!$A$3:$A$5001,"&lt;="&amp;$B211,BD!$L$3:$L$5001,"&lt;&gt;")=0,"",SUMIFS(BD!$L$3:$L$5001,BD!$B$3:$B$5001,R$184,BD!$A$3:$A$5001,_xlfn.MAXIFS(BD!$A$3:$A$5001,BD!$B$3:$B$5001,R$184,BD!$A$3:$A$5001,"&gt;="&amp;$C$7,BD!$A$3:$A$5001,"&lt;="&amp;$B211,BD!$L$3:$L$5001,"&lt;&gt;"))))</f>
        <v/>
      </c>
      <c r="S211" s="43" t="str">
        <f>IF(OR($B211="",$A211&gt;$B$9,S$184=""),"",IF(COUNTIFS(BD!$B$3:$B$5001,S$184,BD!$A$3:$A$5001,"&gt;="&amp;$C$7,BD!$A$3:$A$5001,"&lt;="&amp;$B211,BD!$L$3:$L$5001,"&lt;&gt;")=0,"",SUMIFS(BD!$L$3:$L$5001,BD!$B$3:$B$5001,S$184,BD!$A$3:$A$5001,_xlfn.MAXIFS(BD!$A$3:$A$5001,BD!$B$3:$B$5001,S$184,BD!$A$3:$A$5001,"&gt;="&amp;$C$7,BD!$A$3:$A$5001,"&lt;="&amp;$B211,BD!$L$3:$L$5001,"&lt;&gt;"))))</f>
        <v/>
      </c>
      <c r="T211" s="43" t="str">
        <f>IF(OR($B211="",$A211&gt;$B$9,T$184=""),"",IF(COUNTIFS(BD!$B$3:$B$5001,T$184,BD!$A$3:$A$5001,"&gt;="&amp;$C$7,BD!$A$3:$A$5001,"&lt;="&amp;$B211,BD!$L$3:$L$5001,"&lt;&gt;")=0,"",SUMIFS(BD!$L$3:$L$5001,BD!$B$3:$B$5001,T$184,BD!$A$3:$A$5001,_xlfn.MAXIFS(BD!$A$3:$A$5001,BD!$B$3:$B$5001,T$184,BD!$A$3:$A$5001,"&gt;="&amp;$C$7,BD!$A$3:$A$5001,"&lt;="&amp;$B211,BD!$L$3:$L$5001,"&lt;&gt;"))))</f>
        <v/>
      </c>
      <c r="U211" s="43" t="str">
        <f>IF(OR($B211="",$A211&gt;$B$9,U$184=""),"",IF(COUNTIFS(BD!$B$3:$B$5001,U$184,BD!$A$3:$A$5001,"&gt;="&amp;$C$7,BD!$A$3:$A$5001,"&lt;="&amp;$B211,BD!$L$3:$L$5001,"&lt;&gt;")=0,"",SUMIFS(BD!$L$3:$L$5001,BD!$B$3:$B$5001,U$184,BD!$A$3:$A$5001,_xlfn.MAXIFS(BD!$A$3:$A$5001,BD!$B$3:$B$5001,U$184,BD!$A$3:$A$5001,"&gt;="&amp;$C$7,BD!$A$3:$A$5001,"&lt;="&amp;$B211,BD!$L$3:$L$5001,"&lt;&gt;"))))</f>
        <v/>
      </c>
      <c r="V211" s="43" t="str">
        <f>IF(OR($B211="",$A211&gt;$B$9,V$184=""),"",IF(COUNTIFS(BD!$B$3:$B$5001,V$184,BD!$A$3:$A$5001,"&gt;="&amp;$C$7,BD!$A$3:$A$5001,"&lt;="&amp;$B211,BD!$L$3:$L$5001,"&lt;&gt;")=0,"",SUMIFS(BD!$L$3:$L$5001,BD!$B$3:$B$5001,V$184,BD!$A$3:$A$5001,_xlfn.MAXIFS(BD!$A$3:$A$5001,BD!$B$3:$B$5001,V$184,BD!$A$3:$A$5001,"&gt;="&amp;$C$7,BD!$A$3:$A$5001,"&lt;="&amp;$B211,BD!$L$3:$L$5001,"&lt;&gt;"))))</f>
        <v/>
      </c>
    </row>
    <row r="212">
      <c r="A212" s="38">
        <v>28</v>
      </c>
      <c r="B212" s="42">
        <f>$B$39</f>
        <v>46323</v>
      </c>
      <c r="C212" s="43" t="str">
        <f>IF(OR($B212="",$A212&gt;$B$9,C$184=""),"",IF(COUNTIFS(BD!$B$3:$B$5001,C$184,BD!$A$3:$A$5001,"&gt;="&amp;$C$7,BD!$A$3:$A$5001,"&lt;="&amp;$B212,BD!$L$3:$L$5001,"&lt;&gt;")=0,"",SUMIFS(BD!$L$3:$L$5001,BD!$B$3:$B$5001,C$184,BD!$A$3:$A$5001,_xlfn.MAXIFS(BD!$A$3:$A$5001,BD!$B$3:$B$5001,C$184,BD!$A$3:$A$5001,"&gt;="&amp;$C$7,BD!$A$3:$A$5001,"&lt;="&amp;$B212,BD!$L$3:$L$5001,"&lt;&gt;"))))</f>
        <v/>
      </c>
      <c r="D212" s="43" t="str">
        <f>IF(OR($B212="",$A212&gt;$B$9,D$184=""),"",IF(COUNTIFS(BD!$B$3:$B$5001,D$184,BD!$A$3:$A$5001,"&gt;="&amp;$C$7,BD!$A$3:$A$5001,"&lt;="&amp;$B212,BD!$L$3:$L$5001,"&lt;&gt;")=0,"",SUMIFS(BD!$L$3:$L$5001,BD!$B$3:$B$5001,D$184,BD!$A$3:$A$5001,_xlfn.MAXIFS(BD!$A$3:$A$5001,BD!$B$3:$B$5001,D$184,BD!$A$3:$A$5001,"&gt;="&amp;$C$7,BD!$A$3:$A$5001,"&lt;="&amp;$B212,BD!$L$3:$L$5001,"&lt;&gt;"))))</f>
        <v/>
      </c>
      <c r="E212" s="43" t="str">
        <f>IF(OR($B212="",$A212&gt;$B$9,E$184=""),"",IF(COUNTIFS(BD!$B$3:$B$5001,E$184,BD!$A$3:$A$5001,"&gt;="&amp;$C$7,BD!$A$3:$A$5001,"&lt;="&amp;$B212,BD!$L$3:$L$5001,"&lt;&gt;")=0,"",SUMIFS(BD!$L$3:$L$5001,BD!$B$3:$B$5001,E$184,BD!$A$3:$A$5001,_xlfn.MAXIFS(BD!$A$3:$A$5001,BD!$B$3:$B$5001,E$184,BD!$A$3:$A$5001,"&gt;="&amp;$C$7,BD!$A$3:$A$5001,"&lt;="&amp;$B212,BD!$L$3:$L$5001,"&lt;&gt;"))))</f>
        <v/>
      </c>
      <c r="F212" s="43" t="str">
        <f>IF(OR($B212="",$A212&gt;$B$9,F$184=""),"",IF(COUNTIFS(BD!$B$3:$B$5001,F$184,BD!$A$3:$A$5001,"&gt;="&amp;$C$7,BD!$A$3:$A$5001,"&lt;="&amp;$B212,BD!$L$3:$L$5001,"&lt;&gt;")=0,"",SUMIFS(BD!$L$3:$L$5001,BD!$B$3:$B$5001,F$184,BD!$A$3:$A$5001,_xlfn.MAXIFS(BD!$A$3:$A$5001,BD!$B$3:$B$5001,F$184,BD!$A$3:$A$5001,"&gt;="&amp;$C$7,BD!$A$3:$A$5001,"&lt;="&amp;$B212,BD!$L$3:$L$5001,"&lt;&gt;"))))</f>
        <v/>
      </c>
      <c r="G212" s="43" t="str">
        <f>IF(OR($B212="",$A212&gt;$B$9,G$184=""),"",IF(COUNTIFS(BD!$B$3:$B$5001,G$184,BD!$A$3:$A$5001,"&gt;="&amp;$C$7,BD!$A$3:$A$5001,"&lt;="&amp;$B212,BD!$L$3:$L$5001,"&lt;&gt;")=0,"",SUMIFS(BD!$L$3:$L$5001,BD!$B$3:$B$5001,G$184,BD!$A$3:$A$5001,_xlfn.MAXIFS(BD!$A$3:$A$5001,BD!$B$3:$B$5001,G$184,BD!$A$3:$A$5001,"&gt;="&amp;$C$7,BD!$A$3:$A$5001,"&lt;="&amp;$B212,BD!$L$3:$L$5001,"&lt;&gt;"))))</f>
        <v/>
      </c>
      <c r="H212" s="43" t="str">
        <f>IF(OR($B212="",$A212&gt;$B$9,H$184=""),"",IF(COUNTIFS(BD!$B$3:$B$5001,H$184,BD!$A$3:$A$5001,"&gt;="&amp;$C$7,BD!$A$3:$A$5001,"&lt;="&amp;$B212,BD!$L$3:$L$5001,"&lt;&gt;")=0,"",SUMIFS(BD!$L$3:$L$5001,BD!$B$3:$B$5001,H$184,BD!$A$3:$A$5001,_xlfn.MAXIFS(BD!$A$3:$A$5001,BD!$B$3:$B$5001,H$184,BD!$A$3:$A$5001,"&gt;="&amp;$C$7,BD!$A$3:$A$5001,"&lt;="&amp;$B212,BD!$L$3:$L$5001,"&lt;&gt;"))))</f>
        <v/>
      </c>
      <c r="I212" s="43" t="str">
        <f>IF(OR($B212="",$A212&gt;$B$9,I$184=""),"",IF(COUNTIFS(BD!$B$3:$B$5001,I$184,BD!$A$3:$A$5001,"&gt;="&amp;$C$7,BD!$A$3:$A$5001,"&lt;="&amp;$B212,BD!$L$3:$L$5001,"&lt;&gt;")=0,"",SUMIFS(BD!$L$3:$L$5001,BD!$B$3:$B$5001,I$184,BD!$A$3:$A$5001,_xlfn.MAXIFS(BD!$A$3:$A$5001,BD!$B$3:$B$5001,I$184,BD!$A$3:$A$5001,"&gt;="&amp;$C$7,BD!$A$3:$A$5001,"&lt;="&amp;$B212,BD!$L$3:$L$5001,"&lt;&gt;"))))</f>
        <v/>
      </c>
      <c r="J212" s="43" t="str">
        <f>IF(OR($B212="",$A212&gt;$B$9,J$184=""),"",IF(COUNTIFS(BD!$B$3:$B$5001,J$184,BD!$A$3:$A$5001,"&gt;="&amp;$C$7,BD!$A$3:$A$5001,"&lt;="&amp;$B212,BD!$L$3:$L$5001,"&lt;&gt;")=0,"",SUMIFS(BD!$L$3:$L$5001,BD!$B$3:$B$5001,J$184,BD!$A$3:$A$5001,_xlfn.MAXIFS(BD!$A$3:$A$5001,BD!$B$3:$B$5001,J$184,BD!$A$3:$A$5001,"&gt;="&amp;$C$7,BD!$A$3:$A$5001,"&lt;="&amp;$B212,BD!$L$3:$L$5001,"&lt;&gt;"))))</f>
        <v/>
      </c>
      <c r="K212" s="43" t="str">
        <f>IF(OR($B212="",$A212&gt;$B$9,K$184=""),"",IF(COUNTIFS(BD!$B$3:$B$5001,K$184,BD!$A$3:$A$5001,"&gt;="&amp;$C$7,BD!$A$3:$A$5001,"&lt;="&amp;$B212,BD!$L$3:$L$5001,"&lt;&gt;")=0,"",SUMIFS(BD!$L$3:$L$5001,BD!$B$3:$B$5001,K$184,BD!$A$3:$A$5001,_xlfn.MAXIFS(BD!$A$3:$A$5001,BD!$B$3:$B$5001,K$184,BD!$A$3:$A$5001,"&gt;="&amp;$C$7,BD!$A$3:$A$5001,"&lt;="&amp;$B212,BD!$L$3:$L$5001,"&lt;&gt;"))))</f>
        <v/>
      </c>
      <c r="L212" s="43" t="str">
        <f>IF(OR($B212="",$A212&gt;$B$9,L$184=""),"",IF(COUNTIFS(BD!$B$3:$B$5001,L$184,BD!$A$3:$A$5001,"&gt;="&amp;$C$7,BD!$A$3:$A$5001,"&lt;="&amp;$B212,BD!$L$3:$L$5001,"&lt;&gt;")=0,"",SUMIFS(BD!$L$3:$L$5001,BD!$B$3:$B$5001,L$184,BD!$A$3:$A$5001,_xlfn.MAXIFS(BD!$A$3:$A$5001,BD!$B$3:$B$5001,L$184,BD!$A$3:$A$5001,"&gt;="&amp;$C$7,BD!$A$3:$A$5001,"&lt;="&amp;$B212,BD!$L$3:$L$5001,"&lt;&gt;"))))</f>
        <v/>
      </c>
      <c r="M212" s="43" t="str">
        <f>IF(OR($B212="",$A212&gt;$B$9,M$184=""),"",IF(COUNTIFS(BD!$B$3:$B$5001,M$184,BD!$A$3:$A$5001,"&gt;="&amp;$C$7,BD!$A$3:$A$5001,"&lt;="&amp;$B212,BD!$L$3:$L$5001,"&lt;&gt;")=0,"",SUMIFS(BD!$L$3:$L$5001,BD!$B$3:$B$5001,M$184,BD!$A$3:$A$5001,_xlfn.MAXIFS(BD!$A$3:$A$5001,BD!$B$3:$B$5001,M$184,BD!$A$3:$A$5001,"&gt;="&amp;$C$7,BD!$A$3:$A$5001,"&lt;="&amp;$B212,BD!$L$3:$L$5001,"&lt;&gt;"))))</f>
        <v/>
      </c>
      <c r="N212" s="43" t="str">
        <f>IF(OR($B212="",$A212&gt;$B$9,N$184=""),"",IF(COUNTIFS(BD!$B$3:$B$5001,N$184,BD!$A$3:$A$5001,"&gt;="&amp;$C$7,BD!$A$3:$A$5001,"&lt;="&amp;$B212,BD!$L$3:$L$5001,"&lt;&gt;")=0,"",SUMIFS(BD!$L$3:$L$5001,BD!$B$3:$B$5001,N$184,BD!$A$3:$A$5001,_xlfn.MAXIFS(BD!$A$3:$A$5001,BD!$B$3:$B$5001,N$184,BD!$A$3:$A$5001,"&gt;="&amp;$C$7,BD!$A$3:$A$5001,"&lt;="&amp;$B212,BD!$L$3:$L$5001,"&lt;&gt;"))))</f>
        <v/>
      </c>
      <c r="O212" s="43" t="str">
        <f>IF(OR($B212="",$A212&gt;$B$9,O$184=""),"",IF(COUNTIFS(BD!$B$3:$B$5001,O$184,BD!$A$3:$A$5001,"&gt;="&amp;$C$7,BD!$A$3:$A$5001,"&lt;="&amp;$B212,BD!$L$3:$L$5001,"&lt;&gt;")=0,"",SUMIFS(BD!$L$3:$L$5001,BD!$B$3:$B$5001,O$184,BD!$A$3:$A$5001,_xlfn.MAXIFS(BD!$A$3:$A$5001,BD!$B$3:$B$5001,O$184,BD!$A$3:$A$5001,"&gt;="&amp;$C$7,BD!$A$3:$A$5001,"&lt;="&amp;$B212,BD!$L$3:$L$5001,"&lt;&gt;"))))</f>
        <v/>
      </c>
      <c r="P212" s="43" t="str">
        <f>IF(OR($B212="",$A212&gt;$B$9,P$184=""),"",IF(COUNTIFS(BD!$B$3:$B$5001,P$184,BD!$A$3:$A$5001,"&gt;="&amp;$C$7,BD!$A$3:$A$5001,"&lt;="&amp;$B212,BD!$L$3:$L$5001,"&lt;&gt;")=0,"",SUMIFS(BD!$L$3:$L$5001,BD!$B$3:$B$5001,P$184,BD!$A$3:$A$5001,_xlfn.MAXIFS(BD!$A$3:$A$5001,BD!$B$3:$B$5001,P$184,BD!$A$3:$A$5001,"&gt;="&amp;$C$7,BD!$A$3:$A$5001,"&lt;="&amp;$B212,BD!$L$3:$L$5001,"&lt;&gt;"))))</f>
        <v/>
      </c>
      <c r="Q212" s="43" t="str">
        <f>IF(OR($B212="",$A212&gt;$B$9,Q$184=""),"",IF(COUNTIFS(BD!$B$3:$B$5001,Q$184,BD!$A$3:$A$5001,"&gt;="&amp;$C$7,BD!$A$3:$A$5001,"&lt;="&amp;$B212,BD!$L$3:$L$5001,"&lt;&gt;")=0,"",SUMIFS(BD!$L$3:$L$5001,BD!$B$3:$B$5001,Q$184,BD!$A$3:$A$5001,_xlfn.MAXIFS(BD!$A$3:$A$5001,BD!$B$3:$B$5001,Q$184,BD!$A$3:$A$5001,"&gt;="&amp;$C$7,BD!$A$3:$A$5001,"&lt;="&amp;$B212,BD!$L$3:$L$5001,"&lt;&gt;"))))</f>
        <v/>
      </c>
      <c r="R212" s="43" t="str">
        <f>IF(OR($B212="",$A212&gt;$B$9,R$184=""),"",IF(COUNTIFS(BD!$B$3:$B$5001,R$184,BD!$A$3:$A$5001,"&gt;="&amp;$C$7,BD!$A$3:$A$5001,"&lt;="&amp;$B212,BD!$L$3:$L$5001,"&lt;&gt;")=0,"",SUMIFS(BD!$L$3:$L$5001,BD!$B$3:$B$5001,R$184,BD!$A$3:$A$5001,_xlfn.MAXIFS(BD!$A$3:$A$5001,BD!$B$3:$B$5001,R$184,BD!$A$3:$A$5001,"&gt;="&amp;$C$7,BD!$A$3:$A$5001,"&lt;="&amp;$B212,BD!$L$3:$L$5001,"&lt;&gt;"))))</f>
        <v/>
      </c>
      <c r="S212" s="43" t="str">
        <f>IF(OR($B212="",$A212&gt;$B$9,S$184=""),"",IF(COUNTIFS(BD!$B$3:$B$5001,S$184,BD!$A$3:$A$5001,"&gt;="&amp;$C$7,BD!$A$3:$A$5001,"&lt;="&amp;$B212,BD!$L$3:$L$5001,"&lt;&gt;")=0,"",SUMIFS(BD!$L$3:$L$5001,BD!$B$3:$B$5001,S$184,BD!$A$3:$A$5001,_xlfn.MAXIFS(BD!$A$3:$A$5001,BD!$B$3:$B$5001,S$184,BD!$A$3:$A$5001,"&gt;="&amp;$C$7,BD!$A$3:$A$5001,"&lt;="&amp;$B212,BD!$L$3:$L$5001,"&lt;&gt;"))))</f>
        <v/>
      </c>
      <c r="T212" s="43" t="str">
        <f>IF(OR($B212="",$A212&gt;$B$9,T$184=""),"",IF(COUNTIFS(BD!$B$3:$B$5001,T$184,BD!$A$3:$A$5001,"&gt;="&amp;$C$7,BD!$A$3:$A$5001,"&lt;="&amp;$B212,BD!$L$3:$L$5001,"&lt;&gt;")=0,"",SUMIFS(BD!$L$3:$L$5001,BD!$B$3:$B$5001,T$184,BD!$A$3:$A$5001,_xlfn.MAXIFS(BD!$A$3:$A$5001,BD!$B$3:$B$5001,T$184,BD!$A$3:$A$5001,"&gt;="&amp;$C$7,BD!$A$3:$A$5001,"&lt;="&amp;$B212,BD!$L$3:$L$5001,"&lt;&gt;"))))</f>
        <v/>
      </c>
      <c r="U212" s="43" t="str">
        <f>IF(OR($B212="",$A212&gt;$B$9,U$184=""),"",IF(COUNTIFS(BD!$B$3:$B$5001,U$184,BD!$A$3:$A$5001,"&gt;="&amp;$C$7,BD!$A$3:$A$5001,"&lt;="&amp;$B212,BD!$L$3:$L$5001,"&lt;&gt;")=0,"",SUMIFS(BD!$L$3:$L$5001,BD!$B$3:$B$5001,U$184,BD!$A$3:$A$5001,_xlfn.MAXIFS(BD!$A$3:$A$5001,BD!$B$3:$B$5001,U$184,BD!$A$3:$A$5001,"&gt;="&amp;$C$7,BD!$A$3:$A$5001,"&lt;="&amp;$B212,BD!$L$3:$L$5001,"&lt;&gt;"))))</f>
        <v/>
      </c>
      <c r="V212" s="43" t="str">
        <f>IF(OR($B212="",$A212&gt;$B$9,V$184=""),"",IF(COUNTIFS(BD!$B$3:$B$5001,V$184,BD!$A$3:$A$5001,"&gt;="&amp;$C$7,BD!$A$3:$A$5001,"&lt;="&amp;$B212,BD!$L$3:$L$5001,"&lt;&gt;")=0,"",SUMIFS(BD!$L$3:$L$5001,BD!$B$3:$B$5001,V$184,BD!$A$3:$A$5001,_xlfn.MAXIFS(BD!$A$3:$A$5001,BD!$B$3:$B$5001,V$184,BD!$A$3:$A$5001,"&gt;="&amp;$C$7,BD!$A$3:$A$5001,"&lt;="&amp;$B212,BD!$L$3:$L$5001,"&lt;&gt;"))))</f>
        <v/>
      </c>
    </row>
    <row r="213">
      <c r="A213" s="38">
        <v>29</v>
      </c>
      <c r="B213" s="42">
        <f>$B$40</f>
        <v>46324</v>
      </c>
      <c r="C213" s="43" t="str">
        <f>IF(OR($B213="",$A213&gt;$B$9,C$184=""),"",IF(COUNTIFS(BD!$B$3:$B$5001,C$184,BD!$A$3:$A$5001,"&gt;="&amp;$C$7,BD!$A$3:$A$5001,"&lt;="&amp;$B213,BD!$L$3:$L$5001,"&lt;&gt;")=0,"",SUMIFS(BD!$L$3:$L$5001,BD!$B$3:$B$5001,C$184,BD!$A$3:$A$5001,_xlfn.MAXIFS(BD!$A$3:$A$5001,BD!$B$3:$B$5001,C$184,BD!$A$3:$A$5001,"&gt;="&amp;$C$7,BD!$A$3:$A$5001,"&lt;="&amp;$B213,BD!$L$3:$L$5001,"&lt;&gt;"))))</f>
        <v/>
      </c>
      <c r="D213" s="43" t="str">
        <f>IF(OR($B213="",$A213&gt;$B$9,D$184=""),"",IF(COUNTIFS(BD!$B$3:$B$5001,D$184,BD!$A$3:$A$5001,"&gt;="&amp;$C$7,BD!$A$3:$A$5001,"&lt;="&amp;$B213,BD!$L$3:$L$5001,"&lt;&gt;")=0,"",SUMIFS(BD!$L$3:$L$5001,BD!$B$3:$B$5001,D$184,BD!$A$3:$A$5001,_xlfn.MAXIFS(BD!$A$3:$A$5001,BD!$B$3:$B$5001,D$184,BD!$A$3:$A$5001,"&gt;="&amp;$C$7,BD!$A$3:$A$5001,"&lt;="&amp;$B213,BD!$L$3:$L$5001,"&lt;&gt;"))))</f>
        <v/>
      </c>
      <c r="E213" s="43" t="str">
        <f>IF(OR($B213="",$A213&gt;$B$9,E$184=""),"",IF(COUNTIFS(BD!$B$3:$B$5001,E$184,BD!$A$3:$A$5001,"&gt;="&amp;$C$7,BD!$A$3:$A$5001,"&lt;="&amp;$B213,BD!$L$3:$L$5001,"&lt;&gt;")=0,"",SUMIFS(BD!$L$3:$L$5001,BD!$B$3:$B$5001,E$184,BD!$A$3:$A$5001,_xlfn.MAXIFS(BD!$A$3:$A$5001,BD!$B$3:$B$5001,E$184,BD!$A$3:$A$5001,"&gt;="&amp;$C$7,BD!$A$3:$A$5001,"&lt;="&amp;$B213,BD!$L$3:$L$5001,"&lt;&gt;"))))</f>
        <v/>
      </c>
      <c r="F213" s="43" t="str">
        <f>IF(OR($B213="",$A213&gt;$B$9,F$184=""),"",IF(COUNTIFS(BD!$B$3:$B$5001,F$184,BD!$A$3:$A$5001,"&gt;="&amp;$C$7,BD!$A$3:$A$5001,"&lt;="&amp;$B213,BD!$L$3:$L$5001,"&lt;&gt;")=0,"",SUMIFS(BD!$L$3:$L$5001,BD!$B$3:$B$5001,F$184,BD!$A$3:$A$5001,_xlfn.MAXIFS(BD!$A$3:$A$5001,BD!$B$3:$B$5001,F$184,BD!$A$3:$A$5001,"&gt;="&amp;$C$7,BD!$A$3:$A$5001,"&lt;="&amp;$B213,BD!$L$3:$L$5001,"&lt;&gt;"))))</f>
        <v/>
      </c>
      <c r="G213" s="43" t="str">
        <f>IF(OR($B213="",$A213&gt;$B$9,G$184=""),"",IF(COUNTIFS(BD!$B$3:$B$5001,G$184,BD!$A$3:$A$5001,"&gt;="&amp;$C$7,BD!$A$3:$A$5001,"&lt;="&amp;$B213,BD!$L$3:$L$5001,"&lt;&gt;")=0,"",SUMIFS(BD!$L$3:$L$5001,BD!$B$3:$B$5001,G$184,BD!$A$3:$A$5001,_xlfn.MAXIFS(BD!$A$3:$A$5001,BD!$B$3:$B$5001,G$184,BD!$A$3:$A$5001,"&gt;="&amp;$C$7,BD!$A$3:$A$5001,"&lt;="&amp;$B213,BD!$L$3:$L$5001,"&lt;&gt;"))))</f>
        <v/>
      </c>
      <c r="H213" s="43" t="str">
        <f>IF(OR($B213="",$A213&gt;$B$9,H$184=""),"",IF(COUNTIFS(BD!$B$3:$B$5001,H$184,BD!$A$3:$A$5001,"&gt;="&amp;$C$7,BD!$A$3:$A$5001,"&lt;="&amp;$B213,BD!$L$3:$L$5001,"&lt;&gt;")=0,"",SUMIFS(BD!$L$3:$L$5001,BD!$B$3:$B$5001,H$184,BD!$A$3:$A$5001,_xlfn.MAXIFS(BD!$A$3:$A$5001,BD!$B$3:$B$5001,H$184,BD!$A$3:$A$5001,"&gt;="&amp;$C$7,BD!$A$3:$A$5001,"&lt;="&amp;$B213,BD!$L$3:$L$5001,"&lt;&gt;"))))</f>
        <v/>
      </c>
      <c r="I213" s="43" t="str">
        <f>IF(OR($B213="",$A213&gt;$B$9,I$184=""),"",IF(COUNTIFS(BD!$B$3:$B$5001,I$184,BD!$A$3:$A$5001,"&gt;="&amp;$C$7,BD!$A$3:$A$5001,"&lt;="&amp;$B213,BD!$L$3:$L$5001,"&lt;&gt;")=0,"",SUMIFS(BD!$L$3:$L$5001,BD!$B$3:$B$5001,I$184,BD!$A$3:$A$5001,_xlfn.MAXIFS(BD!$A$3:$A$5001,BD!$B$3:$B$5001,I$184,BD!$A$3:$A$5001,"&gt;="&amp;$C$7,BD!$A$3:$A$5001,"&lt;="&amp;$B213,BD!$L$3:$L$5001,"&lt;&gt;"))))</f>
        <v/>
      </c>
      <c r="J213" s="43" t="str">
        <f>IF(OR($B213="",$A213&gt;$B$9,J$184=""),"",IF(COUNTIFS(BD!$B$3:$B$5001,J$184,BD!$A$3:$A$5001,"&gt;="&amp;$C$7,BD!$A$3:$A$5001,"&lt;="&amp;$B213,BD!$L$3:$L$5001,"&lt;&gt;")=0,"",SUMIFS(BD!$L$3:$L$5001,BD!$B$3:$B$5001,J$184,BD!$A$3:$A$5001,_xlfn.MAXIFS(BD!$A$3:$A$5001,BD!$B$3:$B$5001,J$184,BD!$A$3:$A$5001,"&gt;="&amp;$C$7,BD!$A$3:$A$5001,"&lt;="&amp;$B213,BD!$L$3:$L$5001,"&lt;&gt;"))))</f>
        <v/>
      </c>
      <c r="K213" s="43" t="str">
        <f>IF(OR($B213="",$A213&gt;$B$9,K$184=""),"",IF(COUNTIFS(BD!$B$3:$B$5001,K$184,BD!$A$3:$A$5001,"&gt;="&amp;$C$7,BD!$A$3:$A$5001,"&lt;="&amp;$B213,BD!$L$3:$L$5001,"&lt;&gt;")=0,"",SUMIFS(BD!$L$3:$L$5001,BD!$B$3:$B$5001,K$184,BD!$A$3:$A$5001,_xlfn.MAXIFS(BD!$A$3:$A$5001,BD!$B$3:$B$5001,K$184,BD!$A$3:$A$5001,"&gt;="&amp;$C$7,BD!$A$3:$A$5001,"&lt;="&amp;$B213,BD!$L$3:$L$5001,"&lt;&gt;"))))</f>
        <v/>
      </c>
      <c r="L213" s="43" t="str">
        <f>IF(OR($B213="",$A213&gt;$B$9,L$184=""),"",IF(COUNTIFS(BD!$B$3:$B$5001,L$184,BD!$A$3:$A$5001,"&gt;="&amp;$C$7,BD!$A$3:$A$5001,"&lt;="&amp;$B213,BD!$L$3:$L$5001,"&lt;&gt;")=0,"",SUMIFS(BD!$L$3:$L$5001,BD!$B$3:$B$5001,L$184,BD!$A$3:$A$5001,_xlfn.MAXIFS(BD!$A$3:$A$5001,BD!$B$3:$B$5001,L$184,BD!$A$3:$A$5001,"&gt;="&amp;$C$7,BD!$A$3:$A$5001,"&lt;="&amp;$B213,BD!$L$3:$L$5001,"&lt;&gt;"))))</f>
        <v/>
      </c>
      <c r="M213" s="43" t="str">
        <f>IF(OR($B213="",$A213&gt;$B$9,M$184=""),"",IF(COUNTIFS(BD!$B$3:$B$5001,M$184,BD!$A$3:$A$5001,"&gt;="&amp;$C$7,BD!$A$3:$A$5001,"&lt;="&amp;$B213,BD!$L$3:$L$5001,"&lt;&gt;")=0,"",SUMIFS(BD!$L$3:$L$5001,BD!$B$3:$B$5001,M$184,BD!$A$3:$A$5001,_xlfn.MAXIFS(BD!$A$3:$A$5001,BD!$B$3:$B$5001,M$184,BD!$A$3:$A$5001,"&gt;="&amp;$C$7,BD!$A$3:$A$5001,"&lt;="&amp;$B213,BD!$L$3:$L$5001,"&lt;&gt;"))))</f>
        <v/>
      </c>
      <c r="N213" s="43" t="str">
        <f>IF(OR($B213="",$A213&gt;$B$9,N$184=""),"",IF(COUNTIFS(BD!$B$3:$B$5001,N$184,BD!$A$3:$A$5001,"&gt;="&amp;$C$7,BD!$A$3:$A$5001,"&lt;="&amp;$B213,BD!$L$3:$L$5001,"&lt;&gt;")=0,"",SUMIFS(BD!$L$3:$L$5001,BD!$B$3:$B$5001,N$184,BD!$A$3:$A$5001,_xlfn.MAXIFS(BD!$A$3:$A$5001,BD!$B$3:$B$5001,N$184,BD!$A$3:$A$5001,"&gt;="&amp;$C$7,BD!$A$3:$A$5001,"&lt;="&amp;$B213,BD!$L$3:$L$5001,"&lt;&gt;"))))</f>
        <v/>
      </c>
      <c r="O213" s="43" t="str">
        <f>IF(OR($B213="",$A213&gt;$B$9,O$184=""),"",IF(COUNTIFS(BD!$B$3:$B$5001,O$184,BD!$A$3:$A$5001,"&gt;="&amp;$C$7,BD!$A$3:$A$5001,"&lt;="&amp;$B213,BD!$L$3:$L$5001,"&lt;&gt;")=0,"",SUMIFS(BD!$L$3:$L$5001,BD!$B$3:$B$5001,O$184,BD!$A$3:$A$5001,_xlfn.MAXIFS(BD!$A$3:$A$5001,BD!$B$3:$B$5001,O$184,BD!$A$3:$A$5001,"&gt;="&amp;$C$7,BD!$A$3:$A$5001,"&lt;="&amp;$B213,BD!$L$3:$L$5001,"&lt;&gt;"))))</f>
        <v/>
      </c>
      <c r="P213" s="43" t="str">
        <f>IF(OR($B213="",$A213&gt;$B$9,P$184=""),"",IF(COUNTIFS(BD!$B$3:$B$5001,P$184,BD!$A$3:$A$5001,"&gt;="&amp;$C$7,BD!$A$3:$A$5001,"&lt;="&amp;$B213,BD!$L$3:$L$5001,"&lt;&gt;")=0,"",SUMIFS(BD!$L$3:$L$5001,BD!$B$3:$B$5001,P$184,BD!$A$3:$A$5001,_xlfn.MAXIFS(BD!$A$3:$A$5001,BD!$B$3:$B$5001,P$184,BD!$A$3:$A$5001,"&gt;="&amp;$C$7,BD!$A$3:$A$5001,"&lt;="&amp;$B213,BD!$L$3:$L$5001,"&lt;&gt;"))))</f>
        <v/>
      </c>
      <c r="Q213" s="43" t="str">
        <f>IF(OR($B213="",$A213&gt;$B$9,Q$184=""),"",IF(COUNTIFS(BD!$B$3:$B$5001,Q$184,BD!$A$3:$A$5001,"&gt;="&amp;$C$7,BD!$A$3:$A$5001,"&lt;="&amp;$B213,BD!$L$3:$L$5001,"&lt;&gt;")=0,"",SUMIFS(BD!$L$3:$L$5001,BD!$B$3:$B$5001,Q$184,BD!$A$3:$A$5001,_xlfn.MAXIFS(BD!$A$3:$A$5001,BD!$B$3:$B$5001,Q$184,BD!$A$3:$A$5001,"&gt;="&amp;$C$7,BD!$A$3:$A$5001,"&lt;="&amp;$B213,BD!$L$3:$L$5001,"&lt;&gt;"))))</f>
        <v/>
      </c>
      <c r="R213" s="43" t="str">
        <f>IF(OR($B213="",$A213&gt;$B$9,R$184=""),"",IF(COUNTIFS(BD!$B$3:$B$5001,R$184,BD!$A$3:$A$5001,"&gt;="&amp;$C$7,BD!$A$3:$A$5001,"&lt;="&amp;$B213,BD!$L$3:$L$5001,"&lt;&gt;")=0,"",SUMIFS(BD!$L$3:$L$5001,BD!$B$3:$B$5001,R$184,BD!$A$3:$A$5001,_xlfn.MAXIFS(BD!$A$3:$A$5001,BD!$B$3:$B$5001,R$184,BD!$A$3:$A$5001,"&gt;="&amp;$C$7,BD!$A$3:$A$5001,"&lt;="&amp;$B213,BD!$L$3:$L$5001,"&lt;&gt;"))))</f>
        <v/>
      </c>
      <c r="S213" s="43" t="str">
        <f>IF(OR($B213="",$A213&gt;$B$9,S$184=""),"",IF(COUNTIFS(BD!$B$3:$B$5001,S$184,BD!$A$3:$A$5001,"&gt;="&amp;$C$7,BD!$A$3:$A$5001,"&lt;="&amp;$B213,BD!$L$3:$L$5001,"&lt;&gt;")=0,"",SUMIFS(BD!$L$3:$L$5001,BD!$B$3:$B$5001,S$184,BD!$A$3:$A$5001,_xlfn.MAXIFS(BD!$A$3:$A$5001,BD!$B$3:$B$5001,S$184,BD!$A$3:$A$5001,"&gt;="&amp;$C$7,BD!$A$3:$A$5001,"&lt;="&amp;$B213,BD!$L$3:$L$5001,"&lt;&gt;"))))</f>
        <v/>
      </c>
      <c r="T213" s="43" t="str">
        <f>IF(OR($B213="",$A213&gt;$B$9,T$184=""),"",IF(COUNTIFS(BD!$B$3:$B$5001,T$184,BD!$A$3:$A$5001,"&gt;="&amp;$C$7,BD!$A$3:$A$5001,"&lt;="&amp;$B213,BD!$L$3:$L$5001,"&lt;&gt;")=0,"",SUMIFS(BD!$L$3:$L$5001,BD!$B$3:$B$5001,T$184,BD!$A$3:$A$5001,_xlfn.MAXIFS(BD!$A$3:$A$5001,BD!$B$3:$B$5001,T$184,BD!$A$3:$A$5001,"&gt;="&amp;$C$7,BD!$A$3:$A$5001,"&lt;="&amp;$B213,BD!$L$3:$L$5001,"&lt;&gt;"))))</f>
        <v/>
      </c>
      <c r="U213" s="43" t="str">
        <f>IF(OR($B213="",$A213&gt;$B$9,U$184=""),"",IF(COUNTIFS(BD!$B$3:$B$5001,U$184,BD!$A$3:$A$5001,"&gt;="&amp;$C$7,BD!$A$3:$A$5001,"&lt;="&amp;$B213,BD!$L$3:$L$5001,"&lt;&gt;")=0,"",SUMIFS(BD!$L$3:$L$5001,BD!$B$3:$B$5001,U$184,BD!$A$3:$A$5001,_xlfn.MAXIFS(BD!$A$3:$A$5001,BD!$B$3:$B$5001,U$184,BD!$A$3:$A$5001,"&gt;="&amp;$C$7,BD!$A$3:$A$5001,"&lt;="&amp;$B213,BD!$L$3:$L$5001,"&lt;&gt;"))))</f>
        <v/>
      </c>
      <c r="V213" s="43" t="str">
        <f>IF(OR($B213="",$A213&gt;$B$9,V$184=""),"",IF(COUNTIFS(BD!$B$3:$B$5001,V$184,BD!$A$3:$A$5001,"&gt;="&amp;$C$7,BD!$A$3:$A$5001,"&lt;="&amp;$B213,BD!$L$3:$L$5001,"&lt;&gt;")=0,"",SUMIFS(BD!$L$3:$L$5001,BD!$B$3:$B$5001,V$184,BD!$A$3:$A$5001,_xlfn.MAXIFS(BD!$A$3:$A$5001,BD!$B$3:$B$5001,V$184,BD!$A$3:$A$5001,"&gt;="&amp;$C$7,BD!$A$3:$A$5001,"&lt;="&amp;$B213,BD!$L$3:$L$5001,"&lt;&gt;"))))</f>
        <v/>
      </c>
    </row>
    <row r="214">
      <c r="A214" s="38">
        <v>30</v>
      </c>
      <c r="B214" s="42">
        <f>$B$41</f>
        <v>46325</v>
      </c>
      <c r="C214" s="43" t="str">
        <f>IF(OR($B214="",$A214&gt;$B$9,C$184=""),"",IF(COUNTIFS(BD!$B$3:$B$5001,C$184,BD!$A$3:$A$5001,"&gt;="&amp;$C$7,BD!$A$3:$A$5001,"&lt;="&amp;$B214,BD!$L$3:$L$5001,"&lt;&gt;")=0,"",SUMIFS(BD!$L$3:$L$5001,BD!$B$3:$B$5001,C$184,BD!$A$3:$A$5001,_xlfn.MAXIFS(BD!$A$3:$A$5001,BD!$B$3:$B$5001,C$184,BD!$A$3:$A$5001,"&gt;="&amp;$C$7,BD!$A$3:$A$5001,"&lt;="&amp;$B214,BD!$L$3:$L$5001,"&lt;&gt;"))))</f>
        <v/>
      </c>
      <c r="D214" s="43" t="str">
        <f>IF(OR($B214="",$A214&gt;$B$9,D$184=""),"",IF(COUNTIFS(BD!$B$3:$B$5001,D$184,BD!$A$3:$A$5001,"&gt;="&amp;$C$7,BD!$A$3:$A$5001,"&lt;="&amp;$B214,BD!$L$3:$L$5001,"&lt;&gt;")=0,"",SUMIFS(BD!$L$3:$L$5001,BD!$B$3:$B$5001,D$184,BD!$A$3:$A$5001,_xlfn.MAXIFS(BD!$A$3:$A$5001,BD!$B$3:$B$5001,D$184,BD!$A$3:$A$5001,"&gt;="&amp;$C$7,BD!$A$3:$A$5001,"&lt;="&amp;$B214,BD!$L$3:$L$5001,"&lt;&gt;"))))</f>
        <v/>
      </c>
      <c r="E214" s="43" t="str">
        <f>IF(OR($B214="",$A214&gt;$B$9,E$184=""),"",IF(COUNTIFS(BD!$B$3:$B$5001,E$184,BD!$A$3:$A$5001,"&gt;="&amp;$C$7,BD!$A$3:$A$5001,"&lt;="&amp;$B214,BD!$L$3:$L$5001,"&lt;&gt;")=0,"",SUMIFS(BD!$L$3:$L$5001,BD!$B$3:$B$5001,E$184,BD!$A$3:$A$5001,_xlfn.MAXIFS(BD!$A$3:$A$5001,BD!$B$3:$B$5001,E$184,BD!$A$3:$A$5001,"&gt;="&amp;$C$7,BD!$A$3:$A$5001,"&lt;="&amp;$B214,BD!$L$3:$L$5001,"&lt;&gt;"))))</f>
        <v/>
      </c>
      <c r="F214" s="43" t="str">
        <f>IF(OR($B214="",$A214&gt;$B$9,F$184=""),"",IF(COUNTIFS(BD!$B$3:$B$5001,F$184,BD!$A$3:$A$5001,"&gt;="&amp;$C$7,BD!$A$3:$A$5001,"&lt;="&amp;$B214,BD!$L$3:$L$5001,"&lt;&gt;")=0,"",SUMIFS(BD!$L$3:$L$5001,BD!$B$3:$B$5001,F$184,BD!$A$3:$A$5001,_xlfn.MAXIFS(BD!$A$3:$A$5001,BD!$B$3:$B$5001,F$184,BD!$A$3:$A$5001,"&gt;="&amp;$C$7,BD!$A$3:$A$5001,"&lt;="&amp;$B214,BD!$L$3:$L$5001,"&lt;&gt;"))))</f>
        <v/>
      </c>
      <c r="G214" s="43" t="str">
        <f>IF(OR($B214="",$A214&gt;$B$9,G$184=""),"",IF(COUNTIFS(BD!$B$3:$B$5001,G$184,BD!$A$3:$A$5001,"&gt;="&amp;$C$7,BD!$A$3:$A$5001,"&lt;="&amp;$B214,BD!$L$3:$L$5001,"&lt;&gt;")=0,"",SUMIFS(BD!$L$3:$L$5001,BD!$B$3:$B$5001,G$184,BD!$A$3:$A$5001,_xlfn.MAXIFS(BD!$A$3:$A$5001,BD!$B$3:$B$5001,G$184,BD!$A$3:$A$5001,"&gt;="&amp;$C$7,BD!$A$3:$A$5001,"&lt;="&amp;$B214,BD!$L$3:$L$5001,"&lt;&gt;"))))</f>
        <v/>
      </c>
      <c r="H214" s="43" t="str">
        <f>IF(OR($B214="",$A214&gt;$B$9,H$184=""),"",IF(COUNTIFS(BD!$B$3:$B$5001,H$184,BD!$A$3:$A$5001,"&gt;="&amp;$C$7,BD!$A$3:$A$5001,"&lt;="&amp;$B214,BD!$L$3:$L$5001,"&lt;&gt;")=0,"",SUMIFS(BD!$L$3:$L$5001,BD!$B$3:$B$5001,H$184,BD!$A$3:$A$5001,_xlfn.MAXIFS(BD!$A$3:$A$5001,BD!$B$3:$B$5001,H$184,BD!$A$3:$A$5001,"&gt;="&amp;$C$7,BD!$A$3:$A$5001,"&lt;="&amp;$B214,BD!$L$3:$L$5001,"&lt;&gt;"))))</f>
        <v/>
      </c>
      <c r="I214" s="43" t="str">
        <f>IF(OR($B214="",$A214&gt;$B$9,I$184=""),"",IF(COUNTIFS(BD!$B$3:$B$5001,I$184,BD!$A$3:$A$5001,"&gt;="&amp;$C$7,BD!$A$3:$A$5001,"&lt;="&amp;$B214,BD!$L$3:$L$5001,"&lt;&gt;")=0,"",SUMIFS(BD!$L$3:$L$5001,BD!$B$3:$B$5001,I$184,BD!$A$3:$A$5001,_xlfn.MAXIFS(BD!$A$3:$A$5001,BD!$B$3:$B$5001,I$184,BD!$A$3:$A$5001,"&gt;="&amp;$C$7,BD!$A$3:$A$5001,"&lt;="&amp;$B214,BD!$L$3:$L$5001,"&lt;&gt;"))))</f>
        <v/>
      </c>
      <c r="J214" s="43" t="str">
        <f>IF(OR($B214="",$A214&gt;$B$9,J$184=""),"",IF(COUNTIFS(BD!$B$3:$B$5001,J$184,BD!$A$3:$A$5001,"&gt;="&amp;$C$7,BD!$A$3:$A$5001,"&lt;="&amp;$B214,BD!$L$3:$L$5001,"&lt;&gt;")=0,"",SUMIFS(BD!$L$3:$L$5001,BD!$B$3:$B$5001,J$184,BD!$A$3:$A$5001,_xlfn.MAXIFS(BD!$A$3:$A$5001,BD!$B$3:$B$5001,J$184,BD!$A$3:$A$5001,"&gt;="&amp;$C$7,BD!$A$3:$A$5001,"&lt;="&amp;$B214,BD!$L$3:$L$5001,"&lt;&gt;"))))</f>
        <v/>
      </c>
      <c r="K214" s="43" t="str">
        <f>IF(OR($B214="",$A214&gt;$B$9,K$184=""),"",IF(COUNTIFS(BD!$B$3:$B$5001,K$184,BD!$A$3:$A$5001,"&gt;="&amp;$C$7,BD!$A$3:$A$5001,"&lt;="&amp;$B214,BD!$L$3:$L$5001,"&lt;&gt;")=0,"",SUMIFS(BD!$L$3:$L$5001,BD!$B$3:$B$5001,K$184,BD!$A$3:$A$5001,_xlfn.MAXIFS(BD!$A$3:$A$5001,BD!$B$3:$B$5001,K$184,BD!$A$3:$A$5001,"&gt;="&amp;$C$7,BD!$A$3:$A$5001,"&lt;="&amp;$B214,BD!$L$3:$L$5001,"&lt;&gt;"))))</f>
        <v/>
      </c>
      <c r="L214" s="43" t="str">
        <f>IF(OR($B214="",$A214&gt;$B$9,L$184=""),"",IF(COUNTIFS(BD!$B$3:$B$5001,L$184,BD!$A$3:$A$5001,"&gt;="&amp;$C$7,BD!$A$3:$A$5001,"&lt;="&amp;$B214,BD!$L$3:$L$5001,"&lt;&gt;")=0,"",SUMIFS(BD!$L$3:$L$5001,BD!$B$3:$B$5001,L$184,BD!$A$3:$A$5001,_xlfn.MAXIFS(BD!$A$3:$A$5001,BD!$B$3:$B$5001,L$184,BD!$A$3:$A$5001,"&gt;="&amp;$C$7,BD!$A$3:$A$5001,"&lt;="&amp;$B214,BD!$L$3:$L$5001,"&lt;&gt;"))))</f>
        <v/>
      </c>
      <c r="M214" s="43" t="str">
        <f>IF(OR($B214="",$A214&gt;$B$9,M$184=""),"",IF(COUNTIFS(BD!$B$3:$B$5001,M$184,BD!$A$3:$A$5001,"&gt;="&amp;$C$7,BD!$A$3:$A$5001,"&lt;="&amp;$B214,BD!$L$3:$L$5001,"&lt;&gt;")=0,"",SUMIFS(BD!$L$3:$L$5001,BD!$B$3:$B$5001,M$184,BD!$A$3:$A$5001,_xlfn.MAXIFS(BD!$A$3:$A$5001,BD!$B$3:$B$5001,M$184,BD!$A$3:$A$5001,"&gt;="&amp;$C$7,BD!$A$3:$A$5001,"&lt;="&amp;$B214,BD!$L$3:$L$5001,"&lt;&gt;"))))</f>
        <v/>
      </c>
      <c r="N214" s="43" t="str">
        <f>IF(OR($B214="",$A214&gt;$B$9,N$184=""),"",IF(COUNTIFS(BD!$B$3:$B$5001,N$184,BD!$A$3:$A$5001,"&gt;="&amp;$C$7,BD!$A$3:$A$5001,"&lt;="&amp;$B214,BD!$L$3:$L$5001,"&lt;&gt;")=0,"",SUMIFS(BD!$L$3:$L$5001,BD!$B$3:$B$5001,N$184,BD!$A$3:$A$5001,_xlfn.MAXIFS(BD!$A$3:$A$5001,BD!$B$3:$B$5001,N$184,BD!$A$3:$A$5001,"&gt;="&amp;$C$7,BD!$A$3:$A$5001,"&lt;="&amp;$B214,BD!$L$3:$L$5001,"&lt;&gt;"))))</f>
        <v/>
      </c>
      <c r="O214" s="43" t="str">
        <f>IF(OR($B214="",$A214&gt;$B$9,O$184=""),"",IF(COUNTIFS(BD!$B$3:$B$5001,O$184,BD!$A$3:$A$5001,"&gt;="&amp;$C$7,BD!$A$3:$A$5001,"&lt;="&amp;$B214,BD!$L$3:$L$5001,"&lt;&gt;")=0,"",SUMIFS(BD!$L$3:$L$5001,BD!$B$3:$B$5001,O$184,BD!$A$3:$A$5001,_xlfn.MAXIFS(BD!$A$3:$A$5001,BD!$B$3:$B$5001,O$184,BD!$A$3:$A$5001,"&gt;="&amp;$C$7,BD!$A$3:$A$5001,"&lt;="&amp;$B214,BD!$L$3:$L$5001,"&lt;&gt;"))))</f>
        <v/>
      </c>
      <c r="P214" s="43" t="str">
        <f>IF(OR($B214="",$A214&gt;$B$9,P$184=""),"",IF(COUNTIFS(BD!$B$3:$B$5001,P$184,BD!$A$3:$A$5001,"&gt;="&amp;$C$7,BD!$A$3:$A$5001,"&lt;="&amp;$B214,BD!$L$3:$L$5001,"&lt;&gt;")=0,"",SUMIFS(BD!$L$3:$L$5001,BD!$B$3:$B$5001,P$184,BD!$A$3:$A$5001,_xlfn.MAXIFS(BD!$A$3:$A$5001,BD!$B$3:$B$5001,P$184,BD!$A$3:$A$5001,"&gt;="&amp;$C$7,BD!$A$3:$A$5001,"&lt;="&amp;$B214,BD!$L$3:$L$5001,"&lt;&gt;"))))</f>
        <v/>
      </c>
      <c r="Q214" s="43" t="str">
        <f>IF(OR($B214="",$A214&gt;$B$9,Q$184=""),"",IF(COUNTIFS(BD!$B$3:$B$5001,Q$184,BD!$A$3:$A$5001,"&gt;="&amp;$C$7,BD!$A$3:$A$5001,"&lt;="&amp;$B214,BD!$L$3:$L$5001,"&lt;&gt;")=0,"",SUMIFS(BD!$L$3:$L$5001,BD!$B$3:$B$5001,Q$184,BD!$A$3:$A$5001,_xlfn.MAXIFS(BD!$A$3:$A$5001,BD!$B$3:$B$5001,Q$184,BD!$A$3:$A$5001,"&gt;="&amp;$C$7,BD!$A$3:$A$5001,"&lt;="&amp;$B214,BD!$L$3:$L$5001,"&lt;&gt;"))))</f>
        <v/>
      </c>
      <c r="R214" s="43" t="str">
        <f>IF(OR($B214="",$A214&gt;$B$9,R$184=""),"",IF(COUNTIFS(BD!$B$3:$B$5001,R$184,BD!$A$3:$A$5001,"&gt;="&amp;$C$7,BD!$A$3:$A$5001,"&lt;="&amp;$B214,BD!$L$3:$L$5001,"&lt;&gt;")=0,"",SUMIFS(BD!$L$3:$L$5001,BD!$B$3:$B$5001,R$184,BD!$A$3:$A$5001,_xlfn.MAXIFS(BD!$A$3:$A$5001,BD!$B$3:$B$5001,R$184,BD!$A$3:$A$5001,"&gt;="&amp;$C$7,BD!$A$3:$A$5001,"&lt;="&amp;$B214,BD!$L$3:$L$5001,"&lt;&gt;"))))</f>
        <v/>
      </c>
      <c r="S214" s="43" t="str">
        <f>IF(OR($B214="",$A214&gt;$B$9,S$184=""),"",IF(COUNTIFS(BD!$B$3:$B$5001,S$184,BD!$A$3:$A$5001,"&gt;="&amp;$C$7,BD!$A$3:$A$5001,"&lt;="&amp;$B214,BD!$L$3:$L$5001,"&lt;&gt;")=0,"",SUMIFS(BD!$L$3:$L$5001,BD!$B$3:$B$5001,S$184,BD!$A$3:$A$5001,_xlfn.MAXIFS(BD!$A$3:$A$5001,BD!$B$3:$B$5001,S$184,BD!$A$3:$A$5001,"&gt;="&amp;$C$7,BD!$A$3:$A$5001,"&lt;="&amp;$B214,BD!$L$3:$L$5001,"&lt;&gt;"))))</f>
        <v/>
      </c>
      <c r="T214" s="43" t="str">
        <f>IF(OR($B214="",$A214&gt;$B$9,T$184=""),"",IF(COUNTIFS(BD!$B$3:$B$5001,T$184,BD!$A$3:$A$5001,"&gt;="&amp;$C$7,BD!$A$3:$A$5001,"&lt;="&amp;$B214,BD!$L$3:$L$5001,"&lt;&gt;")=0,"",SUMIFS(BD!$L$3:$L$5001,BD!$B$3:$B$5001,T$184,BD!$A$3:$A$5001,_xlfn.MAXIFS(BD!$A$3:$A$5001,BD!$B$3:$B$5001,T$184,BD!$A$3:$A$5001,"&gt;="&amp;$C$7,BD!$A$3:$A$5001,"&lt;="&amp;$B214,BD!$L$3:$L$5001,"&lt;&gt;"))))</f>
        <v/>
      </c>
      <c r="U214" s="43" t="str">
        <f>IF(OR($B214="",$A214&gt;$B$9,U$184=""),"",IF(COUNTIFS(BD!$B$3:$B$5001,U$184,BD!$A$3:$A$5001,"&gt;="&amp;$C$7,BD!$A$3:$A$5001,"&lt;="&amp;$B214,BD!$L$3:$L$5001,"&lt;&gt;")=0,"",SUMIFS(BD!$L$3:$L$5001,BD!$B$3:$B$5001,U$184,BD!$A$3:$A$5001,_xlfn.MAXIFS(BD!$A$3:$A$5001,BD!$B$3:$B$5001,U$184,BD!$A$3:$A$5001,"&gt;="&amp;$C$7,BD!$A$3:$A$5001,"&lt;="&amp;$B214,BD!$L$3:$L$5001,"&lt;&gt;"))))</f>
        <v/>
      </c>
      <c r="V214" s="43" t="str">
        <f>IF(OR($B214="",$A214&gt;$B$9,V$184=""),"",IF(COUNTIFS(BD!$B$3:$B$5001,V$184,BD!$A$3:$A$5001,"&gt;="&amp;$C$7,BD!$A$3:$A$5001,"&lt;="&amp;$B214,BD!$L$3:$L$5001,"&lt;&gt;")=0,"",SUMIFS(BD!$L$3:$L$5001,BD!$B$3:$B$5001,V$184,BD!$A$3:$A$5001,_xlfn.MAXIFS(BD!$A$3:$A$5001,BD!$B$3:$B$5001,V$184,BD!$A$3:$A$5001,"&gt;="&amp;$C$7,BD!$A$3:$A$5001,"&lt;="&amp;$B214,BD!$L$3:$L$5001,"&lt;&gt;"))))</f>
        <v/>
      </c>
    </row>
    <row r="215">
      <c r="A215" s="38">
        <v>31</v>
      </c>
      <c r="B215" s="42">
        <f>$B$42</f>
        <v>46326</v>
      </c>
      <c r="C215" s="43" t="str">
        <f>IF(OR($B215="",$A215&gt;$B$9,C$184=""),"",IF(COUNTIFS(BD!$B$3:$B$5001,C$184,BD!$A$3:$A$5001,"&gt;="&amp;$C$7,BD!$A$3:$A$5001,"&lt;="&amp;$B215,BD!$L$3:$L$5001,"&lt;&gt;")=0,"",SUMIFS(BD!$L$3:$L$5001,BD!$B$3:$B$5001,C$184,BD!$A$3:$A$5001,_xlfn.MAXIFS(BD!$A$3:$A$5001,BD!$B$3:$B$5001,C$184,BD!$A$3:$A$5001,"&gt;="&amp;$C$7,BD!$A$3:$A$5001,"&lt;="&amp;$B215,BD!$L$3:$L$5001,"&lt;&gt;"))))</f>
        <v/>
      </c>
      <c r="D215" s="43" t="str">
        <f>IF(OR($B215="",$A215&gt;$B$9,D$184=""),"",IF(COUNTIFS(BD!$B$3:$B$5001,D$184,BD!$A$3:$A$5001,"&gt;="&amp;$C$7,BD!$A$3:$A$5001,"&lt;="&amp;$B215,BD!$L$3:$L$5001,"&lt;&gt;")=0,"",SUMIFS(BD!$L$3:$L$5001,BD!$B$3:$B$5001,D$184,BD!$A$3:$A$5001,_xlfn.MAXIFS(BD!$A$3:$A$5001,BD!$B$3:$B$5001,D$184,BD!$A$3:$A$5001,"&gt;="&amp;$C$7,BD!$A$3:$A$5001,"&lt;="&amp;$B215,BD!$L$3:$L$5001,"&lt;&gt;"))))</f>
        <v/>
      </c>
      <c r="E215" s="43" t="str">
        <f>IF(OR($B215="",$A215&gt;$B$9,E$184=""),"",IF(COUNTIFS(BD!$B$3:$B$5001,E$184,BD!$A$3:$A$5001,"&gt;="&amp;$C$7,BD!$A$3:$A$5001,"&lt;="&amp;$B215,BD!$L$3:$L$5001,"&lt;&gt;")=0,"",SUMIFS(BD!$L$3:$L$5001,BD!$B$3:$B$5001,E$184,BD!$A$3:$A$5001,_xlfn.MAXIFS(BD!$A$3:$A$5001,BD!$B$3:$B$5001,E$184,BD!$A$3:$A$5001,"&gt;="&amp;$C$7,BD!$A$3:$A$5001,"&lt;="&amp;$B215,BD!$L$3:$L$5001,"&lt;&gt;"))))</f>
        <v/>
      </c>
      <c r="F215" s="43" t="str">
        <f>IF(OR($B215="",$A215&gt;$B$9,F$184=""),"",IF(COUNTIFS(BD!$B$3:$B$5001,F$184,BD!$A$3:$A$5001,"&gt;="&amp;$C$7,BD!$A$3:$A$5001,"&lt;="&amp;$B215,BD!$L$3:$L$5001,"&lt;&gt;")=0,"",SUMIFS(BD!$L$3:$L$5001,BD!$B$3:$B$5001,F$184,BD!$A$3:$A$5001,_xlfn.MAXIFS(BD!$A$3:$A$5001,BD!$B$3:$B$5001,F$184,BD!$A$3:$A$5001,"&gt;="&amp;$C$7,BD!$A$3:$A$5001,"&lt;="&amp;$B215,BD!$L$3:$L$5001,"&lt;&gt;"))))</f>
        <v/>
      </c>
      <c r="G215" s="43" t="str">
        <f>IF(OR($B215="",$A215&gt;$B$9,G$184=""),"",IF(COUNTIFS(BD!$B$3:$B$5001,G$184,BD!$A$3:$A$5001,"&gt;="&amp;$C$7,BD!$A$3:$A$5001,"&lt;="&amp;$B215,BD!$L$3:$L$5001,"&lt;&gt;")=0,"",SUMIFS(BD!$L$3:$L$5001,BD!$B$3:$B$5001,G$184,BD!$A$3:$A$5001,_xlfn.MAXIFS(BD!$A$3:$A$5001,BD!$B$3:$B$5001,G$184,BD!$A$3:$A$5001,"&gt;="&amp;$C$7,BD!$A$3:$A$5001,"&lt;="&amp;$B215,BD!$L$3:$L$5001,"&lt;&gt;"))))</f>
        <v/>
      </c>
      <c r="H215" s="43" t="str">
        <f>IF(OR($B215="",$A215&gt;$B$9,H$184=""),"",IF(COUNTIFS(BD!$B$3:$B$5001,H$184,BD!$A$3:$A$5001,"&gt;="&amp;$C$7,BD!$A$3:$A$5001,"&lt;="&amp;$B215,BD!$L$3:$L$5001,"&lt;&gt;")=0,"",SUMIFS(BD!$L$3:$L$5001,BD!$B$3:$B$5001,H$184,BD!$A$3:$A$5001,_xlfn.MAXIFS(BD!$A$3:$A$5001,BD!$B$3:$B$5001,H$184,BD!$A$3:$A$5001,"&gt;="&amp;$C$7,BD!$A$3:$A$5001,"&lt;="&amp;$B215,BD!$L$3:$L$5001,"&lt;&gt;"))))</f>
        <v/>
      </c>
      <c r="I215" s="43" t="str">
        <f>IF(OR($B215="",$A215&gt;$B$9,I$184=""),"",IF(COUNTIFS(BD!$B$3:$B$5001,I$184,BD!$A$3:$A$5001,"&gt;="&amp;$C$7,BD!$A$3:$A$5001,"&lt;="&amp;$B215,BD!$L$3:$L$5001,"&lt;&gt;")=0,"",SUMIFS(BD!$L$3:$L$5001,BD!$B$3:$B$5001,I$184,BD!$A$3:$A$5001,_xlfn.MAXIFS(BD!$A$3:$A$5001,BD!$B$3:$B$5001,I$184,BD!$A$3:$A$5001,"&gt;="&amp;$C$7,BD!$A$3:$A$5001,"&lt;="&amp;$B215,BD!$L$3:$L$5001,"&lt;&gt;"))))</f>
        <v/>
      </c>
      <c r="J215" s="43" t="str">
        <f>IF(OR($B215="",$A215&gt;$B$9,J$184=""),"",IF(COUNTIFS(BD!$B$3:$B$5001,J$184,BD!$A$3:$A$5001,"&gt;="&amp;$C$7,BD!$A$3:$A$5001,"&lt;="&amp;$B215,BD!$L$3:$L$5001,"&lt;&gt;")=0,"",SUMIFS(BD!$L$3:$L$5001,BD!$B$3:$B$5001,J$184,BD!$A$3:$A$5001,_xlfn.MAXIFS(BD!$A$3:$A$5001,BD!$B$3:$B$5001,J$184,BD!$A$3:$A$5001,"&gt;="&amp;$C$7,BD!$A$3:$A$5001,"&lt;="&amp;$B215,BD!$L$3:$L$5001,"&lt;&gt;"))))</f>
        <v/>
      </c>
      <c r="K215" s="43" t="str">
        <f>IF(OR($B215="",$A215&gt;$B$9,K$184=""),"",IF(COUNTIFS(BD!$B$3:$B$5001,K$184,BD!$A$3:$A$5001,"&gt;="&amp;$C$7,BD!$A$3:$A$5001,"&lt;="&amp;$B215,BD!$L$3:$L$5001,"&lt;&gt;")=0,"",SUMIFS(BD!$L$3:$L$5001,BD!$B$3:$B$5001,K$184,BD!$A$3:$A$5001,_xlfn.MAXIFS(BD!$A$3:$A$5001,BD!$B$3:$B$5001,K$184,BD!$A$3:$A$5001,"&gt;="&amp;$C$7,BD!$A$3:$A$5001,"&lt;="&amp;$B215,BD!$L$3:$L$5001,"&lt;&gt;"))))</f>
        <v/>
      </c>
      <c r="L215" s="43" t="str">
        <f>IF(OR($B215="",$A215&gt;$B$9,L$184=""),"",IF(COUNTIFS(BD!$B$3:$B$5001,L$184,BD!$A$3:$A$5001,"&gt;="&amp;$C$7,BD!$A$3:$A$5001,"&lt;="&amp;$B215,BD!$L$3:$L$5001,"&lt;&gt;")=0,"",SUMIFS(BD!$L$3:$L$5001,BD!$B$3:$B$5001,L$184,BD!$A$3:$A$5001,_xlfn.MAXIFS(BD!$A$3:$A$5001,BD!$B$3:$B$5001,L$184,BD!$A$3:$A$5001,"&gt;="&amp;$C$7,BD!$A$3:$A$5001,"&lt;="&amp;$B215,BD!$L$3:$L$5001,"&lt;&gt;"))))</f>
        <v/>
      </c>
      <c r="M215" s="43" t="str">
        <f>IF(OR($B215="",$A215&gt;$B$9,M$184=""),"",IF(COUNTIFS(BD!$B$3:$B$5001,M$184,BD!$A$3:$A$5001,"&gt;="&amp;$C$7,BD!$A$3:$A$5001,"&lt;="&amp;$B215,BD!$L$3:$L$5001,"&lt;&gt;")=0,"",SUMIFS(BD!$L$3:$L$5001,BD!$B$3:$B$5001,M$184,BD!$A$3:$A$5001,_xlfn.MAXIFS(BD!$A$3:$A$5001,BD!$B$3:$B$5001,M$184,BD!$A$3:$A$5001,"&gt;="&amp;$C$7,BD!$A$3:$A$5001,"&lt;="&amp;$B215,BD!$L$3:$L$5001,"&lt;&gt;"))))</f>
        <v/>
      </c>
      <c r="N215" s="43" t="str">
        <f>IF(OR($B215="",$A215&gt;$B$9,N$184=""),"",IF(COUNTIFS(BD!$B$3:$B$5001,N$184,BD!$A$3:$A$5001,"&gt;="&amp;$C$7,BD!$A$3:$A$5001,"&lt;="&amp;$B215,BD!$L$3:$L$5001,"&lt;&gt;")=0,"",SUMIFS(BD!$L$3:$L$5001,BD!$B$3:$B$5001,N$184,BD!$A$3:$A$5001,_xlfn.MAXIFS(BD!$A$3:$A$5001,BD!$B$3:$B$5001,N$184,BD!$A$3:$A$5001,"&gt;="&amp;$C$7,BD!$A$3:$A$5001,"&lt;="&amp;$B215,BD!$L$3:$L$5001,"&lt;&gt;"))))</f>
        <v/>
      </c>
      <c r="O215" s="43" t="str">
        <f>IF(OR($B215="",$A215&gt;$B$9,O$184=""),"",IF(COUNTIFS(BD!$B$3:$B$5001,O$184,BD!$A$3:$A$5001,"&gt;="&amp;$C$7,BD!$A$3:$A$5001,"&lt;="&amp;$B215,BD!$L$3:$L$5001,"&lt;&gt;")=0,"",SUMIFS(BD!$L$3:$L$5001,BD!$B$3:$B$5001,O$184,BD!$A$3:$A$5001,_xlfn.MAXIFS(BD!$A$3:$A$5001,BD!$B$3:$B$5001,O$184,BD!$A$3:$A$5001,"&gt;="&amp;$C$7,BD!$A$3:$A$5001,"&lt;="&amp;$B215,BD!$L$3:$L$5001,"&lt;&gt;"))))</f>
        <v/>
      </c>
      <c r="P215" s="43" t="str">
        <f>IF(OR($B215="",$A215&gt;$B$9,P$184=""),"",IF(COUNTIFS(BD!$B$3:$B$5001,P$184,BD!$A$3:$A$5001,"&gt;="&amp;$C$7,BD!$A$3:$A$5001,"&lt;="&amp;$B215,BD!$L$3:$L$5001,"&lt;&gt;")=0,"",SUMIFS(BD!$L$3:$L$5001,BD!$B$3:$B$5001,P$184,BD!$A$3:$A$5001,_xlfn.MAXIFS(BD!$A$3:$A$5001,BD!$B$3:$B$5001,P$184,BD!$A$3:$A$5001,"&gt;="&amp;$C$7,BD!$A$3:$A$5001,"&lt;="&amp;$B215,BD!$L$3:$L$5001,"&lt;&gt;"))))</f>
        <v/>
      </c>
      <c r="Q215" s="43" t="str">
        <f>IF(OR($B215="",$A215&gt;$B$9,Q$184=""),"",IF(COUNTIFS(BD!$B$3:$B$5001,Q$184,BD!$A$3:$A$5001,"&gt;="&amp;$C$7,BD!$A$3:$A$5001,"&lt;="&amp;$B215,BD!$L$3:$L$5001,"&lt;&gt;")=0,"",SUMIFS(BD!$L$3:$L$5001,BD!$B$3:$B$5001,Q$184,BD!$A$3:$A$5001,_xlfn.MAXIFS(BD!$A$3:$A$5001,BD!$B$3:$B$5001,Q$184,BD!$A$3:$A$5001,"&gt;="&amp;$C$7,BD!$A$3:$A$5001,"&lt;="&amp;$B215,BD!$L$3:$L$5001,"&lt;&gt;"))))</f>
        <v/>
      </c>
      <c r="R215" s="43" t="str">
        <f>IF(OR($B215="",$A215&gt;$B$9,R$184=""),"",IF(COUNTIFS(BD!$B$3:$B$5001,R$184,BD!$A$3:$A$5001,"&gt;="&amp;$C$7,BD!$A$3:$A$5001,"&lt;="&amp;$B215,BD!$L$3:$L$5001,"&lt;&gt;")=0,"",SUMIFS(BD!$L$3:$L$5001,BD!$B$3:$B$5001,R$184,BD!$A$3:$A$5001,_xlfn.MAXIFS(BD!$A$3:$A$5001,BD!$B$3:$B$5001,R$184,BD!$A$3:$A$5001,"&gt;="&amp;$C$7,BD!$A$3:$A$5001,"&lt;="&amp;$B215,BD!$L$3:$L$5001,"&lt;&gt;"))))</f>
        <v/>
      </c>
      <c r="S215" s="43" t="str">
        <f>IF(OR($B215="",$A215&gt;$B$9,S$184=""),"",IF(COUNTIFS(BD!$B$3:$B$5001,S$184,BD!$A$3:$A$5001,"&gt;="&amp;$C$7,BD!$A$3:$A$5001,"&lt;="&amp;$B215,BD!$L$3:$L$5001,"&lt;&gt;")=0,"",SUMIFS(BD!$L$3:$L$5001,BD!$B$3:$B$5001,S$184,BD!$A$3:$A$5001,_xlfn.MAXIFS(BD!$A$3:$A$5001,BD!$B$3:$B$5001,S$184,BD!$A$3:$A$5001,"&gt;="&amp;$C$7,BD!$A$3:$A$5001,"&lt;="&amp;$B215,BD!$L$3:$L$5001,"&lt;&gt;"))))</f>
        <v/>
      </c>
      <c r="T215" s="43" t="str">
        <f>IF(OR($B215="",$A215&gt;$B$9,T$184=""),"",IF(COUNTIFS(BD!$B$3:$B$5001,T$184,BD!$A$3:$A$5001,"&gt;="&amp;$C$7,BD!$A$3:$A$5001,"&lt;="&amp;$B215,BD!$L$3:$L$5001,"&lt;&gt;")=0,"",SUMIFS(BD!$L$3:$L$5001,BD!$B$3:$B$5001,T$184,BD!$A$3:$A$5001,_xlfn.MAXIFS(BD!$A$3:$A$5001,BD!$B$3:$B$5001,T$184,BD!$A$3:$A$5001,"&gt;="&amp;$C$7,BD!$A$3:$A$5001,"&lt;="&amp;$B215,BD!$L$3:$L$5001,"&lt;&gt;"))))</f>
        <v/>
      </c>
      <c r="U215" s="43" t="str">
        <f>IF(OR($B215="",$A215&gt;$B$9,U$184=""),"",IF(COUNTIFS(BD!$B$3:$B$5001,U$184,BD!$A$3:$A$5001,"&gt;="&amp;$C$7,BD!$A$3:$A$5001,"&lt;="&amp;$B215,BD!$L$3:$L$5001,"&lt;&gt;")=0,"",SUMIFS(BD!$L$3:$L$5001,BD!$B$3:$B$5001,U$184,BD!$A$3:$A$5001,_xlfn.MAXIFS(BD!$A$3:$A$5001,BD!$B$3:$B$5001,U$184,BD!$A$3:$A$5001,"&gt;="&amp;$C$7,BD!$A$3:$A$5001,"&lt;="&amp;$B215,BD!$L$3:$L$5001,"&lt;&gt;"))))</f>
        <v/>
      </c>
      <c r="V215" s="43" t="str">
        <f>IF(OR($B215="",$A215&gt;$B$9,V$184=""),"",IF(COUNTIFS(BD!$B$3:$B$5001,V$184,BD!$A$3:$A$5001,"&gt;="&amp;$C$7,BD!$A$3:$A$5001,"&lt;="&amp;$B215,BD!$L$3:$L$5001,"&lt;&gt;")=0,"",SUMIFS(BD!$L$3:$L$5001,BD!$B$3:$B$5001,V$184,BD!$A$3:$A$5001,_xlfn.MAXIFS(BD!$A$3:$A$5001,BD!$B$3:$B$5001,V$184,BD!$A$3:$A$5001,"&gt;="&amp;$C$7,BD!$A$3:$A$5001,"&lt;="&amp;$B215,BD!$L$3:$L$5001,"&lt;&gt;"))))</f>
        <v/>
      </c>
    </row>
    <row r="216">
      <c r="A216" s="44" t="inlineStr">
        <is>
          <t xml:space="preserve">Mês anterior (último)</t>
        </is>
      </c>
      <c r="C216" s="45" t="str">
        <f>IF(C$184="","",IF(COUNTIFS(BD!$B$3:$B$5001,C$184,BD!$A$3:$A$5001,"&gt;="&amp;$C$8,BD!$A$3:$A$5001,"&lt;="&amp;$D$8,BD!$L$3:$L$5001,"&lt;&gt;")=0,"",SUMIFS(BD!$L$3:$L$5001,BD!$B$3:$B$5001,C$184,BD!$A$3:$A$5001,_xlfn.MAXIFS(BD!$A$3:$A$5001,BD!$B$3:$B$5001,C$184,BD!$A$3:$A$5001,"&gt;="&amp;$C$8,BD!$A$3:$A$5001,"&lt;="&amp;$D$8,BD!$L$3:$L$5001,"&lt;&gt;"))))</f>
        <v/>
      </c>
      <c r="D216" s="45" t="str">
        <f>IF(D$184="","",IF(COUNTIFS(BD!$B$3:$B$5001,D$184,BD!$A$3:$A$5001,"&gt;="&amp;$C$8,BD!$A$3:$A$5001,"&lt;="&amp;$D$8,BD!$L$3:$L$5001,"&lt;&gt;")=0,"",SUMIFS(BD!$L$3:$L$5001,BD!$B$3:$B$5001,D$184,BD!$A$3:$A$5001,_xlfn.MAXIFS(BD!$A$3:$A$5001,BD!$B$3:$B$5001,D$184,BD!$A$3:$A$5001,"&gt;="&amp;$C$8,BD!$A$3:$A$5001,"&lt;="&amp;$D$8,BD!$L$3:$L$5001,"&lt;&gt;"))))</f>
        <v/>
      </c>
      <c r="E216" s="45" t="str">
        <f>IF(E$184="","",IF(COUNTIFS(BD!$B$3:$B$5001,E$184,BD!$A$3:$A$5001,"&gt;="&amp;$C$8,BD!$A$3:$A$5001,"&lt;="&amp;$D$8,BD!$L$3:$L$5001,"&lt;&gt;")=0,"",SUMIFS(BD!$L$3:$L$5001,BD!$B$3:$B$5001,E$184,BD!$A$3:$A$5001,_xlfn.MAXIFS(BD!$A$3:$A$5001,BD!$B$3:$B$5001,E$184,BD!$A$3:$A$5001,"&gt;="&amp;$C$8,BD!$A$3:$A$5001,"&lt;="&amp;$D$8,BD!$L$3:$L$5001,"&lt;&gt;"))))</f>
        <v/>
      </c>
      <c r="F216" s="45" t="str">
        <f>IF(F$184="","",IF(COUNTIFS(BD!$B$3:$B$5001,F$184,BD!$A$3:$A$5001,"&gt;="&amp;$C$8,BD!$A$3:$A$5001,"&lt;="&amp;$D$8,BD!$L$3:$L$5001,"&lt;&gt;")=0,"",SUMIFS(BD!$L$3:$L$5001,BD!$B$3:$B$5001,F$184,BD!$A$3:$A$5001,_xlfn.MAXIFS(BD!$A$3:$A$5001,BD!$B$3:$B$5001,F$184,BD!$A$3:$A$5001,"&gt;="&amp;$C$8,BD!$A$3:$A$5001,"&lt;="&amp;$D$8,BD!$L$3:$L$5001,"&lt;&gt;"))))</f>
        <v/>
      </c>
      <c r="G216" s="45" t="str">
        <f>IF(G$184="","",IF(COUNTIFS(BD!$B$3:$B$5001,G$184,BD!$A$3:$A$5001,"&gt;="&amp;$C$8,BD!$A$3:$A$5001,"&lt;="&amp;$D$8,BD!$L$3:$L$5001,"&lt;&gt;")=0,"",SUMIFS(BD!$L$3:$L$5001,BD!$B$3:$B$5001,G$184,BD!$A$3:$A$5001,_xlfn.MAXIFS(BD!$A$3:$A$5001,BD!$B$3:$B$5001,G$184,BD!$A$3:$A$5001,"&gt;="&amp;$C$8,BD!$A$3:$A$5001,"&lt;="&amp;$D$8,BD!$L$3:$L$5001,"&lt;&gt;"))))</f>
        <v/>
      </c>
      <c r="H216" s="45" t="str">
        <f>IF(H$184="","",IF(COUNTIFS(BD!$B$3:$B$5001,H$184,BD!$A$3:$A$5001,"&gt;="&amp;$C$8,BD!$A$3:$A$5001,"&lt;="&amp;$D$8,BD!$L$3:$L$5001,"&lt;&gt;")=0,"",SUMIFS(BD!$L$3:$L$5001,BD!$B$3:$B$5001,H$184,BD!$A$3:$A$5001,_xlfn.MAXIFS(BD!$A$3:$A$5001,BD!$B$3:$B$5001,H$184,BD!$A$3:$A$5001,"&gt;="&amp;$C$8,BD!$A$3:$A$5001,"&lt;="&amp;$D$8,BD!$L$3:$L$5001,"&lt;&gt;"))))</f>
        <v/>
      </c>
      <c r="I216" s="45" t="str">
        <f>IF(I$184="","",IF(COUNTIFS(BD!$B$3:$B$5001,I$184,BD!$A$3:$A$5001,"&gt;="&amp;$C$8,BD!$A$3:$A$5001,"&lt;="&amp;$D$8,BD!$L$3:$L$5001,"&lt;&gt;")=0,"",SUMIFS(BD!$L$3:$L$5001,BD!$B$3:$B$5001,I$184,BD!$A$3:$A$5001,_xlfn.MAXIFS(BD!$A$3:$A$5001,BD!$B$3:$B$5001,I$184,BD!$A$3:$A$5001,"&gt;="&amp;$C$8,BD!$A$3:$A$5001,"&lt;="&amp;$D$8,BD!$L$3:$L$5001,"&lt;&gt;"))))</f>
        <v/>
      </c>
      <c r="J216" s="45" t="str">
        <f>IF(J$184="","",IF(COUNTIFS(BD!$B$3:$B$5001,J$184,BD!$A$3:$A$5001,"&gt;="&amp;$C$8,BD!$A$3:$A$5001,"&lt;="&amp;$D$8,BD!$L$3:$L$5001,"&lt;&gt;")=0,"",SUMIFS(BD!$L$3:$L$5001,BD!$B$3:$B$5001,J$184,BD!$A$3:$A$5001,_xlfn.MAXIFS(BD!$A$3:$A$5001,BD!$B$3:$B$5001,J$184,BD!$A$3:$A$5001,"&gt;="&amp;$C$8,BD!$A$3:$A$5001,"&lt;="&amp;$D$8,BD!$L$3:$L$5001,"&lt;&gt;"))))</f>
        <v/>
      </c>
      <c r="K216" s="45" t="str">
        <f>IF(K$184="","",IF(COUNTIFS(BD!$B$3:$B$5001,K$184,BD!$A$3:$A$5001,"&gt;="&amp;$C$8,BD!$A$3:$A$5001,"&lt;="&amp;$D$8,BD!$L$3:$L$5001,"&lt;&gt;")=0,"",SUMIFS(BD!$L$3:$L$5001,BD!$B$3:$B$5001,K$184,BD!$A$3:$A$5001,_xlfn.MAXIFS(BD!$A$3:$A$5001,BD!$B$3:$B$5001,K$184,BD!$A$3:$A$5001,"&gt;="&amp;$C$8,BD!$A$3:$A$5001,"&lt;="&amp;$D$8,BD!$L$3:$L$5001,"&lt;&gt;"))))</f>
        <v/>
      </c>
      <c r="L216" s="45" t="str">
        <f>IF(L$184="","",IF(COUNTIFS(BD!$B$3:$B$5001,L$184,BD!$A$3:$A$5001,"&gt;="&amp;$C$8,BD!$A$3:$A$5001,"&lt;="&amp;$D$8,BD!$L$3:$L$5001,"&lt;&gt;")=0,"",SUMIFS(BD!$L$3:$L$5001,BD!$B$3:$B$5001,L$184,BD!$A$3:$A$5001,_xlfn.MAXIFS(BD!$A$3:$A$5001,BD!$B$3:$B$5001,L$184,BD!$A$3:$A$5001,"&gt;="&amp;$C$8,BD!$A$3:$A$5001,"&lt;="&amp;$D$8,BD!$L$3:$L$5001,"&lt;&gt;"))))</f>
        <v/>
      </c>
      <c r="M216" s="45" t="str">
        <f>IF(M$184="","",IF(COUNTIFS(BD!$B$3:$B$5001,M$184,BD!$A$3:$A$5001,"&gt;="&amp;$C$8,BD!$A$3:$A$5001,"&lt;="&amp;$D$8,BD!$L$3:$L$5001,"&lt;&gt;")=0,"",SUMIFS(BD!$L$3:$L$5001,BD!$B$3:$B$5001,M$184,BD!$A$3:$A$5001,_xlfn.MAXIFS(BD!$A$3:$A$5001,BD!$B$3:$B$5001,M$184,BD!$A$3:$A$5001,"&gt;="&amp;$C$8,BD!$A$3:$A$5001,"&lt;="&amp;$D$8,BD!$L$3:$L$5001,"&lt;&gt;"))))</f>
        <v/>
      </c>
      <c r="N216" s="45" t="str">
        <f>IF(N$184="","",IF(COUNTIFS(BD!$B$3:$B$5001,N$184,BD!$A$3:$A$5001,"&gt;="&amp;$C$8,BD!$A$3:$A$5001,"&lt;="&amp;$D$8,BD!$L$3:$L$5001,"&lt;&gt;")=0,"",SUMIFS(BD!$L$3:$L$5001,BD!$B$3:$B$5001,N$184,BD!$A$3:$A$5001,_xlfn.MAXIFS(BD!$A$3:$A$5001,BD!$B$3:$B$5001,N$184,BD!$A$3:$A$5001,"&gt;="&amp;$C$8,BD!$A$3:$A$5001,"&lt;="&amp;$D$8,BD!$L$3:$L$5001,"&lt;&gt;"))))</f>
        <v/>
      </c>
      <c r="O216" s="45" t="str">
        <f>IF(O$184="","",IF(COUNTIFS(BD!$B$3:$B$5001,O$184,BD!$A$3:$A$5001,"&gt;="&amp;$C$8,BD!$A$3:$A$5001,"&lt;="&amp;$D$8,BD!$L$3:$L$5001,"&lt;&gt;")=0,"",SUMIFS(BD!$L$3:$L$5001,BD!$B$3:$B$5001,O$184,BD!$A$3:$A$5001,_xlfn.MAXIFS(BD!$A$3:$A$5001,BD!$B$3:$B$5001,O$184,BD!$A$3:$A$5001,"&gt;="&amp;$C$8,BD!$A$3:$A$5001,"&lt;="&amp;$D$8,BD!$L$3:$L$5001,"&lt;&gt;"))))</f>
        <v/>
      </c>
      <c r="P216" s="45" t="str">
        <f>IF(P$184="","",IF(COUNTIFS(BD!$B$3:$B$5001,P$184,BD!$A$3:$A$5001,"&gt;="&amp;$C$8,BD!$A$3:$A$5001,"&lt;="&amp;$D$8,BD!$L$3:$L$5001,"&lt;&gt;")=0,"",SUMIFS(BD!$L$3:$L$5001,BD!$B$3:$B$5001,P$184,BD!$A$3:$A$5001,_xlfn.MAXIFS(BD!$A$3:$A$5001,BD!$B$3:$B$5001,P$184,BD!$A$3:$A$5001,"&gt;="&amp;$C$8,BD!$A$3:$A$5001,"&lt;="&amp;$D$8,BD!$L$3:$L$5001,"&lt;&gt;"))))</f>
        <v/>
      </c>
      <c r="Q216" s="45" t="str">
        <f>IF(Q$184="","",IF(COUNTIFS(BD!$B$3:$B$5001,Q$184,BD!$A$3:$A$5001,"&gt;="&amp;$C$8,BD!$A$3:$A$5001,"&lt;="&amp;$D$8,BD!$L$3:$L$5001,"&lt;&gt;")=0,"",SUMIFS(BD!$L$3:$L$5001,BD!$B$3:$B$5001,Q$184,BD!$A$3:$A$5001,_xlfn.MAXIFS(BD!$A$3:$A$5001,BD!$B$3:$B$5001,Q$184,BD!$A$3:$A$5001,"&gt;="&amp;$C$8,BD!$A$3:$A$5001,"&lt;="&amp;$D$8,BD!$L$3:$L$5001,"&lt;&gt;"))))</f>
        <v/>
      </c>
      <c r="R216" s="45" t="str">
        <f>IF(R$184="","",IF(COUNTIFS(BD!$B$3:$B$5001,R$184,BD!$A$3:$A$5001,"&gt;="&amp;$C$8,BD!$A$3:$A$5001,"&lt;="&amp;$D$8,BD!$L$3:$L$5001,"&lt;&gt;")=0,"",SUMIFS(BD!$L$3:$L$5001,BD!$B$3:$B$5001,R$184,BD!$A$3:$A$5001,_xlfn.MAXIFS(BD!$A$3:$A$5001,BD!$B$3:$B$5001,R$184,BD!$A$3:$A$5001,"&gt;="&amp;$C$8,BD!$A$3:$A$5001,"&lt;="&amp;$D$8,BD!$L$3:$L$5001,"&lt;&gt;"))))</f>
        <v/>
      </c>
      <c r="S216" s="45" t="str">
        <f>IF(S$184="","",IF(COUNTIFS(BD!$B$3:$B$5001,S$184,BD!$A$3:$A$5001,"&gt;="&amp;$C$8,BD!$A$3:$A$5001,"&lt;="&amp;$D$8,BD!$L$3:$L$5001,"&lt;&gt;")=0,"",SUMIFS(BD!$L$3:$L$5001,BD!$B$3:$B$5001,S$184,BD!$A$3:$A$5001,_xlfn.MAXIFS(BD!$A$3:$A$5001,BD!$B$3:$B$5001,S$184,BD!$A$3:$A$5001,"&gt;="&amp;$C$8,BD!$A$3:$A$5001,"&lt;="&amp;$D$8,BD!$L$3:$L$5001,"&lt;&gt;"))))</f>
        <v/>
      </c>
      <c r="T216" s="45" t="str">
        <f>IF(T$184="","",IF(COUNTIFS(BD!$B$3:$B$5001,T$184,BD!$A$3:$A$5001,"&gt;="&amp;$C$8,BD!$A$3:$A$5001,"&lt;="&amp;$D$8,BD!$L$3:$L$5001,"&lt;&gt;")=0,"",SUMIFS(BD!$L$3:$L$5001,BD!$B$3:$B$5001,T$184,BD!$A$3:$A$5001,_xlfn.MAXIFS(BD!$A$3:$A$5001,BD!$B$3:$B$5001,T$184,BD!$A$3:$A$5001,"&gt;="&amp;$C$8,BD!$A$3:$A$5001,"&lt;="&amp;$D$8,BD!$L$3:$L$5001,"&lt;&gt;"))))</f>
        <v/>
      </c>
      <c r="U216" s="45" t="str">
        <f>IF(U$184="","",IF(COUNTIFS(BD!$B$3:$B$5001,U$184,BD!$A$3:$A$5001,"&gt;="&amp;$C$8,BD!$A$3:$A$5001,"&lt;="&amp;$D$8,BD!$L$3:$L$5001,"&lt;&gt;")=0,"",SUMIFS(BD!$L$3:$L$5001,BD!$B$3:$B$5001,U$184,BD!$A$3:$A$5001,_xlfn.MAXIFS(BD!$A$3:$A$5001,BD!$B$3:$B$5001,U$184,BD!$A$3:$A$5001,"&gt;="&amp;$C$8,BD!$A$3:$A$5001,"&lt;="&amp;$D$8,BD!$L$3:$L$5001,"&lt;&gt;"))))</f>
        <v/>
      </c>
      <c r="V216" s="45" t="str">
        <f>IF(V$184="","",IF(COUNTIFS(BD!$B$3:$B$5001,V$184,BD!$A$3:$A$5001,"&gt;="&amp;$C$8,BD!$A$3:$A$5001,"&lt;="&amp;$D$8,BD!$L$3:$L$5001,"&lt;&gt;")=0,"",SUMIFS(BD!$L$3:$L$5001,BD!$B$3:$B$5001,V$184,BD!$A$3:$A$5001,_xlfn.MAXIFS(BD!$A$3:$A$5001,BD!$B$3:$B$5001,V$184,BD!$A$3:$A$5001,"&gt;="&amp;$C$8,BD!$A$3:$A$5001,"&lt;="&amp;$D$8,BD!$L$3:$L$5001,"&lt;&gt;"))))</f>
        <v/>
      </c>
    </row>
    <row r="217">
      <c r="A217" s="44" t="inlineStr">
        <is>
          <t xml:space="preserve">Depósito</t>
        </is>
      </c>
      <c r="C217" s="38" t="str">
        <f>IF(Config!$C$10="","JSL",Config!$C$10)</f>
        <v>JSL</v>
      </c>
      <c r="D217" s="38" t="str">
        <f>IF(Config!$C$11="","JSL",Config!$C$11)</f>
        <v>JSL</v>
      </c>
      <c r="E217" s="38" t="str">
        <f>IF(Config!$C$12="","JSL",Config!$C$12)</f>
        <v>JSL</v>
      </c>
      <c r="F217" s="38" t="str">
        <f>IF(Config!$C$13="","JSL",Config!$C$13)</f>
        <v>JSL</v>
      </c>
      <c r="G217" s="38" t="str">
        <f>IF(Config!$C$14="","JSL",Config!$C$14)</f>
        <v>JSL</v>
      </c>
      <c r="H217" s="38" t="str">
        <f>IF(Config!$C$15="","JSL",Config!$C$15)</f>
        <v>JSL</v>
      </c>
      <c r="I217" s="38" t="str">
        <f>IF(Config!$C$16="","JSL",Config!$C$16)</f>
        <v>JSL</v>
      </c>
      <c r="J217" s="38" t="str">
        <f>IF(Config!$C$17="","JSL",Config!$C$17)</f>
        <v>JSL</v>
      </c>
      <c r="K217" s="38" t="str">
        <f>IF(Config!$C$18="","JSL",Config!$C$18)</f>
        <v>JSL</v>
      </c>
      <c r="L217" s="38" t="str">
        <f>IF(Config!$C$19="","JSL",Config!$C$19)</f>
        <v>JSL</v>
      </c>
      <c r="M217" s="38" t="str">
        <f>IF(Config!$C$20="","JSL",Config!$C$20)</f>
        <v>JSL</v>
      </c>
      <c r="N217" s="38" t="str">
        <f>IF(Config!$C$21="","JSL",Config!$C$21)</f>
        <v>JSL</v>
      </c>
      <c r="O217" s="38" t="str">
        <f>IF(Config!$C$22="","JSL",Config!$C$22)</f>
        <v>JSL</v>
      </c>
      <c r="P217" s="38" t="str">
        <f>IF(Config!$C$23="","JSL",Config!$C$23)</f>
        <v>JSL</v>
      </c>
      <c r="Q217" s="38" t="str">
        <f>IF(Config!$C$24="","JSL",Config!$C$24)</f>
        <v>JSL</v>
      </c>
      <c r="R217" s="38" t="str">
        <f>IF(Config!$C$25="","JSL",Config!$C$25)</f>
        <v>JSL</v>
      </c>
      <c r="S217" s="38" t="str">
        <f>IF(Config!$C$26="","JSL",Config!$C$26)</f>
        <v>JSL</v>
      </c>
      <c r="T217" s="38" t="str">
        <f>IF(Config!$C$27="","JSL",Config!$C$27)</f>
        <v>JSL</v>
      </c>
      <c r="U217" s="38" t="str">
        <f>IF(Config!$C$28="","JSL",Config!$C$28)</f>
        <v>JSL</v>
      </c>
      <c r="V217" s="38" t="str">
        <f>IF(Config!$C$29="","JSL",Config!$C$29)</f>
        <v>JSL</v>
      </c>
    </row>
    <row r="219">
      <c r="A219" s="37" t="inlineStr">
        <is>
          <t xml:space="preserve">Efetivo Op.</t>
        </is>
      </c>
      <c r="B219" s="37" t="inlineStr">
        <is>
          <t xml:space="preserve">Data</t>
        </is>
      </c>
      <c r="C219" s="37" t="str">
        <f>Config!$B$10&amp;""</f>
        <v>Barry Callebaut</v>
      </c>
      <c r="D219" s="37" t="str">
        <f>Config!$B$11&amp;""</f>
        <v>GM</v>
      </c>
      <c r="E219" s="37" t="str">
        <f>Config!$B$12&amp;""</f>
        <v>Mondelez</v>
      </c>
      <c r="F219" s="37" t="str">
        <f>Config!$B$13&amp;""</f>
        <v>Nestlé</v>
      </c>
      <c r="G219" s="37" t="str">
        <f>Config!$B$14&amp;""</f>
        <v>PMB</v>
      </c>
      <c r="H219" s="37" t="str">
        <f>Config!$B$15&amp;""</f>
        <v/>
      </c>
      <c r="I219" s="37" t="str">
        <f>Config!$B$16&amp;""</f>
        <v/>
      </c>
      <c r="J219" s="37" t="str">
        <f>Config!$B$17&amp;""</f>
        <v/>
      </c>
      <c r="K219" s="37" t="str">
        <f>Config!$B$18&amp;""</f>
        <v/>
      </c>
      <c r="L219" s="37" t="str">
        <f>Config!$B$19&amp;""</f>
        <v/>
      </c>
      <c r="M219" s="37" t="str">
        <f>Config!$B$20&amp;""</f>
        <v/>
      </c>
      <c r="N219" s="37" t="str">
        <f>Config!$B$21&amp;""</f>
        <v/>
      </c>
      <c r="O219" s="37" t="str">
        <f>Config!$B$22&amp;""</f>
        <v/>
      </c>
      <c r="P219" s="37" t="str">
        <f>Config!$B$23&amp;""</f>
        <v/>
      </c>
      <c r="Q219" s="37" t="str">
        <f>Config!$B$24&amp;""</f>
        <v/>
      </c>
      <c r="R219" s="37" t="str">
        <f>Config!$B$25&amp;""</f>
        <v/>
      </c>
      <c r="S219" s="37" t="str">
        <f>Config!$B$26&amp;""</f>
        <v/>
      </c>
      <c r="T219" s="37" t="str">
        <f>Config!$B$27&amp;""</f>
        <v/>
      </c>
      <c r="U219" s="37" t="str">
        <f>Config!$B$28&amp;""</f>
        <v/>
      </c>
      <c r="V219" s="37" t="str">
        <f>Config!$B$29&amp;""</f>
        <v/>
      </c>
    </row>
    <row r="220">
      <c r="A220" s="38">
        <v>1</v>
      </c>
      <c r="B220" s="42">
        <f>$B$12</f>
        <v>46296</v>
      </c>
      <c r="C220" s="43" t="str">
        <f>IF(OR($B220="",$A220&gt;$B$9,C$219=""),"",IF(COUNTIFS(BD!$B$3:$B$5001,C$219,BD!$A$3:$A$5001,"&gt;="&amp;$C$7,BD!$A$3:$A$5001,"&lt;="&amp;$B220,BD!$N$3:$N$5001,"&lt;&gt;")=0,"",SUMIFS(BD!$N$3:$N$5001,BD!$B$3:$B$5001,C$219,BD!$A$3:$A$5001,_xlfn.MAXIFS(BD!$A$3:$A$5001,BD!$B$3:$B$5001,C$219,BD!$A$3:$A$5001,"&gt;="&amp;$C$7,BD!$A$3:$A$5001,"&lt;="&amp;$B220,BD!$N$3:$N$5001,"&lt;&gt;"))))</f>
        <v/>
      </c>
      <c r="D220" s="43" t="str">
        <f>IF(OR($B220="",$A220&gt;$B$9,D$219=""),"",IF(COUNTIFS(BD!$B$3:$B$5001,D$219,BD!$A$3:$A$5001,"&gt;="&amp;$C$7,BD!$A$3:$A$5001,"&lt;="&amp;$B220,BD!$N$3:$N$5001,"&lt;&gt;")=0,"",SUMIFS(BD!$N$3:$N$5001,BD!$B$3:$B$5001,D$219,BD!$A$3:$A$5001,_xlfn.MAXIFS(BD!$A$3:$A$5001,BD!$B$3:$B$5001,D$219,BD!$A$3:$A$5001,"&gt;="&amp;$C$7,BD!$A$3:$A$5001,"&lt;="&amp;$B220,BD!$N$3:$N$5001,"&lt;&gt;"))))</f>
        <v/>
      </c>
      <c r="E220" s="43" t="str">
        <f>IF(OR($B220="",$A220&gt;$B$9,E$219=""),"",IF(COUNTIFS(BD!$B$3:$B$5001,E$219,BD!$A$3:$A$5001,"&gt;="&amp;$C$7,BD!$A$3:$A$5001,"&lt;="&amp;$B220,BD!$N$3:$N$5001,"&lt;&gt;")=0,"",SUMIFS(BD!$N$3:$N$5001,BD!$B$3:$B$5001,E$219,BD!$A$3:$A$5001,_xlfn.MAXIFS(BD!$A$3:$A$5001,BD!$B$3:$B$5001,E$219,BD!$A$3:$A$5001,"&gt;="&amp;$C$7,BD!$A$3:$A$5001,"&lt;="&amp;$B220,BD!$N$3:$N$5001,"&lt;&gt;"))))</f>
        <v/>
      </c>
      <c r="F220" s="43" t="str">
        <f>IF(OR($B220="",$A220&gt;$B$9,F$219=""),"",IF(COUNTIFS(BD!$B$3:$B$5001,F$219,BD!$A$3:$A$5001,"&gt;="&amp;$C$7,BD!$A$3:$A$5001,"&lt;="&amp;$B220,BD!$N$3:$N$5001,"&lt;&gt;")=0,"",SUMIFS(BD!$N$3:$N$5001,BD!$B$3:$B$5001,F$219,BD!$A$3:$A$5001,_xlfn.MAXIFS(BD!$A$3:$A$5001,BD!$B$3:$B$5001,F$219,BD!$A$3:$A$5001,"&gt;="&amp;$C$7,BD!$A$3:$A$5001,"&lt;="&amp;$B220,BD!$N$3:$N$5001,"&lt;&gt;"))))</f>
        <v/>
      </c>
      <c r="G220" s="43" t="str">
        <f>IF(OR($B220="",$A220&gt;$B$9,G$219=""),"",IF(COUNTIFS(BD!$B$3:$B$5001,G$219,BD!$A$3:$A$5001,"&gt;="&amp;$C$7,BD!$A$3:$A$5001,"&lt;="&amp;$B220,BD!$N$3:$N$5001,"&lt;&gt;")=0,"",SUMIFS(BD!$N$3:$N$5001,BD!$B$3:$B$5001,G$219,BD!$A$3:$A$5001,_xlfn.MAXIFS(BD!$A$3:$A$5001,BD!$B$3:$B$5001,G$219,BD!$A$3:$A$5001,"&gt;="&amp;$C$7,BD!$A$3:$A$5001,"&lt;="&amp;$B220,BD!$N$3:$N$5001,"&lt;&gt;"))))</f>
        <v/>
      </c>
      <c r="H220" s="43" t="str">
        <f>IF(OR($B220="",$A220&gt;$B$9,H$219=""),"",IF(COUNTIFS(BD!$B$3:$B$5001,H$219,BD!$A$3:$A$5001,"&gt;="&amp;$C$7,BD!$A$3:$A$5001,"&lt;="&amp;$B220,BD!$N$3:$N$5001,"&lt;&gt;")=0,"",SUMIFS(BD!$N$3:$N$5001,BD!$B$3:$B$5001,H$219,BD!$A$3:$A$5001,_xlfn.MAXIFS(BD!$A$3:$A$5001,BD!$B$3:$B$5001,H$219,BD!$A$3:$A$5001,"&gt;="&amp;$C$7,BD!$A$3:$A$5001,"&lt;="&amp;$B220,BD!$N$3:$N$5001,"&lt;&gt;"))))</f>
        <v/>
      </c>
      <c r="I220" s="43" t="str">
        <f>IF(OR($B220="",$A220&gt;$B$9,I$219=""),"",IF(COUNTIFS(BD!$B$3:$B$5001,I$219,BD!$A$3:$A$5001,"&gt;="&amp;$C$7,BD!$A$3:$A$5001,"&lt;="&amp;$B220,BD!$N$3:$N$5001,"&lt;&gt;")=0,"",SUMIFS(BD!$N$3:$N$5001,BD!$B$3:$B$5001,I$219,BD!$A$3:$A$5001,_xlfn.MAXIFS(BD!$A$3:$A$5001,BD!$B$3:$B$5001,I$219,BD!$A$3:$A$5001,"&gt;="&amp;$C$7,BD!$A$3:$A$5001,"&lt;="&amp;$B220,BD!$N$3:$N$5001,"&lt;&gt;"))))</f>
        <v/>
      </c>
      <c r="J220" s="43" t="str">
        <f>IF(OR($B220="",$A220&gt;$B$9,J$219=""),"",IF(COUNTIFS(BD!$B$3:$B$5001,J$219,BD!$A$3:$A$5001,"&gt;="&amp;$C$7,BD!$A$3:$A$5001,"&lt;="&amp;$B220,BD!$N$3:$N$5001,"&lt;&gt;")=0,"",SUMIFS(BD!$N$3:$N$5001,BD!$B$3:$B$5001,J$219,BD!$A$3:$A$5001,_xlfn.MAXIFS(BD!$A$3:$A$5001,BD!$B$3:$B$5001,J$219,BD!$A$3:$A$5001,"&gt;="&amp;$C$7,BD!$A$3:$A$5001,"&lt;="&amp;$B220,BD!$N$3:$N$5001,"&lt;&gt;"))))</f>
        <v/>
      </c>
      <c r="K220" s="43" t="str">
        <f>IF(OR($B220="",$A220&gt;$B$9,K$219=""),"",IF(COUNTIFS(BD!$B$3:$B$5001,K$219,BD!$A$3:$A$5001,"&gt;="&amp;$C$7,BD!$A$3:$A$5001,"&lt;="&amp;$B220,BD!$N$3:$N$5001,"&lt;&gt;")=0,"",SUMIFS(BD!$N$3:$N$5001,BD!$B$3:$B$5001,K$219,BD!$A$3:$A$5001,_xlfn.MAXIFS(BD!$A$3:$A$5001,BD!$B$3:$B$5001,K$219,BD!$A$3:$A$5001,"&gt;="&amp;$C$7,BD!$A$3:$A$5001,"&lt;="&amp;$B220,BD!$N$3:$N$5001,"&lt;&gt;"))))</f>
        <v/>
      </c>
      <c r="L220" s="43" t="str">
        <f>IF(OR($B220="",$A220&gt;$B$9,L$219=""),"",IF(COUNTIFS(BD!$B$3:$B$5001,L$219,BD!$A$3:$A$5001,"&gt;="&amp;$C$7,BD!$A$3:$A$5001,"&lt;="&amp;$B220,BD!$N$3:$N$5001,"&lt;&gt;")=0,"",SUMIFS(BD!$N$3:$N$5001,BD!$B$3:$B$5001,L$219,BD!$A$3:$A$5001,_xlfn.MAXIFS(BD!$A$3:$A$5001,BD!$B$3:$B$5001,L$219,BD!$A$3:$A$5001,"&gt;="&amp;$C$7,BD!$A$3:$A$5001,"&lt;="&amp;$B220,BD!$N$3:$N$5001,"&lt;&gt;"))))</f>
        <v/>
      </c>
      <c r="M220" s="43" t="str">
        <f>IF(OR($B220="",$A220&gt;$B$9,M$219=""),"",IF(COUNTIFS(BD!$B$3:$B$5001,M$219,BD!$A$3:$A$5001,"&gt;="&amp;$C$7,BD!$A$3:$A$5001,"&lt;="&amp;$B220,BD!$N$3:$N$5001,"&lt;&gt;")=0,"",SUMIFS(BD!$N$3:$N$5001,BD!$B$3:$B$5001,M$219,BD!$A$3:$A$5001,_xlfn.MAXIFS(BD!$A$3:$A$5001,BD!$B$3:$B$5001,M$219,BD!$A$3:$A$5001,"&gt;="&amp;$C$7,BD!$A$3:$A$5001,"&lt;="&amp;$B220,BD!$N$3:$N$5001,"&lt;&gt;"))))</f>
        <v/>
      </c>
      <c r="N220" s="43" t="str">
        <f>IF(OR($B220="",$A220&gt;$B$9,N$219=""),"",IF(COUNTIFS(BD!$B$3:$B$5001,N$219,BD!$A$3:$A$5001,"&gt;="&amp;$C$7,BD!$A$3:$A$5001,"&lt;="&amp;$B220,BD!$N$3:$N$5001,"&lt;&gt;")=0,"",SUMIFS(BD!$N$3:$N$5001,BD!$B$3:$B$5001,N$219,BD!$A$3:$A$5001,_xlfn.MAXIFS(BD!$A$3:$A$5001,BD!$B$3:$B$5001,N$219,BD!$A$3:$A$5001,"&gt;="&amp;$C$7,BD!$A$3:$A$5001,"&lt;="&amp;$B220,BD!$N$3:$N$5001,"&lt;&gt;"))))</f>
        <v/>
      </c>
      <c r="O220" s="43" t="str">
        <f>IF(OR($B220="",$A220&gt;$B$9,O$219=""),"",IF(COUNTIFS(BD!$B$3:$B$5001,O$219,BD!$A$3:$A$5001,"&gt;="&amp;$C$7,BD!$A$3:$A$5001,"&lt;="&amp;$B220,BD!$N$3:$N$5001,"&lt;&gt;")=0,"",SUMIFS(BD!$N$3:$N$5001,BD!$B$3:$B$5001,O$219,BD!$A$3:$A$5001,_xlfn.MAXIFS(BD!$A$3:$A$5001,BD!$B$3:$B$5001,O$219,BD!$A$3:$A$5001,"&gt;="&amp;$C$7,BD!$A$3:$A$5001,"&lt;="&amp;$B220,BD!$N$3:$N$5001,"&lt;&gt;"))))</f>
        <v/>
      </c>
      <c r="P220" s="43" t="str">
        <f>IF(OR($B220="",$A220&gt;$B$9,P$219=""),"",IF(COUNTIFS(BD!$B$3:$B$5001,P$219,BD!$A$3:$A$5001,"&gt;="&amp;$C$7,BD!$A$3:$A$5001,"&lt;="&amp;$B220,BD!$N$3:$N$5001,"&lt;&gt;")=0,"",SUMIFS(BD!$N$3:$N$5001,BD!$B$3:$B$5001,P$219,BD!$A$3:$A$5001,_xlfn.MAXIFS(BD!$A$3:$A$5001,BD!$B$3:$B$5001,P$219,BD!$A$3:$A$5001,"&gt;="&amp;$C$7,BD!$A$3:$A$5001,"&lt;="&amp;$B220,BD!$N$3:$N$5001,"&lt;&gt;"))))</f>
        <v/>
      </c>
      <c r="Q220" s="43" t="str">
        <f>IF(OR($B220="",$A220&gt;$B$9,Q$219=""),"",IF(COUNTIFS(BD!$B$3:$B$5001,Q$219,BD!$A$3:$A$5001,"&gt;="&amp;$C$7,BD!$A$3:$A$5001,"&lt;="&amp;$B220,BD!$N$3:$N$5001,"&lt;&gt;")=0,"",SUMIFS(BD!$N$3:$N$5001,BD!$B$3:$B$5001,Q$219,BD!$A$3:$A$5001,_xlfn.MAXIFS(BD!$A$3:$A$5001,BD!$B$3:$B$5001,Q$219,BD!$A$3:$A$5001,"&gt;="&amp;$C$7,BD!$A$3:$A$5001,"&lt;="&amp;$B220,BD!$N$3:$N$5001,"&lt;&gt;"))))</f>
        <v/>
      </c>
      <c r="R220" s="43" t="str">
        <f>IF(OR($B220="",$A220&gt;$B$9,R$219=""),"",IF(COUNTIFS(BD!$B$3:$B$5001,R$219,BD!$A$3:$A$5001,"&gt;="&amp;$C$7,BD!$A$3:$A$5001,"&lt;="&amp;$B220,BD!$N$3:$N$5001,"&lt;&gt;")=0,"",SUMIFS(BD!$N$3:$N$5001,BD!$B$3:$B$5001,R$219,BD!$A$3:$A$5001,_xlfn.MAXIFS(BD!$A$3:$A$5001,BD!$B$3:$B$5001,R$219,BD!$A$3:$A$5001,"&gt;="&amp;$C$7,BD!$A$3:$A$5001,"&lt;="&amp;$B220,BD!$N$3:$N$5001,"&lt;&gt;"))))</f>
        <v/>
      </c>
      <c r="S220" s="43" t="str">
        <f>IF(OR($B220="",$A220&gt;$B$9,S$219=""),"",IF(COUNTIFS(BD!$B$3:$B$5001,S$219,BD!$A$3:$A$5001,"&gt;="&amp;$C$7,BD!$A$3:$A$5001,"&lt;="&amp;$B220,BD!$N$3:$N$5001,"&lt;&gt;")=0,"",SUMIFS(BD!$N$3:$N$5001,BD!$B$3:$B$5001,S$219,BD!$A$3:$A$5001,_xlfn.MAXIFS(BD!$A$3:$A$5001,BD!$B$3:$B$5001,S$219,BD!$A$3:$A$5001,"&gt;="&amp;$C$7,BD!$A$3:$A$5001,"&lt;="&amp;$B220,BD!$N$3:$N$5001,"&lt;&gt;"))))</f>
        <v/>
      </c>
      <c r="T220" s="43" t="str">
        <f>IF(OR($B220="",$A220&gt;$B$9,T$219=""),"",IF(COUNTIFS(BD!$B$3:$B$5001,T$219,BD!$A$3:$A$5001,"&gt;="&amp;$C$7,BD!$A$3:$A$5001,"&lt;="&amp;$B220,BD!$N$3:$N$5001,"&lt;&gt;")=0,"",SUMIFS(BD!$N$3:$N$5001,BD!$B$3:$B$5001,T$219,BD!$A$3:$A$5001,_xlfn.MAXIFS(BD!$A$3:$A$5001,BD!$B$3:$B$5001,T$219,BD!$A$3:$A$5001,"&gt;="&amp;$C$7,BD!$A$3:$A$5001,"&lt;="&amp;$B220,BD!$N$3:$N$5001,"&lt;&gt;"))))</f>
        <v/>
      </c>
      <c r="U220" s="43" t="str">
        <f>IF(OR($B220="",$A220&gt;$B$9,U$219=""),"",IF(COUNTIFS(BD!$B$3:$B$5001,U$219,BD!$A$3:$A$5001,"&gt;="&amp;$C$7,BD!$A$3:$A$5001,"&lt;="&amp;$B220,BD!$N$3:$N$5001,"&lt;&gt;")=0,"",SUMIFS(BD!$N$3:$N$5001,BD!$B$3:$B$5001,U$219,BD!$A$3:$A$5001,_xlfn.MAXIFS(BD!$A$3:$A$5001,BD!$B$3:$B$5001,U$219,BD!$A$3:$A$5001,"&gt;="&amp;$C$7,BD!$A$3:$A$5001,"&lt;="&amp;$B220,BD!$N$3:$N$5001,"&lt;&gt;"))))</f>
        <v/>
      </c>
      <c r="V220" s="43" t="str">
        <f>IF(OR($B220="",$A220&gt;$B$9,V$219=""),"",IF(COUNTIFS(BD!$B$3:$B$5001,V$219,BD!$A$3:$A$5001,"&gt;="&amp;$C$7,BD!$A$3:$A$5001,"&lt;="&amp;$B220,BD!$N$3:$N$5001,"&lt;&gt;")=0,"",SUMIFS(BD!$N$3:$N$5001,BD!$B$3:$B$5001,V$219,BD!$A$3:$A$5001,_xlfn.MAXIFS(BD!$A$3:$A$5001,BD!$B$3:$B$5001,V$219,BD!$A$3:$A$5001,"&gt;="&amp;$C$7,BD!$A$3:$A$5001,"&lt;="&amp;$B220,BD!$N$3:$N$5001,"&lt;&gt;"))))</f>
        <v/>
      </c>
    </row>
    <row r="221">
      <c r="A221" s="38">
        <v>2</v>
      </c>
      <c r="B221" s="42">
        <f>$B$13</f>
        <v>46297</v>
      </c>
      <c r="C221" s="43" t="str">
        <f>IF(OR($B221="",$A221&gt;$B$9,C$219=""),"",IF(COUNTIFS(BD!$B$3:$B$5001,C$219,BD!$A$3:$A$5001,"&gt;="&amp;$C$7,BD!$A$3:$A$5001,"&lt;="&amp;$B221,BD!$N$3:$N$5001,"&lt;&gt;")=0,"",SUMIFS(BD!$N$3:$N$5001,BD!$B$3:$B$5001,C$219,BD!$A$3:$A$5001,_xlfn.MAXIFS(BD!$A$3:$A$5001,BD!$B$3:$B$5001,C$219,BD!$A$3:$A$5001,"&gt;="&amp;$C$7,BD!$A$3:$A$5001,"&lt;="&amp;$B221,BD!$N$3:$N$5001,"&lt;&gt;"))))</f>
        <v/>
      </c>
      <c r="D221" s="43" t="str">
        <f>IF(OR($B221="",$A221&gt;$B$9,D$219=""),"",IF(COUNTIFS(BD!$B$3:$B$5001,D$219,BD!$A$3:$A$5001,"&gt;="&amp;$C$7,BD!$A$3:$A$5001,"&lt;="&amp;$B221,BD!$N$3:$N$5001,"&lt;&gt;")=0,"",SUMIFS(BD!$N$3:$N$5001,BD!$B$3:$B$5001,D$219,BD!$A$3:$A$5001,_xlfn.MAXIFS(BD!$A$3:$A$5001,BD!$B$3:$B$5001,D$219,BD!$A$3:$A$5001,"&gt;="&amp;$C$7,BD!$A$3:$A$5001,"&lt;="&amp;$B221,BD!$N$3:$N$5001,"&lt;&gt;"))))</f>
        <v/>
      </c>
      <c r="E221" s="43" t="str">
        <f>IF(OR($B221="",$A221&gt;$B$9,E$219=""),"",IF(COUNTIFS(BD!$B$3:$B$5001,E$219,BD!$A$3:$A$5001,"&gt;="&amp;$C$7,BD!$A$3:$A$5001,"&lt;="&amp;$B221,BD!$N$3:$N$5001,"&lt;&gt;")=0,"",SUMIFS(BD!$N$3:$N$5001,BD!$B$3:$B$5001,E$219,BD!$A$3:$A$5001,_xlfn.MAXIFS(BD!$A$3:$A$5001,BD!$B$3:$B$5001,E$219,BD!$A$3:$A$5001,"&gt;="&amp;$C$7,BD!$A$3:$A$5001,"&lt;="&amp;$B221,BD!$N$3:$N$5001,"&lt;&gt;"))))</f>
        <v/>
      </c>
      <c r="F221" s="43" t="str">
        <f>IF(OR($B221="",$A221&gt;$B$9,F$219=""),"",IF(COUNTIFS(BD!$B$3:$B$5001,F$219,BD!$A$3:$A$5001,"&gt;="&amp;$C$7,BD!$A$3:$A$5001,"&lt;="&amp;$B221,BD!$N$3:$N$5001,"&lt;&gt;")=0,"",SUMIFS(BD!$N$3:$N$5001,BD!$B$3:$B$5001,F$219,BD!$A$3:$A$5001,_xlfn.MAXIFS(BD!$A$3:$A$5001,BD!$B$3:$B$5001,F$219,BD!$A$3:$A$5001,"&gt;="&amp;$C$7,BD!$A$3:$A$5001,"&lt;="&amp;$B221,BD!$N$3:$N$5001,"&lt;&gt;"))))</f>
        <v/>
      </c>
      <c r="G221" s="43" t="str">
        <f>IF(OR($B221="",$A221&gt;$B$9,G$219=""),"",IF(COUNTIFS(BD!$B$3:$B$5001,G$219,BD!$A$3:$A$5001,"&gt;="&amp;$C$7,BD!$A$3:$A$5001,"&lt;="&amp;$B221,BD!$N$3:$N$5001,"&lt;&gt;")=0,"",SUMIFS(BD!$N$3:$N$5001,BD!$B$3:$B$5001,G$219,BD!$A$3:$A$5001,_xlfn.MAXIFS(BD!$A$3:$A$5001,BD!$B$3:$B$5001,G$219,BD!$A$3:$A$5001,"&gt;="&amp;$C$7,BD!$A$3:$A$5001,"&lt;="&amp;$B221,BD!$N$3:$N$5001,"&lt;&gt;"))))</f>
        <v/>
      </c>
      <c r="H221" s="43" t="str">
        <f>IF(OR($B221="",$A221&gt;$B$9,H$219=""),"",IF(COUNTIFS(BD!$B$3:$B$5001,H$219,BD!$A$3:$A$5001,"&gt;="&amp;$C$7,BD!$A$3:$A$5001,"&lt;="&amp;$B221,BD!$N$3:$N$5001,"&lt;&gt;")=0,"",SUMIFS(BD!$N$3:$N$5001,BD!$B$3:$B$5001,H$219,BD!$A$3:$A$5001,_xlfn.MAXIFS(BD!$A$3:$A$5001,BD!$B$3:$B$5001,H$219,BD!$A$3:$A$5001,"&gt;="&amp;$C$7,BD!$A$3:$A$5001,"&lt;="&amp;$B221,BD!$N$3:$N$5001,"&lt;&gt;"))))</f>
        <v/>
      </c>
      <c r="I221" s="43" t="str">
        <f>IF(OR($B221="",$A221&gt;$B$9,I$219=""),"",IF(COUNTIFS(BD!$B$3:$B$5001,I$219,BD!$A$3:$A$5001,"&gt;="&amp;$C$7,BD!$A$3:$A$5001,"&lt;="&amp;$B221,BD!$N$3:$N$5001,"&lt;&gt;")=0,"",SUMIFS(BD!$N$3:$N$5001,BD!$B$3:$B$5001,I$219,BD!$A$3:$A$5001,_xlfn.MAXIFS(BD!$A$3:$A$5001,BD!$B$3:$B$5001,I$219,BD!$A$3:$A$5001,"&gt;="&amp;$C$7,BD!$A$3:$A$5001,"&lt;="&amp;$B221,BD!$N$3:$N$5001,"&lt;&gt;"))))</f>
        <v/>
      </c>
      <c r="J221" s="43" t="str">
        <f>IF(OR($B221="",$A221&gt;$B$9,J$219=""),"",IF(COUNTIFS(BD!$B$3:$B$5001,J$219,BD!$A$3:$A$5001,"&gt;="&amp;$C$7,BD!$A$3:$A$5001,"&lt;="&amp;$B221,BD!$N$3:$N$5001,"&lt;&gt;")=0,"",SUMIFS(BD!$N$3:$N$5001,BD!$B$3:$B$5001,J$219,BD!$A$3:$A$5001,_xlfn.MAXIFS(BD!$A$3:$A$5001,BD!$B$3:$B$5001,J$219,BD!$A$3:$A$5001,"&gt;="&amp;$C$7,BD!$A$3:$A$5001,"&lt;="&amp;$B221,BD!$N$3:$N$5001,"&lt;&gt;"))))</f>
        <v/>
      </c>
      <c r="K221" s="43" t="str">
        <f>IF(OR($B221="",$A221&gt;$B$9,K$219=""),"",IF(COUNTIFS(BD!$B$3:$B$5001,K$219,BD!$A$3:$A$5001,"&gt;="&amp;$C$7,BD!$A$3:$A$5001,"&lt;="&amp;$B221,BD!$N$3:$N$5001,"&lt;&gt;")=0,"",SUMIFS(BD!$N$3:$N$5001,BD!$B$3:$B$5001,K$219,BD!$A$3:$A$5001,_xlfn.MAXIFS(BD!$A$3:$A$5001,BD!$B$3:$B$5001,K$219,BD!$A$3:$A$5001,"&gt;="&amp;$C$7,BD!$A$3:$A$5001,"&lt;="&amp;$B221,BD!$N$3:$N$5001,"&lt;&gt;"))))</f>
        <v/>
      </c>
      <c r="L221" s="43" t="str">
        <f>IF(OR($B221="",$A221&gt;$B$9,L$219=""),"",IF(COUNTIFS(BD!$B$3:$B$5001,L$219,BD!$A$3:$A$5001,"&gt;="&amp;$C$7,BD!$A$3:$A$5001,"&lt;="&amp;$B221,BD!$N$3:$N$5001,"&lt;&gt;")=0,"",SUMIFS(BD!$N$3:$N$5001,BD!$B$3:$B$5001,L$219,BD!$A$3:$A$5001,_xlfn.MAXIFS(BD!$A$3:$A$5001,BD!$B$3:$B$5001,L$219,BD!$A$3:$A$5001,"&gt;="&amp;$C$7,BD!$A$3:$A$5001,"&lt;="&amp;$B221,BD!$N$3:$N$5001,"&lt;&gt;"))))</f>
        <v/>
      </c>
      <c r="M221" s="43" t="str">
        <f>IF(OR($B221="",$A221&gt;$B$9,M$219=""),"",IF(COUNTIFS(BD!$B$3:$B$5001,M$219,BD!$A$3:$A$5001,"&gt;="&amp;$C$7,BD!$A$3:$A$5001,"&lt;="&amp;$B221,BD!$N$3:$N$5001,"&lt;&gt;")=0,"",SUMIFS(BD!$N$3:$N$5001,BD!$B$3:$B$5001,M$219,BD!$A$3:$A$5001,_xlfn.MAXIFS(BD!$A$3:$A$5001,BD!$B$3:$B$5001,M$219,BD!$A$3:$A$5001,"&gt;="&amp;$C$7,BD!$A$3:$A$5001,"&lt;="&amp;$B221,BD!$N$3:$N$5001,"&lt;&gt;"))))</f>
        <v/>
      </c>
      <c r="N221" s="43" t="str">
        <f>IF(OR($B221="",$A221&gt;$B$9,N$219=""),"",IF(COUNTIFS(BD!$B$3:$B$5001,N$219,BD!$A$3:$A$5001,"&gt;="&amp;$C$7,BD!$A$3:$A$5001,"&lt;="&amp;$B221,BD!$N$3:$N$5001,"&lt;&gt;")=0,"",SUMIFS(BD!$N$3:$N$5001,BD!$B$3:$B$5001,N$219,BD!$A$3:$A$5001,_xlfn.MAXIFS(BD!$A$3:$A$5001,BD!$B$3:$B$5001,N$219,BD!$A$3:$A$5001,"&gt;="&amp;$C$7,BD!$A$3:$A$5001,"&lt;="&amp;$B221,BD!$N$3:$N$5001,"&lt;&gt;"))))</f>
        <v/>
      </c>
      <c r="O221" s="43" t="str">
        <f>IF(OR($B221="",$A221&gt;$B$9,O$219=""),"",IF(COUNTIFS(BD!$B$3:$B$5001,O$219,BD!$A$3:$A$5001,"&gt;="&amp;$C$7,BD!$A$3:$A$5001,"&lt;="&amp;$B221,BD!$N$3:$N$5001,"&lt;&gt;")=0,"",SUMIFS(BD!$N$3:$N$5001,BD!$B$3:$B$5001,O$219,BD!$A$3:$A$5001,_xlfn.MAXIFS(BD!$A$3:$A$5001,BD!$B$3:$B$5001,O$219,BD!$A$3:$A$5001,"&gt;="&amp;$C$7,BD!$A$3:$A$5001,"&lt;="&amp;$B221,BD!$N$3:$N$5001,"&lt;&gt;"))))</f>
        <v/>
      </c>
      <c r="P221" s="43" t="str">
        <f>IF(OR($B221="",$A221&gt;$B$9,P$219=""),"",IF(COUNTIFS(BD!$B$3:$B$5001,P$219,BD!$A$3:$A$5001,"&gt;="&amp;$C$7,BD!$A$3:$A$5001,"&lt;="&amp;$B221,BD!$N$3:$N$5001,"&lt;&gt;")=0,"",SUMIFS(BD!$N$3:$N$5001,BD!$B$3:$B$5001,P$219,BD!$A$3:$A$5001,_xlfn.MAXIFS(BD!$A$3:$A$5001,BD!$B$3:$B$5001,P$219,BD!$A$3:$A$5001,"&gt;="&amp;$C$7,BD!$A$3:$A$5001,"&lt;="&amp;$B221,BD!$N$3:$N$5001,"&lt;&gt;"))))</f>
        <v/>
      </c>
      <c r="Q221" s="43" t="str">
        <f>IF(OR($B221="",$A221&gt;$B$9,Q$219=""),"",IF(COUNTIFS(BD!$B$3:$B$5001,Q$219,BD!$A$3:$A$5001,"&gt;="&amp;$C$7,BD!$A$3:$A$5001,"&lt;="&amp;$B221,BD!$N$3:$N$5001,"&lt;&gt;")=0,"",SUMIFS(BD!$N$3:$N$5001,BD!$B$3:$B$5001,Q$219,BD!$A$3:$A$5001,_xlfn.MAXIFS(BD!$A$3:$A$5001,BD!$B$3:$B$5001,Q$219,BD!$A$3:$A$5001,"&gt;="&amp;$C$7,BD!$A$3:$A$5001,"&lt;="&amp;$B221,BD!$N$3:$N$5001,"&lt;&gt;"))))</f>
        <v/>
      </c>
      <c r="R221" s="43" t="str">
        <f>IF(OR($B221="",$A221&gt;$B$9,R$219=""),"",IF(COUNTIFS(BD!$B$3:$B$5001,R$219,BD!$A$3:$A$5001,"&gt;="&amp;$C$7,BD!$A$3:$A$5001,"&lt;="&amp;$B221,BD!$N$3:$N$5001,"&lt;&gt;")=0,"",SUMIFS(BD!$N$3:$N$5001,BD!$B$3:$B$5001,R$219,BD!$A$3:$A$5001,_xlfn.MAXIFS(BD!$A$3:$A$5001,BD!$B$3:$B$5001,R$219,BD!$A$3:$A$5001,"&gt;="&amp;$C$7,BD!$A$3:$A$5001,"&lt;="&amp;$B221,BD!$N$3:$N$5001,"&lt;&gt;"))))</f>
        <v/>
      </c>
      <c r="S221" s="43" t="str">
        <f>IF(OR($B221="",$A221&gt;$B$9,S$219=""),"",IF(COUNTIFS(BD!$B$3:$B$5001,S$219,BD!$A$3:$A$5001,"&gt;="&amp;$C$7,BD!$A$3:$A$5001,"&lt;="&amp;$B221,BD!$N$3:$N$5001,"&lt;&gt;")=0,"",SUMIFS(BD!$N$3:$N$5001,BD!$B$3:$B$5001,S$219,BD!$A$3:$A$5001,_xlfn.MAXIFS(BD!$A$3:$A$5001,BD!$B$3:$B$5001,S$219,BD!$A$3:$A$5001,"&gt;="&amp;$C$7,BD!$A$3:$A$5001,"&lt;="&amp;$B221,BD!$N$3:$N$5001,"&lt;&gt;"))))</f>
        <v/>
      </c>
      <c r="T221" s="43" t="str">
        <f>IF(OR($B221="",$A221&gt;$B$9,T$219=""),"",IF(COUNTIFS(BD!$B$3:$B$5001,T$219,BD!$A$3:$A$5001,"&gt;="&amp;$C$7,BD!$A$3:$A$5001,"&lt;="&amp;$B221,BD!$N$3:$N$5001,"&lt;&gt;")=0,"",SUMIFS(BD!$N$3:$N$5001,BD!$B$3:$B$5001,T$219,BD!$A$3:$A$5001,_xlfn.MAXIFS(BD!$A$3:$A$5001,BD!$B$3:$B$5001,T$219,BD!$A$3:$A$5001,"&gt;="&amp;$C$7,BD!$A$3:$A$5001,"&lt;="&amp;$B221,BD!$N$3:$N$5001,"&lt;&gt;"))))</f>
        <v/>
      </c>
      <c r="U221" s="43" t="str">
        <f>IF(OR($B221="",$A221&gt;$B$9,U$219=""),"",IF(COUNTIFS(BD!$B$3:$B$5001,U$219,BD!$A$3:$A$5001,"&gt;="&amp;$C$7,BD!$A$3:$A$5001,"&lt;="&amp;$B221,BD!$N$3:$N$5001,"&lt;&gt;")=0,"",SUMIFS(BD!$N$3:$N$5001,BD!$B$3:$B$5001,U$219,BD!$A$3:$A$5001,_xlfn.MAXIFS(BD!$A$3:$A$5001,BD!$B$3:$B$5001,U$219,BD!$A$3:$A$5001,"&gt;="&amp;$C$7,BD!$A$3:$A$5001,"&lt;="&amp;$B221,BD!$N$3:$N$5001,"&lt;&gt;"))))</f>
        <v/>
      </c>
      <c r="V221" s="43" t="str">
        <f>IF(OR($B221="",$A221&gt;$B$9,V$219=""),"",IF(COUNTIFS(BD!$B$3:$B$5001,V$219,BD!$A$3:$A$5001,"&gt;="&amp;$C$7,BD!$A$3:$A$5001,"&lt;="&amp;$B221,BD!$N$3:$N$5001,"&lt;&gt;")=0,"",SUMIFS(BD!$N$3:$N$5001,BD!$B$3:$B$5001,V$219,BD!$A$3:$A$5001,_xlfn.MAXIFS(BD!$A$3:$A$5001,BD!$B$3:$B$5001,V$219,BD!$A$3:$A$5001,"&gt;="&amp;$C$7,BD!$A$3:$A$5001,"&lt;="&amp;$B221,BD!$N$3:$N$5001,"&lt;&gt;"))))</f>
        <v/>
      </c>
    </row>
    <row r="222">
      <c r="A222" s="38">
        <v>3</v>
      </c>
      <c r="B222" s="42">
        <f>$B$14</f>
        <v>46298</v>
      </c>
      <c r="C222" s="43" t="str">
        <f>IF(OR($B222="",$A222&gt;$B$9,C$219=""),"",IF(COUNTIFS(BD!$B$3:$B$5001,C$219,BD!$A$3:$A$5001,"&gt;="&amp;$C$7,BD!$A$3:$A$5001,"&lt;="&amp;$B222,BD!$N$3:$N$5001,"&lt;&gt;")=0,"",SUMIFS(BD!$N$3:$N$5001,BD!$B$3:$B$5001,C$219,BD!$A$3:$A$5001,_xlfn.MAXIFS(BD!$A$3:$A$5001,BD!$B$3:$B$5001,C$219,BD!$A$3:$A$5001,"&gt;="&amp;$C$7,BD!$A$3:$A$5001,"&lt;="&amp;$B222,BD!$N$3:$N$5001,"&lt;&gt;"))))</f>
        <v/>
      </c>
      <c r="D222" s="43" t="str">
        <f>IF(OR($B222="",$A222&gt;$B$9,D$219=""),"",IF(COUNTIFS(BD!$B$3:$B$5001,D$219,BD!$A$3:$A$5001,"&gt;="&amp;$C$7,BD!$A$3:$A$5001,"&lt;="&amp;$B222,BD!$N$3:$N$5001,"&lt;&gt;")=0,"",SUMIFS(BD!$N$3:$N$5001,BD!$B$3:$B$5001,D$219,BD!$A$3:$A$5001,_xlfn.MAXIFS(BD!$A$3:$A$5001,BD!$B$3:$B$5001,D$219,BD!$A$3:$A$5001,"&gt;="&amp;$C$7,BD!$A$3:$A$5001,"&lt;="&amp;$B222,BD!$N$3:$N$5001,"&lt;&gt;"))))</f>
        <v/>
      </c>
      <c r="E222" s="43" t="str">
        <f>IF(OR($B222="",$A222&gt;$B$9,E$219=""),"",IF(COUNTIFS(BD!$B$3:$B$5001,E$219,BD!$A$3:$A$5001,"&gt;="&amp;$C$7,BD!$A$3:$A$5001,"&lt;="&amp;$B222,BD!$N$3:$N$5001,"&lt;&gt;")=0,"",SUMIFS(BD!$N$3:$N$5001,BD!$B$3:$B$5001,E$219,BD!$A$3:$A$5001,_xlfn.MAXIFS(BD!$A$3:$A$5001,BD!$B$3:$B$5001,E$219,BD!$A$3:$A$5001,"&gt;="&amp;$C$7,BD!$A$3:$A$5001,"&lt;="&amp;$B222,BD!$N$3:$N$5001,"&lt;&gt;"))))</f>
        <v/>
      </c>
      <c r="F222" s="43" t="str">
        <f>IF(OR($B222="",$A222&gt;$B$9,F$219=""),"",IF(COUNTIFS(BD!$B$3:$B$5001,F$219,BD!$A$3:$A$5001,"&gt;="&amp;$C$7,BD!$A$3:$A$5001,"&lt;="&amp;$B222,BD!$N$3:$N$5001,"&lt;&gt;")=0,"",SUMIFS(BD!$N$3:$N$5001,BD!$B$3:$B$5001,F$219,BD!$A$3:$A$5001,_xlfn.MAXIFS(BD!$A$3:$A$5001,BD!$B$3:$B$5001,F$219,BD!$A$3:$A$5001,"&gt;="&amp;$C$7,BD!$A$3:$A$5001,"&lt;="&amp;$B222,BD!$N$3:$N$5001,"&lt;&gt;"))))</f>
        <v/>
      </c>
      <c r="G222" s="43" t="str">
        <f>IF(OR($B222="",$A222&gt;$B$9,G$219=""),"",IF(COUNTIFS(BD!$B$3:$B$5001,G$219,BD!$A$3:$A$5001,"&gt;="&amp;$C$7,BD!$A$3:$A$5001,"&lt;="&amp;$B222,BD!$N$3:$N$5001,"&lt;&gt;")=0,"",SUMIFS(BD!$N$3:$N$5001,BD!$B$3:$B$5001,G$219,BD!$A$3:$A$5001,_xlfn.MAXIFS(BD!$A$3:$A$5001,BD!$B$3:$B$5001,G$219,BD!$A$3:$A$5001,"&gt;="&amp;$C$7,BD!$A$3:$A$5001,"&lt;="&amp;$B222,BD!$N$3:$N$5001,"&lt;&gt;"))))</f>
        <v/>
      </c>
      <c r="H222" s="43" t="str">
        <f>IF(OR($B222="",$A222&gt;$B$9,H$219=""),"",IF(COUNTIFS(BD!$B$3:$B$5001,H$219,BD!$A$3:$A$5001,"&gt;="&amp;$C$7,BD!$A$3:$A$5001,"&lt;="&amp;$B222,BD!$N$3:$N$5001,"&lt;&gt;")=0,"",SUMIFS(BD!$N$3:$N$5001,BD!$B$3:$B$5001,H$219,BD!$A$3:$A$5001,_xlfn.MAXIFS(BD!$A$3:$A$5001,BD!$B$3:$B$5001,H$219,BD!$A$3:$A$5001,"&gt;="&amp;$C$7,BD!$A$3:$A$5001,"&lt;="&amp;$B222,BD!$N$3:$N$5001,"&lt;&gt;"))))</f>
        <v/>
      </c>
      <c r="I222" s="43" t="str">
        <f>IF(OR($B222="",$A222&gt;$B$9,I$219=""),"",IF(COUNTIFS(BD!$B$3:$B$5001,I$219,BD!$A$3:$A$5001,"&gt;="&amp;$C$7,BD!$A$3:$A$5001,"&lt;="&amp;$B222,BD!$N$3:$N$5001,"&lt;&gt;")=0,"",SUMIFS(BD!$N$3:$N$5001,BD!$B$3:$B$5001,I$219,BD!$A$3:$A$5001,_xlfn.MAXIFS(BD!$A$3:$A$5001,BD!$B$3:$B$5001,I$219,BD!$A$3:$A$5001,"&gt;="&amp;$C$7,BD!$A$3:$A$5001,"&lt;="&amp;$B222,BD!$N$3:$N$5001,"&lt;&gt;"))))</f>
        <v/>
      </c>
      <c r="J222" s="43" t="str">
        <f>IF(OR($B222="",$A222&gt;$B$9,J$219=""),"",IF(COUNTIFS(BD!$B$3:$B$5001,J$219,BD!$A$3:$A$5001,"&gt;="&amp;$C$7,BD!$A$3:$A$5001,"&lt;="&amp;$B222,BD!$N$3:$N$5001,"&lt;&gt;")=0,"",SUMIFS(BD!$N$3:$N$5001,BD!$B$3:$B$5001,J$219,BD!$A$3:$A$5001,_xlfn.MAXIFS(BD!$A$3:$A$5001,BD!$B$3:$B$5001,J$219,BD!$A$3:$A$5001,"&gt;="&amp;$C$7,BD!$A$3:$A$5001,"&lt;="&amp;$B222,BD!$N$3:$N$5001,"&lt;&gt;"))))</f>
        <v/>
      </c>
      <c r="K222" s="43" t="str">
        <f>IF(OR($B222="",$A222&gt;$B$9,K$219=""),"",IF(COUNTIFS(BD!$B$3:$B$5001,K$219,BD!$A$3:$A$5001,"&gt;="&amp;$C$7,BD!$A$3:$A$5001,"&lt;="&amp;$B222,BD!$N$3:$N$5001,"&lt;&gt;")=0,"",SUMIFS(BD!$N$3:$N$5001,BD!$B$3:$B$5001,K$219,BD!$A$3:$A$5001,_xlfn.MAXIFS(BD!$A$3:$A$5001,BD!$B$3:$B$5001,K$219,BD!$A$3:$A$5001,"&gt;="&amp;$C$7,BD!$A$3:$A$5001,"&lt;="&amp;$B222,BD!$N$3:$N$5001,"&lt;&gt;"))))</f>
        <v/>
      </c>
      <c r="L222" s="43" t="str">
        <f>IF(OR($B222="",$A222&gt;$B$9,L$219=""),"",IF(COUNTIFS(BD!$B$3:$B$5001,L$219,BD!$A$3:$A$5001,"&gt;="&amp;$C$7,BD!$A$3:$A$5001,"&lt;="&amp;$B222,BD!$N$3:$N$5001,"&lt;&gt;")=0,"",SUMIFS(BD!$N$3:$N$5001,BD!$B$3:$B$5001,L$219,BD!$A$3:$A$5001,_xlfn.MAXIFS(BD!$A$3:$A$5001,BD!$B$3:$B$5001,L$219,BD!$A$3:$A$5001,"&gt;="&amp;$C$7,BD!$A$3:$A$5001,"&lt;="&amp;$B222,BD!$N$3:$N$5001,"&lt;&gt;"))))</f>
        <v/>
      </c>
      <c r="M222" s="43" t="str">
        <f>IF(OR($B222="",$A222&gt;$B$9,M$219=""),"",IF(COUNTIFS(BD!$B$3:$B$5001,M$219,BD!$A$3:$A$5001,"&gt;="&amp;$C$7,BD!$A$3:$A$5001,"&lt;="&amp;$B222,BD!$N$3:$N$5001,"&lt;&gt;")=0,"",SUMIFS(BD!$N$3:$N$5001,BD!$B$3:$B$5001,M$219,BD!$A$3:$A$5001,_xlfn.MAXIFS(BD!$A$3:$A$5001,BD!$B$3:$B$5001,M$219,BD!$A$3:$A$5001,"&gt;="&amp;$C$7,BD!$A$3:$A$5001,"&lt;="&amp;$B222,BD!$N$3:$N$5001,"&lt;&gt;"))))</f>
        <v/>
      </c>
      <c r="N222" s="43" t="str">
        <f>IF(OR($B222="",$A222&gt;$B$9,N$219=""),"",IF(COUNTIFS(BD!$B$3:$B$5001,N$219,BD!$A$3:$A$5001,"&gt;="&amp;$C$7,BD!$A$3:$A$5001,"&lt;="&amp;$B222,BD!$N$3:$N$5001,"&lt;&gt;")=0,"",SUMIFS(BD!$N$3:$N$5001,BD!$B$3:$B$5001,N$219,BD!$A$3:$A$5001,_xlfn.MAXIFS(BD!$A$3:$A$5001,BD!$B$3:$B$5001,N$219,BD!$A$3:$A$5001,"&gt;="&amp;$C$7,BD!$A$3:$A$5001,"&lt;="&amp;$B222,BD!$N$3:$N$5001,"&lt;&gt;"))))</f>
        <v/>
      </c>
      <c r="O222" s="43" t="str">
        <f>IF(OR($B222="",$A222&gt;$B$9,O$219=""),"",IF(COUNTIFS(BD!$B$3:$B$5001,O$219,BD!$A$3:$A$5001,"&gt;="&amp;$C$7,BD!$A$3:$A$5001,"&lt;="&amp;$B222,BD!$N$3:$N$5001,"&lt;&gt;")=0,"",SUMIFS(BD!$N$3:$N$5001,BD!$B$3:$B$5001,O$219,BD!$A$3:$A$5001,_xlfn.MAXIFS(BD!$A$3:$A$5001,BD!$B$3:$B$5001,O$219,BD!$A$3:$A$5001,"&gt;="&amp;$C$7,BD!$A$3:$A$5001,"&lt;="&amp;$B222,BD!$N$3:$N$5001,"&lt;&gt;"))))</f>
        <v/>
      </c>
      <c r="P222" s="43" t="str">
        <f>IF(OR($B222="",$A222&gt;$B$9,P$219=""),"",IF(COUNTIFS(BD!$B$3:$B$5001,P$219,BD!$A$3:$A$5001,"&gt;="&amp;$C$7,BD!$A$3:$A$5001,"&lt;="&amp;$B222,BD!$N$3:$N$5001,"&lt;&gt;")=0,"",SUMIFS(BD!$N$3:$N$5001,BD!$B$3:$B$5001,P$219,BD!$A$3:$A$5001,_xlfn.MAXIFS(BD!$A$3:$A$5001,BD!$B$3:$B$5001,P$219,BD!$A$3:$A$5001,"&gt;="&amp;$C$7,BD!$A$3:$A$5001,"&lt;="&amp;$B222,BD!$N$3:$N$5001,"&lt;&gt;"))))</f>
        <v/>
      </c>
      <c r="Q222" s="43" t="str">
        <f>IF(OR($B222="",$A222&gt;$B$9,Q$219=""),"",IF(COUNTIFS(BD!$B$3:$B$5001,Q$219,BD!$A$3:$A$5001,"&gt;="&amp;$C$7,BD!$A$3:$A$5001,"&lt;="&amp;$B222,BD!$N$3:$N$5001,"&lt;&gt;")=0,"",SUMIFS(BD!$N$3:$N$5001,BD!$B$3:$B$5001,Q$219,BD!$A$3:$A$5001,_xlfn.MAXIFS(BD!$A$3:$A$5001,BD!$B$3:$B$5001,Q$219,BD!$A$3:$A$5001,"&gt;="&amp;$C$7,BD!$A$3:$A$5001,"&lt;="&amp;$B222,BD!$N$3:$N$5001,"&lt;&gt;"))))</f>
        <v/>
      </c>
      <c r="R222" s="43" t="str">
        <f>IF(OR($B222="",$A222&gt;$B$9,R$219=""),"",IF(COUNTIFS(BD!$B$3:$B$5001,R$219,BD!$A$3:$A$5001,"&gt;="&amp;$C$7,BD!$A$3:$A$5001,"&lt;="&amp;$B222,BD!$N$3:$N$5001,"&lt;&gt;")=0,"",SUMIFS(BD!$N$3:$N$5001,BD!$B$3:$B$5001,R$219,BD!$A$3:$A$5001,_xlfn.MAXIFS(BD!$A$3:$A$5001,BD!$B$3:$B$5001,R$219,BD!$A$3:$A$5001,"&gt;="&amp;$C$7,BD!$A$3:$A$5001,"&lt;="&amp;$B222,BD!$N$3:$N$5001,"&lt;&gt;"))))</f>
        <v/>
      </c>
      <c r="S222" s="43" t="str">
        <f>IF(OR($B222="",$A222&gt;$B$9,S$219=""),"",IF(COUNTIFS(BD!$B$3:$B$5001,S$219,BD!$A$3:$A$5001,"&gt;="&amp;$C$7,BD!$A$3:$A$5001,"&lt;="&amp;$B222,BD!$N$3:$N$5001,"&lt;&gt;")=0,"",SUMIFS(BD!$N$3:$N$5001,BD!$B$3:$B$5001,S$219,BD!$A$3:$A$5001,_xlfn.MAXIFS(BD!$A$3:$A$5001,BD!$B$3:$B$5001,S$219,BD!$A$3:$A$5001,"&gt;="&amp;$C$7,BD!$A$3:$A$5001,"&lt;="&amp;$B222,BD!$N$3:$N$5001,"&lt;&gt;"))))</f>
        <v/>
      </c>
      <c r="T222" s="43" t="str">
        <f>IF(OR($B222="",$A222&gt;$B$9,T$219=""),"",IF(COUNTIFS(BD!$B$3:$B$5001,T$219,BD!$A$3:$A$5001,"&gt;="&amp;$C$7,BD!$A$3:$A$5001,"&lt;="&amp;$B222,BD!$N$3:$N$5001,"&lt;&gt;")=0,"",SUMIFS(BD!$N$3:$N$5001,BD!$B$3:$B$5001,T$219,BD!$A$3:$A$5001,_xlfn.MAXIFS(BD!$A$3:$A$5001,BD!$B$3:$B$5001,T$219,BD!$A$3:$A$5001,"&gt;="&amp;$C$7,BD!$A$3:$A$5001,"&lt;="&amp;$B222,BD!$N$3:$N$5001,"&lt;&gt;"))))</f>
        <v/>
      </c>
      <c r="U222" s="43" t="str">
        <f>IF(OR($B222="",$A222&gt;$B$9,U$219=""),"",IF(COUNTIFS(BD!$B$3:$B$5001,U$219,BD!$A$3:$A$5001,"&gt;="&amp;$C$7,BD!$A$3:$A$5001,"&lt;="&amp;$B222,BD!$N$3:$N$5001,"&lt;&gt;")=0,"",SUMIFS(BD!$N$3:$N$5001,BD!$B$3:$B$5001,U$219,BD!$A$3:$A$5001,_xlfn.MAXIFS(BD!$A$3:$A$5001,BD!$B$3:$B$5001,U$219,BD!$A$3:$A$5001,"&gt;="&amp;$C$7,BD!$A$3:$A$5001,"&lt;="&amp;$B222,BD!$N$3:$N$5001,"&lt;&gt;"))))</f>
        <v/>
      </c>
      <c r="V222" s="43" t="str">
        <f>IF(OR($B222="",$A222&gt;$B$9,V$219=""),"",IF(COUNTIFS(BD!$B$3:$B$5001,V$219,BD!$A$3:$A$5001,"&gt;="&amp;$C$7,BD!$A$3:$A$5001,"&lt;="&amp;$B222,BD!$N$3:$N$5001,"&lt;&gt;")=0,"",SUMIFS(BD!$N$3:$N$5001,BD!$B$3:$B$5001,V$219,BD!$A$3:$A$5001,_xlfn.MAXIFS(BD!$A$3:$A$5001,BD!$B$3:$B$5001,V$219,BD!$A$3:$A$5001,"&gt;="&amp;$C$7,BD!$A$3:$A$5001,"&lt;="&amp;$B222,BD!$N$3:$N$5001,"&lt;&gt;"))))</f>
        <v/>
      </c>
    </row>
    <row r="223">
      <c r="A223" s="38">
        <v>4</v>
      </c>
      <c r="B223" s="42">
        <f>$B$15</f>
        <v>46299</v>
      </c>
      <c r="C223" s="43" t="str">
        <f>IF(OR($B223="",$A223&gt;$B$9,C$219=""),"",IF(COUNTIFS(BD!$B$3:$B$5001,C$219,BD!$A$3:$A$5001,"&gt;="&amp;$C$7,BD!$A$3:$A$5001,"&lt;="&amp;$B223,BD!$N$3:$N$5001,"&lt;&gt;")=0,"",SUMIFS(BD!$N$3:$N$5001,BD!$B$3:$B$5001,C$219,BD!$A$3:$A$5001,_xlfn.MAXIFS(BD!$A$3:$A$5001,BD!$B$3:$B$5001,C$219,BD!$A$3:$A$5001,"&gt;="&amp;$C$7,BD!$A$3:$A$5001,"&lt;="&amp;$B223,BD!$N$3:$N$5001,"&lt;&gt;"))))</f>
        <v/>
      </c>
      <c r="D223" s="43" t="str">
        <f>IF(OR($B223="",$A223&gt;$B$9,D$219=""),"",IF(COUNTIFS(BD!$B$3:$B$5001,D$219,BD!$A$3:$A$5001,"&gt;="&amp;$C$7,BD!$A$3:$A$5001,"&lt;="&amp;$B223,BD!$N$3:$N$5001,"&lt;&gt;")=0,"",SUMIFS(BD!$N$3:$N$5001,BD!$B$3:$B$5001,D$219,BD!$A$3:$A$5001,_xlfn.MAXIFS(BD!$A$3:$A$5001,BD!$B$3:$B$5001,D$219,BD!$A$3:$A$5001,"&gt;="&amp;$C$7,BD!$A$3:$A$5001,"&lt;="&amp;$B223,BD!$N$3:$N$5001,"&lt;&gt;"))))</f>
        <v/>
      </c>
      <c r="E223" s="43" t="str">
        <f>IF(OR($B223="",$A223&gt;$B$9,E$219=""),"",IF(COUNTIFS(BD!$B$3:$B$5001,E$219,BD!$A$3:$A$5001,"&gt;="&amp;$C$7,BD!$A$3:$A$5001,"&lt;="&amp;$B223,BD!$N$3:$N$5001,"&lt;&gt;")=0,"",SUMIFS(BD!$N$3:$N$5001,BD!$B$3:$B$5001,E$219,BD!$A$3:$A$5001,_xlfn.MAXIFS(BD!$A$3:$A$5001,BD!$B$3:$B$5001,E$219,BD!$A$3:$A$5001,"&gt;="&amp;$C$7,BD!$A$3:$A$5001,"&lt;="&amp;$B223,BD!$N$3:$N$5001,"&lt;&gt;"))))</f>
        <v/>
      </c>
      <c r="F223" s="43" t="str">
        <f>IF(OR($B223="",$A223&gt;$B$9,F$219=""),"",IF(COUNTIFS(BD!$B$3:$B$5001,F$219,BD!$A$3:$A$5001,"&gt;="&amp;$C$7,BD!$A$3:$A$5001,"&lt;="&amp;$B223,BD!$N$3:$N$5001,"&lt;&gt;")=0,"",SUMIFS(BD!$N$3:$N$5001,BD!$B$3:$B$5001,F$219,BD!$A$3:$A$5001,_xlfn.MAXIFS(BD!$A$3:$A$5001,BD!$B$3:$B$5001,F$219,BD!$A$3:$A$5001,"&gt;="&amp;$C$7,BD!$A$3:$A$5001,"&lt;="&amp;$B223,BD!$N$3:$N$5001,"&lt;&gt;"))))</f>
        <v/>
      </c>
      <c r="G223" s="43" t="str">
        <f>IF(OR($B223="",$A223&gt;$B$9,G$219=""),"",IF(COUNTIFS(BD!$B$3:$B$5001,G$219,BD!$A$3:$A$5001,"&gt;="&amp;$C$7,BD!$A$3:$A$5001,"&lt;="&amp;$B223,BD!$N$3:$N$5001,"&lt;&gt;")=0,"",SUMIFS(BD!$N$3:$N$5001,BD!$B$3:$B$5001,G$219,BD!$A$3:$A$5001,_xlfn.MAXIFS(BD!$A$3:$A$5001,BD!$B$3:$B$5001,G$219,BD!$A$3:$A$5001,"&gt;="&amp;$C$7,BD!$A$3:$A$5001,"&lt;="&amp;$B223,BD!$N$3:$N$5001,"&lt;&gt;"))))</f>
        <v/>
      </c>
      <c r="H223" s="43" t="str">
        <f>IF(OR($B223="",$A223&gt;$B$9,H$219=""),"",IF(COUNTIFS(BD!$B$3:$B$5001,H$219,BD!$A$3:$A$5001,"&gt;="&amp;$C$7,BD!$A$3:$A$5001,"&lt;="&amp;$B223,BD!$N$3:$N$5001,"&lt;&gt;")=0,"",SUMIFS(BD!$N$3:$N$5001,BD!$B$3:$B$5001,H$219,BD!$A$3:$A$5001,_xlfn.MAXIFS(BD!$A$3:$A$5001,BD!$B$3:$B$5001,H$219,BD!$A$3:$A$5001,"&gt;="&amp;$C$7,BD!$A$3:$A$5001,"&lt;="&amp;$B223,BD!$N$3:$N$5001,"&lt;&gt;"))))</f>
        <v/>
      </c>
      <c r="I223" s="43" t="str">
        <f>IF(OR($B223="",$A223&gt;$B$9,I$219=""),"",IF(COUNTIFS(BD!$B$3:$B$5001,I$219,BD!$A$3:$A$5001,"&gt;="&amp;$C$7,BD!$A$3:$A$5001,"&lt;="&amp;$B223,BD!$N$3:$N$5001,"&lt;&gt;")=0,"",SUMIFS(BD!$N$3:$N$5001,BD!$B$3:$B$5001,I$219,BD!$A$3:$A$5001,_xlfn.MAXIFS(BD!$A$3:$A$5001,BD!$B$3:$B$5001,I$219,BD!$A$3:$A$5001,"&gt;="&amp;$C$7,BD!$A$3:$A$5001,"&lt;="&amp;$B223,BD!$N$3:$N$5001,"&lt;&gt;"))))</f>
        <v/>
      </c>
      <c r="J223" s="43" t="str">
        <f>IF(OR($B223="",$A223&gt;$B$9,J$219=""),"",IF(COUNTIFS(BD!$B$3:$B$5001,J$219,BD!$A$3:$A$5001,"&gt;="&amp;$C$7,BD!$A$3:$A$5001,"&lt;="&amp;$B223,BD!$N$3:$N$5001,"&lt;&gt;")=0,"",SUMIFS(BD!$N$3:$N$5001,BD!$B$3:$B$5001,J$219,BD!$A$3:$A$5001,_xlfn.MAXIFS(BD!$A$3:$A$5001,BD!$B$3:$B$5001,J$219,BD!$A$3:$A$5001,"&gt;="&amp;$C$7,BD!$A$3:$A$5001,"&lt;="&amp;$B223,BD!$N$3:$N$5001,"&lt;&gt;"))))</f>
        <v/>
      </c>
      <c r="K223" s="43" t="str">
        <f>IF(OR($B223="",$A223&gt;$B$9,K$219=""),"",IF(COUNTIFS(BD!$B$3:$B$5001,K$219,BD!$A$3:$A$5001,"&gt;="&amp;$C$7,BD!$A$3:$A$5001,"&lt;="&amp;$B223,BD!$N$3:$N$5001,"&lt;&gt;")=0,"",SUMIFS(BD!$N$3:$N$5001,BD!$B$3:$B$5001,K$219,BD!$A$3:$A$5001,_xlfn.MAXIFS(BD!$A$3:$A$5001,BD!$B$3:$B$5001,K$219,BD!$A$3:$A$5001,"&gt;="&amp;$C$7,BD!$A$3:$A$5001,"&lt;="&amp;$B223,BD!$N$3:$N$5001,"&lt;&gt;"))))</f>
        <v/>
      </c>
      <c r="L223" s="43" t="str">
        <f>IF(OR($B223="",$A223&gt;$B$9,L$219=""),"",IF(COUNTIFS(BD!$B$3:$B$5001,L$219,BD!$A$3:$A$5001,"&gt;="&amp;$C$7,BD!$A$3:$A$5001,"&lt;="&amp;$B223,BD!$N$3:$N$5001,"&lt;&gt;")=0,"",SUMIFS(BD!$N$3:$N$5001,BD!$B$3:$B$5001,L$219,BD!$A$3:$A$5001,_xlfn.MAXIFS(BD!$A$3:$A$5001,BD!$B$3:$B$5001,L$219,BD!$A$3:$A$5001,"&gt;="&amp;$C$7,BD!$A$3:$A$5001,"&lt;="&amp;$B223,BD!$N$3:$N$5001,"&lt;&gt;"))))</f>
        <v/>
      </c>
      <c r="M223" s="43" t="str">
        <f>IF(OR($B223="",$A223&gt;$B$9,M$219=""),"",IF(COUNTIFS(BD!$B$3:$B$5001,M$219,BD!$A$3:$A$5001,"&gt;="&amp;$C$7,BD!$A$3:$A$5001,"&lt;="&amp;$B223,BD!$N$3:$N$5001,"&lt;&gt;")=0,"",SUMIFS(BD!$N$3:$N$5001,BD!$B$3:$B$5001,M$219,BD!$A$3:$A$5001,_xlfn.MAXIFS(BD!$A$3:$A$5001,BD!$B$3:$B$5001,M$219,BD!$A$3:$A$5001,"&gt;="&amp;$C$7,BD!$A$3:$A$5001,"&lt;="&amp;$B223,BD!$N$3:$N$5001,"&lt;&gt;"))))</f>
        <v/>
      </c>
      <c r="N223" s="43" t="str">
        <f>IF(OR($B223="",$A223&gt;$B$9,N$219=""),"",IF(COUNTIFS(BD!$B$3:$B$5001,N$219,BD!$A$3:$A$5001,"&gt;="&amp;$C$7,BD!$A$3:$A$5001,"&lt;="&amp;$B223,BD!$N$3:$N$5001,"&lt;&gt;")=0,"",SUMIFS(BD!$N$3:$N$5001,BD!$B$3:$B$5001,N$219,BD!$A$3:$A$5001,_xlfn.MAXIFS(BD!$A$3:$A$5001,BD!$B$3:$B$5001,N$219,BD!$A$3:$A$5001,"&gt;="&amp;$C$7,BD!$A$3:$A$5001,"&lt;="&amp;$B223,BD!$N$3:$N$5001,"&lt;&gt;"))))</f>
        <v/>
      </c>
      <c r="O223" s="43" t="str">
        <f>IF(OR($B223="",$A223&gt;$B$9,O$219=""),"",IF(COUNTIFS(BD!$B$3:$B$5001,O$219,BD!$A$3:$A$5001,"&gt;="&amp;$C$7,BD!$A$3:$A$5001,"&lt;="&amp;$B223,BD!$N$3:$N$5001,"&lt;&gt;")=0,"",SUMIFS(BD!$N$3:$N$5001,BD!$B$3:$B$5001,O$219,BD!$A$3:$A$5001,_xlfn.MAXIFS(BD!$A$3:$A$5001,BD!$B$3:$B$5001,O$219,BD!$A$3:$A$5001,"&gt;="&amp;$C$7,BD!$A$3:$A$5001,"&lt;="&amp;$B223,BD!$N$3:$N$5001,"&lt;&gt;"))))</f>
        <v/>
      </c>
      <c r="P223" s="43" t="str">
        <f>IF(OR($B223="",$A223&gt;$B$9,P$219=""),"",IF(COUNTIFS(BD!$B$3:$B$5001,P$219,BD!$A$3:$A$5001,"&gt;="&amp;$C$7,BD!$A$3:$A$5001,"&lt;="&amp;$B223,BD!$N$3:$N$5001,"&lt;&gt;")=0,"",SUMIFS(BD!$N$3:$N$5001,BD!$B$3:$B$5001,P$219,BD!$A$3:$A$5001,_xlfn.MAXIFS(BD!$A$3:$A$5001,BD!$B$3:$B$5001,P$219,BD!$A$3:$A$5001,"&gt;="&amp;$C$7,BD!$A$3:$A$5001,"&lt;="&amp;$B223,BD!$N$3:$N$5001,"&lt;&gt;"))))</f>
        <v/>
      </c>
      <c r="Q223" s="43" t="str">
        <f>IF(OR($B223="",$A223&gt;$B$9,Q$219=""),"",IF(COUNTIFS(BD!$B$3:$B$5001,Q$219,BD!$A$3:$A$5001,"&gt;="&amp;$C$7,BD!$A$3:$A$5001,"&lt;="&amp;$B223,BD!$N$3:$N$5001,"&lt;&gt;")=0,"",SUMIFS(BD!$N$3:$N$5001,BD!$B$3:$B$5001,Q$219,BD!$A$3:$A$5001,_xlfn.MAXIFS(BD!$A$3:$A$5001,BD!$B$3:$B$5001,Q$219,BD!$A$3:$A$5001,"&gt;="&amp;$C$7,BD!$A$3:$A$5001,"&lt;="&amp;$B223,BD!$N$3:$N$5001,"&lt;&gt;"))))</f>
        <v/>
      </c>
      <c r="R223" s="43" t="str">
        <f>IF(OR($B223="",$A223&gt;$B$9,R$219=""),"",IF(COUNTIFS(BD!$B$3:$B$5001,R$219,BD!$A$3:$A$5001,"&gt;="&amp;$C$7,BD!$A$3:$A$5001,"&lt;="&amp;$B223,BD!$N$3:$N$5001,"&lt;&gt;")=0,"",SUMIFS(BD!$N$3:$N$5001,BD!$B$3:$B$5001,R$219,BD!$A$3:$A$5001,_xlfn.MAXIFS(BD!$A$3:$A$5001,BD!$B$3:$B$5001,R$219,BD!$A$3:$A$5001,"&gt;="&amp;$C$7,BD!$A$3:$A$5001,"&lt;="&amp;$B223,BD!$N$3:$N$5001,"&lt;&gt;"))))</f>
        <v/>
      </c>
      <c r="S223" s="43" t="str">
        <f>IF(OR($B223="",$A223&gt;$B$9,S$219=""),"",IF(COUNTIFS(BD!$B$3:$B$5001,S$219,BD!$A$3:$A$5001,"&gt;="&amp;$C$7,BD!$A$3:$A$5001,"&lt;="&amp;$B223,BD!$N$3:$N$5001,"&lt;&gt;")=0,"",SUMIFS(BD!$N$3:$N$5001,BD!$B$3:$B$5001,S$219,BD!$A$3:$A$5001,_xlfn.MAXIFS(BD!$A$3:$A$5001,BD!$B$3:$B$5001,S$219,BD!$A$3:$A$5001,"&gt;="&amp;$C$7,BD!$A$3:$A$5001,"&lt;="&amp;$B223,BD!$N$3:$N$5001,"&lt;&gt;"))))</f>
        <v/>
      </c>
      <c r="T223" s="43" t="str">
        <f>IF(OR($B223="",$A223&gt;$B$9,T$219=""),"",IF(COUNTIFS(BD!$B$3:$B$5001,T$219,BD!$A$3:$A$5001,"&gt;="&amp;$C$7,BD!$A$3:$A$5001,"&lt;="&amp;$B223,BD!$N$3:$N$5001,"&lt;&gt;")=0,"",SUMIFS(BD!$N$3:$N$5001,BD!$B$3:$B$5001,T$219,BD!$A$3:$A$5001,_xlfn.MAXIFS(BD!$A$3:$A$5001,BD!$B$3:$B$5001,T$219,BD!$A$3:$A$5001,"&gt;="&amp;$C$7,BD!$A$3:$A$5001,"&lt;="&amp;$B223,BD!$N$3:$N$5001,"&lt;&gt;"))))</f>
        <v/>
      </c>
      <c r="U223" s="43" t="str">
        <f>IF(OR($B223="",$A223&gt;$B$9,U$219=""),"",IF(COUNTIFS(BD!$B$3:$B$5001,U$219,BD!$A$3:$A$5001,"&gt;="&amp;$C$7,BD!$A$3:$A$5001,"&lt;="&amp;$B223,BD!$N$3:$N$5001,"&lt;&gt;")=0,"",SUMIFS(BD!$N$3:$N$5001,BD!$B$3:$B$5001,U$219,BD!$A$3:$A$5001,_xlfn.MAXIFS(BD!$A$3:$A$5001,BD!$B$3:$B$5001,U$219,BD!$A$3:$A$5001,"&gt;="&amp;$C$7,BD!$A$3:$A$5001,"&lt;="&amp;$B223,BD!$N$3:$N$5001,"&lt;&gt;"))))</f>
        <v/>
      </c>
      <c r="V223" s="43" t="str">
        <f>IF(OR($B223="",$A223&gt;$B$9,V$219=""),"",IF(COUNTIFS(BD!$B$3:$B$5001,V$219,BD!$A$3:$A$5001,"&gt;="&amp;$C$7,BD!$A$3:$A$5001,"&lt;="&amp;$B223,BD!$N$3:$N$5001,"&lt;&gt;")=0,"",SUMIFS(BD!$N$3:$N$5001,BD!$B$3:$B$5001,V$219,BD!$A$3:$A$5001,_xlfn.MAXIFS(BD!$A$3:$A$5001,BD!$B$3:$B$5001,V$219,BD!$A$3:$A$5001,"&gt;="&amp;$C$7,BD!$A$3:$A$5001,"&lt;="&amp;$B223,BD!$N$3:$N$5001,"&lt;&gt;"))))</f>
        <v/>
      </c>
    </row>
    <row r="224">
      <c r="A224" s="38">
        <v>5</v>
      </c>
      <c r="B224" s="42">
        <f>$B$16</f>
        <v>46300</v>
      </c>
      <c r="C224" s="43" t="str">
        <f>IF(OR($B224="",$A224&gt;$B$9,C$219=""),"",IF(COUNTIFS(BD!$B$3:$B$5001,C$219,BD!$A$3:$A$5001,"&gt;="&amp;$C$7,BD!$A$3:$A$5001,"&lt;="&amp;$B224,BD!$N$3:$N$5001,"&lt;&gt;")=0,"",SUMIFS(BD!$N$3:$N$5001,BD!$B$3:$B$5001,C$219,BD!$A$3:$A$5001,_xlfn.MAXIFS(BD!$A$3:$A$5001,BD!$B$3:$B$5001,C$219,BD!$A$3:$A$5001,"&gt;="&amp;$C$7,BD!$A$3:$A$5001,"&lt;="&amp;$B224,BD!$N$3:$N$5001,"&lt;&gt;"))))</f>
        <v/>
      </c>
      <c r="D224" s="43" t="str">
        <f>IF(OR($B224="",$A224&gt;$B$9,D$219=""),"",IF(COUNTIFS(BD!$B$3:$B$5001,D$219,BD!$A$3:$A$5001,"&gt;="&amp;$C$7,BD!$A$3:$A$5001,"&lt;="&amp;$B224,BD!$N$3:$N$5001,"&lt;&gt;")=0,"",SUMIFS(BD!$N$3:$N$5001,BD!$B$3:$B$5001,D$219,BD!$A$3:$A$5001,_xlfn.MAXIFS(BD!$A$3:$A$5001,BD!$B$3:$B$5001,D$219,BD!$A$3:$A$5001,"&gt;="&amp;$C$7,BD!$A$3:$A$5001,"&lt;="&amp;$B224,BD!$N$3:$N$5001,"&lt;&gt;"))))</f>
        <v/>
      </c>
      <c r="E224" s="43" t="str">
        <f>IF(OR($B224="",$A224&gt;$B$9,E$219=""),"",IF(COUNTIFS(BD!$B$3:$B$5001,E$219,BD!$A$3:$A$5001,"&gt;="&amp;$C$7,BD!$A$3:$A$5001,"&lt;="&amp;$B224,BD!$N$3:$N$5001,"&lt;&gt;")=0,"",SUMIFS(BD!$N$3:$N$5001,BD!$B$3:$B$5001,E$219,BD!$A$3:$A$5001,_xlfn.MAXIFS(BD!$A$3:$A$5001,BD!$B$3:$B$5001,E$219,BD!$A$3:$A$5001,"&gt;="&amp;$C$7,BD!$A$3:$A$5001,"&lt;="&amp;$B224,BD!$N$3:$N$5001,"&lt;&gt;"))))</f>
        <v/>
      </c>
      <c r="F224" s="43" t="str">
        <f>IF(OR($B224="",$A224&gt;$B$9,F$219=""),"",IF(COUNTIFS(BD!$B$3:$B$5001,F$219,BD!$A$3:$A$5001,"&gt;="&amp;$C$7,BD!$A$3:$A$5001,"&lt;="&amp;$B224,BD!$N$3:$N$5001,"&lt;&gt;")=0,"",SUMIFS(BD!$N$3:$N$5001,BD!$B$3:$B$5001,F$219,BD!$A$3:$A$5001,_xlfn.MAXIFS(BD!$A$3:$A$5001,BD!$B$3:$B$5001,F$219,BD!$A$3:$A$5001,"&gt;="&amp;$C$7,BD!$A$3:$A$5001,"&lt;="&amp;$B224,BD!$N$3:$N$5001,"&lt;&gt;"))))</f>
        <v/>
      </c>
      <c r="G224" s="43" t="str">
        <f>IF(OR($B224="",$A224&gt;$B$9,G$219=""),"",IF(COUNTIFS(BD!$B$3:$B$5001,G$219,BD!$A$3:$A$5001,"&gt;="&amp;$C$7,BD!$A$3:$A$5001,"&lt;="&amp;$B224,BD!$N$3:$N$5001,"&lt;&gt;")=0,"",SUMIFS(BD!$N$3:$N$5001,BD!$B$3:$B$5001,G$219,BD!$A$3:$A$5001,_xlfn.MAXIFS(BD!$A$3:$A$5001,BD!$B$3:$B$5001,G$219,BD!$A$3:$A$5001,"&gt;="&amp;$C$7,BD!$A$3:$A$5001,"&lt;="&amp;$B224,BD!$N$3:$N$5001,"&lt;&gt;"))))</f>
        <v/>
      </c>
      <c r="H224" s="43" t="str">
        <f>IF(OR($B224="",$A224&gt;$B$9,H$219=""),"",IF(COUNTIFS(BD!$B$3:$B$5001,H$219,BD!$A$3:$A$5001,"&gt;="&amp;$C$7,BD!$A$3:$A$5001,"&lt;="&amp;$B224,BD!$N$3:$N$5001,"&lt;&gt;")=0,"",SUMIFS(BD!$N$3:$N$5001,BD!$B$3:$B$5001,H$219,BD!$A$3:$A$5001,_xlfn.MAXIFS(BD!$A$3:$A$5001,BD!$B$3:$B$5001,H$219,BD!$A$3:$A$5001,"&gt;="&amp;$C$7,BD!$A$3:$A$5001,"&lt;="&amp;$B224,BD!$N$3:$N$5001,"&lt;&gt;"))))</f>
        <v/>
      </c>
      <c r="I224" s="43" t="str">
        <f>IF(OR($B224="",$A224&gt;$B$9,I$219=""),"",IF(COUNTIFS(BD!$B$3:$B$5001,I$219,BD!$A$3:$A$5001,"&gt;="&amp;$C$7,BD!$A$3:$A$5001,"&lt;="&amp;$B224,BD!$N$3:$N$5001,"&lt;&gt;")=0,"",SUMIFS(BD!$N$3:$N$5001,BD!$B$3:$B$5001,I$219,BD!$A$3:$A$5001,_xlfn.MAXIFS(BD!$A$3:$A$5001,BD!$B$3:$B$5001,I$219,BD!$A$3:$A$5001,"&gt;="&amp;$C$7,BD!$A$3:$A$5001,"&lt;="&amp;$B224,BD!$N$3:$N$5001,"&lt;&gt;"))))</f>
        <v/>
      </c>
      <c r="J224" s="43" t="str">
        <f>IF(OR($B224="",$A224&gt;$B$9,J$219=""),"",IF(COUNTIFS(BD!$B$3:$B$5001,J$219,BD!$A$3:$A$5001,"&gt;="&amp;$C$7,BD!$A$3:$A$5001,"&lt;="&amp;$B224,BD!$N$3:$N$5001,"&lt;&gt;")=0,"",SUMIFS(BD!$N$3:$N$5001,BD!$B$3:$B$5001,J$219,BD!$A$3:$A$5001,_xlfn.MAXIFS(BD!$A$3:$A$5001,BD!$B$3:$B$5001,J$219,BD!$A$3:$A$5001,"&gt;="&amp;$C$7,BD!$A$3:$A$5001,"&lt;="&amp;$B224,BD!$N$3:$N$5001,"&lt;&gt;"))))</f>
        <v/>
      </c>
      <c r="K224" s="43" t="str">
        <f>IF(OR($B224="",$A224&gt;$B$9,K$219=""),"",IF(COUNTIFS(BD!$B$3:$B$5001,K$219,BD!$A$3:$A$5001,"&gt;="&amp;$C$7,BD!$A$3:$A$5001,"&lt;="&amp;$B224,BD!$N$3:$N$5001,"&lt;&gt;")=0,"",SUMIFS(BD!$N$3:$N$5001,BD!$B$3:$B$5001,K$219,BD!$A$3:$A$5001,_xlfn.MAXIFS(BD!$A$3:$A$5001,BD!$B$3:$B$5001,K$219,BD!$A$3:$A$5001,"&gt;="&amp;$C$7,BD!$A$3:$A$5001,"&lt;="&amp;$B224,BD!$N$3:$N$5001,"&lt;&gt;"))))</f>
        <v/>
      </c>
      <c r="L224" s="43" t="str">
        <f>IF(OR($B224="",$A224&gt;$B$9,L$219=""),"",IF(COUNTIFS(BD!$B$3:$B$5001,L$219,BD!$A$3:$A$5001,"&gt;="&amp;$C$7,BD!$A$3:$A$5001,"&lt;="&amp;$B224,BD!$N$3:$N$5001,"&lt;&gt;")=0,"",SUMIFS(BD!$N$3:$N$5001,BD!$B$3:$B$5001,L$219,BD!$A$3:$A$5001,_xlfn.MAXIFS(BD!$A$3:$A$5001,BD!$B$3:$B$5001,L$219,BD!$A$3:$A$5001,"&gt;="&amp;$C$7,BD!$A$3:$A$5001,"&lt;="&amp;$B224,BD!$N$3:$N$5001,"&lt;&gt;"))))</f>
        <v/>
      </c>
      <c r="M224" s="43" t="str">
        <f>IF(OR($B224="",$A224&gt;$B$9,M$219=""),"",IF(COUNTIFS(BD!$B$3:$B$5001,M$219,BD!$A$3:$A$5001,"&gt;="&amp;$C$7,BD!$A$3:$A$5001,"&lt;="&amp;$B224,BD!$N$3:$N$5001,"&lt;&gt;")=0,"",SUMIFS(BD!$N$3:$N$5001,BD!$B$3:$B$5001,M$219,BD!$A$3:$A$5001,_xlfn.MAXIFS(BD!$A$3:$A$5001,BD!$B$3:$B$5001,M$219,BD!$A$3:$A$5001,"&gt;="&amp;$C$7,BD!$A$3:$A$5001,"&lt;="&amp;$B224,BD!$N$3:$N$5001,"&lt;&gt;"))))</f>
        <v/>
      </c>
      <c r="N224" s="43" t="str">
        <f>IF(OR($B224="",$A224&gt;$B$9,N$219=""),"",IF(COUNTIFS(BD!$B$3:$B$5001,N$219,BD!$A$3:$A$5001,"&gt;="&amp;$C$7,BD!$A$3:$A$5001,"&lt;="&amp;$B224,BD!$N$3:$N$5001,"&lt;&gt;")=0,"",SUMIFS(BD!$N$3:$N$5001,BD!$B$3:$B$5001,N$219,BD!$A$3:$A$5001,_xlfn.MAXIFS(BD!$A$3:$A$5001,BD!$B$3:$B$5001,N$219,BD!$A$3:$A$5001,"&gt;="&amp;$C$7,BD!$A$3:$A$5001,"&lt;="&amp;$B224,BD!$N$3:$N$5001,"&lt;&gt;"))))</f>
        <v/>
      </c>
      <c r="O224" s="43" t="str">
        <f>IF(OR($B224="",$A224&gt;$B$9,O$219=""),"",IF(COUNTIFS(BD!$B$3:$B$5001,O$219,BD!$A$3:$A$5001,"&gt;="&amp;$C$7,BD!$A$3:$A$5001,"&lt;="&amp;$B224,BD!$N$3:$N$5001,"&lt;&gt;")=0,"",SUMIFS(BD!$N$3:$N$5001,BD!$B$3:$B$5001,O$219,BD!$A$3:$A$5001,_xlfn.MAXIFS(BD!$A$3:$A$5001,BD!$B$3:$B$5001,O$219,BD!$A$3:$A$5001,"&gt;="&amp;$C$7,BD!$A$3:$A$5001,"&lt;="&amp;$B224,BD!$N$3:$N$5001,"&lt;&gt;"))))</f>
        <v/>
      </c>
      <c r="P224" s="43" t="str">
        <f>IF(OR($B224="",$A224&gt;$B$9,P$219=""),"",IF(COUNTIFS(BD!$B$3:$B$5001,P$219,BD!$A$3:$A$5001,"&gt;="&amp;$C$7,BD!$A$3:$A$5001,"&lt;="&amp;$B224,BD!$N$3:$N$5001,"&lt;&gt;")=0,"",SUMIFS(BD!$N$3:$N$5001,BD!$B$3:$B$5001,P$219,BD!$A$3:$A$5001,_xlfn.MAXIFS(BD!$A$3:$A$5001,BD!$B$3:$B$5001,P$219,BD!$A$3:$A$5001,"&gt;="&amp;$C$7,BD!$A$3:$A$5001,"&lt;="&amp;$B224,BD!$N$3:$N$5001,"&lt;&gt;"))))</f>
        <v/>
      </c>
      <c r="Q224" s="43" t="str">
        <f>IF(OR($B224="",$A224&gt;$B$9,Q$219=""),"",IF(COUNTIFS(BD!$B$3:$B$5001,Q$219,BD!$A$3:$A$5001,"&gt;="&amp;$C$7,BD!$A$3:$A$5001,"&lt;="&amp;$B224,BD!$N$3:$N$5001,"&lt;&gt;")=0,"",SUMIFS(BD!$N$3:$N$5001,BD!$B$3:$B$5001,Q$219,BD!$A$3:$A$5001,_xlfn.MAXIFS(BD!$A$3:$A$5001,BD!$B$3:$B$5001,Q$219,BD!$A$3:$A$5001,"&gt;="&amp;$C$7,BD!$A$3:$A$5001,"&lt;="&amp;$B224,BD!$N$3:$N$5001,"&lt;&gt;"))))</f>
        <v/>
      </c>
      <c r="R224" s="43" t="str">
        <f>IF(OR($B224="",$A224&gt;$B$9,R$219=""),"",IF(COUNTIFS(BD!$B$3:$B$5001,R$219,BD!$A$3:$A$5001,"&gt;="&amp;$C$7,BD!$A$3:$A$5001,"&lt;="&amp;$B224,BD!$N$3:$N$5001,"&lt;&gt;")=0,"",SUMIFS(BD!$N$3:$N$5001,BD!$B$3:$B$5001,R$219,BD!$A$3:$A$5001,_xlfn.MAXIFS(BD!$A$3:$A$5001,BD!$B$3:$B$5001,R$219,BD!$A$3:$A$5001,"&gt;="&amp;$C$7,BD!$A$3:$A$5001,"&lt;="&amp;$B224,BD!$N$3:$N$5001,"&lt;&gt;"))))</f>
        <v/>
      </c>
      <c r="S224" s="43" t="str">
        <f>IF(OR($B224="",$A224&gt;$B$9,S$219=""),"",IF(COUNTIFS(BD!$B$3:$B$5001,S$219,BD!$A$3:$A$5001,"&gt;="&amp;$C$7,BD!$A$3:$A$5001,"&lt;="&amp;$B224,BD!$N$3:$N$5001,"&lt;&gt;")=0,"",SUMIFS(BD!$N$3:$N$5001,BD!$B$3:$B$5001,S$219,BD!$A$3:$A$5001,_xlfn.MAXIFS(BD!$A$3:$A$5001,BD!$B$3:$B$5001,S$219,BD!$A$3:$A$5001,"&gt;="&amp;$C$7,BD!$A$3:$A$5001,"&lt;="&amp;$B224,BD!$N$3:$N$5001,"&lt;&gt;"))))</f>
        <v/>
      </c>
      <c r="T224" s="43" t="str">
        <f>IF(OR($B224="",$A224&gt;$B$9,T$219=""),"",IF(COUNTIFS(BD!$B$3:$B$5001,T$219,BD!$A$3:$A$5001,"&gt;="&amp;$C$7,BD!$A$3:$A$5001,"&lt;="&amp;$B224,BD!$N$3:$N$5001,"&lt;&gt;")=0,"",SUMIFS(BD!$N$3:$N$5001,BD!$B$3:$B$5001,T$219,BD!$A$3:$A$5001,_xlfn.MAXIFS(BD!$A$3:$A$5001,BD!$B$3:$B$5001,T$219,BD!$A$3:$A$5001,"&gt;="&amp;$C$7,BD!$A$3:$A$5001,"&lt;="&amp;$B224,BD!$N$3:$N$5001,"&lt;&gt;"))))</f>
        <v/>
      </c>
      <c r="U224" s="43" t="str">
        <f>IF(OR($B224="",$A224&gt;$B$9,U$219=""),"",IF(COUNTIFS(BD!$B$3:$B$5001,U$219,BD!$A$3:$A$5001,"&gt;="&amp;$C$7,BD!$A$3:$A$5001,"&lt;="&amp;$B224,BD!$N$3:$N$5001,"&lt;&gt;")=0,"",SUMIFS(BD!$N$3:$N$5001,BD!$B$3:$B$5001,U$219,BD!$A$3:$A$5001,_xlfn.MAXIFS(BD!$A$3:$A$5001,BD!$B$3:$B$5001,U$219,BD!$A$3:$A$5001,"&gt;="&amp;$C$7,BD!$A$3:$A$5001,"&lt;="&amp;$B224,BD!$N$3:$N$5001,"&lt;&gt;"))))</f>
        <v/>
      </c>
      <c r="V224" s="43" t="str">
        <f>IF(OR($B224="",$A224&gt;$B$9,V$219=""),"",IF(COUNTIFS(BD!$B$3:$B$5001,V$219,BD!$A$3:$A$5001,"&gt;="&amp;$C$7,BD!$A$3:$A$5001,"&lt;="&amp;$B224,BD!$N$3:$N$5001,"&lt;&gt;")=0,"",SUMIFS(BD!$N$3:$N$5001,BD!$B$3:$B$5001,V$219,BD!$A$3:$A$5001,_xlfn.MAXIFS(BD!$A$3:$A$5001,BD!$B$3:$B$5001,V$219,BD!$A$3:$A$5001,"&gt;="&amp;$C$7,BD!$A$3:$A$5001,"&lt;="&amp;$B224,BD!$N$3:$N$5001,"&lt;&gt;"))))</f>
        <v/>
      </c>
    </row>
    <row r="225">
      <c r="A225" s="38">
        <v>6</v>
      </c>
      <c r="B225" s="42">
        <f>$B$17</f>
        <v>46301</v>
      </c>
      <c r="C225" s="43" t="str">
        <f>IF(OR($B225="",$A225&gt;$B$9,C$219=""),"",IF(COUNTIFS(BD!$B$3:$B$5001,C$219,BD!$A$3:$A$5001,"&gt;="&amp;$C$7,BD!$A$3:$A$5001,"&lt;="&amp;$B225,BD!$N$3:$N$5001,"&lt;&gt;")=0,"",SUMIFS(BD!$N$3:$N$5001,BD!$B$3:$B$5001,C$219,BD!$A$3:$A$5001,_xlfn.MAXIFS(BD!$A$3:$A$5001,BD!$B$3:$B$5001,C$219,BD!$A$3:$A$5001,"&gt;="&amp;$C$7,BD!$A$3:$A$5001,"&lt;="&amp;$B225,BD!$N$3:$N$5001,"&lt;&gt;"))))</f>
        <v/>
      </c>
      <c r="D225" s="43" t="str">
        <f>IF(OR($B225="",$A225&gt;$B$9,D$219=""),"",IF(COUNTIFS(BD!$B$3:$B$5001,D$219,BD!$A$3:$A$5001,"&gt;="&amp;$C$7,BD!$A$3:$A$5001,"&lt;="&amp;$B225,BD!$N$3:$N$5001,"&lt;&gt;")=0,"",SUMIFS(BD!$N$3:$N$5001,BD!$B$3:$B$5001,D$219,BD!$A$3:$A$5001,_xlfn.MAXIFS(BD!$A$3:$A$5001,BD!$B$3:$B$5001,D$219,BD!$A$3:$A$5001,"&gt;="&amp;$C$7,BD!$A$3:$A$5001,"&lt;="&amp;$B225,BD!$N$3:$N$5001,"&lt;&gt;"))))</f>
        <v/>
      </c>
      <c r="E225" s="43" t="str">
        <f>IF(OR($B225="",$A225&gt;$B$9,E$219=""),"",IF(COUNTIFS(BD!$B$3:$B$5001,E$219,BD!$A$3:$A$5001,"&gt;="&amp;$C$7,BD!$A$3:$A$5001,"&lt;="&amp;$B225,BD!$N$3:$N$5001,"&lt;&gt;")=0,"",SUMIFS(BD!$N$3:$N$5001,BD!$B$3:$B$5001,E$219,BD!$A$3:$A$5001,_xlfn.MAXIFS(BD!$A$3:$A$5001,BD!$B$3:$B$5001,E$219,BD!$A$3:$A$5001,"&gt;="&amp;$C$7,BD!$A$3:$A$5001,"&lt;="&amp;$B225,BD!$N$3:$N$5001,"&lt;&gt;"))))</f>
        <v/>
      </c>
      <c r="F225" s="43" t="str">
        <f>IF(OR($B225="",$A225&gt;$B$9,F$219=""),"",IF(COUNTIFS(BD!$B$3:$B$5001,F$219,BD!$A$3:$A$5001,"&gt;="&amp;$C$7,BD!$A$3:$A$5001,"&lt;="&amp;$B225,BD!$N$3:$N$5001,"&lt;&gt;")=0,"",SUMIFS(BD!$N$3:$N$5001,BD!$B$3:$B$5001,F$219,BD!$A$3:$A$5001,_xlfn.MAXIFS(BD!$A$3:$A$5001,BD!$B$3:$B$5001,F$219,BD!$A$3:$A$5001,"&gt;="&amp;$C$7,BD!$A$3:$A$5001,"&lt;="&amp;$B225,BD!$N$3:$N$5001,"&lt;&gt;"))))</f>
        <v/>
      </c>
      <c r="G225" s="43" t="str">
        <f>IF(OR($B225="",$A225&gt;$B$9,G$219=""),"",IF(COUNTIFS(BD!$B$3:$B$5001,G$219,BD!$A$3:$A$5001,"&gt;="&amp;$C$7,BD!$A$3:$A$5001,"&lt;="&amp;$B225,BD!$N$3:$N$5001,"&lt;&gt;")=0,"",SUMIFS(BD!$N$3:$N$5001,BD!$B$3:$B$5001,G$219,BD!$A$3:$A$5001,_xlfn.MAXIFS(BD!$A$3:$A$5001,BD!$B$3:$B$5001,G$219,BD!$A$3:$A$5001,"&gt;="&amp;$C$7,BD!$A$3:$A$5001,"&lt;="&amp;$B225,BD!$N$3:$N$5001,"&lt;&gt;"))))</f>
        <v/>
      </c>
      <c r="H225" s="43" t="str">
        <f>IF(OR($B225="",$A225&gt;$B$9,H$219=""),"",IF(COUNTIFS(BD!$B$3:$B$5001,H$219,BD!$A$3:$A$5001,"&gt;="&amp;$C$7,BD!$A$3:$A$5001,"&lt;="&amp;$B225,BD!$N$3:$N$5001,"&lt;&gt;")=0,"",SUMIFS(BD!$N$3:$N$5001,BD!$B$3:$B$5001,H$219,BD!$A$3:$A$5001,_xlfn.MAXIFS(BD!$A$3:$A$5001,BD!$B$3:$B$5001,H$219,BD!$A$3:$A$5001,"&gt;="&amp;$C$7,BD!$A$3:$A$5001,"&lt;="&amp;$B225,BD!$N$3:$N$5001,"&lt;&gt;"))))</f>
        <v/>
      </c>
      <c r="I225" s="43" t="str">
        <f>IF(OR($B225="",$A225&gt;$B$9,I$219=""),"",IF(COUNTIFS(BD!$B$3:$B$5001,I$219,BD!$A$3:$A$5001,"&gt;="&amp;$C$7,BD!$A$3:$A$5001,"&lt;="&amp;$B225,BD!$N$3:$N$5001,"&lt;&gt;")=0,"",SUMIFS(BD!$N$3:$N$5001,BD!$B$3:$B$5001,I$219,BD!$A$3:$A$5001,_xlfn.MAXIFS(BD!$A$3:$A$5001,BD!$B$3:$B$5001,I$219,BD!$A$3:$A$5001,"&gt;="&amp;$C$7,BD!$A$3:$A$5001,"&lt;="&amp;$B225,BD!$N$3:$N$5001,"&lt;&gt;"))))</f>
        <v/>
      </c>
      <c r="J225" s="43" t="str">
        <f>IF(OR($B225="",$A225&gt;$B$9,J$219=""),"",IF(COUNTIFS(BD!$B$3:$B$5001,J$219,BD!$A$3:$A$5001,"&gt;="&amp;$C$7,BD!$A$3:$A$5001,"&lt;="&amp;$B225,BD!$N$3:$N$5001,"&lt;&gt;")=0,"",SUMIFS(BD!$N$3:$N$5001,BD!$B$3:$B$5001,J$219,BD!$A$3:$A$5001,_xlfn.MAXIFS(BD!$A$3:$A$5001,BD!$B$3:$B$5001,J$219,BD!$A$3:$A$5001,"&gt;="&amp;$C$7,BD!$A$3:$A$5001,"&lt;="&amp;$B225,BD!$N$3:$N$5001,"&lt;&gt;"))))</f>
        <v/>
      </c>
      <c r="K225" s="43" t="str">
        <f>IF(OR($B225="",$A225&gt;$B$9,K$219=""),"",IF(COUNTIFS(BD!$B$3:$B$5001,K$219,BD!$A$3:$A$5001,"&gt;="&amp;$C$7,BD!$A$3:$A$5001,"&lt;="&amp;$B225,BD!$N$3:$N$5001,"&lt;&gt;")=0,"",SUMIFS(BD!$N$3:$N$5001,BD!$B$3:$B$5001,K$219,BD!$A$3:$A$5001,_xlfn.MAXIFS(BD!$A$3:$A$5001,BD!$B$3:$B$5001,K$219,BD!$A$3:$A$5001,"&gt;="&amp;$C$7,BD!$A$3:$A$5001,"&lt;="&amp;$B225,BD!$N$3:$N$5001,"&lt;&gt;"))))</f>
        <v/>
      </c>
      <c r="L225" s="43" t="str">
        <f>IF(OR($B225="",$A225&gt;$B$9,L$219=""),"",IF(COUNTIFS(BD!$B$3:$B$5001,L$219,BD!$A$3:$A$5001,"&gt;="&amp;$C$7,BD!$A$3:$A$5001,"&lt;="&amp;$B225,BD!$N$3:$N$5001,"&lt;&gt;")=0,"",SUMIFS(BD!$N$3:$N$5001,BD!$B$3:$B$5001,L$219,BD!$A$3:$A$5001,_xlfn.MAXIFS(BD!$A$3:$A$5001,BD!$B$3:$B$5001,L$219,BD!$A$3:$A$5001,"&gt;="&amp;$C$7,BD!$A$3:$A$5001,"&lt;="&amp;$B225,BD!$N$3:$N$5001,"&lt;&gt;"))))</f>
        <v/>
      </c>
      <c r="M225" s="43" t="str">
        <f>IF(OR($B225="",$A225&gt;$B$9,M$219=""),"",IF(COUNTIFS(BD!$B$3:$B$5001,M$219,BD!$A$3:$A$5001,"&gt;="&amp;$C$7,BD!$A$3:$A$5001,"&lt;="&amp;$B225,BD!$N$3:$N$5001,"&lt;&gt;")=0,"",SUMIFS(BD!$N$3:$N$5001,BD!$B$3:$B$5001,M$219,BD!$A$3:$A$5001,_xlfn.MAXIFS(BD!$A$3:$A$5001,BD!$B$3:$B$5001,M$219,BD!$A$3:$A$5001,"&gt;="&amp;$C$7,BD!$A$3:$A$5001,"&lt;="&amp;$B225,BD!$N$3:$N$5001,"&lt;&gt;"))))</f>
        <v/>
      </c>
      <c r="N225" s="43" t="str">
        <f>IF(OR($B225="",$A225&gt;$B$9,N$219=""),"",IF(COUNTIFS(BD!$B$3:$B$5001,N$219,BD!$A$3:$A$5001,"&gt;="&amp;$C$7,BD!$A$3:$A$5001,"&lt;="&amp;$B225,BD!$N$3:$N$5001,"&lt;&gt;")=0,"",SUMIFS(BD!$N$3:$N$5001,BD!$B$3:$B$5001,N$219,BD!$A$3:$A$5001,_xlfn.MAXIFS(BD!$A$3:$A$5001,BD!$B$3:$B$5001,N$219,BD!$A$3:$A$5001,"&gt;="&amp;$C$7,BD!$A$3:$A$5001,"&lt;="&amp;$B225,BD!$N$3:$N$5001,"&lt;&gt;"))))</f>
        <v/>
      </c>
      <c r="O225" s="43" t="str">
        <f>IF(OR($B225="",$A225&gt;$B$9,O$219=""),"",IF(COUNTIFS(BD!$B$3:$B$5001,O$219,BD!$A$3:$A$5001,"&gt;="&amp;$C$7,BD!$A$3:$A$5001,"&lt;="&amp;$B225,BD!$N$3:$N$5001,"&lt;&gt;")=0,"",SUMIFS(BD!$N$3:$N$5001,BD!$B$3:$B$5001,O$219,BD!$A$3:$A$5001,_xlfn.MAXIFS(BD!$A$3:$A$5001,BD!$B$3:$B$5001,O$219,BD!$A$3:$A$5001,"&gt;="&amp;$C$7,BD!$A$3:$A$5001,"&lt;="&amp;$B225,BD!$N$3:$N$5001,"&lt;&gt;"))))</f>
        <v/>
      </c>
      <c r="P225" s="43" t="str">
        <f>IF(OR($B225="",$A225&gt;$B$9,P$219=""),"",IF(COUNTIFS(BD!$B$3:$B$5001,P$219,BD!$A$3:$A$5001,"&gt;="&amp;$C$7,BD!$A$3:$A$5001,"&lt;="&amp;$B225,BD!$N$3:$N$5001,"&lt;&gt;")=0,"",SUMIFS(BD!$N$3:$N$5001,BD!$B$3:$B$5001,P$219,BD!$A$3:$A$5001,_xlfn.MAXIFS(BD!$A$3:$A$5001,BD!$B$3:$B$5001,P$219,BD!$A$3:$A$5001,"&gt;="&amp;$C$7,BD!$A$3:$A$5001,"&lt;="&amp;$B225,BD!$N$3:$N$5001,"&lt;&gt;"))))</f>
        <v/>
      </c>
      <c r="Q225" s="43" t="str">
        <f>IF(OR($B225="",$A225&gt;$B$9,Q$219=""),"",IF(COUNTIFS(BD!$B$3:$B$5001,Q$219,BD!$A$3:$A$5001,"&gt;="&amp;$C$7,BD!$A$3:$A$5001,"&lt;="&amp;$B225,BD!$N$3:$N$5001,"&lt;&gt;")=0,"",SUMIFS(BD!$N$3:$N$5001,BD!$B$3:$B$5001,Q$219,BD!$A$3:$A$5001,_xlfn.MAXIFS(BD!$A$3:$A$5001,BD!$B$3:$B$5001,Q$219,BD!$A$3:$A$5001,"&gt;="&amp;$C$7,BD!$A$3:$A$5001,"&lt;="&amp;$B225,BD!$N$3:$N$5001,"&lt;&gt;"))))</f>
        <v/>
      </c>
      <c r="R225" s="43" t="str">
        <f>IF(OR($B225="",$A225&gt;$B$9,R$219=""),"",IF(COUNTIFS(BD!$B$3:$B$5001,R$219,BD!$A$3:$A$5001,"&gt;="&amp;$C$7,BD!$A$3:$A$5001,"&lt;="&amp;$B225,BD!$N$3:$N$5001,"&lt;&gt;")=0,"",SUMIFS(BD!$N$3:$N$5001,BD!$B$3:$B$5001,R$219,BD!$A$3:$A$5001,_xlfn.MAXIFS(BD!$A$3:$A$5001,BD!$B$3:$B$5001,R$219,BD!$A$3:$A$5001,"&gt;="&amp;$C$7,BD!$A$3:$A$5001,"&lt;="&amp;$B225,BD!$N$3:$N$5001,"&lt;&gt;"))))</f>
        <v/>
      </c>
      <c r="S225" s="43" t="str">
        <f>IF(OR($B225="",$A225&gt;$B$9,S$219=""),"",IF(COUNTIFS(BD!$B$3:$B$5001,S$219,BD!$A$3:$A$5001,"&gt;="&amp;$C$7,BD!$A$3:$A$5001,"&lt;="&amp;$B225,BD!$N$3:$N$5001,"&lt;&gt;")=0,"",SUMIFS(BD!$N$3:$N$5001,BD!$B$3:$B$5001,S$219,BD!$A$3:$A$5001,_xlfn.MAXIFS(BD!$A$3:$A$5001,BD!$B$3:$B$5001,S$219,BD!$A$3:$A$5001,"&gt;="&amp;$C$7,BD!$A$3:$A$5001,"&lt;="&amp;$B225,BD!$N$3:$N$5001,"&lt;&gt;"))))</f>
        <v/>
      </c>
      <c r="T225" s="43" t="str">
        <f>IF(OR($B225="",$A225&gt;$B$9,T$219=""),"",IF(COUNTIFS(BD!$B$3:$B$5001,T$219,BD!$A$3:$A$5001,"&gt;="&amp;$C$7,BD!$A$3:$A$5001,"&lt;="&amp;$B225,BD!$N$3:$N$5001,"&lt;&gt;")=0,"",SUMIFS(BD!$N$3:$N$5001,BD!$B$3:$B$5001,T$219,BD!$A$3:$A$5001,_xlfn.MAXIFS(BD!$A$3:$A$5001,BD!$B$3:$B$5001,T$219,BD!$A$3:$A$5001,"&gt;="&amp;$C$7,BD!$A$3:$A$5001,"&lt;="&amp;$B225,BD!$N$3:$N$5001,"&lt;&gt;"))))</f>
        <v/>
      </c>
      <c r="U225" s="43" t="str">
        <f>IF(OR($B225="",$A225&gt;$B$9,U$219=""),"",IF(COUNTIFS(BD!$B$3:$B$5001,U$219,BD!$A$3:$A$5001,"&gt;="&amp;$C$7,BD!$A$3:$A$5001,"&lt;="&amp;$B225,BD!$N$3:$N$5001,"&lt;&gt;")=0,"",SUMIFS(BD!$N$3:$N$5001,BD!$B$3:$B$5001,U$219,BD!$A$3:$A$5001,_xlfn.MAXIFS(BD!$A$3:$A$5001,BD!$B$3:$B$5001,U$219,BD!$A$3:$A$5001,"&gt;="&amp;$C$7,BD!$A$3:$A$5001,"&lt;="&amp;$B225,BD!$N$3:$N$5001,"&lt;&gt;"))))</f>
        <v/>
      </c>
      <c r="V225" s="43" t="str">
        <f>IF(OR($B225="",$A225&gt;$B$9,V$219=""),"",IF(COUNTIFS(BD!$B$3:$B$5001,V$219,BD!$A$3:$A$5001,"&gt;="&amp;$C$7,BD!$A$3:$A$5001,"&lt;="&amp;$B225,BD!$N$3:$N$5001,"&lt;&gt;")=0,"",SUMIFS(BD!$N$3:$N$5001,BD!$B$3:$B$5001,V$219,BD!$A$3:$A$5001,_xlfn.MAXIFS(BD!$A$3:$A$5001,BD!$B$3:$B$5001,V$219,BD!$A$3:$A$5001,"&gt;="&amp;$C$7,BD!$A$3:$A$5001,"&lt;="&amp;$B225,BD!$N$3:$N$5001,"&lt;&gt;"))))</f>
        <v/>
      </c>
    </row>
    <row r="226">
      <c r="A226" s="38">
        <v>7</v>
      </c>
      <c r="B226" s="42">
        <f>$B$18</f>
        <v>46302</v>
      </c>
      <c r="C226" s="43" t="str">
        <f>IF(OR($B226="",$A226&gt;$B$9,C$219=""),"",IF(COUNTIFS(BD!$B$3:$B$5001,C$219,BD!$A$3:$A$5001,"&gt;="&amp;$C$7,BD!$A$3:$A$5001,"&lt;="&amp;$B226,BD!$N$3:$N$5001,"&lt;&gt;")=0,"",SUMIFS(BD!$N$3:$N$5001,BD!$B$3:$B$5001,C$219,BD!$A$3:$A$5001,_xlfn.MAXIFS(BD!$A$3:$A$5001,BD!$B$3:$B$5001,C$219,BD!$A$3:$A$5001,"&gt;="&amp;$C$7,BD!$A$3:$A$5001,"&lt;="&amp;$B226,BD!$N$3:$N$5001,"&lt;&gt;"))))</f>
        <v/>
      </c>
      <c r="D226" s="43" t="str">
        <f>IF(OR($B226="",$A226&gt;$B$9,D$219=""),"",IF(COUNTIFS(BD!$B$3:$B$5001,D$219,BD!$A$3:$A$5001,"&gt;="&amp;$C$7,BD!$A$3:$A$5001,"&lt;="&amp;$B226,BD!$N$3:$N$5001,"&lt;&gt;")=0,"",SUMIFS(BD!$N$3:$N$5001,BD!$B$3:$B$5001,D$219,BD!$A$3:$A$5001,_xlfn.MAXIFS(BD!$A$3:$A$5001,BD!$B$3:$B$5001,D$219,BD!$A$3:$A$5001,"&gt;="&amp;$C$7,BD!$A$3:$A$5001,"&lt;="&amp;$B226,BD!$N$3:$N$5001,"&lt;&gt;"))))</f>
        <v/>
      </c>
      <c r="E226" s="43" t="str">
        <f>IF(OR($B226="",$A226&gt;$B$9,E$219=""),"",IF(COUNTIFS(BD!$B$3:$B$5001,E$219,BD!$A$3:$A$5001,"&gt;="&amp;$C$7,BD!$A$3:$A$5001,"&lt;="&amp;$B226,BD!$N$3:$N$5001,"&lt;&gt;")=0,"",SUMIFS(BD!$N$3:$N$5001,BD!$B$3:$B$5001,E$219,BD!$A$3:$A$5001,_xlfn.MAXIFS(BD!$A$3:$A$5001,BD!$B$3:$B$5001,E$219,BD!$A$3:$A$5001,"&gt;="&amp;$C$7,BD!$A$3:$A$5001,"&lt;="&amp;$B226,BD!$N$3:$N$5001,"&lt;&gt;"))))</f>
        <v/>
      </c>
      <c r="F226" s="43" t="str">
        <f>IF(OR($B226="",$A226&gt;$B$9,F$219=""),"",IF(COUNTIFS(BD!$B$3:$B$5001,F$219,BD!$A$3:$A$5001,"&gt;="&amp;$C$7,BD!$A$3:$A$5001,"&lt;="&amp;$B226,BD!$N$3:$N$5001,"&lt;&gt;")=0,"",SUMIFS(BD!$N$3:$N$5001,BD!$B$3:$B$5001,F$219,BD!$A$3:$A$5001,_xlfn.MAXIFS(BD!$A$3:$A$5001,BD!$B$3:$B$5001,F$219,BD!$A$3:$A$5001,"&gt;="&amp;$C$7,BD!$A$3:$A$5001,"&lt;="&amp;$B226,BD!$N$3:$N$5001,"&lt;&gt;"))))</f>
        <v/>
      </c>
      <c r="G226" s="43" t="str">
        <f>IF(OR($B226="",$A226&gt;$B$9,G$219=""),"",IF(COUNTIFS(BD!$B$3:$B$5001,G$219,BD!$A$3:$A$5001,"&gt;="&amp;$C$7,BD!$A$3:$A$5001,"&lt;="&amp;$B226,BD!$N$3:$N$5001,"&lt;&gt;")=0,"",SUMIFS(BD!$N$3:$N$5001,BD!$B$3:$B$5001,G$219,BD!$A$3:$A$5001,_xlfn.MAXIFS(BD!$A$3:$A$5001,BD!$B$3:$B$5001,G$219,BD!$A$3:$A$5001,"&gt;="&amp;$C$7,BD!$A$3:$A$5001,"&lt;="&amp;$B226,BD!$N$3:$N$5001,"&lt;&gt;"))))</f>
        <v/>
      </c>
      <c r="H226" s="43" t="str">
        <f>IF(OR($B226="",$A226&gt;$B$9,H$219=""),"",IF(COUNTIFS(BD!$B$3:$B$5001,H$219,BD!$A$3:$A$5001,"&gt;="&amp;$C$7,BD!$A$3:$A$5001,"&lt;="&amp;$B226,BD!$N$3:$N$5001,"&lt;&gt;")=0,"",SUMIFS(BD!$N$3:$N$5001,BD!$B$3:$B$5001,H$219,BD!$A$3:$A$5001,_xlfn.MAXIFS(BD!$A$3:$A$5001,BD!$B$3:$B$5001,H$219,BD!$A$3:$A$5001,"&gt;="&amp;$C$7,BD!$A$3:$A$5001,"&lt;="&amp;$B226,BD!$N$3:$N$5001,"&lt;&gt;"))))</f>
        <v/>
      </c>
      <c r="I226" s="43" t="str">
        <f>IF(OR($B226="",$A226&gt;$B$9,I$219=""),"",IF(COUNTIFS(BD!$B$3:$B$5001,I$219,BD!$A$3:$A$5001,"&gt;="&amp;$C$7,BD!$A$3:$A$5001,"&lt;="&amp;$B226,BD!$N$3:$N$5001,"&lt;&gt;")=0,"",SUMIFS(BD!$N$3:$N$5001,BD!$B$3:$B$5001,I$219,BD!$A$3:$A$5001,_xlfn.MAXIFS(BD!$A$3:$A$5001,BD!$B$3:$B$5001,I$219,BD!$A$3:$A$5001,"&gt;="&amp;$C$7,BD!$A$3:$A$5001,"&lt;="&amp;$B226,BD!$N$3:$N$5001,"&lt;&gt;"))))</f>
        <v/>
      </c>
      <c r="J226" s="43" t="str">
        <f>IF(OR($B226="",$A226&gt;$B$9,J$219=""),"",IF(COUNTIFS(BD!$B$3:$B$5001,J$219,BD!$A$3:$A$5001,"&gt;="&amp;$C$7,BD!$A$3:$A$5001,"&lt;="&amp;$B226,BD!$N$3:$N$5001,"&lt;&gt;")=0,"",SUMIFS(BD!$N$3:$N$5001,BD!$B$3:$B$5001,J$219,BD!$A$3:$A$5001,_xlfn.MAXIFS(BD!$A$3:$A$5001,BD!$B$3:$B$5001,J$219,BD!$A$3:$A$5001,"&gt;="&amp;$C$7,BD!$A$3:$A$5001,"&lt;="&amp;$B226,BD!$N$3:$N$5001,"&lt;&gt;"))))</f>
        <v/>
      </c>
      <c r="K226" s="43" t="str">
        <f>IF(OR($B226="",$A226&gt;$B$9,K$219=""),"",IF(COUNTIFS(BD!$B$3:$B$5001,K$219,BD!$A$3:$A$5001,"&gt;="&amp;$C$7,BD!$A$3:$A$5001,"&lt;="&amp;$B226,BD!$N$3:$N$5001,"&lt;&gt;")=0,"",SUMIFS(BD!$N$3:$N$5001,BD!$B$3:$B$5001,K$219,BD!$A$3:$A$5001,_xlfn.MAXIFS(BD!$A$3:$A$5001,BD!$B$3:$B$5001,K$219,BD!$A$3:$A$5001,"&gt;="&amp;$C$7,BD!$A$3:$A$5001,"&lt;="&amp;$B226,BD!$N$3:$N$5001,"&lt;&gt;"))))</f>
        <v/>
      </c>
      <c r="L226" s="43" t="str">
        <f>IF(OR($B226="",$A226&gt;$B$9,L$219=""),"",IF(COUNTIFS(BD!$B$3:$B$5001,L$219,BD!$A$3:$A$5001,"&gt;="&amp;$C$7,BD!$A$3:$A$5001,"&lt;="&amp;$B226,BD!$N$3:$N$5001,"&lt;&gt;")=0,"",SUMIFS(BD!$N$3:$N$5001,BD!$B$3:$B$5001,L$219,BD!$A$3:$A$5001,_xlfn.MAXIFS(BD!$A$3:$A$5001,BD!$B$3:$B$5001,L$219,BD!$A$3:$A$5001,"&gt;="&amp;$C$7,BD!$A$3:$A$5001,"&lt;="&amp;$B226,BD!$N$3:$N$5001,"&lt;&gt;"))))</f>
        <v/>
      </c>
      <c r="M226" s="43" t="str">
        <f>IF(OR($B226="",$A226&gt;$B$9,M$219=""),"",IF(COUNTIFS(BD!$B$3:$B$5001,M$219,BD!$A$3:$A$5001,"&gt;="&amp;$C$7,BD!$A$3:$A$5001,"&lt;="&amp;$B226,BD!$N$3:$N$5001,"&lt;&gt;")=0,"",SUMIFS(BD!$N$3:$N$5001,BD!$B$3:$B$5001,M$219,BD!$A$3:$A$5001,_xlfn.MAXIFS(BD!$A$3:$A$5001,BD!$B$3:$B$5001,M$219,BD!$A$3:$A$5001,"&gt;="&amp;$C$7,BD!$A$3:$A$5001,"&lt;="&amp;$B226,BD!$N$3:$N$5001,"&lt;&gt;"))))</f>
        <v/>
      </c>
      <c r="N226" s="43" t="str">
        <f>IF(OR($B226="",$A226&gt;$B$9,N$219=""),"",IF(COUNTIFS(BD!$B$3:$B$5001,N$219,BD!$A$3:$A$5001,"&gt;="&amp;$C$7,BD!$A$3:$A$5001,"&lt;="&amp;$B226,BD!$N$3:$N$5001,"&lt;&gt;")=0,"",SUMIFS(BD!$N$3:$N$5001,BD!$B$3:$B$5001,N$219,BD!$A$3:$A$5001,_xlfn.MAXIFS(BD!$A$3:$A$5001,BD!$B$3:$B$5001,N$219,BD!$A$3:$A$5001,"&gt;="&amp;$C$7,BD!$A$3:$A$5001,"&lt;="&amp;$B226,BD!$N$3:$N$5001,"&lt;&gt;"))))</f>
        <v/>
      </c>
      <c r="O226" s="43" t="str">
        <f>IF(OR($B226="",$A226&gt;$B$9,O$219=""),"",IF(COUNTIFS(BD!$B$3:$B$5001,O$219,BD!$A$3:$A$5001,"&gt;="&amp;$C$7,BD!$A$3:$A$5001,"&lt;="&amp;$B226,BD!$N$3:$N$5001,"&lt;&gt;")=0,"",SUMIFS(BD!$N$3:$N$5001,BD!$B$3:$B$5001,O$219,BD!$A$3:$A$5001,_xlfn.MAXIFS(BD!$A$3:$A$5001,BD!$B$3:$B$5001,O$219,BD!$A$3:$A$5001,"&gt;="&amp;$C$7,BD!$A$3:$A$5001,"&lt;="&amp;$B226,BD!$N$3:$N$5001,"&lt;&gt;"))))</f>
        <v/>
      </c>
      <c r="P226" s="43" t="str">
        <f>IF(OR($B226="",$A226&gt;$B$9,P$219=""),"",IF(COUNTIFS(BD!$B$3:$B$5001,P$219,BD!$A$3:$A$5001,"&gt;="&amp;$C$7,BD!$A$3:$A$5001,"&lt;="&amp;$B226,BD!$N$3:$N$5001,"&lt;&gt;")=0,"",SUMIFS(BD!$N$3:$N$5001,BD!$B$3:$B$5001,P$219,BD!$A$3:$A$5001,_xlfn.MAXIFS(BD!$A$3:$A$5001,BD!$B$3:$B$5001,P$219,BD!$A$3:$A$5001,"&gt;="&amp;$C$7,BD!$A$3:$A$5001,"&lt;="&amp;$B226,BD!$N$3:$N$5001,"&lt;&gt;"))))</f>
        <v/>
      </c>
      <c r="Q226" s="43" t="str">
        <f>IF(OR($B226="",$A226&gt;$B$9,Q$219=""),"",IF(COUNTIFS(BD!$B$3:$B$5001,Q$219,BD!$A$3:$A$5001,"&gt;="&amp;$C$7,BD!$A$3:$A$5001,"&lt;="&amp;$B226,BD!$N$3:$N$5001,"&lt;&gt;")=0,"",SUMIFS(BD!$N$3:$N$5001,BD!$B$3:$B$5001,Q$219,BD!$A$3:$A$5001,_xlfn.MAXIFS(BD!$A$3:$A$5001,BD!$B$3:$B$5001,Q$219,BD!$A$3:$A$5001,"&gt;="&amp;$C$7,BD!$A$3:$A$5001,"&lt;="&amp;$B226,BD!$N$3:$N$5001,"&lt;&gt;"))))</f>
        <v/>
      </c>
      <c r="R226" s="43" t="str">
        <f>IF(OR($B226="",$A226&gt;$B$9,R$219=""),"",IF(COUNTIFS(BD!$B$3:$B$5001,R$219,BD!$A$3:$A$5001,"&gt;="&amp;$C$7,BD!$A$3:$A$5001,"&lt;="&amp;$B226,BD!$N$3:$N$5001,"&lt;&gt;")=0,"",SUMIFS(BD!$N$3:$N$5001,BD!$B$3:$B$5001,R$219,BD!$A$3:$A$5001,_xlfn.MAXIFS(BD!$A$3:$A$5001,BD!$B$3:$B$5001,R$219,BD!$A$3:$A$5001,"&gt;="&amp;$C$7,BD!$A$3:$A$5001,"&lt;="&amp;$B226,BD!$N$3:$N$5001,"&lt;&gt;"))))</f>
        <v/>
      </c>
      <c r="S226" s="43" t="str">
        <f>IF(OR($B226="",$A226&gt;$B$9,S$219=""),"",IF(COUNTIFS(BD!$B$3:$B$5001,S$219,BD!$A$3:$A$5001,"&gt;="&amp;$C$7,BD!$A$3:$A$5001,"&lt;="&amp;$B226,BD!$N$3:$N$5001,"&lt;&gt;")=0,"",SUMIFS(BD!$N$3:$N$5001,BD!$B$3:$B$5001,S$219,BD!$A$3:$A$5001,_xlfn.MAXIFS(BD!$A$3:$A$5001,BD!$B$3:$B$5001,S$219,BD!$A$3:$A$5001,"&gt;="&amp;$C$7,BD!$A$3:$A$5001,"&lt;="&amp;$B226,BD!$N$3:$N$5001,"&lt;&gt;"))))</f>
        <v/>
      </c>
      <c r="T226" s="43" t="str">
        <f>IF(OR($B226="",$A226&gt;$B$9,T$219=""),"",IF(COUNTIFS(BD!$B$3:$B$5001,T$219,BD!$A$3:$A$5001,"&gt;="&amp;$C$7,BD!$A$3:$A$5001,"&lt;="&amp;$B226,BD!$N$3:$N$5001,"&lt;&gt;")=0,"",SUMIFS(BD!$N$3:$N$5001,BD!$B$3:$B$5001,T$219,BD!$A$3:$A$5001,_xlfn.MAXIFS(BD!$A$3:$A$5001,BD!$B$3:$B$5001,T$219,BD!$A$3:$A$5001,"&gt;="&amp;$C$7,BD!$A$3:$A$5001,"&lt;="&amp;$B226,BD!$N$3:$N$5001,"&lt;&gt;"))))</f>
        <v/>
      </c>
      <c r="U226" s="43" t="str">
        <f>IF(OR($B226="",$A226&gt;$B$9,U$219=""),"",IF(COUNTIFS(BD!$B$3:$B$5001,U$219,BD!$A$3:$A$5001,"&gt;="&amp;$C$7,BD!$A$3:$A$5001,"&lt;="&amp;$B226,BD!$N$3:$N$5001,"&lt;&gt;")=0,"",SUMIFS(BD!$N$3:$N$5001,BD!$B$3:$B$5001,U$219,BD!$A$3:$A$5001,_xlfn.MAXIFS(BD!$A$3:$A$5001,BD!$B$3:$B$5001,U$219,BD!$A$3:$A$5001,"&gt;="&amp;$C$7,BD!$A$3:$A$5001,"&lt;="&amp;$B226,BD!$N$3:$N$5001,"&lt;&gt;"))))</f>
        <v/>
      </c>
      <c r="V226" s="43" t="str">
        <f>IF(OR($B226="",$A226&gt;$B$9,V$219=""),"",IF(COUNTIFS(BD!$B$3:$B$5001,V$219,BD!$A$3:$A$5001,"&gt;="&amp;$C$7,BD!$A$3:$A$5001,"&lt;="&amp;$B226,BD!$N$3:$N$5001,"&lt;&gt;")=0,"",SUMIFS(BD!$N$3:$N$5001,BD!$B$3:$B$5001,V$219,BD!$A$3:$A$5001,_xlfn.MAXIFS(BD!$A$3:$A$5001,BD!$B$3:$B$5001,V$219,BD!$A$3:$A$5001,"&gt;="&amp;$C$7,BD!$A$3:$A$5001,"&lt;="&amp;$B226,BD!$N$3:$N$5001,"&lt;&gt;"))))</f>
        <v/>
      </c>
    </row>
    <row r="227">
      <c r="A227" s="38">
        <v>8</v>
      </c>
      <c r="B227" s="42">
        <f>$B$19</f>
        <v>46303</v>
      </c>
      <c r="C227" s="43" t="str">
        <f>IF(OR($B227="",$A227&gt;$B$9,C$219=""),"",IF(COUNTIFS(BD!$B$3:$B$5001,C$219,BD!$A$3:$A$5001,"&gt;="&amp;$C$7,BD!$A$3:$A$5001,"&lt;="&amp;$B227,BD!$N$3:$N$5001,"&lt;&gt;")=0,"",SUMIFS(BD!$N$3:$N$5001,BD!$B$3:$B$5001,C$219,BD!$A$3:$A$5001,_xlfn.MAXIFS(BD!$A$3:$A$5001,BD!$B$3:$B$5001,C$219,BD!$A$3:$A$5001,"&gt;="&amp;$C$7,BD!$A$3:$A$5001,"&lt;="&amp;$B227,BD!$N$3:$N$5001,"&lt;&gt;"))))</f>
        <v/>
      </c>
      <c r="D227" s="43" t="str">
        <f>IF(OR($B227="",$A227&gt;$B$9,D$219=""),"",IF(COUNTIFS(BD!$B$3:$B$5001,D$219,BD!$A$3:$A$5001,"&gt;="&amp;$C$7,BD!$A$3:$A$5001,"&lt;="&amp;$B227,BD!$N$3:$N$5001,"&lt;&gt;")=0,"",SUMIFS(BD!$N$3:$N$5001,BD!$B$3:$B$5001,D$219,BD!$A$3:$A$5001,_xlfn.MAXIFS(BD!$A$3:$A$5001,BD!$B$3:$B$5001,D$219,BD!$A$3:$A$5001,"&gt;="&amp;$C$7,BD!$A$3:$A$5001,"&lt;="&amp;$B227,BD!$N$3:$N$5001,"&lt;&gt;"))))</f>
        <v/>
      </c>
      <c r="E227" s="43" t="str">
        <f>IF(OR($B227="",$A227&gt;$B$9,E$219=""),"",IF(COUNTIFS(BD!$B$3:$B$5001,E$219,BD!$A$3:$A$5001,"&gt;="&amp;$C$7,BD!$A$3:$A$5001,"&lt;="&amp;$B227,BD!$N$3:$N$5001,"&lt;&gt;")=0,"",SUMIFS(BD!$N$3:$N$5001,BD!$B$3:$B$5001,E$219,BD!$A$3:$A$5001,_xlfn.MAXIFS(BD!$A$3:$A$5001,BD!$B$3:$B$5001,E$219,BD!$A$3:$A$5001,"&gt;="&amp;$C$7,BD!$A$3:$A$5001,"&lt;="&amp;$B227,BD!$N$3:$N$5001,"&lt;&gt;"))))</f>
        <v/>
      </c>
      <c r="F227" s="43" t="str">
        <f>IF(OR($B227="",$A227&gt;$B$9,F$219=""),"",IF(COUNTIFS(BD!$B$3:$B$5001,F$219,BD!$A$3:$A$5001,"&gt;="&amp;$C$7,BD!$A$3:$A$5001,"&lt;="&amp;$B227,BD!$N$3:$N$5001,"&lt;&gt;")=0,"",SUMIFS(BD!$N$3:$N$5001,BD!$B$3:$B$5001,F$219,BD!$A$3:$A$5001,_xlfn.MAXIFS(BD!$A$3:$A$5001,BD!$B$3:$B$5001,F$219,BD!$A$3:$A$5001,"&gt;="&amp;$C$7,BD!$A$3:$A$5001,"&lt;="&amp;$B227,BD!$N$3:$N$5001,"&lt;&gt;"))))</f>
        <v/>
      </c>
      <c r="G227" s="43" t="str">
        <f>IF(OR($B227="",$A227&gt;$B$9,G$219=""),"",IF(COUNTIFS(BD!$B$3:$B$5001,G$219,BD!$A$3:$A$5001,"&gt;="&amp;$C$7,BD!$A$3:$A$5001,"&lt;="&amp;$B227,BD!$N$3:$N$5001,"&lt;&gt;")=0,"",SUMIFS(BD!$N$3:$N$5001,BD!$B$3:$B$5001,G$219,BD!$A$3:$A$5001,_xlfn.MAXIFS(BD!$A$3:$A$5001,BD!$B$3:$B$5001,G$219,BD!$A$3:$A$5001,"&gt;="&amp;$C$7,BD!$A$3:$A$5001,"&lt;="&amp;$B227,BD!$N$3:$N$5001,"&lt;&gt;"))))</f>
        <v/>
      </c>
      <c r="H227" s="43" t="str">
        <f>IF(OR($B227="",$A227&gt;$B$9,H$219=""),"",IF(COUNTIFS(BD!$B$3:$B$5001,H$219,BD!$A$3:$A$5001,"&gt;="&amp;$C$7,BD!$A$3:$A$5001,"&lt;="&amp;$B227,BD!$N$3:$N$5001,"&lt;&gt;")=0,"",SUMIFS(BD!$N$3:$N$5001,BD!$B$3:$B$5001,H$219,BD!$A$3:$A$5001,_xlfn.MAXIFS(BD!$A$3:$A$5001,BD!$B$3:$B$5001,H$219,BD!$A$3:$A$5001,"&gt;="&amp;$C$7,BD!$A$3:$A$5001,"&lt;="&amp;$B227,BD!$N$3:$N$5001,"&lt;&gt;"))))</f>
        <v/>
      </c>
      <c r="I227" s="43" t="str">
        <f>IF(OR($B227="",$A227&gt;$B$9,I$219=""),"",IF(COUNTIFS(BD!$B$3:$B$5001,I$219,BD!$A$3:$A$5001,"&gt;="&amp;$C$7,BD!$A$3:$A$5001,"&lt;="&amp;$B227,BD!$N$3:$N$5001,"&lt;&gt;")=0,"",SUMIFS(BD!$N$3:$N$5001,BD!$B$3:$B$5001,I$219,BD!$A$3:$A$5001,_xlfn.MAXIFS(BD!$A$3:$A$5001,BD!$B$3:$B$5001,I$219,BD!$A$3:$A$5001,"&gt;="&amp;$C$7,BD!$A$3:$A$5001,"&lt;="&amp;$B227,BD!$N$3:$N$5001,"&lt;&gt;"))))</f>
        <v/>
      </c>
      <c r="J227" s="43" t="str">
        <f>IF(OR($B227="",$A227&gt;$B$9,J$219=""),"",IF(COUNTIFS(BD!$B$3:$B$5001,J$219,BD!$A$3:$A$5001,"&gt;="&amp;$C$7,BD!$A$3:$A$5001,"&lt;="&amp;$B227,BD!$N$3:$N$5001,"&lt;&gt;")=0,"",SUMIFS(BD!$N$3:$N$5001,BD!$B$3:$B$5001,J$219,BD!$A$3:$A$5001,_xlfn.MAXIFS(BD!$A$3:$A$5001,BD!$B$3:$B$5001,J$219,BD!$A$3:$A$5001,"&gt;="&amp;$C$7,BD!$A$3:$A$5001,"&lt;="&amp;$B227,BD!$N$3:$N$5001,"&lt;&gt;"))))</f>
        <v/>
      </c>
      <c r="K227" s="43" t="str">
        <f>IF(OR($B227="",$A227&gt;$B$9,K$219=""),"",IF(COUNTIFS(BD!$B$3:$B$5001,K$219,BD!$A$3:$A$5001,"&gt;="&amp;$C$7,BD!$A$3:$A$5001,"&lt;="&amp;$B227,BD!$N$3:$N$5001,"&lt;&gt;")=0,"",SUMIFS(BD!$N$3:$N$5001,BD!$B$3:$B$5001,K$219,BD!$A$3:$A$5001,_xlfn.MAXIFS(BD!$A$3:$A$5001,BD!$B$3:$B$5001,K$219,BD!$A$3:$A$5001,"&gt;="&amp;$C$7,BD!$A$3:$A$5001,"&lt;="&amp;$B227,BD!$N$3:$N$5001,"&lt;&gt;"))))</f>
        <v/>
      </c>
      <c r="L227" s="43" t="str">
        <f>IF(OR($B227="",$A227&gt;$B$9,L$219=""),"",IF(COUNTIFS(BD!$B$3:$B$5001,L$219,BD!$A$3:$A$5001,"&gt;="&amp;$C$7,BD!$A$3:$A$5001,"&lt;="&amp;$B227,BD!$N$3:$N$5001,"&lt;&gt;")=0,"",SUMIFS(BD!$N$3:$N$5001,BD!$B$3:$B$5001,L$219,BD!$A$3:$A$5001,_xlfn.MAXIFS(BD!$A$3:$A$5001,BD!$B$3:$B$5001,L$219,BD!$A$3:$A$5001,"&gt;="&amp;$C$7,BD!$A$3:$A$5001,"&lt;="&amp;$B227,BD!$N$3:$N$5001,"&lt;&gt;"))))</f>
        <v/>
      </c>
      <c r="M227" s="43" t="str">
        <f>IF(OR($B227="",$A227&gt;$B$9,M$219=""),"",IF(COUNTIFS(BD!$B$3:$B$5001,M$219,BD!$A$3:$A$5001,"&gt;="&amp;$C$7,BD!$A$3:$A$5001,"&lt;="&amp;$B227,BD!$N$3:$N$5001,"&lt;&gt;")=0,"",SUMIFS(BD!$N$3:$N$5001,BD!$B$3:$B$5001,M$219,BD!$A$3:$A$5001,_xlfn.MAXIFS(BD!$A$3:$A$5001,BD!$B$3:$B$5001,M$219,BD!$A$3:$A$5001,"&gt;="&amp;$C$7,BD!$A$3:$A$5001,"&lt;="&amp;$B227,BD!$N$3:$N$5001,"&lt;&gt;"))))</f>
        <v/>
      </c>
      <c r="N227" s="43" t="str">
        <f>IF(OR($B227="",$A227&gt;$B$9,N$219=""),"",IF(COUNTIFS(BD!$B$3:$B$5001,N$219,BD!$A$3:$A$5001,"&gt;="&amp;$C$7,BD!$A$3:$A$5001,"&lt;="&amp;$B227,BD!$N$3:$N$5001,"&lt;&gt;")=0,"",SUMIFS(BD!$N$3:$N$5001,BD!$B$3:$B$5001,N$219,BD!$A$3:$A$5001,_xlfn.MAXIFS(BD!$A$3:$A$5001,BD!$B$3:$B$5001,N$219,BD!$A$3:$A$5001,"&gt;="&amp;$C$7,BD!$A$3:$A$5001,"&lt;="&amp;$B227,BD!$N$3:$N$5001,"&lt;&gt;"))))</f>
        <v/>
      </c>
      <c r="O227" s="43" t="str">
        <f>IF(OR($B227="",$A227&gt;$B$9,O$219=""),"",IF(COUNTIFS(BD!$B$3:$B$5001,O$219,BD!$A$3:$A$5001,"&gt;="&amp;$C$7,BD!$A$3:$A$5001,"&lt;="&amp;$B227,BD!$N$3:$N$5001,"&lt;&gt;")=0,"",SUMIFS(BD!$N$3:$N$5001,BD!$B$3:$B$5001,O$219,BD!$A$3:$A$5001,_xlfn.MAXIFS(BD!$A$3:$A$5001,BD!$B$3:$B$5001,O$219,BD!$A$3:$A$5001,"&gt;="&amp;$C$7,BD!$A$3:$A$5001,"&lt;="&amp;$B227,BD!$N$3:$N$5001,"&lt;&gt;"))))</f>
        <v/>
      </c>
      <c r="P227" s="43" t="str">
        <f>IF(OR($B227="",$A227&gt;$B$9,P$219=""),"",IF(COUNTIFS(BD!$B$3:$B$5001,P$219,BD!$A$3:$A$5001,"&gt;="&amp;$C$7,BD!$A$3:$A$5001,"&lt;="&amp;$B227,BD!$N$3:$N$5001,"&lt;&gt;")=0,"",SUMIFS(BD!$N$3:$N$5001,BD!$B$3:$B$5001,P$219,BD!$A$3:$A$5001,_xlfn.MAXIFS(BD!$A$3:$A$5001,BD!$B$3:$B$5001,P$219,BD!$A$3:$A$5001,"&gt;="&amp;$C$7,BD!$A$3:$A$5001,"&lt;="&amp;$B227,BD!$N$3:$N$5001,"&lt;&gt;"))))</f>
        <v/>
      </c>
      <c r="Q227" s="43" t="str">
        <f>IF(OR($B227="",$A227&gt;$B$9,Q$219=""),"",IF(COUNTIFS(BD!$B$3:$B$5001,Q$219,BD!$A$3:$A$5001,"&gt;="&amp;$C$7,BD!$A$3:$A$5001,"&lt;="&amp;$B227,BD!$N$3:$N$5001,"&lt;&gt;")=0,"",SUMIFS(BD!$N$3:$N$5001,BD!$B$3:$B$5001,Q$219,BD!$A$3:$A$5001,_xlfn.MAXIFS(BD!$A$3:$A$5001,BD!$B$3:$B$5001,Q$219,BD!$A$3:$A$5001,"&gt;="&amp;$C$7,BD!$A$3:$A$5001,"&lt;="&amp;$B227,BD!$N$3:$N$5001,"&lt;&gt;"))))</f>
        <v/>
      </c>
      <c r="R227" s="43" t="str">
        <f>IF(OR($B227="",$A227&gt;$B$9,R$219=""),"",IF(COUNTIFS(BD!$B$3:$B$5001,R$219,BD!$A$3:$A$5001,"&gt;="&amp;$C$7,BD!$A$3:$A$5001,"&lt;="&amp;$B227,BD!$N$3:$N$5001,"&lt;&gt;")=0,"",SUMIFS(BD!$N$3:$N$5001,BD!$B$3:$B$5001,R$219,BD!$A$3:$A$5001,_xlfn.MAXIFS(BD!$A$3:$A$5001,BD!$B$3:$B$5001,R$219,BD!$A$3:$A$5001,"&gt;="&amp;$C$7,BD!$A$3:$A$5001,"&lt;="&amp;$B227,BD!$N$3:$N$5001,"&lt;&gt;"))))</f>
        <v/>
      </c>
      <c r="S227" s="43" t="str">
        <f>IF(OR($B227="",$A227&gt;$B$9,S$219=""),"",IF(COUNTIFS(BD!$B$3:$B$5001,S$219,BD!$A$3:$A$5001,"&gt;="&amp;$C$7,BD!$A$3:$A$5001,"&lt;="&amp;$B227,BD!$N$3:$N$5001,"&lt;&gt;")=0,"",SUMIFS(BD!$N$3:$N$5001,BD!$B$3:$B$5001,S$219,BD!$A$3:$A$5001,_xlfn.MAXIFS(BD!$A$3:$A$5001,BD!$B$3:$B$5001,S$219,BD!$A$3:$A$5001,"&gt;="&amp;$C$7,BD!$A$3:$A$5001,"&lt;="&amp;$B227,BD!$N$3:$N$5001,"&lt;&gt;"))))</f>
        <v/>
      </c>
      <c r="T227" s="43" t="str">
        <f>IF(OR($B227="",$A227&gt;$B$9,T$219=""),"",IF(COUNTIFS(BD!$B$3:$B$5001,T$219,BD!$A$3:$A$5001,"&gt;="&amp;$C$7,BD!$A$3:$A$5001,"&lt;="&amp;$B227,BD!$N$3:$N$5001,"&lt;&gt;")=0,"",SUMIFS(BD!$N$3:$N$5001,BD!$B$3:$B$5001,T$219,BD!$A$3:$A$5001,_xlfn.MAXIFS(BD!$A$3:$A$5001,BD!$B$3:$B$5001,T$219,BD!$A$3:$A$5001,"&gt;="&amp;$C$7,BD!$A$3:$A$5001,"&lt;="&amp;$B227,BD!$N$3:$N$5001,"&lt;&gt;"))))</f>
        <v/>
      </c>
      <c r="U227" s="43" t="str">
        <f>IF(OR($B227="",$A227&gt;$B$9,U$219=""),"",IF(COUNTIFS(BD!$B$3:$B$5001,U$219,BD!$A$3:$A$5001,"&gt;="&amp;$C$7,BD!$A$3:$A$5001,"&lt;="&amp;$B227,BD!$N$3:$N$5001,"&lt;&gt;")=0,"",SUMIFS(BD!$N$3:$N$5001,BD!$B$3:$B$5001,U$219,BD!$A$3:$A$5001,_xlfn.MAXIFS(BD!$A$3:$A$5001,BD!$B$3:$B$5001,U$219,BD!$A$3:$A$5001,"&gt;="&amp;$C$7,BD!$A$3:$A$5001,"&lt;="&amp;$B227,BD!$N$3:$N$5001,"&lt;&gt;"))))</f>
        <v/>
      </c>
      <c r="V227" s="43" t="str">
        <f>IF(OR($B227="",$A227&gt;$B$9,V$219=""),"",IF(COUNTIFS(BD!$B$3:$B$5001,V$219,BD!$A$3:$A$5001,"&gt;="&amp;$C$7,BD!$A$3:$A$5001,"&lt;="&amp;$B227,BD!$N$3:$N$5001,"&lt;&gt;")=0,"",SUMIFS(BD!$N$3:$N$5001,BD!$B$3:$B$5001,V$219,BD!$A$3:$A$5001,_xlfn.MAXIFS(BD!$A$3:$A$5001,BD!$B$3:$B$5001,V$219,BD!$A$3:$A$5001,"&gt;="&amp;$C$7,BD!$A$3:$A$5001,"&lt;="&amp;$B227,BD!$N$3:$N$5001,"&lt;&gt;"))))</f>
        <v/>
      </c>
    </row>
    <row r="228">
      <c r="A228" s="38">
        <v>9</v>
      </c>
      <c r="B228" s="42">
        <f>$B$20</f>
        <v>46304</v>
      </c>
      <c r="C228" s="43" t="str">
        <f>IF(OR($B228="",$A228&gt;$B$9,C$219=""),"",IF(COUNTIFS(BD!$B$3:$B$5001,C$219,BD!$A$3:$A$5001,"&gt;="&amp;$C$7,BD!$A$3:$A$5001,"&lt;="&amp;$B228,BD!$N$3:$N$5001,"&lt;&gt;")=0,"",SUMIFS(BD!$N$3:$N$5001,BD!$B$3:$B$5001,C$219,BD!$A$3:$A$5001,_xlfn.MAXIFS(BD!$A$3:$A$5001,BD!$B$3:$B$5001,C$219,BD!$A$3:$A$5001,"&gt;="&amp;$C$7,BD!$A$3:$A$5001,"&lt;="&amp;$B228,BD!$N$3:$N$5001,"&lt;&gt;"))))</f>
        <v/>
      </c>
      <c r="D228" s="43" t="str">
        <f>IF(OR($B228="",$A228&gt;$B$9,D$219=""),"",IF(COUNTIFS(BD!$B$3:$B$5001,D$219,BD!$A$3:$A$5001,"&gt;="&amp;$C$7,BD!$A$3:$A$5001,"&lt;="&amp;$B228,BD!$N$3:$N$5001,"&lt;&gt;")=0,"",SUMIFS(BD!$N$3:$N$5001,BD!$B$3:$B$5001,D$219,BD!$A$3:$A$5001,_xlfn.MAXIFS(BD!$A$3:$A$5001,BD!$B$3:$B$5001,D$219,BD!$A$3:$A$5001,"&gt;="&amp;$C$7,BD!$A$3:$A$5001,"&lt;="&amp;$B228,BD!$N$3:$N$5001,"&lt;&gt;"))))</f>
        <v/>
      </c>
      <c r="E228" s="43" t="str">
        <f>IF(OR($B228="",$A228&gt;$B$9,E$219=""),"",IF(COUNTIFS(BD!$B$3:$B$5001,E$219,BD!$A$3:$A$5001,"&gt;="&amp;$C$7,BD!$A$3:$A$5001,"&lt;="&amp;$B228,BD!$N$3:$N$5001,"&lt;&gt;")=0,"",SUMIFS(BD!$N$3:$N$5001,BD!$B$3:$B$5001,E$219,BD!$A$3:$A$5001,_xlfn.MAXIFS(BD!$A$3:$A$5001,BD!$B$3:$B$5001,E$219,BD!$A$3:$A$5001,"&gt;="&amp;$C$7,BD!$A$3:$A$5001,"&lt;="&amp;$B228,BD!$N$3:$N$5001,"&lt;&gt;"))))</f>
        <v/>
      </c>
      <c r="F228" s="43" t="str">
        <f>IF(OR($B228="",$A228&gt;$B$9,F$219=""),"",IF(COUNTIFS(BD!$B$3:$B$5001,F$219,BD!$A$3:$A$5001,"&gt;="&amp;$C$7,BD!$A$3:$A$5001,"&lt;="&amp;$B228,BD!$N$3:$N$5001,"&lt;&gt;")=0,"",SUMIFS(BD!$N$3:$N$5001,BD!$B$3:$B$5001,F$219,BD!$A$3:$A$5001,_xlfn.MAXIFS(BD!$A$3:$A$5001,BD!$B$3:$B$5001,F$219,BD!$A$3:$A$5001,"&gt;="&amp;$C$7,BD!$A$3:$A$5001,"&lt;="&amp;$B228,BD!$N$3:$N$5001,"&lt;&gt;"))))</f>
        <v/>
      </c>
      <c r="G228" s="43" t="str">
        <f>IF(OR($B228="",$A228&gt;$B$9,G$219=""),"",IF(COUNTIFS(BD!$B$3:$B$5001,G$219,BD!$A$3:$A$5001,"&gt;="&amp;$C$7,BD!$A$3:$A$5001,"&lt;="&amp;$B228,BD!$N$3:$N$5001,"&lt;&gt;")=0,"",SUMIFS(BD!$N$3:$N$5001,BD!$B$3:$B$5001,G$219,BD!$A$3:$A$5001,_xlfn.MAXIFS(BD!$A$3:$A$5001,BD!$B$3:$B$5001,G$219,BD!$A$3:$A$5001,"&gt;="&amp;$C$7,BD!$A$3:$A$5001,"&lt;="&amp;$B228,BD!$N$3:$N$5001,"&lt;&gt;"))))</f>
        <v/>
      </c>
      <c r="H228" s="43" t="str">
        <f>IF(OR($B228="",$A228&gt;$B$9,H$219=""),"",IF(COUNTIFS(BD!$B$3:$B$5001,H$219,BD!$A$3:$A$5001,"&gt;="&amp;$C$7,BD!$A$3:$A$5001,"&lt;="&amp;$B228,BD!$N$3:$N$5001,"&lt;&gt;")=0,"",SUMIFS(BD!$N$3:$N$5001,BD!$B$3:$B$5001,H$219,BD!$A$3:$A$5001,_xlfn.MAXIFS(BD!$A$3:$A$5001,BD!$B$3:$B$5001,H$219,BD!$A$3:$A$5001,"&gt;="&amp;$C$7,BD!$A$3:$A$5001,"&lt;="&amp;$B228,BD!$N$3:$N$5001,"&lt;&gt;"))))</f>
        <v/>
      </c>
      <c r="I228" s="43" t="str">
        <f>IF(OR($B228="",$A228&gt;$B$9,I$219=""),"",IF(COUNTIFS(BD!$B$3:$B$5001,I$219,BD!$A$3:$A$5001,"&gt;="&amp;$C$7,BD!$A$3:$A$5001,"&lt;="&amp;$B228,BD!$N$3:$N$5001,"&lt;&gt;")=0,"",SUMIFS(BD!$N$3:$N$5001,BD!$B$3:$B$5001,I$219,BD!$A$3:$A$5001,_xlfn.MAXIFS(BD!$A$3:$A$5001,BD!$B$3:$B$5001,I$219,BD!$A$3:$A$5001,"&gt;="&amp;$C$7,BD!$A$3:$A$5001,"&lt;="&amp;$B228,BD!$N$3:$N$5001,"&lt;&gt;"))))</f>
        <v/>
      </c>
      <c r="J228" s="43" t="str">
        <f>IF(OR($B228="",$A228&gt;$B$9,J$219=""),"",IF(COUNTIFS(BD!$B$3:$B$5001,J$219,BD!$A$3:$A$5001,"&gt;="&amp;$C$7,BD!$A$3:$A$5001,"&lt;="&amp;$B228,BD!$N$3:$N$5001,"&lt;&gt;")=0,"",SUMIFS(BD!$N$3:$N$5001,BD!$B$3:$B$5001,J$219,BD!$A$3:$A$5001,_xlfn.MAXIFS(BD!$A$3:$A$5001,BD!$B$3:$B$5001,J$219,BD!$A$3:$A$5001,"&gt;="&amp;$C$7,BD!$A$3:$A$5001,"&lt;="&amp;$B228,BD!$N$3:$N$5001,"&lt;&gt;"))))</f>
        <v/>
      </c>
      <c r="K228" s="43" t="str">
        <f>IF(OR($B228="",$A228&gt;$B$9,K$219=""),"",IF(COUNTIFS(BD!$B$3:$B$5001,K$219,BD!$A$3:$A$5001,"&gt;="&amp;$C$7,BD!$A$3:$A$5001,"&lt;="&amp;$B228,BD!$N$3:$N$5001,"&lt;&gt;")=0,"",SUMIFS(BD!$N$3:$N$5001,BD!$B$3:$B$5001,K$219,BD!$A$3:$A$5001,_xlfn.MAXIFS(BD!$A$3:$A$5001,BD!$B$3:$B$5001,K$219,BD!$A$3:$A$5001,"&gt;="&amp;$C$7,BD!$A$3:$A$5001,"&lt;="&amp;$B228,BD!$N$3:$N$5001,"&lt;&gt;"))))</f>
        <v/>
      </c>
      <c r="L228" s="43" t="str">
        <f>IF(OR($B228="",$A228&gt;$B$9,L$219=""),"",IF(COUNTIFS(BD!$B$3:$B$5001,L$219,BD!$A$3:$A$5001,"&gt;="&amp;$C$7,BD!$A$3:$A$5001,"&lt;="&amp;$B228,BD!$N$3:$N$5001,"&lt;&gt;")=0,"",SUMIFS(BD!$N$3:$N$5001,BD!$B$3:$B$5001,L$219,BD!$A$3:$A$5001,_xlfn.MAXIFS(BD!$A$3:$A$5001,BD!$B$3:$B$5001,L$219,BD!$A$3:$A$5001,"&gt;="&amp;$C$7,BD!$A$3:$A$5001,"&lt;="&amp;$B228,BD!$N$3:$N$5001,"&lt;&gt;"))))</f>
        <v/>
      </c>
      <c r="M228" s="43" t="str">
        <f>IF(OR($B228="",$A228&gt;$B$9,M$219=""),"",IF(COUNTIFS(BD!$B$3:$B$5001,M$219,BD!$A$3:$A$5001,"&gt;="&amp;$C$7,BD!$A$3:$A$5001,"&lt;="&amp;$B228,BD!$N$3:$N$5001,"&lt;&gt;")=0,"",SUMIFS(BD!$N$3:$N$5001,BD!$B$3:$B$5001,M$219,BD!$A$3:$A$5001,_xlfn.MAXIFS(BD!$A$3:$A$5001,BD!$B$3:$B$5001,M$219,BD!$A$3:$A$5001,"&gt;="&amp;$C$7,BD!$A$3:$A$5001,"&lt;="&amp;$B228,BD!$N$3:$N$5001,"&lt;&gt;"))))</f>
        <v/>
      </c>
      <c r="N228" s="43" t="str">
        <f>IF(OR($B228="",$A228&gt;$B$9,N$219=""),"",IF(COUNTIFS(BD!$B$3:$B$5001,N$219,BD!$A$3:$A$5001,"&gt;="&amp;$C$7,BD!$A$3:$A$5001,"&lt;="&amp;$B228,BD!$N$3:$N$5001,"&lt;&gt;")=0,"",SUMIFS(BD!$N$3:$N$5001,BD!$B$3:$B$5001,N$219,BD!$A$3:$A$5001,_xlfn.MAXIFS(BD!$A$3:$A$5001,BD!$B$3:$B$5001,N$219,BD!$A$3:$A$5001,"&gt;="&amp;$C$7,BD!$A$3:$A$5001,"&lt;="&amp;$B228,BD!$N$3:$N$5001,"&lt;&gt;"))))</f>
        <v/>
      </c>
      <c r="O228" s="43" t="str">
        <f>IF(OR($B228="",$A228&gt;$B$9,O$219=""),"",IF(COUNTIFS(BD!$B$3:$B$5001,O$219,BD!$A$3:$A$5001,"&gt;="&amp;$C$7,BD!$A$3:$A$5001,"&lt;="&amp;$B228,BD!$N$3:$N$5001,"&lt;&gt;")=0,"",SUMIFS(BD!$N$3:$N$5001,BD!$B$3:$B$5001,O$219,BD!$A$3:$A$5001,_xlfn.MAXIFS(BD!$A$3:$A$5001,BD!$B$3:$B$5001,O$219,BD!$A$3:$A$5001,"&gt;="&amp;$C$7,BD!$A$3:$A$5001,"&lt;="&amp;$B228,BD!$N$3:$N$5001,"&lt;&gt;"))))</f>
        <v/>
      </c>
      <c r="P228" s="43" t="str">
        <f>IF(OR($B228="",$A228&gt;$B$9,P$219=""),"",IF(COUNTIFS(BD!$B$3:$B$5001,P$219,BD!$A$3:$A$5001,"&gt;="&amp;$C$7,BD!$A$3:$A$5001,"&lt;="&amp;$B228,BD!$N$3:$N$5001,"&lt;&gt;")=0,"",SUMIFS(BD!$N$3:$N$5001,BD!$B$3:$B$5001,P$219,BD!$A$3:$A$5001,_xlfn.MAXIFS(BD!$A$3:$A$5001,BD!$B$3:$B$5001,P$219,BD!$A$3:$A$5001,"&gt;="&amp;$C$7,BD!$A$3:$A$5001,"&lt;="&amp;$B228,BD!$N$3:$N$5001,"&lt;&gt;"))))</f>
        <v/>
      </c>
      <c r="Q228" s="43" t="str">
        <f>IF(OR($B228="",$A228&gt;$B$9,Q$219=""),"",IF(COUNTIFS(BD!$B$3:$B$5001,Q$219,BD!$A$3:$A$5001,"&gt;="&amp;$C$7,BD!$A$3:$A$5001,"&lt;="&amp;$B228,BD!$N$3:$N$5001,"&lt;&gt;")=0,"",SUMIFS(BD!$N$3:$N$5001,BD!$B$3:$B$5001,Q$219,BD!$A$3:$A$5001,_xlfn.MAXIFS(BD!$A$3:$A$5001,BD!$B$3:$B$5001,Q$219,BD!$A$3:$A$5001,"&gt;="&amp;$C$7,BD!$A$3:$A$5001,"&lt;="&amp;$B228,BD!$N$3:$N$5001,"&lt;&gt;"))))</f>
        <v/>
      </c>
      <c r="R228" s="43" t="str">
        <f>IF(OR($B228="",$A228&gt;$B$9,R$219=""),"",IF(COUNTIFS(BD!$B$3:$B$5001,R$219,BD!$A$3:$A$5001,"&gt;="&amp;$C$7,BD!$A$3:$A$5001,"&lt;="&amp;$B228,BD!$N$3:$N$5001,"&lt;&gt;")=0,"",SUMIFS(BD!$N$3:$N$5001,BD!$B$3:$B$5001,R$219,BD!$A$3:$A$5001,_xlfn.MAXIFS(BD!$A$3:$A$5001,BD!$B$3:$B$5001,R$219,BD!$A$3:$A$5001,"&gt;="&amp;$C$7,BD!$A$3:$A$5001,"&lt;="&amp;$B228,BD!$N$3:$N$5001,"&lt;&gt;"))))</f>
        <v/>
      </c>
      <c r="S228" s="43" t="str">
        <f>IF(OR($B228="",$A228&gt;$B$9,S$219=""),"",IF(COUNTIFS(BD!$B$3:$B$5001,S$219,BD!$A$3:$A$5001,"&gt;="&amp;$C$7,BD!$A$3:$A$5001,"&lt;="&amp;$B228,BD!$N$3:$N$5001,"&lt;&gt;")=0,"",SUMIFS(BD!$N$3:$N$5001,BD!$B$3:$B$5001,S$219,BD!$A$3:$A$5001,_xlfn.MAXIFS(BD!$A$3:$A$5001,BD!$B$3:$B$5001,S$219,BD!$A$3:$A$5001,"&gt;="&amp;$C$7,BD!$A$3:$A$5001,"&lt;="&amp;$B228,BD!$N$3:$N$5001,"&lt;&gt;"))))</f>
        <v/>
      </c>
      <c r="T228" s="43" t="str">
        <f>IF(OR($B228="",$A228&gt;$B$9,T$219=""),"",IF(COUNTIFS(BD!$B$3:$B$5001,T$219,BD!$A$3:$A$5001,"&gt;="&amp;$C$7,BD!$A$3:$A$5001,"&lt;="&amp;$B228,BD!$N$3:$N$5001,"&lt;&gt;")=0,"",SUMIFS(BD!$N$3:$N$5001,BD!$B$3:$B$5001,T$219,BD!$A$3:$A$5001,_xlfn.MAXIFS(BD!$A$3:$A$5001,BD!$B$3:$B$5001,T$219,BD!$A$3:$A$5001,"&gt;="&amp;$C$7,BD!$A$3:$A$5001,"&lt;="&amp;$B228,BD!$N$3:$N$5001,"&lt;&gt;"))))</f>
        <v/>
      </c>
      <c r="U228" s="43" t="str">
        <f>IF(OR($B228="",$A228&gt;$B$9,U$219=""),"",IF(COUNTIFS(BD!$B$3:$B$5001,U$219,BD!$A$3:$A$5001,"&gt;="&amp;$C$7,BD!$A$3:$A$5001,"&lt;="&amp;$B228,BD!$N$3:$N$5001,"&lt;&gt;")=0,"",SUMIFS(BD!$N$3:$N$5001,BD!$B$3:$B$5001,U$219,BD!$A$3:$A$5001,_xlfn.MAXIFS(BD!$A$3:$A$5001,BD!$B$3:$B$5001,U$219,BD!$A$3:$A$5001,"&gt;="&amp;$C$7,BD!$A$3:$A$5001,"&lt;="&amp;$B228,BD!$N$3:$N$5001,"&lt;&gt;"))))</f>
        <v/>
      </c>
      <c r="V228" s="43" t="str">
        <f>IF(OR($B228="",$A228&gt;$B$9,V$219=""),"",IF(COUNTIFS(BD!$B$3:$B$5001,V$219,BD!$A$3:$A$5001,"&gt;="&amp;$C$7,BD!$A$3:$A$5001,"&lt;="&amp;$B228,BD!$N$3:$N$5001,"&lt;&gt;")=0,"",SUMIFS(BD!$N$3:$N$5001,BD!$B$3:$B$5001,V$219,BD!$A$3:$A$5001,_xlfn.MAXIFS(BD!$A$3:$A$5001,BD!$B$3:$B$5001,V$219,BD!$A$3:$A$5001,"&gt;="&amp;$C$7,BD!$A$3:$A$5001,"&lt;="&amp;$B228,BD!$N$3:$N$5001,"&lt;&gt;"))))</f>
        <v/>
      </c>
    </row>
    <row r="229">
      <c r="A229" s="38">
        <v>10</v>
      </c>
      <c r="B229" s="42">
        <f>$B$21</f>
        <v>46305</v>
      </c>
      <c r="C229" s="43" t="str">
        <f>IF(OR($B229="",$A229&gt;$B$9,C$219=""),"",IF(COUNTIFS(BD!$B$3:$B$5001,C$219,BD!$A$3:$A$5001,"&gt;="&amp;$C$7,BD!$A$3:$A$5001,"&lt;="&amp;$B229,BD!$N$3:$N$5001,"&lt;&gt;")=0,"",SUMIFS(BD!$N$3:$N$5001,BD!$B$3:$B$5001,C$219,BD!$A$3:$A$5001,_xlfn.MAXIFS(BD!$A$3:$A$5001,BD!$B$3:$B$5001,C$219,BD!$A$3:$A$5001,"&gt;="&amp;$C$7,BD!$A$3:$A$5001,"&lt;="&amp;$B229,BD!$N$3:$N$5001,"&lt;&gt;"))))</f>
        <v/>
      </c>
      <c r="D229" s="43" t="str">
        <f>IF(OR($B229="",$A229&gt;$B$9,D$219=""),"",IF(COUNTIFS(BD!$B$3:$B$5001,D$219,BD!$A$3:$A$5001,"&gt;="&amp;$C$7,BD!$A$3:$A$5001,"&lt;="&amp;$B229,BD!$N$3:$N$5001,"&lt;&gt;")=0,"",SUMIFS(BD!$N$3:$N$5001,BD!$B$3:$B$5001,D$219,BD!$A$3:$A$5001,_xlfn.MAXIFS(BD!$A$3:$A$5001,BD!$B$3:$B$5001,D$219,BD!$A$3:$A$5001,"&gt;="&amp;$C$7,BD!$A$3:$A$5001,"&lt;="&amp;$B229,BD!$N$3:$N$5001,"&lt;&gt;"))))</f>
        <v/>
      </c>
      <c r="E229" s="43" t="str">
        <f>IF(OR($B229="",$A229&gt;$B$9,E$219=""),"",IF(COUNTIFS(BD!$B$3:$B$5001,E$219,BD!$A$3:$A$5001,"&gt;="&amp;$C$7,BD!$A$3:$A$5001,"&lt;="&amp;$B229,BD!$N$3:$N$5001,"&lt;&gt;")=0,"",SUMIFS(BD!$N$3:$N$5001,BD!$B$3:$B$5001,E$219,BD!$A$3:$A$5001,_xlfn.MAXIFS(BD!$A$3:$A$5001,BD!$B$3:$B$5001,E$219,BD!$A$3:$A$5001,"&gt;="&amp;$C$7,BD!$A$3:$A$5001,"&lt;="&amp;$B229,BD!$N$3:$N$5001,"&lt;&gt;"))))</f>
        <v/>
      </c>
      <c r="F229" s="43" t="str">
        <f>IF(OR($B229="",$A229&gt;$B$9,F$219=""),"",IF(COUNTIFS(BD!$B$3:$B$5001,F$219,BD!$A$3:$A$5001,"&gt;="&amp;$C$7,BD!$A$3:$A$5001,"&lt;="&amp;$B229,BD!$N$3:$N$5001,"&lt;&gt;")=0,"",SUMIFS(BD!$N$3:$N$5001,BD!$B$3:$B$5001,F$219,BD!$A$3:$A$5001,_xlfn.MAXIFS(BD!$A$3:$A$5001,BD!$B$3:$B$5001,F$219,BD!$A$3:$A$5001,"&gt;="&amp;$C$7,BD!$A$3:$A$5001,"&lt;="&amp;$B229,BD!$N$3:$N$5001,"&lt;&gt;"))))</f>
        <v/>
      </c>
      <c r="G229" s="43" t="str">
        <f>IF(OR($B229="",$A229&gt;$B$9,G$219=""),"",IF(COUNTIFS(BD!$B$3:$B$5001,G$219,BD!$A$3:$A$5001,"&gt;="&amp;$C$7,BD!$A$3:$A$5001,"&lt;="&amp;$B229,BD!$N$3:$N$5001,"&lt;&gt;")=0,"",SUMIFS(BD!$N$3:$N$5001,BD!$B$3:$B$5001,G$219,BD!$A$3:$A$5001,_xlfn.MAXIFS(BD!$A$3:$A$5001,BD!$B$3:$B$5001,G$219,BD!$A$3:$A$5001,"&gt;="&amp;$C$7,BD!$A$3:$A$5001,"&lt;="&amp;$B229,BD!$N$3:$N$5001,"&lt;&gt;"))))</f>
        <v/>
      </c>
      <c r="H229" s="43" t="str">
        <f>IF(OR($B229="",$A229&gt;$B$9,H$219=""),"",IF(COUNTIFS(BD!$B$3:$B$5001,H$219,BD!$A$3:$A$5001,"&gt;="&amp;$C$7,BD!$A$3:$A$5001,"&lt;="&amp;$B229,BD!$N$3:$N$5001,"&lt;&gt;")=0,"",SUMIFS(BD!$N$3:$N$5001,BD!$B$3:$B$5001,H$219,BD!$A$3:$A$5001,_xlfn.MAXIFS(BD!$A$3:$A$5001,BD!$B$3:$B$5001,H$219,BD!$A$3:$A$5001,"&gt;="&amp;$C$7,BD!$A$3:$A$5001,"&lt;="&amp;$B229,BD!$N$3:$N$5001,"&lt;&gt;"))))</f>
        <v/>
      </c>
      <c r="I229" s="43" t="str">
        <f>IF(OR($B229="",$A229&gt;$B$9,I$219=""),"",IF(COUNTIFS(BD!$B$3:$B$5001,I$219,BD!$A$3:$A$5001,"&gt;="&amp;$C$7,BD!$A$3:$A$5001,"&lt;="&amp;$B229,BD!$N$3:$N$5001,"&lt;&gt;")=0,"",SUMIFS(BD!$N$3:$N$5001,BD!$B$3:$B$5001,I$219,BD!$A$3:$A$5001,_xlfn.MAXIFS(BD!$A$3:$A$5001,BD!$B$3:$B$5001,I$219,BD!$A$3:$A$5001,"&gt;="&amp;$C$7,BD!$A$3:$A$5001,"&lt;="&amp;$B229,BD!$N$3:$N$5001,"&lt;&gt;"))))</f>
        <v/>
      </c>
      <c r="J229" s="43" t="str">
        <f>IF(OR($B229="",$A229&gt;$B$9,J$219=""),"",IF(COUNTIFS(BD!$B$3:$B$5001,J$219,BD!$A$3:$A$5001,"&gt;="&amp;$C$7,BD!$A$3:$A$5001,"&lt;="&amp;$B229,BD!$N$3:$N$5001,"&lt;&gt;")=0,"",SUMIFS(BD!$N$3:$N$5001,BD!$B$3:$B$5001,J$219,BD!$A$3:$A$5001,_xlfn.MAXIFS(BD!$A$3:$A$5001,BD!$B$3:$B$5001,J$219,BD!$A$3:$A$5001,"&gt;="&amp;$C$7,BD!$A$3:$A$5001,"&lt;="&amp;$B229,BD!$N$3:$N$5001,"&lt;&gt;"))))</f>
        <v/>
      </c>
      <c r="K229" s="43" t="str">
        <f>IF(OR($B229="",$A229&gt;$B$9,K$219=""),"",IF(COUNTIFS(BD!$B$3:$B$5001,K$219,BD!$A$3:$A$5001,"&gt;="&amp;$C$7,BD!$A$3:$A$5001,"&lt;="&amp;$B229,BD!$N$3:$N$5001,"&lt;&gt;")=0,"",SUMIFS(BD!$N$3:$N$5001,BD!$B$3:$B$5001,K$219,BD!$A$3:$A$5001,_xlfn.MAXIFS(BD!$A$3:$A$5001,BD!$B$3:$B$5001,K$219,BD!$A$3:$A$5001,"&gt;="&amp;$C$7,BD!$A$3:$A$5001,"&lt;="&amp;$B229,BD!$N$3:$N$5001,"&lt;&gt;"))))</f>
        <v/>
      </c>
      <c r="L229" s="43" t="str">
        <f>IF(OR($B229="",$A229&gt;$B$9,L$219=""),"",IF(COUNTIFS(BD!$B$3:$B$5001,L$219,BD!$A$3:$A$5001,"&gt;="&amp;$C$7,BD!$A$3:$A$5001,"&lt;="&amp;$B229,BD!$N$3:$N$5001,"&lt;&gt;")=0,"",SUMIFS(BD!$N$3:$N$5001,BD!$B$3:$B$5001,L$219,BD!$A$3:$A$5001,_xlfn.MAXIFS(BD!$A$3:$A$5001,BD!$B$3:$B$5001,L$219,BD!$A$3:$A$5001,"&gt;="&amp;$C$7,BD!$A$3:$A$5001,"&lt;="&amp;$B229,BD!$N$3:$N$5001,"&lt;&gt;"))))</f>
        <v/>
      </c>
      <c r="M229" s="43" t="str">
        <f>IF(OR($B229="",$A229&gt;$B$9,M$219=""),"",IF(COUNTIFS(BD!$B$3:$B$5001,M$219,BD!$A$3:$A$5001,"&gt;="&amp;$C$7,BD!$A$3:$A$5001,"&lt;="&amp;$B229,BD!$N$3:$N$5001,"&lt;&gt;")=0,"",SUMIFS(BD!$N$3:$N$5001,BD!$B$3:$B$5001,M$219,BD!$A$3:$A$5001,_xlfn.MAXIFS(BD!$A$3:$A$5001,BD!$B$3:$B$5001,M$219,BD!$A$3:$A$5001,"&gt;="&amp;$C$7,BD!$A$3:$A$5001,"&lt;="&amp;$B229,BD!$N$3:$N$5001,"&lt;&gt;"))))</f>
        <v/>
      </c>
      <c r="N229" s="43" t="str">
        <f>IF(OR($B229="",$A229&gt;$B$9,N$219=""),"",IF(COUNTIFS(BD!$B$3:$B$5001,N$219,BD!$A$3:$A$5001,"&gt;="&amp;$C$7,BD!$A$3:$A$5001,"&lt;="&amp;$B229,BD!$N$3:$N$5001,"&lt;&gt;")=0,"",SUMIFS(BD!$N$3:$N$5001,BD!$B$3:$B$5001,N$219,BD!$A$3:$A$5001,_xlfn.MAXIFS(BD!$A$3:$A$5001,BD!$B$3:$B$5001,N$219,BD!$A$3:$A$5001,"&gt;="&amp;$C$7,BD!$A$3:$A$5001,"&lt;="&amp;$B229,BD!$N$3:$N$5001,"&lt;&gt;"))))</f>
        <v/>
      </c>
      <c r="O229" s="43" t="str">
        <f>IF(OR($B229="",$A229&gt;$B$9,O$219=""),"",IF(COUNTIFS(BD!$B$3:$B$5001,O$219,BD!$A$3:$A$5001,"&gt;="&amp;$C$7,BD!$A$3:$A$5001,"&lt;="&amp;$B229,BD!$N$3:$N$5001,"&lt;&gt;")=0,"",SUMIFS(BD!$N$3:$N$5001,BD!$B$3:$B$5001,O$219,BD!$A$3:$A$5001,_xlfn.MAXIFS(BD!$A$3:$A$5001,BD!$B$3:$B$5001,O$219,BD!$A$3:$A$5001,"&gt;="&amp;$C$7,BD!$A$3:$A$5001,"&lt;="&amp;$B229,BD!$N$3:$N$5001,"&lt;&gt;"))))</f>
        <v/>
      </c>
      <c r="P229" s="43" t="str">
        <f>IF(OR($B229="",$A229&gt;$B$9,P$219=""),"",IF(COUNTIFS(BD!$B$3:$B$5001,P$219,BD!$A$3:$A$5001,"&gt;="&amp;$C$7,BD!$A$3:$A$5001,"&lt;="&amp;$B229,BD!$N$3:$N$5001,"&lt;&gt;")=0,"",SUMIFS(BD!$N$3:$N$5001,BD!$B$3:$B$5001,P$219,BD!$A$3:$A$5001,_xlfn.MAXIFS(BD!$A$3:$A$5001,BD!$B$3:$B$5001,P$219,BD!$A$3:$A$5001,"&gt;="&amp;$C$7,BD!$A$3:$A$5001,"&lt;="&amp;$B229,BD!$N$3:$N$5001,"&lt;&gt;"))))</f>
        <v/>
      </c>
      <c r="Q229" s="43" t="str">
        <f>IF(OR($B229="",$A229&gt;$B$9,Q$219=""),"",IF(COUNTIFS(BD!$B$3:$B$5001,Q$219,BD!$A$3:$A$5001,"&gt;="&amp;$C$7,BD!$A$3:$A$5001,"&lt;="&amp;$B229,BD!$N$3:$N$5001,"&lt;&gt;")=0,"",SUMIFS(BD!$N$3:$N$5001,BD!$B$3:$B$5001,Q$219,BD!$A$3:$A$5001,_xlfn.MAXIFS(BD!$A$3:$A$5001,BD!$B$3:$B$5001,Q$219,BD!$A$3:$A$5001,"&gt;="&amp;$C$7,BD!$A$3:$A$5001,"&lt;="&amp;$B229,BD!$N$3:$N$5001,"&lt;&gt;"))))</f>
        <v/>
      </c>
      <c r="R229" s="43" t="str">
        <f>IF(OR($B229="",$A229&gt;$B$9,R$219=""),"",IF(COUNTIFS(BD!$B$3:$B$5001,R$219,BD!$A$3:$A$5001,"&gt;="&amp;$C$7,BD!$A$3:$A$5001,"&lt;="&amp;$B229,BD!$N$3:$N$5001,"&lt;&gt;")=0,"",SUMIFS(BD!$N$3:$N$5001,BD!$B$3:$B$5001,R$219,BD!$A$3:$A$5001,_xlfn.MAXIFS(BD!$A$3:$A$5001,BD!$B$3:$B$5001,R$219,BD!$A$3:$A$5001,"&gt;="&amp;$C$7,BD!$A$3:$A$5001,"&lt;="&amp;$B229,BD!$N$3:$N$5001,"&lt;&gt;"))))</f>
        <v/>
      </c>
      <c r="S229" s="43" t="str">
        <f>IF(OR($B229="",$A229&gt;$B$9,S$219=""),"",IF(COUNTIFS(BD!$B$3:$B$5001,S$219,BD!$A$3:$A$5001,"&gt;="&amp;$C$7,BD!$A$3:$A$5001,"&lt;="&amp;$B229,BD!$N$3:$N$5001,"&lt;&gt;")=0,"",SUMIFS(BD!$N$3:$N$5001,BD!$B$3:$B$5001,S$219,BD!$A$3:$A$5001,_xlfn.MAXIFS(BD!$A$3:$A$5001,BD!$B$3:$B$5001,S$219,BD!$A$3:$A$5001,"&gt;="&amp;$C$7,BD!$A$3:$A$5001,"&lt;="&amp;$B229,BD!$N$3:$N$5001,"&lt;&gt;"))))</f>
        <v/>
      </c>
      <c r="T229" s="43" t="str">
        <f>IF(OR($B229="",$A229&gt;$B$9,T$219=""),"",IF(COUNTIFS(BD!$B$3:$B$5001,T$219,BD!$A$3:$A$5001,"&gt;="&amp;$C$7,BD!$A$3:$A$5001,"&lt;="&amp;$B229,BD!$N$3:$N$5001,"&lt;&gt;")=0,"",SUMIFS(BD!$N$3:$N$5001,BD!$B$3:$B$5001,T$219,BD!$A$3:$A$5001,_xlfn.MAXIFS(BD!$A$3:$A$5001,BD!$B$3:$B$5001,T$219,BD!$A$3:$A$5001,"&gt;="&amp;$C$7,BD!$A$3:$A$5001,"&lt;="&amp;$B229,BD!$N$3:$N$5001,"&lt;&gt;"))))</f>
        <v/>
      </c>
      <c r="U229" s="43" t="str">
        <f>IF(OR($B229="",$A229&gt;$B$9,U$219=""),"",IF(COUNTIFS(BD!$B$3:$B$5001,U$219,BD!$A$3:$A$5001,"&gt;="&amp;$C$7,BD!$A$3:$A$5001,"&lt;="&amp;$B229,BD!$N$3:$N$5001,"&lt;&gt;")=0,"",SUMIFS(BD!$N$3:$N$5001,BD!$B$3:$B$5001,U$219,BD!$A$3:$A$5001,_xlfn.MAXIFS(BD!$A$3:$A$5001,BD!$B$3:$B$5001,U$219,BD!$A$3:$A$5001,"&gt;="&amp;$C$7,BD!$A$3:$A$5001,"&lt;="&amp;$B229,BD!$N$3:$N$5001,"&lt;&gt;"))))</f>
        <v/>
      </c>
      <c r="V229" s="43" t="str">
        <f>IF(OR($B229="",$A229&gt;$B$9,V$219=""),"",IF(COUNTIFS(BD!$B$3:$B$5001,V$219,BD!$A$3:$A$5001,"&gt;="&amp;$C$7,BD!$A$3:$A$5001,"&lt;="&amp;$B229,BD!$N$3:$N$5001,"&lt;&gt;")=0,"",SUMIFS(BD!$N$3:$N$5001,BD!$B$3:$B$5001,V$219,BD!$A$3:$A$5001,_xlfn.MAXIFS(BD!$A$3:$A$5001,BD!$B$3:$B$5001,V$219,BD!$A$3:$A$5001,"&gt;="&amp;$C$7,BD!$A$3:$A$5001,"&lt;="&amp;$B229,BD!$N$3:$N$5001,"&lt;&gt;"))))</f>
        <v/>
      </c>
    </row>
    <row r="230">
      <c r="A230" s="38">
        <v>11</v>
      </c>
      <c r="B230" s="42">
        <f>$B$22</f>
        <v>46306</v>
      </c>
      <c r="C230" s="43" t="str">
        <f>IF(OR($B230="",$A230&gt;$B$9,C$219=""),"",IF(COUNTIFS(BD!$B$3:$B$5001,C$219,BD!$A$3:$A$5001,"&gt;="&amp;$C$7,BD!$A$3:$A$5001,"&lt;="&amp;$B230,BD!$N$3:$N$5001,"&lt;&gt;")=0,"",SUMIFS(BD!$N$3:$N$5001,BD!$B$3:$B$5001,C$219,BD!$A$3:$A$5001,_xlfn.MAXIFS(BD!$A$3:$A$5001,BD!$B$3:$B$5001,C$219,BD!$A$3:$A$5001,"&gt;="&amp;$C$7,BD!$A$3:$A$5001,"&lt;="&amp;$B230,BD!$N$3:$N$5001,"&lt;&gt;"))))</f>
        <v/>
      </c>
      <c r="D230" s="43" t="str">
        <f>IF(OR($B230="",$A230&gt;$B$9,D$219=""),"",IF(COUNTIFS(BD!$B$3:$B$5001,D$219,BD!$A$3:$A$5001,"&gt;="&amp;$C$7,BD!$A$3:$A$5001,"&lt;="&amp;$B230,BD!$N$3:$N$5001,"&lt;&gt;")=0,"",SUMIFS(BD!$N$3:$N$5001,BD!$B$3:$B$5001,D$219,BD!$A$3:$A$5001,_xlfn.MAXIFS(BD!$A$3:$A$5001,BD!$B$3:$B$5001,D$219,BD!$A$3:$A$5001,"&gt;="&amp;$C$7,BD!$A$3:$A$5001,"&lt;="&amp;$B230,BD!$N$3:$N$5001,"&lt;&gt;"))))</f>
        <v/>
      </c>
      <c r="E230" s="43" t="str">
        <f>IF(OR($B230="",$A230&gt;$B$9,E$219=""),"",IF(COUNTIFS(BD!$B$3:$B$5001,E$219,BD!$A$3:$A$5001,"&gt;="&amp;$C$7,BD!$A$3:$A$5001,"&lt;="&amp;$B230,BD!$N$3:$N$5001,"&lt;&gt;")=0,"",SUMIFS(BD!$N$3:$N$5001,BD!$B$3:$B$5001,E$219,BD!$A$3:$A$5001,_xlfn.MAXIFS(BD!$A$3:$A$5001,BD!$B$3:$B$5001,E$219,BD!$A$3:$A$5001,"&gt;="&amp;$C$7,BD!$A$3:$A$5001,"&lt;="&amp;$B230,BD!$N$3:$N$5001,"&lt;&gt;"))))</f>
        <v/>
      </c>
      <c r="F230" s="43" t="str">
        <f>IF(OR($B230="",$A230&gt;$B$9,F$219=""),"",IF(COUNTIFS(BD!$B$3:$B$5001,F$219,BD!$A$3:$A$5001,"&gt;="&amp;$C$7,BD!$A$3:$A$5001,"&lt;="&amp;$B230,BD!$N$3:$N$5001,"&lt;&gt;")=0,"",SUMIFS(BD!$N$3:$N$5001,BD!$B$3:$B$5001,F$219,BD!$A$3:$A$5001,_xlfn.MAXIFS(BD!$A$3:$A$5001,BD!$B$3:$B$5001,F$219,BD!$A$3:$A$5001,"&gt;="&amp;$C$7,BD!$A$3:$A$5001,"&lt;="&amp;$B230,BD!$N$3:$N$5001,"&lt;&gt;"))))</f>
        <v/>
      </c>
      <c r="G230" s="43" t="str">
        <f>IF(OR($B230="",$A230&gt;$B$9,G$219=""),"",IF(COUNTIFS(BD!$B$3:$B$5001,G$219,BD!$A$3:$A$5001,"&gt;="&amp;$C$7,BD!$A$3:$A$5001,"&lt;="&amp;$B230,BD!$N$3:$N$5001,"&lt;&gt;")=0,"",SUMIFS(BD!$N$3:$N$5001,BD!$B$3:$B$5001,G$219,BD!$A$3:$A$5001,_xlfn.MAXIFS(BD!$A$3:$A$5001,BD!$B$3:$B$5001,G$219,BD!$A$3:$A$5001,"&gt;="&amp;$C$7,BD!$A$3:$A$5001,"&lt;="&amp;$B230,BD!$N$3:$N$5001,"&lt;&gt;"))))</f>
        <v/>
      </c>
      <c r="H230" s="43" t="str">
        <f>IF(OR($B230="",$A230&gt;$B$9,H$219=""),"",IF(COUNTIFS(BD!$B$3:$B$5001,H$219,BD!$A$3:$A$5001,"&gt;="&amp;$C$7,BD!$A$3:$A$5001,"&lt;="&amp;$B230,BD!$N$3:$N$5001,"&lt;&gt;")=0,"",SUMIFS(BD!$N$3:$N$5001,BD!$B$3:$B$5001,H$219,BD!$A$3:$A$5001,_xlfn.MAXIFS(BD!$A$3:$A$5001,BD!$B$3:$B$5001,H$219,BD!$A$3:$A$5001,"&gt;="&amp;$C$7,BD!$A$3:$A$5001,"&lt;="&amp;$B230,BD!$N$3:$N$5001,"&lt;&gt;"))))</f>
        <v/>
      </c>
      <c r="I230" s="43" t="str">
        <f>IF(OR($B230="",$A230&gt;$B$9,I$219=""),"",IF(COUNTIFS(BD!$B$3:$B$5001,I$219,BD!$A$3:$A$5001,"&gt;="&amp;$C$7,BD!$A$3:$A$5001,"&lt;="&amp;$B230,BD!$N$3:$N$5001,"&lt;&gt;")=0,"",SUMIFS(BD!$N$3:$N$5001,BD!$B$3:$B$5001,I$219,BD!$A$3:$A$5001,_xlfn.MAXIFS(BD!$A$3:$A$5001,BD!$B$3:$B$5001,I$219,BD!$A$3:$A$5001,"&gt;="&amp;$C$7,BD!$A$3:$A$5001,"&lt;="&amp;$B230,BD!$N$3:$N$5001,"&lt;&gt;"))))</f>
        <v/>
      </c>
      <c r="J230" s="43" t="str">
        <f>IF(OR($B230="",$A230&gt;$B$9,J$219=""),"",IF(COUNTIFS(BD!$B$3:$B$5001,J$219,BD!$A$3:$A$5001,"&gt;="&amp;$C$7,BD!$A$3:$A$5001,"&lt;="&amp;$B230,BD!$N$3:$N$5001,"&lt;&gt;")=0,"",SUMIFS(BD!$N$3:$N$5001,BD!$B$3:$B$5001,J$219,BD!$A$3:$A$5001,_xlfn.MAXIFS(BD!$A$3:$A$5001,BD!$B$3:$B$5001,J$219,BD!$A$3:$A$5001,"&gt;="&amp;$C$7,BD!$A$3:$A$5001,"&lt;="&amp;$B230,BD!$N$3:$N$5001,"&lt;&gt;"))))</f>
        <v/>
      </c>
      <c r="K230" s="43" t="str">
        <f>IF(OR($B230="",$A230&gt;$B$9,K$219=""),"",IF(COUNTIFS(BD!$B$3:$B$5001,K$219,BD!$A$3:$A$5001,"&gt;="&amp;$C$7,BD!$A$3:$A$5001,"&lt;="&amp;$B230,BD!$N$3:$N$5001,"&lt;&gt;")=0,"",SUMIFS(BD!$N$3:$N$5001,BD!$B$3:$B$5001,K$219,BD!$A$3:$A$5001,_xlfn.MAXIFS(BD!$A$3:$A$5001,BD!$B$3:$B$5001,K$219,BD!$A$3:$A$5001,"&gt;="&amp;$C$7,BD!$A$3:$A$5001,"&lt;="&amp;$B230,BD!$N$3:$N$5001,"&lt;&gt;"))))</f>
        <v/>
      </c>
      <c r="L230" s="43" t="str">
        <f>IF(OR($B230="",$A230&gt;$B$9,L$219=""),"",IF(COUNTIFS(BD!$B$3:$B$5001,L$219,BD!$A$3:$A$5001,"&gt;="&amp;$C$7,BD!$A$3:$A$5001,"&lt;="&amp;$B230,BD!$N$3:$N$5001,"&lt;&gt;")=0,"",SUMIFS(BD!$N$3:$N$5001,BD!$B$3:$B$5001,L$219,BD!$A$3:$A$5001,_xlfn.MAXIFS(BD!$A$3:$A$5001,BD!$B$3:$B$5001,L$219,BD!$A$3:$A$5001,"&gt;="&amp;$C$7,BD!$A$3:$A$5001,"&lt;="&amp;$B230,BD!$N$3:$N$5001,"&lt;&gt;"))))</f>
        <v/>
      </c>
      <c r="M230" s="43" t="str">
        <f>IF(OR($B230="",$A230&gt;$B$9,M$219=""),"",IF(COUNTIFS(BD!$B$3:$B$5001,M$219,BD!$A$3:$A$5001,"&gt;="&amp;$C$7,BD!$A$3:$A$5001,"&lt;="&amp;$B230,BD!$N$3:$N$5001,"&lt;&gt;")=0,"",SUMIFS(BD!$N$3:$N$5001,BD!$B$3:$B$5001,M$219,BD!$A$3:$A$5001,_xlfn.MAXIFS(BD!$A$3:$A$5001,BD!$B$3:$B$5001,M$219,BD!$A$3:$A$5001,"&gt;="&amp;$C$7,BD!$A$3:$A$5001,"&lt;="&amp;$B230,BD!$N$3:$N$5001,"&lt;&gt;"))))</f>
        <v/>
      </c>
      <c r="N230" s="43" t="str">
        <f>IF(OR($B230="",$A230&gt;$B$9,N$219=""),"",IF(COUNTIFS(BD!$B$3:$B$5001,N$219,BD!$A$3:$A$5001,"&gt;="&amp;$C$7,BD!$A$3:$A$5001,"&lt;="&amp;$B230,BD!$N$3:$N$5001,"&lt;&gt;")=0,"",SUMIFS(BD!$N$3:$N$5001,BD!$B$3:$B$5001,N$219,BD!$A$3:$A$5001,_xlfn.MAXIFS(BD!$A$3:$A$5001,BD!$B$3:$B$5001,N$219,BD!$A$3:$A$5001,"&gt;="&amp;$C$7,BD!$A$3:$A$5001,"&lt;="&amp;$B230,BD!$N$3:$N$5001,"&lt;&gt;"))))</f>
        <v/>
      </c>
      <c r="O230" s="43" t="str">
        <f>IF(OR($B230="",$A230&gt;$B$9,O$219=""),"",IF(COUNTIFS(BD!$B$3:$B$5001,O$219,BD!$A$3:$A$5001,"&gt;="&amp;$C$7,BD!$A$3:$A$5001,"&lt;="&amp;$B230,BD!$N$3:$N$5001,"&lt;&gt;")=0,"",SUMIFS(BD!$N$3:$N$5001,BD!$B$3:$B$5001,O$219,BD!$A$3:$A$5001,_xlfn.MAXIFS(BD!$A$3:$A$5001,BD!$B$3:$B$5001,O$219,BD!$A$3:$A$5001,"&gt;="&amp;$C$7,BD!$A$3:$A$5001,"&lt;="&amp;$B230,BD!$N$3:$N$5001,"&lt;&gt;"))))</f>
        <v/>
      </c>
      <c r="P230" s="43" t="str">
        <f>IF(OR($B230="",$A230&gt;$B$9,P$219=""),"",IF(COUNTIFS(BD!$B$3:$B$5001,P$219,BD!$A$3:$A$5001,"&gt;="&amp;$C$7,BD!$A$3:$A$5001,"&lt;="&amp;$B230,BD!$N$3:$N$5001,"&lt;&gt;")=0,"",SUMIFS(BD!$N$3:$N$5001,BD!$B$3:$B$5001,P$219,BD!$A$3:$A$5001,_xlfn.MAXIFS(BD!$A$3:$A$5001,BD!$B$3:$B$5001,P$219,BD!$A$3:$A$5001,"&gt;="&amp;$C$7,BD!$A$3:$A$5001,"&lt;="&amp;$B230,BD!$N$3:$N$5001,"&lt;&gt;"))))</f>
        <v/>
      </c>
      <c r="Q230" s="43" t="str">
        <f>IF(OR($B230="",$A230&gt;$B$9,Q$219=""),"",IF(COUNTIFS(BD!$B$3:$B$5001,Q$219,BD!$A$3:$A$5001,"&gt;="&amp;$C$7,BD!$A$3:$A$5001,"&lt;="&amp;$B230,BD!$N$3:$N$5001,"&lt;&gt;")=0,"",SUMIFS(BD!$N$3:$N$5001,BD!$B$3:$B$5001,Q$219,BD!$A$3:$A$5001,_xlfn.MAXIFS(BD!$A$3:$A$5001,BD!$B$3:$B$5001,Q$219,BD!$A$3:$A$5001,"&gt;="&amp;$C$7,BD!$A$3:$A$5001,"&lt;="&amp;$B230,BD!$N$3:$N$5001,"&lt;&gt;"))))</f>
        <v/>
      </c>
      <c r="R230" s="43" t="str">
        <f>IF(OR($B230="",$A230&gt;$B$9,R$219=""),"",IF(COUNTIFS(BD!$B$3:$B$5001,R$219,BD!$A$3:$A$5001,"&gt;="&amp;$C$7,BD!$A$3:$A$5001,"&lt;="&amp;$B230,BD!$N$3:$N$5001,"&lt;&gt;")=0,"",SUMIFS(BD!$N$3:$N$5001,BD!$B$3:$B$5001,R$219,BD!$A$3:$A$5001,_xlfn.MAXIFS(BD!$A$3:$A$5001,BD!$B$3:$B$5001,R$219,BD!$A$3:$A$5001,"&gt;="&amp;$C$7,BD!$A$3:$A$5001,"&lt;="&amp;$B230,BD!$N$3:$N$5001,"&lt;&gt;"))))</f>
        <v/>
      </c>
      <c r="S230" s="43" t="str">
        <f>IF(OR($B230="",$A230&gt;$B$9,S$219=""),"",IF(COUNTIFS(BD!$B$3:$B$5001,S$219,BD!$A$3:$A$5001,"&gt;="&amp;$C$7,BD!$A$3:$A$5001,"&lt;="&amp;$B230,BD!$N$3:$N$5001,"&lt;&gt;")=0,"",SUMIFS(BD!$N$3:$N$5001,BD!$B$3:$B$5001,S$219,BD!$A$3:$A$5001,_xlfn.MAXIFS(BD!$A$3:$A$5001,BD!$B$3:$B$5001,S$219,BD!$A$3:$A$5001,"&gt;="&amp;$C$7,BD!$A$3:$A$5001,"&lt;="&amp;$B230,BD!$N$3:$N$5001,"&lt;&gt;"))))</f>
        <v/>
      </c>
      <c r="T230" s="43" t="str">
        <f>IF(OR($B230="",$A230&gt;$B$9,T$219=""),"",IF(COUNTIFS(BD!$B$3:$B$5001,T$219,BD!$A$3:$A$5001,"&gt;="&amp;$C$7,BD!$A$3:$A$5001,"&lt;="&amp;$B230,BD!$N$3:$N$5001,"&lt;&gt;")=0,"",SUMIFS(BD!$N$3:$N$5001,BD!$B$3:$B$5001,T$219,BD!$A$3:$A$5001,_xlfn.MAXIFS(BD!$A$3:$A$5001,BD!$B$3:$B$5001,T$219,BD!$A$3:$A$5001,"&gt;="&amp;$C$7,BD!$A$3:$A$5001,"&lt;="&amp;$B230,BD!$N$3:$N$5001,"&lt;&gt;"))))</f>
        <v/>
      </c>
      <c r="U230" s="43" t="str">
        <f>IF(OR($B230="",$A230&gt;$B$9,U$219=""),"",IF(COUNTIFS(BD!$B$3:$B$5001,U$219,BD!$A$3:$A$5001,"&gt;="&amp;$C$7,BD!$A$3:$A$5001,"&lt;="&amp;$B230,BD!$N$3:$N$5001,"&lt;&gt;")=0,"",SUMIFS(BD!$N$3:$N$5001,BD!$B$3:$B$5001,U$219,BD!$A$3:$A$5001,_xlfn.MAXIFS(BD!$A$3:$A$5001,BD!$B$3:$B$5001,U$219,BD!$A$3:$A$5001,"&gt;="&amp;$C$7,BD!$A$3:$A$5001,"&lt;="&amp;$B230,BD!$N$3:$N$5001,"&lt;&gt;"))))</f>
        <v/>
      </c>
      <c r="V230" s="43" t="str">
        <f>IF(OR($B230="",$A230&gt;$B$9,V$219=""),"",IF(COUNTIFS(BD!$B$3:$B$5001,V$219,BD!$A$3:$A$5001,"&gt;="&amp;$C$7,BD!$A$3:$A$5001,"&lt;="&amp;$B230,BD!$N$3:$N$5001,"&lt;&gt;")=0,"",SUMIFS(BD!$N$3:$N$5001,BD!$B$3:$B$5001,V$219,BD!$A$3:$A$5001,_xlfn.MAXIFS(BD!$A$3:$A$5001,BD!$B$3:$B$5001,V$219,BD!$A$3:$A$5001,"&gt;="&amp;$C$7,BD!$A$3:$A$5001,"&lt;="&amp;$B230,BD!$N$3:$N$5001,"&lt;&gt;"))))</f>
        <v/>
      </c>
    </row>
    <row r="231">
      <c r="A231" s="38">
        <v>12</v>
      </c>
      <c r="B231" s="42">
        <f>$B$23</f>
        <v>46307</v>
      </c>
      <c r="C231" s="43" t="str">
        <f>IF(OR($B231="",$A231&gt;$B$9,C$219=""),"",IF(COUNTIFS(BD!$B$3:$B$5001,C$219,BD!$A$3:$A$5001,"&gt;="&amp;$C$7,BD!$A$3:$A$5001,"&lt;="&amp;$B231,BD!$N$3:$N$5001,"&lt;&gt;")=0,"",SUMIFS(BD!$N$3:$N$5001,BD!$B$3:$B$5001,C$219,BD!$A$3:$A$5001,_xlfn.MAXIFS(BD!$A$3:$A$5001,BD!$B$3:$B$5001,C$219,BD!$A$3:$A$5001,"&gt;="&amp;$C$7,BD!$A$3:$A$5001,"&lt;="&amp;$B231,BD!$N$3:$N$5001,"&lt;&gt;"))))</f>
        <v/>
      </c>
      <c r="D231" s="43" t="str">
        <f>IF(OR($B231="",$A231&gt;$B$9,D$219=""),"",IF(COUNTIFS(BD!$B$3:$B$5001,D$219,BD!$A$3:$A$5001,"&gt;="&amp;$C$7,BD!$A$3:$A$5001,"&lt;="&amp;$B231,BD!$N$3:$N$5001,"&lt;&gt;")=0,"",SUMIFS(BD!$N$3:$N$5001,BD!$B$3:$B$5001,D$219,BD!$A$3:$A$5001,_xlfn.MAXIFS(BD!$A$3:$A$5001,BD!$B$3:$B$5001,D$219,BD!$A$3:$A$5001,"&gt;="&amp;$C$7,BD!$A$3:$A$5001,"&lt;="&amp;$B231,BD!$N$3:$N$5001,"&lt;&gt;"))))</f>
        <v/>
      </c>
      <c r="E231" s="43" t="str">
        <f>IF(OR($B231="",$A231&gt;$B$9,E$219=""),"",IF(COUNTIFS(BD!$B$3:$B$5001,E$219,BD!$A$3:$A$5001,"&gt;="&amp;$C$7,BD!$A$3:$A$5001,"&lt;="&amp;$B231,BD!$N$3:$N$5001,"&lt;&gt;")=0,"",SUMIFS(BD!$N$3:$N$5001,BD!$B$3:$B$5001,E$219,BD!$A$3:$A$5001,_xlfn.MAXIFS(BD!$A$3:$A$5001,BD!$B$3:$B$5001,E$219,BD!$A$3:$A$5001,"&gt;="&amp;$C$7,BD!$A$3:$A$5001,"&lt;="&amp;$B231,BD!$N$3:$N$5001,"&lt;&gt;"))))</f>
        <v/>
      </c>
      <c r="F231" s="43" t="str">
        <f>IF(OR($B231="",$A231&gt;$B$9,F$219=""),"",IF(COUNTIFS(BD!$B$3:$B$5001,F$219,BD!$A$3:$A$5001,"&gt;="&amp;$C$7,BD!$A$3:$A$5001,"&lt;="&amp;$B231,BD!$N$3:$N$5001,"&lt;&gt;")=0,"",SUMIFS(BD!$N$3:$N$5001,BD!$B$3:$B$5001,F$219,BD!$A$3:$A$5001,_xlfn.MAXIFS(BD!$A$3:$A$5001,BD!$B$3:$B$5001,F$219,BD!$A$3:$A$5001,"&gt;="&amp;$C$7,BD!$A$3:$A$5001,"&lt;="&amp;$B231,BD!$N$3:$N$5001,"&lt;&gt;"))))</f>
        <v/>
      </c>
      <c r="G231" s="43" t="str">
        <f>IF(OR($B231="",$A231&gt;$B$9,G$219=""),"",IF(COUNTIFS(BD!$B$3:$B$5001,G$219,BD!$A$3:$A$5001,"&gt;="&amp;$C$7,BD!$A$3:$A$5001,"&lt;="&amp;$B231,BD!$N$3:$N$5001,"&lt;&gt;")=0,"",SUMIFS(BD!$N$3:$N$5001,BD!$B$3:$B$5001,G$219,BD!$A$3:$A$5001,_xlfn.MAXIFS(BD!$A$3:$A$5001,BD!$B$3:$B$5001,G$219,BD!$A$3:$A$5001,"&gt;="&amp;$C$7,BD!$A$3:$A$5001,"&lt;="&amp;$B231,BD!$N$3:$N$5001,"&lt;&gt;"))))</f>
        <v/>
      </c>
      <c r="H231" s="43" t="str">
        <f>IF(OR($B231="",$A231&gt;$B$9,H$219=""),"",IF(COUNTIFS(BD!$B$3:$B$5001,H$219,BD!$A$3:$A$5001,"&gt;="&amp;$C$7,BD!$A$3:$A$5001,"&lt;="&amp;$B231,BD!$N$3:$N$5001,"&lt;&gt;")=0,"",SUMIFS(BD!$N$3:$N$5001,BD!$B$3:$B$5001,H$219,BD!$A$3:$A$5001,_xlfn.MAXIFS(BD!$A$3:$A$5001,BD!$B$3:$B$5001,H$219,BD!$A$3:$A$5001,"&gt;="&amp;$C$7,BD!$A$3:$A$5001,"&lt;="&amp;$B231,BD!$N$3:$N$5001,"&lt;&gt;"))))</f>
        <v/>
      </c>
      <c r="I231" s="43" t="str">
        <f>IF(OR($B231="",$A231&gt;$B$9,I$219=""),"",IF(COUNTIFS(BD!$B$3:$B$5001,I$219,BD!$A$3:$A$5001,"&gt;="&amp;$C$7,BD!$A$3:$A$5001,"&lt;="&amp;$B231,BD!$N$3:$N$5001,"&lt;&gt;")=0,"",SUMIFS(BD!$N$3:$N$5001,BD!$B$3:$B$5001,I$219,BD!$A$3:$A$5001,_xlfn.MAXIFS(BD!$A$3:$A$5001,BD!$B$3:$B$5001,I$219,BD!$A$3:$A$5001,"&gt;="&amp;$C$7,BD!$A$3:$A$5001,"&lt;="&amp;$B231,BD!$N$3:$N$5001,"&lt;&gt;"))))</f>
        <v/>
      </c>
      <c r="J231" s="43" t="str">
        <f>IF(OR($B231="",$A231&gt;$B$9,J$219=""),"",IF(COUNTIFS(BD!$B$3:$B$5001,J$219,BD!$A$3:$A$5001,"&gt;="&amp;$C$7,BD!$A$3:$A$5001,"&lt;="&amp;$B231,BD!$N$3:$N$5001,"&lt;&gt;")=0,"",SUMIFS(BD!$N$3:$N$5001,BD!$B$3:$B$5001,J$219,BD!$A$3:$A$5001,_xlfn.MAXIFS(BD!$A$3:$A$5001,BD!$B$3:$B$5001,J$219,BD!$A$3:$A$5001,"&gt;="&amp;$C$7,BD!$A$3:$A$5001,"&lt;="&amp;$B231,BD!$N$3:$N$5001,"&lt;&gt;"))))</f>
        <v/>
      </c>
      <c r="K231" s="43" t="str">
        <f>IF(OR($B231="",$A231&gt;$B$9,K$219=""),"",IF(COUNTIFS(BD!$B$3:$B$5001,K$219,BD!$A$3:$A$5001,"&gt;="&amp;$C$7,BD!$A$3:$A$5001,"&lt;="&amp;$B231,BD!$N$3:$N$5001,"&lt;&gt;")=0,"",SUMIFS(BD!$N$3:$N$5001,BD!$B$3:$B$5001,K$219,BD!$A$3:$A$5001,_xlfn.MAXIFS(BD!$A$3:$A$5001,BD!$B$3:$B$5001,K$219,BD!$A$3:$A$5001,"&gt;="&amp;$C$7,BD!$A$3:$A$5001,"&lt;="&amp;$B231,BD!$N$3:$N$5001,"&lt;&gt;"))))</f>
        <v/>
      </c>
      <c r="L231" s="43" t="str">
        <f>IF(OR($B231="",$A231&gt;$B$9,L$219=""),"",IF(COUNTIFS(BD!$B$3:$B$5001,L$219,BD!$A$3:$A$5001,"&gt;="&amp;$C$7,BD!$A$3:$A$5001,"&lt;="&amp;$B231,BD!$N$3:$N$5001,"&lt;&gt;")=0,"",SUMIFS(BD!$N$3:$N$5001,BD!$B$3:$B$5001,L$219,BD!$A$3:$A$5001,_xlfn.MAXIFS(BD!$A$3:$A$5001,BD!$B$3:$B$5001,L$219,BD!$A$3:$A$5001,"&gt;="&amp;$C$7,BD!$A$3:$A$5001,"&lt;="&amp;$B231,BD!$N$3:$N$5001,"&lt;&gt;"))))</f>
        <v/>
      </c>
      <c r="M231" s="43" t="str">
        <f>IF(OR($B231="",$A231&gt;$B$9,M$219=""),"",IF(COUNTIFS(BD!$B$3:$B$5001,M$219,BD!$A$3:$A$5001,"&gt;="&amp;$C$7,BD!$A$3:$A$5001,"&lt;="&amp;$B231,BD!$N$3:$N$5001,"&lt;&gt;")=0,"",SUMIFS(BD!$N$3:$N$5001,BD!$B$3:$B$5001,M$219,BD!$A$3:$A$5001,_xlfn.MAXIFS(BD!$A$3:$A$5001,BD!$B$3:$B$5001,M$219,BD!$A$3:$A$5001,"&gt;="&amp;$C$7,BD!$A$3:$A$5001,"&lt;="&amp;$B231,BD!$N$3:$N$5001,"&lt;&gt;"))))</f>
        <v/>
      </c>
      <c r="N231" s="43" t="str">
        <f>IF(OR($B231="",$A231&gt;$B$9,N$219=""),"",IF(COUNTIFS(BD!$B$3:$B$5001,N$219,BD!$A$3:$A$5001,"&gt;="&amp;$C$7,BD!$A$3:$A$5001,"&lt;="&amp;$B231,BD!$N$3:$N$5001,"&lt;&gt;")=0,"",SUMIFS(BD!$N$3:$N$5001,BD!$B$3:$B$5001,N$219,BD!$A$3:$A$5001,_xlfn.MAXIFS(BD!$A$3:$A$5001,BD!$B$3:$B$5001,N$219,BD!$A$3:$A$5001,"&gt;="&amp;$C$7,BD!$A$3:$A$5001,"&lt;="&amp;$B231,BD!$N$3:$N$5001,"&lt;&gt;"))))</f>
        <v/>
      </c>
      <c r="O231" s="43" t="str">
        <f>IF(OR($B231="",$A231&gt;$B$9,O$219=""),"",IF(COUNTIFS(BD!$B$3:$B$5001,O$219,BD!$A$3:$A$5001,"&gt;="&amp;$C$7,BD!$A$3:$A$5001,"&lt;="&amp;$B231,BD!$N$3:$N$5001,"&lt;&gt;")=0,"",SUMIFS(BD!$N$3:$N$5001,BD!$B$3:$B$5001,O$219,BD!$A$3:$A$5001,_xlfn.MAXIFS(BD!$A$3:$A$5001,BD!$B$3:$B$5001,O$219,BD!$A$3:$A$5001,"&gt;="&amp;$C$7,BD!$A$3:$A$5001,"&lt;="&amp;$B231,BD!$N$3:$N$5001,"&lt;&gt;"))))</f>
        <v/>
      </c>
      <c r="P231" s="43" t="str">
        <f>IF(OR($B231="",$A231&gt;$B$9,P$219=""),"",IF(COUNTIFS(BD!$B$3:$B$5001,P$219,BD!$A$3:$A$5001,"&gt;="&amp;$C$7,BD!$A$3:$A$5001,"&lt;="&amp;$B231,BD!$N$3:$N$5001,"&lt;&gt;")=0,"",SUMIFS(BD!$N$3:$N$5001,BD!$B$3:$B$5001,P$219,BD!$A$3:$A$5001,_xlfn.MAXIFS(BD!$A$3:$A$5001,BD!$B$3:$B$5001,P$219,BD!$A$3:$A$5001,"&gt;="&amp;$C$7,BD!$A$3:$A$5001,"&lt;="&amp;$B231,BD!$N$3:$N$5001,"&lt;&gt;"))))</f>
        <v/>
      </c>
      <c r="Q231" s="43" t="str">
        <f>IF(OR($B231="",$A231&gt;$B$9,Q$219=""),"",IF(COUNTIFS(BD!$B$3:$B$5001,Q$219,BD!$A$3:$A$5001,"&gt;="&amp;$C$7,BD!$A$3:$A$5001,"&lt;="&amp;$B231,BD!$N$3:$N$5001,"&lt;&gt;")=0,"",SUMIFS(BD!$N$3:$N$5001,BD!$B$3:$B$5001,Q$219,BD!$A$3:$A$5001,_xlfn.MAXIFS(BD!$A$3:$A$5001,BD!$B$3:$B$5001,Q$219,BD!$A$3:$A$5001,"&gt;="&amp;$C$7,BD!$A$3:$A$5001,"&lt;="&amp;$B231,BD!$N$3:$N$5001,"&lt;&gt;"))))</f>
        <v/>
      </c>
      <c r="R231" s="43" t="str">
        <f>IF(OR($B231="",$A231&gt;$B$9,R$219=""),"",IF(COUNTIFS(BD!$B$3:$B$5001,R$219,BD!$A$3:$A$5001,"&gt;="&amp;$C$7,BD!$A$3:$A$5001,"&lt;="&amp;$B231,BD!$N$3:$N$5001,"&lt;&gt;")=0,"",SUMIFS(BD!$N$3:$N$5001,BD!$B$3:$B$5001,R$219,BD!$A$3:$A$5001,_xlfn.MAXIFS(BD!$A$3:$A$5001,BD!$B$3:$B$5001,R$219,BD!$A$3:$A$5001,"&gt;="&amp;$C$7,BD!$A$3:$A$5001,"&lt;="&amp;$B231,BD!$N$3:$N$5001,"&lt;&gt;"))))</f>
        <v/>
      </c>
      <c r="S231" s="43" t="str">
        <f>IF(OR($B231="",$A231&gt;$B$9,S$219=""),"",IF(COUNTIFS(BD!$B$3:$B$5001,S$219,BD!$A$3:$A$5001,"&gt;="&amp;$C$7,BD!$A$3:$A$5001,"&lt;="&amp;$B231,BD!$N$3:$N$5001,"&lt;&gt;")=0,"",SUMIFS(BD!$N$3:$N$5001,BD!$B$3:$B$5001,S$219,BD!$A$3:$A$5001,_xlfn.MAXIFS(BD!$A$3:$A$5001,BD!$B$3:$B$5001,S$219,BD!$A$3:$A$5001,"&gt;="&amp;$C$7,BD!$A$3:$A$5001,"&lt;="&amp;$B231,BD!$N$3:$N$5001,"&lt;&gt;"))))</f>
        <v/>
      </c>
      <c r="T231" s="43" t="str">
        <f>IF(OR($B231="",$A231&gt;$B$9,T$219=""),"",IF(COUNTIFS(BD!$B$3:$B$5001,T$219,BD!$A$3:$A$5001,"&gt;="&amp;$C$7,BD!$A$3:$A$5001,"&lt;="&amp;$B231,BD!$N$3:$N$5001,"&lt;&gt;")=0,"",SUMIFS(BD!$N$3:$N$5001,BD!$B$3:$B$5001,T$219,BD!$A$3:$A$5001,_xlfn.MAXIFS(BD!$A$3:$A$5001,BD!$B$3:$B$5001,T$219,BD!$A$3:$A$5001,"&gt;="&amp;$C$7,BD!$A$3:$A$5001,"&lt;="&amp;$B231,BD!$N$3:$N$5001,"&lt;&gt;"))))</f>
        <v/>
      </c>
      <c r="U231" s="43" t="str">
        <f>IF(OR($B231="",$A231&gt;$B$9,U$219=""),"",IF(COUNTIFS(BD!$B$3:$B$5001,U$219,BD!$A$3:$A$5001,"&gt;="&amp;$C$7,BD!$A$3:$A$5001,"&lt;="&amp;$B231,BD!$N$3:$N$5001,"&lt;&gt;")=0,"",SUMIFS(BD!$N$3:$N$5001,BD!$B$3:$B$5001,U$219,BD!$A$3:$A$5001,_xlfn.MAXIFS(BD!$A$3:$A$5001,BD!$B$3:$B$5001,U$219,BD!$A$3:$A$5001,"&gt;="&amp;$C$7,BD!$A$3:$A$5001,"&lt;="&amp;$B231,BD!$N$3:$N$5001,"&lt;&gt;"))))</f>
        <v/>
      </c>
      <c r="V231" s="43" t="str">
        <f>IF(OR($B231="",$A231&gt;$B$9,V$219=""),"",IF(COUNTIFS(BD!$B$3:$B$5001,V$219,BD!$A$3:$A$5001,"&gt;="&amp;$C$7,BD!$A$3:$A$5001,"&lt;="&amp;$B231,BD!$N$3:$N$5001,"&lt;&gt;")=0,"",SUMIFS(BD!$N$3:$N$5001,BD!$B$3:$B$5001,V$219,BD!$A$3:$A$5001,_xlfn.MAXIFS(BD!$A$3:$A$5001,BD!$B$3:$B$5001,V$219,BD!$A$3:$A$5001,"&gt;="&amp;$C$7,BD!$A$3:$A$5001,"&lt;="&amp;$B231,BD!$N$3:$N$5001,"&lt;&gt;"))))</f>
        <v/>
      </c>
    </row>
    <row r="232">
      <c r="A232" s="38">
        <v>13</v>
      </c>
      <c r="B232" s="42">
        <f>$B$24</f>
        <v>46308</v>
      </c>
      <c r="C232" s="43" t="str">
        <f>IF(OR($B232="",$A232&gt;$B$9,C$219=""),"",IF(COUNTIFS(BD!$B$3:$B$5001,C$219,BD!$A$3:$A$5001,"&gt;="&amp;$C$7,BD!$A$3:$A$5001,"&lt;="&amp;$B232,BD!$N$3:$N$5001,"&lt;&gt;")=0,"",SUMIFS(BD!$N$3:$N$5001,BD!$B$3:$B$5001,C$219,BD!$A$3:$A$5001,_xlfn.MAXIFS(BD!$A$3:$A$5001,BD!$B$3:$B$5001,C$219,BD!$A$3:$A$5001,"&gt;="&amp;$C$7,BD!$A$3:$A$5001,"&lt;="&amp;$B232,BD!$N$3:$N$5001,"&lt;&gt;"))))</f>
        <v/>
      </c>
      <c r="D232" s="43" t="str">
        <f>IF(OR($B232="",$A232&gt;$B$9,D$219=""),"",IF(COUNTIFS(BD!$B$3:$B$5001,D$219,BD!$A$3:$A$5001,"&gt;="&amp;$C$7,BD!$A$3:$A$5001,"&lt;="&amp;$B232,BD!$N$3:$N$5001,"&lt;&gt;")=0,"",SUMIFS(BD!$N$3:$N$5001,BD!$B$3:$B$5001,D$219,BD!$A$3:$A$5001,_xlfn.MAXIFS(BD!$A$3:$A$5001,BD!$B$3:$B$5001,D$219,BD!$A$3:$A$5001,"&gt;="&amp;$C$7,BD!$A$3:$A$5001,"&lt;="&amp;$B232,BD!$N$3:$N$5001,"&lt;&gt;"))))</f>
        <v/>
      </c>
      <c r="E232" s="43" t="str">
        <f>IF(OR($B232="",$A232&gt;$B$9,E$219=""),"",IF(COUNTIFS(BD!$B$3:$B$5001,E$219,BD!$A$3:$A$5001,"&gt;="&amp;$C$7,BD!$A$3:$A$5001,"&lt;="&amp;$B232,BD!$N$3:$N$5001,"&lt;&gt;")=0,"",SUMIFS(BD!$N$3:$N$5001,BD!$B$3:$B$5001,E$219,BD!$A$3:$A$5001,_xlfn.MAXIFS(BD!$A$3:$A$5001,BD!$B$3:$B$5001,E$219,BD!$A$3:$A$5001,"&gt;="&amp;$C$7,BD!$A$3:$A$5001,"&lt;="&amp;$B232,BD!$N$3:$N$5001,"&lt;&gt;"))))</f>
        <v/>
      </c>
      <c r="F232" s="43" t="str">
        <f>IF(OR($B232="",$A232&gt;$B$9,F$219=""),"",IF(COUNTIFS(BD!$B$3:$B$5001,F$219,BD!$A$3:$A$5001,"&gt;="&amp;$C$7,BD!$A$3:$A$5001,"&lt;="&amp;$B232,BD!$N$3:$N$5001,"&lt;&gt;")=0,"",SUMIFS(BD!$N$3:$N$5001,BD!$B$3:$B$5001,F$219,BD!$A$3:$A$5001,_xlfn.MAXIFS(BD!$A$3:$A$5001,BD!$B$3:$B$5001,F$219,BD!$A$3:$A$5001,"&gt;="&amp;$C$7,BD!$A$3:$A$5001,"&lt;="&amp;$B232,BD!$N$3:$N$5001,"&lt;&gt;"))))</f>
        <v/>
      </c>
      <c r="G232" s="43" t="str">
        <f>IF(OR($B232="",$A232&gt;$B$9,G$219=""),"",IF(COUNTIFS(BD!$B$3:$B$5001,G$219,BD!$A$3:$A$5001,"&gt;="&amp;$C$7,BD!$A$3:$A$5001,"&lt;="&amp;$B232,BD!$N$3:$N$5001,"&lt;&gt;")=0,"",SUMIFS(BD!$N$3:$N$5001,BD!$B$3:$B$5001,G$219,BD!$A$3:$A$5001,_xlfn.MAXIFS(BD!$A$3:$A$5001,BD!$B$3:$B$5001,G$219,BD!$A$3:$A$5001,"&gt;="&amp;$C$7,BD!$A$3:$A$5001,"&lt;="&amp;$B232,BD!$N$3:$N$5001,"&lt;&gt;"))))</f>
        <v/>
      </c>
      <c r="H232" s="43" t="str">
        <f>IF(OR($B232="",$A232&gt;$B$9,H$219=""),"",IF(COUNTIFS(BD!$B$3:$B$5001,H$219,BD!$A$3:$A$5001,"&gt;="&amp;$C$7,BD!$A$3:$A$5001,"&lt;="&amp;$B232,BD!$N$3:$N$5001,"&lt;&gt;")=0,"",SUMIFS(BD!$N$3:$N$5001,BD!$B$3:$B$5001,H$219,BD!$A$3:$A$5001,_xlfn.MAXIFS(BD!$A$3:$A$5001,BD!$B$3:$B$5001,H$219,BD!$A$3:$A$5001,"&gt;="&amp;$C$7,BD!$A$3:$A$5001,"&lt;="&amp;$B232,BD!$N$3:$N$5001,"&lt;&gt;"))))</f>
        <v/>
      </c>
      <c r="I232" s="43" t="str">
        <f>IF(OR($B232="",$A232&gt;$B$9,I$219=""),"",IF(COUNTIFS(BD!$B$3:$B$5001,I$219,BD!$A$3:$A$5001,"&gt;="&amp;$C$7,BD!$A$3:$A$5001,"&lt;="&amp;$B232,BD!$N$3:$N$5001,"&lt;&gt;")=0,"",SUMIFS(BD!$N$3:$N$5001,BD!$B$3:$B$5001,I$219,BD!$A$3:$A$5001,_xlfn.MAXIFS(BD!$A$3:$A$5001,BD!$B$3:$B$5001,I$219,BD!$A$3:$A$5001,"&gt;="&amp;$C$7,BD!$A$3:$A$5001,"&lt;="&amp;$B232,BD!$N$3:$N$5001,"&lt;&gt;"))))</f>
        <v/>
      </c>
      <c r="J232" s="43" t="str">
        <f>IF(OR($B232="",$A232&gt;$B$9,J$219=""),"",IF(COUNTIFS(BD!$B$3:$B$5001,J$219,BD!$A$3:$A$5001,"&gt;="&amp;$C$7,BD!$A$3:$A$5001,"&lt;="&amp;$B232,BD!$N$3:$N$5001,"&lt;&gt;")=0,"",SUMIFS(BD!$N$3:$N$5001,BD!$B$3:$B$5001,J$219,BD!$A$3:$A$5001,_xlfn.MAXIFS(BD!$A$3:$A$5001,BD!$B$3:$B$5001,J$219,BD!$A$3:$A$5001,"&gt;="&amp;$C$7,BD!$A$3:$A$5001,"&lt;="&amp;$B232,BD!$N$3:$N$5001,"&lt;&gt;"))))</f>
        <v/>
      </c>
      <c r="K232" s="43" t="str">
        <f>IF(OR($B232="",$A232&gt;$B$9,K$219=""),"",IF(COUNTIFS(BD!$B$3:$B$5001,K$219,BD!$A$3:$A$5001,"&gt;="&amp;$C$7,BD!$A$3:$A$5001,"&lt;="&amp;$B232,BD!$N$3:$N$5001,"&lt;&gt;")=0,"",SUMIFS(BD!$N$3:$N$5001,BD!$B$3:$B$5001,K$219,BD!$A$3:$A$5001,_xlfn.MAXIFS(BD!$A$3:$A$5001,BD!$B$3:$B$5001,K$219,BD!$A$3:$A$5001,"&gt;="&amp;$C$7,BD!$A$3:$A$5001,"&lt;="&amp;$B232,BD!$N$3:$N$5001,"&lt;&gt;"))))</f>
        <v/>
      </c>
      <c r="L232" s="43" t="str">
        <f>IF(OR($B232="",$A232&gt;$B$9,L$219=""),"",IF(COUNTIFS(BD!$B$3:$B$5001,L$219,BD!$A$3:$A$5001,"&gt;="&amp;$C$7,BD!$A$3:$A$5001,"&lt;="&amp;$B232,BD!$N$3:$N$5001,"&lt;&gt;")=0,"",SUMIFS(BD!$N$3:$N$5001,BD!$B$3:$B$5001,L$219,BD!$A$3:$A$5001,_xlfn.MAXIFS(BD!$A$3:$A$5001,BD!$B$3:$B$5001,L$219,BD!$A$3:$A$5001,"&gt;="&amp;$C$7,BD!$A$3:$A$5001,"&lt;="&amp;$B232,BD!$N$3:$N$5001,"&lt;&gt;"))))</f>
        <v/>
      </c>
      <c r="M232" s="43" t="str">
        <f>IF(OR($B232="",$A232&gt;$B$9,M$219=""),"",IF(COUNTIFS(BD!$B$3:$B$5001,M$219,BD!$A$3:$A$5001,"&gt;="&amp;$C$7,BD!$A$3:$A$5001,"&lt;="&amp;$B232,BD!$N$3:$N$5001,"&lt;&gt;")=0,"",SUMIFS(BD!$N$3:$N$5001,BD!$B$3:$B$5001,M$219,BD!$A$3:$A$5001,_xlfn.MAXIFS(BD!$A$3:$A$5001,BD!$B$3:$B$5001,M$219,BD!$A$3:$A$5001,"&gt;="&amp;$C$7,BD!$A$3:$A$5001,"&lt;="&amp;$B232,BD!$N$3:$N$5001,"&lt;&gt;"))))</f>
        <v/>
      </c>
      <c r="N232" s="43" t="str">
        <f>IF(OR($B232="",$A232&gt;$B$9,N$219=""),"",IF(COUNTIFS(BD!$B$3:$B$5001,N$219,BD!$A$3:$A$5001,"&gt;="&amp;$C$7,BD!$A$3:$A$5001,"&lt;="&amp;$B232,BD!$N$3:$N$5001,"&lt;&gt;")=0,"",SUMIFS(BD!$N$3:$N$5001,BD!$B$3:$B$5001,N$219,BD!$A$3:$A$5001,_xlfn.MAXIFS(BD!$A$3:$A$5001,BD!$B$3:$B$5001,N$219,BD!$A$3:$A$5001,"&gt;="&amp;$C$7,BD!$A$3:$A$5001,"&lt;="&amp;$B232,BD!$N$3:$N$5001,"&lt;&gt;"))))</f>
        <v/>
      </c>
      <c r="O232" s="43" t="str">
        <f>IF(OR($B232="",$A232&gt;$B$9,O$219=""),"",IF(COUNTIFS(BD!$B$3:$B$5001,O$219,BD!$A$3:$A$5001,"&gt;="&amp;$C$7,BD!$A$3:$A$5001,"&lt;="&amp;$B232,BD!$N$3:$N$5001,"&lt;&gt;")=0,"",SUMIFS(BD!$N$3:$N$5001,BD!$B$3:$B$5001,O$219,BD!$A$3:$A$5001,_xlfn.MAXIFS(BD!$A$3:$A$5001,BD!$B$3:$B$5001,O$219,BD!$A$3:$A$5001,"&gt;="&amp;$C$7,BD!$A$3:$A$5001,"&lt;="&amp;$B232,BD!$N$3:$N$5001,"&lt;&gt;"))))</f>
        <v/>
      </c>
      <c r="P232" s="43" t="str">
        <f>IF(OR($B232="",$A232&gt;$B$9,P$219=""),"",IF(COUNTIFS(BD!$B$3:$B$5001,P$219,BD!$A$3:$A$5001,"&gt;="&amp;$C$7,BD!$A$3:$A$5001,"&lt;="&amp;$B232,BD!$N$3:$N$5001,"&lt;&gt;")=0,"",SUMIFS(BD!$N$3:$N$5001,BD!$B$3:$B$5001,P$219,BD!$A$3:$A$5001,_xlfn.MAXIFS(BD!$A$3:$A$5001,BD!$B$3:$B$5001,P$219,BD!$A$3:$A$5001,"&gt;="&amp;$C$7,BD!$A$3:$A$5001,"&lt;="&amp;$B232,BD!$N$3:$N$5001,"&lt;&gt;"))))</f>
        <v/>
      </c>
      <c r="Q232" s="43" t="str">
        <f>IF(OR($B232="",$A232&gt;$B$9,Q$219=""),"",IF(COUNTIFS(BD!$B$3:$B$5001,Q$219,BD!$A$3:$A$5001,"&gt;="&amp;$C$7,BD!$A$3:$A$5001,"&lt;="&amp;$B232,BD!$N$3:$N$5001,"&lt;&gt;")=0,"",SUMIFS(BD!$N$3:$N$5001,BD!$B$3:$B$5001,Q$219,BD!$A$3:$A$5001,_xlfn.MAXIFS(BD!$A$3:$A$5001,BD!$B$3:$B$5001,Q$219,BD!$A$3:$A$5001,"&gt;="&amp;$C$7,BD!$A$3:$A$5001,"&lt;="&amp;$B232,BD!$N$3:$N$5001,"&lt;&gt;"))))</f>
        <v/>
      </c>
      <c r="R232" s="43" t="str">
        <f>IF(OR($B232="",$A232&gt;$B$9,R$219=""),"",IF(COUNTIFS(BD!$B$3:$B$5001,R$219,BD!$A$3:$A$5001,"&gt;="&amp;$C$7,BD!$A$3:$A$5001,"&lt;="&amp;$B232,BD!$N$3:$N$5001,"&lt;&gt;")=0,"",SUMIFS(BD!$N$3:$N$5001,BD!$B$3:$B$5001,R$219,BD!$A$3:$A$5001,_xlfn.MAXIFS(BD!$A$3:$A$5001,BD!$B$3:$B$5001,R$219,BD!$A$3:$A$5001,"&gt;="&amp;$C$7,BD!$A$3:$A$5001,"&lt;="&amp;$B232,BD!$N$3:$N$5001,"&lt;&gt;"))))</f>
        <v/>
      </c>
      <c r="S232" s="43" t="str">
        <f>IF(OR($B232="",$A232&gt;$B$9,S$219=""),"",IF(COUNTIFS(BD!$B$3:$B$5001,S$219,BD!$A$3:$A$5001,"&gt;="&amp;$C$7,BD!$A$3:$A$5001,"&lt;="&amp;$B232,BD!$N$3:$N$5001,"&lt;&gt;")=0,"",SUMIFS(BD!$N$3:$N$5001,BD!$B$3:$B$5001,S$219,BD!$A$3:$A$5001,_xlfn.MAXIFS(BD!$A$3:$A$5001,BD!$B$3:$B$5001,S$219,BD!$A$3:$A$5001,"&gt;="&amp;$C$7,BD!$A$3:$A$5001,"&lt;="&amp;$B232,BD!$N$3:$N$5001,"&lt;&gt;"))))</f>
        <v/>
      </c>
      <c r="T232" s="43" t="str">
        <f>IF(OR($B232="",$A232&gt;$B$9,T$219=""),"",IF(COUNTIFS(BD!$B$3:$B$5001,T$219,BD!$A$3:$A$5001,"&gt;="&amp;$C$7,BD!$A$3:$A$5001,"&lt;="&amp;$B232,BD!$N$3:$N$5001,"&lt;&gt;")=0,"",SUMIFS(BD!$N$3:$N$5001,BD!$B$3:$B$5001,T$219,BD!$A$3:$A$5001,_xlfn.MAXIFS(BD!$A$3:$A$5001,BD!$B$3:$B$5001,T$219,BD!$A$3:$A$5001,"&gt;="&amp;$C$7,BD!$A$3:$A$5001,"&lt;="&amp;$B232,BD!$N$3:$N$5001,"&lt;&gt;"))))</f>
        <v/>
      </c>
      <c r="U232" s="43" t="str">
        <f>IF(OR($B232="",$A232&gt;$B$9,U$219=""),"",IF(COUNTIFS(BD!$B$3:$B$5001,U$219,BD!$A$3:$A$5001,"&gt;="&amp;$C$7,BD!$A$3:$A$5001,"&lt;="&amp;$B232,BD!$N$3:$N$5001,"&lt;&gt;")=0,"",SUMIFS(BD!$N$3:$N$5001,BD!$B$3:$B$5001,U$219,BD!$A$3:$A$5001,_xlfn.MAXIFS(BD!$A$3:$A$5001,BD!$B$3:$B$5001,U$219,BD!$A$3:$A$5001,"&gt;="&amp;$C$7,BD!$A$3:$A$5001,"&lt;="&amp;$B232,BD!$N$3:$N$5001,"&lt;&gt;"))))</f>
        <v/>
      </c>
      <c r="V232" s="43" t="str">
        <f>IF(OR($B232="",$A232&gt;$B$9,V$219=""),"",IF(COUNTIFS(BD!$B$3:$B$5001,V$219,BD!$A$3:$A$5001,"&gt;="&amp;$C$7,BD!$A$3:$A$5001,"&lt;="&amp;$B232,BD!$N$3:$N$5001,"&lt;&gt;")=0,"",SUMIFS(BD!$N$3:$N$5001,BD!$B$3:$B$5001,V$219,BD!$A$3:$A$5001,_xlfn.MAXIFS(BD!$A$3:$A$5001,BD!$B$3:$B$5001,V$219,BD!$A$3:$A$5001,"&gt;="&amp;$C$7,BD!$A$3:$A$5001,"&lt;="&amp;$B232,BD!$N$3:$N$5001,"&lt;&gt;"))))</f>
        <v/>
      </c>
    </row>
    <row r="233">
      <c r="A233" s="38">
        <v>14</v>
      </c>
      <c r="B233" s="42">
        <f>$B$25</f>
        <v>46309</v>
      </c>
      <c r="C233" s="43" t="str">
        <f>IF(OR($B233="",$A233&gt;$B$9,C$219=""),"",IF(COUNTIFS(BD!$B$3:$B$5001,C$219,BD!$A$3:$A$5001,"&gt;="&amp;$C$7,BD!$A$3:$A$5001,"&lt;="&amp;$B233,BD!$N$3:$N$5001,"&lt;&gt;")=0,"",SUMIFS(BD!$N$3:$N$5001,BD!$B$3:$B$5001,C$219,BD!$A$3:$A$5001,_xlfn.MAXIFS(BD!$A$3:$A$5001,BD!$B$3:$B$5001,C$219,BD!$A$3:$A$5001,"&gt;="&amp;$C$7,BD!$A$3:$A$5001,"&lt;="&amp;$B233,BD!$N$3:$N$5001,"&lt;&gt;"))))</f>
        <v/>
      </c>
      <c r="D233" s="43" t="str">
        <f>IF(OR($B233="",$A233&gt;$B$9,D$219=""),"",IF(COUNTIFS(BD!$B$3:$B$5001,D$219,BD!$A$3:$A$5001,"&gt;="&amp;$C$7,BD!$A$3:$A$5001,"&lt;="&amp;$B233,BD!$N$3:$N$5001,"&lt;&gt;")=0,"",SUMIFS(BD!$N$3:$N$5001,BD!$B$3:$B$5001,D$219,BD!$A$3:$A$5001,_xlfn.MAXIFS(BD!$A$3:$A$5001,BD!$B$3:$B$5001,D$219,BD!$A$3:$A$5001,"&gt;="&amp;$C$7,BD!$A$3:$A$5001,"&lt;="&amp;$B233,BD!$N$3:$N$5001,"&lt;&gt;"))))</f>
        <v/>
      </c>
      <c r="E233" s="43" t="str">
        <f>IF(OR($B233="",$A233&gt;$B$9,E$219=""),"",IF(COUNTIFS(BD!$B$3:$B$5001,E$219,BD!$A$3:$A$5001,"&gt;="&amp;$C$7,BD!$A$3:$A$5001,"&lt;="&amp;$B233,BD!$N$3:$N$5001,"&lt;&gt;")=0,"",SUMIFS(BD!$N$3:$N$5001,BD!$B$3:$B$5001,E$219,BD!$A$3:$A$5001,_xlfn.MAXIFS(BD!$A$3:$A$5001,BD!$B$3:$B$5001,E$219,BD!$A$3:$A$5001,"&gt;="&amp;$C$7,BD!$A$3:$A$5001,"&lt;="&amp;$B233,BD!$N$3:$N$5001,"&lt;&gt;"))))</f>
        <v/>
      </c>
      <c r="F233" s="43" t="str">
        <f>IF(OR($B233="",$A233&gt;$B$9,F$219=""),"",IF(COUNTIFS(BD!$B$3:$B$5001,F$219,BD!$A$3:$A$5001,"&gt;="&amp;$C$7,BD!$A$3:$A$5001,"&lt;="&amp;$B233,BD!$N$3:$N$5001,"&lt;&gt;")=0,"",SUMIFS(BD!$N$3:$N$5001,BD!$B$3:$B$5001,F$219,BD!$A$3:$A$5001,_xlfn.MAXIFS(BD!$A$3:$A$5001,BD!$B$3:$B$5001,F$219,BD!$A$3:$A$5001,"&gt;="&amp;$C$7,BD!$A$3:$A$5001,"&lt;="&amp;$B233,BD!$N$3:$N$5001,"&lt;&gt;"))))</f>
        <v/>
      </c>
      <c r="G233" s="43" t="str">
        <f>IF(OR($B233="",$A233&gt;$B$9,G$219=""),"",IF(COUNTIFS(BD!$B$3:$B$5001,G$219,BD!$A$3:$A$5001,"&gt;="&amp;$C$7,BD!$A$3:$A$5001,"&lt;="&amp;$B233,BD!$N$3:$N$5001,"&lt;&gt;")=0,"",SUMIFS(BD!$N$3:$N$5001,BD!$B$3:$B$5001,G$219,BD!$A$3:$A$5001,_xlfn.MAXIFS(BD!$A$3:$A$5001,BD!$B$3:$B$5001,G$219,BD!$A$3:$A$5001,"&gt;="&amp;$C$7,BD!$A$3:$A$5001,"&lt;="&amp;$B233,BD!$N$3:$N$5001,"&lt;&gt;"))))</f>
        <v/>
      </c>
      <c r="H233" s="43" t="str">
        <f>IF(OR($B233="",$A233&gt;$B$9,H$219=""),"",IF(COUNTIFS(BD!$B$3:$B$5001,H$219,BD!$A$3:$A$5001,"&gt;="&amp;$C$7,BD!$A$3:$A$5001,"&lt;="&amp;$B233,BD!$N$3:$N$5001,"&lt;&gt;")=0,"",SUMIFS(BD!$N$3:$N$5001,BD!$B$3:$B$5001,H$219,BD!$A$3:$A$5001,_xlfn.MAXIFS(BD!$A$3:$A$5001,BD!$B$3:$B$5001,H$219,BD!$A$3:$A$5001,"&gt;="&amp;$C$7,BD!$A$3:$A$5001,"&lt;="&amp;$B233,BD!$N$3:$N$5001,"&lt;&gt;"))))</f>
        <v/>
      </c>
      <c r="I233" s="43" t="str">
        <f>IF(OR($B233="",$A233&gt;$B$9,I$219=""),"",IF(COUNTIFS(BD!$B$3:$B$5001,I$219,BD!$A$3:$A$5001,"&gt;="&amp;$C$7,BD!$A$3:$A$5001,"&lt;="&amp;$B233,BD!$N$3:$N$5001,"&lt;&gt;")=0,"",SUMIFS(BD!$N$3:$N$5001,BD!$B$3:$B$5001,I$219,BD!$A$3:$A$5001,_xlfn.MAXIFS(BD!$A$3:$A$5001,BD!$B$3:$B$5001,I$219,BD!$A$3:$A$5001,"&gt;="&amp;$C$7,BD!$A$3:$A$5001,"&lt;="&amp;$B233,BD!$N$3:$N$5001,"&lt;&gt;"))))</f>
        <v/>
      </c>
      <c r="J233" s="43" t="str">
        <f>IF(OR($B233="",$A233&gt;$B$9,J$219=""),"",IF(COUNTIFS(BD!$B$3:$B$5001,J$219,BD!$A$3:$A$5001,"&gt;="&amp;$C$7,BD!$A$3:$A$5001,"&lt;="&amp;$B233,BD!$N$3:$N$5001,"&lt;&gt;")=0,"",SUMIFS(BD!$N$3:$N$5001,BD!$B$3:$B$5001,J$219,BD!$A$3:$A$5001,_xlfn.MAXIFS(BD!$A$3:$A$5001,BD!$B$3:$B$5001,J$219,BD!$A$3:$A$5001,"&gt;="&amp;$C$7,BD!$A$3:$A$5001,"&lt;="&amp;$B233,BD!$N$3:$N$5001,"&lt;&gt;"))))</f>
        <v/>
      </c>
      <c r="K233" s="43" t="str">
        <f>IF(OR($B233="",$A233&gt;$B$9,K$219=""),"",IF(COUNTIFS(BD!$B$3:$B$5001,K$219,BD!$A$3:$A$5001,"&gt;="&amp;$C$7,BD!$A$3:$A$5001,"&lt;="&amp;$B233,BD!$N$3:$N$5001,"&lt;&gt;")=0,"",SUMIFS(BD!$N$3:$N$5001,BD!$B$3:$B$5001,K$219,BD!$A$3:$A$5001,_xlfn.MAXIFS(BD!$A$3:$A$5001,BD!$B$3:$B$5001,K$219,BD!$A$3:$A$5001,"&gt;="&amp;$C$7,BD!$A$3:$A$5001,"&lt;="&amp;$B233,BD!$N$3:$N$5001,"&lt;&gt;"))))</f>
        <v/>
      </c>
      <c r="L233" s="43" t="str">
        <f>IF(OR($B233="",$A233&gt;$B$9,L$219=""),"",IF(COUNTIFS(BD!$B$3:$B$5001,L$219,BD!$A$3:$A$5001,"&gt;="&amp;$C$7,BD!$A$3:$A$5001,"&lt;="&amp;$B233,BD!$N$3:$N$5001,"&lt;&gt;")=0,"",SUMIFS(BD!$N$3:$N$5001,BD!$B$3:$B$5001,L$219,BD!$A$3:$A$5001,_xlfn.MAXIFS(BD!$A$3:$A$5001,BD!$B$3:$B$5001,L$219,BD!$A$3:$A$5001,"&gt;="&amp;$C$7,BD!$A$3:$A$5001,"&lt;="&amp;$B233,BD!$N$3:$N$5001,"&lt;&gt;"))))</f>
        <v/>
      </c>
      <c r="M233" s="43" t="str">
        <f>IF(OR($B233="",$A233&gt;$B$9,M$219=""),"",IF(COUNTIFS(BD!$B$3:$B$5001,M$219,BD!$A$3:$A$5001,"&gt;="&amp;$C$7,BD!$A$3:$A$5001,"&lt;="&amp;$B233,BD!$N$3:$N$5001,"&lt;&gt;")=0,"",SUMIFS(BD!$N$3:$N$5001,BD!$B$3:$B$5001,M$219,BD!$A$3:$A$5001,_xlfn.MAXIFS(BD!$A$3:$A$5001,BD!$B$3:$B$5001,M$219,BD!$A$3:$A$5001,"&gt;="&amp;$C$7,BD!$A$3:$A$5001,"&lt;="&amp;$B233,BD!$N$3:$N$5001,"&lt;&gt;"))))</f>
        <v/>
      </c>
      <c r="N233" s="43" t="str">
        <f>IF(OR($B233="",$A233&gt;$B$9,N$219=""),"",IF(COUNTIFS(BD!$B$3:$B$5001,N$219,BD!$A$3:$A$5001,"&gt;="&amp;$C$7,BD!$A$3:$A$5001,"&lt;="&amp;$B233,BD!$N$3:$N$5001,"&lt;&gt;")=0,"",SUMIFS(BD!$N$3:$N$5001,BD!$B$3:$B$5001,N$219,BD!$A$3:$A$5001,_xlfn.MAXIFS(BD!$A$3:$A$5001,BD!$B$3:$B$5001,N$219,BD!$A$3:$A$5001,"&gt;="&amp;$C$7,BD!$A$3:$A$5001,"&lt;="&amp;$B233,BD!$N$3:$N$5001,"&lt;&gt;"))))</f>
        <v/>
      </c>
      <c r="O233" s="43" t="str">
        <f>IF(OR($B233="",$A233&gt;$B$9,O$219=""),"",IF(COUNTIFS(BD!$B$3:$B$5001,O$219,BD!$A$3:$A$5001,"&gt;="&amp;$C$7,BD!$A$3:$A$5001,"&lt;="&amp;$B233,BD!$N$3:$N$5001,"&lt;&gt;")=0,"",SUMIFS(BD!$N$3:$N$5001,BD!$B$3:$B$5001,O$219,BD!$A$3:$A$5001,_xlfn.MAXIFS(BD!$A$3:$A$5001,BD!$B$3:$B$5001,O$219,BD!$A$3:$A$5001,"&gt;="&amp;$C$7,BD!$A$3:$A$5001,"&lt;="&amp;$B233,BD!$N$3:$N$5001,"&lt;&gt;"))))</f>
        <v/>
      </c>
      <c r="P233" s="43" t="str">
        <f>IF(OR($B233="",$A233&gt;$B$9,P$219=""),"",IF(COUNTIFS(BD!$B$3:$B$5001,P$219,BD!$A$3:$A$5001,"&gt;="&amp;$C$7,BD!$A$3:$A$5001,"&lt;="&amp;$B233,BD!$N$3:$N$5001,"&lt;&gt;")=0,"",SUMIFS(BD!$N$3:$N$5001,BD!$B$3:$B$5001,P$219,BD!$A$3:$A$5001,_xlfn.MAXIFS(BD!$A$3:$A$5001,BD!$B$3:$B$5001,P$219,BD!$A$3:$A$5001,"&gt;="&amp;$C$7,BD!$A$3:$A$5001,"&lt;="&amp;$B233,BD!$N$3:$N$5001,"&lt;&gt;"))))</f>
        <v/>
      </c>
      <c r="Q233" s="43" t="str">
        <f>IF(OR($B233="",$A233&gt;$B$9,Q$219=""),"",IF(COUNTIFS(BD!$B$3:$B$5001,Q$219,BD!$A$3:$A$5001,"&gt;="&amp;$C$7,BD!$A$3:$A$5001,"&lt;="&amp;$B233,BD!$N$3:$N$5001,"&lt;&gt;")=0,"",SUMIFS(BD!$N$3:$N$5001,BD!$B$3:$B$5001,Q$219,BD!$A$3:$A$5001,_xlfn.MAXIFS(BD!$A$3:$A$5001,BD!$B$3:$B$5001,Q$219,BD!$A$3:$A$5001,"&gt;="&amp;$C$7,BD!$A$3:$A$5001,"&lt;="&amp;$B233,BD!$N$3:$N$5001,"&lt;&gt;"))))</f>
        <v/>
      </c>
      <c r="R233" s="43" t="str">
        <f>IF(OR($B233="",$A233&gt;$B$9,R$219=""),"",IF(COUNTIFS(BD!$B$3:$B$5001,R$219,BD!$A$3:$A$5001,"&gt;="&amp;$C$7,BD!$A$3:$A$5001,"&lt;="&amp;$B233,BD!$N$3:$N$5001,"&lt;&gt;")=0,"",SUMIFS(BD!$N$3:$N$5001,BD!$B$3:$B$5001,R$219,BD!$A$3:$A$5001,_xlfn.MAXIFS(BD!$A$3:$A$5001,BD!$B$3:$B$5001,R$219,BD!$A$3:$A$5001,"&gt;="&amp;$C$7,BD!$A$3:$A$5001,"&lt;="&amp;$B233,BD!$N$3:$N$5001,"&lt;&gt;"))))</f>
        <v/>
      </c>
      <c r="S233" s="43" t="str">
        <f>IF(OR($B233="",$A233&gt;$B$9,S$219=""),"",IF(COUNTIFS(BD!$B$3:$B$5001,S$219,BD!$A$3:$A$5001,"&gt;="&amp;$C$7,BD!$A$3:$A$5001,"&lt;="&amp;$B233,BD!$N$3:$N$5001,"&lt;&gt;")=0,"",SUMIFS(BD!$N$3:$N$5001,BD!$B$3:$B$5001,S$219,BD!$A$3:$A$5001,_xlfn.MAXIFS(BD!$A$3:$A$5001,BD!$B$3:$B$5001,S$219,BD!$A$3:$A$5001,"&gt;="&amp;$C$7,BD!$A$3:$A$5001,"&lt;="&amp;$B233,BD!$N$3:$N$5001,"&lt;&gt;"))))</f>
        <v/>
      </c>
      <c r="T233" s="43" t="str">
        <f>IF(OR($B233="",$A233&gt;$B$9,T$219=""),"",IF(COUNTIFS(BD!$B$3:$B$5001,T$219,BD!$A$3:$A$5001,"&gt;="&amp;$C$7,BD!$A$3:$A$5001,"&lt;="&amp;$B233,BD!$N$3:$N$5001,"&lt;&gt;")=0,"",SUMIFS(BD!$N$3:$N$5001,BD!$B$3:$B$5001,T$219,BD!$A$3:$A$5001,_xlfn.MAXIFS(BD!$A$3:$A$5001,BD!$B$3:$B$5001,T$219,BD!$A$3:$A$5001,"&gt;="&amp;$C$7,BD!$A$3:$A$5001,"&lt;="&amp;$B233,BD!$N$3:$N$5001,"&lt;&gt;"))))</f>
        <v/>
      </c>
      <c r="U233" s="43" t="str">
        <f>IF(OR($B233="",$A233&gt;$B$9,U$219=""),"",IF(COUNTIFS(BD!$B$3:$B$5001,U$219,BD!$A$3:$A$5001,"&gt;="&amp;$C$7,BD!$A$3:$A$5001,"&lt;="&amp;$B233,BD!$N$3:$N$5001,"&lt;&gt;")=0,"",SUMIFS(BD!$N$3:$N$5001,BD!$B$3:$B$5001,U$219,BD!$A$3:$A$5001,_xlfn.MAXIFS(BD!$A$3:$A$5001,BD!$B$3:$B$5001,U$219,BD!$A$3:$A$5001,"&gt;="&amp;$C$7,BD!$A$3:$A$5001,"&lt;="&amp;$B233,BD!$N$3:$N$5001,"&lt;&gt;"))))</f>
        <v/>
      </c>
      <c r="V233" s="43" t="str">
        <f>IF(OR($B233="",$A233&gt;$B$9,V$219=""),"",IF(COUNTIFS(BD!$B$3:$B$5001,V$219,BD!$A$3:$A$5001,"&gt;="&amp;$C$7,BD!$A$3:$A$5001,"&lt;="&amp;$B233,BD!$N$3:$N$5001,"&lt;&gt;")=0,"",SUMIFS(BD!$N$3:$N$5001,BD!$B$3:$B$5001,V$219,BD!$A$3:$A$5001,_xlfn.MAXIFS(BD!$A$3:$A$5001,BD!$B$3:$B$5001,V$219,BD!$A$3:$A$5001,"&gt;="&amp;$C$7,BD!$A$3:$A$5001,"&lt;="&amp;$B233,BD!$N$3:$N$5001,"&lt;&gt;"))))</f>
        <v/>
      </c>
    </row>
    <row r="234">
      <c r="A234" s="38">
        <v>15</v>
      </c>
      <c r="B234" s="42">
        <f>$B$26</f>
        <v>46310</v>
      </c>
      <c r="C234" s="43" t="str">
        <f>IF(OR($B234="",$A234&gt;$B$9,C$219=""),"",IF(COUNTIFS(BD!$B$3:$B$5001,C$219,BD!$A$3:$A$5001,"&gt;="&amp;$C$7,BD!$A$3:$A$5001,"&lt;="&amp;$B234,BD!$N$3:$N$5001,"&lt;&gt;")=0,"",SUMIFS(BD!$N$3:$N$5001,BD!$B$3:$B$5001,C$219,BD!$A$3:$A$5001,_xlfn.MAXIFS(BD!$A$3:$A$5001,BD!$B$3:$B$5001,C$219,BD!$A$3:$A$5001,"&gt;="&amp;$C$7,BD!$A$3:$A$5001,"&lt;="&amp;$B234,BD!$N$3:$N$5001,"&lt;&gt;"))))</f>
        <v/>
      </c>
      <c r="D234" s="43" t="str">
        <f>IF(OR($B234="",$A234&gt;$B$9,D$219=""),"",IF(COUNTIFS(BD!$B$3:$B$5001,D$219,BD!$A$3:$A$5001,"&gt;="&amp;$C$7,BD!$A$3:$A$5001,"&lt;="&amp;$B234,BD!$N$3:$N$5001,"&lt;&gt;")=0,"",SUMIFS(BD!$N$3:$N$5001,BD!$B$3:$B$5001,D$219,BD!$A$3:$A$5001,_xlfn.MAXIFS(BD!$A$3:$A$5001,BD!$B$3:$B$5001,D$219,BD!$A$3:$A$5001,"&gt;="&amp;$C$7,BD!$A$3:$A$5001,"&lt;="&amp;$B234,BD!$N$3:$N$5001,"&lt;&gt;"))))</f>
        <v/>
      </c>
      <c r="E234" s="43" t="str">
        <f>IF(OR($B234="",$A234&gt;$B$9,E$219=""),"",IF(COUNTIFS(BD!$B$3:$B$5001,E$219,BD!$A$3:$A$5001,"&gt;="&amp;$C$7,BD!$A$3:$A$5001,"&lt;="&amp;$B234,BD!$N$3:$N$5001,"&lt;&gt;")=0,"",SUMIFS(BD!$N$3:$N$5001,BD!$B$3:$B$5001,E$219,BD!$A$3:$A$5001,_xlfn.MAXIFS(BD!$A$3:$A$5001,BD!$B$3:$B$5001,E$219,BD!$A$3:$A$5001,"&gt;="&amp;$C$7,BD!$A$3:$A$5001,"&lt;="&amp;$B234,BD!$N$3:$N$5001,"&lt;&gt;"))))</f>
        <v/>
      </c>
      <c r="F234" s="43" t="str">
        <f>IF(OR($B234="",$A234&gt;$B$9,F$219=""),"",IF(COUNTIFS(BD!$B$3:$B$5001,F$219,BD!$A$3:$A$5001,"&gt;="&amp;$C$7,BD!$A$3:$A$5001,"&lt;="&amp;$B234,BD!$N$3:$N$5001,"&lt;&gt;")=0,"",SUMIFS(BD!$N$3:$N$5001,BD!$B$3:$B$5001,F$219,BD!$A$3:$A$5001,_xlfn.MAXIFS(BD!$A$3:$A$5001,BD!$B$3:$B$5001,F$219,BD!$A$3:$A$5001,"&gt;="&amp;$C$7,BD!$A$3:$A$5001,"&lt;="&amp;$B234,BD!$N$3:$N$5001,"&lt;&gt;"))))</f>
        <v/>
      </c>
      <c r="G234" s="43" t="str">
        <f>IF(OR($B234="",$A234&gt;$B$9,G$219=""),"",IF(COUNTIFS(BD!$B$3:$B$5001,G$219,BD!$A$3:$A$5001,"&gt;="&amp;$C$7,BD!$A$3:$A$5001,"&lt;="&amp;$B234,BD!$N$3:$N$5001,"&lt;&gt;")=0,"",SUMIFS(BD!$N$3:$N$5001,BD!$B$3:$B$5001,G$219,BD!$A$3:$A$5001,_xlfn.MAXIFS(BD!$A$3:$A$5001,BD!$B$3:$B$5001,G$219,BD!$A$3:$A$5001,"&gt;="&amp;$C$7,BD!$A$3:$A$5001,"&lt;="&amp;$B234,BD!$N$3:$N$5001,"&lt;&gt;"))))</f>
        <v/>
      </c>
      <c r="H234" s="43" t="str">
        <f>IF(OR($B234="",$A234&gt;$B$9,H$219=""),"",IF(COUNTIFS(BD!$B$3:$B$5001,H$219,BD!$A$3:$A$5001,"&gt;="&amp;$C$7,BD!$A$3:$A$5001,"&lt;="&amp;$B234,BD!$N$3:$N$5001,"&lt;&gt;")=0,"",SUMIFS(BD!$N$3:$N$5001,BD!$B$3:$B$5001,H$219,BD!$A$3:$A$5001,_xlfn.MAXIFS(BD!$A$3:$A$5001,BD!$B$3:$B$5001,H$219,BD!$A$3:$A$5001,"&gt;="&amp;$C$7,BD!$A$3:$A$5001,"&lt;="&amp;$B234,BD!$N$3:$N$5001,"&lt;&gt;"))))</f>
        <v/>
      </c>
      <c r="I234" s="43" t="str">
        <f>IF(OR($B234="",$A234&gt;$B$9,I$219=""),"",IF(COUNTIFS(BD!$B$3:$B$5001,I$219,BD!$A$3:$A$5001,"&gt;="&amp;$C$7,BD!$A$3:$A$5001,"&lt;="&amp;$B234,BD!$N$3:$N$5001,"&lt;&gt;")=0,"",SUMIFS(BD!$N$3:$N$5001,BD!$B$3:$B$5001,I$219,BD!$A$3:$A$5001,_xlfn.MAXIFS(BD!$A$3:$A$5001,BD!$B$3:$B$5001,I$219,BD!$A$3:$A$5001,"&gt;="&amp;$C$7,BD!$A$3:$A$5001,"&lt;="&amp;$B234,BD!$N$3:$N$5001,"&lt;&gt;"))))</f>
        <v/>
      </c>
      <c r="J234" s="43" t="str">
        <f>IF(OR($B234="",$A234&gt;$B$9,J$219=""),"",IF(COUNTIFS(BD!$B$3:$B$5001,J$219,BD!$A$3:$A$5001,"&gt;="&amp;$C$7,BD!$A$3:$A$5001,"&lt;="&amp;$B234,BD!$N$3:$N$5001,"&lt;&gt;")=0,"",SUMIFS(BD!$N$3:$N$5001,BD!$B$3:$B$5001,J$219,BD!$A$3:$A$5001,_xlfn.MAXIFS(BD!$A$3:$A$5001,BD!$B$3:$B$5001,J$219,BD!$A$3:$A$5001,"&gt;="&amp;$C$7,BD!$A$3:$A$5001,"&lt;="&amp;$B234,BD!$N$3:$N$5001,"&lt;&gt;"))))</f>
        <v/>
      </c>
      <c r="K234" s="43" t="str">
        <f>IF(OR($B234="",$A234&gt;$B$9,K$219=""),"",IF(COUNTIFS(BD!$B$3:$B$5001,K$219,BD!$A$3:$A$5001,"&gt;="&amp;$C$7,BD!$A$3:$A$5001,"&lt;="&amp;$B234,BD!$N$3:$N$5001,"&lt;&gt;")=0,"",SUMIFS(BD!$N$3:$N$5001,BD!$B$3:$B$5001,K$219,BD!$A$3:$A$5001,_xlfn.MAXIFS(BD!$A$3:$A$5001,BD!$B$3:$B$5001,K$219,BD!$A$3:$A$5001,"&gt;="&amp;$C$7,BD!$A$3:$A$5001,"&lt;="&amp;$B234,BD!$N$3:$N$5001,"&lt;&gt;"))))</f>
        <v/>
      </c>
      <c r="L234" s="43" t="str">
        <f>IF(OR($B234="",$A234&gt;$B$9,L$219=""),"",IF(COUNTIFS(BD!$B$3:$B$5001,L$219,BD!$A$3:$A$5001,"&gt;="&amp;$C$7,BD!$A$3:$A$5001,"&lt;="&amp;$B234,BD!$N$3:$N$5001,"&lt;&gt;")=0,"",SUMIFS(BD!$N$3:$N$5001,BD!$B$3:$B$5001,L$219,BD!$A$3:$A$5001,_xlfn.MAXIFS(BD!$A$3:$A$5001,BD!$B$3:$B$5001,L$219,BD!$A$3:$A$5001,"&gt;="&amp;$C$7,BD!$A$3:$A$5001,"&lt;="&amp;$B234,BD!$N$3:$N$5001,"&lt;&gt;"))))</f>
        <v/>
      </c>
      <c r="M234" s="43" t="str">
        <f>IF(OR($B234="",$A234&gt;$B$9,M$219=""),"",IF(COUNTIFS(BD!$B$3:$B$5001,M$219,BD!$A$3:$A$5001,"&gt;="&amp;$C$7,BD!$A$3:$A$5001,"&lt;="&amp;$B234,BD!$N$3:$N$5001,"&lt;&gt;")=0,"",SUMIFS(BD!$N$3:$N$5001,BD!$B$3:$B$5001,M$219,BD!$A$3:$A$5001,_xlfn.MAXIFS(BD!$A$3:$A$5001,BD!$B$3:$B$5001,M$219,BD!$A$3:$A$5001,"&gt;="&amp;$C$7,BD!$A$3:$A$5001,"&lt;="&amp;$B234,BD!$N$3:$N$5001,"&lt;&gt;"))))</f>
        <v/>
      </c>
      <c r="N234" s="43" t="str">
        <f>IF(OR($B234="",$A234&gt;$B$9,N$219=""),"",IF(COUNTIFS(BD!$B$3:$B$5001,N$219,BD!$A$3:$A$5001,"&gt;="&amp;$C$7,BD!$A$3:$A$5001,"&lt;="&amp;$B234,BD!$N$3:$N$5001,"&lt;&gt;")=0,"",SUMIFS(BD!$N$3:$N$5001,BD!$B$3:$B$5001,N$219,BD!$A$3:$A$5001,_xlfn.MAXIFS(BD!$A$3:$A$5001,BD!$B$3:$B$5001,N$219,BD!$A$3:$A$5001,"&gt;="&amp;$C$7,BD!$A$3:$A$5001,"&lt;="&amp;$B234,BD!$N$3:$N$5001,"&lt;&gt;"))))</f>
        <v/>
      </c>
      <c r="O234" s="43" t="str">
        <f>IF(OR($B234="",$A234&gt;$B$9,O$219=""),"",IF(COUNTIFS(BD!$B$3:$B$5001,O$219,BD!$A$3:$A$5001,"&gt;="&amp;$C$7,BD!$A$3:$A$5001,"&lt;="&amp;$B234,BD!$N$3:$N$5001,"&lt;&gt;")=0,"",SUMIFS(BD!$N$3:$N$5001,BD!$B$3:$B$5001,O$219,BD!$A$3:$A$5001,_xlfn.MAXIFS(BD!$A$3:$A$5001,BD!$B$3:$B$5001,O$219,BD!$A$3:$A$5001,"&gt;="&amp;$C$7,BD!$A$3:$A$5001,"&lt;="&amp;$B234,BD!$N$3:$N$5001,"&lt;&gt;"))))</f>
        <v/>
      </c>
      <c r="P234" s="43" t="str">
        <f>IF(OR($B234="",$A234&gt;$B$9,P$219=""),"",IF(COUNTIFS(BD!$B$3:$B$5001,P$219,BD!$A$3:$A$5001,"&gt;="&amp;$C$7,BD!$A$3:$A$5001,"&lt;="&amp;$B234,BD!$N$3:$N$5001,"&lt;&gt;")=0,"",SUMIFS(BD!$N$3:$N$5001,BD!$B$3:$B$5001,P$219,BD!$A$3:$A$5001,_xlfn.MAXIFS(BD!$A$3:$A$5001,BD!$B$3:$B$5001,P$219,BD!$A$3:$A$5001,"&gt;="&amp;$C$7,BD!$A$3:$A$5001,"&lt;="&amp;$B234,BD!$N$3:$N$5001,"&lt;&gt;"))))</f>
        <v/>
      </c>
      <c r="Q234" s="43" t="str">
        <f>IF(OR($B234="",$A234&gt;$B$9,Q$219=""),"",IF(COUNTIFS(BD!$B$3:$B$5001,Q$219,BD!$A$3:$A$5001,"&gt;="&amp;$C$7,BD!$A$3:$A$5001,"&lt;="&amp;$B234,BD!$N$3:$N$5001,"&lt;&gt;")=0,"",SUMIFS(BD!$N$3:$N$5001,BD!$B$3:$B$5001,Q$219,BD!$A$3:$A$5001,_xlfn.MAXIFS(BD!$A$3:$A$5001,BD!$B$3:$B$5001,Q$219,BD!$A$3:$A$5001,"&gt;="&amp;$C$7,BD!$A$3:$A$5001,"&lt;="&amp;$B234,BD!$N$3:$N$5001,"&lt;&gt;"))))</f>
        <v/>
      </c>
      <c r="R234" s="43" t="str">
        <f>IF(OR($B234="",$A234&gt;$B$9,R$219=""),"",IF(COUNTIFS(BD!$B$3:$B$5001,R$219,BD!$A$3:$A$5001,"&gt;="&amp;$C$7,BD!$A$3:$A$5001,"&lt;="&amp;$B234,BD!$N$3:$N$5001,"&lt;&gt;")=0,"",SUMIFS(BD!$N$3:$N$5001,BD!$B$3:$B$5001,R$219,BD!$A$3:$A$5001,_xlfn.MAXIFS(BD!$A$3:$A$5001,BD!$B$3:$B$5001,R$219,BD!$A$3:$A$5001,"&gt;="&amp;$C$7,BD!$A$3:$A$5001,"&lt;="&amp;$B234,BD!$N$3:$N$5001,"&lt;&gt;"))))</f>
        <v/>
      </c>
      <c r="S234" s="43" t="str">
        <f>IF(OR($B234="",$A234&gt;$B$9,S$219=""),"",IF(COUNTIFS(BD!$B$3:$B$5001,S$219,BD!$A$3:$A$5001,"&gt;="&amp;$C$7,BD!$A$3:$A$5001,"&lt;="&amp;$B234,BD!$N$3:$N$5001,"&lt;&gt;")=0,"",SUMIFS(BD!$N$3:$N$5001,BD!$B$3:$B$5001,S$219,BD!$A$3:$A$5001,_xlfn.MAXIFS(BD!$A$3:$A$5001,BD!$B$3:$B$5001,S$219,BD!$A$3:$A$5001,"&gt;="&amp;$C$7,BD!$A$3:$A$5001,"&lt;="&amp;$B234,BD!$N$3:$N$5001,"&lt;&gt;"))))</f>
        <v/>
      </c>
      <c r="T234" s="43" t="str">
        <f>IF(OR($B234="",$A234&gt;$B$9,T$219=""),"",IF(COUNTIFS(BD!$B$3:$B$5001,T$219,BD!$A$3:$A$5001,"&gt;="&amp;$C$7,BD!$A$3:$A$5001,"&lt;="&amp;$B234,BD!$N$3:$N$5001,"&lt;&gt;")=0,"",SUMIFS(BD!$N$3:$N$5001,BD!$B$3:$B$5001,T$219,BD!$A$3:$A$5001,_xlfn.MAXIFS(BD!$A$3:$A$5001,BD!$B$3:$B$5001,T$219,BD!$A$3:$A$5001,"&gt;="&amp;$C$7,BD!$A$3:$A$5001,"&lt;="&amp;$B234,BD!$N$3:$N$5001,"&lt;&gt;"))))</f>
        <v/>
      </c>
      <c r="U234" s="43" t="str">
        <f>IF(OR($B234="",$A234&gt;$B$9,U$219=""),"",IF(COUNTIFS(BD!$B$3:$B$5001,U$219,BD!$A$3:$A$5001,"&gt;="&amp;$C$7,BD!$A$3:$A$5001,"&lt;="&amp;$B234,BD!$N$3:$N$5001,"&lt;&gt;")=0,"",SUMIFS(BD!$N$3:$N$5001,BD!$B$3:$B$5001,U$219,BD!$A$3:$A$5001,_xlfn.MAXIFS(BD!$A$3:$A$5001,BD!$B$3:$B$5001,U$219,BD!$A$3:$A$5001,"&gt;="&amp;$C$7,BD!$A$3:$A$5001,"&lt;="&amp;$B234,BD!$N$3:$N$5001,"&lt;&gt;"))))</f>
        <v/>
      </c>
      <c r="V234" s="43" t="str">
        <f>IF(OR($B234="",$A234&gt;$B$9,V$219=""),"",IF(COUNTIFS(BD!$B$3:$B$5001,V$219,BD!$A$3:$A$5001,"&gt;="&amp;$C$7,BD!$A$3:$A$5001,"&lt;="&amp;$B234,BD!$N$3:$N$5001,"&lt;&gt;")=0,"",SUMIFS(BD!$N$3:$N$5001,BD!$B$3:$B$5001,V$219,BD!$A$3:$A$5001,_xlfn.MAXIFS(BD!$A$3:$A$5001,BD!$B$3:$B$5001,V$219,BD!$A$3:$A$5001,"&gt;="&amp;$C$7,BD!$A$3:$A$5001,"&lt;="&amp;$B234,BD!$N$3:$N$5001,"&lt;&gt;"))))</f>
        <v/>
      </c>
    </row>
    <row r="235">
      <c r="A235" s="38">
        <v>16</v>
      </c>
      <c r="B235" s="42">
        <f>$B$27</f>
        <v>46311</v>
      </c>
      <c r="C235" s="43" t="str">
        <f>IF(OR($B235="",$A235&gt;$B$9,C$219=""),"",IF(COUNTIFS(BD!$B$3:$B$5001,C$219,BD!$A$3:$A$5001,"&gt;="&amp;$C$7,BD!$A$3:$A$5001,"&lt;="&amp;$B235,BD!$N$3:$N$5001,"&lt;&gt;")=0,"",SUMIFS(BD!$N$3:$N$5001,BD!$B$3:$B$5001,C$219,BD!$A$3:$A$5001,_xlfn.MAXIFS(BD!$A$3:$A$5001,BD!$B$3:$B$5001,C$219,BD!$A$3:$A$5001,"&gt;="&amp;$C$7,BD!$A$3:$A$5001,"&lt;="&amp;$B235,BD!$N$3:$N$5001,"&lt;&gt;"))))</f>
        <v/>
      </c>
      <c r="D235" s="43" t="str">
        <f>IF(OR($B235="",$A235&gt;$B$9,D$219=""),"",IF(COUNTIFS(BD!$B$3:$B$5001,D$219,BD!$A$3:$A$5001,"&gt;="&amp;$C$7,BD!$A$3:$A$5001,"&lt;="&amp;$B235,BD!$N$3:$N$5001,"&lt;&gt;")=0,"",SUMIFS(BD!$N$3:$N$5001,BD!$B$3:$B$5001,D$219,BD!$A$3:$A$5001,_xlfn.MAXIFS(BD!$A$3:$A$5001,BD!$B$3:$B$5001,D$219,BD!$A$3:$A$5001,"&gt;="&amp;$C$7,BD!$A$3:$A$5001,"&lt;="&amp;$B235,BD!$N$3:$N$5001,"&lt;&gt;"))))</f>
        <v/>
      </c>
      <c r="E235" s="43" t="str">
        <f>IF(OR($B235="",$A235&gt;$B$9,E$219=""),"",IF(COUNTIFS(BD!$B$3:$B$5001,E$219,BD!$A$3:$A$5001,"&gt;="&amp;$C$7,BD!$A$3:$A$5001,"&lt;="&amp;$B235,BD!$N$3:$N$5001,"&lt;&gt;")=0,"",SUMIFS(BD!$N$3:$N$5001,BD!$B$3:$B$5001,E$219,BD!$A$3:$A$5001,_xlfn.MAXIFS(BD!$A$3:$A$5001,BD!$B$3:$B$5001,E$219,BD!$A$3:$A$5001,"&gt;="&amp;$C$7,BD!$A$3:$A$5001,"&lt;="&amp;$B235,BD!$N$3:$N$5001,"&lt;&gt;"))))</f>
        <v/>
      </c>
      <c r="F235" s="43" t="str">
        <f>IF(OR($B235="",$A235&gt;$B$9,F$219=""),"",IF(COUNTIFS(BD!$B$3:$B$5001,F$219,BD!$A$3:$A$5001,"&gt;="&amp;$C$7,BD!$A$3:$A$5001,"&lt;="&amp;$B235,BD!$N$3:$N$5001,"&lt;&gt;")=0,"",SUMIFS(BD!$N$3:$N$5001,BD!$B$3:$B$5001,F$219,BD!$A$3:$A$5001,_xlfn.MAXIFS(BD!$A$3:$A$5001,BD!$B$3:$B$5001,F$219,BD!$A$3:$A$5001,"&gt;="&amp;$C$7,BD!$A$3:$A$5001,"&lt;="&amp;$B235,BD!$N$3:$N$5001,"&lt;&gt;"))))</f>
        <v/>
      </c>
      <c r="G235" s="43" t="str">
        <f>IF(OR($B235="",$A235&gt;$B$9,G$219=""),"",IF(COUNTIFS(BD!$B$3:$B$5001,G$219,BD!$A$3:$A$5001,"&gt;="&amp;$C$7,BD!$A$3:$A$5001,"&lt;="&amp;$B235,BD!$N$3:$N$5001,"&lt;&gt;")=0,"",SUMIFS(BD!$N$3:$N$5001,BD!$B$3:$B$5001,G$219,BD!$A$3:$A$5001,_xlfn.MAXIFS(BD!$A$3:$A$5001,BD!$B$3:$B$5001,G$219,BD!$A$3:$A$5001,"&gt;="&amp;$C$7,BD!$A$3:$A$5001,"&lt;="&amp;$B235,BD!$N$3:$N$5001,"&lt;&gt;"))))</f>
        <v/>
      </c>
      <c r="H235" s="43" t="str">
        <f>IF(OR($B235="",$A235&gt;$B$9,H$219=""),"",IF(COUNTIFS(BD!$B$3:$B$5001,H$219,BD!$A$3:$A$5001,"&gt;="&amp;$C$7,BD!$A$3:$A$5001,"&lt;="&amp;$B235,BD!$N$3:$N$5001,"&lt;&gt;")=0,"",SUMIFS(BD!$N$3:$N$5001,BD!$B$3:$B$5001,H$219,BD!$A$3:$A$5001,_xlfn.MAXIFS(BD!$A$3:$A$5001,BD!$B$3:$B$5001,H$219,BD!$A$3:$A$5001,"&gt;="&amp;$C$7,BD!$A$3:$A$5001,"&lt;="&amp;$B235,BD!$N$3:$N$5001,"&lt;&gt;"))))</f>
        <v/>
      </c>
      <c r="I235" s="43" t="str">
        <f>IF(OR($B235="",$A235&gt;$B$9,I$219=""),"",IF(COUNTIFS(BD!$B$3:$B$5001,I$219,BD!$A$3:$A$5001,"&gt;="&amp;$C$7,BD!$A$3:$A$5001,"&lt;="&amp;$B235,BD!$N$3:$N$5001,"&lt;&gt;")=0,"",SUMIFS(BD!$N$3:$N$5001,BD!$B$3:$B$5001,I$219,BD!$A$3:$A$5001,_xlfn.MAXIFS(BD!$A$3:$A$5001,BD!$B$3:$B$5001,I$219,BD!$A$3:$A$5001,"&gt;="&amp;$C$7,BD!$A$3:$A$5001,"&lt;="&amp;$B235,BD!$N$3:$N$5001,"&lt;&gt;"))))</f>
        <v/>
      </c>
      <c r="J235" s="43" t="str">
        <f>IF(OR($B235="",$A235&gt;$B$9,J$219=""),"",IF(COUNTIFS(BD!$B$3:$B$5001,J$219,BD!$A$3:$A$5001,"&gt;="&amp;$C$7,BD!$A$3:$A$5001,"&lt;="&amp;$B235,BD!$N$3:$N$5001,"&lt;&gt;")=0,"",SUMIFS(BD!$N$3:$N$5001,BD!$B$3:$B$5001,J$219,BD!$A$3:$A$5001,_xlfn.MAXIFS(BD!$A$3:$A$5001,BD!$B$3:$B$5001,J$219,BD!$A$3:$A$5001,"&gt;="&amp;$C$7,BD!$A$3:$A$5001,"&lt;="&amp;$B235,BD!$N$3:$N$5001,"&lt;&gt;"))))</f>
        <v/>
      </c>
      <c r="K235" s="43" t="str">
        <f>IF(OR($B235="",$A235&gt;$B$9,K$219=""),"",IF(COUNTIFS(BD!$B$3:$B$5001,K$219,BD!$A$3:$A$5001,"&gt;="&amp;$C$7,BD!$A$3:$A$5001,"&lt;="&amp;$B235,BD!$N$3:$N$5001,"&lt;&gt;")=0,"",SUMIFS(BD!$N$3:$N$5001,BD!$B$3:$B$5001,K$219,BD!$A$3:$A$5001,_xlfn.MAXIFS(BD!$A$3:$A$5001,BD!$B$3:$B$5001,K$219,BD!$A$3:$A$5001,"&gt;="&amp;$C$7,BD!$A$3:$A$5001,"&lt;="&amp;$B235,BD!$N$3:$N$5001,"&lt;&gt;"))))</f>
        <v/>
      </c>
      <c r="L235" s="43" t="str">
        <f>IF(OR($B235="",$A235&gt;$B$9,L$219=""),"",IF(COUNTIFS(BD!$B$3:$B$5001,L$219,BD!$A$3:$A$5001,"&gt;="&amp;$C$7,BD!$A$3:$A$5001,"&lt;="&amp;$B235,BD!$N$3:$N$5001,"&lt;&gt;")=0,"",SUMIFS(BD!$N$3:$N$5001,BD!$B$3:$B$5001,L$219,BD!$A$3:$A$5001,_xlfn.MAXIFS(BD!$A$3:$A$5001,BD!$B$3:$B$5001,L$219,BD!$A$3:$A$5001,"&gt;="&amp;$C$7,BD!$A$3:$A$5001,"&lt;="&amp;$B235,BD!$N$3:$N$5001,"&lt;&gt;"))))</f>
        <v/>
      </c>
      <c r="M235" s="43" t="str">
        <f>IF(OR($B235="",$A235&gt;$B$9,M$219=""),"",IF(COUNTIFS(BD!$B$3:$B$5001,M$219,BD!$A$3:$A$5001,"&gt;="&amp;$C$7,BD!$A$3:$A$5001,"&lt;="&amp;$B235,BD!$N$3:$N$5001,"&lt;&gt;")=0,"",SUMIFS(BD!$N$3:$N$5001,BD!$B$3:$B$5001,M$219,BD!$A$3:$A$5001,_xlfn.MAXIFS(BD!$A$3:$A$5001,BD!$B$3:$B$5001,M$219,BD!$A$3:$A$5001,"&gt;="&amp;$C$7,BD!$A$3:$A$5001,"&lt;="&amp;$B235,BD!$N$3:$N$5001,"&lt;&gt;"))))</f>
        <v/>
      </c>
      <c r="N235" s="43" t="str">
        <f>IF(OR($B235="",$A235&gt;$B$9,N$219=""),"",IF(COUNTIFS(BD!$B$3:$B$5001,N$219,BD!$A$3:$A$5001,"&gt;="&amp;$C$7,BD!$A$3:$A$5001,"&lt;="&amp;$B235,BD!$N$3:$N$5001,"&lt;&gt;")=0,"",SUMIFS(BD!$N$3:$N$5001,BD!$B$3:$B$5001,N$219,BD!$A$3:$A$5001,_xlfn.MAXIFS(BD!$A$3:$A$5001,BD!$B$3:$B$5001,N$219,BD!$A$3:$A$5001,"&gt;="&amp;$C$7,BD!$A$3:$A$5001,"&lt;="&amp;$B235,BD!$N$3:$N$5001,"&lt;&gt;"))))</f>
        <v/>
      </c>
      <c r="O235" s="43" t="str">
        <f>IF(OR($B235="",$A235&gt;$B$9,O$219=""),"",IF(COUNTIFS(BD!$B$3:$B$5001,O$219,BD!$A$3:$A$5001,"&gt;="&amp;$C$7,BD!$A$3:$A$5001,"&lt;="&amp;$B235,BD!$N$3:$N$5001,"&lt;&gt;")=0,"",SUMIFS(BD!$N$3:$N$5001,BD!$B$3:$B$5001,O$219,BD!$A$3:$A$5001,_xlfn.MAXIFS(BD!$A$3:$A$5001,BD!$B$3:$B$5001,O$219,BD!$A$3:$A$5001,"&gt;="&amp;$C$7,BD!$A$3:$A$5001,"&lt;="&amp;$B235,BD!$N$3:$N$5001,"&lt;&gt;"))))</f>
        <v/>
      </c>
      <c r="P235" s="43" t="str">
        <f>IF(OR($B235="",$A235&gt;$B$9,P$219=""),"",IF(COUNTIFS(BD!$B$3:$B$5001,P$219,BD!$A$3:$A$5001,"&gt;="&amp;$C$7,BD!$A$3:$A$5001,"&lt;="&amp;$B235,BD!$N$3:$N$5001,"&lt;&gt;")=0,"",SUMIFS(BD!$N$3:$N$5001,BD!$B$3:$B$5001,P$219,BD!$A$3:$A$5001,_xlfn.MAXIFS(BD!$A$3:$A$5001,BD!$B$3:$B$5001,P$219,BD!$A$3:$A$5001,"&gt;="&amp;$C$7,BD!$A$3:$A$5001,"&lt;="&amp;$B235,BD!$N$3:$N$5001,"&lt;&gt;"))))</f>
        <v/>
      </c>
      <c r="Q235" s="43" t="str">
        <f>IF(OR($B235="",$A235&gt;$B$9,Q$219=""),"",IF(COUNTIFS(BD!$B$3:$B$5001,Q$219,BD!$A$3:$A$5001,"&gt;="&amp;$C$7,BD!$A$3:$A$5001,"&lt;="&amp;$B235,BD!$N$3:$N$5001,"&lt;&gt;")=0,"",SUMIFS(BD!$N$3:$N$5001,BD!$B$3:$B$5001,Q$219,BD!$A$3:$A$5001,_xlfn.MAXIFS(BD!$A$3:$A$5001,BD!$B$3:$B$5001,Q$219,BD!$A$3:$A$5001,"&gt;="&amp;$C$7,BD!$A$3:$A$5001,"&lt;="&amp;$B235,BD!$N$3:$N$5001,"&lt;&gt;"))))</f>
        <v/>
      </c>
      <c r="R235" s="43" t="str">
        <f>IF(OR($B235="",$A235&gt;$B$9,R$219=""),"",IF(COUNTIFS(BD!$B$3:$B$5001,R$219,BD!$A$3:$A$5001,"&gt;="&amp;$C$7,BD!$A$3:$A$5001,"&lt;="&amp;$B235,BD!$N$3:$N$5001,"&lt;&gt;")=0,"",SUMIFS(BD!$N$3:$N$5001,BD!$B$3:$B$5001,R$219,BD!$A$3:$A$5001,_xlfn.MAXIFS(BD!$A$3:$A$5001,BD!$B$3:$B$5001,R$219,BD!$A$3:$A$5001,"&gt;="&amp;$C$7,BD!$A$3:$A$5001,"&lt;="&amp;$B235,BD!$N$3:$N$5001,"&lt;&gt;"))))</f>
        <v/>
      </c>
      <c r="S235" s="43" t="str">
        <f>IF(OR($B235="",$A235&gt;$B$9,S$219=""),"",IF(COUNTIFS(BD!$B$3:$B$5001,S$219,BD!$A$3:$A$5001,"&gt;="&amp;$C$7,BD!$A$3:$A$5001,"&lt;="&amp;$B235,BD!$N$3:$N$5001,"&lt;&gt;")=0,"",SUMIFS(BD!$N$3:$N$5001,BD!$B$3:$B$5001,S$219,BD!$A$3:$A$5001,_xlfn.MAXIFS(BD!$A$3:$A$5001,BD!$B$3:$B$5001,S$219,BD!$A$3:$A$5001,"&gt;="&amp;$C$7,BD!$A$3:$A$5001,"&lt;="&amp;$B235,BD!$N$3:$N$5001,"&lt;&gt;"))))</f>
        <v/>
      </c>
      <c r="T235" s="43" t="str">
        <f>IF(OR($B235="",$A235&gt;$B$9,T$219=""),"",IF(COUNTIFS(BD!$B$3:$B$5001,T$219,BD!$A$3:$A$5001,"&gt;="&amp;$C$7,BD!$A$3:$A$5001,"&lt;="&amp;$B235,BD!$N$3:$N$5001,"&lt;&gt;")=0,"",SUMIFS(BD!$N$3:$N$5001,BD!$B$3:$B$5001,T$219,BD!$A$3:$A$5001,_xlfn.MAXIFS(BD!$A$3:$A$5001,BD!$B$3:$B$5001,T$219,BD!$A$3:$A$5001,"&gt;="&amp;$C$7,BD!$A$3:$A$5001,"&lt;="&amp;$B235,BD!$N$3:$N$5001,"&lt;&gt;"))))</f>
        <v/>
      </c>
      <c r="U235" s="43" t="str">
        <f>IF(OR($B235="",$A235&gt;$B$9,U$219=""),"",IF(COUNTIFS(BD!$B$3:$B$5001,U$219,BD!$A$3:$A$5001,"&gt;="&amp;$C$7,BD!$A$3:$A$5001,"&lt;="&amp;$B235,BD!$N$3:$N$5001,"&lt;&gt;")=0,"",SUMIFS(BD!$N$3:$N$5001,BD!$B$3:$B$5001,U$219,BD!$A$3:$A$5001,_xlfn.MAXIFS(BD!$A$3:$A$5001,BD!$B$3:$B$5001,U$219,BD!$A$3:$A$5001,"&gt;="&amp;$C$7,BD!$A$3:$A$5001,"&lt;="&amp;$B235,BD!$N$3:$N$5001,"&lt;&gt;"))))</f>
        <v/>
      </c>
      <c r="V235" s="43" t="str">
        <f>IF(OR($B235="",$A235&gt;$B$9,V$219=""),"",IF(COUNTIFS(BD!$B$3:$B$5001,V$219,BD!$A$3:$A$5001,"&gt;="&amp;$C$7,BD!$A$3:$A$5001,"&lt;="&amp;$B235,BD!$N$3:$N$5001,"&lt;&gt;")=0,"",SUMIFS(BD!$N$3:$N$5001,BD!$B$3:$B$5001,V$219,BD!$A$3:$A$5001,_xlfn.MAXIFS(BD!$A$3:$A$5001,BD!$B$3:$B$5001,V$219,BD!$A$3:$A$5001,"&gt;="&amp;$C$7,BD!$A$3:$A$5001,"&lt;="&amp;$B235,BD!$N$3:$N$5001,"&lt;&gt;"))))</f>
        <v/>
      </c>
    </row>
    <row r="236">
      <c r="A236" s="38">
        <v>17</v>
      </c>
      <c r="B236" s="42">
        <f>$B$28</f>
        <v>46312</v>
      </c>
      <c r="C236" s="43" t="str">
        <f>IF(OR($B236="",$A236&gt;$B$9,C$219=""),"",IF(COUNTIFS(BD!$B$3:$B$5001,C$219,BD!$A$3:$A$5001,"&gt;="&amp;$C$7,BD!$A$3:$A$5001,"&lt;="&amp;$B236,BD!$N$3:$N$5001,"&lt;&gt;")=0,"",SUMIFS(BD!$N$3:$N$5001,BD!$B$3:$B$5001,C$219,BD!$A$3:$A$5001,_xlfn.MAXIFS(BD!$A$3:$A$5001,BD!$B$3:$B$5001,C$219,BD!$A$3:$A$5001,"&gt;="&amp;$C$7,BD!$A$3:$A$5001,"&lt;="&amp;$B236,BD!$N$3:$N$5001,"&lt;&gt;"))))</f>
        <v/>
      </c>
      <c r="D236" s="43" t="str">
        <f>IF(OR($B236="",$A236&gt;$B$9,D$219=""),"",IF(COUNTIFS(BD!$B$3:$B$5001,D$219,BD!$A$3:$A$5001,"&gt;="&amp;$C$7,BD!$A$3:$A$5001,"&lt;="&amp;$B236,BD!$N$3:$N$5001,"&lt;&gt;")=0,"",SUMIFS(BD!$N$3:$N$5001,BD!$B$3:$B$5001,D$219,BD!$A$3:$A$5001,_xlfn.MAXIFS(BD!$A$3:$A$5001,BD!$B$3:$B$5001,D$219,BD!$A$3:$A$5001,"&gt;="&amp;$C$7,BD!$A$3:$A$5001,"&lt;="&amp;$B236,BD!$N$3:$N$5001,"&lt;&gt;"))))</f>
        <v/>
      </c>
      <c r="E236" s="43" t="str">
        <f>IF(OR($B236="",$A236&gt;$B$9,E$219=""),"",IF(COUNTIFS(BD!$B$3:$B$5001,E$219,BD!$A$3:$A$5001,"&gt;="&amp;$C$7,BD!$A$3:$A$5001,"&lt;="&amp;$B236,BD!$N$3:$N$5001,"&lt;&gt;")=0,"",SUMIFS(BD!$N$3:$N$5001,BD!$B$3:$B$5001,E$219,BD!$A$3:$A$5001,_xlfn.MAXIFS(BD!$A$3:$A$5001,BD!$B$3:$B$5001,E$219,BD!$A$3:$A$5001,"&gt;="&amp;$C$7,BD!$A$3:$A$5001,"&lt;="&amp;$B236,BD!$N$3:$N$5001,"&lt;&gt;"))))</f>
        <v/>
      </c>
      <c r="F236" s="43" t="str">
        <f>IF(OR($B236="",$A236&gt;$B$9,F$219=""),"",IF(COUNTIFS(BD!$B$3:$B$5001,F$219,BD!$A$3:$A$5001,"&gt;="&amp;$C$7,BD!$A$3:$A$5001,"&lt;="&amp;$B236,BD!$N$3:$N$5001,"&lt;&gt;")=0,"",SUMIFS(BD!$N$3:$N$5001,BD!$B$3:$B$5001,F$219,BD!$A$3:$A$5001,_xlfn.MAXIFS(BD!$A$3:$A$5001,BD!$B$3:$B$5001,F$219,BD!$A$3:$A$5001,"&gt;="&amp;$C$7,BD!$A$3:$A$5001,"&lt;="&amp;$B236,BD!$N$3:$N$5001,"&lt;&gt;"))))</f>
        <v/>
      </c>
      <c r="G236" s="43" t="str">
        <f>IF(OR($B236="",$A236&gt;$B$9,G$219=""),"",IF(COUNTIFS(BD!$B$3:$B$5001,G$219,BD!$A$3:$A$5001,"&gt;="&amp;$C$7,BD!$A$3:$A$5001,"&lt;="&amp;$B236,BD!$N$3:$N$5001,"&lt;&gt;")=0,"",SUMIFS(BD!$N$3:$N$5001,BD!$B$3:$B$5001,G$219,BD!$A$3:$A$5001,_xlfn.MAXIFS(BD!$A$3:$A$5001,BD!$B$3:$B$5001,G$219,BD!$A$3:$A$5001,"&gt;="&amp;$C$7,BD!$A$3:$A$5001,"&lt;="&amp;$B236,BD!$N$3:$N$5001,"&lt;&gt;"))))</f>
        <v/>
      </c>
      <c r="H236" s="43" t="str">
        <f>IF(OR($B236="",$A236&gt;$B$9,H$219=""),"",IF(COUNTIFS(BD!$B$3:$B$5001,H$219,BD!$A$3:$A$5001,"&gt;="&amp;$C$7,BD!$A$3:$A$5001,"&lt;="&amp;$B236,BD!$N$3:$N$5001,"&lt;&gt;")=0,"",SUMIFS(BD!$N$3:$N$5001,BD!$B$3:$B$5001,H$219,BD!$A$3:$A$5001,_xlfn.MAXIFS(BD!$A$3:$A$5001,BD!$B$3:$B$5001,H$219,BD!$A$3:$A$5001,"&gt;="&amp;$C$7,BD!$A$3:$A$5001,"&lt;="&amp;$B236,BD!$N$3:$N$5001,"&lt;&gt;"))))</f>
        <v/>
      </c>
      <c r="I236" s="43" t="str">
        <f>IF(OR($B236="",$A236&gt;$B$9,I$219=""),"",IF(COUNTIFS(BD!$B$3:$B$5001,I$219,BD!$A$3:$A$5001,"&gt;="&amp;$C$7,BD!$A$3:$A$5001,"&lt;="&amp;$B236,BD!$N$3:$N$5001,"&lt;&gt;")=0,"",SUMIFS(BD!$N$3:$N$5001,BD!$B$3:$B$5001,I$219,BD!$A$3:$A$5001,_xlfn.MAXIFS(BD!$A$3:$A$5001,BD!$B$3:$B$5001,I$219,BD!$A$3:$A$5001,"&gt;="&amp;$C$7,BD!$A$3:$A$5001,"&lt;="&amp;$B236,BD!$N$3:$N$5001,"&lt;&gt;"))))</f>
        <v/>
      </c>
      <c r="J236" s="43" t="str">
        <f>IF(OR($B236="",$A236&gt;$B$9,J$219=""),"",IF(COUNTIFS(BD!$B$3:$B$5001,J$219,BD!$A$3:$A$5001,"&gt;="&amp;$C$7,BD!$A$3:$A$5001,"&lt;="&amp;$B236,BD!$N$3:$N$5001,"&lt;&gt;")=0,"",SUMIFS(BD!$N$3:$N$5001,BD!$B$3:$B$5001,J$219,BD!$A$3:$A$5001,_xlfn.MAXIFS(BD!$A$3:$A$5001,BD!$B$3:$B$5001,J$219,BD!$A$3:$A$5001,"&gt;="&amp;$C$7,BD!$A$3:$A$5001,"&lt;="&amp;$B236,BD!$N$3:$N$5001,"&lt;&gt;"))))</f>
        <v/>
      </c>
      <c r="K236" s="43" t="str">
        <f>IF(OR($B236="",$A236&gt;$B$9,K$219=""),"",IF(COUNTIFS(BD!$B$3:$B$5001,K$219,BD!$A$3:$A$5001,"&gt;="&amp;$C$7,BD!$A$3:$A$5001,"&lt;="&amp;$B236,BD!$N$3:$N$5001,"&lt;&gt;")=0,"",SUMIFS(BD!$N$3:$N$5001,BD!$B$3:$B$5001,K$219,BD!$A$3:$A$5001,_xlfn.MAXIFS(BD!$A$3:$A$5001,BD!$B$3:$B$5001,K$219,BD!$A$3:$A$5001,"&gt;="&amp;$C$7,BD!$A$3:$A$5001,"&lt;="&amp;$B236,BD!$N$3:$N$5001,"&lt;&gt;"))))</f>
        <v/>
      </c>
      <c r="L236" s="43" t="str">
        <f>IF(OR($B236="",$A236&gt;$B$9,L$219=""),"",IF(COUNTIFS(BD!$B$3:$B$5001,L$219,BD!$A$3:$A$5001,"&gt;="&amp;$C$7,BD!$A$3:$A$5001,"&lt;="&amp;$B236,BD!$N$3:$N$5001,"&lt;&gt;")=0,"",SUMIFS(BD!$N$3:$N$5001,BD!$B$3:$B$5001,L$219,BD!$A$3:$A$5001,_xlfn.MAXIFS(BD!$A$3:$A$5001,BD!$B$3:$B$5001,L$219,BD!$A$3:$A$5001,"&gt;="&amp;$C$7,BD!$A$3:$A$5001,"&lt;="&amp;$B236,BD!$N$3:$N$5001,"&lt;&gt;"))))</f>
        <v/>
      </c>
      <c r="M236" s="43" t="str">
        <f>IF(OR($B236="",$A236&gt;$B$9,M$219=""),"",IF(COUNTIFS(BD!$B$3:$B$5001,M$219,BD!$A$3:$A$5001,"&gt;="&amp;$C$7,BD!$A$3:$A$5001,"&lt;="&amp;$B236,BD!$N$3:$N$5001,"&lt;&gt;")=0,"",SUMIFS(BD!$N$3:$N$5001,BD!$B$3:$B$5001,M$219,BD!$A$3:$A$5001,_xlfn.MAXIFS(BD!$A$3:$A$5001,BD!$B$3:$B$5001,M$219,BD!$A$3:$A$5001,"&gt;="&amp;$C$7,BD!$A$3:$A$5001,"&lt;="&amp;$B236,BD!$N$3:$N$5001,"&lt;&gt;"))))</f>
        <v/>
      </c>
      <c r="N236" s="43" t="str">
        <f>IF(OR($B236="",$A236&gt;$B$9,N$219=""),"",IF(COUNTIFS(BD!$B$3:$B$5001,N$219,BD!$A$3:$A$5001,"&gt;="&amp;$C$7,BD!$A$3:$A$5001,"&lt;="&amp;$B236,BD!$N$3:$N$5001,"&lt;&gt;")=0,"",SUMIFS(BD!$N$3:$N$5001,BD!$B$3:$B$5001,N$219,BD!$A$3:$A$5001,_xlfn.MAXIFS(BD!$A$3:$A$5001,BD!$B$3:$B$5001,N$219,BD!$A$3:$A$5001,"&gt;="&amp;$C$7,BD!$A$3:$A$5001,"&lt;="&amp;$B236,BD!$N$3:$N$5001,"&lt;&gt;"))))</f>
        <v/>
      </c>
      <c r="O236" s="43" t="str">
        <f>IF(OR($B236="",$A236&gt;$B$9,O$219=""),"",IF(COUNTIFS(BD!$B$3:$B$5001,O$219,BD!$A$3:$A$5001,"&gt;="&amp;$C$7,BD!$A$3:$A$5001,"&lt;="&amp;$B236,BD!$N$3:$N$5001,"&lt;&gt;")=0,"",SUMIFS(BD!$N$3:$N$5001,BD!$B$3:$B$5001,O$219,BD!$A$3:$A$5001,_xlfn.MAXIFS(BD!$A$3:$A$5001,BD!$B$3:$B$5001,O$219,BD!$A$3:$A$5001,"&gt;="&amp;$C$7,BD!$A$3:$A$5001,"&lt;="&amp;$B236,BD!$N$3:$N$5001,"&lt;&gt;"))))</f>
        <v/>
      </c>
      <c r="P236" s="43" t="str">
        <f>IF(OR($B236="",$A236&gt;$B$9,P$219=""),"",IF(COUNTIFS(BD!$B$3:$B$5001,P$219,BD!$A$3:$A$5001,"&gt;="&amp;$C$7,BD!$A$3:$A$5001,"&lt;="&amp;$B236,BD!$N$3:$N$5001,"&lt;&gt;")=0,"",SUMIFS(BD!$N$3:$N$5001,BD!$B$3:$B$5001,P$219,BD!$A$3:$A$5001,_xlfn.MAXIFS(BD!$A$3:$A$5001,BD!$B$3:$B$5001,P$219,BD!$A$3:$A$5001,"&gt;="&amp;$C$7,BD!$A$3:$A$5001,"&lt;="&amp;$B236,BD!$N$3:$N$5001,"&lt;&gt;"))))</f>
        <v/>
      </c>
      <c r="Q236" s="43" t="str">
        <f>IF(OR($B236="",$A236&gt;$B$9,Q$219=""),"",IF(COUNTIFS(BD!$B$3:$B$5001,Q$219,BD!$A$3:$A$5001,"&gt;="&amp;$C$7,BD!$A$3:$A$5001,"&lt;="&amp;$B236,BD!$N$3:$N$5001,"&lt;&gt;")=0,"",SUMIFS(BD!$N$3:$N$5001,BD!$B$3:$B$5001,Q$219,BD!$A$3:$A$5001,_xlfn.MAXIFS(BD!$A$3:$A$5001,BD!$B$3:$B$5001,Q$219,BD!$A$3:$A$5001,"&gt;="&amp;$C$7,BD!$A$3:$A$5001,"&lt;="&amp;$B236,BD!$N$3:$N$5001,"&lt;&gt;"))))</f>
        <v/>
      </c>
      <c r="R236" s="43" t="str">
        <f>IF(OR($B236="",$A236&gt;$B$9,R$219=""),"",IF(COUNTIFS(BD!$B$3:$B$5001,R$219,BD!$A$3:$A$5001,"&gt;="&amp;$C$7,BD!$A$3:$A$5001,"&lt;="&amp;$B236,BD!$N$3:$N$5001,"&lt;&gt;")=0,"",SUMIFS(BD!$N$3:$N$5001,BD!$B$3:$B$5001,R$219,BD!$A$3:$A$5001,_xlfn.MAXIFS(BD!$A$3:$A$5001,BD!$B$3:$B$5001,R$219,BD!$A$3:$A$5001,"&gt;="&amp;$C$7,BD!$A$3:$A$5001,"&lt;="&amp;$B236,BD!$N$3:$N$5001,"&lt;&gt;"))))</f>
        <v/>
      </c>
      <c r="S236" s="43" t="str">
        <f>IF(OR($B236="",$A236&gt;$B$9,S$219=""),"",IF(COUNTIFS(BD!$B$3:$B$5001,S$219,BD!$A$3:$A$5001,"&gt;="&amp;$C$7,BD!$A$3:$A$5001,"&lt;="&amp;$B236,BD!$N$3:$N$5001,"&lt;&gt;")=0,"",SUMIFS(BD!$N$3:$N$5001,BD!$B$3:$B$5001,S$219,BD!$A$3:$A$5001,_xlfn.MAXIFS(BD!$A$3:$A$5001,BD!$B$3:$B$5001,S$219,BD!$A$3:$A$5001,"&gt;="&amp;$C$7,BD!$A$3:$A$5001,"&lt;="&amp;$B236,BD!$N$3:$N$5001,"&lt;&gt;"))))</f>
        <v/>
      </c>
      <c r="T236" s="43" t="str">
        <f>IF(OR($B236="",$A236&gt;$B$9,T$219=""),"",IF(COUNTIFS(BD!$B$3:$B$5001,T$219,BD!$A$3:$A$5001,"&gt;="&amp;$C$7,BD!$A$3:$A$5001,"&lt;="&amp;$B236,BD!$N$3:$N$5001,"&lt;&gt;")=0,"",SUMIFS(BD!$N$3:$N$5001,BD!$B$3:$B$5001,T$219,BD!$A$3:$A$5001,_xlfn.MAXIFS(BD!$A$3:$A$5001,BD!$B$3:$B$5001,T$219,BD!$A$3:$A$5001,"&gt;="&amp;$C$7,BD!$A$3:$A$5001,"&lt;="&amp;$B236,BD!$N$3:$N$5001,"&lt;&gt;"))))</f>
        <v/>
      </c>
      <c r="U236" s="43" t="str">
        <f>IF(OR($B236="",$A236&gt;$B$9,U$219=""),"",IF(COUNTIFS(BD!$B$3:$B$5001,U$219,BD!$A$3:$A$5001,"&gt;="&amp;$C$7,BD!$A$3:$A$5001,"&lt;="&amp;$B236,BD!$N$3:$N$5001,"&lt;&gt;")=0,"",SUMIFS(BD!$N$3:$N$5001,BD!$B$3:$B$5001,U$219,BD!$A$3:$A$5001,_xlfn.MAXIFS(BD!$A$3:$A$5001,BD!$B$3:$B$5001,U$219,BD!$A$3:$A$5001,"&gt;="&amp;$C$7,BD!$A$3:$A$5001,"&lt;="&amp;$B236,BD!$N$3:$N$5001,"&lt;&gt;"))))</f>
        <v/>
      </c>
      <c r="V236" s="43" t="str">
        <f>IF(OR($B236="",$A236&gt;$B$9,V$219=""),"",IF(COUNTIFS(BD!$B$3:$B$5001,V$219,BD!$A$3:$A$5001,"&gt;="&amp;$C$7,BD!$A$3:$A$5001,"&lt;="&amp;$B236,BD!$N$3:$N$5001,"&lt;&gt;")=0,"",SUMIFS(BD!$N$3:$N$5001,BD!$B$3:$B$5001,V$219,BD!$A$3:$A$5001,_xlfn.MAXIFS(BD!$A$3:$A$5001,BD!$B$3:$B$5001,V$219,BD!$A$3:$A$5001,"&gt;="&amp;$C$7,BD!$A$3:$A$5001,"&lt;="&amp;$B236,BD!$N$3:$N$5001,"&lt;&gt;"))))</f>
        <v/>
      </c>
    </row>
    <row r="237">
      <c r="A237" s="38">
        <v>18</v>
      </c>
      <c r="B237" s="42">
        <f>$B$29</f>
        <v>46313</v>
      </c>
      <c r="C237" s="43" t="str">
        <f>IF(OR($B237="",$A237&gt;$B$9,C$219=""),"",IF(COUNTIFS(BD!$B$3:$B$5001,C$219,BD!$A$3:$A$5001,"&gt;="&amp;$C$7,BD!$A$3:$A$5001,"&lt;="&amp;$B237,BD!$N$3:$N$5001,"&lt;&gt;")=0,"",SUMIFS(BD!$N$3:$N$5001,BD!$B$3:$B$5001,C$219,BD!$A$3:$A$5001,_xlfn.MAXIFS(BD!$A$3:$A$5001,BD!$B$3:$B$5001,C$219,BD!$A$3:$A$5001,"&gt;="&amp;$C$7,BD!$A$3:$A$5001,"&lt;="&amp;$B237,BD!$N$3:$N$5001,"&lt;&gt;"))))</f>
        <v/>
      </c>
      <c r="D237" s="43" t="str">
        <f>IF(OR($B237="",$A237&gt;$B$9,D$219=""),"",IF(COUNTIFS(BD!$B$3:$B$5001,D$219,BD!$A$3:$A$5001,"&gt;="&amp;$C$7,BD!$A$3:$A$5001,"&lt;="&amp;$B237,BD!$N$3:$N$5001,"&lt;&gt;")=0,"",SUMIFS(BD!$N$3:$N$5001,BD!$B$3:$B$5001,D$219,BD!$A$3:$A$5001,_xlfn.MAXIFS(BD!$A$3:$A$5001,BD!$B$3:$B$5001,D$219,BD!$A$3:$A$5001,"&gt;="&amp;$C$7,BD!$A$3:$A$5001,"&lt;="&amp;$B237,BD!$N$3:$N$5001,"&lt;&gt;"))))</f>
        <v/>
      </c>
      <c r="E237" s="43" t="str">
        <f>IF(OR($B237="",$A237&gt;$B$9,E$219=""),"",IF(COUNTIFS(BD!$B$3:$B$5001,E$219,BD!$A$3:$A$5001,"&gt;="&amp;$C$7,BD!$A$3:$A$5001,"&lt;="&amp;$B237,BD!$N$3:$N$5001,"&lt;&gt;")=0,"",SUMIFS(BD!$N$3:$N$5001,BD!$B$3:$B$5001,E$219,BD!$A$3:$A$5001,_xlfn.MAXIFS(BD!$A$3:$A$5001,BD!$B$3:$B$5001,E$219,BD!$A$3:$A$5001,"&gt;="&amp;$C$7,BD!$A$3:$A$5001,"&lt;="&amp;$B237,BD!$N$3:$N$5001,"&lt;&gt;"))))</f>
        <v/>
      </c>
      <c r="F237" s="43" t="str">
        <f>IF(OR($B237="",$A237&gt;$B$9,F$219=""),"",IF(COUNTIFS(BD!$B$3:$B$5001,F$219,BD!$A$3:$A$5001,"&gt;="&amp;$C$7,BD!$A$3:$A$5001,"&lt;="&amp;$B237,BD!$N$3:$N$5001,"&lt;&gt;")=0,"",SUMIFS(BD!$N$3:$N$5001,BD!$B$3:$B$5001,F$219,BD!$A$3:$A$5001,_xlfn.MAXIFS(BD!$A$3:$A$5001,BD!$B$3:$B$5001,F$219,BD!$A$3:$A$5001,"&gt;="&amp;$C$7,BD!$A$3:$A$5001,"&lt;="&amp;$B237,BD!$N$3:$N$5001,"&lt;&gt;"))))</f>
        <v/>
      </c>
      <c r="G237" s="43" t="str">
        <f>IF(OR($B237="",$A237&gt;$B$9,G$219=""),"",IF(COUNTIFS(BD!$B$3:$B$5001,G$219,BD!$A$3:$A$5001,"&gt;="&amp;$C$7,BD!$A$3:$A$5001,"&lt;="&amp;$B237,BD!$N$3:$N$5001,"&lt;&gt;")=0,"",SUMIFS(BD!$N$3:$N$5001,BD!$B$3:$B$5001,G$219,BD!$A$3:$A$5001,_xlfn.MAXIFS(BD!$A$3:$A$5001,BD!$B$3:$B$5001,G$219,BD!$A$3:$A$5001,"&gt;="&amp;$C$7,BD!$A$3:$A$5001,"&lt;="&amp;$B237,BD!$N$3:$N$5001,"&lt;&gt;"))))</f>
        <v/>
      </c>
      <c r="H237" s="43" t="str">
        <f>IF(OR($B237="",$A237&gt;$B$9,H$219=""),"",IF(COUNTIFS(BD!$B$3:$B$5001,H$219,BD!$A$3:$A$5001,"&gt;="&amp;$C$7,BD!$A$3:$A$5001,"&lt;="&amp;$B237,BD!$N$3:$N$5001,"&lt;&gt;")=0,"",SUMIFS(BD!$N$3:$N$5001,BD!$B$3:$B$5001,H$219,BD!$A$3:$A$5001,_xlfn.MAXIFS(BD!$A$3:$A$5001,BD!$B$3:$B$5001,H$219,BD!$A$3:$A$5001,"&gt;="&amp;$C$7,BD!$A$3:$A$5001,"&lt;="&amp;$B237,BD!$N$3:$N$5001,"&lt;&gt;"))))</f>
        <v/>
      </c>
      <c r="I237" s="43" t="str">
        <f>IF(OR($B237="",$A237&gt;$B$9,I$219=""),"",IF(COUNTIFS(BD!$B$3:$B$5001,I$219,BD!$A$3:$A$5001,"&gt;="&amp;$C$7,BD!$A$3:$A$5001,"&lt;="&amp;$B237,BD!$N$3:$N$5001,"&lt;&gt;")=0,"",SUMIFS(BD!$N$3:$N$5001,BD!$B$3:$B$5001,I$219,BD!$A$3:$A$5001,_xlfn.MAXIFS(BD!$A$3:$A$5001,BD!$B$3:$B$5001,I$219,BD!$A$3:$A$5001,"&gt;="&amp;$C$7,BD!$A$3:$A$5001,"&lt;="&amp;$B237,BD!$N$3:$N$5001,"&lt;&gt;"))))</f>
        <v/>
      </c>
      <c r="J237" s="43" t="str">
        <f>IF(OR($B237="",$A237&gt;$B$9,J$219=""),"",IF(COUNTIFS(BD!$B$3:$B$5001,J$219,BD!$A$3:$A$5001,"&gt;="&amp;$C$7,BD!$A$3:$A$5001,"&lt;="&amp;$B237,BD!$N$3:$N$5001,"&lt;&gt;")=0,"",SUMIFS(BD!$N$3:$N$5001,BD!$B$3:$B$5001,J$219,BD!$A$3:$A$5001,_xlfn.MAXIFS(BD!$A$3:$A$5001,BD!$B$3:$B$5001,J$219,BD!$A$3:$A$5001,"&gt;="&amp;$C$7,BD!$A$3:$A$5001,"&lt;="&amp;$B237,BD!$N$3:$N$5001,"&lt;&gt;"))))</f>
        <v/>
      </c>
      <c r="K237" s="43" t="str">
        <f>IF(OR($B237="",$A237&gt;$B$9,K$219=""),"",IF(COUNTIFS(BD!$B$3:$B$5001,K$219,BD!$A$3:$A$5001,"&gt;="&amp;$C$7,BD!$A$3:$A$5001,"&lt;="&amp;$B237,BD!$N$3:$N$5001,"&lt;&gt;")=0,"",SUMIFS(BD!$N$3:$N$5001,BD!$B$3:$B$5001,K$219,BD!$A$3:$A$5001,_xlfn.MAXIFS(BD!$A$3:$A$5001,BD!$B$3:$B$5001,K$219,BD!$A$3:$A$5001,"&gt;="&amp;$C$7,BD!$A$3:$A$5001,"&lt;="&amp;$B237,BD!$N$3:$N$5001,"&lt;&gt;"))))</f>
        <v/>
      </c>
      <c r="L237" s="43" t="str">
        <f>IF(OR($B237="",$A237&gt;$B$9,L$219=""),"",IF(COUNTIFS(BD!$B$3:$B$5001,L$219,BD!$A$3:$A$5001,"&gt;="&amp;$C$7,BD!$A$3:$A$5001,"&lt;="&amp;$B237,BD!$N$3:$N$5001,"&lt;&gt;")=0,"",SUMIFS(BD!$N$3:$N$5001,BD!$B$3:$B$5001,L$219,BD!$A$3:$A$5001,_xlfn.MAXIFS(BD!$A$3:$A$5001,BD!$B$3:$B$5001,L$219,BD!$A$3:$A$5001,"&gt;="&amp;$C$7,BD!$A$3:$A$5001,"&lt;="&amp;$B237,BD!$N$3:$N$5001,"&lt;&gt;"))))</f>
        <v/>
      </c>
      <c r="M237" s="43" t="str">
        <f>IF(OR($B237="",$A237&gt;$B$9,M$219=""),"",IF(COUNTIFS(BD!$B$3:$B$5001,M$219,BD!$A$3:$A$5001,"&gt;="&amp;$C$7,BD!$A$3:$A$5001,"&lt;="&amp;$B237,BD!$N$3:$N$5001,"&lt;&gt;")=0,"",SUMIFS(BD!$N$3:$N$5001,BD!$B$3:$B$5001,M$219,BD!$A$3:$A$5001,_xlfn.MAXIFS(BD!$A$3:$A$5001,BD!$B$3:$B$5001,M$219,BD!$A$3:$A$5001,"&gt;="&amp;$C$7,BD!$A$3:$A$5001,"&lt;="&amp;$B237,BD!$N$3:$N$5001,"&lt;&gt;"))))</f>
        <v/>
      </c>
      <c r="N237" s="43" t="str">
        <f>IF(OR($B237="",$A237&gt;$B$9,N$219=""),"",IF(COUNTIFS(BD!$B$3:$B$5001,N$219,BD!$A$3:$A$5001,"&gt;="&amp;$C$7,BD!$A$3:$A$5001,"&lt;="&amp;$B237,BD!$N$3:$N$5001,"&lt;&gt;")=0,"",SUMIFS(BD!$N$3:$N$5001,BD!$B$3:$B$5001,N$219,BD!$A$3:$A$5001,_xlfn.MAXIFS(BD!$A$3:$A$5001,BD!$B$3:$B$5001,N$219,BD!$A$3:$A$5001,"&gt;="&amp;$C$7,BD!$A$3:$A$5001,"&lt;="&amp;$B237,BD!$N$3:$N$5001,"&lt;&gt;"))))</f>
        <v/>
      </c>
      <c r="O237" s="43" t="str">
        <f>IF(OR($B237="",$A237&gt;$B$9,O$219=""),"",IF(COUNTIFS(BD!$B$3:$B$5001,O$219,BD!$A$3:$A$5001,"&gt;="&amp;$C$7,BD!$A$3:$A$5001,"&lt;="&amp;$B237,BD!$N$3:$N$5001,"&lt;&gt;")=0,"",SUMIFS(BD!$N$3:$N$5001,BD!$B$3:$B$5001,O$219,BD!$A$3:$A$5001,_xlfn.MAXIFS(BD!$A$3:$A$5001,BD!$B$3:$B$5001,O$219,BD!$A$3:$A$5001,"&gt;="&amp;$C$7,BD!$A$3:$A$5001,"&lt;="&amp;$B237,BD!$N$3:$N$5001,"&lt;&gt;"))))</f>
        <v/>
      </c>
      <c r="P237" s="43" t="str">
        <f>IF(OR($B237="",$A237&gt;$B$9,P$219=""),"",IF(COUNTIFS(BD!$B$3:$B$5001,P$219,BD!$A$3:$A$5001,"&gt;="&amp;$C$7,BD!$A$3:$A$5001,"&lt;="&amp;$B237,BD!$N$3:$N$5001,"&lt;&gt;")=0,"",SUMIFS(BD!$N$3:$N$5001,BD!$B$3:$B$5001,P$219,BD!$A$3:$A$5001,_xlfn.MAXIFS(BD!$A$3:$A$5001,BD!$B$3:$B$5001,P$219,BD!$A$3:$A$5001,"&gt;="&amp;$C$7,BD!$A$3:$A$5001,"&lt;="&amp;$B237,BD!$N$3:$N$5001,"&lt;&gt;"))))</f>
        <v/>
      </c>
      <c r="Q237" s="43" t="str">
        <f>IF(OR($B237="",$A237&gt;$B$9,Q$219=""),"",IF(COUNTIFS(BD!$B$3:$B$5001,Q$219,BD!$A$3:$A$5001,"&gt;="&amp;$C$7,BD!$A$3:$A$5001,"&lt;="&amp;$B237,BD!$N$3:$N$5001,"&lt;&gt;")=0,"",SUMIFS(BD!$N$3:$N$5001,BD!$B$3:$B$5001,Q$219,BD!$A$3:$A$5001,_xlfn.MAXIFS(BD!$A$3:$A$5001,BD!$B$3:$B$5001,Q$219,BD!$A$3:$A$5001,"&gt;="&amp;$C$7,BD!$A$3:$A$5001,"&lt;="&amp;$B237,BD!$N$3:$N$5001,"&lt;&gt;"))))</f>
        <v/>
      </c>
      <c r="R237" s="43" t="str">
        <f>IF(OR($B237="",$A237&gt;$B$9,R$219=""),"",IF(COUNTIFS(BD!$B$3:$B$5001,R$219,BD!$A$3:$A$5001,"&gt;="&amp;$C$7,BD!$A$3:$A$5001,"&lt;="&amp;$B237,BD!$N$3:$N$5001,"&lt;&gt;")=0,"",SUMIFS(BD!$N$3:$N$5001,BD!$B$3:$B$5001,R$219,BD!$A$3:$A$5001,_xlfn.MAXIFS(BD!$A$3:$A$5001,BD!$B$3:$B$5001,R$219,BD!$A$3:$A$5001,"&gt;="&amp;$C$7,BD!$A$3:$A$5001,"&lt;="&amp;$B237,BD!$N$3:$N$5001,"&lt;&gt;"))))</f>
        <v/>
      </c>
      <c r="S237" s="43" t="str">
        <f>IF(OR($B237="",$A237&gt;$B$9,S$219=""),"",IF(COUNTIFS(BD!$B$3:$B$5001,S$219,BD!$A$3:$A$5001,"&gt;="&amp;$C$7,BD!$A$3:$A$5001,"&lt;="&amp;$B237,BD!$N$3:$N$5001,"&lt;&gt;")=0,"",SUMIFS(BD!$N$3:$N$5001,BD!$B$3:$B$5001,S$219,BD!$A$3:$A$5001,_xlfn.MAXIFS(BD!$A$3:$A$5001,BD!$B$3:$B$5001,S$219,BD!$A$3:$A$5001,"&gt;="&amp;$C$7,BD!$A$3:$A$5001,"&lt;="&amp;$B237,BD!$N$3:$N$5001,"&lt;&gt;"))))</f>
        <v/>
      </c>
      <c r="T237" s="43" t="str">
        <f>IF(OR($B237="",$A237&gt;$B$9,T$219=""),"",IF(COUNTIFS(BD!$B$3:$B$5001,T$219,BD!$A$3:$A$5001,"&gt;="&amp;$C$7,BD!$A$3:$A$5001,"&lt;="&amp;$B237,BD!$N$3:$N$5001,"&lt;&gt;")=0,"",SUMIFS(BD!$N$3:$N$5001,BD!$B$3:$B$5001,T$219,BD!$A$3:$A$5001,_xlfn.MAXIFS(BD!$A$3:$A$5001,BD!$B$3:$B$5001,T$219,BD!$A$3:$A$5001,"&gt;="&amp;$C$7,BD!$A$3:$A$5001,"&lt;="&amp;$B237,BD!$N$3:$N$5001,"&lt;&gt;"))))</f>
        <v/>
      </c>
      <c r="U237" s="43" t="str">
        <f>IF(OR($B237="",$A237&gt;$B$9,U$219=""),"",IF(COUNTIFS(BD!$B$3:$B$5001,U$219,BD!$A$3:$A$5001,"&gt;="&amp;$C$7,BD!$A$3:$A$5001,"&lt;="&amp;$B237,BD!$N$3:$N$5001,"&lt;&gt;")=0,"",SUMIFS(BD!$N$3:$N$5001,BD!$B$3:$B$5001,U$219,BD!$A$3:$A$5001,_xlfn.MAXIFS(BD!$A$3:$A$5001,BD!$B$3:$B$5001,U$219,BD!$A$3:$A$5001,"&gt;="&amp;$C$7,BD!$A$3:$A$5001,"&lt;="&amp;$B237,BD!$N$3:$N$5001,"&lt;&gt;"))))</f>
        <v/>
      </c>
      <c r="V237" s="43" t="str">
        <f>IF(OR($B237="",$A237&gt;$B$9,V$219=""),"",IF(COUNTIFS(BD!$B$3:$B$5001,V$219,BD!$A$3:$A$5001,"&gt;="&amp;$C$7,BD!$A$3:$A$5001,"&lt;="&amp;$B237,BD!$N$3:$N$5001,"&lt;&gt;")=0,"",SUMIFS(BD!$N$3:$N$5001,BD!$B$3:$B$5001,V$219,BD!$A$3:$A$5001,_xlfn.MAXIFS(BD!$A$3:$A$5001,BD!$B$3:$B$5001,V$219,BD!$A$3:$A$5001,"&gt;="&amp;$C$7,BD!$A$3:$A$5001,"&lt;="&amp;$B237,BD!$N$3:$N$5001,"&lt;&gt;"))))</f>
        <v/>
      </c>
    </row>
    <row r="238">
      <c r="A238" s="38">
        <v>19</v>
      </c>
      <c r="B238" s="42">
        <f>$B$30</f>
        <v>46314</v>
      </c>
      <c r="C238" s="43" t="str">
        <f>IF(OR($B238="",$A238&gt;$B$9,C$219=""),"",IF(COUNTIFS(BD!$B$3:$B$5001,C$219,BD!$A$3:$A$5001,"&gt;="&amp;$C$7,BD!$A$3:$A$5001,"&lt;="&amp;$B238,BD!$N$3:$N$5001,"&lt;&gt;")=0,"",SUMIFS(BD!$N$3:$N$5001,BD!$B$3:$B$5001,C$219,BD!$A$3:$A$5001,_xlfn.MAXIFS(BD!$A$3:$A$5001,BD!$B$3:$B$5001,C$219,BD!$A$3:$A$5001,"&gt;="&amp;$C$7,BD!$A$3:$A$5001,"&lt;="&amp;$B238,BD!$N$3:$N$5001,"&lt;&gt;"))))</f>
        <v/>
      </c>
      <c r="D238" s="43" t="str">
        <f>IF(OR($B238="",$A238&gt;$B$9,D$219=""),"",IF(COUNTIFS(BD!$B$3:$B$5001,D$219,BD!$A$3:$A$5001,"&gt;="&amp;$C$7,BD!$A$3:$A$5001,"&lt;="&amp;$B238,BD!$N$3:$N$5001,"&lt;&gt;")=0,"",SUMIFS(BD!$N$3:$N$5001,BD!$B$3:$B$5001,D$219,BD!$A$3:$A$5001,_xlfn.MAXIFS(BD!$A$3:$A$5001,BD!$B$3:$B$5001,D$219,BD!$A$3:$A$5001,"&gt;="&amp;$C$7,BD!$A$3:$A$5001,"&lt;="&amp;$B238,BD!$N$3:$N$5001,"&lt;&gt;"))))</f>
        <v/>
      </c>
      <c r="E238" s="43" t="str">
        <f>IF(OR($B238="",$A238&gt;$B$9,E$219=""),"",IF(COUNTIFS(BD!$B$3:$B$5001,E$219,BD!$A$3:$A$5001,"&gt;="&amp;$C$7,BD!$A$3:$A$5001,"&lt;="&amp;$B238,BD!$N$3:$N$5001,"&lt;&gt;")=0,"",SUMIFS(BD!$N$3:$N$5001,BD!$B$3:$B$5001,E$219,BD!$A$3:$A$5001,_xlfn.MAXIFS(BD!$A$3:$A$5001,BD!$B$3:$B$5001,E$219,BD!$A$3:$A$5001,"&gt;="&amp;$C$7,BD!$A$3:$A$5001,"&lt;="&amp;$B238,BD!$N$3:$N$5001,"&lt;&gt;"))))</f>
        <v/>
      </c>
      <c r="F238" s="43" t="str">
        <f>IF(OR($B238="",$A238&gt;$B$9,F$219=""),"",IF(COUNTIFS(BD!$B$3:$B$5001,F$219,BD!$A$3:$A$5001,"&gt;="&amp;$C$7,BD!$A$3:$A$5001,"&lt;="&amp;$B238,BD!$N$3:$N$5001,"&lt;&gt;")=0,"",SUMIFS(BD!$N$3:$N$5001,BD!$B$3:$B$5001,F$219,BD!$A$3:$A$5001,_xlfn.MAXIFS(BD!$A$3:$A$5001,BD!$B$3:$B$5001,F$219,BD!$A$3:$A$5001,"&gt;="&amp;$C$7,BD!$A$3:$A$5001,"&lt;="&amp;$B238,BD!$N$3:$N$5001,"&lt;&gt;"))))</f>
        <v/>
      </c>
      <c r="G238" s="43" t="str">
        <f>IF(OR($B238="",$A238&gt;$B$9,G$219=""),"",IF(COUNTIFS(BD!$B$3:$B$5001,G$219,BD!$A$3:$A$5001,"&gt;="&amp;$C$7,BD!$A$3:$A$5001,"&lt;="&amp;$B238,BD!$N$3:$N$5001,"&lt;&gt;")=0,"",SUMIFS(BD!$N$3:$N$5001,BD!$B$3:$B$5001,G$219,BD!$A$3:$A$5001,_xlfn.MAXIFS(BD!$A$3:$A$5001,BD!$B$3:$B$5001,G$219,BD!$A$3:$A$5001,"&gt;="&amp;$C$7,BD!$A$3:$A$5001,"&lt;="&amp;$B238,BD!$N$3:$N$5001,"&lt;&gt;"))))</f>
        <v/>
      </c>
      <c r="H238" s="43" t="str">
        <f>IF(OR($B238="",$A238&gt;$B$9,H$219=""),"",IF(COUNTIFS(BD!$B$3:$B$5001,H$219,BD!$A$3:$A$5001,"&gt;="&amp;$C$7,BD!$A$3:$A$5001,"&lt;="&amp;$B238,BD!$N$3:$N$5001,"&lt;&gt;")=0,"",SUMIFS(BD!$N$3:$N$5001,BD!$B$3:$B$5001,H$219,BD!$A$3:$A$5001,_xlfn.MAXIFS(BD!$A$3:$A$5001,BD!$B$3:$B$5001,H$219,BD!$A$3:$A$5001,"&gt;="&amp;$C$7,BD!$A$3:$A$5001,"&lt;="&amp;$B238,BD!$N$3:$N$5001,"&lt;&gt;"))))</f>
        <v/>
      </c>
      <c r="I238" s="43" t="str">
        <f>IF(OR($B238="",$A238&gt;$B$9,I$219=""),"",IF(COUNTIFS(BD!$B$3:$B$5001,I$219,BD!$A$3:$A$5001,"&gt;="&amp;$C$7,BD!$A$3:$A$5001,"&lt;="&amp;$B238,BD!$N$3:$N$5001,"&lt;&gt;")=0,"",SUMIFS(BD!$N$3:$N$5001,BD!$B$3:$B$5001,I$219,BD!$A$3:$A$5001,_xlfn.MAXIFS(BD!$A$3:$A$5001,BD!$B$3:$B$5001,I$219,BD!$A$3:$A$5001,"&gt;="&amp;$C$7,BD!$A$3:$A$5001,"&lt;="&amp;$B238,BD!$N$3:$N$5001,"&lt;&gt;"))))</f>
        <v/>
      </c>
      <c r="J238" s="43" t="str">
        <f>IF(OR($B238="",$A238&gt;$B$9,J$219=""),"",IF(COUNTIFS(BD!$B$3:$B$5001,J$219,BD!$A$3:$A$5001,"&gt;="&amp;$C$7,BD!$A$3:$A$5001,"&lt;="&amp;$B238,BD!$N$3:$N$5001,"&lt;&gt;")=0,"",SUMIFS(BD!$N$3:$N$5001,BD!$B$3:$B$5001,J$219,BD!$A$3:$A$5001,_xlfn.MAXIFS(BD!$A$3:$A$5001,BD!$B$3:$B$5001,J$219,BD!$A$3:$A$5001,"&gt;="&amp;$C$7,BD!$A$3:$A$5001,"&lt;="&amp;$B238,BD!$N$3:$N$5001,"&lt;&gt;"))))</f>
        <v/>
      </c>
      <c r="K238" s="43" t="str">
        <f>IF(OR($B238="",$A238&gt;$B$9,K$219=""),"",IF(COUNTIFS(BD!$B$3:$B$5001,K$219,BD!$A$3:$A$5001,"&gt;="&amp;$C$7,BD!$A$3:$A$5001,"&lt;="&amp;$B238,BD!$N$3:$N$5001,"&lt;&gt;")=0,"",SUMIFS(BD!$N$3:$N$5001,BD!$B$3:$B$5001,K$219,BD!$A$3:$A$5001,_xlfn.MAXIFS(BD!$A$3:$A$5001,BD!$B$3:$B$5001,K$219,BD!$A$3:$A$5001,"&gt;="&amp;$C$7,BD!$A$3:$A$5001,"&lt;="&amp;$B238,BD!$N$3:$N$5001,"&lt;&gt;"))))</f>
        <v/>
      </c>
      <c r="L238" s="43" t="str">
        <f>IF(OR($B238="",$A238&gt;$B$9,L$219=""),"",IF(COUNTIFS(BD!$B$3:$B$5001,L$219,BD!$A$3:$A$5001,"&gt;="&amp;$C$7,BD!$A$3:$A$5001,"&lt;="&amp;$B238,BD!$N$3:$N$5001,"&lt;&gt;")=0,"",SUMIFS(BD!$N$3:$N$5001,BD!$B$3:$B$5001,L$219,BD!$A$3:$A$5001,_xlfn.MAXIFS(BD!$A$3:$A$5001,BD!$B$3:$B$5001,L$219,BD!$A$3:$A$5001,"&gt;="&amp;$C$7,BD!$A$3:$A$5001,"&lt;="&amp;$B238,BD!$N$3:$N$5001,"&lt;&gt;"))))</f>
        <v/>
      </c>
      <c r="M238" s="43" t="str">
        <f>IF(OR($B238="",$A238&gt;$B$9,M$219=""),"",IF(COUNTIFS(BD!$B$3:$B$5001,M$219,BD!$A$3:$A$5001,"&gt;="&amp;$C$7,BD!$A$3:$A$5001,"&lt;="&amp;$B238,BD!$N$3:$N$5001,"&lt;&gt;")=0,"",SUMIFS(BD!$N$3:$N$5001,BD!$B$3:$B$5001,M$219,BD!$A$3:$A$5001,_xlfn.MAXIFS(BD!$A$3:$A$5001,BD!$B$3:$B$5001,M$219,BD!$A$3:$A$5001,"&gt;="&amp;$C$7,BD!$A$3:$A$5001,"&lt;="&amp;$B238,BD!$N$3:$N$5001,"&lt;&gt;"))))</f>
        <v/>
      </c>
      <c r="N238" s="43" t="str">
        <f>IF(OR($B238="",$A238&gt;$B$9,N$219=""),"",IF(COUNTIFS(BD!$B$3:$B$5001,N$219,BD!$A$3:$A$5001,"&gt;="&amp;$C$7,BD!$A$3:$A$5001,"&lt;="&amp;$B238,BD!$N$3:$N$5001,"&lt;&gt;")=0,"",SUMIFS(BD!$N$3:$N$5001,BD!$B$3:$B$5001,N$219,BD!$A$3:$A$5001,_xlfn.MAXIFS(BD!$A$3:$A$5001,BD!$B$3:$B$5001,N$219,BD!$A$3:$A$5001,"&gt;="&amp;$C$7,BD!$A$3:$A$5001,"&lt;="&amp;$B238,BD!$N$3:$N$5001,"&lt;&gt;"))))</f>
        <v/>
      </c>
      <c r="O238" s="43" t="str">
        <f>IF(OR($B238="",$A238&gt;$B$9,O$219=""),"",IF(COUNTIFS(BD!$B$3:$B$5001,O$219,BD!$A$3:$A$5001,"&gt;="&amp;$C$7,BD!$A$3:$A$5001,"&lt;="&amp;$B238,BD!$N$3:$N$5001,"&lt;&gt;")=0,"",SUMIFS(BD!$N$3:$N$5001,BD!$B$3:$B$5001,O$219,BD!$A$3:$A$5001,_xlfn.MAXIFS(BD!$A$3:$A$5001,BD!$B$3:$B$5001,O$219,BD!$A$3:$A$5001,"&gt;="&amp;$C$7,BD!$A$3:$A$5001,"&lt;="&amp;$B238,BD!$N$3:$N$5001,"&lt;&gt;"))))</f>
        <v/>
      </c>
      <c r="P238" s="43" t="str">
        <f>IF(OR($B238="",$A238&gt;$B$9,P$219=""),"",IF(COUNTIFS(BD!$B$3:$B$5001,P$219,BD!$A$3:$A$5001,"&gt;="&amp;$C$7,BD!$A$3:$A$5001,"&lt;="&amp;$B238,BD!$N$3:$N$5001,"&lt;&gt;")=0,"",SUMIFS(BD!$N$3:$N$5001,BD!$B$3:$B$5001,P$219,BD!$A$3:$A$5001,_xlfn.MAXIFS(BD!$A$3:$A$5001,BD!$B$3:$B$5001,P$219,BD!$A$3:$A$5001,"&gt;="&amp;$C$7,BD!$A$3:$A$5001,"&lt;="&amp;$B238,BD!$N$3:$N$5001,"&lt;&gt;"))))</f>
        <v/>
      </c>
      <c r="Q238" s="43" t="str">
        <f>IF(OR($B238="",$A238&gt;$B$9,Q$219=""),"",IF(COUNTIFS(BD!$B$3:$B$5001,Q$219,BD!$A$3:$A$5001,"&gt;="&amp;$C$7,BD!$A$3:$A$5001,"&lt;="&amp;$B238,BD!$N$3:$N$5001,"&lt;&gt;")=0,"",SUMIFS(BD!$N$3:$N$5001,BD!$B$3:$B$5001,Q$219,BD!$A$3:$A$5001,_xlfn.MAXIFS(BD!$A$3:$A$5001,BD!$B$3:$B$5001,Q$219,BD!$A$3:$A$5001,"&gt;="&amp;$C$7,BD!$A$3:$A$5001,"&lt;="&amp;$B238,BD!$N$3:$N$5001,"&lt;&gt;"))))</f>
        <v/>
      </c>
      <c r="R238" s="43" t="str">
        <f>IF(OR($B238="",$A238&gt;$B$9,R$219=""),"",IF(COUNTIFS(BD!$B$3:$B$5001,R$219,BD!$A$3:$A$5001,"&gt;="&amp;$C$7,BD!$A$3:$A$5001,"&lt;="&amp;$B238,BD!$N$3:$N$5001,"&lt;&gt;")=0,"",SUMIFS(BD!$N$3:$N$5001,BD!$B$3:$B$5001,R$219,BD!$A$3:$A$5001,_xlfn.MAXIFS(BD!$A$3:$A$5001,BD!$B$3:$B$5001,R$219,BD!$A$3:$A$5001,"&gt;="&amp;$C$7,BD!$A$3:$A$5001,"&lt;="&amp;$B238,BD!$N$3:$N$5001,"&lt;&gt;"))))</f>
        <v/>
      </c>
      <c r="S238" s="43" t="str">
        <f>IF(OR($B238="",$A238&gt;$B$9,S$219=""),"",IF(COUNTIFS(BD!$B$3:$B$5001,S$219,BD!$A$3:$A$5001,"&gt;="&amp;$C$7,BD!$A$3:$A$5001,"&lt;="&amp;$B238,BD!$N$3:$N$5001,"&lt;&gt;")=0,"",SUMIFS(BD!$N$3:$N$5001,BD!$B$3:$B$5001,S$219,BD!$A$3:$A$5001,_xlfn.MAXIFS(BD!$A$3:$A$5001,BD!$B$3:$B$5001,S$219,BD!$A$3:$A$5001,"&gt;="&amp;$C$7,BD!$A$3:$A$5001,"&lt;="&amp;$B238,BD!$N$3:$N$5001,"&lt;&gt;"))))</f>
        <v/>
      </c>
      <c r="T238" s="43" t="str">
        <f>IF(OR($B238="",$A238&gt;$B$9,T$219=""),"",IF(COUNTIFS(BD!$B$3:$B$5001,T$219,BD!$A$3:$A$5001,"&gt;="&amp;$C$7,BD!$A$3:$A$5001,"&lt;="&amp;$B238,BD!$N$3:$N$5001,"&lt;&gt;")=0,"",SUMIFS(BD!$N$3:$N$5001,BD!$B$3:$B$5001,T$219,BD!$A$3:$A$5001,_xlfn.MAXIFS(BD!$A$3:$A$5001,BD!$B$3:$B$5001,T$219,BD!$A$3:$A$5001,"&gt;="&amp;$C$7,BD!$A$3:$A$5001,"&lt;="&amp;$B238,BD!$N$3:$N$5001,"&lt;&gt;"))))</f>
        <v/>
      </c>
      <c r="U238" s="43" t="str">
        <f>IF(OR($B238="",$A238&gt;$B$9,U$219=""),"",IF(COUNTIFS(BD!$B$3:$B$5001,U$219,BD!$A$3:$A$5001,"&gt;="&amp;$C$7,BD!$A$3:$A$5001,"&lt;="&amp;$B238,BD!$N$3:$N$5001,"&lt;&gt;")=0,"",SUMIFS(BD!$N$3:$N$5001,BD!$B$3:$B$5001,U$219,BD!$A$3:$A$5001,_xlfn.MAXIFS(BD!$A$3:$A$5001,BD!$B$3:$B$5001,U$219,BD!$A$3:$A$5001,"&gt;="&amp;$C$7,BD!$A$3:$A$5001,"&lt;="&amp;$B238,BD!$N$3:$N$5001,"&lt;&gt;"))))</f>
        <v/>
      </c>
      <c r="V238" s="43" t="str">
        <f>IF(OR($B238="",$A238&gt;$B$9,V$219=""),"",IF(COUNTIFS(BD!$B$3:$B$5001,V$219,BD!$A$3:$A$5001,"&gt;="&amp;$C$7,BD!$A$3:$A$5001,"&lt;="&amp;$B238,BD!$N$3:$N$5001,"&lt;&gt;")=0,"",SUMIFS(BD!$N$3:$N$5001,BD!$B$3:$B$5001,V$219,BD!$A$3:$A$5001,_xlfn.MAXIFS(BD!$A$3:$A$5001,BD!$B$3:$B$5001,V$219,BD!$A$3:$A$5001,"&gt;="&amp;$C$7,BD!$A$3:$A$5001,"&lt;="&amp;$B238,BD!$N$3:$N$5001,"&lt;&gt;"))))</f>
        <v/>
      </c>
    </row>
    <row r="239">
      <c r="A239" s="38">
        <v>20</v>
      </c>
      <c r="B239" s="42">
        <f>$B$31</f>
        <v>46315</v>
      </c>
      <c r="C239" s="43" t="str">
        <f>IF(OR($B239="",$A239&gt;$B$9,C$219=""),"",IF(COUNTIFS(BD!$B$3:$B$5001,C$219,BD!$A$3:$A$5001,"&gt;="&amp;$C$7,BD!$A$3:$A$5001,"&lt;="&amp;$B239,BD!$N$3:$N$5001,"&lt;&gt;")=0,"",SUMIFS(BD!$N$3:$N$5001,BD!$B$3:$B$5001,C$219,BD!$A$3:$A$5001,_xlfn.MAXIFS(BD!$A$3:$A$5001,BD!$B$3:$B$5001,C$219,BD!$A$3:$A$5001,"&gt;="&amp;$C$7,BD!$A$3:$A$5001,"&lt;="&amp;$B239,BD!$N$3:$N$5001,"&lt;&gt;"))))</f>
        <v/>
      </c>
      <c r="D239" s="43" t="str">
        <f>IF(OR($B239="",$A239&gt;$B$9,D$219=""),"",IF(COUNTIFS(BD!$B$3:$B$5001,D$219,BD!$A$3:$A$5001,"&gt;="&amp;$C$7,BD!$A$3:$A$5001,"&lt;="&amp;$B239,BD!$N$3:$N$5001,"&lt;&gt;")=0,"",SUMIFS(BD!$N$3:$N$5001,BD!$B$3:$B$5001,D$219,BD!$A$3:$A$5001,_xlfn.MAXIFS(BD!$A$3:$A$5001,BD!$B$3:$B$5001,D$219,BD!$A$3:$A$5001,"&gt;="&amp;$C$7,BD!$A$3:$A$5001,"&lt;="&amp;$B239,BD!$N$3:$N$5001,"&lt;&gt;"))))</f>
        <v/>
      </c>
      <c r="E239" s="43" t="str">
        <f>IF(OR($B239="",$A239&gt;$B$9,E$219=""),"",IF(COUNTIFS(BD!$B$3:$B$5001,E$219,BD!$A$3:$A$5001,"&gt;="&amp;$C$7,BD!$A$3:$A$5001,"&lt;="&amp;$B239,BD!$N$3:$N$5001,"&lt;&gt;")=0,"",SUMIFS(BD!$N$3:$N$5001,BD!$B$3:$B$5001,E$219,BD!$A$3:$A$5001,_xlfn.MAXIFS(BD!$A$3:$A$5001,BD!$B$3:$B$5001,E$219,BD!$A$3:$A$5001,"&gt;="&amp;$C$7,BD!$A$3:$A$5001,"&lt;="&amp;$B239,BD!$N$3:$N$5001,"&lt;&gt;"))))</f>
        <v/>
      </c>
      <c r="F239" s="43" t="str">
        <f>IF(OR($B239="",$A239&gt;$B$9,F$219=""),"",IF(COUNTIFS(BD!$B$3:$B$5001,F$219,BD!$A$3:$A$5001,"&gt;="&amp;$C$7,BD!$A$3:$A$5001,"&lt;="&amp;$B239,BD!$N$3:$N$5001,"&lt;&gt;")=0,"",SUMIFS(BD!$N$3:$N$5001,BD!$B$3:$B$5001,F$219,BD!$A$3:$A$5001,_xlfn.MAXIFS(BD!$A$3:$A$5001,BD!$B$3:$B$5001,F$219,BD!$A$3:$A$5001,"&gt;="&amp;$C$7,BD!$A$3:$A$5001,"&lt;="&amp;$B239,BD!$N$3:$N$5001,"&lt;&gt;"))))</f>
        <v/>
      </c>
      <c r="G239" s="43" t="str">
        <f>IF(OR($B239="",$A239&gt;$B$9,G$219=""),"",IF(COUNTIFS(BD!$B$3:$B$5001,G$219,BD!$A$3:$A$5001,"&gt;="&amp;$C$7,BD!$A$3:$A$5001,"&lt;="&amp;$B239,BD!$N$3:$N$5001,"&lt;&gt;")=0,"",SUMIFS(BD!$N$3:$N$5001,BD!$B$3:$B$5001,G$219,BD!$A$3:$A$5001,_xlfn.MAXIFS(BD!$A$3:$A$5001,BD!$B$3:$B$5001,G$219,BD!$A$3:$A$5001,"&gt;="&amp;$C$7,BD!$A$3:$A$5001,"&lt;="&amp;$B239,BD!$N$3:$N$5001,"&lt;&gt;"))))</f>
        <v/>
      </c>
      <c r="H239" s="43" t="str">
        <f>IF(OR($B239="",$A239&gt;$B$9,H$219=""),"",IF(COUNTIFS(BD!$B$3:$B$5001,H$219,BD!$A$3:$A$5001,"&gt;="&amp;$C$7,BD!$A$3:$A$5001,"&lt;="&amp;$B239,BD!$N$3:$N$5001,"&lt;&gt;")=0,"",SUMIFS(BD!$N$3:$N$5001,BD!$B$3:$B$5001,H$219,BD!$A$3:$A$5001,_xlfn.MAXIFS(BD!$A$3:$A$5001,BD!$B$3:$B$5001,H$219,BD!$A$3:$A$5001,"&gt;="&amp;$C$7,BD!$A$3:$A$5001,"&lt;="&amp;$B239,BD!$N$3:$N$5001,"&lt;&gt;"))))</f>
        <v/>
      </c>
      <c r="I239" s="43" t="str">
        <f>IF(OR($B239="",$A239&gt;$B$9,I$219=""),"",IF(COUNTIFS(BD!$B$3:$B$5001,I$219,BD!$A$3:$A$5001,"&gt;="&amp;$C$7,BD!$A$3:$A$5001,"&lt;="&amp;$B239,BD!$N$3:$N$5001,"&lt;&gt;")=0,"",SUMIFS(BD!$N$3:$N$5001,BD!$B$3:$B$5001,I$219,BD!$A$3:$A$5001,_xlfn.MAXIFS(BD!$A$3:$A$5001,BD!$B$3:$B$5001,I$219,BD!$A$3:$A$5001,"&gt;="&amp;$C$7,BD!$A$3:$A$5001,"&lt;="&amp;$B239,BD!$N$3:$N$5001,"&lt;&gt;"))))</f>
        <v/>
      </c>
      <c r="J239" s="43" t="str">
        <f>IF(OR($B239="",$A239&gt;$B$9,J$219=""),"",IF(COUNTIFS(BD!$B$3:$B$5001,J$219,BD!$A$3:$A$5001,"&gt;="&amp;$C$7,BD!$A$3:$A$5001,"&lt;="&amp;$B239,BD!$N$3:$N$5001,"&lt;&gt;")=0,"",SUMIFS(BD!$N$3:$N$5001,BD!$B$3:$B$5001,J$219,BD!$A$3:$A$5001,_xlfn.MAXIFS(BD!$A$3:$A$5001,BD!$B$3:$B$5001,J$219,BD!$A$3:$A$5001,"&gt;="&amp;$C$7,BD!$A$3:$A$5001,"&lt;="&amp;$B239,BD!$N$3:$N$5001,"&lt;&gt;"))))</f>
        <v/>
      </c>
      <c r="K239" s="43" t="str">
        <f>IF(OR($B239="",$A239&gt;$B$9,K$219=""),"",IF(COUNTIFS(BD!$B$3:$B$5001,K$219,BD!$A$3:$A$5001,"&gt;="&amp;$C$7,BD!$A$3:$A$5001,"&lt;="&amp;$B239,BD!$N$3:$N$5001,"&lt;&gt;")=0,"",SUMIFS(BD!$N$3:$N$5001,BD!$B$3:$B$5001,K$219,BD!$A$3:$A$5001,_xlfn.MAXIFS(BD!$A$3:$A$5001,BD!$B$3:$B$5001,K$219,BD!$A$3:$A$5001,"&gt;="&amp;$C$7,BD!$A$3:$A$5001,"&lt;="&amp;$B239,BD!$N$3:$N$5001,"&lt;&gt;"))))</f>
        <v/>
      </c>
      <c r="L239" s="43" t="str">
        <f>IF(OR($B239="",$A239&gt;$B$9,L$219=""),"",IF(COUNTIFS(BD!$B$3:$B$5001,L$219,BD!$A$3:$A$5001,"&gt;="&amp;$C$7,BD!$A$3:$A$5001,"&lt;="&amp;$B239,BD!$N$3:$N$5001,"&lt;&gt;")=0,"",SUMIFS(BD!$N$3:$N$5001,BD!$B$3:$B$5001,L$219,BD!$A$3:$A$5001,_xlfn.MAXIFS(BD!$A$3:$A$5001,BD!$B$3:$B$5001,L$219,BD!$A$3:$A$5001,"&gt;="&amp;$C$7,BD!$A$3:$A$5001,"&lt;="&amp;$B239,BD!$N$3:$N$5001,"&lt;&gt;"))))</f>
        <v/>
      </c>
      <c r="M239" s="43" t="str">
        <f>IF(OR($B239="",$A239&gt;$B$9,M$219=""),"",IF(COUNTIFS(BD!$B$3:$B$5001,M$219,BD!$A$3:$A$5001,"&gt;="&amp;$C$7,BD!$A$3:$A$5001,"&lt;="&amp;$B239,BD!$N$3:$N$5001,"&lt;&gt;")=0,"",SUMIFS(BD!$N$3:$N$5001,BD!$B$3:$B$5001,M$219,BD!$A$3:$A$5001,_xlfn.MAXIFS(BD!$A$3:$A$5001,BD!$B$3:$B$5001,M$219,BD!$A$3:$A$5001,"&gt;="&amp;$C$7,BD!$A$3:$A$5001,"&lt;="&amp;$B239,BD!$N$3:$N$5001,"&lt;&gt;"))))</f>
        <v/>
      </c>
      <c r="N239" s="43" t="str">
        <f>IF(OR($B239="",$A239&gt;$B$9,N$219=""),"",IF(COUNTIFS(BD!$B$3:$B$5001,N$219,BD!$A$3:$A$5001,"&gt;="&amp;$C$7,BD!$A$3:$A$5001,"&lt;="&amp;$B239,BD!$N$3:$N$5001,"&lt;&gt;")=0,"",SUMIFS(BD!$N$3:$N$5001,BD!$B$3:$B$5001,N$219,BD!$A$3:$A$5001,_xlfn.MAXIFS(BD!$A$3:$A$5001,BD!$B$3:$B$5001,N$219,BD!$A$3:$A$5001,"&gt;="&amp;$C$7,BD!$A$3:$A$5001,"&lt;="&amp;$B239,BD!$N$3:$N$5001,"&lt;&gt;"))))</f>
        <v/>
      </c>
      <c r="O239" s="43" t="str">
        <f>IF(OR($B239="",$A239&gt;$B$9,O$219=""),"",IF(COUNTIFS(BD!$B$3:$B$5001,O$219,BD!$A$3:$A$5001,"&gt;="&amp;$C$7,BD!$A$3:$A$5001,"&lt;="&amp;$B239,BD!$N$3:$N$5001,"&lt;&gt;")=0,"",SUMIFS(BD!$N$3:$N$5001,BD!$B$3:$B$5001,O$219,BD!$A$3:$A$5001,_xlfn.MAXIFS(BD!$A$3:$A$5001,BD!$B$3:$B$5001,O$219,BD!$A$3:$A$5001,"&gt;="&amp;$C$7,BD!$A$3:$A$5001,"&lt;="&amp;$B239,BD!$N$3:$N$5001,"&lt;&gt;"))))</f>
        <v/>
      </c>
      <c r="P239" s="43" t="str">
        <f>IF(OR($B239="",$A239&gt;$B$9,P$219=""),"",IF(COUNTIFS(BD!$B$3:$B$5001,P$219,BD!$A$3:$A$5001,"&gt;="&amp;$C$7,BD!$A$3:$A$5001,"&lt;="&amp;$B239,BD!$N$3:$N$5001,"&lt;&gt;")=0,"",SUMIFS(BD!$N$3:$N$5001,BD!$B$3:$B$5001,P$219,BD!$A$3:$A$5001,_xlfn.MAXIFS(BD!$A$3:$A$5001,BD!$B$3:$B$5001,P$219,BD!$A$3:$A$5001,"&gt;="&amp;$C$7,BD!$A$3:$A$5001,"&lt;="&amp;$B239,BD!$N$3:$N$5001,"&lt;&gt;"))))</f>
        <v/>
      </c>
      <c r="Q239" s="43" t="str">
        <f>IF(OR($B239="",$A239&gt;$B$9,Q$219=""),"",IF(COUNTIFS(BD!$B$3:$B$5001,Q$219,BD!$A$3:$A$5001,"&gt;="&amp;$C$7,BD!$A$3:$A$5001,"&lt;="&amp;$B239,BD!$N$3:$N$5001,"&lt;&gt;")=0,"",SUMIFS(BD!$N$3:$N$5001,BD!$B$3:$B$5001,Q$219,BD!$A$3:$A$5001,_xlfn.MAXIFS(BD!$A$3:$A$5001,BD!$B$3:$B$5001,Q$219,BD!$A$3:$A$5001,"&gt;="&amp;$C$7,BD!$A$3:$A$5001,"&lt;="&amp;$B239,BD!$N$3:$N$5001,"&lt;&gt;"))))</f>
        <v/>
      </c>
      <c r="R239" s="43" t="str">
        <f>IF(OR($B239="",$A239&gt;$B$9,R$219=""),"",IF(COUNTIFS(BD!$B$3:$B$5001,R$219,BD!$A$3:$A$5001,"&gt;="&amp;$C$7,BD!$A$3:$A$5001,"&lt;="&amp;$B239,BD!$N$3:$N$5001,"&lt;&gt;")=0,"",SUMIFS(BD!$N$3:$N$5001,BD!$B$3:$B$5001,R$219,BD!$A$3:$A$5001,_xlfn.MAXIFS(BD!$A$3:$A$5001,BD!$B$3:$B$5001,R$219,BD!$A$3:$A$5001,"&gt;="&amp;$C$7,BD!$A$3:$A$5001,"&lt;="&amp;$B239,BD!$N$3:$N$5001,"&lt;&gt;"))))</f>
        <v/>
      </c>
      <c r="S239" s="43" t="str">
        <f>IF(OR($B239="",$A239&gt;$B$9,S$219=""),"",IF(COUNTIFS(BD!$B$3:$B$5001,S$219,BD!$A$3:$A$5001,"&gt;="&amp;$C$7,BD!$A$3:$A$5001,"&lt;="&amp;$B239,BD!$N$3:$N$5001,"&lt;&gt;")=0,"",SUMIFS(BD!$N$3:$N$5001,BD!$B$3:$B$5001,S$219,BD!$A$3:$A$5001,_xlfn.MAXIFS(BD!$A$3:$A$5001,BD!$B$3:$B$5001,S$219,BD!$A$3:$A$5001,"&gt;="&amp;$C$7,BD!$A$3:$A$5001,"&lt;="&amp;$B239,BD!$N$3:$N$5001,"&lt;&gt;"))))</f>
        <v/>
      </c>
      <c r="T239" s="43" t="str">
        <f>IF(OR($B239="",$A239&gt;$B$9,T$219=""),"",IF(COUNTIFS(BD!$B$3:$B$5001,T$219,BD!$A$3:$A$5001,"&gt;="&amp;$C$7,BD!$A$3:$A$5001,"&lt;="&amp;$B239,BD!$N$3:$N$5001,"&lt;&gt;")=0,"",SUMIFS(BD!$N$3:$N$5001,BD!$B$3:$B$5001,T$219,BD!$A$3:$A$5001,_xlfn.MAXIFS(BD!$A$3:$A$5001,BD!$B$3:$B$5001,T$219,BD!$A$3:$A$5001,"&gt;="&amp;$C$7,BD!$A$3:$A$5001,"&lt;="&amp;$B239,BD!$N$3:$N$5001,"&lt;&gt;"))))</f>
        <v/>
      </c>
      <c r="U239" s="43" t="str">
        <f>IF(OR($B239="",$A239&gt;$B$9,U$219=""),"",IF(COUNTIFS(BD!$B$3:$B$5001,U$219,BD!$A$3:$A$5001,"&gt;="&amp;$C$7,BD!$A$3:$A$5001,"&lt;="&amp;$B239,BD!$N$3:$N$5001,"&lt;&gt;")=0,"",SUMIFS(BD!$N$3:$N$5001,BD!$B$3:$B$5001,U$219,BD!$A$3:$A$5001,_xlfn.MAXIFS(BD!$A$3:$A$5001,BD!$B$3:$B$5001,U$219,BD!$A$3:$A$5001,"&gt;="&amp;$C$7,BD!$A$3:$A$5001,"&lt;="&amp;$B239,BD!$N$3:$N$5001,"&lt;&gt;"))))</f>
        <v/>
      </c>
      <c r="V239" s="43" t="str">
        <f>IF(OR($B239="",$A239&gt;$B$9,V$219=""),"",IF(COUNTIFS(BD!$B$3:$B$5001,V$219,BD!$A$3:$A$5001,"&gt;="&amp;$C$7,BD!$A$3:$A$5001,"&lt;="&amp;$B239,BD!$N$3:$N$5001,"&lt;&gt;")=0,"",SUMIFS(BD!$N$3:$N$5001,BD!$B$3:$B$5001,V$219,BD!$A$3:$A$5001,_xlfn.MAXIFS(BD!$A$3:$A$5001,BD!$B$3:$B$5001,V$219,BD!$A$3:$A$5001,"&gt;="&amp;$C$7,BD!$A$3:$A$5001,"&lt;="&amp;$B239,BD!$N$3:$N$5001,"&lt;&gt;"))))</f>
        <v/>
      </c>
    </row>
    <row r="240">
      <c r="A240" s="38">
        <v>21</v>
      </c>
      <c r="B240" s="42">
        <f>$B$32</f>
        <v>46316</v>
      </c>
      <c r="C240" s="43" t="str">
        <f>IF(OR($B240="",$A240&gt;$B$9,C$219=""),"",IF(COUNTIFS(BD!$B$3:$B$5001,C$219,BD!$A$3:$A$5001,"&gt;="&amp;$C$7,BD!$A$3:$A$5001,"&lt;="&amp;$B240,BD!$N$3:$N$5001,"&lt;&gt;")=0,"",SUMIFS(BD!$N$3:$N$5001,BD!$B$3:$B$5001,C$219,BD!$A$3:$A$5001,_xlfn.MAXIFS(BD!$A$3:$A$5001,BD!$B$3:$B$5001,C$219,BD!$A$3:$A$5001,"&gt;="&amp;$C$7,BD!$A$3:$A$5001,"&lt;="&amp;$B240,BD!$N$3:$N$5001,"&lt;&gt;"))))</f>
        <v/>
      </c>
      <c r="D240" s="43" t="str">
        <f>IF(OR($B240="",$A240&gt;$B$9,D$219=""),"",IF(COUNTIFS(BD!$B$3:$B$5001,D$219,BD!$A$3:$A$5001,"&gt;="&amp;$C$7,BD!$A$3:$A$5001,"&lt;="&amp;$B240,BD!$N$3:$N$5001,"&lt;&gt;")=0,"",SUMIFS(BD!$N$3:$N$5001,BD!$B$3:$B$5001,D$219,BD!$A$3:$A$5001,_xlfn.MAXIFS(BD!$A$3:$A$5001,BD!$B$3:$B$5001,D$219,BD!$A$3:$A$5001,"&gt;="&amp;$C$7,BD!$A$3:$A$5001,"&lt;="&amp;$B240,BD!$N$3:$N$5001,"&lt;&gt;"))))</f>
        <v/>
      </c>
      <c r="E240" s="43" t="str">
        <f>IF(OR($B240="",$A240&gt;$B$9,E$219=""),"",IF(COUNTIFS(BD!$B$3:$B$5001,E$219,BD!$A$3:$A$5001,"&gt;="&amp;$C$7,BD!$A$3:$A$5001,"&lt;="&amp;$B240,BD!$N$3:$N$5001,"&lt;&gt;")=0,"",SUMIFS(BD!$N$3:$N$5001,BD!$B$3:$B$5001,E$219,BD!$A$3:$A$5001,_xlfn.MAXIFS(BD!$A$3:$A$5001,BD!$B$3:$B$5001,E$219,BD!$A$3:$A$5001,"&gt;="&amp;$C$7,BD!$A$3:$A$5001,"&lt;="&amp;$B240,BD!$N$3:$N$5001,"&lt;&gt;"))))</f>
        <v/>
      </c>
      <c r="F240" s="43" t="str">
        <f>IF(OR($B240="",$A240&gt;$B$9,F$219=""),"",IF(COUNTIFS(BD!$B$3:$B$5001,F$219,BD!$A$3:$A$5001,"&gt;="&amp;$C$7,BD!$A$3:$A$5001,"&lt;="&amp;$B240,BD!$N$3:$N$5001,"&lt;&gt;")=0,"",SUMIFS(BD!$N$3:$N$5001,BD!$B$3:$B$5001,F$219,BD!$A$3:$A$5001,_xlfn.MAXIFS(BD!$A$3:$A$5001,BD!$B$3:$B$5001,F$219,BD!$A$3:$A$5001,"&gt;="&amp;$C$7,BD!$A$3:$A$5001,"&lt;="&amp;$B240,BD!$N$3:$N$5001,"&lt;&gt;"))))</f>
        <v/>
      </c>
      <c r="G240" s="43" t="str">
        <f>IF(OR($B240="",$A240&gt;$B$9,G$219=""),"",IF(COUNTIFS(BD!$B$3:$B$5001,G$219,BD!$A$3:$A$5001,"&gt;="&amp;$C$7,BD!$A$3:$A$5001,"&lt;="&amp;$B240,BD!$N$3:$N$5001,"&lt;&gt;")=0,"",SUMIFS(BD!$N$3:$N$5001,BD!$B$3:$B$5001,G$219,BD!$A$3:$A$5001,_xlfn.MAXIFS(BD!$A$3:$A$5001,BD!$B$3:$B$5001,G$219,BD!$A$3:$A$5001,"&gt;="&amp;$C$7,BD!$A$3:$A$5001,"&lt;="&amp;$B240,BD!$N$3:$N$5001,"&lt;&gt;"))))</f>
        <v/>
      </c>
      <c r="H240" s="43" t="str">
        <f>IF(OR($B240="",$A240&gt;$B$9,H$219=""),"",IF(COUNTIFS(BD!$B$3:$B$5001,H$219,BD!$A$3:$A$5001,"&gt;="&amp;$C$7,BD!$A$3:$A$5001,"&lt;="&amp;$B240,BD!$N$3:$N$5001,"&lt;&gt;")=0,"",SUMIFS(BD!$N$3:$N$5001,BD!$B$3:$B$5001,H$219,BD!$A$3:$A$5001,_xlfn.MAXIFS(BD!$A$3:$A$5001,BD!$B$3:$B$5001,H$219,BD!$A$3:$A$5001,"&gt;="&amp;$C$7,BD!$A$3:$A$5001,"&lt;="&amp;$B240,BD!$N$3:$N$5001,"&lt;&gt;"))))</f>
        <v/>
      </c>
      <c r="I240" s="43" t="str">
        <f>IF(OR($B240="",$A240&gt;$B$9,I$219=""),"",IF(COUNTIFS(BD!$B$3:$B$5001,I$219,BD!$A$3:$A$5001,"&gt;="&amp;$C$7,BD!$A$3:$A$5001,"&lt;="&amp;$B240,BD!$N$3:$N$5001,"&lt;&gt;")=0,"",SUMIFS(BD!$N$3:$N$5001,BD!$B$3:$B$5001,I$219,BD!$A$3:$A$5001,_xlfn.MAXIFS(BD!$A$3:$A$5001,BD!$B$3:$B$5001,I$219,BD!$A$3:$A$5001,"&gt;="&amp;$C$7,BD!$A$3:$A$5001,"&lt;="&amp;$B240,BD!$N$3:$N$5001,"&lt;&gt;"))))</f>
        <v/>
      </c>
      <c r="J240" s="43" t="str">
        <f>IF(OR($B240="",$A240&gt;$B$9,J$219=""),"",IF(COUNTIFS(BD!$B$3:$B$5001,J$219,BD!$A$3:$A$5001,"&gt;="&amp;$C$7,BD!$A$3:$A$5001,"&lt;="&amp;$B240,BD!$N$3:$N$5001,"&lt;&gt;")=0,"",SUMIFS(BD!$N$3:$N$5001,BD!$B$3:$B$5001,J$219,BD!$A$3:$A$5001,_xlfn.MAXIFS(BD!$A$3:$A$5001,BD!$B$3:$B$5001,J$219,BD!$A$3:$A$5001,"&gt;="&amp;$C$7,BD!$A$3:$A$5001,"&lt;="&amp;$B240,BD!$N$3:$N$5001,"&lt;&gt;"))))</f>
        <v/>
      </c>
      <c r="K240" s="43" t="str">
        <f>IF(OR($B240="",$A240&gt;$B$9,K$219=""),"",IF(COUNTIFS(BD!$B$3:$B$5001,K$219,BD!$A$3:$A$5001,"&gt;="&amp;$C$7,BD!$A$3:$A$5001,"&lt;="&amp;$B240,BD!$N$3:$N$5001,"&lt;&gt;")=0,"",SUMIFS(BD!$N$3:$N$5001,BD!$B$3:$B$5001,K$219,BD!$A$3:$A$5001,_xlfn.MAXIFS(BD!$A$3:$A$5001,BD!$B$3:$B$5001,K$219,BD!$A$3:$A$5001,"&gt;="&amp;$C$7,BD!$A$3:$A$5001,"&lt;="&amp;$B240,BD!$N$3:$N$5001,"&lt;&gt;"))))</f>
        <v/>
      </c>
      <c r="L240" s="43" t="str">
        <f>IF(OR($B240="",$A240&gt;$B$9,L$219=""),"",IF(COUNTIFS(BD!$B$3:$B$5001,L$219,BD!$A$3:$A$5001,"&gt;="&amp;$C$7,BD!$A$3:$A$5001,"&lt;="&amp;$B240,BD!$N$3:$N$5001,"&lt;&gt;")=0,"",SUMIFS(BD!$N$3:$N$5001,BD!$B$3:$B$5001,L$219,BD!$A$3:$A$5001,_xlfn.MAXIFS(BD!$A$3:$A$5001,BD!$B$3:$B$5001,L$219,BD!$A$3:$A$5001,"&gt;="&amp;$C$7,BD!$A$3:$A$5001,"&lt;="&amp;$B240,BD!$N$3:$N$5001,"&lt;&gt;"))))</f>
        <v/>
      </c>
      <c r="M240" s="43" t="str">
        <f>IF(OR($B240="",$A240&gt;$B$9,M$219=""),"",IF(COUNTIFS(BD!$B$3:$B$5001,M$219,BD!$A$3:$A$5001,"&gt;="&amp;$C$7,BD!$A$3:$A$5001,"&lt;="&amp;$B240,BD!$N$3:$N$5001,"&lt;&gt;")=0,"",SUMIFS(BD!$N$3:$N$5001,BD!$B$3:$B$5001,M$219,BD!$A$3:$A$5001,_xlfn.MAXIFS(BD!$A$3:$A$5001,BD!$B$3:$B$5001,M$219,BD!$A$3:$A$5001,"&gt;="&amp;$C$7,BD!$A$3:$A$5001,"&lt;="&amp;$B240,BD!$N$3:$N$5001,"&lt;&gt;"))))</f>
        <v/>
      </c>
      <c r="N240" s="43" t="str">
        <f>IF(OR($B240="",$A240&gt;$B$9,N$219=""),"",IF(COUNTIFS(BD!$B$3:$B$5001,N$219,BD!$A$3:$A$5001,"&gt;="&amp;$C$7,BD!$A$3:$A$5001,"&lt;="&amp;$B240,BD!$N$3:$N$5001,"&lt;&gt;")=0,"",SUMIFS(BD!$N$3:$N$5001,BD!$B$3:$B$5001,N$219,BD!$A$3:$A$5001,_xlfn.MAXIFS(BD!$A$3:$A$5001,BD!$B$3:$B$5001,N$219,BD!$A$3:$A$5001,"&gt;="&amp;$C$7,BD!$A$3:$A$5001,"&lt;="&amp;$B240,BD!$N$3:$N$5001,"&lt;&gt;"))))</f>
        <v/>
      </c>
      <c r="O240" s="43" t="str">
        <f>IF(OR($B240="",$A240&gt;$B$9,O$219=""),"",IF(COUNTIFS(BD!$B$3:$B$5001,O$219,BD!$A$3:$A$5001,"&gt;="&amp;$C$7,BD!$A$3:$A$5001,"&lt;="&amp;$B240,BD!$N$3:$N$5001,"&lt;&gt;")=0,"",SUMIFS(BD!$N$3:$N$5001,BD!$B$3:$B$5001,O$219,BD!$A$3:$A$5001,_xlfn.MAXIFS(BD!$A$3:$A$5001,BD!$B$3:$B$5001,O$219,BD!$A$3:$A$5001,"&gt;="&amp;$C$7,BD!$A$3:$A$5001,"&lt;="&amp;$B240,BD!$N$3:$N$5001,"&lt;&gt;"))))</f>
        <v/>
      </c>
      <c r="P240" s="43" t="str">
        <f>IF(OR($B240="",$A240&gt;$B$9,P$219=""),"",IF(COUNTIFS(BD!$B$3:$B$5001,P$219,BD!$A$3:$A$5001,"&gt;="&amp;$C$7,BD!$A$3:$A$5001,"&lt;="&amp;$B240,BD!$N$3:$N$5001,"&lt;&gt;")=0,"",SUMIFS(BD!$N$3:$N$5001,BD!$B$3:$B$5001,P$219,BD!$A$3:$A$5001,_xlfn.MAXIFS(BD!$A$3:$A$5001,BD!$B$3:$B$5001,P$219,BD!$A$3:$A$5001,"&gt;="&amp;$C$7,BD!$A$3:$A$5001,"&lt;="&amp;$B240,BD!$N$3:$N$5001,"&lt;&gt;"))))</f>
        <v/>
      </c>
      <c r="Q240" s="43" t="str">
        <f>IF(OR($B240="",$A240&gt;$B$9,Q$219=""),"",IF(COUNTIFS(BD!$B$3:$B$5001,Q$219,BD!$A$3:$A$5001,"&gt;="&amp;$C$7,BD!$A$3:$A$5001,"&lt;="&amp;$B240,BD!$N$3:$N$5001,"&lt;&gt;")=0,"",SUMIFS(BD!$N$3:$N$5001,BD!$B$3:$B$5001,Q$219,BD!$A$3:$A$5001,_xlfn.MAXIFS(BD!$A$3:$A$5001,BD!$B$3:$B$5001,Q$219,BD!$A$3:$A$5001,"&gt;="&amp;$C$7,BD!$A$3:$A$5001,"&lt;="&amp;$B240,BD!$N$3:$N$5001,"&lt;&gt;"))))</f>
        <v/>
      </c>
      <c r="R240" s="43" t="str">
        <f>IF(OR($B240="",$A240&gt;$B$9,R$219=""),"",IF(COUNTIFS(BD!$B$3:$B$5001,R$219,BD!$A$3:$A$5001,"&gt;="&amp;$C$7,BD!$A$3:$A$5001,"&lt;="&amp;$B240,BD!$N$3:$N$5001,"&lt;&gt;")=0,"",SUMIFS(BD!$N$3:$N$5001,BD!$B$3:$B$5001,R$219,BD!$A$3:$A$5001,_xlfn.MAXIFS(BD!$A$3:$A$5001,BD!$B$3:$B$5001,R$219,BD!$A$3:$A$5001,"&gt;="&amp;$C$7,BD!$A$3:$A$5001,"&lt;="&amp;$B240,BD!$N$3:$N$5001,"&lt;&gt;"))))</f>
        <v/>
      </c>
      <c r="S240" s="43" t="str">
        <f>IF(OR($B240="",$A240&gt;$B$9,S$219=""),"",IF(COUNTIFS(BD!$B$3:$B$5001,S$219,BD!$A$3:$A$5001,"&gt;="&amp;$C$7,BD!$A$3:$A$5001,"&lt;="&amp;$B240,BD!$N$3:$N$5001,"&lt;&gt;")=0,"",SUMIFS(BD!$N$3:$N$5001,BD!$B$3:$B$5001,S$219,BD!$A$3:$A$5001,_xlfn.MAXIFS(BD!$A$3:$A$5001,BD!$B$3:$B$5001,S$219,BD!$A$3:$A$5001,"&gt;="&amp;$C$7,BD!$A$3:$A$5001,"&lt;="&amp;$B240,BD!$N$3:$N$5001,"&lt;&gt;"))))</f>
        <v/>
      </c>
      <c r="T240" s="43" t="str">
        <f>IF(OR($B240="",$A240&gt;$B$9,T$219=""),"",IF(COUNTIFS(BD!$B$3:$B$5001,T$219,BD!$A$3:$A$5001,"&gt;="&amp;$C$7,BD!$A$3:$A$5001,"&lt;="&amp;$B240,BD!$N$3:$N$5001,"&lt;&gt;")=0,"",SUMIFS(BD!$N$3:$N$5001,BD!$B$3:$B$5001,T$219,BD!$A$3:$A$5001,_xlfn.MAXIFS(BD!$A$3:$A$5001,BD!$B$3:$B$5001,T$219,BD!$A$3:$A$5001,"&gt;="&amp;$C$7,BD!$A$3:$A$5001,"&lt;="&amp;$B240,BD!$N$3:$N$5001,"&lt;&gt;"))))</f>
        <v/>
      </c>
      <c r="U240" s="43" t="str">
        <f>IF(OR($B240="",$A240&gt;$B$9,U$219=""),"",IF(COUNTIFS(BD!$B$3:$B$5001,U$219,BD!$A$3:$A$5001,"&gt;="&amp;$C$7,BD!$A$3:$A$5001,"&lt;="&amp;$B240,BD!$N$3:$N$5001,"&lt;&gt;")=0,"",SUMIFS(BD!$N$3:$N$5001,BD!$B$3:$B$5001,U$219,BD!$A$3:$A$5001,_xlfn.MAXIFS(BD!$A$3:$A$5001,BD!$B$3:$B$5001,U$219,BD!$A$3:$A$5001,"&gt;="&amp;$C$7,BD!$A$3:$A$5001,"&lt;="&amp;$B240,BD!$N$3:$N$5001,"&lt;&gt;"))))</f>
        <v/>
      </c>
      <c r="V240" s="43" t="str">
        <f>IF(OR($B240="",$A240&gt;$B$9,V$219=""),"",IF(COUNTIFS(BD!$B$3:$B$5001,V$219,BD!$A$3:$A$5001,"&gt;="&amp;$C$7,BD!$A$3:$A$5001,"&lt;="&amp;$B240,BD!$N$3:$N$5001,"&lt;&gt;")=0,"",SUMIFS(BD!$N$3:$N$5001,BD!$B$3:$B$5001,V$219,BD!$A$3:$A$5001,_xlfn.MAXIFS(BD!$A$3:$A$5001,BD!$B$3:$B$5001,V$219,BD!$A$3:$A$5001,"&gt;="&amp;$C$7,BD!$A$3:$A$5001,"&lt;="&amp;$B240,BD!$N$3:$N$5001,"&lt;&gt;"))))</f>
        <v/>
      </c>
    </row>
    <row r="241">
      <c r="A241" s="38">
        <v>22</v>
      </c>
      <c r="B241" s="42">
        <f>$B$33</f>
        <v>46317</v>
      </c>
      <c r="C241" s="43" t="str">
        <f>IF(OR($B241="",$A241&gt;$B$9,C$219=""),"",IF(COUNTIFS(BD!$B$3:$B$5001,C$219,BD!$A$3:$A$5001,"&gt;="&amp;$C$7,BD!$A$3:$A$5001,"&lt;="&amp;$B241,BD!$N$3:$N$5001,"&lt;&gt;")=0,"",SUMIFS(BD!$N$3:$N$5001,BD!$B$3:$B$5001,C$219,BD!$A$3:$A$5001,_xlfn.MAXIFS(BD!$A$3:$A$5001,BD!$B$3:$B$5001,C$219,BD!$A$3:$A$5001,"&gt;="&amp;$C$7,BD!$A$3:$A$5001,"&lt;="&amp;$B241,BD!$N$3:$N$5001,"&lt;&gt;"))))</f>
        <v/>
      </c>
      <c r="D241" s="43" t="str">
        <f>IF(OR($B241="",$A241&gt;$B$9,D$219=""),"",IF(COUNTIFS(BD!$B$3:$B$5001,D$219,BD!$A$3:$A$5001,"&gt;="&amp;$C$7,BD!$A$3:$A$5001,"&lt;="&amp;$B241,BD!$N$3:$N$5001,"&lt;&gt;")=0,"",SUMIFS(BD!$N$3:$N$5001,BD!$B$3:$B$5001,D$219,BD!$A$3:$A$5001,_xlfn.MAXIFS(BD!$A$3:$A$5001,BD!$B$3:$B$5001,D$219,BD!$A$3:$A$5001,"&gt;="&amp;$C$7,BD!$A$3:$A$5001,"&lt;="&amp;$B241,BD!$N$3:$N$5001,"&lt;&gt;"))))</f>
        <v/>
      </c>
      <c r="E241" s="43" t="str">
        <f>IF(OR($B241="",$A241&gt;$B$9,E$219=""),"",IF(COUNTIFS(BD!$B$3:$B$5001,E$219,BD!$A$3:$A$5001,"&gt;="&amp;$C$7,BD!$A$3:$A$5001,"&lt;="&amp;$B241,BD!$N$3:$N$5001,"&lt;&gt;")=0,"",SUMIFS(BD!$N$3:$N$5001,BD!$B$3:$B$5001,E$219,BD!$A$3:$A$5001,_xlfn.MAXIFS(BD!$A$3:$A$5001,BD!$B$3:$B$5001,E$219,BD!$A$3:$A$5001,"&gt;="&amp;$C$7,BD!$A$3:$A$5001,"&lt;="&amp;$B241,BD!$N$3:$N$5001,"&lt;&gt;"))))</f>
        <v/>
      </c>
      <c r="F241" s="43" t="str">
        <f>IF(OR($B241="",$A241&gt;$B$9,F$219=""),"",IF(COUNTIFS(BD!$B$3:$B$5001,F$219,BD!$A$3:$A$5001,"&gt;="&amp;$C$7,BD!$A$3:$A$5001,"&lt;="&amp;$B241,BD!$N$3:$N$5001,"&lt;&gt;")=0,"",SUMIFS(BD!$N$3:$N$5001,BD!$B$3:$B$5001,F$219,BD!$A$3:$A$5001,_xlfn.MAXIFS(BD!$A$3:$A$5001,BD!$B$3:$B$5001,F$219,BD!$A$3:$A$5001,"&gt;="&amp;$C$7,BD!$A$3:$A$5001,"&lt;="&amp;$B241,BD!$N$3:$N$5001,"&lt;&gt;"))))</f>
        <v/>
      </c>
      <c r="G241" s="43" t="str">
        <f>IF(OR($B241="",$A241&gt;$B$9,G$219=""),"",IF(COUNTIFS(BD!$B$3:$B$5001,G$219,BD!$A$3:$A$5001,"&gt;="&amp;$C$7,BD!$A$3:$A$5001,"&lt;="&amp;$B241,BD!$N$3:$N$5001,"&lt;&gt;")=0,"",SUMIFS(BD!$N$3:$N$5001,BD!$B$3:$B$5001,G$219,BD!$A$3:$A$5001,_xlfn.MAXIFS(BD!$A$3:$A$5001,BD!$B$3:$B$5001,G$219,BD!$A$3:$A$5001,"&gt;="&amp;$C$7,BD!$A$3:$A$5001,"&lt;="&amp;$B241,BD!$N$3:$N$5001,"&lt;&gt;"))))</f>
        <v/>
      </c>
      <c r="H241" s="43" t="str">
        <f>IF(OR($B241="",$A241&gt;$B$9,H$219=""),"",IF(COUNTIFS(BD!$B$3:$B$5001,H$219,BD!$A$3:$A$5001,"&gt;="&amp;$C$7,BD!$A$3:$A$5001,"&lt;="&amp;$B241,BD!$N$3:$N$5001,"&lt;&gt;")=0,"",SUMIFS(BD!$N$3:$N$5001,BD!$B$3:$B$5001,H$219,BD!$A$3:$A$5001,_xlfn.MAXIFS(BD!$A$3:$A$5001,BD!$B$3:$B$5001,H$219,BD!$A$3:$A$5001,"&gt;="&amp;$C$7,BD!$A$3:$A$5001,"&lt;="&amp;$B241,BD!$N$3:$N$5001,"&lt;&gt;"))))</f>
        <v/>
      </c>
      <c r="I241" s="43" t="str">
        <f>IF(OR($B241="",$A241&gt;$B$9,I$219=""),"",IF(COUNTIFS(BD!$B$3:$B$5001,I$219,BD!$A$3:$A$5001,"&gt;="&amp;$C$7,BD!$A$3:$A$5001,"&lt;="&amp;$B241,BD!$N$3:$N$5001,"&lt;&gt;")=0,"",SUMIFS(BD!$N$3:$N$5001,BD!$B$3:$B$5001,I$219,BD!$A$3:$A$5001,_xlfn.MAXIFS(BD!$A$3:$A$5001,BD!$B$3:$B$5001,I$219,BD!$A$3:$A$5001,"&gt;="&amp;$C$7,BD!$A$3:$A$5001,"&lt;="&amp;$B241,BD!$N$3:$N$5001,"&lt;&gt;"))))</f>
        <v/>
      </c>
      <c r="J241" s="43" t="str">
        <f>IF(OR($B241="",$A241&gt;$B$9,J$219=""),"",IF(COUNTIFS(BD!$B$3:$B$5001,J$219,BD!$A$3:$A$5001,"&gt;="&amp;$C$7,BD!$A$3:$A$5001,"&lt;="&amp;$B241,BD!$N$3:$N$5001,"&lt;&gt;")=0,"",SUMIFS(BD!$N$3:$N$5001,BD!$B$3:$B$5001,J$219,BD!$A$3:$A$5001,_xlfn.MAXIFS(BD!$A$3:$A$5001,BD!$B$3:$B$5001,J$219,BD!$A$3:$A$5001,"&gt;="&amp;$C$7,BD!$A$3:$A$5001,"&lt;="&amp;$B241,BD!$N$3:$N$5001,"&lt;&gt;"))))</f>
        <v/>
      </c>
      <c r="K241" s="43" t="str">
        <f>IF(OR($B241="",$A241&gt;$B$9,K$219=""),"",IF(COUNTIFS(BD!$B$3:$B$5001,K$219,BD!$A$3:$A$5001,"&gt;="&amp;$C$7,BD!$A$3:$A$5001,"&lt;="&amp;$B241,BD!$N$3:$N$5001,"&lt;&gt;")=0,"",SUMIFS(BD!$N$3:$N$5001,BD!$B$3:$B$5001,K$219,BD!$A$3:$A$5001,_xlfn.MAXIFS(BD!$A$3:$A$5001,BD!$B$3:$B$5001,K$219,BD!$A$3:$A$5001,"&gt;="&amp;$C$7,BD!$A$3:$A$5001,"&lt;="&amp;$B241,BD!$N$3:$N$5001,"&lt;&gt;"))))</f>
        <v/>
      </c>
      <c r="L241" s="43" t="str">
        <f>IF(OR($B241="",$A241&gt;$B$9,L$219=""),"",IF(COUNTIFS(BD!$B$3:$B$5001,L$219,BD!$A$3:$A$5001,"&gt;="&amp;$C$7,BD!$A$3:$A$5001,"&lt;="&amp;$B241,BD!$N$3:$N$5001,"&lt;&gt;")=0,"",SUMIFS(BD!$N$3:$N$5001,BD!$B$3:$B$5001,L$219,BD!$A$3:$A$5001,_xlfn.MAXIFS(BD!$A$3:$A$5001,BD!$B$3:$B$5001,L$219,BD!$A$3:$A$5001,"&gt;="&amp;$C$7,BD!$A$3:$A$5001,"&lt;="&amp;$B241,BD!$N$3:$N$5001,"&lt;&gt;"))))</f>
        <v/>
      </c>
      <c r="M241" s="43" t="str">
        <f>IF(OR($B241="",$A241&gt;$B$9,M$219=""),"",IF(COUNTIFS(BD!$B$3:$B$5001,M$219,BD!$A$3:$A$5001,"&gt;="&amp;$C$7,BD!$A$3:$A$5001,"&lt;="&amp;$B241,BD!$N$3:$N$5001,"&lt;&gt;")=0,"",SUMIFS(BD!$N$3:$N$5001,BD!$B$3:$B$5001,M$219,BD!$A$3:$A$5001,_xlfn.MAXIFS(BD!$A$3:$A$5001,BD!$B$3:$B$5001,M$219,BD!$A$3:$A$5001,"&gt;="&amp;$C$7,BD!$A$3:$A$5001,"&lt;="&amp;$B241,BD!$N$3:$N$5001,"&lt;&gt;"))))</f>
        <v/>
      </c>
      <c r="N241" s="43" t="str">
        <f>IF(OR($B241="",$A241&gt;$B$9,N$219=""),"",IF(COUNTIFS(BD!$B$3:$B$5001,N$219,BD!$A$3:$A$5001,"&gt;="&amp;$C$7,BD!$A$3:$A$5001,"&lt;="&amp;$B241,BD!$N$3:$N$5001,"&lt;&gt;")=0,"",SUMIFS(BD!$N$3:$N$5001,BD!$B$3:$B$5001,N$219,BD!$A$3:$A$5001,_xlfn.MAXIFS(BD!$A$3:$A$5001,BD!$B$3:$B$5001,N$219,BD!$A$3:$A$5001,"&gt;="&amp;$C$7,BD!$A$3:$A$5001,"&lt;="&amp;$B241,BD!$N$3:$N$5001,"&lt;&gt;"))))</f>
        <v/>
      </c>
      <c r="O241" s="43" t="str">
        <f>IF(OR($B241="",$A241&gt;$B$9,O$219=""),"",IF(COUNTIFS(BD!$B$3:$B$5001,O$219,BD!$A$3:$A$5001,"&gt;="&amp;$C$7,BD!$A$3:$A$5001,"&lt;="&amp;$B241,BD!$N$3:$N$5001,"&lt;&gt;")=0,"",SUMIFS(BD!$N$3:$N$5001,BD!$B$3:$B$5001,O$219,BD!$A$3:$A$5001,_xlfn.MAXIFS(BD!$A$3:$A$5001,BD!$B$3:$B$5001,O$219,BD!$A$3:$A$5001,"&gt;="&amp;$C$7,BD!$A$3:$A$5001,"&lt;="&amp;$B241,BD!$N$3:$N$5001,"&lt;&gt;"))))</f>
        <v/>
      </c>
      <c r="P241" s="43" t="str">
        <f>IF(OR($B241="",$A241&gt;$B$9,P$219=""),"",IF(COUNTIFS(BD!$B$3:$B$5001,P$219,BD!$A$3:$A$5001,"&gt;="&amp;$C$7,BD!$A$3:$A$5001,"&lt;="&amp;$B241,BD!$N$3:$N$5001,"&lt;&gt;")=0,"",SUMIFS(BD!$N$3:$N$5001,BD!$B$3:$B$5001,P$219,BD!$A$3:$A$5001,_xlfn.MAXIFS(BD!$A$3:$A$5001,BD!$B$3:$B$5001,P$219,BD!$A$3:$A$5001,"&gt;="&amp;$C$7,BD!$A$3:$A$5001,"&lt;="&amp;$B241,BD!$N$3:$N$5001,"&lt;&gt;"))))</f>
        <v/>
      </c>
      <c r="Q241" s="43" t="str">
        <f>IF(OR($B241="",$A241&gt;$B$9,Q$219=""),"",IF(COUNTIFS(BD!$B$3:$B$5001,Q$219,BD!$A$3:$A$5001,"&gt;="&amp;$C$7,BD!$A$3:$A$5001,"&lt;="&amp;$B241,BD!$N$3:$N$5001,"&lt;&gt;")=0,"",SUMIFS(BD!$N$3:$N$5001,BD!$B$3:$B$5001,Q$219,BD!$A$3:$A$5001,_xlfn.MAXIFS(BD!$A$3:$A$5001,BD!$B$3:$B$5001,Q$219,BD!$A$3:$A$5001,"&gt;="&amp;$C$7,BD!$A$3:$A$5001,"&lt;="&amp;$B241,BD!$N$3:$N$5001,"&lt;&gt;"))))</f>
        <v/>
      </c>
      <c r="R241" s="43" t="str">
        <f>IF(OR($B241="",$A241&gt;$B$9,R$219=""),"",IF(COUNTIFS(BD!$B$3:$B$5001,R$219,BD!$A$3:$A$5001,"&gt;="&amp;$C$7,BD!$A$3:$A$5001,"&lt;="&amp;$B241,BD!$N$3:$N$5001,"&lt;&gt;")=0,"",SUMIFS(BD!$N$3:$N$5001,BD!$B$3:$B$5001,R$219,BD!$A$3:$A$5001,_xlfn.MAXIFS(BD!$A$3:$A$5001,BD!$B$3:$B$5001,R$219,BD!$A$3:$A$5001,"&gt;="&amp;$C$7,BD!$A$3:$A$5001,"&lt;="&amp;$B241,BD!$N$3:$N$5001,"&lt;&gt;"))))</f>
        <v/>
      </c>
      <c r="S241" s="43" t="str">
        <f>IF(OR($B241="",$A241&gt;$B$9,S$219=""),"",IF(COUNTIFS(BD!$B$3:$B$5001,S$219,BD!$A$3:$A$5001,"&gt;="&amp;$C$7,BD!$A$3:$A$5001,"&lt;="&amp;$B241,BD!$N$3:$N$5001,"&lt;&gt;")=0,"",SUMIFS(BD!$N$3:$N$5001,BD!$B$3:$B$5001,S$219,BD!$A$3:$A$5001,_xlfn.MAXIFS(BD!$A$3:$A$5001,BD!$B$3:$B$5001,S$219,BD!$A$3:$A$5001,"&gt;="&amp;$C$7,BD!$A$3:$A$5001,"&lt;="&amp;$B241,BD!$N$3:$N$5001,"&lt;&gt;"))))</f>
        <v/>
      </c>
      <c r="T241" s="43" t="str">
        <f>IF(OR($B241="",$A241&gt;$B$9,T$219=""),"",IF(COUNTIFS(BD!$B$3:$B$5001,T$219,BD!$A$3:$A$5001,"&gt;="&amp;$C$7,BD!$A$3:$A$5001,"&lt;="&amp;$B241,BD!$N$3:$N$5001,"&lt;&gt;")=0,"",SUMIFS(BD!$N$3:$N$5001,BD!$B$3:$B$5001,T$219,BD!$A$3:$A$5001,_xlfn.MAXIFS(BD!$A$3:$A$5001,BD!$B$3:$B$5001,T$219,BD!$A$3:$A$5001,"&gt;="&amp;$C$7,BD!$A$3:$A$5001,"&lt;="&amp;$B241,BD!$N$3:$N$5001,"&lt;&gt;"))))</f>
        <v/>
      </c>
      <c r="U241" s="43" t="str">
        <f>IF(OR($B241="",$A241&gt;$B$9,U$219=""),"",IF(COUNTIFS(BD!$B$3:$B$5001,U$219,BD!$A$3:$A$5001,"&gt;="&amp;$C$7,BD!$A$3:$A$5001,"&lt;="&amp;$B241,BD!$N$3:$N$5001,"&lt;&gt;")=0,"",SUMIFS(BD!$N$3:$N$5001,BD!$B$3:$B$5001,U$219,BD!$A$3:$A$5001,_xlfn.MAXIFS(BD!$A$3:$A$5001,BD!$B$3:$B$5001,U$219,BD!$A$3:$A$5001,"&gt;="&amp;$C$7,BD!$A$3:$A$5001,"&lt;="&amp;$B241,BD!$N$3:$N$5001,"&lt;&gt;"))))</f>
        <v/>
      </c>
      <c r="V241" s="43" t="str">
        <f>IF(OR($B241="",$A241&gt;$B$9,V$219=""),"",IF(COUNTIFS(BD!$B$3:$B$5001,V$219,BD!$A$3:$A$5001,"&gt;="&amp;$C$7,BD!$A$3:$A$5001,"&lt;="&amp;$B241,BD!$N$3:$N$5001,"&lt;&gt;")=0,"",SUMIFS(BD!$N$3:$N$5001,BD!$B$3:$B$5001,V$219,BD!$A$3:$A$5001,_xlfn.MAXIFS(BD!$A$3:$A$5001,BD!$B$3:$B$5001,V$219,BD!$A$3:$A$5001,"&gt;="&amp;$C$7,BD!$A$3:$A$5001,"&lt;="&amp;$B241,BD!$N$3:$N$5001,"&lt;&gt;"))))</f>
        <v/>
      </c>
    </row>
    <row r="242">
      <c r="A242" s="38">
        <v>23</v>
      </c>
      <c r="B242" s="42">
        <f>$B$34</f>
        <v>46318</v>
      </c>
      <c r="C242" s="43" t="str">
        <f>IF(OR($B242="",$A242&gt;$B$9,C$219=""),"",IF(COUNTIFS(BD!$B$3:$B$5001,C$219,BD!$A$3:$A$5001,"&gt;="&amp;$C$7,BD!$A$3:$A$5001,"&lt;="&amp;$B242,BD!$N$3:$N$5001,"&lt;&gt;")=0,"",SUMIFS(BD!$N$3:$N$5001,BD!$B$3:$B$5001,C$219,BD!$A$3:$A$5001,_xlfn.MAXIFS(BD!$A$3:$A$5001,BD!$B$3:$B$5001,C$219,BD!$A$3:$A$5001,"&gt;="&amp;$C$7,BD!$A$3:$A$5001,"&lt;="&amp;$B242,BD!$N$3:$N$5001,"&lt;&gt;"))))</f>
        <v/>
      </c>
      <c r="D242" s="43" t="str">
        <f>IF(OR($B242="",$A242&gt;$B$9,D$219=""),"",IF(COUNTIFS(BD!$B$3:$B$5001,D$219,BD!$A$3:$A$5001,"&gt;="&amp;$C$7,BD!$A$3:$A$5001,"&lt;="&amp;$B242,BD!$N$3:$N$5001,"&lt;&gt;")=0,"",SUMIFS(BD!$N$3:$N$5001,BD!$B$3:$B$5001,D$219,BD!$A$3:$A$5001,_xlfn.MAXIFS(BD!$A$3:$A$5001,BD!$B$3:$B$5001,D$219,BD!$A$3:$A$5001,"&gt;="&amp;$C$7,BD!$A$3:$A$5001,"&lt;="&amp;$B242,BD!$N$3:$N$5001,"&lt;&gt;"))))</f>
        <v/>
      </c>
      <c r="E242" s="43" t="str">
        <f>IF(OR($B242="",$A242&gt;$B$9,E$219=""),"",IF(COUNTIFS(BD!$B$3:$B$5001,E$219,BD!$A$3:$A$5001,"&gt;="&amp;$C$7,BD!$A$3:$A$5001,"&lt;="&amp;$B242,BD!$N$3:$N$5001,"&lt;&gt;")=0,"",SUMIFS(BD!$N$3:$N$5001,BD!$B$3:$B$5001,E$219,BD!$A$3:$A$5001,_xlfn.MAXIFS(BD!$A$3:$A$5001,BD!$B$3:$B$5001,E$219,BD!$A$3:$A$5001,"&gt;="&amp;$C$7,BD!$A$3:$A$5001,"&lt;="&amp;$B242,BD!$N$3:$N$5001,"&lt;&gt;"))))</f>
        <v/>
      </c>
      <c r="F242" s="43" t="str">
        <f>IF(OR($B242="",$A242&gt;$B$9,F$219=""),"",IF(COUNTIFS(BD!$B$3:$B$5001,F$219,BD!$A$3:$A$5001,"&gt;="&amp;$C$7,BD!$A$3:$A$5001,"&lt;="&amp;$B242,BD!$N$3:$N$5001,"&lt;&gt;")=0,"",SUMIFS(BD!$N$3:$N$5001,BD!$B$3:$B$5001,F$219,BD!$A$3:$A$5001,_xlfn.MAXIFS(BD!$A$3:$A$5001,BD!$B$3:$B$5001,F$219,BD!$A$3:$A$5001,"&gt;="&amp;$C$7,BD!$A$3:$A$5001,"&lt;="&amp;$B242,BD!$N$3:$N$5001,"&lt;&gt;"))))</f>
        <v/>
      </c>
      <c r="G242" s="43" t="str">
        <f>IF(OR($B242="",$A242&gt;$B$9,G$219=""),"",IF(COUNTIFS(BD!$B$3:$B$5001,G$219,BD!$A$3:$A$5001,"&gt;="&amp;$C$7,BD!$A$3:$A$5001,"&lt;="&amp;$B242,BD!$N$3:$N$5001,"&lt;&gt;")=0,"",SUMIFS(BD!$N$3:$N$5001,BD!$B$3:$B$5001,G$219,BD!$A$3:$A$5001,_xlfn.MAXIFS(BD!$A$3:$A$5001,BD!$B$3:$B$5001,G$219,BD!$A$3:$A$5001,"&gt;="&amp;$C$7,BD!$A$3:$A$5001,"&lt;="&amp;$B242,BD!$N$3:$N$5001,"&lt;&gt;"))))</f>
        <v/>
      </c>
      <c r="H242" s="43" t="str">
        <f>IF(OR($B242="",$A242&gt;$B$9,H$219=""),"",IF(COUNTIFS(BD!$B$3:$B$5001,H$219,BD!$A$3:$A$5001,"&gt;="&amp;$C$7,BD!$A$3:$A$5001,"&lt;="&amp;$B242,BD!$N$3:$N$5001,"&lt;&gt;")=0,"",SUMIFS(BD!$N$3:$N$5001,BD!$B$3:$B$5001,H$219,BD!$A$3:$A$5001,_xlfn.MAXIFS(BD!$A$3:$A$5001,BD!$B$3:$B$5001,H$219,BD!$A$3:$A$5001,"&gt;="&amp;$C$7,BD!$A$3:$A$5001,"&lt;="&amp;$B242,BD!$N$3:$N$5001,"&lt;&gt;"))))</f>
        <v/>
      </c>
      <c r="I242" s="43" t="str">
        <f>IF(OR($B242="",$A242&gt;$B$9,I$219=""),"",IF(COUNTIFS(BD!$B$3:$B$5001,I$219,BD!$A$3:$A$5001,"&gt;="&amp;$C$7,BD!$A$3:$A$5001,"&lt;="&amp;$B242,BD!$N$3:$N$5001,"&lt;&gt;")=0,"",SUMIFS(BD!$N$3:$N$5001,BD!$B$3:$B$5001,I$219,BD!$A$3:$A$5001,_xlfn.MAXIFS(BD!$A$3:$A$5001,BD!$B$3:$B$5001,I$219,BD!$A$3:$A$5001,"&gt;="&amp;$C$7,BD!$A$3:$A$5001,"&lt;="&amp;$B242,BD!$N$3:$N$5001,"&lt;&gt;"))))</f>
        <v/>
      </c>
      <c r="J242" s="43" t="str">
        <f>IF(OR($B242="",$A242&gt;$B$9,J$219=""),"",IF(COUNTIFS(BD!$B$3:$B$5001,J$219,BD!$A$3:$A$5001,"&gt;="&amp;$C$7,BD!$A$3:$A$5001,"&lt;="&amp;$B242,BD!$N$3:$N$5001,"&lt;&gt;")=0,"",SUMIFS(BD!$N$3:$N$5001,BD!$B$3:$B$5001,J$219,BD!$A$3:$A$5001,_xlfn.MAXIFS(BD!$A$3:$A$5001,BD!$B$3:$B$5001,J$219,BD!$A$3:$A$5001,"&gt;="&amp;$C$7,BD!$A$3:$A$5001,"&lt;="&amp;$B242,BD!$N$3:$N$5001,"&lt;&gt;"))))</f>
        <v/>
      </c>
      <c r="K242" s="43" t="str">
        <f>IF(OR($B242="",$A242&gt;$B$9,K$219=""),"",IF(COUNTIFS(BD!$B$3:$B$5001,K$219,BD!$A$3:$A$5001,"&gt;="&amp;$C$7,BD!$A$3:$A$5001,"&lt;="&amp;$B242,BD!$N$3:$N$5001,"&lt;&gt;")=0,"",SUMIFS(BD!$N$3:$N$5001,BD!$B$3:$B$5001,K$219,BD!$A$3:$A$5001,_xlfn.MAXIFS(BD!$A$3:$A$5001,BD!$B$3:$B$5001,K$219,BD!$A$3:$A$5001,"&gt;="&amp;$C$7,BD!$A$3:$A$5001,"&lt;="&amp;$B242,BD!$N$3:$N$5001,"&lt;&gt;"))))</f>
        <v/>
      </c>
      <c r="L242" s="43" t="str">
        <f>IF(OR($B242="",$A242&gt;$B$9,L$219=""),"",IF(COUNTIFS(BD!$B$3:$B$5001,L$219,BD!$A$3:$A$5001,"&gt;="&amp;$C$7,BD!$A$3:$A$5001,"&lt;="&amp;$B242,BD!$N$3:$N$5001,"&lt;&gt;")=0,"",SUMIFS(BD!$N$3:$N$5001,BD!$B$3:$B$5001,L$219,BD!$A$3:$A$5001,_xlfn.MAXIFS(BD!$A$3:$A$5001,BD!$B$3:$B$5001,L$219,BD!$A$3:$A$5001,"&gt;="&amp;$C$7,BD!$A$3:$A$5001,"&lt;="&amp;$B242,BD!$N$3:$N$5001,"&lt;&gt;"))))</f>
        <v/>
      </c>
      <c r="M242" s="43" t="str">
        <f>IF(OR($B242="",$A242&gt;$B$9,M$219=""),"",IF(COUNTIFS(BD!$B$3:$B$5001,M$219,BD!$A$3:$A$5001,"&gt;="&amp;$C$7,BD!$A$3:$A$5001,"&lt;="&amp;$B242,BD!$N$3:$N$5001,"&lt;&gt;")=0,"",SUMIFS(BD!$N$3:$N$5001,BD!$B$3:$B$5001,M$219,BD!$A$3:$A$5001,_xlfn.MAXIFS(BD!$A$3:$A$5001,BD!$B$3:$B$5001,M$219,BD!$A$3:$A$5001,"&gt;="&amp;$C$7,BD!$A$3:$A$5001,"&lt;="&amp;$B242,BD!$N$3:$N$5001,"&lt;&gt;"))))</f>
        <v/>
      </c>
      <c r="N242" s="43" t="str">
        <f>IF(OR($B242="",$A242&gt;$B$9,N$219=""),"",IF(COUNTIFS(BD!$B$3:$B$5001,N$219,BD!$A$3:$A$5001,"&gt;="&amp;$C$7,BD!$A$3:$A$5001,"&lt;="&amp;$B242,BD!$N$3:$N$5001,"&lt;&gt;")=0,"",SUMIFS(BD!$N$3:$N$5001,BD!$B$3:$B$5001,N$219,BD!$A$3:$A$5001,_xlfn.MAXIFS(BD!$A$3:$A$5001,BD!$B$3:$B$5001,N$219,BD!$A$3:$A$5001,"&gt;="&amp;$C$7,BD!$A$3:$A$5001,"&lt;="&amp;$B242,BD!$N$3:$N$5001,"&lt;&gt;"))))</f>
        <v/>
      </c>
      <c r="O242" s="43" t="str">
        <f>IF(OR($B242="",$A242&gt;$B$9,O$219=""),"",IF(COUNTIFS(BD!$B$3:$B$5001,O$219,BD!$A$3:$A$5001,"&gt;="&amp;$C$7,BD!$A$3:$A$5001,"&lt;="&amp;$B242,BD!$N$3:$N$5001,"&lt;&gt;")=0,"",SUMIFS(BD!$N$3:$N$5001,BD!$B$3:$B$5001,O$219,BD!$A$3:$A$5001,_xlfn.MAXIFS(BD!$A$3:$A$5001,BD!$B$3:$B$5001,O$219,BD!$A$3:$A$5001,"&gt;="&amp;$C$7,BD!$A$3:$A$5001,"&lt;="&amp;$B242,BD!$N$3:$N$5001,"&lt;&gt;"))))</f>
        <v/>
      </c>
      <c r="P242" s="43" t="str">
        <f>IF(OR($B242="",$A242&gt;$B$9,P$219=""),"",IF(COUNTIFS(BD!$B$3:$B$5001,P$219,BD!$A$3:$A$5001,"&gt;="&amp;$C$7,BD!$A$3:$A$5001,"&lt;="&amp;$B242,BD!$N$3:$N$5001,"&lt;&gt;")=0,"",SUMIFS(BD!$N$3:$N$5001,BD!$B$3:$B$5001,P$219,BD!$A$3:$A$5001,_xlfn.MAXIFS(BD!$A$3:$A$5001,BD!$B$3:$B$5001,P$219,BD!$A$3:$A$5001,"&gt;="&amp;$C$7,BD!$A$3:$A$5001,"&lt;="&amp;$B242,BD!$N$3:$N$5001,"&lt;&gt;"))))</f>
        <v/>
      </c>
      <c r="Q242" s="43" t="str">
        <f>IF(OR($B242="",$A242&gt;$B$9,Q$219=""),"",IF(COUNTIFS(BD!$B$3:$B$5001,Q$219,BD!$A$3:$A$5001,"&gt;="&amp;$C$7,BD!$A$3:$A$5001,"&lt;="&amp;$B242,BD!$N$3:$N$5001,"&lt;&gt;")=0,"",SUMIFS(BD!$N$3:$N$5001,BD!$B$3:$B$5001,Q$219,BD!$A$3:$A$5001,_xlfn.MAXIFS(BD!$A$3:$A$5001,BD!$B$3:$B$5001,Q$219,BD!$A$3:$A$5001,"&gt;="&amp;$C$7,BD!$A$3:$A$5001,"&lt;="&amp;$B242,BD!$N$3:$N$5001,"&lt;&gt;"))))</f>
        <v/>
      </c>
      <c r="R242" s="43" t="str">
        <f>IF(OR($B242="",$A242&gt;$B$9,R$219=""),"",IF(COUNTIFS(BD!$B$3:$B$5001,R$219,BD!$A$3:$A$5001,"&gt;="&amp;$C$7,BD!$A$3:$A$5001,"&lt;="&amp;$B242,BD!$N$3:$N$5001,"&lt;&gt;")=0,"",SUMIFS(BD!$N$3:$N$5001,BD!$B$3:$B$5001,R$219,BD!$A$3:$A$5001,_xlfn.MAXIFS(BD!$A$3:$A$5001,BD!$B$3:$B$5001,R$219,BD!$A$3:$A$5001,"&gt;="&amp;$C$7,BD!$A$3:$A$5001,"&lt;="&amp;$B242,BD!$N$3:$N$5001,"&lt;&gt;"))))</f>
        <v/>
      </c>
      <c r="S242" s="43" t="str">
        <f>IF(OR($B242="",$A242&gt;$B$9,S$219=""),"",IF(COUNTIFS(BD!$B$3:$B$5001,S$219,BD!$A$3:$A$5001,"&gt;="&amp;$C$7,BD!$A$3:$A$5001,"&lt;="&amp;$B242,BD!$N$3:$N$5001,"&lt;&gt;")=0,"",SUMIFS(BD!$N$3:$N$5001,BD!$B$3:$B$5001,S$219,BD!$A$3:$A$5001,_xlfn.MAXIFS(BD!$A$3:$A$5001,BD!$B$3:$B$5001,S$219,BD!$A$3:$A$5001,"&gt;="&amp;$C$7,BD!$A$3:$A$5001,"&lt;="&amp;$B242,BD!$N$3:$N$5001,"&lt;&gt;"))))</f>
        <v/>
      </c>
      <c r="T242" s="43" t="str">
        <f>IF(OR($B242="",$A242&gt;$B$9,T$219=""),"",IF(COUNTIFS(BD!$B$3:$B$5001,T$219,BD!$A$3:$A$5001,"&gt;="&amp;$C$7,BD!$A$3:$A$5001,"&lt;="&amp;$B242,BD!$N$3:$N$5001,"&lt;&gt;")=0,"",SUMIFS(BD!$N$3:$N$5001,BD!$B$3:$B$5001,T$219,BD!$A$3:$A$5001,_xlfn.MAXIFS(BD!$A$3:$A$5001,BD!$B$3:$B$5001,T$219,BD!$A$3:$A$5001,"&gt;="&amp;$C$7,BD!$A$3:$A$5001,"&lt;="&amp;$B242,BD!$N$3:$N$5001,"&lt;&gt;"))))</f>
        <v/>
      </c>
      <c r="U242" s="43" t="str">
        <f>IF(OR($B242="",$A242&gt;$B$9,U$219=""),"",IF(COUNTIFS(BD!$B$3:$B$5001,U$219,BD!$A$3:$A$5001,"&gt;="&amp;$C$7,BD!$A$3:$A$5001,"&lt;="&amp;$B242,BD!$N$3:$N$5001,"&lt;&gt;")=0,"",SUMIFS(BD!$N$3:$N$5001,BD!$B$3:$B$5001,U$219,BD!$A$3:$A$5001,_xlfn.MAXIFS(BD!$A$3:$A$5001,BD!$B$3:$B$5001,U$219,BD!$A$3:$A$5001,"&gt;="&amp;$C$7,BD!$A$3:$A$5001,"&lt;="&amp;$B242,BD!$N$3:$N$5001,"&lt;&gt;"))))</f>
        <v/>
      </c>
      <c r="V242" s="43" t="str">
        <f>IF(OR($B242="",$A242&gt;$B$9,V$219=""),"",IF(COUNTIFS(BD!$B$3:$B$5001,V$219,BD!$A$3:$A$5001,"&gt;="&amp;$C$7,BD!$A$3:$A$5001,"&lt;="&amp;$B242,BD!$N$3:$N$5001,"&lt;&gt;")=0,"",SUMIFS(BD!$N$3:$N$5001,BD!$B$3:$B$5001,V$219,BD!$A$3:$A$5001,_xlfn.MAXIFS(BD!$A$3:$A$5001,BD!$B$3:$B$5001,V$219,BD!$A$3:$A$5001,"&gt;="&amp;$C$7,BD!$A$3:$A$5001,"&lt;="&amp;$B242,BD!$N$3:$N$5001,"&lt;&gt;"))))</f>
        <v/>
      </c>
    </row>
    <row r="243">
      <c r="A243" s="38">
        <v>24</v>
      </c>
      <c r="B243" s="42">
        <f>$B$35</f>
        <v>46319</v>
      </c>
      <c r="C243" s="43" t="str">
        <f>IF(OR($B243="",$A243&gt;$B$9,C$219=""),"",IF(COUNTIFS(BD!$B$3:$B$5001,C$219,BD!$A$3:$A$5001,"&gt;="&amp;$C$7,BD!$A$3:$A$5001,"&lt;="&amp;$B243,BD!$N$3:$N$5001,"&lt;&gt;")=0,"",SUMIFS(BD!$N$3:$N$5001,BD!$B$3:$B$5001,C$219,BD!$A$3:$A$5001,_xlfn.MAXIFS(BD!$A$3:$A$5001,BD!$B$3:$B$5001,C$219,BD!$A$3:$A$5001,"&gt;="&amp;$C$7,BD!$A$3:$A$5001,"&lt;="&amp;$B243,BD!$N$3:$N$5001,"&lt;&gt;"))))</f>
        <v/>
      </c>
      <c r="D243" s="43" t="str">
        <f>IF(OR($B243="",$A243&gt;$B$9,D$219=""),"",IF(COUNTIFS(BD!$B$3:$B$5001,D$219,BD!$A$3:$A$5001,"&gt;="&amp;$C$7,BD!$A$3:$A$5001,"&lt;="&amp;$B243,BD!$N$3:$N$5001,"&lt;&gt;")=0,"",SUMIFS(BD!$N$3:$N$5001,BD!$B$3:$B$5001,D$219,BD!$A$3:$A$5001,_xlfn.MAXIFS(BD!$A$3:$A$5001,BD!$B$3:$B$5001,D$219,BD!$A$3:$A$5001,"&gt;="&amp;$C$7,BD!$A$3:$A$5001,"&lt;="&amp;$B243,BD!$N$3:$N$5001,"&lt;&gt;"))))</f>
        <v/>
      </c>
      <c r="E243" s="43" t="str">
        <f>IF(OR($B243="",$A243&gt;$B$9,E$219=""),"",IF(COUNTIFS(BD!$B$3:$B$5001,E$219,BD!$A$3:$A$5001,"&gt;="&amp;$C$7,BD!$A$3:$A$5001,"&lt;="&amp;$B243,BD!$N$3:$N$5001,"&lt;&gt;")=0,"",SUMIFS(BD!$N$3:$N$5001,BD!$B$3:$B$5001,E$219,BD!$A$3:$A$5001,_xlfn.MAXIFS(BD!$A$3:$A$5001,BD!$B$3:$B$5001,E$219,BD!$A$3:$A$5001,"&gt;="&amp;$C$7,BD!$A$3:$A$5001,"&lt;="&amp;$B243,BD!$N$3:$N$5001,"&lt;&gt;"))))</f>
        <v/>
      </c>
      <c r="F243" s="43" t="str">
        <f>IF(OR($B243="",$A243&gt;$B$9,F$219=""),"",IF(COUNTIFS(BD!$B$3:$B$5001,F$219,BD!$A$3:$A$5001,"&gt;="&amp;$C$7,BD!$A$3:$A$5001,"&lt;="&amp;$B243,BD!$N$3:$N$5001,"&lt;&gt;")=0,"",SUMIFS(BD!$N$3:$N$5001,BD!$B$3:$B$5001,F$219,BD!$A$3:$A$5001,_xlfn.MAXIFS(BD!$A$3:$A$5001,BD!$B$3:$B$5001,F$219,BD!$A$3:$A$5001,"&gt;="&amp;$C$7,BD!$A$3:$A$5001,"&lt;="&amp;$B243,BD!$N$3:$N$5001,"&lt;&gt;"))))</f>
        <v/>
      </c>
      <c r="G243" s="43" t="str">
        <f>IF(OR($B243="",$A243&gt;$B$9,G$219=""),"",IF(COUNTIFS(BD!$B$3:$B$5001,G$219,BD!$A$3:$A$5001,"&gt;="&amp;$C$7,BD!$A$3:$A$5001,"&lt;="&amp;$B243,BD!$N$3:$N$5001,"&lt;&gt;")=0,"",SUMIFS(BD!$N$3:$N$5001,BD!$B$3:$B$5001,G$219,BD!$A$3:$A$5001,_xlfn.MAXIFS(BD!$A$3:$A$5001,BD!$B$3:$B$5001,G$219,BD!$A$3:$A$5001,"&gt;="&amp;$C$7,BD!$A$3:$A$5001,"&lt;="&amp;$B243,BD!$N$3:$N$5001,"&lt;&gt;"))))</f>
        <v/>
      </c>
      <c r="H243" s="43" t="str">
        <f>IF(OR($B243="",$A243&gt;$B$9,H$219=""),"",IF(COUNTIFS(BD!$B$3:$B$5001,H$219,BD!$A$3:$A$5001,"&gt;="&amp;$C$7,BD!$A$3:$A$5001,"&lt;="&amp;$B243,BD!$N$3:$N$5001,"&lt;&gt;")=0,"",SUMIFS(BD!$N$3:$N$5001,BD!$B$3:$B$5001,H$219,BD!$A$3:$A$5001,_xlfn.MAXIFS(BD!$A$3:$A$5001,BD!$B$3:$B$5001,H$219,BD!$A$3:$A$5001,"&gt;="&amp;$C$7,BD!$A$3:$A$5001,"&lt;="&amp;$B243,BD!$N$3:$N$5001,"&lt;&gt;"))))</f>
        <v/>
      </c>
      <c r="I243" s="43" t="str">
        <f>IF(OR($B243="",$A243&gt;$B$9,I$219=""),"",IF(COUNTIFS(BD!$B$3:$B$5001,I$219,BD!$A$3:$A$5001,"&gt;="&amp;$C$7,BD!$A$3:$A$5001,"&lt;="&amp;$B243,BD!$N$3:$N$5001,"&lt;&gt;")=0,"",SUMIFS(BD!$N$3:$N$5001,BD!$B$3:$B$5001,I$219,BD!$A$3:$A$5001,_xlfn.MAXIFS(BD!$A$3:$A$5001,BD!$B$3:$B$5001,I$219,BD!$A$3:$A$5001,"&gt;="&amp;$C$7,BD!$A$3:$A$5001,"&lt;="&amp;$B243,BD!$N$3:$N$5001,"&lt;&gt;"))))</f>
        <v/>
      </c>
      <c r="J243" s="43" t="str">
        <f>IF(OR($B243="",$A243&gt;$B$9,J$219=""),"",IF(COUNTIFS(BD!$B$3:$B$5001,J$219,BD!$A$3:$A$5001,"&gt;="&amp;$C$7,BD!$A$3:$A$5001,"&lt;="&amp;$B243,BD!$N$3:$N$5001,"&lt;&gt;")=0,"",SUMIFS(BD!$N$3:$N$5001,BD!$B$3:$B$5001,J$219,BD!$A$3:$A$5001,_xlfn.MAXIFS(BD!$A$3:$A$5001,BD!$B$3:$B$5001,J$219,BD!$A$3:$A$5001,"&gt;="&amp;$C$7,BD!$A$3:$A$5001,"&lt;="&amp;$B243,BD!$N$3:$N$5001,"&lt;&gt;"))))</f>
        <v/>
      </c>
      <c r="K243" s="43" t="str">
        <f>IF(OR($B243="",$A243&gt;$B$9,K$219=""),"",IF(COUNTIFS(BD!$B$3:$B$5001,K$219,BD!$A$3:$A$5001,"&gt;="&amp;$C$7,BD!$A$3:$A$5001,"&lt;="&amp;$B243,BD!$N$3:$N$5001,"&lt;&gt;")=0,"",SUMIFS(BD!$N$3:$N$5001,BD!$B$3:$B$5001,K$219,BD!$A$3:$A$5001,_xlfn.MAXIFS(BD!$A$3:$A$5001,BD!$B$3:$B$5001,K$219,BD!$A$3:$A$5001,"&gt;="&amp;$C$7,BD!$A$3:$A$5001,"&lt;="&amp;$B243,BD!$N$3:$N$5001,"&lt;&gt;"))))</f>
        <v/>
      </c>
      <c r="L243" s="43" t="str">
        <f>IF(OR($B243="",$A243&gt;$B$9,L$219=""),"",IF(COUNTIFS(BD!$B$3:$B$5001,L$219,BD!$A$3:$A$5001,"&gt;="&amp;$C$7,BD!$A$3:$A$5001,"&lt;="&amp;$B243,BD!$N$3:$N$5001,"&lt;&gt;")=0,"",SUMIFS(BD!$N$3:$N$5001,BD!$B$3:$B$5001,L$219,BD!$A$3:$A$5001,_xlfn.MAXIFS(BD!$A$3:$A$5001,BD!$B$3:$B$5001,L$219,BD!$A$3:$A$5001,"&gt;="&amp;$C$7,BD!$A$3:$A$5001,"&lt;="&amp;$B243,BD!$N$3:$N$5001,"&lt;&gt;"))))</f>
        <v/>
      </c>
      <c r="M243" s="43" t="str">
        <f>IF(OR($B243="",$A243&gt;$B$9,M$219=""),"",IF(COUNTIFS(BD!$B$3:$B$5001,M$219,BD!$A$3:$A$5001,"&gt;="&amp;$C$7,BD!$A$3:$A$5001,"&lt;="&amp;$B243,BD!$N$3:$N$5001,"&lt;&gt;")=0,"",SUMIFS(BD!$N$3:$N$5001,BD!$B$3:$B$5001,M$219,BD!$A$3:$A$5001,_xlfn.MAXIFS(BD!$A$3:$A$5001,BD!$B$3:$B$5001,M$219,BD!$A$3:$A$5001,"&gt;="&amp;$C$7,BD!$A$3:$A$5001,"&lt;="&amp;$B243,BD!$N$3:$N$5001,"&lt;&gt;"))))</f>
        <v/>
      </c>
      <c r="N243" s="43" t="str">
        <f>IF(OR($B243="",$A243&gt;$B$9,N$219=""),"",IF(COUNTIFS(BD!$B$3:$B$5001,N$219,BD!$A$3:$A$5001,"&gt;="&amp;$C$7,BD!$A$3:$A$5001,"&lt;="&amp;$B243,BD!$N$3:$N$5001,"&lt;&gt;")=0,"",SUMIFS(BD!$N$3:$N$5001,BD!$B$3:$B$5001,N$219,BD!$A$3:$A$5001,_xlfn.MAXIFS(BD!$A$3:$A$5001,BD!$B$3:$B$5001,N$219,BD!$A$3:$A$5001,"&gt;="&amp;$C$7,BD!$A$3:$A$5001,"&lt;="&amp;$B243,BD!$N$3:$N$5001,"&lt;&gt;"))))</f>
        <v/>
      </c>
      <c r="O243" s="43" t="str">
        <f>IF(OR($B243="",$A243&gt;$B$9,O$219=""),"",IF(COUNTIFS(BD!$B$3:$B$5001,O$219,BD!$A$3:$A$5001,"&gt;="&amp;$C$7,BD!$A$3:$A$5001,"&lt;="&amp;$B243,BD!$N$3:$N$5001,"&lt;&gt;")=0,"",SUMIFS(BD!$N$3:$N$5001,BD!$B$3:$B$5001,O$219,BD!$A$3:$A$5001,_xlfn.MAXIFS(BD!$A$3:$A$5001,BD!$B$3:$B$5001,O$219,BD!$A$3:$A$5001,"&gt;="&amp;$C$7,BD!$A$3:$A$5001,"&lt;="&amp;$B243,BD!$N$3:$N$5001,"&lt;&gt;"))))</f>
        <v/>
      </c>
      <c r="P243" s="43" t="str">
        <f>IF(OR($B243="",$A243&gt;$B$9,P$219=""),"",IF(COUNTIFS(BD!$B$3:$B$5001,P$219,BD!$A$3:$A$5001,"&gt;="&amp;$C$7,BD!$A$3:$A$5001,"&lt;="&amp;$B243,BD!$N$3:$N$5001,"&lt;&gt;")=0,"",SUMIFS(BD!$N$3:$N$5001,BD!$B$3:$B$5001,P$219,BD!$A$3:$A$5001,_xlfn.MAXIFS(BD!$A$3:$A$5001,BD!$B$3:$B$5001,P$219,BD!$A$3:$A$5001,"&gt;="&amp;$C$7,BD!$A$3:$A$5001,"&lt;="&amp;$B243,BD!$N$3:$N$5001,"&lt;&gt;"))))</f>
        <v/>
      </c>
      <c r="Q243" s="43" t="str">
        <f>IF(OR($B243="",$A243&gt;$B$9,Q$219=""),"",IF(COUNTIFS(BD!$B$3:$B$5001,Q$219,BD!$A$3:$A$5001,"&gt;="&amp;$C$7,BD!$A$3:$A$5001,"&lt;="&amp;$B243,BD!$N$3:$N$5001,"&lt;&gt;")=0,"",SUMIFS(BD!$N$3:$N$5001,BD!$B$3:$B$5001,Q$219,BD!$A$3:$A$5001,_xlfn.MAXIFS(BD!$A$3:$A$5001,BD!$B$3:$B$5001,Q$219,BD!$A$3:$A$5001,"&gt;="&amp;$C$7,BD!$A$3:$A$5001,"&lt;="&amp;$B243,BD!$N$3:$N$5001,"&lt;&gt;"))))</f>
        <v/>
      </c>
      <c r="R243" s="43" t="str">
        <f>IF(OR($B243="",$A243&gt;$B$9,R$219=""),"",IF(COUNTIFS(BD!$B$3:$B$5001,R$219,BD!$A$3:$A$5001,"&gt;="&amp;$C$7,BD!$A$3:$A$5001,"&lt;="&amp;$B243,BD!$N$3:$N$5001,"&lt;&gt;")=0,"",SUMIFS(BD!$N$3:$N$5001,BD!$B$3:$B$5001,R$219,BD!$A$3:$A$5001,_xlfn.MAXIFS(BD!$A$3:$A$5001,BD!$B$3:$B$5001,R$219,BD!$A$3:$A$5001,"&gt;="&amp;$C$7,BD!$A$3:$A$5001,"&lt;="&amp;$B243,BD!$N$3:$N$5001,"&lt;&gt;"))))</f>
        <v/>
      </c>
      <c r="S243" s="43" t="str">
        <f>IF(OR($B243="",$A243&gt;$B$9,S$219=""),"",IF(COUNTIFS(BD!$B$3:$B$5001,S$219,BD!$A$3:$A$5001,"&gt;="&amp;$C$7,BD!$A$3:$A$5001,"&lt;="&amp;$B243,BD!$N$3:$N$5001,"&lt;&gt;")=0,"",SUMIFS(BD!$N$3:$N$5001,BD!$B$3:$B$5001,S$219,BD!$A$3:$A$5001,_xlfn.MAXIFS(BD!$A$3:$A$5001,BD!$B$3:$B$5001,S$219,BD!$A$3:$A$5001,"&gt;="&amp;$C$7,BD!$A$3:$A$5001,"&lt;="&amp;$B243,BD!$N$3:$N$5001,"&lt;&gt;"))))</f>
        <v/>
      </c>
      <c r="T243" s="43" t="str">
        <f>IF(OR($B243="",$A243&gt;$B$9,T$219=""),"",IF(COUNTIFS(BD!$B$3:$B$5001,T$219,BD!$A$3:$A$5001,"&gt;="&amp;$C$7,BD!$A$3:$A$5001,"&lt;="&amp;$B243,BD!$N$3:$N$5001,"&lt;&gt;")=0,"",SUMIFS(BD!$N$3:$N$5001,BD!$B$3:$B$5001,T$219,BD!$A$3:$A$5001,_xlfn.MAXIFS(BD!$A$3:$A$5001,BD!$B$3:$B$5001,T$219,BD!$A$3:$A$5001,"&gt;="&amp;$C$7,BD!$A$3:$A$5001,"&lt;="&amp;$B243,BD!$N$3:$N$5001,"&lt;&gt;"))))</f>
        <v/>
      </c>
      <c r="U243" s="43" t="str">
        <f>IF(OR($B243="",$A243&gt;$B$9,U$219=""),"",IF(COUNTIFS(BD!$B$3:$B$5001,U$219,BD!$A$3:$A$5001,"&gt;="&amp;$C$7,BD!$A$3:$A$5001,"&lt;="&amp;$B243,BD!$N$3:$N$5001,"&lt;&gt;")=0,"",SUMIFS(BD!$N$3:$N$5001,BD!$B$3:$B$5001,U$219,BD!$A$3:$A$5001,_xlfn.MAXIFS(BD!$A$3:$A$5001,BD!$B$3:$B$5001,U$219,BD!$A$3:$A$5001,"&gt;="&amp;$C$7,BD!$A$3:$A$5001,"&lt;="&amp;$B243,BD!$N$3:$N$5001,"&lt;&gt;"))))</f>
        <v/>
      </c>
      <c r="V243" s="43" t="str">
        <f>IF(OR($B243="",$A243&gt;$B$9,V$219=""),"",IF(COUNTIFS(BD!$B$3:$B$5001,V$219,BD!$A$3:$A$5001,"&gt;="&amp;$C$7,BD!$A$3:$A$5001,"&lt;="&amp;$B243,BD!$N$3:$N$5001,"&lt;&gt;")=0,"",SUMIFS(BD!$N$3:$N$5001,BD!$B$3:$B$5001,V$219,BD!$A$3:$A$5001,_xlfn.MAXIFS(BD!$A$3:$A$5001,BD!$B$3:$B$5001,V$219,BD!$A$3:$A$5001,"&gt;="&amp;$C$7,BD!$A$3:$A$5001,"&lt;="&amp;$B243,BD!$N$3:$N$5001,"&lt;&gt;"))))</f>
        <v/>
      </c>
    </row>
    <row r="244">
      <c r="A244" s="38">
        <v>25</v>
      </c>
      <c r="B244" s="42">
        <f>$B$36</f>
        <v>46320</v>
      </c>
      <c r="C244" s="43" t="str">
        <f>IF(OR($B244="",$A244&gt;$B$9,C$219=""),"",IF(COUNTIFS(BD!$B$3:$B$5001,C$219,BD!$A$3:$A$5001,"&gt;="&amp;$C$7,BD!$A$3:$A$5001,"&lt;="&amp;$B244,BD!$N$3:$N$5001,"&lt;&gt;")=0,"",SUMIFS(BD!$N$3:$N$5001,BD!$B$3:$B$5001,C$219,BD!$A$3:$A$5001,_xlfn.MAXIFS(BD!$A$3:$A$5001,BD!$B$3:$B$5001,C$219,BD!$A$3:$A$5001,"&gt;="&amp;$C$7,BD!$A$3:$A$5001,"&lt;="&amp;$B244,BD!$N$3:$N$5001,"&lt;&gt;"))))</f>
        <v/>
      </c>
      <c r="D244" s="43" t="str">
        <f>IF(OR($B244="",$A244&gt;$B$9,D$219=""),"",IF(COUNTIFS(BD!$B$3:$B$5001,D$219,BD!$A$3:$A$5001,"&gt;="&amp;$C$7,BD!$A$3:$A$5001,"&lt;="&amp;$B244,BD!$N$3:$N$5001,"&lt;&gt;")=0,"",SUMIFS(BD!$N$3:$N$5001,BD!$B$3:$B$5001,D$219,BD!$A$3:$A$5001,_xlfn.MAXIFS(BD!$A$3:$A$5001,BD!$B$3:$B$5001,D$219,BD!$A$3:$A$5001,"&gt;="&amp;$C$7,BD!$A$3:$A$5001,"&lt;="&amp;$B244,BD!$N$3:$N$5001,"&lt;&gt;"))))</f>
        <v/>
      </c>
      <c r="E244" s="43" t="str">
        <f>IF(OR($B244="",$A244&gt;$B$9,E$219=""),"",IF(COUNTIFS(BD!$B$3:$B$5001,E$219,BD!$A$3:$A$5001,"&gt;="&amp;$C$7,BD!$A$3:$A$5001,"&lt;="&amp;$B244,BD!$N$3:$N$5001,"&lt;&gt;")=0,"",SUMIFS(BD!$N$3:$N$5001,BD!$B$3:$B$5001,E$219,BD!$A$3:$A$5001,_xlfn.MAXIFS(BD!$A$3:$A$5001,BD!$B$3:$B$5001,E$219,BD!$A$3:$A$5001,"&gt;="&amp;$C$7,BD!$A$3:$A$5001,"&lt;="&amp;$B244,BD!$N$3:$N$5001,"&lt;&gt;"))))</f>
        <v/>
      </c>
      <c r="F244" s="43" t="str">
        <f>IF(OR($B244="",$A244&gt;$B$9,F$219=""),"",IF(COUNTIFS(BD!$B$3:$B$5001,F$219,BD!$A$3:$A$5001,"&gt;="&amp;$C$7,BD!$A$3:$A$5001,"&lt;="&amp;$B244,BD!$N$3:$N$5001,"&lt;&gt;")=0,"",SUMIFS(BD!$N$3:$N$5001,BD!$B$3:$B$5001,F$219,BD!$A$3:$A$5001,_xlfn.MAXIFS(BD!$A$3:$A$5001,BD!$B$3:$B$5001,F$219,BD!$A$3:$A$5001,"&gt;="&amp;$C$7,BD!$A$3:$A$5001,"&lt;="&amp;$B244,BD!$N$3:$N$5001,"&lt;&gt;"))))</f>
        <v/>
      </c>
      <c r="G244" s="43" t="str">
        <f>IF(OR($B244="",$A244&gt;$B$9,G$219=""),"",IF(COUNTIFS(BD!$B$3:$B$5001,G$219,BD!$A$3:$A$5001,"&gt;="&amp;$C$7,BD!$A$3:$A$5001,"&lt;="&amp;$B244,BD!$N$3:$N$5001,"&lt;&gt;")=0,"",SUMIFS(BD!$N$3:$N$5001,BD!$B$3:$B$5001,G$219,BD!$A$3:$A$5001,_xlfn.MAXIFS(BD!$A$3:$A$5001,BD!$B$3:$B$5001,G$219,BD!$A$3:$A$5001,"&gt;="&amp;$C$7,BD!$A$3:$A$5001,"&lt;="&amp;$B244,BD!$N$3:$N$5001,"&lt;&gt;"))))</f>
        <v/>
      </c>
      <c r="H244" s="43" t="str">
        <f>IF(OR($B244="",$A244&gt;$B$9,H$219=""),"",IF(COUNTIFS(BD!$B$3:$B$5001,H$219,BD!$A$3:$A$5001,"&gt;="&amp;$C$7,BD!$A$3:$A$5001,"&lt;="&amp;$B244,BD!$N$3:$N$5001,"&lt;&gt;")=0,"",SUMIFS(BD!$N$3:$N$5001,BD!$B$3:$B$5001,H$219,BD!$A$3:$A$5001,_xlfn.MAXIFS(BD!$A$3:$A$5001,BD!$B$3:$B$5001,H$219,BD!$A$3:$A$5001,"&gt;="&amp;$C$7,BD!$A$3:$A$5001,"&lt;="&amp;$B244,BD!$N$3:$N$5001,"&lt;&gt;"))))</f>
        <v/>
      </c>
      <c r="I244" s="43" t="str">
        <f>IF(OR($B244="",$A244&gt;$B$9,I$219=""),"",IF(COUNTIFS(BD!$B$3:$B$5001,I$219,BD!$A$3:$A$5001,"&gt;="&amp;$C$7,BD!$A$3:$A$5001,"&lt;="&amp;$B244,BD!$N$3:$N$5001,"&lt;&gt;")=0,"",SUMIFS(BD!$N$3:$N$5001,BD!$B$3:$B$5001,I$219,BD!$A$3:$A$5001,_xlfn.MAXIFS(BD!$A$3:$A$5001,BD!$B$3:$B$5001,I$219,BD!$A$3:$A$5001,"&gt;="&amp;$C$7,BD!$A$3:$A$5001,"&lt;="&amp;$B244,BD!$N$3:$N$5001,"&lt;&gt;"))))</f>
        <v/>
      </c>
      <c r="J244" s="43" t="str">
        <f>IF(OR($B244="",$A244&gt;$B$9,J$219=""),"",IF(COUNTIFS(BD!$B$3:$B$5001,J$219,BD!$A$3:$A$5001,"&gt;="&amp;$C$7,BD!$A$3:$A$5001,"&lt;="&amp;$B244,BD!$N$3:$N$5001,"&lt;&gt;")=0,"",SUMIFS(BD!$N$3:$N$5001,BD!$B$3:$B$5001,J$219,BD!$A$3:$A$5001,_xlfn.MAXIFS(BD!$A$3:$A$5001,BD!$B$3:$B$5001,J$219,BD!$A$3:$A$5001,"&gt;="&amp;$C$7,BD!$A$3:$A$5001,"&lt;="&amp;$B244,BD!$N$3:$N$5001,"&lt;&gt;"))))</f>
        <v/>
      </c>
      <c r="K244" s="43" t="str">
        <f>IF(OR($B244="",$A244&gt;$B$9,K$219=""),"",IF(COUNTIFS(BD!$B$3:$B$5001,K$219,BD!$A$3:$A$5001,"&gt;="&amp;$C$7,BD!$A$3:$A$5001,"&lt;="&amp;$B244,BD!$N$3:$N$5001,"&lt;&gt;")=0,"",SUMIFS(BD!$N$3:$N$5001,BD!$B$3:$B$5001,K$219,BD!$A$3:$A$5001,_xlfn.MAXIFS(BD!$A$3:$A$5001,BD!$B$3:$B$5001,K$219,BD!$A$3:$A$5001,"&gt;="&amp;$C$7,BD!$A$3:$A$5001,"&lt;="&amp;$B244,BD!$N$3:$N$5001,"&lt;&gt;"))))</f>
        <v/>
      </c>
      <c r="L244" s="43" t="str">
        <f>IF(OR($B244="",$A244&gt;$B$9,L$219=""),"",IF(COUNTIFS(BD!$B$3:$B$5001,L$219,BD!$A$3:$A$5001,"&gt;="&amp;$C$7,BD!$A$3:$A$5001,"&lt;="&amp;$B244,BD!$N$3:$N$5001,"&lt;&gt;")=0,"",SUMIFS(BD!$N$3:$N$5001,BD!$B$3:$B$5001,L$219,BD!$A$3:$A$5001,_xlfn.MAXIFS(BD!$A$3:$A$5001,BD!$B$3:$B$5001,L$219,BD!$A$3:$A$5001,"&gt;="&amp;$C$7,BD!$A$3:$A$5001,"&lt;="&amp;$B244,BD!$N$3:$N$5001,"&lt;&gt;"))))</f>
        <v/>
      </c>
      <c r="M244" s="43" t="str">
        <f>IF(OR($B244="",$A244&gt;$B$9,M$219=""),"",IF(COUNTIFS(BD!$B$3:$B$5001,M$219,BD!$A$3:$A$5001,"&gt;="&amp;$C$7,BD!$A$3:$A$5001,"&lt;="&amp;$B244,BD!$N$3:$N$5001,"&lt;&gt;")=0,"",SUMIFS(BD!$N$3:$N$5001,BD!$B$3:$B$5001,M$219,BD!$A$3:$A$5001,_xlfn.MAXIFS(BD!$A$3:$A$5001,BD!$B$3:$B$5001,M$219,BD!$A$3:$A$5001,"&gt;="&amp;$C$7,BD!$A$3:$A$5001,"&lt;="&amp;$B244,BD!$N$3:$N$5001,"&lt;&gt;"))))</f>
        <v/>
      </c>
      <c r="N244" s="43" t="str">
        <f>IF(OR($B244="",$A244&gt;$B$9,N$219=""),"",IF(COUNTIFS(BD!$B$3:$B$5001,N$219,BD!$A$3:$A$5001,"&gt;="&amp;$C$7,BD!$A$3:$A$5001,"&lt;="&amp;$B244,BD!$N$3:$N$5001,"&lt;&gt;")=0,"",SUMIFS(BD!$N$3:$N$5001,BD!$B$3:$B$5001,N$219,BD!$A$3:$A$5001,_xlfn.MAXIFS(BD!$A$3:$A$5001,BD!$B$3:$B$5001,N$219,BD!$A$3:$A$5001,"&gt;="&amp;$C$7,BD!$A$3:$A$5001,"&lt;="&amp;$B244,BD!$N$3:$N$5001,"&lt;&gt;"))))</f>
        <v/>
      </c>
      <c r="O244" s="43" t="str">
        <f>IF(OR($B244="",$A244&gt;$B$9,O$219=""),"",IF(COUNTIFS(BD!$B$3:$B$5001,O$219,BD!$A$3:$A$5001,"&gt;="&amp;$C$7,BD!$A$3:$A$5001,"&lt;="&amp;$B244,BD!$N$3:$N$5001,"&lt;&gt;")=0,"",SUMIFS(BD!$N$3:$N$5001,BD!$B$3:$B$5001,O$219,BD!$A$3:$A$5001,_xlfn.MAXIFS(BD!$A$3:$A$5001,BD!$B$3:$B$5001,O$219,BD!$A$3:$A$5001,"&gt;="&amp;$C$7,BD!$A$3:$A$5001,"&lt;="&amp;$B244,BD!$N$3:$N$5001,"&lt;&gt;"))))</f>
        <v/>
      </c>
      <c r="P244" s="43" t="str">
        <f>IF(OR($B244="",$A244&gt;$B$9,P$219=""),"",IF(COUNTIFS(BD!$B$3:$B$5001,P$219,BD!$A$3:$A$5001,"&gt;="&amp;$C$7,BD!$A$3:$A$5001,"&lt;="&amp;$B244,BD!$N$3:$N$5001,"&lt;&gt;")=0,"",SUMIFS(BD!$N$3:$N$5001,BD!$B$3:$B$5001,P$219,BD!$A$3:$A$5001,_xlfn.MAXIFS(BD!$A$3:$A$5001,BD!$B$3:$B$5001,P$219,BD!$A$3:$A$5001,"&gt;="&amp;$C$7,BD!$A$3:$A$5001,"&lt;="&amp;$B244,BD!$N$3:$N$5001,"&lt;&gt;"))))</f>
        <v/>
      </c>
      <c r="Q244" s="43" t="str">
        <f>IF(OR($B244="",$A244&gt;$B$9,Q$219=""),"",IF(COUNTIFS(BD!$B$3:$B$5001,Q$219,BD!$A$3:$A$5001,"&gt;="&amp;$C$7,BD!$A$3:$A$5001,"&lt;="&amp;$B244,BD!$N$3:$N$5001,"&lt;&gt;")=0,"",SUMIFS(BD!$N$3:$N$5001,BD!$B$3:$B$5001,Q$219,BD!$A$3:$A$5001,_xlfn.MAXIFS(BD!$A$3:$A$5001,BD!$B$3:$B$5001,Q$219,BD!$A$3:$A$5001,"&gt;="&amp;$C$7,BD!$A$3:$A$5001,"&lt;="&amp;$B244,BD!$N$3:$N$5001,"&lt;&gt;"))))</f>
        <v/>
      </c>
      <c r="R244" s="43" t="str">
        <f>IF(OR($B244="",$A244&gt;$B$9,R$219=""),"",IF(COUNTIFS(BD!$B$3:$B$5001,R$219,BD!$A$3:$A$5001,"&gt;="&amp;$C$7,BD!$A$3:$A$5001,"&lt;="&amp;$B244,BD!$N$3:$N$5001,"&lt;&gt;")=0,"",SUMIFS(BD!$N$3:$N$5001,BD!$B$3:$B$5001,R$219,BD!$A$3:$A$5001,_xlfn.MAXIFS(BD!$A$3:$A$5001,BD!$B$3:$B$5001,R$219,BD!$A$3:$A$5001,"&gt;="&amp;$C$7,BD!$A$3:$A$5001,"&lt;="&amp;$B244,BD!$N$3:$N$5001,"&lt;&gt;"))))</f>
        <v/>
      </c>
      <c r="S244" s="43" t="str">
        <f>IF(OR($B244="",$A244&gt;$B$9,S$219=""),"",IF(COUNTIFS(BD!$B$3:$B$5001,S$219,BD!$A$3:$A$5001,"&gt;="&amp;$C$7,BD!$A$3:$A$5001,"&lt;="&amp;$B244,BD!$N$3:$N$5001,"&lt;&gt;")=0,"",SUMIFS(BD!$N$3:$N$5001,BD!$B$3:$B$5001,S$219,BD!$A$3:$A$5001,_xlfn.MAXIFS(BD!$A$3:$A$5001,BD!$B$3:$B$5001,S$219,BD!$A$3:$A$5001,"&gt;="&amp;$C$7,BD!$A$3:$A$5001,"&lt;="&amp;$B244,BD!$N$3:$N$5001,"&lt;&gt;"))))</f>
        <v/>
      </c>
      <c r="T244" s="43" t="str">
        <f>IF(OR($B244="",$A244&gt;$B$9,T$219=""),"",IF(COUNTIFS(BD!$B$3:$B$5001,T$219,BD!$A$3:$A$5001,"&gt;="&amp;$C$7,BD!$A$3:$A$5001,"&lt;="&amp;$B244,BD!$N$3:$N$5001,"&lt;&gt;")=0,"",SUMIFS(BD!$N$3:$N$5001,BD!$B$3:$B$5001,T$219,BD!$A$3:$A$5001,_xlfn.MAXIFS(BD!$A$3:$A$5001,BD!$B$3:$B$5001,T$219,BD!$A$3:$A$5001,"&gt;="&amp;$C$7,BD!$A$3:$A$5001,"&lt;="&amp;$B244,BD!$N$3:$N$5001,"&lt;&gt;"))))</f>
        <v/>
      </c>
      <c r="U244" s="43" t="str">
        <f>IF(OR($B244="",$A244&gt;$B$9,U$219=""),"",IF(COUNTIFS(BD!$B$3:$B$5001,U$219,BD!$A$3:$A$5001,"&gt;="&amp;$C$7,BD!$A$3:$A$5001,"&lt;="&amp;$B244,BD!$N$3:$N$5001,"&lt;&gt;")=0,"",SUMIFS(BD!$N$3:$N$5001,BD!$B$3:$B$5001,U$219,BD!$A$3:$A$5001,_xlfn.MAXIFS(BD!$A$3:$A$5001,BD!$B$3:$B$5001,U$219,BD!$A$3:$A$5001,"&gt;="&amp;$C$7,BD!$A$3:$A$5001,"&lt;="&amp;$B244,BD!$N$3:$N$5001,"&lt;&gt;"))))</f>
        <v/>
      </c>
      <c r="V244" s="43" t="str">
        <f>IF(OR($B244="",$A244&gt;$B$9,V$219=""),"",IF(COUNTIFS(BD!$B$3:$B$5001,V$219,BD!$A$3:$A$5001,"&gt;="&amp;$C$7,BD!$A$3:$A$5001,"&lt;="&amp;$B244,BD!$N$3:$N$5001,"&lt;&gt;")=0,"",SUMIFS(BD!$N$3:$N$5001,BD!$B$3:$B$5001,V$219,BD!$A$3:$A$5001,_xlfn.MAXIFS(BD!$A$3:$A$5001,BD!$B$3:$B$5001,V$219,BD!$A$3:$A$5001,"&gt;="&amp;$C$7,BD!$A$3:$A$5001,"&lt;="&amp;$B244,BD!$N$3:$N$5001,"&lt;&gt;"))))</f>
        <v/>
      </c>
    </row>
    <row r="245">
      <c r="A245" s="38">
        <v>26</v>
      </c>
      <c r="B245" s="42">
        <f>$B$37</f>
        <v>46321</v>
      </c>
      <c r="C245" s="43" t="str">
        <f>IF(OR($B245="",$A245&gt;$B$9,C$219=""),"",IF(COUNTIFS(BD!$B$3:$B$5001,C$219,BD!$A$3:$A$5001,"&gt;="&amp;$C$7,BD!$A$3:$A$5001,"&lt;="&amp;$B245,BD!$N$3:$N$5001,"&lt;&gt;")=0,"",SUMIFS(BD!$N$3:$N$5001,BD!$B$3:$B$5001,C$219,BD!$A$3:$A$5001,_xlfn.MAXIFS(BD!$A$3:$A$5001,BD!$B$3:$B$5001,C$219,BD!$A$3:$A$5001,"&gt;="&amp;$C$7,BD!$A$3:$A$5001,"&lt;="&amp;$B245,BD!$N$3:$N$5001,"&lt;&gt;"))))</f>
        <v/>
      </c>
      <c r="D245" s="43" t="str">
        <f>IF(OR($B245="",$A245&gt;$B$9,D$219=""),"",IF(COUNTIFS(BD!$B$3:$B$5001,D$219,BD!$A$3:$A$5001,"&gt;="&amp;$C$7,BD!$A$3:$A$5001,"&lt;="&amp;$B245,BD!$N$3:$N$5001,"&lt;&gt;")=0,"",SUMIFS(BD!$N$3:$N$5001,BD!$B$3:$B$5001,D$219,BD!$A$3:$A$5001,_xlfn.MAXIFS(BD!$A$3:$A$5001,BD!$B$3:$B$5001,D$219,BD!$A$3:$A$5001,"&gt;="&amp;$C$7,BD!$A$3:$A$5001,"&lt;="&amp;$B245,BD!$N$3:$N$5001,"&lt;&gt;"))))</f>
        <v/>
      </c>
      <c r="E245" s="43" t="str">
        <f>IF(OR($B245="",$A245&gt;$B$9,E$219=""),"",IF(COUNTIFS(BD!$B$3:$B$5001,E$219,BD!$A$3:$A$5001,"&gt;="&amp;$C$7,BD!$A$3:$A$5001,"&lt;="&amp;$B245,BD!$N$3:$N$5001,"&lt;&gt;")=0,"",SUMIFS(BD!$N$3:$N$5001,BD!$B$3:$B$5001,E$219,BD!$A$3:$A$5001,_xlfn.MAXIFS(BD!$A$3:$A$5001,BD!$B$3:$B$5001,E$219,BD!$A$3:$A$5001,"&gt;="&amp;$C$7,BD!$A$3:$A$5001,"&lt;="&amp;$B245,BD!$N$3:$N$5001,"&lt;&gt;"))))</f>
        <v/>
      </c>
      <c r="F245" s="43" t="str">
        <f>IF(OR($B245="",$A245&gt;$B$9,F$219=""),"",IF(COUNTIFS(BD!$B$3:$B$5001,F$219,BD!$A$3:$A$5001,"&gt;="&amp;$C$7,BD!$A$3:$A$5001,"&lt;="&amp;$B245,BD!$N$3:$N$5001,"&lt;&gt;")=0,"",SUMIFS(BD!$N$3:$N$5001,BD!$B$3:$B$5001,F$219,BD!$A$3:$A$5001,_xlfn.MAXIFS(BD!$A$3:$A$5001,BD!$B$3:$B$5001,F$219,BD!$A$3:$A$5001,"&gt;="&amp;$C$7,BD!$A$3:$A$5001,"&lt;="&amp;$B245,BD!$N$3:$N$5001,"&lt;&gt;"))))</f>
        <v/>
      </c>
      <c r="G245" s="43" t="str">
        <f>IF(OR($B245="",$A245&gt;$B$9,G$219=""),"",IF(COUNTIFS(BD!$B$3:$B$5001,G$219,BD!$A$3:$A$5001,"&gt;="&amp;$C$7,BD!$A$3:$A$5001,"&lt;="&amp;$B245,BD!$N$3:$N$5001,"&lt;&gt;")=0,"",SUMIFS(BD!$N$3:$N$5001,BD!$B$3:$B$5001,G$219,BD!$A$3:$A$5001,_xlfn.MAXIFS(BD!$A$3:$A$5001,BD!$B$3:$B$5001,G$219,BD!$A$3:$A$5001,"&gt;="&amp;$C$7,BD!$A$3:$A$5001,"&lt;="&amp;$B245,BD!$N$3:$N$5001,"&lt;&gt;"))))</f>
        <v/>
      </c>
      <c r="H245" s="43" t="str">
        <f>IF(OR($B245="",$A245&gt;$B$9,H$219=""),"",IF(COUNTIFS(BD!$B$3:$B$5001,H$219,BD!$A$3:$A$5001,"&gt;="&amp;$C$7,BD!$A$3:$A$5001,"&lt;="&amp;$B245,BD!$N$3:$N$5001,"&lt;&gt;")=0,"",SUMIFS(BD!$N$3:$N$5001,BD!$B$3:$B$5001,H$219,BD!$A$3:$A$5001,_xlfn.MAXIFS(BD!$A$3:$A$5001,BD!$B$3:$B$5001,H$219,BD!$A$3:$A$5001,"&gt;="&amp;$C$7,BD!$A$3:$A$5001,"&lt;="&amp;$B245,BD!$N$3:$N$5001,"&lt;&gt;"))))</f>
        <v/>
      </c>
      <c r="I245" s="43" t="str">
        <f>IF(OR($B245="",$A245&gt;$B$9,I$219=""),"",IF(COUNTIFS(BD!$B$3:$B$5001,I$219,BD!$A$3:$A$5001,"&gt;="&amp;$C$7,BD!$A$3:$A$5001,"&lt;="&amp;$B245,BD!$N$3:$N$5001,"&lt;&gt;")=0,"",SUMIFS(BD!$N$3:$N$5001,BD!$B$3:$B$5001,I$219,BD!$A$3:$A$5001,_xlfn.MAXIFS(BD!$A$3:$A$5001,BD!$B$3:$B$5001,I$219,BD!$A$3:$A$5001,"&gt;="&amp;$C$7,BD!$A$3:$A$5001,"&lt;="&amp;$B245,BD!$N$3:$N$5001,"&lt;&gt;"))))</f>
        <v/>
      </c>
      <c r="J245" s="43" t="str">
        <f>IF(OR($B245="",$A245&gt;$B$9,J$219=""),"",IF(COUNTIFS(BD!$B$3:$B$5001,J$219,BD!$A$3:$A$5001,"&gt;="&amp;$C$7,BD!$A$3:$A$5001,"&lt;="&amp;$B245,BD!$N$3:$N$5001,"&lt;&gt;")=0,"",SUMIFS(BD!$N$3:$N$5001,BD!$B$3:$B$5001,J$219,BD!$A$3:$A$5001,_xlfn.MAXIFS(BD!$A$3:$A$5001,BD!$B$3:$B$5001,J$219,BD!$A$3:$A$5001,"&gt;="&amp;$C$7,BD!$A$3:$A$5001,"&lt;="&amp;$B245,BD!$N$3:$N$5001,"&lt;&gt;"))))</f>
        <v/>
      </c>
      <c r="K245" s="43" t="str">
        <f>IF(OR($B245="",$A245&gt;$B$9,K$219=""),"",IF(COUNTIFS(BD!$B$3:$B$5001,K$219,BD!$A$3:$A$5001,"&gt;="&amp;$C$7,BD!$A$3:$A$5001,"&lt;="&amp;$B245,BD!$N$3:$N$5001,"&lt;&gt;")=0,"",SUMIFS(BD!$N$3:$N$5001,BD!$B$3:$B$5001,K$219,BD!$A$3:$A$5001,_xlfn.MAXIFS(BD!$A$3:$A$5001,BD!$B$3:$B$5001,K$219,BD!$A$3:$A$5001,"&gt;="&amp;$C$7,BD!$A$3:$A$5001,"&lt;="&amp;$B245,BD!$N$3:$N$5001,"&lt;&gt;"))))</f>
        <v/>
      </c>
      <c r="L245" s="43" t="str">
        <f>IF(OR($B245="",$A245&gt;$B$9,L$219=""),"",IF(COUNTIFS(BD!$B$3:$B$5001,L$219,BD!$A$3:$A$5001,"&gt;="&amp;$C$7,BD!$A$3:$A$5001,"&lt;="&amp;$B245,BD!$N$3:$N$5001,"&lt;&gt;")=0,"",SUMIFS(BD!$N$3:$N$5001,BD!$B$3:$B$5001,L$219,BD!$A$3:$A$5001,_xlfn.MAXIFS(BD!$A$3:$A$5001,BD!$B$3:$B$5001,L$219,BD!$A$3:$A$5001,"&gt;="&amp;$C$7,BD!$A$3:$A$5001,"&lt;="&amp;$B245,BD!$N$3:$N$5001,"&lt;&gt;"))))</f>
        <v/>
      </c>
      <c r="M245" s="43" t="str">
        <f>IF(OR($B245="",$A245&gt;$B$9,M$219=""),"",IF(COUNTIFS(BD!$B$3:$B$5001,M$219,BD!$A$3:$A$5001,"&gt;="&amp;$C$7,BD!$A$3:$A$5001,"&lt;="&amp;$B245,BD!$N$3:$N$5001,"&lt;&gt;")=0,"",SUMIFS(BD!$N$3:$N$5001,BD!$B$3:$B$5001,M$219,BD!$A$3:$A$5001,_xlfn.MAXIFS(BD!$A$3:$A$5001,BD!$B$3:$B$5001,M$219,BD!$A$3:$A$5001,"&gt;="&amp;$C$7,BD!$A$3:$A$5001,"&lt;="&amp;$B245,BD!$N$3:$N$5001,"&lt;&gt;"))))</f>
        <v/>
      </c>
      <c r="N245" s="43" t="str">
        <f>IF(OR($B245="",$A245&gt;$B$9,N$219=""),"",IF(COUNTIFS(BD!$B$3:$B$5001,N$219,BD!$A$3:$A$5001,"&gt;="&amp;$C$7,BD!$A$3:$A$5001,"&lt;="&amp;$B245,BD!$N$3:$N$5001,"&lt;&gt;")=0,"",SUMIFS(BD!$N$3:$N$5001,BD!$B$3:$B$5001,N$219,BD!$A$3:$A$5001,_xlfn.MAXIFS(BD!$A$3:$A$5001,BD!$B$3:$B$5001,N$219,BD!$A$3:$A$5001,"&gt;="&amp;$C$7,BD!$A$3:$A$5001,"&lt;="&amp;$B245,BD!$N$3:$N$5001,"&lt;&gt;"))))</f>
        <v/>
      </c>
      <c r="O245" s="43" t="str">
        <f>IF(OR($B245="",$A245&gt;$B$9,O$219=""),"",IF(COUNTIFS(BD!$B$3:$B$5001,O$219,BD!$A$3:$A$5001,"&gt;="&amp;$C$7,BD!$A$3:$A$5001,"&lt;="&amp;$B245,BD!$N$3:$N$5001,"&lt;&gt;")=0,"",SUMIFS(BD!$N$3:$N$5001,BD!$B$3:$B$5001,O$219,BD!$A$3:$A$5001,_xlfn.MAXIFS(BD!$A$3:$A$5001,BD!$B$3:$B$5001,O$219,BD!$A$3:$A$5001,"&gt;="&amp;$C$7,BD!$A$3:$A$5001,"&lt;="&amp;$B245,BD!$N$3:$N$5001,"&lt;&gt;"))))</f>
        <v/>
      </c>
      <c r="P245" s="43" t="str">
        <f>IF(OR($B245="",$A245&gt;$B$9,P$219=""),"",IF(COUNTIFS(BD!$B$3:$B$5001,P$219,BD!$A$3:$A$5001,"&gt;="&amp;$C$7,BD!$A$3:$A$5001,"&lt;="&amp;$B245,BD!$N$3:$N$5001,"&lt;&gt;")=0,"",SUMIFS(BD!$N$3:$N$5001,BD!$B$3:$B$5001,P$219,BD!$A$3:$A$5001,_xlfn.MAXIFS(BD!$A$3:$A$5001,BD!$B$3:$B$5001,P$219,BD!$A$3:$A$5001,"&gt;="&amp;$C$7,BD!$A$3:$A$5001,"&lt;="&amp;$B245,BD!$N$3:$N$5001,"&lt;&gt;"))))</f>
        <v/>
      </c>
      <c r="Q245" s="43" t="str">
        <f>IF(OR($B245="",$A245&gt;$B$9,Q$219=""),"",IF(COUNTIFS(BD!$B$3:$B$5001,Q$219,BD!$A$3:$A$5001,"&gt;="&amp;$C$7,BD!$A$3:$A$5001,"&lt;="&amp;$B245,BD!$N$3:$N$5001,"&lt;&gt;")=0,"",SUMIFS(BD!$N$3:$N$5001,BD!$B$3:$B$5001,Q$219,BD!$A$3:$A$5001,_xlfn.MAXIFS(BD!$A$3:$A$5001,BD!$B$3:$B$5001,Q$219,BD!$A$3:$A$5001,"&gt;="&amp;$C$7,BD!$A$3:$A$5001,"&lt;="&amp;$B245,BD!$N$3:$N$5001,"&lt;&gt;"))))</f>
        <v/>
      </c>
      <c r="R245" s="43" t="str">
        <f>IF(OR($B245="",$A245&gt;$B$9,R$219=""),"",IF(COUNTIFS(BD!$B$3:$B$5001,R$219,BD!$A$3:$A$5001,"&gt;="&amp;$C$7,BD!$A$3:$A$5001,"&lt;="&amp;$B245,BD!$N$3:$N$5001,"&lt;&gt;")=0,"",SUMIFS(BD!$N$3:$N$5001,BD!$B$3:$B$5001,R$219,BD!$A$3:$A$5001,_xlfn.MAXIFS(BD!$A$3:$A$5001,BD!$B$3:$B$5001,R$219,BD!$A$3:$A$5001,"&gt;="&amp;$C$7,BD!$A$3:$A$5001,"&lt;="&amp;$B245,BD!$N$3:$N$5001,"&lt;&gt;"))))</f>
        <v/>
      </c>
      <c r="S245" s="43" t="str">
        <f>IF(OR($B245="",$A245&gt;$B$9,S$219=""),"",IF(COUNTIFS(BD!$B$3:$B$5001,S$219,BD!$A$3:$A$5001,"&gt;="&amp;$C$7,BD!$A$3:$A$5001,"&lt;="&amp;$B245,BD!$N$3:$N$5001,"&lt;&gt;")=0,"",SUMIFS(BD!$N$3:$N$5001,BD!$B$3:$B$5001,S$219,BD!$A$3:$A$5001,_xlfn.MAXIFS(BD!$A$3:$A$5001,BD!$B$3:$B$5001,S$219,BD!$A$3:$A$5001,"&gt;="&amp;$C$7,BD!$A$3:$A$5001,"&lt;="&amp;$B245,BD!$N$3:$N$5001,"&lt;&gt;"))))</f>
        <v/>
      </c>
      <c r="T245" s="43" t="str">
        <f>IF(OR($B245="",$A245&gt;$B$9,T$219=""),"",IF(COUNTIFS(BD!$B$3:$B$5001,T$219,BD!$A$3:$A$5001,"&gt;="&amp;$C$7,BD!$A$3:$A$5001,"&lt;="&amp;$B245,BD!$N$3:$N$5001,"&lt;&gt;")=0,"",SUMIFS(BD!$N$3:$N$5001,BD!$B$3:$B$5001,T$219,BD!$A$3:$A$5001,_xlfn.MAXIFS(BD!$A$3:$A$5001,BD!$B$3:$B$5001,T$219,BD!$A$3:$A$5001,"&gt;="&amp;$C$7,BD!$A$3:$A$5001,"&lt;="&amp;$B245,BD!$N$3:$N$5001,"&lt;&gt;"))))</f>
        <v/>
      </c>
      <c r="U245" s="43" t="str">
        <f>IF(OR($B245="",$A245&gt;$B$9,U$219=""),"",IF(COUNTIFS(BD!$B$3:$B$5001,U$219,BD!$A$3:$A$5001,"&gt;="&amp;$C$7,BD!$A$3:$A$5001,"&lt;="&amp;$B245,BD!$N$3:$N$5001,"&lt;&gt;")=0,"",SUMIFS(BD!$N$3:$N$5001,BD!$B$3:$B$5001,U$219,BD!$A$3:$A$5001,_xlfn.MAXIFS(BD!$A$3:$A$5001,BD!$B$3:$B$5001,U$219,BD!$A$3:$A$5001,"&gt;="&amp;$C$7,BD!$A$3:$A$5001,"&lt;="&amp;$B245,BD!$N$3:$N$5001,"&lt;&gt;"))))</f>
        <v/>
      </c>
      <c r="V245" s="43" t="str">
        <f>IF(OR($B245="",$A245&gt;$B$9,V$219=""),"",IF(COUNTIFS(BD!$B$3:$B$5001,V$219,BD!$A$3:$A$5001,"&gt;="&amp;$C$7,BD!$A$3:$A$5001,"&lt;="&amp;$B245,BD!$N$3:$N$5001,"&lt;&gt;")=0,"",SUMIFS(BD!$N$3:$N$5001,BD!$B$3:$B$5001,V$219,BD!$A$3:$A$5001,_xlfn.MAXIFS(BD!$A$3:$A$5001,BD!$B$3:$B$5001,V$219,BD!$A$3:$A$5001,"&gt;="&amp;$C$7,BD!$A$3:$A$5001,"&lt;="&amp;$B245,BD!$N$3:$N$5001,"&lt;&gt;"))))</f>
        <v/>
      </c>
    </row>
    <row r="246">
      <c r="A246" s="38">
        <v>27</v>
      </c>
      <c r="B246" s="42">
        <f>$B$38</f>
        <v>46322</v>
      </c>
      <c r="C246" s="43" t="str">
        <f>IF(OR($B246="",$A246&gt;$B$9,C$219=""),"",IF(COUNTIFS(BD!$B$3:$B$5001,C$219,BD!$A$3:$A$5001,"&gt;="&amp;$C$7,BD!$A$3:$A$5001,"&lt;="&amp;$B246,BD!$N$3:$N$5001,"&lt;&gt;")=0,"",SUMIFS(BD!$N$3:$N$5001,BD!$B$3:$B$5001,C$219,BD!$A$3:$A$5001,_xlfn.MAXIFS(BD!$A$3:$A$5001,BD!$B$3:$B$5001,C$219,BD!$A$3:$A$5001,"&gt;="&amp;$C$7,BD!$A$3:$A$5001,"&lt;="&amp;$B246,BD!$N$3:$N$5001,"&lt;&gt;"))))</f>
        <v/>
      </c>
      <c r="D246" s="43" t="str">
        <f>IF(OR($B246="",$A246&gt;$B$9,D$219=""),"",IF(COUNTIFS(BD!$B$3:$B$5001,D$219,BD!$A$3:$A$5001,"&gt;="&amp;$C$7,BD!$A$3:$A$5001,"&lt;="&amp;$B246,BD!$N$3:$N$5001,"&lt;&gt;")=0,"",SUMIFS(BD!$N$3:$N$5001,BD!$B$3:$B$5001,D$219,BD!$A$3:$A$5001,_xlfn.MAXIFS(BD!$A$3:$A$5001,BD!$B$3:$B$5001,D$219,BD!$A$3:$A$5001,"&gt;="&amp;$C$7,BD!$A$3:$A$5001,"&lt;="&amp;$B246,BD!$N$3:$N$5001,"&lt;&gt;"))))</f>
        <v/>
      </c>
      <c r="E246" s="43" t="str">
        <f>IF(OR($B246="",$A246&gt;$B$9,E$219=""),"",IF(COUNTIFS(BD!$B$3:$B$5001,E$219,BD!$A$3:$A$5001,"&gt;="&amp;$C$7,BD!$A$3:$A$5001,"&lt;="&amp;$B246,BD!$N$3:$N$5001,"&lt;&gt;")=0,"",SUMIFS(BD!$N$3:$N$5001,BD!$B$3:$B$5001,E$219,BD!$A$3:$A$5001,_xlfn.MAXIFS(BD!$A$3:$A$5001,BD!$B$3:$B$5001,E$219,BD!$A$3:$A$5001,"&gt;="&amp;$C$7,BD!$A$3:$A$5001,"&lt;="&amp;$B246,BD!$N$3:$N$5001,"&lt;&gt;"))))</f>
        <v/>
      </c>
      <c r="F246" s="43" t="str">
        <f>IF(OR($B246="",$A246&gt;$B$9,F$219=""),"",IF(COUNTIFS(BD!$B$3:$B$5001,F$219,BD!$A$3:$A$5001,"&gt;="&amp;$C$7,BD!$A$3:$A$5001,"&lt;="&amp;$B246,BD!$N$3:$N$5001,"&lt;&gt;")=0,"",SUMIFS(BD!$N$3:$N$5001,BD!$B$3:$B$5001,F$219,BD!$A$3:$A$5001,_xlfn.MAXIFS(BD!$A$3:$A$5001,BD!$B$3:$B$5001,F$219,BD!$A$3:$A$5001,"&gt;="&amp;$C$7,BD!$A$3:$A$5001,"&lt;="&amp;$B246,BD!$N$3:$N$5001,"&lt;&gt;"))))</f>
        <v/>
      </c>
      <c r="G246" s="43" t="str">
        <f>IF(OR($B246="",$A246&gt;$B$9,G$219=""),"",IF(COUNTIFS(BD!$B$3:$B$5001,G$219,BD!$A$3:$A$5001,"&gt;="&amp;$C$7,BD!$A$3:$A$5001,"&lt;="&amp;$B246,BD!$N$3:$N$5001,"&lt;&gt;")=0,"",SUMIFS(BD!$N$3:$N$5001,BD!$B$3:$B$5001,G$219,BD!$A$3:$A$5001,_xlfn.MAXIFS(BD!$A$3:$A$5001,BD!$B$3:$B$5001,G$219,BD!$A$3:$A$5001,"&gt;="&amp;$C$7,BD!$A$3:$A$5001,"&lt;="&amp;$B246,BD!$N$3:$N$5001,"&lt;&gt;"))))</f>
        <v/>
      </c>
      <c r="H246" s="43" t="str">
        <f>IF(OR($B246="",$A246&gt;$B$9,H$219=""),"",IF(COUNTIFS(BD!$B$3:$B$5001,H$219,BD!$A$3:$A$5001,"&gt;="&amp;$C$7,BD!$A$3:$A$5001,"&lt;="&amp;$B246,BD!$N$3:$N$5001,"&lt;&gt;")=0,"",SUMIFS(BD!$N$3:$N$5001,BD!$B$3:$B$5001,H$219,BD!$A$3:$A$5001,_xlfn.MAXIFS(BD!$A$3:$A$5001,BD!$B$3:$B$5001,H$219,BD!$A$3:$A$5001,"&gt;="&amp;$C$7,BD!$A$3:$A$5001,"&lt;="&amp;$B246,BD!$N$3:$N$5001,"&lt;&gt;"))))</f>
        <v/>
      </c>
      <c r="I246" s="43" t="str">
        <f>IF(OR($B246="",$A246&gt;$B$9,I$219=""),"",IF(COUNTIFS(BD!$B$3:$B$5001,I$219,BD!$A$3:$A$5001,"&gt;="&amp;$C$7,BD!$A$3:$A$5001,"&lt;="&amp;$B246,BD!$N$3:$N$5001,"&lt;&gt;")=0,"",SUMIFS(BD!$N$3:$N$5001,BD!$B$3:$B$5001,I$219,BD!$A$3:$A$5001,_xlfn.MAXIFS(BD!$A$3:$A$5001,BD!$B$3:$B$5001,I$219,BD!$A$3:$A$5001,"&gt;="&amp;$C$7,BD!$A$3:$A$5001,"&lt;="&amp;$B246,BD!$N$3:$N$5001,"&lt;&gt;"))))</f>
        <v/>
      </c>
      <c r="J246" s="43" t="str">
        <f>IF(OR($B246="",$A246&gt;$B$9,J$219=""),"",IF(COUNTIFS(BD!$B$3:$B$5001,J$219,BD!$A$3:$A$5001,"&gt;="&amp;$C$7,BD!$A$3:$A$5001,"&lt;="&amp;$B246,BD!$N$3:$N$5001,"&lt;&gt;")=0,"",SUMIFS(BD!$N$3:$N$5001,BD!$B$3:$B$5001,J$219,BD!$A$3:$A$5001,_xlfn.MAXIFS(BD!$A$3:$A$5001,BD!$B$3:$B$5001,J$219,BD!$A$3:$A$5001,"&gt;="&amp;$C$7,BD!$A$3:$A$5001,"&lt;="&amp;$B246,BD!$N$3:$N$5001,"&lt;&gt;"))))</f>
        <v/>
      </c>
      <c r="K246" s="43" t="str">
        <f>IF(OR($B246="",$A246&gt;$B$9,K$219=""),"",IF(COUNTIFS(BD!$B$3:$B$5001,K$219,BD!$A$3:$A$5001,"&gt;="&amp;$C$7,BD!$A$3:$A$5001,"&lt;="&amp;$B246,BD!$N$3:$N$5001,"&lt;&gt;")=0,"",SUMIFS(BD!$N$3:$N$5001,BD!$B$3:$B$5001,K$219,BD!$A$3:$A$5001,_xlfn.MAXIFS(BD!$A$3:$A$5001,BD!$B$3:$B$5001,K$219,BD!$A$3:$A$5001,"&gt;="&amp;$C$7,BD!$A$3:$A$5001,"&lt;="&amp;$B246,BD!$N$3:$N$5001,"&lt;&gt;"))))</f>
        <v/>
      </c>
      <c r="L246" s="43" t="str">
        <f>IF(OR($B246="",$A246&gt;$B$9,L$219=""),"",IF(COUNTIFS(BD!$B$3:$B$5001,L$219,BD!$A$3:$A$5001,"&gt;="&amp;$C$7,BD!$A$3:$A$5001,"&lt;="&amp;$B246,BD!$N$3:$N$5001,"&lt;&gt;")=0,"",SUMIFS(BD!$N$3:$N$5001,BD!$B$3:$B$5001,L$219,BD!$A$3:$A$5001,_xlfn.MAXIFS(BD!$A$3:$A$5001,BD!$B$3:$B$5001,L$219,BD!$A$3:$A$5001,"&gt;="&amp;$C$7,BD!$A$3:$A$5001,"&lt;="&amp;$B246,BD!$N$3:$N$5001,"&lt;&gt;"))))</f>
        <v/>
      </c>
      <c r="M246" s="43" t="str">
        <f>IF(OR($B246="",$A246&gt;$B$9,M$219=""),"",IF(COUNTIFS(BD!$B$3:$B$5001,M$219,BD!$A$3:$A$5001,"&gt;="&amp;$C$7,BD!$A$3:$A$5001,"&lt;="&amp;$B246,BD!$N$3:$N$5001,"&lt;&gt;")=0,"",SUMIFS(BD!$N$3:$N$5001,BD!$B$3:$B$5001,M$219,BD!$A$3:$A$5001,_xlfn.MAXIFS(BD!$A$3:$A$5001,BD!$B$3:$B$5001,M$219,BD!$A$3:$A$5001,"&gt;="&amp;$C$7,BD!$A$3:$A$5001,"&lt;="&amp;$B246,BD!$N$3:$N$5001,"&lt;&gt;"))))</f>
        <v/>
      </c>
      <c r="N246" s="43" t="str">
        <f>IF(OR($B246="",$A246&gt;$B$9,N$219=""),"",IF(COUNTIFS(BD!$B$3:$B$5001,N$219,BD!$A$3:$A$5001,"&gt;="&amp;$C$7,BD!$A$3:$A$5001,"&lt;="&amp;$B246,BD!$N$3:$N$5001,"&lt;&gt;")=0,"",SUMIFS(BD!$N$3:$N$5001,BD!$B$3:$B$5001,N$219,BD!$A$3:$A$5001,_xlfn.MAXIFS(BD!$A$3:$A$5001,BD!$B$3:$B$5001,N$219,BD!$A$3:$A$5001,"&gt;="&amp;$C$7,BD!$A$3:$A$5001,"&lt;="&amp;$B246,BD!$N$3:$N$5001,"&lt;&gt;"))))</f>
        <v/>
      </c>
      <c r="O246" s="43" t="str">
        <f>IF(OR($B246="",$A246&gt;$B$9,O$219=""),"",IF(COUNTIFS(BD!$B$3:$B$5001,O$219,BD!$A$3:$A$5001,"&gt;="&amp;$C$7,BD!$A$3:$A$5001,"&lt;="&amp;$B246,BD!$N$3:$N$5001,"&lt;&gt;")=0,"",SUMIFS(BD!$N$3:$N$5001,BD!$B$3:$B$5001,O$219,BD!$A$3:$A$5001,_xlfn.MAXIFS(BD!$A$3:$A$5001,BD!$B$3:$B$5001,O$219,BD!$A$3:$A$5001,"&gt;="&amp;$C$7,BD!$A$3:$A$5001,"&lt;="&amp;$B246,BD!$N$3:$N$5001,"&lt;&gt;"))))</f>
        <v/>
      </c>
      <c r="P246" s="43" t="str">
        <f>IF(OR($B246="",$A246&gt;$B$9,P$219=""),"",IF(COUNTIFS(BD!$B$3:$B$5001,P$219,BD!$A$3:$A$5001,"&gt;="&amp;$C$7,BD!$A$3:$A$5001,"&lt;="&amp;$B246,BD!$N$3:$N$5001,"&lt;&gt;")=0,"",SUMIFS(BD!$N$3:$N$5001,BD!$B$3:$B$5001,P$219,BD!$A$3:$A$5001,_xlfn.MAXIFS(BD!$A$3:$A$5001,BD!$B$3:$B$5001,P$219,BD!$A$3:$A$5001,"&gt;="&amp;$C$7,BD!$A$3:$A$5001,"&lt;="&amp;$B246,BD!$N$3:$N$5001,"&lt;&gt;"))))</f>
        <v/>
      </c>
      <c r="Q246" s="43" t="str">
        <f>IF(OR($B246="",$A246&gt;$B$9,Q$219=""),"",IF(COUNTIFS(BD!$B$3:$B$5001,Q$219,BD!$A$3:$A$5001,"&gt;="&amp;$C$7,BD!$A$3:$A$5001,"&lt;="&amp;$B246,BD!$N$3:$N$5001,"&lt;&gt;")=0,"",SUMIFS(BD!$N$3:$N$5001,BD!$B$3:$B$5001,Q$219,BD!$A$3:$A$5001,_xlfn.MAXIFS(BD!$A$3:$A$5001,BD!$B$3:$B$5001,Q$219,BD!$A$3:$A$5001,"&gt;="&amp;$C$7,BD!$A$3:$A$5001,"&lt;="&amp;$B246,BD!$N$3:$N$5001,"&lt;&gt;"))))</f>
        <v/>
      </c>
      <c r="R246" s="43" t="str">
        <f>IF(OR($B246="",$A246&gt;$B$9,R$219=""),"",IF(COUNTIFS(BD!$B$3:$B$5001,R$219,BD!$A$3:$A$5001,"&gt;="&amp;$C$7,BD!$A$3:$A$5001,"&lt;="&amp;$B246,BD!$N$3:$N$5001,"&lt;&gt;")=0,"",SUMIFS(BD!$N$3:$N$5001,BD!$B$3:$B$5001,R$219,BD!$A$3:$A$5001,_xlfn.MAXIFS(BD!$A$3:$A$5001,BD!$B$3:$B$5001,R$219,BD!$A$3:$A$5001,"&gt;="&amp;$C$7,BD!$A$3:$A$5001,"&lt;="&amp;$B246,BD!$N$3:$N$5001,"&lt;&gt;"))))</f>
        <v/>
      </c>
      <c r="S246" s="43" t="str">
        <f>IF(OR($B246="",$A246&gt;$B$9,S$219=""),"",IF(COUNTIFS(BD!$B$3:$B$5001,S$219,BD!$A$3:$A$5001,"&gt;="&amp;$C$7,BD!$A$3:$A$5001,"&lt;="&amp;$B246,BD!$N$3:$N$5001,"&lt;&gt;")=0,"",SUMIFS(BD!$N$3:$N$5001,BD!$B$3:$B$5001,S$219,BD!$A$3:$A$5001,_xlfn.MAXIFS(BD!$A$3:$A$5001,BD!$B$3:$B$5001,S$219,BD!$A$3:$A$5001,"&gt;="&amp;$C$7,BD!$A$3:$A$5001,"&lt;="&amp;$B246,BD!$N$3:$N$5001,"&lt;&gt;"))))</f>
        <v/>
      </c>
      <c r="T246" s="43" t="str">
        <f>IF(OR($B246="",$A246&gt;$B$9,T$219=""),"",IF(COUNTIFS(BD!$B$3:$B$5001,T$219,BD!$A$3:$A$5001,"&gt;="&amp;$C$7,BD!$A$3:$A$5001,"&lt;="&amp;$B246,BD!$N$3:$N$5001,"&lt;&gt;")=0,"",SUMIFS(BD!$N$3:$N$5001,BD!$B$3:$B$5001,T$219,BD!$A$3:$A$5001,_xlfn.MAXIFS(BD!$A$3:$A$5001,BD!$B$3:$B$5001,T$219,BD!$A$3:$A$5001,"&gt;="&amp;$C$7,BD!$A$3:$A$5001,"&lt;="&amp;$B246,BD!$N$3:$N$5001,"&lt;&gt;"))))</f>
        <v/>
      </c>
      <c r="U246" s="43" t="str">
        <f>IF(OR($B246="",$A246&gt;$B$9,U$219=""),"",IF(COUNTIFS(BD!$B$3:$B$5001,U$219,BD!$A$3:$A$5001,"&gt;="&amp;$C$7,BD!$A$3:$A$5001,"&lt;="&amp;$B246,BD!$N$3:$N$5001,"&lt;&gt;")=0,"",SUMIFS(BD!$N$3:$N$5001,BD!$B$3:$B$5001,U$219,BD!$A$3:$A$5001,_xlfn.MAXIFS(BD!$A$3:$A$5001,BD!$B$3:$B$5001,U$219,BD!$A$3:$A$5001,"&gt;="&amp;$C$7,BD!$A$3:$A$5001,"&lt;="&amp;$B246,BD!$N$3:$N$5001,"&lt;&gt;"))))</f>
        <v/>
      </c>
      <c r="V246" s="43" t="str">
        <f>IF(OR($B246="",$A246&gt;$B$9,V$219=""),"",IF(COUNTIFS(BD!$B$3:$B$5001,V$219,BD!$A$3:$A$5001,"&gt;="&amp;$C$7,BD!$A$3:$A$5001,"&lt;="&amp;$B246,BD!$N$3:$N$5001,"&lt;&gt;")=0,"",SUMIFS(BD!$N$3:$N$5001,BD!$B$3:$B$5001,V$219,BD!$A$3:$A$5001,_xlfn.MAXIFS(BD!$A$3:$A$5001,BD!$B$3:$B$5001,V$219,BD!$A$3:$A$5001,"&gt;="&amp;$C$7,BD!$A$3:$A$5001,"&lt;="&amp;$B246,BD!$N$3:$N$5001,"&lt;&gt;"))))</f>
        <v/>
      </c>
    </row>
    <row r="247">
      <c r="A247" s="38">
        <v>28</v>
      </c>
      <c r="B247" s="42">
        <f>$B$39</f>
        <v>46323</v>
      </c>
      <c r="C247" s="43" t="str">
        <f>IF(OR($B247="",$A247&gt;$B$9,C$219=""),"",IF(COUNTIFS(BD!$B$3:$B$5001,C$219,BD!$A$3:$A$5001,"&gt;="&amp;$C$7,BD!$A$3:$A$5001,"&lt;="&amp;$B247,BD!$N$3:$N$5001,"&lt;&gt;")=0,"",SUMIFS(BD!$N$3:$N$5001,BD!$B$3:$B$5001,C$219,BD!$A$3:$A$5001,_xlfn.MAXIFS(BD!$A$3:$A$5001,BD!$B$3:$B$5001,C$219,BD!$A$3:$A$5001,"&gt;="&amp;$C$7,BD!$A$3:$A$5001,"&lt;="&amp;$B247,BD!$N$3:$N$5001,"&lt;&gt;"))))</f>
        <v/>
      </c>
      <c r="D247" s="43" t="str">
        <f>IF(OR($B247="",$A247&gt;$B$9,D$219=""),"",IF(COUNTIFS(BD!$B$3:$B$5001,D$219,BD!$A$3:$A$5001,"&gt;="&amp;$C$7,BD!$A$3:$A$5001,"&lt;="&amp;$B247,BD!$N$3:$N$5001,"&lt;&gt;")=0,"",SUMIFS(BD!$N$3:$N$5001,BD!$B$3:$B$5001,D$219,BD!$A$3:$A$5001,_xlfn.MAXIFS(BD!$A$3:$A$5001,BD!$B$3:$B$5001,D$219,BD!$A$3:$A$5001,"&gt;="&amp;$C$7,BD!$A$3:$A$5001,"&lt;="&amp;$B247,BD!$N$3:$N$5001,"&lt;&gt;"))))</f>
        <v/>
      </c>
      <c r="E247" s="43" t="str">
        <f>IF(OR($B247="",$A247&gt;$B$9,E$219=""),"",IF(COUNTIFS(BD!$B$3:$B$5001,E$219,BD!$A$3:$A$5001,"&gt;="&amp;$C$7,BD!$A$3:$A$5001,"&lt;="&amp;$B247,BD!$N$3:$N$5001,"&lt;&gt;")=0,"",SUMIFS(BD!$N$3:$N$5001,BD!$B$3:$B$5001,E$219,BD!$A$3:$A$5001,_xlfn.MAXIFS(BD!$A$3:$A$5001,BD!$B$3:$B$5001,E$219,BD!$A$3:$A$5001,"&gt;="&amp;$C$7,BD!$A$3:$A$5001,"&lt;="&amp;$B247,BD!$N$3:$N$5001,"&lt;&gt;"))))</f>
        <v/>
      </c>
      <c r="F247" s="43" t="str">
        <f>IF(OR($B247="",$A247&gt;$B$9,F$219=""),"",IF(COUNTIFS(BD!$B$3:$B$5001,F$219,BD!$A$3:$A$5001,"&gt;="&amp;$C$7,BD!$A$3:$A$5001,"&lt;="&amp;$B247,BD!$N$3:$N$5001,"&lt;&gt;")=0,"",SUMIFS(BD!$N$3:$N$5001,BD!$B$3:$B$5001,F$219,BD!$A$3:$A$5001,_xlfn.MAXIFS(BD!$A$3:$A$5001,BD!$B$3:$B$5001,F$219,BD!$A$3:$A$5001,"&gt;="&amp;$C$7,BD!$A$3:$A$5001,"&lt;="&amp;$B247,BD!$N$3:$N$5001,"&lt;&gt;"))))</f>
        <v/>
      </c>
      <c r="G247" s="43" t="str">
        <f>IF(OR($B247="",$A247&gt;$B$9,G$219=""),"",IF(COUNTIFS(BD!$B$3:$B$5001,G$219,BD!$A$3:$A$5001,"&gt;="&amp;$C$7,BD!$A$3:$A$5001,"&lt;="&amp;$B247,BD!$N$3:$N$5001,"&lt;&gt;")=0,"",SUMIFS(BD!$N$3:$N$5001,BD!$B$3:$B$5001,G$219,BD!$A$3:$A$5001,_xlfn.MAXIFS(BD!$A$3:$A$5001,BD!$B$3:$B$5001,G$219,BD!$A$3:$A$5001,"&gt;="&amp;$C$7,BD!$A$3:$A$5001,"&lt;="&amp;$B247,BD!$N$3:$N$5001,"&lt;&gt;"))))</f>
        <v/>
      </c>
      <c r="H247" s="43" t="str">
        <f>IF(OR($B247="",$A247&gt;$B$9,H$219=""),"",IF(COUNTIFS(BD!$B$3:$B$5001,H$219,BD!$A$3:$A$5001,"&gt;="&amp;$C$7,BD!$A$3:$A$5001,"&lt;="&amp;$B247,BD!$N$3:$N$5001,"&lt;&gt;")=0,"",SUMIFS(BD!$N$3:$N$5001,BD!$B$3:$B$5001,H$219,BD!$A$3:$A$5001,_xlfn.MAXIFS(BD!$A$3:$A$5001,BD!$B$3:$B$5001,H$219,BD!$A$3:$A$5001,"&gt;="&amp;$C$7,BD!$A$3:$A$5001,"&lt;="&amp;$B247,BD!$N$3:$N$5001,"&lt;&gt;"))))</f>
        <v/>
      </c>
      <c r="I247" s="43" t="str">
        <f>IF(OR($B247="",$A247&gt;$B$9,I$219=""),"",IF(COUNTIFS(BD!$B$3:$B$5001,I$219,BD!$A$3:$A$5001,"&gt;="&amp;$C$7,BD!$A$3:$A$5001,"&lt;="&amp;$B247,BD!$N$3:$N$5001,"&lt;&gt;")=0,"",SUMIFS(BD!$N$3:$N$5001,BD!$B$3:$B$5001,I$219,BD!$A$3:$A$5001,_xlfn.MAXIFS(BD!$A$3:$A$5001,BD!$B$3:$B$5001,I$219,BD!$A$3:$A$5001,"&gt;="&amp;$C$7,BD!$A$3:$A$5001,"&lt;="&amp;$B247,BD!$N$3:$N$5001,"&lt;&gt;"))))</f>
        <v/>
      </c>
      <c r="J247" s="43" t="str">
        <f>IF(OR($B247="",$A247&gt;$B$9,J$219=""),"",IF(COUNTIFS(BD!$B$3:$B$5001,J$219,BD!$A$3:$A$5001,"&gt;="&amp;$C$7,BD!$A$3:$A$5001,"&lt;="&amp;$B247,BD!$N$3:$N$5001,"&lt;&gt;")=0,"",SUMIFS(BD!$N$3:$N$5001,BD!$B$3:$B$5001,J$219,BD!$A$3:$A$5001,_xlfn.MAXIFS(BD!$A$3:$A$5001,BD!$B$3:$B$5001,J$219,BD!$A$3:$A$5001,"&gt;="&amp;$C$7,BD!$A$3:$A$5001,"&lt;="&amp;$B247,BD!$N$3:$N$5001,"&lt;&gt;"))))</f>
        <v/>
      </c>
      <c r="K247" s="43" t="str">
        <f>IF(OR($B247="",$A247&gt;$B$9,K$219=""),"",IF(COUNTIFS(BD!$B$3:$B$5001,K$219,BD!$A$3:$A$5001,"&gt;="&amp;$C$7,BD!$A$3:$A$5001,"&lt;="&amp;$B247,BD!$N$3:$N$5001,"&lt;&gt;")=0,"",SUMIFS(BD!$N$3:$N$5001,BD!$B$3:$B$5001,K$219,BD!$A$3:$A$5001,_xlfn.MAXIFS(BD!$A$3:$A$5001,BD!$B$3:$B$5001,K$219,BD!$A$3:$A$5001,"&gt;="&amp;$C$7,BD!$A$3:$A$5001,"&lt;="&amp;$B247,BD!$N$3:$N$5001,"&lt;&gt;"))))</f>
        <v/>
      </c>
      <c r="L247" s="43" t="str">
        <f>IF(OR($B247="",$A247&gt;$B$9,L$219=""),"",IF(COUNTIFS(BD!$B$3:$B$5001,L$219,BD!$A$3:$A$5001,"&gt;="&amp;$C$7,BD!$A$3:$A$5001,"&lt;="&amp;$B247,BD!$N$3:$N$5001,"&lt;&gt;")=0,"",SUMIFS(BD!$N$3:$N$5001,BD!$B$3:$B$5001,L$219,BD!$A$3:$A$5001,_xlfn.MAXIFS(BD!$A$3:$A$5001,BD!$B$3:$B$5001,L$219,BD!$A$3:$A$5001,"&gt;="&amp;$C$7,BD!$A$3:$A$5001,"&lt;="&amp;$B247,BD!$N$3:$N$5001,"&lt;&gt;"))))</f>
        <v/>
      </c>
      <c r="M247" s="43" t="str">
        <f>IF(OR($B247="",$A247&gt;$B$9,M$219=""),"",IF(COUNTIFS(BD!$B$3:$B$5001,M$219,BD!$A$3:$A$5001,"&gt;="&amp;$C$7,BD!$A$3:$A$5001,"&lt;="&amp;$B247,BD!$N$3:$N$5001,"&lt;&gt;")=0,"",SUMIFS(BD!$N$3:$N$5001,BD!$B$3:$B$5001,M$219,BD!$A$3:$A$5001,_xlfn.MAXIFS(BD!$A$3:$A$5001,BD!$B$3:$B$5001,M$219,BD!$A$3:$A$5001,"&gt;="&amp;$C$7,BD!$A$3:$A$5001,"&lt;="&amp;$B247,BD!$N$3:$N$5001,"&lt;&gt;"))))</f>
        <v/>
      </c>
      <c r="N247" s="43" t="str">
        <f>IF(OR($B247="",$A247&gt;$B$9,N$219=""),"",IF(COUNTIFS(BD!$B$3:$B$5001,N$219,BD!$A$3:$A$5001,"&gt;="&amp;$C$7,BD!$A$3:$A$5001,"&lt;="&amp;$B247,BD!$N$3:$N$5001,"&lt;&gt;")=0,"",SUMIFS(BD!$N$3:$N$5001,BD!$B$3:$B$5001,N$219,BD!$A$3:$A$5001,_xlfn.MAXIFS(BD!$A$3:$A$5001,BD!$B$3:$B$5001,N$219,BD!$A$3:$A$5001,"&gt;="&amp;$C$7,BD!$A$3:$A$5001,"&lt;="&amp;$B247,BD!$N$3:$N$5001,"&lt;&gt;"))))</f>
        <v/>
      </c>
      <c r="O247" s="43" t="str">
        <f>IF(OR($B247="",$A247&gt;$B$9,O$219=""),"",IF(COUNTIFS(BD!$B$3:$B$5001,O$219,BD!$A$3:$A$5001,"&gt;="&amp;$C$7,BD!$A$3:$A$5001,"&lt;="&amp;$B247,BD!$N$3:$N$5001,"&lt;&gt;")=0,"",SUMIFS(BD!$N$3:$N$5001,BD!$B$3:$B$5001,O$219,BD!$A$3:$A$5001,_xlfn.MAXIFS(BD!$A$3:$A$5001,BD!$B$3:$B$5001,O$219,BD!$A$3:$A$5001,"&gt;="&amp;$C$7,BD!$A$3:$A$5001,"&lt;="&amp;$B247,BD!$N$3:$N$5001,"&lt;&gt;"))))</f>
        <v/>
      </c>
      <c r="P247" s="43" t="str">
        <f>IF(OR($B247="",$A247&gt;$B$9,P$219=""),"",IF(COUNTIFS(BD!$B$3:$B$5001,P$219,BD!$A$3:$A$5001,"&gt;="&amp;$C$7,BD!$A$3:$A$5001,"&lt;="&amp;$B247,BD!$N$3:$N$5001,"&lt;&gt;")=0,"",SUMIFS(BD!$N$3:$N$5001,BD!$B$3:$B$5001,P$219,BD!$A$3:$A$5001,_xlfn.MAXIFS(BD!$A$3:$A$5001,BD!$B$3:$B$5001,P$219,BD!$A$3:$A$5001,"&gt;="&amp;$C$7,BD!$A$3:$A$5001,"&lt;="&amp;$B247,BD!$N$3:$N$5001,"&lt;&gt;"))))</f>
        <v/>
      </c>
      <c r="Q247" s="43" t="str">
        <f>IF(OR($B247="",$A247&gt;$B$9,Q$219=""),"",IF(COUNTIFS(BD!$B$3:$B$5001,Q$219,BD!$A$3:$A$5001,"&gt;="&amp;$C$7,BD!$A$3:$A$5001,"&lt;="&amp;$B247,BD!$N$3:$N$5001,"&lt;&gt;")=0,"",SUMIFS(BD!$N$3:$N$5001,BD!$B$3:$B$5001,Q$219,BD!$A$3:$A$5001,_xlfn.MAXIFS(BD!$A$3:$A$5001,BD!$B$3:$B$5001,Q$219,BD!$A$3:$A$5001,"&gt;="&amp;$C$7,BD!$A$3:$A$5001,"&lt;="&amp;$B247,BD!$N$3:$N$5001,"&lt;&gt;"))))</f>
        <v/>
      </c>
      <c r="R247" s="43" t="str">
        <f>IF(OR($B247="",$A247&gt;$B$9,R$219=""),"",IF(COUNTIFS(BD!$B$3:$B$5001,R$219,BD!$A$3:$A$5001,"&gt;="&amp;$C$7,BD!$A$3:$A$5001,"&lt;="&amp;$B247,BD!$N$3:$N$5001,"&lt;&gt;")=0,"",SUMIFS(BD!$N$3:$N$5001,BD!$B$3:$B$5001,R$219,BD!$A$3:$A$5001,_xlfn.MAXIFS(BD!$A$3:$A$5001,BD!$B$3:$B$5001,R$219,BD!$A$3:$A$5001,"&gt;="&amp;$C$7,BD!$A$3:$A$5001,"&lt;="&amp;$B247,BD!$N$3:$N$5001,"&lt;&gt;"))))</f>
        <v/>
      </c>
      <c r="S247" s="43" t="str">
        <f>IF(OR($B247="",$A247&gt;$B$9,S$219=""),"",IF(COUNTIFS(BD!$B$3:$B$5001,S$219,BD!$A$3:$A$5001,"&gt;="&amp;$C$7,BD!$A$3:$A$5001,"&lt;="&amp;$B247,BD!$N$3:$N$5001,"&lt;&gt;")=0,"",SUMIFS(BD!$N$3:$N$5001,BD!$B$3:$B$5001,S$219,BD!$A$3:$A$5001,_xlfn.MAXIFS(BD!$A$3:$A$5001,BD!$B$3:$B$5001,S$219,BD!$A$3:$A$5001,"&gt;="&amp;$C$7,BD!$A$3:$A$5001,"&lt;="&amp;$B247,BD!$N$3:$N$5001,"&lt;&gt;"))))</f>
        <v/>
      </c>
      <c r="T247" s="43" t="str">
        <f>IF(OR($B247="",$A247&gt;$B$9,T$219=""),"",IF(COUNTIFS(BD!$B$3:$B$5001,T$219,BD!$A$3:$A$5001,"&gt;="&amp;$C$7,BD!$A$3:$A$5001,"&lt;="&amp;$B247,BD!$N$3:$N$5001,"&lt;&gt;")=0,"",SUMIFS(BD!$N$3:$N$5001,BD!$B$3:$B$5001,T$219,BD!$A$3:$A$5001,_xlfn.MAXIFS(BD!$A$3:$A$5001,BD!$B$3:$B$5001,T$219,BD!$A$3:$A$5001,"&gt;="&amp;$C$7,BD!$A$3:$A$5001,"&lt;="&amp;$B247,BD!$N$3:$N$5001,"&lt;&gt;"))))</f>
        <v/>
      </c>
      <c r="U247" s="43" t="str">
        <f>IF(OR($B247="",$A247&gt;$B$9,U$219=""),"",IF(COUNTIFS(BD!$B$3:$B$5001,U$219,BD!$A$3:$A$5001,"&gt;="&amp;$C$7,BD!$A$3:$A$5001,"&lt;="&amp;$B247,BD!$N$3:$N$5001,"&lt;&gt;")=0,"",SUMIFS(BD!$N$3:$N$5001,BD!$B$3:$B$5001,U$219,BD!$A$3:$A$5001,_xlfn.MAXIFS(BD!$A$3:$A$5001,BD!$B$3:$B$5001,U$219,BD!$A$3:$A$5001,"&gt;="&amp;$C$7,BD!$A$3:$A$5001,"&lt;="&amp;$B247,BD!$N$3:$N$5001,"&lt;&gt;"))))</f>
        <v/>
      </c>
      <c r="V247" s="43" t="str">
        <f>IF(OR($B247="",$A247&gt;$B$9,V$219=""),"",IF(COUNTIFS(BD!$B$3:$B$5001,V$219,BD!$A$3:$A$5001,"&gt;="&amp;$C$7,BD!$A$3:$A$5001,"&lt;="&amp;$B247,BD!$N$3:$N$5001,"&lt;&gt;")=0,"",SUMIFS(BD!$N$3:$N$5001,BD!$B$3:$B$5001,V$219,BD!$A$3:$A$5001,_xlfn.MAXIFS(BD!$A$3:$A$5001,BD!$B$3:$B$5001,V$219,BD!$A$3:$A$5001,"&gt;="&amp;$C$7,BD!$A$3:$A$5001,"&lt;="&amp;$B247,BD!$N$3:$N$5001,"&lt;&gt;"))))</f>
        <v/>
      </c>
    </row>
    <row r="248">
      <c r="A248" s="38">
        <v>29</v>
      </c>
      <c r="B248" s="42">
        <f>$B$40</f>
        <v>46324</v>
      </c>
      <c r="C248" s="43" t="str">
        <f>IF(OR($B248="",$A248&gt;$B$9,C$219=""),"",IF(COUNTIFS(BD!$B$3:$B$5001,C$219,BD!$A$3:$A$5001,"&gt;="&amp;$C$7,BD!$A$3:$A$5001,"&lt;="&amp;$B248,BD!$N$3:$N$5001,"&lt;&gt;")=0,"",SUMIFS(BD!$N$3:$N$5001,BD!$B$3:$B$5001,C$219,BD!$A$3:$A$5001,_xlfn.MAXIFS(BD!$A$3:$A$5001,BD!$B$3:$B$5001,C$219,BD!$A$3:$A$5001,"&gt;="&amp;$C$7,BD!$A$3:$A$5001,"&lt;="&amp;$B248,BD!$N$3:$N$5001,"&lt;&gt;"))))</f>
        <v/>
      </c>
      <c r="D248" s="43" t="str">
        <f>IF(OR($B248="",$A248&gt;$B$9,D$219=""),"",IF(COUNTIFS(BD!$B$3:$B$5001,D$219,BD!$A$3:$A$5001,"&gt;="&amp;$C$7,BD!$A$3:$A$5001,"&lt;="&amp;$B248,BD!$N$3:$N$5001,"&lt;&gt;")=0,"",SUMIFS(BD!$N$3:$N$5001,BD!$B$3:$B$5001,D$219,BD!$A$3:$A$5001,_xlfn.MAXIFS(BD!$A$3:$A$5001,BD!$B$3:$B$5001,D$219,BD!$A$3:$A$5001,"&gt;="&amp;$C$7,BD!$A$3:$A$5001,"&lt;="&amp;$B248,BD!$N$3:$N$5001,"&lt;&gt;"))))</f>
        <v/>
      </c>
      <c r="E248" s="43" t="str">
        <f>IF(OR($B248="",$A248&gt;$B$9,E$219=""),"",IF(COUNTIFS(BD!$B$3:$B$5001,E$219,BD!$A$3:$A$5001,"&gt;="&amp;$C$7,BD!$A$3:$A$5001,"&lt;="&amp;$B248,BD!$N$3:$N$5001,"&lt;&gt;")=0,"",SUMIFS(BD!$N$3:$N$5001,BD!$B$3:$B$5001,E$219,BD!$A$3:$A$5001,_xlfn.MAXIFS(BD!$A$3:$A$5001,BD!$B$3:$B$5001,E$219,BD!$A$3:$A$5001,"&gt;="&amp;$C$7,BD!$A$3:$A$5001,"&lt;="&amp;$B248,BD!$N$3:$N$5001,"&lt;&gt;"))))</f>
        <v/>
      </c>
      <c r="F248" s="43" t="str">
        <f>IF(OR($B248="",$A248&gt;$B$9,F$219=""),"",IF(COUNTIFS(BD!$B$3:$B$5001,F$219,BD!$A$3:$A$5001,"&gt;="&amp;$C$7,BD!$A$3:$A$5001,"&lt;="&amp;$B248,BD!$N$3:$N$5001,"&lt;&gt;")=0,"",SUMIFS(BD!$N$3:$N$5001,BD!$B$3:$B$5001,F$219,BD!$A$3:$A$5001,_xlfn.MAXIFS(BD!$A$3:$A$5001,BD!$B$3:$B$5001,F$219,BD!$A$3:$A$5001,"&gt;="&amp;$C$7,BD!$A$3:$A$5001,"&lt;="&amp;$B248,BD!$N$3:$N$5001,"&lt;&gt;"))))</f>
        <v/>
      </c>
      <c r="G248" s="43" t="str">
        <f>IF(OR($B248="",$A248&gt;$B$9,G$219=""),"",IF(COUNTIFS(BD!$B$3:$B$5001,G$219,BD!$A$3:$A$5001,"&gt;="&amp;$C$7,BD!$A$3:$A$5001,"&lt;="&amp;$B248,BD!$N$3:$N$5001,"&lt;&gt;")=0,"",SUMIFS(BD!$N$3:$N$5001,BD!$B$3:$B$5001,G$219,BD!$A$3:$A$5001,_xlfn.MAXIFS(BD!$A$3:$A$5001,BD!$B$3:$B$5001,G$219,BD!$A$3:$A$5001,"&gt;="&amp;$C$7,BD!$A$3:$A$5001,"&lt;="&amp;$B248,BD!$N$3:$N$5001,"&lt;&gt;"))))</f>
        <v/>
      </c>
      <c r="H248" s="43" t="str">
        <f>IF(OR($B248="",$A248&gt;$B$9,H$219=""),"",IF(COUNTIFS(BD!$B$3:$B$5001,H$219,BD!$A$3:$A$5001,"&gt;="&amp;$C$7,BD!$A$3:$A$5001,"&lt;="&amp;$B248,BD!$N$3:$N$5001,"&lt;&gt;")=0,"",SUMIFS(BD!$N$3:$N$5001,BD!$B$3:$B$5001,H$219,BD!$A$3:$A$5001,_xlfn.MAXIFS(BD!$A$3:$A$5001,BD!$B$3:$B$5001,H$219,BD!$A$3:$A$5001,"&gt;="&amp;$C$7,BD!$A$3:$A$5001,"&lt;="&amp;$B248,BD!$N$3:$N$5001,"&lt;&gt;"))))</f>
        <v/>
      </c>
      <c r="I248" s="43" t="str">
        <f>IF(OR($B248="",$A248&gt;$B$9,I$219=""),"",IF(COUNTIFS(BD!$B$3:$B$5001,I$219,BD!$A$3:$A$5001,"&gt;="&amp;$C$7,BD!$A$3:$A$5001,"&lt;="&amp;$B248,BD!$N$3:$N$5001,"&lt;&gt;")=0,"",SUMIFS(BD!$N$3:$N$5001,BD!$B$3:$B$5001,I$219,BD!$A$3:$A$5001,_xlfn.MAXIFS(BD!$A$3:$A$5001,BD!$B$3:$B$5001,I$219,BD!$A$3:$A$5001,"&gt;="&amp;$C$7,BD!$A$3:$A$5001,"&lt;="&amp;$B248,BD!$N$3:$N$5001,"&lt;&gt;"))))</f>
        <v/>
      </c>
      <c r="J248" s="43" t="str">
        <f>IF(OR($B248="",$A248&gt;$B$9,J$219=""),"",IF(COUNTIFS(BD!$B$3:$B$5001,J$219,BD!$A$3:$A$5001,"&gt;="&amp;$C$7,BD!$A$3:$A$5001,"&lt;="&amp;$B248,BD!$N$3:$N$5001,"&lt;&gt;")=0,"",SUMIFS(BD!$N$3:$N$5001,BD!$B$3:$B$5001,J$219,BD!$A$3:$A$5001,_xlfn.MAXIFS(BD!$A$3:$A$5001,BD!$B$3:$B$5001,J$219,BD!$A$3:$A$5001,"&gt;="&amp;$C$7,BD!$A$3:$A$5001,"&lt;="&amp;$B248,BD!$N$3:$N$5001,"&lt;&gt;"))))</f>
        <v/>
      </c>
      <c r="K248" s="43" t="str">
        <f>IF(OR($B248="",$A248&gt;$B$9,K$219=""),"",IF(COUNTIFS(BD!$B$3:$B$5001,K$219,BD!$A$3:$A$5001,"&gt;="&amp;$C$7,BD!$A$3:$A$5001,"&lt;="&amp;$B248,BD!$N$3:$N$5001,"&lt;&gt;")=0,"",SUMIFS(BD!$N$3:$N$5001,BD!$B$3:$B$5001,K$219,BD!$A$3:$A$5001,_xlfn.MAXIFS(BD!$A$3:$A$5001,BD!$B$3:$B$5001,K$219,BD!$A$3:$A$5001,"&gt;="&amp;$C$7,BD!$A$3:$A$5001,"&lt;="&amp;$B248,BD!$N$3:$N$5001,"&lt;&gt;"))))</f>
        <v/>
      </c>
      <c r="L248" s="43" t="str">
        <f>IF(OR($B248="",$A248&gt;$B$9,L$219=""),"",IF(COUNTIFS(BD!$B$3:$B$5001,L$219,BD!$A$3:$A$5001,"&gt;="&amp;$C$7,BD!$A$3:$A$5001,"&lt;="&amp;$B248,BD!$N$3:$N$5001,"&lt;&gt;")=0,"",SUMIFS(BD!$N$3:$N$5001,BD!$B$3:$B$5001,L$219,BD!$A$3:$A$5001,_xlfn.MAXIFS(BD!$A$3:$A$5001,BD!$B$3:$B$5001,L$219,BD!$A$3:$A$5001,"&gt;="&amp;$C$7,BD!$A$3:$A$5001,"&lt;="&amp;$B248,BD!$N$3:$N$5001,"&lt;&gt;"))))</f>
        <v/>
      </c>
      <c r="M248" s="43" t="str">
        <f>IF(OR($B248="",$A248&gt;$B$9,M$219=""),"",IF(COUNTIFS(BD!$B$3:$B$5001,M$219,BD!$A$3:$A$5001,"&gt;="&amp;$C$7,BD!$A$3:$A$5001,"&lt;="&amp;$B248,BD!$N$3:$N$5001,"&lt;&gt;")=0,"",SUMIFS(BD!$N$3:$N$5001,BD!$B$3:$B$5001,M$219,BD!$A$3:$A$5001,_xlfn.MAXIFS(BD!$A$3:$A$5001,BD!$B$3:$B$5001,M$219,BD!$A$3:$A$5001,"&gt;="&amp;$C$7,BD!$A$3:$A$5001,"&lt;="&amp;$B248,BD!$N$3:$N$5001,"&lt;&gt;"))))</f>
        <v/>
      </c>
      <c r="N248" s="43" t="str">
        <f>IF(OR($B248="",$A248&gt;$B$9,N$219=""),"",IF(COUNTIFS(BD!$B$3:$B$5001,N$219,BD!$A$3:$A$5001,"&gt;="&amp;$C$7,BD!$A$3:$A$5001,"&lt;="&amp;$B248,BD!$N$3:$N$5001,"&lt;&gt;")=0,"",SUMIFS(BD!$N$3:$N$5001,BD!$B$3:$B$5001,N$219,BD!$A$3:$A$5001,_xlfn.MAXIFS(BD!$A$3:$A$5001,BD!$B$3:$B$5001,N$219,BD!$A$3:$A$5001,"&gt;="&amp;$C$7,BD!$A$3:$A$5001,"&lt;="&amp;$B248,BD!$N$3:$N$5001,"&lt;&gt;"))))</f>
        <v/>
      </c>
      <c r="O248" s="43" t="str">
        <f>IF(OR($B248="",$A248&gt;$B$9,O$219=""),"",IF(COUNTIFS(BD!$B$3:$B$5001,O$219,BD!$A$3:$A$5001,"&gt;="&amp;$C$7,BD!$A$3:$A$5001,"&lt;="&amp;$B248,BD!$N$3:$N$5001,"&lt;&gt;")=0,"",SUMIFS(BD!$N$3:$N$5001,BD!$B$3:$B$5001,O$219,BD!$A$3:$A$5001,_xlfn.MAXIFS(BD!$A$3:$A$5001,BD!$B$3:$B$5001,O$219,BD!$A$3:$A$5001,"&gt;="&amp;$C$7,BD!$A$3:$A$5001,"&lt;="&amp;$B248,BD!$N$3:$N$5001,"&lt;&gt;"))))</f>
        <v/>
      </c>
      <c r="P248" s="43" t="str">
        <f>IF(OR($B248="",$A248&gt;$B$9,P$219=""),"",IF(COUNTIFS(BD!$B$3:$B$5001,P$219,BD!$A$3:$A$5001,"&gt;="&amp;$C$7,BD!$A$3:$A$5001,"&lt;="&amp;$B248,BD!$N$3:$N$5001,"&lt;&gt;")=0,"",SUMIFS(BD!$N$3:$N$5001,BD!$B$3:$B$5001,P$219,BD!$A$3:$A$5001,_xlfn.MAXIFS(BD!$A$3:$A$5001,BD!$B$3:$B$5001,P$219,BD!$A$3:$A$5001,"&gt;="&amp;$C$7,BD!$A$3:$A$5001,"&lt;="&amp;$B248,BD!$N$3:$N$5001,"&lt;&gt;"))))</f>
        <v/>
      </c>
      <c r="Q248" s="43" t="str">
        <f>IF(OR($B248="",$A248&gt;$B$9,Q$219=""),"",IF(COUNTIFS(BD!$B$3:$B$5001,Q$219,BD!$A$3:$A$5001,"&gt;="&amp;$C$7,BD!$A$3:$A$5001,"&lt;="&amp;$B248,BD!$N$3:$N$5001,"&lt;&gt;")=0,"",SUMIFS(BD!$N$3:$N$5001,BD!$B$3:$B$5001,Q$219,BD!$A$3:$A$5001,_xlfn.MAXIFS(BD!$A$3:$A$5001,BD!$B$3:$B$5001,Q$219,BD!$A$3:$A$5001,"&gt;="&amp;$C$7,BD!$A$3:$A$5001,"&lt;="&amp;$B248,BD!$N$3:$N$5001,"&lt;&gt;"))))</f>
        <v/>
      </c>
      <c r="R248" s="43" t="str">
        <f>IF(OR($B248="",$A248&gt;$B$9,R$219=""),"",IF(COUNTIFS(BD!$B$3:$B$5001,R$219,BD!$A$3:$A$5001,"&gt;="&amp;$C$7,BD!$A$3:$A$5001,"&lt;="&amp;$B248,BD!$N$3:$N$5001,"&lt;&gt;")=0,"",SUMIFS(BD!$N$3:$N$5001,BD!$B$3:$B$5001,R$219,BD!$A$3:$A$5001,_xlfn.MAXIFS(BD!$A$3:$A$5001,BD!$B$3:$B$5001,R$219,BD!$A$3:$A$5001,"&gt;="&amp;$C$7,BD!$A$3:$A$5001,"&lt;="&amp;$B248,BD!$N$3:$N$5001,"&lt;&gt;"))))</f>
        <v/>
      </c>
      <c r="S248" s="43" t="str">
        <f>IF(OR($B248="",$A248&gt;$B$9,S$219=""),"",IF(COUNTIFS(BD!$B$3:$B$5001,S$219,BD!$A$3:$A$5001,"&gt;="&amp;$C$7,BD!$A$3:$A$5001,"&lt;="&amp;$B248,BD!$N$3:$N$5001,"&lt;&gt;")=0,"",SUMIFS(BD!$N$3:$N$5001,BD!$B$3:$B$5001,S$219,BD!$A$3:$A$5001,_xlfn.MAXIFS(BD!$A$3:$A$5001,BD!$B$3:$B$5001,S$219,BD!$A$3:$A$5001,"&gt;="&amp;$C$7,BD!$A$3:$A$5001,"&lt;="&amp;$B248,BD!$N$3:$N$5001,"&lt;&gt;"))))</f>
        <v/>
      </c>
      <c r="T248" s="43" t="str">
        <f>IF(OR($B248="",$A248&gt;$B$9,T$219=""),"",IF(COUNTIFS(BD!$B$3:$B$5001,T$219,BD!$A$3:$A$5001,"&gt;="&amp;$C$7,BD!$A$3:$A$5001,"&lt;="&amp;$B248,BD!$N$3:$N$5001,"&lt;&gt;")=0,"",SUMIFS(BD!$N$3:$N$5001,BD!$B$3:$B$5001,T$219,BD!$A$3:$A$5001,_xlfn.MAXIFS(BD!$A$3:$A$5001,BD!$B$3:$B$5001,T$219,BD!$A$3:$A$5001,"&gt;="&amp;$C$7,BD!$A$3:$A$5001,"&lt;="&amp;$B248,BD!$N$3:$N$5001,"&lt;&gt;"))))</f>
        <v/>
      </c>
      <c r="U248" s="43" t="str">
        <f>IF(OR($B248="",$A248&gt;$B$9,U$219=""),"",IF(COUNTIFS(BD!$B$3:$B$5001,U$219,BD!$A$3:$A$5001,"&gt;="&amp;$C$7,BD!$A$3:$A$5001,"&lt;="&amp;$B248,BD!$N$3:$N$5001,"&lt;&gt;")=0,"",SUMIFS(BD!$N$3:$N$5001,BD!$B$3:$B$5001,U$219,BD!$A$3:$A$5001,_xlfn.MAXIFS(BD!$A$3:$A$5001,BD!$B$3:$B$5001,U$219,BD!$A$3:$A$5001,"&gt;="&amp;$C$7,BD!$A$3:$A$5001,"&lt;="&amp;$B248,BD!$N$3:$N$5001,"&lt;&gt;"))))</f>
        <v/>
      </c>
      <c r="V248" s="43" t="str">
        <f>IF(OR($B248="",$A248&gt;$B$9,V$219=""),"",IF(COUNTIFS(BD!$B$3:$B$5001,V$219,BD!$A$3:$A$5001,"&gt;="&amp;$C$7,BD!$A$3:$A$5001,"&lt;="&amp;$B248,BD!$N$3:$N$5001,"&lt;&gt;")=0,"",SUMIFS(BD!$N$3:$N$5001,BD!$B$3:$B$5001,V$219,BD!$A$3:$A$5001,_xlfn.MAXIFS(BD!$A$3:$A$5001,BD!$B$3:$B$5001,V$219,BD!$A$3:$A$5001,"&gt;="&amp;$C$7,BD!$A$3:$A$5001,"&lt;="&amp;$B248,BD!$N$3:$N$5001,"&lt;&gt;"))))</f>
        <v/>
      </c>
    </row>
    <row r="249">
      <c r="A249" s="38">
        <v>30</v>
      </c>
      <c r="B249" s="42">
        <f>$B$41</f>
        <v>46325</v>
      </c>
      <c r="C249" s="43" t="str">
        <f>IF(OR($B249="",$A249&gt;$B$9,C$219=""),"",IF(COUNTIFS(BD!$B$3:$B$5001,C$219,BD!$A$3:$A$5001,"&gt;="&amp;$C$7,BD!$A$3:$A$5001,"&lt;="&amp;$B249,BD!$N$3:$N$5001,"&lt;&gt;")=0,"",SUMIFS(BD!$N$3:$N$5001,BD!$B$3:$B$5001,C$219,BD!$A$3:$A$5001,_xlfn.MAXIFS(BD!$A$3:$A$5001,BD!$B$3:$B$5001,C$219,BD!$A$3:$A$5001,"&gt;="&amp;$C$7,BD!$A$3:$A$5001,"&lt;="&amp;$B249,BD!$N$3:$N$5001,"&lt;&gt;"))))</f>
        <v/>
      </c>
      <c r="D249" s="43" t="str">
        <f>IF(OR($B249="",$A249&gt;$B$9,D$219=""),"",IF(COUNTIFS(BD!$B$3:$B$5001,D$219,BD!$A$3:$A$5001,"&gt;="&amp;$C$7,BD!$A$3:$A$5001,"&lt;="&amp;$B249,BD!$N$3:$N$5001,"&lt;&gt;")=0,"",SUMIFS(BD!$N$3:$N$5001,BD!$B$3:$B$5001,D$219,BD!$A$3:$A$5001,_xlfn.MAXIFS(BD!$A$3:$A$5001,BD!$B$3:$B$5001,D$219,BD!$A$3:$A$5001,"&gt;="&amp;$C$7,BD!$A$3:$A$5001,"&lt;="&amp;$B249,BD!$N$3:$N$5001,"&lt;&gt;"))))</f>
        <v/>
      </c>
      <c r="E249" s="43" t="str">
        <f>IF(OR($B249="",$A249&gt;$B$9,E$219=""),"",IF(COUNTIFS(BD!$B$3:$B$5001,E$219,BD!$A$3:$A$5001,"&gt;="&amp;$C$7,BD!$A$3:$A$5001,"&lt;="&amp;$B249,BD!$N$3:$N$5001,"&lt;&gt;")=0,"",SUMIFS(BD!$N$3:$N$5001,BD!$B$3:$B$5001,E$219,BD!$A$3:$A$5001,_xlfn.MAXIFS(BD!$A$3:$A$5001,BD!$B$3:$B$5001,E$219,BD!$A$3:$A$5001,"&gt;="&amp;$C$7,BD!$A$3:$A$5001,"&lt;="&amp;$B249,BD!$N$3:$N$5001,"&lt;&gt;"))))</f>
        <v/>
      </c>
      <c r="F249" s="43" t="str">
        <f>IF(OR($B249="",$A249&gt;$B$9,F$219=""),"",IF(COUNTIFS(BD!$B$3:$B$5001,F$219,BD!$A$3:$A$5001,"&gt;="&amp;$C$7,BD!$A$3:$A$5001,"&lt;="&amp;$B249,BD!$N$3:$N$5001,"&lt;&gt;")=0,"",SUMIFS(BD!$N$3:$N$5001,BD!$B$3:$B$5001,F$219,BD!$A$3:$A$5001,_xlfn.MAXIFS(BD!$A$3:$A$5001,BD!$B$3:$B$5001,F$219,BD!$A$3:$A$5001,"&gt;="&amp;$C$7,BD!$A$3:$A$5001,"&lt;="&amp;$B249,BD!$N$3:$N$5001,"&lt;&gt;"))))</f>
        <v/>
      </c>
      <c r="G249" s="43" t="str">
        <f>IF(OR($B249="",$A249&gt;$B$9,G$219=""),"",IF(COUNTIFS(BD!$B$3:$B$5001,G$219,BD!$A$3:$A$5001,"&gt;="&amp;$C$7,BD!$A$3:$A$5001,"&lt;="&amp;$B249,BD!$N$3:$N$5001,"&lt;&gt;")=0,"",SUMIFS(BD!$N$3:$N$5001,BD!$B$3:$B$5001,G$219,BD!$A$3:$A$5001,_xlfn.MAXIFS(BD!$A$3:$A$5001,BD!$B$3:$B$5001,G$219,BD!$A$3:$A$5001,"&gt;="&amp;$C$7,BD!$A$3:$A$5001,"&lt;="&amp;$B249,BD!$N$3:$N$5001,"&lt;&gt;"))))</f>
        <v/>
      </c>
      <c r="H249" s="43" t="str">
        <f>IF(OR($B249="",$A249&gt;$B$9,H$219=""),"",IF(COUNTIFS(BD!$B$3:$B$5001,H$219,BD!$A$3:$A$5001,"&gt;="&amp;$C$7,BD!$A$3:$A$5001,"&lt;="&amp;$B249,BD!$N$3:$N$5001,"&lt;&gt;")=0,"",SUMIFS(BD!$N$3:$N$5001,BD!$B$3:$B$5001,H$219,BD!$A$3:$A$5001,_xlfn.MAXIFS(BD!$A$3:$A$5001,BD!$B$3:$B$5001,H$219,BD!$A$3:$A$5001,"&gt;="&amp;$C$7,BD!$A$3:$A$5001,"&lt;="&amp;$B249,BD!$N$3:$N$5001,"&lt;&gt;"))))</f>
        <v/>
      </c>
      <c r="I249" s="43" t="str">
        <f>IF(OR($B249="",$A249&gt;$B$9,I$219=""),"",IF(COUNTIFS(BD!$B$3:$B$5001,I$219,BD!$A$3:$A$5001,"&gt;="&amp;$C$7,BD!$A$3:$A$5001,"&lt;="&amp;$B249,BD!$N$3:$N$5001,"&lt;&gt;")=0,"",SUMIFS(BD!$N$3:$N$5001,BD!$B$3:$B$5001,I$219,BD!$A$3:$A$5001,_xlfn.MAXIFS(BD!$A$3:$A$5001,BD!$B$3:$B$5001,I$219,BD!$A$3:$A$5001,"&gt;="&amp;$C$7,BD!$A$3:$A$5001,"&lt;="&amp;$B249,BD!$N$3:$N$5001,"&lt;&gt;"))))</f>
        <v/>
      </c>
      <c r="J249" s="43" t="str">
        <f>IF(OR($B249="",$A249&gt;$B$9,J$219=""),"",IF(COUNTIFS(BD!$B$3:$B$5001,J$219,BD!$A$3:$A$5001,"&gt;="&amp;$C$7,BD!$A$3:$A$5001,"&lt;="&amp;$B249,BD!$N$3:$N$5001,"&lt;&gt;")=0,"",SUMIFS(BD!$N$3:$N$5001,BD!$B$3:$B$5001,J$219,BD!$A$3:$A$5001,_xlfn.MAXIFS(BD!$A$3:$A$5001,BD!$B$3:$B$5001,J$219,BD!$A$3:$A$5001,"&gt;="&amp;$C$7,BD!$A$3:$A$5001,"&lt;="&amp;$B249,BD!$N$3:$N$5001,"&lt;&gt;"))))</f>
        <v/>
      </c>
      <c r="K249" s="43" t="str">
        <f>IF(OR($B249="",$A249&gt;$B$9,K$219=""),"",IF(COUNTIFS(BD!$B$3:$B$5001,K$219,BD!$A$3:$A$5001,"&gt;="&amp;$C$7,BD!$A$3:$A$5001,"&lt;="&amp;$B249,BD!$N$3:$N$5001,"&lt;&gt;")=0,"",SUMIFS(BD!$N$3:$N$5001,BD!$B$3:$B$5001,K$219,BD!$A$3:$A$5001,_xlfn.MAXIFS(BD!$A$3:$A$5001,BD!$B$3:$B$5001,K$219,BD!$A$3:$A$5001,"&gt;="&amp;$C$7,BD!$A$3:$A$5001,"&lt;="&amp;$B249,BD!$N$3:$N$5001,"&lt;&gt;"))))</f>
        <v/>
      </c>
      <c r="L249" s="43" t="str">
        <f>IF(OR($B249="",$A249&gt;$B$9,L$219=""),"",IF(COUNTIFS(BD!$B$3:$B$5001,L$219,BD!$A$3:$A$5001,"&gt;="&amp;$C$7,BD!$A$3:$A$5001,"&lt;="&amp;$B249,BD!$N$3:$N$5001,"&lt;&gt;")=0,"",SUMIFS(BD!$N$3:$N$5001,BD!$B$3:$B$5001,L$219,BD!$A$3:$A$5001,_xlfn.MAXIFS(BD!$A$3:$A$5001,BD!$B$3:$B$5001,L$219,BD!$A$3:$A$5001,"&gt;="&amp;$C$7,BD!$A$3:$A$5001,"&lt;="&amp;$B249,BD!$N$3:$N$5001,"&lt;&gt;"))))</f>
        <v/>
      </c>
      <c r="M249" s="43" t="str">
        <f>IF(OR($B249="",$A249&gt;$B$9,M$219=""),"",IF(COUNTIFS(BD!$B$3:$B$5001,M$219,BD!$A$3:$A$5001,"&gt;="&amp;$C$7,BD!$A$3:$A$5001,"&lt;="&amp;$B249,BD!$N$3:$N$5001,"&lt;&gt;")=0,"",SUMIFS(BD!$N$3:$N$5001,BD!$B$3:$B$5001,M$219,BD!$A$3:$A$5001,_xlfn.MAXIFS(BD!$A$3:$A$5001,BD!$B$3:$B$5001,M$219,BD!$A$3:$A$5001,"&gt;="&amp;$C$7,BD!$A$3:$A$5001,"&lt;="&amp;$B249,BD!$N$3:$N$5001,"&lt;&gt;"))))</f>
        <v/>
      </c>
      <c r="N249" s="43" t="str">
        <f>IF(OR($B249="",$A249&gt;$B$9,N$219=""),"",IF(COUNTIFS(BD!$B$3:$B$5001,N$219,BD!$A$3:$A$5001,"&gt;="&amp;$C$7,BD!$A$3:$A$5001,"&lt;="&amp;$B249,BD!$N$3:$N$5001,"&lt;&gt;")=0,"",SUMIFS(BD!$N$3:$N$5001,BD!$B$3:$B$5001,N$219,BD!$A$3:$A$5001,_xlfn.MAXIFS(BD!$A$3:$A$5001,BD!$B$3:$B$5001,N$219,BD!$A$3:$A$5001,"&gt;="&amp;$C$7,BD!$A$3:$A$5001,"&lt;="&amp;$B249,BD!$N$3:$N$5001,"&lt;&gt;"))))</f>
        <v/>
      </c>
      <c r="O249" s="43" t="str">
        <f>IF(OR($B249="",$A249&gt;$B$9,O$219=""),"",IF(COUNTIFS(BD!$B$3:$B$5001,O$219,BD!$A$3:$A$5001,"&gt;="&amp;$C$7,BD!$A$3:$A$5001,"&lt;="&amp;$B249,BD!$N$3:$N$5001,"&lt;&gt;")=0,"",SUMIFS(BD!$N$3:$N$5001,BD!$B$3:$B$5001,O$219,BD!$A$3:$A$5001,_xlfn.MAXIFS(BD!$A$3:$A$5001,BD!$B$3:$B$5001,O$219,BD!$A$3:$A$5001,"&gt;="&amp;$C$7,BD!$A$3:$A$5001,"&lt;="&amp;$B249,BD!$N$3:$N$5001,"&lt;&gt;"))))</f>
        <v/>
      </c>
      <c r="P249" s="43" t="str">
        <f>IF(OR($B249="",$A249&gt;$B$9,P$219=""),"",IF(COUNTIFS(BD!$B$3:$B$5001,P$219,BD!$A$3:$A$5001,"&gt;="&amp;$C$7,BD!$A$3:$A$5001,"&lt;="&amp;$B249,BD!$N$3:$N$5001,"&lt;&gt;")=0,"",SUMIFS(BD!$N$3:$N$5001,BD!$B$3:$B$5001,P$219,BD!$A$3:$A$5001,_xlfn.MAXIFS(BD!$A$3:$A$5001,BD!$B$3:$B$5001,P$219,BD!$A$3:$A$5001,"&gt;="&amp;$C$7,BD!$A$3:$A$5001,"&lt;="&amp;$B249,BD!$N$3:$N$5001,"&lt;&gt;"))))</f>
        <v/>
      </c>
      <c r="Q249" s="43" t="str">
        <f>IF(OR($B249="",$A249&gt;$B$9,Q$219=""),"",IF(COUNTIFS(BD!$B$3:$B$5001,Q$219,BD!$A$3:$A$5001,"&gt;="&amp;$C$7,BD!$A$3:$A$5001,"&lt;="&amp;$B249,BD!$N$3:$N$5001,"&lt;&gt;")=0,"",SUMIFS(BD!$N$3:$N$5001,BD!$B$3:$B$5001,Q$219,BD!$A$3:$A$5001,_xlfn.MAXIFS(BD!$A$3:$A$5001,BD!$B$3:$B$5001,Q$219,BD!$A$3:$A$5001,"&gt;="&amp;$C$7,BD!$A$3:$A$5001,"&lt;="&amp;$B249,BD!$N$3:$N$5001,"&lt;&gt;"))))</f>
        <v/>
      </c>
      <c r="R249" s="43" t="str">
        <f>IF(OR($B249="",$A249&gt;$B$9,R$219=""),"",IF(COUNTIFS(BD!$B$3:$B$5001,R$219,BD!$A$3:$A$5001,"&gt;="&amp;$C$7,BD!$A$3:$A$5001,"&lt;="&amp;$B249,BD!$N$3:$N$5001,"&lt;&gt;")=0,"",SUMIFS(BD!$N$3:$N$5001,BD!$B$3:$B$5001,R$219,BD!$A$3:$A$5001,_xlfn.MAXIFS(BD!$A$3:$A$5001,BD!$B$3:$B$5001,R$219,BD!$A$3:$A$5001,"&gt;="&amp;$C$7,BD!$A$3:$A$5001,"&lt;="&amp;$B249,BD!$N$3:$N$5001,"&lt;&gt;"))))</f>
        <v/>
      </c>
      <c r="S249" s="43" t="str">
        <f>IF(OR($B249="",$A249&gt;$B$9,S$219=""),"",IF(COUNTIFS(BD!$B$3:$B$5001,S$219,BD!$A$3:$A$5001,"&gt;="&amp;$C$7,BD!$A$3:$A$5001,"&lt;="&amp;$B249,BD!$N$3:$N$5001,"&lt;&gt;")=0,"",SUMIFS(BD!$N$3:$N$5001,BD!$B$3:$B$5001,S$219,BD!$A$3:$A$5001,_xlfn.MAXIFS(BD!$A$3:$A$5001,BD!$B$3:$B$5001,S$219,BD!$A$3:$A$5001,"&gt;="&amp;$C$7,BD!$A$3:$A$5001,"&lt;="&amp;$B249,BD!$N$3:$N$5001,"&lt;&gt;"))))</f>
        <v/>
      </c>
      <c r="T249" s="43" t="str">
        <f>IF(OR($B249="",$A249&gt;$B$9,T$219=""),"",IF(COUNTIFS(BD!$B$3:$B$5001,T$219,BD!$A$3:$A$5001,"&gt;="&amp;$C$7,BD!$A$3:$A$5001,"&lt;="&amp;$B249,BD!$N$3:$N$5001,"&lt;&gt;")=0,"",SUMIFS(BD!$N$3:$N$5001,BD!$B$3:$B$5001,T$219,BD!$A$3:$A$5001,_xlfn.MAXIFS(BD!$A$3:$A$5001,BD!$B$3:$B$5001,T$219,BD!$A$3:$A$5001,"&gt;="&amp;$C$7,BD!$A$3:$A$5001,"&lt;="&amp;$B249,BD!$N$3:$N$5001,"&lt;&gt;"))))</f>
        <v/>
      </c>
      <c r="U249" s="43" t="str">
        <f>IF(OR($B249="",$A249&gt;$B$9,U$219=""),"",IF(COUNTIFS(BD!$B$3:$B$5001,U$219,BD!$A$3:$A$5001,"&gt;="&amp;$C$7,BD!$A$3:$A$5001,"&lt;="&amp;$B249,BD!$N$3:$N$5001,"&lt;&gt;")=0,"",SUMIFS(BD!$N$3:$N$5001,BD!$B$3:$B$5001,U$219,BD!$A$3:$A$5001,_xlfn.MAXIFS(BD!$A$3:$A$5001,BD!$B$3:$B$5001,U$219,BD!$A$3:$A$5001,"&gt;="&amp;$C$7,BD!$A$3:$A$5001,"&lt;="&amp;$B249,BD!$N$3:$N$5001,"&lt;&gt;"))))</f>
        <v/>
      </c>
      <c r="V249" s="43" t="str">
        <f>IF(OR($B249="",$A249&gt;$B$9,V$219=""),"",IF(COUNTIFS(BD!$B$3:$B$5001,V$219,BD!$A$3:$A$5001,"&gt;="&amp;$C$7,BD!$A$3:$A$5001,"&lt;="&amp;$B249,BD!$N$3:$N$5001,"&lt;&gt;")=0,"",SUMIFS(BD!$N$3:$N$5001,BD!$B$3:$B$5001,V$219,BD!$A$3:$A$5001,_xlfn.MAXIFS(BD!$A$3:$A$5001,BD!$B$3:$B$5001,V$219,BD!$A$3:$A$5001,"&gt;="&amp;$C$7,BD!$A$3:$A$5001,"&lt;="&amp;$B249,BD!$N$3:$N$5001,"&lt;&gt;"))))</f>
        <v/>
      </c>
    </row>
    <row r="250">
      <c r="A250" s="38">
        <v>31</v>
      </c>
      <c r="B250" s="42">
        <f>$B$42</f>
        <v>46326</v>
      </c>
      <c r="C250" s="43" t="str">
        <f>IF(OR($B250="",$A250&gt;$B$9,C$219=""),"",IF(COUNTIFS(BD!$B$3:$B$5001,C$219,BD!$A$3:$A$5001,"&gt;="&amp;$C$7,BD!$A$3:$A$5001,"&lt;="&amp;$B250,BD!$N$3:$N$5001,"&lt;&gt;")=0,"",SUMIFS(BD!$N$3:$N$5001,BD!$B$3:$B$5001,C$219,BD!$A$3:$A$5001,_xlfn.MAXIFS(BD!$A$3:$A$5001,BD!$B$3:$B$5001,C$219,BD!$A$3:$A$5001,"&gt;="&amp;$C$7,BD!$A$3:$A$5001,"&lt;="&amp;$B250,BD!$N$3:$N$5001,"&lt;&gt;"))))</f>
        <v/>
      </c>
      <c r="D250" s="43" t="str">
        <f>IF(OR($B250="",$A250&gt;$B$9,D$219=""),"",IF(COUNTIFS(BD!$B$3:$B$5001,D$219,BD!$A$3:$A$5001,"&gt;="&amp;$C$7,BD!$A$3:$A$5001,"&lt;="&amp;$B250,BD!$N$3:$N$5001,"&lt;&gt;")=0,"",SUMIFS(BD!$N$3:$N$5001,BD!$B$3:$B$5001,D$219,BD!$A$3:$A$5001,_xlfn.MAXIFS(BD!$A$3:$A$5001,BD!$B$3:$B$5001,D$219,BD!$A$3:$A$5001,"&gt;="&amp;$C$7,BD!$A$3:$A$5001,"&lt;="&amp;$B250,BD!$N$3:$N$5001,"&lt;&gt;"))))</f>
        <v/>
      </c>
      <c r="E250" s="43" t="str">
        <f>IF(OR($B250="",$A250&gt;$B$9,E$219=""),"",IF(COUNTIFS(BD!$B$3:$B$5001,E$219,BD!$A$3:$A$5001,"&gt;="&amp;$C$7,BD!$A$3:$A$5001,"&lt;="&amp;$B250,BD!$N$3:$N$5001,"&lt;&gt;")=0,"",SUMIFS(BD!$N$3:$N$5001,BD!$B$3:$B$5001,E$219,BD!$A$3:$A$5001,_xlfn.MAXIFS(BD!$A$3:$A$5001,BD!$B$3:$B$5001,E$219,BD!$A$3:$A$5001,"&gt;="&amp;$C$7,BD!$A$3:$A$5001,"&lt;="&amp;$B250,BD!$N$3:$N$5001,"&lt;&gt;"))))</f>
        <v/>
      </c>
      <c r="F250" s="43" t="str">
        <f>IF(OR($B250="",$A250&gt;$B$9,F$219=""),"",IF(COUNTIFS(BD!$B$3:$B$5001,F$219,BD!$A$3:$A$5001,"&gt;="&amp;$C$7,BD!$A$3:$A$5001,"&lt;="&amp;$B250,BD!$N$3:$N$5001,"&lt;&gt;")=0,"",SUMIFS(BD!$N$3:$N$5001,BD!$B$3:$B$5001,F$219,BD!$A$3:$A$5001,_xlfn.MAXIFS(BD!$A$3:$A$5001,BD!$B$3:$B$5001,F$219,BD!$A$3:$A$5001,"&gt;="&amp;$C$7,BD!$A$3:$A$5001,"&lt;="&amp;$B250,BD!$N$3:$N$5001,"&lt;&gt;"))))</f>
        <v/>
      </c>
      <c r="G250" s="43" t="str">
        <f>IF(OR($B250="",$A250&gt;$B$9,G$219=""),"",IF(COUNTIFS(BD!$B$3:$B$5001,G$219,BD!$A$3:$A$5001,"&gt;="&amp;$C$7,BD!$A$3:$A$5001,"&lt;="&amp;$B250,BD!$N$3:$N$5001,"&lt;&gt;")=0,"",SUMIFS(BD!$N$3:$N$5001,BD!$B$3:$B$5001,G$219,BD!$A$3:$A$5001,_xlfn.MAXIFS(BD!$A$3:$A$5001,BD!$B$3:$B$5001,G$219,BD!$A$3:$A$5001,"&gt;="&amp;$C$7,BD!$A$3:$A$5001,"&lt;="&amp;$B250,BD!$N$3:$N$5001,"&lt;&gt;"))))</f>
        <v/>
      </c>
      <c r="H250" s="43" t="str">
        <f>IF(OR($B250="",$A250&gt;$B$9,H$219=""),"",IF(COUNTIFS(BD!$B$3:$B$5001,H$219,BD!$A$3:$A$5001,"&gt;="&amp;$C$7,BD!$A$3:$A$5001,"&lt;="&amp;$B250,BD!$N$3:$N$5001,"&lt;&gt;")=0,"",SUMIFS(BD!$N$3:$N$5001,BD!$B$3:$B$5001,H$219,BD!$A$3:$A$5001,_xlfn.MAXIFS(BD!$A$3:$A$5001,BD!$B$3:$B$5001,H$219,BD!$A$3:$A$5001,"&gt;="&amp;$C$7,BD!$A$3:$A$5001,"&lt;="&amp;$B250,BD!$N$3:$N$5001,"&lt;&gt;"))))</f>
        <v/>
      </c>
      <c r="I250" s="43" t="str">
        <f>IF(OR($B250="",$A250&gt;$B$9,I$219=""),"",IF(COUNTIFS(BD!$B$3:$B$5001,I$219,BD!$A$3:$A$5001,"&gt;="&amp;$C$7,BD!$A$3:$A$5001,"&lt;="&amp;$B250,BD!$N$3:$N$5001,"&lt;&gt;")=0,"",SUMIFS(BD!$N$3:$N$5001,BD!$B$3:$B$5001,I$219,BD!$A$3:$A$5001,_xlfn.MAXIFS(BD!$A$3:$A$5001,BD!$B$3:$B$5001,I$219,BD!$A$3:$A$5001,"&gt;="&amp;$C$7,BD!$A$3:$A$5001,"&lt;="&amp;$B250,BD!$N$3:$N$5001,"&lt;&gt;"))))</f>
        <v/>
      </c>
      <c r="J250" s="43" t="str">
        <f>IF(OR($B250="",$A250&gt;$B$9,J$219=""),"",IF(COUNTIFS(BD!$B$3:$B$5001,J$219,BD!$A$3:$A$5001,"&gt;="&amp;$C$7,BD!$A$3:$A$5001,"&lt;="&amp;$B250,BD!$N$3:$N$5001,"&lt;&gt;")=0,"",SUMIFS(BD!$N$3:$N$5001,BD!$B$3:$B$5001,J$219,BD!$A$3:$A$5001,_xlfn.MAXIFS(BD!$A$3:$A$5001,BD!$B$3:$B$5001,J$219,BD!$A$3:$A$5001,"&gt;="&amp;$C$7,BD!$A$3:$A$5001,"&lt;="&amp;$B250,BD!$N$3:$N$5001,"&lt;&gt;"))))</f>
        <v/>
      </c>
      <c r="K250" s="43" t="str">
        <f>IF(OR($B250="",$A250&gt;$B$9,K$219=""),"",IF(COUNTIFS(BD!$B$3:$B$5001,K$219,BD!$A$3:$A$5001,"&gt;="&amp;$C$7,BD!$A$3:$A$5001,"&lt;="&amp;$B250,BD!$N$3:$N$5001,"&lt;&gt;")=0,"",SUMIFS(BD!$N$3:$N$5001,BD!$B$3:$B$5001,K$219,BD!$A$3:$A$5001,_xlfn.MAXIFS(BD!$A$3:$A$5001,BD!$B$3:$B$5001,K$219,BD!$A$3:$A$5001,"&gt;="&amp;$C$7,BD!$A$3:$A$5001,"&lt;="&amp;$B250,BD!$N$3:$N$5001,"&lt;&gt;"))))</f>
        <v/>
      </c>
      <c r="L250" s="43" t="str">
        <f>IF(OR($B250="",$A250&gt;$B$9,L$219=""),"",IF(COUNTIFS(BD!$B$3:$B$5001,L$219,BD!$A$3:$A$5001,"&gt;="&amp;$C$7,BD!$A$3:$A$5001,"&lt;="&amp;$B250,BD!$N$3:$N$5001,"&lt;&gt;")=0,"",SUMIFS(BD!$N$3:$N$5001,BD!$B$3:$B$5001,L$219,BD!$A$3:$A$5001,_xlfn.MAXIFS(BD!$A$3:$A$5001,BD!$B$3:$B$5001,L$219,BD!$A$3:$A$5001,"&gt;="&amp;$C$7,BD!$A$3:$A$5001,"&lt;="&amp;$B250,BD!$N$3:$N$5001,"&lt;&gt;"))))</f>
        <v/>
      </c>
      <c r="M250" s="43" t="str">
        <f>IF(OR($B250="",$A250&gt;$B$9,M$219=""),"",IF(COUNTIFS(BD!$B$3:$B$5001,M$219,BD!$A$3:$A$5001,"&gt;="&amp;$C$7,BD!$A$3:$A$5001,"&lt;="&amp;$B250,BD!$N$3:$N$5001,"&lt;&gt;")=0,"",SUMIFS(BD!$N$3:$N$5001,BD!$B$3:$B$5001,M$219,BD!$A$3:$A$5001,_xlfn.MAXIFS(BD!$A$3:$A$5001,BD!$B$3:$B$5001,M$219,BD!$A$3:$A$5001,"&gt;="&amp;$C$7,BD!$A$3:$A$5001,"&lt;="&amp;$B250,BD!$N$3:$N$5001,"&lt;&gt;"))))</f>
        <v/>
      </c>
      <c r="N250" s="43" t="str">
        <f>IF(OR($B250="",$A250&gt;$B$9,N$219=""),"",IF(COUNTIFS(BD!$B$3:$B$5001,N$219,BD!$A$3:$A$5001,"&gt;="&amp;$C$7,BD!$A$3:$A$5001,"&lt;="&amp;$B250,BD!$N$3:$N$5001,"&lt;&gt;")=0,"",SUMIFS(BD!$N$3:$N$5001,BD!$B$3:$B$5001,N$219,BD!$A$3:$A$5001,_xlfn.MAXIFS(BD!$A$3:$A$5001,BD!$B$3:$B$5001,N$219,BD!$A$3:$A$5001,"&gt;="&amp;$C$7,BD!$A$3:$A$5001,"&lt;="&amp;$B250,BD!$N$3:$N$5001,"&lt;&gt;"))))</f>
        <v/>
      </c>
      <c r="O250" s="43" t="str">
        <f>IF(OR($B250="",$A250&gt;$B$9,O$219=""),"",IF(COUNTIFS(BD!$B$3:$B$5001,O$219,BD!$A$3:$A$5001,"&gt;="&amp;$C$7,BD!$A$3:$A$5001,"&lt;="&amp;$B250,BD!$N$3:$N$5001,"&lt;&gt;")=0,"",SUMIFS(BD!$N$3:$N$5001,BD!$B$3:$B$5001,O$219,BD!$A$3:$A$5001,_xlfn.MAXIFS(BD!$A$3:$A$5001,BD!$B$3:$B$5001,O$219,BD!$A$3:$A$5001,"&gt;="&amp;$C$7,BD!$A$3:$A$5001,"&lt;="&amp;$B250,BD!$N$3:$N$5001,"&lt;&gt;"))))</f>
        <v/>
      </c>
      <c r="P250" s="43" t="str">
        <f>IF(OR($B250="",$A250&gt;$B$9,P$219=""),"",IF(COUNTIFS(BD!$B$3:$B$5001,P$219,BD!$A$3:$A$5001,"&gt;="&amp;$C$7,BD!$A$3:$A$5001,"&lt;="&amp;$B250,BD!$N$3:$N$5001,"&lt;&gt;")=0,"",SUMIFS(BD!$N$3:$N$5001,BD!$B$3:$B$5001,P$219,BD!$A$3:$A$5001,_xlfn.MAXIFS(BD!$A$3:$A$5001,BD!$B$3:$B$5001,P$219,BD!$A$3:$A$5001,"&gt;="&amp;$C$7,BD!$A$3:$A$5001,"&lt;="&amp;$B250,BD!$N$3:$N$5001,"&lt;&gt;"))))</f>
        <v/>
      </c>
      <c r="Q250" s="43" t="str">
        <f>IF(OR($B250="",$A250&gt;$B$9,Q$219=""),"",IF(COUNTIFS(BD!$B$3:$B$5001,Q$219,BD!$A$3:$A$5001,"&gt;="&amp;$C$7,BD!$A$3:$A$5001,"&lt;="&amp;$B250,BD!$N$3:$N$5001,"&lt;&gt;")=0,"",SUMIFS(BD!$N$3:$N$5001,BD!$B$3:$B$5001,Q$219,BD!$A$3:$A$5001,_xlfn.MAXIFS(BD!$A$3:$A$5001,BD!$B$3:$B$5001,Q$219,BD!$A$3:$A$5001,"&gt;="&amp;$C$7,BD!$A$3:$A$5001,"&lt;="&amp;$B250,BD!$N$3:$N$5001,"&lt;&gt;"))))</f>
        <v/>
      </c>
      <c r="R250" s="43" t="str">
        <f>IF(OR($B250="",$A250&gt;$B$9,R$219=""),"",IF(COUNTIFS(BD!$B$3:$B$5001,R$219,BD!$A$3:$A$5001,"&gt;="&amp;$C$7,BD!$A$3:$A$5001,"&lt;="&amp;$B250,BD!$N$3:$N$5001,"&lt;&gt;")=0,"",SUMIFS(BD!$N$3:$N$5001,BD!$B$3:$B$5001,R$219,BD!$A$3:$A$5001,_xlfn.MAXIFS(BD!$A$3:$A$5001,BD!$B$3:$B$5001,R$219,BD!$A$3:$A$5001,"&gt;="&amp;$C$7,BD!$A$3:$A$5001,"&lt;="&amp;$B250,BD!$N$3:$N$5001,"&lt;&gt;"))))</f>
        <v/>
      </c>
      <c r="S250" s="43" t="str">
        <f>IF(OR($B250="",$A250&gt;$B$9,S$219=""),"",IF(COUNTIFS(BD!$B$3:$B$5001,S$219,BD!$A$3:$A$5001,"&gt;="&amp;$C$7,BD!$A$3:$A$5001,"&lt;="&amp;$B250,BD!$N$3:$N$5001,"&lt;&gt;")=0,"",SUMIFS(BD!$N$3:$N$5001,BD!$B$3:$B$5001,S$219,BD!$A$3:$A$5001,_xlfn.MAXIFS(BD!$A$3:$A$5001,BD!$B$3:$B$5001,S$219,BD!$A$3:$A$5001,"&gt;="&amp;$C$7,BD!$A$3:$A$5001,"&lt;="&amp;$B250,BD!$N$3:$N$5001,"&lt;&gt;"))))</f>
        <v/>
      </c>
      <c r="T250" s="43" t="str">
        <f>IF(OR($B250="",$A250&gt;$B$9,T$219=""),"",IF(COUNTIFS(BD!$B$3:$B$5001,T$219,BD!$A$3:$A$5001,"&gt;="&amp;$C$7,BD!$A$3:$A$5001,"&lt;="&amp;$B250,BD!$N$3:$N$5001,"&lt;&gt;")=0,"",SUMIFS(BD!$N$3:$N$5001,BD!$B$3:$B$5001,T$219,BD!$A$3:$A$5001,_xlfn.MAXIFS(BD!$A$3:$A$5001,BD!$B$3:$B$5001,T$219,BD!$A$3:$A$5001,"&gt;="&amp;$C$7,BD!$A$3:$A$5001,"&lt;="&amp;$B250,BD!$N$3:$N$5001,"&lt;&gt;"))))</f>
        <v/>
      </c>
      <c r="U250" s="43" t="str">
        <f>IF(OR($B250="",$A250&gt;$B$9,U$219=""),"",IF(COUNTIFS(BD!$B$3:$B$5001,U$219,BD!$A$3:$A$5001,"&gt;="&amp;$C$7,BD!$A$3:$A$5001,"&lt;="&amp;$B250,BD!$N$3:$N$5001,"&lt;&gt;")=0,"",SUMIFS(BD!$N$3:$N$5001,BD!$B$3:$B$5001,U$219,BD!$A$3:$A$5001,_xlfn.MAXIFS(BD!$A$3:$A$5001,BD!$B$3:$B$5001,U$219,BD!$A$3:$A$5001,"&gt;="&amp;$C$7,BD!$A$3:$A$5001,"&lt;="&amp;$B250,BD!$N$3:$N$5001,"&lt;&gt;"))))</f>
        <v/>
      </c>
      <c r="V250" s="43" t="str">
        <f>IF(OR($B250="",$A250&gt;$B$9,V$219=""),"",IF(COUNTIFS(BD!$B$3:$B$5001,V$219,BD!$A$3:$A$5001,"&gt;="&amp;$C$7,BD!$A$3:$A$5001,"&lt;="&amp;$B250,BD!$N$3:$N$5001,"&lt;&gt;")=0,"",SUMIFS(BD!$N$3:$N$5001,BD!$B$3:$B$5001,V$219,BD!$A$3:$A$5001,_xlfn.MAXIFS(BD!$A$3:$A$5001,BD!$B$3:$B$5001,V$219,BD!$A$3:$A$5001,"&gt;="&amp;$C$7,BD!$A$3:$A$5001,"&lt;="&amp;$B250,BD!$N$3:$N$5001,"&lt;&gt;"))))</f>
        <v/>
      </c>
    </row>
    <row r="251">
      <c r="A251" s="44" t="inlineStr">
        <is>
          <t xml:space="preserve">Mês anterior (último)</t>
        </is>
      </c>
      <c r="C251" s="45" t="str">
        <f>IF(C$219="","",IF(COUNTIFS(BD!$B$3:$B$5001,C$219,BD!$A$3:$A$5001,"&gt;="&amp;$C$8,BD!$A$3:$A$5001,"&lt;="&amp;$D$8,BD!$N$3:$N$5001,"&lt;&gt;")=0,"",SUMIFS(BD!$N$3:$N$5001,BD!$B$3:$B$5001,C$219,BD!$A$3:$A$5001,_xlfn.MAXIFS(BD!$A$3:$A$5001,BD!$B$3:$B$5001,C$219,BD!$A$3:$A$5001,"&gt;="&amp;$C$8,BD!$A$3:$A$5001,"&lt;="&amp;$D$8,BD!$N$3:$N$5001,"&lt;&gt;"))))</f>
        <v/>
      </c>
      <c r="D251" s="45" t="str">
        <f>IF(D$219="","",IF(COUNTIFS(BD!$B$3:$B$5001,D$219,BD!$A$3:$A$5001,"&gt;="&amp;$C$8,BD!$A$3:$A$5001,"&lt;="&amp;$D$8,BD!$N$3:$N$5001,"&lt;&gt;")=0,"",SUMIFS(BD!$N$3:$N$5001,BD!$B$3:$B$5001,D$219,BD!$A$3:$A$5001,_xlfn.MAXIFS(BD!$A$3:$A$5001,BD!$B$3:$B$5001,D$219,BD!$A$3:$A$5001,"&gt;="&amp;$C$8,BD!$A$3:$A$5001,"&lt;="&amp;$D$8,BD!$N$3:$N$5001,"&lt;&gt;"))))</f>
        <v/>
      </c>
      <c r="E251" s="45" t="str">
        <f>IF(E$219="","",IF(COUNTIFS(BD!$B$3:$B$5001,E$219,BD!$A$3:$A$5001,"&gt;="&amp;$C$8,BD!$A$3:$A$5001,"&lt;="&amp;$D$8,BD!$N$3:$N$5001,"&lt;&gt;")=0,"",SUMIFS(BD!$N$3:$N$5001,BD!$B$3:$B$5001,E$219,BD!$A$3:$A$5001,_xlfn.MAXIFS(BD!$A$3:$A$5001,BD!$B$3:$B$5001,E$219,BD!$A$3:$A$5001,"&gt;="&amp;$C$8,BD!$A$3:$A$5001,"&lt;="&amp;$D$8,BD!$N$3:$N$5001,"&lt;&gt;"))))</f>
        <v/>
      </c>
      <c r="F251" s="45" t="str">
        <f>IF(F$219="","",IF(COUNTIFS(BD!$B$3:$B$5001,F$219,BD!$A$3:$A$5001,"&gt;="&amp;$C$8,BD!$A$3:$A$5001,"&lt;="&amp;$D$8,BD!$N$3:$N$5001,"&lt;&gt;")=0,"",SUMIFS(BD!$N$3:$N$5001,BD!$B$3:$B$5001,F$219,BD!$A$3:$A$5001,_xlfn.MAXIFS(BD!$A$3:$A$5001,BD!$B$3:$B$5001,F$219,BD!$A$3:$A$5001,"&gt;="&amp;$C$8,BD!$A$3:$A$5001,"&lt;="&amp;$D$8,BD!$N$3:$N$5001,"&lt;&gt;"))))</f>
        <v/>
      </c>
      <c r="G251" s="45" t="str">
        <f>IF(G$219="","",IF(COUNTIFS(BD!$B$3:$B$5001,G$219,BD!$A$3:$A$5001,"&gt;="&amp;$C$8,BD!$A$3:$A$5001,"&lt;="&amp;$D$8,BD!$N$3:$N$5001,"&lt;&gt;")=0,"",SUMIFS(BD!$N$3:$N$5001,BD!$B$3:$B$5001,G$219,BD!$A$3:$A$5001,_xlfn.MAXIFS(BD!$A$3:$A$5001,BD!$B$3:$B$5001,G$219,BD!$A$3:$A$5001,"&gt;="&amp;$C$8,BD!$A$3:$A$5001,"&lt;="&amp;$D$8,BD!$N$3:$N$5001,"&lt;&gt;"))))</f>
        <v/>
      </c>
      <c r="H251" s="45" t="str">
        <f>IF(H$219="","",IF(COUNTIFS(BD!$B$3:$B$5001,H$219,BD!$A$3:$A$5001,"&gt;="&amp;$C$8,BD!$A$3:$A$5001,"&lt;="&amp;$D$8,BD!$N$3:$N$5001,"&lt;&gt;")=0,"",SUMIFS(BD!$N$3:$N$5001,BD!$B$3:$B$5001,H$219,BD!$A$3:$A$5001,_xlfn.MAXIFS(BD!$A$3:$A$5001,BD!$B$3:$B$5001,H$219,BD!$A$3:$A$5001,"&gt;="&amp;$C$8,BD!$A$3:$A$5001,"&lt;="&amp;$D$8,BD!$N$3:$N$5001,"&lt;&gt;"))))</f>
        <v/>
      </c>
      <c r="I251" s="45" t="str">
        <f>IF(I$219="","",IF(COUNTIFS(BD!$B$3:$B$5001,I$219,BD!$A$3:$A$5001,"&gt;="&amp;$C$8,BD!$A$3:$A$5001,"&lt;="&amp;$D$8,BD!$N$3:$N$5001,"&lt;&gt;")=0,"",SUMIFS(BD!$N$3:$N$5001,BD!$B$3:$B$5001,I$219,BD!$A$3:$A$5001,_xlfn.MAXIFS(BD!$A$3:$A$5001,BD!$B$3:$B$5001,I$219,BD!$A$3:$A$5001,"&gt;="&amp;$C$8,BD!$A$3:$A$5001,"&lt;="&amp;$D$8,BD!$N$3:$N$5001,"&lt;&gt;"))))</f>
        <v/>
      </c>
      <c r="J251" s="45" t="str">
        <f>IF(J$219="","",IF(COUNTIFS(BD!$B$3:$B$5001,J$219,BD!$A$3:$A$5001,"&gt;="&amp;$C$8,BD!$A$3:$A$5001,"&lt;="&amp;$D$8,BD!$N$3:$N$5001,"&lt;&gt;")=0,"",SUMIFS(BD!$N$3:$N$5001,BD!$B$3:$B$5001,J$219,BD!$A$3:$A$5001,_xlfn.MAXIFS(BD!$A$3:$A$5001,BD!$B$3:$B$5001,J$219,BD!$A$3:$A$5001,"&gt;="&amp;$C$8,BD!$A$3:$A$5001,"&lt;="&amp;$D$8,BD!$N$3:$N$5001,"&lt;&gt;"))))</f>
        <v/>
      </c>
      <c r="K251" s="45" t="str">
        <f>IF(K$219="","",IF(COUNTIFS(BD!$B$3:$B$5001,K$219,BD!$A$3:$A$5001,"&gt;="&amp;$C$8,BD!$A$3:$A$5001,"&lt;="&amp;$D$8,BD!$N$3:$N$5001,"&lt;&gt;")=0,"",SUMIFS(BD!$N$3:$N$5001,BD!$B$3:$B$5001,K$219,BD!$A$3:$A$5001,_xlfn.MAXIFS(BD!$A$3:$A$5001,BD!$B$3:$B$5001,K$219,BD!$A$3:$A$5001,"&gt;="&amp;$C$8,BD!$A$3:$A$5001,"&lt;="&amp;$D$8,BD!$N$3:$N$5001,"&lt;&gt;"))))</f>
        <v/>
      </c>
      <c r="L251" s="45" t="str">
        <f>IF(L$219="","",IF(COUNTIFS(BD!$B$3:$B$5001,L$219,BD!$A$3:$A$5001,"&gt;="&amp;$C$8,BD!$A$3:$A$5001,"&lt;="&amp;$D$8,BD!$N$3:$N$5001,"&lt;&gt;")=0,"",SUMIFS(BD!$N$3:$N$5001,BD!$B$3:$B$5001,L$219,BD!$A$3:$A$5001,_xlfn.MAXIFS(BD!$A$3:$A$5001,BD!$B$3:$B$5001,L$219,BD!$A$3:$A$5001,"&gt;="&amp;$C$8,BD!$A$3:$A$5001,"&lt;="&amp;$D$8,BD!$N$3:$N$5001,"&lt;&gt;"))))</f>
        <v/>
      </c>
      <c r="M251" s="45" t="str">
        <f>IF(M$219="","",IF(COUNTIFS(BD!$B$3:$B$5001,M$219,BD!$A$3:$A$5001,"&gt;="&amp;$C$8,BD!$A$3:$A$5001,"&lt;="&amp;$D$8,BD!$N$3:$N$5001,"&lt;&gt;")=0,"",SUMIFS(BD!$N$3:$N$5001,BD!$B$3:$B$5001,M$219,BD!$A$3:$A$5001,_xlfn.MAXIFS(BD!$A$3:$A$5001,BD!$B$3:$B$5001,M$219,BD!$A$3:$A$5001,"&gt;="&amp;$C$8,BD!$A$3:$A$5001,"&lt;="&amp;$D$8,BD!$N$3:$N$5001,"&lt;&gt;"))))</f>
        <v/>
      </c>
      <c r="N251" s="45" t="str">
        <f>IF(N$219="","",IF(COUNTIFS(BD!$B$3:$B$5001,N$219,BD!$A$3:$A$5001,"&gt;="&amp;$C$8,BD!$A$3:$A$5001,"&lt;="&amp;$D$8,BD!$N$3:$N$5001,"&lt;&gt;")=0,"",SUMIFS(BD!$N$3:$N$5001,BD!$B$3:$B$5001,N$219,BD!$A$3:$A$5001,_xlfn.MAXIFS(BD!$A$3:$A$5001,BD!$B$3:$B$5001,N$219,BD!$A$3:$A$5001,"&gt;="&amp;$C$8,BD!$A$3:$A$5001,"&lt;="&amp;$D$8,BD!$N$3:$N$5001,"&lt;&gt;"))))</f>
        <v/>
      </c>
      <c r="O251" s="45" t="str">
        <f>IF(O$219="","",IF(COUNTIFS(BD!$B$3:$B$5001,O$219,BD!$A$3:$A$5001,"&gt;="&amp;$C$8,BD!$A$3:$A$5001,"&lt;="&amp;$D$8,BD!$N$3:$N$5001,"&lt;&gt;")=0,"",SUMIFS(BD!$N$3:$N$5001,BD!$B$3:$B$5001,O$219,BD!$A$3:$A$5001,_xlfn.MAXIFS(BD!$A$3:$A$5001,BD!$B$3:$B$5001,O$219,BD!$A$3:$A$5001,"&gt;="&amp;$C$8,BD!$A$3:$A$5001,"&lt;="&amp;$D$8,BD!$N$3:$N$5001,"&lt;&gt;"))))</f>
        <v/>
      </c>
      <c r="P251" s="45" t="str">
        <f>IF(P$219="","",IF(COUNTIFS(BD!$B$3:$B$5001,P$219,BD!$A$3:$A$5001,"&gt;="&amp;$C$8,BD!$A$3:$A$5001,"&lt;="&amp;$D$8,BD!$N$3:$N$5001,"&lt;&gt;")=0,"",SUMIFS(BD!$N$3:$N$5001,BD!$B$3:$B$5001,P$219,BD!$A$3:$A$5001,_xlfn.MAXIFS(BD!$A$3:$A$5001,BD!$B$3:$B$5001,P$219,BD!$A$3:$A$5001,"&gt;="&amp;$C$8,BD!$A$3:$A$5001,"&lt;="&amp;$D$8,BD!$N$3:$N$5001,"&lt;&gt;"))))</f>
        <v/>
      </c>
      <c r="Q251" s="45" t="str">
        <f>IF(Q$219="","",IF(COUNTIFS(BD!$B$3:$B$5001,Q$219,BD!$A$3:$A$5001,"&gt;="&amp;$C$8,BD!$A$3:$A$5001,"&lt;="&amp;$D$8,BD!$N$3:$N$5001,"&lt;&gt;")=0,"",SUMIFS(BD!$N$3:$N$5001,BD!$B$3:$B$5001,Q$219,BD!$A$3:$A$5001,_xlfn.MAXIFS(BD!$A$3:$A$5001,BD!$B$3:$B$5001,Q$219,BD!$A$3:$A$5001,"&gt;="&amp;$C$8,BD!$A$3:$A$5001,"&lt;="&amp;$D$8,BD!$N$3:$N$5001,"&lt;&gt;"))))</f>
        <v/>
      </c>
      <c r="R251" s="45" t="str">
        <f>IF(R$219="","",IF(COUNTIFS(BD!$B$3:$B$5001,R$219,BD!$A$3:$A$5001,"&gt;="&amp;$C$8,BD!$A$3:$A$5001,"&lt;="&amp;$D$8,BD!$N$3:$N$5001,"&lt;&gt;")=0,"",SUMIFS(BD!$N$3:$N$5001,BD!$B$3:$B$5001,R$219,BD!$A$3:$A$5001,_xlfn.MAXIFS(BD!$A$3:$A$5001,BD!$B$3:$B$5001,R$219,BD!$A$3:$A$5001,"&gt;="&amp;$C$8,BD!$A$3:$A$5001,"&lt;="&amp;$D$8,BD!$N$3:$N$5001,"&lt;&gt;"))))</f>
        <v/>
      </c>
      <c r="S251" s="45" t="str">
        <f>IF(S$219="","",IF(COUNTIFS(BD!$B$3:$B$5001,S$219,BD!$A$3:$A$5001,"&gt;="&amp;$C$8,BD!$A$3:$A$5001,"&lt;="&amp;$D$8,BD!$N$3:$N$5001,"&lt;&gt;")=0,"",SUMIFS(BD!$N$3:$N$5001,BD!$B$3:$B$5001,S$219,BD!$A$3:$A$5001,_xlfn.MAXIFS(BD!$A$3:$A$5001,BD!$B$3:$B$5001,S$219,BD!$A$3:$A$5001,"&gt;="&amp;$C$8,BD!$A$3:$A$5001,"&lt;="&amp;$D$8,BD!$N$3:$N$5001,"&lt;&gt;"))))</f>
        <v/>
      </c>
      <c r="T251" s="45" t="str">
        <f>IF(T$219="","",IF(COUNTIFS(BD!$B$3:$B$5001,T$219,BD!$A$3:$A$5001,"&gt;="&amp;$C$8,BD!$A$3:$A$5001,"&lt;="&amp;$D$8,BD!$N$3:$N$5001,"&lt;&gt;")=0,"",SUMIFS(BD!$N$3:$N$5001,BD!$B$3:$B$5001,T$219,BD!$A$3:$A$5001,_xlfn.MAXIFS(BD!$A$3:$A$5001,BD!$B$3:$B$5001,T$219,BD!$A$3:$A$5001,"&gt;="&amp;$C$8,BD!$A$3:$A$5001,"&lt;="&amp;$D$8,BD!$N$3:$N$5001,"&lt;&gt;"))))</f>
        <v/>
      </c>
      <c r="U251" s="45" t="str">
        <f>IF(U$219="","",IF(COUNTIFS(BD!$B$3:$B$5001,U$219,BD!$A$3:$A$5001,"&gt;="&amp;$C$8,BD!$A$3:$A$5001,"&lt;="&amp;$D$8,BD!$N$3:$N$5001,"&lt;&gt;")=0,"",SUMIFS(BD!$N$3:$N$5001,BD!$B$3:$B$5001,U$219,BD!$A$3:$A$5001,_xlfn.MAXIFS(BD!$A$3:$A$5001,BD!$B$3:$B$5001,U$219,BD!$A$3:$A$5001,"&gt;="&amp;$C$8,BD!$A$3:$A$5001,"&lt;="&amp;$D$8,BD!$N$3:$N$5001,"&lt;&gt;"))))</f>
        <v/>
      </c>
      <c r="V251" s="45" t="str">
        <f>IF(V$219="","",IF(COUNTIFS(BD!$B$3:$B$5001,V$219,BD!$A$3:$A$5001,"&gt;="&amp;$C$8,BD!$A$3:$A$5001,"&lt;="&amp;$D$8,BD!$N$3:$N$5001,"&lt;&gt;")=0,"",SUMIFS(BD!$N$3:$N$5001,BD!$B$3:$B$5001,V$219,BD!$A$3:$A$5001,_xlfn.MAXIFS(BD!$A$3:$A$5001,BD!$B$3:$B$5001,V$219,BD!$A$3:$A$5001,"&gt;="&amp;$C$8,BD!$A$3:$A$5001,"&lt;="&amp;$D$8,BD!$N$3:$N$5001,"&lt;&gt;"))))</f>
        <v/>
      </c>
    </row>
    <row r="252">
      <c r="A252" s="44" t="inlineStr">
        <is>
          <t xml:space="preserve">Depósito</t>
        </is>
      </c>
      <c r="C252" s="38" t="str">
        <f>IF(Config!$C$10="","JSL",Config!$C$10)</f>
        <v>JSL</v>
      </c>
      <c r="D252" s="38" t="str">
        <f>IF(Config!$C$11="","JSL",Config!$C$11)</f>
        <v>JSL</v>
      </c>
      <c r="E252" s="38" t="str">
        <f>IF(Config!$C$12="","JSL",Config!$C$12)</f>
        <v>JSL</v>
      </c>
      <c r="F252" s="38" t="str">
        <f>IF(Config!$C$13="","JSL",Config!$C$13)</f>
        <v>JSL</v>
      </c>
      <c r="G252" s="38" t="str">
        <f>IF(Config!$C$14="","JSL",Config!$C$14)</f>
        <v>JSL</v>
      </c>
      <c r="H252" s="38" t="str">
        <f>IF(Config!$C$15="","JSL",Config!$C$15)</f>
        <v>JSL</v>
      </c>
      <c r="I252" s="38" t="str">
        <f>IF(Config!$C$16="","JSL",Config!$C$16)</f>
        <v>JSL</v>
      </c>
      <c r="J252" s="38" t="str">
        <f>IF(Config!$C$17="","JSL",Config!$C$17)</f>
        <v>JSL</v>
      </c>
      <c r="K252" s="38" t="str">
        <f>IF(Config!$C$18="","JSL",Config!$C$18)</f>
        <v>JSL</v>
      </c>
      <c r="L252" s="38" t="str">
        <f>IF(Config!$C$19="","JSL",Config!$C$19)</f>
        <v>JSL</v>
      </c>
      <c r="M252" s="38" t="str">
        <f>IF(Config!$C$20="","JSL",Config!$C$20)</f>
        <v>JSL</v>
      </c>
      <c r="N252" s="38" t="str">
        <f>IF(Config!$C$21="","JSL",Config!$C$21)</f>
        <v>JSL</v>
      </c>
      <c r="O252" s="38" t="str">
        <f>IF(Config!$C$22="","JSL",Config!$C$22)</f>
        <v>JSL</v>
      </c>
      <c r="P252" s="38" t="str">
        <f>IF(Config!$C$23="","JSL",Config!$C$23)</f>
        <v>JSL</v>
      </c>
      <c r="Q252" s="38" t="str">
        <f>IF(Config!$C$24="","JSL",Config!$C$24)</f>
        <v>JSL</v>
      </c>
      <c r="R252" s="38" t="str">
        <f>IF(Config!$C$25="","JSL",Config!$C$25)</f>
        <v>JSL</v>
      </c>
      <c r="S252" s="38" t="str">
        <f>IF(Config!$C$26="","JSL",Config!$C$26)</f>
        <v>JSL</v>
      </c>
      <c r="T252" s="38" t="str">
        <f>IF(Config!$C$27="","JSL",Config!$C$27)</f>
        <v>JSL</v>
      </c>
      <c r="U252" s="38" t="str">
        <f>IF(Config!$C$28="","JSL",Config!$C$28)</f>
        <v>JSL</v>
      </c>
      <c r="V252" s="38" t="str">
        <f>IF(Config!$C$29="","JSL",Config!$C$29)</f>
        <v>JSL</v>
      </c>
    </row>
    <row r="256">
      <c r="A256" s="19" t="inlineStr">
        <is>
          <t xml:space="preserve">PERÍODO DO DASHBOARD — último valor de cada cliente no período (backlog, posições, efetivo)</t>
        </is>
      </c>
    </row>
    <row r="257" ht="30" customHeight="1">
      <c r="A257" s="37" t="inlineStr">
        <is>
          <t xml:space="preserve">Cliente</t>
        </is>
      </c>
      <c r="B257" s="37" t="inlineStr">
        <is>
          <t xml:space="preserve">Depósito</t>
        </is>
      </c>
      <c r="C257" s="37" t="inlineStr">
        <is>
          <t xml:space="preserve">Backlog · período</t>
        </is>
      </c>
      <c r="D257" s="37" t="inlineStr">
        <is>
          <t xml:space="preserve">Backlog · anterior</t>
        </is>
      </c>
      <c r="E257" s="37" t="inlineStr">
        <is>
          <t xml:space="preserve">Posições Ocupadas · período</t>
        </is>
      </c>
      <c r="F257" s="37" t="inlineStr">
        <is>
          <t xml:space="preserve">Posições Ocupadas · anterior</t>
        </is>
      </c>
      <c r="G257" s="37" t="inlineStr">
        <is>
          <t xml:space="preserve">Posições Disponíveis · período</t>
        </is>
      </c>
      <c r="H257" s="37" t="inlineStr">
        <is>
          <t xml:space="preserve">Posições Disponíveis · anterior</t>
        </is>
      </c>
      <c r="I257" s="37" t="inlineStr">
        <is>
          <t xml:space="preserve">Efetivo Op. · período</t>
        </is>
      </c>
      <c r="J257" s="37" t="inlineStr">
        <is>
          <t xml:space="preserve">Efetivo Op. · anterior</t>
        </is>
      </c>
    </row>
    <row r="258">
      <c r="A258" s="65" t="str">
        <f>Config!$B$10&amp;""</f>
        <v>Barry Callebaut</v>
      </c>
      <c r="B258" s="38" t="str">
        <f>IF(Config!$C$10="","JSL",Config!$C$10)</f>
        <v>JSL</v>
      </c>
      <c r="C258" s="43" t="str">
        <f>IF($A258="","",IF(COUNTIFS(BD!$B$3:$B$5001,$A258,BD!$A$3:$A$5001,"&gt;="&amp;$F$7,BD!$A$3:$A$5001,"&lt;="&amp;$G$7,BD!$K$3:$K$5001,"&lt;&gt;")=0,"",SUMIFS(BD!$K$3:$K$5001,BD!$B$3:$B$5001,$A258,BD!$A$3:$A$5001,_xlfn.MAXIFS(BD!$A$3:$A$5001,BD!$B$3:$B$5001,$A258,BD!$A$3:$A$5001,"&gt;="&amp;$F$7,BD!$A$3:$A$5001,"&lt;="&amp;$G$7,BD!$K$3:$K$5001,"&lt;&gt;"))))</f>
        <v/>
      </c>
      <c r="D258" s="43" t="str">
        <f>IF($A258="","",IF(COUNTIFS(BD!$B$3:$B$5001,$A258,BD!$A$3:$A$5001,"&gt;="&amp;$F$8,BD!$A$3:$A$5001,"&lt;="&amp;$G$8,BD!$K$3:$K$5001,"&lt;&gt;")=0,"",SUMIFS(BD!$K$3:$K$5001,BD!$B$3:$B$5001,$A258,BD!$A$3:$A$5001,_xlfn.MAXIFS(BD!$A$3:$A$5001,BD!$B$3:$B$5001,$A258,BD!$A$3:$A$5001,"&gt;="&amp;$F$8,BD!$A$3:$A$5001,"&lt;="&amp;$G$8,BD!$K$3:$K$5001,"&lt;&gt;"))))</f>
        <v/>
      </c>
      <c r="E258" s="43" t="str">
        <f>IF($A258="","",IF(COUNTIFS(BD!$B$3:$B$5001,$A258,BD!$A$3:$A$5001,"&gt;="&amp;$F$7,BD!$A$3:$A$5001,"&lt;="&amp;$G$7,BD!$M$3:$M$5001,"&lt;&gt;")=0,"",SUMIFS(BD!$M$3:$M$5001,BD!$B$3:$B$5001,$A258,BD!$A$3:$A$5001,_xlfn.MAXIFS(BD!$A$3:$A$5001,BD!$B$3:$B$5001,$A258,BD!$A$3:$A$5001,"&gt;="&amp;$F$7,BD!$A$3:$A$5001,"&lt;="&amp;$G$7,BD!$M$3:$M$5001,"&lt;&gt;"))))</f>
        <v/>
      </c>
      <c r="F258" s="43" t="str">
        <f>IF($A258="","",IF(COUNTIFS(BD!$B$3:$B$5001,$A258,BD!$A$3:$A$5001,"&gt;="&amp;$F$8,BD!$A$3:$A$5001,"&lt;="&amp;$G$8,BD!$M$3:$M$5001,"&lt;&gt;")=0,"",SUMIFS(BD!$M$3:$M$5001,BD!$B$3:$B$5001,$A258,BD!$A$3:$A$5001,_xlfn.MAXIFS(BD!$A$3:$A$5001,BD!$B$3:$B$5001,$A258,BD!$A$3:$A$5001,"&gt;="&amp;$F$8,BD!$A$3:$A$5001,"&lt;="&amp;$G$8,BD!$M$3:$M$5001,"&lt;&gt;"))))</f>
        <v/>
      </c>
      <c r="G258" s="43" t="str">
        <f>IF($A258="","",IF(COUNTIFS(BD!$B$3:$B$5001,$A258,BD!$A$3:$A$5001,"&gt;="&amp;$F$7,BD!$A$3:$A$5001,"&lt;="&amp;$G$7,BD!$L$3:$L$5001,"&lt;&gt;")=0,"",SUMIFS(BD!$L$3:$L$5001,BD!$B$3:$B$5001,$A258,BD!$A$3:$A$5001,_xlfn.MAXIFS(BD!$A$3:$A$5001,BD!$B$3:$B$5001,$A258,BD!$A$3:$A$5001,"&gt;="&amp;$F$7,BD!$A$3:$A$5001,"&lt;="&amp;$G$7,BD!$L$3:$L$5001,"&lt;&gt;"))))</f>
        <v/>
      </c>
      <c r="H258" s="43" t="str">
        <f>IF($A258="","",IF(COUNTIFS(BD!$B$3:$B$5001,$A258,BD!$A$3:$A$5001,"&gt;="&amp;$F$8,BD!$A$3:$A$5001,"&lt;="&amp;$G$8,BD!$L$3:$L$5001,"&lt;&gt;")=0,"",SUMIFS(BD!$L$3:$L$5001,BD!$B$3:$B$5001,$A258,BD!$A$3:$A$5001,_xlfn.MAXIFS(BD!$A$3:$A$5001,BD!$B$3:$B$5001,$A258,BD!$A$3:$A$5001,"&gt;="&amp;$F$8,BD!$A$3:$A$5001,"&lt;="&amp;$G$8,BD!$L$3:$L$5001,"&lt;&gt;"))))</f>
        <v/>
      </c>
      <c r="I258" s="43" t="str">
        <f>IF($A258="","",IF(COUNTIFS(BD!$B$3:$B$5001,$A258,BD!$A$3:$A$5001,"&gt;="&amp;$F$7,BD!$A$3:$A$5001,"&lt;="&amp;$G$7,BD!$N$3:$N$5001,"&lt;&gt;")=0,"",SUMIFS(BD!$N$3:$N$5001,BD!$B$3:$B$5001,$A258,BD!$A$3:$A$5001,_xlfn.MAXIFS(BD!$A$3:$A$5001,BD!$B$3:$B$5001,$A258,BD!$A$3:$A$5001,"&gt;="&amp;$F$7,BD!$A$3:$A$5001,"&lt;="&amp;$G$7,BD!$N$3:$N$5001,"&lt;&gt;"))))</f>
        <v/>
      </c>
      <c r="J258" s="43" t="str">
        <f>IF($A258="","",IF(COUNTIFS(BD!$B$3:$B$5001,$A258,BD!$A$3:$A$5001,"&gt;="&amp;$F$8,BD!$A$3:$A$5001,"&lt;="&amp;$G$8,BD!$N$3:$N$5001,"&lt;&gt;")=0,"",SUMIFS(BD!$N$3:$N$5001,BD!$B$3:$B$5001,$A258,BD!$A$3:$A$5001,_xlfn.MAXIFS(BD!$A$3:$A$5001,BD!$B$3:$B$5001,$A258,BD!$A$3:$A$5001,"&gt;="&amp;$F$8,BD!$A$3:$A$5001,"&lt;="&amp;$G$8,BD!$N$3:$N$5001,"&lt;&gt;"))))</f>
        <v/>
      </c>
    </row>
    <row r="259">
      <c r="A259" s="65" t="str">
        <f>Config!$B$11&amp;""</f>
        <v>GM</v>
      </c>
      <c r="B259" s="38" t="str">
        <f>IF(Config!$C$11="","JSL",Config!$C$11)</f>
        <v>JSL</v>
      </c>
      <c r="C259" s="43" t="str">
        <f>IF($A259="","",IF(COUNTIFS(BD!$B$3:$B$5001,$A259,BD!$A$3:$A$5001,"&gt;="&amp;$F$7,BD!$A$3:$A$5001,"&lt;="&amp;$G$7,BD!$K$3:$K$5001,"&lt;&gt;")=0,"",SUMIFS(BD!$K$3:$K$5001,BD!$B$3:$B$5001,$A259,BD!$A$3:$A$5001,_xlfn.MAXIFS(BD!$A$3:$A$5001,BD!$B$3:$B$5001,$A259,BD!$A$3:$A$5001,"&gt;="&amp;$F$7,BD!$A$3:$A$5001,"&lt;="&amp;$G$7,BD!$K$3:$K$5001,"&lt;&gt;"))))</f>
        <v/>
      </c>
      <c r="D259" s="43" t="str">
        <f>IF($A259="","",IF(COUNTIFS(BD!$B$3:$B$5001,$A259,BD!$A$3:$A$5001,"&gt;="&amp;$F$8,BD!$A$3:$A$5001,"&lt;="&amp;$G$8,BD!$K$3:$K$5001,"&lt;&gt;")=0,"",SUMIFS(BD!$K$3:$K$5001,BD!$B$3:$B$5001,$A259,BD!$A$3:$A$5001,_xlfn.MAXIFS(BD!$A$3:$A$5001,BD!$B$3:$B$5001,$A259,BD!$A$3:$A$5001,"&gt;="&amp;$F$8,BD!$A$3:$A$5001,"&lt;="&amp;$G$8,BD!$K$3:$K$5001,"&lt;&gt;"))))</f>
        <v/>
      </c>
      <c r="E259" s="43" t="str">
        <f>IF($A259="","",IF(COUNTIFS(BD!$B$3:$B$5001,$A259,BD!$A$3:$A$5001,"&gt;="&amp;$F$7,BD!$A$3:$A$5001,"&lt;="&amp;$G$7,BD!$M$3:$M$5001,"&lt;&gt;")=0,"",SUMIFS(BD!$M$3:$M$5001,BD!$B$3:$B$5001,$A259,BD!$A$3:$A$5001,_xlfn.MAXIFS(BD!$A$3:$A$5001,BD!$B$3:$B$5001,$A259,BD!$A$3:$A$5001,"&gt;="&amp;$F$7,BD!$A$3:$A$5001,"&lt;="&amp;$G$7,BD!$M$3:$M$5001,"&lt;&gt;"))))</f>
        <v/>
      </c>
      <c r="F259" s="43" t="str">
        <f>IF($A259="","",IF(COUNTIFS(BD!$B$3:$B$5001,$A259,BD!$A$3:$A$5001,"&gt;="&amp;$F$8,BD!$A$3:$A$5001,"&lt;="&amp;$G$8,BD!$M$3:$M$5001,"&lt;&gt;")=0,"",SUMIFS(BD!$M$3:$M$5001,BD!$B$3:$B$5001,$A259,BD!$A$3:$A$5001,_xlfn.MAXIFS(BD!$A$3:$A$5001,BD!$B$3:$B$5001,$A259,BD!$A$3:$A$5001,"&gt;="&amp;$F$8,BD!$A$3:$A$5001,"&lt;="&amp;$G$8,BD!$M$3:$M$5001,"&lt;&gt;"))))</f>
        <v/>
      </c>
      <c r="G259" s="43" t="str">
        <f>IF($A259="","",IF(COUNTIFS(BD!$B$3:$B$5001,$A259,BD!$A$3:$A$5001,"&gt;="&amp;$F$7,BD!$A$3:$A$5001,"&lt;="&amp;$G$7,BD!$L$3:$L$5001,"&lt;&gt;")=0,"",SUMIFS(BD!$L$3:$L$5001,BD!$B$3:$B$5001,$A259,BD!$A$3:$A$5001,_xlfn.MAXIFS(BD!$A$3:$A$5001,BD!$B$3:$B$5001,$A259,BD!$A$3:$A$5001,"&gt;="&amp;$F$7,BD!$A$3:$A$5001,"&lt;="&amp;$G$7,BD!$L$3:$L$5001,"&lt;&gt;"))))</f>
        <v/>
      </c>
      <c r="H259" s="43" t="str">
        <f>IF($A259="","",IF(COUNTIFS(BD!$B$3:$B$5001,$A259,BD!$A$3:$A$5001,"&gt;="&amp;$F$8,BD!$A$3:$A$5001,"&lt;="&amp;$G$8,BD!$L$3:$L$5001,"&lt;&gt;")=0,"",SUMIFS(BD!$L$3:$L$5001,BD!$B$3:$B$5001,$A259,BD!$A$3:$A$5001,_xlfn.MAXIFS(BD!$A$3:$A$5001,BD!$B$3:$B$5001,$A259,BD!$A$3:$A$5001,"&gt;="&amp;$F$8,BD!$A$3:$A$5001,"&lt;="&amp;$G$8,BD!$L$3:$L$5001,"&lt;&gt;"))))</f>
        <v/>
      </c>
      <c r="I259" s="43" t="str">
        <f>IF($A259="","",IF(COUNTIFS(BD!$B$3:$B$5001,$A259,BD!$A$3:$A$5001,"&gt;="&amp;$F$7,BD!$A$3:$A$5001,"&lt;="&amp;$G$7,BD!$N$3:$N$5001,"&lt;&gt;")=0,"",SUMIFS(BD!$N$3:$N$5001,BD!$B$3:$B$5001,$A259,BD!$A$3:$A$5001,_xlfn.MAXIFS(BD!$A$3:$A$5001,BD!$B$3:$B$5001,$A259,BD!$A$3:$A$5001,"&gt;="&amp;$F$7,BD!$A$3:$A$5001,"&lt;="&amp;$G$7,BD!$N$3:$N$5001,"&lt;&gt;"))))</f>
        <v/>
      </c>
      <c r="J259" s="43" t="str">
        <f>IF($A259="","",IF(COUNTIFS(BD!$B$3:$B$5001,$A259,BD!$A$3:$A$5001,"&gt;="&amp;$F$8,BD!$A$3:$A$5001,"&lt;="&amp;$G$8,BD!$N$3:$N$5001,"&lt;&gt;")=0,"",SUMIFS(BD!$N$3:$N$5001,BD!$B$3:$B$5001,$A259,BD!$A$3:$A$5001,_xlfn.MAXIFS(BD!$A$3:$A$5001,BD!$B$3:$B$5001,$A259,BD!$A$3:$A$5001,"&gt;="&amp;$F$8,BD!$A$3:$A$5001,"&lt;="&amp;$G$8,BD!$N$3:$N$5001,"&lt;&gt;"))))</f>
        <v/>
      </c>
    </row>
    <row r="260">
      <c r="A260" s="65" t="str">
        <f>Config!$B$12&amp;""</f>
        <v>Mondelez</v>
      </c>
      <c r="B260" s="38" t="str">
        <f>IF(Config!$C$12="","JSL",Config!$C$12)</f>
        <v>JSL</v>
      </c>
      <c r="C260" s="43" t="str">
        <f>IF($A260="","",IF(COUNTIFS(BD!$B$3:$B$5001,$A260,BD!$A$3:$A$5001,"&gt;="&amp;$F$7,BD!$A$3:$A$5001,"&lt;="&amp;$G$7,BD!$K$3:$K$5001,"&lt;&gt;")=0,"",SUMIFS(BD!$K$3:$K$5001,BD!$B$3:$B$5001,$A260,BD!$A$3:$A$5001,_xlfn.MAXIFS(BD!$A$3:$A$5001,BD!$B$3:$B$5001,$A260,BD!$A$3:$A$5001,"&gt;="&amp;$F$7,BD!$A$3:$A$5001,"&lt;="&amp;$G$7,BD!$K$3:$K$5001,"&lt;&gt;"))))</f>
        <v/>
      </c>
      <c r="D260" s="43" t="str">
        <f>IF($A260="","",IF(COUNTIFS(BD!$B$3:$B$5001,$A260,BD!$A$3:$A$5001,"&gt;="&amp;$F$8,BD!$A$3:$A$5001,"&lt;="&amp;$G$8,BD!$K$3:$K$5001,"&lt;&gt;")=0,"",SUMIFS(BD!$K$3:$K$5001,BD!$B$3:$B$5001,$A260,BD!$A$3:$A$5001,_xlfn.MAXIFS(BD!$A$3:$A$5001,BD!$B$3:$B$5001,$A260,BD!$A$3:$A$5001,"&gt;="&amp;$F$8,BD!$A$3:$A$5001,"&lt;="&amp;$G$8,BD!$K$3:$K$5001,"&lt;&gt;"))))</f>
        <v/>
      </c>
      <c r="E260" s="43" t="str">
        <f>IF($A260="","",IF(COUNTIFS(BD!$B$3:$B$5001,$A260,BD!$A$3:$A$5001,"&gt;="&amp;$F$7,BD!$A$3:$A$5001,"&lt;="&amp;$G$7,BD!$M$3:$M$5001,"&lt;&gt;")=0,"",SUMIFS(BD!$M$3:$M$5001,BD!$B$3:$B$5001,$A260,BD!$A$3:$A$5001,_xlfn.MAXIFS(BD!$A$3:$A$5001,BD!$B$3:$B$5001,$A260,BD!$A$3:$A$5001,"&gt;="&amp;$F$7,BD!$A$3:$A$5001,"&lt;="&amp;$G$7,BD!$M$3:$M$5001,"&lt;&gt;"))))</f>
        <v/>
      </c>
      <c r="F260" s="43" t="str">
        <f>IF($A260="","",IF(COUNTIFS(BD!$B$3:$B$5001,$A260,BD!$A$3:$A$5001,"&gt;="&amp;$F$8,BD!$A$3:$A$5001,"&lt;="&amp;$G$8,BD!$M$3:$M$5001,"&lt;&gt;")=0,"",SUMIFS(BD!$M$3:$M$5001,BD!$B$3:$B$5001,$A260,BD!$A$3:$A$5001,_xlfn.MAXIFS(BD!$A$3:$A$5001,BD!$B$3:$B$5001,$A260,BD!$A$3:$A$5001,"&gt;="&amp;$F$8,BD!$A$3:$A$5001,"&lt;="&amp;$G$8,BD!$M$3:$M$5001,"&lt;&gt;"))))</f>
        <v/>
      </c>
      <c r="G260" s="43" t="str">
        <f>IF($A260="","",IF(COUNTIFS(BD!$B$3:$B$5001,$A260,BD!$A$3:$A$5001,"&gt;="&amp;$F$7,BD!$A$3:$A$5001,"&lt;="&amp;$G$7,BD!$L$3:$L$5001,"&lt;&gt;")=0,"",SUMIFS(BD!$L$3:$L$5001,BD!$B$3:$B$5001,$A260,BD!$A$3:$A$5001,_xlfn.MAXIFS(BD!$A$3:$A$5001,BD!$B$3:$B$5001,$A260,BD!$A$3:$A$5001,"&gt;="&amp;$F$7,BD!$A$3:$A$5001,"&lt;="&amp;$G$7,BD!$L$3:$L$5001,"&lt;&gt;"))))</f>
        <v/>
      </c>
      <c r="H260" s="43" t="str">
        <f>IF($A260="","",IF(COUNTIFS(BD!$B$3:$B$5001,$A260,BD!$A$3:$A$5001,"&gt;="&amp;$F$8,BD!$A$3:$A$5001,"&lt;="&amp;$G$8,BD!$L$3:$L$5001,"&lt;&gt;")=0,"",SUMIFS(BD!$L$3:$L$5001,BD!$B$3:$B$5001,$A260,BD!$A$3:$A$5001,_xlfn.MAXIFS(BD!$A$3:$A$5001,BD!$B$3:$B$5001,$A260,BD!$A$3:$A$5001,"&gt;="&amp;$F$8,BD!$A$3:$A$5001,"&lt;="&amp;$G$8,BD!$L$3:$L$5001,"&lt;&gt;"))))</f>
        <v/>
      </c>
      <c r="I260" s="43" t="str">
        <f>IF($A260="","",IF(COUNTIFS(BD!$B$3:$B$5001,$A260,BD!$A$3:$A$5001,"&gt;="&amp;$F$7,BD!$A$3:$A$5001,"&lt;="&amp;$G$7,BD!$N$3:$N$5001,"&lt;&gt;")=0,"",SUMIFS(BD!$N$3:$N$5001,BD!$B$3:$B$5001,$A260,BD!$A$3:$A$5001,_xlfn.MAXIFS(BD!$A$3:$A$5001,BD!$B$3:$B$5001,$A260,BD!$A$3:$A$5001,"&gt;="&amp;$F$7,BD!$A$3:$A$5001,"&lt;="&amp;$G$7,BD!$N$3:$N$5001,"&lt;&gt;"))))</f>
        <v/>
      </c>
      <c r="J260" s="43" t="str">
        <f>IF($A260="","",IF(COUNTIFS(BD!$B$3:$B$5001,$A260,BD!$A$3:$A$5001,"&gt;="&amp;$F$8,BD!$A$3:$A$5001,"&lt;="&amp;$G$8,BD!$N$3:$N$5001,"&lt;&gt;")=0,"",SUMIFS(BD!$N$3:$N$5001,BD!$B$3:$B$5001,$A260,BD!$A$3:$A$5001,_xlfn.MAXIFS(BD!$A$3:$A$5001,BD!$B$3:$B$5001,$A260,BD!$A$3:$A$5001,"&gt;="&amp;$F$8,BD!$A$3:$A$5001,"&lt;="&amp;$G$8,BD!$N$3:$N$5001,"&lt;&gt;"))))</f>
        <v/>
      </c>
    </row>
    <row r="261">
      <c r="A261" s="65" t="str">
        <f>Config!$B$13&amp;""</f>
        <v>Nestlé</v>
      </c>
      <c r="B261" s="38" t="str">
        <f>IF(Config!$C$13="","JSL",Config!$C$13)</f>
        <v>JSL</v>
      </c>
      <c r="C261" s="43" t="str">
        <f>IF($A261="","",IF(COUNTIFS(BD!$B$3:$B$5001,$A261,BD!$A$3:$A$5001,"&gt;="&amp;$F$7,BD!$A$3:$A$5001,"&lt;="&amp;$G$7,BD!$K$3:$K$5001,"&lt;&gt;")=0,"",SUMIFS(BD!$K$3:$K$5001,BD!$B$3:$B$5001,$A261,BD!$A$3:$A$5001,_xlfn.MAXIFS(BD!$A$3:$A$5001,BD!$B$3:$B$5001,$A261,BD!$A$3:$A$5001,"&gt;="&amp;$F$7,BD!$A$3:$A$5001,"&lt;="&amp;$G$7,BD!$K$3:$K$5001,"&lt;&gt;"))))</f>
        <v/>
      </c>
      <c r="D261" s="43" t="str">
        <f>IF($A261="","",IF(COUNTIFS(BD!$B$3:$B$5001,$A261,BD!$A$3:$A$5001,"&gt;="&amp;$F$8,BD!$A$3:$A$5001,"&lt;="&amp;$G$8,BD!$K$3:$K$5001,"&lt;&gt;")=0,"",SUMIFS(BD!$K$3:$K$5001,BD!$B$3:$B$5001,$A261,BD!$A$3:$A$5001,_xlfn.MAXIFS(BD!$A$3:$A$5001,BD!$B$3:$B$5001,$A261,BD!$A$3:$A$5001,"&gt;="&amp;$F$8,BD!$A$3:$A$5001,"&lt;="&amp;$G$8,BD!$K$3:$K$5001,"&lt;&gt;"))))</f>
        <v/>
      </c>
      <c r="E261" s="43" t="str">
        <f>IF($A261="","",IF(COUNTIFS(BD!$B$3:$B$5001,$A261,BD!$A$3:$A$5001,"&gt;="&amp;$F$7,BD!$A$3:$A$5001,"&lt;="&amp;$G$7,BD!$M$3:$M$5001,"&lt;&gt;")=0,"",SUMIFS(BD!$M$3:$M$5001,BD!$B$3:$B$5001,$A261,BD!$A$3:$A$5001,_xlfn.MAXIFS(BD!$A$3:$A$5001,BD!$B$3:$B$5001,$A261,BD!$A$3:$A$5001,"&gt;="&amp;$F$7,BD!$A$3:$A$5001,"&lt;="&amp;$G$7,BD!$M$3:$M$5001,"&lt;&gt;"))))</f>
        <v/>
      </c>
      <c r="F261" s="43" t="str">
        <f>IF($A261="","",IF(COUNTIFS(BD!$B$3:$B$5001,$A261,BD!$A$3:$A$5001,"&gt;="&amp;$F$8,BD!$A$3:$A$5001,"&lt;="&amp;$G$8,BD!$M$3:$M$5001,"&lt;&gt;")=0,"",SUMIFS(BD!$M$3:$M$5001,BD!$B$3:$B$5001,$A261,BD!$A$3:$A$5001,_xlfn.MAXIFS(BD!$A$3:$A$5001,BD!$B$3:$B$5001,$A261,BD!$A$3:$A$5001,"&gt;="&amp;$F$8,BD!$A$3:$A$5001,"&lt;="&amp;$G$8,BD!$M$3:$M$5001,"&lt;&gt;"))))</f>
        <v/>
      </c>
      <c r="G261" s="43" t="str">
        <f>IF($A261="","",IF(COUNTIFS(BD!$B$3:$B$5001,$A261,BD!$A$3:$A$5001,"&gt;="&amp;$F$7,BD!$A$3:$A$5001,"&lt;="&amp;$G$7,BD!$L$3:$L$5001,"&lt;&gt;")=0,"",SUMIFS(BD!$L$3:$L$5001,BD!$B$3:$B$5001,$A261,BD!$A$3:$A$5001,_xlfn.MAXIFS(BD!$A$3:$A$5001,BD!$B$3:$B$5001,$A261,BD!$A$3:$A$5001,"&gt;="&amp;$F$7,BD!$A$3:$A$5001,"&lt;="&amp;$G$7,BD!$L$3:$L$5001,"&lt;&gt;"))))</f>
        <v/>
      </c>
      <c r="H261" s="43" t="str">
        <f>IF($A261="","",IF(COUNTIFS(BD!$B$3:$B$5001,$A261,BD!$A$3:$A$5001,"&gt;="&amp;$F$8,BD!$A$3:$A$5001,"&lt;="&amp;$G$8,BD!$L$3:$L$5001,"&lt;&gt;")=0,"",SUMIFS(BD!$L$3:$L$5001,BD!$B$3:$B$5001,$A261,BD!$A$3:$A$5001,_xlfn.MAXIFS(BD!$A$3:$A$5001,BD!$B$3:$B$5001,$A261,BD!$A$3:$A$5001,"&gt;="&amp;$F$8,BD!$A$3:$A$5001,"&lt;="&amp;$G$8,BD!$L$3:$L$5001,"&lt;&gt;"))))</f>
        <v/>
      </c>
      <c r="I261" s="43" t="str">
        <f>IF($A261="","",IF(COUNTIFS(BD!$B$3:$B$5001,$A261,BD!$A$3:$A$5001,"&gt;="&amp;$F$7,BD!$A$3:$A$5001,"&lt;="&amp;$G$7,BD!$N$3:$N$5001,"&lt;&gt;")=0,"",SUMIFS(BD!$N$3:$N$5001,BD!$B$3:$B$5001,$A261,BD!$A$3:$A$5001,_xlfn.MAXIFS(BD!$A$3:$A$5001,BD!$B$3:$B$5001,$A261,BD!$A$3:$A$5001,"&gt;="&amp;$F$7,BD!$A$3:$A$5001,"&lt;="&amp;$G$7,BD!$N$3:$N$5001,"&lt;&gt;"))))</f>
        <v/>
      </c>
      <c r="J261" s="43" t="str">
        <f>IF($A261="","",IF(COUNTIFS(BD!$B$3:$B$5001,$A261,BD!$A$3:$A$5001,"&gt;="&amp;$F$8,BD!$A$3:$A$5001,"&lt;="&amp;$G$8,BD!$N$3:$N$5001,"&lt;&gt;")=0,"",SUMIFS(BD!$N$3:$N$5001,BD!$B$3:$B$5001,$A261,BD!$A$3:$A$5001,_xlfn.MAXIFS(BD!$A$3:$A$5001,BD!$B$3:$B$5001,$A261,BD!$A$3:$A$5001,"&gt;="&amp;$F$8,BD!$A$3:$A$5001,"&lt;="&amp;$G$8,BD!$N$3:$N$5001,"&lt;&gt;"))))</f>
        <v/>
      </c>
    </row>
    <row r="262">
      <c r="A262" s="65" t="str">
        <f>Config!$B$14&amp;""</f>
        <v>PMB</v>
      </c>
      <c r="B262" s="38" t="str">
        <f>IF(Config!$C$14="","JSL",Config!$C$14)</f>
        <v>JSL</v>
      </c>
      <c r="C262" s="43" t="str">
        <f>IF($A262="","",IF(COUNTIFS(BD!$B$3:$B$5001,$A262,BD!$A$3:$A$5001,"&gt;="&amp;$F$7,BD!$A$3:$A$5001,"&lt;="&amp;$G$7,BD!$K$3:$K$5001,"&lt;&gt;")=0,"",SUMIFS(BD!$K$3:$K$5001,BD!$B$3:$B$5001,$A262,BD!$A$3:$A$5001,_xlfn.MAXIFS(BD!$A$3:$A$5001,BD!$B$3:$B$5001,$A262,BD!$A$3:$A$5001,"&gt;="&amp;$F$7,BD!$A$3:$A$5001,"&lt;="&amp;$G$7,BD!$K$3:$K$5001,"&lt;&gt;"))))</f>
        <v/>
      </c>
      <c r="D262" s="43" t="str">
        <f>IF($A262="","",IF(COUNTIFS(BD!$B$3:$B$5001,$A262,BD!$A$3:$A$5001,"&gt;="&amp;$F$8,BD!$A$3:$A$5001,"&lt;="&amp;$G$8,BD!$K$3:$K$5001,"&lt;&gt;")=0,"",SUMIFS(BD!$K$3:$K$5001,BD!$B$3:$B$5001,$A262,BD!$A$3:$A$5001,_xlfn.MAXIFS(BD!$A$3:$A$5001,BD!$B$3:$B$5001,$A262,BD!$A$3:$A$5001,"&gt;="&amp;$F$8,BD!$A$3:$A$5001,"&lt;="&amp;$G$8,BD!$K$3:$K$5001,"&lt;&gt;"))))</f>
        <v/>
      </c>
      <c r="E262" s="43" t="str">
        <f>IF($A262="","",IF(COUNTIFS(BD!$B$3:$B$5001,$A262,BD!$A$3:$A$5001,"&gt;="&amp;$F$7,BD!$A$3:$A$5001,"&lt;="&amp;$G$7,BD!$M$3:$M$5001,"&lt;&gt;")=0,"",SUMIFS(BD!$M$3:$M$5001,BD!$B$3:$B$5001,$A262,BD!$A$3:$A$5001,_xlfn.MAXIFS(BD!$A$3:$A$5001,BD!$B$3:$B$5001,$A262,BD!$A$3:$A$5001,"&gt;="&amp;$F$7,BD!$A$3:$A$5001,"&lt;="&amp;$G$7,BD!$M$3:$M$5001,"&lt;&gt;"))))</f>
        <v/>
      </c>
      <c r="F262" s="43" t="str">
        <f>IF($A262="","",IF(COUNTIFS(BD!$B$3:$B$5001,$A262,BD!$A$3:$A$5001,"&gt;="&amp;$F$8,BD!$A$3:$A$5001,"&lt;="&amp;$G$8,BD!$M$3:$M$5001,"&lt;&gt;")=0,"",SUMIFS(BD!$M$3:$M$5001,BD!$B$3:$B$5001,$A262,BD!$A$3:$A$5001,_xlfn.MAXIFS(BD!$A$3:$A$5001,BD!$B$3:$B$5001,$A262,BD!$A$3:$A$5001,"&gt;="&amp;$F$8,BD!$A$3:$A$5001,"&lt;="&amp;$G$8,BD!$M$3:$M$5001,"&lt;&gt;"))))</f>
        <v/>
      </c>
      <c r="G262" s="43" t="str">
        <f>IF($A262="","",IF(COUNTIFS(BD!$B$3:$B$5001,$A262,BD!$A$3:$A$5001,"&gt;="&amp;$F$7,BD!$A$3:$A$5001,"&lt;="&amp;$G$7,BD!$L$3:$L$5001,"&lt;&gt;")=0,"",SUMIFS(BD!$L$3:$L$5001,BD!$B$3:$B$5001,$A262,BD!$A$3:$A$5001,_xlfn.MAXIFS(BD!$A$3:$A$5001,BD!$B$3:$B$5001,$A262,BD!$A$3:$A$5001,"&gt;="&amp;$F$7,BD!$A$3:$A$5001,"&lt;="&amp;$G$7,BD!$L$3:$L$5001,"&lt;&gt;"))))</f>
        <v/>
      </c>
      <c r="H262" s="43" t="str">
        <f>IF($A262="","",IF(COUNTIFS(BD!$B$3:$B$5001,$A262,BD!$A$3:$A$5001,"&gt;="&amp;$F$8,BD!$A$3:$A$5001,"&lt;="&amp;$G$8,BD!$L$3:$L$5001,"&lt;&gt;")=0,"",SUMIFS(BD!$L$3:$L$5001,BD!$B$3:$B$5001,$A262,BD!$A$3:$A$5001,_xlfn.MAXIFS(BD!$A$3:$A$5001,BD!$B$3:$B$5001,$A262,BD!$A$3:$A$5001,"&gt;="&amp;$F$8,BD!$A$3:$A$5001,"&lt;="&amp;$G$8,BD!$L$3:$L$5001,"&lt;&gt;"))))</f>
        <v/>
      </c>
      <c r="I262" s="43" t="str">
        <f>IF($A262="","",IF(COUNTIFS(BD!$B$3:$B$5001,$A262,BD!$A$3:$A$5001,"&gt;="&amp;$F$7,BD!$A$3:$A$5001,"&lt;="&amp;$G$7,BD!$N$3:$N$5001,"&lt;&gt;")=0,"",SUMIFS(BD!$N$3:$N$5001,BD!$B$3:$B$5001,$A262,BD!$A$3:$A$5001,_xlfn.MAXIFS(BD!$A$3:$A$5001,BD!$B$3:$B$5001,$A262,BD!$A$3:$A$5001,"&gt;="&amp;$F$7,BD!$A$3:$A$5001,"&lt;="&amp;$G$7,BD!$N$3:$N$5001,"&lt;&gt;"))))</f>
        <v/>
      </c>
      <c r="J262" s="43" t="str">
        <f>IF($A262="","",IF(COUNTIFS(BD!$B$3:$B$5001,$A262,BD!$A$3:$A$5001,"&gt;="&amp;$F$8,BD!$A$3:$A$5001,"&lt;="&amp;$G$8,BD!$N$3:$N$5001,"&lt;&gt;")=0,"",SUMIFS(BD!$N$3:$N$5001,BD!$B$3:$B$5001,$A262,BD!$A$3:$A$5001,_xlfn.MAXIFS(BD!$A$3:$A$5001,BD!$B$3:$B$5001,$A262,BD!$A$3:$A$5001,"&gt;="&amp;$F$8,BD!$A$3:$A$5001,"&lt;="&amp;$G$8,BD!$N$3:$N$5001,"&lt;&gt;"))))</f>
        <v/>
      </c>
    </row>
    <row r="263">
      <c r="A263" s="65" t="str">
        <f>Config!$B$15&amp;""</f>
        <v/>
      </c>
      <c r="B263" s="38" t="str">
        <f>IF(Config!$C$15="","JSL",Config!$C$15)</f>
        <v>JSL</v>
      </c>
      <c r="C263" s="43" t="str">
        <f>IF($A263="","",IF(COUNTIFS(BD!$B$3:$B$5001,$A263,BD!$A$3:$A$5001,"&gt;="&amp;$F$7,BD!$A$3:$A$5001,"&lt;="&amp;$G$7,BD!$K$3:$K$5001,"&lt;&gt;")=0,"",SUMIFS(BD!$K$3:$K$5001,BD!$B$3:$B$5001,$A263,BD!$A$3:$A$5001,_xlfn.MAXIFS(BD!$A$3:$A$5001,BD!$B$3:$B$5001,$A263,BD!$A$3:$A$5001,"&gt;="&amp;$F$7,BD!$A$3:$A$5001,"&lt;="&amp;$G$7,BD!$K$3:$K$5001,"&lt;&gt;"))))</f>
        <v/>
      </c>
      <c r="D263" s="43" t="str">
        <f>IF($A263="","",IF(COUNTIFS(BD!$B$3:$B$5001,$A263,BD!$A$3:$A$5001,"&gt;="&amp;$F$8,BD!$A$3:$A$5001,"&lt;="&amp;$G$8,BD!$K$3:$K$5001,"&lt;&gt;")=0,"",SUMIFS(BD!$K$3:$K$5001,BD!$B$3:$B$5001,$A263,BD!$A$3:$A$5001,_xlfn.MAXIFS(BD!$A$3:$A$5001,BD!$B$3:$B$5001,$A263,BD!$A$3:$A$5001,"&gt;="&amp;$F$8,BD!$A$3:$A$5001,"&lt;="&amp;$G$8,BD!$K$3:$K$5001,"&lt;&gt;"))))</f>
        <v/>
      </c>
      <c r="E263" s="43" t="str">
        <f>IF($A263="","",IF(COUNTIFS(BD!$B$3:$B$5001,$A263,BD!$A$3:$A$5001,"&gt;="&amp;$F$7,BD!$A$3:$A$5001,"&lt;="&amp;$G$7,BD!$M$3:$M$5001,"&lt;&gt;")=0,"",SUMIFS(BD!$M$3:$M$5001,BD!$B$3:$B$5001,$A263,BD!$A$3:$A$5001,_xlfn.MAXIFS(BD!$A$3:$A$5001,BD!$B$3:$B$5001,$A263,BD!$A$3:$A$5001,"&gt;="&amp;$F$7,BD!$A$3:$A$5001,"&lt;="&amp;$G$7,BD!$M$3:$M$5001,"&lt;&gt;"))))</f>
        <v/>
      </c>
      <c r="F263" s="43" t="str">
        <f>IF($A263="","",IF(COUNTIFS(BD!$B$3:$B$5001,$A263,BD!$A$3:$A$5001,"&gt;="&amp;$F$8,BD!$A$3:$A$5001,"&lt;="&amp;$G$8,BD!$M$3:$M$5001,"&lt;&gt;")=0,"",SUMIFS(BD!$M$3:$M$5001,BD!$B$3:$B$5001,$A263,BD!$A$3:$A$5001,_xlfn.MAXIFS(BD!$A$3:$A$5001,BD!$B$3:$B$5001,$A263,BD!$A$3:$A$5001,"&gt;="&amp;$F$8,BD!$A$3:$A$5001,"&lt;="&amp;$G$8,BD!$M$3:$M$5001,"&lt;&gt;"))))</f>
        <v/>
      </c>
      <c r="G263" s="43" t="str">
        <f>IF($A263="","",IF(COUNTIFS(BD!$B$3:$B$5001,$A263,BD!$A$3:$A$5001,"&gt;="&amp;$F$7,BD!$A$3:$A$5001,"&lt;="&amp;$G$7,BD!$L$3:$L$5001,"&lt;&gt;")=0,"",SUMIFS(BD!$L$3:$L$5001,BD!$B$3:$B$5001,$A263,BD!$A$3:$A$5001,_xlfn.MAXIFS(BD!$A$3:$A$5001,BD!$B$3:$B$5001,$A263,BD!$A$3:$A$5001,"&gt;="&amp;$F$7,BD!$A$3:$A$5001,"&lt;="&amp;$G$7,BD!$L$3:$L$5001,"&lt;&gt;"))))</f>
        <v/>
      </c>
      <c r="H263" s="43" t="str">
        <f>IF($A263="","",IF(COUNTIFS(BD!$B$3:$B$5001,$A263,BD!$A$3:$A$5001,"&gt;="&amp;$F$8,BD!$A$3:$A$5001,"&lt;="&amp;$G$8,BD!$L$3:$L$5001,"&lt;&gt;")=0,"",SUMIFS(BD!$L$3:$L$5001,BD!$B$3:$B$5001,$A263,BD!$A$3:$A$5001,_xlfn.MAXIFS(BD!$A$3:$A$5001,BD!$B$3:$B$5001,$A263,BD!$A$3:$A$5001,"&gt;="&amp;$F$8,BD!$A$3:$A$5001,"&lt;="&amp;$G$8,BD!$L$3:$L$5001,"&lt;&gt;"))))</f>
        <v/>
      </c>
      <c r="I263" s="43" t="str">
        <f>IF($A263="","",IF(COUNTIFS(BD!$B$3:$B$5001,$A263,BD!$A$3:$A$5001,"&gt;="&amp;$F$7,BD!$A$3:$A$5001,"&lt;="&amp;$G$7,BD!$N$3:$N$5001,"&lt;&gt;")=0,"",SUMIFS(BD!$N$3:$N$5001,BD!$B$3:$B$5001,$A263,BD!$A$3:$A$5001,_xlfn.MAXIFS(BD!$A$3:$A$5001,BD!$B$3:$B$5001,$A263,BD!$A$3:$A$5001,"&gt;="&amp;$F$7,BD!$A$3:$A$5001,"&lt;="&amp;$G$7,BD!$N$3:$N$5001,"&lt;&gt;"))))</f>
        <v/>
      </c>
      <c r="J263" s="43" t="str">
        <f>IF($A263="","",IF(COUNTIFS(BD!$B$3:$B$5001,$A263,BD!$A$3:$A$5001,"&gt;="&amp;$F$8,BD!$A$3:$A$5001,"&lt;="&amp;$G$8,BD!$N$3:$N$5001,"&lt;&gt;")=0,"",SUMIFS(BD!$N$3:$N$5001,BD!$B$3:$B$5001,$A263,BD!$A$3:$A$5001,_xlfn.MAXIFS(BD!$A$3:$A$5001,BD!$B$3:$B$5001,$A263,BD!$A$3:$A$5001,"&gt;="&amp;$F$8,BD!$A$3:$A$5001,"&lt;="&amp;$G$8,BD!$N$3:$N$5001,"&lt;&gt;"))))</f>
        <v/>
      </c>
    </row>
    <row r="264">
      <c r="A264" s="65" t="str">
        <f>Config!$B$16&amp;""</f>
        <v/>
      </c>
      <c r="B264" s="38" t="str">
        <f>IF(Config!$C$16="","JSL",Config!$C$16)</f>
        <v>JSL</v>
      </c>
      <c r="C264" s="43" t="str">
        <f>IF($A264="","",IF(COUNTIFS(BD!$B$3:$B$5001,$A264,BD!$A$3:$A$5001,"&gt;="&amp;$F$7,BD!$A$3:$A$5001,"&lt;="&amp;$G$7,BD!$K$3:$K$5001,"&lt;&gt;")=0,"",SUMIFS(BD!$K$3:$K$5001,BD!$B$3:$B$5001,$A264,BD!$A$3:$A$5001,_xlfn.MAXIFS(BD!$A$3:$A$5001,BD!$B$3:$B$5001,$A264,BD!$A$3:$A$5001,"&gt;="&amp;$F$7,BD!$A$3:$A$5001,"&lt;="&amp;$G$7,BD!$K$3:$K$5001,"&lt;&gt;"))))</f>
        <v/>
      </c>
      <c r="D264" s="43" t="str">
        <f>IF($A264="","",IF(COUNTIFS(BD!$B$3:$B$5001,$A264,BD!$A$3:$A$5001,"&gt;="&amp;$F$8,BD!$A$3:$A$5001,"&lt;="&amp;$G$8,BD!$K$3:$K$5001,"&lt;&gt;")=0,"",SUMIFS(BD!$K$3:$K$5001,BD!$B$3:$B$5001,$A264,BD!$A$3:$A$5001,_xlfn.MAXIFS(BD!$A$3:$A$5001,BD!$B$3:$B$5001,$A264,BD!$A$3:$A$5001,"&gt;="&amp;$F$8,BD!$A$3:$A$5001,"&lt;="&amp;$G$8,BD!$K$3:$K$5001,"&lt;&gt;"))))</f>
        <v/>
      </c>
      <c r="E264" s="43" t="str">
        <f>IF($A264="","",IF(COUNTIFS(BD!$B$3:$B$5001,$A264,BD!$A$3:$A$5001,"&gt;="&amp;$F$7,BD!$A$3:$A$5001,"&lt;="&amp;$G$7,BD!$M$3:$M$5001,"&lt;&gt;")=0,"",SUMIFS(BD!$M$3:$M$5001,BD!$B$3:$B$5001,$A264,BD!$A$3:$A$5001,_xlfn.MAXIFS(BD!$A$3:$A$5001,BD!$B$3:$B$5001,$A264,BD!$A$3:$A$5001,"&gt;="&amp;$F$7,BD!$A$3:$A$5001,"&lt;="&amp;$G$7,BD!$M$3:$M$5001,"&lt;&gt;"))))</f>
        <v/>
      </c>
      <c r="F264" s="43" t="str">
        <f>IF($A264="","",IF(COUNTIFS(BD!$B$3:$B$5001,$A264,BD!$A$3:$A$5001,"&gt;="&amp;$F$8,BD!$A$3:$A$5001,"&lt;="&amp;$G$8,BD!$M$3:$M$5001,"&lt;&gt;")=0,"",SUMIFS(BD!$M$3:$M$5001,BD!$B$3:$B$5001,$A264,BD!$A$3:$A$5001,_xlfn.MAXIFS(BD!$A$3:$A$5001,BD!$B$3:$B$5001,$A264,BD!$A$3:$A$5001,"&gt;="&amp;$F$8,BD!$A$3:$A$5001,"&lt;="&amp;$G$8,BD!$M$3:$M$5001,"&lt;&gt;"))))</f>
        <v/>
      </c>
      <c r="G264" s="43" t="str">
        <f>IF($A264="","",IF(COUNTIFS(BD!$B$3:$B$5001,$A264,BD!$A$3:$A$5001,"&gt;="&amp;$F$7,BD!$A$3:$A$5001,"&lt;="&amp;$G$7,BD!$L$3:$L$5001,"&lt;&gt;")=0,"",SUMIFS(BD!$L$3:$L$5001,BD!$B$3:$B$5001,$A264,BD!$A$3:$A$5001,_xlfn.MAXIFS(BD!$A$3:$A$5001,BD!$B$3:$B$5001,$A264,BD!$A$3:$A$5001,"&gt;="&amp;$F$7,BD!$A$3:$A$5001,"&lt;="&amp;$G$7,BD!$L$3:$L$5001,"&lt;&gt;"))))</f>
        <v/>
      </c>
      <c r="H264" s="43" t="str">
        <f>IF($A264="","",IF(COUNTIFS(BD!$B$3:$B$5001,$A264,BD!$A$3:$A$5001,"&gt;="&amp;$F$8,BD!$A$3:$A$5001,"&lt;="&amp;$G$8,BD!$L$3:$L$5001,"&lt;&gt;")=0,"",SUMIFS(BD!$L$3:$L$5001,BD!$B$3:$B$5001,$A264,BD!$A$3:$A$5001,_xlfn.MAXIFS(BD!$A$3:$A$5001,BD!$B$3:$B$5001,$A264,BD!$A$3:$A$5001,"&gt;="&amp;$F$8,BD!$A$3:$A$5001,"&lt;="&amp;$G$8,BD!$L$3:$L$5001,"&lt;&gt;"))))</f>
        <v/>
      </c>
      <c r="I264" s="43" t="str">
        <f>IF($A264="","",IF(COUNTIFS(BD!$B$3:$B$5001,$A264,BD!$A$3:$A$5001,"&gt;="&amp;$F$7,BD!$A$3:$A$5001,"&lt;="&amp;$G$7,BD!$N$3:$N$5001,"&lt;&gt;")=0,"",SUMIFS(BD!$N$3:$N$5001,BD!$B$3:$B$5001,$A264,BD!$A$3:$A$5001,_xlfn.MAXIFS(BD!$A$3:$A$5001,BD!$B$3:$B$5001,$A264,BD!$A$3:$A$5001,"&gt;="&amp;$F$7,BD!$A$3:$A$5001,"&lt;="&amp;$G$7,BD!$N$3:$N$5001,"&lt;&gt;"))))</f>
        <v/>
      </c>
      <c r="J264" s="43" t="str">
        <f>IF($A264="","",IF(COUNTIFS(BD!$B$3:$B$5001,$A264,BD!$A$3:$A$5001,"&gt;="&amp;$F$8,BD!$A$3:$A$5001,"&lt;="&amp;$G$8,BD!$N$3:$N$5001,"&lt;&gt;")=0,"",SUMIFS(BD!$N$3:$N$5001,BD!$B$3:$B$5001,$A264,BD!$A$3:$A$5001,_xlfn.MAXIFS(BD!$A$3:$A$5001,BD!$B$3:$B$5001,$A264,BD!$A$3:$A$5001,"&gt;="&amp;$F$8,BD!$A$3:$A$5001,"&lt;="&amp;$G$8,BD!$N$3:$N$5001,"&lt;&gt;"))))</f>
        <v/>
      </c>
    </row>
    <row r="265">
      <c r="A265" s="65" t="str">
        <f>Config!$B$17&amp;""</f>
        <v/>
      </c>
      <c r="B265" s="38" t="str">
        <f>IF(Config!$C$17="","JSL",Config!$C$17)</f>
        <v>JSL</v>
      </c>
      <c r="C265" s="43" t="str">
        <f>IF($A265="","",IF(COUNTIFS(BD!$B$3:$B$5001,$A265,BD!$A$3:$A$5001,"&gt;="&amp;$F$7,BD!$A$3:$A$5001,"&lt;="&amp;$G$7,BD!$K$3:$K$5001,"&lt;&gt;")=0,"",SUMIFS(BD!$K$3:$K$5001,BD!$B$3:$B$5001,$A265,BD!$A$3:$A$5001,_xlfn.MAXIFS(BD!$A$3:$A$5001,BD!$B$3:$B$5001,$A265,BD!$A$3:$A$5001,"&gt;="&amp;$F$7,BD!$A$3:$A$5001,"&lt;="&amp;$G$7,BD!$K$3:$K$5001,"&lt;&gt;"))))</f>
        <v/>
      </c>
      <c r="D265" s="43" t="str">
        <f>IF($A265="","",IF(COUNTIFS(BD!$B$3:$B$5001,$A265,BD!$A$3:$A$5001,"&gt;="&amp;$F$8,BD!$A$3:$A$5001,"&lt;="&amp;$G$8,BD!$K$3:$K$5001,"&lt;&gt;")=0,"",SUMIFS(BD!$K$3:$K$5001,BD!$B$3:$B$5001,$A265,BD!$A$3:$A$5001,_xlfn.MAXIFS(BD!$A$3:$A$5001,BD!$B$3:$B$5001,$A265,BD!$A$3:$A$5001,"&gt;="&amp;$F$8,BD!$A$3:$A$5001,"&lt;="&amp;$G$8,BD!$K$3:$K$5001,"&lt;&gt;"))))</f>
        <v/>
      </c>
      <c r="E265" s="43" t="str">
        <f>IF($A265="","",IF(COUNTIFS(BD!$B$3:$B$5001,$A265,BD!$A$3:$A$5001,"&gt;="&amp;$F$7,BD!$A$3:$A$5001,"&lt;="&amp;$G$7,BD!$M$3:$M$5001,"&lt;&gt;")=0,"",SUMIFS(BD!$M$3:$M$5001,BD!$B$3:$B$5001,$A265,BD!$A$3:$A$5001,_xlfn.MAXIFS(BD!$A$3:$A$5001,BD!$B$3:$B$5001,$A265,BD!$A$3:$A$5001,"&gt;="&amp;$F$7,BD!$A$3:$A$5001,"&lt;="&amp;$G$7,BD!$M$3:$M$5001,"&lt;&gt;"))))</f>
        <v/>
      </c>
      <c r="F265" s="43" t="str">
        <f>IF($A265="","",IF(COUNTIFS(BD!$B$3:$B$5001,$A265,BD!$A$3:$A$5001,"&gt;="&amp;$F$8,BD!$A$3:$A$5001,"&lt;="&amp;$G$8,BD!$M$3:$M$5001,"&lt;&gt;")=0,"",SUMIFS(BD!$M$3:$M$5001,BD!$B$3:$B$5001,$A265,BD!$A$3:$A$5001,_xlfn.MAXIFS(BD!$A$3:$A$5001,BD!$B$3:$B$5001,$A265,BD!$A$3:$A$5001,"&gt;="&amp;$F$8,BD!$A$3:$A$5001,"&lt;="&amp;$G$8,BD!$M$3:$M$5001,"&lt;&gt;"))))</f>
        <v/>
      </c>
      <c r="G265" s="43" t="str">
        <f>IF($A265="","",IF(COUNTIFS(BD!$B$3:$B$5001,$A265,BD!$A$3:$A$5001,"&gt;="&amp;$F$7,BD!$A$3:$A$5001,"&lt;="&amp;$G$7,BD!$L$3:$L$5001,"&lt;&gt;")=0,"",SUMIFS(BD!$L$3:$L$5001,BD!$B$3:$B$5001,$A265,BD!$A$3:$A$5001,_xlfn.MAXIFS(BD!$A$3:$A$5001,BD!$B$3:$B$5001,$A265,BD!$A$3:$A$5001,"&gt;="&amp;$F$7,BD!$A$3:$A$5001,"&lt;="&amp;$G$7,BD!$L$3:$L$5001,"&lt;&gt;"))))</f>
        <v/>
      </c>
      <c r="H265" s="43" t="str">
        <f>IF($A265="","",IF(COUNTIFS(BD!$B$3:$B$5001,$A265,BD!$A$3:$A$5001,"&gt;="&amp;$F$8,BD!$A$3:$A$5001,"&lt;="&amp;$G$8,BD!$L$3:$L$5001,"&lt;&gt;")=0,"",SUMIFS(BD!$L$3:$L$5001,BD!$B$3:$B$5001,$A265,BD!$A$3:$A$5001,_xlfn.MAXIFS(BD!$A$3:$A$5001,BD!$B$3:$B$5001,$A265,BD!$A$3:$A$5001,"&gt;="&amp;$F$8,BD!$A$3:$A$5001,"&lt;="&amp;$G$8,BD!$L$3:$L$5001,"&lt;&gt;"))))</f>
        <v/>
      </c>
      <c r="I265" s="43" t="str">
        <f>IF($A265="","",IF(COUNTIFS(BD!$B$3:$B$5001,$A265,BD!$A$3:$A$5001,"&gt;="&amp;$F$7,BD!$A$3:$A$5001,"&lt;="&amp;$G$7,BD!$N$3:$N$5001,"&lt;&gt;")=0,"",SUMIFS(BD!$N$3:$N$5001,BD!$B$3:$B$5001,$A265,BD!$A$3:$A$5001,_xlfn.MAXIFS(BD!$A$3:$A$5001,BD!$B$3:$B$5001,$A265,BD!$A$3:$A$5001,"&gt;="&amp;$F$7,BD!$A$3:$A$5001,"&lt;="&amp;$G$7,BD!$N$3:$N$5001,"&lt;&gt;"))))</f>
        <v/>
      </c>
      <c r="J265" s="43" t="str">
        <f>IF($A265="","",IF(COUNTIFS(BD!$B$3:$B$5001,$A265,BD!$A$3:$A$5001,"&gt;="&amp;$F$8,BD!$A$3:$A$5001,"&lt;="&amp;$G$8,BD!$N$3:$N$5001,"&lt;&gt;")=0,"",SUMIFS(BD!$N$3:$N$5001,BD!$B$3:$B$5001,$A265,BD!$A$3:$A$5001,_xlfn.MAXIFS(BD!$A$3:$A$5001,BD!$B$3:$B$5001,$A265,BD!$A$3:$A$5001,"&gt;="&amp;$F$8,BD!$A$3:$A$5001,"&lt;="&amp;$G$8,BD!$N$3:$N$5001,"&lt;&gt;"))))</f>
        <v/>
      </c>
    </row>
    <row r="266">
      <c r="A266" s="65" t="str">
        <f>Config!$B$18&amp;""</f>
        <v/>
      </c>
      <c r="B266" s="38" t="str">
        <f>IF(Config!$C$18="","JSL",Config!$C$18)</f>
        <v>JSL</v>
      </c>
      <c r="C266" s="43" t="str">
        <f>IF($A266="","",IF(COUNTIFS(BD!$B$3:$B$5001,$A266,BD!$A$3:$A$5001,"&gt;="&amp;$F$7,BD!$A$3:$A$5001,"&lt;="&amp;$G$7,BD!$K$3:$K$5001,"&lt;&gt;")=0,"",SUMIFS(BD!$K$3:$K$5001,BD!$B$3:$B$5001,$A266,BD!$A$3:$A$5001,_xlfn.MAXIFS(BD!$A$3:$A$5001,BD!$B$3:$B$5001,$A266,BD!$A$3:$A$5001,"&gt;="&amp;$F$7,BD!$A$3:$A$5001,"&lt;="&amp;$G$7,BD!$K$3:$K$5001,"&lt;&gt;"))))</f>
        <v/>
      </c>
      <c r="D266" s="43" t="str">
        <f>IF($A266="","",IF(COUNTIFS(BD!$B$3:$B$5001,$A266,BD!$A$3:$A$5001,"&gt;="&amp;$F$8,BD!$A$3:$A$5001,"&lt;="&amp;$G$8,BD!$K$3:$K$5001,"&lt;&gt;")=0,"",SUMIFS(BD!$K$3:$K$5001,BD!$B$3:$B$5001,$A266,BD!$A$3:$A$5001,_xlfn.MAXIFS(BD!$A$3:$A$5001,BD!$B$3:$B$5001,$A266,BD!$A$3:$A$5001,"&gt;="&amp;$F$8,BD!$A$3:$A$5001,"&lt;="&amp;$G$8,BD!$K$3:$K$5001,"&lt;&gt;"))))</f>
        <v/>
      </c>
      <c r="E266" s="43" t="str">
        <f>IF($A266="","",IF(COUNTIFS(BD!$B$3:$B$5001,$A266,BD!$A$3:$A$5001,"&gt;="&amp;$F$7,BD!$A$3:$A$5001,"&lt;="&amp;$G$7,BD!$M$3:$M$5001,"&lt;&gt;")=0,"",SUMIFS(BD!$M$3:$M$5001,BD!$B$3:$B$5001,$A266,BD!$A$3:$A$5001,_xlfn.MAXIFS(BD!$A$3:$A$5001,BD!$B$3:$B$5001,$A266,BD!$A$3:$A$5001,"&gt;="&amp;$F$7,BD!$A$3:$A$5001,"&lt;="&amp;$G$7,BD!$M$3:$M$5001,"&lt;&gt;"))))</f>
        <v/>
      </c>
      <c r="F266" s="43" t="str">
        <f>IF($A266="","",IF(COUNTIFS(BD!$B$3:$B$5001,$A266,BD!$A$3:$A$5001,"&gt;="&amp;$F$8,BD!$A$3:$A$5001,"&lt;="&amp;$G$8,BD!$M$3:$M$5001,"&lt;&gt;")=0,"",SUMIFS(BD!$M$3:$M$5001,BD!$B$3:$B$5001,$A266,BD!$A$3:$A$5001,_xlfn.MAXIFS(BD!$A$3:$A$5001,BD!$B$3:$B$5001,$A266,BD!$A$3:$A$5001,"&gt;="&amp;$F$8,BD!$A$3:$A$5001,"&lt;="&amp;$G$8,BD!$M$3:$M$5001,"&lt;&gt;"))))</f>
        <v/>
      </c>
      <c r="G266" s="43" t="str">
        <f>IF($A266="","",IF(COUNTIFS(BD!$B$3:$B$5001,$A266,BD!$A$3:$A$5001,"&gt;="&amp;$F$7,BD!$A$3:$A$5001,"&lt;="&amp;$G$7,BD!$L$3:$L$5001,"&lt;&gt;")=0,"",SUMIFS(BD!$L$3:$L$5001,BD!$B$3:$B$5001,$A266,BD!$A$3:$A$5001,_xlfn.MAXIFS(BD!$A$3:$A$5001,BD!$B$3:$B$5001,$A266,BD!$A$3:$A$5001,"&gt;="&amp;$F$7,BD!$A$3:$A$5001,"&lt;="&amp;$G$7,BD!$L$3:$L$5001,"&lt;&gt;"))))</f>
        <v/>
      </c>
      <c r="H266" s="43" t="str">
        <f>IF($A266="","",IF(COUNTIFS(BD!$B$3:$B$5001,$A266,BD!$A$3:$A$5001,"&gt;="&amp;$F$8,BD!$A$3:$A$5001,"&lt;="&amp;$G$8,BD!$L$3:$L$5001,"&lt;&gt;")=0,"",SUMIFS(BD!$L$3:$L$5001,BD!$B$3:$B$5001,$A266,BD!$A$3:$A$5001,_xlfn.MAXIFS(BD!$A$3:$A$5001,BD!$B$3:$B$5001,$A266,BD!$A$3:$A$5001,"&gt;="&amp;$F$8,BD!$A$3:$A$5001,"&lt;="&amp;$G$8,BD!$L$3:$L$5001,"&lt;&gt;"))))</f>
        <v/>
      </c>
      <c r="I266" s="43" t="str">
        <f>IF($A266="","",IF(COUNTIFS(BD!$B$3:$B$5001,$A266,BD!$A$3:$A$5001,"&gt;="&amp;$F$7,BD!$A$3:$A$5001,"&lt;="&amp;$G$7,BD!$N$3:$N$5001,"&lt;&gt;")=0,"",SUMIFS(BD!$N$3:$N$5001,BD!$B$3:$B$5001,$A266,BD!$A$3:$A$5001,_xlfn.MAXIFS(BD!$A$3:$A$5001,BD!$B$3:$B$5001,$A266,BD!$A$3:$A$5001,"&gt;="&amp;$F$7,BD!$A$3:$A$5001,"&lt;="&amp;$G$7,BD!$N$3:$N$5001,"&lt;&gt;"))))</f>
        <v/>
      </c>
      <c r="J266" s="43" t="str">
        <f>IF($A266="","",IF(COUNTIFS(BD!$B$3:$B$5001,$A266,BD!$A$3:$A$5001,"&gt;="&amp;$F$8,BD!$A$3:$A$5001,"&lt;="&amp;$G$8,BD!$N$3:$N$5001,"&lt;&gt;")=0,"",SUMIFS(BD!$N$3:$N$5001,BD!$B$3:$B$5001,$A266,BD!$A$3:$A$5001,_xlfn.MAXIFS(BD!$A$3:$A$5001,BD!$B$3:$B$5001,$A266,BD!$A$3:$A$5001,"&gt;="&amp;$F$8,BD!$A$3:$A$5001,"&lt;="&amp;$G$8,BD!$N$3:$N$5001,"&lt;&gt;"))))</f>
        <v/>
      </c>
    </row>
    <row r="267">
      <c r="A267" s="65" t="str">
        <f>Config!$B$19&amp;""</f>
        <v/>
      </c>
      <c r="B267" s="38" t="str">
        <f>IF(Config!$C$19="","JSL",Config!$C$19)</f>
        <v>JSL</v>
      </c>
      <c r="C267" s="43" t="str">
        <f>IF($A267="","",IF(COUNTIFS(BD!$B$3:$B$5001,$A267,BD!$A$3:$A$5001,"&gt;="&amp;$F$7,BD!$A$3:$A$5001,"&lt;="&amp;$G$7,BD!$K$3:$K$5001,"&lt;&gt;")=0,"",SUMIFS(BD!$K$3:$K$5001,BD!$B$3:$B$5001,$A267,BD!$A$3:$A$5001,_xlfn.MAXIFS(BD!$A$3:$A$5001,BD!$B$3:$B$5001,$A267,BD!$A$3:$A$5001,"&gt;="&amp;$F$7,BD!$A$3:$A$5001,"&lt;="&amp;$G$7,BD!$K$3:$K$5001,"&lt;&gt;"))))</f>
        <v/>
      </c>
      <c r="D267" s="43" t="str">
        <f>IF($A267="","",IF(COUNTIFS(BD!$B$3:$B$5001,$A267,BD!$A$3:$A$5001,"&gt;="&amp;$F$8,BD!$A$3:$A$5001,"&lt;="&amp;$G$8,BD!$K$3:$K$5001,"&lt;&gt;")=0,"",SUMIFS(BD!$K$3:$K$5001,BD!$B$3:$B$5001,$A267,BD!$A$3:$A$5001,_xlfn.MAXIFS(BD!$A$3:$A$5001,BD!$B$3:$B$5001,$A267,BD!$A$3:$A$5001,"&gt;="&amp;$F$8,BD!$A$3:$A$5001,"&lt;="&amp;$G$8,BD!$K$3:$K$5001,"&lt;&gt;"))))</f>
        <v/>
      </c>
      <c r="E267" s="43" t="str">
        <f>IF($A267="","",IF(COUNTIFS(BD!$B$3:$B$5001,$A267,BD!$A$3:$A$5001,"&gt;="&amp;$F$7,BD!$A$3:$A$5001,"&lt;="&amp;$G$7,BD!$M$3:$M$5001,"&lt;&gt;")=0,"",SUMIFS(BD!$M$3:$M$5001,BD!$B$3:$B$5001,$A267,BD!$A$3:$A$5001,_xlfn.MAXIFS(BD!$A$3:$A$5001,BD!$B$3:$B$5001,$A267,BD!$A$3:$A$5001,"&gt;="&amp;$F$7,BD!$A$3:$A$5001,"&lt;="&amp;$G$7,BD!$M$3:$M$5001,"&lt;&gt;"))))</f>
        <v/>
      </c>
      <c r="F267" s="43" t="str">
        <f>IF($A267="","",IF(COUNTIFS(BD!$B$3:$B$5001,$A267,BD!$A$3:$A$5001,"&gt;="&amp;$F$8,BD!$A$3:$A$5001,"&lt;="&amp;$G$8,BD!$M$3:$M$5001,"&lt;&gt;")=0,"",SUMIFS(BD!$M$3:$M$5001,BD!$B$3:$B$5001,$A267,BD!$A$3:$A$5001,_xlfn.MAXIFS(BD!$A$3:$A$5001,BD!$B$3:$B$5001,$A267,BD!$A$3:$A$5001,"&gt;="&amp;$F$8,BD!$A$3:$A$5001,"&lt;="&amp;$G$8,BD!$M$3:$M$5001,"&lt;&gt;"))))</f>
        <v/>
      </c>
      <c r="G267" s="43" t="str">
        <f>IF($A267="","",IF(COUNTIFS(BD!$B$3:$B$5001,$A267,BD!$A$3:$A$5001,"&gt;="&amp;$F$7,BD!$A$3:$A$5001,"&lt;="&amp;$G$7,BD!$L$3:$L$5001,"&lt;&gt;")=0,"",SUMIFS(BD!$L$3:$L$5001,BD!$B$3:$B$5001,$A267,BD!$A$3:$A$5001,_xlfn.MAXIFS(BD!$A$3:$A$5001,BD!$B$3:$B$5001,$A267,BD!$A$3:$A$5001,"&gt;="&amp;$F$7,BD!$A$3:$A$5001,"&lt;="&amp;$G$7,BD!$L$3:$L$5001,"&lt;&gt;"))))</f>
        <v/>
      </c>
      <c r="H267" s="43" t="str">
        <f>IF($A267="","",IF(COUNTIFS(BD!$B$3:$B$5001,$A267,BD!$A$3:$A$5001,"&gt;="&amp;$F$8,BD!$A$3:$A$5001,"&lt;="&amp;$G$8,BD!$L$3:$L$5001,"&lt;&gt;")=0,"",SUMIFS(BD!$L$3:$L$5001,BD!$B$3:$B$5001,$A267,BD!$A$3:$A$5001,_xlfn.MAXIFS(BD!$A$3:$A$5001,BD!$B$3:$B$5001,$A267,BD!$A$3:$A$5001,"&gt;="&amp;$F$8,BD!$A$3:$A$5001,"&lt;="&amp;$G$8,BD!$L$3:$L$5001,"&lt;&gt;"))))</f>
        <v/>
      </c>
      <c r="I267" s="43" t="str">
        <f>IF($A267="","",IF(COUNTIFS(BD!$B$3:$B$5001,$A267,BD!$A$3:$A$5001,"&gt;="&amp;$F$7,BD!$A$3:$A$5001,"&lt;="&amp;$G$7,BD!$N$3:$N$5001,"&lt;&gt;")=0,"",SUMIFS(BD!$N$3:$N$5001,BD!$B$3:$B$5001,$A267,BD!$A$3:$A$5001,_xlfn.MAXIFS(BD!$A$3:$A$5001,BD!$B$3:$B$5001,$A267,BD!$A$3:$A$5001,"&gt;="&amp;$F$7,BD!$A$3:$A$5001,"&lt;="&amp;$G$7,BD!$N$3:$N$5001,"&lt;&gt;"))))</f>
        <v/>
      </c>
      <c r="J267" s="43" t="str">
        <f>IF($A267="","",IF(COUNTIFS(BD!$B$3:$B$5001,$A267,BD!$A$3:$A$5001,"&gt;="&amp;$F$8,BD!$A$3:$A$5001,"&lt;="&amp;$G$8,BD!$N$3:$N$5001,"&lt;&gt;")=0,"",SUMIFS(BD!$N$3:$N$5001,BD!$B$3:$B$5001,$A267,BD!$A$3:$A$5001,_xlfn.MAXIFS(BD!$A$3:$A$5001,BD!$B$3:$B$5001,$A267,BD!$A$3:$A$5001,"&gt;="&amp;$F$8,BD!$A$3:$A$5001,"&lt;="&amp;$G$8,BD!$N$3:$N$5001,"&lt;&gt;"))))</f>
        <v/>
      </c>
    </row>
    <row r="268">
      <c r="A268" s="65" t="str">
        <f>Config!$B$20&amp;""</f>
        <v/>
      </c>
      <c r="B268" s="38" t="str">
        <f>IF(Config!$C$20="","JSL",Config!$C$20)</f>
        <v>JSL</v>
      </c>
      <c r="C268" s="43" t="str">
        <f>IF($A268="","",IF(COUNTIFS(BD!$B$3:$B$5001,$A268,BD!$A$3:$A$5001,"&gt;="&amp;$F$7,BD!$A$3:$A$5001,"&lt;="&amp;$G$7,BD!$K$3:$K$5001,"&lt;&gt;")=0,"",SUMIFS(BD!$K$3:$K$5001,BD!$B$3:$B$5001,$A268,BD!$A$3:$A$5001,_xlfn.MAXIFS(BD!$A$3:$A$5001,BD!$B$3:$B$5001,$A268,BD!$A$3:$A$5001,"&gt;="&amp;$F$7,BD!$A$3:$A$5001,"&lt;="&amp;$G$7,BD!$K$3:$K$5001,"&lt;&gt;"))))</f>
        <v/>
      </c>
      <c r="D268" s="43" t="str">
        <f>IF($A268="","",IF(COUNTIFS(BD!$B$3:$B$5001,$A268,BD!$A$3:$A$5001,"&gt;="&amp;$F$8,BD!$A$3:$A$5001,"&lt;="&amp;$G$8,BD!$K$3:$K$5001,"&lt;&gt;")=0,"",SUMIFS(BD!$K$3:$K$5001,BD!$B$3:$B$5001,$A268,BD!$A$3:$A$5001,_xlfn.MAXIFS(BD!$A$3:$A$5001,BD!$B$3:$B$5001,$A268,BD!$A$3:$A$5001,"&gt;="&amp;$F$8,BD!$A$3:$A$5001,"&lt;="&amp;$G$8,BD!$K$3:$K$5001,"&lt;&gt;"))))</f>
        <v/>
      </c>
      <c r="E268" s="43" t="str">
        <f>IF($A268="","",IF(COUNTIFS(BD!$B$3:$B$5001,$A268,BD!$A$3:$A$5001,"&gt;="&amp;$F$7,BD!$A$3:$A$5001,"&lt;="&amp;$G$7,BD!$M$3:$M$5001,"&lt;&gt;")=0,"",SUMIFS(BD!$M$3:$M$5001,BD!$B$3:$B$5001,$A268,BD!$A$3:$A$5001,_xlfn.MAXIFS(BD!$A$3:$A$5001,BD!$B$3:$B$5001,$A268,BD!$A$3:$A$5001,"&gt;="&amp;$F$7,BD!$A$3:$A$5001,"&lt;="&amp;$G$7,BD!$M$3:$M$5001,"&lt;&gt;"))))</f>
        <v/>
      </c>
      <c r="F268" s="43" t="str">
        <f>IF($A268="","",IF(COUNTIFS(BD!$B$3:$B$5001,$A268,BD!$A$3:$A$5001,"&gt;="&amp;$F$8,BD!$A$3:$A$5001,"&lt;="&amp;$G$8,BD!$M$3:$M$5001,"&lt;&gt;")=0,"",SUMIFS(BD!$M$3:$M$5001,BD!$B$3:$B$5001,$A268,BD!$A$3:$A$5001,_xlfn.MAXIFS(BD!$A$3:$A$5001,BD!$B$3:$B$5001,$A268,BD!$A$3:$A$5001,"&gt;="&amp;$F$8,BD!$A$3:$A$5001,"&lt;="&amp;$G$8,BD!$M$3:$M$5001,"&lt;&gt;"))))</f>
        <v/>
      </c>
      <c r="G268" s="43" t="str">
        <f>IF($A268="","",IF(COUNTIFS(BD!$B$3:$B$5001,$A268,BD!$A$3:$A$5001,"&gt;="&amp;$F$7,BD!$A$3:$A$5001,"&lt;="&amp;$G$7,BD!$L$3:$L$5001,"&lt;&gt;")=0,"",SUMIFS(BD!$L$3:$L$5001,BD!$B$3:$B$5001,$A268,BD!$A$3:$A$5001,_xlfn.MAXIFS(BD!$A$3:$A$5001,BD!$B$3:$B$5001,$A268,BD!$A$3:$A$5001,"&gt;="&amp;$F$7,BD!$A$3:$A$5001,"&lt;="&amp;$G$7,BD!$L$3:$L$5001,"&lt;&gt;"))))</f>
        <v/>
      </c>
      <c r="H268" s="43" t="str">
        <f>IF($A268="","",IF(COUNTIFS(BD!$B$3:$B$5001,$A268,BD!$A$3:$A$5001,"&gt;="&amp;$F$8,BD!$A$3:$A$5001,"&lt;="&amp;$G$8,BD!$L$3:$L$5001,"&lt;&gt;")=0,"",SUMIFS(BD!$L$3:$L$5001,BD!$B$3:$B$5001,$A268,BD!$A$3:$A$5001,_xlfn.MAXIFS(BD!$A$3:$A$5001,BD!$B$3:$B$5001,$A268,BD!$A$3:$A$5001,"&gt;="&amp;$F$8,BD!$A$3:$A$5001,"&lt;="&amp;$G$8,BD!$L$3:$L$5001,"&lt;&gt;"))))</f>
        <v/>
      </c>
      <c r="I268" s="43" t="str">
        <f>IF($A268="","",IF(COUNTIFS(BD!$B$3:$B$5001,$A268,BD!$A$3:$A$5001,"&gt;="&amp;$F$7,BD!$A$3:$A$5001,"&lt;="&amp;$G$7,BD!$N$3:$N$5001,"&lt;&gt;")=0,"",SUMIFS(BD!$N$3:$N$5001,BD!$B$3:$B$5001,$A268,BD!$A$3:$A$5001,_xlfn.MAXIFS(BD!$A$3:$A$5001,BD!$B$3:$B$5001,$A268,BD!$A$3:$A$5001,"&gt;="&amp;$F$7,BD!$A$3:$A$5001,"&lt;="&amp;$G$7,BD!$N$3:$N$5001,"&lt;&gt;"))))</f>
        <v/>
      </c>
      <c r="J268" s="43" t="str">
        <f>IF($A268="","",IF(COUNTIFS(BD!$B$3:$B$5001,$A268,BD!$A$3:$A$5001,"&gt;="&amp;$F$8,BD!$A$3:$A$5001,"&lt;="&amp;$G$8,BD!$N$3:$N$5001,"&lt;&gt;")=0,"",SUMIFS(BD!$N$3:$N$5001,BD!$B$3:$B$5001,$A268,BD!$A$3:$A$5001,_xlfn.MAXIFS(BD!$A$3:$A$5001,BD!$B$3:$B$5001,$A268,BD!$A$3:$A$5001,"&gt;="&amp;$F$8,BD!$A$3:$A$5001,"&lt;="&amp;$G$8,BD!$N$3:$N$5001,"&lt;&gt;"))))</f>
        <v/>
      </c>
    </row>
    <row r="269">
      <c r="A269" s="65" t="str">
        <f>Config!$B$21&amp;""</f>
        <v/>
      </c>
      <c r="B269" s="38" t="str">
        <f>IF(Config!$C$21="","JSL",Config!$C$21)</f>
        <v>JSL</v>
      </c>
      <c r="C269" s="43" t="str">
        <f>IF($A269="","",IF(COUNTIFS(BD!$B$3:$B$5001,$A269,BD!$A$3:$A$5001,"&gt;="&amp;$F$7,BD!$A$3:$A$5001,"&lt;="&amp;$G$7,BD!$K$3:$K$5001,"&lt;&gt;")=0,"",SUMIFS(BD!$K$3:$K$5001,BD!$B$3:$B$5001,$A269,BD!$A$3:$A$5001,_xlfn.MAXIFS(BD!$A$3:$A$5001,BD!$B$3:$B$5001,$A269,BD!$A$3:$A$5001,"&gt;="&amp;$F$7,BD!$A$3:$A$5001,"&lt;="&amp;$G$7,BD!$K$3:$K$5001,"&lt;&gt;"))))</f>
        <v/>
      </c>
      <c r="D269" s="43" t="str">
        <f>IF($A269="","",IF(COUNTIFS(BD!$B$3:$B$5001,$A269,BD!$A$3:$A$5001,"&gt;="&amp;$F$8,BD!$A$3:$A$5001,"&lt;="&amp;$G$8,BD!$K$3:$K$5001,"&lt;&gt;")=0,"",SUMIFS(BD!$K$3:$K$5001,BD!$B$3:$B$5001,$A269,BD!$A$3:$A$5001,_xlfn.MAXIFS(BD!$A$3:$A$5001,BD!$B$3:$B$5001,$A269,BD!$A$3:$A$5001,"&gt;="&amp;$F$8,BD!$A$3:$A$5001,"&lt;="&amp;$G$8,BD!$K$3:$K$5001,"&lt;&gt;"))))</f>
        <v/>
      </c>
      <c r="E269" s="43" t="str">
        <f>IF($A269="","",IF(COUNTIFS(BD!$B$3:$B$5001,$A269,BD!$A$3:$A$5001,"&gt;="&amp;$F$7,BD!$A$3:$A$5001,"&lt;="&amp;$G$7,BD!$M$3:$M$5001,"&lt;&gt;")=0,"",SUMIFS(BD!$M$3:$M$5001,BD!$B$3:$B$5001,$A269,BD!$A$3:$A$5001,_xlfn.MAXIFS(BD!$A$3:$A$5001,BD!$B$3:$B$5001,$A269,BD!$A$3:$A$5001,"&gt;="&amp;$F$7,BD!$A$3:$A$5001,"&lt;="&amp;$G$7,BD!$M$3:$M$5001,"&lt;&gt;"))))</f>
        <v/>
      </c>
      <c r="F269" s="43" t="str">
        <f>IF($A269="","",IF(COUNTIFS(BD!$B$3:$B$5001,$A269,BD!$A$3:$A$5001,"&gt;="&amp;$F$8,BD!$A$3:$A$5001,"&lt;="&amp;$G$8,BD!$M$3:$M$5001,"&lt;&gt;")=0,"",SUMIFS(BD!$M$3:$M$5001,BD!$B$3:$B$5001,$A269,BD!$A$3:$A$5001,_xlfn.MAXIFS(BD!$A$3:$A$5001,BD!$B$3:$B$5001,$A269,BD!$A$3:$A$5001,"&gt;="&amp;$F$8,BD!$A$3:$A$5001,"&lt;="&amp;$G$8,BD!$M$3:$M$5001,"&lt;&gt;"))))</f>
        <v/>
      </c>
      <c r="G269" s="43" t="str">
        <f>IF($A269="","",IF(COUNTIFS(BD!$B$3:$B$5001,$A269,BD!$A$3:$A$5001,"&gt;="&amp;$F$7,BD!$A$3:$A$5001,"&lt;="&amp;$G$7,BD!$L$3:$L$5001,"&lt;&gt;")=0,"",SUMIFS(BD!$L$3:$L$5001,BD!$B$3:$B$5001,$A269,BD!$A$3:$A$5001,_xlfn.MAXIFS(BD!$A$3:$A$5001,BD!$B$3:$B$5001,$A269,BD!$A$3:$A$5001,"&gt;="&amp;$F$7,BD!$A$3:$A$5001,"&lt;="&amp;$G$7,BD!$L$3:$L$5001,"&lt;&gt;"))))</f>
        <v/>
      </c>
      <c r="H269" s="43" t="str">
        <f>IF($A269="","",IF(COUNTIFS(BD!$B$3:$B$5001,$A269,BD!$A$3:$A$5001,"&gt;="&amp;$F$8,BD!$A$3:$A$5001,"&lt;="&amp;$G$8,BD!$L$3:$L$5001,"&lt;&gt;")=0,"",SUMIFS(BD!$L$3:$L$5001,BD!$B$3:$B$5001,$A269,BD!$A$3:$A$5001,_xlfn.MAXIFS(BD!$A$3:$A$5001,BD!$B$3:$B$5001,$A269,BD!$A$3:$A$5001,"&gt;="&amp;$F$8,BD!$A$3:$A$5001,"&lt;="&amp;$G$8,BD!$L$3:$L$5001,"&lt;&gt;"))))</f>
        <v/>
      </c>
      <c r="I269" s="43" t="str">
        <f>IF($A269="","",IF(COUNTIFS(BD!$B$3:$B$5001,$A269,BD!$A$3:$A$5001,"&gt;="&amp;$F$7,BD!$A$3:$A$5001,"&lt;="&amp;$G$7,BD!$N$3:$N$5001,"&lt;&gt;")=0,"",SUMIFS(BD!$N$3:$N$5001,BD!$B$3:$B$5001,$A269,BD!$A$3:$A$5001,_xlfn.MAXIFS(BD!$A$3:$A$5001,BD!$B$3:$B$5001,$A269,BD!$A$3:$A$5001,"&gt;="&amp;$F$7,BD!$A$3:$A$5001,"&lt;="&amp;$G$7,BD!$N$3:$N$5001,"&lt;&gt;"))))</f>
        <v/>
      </c>
      <c r="J269" s="43" t="str">
        <f>IF($A269="","",IF(COUNTIFS(BD!$B$3:$B$5001,$A269,BD!$A$3:$A$5001,"&gt;="&amp;$F$8,BD!$A$3:$A$5001,"&lt;="&amp;$G$8,BD!$N$3:$N$5001,"&lt;&gt;")=0,"",SUMIFS(BD!$N$3:$N$5001,BD!$B$3:$B$5001,$A269,BD!$A$3:$A$5001,_xlfn.MAXIFS(BD!$A$3:$A$5001,BD!$B$3:$B$5001,$A269,BD!$A$3:$A$5001,"&gt;="&amp;$F$8,BD!$A$3:$A$5001,"&lt;="&amp;$G$8,BD!$N$3:$N$5001,"&lt;&gt;"))))</f>
        <v/>
      </c>
    </row>
    <row r="270">
      <c r="A270" s="65" t="str">
        <f>Config!$B$22&amp;""</f>
        <v/>
      </c>
      <c r="B270" s="38" t="str">
        <f>IF(Config!$C$22="","JSL",Config!$C$22)</f>
        <v>JSL</v>
      </c>
      <c r="C270" s="43" t="str">
        <f>IF($A270="","",IF(COUNTIFS(BD!$B$3:$B$5001,$A270,BD!$A$3:$A$5001,"&gt;="&amp;$F$7,BD!$A$3:$A$5001,"&lt;="&amp;$G$7,BD!$K$3:$K$5001,"&lt;&gt;")=0,"",SUMIFS(BD!$K$3:$K$5001,BD!$B$3:$B$5001,$A270,BD!$A$3:$A$5001,_xlfn.MAXIFS(BD!$A$3:$A$5001,BD!$B$3:$B$5001,$A270,BD!$A$3:$A$5001,"&gt;="&amp;$F$7,BD!$A$3:$A$5001,"&lt;="&amp;$G$7,BD!$K$3:$K$5001,"&lt;&gt;"))))</f>
        <v/>
      </c>
      <c r="D270" s="43" t="str">
        <f>IF($A270="","",IF(COUNTIFS(BD!$B$3:$B$5001,$A270,BD!$A$3:$A$5001,"&gt;="&amp;$F$8,BD!$A$3:$A$5001,"&lt;="&amp;$G$8,BD!$K$3:$K$5001,"&lt;&gt;")=0,"",SUMIFS(BD!$K$3:$K$5001,BD!$B$3:$B$5001,$A270,BD!$A$3:$A$5001,_xlfn.MAXIFS(BD!$A$3:$A$5001,BD!$B$3:$B$5001,$A270,BD!$A$3:$A$5001,"&gt;="&amp;$F$8,BD!$A$3:$A$5001,"&lt;="&amp;$G$8,BD!$K$3:$K$5001,"&lt;&gt;"))))</f>
        <v/>
      </c>
      <c r="E270" s="43" t="str">
        <f>IF($A270="","",IF(COUNTIFS(BD!$B$3:$B$5001,$A270,BD!$A$3:$A$5001,"&gt;="&amp;$F$7,BD!$A$3:$A$5001,"&lt;="&amp;$G$7,BD!$M$3:$M$5001,"&lt;&gt;")=0,"",SUMIFS(BD!$M$3:$M$5001,BD!$B$3:$B$5001,$A270,BD!$A$3:$A$5001,_xlfn.MAXIFS(BD!$A$3:$A$5001,BD!$B$3:$B$5001,$A270,BD!$A$3:$A$5001,"&gt;="&amp;$F$7,BD!$A$3:$A$5001,"&lt;="&amp;$G$7,BD!$M$3:$M$5001,"&lt;&gt;"))))</f>
        <v/>
      </c>
      <c r="F270" s="43" t="str">
        <f>IF($A270="","",IF(COUNTIFS(BD!$B$3:$B$5001,$A270,BD!$A$3:$A$5001,"&gt;="&amp;$F$8,BD!$A$3:$A$5001,"&lt;="&amp;$G$8,BD!$M$3:$M$5001,"&lt;&gt;")=0,"",SUMIFS(BD!$M$3:$M$5001,BD!$B$3:$B$5001,$A270,BD!$A$3:$A$5001,_xlfn.MAXIFS(BD!$A$3:$A$5001,BD!$B$3:$B$5001,$A270,BD!$A$3:$A$5001,"&gt;="&amp;$F$8,BD!$A$3:$A$5001,"&lt;="&amp;$G$8,BD!$M$3:$M$5001,"&lt;&gt;"))))</f>
        <v/>
      </c>
      <c r="G270" s="43" t="str">
        <f>IF($A270="","",IF(COUNTIFS(BD!$B$3:$B$5001,$A270,BD!$A$3:$A$5001,"&gt;="&amp;$F$7,BD!$A$3:$A$5001,"&lt;="&amp;$G$7,BD!$L$3:$L$5001,"&lt;&gt;")=0,"",SUMIFS(BD!$L$3:$L$5001,BD!$B$3:$B$5001,$A270,BD!$A$3:$A$5001,_xlfn.MAXIFS(BD!$A$3:$A$5001,BD!$B$3:$B$5001,$A270,BD!$A$3:$A$5001,"&gt;="&amp;$F$7,BD!$A$3:$A$5001,"&lt;="&amp;$G$7,BD!$L$3:$L$5001,"&lt;&gt;"))))</f>
        <v/>
      </c>
      <c r="H270" s="43" t="str">
        <f>IF($A270="","",IF(COUNTIFS(BD!$B$3:$B$5001,$A270,BD!$A$3:$A$5001,"&gt;="&amp;$F$8,BD!$A$3:$A$5001,"&lt;="&amp;$G$8,BD!$L$3:$L$5001,"&lt;&gt;")=0,"",SUMIFS(BD!$L$3:$L$5001,BD!$B$3:$B$5001,$A270,BD!$A$3:$A$5001,_xlfn.MAXIFS(BD!$A$3:$A$5001,BD!$B$3:$B$5001,$A270,BD!$A$3:$A$5001,"&gt;="&amp;$F$8,BD!$A$3:$A$5001,"&lt;="&amp;$G$8,BD!$L$3:$L$5001,"&lt;&gt;"))))</f>
        <v/>
      </c>
      <c r="I270" s="43" t="str">
        <f>IF($A270="","",IF(COUNTIFS(BD!$B$3:$B$5001,$A270,BD!$A$3:$A$5001,"&gt;="&amp;$F$7,BD!$A$3:$A$5001,"&lt;="&amp;$G$7,BD!$N$3:$N$5001,"&lt;&gt;")=0,"",SUMIFS(BD!$N$3:$N$5001,BD!$B$3:$B$5001,$A270,BD!$A$3:$A$5001,_xlfn.MAXIFS(BD!$A$3:$A$5001,BD!$B$3:$B$5001,$A270,BD!$A$3:$A$5001,"&gt;="&amp;$F$7,BD!$A$3:$A$5001,"&lt;="&amp;$G$7,BD!$N$3:$N$5001,"&lt;&gt;"))))</f>
        <v/>
      </c>
      <c r="J270" s="43" t="str">
        <f>IF($A270="","",IF(COUNTIFS(BD!$B$3:$B$5001,$A270,BD!$A$3:$A$5001,"&gt;="&amp;$F$8,BD!$A$3:$A$5001,"&lt;="&amp;$G$8,BD!$N$3:$N$5001,"&lt;&gt;")=0,"",SUMIFS(BD!$N$3:$N$5001,BD!$B$3:$B$5001,$A270,BD!$A$3:$A$5001,_xlfn.MAXIFS(BD!$A$3:$A$5001,BD!$B$3:$B$5001,$A270,BD!$A$3:$A$5001,"&gt;="&amp;$F$8,BD!$A$3:$A$5001,"&lt;="&amp;$G$8,BD!$N$3:$N$5001,"&lt;&gt;"))))</f>
        <v/>
      </c>
    </row>
    <row r="271">
      <c r="A271" s="65" t="str">
        <f>Config!$B$23&amp;""</f>
        <v/>
      </c>
      <c r="B271" s="38" t="str">
        <f>IF(Config!$C$23="","JSL",Config!$C$23)</f>
        <v>JSL</v>
      </c>
      <c r="C271" s="43" t="str">
        <f>IF($A271="","",IF(COUNTIFS(BD!$B$3:$B$5001,$A271,BD!$A$3:$A$5001,"&gt;="&amp;$F$7,BD!$A$3:$A$5001,"&lt;="&amp;$G$7,BD!$K$3:$K$5001,"&lt;&gt;")=0,"",SUMIFS(BD!$K$3:$K$5001,BD!$B$3:$B$5001,$A271,BD!$A$3:$A$5001,_xlfn.MAXIFS(BD!$A$3:$A$5001,BD!$B$3:$B$5001,$A271,BD!$A$3:$A$5001,"&gt;="&amp;$F$7,BD!$A$3:$A$5001,"&lt;="&amp;$G$7,BD!$K$3:$K$5001,"&lt;&gt;"))))</f>
        <v/>
      </c>
      <c r="D271" s="43" t="str">
        <f>IF($A271="","",IF(COUNTIFS(BD!$B$3:$B$5001,$A271,BD!$A$3:$A$5001,"&gt;="&amp;$F$8,BD!$A$3:$A$5001,"&lt;="&amp;$G$8,BD!$K$3:$K$5001,"&lt;&gt;")=0,"",SUMIFS(BD!$K$3:$K$5001,BD!$B$3:$B$5001,$A271,BD!$A$3:$A$5001,_xlfn.MAXIFS(BD!$A$3:$A$5001,BD!$B$3:$B$5001,$A271,BD!$A$3:$A$5001,"&gt;="&amp;$F$8,BD!$A$3:$A$5001,"&lt;="&amp;$G$8,BD!$K$3:$K$5001,"&lt;&gt;"))))</f>
        <v/>
      </c>
      <c r="E271" s="43" t="str">
        <f>IF($A271="","",IF(COUNTIFS(BD!$B$3:$B$5001,$A271,BD!$A$3:$A$5001,"&gt;="&amp;$F$7,BD!$A$3:$A$5001,"&lt;="&amp;$G$7,BD!$M$3:$M$5001,"&lt;&gt;")=0,"",SUMIFS(BD!$M$3:$M$5001,BD!$B$3:$B$5001,$A271,BD!$A$3:$A$5001,_xlfn.MAXIFS(BD!$A$3:$A$5001,BD!$B$3:$B$5001,$A271,BD!$A$3:$A$5001,"&gt;="&amp;$F$7,BD!$A$3:$A$5001,"&lt;="&amp;$G$7,BD!$M$3:$M$5001,"&lt;&gt;"))))</f>
        <v/>
      </c>
      <c r="F271" s="43" t="str">
        <f>IF($A271="","",IF(COUNTIFS(BD!$B$3:$B$5001,$A271,BD!$A$3:$A$5001,"&gt;="&amp;$F$8,BD!$A$3:$A$5001,"&lt;="&amp;$G$8,BD!$M$3:$M$5001,"&lt;&gt;")=0,"",SUMIFS(BD!$M$3:$M$5001,BD!$B$3:$B$5001,$A271,BD!$A$3:$A$5001,_xlfn.MAXIFS(BD!$A$3:$A$5001,BD!$B$3:$B$5001,$A271,BD!$A$3:$A$5001,"&gt;="&amp;$F$8,BD!$A$3:$A$5001,"&lt;="&amp;$G$8,BD!$M$3:$M$5001,"&lt;&gt;"))))</f>
        <v/>
      </c>
      <c r="G271" s="43" t="str">
        <f>IF($A271="","",IF(COUNTIFS(BD!$B$3:$B$5001,$A271,BD!$A$3:$A$5001,"&gt;="&amp;$F$7,BD!$A$3:$A$5001,"&lt;="&amp;$G$7,BD!$L$3:$L$5001,"&lt;&gt;")=0,"",SUMIFS(BD!$L$3:$L$5001,BD!$B$3:$B$5001,$A271,BD!$A$3:$A$5001,_xlfn.MAXIFS(BD!$A$3:$A$5001,BD!$B$3:$B$5001,$A271,BD!$A$3:$A$5001,"&gt;="&amp;$F$7,BD!$A$3:$A$5001,"&lt;="&amp;$G$7,BD!$L$3:$L$5001,"&lt;&gt;"))))</f>
        <v/>
      </c>
      <c r="H271" s="43" t="str">
        <f>IF($A271="","",IF(COUNTIFS(BD!$B$3:$B$5001,$A271,BD!$A$3:$A$5001,"&gt;="&amp;$F$8,BD!$A$3:$A$5001,"&lt;="&amp;$G$8,BD!$L$3:$L$5001,"&lt;&gt;")=0,"",SUMIFS(BD!$L$3:$L$5001,BD!$B$3:$B$5001,$A271,BD!$A$3:$A$5001,_xlfn.MAXIFS(BD!$A$3:$A$5001,BD!$B$3:$B$5001,$A271,BD!$A$3:$A$5001,"&gt;="&amp;$F$8,BD!$A$3:$A$5001,"&lt;="&amp;$G$8,BD!$L$3:$L$5001,"&lt;&gt;"))))</f>
        <v/>
      </c>
      <c r="I271" s="43" t="str">
        <f>IF($A271="","",IF(COUNTIFS(BD!$B$3:$B$5001,$A271,BD!$A$3:$A$5001,"&gt;="&amp;$F$7,BD!$A$3:$A$5001,"&lt;="&amp;$G$7,BD!$N$3:$N$5001,"&lt;&gt;")=0,"",SUMIFS(BD!$N$3:$N$5001,BD!$B$3:$B$5001,$A271,BD!$A$3:$A$5001,_xlfn.MAXIFS(BD!$A$3:$A$5001,BD!$B$3:$B$5001,$A271,BD!$A$3:$A$5001,"&gt;="&amp;$F$7,BD!$A$3:$A$5001,"&lt;="&amp;$G$7,BD!$N$3:$N$5001,"&lt;&gt;"))))</f>
        <v/>
      </c>
      <c r="J271" s="43" t="str">
        <f>IF($A271="","",IF(COUNTIFS(BD!$B$3:$B$5001,$A271,BD!$A$3:$A$5001,"&gt;="&amp;$F$8,BD!$A$3:$A$5001,"&lt;="&amp;$G$8,BD!$N$3:$N$5001,"&lt;&gt;")=0,"",SUMIFS(BD!$N$3:$N$5001,BD!$B$3:$B$5001,$A271,BD!$A$3:$A$5001,_xlfn.MAXIFS(BD!$A$3:$A$5001,BD!$B$3:$B$5001,$A271,BD!$A$3:$A$5001,"&gt;="&amp;$F$8,BD!$A$3:$A$5001,"&lt;="&amp;$G$8,BD!$N$3:$N$5001,"&lt;&gt;"))))</f>
        <v/>
      </c>
    </row>
    <row r="272">
      <c r="A272" s="65" t="str">
        <f>Config!$B$24&amp;""</f>
        <v/>
      </c>
      <c r="B272" s="38" t="str">
        <f>IF(Config!$C$24="","JSL",Config!$C$24)</f>
        <v>JSL</v>
      </c>
      <c r="C272" s="43" t="str">
        <f>IF($A272="","",IF(COUNTIFS(BD!$B$3:$B$5001,$A272,BD!$A$3:$A$5001,"&gt;="&amp;$F$7,BD!$A$3:$A$5001,"&lt;="&amp;$G$7,BD!$K$3:$K$5001,"&lt;&gt;")=0,"",SUMIFS(BD!$K$3:$K$5001,BD!$B$3:$B$5001,$A272,BD!$A$3:$A$5001,_xlfn.MAXIFS(BD!$A$3:$A$5001,BD!$B$3:$B$5001,$A272,BD!$A$3:$A$5001,"&gt;="&amp;$F$7,BD!$A$3:$A$5001,"&lt;="&amp;$G$7,BD!$K$3:$K$5001,"&lt;&gt;"))))</f>
        <v/>
      </c>
      <c r="D272" s="43" t="str">
        <f>IF($A272="","",IF(COUNTIFS(BD!$B$3:$B$5001,$A272,BD!$A$3:$A$5001,"&gt;="&amp;$F$8,BD!$A$3:$A$5001,"&lt;="&amp;$G$8,BD!$K$3:$K$5001,"&lt;&gt;")=0,"",SUMIFS(BD!$K$3:$K$5001,BD!$B$3:$B$5001,$A272,BD!$A$3:$A$5001,_xlfn.MAXIFS(BD!$A$3:$A$5001,BD!$B$3:$B$5001,$A272,BD!$A$3:$A$5001,"&gt;="&amp;$F$8,BD!$A$3:$A$5001,"&lt;="&amp;$G$8,BD!$K$3:$K$5001,"&lt;&gt;"))))</f>
        <v/>
      </c>
      <c r="E272" s="43" t="str">
        <f>IF($A272="","",IF(COUNTIFS(BD!$B$3:$B$5001,$A272,BD!$A$3:$A$5001,"&gt;="&amp;$F$7,BD!$A$3:$A$5001,"&lt;="&amp;$G$7,BD!$M$3:$M$5001,"&lt;&gt;")=0,"",SUMIFS(BD!$M$3:$M$5001,BD!$B$3:$B$5001,$A272,BD!$A$3:$A$5001,_xlfn.MAXIFS(BD!$A$3:$A$5001,BD!$B$3:$B$5001,$A272,BD!$A$3:$A$5001,"&gt;="&amp;$F$7,BD!$A$3:$A$5001,"&lt;="&amp;$G$7,BD!$M$3:$M$5001,"&lt;&gt;"))))</f>
        <v/>
      </c>
      <c r="F272" s="43" t="str">
        <f>IF($A272="","",IF(COUNTIFS(BD!$B$3:$B$5001,$A272,BD!$A$3:$A$5001,"&gt;="&amp;$F$8,BD!$A$3:$A$5001,"&lt;="&amp;$G$8,BD!$M$3:$M$5001,"&lt;&gt;")=0,"",SUMIFS(BD!$M$3:$M$5001,BD!$B$3:$B$5001,$A272,BD!$A$3:$A$5001,_xlfn.MAXIFS(BD!$A$3:$A$5001,BD!$B$3:$B$5001,$A272,BD!$A$3:$A$5001,"&gt;="&amp;$F$8,BD!$A$3:$A$5001,"&lt;="&amp;$G$8,BD!$M$3:$M$5001,"&lt;&gt;"))))</f>
        <v/>
      </c>
      <c r="G272" s="43" t="str">
        <f>IF($A272="","",IF(COUNTIFS(BD!$B$3:$B$5001,$A272,BD!$A$3:$A$5001,"&gt;="&amp;$F$7,BD!$A$3:$A$5001,"&lt;="&amp;$G$7,BD!$L$3:$L$5001,"&lt;&gt;")=0,"",SUMIFS(BD!$L$3:$L$5001,BD!$B$3:$B$5001,$A272,BD!$A$3:$A$5001,_xlfn.MAXIFS(BD!$A$3:$A$5001,BD!$B$3:$B$5001,$A272,BD!$A$3:$A$5001,"&gt;="&amp;$F$7,BD!$A$3:$A$5001,"&lt;="&amp;$G$7,BD!$L$3:$L$5001,"&lt;&gt;"))))</f>
        <v/>
      </c>
      <c r="H272" s="43" t="str">
        <f>IF($A272="","",IF(COUNTIFS(BD!$B$3:$B$5001,$A272,BD!$A$3:$A$5001,"&gt;="&amp;$F$8,BD!$A$3:$A$5001,"&lt;="&amp;$G$8,BD!$L$3:$L$5001,"&lt;&gt;")=0,"",SUMIFS(BD!$L$3:$L$5001,BD!$B$3:$B$5001,$A272,BD!$A$3:$A$5001,_xlfn.MAXIFS(BD!$A$3:$A$5001,BD!$B$3:$B$5001,$A272,BD!$A$3:$A$5001,"&gt;="&amp;$F$8,BD!$A$3:$A$5001,"&lt;="&amp;$G$8,BD!$L$3:$L$5001,"&lt;&gt;"))))</f>
        <v/>
      </c>
      <c r="I272" s="43" t="str">
        <f>IF($A272="","",IF(COUNTIFS(BD!$B$3:$B$5001,$A272,BD!$A$3:$A$5001,"&gt;="&amp;$F$7,BD!$A$3:$A$5001,"&lt;="&amp;$G$7,BD!$N$3:$N$5001,"&lt;&gt;")=0,"",SUMIFS(BD!$N$3:$N$5001,BD!$B$3:$B$5001,$A272,BD!$A$3:$A$5001,_xlfn.MAXIFS(BD!$A$3:$A$5001,BD!$B$3:$B$5001,$A272,BD!$A$3:$A$5001,"&gt;="&amp;$F$7,BD!$A$3:$A$5001,"&lt;="&amp;$G$7,BD!$N$3:$N$5001,"&lt;&gt;"))))</f>
        <v/>
      </c>
      <c r="J272" s="43" t="str">
        <f>IF($A272="","",IF(COUNTIFS(BD!$B$3:$B$5001,$A272,BD!$A$3:$A$5001,"&gt;="&amp;$F$8,BD!$A$3:$A$5001,"&lt;="&amp;$G$8,BD!$N$3:$N$5001,"&lt;&gt;")=0,"",SUMIFS(BD!$N$3:$N$5001,BD!$B$3:$B$5001,$A272,BD!$A$3:$A$5001,_xlfn.MAXIFS(BD!$A$3:$A$5001,BD!$B$3:$B$5001,$A272,BD!$A$3:$A$5001,"&gt;="&amp;$F$8,BD!$A$3:$A$5001,"&lt;="&amp;$G$8,BD!$N$3:$N$5001,"&lt;&gt;"))))</f>
        <v/>
      </c>
    </row>
    <row r="273">
      <c r="A273" s="65" t="str">
        <f>Config!$B$25&amp;""</f>
        <v/>
      </c>
      <c r="B273" s="38" t="str">
        <f>IF(Config!$C$25="","JSL",Config!$C$25)</f>
        <v>JSL</v>
      </c>
      <c r="C273" s="43" t="str">
        <f>IF($A273="","",IF(COUNTIFS(BD!$B$3:$B$5001,$A273,BD!$A$3:$A$5001,"&gt;="&amp;$F$7,BD!$A$3:$A$5001,"&lt;="&amp;$G$7,BD!$K$3:$K$5001,"&lt;&gt;")=0,"",SUMIFS(BD!$K$3:$K$5001,BD!$B$3:$B$5001,$A273,BD!$A$3:$A$5001,_xlfn.MAXIFS(BD!$A$3:$A$5001,BD!$B$3:$B$5001,$A273,BD!$A$3:$A$5001,"&gt;="&amp;$F$7,BD!$A$3:$A$5001,"&lt;="&amp;$G$7,BD!$K$3:$K$5001,"&lt;&gt;"))))</f>
        <v/>
      </c>
      <c r="D273" s="43" t="str">
        <f>IF($A273="","",IF(COUNTIFS(BD!$B$3:$B$5001,$A273,BD!$A$3:$A$5001,"&gt;="&amp;$F$8,BD!$A$3:$A$5001,"&lt;="&amp;$G$8,BD!$K$3:$K$5001,"&lt;&gt;")=0,"",SUMIFS(BD!$K$3:$K$5001,BD!$B$3:$B$5001,$A273,BD!$A$3:$A$5001,_xlfn.MAXIFS(BD!$A$3:$A$5001,BD!$B$3:$B$5001,$A273,BD!$A$3:$A$5001,"&gt;="&amp;$F$8,BD!$A$3:$A$5001,"&lt;="&amp;$G$8,BD!$K$3:$K$5001,"&lt;&gt;"))))</f>
        <v/>
      </c>
      <c r="E273" s="43" t="str">
        <f>IF($A273="","",IF(COUNTIFS(BD!$B$3:$B$5001,$A273,BD!$A$3:$A$5001,"&gt;="&amp;$F$7,BD!$A$3:$A$5001,"&lt;="&amp;$G$7,BD!$M$3:$M$5001,"&lt;&gt;")=0,"",SUMIFS(BD!$M$3:$M$5001,BD!$B$3:$B$5001,$A273,BD!$A$3:$A$5001,_xlfn.MAXIFS(BD!$A$3:$A$5001,BD!$B$3:$B$5001,$A273,BD!$A$3:$A$5001,"&gt;="&amp;$F$7,BD!$A$3:$A$5001,"&lt;="&amp;$G$7,BD!$M$3:$M$5001,"&lt;&gt;"))))</f>
        <v/>
      </c>
      <c r="F273" s="43" t="str">
        <f>IF($A273="","",IF(COUNTIFS(BD!$B$3:$B$5001,$A273,BD!$A$3:$A$5001,"&gt;="&amp;$F$8,BD!$A$3:$A$5001,"&lt;="&amp;$G$8,BD!$M$3:$M$5001,"&lt;&gt;")=0,"",SUMIFS(BD!$M$3:$M$5001,BD!$B$3:$B$5001,$A273,BD!$A$3:$A$5001,_xlfn.MAXIFS(BD!$A$3:$A$5001,BD!$B$3:$B$5001,$A273,BD!$A$3:$A$5001,"&gt;="&amp;$F$8,BD!$A$3:$A$5001,"&lt;="&amp;$G$8,BD!$M$3:$M$5001,"&lt;&gt;"))))</f>
        <v/>
      </c>
      <c r="G273" s="43" t="str">
        <f>IF($A273="","",IF(COUNTIFS(BD!$B$3:$B$5001,$A273,BD!$A$3:$A$5001,"&gt;="&amp;$F$7,BD!$A$3:$A$5001,"&lt;="&amp;$G$7,BD!$L$3:$L$5001,"&lt;&gt;")=0,"",SUMIFS(BD!$L$3:$L$5001,BD!$B$3:$B$5001,$A273,BD!$A$3:$A$5001,_xlfn.MAXIFS(BD!$A$3:$A$5001,BD!$B$3:$B$5001,$A273,BD!$A$3:$A$5001,"&gt;="&amp;$F$7,BD!$A$3:$A$5001,"&lt;="&amp;$G$7,BD!$L$3:$L$5001,"&lt;&gt;"))))</f>
        <v/>
      </c>
      <c r="H273" s="43" t="str">
        <f>IF($A273="","",IF(COUNTIFS(BD!$B$3:$B$5001,$A273,BD!$A$3:$A$5001,"&gt;="&amp;$F$8,BD!$A$3:$A$5001,"&lt;="&amp;$G$8,BD!$L$3:$L$5001,"&lt;&gt;")=0,"",SUMIFS(BD!$L$3:$L$5001,BD!$B$3:$B$5001,$A273,BD!$A$3:$A$5001,_xlfn.MAXIFS(BD!$A$3:$A$5001,BD!$B$3:$B$5001,$A273,BD!$A$3:$A$5001,"&gt;="&amp;$F$8,BD!$A$3:$A$5001,"&lt;="&amp;$G$8,BD!$L$3:$L$5001,"&lt;&gt;"))))</f>
        <v/>
      </c>
      <c r="I273" s="43" t="str">
        <f>IF($A273="","",IF(COUNTIFS(BD!$B$3:$B$5001,$A273,BD!$A$3:$A$5001,"&gt;="&amp;$F$7,BD!$A$3:$A$5001,"&lt;="&amp;$G$7,BD!$N$3:$N$5001,"&lt;&gt;")=0,"",SUMIFS(BD!$N$3:$N$5001,BD!$B$3:$B$5001,$A273,BD!$A$3:$A$5001,_xlfn.MAXIFS(BD!$A$3:$A$5001,BD!$B$3:$B$5001,$A273,BD!$A$3:$A$5001,"&gt;="&amp;$F$7,BD!$A$3:$A$5001,"&lt;="&amp;$G$7,BD!$N$3:$N$5001,"&lt;&gt;"))))</f>
        <v/>
      </c>
      <c r="J273" s="43" t="str">
        <f>IF($A273="","",IF(COUNTIFS(BD!$B$3:$B$5001,$A273,BD!$A$3:$A$5001,"&gt;="&amp;$F$8,BD!$A$3:$A$5001,"&lt;="&amp;$G$8,BD!$N$3:$N$5001,"&lt;&gt;")=0,"",SUMIFS(BD!$N$3:$N$5001,BD!$B$3:$B$5001,$A273,BD!$A$3:$A$5001,_xlfn.MAXIFS(BD!$A$3:$A$5001,BD!$B$3:$B$5001,$A273,BD!$A$3:$A$5001,"&gt;="&amp;$F$8,BD!$A$3:$A$5001,"&lt;="&amp;$G$8,BD!$N$3:$N$5001,"&lt;&gt;"))))</f>
        <v/>
      </c>
    </row>
    <row r="274">
      <c r="A274" s="65" t="str">
        <f>Config!$B$26&amp;""</f>
        <v/>
      </c>
      <c r="B274" s="38" t="str">
        <f>IF(Config!$C$26="","JSL",Config!$C$26)</f>
        <v>JSL</v>
      </c>
      <c r="C274" s="43" t="str">
        <f>IF($A274="","",IF(COUNTIFS(BD!$B$3:$B$5001,$A274,BD!$A$3:$A$5001,"&gt;="&amp;$F$7,BD!$A$3:$A$5001,"&lt;="&amp;$G$7,BD!$K$3:$K$5001,"&lt;&gt;")=0,"",SUMIFS(BD!$K$3:$K$5001,BD!$B$3:$B$5001,$A274,BD!$A$3:$A$5001,_xlfn.MAXIFS(BD!$A$3:$A$5001,BD!$B$3:$B$5001,$A274,BD!$A$3:$A$5001,"&gt;="&amp;$F$7,BD!$A$3:$A$5001,"&lt;="&amp;$G$7,BD!$K$3:$K$5001,"&lt;&gt;"))))</f>
        <v/>
      </c>
      <c r="D274" s="43" t="str">
        <f>IF($A274="","",IF(COUNTIFS(BD!$B$3:$B$5001,$A274,BD!$A$3:$A$5001,"&gt;="&amp;$F$8,BD!$A$3:$A$5001,"&lt;="&amp;$G$8,BD!$K$3:$K$5001,"&lt;&gt;")=0,"",SUMIFS(BD!$K$3:$K$5001,BD!$B$3:$B$5001,$A274,BD!$A$3:$A$5001,_xlfn.MAXIFS(BD!$A$3:$A$5001,BD!$B$3:$B$5001,$A274,BD!$A$3:$A$5001,"&gt;="&amp;$F$8,BD!$A$3:$A$5001,"&lt;="&amp;$G$8,BD!$K$3:$K$5001,"&lt;&gt;"))))</f>
        <v/>
      </c>
      <c r="E274" s="43" t="str">
        <f>IF($A274="","",IF(COUNTIFS(BD!$B$3:$B$5001,$A274,BD!$A$3:$A$5001,"&gt;="&amp;$F$7,BD!$A$3:$A$5001,"&lt;="&amp;$G$7,BD!$M$3:$M$5001,"&lt;&gt;")=0,"",SUMIFS(BD!$M$3:$M$5001,BD!$B$3:$B$5001,$A274,BD!$A$3:$A$5001,_xlfn.MAXIFS(BD!$A$3:$A$5001,BD!$B$3:$B$5001,$A274,BD!$A$3:$A$5001,"&gt;="&amp;$F$7,BD!$A$3:$A$5001,"&lt;="&amp;$G$7,BD!$M$3:$M$5001,"&lt;&gt;"))))</f>
        <v/>
      </c>
      <c r="F274" s="43" t="str">
        <f>IF($A274="","",IF(COUNTIFS(BD!$B$3:$B$5001,$A274,BD!$A$3:$A$5001,"&gt;="&amp;$F$8,BD!$A$3:$A$5001,"&lt;="&amp;$G$8,BD!$M$3:$M$5001,"&lt;&gt;")=0,"",SUMIFS(BD!$M$3:$M$5001,BD!$B$3:$B$5001,$A274,BD!$A$3:$A$5001,_xlfn.MAXIFS(BD!$A$3:$A$5001,BD!$B$3:$B$5001,$A274,BD!$A$3:$A$5001,"&gt;="&amp;$F$8,BD!$A$3:$A$5001,"&lt;="&amp;$G$8,BD!$M$3:$M$5001,"&lt;&gt;"))))</f>
        <v/>
      </c>
      <c r="G274" s="43" t="str">
        <f>IF($A274="","",IF(COUNTIFS(BD!$B$3:$B$5001,$A274,BD!$A$3:$A$5001,"&gt;="&amp;$F$7,BD!$A$3:$A$5001,"&lt;="&amp;$G$7,BD!$L$3:$L$5001,"&lt;&gt;")=0,"",SUMIFS(BD!$L$3:$L$5001,BD!$B$3:$B$5001,$A274,BD!$A$3:$A$5001,_xlfn.MAXIFS(BD!$A$3:$A$5001,BD!$B$3:$B$5001,$A274,BD!$A$3:$A$5001,"&gt;="&amp;$F$7,BD!$A$3:$A$5001,"&lt;="&amp;$G$7,BD!$L$3:$L$5001,"&lt;&gt;"))))</f>
        <v/>
      </c>
      <c r="H274" s="43" t="str">
        <f>IF($A274="","",IF(COUNTIFS(BD!$B$3:$B$5001,$A274,BD!$A$3:$A$5001,"&gt;="&amp;$F$8,BD!$A$3:$A$5001,"&lt;="&amp;$G$8,BD!$L$3:$L$5001,"&lt;&gt;")=0,"",SUMIFS(BD!$L$3:$L$5001,BD!$B$3:$B$5001,$A274,BD!$A$3:$A$5001,_xlfn.MAXIFS(BD!$A$3:$A$5001,BD!$B$3:$B$5001,$A274,BD!$A$3:$A$5001,"&gt;="&amp;$F$8,BD!$A$3:$A$5001,"&lt;="&amp;$G$8,BD!$L$3:$L$5001,"&lt;&gt;"))))</f>
        <v/>
      </c>
      <c r="I274" s="43" t="str">
        <f>IF($A274="","",IF(COUNTIFS(BD!$B$3:$B$5001,$A274,BD!$A$3:$A$5001,"&gt;="&amp;$F$7,BD!$A$3:$A$5001,"&lt;="&amp;$G$7,BD!$N$3:$N$5001,"&lt;&gt;")=0,"",SUMIFS(BD!$N$3:$N$5001,BD!$B$3:$B$5001,$A274,BD!$A$3:$A$5001,_xlfn.MAXIFS(BD!$A$3:$A$5001,BD!$B$3:$B$5001,$A274,BD!$A$3:$A$5001,"&gt;="&amp;$F$7,BD!$A$3:$A$5001,"&lt;="&amp;$G$7,BD!$N$3:$N$5001,"&lt;&gt;"))))</f>
        <v/>
      </c>
      <c r="J274" s="43" t="str">
        <f>IF($A274="","",IF(COUNTIFS(BD!$B$3:$B$5001,$A274,BD!$A$3:$A$5001,"&gt;="&amp;$F$8,BD!$A$3:$A$5001,"&lt;="&amp;$G$8,BD!$N$3:$N$5001,"&lt;&gt;")=0,"",SUMIFS(BD!$N$3:$N$5001,BD!$B$3:$B$5001,$A274,BD!$A$3:$A$5001,_xlfn.MAXIFS(BD!$A$3:$A$5001,BD!$B$3:$B$5001,$A274,BD!$A$3:$A$5001,"&gt;="&amp;$F$8,BD!$A$3:$A$5001,"&lt;="&amp;$G$8,BD!$N$3:$N$5001,"&lt;&gt;"))))</f>
        <v/>
      </c>
    </row>
    <row r="275">
      <c r="A275" s="65" t="str">
        <f>Config!$B$27&amp;""</f>
        <v/>
      </c>
      <c r="B275" s="38" t="str">
        <f>IF(Config!$C$27="","JSL",Config!$C$27)</f>
        <v>JSL</v>
      </c>
      <c r="C275" s="43" t="str">
        <f>IF($A275="","",IF(COUNTIFS(BD!$B$3:$B$5001,$A275,BD!$A$3:$A$5001,"&gt;="&amp;$F$7,BD!$A$3:$A$5001,"&lt;="&amp;$G$7,BD!$K$3:$K$5001,"&lt;&gt;")=0,"",SUMIFS(BD!$K$3:$K$5001,BD!$B$3:$B$5001,$A275,BD!$A$3:$A$5001,_xlfn.MAXIFS(BD!$A$3:$A$5001,BD!$B$3:$B$5001,$A275,BD!$A$3:$A$5001,"&gt;="&amp;$F$7,BD!$A$3:$A$5001,"&lt;="&amp;$G$7,BD!$K$3:$K$5001,"&lt;&gt;"))))</f>
        <v/>
      </c>
      <c r="D275" s="43" t="str">
        <f>IF($A275="","",IF(COUNTIFS(BD!$B$3:$B$5001,$A275,BD!$A$3:$A$5001,"&gt;="&amp;$F$8,BD!$A$3:$A$5001,"&lt;="&amp;$G$8,BD!$K$3:$K$5001,"&lt;&gt;")=0,"",SUMIFS(BD!$K$3:$K$5001,BD!$B$3:$B$5001,$A275,BD!$A$3:$A$5001,_xlfn.MAXIFS(BD!$A$3:$A$5001,BD!$B$3:$B$5001,$A275,BD!$A$3:$A$5001,"&gt;="&amp;$F$8,BD!$A$3:$A$5001,"&lt;="&amp;$G$8,BD!$K$3:$K$5001,"&lt;&gt;"))))</f>
        <v/>
      </c>
      <c r="E275" s="43" t="str">
        <f>IF($A275="","",IF(COUNTIFS(BD!$B$3:$B$5001,$A275,BD!$A$3:$A$5001,"&gt;="&amp;$F$7,BD!$A$3:$A$5001,"&lt;="&amp;$G$7,BD!$M$3:$M$5001,"&lt;&gt;")=0,"",SUMIFS(BD!$M$3:$M$5001,BD!$B$3:$B$5001,$A275,BD!$A$3:$A$5001,_xlfn.MAXIFS(BD!$A$3:$A$5001,BD!$B$3:$B$5001,$A275,BD!$A$3:$A$5001,"&gt;="&amp;$F$7,BD!$A$3:$A$5001,"&lt;="&amp;$G$7,BD!$M$3:$M$5001,"&lt;&gt;"))))</f>
        <v/>
      </c>
      <c r="F275" s="43" t="str">
        <f>IF($A275="","",IF(COUNTIFS(BD!$B$3:$B$5001,$A275,BD!$A$3:$A$5001,"&gt;="&amp;$F$8,BD!$A$3:$A$5001,"&lt;="&amp;$G$8,BD!$M$3:$M$5001,"&lt;&gt;")=0,"",SUMIFS(BD!$M$3:$M$5001,BD!$B$3:$B$5001,$A275,BD!$A$3:$A$5001,_xlfn.MAXIFS(BD!$A$3:$A$5001,BD!$B$3:$B$5001,$A275,BD!$A$3:$A$5001,"&gt;="&amp;$F$8,BD!$A$3:$A$5001,"&lt;="&amp;$G$8,BD!$M$3:$M$5001,"&lt;&gt;"))))</f>
        <v/>
      </c>
      <c r="G275" s="43" t="str">
        <f>IF($A275="","",IF(COUNTIFS(BD!$B$3:$B$5001,$A275,BD!$A$3:$A$5001,"&gt;="&amp;$F$7,BD!$A$3:$A$5001,"&lt;="&amp;$G$7,BD!$L$3:$L$5001,"&lt;&gt;")=0,"",SUMIFS(BD!$L$3:$L$5001,BD!$B$3:$B$5001,$A275,BD!$A$3:$A$5001,_xlfn.MAXIFS(BD!$A$3:$A$5001,BD!$B$3:$B$5001,$A275,BD!$A$3:$A$5001,"&gt;="&amp;$F$7,BD!$A$3:$A$5001,"&lt;="&amp;$G$7,BD!$L$3:$L$5001,"&lt;&gt;"))))</f>
        <v/>
      </c>
      <c r="H275" s="43" t="str">
        <f>IF($A275="","",IF(COUNTIFS(BD!$B$3:$B$5001,$A275,BD!$A$3:$A$5001,"&gt;="&amp;$F$8,BD!$A$3:$A$5001,"&lt;="&amp;$G$8,BD!$L$3:$L$5001,"&lt;&gt;")=0,"",SUMIFS(BD!$L$3:$L$5001,BD!$B$3:$B$5001,$A275,BD!$A$3:$A$5001,_xlfn.MAXIFS(BD!$A$3:$A$5001,BD!$B$3:$B$5001,$A275,BD!$A$3:$A$5001,"&gt;="&amp;$F$8,BD!$A$3:$A$5001,"&lt;="&amp;$G$8,BD!$L$3:$L$5001,"&lt;&gt;"))))</f>
        <v/>
      </c>
      <c r="I275" s="43" t="str">
        <f>IF($A275="","",IF(COUNTIFS(BD!$B$3:$B$5001,$A275,BD!$A$3:$A$5001,"&gt;="&amp;$F$7,BD!$A$3:$A$5001,"&lt;="&amp;$G$7,BD!$N$3:$N$5001,"&lt;&gt;")=0,"",SUMIFS(BD!$N$3:$N$5001,BD!$B$3:$B$5001,$A275,BD!$A$3:$A$5001,_xlfn.MAXIFS(BD!$A$3:$A$5001,BD!$B$3:$B$5001,$A275,BD!$A$3:$A$5001,"&gt;="&amp;$F$7,BD!$A$3:$A$5001,"&lt;="&amp;$G$7,BD!$N$3:$N$5001,"&lt;&gt;"))))</f>
        <v/>
      </c>
      <c r="J275" s="43" t="str">
        <f>IF($A275="","",IF(COUNTIFS(BD!$B$3:$B$5001,$A275,BD!$A$3:$A$5001,"&gt;="&amp;$F$8,BD!$A$3:$A$5001,"&lt;="&amp;$G$8,BD!$N$3:$N$5001,"&lt;&gt;")=0,"",SUMIFS(BD!$N$3:$N$5001,BD!$B$3:$B$5001,$A275,BD!$A$3:$A$5001,_xlfn.MAXIFS(BD!$A$3:$A$5001,BD!$B$3:$B$5001,$A275,BD!$A$3:$A$5001,"&gt;="&amp;$F$8,BD!$A$3:$A$5001,"&lt;="&amp;$G$8,BD!$N$3:$N$5001,"&lt;&gt;"))))</f>
        <v/>
      </c>
    </row>
    <row r="276">
      <c r="A276" s="65" t="str">
        <f>Config!$B$28&amp;""</f>
        <v/>
      </c>
      <c r="B276" s="38" t="str">
        <f>IF(Config!$C$28="","JSL",Config!$C$28)</f>
        <v>JSL</v>
      </c>
      <c r="C276" s="43" t="str">
        <f>IF($A276="","",IF(COUNTIFS(BD!$B$3:$B$5001,$A276,BD!$A$3:$A$5001,"&gt;="&amp;$F$7,BD!$A$3:$A$5001,"&lt;="&amp;$G$7,BD!$K$3:$K$5001,"&lt;&gt;")=0,"",SUMIFS(BD!$K$3:$K$5001,BD!$B$3:$B$5001,$A276,BD!$A$3:$A$5001,_xlfn.MAXIFS(BD!$A$3:$A$5001,BD!$B$3:$B$5001,$A276,BD!$A$3:$A$5001,"&gt;="&amp;$F$7,BD!$A$3:$A$5001,"&lt;="&amp;$G$7,BD!$K$3:$K$5001,"&lt;&gt;"))))</f>
        <v/>
      </c>
      <c r="D276" s="43" t="str">
        <f>IF($A276="","",IF(COUNTIFS(BD!$B$3:$B$5001,$A276,BD!$A$3:$A$5001,"&gt;="&amp;$F$8,BD!$A$3:$A$5001,"&lt;="&amp;$G$8,BD!$K$3:$K$5001,"&lt;&gt;")=0,"",SUMIFS(BD!$K$3:$K$5001,BD!$B$3:$B$5001,$A276,BD!$A$3:$A$5001,_xlfn.MAXIFS(BD!$A$3:$A$5001,BD!$B$3:$B$5001,$A276,BD!$A$3:$A$5001,"&gt;="&amp;$F$8,BD!$A$3:$A$5001,"&lt;="&amp;$G$8,BD!$K$3:$K$5001,"&lt;&gt;"))))</f>
        <v/>
      </c>
      <c r="E276" s="43" t="str">
        <f>IF($A276="","",IF(COUNTIFS(BD!$B$3:$B$5001,$A276,BD!$A$3:$A$5001,"&gt;="&amp;$F$7,BD!$A$3:$A$5001,"&lt;="&amp;$G$7,BD!$M$3:$M$5001,"&lt;&gt;")=0,"",SUMIFS(BD!$M$3:$M$5001,BD!$B$3:$B$5001,$A276,BD!$A$3:$A$5001,_xlfn.MAXIFS(BD!$A$3:$A$5001,BD!$B$3:$B$5001,$A276,BD!$A$3:$A$5001,"&gt;="&amp;$F$7,BD!$A$3:$A$5001,"&lt;="&amp;$G$7,BD!$M$3:$M$5001,"&lt;&gt;"))))</f>
        <v/>
      </c>
      <c r="F276" s="43" t="str">
        <f>IF($A276="","",IF(COUNTIFS(BD!$B$3:$B$5001,$A276,BD!$A$3:$A$5001,"&gt;="&amp;$F$8,BD!$A$3:$A$5001,"&lt;="&amp;$G$8,BD!$M$3:$M$5001,"&lt;&gt;")=0,"",SUMIFS(BD!$M$3:$M$5001,BD!$B$3:$B$5001,$A276,BD!$A$3:$A$5001,_xlfn.MAXIFS(BD!$A$3:$A$5001,BD!$B$3:$B$5001,$A276,BD!$A$3:$A$5001,"&gt;="&amp;$F$8,BD!$A$3:$A$5001,"&lt;="&amp;$G$8,BD!$M$3:$M$5001,"&lt;&gt;"))))</f>
        <v/>
      </c>
      <c r="G276" s="43" t="str">
        <f>IF($A276="","",IF(COUNTIFS(BD!$B$3:$B$5001,$A276,BD!$A$3:$A$5001,"&gt;="&amp;$F$7,BD!$A$3:$A$5001,"&lt;="&amp;$G$7,BD!$L$3:$L$5001,"&lt;&gt;")=0,"",SUMIFS(BD!$L$3:$L$5001,BD!$B$3:$B$5001,$A276,BD!$A$3:$A$5001,_xlfn.MAXIFS(BD!$A$3:$A$5001,BD!$B$3:$B$5001,$A276,BD!$A$3:$A$5001,"&gt;="&amp;$F$7,BD!$A$3:$A$5001,"&lt;="&amp;$G$7,BD!$L$3:$L$5001,"&lt;&gt;"))))</f>
        <v/>
      </c>
      <c r="H276" s="43" t="str">
        <f>IF($A276="","",IF(COUNTIFS(BD!$B$3:$B$5001,$A276,BD!$A$3:$A$5001,"&gt;="&amp;$F$8,BD!$A$3:$A$5001,"&lt;="&amp;$G$8,BD!$L$3:$L$5001,"&lt;&gt;")=0,"",SUMIFS(BD!$L$3:$L$5001,BD!$B$3:$B$5001,$A276,BD!$A$3:$A$5001,_xlfn.MAXIFS(BD!$A$3:$A$5001,BD!$B$3:$B$5001,$A276,BD!$A$3:$A$5001,"&gt;="&amp;$F$8,BD!$A$3:$A$5001,"&lt;="&amp;$G$8,BD!$L$3:$L$5001,"&lt;&gt;"))))</f>
        <v/>
      </c>
      <c r="I276" s="43" t="str">
        <f>IF($A276="","",IF(COUNTIFS(BD!$B$3:$B$5001,$A276,BD!$A$3:$A$5001,"&gt;="&amp;$F$7,BD!$A$3:$A$5001,"&lt;="&amp;$G$7,BD!$N$3:$N$5001,"&lt;&gt;")=0,"",SUMIFS(BD!$N$3:$N$5001,BD!$B$3:$B$5001,$A276,BD!$A$3:$A$5001,_xlfn.MAXIFS(BD!$A$3:$A$5001,BD!$B$3:$B$5001,$A276,BD!$A$3:$A$5001,"&gt;="&amp;$F$7,BD!$A$3:$A$5001,"&lt;="&amp;$G$7,BD!$N$3:$N$5001,"&lt;&gt;"))))</f>
        <v/>
      </c>
      <c r="J276" s="43" t="str">
        <f>IF($A276="","",IF(COUNTIFS(BD!$B$3:$B$5001,$A276,BD!$A$3:$A$5001,"&gt;="&amp;$F$8,BD!$A$3:$A$5001,"&lt;="&amp;$G$8,BD!$N$3:$N$5001,"&lt;&gt;")=0,"",SUMIFS(BD!$N$3:$N$5001,BD!$B$3:$B$5001,$A276,BD!$A$3:$A$5001,_xlfn.MAXIFS(BD!$A$3:$A$5001,BD!$B$3:$B$5001,$A276,BD!$A$3:$A$5001,"&gt;="&amp;$F$8,BD!$A$3:$A$5001,"&lt;="&amp;$G$8,BD!$N$3:$N$5001,"&lt;&gt;"))))</f>
        <v/>
      </c>
    </row>
    <row r="277">
      <c r="A277" s="65" t="str">
        <f>Config!$B$29&amp;""</f>
        <v/>
      </c>
      <c r="B277" s="38" t="str">
        <f>IF(Config!$C$29="","JSL",Config!$C$29)</f>
        <v>JSL</v>
      </c>
      <c r="C277" s="43" t="str">
        <f>IF($A277="","",IF(COUNTIFS(BD!$B$3:$B$5001,$A277,BD!$A$3:$A$5001,"&gt;="&amp;$F$7,BD!$A$3:$A$5001,"&lt;="&amp;$G$7,BD!$K$3:$K$5001,"&lt;&gt;")=0,"",SUMIFS(BD!$K$3:$K$5001,BD!$B$3:$B$5001,$A277,BD!$A$3:$A$5001,_xlfn.MAXIFS(BD!$A$3:$A$5001,BD!$B$3:$B$5001,$A277,BD!$A$3:$A$5001,"&gt;="&amp;$F$7,BD!$A$3:$A$5001,"&lt;="&amp;$G$7,BD!$K$3:$K$5001,"&lt;&gt;"))))</f>
        <v/>
      </c>
      <c r="D277" s="43" t="str">
        <f>IF($A277="","",IF(COUNTIFS(BD!$B$3:$B$5001,$A277,BD!$A$3:$A$5001,"&gt;="&amp;$F$8,BD!$A$3:$A$5001,"&lt;="&amp;$G$8,BD!$K$3:$K$5001,"&lt;&gt;")=0,"",SUMIFS(BD!$K$3:$K$5001,BD!$B$3:$B$5001,$A277,BD!$A$3:$A$5001,_xlfn.MAXIFS(BD!$A$3:$A$5001,BD!$B$3:$B$5001,$A277,BD!$A$3:$A$5001,"&gt;="&amp;$F$8,BD!$A$3:$A$5001,"&lt;="&amp;$G$8,BD!$K$3:$K$5001,"&lt;&gt;"))))</f>
        <v/>
      </c>
      <c r="E277" s="43" t="str">
        <f>IF($A277="","",IF(COUNTIFS(BD!$B$3:$B$5001,$A277,BD!$A$3:$A$5001,"&gt;="&amp;$F$7,BD!$A$3:$A$5001,"&lt;="&amp;$G$7,BD!$M$3:$M$5001,"&lt;&gt;")=0,"",SUMIFS(BD!$M$3:$M$5001,BD!$B$3:$B$5001,$A277,BD!$A$3:$A$5001,_xlfn.MAXIFS(BD!$A$3:$A$5001,BD!$B$3:$B$5001,$A277,BD!$A$3:$A$5001,"&gt;="&amp;$F$7,BD!$A$3:$A$5001,"&lt;="&amp;$G$7,BD!$M$3:$M$5001,"&lt;&gt;"))))</f>
        <v/>
      </c>
      <c r="F277" s="43" t="str">
        <f>IF($A277="","",IF(COUNTIFS(BD!$B$3:$B$5001,$A277,BD!$A$3:$A$5001,"&gt;="&amp;$F$8,BD!$A$3:$A$5001,"&lt;="&amp;$G$8,BD!$M$3:$M$5001,"&lt;&gt;")=0,"",SUMIFS(BD!$M$3:$M$5001,BD!$B$3:$B$5001,$A277,BD!$A$3:$A$5001,_xlfn.MAXIFS(BD!$A$3:$A$5001,BD!$B$3:$B$5001,$A277,BD!$A$3:$A$5001,"&gt;="&amp;$F$8,BD!$A$3:$A$5001,"&lt;="&amp;$G$8,BD!$M$3:$M$5001,"&lt;&gt;"))))</f>
        <v/>
      </c>
      <c r="G277" s="43" t="str">
        <f>IF($A277="","",IF(COUNTIFS(BD!$B$3:$B$5001,$A277,BD!$A$3:$A$5001,"&gt;="&amp;$F$7,BD!$A$3:$A$5001,"&lt;="&amp;$G$7,BD!$L$3:$L$5001,"&lt;&gt;")=0,"",SUMIFS(BD!$L$3:$L$5001,BD!$B$3:$B$5001,$A277,BD!$A$3:$A$5001,_xlfn.MAXIFS(BD!$A$3:$A$5001,BD!$B$3:$B$5001,$A277,BD!$A$3:$A$5001,"&gt;="&amp;$F$7,BD!$A$3:$A$5001,"&lt;="&amp;$G$7,BD!$L$3:$L$5001,"&lt;&gt;"))))</f>
        <v/>
      </c>
      <c r="H277" s="43" t="str">
        <f>IF($A277="","",IF(COUNTIFS(BD!$B$3:$B$5001,$A277,BD!$A$3:$A$5001,"&gt;="&amp;$F$8,BD!$A$3:$A$5001,"&lt;="&amp;$G$8,BD!$L$3:$L$5001,"&lt;&gt;")=0,"",SUMIFS(BD!$L$3:$L$5001,BD!$B$3:$B$5001,$A277,BD!$A$3:$A$5001,_xlfn.MAXIFS(BD!$A$3:$A$5001,BD!$B$3:$B$5001,$A277,BD!$A$3:$A$5001,"&gt;="&amp;$F$8,BD!$A$3:$A$5001,"&lt;="&amp;$G$8,BD!$L$3:$L$5001,"&lt;&gt;"))))</f>
        <v/>
      </c>
      <c r="I277" s="43" t="str">
        <f>IF($A277="","",IF(COUNTIFS(BD!$B$3:$B$5001,$A277,BD!$A$3:$A$5001,"&gt;="&amp;$F$7,BD!$A$3:$A$5001,"&lt;="&amp;$G$7,BD!$N$3:$N$5001,"&lt;&gt;")=0,"",SUMIFS(BD!$N$3:$N$5001,BD!$B$3:$B$5001,$A277,BD!$A$3:$A$5001,_xlfn.MAXIFS(BD!$A$3:$A$5001,BD!$B$3:$B$5001,$A277,BD!$A$3:$A$5001,"&gt;="&amp;$F$7,BD!$A$3:$A$5001,"&lt;="&amp;$G$7,BD!$N$3:$N$5001,"&lt;&gt;"))))</f>
        <v/>
      </c>
      <c r="J277" s="43" t="str">
        <f>IF($A277="","",IF(COUNTIFS(BD!$B$3:$B$5001,$A277,BD!$A$3:$A$5001,"&gt;="&amp;$F$8,BD!$A$3:$A$5001,"&lt;="&amp;$G$8,BD!$N$3:$N$5001,"&lt;&gt;")=0,"",SUMIFS(BD!$N$3:$N$5001,BD!$B$3:$B$5001,$A277,BD!$A$3:$A$5001,_xlfn.MAXIFS(BD!$A$3:$A$5001,BD!$B$3:$B$5001,$A277,BD!$A$3:$A$5001,"&gt;="&amp;$F$8,BD!$A$3:$A$5001,"&lt;="&amp;$G$8,BD!$N$3:$N$5001,"&lt;&gt;"))))</f>
        <v/>
      </c>
    </row>
    <row r="279">
      <c r="A279" s="19" t="inlineStr">
        <is>
          <t xml:space="preserve">INDICADORES DO PERÍODO (cards do Dashboard)</t>
        </is>
      </c>
    </row>
    <row r="280">
      <c r="A280" s="37" t="inlineStr">
        <is>
          <t xml:space="preserve">Indicador</t>
        </is>
      </c>
      <c r="B280" s="37" t="inlineStr">
        <is>
          <t xml:space="preserve">Período</t>
        </is>
      </c>
      <c r="C280" s="37" t="inlineStr">
        <is>
          <t xml:space="preserve">Período anterior</t>
        </is>
      </c>
      <c r="D280" s="37" t="inlineStr">
        <is>
          <t xml:space="preserve">Variação</t>
        </is>
      </c>
    </row>
    <row r="281">
      <c r="A281" s="29" t="inlineStr">
        <is>
          <t xml:space="preserve">IN · Veículos Recebidos</t>
        </is>
      </c>
      <c r="B281" s="32">
        <f>IF($B$2="Todos",SUMIFS(BD!$C$3:$C$5001,BD!$A$3:$A$5001,"&gt;="&amp;$F$7,BD!$A$3:$A$5001,"&lt;="&amp;$G$7),SUMIFS(BD!$C$3:$C$5001,BD!$A$3:$A$5001,"&gt;="&amp;$F$7,BD!$A$3:$A$5001,"&lt;="&amp;$G$7,BD!$B$3:$B$5001,$D$2))</f>
        <v>0</v>
      </c>
      <c r="C281" s="32">
        <f>IF($B$2="Todos",SUMIFS(BD!$C$3:$C$5001,BD!$A$3:$A$5001,"&gt;="&amp;$F$8,BD!$A$3:$A$5001,"&lt;="&amp;$G$8),SUMIFS(BD!$C$3:$C$5001,BD!$A$3:$A$5001,"&gt;="&amp;$F$8,BD!$A$3:$A$5001,"&lt;="&amp;$G$8,BD!$B$3:$B$5001,$D$2))</f>
        <v>0</v>
      </c>
      <c r="D281" s="49" t="str">
        <f>IF(AND(ISNUMBER(B281),ISNUMBER(C281)),IF(C281&lt;&gt;0,B281/C281-1,""),"")</f>
        <v/>
      </c>
    </row>
    <row r="282">
      <c r="A282" s="29" t="inlineStr">
        <is>
          <t xml:space="preserve">IN · Pallets Movimentados</t>
        </is>
      </c>
      <c r="B282" s="32">
        <f>IF($B$2="Todos",SUMIFS(BD!$D$3:$D$5001,BD!$A$3:$A$5001,"&gt;="&amp;$F$7,BD!$A$3:$A$5001,"&lt;="&amp;$G$7),SUMIFS(BD!$D$3:$D$5001,BD!$A$3:$A$5001,"&gt;="&amp;$F$7,BD!$A$3:$A$5001,"&lt;="&amp;$G$7,BD!$B$3:$B$5001,$D$2))</f>
        <v>0</v>
      </c>
      <c r="C282" s="32">
        <f>IF($B$2="Todos",SUMIFS(BD!$D$3:$D$5001,BD!$A$3:$A$5001,"&gt;="&amp;$F$8,BD!$A$3:$A$5001,"&lt;="&amp;$G$8),SUMIFS(BD!$D$3:$D$5001,BD!$A$3:$A$5001,"&gt;="&amp;$F$8,BD!$A$3:$A$5001,"&lt;="&amp;$G$8,BD!$B$3:$B$5001,$D$2))</f>
        <v>0</v>
      </c>
      <c r="D282" s="49" t="str">
        <f>IF(AND(ISNUMBER(B282),ISNUMBER(C282)),IF(C282&lt;&gt;0,B282/C282-1,""),"")</f>
        <v/>
      </c>
    </row>
    <row r="283">
      <c r="A283" s="29" t="inlineStr">
        <is>
          <t xml:space="preserve">IN · Toneladas Movimentadas</t>
        </is>
      </c>
      <c r="B283" s="61">
        <f>IF($B$2="Todos",SUMIFS(BD!$E$3:$E$5001,BD!$A$3:$A$5001,"&gt;="&amp;$F$7,BD!$A$3:$A$5001,"&lt;="&amp;$G$7),SUMIFS(BD!$E$3:$E$5001,BD!$A$3:$A$5001,"&gt;="&amp;$F$7,BD!$A$3:$A$5001,"&lt;="&amp;$G$7,BD!$B$3:$B$5001,$D$2))</f>
        <v>0</v>
      </c>
      <c r="C283" s="61">
        <f>IF($B$2="Todos",SUMIFS(BD!$E$3:$E$5001,BD!$A$3:$A$5001,"&gt;="&amp;$F$8,BD!$A$3:$A$5001,"&lt;="&amp;$G$8),SUMIFS(BD!$E$3:$E$5001,BD!$A$3:$A$5001,"&gt;="&amp;$F$8,BD!$A$3:$A$5001,"&lt;="&amp;$G$8,BD!$B$3:$B$5001,$D$2))</f>
        <v>0</v>
      </c>
      <c r="D283" s="49" t="str">
        <f>IF(AND(ISNUMBER(B283),ISNUMBER(C283)),IF(C283&lt;&gt;0,B283/C283-1,""),"")</f>
        <v/>
      </c>
    </row>
    <row r="284">
      <c r="A284" s="29" t="inlineStr">
        <is>
          <t xml:space="preserve">OUT · Veículos Expedidos</t>
        </is>
      </c>
      <c r="B284" s="32">
        <f>IF($B$2="Todos",SUMIFS(BD!$F$3:$F$5001,BD!$A$3:$A$5001,"&gt;="&amp;$F$7,BD!$A$3:$A$5001,"&lt;="&amp;$G$7),SUMIFS(BD!$F$3:$F$5001,BD!$A$3:$A$5001,"&gt;="&amp;$F$7,BD!$A$3:$A$5001,"&lt;="&amp;$G$7,BD!$B$3:$B$5001,$D$2))</f>
        <v>0</v>
      </c>
      <c r="C284" s="32">
        <f>IF($B$2="Todos",SUMIFS(BD!$F$3:$F$5001,BD!$A$3:$A$5001,"&gt;="&amp;$F$8,BD!$A$3:$A$5001,"&lt;="&amp;$G$8),SUMIFS(BD!$F$3:$F$5001,BD!$A$3:$A$5001,"&gt;="&amp;$F$8,BD!$A$3:$A$5001,"&lt;="&amp;$G$8,BD!$B$3:$B$5001,$D$2))</f>
        <v>0</v>
      </c>
      <c r="D284" s="49" t="str">
        <f>IF(AND(ISNUMBER(B284),ISNUMBER(C284)),IF(C284&lt;&gt;0,B284/C284-1,""),"")</f>
        <v/>
      </c>
    </row>
    <row r="285">
      <c r="A285" s="29" t="inlineStr">
        <is>
          <t xml:space="preserve">OUT · Pallets Movimentados</t>
        </is>
      </c>
      <c r="B285" s="32">
        <f>IF($B$2="Todos",SUMIFS(BD!$G$3:$G$5001,BD!$A$3:$A$5001,"&gt;="&amp;$F$7,BD!$A$3:$A$5001,"&lt;="&amp;$G$7),SUMIFS(BD!$G$3:$G$5001,BD!$A$3:$A$5001,"&gt;="&amp;$F$7,BD!$A$3:$A$5001,"&lt;="&amp;$G$7,BD!$B$3:$B$5001,$D$2))</f>
        <v>0</v>
      </c>
      <c r="C285" s="32">
        <f>IF($B$2="Todos",SUMIFS(BD!$G$3:$G$5001,BD!$A$3:$A$5001,"&gt;="&amp;$F$8,BD!$A$3:$A$5001,"&lt;="&amp;$G$8),SUMIFS(BD!$G$3:$G$5001,BD!$A$3:$A$5001,"&gt;="&amp;$F$8,BD!$A$3:$A$5001,"&lt;="&amp;$G$8,BD!$B$3:$B$5001,$D$2))</f>
        <v>0</v>
      </c>
      <c r="D285" s="49" t="str">
        <f>IF(AND(ISNUMBER(B285),ISNUMBER(C285)),IF(C285&lt;&gt;0,B285/C285-1,""),"")</f>
        <v/>
      </c>
    </row>
    <row r="286">
      <c r="A286" s="29" t="inlineStr">
        <is>
          <t xml:space="preserve">OUT · Toneladas Movimentadas</t>
        </is>
      </c>
      <c r="B286" s="61">
        <f>IF($B$2="Todos",SUMIFS(BD!$H$3:$H$5001,BD!$A$3:$A$5001,"&gt;="&amp;$F$7,BD!$A$3:$A$5001,"&lt;="&amp;$G$7),SUMIFS(BD!$H$3:$H$5001,BD!$A$3:$A$5001,"&gt;="&amp;$F$7,BD!$A$3:$A$5001,"&lt;="&amp;$G$7,BD!$B$3:$B$5001,$D$2))</f>
        <v>0</v>
      </c>
      <c r="C286" s="61">
        <f>IF($B$2="Todos",SUMIFS(BD!$H$3:$H$5001,BD!$A$3:$A$5001,"&gt;="&amp;$F$8,BD!$A$3:$A$5001,"&lt;="&amp;$G$8),SUMIFS(BD!$H$3:$H$5001,BD!$A$3:$A$5001,"&gt;="&amp;$F$8,BD!$A$3:$A$5001,"&lt;="&amp;$G$8,BD!$B$3:$B$5001,$D$2))</f>
        <v>0</v>
      </c>
      <c r="D286" s="49" t="str">
        <f>IF(AND(ISNUMBER(B286),ISNUMBER(C286)),IF(C286&lt;&gt;0,B286/C286-1,""),"")</f>
        <v/>
      </c>
    </row>
    <row r="287">
      <c r="A287" s="29" t="inlineStr">
        <is>
          <t xml:space="preserve">NC · Incidentes</t>
        </is>
      </c>
      <c r="B287" s="32">
        <f>IF($B$2="Todos",SUMIFS(BD!$I$3:$I$5001,BD!$A$3:$A$5001,"&gt;="&amp;$F$7,BD!$A$3:$A$5001,"&lt;="&amp;$G$7),SUMIFS(BD!$I$3:$I$5001,BD!$A$3:$A$5001,"&gt;="&amp;$F$7,BD!$A$3:$A$5001,"&lt;="&amp;$G$7,BD!$B$3:$B$5001,$D$2))</f>
        <v>0</v>
      </c>
      <c r="C287" s="32">
        <f>IF($B$2="Todos",SUMIFS(BD!$I$3:$I$5001,BD!$A$3:$A$5001,"&gt;="&amp;$F$8,BD!$A$3:$A$5001,"&lt;="&amp;$G$8),SUMIFS(BD!$I$3:$I$5001,BD!$A$3:$A$5001,"&gt;="&amp;$F$8,BD!$A$3:$A$5001,"&lt;="&amp;$G$8,BD!$B$3:$B$5001,$D$2))</f>
        <v>0</v>
      </c>
      <c r="D287" s="49" t="str">
        <f>IF(AND(ISNUMBER(B287),ISNUMBER(C287)),IF(C287&lt;&gt;0,B287/C287-1,""),"")</f>
        <v/>
      </c>
    </row>
    <row r="288">
      <c r="A288" s="29" t="inlineStr">
        <is>
          <t xml:space="preserve">NC · No show</t>
        </is>
      </c>
      <c r="B288" s="32">
        <f>IF($B$2="Todos",SUMIFS(BD!$J$3:$J$5001,BD!$A$3:$A$5001,"&gt;="&amp;$F$7,BD!$A$3:$A$5001,"&lt;="&amp;$G$7),SUMIFS(BD!$J$3:$J$5001,BD!$A$3:$A$5001,"&gt;="&amp;$F$7,BD!$A$3:$A$5001,"&lt;="&amp;$G$7,BD!$B$3:$B$5001,$D$2))</f>
        <v>0</v>
      </c>
      <c r="C288" s="32">
        <f>IF($B$2="Todos",SUMIFS(BD!$J$3:$J$5001,BD!$A$3:$A$5001,"&gt;="&amp;$F$8,BD!$A$3:$A$5001,"&lt;="&amp;$G$8),SUMIFS(BD!$J$3:$J$5001,BD!$A$3:$A$5001,"&gt;="&amp;$F$8,BD!$A$3:$A$5001,"&lt;="&amp;$G$8,BD!$B$3:$B$5001,$D$2))</f>
        <v>0</v>
      </c>
      <c r="D288" s="49" t="str">
        <f>IF(AND(ISNUMBER(B288),ISNUMBER(C288)),IF(C288&lt;&gt;0,B288/C288-1,""),"")</f>
        <v/>
      </c>
    </row>
    <row r="289">
      <c r="A289" s="29" t="inlineStr">
        <is>
          <t xml:space="preserve">NC · Backlog</t>
        </is>
      </c>
      <c r="B289" s="32" t="str">
        <f>IF($B$2="Todos",IF(COUNT($C$258:$C$277)=0,"",SUM($C$258:$C$277)),IFERROR(INDEX($C$258:$C$277,MATCH($D$2,$A$258:$A$277,0)),""))</f>
        <v/>
      </c>
      <c r="C289" s="32" t="str">
        <f>IF($B$2="Todos",IF(COUNT($D$258:$D$277)=0,"",SUM($D$258:$D$277)),IFERROR(INDEX($D$258:$D$277,MATCH($D$2,$A$258:$A$277,0)),""))</f>
        <v/>
      </c>
      <c r="D289" s="49" t="str">
        <f>IF(AND(ISNUMBER(B289),ISNUMBER(C289)),IF(C289&lt;&gt;0,B289/C289-1,""),"")</f>
        <v/>
      </c>
    </row>
    <row r="290">
      <c r="A290" s="29" t="inlineStr">
        <is>
          <t xml:space="preserve">OCUPAÇÃO (P.P) · Posições Ocupadas</t>
        </is>
      </c>
      <c r="B290" s="32" t="str">
        <f>IF($B$2="Todos",IF(COUNT($E$258:$E$277)=0,"",SUM($E$258:$E$277)),IFERROR(INDEX($E$258:$E$277,MATCH($D$2,$A$258:$A$277,0)),""))</f>
        <v/>
      </c>
      <c r="C290" s="32" t="str">
        <f>IF($B$2="Todos",IF(COUNT($F$258:$F$277)=0,"",SUM($F$258:$F$277)),IFERROR(INDEX($F$258:$F$277,MATCH($D$2,$A$258:$A$277,0)),""))</f>
        <v/>
      </c>
      <c r="D290" s="49" t="str">
        <f>IF(AND(ISNUMBER(B290),ISNUMBER(C290)),IF(C290&lt;&gt;0,B290/C290-1,""),"")</f>
        <v/>
      </c>
    </row>
    <row r="291">
      <c r="A291" s="29" t="inlineStr">
        <is>
          <t xml:space="preserve">OCUPAÇÃO (P.P) · Posições Disponíveis</t>
        </is>
      </c>
      <c r="B291" s="32" t="str">
        <f>IF(B290="","",IF($B$2="Todos",IF($B$4&gt;0,$B$4,IF($B$2="Todos",IF(COUNT($G$258:$G$277)=0,"",SUM($G$258:$G$277)),IFERROR(INDEX($G$258:$G$277,MATCH($D$2,$A$258:$A$277,0)),""))),IF($B$2="Todos",IF(COUNT($G$258:$G$277)=0,"",SUM($G$258:$G$277)),IFERROR(INDEX($G$258:$G$277,MATCH($D$2,$A$258:$A$277,0)),""))))</f>
        <v/>
      </c>
      <c r="C291" s="32" t="str">
        <f>IF(C290="","",IF($B$2="Todos",IF($B$4&gt;0,$B$4,IF($B$2="Todos",IF(COUNT($H$258:$H$277)=0,"",SUM($H$258:$H$277)),IFERROR(INDEX($H$258:$H$277,MATCH($D$2,$A$258:$A$277,0)),""))),IF($B$2="Todos",IF(COUNT($H$258:$H$277)=0,"",SUM($H$258:$H$277)),IFERROR(INDEX($H$258:$H$277,MATCH($D$2,$A$258:$A$277,0)),""))))</f>
        <v/>
      </c>
      <c r="D291" s="49" t="str">
        <f>IF(AND(ISNUMBER(B291),ISNUMBER(C291)),IF(C291&lt;&gt;0,B291/C291-1,""),"")</f>
        <v/>
      </c>
    </row>
    <row r="292">
      <c r="A292" s="29" t="inlineStr">
        <is>
          <t xml:space="preserve">OCUPAÇÃO (P.P) · Taxa de Ocupação</t>
        </is>
      </c>
      <c r="B292" s="49" t="str">
        <f>IF(AND(ISNUMBER(B290),ISNUMBER(B291)),IF(B291&gt;0,B290/B291,""),"")</f>
        <v/>
      </c>
      <c r="C292" s="49" t="str">
        <f>IF(AND(ISNUMBER(C290),ISNUMBER(C291)),IF(C291&gt;0,C290/C291,""),"")</f>
        <v/>
      </c>
      <c r="D292" s="49" t="str">
        <f>IF(AND(ISNUMBER(B292),ISNUMBER(C292)),IF(C292&lt;&gt;0,B292/C292-1,""),"")</f>
        <v/>
      </c>
    </row>
    <row r="293">
      <c r="A293" s="29" t="inlineStr">
        <is>
          <t xml:space="preserve">OCUPAÇÃO (P.P) · Ociosidade</t>
        </is>
      </c>
      <c r="B293" s="49" t="str">
        <f>IF(ISNUMBER(B292),1-B292,"")</f>
        <v/>
      </c>
      <c r="C293" s="49" t="str">
        <f>IF(ISNUMBER(C292),1-C292,"")</f>
        <v/>
      </c>
      <c r="D293" s="49" t="str">
        <f>IF(AND(ISNUMBER(B293),ISNUMBER(C293)),IF(C293&lt;&gt;0,B293/C293-1,""),"")</f>
        <v/>
      </c>
    </row>
    <row r="294">
      <c r="A294" s="29" t="inlineStr">
        <is>
          <t xml:space="preserve">GENTE · Efetivo Op.</t>
        </is>
      </c>
      <c r="B294" s="32" t="str">
        <f>IF($B$2="Todos",IF(COUNT($I$258:$I$277)=0,"",SUM($I$258:$I$277)),IFERROR(INDEX($I$258:$I$277,MATCH($D$2,$A$258:$A$277,0)),""))</f>
        <v/>
      </c>
      <c r="C294" s="32" t="str">
        <f>IF($B$2="Todos",IF(COUNT($J$258:$J$277)=0,"",SUM($J$258:$J$277)),IFERROR(INDEX($J$258:$J$277,MATCH($D$2,$A$258:$A$277,0)),""))</f>
        <v/>
      </c>
      <c r="D294" s="49" t="str">
        <f>IF(AND(ISNUMBER(B294),ISNUMBER(C294)),IF(C294&lt;&gt;0,B294/C294-1,""),"")</f>
        <v/>
      </c>
    </row>
    <row r="295">
      <c r="A295" s="29" t="inlineStr">
        <is>
          <t xml:space="preserve">GENTE · Homem-dia (soma do efetivo diário)</t>
        </is>
      </c>
      <c r="B295" s="32">
        <f>IF($B$2="Todos",SUMIFS(BD!$N$3:$N$5001,BD!$A$3:$A$5001,"&gt;="&amp;$F$7,BD!$A$3:$A$5001,"&lt;="&amp;$G$7),SUMIFS(BD!$N$3:$N$5001,BD!$A$3:$A$5001,"&gt;="&amp;$F$7,BD!$A$3:$A$5001,"&lt;="&amp;$G$7,BD!$B$3:$B$5001,$D$2))</f>
        <v>0</v>
      </c>
      <c r="C295" s="32">
        <f>IF($B$2="Todos",SUMIFS(BD!$N$3:$N$5001,BD!$A$3:$A$5001,"&gt;="&amp;$F$8,BD!$A$3:$A$5001,"&lt;="&amp;$G$8),SUMIFS(BD!$N$3:$N$5001,BD!$A$3:$A$5001,"&gt;="&amp;$F$8,BD!$A$3:$A$5001,"&lt;="&amp;$G$8,BD!$B$3:$B$5001,$D$2))</f>
        <v>0</v>
      </c>
      <c r="D295" s="49" t="str">
        <f>IF(AND(ISNUMBER(B295),ISNUMBER(C295)),IF(C295&lt;&gt;0,B295/C295-1,""),"")</f>
        <v/>
      </c>
    </row>
    <row r="296">
      <c r="A296" s="29" t="inlineStr">
        <is>
          <t xml:space="preserve">GENTE · Falta</t>
        </is>
      </c>
      <c r="B296" s="32">
        <f>IF($B$2="Todos",SUMIFS(BD!$O$3:$O$5001,BD!$A$3:$A$5001,"&gt;="&amp;$F$7,BD!$A$3:$A$5001,"&lt;="&amp;$G$7),SUMIFS(BD!$O$3:$O$5001,BD!$A$3:$A$5001,"&gt;="&amp;$F$7,BD!$A$3:$A$5001,"&lt;="&amp;$G$7,BD!$B$3:$B$5001,$D$2))</f>
        <v>0</v>
      </c>
      <c r="C296" s="32">
        <f>IF($B$2="Todos",SUMIFS(BD!$O$3:$O$5001,BD!$A$3:$A$5001,"&gt;="&amp;$F$8,BD!$A$3:$A$5001,"&lt;="&amp;$G$8),SUMIFS(BD!$O$3:$O$5001,BD!$A$3:$A$5001,"&gt;="&amp;$F$8,BD!$A$3:$A$5001,"&lt;="&amp;$G$8,BD!$B$3:$B$5001,$D$2))</f>
        <v>0</v>
      </c>
      <c r="D296" s="49" t="str">
        <f>IF(AND(ISNUMBER(B296),ISNUMBER(C296)),IF(C296&lt;&gt;0,B296/C296-1,""),"")</f>
        <v/>
      </c>
    </row>
    <row r="297">
      <c r="A297" s="29" t="inlineStr">
        <is>
          <t xml:space="preserve">GENTE · Absenteísmo (H/H) = faltas ÷ homem-dia</t>
        </is>
      </c>
      <c r="B297" s="49" t="str">
        <f>IF(N(B295)&gt;0,N(B296)/B295,"")</f>
        <v/>
      </c>
      <c r="C297" s="49" t="str">
        <f>IF(N(C295)&gt;0,N(C296)/C295,"")</f>
        <v/>
      </c>
      <c r="D297" s="49" t="str">
        <f>IF(AND(ISNUMBER(B297),ISNUMBER(C297)),IF(C297&lt;&gt;0,B297/C297-1,""),"")</f>
        <v/>
      </c>
    </row>
    <row r="298">
      <c r="A298" s="29" t="inlineStr">
        <is>
          <t xml:space="preserve">GENTE · Folga</t>
        </is>
      </c>
      <c r="B298" s="32">
        <f>IF($B$2="Todos",SUMIFS(BD!$P$3:$P$5001,BD!$A$3:$A$5001,"&gt;="&amp;$F$7,BD!$A$3:$A$5001,"&lt;="&amp;$G$7),SUMIFS(BD!$P$3:$P$5001,BD!$A$3:$A$5001,"&gt;="&amp;$F$7,BD!$A$3:$A$5001,"&lt;="&amp;$G$7,BD!$B$3:$B$5001,$D$2))</f>
        <v>0</v>
      </c>
      <c r="C298" s="32">
        <f>IF($B$2="Todos",SUMIFS(BD!$P$3:$P$5001,BD!$A$3:$A$5001,"&gt;="&amp;$F$8,BD!$A$3:$A$5001,"&lt;="&amp;$G$8),SUMIFS(BD!$P$3:$P$5001,BD!$A$3:$A$5001,"&gt;="&amp;$F$8,BD!$A$3:$A$5001,"&lt;="&amp;$G$8,BD!$B$3:$B$5001,$D$2))</f>
        <v>0</v>
      </c>
      <c r="D298" s="49" t="str">
        <f>IF(AND(ISNUMBER(B298),ISNUMBER(C298)),IF(C298&lt;&gt;0,B298/C298-1,""),"")</f>
        <v/>
      </c>
    </row>
    <row r="299">
      <c r="A299" s="29" t="inlineStr">
        <is>
          <t xml:space="preserve">GENTE · Férias</t>
        </is>
      </c>
      <c r="B299" s="32">
        <f>IF($B$2="Todos",SUMIFS(BD!$Q$3:$Q$5001,BD!$A$3:$A$5001,"&gt;="&amp;$F$7,BD!$A$3:$A$5001,"&lt;="&amp;$G$7),SUMIFS(BD!$Q$3:$Q$5001,BD!$A$3:$A$5001,"&gt;="&amp;$F$7,BD!$A$3:$A$5001,"&lt;="&amp;$G$7,BD!$B$3:$B$5001,$D$2))</f>
        <v>0</v>
      </c>
      <c r="C299" s="32">
        <f>IF($B$2="Todos",SUMIFS(BD!$Q$3:$Q$5001,BD!$A$3:$A$5001,"&gt;="&amp;$F$8,BD!$A$3:$A$5001,"&lt;="&amp;$G$8),SUMIFS(BD!$Q$3:$Q$5001,BD!$A$3:$A$5001,"&gt;="&amp;$F$8,BD!$A$3:$A$5001,"&lt;="&amp;$G$8,BD!$B$3:$B$5001,$D$2))</f>
        <v>0</v>
      </c>
      <c r="D299" s="49" t="str">
        <f>IF(AND(ISNUMBER(B299),ISNUMBER(C299)),IF(C299&lt;&gt;0,B299/C299-1,""),"")</f>
        <v/>
      </c>
    </row>
    <row r="300">
      <c r="A300" s="29" t="inlineStr">
        <is>
          <t xml:space="preserve">GENTE · Desligamento</t>
        </is>
      </c>
      <c r="B300" s="32">
        <f>IF($B$2="Todos",SUMIFS(BD!$R$3:$R$5001,BD!$A$3:$A$5001,"&gt;="&amp;$F$7,BD!$A$3:$A$5001,"&lt;="&amp;$G$7),SUMIFS(BD!$R$3:$R$5001,BD!$A$3:$A$5001,"&gt;="&amp;$F$7,BD!$A$3:$A$5001,"&lt;="&amp;$G$7,BD!$B$3:$B$5001,$D$2))</f>
        <v>0</v>
      </c>
      <c r="C300" s="32">
        <f>IF($B$2="Todos",SUMIFS(BD!$R$3:$R$5001,BD!$A$3:$A$5001,"&gt;="&amp;$F$8,BD!$A$3:$A$5001,"&lt;="&amp;$G$8),SUMIFS(BD!$R$3:$R$5001,BD!$A$3:$A$5001,"&gt;="&amp;$F$8,BD!$A$3:$A$5001,"&lt;="&amp;$G$8,BD!$B$3:$B$5001,$D$2))</f>
        <v>0</v>
      </c>
      <c r="D300" s="49" t="str">
        <f>IF(AND(ISNUMBER(B300),ISNUMBER(C300)),IF(C300&lt;&gt;0,B300/C300-1,""),"")</f>
        <v/>
      </c>
    </row>
    <row r="301">
      <c r="A301" s="29" t="inlineStr">
        <is>
          <t xml:space="preserve">GENTE · Turnover = desligamentos ÷ efetivo</t>
        </is>
      </c>
      <c r="B301" s="49" t="str">
        <f>IF(N(B294)&gt;0,N(B300)/B294,"")</f>
        <v/>
      </c>
      <c r="C301" s="49" t="str">
        <f>IF(N(C294)&gt;0,N(C300)/C294,"")</f>
        <v/>
      </c>
      <c r="D301" s="49" t="str">
        <f>IF(AND(ISNUMBER(B301),ISNUMBER(C301)),IF(C301&lt;&gt;0,B301/C301-1,""),"")</f>
        <v/>
      </c>
    </row>
    <row r="302">
      <c r="A302" s="29" t="inlineStr">
        <is>
          <t xml:space="preserve">GENTE · Desvios Comportamentais</t>
        </is>
      </c>
      <c r="B302" s="32">
        <f>IF($B$2="Todos",SUMIFS(BD!$S$3:$S$5001,BD!$A$3:$A$5001,"&gt;="&amp;$F$7,BD!$A$3:$A$5001,"&lt;="&amp;$G$7),SUMIFS(BD!$S$3:$S$5001,BD!$A$3:$A$5001,"&gt;="&amp;$F$7,BD!$A$3:$A$5001,"&lt;="&amp;$G$7,BD!$B$3:$B$5001,$D$2))</f>
        <v>0</v>
      </c>
      <c r="C302" s="32">
        <f>IF($B$2="Todos",SUMIFS(BD!$S$3:$S$5001,BD!$A$3:$A$5001,"&gt;="&amp;$F$8,BD!$A$3:$A$5001,"&lt;="&amp;$G$8),SUMIFS(BD!$S$3:$S$5001,BD!$A$3:$A$5001,"&gt;="&amp;$F$8,BD!$A$3:$A$5001,"&lt;="&amp;$G$8,BD!$B$3:$B$5001,$D$2))</f>
        <v>0</v>
      </c>
      <c r="D302" s="49" t="str">
        <f>IF(AND(ISNUMBER(B302),ISNUMBER(C302)),IF(C302&lt;&gt;0,B302/C302-1,""),"")</f>
        <v/>
      </c>
    </row>
    <row r="303">
      <c r="A303" s="29" t="inlineStr">
        <is>
          <t xml:space="preserve">GENTE · Acidentes CAF</t>
        </is>
      </c>
      <c r="B303" s="32">
        <f>IF($B$2="Todos",SUMIFS(BD!$T$3:$T$5001,BD!$A$3:$A$5001,"&gt;="&amp;$F$7,BD!$A$3:$A$5001,"&lt;="&amp;$G$7),SUMIFS(BD!$T$3:$T$5001,BD!$A$3:$A$5001,"&gt;="&amp;$F$7,BD!$A$3:$A$5001,"&lt;="&amp;$G$7,BD!$B$3:$B$5001,$D$2))</f>
        <v>0</v>
      </c>
      <c r="C303" s="32">
        <f>IF($B$2="Todos",SUMIFS(BD!$T$3:$T$5001,BD!$A$3:$A$5001,"&gt;="&amp;$F$8,BD!$A$3:$A$5001,"&lt;="&amp;$G$8),SUMIFS(BD!$T$3:$T$5001,BD!$A$3:$A$5001,"&gt;="&amp;$F$8,BD!$A$3:$A$5001,"&lt;="&amp;$G$8,BD!$B$3:$B$5001,$D$2))</f>
        <v>0</v>
      </c>
      <c r="D303" s="49" t="str">
        <f>IF(AND(ISNUMBER(B303),ISNUMBER(C303)),IF(C303&lt;&gt;0,B303/C303-1,""),"")</f>
        <v/>
      </c>
    </row>
    <row r="304">
      <c r="A304" s="29" t="inlineStr">
        <is>
          <t xml:space="preserve">GENTE · Acidentes SAF</t>
        </is>
      </c>
      <c r="B304" s="32">
        <f>IF($B$2="Todos",SUMIFS(BD!$U$3:$U$5001,BD!$A$3:$A$5001,"&gt;="&amp;$F$7,BD!$A$3:$A$5001,"&lt;="&amp;$G$7),SUMIFS(BD!$U$3:$U$5001,BD!$A$3:$A$5001,"&gt;="&amp;$F$7,BD!$A$3:$A$5001,"&lt;="&amp;$G$7,BD!$B$3:$B$5001,$D$2))</f>
        <v>0</v>
      </c>
      <c r="C304" s="32">
        <f>IF($B$2="Todos",SUMIFS(BD!$U$3:$U$5001,BD!$A$3:$A$5001,"&gt;="&amp;$F$8,BD!$A$3:$A$5001,"&lt;="&amp;$G$8),SUMIFS(BD!$U$3:$U$5001,BD!$A$3:$A$5001,"&gt;="&amp;$F$8,BD!$A$3:$A$5001,"&lt;="&amp;$G$8,BD!$B$3:$B$5001,$D$2))</f>
        <v>0</v>
      </c>
      <c r="D304" s="49" t="str">
        <f>IF(AND(ISNUMBER(B304),ISNUMBER(C304)),IF(C304&lt;&gt;0,B304/C304-1,""),"")</f>
        <v/>
      </c>
    </row>
    <row r="307">
      <c r="A307" s="44" t="inlineStr">
        <is>
          <t xml:space="preserve">Textos das linhas de apoio dos cards (Dashboard)</t>
        </is>
      </c>
    </row>
    <row r="308">
      <c r="A308" s="38" t="inlineStr">
        <is>
          <t xml:space="preserve">inA</t>
        </is>
      </c>
      <c r="B308" s="65" t="str">
        <f>IF(N(VALUE($B$310))=0,"",IF(ISNUMBER(IF(N(VALUE($E$310))=0,INDEX($B$281:$B$304,VALUE($B$310)),IF(AND(ISNUMBER(INDEX($B$281:$B$304,VALUE($B$310))),N(INDEX($B$281:$B$304,N(VALUE($E$310))))&gt;0),INDEX($B$281:$B$304,VALUE($B$310))/INDEX($B$281:$B$304,N(VALUE($E$310))),""))),FIXED(IF(N(VALUE($E$310))=0,INDEX($B$281:$B$304,VALUE($B$310)),IF(AND(ISNUMBER(INDEX($B$281:$B$304,VALUE($B$310))),N(INDEX($B$281:$B$304,N(VALUE($E$310))))&gt;0),INDEX($B$281:$B$304,VALUE($B$310))/INDEX($B$281:$B$304,N(VALUE($E$310))),"")),VALUE($D$310)),"—")&amp;" "&amp;$C$310)&amp;IF(AND(N(VALUE($B$310))&gt;0,N(VALUE($F$310))&gt;0),"  ·  ","")&amp;IF(N(VALUE($F$310))=0,"",IF(ISNUMBER(IF(N(VALUE($I$310))=0,INDEX($B$281:$B$304,VALUE($F$310)),IF(AND(ISNUMBER(INDEX($B$281:$B$304,VALUE($F$310))),N(INDEX($B$281:$B$304,N(VALUE($I$310))))&gt;0),INDEX($B$281:$B$304,VALUE($F$310))/INDEX($B$281:$B$304,N(VALUE($I$310))),""))),FIXED(IF(N(VALUE($I$310))=0,INDEX($B$281:$B$304,VALUE($F$310)),IF(AND(ISNUMBER(INDEX($B$281:$B$304,VALUE($F$310))),N(INDEX($B$281:$B$304,N(VALUE($I$310))))&gt;0),INDEX($B$281:$B$304,VALUE($F$310))/INDEX($B$281:$B$304,N(VALUE($I$310))),"")),VALUE($H$310)),"—")&amp;" "&amp;$G$310)</f>
        <v>0 pallets movimentados</v>
      </c>
      <c r="C308" s="38" t="inlineStr">
        <is>
          <t xml:space="preserve">inB</t>
        </is>
      </c>
      <c r="D308" s="65" t="str">
        <f>IF(N(VALUE($J$310))=0,"",IF(ISNUMBER(IF(N(VALUE($M$310))=0,INDEX($B$281:$B$304,VALUE($J$310)),IF(AND(ISNUMBER(INDEX($B$281:$B$304,VALUE($J$310))),N(INDEX($B$281:$B$304,N(VALUE($M$310))))&gt;0),INDEX($B$281:$B$304,VALUE($J$310))/INDEX($B$281:$B$304,N(VALUE($M$310))),""))),FIXED(IF(N(VALUE($M$310))=0,INDEX($B$281:$B$304,VALUE($J$310)),IF(AND(ISNUMBER(INDEX($B$281:$B$304,VALUE($J$310))),N(INDEX($B$281:$B$304,N(VALUE($M$310))))&gt;0),INDEX($B$281:$B$304,VALUE($J$310))/INDEX($B$281:$B$304,N(VALUE($M$310))),"")),VALUE($L$310)),"—")&amp;" "&amp;$K$310)&amp;IF(AND(N(VALUE($J$310))&gt;0,N(VALUE($N$310))&gt;0),"  ·  ","")&amp;IF(N(VALUE($N$310))=0,"",IF(ISNUMBER(IF(N(VALUE($Q$310))=0,INDEX($B$281:$B$304,VALUE($N$310)),IF(AND(ISNUMBER(INDEX($B$281:$B$304,VALUE($N$310))),N(INDEX($B$281:$B$304,N(VALUE($Q$310))))&gt;0),INDEX($B$281:$B$304,VALUE($N$310))/INDEX($B$281:$B$304,N(VALUE($Q$310))),""))),FIXED(IF(N(VALUE($Q$310))=0,INDEX($B$281:$B$304,VALUE($N$310)),IF(AND(ISNUMBER(INDEX($B$281:$B$304,VALUE($N$310))),N(INDEX($B$281:$B$304,N(VALUE($Q$310))))&gt;0),INDEX($B$281:$B$304,VALUE($N$310))/INDEX($B$281:$B$304,N(VALUE($Q$310))),"")),VALUE($P$310)),"—")&amp;" "&amp;$O$310)</f>
        <v>0,0 t movimentadas</v>
      </c>
      <c r="E308" s="38" t="inlineStr">
        <is>
          <t xml:space="preserve">outA</t>
        </is>
      </c>
      <c r="F308" s="65" t="str">
        <f>IF(N(VALUE($R$310))=0,"",IF(ISNUMBER(IF(N(VALUE($U$310))=0,INDEX($B$281:$B$304,VALUE($R$310)),IF(AND(ISNUMBER(INDEX($B$281:$B$304,VALUE($R$310))),N(INDEX($B$281:$B$304,N(VALUE($U$310))))&gt;0),INDEX($B$281:$B$304,VALUE($R$310))/INDEX($B$281:$B$304,N(VALUE($U$310))),""))),FIXED(IF(N(VALUE($U$310))=0,INDEX($B$281:$B$304,VALUE($R$310)),IF(AND(ISNUMBER(INDEX($B$281:$B$304,VALUE($R$310))),N(INDEX($B$281:$B$304,N(VALUE($U$310))))&gt;0),INDEX($B$281:$B$304,VALUE($R$310))/INDEX($B$281:$B$304,N(VALUE($U$310))),"")),VALUE($T$310)),"—")&amp;" "&amp;$S$310)&amp;IF(AND(N(VALUE($R$310))&gt;0,N(VALUE($V$310))&gt;0),"  ·  ","")&amp;IF(N(VALUE($V$310))=0,"",IF(ISNUMBER(IF(N(VALUE($Y$310))=0,INDEX($B$281:$B$304,VALUE($V$310)),IF(AND(ISNUMBER(INDEX($B$281:$B$304,VALUE($V$310))),N(INDEX($B$281:$B$304,N(VALUE($Y$310))))&gt;0),INDEX($B$281:$B$304,VALUE($V$310))/INDEX($B$281:$B$304,N(VALUE($Y$310))),""))),FIXED(IF(N(VALUE($Y$310))=0,INDEX($B$281:$B$304,VALUE($V$310)),IF(AND(ISNUMBER(INDEX($B$281:$B$304,VALUE($V$310))),N(INDEX($B$281:$B$304,N(VALUE($Y$310))))&gt;0),INDEX($B$281:$B$304,VALUE($V$310))/INDEX($B$281:$B$304,N(VALUE($Y$310))),"")),VALUE($X$310)),"—")&amp;" "&amp;$W$310)</f>
        <v>0 pallets movimentados</v>
      </c>
      <c r="G308" s="38" t="inlineStr">
        <is>
          <t xml:space="preserve">outB</t>
        </is>
      </c>
      <c r="H308" s="65" t="str">
        <f>IF(N(VALUE($Z$310))=0,"",IF(ISNUMBER(IF(N(VALUE($AC$310))=0,INDEX($B$281:$B$304,VALUE($Z$310)),IF(AND(ISNUMBER(INDEX($B$281:$B$304,VALUE($Z$310))),N(INDEX($B$281:$B$304,N(VALUE($AC$310))))&gt;0),INDEX($B$281:$B$304,VALUE($Z$310))/INDEX($B$281:$B$304,N(VALUE($AC$310))),""))),FIXED(IF(N(VALUE($AC$310))=0,INDEX($B$281:$B$304,VALUE($Z$310)),IF(AND(ISNUMBER(INDEX($B$281:$B$304,VALUE($Z$310))),N(INDEX($B$281:$B$304,N(VALUE($AC$310))))&gt;0),INDEX($B$281:$B$304,VALUE($Z$310))/INDEX($B$281:$B$304,N(VALUE($AC$310))),"")),VALUE($AB$310)),"—")&amp;" "&amp;$AA$310)&amp;IF(AND(N(VALUE($Z$310))&gt;0,N(VALUE($AD$310))&gt;0),"  ·  ","")&amp;IF(N(VALUE($AD$310))=0,"",IF(ISNUMBER(IF(N(VALUE($AG$310))=0,INDEX($B$281:$B$304,VALUE($AD$310)),IF(AND(ISNUMBER(INDEX($B$281:$B$304,VALUE($AD$310))),N(INDEX($B$281:$B$304,N(VALUE($AG$310))))&gt;0),INDEX($B$281:$B$304,VALUE($AD$310))/INDEX($B$281:$B$304,N(VALUE($AG$310))),""))),FIXED(IF(N(VALUE($AG$310))=0,INDEX($B$281:$B$304,VALUE($AD$310)),IF(AND(ISNUMBER(INDEX($B$281:$B$304,VALUE($AD$310))),N(INDEX($B$281:$B$304,N(VALUE($AG$310))))&gt;0),INDEX($B$281:$B$304,VALUE($AD$310))/INDEX($B$281:$B$304,N(VALUE($AG$310))),"")),VALUE($AF$310)),"—")&amp;" "&amp;$AE$310)</f>
        <v>0,0 t movimentadas</v>
      </c>
    </row>
    <row r="309">
      <c r="A309" s="19" t="inlineStr">
        <is>
          <t xml:space="preserve">PERFIL DO CLIENTE FILTRADO — lido da aba Config (linha da Config · por item: linha no período, rótulo, casas, linha do divisor · gráficos: colunas da série)</t>
        </is>
      </c>
    </row>
    <row r="310">
      <c r="A310" s="95">
        <f>IFERROR(MATCH($B$2,Config!$B$9:$B$29,0),1)</f>
        <v>1</v>
      </c>
      <c r="B310" s="96">
        <f>IFERROR(VLOOKUP(INDEX(Config!$E$9:$E$29,$A$310),Config!$Y$9:$AE$16,4,0),0)</f>
        <v>2</v>
      </c>
      <c r="C310" s="96" t="str">
        <f>IFERROR(VLOOKUP(INDEX(Config!$E$9:$E$29,$A$310),Config!$Y$9:$AE$16,2,0)&amp;"","")</f>
        <v>pallets movimentados</v>
      </c>
      <c r="D310" s="96">
        <f>IFERROR(VLOOKUP(INDEX(Config!$E$9:$E$29,$A$310),Config!$Y$9:$AE$16,3,0),0)</f>
        <v>0</v>
      </c>
      <c r="E310" s="96">
        <f>IFERROR(VLOOKUP(INDEX(Config!$E$9:$E$29,$A$310),Config!$Y$9:$AE$16,6,0),0)</f>
        <v>0</v>
      </c>
      <c r="F310" s="96">
        <v>0</v>
      </c>
      <c r="G310" s="96"/>
      <c r="H310" s="96">
        <v>0</v>
      </c>
      <c r="I310" s="96">
        <v>0</v>
      </c>
      <c r="J310" s="96">
        <f>IFERROR(VLOOKUP(INDEX(Config!$F$9:$F$29,$A$310),Config!$Y$9:$AE$16,4,0),0)</f>
        <v>3</v>
      </c>
      <c r="K310" s="96" t="str">
        <f>IFERROR(VLOOKUP(INDEX(Config!$F$9:$F$29,$A$310),Config!$Y$9:$AE$16,2,0)&amp;"","")</f>
        <v>t movimentadas</v>
      </c>
      <c r="L310" s="96">
        <f>IFERROR(VLOOKUP(INDEX(Config!$F$9:$F$29,$A$310),Config!$Y$9:$AE$16,3,0),0)</f>
        <v>1</v>
      </c>
      <c r="M310" s="96">
        <f>IFERROR(VLOOKUP(INDEX(Config!$F$9:$F$29,$A$310),Config!$Y$9:$AE$16,6,0),0)</f>
        <v>0</v>
      </c>
      <c r="N310" s="96">
        <f>IFERROR(VLOOKUP(INDEX(Config!$G$9:$G$29,$A$310),Config!$Y$9:$AE$16,4,0),0)</f>
        <v>0</v>
      </c>
      <c r="O310" s="96" t="str">
        <f>IFERROR(VLOOKUP(INDEX(Config!$G$9:$G$29,$A$310),Config!$Y$9:$AE$16,2,0)&amp;"","")</f>
        <v/>
      </c>
      <c r="P310" s="96">
        <f>IFERROR(VLOOKUP(INDEX(Config!$G$9:$G$29,$A$310),Config!$Y$9:$AE$16,3,0),0)</f>
        <v>0</v>
      </c>
      <c r="Q310" s="96">
        <f>IFERROR(VLOOKUP(INDEX(Config!$G$9:$G$29,$A$310),Config!$Y$9:$AE$16,6,0),0)</f>
        <v>0</v>
      </c>
      <c r="R310" s="96">
        <f>IFERROR(VLOOKUP(INDEX(Config!$I$9:$I$29,$A$310),Config!$Y$9:$AE$16,4,0),0)</f>
        <v>5</v>
      </c>
      <c r="S310" s="96" t="str">
        <f>IFERROR(VLOOKUP(INDEX(Config!$I$9:$I$29,$A$310),Config!$Y$9:$AE$16,2,0)&amp;"","")</f>
        <v>pallets movimentados</v>
      </c>
      <c r="T310" s="96">
        <f>IFERROR(VLOOKUP(INDEX(Config!$I$9:$I$29,$A$310),Config!$Y$9:$AE$16,3,0),0)</f>
        <v>0</v>
      </c>
      <c r="U310" s="96">
        <f>IFERROR(VLOOKUP(INDEX(Config!$I$9:$I$29,$A$310),Config!$Y$9:$AE$16,6,0),0)</f>
        <v>0</v>
      </c>
      <c r="V310" s="96">
        <v>0</v>
      </c>
      <c r="W310" s="96"/>
      <c r="X310" s="96">
        <v>0</v>
      </c>
      <c r="Y310" s="96">
        <v>0</v>
      </c>
      <c r="Z310" s="96">
        <f>IFERROR(VLOOKUP(INDEX(Config!$J$9:$J$29,$A$310),Config!$Y$9:$AE$16,4,0),0)</f>
        <v>6</v>
      </c>
      <c r="AA310" s="96" t="str">
        <f>IFERROR(VLOOKUP(INDEX(Config!$J$9:$J$29,$A$310),Config!$Y$9:$AE$16,2,0)&amp;"","")</f>
        <v>t movimentadas</v>
      </c>
      <c r="AB310" s="96">
        <f>IFERROR(VLOOKUP(INDEX(Config!$J$9:$J$29,$A$310),Config!$Y$9:$AE$16,3,0),0)</f>
        <v>1</v>
      </c>
      <c r="AC310" s="96">
        <f>IFERROR(VLOOKUP(INDEX(Config!$J$9:$J$29,$A$310),Config!$Y$9:$AE$16,6,0),0)</f>
        <v>0</v>
      </c>
      <c r="AD310" s="96">
        <f>IFERROR(VLOOKUP(INDEX(Config!$K$9:$K$29,$A$310),Config!$Y$9:$AE$16,4,0),0)</f>
        <v>0</v>
      </c>
      <c r="AE310" s="96" t="str">
        <f>IFERROR(VLOOKUP(INDEX(Config!$K$9:$K$29,$A$310),Config!$Y$9:$AE$16,2,0)&amp;"","")</f>
        <v/>
      </c>
      <c r="AF310" s="96">
        <f>IFERROR(VLOOKUP(INDEX(Config!$K$9:$K$29,$A$310),Config!$Y$9:$AE$16,3,0),0)</f>
        <v>0</v>
      </c>
      <c r="AG310" s="96">
        <f>IFERROR(VLOOKUP(INDEX(Config!$K$9:$K$29,$A$310),Config!$Y$9:$AE$16,6,0),0)</f>
        <v>0</v>
      </c>
      <c r="AH310" s="96">
        <f>IFERROR(VLOOKUP(INDEX(Config!$M$9:$M$29,$A$310),Config!$Y$9:$AE$16,5,0),0)</f>
        <v>2</v>
      </c>
      <c r="AI310" s="96">
        <f>IFERROR(VLOOKUP(INDEX(Config!$N$9:$N$29,$A$310),Config!$Y$9:$AE$16,5,0),0)</f>
        <v>5</v>
      </c>
      <c r="AJ310" s="96">
        <f>IFERROR(VLOOKUP(INDEX(Config!$M$9:$M$29,$A$310),Config!$Y$9:$AE$16,7,0),0)</f>
        <v>0</v>
      </c>
      <c r="AK310" s="96">
        <f>IFERROR(VLOOKUP(INDEX(Config!$N$9:$N$29,$A$310),Config!$Y$9:$AE$16,7,0),0)</f>
        <v>0</v>
      </c>
      <c r="AL310" s="96" t="str">
        <f>INDEX(Config!$O$9:$O$29,$A$310)&amp;""</f>
        <v>MOVIMENTAÇÃO PALETES/DIA</v>
      </c>
      <c r="AM310" s="96" t="str">
        <f>INDEX(Config!$P$9:$P$29,$A$310)&amp;""</f>
        <v>ACUMULADO SEMANAL PALETES</v>
      </c>
      <c r="AN310" s="96" t="str">
        <f>IF(INDEX(Config!$M$9:$M$29,$A$310)&amp;""="","IN",INDEX(Config!$M$9:$M$29,$A$310)&amp;"")</f>
        <v>Pallets Movimentados IN</v>
      </c>
      <c r="AO310" s="96" t="str">
        <f>IF(INDEX(Config!$N$9:$N$29,$A$310)&amp;""="","OUT",INDEX(Config!$N$9:$N$29,$A$310)&amp;"")</f>
        <v>Pallets Movimentados OUT</v>
      </c>
      <c r="AP310" s="96">
        <f>IFERROR(VLOOKUP(INDEX(Config!$Q$9:$Q$29,$A$310),Config!$Y$9:$AE$16,5,0),0)</f>
        <v>3</v>
      </c>
      <c r="AQ310" s="96">
        <f>IFERROR(VLOOKUP(INDEX(Config!$R$9:$R$29,$A$310),Config!$Y$9:$AE$16,5,0),0)</f>
        <v>6</v>
      </c>
      <c r="AR310" s="96">
        <f>IFERROR(VLOOKUP(INDEX(Config!$Q$9:$Q$29,$A$310),Config!$Y$9:$AE$16,7,0),0)</f>
        <v>0</v>
      </c>
      <c r="AS310" s="96">
        <f>IFERROR(VLOOKUP(INDEX(Config!$R$9:$R$29,$A$310),Config!$Y$9:$AE$16,7,0),0)</f>
        <v>0</v>
      </c>
      <c r="AT310" s="96" t="str">
        <f>INDEX(Config!$S$9:$S$29,$A$310)&amp;""</f>
        <v>MOVIMENTAÇÃO TONS/DIA</v>
      </c>
      <c r="AU310" s="96" t="str">
        <f>INDEX(Config!$T$9:$T$29,$A$310)&amp;""</f>
        <v>ACUMULADO SEMANAL TONS</v>
      </c>
      <c r="AV310" s="96" t="str">
        <f>IF(INDEX(Config!$Q$9:$Q$29,$A$310)&amp;""="","IN",INDEX(Config!$Q$9:$Q$29,$A$310)&amp;"")</f>
        <v>Toneladas Movimentadas IN</v>
      </c>
      <c r="AW310" s="96" t="str">
        <f>IF(INDEX(Config!$R$9:$R$29,$A$310)&amp;""="","OUT",INDEX(Config!$R$9:$R$29,$A$310)&amp;"")</f>
        <v>Toneladas Movimentadas OUT</v>
      </c>
      <c r="AX310" s="96" t="str">
        <f>INDEX(Config!$D$9:$D$29,$A$310)&amp;""</f>
        <v>Sim</v>
      </c>
      <c r="AY310" s="96" t="str">
        <f>INDEX(Config!$H$9:$H$29,$A$310)&amp;""</f>
        <v>Sim</v>
      </c>
      <c r="AZ310" s="96" t="str">
        <f>INDEX(Config!$L$9:$L$29,$A$310)&amp;""</f>
        <v>Completo</v>
      </c>
      <c r="BA310" s="96" t="str">
        <f>IF(OR($B$2="Todos",$C$2=2),Config!$D$70,Config!$D$69)&amp;""</f>
        <v>ARMAZÉM</v>
      </c>
      <c r="BB310" s="96" t="str">
        <f>IF(OR($B$2="Todos",$C$2=2),Config!$D$89,Config!$D$88)&amp;""</f>
        <v>Capacidade do armazém (p.p)</v>
      </c>
    </row>
  </sheetData>
  <sheetProtection password="CC30" sheet="1" objects="1" scenarios="1"/>
  <pageMargins left="0.25" right="0.25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S42"/>
  <sheetViews>
    <sheetView showGridLines="0" zoomScale="100" zoomScaleNormal="100" workbookViewId="0">
      <pane xSplit="2" ySplit="2" topLeftCell="C3" activePane="bottomRight" state="frozen"/>
      <selection pane="bottomRight" activeCell="C3" sqref="C3"/>
    </sheetView>
  </sheetViews>
  <sheetFormatPr defaultRowHeight="15"/>
  <cols>
    <col min="1" max="1" width="11" customWidth="1"/>
    <col min="2" max="2" width="18" customWidth="1"/>
    <col min="3" max="3" width="11.55" customWidth="1"/>
    <col min="4" max="4" width="12.65" customWidth="1"/>
    <col min="5" max="5" width="13" customWidth="1"/>
    <col min="6" max="6" width="12.100000000000001" customWidth="1"/>
    <col min="7" max="7" width="13" customWidth="1"/>
    <col min="8" max="8" width="13" customWidth="1"/>
    <col min="9" max="9" width="10" customWidth="1"/>
    <col min="10" max="10" width="10" customWidth="1"/>
    <col min="11" max="11" width="10" customWidth="1"/>
    <col min="12" max="12" width="11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2.65" customWidth="1"/>
    <col min="20" max="20" width="10" customWidth="1"/>
    <col min="21" max="21" width="10" customWidth="1"/>
    <col min="22" max="22" width="11" customWidth="1"/>
    <col min="23" max="23" width="3" customWidth="1"/>
    <col min="24" max="24" width="70" customWidth="1"/>
    <col min="25" max="25" width="11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  <col min="31" max="31" width="12" customWidth="1"/>
    <col min="32" max="32" width="12" customWidth="1"/>
    <col min="33" max="33" width="12" customWidth="1"/>
    <col min="34" max="34" width="12" customWidth="1"/>
    <col min="35" max="35" width="12" customWidth="1"/>
    <col min="36" max="36" width="12" customWidth="1"/>
    <col min="37" max="37" width="12" customWidth="1"/>
    <col min="38" max="38" width="12" customWidth="1"/>
    <col min="39" max="39" width="12" customWidth="1"/>
    <col min="40" max="40" width="12" customWidth="1"/>
    <col min="41" max="41" width="12" customWidth="1"/>
    <col min="42" max="42" width="12" customWidth="1"/>
    <col min="43" max="43" width="12" customWidth="1"/>
    <col min="44" max="44" width="12" customWidth="1"/>
    <col min="45" max="45" width="12" customWidth="1"/>
  </cols>
  <sheetData>
    <row r="1" ht="20" customHeight="1">
      <c r="A1" s="1" t="inlineStr">
        <is>
          <t xml:space="preserve">REGISTRO</t>
        </is>
      </c>
      <c r="B1" s="2"/>
      <c r="C1" s="3" t="inlineStr">
        <is>
          <t xml:space="preserve">IN · RECEBIMENTO</t>
        </is>
      </c>
      <c r="D1" s="4"/>
      <c r="E1" s="5"/>
      <c r="F1" s="6" t="inlineStr">
        <is>
          <t xml:space="preserve">OUT · EXPEDIÇÃO</t>
        </is>
      </c>
      <c r="G1" s="7"/>
      <c r="H1" s="8"/>
      <c r="I1" s="9" t="inlineStr">
        <is>
          <t xml:space="preserve">NC · NÃO CONFORMIDADES</t>
        </is>
      </c>
      <c r="J1" s="10"/>
      <c r="K1" s="11"/>
      <c r="L1" s="3" t="inlineStr">
        <is>
          <t xml:space="preserve">OCUPAÇÃO (P.P)</t>
        </is>
      </c>
      <c r="M1" s="5"/>
      <c r="N1" s="12" t="inlineStr">
        <is>
          <t xml:space="preserve">GENTE</t>
        </is>
      </c>
      <c r="O1" s="13"/>
      <c r="P1" s="13"/>
      <c r="Q1" s="13"/>
      <c r="R1" s="13"/>
      <c r="S1" s="13"/>
      <c r="T1" s="13"/>
      <c r="U1" s="14"/>
      <c r="V1" s="15" t="inlineStr">
        <is>
          <t xml:space="preserve">CONTRATO</t>
        </is>
      </c>
    </row>
    <row r="2" ht="42" customHeight="1">
      <c r="A2" s="16" t="inlineStr">
        <is>
          <t xml:space="preserve">Data</t>
        </is>
      </c>
      <c r="B2" s="16" t="inlineStr">
        <is>
          <t xml:space="preserve">Cliente</t>
        </is>
      </c>
      <c r="C2" s="16" t="inlineStr">
        <is>
          <t xml:space="preserve">IN Veículos Recebidos</t>
        </is>
      </c>
      <c r="D2" s="16" t="inlineStr">
        <is>
          <t xml:space="preserve">IN Pallets Movimentados</t>
        </is>
      </c>
      <c r="E2" s="16" t="inlineStr">
        <is>
          <t xml:space="preserve">IN Toneladas Movimentadas</t>
        </is>
      </c>
      <c r="F2" s="16" t="inlineStr">
        <is>
          <t xml:space="preserve">OUT Veículos Expedidos</t>
        </is>
      </c>
      <c r="G2" s="16" t="inlineStr">
        <is>
          <t xml:space="preserve">OUT Pallets Movimentados</t>
        </is>
      </c>
      <c r="H2" s="16" t="inlineStr">
        <is>
          <t xml:space="preserve">OUT Toneladas Movimentadas</t>
        </is>
      </c>
      <c r="I2" s="16" t="inlineStr">
        <is>
          <t xml:space="preserve">NC Incidentes</t>
        </is>
      </c>
      <c r="J2" s="16" t="inlineStr">
        <is>
          <t xml:space="preserve">NC No show</t>
        </is>
      </c>
      <c r="K2" s="16" t="inlineStr">
        <is>
          <t xml:space="preserve">NC Backlog</t>
        </is>
      </c>
      <c r="L2" s="16" t="inlineStr">
        <is>
          <t xml:space="preserve">Posições Disponíveis</t>
        </is>
      </c>
      <c r="M2" s="16" t="inlineStr">
        <is>
          <t xml:space="preserve">Posições Ocupadas</t>
        </is>
      </c>
      <c r="N2" s="16" t="inlineStr">
        <is>
          <t xml:space="preserve">Efetivo Op.</t>
        </is>
      </c>
      <c r="O2" s="16" t="inlineStr">
        <is>
          <t xml:space="preserve">Falta</t>
        </is>
      </c>
      <c r="P2" s="16" t="inlineStr">
        <is>
          <t xml:space="preserve">Folga</t>
        </is>
      </c>
      <c r="Q2" s="16" t="inlineStr">
        <is>
          <t xml:space="preserve">Férias</t>
        </is>
      </c>
      <c r="R2" s="16" t="inlineStr">
        <is>
          <t xml:space="preserve">Desligamento</t>
        </is>
      </c>
      <c r="S2" s="16" t="inlineStr">
        <is>
          <t xml:space="preserve">Desvios Comportamentais</t>
        </is>
      </c>
      <c r="T2" s="16" t="inlineStr">
        <is>
          <t xml:space="preserve">Acidentes CAF</t>
        </is>
      </c>
      <c r="U2" s="16" t="inlineStr">
        <is>
          <t xml:space="preserve">Acidentes SAF</t>
        </is>
      </c>
      <c r="V2" s="16" t="inlineStr">
        <is>
          <t xml:space="preserve">Modalidade</t>
        </is>
      </c>
      <c r="X2" s="17" t="inlineStr">
        <is>
          <t xml:space="preserve">COMO PREENCHER A BD</t>
        </is>
      </c>
    </row>
    <row r="3">
      <c r="X3" s="18" t="inlineStr">
        <is>
          <t xml:space="preserve">• Uma linha por dia e por cliente.</t>
        </is>
      </c>
    </row>
    <row r="4">
      <c r="X4" s="18" t="inlineStr">
        <is>
          <t xml:space="preserve">• Digite na primeira linha vazia logo abaixo da tabela: ela cresce sozinha e leva formato, listas e validações.</t>
        </is>
      </c>
    </row>
    <row r="5">
      <c r="X5" s="18" t="inlineStr">
        <is>
          <t xml:space="preserve">• Data: dd/mm/aaaa.   Cliente e Modalidade: escolha na lista (setinha da célula).</t>
        </is>
      </c>
    </row>
    <row r="6">
      <c r="X6" s="18" t="inlineStr">
        <is>
          <t xml:space="preserve">• Números: só 0 ou maior. Toneladas aceitam casas decimais.</t>
        </is>
      </c>
    </row>
    <row r="7">
      <c r="X7" s="18" t="inlineStr">
        <is>
          <t xml:space="preserve">• Deixe em branco o que não foi medido (não digite 0 se não houve registro).</t>
        </is>
      </c>
    </row>
    <row r="8">
      <c r="X8" s="17" t="inlineStr">
        <is>
          <t xml:space="preserve">SOMA NO MÊS</t>
        </is>
      </c>
    </row>
    <row r="9">
      <c r="X9" s="18" t="inlineStr">
        <is>
          <t xml:space="preserve">• Veículos, pallets, toneladas, incidentes, no show, falta, folga, férias e desligamento: valor do dia.</t>
        </is>
      </c>
    </row>
    <row r="10">
      <c r="X10" s="17" t="inlineStr">
        <is>
          <t xml:space="preserve">ÚLTIMO VALOR DO MÊS</t>
        </is>
      </c>
    </row>
    <row r="11">
      <c r="X11" s="18" t="inlineStr">
        <is>
          <t xml:space="preserve">• Backlog, posições disponíveis/ocupadas e efetivo: posição do dia (os painéis usam o último lançado).</t>
        </is>
      </c>
    </row>
    <row r="12">
      <c r="X12" s="17" t="inlineStr">
        <is>
          <t xml:space="preserve">ALERTAS</t>
        </is>
      </c>
    </row>
    <row r="13">
      <c r="X13" s="18" t="inlineStr">
        <is>
          <t xml:space="preserve">• Vermelho: mesma data e cliente lançados duas vezes.</t>
        </is>
      </c>
    </row>
    <row r="14">
      <c r="X14" s="18" t="inlineStr">
        <is>
          <t xml:space="preserve">• Amarelo: linha incompleta (data sem cliente ou o contrário).</t>
        </is>
      </c>
    </row>
    <row r="15">
      <c r="X15" s="18" t="inlineStr">
        <is>
          <t xml:space="preserve">• Verde em Posições Ocupadas: cliente excede o contratado (boa notícia: faturar excedente).</t>
        </is>
      </c>
    </row>
    <row r="16">
      <c r="X16" s="18" t="inlineStr">
        <is>
          <t xml:space="preserve">• Desvios comportamentais e acidentes (CAF = com afastamento · SAF = sem afastamento): quantidade do dia.</t>
        </is>
      </c>
    </row>
    <row r="17">
      <c r="X17" s="18" t="inlineStr">
        <is>
          <t xml:space="preserve">• Dashboard, Monitoramento e Consol Mensal leem esta aba automaticamente, inclusive as METAS abaixo.</t>
        </is>
      </c>
    </row>
    <row r="21">
      <c r="X21" s="19" t="inlineStr">
        <is>
          <t xml:space="preserve">METAS DO MÊS — preencha as células amarelas (vazio = sem meta · taxa de ocupação em %).</t>
        </is>
      </c>
    </row>
    <row r="22" ht="30" customHeight="1">
      <c r="X22" s="16" t="inlineStr">
        <is>
          <t xml:space="preserve">Indicador</t>
        </is>
      </c>
      <c r="Y22" s="16" t="inlineStr">
        <is>
          <t xml:space="preserve">Todos</t>
        </is>
      </c>
      <c r="Z22" s="16" t="str">
        <f>Config!$B$10&amp;""</f>
        <v>Barry Callebaut</v>
      </c>
      <c r="AA22" s="16" t="str">
        <f>Config!$B$11&amp;""</f>
        <v>GM</v>
      </c>
      <c r="AB22" s="16" t="str">
        <f>Config!$B$12&amp;""</f>
        <v>Mondelez</v>
      </c>
      <c r="AC22" s="16" t="str">
        <f>Config!$B$13&amp;""</f>
        <v>Nestlé</v>
      </c>
      <c r="AD22" s="16" t="str">
        <f>Config!$B$14&amp;""</f>
        <v>PMB</v>
      </c>
      <c r="AE22" s="16" t="str">
        <f>Config!$B$15&amp;""</f>
        <v/>
      </c>
      <c r="AF22" s="16" t="str">
        <f>Config!$B$16&amp;""</f>
        <v/>
      </c>
      <c r="AG22" s="16" t="str">
        <f>Config!$B$17&amp;""</f>
        <v/>
      </c>
      <c r="AH22" s="16" t="str">
        <f>Config!$B$18&amp;""</f>
        <v/>
      </c>
      <c r="AI22" s="16" t="str">
        <f>Config!$B$19&amp;""</f>
        <v/>
      </c>
      <c r="AJ22" s="16" t="str">
        <f>Config!$B$20&amp;""</f>
        <v/>
      </c>
      <c r="AK22" s="16" t="str">
        <f>Config!$B$21&amp;""</f>
        <v/>
      </c>
      <c r="AL22" s="16" t="str">
        <f>Config!$B$22&amp;""</f>
        <v/>
      </c>
      <c r="AM22" s="16" t="str">
        <f>Config!$B$23&amp;""</f>
        <v/>
      </c>
      <c r="AN22" s="16" t="str">
        <f>Config!$B$24&amp;""</f>
        <v/>
      </c>
      <c r="AO22" s="16" t="str">
        <f>Config!$B$25&amp;""</f>
        <v/>
      </c>
      <c r="AP22" s="16" t="str">
        <f>Config!$B$26&amp;""</f>
        <v/>
      </c>
      <c r="AQ22" s="16" t="str">
        <f>Config!$B$27&amp;""</f>
        <v/>
      </c>
      <c r="AR22" s="16" t="str">
        <f>Config!$B$28&amp;""</f>
        <v/>
      </c>
      <c r="AS22" s="16" t="str">
        <f>Config!$B$29&amp;""</f>
        <v/>
      </c>
    </row>
    <row r="23">
      <c r="X23" s="20" t="inlineStr">
        <is>
          <t xml:space="preserve">IN · Veículos Recebidos</t>
        </is>
      </c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</row>
    <row r="24">
      <c r="X24" s="20" t="inlineStr">
        <is>
          <t xml:space="preserve">IN · Pallets Movimentados</t>
        </is>
      </c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</row>
    <row r="25">
      <c r="X25" s="20" t="inlineStr">
        <is>
          <t xml:space="preserve">IN · Toneladas Movimentadas</t>
        </is>
      </c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</row>
    <row r="26">
      <c r="X26" s="22" t="inlineStr">
        <is>
          <t xml:space="preserve">OUT · Veículos Expedidos</t>
        </is>
      </c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</row>
    <row r="27">
      <c r="X27" s="22" t="inlineStr">
        <is>
          <t xml:space="preserve">OUT · Pallets Movimentados</t>
        </is>
      </c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</row>
    <row r="28">
      <c r="X28" s="22" t="inlineStr">
        <is>
          <t xml:space="preserve">OUT · Toneladas Movimentadas</t>
        </is>
      </c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</row>
    <row r="29">
      <c r="X29" s="23" t="inlineStr">
        <is>
          <t xml:space="preserve">NC · Incidentes</t>
        </is>
      </c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</row>
    <row r="30">
      <c r="X30" s="23" t="inlineStr">
        <is>
          <t xml:space="preserve">NC · No show</t>
        </is>
      </c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</row>
    <row r="31">
      <c r="X31" s="23" t="inlineStr">
        <is>
          <t xml:space="preserve">NC · Backlog</t>
        </is>
      </c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</row>
    <row r="32">
      <c r="X32" s="20" t="inlineStr">
        <is>
          <t xml:space="preserve">OCUPAÇÃO (P.P) · Posições Disponíveis</t>
        </is>
      </c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</row>
    <row r="33">
      <c r="X33" s="20" t="inlineStr">
        <is>
          <t xml:space="preserve">OCUPAÇÃO (P.P) · Posições Ocupadas</t>
        </is>
      </c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</row>
    <row r="34">
      <c r="X34" s="20" t="inlineStr">
        <is>
          <t xml:space="preserve">OCUPAÇÃO (P.P) · Taxa de Ocupação</t>
        </is>
      </c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</row>
    <row r="35">
      <c r="X35" s="25" t="inlineStr">
        <is>
          <t xml:space="preserve">GENTE · Efetivo Op.</t>
        </is>
      </c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</row>
    <row r="36">
      <c r="X36" s="25" t="inlineStr">
        <is>
          <t xml:space="preserve">GENTE · Falta</t>
        </is>
      </c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</row>
    <row r="37">
      <c r="X37" s="25" t="inlineStr">
        <is>
          <t xml:space="preserve">GENTE · Folga</t>
        </is>
      </c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</row>
    <row r="38">
      <c r="X38" s="25" t="inlineStr">
        <is>
          <t xml:space="preserve">GENTE · Férias</t>
        </is>
      </c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</row>
    <row r="39">
      <c r="X39" s="25" t="inlineStr">
        <is>
          <t xml:space="preserve">GENTE · Desligamento</t>
        </is>
      </c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</row>
    <row r="40">
      <c r="X40" s="25" t="inlineStr">
        <is>
          <t xml:space="preserve">GENTE · Desvios Comportamentais</t>
        </is>
      </c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</row>
    <row r="41">
      <c r="X41" s="25" t="inlineStr">
        <is>
          <t xml:space="preserve">GENTE · Acidentes CAF</t>
        </is>
      </c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</row>
    <row r="42">
      <c r="X42" s="25" t="inlineStr">
        <is>
          <t xml:space="preserve">GENTE · Acidentes SAF</t>
        </is>
      </c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21"/>
    </row>
  </sheetData>
  <mergeCells count="6">
    <mergeCell ref="A1:B1"/>
    <mergeCell ref="C1:E1"/>
    <mergeCell ref="F1:H1"/>
    <mergeCell ref="I1:K1"/>
    <mergeCell ref="L1:M1"/>
    <mergeCell ref="N1:U1"/>
  </mergeCells>
  <conditionalFormatting sqref="A3:B5001">
    <cfRule type="expression" dxfId="0" priority="1">
      <formula>AND($A3&lt;&gt;"",$B3&lt;&gt;"",COUNTIFS($A$3:$A$5001,$A3,$B$3:$B$5001,$B3)&gt;1)</formula>
    </cfRule>
  </conditionalFormatting>
  <conditionalFormatting sqref="A3:B5001">
    <cfRule type="expression" dxfId="1" priority="2">
      <formula>OR(AND($A3&lt;&gt;"",$B3=""),AND($A3="",$B3&lt;&gt;""))</formula>
    </cfRule>
  </conditionalFormatting>
  <conditionalFormatting sqref="M3:M5001">
    <cfRule type="expression" dxfId="2" priority="3">
      <formula>AND(ISNUMBER($L3),ISNUMBER($M3),$M3&gt;$L3)</formula>
    </cfRule>
  </conditionalFormatting>
  <conditionalFormatting sqref="C3:C5001">
    <cfRule type="expression" dxfId="6" priority="4">
      <formula>IFERROR(INDEX(Config!$D$35:$D$54,MATCH($B3,Config!$B$35:$B$54,0)),"Sim")="Não"</formula>
    </cfRule>
  </conditionalFormatting>
  <conditionalFormatting sqref="D3:D5001">
    <cfRule type="expression" dxfId="6" priority="5">
      <formula>IFERROR(INDEX(Config!$E$35:$E$54,MATCH($B3,Config!$B$35:$B$54,0)),"Sim")="Não"</formula>
    </cfRule>
  </conditionalFormatting>
  <conditionalFormatting sqref="E3:E5001">
    <cfRule type="expression" dxfId="6" priority="6">
      <formula>IFERROR(INDEX(Config!$F$35:$F$54,MATCH($B3,Config!$B$35:$B$54,0)),"Sim")="Não"</formula>
    </cfRule>
  </conditionalFormatting>
  <conditionalFormatting sqref="F3:F5001">
    <cfRule type="expression" dxfId="6" priority="7">
      <formula>IFERROR(INDEX(Config!$G$35:$G$54,MATCH($B3,Config!$B$35:$B$54,0)),"Sim")="Não"</formula>
    </cfRule>
  </conditionalFormatting>
  <conditionalFormatting sqref="G3:G5001">
    <cfRule type="expression" dxfId="6" priority="8">
      <formula>IFERROR(INDEX(Config!$H$35:$H$54,MATCH($B3,Config!$B$35:$B$54,0)),"Sim")="Não"</formula>
    </cfRule>
  </conditionalFormatting>
  <conditionalFormatting sqref="H3:H5001">
    <cfRule type="expression" dxfId="6" priority="9">
      <formula>IFERROR(INDEX(Config!$I$35:$I$54,MATCH($B3,Config!$B$35:$B$54,0)),"Sim")="Não"</formula>
    </cfRule>
  </conditionalFormatting>
  <conditionalFormatting sqref="I3:I5001">
    <cfRule type="expression" dxfId="6" priority="10">
      <formula>IFERROR(INDEX(Config!$J$35:$J$54,MATCH($B3,Config!$B$35:$B$54,0)),"Sim")="Não"</formula>
    </cfRule>
  </conditionalFormatting>
  <conditionalFormatting sqref="J3:J5001">
    <cfRule type="expression" dxfId="6" priority="11">
      <formula>IFERROR(INDEX(Config!$K$35:$K$54,MATCH($B3,Config!$B$35:$B$54,0)),"Sim")="Não"</formula>
    </cfRule>
  </conditionalFormatting>
  <conditionalFormatting sqref="K3:K5001">
    <cfRule type="expression" dxfId="6" priority="12">
      <formula>IFERROR(INDEX(Config!$L$35:$L$54,MATCH($B3,Config!$B$35:$B$54,0)),"Sim")="Não"</formula>
    </cfRule>
  </conditionalFormatting>
  <conditionalFormatting sqref="L3:L5001">
    <cfRule type="expression" dxfId="6" priority="13">
      <formula>IFERROR(INDEX(Config!$M$35:$M$54,MATCH($B3,Config!$B$35:$B$54,0)),"Sim")="Não"</formula>
    </cfRule>
  </conditionalFormatting>
  <conditionalFormatting sqref="M3:M5001">
    <cfRule type="expression" dxfId="6" priority="14">
      <formula>IFERROR(INDEX(Config!$N$35:$N$54,MATCH($B3,Config!$B$35:$B$54,0)),"Sim")="Não"</formula>
    </cfRule>
  </conditionalFormatting>
  <conditionalFormatting sqref="N3:N5001">
    <cfRule type="expression" dxfId="6" priority="15">
      <formula>IFERROR(INDEX(Config!$O$35:$O$54,MATCH($B3,Config!$B$35:$B$54,0)),"Sim")="Não"</formula>
    </cfRule>
  </conditionalFormatting>
  <conditionalFormatting sqref="O3:O5001">
    <cfRule type="expression" dxfId="6" priority="16">
      <formula>IFERROR(INDEX(Config!$P$35:$P$54,MATCH($B3,Config!$B$35:$B$54,0)),"Sim")="Não"</formula>
    </cfRule>
  </conditionalFormatting>
  <conditionalFormatting sqref="P3:P5001">
    <cfRule type="expression" dxfId="6" priority="17">
      <formula>IFERROR(INDEX(Config!$Q$35:$Q$54,MATCH($B3,Config!$B$35:$B$54,0)),"Sim")="Não"</formula>
    </cfRule>
  </conditionalFormatting>
  <conditionalFormatting sqref="Q3:Q5001">
    <cfRule type="expression" dxfId="6" priority="18">
      <formula>IFERROR(INDEX(Config!$R$35:$R$54,MATCH($B3,Config!$B$35:$B$54,0)),"Sim")="Não"</formula>
    </cfRule>
  </conditionalFormatting>
  <conditionalFormatting sqref="R3:R5001">
    <cfRule type="expression" dxfId="6" priority="19">
      <formula>IFERROR(INDEX(Config!$S$35:$S$54,MATCH($B3,Config!$B$35:$B$54,0)),"Sim")="Não"</formula>
    </cfRule>
  </conditionalFormatting>
  <conditionalFormatting sqref="S3:S5001">
    <cfRule type="expression" dxfId="6" priority="20">
      <formula>IFERROR(INDEX(Config!$T$35:$T$54,MATCH($B3,Config!$B$35:$B$54,0)),"Sim")="Não"</formula>
    </cfRule>
  </conditionalFormatting>
  <conditionalFormatting sqref="T3:T5001">
    <cfRule type="expression" dxfId="6" priority="21">
      <formula>IFERROR(INDEX(Config!$U$35:$U$54,MATCH($B3,Config!$B$35:$B$54,0)),"Sim")="Não"</formula>
    </cfRule>
  </conditionalFormatting>
  <conditionalFormatting sqref="U3:U5001">
    <cfRule type="expression" dxfId="6" priority="22">
      <formula>IFERROR(INDEX(Config!$V$35:$V$54,MATCH($B3,Config!$B$35:$B$54,0)),"Sim")="Não"</formula>
    </cfRule>
  </conditionalFormatting>
  <dataValidations count="23">
    <dataValidation type="date" operator="greaterThanOrEqual" allowBlank="1" showInputMessage="1" showErrorMessage="1" promptTitle="Data" prompt="dd/mm/aaaa" errorTitle="Valor inválido" error="Digite uma data válida (dd/mm/aaaa)." sqref="A3:A5001">
      <formula1>43831</formula1>
    </dataValidation>
    <dataValidation type="list" allowBlank="1" showInputMessage="1" showErrorMessage="1" promptTitle="Cliente" prompt="Escolha na lista." errorTitle="Valor inválido" error="Escolha um cliente da lista." sqref="B3:B5001">
      <formula1>OFFSET(calculos!$AN$13,0,0,calculos!$AN$10,1)</formula1>
    </dataValidation>
    <dataValidation type="list" allowBlank="1" showInputMessage="1" showErrorMessage="1" promptTitle="Modalidade" prompt="Contrato, Spot ou Cross." errorTitle="Valor inválido" error="Escolha um valor da lista." sqref="V3:V5001">
      <formula1>"Contrato,Spot,Cross"</formula1>
    </dataValidation>
    <dataValidation type="decimal" operator="greaterThanOrEqual" allowBlank="1" showInputMessage="0" showErrorMessage="1" errorTitle="Valor inválido" error="Meta: use 0 ou um número maior." sqref="Y23:AS42">
      <formula1>0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C3:C5001">
      <formula1>AND(IFERROR(INDEX(Config!$D$35:$D$54,MATCH($B3,Config!$B$35:$B$54,0)),"Sim")&lt;&gt;"Não",ISNUMBER(C3),C3&gt;=0)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D3:D5001">
      <formula1>AND(IFERROR(INDEX(Config!$E$35:$E$54,MATCH($B3,Config!$B$35:$B$54,0)),"Sim")&lt;&gt;"Não",ISNUMBER(D3),D3&gt;=0)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E3:E5001">
      <formula1>AND(IFERROR(INDEX(Config!$F$35:$F$54,MATCH($B3,Config!$B$35:$B$54,0)),"Sim")&lt;&gt;"Não",ISNUMBER(E3),E3&gt;=0)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F3:F5001">
      <formula1>AND(IFERROR(INDEX(Config!$G$35:$G$54,MATCH($B3,Config!$B$35:$B$54,0)),"Sim")&lt;&gt;"Não",ISNUMBER(F3),F3&gt;=0)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G3:G5001">
      <formula1>AND(IFERROR(INDEX(Config!$H$35:$H$54,MATCH($B3,Config!$B$35:$B$54,0)),"Sim")&lt;&gt;"Não",ISNUMBER(G3),G3&gt;=0)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H3:H5001">
      <formula1>AND(IFERROR(INDEX(Config!$I$35:$I$54,MATCH($B3,Config!$B$35:$B$54,0)),"Sim")&lt;&gt;"Não",ISNUMBER(H3),H3&gt;=0)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I3:I5001">
      <formula1>AND(IFERROR(INDEX(Config!$J$35:$J$54,MATCH($B3,Config!$B$35:$B$54,0)),"Sim")&lt;&gt;"Não",ISNUMBER(I3),I3&gt;=0)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J3:J5001">
      <formula1>AND(IFERROR(INDEX(Config!$K$35:$K$54,MATCH($B3,Config!$B$35:$B$54,0)),"Sim")&lt;&gt;"Não",ISNUMBER(J3),J3&gt;=0)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K3:K5001">
      <formula1>AND(IFERROR(INDEX(Config!$L$35:$L$54,MATCH($B3,Config!$B$35:$B$54,0)),"Sim")&lt;&gt;"Não",ISNUMBER(K3),K3&gt;=0)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L3:L5001">
      <formula1>AND(IFERROR(INDEX(Config!$M$35:$M$54,MATCH($B3,Config!$B$35:$B$54,0)),"Sim")&lt;&gt;"Não",ISNUMBER(L3),L3&gt;=0)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M3:M5001">
      <formula1>AND(IFERROR(INDEX(Config!$N$35:$N$54,MATCH($B3,Config!$B$35:$B$54,0)),"Sim")&lt;&gt;"Não",ISNUMBER(M3),M3&gt;=0)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N3:N5001">
      <formula1>AND(IFERROR(INDEX(Config!$O$35:$O$54,MATCH($B3,Config!$B$35:$B$54,0)),"Sim")&lt;&gt;"Não",ISNUMBER(N3),N3&gt;=0)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O3:O5001">
      <formula1>AND(IFERROR(INDEX(Config!$P$35:$P$54,MATCH($B3,Config!$B$35:$B$54,0)),"Sim")&lt;&gt;"Não",ISNUMBER(O3),O3&gt;=0)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P3:P5001">
      <formula1>AND(IFERROR(INDEX(Config!$Q$35:$Q$54,MATCH($B3,Config!$B$35:$B$54,0)),"Sim")&lt;&gt;"Não",ISNUMBER(P3),P3&gt;=0)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Q3:Q5001">
      <formula1>AND(IFERROR(INDEX(Config!$R$35:$R$54,MATCH($B3,Config!$B$35:$B$54,0)),"Sim")&lt;&gt;"Não",ISNUMBER(Q3),Q3&gt;=0)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R3:R5001">
      <formula1>AND(IFERROR(INDEX(Config!$S$35:$S$54,MATCH($B3,Config!$B$35:$B$54,0)),"Sim")&lt;&gt;"Não",ISNUMBER(R3),R3&gt;=0)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S3:S5001">
      <formula1>AND(IFERROR(INDEX(Config!$T$35:$T$54,MATCH($B3,Config!$B$35:$B$54,0)),"Sim")&lt;&gt;"Não",ISNUMBER(S3),S3&gt;=0)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T3:T5001">
      <formula1>AND(IFERROR(INDEX(Config!$U$35:$U$54,MATCH($B3,Config!$B$35:$B$54,0)),"Sim")&lt;&gt;"Não",ISNUMBER(T3),T3&gt;=0)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U3:U5001">
      <formula1>AND(IFERROR(INDEX(Config!$V$35:$V$54,MATCH($B3,Config!$B$35:$B$54,0)),"Sim")&lt;&gt;"Não",ISNUMBER(U3),U3&gt;=0)</formula1>
    </dataValidation>
  </dataValidations>
  <pageMargins left="0.25" right="0.25" top="0.4" bottom="0.4" header="0.2" footer="0.2"/>
  <pageSetup paperSize="9" orientation="landscape" fitToWidth="1" fitToHeight="0"/>
  <tableParts count="1">
    <tablePart r:id="rIdT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AE97"/>
  <sheetViews>
    <sheetView showGridLines="0" zoomScale="90" zoomScaleNormal="90" workbookViewId="0">
      <pane xSplit="3" topLeftCell="D1" activePane="topRight" state="frozen"/>
      <selection pane="topRight" activeCell="D1" sqref="D1"/>
    </sheetView>
  </sheetViews>
  <sheetFormatPr defaultRowHeight="15"/>
  <cols>
    <col min="1" max="1" width="5" customWidth="1"/>
    <col min="2" max="2" width="22" customWidth="1"/>
    <col min="3" max="3" width="11" customWidth="1"/>
    <col min="4" max="4" width="12" customWidth="1"/>
    <col min="5" max="5" width="27" customWidth="1"/>
    <col min="6" max="6" width="27" customWidth="1"/>
    <col min="7" max="7" width="27" customWidth="1"/>
    <col min="8" max="8" width="12" customWidth="1"/>
    <col min="9" max="9" width="27" customWidth="1"/>
    <col min="10" max="10" width="27" customWidth="1"/>
    <col min="11" max="11" width="27" customWidth="1"/>
    <col min="12" max="12" width="14" customWidth="1"/>
    <col min="13" max="13" width="27" customWidth="1"/>
    <col min="14" max="14" width="27" customWidth="1"/>
    <col min="15" max="15" width="34" customWidth="1"/>
    <col min="16" max="16" width="34" customWidth="1"/>
    <col min="17" max="17" width="27" customWidth="1"/>
    <col min="18" max="18" width="27" customWidth="1"/>
    <col min="19" max="19" width="34" customWidth="1"/>
    <col min="20" max="20" width="34" customWidth="1"/>
    <col min="24" max="24" width="3" customWidth="1"/>
    <col min="25" max="25" width="32" customWidth="1"/>
    <col min="26" max="26" width="30" customWidth="1"/>
    <col min="27" max="27" width="9" customWidth="1"/>
    <col min="28" max="28" width="9" customWidth="1"/>
    <col min="29" max="29" width="9" customWidth="1"/>
    <col min="30" max="30" width="9" customWidth="1"/>
    <col min="31" max="31" width="9" customWidth="1"/>
  </cols>
  <sheetData>
    <row r="1" ht="30" customHeight="1">
      <c r="A1" s="66" t="inlineStr">
        <is>
          <t xml:space="preserve">CONFIG · CLIENTES E DASHBOARD (JSL)</t>
        </is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8"/>
    </row>
    <row r="2" ht="30" customHeight="1">
      <c r="A2" s="69" t="inlineStr">
        <is>
          <t xml:space="preserve">COMO USAR — a aba é protegida: Revisão › Desproteger Planilha (mesma senha da pasta), faça o ajuste e proteja de novo. Células amarelas = editáveis. Tudo se atualiza na hora; não precisa gerar o arquivo de novo.</t>
        </is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</row>
    <row r="3" ht="30" customHeight="1">
      <c r="A3" s="70" t="inlineStr">
        <is>
          <t xml:space="preserve">INCLUIR CLIENTE: (1) tabela 1 › escreva o nome numa vaga livre (coluna CLIENTE); (2) tabela 2 › marque Sim/Não nas colunas da BD que ele preenche; (3) tabela 1 › ajuste cards e gráficos (já vêm no padrão); (4) aba BD › preencha as metas na coluna dele; (5) aba Monitoramento (desproteger) › reexiba as linhas de uma vaga livre no fim da aba, digite o nome na coluna CLIENTE e exclua as linhas que ele não usa.</t>
        </is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</row>
    <row r="4" ht="30" customHeight="1">
      <c r="A4" s="70" t="inlineStr">
        <is>
          <t xml:space="preserve">EXCLUIR CLIENTE: apague o nome na tabela 1 (a vaga fica livre e o cliente some dos filtros e do Consol Mensal) e, na aba Monitoramento, oculte ou exclua as linhas do bloco dele. As linhas antigas da BD continuam no histórico (somam em "Todos" nos meses em que existiram).</t>
        </is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</row>
    <row r="5" ht="30" customHeight="1">
      <c r="A5" s="70" t="inlineStr">
        <is>
          <t xml:space="preserve">RENOMEAR: troque o nome na tabela 1 e, na BD, use Localizar e Substituir no nome antigo (Ctrl+L / Ctrl+H). O nome da BD precisa ser igual ao da tabela 1.</t>
        </is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</row>
    <row r="7" ht="22" customHeight="1">
      <c r="A7" s="76" t="inlineStr">
        <is>
          <t xml:space="preserve">1 · CLIENTES — 20 vagas · uma linha por cliente: nome, depósito, cards e gráficos do Dashboard (linhas cinza = visão geral, fixas)</t>
        </is>
      </c>
      <c r="B7" s="76"/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Y7" s="71" t="inlineStr">
        <is>
          <t xml:space="preserve">CATÁLOGO DE INDICADORES (listas da tabela 1) — rótulo e casas podem ser editados; colunas cinza são técnicas</t>
        </is>
      </c>
      <c r="Z7" s="71"/>
      <c r="AA7" s="71"/>
      <c r="AB7" s="71"/>
      <c r="AC7" s="71"/>
      <c r="AD7" s="71"/>
      <c r="AE7" s="71"/>
    </row>
    <row r="8" ht="32" customHeight="1">
      <c r="A8" s="16" t="inlineStr">
        <is>
          <t xml:space="preserve">Nº</t>
        </is>
      </c>
      <c r="B8" s="16" t="inlineStr">
        <is>
          <t xml:space="preserve">CLIENTE</t>
        </is>
      </c>
      <c r="C8" s="16" t="inlineStr">
        <is>
          <t xml:space="preserve">DEPÓSITO</t>
        </is>
      </c>
      <c r="D8" s="16" t="inlineStr">
        <is>
          <t xml:space="preserve">CARD IN</t>
        </is>
      </c>
      <c r="E8" s="16" t="inlineStr">
        <is>
          <t xml:space="preserve">IN · linha 1</t>
        </is>
      </c>
      <c r="F8" s="16" t="inlineStr">
        <is>
          <t xml:space="preserve">IN · linha 2 (a)</t>
        </is>
      </c>
      <c r="G8" s="16" t="inlineStr">
        <is>
          <t xml:space="preserve">IN · linha 2 (b)</t>
        </is>
      </c>
      <c r="H8" s="16" t="inlineStr">
        <is>
          <t xml:space="preserve">CARD OUT</t>
        </is>
      </c>
      <c r="I8" s="16" t="inlineStr">
        <is>
          <t xml:space="preserve">OUT · linha 1</t>
        </is>
      </c>
      <c r="J8" s="16" t="inlineStr">
        <is>
          <t xml:space="preserve">OUT · linha 2 (a)</t>
        </is>
      </c>
      <c r="K8" s="16" t="inlineStr">
        <is>
          <t xml:space="preserve">OUT · linha 2 (b)</t>
        </is>
      </c>
      <c r="L8" s="16" t="inlineStr">
        <is>
          <t xml:space="preserve">CARD OCUPAÇÃO</t>
        </is>
      </c>
      <c r="M8" s="16" t="inlineStr">
        <is>
          <t xml:space="preserve">GRÁFICO 2 · IN</t>
        </is>
      </c>
      <c r="N8" s="16" t="inlineStr">
        <is>
          <t xml:space="preserve">GRÁFICO 2 · OUT</t>
        </is>
      </c>
      <c r="O8" s="16" t="inlineStr">
        <is>
          <t xml:space="preserve">GRÁFICO 2 · título diário</t>
        </is>
      </c>
      <c r="P8" s="16" t="inlineStr">
        <is>
          <t xml:space="preserve">GRÁFICO 2 · título semanal</t>
        </is>
      </c>
      <c r="Q8" s="16" t="inlineStr">
        <is>
          <t xml:space="preserve">GRÁFICO 3 · IN</t>
        </is>
      </c>
      <c r="R8" s="16" t="inlineStr">
        <is>
          <t xml:space="preserve">GRÁFICO 3 · OUT</t>
        </is>
      </c>
      <c r="S8" s="16" t="inlineStr">
        <is>
          <t xml:space="preserve">GRÁFICO 3 · título diário</t>
        </is>
      </c>
      <c r="T8" s="16" t="inlineStr">
        <is>
          <t xml:space="preserve">GRÁFICO 3 · título semanal</t>
        </is>
      </c>
      <c r="Y8" s="16" t="inlineStr">
        <is>
          <t xml:space="preserve">INDICADOR (nome da lista)</t>
        </is>
      </c>
      <c r="Z8" s="16" t="inlineStr">
        <is>
          <t xml:space="preserve">Rótulo no card</t>
        </is>
      </c>
      <c r="AA8" s="16" t="inlineStr">
        <is>
          <t xml:space="preserve">Casas decimais</t>
        </is>
      </c>
      <c r="AB8" s="72" t="inlineStr">
        <is>
          <t xml:space="preserve">Linha no período</t>
        </is>
      </c>
      <c r="AC8" s="72" t="inlineStr">
        <is>
          <t xml:space="preserve">Coluna na série</t>
        </is>
      </c>
      <c r="AD8" s="72" t="inlineStr">
        <is>
          <t xml:space="preserve">Linha divisor</t>
        </is>
      </c>
      <c r="AE8" s="72" t="inlineStr">
        <is>
          <t xml:space="preserve">Coluna divisor</t>
        </is>
      </c>
    </row>
    <row r="9">
      <c r="A9" s="77" t="inlineStr">
        <is>
          <t xml:space="preserve">—</t>
        </is>
      </c>
      <c r="B9" s="78" t="inlineStr">
        <is>
          <t xml:space="preserve">Todos</t>
        </is>
      </c>
      <c r="C9" s="78"/>
      <c r="D9" s="73" t="inlineStr">
        <is>
          <t xml:space="preserve">Sim</t>
        </is>
      </c>
      <c r="E9" s="73" t="inlineStr">
        <is>
          <t xml:space="preserve">Pallets Movimentados IN</t>
        </is>
      </c>
      <c r="F9" s="73" t="inlineStr">
        <is>
          <t xml:space="preserve">Toneladas Movimentadas IN</t>
        </is>
      </c>
      <c r="G9" s="73"/>
      <c r="H9" s="73" t="inlineStr">
        <is>
          <t xml:space="preserve">Sim</t>
        </is>
      </c>
      <c r="I9" s="73" t="inlineStr">
        <is>
          <t xml:space="preserve">Pallets Movimentados OUT</t>
        </is>
      </c>
      <c r="J9" s="73" t="inlineStr">
        <is>
          <t xml:space="preserve">Toneladas Movimentadas OUT</t>
        </is>
      </c>
      <c r="K9" s="73"/>
      <c r="L9" s="73" t="inlineStr">
        <is>
          <t xml:space="preserve">Completo</t>
        </is>
      </c>
      <c r="M9" s="73" t="inlineStr">
        <is>
          <t xml:space="preserve">Pallets Movimentados IN</t>
        </is>
      </c>
      <c r="N9" s="73" t="inlineStr">
        <is>
          <t xml:space="preserve">Pallets Movimentados OUT</t>
        </is>
      </c>
      <c r="O9" s="73" t="inlineStr">
        <is>
          <t xml:space="preserve">MOVIMENTAÇÃO PALETES/DIA</t>
        </is>
      </c>
      <c r="P9" s="73" t="inlineStr">
        <is>
          <t xml:space="preserve">ACUMULADO SEMANAL PALETES</t>
        </is>
      </c>
      <c r="Q9" s="73" t="inlineStr">
        <is>
          <t xml:space="preserve">Toneladas Movimentadas IN</t>
        </is>
      </c>
      <c r="R9" s="73" t="inlineStr">
        <is>
          <t xml:space="preserve">Toneladas Movimentadas OUT</t>
        </is>
      </c>
      <c r="S9" s="73" t="inlineStr">
        <is>
          <t xml:space="preserve">MOVIMENTAÇÃO TONS/DIA</t>
        </is>
      </c>
      <c r="T9" s="73" t="inlineStr">
        <is>
          <t xml:space="preserve">ACUMULADO SEMANAL TONS</t>
        </is>
      </c>
      <c r="Y9" s="40" t="inlineStr">
        <is>
          <t xml:space="preserve">Pallets Movimentados IN</t>
        </is>
      </c>
      <c r="Z9" s="73" t="inlineStr">
        <is>
          <t xml:space="preserve">pallets movimentados</t>
        </is>
      </c>
      <c r="AA9" s="74">
        <v>0</v>
      </c>
      <c r="AB9" s="75">
        <v>2</v>
      </c>
      <c r="AC9" s="75">
        <v>2</v>
      </c>
      <c r="AD9" s="75">
        <v>0</v>
      </c>
      <c r="AE9" s="75">
        <v>0</v>
      </c>
    </row>
    <row r="10">
      <c r="A10" s="77">
        <v>1</v>
      </c>
      <c r="B10" s="79" t="inlineStr">
        <is>
          <t xml:space="preserve">Barry Callebaut</t>
        </is>
      </c>
      <c r="C10" s="73" t="inlineStr">
        <is>
          <t xml:space="preserve">JSL</t>
        </is>
      </c>
      <c r="D10" s="73" t="inlineStr">
        <is>
          <t xml:space="preserve">Sim</t>
        </is>
      </c>
      <c r="E10" s="73" t="inlineStr">
        <is>
          <t xml:space="preserve">Pallets Movimentados IN</t>
        </is>
      </c>
      <c r="F10" s="73" t="inlineStr">
        <is>
          <t xml:space="preserve">Toneladas Movimentadas IN</t>
        </is>
      </c>
      <c r="G10" s="73"/>
      <c r="H10" s="73" t="inlineStr">
        <is>
          <t xml:space="preserve">Sim</t>
        </is>
      </c>
      <c r="I10" s="73" t="inlineStr">
        <is>
          <t xml:space="preserve">Pallets Movimentados OUT</t>
        </is>
      </c>
      <c r="J10" s="73" t="inlineStr">
        <is>
          <t xml:space="preserve">Toneladas Movimentadas OUT</t>
        </is>
      </c>
      <c r="K10" s="73"/>
      <c r="L10" s="73" t="inlineStr">
        <is>
          <t xml:space="preserve">Completo</t>
        </is>
      </c>
      <c r="M10" s="73" t="inlineStr">
        <is>
          <t xml:space="preserve">Pallets Movimentados IN</t>
        </is>
      </c>
      <c r="N10" s="73" t="inlineStr">
        <is>
          <t xml:space="preserve">Pallets Movimentados OUT</t>
        </is>
      </c>
      <c r="O10" s="73" t="inlineStr">
        <is>
          <t xml:space="preserve">MOVIMENTAÇÃO PALETES/DIA</t>
        </is>
      </c>
      <c r="P10" s="73" t="inlineStr">
        <is>
          <t xml:space="preserve">ACUMULADO SEMANAL PALETES</t>
        </is>
      </c>
      <c r="Q10" s="73" t="inlineStr">
        <is>
          <t xml:space="preserve">Toneladas Movimentadas IN</t>
        </is>
      </c>
      <c r="R10" s="73" t="inlineStr">
        <is>
          <t xml:space="preserve">Toneladas Movimentadas OUT</t>
        </is>
      </c>
      <c r="S10" s="73" t="inlineStr">
        <is>
          <t xml:space="preserve">MOVIMENTAÇÃO TONS/DIA</t>
        </is>
      </c>
      <c r="T10" s="73" t="inlineStr">
        <is>
          <t xml:space="preserve">ACUMULADO SEMANAL TONS</t>
        </is>
      </c>
      <c r="Y10" s="40" t="inlineStr">
        <is>
          <t xml:space="preserve">Pallets Movimentados IN por veículo</t>
        </is>
      </c>
      <c r="Z10" s="73" t="inlineStr">
        <is>
          <t xml:space="preserve">pallets movimentados por veículo</t>
        </is>
      </c>
      <c r="AA10" s="74">
        <v>1</v>
      </c>
      <c r="AB10" s="75">
        <v>2</v>
      </c>
      <c r="AC10" s="75">
        <v>2</v>
      </c>
      <c r="AD10" s="75">
        <v>1</v>
      </c>
      <c r="AE10" s="75">
        <v>1</v>
      </c>
    </row>
    <row r="11">
      <c r="A11" s="77">
        <v>2</v>
      </c>
      <c r="B11" s="79" t="inlineStr">
        <is>
          <t xml:space="preserve">GM</t>
        </is>
      </c>
      <c r="C11" s="73" t="inlineStr">
        <is>
          <t xml:space="preserve">JSL</t>
        </is>
      </c>
      <c r="D11" s="73" t="inlineStr">
        <is>
          <t xml:space="preserve">Não se aplica</t>
        </is>
      </c>
      <c r="E11" s="73"/>
      <c r="F11" s="73"/>
      <c r="G11" s="73"/>
      <c r="H11" s="73" t="inlineStr">
        <is>
          <t xml:space="preserve">Sim</t>
        </is>
      </c>
      <c r="I11" s="73" t="inlineStr">
        <is>
          <t xml:space="preserve">Pallets Movimentados OUT</t>
        </is>
      </c>
      <c r="J11" s="73" t="inlineStr">
        <is>
          <t xml:space="preserve">Toneladas Movimentadas OUT</t>
        </is>
      </c>
      <c r="K11" s="73"/>
      <c r="L11" s="73" t="inlineStr">
        <is>
          <t xml:space="preserve">Não se aplica</t>
        </is>
      </c>
      <c r="M11" s="73"/>
      <c r="N11" s="73" t="inlineStr">
        <is>
          <t xml:space="preserve">Pallets Movimentados OUT</t>
        </is>
      </c>
      <c r="O11" s="73" t="inlineStr">
        <is>
          <t xml:space="preserve">MOVIMENTAÇÃO PALETES (OUT)/DIA</t>
        </is>
      </c>
      <c r="P11" s="73" t="inlineStr">
        <is>
          <t xml:space="preserve">ACUMULADO SEMANAL PALETES (OUT)</t>
        </is>
      </c>
      <c r="Q11" s="73"/>
      <c r="R11" s="73" t="inlineStr">
        <is>
          <t xml:space="preserve">Toneladas Movimentadas OUT</t>
        </is>
      </c>
      <c r="S11" s="73" t="inlineStr">
        <is>
          <t xml:space="preserve">MOVIMENTAÇÃO TONS (OUT)/DIA</t>
        </is>
      </c>
      <c r="T11" s="73" t="inlineStr">
        <is>
          <t xml:space="preserve">ACUMULADO SEMANAL TONS (OUT)</t>
        </is>
      </c>
      <c r="Y11" s="40" t="inlineStr">
        <is>
          <t xml:space="preserve">Toneladas Movimentadas IN</t>
        </is>
      </c>
      <c r="Z11" s="73" t="inlineStr">
        <is>
          <t xml:space="preserve">t movimentadas</t>
        </is>
      </c>
      <c r="AA11" s="74">
        <v>1</v>
      </c>
      <c r="AB11" s="75">
        <v>3</v>
      </c>
      <c r="AC11" s="75">
        <v>3</v>
      </c>
      <c r="AD11" s="75">
        <v>0</v>
      </c>
      <c r="AE11" s="75">
        <v>0</v>
      </c>
    </row>
    <row r="12">
      <c r="A12" s="77">
        <v>3</v>
      </c>
      <c r="B12" s="79" t="inlineStr">
        <is>
          <t xml:space="preserve">Mondelez</t>
        </is>
      </c>
      <c r="C12" s="73" t="inlineStr">
        <is>
          <t xml:space="preserve">JSL</t>
        </is>
      </c>
      <c r="D12" s="73" t="inlineStr">
        <is>
          <t xml:space="preserve">Sim</t>
        </is>
      </c>
      <c r="E12" s="73" t="inlineStr">
        <is>
          <t xml:space="preserve">Pallets Movimentados IN</t>
        </is>
      </c>
      <c r="F12" s="73" t="inlineStr">
        <is>
          <t xml:space="preserve">Toneladas Movimentadas IN</t>
        </is>
      </c>
      <c r="G12" s="73"/>
      <c r="H12" s="73" t="inlineStr">
        <is>
          <t xml:space="preserve">Sim</t>
        </is>
      </c>
      <c r="I12" s="73" t="inlineStr">
        <is>
          <t xml:space="preserve">Pallets Movimentados OUT</t>
        </is>
      </c>
      <c r="J12" s="73" t="inlineStr">
        <is>
          <t xml:space="preserve">Toneladas Movimentadas OUT</t>
        </is>
      </c>
      <c r="K12" s="73"/>
      <c r="L12" s="73" t="inlineStr">
        <is>
          <t xml:space="preserve">Só ocupadas</t>
        </is>
      </c>
      <c r="M12" s="73" t="inlineStr">
        <is>
          <t xml:space="preserve">Pallets Movimentados IN</t>
        </is>
      </c>
      <c r="N12" s="73" t="inlineStr">
        <is>
          <t xml:space="preserve">Pallets Movimentados OUT</t>
        </is>
      </c>
      <c r="O12" s="73" t="inlineStr">
        <is>
          <t xml:space="preserve">MOVIMENTAÇÃO PALETES/DIA</t>
        </is>
      </c>
      <c r="P12" s="73" t="inlineStr">
        <is>
          <t xml:space="preserve">ACUMULADO SEMANAL PALETES</t>
        </is>
      </c>
      <c r="Q12" s="73" t="inlineStr">
        <is>
          <t xml:space="preserve">Toneladas Movimentadas IN</t>
        </is>
      </c>
      <c r="R12" s="73" t="inlineStr">
        <is>
          <t xml:space="preserve">Toneladas Movimentadas OUT</t>
        </is>
      </c>
      <c r="S12" s="73" t="inlineStr">
        <is>
          <t xml:space="preserve">MOVIMENTAÇÃO TONS/DIA</t>
        </is>
      </c>
      <c r="T12" s="73" t="inlineStr">
        <is>
          <t xml:space="preserve">ACUMULADO SEMANAL TONS</t>
        </is>
      </c>
      <c r="Y12" s="40" t="inlineStr">
        <is>
          <t xml:space="preserve">Toneladas Movimentadas IN por veículo</t>
        </is>
      </c>
      <c r="Z12" s="73" t="inlineStr">
        <is>
          <t xml:space="preserve">t movimentadas por veículo</t>
        </is>
      </c>
      <c r="AA12" s="74">
        <v>1</v>
      </c>
      <c r="AB12" s="75">
        <v>3</v>
      </c>
      <c r="AC12" s="75">
        <v>3</v>
      </c>
      <c r="AD12" s="75">
        <v>1</v>
      </c>
      <c r="AE12" s="75">
        <v>1</v>
      </c>
    </row>
    <row r="13">
      <c r="A13" s="77">
        <v>4</v>
      </c>
      <c r="B13" s="79" t="inlineStr">
        <is>
          <t xml:space="preserve">Nestlé</t>
        </is>
      </c>
      <c r="C13" s="73" t="inlineStr">
        <is>
          <t xml:space="preserve">JSL</t>
        </is>
      </c>
      <c r="D13" s="73" t="inlineStr">
        <is>
          <t xml:space="preserve">Sim</t>
        </is>
      </c>
      <c r="E13" s="73" t="inlineStr">
        <is>
          <t xml:space="preserve">Pallets Movimentados IN</t>
        </is>
      </c>
      <c r="F13" s="73" t="inlineStr">
        <is>
          <t xml:space="preserve">Toneladas Movimentadas IN</t>
        </is>
      </c>
      <c r="G13" s="73"/>
      <c r="H13" s="73" t="inlineStr">
        <is>
          <t xml:space="preserve">Sim</t>
        </is>
      </c>
      <c r="I13" s="73" t="inlineStr">
        <is>
          <t xml:space="preserve">Pallets Movimentados OUT</t>
        </is>
      </c>
      <c r="J13" s="73" t="inlineStr">
        <is>
          <t xml:space="preserve">Toneladas Movimentadas OUT</t>
        </is>
      </c>
      <c r="K13" s="73"/>
      <c r="L13" s="73" t="inlineStr">
        <is>
          <t xml:space="preserve">Só ocupadas</t>
        </is>
      </c>
      <c r="M13" s="73" t="inlineStr">
        <is>
          <t xml:space="preserve">Pallets Movimentados IN</t>
        </is>
      </c>
      <c r="N13" s="73" t="inlineStr">
        <is>
          <t xml:space="preserve">Pallets Movimentados OUT</t>
        </is>
      </c>
      <c r="O13" s="73" t="inlineStr">
        <is>
          <t xml:space="preserve">MOVIMENTAÇÃO PALETES/DIA</t>
        </is>
      </c>
      <c r="P13" s="73" t="inlineStr">
        <is>
          <t xml:space="preserve">ACUMULADO SEMANAL PALETES</t>
        </is>
      </c>
      <c r="Q13" s="73" t="inlineStr">
        <is>
          <t xml:space="preserve">Toneladas Movimentadas IN</t>
        </is>
      </c>
      <c r="R13" s="73" t="inlineStr">
        <is>
          <t xml:space="preserve">Toneladas Movimentadas OUT</t>
        </is>
      </c>
      <c r="S13" s="73" t="inlineStr">
        <is>
          <t xml:space="preserve">MOVIMENTAÇÃO TONS/DIA</t>
        </is>
      </c>
      <c r="T13" s="73" t="inlineStr">
        <is>
          <t xml:space="preserve">ACUMULADO SEMANAL TONS</t>
        </is>
      </c>
      <c r="Y13" s="40" t="inlineStr">
        <is>
          <t xml:space="preserve">Pallets Movimentados OUT</t>
        </is>
      </c>
      <c r="Z13" s="73" t="inlineStr">
        <is>
          <t xml:space="preserve">pallets movimentados</t>
        </is>
      </c>
      <c r="AA13" s="74">
        <v>0</v>
      </c>
      <c r="AB13" s="75">
        <v>5</v>
      </c>
      <c r="AC13" s="75">
        <v>5</v>
      </c>
      <c r="AD13" s="75">
        <v>0</v>
      </c>
      <c r="AE13" s="75">
        <v>0</v>
      </c>
    </row>
    <row r="14">
      <c r="A14" s="77">
        <v>5</v>
      </c>
      <c r="B14" s="79" t="inlineStr">
        <is>
          <t xml:space="preserve">PMB</t>
        </is>
      </c>
      <c r="C14" s="73" t="inlineStr">
        <is>
          <t xml:space="preserve">JSL</t>
        </is>
      </c>
      <c r="D14" s="73" t="inlineStr">
        <is>
          <t xml:space="preserve">Sim</t>
        </is>
      </c>
      <c r="E14" s="73" t="inlineStr">
        <is>
          <t xml:space="preserve">Pallets Movimentados IN</t>
        </is>
      </c>
      <c r="F14" s="73" t="inlineStr">
        <is>
          <t xml:space="preserve">Toneladas Movimentadas IN</t>
        </is>
      </c>
      <c r="G14" s="73"/>
      <c r="H14" s="73" t="inlineStr">
        <is>
          <t xml:space="preserve">Sim</t>
        </is>
      </c>
      <c r="I14" s="73" t="inlineStr">
        <is>
          <t xml:space="preserve">Pallets Movimentados OUT</t>
        </is>
      </c>
      <c r="J14" s="73" t="inlineStr">
        <is>
          <t xml:space="preserve">Toneladas Movimentadas OUT</t>
        </is>
      </c>
      <c r="K14" s="73"/>
      <c r="L14" s="73" t="inlineStr">
        <is>
          <t xml:space="preserve">Completo</t>
        </is>
      </c>
      <c r="M14" s="73" t="inlineStr">
        <is>
          <t xml:space="preserve">Pallets Movimentados IN</t>
        </is>
      </c>
      <c r="N14" s="73" t="inlineStr">
        <is>
          <t xml:space="preserve">Pallets Movimentados OUT</t>
        </is>
      </c>
      <c r="O14" s="73" t="inlineStr">
        <is>
          <t xml:space="preserve">MOVIMENTAÇÃO PALETES/DIA</t>
        </is>
      </c>
      <c r="P14" s="73" t="inlineStr">
        <is>
          <t xml:space="preserve">ACUMULADO SEMANAL PALETES</t>
        </is>
      </c>
      <c r="Q14" s="73" t="inlineStr">
        <is>
          <t xml:space="preserve">Toneladas Movimentadas IN</t>
        </is>
      </c>
      <c r="R14" s="73" t="inlineStr">
        <is>
          <t xml:space="preserve">Toneladas Movimentadas OUT</t>
        </is>
      </c>
      <c r="S14" s="73" t="inlineStr">
        <is>
          <t xml:space="preserve">MOVIMENTAÇÃO TONS/DIA</t>
        </is>
      </c>
      <c r="T14" s="73" t="inlineStr">
        <is>
          <t xml:space="preserve">ACUMULADO SEMANAL TONS</t>
        </is>
      </c>
      <c r="Y14" s="40" t="inlineStr">
        <is>
          <t xml:space="preserve">Pallets Movimentados OUT por veículo</t>
        </is>
      </c>
      <c r="Z14" s="73" t="inlineStr">
        <is>
          <t xml:space="preserve">pallets movimentados por veículo</t>
        </is>
      </c>
      <c r="AA14" s="74">
        <v>1</v>
      </c>
      <c r="AB14" s="75">
        <v>5</v>
      </c>
      <c r="AC14" s="75">
        <v>5</v>
      </c>
      <c r="AD14" s="75">
        <v>4</v>
      </c>
      <c r="AE14" s="75">
        <v>4</v>
      </c>
    </row>
    <row r="15">
      <c r="A15" s="77">
        <v>6</v>
      </c>
      <c r="B15" s="79"/>
      <c r="C15" s="73"/>
      <c r="D15" s="73" t="inlineStr">
        <is>
          <t xml:space="preserve">Sim</t>
        </is>
      </c>
      <c r="E15" s="73" t="inlineStr">
        <is>
          <t xml:space="preserve">Pallets Movimentados IN</t>
        </is>
      </c>
      <c r="F15" s="73" t="inlineStr">
        <is>
          <t xml:space="preserve">Toneladas Movimentadas IN</t>
        </is>
      </c>
      <c r="G15" s="73"/>
      <c r="H15" s="73" t="inlineStr">
        <is>
          <t xml:space="preserve">Sim</t>
        </is>
      </c>
      <c r="I15" s="73" t="inlineStr">
        <is>
          <t xml:space="preserve">Pallets Movimentados OUT</t>
        </is>
      </c>
      <c r="J15" s="73" t="inlineStr">
        <is>
          <t xml:space="preserve">Toneladas Movimentadas OUT</t>
        </is>
      </c>
      <c r="K15" s="73"/>
      <c r="L15" s="73" t="inlineStr">
        <is>
          <t xml:space="preserve">Completo</t>
        </is>
      </c>
      <c r="M15" s="73" t="inlineStr">
        <is>
          <t xml:space="preserve">Pallets Movimentados IN</t>
        </is>
      </c>
      <c r="N15" s="73" t="inlineStr">
        <is>
          <t xml:space="preserve">Pallets Movimentados OUT</t>
        </is>
      </c>
      <c r="O15" s="73" t="inlineStr">
        <is>
          <t xml:space="preserve">MOVIMENTAÇÃO PALETES/DIA</t>
        </is>
      </c>
      <c r="P15" s="73" t="inlineStr">
        <is>
          <t xml:space="preserve">ACUMULADO SEMANAL PALETES</t>
        </is>
      </c>
      <c r="Q15" s="73" t="inlineStr">
        <is>
          <t xml:space="preserve">Toneladas Movimentadas IN</t>
        </is>
      </c>
      <c r="R15" s="73" t="inlineStr">
        <is>
          <t xml:space="preserve">Toneladas Movimentadas OUT</t>
        </is>
      </c>
      <c r="S15" s="73" t="inlineStr">
        <is>
          <t xml:space="preserve">MOVIMENTAÇÃO TONS/DIA</t>
        </is>
      </c>
      <c r="T15" s="73" t="inlineStr">
        <is>
          <t xml:space="preserve">ACUMULADO SEMANAL TONS</t>
        </is>
      </c>
      <c r="Y15" s="40" t="inlineStr">
        <is>
          <t xml:space="preserve">Toneladas Movimentadas OUT</t>
        </is>
      </c>
      <c r="Z15" s="73" t="inlineStr">
        <is>
          <t xml:space="preserve">t movimentadas</t>
        </is>
      </c>
      <c r="AA15" s="74">
        <v>1</v>
      </c>
      <c r="AB15" s="75">
        <v>6</v>
      </c>
      <c r="AC15" s="75">
        <v>6</v>
      </c>
      <c r="AD15" s="75">
        <v>0</v>
      </c>
      <c r="AE15" s="75">
        <v>0</v>
      </c>
    </row>
    <row r="16">
      <c r="A16" s="77">
        <v>7</v>
      </c>
      <c r="B16" s="79"/>
      <c r="C16" s="73"/>
      <c r="D16" s="73" t="inlineStr">
        <is>
          <t xml:space="preserve">Sim</t>
        </is>
      </c>
      <c r="E16" s="73" t="inlineStr">
        <is>
          <t xml:space="preserve">Pallets Movimentados IN</t>
        </is>
      </c>
      <c r="F16" s="73" t="inlineStr">
        <is>
          <t xml:space="preserve">Toneladas Movimentadas IN</t>
        </is>
      </c>
      <c r="G16" s="73"/>
      <c r="H16" s="73" t="inlineStr">
        <is>
          <t xml:space="preserve">Sim</t>
        </is>
      </c>
      <c r="I16" s="73" t="inlineStr">
        <is>
          <t xml:space="preserve">Pallets Movimentados OUT</t>
        </is>
      </c>
      <c r="J16" s="73" t="inlineStr">
        <is>
          <t xml:space="preserve">Toneladas Movimentadas OUT</t>
        </is>
      </c>
      <c r="K16" s="73"/>
      <c r="L16" s="73" t="inlineStr">
        <is>
          <t xml:space="preserve">Completo</t>
        </is>
      </c>
      <c r="M16" s="73" t="inlineStr">
        <is>
          <t xml:space="preserve">Pallets Movimentados IN</t>
        </is>
      </c>
      <c r="N16" s="73" t="inlineStr">
        <is>
          <t xml:space="preserve">Pallets Movimentados OUT</t>
        </is>
      </c>
      <c r="O16" s="73" t="inlineStr">
        <is>
          <t xml:space="preserve">MOVIMENTAÇÃO PALETES/DIA</t>
        </is>
      </c>
      <c r="P16" s="73" t="inlineStr">
        <is>
          <t xml:space="preserve">ACUMULADO SEMANAL PALETES</t>
        </is>
      </c>
      <c r="Q16" s="73" t="inlineStr">
        <is>
          <t xml:space="preserve">Toneladas Movimentadas IN</t>
        </is>
      </c>
      <c r="R16" s="73" t="inlineStr">
        <is>
          <t xml:space="preserve">Toneladas Movimentadas OUT</t>
        </is>
      </c>
      <c r="S16" s="73" t="inlineStr">
        <is>
          <t xml:space="preserve">MOVIMENTAÇÃO TONS/DIA</t>
        </is>
      </c>
      <c r="T16" s="73" t="inlineStr">
        <is>
          <t xml:space="preserve">ACUMULADO SEMANAL TONS</t>
        </is>
      </c>
      <c r="Y16" s="40" t="inlineStr">
        <is>
          <t xml:space="preserve">Toneladas Movimentadas OUT por veículo</t>
        </is>
      </c>
      <c r="Z16" s="73" t="inlineStr">
        <is>
          <t xml:space="preserve">t movimentadas por veículo</t>
        </is>
      </c>
      <c r="AA16" s="74">
        <v>1</v>
      </c>
      <c r="AB16" s="75">
        <v>6</v>
      </c>
      <c r="AC16" s="75">
        <v>6</v>
      </c>
      <c r="AD16" s="75">
        <v>4</v>
      </c>
      <c r="AE16" s="75">
        <v>4</v>
      </c>
    </row>
    <row r="17">
      <c r="A17" s="77">
        <v>8</v>
      </c>
      <c r="B17" s="79"/>
      <c r="C17" s="73"/>
      <c r="D17" s="73" t="inlineStr">
        <is>
          <t xml:space="preserve">Sim</t>
        </is>
      </c>
      <c r="E17" s="73" t="inlineStr">
        <is>
          <t xml:space="preserve">Pallets Movimentados IN</t>
        </is>
      </c>
      <c r="F17" s="73" t="inlineStr">
        <is>
          <t xml:space="preserve">Toneladas Movimentadas IN</t>
        </is>
      </c>
      <c r="G17" s="73"/>
      <c r="H17" s="73" t="inlineStr">
        <is>
          <t xml:space="preserve">Sim</t>
        </is>
      </c>
      <c r="I17" s="73" t="inlineStr">
        <is>
          <t xml:space="preserve">Pallets Movimentados OUT</t>
        </is>
      </c>
      <c r="J17" s="73" t="inlineStr">
        <is>
          <t xml:space="preserve">Toneladas Movimentadas OUT</t>
        </is>
      </c>
      <c r="K17" s="73"/>
      <c r="L17" s="73" t="inlineStr">
        <is>
          <t xml:space="preserve">Completo</t>
        </is>
      </c>
      <c r="M17" s="73" t="inlineStr">
        <is>
          <t xml:space="preserve">Pallets Movimentados IN</t>
        </is>
      </c>
      <c r="N17" s="73" t="inlineStr">
        <is>
          <t xml:space="preserve">Pallets Movimentados OUT</t>
        </is>
      </c>
      <c r="O17" s="73" t="inlineStr">
        <is>
          <t xml:space="preserve">MOVIMENTAÇÃO PALETES/DIA</t>
        </is>
      </c>
      <c r="P17" s="73" t="inlineStr">
        <is>
          <t xml:space="preserve">ACUMULADO SEMANAL PALETES</t>
        </is>
      </c>
      <c r="Q17" s="73" t="inlineStr">
        <is>
          <t xml:space="preserve">Toneladas Movimentadas IN</t>
        </is>
      </c>
      <c r="R17" s="73" t="inlineStr">
        <is>
          <t xml:space="preserve">Toneladas Movimentadas OUT</t>
        </is>
      </c>
      <c r="S17" s="73" t="inlineStr">
        <is>
          <t xml:space="preserve">MOVIMENTAÇÃO TONS/DIA</t>
        </is>
      </c>
      <c r="T17" s="73" t="inlineStr">
        <is>
          <t xml:space="preserve">ACUMULADO SEMANAL TONS</t>
        </is>
      </c>
    </row>
    <row r="18">
      <c r="A18" s="77">
        <v>9</v>
      </c>
      <c r="B18" s="79"/>
      <c r="C18" s="73"/>
      <c r="D18" s="73" t="inlineStr">
        <is>
          <t xml:space="preserve">Sim</t>
        </is>
      </c>
      <c r="E18" s="73" t="inlineStr">
        <is>
          <t xml:space="preserve">Pallets Movimentados IN</t>
        </is>
      </c>
      <c r="F18" s="73" t="inlineStr">
        <is>
          <t xml:space="preserve">Toneladas Movimentadas IN</t>
        </is>
      </c>
      <c r="G18" s="73"/>
      <c r="H18" s="73" t="inlineStr">
        <is>
          <t xml:space="preserve">Sim</t>
        </is>
      </c>
      <c r="I18" s="73" t="inlineStr">
        <is>
          <t xml:space="preserve">Pallets Movimentados OUT</t>
        </is>
      </c>
      <c r="J18" s="73" t="inlineStr">
        <is>
          <t xml:space="preserve">Toneladas Movimentadas OUT</t>
        </is>
      </c>
      <c r="K18" s="73"/>
      <c r="L18" s="73" t="inlineStr">
        <is>
          <t xml:space="preserve">Completo</t>
        </is>
      </c>
      <c r="M18" s="73" t="inlineStr">
        <is>
          <t xml:space="preserve">Pallets Movimentados IN</t>
        </is>
      </c>
      <c r="N18" s="73" t="inlineStr">
        <is>
          <t xml:space="preserve">Pallets Movimentados OUT</t>
        </is>
      </c>
      <c r="O18" s="73" t="inlineStr">
        <is>
          <t xml:space="preserve">MOVIMENTAÇÃO PALETES/DIA</t>
        </is>
      </c>
      <c r="P18" s="73" t="inlineStr">
        <is>
          <t xml:space="preserve">ACUMULADO SEMANAL PALETES</t>
        </is>
      </c>
      <c r="Q18" s="73" t="inlineStr">
        <is>
          <t xml:space="preserve">Toneladas Movimentadas IN</t>
        </is>
      </c>
      <c r="R18" s="73" t="inlineStr">
        <is>
          <t xml:space="preserve">Toneladas Movimentadas OUT</t>
        </is>
      </c>
      <c r="S18" s="73" t="inlineStr">
        <is>
          <t xml:space="preserve">MOVIMENTAÇÃO TONS/DIA</t>
        </is>
      </c>
      <c r="T18" s="73" t="inlineStr">
        <is>
          <t xml:space="preserve">ACUMULADO SEMANAL TONS</t>
        </is>
      </c>
    </row>
    <row r="19">
      <c r="A19" s="77">
        <v>10</v>
      </c>
      <c r="B19" s="79"/>
      <c r="C19" s="73"/>
      <c r="D19" s="73" t="inlineStr">
        <is>
          <t xml:space="preserve">Sim</t>
        </is>
      </c>
      <c r="E19" s="73" t="inlineStr">
        <is>
          <t xml:space="preserve">Pallets Movimentados IN</t>
        </is>
      </c>
      <c r="F19" s="73" t="inlineStr">
        <is>
          <t xml:space="preserve">Toneladas Movimentadas IN</t>
        </is>
      </c>
      <c r="G19" s="73"/>
      <c r="H19" s="73" t="inlineStr">
        <is>
          <t xml:space="preserve">Sim</t>
        </is>
      </c>
      <c r="I19" s="73" t="inlineStr">
        <is>
          <t xml:space="preserve">Pallets Movimentados OUT</t>
        </is>
      </c>
      <c r="J19" s="73" t="inlineStr">
        <is>
          <t xml:space="preserve">Toneladas Movimentadas OUT</t>
        </is>
      </c>
      <c r="K19" s="73"/>
      <c r="L19" s="73" t="inlineStr">
        <is>
          <t xml:space="preserve">Completo</t>
        </is>
      </c>
      <c r="M19" s="73" t="inlineStr">
        <is>
          <t xml:space="preserve">Pallets Movimentados IN</t>
        </is>
      </c>
      <c r="N19" s="73" t="inlineStr">
        <is>
          <t xml:space="preserve">Pallets Movimentados OUT</t>
        </is>
      </c>
      <c r="O19" s="73" t="inlineStr">
        <is>
          <t xml:space="preserve">MOVIMENTAÇÃO PALETES/DIA</t>
        </is>
      </c>
      <c r="P19" s="73" t="inlineStr">
        <is>
          <t xml:space="preserve">ACUMULADO SEMANAL PALETES</t>
        </is>
      </c>
      <c r="Q19" s="73" t="inlineStr">
        <is>
          <t xml:space="preserve">Toneladas Movimentadas IN</t>
        </is>
      </c>
      <c r="R19" s="73" t="inlineStr">
        <is>
          <t xml:space="preserve">Toneladas Movimentadas OUT</t>
        </is>
      </c>
      <c r="S19" s="73" t="inlineStr">
        <is>
          <t xml:space="preserve">MOVIMENTAÇÃO TONS/DIA</t>
        </is>
      </c>
      <c r="T19" s="73" t="inlineStr">
        <is>
          <t xml:space="preserve">ACUMULADO SEMANAL TONS</t>
        </is>
      </c>
    </row>
    <row r="20">
      <c r="A20" s="77">
        <v>11</v>
      </c>
      <c r="B20" s="79"/>
      <c r="C20" s="73"/>
      <c r="D20" s="73" t="inlineStr">
        <is>
          <t xml:space="preserve">Sim</t>
        </is>
      </c>
      <c r="E20" s="73" t="inlineStr">
        <is>
          <t xml:space="preserve">Pallets Movimentados IN</t>
        </is>
      </c>
      <c r="F20" s="73" t="inlineStr">
        <is>
          <t xml:space="preserve">Toneladas Movimentadas IN</t>
        </is>
      </c>
      <c r="G20" s="73"/>
      <c r="H20" s="73" t="inlineStr">
        <is>
          <t xml:space="preserve">Sim</t>
        </is>
      </c>
      <c r="I20" s="73" t="inlineStr">
        <is>
          <t xml:space="preserve">Pallets Movimentados OUT</t>
        </is>
      </c>
      <c r="J20" s="73" t="inlineStr">
        <is>
          <t xml:space="preserve">Toneladas Movimentadas OUT</t>
        </is>
      </c>
      <c r="K20" s="73"/>
      <c r="L20" s="73" t="inlineStr">
        <is>
          <t xml:space="preserve">Completo</t>
        </is>
      </c>
      <c r="M20" s="73" t="inlineStr">
        <is>
          <t xml:space="preserve">Pallets Movimentados IN</t>
        </is>
      </c>
      <c r="N20" s="73" t="inlineStr">
        <is>
          <t xml:space="preserve">Pallets Movimentados OUT</t>
        </is>
      </c>
      <c r="O20" s="73" t="inlineStr">
        <is>
          <t xml:space="preserve">MOVIMENTAÇÃO PALETES/DIA</t>
        </is>
      </c>
      <c r="P20" s="73" t="inlineStr">
        <is>
          <t xml:space="preserve">ACUMULADO SEMANAL PALETES</t>
        </is>
      </c>
      <c r="Q20" s="73" t="inlineStr">
        <is>
          <t xml:space="preserve">Toneladas Movimentadas IN</t>
        </is>
      </c>
      <c r="R20" s="73" t="inlineStr">
        <is>
          <t xml:space="preserve">Toneladas Movimentadas OUT</t>
        </is>
      </c>
      <c r="S20" s="73" t="inlineStr">
        <is>
          <t xml:space="preserve">MOVIMENTAÇÃO TONS/DIA</t>
        </is>
      </c>
      <c r="T20" s="73" t="inlineStr">
        <is>
          <t xml:space="preserve">ACUMULADO SEMANAL TONS</t>
        </is>
      </c>
    </row>
    <row r="21">
      <c r="A21" s="77">
        <v>12</v>
      </c>
      <c r="B21" s="79"/>
      <c r="C21" s="73"/>
      <c r="D21" s="73" t="inlineStr">
        <is>
          <t xml:space="preserve">Sim</t>
        </is>
      </c>
      <c r="E21" s="73" t="inlineStr">
        <is>
          <t xml:space="preserve">Pallets Movimentados IN</t>
        </is>
      </c>
      <c r="F21" s="73" t="inlineStr">
        <is>
          <t xml:space="preserve">Toneladas Movimentadas IN</t>
        </is>
      </c>
      <c r="G21" s="73"/>
      <c r="H21" s="73" t="inlineStr">
        <is>
          <t xml:space="preserve">Sim</t>
        </is>
      </c>
      <c r="I21" s="73" t="inlineStr">
        <is>
          <t xml:space="preserve">Pallets Movimentados OUT</t>
        </is>
      </c>
      <c r="J21" s="73" t="inlineStr">
        <is>
          <t xml:space="preserve">Toneladas Movimentadas OUT</t>
        </is>
      </c>
      <c r="K21" s="73"/>
      <c r="L21" s="73" t="inlineStr">
        <is>
          <t xml:space="preserve">Completo</t>
        </is>
      </c>
      <c r="M21" s="73" t="inlineStr">
        <is>
          <t xml:space="preserve">Pallets Movimentados IN</t>
        </is>
      </c>
      <c r="N21" s="73" t="inlineStr">
        <is>
          <t xml:space="preserve">Pallets Movimentados OUT</t>
        </is>
      </c>
      <c r="O21" s="73" t="inlineStr">
        <is>
          <t xml:space="preserve">MOVIMENTAÇÃO PALETES/DIA</t>
        </is>
      </c>
      <c r="P21" s="73" t="inlineStr">
        <is>
          <t xml:space="preserve">ACUMULADO SEMANAL PALETES</t>
        </is>
      </c>
      <c r="Q21" s="73" t="inlineStr">
        <is>
          <t xml:space="preserve">Toneladas Movimentadas IN</t>
        </is>
      </c>
      <c r="R21" s="73" t="inlineStr">
        <is>
          <t xml:space="preserve">Toneladas Movimentadas OUT</t>
        </is>
      </c>
      <c r="S21" s="73" t="inlineStr">
        <is>
          <t xml:space="preserve">MOVIMENTAÇÃO TONS/DIA</t>
        </is>
      </c>
      <c r="T21" s="73" t="inlineStr">
        <is>
          <t xml:space="preserve">ACUMULADO SEMANAL TONS</t>
        </is>
      </c>
    </row>
    <row r="22">
      <c r="A22" s="77">
        <v>13</v>
      </c>
      <c r="B22" s="79"/>
      <c r="C22" s="73"/>
      <c r="D22" s="73" t="inlineStr">
        <is>
          <t xml:space="preserve">Sim</t>
        </is>
      </c>
      <c r="E22" s="73" t="inlineStr">
        <is>
          <t xml:space="preserve">Pallets Movimentados IN</t>
        </is>
      </c>
      <c r="F22" s="73" t="inlineStr">
        <is>
          <t xml:space="preserve">Toneladas Movimentadas IN</t>
        </is>
      </c>
      <c r="G22" s="73"/>
      <c r="H22" s="73" t="inlineStr">
        <is>
          <t xml:space="preserve">Sim</t>
        </is>
      </c>
      <c r="I22" s="73" t="inlineStr">
        <is>
          <t xml:space="preserve">Pallets Movimentados OUT</t>
        </is>
      </c>
      <c r="J22" s="73" t="inlineStr">
        <is>
          <t xml:space="preserve">Toneladas Movimentadas OUT</t>
        </is>
      </c>
      <c r="K22" s="73"/>
      <c r="L22" s="73" t="inlineStr">
        <is>
          <t xml:space="preserve">Completo</t>
        </is>
      </c>
      <c r="M22" s="73" t="inlineStr">
        <is>
          <t xml:space="preserve">Pallets Movimentados IN</t>
        </is>
      </c>
      <c r="N22" s="73" t="inlineStr">
        <is>
          <t xml:space="preserve">Pallets Movimentados OUT</t>
        </is>
      </c>
      <c r="O22" s="73" t="inlineStr">
        <is>
          <t xml:space="preserve">MOVIMENTAÇÃO PALETES/DIA</t>
        </is>
      </c>
      <c r="P22" s="73" t="inlineStr">
        <is>
          <t xml:space="preserve">ACUMULADO SEMANAL PALETES</t>
        </is>
      </c>
      <c r="Q22" s="73" t="inlineStr">
        <is>
          <t xml:space="preserve">Toneladas Movimentadas IN</t>
        </is>
      </c>
      <c r="R22" s="73" t="inlineStr">
        <is>
          <t xml:space="preserve">Toneladas Movimentadas OUT</t>
        </is>
      </c>
      <c r="S22" s="73" t="inlineStr">
        <is>
          <t xml:space="preserve">MOVIMENTAÇÃO TONS/DIA</t>
        </is>
      </c>
      <c r="T22" s="73" t="inlineStr">
        <is>
          <t xml:space="preserve">ACUMULADO SEMANAL TONS</t>
        </is>
      </c>
    </row>
    <row r="23">
      <c r="A23" s="77">
        <v>14</v>
      </c>
      <c r="B23" s="79"/>
      <c r="C23" s="73"/>
      <c r="D23" s="73" t="inlineStr">
        <is>
          <t xml:space="preserve">Sim</t>
        </is>
      </c>
      <c r="E23" s="73" t="inlineStr">
        <is>
          <t xml:space="preserve">Pallets Movimentados IN</t>
        </is>
      </c>
      <c r="F23" s="73" t="inlineStr">
        <is>
          <t xml:space="preserve">Toneladas Movimentadas IN</t>
        </is>
      </c>
      <c r="G23" s="73"/>
      <c r="H23" s="73" t="inlineStr">
        <is>
          <t xml:space="preserve">Sim</t>
        </is>
      </c>
      <c r="I23" s="73" t="inlineStr">
        <is>
          <t xml:space="preserve">Pallets Movimentados OUT</t>
        </is>
      </c>
      <c r="J23" s="73" t="inlineStr">
        <is>
          <t xml:space="preserve">Toneladas Movimentadas OUT</t>
        </is>
      </c>
      <c r="K23" s="73"/>
      <c r="L23" s="73" t="inlineStr">
        <is>
          <t xml:space="preserve">Completo</t>
        </is>
      </c>
      <c r="M23" s="73" t="inlineStr">
        <is>
          <t xml:space="preserve">Pallets Movimentados IN</t>
        </is>
      </c>
      <c r="N23" s="73" t="inlineStr">
        <is>
          <t xml:space="preserve">Pallets Movimentados OUT</t>
        </is>
      </c>
      <c r="O23" s="73" t="inlineStr">
        <is>
          <t xml:space="preserve">MOVIMENTAÇÃO PALETES/DIA</t>
        </is>
      </c>
      <c r="P23" s="73" t="inlineStr">
        <is>
          <t xml:space="preserve">ACUMULADO SEMANAL PALETES</t>
        </is>
      </c>
      <c r="Q23" s="73" t="inlineStr">
        <is>
          <t xml:space="preserve">Toneladas Movimentadas IN</t>
        </is>
      </c>
      <c r="R23" s="73" t="inlineStr">
        <is>
          <t xml:space="preserve">Toneladas Movimentadas OUT</t>
        </is>
      </c>
      <c r="S23" s="73" t="inlineStr">
        <is>
          <t xml:space="preserve">MOVIMENTAÇÃO TONS/DIA</t>
        </is>
      </c>
      <c r="T23" s="73" t="inlineStr">
        <is>
          <t xml:space="preserve">ACUMULADO SEMANAL TONS</t>
        </is>
      </c>
    </row>
    <row r="24">
      <c r="A24" s="77">
        <v>15</v>
      </c>
      <c r="B24" s="79"/>
      <c r="C24" s="73"/>
      <c r="D24" s="73" t="inlineStr">
        <is>
          <t xml:space="preserve">Sim</t>
        </is>
      </c>
      <c r="E24" s="73" t="inlineStr">
        <is>
          <t xml:space="preserve">Pallets Movimentados IN</t>
        </is>
      </c>
      <c r="F24" s="73" t="inlineStr">
        <is>
          <t xml:space="preserve">Toneladas Movimentadas IN</t>
        </is>
      </c>
      <c r="G24" s="73"/>
      <c r="H24" s="73" t="inlineStr">
        <is>
          <t xml:space="preserve">Sim</t>
        </is>
      </c>
      <c r="I24" s="73" t="inlineStr">
        <is>
          <t xml:space="preserve">Pallets Movimentados OUT</t>
        </is>
      </c>
      <c r="J24" s="73" t="inlineStr">
        <is>
          <t xml:space="preserve">Toneladas Movimentadas OUT</t>
        </is>
      </c>
      <c r="K24" s="73"/>
      <c r="L24" s="73" t="inlineStr">
        <is>
          <t xml:space="preserve">Completo</t>
        </is>
      </c>
      <c r="M24" s="73" t="inlineStr">
        <is>
          <t xml:space="preserve">Pallets Movimentados IN</t>
        </is>
      </c>
      <c r="N24" s="73" t="inlineStr">
        <is>
          <t xml:space="preserve">Pallets Movimentados OUT</t>
        </is>
      </c>
      <c r="O24" s="73" t="inlineStr">
        <is>
          <t xml:space="preserve">MOVIMENTAÇÃO PALETES/DIA</t>
        </is>
      </c>
      <c r="P24" s="73" t="inlineStr">
        <is>
          <t xml:space="preserve">ACUMULADO SEMANAL PALETES</t>
        </is>
      </c>
      <c r="Q24" s="73" t="inlineStr">
        <is>
          <t xml:space="preserve">Toneladas Movimentadas IN</t>
        </is>
      </c>
      <c r="R24" s="73" t="inlineStr">
        <is>
          <t xml:space="preserve">Toneladas Movimentadas OUT</t>
        </is>
      </c>
      <c r="S24" s="73" t="inlineStr">
        <is>
          <t xml:space="preserve">MOVIMENTAÇÃO TONS/DIA</t>
        </is>
      </c>
      <c r="T24" s="73" t="inlineStr">
        <is>
          <t xml:space="preserve">ACUMULADO SEMANAL TONS</t>
        </is>
      </c>
    </row>
    <row r="25">
      <c r="A25" s="77">
        <v>16</v>
      </c>
      <c r="B25" s="79"/>
      <c r="C25" s="73"/>
      <c r="D25" s="73" t="inlineStr">
        <is>
          <t xml:space="preserve">Sim</t>
        </is>
      </c>
      <c r="E25" s="73" t="inlineStr">
        <is>
          <t xml:space="preserve">Pallets Movimentados IN</t>
        </is>
      </c>
      <c r="F25" s="73" t="inlineStr">
        <is>
          <t xml:space="preserve">Toneladas Movimentadas IN</t>
        </is>
      </c>
      <c r="G25" s="73"/>
      <c r="H25" s="73" t="inlineStr">
        <is>
          <t xml:space="preserve">Sim</t>
        </is>
      </c>
      <c r="I25" s="73" t="inlineStr">
        <is>
          <t xml:space="preserve">Pallets Movimentados OUT</t>
        </is>
      </c>
      <c r="J25" s="73" t="inlineStr">
        <is>
          <t xml:space="preserve">Toneladas Movimentadas OUT</t>
        </is>
      </c>
      <c r="K25" s="73"/>
      <c r="L25" s="73" t="inlineStr">
        <is>
          <t xml:space="preserve">Completo</t>
        </is>
      </c>
      <c r="M25" s="73" t="inlineStr">
        <is>
          <t xml:space="preserve">Pallets Movimentados IN</t>
        </is>
      </c>
      <c r="N25" s="73" t="inlineStr">
        <is>
          <t xml:space="preserve">Pallets Movimentados OUT</t>
        </is>
      </c>
      <c r="O25" s="73" t="inlineStr">
        <is>
          <t xml:space="preserve">MOVIMENTAÇÃO PALETES/DIA</t>
        </is>
      </c>
      <c r="P25" s="73" t="inlineStr">
        <is>
          <t xml:space="preserve">ACUMULADO SEMANAL PALETES</t>
        </is>
      </c>
      <c r="Q25" s="73" t="inlineStr">
        <is>
          <t xml:space="preserve">Toneladas Movimentadas IN</t>
        </is>
      </c>
      <c r="R25" s="73" t="inlineStr">
        <is>
          <t xml:space="preserve">Toneladas Movimentadas OUT</t>
        </is>
      </c>
      <c r="S25" s="73" t="inlineStr">
        <is>
          <t xml:space="preserve">MOVIMENTAÇÃO TONS/DIA</t>
        </is>
      </c>
      <c r="T25" s="73" t="inlineStr">
        <is>
          <t xml:space="preserve">ACUMULADO SEMANAL TONS</t>
        </is>
      </c>
    </row>
    <row r="26">
      <c r="A26" s="77">
        <v>17</v>
      </c>
      <c r="B26" s="79"/>
      <c r="C26" s="73"/>
      <c r="D26" s="73" t="inlineStr">
        <is>
          <t xml:space="preserve">Sim</t>
        </is>
      </c>
      <c r="E26" s="73" t="inlineStr">
        <is>
          <t xml:space="preserve">Pallets Movimentados IN</t>
        </is>
      </c>
      <c r="F26" s="73" t="inlineStr">
        <is>
          <t xml:space="preserve">Toneladas Movimentadas IN</t>
        </is>
      </c>
      <c r="G26" s="73"/>
      <c r="H26" s="73" t="inlineStr">
        <is>
          <t xml:space="preserve">Sim</t>
        </is>
      </c>
      <c r="I26" s="73" t="inlineStr">
        <is>
          <t xml:space="preserve">Pallets Movimentados OUT</t>
        </is>
      </c>
      <c r="J26" s="73" t="inlineStr">
        <is>
          <t xml:space="preserve">Toneladas Movimentadas OUT</t>
        </is>
      </c>
      <c r="K26" s="73"/>
      <c r="L26" s="73" t="inlineStr">
        <is>
          <t xml:space="preserve">Completo</t>
        </is>
      </c>
      <c r="M26" s="73" t="inlineStr">
        <is>
          <t xml:space="preserve">Pallets Movimentados IN</t>
        </is>
      </c>
      <c r="N26" s="73" t="inlineStr">
        <is>
          <t xml:space="preserve">Pallets Movimentados OUT</t>
        </is>
      </c>
      <c r="O26" s="73" t="inlineStr">
        <is>
          <t xml:space="preserve">MOVIMENTAÇÃO PALETES/DIA</t>
        </is>
      </c>
      <c r="P26" s="73" t="inlineStr">
        <is>
          <t xml:space="preserve">ACUMULADO SEMANAL PALETES</t>
        </is>
      </c>
      <c r="Q26" s="73" t="inlineStr">
        <is>
          <t xml:space="preserve">Toneladas Movimentadas IN</t>
        </is>
      </c>
      <c r="R26" s="73" t="inlineStr">
        <is>
          <t xml:space="preserve">Toneladas Movimentadas OUT</t>
        </is>
      </c>
      <c r="S26" s="73" t="inlineStr">
        <is>
          <t xml:space="preserve">MOVIMENTAÇÃO TONS/DIA</t>
        </is>
      </c>
      <c r="T26" s="73" t="inlineStr">
        <is>
          <t xml:space="preserve">ACUMULADO SEMANAL TONS</t>
        </is>
      </c>
    </row>
    <row r="27">
      <c r="A27" s="77">
        <v>18</v>
      </c>
      <c r="B27" s="79"/>
      <c r="C27" s="73"/>
      <c r="D27" s="73" t="inlineStr">
        <is>
          <t xml:space="preserve">Sim</t>
        </is>
      </c>
      <c r="E27" s="73" t="inlineStr">
        <is>
          <t xml:space="preserve">Pallets Movimentados IN</t>
        </is>
      </c>
      <c r="F27" s="73" t="inlineStr">
        <is>
          <t xml:space="preserve">Toneladas Movimentadas IN</t>
        </is>
      </c>
      <c r="G27" s="73"/>
      <c r="H27" s="73" t="inlineStr">
        <is>
          <t xml:space="preserve">Sim</t>
        </is>
      </c>
      <c r="I27" s="73" t="inlineStr">
        <is>
          <t xml:space="preserve">Pallets Movimentados OUT</t>
        </is>
      </c>
      <c r="J27" s="73" t="inlineStr">
        <is>
          <t xml:space="preserve">Toneladas Movimentadas OUT</t>
        </is>
      </c>
      <c r="K27" s="73"/>
      <c r="L27" s="73" t="inlineStr">
        <is>
          <t xml:space="preserve">Completo</t>
        </is>
      </c>
      <c r="M27" s="73" t="inlineStr">
        <is>
          <t xml:space="preserve">Pallets Movimentados IN</t>
        </is>
      </c>
      <c r="N27" s="73" t="inlineStr">
        <is>
          <t xml:space="preserve">Pallets Movimentados OUT</t>
        </is>
      </c>
      <c r="O27" s="73" t="inlineStr">
        <is>
          <t xml:space="preserve">MOVIMENTAÇÃO PALETES/DIA</t>
        </is>
      </c>
      <c r="P27" s="73" t="inlineStr">
        <is>
          <t xml:space="preserve">ACUMULADO SEMANAL PALETES</t>
        </is>
      </c>
      <c r="Q27" s="73" t="inlineStr">
        <is>
          <t xml:space="preserve">Toneladas Movimentadas IN</t>
        </is>
      </c>
      <c r="R27" s="73" t="inlineStr">
        <is>
          <t xml:space="preserve">Toneladas Movimentadas OUT</t>
        </is>
      </c>
      <c r="S27" s="73" t="inlineStr">
        <is>
          <t xml:space="preserve">MOVIMENTAÇÃO TONS/DIA</t>
        </is>
      </c>
      <c r="T27" s="73" t="inlineStr">
        <is>
          <t xml:space="preserve">ACUMULADO SEMANAL TONS</t>
        </is>
      </c>
    </row>
    <row r="28">
      <c r="A28" s="77">
        <v>19</v>
      </c>
      <c r="B28" s="79"/>
      <c r="C28" s="73"/>
      <c r="D28" s="73" t="inlineStr">
        <is>
          <t xml:space="preserve">Sim</t>
        </is>
      </c>
      <c r="E28" s="73" t="inlineStr">
        <is>
          <t xml:space="preserve">Pallets Movimentados IN</t>
        </is>
      </c>
      <c r="F28" s="73" t="inlineStr">
        <is>
          <t xml:space="preserve">Toneladas Movimentadas IN</t>
        </is>
      </c>
      <c r="G28" s="73"/>
      <c r="H28" s="73" t="inlineStr">
        <is>
          <t xml:space="preserve">Sim</t>
        </is>
      </c>
      <c r="I28" s="73" t="inlineStr">
        <is>
          <t xml:space="preserve">Pallets Movimentados OUT</t>
        </is>
      </c>
      <c r="J28" s="73" t="inlineStr">
        <is>
          <t xml:space="preserve">Toneladas Movimentadas OUT</t>
        </is>
      </c>
      <c r="K28" s="73"/>
      <c r="L28" s="73" t="inlineStr">
        <is>
          <t xml:space="preserve">Completo</t>
        </is>
      </c>
      <c r="M28" s="73" t="inlineStr">
        <is>
          <t xml:space="preserve">Pallets Movimentados IN</t>
        </is>
      </c>
      <c r="N28" s="73" t="inlineStr">
        <is>
          <t xml:space="preserve">Pallets Movimentados OUT</t>
        </is>
      </c>
      <c r="O28" s="73" t="inlineStr">
        <is>
          <t xml:space="preserve">MOVIMENTAÇÃO PALETES/DIA</t>
        </is>
      </c>
      <c r="P28" s="73" t="inlineStr">
        <is>
          <t xml:space="preserve">ACUMULADO SEMANAL PALETES</t>
        </is>
      </c>
      <c r="Q28" s="73" t="inlineStr">
        <is>
          <t xml:space="preserve">Toneladas Movimentadas IN</t>
        </is>
      </c>
      <c r="R28" s="73" t="inlineStr">
        <is>
          <t xml:space="preserve">Toneladas Movimentadas OUT</t>
        </is>
      </c>
      <c r="S28" s="73" t="inlineStr">
        <is>
          <t xml:space="preserve">MOVIMENTAÇÃO TONS/DIA</t>
        </is>
      </c>
      <c r="T28" s="73" t="inlineStr">
        <is>
          <t xml:space="preserve">ACUMULADO SEMANAL TONS</t>
        </is>
      </c>
    </row>
    <row r="29">
      <c r="A29" s="77">
        <v>20</v>
      </c>
      <c r="B29" s="79"/>
      <c r="C29" s="73"/>
      <c r="D29" s="73" t="inlineStr">
        <is>
          <t xml:space="preserve">Sim</t>
        </is>
      </c>
      <c r="E29" s="73" t="inlineStr">
        <is>
          <t xml:space="preserve">Pallets Movimentados IN</t>
        </is>
      </c>
      <c r="F29" s="73" t="inlineStr">
        <is>
          <t xml:space="preserve">Toneladas Movimentadas IN</t>
        </is>
      </c>
      <c r="G29" s="73"/>
      <c r="H29" s="73" t="inlineStr">
        <is>
          <t xml:space="preserve">Sim</t>
        </is>
      </c>
      <c r="I29" s="73" t="inlineStr">
        <is>
          <t xml:space="preserve">Pallets Movimentados OUT</t>
        </is>
      </c>
      <c r="J29" s="73" t="inlineStr">
        <is>
          <t xml:space="preserve">Toneladas Movimentadas OUT</t>
        </is>
      </c>
      <c r="K29" s="73"/>
      <c r="L29" s="73" t="inlineStr">
        <is>
          <t xml:space="preserve">Completo</t>
        </is>
      </c>
      <c r="M29" s="73" t="inlineStr">
        <is>
          <t xml:space="preserve">Pallets Movimentados IN</t>
        </is>
      </c>
      <c r="N29" s="73" t="inlineStr">
        <is>
          <t xml:space="preserve">Pallets Movimentados OUT</t>
        </is>
      </c>
      <c r="O29" s="73" t="inlineStr">
        <is>
          <t xml:space="preserve">MOVIMENTAÇÃO PALETES/DIA</t>
        </is>
      </c>
      <c r="P29" s="73" t="inlineStr">
        <is>
          <t xml:space="preserve">ACUMULADO SEMANAL PALETES</t>
        </is>
      </c>
      <c r="Q29" s="73" t="inlineStr">
        <is>
          <t xml:space="preserve">Toneladas Movimentadas IN</t>
        </is>
      </c>
      <c r="R29" s="73" t="inlineStr">
        <is>
          <t xml:space="preserve">Toneladas Movimentadas OUT</t>
        </is>
      </c>
      <c r="S29" s="73" t="inlineStr">
        <is>
          <t xml:space="preserve">MOVIMENTAÇÃO TONS/DIA</t>
        </is>
      </c>
      <c r="T29" s="73" t="inlineStr">
        <is>
          <t xml:space="preserve">ACUMULADO SEMANAL TONS</t>
        </is>
      </c>
    </row>
    <row r="33" ht="22" customHeight="1">
      <c r="A33" s="76" t="inlineStr">
        <is>
          <t xml:space="preserve">2 · COLUNAS DA BD — Sim = o cliente preenche · Não = coluna bloqueada na BD (cinza) e indicador fora do Monitoramento/Consol Mensal</t>
        </is>
      </c>
      <c r="B33" s="76"/>
      <c r="C33" s="76"/>
      <c r="D33" s="76"/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</row>
    <row r="34" ht="44" customHeight="1">
      <c r="A34" s="16" t="inlineStr">
        <is>
          <t xml:space="preserve">Nº</t>
        </is>
      </c>
      <c r="B34" s="16" t="inlineStr">
        <is>
          <t xml:space="preserve">CLIENTE (da tabela 1)</t>
        </is>
      </c>
      <c r="C34" s="16" t="inlineStr">
        <is>
          <t xml:space="preserve">DEPÓSITO</t>
        </is>
      </c>
      <c r="D34" s="80" t="inlineStr">
        <is>
          <t xml:space="preserve">IN Veículos Recebidos</t>
        </is>
      </c>
      <c r="E34" s="80" t="inlineStr">
        <is>
          <t xml:space="preserve">IN Pallets Movimentados</t>
        </is>
      </c>
      <c r="F34" s="80" t="inlineStr">
        <is>
          <t xml:space="preserve">IN Toneladas Movimentadas</t>
        </is>
      </c>
      <c r="G34" s="81" t="inlineStr">
        <is>
          <t xml:space="preserve">OUT Veículos Expedidos</t>
        </is>
      </c>
      <c r="H34" s="81" t="inlineStr">
        <is>
          <t xml:space="preserve">OUT Pallets Movimentados</t>
        </is>
      </c>
      <c r="I34" s="81" t="inlineStr">
        <is>
          <t xml:space="preserve">OUT Toneladas Movimentadas</t>
        </is>
      </c>
      <c r="J34" s="82" t="inlineStr">
        <is>
          <t xml:space="preserve">NC Incidentes</t>
        </is>
      </c>
      <c r="K34" s="82" t="inlineStr">
        <is>
          <t xml:space="preserve">NC No show</t>
        </is>
      </c>
      <c r="L34" s="82" t="inlineStr">
        <is>
          <t xml:space="preserve">NC Backlog</t>
        </is>
      </c>
      <c r="M34" s="80" t="inlineStr">
        <is>
          <t xml:space="preserve">Posições Disponíveis</t>
        </is>
      </c>
      <c r="N34" s="80" t="inlineStr">
        <is>
          <t xml:space="preserve">Posições Ocupadas</t>
        </is>
      </c>
      <c r="O34" s="83" t="inlineStr">
        <is>
          <t xml:space="preserve">Efetivo Op.</t>
        </is>
      </c>
      <c r="P34" s="83" t="inlineStr">
        <is>
          <t xml:space="preserve">Falta</t>
        </is>
      </c>
      <c r="Q34" s="83" t="inlineStr">
        <is>
          <t xml:space="preserve">Folga</t>
        </is>
      </c>
      <c r="R34" s="83" t="inlineStr">
        <is>
          <t xml:space="preserve">Férias</t>
        </is>
      </c>
      <c r="S34" s="83" t="inlineStr">
        <is>
          <t xml:space="preserve">Desligamento</t>
        </is>
      </c>
      <c r="T34" s="83" t="inlineStr">
        <is>
          <t xml:space="preserve">Desvios Comportamentais</t>
        </is>
      </c>
      <c r="U34" s="83" t="inlineStr">
        <is>
          <t xml:space="preserve">Acidentes CAF</t>
        </is>
      </c>
      <c r="V34" s="83" t="inlineStr">
        <is>
          <t xml:space="preserve">Acidentes SAF</t>
        </is>
      </c>
    </row>
    <row r="35">
      <c r="A35" s="77">
        <v>1</v>
      </c>
      <c r="B35" s="78" t="str">
        <f>Config!$B$10&amp;""</f>
        <v>Barry Callebaut</v>
      </c>
      <c r="C35" s="78" t="str">
        <f>IF(Config!$B$10&amp;""="","",IF(Config!$C$10="","JSL",Config!$C$10))</f>
        <v>JSL</v>
      </c>
      <c r="D35" s="74" t="inlineStr">
        <is>
          <t xml:space="preserve">Sim</t>
        </is>
      </c>
      <c r="E35" s="74" t="inlineStr">
        <is>
          <t xml:space="preserve">Sim</t>
        </is>
      </c>
      <c r="F35" s="74" t="inlineStr">
        <is>
          <t xml:space="preserve">Sim</t>
        </is>
      </c>
      <c r="G35" s="74" t="inlineStr">
        <is>
          <t xml:space="preserve">Sim</t>
        </is>
      </c>
      <c r="H35" s="74" t="inlineStr">
        <is>
          <t xml:space="preserve">Sim</t>
        </is>
      </c>
      <c r="I35" s="74" t="inlineStr">
        <is>
          <t xml:space="preserve">Sim</t>
        </is>
      </c>
      <c r="J35" s="74" t="inlineStr">
        <is>
          <t xml:space="preserve">Sim</t>
        </is>
      </c>
      <c r="K35" s="74" t="inlineStr">
        <is>
          <t xml:space="preserve">Sim</t>
        </is>
      </c>
      <c r="L35" s="74" t="inlineStr">
        <is>
          <t xml:space="preserve">Sim</t>
        </is>
      </c>
      <c r="M35" s="74" t="inlineStr">
        <is>
          <t xml:space="preserve">Sim</t>
        </is>
      </c>
      <c r="N35" s="74" t="inlineStr">
        <is>
          <t xml:space="preserve">Sim</t>
        </is>
      </c>
      <c r="O35" s="74" t="inlineStr">
        <is>
          <t xml:space="preserve">Sim</t>
        </is>
      </c>
      <c r="P35" s="74" t="inlineStr">
        <is>
          <t xml:space="preserve">Sim</t>
        </is>
      </c>
      <c r="Q35" s="74" t="inlineStr">
        <is>
          <t xml:space="preserve">Sim</t>
        </is>
      </c>
      <c r="R35" s="74" t="inlineStr">
        <is>
          <t xml:space="preserve">Sim</t>
        </is>
      </c>
      <c r="S35" s="74" t="inlineStr">
        <is>
          <t xml:space="preserve">Sim</t>
        </is>
      </c>
      <c r="T35" s="74" t="inlineStr">
        <is>
          <t xml:space="preserve">Sim</t>
        </is>
      </c>
      <c r="U35" s="74" t="inlineStr">
        <is>
          <t xml:space="preserve">Sim</t>
        </is>
      </c>
      <c r="V35" s="74" t="inlineStr">
        <is>
          <t xml:space="preserve">Sim</t>
        </is>
      </c>
    </row>
    <row r="36">
      <c r="A36" s="77">
        <v>2</v>
      </c>
      <c r="B36" s="78" t="str">
        <f>Config!$B$11&amp;""</f>
        <v>GM</v>
      </c>
      <c r="C36" s="78" t="str">
        <f>IF(Config!$B$11&amp;""="","",IF(Config!$C$11="","JSL",Config!$C$11))</f>
        <v>JSL</v>
      </c>
      <c r="D36" s="74" t="inlineStr">
        <is>
          <t xml:space="preserve">Não</t>
        </is>
      </c>
      <c r="E36" s="74" t="inlineStr">
        <is>
          <t xml:space="preserve">Não</t>
        </is>
      </c>
      <c r="F36" s="74" t="inlineStr">
        <is>
          <t xml:space="preserve">Não</t>
        </is>
      </c>
      <c r="G36" s="74" t="inlineStr">
        <is>
          <t xml:space="preserve">Sim</t>
        </is>
      </c>
      <c r="H36" s="74" t="inlineStr">
        <is>
          <t xml:space="preserve">Sim</t>
        </is>
      </c>
      <c r="I36" s="74" t="inlineStr">
        <is>
          <t xml:space="preserve">Sim</t>
        </is>
      </c>
      <c r="J36" s="74" t="inlineStr">
        <is>
          <t xml:space="preserve">Sim</t>
        </is>
      </c>
      <c r="K36" s="74" t="inlineStr">
        <is>
          <t xml:space="preserve">Sim</t>
        </is>
      </c>
      <c r="L36" s="74" t="inlineStr">
        <is>
          <t xml:space="preserve">Sim</t>
        </is>
      </c>
      <c r="M36" s="74" t="inlineStr">
        <is>
          <t xml:space="preserve">Não</t>
        </is>
      </c>
      <c r="N36" s="74" t="inlineStr">
        <is>
          <t xml:space="preserve">Não</t>
        </is>
      </c>
      <c r="O36" s="74" t="inlineStr">
        <is>
          <t xml:space="preserve">Sim</t>
        </is>
      </c>
      <c r="P36" s="74" t="inlineStr">
        <is>
          <t xml:space="preserve">Sim</t>
        </is>
      </c>
      <c r="Q36" s="74" t="inlineStr">
        <is>
          <t xml:space="preserve">Sim</t>
        </is>
      </c>
      <c r="R36" s="74" t="inlineStr">
        <is>
          <t xml:space="preserve">Sim</t>
        </is>
      </c>
      <c r="S36" s="74" t="inlineStr">
        <is>
          <t xml:space="preserve">Sim</t>
        </is>
      </c>
      <c r="T36" s="74" t="inlineStr">
        <is>
          <t xml:space="preserve">Sim</t>
        </is>
      </c>
      <c r="U36" s="74" t="inlineStr">
        <is>
          <t xml:space="preserve">Sim</t>
        </is>
      </c>
      <c r="V36" s="74" t="inlineStr">
        <is>
          <t xml:space="preserve">Sim</t>
        </is>
      </c>
    </row>
    <row r="37">
      <c r="A37" s="77">
        <v>3</v>
      </c>
      <c r="B37" s="78" t="str">
        <f>Config!$B$12&amp;""</f>
        <v>Mondelez</v>
      </c>
      <c r="C37" s="78" t="str">
        <f>IF(Config!$B$12&amp;""="","",IF(Config!$C$12="","JSL",Config!$C$12))</f>
        <v>JSL</v>
      </c>
      <c r="D37" s="74" t="inlineStr">
        <is>
          <t xml:space="preserve">Sim</t>
        </is>
      </c>
      <c r="E37" s="74" t="inlineStr">
        <is>
          <t xml:space="preserve">Sim</t>
        </is>
      </c>
      <c r="F37" s="74" t="inlineStr">
        <is>
          <t xml:space="preserve">Sim</t>
        </is>
      </c>
      <c r="G37" s="74" t="inlineStr">
        <is>
          <t xml:space="preserve">Sim</t>
        </is>
      </c>
      <c r="H37" s="74" t="inlineStr">
        <is>
          <t xml:space="preserve">Sim</t>
        </is>
      </c>
      <c r="I37" s="74" t="inlineStr">
        <is>
          <t xml:space="preserve">Sim</t>
        </is>
      </c>
      <c r="J37" s="74" t="inlineStr">
        <is>
          <t xml:space="preserve">Sim</t>
        </is>
      </c>
      <c r="K37" s="74" t="inlineStr">
        <is>
          <t xml:space="preserve">Sim</t>
        </is>
      </c>
      <c r="L37" s="74" t="inlineStr">
        <is>
          <t xml:space="preserve">Sim</t>
        </is>
      </c>
      <c r="M37" s="74" t="inlineStr">
        <is>
          <t xml:space="preserve">Não</t>
        </is>
      </c>
      <c r="N37" s="74" t="inlineStr">
        <is>
          <t xml:space="preserve">Sim</t>
        </is>
      </c>
      <c r="O37" s="74" t="inlineStr">
        <is>
          <t xml:space="preserve">Sim</t>
        </is>
      </c>
      <c r="P37" s="74" t="inlineStr">
        <is>
          <t xml:space="preserve">Sim</t>
        </is>
      </c>
      <c r="Q37" s="74" t="inlineStr">
        <is>
          <t xml:space="preserve">Sim</t>
        </is>
      </c>
      <c r="R37" s="74" t="inlineStr">
        <is>
          <t xml:space="preserve">Sim</t>
        </is>
      </c>
      <c r="S37" s="74" t="inlineStr">
        <is>
          <t xml:space="preserve">Sim</t>
        </is>
      </c>
      <c r="T37" s="74" t="inlineStr">
        <is>
          <t xml:space="preserve">Sim</t>
        </is>
      </c>
      <c r="U37" s="74" t="inlineStr">
        <is>
          <t xml:space="preserve">Sim</t>
        </is>
      </c>
      <c r="V37" s="74" t="inlineStr">
        <is>
          <t xml:space="preserve">Sim</t>
        </is>
      </c>
    </row>
    <row r="38">
      <c r="A38" s="77">
        <v>4</v>
      </c>
      <c r="B38" s="78" t="str">
        <f>Config!$B$13&amp;""</f>
        <v>Nestlé</v>
      </c>
      <c r="C38" s="78" t="str">
        <f>IF(Config!$B$13&amp;""="","",IF(Config!$C$13="","JSL",Config!$C$13))</f>
        <v>JSL</v>
      </c>
      <c r="D38" s="74" t="inlineStr">
        <is>
          <t xml:space="preserve">Sim</t>
        </is>
      </c>
      <c r="E38" s="74" t="inlineStr">
        <is>
          <t xml:space="preserve">Sim</t>
        </is>
      </c>
      <c r="F38" s="74" t="inlineStr">
        <is>
          <t xml:space="preserve">Sim</t>
        </is>
      </c>
      <c r="G38" s="74" t="inlineStr">
        <is>
          <t xml:space="preserve">Sim</t>
        </is>
      </c>
      <c r="H38" s="74" t="inlineStr">
        <is>
          <t xml:space="preserve">Sim</t>
        </is>
      </c>
      <c r="I38" s="74" t="inlineStr">
        <is>
          <t xml:space="preserve">Sim</t>
        </is>
      </c>
      <c r="J38" s="74" t="inlineStr">
        <is>
          <t xml:space="preserve">Sim</t>
        </is>
      </c>
      <c r="K38" s="74" t="inlineStr">
        <is>
          <t xml:space="preserve">Sim</t>
        </is>
      </c>
      <c r="L38" s="74" t="inlineStr">
        <is>
          <t xml:space="preserve">Sim</t>
        </is>
      </c>
      <c r="M38" s="74" t="inlineStr">
        <is>
          <t xml:space="preserve">Não</t>
        </is>
      </c>
      <c r="N38" s="74" t="inlineStr">
        <is>
          <t xml:space="preserve">Sim</t>
        </is>
      </c>
      <c r="O38" s="74" t="inlineStr">
        <is>
          <t xml:space="preserve">Sim</t>
        </is>
      </c>
      <c r="P38" s="74" t="inlineStr">
        <is>
          <t xml:space="preserve">Sim</t>
        </is>
      </c>
      <c r="Q38" s="74" t="inlineStr">
        <is>
          <t xml:space="preserve">Sim</t>
        </is>
      </c>
      <c r="R38" s="74" t="inlineStr">
        <is>
          <t xml:space="preserve">Sim</t>
        </is>
      </c>
      <c r="S38" s="74" t="inlineStr">
        <is>
          <t xml:space="preserve">Sim</t>
        </is>
      </c>
      <c r="T38" s="74" t="inlineStr">
        <is>
          <t xml:space="preserve">Sim</t>
        </is>
      </c>
      <c r="U38" s="74" t="inlineStr">
        <is>
          <t xml:space="preserve">Sim</t>
        </is>
      </c>
      <c r="V38" s="74" t="inlineStr">
        <is>
          <t xml:space="preserve">Sim</t>
        </is>
      </c>
    </row>
    <row r="39">
      <c r="A39" s="77">
        <v>5</v>
      </c>
      <c r="B39" s="78" t="str">
        <f>Config!$B$14&amp;""</f>
        <v>PMB</v>
      </c>
      <c r="C39" s="78" t="str">
        <f>IF(Config!$B$14&amp;""="","",IF(Config!$C$14="","JSL",Config!$C$14))</f>
        <v>JSL</v>
      </c>
      <c r="D39" s="74" t="inlineStr">
        <is>
          <t xml:space="preserve">Sim</t>
        </is>
      </c>
      <c r="E39" s="74" t="inlineStr">
        <is>
          <t xml:space="preserve">Sim</t>
        </is>
      </c>
      <c r="F39" s="74" t="inlineStr">
        <is>
          <t xml:space="preserve">Sim</t>
        </is>
      </c>
      <c r="G39" s="74" t="inlineStr">
        <is>
          <t xml:space="preserve">Sim</t>
        </is>
      </c>
      <c r="H39" s="74" t="inlineStr">
        <is>
          <t xml:space="preserve">Sim</t>
        </is>
      </c>
      <c r="I39" s="74" t="inlineStr">
        <is>
          <t xml:space="preserve">Sim</t>
        </is>
      </c>
      <c r="J39" s="74" t="inlineStr">
        <is>
          <t xml:space="preserve">Sim</t>
        </is>
      </c>
      <c r="K39" s="74" t="inlineStr">
        <is>
          <t xml:space="preserve">Sim</t>
        </is>
      </c>
      <c r="L39" s="74" t="inlineStr">
        <is>
          <t xml:space="preserve">Sim</t>
        </is>
      </c>
      <c r="M39" s="74" t="inlineStr">
        <is>
          <t xml:space="preserve">Sim</t>
        </is>
      </c>
      <c r="N39" s="74" t="inlineStr">
        <is>
          <t xml:space="preserve">Sim</t>
        </is>
      </c>
      <c r="O39" s="74" t="inlineStr">
        <is>
          <t xml:space="preserve">Sim</t>
        </is>
      </c>
      <c r="P39" s="74" t="inlineStr">
        <is>
          <t xml:space="preserve">Sim</t>
        </is>
      </c>
      <c r="Q39" s="74" t="inlineStr">
        <is>
          <t xml:space="preserve">Sim</t>
        </is>
      </c>
      <c r="R39" s="74" t="inlineStr">
        <is>
          <t xml:space="preserve">Sim</t>
        </is>
      </c>
      <c r="S39" s="74" t="inlineStr">
        <is>
          <t xml:space="preserve">Sim</t>
        </is>
      </c>
      <c r="T39" s="74" t="inlineStr">
        <is>
          <t xml:space="preserve">Sim</t>
        </is>
      </c>
      <c r="U39" s="74" t="inlineStr">
        <is>
          <t xml:space="preserve">Sim</t>
        </is>
      </c>
      <c r="V39" s="74" t="inlineStr">
        <is>
          <t xml:space="preserve">Sim</t>
        </is>
      </c>
    </row>
    <row r="40">
      <c r="A40" s="77">
        <v>6</v>
      </c>
      <c r="B40" s="78" t="str">
        <f>Config!$B$15&amp;""</f>
        <v/>
      </c>
      <c r="C40" s="78" t="str">
        <f>IF(Config!$B$15&amp;""="","",IF(Config!$C$15="","JSL",Config!$C$15))</f>
        <v/>
      </c>
      <c r="D40" s="74" t="inlineStr">
        <is>
          <t xml:space="preserve">Sim</t>
        </is>
      </c>
      <c r="E40" s="74" t="inlineStr">
        <is>
          <t xml:space="preserve">Sim</t>
        </is>
      </c>
      <c r="F40" s="74" t="inlineStr">
        <is>
          <t xml:space="preserve">Sim</t>
        </is>
      </c>
      <c r="G40" s="74" t="inlineStr">
        <is>
          <t xml:space="preserve">Sim</t>
        </is>
      </c>
      <c r="H40" s="74" t="inlineStr">
        <is>
          <t xml:space="preserve">Sim</t>
        </is>
      </c>
      <c r="I40" s="74" t="inlineStr">
        <is>
          <t xml:space="preserve">Sim</t>
        </is>
      </c>
      <c r="J40" s="74" t="inlineStr">
        <is>
          <t xml:space="preserve">Sim</t>
        </is>
      </c>
      <c r="K40" s="74" t="inlineStr">
        <is>
          <t xml:space="preserve">Sim</t>
        </is>
      </c>
      <c r="L40" s="74" t="inlineStr">
        <is>
          <t xml:space="preserve">Sim</t>
        </is>
      </c>
      <c r="M40" s="74" t="inlineStr">
        <is>
          <t xml:space="preserve">Sim</t>
        </is>
      </c>
      <c r="N40" s="74" t="inlineStr">
        <is>
          <t xml:space="preserve">Sim</t>
        </is>
      </c>
      <c r="O40" s="74" t="inlineStr">
        <is>
          <t xml:space="preserve">Sim</t>
        </is>
      </c>
      <c r="P40" s="74" t="inlineStr">
        <is>
          <t xml:space="preserve">Sim</t>
        </is>
      </c>
      <c r="Q40" s="74" t="inlineStr">
        <is>
          <t xml:space="preserve">Sim</t>
        </is>
      </c>
      <c r="R40" s="74" t="inlineStr">
        <is>
          <t xml:space="preserve">Sim</t>
        </is>
      </c>
      <c r="S40" s="74" t="inlineStr">
        <is>
          <t xml:space="preserve">Sim</t>
        </is>
      </c>
      <c r="T40" s="74" t="inlineStr">
        <is>
          <t xml:space="preserve">Sim</t>
        </is>
      </c>
      <c r="U40" s="74" t="inlineStr">
        <is>
          <t xml:space="preserve">Sim</t>
        </is>
      </c>
      <c r="V40" s="74" t="inlineStr">
        <is>
          <t xml:space="preserve">Sim</t>
        </is>
      </c>
    </row>
    <row r="41">
      <c r="A41" s="77">
        <v>7</v>
      </c>
      <c r="B41" s="78" t="str">
        <f>Config!$B$16&amp;""</f>
        <v/>
      </c>
      <c r="C41" s="78" t="str">
        <f>IF(Config!$B$16&amp;""="","",IF(Config!$C$16="","JSL",Config!$C$16))</f>
        <v/>
      </c>
      <c r="D41" s="74" t="inlineStr">
        <is>
          <t xml:space="preserve">Sim</t>
        </is>
      </c>
      <c r="E41" s="74" t="inlineStr">
        <is>
          <t xml:space="preserve">Sim</t>
        </is>
      </c>
      <c r="F41" s="74" t="inlineStr">
        <is>
          <t xml:space="preserve">Sim</t>
        </is>
      </c>
      <c r="G41" s="74" t="inlineStr">
        <is>
          <t xml:space="preserve">Sim</t>
        </is>
      </c>
      <c r="H41" s="74" t="inlineStr">
        <is>
          <t xml:space="preserve">Sim</t>
        </is>
      </c>
      <c r="I41" s="74" t="inlineStr">
        <is>
          <t xml:space="preserve">Sim</t>
        </is>
      </c>
      <c r="J41" s="74" t="inlineStr">
        <is>
          <t xml:space="preserve">Sim</t>
        </is>
      </c>
      <c r="K41" s="74" t="inlineStr">
        <is>
          <t xml:space="preserve">Sim</t>
        </is>
      </c>
      <c r="L41" s="74" t="inlineStr">
        <is>
          <t xml:space="preserve">Sim</t>
        </is>
      </c>
      <c r="M41" s="74" t="inlineStr">
        <is>
          <t xml:space="preserve">Sim</t>
        </is>
      </c>
      <c r="N41" s="74" t="inlineStr">
        <is>
          <t xml:space="preserve">Sim</t>
        </is>
      </c>
      <c r="O41" s="74" t="inlineStr">
        <is>
          <t xml:space="preserve">Sim</t>
        </is>
      </c>
      <c r="P41" s="74" t="inlineStr">
        <is>
          <t xml:space="preserve">Sim</t>
        </is>
      </c>
      <c r="Q41" s="74" t="inlineStr">
        <is>
          <t xml:space="preserve">Sim</t>
        </is>
      </c>
      <c r="R41" s="74" t="inlineStr">
        <is>
          <t xml:space="preserve">Sim</t>
        </is>
      </c>
      <c r="S41" s="74" t="inlineStr">
        <is>
          <t xml:space="preserve">Sim</t>
        </is>
      </c>
      <c r="T41" s="74" t="inlineStr">
        <is>
          <t xml:space="preserve">Sim</t>
        </is>
      </c>
      <c r="U41" s="74" t="inlineStr">
        <is>
          <t xml:space="preserve">Sim</t>
        </is>
      </c>
      <c r="V41" s="74" t="inlineStr">
        <is>
          <t xml:space="preserve">Sim</t>
        </is>
      </c>
    </row>
    <row r="42">
      <c r="A42" s="77">
        <v>8</v>
      </c>
      <c r="B42" s="78" t="str">
        <f>Config!$B$17&amp;""</f>
        <v/>
      </c>
      <c r="C42" s="78" t="str">
        <f>IF(Config!$B$17&amp;""="","",IF(Config!$C$17="","JSL",Config!$C$17))</f>
        <v/>
      </c>
      <c r="D42" s="74" t="inlineStr">
        <is>
          <t xml:space="preserve">Sim</t>
        </is>
      </c>
      <c r="E42" s="74" t="inlineStr">
        <is>
          <t xml:space="preserve">Sim</t>
        </is>
      </c>
      <c r="F42" s="74" t="inlineStr">
        <is>
          <t xml:space="preserve">Sim</t>
        </is>
      </c>
      <c r="G42" s="74" t="inlineStr">
        <is>
          <t xml:space="preserve">Sim</t>
        </is>
      </c>
      <c r="H42" s="74" t="inlineStr">
        <is>
          <t xml:space="preserve">Sim</t>
        </is>
      </c>
      <c r="I42" s="74" t="inlineStr">
        <is>
          <t xml:space="preserve">Sim</t>
        </is>
      </c>
      <c r="J42" s="74" t="inlineStr">
        <is>
          <t xml:space="preserve">Sim</t>
        </is>
      </c>
      <c r="K42" s="74" t="inlineStr">
        <is>
          <t xml:space="preserve">Sim</t>
        </is>
      </c>
      <c r="L42" s="74" t="inlineStr">
        <is>
          <t xml:space="preserve">Sim</t>
        </is>
      </c>
      <c r="M42" s="74" t="inlineStr">
        <is>
          <t xml:space="preserve">Sim</t>
        </is>
      </c>
      <c r="N42" s="74" t="inlineStr">
        <is>
          <t xml:space="preserve">Sim</t>
        </is>
      </c>
      <c r="O42" s="74" t="inlineStr">
        <is>
          <t xml:space="preserve">Sim</t>
        </is>
      </c>
      <c r="P42" s="74" t="inlineStr">
        <is>
          <t xml:space="preserve">Sim</t>
        </is>
      </c>
      <c r="Q42" s="74" t="inlineStr">
        <is>
          <t xml:space="preserve">Sim</t>
        </is>
      </c>
      <c r="R42" s="74" t="inlineStr">
        <is>
          <t xml:space="preserve">Sim</t>
        </is>
      </c>
      <c r="S42" s="74" t="inlineStr">
        <is>
          <t xml:space="preserve">Sim</t>
        </is>
      </c>
      <c r="T42" s="74" t="inlineStr">
        <is>
          <t xml:space="preserve">Sim</t>
        </is>
      </c>
      <c r="U42" s="74" t="inlineStr">
        <is>
          <t xml:space="preserve">Sim</t>
        </is>
      </c>
      <c r="V42" s="74" t="inlineStr">
        <is>
          <t xml:space="preserve">Sim</t>
        </is>
      </c>
    </row>
    <row r="43">
      <c r="A43" s="77">
        <v>9</v>
      </c>
      <c r="B43" s="78" t="str">
        <f>Config!$B$18&amp;""</f>
        <v/>
      </c>
      <c r="C43" s="78" t="str">
        <f>IF(Config!$B$18&amp;""="","",IF(Config!$C$18="","JSL",Config!$C$18))</f>
        <v/>
      </c>
      <c r="D43" s="74" t="inlineStr">
        <is>
          <t xml:space="preserve">Sim</t>
        </is>
      </c>
      <c r="E43" s="74" t="inlineStr">
        <is>
          <t xml:space="preserve">Sim</t>
        </is>
      </c>
      <c r="F43" s="74" t="inlineStr">
        <is>
          <t xml:space="preserve">Sim</t>
        </is>
      </c>
      <c r="G43" s="74" t="inlineStr">
        <is>
          <t xml:space="preserve">Sim</t>
        </is>
      </c>
      <c r="H43" s="74" t="inlineStr">
        <is>
          <t xml:space="preserve">Sim</t>
        </is>
      </c>
      <c r="I43" s="74" t="inlineStr">
        <is>
          <t xml:space="preserve">Sim</t>
        </is>
      </c>
      <c r="J43" s="74" t="inlineStr">
        <is>
          <t xml:space="preserve">Sim</t>
        </is>
      </c>
      <c r="K43" s="74" t="inlineStr">
        <is>
          <t xml:space="preserve">Sim</t>
        </is>
      </c>
      <c r="L43" s="74" t="inlineStr">
        <is>
          <t xml:space="preserve">Sim</t>
        </is>
      </c>
      <c r="M43" s="74" t="inlineStr">
        <is>
          <t xml:space="preserve">Sim</t>
        </is>
      </c>
      <c r="N43" s="74" t="inlineStr">
        <is>
          <t xml:space="preserve">Sim</t>
        </is>
      </c>
      <c r="O43" s="74" t="inlineStr">
        <is>
          <t xml:space="preserve">Sim</t>
        </is>
      </c>
      <c r="P43" s="74" t="inlineStr">
        <is>
          <t xml:space="preserve">Sim</t>
        </is>
      </c>
      <c r="Q43" s="74" t="inlineStr">
        <is>
          <t xml:space="preserve">Sim</t>
        </is>
      </c>
      <c r="R43" s="74" t="inlineStr">
        <is>
          <t xml:space="preserve">Sim</t>
        </is>
      </c>
      <c r="S43" s="74" t="inlineStr">
        <is>
          <t xml:space="preserve">Sim</t>
        </is>
      </c>
      <c r="T43" s="74" t="inlineStr">
        <is>
          <t xml:space="preserve">Sim</t>
        </is>
      </c>
      <c r="U43" s="74" t="inlineStr">
        <is>
          <t xml:space="preserve">Sim</t>
        </is>
      </c>
      <c r="V43" s="74" t="inlineStr">
        <is>
          <t xml:space="preserve">Sim</t>
        </is>
      </c>
    </row>
    <row r="44">
      <c r="A44" s="77">
        <v>10</v>
      </c>
      <c r="B44" s="78" t="str">
        <f>Config!$B$19&amp;""</f>
        <v/>
      </c>
      <c r="C44" s="78" t="str">
        <f>IF(Config!$B$19&amp;""="","",IF(Config!$C$19="","JSL",Config!$C$19))</f>
        <v/>
      </c>
      <c r="D44" s="74" t="inlineStr">
        <is>
          <t xml:space="preserve">Sim</t>
        </is>
      </c>
      <c r="E44" s="74" t="inlineStr">
        <is>
          <t xml:space="preserve">Sim</t>
        </is>
      </c>
      <c r="F44" s="74" t="inlineStr">
        <is>
          <t xml:space="preserve">Sim</t>
        </is>
      </c>
      <c r="G44" s="74" t="inlineStr">
        <is>
          <t xml:space="preserve">Sim</t>
        </is>
      </c>
      <c r="H44" s="74" t="inlineStr">
        <is>
          <t xml:space="preserve">Sim</t>
        </is>
      </c>
      <c r="I44" s="74" t="inlineStr">
        <is>
          <t xml:space="preserve">Sim</t>
        </is>
      </c>
      <c r="J44" s="74" t="inlineStr">
        <is>
          <t xml:space="preserve">Sim</t>
        </is>
      </c>
      <c r="K44" s="74" t="inlineStr">
        <is>
          <t xml:space="preserve">Sim</t>
        </is>
      </c>
      <c r="L44" s="74" t="inlineStr">
        <is>
          <t xml:space="preserve">Sim</t>
        </is>
      </c>
      <c r="M44" s="74" t="inlineStr">
        <is>
          <t xml:space="preserve">Sim</t>
        </is>
      </c>
      <c r="N44" s="74" t="inlineStr">
        <is>
          <t xml:space="preserve">Sim</t>
        </is>
      </c>
      <c r="O44" s="74" t="inlineStr">
        <is>
          <t xml:space="preserve">Sim</t>
        </is>
      </c>
      <c r="P44" s="74" t="inlineStr">
        <is>
          <t xml:space="preserve">Sim</t>
        </is>
      </c>
      <c r="Q44" s="74" t="inlineStr">
        <is>
          <t xml:space="preserve">Sim</t>
        </is>
      </c>
      <c r="R44" s="74" t="inlineStr">
        <is>
          <t xml:space="preserve">Sim</t>
        </is>
      </c>
      <c r="S44" s="74" t="inlineStr">
        <is>
          <t xml:space="preserve">Sim</t>
        </is>
      </c>
      <c r="T44" s="74" t="inlineStr">
        <is>
          <t xml:space="preserve">Sim</t>
        </is>
      </c>
      <c r="U44" s="74" t="inlineStr">
        <is>
          <t xml:space="preserve">Sim</t>
        </is>
      </c>
      <c r="V44" s="74" t="inlineStr">
        <is>
          <t xml:space="preserve">Sim</t>
        </is>
      </c>
    </row>
    <row r="45">
      <c r="A45" s="77">
        <v>11</v>
      </c>
      <c r="B45" s="78" t="str">
        <f>Config!$B$20&amp;""</f>
        <v/>
      </c>
      <c r="C45" s="78" t="str">
        <f>IF(Config!$B$20&amp;""="","",IF(Config!$C$20="","JSL",Config!$C$20))</f>
        <v/>
      </c>
      <c r="D45" s="74" t="inlineStr">
        <is>
          <t xml:space="preserve">Sim</t>
        </is>
      </c>
      <c r="E45" s="74" t="inlineStr">
        <is>
          <t xml:space="preserve">Sim</t>
        </is>
      </c>
      <c r="F45" s="74" t="inlineStr">
        <is>
          <t xml:space="preserve">Sim</t>
        </is>
      </c>
      <c r="G45" s="74" t="inlineStr">
        <is>
          <t xml:space="preserve">Sim</t>
        </is>
      </c>
      <c r="H45" s="74" t="inlineStr">
        <is>
          <t xml:space="preserve">Sim</t>
        </is>
      </c>
      <c r="I45" s="74" t="inlineStr">
        <is>
          <t xml:space="preserve">Sim</t>
        </is>
      </c>
      <c r="J45" s="74" t="inlineStr">
        <is>
          <t xml:space="preserve">Sim</t>
        </is>
      </c>
      <c r="K45" s="74" t="inlineStr">
        <is>
          <t xml:space="preserve">Sim</t>
        </is>
      </c>
      <c r="L45" s="74" t="inlineStr">
        <is>
          <t xml:space="preserve">Sim</t>
        </is>
      </c>
      <c r="M45" s="74" t="inlineStr">
        <is>
          <t xml:space="preserve">Sim</t>
        </is>
      </c>
      <c r="N45" s="74" t="inlineStr">
        <is>
          <t xml:space="preserve">Sim</t>
        </is>
      </c>
      <c r="O45" s="74" t="inlineStr">
        <is>
          <t xml:space="preserve">Sim</t>
        </is>
      </c>
      <c r="P45" s="74" t="inlineStr">
        <is>
          <t xml:space="preserve">Sim</t>
        </is>
      </c>
      <c r="Q45" s="74" t="inlineStr">
        <is>
          <t xml:space="preserve">Sim</t>
        </is>
      </c>
      <c r="R45" s="74" t="inlineStr">
        <is>
          <t xml:space="preserve">Sim</t>
        </is>
      </c>
      <c r="S45" s="74" t="inlineStr">
        <is>
          <t xml:space="preserve">Sim</t>
        </is>
      </c>
      <c r="T45" s="74" t="inlineStr">
        <is>
          <t xml:space="preserve">Sim</t>
        </is>
      </c>
      <c r="U45" s="74" t="inlineStr">
        <is>
          <t xml:space="preserve">Sim</t>
        </is>
      </c>
      <c r="V45" s="74" t="inlineStr">
        <is>
          <t xml:space="preserve">Sim</t>
        </is>
      </c>
    </row>
    <row r="46">
      <c r="A46" s="77">
        <v>12</v>
      </c>
      <c r="B46" s="78" t="str">
        <f>Config!$B$21&amp;""</f>
        <v/>
      </c>
      <c r="C46" s="78" t="str">
        <f>IF(Config!$B$21&amp;""="","",IF(Config!$C$21="","JSL",Config!$C$21))</f>
        <v/>
      </c>
      <c r="D46" s="74" t="inlineStr">
        <is>
          <t xml:space="preserve">Sim</t>
        </is>
      </c>
      <c r="E46" s="74" t="inlineStr">
        <is>
          <t xml:space="preserve">Sim</t>
        </is>
      </c>
      <c r="F46" s="74" t="inlineStr">
        <is>
          <t xml:space="preserve">Sim</t>
        </is>
      </c>
      <c r="G46" s="74" t="inlineStr">
        <is>
          <t xml:space="preserve">Sim</t>
        </is>
      </c>
      <c r="H46" s="74" t="inlineStr">
        <is>
          <t xml:space="preserve">Sim</t>
        </is>
      </c>
      <c r="I46" s="74" t="inlineStr">
        <is>
          <t xml:space="preserve">Sim</t>
        </is>
      </c>
      <c r="J46" s="74" t="inlineStr">
        <is>
          <t xml:space="preserve">Sim</t>
        </is>
      </c>
      <c r="K46" s="74" t="inlineStr">
        <is>
          <t xml:space="preserve">Sim</t>
        </is>
      </c>
      <c r="L46" s="74" t="inlineStr">
        <is>
          <t xml:space="preserve">Sim</t>
        </is>
      </c>
      <c r="M46" s="74" t="inlineStr">
        <is>
          <t xml:space="preserve">Sim</t>
        </is>
      </c>
      <c r="N46" s="74" t="inlineStr">
        <is>
          <t xml:space="preserve">Sim</t>
        </is>
      </c>
      <c r="O46" s="74" t="inlineStr">
        <is>
          <t xml:space="preserve">Sim</t>
        </is>
      </c>
      <c r="P46" s="74" t="inlineStr">
        <is>
          <t xml:space="preserve">Sim</t>
        </is>
      </c>
      <c r="Q46" s="74" t="inlineStr">
        <is>
          <t xml:space="preserve">Sim</t>
        </is>
      </c>
      <c r="R46" s="74" t="inlineStr">
        <is>
          <t xml:space="preserve">Sim</t>
        </is>
      </c>
      <c r="S46" s="74" t="inlineStr">
        <is>
          <t xml:space="preserve">Sim</t>
        </is>
      </c>
      <c r="T46" s="74" t="inlineStr">
        <is>
          <t xml:space="preserve">Sim</t>
        </is>
      </c>
      <c r="U46" s="74" t="inlineStr">
        <is>
          <t xml:space="preserve">Sim</t>
        </is>
      </c>
      <c r="V46" s="74" t="inlineStr">
        <is>
          <t xml:space="preserve">Sim</t>
        </is>
      </c>
    </row>
    <row r="47">
      <c r="A47" s="77">
        <v>13</v>
      </c>
      <c r="B47" s="78" t="str">
        <f>Config!$B$22&amp;""</f>
        <v/>
      </c>
      <c r="C47" s="78" t="str">
        <f>IF(Config!$B$22&amp;""="","",IF(Config!$C$22="","JSL",Config!$C$22))</f>
        <v/>
      </c>
      <c r="D47" s="74" t="inlineStr">
        <is>
          <t xml:space="preserve">Sim</t>
        </is>
      </c>
      <c r="E47" s="74" t="inlineStr">
        <is>
          <t xml:space="preserve">Sim</t>
        </is>
      </c>
      <c r="F47" s="74" t="inlineStr">
        <is>
          <t xml:space="preserve">Sim</t>
        </is>
      </c>
      <c r="G47" s="74" t="inlineStr">
        <is>
          <t xml:space="preserve">Sim</t>
        </is>
      </c>
      <c r="H47" s="74" t="inlineStr">
        <is>
          <t xml:space="preserve">Sim</t>
        </is>
      </c>
      <c r="I47" s="74" t="inlineStr">
        <is>
          <t xml:space="preserve">Sim</t>
        </is>
      </c>
      <c r="J47" s="74" t="inlineStr">
        <is>
          <t xml:space="preserve">Sim</t>
        </is>
      </c>
      <c r="K47" s="74" t="inlineStr">
        <is>
          <t xml:space="preserve">Sim</t>
        </is>
      </c>
      <c r="L47" s="74" t="inlineStr">
        <is>
          <t xml:space="preserve">Sim</t>
        </is>
      </c>
      <c r="M47" s="74" t="inlineStr">
        <is>
          <t xml:space="preserve">Sim</t>
        </is>
      </c>
      <c r="N47" s="74" t="inlineStr">
        <is>
          <t xml:space="preserve">Sim</t>
        </is>
      </c>
      <c r="O47" s="74" t="inlineStr">
        <is>
          <t xml:space="preserve">Sim</t>
        </is>
      </c>
      <c r="P47" s="74" t="inlineStr">
        <is>
          <t xml:space="preserve">Sim</t>
        </is>
      </c>
      <c r="Q47" s="74" t="inlineStr">
        <is>
          <t xml:space="preserve">Sim</t>
        </is>
      </c>
      <c r="R47" s="74" t="inlineStr">
        <is>
          <t xml:space="preserve">Sim</t>
        </is>
      </c>
      <c r="S47" s="74" t="inlineStr">
        <is>
          <t xml:space="preserve">Sim</t>
        </is>
      </c>
      <c r="T47" s="74" t="inlineStr">
        <is>
          <t xml:space="preserve">Sim</t>
        </is>
      </c>
      <c r="U47" s="74" t="inlineStr">
        <is>
          <t xml:space="preserve">Sim</t>
        </is>
      </c>
      <c r="V47" s="74" t="inlineStr">
        <is>
          <t xml:space="preserve">Sim</t>
        </is>
      </c>
    </row>
    <row r="48">
      <c r="A48" s="77">
        <v>14</v>
      </c>
      <c r="B48" s="78" t="str">
        <f>Config!$B$23&amp;""</f>
        <v/>
      </c>
      <c r="C48" s="78" t="str">
        <f>IF(Config!$B$23&amp;""="","",IF(Config!$C$23="","JSL",Config!$C$23))</f>
        <v/>
      </c>
      <c r="D48" s="74" t="inlineStr">
        <is>
          <t xml:space="preserve">Sim</t>
        </is>
      </c>
      <c r="E48" s="74" t="inlineStr">
        <is>
          <t xml:space="preserve">Sim</t>
        </is>
      </c>
      <c r="F48" s="74" t="inlineStr">
        <is>
          <t xml:space="preserve">Sim</t>
        </is>
      </c>
      <c r="G48" s="74" t="inlineStr">
        <is>
          <t xml:space="preserve">Sim</t>
        </is>
      </c>
      <c r="H48" s="74" t="inlineStr">
        <is>
          <t xml:space="preserve">Sim</t>
        </is>
      </c>
      <c r="I48" s="74" t="inlineStr">
        <is>
          <t xml:space="preserve">Sim</t>
        </is>
      </c>
      <c r="J48" s="74" t="inlineStr">
        <is>
          <t xml:space="preserve">Sim</t>
        </is>
      </c>
      <c r="K48" s="74" t="inlineStr">
        <is>
          <t xml:space="preserve">Sim</t>
        </is>
      </c>
      <c r="L48" s="74" t="inlineStr">
        <is>
          <t xml:space="preserve">Sim</t>
        </is>
      </c>
      <c r="M48" s="74" t="inlineStr">
        <is>
          <t xml:space="preserve">Sim</t>
        </is>
      </c>
      <c r="N48" s="74" t="inlineStr">
        <is>
          <t xml:space="preserve">Sim</t>
        </is>
      </c>
      <c r="O48" s="74" t="inlineStr">
        <is>
          <t xml:space="preserve">Sim</t>
        </is>
      </c>
      <c r="P48" s="74" t="inlineStr">
        <is>
          <t xml:space="preserve">Sim</t>
        </is>
      </c>
      <c r="Q48" s="74" t="inlineStr">
        <is>
          <t xml:space="preserve">Sim</t>
        </is>
      </c>
      <c r="R48" s="74" t="inlineStr">
        <is>
          <t xml:space="preserve">Sim</t>
        </is>
      </c>
      <c r="S48" s="74" t="inlineStr">
        <is>
          <t xml:space="preserve">Sim</t>
        </is>
      </c>
      <c r="T48" s="74" t="inlineStr">
        <is>
          <t xml:space="preserve">Sim</t>
        </is>
      </c>
      <c r="U48" s="74" t="inlineStr">
        <is>
          <t xml:space="preserve">Sim</t>
        </is>
      </c>
      <c r="V48" s="74" t="inlineStr">
        <is>
          <t xml:space="preserve">Sim</t>
        </is>
      </c>
    </row>
    <row r="49">
      <c r="A49" s="77">
        <v>15</v>
      </c>
      <c r="B49" s="78" t="str">
        <f>Config!$B$24&amp;""</f>
        <v/>
      </c>
      <c r="C49" s="78" t="str">
        <f>IF(Config!$B$24&amp;""="","",IF(Config!$C$24="","JSL",Config!$C$24))</f>
        <v/>
      </c>
      <c r="D49" s="74" t="inlineStr">
        <is>
          <t xml:space="preserve">Sim</t>
        </is>
      </c>
      <c r="E49" s="74" t="inlineStr">
        <is>
          <t xml:space="preserve">Sim</t>
        </is>
      </c>
      <c r="F49" s="74" t="inlineStr">
        <is>
          <t xml:space="preserve">Sim</t>
        </is>
      </c>
      <c r="G49" s="74" t="inlineStr">
        <is>
          <t xml:space="preserve">Sim</t>
        </is>
      </c>
      <c r="H49" s="74" t="inlineStr">
        <is>
          <t xml:space="preserve">Sim</t>
        </is>
      </c>
      <c r="I49" s="74" t="inlineStr">
        <is>
          <t xml:space="preserve">Sim</t>
        </is>
      </c>
      <c r="J49" s="74" t="inlineStr">
        <is>
          <t xml:space="preserve">Sim</t>
        </is>
      </c>
      <c r="K49" s="74" t="inlineStr">
        <is>
          <t xml:space="preserve">Sim</t>
        </is>
      </c>
      <c r="L49" s="74" t="inlineStr">
        <is>
          <t xml:space="preserve">Sim</t>
        </is>
      </c>
      <c r="M49" s="74" t="inlineStr">
        <is>
          <t xml:space="preserve">Sim</t>
        </is>
      </c>
      <c r="N49" s="74" t="inlineStr">
        <is>
          <t xml:space="preserve">Sim</t>
        </is>
      </c>
      <c r="O49" s="74" t="inlineStr">
        <is>
          <t xml:space="preserve">Sim</t>
        </is>
      </c>
      <c r="P49" s="74" t="inlineStr">
        <is>
          <t xml:space="preserve">Sim</t>
        </is>
      </c>
      <c r="Q49" s="74" t="inlineStr">
        <is>
          <t xml:space="preserve">Sim</t>
        </is>
      </c>
      <c r="R49" s="74" t="inlineStr">
        <is>
          <t xml:space="preserve">Sim</t>
        </is>
      </c>
      <c r="S49" s="74" t="inlineStr">
        <is>
          <t xml:space="preserve">Sim</t>
        </is>
      </c>
      <c r="T49" s="74" t="inlineStr">
        <is>
          <t xml:space="preserve">Sim</t>
        </is>
      </c>
      <c r="U49" s="74" t="inlineStr">
        <is>
          <t xml:space="preserve">Sim</t>
        </is>
      </c>
      <c r="V49" s="74" t="inlineStr">
        <is>
          <t xml:space="preserve">Sim</t>
        </is>
      </c>
    </row>
    <row r="50">
      <c r="A50" s="77">
        <v>16</v>
      </c>
      <c r="B50" s="78" t="str">
        <f>Config!$B$25&amp;""</f>
        <v/>
      </c>
      <c r="C50" s="78" t="str">
        <f>IF(Config!$B$25&amp;""="","",IF(Config!$C$25="","JSL",Config!$C$25))</f>
        <v/>
      </c>
      <c r="D50" s="74" t="inlineStr">
        <is>
          <t xml:space="preserve">Sim</t>
        </is>
      </c>
      <c r="E50" s="74" t="inlineStr">
        <is>
          <t xml:space="preserve">Sim</t>
        </is>
      </c>
      <c r="F50" s="74" t="inlineStr">
        <is>
          <t xml:space="preserve">Sim</t>
        </is>
      </c>
      <c r="G50" s="74" t="inlineStr">
        <is>
          <t xml:space="preserve">Sim</t>
        </is>
      </c>
      <c r="H50" s="74" t="inlineStr">
        <is>
          <t xml:space="preserve">Sim</t>
        </is>
      </c>
      <c r="I50" s="74" t="inlineStr">
        <is>
          <t xml:space="preserve">Sim</t>
        </is>
      </c>
      <c r="J50" s="74" t="inlineStr">
        <is>
          <t xml:space="preserve">Sim</t>
        </is>
      </c>
      <c r="K50" s="74" t="inlineStr">
        <is>
          <t xml:space="preserve">Sim</t>
        </is>
      </c>
      <c r="L50" s="74" t="inlineStr">
        <is>
          <t xml:space="preserve">Sim</t>
        </is>
      </c>
      <c r="M50" s="74" t="inlineStr">
        <is>
          <t xml:space="preserve">Sim</t>
        </is>
      </c>
      <c r="N50" s="74" t="inlineStr">
        <is>
          <t xml:space="preserve">Sim</t>
        </is>
      </c>
      <c r="O50" s="74" t="inlineStr">
        <is>
          <t xml:space="preserve">Sim</t>
        </is>
      </c>
      <c r="P50" s="74" t="inlineStr">
        <is>
          <t xml:space="preserve">Sim</t>
        </is>
      </c>
      <c r="Q50" s="74" t="inlineStr">
        <is>
          <t xml:space="preserve">Sim</t>
        </is>
      </c>
      <c r="R50" s="74" t="inlineStr">
        <is>
          <t xml:space="preserve">Sim</t>
        </is>
      </c>
      <c r="S50" s="74" t="inlineStr">
        <is>
          <t xml:space="preserve">Sim</t>
        </is>
      </c>
      <c r="T50" s="74" t="inlineStr">
        <is>
          <t xml:space="preserve">Sim</t>
        </is>
      </c>
      <c r="U50" s="74" t="inlineStr">
        <is>
          <t xml:space="preserve">Sim</t>
        </is>
      </c>
      <c r="V50" s="74" t="inlineStr">
        <is>
          <t xml:space="preserve">Sim</t>
        </is>
      </c>
    </row>
    <row r="51">
      <c r="A51" s="77">
        <v>17</v>
      </c>
      <c r="B51" s="78" t="str">
        <f>Config!$B$26&amp;""</f>
        <v/>
      </c>
      <c r="C51" s="78" t="str">
        <f>IF(Config!$B$26&amp;""="","",IF(Config!$C$26="","JSL",Config!$C$26))</f>
        <v/>
      </c>
      <c r="D51" s="74" t="inlineStr">
        <is>
          <t xml:space="preserve">Sim</t>
        </is>
      </c>
      <c r="E51" s="74" t="inlineStr">
        <is>
          <t xml:space="preserve">Sim</t>
        </is>
      </c>
      <c r="F51" s="74" t="inlineStr">
        <is>
          <t xml:space="preserve">Sim</t>
        </is>
      </c>
      <c r="G51" s="74" t="inlineStr">
        <is>
          <t xml:space="preserve">Sim</t>
        </is>
      </c>
      <c r="H51" s="74" t="inlineStr">
        <is>
          <t xml:space="preserve">Sim</t>
        </is>
      </c>
      <c r="I51" s="74" t="inlineStr">
        <is>
          <t xml:space="preserve">Sim</t>
        </is>
      </c>
      <c r="J51" s="74" t="inlineStr">
        <is>
          <t xml:space="preserve">Sim</t>
        </is>
      </c>
      <c r="K51" s="74" t="inlineStr">
        <is>
          <t xml:space="preserve">Sim</t>
        </is>
      </c>
      <c r="L51" s="74" t="inlineStr">
        <is>
          <t xml:space="preserve">Sim</t>
        </is>
      </c>
      <c r="M51" s="74" t="inlineStr">
        <is>
          <t xml:space="preserve">Sim</t>
        </is>
      </c>
      <c r="N51" s="74" t="inlineStr">
        <is>
          <t xml:space="preserve">Sim</t>
        </is>
      </c>
      <c r="O51" s="74" t="inlineStr">
        <is>
          <t xml:space="preserve">Sim</t>
        </is>
      </c>
      <c r="P51" s="74" t="inlineStr">
        <is>
          <t xml:space="preserve">Sim</t>
        </is>
      </c>
      <c r="Q51" s="74" t="inlineStr">
        <is>
          <t xml:space="preserve">Sim</t>
        </is>
      </c>
      <c r="R51" s="74" t="inlineStr">
        <is>
          <t xml:space="preserve">Sim</t>
        </is>
      </c>
      <c r="S51" s="74" t="inlineStr">
        <is>
          <t xml:space="preserve">Sim</t>
        </is>
      </c>
      <c r="T51" s="74" t="inlineStr">
        <is>
          <t xml:space="preserve">Sim</t>
        </is>
      </c>
      <c r="U51" s="74" t="inlineStr">
        <is>
          <t xml:space="preserve">Sim</t>
        </is>
      </c>
      <c r="V51" s="74" t="inlineStr">
        <is>
          <t xml:space="preserve">Sim</t>
        </is>
      </c>
    </row>
    <row r="52">
      <c r="A52" s="77">
        <v>18</v>
      </c>
      <c r="B52" s="78" t="str">
        <f>Config!$B$27&amp;""</f>
        <v/>
      </c>
      <c r="C52" s="78" t="str">
        <f>IF(Config!$B$27&amp;""="","",IF(Config!$C$27="","JSL",Config!$C$27))</f>
        <v/>
      </c>
      <c r="D52" s="74" t="inlineStr">
        <is>
          <t xml:space="preserve">Sim</t>
        </is>
      </c>
      <c r="E52" s="74" t="inlineStr">
        <is>
          <t xml:space="preserve">Sim</t>
        </is>
      </c>
      <c r="F52" s="74" t="inlineStr">
        <is>
          <t xml:space="preserve">Sim</t>
        </is>
      </c>
      <c r="G52" s="74" t="inlineStr">
        <is>
          <t xml:space="preserve">Sim</t>
        </is>
      </c>
      <c r="H52" s="74" t="inlineStr">
        <is>
          <t xml:space="preserve">Sim</t>
        </is>
      </c>
      <c r="I52" s="74" t="inlineStr">
        <is>
          <t xml:space="preserve">Sim</t>
        </is>
      </c>
      <c r="J52" s="74" t="inlineStr">
        <is>
          <t xml:space="preserve">Sim</t>
        </is>
      </c>
      <c r="K52" s="74" t="inlineStr">
        <is>
          <t xml:space="preserve">Sim</t>
        </is>
      </c>
      <c r="L52" s="74" t="inlineStr">
        <is>
          <t xml:space="preserve">Sim</t>
        </is>
      </c>
      <c r="M52" s="74" t="inlineStr">
        <is>
          <t xml:space="preserve">Sim</t>
        </is>
      </c>
      <c r="N52" s="74" t="inlineStr">
        <is>
          <t xml:space="preserve">Sim</t>
        </is>
      </c>
      <c r="O52" s="74" t="inlineStr">
        <is>
          <t xml:space="preserve">Sim</t>
        </is>
      </c>
      <c r="P52" s="74" t="inlineStr">
        <is>
          <t xml:space="preserve">Sim</t>
        </is>
      </c>
      <c r="Q52" s="74" t="inlineStr">
        <is>
          <t xml:space="preserve">Sim</t>
        </is>
      </c>
      <c r="R52" s="74" t="inlineStr">
        <is>
          <t xml:space="preserve">Sim</t>
        </is>
      </c>
      <c r="S52" s="74" t="inlineStr">
        <is>
          <t xml:space="preserve">Sim</t>
        </is>
      </c>
      <c r="T52" s="74" t="inlineStr">
        <is>
          <t xml:space="preserve">Sim</t>
        </is>
      </c>
      <c r="U52" s="74" t="inlineStr">
        <is>
          <t xml:space="preserve">Sim</t>
        </is>
      </c>
      <c r="V52" s="74" t="inlineStr">
        <is>
          <t xml:space="preserve">Sim</t>
        </is>
      </c>
    </row>
    <row r="53">
      <c r="A53" s="77">
        <v>19</v>
      </c>
      <c r="B53" s="78" t="str">
        <f>Config!$B$28&amp;""</f>
        <v/>
      </c>
      <c r="C53" s="78" t="str">
        <f>IF(Config!$B$28&amp;""="","",IF(Config!$C$28="","JSL",Config!$C$28))</f>
        <v/>
      </c>
      <c r="D53" s="74" t="inlineStr">
        <is>
          <t xml:space="preserve">Sim</t>
        </is>
      </c>
      <c r="E53" s="74" t="inlineStr">
        <is>
          <t xml:space="preserve">Sim</t>
        </is>
      </c>
      <c r="F53" s="74" t="inlineStr">
        <is>
          <t xml:space="preserve">Sim</t>
        </is>
      </c>
      <c r="G53" s="74" t="inlineStr">
        <is>
          <t xml:space="preserve">Sim</t>
        </is>
      </c>
      <c r="H53" s="74" t="inlineStr">
        <is>
          <t xml:space="preserve">Sim</t>
        </is>
      </c>
      <c r="I53" s="74" t="inlineStr">
        <is>
          <t xml:space="preserve">Sim</t>
        </is>
      </c>
      <c r="J53" s="74" t="inlineStr">
        <is>
          <t xml:space="preserve">Sim</t>
        </is>
      </c>
      <c r="K53" s="74" t="inlineStr">
        <is>
          <t xml:space="preserve">Sim</t>
        </is>
      </c>
      <c r="L53" s="74" t="inlineStr">
        <is>
          <t xml:space="preserve">Sim</t>
        </is>
      </c>
      <c r="M53" s="74" t="inlineStr">
        <is>
          <t xml:space="preserve">Sim</t>
        </is>
      </c>
      <c r="N53" s="74" t="inlineStr">
        <is>
          <t xml:space="preserve">Sim</t>
        </is>
      </c>
      <c r="O53" s="74" t="inlineStr">
        <is>
          <t xml:space="preserve">Sim</t>
        </is>
      </c>
      <c r="P53" s="74" t="inlineStr">
        <is>
          <t xml:space="preserve">Sim</t>
        </is>
      </c>
      <c r="Q53" s="74" t="inlineStr">
        <is>
          <t xml:space="preserve">Sim</t>
        </is>
      </c>
      <c r="R53" s="74" t="inlineStr">
        <is>
          <t xml:space="preserve">Sim</t>
        </is>
      </c>
      <c r="S53" s="74" t="inlineStr">
        <is>
          <t xml:space="preserve">Sim</t>
        </is>
      </c>
      <c r="T53" s="74" t="inlineStr">
        <is>
          <t xml:space="preserve">Sim</t>
        </is>
      </c>
      <c r="U53" s="74" t="inlineStr">
        <is>
          <t xml:space="preserve">Sim</t>
        </is>
      </c>
      <c r="V53" s="74" t="inlineStr">
        <is>
          <t xml:space="preserve">Sim</t>
        </is>
      </c>
    </row>
    <row r="54">
      <c r="A54" s="77">
        <v>20</v>
      </c>
      <c r="B54" s="78" t="str">
        <f>Config!$B$29&amp;""</f>
        <v/>
      </c>
      <c r="C54" s="78" t="str">
        <f>IF(Config!$B$29&amp;""="","",IF(Config!$C$29="","JSL",Config!$C$29))</f>
        <v/>
      </c>
      <c r="D54" s="74" t="inlineStr">
        <is>
          <t xml:space="preserve">Sim</t>
        </is>
      </c>
      <c r="E54" s="74" t="inlineStr">
        <is>
          <t xml:space="preserve">Sim</t>
        </is>
      </c>
      <c r="F54" s="74" t="inlineStr">
        <is>
          <t xml:space="preserve">Sim</t>
        </is>
      </c>
      <c r="G54" s="74" t="inlineStr">
        <is>
          <t xml:space="preserve">Sim</t>
        </is>
      </c>
      <c r="H54" s="74" t="inlineStr">
        <is>
          <t xml:space="preserve">Sim</t>
        </is>
      </c>
      <c r="I54" s="74" t="inlineStr">
        <is>
          <t xml:space="preserve">Sim</t>
        </is>
      </c>
      <c r="J54" s="74" t="inlineStr">
        <is>
          <t xml:space="preserve">Sim</t>
        </is>
      </c>
      <c r="K54" s="74" t="inlineStr">
        <is>
          <t xml:space="preserve">Sim</t>
        </is>
      </c>
      <c r="L54" s="74" t="inlineStr">
        <is>
          <t xml:space="preserve">Sim</t>
        </is>
      </c>
      <c r="M54" s="74" t="inlineStr">
        <is>
          <t xml:space="preserve">Sim</t>
        </is>
      </c>
      <c r="N54" s="74" t="inlineStr">
        <is>
          <t xml:space="preserve">Sim</t>
        </is>
      </c>
      <c r="O54" s="74" t="inlineStr">
        <is>
          <t xml:space="preserve">Sim</t>
        </is>
      </c>
      <c r="P54" s="74" t="inlineStr">
        <is>
          <t xml:space="preserve">Sim</t>
        </is>
      </c>
      <c r="Q54" s="74" t="inlineStr">
        <is>
          <t xml:space="preserve">Sim</t>
        </is>
      </c>
      <c r="R54" s="74" t="inlineStr">
        <is>
          <t xml:space="preserve">Sim</t>
        </is>
      </c>
      <c r="S54" s="74" t="inlineStr">
        <is>
          <t xml:space="preserve">Sim</t>
        </is>
      </c>
      <c r="T54" s="74" t="inlineStr">
        <is>
          <t xml:space="preserve">Sim</t>
        </is>
      </c>
      <c r="U54" s="74" t="inlineStr">
        <is>
          <t xml:space="preserve">Sim</t>
        </is>
      </c>
      <c r="V54" s="74" t="inlineStr">
        <is>
          <t xml:space="preserve">Sim</t>
        </is>
      </c>
    </row>
    <row r="58" ht="22" customHeight="1">
      <c r="A58" s="76" t="inlineStr">
        <is>
          <t xml:space="preserve">3 · TEXTOS DO DASHBOARD — renomeie cards, linhas e gráficos (títulos dos gráficos 2 e 3 de cada cliente ficam na tabela 1)</t>
        </is>
      </c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</row>
    <row r="59">
      <c r="A59" s="84" t="inlineStr">
        <is>
          <t xml:space="preserve">Onde aparece</t>
        </is>
      </c>
      <c r="B59" s="85"/>
      <c r="C59" s="86"/>
      <c r="D59" s="84" t="inlineStr">
        <is>
          <t xml:space="preserve">Texto</t>
        </is>
      </c>
      <c r="E59" s="85"/>
      <c r="F59" s="85"/>
      <c r="G59" s="86"/>
    </row>
    <row r="60">
      <c r="A60" s="87" t="inlineStr">
        <is>
          <t xml:space="preserve">Card IN · título</t>
        </is>
      </c>
      <c r="B60" s="88"/>
      <c r="C60" s="89"/>
      <c r="D60" s="90" t="inlineStr">
        <is>
          <t xml:space="preserve">RECEBIMENTO (IN)</t>
        </is>
      </c>
      <c r="E60" s="91"/>
      <c r="F60" s="91"/>
      <c r="G60" s="92"/>
    </row>
    <row r="61">
      <c r="A61" s="87" t="inlineStr">
        <is>
          <t xml:space="preserve">Card IN · legenda do número</t>
        </is>
      </c>
      <c r="B61" s="88"/>
      <c r="C61" s="89"/>
      <c r="D61" s="90" t="inlineStr">
        <is>
          <t xml:space="preserve">veículos recebidos</t>
        </is>
      </c>
      <c r="E61" s="91"/>
      <c r="F61" s="91"/>
      <c r="G61" s="92"/>
    </row>
    <row r="62">
      <c r="A62" s="87" t="inlineStr">
        <is>
          <t xml:space="preserve">Card OUT · título</t>
        </is>
      </c>
      <c r="B62" s="88"/>
      <c r="C62" s="89"/>
      <c r="D62" s="90" t="inlineStr">
        <is>
          <t xml:space="preserve">EXPEDIÇÃO (OUT)</t>
        </is>
      </c>
      <c r="E62" s="91"/>
      <c r="F62" s="91"/>
      <c r="G62" s="92"/>
    </row>
    <row r="63">
      <c r="A63" s="87" t="inlineStr">
        <is>
          <t xml:space="preserve">Card OUT · legenda do número</t>
        </is>
      </c>
      <c r="B63" s="88"/>
      <c r="C63" s="89"/>
      <c r="D63" s="90" t="inlineStr">
        <is>
          <t xml:space="preserve">veículos expedidos</t>
        </is>
      </c>
      <c r="E63" s="91"/>
      <c r="F63" s="91"/>
      <c r="G63" s="92"/>
    </row>
    <row r="64">
      <c r="A64" s="87" t="inlineStr">
        <is>
          <t xml:space="preserve">Card NC · título</t>
        </is>
      </c>
      <c r="B64" s="88"/>
      <c r="C64" s="89"/>
      <c r="D64" s="90" t="inlineStr">
        <is>
          <t xml:space="preserve">NC OPERACIONAL</t>
        </is>
      </c>
      <c r="E64" s="91"/>
      <c r="F64" s="91"/>
      <c r="G64" s="92"/>
    </row>
    <row r="65">
      <c r="A65" s="87" t="inlineStr">
        <is>
          <t xml:space="preserve">Card NC · legenda do número</t>
        </is>
      </c>
      <c r="B65" s="88"/>
      <c r="C65" s="89"/>
      <c r="D65" s="90" t="inlineStr">
        <is>
          <t xml:space="preserve">incidentes no período</t>
        </is>
      </c>
      <c r="E65" s="91"/>
      <c r="F65" s="91"/>
      <c r="G65" s="92"/>
    </row>
    <row r="66">
      <c r="A66" s="87" t="inlineStr">
        <is>
          <t xml:space="preserve">Card NC · linha 1</t>
        </is>
      </c>
      <c r="B66" s="88"/>
      <c r="C66" s="89"/>
      <c r="D66" s="90" t="inlineStr">
        <is>
          <t xml:space="preserve">NO SHOW</t>
        </is>
      </c>
      <c r="E66" s="91"/>
      <c r="F66" s="91"/>
      <c r="G66" s="92"/>
    </row>
    <row r="67">
      <c r="A67" s="87" t="inlineStr">
        <is>
          <t xml:space="preserve">Card NC · linha 2</t>
        </is>
      </c>
      <c r="B67" s="88"/>
      <c r="C67" s="89"/>
      <c r="D67" s="90" t="inlineStr">
        <is>
          <t xml:space="preserve">BACKLOG</t>
        </is>
      </c>
      <c r="E67" s="91"/>
      <c r="F67" s="91"/>
      <c r="G67" s="92"/>
    </row>
    <row r="68">
      <c r="A68" s="87" t="inlineStr">
        <is>
          <t xml:space="preserve">Card Ocupação · título</t>
        </is>
      </c>
      <c r="B68" s="88"/>
      <c r="C68" s="89"/>
      <c r="D68" s="90" t="inlineStr">
        <is>
          <t xml:space="preserve">ÍNDICE DE OCUPAÇÃO (P.P)</t>
        </is>
      </c>
      <c r="E68" s="91"/>
      <c r="F68" s="91"/>
      <c r="G68" s="92"/>
    </row>
    <row r="69">
      <c r="A69" s="87" t="inlineStr">
        <is>
          <t xml:space="preserve">Card Ocupação · posições (cliente)</t>
        </is>
      </c>
      <c r="B69" s="88"/>
      <c r="C69" s="89"/>
      <c r="D69" s="90" t="inlineStr">
        <is>
          <t xml:space="preserve">CONTRATADA</t>
        </is>
      </c>
      <c r="E69" s="91"/>
      <c r="F69" s="91"/>
      <c r="G69" s="92"/>
    </row>
    <row r="70">
      <c r="A70" s="87" t="inlineStr">
        <is>
          <t xml:space="preserve">Card Ocupação · posições (Todos / depósito)</t>
        </is>
      </c>
      <c r="B70" s="88"/>
      <c r="C70" s="89"/>
      <c r="D70" s="90" t="inlineStr">
        <is>
          <t xml:space="preserve">ARMAZÉM</t>
        </is>
      </c>
      <c r="E70" s="91"/>
      <c r="F70" s="91"/>
      <c r="G70" s="92"/>
    </row>
    <row r="71">
      <c r="A71" s="87" t="inlineStr">
        <is>
          <t xml:space="preserve">Card Ocupação · ocupadas</t>
        </is>
      </c>
      <c r="B71" s="88"/>
      <c r="C71" s="89"/>
      <c r="D71" s="90" t="inlineStr">
        <is>
          <t xml:space="preserve">OCUPADA</t>
        </is>
      </c>
      <c r="E71" s="91"/>
      <c r="F71" s="91"/>
      <c r="G71" s="92"/>
    </row>
    <row r="72">
      <c r="A72" s="87" t="inlineStr">
        <is>
          <t xml:space="preserve">Card Ocupação · taxa</t>
        </is>
      </c>
      <c r="B72" s="88"/>
      <c r="C72" s="89"/>
      <c r="D72" s="90" t="inlineStr">
        <is>
          <t xml:space="preserve">TX OCUPAÇÃO</t>
        </is>
      </c>
      <c r="E72" s="91"/>
      <c r="F72" s="91"/>
      <c r="G72" s="92"/>
    </row>
    <row r="73">
      <c r="A73" s="87" t="inlineStr">
        <is>
          <t xml:space="preserve">Card Ocupação · ociosidade</t>
        </is>
      </c>
      <c r="B73" s="88"/>
      <c r="C73" s="89"/>
      <c r="D73" s="90" t="inlineStr">
        <is>
          <t xml:space="preserve">OCIOSIDADE</t>
        </is>
      </c>
      <c r="E73" s="91"/>
      <c r="F73" s="91"/>
      <c r="G73" s="92"/>
    </row>
    <row r="74">
      <c r="A74" s="87" t="inlineStr">
        <is>
          <t xml:space="preserve">Card Gente · título</t>
        </is>
      </c>
      <c r="B74" s="88"/>
      <c r="C74" s="89"/>
      <c r="D74" s="90" t="inlineStr">
        <is>
          <t xml:space="preserve">GENTE</t>
        </is>
      </c>
      <c r="E74" s="91"/>
      <c r="F74" s="91"/>
      <c r="G74" s="92"/>
    </row>
    <row r="75">
      <c r="A75" s="87" t="inlineStr">
        <is>
          <t xml:space="preserve">Card Gente · linha 1</t>
        </is>
      </c>
      <c r="B75" s="88"/>
      <c r="C75" s="89"/>
      <c r="D75" s="90" t="inlineStr">
        <is>
          <t xml:space="preserve">EFETIVO</t>
        </is>
      </c>
      <c r="E75" s="91"/>
      <c r="F75" s="91"/>
      <c r="G75" s="92"/>
    </row>
    <row r="76">
      <c r="A76" s="87" t="inlineStr">
        <is>
          <t xml:space="preserve">Card Gente · linha 2</t>
        </is>
      </c>
      <c r="B76" s="88"/>
      <c r="C76" s="89"/>
      <c r="D76" s="90" t="inlineStr">
        <is>
          <t xml:space="preserve">ABSENTEÍSMO (H/H)</t>
        </is>
      </c>
      <c r="E76" s="91"/>
      <c r="F76" s="91"/>
      <c r="G76" s="92"/>
    </row>
    <row r="77">
      <c r="A77" s="87" t="inlineStr">
        <is>
          <t xml:space="preserve">Card Gente · linha 3</t>
        </is>
      </c>
      <c r="B77" s="88"/>
      <c r="C77" s="89"/>
      <c r="D77" s="90" t="inlineStr">
        <is>
          <t xml:space="preserve">FÉRIAS</t>
        </is>
      </c>
      <c r="E77" s="91"/>
      <c r="F77" s="91"/>
      <c r="G77" s="92"/>
    </row>
    <row r="78">
      <c r="A78" s="87" t="inlineStr">
        <is>
          <t xml:space="preserve">Card Gente · linha 4</t>
        </is>
      </c>
      <c r="B78" s="88"/>
      <c r="C78" s="89"/>
      <c r="D78" s="90" t="inlineStr">
        <is>
          <t xml:space="preserve">TURNOVER</t>
        </is>
      </c>
      <c r="E78" s="91"/>
      <c r="F78" s="91"/>
      <c r="G78" s="92"/>
    </row>
    <row r="79">
      <c r="A79" s="87" t="inlineStr">
        <is>
          <t xml:space="preserve">Card Gente · linha 5</t>
        </is>
      </c>
      <c r="B79" s="88"/>
      <c r="C79" s="89"/>
      <c r="D79" s="90" t="inlineStr">
        <is>
          <t xml:space="preserve">DESVIOS COMPORTAM.</t>
        </is>
      </c>
      <c r="E79" s="91"/>
      <c r="F79" s="91"/>
      <c r="G79" s="92"/>
    </row>
    <row r="80">
      <c r="A80" s="87" t="inlineStr">
        <is>
          <t xml:space="preserve">Card Gente · linha 6</t>
        </is>
      </c>
      <c r="B80" s="88"/>
      <c r="C80" s="89"/>
      <c r="D80" s="90" t="inlineStr">
        <is>
          <t xml:space="preserve">ACIDENTES (CAF/SAF)</t>
        </is>
      </c>
      <c r="E80" s="91"/>
      <c r="F80" s="91"/>
      <c r="G80" s="92"/>
    </row>
    <row r="81">
      <c r="A81" s="87" t="inlineStr">
        <is>
          <t xml:space="preserve">Gráfico 1 · título</t>
        </is>
      </c>
      <c r="B81" s="88"/>
      <c r="C81" s="89"/>
      <c r="D81" s="90" t="inlineStr">
        <is>
          <t xml:space="preserve">MOVIMENTAÇÃO VEÍCULO/DIA</t>
        </is>
      </c>
      <c r="E81" s="91"/>
      <c r="F81" s="91"/>
      <c r="G81" s="92"/>
    </row>
    <row r="82">
      <c r="A82" s="87" t="inlineStr">
        <is>
          <t xml:space="preserve">Gráfico 1 · série IN</t>
        </is>
      </c>
      <c r="B82" s="88"/>
      <c r="C82" s="89"/>
      <c r="D82" s="90" t="inlineStr">
        <is>
          <t xml:space="preserve">Recebidos (IN)</t>
        </is>
      </c>
      <c r="E82" s="91"/>
      <c r="F82" s="91"/>
      <c r="G82" s="92"/>
    </row>
    <row r="83">
      <c r="A83" s="87" t="inlineStr">
        <is>
          <t xml:space="preserve">Gráfico 1 · série OUT</t>
        </is>
      </c>
      <c r="B83" s="88"/>
      <c r="C83" s="89"/>
      <c r="D83" s="90" t="inlineStr">
        <is>
          <t xml:space="preserve">Expedidos (OUT)</t>
        </is>
      </c>
      <c r="E83" s="91"/>
      <c r="F83" s="91"/>
      <c r="G83" s="92"/>
    </row>
    <row r="84">
      <c r="A84" s="87" t="inlineStr">
        <is>
          <t xml:space="preserve">Gráfico ocupação · título</t>
        </is>
      </c>
      <c r="B84" s="88"/>
      <c r="C84" s="89"/>
      <c r="D84" s="90" t="inlineStr">
        <is>
          <t xml:space="preserve">OCUPAÇÃO DIÁRIA</t>
        </is>
      </c>
      <c r="E84" s="91"/>
      <c r="F84" s="91"/>
      <c r="G84" s="92"/>
    </row>
    <row r="85">
      <c r="A85" s="87" t="inlineStr">
        <is>
          <t xml:space="preserve">Gráfico ocupação · título (só ocupadas)</t>
        </is>
      </c>
      <c r="B85" s="88"/>
      <c r="C85" s="89"/>
      <c r="D85" s="90" t="inlineStr">
        <is>
          <t xml:space="preserve">POSIÇÕES OCUPADAS/DIA</t>
        </is>
      </c>
      <c r="E85" s="91"/>
      <c r="F85" s="91"/>
      <c r="G85" s="92"/>
    </row>
    <row r="86">
      <c r="A86" s="87" t="inlineStr">
        <is>
          <t xml:space="preserve">Gráfico ocupação · título (não se aplica)</t>
        </is>
      </c>
      <c r="B86" s="88"/>
      <c r="C86" s="89"/>
      <c r="D86" s="90" t="inlineStr">
        <is>
          <t xml:space="preserve">OCUPAÇÃO — NÃO SE APLICA</t>
        </is>
      </c>
      <c r="E86" s="91"/>
      <c r="F86" s="91"/>
      <c r="G86" s="92"/>
    </row>
    <row r="87">
      <c r="A87" s="87" t="inlineStr">
        <is>
          <t xml:space="preserve">Gráfico ocupação · série ocupada</t>
        </is>
      </c>
      <c r="B87" s="88"/>
      <c r="C87" s="89"/>
      <c r="D87" s="90" t="inlineStr">
        <is>
          <t xml:space="preserve">Ocupada (p.p)</t>
        </is>
      </c>
      <c r="E87" s="91"/>
      <c r="F87" s="91"/>
      <c r="G87" s="92"/>
    </row>
    <row r="88">
      <c r="A88" s="87" t="inlineStr">
        <is>
          <t xml:space="preserve">Gráfico ocupação · linha (cliente)</t>
        </is>
      </c>
      <c r="B88" s="88"/>
      <c r="C88" s="89"/>
      <c r="D88" s="90" t="inlineStr">
        <is>
          <t xml:space="preserve">Contratada (p.p)</t>
        </is>
      </c>
      <c r="E88" s="91"/>
      <c r="F88" s="91"/>
      <c r="G88" s="92"/>
    </row>
    <row r="89">
      <c r="A89" s="87" t="inlineStr">
        <is>
          <t xml:space="preserve">Gráfico ocupação · linha (Todos / depósito)</t>
        </is>
      </c>
      <c r="B89" s="88"/>
      <c r="C89" s="89"/>
      <c r="D89" s="90" t="inlineStr">
        <is>
          <t xml:space="preserve">Capacidade do armazém (p.p)</t>
        </is>
      </c>
      <c r="E89" s="91"/>
      <c r="F89" s="91"/>
      <c r="G89" s="92"/>
    </row>
    <row r="93" ht="22" customHeight="1">
      <c r="A93" s="76" t="inlineStr">
        <is>
          <t xml:space="preserve">4 · PARÂMETROS — capacidade do armazém (posições) e faixas da taxa de ocupação</t>
        </is>
      </c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</row>
    <row r="94">
      <c r="A94" s="84" t="inlineStr">
        <is>
          <t xml:space="preserve">Parâmetro</t>
        </is>
      </c>
      <c r="B94" s="86"/>
      <c r="C94" s="16" t="inlineStr">
        <is>
          <t xml:space="preserve">Valor</t>
        </is>
      </c>
    </row>
    <row r="95">
      <c r="A95" s="87" t="inlineStr">
        <is>
          <t xml:space="preserve">Capacidade do armazém JSL (posições)</t>
        </is>
      </c>
      <c r="B95" s="89"/>
      <c r="C95" s="93">
        <v>5872</v>
      </c>
    </row>
    <row r="96">
      <c r="A96" s="87" t="inlineStr">
        <is>
          <t xml:space="preserve">Ocupação · faixa de atenção (amarelo a partir de)</t>
        </is>
      </c>
      <c r="B96" s="89"/>
      <c r="C96" s="94">
        <v>0.7</v>
      </c>
    </row>
    <row r="97">
      <c r="A97" s="87" t="inlineStr">
        <is>
          <t xml:space="preserve">Ocupação · faixa alta (verde a partir de)</t>
        </is>
      </c>
      <c r="B97" s="89"/>
      <c r="C97" s="94">
        <v>0.9</v>
      </c>
    </row>
  </sheetData>
  <sheetProtection password="CC30" sheet="1" objects="1" scenarios="1"/>
  <mergeCells count="76">
    <mergeCell ref="A1:T1"/>
    <mergeCell ref="A2:T2"/>
    <mergeCell ref="A3:T3"/>
    <mergeCell ref="A4:T4"/>
    <mergeCell ref="A5:T5"/>
    <mergeCell ref="Y7:AE7"/>
    <mergeCell ref="A7:T7"/>
    <mergeCell ref="A33:T33"/>
    <mergeCell ref="A58:T58"/>
    <mergeCell ref="A59:C59"/>
    <mergeCell ref="D59:G59"/>
    <mergeCell ref="A60:C60"/>
    <mergeCell ref="D60:G60"/>
    <mergeCell ref="A61:C61"/>
    <mergeCell ref="D61:G61"/>
    <mergeCell ref="A62:C62"/>
    <mergeCell ref="D62:G62"/>
    <mergeCell ref="A63:C63"/>
    <mergeCell ref="D63:G63"/>
    <mergeCell ref="A64:C64"/>
    <mergeCell ref="D64:G64"/>
    <mergeCell ref="A65:C65"/>
    <mergeCell ref="D65:G65"/>
    <mergeCell ref="A66:C66"/>
    <mergeCell ref="D66:G66"/>
    <mergeCell ref="A67:C67"/>
    <mergeCell ref="D67:G67"/>
    <mergeCell ref="A68:C68"/>
    <mergeCell ref="D68:G68"/>
    <mergeCell ref="A69:C69"/>
    <mergeCell ref="D69:G69"/>
    <mergeCell ref="A70:C70"/>
    <mergeCell ref="D70:G70"/>
    <mergeCell ref="A71:C71"/>
    <mergeCell ref="D71:G71"/>
    <mergeCell ref="A72:C72"/>
    <mergeCell ref="D72:G72"/>
    <mergeCell ref="A73:C73"/>
    <mergeCell ref="D73:G73"/>
    <mergeCell ref="A74:C74"/>
    <mergeCell ref="D74:G74"/>
    <mergeCell ref="A75:C75"/>
    <mergeCell ref="D75:G75"/>
    <mergeCell ref="A76:C76"/>
    <mergeCell ref="D76:G76"/>
    <mergeCell ref="A77:C77"/>
    <mergeCell ref="D77:G77"/>
    <mergeCell ref="A78:C78"/>
    <mergeCell ref="D78:G78"/>
    <mergeCell ref="A79:C79"/>
    <mergeCell ref="D79:G79"/>
    <mergeCell ref="A80:C80"/>
    <mergeCell ref="D80:G80"/>
    <mergeCell ref="A81:C81"/>
    <mergeCell ref="D81:G81"/>
    <mergeCell ref="A82:C82"/>
    <mergeCell ref="D82:G82"/>
    <mergeCell ref="A83:C83"/>
    <mergeCell ref="D83:G83"/>
    <mergeCell ref="A84:C84"/>
    <mergeCell ref="D84:G84"/>
    <mergeCell ref="A85:C85"/>
    <mergeCell ref="D85:G85"/>
    <mergeCell ref="A86:C86"/>
    <mergeCell ref="D86:G86"/>
    <mergeCell ref="A87:C87"/>
    <mergeCell ref="D87:G87"/>
    <mergeCell ref="A88:C88"/>
    <mergeCell ref="D88:G88"/>
    <mergeCell ref="A89:C89"/>
    <mergeCell ref="D89:G89"/>
    <mergeCell ref="A93:T93"/>
    <mergeCell ref="A94:B94"/>
    <mergeCell ref="A95:B95"/>
    <mergeCell ref="A96:B96"/>
    <mergeCell ref="A97:B97"/>
  </mergeCells>
  <conditionalFormatting sqref="C10:T29">
    <cfRule type="expression" dxfId="5" priority="1" stopIfTrue="1">
      <formula>$B10=""</formula>
    </cfRule>
  </conditionalFormatting>
  <conditionalFormatting sqref="D9:D29">
    <cfRule type="expression" dxfId="3" priority="2">
      <formula>D9="Não se aplica"</formula>
    </cfRule>
  </conditionalFormatting>
  <conditionalFormatting sqref="H9:H29">
    <cfRule type="expression" dxfId="3" priority="3">
      <formula>H9="Não se aplica"</formula>
    </cfRule>
  </conditionalFormatting>
  <conditionalFormatting sqref="L9:L29">
    <cfRule type="expression" dxfId="3" priority="4">
      <formula>L9="Não se aplica"</formula>
    </cfRule>
  </conditionalFormatting>
  <conditionalFormatting sqref="L9:L29">
    <cfRule type="expression" dxfId="4" priority="5">
      <formula>L9="Só ocupadas"</formula>
    </cfRule>
  </conditionalFormatting>
  <conditionalFormatting sqref="D35:V54">
    <cfRule type="expression" dxfId="5" priority="6" stopIfTrue="1">
      <formula>$B35=""</formula>
    </cfRule>
  </conditionalFormatting>
  <conditionalFormatting sqref="D35:V54">
    <cfRule type="expression" dxfId="3" priority="7">
      <formula>D35="Não"</formula>
    </cfRule>
  </conditionalFormatting>
  <dataValidations count="17">
    <dataValidation type="custom" allowBlank="1" showInputMessage="1" showErrorMessage="1" promptTitle="Cliente" prompt="Nome igual ao usado na BD. Apague para liberar a vaga." errorTitle="Nome repetido" error="Este cliente já está cadastrado em outra vaga." sqref="B10:B29">
      <formula1>COUNTIF($B$9:$B$29,B10)=1</formula1>
    </dataValidation>
    <dataValidation type="list" allowBlank="1" showInputMessage="1" showErrorMessage="1" promptTitle="Depósito" prompt="JSL" errorTitle="Valor inválido" error="Escolha um valor da lista." sqref="C10:C29">
      <formula1>"JSL"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E9:E29">
      <formula1>Config!$Y$9:$Y$16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F9:F29">
      <formula1>Config!$Y$9:$Y$16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G9:G29">
      <formula1>Config!$Y$9:$Y$16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I9:I29">
      <formula1>Config!$Y$9:$Y$16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J9:J29">
      <formula1>Config!$Y$9:$Y$16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K9:K29">
      <formula1>Config!$Y$9:$Y$16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M9:M29">
      <formula1>Config!$Y$9:$Y$16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N9:N29">
      <formula1>Config!$Y$9:$Y$16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Q9:Q29">
      <formula1>Config!$Y$9:$Y$16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R9:R29">
      <formula1>Config!$Y$9:$Y$16</formula1>
    </dataValidation>
    <dataValidation type="list" allowBlank="1" showInputMessage="1" showErrorMessage="1" promptTitle="Card" prompt="Sim ou Não se aplica." errorTitle="Valor inválido" error="Escolha um valor da lista." sqref="D9:D29">
      <formula1>"Sim,Não se aplica"</formula1>
    </dataValidation>
    <dataValidation type="list" allowBlank="1" showInputMessage="1" showErrorMessage="1" promptTitle="Card" prompt="Sim ou Não se aplica." errorTitle="Valor inválido" error="Escolha um valor da lista." sqref="H9:H29">
      <formula1>"Sim,Não se aplica"</formula1>
    </dataValidation>
    <dataValidation type="list" allowBlank="1" showInputMessage="1" showErrorMessage="1" promptTitle="Card Ocupação" prompt="Completo, Só ocupadas (sem contratada e taxa) ou Não se aplica." errorTitle="Valor inválido" error="Escolha um valor da lista." sqref="L9:L29">
      <formula1>"Completo,Só ocupadas,Não se aplica"</formula1>
    </dataValidation>
    <dataValidation type="list" allowBlank="1" showInputMessage="1" showErrorMessage="1" promptTitle="Coluna na BD" prompt="Sim = o cliente preenche · Não = coluna bloqueada para o cliente." errorTitle="Valor inválido" error="Escolha um valor da lista." sqref="D35:V54">
      <formula1>"Sim,Não"</formula1>
    </dataValidation>
    <dataValidation type="decimal" operator="greaterThanOrEqual" allowBlank="1" showInputMessage="0" showErrorMessage="1" errorTitle="Valor inválido" error="Use 0 ou um número maior." sqref="C95:C97">
      <formula1>0</formula1>
    </dataValidation>
  </dataValidations>
  <pageMargins left="0.25" right="0.25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V300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38" max="38" width="20" customWidth="1"/>
    <col min="40" max="40" width="22" customWidth="1"/>
    <col min="41" max="41" width="12" customWidth="1"/>
    <col min="43" max="43" width="52" customWidth="1"/>
    <col min="46" max="46" width="14" customWidth="1"/>
    <col min="48" max="48" width="20" customWidth="1"/>
  </cols>
  <sheetData>
    <row r="1">
      <c r="A1" s="26" t="inlineStr">
        <is>
          <t xml:space="preserve">CÁLCULOS — base da aba Consol Mensal (mês e filtro da própria aba) · gerado automaticamente</t>
        </is>
      </c>
    </row>
    <row r="2">
      <c r="A2" s="27" t="inlineStr">
        <is>
          <t xml:space="preserve">Cliente selecionado</t>
        </is>
      </c>
      <c r="B2" s="27" t="str">
        <f>IF(OR('Consol Mensal'!$D$3="",'Consol Mensal'!$D$3="Todos"),"Todos",'Consol Mensal'!$D$3)</f>
        <v>Todos</v>
      </c>
      <c r="C2" s="28">
        <f>IF(LEFT($B$2,9)="Depósito ",2,1)</f>
        <v>1</v>
      </c>
      <c r="D2" s="29" t="str">
        <f>IF($C$2=2,MID($B$2,10,60),$B$2)</f>
        <v>Todos</v>
      </c>
      <c r="E2" s="29" t="str">
        <f>IFERROR(INDEX($AO$12:$AO$32,MATCH($B$2,$AN$12:$AN$32,0)),"")</f>
        <v>JSL</v>
      </c>
    </row>
    <row r="3">
      <c r="A3" s="27" t="inlineStr">
        <is>
          <t xml:space="preserve">Capacidade (posições)</t>
        </is>
      </c>
      <c r="B3" s="30">
        <f>SUM($AU$13:$AU$13)</f>
        <v>5872</v>
      </c>
      <c r="C3" s="31" t="inlineStr">
        <is>
          <t xml:space="preserve">soma dos depósitos (tabela de capacidade à direita, células amarelas)</t>
        </is>
      </c>
    </row>
    <row r="4">
      <c r="A4" s="31" t="inlineStr">
        <is>
          <t xml:space="preserve">Capacidade (repetida p/ fórmulas)</t>
        </is>
      </c>
      <c r="B4" s="32">
        <f>$B$3</f>
        <v>5872</v>
      </c>
    </row>
    <row r="5">
      <c r="A5" s="27" t="inlineStr">
        <is>
          <t xml:space="preserve">Faixa de atenção (ocupação)</t>
        </is>
      </c>
      <c r="B5" s="33">
        <f>N(Config!$C$96)</f>
        <v>0.7</v>
      </c>
      <c r="C5" s="31" t="inlineStr">
        <is>
          <t xml:space="preserve">parâmetros na aba Config</t>
        </is>
      </c>
    </row>
    <row r="6">
      <c r="A6" s="27" t="inlineStr">
        <is>
          <t xml:space="preserve">Faixa crítica (ocupação)</t>
        </is>
      </c>
      <c r="B6" s="33">
        <f>N(Config!$C$97)</f>
        <v>0.9</v>
      </c>
    </row>
    <row r="7">
      <c r="A7" s="27" t="inlineStr">
        <is>
          <t xml:space="preserve">Competência</t>
        </is>
      </c>
      <c r="B7" s="35" t="str">
        <f>INDEX({"Janeiro","Fevereiro","Março","Abril","Maio","Junho","Julho","Agosto","Setembro","Outubro","Novembro","Dezembro"},MONTH($C$7))&amp;"/"&amp;YEAR($C$7)</f>
        <v>Outubro/2026</v>
      </c>
      <c r="C7" s="34">
        <f>IF(ISNUMBER('Consol Mensal'!$V$1),DATE(YEAR('Consol Mensal'!$V$1),MONTH('Consol Mensal'!$V$1),1),IFERROR(DATE(VALUE(RIGHT(TRIM('Consol Mensal'!$V$1),4)),MATCH(TRIM(LEFT('Consol Mensal'!$V$1,FIND("·",'Consol Mensal'!$V$1)-1)),{"JANEIRO","FEVEREIRO","MARÇO","ABRIL","MAIO","JUNHO","JULHO","AGOSTO","SETEMBRO","OUTUBRO","NOVEMBRO","DEZEMBRO"},0),1),DATE(2026,10,1)))</f>
        <v>46296</v>
      </c>
      <c r="D7" s="34">
        <f>DATE(YEAR($C$7),MONTH($C$7)+1,0)</f>
        <v>46326</v>
      </c>
    </row>
    <row r="8">
      <c r="A8" s="27" t="inlineStr">
        <is>
          <t xml:space="preserve">Mês anterior (comparação)</t>
        </is>
      </c>
      <c r="B8" s="35" t="str">
        <f>INDEX({"Janeiro","Fevereiro","Março","Abril","Maio","Junho","Julho","Agosto","Setembro","Outubro","Novembro","Dezembro"},MONTH($C$8))&amp;"/"&amp;YEAR($C$8)</f>
        <v>Setembro/2026</v>
      </c>
      <c r="C8" s="34">
        <f>DATE(YEAR($C$7),MONTH($C$7)-1,1)</f>
        <v>46266</v>
      </c>
      <c r="D8" s="34">
        <f>IF($B$9=0,$C$8-1,$C$8+MIN($B$9,DAY($C$7-1))-1)</f>
        <v>46265</v>
      </c>
    </row>
    <row r="9">
      <c r="A9" s="27" t="inlineStr">
        <is>
          <t xml:space="preserve">Último dia com dado no mês</t>
        </is>
      </c>
      <c r="B9" s="36">
        <f>IF(COUNTIFS(BD!$A$3:$A$5001,"&gt;="&amp;$C$7,BD!$A$3:$A$5001,"&lt;="&amp;$D$7)=0,0,DAY(_xlfn.MAXIFS(BD!$A$3:$A$5001,BD!$A$3:$A$5001,"&gt;="&amp;$C$7,BD!$A$3:$A$5001,"&lt;="&amp;$D$7)))</f>
        <v>0</v>
      </c>
      <c r="C9" s="31" t="inlineStr">
        <is>
          <t xml:space="preserve">o mês anterior é comparado do dia 1 até este dia</t>
        </is>
      </c>
    </row>
    <row r="10">
      <c r="AM10" s="38" t="inlineStr">
        <is>
          <t xml:space="preserve">clientes</t>
        </is>
      </c>
      <c r="AN10" s="39">
        <f>MAX(1,$AP$32)</f>
        <v>5</v>
      </c>
    </row>
    <row r="11" ht="40" customHeight="1">
      <c r="A11" s="37" t="inlineStr">
        <is>
          <t xml:space="preserve">Dia</t>
        </is>
      </c>
      <c r="B11" s="37" t="inlineStr">
        <is>
          <t xml:space="preserve">Data</t>
        </is>
      </c>
      <c r="C11" s="37" t="inlineStr">
        <is>
          <t xml:space="preserve">IN Veículos Recebidos</t>
        </is>
      </c>
      <c r="D11" s="37" t="inlineStr">
        <is>
          <t xml:space="preserve">IN Pallets Movimentados</t>
        </is>
      </c>
      <c r="E11" s="37" t="inlineStr">
        <is>
          <t xml:space="preserve">IN Toneladas Movimentadas</t>
        </is>
      </c>
      <c r="F11" s="37" t="inlineStr">
        <is>
          <t xml:space="preserve">OUT Veículos Expedidos</t>
        </is>
      </c>
      <c r="G11" s="37" t="inlineStr">
        <is>
          <t xml:space="preserve">OUT Pallets Movimentados</t>
        </is>
      </c>
      <c r="H11" s="37" t="inlineStr">
        <is>
          <t xml:space="preserve">OUT Toneladas Movimentadas</t>
        </is>
      </c>
      <c r="I11" s="37" t="inlineStr">
        <is>
          <t xml:space="preserve">NC Incidentes</t>
        </is>
      </c>
      <c r="J11" s="37" t="inlineStr">
        <is>
          <t xml:space="preserve">NC No show</t>
        </is>
      </c>
      <c r="K11" s="37" t="inlineStr">
        <is>
          <t xml:space="preserve">NC Backlog</t>
        </is>
      </c>
      <c r="L11" s="37" t="inlineStr">
        <is>
          <t xml:space="preserve">OCUPAÇÃO (P.P) Posições Disponíveis</t>
        </is>
      </c>
      <c r="M11" s="37" t="inlineStr">
        <is>
          <t xml:space="preserve">OCUPAÇÃO (P.P) Posições Ocupadas</t>
        </is>
      </c>
      <c r="N11" s="37" t="inlineStr">
        <is>
          <t xml:space="preserve">OCUPAÇÃO (P.P) Taxa de Ocupação</t>
        </is>
      </c>
      <c r="O11" s="37" t="inlineStr">
        <is>
          <t xml:space="preserve">GENTE Efetivo Op.</t>
        </is>
      </c>
      <c r="P11" s="37" t="inlineStr">
        <is>
          <t xml:space="preserve">GENTE Falta</t>
        </is>
      </c>
      <c r="Q11" s="37" t="inlineStr">
        <is>
          <t xml:space="preserve">GENTE Folga</t>
        </is>
      </c>
      <c r="R11" s="37" t="inlineStr">
        <is>
          <t xml:space="preserve">GENTE Férias</t>
        </is>
      </c>
      <c r="S11" s="37" t="inlineStr">
        <is>
          <t xml:space="preserve">GENTE Desligamento</t>
        </is>
      </c>
      <c r="T11" s="37" t="inlineStr">
        <is>
          <t xml:space="preserve">GENTE Desvios Comportamentais</t>
        </is>
      </c>
      <c r="U11" s="37" t="inlineStr">
        <is>
          <t xml:space="preserve">GENTE Acidentes CAF</t>
        </is>
      </c>
      <c r="V11" s="37" t="inlineStr">
        <is>
          <t xml:space="preserve">GENTE Acidentes SAF</t>
        </is>
      </c>
      <c r="W11" s="37" t="inlineStr">
        <is>
          <t xml:space="preserve">Faixa atenção</t>
        </is>
      </c>
      <c r="X11" s="37" t="inlineStr">
        <is>
          <t xml:space="preserve">Faixa crítica</t>
        </is>
      </c>
      <c r="AL11" s="37" t="inlineStr">
        <is>
          <t xml:space="preserve">Meses (filtros das abas)</t>
        </is>
      </c>
      <c r="AN11" s="37" t="inlineStr">
        <is>
          <t xml:space="preserve">Filtro: depósito / cliente</t>
        </is>
      </c>
      <c r="AO11" s="37" t="inlineStr">
        <is>
          <t xml:space="preserve">Depósito</t>
        </is>
      </c>
      <c r="AP11" s="37" t="inlineStr">
        <is>
          <t xml:space="preserve">Nº (vagas)</t>
        </is>
      </c>
      <c r="AQ11" s="37" t="inlineStr">
        <is>
          <t xml:space="preserve">Títulos dos gráficos (seguem os filtros)</t>
        </is>
      </c>
    </row>
    <row r="12">
      <c r="A12" s="28">
        <v>1</v>
      </c>
      <c r="B12" s="46">
        <f>IF($A12&lt;=DAY($D$7),$C$7+$A12-1,"")</f>
        <v>46296</v>
      </c>
      <c r="C12" s="32">
        <f>IF($B12="","",IF($B$2="Todos",SUMIFS(BD!$C$3:$C$5001,BD!$A$3:$A$5001,$B12),SUMIFS(BD!$C$3:$C$5001,BD!$A$3:$A$5001,$B12,BD!$B$3:$B$5001,$D$2)))</f>
        <v>0</v>
      </c>
      <c r="D12" s="32">
        <f>IF($B12="","",IF($B$2="Todos",SUMIFS(BD!$D$3:$D$5001,BD!$A$3:$A$5001,$B12),SUMIFS(BD!$D$3:$D$5001,BD!$A$3:$A$5001,$B12,BD!$B$3:$B$5001,$D$2)))</f>
        <v>0</v>
      </c>
      <c r="E12" s="47">
        <f>IF($B12="","",IF($B$2="Todos",SUMIFS(BD!$E$3:$E$5001,BD!$A$3:$A$5001,$B12),SUMIFS(BD!$E$3:$E$5001,BD!$A$3:$A$5001,$B12,BD!$B$3:$B$5001,$D$2)))</f>
        <v>0</v>
      </c>
      <c r="F12" s="32">
        <f>IF($B12="","",IF($B$2="Todos",SUMIFS(BD!$F$3:$F$5001,BD!$A$3:$A$5001,$B12),SUMIFS(BD!$F$3:$F$5001,BD!$A$3:$A$5001,$B12,BD!$B$3:$B$5001,$D$2)))</f>
        <v>0</v>
      </c>
      <c r="G12" s="32">
        <f>IF($B12="","",IF($B$2="Todos",SUMIFS(BD!$G$3:$G$5001,BD!$A$3:$A$5001,$B12),SUMIFS(BD!$G$3:$G$5001,BD!$A$3:$A$5001,$B12,BD!$B$3:$B$5001,$D$2)))</f>
        <v>0</v>
      </c>
      <c r="H12" s="47">
        <f>IF($B12="","",IF($B$2="Todos",SUMIFS(BD!$H$3:$H$5001,BD!$A$3:$A$5001,$B12),SUMIFS(BD!$H$3:$H$5001,BD!$A$3:$A$5001,$B12,BD!$B$3:$B$5001,$D$2)))</f>
        <v>0</v>
      </c>
      <c r="I12" s="32">
        <f>IF($B12="","",IF($B$2="Todos",SUMIFS(BD!$I$3:$I$5001,BD!$A$3:$A$5001,$B12),SUMIFS(BD!$I$3:$I$5001,BD!$A$3:$A$5001,$B12,BD!$B$3:$B$5001,$D$2)))</f>
        <v>0</v>
      </c>
      <c r="J12" s="32">
        <f>IF($B12="","",IF($B$2="Todos",SUMIFS(BD!$J$3:$J$5001,BD!$A$3:$A$5001,$B12),SUMIFS(BD!$J$3:$J$5001,BD!$A$3:$A$5001,$B12,BD!$B$3:$B$5001,$D$2)))</f>
        <v>0</v>
      </c>
      <c r="K12" s="32" t="str">
        <f>IF($B$2="Todos",IF(COUNT($C$115:$V$115)=0,"",SUM($C$115:$V$115)),IFERROR(INDEX($C$115:$V$115,MATCH($D$2,$C$114:$V$114,0)),""))</f>
        <v/>
      </c>
      <c r="L12" s="48" t="str">
        <f>IF(M12="","",IF($B$2="Todos",IF($B$4&gt;0,$B$4,IF($B$2="Todos",IF(COUNT($C$185:$V$185)=0,"",SUM($C$185:$V$185)),IFERROR(INDEX($C$185:$V$185,MATCH($D$2,$C$184:$V$184,0)),""))),IFERROR(INDEX($C$185:$V$185,MATCH($D$2,$C$184:$V$184,0)),"")))</f>
        <v/>
      </c>
      <c r="M12" s="32" t="str">
        <f>IF($B$2="Todos",IF(COUNT($C$150:$V$150)=0,"",SUM($C$150:$V$150)),IFERROR(INDEX($C$150:$V$150,MATCH($D$2,$C$149:$V$149,0)),""))</f>
        <v/>
      </c>
      <c r="N12" s="49" t="str">
        <f>IF(AND(ISNUMBER(M12),ISNUMBER(L12)),IF(L12&gt;0,M12/L12,""),"")</f>
        <v/>
      </c>
      <c r="O12" s="32" t="str">
        <f>IF($B$2="Todos",IF(COUNT($C$220:$V$220)=0,"",SUM($C$220:$V$220)),IFERROR(INDEX($C$220:$V$220,MATCH($D$2,$C$219:$V$219,0)),""))</f>
        <v/>
      </c>
      <c r="P12" s="32">
        <f>IF($B12="","",IF($B$2="Todos",SUMIFS(BD!$O$3:$O$5001,BD!$A$3:$A$5001,$B12),SUMIFS(BD!$O$3:$O$5001,BD!$A$3:$A$5001,$B12,BD!$B$3:$B$5001,$D$2)))</f>
        <v>0</v>
      </c>
      <c r="Q12" s="32">
        <f>IF($B12="","",IF($B$2="Todos",SUMIFS(BD!$P$3:$P$5001,BD!$A$3:$A$5001,$B12),SUMIFS(BD!$P$3:$P$5001,BD!$A$3:$A$5001,$B12,BD!$B$3:$B$5001,$D$2)))</f>
        <v>0</v>
      </c>
      <c r="R12" s="32">
        <f>IF($B12="","",IF($B$2="Todos",SUMIFS(BD!$Q$3:$Q$5001,BD!$A$3:$A$5001,$B12),SUMIFS(BD!$Q$3:$Q$5001,BD!$A$3:$A$5001,$B12,BD!$B$3:$B$5001,$D$2)))</f>
        <v>0</v>
      </c>
      <c r="S12" s="32">
        <f>IF($B12="","",IF($B$2="Todos",SUMIFS(BD!$R$3:$R$5001,BD!$A$3:$A$5001,$B12),SUMIFS(BD!$R$3:$R$5001,BD!$A$3:$A$5001,$B12,BD!$B$3:$B$5001,$D$2)))</f>
        <v>0</v>
      </c>
      <c r="T12" s="32">
        <f>IF($B12="","",IF($B$2="Todos",SUMIFS(BD!$S$3:$S$5001,BD!$A$3:$A$5001,$B12),SUMIFS(BD!$S$3:$S$5001,BD!$A$3:$A$5001,$B12,BD!$B$3:$B$5001,$D$2)))</f>
        <v>0</v>
      </c>
      <c r="U12" s="32">
        <f>IF($B12="","",IF($B$2="Todos",SUMIFS(BD!$T$3:$T$5001,BD!$A$3:$A$5001,$B12),SUMIFS(BD!$T$3:$T$5001,BD!$A$3:$A$5001,$B12,BD!$B$3:$B$5001,$D$2)))</f>
        <v>0</v>
      </c>
      <c r="V12" s="32">
        <f>IF($B12="","",IF($B$2="Todos",SUMIFS(BD!$U$3:$U$5001,BD!$A$3:$A$5001,$B12),SUMIFS(BD!$U$3:$U$5001,BD!$A$3:$A$5001,$B12,BD!$B$3:$B$5001,$D$2)))</f>
        <v>0</v>
      </c>
      <c r="W12" s="50">
        <f>$B$5</f>
        <v>0.7</v>
      </c>
      <c r="X12" s="50">
        <f>$B$6</f>
        <v>0.9</v>
      </c>
      <c r="AL12" s="29" t="inlineStr">
        <is>
          <t xml:space="preserve">JANEIRO · 2026</t>
        </is>
      </c>
      <c r="AN12" s="29" t="inlineStr">
        <is>
          <t xml:space="preserve">Todos</t>
        </is>
      </c>
      <c r="AO12" s="28" t="inlineStr">
        <is>
          <t xml:space="preserve">JSL</t>
        </is>
      </c>
      <c r="AQ12" s="29" t="str">
        <f>"MOVIMENTAÇÃO FROTA/DIA — "&amp;IF($B$2="Todos","TODOS OS CLIENTES",UPPER($B$2))</f>
        <v>MOVIMENTAÇÃO FROTA/DIA — TODOS OS CLIENTES</v>
      </c>
      <c r="AT12" s="37" t="inlineStr">
        <is>
          <t xml:space="preserve">Capacidade por depósito</t>
        </is>
      </c>
      <c r="AU12" s="37" t="inlineStr">
        <is>
          <t xml:space="preserve">Posições</t>
        </is>
      </c>
    </row>
    <row r="13">
      <c r="A13" s="28">
        <v>2</v>
      </c>
      <c r="B13" s="46">
        <f>IF($A13&lt;=DAY($D$7),$C$7+$A13-1,"")</f>
        <v>46297</v>
      </c>
      <c r="C13" s="32">
        <f>IF($B13="","",IF($B$2="Todos",SUMIFS(BD!$C$3:$C$5001,BD!$A$3:$A$5001,$B13),SUMIFS(BD!$C$3:$C$5001,BD!$A$3:$A$5001,$B13,BD!$B$3:$B$5001,$D$2)))</f>
        <v>0</v>
      </c>
      <c r="D13" s="32">
        <f>IF($B13="","",IF($B$2="Todos",SUMIFS(BD!$D$3:$D$5001,BD!$A$3:$A$5001,$B13),SUMIFS(BD!$D$3:$D$5001,BD!$A$3:$A$5001,$B13,BD!$B$3:$B$5001,$D$2)))</f>
        <v>0</v>
      </c>
      <c r="E13" s="47">
        <f>IF($B13="","",IF($B$2="Todos",SUMIFS(BD!$E$3:$E$5001,BD!$A$3:$A$5001,$B13),SUMIFS(BD!$E$3:$E$5001,BD!$A$3:$A$5001,$B13,BD!$B$3:$B$5001,$D$2)))</f>
        <v>0</v>
      </c>
      <c r="F13" s="32">
        <f>IF($B13="","",IF($B$2="Todos",SUMIFS(BD!$F$3:$F$5001,BD!$A$3:$A$5001,$B13),SUMIFS(BD!$F$3:$F$5001,BD!$A$3:$A$5001,$B13,BD!$B$3:$B$5001,$D$2)))</f>
        <v>0</v>
      </c>
      <c r="G13" s="32">
        <f>IF($B13="","",IF($B$2="Todos",SUMIFS(BD!$G$3:$G$5001,BD!$A$3:$A$5001,$B13),SUMIFS(BD!$G$3:$G$5001,BD!$A$3:$A$5001,$B13,BD!$B$3:$B$5001,$D$2)))</f>
        <v>0</v>
      </c>
      <c r="H13" s="47">
        <f>IF($B13="","",IF($B$2="Todos",SUMIFS(BD!$H$3:$H$5001,BD!$A$3:$A$5001,$B13),SUMIFS(BD!$H$3:$H$5001,BD!$A$3:$A$5001,$B13,BD!$B$3:$B$5001,$D$2)))</f>
        <v>0</v>
      </c>
      <c r="I13" s="32">
        <f>IF($B13="","",IF($B$2="Todos",SUMIFS(BD!$I$3:$I$5001,BD!$A$3:$A$5001,$B13),SUMIFS(BD!$I$3:$I$5001,BD!$A$3:$A$5001,$B13,BD!$B$3:$B$5001,$D$2)))</f>
        <v>0</v>
      </c>
      <c r="J13" s="32">
        <f>IF($B13="","",IF($B$2="Todos",SUMIFS(BD!$J$3:$J$5001,BD!$A$3:$A$5001,$B13),SUMIFS(BD!$J$3:$J$5001,BD!$A$3:$A$5001,$B13,BD!$B$3:$B$5001,$D$2)))</f>
        <v>0</v>
      </c>
      <c r="K13" s="32" t="str">
        <f>IF($B$2="Todos",IF(COUNT($C$116:$V$116)=0,"",SUM($C$116:$V$116)),IFERROR(INDEX($C$116:$V$116,MATCH($D$2,$C$114:$V$114,0)),""))</f>
        <v/>
      </c>
      <c r="L13" s="48" t="str">
        <f>IF(M13="","",IF($B$2="Todos",IF($B$4&gt;0,$B$4,IF($B$2="Todos",IF(COUNT($C$186:$V$186)=0,"",SUM($C$186:$V$186)),IFERROR(INDEX($C$186:$V$186,MATCH($D$2,$C$184:$V$184,0)),""))),IFERROR(INDEX($C$186:$V$186,MATCH($D$2,$C$184:$V$184,0)),"")))</f>
        <v/>
      </c>
      <c r="M13" s="32" t="str">
        <f>IF($B$2="Todos",IF(COUNT($C$151:$V$151)=0,"",SUM($C$151:$V$151)),IFERROR(INDEX($C$151:$V$151,MATCH($D$2,$C$149:$V$149,0)),""))</f>
        <v/>
      </c>
      <c r="N13" s="49" t="str">
        <f>IF(AND(ISNUMBER(M13),ISNUMBER(L13)),IF(L13&gt;0,M13/L13,""),"")</f>
        <v/>
      </c>
      <c r="O13" s="32" t="str">
        <f>IF($B$2="Todos",IF(COUNT($C$221:$V$221)=0,"",SUM($C$221:$V$221)),IFERROR(INDEX($C$221:$V$221,MATCH($D$2,$C$219:$V$219,0)),""))</f>
        <v/>
      </c>
      <c r="P13" s="32">
        <f>IF($B13="","",IF($B$2="Todos",SUMIFS(BD!$O$3:$O$5001,BD!$A$3:$A$5001,$B13),SUMIFS(BD!$O$3:$O$5001,BD!$A$3:$A$5001,$B13,BD!$B$3:$B$5001,$D$2)))</f>
        <v>0</v>
      </c>
      <c r="Q13" s="32">
        <f>IF($B13="","",IF($B$2="Todos",SUMIFS(BD!$P$3:$P$5001,BD!$A$3:$A$5001,$B13),SUMIFS(BD!$P$3:$P$5001,BD!$A$3:$A$5001,$B13,BD!$B$3:$B$5001,$D$2)))</f>
        <v>0</v>
      </c>
      <c r="R13" s="32">
        <f>IF($B13="","",IF($B$2="Todos",SUMIFS(BD!$Q$3:$Q$5001,BD!$A$3:$A$5001,$B13),SUMIFS(BD!$Q$3:$Q$5001,BD!$A$3:$A$5001,$B13,BD!$B$3:$B$5001,$D$2)))</f>
        <v>0</v>
      </c>
      <c r="S13" s="32">
        <f>IF($B13="","",IF($B$2="Todos",SUMIFS(BD!$R$3:$R$5001,BD!$A$3:$A$5001,$B13),SUMIFS(BD!$R$3:$R$5001,BD!$A$3:$A$5001,$B13,BD!$B$3:$B$5001,$D$2)))</f>
        <v>0</v>
      </c>
      <c r="T13" s="32">
        <f>IF($B13="","",IF($B$2="Todos",SUMIFS(BD!$S$3:$S$5001,BD!$A$3:$A$5001,$B13),SUMIFS(BD!$S$3:$S$5001,BD!$A$3:$A$5001,$B13,BD!$B$3:$B$5001,$D$2)))</f>
        <v>0</v>
      </c>
      <c r="U13" s="32">
        <f>IF($B13="","",IF($B$2="Todos",SUMIFS(BD!$T$3:$T$5001,BD!$A$3:$A$5001,$B13),SUMIFS(BD!$T$3:$T$5001,BD!$A$3:$A$5001,$B13,BD!$B$3:$B$5001,$D$2)))</f>
        <v>0</v>
      </c>
      <c r="V13" s="32">
        <f>IF($B13="","",IF($B$2="Todos",SUMIFS(BD!$U$3:$U$5001,BD!$A$3:$A$5001,$B13),SUMIFS(BD!$U$3:$U$5001,BD!$A$3:$A$5001,$B13,BD!$B$3:$B$5001,$D$2)))</f>
        <v>0</v>
      </c>
      <c r="W13" s="50">
        <f>$B$5</f>
        <v>0.7</v>
      </c>
      <c r="X13" s="50">
        <f>$B$6</f>
        <v>0.9</v>
      </c>
      <c r="AL13" s="29" t="inlineStr">
        <is>
          <t xml:space="preserve">FEVEREIRO · 2026</t>
        </is>
      </c>
      <c r="AN13" s="29" t="str">
        <f>IFERROR(INDEX(Config!$B$10:$B$29,MATCH(1,$AP$13:$AP$32,0))&amp;"","")</f>
        <v>Barry Callebaut</v>
      </c>
      <c r="AO13" s="28" t="str">
        <f>IF(AN13="","",IF(INDEX(Config!$C$10:$C$29,MATCH(1,$AP$13:$AP$32,0))&amp;""="","JSL",INDEX(Config!$C$10:$C$29,MATCH(1,$AP$13:$AP$32,0))&amp;""))</f>
        <v>JSL</v>
      </c>
      <c r="AP13" s="38">
        <f>IF(Config!$B$10&amp;""="",0,0+1)</f>
        <v>1</v>
      </c>
      <c r="AQ13" s="29" t="str">
        <f>"OCUPAÇÃO DIÁRIA — "&amp;IF($B$2="Todos","TODOS OS CLIENTES",UPPER($B$2))</f>
        <v>OCUPAÇÃO DIÁRIA — TODOS OS CLIENTES</v>
      </c>
      <c r="AT13" s="40" t="inlineStr">
        <is>
          <t xml:space="preserve">JSL</t>
        </is>
      </c>
      <c r="AU13" s="41">
        <f>N(Config!$C$95)</f>
        <v>5872</v>
      </c>
      <c r="AV13" s="31" t="inlineStr">
        <is>
          <t xml:space="preserve">aba Config</t>
        </is>
      </c>
    </row>
    <row r="14">
      <c r="A14" s="28">
        <v>3</v>
      </c>
      <c r="B14" s="46">
        <f>IF($A14&lt;=DAY($D$7),$C$7+$A14-1,"")</f>
        <v>46298</v>
      </c>
      <c r="C14" s="32">
        <f>IF($B14="","",IF($B$2="Todos",SUMIFS(BD!$C$3:$C$5001,BD!$A$3:$A$5001,$B14),SUMIFS(BD!$C$3:$C$5001,BD!$A$3:$A$5001,$B14,BD!$B$3:$B$5001,$D$2)))</f>
        <v>0</v>
      </c>
      <c r="D14" s="32">
        <f>IF($B14="","",IF($B$2="Todos",SUMIFS(BD!$D$3:$D$5001,BD!$A$3:$A$5001,$B14),SUMIFS(BD!$D$3:$D$5001,BD!$A$3:$A$5001,$B14,BD!$B$3:$B$5001,$D$2)))</f>
        <v>0</v>
      </c>
      <c r="E14" s="47">
        <f>IF($B14="","",IF($B$2="Todos",SUMIFS(BD!$E$3:$E$5001,BD!$A$3:$A$5001,$B14),SUMIFS(BD!$E$3:$E$5001,BD!$A$3:$A$5001,$B14,BD!$B$3:$B$5001,$D$2)))</f>
        <v>0</v>
      </c>
      <c r="F14" s="32">
        <f>IF($B14="","",IF($B$2="Todos",SUMIFS(BD!$F$3:$F$5001,BD!$A$3:$A$5001,$B14),SUMIFS(BD!$F$3:$F$5001,BD!$A$3:$A$5001,$B14,BD!$B$3:$B$5001,$D$2)))</f>
        <v>0</v>
      </c>
      <c r="G14" s="32">
        <f>IF($B14="","",IF($B$2="Todos",SUMIFS(BD!$G$3:$G$5001,BD!$A$3:$A$5001,$B14),SUMIFS(BD!$G$3:$G$5001,BD!$A$3:$A$5001,$B14,BD!$B$3:$B$5001,$D$2)))</f>
        <v>0</v>
      </c>
      <c r="H14" s="47">
        <f>IF($B14="","",IF($B$2="Todos",SUMIFS(BD!$H$3:$H$5001,BD!$A$3:$A$5001,$B14),SUMIFS(BD!$H$3:$H$5001,BD!$A$3:$A$5001,$B14,BD!$B$3:$B$5001,$D$2)))</f>
        <v>0</v>
      </c>
      <c r="I14" s="32">
        <f>IF($B14="","",IF($B$2="Todos",SUMIFS(BD!$I$3:$I$5001,BD!$A$3:$A$5001,$B14),SUMIFS(BD!$I$3:$I$5001,BD!$A$3:$A$5001,$B14,BD!$B$3:$B$5001,$D$2)))</f>
        <v>0</v>
      </c>
      <c r="J14" s="32">
        <f>IF($B14="","",IF($B$2="Todos",SUMIFS(BD!$J$3:$J$5001,BD!$A$3:$A$5001,$B14),SUMIFS(BD!$J$3:$J$5001,BD!$A$3:$A$5001,$B14,BD!$B$3:$B$5001,$D$2)))</f>
        <v>0</v>
      </c>
      <c r="K14" s="32" t="str">
        <f>IF($B$2="Todos",IF(COUNT($C$117:$V$117)=0,"",SUM($C$117:$V$117)),IFERROR(INDEX($C$117:$V$117,MATCH($D$2,$C$114:$V$114,0)),""))</f>
        <v/>
      </c>
      <c r="L14" s="48" t="str">
        <f>IF(M14="","",IF($B$2="Todos",IF($B$4&gt;0,$B$4,IF($B$2="Todos",IF(COUNT($C$187:$V$187)=0,"",SUM($C$187:$V$187)),IFERROR(INDEX($C$187:$V$187,MATCH($D$2,$C$184:$V$184,0)),""))),IFERROR(INDEX($C$187:$V$187,MATCH($D$2,$C$184:$V$184,0)),"")))</f>
        <v/>
      </c>
      <c r="M14" s="32" t="str">
        <f>IF($B$2="Todos",IF(COUNT($C$152:$V$152)=0,"",SUM($C$152:$V$152)),IFERROR(INDEX($C$152:$V$152,MATCH($D$2,$C$149:$V$149,0)),""))</f>
        <v/>
      </c>
      <c r="N14" s="49" t="str">
        <f>IF(AND(ISNUMBER(M14),ISNUMBER(L14)),IF(L14&gt;0,M14/L14,""),"")</f>
        <v/>
      </c>
      <c r="O14" s="32" t="str">
        <f>IF($B$2="Todos",IF(COUNT($C$222:$V$222)=0,"",SUM($C$222:$V$222)),IFERROR(INDEX($C$222:$V$222,MATCH($D$2,$C$219:$V$219,0)),""))</f>
        <v/>
      </c>
      <c r="P14" s="32">
        <f>IF($B14="","",IF($B$2="Todos",SUMIFS(BD!$O$3:$O$5001,BD!$A$3:$A$5001,$B14),SUMIFS(BD!$O$3:$O$5001,BD!$A$3:$A$5001,$B14,BD!$B$3:$B$5001,$D$2)))</f>
        <v>0</v>
      </c>
      <c r="Q14" s="32">
        <f>IF($B14="","",IF($B$2="Todos",SUMIFS(BD!$P$3:$P$5001,BD!$A$3:$A$5001,$B14),SUMIFS(BD!$P$3:$P$5001,BD!$A$3:$A$5001,$B14,BD!$B$3:$B$5001,$D$2)))</f>
        <v>0</v>
      </c>
      <c r="R14" s="32">
        <f>IF($B14="","",IF($B$2="Todos",SUMIFS(BD!$Q$3:$Q$5001,BD!$A$3:$A$5001,$B14),SUMIFS(BD!$Q$3:$Q$5001,BD!$A$3:$A$5001,$B14,BD!$B$3:$B$5001,$D$2)))</f>
        <v>0</v>
      </c>
      <c r="S14" s="32">
        <f>IF($B14="","",IF($B$2="Todos",SUMIFS(BD!$R$3:$R$5001,BD!$A$3:$A$5001,$B14),SUMIFS(BD!$R$3:$R$5001,BD!$A$3:$A$5001,$B14,BD!$B$3:$B$5001,$D$2)))</f>
        <v>0</v>
      </c>
      <c r="T14" s="32">
        <f>IF($B14="","",IF($B$2="Todos",SUMIFS(BD!$S$3:$S$5001,BD!$A$3:$A$5001,$B14),SUMIFS(BD!$S$3:$S$5001,BD!$A$3:$A$5001,$B14,BD!$B$3:$B$5001,$D$2)))</f>
        <v>0</v>
      </c>
      <c r="U14" s="32">
        <f>IF($B14="","",IF($B$2="Todos",SUMIFS(BD!$T$3:$T$5001,BD!$A$3:$A$5001,$B14),SUMIFS(BD!$T$3:$T$5001,BD!$A$3:$A$5001,$B14,BD!$B$3:$B$5001,$D$2)))</f>
        <v>0</v>
      </c>
      <c r="V14" s="32">
        <f>IF($B14="","",IF($B$2="Todos",SUMIFS(BD!$U$3:$U$5001,BD!$A$3:$A$5001,$B14),SUMIFS(BD!$U$3:$U$5001,BD!$A$3:$A$5001,$B14,BD!$B$3:$B$5001,$D$2)))</f>
        <v>0</v>
      </c>
      <c r="W14" s="50">
        <f>$B$5</f>
        <v>0.7</v>
      </c>
      <c r="X14" s="50">
        <f>$B$6</f>
        <v>0.9</v>
      </c>
      <c r="AL14" s="29" t="inlineStr">
        <is>
          <t xml:space="preserve">MARÇO · 2026</t>
        </is>
      </c>
      <c r="AN14" s="29" t="str">
        <f>IFERROR(INDEX(Config!$B$10:$B$29,MATCH(2,$AP$13:$AP$32,0))&amp;"","")</f>
        <v>GM</v>
      </c>
      <c r="AO14" s="28" t="str">
        <f>IF(AN14="","",IF(INDEX(Config!$C$10:$C$29,MATCH(2,$AP$13:$AP$32,0))&amp;""="","JSL",INDEX(Config!$C$10:$C$29,MATCH(2,$AP$13:$AP$32,0))&amp;""))</f>
        <v>JSL</v>
      </c>
      <c r="AP14" s="38">
        <f>IF(Config!$B$11&amp;""="",AP13,AP13+1)</f>
        <v>2</v>
      </c>
      <c r="AQ14" s="29" t="str">
        <f>"MOVIMENTAÇÃO PALETES/DIA — "&amp;IF($B$2="Todos","TODOS OS CLIENTES",UPPER($B$2))</f>
        <v>MOVIMENTAÇÃO PALETES/DIA — TODOS OS CLIENTES</v>
      </c>
    </row>
    <row r="15">
      <c r="A15" s="28">
        <v>4</v>
      </c>
      <c r="B15" s="46">
        <f>IF($A15&lt;=DAY($D$7),$C$7+$A15-1,"")</f>
        <v>46299</v>
      </c>
      <c r="C15" s="32">
        <f>IF($B15="","",IF($B$2="Todos",SUMIFS(BD!$C$3:$C$5001,BD!$A$3:$A$5001,$B15),SUMIFS(BD!$C$3:$C$5001,BD!$A$3:$A$5001,$B15,BD!$B$3:$B$5001,$D$2)))</f>
        <v>0</v>
      </c>
      <c r="D15" s="32">
        <f>IF($B15="","",IF($B$2="Todos",SUMIFS(BD!$D$3:$D$5001,BD!$A$3:$A$5001,$B15),SUMIFS(BD!$D$3:$D$5001,BD!$A$3:$A$5001,$B15,BD!$B$3:$B$5001,$D$2)))</f>
        <v>0</v>
      </c>
      <c r="E15" s="47">
        <f>IF($B15="","",IF($B$2="Todos",SUMIFS(BD!$E$3:$E$5001,BD!$A$3:$A$5001,$B15),SUMIFS(BD!$E$3:$E$5001,BD!$A$3:$A$5001,$B15,BD!$B$3:$B$5001,$D$2)))</f>
        <v>0</v>
      </c>
      <c r="F15" s="32">
        <f>IF($B15="","",IF($B$2="Todos",SUMIFS(BD!$F$3:$F$5001,BD!$A$3:$A$5001,$B15),SUMIFS(BD!$F$3:$F$5001,BD!$A$3:$A$5001,$B15,BD!$B$3:$B$5001,$D$2)))</f>
        <v>0</v>
      </c>
      <c r="G15" s="32">
        <f>IF($B15="","",IF($B$2="Todos",SUMIFS(BD!$G$3:$G$5001,BD!$A$3:$A$5001,$B15),SUMIFS(BD!$G$3:$G$5001,BD!$A$3:$A$5001,$B15,BD!$B$3:$B$5001,$D$2)))</f>
        <v>0</v>
      </c>
      <c r="H15" s="47">
        <f>IF($B15="","",IF($B$2="Todos",SUMIFS(BD!$H$3:$H$5001,BD!$A$3:$A$5001,$B15),SUMIFS(BD!$H$3:$H$5001,BD!$A$3:$A$5001,$B15,BD!$B$3:$B$5001,$D$2)))</f>
        <v>0</v>
      </c>
      <c r="I15" s="32">
        <f>IF($B15="","",IF($B$2="Todos",SUMIFS(BD!$I$3:$I$5001,BD!$A$3:$A$5001,$B15),SUMIFS(BD!$I$3:$I$5001,BD!$A$3:$A$5001,$B15,BD!$B$3:$B$5001,$D$2)))</f>
        <v>0</v>
      </c>
      <c r="J15" s="32">
        <f>IF($B15="","",IF($B$2="Todos",SUMIFS(BD!$J$3:$J$5001,BD!$A$3:$A$5001,$B15),SUMIFS(BD!$J$3:$J$5001,BD!$A$3:$A$5001,$B15,BD!$B$3:$B$5001,$D$2)))</f>
        <v>0</v>
      </c>
      <c r="K15" s="32" t="str">
        <f>IF($B$2="Todos",IF(COUNT($C$118:$V$118)=0,"",SUM($C$118:$V$118)),IFERROR(INDEX($C$118:$V$118,MATCH($D$2,$C$114:$V$114,0)),""))</f>
        <v/>
      </c>
      <c r="L15" s="48" t="str">
        <f>IF(M15="","",IF($B$2="Todos",IF($B$4&gt;0,$B$4,IF($B$2="Todos",IF(COUNT($C$188:$V$188)=0,"",SUM($C$188:$V$188)),IFERROR(INDEX($C$188:$V$188,MATCH($D$2,$C$184:$V$184,0)),""))),IFERROR(INDEX($C$188:$V$188,MATCH($D$2,$C$184:$V$184,0)),"")))</f>
        <v/>
      </c>
      <c r="M15" s="32" t="str">
        <f>IF($B$2="Todos",IF(COUNT($C$153:$V$153)=0,"",SUM($C$153:$V$153)),IFERROR(INDEX($C$153:$V$153,MATCH($D$2,$C$149:$V$149,0)),""))</f>
        <v/>
      </c>
      <c r="N15" s="49" t="str">
        <f>IF(AND(ISNUMBER(M15),ISNUMBER(L15)),IF(L15&gt;0,M15/L15,""),"")</f>
        <v/>
      </c>
      <c r="O15" s="32" t="str">
        <f>IF($B$2="Todos",IF(COUNT($C$223:$V$223)=0,"",SUM($C$223:$V$223)),IFERROR(INDEX($C$223:$V$223,MATCH($D$2,$C$219:$V$219,0)),""))</f>
        <v/>
      </c>
      <c r="P15" s="32">
        <f>IF($B15="","",IF($B$2="Todos",SUMIFS(BD!$O$3:$O$5001,BD!$A$3:$A$5001,$B15),SUMIFS(BD!$O$3:$O$5001,BD!$A$3:$A$5001,$B15,BD!$B$3:$B$5001,$D$2)))</f>
        <v>0</v>
      </c>
      <c r="Q15" s="32">
        <f>IF($B15="","",IF($B$2="Todos",SUMIFS(BD!$P$3:$P$5001,BD!$A$3:$A$5001,$B15),SUMIFS(BD!$P$3:$P$5001,BD!$A$3:$A$5001,$B15,BD!$B$3:$B$5001,$D$2)))</f>
        <v>0</v>
      </c>
      <c r="R15" s="32">
        <f>IF($B15="","",IF($B$2="Todos",SUMIFS(BD!$Q$3:$Q$5001,BD!$A$3:$A$5001,$B15),SUMIFS(BD!$Q$3:$Q$5001,BD!$A$3:$A$5001,$B15,BD!$B$3:$B$5001,$D$2)))</f>
        <v>0</v>
      </c>
      <c r="S15" s="32">
        <f>IF($B15="","",IF($B$2="Todos",SUMIFS(BD!$R$3:$R$5001,BD!$A$3:$A$5001,$B15),SUMIFS(BD!$R$3:$R$5001,BD!$A$3:$A$5001,$B15,BD!$B$3:$B$5001,$D$2)))</f>
        <v>0</v>
      </c>
      <c r="T15" s="32">
        <f>IF($B15="","",IF($B$2="Todos",SUMIFS(BD!$S$3:$S$5001,BD!$A$3:$A$5001,$B15),SUMIFS(BD!$S$3:$S$5001,BD!$A$3:$A$5001,$B15,BD!$B$3:$B$5001,$D$2)))</f>
        <v>0</v>
      </c>
      <c r="U15" s="32">
        <f>IF($B15="","",IF($B$2="Todos",SUMIFS(BD!$T$3:$T$5001,BD!$A$3:$A$5001,$B15),SUMIFS(BD!$T$3:$T$5001,BD!$A$3:$A$5001,$B15,BD!$B$3:$B$5001,$D$2)))</f>
        <v>0</v>
      </c>
      <c r="V15" s="32">
        <f>IF($B15="","",IF($B$2="Todos",SUMIFS(BD!$U$3:$U$5001,BD!$A$3:$A$5001,$B15),SUMIFS(BD!$U$3:$U$5001,BD!$A$3:$A$5001,$B15,BD!$B$3:$B$5001,$D$2)))</f>
        <v>0</v>
      </c>
      <c r="W15" s="50">
        <f>$B$5</f>
        <v>0.7</v>
      </c>
      <c r="X15" s="50">
        <f>$B$6</f>
        <v>0.9</v>
      </c>
      <c r="AL15" s="29" t="inlineStr">
        <is>
          <t xml:space="preserve">ABRIL · 2026</t>
        </is>
      </c>
      <c r="AN15" s="29" t="str">
        <f>IFERROR(INDEX(Config!$B$10:$B$29,MATCH(3,$AP$13:$AP$32,0))&amp;"","")</f>
        <v>Mondelez</v>
      </c>
      <c r="AO15" s="28" t="str">
        <f>IF(AN15="","",IF(INDEX(Config!$C$10:$C$29,MATCH(3,$AP$13:$AP$32,0))&amp;""="","JSL",INDEX(Config!$C$10:$C$29,MATCH(3,$AP$13:$AP$32,0))&amp;""))</f>
        <v>JSL</v>
      </c>
      <c r="AP15" s="38">
        <f>IF(Config!$B$12&amp;""="",AP14,AP14+1)</f>
        <v>3</v>
      </c>
      <c r="AQ15" s="29" t="str">
        <f>"MOVIMENTAÇÃO TONS/DIA — "&amp;IF($B$2="Todos","TODOS OS CLIENTES",UPPER($B$2))</f>
        <v>MOVIMENTAÇÃO TONS/DIA — TODOS OS CLIENTES</v>
      </c>
    </row>
    <row r="16">
      <c r="A16" s="28">
        <v>5</v>
      </c>
      <c r="B16" s="46">
        <f>IF($A16&lt;=DAY($D$7),$C$7+$A16-1,"")</f>
        <v>46300</v>
      </c>
      <c r="C16" s="32">
        <f>IF($B16="","",IF($B$2="Todos",SUMIFS(BD!$C$3:$C$5001,BD!$A$3:$A$5001,$B16),SUMIFS(BD!$C$3:$C$5001,BD!$A$3:$A$5001,$B16,BD!$B$3:$B$5001,$D$2)))</f>
        <v>0</v>
      </c>
      <c r="D16" s="32">
        <f>IF($B16="","",IF($B$2="Todos",SUMIFS(BD!$D$3:$D$5001,BD!$A$3:$A$5001,$B16),SUMIFS(BD!$D$3:$D$5001,BD!$A$3:$A$5001,$B16,BD!$B$3:$B$5001,$D$2)))</f>
        <v>0</v>
      </c>
      <c r="E16" s="47">
        <f>IF($B16="","",IF($B$2="Todos",SUMIFS(BD!$E$3:$E$5001,BD!$A$3:$A$5001,$B16),SUMIFS(BD!$E$3:$E$5001,BD!$A$3:$A$5001,$B16,BD!$B$3:$B$5001,$D$2)))</f>
        <v>0</v>
      </c>
      <c r="F16" s="32">
        <f>IF($B16="","",IF($B$2="Todos",SUMIFS(BD!$F$3:$F$5001,BD!$A$3:$A$5001,$B16),SUMIFS(BD!$F$3:$F$5001,BD!$A$3:$A$5001,$B16,BD!$B$3:$B$5001,$D$2)))</f>
        <v>0</v>
      </c>
      <c r="G16" s="32">
        <f>IF($B16="","",IF($B$2="Todos",SUMIFS(BD!$G$3:$G$5001,BD!$A$3:$A$5001,$B16),SUMIFS(BD!$G$3:$G$5001,BD!$A$3:$A$5001,$B16,BD!$B$3:$B$5001,$D$2)))</f>
        <v>0</v>
      </c>
      <c r="H16" s="47">
        <f>IF($B16="","",IF($B$2="Todos",SUMIFS(BD!$H$3:$H$5001,BD!$A$3:$A$5001,$B16),SUMIFS(BD!$H$3:$H$5001,BD!$A$3:$A$5001,$B16,BD!$B$3:$B$5001,$D$2)))</f>
        <v>0</v>
      </c>
      <c r="I16" s="32">
        <f>IF($B16="","",IF($B$2="Todos",SUMIFS(BD!$I$3:$I$5001,BD!$A$3:$A$5001,$B16),SUMIFS(BD!$I$3:$I$5001,BD!$A$3:$A$5001,$B16,BD!$B$3:$B$5001,$D$2)))</f>
        <v>0</v>
      </c>
      <c r="J16" s="32">
        <f>IF($B16="","",IF($B$2="Todos",SUMIFS(BD!$J$3:$J$5001,BD!$A$3:$A$5001,$B16),SUMIFS(BD!$J$3:$J$5001,BD!$A$3:$A$5001,$B16,BD!$B$3:$B$5001,$D$2)))</f>
        <v>0</v>
      </c>
      <c r="K16" s="32" t="str">
        <f>IF($B$2="Todos",IF(COUNT($C$119:$V$119)=0,"",SUM($C$119:$V$119)),IFERROR(INDEX($C$119:$V$119,MATCH($D$2,$C$114:$V$114,0)),""))</f>
        <v/>
      </c>
      <c r="L16" s="48" t="str">
        <f>IF(M16="","",IF($B$2="Todos",IF($B$4&gt;0,$B$4,IF($B$2="Todos",IF(COUNT($C$189:$V$189)=0,"",SUM($C$189:$V$189)),IFERROR(INDEX($C$189:$V$189,MATCH($D$2,$C$184:$V$184,0)),""))),IFERROR(INDEX($C$189:$V$189,MATCH($D$2,$C$184:$V$184,0)),"")))</f>
        <v/>
      </c>
      <c r="M16" s="32" t="str">
        <f>IF($B$2="Todos",IF(COUNT($C$154:$V$154)=0,"",SUM($C$154:$V$154)),IFERROR(INDEX($C$154:$V$154,MATCH($D$2,$C$149:$V$149,0)),""))</f>
        <v/>
      </c>
      <c r="N16" s="49" t="str">
        <f>IF(AND(ISNUMBER(M16),ISNUMBER(L16)),IF(L16&gt;0,M16/L16,""),"")</f>
        <v/>
      </c>
      <c r="O16" s="32" t="str">
        <f>IF($B$2="Todos",IF(COUNT($C$224:$V$224)=0,"",SUM($C$224:$V$224)),IFERROR(INDEX($C$224:$V$224,MATCH($D$2,$C$219:$V$219,0)),""))</f>
        <v/>
      </c>
      <c r="P16" s="32">
        <f>IF($B16="","",IF($B$2="Todos",SUMIFS(BD!$O$3:$O$5001,BD!$A$3:$A$5001,$B16),SUMIFS(BD!$O$3:$O$5001,BD!$A$3:$A$5001,$B16,BD!$B$3:$B$5001,$D$2)))</f>
        <v>0</v>
      </c>
      <c r="Q16" s="32">
        <f>IF($B16="","",IF($B$2="Todos",SUMIFS(BD!$P$3:$P$5001,BD!$A$3:$A$5001,$B16),SUMIFS(BD!$P$3:$P$5001,BD!$A$3:$A$5001,$B16,BD!$B$3:$B$5001,$D$2)))</f>
        <v>0</v>
      </c>
      <c r="R16" s="32">
        <f>IF($B16="","",IF($B$2="Todos",SUMIFS(BD!$Q$3:$Q$5001,BD!$A$3:$A$5001,$B16),SUMIFS(BD!$Q$3:$Q$5001,BD!$A$3:$A$5001,$B16,BD!$B$3:$B$5001,$D$2)))</f>
        <v>0</v>
      </c>
      <c r="S16" s="32">
        <f>IF($B16="","",IF($B$2="Todos",SUMIFS(BD!$R$3:$R$5001,BD!$A$3:$A$5001,$B16),SUMIFS(BD!$R$3:$R$5001,BD!$A$3:$A$5001,$B16,BD!$B$3:$B$5001,$D$2)))</f>
        <v>0</v>
      </c>
      <c r="T16" s="32">
        <f>IF($B16="","",IF($B$2="Todos",SUMIFS(BD!$S$3:$S$5001,BD!$A$3:$A$5001,$B16),SUMIFS(BD!$S$3:$S$5001,BD!$A$3:$A$5001,$B16,BD!$B$3:$B$5001,$D$2)))</f>
        <v>0</v>
      </c>
      <c r="U16" s="32">
        <f>IF($B16="","",IF($B$2="Todos",SUMIFS(BD!$T$3:$T$5001,BD!$A$3:$A$5001,$B16),SUMIFS(BD!$T$3:$T$5001,BD!$A$3:$A$5001,$B16,BD!$B$3:$B$5001,$D$2)))</f>
        <v>0</v>
      </c>
      <c r="V16" s="32">
        <f>IF($B16="","",IF($B$2="Todos",SUMIFS(BD!$U$3:$U$5001,BD!$A$3:$A$5001,$B16),SUMIFS(BD!$U$3:$U$5001,BD!$A$3:$A$5001,$B16,BD!$B$3:$B$5001,$D$2)))</f>
        <v>0</v>
      </c>
      <c r="W16" s="50">
        <f>$B$5</f>
        <v>0.7</v>
      </c>
      <c r="X16" s="50">
        <f>$B$6</f>
        <v>0.9</v>
      </c>
      <c r="AL16" s="29" t="inlineStr">
        <is>
          <t xml:space="preserve">MAIO · 2026</t>
        </is>
      </c>
      <c r="AN16" s="29" t="str">
        <f>IFERROR(INDEX(Config!$B$10:$B$29,MATCH(4,$AP$13:$AP$32,0))&amp;"","")</f>
        <v>Nestlé</v>
      </c>
      <c r="AO16" s="28" t="str">
        <f>IF(AN16="","",IF(INDEX(Config!$C$10:$C$29,MATCH(4,$AP$13:$AP$32,0))&amp;""="","JSL",INDEX(Config!$C$10:$C$29,MATCH(4,$AP$13:$AP$32,0))&amp;""))</f>
        <v>JSL</v>
      </c>
      <c r="AP16" s="38">
        <f>IF(Config!$B$13&amp;""="",AP15,AP15+1)</f>
        <v>4</v>
      </c>
      <c r="AQ16" s="29" t="str">
        <f>"ACUMULADO SEMANAL PALETES — "&amp;IF($B$2="Todos","TODOS OS CLIENTES",UPPER($B$2))</f>
        <v>ACUMULADO SEMANAL PALETES — TODOS OS CLIENTES</v>
      </c>
    </row>
    <row r="17">
      <c r="A17" s="28">
        <v>6</v>
      </c>
      <c r="B17" s="46">
        <f>IF($A17&lt;=DAY($D$7),$C$7+$A17-1,"")</f>
        <v>46301</v>
      </c>
      <c r="C17" s="32">
        <f>IF($B17="","",IF($B$2="Todos",SUMIFS(BD!$C$3:$C$5001,BD!$A$3:$A$5001,$B17),SUMIFS(BD!$C$3:$C$5001,BD!$A$3:$A$5001,$B17,BD!$B$3:$B$5001,$D$2)))</f>
        <v>0</v>
      </c>
      <c r="D17" s="32">
        <f>IF($B17="","",IF($B$2="Todos",SUMIFS(BD!$D$3:$D$5001,BD!$A$3:$A$5001,$B17),SUMIFS(BD!$D$3:$D$5001,BD!$A$3:$A$5001,$B17,BD!$B$3:$B$5001,$D$2)))</f>
        <v>0</v>
      </c>
      <c r="E17" s="47">
        <f>IF($B17="","",IF($B$2="Todos",SUMIFS(BD!$E$3:$E$5001,BD!$A$3:$A$5001,$B17),SUMIFS(BD!$E$3:$E$5001,BD!$A$3:$A$5001,$B17,BD!$B$3:$B$5001,$D$2)))</f>
        <v>0</v>
      </c>
      <c r="F17" s="32">
        <f>IF($B17="","",IF($B$2="Todos",SUMIFS(BD!$F$3:$F$5001,BD!$A$3:$A$5001,$B17),SUMIFS(BD!$F$3:$F$5001,BD!$A$3:$A$5001,$B17,BD!$B$3:$B$5001,$D$2)))</f>
        <v>0</v>
      </c>
      <c r="G17" s="32">
        <f>IF($B17="","",IF($B$2="Todos",SUMIFS(BD!$G$3:$G$5001,BD!$A$3:$A$5001,$B17),SUMIFS(BD!$G$3:$G$5001,BD!$A$3:$A$5001,$B17,BD!$B$3:$B$5001,$D$2)))</f>
        <v>0</v>
      </c>
      <c r="H17" s="47">
        <f>IF($B17="","",IF($B$2="Todos",SUMIFS(BD!$H$3:$H$5001,BD!$A$3:$A$5001,$B17),SUMIFS(BD!$H$3:$H$5001,BD!$A$3:$A$5001,$B17,BD!$B$3:$B$5001,$D$2)))</f>
        <v>0</v>
      </c>
      <c r="I17" s="32">
        <f>IF($B17="","",IF($B$2="Todos",SUMIFS(BD!$I$3:$I$5001,BD!$A$3:$A$5001,$B17),SUMIFS(BD!$I$3:$I$5001,BD!$A$3:$A$5001,$B17,BD!$B$3:$B$5001,$D$2)))</f>
        <v>0</v>
      </c>
      <c r="J17" s="32">
        <f>IF($B17="","",IF($B$2="Todos",SUMIFS(BD!$J$3:$J$5001,BD!$A$3:$A$5001,$B17),SUMIFS(BD!$J$3:$J$5001,BD!$A$3:$A$5001,$B17,BD!$B$3:$B$5001,$D$2)))</f>
        <v>0</v>
      </c>
      <c r="K17" s="32" t="str">
        <f>IF($B$2="Todos",IF(COUNT($C$120:$V$120)=0,"",SUM($C$120:$V$120)),IFERROR(INDEX($C$120:$V$120,MATCH($D$2,$C$114:$V$114,0)),""))</f>
        <v/>
      </c>
      <c r="L17" s="48" t="str">
        <f>IF(M17="","",IF($B$2="Todos",IF($B$4&gt;0,$B$4,IF($B$2="Todos",IF(COUNT($C$190:$V$190)=0,"",SUM($C$190:$V$190)),IFERROR(INDEX($C$190:$V$190,MATCH($D$2,$C$184:$V$184,0)),""))),IFERROR(INDEX($C$190:$V$190,MATCH($D$2,$C$184:$V$184,0)),"")))</f>
        <v/>
      </c>
      <c r="M17" s="32" t="str">
        <f>IF($B$2="Todos",IF(COUNT($C$155:$V$155)=0,"",SUM($C$155:$V$155)),IFERROR(INDEX($C$155:$V$155,MATCH($D$2,$C$149:$V$149,0)),""))</f>
        <v/>
      </c>
      <c r="N17" s="49" t="str">
        <f>IF(AND(ISNUMBER(M17),ISNUMBER(L17)),IF(L17&gt;0,M17/L17,""),"")</f>
        <v/>
      </c>
      <c r="O17" s="32" t="str">
        <f>IF($B$2="Todos",IF(COUNT($C$225:$V$225)=0,"",SUM($C$225:$V$225)),IFERROR(INDEX($C$225:$V$225,MATCH($D$2,$C$219:$V$219,0)),""))</f>
        <v/>
      </c>
      <c r="P17" s="32">
        <f>IF($B17="","",IF($B$2="Todos",SUMIFS(BD!$O$3:$O$5001,BD!$A$3:$A$5001,$B17),SUMIFS(BD!$O$3:$O$5001,BD!$A$3:$A$5001,$B17,BD!$B$3:$B$5001,$D$2)))</f>
        <v>0</v>
      </c>
      <c r="Q17" s="32">
        <f>IF($B17="","",IF($B$2="Todos",SUMIFS(BD!$P$3:$P$5001,BD!$A$3:$A$5001,$B17),SUMIFS(BD!$P$3:$P$5001,BD!$A$3:$A$5001,$B17,BD!$B$3:$B$5001,$D$2)))</f>
        <v>0</v>
      </c>
      <c r="R17" s="32">
        <f>IF($B17="","",IF($B$2="Todos",SUMIFS(BD!$Q$3:$Q$5001,BD!$A$3:$A$5001,$B17),SUMIFS(BD!$Q$3:$Q$5001,BD!$A$3:$A$5001,$B17,BD!$B$3:$B$5001,$D$2)))</f>
        <v>0</v>
      </c>
      <c r="S17" s="32">
        <f>IF($B17="","",IF($B$2="Todos",SUMIFS(BD!$R$3:$R$5001,BD!$A$3:$A$5001,$B17),SUMIFS(BD!$R$3:$R$5001,BD!$A$3:$A$5001,$B17,BD!$B$3:$B$5001,$D$2)))</f>
        <v>0</v>
      </c>
      <c r="T17" s="32">
        <f>IF($B17="","",IF($B$2="Todos",SUMIFS(BD!$S$3:$S$5001,BD!$A$3:$A$5001,$B17),SUMIFS(BD!$S$3:$S$5001,BD!$A$3:$A$5001,$B17,BD!$B$3:$B$5001,$D$2)))</f>
        <v>0</v>
      </c>
      <c r="U17" s="32">
        <f>IF($B17="","",IF($B$2="Todos",SUMIFS(BD!$T$3:$T$5001,BD!$A$3:$A$5001,$B17),SUMIFS(BD!$T$3:$T$5001,BD!$A$3:$A$5001,$B17,BD!$B$3:$B$5001,$D$2)))</f>
        <v>0</v>
      </c>
      <c r="V17" s="32">
        <f>IF($B17="","",IF($B$2="Todos",SUMIFS(BD!$U$3:$U$5001,BD!$A$3:$A$5001,$B17),SUMIFS(BD!$U$3:$U$5001,BD!$A$3:$A$5001,$B17,BD!$B$3:$B$5001,$D$2)))</f>
        <v>0</v>
      </c>
      <c r="W17" s="50">
        <f>$B$5</f>
        <v>0.7</v>
      </c>
      <c r="X17" s="50">
        <f>$B$6</f>
        <v>0.9</v>
      </c>
      <c r="AL17" s="29" t="inlineStr">
        <is>
          <t xml:space="preserve">JUNHO · 2026</t>
        </is>
      </c>
      <c r="AN17" s="29" t="str">
        <f>IFERROR(INDEX(Config!$B$10:$B$29,MATCH(5,$AP$13:$AP$32,0))&amp;"","")</f>
        <v>PMB</v>
      </c>
      <c r="AO17" s="28" t="str">
        <f>IF(AN17="","",IF(INDEX(Config!$C$10:$C$29,MATCH(5,$AP$13:$AP$32,0))&amp;""="","JSL",INDEX(Config!$C$10:$C$29,MATCH(5,$AP$13:$AP$32,0))&amp;""))</f>
        <v>JSL</v>
      </c>
      <c r="AP17" s="38">
        <f>IF(Config!$B$14&amp;""="",AP16,AP16+1)</f>
        <v>5</v>
      </c>
      <c r="AQ17" s="29" t="str">
        <f>"ACUMULADO SEMANAL TONS — "&amp;IF($B$2="Todos","TODOS OS CLIENTES",UPPER($B$2))</f>
        <v>ACUMULADO SEMANAL TONS — TODOS OS CLIENTES</v>
      </c>
    </row>
    <row r="18">
      <c r="A18" s="28">
        <v>7</v>
      </c>
      <c r="B18" s="46">
        <f>IF($A18&lt;=DAY($D$7),$C$7+$A18-1,"")</f>
        <v>46302</v>
      </c>
      <c r="C18" s="32">
        <f>IF($B18="","",IF($B$2="Todos",SUMIFS(BD!$C$3:$C$5001,BD!$A$3:$A$5001,$B18),SUMIFS(BD!$C$3:$C$5001,BD!$A$3:$A$5001,$B18,BD!$B$3:$B$5001,$D$2)))</f>
        <v>0</v>
      </c>
      <c r="D18" s="32">
        <f>IF($B18="","",IF($B$2="Todos",SUMIFS(BD!$D$3:$D$5001,BD!$A$3:$A$5001,$B18),SUMIFS(BD!$D$3:$D$5001,BD!$A$3:$A$5001,$B18,BD!$B$3:$B$5001,$D$2)))</f>
        <v>0</v>
      </c>
      <c r="E18" s="47">
        <f>IF($B18="","",IF($B$2="Todos",SUMIFS(BD!$E$3:$E$5001,BD!$A$3:$A$5001,$B18),SUMIFS(BD!$E$3:$E$5001,BD!$A$3:$A$5001,$B18,BD!$B$3:$B$5001,$D$2)))</f>
        <v>0</v>
      </c>
      <c r="F18" s="32">
        <f>IF($B18="","",IF($B$2="Todos",SUMIFS(BD!$F$3:$F$5001,BD!$A$3:$A$5001,$B18),SUMIFS(BD!$F$3:$F$5001,BD!$A$3:$A$5001,$B18,BD!$B$3:$B$5001,$D$2)))</f>
        <v>0</v>
      </c>
      <c r="G18" s="32">
        <f>IF($B18="","",IF($B$2="Todos",SUMIFS(BD!$G$3:$G$5001,BD!$A$3:$A$5001,$B18),SUMIFS(BD!$G$3:$G$5001,BD!$A$3:$A$5001,$B18,BD!$B$3:$B$5001,$D$2)))</f>
        <v>0</v>
      </c>
      <c r="H18" s="47">
        <f>IF($B18="","",IF($B$2="Todos",SUMIFS(BD!$H$3:$H$5001,BD!$A$3:$A$5001,$B18),SUMIFS(BD!$H$3:$H$5001,BD!$A$3:$A$5001,$B18,BD!$B$3:$B$5001,$D$2)))</f>
        <v>0</v>
      </c>
      <c r="I18" s="32">
        <f>IF($B18="","",IF($B$2="Todos",SUMIFS(BD!$I$3:$I$5001,BD!$A$3:$A$5001,$B18),SUMIFS(BD!$I$3:$I$5001,BD!$A$3:$A$5001,$B18,BD!$B$3:$B$5001,$D$2)))</f>
        <v>0</v>
      </c>
      <c r="J18" s="32">
        <f>IF($B18="","",IF($B$2="Todos",SUMIFS(BD!$J$3:$J$5001,BD!$A$3:$A$5001,$B18),SUMIFS(BD!$J$3:$J$5001,BD!$A$3:$A$5001,$B18,BD!$B$3:$B$5001,$D$2)))</f>
        <v>0</v>
      </c>
      <c r="K18" s="32" t="str">
        <f>IF($B$2="Todos",IF(COUNT($C$121:$V$121)=0,"",SUM($C$121:$V$121)),IFERROR(INDEX($C$121:$V$121,MATCH($D$2,$C$114:$V$114,0)),""))</f>
        <v/>
      </c>
      <c r="L18" s="48" t="str">
        <f>IF(M18="","",IF($B$2="Todos",IF($B$4&gt;0,$B$4,IF($B$2="Todos",IF(COUNT($C$191:$V$191)=0,"",SUM($C$191:$V$191)),IFERROR(INDEX($C$191:$V$191,MATCH($D$2,$C$184:$V$184,0)),""))),IFERROR(INDEX($C$191:$V$191,MATCH($D$2,$C$184:$V$184,0)),"")))</f>
        <v/>
      </c>
      <c r="M18" s="32" t="str">
        <f>IF($B$2="Todos",IF(COUNT($C$156:$V$156)=0,"",SUM($C$156:$V$156)),IFERROR(INDEX($C$156:$V$156,MATCH($D$2,$C$149:$V$149,0)),""))</f>
        <v/>
      </c>
      <c r="N18" s="49" t="str">
        <f>IF(AND(ISNUMBER(M18),ISNUMBER(L18)),IF(L18&gt;0,M18/L18,""),"")</f>
        <v/>
      </c>
      <c r="O18" s="32" t="str">
        <f>IF($B$2="Todos",IF(COUNT($C$226:$V$226)=0,"",SUM($C$226:$V$226)),IFERROR(INDEX($C$226:$V$226,MATCH($D$2,$C$219:$V$219,0)),""))</f>
        <v/>
      </c>
      <c r="P18" s="32">
        <f>IF($B18="","",IF($B$2="Todos",SUMIFS(BD!$O$3:$O$5001,BD!$A$3:$A$5001,$B18),SUMIFS(BD!$O$3:$O$5001,BD!$A$3:$A$5001,$B18,BD!$B$3:$B$5001,$D$2)))</f>
        <v>0</v>
      </c>
      <c r="Q18" s="32">
        <f>IF($B18="","",IF($B$2="Todos",SUMIFS(BD!$P$3:$P$5001,BD!$A$3:$A$5001,$B18),SUMIFS(BD!$P$3:$P$5001,BD!$A$3:$A$5001,$B18,BD!$B$3:$B$5001,$D$2)))</f>
        <v>0</v>
      </c>
      <c r="R18" s="32">
        <f>IF($B18="","",IF($B$2="Todos",SUMIFS(BD!$Q$3:$Q$5001,BD!$A$3:$A$5001,$B18),SUMIFS(BD!$Q$3:$Q$5001,BD!$A$3:$A$5001,$B18,BD!$B$3:$B$5001,$D$2)))</f>
        <v>0</v>
      </c>
      <c r="S18" s="32">
        <f>IF($B18="","",IF($B$2="Todos",SUMIFS(BD!$R$3:$R$5001,BD!$A$3:$A$5001,$B18),SUMIFS(BD!$R$3:$R$5001,BD!$A$3:$A$5001,$B18,BD!$B$3:$B$5001,$D$2)))</f>
        <v>0</v>
      </c>
      <c r="T18" s="32">
        <f>IF($B18="","",IF($B$2="Todos",SUMIFS(BD!$S$3:$S$5001,BD!$A$3:$A$5001,$B18),SUMIFS(BD!$S$3:$S$5001,BD!$A$3:$A$5001,$B18,BD!$B$3:$B$5001,$D$2)))</f>
        <v>0</v>
      </c>
      <c r="U18" s="32">
        <f>IF($B18="","",IF($B$2="Todos",SUMIFS(BD!$T$3:$T$5001,BD!$A$3:$A$5001,$B18),SUMIFS(BD!$T$3:$T$5001,BD!$A$3:$A$5001,$B18,BD!$B$3:$B$5001,$D$2)))</f>
        <v>0</v>
      </c>
      <c r="V18" s="32">
        <f>IF($B18="","",IF($B$2="Todos",SUMIFS(BD!$U$3:$U$5001,BD!$A$3:$A$5001,$B18),SUMIFS(BD!$U$3:$U$5001,BD!$A$3:$A$5001,$B18,BD!$B$3:$B$5001,$D$2)))</f>
        <v>0</v>
      </c>
      <c r="W18" s="50">
        <f>$B$5</f>
        <v>0.7</v>
      </c>
      <c r="X18" s="50">
        <f>$B$6</f>
        <v>0.9</v>
      </c>
      <c r="AL18" s="29" t="inlineStr">
        <is>
          <t xml:space="preserve">JULHO · 2026</t>
        </is>
      </c>
      <c r="AN18" s="29" t="str">
        <f>IFERROR(INDEX(Config!$B$10:$B$29,MATCH(6,$AP$13:$AP$32,0))&amp;"","")</f>
        <v/>
      </c>
      <c r="AO18" s="28" t="str">
        <f>IF(AN18="","",IF(INDEX(Config!$C$10:$C$29,MATCH(6,$AP$13:$AP$32,0))&amp;""="","JSL",INDEX(Config!$C$10:$C$29,MATCH(6,$AP$13:$AP$32,0))&amp;""))</f>
        <v/>
      </c>
      <c r="AP18" s="38">
        <f>IF(Config!$B$15&amp;""="",AP17,AP17+1)</f>
        <v>5</v>
      </c>
    </row>
    <row r="19">
      <c r="A19" s="28">
        <v>8</v>
      </c>
      <c r="B19" s="46">
        <f>IF($A19&lt;=DAY($D$7),$C$7+$A19-1,"")</f>
        <v>46303</v>
      </c>
      <c r="C19" s="32">
        <f>IF($B19="","",IF($B$2="Todos",SUMIFS(BD!$C$3:$C$5001,BD!$A$3:$A$5001,$B19),SUMIFS(BD!$C$3:$C$5001,BD!$A$3:$A$5001,$B19,BD!$B$3:$B$5001,$D$2)))</f>
        <v>0</v>
      </c>
      <c r="D19" s="32">
        <f>IF($B19="","",IF($B$2="Todos",SUMIFS(BD!$D$3:$D$5001,BD!$A$3:$A$5001,$B19),SUMIFS(BD!$D$3:$D$5001,BD!$A$3:$A$5001,$B19,BD!$B$3:$B$5001,$D$2)))</f>
        <v>0</v>
      </c>
      <c r="E19" s="47">
        <f>IF($B19="","",IF($B$2="Todos",SUMIFS(BD!$E$3:$E$5001,BD!$A$3:$A$5001,$B19),SUMIFS(BD!$E$3:$E$5001,BD!$A$3:$A$5001,$B19,BD!$B$3:$B$5001,$D$2)))</f>
        <v>0</v>
      </c>
      <c r="F19" s="32">
        <f>IF($B19="","",IF($B$2="Todos",SUMIFS(BD!$F$3:$F$5001,BD!$A$3:$A$5001,$B19),SUMIFS(BD!$F$3:$F$5001,BD!$A$3:$A$5001,$B19,BD!$B$3:$B$5001,$D$2)))</f>
        <v>0</v>
      </c>
      <c r="G19" s="32">
        <f>IF($B19="","",IF($B$2="Todos",SUMIFS(BD!$G$3:$G$5001,BD!$A$3:$A$5001,$B19),SUMIFS(BD!$G$3:$G$5001,BD!$A$3:$A$5001,$B19,BD!$B$3:$B$5001,$D$2)))</f>
        <v>0</v>
      </c>
      <c r="H19" s="47">
        <f>IF($B19="","",IF($B$2="Todos",SUMIFS(BD!$H$3:$H$5001,BD!$A$3:$A$5001,$B19),SUMIFS(BD!$H$3:$H$5001,BD!$A$3:$A$5001,$B19,BD!$B$3:$B$5001,$D$2)))</f>
        <v>0</v>
      </c>
      <c r="I19" s="32">
        <f>IF($B19="","",IF($B$2="Todos",SUMIFS(BD!$I$3:$I$5001,BD!$A$3:$A$5001,$B19),SUMIFS(BD!$I$3:$I$5001,BD!$A$3:$A$5001,$B19,BD!$B$3:$B$5001,$D$2)))</f>
        <v>0</v>
      </c>
      <c r="J19" s="32">
        <f>IF($B19="","",IF($B$2="Todos",SUMIFS(BD!$J$3:$J$5001,BD!$A$3:$A$5001,$B19),SUMIFS(BD!$J$3:$J$5001,BD!$A$3:$A$5001,$B19,BD!$B$3:$B$5001,$D$2)))</f>
        <v>0</v>
      </c>
      <c r="K19" s="32" t="str">
        <f>IF($B$2="Todos",IF(COUNT($C$122:$V$122)=0,"",SUM($C$122:$V$122)),IFERROR(INDEX($C$122:$V$122,MATCH($D$2,$C$114:$V$114,0)),""))</f>
        <v/>
      </c>
      <c r="L19" s="48" t="str">
        <f>IF(M19="","",IF($B$2="Todos",IF($B$4&gt;0,$B$4,IF($B$2="Todos",IF(COUNT($C$192:$V$192)=0,"",SUM($C$192:$V$192)),IFERROR(INDEX($C$192:$V$192,MATCH($D$2,$C$184:$V$184,0)),""))),IFERROR(INDEX($C$192:$V$192,MATCH($D$2,$C$184:$V$184,0)),"")))</f>
        <v/>
      </c>
      <c r="M19" s="32" t="str">
        <f>IF($B$2="Todos",IF(COUNT($C$157:$V$157)=0,"",SUM($C$157:$V$157)),IFERROR(INDEX($C$157:$V$157,MATCH($D$2,$C$149:$V$149,0)),""))</f>
        <v/>
      </c>
      <c r="N19" s="49" t="str">
        <f>IF(AND(ISNUMBER(M19),ISNUMBER(L19)),IF(L19&gt;0,M19/L19,""),"")</f>
        <v/>
      </c>
      <c r="O19" s="32" t="str">
        <f>IF($B$2="Todos",IF(COUNT($C$227:$V$227)=0,"",SUM($C$227:$V$227)),IFERROR(INDEX($C$227:$V$227,MATCH($D$2,$C$219:$V$219,0)),""))</f>
        <v/>
      </c>
      <c r="P19" s="32">
        <f>IF($B19="","",IF($B$2="Todos",SUMIFS(BD!$O$3:$O$5001,BD!$A$3:$A$5001,$B19),SUMIFS(BD!$O$3:$O$5001,BD!$A$3:$A$5001,$B19,BD!$B$3:$B$5001,$D$2)))</f>
        <v>0</v>
      </c>
      <c r="Q19" s="32">
        <f>IF($B19="","",IF($B$2="Todos",SUMIFS(BD!$P$3:$P$5001,BD!$A$3:$A$5001,$B19),SUMIFS(BD!$P$3:$P$5001,BD!$A$3:$A$5001,$B19,BD!$B$3:$B$5001,$D$2)))</f>
        <v>0</v>
      </c>
      <c r="R19" s="32">
        <f>IF($B19="","",IF($B$2="Todos",SUMIFS(BD!$Q$3:$Q$5001,BD!$A$3:$A$5001,$B19),SUMIFS(BD!$Q$3:$Q$5001,BD!$A$3:$A$5001,$B19,BD!$B$3:$B$5001,$D$2)))</f>
        <v>0</v>
      </c>
      <c r="S19" s="32">
        <f>IF($B19="","",IF($B$2="Todos",SUMIFS(BD!$R$3:$R$5001,BD!$A$3:$A$5001,$B19),SUMIFS(BD!$R$3:$R$5001,BD!$A$3:$A$5001,$B19,BD!$B$3:$B$5001,$D$2)))</f>
        <v>0</v>
      </c>
      <c r="T19" s="32">
        <f>IF($B19="","",IF($B$2="Todos",SUMIFS(BD!$S$3:$S$5001,BD!$A$3:$A$5001,$B19),SUMIFS(BD!$S$3:$S$5001,BD!$A$3:$A$5001,$B19,BD!$B$3:$B$5001,$D$2)))</f>
        <v>0</v>
      </c>
      <c r="U19" s="32">
        <f>IF($B19="","",IF($B$2="Todos",SUMIFS(BD!$T$3:$T$5001,BD!$A$3:$A$5001,$B19),SUMIFS(BD!$T$3:$T$5001,BD!$A$3:$A$5001,$B19,BD!$B$3:$B$5001,$D$2)))</f>
        <v>0</v>
      </c>
      <c r="V19" s="32">
        <f>IF($B19="","",IF($B$2="Todos",SUMIFS(BD!$U$3:$U$5001,BD!$A$3:$A$5001,$B19),SUMIFS(BD!$U$3:$U$5001,BD!$A$3:$A$5001,$B19,BD!$B$3:$B$5001,$D$2)))</f>
        <v>0</v>
      </c>
      <c r="W19" s="50">
        <f>$B$5</f>
        <v>0.7</v>
      </c>
      <c r="X19" s="50">
        <f>$B$6</f>
        <v>0.9</v>
      </c>
      <c r="AL19" s="29" t="inlineStr">
        <is>
          <t xml:space="preserve">AGOSTO · 2026</t>
        </is>
      </c>
      <c r="AN19" s="29" t="str">
        <f>IFERROR(INDEX(Config!$B$10:$B$29,MATCH(7,$AP$13:$AP$32,0))&amp;"","")</f>
        <v/>
      </c>
      <c r="AO19" s="28" t="str">
        <f>IF(AN19="","",IF(INDEX(Config!$C$10:$C$29,MATCH(7,$AP$13:$AP$32,0))&amp;""="","JSL",INDEX(Config!$C$10:$C$29,MATCH(7,$AP$13:$AP$32,0))&amp;""))</f>
        <v/>
      </c>
      <c r="AP19" s="38">
        <f>IF(Config!$B$16&amp;""="",AP18,AP18+1)</f>
        <v>5</v>
      </c>
    </row>
    <row r="20">
      <c r="A20" s="28">
        <v>9</v>
      </c>
      <c r="B20" s="46">
        <f>IF($A20&lt;=DAY($D$7),$C$7+$A20-1,"")</f>
        <v>46304</v>
      </c>
      <c r="C20" s="32">
        <f>IF($B20="","",IF($B$2="Todos",SUMIFS(BD!$C$3:$C$5001,BD!$A$3:$A$5001,$B20),SUMIFS(BD!$C$3:$C$5001,BD!$A$3:$A$5001,$B20,BD!$B$3:$B$5001,$D$2)))</f>
        <v>0</v>
      </c>
      <c r="D20" s="32">
        <f>IF($B20="","",IF($B$2="Todos",SUMIFS(BD!$D$3:$D$5001,BD!$A$3:$A$5001,$B20),SUMIFS(BD!$D$3:$D$5001,BD!$A$3:$A$5001,$B20,BD!$B$3:$B$5001,$D$2)))</f>
        <v>0</v>
      </c>
      <c r="E20" s="47">
        <f>IF($B20="","",IF($B$2="Todos",SUMIFS(BD!$E$3:$E$5001,BD!$A$3:$A$5001,$B20),SUMIFS(BD!$E$3:$E$5001,BD!$A$3:$A$5001,$B20,BD!$B$3:$B$5001,$D$2)))</f>
        <v>0</v>
      </c>
      <c r="F20" s="32">
        <f>IF($B20="","",IF($B$2="Todos",SUMIFS(BD!$F$3:$F$5001,BD!$A$3:$A$5001,$B20),SUMIFS(BD!$F$3:$F$5001,BD!$A$3:$A$5001,$B20,BD!$B$3:$B$5001,$D$2)))</f>
        <v>0</v>
      </c>
      <c r="G20" s="32">
        <f>IF($B20="","",IF($B$2="Todos",SUMIFS(BD!$G$3:$G$5001,BD!$A$3:$A$5001,$B20),SUMIFS(BD!$G$3:$G$5001,BD!$A$3:$A$5001,$B20,BD!$B$3:$B$5001,$D$2)))</f>
        <v>0</v>
      </c>
      <c r="H20" s="47">
        <f>IF($B20="","",IF($B$2="Todos",SUMIFS(BD!$H$3:$H$5001,BD!$A$3:$A$5001,$B20),SUMIFS(BD!$H$3:$H$5001,BD!$A$3:$A$5001,$B20,BD!$B$3:$B$5001,$D$2)))</f>
        <v>0</v>
      </c>
      <c r="I20" s="32">
        <f>IF($B20="","",IF($B$2="Todos",SUMIFS(BD!$I$3:$I$5001,BD!$A$3:$A$5001,$B20),SUMIFS(BD!$I$3:$I$5001,BD!$A$3:$A$5001,$B20,BD!$B$3:$B$5001,$D$2)))</f>
        <v>0</v>
      </c>
      <c r="J20" s="32">
        <f>IF($B20="","",IF($B$2="Todos",SUMIFS(BD!$J$3:$J$5001,BD!$A$3:$A$5001,$B20),SUMIFS(BD!$J$3:$J$5001,BD!$A$3:$A$5001,$B20,BD!$B$3:$B$5001,$D$2)))</f>
        <v>0</v>
      </c>
      <c r="K20" s="32" t="str">
        <f>IF($B$2="Todos",IF(COUNT($C$123:$V$123)=0,"",SUM($C$123:$V$123)),IFERROR(INDEX($C$123:$V$123,MATCH($D$2,$C$114:$V$114,0)),""))</f>
        <v/>
      </c>
      <c r="L20" s="48" t="str">
        <f>IF(M20="","",IF($B$2="Todos",IF($B$4&gt;0,$B$4,IF($B$2="Todos",IF(COUNT($C$193:$V$193)=0,"",SUM($C$193:$V$193)),IFERROR(INDEX($C$193:$V$193,MATCH($D$2,$C$184:$V$184,0)),""))),IFERROR(INDEX($C$193:$V$193,MATCH($D$2,$C$184:$V$184,0)),"")))</f>
        <v/>
      </c>
      <c r="M20" s="32" t="str">
        <f>IF($B$2="Todos",IF(COUNT($C$158:$V$158)=0,"",SUM($C$158:$V$158)),IFERROR(INDEX($C$158:$V$158,MATCH($D$2,$C$149:$V$149,0)),""))</f>
        <v/>
      </c>
      <c r="N20" s="49" t="str">
        <f>IF(AND(ISNUMBER(M20),ISNUMBER(L20)),IF(L20&gt;0,M20/L20,""),"")</f>
        <v/>
      </c>
      <c r="O20" s="32" t="str">
        <f>IF($B$2="Todos",IF(COUNT($C$228:$V$228)=0,"",SUM($C$228:$V$228)),IFERROR(INDEX($C$228:$V$228,MATCH($D$2,$C$219:$V$219,0)),""))</f>
        <v/>
      </c>
      <c r="P20" s="32">
        <f>IF($B20="","",IF($B$2="Todos",SUMIFS(BD!$O$3:$O$5001,BD!$A$3:$A$5001,$B20),SUMIFS(BD!$O$3:$O$5001,BD!$A$3:$A$5001,$B20,BD!$B$3:$B$5001,$D$2)))</f>
        <v>0</v>
      </c>
      <c r="Q20" s="32">
        <f>IF($B20="","",IF($B$2="Todos",SUMIFS(BD!$P$3:$P$5001,BD!$A$3:$A$5001,$B20),SUMIFS(BD!$P$3:$P$5001,BD!$A$3:$A$5001,$B20,BD!$B$3:$B$5001,$D$2)))</f>
        <v>0</v>
      </c>
      <c r="R20" s="32">
        <f>IF($B20="","",IF($B$2="Todos",SUMIFS(BD!$Q$3:$Q$5001,BD!$A$3:$A$5001,$B20),SUMIFS(BD!$Q$3:$Q$5001,BD!$A$3:$A$5001,$B20,BD!$B$3:$B$5001,$D$2)))</f>
        <v>0</v>
      </c>
      <c r="S20" s="32">
        <f>IF($B20="","",IF($B$2="Todos",SUMIFS(BD!$R$3:$R$5001,BD!$A$3:$A$5001,$B20),SUMIFS(BD!$R$3:$R$5001,BD!$A$3:$A$5001,$B20,BD!$B$3:$B$5001,$D$2)))</f>
        <v>0</v>
      </c>
      <c r="T20" s="32">
        <f>IF($B20="","",IF($B$2="Todos",SUMIFS(BD!$S$3:$S$5001,BD!$A$3:$A$5001,$B20),SUMIFS(BD!$S$3:$S$5001,BD!$A$3:$A$5001,$B20,BD!$B$3:$B$5001,$D$2)))</f>
        <v>0</v>
      </c>
      <c r="U20" s="32">
        <f>IF($B20="","",IF($B$2="Todos",SUMIFS(BD!$T$3:$T$5001,BD!$A$3:$A$5001,$B20),SUMIFS(BD!$T$3:$T$5001,BD!$A$3:$A$5001,$B20,BD!$B$3:$B$5001,$D$2)))</f>
        <v>0</v>
      </c>
      <c r="V20" s="32">
        <f>IF($B20="","",IF($B$2="Todos",SUMIFS(BD!$U$3:$U$5001,BD!$A$3:$A$5001,$B20),SUMIFS(BD!$U$3:$U$5001,BD!$A$3:$A$5001,$B20,BD!$B$3:$B$5001,$D$2)))</f>
        <v>0</v>
      </c>
      <c r="W20" s="50">
        <f>$B$5</f>
        <v>0.7</v>
      </c>
      <c r="X20" s="50">
        <f>$B$6</f>
        <v>0.9</v>
      </c>
      <c r="AL20" s="29" t="inlineStr">
        <is>
          <t xml:space="preserve">SETEMBRO · 2026</t>
        </is>
      </c>
      <c r="AN20" s="29" t="str">
        <f>IFERROR(INDEX(Config!$B$10:$B$29,MATCH(8,$AP$13:$AP$32,0))&amp;"","")</f>
        <v/>
      </c>
      <c r="AO20" s="28" t="str">
        <f>IF(AN20="","",IF(INDEX(Config!$C$10:$C$29,MATCH(8,$AP$13:$AP$32,0))&amp;""="","JSL",INDEX(Config!$C$10:$C$29,MATCH(8,$AP$13:$AP$32,0))&amp;""))</f>
        <v/>
      </c>
      <c r="AP20" s="38">
        <f>IF(Config!$B$17&amp;""="",AP19,AP19+1)</f>
        <v>5</v>
      </c>
    </row>
    <row r="21">
      <c r="A21" s="28">
        <v>10</v>
      </c>
      <c r="B21" s="46">
        <f>IF($A21&lt;=DAY($D$7),$C$7+$A21-1,"")</f>
        <v>46305</v>
      </c>
      <c r="C21" s="32">
        <f>IF($B21="","",IF($B$2="Todos",SUMIFS(BD!$C$3:$C$5001,BD!$A$3:$A$5001,$B21),SUMIFS(BD!$C$3:$C$5001,BD!$A$3:$A$5001,$B21,BD!$B$3:$B$5001,$D$2)))</f>
        <v>0</v>
      </c>
      <c r="D21" s="32">
        <f>IF($B21="","",IF($B$2="Todos",SUMIFS(BD!$D$3:$D$5001,BD!$A$3:$A$5001,$B21),SUMIFS(BD!$D$3:$D$5001,BD!$A$3:$A$5001,$B21,BD!$B$3:$B$5001,$D$2)))</f>
        <v>0</v>
      </c>
      <c r="E21" s="47">
        <f>IF($B21="","",IF($B$2="Todos",SUMIFS(BD!$E$3:$E$5001,BD!$A$3:$A$5001,$B21),SUMIFS(BD!$E$3:$E$5001,BD!$A$3:$A$5001,$B21,BD!$B$3:$B$5001,$D$2)))</f>
        <v>0</v>
      </c>
      <c r="F21" s="32">
        <f>IF($B21="","",IF($B$2="Todos",SUMIFS(BD!$F$3:$F$5001,BD!$A$3:$A$5001,$B21),SUMIFS(BD!$F$3:$F$5001,BD!$A$3:$A$5001,$B21,BD!$B$3:$B$5001,$D$2)))</f>
        <v>0</v>
      </c>
      <c r="G21" s="32">
        <f>IF($B21="","",IF($B$2="Todos",SUMIFS(BD!$G$3:$G$5001,BD!$A$3:$A$5001,$B21),SUMIFS(BD!$G$3:$G$5001,BD!$A$3:$A$5001,$B21,BD!$B$3:$B$5001,$D$2)))</f>
        <v>0</v>
      </c>
      <c r="H21" s="47">
        <f>IF($B21="","",IF($B$2="Todos",SUMIFS(BD!$H$3:$H$5001,BD!$A$3:$A$5001,$B21),SUMIFS(BD!$H$3:$H$5001,BD!$A$3:$A$5001,$B21,BD!$B$3:$B$5001,$D$2)))</f>
        <v>0</v>
      </c>
      <c r="I21" s="32">
        <f>IF($B21="","",IF($B$2="Todos",SUMIFS(BD!$I$3:$I$5001,BD!$A$3:$A$5001,$B21),SUMIFS(BD!$I$3:$I$5001,BD!$A$3:$A$5001,$B21,BD!$B$3:$B$5001,$D$2)))</f>
        <v>0</v>
      </c>
      <c r="J21" s="32">
        <f>IF($B21="","",IF($B$2="Todos",SUMIFS(BD!$J$3:$J$5001,BD!$A$3:$A$5001,$B21),SUMIFS(BD!$J$3:$J$5001,BD!$A$3:$A$5001,$B21,BD!$B$3:$B$5001,$D$2)))</f>
        <v>0</v>
      </c>
      <c r="K21" s="32" t="str">
        <f>IF($B$2="Todos",IF(COUNT($C$124:$V$124)=0,"",SUM($C$124:$V$124)),IFERROR(INDEX($C$124:$V$124,MATCH($D$2,$C$114:$V$114,0)),""))</f>
        <v/>
      </c>
      <c r="L21" s="48" t="str">
        <f>IF(M21="","",IF($B$2="Todos",IF($B$4&gt;0,$B$4,IF($B$2="Todos",IF(COUNT($C$194:$V$194)=0,"",SUM($C$194:$V$194)),IFERROR(INDEX($C$194:$V$194,MATCH($D$2,$C$184:$V$184,0)),""))),IFERROR(INDEX($C$194:$V$194,MATCH($D$2,$C$184:$V$184,0)),"")))</f>
        <v/>
      </c>
      <c r="M21" s="32" t="str">
        <f>IF($B$2="Todos",IF(COUNT($C$159:$V$159)=0,"",SUM($C$159:$V$159)),IFERROR(INDEX($C$159:$V$159,MATCH($D$2,$C$149:$V$149,0)),""))</f>
        <v/>
      </c>
      <c r="N21" s="49" t="str">
        <f>IF(AND(ISNUMBER(M21),ISNUMBER(L21)),IF(L21&gt;0,M21/L21,""),"")</f>
        <v/>
      </c>
      <c r="O21" s="32" t="str">
        <f>IF($B$2="Todos",IF(COUNT($C$229:$V$229)=0,"",SUM($C$229:$V$229)),IFERROR(INDEX($C$229:$V$229,MATCH($D$2,$C$219:$V$219,0)),""))</f>
        <v/>
      </c>
      <c r="P21" s="32">
        <f>IF($B21="","",IF($B$2="Todos",SUMIFS(BD!$O$3:$O$5001,BD!$A$3:$A$5001,$B21),SUMIFS(BD!$O$3:$O$5001,BD!$A$3:$A$5001,$B21,BD!$B$3:$B$5001,$D$2)))</f>
        <v>0</v>
      </c>
      <c r="Q21" s="32">
        <f>IF($B21="","",IF($B$2="Todos",SUMIFS(BD!$P$3:$P$5001,BD!$A$3:$A$5001,$B21),SUMIFS(BD!$P$3:$P$5001,BD!$A$3:$A$5001,$B21,BD!$B$3:$B$5001,$D$2)))</f>
        <v>0</v>
      </c>
      <c r="R21" s="32">
        <f>IF($B21="","",IF($B$2="Todos",SUMIFS(BD!$Q$3:$Q$5001,BD!$A$3:$A$5001,$B21),SUMIFS(BD!$Q$3:$Q$5001,BD!$A$3:$A$5001,$B21,BD!$B$3:$B$5001,$D$2)))</f>
        <v>0</v>
      </c>
      <c r="S21" s="32">
        <f>IF($B21="","",IF($B$2="Todos",SUMIFS(BD!$R$3:$R$5001,BD!$A$3:$A$5001,$B21),SUMIFS(BD!$R$3:$R$5001,BD!$A$3:$A$5001,$B21,BD!$B$3:$B$5001,$D$2)))</f>
        <v>0</v>
      </c>
      <c r="T21" s="32">
        <f>IF($B21="","",IF($B$2="Todos",SUMIFS(BD!$S$3:$S$5001,BD!$A$3:$A$5001,$B21),SUMIFS(BD!$S$3:$S$5001,BD!$A$3:$A$5001,$B21,BD!$B$3:$B$5001,$D$2)))</f>
        <v>0</v>
      </c>
      <c r="U21" s="32">
        <f>IF($B21="","",IF($B$2="Todos",SUMIFS(BD!$T$3:$T$5001,BD!$A$3:$A$5001,$B21),SUMIFS(BD!$T$3:$T$5001,BD!$A$3:$A$5001,$B21,BD!$B$3:$B$5001,$D$2)))</f>
        <v>0</v>
      </c>
      <c r="V21" s="32">
        <f>IF($B21="","",IF($B$2="Todos",SUMIFS(BD!$U$3:$U$5001,BD!$A$3:$A$5001,$B21),SUMIFS(BD!$U$3:$U$5001,BD!$A$3:$A$5001,$B21,BD!$B$3:$B$5001,$D$2)))</f>
        <v>0</v>
      </c>
      <c r="W21" s="50">
        <f>$B$5</f>
        <v>0.7</v>
      </c>
      <c r="X21" s="50">
        <f>$B$6</f>
        <v>0.9</v>
      </c>
      <c r="AL21" s="29" t="inlineStr">
        <is>
          <t xml:space="preserve">OUTUBRO · 2026</t>
        </is>
      </c>
      <c r="AN21" s="29" t="str">
        <f>IFERROR(INDEX(Config!$B$10:$B$29,MATCH(9,$AP$13:$AP$32,0))&amp;"","")</f>
        <v/>
      </c>
      <c r="AO21" s="28" t="str">
        <f>IF(AN21="","",IF(INDEX(Config!$C$10:$C$29,MATCH(9,$AP$13:$AP$32,0))&amp;""="","JSL",INDEX(Config!$C$10:$C$29,MATCH(9,$AP$13:$AP$32,0))&amp;""))</f>
        <v/>
      </c>
      <c r="AP21" s="38">
        <f>IF(Config!$B$18&amp;""="",AP20,AP20+1)</f>
        <v>5</v>
      </c>
    </row>
    <row r="22">
      <c r="A22" s="28">
        <v>11</v>
      </c>
      <c r="B22" s="46">
        <f>IF($A22&lt;=DAY($D$7),$C$7+$A22-1,"")</f>
        <v>46306</v>
      </c>
      <c r="C22" s="32">
        <f>IF($B22="","",IF($B$2="Todos",SUMIFS(BD!$C$3:$C$5001,BD!$A$3:$A$5001,$B22),SUMIFS(BD!$C$3:$C$5001,BD!$A$3:$A$5001,$B22,BD!$B$3:$B$5001,$D$2)))</f>
        <v>0</v>
      </c>
      <c r="D22" s="32">
        <f>IF($B22="","",IF($B$2="Todos",SUMIFS(BD!$D$3:$D$5001,BD!$A$3:$A$5001,$B22),SUMIFS(BD!$D$3:$D$5001,BD!$A$3:$A$5001,$B22,BD!$B$3:$B$5001,$D$2)))</f>
        <v>0</v>
      </c>
      <c r="E22" s="47">
        <f>IF($B22="","",IF($B$2="Todos",SUMIFS(BD!$E$3:$E$5001,BD!$A$3:$A$5001,$B22),SUMIFS(BD!$E$3:$E$5001,BD!$A$3:$A$5001,$B22,BD!$B$3:$B$5001,$D$2)))</f>
        <v>0</v>
      </c>
      <c r="F22" s="32">
        <f>IF($B22="","",IF($B$2="Todos",SUMIFS(BD!$F$3:$F$5001,BD!$A$3:$A$5001,$B22),SUMIFS(BD!$F$3:$F$5001,BD!$A$3:$A$5001,$B22,BD!$B$3:$B$5001,$D$2)))</f>
        <v>0</v>
      </c>
      <c r="G22" s="32">
        <f>IF($B22="","",IF($B$2="Todos",SUMIFS(BD!$G$3:$G$5001,BD!$A$3:$A$5001,$B22),SUMIFS(BD!$G$3:$G$5001,BD!$A$3:$A$5001,$B22,BD!$B$3:$B$5001,$D$2)))</f>
        <v>0</v>
      </c>
      <c r="H22" s="47">
        <f>IF($B22="","",IF($B$2="Todos",SUMIFS(BD!$H$3:$H$5001,BD!$A$3:$A$5001,$B22),SUMIFS(BD!$H$3:$H$5001,BD!$A$3:$A$5001,$B22,BD!$B$3:$B$5001,$D$2)))</f>
        <v>0</v>
      </c>
      <c r="I22" s="32">
        <f>IF($B22="","",IF($B$2="Todos",SUMIFS(BD!$I$3:$I$5001,BD!$A$3:$A$5001,$B22),SUMIFS(BD!$I$3:$I$5001,BD!$A$3:$A$5001,$B22,BD!$B$3:$B$5001,$D$2)))</f>
        <v>0</v>
      </c>
      <c r="J22" s="32">
        <f>IF($B22="","",IF($B$2="Todos",SUMIFS(BD!$J$3:$J$5001,BD!$A$3:$A$5001,$B22),SUMIFS(BD!$J$3:$J$5001,BD!$A$3:$A$5001,$B22,BD!$B$3:$B$5001,$D$2)))</f>
        <v>0</v>
      </c>
      <c r="K22" s="32" t="str">
        <f>IF($B$2="Todos",IF(COUNT($C$125:$V$125)=0,"",SUM($C$125:$V$125)),IFERROR(INDEX($C$125:$V$125,MATCH($D$2,$C$114:$V$114,0)),""))</f>
        <v/>
      </c>
      <c r="L22" s="48" t="str">
        <f>IF(M22="","",IF($B$2="Todos",IF($B$4&gt;0,$B$4,IF($B$2="Todos",IF(COUNT($C$195:$V$195)=0,"",SUM($C$195:$V$195)),IFERROR(INDEX($C$195:$V$195,MATCH($D$2,$C$184:$V$184,0)),""))),IFERROR(INDEX($C$195:$V$195,MATCH($D$2,$C$184:$V$184,0)),"")))</f>
        <v/>
      </c>
      <c r="M22" s="32" t="str">
        <f>IF($B$2="Todos",IF(COUNT($C$160:$V$160)=0,"",SUM($C$160:$V$160)),IFERROR(INDEX($C$160:$V$160,MATCH($D$2,$C$149:$V$149,0)),""))</f>
        <v/>
      </c>
      <c r="N22" s="49" t="str">
        <f>IF(AND(ISNUMBER(M22),ISNUMBER(L22)),IF(L22&gt;0,M22/L22,""),"")</f>
        <v/>
      </c>
      <c r="O22" s="32" t="str">
        <f>IF($B$2="Todos",IF(COUNT($C$230:$V$230)=0,"",SUM($C$230:$V$230)),IFERROR(INDEX($C$230:$V$230,MATCH($D$2,$C$219:$V$219,0)),""))</f>
        <v/>
      </c>
      <c r="P22" s="32">
        <f>IF($B22="","",IF($B$2="Todos",SUMIFS(BD!$O$3:$O$5001,BD!$A$3:$A$5001,$B22),SUMIFS(BD!$O$3:$O$5001,BD!$A$3:$A$5001,$B22,BD!$B$3:$B$5001,$D$2)))</f>
        <v>0</v>
      </c>
      <c r="Q22" s="32">
        <f>IF($B22="","",IF($B$2="Todos",SUMIFS(BD!$P$3:$P$5001,BD!$A$3:$A$5001,$B22),SUMIFS(BD!$P$3:$P$5001,BD!$A$3:$A$5001,$B22,BD!$B$3:$B$5001,$D$2)))</f>
        <v>0</v>
      </c>
      <c r="R22" s="32">
        <f>IF($B22="","",IF($B$2="Todos",SUMIFS(BD!$Q$3:$Q$5001,BD!$A$3:$A$5001,$B22),SUMIFS(BD!$Q$3:$Q$5001,BD!$A$3:$A$5001,$B22,BD!$B$3:$B$5001,$D$2)))</f>
        <v>0</v>
      </c>
      <c r="S22" s="32">
        <f>IF($B22="","",IF($B$2="Todos",SUMIFS(BD!$R$3:$R$5001,BD!$A$3:$A$5001,$B22),SUMIFS(BD!$R$3:$R$5001,BD!$A$3:$A$5001,$B22,BD!$B$3:$B$5001,$D$2)))</f>
        <v>0</v>
      </c>
      <c r="T22" s="32">
        <f>IF($B22="","",IF($B$2="Todos",SUMIFS(BD!$S$3:$S$5001,BD!$A$3:$A$5001,$B22),SUMIFS(BD!$S$3:$S$5001,BD!$A$3:$A$5001,$B22,BD!$B$3:$B$5001,$D$2)))</f>
        <v>0</v>
      </c>
      <c r="U22" s="32">
        <f>IF($B22="","",IF($B$2="Todos",SUMIFS(BD!$T$3:$T$5001,BD!$A$3:$A$5001,$B22),SUMIFS(BD!$T$3:$T$5001,BD!$A$3:$A$5001,$B22,BD!$B$3:$B$5001,$D$2)))</f>
        <v>0</v>
      </c>
      <c r="V22" s="32">
        <f>IF($B22="","",IF($B$2="Todos",SUMIFS(BD!$U$3:$U$5001,BD!$A$3:$A$5001,$B22),SUMIFS(BD!$U$3:$U$5001,BD!$A$3:$A$5001,$B22,BD!$B$3:$B$5001,$D$2)))</f>
        <v>0</v>
      </c>
      <c r="W22" s="50">
        <f>$B$5</f>
        <v>0.7</v>
      </c>
      <c r="X22" s="50">
        <f>$B$6</f>
        <v>0.9</v>
      </c>
      <c r="AL22" s="29" t="inlineStr">
        <is>
          <t xml:space="preserve">NOVEMBRO · 2026</t>
        </is>
      </c>
      <c r="AN22" s="29" t="str">
        <f>IFERROR(INDEX(Config!$B$10:$B$29,MATCH(10,$AP$13:$AP$32,0))&amp;"","")</f>
        <v/>
      </c>
      <c r="AO22" s="28" t="str">
        <f>IF(AN22="","",IF(INDEX(Config!$C$10:$C$29,MATCH(10,$AP$13:$AP$32,0))&amp;""="","JSL",INDEX(Config!$C$10:$C$29,MATCH(10,$AP$13:$AP$32,0))&amp;""))</f>
        <v/>
      </c>
      <c r="AP22" s="38">
        <f>IF(Config!$B$19&amp;""="",AP21,AP21+1)</f>
        <v>5</v>
      </c>
    </row>
    <row r="23">
      <c r="A23" s="28">
        <v>12</v>
      </c>
      <c r="B23" s="46">
        <f>IF($A23&lt;=DAY($D$7),$C$7+$A23-1,"")</f>
        <v>46307</v>
      </c>
      <c r="C23" s="32">
        <f>IF($B23="","",IF($B$2="Todos",SUMIFS(BD!$C$3:$C$5001,BD!$A$3:$A$5001,$B23),SUMIFS(BD!$C$3:$C$5001,BD!$A$3:$A$5001,$B23,BD!$B$3:$B$5001,$D$2)))</f>
        <v>0</v>
      </c>
      <c r="D23" s="32">
        <f>IF($B23="","",IF($B$2="Todos",SUMIFS(BD!$D$3:$D$5001,BD!$A$3:$A$5001,$B23),SUMIFS(BD!$D$3:$D$5001,BD!$A$3:$A$5001,$B23,BD!$B$3:$B$5001,$D$2)))</f>
        <v>0</v>
      </c>
      <c r="E23" s="47">
        <f>IF($B23="","",IF($B$2="Todos",SUMIFS(BD!$E$3:$E$5001,BD!$A$3:$A$5001,$B23),SUMIFS(BD!$E$3:$E$5001,BD!$A$3:$A$5001,$B23,BD!$B$3:$B$5001,$D$2)))</f>
        <v>0</v>
      </c>
      <c r="F23" s="32">
        <f>IF($B23="","",IF($B$2="Todos",SUMIFS(BD!$F$3:$F$5001,BD!$A$3:$A$5001,$B23),SUMIFS(BD!$F$3:$F$5001,BD!$A$3:$A$5001,$B23,BD!$B$3:$B$5001,$D$2)))</f>
        <v>0</v>
      </c>
      <c r="G23" s="32">
        <f>IF($B23="","",IF($B$2="Todos",SUMIFS(BD!$G$3:$G$5001,BD!$A$3:$A$5001,$B23),SUMIFS(BD!$G$3:$G$5001,BD!$A$3:$A$5001,$B23,BD!$B$3:$B$5001,$D$2)))</f>
        <v>0</v>
      </c>
      <c r="H23" s="47">
        <f>IF($B23="","",IF($B$2="Todos",SUMIFS(BD!$H$3:$H$5001,BD!$A$3:$A$5001,$B23),SUMIFS(BD!$H$3:$H$5001,BD!$A$3:$A$5001,$B23,BD!$B$3:$B$5001,$D$2)))</f>
        <v>0</v>
      </c>
      <c r="I23" s="32">
        <f>IF($B23="","",IF($B$2="Todos",SUMIFS(BD!$I$3:$I$5001,BD!$A$3:$A$5001,$B23),SUMIFS(BD!$I$3:$I$5001,BD!$A$3:$A$5001,$B23,BD!$B$3:$B$5001,$D$2)))</f>
        <v>0</v>
      </c>
      <c r="J23" s="32">
        <f>IF($B23="","",IF($B$2="Todos",SUMIFS(BD!$J$3:$J$5001,BD!$A$3:$A$5001,$B23),SUMIFS(BD!$J$3:$J$5001,BD!$A$3:$A$5001,$B23,BD!$B$3:$B$5001,$D$2)))</f>
        <v>0</v>
      </c>
      <c r="K23" s="32" t="str">
        <f>IF($B$2="Todos",IF(COUNT($C$126:$V$126)=0,"",SUM($C$126:$V$126)),IFERROR(INDEX($C$126:$V$126,MATCH($D$2,$C$114:$V$114,0)),""))</f>
        <v/>
      </c>
      <c r="L23" s="48" t="str">
        <f>IF(M23="","",IF($B$2="Todos",IF($B$4&gt;0,$B$4,IF($B$2="Todos",IF(COUNT($C$196:$V$196)=0,"",SUM($C$196:$V$196)),IFERROR(INDEX($C$196:$V$196,MATCH($D$2,$C$184:$V$184,0)),""))),IFERROR(INDEX($C$196:$V$196,MATCH($D$2,$C$184:$V$184,0)),"")))</f>
        <v/>
      </c>
      <c r="M23" s="32" t="str">
        <f>IF($B$2="Todos",IF(COUNT($C$161:$V$161)=0,"",SUM($C$161:$V$161)),IFERROR(INDEX($C$161:$V$161,MATCH($D$2,$C$149:$V$149,0)),""))</f>
        <v/>
      </c>
      <c r="N23" s="49" t="str">
        <f>IF(AND(ISNUMBER(M23),ISNUMBER(L23)),IF(L23&gt;0,M23/L23,""),"")</f>
        <v/>
      </c>
      <c r="O23" s="32" t="str">
        <f>IF($B$2="Todos",IF(COUNT($C$231:$V$231)=0,"",SUM($C$231:$V$231)),IFERROR(INDEX($C$231:$V$231,MATCH($D$2,$C$219:$V$219,0)),""))</f>
        <v/>
      </c>
      <c r="P23" s="32">
        <f>IF($B23="","",IF($B$2="Todos",SUMIFS(BD!$O$3:$O$5001,BD!$A$3:$A$5001,$B23),SUMIFS(BD!$O$3:$O$5001,BD!$A$3:$A$5001,$B23,BD!$B$3:$B$5001,$D$2)))</f>
        <v>0</v>
      </c>
      <c r="Q23" s="32">
        <f>IF($B23="","",IF($B$2="Todos",SUMIFS(BD!$P$3:$P$5001,BD!$A$3:$A$5001,$B23),SUMIFS(BD!$P$3:$P$5001,BD!$A$3:$A$5001,$B23,BD!$B$3:$B$5001,$D$2)))</f>
        <v>0</v>
      </c>
      <c r="R23" s="32">
        <f>IF($B23="","",IF($B$2="Todos",SUMIFS(BD!$Q$3:$Q$5001,BD!$A$3:$A$5001,$B23),SUMIFS(BD!$Q$3:$Q$5001,BD!$A$3:$A$5001,$B23,BD!$B$3:$B$5001,$D$2)))</f>
        <v>0</v>
      </c>
      <c r="S23" s="32">
        <f>IF($B23="","",IF($B$2="Todos",SUMIFS(BD!$R$3:$R$5001,BD!$A$3:$A$5001,$B23),SUMIFS(BD!$R$3:$R$5001,BD!$A$3:$A$5001,$B23,BD!$B$3:$B$5001,$D$2)))</f>
        <v>0</v>
      </c>
      <c r="T23" s="32">
        <f>IF($B23="","",IF($B$2="Todos",SUMIFS(BD!$S$3:$S$5001,BD!$A$3:$A$5001,$B23),SUMIFS(BD!$S$3:$S$5001,BD!$A$3:$A$5001,$B23,BD!$B$3:$B$5001,$D$2)))</f>
        <v>0</v>
      </c>
      <c r="U23" s="32">
        <f>IF($B23="","",IF($B$2="Todos",SUMIFS(BD!$T$3:$T$5001,BD!$A$3:$A$5001,$B23),SUMIFS(BD!$T$3:$T$5001,BD!$A$3:$A$5001,$B23,BD!$B$3:$B$5001,$D$2)))</f>
        <v>0</v>
      </c>
      <c r="V23" s="32">
        <f>IF($B23="","",IF($B$2="Todos",SUMIFS(BD!$U$3:$U$5001,BD!$A$3:$A$5001,$B23),SUMIFS(BD!$U$3:$U$5001,BD!$A$3:$A$5001,$B23,BD!$B$3:$B$5001,$D$2)))</f>
        <v>0</v>
      </c>
      <c r="W23" s="50">
        <f>$B$5</f>
        <v>0.7</v>
      </c>
      <c r="X23" s="50">
        <f>$B$6</f>
        <v>0.9</v>
      </c>
      <c r="AL23" s="29" t="inlineStr">
        <is>
          <t xml:space="preserve">DEZEMBRO · 2026</t>
        </is>
      </c>
      <c r="AN23" s="29" t="str">
        <f>IFERROR(INDEX(Config!$B$10:$B$29,MATCH(11,$AP$13:$AP$32,0))&amp;"","")</f>
        <v/>
      </c>
      <c r="AO23" s="28" t="str">
        <f>IF(AN23="","",IF(INDEX(Config!$C$10:$C$29,MATCH(11,$AP$13:$AP$32,0))&amp;""="","JSL",INDEX(Config!$C$10:$C$29,MATCH(11,$AP$13:$AP$32,0))&amp;""))</f>
        <v/>
      </c>
      <c r="AP23" s="38">
        <f>IF(Config!$B$20&amp;""="",AP22,AP22+1)</f>
        <v>5</v>
      </c>
    </row>
    <row r="24">
      <c r="A24" s="28">
        <v>13</v>
      </c>
      <c r="B24" s="46">
        <f>IF($A24&lt;=DAY($D$7),$C$7+$A24-1,"")</f>
        <v>46308</v>
      </c>
      <c r="C24" s="32">
        <f>IF($B24="","",IF($B$2="Todos",SUMIFS(BD!$C$3:$C$5001,BD!$A$3:$A$5001,$B24),SUMIFS(BD!$C$3:$C$5001,BD!$A$3:$A$5001,$B24,BD!$B$3:$B$5001,$D$2)))</f>
        <v>0</v>
      </c>
      <c r="D24" s="32">
        <f>IF($B24="","",IF($B$2="Todos",SUMIFS(BD!$D$3:$D$5001,BD!$A$3:$A$5001,$B24),SUMIFS(BD!$D$3:$D$5001,BD!$A$3:$A$5001,$B24,BD!$B$3:$B$5001,$D$2)))</f>
        <v>0</v>
      </c>
      <c r="E24" s="47">
        <f>IF($B24="","",IF($B$2="Todos",SUMIFS(BD!$E$3:$E$5001,BD!$A$3:$A$5001,$B24),SUMIFS(BD!$E$3:$E$5001,BD!$A$3:$A$5001,$B24,BD!$B$3:$B$5001,$D$2)))</f>
        <v>0</v>
      </c>
      <c r="F24" s="32">
        <f>IF($B24="","",IF($B$2="Todos",SUMIFS(BD!$F$3:$F$5001,BD!$A$3:$A$5001,$B24),SUMIFS(BD!$F$3:$F$5001,BD!$A$3:$A$5001,$B24,BD!$B$3:$B$5001,$D$2)))</f>
        <v>0</v>
      </c>
      <c r="G24" s="32">
        <f>IF($B24="","",IF($B$2="Todos",SUMIFS(BD!$G$3:$G$5001,BD!$A$3:$A$5001,$B24),SUMIFS(BD!$G$3:$G$5001,BD!$A$3:$A$5001,$B24,BD!$B$3:$B$5001,$D$2)))</f>
        <v>0</v>
      </c>
      <c r="H24" s="47">
        <f>IF($B24="","",IF($B$2="Todos",SUMIFS(BD!$H$3:$H$5001,BD!$A$3:$A$5001,$B24),SUMIFS(BD!$H$3:$H$5001,BD!$A$3:$A$5001,$B24,BD!$B$3:$B$5001,$D$2)))</f>
        <v>0</v>
      </c>
      <c r="I24" s="32">
        <f>IF($B24="","",IF($B$2="Todos",SUMIFS(BD!$I$3:$I$5001,BD!$A$3:$A$5001,$B24),SUMIFS(BD!$I$3:$I$5001,BD!$A$3:$A$5001,$B24,BD!$B$3:$B$5001,$D$2)))</f>
        <v>0</v>
      </c>
      <c r="J24" s="32">
        <f>IF($B24="","",IF($B$2="Todos",SUMIFS(BD!$J$3:$J$5001,BD!$A$3:$A$5001,$B24),SUMIFS(BD!$J$3:$J$5001,BD!$A$3:$A$5001,$B24,BD!$B$3:$B$5001,$D$2)))</f>
        <v>0</v>
      </c>
      <c r="K24" s="32" t="str">
        <f>IF($B$2="Todos",IF(COUNT($C$127:$V$127)=0,"",SUM($C$127:$V$127)),IFERROR(INDEX($C$127:$V$127,MATCH($D$2,$C$114:$V$114,0)),""))</f>
        <v/>
      </c>
      <c r="L24" s="48" t="str">
        <f>IF(M24="","",IF($B$2="Todos",IF($B$4&gt;0,$B$4,IF($B$2="Todos",IF(COUNT($C$197:$V$197)=0,"",SUM($C$197:$V$197)),IFERROR(INDEX($C$197:$V$197,MATCH($D$2,$C$184:$V$184,0)),""))),IFERROR(INDEX($C$197:$V$197,MATCH($D$2,$C$184:$V$184,0)),"")))</f>
        <v/>
      </c>
      <c r="M24" s="32" t="str">
        <f>IF($B$2="Todos",IF(COUNT($C$162:$V$162)=0,"",SUM($C$162:$V$162)),IFERROR(INDEX($C$162:$V$162,MATCH($D$2,$C$149:$V$149,0)),""))</f>
        <v/>
      </c>
      <c r="N24" s="49" t="str">
        <f>IF(AND(ISNUMBER(M24),ISNUMBER(L24)),IF(L24&gt;0,M24/L24,""),"")</f>
        <v/>
      </c>
      <c r="O24" s="32" t="str">
        <f>IF($B$2="Todos",IF(COUNT($C$232:$V$232)=0,"",SUM($C$232:$V$232)),IFERROR(INDEX($C$232:$V$232,MATCH($D$2,$C$219:$V$219,0)),""))</f>
        <v/>
      </c>
      <c r="P24" s="32">
        <f>IF($B24="","",IF($B$2="Todos",SUMIFS(BD!$O$3:$O$5001,BD!$A$3:$A$5001,$B24),SUMIFS(BD!$O$3:$O$5001,BD!$A$3:$A$5001,$B24,BD!$B$3:$B$5001,$D$2)))</f>
        <v>0</v>
      </c>
      <c r="Q24" s="32">
        <f>IF($B24="","",IF($B$2="Todos",SUMIFS(BD!$P$3:$P$5001,BD!$A$3:$A$5001,$B24),SUMIFS(BD!$P$3:$P$5001,BD!$A$3:$A$5001,$B24,BD!$B$3:$B$5001,$D$2)))</f>
        <v>0</v>
      </c>
      <c r="R24" s="32">
        <f>IF($B24="","",IF($B$2="Todos",SUMIFS(BD!$Q$3:$Q$5001,BD!$A$3:$A$5001,$B24),SUMIFS(BD!$Q$3:$Q$5001,BD!$A$3:$A$5001,$B24,BD!$B$3:$B$5001,$D$2)))</f>
        <v>0</v>
      </c>
      <c r="S24" s="32">
        <f>IF($B24="","",IF($B$2="Todos",SUMIFS(BD!$R$3:$R$5001,BD!$A$3:$A$5001,$B24),SUMIFS(BD!$R$3:$R$5001,BD!$A$3:$A$5001,$B24,BD!$B$3:$B$5001,$D$2)))</f>
        <v>0</v>
      </c>
      <c r="T24" s="32">
        <f>IF($B24="","",IF($B$2="Todos",SUMIFS(BD!$S$3:$S$5001,BD!$A$3:$A$5001,$B24),SUMIFS(BD!$S$3:$S$5001,BD!$A$3:$A$5001,$B24,BD!$B$3:$B$5001,$D$2)))</f>
        <v>0</v>
      </c>
      <c r="U24" s="32">
        <f>IF($B24="","",IF($B$2="Todos",SUMIFS(BD!$T$3:$T$5001,BD!$A$3:$A$5001,$B24),SUMIFS(BD!$T$3:$T$5001,BD!$A$3:$A$5001,$B24,BD!$B$3:$B$5001,$D$2)))</f>
        <v>0</v>
      </c>
      <c r="V24" s="32">
        <f>IF($B24="","",IF($B$2="Todos",SUMIFS(BD!$U$3:$U$5001,BD!$A$3:$A$5001,$B24),SUMIFS(BD!$U$3:$U$5001,BD!$A$3:$A$5001,$B24,BD!$B$3:$B$5001,$D$2)))</f>
        <v>0</v>
      </c>
      <c r="W24" s="50">
        <f>$B$5</f>
        <v>0.7</v>
      </c>
      <c r="X24" s="50">
        <f>$B$6</f>
        <v>0.9</v>
      </c>
      <c r="AN24" s="29" t="str">
        <f>IFERROR(INDEX(Config!$B$10:$B$29,MATCH(12,$AP$13:$AP$32,0))&amp;"","")</f>
        <v/>
      </c>
      <c r="AO24" s="28" t="str">
        <f>IF(AN24="","",IF(INDEX(Config!$C$10:$C$29,MATCH(12,$AP$13:$AP$32,0))&amp;""="","JSL",INDEX(Config!$C$10:$C$29,MATCH(12,$AP$13:$AP$32,0))&amp;""))</f>
        <v/>
      </c>
      <c r="AP24" s="38">
        <f>IF(Config!$B$21&amp;""="",AP23,AP23+1)</f>
        <v>5</v>
      </c>
    </row>
    <row r="25">
      <c r="A25" s="28">
        <v>14</v>
      </c>
      <c r="B25" s="46">
        <f>IF($A25&lt;=DAY($D$7),$C$7+$A25-1,"")</f>
        <v>46309</v>
      </c>
      <c r="C25" s="32">
        <f>IF($B25="","",IF($B$2="Todos",SUMIFS(BD!$C$3:$C$5001,BD!$A$3:$A$5001,$B25),SUMIFS(BD!$C$3:$C$5001,BD!$A$3:$A$5001,$B25,BD!$B$3:$B$5001,$D$2)))</f>
        <v>0</v>
      </c>
      <c r="D25" s="32">
        <f>IF($B25="","",IF($B$2="Todos",SUMIFS(BD!$D$3:$D$5001,BD!$A$3:$A$5001,$B25),SUMIFS(BD!$D$3:$D$5001,BD!$A$3:$A$5001,$B25,BD!$B$3:$B$5001,$D$2)))</f>
        <v>0</v>
      </c>
      <c r="E25" s="47">
        <f>IF($B25="","",IF($B$2="Todos",SUMIFS(BD!$E$3:$E$5001,BD!$A$3:$A$5001,$B25),SUMIFS(BD!$E$3:$E$5001,BD!$A$3:$A$5001,$B25,BD!$B$3:$B$5001,$D$2)))</f>
        <v>0</v>
      </c>
      <c r="F25" s="32">
        <f>IF($B25="","",IF($B$2="Todos",SUMIFS(BD!$F$3:$F$5001,BD!$A$3:$A$5001,$B25),SUMIFS(BD!$F$3:$F$5001,BD!$A$3:$A$5001,$B25,BD!$B$3:$B$5001,$D$2)))</f>
        <v>0</v>
      </c>
      <c r="G25" s="32">
        <f>IF($B25="","",IF($B$2="Todos",SUMIFS(BD!$G$3:$G$5001,BD!$A$3:$A$5001,$B25),SUMIFS(BD!$G$3:$G$5001,BD!$A$3:$A$5001,$B25,BD!$B$3:$B$5001,$D$2)))</f>
        <v>0</v>
      </c>
      <c r="H25" s="47">
        <f>IF($B25="","",IF($B$2="Todos",SUMIFS(BD!$H$3:$H$5001,BD!$A$3:$A$5001,$B25),SUMIFS(BD!$H$3:$H$5001,BD!$A$3:$A$5001,$B25,BD!$B$3:$B$5001,$D$2)))</f>
        <v>0</v>
      </c>
      <c r="I25" s="32">
        <f>IF($B25="","",IF($B$2="Todos",SUMIFS(BD!$I$3:$I$5001,BD!$A$3:$A$5001,$B25),SUMIFS(BD!$I$3:$I$5001,BD!$A$3:$A$5001,$B25,BD!$B$3:$B$5001,$D$2)))</f>
        <v>0</v>
      </c>
      <c r="J25" s="32">
        <f>IF($B25="","",IF($B$2="Todos",SUMIFS(BD!$J$3:$J$5001,BD!$A$3:$A$5001,$B25),SUMIFS(BD!$J$3:$J$5001,BD!$A$3:$A$5001,$B25,BD!$B$3:$B$5001,$D$2)))</f>
        <v>0</v>
      </c>
      <c r="K25" s="32" t="str">
        <f>IF($B$2="Todos",IF(COUNT($C$128:$V$128)=0,"",SUM($C$128:$V$128)),IFERROR(INDEX($C$128:$V$128,MATCH($D$2,$C$114:$V$114,0)),""))</f>
        <v/>
      </c>
      <c r="L25" s="48" t="str">
        <f>IF(M25="","",IF($B$2="Todos",IF($B$4&gt;0,$B$4,IF($B$2="Todos",IF(COUNT($C$198:$V$198)=0,"",SUM($C$198:$V$198)),IFERROR(INDEX($C$198:$V$198,MATCH($D$2,$C$184:$V$184,0)),""))),IFERROR(INDEX($C$198:$V$198,MATCH($D$2,$C$184:$V$184,0)),"")))</f>
        <v/>
      </c>
      <c r="M25" s="32" t="str">
        <f>IF($B$2="Todos",IF(COUNT($C$163:$V$163)=0,"",SUM($C$163:$V$163)),IFERROR(INDEX($C$163:$V$163,MATCH($D$2,$C$149:$V$149,0)),""))</f>
        <v/>
      </c>
      <c r="N25" s="49" t="str">
        <f>IF(AND(ISNUMBER(M25),ISNUMBER(L25)),IF(L25&gt;0,M25/L25,""),"")</f>
        <v/>
      </c>
      <c r="O25" s="32" t="str">
        <f>IF($B$2="Todos",IF(COUNT($C$233:$V$233)=0,"",SUM($C$233:$V$233)),IFERROR(INDEX($C$233:$V$233,MATCH($D$2,$C$219:$V$219,0)),""))</f>
        <v/>
      </c>
      <c r="P25" s="32">
        <f>IF($B25="","",IF($B$2="Todos",SUMIFS(BD!$O$3:$O$5001,BD!$A$3:$A$5001,$B25),SUMIFS(BD!$O$3:$O$5001,BD!$A$3:$A$5001,$B25,BD!$B$3:$B$5001,$D$2)))</f>
        <v>0</v>
      </c>
      <c r="Q25" s="32">
        <f>IF($B25="","",IF($B$2="Todos",SUMIFS(BD!$P$3:$P$5001,BD!$A$3:$A$5001,$B25),SUMIFS(BD!$P$3:$P$5001,BD!$A$3:$A$5001,$B25,BD!$B$3:$B$5001,$D$2)))</f>
        <v>0</v>
      </c>
      <c r="R25" s="32">
        <f>IF($B25="","",IF($B$2="Todos",SUMIFS(BD!$Q$3:$Q$5001,BD!$A$3:$A$5001,$B25),SUMIFS(BD!$Q$3:$Q$5001,BD!$A$3:$A$5001,$B25,BD!$B$3:$B$5001,$D$2)))</f>
        <v>0</v>
      </c>
      <c r="S25" s="32">
        <f>IF($B25="","",IF($B$2="Todos",SUMIFS(BD!$R$3:$R$5001,BD!$A$3:$A$5001,$B25),SUMIFS(BD!$R$3:$R$5001,BD!$A$3:$A$5001,$B25,BD!$B$3:$B$5001,$D$2)))</f>
        <v>0</v>
      </c>
      <c r="T25" s="32">
        <f>IF($B25="","",IF($B$2="Todos",SUMIFS(BD!$S$3:$S$5001,BD!$A$3:$A$5001,$B25),SUMIFS(BD!$S$3:$S$5001,BD!$A$3:$A$5001,$B25,BD!$B$3:$B$5001,$D$2)))</f>
        <v>0</v>
      </c>
      <c r="U25" s="32">
        <f>IF($B25="","",IF($B$2="Todos",SUMIFS(BD!$T$3:$T$5001,BD!$A$3:$A$5001,$B25),SUMIFS(BD!$T$3:$T$5001,BD!$A$3:$A$5001,$B25,BD!$B$3:$B$5001,$D$2)))</f>
        <v>0</v>
      </c>
      <c r="V25" s="32">
        <f>IF($B25="","",IF($B$2="Todos",SUMIFS(BD!$U$3:$U$5001,BD!$A$3:$A$5001,$B25),SUMIFS(BD!$U$3:$U$5001,BD!$A$3:$A$5001,$B25,BD!$B$3:$B$5001,$D$2)))</f>
        <v>0</v>
      </c>
      <c r="W25" s="50">
        <f>$B$5</f>
        <v>0.7</v>
      </c>
      <c r="X25" s="50">
        <f>$B$6</f>
        <v>0.9</v>
      </c>
      <c r="AN25" s="29" t="str">
        <f>IFERROR(INDEX(Config!$B$10:$B$29,MATCH(13,$AP$13:$AP$32,0))&amp;"","")</f>
        <v/>
      </c>
      <c r="AO25" s="28" t="str">
        <f>IF(AN25="","",IF(INDEX(Config!$C$10:$C$29,MATCH(13,$AP$13:$AP$32,0))&amp;""="","JSL",INDEX(Config!$C$10:$C$29,MATCH(13,$AP$13:$AP$32,0))&amp;""))</f>
        <v/>
      </c>
      <c r="AP25" s="38">
        <f>IF(Config!$B$22&amp;""="",AP24,AP24+1)</f>
        <v>5</v>
      </c>
    </row>
    <row r="26">
      <c r="A26" s="28">
        <v>15</v>
      </c>
      <c r="B26" s="46">
        <f>IF($A26&lt;=DAY($D$7),$C$7+$A26-1,"")</f>
        <v>46310</v>
      </c>
      <c r="C26" s="32">
        <f>IF($B26="","",IF($B$2="Todos",SUMIFS(BD!$C$3:$C$5001,BD!$A$3:$A$5001,$B26),SUMIFS(BD!$C$3:$C$5001,BD!$A$3:$A$5001,$B26,BD!$B$3:$B$5001,$D$2)))</f>
        <v>0</v>
      </c>
      <c r="D26" s="32">
        <f>IF($B26="","",IF($B$2="Todos",SUMIFS(BD!$D$3:$D$5001,BD!$A$3:$A$5001,$B26),SUMIFS(BD!$D$3:$D$5001,BD!$A$3:$A$5001,$B26,BD!$B$3:$B$5001,$D$2)))</f>
        <v>0</v>
      </c>
      <c r="E26" s="47">
        <f>IF($B26="","",IF($B$2="Todos",SUMIFS(BD!$E$3:$E$5001,BD!$A$3:$A$5001,$B26),SUMIFS(BD!$E$3:$E$5001,BD!$A$3:$A$5001,$B26,BD!$B$3:$B$5001,$D$2)))</f>
        <v>0</v>
      </c>
      <c r="F26" s="32">
        <f>IF($B26="","",IF($B$2="Todos",SUMIFS(BD!$F$3:$F$5001,BD!$A$3:$A$5001,$B26),SUMIFS(BD!$F$3:$F$5001,BD!$A$3:$A$5001,$B26,BD!$B$3:$B$5001,$D$2)))</f>
        <v>0</v>
      </c>
      <c r="G26" s="32">
        <f>IF($B26="","",IF($B$2="Todos",SUMIFS(BD!$G$3:$G$5001,BD!$A$3:$A$5001,$B26),SUMIFS(BD!$G$3:$G$5001,BD!$A$3:$A$5001,$B26,BD!$B$3:$B$5001,$D$2)))</f>
        <v>0</v>
      </c>
      <c r="H26" s="47">
        <f>IF($B26="","",IF($B$2="Todos",SUMIFS(BD!$H$3:$H$5001,BD!$A$3:$A$5001,$B26),SUMIFS(BD!$H$3:$H$5001,BD!$A$3:$A$5001,$B26,BD!$B$3:$B$5001,$D$2)))</f>
        <v>0</v>
      </c>
      <c r="I26" s="32">
        <f>IF($B26="","",IF($B$2="Todos",SUMIFS(BD!$I$3:$I$5001,BD!$A$3:$A$5001,$B26),SUMIFS(BD!$I$3:$I$5001,BD!$A$3:$A$5001,$B26,BD!$B$3:$B$5001,$D$2)))</f>
        <v>0</v>
      </c>
      <c r="J26" s="32">
        <f>IF($B26="","",IF($B$2="Todos",SUMIFS(BD!$J$3:$J$5001,BD!$A$3:$A$5001,$B26),SUMIFS(BD!$J$3:$J$5001,BD!$A$3:$A$5001,$B26,BD!$B$3:$B$5001,$D$2)))</f>
        <v>0</v>
      </c>
      <c r="K26" s="32" t="str">
        <f>IF($B$2="Todos",IF(COUNT($C$129:$V$129)=0,"",SUM($C$129:$V$129)),IFERROR(INDEX($C$129:$V$129,MATCH($D$2,$C$114:$V$114,0)),""))</f>
        <v/>
      </c>
      <c r="L26" s="48" t="str">
        <f>IF(M26="","",IF($B$2="Todos",IF($B$4&gt;0,$B$4,IF($B$2="Todos",IF(COUNT($C$199:$V$199)=0,"",SUM($C$199:$V$199)),IFERROR(INDEX($C$199:$V$199,MATCH($D$2,$C$184:$V$184,0)),""))),IFERROR(INDEX($C$199:$V$199,MATCH($D$2,$C$184:$V$184,0)),"")))</f>
        <v/>
      </c>
      <c r="M26" s="32" t="str">
        <f>IF($B$2="Todos",IF(COUNT($C$164:$V$164)=0,"",SUM($C$164:$V$164)),IFERROR(INDEX($C$164:$V$164,MATCH($D$2,$C$149:$V$149,0)),""))</f>
        <v/>
      </c>
      <c r="N26" s="49" t="str">
        <f>IF(AND(ISNUMBER(M26),ISNUMBER(L26)),IF(L26&gt;0,M26/L26,""),"")</f>
        <v/>
      </c>
      <c r="O26" s="32" t="str">
        <f>IF($B$2="Todos",IF(COUNT($C$234:$V$234)=0,"",SUM($C$234:$V$234)),IFERROR(INDEX($C$234:$V$234,MATCH($D$2,$C$219:$V$219,0)),""))</f>
        <v/>
      </c>
      <c r="P26" s="32">
        <f>IF($B26="","",IF($B$2="Todos",SUMIFS(BD!$O$3:$O$5001,BD!$A$3:$A$5001,$B26),SUMIFS(BD!$O$3:$O$5001,BD!$A$3:$A$5001,$B26,BD!$B$3:$B$5001,$D$2)))</f>
        <v>0</v>
      </c>
      <c r="Q26" s="32">
        <f>IF($B26="","",IF($B$2="Todos",SUMIFS(BD!$P$3:$P$5001,BD!$A$3:$A$5001,$B26),SUMIFS(BD!$P$3:$P$5001,BD!$A$3:$A$5001,$B26,BD!$B$3:$B$5001,$D$2)))</f>
        <v>0</v>
      </c>
      <c r="R26" s="32">
        <f>IF($B26="","",IF($B$2="Todos",SUMIFS(BD!$Q$3:$Q$5001,BD!$A$3:$A$5001,$B26),SUMIFS(BD!$Q$3:$Q$5001,BD!$A$3:$A$5001,$B26,BD!$B$3:$B$5001,$D$2)))</f>
        <v>0</v>
      </c>
      <c r="S26" s="32">
        <f>IF($B26="","",IF($B$2="Todos",SUMIFS(BD!$R$3:$R$5001,BD!$A$3:$A$5001,$B26),SUMIFS(BD!$R$3:$R$5001,BD!$A$3:$A$5001,$B26,BD!$B$3:$B$5001,$D$2)))</f>
        <v>0</v>
      </c>
      <c r="T26" s="32">
        <f>IF($B26="","",IF($B$2="Todos",SUMIFS(BD!$S$3:$S$5001,BD!$A$3:$A$5001,$B26),SUMIFS(BD!$S$3:$S$5001,BD!$A$3:$A$5001,$B26,BD!$B$3:$B$5001,$D$2)))</f>
        <v>0</v>
      </c>
      <c r="U26" s="32">
        <f>IF($B26="","",IF($B$2="Todos",SUMIFS(BD!$T$3:$T$5001,BD!$A$3:$A$5001,$B26),SUMIFS(BD!$T$3:$T$5001,BD!$A$3:$A$5001,$B26,BD!$B$3:$B$5001,$D$2)))</f>
        <v>0</v>
      </c>
      <c r="V26" s="32">
        <f>IF($B26="","",IF($B$2="Todos",SUMIFS(BD!$U$3:$U$5001,BD!$A$3:$A$5001,$B26),SUMIFS(BD!$U$3:$U$5001,BD!$A$3:$A$5001,$B26,BD!$B$3:$B$5001,$D$2)))</f>
        <v>0</v>
      </c>
      <c r="W26" s="50">
        <f>$B$5</f>
        <v>0.7</v>
      </c>
      <c r="X26" s="50">
        <f>$B$6</f>
        <v>0.9</v>
      </c>
      <c r="AN26" s="29" t="str">
        <f>IFERROR(INDEX(Config!$B$10:$B$29,MATCH(14,$AP$13:$AP$32,0))&amp;"","")</f>
        <v/>
      </c>
      <c r="AO26" s="28" t="str">
        <f>IF(AN26="","",IF(INDEX(Config!$C$10:$C$29,MATCH(14,$AP$13:$AP$32,0))&amp;""="","JSL",INDEX(Config!$C$10:$C$29,MATCH(14,$AP$13:$AP$32,0))&amp;""))</f>
        <v/>
      </c>
      <c r="AP26" s="38">
        <f>IF(Config!$B$23&amp;""="",AP25,AP25+1)</f>
        <v>5</v>
      </c>
    </row>
    <row r="27">
      <c r="A27" s="28">
        <v>16</v>
      </c>
      <c r="B27" s="46">
        <f>IF($A27&lt;=DAY($D$7),$C$7+$A27-1,"")</f>
        <v>46311</v>
      </c>
      <c r="C27" s="32">
        <f>IF($B27="","",IF($B$2="Todos",SUMIFS(BD!$C$3:$C$5001,BD!$A$3:$A$5001,$B27),SUMIFS(BD!$C$3:$C$5001,BD!$A$3:$A$5001,$B27,BD!$B$3:$B$5001,$D$2)))</f>
        <v>0</v>
      </c>
      <c r="D27" s="32">
        <f>IF($B27="","",IF($B$2="Todos",SUMIFS(BD!$D$3:$D$5001,BD!$A$3:$A$5001,$B27),SUMIFS(BD!$D$3:$D$5001,BD!$A$3:$A$5001,$B27,BD!$B$3:$B$5001,$D$2)))</f>
        <v>0</v>
      </c>
      <c r="E27" s="47">
        <f>IF($B27="","",IF($B$2="Todos",SUMIFS(BD!$E$3:$E$5001,BD!$A$3:$A$5001,$B27),SUMIFS(BD!$E$3:$E$5001,BD!$A$3:$A$5001,$B27,BD!$B$3:$B$5001,$D$2)))</f>
        <v>0</v>
      </c>
      <c r="F27" s="32">
        <f>IF($B27="","",IF($B$2="Todos",SUMIFS(BD!$F$3:$F$5001,BD!$A$3:$A$5001,$B27),SUMIFS(BD!$F$3:$F$5001,BD!$A$3:$A$5001,$B27,BD!$B$3:$B$5001,$D$2)))</f>
        <v>0</v>
      </c>
      <c r="G27" s="32">
        <f>IF($B27="","",IF($B$2="Todos",SUMIFS(BD!$G$3:$G$5001,BD!$A$3:$A$5001,$B27),SUMIFS(BD!$G$3:$G$5001,BD!$A$3:$A$5001,$B27,BD!$B$3:$B$5001,$D$2)))</f>
        <v>0</v>
      </c>
      <c r="H27" s="47">
        <f>IF($B27="","",IF($B$2="Todos",SUMIFS(BD!$H$3:$H$5001,BD!$A$3:$A$5001,$B27),SUMIFS(BD!$H$3:$H$5001,BD!$A$3:$A$5001,$B27,BD!$B$3:$B$5001,$D$2)))</f>
        <v>0</v>
      </c>
      <c r="I27" s="32">
        <f>IF($B27="","",IF($B$2="Todos",SUMIFS(BD!$I$3:$I$5001,BD!$A$3:$A$5001,$B27),SUMIFS(BD!$I$3:$I$5001,BD!$A$3:$A$5001,$B27,BD!$B$3:$B$5001,$D$2)))</f>
        <v>0</v>
      </c>
      <c r="J27" s="32">
        <f>IF($B27="","",IF($B$2="Todos",SUMIFS(BD!$J$3:$J$5001,BD!$A$3:$A$5001,$B27),SUMIFS(BD!$J$3:$J$5001,BD!$A$3:$A$5001,$B27,BD!$B$3:$B$5001,$D$2)))</f>
        <v>0</v>
      </c>
      <c r="K27" s="32" t="str">
        <f>IF($B$2="Todos",IF(COUNT($C$130:$V$130)=0,"",SUM($C$130:$V$130)),IFERROR(INDEX($C$130:$V$130,MATCH($D$2,$C$114:$V$114,0)),""))</f>
        <v/>
      </c>
      <c r="L27" s="48" t="str">
        <f>IF(M27="","",IF($B$2="Todos",IF($B$4&gt;0,$B$4,IF($B$2="Todos",IF(COUNT($C$200:$V$200)=0,"",SUM($C$200:$V$200)),IFERROR(INDEX($C$200:$V$200,MATCH($D$2,$C$184:$V$184,0)),""))),IFERROR(INDEX($C$200:$V$200,MATCH($D$2,$C$184:$V$184,0)),"")))</f>
        <v/>
      </c>
      <c r="M27" s="32" t="str">
        <f>IF($B$2="Todos",IF(COUNT($C$165:$V$165)=0,"",SUM($C$165:$V$165)),IFERROR(INDEX($C$165:$V$165,MATCH($D$2,$C$149:$V$149,0)),""))</f>
        <v/>
      </c>
      <c r="N27" s="49" t="str">
        <f>IF(AND(ISNUMBER(M27),ISNUMBER(L27)),IF(L27&gt;0,M27/L27,""),"")</f>
        <v/>
      </c>
      <c r="O27" s="32" t="str">
        <f>IF($B$2="Todos",IF(COUNT($C$235:$V$235)=0,"",SUM($C$235:$V$235)),IFERROR(INDEX($C$235:$V$235,MATCH($D$2,$C$219:$V$219,0)),""))</f>
        <v/>
      </c>
      <c r="P27" s="32">
        <f>IF($B27="","",IF($B$2="Todos",SUMIFS(BD!$O$3:$O$5001,BD!$A$3:$A$5001,$B27),SUMIFS(BD!$O$3:$O$5001,BD!$A$3:$A$5001,$B27,BD!$B$3:$B$5001,$D$2)))</f>
        <v>0</v>
      </c>
      <c r="Q27" s="32">
        <f>IF($B27="","",IF($B$2="Todos",SUMIFS(BD!$P$3:$P$5001,BD!$A$3:$A$5001,$B27),SUMIFS(BD!$P$3:$P$5001,BD!$A$3:$A$5001,$B27,BD!$B$3:$B$5001,$D$2)))</f>
        <v>0</v>
      </c>
      <c r="R27" s="32">
        <f>IF($B27="","",IF($B$2="Todos",SUMIFS(BD!$Q$3:$Q$5001,BD!$A$3:$A$5001,$B27),SUMIFS(BD!$Q$3:$Q$5001,BD!$A$3:$A$5001,$B27,BD!$B$3:$B$5001,$D$2)))</f>
        <v>0</v>
      </c>
      <c r="S27" s="32">
        <f>IF($B27="","",IF($B$2="Todos",SUMIFS(BD!$R$3:$R$5001,BD!$A$3:$A$5001,$B27),SUMIFS(BD!$R$3:$R$5001,BD!$A$3:$A$5001,$B27,BD!$B$3:$B$5001,$D$2)))</f>
        <v>0</v>
      </c>
      <c r="T27" s="32">
        <f>IF($B27="","",IF($B$2="Todos",SUMIFS(BD!$S$3:$S$5001,BD!$A$3:$A$5001,$B27),SUMIFS(BD!$S$3:$S$5001,BD!$A$3:$A$5001,$B27,BD!$B$3:$B$5001,$D$2)))</f>
        <v>0</v>
      </c>
      <c r="U27" s="32">
        <f>IF($B27="","",IF($B$2="Todos",SUMIFS(BD!$T$3:$T$5001,BD!$A$3:$A$5001,$B27),SUMIFS(BD!$T$3:$T$5001,BD!$A$3:$A$5001,$B27,BD!$B$3:$B$5001,$D$2)))</f>
        <v>0</v>
      </c>
      <c r="V27" s="32">
        <f>IF($B27="","",IF($B$2="Todos",SUMIFS(BD!$U$3:$U$5001,BD!$A$3:$A$5001,$B27),SUMIFS(BD!$U$3:$U$5001,BD!$A$3:$A$5001,$B27,BD!$B$3:$B$5001,$D$2)))</f>
        <v>0</v>
      </c>
      <c r="W27" s="50">
        <f>$B$5</f>
        <v>0.7</v>
      </c>
      <c r="X27" s="50">
        <f>$B$6</f>
        <v>0.9</v>
      </c>
      <c r="AN27" s="29" t="str">
        <f>IFERROR(INDEX(Config!$B$10:$B$29,MATCH(15,$AP$13:$AP$32,0))&amp;"","")</f>
        <v/>
      </c>
      <c r="AO27" s="28" t="str">
        <f>IF(AN27="","",IF(INDEX(Config!$C$10:$C$29,MATCH(15,$AP$13:$AP$32,0))&amp;""="","JSL",INDEX(Config!$C$10:$C$29,MATCH(15,$AP$13:$AP$32,0))&amp;""))</f>
        <v/>
      </c>
      <c r="AP27" s="38">
        <f>IF(Config!$B$24&amp;""="",AP26,AP26+1)</f>
        <v>5</v>
      </c>
    </row>
    <row r="28">
      <c r="A28" s="28">
        <v>17</v>
      </c>
      <c r="B28" s="46">
        <f>IF($A28&lt;=DAY($D$7),$C$7+$A28-1,"")</f>
        <v>46312</v>
      </c>
      <c r="C28" s="32">
        <f>IF($B28="","",IF($B$2="Todos",SUMIFS(BD!$C$3:$C$5001,BD!$A$3:$A$5001,$B28),SUMIFS(BD!$C$3:$C$5001,BD!$A$3:$A$5001,$B28,BD!$B$3:$B$5001,$D$2)))</f>
        <v>0</v>
      </c>
      <c r="D28" s="32">
        <f>IF($B28="","",IF($B$2="Todos",SUMIFS(BD!$D$3:$D$5001,BD!$A$3:$A$5001,$B28),SUMIFS(BD!$D$3:$D$5001,BD!$A$3:$A$5001,$B28,BD!$B$3:$B$5001,$D$2)))</f>
        <v>0</v>
      </c>
      <c r="E28" s="47">
        <f>IF($B28="","",IF($B$2="Todos",SUMIFS(BD!$E$3:$E$5001,BD!$A$3:$A$5001,$B28),SUMIFS(BD!$E$3:$E$5001,BD!$A$3:$A$5001,$B28,BD!$B$3:$B$5001,$D$2)))</f>
        <v>0</v>
      </c>
      <c r="F28" s="32">
        <f>IF($B28="","",IF($B$2="Todos",SUMIFS(BD!$F$3:$F$5001,BD!$A$3:$A$5001,$B28),SUMIFS(BD!$F$3:$F$5001,BD!$A$3:$A$5001,$B28,BD!$B$3:$B$5001,$D$2)))</f>
        <v>0</v>
      </c>
      <c r="G28" s="32">
        <f>IF($B28="","",IF($B$2="Todos",SUMIFS(BD!$G$3:$G$5001,BD!$A$3:$A$5001,$B28),SUMIFS(BD!$G$3:$G$5001,BD!$A$3:$A$5001,$B28,BD!$B$3:$B$5001,$D$2)))</f>
        <v>0</v>
      </c>
      <c r="H28" s="47">
        <f>IF($B28="","",IF($B$2="Todos",SUMIFS(BD!$H$3:$H$5001,BD!$A$3:$A$5001,$B28),SUMIFS(BD!$H$3:$H$5001,BD!$A$3:$A$5001,$B28,BD!$B$3:$B$5001,$D$2)))</f>
        <v>0</v>
      </c>
      <c r="I28" s="32">
        <f>IF($B28="","",IF($B$2="Todos",SUMIFS(BD!$I$3:$I$5001,BD!$A$3:$A$5001,$B28),SUMIFS(BD!$I$3:$I$5001,BD!$A$3:$A$5001,$B28,BD!$B$3:$B$5001,$D$2)))</f>
        <v>0</v>
      </c>
      <c r="J28" s="32">
        <f>IF($B28="","",IF($B$2="Todos",SUMIFS(BD!$J$3:$J$5001,BD!$A$3:$A$5001,$B28),SUMIFS(BD!$J$3:$J$5001,BD!$A$3:$A$5001,$B28,BD!$B$3:$B$5001,$D$2)))</f>
        <v>0</v>
      </c>
      <c r="K28" s="32" t="str">
        <f>IF($B$2="Todos",IF(COUNT($C$131:$V$131)=0,"",SUM($C$131:$V$131)),IFERROR(INDEX($C$131:$V$131,MATCH($D$2,$C$114:$V$114,0)),""))</f>
        <v/>
      </c>
      <c r="L28" s="48" t="str">
        <f>IF(M28="","",IF($B$2="Todos",IF($B$4&gt;0,$B$4,IF($B$2="Todos",IF(COUNT($C$201:$V$201)=0,"",SUM($C$201:$V$201)),IFERROR(INDEX($C$201:$V$201,MATCH($D$2,$C$184:$V$184,0)),""))),IFERROR(INDEX($C$201:$V$201,MATCH($D$2,$C$184:$V$184,0)),"")))</f>
        <v/>
      </c>
      <c r="M28" s="32" t="str">
        <f>IF($B$2="Todos",IF(COUNT($C$166:$V$166)=0,"",SUM($C$166:$V$166)),IFERROR(INDEX($C$166:$V$166,MATCH($D$2,$C$149:$V$149,0)),""))</f>
        <v/>
      </c>
      <c r="N28" s="49" t="str">
        <f>IF(AND(ISNUMBER(M28),ISNUMBER(L28)),IF(L28&gt;0,M28/L28,""),"")</f>
        <v/>
      </c>
      <c r="O28" s="32" t="str">
        <f>IF($B$2="Todos",IF(COUNT($C$236:$V$236)=0,"",SUM($C$236:$V$236)),IFERROR(INDEX($C$236:$V$236,MATCH($D$2,$C$219:$V$219,0)),""))</f>
        <v/>
      </c>
      <c r="P28" s="32">
        <f>IF($B28="","",IF($B$2="Todos",SUMIFS(BD!$O$3:$O$5001,BD!$A$3:$A$5001,$B28),SUMIFS(BD!$O$3:$O$5001,BD!$A$3:$A$5001,$B28,BD!$B$3:$B$5001,$D$2)))</f>
        <v>0</v>
      </c>
      <c r="Q28" s="32">
        <f>IF($B28="","",IF($B$2="Todos",SUMIFS(BD!$P$3:$P$5001,BD!$A$3:$A$5001,$B28),SUMIFS(BD!$P$3:$P$5001,BD!$A$3:$A$5001,$B28,BD!$B$3:$B$5001,$D$2)))</f>
        <v>0</v>
      </c>
      <c r="R28" s="32">
        <f>IF($B28="","",IF($B$2="Todos",SUMIFS(BD!$Q$3:$Q$5001,BD!$A$3:$A$5001,$B28),SUMIFS(BD!$Q$3:$Q$5001,BD!$A$3:$A$5001,$B28,BD!$B$3:$B$5001,$D$2)))</f>
        <v>0</v>
      </c>
      <c r="S28" s="32">
        <f>IF($B28="","",IF($B$2="Todos",SUMIFS(BD!$R$3:$R$5001,BD!$A$3:$A$5001,$B28),SUMIFS(BD!$R$3:$R$5001,BD!$A$3:$A$5001,$B28,BD!$B$3:$B$5001,$D$2)))</f>
        <v>0</v>
      </c>
      <c r="T28" s="32">
        <f>IF($B28="","",IF($B$2="Todos",SUMIFS(BD!$S$3:$S$5001,BD!$A$3:$A$5001,$B28),SUMIFS(BD!$S$3:$S$5001,BD!$A$3:$A$5001,$B28,BD!$B$3:$B$5001,$D$2)))</f>
        <v>0</v>
      </c>
      <c r="U28" s="32">
        <f>IF($B28="","",IF($B$2="Todos",SUMIFS(BD!$T$3:$T$5001,BD!$A$3:$A$5001,$B28),SUMIFS(BD!$T$3:$T$5001,BD!$A$3:$A$5001,$B28,BD!$B$3:$B$5001,$D$2)))</f>
        <v>0</v>
      </c>
      <c r="V28" s="32">
        <f>IF($B28="","",IF($B$2="Todos",SUMIFS(BD!$U$3:$U$5001,BD!$A$3:$A$5001,$B28),SUMIFS(BD!$U$3:$U$5001,BD!$A$3:$A$5001,$B28,BD!$B$3:$B$5001,$D$2)))</f>
        <v>0</v>
      </c>
      <c r="W28" s="50">
        <f>$B$5</f>
        <v>0.7</v>
      </c>
      <c r="X28" s="50">
        <f>$B$6</f>
        <v>0.9</v>
      </c>
      <c r="AN28" s="29" t="str">
        <f>IFERROR(INDEX(Config!$B$10:$B$29,MATCH(16,$AP$13:$AP$32,0))&amp;"","")</f>
        <v/>
      </c>
      <c r="AO28" s="28" t="str">
        <f>IF(AN28="","",IF(INDEX(Config!$C$10:$C$29,MATCH(16,$AP$13:$AP$32,0))&amp;""="","JSL",INDEX(Config!$C$10:$C$29,MATCH(16,$AP$13:$AP$32,0))&amp;""))</f>
        <v/>
      </c>
      <c r="AP28" s="38">
        <f>IF(Config!$B$25&amp;""="",AP27,AP27+1)</f>
        <v>5</v>
      </c>
    </row>
    <row r="29">
      <c r="A29" s="28">
        <v>18</v>
      </c>
      <c r="B29" s="46">
        <f>IF($A29&lt;=DAY($D$7),$C$7+$A29-1,"")</f>
        <v>46313</v>
      </c>
      <c r="C29" s="32">
        <f>IF($B29="","",IF($B$2="Todos",SUMIFS(BD!$C$3:$C$5001,BD!$A$3:$A$5001,$B29),SUMIFS(BD!$C$3:$C$5001,BD!$A$3:$A$5001,$B29,BD!$B$3:$B$5001,$D$2)))</f>
        <v>0</v>
      </c>
      <c r="D29" s="32">
        <f>IF($B29="","",IF($B$2="Todos",SUMIFS(BD!$D$3:$D$5001,BD!$A$3:$A$5001,$B29),SUMIFS(BD!$D$3:$D$5001,BD!$A$3:$A$5001,$B29,BD!$B$3:$B$5001,$D$2)))</f>
        <v>0</v>
      </c>
      <c r="E29" s="47">
        <f>IF($B29="","",IF($B$2="Todos",SUMIFS(BD!$E$3:$E$5001,BD!$A$3:$A$5001,$B29),SUMIFS(BD!$E$3:$E$5001,BD!$A$3:$A$5001,$B29,BD!$B$3:$B$5001,$D$2)))</f>
        <v>0</v>
      </c>
      <c r="F29" s="32">
        <f>IF($B29="","",IF($B$2="Todos",SUMIFS(BD!$F$3:$F$5001,BD!$A$3:$A$5001,$B29),SUMIFS(BD!$F$3:$F$5001,BD!$A$3:$A$5001,$B29,BD!$B$3:$B$5001,$D$2)))</f>
        <v>0</v>
      </c>
      <c r="G29" s="32">
        <f>IF($B29="","",IF($B$2="Todos",SUMIFS(BD!$G$3:$G$5001,BD!$A$3:$A$5001,$B29),SUMIFS(BD!$G$3:$G$5001,BD!$A$3:$A$5001,$B29,BD!$B$3:$B$5001,$D$2)))</f>
        <v>0</v>
      </c>
      <c r="H29" s="47">
        <f>IF($B29="","",IF($B$2="Todos",SUMIFS(BD!$H$3:$H$5001,BD!$A$3:$A$5001,$B29),SUMIFS(BD!$H$3:$H$5001,BD!$A$3:$A$5001,$B29,BD!$B$3:$B$5001,$D$2)))</f>
        <v>0</v>
      </c>
      <c r="I29" s="32">
        <f>IF($B29="","",IF($B$2="Todos",SUMIFS(BD!$I$3:$I$5001,BD!$A$3:$A$5001,$B29),SUMIFS(BD!$I$3:$I$5001,BD!$A$3:$A$5001,$B29,BD!$B$3:$B$5001,$D$2)))</f>
        <v>0</v>
      </c>
      <c r="J29" s="32">
        <f>IF($B29="","",IF($B$2="Todos",SUMIFS(BD!$J$3:$J$5001,BD!$A$3:$A$5001,$B29),SUMIFS(BD!$J$3:$J$5001,BD!$A$3:$A$5001,$B29,BD!$B$3:$B$5001,$D$2)))</f>
        <v>0</v>
      </c>
      <c r="K29" s="32" t="str">
        <f>IF($B$2="Todos",IF(COUNT($C$132:$V$132)=0,"",SUM($C$132:$V$132)),IFERROR(INDEX($C$132:$V$132,MATCH($D$2,$C$114:$V$114,0)),""))</f>
        <v/>
      </c>
      <c r="L29" s="48" t="str">
        <f>IF(M29="","",IF($B$2="Todos",IF($B$4&gt;0,$B$4,IF($B$2="Todos",IF(COUNT($C$202:$V$202)=0,"",SUM($C$202:$V$202)),IFERROR(INDEX($C$202:$V$202,MATCH($D$2,$C$184:$V$184,0)),""))),IFERROR(INDEX($C$202:$V$202,MATCH($D$2,$C$184:$V$184,0)),"")))</f>
        <v/>
      </c>
      <c r="M29" s="32" t="str">
        <f>IF($B$2="Todos",IF(COUNT($C$167:$V$167)=0,"",SUM($C$167:$V$167)),IFERROR(INDEX($C$167:$V$167,MATCH($D$2,$C$149:$V$149,0)),""))</f>
        <v/>
      </c>
      <c r="N29" s="49" t="str">
        <f>IF(AND(ISNUMBER(M29),ISNUMBER(L29)),IF(L29&gt;0,M29/L29,""),"")</f>
        <v/>
      </c>
      <c r="O29" s="32" t="str">
        <f>IF($B$2="Todos",IF(COUNT($C$237:$V$237)=0,"",SUM($C$237:$V$237)),IFERROR(INDEX($C$237:$V$237,MATCH($D$2,$C$219:$V$219,0)),""))</f>
        <v/>
      </c>
      <c r="P29" s="32">
        <f>IF($B29="","",IF($B$2="Todos",SUMIFS(BD!$O$3:$O$5001,BD!$A$3:$A$5001,$B29),SUMIFS(BD!$O$3:$O$5001,BD!$A$3:$A$5001,$B29,BD!$B$3:$B$5001,$D$2)))</f>
        <v>0</v>
      </c>
      <c r="Q29" s="32">
        <f>IF($B29="","",IF($B$2="Todos",SUMIFS(BD!$P$3:$P$5001,BD!$A$3:$A$5001,$B29),SUMIFS(BD!$P$3:$P$5001,BD!$A$3:$A$5001,$B29,BD!$B$3:$B$5001,$D$2)))</f>
        <v>0</v>
      </c>
      <c r="R29" s="32">
        <f>IF($B29="","",IF($B$2="Todos",SUMIFS(BD!$Q$3:$Q$5001,BD!$A$3:$A$5001,$B29),SUMIFS(BD!$Q$3:$Q$5001,BD!$A$3:$A$5001,$B29,BD!$B$3:$B$5001,$D$2)))</f>
        <v>0</v>
      </c>
      <c r="S29" s="32">
        <f>IF($B29="","",IF($B$2="Todos",SUMIFS(BD!$R$3:$R$5001,BD!$A$3:$A$5001,$B29),SUMIFS(BD!$R$3:$R$5001,BD!$A$3:$A$5001,$B29,BD!$B$3:$B$5001,$D$2)))</f>
        <v>0</v>
      </c>
      <c r="T29" s="32">
        <f>IF($B29="","",IF($B$2="Todos",SUMIFS(BD!$S$3:$S$5001,BD!$A$3:$A$5001,$B29),SUMIFS(BD!$S$3:$S$5001,BD!$A$3:$A$5001,$B29,BD!$B$3:$B$5001,$D$2)))</f>
        <v>0</v>
      </c>
      <c r="U29" s="32">
        <f>IF($B29="","",IF($B$2="Todos",SUMIFS(BD!$T$3:$T$5001,BD!$A$3:$A$5001,$B29),SUMIFS(BD!$T$3:$T$5001,BD!$A$3:$A$5001,$B29,BD!$B$3:$B$5001,$D$2)))</f>
        <v>0</v>
      </c>
      <c r="V29" s="32">
        <f>IF($B29="","",IF($B$2="Todos",SUMIFS(BD!$U$3:$U$5001,BD!$A$3:$A$5001,$B29),SUMIFS(BD!$U$3:$U$5001,BD!$A$3:$A$5001,$B29,BD!$B$3:$B$5001,$D$2)))</f>
        <v>0</v>
      </c>
      <c r="W29" s="50">
        <f>$B$5</f>
        <v>0.7</v>
      </c>
      <c r="X29" s="50">
        <f>$B$6</f>
        <v>0.9</v>
      </c>
      <c r="AN29" s="29" t="str">
        <f>IFERROR(INDEX(Config!$B$10:$B$29,MATCH(17,$AP$13:$AP$32,0))&amp;"","")</f>
        <v/>
      </c>
      <c r="AO29" s="28" t="str">
        <f>IF(AN29="","",IF(INDEX(Config!$C$10:$C$29,MATCH(17,$AP$13:$AP$32,0))&amp;""="","JSL",INDEX(Config!$C$10:$C$29,MATCH(17,$AP$13:$AP$32,0))&amp;""))</f>
        <v/>
      </c>
      <c r="AP29" s="38">
        <f>IF(Config!$B$26&amp;""="",AP28,AP28+1)</f>
        <v>5</v>
      </c>
    </row>
    <row r="30">
      <c r="A30" s="28">
        <v>19</v>
      </c>
      <c r="B30" s="46">
        <f>IF($A30&lt;=DAY($D$7),$C$7+$A30-1,"")</f>
        <v>46314</v>
      </c>
      <c r="C30" s="32">
        <f>IF($B30="","",IF($B$2="Todos",SUMIFS(BD!$C$3:$C$5001,BD!$A$3:$A$5001,$B30),SUMIFS(BD!$C$3:$C$5001,BD!$A$3:$A$5001,$B30,BD!$B$3:$B$5001,$D$2)))</f>
        <v>0</v>
      </c>
      <c r="D30" s="32">
        <f>IF($B30="","",IF($B$2="Todos",SUMIFS(BD!$D$3:$D$5001,BD!$A$3:$A$5001,$B30),SUMIFS(BD!$D$3:$D$5001,BD!$A$3:$A$5001,$B30,BD!$B$3:$B$5001,$D$2)))</f>
        <v>0</v>
      </c>
      <c r="E30" s="47">
        <f>IF($B30="","",IF($B$2="Todos",SUMIFS(BD!$E$3:$E$5001,BD!$A$3:$A$5001,$B30),SUMIFS(BD!$E$3:$E$5001,BD!$A$3:$A$5001,$B30,BD!$B$3:$B$5001,$D$2)))</f>
        <v>0</v>
      </c>
      <c r="F30" s="32">
        <f>IF($B30="","",IF($B$2="Todos",SUMIFS(BD!$F$3:$F$5001,BD!$A$3:$A$5001,$B30),SUMIFS(BD!$F$3:$F$5001,BD!$A$3:$A$5001,$B30,BD!$B$3:$B$5001,$D$2)))</f>
        <v>0</v>
      </c>
      <c r="G30" s="32">
        <f>IF($B30="","",IF($B$2="Todos",SUMIFS(BD!$G$3:$G$5001,BD!$A$3:$A$5001,$B30),SUMIFS(BD!$G$3:$G$5001,BD!$A$3:$A$5001,$B30,BD!$B$3:$B$5001,$D$2)))</f>
        <v>0</v>
      </c>
      <c r="H30" s="47">
        <f>IF($B30="","",IF($B$2="Todos",SUMIFS(BD!$H$3:$H$5001,BD!$A$3:$A$5001,$B30),SUMIFS(BD!$H$3:$H$5001,BD!$A$3:$A$5001,$B30,BD!$B$3:$B$5001,$D$2)))</f>
        <v>0</v>
      </c>
      <c r="I30" s="32">
        <f>IF($B30="","",IF($B$2="Todos",SUMIFS(BD!$I$3:$I$5001,BD!$A$3:$A$5001,$B30),SUMIFS(BD!$I$3:$I$5001,BD!$A$3:$A$5001,$B30,BD!$B$3:$B$5001,$D$2)))</f>
        <v>0</v>
      </c>
      <c r="J30" s="32">
        <f>IF($B30="","",IF($B$2="Todos",SUMIFS(BD!$J$3:$J$5001,BD!$A$3:$A$5001,$B30),SUMIFS(BD!$J$3:$J$5001,BD!$A$3:$A$5001,$B30,BD!$B$3:$B$5001,$D$2)))</f>
        <v>0</v>
      </c>
      <c r="K30" s="32" t="str">
        <f>IF($B$2="Todos",IF(COUNT($C$133:$V$133)=0,"",SUM($C$133:$V$133)),IFERROR(INDEX($C$133:$V$133,MATCH($D$2,$C$114:$V$114,0)),""))</f>
        <v/>
      </c>
      <c r="L30" s="48" t="str">
        <f>IF(M30="","",IF($B$2="Todos",IF($B$4&gt;0,$B$4,IF($B$2="Todos",IF(COUNT($C$203:$V$203)=0,"",SUM($C$203:$V$203)),IFERROR(INDEX($C$203:$V$203,MATCH($D$2,$C$184:$V$184,0)),""))),IFERROR(INDEX($C$203:$V$203,MATCH($D$2,$C$184:$V$184,0)),"")))</f>
        <v/>
      </c>
      <c r="M30" s="32" t="str">
        <f>IF($B$2="Todos",IF(COUNT($C$168:$V$168)=0,"",SUM($C$168:$V$168)),IFERROR(INDEX($C$168:$V$168,MATCH($D$2,$C$149:$V$149,0)),""))</f>
        <v/>
      </c>
      <c r="N30" s="49" t="str">
        <f>IF(AND(ISNUMBER(M30),ISNUMBER(L30)),IF(L30&gt;0,M30/L30,""),"")</f>
        <v/>
      </c>
      <c r="O30" s="32" t="str">
        <f>IF($B$2="Todos",IF(COUNT($C$238:$V$238)=0,"",SUM($C$238:$V$238)),IFERROR(INDEX($C$238:$V$238,MATCH($D$2,$C$219:$V$219,0)),""))</f>
        <v/>
      </c>
      <c r="P30" s="32">
        <f>IF($B30="","",IF($B$2="Todos",SUMIFS(BD!$O$3:$O$5001,BD!$A$3:$A$5001,$B30),SUMIFS(BD!$O$3:$O$5001,BD!$A$3:$A$5001,$B30,BD!$B$3:$B$5001,$D$2)))</f>
        <v>0</v>
      </c>
      <c r="Q30" s="32">
        <f>IF($B30="","",IF($B$2="Todos",SUMIFS(BD!$P$3:$P$5001,BD!$A$3:$A$5001,$B30),SUMIFS(BD!$P$3:$P$5001,BD!$A$3:$A$5001,$B30,BD!$B$3:$B$5001,$D$2)))</f>
        <v>0</v>
      </c>
      <c r="R30" s="32">
        <f>IF($B30="","",IF($B$2="Todos",SUMIFS(BD!$Q$3:$Q$5001,BD!$A$3:$A$5001,$B30),SUMIFS(BD!$Q$3:$Q$5001,BD!$A$3:$A$5001,$B30,BD!$B$3:$B$5001,$D$2)))</f>
        <v>0</v>
      </c>
      <c r="S30" s="32">
        <f>IF($B30="","",IF($B$2="Todos",SUMIFS(BD!$R$3:$R$5001,BD!$A$3:$A$5001,$B30),SUMIFS(BD!$R$3:$R$5001,BD!$A$3:$A$5001,$B30,BD!$B$3:$B$5001,$D$2)))</f>
        <v>0</v>
      </c>
      <c r="T30" s="32">
        <f>IF($B30="","",IF($B$2="Todos",SUMIFS(BD!$S$3:$S$5001,BD!$A$3:$A$5001,$B30),SUMIFS(BD!$S$3:$S$5001,BD!$A$3:$A$5001,$B30,BD!$B$3:$B$5001,$D$2)))</f>
        <v>0</v>
      </c>
      <c r="U30" s="32">
        <f>IF($B30="","",IF($B$2="Todos",SUMIFS(BD!$T$3:$T$5001,BD!$A$3:$A$5001,$B30),SUMIFS(BD!$T$3:$T$5001,BD!$A$3:$A$5001,$B30,BD!$B$3:$B$5001,$D$2)))</f>
        <v>0</v>
      </c>
      <c r="V30" s="32">
        <f>IF($B30="","",IF($B$2="Todos",SUMIFS(BD!$U$3:$U$5001,BD!$A$3:$A$5001,$B30),SUMIFS(BD!$U$3:$U$5001,BD!$A$3:$A$5001,$B30,BD!$B$3:$B$5001,$D$2)))</f>
        <v>0</v>
      </c>
      <c r="W30" s="50">
        <f>$B$5</f>
        <v>0.7</v>
      </c>
      <c r="X30" s="50">
        <f>$B$6</f>
        <v>0.9</v>
      </c>
      <c r="AN30" s="29" t="str">
        <f>IFERROR(INDEX(Config!$B$10:$B$29,MATCH(18,$AP$13:$AP$32,0))&amp;"","")</f>
        <v/>
      </c>
      <c r="AO30" s="28" t="str">
        <f>IF(AN30="","",IF(INDEX(Config!$C$10:$C$29,MATCH(18,$AP$13:$AP$32,0))&amp;""="","JSL",INDEX(Config!$C$10:$C$29,MATCH(18,$AP$13:$AP$32,0))&amp;""))</f>
        <v/>
      </c>
      <c r="AP30" s="38">
        <f>IF(Config!$B$27&amp;""="",AP29,AP29+1)</f>
        <v>5</v>
      </c>
    </row>
    <row r="31">
      <c r="A31" s="28">
        <v>20</v>
      </c>
      <c r="B31" s="46">
        <f>IF($A31&lt;=DAY($D$7),$C$7+$A31-1,"")</f>
        <v>46315</v>
      </c>
      <c r="C31" s="32">
        <f>IF($B31="","",IF($B$2="Todos",SUMIFS(BD!$C$3:$C$5001,BD!$A$3:$A$5001,$B31),SUMIFS(BD!$C$3:$C$5001,BD!$A$3:$A$5001,$B31,BD!$B$3:$B$5001,$D$2)))</f>
        <v>0</v>
      </c>
      <c r="D31" s="32">
        <f>IF($B31="","",IF($B$2="Todos",SUMIFS(BD!$D$3:$D$5001,BD!$A$3:$A$5001,$B31),SUMIFS(BD!$D$3:$D$5001,BD!$A$3:$A$5001,$B31,BD!$B$3:$B$5001,$D$2)))</f>
        <v>0</v>
      </c>
      <c r="E31" s="47">
        <f>IF($B31="","",IF($B$2="Todos",SUMIFS(BD!$E$3:$E$5001,BD!$A$3:$A$5001,$B31),SUMIFS(BD!$E$3:$E$5001,BD!$A$3:$A$5001,$B31,BD!$B$3:$B$5001,$D$2)))</f>
        <v>0</v>
      </c>
      <c r="F31" s="32">
        <f>IF($B31="","",IF($B$2="Todos",SUMIFS(BD!$F$3:$F$5001,BD!$A$3:$A$5001,$B31),SUMIFS(BD!$F$3:$F$5001,BD!$A$3:$A$5001,$B31,BD!$B$3:$B$5001,$D$2)))</f>
        <v>0</v>
      </c>
      <c r="G31" s="32">
        <f>IF($B31="","",IF($B$2="Todos",SUMIFS(BD!$G$3:$G$5001,BD!$A$3:$A$5001,$B31),SUMIFS(BD!$G$3:$G$5001,BD!$A$3:$A$5001,$B31,BD!$B$3:$B$5001,$D$2)))</f>
        <v>0</v>
      </c>
      <c r="H31" s="47">
        <f>IF($B31="","",IF($B$2="Todos",SUMIFS(BD!$H$3:$H$5001,BD!$A$3:$A$5001,$B31),SUMIFS(BD!$H$3:$H$5001,BD!$A$3:$A$5001,$B31,BD!$B$3:$B$5001,$D$2)))</f>
        <v>0</v>
      </c>
      <c r="I31" s="32">
        <f>IF($B31="","",IF($B$2="Todos",SUMIFS(BD!$I$3:$I$5001,BD!$A$3:$A$5001,$B31),SUMIFS(BD!$I$3:$I$5001,BD!$A$3:$A$5001,$B31,BD!$B$3:$B$5001,$D$2)))</f>
        <v>0</v>
      </c>
      <c r="J31" s="32">
        <f>IF($B31="","",IF($B$2="Todos",SUMIFS(BD!$J$3:$J$5001,BD!$A$3:$A$5001,$B31),SUMIFS(BD!$J$3:$J$5001,BD!$A$3:$A$5001,$B31,BD!$B$3:$B$5001,$D$2)))</f>
        <v>0</v>
      </c>
      <c r="K31" s="32" t="str">
        <f>IF($B$2="Todos",IF(COUNT($C$134:$V$134)=0,"",SUM($C$134:$V$134)),IFERROR(INDEX($C$134:$V$134,MATCH($D$2,$C$114:$V$114,0)),""))</f>
        <v/>
      </c>
      <c r="L31" s="48" t="str">
        <f>IF(M31="","",IF($B$2="Todos",IF($B$4&gt;0,$B$4,IF($B$2="Todos",IF(COUNT($C$204:$V$204)=0,"",SUM($C$204:$V$204)),IFERROR(INDEX($C$204:$V$204,MATCH($D$2,$C$184:$V$184,0)),""))),IFERROR(INDEX($C$204:$V$204,MATCH($D$2,$C$184:$V$184,0)),"")))</f>
        <v/>
      </c>
      <c r="M31" s="32" t="str">
        <f>IF($B$2="Todos",IF(COUNT($C$169:$V$169)=0,"",SUM($C$169:$V$169)),IFERROR(INDEX($C$169:$V$169,MATCH($D$2,$C$149:$V$149,0)),""))</f>
        <v/>
      </c>
      <c r="N31" s="49" t="str">
        <f>IF(AND(ISNUMBER(M31),ISNUMBER(L31)),IF(L31&gt;0,M31/L31,""),"")</f>
        <v/>
      </c>
      <c r="O31" s="32" t="str">
        <f>IF($B$2="Todos",IF(COUNT($C$239:$V$239)=0,"",SUM($C$239:$V$239)),IFERROR(INDEX($C$239:$V$239,MATCH($D$2,$C$219:$V$219,0)),""))</f>
        <v/>
      </c>
      <c r="P31" s="32">
        <f>IF($B31="","",IF($B$2="Todos",SUMIFS(BD!$O$3:$O$5001,BD!$A$3:$A$5001,$B31),SUMIFS(BD!$O$3:$O$5001,BD!$A$3:$A$5001,$B31,BD!$B$3:$B$5001,$D$2)))</f>
        <v>0</v>
      </c>
      <c r="Q31" s="32">
        <f>IF($B31="","",IF($B$2="Todos",SUMIFS(BD!$P$3:$P$5001,BD!$A$3:$A$5001,$B31),SUMIFS(BD!$P$3:$P$5001,BD!$A$3:$A$5001,$B31,BD!$B$3:$B$5001,$D$2)))</f>
        <v>0</v>
      </c>
      <c r="R31" s="32">
        <f>IF($B31="","",IF($B$2="Todos",SUMIFS(BD!$Q$3:$Q$5001,BD!$A$3:$A$5001,$B31),SUMIFS(BD!$Q$3:$Q$5001,BD!$A$3:$A$5001,$B31,BD!$B$3:$B$5001,$D$2)))</f>
        <v>0</v>
      </c>
      <c r="S31" s="32">
        <f>IF($B31="","",IF($B$2="Todos",SUMIFS(BD!$R$3:$R$5001,BD!$A$3:$A$5001,$B31),SUMIFS(BD!$R$3:$R$5001,BD!$A$3:$A$5001,$B31,BD!$B$3:$B$5001,$D$2)))</f>
        <v>0</v>
      </c>
      <c r="T31" s="32">
        <f>IF($B31="","",IF($B$2="Todos",SUMIFS(BD!$S$3:$S$5001,BD!$A$3:$A$5001,$B31),SUMIFS(BD!$S$3:$S$5001,BD!$A$3:$A$5001,$B31,BD!$B$3:$B$5001,$D$2)))</f>
        <v>0</v>
      </c>
      <c r="U31" s="32">
        <f>IF($B31="","",IF($B$2="Todos",SUMIFS(BD!$T$3:$T$5001,BD!$A$3:$A$5001,$B31),SUMIFS(BD!$T$3:$T$5001,BD!$A$3:$A$5001,$B31,BD!$B$3:$B$5001,$D$2)))</f>
        <v>0</v>
      </c>
      <c r="V31" s="32">
        <f>IF($B31="","",IF($B$2="Todos",SUMIFS(BD!$U$3:$U$5001,BD!$A$3:$A$5001,$B31),SUMIFS(BD!$U$3:$U$5001,BD!$A$3:$A$5001,$B31,BD!$B$3:$B$5001,$D$2)))</f>
        <v>0</v>
      </c>
      <c r="W31" s="50">
        <f>$B$5</f>
        <v>0.7</v>
      </c>
      <c r="X31" s="50">
        <f>$B$6</f>
        <v>0.9</v>
      </c>
      <c r="AN31" s="29" t="str">
        <f>IFERROR(INDEX(Config!$B$10:$B$29,MATCH(19,$AP$13:$AP$32,0))&amp;"","")</f>
        <v/>
      </c>
      <c r="AO31" s="28" t="str">
        <f>IF(AN31="","",IF(INDEX(Config!$C$10:$C$29,MATCH(19,$AP$13:$AP$32,0))&amp;""="","JSL",INDEX(Config!$C$10:$C$29,MATCH(19,$AP$13:$AP$32,0))&amp;""))</f>
        <v/>
      </c>
      <c r="AP31" s="38">
        <f>IF(Config!$B$28&amp;""="",AP30,AP30+1)</f>
        <v>5</v>
      </c>
    </row>
    <row r="32">
      <c r="A32" s="28">
        <v>21</v>
      </c>
      <c r="B32" s="46">
        <f>IF($A32&lt;=DAY($D$7),$C$7+$A32-1,"")</f>
        <v>46316</v>
      </c>
      <c r="C32" s="32">
        <f>IF($B32="","",IF($B$2="Todos",SUMIFS(BD!$C$3:$C$5001,BD!$A$3:$A$5001,$B32),SUMIFS(BD!$C$3:$C$5001,BD!$A$3:$A$5001,$B32,BD!$B$3:$B$5001,$D$2)))</f>
        <v>0</v>
      </c>
      <c r="D32" s="32">
        <f>IF($B32="","",IF($B$2="Todos",SUMIFS(BD!$D$3:$D$5001,BD!$A$3:$A$5001,$B32),SUMIFS(BD!$D$3:$D$5001,BD!$A$3:$A$5001,$B32,BD!$B$3:$B$5001,$D$2)))</f>
        <v>0</v>
      </c>
      <c r="E32" s="47">
        <f>IF($B32="","",IF($B$2="Todos",SUMIFS(BD!$E$3:$E$5001,BD!$A$3:$A$5001,$B32),SUMIFS(BD!$E$3:$E$5001,BD!$A$3:$A$5001,$B32,BD!$B$3:$B$5001,$D$2)))</f>
        <v>0</v>
      </c>
      <c r="F32" s="32">
        <f>IF($B32="","",IF($B$2="Todos",SUMIFS(BD!$F$3:$F$5001,BD!$A$3:$A$5001,$B32),SUMIFS(BD!$F$3:$F$5001,BD!$A$3:$A$5001,$B32,BD!$B$3:$B$5001,$D$2)))</f>
        <v>0</v>
      </c>
      <c r="G32" s="32">
        <f>IF($B32="","",IF($B$2="Todos",SUMIFS(BD!$G$3:$G$5001,BD!$A$3:$A$5001,$B32),SUMIFS(BD!$G$3:$G$5001,BD!$A$3:$A$5001,$B32,BD!$B$3:$B$5001,$D$2)))</f>
        <v>0</v>
      </c>
      <c r="H32" s="47">
        <f>IF($B32="","",IF($B$2="Todos",SUMIFS(BD!$H$3:$H$5001,BD!$A$3:$A$5001,$B32),SUMIFS(BD!$H$3:$H$5001,BD!$A$3:$A$5001,$B32,BD!$B$3:$B$5001,$D$2)))</f>
        <v>0</v>
      </c>
      <c r="I32" s="32">
        <f>IF($B32="","",IF($B$2="Todos",SUMIFS(BD!$I$3:$I$5001,BD!$A$3:$A$5001,$B32),SUMIFS(BD!$I$3:$I$5001,BD!$A$3:$A$5001,$B32,BD!$B$3:$B$5001,$D$2)))</f>
        <v>0</v>
      </c>
      <c r="J32" s="32">
        <f>IF($B32="","",IF($B$2="Todos",SUMIFS(BD!$J$3:$J$5001,BD!$A$3:$A$5001,$B32),SUMIFS(BD!$J$3:$J$5001,BD!$A$3:$A$5001,$B32,BD!$B$3:$B$5001,$D$2)))</f>
        <v>0</v>
      </c>
      <c r="K32" s="32" t="str">
        <f>IF($B$2="Todos",IF(COUNT($C$135:$V$135)=0,"",SUM($C$135:$V$135)),IFERROR(INDEX($C$135:$V$135,MATCH($D$2,$C$114:$V$114,0)),""))</f>
        <v/>
      </c>
      <c r="L32" s="48" t="str">
        <f>IF(M32="","",IF($B$2="Todos",IF($B$4&gt;0,$B$4,IF($B$2="Todos",IF(COUNT($C$205:$V$205)=0,"",SUM($C$205:$V$205)),IFERROR(INDEX($C$205:$V$205,MATCH($D$2,$C$184:$V$184,0)),""))),IFERROR(INDEX($C$205:$V$205,MATCH($D$2,$C$184:$V$184,0)),"")))</f>
        <v/>
      </c>
      <c r="M32" s="32" t="str">
        <f>IF($B$2="Todos",IF(COUNT($C$170:$V$170)=0,"",SUM($C$170:$V$170)),IFERROR(INDEX($C$170:$V$170,MATCH($D$2,$C$149:$V$149,0)),""))</f>
        <v/>
      </c>
      <c r="N32" s="49" t="str">
        <f>IF(AND(ISNUMBER(M32),ISNUMBER(L32)),IF(L32&gt;0,M32/L32,""),"")</f>
        <v/>
      </c>
      <c r="O32" s="32" t="str">
        <f>IF($B$2="Todos",IF(COUNT($C$240:$V$240)=0,"",SUM($C$240:$V$240)),IFERROR(INDEX($C$240:$V$240,MATCH($D$2,$C$219:$V$219,0)),""))</f>
        <v/>
      </c>
      <c r="P32" s="32">
        <f>IF($B32="","",IF($B$2="Todos",SUMIFS(BD!$O$3:$O$5001,BD!$A$3:$A$5001,$B32),SUMIFS(BD!$O$3:$O$5001,BD!$A$3:$A$5001,$B32,BD!$B$3:$B$5001,$D$2)))</f>
        <v>0</v>
      </c>
      <c r="Q32" s="32">
        <f>IF($B32="","",IF($B$2="Todos",SUMIFS(BD!$P$3:$P$5001,BD!$A$3:$A$5001,$B32),SUMIFS(BD!$P$3:$P$5001,BD!$A$3:$A$5001,$B32,BD!$B$3:$B$5001,$D$2)))</f>
        <v>0</v>
      </c>
      <c r="R32" s="32">
        <f>IF($B32="","",IF($B$2="Todos",SUMIFS(BD!$Q$3:$Q$5001,BD!$A$3:$A$5001,$B32),SUMIFS(BD!$Q$3:$Q$5001,BD!$A$3:$A$5001,$B32,BD!$B$3:$B$5001,$D$2)))</f>
        <v>0</v>
      </c>
      <c r="S32" s="32">
        <f>IF($B32="","",IF($B$2="Todos",SUMIFS(BD!$R$3:$R$5001,BD!$A$3:$A$5001,$B32),SUMIFS(BD!$R$3:$R$5001,BD!$A$3:$A$5001,$B32,BD!$B$3:$B$5001,$D$2)))</f>
        <v>0</v>
      </c>
      <c r="T32" s="32">
        <f>IF($B32="","",IF($B$2="Todos",SUMIFS(BD!$S$3:$S$5001,BD!$A$3:$A$5001,$B32),SUMIFS(BD!$S$3:$S$5001,BD!$A$3:$A$5001,$B32,BD!$B$3:$B$5001,$D$2)))</f>
        <v>0</v>
      </c>
      <c r="U32" s="32">
        <f>IF($B32="","",IF($B$2="Todos",SUMIFS(BD!$T$3:$T$5001,BD!$A$3:$A$5001,$B32),SUMIFS(BD!$T$3:$T$5001,BD!$A$3:$A$5001,$B32,BD!$B$3:$B$5001,$D$2)))</f>
        <v>0</v>
      </c>
      <c r="V32" s="32">
        <f>IF($B32="","",IF($B$2="Todos",SUMIFS(BD!$U$3:$U$5001,BD!$A$3:$A$5001,$B32),SUMIFS(BD!$U$3:$U$5001,BD!$A$3:$A$5001,$B32,BD!$B$3:$B$5001,$D$2)))</f>
        <v>0</v>
      </c>
      <c r="W32" s="50">
        <f>$B$5</f>
        <v>0.7</v>
      </c>
      <c r="X32" s="50">
        <f>$B$6</f>
        <v>0.9</v>
      </c>
      <c r="AN32" s="29" t="str">
        <f>IFERROR(INDEX(Config!$B$10:$B$29,MATCH(20,$AP$13:$AP$32,0))&amp;"","")</f>
        <v/>
      </c>
      <c r="AO32" s="28" t="str">
        <f>IF(AN32="","",IF(INDEX(Config!$C$10:$C$29,MATCH(20,$AP$13:$AP$32,0))&amp;""="","JSL",INDEX(Config!$C$10:$C$29,MATCH(20,$AP$13:$AP$32,0))&amp;""))</f>
        <v/>
      </c>
      <c r="AP32" s="38">
        <f>IF(Config!$B$29&amp;""="",AP31,AP31+1)</f>
        <v>5</v>
      </c>
    </row>
    <row r="33">
      <c r="A33" s="28">
        <v>22</v>
      </c>
      <c r="B33" s="46">
        <f>IF($A33&lt;=DAY($D$7),$C$7+$A33-1,"")</f>
        <v>46317</v>
      </c>
      <c r="C33" s="32">
        <f>IF($B33="","",IF($B$2="Todos",SUMIFS(BD!$C$3:$C$5001,BD!$A$3:$A$5001,$B33),SUMIFS(BD!$C$3:$C$5001,BD!$A$3:$A$5001,$B33,BD!$B$3:$B$5001,$D$2)))</f>
        <v>0</v>
      </c>
      <c r="D33" s="32">
        <f>IF($B33="","",IF($B$2="Todos",SUMIFS(BD!$D$3:$D$5001,BD!$A$3:$A$5001,$B33),SUMIFS(BD!$D$3:$D$5001,BD!$A$3:$A$5001,$B33,BD!$B$3:$B$5001,$D$2)))</f>
        <v>0</v>
      </c>
      <c r="E33" s="47">
        <f>IF($B33="","",IF($B$2="Todos",SUMIFS(BD!$E$3:$E$5001,BD!$A$3:$A$5001,$B33),SUMIFS(BD!$E$3:$E$5001,BD!$A$3:$A$5001,$B33,BD!$B$3:$B$5001,$D$2)))</f>
        <v>0</v>
      </c>
      <c r="F33" s="32">
        <f>IF($B33="","",IF($B$2="Todos",SUMIFS(BD!$F$3:$F$5001,BD!$A$3:$A$5001,$B33),SUMIFS(BD!$F$3:$F$5001,BD!$A$3:$A$5001,$B33,BD!$B$3:$B$5001,$D$2)))</f>
        <v>0</v>
      </c>
      <c r="G33" s="32">
        <f>IF($B33="","",IF($B$2="Todos",SUMIFS(BD!$G$3:$G$5001,BD!$A$3:$A$5001,$B33),SUMIFS(BD!$G$3:$G$5001,BD!$A$3:$A$5001,$B33,BD!$B$3:$B$5001,$D$2)))</f>
        <v>0</v>
      </c>
      <c r="H33" s="47">
        <f>IF($B33="","",IF($B$2="Todos",SUMIFS(BD!$H$3:$H$5001,BD!$A$3:$A$5001,$B33),SUMIFS(BD!$H$3:$H$5001,BD!$A$3:$A$5001,$B33,BD!$B$3:$B$5001,$D$2)))</f>
        <v>0</v>
      </c>
      <c r="I33" s="32">
        <f>IF($B33="","",IF($B$2="Todos",SUMIFS(BD!$I$3:$I$5001,BD!$A$3:$A$5001,$B33),SUMIFS(BD!$I$3:$I$5001,BD!$A$3:$A$5001,$B33,BD!$B$3:$B$5001,$D$2)))</f>
        <v>0</v>
      </c>
      <c r="J33" s="32">
        <f>IF($B33="","",IF($B$2="Todos",SUMIFS(BD!$J$3:$J$5001,BD!$A$3:$A$5001,$B33),SUMIFS(BD!$J$3:$J$5001,BD!$A$3:$A$5001,$B33,BD!$B$3:$B$5001,$D$2)))</f>
        <v>0</v>
      </c>
      <c r="K33" s="32" t="str">
        <f>IF($B$2="Todos",IF(COUNT($C$136:$V$136)=0,"",SUM($C$136:$V$136)),IFERROR(INDEX($C$136:$V$136,MATCH($D$2,$C$114:$V$114,0)),""))</f>
        <v/>
      </c>
      <c r="L33" s="48" t="str">
        <f>IF(M33="","",IF($B$2="Todos",IF($B$4&gt;0,$B$4,IF($B$2="Todos",IF(COUNT($C$206:$V$206)=0,"",SUM($C$206:$V$206)),IFERROR(INDEX($C$206:$V$206,MATCH($D$2,$C$184:$V$184,0)),""))),IFERROR(INDEX($C$206:$V$206,MATCH($D$2,$C$184:$V$184,0)),"")))</f>
        <v/>
      </c>
      <c r="M33" s="32" t="str">
        <f>IF($B$2="Todos",IF(COUNT($C$171:$V$171)=0,"",SUM($C$171:$V$171)),IFERROR(INDEX($C$171:$V$171,MATCH($D$2,$C$149:$V$149,0)),""))</f>
        <v/>
      </c>
      <c r="N33" s="49" t="str">
        <f>IF(AND(ISNUMBER(M33),ISNUMBER(L33)),IF(L33&gt;0,M33/L33,""),"")</f>
        <v/>
      </c>
      <c r="O33" s="32" t="str">
        <f>IF($B$2="Todos",IF(COUNT($C$241:$V$241)=0,"",SUM($C$241:$V$241)),IFERROR(INDEX($C$241:$V$241,MATCH($D$2,$C$219:$V$219,0)),""))</f>
        <v/>
      </c>
      <c r="P33" s="32">
        <f>IF($B33="","",IF($B$2="Todos",SUMIFS(BD!$O$3:$O$5001,BD!$A$3:$A$5001,$B33),SUMIFS(BD!$O$3:$O$5001,BD!$A$3:$A$5001,$B33,BD!$B$3:$B$5001,$D$2)))</f>
        <v>0</v>
      </c>
      <c r="Q33" s="32">
        <f>IF($B33="","",IF($B$2="Todos",SUMIFS(BD!$P$3:$P$5001,BD!$A$3:$A$5001,$B33),SUMIFS(BD!$P$3:$P$5001,BD!$A$3:$A$5001,$B33,BD!$B$3:$B$5001,$D$2)))</f>
        <v>0</v>
      </c>
      <c r="R33" s="32">
        <f>IF($B33="","",IF($B$2="Todos",SUMIFS(BD!$Q$3:$Q$5001,BD!$A$3:$A$5001,$B33),SUMIFS(BD!$Q$3:$Q$5001,BD!$A$3:$A$5001,$B33,BD!$B$3:$B$5001,$D$2)))</f>
        <v>0</v>
      </c>
      <c r="S33" s="32">
        <f>IF($B33="","",IF($B$2="Todos",SUMIFS(BD!$R$3:$R$5001,BD!$A$3:$A$5001,$B33),SUMIFS(BD!$R$3:$R$5001,BD!$A$3:$A$5001,$B33,BD!$B$3:$B$5001,$D$2)))</f>
        <v>0</v>
      </c>
      <c r="T33" s="32">
        <f>IF($B33="","",IF($B$2="Todos",SUMIFS(BD!$S$3:$S$5001,BD!$A$3:$A$5001,$B33),SUMIFS(BD!$S$3:$S$5001,BD!$A$3:$A$5001,$B33,BD!$B$3:$B$5001,$D$2)))</f>
        <v>0</v>
      </c>
      <c r="U33" s="32">
        <f>IF($B33="","",IF($B$2="Todos",SUMIFS(BD!$T$3:$T$5001,BD!$A$3:$A$5001,$B33),SUMIFS(BD!$T$3:$T$5001,BD!$A$3:$A$5001,$B33,BD!$B$3:$B$5001,$D$2)))</f>
        <v>0</v>
      </c>
      <c r="V33" s="32">
        <f>IF($B33="","",IF($B$2="Todos",SUMIFS(BD!$U$3:$U$5001,BD!$A$3:$A$5001,$B33),SUMIFS(BD!$U$3:$U$5001,BD!$A$3:$A$5001,$B33,BD!$B$3:$B$5001,$D$2)))</f>
        <v>0</v>
      </c>
      <c r="W33" s="50">
        <f>$B$5</f>
        <v>0.7</v>
      </c>
      <c r="X33" s="50">
        <f>$B$6</f>
        <v>0.9</v>
      </c>
    </row>
    <row r="34">
      <c r="A34" s="28">
        <v>23</v>
      </c>
      <c r="B34" s="46">
        <f>IF($A34&lt;=DAY($D$7),$C$7+$A34-1,"")</f>
        <v>46318</v>
      </c>
      <c r="C34" s="32">
        <f>IF($B34="","",IF($B$2="Todos",SUMIFS(BD!$C$3:$C$5001,BD!$A$3:$A$5001,$B34),SUMIFS(BD!$C$3:$C$5001,BD!$A$3:$A$5001,$B34,BD!$B$3:$B$5001,$D$2)))</f>
        <v>0</v>
      </c>
      <c r="D34" s="32">
        <f>IF($B34="","",IF($B$2="Todos",SUMIFS(BD!$D$3:$D$5001,BD!$A$3:$A$5001,$B34),SUMIFS(BD!$D$3:$D$5001,BD!$A$3:$A$5001,$B34,BD!$B$3:$B$5001,$D$2)))</f>
        <v>0</v>
      </c>
      <c r="E34" s="47">
        <f>IF($B34="","",IF($B$2="Todos",SUMIFS(BD!$E$3:$E$5001,BD!$A$3:$A$5001,$B34),SUMIFS(BD!$E$3:$E$5001,BD!$A$3:$A$5001,$B34,BD!$B$3:$B$5001,$D$2)))</f>
        <v>0</v>
      </c>
      <c r="F34" s="32">
        <f>IF($B34="","",IF($B$2="Todos",SUMIFS(BD!$F$3:$F$5001,BD!$A$3:$A$5001,$B34),SUMIFS(BD!$F$3:$F$5001,BD!$A$3:$A$5001,$B34,BD!$B$3:$B$5001,$D$2)))</f>
        <v>0</v>
      </c>
      <c r="G34" s="32">
        <f>IF($B34="","",IF($B$2="Todos",SUMIFS(BD!$G$3:$G$5001,BD!$A$3:$A$5001,$B34),SUMIFS(BD!$G$3:$G$5001,BD!$A$3:$A$5001,$B34,BD!$B$3:$B$5001,$D$2)))</f>
        <v>0</v>
      </c>
      <c r="H34" s="47">
        <f>IF($B34="","",IF($B$2="Todos",SUMIFS(BD!$H$3:$H$5001,BD!$A$3:$A$5001,$B34),SUMIFS(BD!$H$3:$H$5001,BD!$A$3:$A$5001,$B34,BD!$B$3:$B$5001,$D$2)))</f>
        <v>0</v>
      </c>
      <c r="I34" s="32">
        <f>IF($B34="","",IF($B$2="Todos",SUMIFS(BD!$I$3:$I$5001,BD!$A$3:$A$5001,$B34),SUMIFS(BD!$I$3:$I$5001,BD!$A$3:$A$5001,$B34,BD!$B$3:$B$5001,$D$2)))</f>
        <v>0</v>
      </c>
      <c r="J34" s="32">
        <f>IF($B34="","",IF($B$2="Todos",SUMIFS(BD!$J$3:$J$5001,BD!$A$3:$A$5001,$B34),SUMIFS(BD!$J$3:$J$5001,BD!$A$3:$A$5001,$B34,BD!$B$3:$B$5001,$D$2)))</f>
        <v>0</v>
      </c>
      <c r="K34" s="32" t="str">
        <f>IF($B$2="Todos",IF(COUNT($C$137:$V$137)=0,"",SUM($C$137:$V$137)),IFERROR(INDEX($C$137:$V$137,MATCH($D$2,$C$114:$V$114,0)),""))</f>
        <v/>
      </c>
      <c r="L34" s="48" t="str">
        <f>IF(M34="","",IF($B$2="Todos",IF($B$4&gt;0,$B$4,IF($B$2="Todos",IF(COUNT($C$207:$V$207)=0,"",SUM($C$207:$V$207)),IFERROR(INDEX($C$207:$V$207,MATCH($D$2,$C$184:$V$184,0)),""))),IFERROR(INDEX($C$207:$V$207,MATCH($D$2,$C$184:$V$184,0)),"")))</f>
        <v/>
      </c>
      <c r="M34" s="32" t="str">
        <f>IF($B$2="Todos",IF(COUNT($C$172:$V$172)=0,"",SUM($C$172:$V$172)),IFERROR(INDEX($C$172:$V$172,MATCH($D$2,$C$149:$V$149,0)),""))</f>
        <v/>
      </c>
      <c r="N34" s="49" t="str">
        <f>IF(AND(ISNUMBER(M34),ISNUMBER(L34)),IF(L34&gt;0,M34/L34,""),"")</f>
        <v/>
      </c>
      <c r="O34" s="32" t="str">
        <f>IF($B$2="Todos",IF(COUNT($C$242:$V$242)=0,"",SUM($C$242:$V$242)),IFERROR(INDEX($C$242:$V$242,MATCH($D$2,$C$219:$V$219,0)),""))</f>
        <v/>
      </c>
      <c r="P34" s="32">
        <f>IF($B34="","",IF($B$2="Todos",SUMIFS(BD!$O$3:$O$5001,BD!$A$3:$A$5001,$B34),SUMIFS(BD!$O$3:$O$5001,BD!$A$3:$A$5001,$B34,BD!$B$3:$B$5001,$D$2)))</f>
        <v>0</v>
      </c>
      <c r="Q34" s="32">
        <f>IF($B34="","",IF($B$2="Todos",SUMIFS(BD!$P$3:$P$5001,BD!$A$3:$A$5001,$B34),SUMIFS(BD!$P$3:$P$5001,BD!$A$3:$A$5001,$B34,BD!$B$3:$B$5001,$D$2)))</f>
        <v>0</v>
      </c>
      <c r="R34" s="32">
        <f>IF($B34="","",IF($B$2="Todos",SUMIFS(BD!$Q$3:$Q$5001,BD!$A$3:$A$5001,$B34),SUMIFS(BD!$Q$3:$Q$5001,BD!$A$3:$A$5001,$B34,BD!$B$3:$B$5001,$D$2)))</f>
        <v>0</v>
      </c>
      <c r="S34" s="32">
        <f>IF($B34="","",IF($B$2="Todos",SUMIFS(BD!$R$3:$R$5001,BD!$A$3:$A$5001,$B34),SUMIFS(BD!$R$3:$R$5001,BD!$A$3:$A$5001,$B34,BD!$B$3:$B$5001,$D$2)))</f>
        <v>0</v>
      </c>
      <c r="T34" s="32">
        <f>IF($B34="","",IF($B$2="Todos",SUMIFS(BD!$S$3:$S$5001,BD!$A$3:$A$5001,$B34),SUMIFS(BD!$S$3:$S$5001,BD!$A$3:$A$5001,$B34,BD!$B$3:$B$5001,$D$2)))</f>
        <v>0</v>
      </c>
      <c r="U34" s="32">
        <f>IF($B34="","",IF($B$2="Todos",SUMIFS(BD!$T$3:$T$5001,BD!$A$3:$A$5001,$B34),SUMIFS(BD!$T$3:$T$5001,BD!$A$3:$A$5001,$B34,BD!$B$3:$B$5001,$D$2)))</f>
        <v>0</v>
      </c>
      <c r="V34" s="32">
        <f>IF($B34="","",IF($B$2="Todos",SUMIFS(BD!$U$3:$U$5001,BD!$A$3:$A$5001,$B34),SUMIFS(BD!$U$3:$U$5001,BD!$A$3:$A$5001,$B34,BD!$B$3:$B$5001,$D$2)))</f>
        <v>0</v>
      </c>
      <c r="W34" s="50">
        <f>$B$5</f>
        <v>0.7</v>
      </c>
      <c r="X34" s="50">
        <f>$B$6</f>
        <v>0.9</v>
      </c>
    </row>
    <row r="35">
      <c r="A35" s="28">
        <v>24</v>
      </c>
      <c r="B35" s="46">
        <f>IF($A35&lt;=DAY($D$7),$C$7+$A35-1,"")</f>
        <v>46319</v>
      </c>
      <c r="C35" s="32">
        <f>IF($B35="","",IF($B$2="Todos",SUMIFS(BD!$C$3:$C$5001,BD!$A$3:$A$5001,$B35),SUMIFS(BD!$C$3:$C$5001,BD!$A$3:$A$5001,$B35,BD!$B$3:$B$5001,$D$2)))</f>
        <v>0</v>
      </c>
      <c r="D35" s="32">
        <f>IF($B35="","",IF($B$2="Todos",SUMIFS(BD!$D$3:$D$5001,BD!$A$3:$A$5001,$B35),SUMIFS(BD!$D$3:$D$5001,BD!$A$3:$A$5001,$B35,BD!$B$3:$B$5001,$D$2)))</f>
        <v>0</v>
      </c>
      <c r="E35" s="47">
        <f>IF($B35="","",IF($B$2="Todos",SUMIFS(BD!$E$3:$E$5001,BD!$A$3:$A$5001,$B35),SUMIFS(BD!$E$3:$E$5001,BD!$A$3:$A$5001,$B35,BD!$B$3:$B$5001,$D$2)))</f>
        <v>0</v>
      </c>
      <c r="F35" s="32">
        <f>IF($B35="","",IF($B$2="Todos",SUMIFS(BD!$F$3:$F$5001,BD!$A$3:$A$5001,$B35),SUMIFS(BD!$F$3:$F$5001,BD!$A$3:$A$5001,$B35,BD!$B$3:$B$5001,$D$2)))</f>
        <v>0</v>
      </c>
      <c r="G35" s="32">
        <f>IF($B35="","",IF($B$2="Todos",SUMIFS(BD!$G$3:$G$5001,BD!$A$3:$A$5001,$B35),SUMIFS(BD!$G$3:$G$5001,BD!$A$3:$A$5001,$B35,BD!$B$3:$B$5001,$D$2)))</f>
        <v>0</v>
      </c>
      <c r="H35" s="47">
        <f>IF($B35="","",IF($B$2="Todos",SUMIFS(BD!$H$3:$H$5001,BD!$A$3:$A$5001,$B35),SUMIFS(BD!$H$3:$H$5001,BD!$A$3:$A$5001,$B35,BD!$B$3:$B$5001,$D$2)))</f>
        <v>0</v>
      </c>
      <c r="I35" s="32">
        <f>IF($B35="","",IF($B$2="Todos",SUMIFS(BD!$I$3:$I$5001,BD!$A$3:$A$5001,$B35),SUMIFS(BD!$I$3:$I$5001,BD!$A$3:$A$5001,$B35,BD!$B$3:$B$5001,$D$2)))</f>
        <v>0</v>
      </c>
      <c r="J35" s="32">
        <f>IF($B35="","",IF($B$2="Todos",SUMIFS(BD!$J$3:$J$5001,BD!$A$3:$A$5001,$B35),SUMIFS(BD!$J$3:$J$5001,BD!$A$3:$A$5001,$B35,BD!$B$3:$B$5001,$D$2)))</f>
        <v>0</v>
      </c>
      <c r="K35" s="32" t="str">
        <f>IF($B$2="Todos",IF(COUNT($C$138:$V$138)=0,"",SUM($C$138:$V$138)),IFERROR(INDEX($C$138:$V$138,MATCH($D$2,$C$114:$V$114,0)),""))</f>
        <v/>
      </c>
      <c r="L35" s="48" t="str">
        <f>IF(M35="","",IF($B$2="Todos",IF($B$4&gt;0,$B$4,IF($B$2="Todos",IF(COUNT($C$208:$V$208)=0,"",SUM($C$208:$V$208)),IFERROR(INDEX($C$208:$V$208,MATCH($D$2,$C$184:$V$184,0)),""))),IFERROR(INDEX($C$208:$V$208,MATCH($D$2,$C$184:$V$184,0)),"")))</f>
        <v/>
      </c>
      <c r="M35" s="32" t="str">
        <f>IF($B$2="Todos",IF(COUNT($C$173:$V$173)=0,"",SUM($C$173:$V$173)),IFERROR(INDEX($C$173:$V$173,MATCH($D$2,$C$149:$V$149,0)),""))</f>
        <v/>
      </c>
      <c r="N35" s="49" t="str">
        <f>IF(AND(ISNUMBER(M35),ISNUMBER(L35)),IF(L35&gt;0,M35/L35,""),"")</f>
        <v/>
      </c>
      <c r="O35" s="32" t="str">
        <f>IF($B$2="Todos",IF(COUNT($C$243:$V$243)=0,"",SUM($C$243:$V$243)),IFERROR(INDEX($C$243:$V$243,MATCH($D$2,$C$219:$V$219,0)),""))</f>
        <v/>
      </c>
      <c r="P35" s="32">
        <f>IF($B35="","",IF($B$2="Todos",SUMIFS(BD!$O$3:$O$5001,BD!$A$3:$A$5001,$B35),SUMIFS(BD!$O$3:$O$5001,BD!$A$3:$A$5001,$B35,BD!$B$3:$B$5001,$D$2)))</f>
        <v>0</v>
      </c>
      <c r="Q35" s="32">
        <f>IF($B35="","",IF($B$2="Todos",SUMIFS(BD!$P$3:$P$5001,BD!$A$3:$A$5001,$B35),SUMIFS(BD!$P$3:$P$5001,BD!$A$3:$A$5001,$B35,BD!$B$3:$B$5001,$D$2)))</f>
        <v>0</v>
      </c>
      <c r="R35" s="32">
        <f>IF($B35="","",IF($B$2="Todos",SUMIFS(BD!$Q$3:$Q$5001,BD!$A$3:$A$5001,$B35),SUMIFS(BD!$Q$3:$Q$5001,BD!$A$3:$A$5001,$B35,BD!$B$3:$B$5001,$D$2)))</f>
        <v>0</v>
      </c>
      <c r="S35" s="32">
        <f>IF($B35="","",IF($B$2="Todos",SUMIFS(BD!$R$3:$R$5001,BD!$A$3:$A$5001,$B35),SUMIFS(BD!$R$3:$R$5001,BD!$A$3:$A$5001,$B35,BD!$B$3:$B$5001,$D$2)))</f>
        <v>0</v>
      </c>
      <c r="T35" s="32">
        <f>IF($B35="","",IF($B$2="Todos",SUMIFS(BD!$S$3:$S$5001,BD!$A$3:$A$5001,$B35),SUMIFS(BD!$S$3:$S$5001,BD!$A$3:$A$5001,$B35,BD!$B$3:$B$5001,$D$2)))</f>
        <v>0</v>
      </c>
      <c r="U35" s="32">
        <f>IF($B35="","",IF($B$2="Todos",SUMIFS(BD!$T$3:$T$5001,BD!$A$3:$A$5001,$B35),SUMIFS(BD!$T$3:$T$5001,BD!$A$3:$A$5001,$B35,BD!$B$3:$B$5001,$D$2)))</f>
        <v>0</v>
      </c>
      <c r="V35" s="32">
        <f>IF($B35="","",IF($B$2="Todos",SUMIFS(BD!$U$3:$U$5001,BD!$A$3:$A$5001,$B35),SUMIFS(BD!$U$3:$U$5001,BD!$A$3:$A$5001,$B35,BD!$B$3:$B$5001,$D$2)))</f>
        <v>0</v>
      </c>
      <c r="W35" s="50">
        <f>$B$5</f>
        <v>0.7</v>
      </c>
      <c r="X35" s="50">
        <f>$B$6</f>
        <v>0.9</v>
      </c>
    </row>
    <row r="36">
      <c r="A36" s="28">
        <v>25</v>
      </c>
      <c r="B36" s="46">
        <f>IF($A36&lt;=DAY($D$7),$C$7+$A36-1,"")</f>
        <v>46320</v>
      </c>
      <c r="C36" s="32">
        <f>IF($B36="","",IF($B$2="Todos",SUMIFS(BD!$C$3:$C$5001,BD!$A$3:$A$5001,$B36),SUMIFS(BD!$C$3:$C$5001,BD!$A$3:$A$5001,$B36,BD!$B$3:$B$5001,$D$2)))</f>
        <v>0</v>
      </c>
      <c r="D36" s="32">
        <f>IF($B36="","",IF($B$2="Todos",SUMIFS(BD!$D$3:$D$5001,BD!$A$3:$A$5001,$B36),SUMIFS(BD!$D$3:$D$5001,BD!$A$3:$A$5001,$B36,BD!$B$3:$B$5001,$D$2)))</f>
        <v>0</v>
      </c>
      <c r="E36" s="47">
        <f>IF($B36="","",IF($B$2="Todos",SUMIFS(BD!$E$3:$E$5001,BD!$A$3:$A$5001,$B36),SUMIFS(BD!$E$3:$E$5001,BD!$A$3:$A$5001,$B36,BD!$B$3:$B$5001,$D$2)))</f>
        <v>0</v>
      </c>
      <c r="F36" s="32">
        <f>IF($B36="","",IF($B$2="Todos",SUMIFS(BD!$F$3:$F$5001,BD!$A$3:$A$5001,$B36),SUMIFS(BD!$F$3:$F$5001,BD!$A$3:$A$5001,$B36,BD!$B$3:$B$5001,$D$2)))</f>
        <v>0</v>
      </c>
      <c r="G36" s="32">
        <f>IF($B36="","",IF($B$2="Todos",SUMIFS(BD!$G$3:$G$5001,BD!$A$3:$A$5001,$B36),SUMIFS(BD!$G$3:$G$5001,BD!$A$3:$A$5001,$B36,BD!$B$3:$B$5001,$D$2)))</f>
        <v>0</v>
      </c>
      <c r="H36" s="47">
        <f>IF($B36="","",IF($B$2="Todos",SUMIFS(BD!$H$3:$H$5001,BD!$A$3:$A$5001,$B36),SUMIFS(BD!$H$3:$H$5001,BD!$A$3:$A$5001,$B36,BD!$B$3:$B$5001,$D$2)))</f>
        <v>0</v>
      </c>
      <c r="I36" s="32">
        <f>IF($B36="","",IF($B$2="Todos",SUMIFS(BD!$I$3:$I$5001,BD!$A$3:$A$5001,$B36),SUMIFS(BD!$I$3:$I$5001,BD!$A$3:$A$5001,$B36,BD!$B$3:$B$5001,$D$2)))</f>
        <v>0</v>
      </c>
      <c r="J36" s="32">
        <f>IF($B36="","",IF($B$2="Todos",SUMIFS(BD!$J$3:$J$5001,BD!$A$3:$A$5001,$B36),SUMIFS(BD!$J$3:$J$5001,BD!$A$3:$A$5001,$B36,BD!$B$3:$B$5001,$D$2)))</f>
        <v>0</v>
      </c>
      <c r="K36" s="32" t="str">
        <f>IF($B$2="Todos",IF(COUNT($C$139:$V$139)=0,"",SUM($C$139:$V$139)),IFERROR(INDEX($C$139:$V$139,MATCH($D$2,$C$114:$V$114,0)),""))</f>
        <v/>
      </c>
      <c r="L36" s="48" t="str">
        <f>IF(M36="","",IF($B$2="Todos",IF($B$4&gt;0,$B$4,IF($B$2="Todos",IF(COUNT($C$209:$V$209)=0,"",SUM($C$209:$V$209)),IFERROR(INDEX($C$209:$V$209,MATCH($D$2,$C$184:$V$184,0)),""))),IFERROR(INDEX($C$209:$V$209,MATCH($D$2,$C$184:$V$184,0)),"")))</f>
        <v/>
      </c>
      <c r="M36" s="32" t="str">
        <f>IF($B$2="Todos",IF(COUNT($C$174:$V$174)=0,"",SUM($C$174:$V$174)),IFERROR(INDEX($C$174:$V$174,MATCH($D$2,$C$149:$V$149,0)),""))</f>
        <v/>
      </c>
      <c r="N36" s="49" t="str">
        <f>IF(AND(ISNUMBER(M36),ISNUMBER(L36)),IF(L36&gt;0,M36/L36,""),"")</f>
        <v/>
      </c>
      <c r="O36" s="32" t="str">
        <f>IF($B$2="Todos",IF(COUNT($C$244:$V$244)=0,"",SUM($C$244:$V$244)),IFERROR(INDEX($C$244:$V$244,MATCH($D$2,$C$219:$V$219,0)),""))</f>
        <v/>
      </c>
      <c r="P36" s="32">
        <f>IF($B36="","",IF($B$2="Todos",SUMIFS(BD!$O$3:$O$5001,BD!$A$3:$A$5001,$B36),SUMIFS(BD!$O$3:$O$5001,BD!$A$3:$A$5001,$B36,BD!$B$3:$B$5001,$D$2)))</f>
        <v>0</v>
      </c>
      <c r="Q36" s="32">
        <f>IF($B36="","",IF($B$2="Todos",SUMIFS(BD!$P$3:$P$5001,BD!$A$3:$A$5001,$B36),SUMIFS(BD!$P$3:$P$5001,BD!$A$3:$A$5001,$B36,BD!$B$3:$B$5001,$D$2)))</f>
        <v>0</v>
      </c>
      <c r="R36" s="32">
        <f>IF($B36="","",IF($B$2="Todos",SUMIFS(BD!$Q$3:$Q$5001,BD!$A$3:$A$5001,$B36),SUMIFS(BD!$Q$3:$Q$5001,BD!$A$3:$A$5001,$B36,BD!$B$3:$B$5001,$D$2)))</f>
        <v>0</v>
      </c>
      <c r="S36" s="32">
        <f>IF($B36="","",IF($B$2="Todos",SUMIFS(BD!$R$3:$R$5001,BD!$A$3:$A$5001,$B36),SUMIFS(BD!$R$3:$R$5001,BD!$A$3:$A$5001,$B36,BD!$B$3:$B$5001,$D$2)))</f>
        <v>0</v>
      </c>
      <c r="T36" s="32">
        <f>IF($B36="","",IF($B$2="Todos",SUMIFS(BD!$S$3:$S$5001,BD!$A$3:$A$5001,$B36),SUMIFS(BD!$S$3:$S$5001,BD!$A$3:$A$5001,$B36,BD!$B$3:$B$5001,$D$2)))</f>
        <v>0</v>
      </c>
      <c r="U36" s="32">
        <f>IF($B36="","",IF($B$2="Todos",SUMIFS(BD!$T$3:$T$5001,BD!$A$3:$A$5001,$B36),SUMIFS(BD!$T$3:$T$5001,BD!$A$3:$A$5001,$B36,BD!$B$3:$B$5001,$D$2)))</f>
        <v>0</v>
      </c>
      <c r="V36" s="32">
        <f>IF($B36="","",IF($B$2="Todos",SUMIFS(BD!$U$3:$U$5001,BD!$A$3:$A$5001,$B36),SUMIFS(BD!$U$3:$U$5001,BD!$A$3:$A$5001,$B36,BD!$B$3:$B$5001,$D$2)))</f>
        <v>0</v>
      </c>
      <c r="W36" s="50">
        <f>$B$5</f>
        <v>0.7</v>
      </c>
      <c r="X36" s="50">
        <f>$B$6</f>
        <v>0.9</v>
      </c>
    </row>
    <row r="37">
      <c r="A37" s="28">
        <v>26</v>
      </c>
      <c r="B37" s="46">
        <f>IF($A37&lt;=DAY($D$7),$C$7+$A37-1,"")</f>
        <v>46321</v>
      </c>
      <c r="C37" s="32">
        <f>IF($B37="","",IF($B$2="Todos",SUMIFS(BD!$C$3:$C$5001,BD!$A$3:$A$5001,$B37),SUMIFS(BD!$C$3:$C$5001,BD!$A$3:$A$5001,$B37,BD!$B$3:$B$5001,$D$2)))</f>
        <v>0</v>
      </c>
      <c r="D37" s="32">
        <f>IF($B37="","",IF($B$2="Todos",SUMIFS(BD!$D$3:$D$5001,BD!$A$3:$A$5001,$B37),SUMIFS(BD!$D$3:$D$5001,BD!$A$3:$A$5001,$B37,BD!$B$3:$B$5001,$D$2)))</f>
        <v>0</v>
      </c>
      <c r="E37" s="47">
        <f>IF($B37="","",IF($B$2="Todos",SUMIFS(BD!$E$3:$E$5001,BD!$A$3:$A$5001,$B37),SUMIFS(BD!$E$3:$E$5001,BD!$A$3:$A$5001,$B37,BD!$B$3:$B$5001,$D$2)))</f>
        <v>0</v>
      </c>
      <c r="F37" s="32">
        <f>IF($B37="","",IF($B$2="Todos",SUMIFS(BD!$F$3:$F$5001,BD!$A$3:$A$5001,$B37),SUMIFS(BD!$F$3:$F$5001,BD!$A$3:$A$5001,$B37,BD!$B$3:$B$5001,$D$2)))</f>
        <v>0</v>
      </c>
      <c r="G37" s="32">
        <f>IF($B37="","",IF($B$2="Todos",SUMIFS(BD!$G$3:$G$5001,BD!$A$3:$A$5001,$B37),SUMIFS(BD!$G$3:$G$5001,BD!$A$3:$A$5001,$B37,BD!$B$3:$B$5001,$D$2)))</f>
        <v>0</v>
      </c>
      <c r="H37" s="47">
        <f>IF($B37="","",IF($B$2="Todos",SUMIFS(BD!$H$3:$H$5001,BD!$A$3:$A$5001,$B37),SUMIFS(BD!$H$3:$H$5001,BD!$A$3:$A$5001,$B37,BD!$B$3:$B$5001,$D$2)))</f>
        <v>0</v>
      </c>
      <c r="I37" s="32">
        <f>IF($B37="","",IF($B$2="Todos",SUMIFS(BD!$I$3:$I$5001,BD!$A$3:$A$5001,$B37),SUMIFS(BD!$I$3:$I$5001,BD!$A$3:$A$5001,$B37,BD!$B$3:$B$5001,$D$2)))</f>
        <v>0</v>
      </c>
      <c r="J37" s="32">
        <f>IF($B37="","",IF($B$2="Todos",SUMIFS(BD!$J$3:$J$5001,BD!$A$3:$A$5001,$B37),SUMIFS(BD!$J$3:$J$5001,BD!$A$3:$A$5001,$B37,BD!$B$3:$B$5001,$D$2)))</f>
        <v>0</v>
      </c>
      <c r="K37" s="32" t="str">
        <f>IF($B$2="Todos",IF(COUNT($C$140:$V$140)=0,"",SUM($C$140:$V$140)),IFERROR(INDEX($C$140:$V$140,MATCH($D$2,$C$114:$V$114,0)),""))</f>
        <v/>
      </c>
      <c r="L37" s="48" t="str">
        <f>IF(M37="","",IF($B$2="Todos",IF($B$4&gt;0,$B$4,IF($B$2="Todos",IF(COUNT($C$210:$V$210)=0,"",SUM($C$210:$V$210)),IFERROR(INDEX($C$210:$V$210,MATCH($D$2,$C$184:$V$184,0)),""))),IFERROR(INDEX($C$210:$V$210,MATCH($D$2,$C$184:$V$184,0)),"")))</f>
        <v/>
      </c>
      <c r="M37" s="32" t="str">
        <f>IF($B$2="Todos",IF(COUNT($C$175:$V$175)=0,"",SUM($C$175:$V$175)),IFERROR(INDEX($C$175:$V$175,MATCH($D$2,$C$149:$V$149,0)),""))</f>
        <v/>
      </c>
      <c r="N37" s="49" t="str">
        <f>IF(AND(ISNUMBER(M37),ISNUMBER(L37)),IF(L37&gt;0,M37/L37,""),"")</f>
        <v/>
      </c>
      <c r="O37" s="32" t="str">
        <f>IF($B$2="Todos",IF(COUNT($C$245:$V$245)=0,"",SUM($C$245:$V$245)),IFERROR(INDEX($C$245:$V$245,MATCH($D$2,$C$219:$V$219,0)),""))</f>
        <v/>
      </c>
      <c r="P37" s="32">
        <f>IF($B37="","",IF($B$2="Todos",SUMIFS(BD!$O$3:$O$5001,BD!$A$3:$A$5001,$B37),SUMIFS(BD!$O$3:$O$5001,BD!$A$3:$A$5001,$B37,BD!$B$3:$B$5001,$D$2)))</f>
        <v>0</v>
      </c>
      <c r="Q37" s="32">
        <f>IF($B37="","",IF($B$2="Todos",SUMIFS(BD!$P$3:$P$5001,BD!$A$3:$A$5001,$B37),SUMIFS(BD!$P$3:$P$5001,BD!$A$3:$A$5001,$B37,BD!$B$3:$B$5001,$D$2)))</f>
        <v>0</v>
      </c>
      <c r="R37" s="32">
        <f>IF($B37="","",IF($B$2="Todos",SUMIFS(BD!$Q$3:$Q$5001,BD!$A$3:$A$5001,$B37),SUMIFS(BD!$Q$3:$Q$5001,BD!$A$3:$A$5001,$B37,BD!$B$3:$B$5001,$D$2)))</f>
        <v>0</v>
      </c>
      <c r="S37" s="32">
        <f>IF($B37="","",IF($B$2="Todos",SUMIFS(BD!$R$3:$R$5001,BD!$A$3:$A$5001,$B37),SUMIFS(BD!$R$3:$R$5001,BD!$A$3:$A$5001,$B37,BD!$B$3:$B$5001,$D$2)))</f>
        <v>0</v>
      </c>
      <c r="T37" s="32">
        <f>IF($B37="","",IF($B$2="Todos",SUMIFS(BD!$S$3:$S$5001,BD!$A$3:$A$5001,$B37),SUMIFS(BD!$S$3:$S$5001,BD!$A$3:$A$5001,$B37,BD!$B$3:$B$5001,$D$2)))</f>
        <v>0</v>
      </c>
      <c r="U37" s="32">
        <f>IF($B37="","",IF($B$2="Todos",SUMIFS(BD!$T$3:$T$5001,BD!$A$3:$A$5001,$B37),SUMIFS(BD!$T$3:$T$5001,BD!$A$3:$A$5001,$B37,BD!$B$3:$B$5001,$D$2)))</f>
        <v>0</v>
      </c>
      <c r="V37" s="32">
        <f>IF($B37="","",IF($B$2="Todos",SUMIFS(BD!$U$3:$U$5001,BD!$A$3:$A$5001,$B37),SUMIFS(BD!$U$3:$U$5001,BD!$A$3:$A$5001,$B37,BD!$B$3:$B$5001,$D$2)))</f>
        <v>0</v>
      </c>
      <c r="W37" s="50">
        <f>$B$5</f>
        <v>0.7</v>
      </c>
      <c r="X37" s="50">
        <f>$B$6</f>
        <v>0.9</v>
      </c>
    </row>
    <row r="38">
      <c r="A38" s="28">
        <v>27</v>
      </c>
      <c r="B38" s="46">
        <f>IF($A38&lt;=DAY($D$7),$C$7+$A38-1,"")</f>
        <v>46322</v>
      </c>
      <c r="C38" s="32">
        <f>IF($B38="","",IF($B$2="Todos",SUMIFS(BD!$C$3:$C$5001,BD!$A$3:$A$5001,$B38),SUMIFS(BD!$C$3:$C$5001,BD!$A$3:$A$5001,$B38,BD!$B$3:$B$5001,$D$2)))</f>
        <v>0</v>
      </c>
      <c r="D38" s="32">
        <f>IF($B38="","",IF($B$2="Todos",SUMIFS(BD!$D$3:$D$5001,BD!$A$3:$A$5001,$B38),SUMIFS(BD!$D$3:$D$5001,BD!$A$3:$A$5001,$B38,BD!$B$3:$B$5001,$D$2)))</f>
        <v>0</v>
      </c>
      <c r="E38" s="47">
        <f>IF($B38="","",IF($B$2="Todos",SUMIFS(BD!$E$3:$E$5001,BD!$A$3:$A$5001,$B38),SUMIFS(BD!$E$3:$E$5001,BD!$A$3:$A$5001,$B38,BD!$B$3:$B$5001,$D$2)))</f>
        <v>0</v>
      </c>
      <c r="F38" s="32">
        <f>IF($B38="","",IF($B$2="Todos",SUMIFS(BD!$F$3:$F$5001,BD!$A$3:$A$5001,$B38),SUMIFS(BD!$F$3:$F$5001,BD!$A$3:$A$5001,$B38,BD!$B$3:$B$5001,$D$2)))</f>
        <v>0</v>
      </c>
      <c r="G38" s="32">
        <f>IF($B38="","",IF($B$2="Todos",SUMIFS(BD!$G$3:$G$5001,BD!$A$3:$A$5001,$B38),SUMIFS(BD!$G$3:$G$5001,BD!$A$3:$A$5001,$B38,BD!$B$3:$B$5001,$D$2)))</f>
        <v>0</v>
      </c>
      <c r="H38" s="47">
        <f>IF($B38="","",IF($B$2="Todos",SUMIFS(BD!$H$3:$H$5001,BD!$A$3:$A$5001,$B38),SUMIFS(BD!$H$3:$H$5001,BD!$A$3:$A$5001,$B38,BD!$B$3:$B$5001,$D$2)))</f>
        <v>0</v>
      </c>
      <c r="I38" s="32">
        <f>IF($B38="","",IF($B$2="Todos",SUMIFS(BD!$I$3:$I$5001,BD!$A$3:$A$5001,$B38),SUMIFS(BD!$I$3:$I$5001,BD!$A$3:$A$5001,$B38,BD!$B$3:$B$5001,$D$2)))</f>
        <v>0</v>
      </c>
      <c r="J38" s="32">
        <f>IF($B38="","",IF($B$2="Todos",SUMIFS(BD!$J$3:$J$5001,BD!$A$3:$A$5001,$B38),SUMIFS(BD!$J$3:$J$5001,BD!$A$3:$A$5001,$B38,BD!$B$3:$B$5001,$D$2)))</f>
        <v>0</v>
      </c>
      <c r="K38" s="32" t="str">
        <f>IF($B$2="Todos",IF(COUNT($C$141:$V$141)=0,"",SUM($C$141:$V$141)),IFERROR(INDEX($C$141:$V$141,MATCH($D$2,$C$114:$V$114,0)),""))</f>
        <v/>
      </c>
      <c r="L38" s="48" t="str">
        <f>IF(M38="","",IF($B$2="Todos",IF($B$4&gt;0,$B$4,IF($B$2="Todos",IF(COUNT($C$211:$V$211)=0,"",SUM($C$211:$V$211)),IFERROR(INDEX($C$211:$V$211,MATCH($D$2,$C$184:$V$184,0)),""))),IFERROR(INDEX($C$211:$V$211,MATCH($D$2,$C$184:$V$184,0)),"")))</f>
        <v/>
      </c>
      <c r="M38" s="32" t="str">
        <f>IF($B$2="Todos",IF(COUNT($C$176:$V$176)=0,"",SUM($C$176:$V$176)),IFERROR(INDEX($C$176:$V$176,MATCH($D$2,$C$149:$V$149,0)),""))</f>
        <v/>
      </c>
      <c r="N38" s="49" t="str">
        <f>IF(AND(ISNUMBER(M38),ISNUMBER(L38)),IF(L38&gt;0,M38/L38,""),"")</f>
        <v/>
      </c>
      <c r="O38" s="32" t="str">
        <f>IF($B$2="Todos",IF(COUNT($C$246:$V$246)=0,"",SUM($C$246:$V$246)),IFERROR(INDEX($C$246:$V$246,MATCH($D$2,$C$219:$V$219,0)),""))</f>
        <v/>
      </c>
      <c r="P38" s="32">
        <f>IF($B38="","",IF($B$2="Todos",SUMIFS(BD!$O$3:$O$5001,BD!$A$3:$A$5001,$B38),SUMIFS(BD!$O$3:$O$5001,BD!$A$3:$A$5001,$B38,BD!$B$3:$B$5001,$D$2)))</f>
        <v>0</v>
      </c>
      <c r="Q38" s="32">
        <f>IF($B38="","",IF($B$2="Todos",SUMIFS(BD!$P$3:$P$5001,BD!$A$3:$A$5001,$B38),SUMIFS(BD!$P$3:$P$5001,BD!$A$3:$A$5001,$B38,BD!$B$3:$B$5001,$D$2)))</f>
        <v>0</v>
      </c>
      <c r="R38" s="32">
        <f>IF($B38="","",IF($B$2="Todos",SUMIFS(BD!$Q$3:$Q$5001,BD!$A$3:$A$5001,$B38),SUMIFS(BD!$Q$3:$Q$5001,BD!$A$3:$A$5001,$B38,BD!$B$3:$B$5001,$D$2)))</f>
        <v>0</v>
      </c>
      <c r="S38" s="32">
        <f>IF($B38="","",IF($B$2="Todos",SUMIFS(BD!$R$3:$R$5001,BD!$A$3:$A$5001,$B38),SUMIFS(BD!$R$3:$R$5001,BD!$A$3:$A$5001,$B38,BD!$B$3:$B$5001,$D$2)))</f>
        <v>0</v>
      </c>
      <c r="T38" s="32">
        <f>IF($B38="","",IF($B$2="Todos",SUMIFS(BD!$S$3:$S$5001,BD!$A$3:$A$5001,$B38),SUMIFS(BD!$S$3:$S$5001,BD!$A$3:$A$5001,$B38,BD!$B$3:$B$5001,$D$2)))</f>
        <v>0</v>
      </c>
      <c r="U38" s="32">
        <f>IF($B38="","",IF($B$2="Todos",SUMIFS(BD!$T$3:$T$5001,BD!$A$3:$A$5001,$B38),SUMIFS(BD!$T$3:$T$5001,BD!$A$3:$A$5001,$B38,BD!$B$3:$B$5001,$D$2)))</f>
        <v>0</v>
      </c>
      <c r="V38" s="32">
        <f>IF($B38="","",IF($B$2="Todos",SUMIFS(BD!$U$3:$U$5001,BD!$A$3:$A$5001,$B38),SUMIFS(BD!$U$3:$U$5001,BD!$A$3:$A$5001,$B38,BD!$B$3:$B$5001,$D$2)))</f>
        <v>0</v>
      </c>
      <c r="W38" s="50">
        <f>$B$5</f>
        <v>0.7</v>
      </c>
      <c r="X38" s="50">
        <f>$B$6</f>
        <v>0.9</v>
      </c>
    </row>
    <row r="39">
      <c r="A39" s="28">
        <v>28</v>
      </c>
      <c r="B39" s="46">
        <f>IF($A39&lt;=DAY($D$7),$C$7+$A39-1,"")</f>
        <v>46323</v>
      </c>
      <c r="C39" s="32">
        <f>IF($B39="","",IF($B$2="Todos",SUMIFS(BD!$C$3:$C$5001,BD!$A$3:$A$5001,$B39),SUMIFS(BD!$C$3:$C$5001,BD!$A$3:$A$5001,$B39,BD!$B$3:$B$5001,$D$2)))</f>
        <v>0</v>
      </c>
      <c r="D39" s="32">
        <f>IF($B39="","",IF($B$2="Todos",SUMIFS(BD!$D$3:$D$5001,BD!$A$3:$A$5001,$B39),SUMIFS(BD!$D$3:$D$5001,BD!$A$3:$A$5001,$B39,BD!$B$3:$B$5001,$D$2)))</f>
        <v>0</v>
      </c>
      <c r="E39" s="47">
        <f>IF($B39="","",IF($B$2="Todos",SUMIFS(BD!$E$3:$E$5001,BD!$A$3:$A$5001,$B39),SUMIFS(BD!$E$3:$E$5001,BD!$A$3:$A$5001,$B39,BD!$B$3:$B$5001,$D$2)))</f>
        <v>0</v>
      </c>
      <c r="F39" s="32">
        <f>IF($B39="","",IF($B$2="Todos",SUMIFS(BD!$F$3:$F$5001,BD!$A$3:$A$5001,$B39),SUMIFS(BD!$F$3:$F$5001,BD!$A$3:$A$5001,$B39,BD!$B$3:$B$5001,$D$2)))</f>
        <v>0</v>
      </c>
      <c r="G39" s="32">
        <f>IF($B39="","",IF($B$2="Todos",SUMIFS(BD!$G$3:$G$5001,BD!$A$3:$A$5001,$B39),SUMIFS(BD!$G$3:$G$5001,BD!$A$3:$A$5001,$B39,BD!$B$3:$B$5001,$D$2)))</f>
        <v>0</v>
      </c>
      <c r="H39" s="47">
        <f>IF($B39="","",IF($B$2="Todos",SUMIFS(BD!$H$3:$H$5001,BD!$A$3:$A$5001,$B39),SUMIFS(BD!$H$3:$H$5001,BD!$A$3:$A$5001,$B39,BD!$B$3:$B$5001,$D$2)))</f>
        <v>0</v>
      </c>
      <c r="I39" s="32">
        <f>IF($B39="","",IF($B$2="Todos",SUMIFS(BD!$I$3:$I$5001,BD!$A$3:$A$5001,$B39),SUMIFS(BD!$I$3:$I$5001,BD!$A$3:$A$5001,$B39,BD!$B$3:$B$5001,$D$2)))</f>
        <v>0</v>
      </c>
      <c r="J39" s="32">
        <f>IF($B39="","",IF($B$2="Todos",SUMIFS(BD!$J$3:$J$5001,BD!$A$3:$A$5001,$B39),SUMIFS(BD!$J$3:$J$5001,BD!$A$3:$A$5001,$B39,BD!$B$3:$B$5001,$D$2)))</f>
        <v>0</v>
      </c>
      <c r="K39" s="32" t="str">
        <f>IF($B$2="Todos",IF(COUNT($C$142:$V$142)=0,"",SUM($C$142:$V$142)),IFERROR(INDEX($C$142:$V$142,MATCH($D$2,$C$114:$V$114,0)),""))</f>
        <v/>
      </c>
      <c r="L39" s="48" t="str">
        <f>IF(M39="","",IF($B$2="Todos",IF($B$4&gt;0,$B$4,IF($B$2="Todos",IF(COUNT($C$212:$V$212)=0,"",SUM($C$212:$V$212)),IFERROR(INDEX($C$212:$V$212,MATCH($D$2,$C$184:$V$184,0)),""))),IFERROR(INDEX($C$212:$V$212,MATCH($D$2,$C$184:$V$184,0)),"")))</f>
        <v/>
      </c>
      <c r="M39" s="32" t="str">
        <f>IF($B$2="Todos",IF(COUNT($C$177:$V$177)=0,"",SUM($C$177:$V$177)),IFERROR(INDEX($C$177:$V$177,MATCH($D$2,$C$149:$V$149,0)),""))</f>
        <v/>
      </c>
      <c r="N39" s="49" t="str">
        <f>IF(AND(ISNUMBER(M39),ISNUMBER(L39)),IF(L39&gt;0,M39/L39,""),"")</f>
        <v/>
      </c>
      <c r="O39" s="32" t="str">
        <f>IF($B$2="Todos",IF(COUNT($C$247:$V$247)=0,"",SUM($C$247:$V$247)),IFERROR(INDEX($C$247:$V$247,MATCH($D$2,$C$219:$V$219,0)),""))</f>
        <v/>
      </c>
      <c r="P39" s="32">
        <f>IF($B39="","",IF($B$2="Todos",SUMIFS(BD!$O$3:$O$5001,BD!$A$3:$A$5001,$B39),SUMIFS(BD!$O$3:$O$5001,BD!$A$3:$A$5001,$B39,BD!$B$3:$B$5001,$D$2)))</f>
        <v>0</v>
      </c>
      <c r="Q39" s="32">
        <f>IF($B39="","",IF($B$2="Todos",SUMIFS(BD!$P$3:$P$5001,BD!$A$3:$A$5001,$B39),SUMIFS(BD!$P$3:$P$5001,BD!$A$3:$A$5001,$B39,BD!$B$3:$B$5001,$D$2)))</f>
        <v>0</v>
      </c>
      <c r="R39" s="32">
        <f>IF($B39="","",IF($B$2="Todos",SUMIFS(BD!$Q$3:$Q$5001,BD!$A$3:$A$5001,$B39),SUMIFS(BD!$Q$3:$Q$5001,BD!$A$3:$A$5001,$B39,BD!$B$3:$B$5001,$D$2)))</f>
        <v>0</v>
      </c>
      <c r="S39" s="32">
        <f>IF($B39="","",IF($B$2="Todos",SUMIFS(BD!$R$3:$R$5001,BD!$A$3:$A$5001,$B39),SUMIFS(BD!$R$3:$R$5001,BD!$A$3:$A$5001,$B39,BD!$B$3:$B$5001,$D$2)))</f>
        <v>0</v>
      </c>
      <c r="T39" s="32">
        <f>IF($B39="","",IF($B$2="Todos",SUMIFS(BD!$S$3:$S$5001,BD!$A$3:$A$5001,$B39),SUMIFS(BD!$S$3:$S$5001,BD!$A$3:$A$5001,$B39,BD!$B$3:$B$5001,$D$2)))</f>
        <v>0</v>
      </c>
      <c r="U39" s="32">
        <f>IF($B39="","",IF($B$2="Todos",SUMIFS(BD!$T$3:$T$5001,BD!$A$3:$A$5001,$B39),SUMIFS(BD!$T$3:$T$5001,BD!$A$3:$A$5001,$B39,BD!$B$3:$B$5001,$D$2)))</f>
        <v>0</v>
      </c>
      <c r="V39" s="32">
        <f>IF($B39="","",IF($B$2="Todos",SUMIFS(BD!$U$3:$U$5001,BD!$A$3:$A$5001,$B39),SUMIFS(BD!$U$3:$U$5001,BD!$A$3:$A$5001,$B39,BD!$B$3:$B$5001,$D$2)))</f>
        <v>0</v>
      </c>
      <c r="W39" s="50">
        <f>$B$5</f>
        <v>0.7</v>
      </c>
      <c r="X39" s="50">
        <f>$B$6</f>
        <v>0.9</v>
      </c>
    </row>
    <row r="40">
      <c r="A40" s="28">
        <v>29</v>
      </c>
      <c r="B40" s="46">
        <f>IF($A40&lt;=DAY($D$7),$C$7+$A40-1,"")</f>
        <v>46324</v>
      </c>
      <c r="C40" s="32">
        <f>IF($B40="","",IF($B$2="Todos",SUMIFS(BD!$C$3:$C$5001,BD!$A$3:$A$5001,$B40),SUMIFS(BD!$C$3:$C$5001,BD!$A$3:$A$5001,$B40,BD!$B$3:$B$5001,$D$2)))</f>
        <v>0</v>
      </c>
      <c r="D40" s="32">
        <f>IF($B40="","",IF($B$2="Todos",SUMIFS(BD!$D$3:$D$5001,BD!$A$3:$A$5001,$B40),SUMIFS(BD!$D$3:$D$5001,BD!$A$3:$A$5001,$B40,BD!$B$3:$B$5001,$D$2)))</f>
        <v>0</v>
      </c>
      <c r="E40" s="47">
        <f>IF($B40="","",IF($B$2="Todos",SUMIFS(BD!$E$3:$E$5001,BD!$A$3:$A$5001,$B40),SUMIFS(BD!$E$3:$E$5001,BD!$A$3:$A$5001,$B40,BD!$B$3:$B$5001,$D$2)))</f>
        <v>0</v>
      </c>
      <c r="F40" s="32">
        <f>IF($B40="","",IF($B$2="Todos",SUMIFS(BD!$F$3:$F$5001,BD!$A$3:$A$5001,$B40),SUMIFS(BD!$F$3:$F$5001,BD!$A$3:$A$5001,$B40,BD!$B$3:$B$5001,$D$2)))</f>
        <v>0</v>
      </c>
      <c r="G40" s="32">
        <f>IF($B40="","",IF($B$2="Todos",SUMIFS(BD!$G$3:$G$5001,BD!$A$3:$A$5001,$B40),SUMIFS(BD!$G$3:$G$5001,BD!$A$3:$A$5001,$B40,BD!$B$3:$B$5001,$D$2)))</f>
        <v>0</v>
      </c>
      <c r="H40" s="47">
        <f>IF($B40="","",IF($B$2="Todos",SUMIFS(BD!$H$3:$H$5001,BD!$A$3:$A$5001,$B40),SUMIFS(BD!$H$3:$H$5001,BD!$A$3:$A$5001,$B40,BD!$B$3:$B$5001,$D$2)))</f>
        <v>0</v>
      </c>
      <c r="I40" s="32">
        <f>IF($B40="","",IF($B$2="Todos",SUMIFS(BD!$I$3:$I$5001,BD!$A$3:$A$5001,$B40),SUMIFS(BD!$I$3:$I$5001,BD!$A$3:$A$5001,$B40,BD!$B$3:$B$5001,$D$2)))</f>
        <v>0</v>
      </c>
      <c r="J40" s="32">
        <f>IF($B40="","",IF($B$2="Todos",SUMIFS(BD!$J$3:$J$5001,BD!$A$3:$A$5001,$B40),SUMIFS(BD!$J$3:$J$5001,BD!$A$3:$A$5001,$B40,BD!$B$3:$B$5001,$D$2)))</f>
        <v>0</v>
      </c>
      <c r="K40" s="32" t="str">
        <f>IF($B$2="Todos",IF(COUNT($C$143:$V$143)=0,"",SUM($C$143:$V$143)),IFERROR(INDEX($C$143:$V$143,MATCH($D$2,$C$114:$V$114,0)),""))</f>
        <v/>
      </c>
      <c r="L40" s="48" t="str">
        <f>IF(M40="","",IF($B$2="Todos",IF($B$4&gt;0,$B$4,IF($B$2="Todos",IF(COUNT($C$213:$V$213)=0,"",SUM($C$213:$V$213)),IFERROR(INDEX($C$213:$V$213,MATCH($D$2,$C$184:$V$184,0)),""))),IFERROR(INDEX($C$213:$V$213,MATCH($D$2,$C$184:$V$184,0)),"")))</f>
        <v/>
      </c>
      <c r="M40" s="32" t="str">
        <f>IF($B$2="Todos",IF(COUNT($C$178:$V$178)=0,"",SUM($C$178:$V$178)),IFERROR(INDEX($C$178:$V$178,MATCH($D$2,$C$149:$V$149,0)),""))</f>
        <v/>
      </c>
      <c r="N40" s="49" t="str">
        <f>IF(AND(ISNUMBER(M40),ISNUMBER(L40)),IF(L40&gt;0,M40/L40,""),"")</f>
        <v/>
      </c>
      <c r="O40" s="32" t="str">
        <f>IF($B$2="Todos",IF(COUNT($C$248:$V$248)=0,"",SUM($C$248:$V$248)),IFERROR(INDEX($C$248:$V$248,MATCH($D$2,$C$219:$V$219,0)),""))</f>
        <v/>
      </c>
      <c r="P40" s="32">
        <f>IF($B40="","",IF($B$2="Todos",SUMIFS(BD!$O$3:$O$5001,BD!$A$3:$A$5001,$B40),SUMIFS(BD!$O$3:$O$5001,BD!$A$3:$A$5001,$B40,BD!$B$3:$B$5001,$D$2)))</f>
        <v>0</v>
      </c>
      <c r="Q40" s="32">
        <f>IF($B40="","",IF($B$2="Todos",SUMIFS(BD!$P$3:$P$5001,BD!$A$3:$A$5001,$B40),SUMIFS(BD!$P$3:$P$5001,BD!$A$3:$A$5001,$B40,BD!$B$3:$B$5001,$D$2)))</f>
        <v>0</v>
      </c>
      <c r="R40" s="32">
        <f>IF($B40="","",IF($B$2="Todos",SUMIFS(BD!$Q$3:$Q$5001,BD!$A$3:$A$5001,$B40),SUMIFS(BD!$Q$3:$Q$5001,BD!$A$3:$A$5001,$B40,BD!$B$3:$B$5001,$D$2)))</f>
        <v>0</v>
      </c>
      <c r="S40" s="32">
        <f>IF($B40="","",IF($B$2="Todos",SUMIFS(BD!$R$3:$R$5001,BD!$A$3:$A$5001,$B40),SUMIFS(BD!$R$3:$R$5001,BD!$A$3:$A$5001,$B40,BD!$B$3:$B$5001,$D$2)))</f>
        <v>0</v>
      </c>
      <c r="T40" s="32">
        <f>IF($B40="","",IF($B$2="Todos",SUMIFS(BD!$S$3:$S$5001,BD!$A$3:$A$5001,$B40),SUMIFS(BD!$S$3:$S$5001,BD!$A$3:$A$5001,$B40,BD!$B$3:$B$5001,$D$2)))</f>
        <v>0</v>
      </c>
      <c r="U40" s="32">
        <f>IF($B40="","",IF($B$2="Todos",SUMIFS(BD!$T$3:$T$5001,BD!$A$3:$A$5001,$B40),SUMIFS(BD!$T$3:$T$5001,BD!$A$3:$A$5001,$B40,BD!$B$3:$B$5001,$D$2)))</f>
        <v>0</v>
      </c>
      <c r="V40" s="32">
        <f>IF($B40="","",IF($B$2="Todos",SUMIFS(BD!$U$3:$U$5001,BD!$A$3:$A$5001,$B40),SUMIFS(BD!$U$3:$U$5001,BD!$A$3:$A$5001,$B40,BD!$B$3:$B$5001,$D$2)))</f>
        <v>0</v>
      </c>
      <c r="W40" s="50">
        <f>$B$5</f>
        <v>0.7</v>
      </c>
      <c r="X40" s="50">
        <f>$B$6</f>
        <v>0.9</v>
      </c>
    </row>
    <row r="41">
      <c r="A41" s="28">
        <v>30</v>
      </c>
      <c r="B41" s="46">
        <f>IF($A41&lt;=DAY($D$7),$C$7+$A41-1,"")</f>
        <v>46325</v>
      </c>
      <c r="C41" s="32">
        <f>IF($B41="","",IF($B$2="Todos",SUMIFS(BD!$C$3:$C$5001,BD!$A$3:$A$5001,$B41),SUMIFS(BD!$C$3:$C$5001,BD!$A$3:$A$5001,$B41,BD!$B$3:$B$5001,$D$2)))</f>
        <v>0</v>
      </c>
      <c r="D41" s="32">
        <f>IF($B41="","",IF($B$2="Todos",SUMIFS(BD!$D$3:$D$5001,BD!$A$3:$A$5001,$B41),SUMIFS(BD!$D$3:$D$5001,BD!$A$3:$A$5001,$B41,BD!$B$3:$B$5001,$D$2)))</f>
        <v>0</v>
      </c>
      <c r="E41" s="47">
        <f>IF($B41="","",IF($B$2="Todos",SUMIFS(BD!$E$3:$E$5001,BD!$A$3:$A$5001,$B41),SUMIFS(BD!$E$3:$E$5001,BD!$A$3:$A$5001,$B41,BD!$B$3:$B$5001,$D$2)))</f>
        <v>0</v>
      </c>
      <c r="F41" s="32">
        <f>IF($B41="","",IF($B$2="Todos",SUMIFS(BD!$F$3:$F$5001,BD!$A$3:$A$5001,$B41),SUMIFS(BD!$F$3:$F$5001,BD!$A$3:$A$5001,$B41,BD!$B$3:$B$5001,$D$2)))</f>
        <v>0</v>
      </c>
      <c r="G41" s="32">
        <f>IF($B41="","",IF($B$2="Todos",SUMIFS(BD!$G$3:$G$5001,BD!$A$3:$A$5001,$B41),SUMIFS(BD!$G$3:$G$5001,BD!$A$3:$A$5001,$B41,BD!$B$3:$B$5001,$D$2)))</f>
        <v>0</v>
      </c>
      <c r="H41" s="47">
        <f>IF($B41="","",IF($B$2="Todos",SUMIFS(BD!$H$3:$H$5001,BD!$A$3:$A$5001,$B41),SUMIFS(BD!$H$3:$H$5001,BD!$A$3:$A$5001,$B41,BD!$B$3:$B$5001,$D$2)))</f>
        <v>0</v>
      </c>
      <c r="I41" s="32">
        <f>IF($B41="","",IF($B$2="Todos",SUMIFS(BD!$I$3:$I$5001,BD!$A$3:$A$5001,$B41),SUMIFS(BD!$I$3:$I$5001,BD!$A$3:$A$5001,$B41,BD!$B$3:$B$5001,$D$2)))</f>
        <v>0</v>
      </c>
      <c r="J41" s="32">
        <f>IF($B41="","",IF($B$2="Todos",SUMIFS(BD!$J$3:$J$5001,BD!$A$3:$A$5001,$B41),SUMIFS(BD!$J$3:$J$5001,BD!$A$3:$A$5001,$B41,BD!$B$3:$B$5001,$D$2)))</f>
        <v>0</v>
      </c>
      <c r="K41" s="32" t="str">
        <f>IF($B$2="Todos",IF(COUNT($C$144:$V$144)=0,"",SUM($C$144:$V$144)),IFERROR(INDEX($C$144:$V$144,MATCH($D$2,$C$114:$V$114,0)),""))</f>
        <v/>
      </c>
      <c r="L41" s="48" t="str">
        <f>IF(M41="","",IF($B$2="Todos",IF($B$4&gt;0,$B$4,IF($B$2="Todos",IF(COUNT($C$214:$V$214)=0,"",SUM($C$214:$V$214)),IFERROR(INDEX($C$214:$V$214,MATCH($D$2,$C$184:$V$184,0)),""))),IFERROR(INDEX($C$214:$V$214,MATCH($D$2,$C$184:$V$184,0)),"")))</f>
        <v/>
      </c>
      <c r="M41" s="32" t="str">
        <f>IF($B$2="Todos",IF(COUNT($C$179:$V$179)=0,"",SUM($C$179:$V$179)),IFERROR(INDEX($C$179:$V$179,MATCH($D$2,$C$149:$V$149,0)),""))</f>
        <v/>
      </c>
      <c r="N41" s="49" t="str">
        <f>IF(AND(ISNUMBER(M41),ISNUMBER(L41)),IF(L41&gt;0,M41/L41,""),"")</f>
        <v/>
      </c>
      <c r="O41" s="32" t="str">
        <f>IF($B$2="Todos",IF(COUNT($C$249:$V$249)=0,"",SUM($C$249:$V$249)),IFERROR(INDEX($C$249:$V$249,MATCH($D$2,$C$219:$V$219,0)),""))</f>
        <v/>
      </c>
      <c r="P41" s="32">
        <f>IF($B41="","",IF($B$2="Todos",SUMIFS(BD!$O$3:$O$5001,BD!$A$3:$A$5001,$B41),SUMIFS(BD!$O$3:$O$5001,BD!$A$3:$A$5001,$B41,BD!$B$3:$B$5001,$D$2)))</f>
        <v>0</v>
      </c>
      <c r="Q41" s="32">
        <f>IF($B41="","",IF($B$2="Todos",SUMIFS(BD!$P$3:$P$5001,BD!$A$3:$A$5001,$B41),SUMIFS(BD!$P$3:$P$5001,BD!$A$3:$A$5001,$B41,BD!$B$3:$B$5001,$D$2)))</f>
        <v>0</v>
      </c>
      <c r="R41" s="32">
        <f>IF($B41="","",IF($B$2="Todos",SUMIFS(BD!$Q$3:$Q$5001,BD!$A$3:$A$5001,$B41),SUMIFS(BD!$Q$3:$Q$5001,BD!$A$3:$A$5001,$B41,BD!$B$3:$B$5001,$D$2)))</f>
        <v>0</v>
      </c>
      <c r="S41" s="32">
        <f>IF($B41="","",IF($B$2="Todos",SUMIFS(BD!$R$3:$R$5001,BD!$A$3:$A$5001,$B41),SUMIFS(BD!$R$3:$R$5001,BD!$A$3:$A$5001,$B41,BD!$B$3:$B$5001,$D$2)))</f>
        <v>0</v>
      </c>
      <c r="T41" s="32">
        <f>IF($B41="","",IF($B$2="Todos",SUMIFS(BD!$S$3:$S$5001,BD!$A$3:$A$5001,$B41),SUMIFS(BD!$S$3:$S$5001,BD!$A$3:$A$5001,$B41,BD!$B$3:$B$5001,$D$2)))</f>
        <v>0</v>
      </c>
      <c r="U41" s="32">
        <f>IF($B41="","",IF($B$2="Todos",SUMIFS(BD!$T$3:$T$5001,BD!$A$3:$A$5001,$B41),SUMIFS(BD!$T$3:$T$5001,BD!$A$3:$A$5001,$B41,BD!$B$3:$B$5001,$D$2)))</f>
        <v>0</v>
      </c>
      <c r="V41" s="32">
        <f>IF($B41="","",IF($B$2="Todos",SUMIFS(BD!$U$3:$U$5001,BD!$A$3:$A$5001,$B41),SUMIFS(BD!$U$3:$U$5001,BD!$A$3:$A$5001,$B41,BD!$B$3:$B$5001,$D$2)))</f>
        <v>0</v>
      </c>
      <c r="W41" s="50">
        <f>$B$5</f>
        <v>0.7</v>
      </c>
      <c r="X41" s="50">
        <f>$B$6</f>
        <v>0.9</v>
      </c>
    </row>
    <row r="42">
      <c r="A42" s="28">
        <v>31</v>
      </c>
      <c r="B42" s="46">
        <f>IF($A42&lt;=DAY($D$7),$C$7+$A42-1,"")</f>
        <v>46326</v>
      </c>
      <c r="C42" s="32">
        <f>IF($B42="","",IF($B$2="Todos",SUMIFS(BD!$C$3:$C$5001,BD!$A$3:$A$5001,$B42),SUMIFS(BD!$C$3:$C$5001,BD!$A$3:$A$5001,$B42,BD!$B$3:$B$5001,$D$2)))</f>
        <v>0</v>
      </c>
      <c r="D42" s="32">
        <f>IF($B42="","",IF($B$2="Todos",SUMIFS(BD!$D$3:$D$5001,BD!$A$3:$A$5001,$B42),SUMIFS(BD!$D$3:$D$5001,BD!$A$3:$A$5001,$B42,BD!$B$3:$B$5001,$D$2)))</f>
        <v>0</v>
      </c>
      <c r="E42" s="47">
        <f>IF($B42="","",IF($B$2="Todos",SUMIFS(BD!$E$3:$E$5001,BD!$A$3:$A$5001,$B42),SUMIFS(BD!$E$3:$E$5001,BD!$A$3:$A$5001,$B42,BD!$B$3:$B$5001,$D$2)))</f>
        <v>0</v>
      </c>
      <c r="F42" s="32">
        <f>IF($B42="","",IF($B$2="Todos",SUMIFS(BD!$F$3:$F$5001,BD!$A$3:$A$5001,$B42),SUMIFS(BD!$F$3:$F$5001,BD!$A$3:$A$5001,$B42,BD!$B$3:$B$5001,$D$2)))</f>
        <v>0</v>
      </c>
      <c r="G42" s="32">
        <f>IF($B42="","",IF($B$2="Todos",SUMIFS(BD!$G$3:$G$5001,BD!$A$3:$A$5001,$B42),SUMIFS(BD!$G$3:$G$5001,BD!$A$3:$A$5001,$B42,BD!$B$3:$B$5001,$D$2)))</f>
        <v>0</v>
      </c>
      <c r="H42" s="47">
        <f>IF($B42="","",IF($B$2="Todos",SUMIFS(BD!$H$3:$H$5001,BD!$A$3:$A$5001,$B42),SUMIFS(BD!$H$3:$H$5001,BD!$A$3:$A$5001,$B42,BD!$B$3:$B$5001,$D$2)))</f>
        <v>0</v>
      </c>
      <c r="I42" s="32">
        <f>IF($B42="","",IF($B$2="Todos",SUMIFS(BD!$I$3:$I$5001,BD!$A$3:$A$5001,$B42),SUMIFS(BD!$I$3:$I$5001,BD!$A$3:$A$5001,$B42,BD!$B$3:$B$5001,$D$2)))</f>
        <v>0</v>
      </c>
      <c r="J42" s="32">
        <f>IF($B42="","",IF($B$2="Todos",SUMIFS(BD!$J$3:$J$5001,BD!$A$3:$A$5001,$B42),SUMIFS(BD!$J$3:$J$5001,BD!$A$3:$A$5001,$B42,BD!$B$3:$B$5001,$D$2)))</f>
        <v>0</v>
      </c>
      <c r="K42" s="32" t="str">
        <f>IF($B$2="Todos",IF(COUNT($C$145:$V$145)=0,"",SUM($C$145:$V$145)),IFERROR(INDEX($C$145:$V$145,MATCH($D$2,$C$114:$V$114,0)),""))</f>
        <v/>
      </c>
      <c r="L42" s="48" t="str">
        <f>IF(M42="","",IF($B$2="Todos",IF($B$4&gt;0,$B$4,IF($B$2="Todos",IF(COUNT($C$215:$V$215)=0,"",SUM($C$215:$V$215)),IFERROR(INDEX($C$215:$V$215,MATCH($D$2,$C$184:$V$184,0)),""))),IFERROR(INDEX($C$215:$V$215,MATCH($D$2,$C$184:$V$184,0)),"")))</f>
        <v/>
      </c>
      <c r="M42" s="32" t="str">
        <f>IF($B$2="Todos",IF(COUNT($C$180:$V$180)=0,"",SUM($C$180:$V$180)),IFERROR(INDEX($C$180:$V$180,MATCH($D$2,$C$149:$V$149,0)),""))</f>
        <v/>
      </c>
      <c r="N42" s="49" t="str">
        <f>IF(AND(ISNUMBER(M42),ISNUMBER(L42)),IF(L42&gt;0,M42/L42,""),"")</f>
        <v/>
      </c>
      <c r="O42" s="32" t="str">
        <f>IF($B$2="Todos",IF(COUNT($C$250:$V$250)=0,"",SUM($C$250:$V$250)),IFERROR(INDEX($C$250:$V$250,MATCH($D$2,$C$219:$V$219,0)),""))</f>
        <v/>
      </c>
      <c r="P42" s="32">
        <f>IF($B42="","",IF($B$2="Todos",SUMIFS(BD!$O$3:$O$5001,BD!$A$3:$A$5001,$B42),SUMIFS(BD!$O$3:$O$5001,BD!$A$3:$A$5001,$B42,BD!$B$3:$B$5001,$D$2)))</f>
        <v>0</v>
      </c>
      <c r="Q42" s="32">
        <f>IF($B42="","",IF($B$2="Todos",SUMIFS(BD!$P$3:$P$5001,BD!$A$3:$A$5001,$B42),SUMIFS(BD!$P$3:$P$5001,BD!$A$3:$A$5001,$B42,BD!$B$3:$B$5001,$D$2)))</f>
        <v>0</v>
      </c>
      <c r="R42" s="32">
        <f>IF($B42="","",IF($B$2="Todos",SUMIFS(BD!$Q$3:$Q$5001,BD!$A$3:$A$5001,$B42),SUMIFS(BD!$Q$3:$Q$5001,BD!$A$3:$A$5001,$B42,BD!$B$3:$B$5001,$D$2)))</f>
        <v>0</v>
      </c>
      <c r="S42" s="32">
        <f>IF($B42="","",IF($B$2="Todos",SUMIFS(BD!$R$3:$R$5001,BD!$A$3:$A$5001,$B42),SUMIFS(BD!$R$3:$R$5001,BD!$A$3:$A$5001,$B42,BD!$B$3:$B$5001,$D$2)))</f>
        <v>0</v>
      </c>
      <c r="T42" s="32">
        <f>IF($B42="","",IF($B$2="Todos",SUMIFS(BD!$S$3:$S$5001,BD!$A$3:$A$5001,$B42),SUMIFS(BD!$S$3:$S$5001,BD!$A$3:$A$5001,$B42,BD!$B$3:$B$5001,$D$2)))</f>
        <v>0</v>
      </c>
      <c r="U42" s="32">
        <f>IF($B42="","",IF($B$2="Todos",SUMIFS(BD!$T$3:$T$5001,BD!$A$3:$A$5001,$B42),SUMIFS(BD!$T$3:$T$5001,BD!$A$3:$A$5001,$B42,BD!$B$3:$B$5001,$D$2)))</f>
        <v>0</v>
      </c>
      <c r="V42" s="32">
        <f>IF($B42="","",IF($B$2="Todos",SUMIFS(BD!$U$3:$U$5001,BD!$A$3:$A$5001,$B42),SUMIFS(BD!$U$3:$U$5001,BD!$A$3:$A$5001,$B42,BD!$B$3:$B$5001,$D$2)))</f>
        <v>0</v>
      </c>
      <c r="W42" s="50">
        <f>$B$5</f>
        <v>0.7</v>
      </c>
      <c r="X42" s="50">
        <f>$B$6</f>
        <v>0.9</v>
      </c>
    </row>
    <row r="43">
      <c r="A43" s="51" t="inlineStr">
        <is>
          <t xml:space="preserve">Realizado no mês (soma · último valor em estoque)</t>
        </is>
      </c>
      <c r="C43" s="53">
        <f>SUM(C12:C42)</f>
        <v>0</v>
      </c>
      <c r="D43" s="53">
        <f>SUM(D12:D42)</f>
        <v>0</v>
      </c>
      <c r="E43" s="59">
        <f>SUM(E12:E42)</f>
        <v>0</v>
      </c>
      <c r="F43" s="53">
        <f>SUM(F12:F42)</f>
        <v>0</v>
      </c>
      <c r="G43" s="53">
        <f>SUM(G12:G42)</f>
        <v>0</v>
      </c>
      <c r="H43" s="59">
        <f>SUM(H12:H42)</f>
        <v>0</v>
      </c>
      <c r="I43" s="53">
        <f>SUM(I12:I42)</f>
        <v>0</v>
      </c>
      <c r="J43" s="53">
        <f>SUM(J12:J42)</f>
        <v>0</v>
      </c>
      <c r="K43" s="53" t="str">
        <f>IFERROR(LOOKUP(9.99E+307,K12:K42),"")</f>
        <v/>
      </c>
      <c r="L43" s="53" t="str">
        <f>IFERROR(LOOKUP(9.99E+307,L12:L42),"")</f>
        <v/>
      </c>
      <c r="M43" s="53" t="str">
        <f>IFERROR(LOOKUP(9.99E+307,M12:M42),"")</f>
        <v/>
      </c>
      <c r="N43" s="60" t="str">
        <f>IFERROR(LOOKUP(9.99E+307,N12:N42),"")</f>
        <v/>
      </c>
      <c r="O43" s="53" t="str">
        <f>IFERROR(LOOKUP(9.99E+307,O12:O42),"")</f>
        <v/>
      </c>
      <c r="P43" s="53">
        <f>SUM(P12:P42)</f>
        <v>0</v>
      </c>
      <c r="Q43" s="53">
        <f>SUM(Q12:Q42)</f>
        <v>0</v>
      </c>
      <c r="R43" s="53">
        <f>SUM(R12:R42)</f>
        <v>0</v>
      </c>
      <c r="S43" s="53">
        <f>SUM(S12:S42)</f>
        <v>0</v>
      </c>
      <c r="T43" s="53">
        <f>SUM(T12:T42)</f>
        <v>0</v>
      </c>
      <c r="U43" s="53">
        <f>SUM(U12:U42)</f>
        <v>0</v>
      </c>
      <c r="V43" s="53">
        <f>SUM(V12:V42)</f>
        <v>0</v>
      </c>
    </row>
    <row r="44">
      <c r="A44" s="52" t="inlineStr">
        <is>
          <t xml:space="preserve">Média por dia</t>
        </is>
      </c>
      <c r="C44" s="54" t="str">
        <f>IFERROR(AVERAGEIF(C12:C42,"&gt;0"),"")</f>
        <v/>
      </c>
      <c r="D44" s="54" t="str">
        <f>IFERROR(AVERAGEIF(D12:D42,"&gt;0"),"")</f>
        <v/>
      </c>
      <c r="E44" s="54" t="str">
        <f>IFERROR(AVERAGEIF(E12:E42,"&gt;0"),"")</f>
        <v/>
      </c>
      <c r="F44" s="54" t="str">
        <f>IFERROR(AVERAGEIF(F12:F42,"&gt;0"),"")</f>
        <v/>
      </c>
      <c r="G44" s="54" t="str">
        <f>IFERROR(AVERAGEIF(G12:G42,"&gt;0"),"")</f>
        <v/>
      </c>
      <c r="H44" s="54" t="str">
        <f>IFERROR(AVERAGEIF(H12:H42,"&gt;0"),"")</f>
        <v/>
      </c>
      <c r="I44" s="54" t="str">
        <f>IFERROR(AVERAGEIF(I12:I42,"&gt;0"),"")</f>
        <v/>
      </c>
      <c r="J44" s="54" t="str">
        <f>IFERROR(AVERAGEIF(J12:J42,"&gt;0"),"")</f>
        <v/>
      </c>
      <c r="K44" s="54" t="str">
        <f>IFERROR(AVERAGE(K12:K42),"")</f>
        <v/>
      </c>
      <c r="L44" s="54" t="str">
        <f>IFERROR(AVERAGE(L12:L42),"")</f>
        <v/>
      </c>
      <c r="M44" s="54" t="str">
        <f>IFERROR(AVERAGE(M12:M42),"")</f>
        <v/>
      </c>
      <c r="N44" s="56" t="str">
        <f>IFERROR(AVERAGE(N12:N42),"")</f>
        <v/>
      </c>
      <c r="O44" s="54" t="str">
        <f>IFERROR(AVERAGE(O12:O42),"")</f>
        <v/>
      </c>
      <c r="P44" s="54" t="str">
        <f>IFERROR(AVERAGEIF(P12:P42,"&gt;0"),"")</f>
        <v/>
      </c>
      <c r="Q44" s="54" t="str">
        <f>IFERROR(AVERAGEIF(Q12:Q42,"&gt;0"),"")</f>
        <v/>
      </c>
      <c r="R44" s="54" t="str">
        <f>IFERROR(AVERAGEIF(R12:R42,"&gt;0"),"")</f>
        <v/>
      </c>
      <c r="S44" s="54" t="str">
        <f>IFERROR(AVERAGEIF(S12:S42,"&gt;0"),"")</f>
        <v/>
      </c>
      <c r="T44" s="54" t="str">
        <f>IFERROR(AVERAGEIF(T12:T42,"&gt;0"),"")</f>
        <v/>
      </c>
      <c r="U44" s="54" t="str">
        <f>IFERROR(AVERAGEIF(U12:U42,"&gt;0"),"")</f>
        <v/>
      </c>
      <c r="V44" s="54" t="str">
        <f>IFERROR(AVERAGEIF(V12:V42,"&gt;0"),"")</f>
        <v/>
      </c>
    </row>
    <row r="45">
      <c r="A45" s="52" t="inlineStr">
        <is>
          <t xml:space="preserve">Máximo em um dia</t>
        </is>
      </c>
      <c r="C45" s="55">
        <f>IF(COUNT(C12:C42)=0,"",MAX(C12:C42))</f>
        <v>0</v>
      </c>
      <c r="D45" s="55">
        <f>IF(COUNT(D12:D42)=0,"",MAX(D12:D42))</f>
        <v>0</v>
      </c>
      <c r="E45" s="54">
        <f>IF(COUNT(E12:E42)=0,"",MAX(E12:E42))</f>
        <v>0</v>
      </c>
      <c r="F45" s="55">
        <f>IF(COUNT(F12:F42)=0,"",MAX(F12:F42))</f>
        <v>0</v>
      </c>
      <c r="G45" s="55">
        <f>IF(COUNT(G12:G42)=0,"",MAX(G12:G42))</f>
        <v>0</v>
      </c>
      <c r="H45" s="54">
        <f>IF(COUNT(H12:H42)=0,"",MAX(H12:H42))</f>
        <v>0</v>
      </c>
      <c r="I45" s="55">
        <f>IF(COUNT(I12:I42)=0,"",MAX(I12:I42))</f>
        <v>0</v>
      </c>
      <c r="J45" s="55">
        <f>IF(COUNT(J12:J42)=0,"",MAX(J12:J42))</f>
        <v>0</v>
      </c>
      <c r="K45" s="55" t="str">
        <f>IF(COUNT(K12:K42)=0,"",MAX(K12:K42))</f>
        <v/>
      </c>
      <c r="L45" s="55" t="str">
        <f>IF(COUNT(L12:L42)=0,"",MAX(L12:L42))</f>
        <v/>
      </c>
      <c r="M45" s="55" t="str">
        <f>IF(COUNT(M12:M42)=0,"",MAX(M12:M42))</f>
        <v/>
      </c>
      <c r="N45" s="56" t="str">
        <f>IF(COUNT(N12:N42)=0,"",MAX(N12:N42))</f>
        <v/>
      </c>
      <c r="O45" s="55" t="str">
        <f>IF(COUNT(O12:O42)=0,"",MAX(O12:O42))</f>
        <v/>
      </c>
      <c r="P45" s="55">
        <f>IF(COUNT(P12:P42)=0,"",MAX(P12:P42))</f>
        <v>0</v>
      </c>
      <c r="Q45" s="55">
        <f>IF(COUNT(Q12:Q42)=0,"",MAX(Q12:Q42))</f>
        <v>0</v>
      </c>
      <c r="R45" s="55">
        <f>IF(COUNT(R12:R42)=0,"",MAX(R12:R42))</f>
        <v>0</v>
      </c>
      <c r="S45" s="55">
        <f>IF(COUNT(S12:S42)=0,"",MAX(S12:S42))</f>
        <v>0</v>
      </c>
      <c r="T45" s="55">
        <f>IF(COUNT(T12:T42)=0,"",MAX(T12:T42))</f>
        <v>0</v>
      </c>
      <c r="U45" s="55">
        <f>IF(COUNT(U12:U42)=0,"",MAX(U12:U42))</f>
        <v>0</v>
      </c>
      <c r="V45" s="55">
        <f>IF(COUNT(V12:V42)=0,"",MAX(V12:V42))</f>
        <v>0</v>
      </c>
    </row>
    <row r="46">
      <c r="A46" s="52" t="inlineStr">
        <is>
          <t xml:space="preserve">Mês anterior (mesmo intervalo)</t>
        </is>
      </c>
      <c r="C46" s="55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55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54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55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55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54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55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55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55" t="str">
        <f>IF($B$9=0,"",IF($B$2="Todos",IF(COUNT($C$146:$V$146)=0,"",SUM($C$146:$V$146)),IFERROR(INDEX($C$146:$V$146,MATCH($D$2,$C$114:$V$114,0)),"")))</f>
        <v/>
      </c>
      <c r="L46" s="55" t="str">
        <f>IF(M46="","",IF($B$2="Todos",IF($B$4&gt;0,$B$4,IF($B$2="Todos",IF(COUNT($C$216:$V$216)=0,"",SUM($C$216:$V$216)),IFERROR(INDEX($C$216:$V$216,MATCH($D$2,$C$184:$V$184,0)),""))),IFERROR(INDEX($C$216:$V$216,MATCH($D$2,$C$184:$V$184,0)),"")))</f>
        <v/>
      </c>
      <c r="M46" s="55" t="str">
        <f>IF($B$9=0,"",IF($B$2="Todos",IF(COUNT($C$181:$V$181)=0,"",SUM($C$181:$V$181)),IFERROR(INDEX($C$181:$V$181,MATCH($D$2,$C$149:$V$149,0)),"")))</f>
        <v/>
      </c>
      <c r="N46" s="56" t="str">
        <f>IF(AND(ISNUMBER(M46),ISNUMBER(L46)),IF(L46&gt;0,M46/L46,""),"")</f>
        <v/>
      </c>
      <c r="O46" s="55" t="str">
        <f>IF($B$9=0,"",IF($B$2="Todos",IF(COUNT($C$251:$V$251)=0,"",SUM($C$251:$V$251)),IFERROR(INDEX($C$251:$V$251,MATCH($D$2,$C$219:$V$219,0)),"")))</f>
        <v/>
      </c>
      <c r="P46" s="55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Q46" s="55" t="str">
        <f>IF($B$9=0,"",IF($B$2="Todos",SUMIFS(BD!$P$3:$P$5001,BD!$A$3:$A$5001,"&gt;="&amp;$C$8,BD!$A$3:$A$5001,"&lt;="&amp;$D$8),SUMIFS(BD!$P$3:$P$5001,BD!$A$3:$A$5001,"&gt;="&amp;$C$8,BD!$A$3:$A$5001,"&lt;="&amp;$D$8,BD!$B$3:$B$5001,$D$2)))</f>
        <v/>
      </c>
      <c r="R46" s="55" t="str">
        <f>IF($B$9=0,"",IF($B$2="Todos",SUMIFS(BD!$Q$3:$Q$5001,BD!$A$3:$A$5001,"&gt;="&amp;$C$8,BD!$A$3:$A$5001,"&lt;="&amp;$D$8),SUMIFS(BD!$Q$3:$Q$5001,BD!$A$3:$A$5001,"&gt;="&amp;$C$8,BD!$A$3:$A$5001,"&lt;="&amp;$D$8,BD!$B$3:$B$5001,$D$2)))</f>
        <v/>
      </c>
      <c r="S46" s="55" t="str">
        <f>IF($B$9=0,"",IF($B$2="Todos",SUMIFS(BD!$R$3:$R$5001,BD!$A$3:$A$5001,"&gt;="&amp;$C$8,BD!$A$3:$A$5001,"&lt;="&amp;$D$8),SUMIFS(BD!$R$3:$R$5001,BD!$A$3:$A$5001,"&gt;="&amp;$C$8,BD!$A$3:$A$5001,"&lt;="&amp;$D$8,BD!$B$3:$B$5001,$D$2)))</f>
        <v/>
      </c>
      <c r="T46" s="55" t="str">
        <f>IF($B$9=0,"",IF($B$2="Todos",SUMIFS(BD!$S$3:$S$5001,BD!$A$3:$A$5001,"&gt;="&amp;$C$8,BD!$A$3:$A$5001,"&lt;="&amp;$D$8),SUMIFS(BD!$S$3:$S$5001,BD!$A$3:$A$5001,"&gt;="&amp;$C$8,BD!$A$3:$A$5001,"&lt;="&amp;$D$8,BD!$B$3:$B$5001,$D$2)))</f>
        <v/>
      </c>
      <c r="U46" s="55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V46" s="55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</row>
    <row r="47">
      <c r="A47" s="52" t="inlineStr">
        <is>
          <t xml:space="preserve">Variação vs mês anterior</t>
        </is>
      </c>
      <c r="C47" s="56" t="str">
        <f>IF(AND(ISNUMBER(C43),ISNUMBER(C46)),IF(C46&lt;&gt;0,C43/C46-1,""),"")</f>
        <v/>
      </c>
      <c r="D47" s="56" t="str">
        <f>IF(AND(ISNUMBER(D43),ISNUMBER(D46)),IF(D46&lt;&gt;0,D43/D46-1,""),"")</f>
        <v/>
      </c>
      <c r="E47" s="56" t="str">
        <f>IF(AND(ISNUMBER(E43),ISNUMBER(E46)),IF(E46&lt;&gt;0,E43/E46-1,""),"")</f>
        <v/>
      </c>
      <c r="F47" s="56" t="str">
        <f>IF(AND(ISNUMBER(F43),ISNUMBER(F46)),IF(F46&lt;&gt;0,F43/F46-1,""),"")</f>
        <v/>
      </c>
      <c r="G47" s="56" t="str">
        <f>IF(AND(ISNUMBER(G43),ISNUMBER(G46)),IF(G46&lt;&gt;0,G43/G46-1,""),"")</f>
        <v/>
      </c>
      <c r="H47" s="56" t="str">
        <f>IF(AND(ISNUMBER(H43),ISNUMBER(H46)),IF(H46&lt;&gt;0,H43/H46-1,""),"")</f>
        <v/>
      </c>
      <c r="I47" s="56" t="str">
        <f>IF(AND(ISNUMBER(I43),ISNUMBER(I46)),IF(I46&lt;&gt;0,I43/I46-1,""),"")</f>
        <v/>
      </c>
      <c r="J47" s="56" t="str">
        <f>IF(AND(ISNUMBER(J43),ISNUMBER(J46)),IF(J46&lt;&gt;0,J43/J46-1,""),"")</f>
        <v/>
      </c>
      <c r="K47" s="56" t="str">
        <f>IF(AND(ISNUMBER(K43),ISNUMBER(K46)),IF(K46&lt;&gt;0,K43/K46-1,""),"")</f>
        <v/>
      </c>
      <c r="L47" s="56" t="str">
        <f>IF(AND(ISNUMBER(L43),ISNUMBER(L46)),IF(L46&lt;&gt;0,L43/L46-1,""),"")</f>
        <v/>
      </c>
      <c r="M47" s="56" t="str">
        <f>IF(AND(ISNUMBER(M43),ISNUMBER(M46)),IF(M46&lt;&gt;0,M43/M46-1,""),"")</f>
        <v/>
      </c>
      <c r="N47" s="56" t="str">
        <f>IF(AND(ISNUMBER(N43),ISNUMBER(N46)),IF(N46&lt;&gt;0,N43/N46-1,""),"")</f>
        <v/>
      </c>
      <c r="O47" s="56" t="str">
        <f>IF(AND(ISNUMBER(O43),ISNUMBER(O46)),IF(O46&lt;&gt;0,O43/O46-1,""),"")</f>
        <v/>
      </c>
      <c r="P47" s="56" t="str">
        <f>IF(AND(ISNUMBER(P43),ISNUMBER(P46)),IF(P46&lt;&gt;0,P43/P46-1,""),"")</f>
        <v/>
      </c>
      <c r="Q47" s="56" t="str">
        <f>IF(AND(ISNUMBER(Q43),ISNUMBER(Q46)),IF(Q46&lt;&gt;0,Q43/Q46-1,""),"")</f>
        <v/>
      </c>
      <c r="R47" s="56" t="str">
        <f>IF(AND(ISNUMBER(R43),ISNUMBER(R46)),IF(R46&lt;&gt;0,R43/R46-1,""),"")</f>
        <v/>
      </c>
      <c r="S47" s="56" t="str">
        <f>IF(AND(ISNUMBER(S43),ISNUMBER(S46)),IF(S46&lt;&gt;0,S43/S46-1,""),"")</f>
        <v/>
      </c>
      <c r="T47" s="56" t="str">
        <f>IF(AND(ISNUMBER(T43),ISNUMBER(T46)),IF(T46&lt;&gt;0,T43/T46-1,""),"")</f>
        <v/>
      </c>
      <c r="U47" s="56" t="str">
        <f>IF(AND(ISNUMBER(U43),ISNUMBER(U46)),IF(U46&lt;&gt;0,U43/U46-1,""),"")</f>
        <v/>
      </c>
      <c r="V47" s="56" t="str">
        <f>IF(AND(ISNUMBER(V43),ISNUMBER(V46)),IF(V46&lt;&gt;0,V43/V46-1,""),"")</f>
        <v/>
      </c>
    </row>
    <row r="48">
      <c r="A48" s="52" t="inlineStr">
        <is>
          <t xml:space="preserve">Meta (seleção)</t>
        </is>
      </c>
      <c r="C48" s="55" t="str">
        <f>IFERROR(1/(1/INDEX(BD!$Y$23:$AS$23,MATCH($B$2,BD!$Y$22:$AS$22,0))),"")</f>
        <v/>
      </c>
      <c r="D48" s="55" t="str">
        <f>IFERROR(1/(1/INDEX(BD!$Y$24:$AS$24,MATCH($B$2,BD!$Y$22:$AS$22,0))),"")</f>
        <v/>
      </c>
      <c r="E48" s="55" t="str">
        <f>IFERROR(1/(1/INDEX(BD!$Y$25:$AS$25,MATCH($B$2,BD!$Y$22:$AS$22,0))),"")</f>
        <v/>
      </c>
      <c r="F48" s="55" t="str">
        <f>IFERROR(1/(1/INDEX(BD!$Y$26:$AS$26,MATCH($B$2,BD!$Y$22:$AS$22,0))),"")</f>
        <v/>
      </c>
      <c r="G48" s="55" t="str">
        <f>IFERROR(1/(1/INDEX(BD!$Y$27:$AS$27,MATCH($B$2,BD!$Y$22:$AS$22,0))),"")</f>
        <v/>
      </c>
      <c r="H48" s="55" t="str">
        <f>IFERROR(1/(1/INDEX(BD!$Y$28:$AS$28,MATCH($B$2,BD!$Y$22:$AS$22,0))),"")</f>
        <v/>
      </c>
      <c r="I48" s="55" t="str">
        <f>IFERROR(1/(1/INDEX(BD!$Y$29:$AS$29,MATCH($B$2,BD!$Y$22:$AS$22,0))),"")</f>
        <v/>
      </c>
      <c r="J48" s="55" t="str">
        <f>IFERROR(1/(1/INDEX(BD!$Y$30:$AS$30,MATCH($B$2,BD!$Y$22:$AS$22,0))),"")</f>
        <v/>
      </c>
      <c r="K48" s="55" t="str">
        <f>IFERROR(1/(1/INDEX(BD!$Y$31:$AS$31,MATCH($B$2,BD!$Y$22:$AS$22,0))),"")</f>
        <v/>
      </c>
      <c r="L48" s="55" t="str">
        <f>IFERROR(1/(1/INDEX(BD!$Y$32:$AS$32,MATCH($B$2,BD!$Y$22:$AS$22,0))),"")</f>
        <v/>
      </c>
      <c r="M48" s="55" t="str">
        <f>IFERROR(1/(1/INDEX(BD!$Y$33:$AS$33,MATCH($B$2,BD!$Y$22:$AS$22,0))),"")</f>
        <v/>
      </c>
      <c r="N48" s="57" t="str">
        <f>IFERROR(1/(1/INDEX(BD!$Y$34:$AS$34,MATCH($B$2,BD!$Y$22:$AS$22,0))),"")</f>
        <v/>
      </c>
      <c r="O48" s="55" t="str">
        <f>IFERROR(1/(1/INDEX(BD!$Y$35:$AS$35,MATCH($B$2,BD!$Y$22:$AS$22,0))),"")</f>
        <v/>
      </c>
      <c r="P48" s="55" t="str">
        <f>IFERROR(1/(1/INDEX(BD!$Y$36:$AS$36,MATCH($B$2,BD!$Y$22:$AS$22,0))),"")</f>
        <v/>
      </c>
      <c r="Q48" s="55" t="str">
        <f>IFERROR(1/(1/INDEX(BD!$Y$37:$AS$37,MATCH($B$2,BD!$Y$22:$AS$22,0))),"")</f>
        <v/>
      </c>
      <c r="R48" s="55" t="str">
        <f>IFERROR(1/(1/INDEX(BD!$Y$38:$AS$38,MATCH($B$2,BD!$Y$22:$AS$22,0))),"")</f>
        <v/>
      </c>
      <c r="S48" s="55" t="str">
        <f>IFERROR(1/(1/INDEX(BD!$Y$39:$AS$39,MATCH($B$2,BD!$Y$22:$AS$22,0))),"")</f>
        <v/>
      </c>
      <c r="T48" s="55" t="str">
        <f>IFERROR(1/(1/INDEX(BD!$Y$40:$AS$40,MATCH($B$2,BD!$Y$22:$AS$22,0))),"")</f>
        <v/>
      </c>
      <c r="U48" s="55" t="str">
        <f>IFERROR(1/(1/INDEX(BD!$Y$41:$AS$41,MATCH($B$2,BD!$Y$22:$AS$22,0))),"")</f>
        <v/>
      </c>
      <c r="V48" s="55" t="str">
        <f>IFERROR(1/(1/INDEX(BD!$Y$42:$AS$42,MATCH($B$2,BD!$Y$22:$AS$22,0))),"")</f>
        <v/>
      </c>
    </row>
    <row r="49">
      <c r="A49" s="52" t="inlineStr">
        <is>
          <t xml:space="preserve">% da meta</t>
        </is>
      </c>
      <c r="C49" s="57" t="str">
        <f>IF(AND(ISNUMBER(C48),ISNUMBER(C43)),IF(C48&gt;0,C43/C48,""),"")</f>
        <v/>
      </c>
      <c r="D49" s="57" t="str">
        <f>IF(AND(ISNUMBER(D48),ISNUMBER(D43)),IF(D48&gt;0,D43/D48,""),"")</f>
        <v/>
      </c>
      <c r="E49" s="57" t="str">
        <f>IF(AND(ISNUMBER(E48),ISNUMBER(E43)),IF(E48&gt;0,E43/E48,""),"")</f>
        <v/>
      </c>
      <c r="F49" s="57" t="str">
        <f>IF(AND(ISNUMBER(F48),ISNUMBER(F43)),IF(F48&gt;0,F43/F48,""),"")</f>
        <v/>
      </c>
      <c r="G49" s="57" t="str">
        <f>IF(AND(ISNUMBER(G48),ISNUMBER(G43)),IF(G48&gt;0,G43/G48,""),"")</f>
        <v/>
      </c>
      <c r="H49" s="57" t="str">
        <f>IF(AND(ISNUMBER(H48),ISNUMBER(H43)),IF(H48&gt;0,H43/H48,""),"")</f>
        <v/>
      </c>
      <c r="I49" s="57" t="str">
        <f>IF(AND(ISNUMBER(I48),ISNUMBER(I43)),IF(I48&gt;0,I43/I48,""),"")</f>
        <v/>
      </c>
      <c r="J49" s="57" t="str">
        <f>IF(AND(ISNUMBER(J48),ISNUMBER(J43)),IF(J48&gt;0,J43/J48,""),"")</f>
        <v/>
      </c>
      <c r="K49" s="57" t="str">
        <f>IF(AND(ISNUMBER(K48),ISNUMBER(K43)),IF(K48&gt;0,K43/K48,""),"")</f>
        <v/>
      </c>
      <c r="L49" s="57" t="str">
        <f>IF(AND(ISNUMBER(L48),ISNUMBER(L43)),IF(L48&gt;0,L43/L48,""),"")</f>
        <v/>
      </c>
      <c r="M49" s="57" t="str">
        <f>IF(AND(ISNUMBER(M48),ISNUMBER(M43)),IF(M48&gt;0,M43/M48,""),"")</f>
        <v/>
      </c>
      <c r="N49" s="57" t="str">
        <f>IF(AND(ISNUMBER(N48),ISNUMBER(N43)),IF(N48&gt;0,N43/N48,""),"")</f>
        <v/>
      </c>
      <c r="O49" s="57" t="str">
        <f>IF(AND(ISNUMBER(O48),ISNUMBER(O43)),IF(O48&gt;0,O43/O48,""),"")</f>
        <v/>
      </c>
      <c r="P49" s="57" t="str">
        <f>IF(AND(ISNUMBER(P48),ISNUMBER(P43)),IF(P48&gt;0,P43/P48,""),"")</f>
        <v/>
      </c>
      <c r="Q49" s="57" t="str">
        <f>IF(AND(ISNUMBER(Q48),ISNUMBER(Q43)),IF(Q48&gt;0,Q43/Q48,""),"")</f>
        <v/>
      </c>
      <c r="R49" s="57" t="str">
        <f>IF(AND(ISNUMBER(R48),ISNUMBER(R43)),IF(R48&gt;0,R43/R48,""),"")</f>
        <v/>
      </c>
      <c r="S49" s="57" t="str">
        <f>IF(AND(ISNUMBER(S48),ISNUMBER(S43)),IF(S48&gt;0,S43/S48,""),"")</f>
        <v/>
      </c>
      <c r="T49" s="57" t="str">
        <f>IF(AND(ISNUMBER(T48),ISNUMBER(T43)),IF(T48&gt;0,T43/T48,""),"")</f>
        <v/>
      </c>
      <c r="U49" s="57" t="str">
        <f>IF(AND(ISNUMBER(U48),ISNUMBER(U43)),IF(U48&gt;0,U43/U48,""),"")</f>
        <v/>
      </c>
      <c r="V49" s="57" t="str">
        <f>IF(AND(ISNUMBER(V48),ISNUMBER(V43)),IF(V48&gt;0,V43/V48,""),"")</f>
        <v/>
      </c>
    </row>
    <row r="50">
      <c r="A50" s="52" t="inlineStr">
        <is>
          <t xml:space="preserve">Status</t>
        </is>
      </c>
      <c r="C50" s="58" t="str">
        <f>IF(ISNUMBER(C49),IF(C49&gt;=1,"meta atingida","abaixo da meta"),"")</f>
        <v/>
      </c>
      <c r="D50" s="58" t="str">
        <f>IF(ISNUMBER(D49),IF(D49&gt;=1,"meta atingida","abaixo da meta"),"")</f>
        <v/>
      </c>
      <c r="E50" s="58" t="str">
        <f>IF(ISNUMBER(E49),IF(E49&gt;=1,"meta atingida","abaixo da meta"),"")</f>
        <v/>
      </c>
      <c r="F50" s="58" t="str">
        <f>IF(ISNUMBER(F49),IF(F49&gt;=1,"meta atingida","abaixo da meta"),"")</f>
        <v/>
      </c>
      <c r="G50" s="58" t="str">
        <f>IF(ISNUMBER(G49),IF(G49&gt;=1,"meta atingida","abaixo da meta"),"")</f>
        <v/>
      </c>
      <c r="H50" s="58" t="str">
        <f>IF(ISNUMBER(H49),IF(H49&gt;=1,"meta atingida","abaixo da meta"),"")</f>
        <v/>
      </c>
      <c r="I50" s="58" t="str">
        <f>IF(AND(ISNUMBER(I48),ISNUMBER(I43)),IF(I43&lt;=I48,"dentro do limite","acima do limite"),"")</f>
        <v/>
      </c>
      <c r="J50" s="58" t="str">
        <f>IF(AND(ISNUMBER(J48),ISNUMBER(J43)),IF(J43&lt;=J48,"dentro do limite","acima do limite"),"")</f>
        <v/>
      </c>
      <c r="K50" s="58" t="str">
        <f>IF(AND(ISNUMBER(K48),ISNUMBER(K43)),IF(K43&lt;=K48,"dentro do limite","acima do limite"),"")</f>
        <v/>
      </c>
      <c r="L50" s="58" t="str">
        <f>IF(ISNUMBER(L49),IF(L49&gt;=1,"meta atingida","abaixo da meta"),"")</f>
        <v/>
      </c>
      <c r="M50" s="58" t="str">
        <f>IF(ISNUMBER(M49),IF(M49&gt;=1,"meta atingida","abaixo da meta"),"")</f>
        <v/>
      </c>
      <c r="N50" s="58" t="str">
        <f>IF(ISNUMBER(N43),IF(N43&gt;1,"excede o contratado",IF(N43&gt;=$B$6,"ocupação alta",IF(N43&gt;=$B$5,"ocupação média","ociosidade alta"))),"")</f>
        <v/>
      </c>
      <c r="O50" s="58" t="str">
        <f>IF(ISNUMBER(O49),IF(O49&gt;=1,"meta atingida","abaixo da meta"),"")</f>
        <v/>
      </c>
      <c r="P50" s="58" t="str">
        <f>IF(AND(ISNUMBER(P48),ISNUMBER(P43)),IF(P43&lt;=P48,"dentro do limite","acima do limite"),"")</f>
        <v/>
      </c>
      <c r="Q50" s="58" t="str">
        <f>IF(ISNUMBER(Q49),IF(Q49&gt;=1,"meta atingida","abaixo da meta"),"")</f>
        <v/>
      </c>
      <c r="R50" s="58" t="str">
        <f>IF(ISNUMBER(R49),IF(R49&gt;=1,"meta atingida","abaixo da meta"),"")</f>
        <v/>
      </c>
      <c r="S50" s="58" t="str">
        <f>IF(AND(ISNUMBER(S48),ISNUMBER(S43)),IF(S43&lt;=S48,"dentro do limite","acima do limite"),"")</f>
        <v/>
      </c>
      <c r="T50" s="58" t="str">
        <f>IF(AND(ISNUMBER(T48),ISNUMBER(T43)),IF(T43&lt;=T48,"dentro do limite","acima do limite"),"")</f>
        <v/>
      </c>
      <c r="U50" s="58" t="str">
        <f>IF(AND(ISNUMBER(U48),ISNUMBER(U43)),IF(U43&lt;=U48,"dentro do limite","acima do limite"),"")</f>
        <v/>
      </c>
      <c r="V50" s="58" t="str">
        <f>IF(AND(ISNUMBER(V48),ISNUMBER(V43)),IF(V43&lt;=V48,"dentro do limite","acima do limite"),"")</f>
        <v/>
      </c>
    </row>
    <row r="78">
      <c r="A78" s="19" t="inlineStr">
        <is>
          <t xml:space="preserve">ACUMULADO SEMANAL — toneladas e pallets (seguem o filtro; mês do gráfico)</t>
        </is>
      </c>
    </row>
    <row r="79">
      <c r="A79" s="37" t="inlineStr">
        <is>
          <t xml:space="preserve">Semana</t>
        </is>
      </c>
      <c r="B79" s="37" t="inlineStr">
        <is>
          <t xml:space="preserve">Do dia</t>
        </is>
      </c>
      <c r="C79" s="37" t="inlineStr">
        <is>
          <t xml:space="preserve">Ao dia</t>
        </is>
      </c>
      <c r="D79" s="37" t="inlineStr">
        <is>
          <t xml:space="preserve">IN tons</t>
        </is>
      </c>
      <c r="E79" s="37" t="inlineStr">
        <is>
          <t xml:space="preserve">OUT tons</t>
        </is>
      </c>
      <c r="F79" s="37" t="inlineStr">
        <is>
          <t xml:space="preserve">IN pallets</t>
        </is>
      </c>
      <c r="G79" s="37" t="inlineStr">
        <is>
          <t xml:space="preserve">OUT pallets</t>
        </is>
      </c>
    </row>
    <row r="80">
      <c r="A80" s="29" t="inlineStr">
        <is>
          <t xml:space="preserve">Sem 1 (01–07)</t>
        </is>
      </c>
      <c r="B80" s="28">
        <v>1</v>
      </c>
      <c r="C80" s="28">
        <v>7</v>
      </c>
      <c r="D80" s="61">
        <f>SUMIFS(E12:E42,A12:A42,"&gt;="&amp;$B80,A12:A42,"&lt;="&amp;$C80)</f>
        <v>0</v>
      </c>
      <c r="E80" s="61">
        <f>SUMIFS(H12:H42,A12:A42,"&gt;="&amp;$B80,A12:A42,"&lt;="&amp;$C80)</f>
        <v>0</v>
      </c>
      <c r="F80" s="32">
        <f>SUMIFS(D12:D42,A12:A42,"&gt;="&amp;$B80,A12:A42,"&lt;="&amp;$C80)</f>
        <v>0</v>
      </c>
      <c r="G80" s="32">
        <f>SUMIFS(G12:G42,A12:A42,"&gt;="&amp;$B80,A12:A42,"&lt;="&amp;$C80)</f>
        <v>0</v>
      </c>
    </row>
    <row r="81">
      <c r="A81" s="29" t="inlineStr">
        <is>
          <t xml:space="preserve">Sem 2 (08–14)</t>
        </is>
      </c>
      <c r="B81" s="28">
        <v>8</v>
      </c>
      <c r="C81" s="28">
        <v>14</v>
      </c>
      <c r="D81" s="61">
        <f>SUMIFS(E12:E42,A12:A42,"&gt;="&amp;$B81,A12:A42,"&lt;="&amp;$C81)</f>
        <v>0</v>
      </c>
      <c r="E81" s="61">
        <f>SUMIFS(H12:H42,A12:A42,"&gt;="&amp;$B81,A12:A42,"&lt;="&amp;$C81)</f>
        <v>0</v>
      </c>
      <c r="F81" s="32">
        <f>SUMIFS(D12:D42,A12:A42,"&gt;="&amp;$B81,A12:A42,"&lt;="&amp;$C81)</f>
        <v>0</v>
      </c>
      <c r="G81" s="32">
        <f>SUMIFS(G12:G42,A12:A42,"&gt;="&amp;$B81,A12:A42,"&lt;="&amp;$C81)</f>
        <v>0</v>
      </c>
    </row>
    <row r="82">
      <c r="A82" s="29" t="inlineStr">
        <is>
          <t xml:space="preserve">Sem 3 (15–21)</t>
        </is>
      </c>
      <c r="B82" s="28">
        <v>15</v>
      </c>
      <c r="C82" s="28">
        <v>21</v>
      </c>
      <c r="D82" s="61">
        <f>SUMIFS(E12:E42,A12:A42,"&gt;="&amp;$B82,A12:A42,"&lt;="&amp;$C82)</f>
        <v>0</v>
      </c>
      <c r="E82" s="61">
        <f>SUMIFS(H12:H42,A12:A42,"&gt;="&amp;$B82,A12:A42,"&lt;="&amp;$C82)</f>
        <v>0</v>
      </c>
      <c r="F82" s="32">
        <f>SUMIFS(D12:D42,A12:A42,"&gt;="&amp;$B82,A12:A42,"&lt;="&amp;$C82)</f>
        <v>0</v>
      </c>
      <c r="G82" s="32">
        <f>SUMIFS(G12:G42,A12:A42,"&gt;="&amp;$B82,A12:A42,"&lt;="&amp;$C82)</f>
        <v>0</v>
      </c>
    </row>
    <row r="83">
      <c r="A83" s="29" t="inlineStr">
        <is>
          <t xml:space="preserve">Sem 4 (22–28)</t>
        </is>
      </c>
      <c r="B83" s="28">
        <v>22</v>
      </c>
      <c r="C83" s="28">
        <v>28</v>
      </c>
      <c r="D83" s="61">
        <f>SUMIFS(E12:E42,A12:A42,"&gt;="&amp;$B83,A12:A42,"&lt;="&amp;$C83)</f>
        <v>0</v>
      </c>
      <c r="E83" s="61">
        <f>SUMIFS(H12:H42,A12:A42,"&gt;="&amp;$B83,A12:A42,"&lt;="&amp;$C83)</f>
        <v>0</v>
      </c>
      <c r="F83" s="32">
        <f>SUMIFS(D12:D42,A12:A42,"&gt;="&amp;$B83,A12:A42,"&lt;="&amp;$C83)</f>
        <v>0</v>
      </c>
      <c r="G83" s="32">
        <f>SUMIFS(G12:G42,A12:A42,"&gt;="&amp;$B83,A12:A42,"&lt;="&amp;$C83)</f>
        <v>0</v>
      </c>
    </row>
    <row r="84">
      <c r="A84" s="29" t="inlineStr">
        <is>
          <t xml:space="preserve">Sem 5 (29–fim)</t>
        </is>
      </c>
      <c r="B84" s="28">
        <v>29</v>
      </c>
      <c r="C84" s="28">
        <v>31</v>
      </c>
      <c r="D84" s="61">
        <f>SUMIFS(E12:E42,A12:A42,"&gt;="&amp;$B84,A12:A42,"&lt;="&amp;$C84)</f>
        <v>0</v>
      </c>
      <c r="E84" s="61">
        <f>SUMIFS(H12:H42,A12:A42,"&gt;="&amp;$B84,A12:A42,"&lt;="&amp;$C84)</f>
        <v>0</v>
      </c>
      <c r="F84" s="32">
        <f>SUMIFS(D12:D42,A12:A42,"&gt;="&amp;$B84,A12:A42,"&lt;="&amp;$C84)</f>
        <v>0</v>
      </c>
      <c r="G84" s="32">
        <f>SUMIFS(G12:G42,A12:A42,"&gt;="&amp;$B84,A12:A42,"&lt;="&amp;$C84)</f>
        <v>0</v>
      </c>
    </row>
    <row r="88">
      <c r="A88" s="19" t="inlineStr">
        <is>
          <t xml:space="preserve">POR CLIENTE — mês inteiro (todos os clientes). Estoque = último valor do mês.</t>
        </is>
      </c>
    </row>
    <row r="89" ht="30" customHeight="1">
      <c r="A89" s="37" t="inlineStr">
        <is>
          <t xml:space="preserve">Indicador</t>
        </is>
      </c>
      <c r="B89" s="37" t="str">
        <f>Config!$B$10&amp;""</f>
        <v>Barry Callebaut</v>
      </c>
      <c r="C89" s="37" t="str">
        <f>Config!$B$11&amp;""</f>
        <v>GM</v>
      </c>
      <c r="D89" s="37" t="str">
        <f>Config!$B$12&amp;""</f>
        <v>Mondelez</v>
      </c>
      <c r="E89" s="37" t="str">
        <f>Config!$B$13&amp;""</f>
        <v>Nestlé</v>
      </c>
      <c r="F89" s="37" t="str">
        <f>Config!$B$14&amp;""</f>
        <v>PMB</v>
      </c>
      <c r="G89" s="37" t="str">
        <f>Config!$B$15&amp;""</f>
        <v/>
      </c>
      <c r="H89" s="37" t="str">
        <f>Config!$B$16&amp;""</f>
        <v/>
      </c>
      <c r="I89" s="37" t="str">
        <f>Config!$B$17&amp;""</f>
        <v/>
      </c>
      <c r="J89" s="37" t="str">
        <f>Config!$B$18&amp;""</f>
        <v/>
      </c>
      <c r="K89" s="37" t="str">
        <f>Config!$B$19&amp;""</f>
        <v/>
      </c>
      <c r="L89" s="37" t="str">
        <f>Config!$B$20&amp;""</f>
        <v/>
      </c>
      <c r="M89" s="37" t="str">
        <f>Config!$B$21&amp;""</f>
        <v/>
      </c>
      <c r="N89" s="37" t="str">
        <f>Config!$B$22&amp;""</f>
        <v/>
      </c>
      <c r="O89" s="37" t="str">
        <f>Config!$B$23&amp;""</f>
        <v/>
      </c>
      <c r="P89" s="37" t="str">
        <f>Config!$B$24&amp;""</f>
        <v/>
      </c>
      <c r="Q89" s="37" t="str">
        <f>Config!$B$25&amp;""</f>
        <v/>
      </c>
      <c r="R89" s="37" t="str">
        <f>Config!$B$26&amp;""</f>
        <v/>
      </c>
      <c r="S89" s="37" t="str">
        <f>Config!$B$27&amp;""</f>
        <v/>
      </c>
      <c r="T89" s="37" t="str">
        <f>Config!$B$28&amp;""</f>
        <v/>
      </c>
      <c r="U89" s="37" t="str">
        <f>Config!$B$29&amp;""</f>
        <v/>
      </c>
      <c r="V89" s="37" t="inlineStr">
        <is>
          <t xml:space="preserve">TOTAL</t>
        </is>
      </c>
    </row>
    <row r="90">
      <c r="A90" s="29" t="inlineStr">
        <is>
          <t xml:space="preserve">IN · Veículos Recebidos</t>
        </is>
      </c>
      <c r="B90" s="32">
        <f>IF(B$89="","",IF(Config!$D$35&lt;&gt;"Não",SUMIFS(BD!$C$3:$C$5001,BD!$B$3:$B$5001,B$89,BD!$A$3:$A$5001,"&gt;="&amp;$C$7,BD!$A$3:$A$5001,"&lt;="&amp;$D$7),"—"))</f>
        <v>0</v>
      </c>
      <c r="C90" s="32" t="str">
        <f>IF(C$89="","",IF(Config!$D$36&lt;&gt;"Não",SUMIFS(BD!$C$3:$C$5001,BD!$B$3:$B$5001,C$89,BD!$A$3:$A$5001,"&gt;="&amp;$C$7,BD!$A$3:$A$5001,"&lt;="&amp;$D$7),"—"))</f>
        <v>—</v>
      </c>
      <c r="D90" s="32">
        <f>IF(D$89="","",IF(Config!$D$37&lt;&gt;"Não",SUMIFS(BD!$C$3:$C$5001,BD!$B$3:$B$5001,D$89,BD!$A$3:$A$5001,"&gt;="&amp;$C$7,BD!$A$3:$A$5001,"&lt;="&amp;$D$7),"—"))</f>
        <v>0</v>
      </c>
      <c r="E90" s="32">
        <f>IF(E$89="","",IF(Config!$D$38&lt;&gt;"Não",SUMIFS(BD!$C$3:$C$5001,BD!$B$3:$B$5001,E$89,BD!$A$3:$A$5001,"&gt;="&amp;$C$7,BD!$A$3:$A$5001,"&lt;="&amp;$D$7),"—"))</f>
        <v>0</v>
      </c>
      <c r="F90" s="32">
        <f>IF(F$89="","",IF(Config!$D$39&lt;&gt;"Não",SUMIFS(BD!$C$3:$C$5001,BD!$B$3:$B$5001,F$89,BD!$A$3:$A$5001,"&gt;="&amp;$C$7,BD!$A$3:$A$5001,"&lt;="&amp;$D$7),"—"))</f>
        <v>0</v>
      </c>
      <c r="G90" s="32" t="str">
        <f>IF(G$89="","",IF(Config!$D$40&lt;&gt;"Não",SUMIFS(BD!$C$3:$C$5001,BD!$B$3:$B$5001,G$89,BD!$A$3:$A$5001,"&gt;="&amp;$C$7,BD!$A$3:$A$5001,"&lt;="&amp;$D$7),"—"))</f>
        <v/>
      </c>
      <c r="H90" s="32" t="str">
        <f>IF(H$89="","",IF(Config!$D$41&lt;&gt;"Não",SUMIFS(BD!$C$3:$C$5001,BD!$B$3:$B$5001,H$89,BD!$A$3:$A$5001,"&gt;="&amp;$C$7,BD!$A$3:$A$5001,"&lt;="&amp;$D$7),"—"))</f>
        <v/>
      </c>
      <c r="I90" s="32" t="str">
        <f>IF(I$89="","",IF(Config!$D$42&lt;&gt;"Não",SUMIFS(BD!$C$3:$C$5001,BD!$B$3:$B$5001,I$89,BD!$A$3:$A$5001,"&gt;="&amp;$C$7,BD!$A$3:$A$5001,"&lt;="&amp;$D$7),"—"))</f>
        <v/>
      </c>
      <c r="J90" s="32" t="str">
        <f>IF(J$89="","",IF(Config!$D$43&lt;&gt;"Não",SUMIFS(BD!$C$3:$C$5001,BD!$B$3:$B$5001,J$89,BD!$A$3:$A$5001,"&gt;="&amp;$C$7,BD!$A$3:$A$5001,"&lt;="&amp;$D$7),"—"))</f>
        <v/>
      </c>
      <c r="K90" s="32" t="str">
        <f>IF(K$89="","",IF(Config!$D$44&lt;&gt;"Não",SUMIFS(BD!$C$3:$C$5001,BD!$B$3:$B$5001,K$89,BD!$A$3:$A$5001,"&gt;="&amp;$C$7,BD!$A$3:$A$5001,"&lt;="&amp;$D$7),"—"))</f>
        <v/>
      </c>
      <c r="L90" s="32" t="str">
        <f>IF(L$89="","",IF(Config!$D$45&lt;&gt;"Não",SUMIFS(BD!$C$3:$C$5001,BD!$B$3:$B$5001,L$89,BD!$A$3:$A$5001,"&gt;="&amp;$C$7,BD!$A$3:$A$5001,"&lt;="&amp;$D$7),"—"))</f>
        <v/>
      </c>
      <c r="M90" s="32" t="str">
        <f>IF(M$89="","",IF(Config!$D$46&lt;&gt;"Não",SUMIFS(BD!$C$3:$C$5001,BD!$B$3:$B$5001,M$89,BD!$A$3:$A$5001,"&gt;="&amp;$C$7,BD!$A$3:$A$5001,"&lt;="&amp;$D$7),"—"))</f>
        <v/>
      </c>
      <c r="N90" s="32" t="str">
        <f>IF(N$89="","",IF(Config!$D$47&lt;&gt;"Não",SUMIFS(BD!$C$3:$C$5001,BD!$B$3:$B$5001,N$89,BD!$A$3:$A$5001,"&gt;="&amp;$C$7,BD!$A$3:$A$5001,"&lt;="&amp;$D$7),"—"))</f>
        <v/>
      </c>
      <c r="O90" s="32" t="str">
        <f>IF(O$89="","",IF(Config!$D$48&lt;&gt;"Não",SUMIFS(BD!$C$3:$C$5001,BD!$B$3:$B$5001,O$89,BD!$A$3:$A$5001,"&gt;="&amp;$C$7,BD!$A$3:$A$5001,"&lt;="&amp;$D$7),"—"))</f>
        <v/>
      </c>
      <c r="P90" s="32" t="str">
        <f>IF(P$89="","",IF(Config!$D$49&lt;&gt;"Não",SUMIFS(BD!$C$3:$C$5001,BD!$B$3:$B$5001,P$89,BD!$A$3:$A$5001,"&gt;="&amp;$C$7,BD!$A$3:$A$5001,"&lt;="&amp;$D$7),"—"))</f>
        <v/>
      </c>
      <c r="Q90" s="32" t="str">
        <f>IF(Q$89="","",IF(Config!$D$50&lt;&gt;"Não",SUMIFS(BD!$C$3:$C$5001,BD!$B$3:$B$5001,Q$89,BD!$A$3:$A$5001,"&gt;="&amp;$C$7,BD!$A$3:$A$5001,"&lt;="&amp;$D$7),"—"))</f>
        <v/>
      </c>
      <c r="R90" s="32" t="str">
        <f>IF(R$89="","",IF(Config!$D$51&lt;&gt;"Não",SUMIFS(BD!$C$3:$C$5001,BD!$B$3:$B$5001,R$89,BD!$A$3:$A$5001,"&gt;="&amp;$C$7,BD!$A$3:$A$5001,"&lt;="&amp;$D$7),"—"))</f>
        <v/>
      </c>
      <c r="S90" s="32" t="str">
        <f>IF(S$89="","",IF(Config!$D$52&lt;&gt;"Não",SUMIFS(BD!$C$3:$C$5001,BD!$B$3:$B$5001,S$89,BD!$A$3:$A$5001,"&gt;="&amp;$C$7,BD!$A$3:$A$5001,"&lt;="&amp;$D$7),"—"))</f>
        <v/>
      </c>
      <c r="T90" s="32" t="str">
        <f>IF(T$89="","",IF(Config!$D$53&lt;&gt;"Não",SUMIFS(BD!$C$3:$C$5001,BD!$B$3:$B$5001,T$89,BD!$A$3:$A$5001,"&gt;="&amp;$C$7,BD!$A$3:$A$5001,"&lt;="&amp;$D$7),"—"))</f>
        <v/>
      </c>
      <c r="U90" s="32" t="str">
        <f>IF(U$89="","",IF(Config!$D$54&lt;&gt;"Não",SUMIFS(BD!$C$3:$C$5001,BD!$B$3:$B$5001,U$89,BD!$A$3:$A$5001,"&gt;="&amp;$C$7,BD!$A$3:$A$5001,"&lt;="&amp;$D$7),"—"))</f>
        <v/>
      </c>
      <c r="V90" s="62">
        <f>SUM(B90:U90)</f>
        <v>0</v>
      </c>
    </row>
    <row r="91">
      <c r="A91" s="29" t="inlineStr">
        <is>
          <t xml:space="preserve">IN · Pallets Movimentados</t>
        </is>
      </c>
      <c r="B91" s="32">
        <f>IF(B$89="","",IF(Config!$E$35&lt;&gt;"Não",SUMIFS(BD!$D$3:$D$5001,BD!$B$3:$B$5001,B$89,BD!$A$3:$A$5001,"&gt;="&amp;$C$7,BD!$A$3:$A$5001,"&lt;="&amp;$D$7),"—"))</f>
        <v>0</v>
      </c>
      <c r="C91" s="32" t="str">
        <f>IF(C$89="","",IF(Config!$E$36&lt;&gt;"Não",SUMIFS(BD!$D$3:$D$5001,BD!$B$3:$B$5001,C$89,BD!$A$3:$A$5001,"&gt;="&amp;$C$7,BD!$A$3:$A$5001,"&lt;="&amp;$D$7),"—"))</f>
        <v>—</v>
      </c>
      <c r="D91" s="32">
        <f>IF(D$89="","",IF(Config!$E$37&lt;&gt;"Não",SUMIFS(BD!$D$3:$D$5001,BD!$B$3:$B$5001,D$89,BD!$A$3:$A$5001,"&gt;="&amp;$C$7,BD!$A$3:$A$5001,"&lt;="&amp;$D$7),"—"))</f>
        <v>0</v>
      </c>
      <c r="E91" s="32">
        <f>IF(E$89="","",IF(Config!$E$38&lt;&gt;"Não",SUMIFS(BD!$D$3:$D$5001,BD!$B$3:$B$5001,E$89,BD!$A$3:$A$5001,"&gt;="&amp;$C$7,BD!$A$3:$A$5001,"&lt;="&amp;$D$7),"—"))</f>
        <v>0</v>
      </c>
      <c r="F91" s="32">
        <f>IF(F$89="","",IF(Config!$E$39&lt;&gt;"Não",SUMIFS(BD!$D$3:$D$5001,BD!$B$3:$B$5001,F$89,BD!$A$3:$A$5001,"&gt;="&amp;$C$7,BD!$A$3:$A$5001,"&lt;="&amp;$D$7),"—"))</f>
        <v>0</v>
      </c>
      <c r="G91" s="32" t="str">
        <f>IF(G$89="","",IF(Config!$E$40&lt;&gt;"Não",SUMIFS(BD!$D$3:$D$5001,BD!$B$3:$B$5001,G$89,BD!$A$3:$A$5001,"&gt;="&amp;$C$7,BD!$A$3:$A$5001,"&lt;="&amp;$D$7),"—"))</f>
        <v/>
      </c>
      <c r="H91" s="32" t="str">
        <f>IF(H$89="","",IF(Config!$E$41&lt;&gt;"Não",SUMIFS(BD!$D$3:$D$5001,BD!$B$3:$B$5001,H$89,BD!$A$3:$A$5001,"&gt;="&amp;$C$7,BD!$A$3:$A$5001,"&lt;="&amp;$D$7),"—"))</f>
        <v/>
      </c>
      <c r="I91" s="32" t="str">
        <f>IF(I$89="","",IF(Config!$E$42&lt;&gt;"Não",SUMIFS(BD!$D$3:$D$5001,BD!$B$3:$B$5001,I$89,BD!$A$3:$A$5001,"&gt;="&amp;$C$7,BD!$A$3:$A$5001,"&lt;="&amp;$D$7),"—"))</f>
        <v/>
      </c>
      <c r="J91" s="32" t="str">
        <f>IF(J$89="","",IF(Config!$E$43&lt;&gt;"Não",SUMIFS(BD!$D$3:$D$5001,BD!$B$3:$B$5001,J$89,BD!$A$3:$A$5001,"&gt;="&amp;$C$7,BD!$A$3:$A$5001,"&lt;="&amp;$D$7),"—"))</f>
        <v/>
      </c>
      <c r="K91" s="32" t="str">
        <f>IF(K$89="","",IF(Config!$E$44&lt;&gt;"Não",SUMIFS(BD!$D$3:$D$5001,BD!$B$3:$B$5001,K$89,BD!$A$3:$A$5001,"&gt;="&amp;$C$7,BD!$A$3:$A$5001,"&lt;="&amp;$D$7),"—"))</f>
        <v/>
      </c>
      <c r="L91" s="32" t="str">
        <f>IF(L$89="","",IF(Config!$E$45&lt;&gt;"Não",SUMIFS(BD!$D$3:$D$5001,BD!$B$3:$B$5001,L$89,BD!$A$3:$A$5001,"&gt;="&amp;$C$7,BD!$A$3:$A$5001,"&lt;="&amp;$D$7),"—"))</f>
        <v/>
      </c>
      <c r="M91" s="32" t="str">
        <f>IF(M$89="","",IF(Config!$E$46&lt;&gt;"Não",SUMIFS(BD!$D$3:$D$5001,BD!$B$3:$B$5001,M$89,BD!$A$3:$A$5001,"&gt;="&amp;$C$7,BD!$A$3:$A$5001,"&lt;="&amp;$D$7),"—"))</f>
        <v/>
      </c>
      <c r="N91" s="32" t="str">
        <f>IF(N$89="","",IF(Config!$E$47&lt;&gt;"Não",SUMIFS(BD!$D$3:$D$5001,BD!$B$3:$B$5001,N$89,BD!$A$3:$A$5001,"&gt;="&amp;$C$7,BD!$A$3:$A$5001,"&lt;="&amp;$D$7),"—"))</f>
        <v/>
      </c>
      <c r="O91" s="32" t="str">
        <f>IF(O$89="","",IF(Config!$E$48&lt;&gt;"Não",SUMIFS(BD!$D$3:$D$5001,BD!$B$3:$B$5001,O$89,BD!$A$3:$A$5001,"&gt;="&amp;$C$7,BD!$A$3:$A$5001,"&lt;="&amp;$D$7),"—"))</f>
        <v/>
      </c>
      <c r="P91" s="32" t="str">
        <f>IF(P$89="","",IF(Config!$E$49&lt;&gt;"Não",SUMIFS(BD!$D$3:$D$5001,BD!$B$3:$B$5001,P$89,BD!$A$3:$A$5001,"&gt;="&amp;$C$7,BD!$A$3:$A$5001,"&lt;="&amp;$D$7),"—"))</f>
        <v/>
      </c>
      <c r="Q91" s="32" t="str">
        <f>IF(Q$89="","",IF(Config!$E$50&lt;&gt;"Não",SUMIFS(BD!$D$3:$D$5001,BD!$B$3:$B$5001,Q$89,BD!$A$3:$A$5001,"&gt;="&amp;$C$7,BD!$A$3:$A$5001,"&lt;="&amp;$D$7),"—"))</f>
        <v/>
      </c>
      <c r="R91" s="32" t="str">
        <f>IF(R$89="","",IF(Config!$E$51&lt;&gt;"Não",SUMIFS(BD!$D$3:$D$5001,BD!$B$3:$B$5001,R$89,BD!$A$3:$A$5001,"&gt;="&amp;$C$7,BD!$A$3:$A$5001,"&lt;="&amp;$D$7),"—"))</f>
        <v/>
      </c>
      <c r="S91" s="32" t="str">
        <f>IF(S$89="","",IF(Config!$E$52&lt;&gt;"Não",SUMIFS(BD!$D$3:$D$5001,BD!$B$3:$B$5001,S$89,BD!$A$3:$A$5001,"&gt;="&amp;$C$7,BD!$A$3:$A$5001,"&lt;="&amp;$D$7),"—"))</f>
        <v/>
      </c>
      <c r="T91" s="32" t="str">
        <f>IF(T$89="","",IF(Config!$E$53&lt;&gt;"Não",SUMIFS(BD!$D$3:$D$5001,BD!$B$3:$B$5001,T$89,BD!$A$3:$A$5001,"&gt;="&amp;$C$7,BD!$A$3:$A$5001,"&lt;="&amp;$D$7),"—"))</f>
        <v/>
      </c>
      <c r="U91" s="32" t="str">
        <f>IF(U$89="","",IF(Config!$E$54&lt;&gt;"Não",SUMIFS(BD!$D$3:$D$5001,BD!$B$3:$B$5001,U$89,BD!$A$3:$A$5001,"&gt;="&amp;$C$7,BD!$A$3:$A$5001,"&lt;="&amp;$D$7),"—"))</f>
        <v/>
      </c>
      <c r="V91" s="62">
        <f>SUM(B91:U91)</f>
        <v>0</v>
      </c>
    </row>
    <row r="92">
      <c r="A92" s="29" t="inlineStr">
        <is>
          <t xml:space="preserve">IN · Toneladas Movimentadas</t>
        </is>
      </c>
      <c r="B92" s="61">
        <f>IF(B$89="","",IF(Config!$F$35&lt;&gt;"Não",SUMIFS(BD!$E$3:$E$5001,BD!$B$3:$B$5001,B$89,BD!$A$3:$A$5001,"&gt;="&amp;$C$7,BD!$A$3:$A$5001,"&lt;="&amp;$D$7),"—"))</f>
        <v>0</v>
      </c>
      <c r="C92" s="61" t="str">
        <f>IF(C$89="","",IF(Config!$F$36&lt;&gt;"Não",SUMIFS(BD!$E$3:$E$5001,BD!$B$3:$B$5001,C$89,BD!$A$3:$A$5001,"&gt;="&amp;$C$7,BD!$A$3:$A$5001,"&lt;="&amp;$D$7),"—"))</f>
        <v>—</v>
      </c>
      <c r="D92" s="61">
        <f>IF(D$89="","",IF(Config!$F$37&lt;&gt;"Não",SUMIFS(BD!$E$3:$E$5001,BD!$B$3:$B$5001,D$89,BD!$A$3:$A$5001,"&gt;="&amp;$C$7,BD!$A$3:$A$5001,"&lt;="&amp;$D$7),"—"))</f>
        <v>0</v>
      </c>
      <c r="E92" s="61">
        <f>IF(E$89="","",IF(Config!$F$38&lt;&gt;"Não",SUMIFS(BD!$E$3:$E$5001,BD!$B$3:$B$5001,E$89,BD!$A$3:$A$5001,"&gt;="&amp;$C$7,BD!$A$3:$A$5001,"&lt;="&amp;$D$7),"—"))</f>
        <v>0</v>
      </c>
      <c r="F92" s="61">
        <f>IF(F$89="","",IF(Config!$F$39&lt;&gt;"Não",SUMIFS(BD!$E$3:$E$5001,BD!$B$3:$B$5001,F$89,BD!$A$3:$A$5001,"&gt;="&amp;$C$7,BD!$A$3:$A$5001,"&lt;="&amp;$D$7),"—"))</f>
        <v>0</v>
      </c>
      <c r="G92" s="61" t="str">
        <f>IF(G$89="","",IF(Config!$F$40&lt;&gt;"Não",SUMIFS(BD!$E$3:$E$5001,BD!$B$3:$B$5001,G$89,BD!$A$3:$A$5001,"&gt;="&amp;$C$7,BD!$A$3:$A$5001,"&lt;="&amp;$D$7),"—"))</f>
        <v/>
      </c>
      <c r="H92" s="61" t="str">
        <f>IF(H$89="","",IF(Config!$F$41&lt;&gt;"Não",SUMIFS(BD!$E$3:$E$5001,BD!$B$3:$B$5001,H$89,BD!$A$3:$A$5001,"&gt;="&amp;$C$7,BD!$A$3:$A$5001,"&lt;="&amp;$D$7),"—"))</f>
        <v/>
      </c>
      <c r="I92" s="61" t="str">
        <f>IF(I$89="","",IF(Config!$F$42&lt;&gt;"Não",SUMIFS(BD!$E$3:$E$5001,BD!$B$3:$B$5001,I$89,BD!$A$3:$A$5001,"&gt;="&amp;$C$7,BD!$A$3:$A$5001,"&lt;="&amp;$D$7),"—"))</f>
        <v/>
      </c>
      <c r="J92" s="61" t="str">
        <f>IF(J$89="","",IF(Config!$F$43&lt;&gt;"Não",SUMIFS(BD!$E$3:$E$5001,BD!$B$3:$B$5001,J$89,BD!$A$3:$A$5001,"&gt;="&amp;$C$7,BD!$A$3:$A$5001,"&lt;="&amp;$D$7),"—"))</f>
        <v/>
      </c>
      <c r="K92" s="61" t="str">
        <f>IF(K$89="","",IF(Config!$F$44&lt;&gt;"Não",SUMIFS(BD!$E$3:$E$5001,BD!$B$3:$B$5001,K$89,BD!$A$3:$A$5001,"&gt;="&amp;$C$7,BD!$A$3:$A$5001,"&lt;="&amp;$D$7),"—"))</f>
        <v/>
      </c>
      <c r="L92" s="61" t="str">
        <f>IF(L$89="","",IF(Config!$F$45&lt;&gt;"Não",SUMIFS(BD!$E$3:$E$5001,BD!$B$3:$B$5001,L$89,BD!$A$3:$A$5001,"&gt;="&amp;$C$7,BD!$A$3:$A$5001,"&lt;="&amp;$D$7),"—"))</f>
        <v/>
      </c>
      <c r="M92" s="61" t="str">
        <f>IF(M$89="","",IF(Config!$F$46&lt;&gt;"Não",SUMIFS(BD!$E$3:$E$5001,BD!$B$3:$B$5001,M$89,BD!$A$3:$A$5001,"&gt;="&amp;$C$7,BD!$A$3:$A$5001,"&lt;="&amp;$D$7),"—"))</f>
        <v/>
      </c>
      <c r="N92" s="61" t="str">
        <f>IF(N$89="","",IF(Config!$F$47&lt;&gt;"Não",SUMIFS(BD!$E$3:$E$5001,BD!$B$3:$B$5001,N$89,BD!$A$3:$A$5001,"&gt;="&amp;$C$7,BD!$A$3:$A$5001,"&lt;="&amp;$D$7),"—"))</f>
        <v/>
      </c>
      <c r="O92" s="61" t="str">
        <f>IF(O$89="","",IF(Config!$F$48&lt;&gt;"Não",SUMIFS(BD!$E$3:$E$5001,BD!$B$3:$B$5001,O$89,BD!$A$3:$A$5001,"&gt;="&amp;$C$7,BD!$A$3:$A$5001,"&lt;="&amp;$D$7),"—"))</f>
        <v/>
      </c>
      <c r="P92" s="61" t="str">
        <f>IF(P$89="","",IF(Config!$F$49&lt;&gt;"Não",SUMIFS(BD!$E$3:$E$5001,BD!$B$3:$B$5001,P$89,BD!$A$3:$A$5001,"&gt;="&amp;$C$7,BD!$A$3:$A$5001,"&lt;="&amp;$D$7),"—"))</f>
        <v/>
      </c>
      <c r="Q92" s="61" t="str">
        <f>IF(Q$89="","",IF(Config!$F$50&lt;&gt;"Não",SUMIFS(BD!$E$3:$E$5001,BD!$B$3:$B$5001,Q$89,BD!$A$3:$A$5001,"&gt;="&amp;$C$7,BD!$A$3:$A$5001,"&lt;="&amp;$D$7),"—"))</f>
        <v/>
      </c>
      <c r="R92" s="61" t="str">
        <f>IF(R$89="","",IF(Config!$F$51&lt;&gt;"Não",SUMIFS(BD!$E$3:$E$5001,BD!$B$3:$B$5001,R$89,BD!$A$3:$A$5001,"&gt;="&amp;$C$7,BD!$A$3:$A$5001,"&lt;="&amp;$D$7),"—"))</f>
        <v/>
      </c>
      <c r="S92" s="61" t="str">
        <f>IF(S$89="","",IF(Config!$F$52&lt;&gt;"Não",SUMIFS(BD!$E$3:$E$5001,BD!$B$3:$B$5001,S$89,BD!$A$3:$A$5001,"&gt;="&amp;$C$7,BD!$A$3:$A$5001,"&lt;="&amp;$D$7),"—"))</f>
        <v/>
      </c>
      <c r="T92" s="61" t="str">
        <f>IF(T$89="","",IF(Config!$F$53&lt;&gt;"Não",SUMIFS(BD!$E$3:$E$5001,BD!$B$3:$B$5001,T$89,BD!$A$3:$A$5001,"&gt;="&amp;$C$7,BD!$A$3:$A$5001,"&lt;="&amp;$D$7),"—"))</f>
        <v/>
      </c>
      <c r="U92" s="61" t="str">
        <f>IF(U$89="","",IF(Config!$F$54&lt;&gt;"Não",SUMIFS(BD!$E$3:$E$5001,BD!$B$3:$B$5001,U$89,BD!$A$3:$A$5001,"&gt;="&amp;$C$7,BD!$A$3:$A$5001,"&lt;="&amp;$D$7),"—"))</f>
        <v/>
      </c>
      <c r="V92" s="63">
        <f>SUM(B92:U92)</f>
        <v>0</v>
      </c>
    </row>
    <row r="93">
      <c r="A93" s="29" t="inlineStr">
        <is>
          <t xml:space="preserve">OUT · Veículos Expedidos</t>
        </is>
      </c>
      <c r="B93" s="32">
        <f>IF(B$89="","",IF(Config!$G$35&lt;&gt;"Não",SUMIFS(BD!$F$3:$F$5001,BD!$B$3:$B$5001,B$89,BD!$A$3:$A$5001,"&gt;="&amp;$C$7,BD!$A$3:$A$5001,"&lt;="&amp;$D$7),"—"))</f>
        <v>0</v>
      </c>
      <c r="C93" s="32">
        <f>IF(C$89="","",IF(Config!$G$36&lt;&gt;"Não",SUMIFS(BD!$F$3:$F$5001,BD!$B$3:$B$5001,C$89,BD!$A$3:$A$5001,"&gt;="&amp;$C$7,BD!$A$3:$A$5001,"&lt;="&amp;$D$7),"—"))</f>
        <v>0</v>
      </c>
      <c r="D93" s="32">
        <f>IF(D$89="","",IF(Config!$G$37&lt;&gt;"Não",SUMIFS(BD!$F$3:$F$5001,BD!$B$3:$B$5001,D$89,BD!$A$3:$A$5001,"&gt;="&amp;$C$7,BD!$A$3:$A$5001,"&lt;="&amp;$D$7),"—"))</f>
        <v>0</v>
      </c>
      <c r="E93" s="32">
        <f>IF(E$89="","",IF(Config!$G$38&lt;&gt;"Não",SUMIFS(BD!$F$3:$F$5001,BD!$B$3:$B$5001,E$89,BD!$A$3:$A$5001,"&gt;="&amp;$C$7,BD!$A$3:$A$5001,"&lt;="&amp;$D$7),"—"))</f>
        <v>0</v>
      </c>
      <c r="F93" s="32">
        <f>IF(F$89="","",IF(Config!$G$39&lt;&gt;"Não",SUMIFS(BD!$F$3:$F$5001,BD!$B$3:$B$5001,F$89,BD!$A$3:$A$5001,"&gt;="&amp;$C$7,BD!$A$3:$A$5001,"&lt;="&amp;$D$7),"—"))</f>
        <v>0</v>
      </c>
      <c r="G93" s="32" t="str">
        <f>IF(G$89="","",IF(Config!$G$40&lt;&gt;"Não",SUMIFS(BD!$F$3:$F$5001,BD!$B$3:$B$5001,G$89,BD!$A$3:$A$5001,"&gt;="&amp;$C$7,BD!$A$3:$A$5001,"&lt;="&amp;$D$7),"—"))</f>
        <v/>
      </c>
      <c r="H93" s="32" t="str">
        <f>IF(H$89="","",IF(Config!$G$41&lt;&gt;"Não",SUMIFS(BD!$F$3:$F$5001,BD!$B$3:$B$5001,H$89,BD!$A$3:$A$5001,"&gt;="&amp;$C$7,BD!$A$3:$A$5001,"&lt;="&amp;$D$7),"—"))</f>
        <v/>
      </c>
      <c r="I93" s="32" t="str">
        <f>IF(I$89="","",IF(Config!$G$42&lt;&gt;"Não",SUMIFS(BD!$F$3:$F$5001,BD!$B$3:$B$5001,I$89,BD!$A$3:$A$5001,"&gt;="&amp;$C$7,BD!$A$3:$A$5001,"&lt;="&amp;$D$7),"—"))</f>
        <v/>
      </c>
      <c r="J93" s="32" t="str">
        <f>IF(J$89="","",IF(Config!$G$43&lt;&gt;"Não",SUMIFS(BD!$F$3:$F$5001,BD!$B$3:$B$5001,J$89,BD!$A$3:$A$5001,"&gt;="&amp;$C$7,BD!$A$3:$A$5001,"&lt;="&amp;$D$7),"—"))</f>
        <v/>
      </c>
      <c r="K93" s="32" t="str">
        <f>IF(K$89="","",IF(Config!$G$44&lt;&gt;"Não",SUMIFS(BD!$F$3:$F$5001,BD!$B$3:$B$5001,K$89,BD!$A$3:$A$5001,"&gt;="&amp;$C$7,BD!$A$3:$A$5001,"&lt;="&amp;$D$7),"—"))</f>
        <v/>
      </c>
      <c r="L93" s="32" t="str">
        <f>IF(L$89="","",IF(Config!$G$45&lt;&gt;"Não",SUMIFS(BD!$F$3:$F$5001,BD!$B$3:$B$5001,L$89,BD!$A$3:$A$5001,"&gt;="&amp;$C$7,BD!$A$3:$A$5001,"&lt;="&amp;$D$7),"—"))</f>
        <v/>
      </c>
      <c r="M93" s="32" t="str">
        <f>IF(M$89="","",IF(Config!$G$46&lt;&gt;"Não",SUMIFS(BD!$F$3:$F$5001,BD!$B$3:$B$5001,M$89,BD!$A$3:$A$5001,"&gt;="&amp;$C$7,BD!$A$3:$A$5001,"&lt;="&amp;$D$7),"—"))</f>
        <v/>
      </c>
      <c r="N93" s="32" t="str">
        <f>IF(N$89="","",IF(Config!$G$47&lt;&gt;"Não",SUMIFS(BD!$F$3:$F$5001,BD!$B$3:$B$5001,N$89,BD!$A$3:$A$5001,"&gt;="&amp;$C$7,BD!$A$3:$A$5001,"&lt;="&amp;$D$7),"—"))</f>
        <v/>
      </c>
      <c r="O93" s="32" t="str">
        <f>IF(O$89="","",IF(Config!$G$48&lt;&gt;"Não",SUMIFS(BD!$F$3:$F$5001,BD!$B$3:$B$5001,O$89,BD!$A$3:$A$5001,"&gt;="&amp;$C$7,BD!$A$3:$A$5001,"&lt;="&amp;$D$7),"—"))</f>
        <v/>
      </c>
      <c r="P93" s="32" t="str">
        <f>IF(P$89="","",IF(Config!$G$49&lt;&gt;"Não",SUMIFS(BD!$F$3:$F$5001,BD!$B$3:$B$5001,P$89,BD!$A$3:$A$5001,"&gt;="&amp;$C$7,BD!$A$3:$A$5001,"&lt;="&amp;$D$7),"—"))</f>
        <v/>
      </c>
      <c r="Q93" s="32" t="str">
        <f>IF(Q$89="","",IF(Config!$G$50&lt;&gt;"Não",SUMIFS(BD!$F$3:$F$5001,BD!$B$3:$B$5001,Q$89,BD!$A$3:$A$5001,"&gt;="&amp;$C$7,BD!$A$3:$A$5001,"&lt;="&amp;$D$7),"—"))</f>
        <v/>
      </c>
      <c r="R93" s="32" t="str">
        <f>IF(R$89="","",IF(Config!$G$51&lt;&gt;"Não",SUMIFS(BD!$F$3:$F$5001,BD!$B$3:$B$5001,R$89,BD!$A$3:$A$5001,"&gt;="&amp;$C$7,BD!$A$3:$A$5001,"&lt;="&amp;$D$7),"—"))</f>
        <v/>
      </c>
      <c r="S93" s="32" t="str">
        <f>IF(S$89="","",IF(Config!$G$52&lt;&gt;"Não",SUMIFS(BD!$F$3:$F$5001,BD!$B$3:$B$5001,S$89,BD!$A$3:$A$5001,"&gt;="&amp;$C$7,BD!$A$3:$A$5001,"&lt;="&amp;$D$7),"—"))</f>
        <v/>
      </c>
      <c r="T93" s="32" t="str">
        <f>IF(T$89="","",IF(Config!$G$53&lt;&gt;"Não",SUMIFS(BD!$F$3:$F$5001,BD!$B$3:$B$5001,T$89,BD!$A$3:$A$5001,"&gt;="&amp;$C$7,BD!$A$3:$A$5001,"&lt;="&amp;$D$7),"—"))</f>
        <v/>
      </c>
      <c r="U93" s="32" t="str">
        <f>IF(U$89="","",IF(Config!$G$54&lt;&gt;"Não",SUMIFS(BD!$F$3:$F$5001,BD!$B$3:$B$5001,U$89,BD!$A$3:$A$5001,"&gt;="&amp;$C$7,BD!$A$3:$A$5001,"&lt;="&amp;$D$7),"—"))</f>
        <v/>
      </c>
      <c r="V93" s="62">
        <f>SUM(B93:U93)</f>
        <v>0</v>
      </c>
    </row>
    <row r="94">
      <c r="A94" s="29" t="inlineStr">
        <is>
          <t xml:space="preserve">OUT · Pallets Movimentados</t>
        </is>
      </c>
      <c r="B94" s="32">
        <f>IF(B$89="","",IF(Config!$H$35&lt;&gt;"Não",SUMIFS(BD!$G$3:$G$5001,BD!$B$3:$B$5001,B$89,BD!$A$3:$A$5001,"&gt;="&amp;$C$7,BD!$A$3:$A$5001,"&lt;="&amp;$D$7),"—"))</f>
        <v>0</v>
      </c>
      <c r="C94" s="32">
        <f>IF(C$89="","",IF(Config!$H$36&lt;&gt;"Não",SUMIFS(BD!$G$3:$G$5001,BD!$B$3:$B$5001,C$89,BD!$A$3:$A$5001,"&gt;="&amp;$C$7,BD!$A$3:$A$5001,"&lt;="&amp;$D$7),"—"))</f>
        <v>0</v>
      </c>
      <c r="D94" s="32">
        <f>IF(D$89="","",IF(Config!$H$37&lt;&gt;"Não",SUMIFS(BD!$G$3:$G$5001,BD!$B$3:$B$5001,D$89,BD!$A$3:$A$5001,"&gt;="&amp;$C$7,BD!$A$3:$A$5001,"&lt;="&amp;$D$7),"—"))</f>
        <v>0</v>
      </c>
      <c r="E94" s="32">
        <f>IF(E$89="","",IF(Config!$H$38&lt;&gt;"Não",SUMIFS(BD!$G$3:$G$5001,BD!$B$3:$B$5001,E$89,BD!$A$3:$A$5001,"&gt;="&amp;$C$7,BD!$A$3:$A$5001,"&lt;="&amp;$D$7),"—"))</f>
        <v>0</v>
      </c>
      <c r="F94" s="32">
        <f>IF(F$89="","",IF(Config!$H$39&lt;&gt;"Não",SUMIFS(BD!$G$3:$G$5001,BD!$B$3:$B$5001,F$89,BD!$A$3:$A$5001,"&gt;="&amp;$C$7,BD!$A$3:$A$5001,"&lt;="&amp;$D$7),"—"))</f>
        <v>0</v>
      </c>
      <c r="G94" s="32" t="str">
        <f>IF(G$89="","",IF(Config!$H$40&lt;&gt;"Não",SUMIFS(BD!$G$3:$G$5001,BD!$B$3:$B$5001,G$89,BD!$A$3:$A$5001,"&gt;="&amp;$C$7,BD!$A$3:$A$5001,"&lt;="&amp;$D$7),"—"))</f>
        <v/>
      </c>
      <c r="H94" s="32" t="str">
        <f>IF(H$89="","",IF(Config!$H$41&lt;&gt;"Não",SUMIFS(BD!$G$3:$G$5001,BD!$B$3:$B$5001,H$89,BD!$A$3:$A$5001,"&gt;="&amp;$C$7,BD!$A$3:$A$5001,"&lt;="&amp;$D$7),"—"))</f>
        <v/>
      </c>
      <c r="I94" s="32" t="str">
        <f>IF(I$89="","",IF(Config!$H$42&lt;&gt;"Não",SUMIFS(BD!$G$3:$G$5001,BD!$B$3:$B$5001,I$89,BD!$A$3:$A$5001,"&gt;="&amp;$C$7,BD!$A$3:$A$5001,"&lt;="&amp;$D$7),"—"))</f>
        <v/>
      </c>
      <c r="J94" s="32" t="str">
        <f>IF(J$89="","",IF(Config!$H$43&lt;&gt;"Não",SUMIFS(BD!$G$3:$G$5001,BD!$B$3:$B$5001,J$89,BD!$A$3:$A$5001,"&gt;="&amp;$C$7,BD!$A$3:$A$5001,"&lt;="&amp;$D$7),"—"))</f>
        <v/>
      </c>
      <c r="K94" s="32" t="str">
        <f>IF(K$89="","",IF(Config!$H$44&lt;&gt;"Não",SUMIFS(BD!$G$3:$G$5001,BD!$B$3:$B$5001,K$89,BD!$A$3:$A$5001,"&gt;="&amp;$C$7,BD!$A$3:$A$5001,"&lt;="&amp;$D$7),"—"))</f>
        <v/>
      </c>
      <c r="L94" s="32" t="str">
        <f>IF(L$89="","",IF(Config!$H$45&lt;&gt;"Não",SUMIFS(BD!$G$3:$G$5001,BD!$B$3:$B$5001,L$89,BD!$A$3:$A$5001,"&gt;="&amp;$C$7,BD!$A$3:$A$5001,"&lt;="&amp;$D$7),"—"))</f>
        <v/>
      </c>
      <c r="M94" s="32" t="str">
        <f>IF(M$89="","",IF(Config!$H$46&lt;&gt;"Não",SUMIFS(BD!$G$3:$G$5001,BD!$B$3:$B$5001,M$89,BD!$A$3:$A$5001,"&gt;="&amp;$C$7,BD!$A$3:$A$5001,"&lt;="&amp;$D$7),"—"))</f>
        <v/>
      </c>
      <c r="N94" s="32" t="str">
        <f>IF(N$89="","",IF(Config!$H$47&lt;&gt;"Não",SUMIFS(BD!$G$3:$G$5001,BD!$B$3:$B$5001,N$89,BD!$A$3:$A$5001,"&gt;="&amp;$C$7,BD!$A$3:$A$5001,"&lt;="&amp;$D$7),"—"))</f>
        <v/>
      </c>
      <c r="O94" s="32" t="str">
        <f>IF(O$89="","",IF(Config!$H$48&lt;&gt;"Não",SUMIFS(BD!$G$3:$G$5001,BD!$B$3:$B$5001,O$89,BD!$A$3:$A$5001,"&gt;="&amp;$C$7,BD!$A$3:$A$5001,"&lt;="&amp;$D$7),"—"))</f>
        <v/>
      </c>
      <c r="P94" s="32" t="str">
        <f>IF(P$89="","",IF(Config!$H$49&lt;&gt;"Não",SUMIFS(BD!$G$3:$G$5001,BD!$B$3:$B$5001,P$89,BD!$A$3:$A$5001,"&gt;="&amp;$C$7,BD!$A$3:$A$5001,"&lt;="&amp;$D$7),"—"))</f>
        <v/>
      </c>
      <c r="Q94" s="32" t="str">
        <f>IF(Q$89="","",IF(Config!$H$50&lt;&gt;"Não",SUMIFS(BD!$G$3:$G$5001,BD!$B$3:$B$5001,Q$89,BD!$A$3:$A$5001,"&gt;="&amp;$C$7,BD!$A$3:$A$5001,"&lt;="&amp;$D$7),"—"))</f>
        <v/>
      </c>
      <c r="R94" s="32" t="str">
        <f>IF(R$89="","",IF(Config!$H$51&lt;&gt;"Não",SUMIFS(BD!$G$3:$G$5001,BD!$B$3:$B$5001,R$89,BD!$A$3:$A$5001,"&gt;="&amp;$C$7,BD!$A$3:$A$5001,"&lt;="&amp;$D$7),"—"))</f>
        <v/>
      </c>
      <c r="S94" s="32" t="str">
        <f>IF(S$89="","",IF(Config!$H$52&lt;&gt;"Não",SUMIFS(BD!$G$3:$G$5001,BD!$B$3:$B$5001,S$89,BD!$A$3:$A$5001,"&gt;="&amp;$C$7,BD!$A$3:$A$5001,"&lt;="&amp;$D$7),"—"))</f>
        <v/>
      </c>
      <c r="T94" s="32" t="str">
        <f>IF(T$89="","",IF(Config!$H$53&lt;&gt;"Não",SUMIFS(BD!$G$3:$G$5001,BD!$B$3:$B$5001,T$89,BD!$A$3:$A$5001,"&gt;="&amp;$C$7,BD!$A$3:$A$5001,"&lt;="&amp;$D$7),"—"))</f>
        <v/>
      </c>
      <c r="U94" s="32" t="str">
        <f>IF(U$89="","",IF(Config!$H$54&lt;&gt;"Não",SUMIFS(BD!$G$3:$G$5001,BD!$B$3:$B$5001,U$89,BD!$A$3:$A$5001,"&gt;="&amp;$C$7,BD!$A$3:$A$5001,"&lt;="&amp;$D$7),"—"))</f>
        <v/>
      </c>
      <c r="V94" s="62">
        <f>SUM(B94:U94)</f>
        <v>0</v>
      </c>
    </row>
    <row r="95">
      <c r="A95" s="29" t="inlineStr">
        <is>
          <t xml:space="preserve">OUT · Toneladas Movimentadas</t>
        </is>
      </c>
      <c r="B95" s="61">
        <f>IF(B$89="","",IF(Config!$I$35&lt;&gt;"Não",SUMIFS(BD!$H$3:$H$5001,BD!$B$3:$B$5001,B$89,BD!$A$3:$A$5001,"&gt;="&amp;$C$7,BD!$A$3:$A$5001,"&lt;="&amp;$D$7),"—"))</f>
        <v>0</v>
      </c>
      <c r="C95" s="61">
        <f>IF(C$89="","",IF(Config!$I$36&lt;&gt;"Não",SUMIFS(BD!$H$3:$H$5001,BD!$B$3:$B$5001,C$89,BD!$A$3:$A$5001,"&gt;="&amp;$C$7,BD!$A$3:$A$5001,"&lt;="&amp;$D$7),"—"))</f>
        <v>0</v>
      </c>
      <c r="D95" s="61">
        <f>IF(D$89="","",IF(Config!$I$37&lt;&gt;"Não",SUMIFS(BD!$H$3:$H$5001,BD!$B$3:$B$5001,D$89,BD!$A$3:$A$5001,"&gt;="&amp;$C$7,BD!$A$3:$A$5001,"&lt;="&amp;$D$7),"—"))</f>
        <v>0</v>
      </c>
      <c r="E95" s="61">
        <f>IF(E$89="","",IF(Config!$I$38&lt;&gt;"Não",SUMIFS(BD!$H$3:$H$5001,BD!$B$3:$B$5001,E$89,BD!$A$3:$A$5001,"&gt;="&amp;$C$7,BD!$A$3:$A$5001,"&lt;="&amp;$D$7),"—"))</f>
        <v>0</v>
      </c>
      <c r="F95" s="61">
        <f>IF(F$89="","",IF(Config!$I$39&lt;&gt;"Não",SUMIFS(BD!$H$3:$H$5001,BD!$B$3:$B$5001,F$89,BD!$A$3:$A$5001,"&gt;="&amp;$C$7,BD!$A$3:$A$5001,"&lt;="&amp;$D$7),"—"))</f>
        <v>0</v>
      </c>
      <c r="G95" s="61" t="str">
        <f>IF(G$89="","",IF(Config!$I$40&lt;&gt;"Não",SUMIFS(BD!$H$3:$H$5001,BD!$B$3:$B$5001,G$89,BD!$A$3:$A$5001,"&gt;="&amp;$C$7,BD!$A$3:$A$5001,"&lt;="&amp;$D$7),"—"))</f>
        <v/>
      </c>
      <c r="H95" s="61" t="str">
        <f>IF(H$89="","",IF(Config!$I$41&lt;&gt;"Não",SUMIFS(BD!$H$3:$H$5001,BD!$B$3:$B$5001,H$89,BD!$A$3:$A$5001,"&gt;="&amp;$C$7,BD!$A$3:$A$5001,"&lt;="&amp;$D$7),"—"))</f>
        <v/>
      </c>
      <c r="I95" s="61" t="str">
        <f>IF(I$89="","",IF(Config!$I$42&lt;&gt;"Não",SUMIFS(BD!$H$3:$H$5001,BD!$B$3:$B$5001,I$89,BD!$A$3:$A$5001,"&gt;="&amp;$C$7,BD!$A$3:$A$5001,"&lt;="&amp;$D$7),"—"))</f>
        <v/>
      </c>
      <c r="J95" s="61" t="str">
        <f>IF(J$89="","",IF(Config!$I$43&lt;&gt;"Não",SUMIFS(BD!$H$3:$H$5001,BD!$B$3:$B$5001,J$89,BD!$A$3:$A$5001,"&gt;="&amp;$C$7,BD!$A$3:$A$5001,"&lt;="&amp;$D$7),"—"))</f>
        <v/>
      </c>
      <c r="K95" s="61" t="str">
        <f>IF(K$89="","",IF(Config!$I$44&lt;&gt;"Não",SUMIFS(BD!$H$3:$H$5001,BD!$B$3:$B$5001,K$89,BD!$A$3:$A$5001,"&gt;="&amp;$C$7,BD!$A$3:$A$5001,"&lt;="&amp;$D$7),"—"))</f>
        <v/>
      </c>
      <c r="L95" s="61" t="str">
        <f>IF(L$89="","",IF(Config!$I$45&lt;&gt;"Não",SUMIFS(BD!$H$3:$H$5001,BD!$B$3:$B$5001,L$89,BD!$A$3:$A$5001,"&gt;="&amp;$C$7,BD!$A$3:$A$5001,"&lt;="&amp;$D$7),"—"))</f>
        <v/>
      </c>
      <c r="M95" s="61" t="str">
        <f>IF(M$89="","",IF(Config!$I$46&lt;&gt;"Não",SUMIFS(BD!$H$3:$H$5001,BD!$B$3:$B$5001,M$89,BD!$A$3:$A$5001,"&gt;="&amp;$C$7,BD!$A$3:$A$5001,"&lt;="&amp;$D$7),"—"))</f>
        <v/>
      </c>
      <c r="N95" s="61" t="str">
        <f>IF(N$89="","",IF(Config!$I$47&lt;&gt;"Não",SUMIFS(BD!$H$3:$H$5001,BD!$B$3:$B$5001,N$89,BD!$A$3:$A$5001,"&gt;="&amp;$C$7,BD!$A$3:$A$5001,"&lt;="&amp;$D$7),"—"))</f>
        <v/>
      </c>
      <c r="O95" s="61" t="str">
        <f>IF(O$89="","",IF(Config!$I$48&lt;&gt;"Não",SUMIFS(BD!$H$3:$H$5001,BD!$B$3:$B$5001,O$89,BD!$A$3:$A$5001,"&gt;="&amp;$C$7,BD!$A$3:$A$5001,"&lt;="&amp;$D$7),"—"))</f>
        <v/>
      </c>
      <c r="P95" s="61" t="str">
        <f>IF(P$89="","",IF(Config!$I$49&lt;&gt;"Não",SUMIFS(BD!$H$3:$H$5001,BD!$B$3:$B$5001,P$89,BD!$A$3:$A$5001,"&gt;="&amp;$C$7,BD!$A$3:$A$5001,"&lt;="&amp;$D$7),"—"))</f>
        <v/>
      </c>
      <c r="Q95" s="61" t="str">
        <f>IF(Q$89="","",IF(Config!$I$50&lt;&gt;"Não",SUMIFS(BD!$H$3:$H$5001,BD!$B$3:$B$5001,Q$89,BD!$A$3:$A$5001,"&gt;="&amp;$C$7,BD!$A$3:$A$5001,"&lt;="&amp;$D$7),"—"))</f>
        <v/>
      </c>
      <c r="R95" s="61" t="str">
        <f>IF(R$89="","",IF(Config!$I$51&lt;&gt;"Não",SUMIFS(BD!$H$3:$H$5001,BD!$B$3:$B$5001,R$89,BD!$A$3:$A$5001,"&gt;="&amp;$C$7,BD!$A$3:$A$5001,"&lt;="&amp;$D$7),"—"))</f>
        <v/>
      </c>
      <c r="S95" s="61" t="str">
        <f>IF(S$89="","",IF(Config!$I$52&lt;&gt;"Não",SUMIFS(BD!$H$3:$H$5001,BD!$B$3:$B$5001,S$89,BD!$A$3:$A$5001,"&gt;="&amp;$C$7,BD!$A$3:$A$5001,"&lt;="&amp;$D$7),"—"))</f>
        <v/>
      </c>
      <c r="T95" s="61" t="str">
        <f>IF(T$89="","",IF(Config!$I$53&lt;&gt;"Não",SUMIFS(BD!$H$3:$H$5001,BD!$B$3:$B$5001,T$89,BD!$A$3:$A$5001,"&gt;="&amp;$C$7,BD!$A$3:$A$5001,"&lt;="&amp;$D$7),"—"))</f>
        <v/>
      </c>
      <c r="U95" s="61" t="str">
        <f>IF(U$89="","",IF(Config!$I$54&lt;&gt;"Não",SUMIFS(BD!$H$3:$H$5001,BD!$B$3:$B$5001,U$89,BD!$A$3:$A$5001,"&gt;="&amp;$C$7,BD!$A$3:$A$5001,"&lt;="&amp;$D$7),"—"))</f>
        <v/>
      </c>
      <c r="V95" s="63">
        <f>SUM(B95:U95)</f>
        <v>0</v>
      </c>
    </row>
    <row r="96">
      <c r="A96" s="29" t="inlineStr">
        <is>
          <t xml:space="preserve">NC · Incidentes</t>
        </is>
      </c>
      <c r="B96" s="32">
        <f>IF(B$89="","",IF(Config!$J$35&lt;&gt;"Não",SUMIFS(BD!$I$3:$I$5001,BD!$B$3:$B$5001,B$89,BD!$A$3:$A$5001,"&gt;="&amp;$C$7,BD!$A$3:$A$5001,"&lt;="&amp;$D$7),"—"))</f>
        <v>0</v>
      </c>
      <c r="C96" s="32">
        <f>IF(C$89="","",IF(Config!$J$36&lt;&gt;"Não",SUMIFS(BD!$I$3:$I$5001,BD!$B$3:$B$5001,C$89,BD!$A$3:$A$5001,"&gt;="&amp;$C$7,BD!$A$3:$A$5001,"&lt;="&amp;$D$7),"—"))</f>
        <v>0</v>
      </c>
      <c r="D96" s="32">
        <f>IF(D$89="","",IF(Config!$J$37&lt;&gt;"Não",SUMIFS(BD!$I$3:$I$5001,BD!$B$3:$B$5001,D$89,BD!$A$3:$A$5001,"&gt;="&amp;$C$7,BD!$A$3:$A$5001,"&lt;="&amp;$D$7),"—"))</f>
        <v>0</v>
      </c>
      <c r="E96" s="32">
        <f>IF(E$89="","",IF(Config!$J$38&lt;&gt;"Não",SUMIFS(BD!$I$3:$I$5001,BD!$B$3:$B$5001,E$89,BD!$A$3:$A$5001,"&gt;="&amp;$C$7,BD!$A$3:$A$5001,"&lt;="&amp;$D$7),"—"))</f>
        <v>0</v>
      </c>
      <c r="F96" s="32">
        <f>IF(F$89="","",IF(Config!$J$39&lt;&gt;"Não",SUMIFS(BD!$I$3:$I$5001,BD!$B$3:$B$5001,F$89,BD!$A$3:$A$5001,"&gt;="&amp;$C$7,BD!$A$3:$A$5001,"&lt;="&amp;$D$7),"—"))</f>
        <v>0</v>
      </c>
      <c r="G96" s="32" t="str">
        <f>IF(G$89="","",IF(Config!$J$40&lt;&gt;"Não",SUMIFS(BD!$I$3:$I$5001,BD!$B$3:$B$5001,G$89,BD!$A$3:$A$5001,"&gt;="&amp;$C$7,BD!$A$3:$A$5001,"&lt;="&amp;$D$7),"—"))</f>
        <v/>
      </c>
      <c r="H96" s="32" t="str">
        <f>IF(H$89="","",IF(Config!$J$41&lt;&gt;"Não",SUMIFS(BD!$I$3:$I$5001,BD!$B$3:$B$5001,H$89,BD!$A$3:$A$5001,"&gt;="&amp;$C$7,BD!$A$3:$A$5001,"&lt;="&amp;$D$7),"—"))</f>
        <v/>
      </c>
      <c r="I96" s="32" t="str">
        <f>IF(I$89="","",IF(Config!$J$42&lt;&gt;"Não",SUMIFS(BD!$I$3:$I$5001,BD!$B$3:$B$5001,I$89,BD!$A$3:$A$5001,"&gt;="&amp;$C$7,BD!$A$3:$A$5001,"&lt;="&amp;$D$7),"—"))</f>
        <v/>
      </c>
      <c r="J96" s="32" t="str">
        <f>IF(J$89="","",IF(Config!$J$43&lt;&gt;"Não",SUMIFS(BD!$I$3:$I$5001,BD!$B$3:$B$5001,J$89,BD!$A$3:$A$5001,"&gt;="&amp;$C$7,BD!$A$3:$A$5001,"&lt;="&amp;$D$7),"—"))</f>
        <v/>
      </c>
      <c r="K96" s="32" t="str">
        <f>IF(K$89="","",IF(Config!$J$44&lt;&gt;"Não",SUMIFS(BD!$I$3:$I$5001,BD!$B$3:$B$5001,K$89,BD!$A$3:$A$5001,"&gt;="&amp;$C$7,BD!$A$3:$A$5001,"&lt;="&amp;$D$7),"—"))</f>
        <v/>
      </c>
      <c r="L96" s="32" t="str">
        <f>IF(L$89="","",IF(Config!$J$45&lt;&gt;"Não",SUMIFS(BD!$I$3:$I$5001,BD!$B$3:$B$5001,L$89,BD!$A$3:$A$5001,"&gt;="&amp;$C$7,BD!$A$3:$A$5001,"&lt;="&amp;$D$7),"—"))</f>
        <v/>
      </c>
      <c r="M96" s="32" t="str">
        <f>IF(M$89="","",IF(Config!$J$46&lt;&gt;"Não",SUMIFS(BD!$I$3:$I$5001,BD!$B$3:$B$5001,M$89,BD!$A$3:$A$5001,"&gt;="&amp;$C$7,BD!$A$3:$A$5001,"&lt;="&amp;$D$7),"—"))</f>
        <v/>
      </c>
      <c r="N96" s="32" t="str">
        <f>IF(N$89="","",IF(Config!$J$47&lt;&gt;"Não",SUMIFS(BD!$I$3:$I$5001,BD!$B$3:$B$5001,N$89,BD!$A$3:$A$5001,"&gt;="&amp;$C$7,BD!$A$3:$A$5001,"&lt;="&amp;$D$7),"—"))</f>
        <v/>
      </c>
      <c r="O96" s="32" t="str">
        <f>IF(O$89="","",IF(Config!$J$48&lt;&gt;"Não",SUMIFS(BD!$I$3:$I$5001,BD!$B$3:$B$5001,O$89,BD!$A$3:$A$5001,"&gt;="&amp;$C$7,BD!$A$3:$A$5001,"&lt;="&amp;$D$7),"—"))</f>
        <v/>
      </c>
      <c r="P96" s="32" t="str">
        <f>IF(P$89="","",IF(Config!$J$49&lt;&gt;"Não",SUMIFS(BD!$I$3:$I$5001,BD!$B$3:$B$5001,P$89,BD!$A$3:$A$5001,"&gt;="&amp;$C$7,BD!$A$3:$A$5001,"&lt;="&amp;$D$7),"—"))</f>
        <v/>
      </c>
      <c r="Q96" s="32" t="str">
        <f>IF(Q$89="","",IF(Config!$J$50&lt;&gt;"Não",SUMIFS(BD!$I$3:$I$5001,BD!$B$3:$B$5001,Q$89,BD!$A$3:$A$5001,"&gt;="&amp;$C$7,BD!$A$3:$A$5001,"&lt;="&amp;$D$7),"—"))</f>
        <v/>
      </c>
      <c r="R96" s="32" t="str">
        <f>IF(R$89="","",IF(Config!$J$51&lt;&gt;"Não",SUMIFS(BD!$I$3:$I$5001,BD!$B$3:$B$5001,R$89,BD!$A$3:$A$5001,"&gt;="&amp;$C$7,BD!$A$3:$A$5001,"&lt;="&amp;$D$7),"—"))</f>
        <v/>
      </c>
      <c r="S96" s="32" t="str">
        <f>IF(S$89="","",IF(Config!$J$52&lt;&gt;"Não",SUMIFS(BD!$I$3:$I$5001,BD!$B$3:$B$5001,S$89,BD!$A$3:$A$5001,"&gt;="&amp;$C$7,BD!$A$3:$A$5001,"&lt;="&amp;$D$7),"—"))</f>
        <v/>
      </c>
      <c r="T96" s="32" t="str">
        <f>IF(T$89="","",IF(Config!$J$53&lt;&gt;"Não",SUMIFS(BD!$I$3:$I$5001,BD!$B$3:$B$5001,T$89,BD!$A$3:$A$5001,"&gt;="&amp;$C$7,BD!$A$3:$A$5001,"&lt;="&amp;$D$7),"—"))</f>
        <v/>
      </c>
      <c r="U96" s="32" t="str">
        <f>IF(U$89="","",IF(Config!$J$54&lt;&gt;"Não",SUMIFS(BD!$I$3:$I$5001,BD!$B$3:$B$5001,U$89,BD!$A$3:$A$5001,"&gt;="&amp;$C$7,BD!$A$3:$A$5001,"&lt;="&amp;$D$7),"—"))</f>
        <v/>
      </c>
      <c r="V96" s="62">
        <f>SUM(B96:U96)</f>
        <v>0</v>
      </c>
    </row>
    <row r="97">
      <c r="A97" s="29" t="inlineStr">
        <is>
          <t xml:space="preserve">NC · No show</t>
        </is>
      </c>
      <c r="B97" s="32">
        <f>IF(B$89="","",IF(Config!$K$35&lt;&gt;"Não",SUMIFS(BD!$J$3:$J$5001,BD!$B$3:$B$5001,B$89,BD!$A$3:$A$5001,"&gt;="&amp;$C$7,BD!$A$3:$A$5001,"&lt;="&amp;$D$7),"—"))</f>
        <v>0</v>
      </c>
      <c r="C97" s="32">
        <f>IF(C$89="","",IF(Config!$K$36&lt;&gt;"Não",SUMIFS(BD!$J$3:$J$5001,BD!$B$3:$B$5001,C$89,BD!$A$3:$A$5001,"&gt;="&amp;$C$7,BD!$A$3:$A$5001,"&lt;="&amp;$D$7),"—"))</f>
        <v>0</v>
      </c>
      <c r="D97" s="32">
        <f>IF(D$89="","",IF(Config!$K$37&lt;&gt;"Não",SUMIFS(BD!$J$3:$J$5001,BD!$B$3:$B$5001,D$89,BD!$A$3:$A$5001,"&gt;="&amp;$C$7,BD!$A$3:$A$5001,"&lt;="&amp;$D$7),"—"))</f>
        <v>0</v>
      </c>
      <c r="E97" s="32">
        <f>IF(E$89="","",IF(Config!$K$38&lt;&gt;"Não",SUMIFS(BD!$J$3:$J$5001,BD!$B$3:$B$5001,E$89,BD!$A$3:$A$5001,"&gt;="&amp;$C$7,BD!$A$3:$A$5001,"&lt;="&amp;$D$7),"—"))</f>
        <v>0</v>
      </c>
      <c r="F97" s="32">
        <f>IF(F$89="","",IF(Config!$K$39&lt;&gt;"Não",SUMIFS(BD!$J$3:$J$5001,BD!$B$3:$B$5001,F$89,BD!$A$3:$A$5001,"&gt;="&amp;$C$7,BD!$A$3:$A$5001,"&lt;="&amp;$D$7),"—"))</f>
        <v>0</v>
      </c>
      <c r="G97" s="32" t="str">
        <f>IF(G$89="","",IF(Config!$K$40&lt;&gt;"Não",SUMIFS(BD!$J$3:$J$5001,BD!$B$3:$B$5001,G$89,BD!$A$3:$A$5001,"&gt;="&amp;$C$7,BD!$A$3:$A$5001,"&lt;="&amp;$D$7),"—"))</f>
        <v/>
      </c>
      <c r="H97" s="32" t="str">
        <f>IF(H$89="","",IF(Config!$K$41&lt;&gt;"Não",SUMIFS(BD!$J$3:$J$5001,BD!$B$3:$B$5001,H$89,BD!$A$3:$A$5001,"&gt;="&amp;$C$7,BD!$A$3:$A$5001,"&lt;="&amp;$D$7),"—"))</f>
        <v/>
      </c>
      <c r="I97" s="32" t="str">
        <f>IF(I$89="","",IF(Config!$K$42&lt;&gt;"Não",SUMIFS(BD!$J$3:$J$5001,BD!$B$3:$B$5001,I$89,BD!$A$3:$A$5001,"&gt;="&amp;$C$7,BD!$A$3:$A$5001,"&lt;="&amp;$D$7),"—"))</f>
        <v/>
      </c>
      <c r="J97" s="32" t="str">
        <f>IF(J$89="","",IF(Config!$K$43&lt;&gt;"Não",SUMIFS(BD!$J$3:$J$5001,BD!$B$3:$B$5001,J$89,BD!$A$3:$A$5001,"&gt;="&amp;$C$7,BD!$A$3:$A$5001,"&lt;="&amp;$D$7),"—"))</f>
        <v/>
      </c>
      <c r="K97" s="32" t="str">
        <f>IF(K$89="","",IF(Config!$K$44&lt;&gt;"Não",SUMIFS(BD!$J$3:$J$5001,BD!$B$3:$B$5001,K$89,BD!$A$3:$A$5001,"&gt;="&amp;$C$7,BD!$A$3:$A$5001,"&lt;="&amp;$D$7),"—"))</f>
        <v/>
      </c>
      <c r="L97" s="32" t="str">
        <f>IF(L$89="","",IF(Config!$K$45&lt;&gt;"Não",SUMIFS(BD!$J$3:$J$5001,BD!$B$3:$B$5001,L$89,BD!$A$3:$A$5001,"&gt;="&amp;$C$7,BD!$A$3:$A$5001,"&lt;="&amp;$D$7),"—"))</f>
        <v/>
      </c>
      <c r="M97" s="32" t="str">
        <f>IF(M$89="","",IF(Config!$K$46&lt;&gt;"Não",SUMIFS(BD!$J$3:$J$5001,BD!$B$3:$B$5001,M$89,BD!$A$3:$A$5001,"&gt;="&amp;$C$7,BD!$A$3:$A$5001,"&lt;="&amp;$D$7),"—"))</f>
        <v/>
      </c>
      <c r="N97" s="32" t="str">
        <f>IF(N$89="","",IF(Config!$K$47&lt;&gt;"Não",SUMIFS(BD!$J$3:$J$5001,BD!$B$3:$B$5001,N$89,BD!$A$3:$A$5001,"&gt;="&amp;$C$7,BD!$A$3:$A$5001,"&lt;="&amp;$D$7),"—"))</f>
        <v/>
      </c>
      <c r="O97" s="32" t="str">
        <f>IF(O$89="","",IF(Config!$K$48&lt;&gt;"Não",SUMIFS(BD!$J$3:$J$5001,BD!$B$3:$B$5001,O$89,BD!$A$3:$A$5001,"&gt;="&amp;$C$7,BD!$A$3:$A$5001,"&lt;="&amp;$D$7),"—"))</f>
        <v/>
      </c>
      <c r="P97" s="32" t="str">
        <f>IF(P$89="","",IF(Config!$K$49&lt;&gt;"Não",SUMIFS(BD!$J$3:$J$5001,BD!$B$3:$B$5001,P$89,BD!$A$3:$A$5001,"&gt;="&amp;$C$7,BD!$A$3:$A$5001,"&lt;="&amp;$D$7),"—"))</f>
        <v/>
      </c>
      <c r="Q97" s="32" t="str">
        <f>IF(Q$89="","",IF(Config!$K$50&lt;&gt;"Não",SUMIFS(BD!$J$3:$J$5001,BD!$B$3:$B$5001,Q$89,BD!$A$3:$A$5001,"&gt;="&amp;$C$7,BD!$A$3:$A$5001,"&lt;="&amp;$D$7),"—"))</f>
        <v/>
      </c>
      <c r="R97" s="32" t="str">
        <f>IF(R$89="","",IF(Config!$K$51&lt;&gt;"Não",SUMIFS(BD!$J$3:$J$5001,BD!$B$3:$B$5001,R$89,BD!$A$3:$A$5001,"&gt;="&amp;$C$7,BD!$A$3:$A$5001,"&lt;="&amp;$D$7),"—"))</f>
        <v/>
      </c>
      <c r="S97" s="32" t="str">
        <f>IF(S$89="","",IF(Config!$K$52&lt;&gt;"Não",SUMIFS(BD!$J$3:$J$5001,BD!$B$3:$B$5001,S$89,BD!$A$3:$A$5001,"&gt;="&amp;$C$7,BD!$A$3:$A$5001,"&lt;="&amp;$D$7),"—"))</f>
        <v/>
      </c>
      <c r="T97" s="32" t="str">
        <f>IF(T$89="","",IF(Config!$K$53&lt;&gt;"Não",SUMIFS(BD!$J$3:$J$5001,BD!$B$3:$B$5001,T$89,BD!$A$3:$A$5001,"&gt;="&amp;$C$7,BD!$A$3:$A$5001,"&lt;="&amp;$D$7),"—"))</f>
        <v/>
      </c>
      <c r="U97" s="32" t="str">
        <f>IF(U$89="","",IF(Config!$K$54&lt;&gt;"Não",SUMIFS(BD!$J$3:$J$5001,BD!$B$3:$B$5001,U$89,BD!$A$3:$A$5001,"&gt;="&amp;$C$7,BD!$A$3:$A$5001,"&lt;="&amp;$D$7),"—"))</f>
        <v/>
      </c>
      <c r="V97" s="62">
        <f>SUM(B97:U97)</f>
        <v>0</v>
      </c>
    </row>
    <row r="98">
      <c r="A98" s="29" t="inlineStr">
        <is>
          <t xml:space="preserve">NC · Backlog</t>
        </is>
      </c>
      <c r="B98" s="32" t="str">
        <f>IF(B$89="","",IF(Config!$L$35&lt;&gt;"Não",IF(COUNTIFS(BD!$B$3:$B$5001,B$89,BD!$A$3:$A$5001,"&gt;="&amp;$C$7,BD!$A$3:$A$5001,"&lt;="&amp;$D$7,BD!$K$3:$K$5001,"&lt;&gt;")=0,"",SUMIFS(BD!$K$3:$K$5001,BD!$B$3:$B$5001,B$89,BD!$A$3:$A$5001,_xlfn.MAXIFS(BD!$A$3:$A$5001,BD!$B$3:$B$5001,B$89,BD!$A$3:$A$5001,"&gt;="&amp;$C$7,BD!$A$3:$A$5001,"&lt;="&amp;$D$7,BD!$K$3:$K$5001,"&lt;&gt;"))),"—"))</f>
        <v/>
      </c>
      <c r="C98" s="32" t="str">
        <f>IF(C$89="","",IF(Config!$L$36&lt;&gt;"Não",IF(COUNTIFS(BD!$B$3:$B$5001,C$89,BD!$A$3:$A$5001,"&gt;="&amp;$C$7,BD!$A$3:$A$5001,"&lt;="&amp;$D$7,BD!$K$3:$K$5001,"&lt;&gt;")=0,"",SUMIFS(BD!$K$3:$K$5001,BD!$B$3:$B$5001,C$89,BD!$A$3:$A$5001,_xlfn.MAXIFS(BD!$A$3:$A$5001,BD!$B$3:$B$5001,C$89,BD!$A$3:$A$5001,"&gt;="&amp;$C$7,BD!$A$3:$A$5001,"&lt;="&amp;$D$7,BD!$K$3:$K$5001,"&lt;&gt;"))),"—"))</f>
        <v/>
      </c>
      <c r="D98" s="32" t="str">
        <f>IF(D$89="","",IF(Config!$L$37&lt;&gt;"Não",IF(COUNTIFS(BD!$B$3:$B$5001,D$89,BD!$A$3:$A$5001,"&gt;="&amp;$C$7,BD!$A$3:$A$5001,"&lt;="&amp;$D$7,BD!$K$3:$K$5001,"&lt;&gt;")=0,"",SUMIFS(BD!$K$3:$K$5001,BD!$B$3:$B$5001,D$89,BD!$A$3:$A$5001,_xlfn.MAXIFS(BD!$A$3:$A$5001,BD!$B$3:$B$5001,D$89,BD!$A$3:$A$5001,"&gt;="&amp;$C$7,BD!$A$3:$A$5001,"&lt;="&amp;$D$7,BD!$K$3:$K$5001,"&lt;&gt;"))),"—"))</f>
        <v/>
      </c>
      <c r="E98" s="32" t="str">
        <f>IF(E$89="","",IF(Config!$L$38&lt;&gt;"Não",IF(COUNTIFS(BD!$B$3:$B$5001,E$89,BD!$A$3:$A$5001,"&gt;="&amp;$C$7,BD!$A$3:$A$5001,"&lt;="&amp;$D$7,BD!$K$3:$K$5001,"&lt;&gt;")=0,"",SUMIFS(BD!$K$3:$K$5001,BD!$B$3:$B$5001,E$89,BD!$A$3:$A$5001,_xlfn.MAXIFS(BD!$A$3:$A$5001,BD!$B$3:$B$5001,E$89,BD!$A$3:$A$5001,"&gt;="&amp;$C$7,BD!$A$3:$A$5001,"&lt;="&amp;$D$7,BD!$K$3:$K$5001,"&lt;&gt;"))),"—"))</f>
        <v/>
      </c>
      <c r="F98" s="32" t="str">
        <f>IF(F$89="","",IF(Config!$L$39&lt;&gt;"Não",IF(COUNTIFS(BD!$B$3:$B$5001,F$89,BD!$A$3:$A$5001,"&gt;="&amp;$C$7,BD!$A$3:$A$5001,"&lt;="&amp;$D$7,BD!$K$3:$K$5001,"&lt;&gt;")=0,"",SUMIFS(BD!$K$3:$K$5001,BD!$B$3:$B$5001,F$89,BD!$A$3:$A$5001,_xlfn.MAXIFS(BD!$A$3:$A$5001,BD!$B$3:$B$5001,F$89,BD!$A$3:$A$5001,"&gt;="&amp;$C$7,BD!$A$3:$A$5001,"&lt;="&amp;$D$7,BD!$K$3:$K$5001,"&lt;&gt;"))),"—"))</f>
        <v/>
      </c>
      <c r="G98" s="32" t="str">
        <f>IF(G$89="","",IF(Config!$L$40&lt;&gt;"Não",IF(COUNTIFS(BD!$B$3:$B$5001,G$89,BD!$A$3:$A$5001,"&gt;="&amp;$C$7,BD!$A$3:$A$5001,"&lt;="&amp;$D$7,BD!$K$3:$K$5001,"&lt;&gt;")=0,"",SUMIFS(BD!$K$3:$K$5001,BD!$B$3:$B$5001,G$89,BD!$A$3:$A$5001,_xlfn.MAXIFS(BD!$A$3:$A$5001,BD!$B$3:$B$5001,G$89,BD!$A$3:$A$5001,"&gt;="&amp;$C$7,BD!$A$3:$A$5001,"&lt;="&amp;$D$7,BD!$K$3:$K$5001,"&lt;&gt;"))),"—"))</f>
        <v/>
      </c>
      <c r="H98" s="32" t="str">
        <f>IF(H$89="","",IF(Config!$L$41&lt;&gt;"Não",IF(COUNTIFS(BD!$B$3:$B$5001,H$89,BD!$A$3:$A$5001,"&gt;="&amp;$C$7,BD!$A$3:$A$5001,"&lt;="&amp;$D$7,BD!$K$3:$K$5001,"&lt;&gt;")=0,"",SUMIFS(BD!$K$3:$K$5001,BD!$B$3:$B$5001,H$89,BD!$A$3:$A$5001,_xlfn.MAXIFS(BD!$A$3:$A$5001,BD!$B$3:$B$5001,H$89,BD!$A$3:$A$5001,"&gt;="&amp;$C$7,BD!$A$3:$A$5001,"&lt;="&amp;$D$7,BD!$K$3:$K$5001,"&lt;&gt;"))),"—"))</f>
        <v/>
      </c>
      <c r="I98" s="32" t="str">
        <f>IF(I$89="","",IF(Config!$L$42&lt;&gt;"Não",IF(COUNTIFS(BD!$B$3:$B$5001,I$89,BD!$A$3:$A$5001,"&gt;="&amp;$C$7,BD!$A$3:$A$5001,"&lt;="&amp;$D$7,BD!$K$3:$K$5001,"&lt;&gt;")=0,"",SUMIFS(BD!$K$3:$K$5001,BD!$B$3:$B$5001,I$89,BD!$A$3:$A$5001,_xlfn.MAXIFS(BD!$A$3:$A$5001,BD!$B$3:$B$5001,I$89,BD!$A$3:$A$5001,"&gt;="&amp;$C$7,BD!$A$3:$A$5001,"&lt;="&amp;$D$7,BD!$K$3:$K$5001,"&lt;&gt;"))),"—"))</f>
        <v/>
      </c>
      <c r="J98" s="32" t="str">
        <f>IF(J$89="","",IF(Config!$L$43&lt;&gt;"Não",IF(COUNTIFS(BD!$B$3:$B$5001,J$89,BD!$A$3:$A$5001,"&gt;="&amp;$C$7,BD!$A$3:$A$5001,"&lt;="&amp;$D$7,BD!$K$3:$K$5001,"&lt;&gt;")=0,"",SUMIFS(BD!$K$3:$K$5001,BD!$B$3:$B$5001,J$89,BD!$A$3:$A$5001,_xlfn.MAXIFS(BD!$A$3:$A$5001,BD!$B$3:$B$5001,J$89,BD!$A$3:$A$5001,"&gt;="&amp;$C$7,BD!$A$3:$A$5001,"&lt;="&amp;$D$7,BD!$K$3:$K$5001,"&lt;&gt;"))),"—"))</f>
        <v/>
      </c>
      <c r="K98" s="32" t="str">
        <f>IF(K$89="","",IF(Config!$L$44&lt;&gt;"Não",IF(COUNTIFS(BD!$B$3:$B$5001,K$89,BD!$A$3:$A$5001,"&gt;="&amp;$C$7,BD!$A$3:$A$5001,"&lt;="&amp;$D$7,BD!$K$3:$K$5001,"&lt;&gt;")=0,"",SUMIFS(BD!$K$3:$K$5001,BD!$B$3:$B$5001,K$89,BD!$A$3:$A$5001,_xlfn.MAXIFS(BD!$A$3:$A$5001,BD!$B$3:$B$5001,K$89,BD!$A$3:$A$5001,"&gt;="&amp;$C$7,BD!$A$3:$A$5001,"&lt;="&amp;$D$7,BD!$K$3:$K$5001,"&lt;&gt;"))),"—"))</f>
        <v/>
      </c>
      <c r="L98" s="32" t="str">
        <f>IF(L$89="","",IF(Config!$L$45&lt;&gt;"Não",IF(COUNTIFS(BD!$B$3:$B$5001,L$89,BD!$A$3:$A$5001,"&gt;="&amp;$C$7,BD!$A$3:$A$5001,"&lt;="&amp;$D$7,BD!$K$3:$K$5001,"&lt;&gt;")=0,"",SUMIFS(BD!$K$3:$K$5001,BD!$B$3:$B$5001,L$89,BD!$A$3:$A$5001,_xlfn.MAXIFS(BD!$A$3:$A$5001,BD!$B$3:$B$5001,L$89,BD!$A$3:$A$5001,"&gt;="&amp;$C$7,BD!$A$3:$A$5001,"&lt;="&amp;$D$7,BD!$K$3:$K$5001,"&lt;&gt;"))),"—"))</f>
        <v/>
      </c>
      <c r="M98" s="32" t="str">
        <f>IF(M$89="","",IF(Config!$L$46&lt;&gt;"Não",IF(COUNTIFS(BD!$B$3:$B$5001,M$89,BD!$A$3:$A$5001,"&gt;="&amp;$C$7,BD!$A$3:$A$5001,"&lt;="&amp;$D$7,BD!$K$3:$K$5001,"&lt;&gt;")=0,"",SUMIFS(BD!$K$3:$K$5001,BD!$B$3:$B$5001,M$89,BD!$A$3:$A$5001,_xlfn.MAXIFS(BD!$A$3:$A$5001,BD!$B$3:$B$5001,M$89,BD!$A$3:$A$5001,"&gt;="&amp;$C$7,BD!$A$3:$A$5001,"&lt;="&amp;$D$7,BD!$K$3:$K$5001,"&lt;&gt;"))),"—"))</f>
        <v/>
      </c>
      <c r="N98" s="32" t="str">
        <f>IF(N$89="","",IF(Config!$L$47&lt;&gt;"Não",IF(COUNTIFS(BD!$B$3:$B$5001,N$89,BD!$A$3:$A$5001,"&gt;="&amp;$C$7,BD!$A$3:$A$5001,"&lt;="&amp;$D$7,BD!$K$3:$K$5001,"&lt;&gt;")=0,"",SUMIFS(BD!$K$3:$K$5001,BD!$B$3:$B$5001,N$89,BD!$A$3:$A$5001,_xlfn.MAXIFS(BD!$A$3:$A$5001,BD!$B$3:$B$5001,N$89,BD!$A$3:$A$5001,"&gt;="&amp;$C$7,BD!$A$3:$A$5001,"&lt;="&amp;$D$7,BD!$K$3:$K$5001,"&lt;&gt;"))),"—"))</f>
        <v/>
      </c>
      <c r="O98" s="32" t="str">
        <f>IF(O$89="","",IF(Config!$L$48&lt;&gt;"Não",IF(COUNTIFS(BD!$B$3:$B$5001,O$89,BD!$A$3:$A$5001,"&gt;="&amp;$C$7,BD!$A$3:$A$5001,"&lt;="&amp;$D$7,BD!$K$3:$K$5001,"&lt;&gt;")=0,"",SUMIFS(BD!$K$3:$K$5001,BD!$B$3:$B$5001,O$89,BD!$A$3:$A$5001,_xlfn.MAXIFS(BD!$A$3:$A$5001,BD!$B$3:$B$5001,O$89,BD!$A$3:$A$5001,"&gt;="&amp;$C$7,BD!$A$3:$A$5001,"&lt;="&amp;$D$7,BD!$K$3:$K$5001,"&lt;&gt;"))),"—"))</f>
        <v/>
      </c>
      <c r="P98" s="32" t="str">
        <f>IF(P$89="","",IF(Config!$L$49&lt;&gt;"Não",IF(COUNTIFS(BD!$B$3:$B$5001,P$89,BD!$A$3:$A$5001,"&gt;="&amp;$C$7,BD!$A$3:$A$5001,"&lt;="&amp;$D$7,BD!$K$3:$K$5001,"&lt;&gt;")=0,"",SUMIFS(BD!$K$3:$K$5001,BD!$B$3:$B$5001,P$89,BD!$A$3:$A$5001,_xlfn.MAXIFS(BD!$A$3:$A$5001,BD!$B$3:$B$5001,P$89,BD!$A$3:$A$5001,"&gt;="&amp;$C$7,BD!$A$3:$A$5001,"&lt;="&amp;$D$7,BD!$K$3:$K$5001,"&lt;&gt;"))),"—"))</f>
        <v/>
      </c>
      <c r="Q98" s="32" t="str">
        <f>IF(Q$89="","",IF(Config!$L$50&lt;&gt;"Não",IF(COUNTIFS(BD!$B$3:$B$5001,Q$89,BD!$A$3:$A$5001,"&gt;="&amp;$C$7,BD!$A$3:$A$5001,"&lt;="&amp;$D$7,BD!$K$3:$K$5001,"&lt;&gt;")=0,"",SUMIFS(BD!$K$3:$K$5001,BD!$B$3:$B$5001,Q$89,BD!$A$3:$A$5001,_xlfn.MAXIFS(BD!$A$3:$A$5001,BD!$B$3:$B$5001,Q$89,BD!$A$3:$A$5001,"&gt;="&amp;$C$7,BD!$A$3:$A$5001,"&lt;="&amp;$D$7,BD!$K$3:$K$5001,"&lt;&gt;"))),"—"))</f>
        <v/>
      </c>
      <c r="R98" s="32" t="str">
        <f>IF(R$89="","",IF(Config!$L$51&lt;&gt;"Não",IF(COUNTIFS(BD!$B$3:$B$5001,R$89,BD!$A$3:$A$5001,"&gt;="&amp;$C$7,BD!$A$3:$A$5001,"&lt;="&amp;$D$7,BD!$K$3:$K$5001,"&lt;&gt;")=0,"",SUMIFS(BD!$K$3:$K$5001,BD!$B$3:$B$5001,R$89,BD!$A$3:$A$5001,_xlfn.MAXIFS(BD!$A$3:$A$5001,BD!$B$3:$B$5001,R$89,BD!$A$3:$A$5001,"&gt;="&amp;$C$7,BD!$A$3:$A$5001,"&lt;="&amp;$D$7,BD!$K$3:$K$5001,"&lt;&gt;"))),"—"))</f>
        <v/>
      </c>
      <c r="S98" s="32" t="str">
        <f>IF(S$89="","",IF(Config!$L$52&lt;&gt;"Não",IF(COUNTIFS(BD!$B$3:$B$5001,S$89,BD!$A$3:$A$5001,"&gt;="&amp;$C$7,BD!$A$3:$A$5001,"&lt;="&amp;$D$7,BD!$K$3:$K$5001,"&lt;&gt;")=0,"",SUMIFS(BD!$K$3:$K$5001,BD!$B$3:$B$5001,S$89,BD!$A$3:$A$5001,_xlfn.MAXIFS(BD!$A$3:$A$5001,BD!$B$3:$B$5001,S$89,BD!$A$3:$A$5001,"&gt;="&amp;$C$7,BD!$A$3:$A$5001,"&lt;="&amp;$D$7,BD!$K$3:$K$5001,"&lt;&gt;"))),"—"))</f>
        <v/>
      </c>
      <c r="T98" s="32" t="str">
        <f>IF(T$89="","",IF(Config!$L$53&lt;&gt;"Não",IF(COUNTIFS(BD!$B$3:$B$5001,T$89,BD!$A$3:$A$5001,"&gt;="&amp;$C$7,BD!$A$3:$A$5001,"&lt;="&amp;$D$7,BD!$K$3:$K$5001,"&lt;&gt;")=0,"",SUMIFS(BD!$K$3:$K$5001,BD!$B$3:$B$5001,T$89,BD!$A$3:$A$5001,_xlfn.MAXIFS(BD!$A$3:$A$5001,BD!$B$3:$B$5001,T$89,BD!$A$3:$A$5001,"&gt;="&amp;$C$7,BD!$A$3:$A$5001,"&lt;="&amp;$D$7,BD!$K$3:$K$5001,"&lt;&gt;"))),"—"))</f>
        <v/>
      </c>
      <c r="U98" s="32" t="str">
        <f>IF(U$89="","",IF(Config!$L$54&lt;&gt;"Não",IF(COUNTIFS(BD!$B$3:$B$5001,U$89,BD!$A$3:$A$5001,"&gt;="&amp;$C$7,BD!$A$3:$A$5001,"&lt;="&amp;$D$7,BD!$K$3:$K$5001,"&lt;&gt;")=0,"",SUMIFS(BD!$K$3:$K$5001,BD!$B$3:$B$5001,U$89,BD!$A$3:$A$5001,_xlfn.MAXIFS(BD!$A$3:$A$5001,BD!$B$3:$B$5001,U$89,BD!$A$3:$A$5001,"&gt;="&amp;$C$7,BD!$A$3:$A$5001,"&lt;="&amp;$D$7,BD!$K$3:$K$5001,"&lt;&gt;"))),"—"))</f>
        <v/>
      </c>
      <c r="V98" s="62">
        <f>SUM(B98:U98)</f>
        <v>0</v>
      </c>
    </row>
    <row r="99">
      <c r="A99" s="29" t="inlineStr">
        <is>
          <t xml:space="preserve">OCUPAÇÃO (P.P) · Posições Disponíveis</t>
        </is>
      </c>
      <c r="B99" s="32" t="str">
        <f>IF(B$89="","",IF(Config!$M$35&lt;&gt;"Não",IF(N(IF(COUNTIFS(BD!$B$3:$B$5001,B$89,BD!$A$3:$A$5001,"&gt;="&amp;$C$7,BD!$A$3:$A$5001,"&lt;="&amp;$D$7,BD!$M$3:$M$5001,"&lt;&gt;")=0,"",SUMIFS(BD!$L$3:$L$5001,BD!$B$3:$B$5001,B$89,BD!$A$3:$A$5001,_xlfn.MAXIFS(BD!$A$3:$A$5001,BD!$B$3:$B$5001,B$89,BD!$A$3:$A$5001,"&gt;="&amp;$C$7,BD!$A$3:$A$5001,"&lt;="&amp;$D$7,BD!$M$3:$M$5001,"&lt;&gt;"))))=0,"",IF(COUNTIFS(BD!$B$3:$B$5001,B$89,BD!$A$3:$A$5001,"&gt;="&amp;$C$7,BD!$A$3:$A$5001,"&lt;="&amp;$D$7,BD!$M$3:$M$5001,"&lt;&gt;")=0,"",SUMIFS(BD!$L$3:$L$5001,BD!$B$3:$B$5001,B$89,BD!$A$3:$A$5001,_xlfn.MAXIFS(BD!$A$3:$A$5001,BD!$B$3:$B$5001,B$89,BD!$A$3:$A$5001,"&gt;="&amp;$C$7,BD!$A$3:$A$5001,"&lt;="&amp;$D$7,BD!$M$3:$M$5001,"&lt;&gt;")))),"—"))</f>
        <v/>
      </c>
      <c r="C99" s="32" t="str">
        <f>IF(C$89="","",IF(Config!$M$36&lt;&gt;"Não",IF(N(IF(COUNTIFS(BD!$B$3:$B$5001,C$89,BD!$A$3:$A$5001,"&gt;="&amp;$C$7,BD!$A$3:$A$5001,"&lt;="&amp;$D$7,BD!$M$3:$M$5001,"&lt;&gt;")=0,"",SUMIFS(BD!$L$3:$L$5001,BD!$B$3:$B$5001,C$89,BD!$A$3:$A$5001,_xlfn.MAXIFS(BD!$A$3:$A$5001,BD!$B$3:$B$5001,C$89,BD!$A$3:$A$5001,"&gt;="&amp;$C$7,BD!$A$3:$A$5001,"&lt;="&amp;$D$7,BD!$M$3:$M$5001,"&lt;&gt;"))))=0,"",IF(COUNTIFS(BD!$B$3:$B$5001,C$89,BD!$A$3:$A$5001,"&gt;="&amp;$C$7,BD!$A$3:$A$5001,"&lt;="&amp;$D$7,BD!$M$3:$M$5001,"&lt;&gt;")=0,"",SUMIFS(BD!$L$3:$L$5001,BD!$B$3:$B$5001,C$89,BD!$A$3:$A$5001,_xlfn.MAXIFS(BD!$A$3:$A$5001,BD!$B$3:$B$5001,C$89,BD!$A$3:$A$5001,"&gt;="&amp;$C$7,BD!$A$3:$A$5001,"&lt;="&amp;$D$7,BD!$M$3:$M$5001,"&lt;&gt;")))),"—"))</f>
        <v>—</v>
      </c>
      <c r="D99" s="32" t="str">
        <f>IF(D$89="","",IF(Config!$M$37&lt;&gt;"Não",IF(N(IF(COUNTIFS(BD!$B$3:$B$5001,D$89,BD!$A$3:$A$5001,"&gt;="&amp;$C$7,BD!$A$3:$A$5001,"&lt;="&amp;$D$7,BD!$M$3:$M$5001,"&lt;&gt;")=0,"",SUMIFS(BD!$L$3:$L$5001,BD!$B$3:$B$5001,D$89,BD!$A$3:$A$5001,_xlfn.MAXIFS(BD!$A$3:$A$5001,BD!$B$3:$B$5001,D$89,BD!$A$3:$A$5001,"&gt;="&amp;$C$7,BD!$A$3:$A$5001,"&lt;="&amp;$D$7,BD!$M$3:$M$5001,"&lt;&gt;"))))=0,"",IF(COUNTIFS(BD!$B$3:$B$5001,D$89,BD!$A$3:$A$5001,"&gt;="&amp;$C$7,BD!$A$3:$A$5001,"&lt;="&amp;$D$7,BD!$M$3:$M$5001,"&lt;&gt;")=0,"",SUMIFS(BD!$L$3:$L$5001,BD!$B$3:$B$5001,D$89,BD!$A$3:$A$5001,_xlfn.MAXIFS(BD!$A$3:$A$5001,BD!$B$3:$B$5001,D$89,BD!$A$3:$A$5001,"&gt;="&amp;$C$7,BD!$A$3:$A$5001,"&lt;="&amp;$D$7,BD!$M$3:$M$5001,"&lt;&gt;")))),"—"))</f>
        <v>—</v>
      </c>
      <c r="E99" s="32" t="str">
        <f>IF(E$89="","",IF(Config!$M$38&lt;&gt;"Não",IF(N(IF(COUNTIFS(BD!$B$3:$B$5001,E$89,BD!$A$3:$A$5001,"&gt;="&amp;$C$7,BD!$A$3:$A$5001,"&lt;="&amp;$D$7,BD!$M$3:$M$5001,"&lt;&gt;")=0,"",SUMIFS(BD!$L$3:$L$5001,BD!$B$3:$B$5001,E$89,BD!$A$3:$A$5001,_xlfn.MAXIFS(BD!$A$3:$A$5001,BD!$B$3:$B$5001,E$89,BD!$A$3:$A$5001,"&gt;="&amp;$C$7,BD!$A$3:$A$5001,"&lt;="&amp;$D$7,BD!$M$3:$M$5001,"&lt;&gt;"))))=0,"",IF(COUNTIFS(BD!$B$3:$B$5001,E$89,BD!$A$3:$A$5001,"&gt;="&amp;$C$7,BD!$A$3:$A$5001,"&lt;="&amp;$D$7,BD!$M$3:$M$5001,"&lt;&gt;")=0,"",SUMIFS(BD!$L$3:$L$5001,BD!$B$3:$B$5001,E$89,BD!$A$3:$A$5001,_xlfn.MAXIFS(BD!$A$3:$A$5001,BD!$B$3:$B$5001,E$89,BD!$A$3:$A$5001,"&gt;="&amp;$C$7,BD!$A$3:$A$5001,"&lt;="&amp;$D$7,BD!$M$3:$M$5001,"&lt;&gt;")))),"—"))</f>
        <v>—</v>
      </c>
      <c r="F99" s="32" t="str">
        <f>IF(F$89="","",IF(Config!$M$39&lt;&gt;"Não",IF(N(IF(COUNTIFS(BD!$B$3:$B$5001,F$89,BD!$A$3:$A$5001,"&gt;="&amp;$C$7,BD!$A$3:$A$5001,"&lt;="&amp;$D$7,BD!$M$3:$M$5001,"&lt;&gt;")=0,"",SUMIFS(BD!$L$3:$L$5001,BD!$B$3:$B$5001,F$89,BD!$A$3:$A$5001,_xlfn.MAXIFS(BD!$A$3:$A$5001,BD!$B$3:$B$5001,F$89,BD!$A$3:$A$5001,"&gt;="&amp;$C$7,BD!$A$3:$A$5001,"&lt;="&amp;$D$7,BD!$M$3:$M$5001,"&lt;&gt;"))))=0,"",IF(COUNTIFS(BD!$B$3:$B$5001,F$89,BD!$A$3:$A$5001,"&gt;="&amp;$C$7,BD!$A$3:$A$5001,"&lt;="&amp;$D$7,BD!$M$3:$M$5001,"&lt;&gt;")=0,"",SUMIFS(BD!$L$3:$L$5001,BD!$B$3:$B$5001,F$89,BD!$A$3:$A$5001,_xlfn.MAXIFS(BD!$A$3:$A$5001,BD!$B$3:$B$5001,F$89,BD!$A$3:$A$5001,"&gt;="&amp;$C$7,BD!$A$3:$A$5001,"&lt;="&amp;$D$7,BD!$M$3:$M$5001,"&lt;&gt;")))),"—"))</f>
        <v/>
      </c>
      <c r="G99" s="32" t="str">
        <f>IF(G$89="","",IF(Config!$M$40&lt;&gt;"Não",IF(N(IF(COUNTIFS(BD!$B$3:$B$5001,G$89,BD!$A$3:$A$5001,"&gt;="&amp;$C$7,BD!$A$3:$A$5001,"&lt;="&amp;$D$7,BD!$M$3:$M$5001,"&lt;&gt;")=0,"",SUMIFS(BD!$L$3:$L$5001,BD!$B$3:$B$5001,G$89,BD!$A$3:$A$5001,_xlfn.MAXIFS(BD!$A$3:$A$5001,BD!$B$3:$B$5001,G$89,BD!$A$3:$A$5001,"&gt;="&amp;$C$7,BD!$A$3:$A$5001,"&lt;="&amp;$D$7,BD!$M$3:$M$5001,"&lt;&gt;"))))=0,"",IF(COUNTIFS(BD!$B$3:$B$5001,G$89,BD!$A$3:$A$5001,"&gt;="&amp;$C$7,BD!$A$3:$A$5001,"&lt;="&amp;$D$7,BD!$M$3:$M$5001,"&lt;&gt;")=0,"",SUMIFS(BD!$L$3:$L$5001,BD!$B$3:$B$5001,G$89,BD!$A$3:$A$5001,_xlfn.MAXIFS(BD!$A$3:$A$5001,BD!$B$3:$B$5001,G$89,BD!$A$3:$A$5001,"&gt;="&amp;$C$7,BD!$A$3:$A$5001,"&lt;="&amp;$D$7,BD!$M$3:$M$5001,"&lt;&gt;")))),"—"))</f>
        <v/>
      </c>
      <c r="H99" s="32" t="str">
        <f>IF(H$89="","",IF(Config!$M$41&lt;&gt;"Não",IF(N(IF(COUNTIFS(BD!$B$3:$B$5001,H$89,BD!$A$3:$A$5001,"&gt;="&amp;$C$7,BD!$A$3:$A$5001,"&lt;="&amp;$D$7,BD!$M$3:$M$5001,"&lt;&gt;")=0,"",SUMIFS(BD!$L$3:$L$5001,BD!$B$3:$B$5001,H$89,BD!$A$3:$A$5001,_xlfn.MAXIFS(BD!$A$3:$A$5001,BD!$B$3:$B$5001,H$89,BD!$A$3:$A$5001,"&gt;="&amp;$C$7,BD!$A$3:$A$5001,"&lt;="&amp;$D$7,BD!$M$3:$M$5001,"&lt;&gt;"))))=0,"",IF(COUNTIFS(BD!$B$3:$B$5001,H$89,BD!$A$3:$A$5001,"&gt;="&amp;$C$7,BD!$A$3:$A$5001,"&lt;="&amp;$D$7,BD!$M$3:$M$5001,"&lt;&gt;")=0,"",SUMIFS(BD!$L$3:$L$5001,BD!$B$3:$B$5001,H$89,BD!$A$3:$A$5001,_xlfn.MAXIFS(BD!$A$3:$A$5001,BD!$B$3:$B$5001,H$89,BD!$A$3:$A$5001,"&gt;="&amp;$C$7,BD!$A$3:$A$5001,"&lt;="&amp;$D$7,BD!$M$3:$M$5001,"&lt;&gt;")))),"—"))</f>
        <v/>
      </c>
      <c r="I99" s="32" t="str">
        <f>IF(I$89="","",IF(Config!$M$42&lt;&gt;"Não",IF(N(IF(COUNTIFS(BD!$B$3:$B$5001,I$89,BD!$A$3:$A$5001,"&gt;="&amp;$C$7,BD!$A$3:$A$5001,"&lt;="&amp;$D$7,BD!$M$3:$M$5001,"&lt;&gt;")=0,"",SUMIFS(BD!$L$3:$L$5001,BD!$B$3:$B$5001,I$89,BD!$A$3:$A$5001,_xlfn.MAXIFS(BD!$A$3:$A$5001,BD!$B$3:$B$5001,I$89,BD!$A$3:$A$5001,"&gt;="&amp;$C$7,BD!$A$3:$A$5001,"&lt;="&amp;$D$7,BD!$M$3:$M$5001,"&lt;&gt;"))))=0,"",IF(COUNTIFS(BD!$B$3:$B$5001,I$89,BD!$A$3:$A$5001,"&gt;="&amp;$C$7,BD!$A$3:$A$5001,"&lt;="&amp;$D$7,BD!$M$3:$M$5001,"&lt;&gt;")=0,"",SUMIFS(BD!$L$3:$L$5001,BD!$B$3:$B$5001,I$89,BD!$A$3:$A$5001,_xlfn.MAXIFS(BD!$A$3:$A$5001,BD!$B$3:$B$5001,I$89,BD!$A$3:$A$5001,"&gt;="&amp;$C$7,BD!$A$3:$A$5001,"&lt;="&amp;$D$7,BD!$M$3:$M$5001,"&lt;&gt;")))),"—"))</f>
        <v/>
      </c>
      <c r="J99" s="32" t="str">
        <f>IF(J$89="","",IF(Config!$M$43&lt;&gt;"Não",IF(N(IF(COUNTIFS(BD!$B$3:$B$5001,J$89,BD!$A$3:$A$5001,"&gt;="&amp;$C$7,BD!$A$3:$A$5001,"&lt;="&amp;$D$7,BD!$M$3:$M$5001,"&lt;&gt;")=0,"",SUMIFS(BD!$L$3:$L$5001,BD!$B$3:$B$5001,J$89,BD!$A$3:$A$5001,_xlfn.MAXIFS(BD!$A$3:$A$5001,BD!$B$3:$B$5001,J$89,BD!$A$3:$A$5001,"&gt;="&amp;$C$7,BD!$A$3:$A$5001,"&lt;="&amp;$D$7,BD!$M$3:$M$5001,"&lt;&gt;"))))=0,"",IF(COUNTIFS(BD!$B$3:$B$5001,J$89,BD!$A$3:$A$5001,"&gt;="&amp;$C$7,BD!$A$3:$A$5001,"&lt;="&amp;$D$7,BD!$M$3:$M$5001,"&lt;&gt;")=0,"",SUMIFS(BD!$L$3:$L$5001,BD!$B$3:$B$5001,J$89,BD!$A$3:$A$5001,_xlfn.MAXIFS(BD!$A$3:$A$5001,BD!$B$3:$B$5001,J$89,BD!$A$3:$A$5001,"&gt;="&amp;$C$7,BD!$A$3:$A$5001,"&lt;="&amp;$D$7,BD!$M$3:$M$5001,"&lt;&gt;")))),"—"))</f>
        <v/>
      </c>
      <c r="K99" s="32" t="str">
        <f>IF(K$89="","",IF(Config!$M$44&lt;&gt;"Não",IF(N(IF(COUNTIFS(BD!$B$3:$B$5001,K$89,BD!$A$3:$A$5001,"&gt;="&amp;$C$7,BD!$A$3:$A$5001,"&lt;="&amp;$D$7,BD!$M$3:$M$5001,"&lt;&gt;")=0,"",SUMIFS(BD!$L$3:$L$5001,BD!$B$3:$B$5001,K$89,BD!$A$3:$A$5001,_xlfn.MAXIFS(BD!$A$3:$A$5001,BD!$B$3:$B$5001,K$89,BD!$A$3:$A$5001,"&gt;="&amp;$C$7,BD!$A$3:$A$5001,"&lt;="&amp;$D$7,BD!$M$3:$M$5001,"&lt;&gt;"))))=0,"",IF(COUNTIFS(BD!$B$3:$B$5001,K$89,BD!$A$3:$A$5001,"&gt;="&amp;$C$7,BD!$A$3:$A$5001,"&lt;="&amp;$D$7,BD!$M$3:$M$5001,"&lt;&gt;")=0,"",SUMIFS(BD!$L$3:$L$5001,BD!$B$3:$B$5001,K$89,BD!$A$3:$A$5001,_xlfn.MAXIFS(BD!$A$3:$A$5001,BD!$B$3:$B$5001,K$89,BD!$A$3:$A$5001,"&gt;="&amp;$C$7,BD!$A$3:$A$5001,"&lt;="&amp;$D$7,BD!$M$3:$M$5001,"&lt;&gt;")))),"—"))</f>
        <v/>
      </c>
      <c r="L99" s="32" t="str">
        <f>IF(L$89="","",IF(Config!$M$45&lt;&gt;"Não",IF(N(IF(COUNTIFS(BD!$B$3:$B$5001,L$89,BD!$A$3:$A$5001,"&gt;="&amp;$C$7,BD!$A$3:$A$5001,"&lt;="&amp;$D$7,BD!$M$3:$M$5001,"&lt;&gt;")=0,"",SUMIFS(BD!$L$3:$L$5001,BD!$B$3:$B$5001,L$89,BD!$A$3:$A$5001,_xlfn.MAXIFS(BD!$A$3:$A$5001,BD!$B$3:$B$5001,L$89,BD!$A$3:$A$5001,"&gt;="&amp;$C$7,BD!$A$3:$A$5001,"&lt;="&amp;$D$7,BD!$M$3:$M$5001,"&lt;&gt;"))))=0,"",IF(COUNTIFS(BD!$B$3:$B$5001,L$89,BD!$A$3:$A$5001,"&gt;="&amp;$C$7,BD!$A$3:$A$5001,"&lt;="&amp;$D$7,BD!$M$3:$M$5001,"&lt;&gt;")=0,"",SUMIFS(BD!$L$3:$L$5001,BD!$B$3:$B$5001,L$89,BD!$A$3:$A$5001,_xlfn.MAXIFS(BD!$A$3:$A$5001,BD!$B$3:$B$5001,L$89,BD!$A$3:$A$5001,"&gt;="&amp;$C$7,BD!$A$3:$A$5001,"&lt;="&amp;$D$7,BD!$M$3:$M$5001,"&lt;&gt;")))),"—"))</f>
        <v/>
      </c>
      <c r="M99" s="32" t="str">
        <f>IF(M$89="","",IF(Config!$M$46&lt;&gt;"Não",IF(N(IF(COUNTIFS(BD!$B$3:$B$5001,M$89,BD!$A$3:$A$5001,"&gt;="&amp;$C$7,BD!$A$3:$A$5001,"&lt;="&amp;$D$7,BD!$M$3:$M$5001,"&lt;&gt;")=0,"",SUMIFS(BD!$L$3:$L$5001,BD!$B$3:$B$5001,M$89,BD!$A$3:$A$5001,_xlfn.MAXIFS(BD!$A$3:$A$5001,BD!$B$3:$B$5001,M$89,BD!$A$3:$A$5001,"&gt;="&amp;$C$7,BD!$A$3:$A$5001,"&lt;="&amp;$D$7,BD!$M$3:$M$5001,"&lt;&gt;"))))=0,"",IF(COUNTIFS(BD!$B$3:$B$5001,M$89,BD!$A$3:$A$5001,"&gt;="&amp;$C$7,BD!$A$3:$A$5001,"&lt;="&amp;$D$7,BD!$M$3:$M$5001,"&lt;&gt;")=0,"",SUMIFS(BD!$L$3:$L$5001,BD!$B$3:$B$5001,M$89,BD!$A$3:$A$5001,_xlfn.MAXIFS(BD!$A$3:$A$5001,BD!$B$3:$B$5001,M$89,BD!$A$3:$A$5001,"&gt;="&amp;$C$7,BD!$A$3:$A$5001,"&lt;="&amp;$D$7,BD!$M$3:$M$5001,"&lt;&gt;")))),"—"))</f>
        <v/>
      </c>
      <c r="N99" s="32" t="str">
        <f>IF(N$89="","",IF(Config!$M$47&lt;&gt;"Não",IF(N(IF(COUNTIFS(BD!$B$3:$B$5001,N$89,BD!$A$3:$A$5001,"&gt;="&amp;$C$7,BD!$A$3:$A$5001,"&lt;="&amp;$D$7,BD!$M$3:$M$5001,"&lt;&gt;")=0,"",SUMIFS(BD!$L$3:$L$5001,BD!$B$3:$B$5001,N$89,BD!$A$3:$A$5001,_xlfn.MAXIFS(BD!$A$3:$A$5001,BD!$B$3:$B$5001,N$89,BD!$A$3:$A$5001,"&gt;="&amp;$C$7,BD!$A$3:$A$5001,"&lt;="&amp;$D$7,BD!$M$3:$M$5001,"&lt;&gt;"))))=0,"",IF(COUNTIFS(BD!$B$3:$B$5001,N$89,BD!$A$3:$A$5001,"&gt;="&amp;$C$7,BD!$A$3:$A$5001,"&lt;="&amp;$D$7,BD!$M$3:$M$5001,"&lt;&gt;")=0,"",SUMIFS(BD!$L$3:$L$5001,BD!$B$3:$B$5001,N$89,BD!$A$3:$A$5001,_xlfn.MAXIFS(BD!$A$3:$A$5001,BD!$B$3:$B$5001,N$89,BD!$A$3:$A$5001,"&gt;="&amp;$C$7,BD!$A$3:$A$5001,"&lt;="&amp;$D$7,BD!$M$3:$M$5001,"&lt;&gt;")))),"—"))</f>
        <v/>
      </c>
      <c r="O99" s="32" t="str">
        <f>IF(O$89="","",IF(Config!$M$48&lt;&gt;"Não",IF(N(IF(COUNTIFS(BD!$B$3:$B$5001,O$89,BD!$A$3:$A$5001,"&gt;="&amp;$C$7,BD!$A$3:$A$5001,"&lt;="&amp;$D$7,BD!$M$3:$M$5001,"&lt;&gt;")=0,"",SUMIFS(BD!$L$3:$L$5001,BD!$B$3:$B$5001,O$89,BD!$A$3:$A$5001,_xlfn.MAXIFS(BD!$A$3:$A$5001,BD!$B$3:$B$5001,O$89,BD!$A$3:$A$5001,"&gt;="&amp;$C$7,BD!$A$3:$A$5001,"&lt;="&amp;$D$7,BD!$M$3:$M$5001,"&lt;&gt;"))))=0,"",IF(COUNTIFS(BD!$B$3:$B$5001,O$89,BD!$A$3:$A$5001,"&gt;="&amp;$C$7,BD!$A$3:$A$5001,"&lt;="&amp;$D$7,BD!$M$3:$M$5001,"&lt;&gt;")=0,"",SUMIFS(BD!$L$3:$L$5001,BD!$B$3:$B$5001,O$89,BD!$A$3:$A$5001,_xlfn.MAXIFS(BD!$A$3:$A$5001,BD!$B$3:$B$5001,O$89,BD!$A$3:$A$5001,"&gt;="&amp;$C$7,BD!$A$3:$A$5001,"&lt;="&amp;$D$7,BD!$M$3:$M$5001,"&lt;&gt;")))),"—"))</f>
        <v/>
      </c>
      <c r="P99" s="32" t="str">
        <f>IF(P$89="","",IF(Config!$M$49&lt;&gt;"Não",IF(N(IF(COUNTIFS(BD!$B$3:$B$5001,P$89,BD!$A$3:$A$5001,"&gt;="&amp;$C$7,BD!$A$3:$A$5001,"&lt;="&amp;$D$7,BD!$M$3:$M$5001,"&lt;&gt;")=0,"",SUMIFS(BD!$L$3:$L$5001,BD!$B$3:$B$5001,P$89,BD!$A$3:$A$5001,_xlfn.MAXIFS(BD!$A$3:$A$5001,BD!$B$3:$B$5001,P$89,BD!$A$3:$A$5001,"&gt;="&amp;$C$7,BD!$A$3:$A$5001,"&lt;="&amp;$D$7,BD!$M$3:$M$5001,"&lt;&gt;"))))=0,"",IF(COUNTIFS(BD!$B$3:$B$5001,P$89,BD!$A$3:$A$5001,"&gt;="&amp;$C$7,BD!$A$3:$A$5001,"&lt;="&amp;$D$7,BD!$M$3:$M$5001,"&lt;&gt;")=0,"",SUMIFS(BD!$L$3:$L$5001,BD!$B$3:$B$5001,P$89,BD!$A$3:$A$5001,_xlfn.MAXIFS(BD!$A$3:$A$5001,BD!$B$3:$B$5001,P$89,BD!$A$3:$A$5001,"&gt;="&amp;$C$7,BD!$A$3:$A$5001,"&lt;="&amp;$D$7,BD!$M$3:$M$5001,"&lt;&gt;")))),"—"))</f>
        <v/>
      </c>
      <c r="Q99" s="32" t="str">
        <f>IF(Q$89="","",IF(Config!$M$50&lt;&gt;"Não",IF(N(IF(COUNTIFS(BD!$B$3:$B$5001,Q$89,BD!$A$3:$A$5001,"&gt;="&amp;$C$7,BD!$A$3:$A$5001,"&lt;="&amp;$D$7,BD!$M$3:$M$5001,"&lt;&gt;")=0,"",SUMIFS(BD!$L$3:$L$5001,BD!$B$3:$B$5001,Q$89,BD!$A$3:$A$5001,_xlfn.MAXIFS(BD!$A$3:$A$5001,BD!$B$3:$B$5001,Q$89,BD!$A$3:$A$5001,"&gt;="&amp;$C$7,BD!$A$3:$A$5001,"&lt;="&amp;$D$7,BD!$M$3:$M$5001,"&lt;&gt;"))))=0,"",IF(COUNTIFS(BD!$B$3:$B$5001,Q$89,BD!$A$3:$A$5001,"&gt;="&amp;$C$7,BD!$A$3:$A$5001,"&lt;="&amp;$D$7,BD!$M$3:$M$5001,"&lt;&gt;")=0,"",SUMIFS(BD!$L$3:$L$5001,BD!$B$3:$B$5001,Q$89,BD!$A$3:$A$5001,_xlfn.MAXIFS(BD!$A$3:$A$5001,BD!$B$3:$B$5001,Q$89,BD!$A$3:$A$5001,"&gt;="&amp;$C$7,BD!$A$3:$A$5001,"&lt;="&amp;$D$7,BD!$M$3:$M$5001,"&lt;&gt;")))),"—"))</f>
        <v/>
      </c>
      <c r="R99" s="32" t="str">
        <f>IF(R$89="","",IF(Config!$M$51&lt;&gt;"Não",IF(N(IF(COUNTIFS(BD!$B$3:$B$5001,R$89,BD!$A$3:$A$5001,"&gt;="&amp;$C$7,BD!$A$3:$A$5001,"&lt;="&amp;$D$7,BD!$M$3:$M$5001,"&lt;&gt;")=0,"",SUMIFS(BD!$L$3:$L$5001,BD!$B$3:$B$5001,R$89,BD!$A$3:$A$5001,_xlfn.MAXIFS(BD!$A$3:$A$5001,BD!$B$3:$B$5001,R$89,BD!$A$3:$A$5001,"&gt;="&amp;$C$7,BD!$A$3:$A$5001,"&lt;="&amp;$D$7,BD!$M$3:$M$5001,"&lt;&gt;"))))=0,"",IF(COUNTIFS(BD!$B$3:$B$5001,R$89,BD!$A$3:$A$5001,"&gt;="&amp;$C$7,BD!$A$3:$A$5001,"&lt;="&amp;$D$7,BD!$M$3:$M$5001,"&lt;&gt;")=0,"",SUMIFS(BD!$L$3:$L$5001,BD!$B$3:$B$5001,R$89,BD!$A$3:$A$5001,_xlfn.MAXIFS(BD!$A$3:$A$5001,BD!$B$3:$B$5001,R$89,BD!$A$3:$A$5001,"&gt;="&amp;$C$7,BD!$A$3:$A$5001,"&lt;="&amp;$D$7,BD!$M$3:$M$5001,"&lt;&gt;")))),"—"))</f>
        <v/>
      </c>
      <c r="S99" s="32" t="str">
        <f>IF(S$89="","",IF(Config!$M$52&lt;&gt;"Não",IF(N(IF(COUNTIFS(BD!$B$3:$B$5001,S$89,BD!$A$3:$A$5001,"&gt;="&amp;$C$7,BD!$A$3:$A$5001,"&lt;="&amp;$D$7,BD!$M$3:$M$5001,"&lt;&gt;")=0,"",SUMIFS(BD!$L$3:$L$5001,BD!$B$3:$B$5001,S$89,BD!$A$3:$A$5001,_xlfn.MAXIFS(BD!$A$3:$A$5001,BD!$B$3:$B$5001,S$89,BD!$A$3:$A$5001,"&gt;="&amp;$C$7,BD!$A$3:$A$5001,"&lt;="&amp;$D$7,BD!$M$3:$M$5001,"&lt;&gt;"))))=0,"",IF(COUNTIFS(BD!$B$3:$B$5001,S$89,BD!$A$3:$A$5001,"&gt;="&amp;$C$7,BD!$A$3:$A$5001,"&lt;="&amp;$D$7,BD!$M$3:$M$5001,"&lt;&gt;")=0,"",SUMIFS(BD!$L$3:$L$5001,BD!$B$3:$B$5001,S$89,BD!$A$3:$A$5001,_xlfn.MAXIFS(BD!$A$3:$A$5001,BD!$B$3:$B$5001,S$89,BD!$A$3:$A$5001,"&gt;="&amp;$C$7,BD!$A$3:$A$5001,"&lt;="&amp;$D$7,BD!$M$3:$M$5001,"&lt;&gt;")))),"—"))</f>
        <v/>
      </c>
      <c r="T99" s="32" t="str">
        <f>IF(T$89="","",IF(Config!$M$53&lt;&gt;"Não",IF(N(IF(COUNTIFS(BD!$B$3:$B$5001,T$89,BD!$A$3:$A$5001,"&gt;="&amp;$C$7,BD!$A$3:$A$5001,"&lt;="&amp;$D$7,BD!$M$3:$M$5001,"&lt;&gt;")=0,"",SUMIFS(BD!$L$3:$L$5001,BD!$B$3:$B$5001,T$89,BD!$A$3:$A$5001,_xlfn.MAXIFS(BD!$A$3:$A$5001,BD!$B$3:$B$5001,T$89,BD!$A$3:$A$5001,"&gt;="&amp;$C$7,BD!$A$3:$A$5001,"&lt;="&amp;$D$7,BD!$M$3:$M$5001,"&lt;&gt;"))))=0,"",IF(COUNTIFS(BD!$B$3:$B$5001,T$89,BD!$A$3:$A$5001,"&gt;="&amp;$C$7,BD!$A$3:$A$5001,"&lt;="&amp;$D$7,BD!$M$3:$M$5001,"&lt;&gt;")=0,"",SUMIFS(BD!$L$3:$L$5001,BD!$B$3:$B$5001,T$89,BD!$A$3:$A$5001,_xlfn.MAXIFS(BD!$A$3:$A$5001,BD!$B$3:$B$5001,T$89,BD!$A$3:$A$5001,"&gt;="&amp;$C$7,BD!$A$3:$A$5001,"&lt;="&amp;$D$7,BD!$M$3:$M$5001,"&lt;&gt;")))),"—"))</f>
        <v/>
      </c>
      <c r="U99" s="32" t="str">
        <f>IF(U$89="","",IF(Config!$M$54&lt;&gt;"Não",IF(N(IF(COUNTIFS(BD!$B$3:$B$5001,U$89,BD!$A$3:$A$5001,"&gt;="&amp;$C$7,BD!$A$3:$A$5001,"&lt;="&amp;$D$7,BD!$M$3:$M$5001,"&lt;&gt;")=0,"",SUMIFS(BD!$L$3:$L$5001,BD!$B$3:$B$5001,U$89,BD!$A$3:$A$5001,_xlfn.MAXIFS(BD!$A$3:$A$5001,BD!$B$3:$B$5001,U$89,BD!$A$3:$A$5001,"&gt;="&amp;$C$7,BD!$A$3:$A$5001,"&lt;="&amp;$D$7,BD!$M$3:$M$5001,"&lt;&gt;"))))=0,"",IF(COUNTIFS(BD!$B$3:$B$5001,U$89,BD!$A$3:$A$5001,"&gt;="&amp;$C$7,BD!$A$3:$A$5001,"&lt;="&amp;$D$7,BD!$M$3:$M$5001,"&lt;&gt;")=0,"",SUMIFS(BD!$L$3:$L$5001,BD!$B$3:$B$5001,U$89,BD!$A$3:$A$5001,_xlfn.MAXIFS(BD!$A$3:$A$5001,BD!$B$3:$B$5001,U$89,BD!$A$3:$A$5001,"&gt;="&amp;$C$7,BD!$A$3:$A$5001,"&lt;="&amp;$D$7,BD!$M$3:$M$5001,"&lt;&gt;")))),"—"))</f>
        <v/>
      </c>
      <c r="V99" s="62">
        <f>IF($B$4&gt;0,$B$4,SUM(B99:U99))</f>
        <v>5872</v>
      </c>
    </row>
    <row r="100">
      <c r="A100" s="29" t="inlineStr">
        <is>
          <t xml:space="preserve">OCUPAÇÃO (P.P) · Posições Ocupadas</t>
        </is>
      </c>
      <c r="B100" s="32" t="str">
        <f>IF(B$89="","",IF(Config!$N$35&lt;&gt;"Não",IF(COUNTIFS(BD!$B$3:$B$5001,B$89,BD!$A$3:$A$5001,"&gt;="&amp;$C$7,BD!$A$3:$A$5001,"&lt;="&amp;$D$7,BD!$M$3:$M$5001,"&lt;&gt;")=0,"",SUMIFS(BD!$M$3:$M$5001,BD!$B$3:$B$5001,B$89,BD!$A$3:$A$5001,_xlfn.MAXIFS(BD!$A$3:$A$5001,BD!$B$3:$B$5001,B$89,BD!$A$3:$A$5001,"&gt;="&amp;$C$7,BD!$A$3:$A$5001,"&lt;="&amp;$D$7,BD!$M$3:$M$5001,"&lt;&gt;"))),"—"))</f>
        <v/>
      </c>
      <c r="C100" s="32" t="str">
        <f>IF(C$89="","",IF(Config!$N$36&lt;&gt;"Não",IF(COUNTIFS(BD!$B$3:$B$5001,C$89,BD!$A$3:$A$5001,"&gt;="&amp;$C$7,BD!$A$3:$A$5001,"&lt;="&amp;$D$7,BD!$M$3:$M$5001,"&lt;&gt;")=0,"",SUMIFS(BD!$M$3:$M$5001,BD!$B$3:$B$5001,C$89,BD!$A$3:$A$5001,_xlfn.MAXIFS(BD!$A$3:$A$5001,BD!$B$3:$B$5001,C$89,BD!$A$3:$A$5001,"&gt;="&amp;$C$7,BD!$A$3:$A$5001,"&lt;="&amp;$D$7,BD!$M$3:$M$5001,"&lt;&gt;"))),"—"))</f>
        <v>—</v>
      </c>
      <c r="D100" s="32" t="str">
        <f>IF(D$89="","",IF(Config!$N$37&lt;&gt;"Não",IF(COUNTIFS(BD!$B$3:$B$5001,D$89,BD!$A$3:$A$5001,"&gt;="&amp;$C$7,BD!$A$3:$A$5001,"&lt;="&amp;$D$7,BD!$M$3:$M$5001,"&lt;&gt;")=0,"",SUMIFS(BD!$M$3:$M$5001,BD!$B$3:$B$5001,D$89,BD!$A$3:$A$5001,_xlfn.MAXIFS(BD!$A$3:$A$5001,BD!$B$3:$B$5001,D$89,BD!$A$3:$A$5001,"&gt;="&amp;$C$7,BD!$A$3:$A$5001,"&lt;="&amp;$D$7,BD!$M$3:$M$5001,"&lt;&gt;"))),"—"))</f>
        <v/>
      </c>
      <c r="E100" s="32" t="str">
        <f>IF(E$89="","",IF(Config!$N$38&lt;&gt;"Não",IF(COUNTIFS(BD!$B$3:$B$5001,E$89,BD!$A$3:$A$5001,"&gt;="&amp;$C$7,BD!$A$3:$A$5001,"&lt;="&amp;$D$7,BD!$M$3:$M$5001,"&lt;&gt;")=0,"",SUMIFS(BD!$M$3:$M$5001,BD!$B$3:$B$5001,E$89,BD!$A$3:$A$5001,_xlfn.MAXIFS(BD!$A$3:$A$5001,BD!$B$3:$B$5001,E$89,BD!$A$3:$A$5001,"&gt;="&amp;$C$7,BD!$A$3:$A$5001,"&lt;="&amp;$D$7,BD!$M$3:$M$5001,"&lt;&gt;"))),"—"))</f>
        <v/>
      </c>
      <c r="F100" s="32" t="str">
        <f>IF(F$89="","",IF(Config!$N$39&lt;&gt;"Não",IF(COUNTIFS(BD!$B$3:$B$5001,F$89,BD!$A$3:$A$5001,"&gt;="&amp;$C$7,BD!$A$3:$A$5001,"&lt;="&amp;$D$7,BD!$M$3:$M$5001,"&lt;&gt;")=0,"",SUMIFS(BD!$M$3:$M$5001,BD!$B$3:$B$5001,F$89,BD!$A$3:$A$5001,_xlfn.MAXIFS(BD!$A$3:$A$5001,BD!$B$3:$B$5001,F$89,BD!$A$3:$A$5001,"&gt;="&amp;$C$7,BD!$A$3:$A$5001,"&lt;="&amp;$D$7,BD!$M$3:$M$5001,"&lt;&gt;"))),"—"))</f>
        <v/>
      </c>
      <c r="G100" s="32" t="str">
        <f>IF(G$89="","",IF(Config!$N$40&lt;&gt;"Não",IF(COUNTIFS(BD!$B$3:$B$5001,G$89,BD!$A$3:$A$5001,"&gt;="&amp;$C$7,BD!$A$3:$A$5001,"&lt;="&amp;$D$7,BD!$M$3:$M$5001,"&lt;&gt;")=0,"",SUMIFS(BD!$M$3:$M$5001,BD!$B$3:$B$5001,G$89,BD!$A$3:$A$5001,_xlfn.MAXIFS(BD!$A$3:$A$5001,BD!$B$3:$B$5001,G$89,BD!$A$3:$A$5001,"&gt;="&amp;$C$7,BD!$A$3:$A$5001,"&lt;="&amp;$D$7,BD!$M$3:$M$5001,"&lt;&gt;"))),"—"))</f>
        <v/>
      </c>
      <c r="H100" s="32" t="str">
        <f>IF(H$89="","",IF(Config!$N$41&lt;&gt;"Não",IF(COUNTIFS(BD!$B$3:$B$5001,H$89,BD!$A$3:$A$5001,"&gt;="&amp;$C$7,BD!$A$3:$A$5001,"&lt;="&amp;$D$7,BD!$M$3:$M$5001,"&lt;&gt;")=0,"",SUMIFS(BD!$M$3:$M$5001,BD!$B$3:$B$5001,H$89,BD!$A$3:$A$5001,_xlfn.MAXIFS(BD!$A$3:$A$5001,BD!$B$3:$B$5001,H$89,BD!$A$3:$A$5001,"&gt;="&amp;$C$7,BD!$A$3:$A$5001,"&lt;="&amp;$D$7,BD!$M$3:$M$5001,"&lt;&gt;"))),"—"))</f>
        <v/>
      </c>
      <c r="I100" s="32" t="str">
        <f>IF(I$89="","",IF(Config!$N$42&lt;&gt;"Não",IF(COUNTIFS(BD!$B$3:$B$5001,I$89,BD!$A$3:$A$5001,"&gt;="&amp;$C$7,BD!$A$3:$A$5001,"&lt;="&amp;$D$7,BD!$M$3:$M$5001,"&lt;&gt;")=0,"",SUMIFS(BD!$M$3:$M$5001,BD!$B$3:$B$5001,I$89,BD!$A$3:$A$5001,_xlfn.MAXIFS(BD!$A$3:$A$5001,BD!$B$3:$B$5001,I$89,BD!$A$3:$A$5001,"&gt;="&amp;$C$7,BD!$A$3:$A$5001,"&lt;="&amp;$D$7,BD!$M$3:$M$5001,"&lt;&gt;"))),"—"))</f>
        <v/>
      </c>
      <c r="J100" s="32" t="str">
        <f>IF(J$89="","",IF(Config!$N$43&lt;&gt;"Não",IF(COUNTIFS(BD!$B$3:$B$5001,J$89,BD!$A$3:$A$5001,"&gt;="&amp;$C$7,BD!$A$3:$A$5001,"&lt;="&amp;$D$7,BD!$M$3:$M$5001,"&lt;&gt;")=0,"",SUMIFS(BD!$M$3:$M$5001,BD!$B$3:$B$5001,J$89,BD!$A$3:$A$5001,_xlfn.MAXIFS(BD!$A$3:$A$5001,BD!$B$3:$B$5001,J$89,BD!$A$3:$A$5001,"&gt;="&amp;$C$7,BD!$A$3:$A$5001,"&lt;="&amp;$D$7,BD!$M$3:$M$5001,"&lt;&gt;"))),"—"))</f>
        <v/>
      </c>
      <c r="K100" s="32" t="str">
        <f>IF(K$89="","",IF(Config!$N$44&lt;&gt;"Não",IF(COUNTIFS(BD!$B$3:$B$5001,K$89,BD!$A$3:$A$5001,"&gt;="&amp;$C$7,BD!$A$3:$A$5001,"&lt;="&amp;$D$7,BD!$M$3:$M$5001,"&lt;&gt;")=0,"",SUMIFS(BD!$M$3:$M$5001,BD!$B$3:$B$5001,K$89,BD!$A$3:$A$5001,_xlfn.MAXIFS(BD!$A$3:$A$5001,BD!$B$3:$B$5001,K$89,BD!$A$3:$A$5001,"&gt;="&amp;$C$7,BD!$A$3:$A$5001,"&lt;="&amp;$D$7,BD!$M$3:$M$5001,"&lt;&gt;"))),"—"))</f>
        <v/>
      </c>
      <c r="L100" s="32" t="str">
        <f>IF(L$89="","",IF(Config!$N$45&lt;&gt;"Não",IF(COUNTIFS(BD!$B$3:$B$5001,L$89,BD!$A$3:$A$5001,"&gt;="&amp;$C$7,BD!$A$3:$A$5001,"&lt;="&amp;$D$7,BD!$M$3:$M$5001,"&lt;&gt;")=0,"",SUMIFS(BD!$M$3:$M$5001,BD!$B$3:$B$5001,L$89,BD!$A$3:$A$5001,_xlfn.MAXIFS(BD!$A$3:$A$5001,BD!$B$3:$B$5001,L$89,BD!$A$3:$A$5001,"&gt;="&amp;$C$7,BD!$A$3:$A$5001,"&lt;="&amp;$D$7,BD!$M$3:$M$5001,"&lt;&gt;"))),"—"))</f>
        <v/>
      </c>
      <c r="M100" s="32" t="str">
        <f>IF(M$89="","",IF(Config!$N$46&lt;&gt;"Não",IF(COUNTIFS(BD!$B$3:$B$5001,M$89,BD!$A$3:$A$5001,"&gt;="&amp;$C$7,BD!$A$3:$A$5001,"&lt;="&amp;$D$7,BD!$M$3:$M$5001,"&lt;&gt;")=0,"",SUMIFS(BD!$M$3:$M$5001,BD!$B$3:$B$5001,M$89,BD!$A$3:$A$5001,_xlfn.MAXIFS(BD!$A$3:$A$5001,BD!$B$3:$B$5001,M$89,BD!$A$3:$A$5001,"&gt;="&amp;$C$7,BD!$A$3:$A$5001,"&lt;="&amp;$D$7,BD!$M$3:$M$5001,"&lt;&gt;"))),"—"))</f>
        <v/>
      </c>
      <c r="N100" s="32" t="str">
        <f>IF(N$89="","",IF(Config!$N$47&lt;&gt;"Não",IF(COUNTIFS(BD!$B$3:$B$5001,N$89,BD!$A$3:$A$5001,"&gt;="&amp;$C$7,BD!$A$3:$A$5001,"&lt;="&amp;$D$7,BD!$M$3:$M$5001,"&lt;&gt;")=0,"",SUMIFS(BD!$M$3:$M$5001,BD!$B$3:$B$5001,N$89,BD!$A$3:$A$5001,_xlfn.MAXIFS(BD!$A$3:$A$5001,BD!$B$3:$B$5001,N$89,BD!$A$3:$A$5001,"&gt;="&amp;$C$7,BD!$A$3:$A$5001,"&lt;="&amp;$D$7,BD!$M$3:$M$5001,"&lt;&gt;"))),"—"))</f>
        <v/>
      </c>
      <c r="O100" s="32" t="str">
        <f>IF(O$89="","",IF(Config!$N$48&lt;&gt;"Não",IF(COUNTIFS(BD!$B$3:$B$5001,O$89,BD!$A$3:$A$5001,"&gt;="&amp;$C$7,BD!$A$3:$A$5001,"&lt;="&amp;$D$7,BD!$M$3:$M$5001,"&lt;&gt;")=0,"",SUMIFS(BD!$M$3:$M$5001,BD!$B$3:$B$5001,O$89,BD!$A$3:$A$5001,_xlfn.MAXIFS(BD!$A$3:$A$5001,BD!$B$3:$B$5001,O$89,BD!$A$3:$A$5001,"&gt;="&amp;$C$7,BD!$A$3:$A$5001,"&lt;="&amp;$D$7,BD!$M$3:$M$5001,"&lt;&gt;"))),"—"))</f>
        <v/>
      </c>
      <c r="P100" s="32" t="str">
        <f>IF(P$89="","",IF(Config!$N$49&lt;&gt;"Não",IF(COUNTIFS(BD!$B$3:$B$5001,P$89,BD!$A$3:$A$5001,"&gt;="&amp;$C$7,BD!$A$3:$A$5001,"&lt;="&amp;$D$7,BD!$M$3:$M$5001,"&lt;&gt;")=0,"",SUMIFS(BD!$M$3:$M$5001,BD!$B$3:$B$5001,P$89,BD!$A$3:$A$5001,_xlfn.MAXIFS(BD!$A$3:$A$5001,BD!$B$3:$B$5001,P$89,BD!$A$3:$A$5001,"&gt;="&amp;$C$7,BD!$A$3:$A$5001,"&lt;="&amp;$D$7,BD!$M$3:$M$5001,"&lt;&gt;"))),"—"))</f>
        <v/>
      </c>
      <c r="Q100" s="32" t="str">
        <f>IF(Q$89="","",IF(Config!$N$50&lt;&gt;"Não",IF(COUNTIFS(BD!$B$3:$B$5001,Q$89,BD!$A$3:$A$5001,"&gt;="&amp;$C$7,BD!$A$3:$A$5001,"&lt;="&amp;$D$7,BD!$M$3:$M$5001,"&lt;&gt;")=0,"",SUMIFS(BD!$M$3:$M$5001,BD!$B$3:$B$5001,Q$89,BD!$A$3:$A$5001,_xlfn.MAXIFS(BD!$A$3:$A$5001,BD!$B$3:$B$5001,Q$89,BD!$A$3:$A$5001,"&gt;="&amp;$C$7,BD!$A$3:$A$5001,"&lt;="&amp;$D$7,BD!$M$3:$M$5001,"&lt;&gt;"))),"—"))</f>
        <v/>
      </c>
      <c r="R100" s="32" t="str">
        <f>IF(R$89="","",IF(Config!$N$51&lt;&gt;"Não",IF(COUNTIFS(BD!$B$3:$B$5001,R$89,BD!$A$3:$A$5001,"&gt;="&amp;$C$7,BD!$A$3:$A$5001,"&lt;="&amp;$D$7,BD!$M$3:$M$5001,"&lt;&gt;")=0,"",SUMIFS(BD!$M$3:$M$5001,BD!$B$3:$B$5001,R$89,BD!$A$3:$A$5001,_xlfn.MAXIFS(BD!$A$3:$A$5001,BD!$B$3:$B$5001,R$89,BD!$A$3:$A$5001,"&gt;="&amp;$C$7,BD!$A$3:$A$5001,"&lt;="&amp;$D$7,BD!$M$3:$M$5001,"&lt;&gt;"))),"—"))</f>
        <v/>
      </c>
      <c r="S100" s="32" t="str">
        <f>IF(S$89="","",IF(Config!$N$52&lt;&gt;"Não",IF(COUNTIFS(BD!$B$3:$B$5001,S$89,BD!$A$3:$A$5001,"&gt;="&amp;$C$7,BD!$A$3:$A$5001,"&lt;="&amp;$D$7,BD!$M$3:$M$5001,"&lt;&gt;")=0,"",SUMIFS(BD!$M$3:$M$5001,BD!$B$3:$B$5001,S$89,BD!$A$3:$A$5001,_xlfn.MAXIFS(BD!$A$3:$A$5001,BD!$B$3:$B$5001,S$89,BD!$A$3:$A$5001,"&gt;="&amp;$C$7,BD!$A$3:$A$5001,"&lt;="&amp;$D$7,BD!$M$3:$M$5001,"&lt;&gt;"))),"—"))</f>
        <v/>
      </c>
      <c r="T100" s="32" t="str">
        <f>IF(T$89="","",IF(Config!$N$53&lt;&gt;"Não",IF(COUNTIFS(BD!$B$3:$B$5001,T$89,BD!$A$3:$A$5001,"&gt;="&amp;$C$7,BD!$A$3:$A$5001,"&lt;="&amp;$D$7,BD!$M$3:$M$5001,"&lt;&gt;")=0,"",SUMIFS(BD!$M$3:$M$5001,BD!$B$3:$B$5001,T$89,BD!$A$3:$A$5001,_xlfn.MAXIFS(BD!$A$3:$A$5001,BD!$B$3:$B$5001,T$89,BD!$A$3:$A$5001,"&gt;="&amp;$C$7,BD!$A$3:$A$5001,"&lt;="&amp;$D$7,BD!$M$3:$M$5001,"&lt;&gt;"))),"—"))</f>
        <v/>
      </c>
      <c r="U100" s="32" t="str">
        <f>IF(U$89="","",IF(Config!$N$54&lt;&gt;"Não",IF(COUNTIFS(BD!$B$3:$B$5001,U$89,BD!$A$3:$A$5001,"&gt;="&amp;$C$7,BD!$A$3:$A$5001,"&lt;="&amp;$D$7,BD!$M$3:$M$5001,"&lt;&gt;")=0,"",SUMIFS(BD!$M$3:$M$5001,BD!$B$3:$B$5001,U$89,BD!$A$3:$A$5001,_xlfn.MAXIFS(BD!$A$3:$A$5001,BD!$B$3:$B$5001,U$89,BD!$A$3:$A$5001,"&gt;="&amp;$C$7,BD!$A$3:$A$5001,"&lt;="&amp;$D$7,BD!$M$3:$M$5001,"&lt;&gt;"))),"—"))</f>
        <v/>
      </c>
      <c r="V100" s="62">
        <f>SUM(B100:U100)</f>
        <v>0</v>
      </c>
    </row>
    <row r="101">
      <c r="A101" s="29" t="inlineStr">
        <is>
          <t xml:space="preserve">OCUPAÇÃO (P.P) · Taxa de Ocupação</t>
        </is>
      </c>
      <c r="B101" s="50" t="str">
        <f>IF(B$89="","",IF(AND(Config!$M$35&lt;&gt;"Não",Config!$N$35&lt;&gt;"Não"),IF(AND(ISNUMBER(B100),ISNUMBER(B99)),IF(B99&gt;0,B100/B99,""),""),"—"))</f>
        <v/>
      </c>
      <c r="C101" s="50" t="str">
        <f>IF(C$89="","",IF(AND(Config!$M$36&lt;&gt;"Não",Config!$N$36&lt;&gt;"Não"),IF(AND(ISNUMBER(C100),ISNUMBER(C99)),IF(C99&gt;0,C100/C99,""),""),"—"))</f>
        <v>—</v>
      </c>
      <c r="D101" s="50" t="str">
        <f>IF(D$89="","",IF(AND(Config!$M$37&lt;&gt;"Não",Config!$N$37&lt;&gt;"Não"),IF(AND(ISNUMBER(D100),ISNUMBER(D99)),IF(D99&gt;0,D100/D99,""),""),"—"))</f>
        <v>—</v>
      </c>
      <c r="E101" s="50" t="str">
        <f>IF(E$89="","",IF(AND(Config!$M$38&lt;&gt;"Não",Config!$N$38&lt;&gt;"Não"),IF(AND(ISNUMBER(E100),ISNUMBER(E99)),IF(E99&gt;0,E100/E99,""),""),"—"))</f>
        <v>—</v>
      </c>
      <c r="F101" s="50" t="str">
        <f>IF(F$89="","",IF(AND(Config!$M$39&lt;&gt;"Não",Config!$N$39&lt;&gt;"Não"),IF(AND(ISNUMBER(F100),ISNUMBER(F99)),IF(F99&gt;0,F100/F99,""),""),"—"))</f>
        <v/>
      </c>
      <c r="G101" s="50" t="str">
        <f>IF(G$89="","",IF(AND(Config!$M$40&lt;&gt;"Não",Config!$N$40&lt;&gt;"Não"),IF(AND(ISNUMBER(G100),ISNUMBER(G99)),IF(G99&gt;0,G100/G99,""),""),"—"))</f>
        <v/>
      </c>
      <c r="H101" s="50" t="str">
        <f>IF(H$89="","",IF(AND(Config!$M$41&lt;&gt;"Não",Config!$N$41&lt;&gt;"Não"),IF(AND(ISNUMBER(H100),ISNUMBER(H99)),IF(H99&gt;0,H100/H99,""),""),"—"))</f>
        <v/>
      </c>
      <c r="I101" s="50" t="str">
        <f>IF(I$89="","",IF(AND(Config!$M$42&lt;&gt;"Não",Config!$N$42&lt;&gt;"Não"),IF(AND(ISNUMBER(I100),ISNUMBER(I99)),IF(I99&gt;0,I100/I99,""),""),"—"))</f>
        <v/>
      </c>
      <c r="J101" s="50" t="str">
        <f>IF(J$89="","",IF(AND(Config!$M$43&lt;&gt;"Não",Config!$N$43&lt;&gt;"Não"),IF(AND(ISNUMBER(J100),ISNUMBER(J99)),IF(J99&gt;0,J100/J99,""),""),"—"))</f>
        <v/>
      </c>
      <c r="K101" s="50" t="str">
        <f>IF(K$89="","",IF(AND(Config!$M$44&lt;&gt;"Não",Config!$N$44&lt;&gt;"Não"),IF(AND(ISNUMBER(K100),ISNUMBER(K99)),IF(K99&gt;0,K100/K99,""),""),"—"))</f>
        <v/>
      </c>
      <c r="L101" s="50" t="str">
        <f>IF(L$89="","",IF(AND(Config!$M$45&lt;&gt;"Não",Config!$N$45&lt;&gt;"Não"),IF(AND(ISNUMBER(L100),ISNUMBER(L99)),IF(L99&gt;0,L100/L99,""),""),"—"))</f>
        <v/>
      </c>
      <c r="M101" s="50" t="str">
        <f>IF(M$89="","",IF(AND(Config!$M$46&lt;&gt;"Não",Config!$N$46&lt;&gt;"Não"),IF(AND(ISNUMBER(M100),ISNUMBER(M99)),IF(M99&gt;0,M100/M99,""),""),"—"))</f>
        <v/>
      </c>
      <c r="N101" s="50" t="str">
        <f>IF(N$89="","",IF(AND(Config!$M$47&lt;&gt;"Não",Config!$N$47&lt;&gt;"Não"),IF(AND(ISNUMBER(N100),ISNUMBER(N99)),IF(N99&gt;0,N100/N99,""),""),"—"))</f>
        <v/>
      </c>
      <c r="O101" s="50" t="str">
        <f>IF(O$89="","",IF(AND(Config!$M$48&lt;&gt;"Não",Config!$N$48&lt;&gt;"Não"),IF(AND(ISNUMBER(O100),ISNUMBER(O99)),IF(O99&gt;0,O100/O99,""),""),"—"))</f>
        <v/>
      </c>
      <c r="P101" s="50" t="str">
        <f>IF(P$89="","",IF(AND(Config!$M$49&lt;&gt;"Não",Config!$N$49&lt;&gt;"Não"),IF(AND(ISNUMBER(P100),ISNUMBER(P99)),IF(P99&gt;0,P100/P99,""),""),"—"))</f>
        <v/>
      </c>
      <c r="Q101" s="50" t="str">
        <f>IF(Q$89="","",IF(AND(Config!$M$50&lt;&gt;"Não",Config!$N$50&lt;&gt;"Não"),IF(AND(ISNUMBER(Q100),ISNUMBER(Q99)),IF(Q99&gt;0,Q100/Q99,""),""),"—"))</f>
        <v/>
      </c>
      <c r="R101" s="50" t="str">
        <f>IF(R$89="","",IF(AND(Config!$M$51&lt;&gt;"Não",Config!$N$51&lt;&gt;"Não"),IF(AND(ISNUMBER(R100),ISNUMBER(R99)),IF(R99&gt;0,R100/R99,""),""),"—"))</f>
        <v/>
      </c>
      <c r="S101" s="50" t="str">
        <f>IF(S$89="","",IF(AND(Config!$M$52&lt;&gt;"Não",Config!$N$52&lt;&gt;"Não"),IF(AND(ISNUMBER(S100),ISNUMBER(S99)),IF(S99&gt;0,S100/S99,""),""),"—"))</f>
        <v/>
      </c>
      <c r="T101" s="50" t="str">
        <f>IF(T$89="","",IF(AND(Config!$M$53&lt;&gt;"Não",Config!$N$53&lt;&gt;"Não"),IF(AND(ISNUMBER(T100),ISNUMBER(T99)),IF(T99&gt;0,T100/T99,""),""),"—"))</f>
        <v/>
      </c>
      <c r="U101" s="50" t="str">
        <f>IF(U$89="","",IF(AND(Config!$M$54&lt;&gt;"Não",Config!$N$54&lt;&gt;"Não"),IF(AND(ISNUMBER(U100),ISNUMBER(U99)),IF(U99&gt;0,U100/U99,""),""),"—"))</f>
        <v/>
      </c>
      <c r="V101" s="64">
        <f>IFERROR(V100/V99,"")</f>
        <v>0</v>
      </c>
    </row>
    <row r="102">
      <c r="A102" s="29" t="inlineStr">
        <is>
          <t xml:space="preserve">GENTE · Efetivo Op.</t>
        </is>
      </c>
      <c r="B102" s="32" t="str">
        <f>IF(B$89="","",IF(Config!$O$35&lt;&gt;"Não",IF(COUNTIFS(BD!$B$3:$B$5001,B$89,BD!$A$3:$A$5001,"&gt;="&amp;$C$7,BD!$A$3:$A$5001,"&lt;="&amp;$D$7,BD!$N$3:$N$5001,"&lt;&gt;")=0,"",SUMIFS(BD!$N$3:$N$5001,BD!$B$3:$B$5001,B$89,BD!$A$3:$A$5001,_xlfn.MAXIFS(BD!$A$3:$A$5001,BD!$B$3:$B$5001,B$89,BD!$A$3:$A$5001,"&gt;="&amp;$C$7,BD!$A$3:$A$5001,"&lt;="&amp;$D$7,BD!$N$3:$N$5001,"&lt;&gt;"))),"—"))</f>
        <v/>
      </c>
      <c r="C102" s="32" t="str">
        <f>IF(C$89="","",IF(Config!$O$36&lt;&gt;"Não",IF(COUNTIFS(BD!$B$3:$B$5001,C$89,BD!$A$3:$A$5001,"&gt;="&amp;$C$7,BD!$A$3:$A$5001,"&lt;="&amp;$D$7,BD!$N$3:$N$5001,"&lt;&gt;")=0,"",SUMIFS(BD!$N$3:$N$5001,BD!$B$3:$B$5001,C$89,BD!$A$3:$A$5001,_xlfn.MAXIFS(BD!$A$3:$A$5001,BD!$B$3:$B$5001,C$89,BD!$A$3:$A$5001,"&gt;="&amp;$C$7,BD!$A$3:$A$5001,"&lt;="&amp;$D$7,BD!$N$3:$N$5001,"&lt;&gt;"))),"—"))</f>
        <v/>
      </c>
      <c r="D102" s="32" t="str">
        <f>IF(D$89="","",IF(Config!$O$37&lt;&gt;"Não",IF(COUNTIFS(BD!$B$3:$B$5001,D$89,BD!$A$3:$A$5001,"&gt;="&amp;$C$7,BD!$A$3:$A$5001,"&lt;="&amp;$D$7,BD!$N$3:$N$5001,"&lt;&gt;")=0,"",SUMIFS(BD!$N$3:$N$5001,BD!$B$3:$B$5001,D$89,BD!$A$3:$A$5001,_xlfn.MAXIFS(BD!$A$3:$A$5001,BD!$B$3:$B$5001,D$89,BD!$A$3:$A$5001,"&gt;="&amp;$C$7,BD!$A$3:$A$5001,"&lt;="&amp;$D$7,BD!$N$3:$N$5001,"&lt;&gt;"))),"—"))</f>
        <v/>
      </c>
      <c r="E102" s="32" t="str">
        <f>IF(E$89="","",IF(Config!$O$38&lt;&gt;"Não",IF(COUNTIFS(BD!$B$3:$B$5001,E$89,BD!$A$3:$A$5001,"&gt;="&amp;$C$7,BD!$A$3:$A$5001,"&lt;="&amp;$D$7,BD!$N$3:$N$5001,"&lt;&gt;")=0,"",SUMIFS(BD!$N$3:$N$5001,BD!$B$3:$B$5001,E$89,BD!$A$3:$A$5001,_xlfn.MAXIFS(BD!$A$3:$A$5001,BD!$B$3:$B$5001,E$89,BD!$A$3:$A$5001,"&gt;="&amp;$C$7,BD!$A$3:$A$5001,"&lt;="&amp;$D$7,BD!$N$3:$N$5001,"&lt;&gt;"))),"—"))</f>
        <v/>
      </c>
      <c r="F102" s="32" t="str">
        <f>IF(F$89="","",IF(Config!$O$39&lt;&gt;"Não",IF(COUNTIFS(BD!$B$3:$B$5001,F$89,BD!$A$3:$A$5001,"&gt;="&amp;$C$7,BD!$A$3:$A$5001,"&lt;="&amp;$D$7,BD!$N$3:$N$5001,"&lt;&gt;")=0,"",SUMIFS(BD!$N$3:$N$5001,BD!$B$3:$B$5001,F$89,BD!$A$3:$A$5001,_xlfn.MAXIFS(BD!$A$3:$A$5001,BD!$B$3:$B$5001,F$89,BD!$A$3:$A$5001,"&gt;="&amp;$C$7,BD!$A$3:$A$5001,"&lt;="&amp;$D$7,BD!$N$3:$N$5001,"&lt;&gt;"))),"—"))</f>
        <v/>
      </c>
      <c r="G102" s="32" t="str">
        <f>IF(G$89="","",IF(Config!$O$40&lt;&gt;"Não",IF(COUNTIFS(BD!$B$3:$B$5001,G$89,BD!$A$3:$A$5001,"&gt;="&amp;$C$7,BD!$A$3:$A$5001,"&lt;="&amp;$D$7,BD!$N$3:$N$5001,"&lt;&gt;")=0,"",SUMIFS(BD!$N$3:$N$5001,BD!$B$3:$B$5001,G$89,BD!$A$3:$A$5001,_xlfn.MAXIFS(BD!$A$3:$A$5001,BD!$B$3:$B$5001,G$89,BD!$A$3:$A$5001,"&gt;="&amp;$C$7,BD!$A$3:$A$5001,"&lt;="&amp;$D$7,BD!$N$3:$N$5001,"&lt;&gt;"))),"—"))</f>
        <v/>
      </c>
      <c r="H102" s="32" t="str">
        <f>IF(H$89="","",IF(Config!$O$41&lt;&gt;"Não",IF(COUNTIFS(BD!$B$3:$B$5001,H$89,BD!$A$3:$A$5001,"&gt;="&amp;$C$7,BD!$A$3:$A$5001,"&lt;="&amp;$D$7,BD!$N$3:$N$5001,"&lt;&gt;")=0,"",SUMIFS(BD!$N$3:$N$5001,BD!$B$3:$B$5001,H$89,BD!$A$3:$A$5001,_xlfn.MAXIFS(BD!$A$3:$A$5001,BD!$B$3:$B$5001,H$89,BD!$A$3:$A$5001,"&gt;="&amp;$C$7,BD!$A$3:$A$5001,"&lt;="&amp;$D$7,BD!$N$3:$N$5001,"&lt;&gt;"))),"—"))</f>
        <v/>
      </c>
      <c r="I102" s="32" t="str">
        <f>IF(I$89="","",IF(Config!$O$42&lt;&gt;"Não",IF(COUNTIFS(BD!$B$3:$B$5001,I$89,BD!$A$3:$A$5001,"&gt;="&amp;$C$7,BD!$A$3:$A$5001,"&lt;="&amp;$D$7,BD!$N$3:$N$5001,"&lt;&gt;")=0,"",SUMIFS(BD!$N$3:$N$5001,BD!$B$3:$B$5001,I$89,BD!$A$3:$A$5001,_xlfn.MAXIFS(BD!$A$3:$A$5001,BD!$B$3:$B$5001,I$89,BD!$A$3:$A$5001,"&gt;="&amp;$C$7,BD!$A$3:$A$5001,"&lt;="&amp;$D$7,BD!$N$3:$N$5001,"&lt;&gt;"))),"—"))</f>
        <v/>
      </c>
      <c r="J102" s="32" t="str">
        <f>IF(J$89="","",IF(Config!$O$43&lt;&gt;"Não",IF(COUNTIFS(BD!$B$3:$B$5001,J$89,BD!$A$3:$A$5001,"&gt;="&amp;$C$7,BD!$A$3:$A$5001,"&lt;="&amp;$D$7,BD!$N$3:$N$5001,"&lt;&gt;")=0,"",SUMIFS(BD!$N$3:$N$5001,BD!$B$3:$B$5001,J$89,BD!$A$3:$A$5001,_xlfn.MAXIFS(BD!$A$3:$A$5001,BD!$B$3:$B$5001,J$89,BD!$A$3:$A$5001,"&gt;="&amp;$C$7,BD!$A$3:$A$5001,"&lt;="&amp;$D$7,BD!$N$3:$N$5001,"&lt;&gt;"))),"—"))</f>
        <v/>
      </c>
      <c r="K102" s="32" t="str">
        <f>IF(K$89="","",IF(Config!$O$44&lt;&gt;"Não",IF(COUNTIFS(BD!$B$3:$B$5001,K$89,BD!$A$3:$A$5001,"&gt;="&amp;$C$7,BD!$A$3:$A$5001,"&lt;="&amp;$D$7,BD!$N$3:$N$5001,"&lt;&gt;")=0,"",SUMIFS(BD!$N$3:$N$5001,BD!$B$3:$B$5001,K$89,BD!$A$3:$A$5001,_xlfn.MAXIFS(BD!$A$3:$A$5001,BD!$B$3:$B$5001,K$89,BD!$A$3:$A$5001,"&gt;="&amp;$C$7,BD!$A$3:$A$5001,"&lt;="&amp;$D$7,BD!$N$3:$N$5001,"&lt;&gt;"))),"—"))</f>
        <v/>
      </c>
      <c r="L102" s="32" t="str">
        <f>IF(L$89="","",IF(Config!$O$45&lt;&gt;"Não",IF(COUNTIFS(BD!$B$3:$B$5001,L$89,BD!$A$3:$A$5001,"&gt;="&amp;$C$7,BD!$A$3:$A$5001,"&lt;="&amp;$D$7,BD!$N$3:$N$5001,"&lt;&gt;")=0,"",SUMIFS(BD!$N$3:$N$5001,BD!$B$3:$B$5001,L$89,BD!$A$3:$A$5001,_xlfn.MAXIFS(BD!$A$3:$A$5001,BD!$B$3:$B$5001,L$89,BD!$A$3:$A$5001,"&gt;="&amp;$C$7,BD!$A$3:$A$5001,"&lt;="&amp;$D$7,BD!$N$3:$N$5001,"&lt;&gt;"))),"—"))</f>
        <v/>
      </c>
      <c r="M102" s="32" t="str">
        <f>IF(M$89="","",IF(Config!$O$46&lt;&gt;"Não",IF(COUNTIFS(BD!$B$3:$B$5001,M$89,BD!$A$3:$A$5001,"&gt;="&amp;$C$7,BD!$A$3:$A$5001,"&lt;="&amp;$D$7,BD!$N$3:$N$5001,"&lt;&gt;")=0,"",SUMIFS(BD!$N$3:$N$5001,BD!$B$3:$B$5001,M$89,BD!$A$3:$A$5001,_xlfn.MAXIFS(BD!$A$3:$A$5001,BD!$B$3:$B$5001,M$89,BD!$A$3:$A$5001,"&gt;="&amp;$C$7,BD!$A$3:$A$5001,"&lt;="&amp;$D$7,BD!$N$3:$N$5001,"&lt;&gt;"))),"—"))</f>
        <v/>
      </c>
      <c r="N102" s="32" t="str">
        <f>IF(N$89="","",IF(Config!$O$47&lt;&gt;"Não",IF(COUNTIFS(BD!$B$3:$B$5001,N$89,BD!$A$3:$A$5001,"&gt;="&amp;$C$7,BD!$A$3:$A$5001,"&lt;="&amp;$D$7,BD!$N$3:$N$5001,"&lt;&gt;")=0,"",SUMIFS(BD!$N$3:$N$5001,BD!$B$3:$B$5001,N$89,BD!$A$3:$A$5001,_xlfn.MAXIFS(BD!$A$3:$A$5001,BD!$B$3:$B$5001,N$89,BD!$A$3:$A$5001,"&gt;="&amp;$C$7,BD!$A$3:$A$5001,"&lt;="&amp;$D$7,BD!$N$3:$N$5001,"&lt;&gt;"))),"—"))</f>
        <v/>
      </c>
      <c r="O102" s="32" t="str">
        <f>IF(O$89="","",IF(Config!$O$48&lt;&gt;"Não",IF(COUNTIFS(BD!$B$3:$B$5001,O$89,BD!$A$3:$A$5001,"&gt;="&amp;$C$7,BD!$A$3:$A$5001,"&lt;="&amp;$D$7,BD!$N$3:$N$5001,"&lt;&gt;")=0,"",SUMIFS(BD!$N$3:$N$5001,BD!$B$3:$B$5001,O$89,BD!$A$3:$A$5001,_xlfn.MAXIFS(BD!$A$3:$A$5001,BD!$B$3:$B$5001,O$89,BD!$A$3:$A$5001,"&gt;="&amp;$C$7,BD!$A$3:$A$5001,"&lt;="&amp;$D$7,BD!$N$3:$N$5001,"&lt;&gt;"))),"—"))</f>
        <v/>
      </c>
      <c r="P102" s="32" t="str">
        <f>IF(P$89="","",IF(Config!$O$49&lt;&gt;"Não",IF(COUNTIFS(BD!$B$3:$B$5001,P$89,BD!$A$3:$A$5001,"&gt;="&amp;$C$7,BD!$A$3:$A$5001,"&lt;="&amp;$D$7,BD!$N$3:$N$5001,"&lt;&gt;")=0,"",SUMIFS(BD!$N$3:$N$5001,BD!$B$3:$B$5001,P$89,BD!$A$3:$A$5001,_xlfn.MAXIFS(BD!$A$3:$A$5001,BD!$B$3:$B$5001,P$89,BD!$A$3:$A$5001,"&gt;="&amp;$C$7,BD!$A$3:$A$5001,"&lt;="&amp;$D$7,BD!$N$3:$N$5001,"&lt;&gt;"))),"—"))</f>
        <v/>
      </c>
      <c r="Q102" s="32" t="str">
        <f>IF(Q$89="","",IF(Config!$O$50&lt;&gt;"Não",IF(COUNTIFS(BD!$B$3:$B$5001,Q$89,BD!$A$3:$A$5001,"&gt;="&amp;$C$7,BD!$A$3:$A$5001,"&lt;="&amp;$D$7,BD!$N$3:$N$5001,"&lt;&gt;")=0,"",SUMIFS(BD!$N$3:$N$5001,BD!$B$3:$B$5001,Q$89,BD!$A$3:$A$5001,_xlfn.MAXIFS(BD!$A$3:$A$5001,BD!$B$3:$B$5001,Q$89,BD!$A$3:$A$5001,"&gt;="&amp;$C$7,BD!$A$3:$A$5001,"&lt;="&amp;$D$7,BD!$N$3:$N$5001,"&lt;&gt;"))),"—"))</f>
        <v/>
      </c>
      <c r="R102" s="32" t="str">
        <f>IF(R$89="","",IF(Config!$O$51&lt;&gt;"Não",IF(COUNTIFS(BD!$B$3:$B$5001,R$89,BD!$A$3:$A$5001,"&gt;="&amp;$C$7,BD!$A$3:$A$5001,"&lt;="&amp;$D$7,BD!$N$3:$N$5001,"&lt;&gt;")=0,"",SUMIFS(BD!$N$3:$N$5001,BD!$B$3:$B$5001,R$89,BD!$A$3:$A$5001,_xlfn.MAXIFS(BD!$A$3:$A$5001,BD!$B$3:$B$5001,R$89,BD!$A$3:$A$5001,"&gt;="&amp;$C$7,BD!$A$3:$A$5001,"&lt;="&amp;$D$7,BD!$N$3:$N$5001,"&lt;&gt;"))),"—"))</f>
        <v/>
      </c>
      <c r="S102" s="32" t="str">
        <f>IF(S$89="","",IF(Config!$O$52&lt;&gt;"Não",IF(COUNTIFS(BD!$B$3:$B$5001,S$89,BD!$A$3:$A$5001,"&gt;="&amp;$C$7,BD!$A$3:$A$5001,"&lt;="&amp;$D$7,BD!$N$3:$N$5001,"&lt;&gt;")=0,"",SUMIFS(BD!$N$3:$N$5001,BD!$B$3:$B$5001,S$89,BD!$A$3:$A$5001,_xlfn.MAXIFS(BD!$A$3:$A$5001,BD!$B$3:$B$5001,S$89,BD!$A$3:$A$5001,"&gt;="&amp;$C$7,BD!$A$3:$A$5001,"&lt;="&amp;$D$7,BD!$N$3:$N$5001,"&lt;&gt;"))),"—"))</f>
        <v/>
      </c>
      <c r="T102" s="32" t="str">
        <f>IF(T$89="","",IF(Config!$O$53&lt;&gt;"Não",IF(COUNTIFS(BD!$B$3:$B$5001,T$89,BD!$A$3:$A$5001,"&gt;="&amp;$C$7,BD!$A$3:$A$5001,"&lt;="&amp;$D$7,BD!$N$3:$N$5001,"&lt;&gt;")=0,"",SUMIFS(BD!$N$3:$N$5001,BD!$B$3:$B$5001,T$89,BD!$A$3:$A$5001,_xlfn.MAXIFS(BD!$A$3:$A$5001,BD!$B$3:$B$5001,T$89,BD!$A$3:$A$5001,"&gt;="&amp;$C$7,BD!$A$3:$A$5001,"&lt;="&amp;$D$7,BD!$N$3:$N$5001,"&lt;&gt;"))),"—"))</f>
        <v/>
      </c>
      <c r="U102" s="32" t="str">
        <f>IF(U$89="","",IF(Config!$O$54&lt;&gt;"Não",IF(COUNTIFS(BD!$B$3:$B$5001,U$89,BD!$A$3:$A$5001,"&gt;="&amp;$C$7,BD!$A$3:$A$5001,"&lt;="&amp;$D$7,BD!$N$3:$N$5001,"&lt;&gt;")=0,"",SUMIFS(BD!$N$3:$N$5001,BD!$B$3:$B$5001,U$89,BD!$A$3:$A$5001,_xlfn.MAXIFS(BD!$A$3:$A$5001,BD!$B$3:$B$5001,U$89,BD!$A$3:$A$5001,"&gt;="&amp;$C$7,BD!$A$3:$A$5001,"&lt;="&amp;$D$7,BD!$N$3:$N$5001,"&lt;&gt;"))),"—"))</f>
        <v/>
      </c>
      <c r="V102" s="62">
        <f>SUM(B102:U102)</f>
        <v>0</v>
      </c>
    </row>
    <row r="103">
      <c r="A103" s="29" t="inlineStr">
        <is>
          <t xml:space="preserve">GENTE · Falta</t>
        </is>
      </c>
      <c r="B103" s="32">
        <f>IF(B$89="","",IF(Config!$P$35&lt;&gt;"Não",SUMIFS(BD!$O$3:$O$5001,BD!$B$3:$B$5001,B$89,BD!$A$3:$A$5001,"&gt;="&amp;$C$7,BD!$A$3:$A$5001,"&lt;="&amp;$D$7),"—"))</f>
        <v>0</v>
      </c>
      <c r="C103" s="32">
        <f>IF(C$89="","",IF(Config!$P$36&lt;&gt;"Não",SUMIFS(BD!$O$3:$O$5001,BD!$B$3:$B$5001,C$89,BD!$A$3:$A$5001,"&gt;="&amp;$C$7,BD!$A$3:$A$5001,"&lt;="&amp;$D$7),"—"))</f>
        <v>0</v>
      </c>
      <c r="D103" s="32">
        <f>IF(D$89="","",IF(Config!$P$37&lt;&gt;"Não",SUMIFS(BD!$O$3:$O$5001,BD!$B$3:$B$5001,D$89,BD!$A$3:$A$5001,"&gt;="&amp;$C$7,BD!$A$3:$A$5001,"&lt;="&amp;$D$7),"—"))</f>
        <v>0</v>
      </c>
      <c r="E103" s="32">
        <f>IF(E$89="","",IF(Config!$P$38&lt;&gt;"Não",SUMIFS(BD!$O$3:$O$5001,BD!$B$3:$B$5001,E$89,BD!$A$3:$A$5001,"&gt;="&amp;$C$7,BD!$A$3:$A$5001,"&lt;="&amp;$D$7),"—"))</f>
        <v>0</v>
      </c>
      <c r="F103" s="32">
        <f>IF(F$89="","",IF(Config!$P$39&lt;&gt;"Não",SUMIFS(BD!$O$3:$O$5001,BD!$B$3:$B$5001,F$89,BD!$A$3:$A$5001,"&gt;="&amp;$C$7,BD!$A$3:$A$5001,"&lt;="&amp;$D$7),"—"))</f>
        <v>0</v>
      </c>
      <c r="G103" s="32" t="str">
        <f>IF(G$89="","",IF(Config!$P$40&lt;&gt;"Não",SUMIFS(BD!$O$3:$O$5001,BD!$B$3:$B$5001,G$89,BD!$A$3:$A$5001,"&gt;="&amp;$C$7,BD!$A$3:$A$5001,"&lt;="&amp;$D$7),"—"))</f>
        <v/>
      </c>
      <c r="H103" s="32" t="str">
        <f>IF(H$89="","",IF(Config!$P$41&lt;&gt;"Não",SUMIFS(BD!$O$3:$O$5001,BD!$B$3:$B$5001,H$89,BD!$A$3:$A$5001,"&gt;="&amp;$C$7,BD!$A$3:$A$5001,"&lt;="&amp;$D$7),"—"))</f>
        <v/>
      </c>
      <c r="I103" s="32" t="str">
        <f>IF(I$89="","",IF(Config!$P$42&lt;&gt;"Não",SUMIFS(BD!$O$3:$O$5001,BD!$B$3:$B$5001,I$89,BD!$A$3:$A$5001,"&gt;="&amp;$C$7,BD!$A$3:$A$5001,"&lt;="&amp;$D$7),"—"))</f>
        <v/>
      </c>
      <c r="J103" s="32" t="str">
        <f>IF(J$89="","",IF(Config!$P$43&lt;&gt;"Não",SUMIFS(BD!$O$3:$O$5001,BD!$B$3:$B$5001,J$89,BD!$A$3:$A$5001,"&gt;="&amp;$C$7,BD!$A$3:$A$5001,"&lt;="&amp;$D$7),"—"))</f>
        <v/>
      </c>
      <c r="K103" s="32" t="str">
        <f>IF(K$89="","",IF(Config!$P$44&lt;&gt;"Não",SUMIFS(BD!$O$3:$O$5001,BD!$B$3:$B$5001,K$89,BD!$A$3:$A$5001,"&gt;="&amp;$C$7,BD!$A$3:$A$5001,"&lt;="&amp;$D$7),"—"))</f>
        <v/>
      </c>
      <c r="L103" s="32" t="str">
        <f>IF(L$89="","",IF(Config!$P$45&lt;&gt;"Não",SUMIFS(BD!$O$3:$O$5001,BD!$B$3:$B$5001,L$89,BD!$A$3:$A$5001,"&gt;="&amp;$C$7,BD!$A$3:$A$5001,"&lt;="&amp;$D$7),"—"))</f>
        <v/>
      </c>
      <c r="M103" s="32" t="str">
        <f>IF(M$89="","",IF(Config!$P$46&lt;&gt;"Não",SUMIFS(BD!$O$3:$O$5001,BD!$B$3:$B$5001,M$89,BD!$A$3:$A$5001,"&gt;="&amp;$C$7,BD!$A$3:$A$5001,"&lt;="&amp;$D$7),"—"))</f>
        <v/>
      </c>
      <c r="N103" s="32" t="str">
        <f>IF(N$89="","",IF(Config!$P$47&lt;&gt;"Não",SUMIFS(BD!$O$3:$O$5001,BD!$B$3:$B$5001,N$89,BD!$A$3:$A$5001,"&gt;="&amp;$C$7,BD!$A$3:$A$5001,"&lt;="&amp;$D$7),"—"))</f>
        <v/>
      </c>
      <c r="O103" s="32" t="str">
        <f>IF(O$89="","",IF(Config!$P$48&lt;&gt;"Não",SUMIFS(BD!$O$3:$O$5001,BD!$B$3:$B$5001,O$89,BD!$A$3:$A$5001,"&gt;="&amp;$C$7,BD!$A$3:$A$5001,"&lt;="&amp;$D$7),"—"))</f>
        <v/>
      </c>
      <c r="P103" s="32" t="str">
        <f>IF(P$89="","",IF(Config!$P$49&lt;&gt;"Não",SUMIFS(BD!$O$3:$O$5001,BD!$B$3:$B$5001,P$89,BD!$A$3:$A$5001,"&gt;="&amp;$C$7,BD!$A$3:$A$5001,"&lt;="&amp;$D$7),"—"))</f>
        <v/>
      </c>
      <c r="Q103" s="32" t="str">
        <f>IF(Q$89="","",IF(Config!$P$50&lt;&gt;"Não",SUMIFS(BD!$O$3:$O$5001,BD!$B$3:$B$5001,Q$89,BD!$A$3:$A$5001,"&gt;="&amp;$C$7,BD!$A$3:$A$5001,"&lt;="&amp;$D$7),"—"))</f>
        <v/>
      </c>
      <c r="R103" s="32" t="str">
        <f>IF(R$89="","",IF(Config!$P$51&lt;&gt;"Não",SUMIFS(BD!$O$3:$O$5001,BD!$B$3:$B$5001,R$89,BD!$A$3:$A$5001,"&gt;="&amp;$C$7,BD!$A$3:$A$5001,"&lt;="&amp;$D$7),"—"))</f>
        <v/>
      </c>
      <c r="S103" s="32" t="str">
        <f>IF(S$89="","",IF(Config!$P$52&lt;&gt;"Não",SUMIFS(BD!$O$3:$O$5001,BD!$B$3:$B$5001,S$89,BD!$A$3:$A$5001,"&gt;="&amp;$C$7,BD!$A$3:$A$5001,"&lt;="&amp;$D$7),"—"))</f>
        <v/>
      </c>
      <c r="T103" s="32" t="str">
        <f>IF(T$89="","",IF(Config!$P$53&lt;&gt;"Não",SUMIFS(BD!$O$3:$O$5001,BD!$B$3:$B$5001,T$89,BD!$A$3:$A$5001,"&gt;="&amp;$C$7,BD!$A$3:$A$5001,"&lt;="&amp;$D$7),"—"))</f>
        <v/>
      </c>
      <c r="U103" s="32" t="str">
        <f>IF(U$89="","",IF(Config!$P$54&lt;&gt;"Não",SUMIFS(BD!$O$3:$O$5001,BD!$B$3:$B$5001,U$89,BD!$A$3:$A$5001,"&gt;="&amp;$C$7,BD!$A$3:$A$5001,"&lt;="&amp;$D$7),"—"))</f>
        <v/>
      </c>
      <c r="V103" s="62">
        <f>SUM(B103:U103)</f>
        <v>0</v>
      </c>
    </row>
    <row r="104">
      <c r="A104" s="29" t="inlineStr">
        <is>
          <t xml:space="preserve">GENTE · Folga</t>
        </is>
      </c>
      <c r="B104" s="32">
        <f>IF(B$89="","",IF(Config!$Q$35&lt;&gt;"Não",SUMIFS(BD!$P$3:$P$5001,BD!$B$3:$B$5001,B$89,BD!$A$3:$A$5001,"&gt;="&amp;$C$7,BD!$A$3:$A$5001,"&lt;="&amp;$D$7),"—"))</f>
        <v>0</v>
      </c>
      <c r="C104" s="32">
        <f>IF(C$89="","",IF(Config!$Q$36&lt;&gt;"Não",SUMIFS(BD!$P$3:$P$5001,BD!$B$3:$B$5001,C$89,BD!$A$3:$A$5001,"&gt;="&amp;$C$7,BD!$A$3:$A$5001,"&lt;="&amp;$D$7),"—"))</f>
        <v>0</v>
      </c>
      <c r="D104" s="32">
        <f>IF(D$89="","",IF(Config!$Q$37&lt;&gt;"Não",SUMIFS(BD!$P$3:$P$5001,BD!$B$3:$B$5001,D$89,BD!$A$3:$A$5001,"&gt;="&amp;$C$7,BD!$A$3:$A$5001,"&lt;="&amp;$D$7),"—"))</f>
        <v>0</v>
      </c>
      <c r="E104" s="32">
        <f>IF(E$89="","",IF(Config!$Q$38&lt;&gt;"Não",SUMIFS(BD!$P$3:$P$5001,BD!$B$3:$B$5001,E$89,BD!$A$3:$A$5001,"&gt;="&amp;$C$7,BD!$A$3:$A$5001,"&lt;="&amp;$D$7),"—"))</f>
        <v>0</v>
      </c>
      <c r="F104" s="32">
        <f>IF(F$89="","",IF(Config!$Q$39&lt;&gt;"Não",SUMIFS(BD!$P$3:$P$5001,BD!$B$3:$B$5001,F$89,BD!$A$3:$A$5001,"&gt;="&amp;$C$7,BD!$A$3:$A$5001,"&lt;="&amp;$D$7),"—"))</f>
        <v>0</v>
      </c>
      <c r="G104" s="32" t="str">
        <f>IF(G$89="","",IF(Config!$Q$40&lt;&gt;"Não",SUMIFS(BD!$P$3:$P$5001,BD!$B$3:$B$5001,G$89,BD!$A$3:$A$5001,"&gt;="&amp;$C$7,BD!$A$3:$A$5001,"&lt;="&amp;$D$7),"—"))</f>
        <v/>
      </c>
      <c r="H104" s="32" t="str">
        <f>IF(H$89="","",IF(Config!$Q$41&lt;&gt;"Não",SUMIFS(BD!$P$3:$P$5001,BD!$B$3:$B$5001,H$89,BD!$A$3:$A$5001,"&gt;="&amp;$C$7,BD!$A$3:$A$5001,"&lt;="&amp;$D$7),"—"))</f>
        <v/>
      </c>
      <c r="I104" s="32" t="str">
        <f>IF(I$89="","",IF(Config!$Q$42&lt;&gt;"Não",SUMIFS(BD!$P$3:$P$5001,BD!$B$3:$B$5001,I$89,BD!$A$3:$A$5001,"&gt;="&amp;$C$7,BD!$A$3:$A$5001,"&lt;="&amp;$D$7),"—"))</f>
        <v/>
      </c>
      <c r="J104" s="32" t="str">
        <f>IF(J$89="","",IF(Config!$Q$43&lt;&gt;"Não",SUMIFS(BD!$P$3:$P$5001,BD!$B$3:$B$5001,J$89,BD!$A$3:$A$5001,"&gt;="&amp;$C$7,BD!$A$3:$A$5001,"&lt;="&amp;$D$7),"—"))</f>
        <v/>
      </c>
      <c r="K104" s="32" t="str">
        <f>IF(K$89="","",IF(Config!$Q$44&lt;&gt;"Não",SUMIFS(BD!$P$3:$P$5001,BD!$B$3:$B$5001,K$89,BD!$A$3:$A$5001,"&gt;="&amp;$C$7,BD!$A$3:$A$5001,"&lt;="&amp;$D$7),"—"))</f>
        <v/>
      </c>
      <c r="L104" s="32" t="str">
        <f>IF(L$89="","",IF(Config!$Q$45&lt;&gt;"Não",SUMIFS(BD!$P$3:$P$5001,BD!$B$3:$B$5001,L$89,BD!$A$3:$A$5001,"&gt;="&amp;$C$7,BD!$A$3:$A$5001,"&lt;="&amp;$D$7),"—"))</f>
        <v/>
      </c>
      <c r="M104" s="32" t="str">
        <f>IF(M$89="","",IF(Config!$Q$46&lt;&gt;"Não",SUMIFS(BD!$P$3:$P$5001,BD!$B$3:$B$5001,M$89,BD!$A$3:$A$5001,"&gt;="&amp;$C$7,BD!$A$3:$A$5001,"&lt;="&amp;$D$7),"—"))</f>
        <v/>
      </c>
      <c r="N104" s="32" t="str">
        <f>IF(N$89="","",IF(Config!$Q$47&lt;&gt;"Não",SUMIFS(BD!$P$3:$P$5001,BD!$B$3:$B$5001,N$89,BD!$A$3:$A$5001,"&gt;="&amp;$C$7,BD!$A$3:$A$5001,"&lt;="&amp;$D$7),"—"))</f>
        <v/>
      </c>
      <c r="O104" s="32" t="str">
        <f>IF(O$89="","",IF(Config!$Q$48&lt;&gt;"Não",SUMIFS(BD!$P$3:$P$5001,BD!$B$3:$B$5001,O$89,BD!$A$3:$A$5001,"&gt;="&amp;$C$7,BD!$A$3:$A$5001,"&lt;="&amp;$D$7),"—"))</f>
        <v/>
      </c>
      <c r="P104" s="32" t="str">
        <f>IF(P$89="","",IF(Config!$Q$49&lt;&gt;"Não",SUMIFS(BD!$P$3:$P$5001,BD!$B$3:$B$5001,P$89,BD!$A$3:$A$5001,"&gt;="&amp;$C$7,BD!$A$3:$A$5001,"&lt;="&amp;$D$7),"—"))</f>
        <v/>
      </c>
      <c r="Q104" s="32" t="str">
        <f>IF(Q$89="","",IF(Config!$Q$50&lt;&gt;"Não",SUMIFS(BD!$P$3:$P$5001,BD!$B$3:$B$5001,Q$89,BD!$A$3:$A$5001,"&gt;="&amp;$C$7,BD!$A$3:$A$5001,"&lt;="&amp;$D$7),"—"))</f>
        <v/>
      </c>
      <c r="R104" s="32" t="str">
        <f>IF(R$89="","",IF(Config!$Q$51&lt;&gt;"Não",SUMIFS(BD!$P$3:$P$5001,BD!$B$3:$B$5001,R$89,BD!$A$3:$A$5001,"&gt;="&amp;$C$7,BD!$A$3:$A$5001,"&lt;="&amp;$D$7),"—"))</f>
        <v/>
      </c>
      <c r="S104" s="32" t="str">
        <f>IF(S$89="","",IF(Config!$Q$52&lt;&gt;"Não",SUMIFS(BD!$P$3:$P$5001,BD!$B$3:$B$5001,S$89,BD!$A$3:$A$5001,"&gt;="&amp;$C$7,BD!$A$3:$A$5001,"&lt;="&amp;$D$7),"—"))</f>
        <v/>
      </c>
      <c r="T104" s="32" t="str">
        <f>IF(T$89="","",IF(Config!$Q$53&lt;&gt;"Não",SUMIFS(BD!$P$3:$P$5001,BD!$B$3:$B$5001,T$89,BD!$A$3:$A$5001,"&gt;="&amp;$C$7,BD!$A$3:$A$5001,"&lt;="&amp;$D$7),"—"))</f>
        <v/>
      </c>
      <c r="U104" s="32" t="str">
        <f>IF(U$89="","",IF(Config!$Q$54&lt;&gt;"Não",SUMIFS(BD!$P$3:$P$5001,BD!$B$3:$B$5001,U$89,BD!$A$3:$A$5001,"&gt;="&amp;$C$7,BD!$A$3:$A$5001,"&lt;="&amp;$D$7),"—"))</f>
        <v/>
      </c>
      <c r="V104" s="62">
        <f>SUM(B104:U104)</f>
        <v>0</v>
      </c>
    </row>
    <row r="105">
      <c r="A105" s="29" t="inlineStr">
        <is>
          <t xml:space="preserve">GENTE · Férias</t>
        </is>
      </c>
      <c r="B105" s="32">
        <f>IF(B$89="","",IF(Config!$R$35&lt;&gt;"Não",SUMIFS(BD!$Q$3:$Q$5001,BD!$B$3:$B$5001,B$89,BD!$A$3:$A$5001,"&gt;="&amp;$C$7,BD!$A$3:$A$5001,"&lt;="&amp;$D$7),"—"))</f>
        <v>0</v>
      </c>
      <c r="C105" s="32">
        <f>IF(C$89="","",IF(Config!$R$36&lt;&gt;"Não",SUMIFS(BD!$Q$3:$Q$5001,BD!$B$3:$B$5001,C$89,BD!$A$3:$A$5001,"&gt;="&amp;$C$7,BD!$A$3:$A$5001,"&lt;="&amp;$D$7),"—"))</f>
        <v>0</v>
      </c>
      <c r="D105" s="32">
        <f>IF(D$89="","",IF(Config!$R$37&lt;&gt;"Não",SUMIFS(BD!$Q$3:$Q$5001,BD!$B$3:$B$5001,D$89,BD!$A$3:$A$5001,"&gt;="&amp;$C$7,BD!$A$3:$A$5001,"&lt;="&amp;$D$7),"—"))</f>
        <v>0</v>
      </c>
      <c r="E105" s="32">
        <f>IF(E$89="","",IF(Config!$R$38&lt;&gt;"Não",SUMIFS(BD!$Q$3:$Q$5001,BD!$B$3:$B$5001,E$89,BD!$A$3:$A$5001,"&gt;="&amp;$C$7,BD!$A$3:$A$5001,"&lt;="&amp;$D$7),"—"))</f>
        <v>0</v>
      </c>
      <c r="F105" s="32">
        <f>IF(F$89="","",IF(Config!$R$39&lt;&gt;"Não",SUMIFS(BD!$Q$3:$Q$5001,BD!$B$3:$B$5001,F$89,BD!$A$3:$A$5001,"&gt;="&amp;$C$7,BD!$A$3:$A$5001,"&lt;="&amp;$D$7),"—"))</f>
        <v>0</v>
      </c>
      <c r="G105" s="32" t="str">
        <f>IF(G$89="","",IF(Config!$R$40&lt;&gt;"Não",SUMIFS(BD!$Q$3:$Q$5001,BD!$B$3:$B$5001,G$89,BD!$A$3:$A$5001,"&gt;="&amp;$C$7,BD!$A$3:$A$5001,"&lt;="&amp;$D$7),"—"))</f>
        <v/>
      </c>
      <c r="H105" s="32" t="str">
        <f>IF(H$89="","",IF(Config!$R$41&lt;&gt;"Não",SUMIFS(BD!$Q$3:$Q$5001,BD!$B$3:$B$5001,H$89,BD!$A$3:$A$5001,"&gt;="&amp;$C$7,BD!$A$3:$A$5001,"&lt;="&amp;$D$7),"—"))</f>
        <v/>
      </c>
      <c r="I105" s="32" t="str">
        <f>IF(I$89="","",IF(Config!$R$42&lt;&gt;"Não",SUMIFS(BD!$Q$3:$Q$5001,BD!$B$3:$B$5001,I$89,BD!$A$3:$A$5001,"&gt;="&amp;$C$7,BD!$A$3:$A$5001,"&lt;="&amp;$D$7),"—"))</f>
        <v/>
      </c>
      <c r="J105" s="32" t="str">
        <f>IF(J$89="","",IF(Config!$R$43&lt;&gt;"Não",SUMIFS(BD!$Q$3:$Q$5001,BD!$B$3:$B$5001,J$89,BD!$A$3:$A$5001,"&gt;="&amp;$C$7,BD!$A$3:$A$5001,"&lt;="&amp;$D$7),"—"))</f>
        <v/>
      </c>
      <c r="K105" s="32" t="str">
        <f>IF(K$89="","",IF(Config!$R$44&lt;&gt;"Não",SUMIFS(BD!$Q$3:$Q$5001,BD!$B$3:$B$5001,K$89,BD!$A$3:$A$5001,"&gt;="&amp;$C$7,BD!$A$3:$A$5001,"&lt;="&amp;$D$7),"—"))</f>
        <v/>
      </c>
      <c r="L105" s="32" t="str">
        <f>IF(L$89="","",IF(Config!$R$45&lt;&gt;"Não",SUMIFS(BD!$Q$3:$Q$5001,BD!$B$3:$B$5001,L$89,BD!$A$3:$A$5001,"&gt;="&amp;$C$7,BD!$A$3:$A$5001,"&lt;="&amp;$D$7),"—"))</f>
        <v/>
      </c>
      <c r="M105" s="32" t="str">
        <f>IF(M$89="","",IF(Config!$R$46&lt;&gt;"Não",SUMIFS(BD!$Q$3:$Q$5001,BD!$B$3:$B$5001,M$89,BD!$A$3:$A$5001,"&gt;="&amp;$C$7,BD!$A$3:$A$5001,"&lt;="&amp;$D$7),"—"))</f>
        <v/>
      </c>
      <c r="N105" s="32" t="str">
        <f>IF(N$89="","",IF(Config!$R$47&lt;&gt;"Não",SUMIFS(BD!$Q$3:$Q$5001,BD!$B$3:$B$5001,N$89,BD!$A$3:$A$5001,"&gt;="&amp;$C$7,BD!$A$3:$A$5001,"&lt;="&amp;$D$7),"—"))</f>
        <v/>
      </c>
      <c r="O105" s="32" t="str">
        <f>IF(O$89="","",IF(Config!$R$48&lt;&gt;"Não",SUMIFS(BD!$Q$3:$Q$5001,BD!$B$3:$B$5001,O$89,BD!$A$3:$A$5001,"&gt;="&amp;$C$7,BD!$A$3:$A$5001,"&lt;="&amp;$D$7),"—"))</f>
        <v/>
      </c>
      <c r="P105" s="32" t="str">
        <f>IF(P$89="","",IF(Config!$R$49&lt;&gt;"Não",SUMIFS(BD!$Q$3:$Q$5001,BD!$B$3:$B$5001,P$89,BD!$A$3:$A$5001,"&gt;="&amp;$C$7,BD!$A$3:$A$5001,"&lt;="&amp;$D$7),"—"))</f>
        <v/>
      </c>
      <c r="Q105" s="32" t="str">
        <f>IF(Q$89="","",IF(Config!$R$50&lt;&gt;"Não",SUMIFS(BD!$Q$3:$Q$5001,BD!$B$3:$B$5001,Q$89,BD!$A$3:$A$5001,"&gt;="&amp;$C$7,BD!$A$3:$A$5001,"&lt;="&amp;$D$7),"—"))</f>
        <v/>
      </c>
      <c r="R105" s="32" t="str">
        <f>IF(R$89="","",IF(Config!$R$51&lt;&gt;"Não",SUMIFS(BD!$Q$3:$Q$5001,BD!$B$3:$B$5001,R$89,BD!$A$3:$A$5001,"&gt;="&amp;$C$7,BD!$A$3:$A$5001,"&lt;="&amp;$D$7),"—"))</f>
        <v/>
      </c>
      <c r="S105" s="32" t="str">
        <f>IF(S$89="","",IF(Config!$R$52&lt;&gt;"Não",SUMIFS(BD!$Q$3:$Q$5001,BD!$B$3:$B$5001,S$89,BD!$A$3:$A$5001,"&gt;="&amp;$C$7,BD!$A$3:$A$5001,"&lt;="&amp;$D$7),"—"))</f>
        <v/>
      </c>
      <c r="T105" s="32" t="str">
        <f>IF(T$89="","",IF(Config!$R$53&lt;&gt;"Não",SUMIFS(BD!$Q$3:$Q$5001,BD!$B$3:$B$5001,T$89,BD!$A$3:$A$5001,"&gt;="&amp;$C$7,BD!$A$3:$A$5001,"&lt;="&amp;$D$7),"—"))</f>
        <v/>
      </c>
      <c r="U105" s="32" t="str">
        <f>IF(U$89="","",IF(Config!$R$54&lt;&gt;"Não",SUMIFS(BD!$Q$3:$Q$5001,BD!$B$3:$B$5001,U$89,BD!$A$3:$A$5001,"&gt;="&amp;$C$7,BD!$A$3:$A$5001,"&lt;="&amp;$D$7),"—"))</f>
        <v/>
      </c>
      <c r="V105" s="62">
        <f>SUM(B105:U105)</f>
        <v>0</v>
      </c>
    </row>
    <row r="106">
      <c r="A106" s="29" t="inlineStr">
        <is>
          <t xml:space="preserve">GENTE · Desligamento</t>
        </is>
      </c>
      <c r="B106" s="32">
        <f>IF(B$89="","",IF(Config!$S$35&lt;&gt;"Não",SUMIFS(BD!$R$3:$R$5001,BD!$B$3:$B$5001,B$89,BD!$A$3:$A$5001,"&gt;="&amp;$C$7,BD!$A$3:$A$5001,"&lt;="&amp;$D$7),"—"))</f>
        <v>0</v>
      </c>
      <c r="C106" s="32">
        <f>IF(C$89="","",IF(Config!$S$36&lt;&gt;"Não",SUMIFS(BD!$R$3:$R$5001,BD!$B$3:$B$5001,C$89,BD!$A$3:$A$5001,"&gt;="&amp;$C$7,BD!$A$3:$A$5001,"&lt;="&amp;$D$7),"—"))</f>
        <v>0</v>
      </c>
      <c r="D106" s="32">
        <f>IF(D$89="","",IF(Config!$S$37&lt;&gt;"Não",SUMIFS(BD!$R$3:$R$5001,BD!$B$3:$B$5001,D$89,BD!$A$3:$A$5001,"&gt;="&amp;$C$7,BD!$A$3:$A$5001,"&lt;="&amp;$D$7),"—"))</f>
        <v>0</v>
      </c>
      <c r="E106" s="32">
        <f>IF(E$89="","",IF(Config!$S$38&lt;&gt;"Não",SUMIFS(BD!$R$3:$R$5001,BD!$B$3:$B$5001,E$89,BD!$A$3:$A$5001,"&gt;="&amp;$C$7,BD!$A$3:$A$5001,"&lt;="&amp;$D$7),"—"))</f>
        <v>0</v>
      </c>
      <c r="F106" s="32">
        <f>IF(F$89="","",IF(Config!$S$39&lt;&gt;"Não",SUMIFS(BD!$R$3:$R$5001,BD!$B$3:$B$5001,F$89,BD!$A$3:$A$5001,"&gt;="&amp;$C$7,BD!$A$3:$A$5001,"&lt;="&amp;$D$7),"—"))</f>
        <v>0</v>
      </c>
      <c r="G106" s="32" t="str">
        <f>IF(G$89="","",IF(Config!$S$40&lt;&gt;"Não",SUMIFS(BD!$R$3:$R$5001,BD!$B$3:$B$5001,G$89,BD!$A$3:$A$5001,"&gt;="&amp;$C$7,BD!$A$3:$A$5001,"&lt;="&amp;$D$7),"—"))</f>
        <v/>
      </c>
      <c r="H106" s="32" t="str">
        <f>IF(H$89="","",IF(Config!$S$41&lt;&gt;"Não",SUMIFS(BD!$R$3:$R$5001,BD!$B$3:$B$5001,H$89,BD!$A$3:$A$5001,"&gt;="&amp;$C$7,BD!$A$3:$A$5001,"&lt;="&amp;$D$7),"—"))</f>
        <v/>
      </c>
      <c r="I106" s="32" t="str">
        <f>IF(I$89="","",IF(Config!$S$42&lt;&gt;"Não",SUMIFS(BD!$R$3:$R$5001,BD!$B$3:$B$5001,I$89,BD!$A$3:$A$5001,"&gt;="&amp;$C$7,BD!$A$3:$A$5001,"&lt;="&amp;$D$7),"—"))</f>
        <v/>
      </c>
      <c r="J106" s="32" t="str">
        <f>IF(J$89="","",IF(Config!$S$43&lt;&gt;"Não",SUMIFS(BD!$R$3:$R$5001,BD!$B$3:$B$5001,J$89,BD!$A$3:$A$5001,"&gt;="&amp;$C$7,BD!$A$3:$A$5001,"&lt;="&amp;$D$7),"—"))</f>
        <v/>
      </c>
      <c r="K106" s="32" t="str">
        <f>IF(K$89="","",IF(Config!$S$44&lt;&gt;"Não",SUMIFS(BD!$R$3:$R$5001,BD!$B$3:$B$5001,K$89,BD!$A$3:$A$5001,"&gt;="&amp;$C$7,BD!$A$3:$A$5001,"&lt;="&amp;$D$7),"—"))</f>
        <v/>
      </c>
      <c r="L106" s="32" t="str">
        <f>IF(L$89="","",IF(Config!$S$45&lt;&gt;"Não",SUMIFS(BD!$R$3:$R$5001,BD!$B$3:$B$5001,L$89,BD!$A$3:$A$5001,"&gt;="&amp;$C$7,BD!$A$3:$A$5001,"&lt;="&amp;$D$7),"—"))</f>
        <v/>
      </c>
      <c r="M106" s="32" t="str">
        <f>IF(M$89="","",IF(Config!$S$46&lt;&gt;"Não",SUMIFS(BD!$R$3:$R$5001,BD!$B$3:$B$5001,M$89,BD!$A$3:$A$5001,"&gt;="&amp;$C$7,BD!$A$3:$A$5001,"&lt;="&amp;$D$7),"—"))</f>
        <v/>
      </c>
      <c r="N106" s="32" t="str">
        <f>IF(N$89="","",IF(Config!$S$47&lt;&gt;"Não",SUMIFS(BD!$R$3:$R$5001,BD!$B$3:$B$5001,N$89,BD!$A$3:$A$5001,"&gt;="&amp;$C$7,BD!$A$3:$A$5001,"&lt;="&amp;$D$7),"—"))</f>
        <v/>
      </c>
      <c r="O106" s="32" t="str">
        <f>IF(O$89="","",IF(Config!$S$48&lt;&gt;"Não",SUMIFS(BD!$R$3:$R$5001,BD!$B$3:$B$5001,O$89,BD!$A$3:$A$5001,"&gt;="&amp;$C$7,BD!$A$3:$A$5001,"&lt;="&amp;$D$7),"—"))</f>
        <v/>
      </c>
      <c r="P106" s="32" t="str">
        <f>IF(P$89="","",IF(Config!$S$49&lt;&gt;"Não",SUMIFS(BD!$R$3:$R$5001,BD!$B$3:$B$5001,P$89,BD!$A$3:$A$5001,"&gt;="&amp;$C$7,BD!$A$3:$A$5001,"&lt;="&amp;$D$7),"—"))</f>
        <v/>
      </c>
      <c r="Q106" s="32" t="str">
        <f>IF(Q$89="","",IF(Config!$S$50&lt;&gt;"Não",SUMIFS(BD!$R$3:$R$5001,BD!$B$3:$B$5001,Q$89,BD!$A$3:$A$5001,"&gt;="&amp;$C$7,BD!$A$3:$A$5001,"&lt;="&amp;$D$7),"—"))</f>
        <v/>
      </c>
      <c r="R106" s="32" t="str">
        <f>IF(R$89="","",IF(Config!$S$51&lt;&gt;"Não",SUMIFS(BD!$R$3:$R$5001,BD!$B$3:$B$5001,R$89,BD!$A$3:$A$5001,"&gt;="&amp;$C$7,BD!$A$3:$A$5001,"&lt;="&amp;$D$7),"—"))</f>
        <v/>
      </c>
      <c r="S106" s="32" t="str">
        <f>IF(S$89="","",IF(Config!$S$52&lt;&gt;"Não",SUMIFS(BD!$R$3:$R$5001,BD!$B$3:$B$5001,S$89,BD!$A$3:$A$5001,"&gt;="&amp;$C$7,BD!$A$3:$A$5001,"&lt;="&amp;$D$7),"—"))</f>
        <v/>
      </c>
      <c r="T106" s="32" t="str">
        <f>IF(T$89="","",IF(Config!$S$53&lt;&gt;"Não",SUMIFS(BD!$R$3:$R$5001,BD!$B$3:$B$5001,T$89,BD!$A$3:$A$5001,"&gt;="&amp;$C$7,BD!$A$3:$A$5001,"&lt;="&amp;$D$7),"—"))</f>
        <v/>
      </c>
      <c r="U106" s="32" t="str">
        <f>IF(U$89="","",IF(Config!$S$54&lt;&gt;"Não",SUMIFS(BD!$R$3:$R$5001,BD!$B$3:$B$5001,U$89,BD!$A$3:$A$5001,"&gt;="&amp;$C$7,BD!$A$3:$A$5001,"&lt;="&amp;$D$7),"—"))</f>
        <v/>
      </c>
      <c r="V106" s="62">
        <f>SUM(B106:U106)</f>
        <v>0</v>
      </c>
    </row>
    <row r="107">
      <c r="A107" s="29" t="inlineStr">
        <is>
          <t xml:space="preserve">GENTE · Desvios Comportamentais</t>
        </is>
      </c>
      <c r="B107" s="32">
        <f>IF(B$89="","",IF(Config!$T$35&lt;&gt;"Não",SUMIFS(BD!$S$3:$S$5001,BD!$B$3:$B$5001,B$89,BD!$A$3:$A$5001,"&gt;="&amp;$C$7,BD!$A$3:$A$5001,"&lt;="&amp;$D$7),"—"))</f>
        <v>0</v>
      </c>
      <c r="C107" s="32">
        <f>IF(C$89="","",IF(Config!$T$36&lt;&gt;"Não",SUMIFS(BD!$S$3:$S$5001,BD!$B$3:$B$5001,C$89,BD!$A$3:$A$5001,"&gt;="&amp;$C$7,BD!$A$3:$A$5001,"&lt;="&amp;$D$7),"—"))</f>
        <v>0</v>
      </c>
      <c r="D107" s="32">
        <f>IF(D$89="","",IF(Config!$T$37&lt;&gt;"Não",SUMIFS(BD!$S$3:$S$5001,BD!$B$3:$B$5001,D$89,BD!$A$3:$A$5001,"&gt;="&amp;$C$7,BD!$A$3:$A$5001,"&lt;="&amp;$D$7),"—"))</f>
        <v>0</v>
      </c>
      <c r="E107" s="32">
        <f>IF(E$89="","",IF(Config!$T$38&lt;&gt;"Não",SUMIFS(BD!$S$3:$S$5001,BD!$B$3:$B$5001,E$89,BD!$A$3:$A$5001,"&gt;="&amp;$C$7,BD!$A$3:$A$5001,"&lt;="&amp;$D$7),"—"))</f>
        <v>0</v>
      </c>
      <c r="F107" s="32">
        <f>IF(F$89="","",IF(Config!$T$39&lt;&gt;"Não",SUMIFS(BD!$S$3:$S$5001,BD!$B$3:$B$5001,F$89,BD!$A$3:$A$5001,"&gt;="&amp;$C$7,BD!$A$3:$A$5001,"&lt;="&amp;$D$7),"—"))</f>
        <v>0</v>
      </c>
      <c r="G107" s="32" t="str">
        <f>IF(G$89="","",IF(Config!$T$40&lt;&gt;"Não",SUMIFS(BD!$S$3:$S$5001,BD!$B$3:$B$5001,G$89,BD!$A$3:$A$5001,"&gt;="&amp;$C$7,BD!$A$3:$A$5001,"&lt;="&amp;$D$7),"—"))</f>
        <v/>
      </c>
      <c r="H107" s="32" t="str">
        <f>IF(H$89="","",IF(Config!$T$41&lt;&gt;"Não",SUMIFS(BD!$S$3:$S$5001,BD!$B$3:$B$5001,H$89,BD!$A$3:$A$5001,"&gt;="&amp;$C$7,BD!$A$3:$A$5001,"&lt;="&amp;$D$7),"—"))</f>
        <v/>
      </c>
      <c r="I107" s="32" t="str">
        <f>IF(I$89="","",IF(Config!$T$42&lt;&gt;"Não",SUMIFS(BD!$S$3:$S$5001,BD!$B$3:$B$5001,I$89,BD!$A$3:$A$5001,"&gt;="&amp;$C$7,BD!$A$3:$A$5001,"&lt;="&amp;$D$7),"—"))</f>
        <v/>
      </c>
      <c r="J107" s="32" t="str">
        <f>IF(J$89="","",IF(Config!$T$43&lt;&gt;"Não",SUMIFS(BD!$S$3:$S$5001,BD!$B$3:$B$5001,J$89,BD!$A$3:$A$5001,"&gt;="&amp;$C$7,BD!$A$3:$A$5001,"&lt;="&amp;$D$7),"—"))</f>
        <v/>
      </c>
      <c r="K107" s="32" t="str">
        <f>IF(K$89="","",IF(Config!$T$44&lt;&gt;"Não",SUMIFS(BD!$S$3:$S$5001,BD!$B$3:$B$5001,K$89,BD!$A$3:$A$5001,"&gt;="&amp;$C$7,BD!$A$3:$A$5001,"&lt;="&amp;$D$7),"—"))</f>
        <v/>
      </c>
      <c r="L107" s="32" t="str">
        <f>IF(L$89="","",IF(Config!$T$45&lt;&gt;"Não",SUMIFS(BD!$S$3:$S$5001,BD!$B$3:$B$5001,L$89,BD!$A$3:$A$5001,"&gt;="&amp;$C$7,BD!$A$3:$A$5001,"&lt;="&amp;$D$7),"—"))</f>
        <v/>
      </c>
      <c r="M107" s="32" t="str">
        <f>IF(M$89="","",IF(Config!$T$46&lt;&gt;"Não",SUMIFS(BD!$S$3:$S$5001,BD!$B$3:$B$5001,M$89,BD!$A$3:$A$5001,"&gt;="&amp;$C$7,BD!$A$3:$A$5001,"&lt;="&amp;$D$7),"—"))</f>
        <v/>
      </c>
      <c r="N107" s="32" t="str">
        <f>IF(N$89="","",IF(Config!$T$47&lt;&gt;"Não",SUMIFS(BD!$S$3:$S$5001,BD!$B$3:$B$5001,N$89,BD!$A$3:$A$5001,"&gt;="&amp;$C$7,BD!$A$3:$A$5001,"&lt;="&amp;$D$7),"—"))</f>
        <v/>
      </c>
      <c r="O107" s="32" t="str">
        <f>IF(O$89="","",IF(Config!$T$48&lt;&gt;"Não",SUMIFS(BD!$S$3:$S$5001,BD!$B$3:$B$5001,O$89,BD!$A$3:$A$5001,"&gt;="&amp;$C$7,BD!$A$3:$A$5001,"&lt;="&amp;$D$7),"—"))</f>
        <v/>
      </c>
      <c r="P107" s="32" t="str">
        <f>IF(P$89="","",IF(Config!$T$49&lt;&gt;"Não",SUMIFS(BD!$S$3:$S$5001,BD!$B$3:$B$5001,P$89,BD!$A$3:$A$5001,"&gt;="&amp;$C$7,BD!$A$3:$A$5001,"&lt;="&amp;$D$7),"—"))</f>
        <v/>
      </c>
      <c r="Q107" s="32" t="str">
        <f>IF(Q$89="","",IF(Config!$T$50&lt;&gt;"Não",SUMIFS(BD!$S$3:$S$5001,BD!$B$3:$B$5001,Q$89,BD!$A$3:$A$5001,"&gt;="&amp;$C$7,BD!$A$3:$A$5001,"&lt;="&amp;$D$7),"—"))</f>
        <v/>
      </c>
      <c r="R107" s="32" t="str">
        <f>IF(R$89="","",IF(Config!$T$51&lt;&gt;"Não",SUMIFS(BD!$S$3:$S$5001,BD!$B$3:$B$5001,R$89,BD!$A$3:$A$5001,"&gt;="&amp;$C$7,BD!$A$3:$A$5001,"&lt;="&amp;$D$7),"—"))</f>
        <v/>
      </c>
      <c r="S107" s="32" t="str">
        <f>IF(S$89="","",IF(Config!$T$52&lt;&gt;"Não",SUMIFS(BD!$S$3:$S$5001,BD!$B$3:$B$5001,S$89,BD!$A$3:$A$5001,"&gt;="&amp;$C$7,BD!$A$3:$A$5001,"&lt;="&amp;$D$7),"—"))</f>
        <v/>
      </c>
      <c r="T107" s="32" t="str">
        <f>IF(T$89="","",IF(Config!$T$53&lt;&gt;"Não",SUMIFS(BD!$S$3:$S$5001,BD!$B$3:$B$5001,T$89,BD!$A$3:$A$5001,"&gt;="&amp;$C$7,BD!$A$3:$A$5001,"&lt;="&amp;$D$7),"—"))</f>
        <v/>
      </c>
      <c r="U107" s="32" t="str">
        <f>IF(U$89="","",IF(Config!$T$54&lt;&gt;"Não",SUMIFS(BD!$S$3:$S$5001,BD!$B$3:$B$5001,U$89,BD!$A$3:$A$5001,"&gt;="&amp;$C$7,BD!$A$3:$A$5001,"&lt;="&amp;$D$7),"—"))</f>
        <v/>
      </c>
      <c r="V107" s="62">
        <f>SUM(B107:U107)</f>
        <v>0</v>
      </c>
    </row>
    <row r="108">
      <c r="A108" s="29" t="inlineStr">
        <is>
          <t xml:space="preserve">GENTE · Acidentes CAF</t>
        </is>
      </c>
      <c r="B108" s="32">
        <f>IF(B$89="","",IF(Config!$U$35&lt;&gt;"Não",SUMIFS(BD!$T$3:$T$5001,BD!$B$3:$B$5001,B$89,BD!$A$3:$A$5001,"&gt;="&amp;$C$7,BD!$A$3:$A$5001,"&lt;="&amp;$D$7),"—"))</f>
        <v>0</v>
      </c>
      <c r="C108" s="32">
        <f>IF(C$89="","",IF(Config!$U$36&lt;&gt;"Não",SUMIFS(BD!$T$3:$T$5001,BD!$B$3:$B$5001,C$89,BD!$A$3:$A$5001,"&gt;="&amp;$C$7,BD!$A$3:$A$5001,"&lt;="&amp;$D$7),"—"))</f>
        <v>0</v>
      </c>
      <c r="D108" s="32">
        <f>IF(D$89="","",IF(Config!$U$37&lt;&gt;"Não",SUMIFS(BD!$T$3:$T$5001,BD!$B$3:$B$5001,D$89,BD!$A$3:$A$5001,"&gt;="&amp;$C$7,BD!$A$3:$A$5001,"&lt;="&amp;$D$7),"—"))</f>
        <v>0</v>
      </c>
      <c r="E108" s="32">
        <f>IF(E$89="","",IF(Config!$U$38&lt;&gt;"Não",SUMIFS(BD!$T$3:$T$5001,BD!$B$3:$B$5001,E$89,BD!$A$3:$A$5001,"&gt;="&amp;$C$7,BD!$A$3:$A$5001,"&lt;="&amp;$D$7),"—"))</f>
        <v>0</v>
      </c>
      <c r="F108" s="32">
        <f>IF(F$89="","",IF(Config!$U$39&lt;&gt;"Não",SUMIFS(BD!$T$3:$T$5001,BD!$B$3:$B$5001,F$89,BD!$A$3:$A$5001,"&gt;="&amp;$C$7,BD!$A$3:$A$5001,"&lt;="&amp;$D$7),"—"))</f>
        <v>0</v>
      </c>
      <c r="G108" s="32" t="str">
        <f>IF(G$89="","",IF(Config!$U$40&lt;&gt;"Não",SUMIFS(BD!$T$3:$T$5001,BD!$B$3:$B$5001,G$89,BD!$A$3:$A$5001,"&gt;="&amp;$C$7,BD!$A$3:$A$5001,"&lt;="&amp;$D$7),"—"))</f>
        <v/>
      </c>
      <c r="H108" s="32" t="str">
        <f>IF(H$89="","",IF(Config!$U$41&lt;&gt;"Não",SUMIFS(BD!$T$3:$T$5001,BD!$B$3:$B$5001,H$89,BD!$A$3:$A$5001,"&gt;="&amp;$C$7,BD!$A$3:$A$5001,"&lt;="&amp;$D$7),"—"))</f>
        <v/>
      </c>
      <c r="I108" s="32" t="str">
        <f>IF(I$89="","",IF(Config!$U$42&lt;&gt;"Não",SUMIFS(BD!$T$3:$T$5001,BD!$B$3:$B$5001,I$89,BD!$A$3:$A$5001,"&gt;="&amp;$C$7,BD!$A$3:$A$5001,"&lt;="&amp;$D$7),"—"))</f>
        <v/>
      </c>
      <c r="J108" s="32" t="str">
        <f>IF(J$89="","",IF(Config!$U$43&lt;&gt;"Não",SUMIFS(BD!$T$3:$T$5001,BD!$B$3:$B$5001,J$89,BD!$A$3:$A$5001,"&gt;="&amp;$C$7,BD!$A$3:$A$5001,"&lt;="&amp;$D$7),"—"))</f>
        <v/>
      </c>
      <c r="K108" s="32" t="str">
        <f>IF(K$89="","",IF(Config!$U$44&lt;&gt;"Não",SUMIFS(BD!$T$3:$T$5001,BD!$B$3:$B$5001,K$89,BD!$A$3:$A$5001,"&gt;="&amp;$C$7,BD!$A$3:$A$5001,"&lt;="&amp;$D$7),"—"))</f>
        <v/>
      </c>
      <c r="L108" s="32" t="str">
        <f>IF(L$89="","",IF(Config!$U$45&lt;&gt;"Não",SUMIFS(BD!$T$3:$T$5001,BD!$B$3:$B$5001,L$89,BD!$A$3:$A$5001,"&gt;="&amp;$C$7,BD!$A$3:$A$5001,"&lt;="&amp;$D$7),"—"))</f>
        <v/>
      </c>
      <c r="M108" s="32" t="str">
        <f>IF(M$89="","",IF(Config!$U$46&lt;&gt;"Não",SUMIFS(BD!$T$3:$T$5001,BD!$B$3:$B$5001,M$89,BD!$A$3:$A$5001,"&gt;="&amp;$C$7,BD!$A$3:$A$5001,"&lt;="&amp;$D$7),"—"))</f>
        <v/>
      </c>
      <c r="N108" s="32" t="str">
        <f>IF(N$89="","",IF(Config!$U$47&lt;&gt;"Não",SUMIFS(BD!$T$3:$T$5001,BD!$B$3:$B$5001,N$89,BD!$A$3:$A$5001,"&gt;="&amp;$C$7,BD!$A$3:$A$5001,"&lt;="&amp;$D$7),"—"))</f>
        <v/>
      </c>
      <c r="O108" s="32" t="str">
        <f>IF(O$89="","",IF(Config!$U$48&lt;&gt;"Não",SUMIFS(BD!$T$3:$T$5001,BD!$B$3:$B$5001,O$89,BD!$A$3:$A$5001,"&gt;="&amp;$C$7,BD!$A$3:$A$5001,"&lt;="&amp;$D$7),"—"))</f>
        <v/>
      </c>
      <c r="P108" s="32" t="str">
        <f>IF(P$89="","",IF(Config!$U$49&lt;&gt;"Não",SUMIFS(BD!$T$3:$T$5001,BD!$B$3:$B$5001,P$89,BD!$A$3:$A$5001,"&gt;="&amp;$C$7,BD!$A$3:$A$5001,"&lt;="&amp;$D$7),"—"))</f>
        <v/>
      </c>
      <c r="Q108" s="32" t="str">
        <f>IF(Q$89="","",IF(Config!$U$50&lt;&gt;"Não",SUMIFS(BD!$T$3:$T$5001,BD!$B$3:$B$5001,Q$89,BD!$A$3:$A$5001,"&gt;="&amp;$C$7,BD!$A$3:$A$5001,"&lt;="&amp;$D$7),"—"))</f>
        <v/>
      </c>
      <c r="R108" s="32" t="str">
        <f>IF(R$89="","",IF(Config!$U$51&lt;&gt;"Não",SUMIFS(BD!$T$3:$T$5001,BD!$B$3:$B$5001,R$89,BD!$A$3:$A$5001,"&gt;="&amp;$C$7,BD!$A$3:$A$5001,"&lt;="&amp;$D$7),"—"))</f>
        <v/>
      </c>
      <c r="S108" s="32" t="str">
        <f>IF(S$89="","",IF(Config!$U$52&lt;&gt;"Não",SUMIFS(BD!$T$3:$T$5001,BD!$B$3:$B$5001,S$89,BD!$A$3:$A$5001,"&gt;="&amp;$C$7,BD!$A$3:$A$5001,"&lt;="&amp;$D$7),"—"))</f>
        <v/>
      </c>
      <c r="T108" s="32" t="str">
        <f>IF(T$89="","",IF(Config!$U$53&lt;&gt;"Não",SUMIFS(BD!$T$3:$T$5001,BD!$B$3:$B$5001,T$89,BD!$A$3:$A$5001,"&gt;="&amp;$C$7,BD!$A$3:$A$5001,"&lt;="&amp;$D$7),"—"))</f>
        <v/>
      </c>
      <c r="U108" s="32" t="str">
        <f>IF(U$89="","",IF(Config!$U$54&lt;&gt;"Não",SUMIFS(BD!$T$3:$T$5001,BD!$B$3:$B$5001,U$89,BD!$A$3:$A$5001,"&gt;="&amp;$C$7,BD!$A$3:$A$5001,"&lt;="&amp;$D$7),"—"))</f>
        <v/>
      </c>
      <c r="V108" s="62">
        <f>SUM(B108:U108)</f>
        <v>0</v>
      </c>
    </row>
    <row r="109">
      <c r="A109" s="29" t="inlineStr">
        <is>
          <t xml:space="preserve">GENTE · Acidentes SAF</t>
        </is>
      </c>
      <c r="B109" s="32">
        <f>IF(B$89="","",IF(Config!$V$35&lt;&gt;"Não",SUMIFS(BD!$U$3:$U$5001,BD!$B$3:$B$5001,B$89,BD!$A$3:$A$5001,"&gt;="&amp;$C$7,BD!$A$3:$A$5001,"&lt;="&amp;$D$7),"—"))</f>
        <v>0</v>
      </c>
      <c r="C109" s="32">
        <f>IF(C$89="","",IF(Config!$V$36&lt;&gt;"Não",SUMIFS(BD!$U$3:$U$5001,BD!$B$3:$B$5001,C$89,BD!$A$3:$A$5001,"&gt;="&amp;$C$7,BD!$A$3:$A$5001,"&lt;="&amp;$D$7),"—"))</f>
        <v>0</v>
      </c>
      <c r="D109" s="32">
        <f>IF(D$89="","",IF(Config!$V$37&lt;&gt;"Não",SUMIFS(BD!$U$3:$U$5001,BD!$B$3:$B$5001,D$89,BD!$A$3:$A$5001,"&gt;="&amp;$C$7,BD!$A$3:$A$5001,"&lt;="&amp;$D$7),"—"))</f>
        <v>0</v>
      </c>
      <c r="E109" s="32">
        <f>IF(E$89="","",IF(Config!$V$38&lt;&gt;"Não",SUMIFS(BD!$U$3:$U$5001,BD!$B$3:$B$5001,E$89,BD!$A$3:$A$5001,"&gt;="&amp;$C$7,BD!$A$3:$A$5001,"&lt;="&amp;$D$7),"—"))</f>
        <v>0</v>
      </c>
      <c r="F109" s="32">
        <f>IF(F$89="","",IF(Config!$V$39&lt;&gt;"Não",SUMIFS(BD!$U$3:$U$5001,BD!$B$3:$B$5001,F$89,BD!$A$3:$A$5001,"&gt;="&amp;$C$7,BD!$A$3:$A$5001,"&lt;="&amp;$D$7),"—"))</f>
        <v>0</v>
      </c>
      <c r="G109" s="32" t="str">
        <f>IF(G$89="","",IF(Config!$V$40&lt;&gt;"Não",SUMIFS(BD!$U$3:$U$5001,BD!$B$3:$B$5001,G$89,BD!$A$3:$A$5001,"&gt;="&amp;$C$7,BD!$A$3:$A$5001,"&lt;="&amp;$D$7),"—"))</f>
        <v/>
      </c>
      <c r="H109" s="32" t="str">
        <f>IF(H$89="","",IF(Config!$V$41&lt;&gt;"Não",SUMIFS(BD!$U$3:$U$5001,BD!$B$3:$B$5001,H$89,BD!$A$3:$A$5001,"&gt;="&amp;$C$7,BD!$A$3:$A$5001,"&lt;="&amp;$D$7),"—"))</f>
        <v/>
      </c>
      <c r="I109" s="32" t="str">
        <f>IF(I$89="","",IF(Config!$V$42&lt;&gt;"Não",SUMIFS(BD!$U$3:$U$5001,BD!$B$3:$B$5001,I$89,BD!$A$3:$A$5001,"&gt;="&amp;$C$7,BD!$A$3:$A$5001,"&lt;="&amp;$D$7),"—"))</f>
        <v/>
      </c>
      <c r="J109" s="32" t="str">
        <f>IF(J$89="","",IF(Config!$V$43&lt;&gt;"Não",SUMIFS(BD!$U$3:$U$5001,BD!$B$3:$B$5001,J$89,BD!$A$3:$A$5001,"&gt;="&amp;$C$7,BD!$A$3:$A$5001,"&lt;="&amp;$D$7),"—"))</f>
        <v/>
      </c>
      <c r="K109" s="32" t="str">
        <f>IF(K$89="","",IF(Config!$V$44&lt;&gt;"Não",SUMIFS(BD!$U$3:$U$5001,BD!$B$3:$B$5001,K$89,BD!$A$3:$A$5001,"&gt;="&amp;$C$7,BD!$A$3:$A$5001,"&lt;="&amp;$D$7),"—"))</f>
        <v/>
      </c>
      <c r="L109" s="32" t="str">
        <f>IF(L$89="","",IF(Config!$V$45&lt;&gt;"Não",SUMIFS(BD!$U$3:$U$5001,BD!$B$3:$B$5001,L$89,BD!$A$3:$A$5001,"&gt;="&amp;$C$7,BD!$A$3:$A$5001,"&lt;="&amp;$D$7),"—"))</f>
        <v/>
      </c>
      <c r="M109" s="32" t="str">
        <f>IF(M$89="","",IF(Config!$V$46&lt;&gt;"Não",SUMIFS(BD!$U$3:$U$5001,BD!$B$3:$B$5001,M$89,BD!$A$3:$A$5001,"&gt;="&amp;$C$7,BD!$A$3:$A$5001,"&lt;="&amp;$D$7),"—"))</f>
        <v/>
      </c>
      <c r="N109" s="32" t="str">
        <f>IF(N$89="","",IF(Config!$V$47&lt;&gt;"Não",SUMIFS(BD!$U$3:$U$5001,BD!$B$3:$B$5001,N$89,BD!$A$3:$A$5001,"&gt;="&amp;$C$7,BD!$A$3:$A$5001,"&lt;="&amp;$D$7),"—"))</f>
        <v/>
      </c>
      <c r="O109" s="32" t="str">
        <f>IF(O$89="","",IF(Config!$V$48&lt;&gt;"Não",SUMIFS(BD!$U$3:$U$5001,BD!$B$3:$B$5001,O$89,BD!$A$3:$A$5001,"&gt;="&amp;$C$7,BD!$A$3:$A$5001,"&lt;="&amp;$D$7),"—"))</f>
        <v/>
      </c>
      <c r="P109" s="32" t="str">
        <f>IF(P$89="","",IF(Config!$V$49&lt;&gt;"Não",SUMIFS(BD!$U$3:$U$5001,BD!$B$3:$B$5001,P$89,BD!$A$3:$A$5001,"&gt;="&amp;$C$7,BD!$A$3:$A$5001,"&lt;="&amp;$D$7),"—"))</f>
        <v/>
      </c>
      <c r="Q109" s="32" t="str">
        <f>IF(Q$89="","",IF(Config!$V$50&lt;&gt;"Não",SUMIFS(BD!$U$3:$U$5001,BD!$B$3:$B$5001,Q$89,BD!$A$3:$A$5001,"&gt;="&amp;$C$7,BD!$A$3:$A$5001,"&lt;="&amp;$D$7),"—"))</f>
        <v/>
      </c>
      <c r="R109" s="32" t="str">
        <f>IF(R$89="","",IF(Config!$V$51&lt;&gt;"Não",SUMIFS(BD!$U$3:$U$5001,BD!$B$3:$B$5001,R$89,BD!$A$3:$A$5001,"&gt;="&amp;$C$7,BD!$A$3:$A$5001,"&lt;="&amp;$D$7),"—"))</f>
        <v/>
      </c>
      <c r="S109" s="32" t="str">
        <f>IF(S$89="","",IF(Config!$V$52&lt;&gt;"Não",SUMIFS(BD!$U$3:$U$5001,BD!$B$3:$B$5001,S$89,BD!$A$3:$A$5001,"&gt;="&amp;$C$7,BD!$A$3:$A$5001,"&lt;="&amp;$D$7),"—"))</f>
        <v/>
      </c>
      <c r="T109" s="32" t="str">
        <f>IF(T$89="","",IF(Config!$V$53&lt;&gt;"Não",SUMIFS(BD!$U$3:$U$5001,BD!$B$3:$B$5001,T$89,BD!$A$3:$A$5001,"&gt;="&amp;$C$7,BD!$A$3:$A$5001,"&lt;="&amp;$D$7),"—"))</f>
        <v/>
      </c>
      <c r="U109" s="32" t="str">
        <f>IF(U$89="","",IF(Config!$V$54&lt;&gt;"Não",SUMIFS(BD!$U$3:$U$5001,BD!$B$3:$B$5001,U$89,BD!$A$3:$A$5001,"&gt;="&amp;$C$7,BD!$A$3:$A$5001,"&lt;="&amp;$D$7),"—"))</f>
        <v/>
      </c>
      <c r="V109" s="62">
        <f>SUM(B109:U109)</f>
        <v>0</v>
      </c>
    </row>
    <row r="113">
      <c r="A113" s="19" t="inlineStr">
        <is>
          <t xml:space="preserve">ESTOQUES POR CLIENTE — último valor informado até cada dia (Backlog, Posições e Efetivo)</t>
        </is>
      </c>
    </row>
    <row r="114">
      <c r="A114" s="37" t="inlineStr">
        <is>
          <t xml:space="preserve">Backlog</t>
        </is>
      </c>
      <c r="B114" s="37" t="inlineStr">
        <is>
          <t xml:space="preserve">Data</t>
        </is>
      </c>
      <c r="C114" s="37" t="str">
        <f>Config!$B$10&amp;""</f>
        <v>Barry Callebaut</v>
      </c>
      <c r="D114" s="37" t="str">
        <f>Config!$B$11&amp;""</f>
        <v>GM</v>
      </c>
      <c r="E114" s="37" t="str">
        <f>Config!$B$12&amp;""</f>
        <v>Mondelez</v>
      </c>
      <c r="F114" s="37" t="str">
        <f>Config!$B$13&amp;""</f>
        <v>Nestlé</v>
      </c>
      <c r="G114" s="37" t="str">
        <f>Config!$B$14&amp;""</f>
        <v>PMB</v>
      </c>
      <c r="H114" s="37" t="str">
        <f>Config!$B$15&amp;""</f>
        <v/>
      </c>
      <c r="I114" s="37" t="str">
        <f>Config!$B$16&amp;""</f>
        <v/>
      </c>
      <c r="J114" s="37" t="str">
        <f>Config!$B$17&amp;""</f>
        <v/>
      </c>
      <c r="K114" s="37" t="str">
        <f>Config!$B$18&amp;""</f>
        <v/>
      </c>
      <c r="L114" s="37" t="str">
        <f>Config!$B$19&amp;""</f>
        <v/>
      </c>
      <c r="M114" s="37" t="str">
        <f>Config!$B$20&amp;""</f>
        <v/>
      </c>
      <c r="N114" s="37" t="str">
        <f>Config!$B$21&amp;""</f>
        <v/>
      </c>
      <c r="O114" s="37" t="str">
        <f>Config!$B$22&amp;""</f>
        <v/>
      </c>
      <c r="P114" s="37" t="str">
        <f>Config!$B$23&amp;""</f>
        <v/>
      </c>
      <c r="Q114" s="37" t="str">
        <f>Config!$B$24&amp;""</f>
        <v/>
      </c>
      <c r="R114" s="37" t="str">
        <f>Config!$B$25&amp;""</f>
        <v/>
      </c>
      <c r="S114" s="37" t="str">
        <f>Config!$B$26&amp;""</f>
        <v/>
      </c>
      <c r="T114" s="37" t="str">
        <f>Config!$B$27&amp;""</f>
        <v/>
      </c>
      <c r="U114" s="37" t="str">
        <f>Config!$B$28&amp;""</f>
        <v/>
      </c>
      <c r="V114" s="37" t="str">
        <f>Config!$B$29&amp;""</f>
        <v/>
      </c>
    </row>
    <row r="115">
      <c r="A115" s="38">
        <v>1</v>
      </c>
      <c r="B115" s="42">
        <f>$B$12</f>
        <v>46296</v>
      </c>
      <c r="C115" s="43" t="str">
        <f>IF(OR($B115="",$A115&gt;$B$9,C$114=""),"",IF(COUNTIFS(BD!$B$3:$B$5001,C$114,BD!$A$3:$A$5001,"&gt;="&amp;$C$7,BD!$A$3:$A$5001,"&lt;="&amp;$B115,BD!$K$3:$K$5001,"&lt;&gt;")=0,"",SUMIFS(BD!$K$3:$K$5001,BD!$B$3:$B$5001,C$114,BD!$A$3:$A$5001,_xlfn.MAXIFS(BD!$A$3:$A$5001,BD!$B$3:$B$5001,C$114,BD!$A$3:$A$5001,"&gt;="&amp;$C$7,BD!$A$3:$A$5001,"&lt;="&amp;$B115,BD!$K$3:$K$5001,"&lt;&gt;"))))</f>
        <v/>
      </c>
      <c r="D115" s="43" t="str">
        <f>IF(OR($B115="",$A115&gt;$B$9,D$114=""),"",IF(COUNTIFS(BD!$B$3:$B$5001,D$114,BD!$A$3:$A$5001,"&gt;="&amp;$C$7,BD!$A$3:$A$5001,"&lt;="&amp;$B115,BD!$K$3:$K$5001,"&lt;&gt;")=0,"",SUMIFS(BD!$K$3:$K$5001,BD!$B$3:$B$5001,D$114,BD!$A$3:$A$5001,_xlfn.MAXIFS(BD!$A$3:$A$5001,BD!$B$3:$B$5001,D$114,BD!$A$3:$A$5001,"&gt;="&amp;$C$7,BD!$A$3:$A$5001,"&lt;="&amp;$B115,BD!$K$3:$K$5001,"&lt;&gt;"))))</f>
        <v/>
      </c>
      <c r="E115" s="43" t="str">
        <f>IF(OR($B115="",$A115&gt;$B$9,E$114=""),"",IF(COUNTIFS(BD!$B$3:$B$5001,E$114,BD!$A$3:$A$5001,"&gt;="&amp;$C$7,BD!$A$3:$A$5001,"&lt;="&amp;$B115,BD!$K$3:$K$5001,"&lt;&gt;")=0,"",SUMIFS(BD!$K$3:$K$5001,BD!$B$3:$B$5001,E$114,BD!$A$3:$A$5001,_xlfn.MAXIFS(BD!$A$3:$A$5001,BD!$B$3:$B$5001,E$114,BD!$A$3:$A$5001,"&gt;="&amp;$C$7,BD!$A$3:$A$5001,"&lt;="&amp;$B115,BD!$K$3:$K$5001,"&lt;&gt;"))))</f>
        <v/>
      </c>
      <c r="F115" s="43" t="str">
        <f>IF(OR($B115="",$A115&gt;$B$9,F$114=""),"",IF(COUNTIFS(BD!$B$3:$B$5001,F$114,BD!$A$3:$A$5001,"&gt;="&amp;$C$7,BD!$A$3:$A$5001,"&lt;="&amp;$B115,BD!$K$3:$K$5001,"&lt;&gt;")=0,"",SUMIFS(BD!$K$3:$K$5001,BD!$B$3:$B$5001,F$114,BD!$A$3:$A$5001,_xlfn.MAXIFS(BD!$A$3:$A$5001,BD!$B$3:$B$5001,F$114,BD!$A$3:$A$5001,"&gt;="&amp;$C$7,BD!$A$3:$A$5001,"&lt;="&amp;$B115,BD!$K$3:$K$5001,"&lt;&gt;"))))</f>
        <v/>
      </c>
      <c r="G115" s="43" t="str">
        <f>IF(OR($B115="",$A115&gt;$B$9,G$114=""),"",IF(COUNTIFS(BD!$B$3:$B$5001,G$114,BD!$A$3:$A$5001,"&gt;="&amp;$C$7,BD!$A$3:$A$5001,"&lt;="&amp;$B115,BD!$K$3:$K$5001,"&lt;&gt;")=0,"",SUMIFS(BD!$K$3:$K$5001,BD!$B$3:$B$5001,G$114,BD!$A$3:$A$5001,_xlfn.MAXIFS(BD!$A$3:$A$5001,BD!$B$3:$B$5001,G$114,BD!$A$3:$A$5001,"&gt;="&amp;$C$7,BD!$A$3:$A$5001,"&lt;="&amp;$B115,BD!$K$3:$K$5001,"&lt;&gt;"))))</f>
        <v/>
      </c>
      <c r="H115" s="43" t="str">
        <f>IF(OR($B115="",$A115&gt;$B$9,H$114=""),"",IF(COUNTIFS(BD!$B$3:$B$5001,H$114,BD!$A$3:$A$5001,"&gt;="&amp;$C$7,BD!$A$3:$A$5001,"&lt;="&amp;$B115,BD!$K$3:$K$5001,"&lt;&gt;")=0,"",SUMIFS(BD!$K$3:$K$5001,BD!$B$3:$B$5001,H$114,BD!$A$3:$A$5001,_xlfn.MAXIFS(BD!$A$3:$A$5001,BD!$B$3:$B$5001,H$114,BD!$A$3:$A$5001,"&gt;="&amp;$C$7,BD!$A$3:$A$5001,"&lt;="&amp;$B115,BD!$K$3:$K$5001,"&lt;&gt;"))))</f>
        <v/>
      </c>
      <c r="I115" s="43" t="str">
        <f>IF(OR($B115="",$A115&gt;$B$9,I$114=""),"",IF(COUNTIFS(BD!$B$3:$B$5001,I$114,BD!$A$3:$A$5001,"&gt;="&amp;$C$7,BD!$A$3:$A$5001,"&lt;="&amp;$B115,BD!$K$3:$K$5001,"&lt;&gt;")=0,"",SUMIFS(BD!$K$3:$K$5001,BD!$B$3:$B$5001,I$114,BD!$A$3:$A$5001,_xlfn.MAXIFS(BD!$A$3:$A$5001,BD!$B$3:$B$5001,I$114,BD!$A$3:$A$5001,"&gt;="&amp;$C$7,BD!$A$3:$A$5001,"&lt;="&amp;$B115,BD!$K$3:$K$5001,"&lt;&gt;"))))</f>
        <v/>
      </c>
      <c r="J115" s="43" t="str">
        <f>IF(OR($B115="",$A115&gt;$B$9,J$114=""),"",IF(COUNTIFS(BD!$B$3:$B$5001,J$114,BD!$A$3:$A$5001,"&gt;="&amp;$C$7,BD!$A$3:$A$5001,"&lt;="&amp;$B115,BD!$K$3:$K$5001,"&lt;&gt;")=0,"",SUMIFS(BD!$K$3:$K$5001,BD!$B$3:$B$5001,J$114,BD!$A$3:$A$5001,_xlfn.MAXIFS(BD!$A$3:$A$5001,BD!$B$3:$B$5001,J$114,BD!$A$3:$A$5001,"&gt;="&amp;$C$7,BD!$A$3:$A$5001,"&lt;="&amp;$B115,BD!$K$3:$K$5001,"&lt;&gt;"))))</f>
        <v/>
      </c>
      <c r="K115" s="43" t="str">
        <f>IF(OR($B115="",$A115&gt;$B$9,K$114=""),"",IF(COUNTIFS(BD!$B$3:$B$5001,K$114,BD!$A$3:$A$5001,"&gt;="&amp;$C$7,BD!$A$3:$A$5001,"&lt;="&amp;$B115,BD!$K$3:$K$5001,"&lt;&gt;")=0,"",SUMIFS(BD!$K$3:$K$5001,BD!$B$3:$B$5001,K$114,BD!$A$3:$A$5001,_xlfn.MAXIFS(BD!$A$3:$A$5001,BD!$B$3:$B$5001,K$114,BD!$A$3:$A$5001,"&gt;="&amp;$C$7,BD!$A$3:$A$5001,"&lt;="&amp;$B115,BD!$K$3:$K$5001,"&lt;&gt;"))))</f>
        <v/>
      </c>
      <c r="L115" s="43" t="str">
        <f>IF(OR($B115="",$A115&gt;$B$9,L$114=""),"",IF(COUNTIFS(BD!$B$3:$B$5001,L$114,BD!$A$3:$A$5001,"&gt;="&amp;$C$7,BD!$A$3:$A$5001,"&lt;="&amp;$B115,BD!$K$3:$K$5001,"&lt;&gt;")=0,"",SUMIFS(BD!$K$3:$K$5001,BD!$B$3:$B$5001,L$114,BD!$A$3:$A$5001,_xlfn.MAXIFS(BD!$A$3:$A$5001,BD!$B$3:$B$5001,L$114,BD!$A$3:$A$5001,"&gt;="&amp;$C$7,BD!$A$3:$A$5001,"&lt;="&amp;$B115,BD!$K$3:$K$5001,"&lt;&gt;"))))</f>
        <v/>
      </c>
      <c r="M115" s="43" t="str">
        <f>IF(OR($B115="",$A115&gt;$B$9,M$114=""),"",IF(COUNTIFS(BD!$B$3:$B$5001,M$114,BD!$A$3:$A$5001,"&gt;="&amp;$C$7,BD!$A$3:$A$5001,"&lt;="&amp;$B115,BD!$K$3:$K$5001,"&lt;&gt;")=0,"",SUMIFS(BD!$K$3:$K$5001,BD!$B$3:$B$5001,M$114,BD!$A$3:$A$5001,_xlfn.MAXIFS(BD!$A$3:$A$5001,BD!$B$3:$B$5001,M$114,BD!$A$3:$A$5001,"&gt;="&amp;$C$7,BD!$A$3:$A$5001,"&lt;="&amp;$B115,BD!$K$3:$K$5001,"&lt;&gt;"))))</f>
        <v/>
      </c>
      <c r="N115" s="43" t="str">
        <f>IF(OR($B115="",$A115&gt;$B$9,N$114=""),"",IF(COUNTIFS(BD!$B$3:$B$5001,N$114,BD!$A$3:$A$5001,"&gt;="&amp;$C$7,BD!$A$3:$A$5001,"&lt;="&amp;$B115,BD!$K$3:$K$5001,"&lt;&gt;")=0,"",SUMIFS(BD!$K$3:$K$5001,BD!$B$3:$B$5001,N$114,BD!$A$3:$A$5001,_xlfn.MAXIFS(BD!$A$3:$A$5001,BD!$B$3:$B$5001,N$114,BD!$A$3:$A$5001,"&gt;="&amp;$C$7,BD!$A$3:$A$5001,"&lt;="&amp;$B115,BD!$K$3:$K$5001,"&lt;&gt;"))))</f>
        <v/>
      </c>
      <c r="O115" s="43" t="str">
        <f>IF(OR($B115="",$A115&gt;$B$9,O$114=""),"",IF(COUNTIFS(BD!$B$3:$B$5001,O$114,BD!$A$3:$A$5001,"&gt;="&amp;$C$7,BD!$A$3:$A$5001,"&lt;="&amp;$B115,BD!$K$3:$K$5001,"&lt;&gt;")=0,"",SUMIFS(BD!$K$3:$K$5001,BD!$B$3:$B$5001,O$114,BD!$A$3:$A$5001,_xlfn.MAXIFS(BD!$A$3:$A$5001,BD!$B$3:$B$5001,O$114,BD!$A$3:$A$5001,"&gt;="&amp;$C$7,BD!$A$3:$A$5001,"&lt;="&amp;$B115,BD!$K$3:$K$5001,"&lt;&gt;"))))</f>
        <v/>
      </c>
      <c r="P115" s="43" t="str">
        <f>IF(OR($B115="",$A115&gt;$B$9,P$114=""),"",IF(COUNTIFS(BD!$B$3:$B$5001,P$114,BD!$A$3:$A$5001,"&gt;="&amp;$C$7,BD!$A$3:$A$5001,"&lt;="&amp;$B115,BD!$K$3:$K$5001,"&lt;&gt;")=0,"",SUMIFS(BD!$K$3:$K$5001,BD!$B$3:$B$5001,P$114,BD!$A$3:$A$5001,_xlfn.MAXIFS(BD!$A$3:$A$5001,BD!$B$3:$B$5001,P$114,BD!$A$3:$A$5001,"&gt;="&amp;$C$7,BD!$A$3:$A$5001,"&lt;="&amp;$B115,BD!$K$3:$K$5001,"&lt;&gt;"))))</f>
        <v/>
      </c>
      <c r="Q115" s="43" t="str">
        <f>IF(OR($B115="",$A115&gt;$B$9,Q$114=""),"",IF(COUNTIFS(BD!$B$3:$B$5001,Q$114,BD!$A$3:$A$5001,"&gt;="&amp;$C$7,BD!$A$3:$A$5001,"&lt;="&amp;$B115,BD!$K$3:$K$5001,"&lt;&gt;")=0,"",SUMIFS(BD!$K$3:$K$5001,BD!$B$3:$B$5001,Q$114,BD!$A$3:$A$5001,_xlfn.MAXIFS(BD!$A$3:$A$5001,BD!$B$3:$B$5001,Q$114,BD!$A$3:$A$5001,"&gt;="&amp;$C$7,BD!$A$3:$A$5001,"&lt;="&amp;$B115,BD!$K$3:$K$5001,"&lt;&gt;"))))</f>
        <v/>
      </c>
      <c r="R115" s="43" t="str">
        <f>IF(OR($B115="",$A115&gt;$B$9,R$114=""),"",IF(COUNTIFS(BD!$B$3:$B$5001,R$114,BD!$A$3:$A$5001,"&gt;="&amp;$C$7,BD!$A$3:$A$5001,"&lt;="&amp;$B115,BD!$K$3:$K$5001,"&lt;&gt;")=0,"",SUMIFS(BD!$K$3:$K$5001,BD!$B$3:$B$5001,R$114,BD!$A$3:$A$5001,_xlfn.MAXIFS(BD!$A$3:$A$5001,BD!$B$3:$B$5001,R$114,BD!$A$3:$A$5001,"&gt;="&amp;$C$7,BD!$A$3:$A$5001,"&lt;="&amp;$B115,BD!$K$3:$K$5001,"&lt;&gt;"))))</f>
        <v/>
      </c>
      <c r="S115" s="43" t="str">
        <f>IF(OR($B115="",$A115&gt;$B$9,S$114=""),"",IF(COUNTIFS(BD!$B$3:$B$5001,S$114,BD!$A$3:$A$5001,"&gt;="&amp;$C$7,BD!$A$3:$A$5001,"&lt;="&amp;$B115,BD!$K$3:$K$5001,"&lt;&gt;")=0,"",SUMIFS(BD!$K$3:$K$5001,BD!$B$3:$B$5001,S$114,BD!$A$3:$A$5001,_xlfn.MAXIFS(BD!$A$3:$A$5001,BD!$B$3:$B$5001,S$114,BD!$A$3:$A$5001,"&gt;="&amp;$C$7,BD!$A$3:$A$5001,"&lt;="&amp;$B115,BD!$K$3:$K$5001,"&lt;&gt;"))))</f>
        <v/>
      </c>
      <c r="T115" s="43" t="str">
        <f>IF(OR($B115="",$A115&gt;$B$9,T$114=""),"",IF(COUNTIFS(BD!$B$3:$B$5001,T$114,BD!$A$3:$A$5001,"&gt;="&amp;$C$7,BD!$A$3:$A$5001,"&lt;="&amp;$B115,BD!$K$3:$K$5001,"&lt;&gt;")=0,"",SUMIFS(BD!$K$3:$K$5001,BD!$B$3:$B$5001,T$114,BD!$A$3:$A$5001,_xlfn.MAXIFS(BD!$A$3:$A$5001,BD!$B$3:$B$5001,T$114,BD!$A$3:$A$5001,"&gt;="&amp;$C$7,BD!$A$3:$A$5001,"&lt;="&amp;$B115,BD!$K$3:$K$5001,"&lt;&gt;"))))</f>
        <v/>
      </c>
      <c r="U115" s="43" t="str">
        <f>IF(OR($B115="",$A115&gt;$B$9,U$114=""),"",IF(COUNTIFS(BD!$B$3:$B$5001,U$114,BD!$A$3:$A$5001,"&gt;="&amp;$C$7,BD!$A$3:$A$5001,"&lt;="&amp;$B115,BD!$K$3:$K$5001,"&lt;&gt;")=0,"",SUMIFS(BD!$K$3:$K$5001,BD!$B$3:$B$5001,U$114,BD!$A$3:$A$5001,_xlfn.MAXIFS(BD!$A$3:$A$5001,BD!$B$3:$B$5001,U$114,BD!$A$3:$A$5001,"&gt;="&amp;$C$7,BD!$A$3:$A$5001,"&lt;="&amp;$B115,BD!$K$3:$K$5001,"&lt;&gt;"))))</f>
        <v/>
      </c>
      <c r="V115" s="43" t="str">
        <f>IF(OR($B115="",$A115&gt;$B$9,V$114=""),"",IF(COUNTIFS(BD!$B$3:$B$5001,V$114,BD!$A$3:$A$5001,"&gt;="&amp;$C$7,BD!$A$3:$A$5001,"&lt;="&amp;$B115,BD!$K$3:$K$5001,"&lt;&gt;")=0,"",SUMIFS(BD!$K$3:$K$5001,BD!$B$3:$B$5001,V$114,BD!$A$3:$A$5001,_xlfn.MAXIFS(BD!$A$3:$A$5001,BD!$B$3:$B$5001,V$114,BD!$A$3:$A$5001,"&gt;="&amp;$C$7,BD!$A$3:$A$5001,"&lt;="&amp;$B115,BD!$K$3:$K$5001,"&lt;&gt;"))))</f>
        <v/>
      </c>
    </row>
    <row r="116">
      <c r="A116" s="38">
        <v>2</v>
      </c>
      <c r="B116" s="42">
        <f>$B$13</f>
        <v>46297</v>
      </c>
      <c r="C116" s="43" t="str">
        <f>IF(OR($B116="",$A116&gt;$B$9,C$114=""),"",IF(COUNTIFS(BD!$B$3:$B$5001,C$114,BD!$A$3:$A$5001,"&gt;="&amp;$C$7,BD!$A$3:$A$5001,"&lt;="&amp;$B116,BD!$K$3:$K$5001,"&lt;&gt;")=0,"",SUMIFS(BD!$K$3:$K$5001,BD!$B$3:$B$5001,C$114,BD!$A$3:$A$5001,_xlfn.MAXIFS(BD!$A$3:$A$5001,BD!$B$3:$B$5001,C$114,BD!$A$3:$A$5001,"&gt;="&amp;$C$7,BD!$A$3:$A$5001,"&lt;="&amp;$B116,BD!$K$3:$K$5001,"&lt;&gt;"))))</f>
        <v/>
      </c>
      <c r="D116" s="43" t="str">
        <f>IF(OR($B116="",$A116&gt;$B$9,D$114=""),"",IF(COUNTIFS(BD!$B$3:$B$5001,D$114,BD!$A$3:$A$5001,"&gt;="&amp;$C$7,BD!$A$3:$A$5001,"&lt;="&amp;$B116,BD!$K$3:$K$5001,"&lt;&gt;")=0,"",SUMIFS(BD!$K$3:$K$5001,BD!$B$3:$B$5001,D$114,BD!$A$3:$A$5001,_xlfn.MAXIFS(BD!$A$3:$A$5001,BD!$B$3:$B$5001,D$114,BD!$A$3:$A$5001,"&gt;="&amp;$C$7,BD!$A$3:$A$5001,"&lt;="&amp;$B116,BD!$K$3:$K$5001,"&lt;&gt;"))))</f>
        <v/>
      </c>
      <c r="E116" s="43" t="str">
        <f>IF(OR($B116="",$A116&gt;$B$9,E$114=""),"",IF(COUNTIFS(BD!$B$3:$B$5001,E$114,BD!$A$3:$A$5001,"&gt;="&amp;$C$7,BD!$A$3:$A$5001,"&lt;="&amp;$B116,BD!$K$3:$K$5001,"&lt;&gt;")=0,"",SUMIFS(BD!$K$3:$K$5001,BD!$B$3:$B$5001,E$114,BD!$A$3:$A$5001,_xlfn.MAXIFS(BD!$A$3:$A$5001,BD!$B$3:$B$5001,E$114,BD!$A$3:$A$5001,"&gt;="&amp;$C$7,BD!$A$3:$A$5001,"&lt;="&amp;$B116,BD!$K$3:$K$5001,"&lt;&gt;"))))</f>
        <v/>
      </c>
      <c r="F116" s="43" t="str">
        <f>IF(OR($B116="",$A116&gt;$B$9,F$114=""),"",IF(COUNTIFS(BD!$B$3:$B$5001,F$114,BD!$A$3:$A$5001,"&gt;="&amp;$C$7,BD!$A$3:$A$5001,"&lt;="&amp;$B116,BD!$K$3:$K$5001,"&lt;&gt;")=0,"",SUMIFS(BD!$K$3:$K$5001,BD!$B$3:$B$5001,F$114,BD!$A$3:$A$5001,_xlfn.MAXIFS(BD!$A$3:$A$5001,BD!$B$3:$B$5001,F$114,BD!$A$3:$A$5001,"&gt;="&amp;$C$7,BD!$A$3:$A$5001,"&lt;="&amp;$B116,BD!$K$3:$K$5001,"&lt;&gt;"))))</f>
        <v/>
      </c>
      <c r="G116" s="43" t="str">
        <f>IF(OR($B116="",$A116&gt;$B$9,G$114=""),"",IF(COUNTIFS(BD!$B$3:$B$5001,G$114,BD!$A$3:$A$5001,"&gt;="&amp;$C$7,BD!$A$3:$A$5001,"&lt;="&amp;$B116,BD!$K$3:$K$5001,"&lt;&gt;")=0,"",SUMIFS(BD!$K$3:$K$5001,BD!$B$3:$B$5001,G$114,BD!$A$3:$A$5001,_xlfn.MAXIFS(BD!$A$3:$A$5001,BD!$B$3:$B$5001,G$114,BD!$A$3:$A$5001,"&gt;="&amp;$C$7,BD!$A$3:$A$5001,"&lt;="&amp;$B116,BD!$K$3:$K$5001,"&lt;&gt;"))))</f>
        <v/>
      </c>
      <c r="H116" s="43" t="str">
        <f>IF(OR($B116="",$A116&gt;$B$9,H$114=""),"",IF(COUNTIFS(BD!$B$3:$B$5001,H$114,BD!$A$3:$A$5001,"&gt;="&amp;$C$7,BD!$A$3:$A$5001,"&lt;="&amp;$B116,BD!$K$3:$K$5001,"&lt;&gt;")=0,"",SUMIFS(BD!$K$3:$K$5001,BD!$B$3:$B$5001,H$114,BD!$A$3:$A$5001,_xlfn.MAXIFS(BD!$A$3:$A$5001,BD!$B$3:$B$5001,H$114,BD!$A$3:$A$5001,"&gt;="&amp;$C$7,BD!$A$3:$A$5001,"&lt;="&amp;$B116,BD!$K$3:$K$5001,"&lt;&gt;"))))</f>
        <v/>
      </c>
      <c r="I116" s="43" t="str">
        <f>IF(OR($B116="",$A116&gt;$B$9,I$114=""),"",IF(COUNTIFS(BD!$B$3:$B$5001,I$114,BD!$A$3:$A$5001,"&gt;="&amp;$C$7,BD!$A$3:$A$5001,"&lt;="&amp;$B116,BD!$K$3:$K$5001,"&lt;&gt;")=0,"",SUMIFS(BD!$K$3:$K$5001,BD!$B$3:$B$5001,I$114,BD!$A$3:$A$5001,_xlfn.MAXIFS(BD!$A$3:$A$5001,BD!$B$3:$B$5001,I$114,BD!$A$3:$A$5001,"&gt;="&amp;$C$7,BD!$A$3:$A$5001,"&lt;="&amp;$B116,BD!$K$3:$K$5001,"&lt;&gt;"))))</f>
        <v/>
      </c>
      <c r="J116" s="43" t="str">
        <f>IF(OR($B116="",$A116&gt;$B$9,J$114=""),"",IF(COUNTIFS(BD!$B$3:$B$5001,J$114,BD!$A$3:$A$5001,"&gt;="&amp;$C$7,BD!$A$3:$A$5001,"&lt;="&amp;$B116,BD!$K$3:$K$5001,"&lt;&gt;")=0,"",SUMIFS(BD!$K$3:$K$5001,BD!$B$3:$B$5001,J$114,BD!$A$3:$A$5001,_xlfn.MAXIFS(BD!$A$3:$A$5001,BD!$B$3:$B$5001,J$114,BD!$A$3:$A$5001,"&gt;="&amp;$C$7,BD!$A$3:$A$5001,"&lt;="&amp;$B116,BD!$K$3:$K$5001,"&lt;&gt;"))))</f>
        <v/>
      </c>
      <c r="K116" s="43" t="str">
        <f>IF(OR($B116="",$A116&gt;$B$9,K$114=""),"",IF(COUNTIFS(BD!$B$3:$B$5001,K$114,BD!$A$3:$A$5001,"&gt;="&amp;$C$7,BD!$A$3:$A$5001,"&lt;="&amp;$B116,BD!$K$3:$K$5001,"&lt;&gt;")=0,"",SUMIFS(BD!$K$3:$K$5001,BD!$B$3:$B$5001,K$114,BD!$A$3:$A$5001,_xlfn.MAXIFS(BD!$A$3:$A$5001,BD!$B$3:$B$5001,K$114,BD!$A$3:$A$5001,"&gt;="&amp;$C$7,BD!$A$3:$A$5001,"&lt;="&amp;$B116,BD!$K$3:$K$5001,"&lt;&gt;"))))</f>
        <v/>
      </c>
      <c r="L116" s="43" t="str">
        <f>IF(OR($B116="",$A116&gt;$B$9,L$114=""),"",IF(COUNTIFS(BD!$B$3:$B$5001,L$114,BD!$A$3:$A$5001,"&gt;="&amp;$C$7,BD!$A$3:$A$5001,"&lt;="&amp;$B116,BD!$K$3:$K$5001,"&lt;&gt;")=0,"",SUMIFS(BD!$K$3:$K$5001,BD!$B$3:$B$5001,L$114,BD!$A$3:$A$5001,_xlfn.MAXIFS(BD!$A$3:$A$5001,BD!$B$3:$B$5001,L$114,BD!$A$3:$A$5001,"&gt;="&amp;$C$7,BD!$A$3:$A$5001,"&lt;="&amp;$B116,BD!$K$3:$K$5001,"&lt;&gt;"))))</f>
        <v/>
      </c>
      <c r="M116" s="43" t="str">
        <f>IF(OR($B116="",$A116&gt;$B$9,M$114=""),"",IF(COUNTIFS(BD!$B$3:$B$5001,M$114,BD!$A$3:$A$5001,"&gt;="&amp;$C$7,BD!$A$3:$A$5001,"&lt;="&amp;$B116,BD!$K$3:$K$5001,"&lt;&gt;")=0,"",SUMIFS(BD!$K$3:$K$5001,BD!$B$3:$B$5001,M$114,BD!$A$3:$A$5001,_xlfn.MAXIFS(BD!$A$3:$A$5001,BD!$B$3:$B$5001,M$114,BD!$A$3:$A$5001,"&gt;="&amp;$C$7,BD!$A$3:$A$5001,"&lt;="&amp;$B116,BD!$K$3:$K$5001,"&lt;&gt;"))))</f>
        <v/>
      </c>
      <c r="N116" s="43" t="str">
        <f>IF(OR($B116="",$A116&gt;$B$9,N$114=""),"",IF(COUNTIFS(BD!$B$3:$B$5001,N$114,BD!$A$3:$A$5001,"&gt;="&amp;$C$7,BD!$A$3:$A$5001,"&lt;="&amp;$B116,BD!$K$3:$K$5001,"&lt;&gt;")=0,"",SUMIFS(BD!$K$3:$K$5001,BD!$B$3:$B$5001,N$114,BD!$A$3:$A$5001,_xlfn.MAXIFS(BD!$A$3:$A$5001,BD!$B$3:$B$5001,N$114,BD!$A$3:$A$5001,"&gt;="&amp;$C$7,BD!$A$3:$A$5001,"&lt;="&amp;$B116,BD!$K$3:$K$5001,"&lt;&gt;"))))</f>
        <v/>
      </c>
      <c r="O116" s="43" t="str">
        <f>IF(OR($B116="",$A116&gt;$B$9,O$114=""),"",IF(COUNTIFS(BD!$B$3:$B$5001,O$114,BD!$A$3:$A$5001,"&gt;="&amp;$C$7,BD!$A$3:$A$5001,"&lt;="&amp;$B116,BD!$K$3:$K$5001,"&lt;&gt;")=0,"",SUMIFS(BD!$K$3:$K$5001,BD!$B$3:$B$5001,O$114,BD!$A$3:$A$5001,_xlfn.MAXIFS(BD!$A$3:$A$5001,BD!$B$3:$B$5001,O$114,BD!$A$3:$A$5001,"&gt;="&amp;$C$7,BD!$A$3:$A$5001,"&lt;="&amp;$B116,BD!$K$3:$K$5001,"&lt;&gt;"))))</f>
        <v/>
      </c>
      <c r="P116" s="43" t="str">
        <f>IF(OR($B116="",$A116&gt;$B$9,P$114=""),"",IF(COUNTIFS(BD!$B$3:$B$5001,P$114,BD!$A$3:$A$5001,"&gt;="&amp;$C$7,BD!$A$3:$A$5001,"&lt;="&amp;$B116,BD!$K$3:$K$5001,"&lt;&gt;")=0,"",SUMIFS(BD!$K$3:$K$5001,BD!$B$3:$B$5001,P$114,BD!$A$3:$A$5001,_xlfn.MAXIFS(BD!$A$3:$A$5001,BD!$B$3:$B$5001,P$114,BD!$A$3:$A$5001,"&gt;="&amp;$C$7,BD!$A$3:$A$5001,"&lt;="&amp;$B116,BD!$K$3:$K$5001,"&lt;&gt;"))))</f>
        <v/>
      </c>
      <c r="Q116" s="43" t="str">
        <f>IF(OR($B116="",$A116&gt;$B$9,Q$114=""),"",IF(COUNTIFS(BD!$B$3:$B$5001,Q$114,BD!$A$3:$A$5001,"&gt;="&amp;$C$7,BD!$A$3:$A$5001,"&lt;="&amp;$B116,BD!$K$3:$K$5001,"&lt;&gt;")=0,"",SUMIFS(BD!$K$3:$K$5001,BD!$B$3:$B$5001,Q$114,BD!$A$3:$A$5001,_xlfn.MAXIFS(BD!$A$3:$A$5001,BD!$B$3:$B$5001,Q$114,BD!$A$3:$A$5001,"&gt;="&amp;$C$7,BD!$A$3:$A$5001,"&lt;="&amp;$B116,BD!$K$3:$K$5001,"&lt;&gt;"))))</f>
        <v/>
      </c>
      <c r="R116" s="43" t="str">
        <f>IF(OR($B116="",$A116&gt;$B$9,R$114=""),"",IF(COUNTIFS(BD!$B$3:$B$5001,R$114,BD!$A$3:$A$5001,"&gt;="&amp;$C$7,BD!$A$3:$A$5001,"&lt;="&amp;$B116,BD!$K$3:$K$5001,"&lt;&gt;")=0,"",SUMIFS(BD!$K$3:$K$5001,BD!$B$3:$B$5001,R$114,BD!$A$3:$A$5001,_xlfn.MAXIFS(BD!$A$3:$A$5001,BD!$B$3:$B$5001,R$114,BD!$A$3:$A$5001,"&gt;="&amp;$C$7,BD!$A$3:$A$5001,"&lt;="&amp;$B116,BD!$K$3:$K$5001,"&lt;&gt;"))))</f>
        <v/>
      </c>
      <c r="S116" s="43" t="str">
        <f>IF(OR($B116="",$A116&gt;$B$9,S$114=""),"",IF(COUNTIFS(BD!$B$3:$B$5001,S$114,BD!$A$3:$A$5001,"&gt;="&amp;$C$7,BD!$A$3:$A$5001,"&lt;="&amp;$B116,BD!$K$3:$K$5001,"&lt;&gt;")=0,"",SUMIFS(BD!$K$3:$K$5001,BD!$B$3:$B$5001,S$114,BD!$A$3:$A$5001,_xlfn.MAXIFS(BD!$A$3:$A$5001,BD!$B$3:$B$5001,S$114,BD!$A$3:$A$5001,"&gt;="&amp;$C$7,BD!$A$3:$A$5001,"&lt;="&amp;$B116,BD!$K$3:$K$5001,"&lt;&gt;"))))</f>
        <v/>
      </c>
      <c r="T116" s="43" t="str">
        <f>IF(OR($B116="",$A116&gt;$B$9,T$114=""),"",IF(COUNTIFS(BD!$B$3:$B$5001,T$114,BD!$A$3:$A$5001,"&gt;="&amp;$C$7,BD!$A$3:$A$5001,"&lt;="&amp;$B116,BD!$K$3:$K$5001,"&lt;&gt;")=0,"",SUMIFS(BD!$K$3:$K$5001,BD!$B$3:$B$5001,T$114,BD!$A$3:$A$5001,_xlfn.MAXIFS(BD!$A$3:$A$5001,BD!$B$3:$B$5001,T$114,BD!$A$3:$A$5001,"&gt;="&amp;$C$7,BD!$A$3:$A$5001,"&lt;="&amp;$B116,BD!$K$3:$K$5001,"&lt;&gt;"))))</f>
        <v/>
      </c>
      <c r="U116" s="43" t="str">
        <f>IF(OR($B116="",$A116&gt;$B$9,U$114=""),"",IF(COUNTIFS(BD!$B$3:$B$5001,U$114,BD!$A$3:$A$5001,"&gt;="&amp;$C$7,BD!$A$3:$A$5001,"&lt;="&amp;$B116,BD!$K$3:$K$5001,"&lt;&gt;")=0,"",SUMIFS(BD!$K$3:$K$5001,BD!$B$3:$B$5001,U$114,BD!$A$3:$A$5001,_xlfn.MAXIFS(BD!$A$3:$A$5001,BD!$B$3:$B$5001,U$114,BD!$A$3:$A$5001,"&gt;="&amp;$C$7,BD!$A$3:$A$5001,"&lt;="&amp;$B116,BD!$K$3:$K$5001,"&lt;&gt;"))))</f>
        <v/>
      </c>
      <c r="V116" s="43" t="str">
        <f>IF(OR($B116="",$A116&gt;$B$9,V$114=""),"",IF(COUNTIFS(BD!$B$3:$B$5001,V$114,BD!$A$3:$A$5001,"&gt;="&amp;$C$7,BD!$A$3:$A$5001,"&lt;="&amp;$B116,BD!$K$3:$K$5001,"&lt;&gt;")=0,"",SUMIFS(BD!$K$3:$K$5001,BD!$B$3:$B$5001,V$114,BD!$A$3:$A$5001,_xlfn.MAXIFS(BD!$A$3:$A$5001,BD!$B$3:$B$5001,V$114,BD!$A$3:$A$5001,"&gt;="&amp;$C$7,BD!$A$3:$A$5001,"&lt;="&amp;$B116,BD!$K$3:$K$5001,"&lt;&gt;"))))</f>
        <v/>
      </c>
    </row>
    <row r="117">
      <c r="A117" s="38">
        <v>3</v>
      </c>
      <c r="B117" s="42">
        <f>$B$14</f>
        <v>46298</v>
      </c>
      <c r="C117" s="43" t="str">
        <f>IF(OR($B117="",$A117&gt;$B$9,C$114=""),"",IF(COUNTIFS(BD!$B$3:$B$5001,C$114,BD!$A$3:$A$5001,"&gt;="&amp;$C$7,BD!$A$3:$A$5001,"&lt;="&amp;$B117,BD!$K$3:$K$5001,"&lt;&gt;")=0,"",SUMIFS(BD!$K$3:$K$5001,BD!$B$3:$B$5001,C$114,BD!$A$3:$A$5001,_xlfn.MAXIFS(BD!$A$3:$A$5001,BD!$B$3:$B$5001,C$114,BD!$A$3:$A$5001,"&gt;="&amp;$C$7,BD!$A$3:$A$5001,"&lt;="&amp;$B117,BD!$K$3:$K$5001,"&lt;&gt;"))))</f>
        <v/>
      </c>
      <c r="D117" s="43" t="str">
        <f>IF(OR($B117="",$A117&gt;$B$9,D$114=""),"",IF(COUNTIFS(BD!$B$3:$B$5001,D$114,BD!$A$3:$A$5001,"&gt;="&amp;$C$7,BD!$A$3:$A$5001,"&lt;="&amp;$B117,BD!$K$3:$K$5001,"&lt;&gt;")=0,"",SUMIFS(BD!$K$3:$K$5001,BD!$B$3:$B$5001,D$114,BD!$A$3:$A$5001,_xlfn.MAXIFS(BD!$A$3:$A$5001,BD!$B$3:$B$5001,D$114,BD!$A$3:$A$5001,"&gt;="&amp;$C$7,BD!$A$3:$A$5001,"&lt;="&amp;$B117,BD!$K$3:$K$5001,"&lt;&gt;"))))</f>
        <v/>
      </c>
      <c r="E117" s="43" t="str">
        <f>IF(OR($B117="",$A117&gt;$B$9,E$114=""),"",IF(COUNTIFS(BD!$B$3:$B$5001,E$114,BD!$A$3:$A$5001,"&gt;="&amp;$C$7,BD!$A$3:$A$5001,"&lt;="&amp;$B117,BD!$K$3:$K$5001,"&lt;&gt;")=0,"",SUMIFS(BD!$K$3:$K$5001,BD!$B$3:$B$5001,E$114,BD!$A$3:$A$5001,_xlfn.MAXIFS(BD!$A$3:$A$5001,BD!$B$3:$B$5001,E$114,BD!$A$3:$A$5001,"&gt;="&amp;$C$7,BD!$A$3:$A$5001,"&lt;="&amp;$B117,BD!$K$3:$K$5001,"&lt;&gt;"))))</f>
        <v/>
      </c>
      <c r="F117" s="43" t="str">
        <f>IF(OR($B117="",$A117&gt;$B$9,F$114=""),"",IF(COUNTIFS(BD!$B$3:$B$5001,F$114,BD!$A$3:$A$5001,"&gt;="&amp;$C$7,BD!$A$3:$A$5001,"&lt;="&amp;$B117,BD!$K$3:$K$5001,"&lt;&gt;")=0,"",SUMIFS(BD!$K$3:$K$5001,BD!$B$3:$B$5001,F$114,BD!$A$3:$A$5001,_xlfn.MAXIFS(BD!$A$3:$A$5001,BD!$B$3:$B$5001,F$114,BD!$A$3:$A$5001,"&gt;="&amp;$C$7,BD!$A$3:$A$5001,"&lt;="&amp;$B117,BD!$K$3:$K$5001,"&lt;&gt;"))))</f>
        <v/>
      </c>
      <c r="G117" s="43" t="str">
        <f>IF(OR($B117="",$A117&gt;$B$9,G$114=""),"",IF(COUNTIFS(BD!$B$3:$B$5001,G$114,BD!$A$3:$A$5001,"&gt;="&amp;$C$7,BD!$A$3:$A$5001,"&lt;="&amp;$B117,BD!$K$3:$K$5001,"&lt;&gt;")=0,"",SUMIFS(BD!$K$3:$K$5001,BD!$B$3:$B$5001,G$114,BD!$A$3:$A$5001,_xlfn.MAXIFS(BD!$A$3:$A$5001,BD!$B$3:$B$5001,G$114,BD!$A$3:$A$5001,"&gt;="&amp;$C$7,BD!$A$3:$A$5001,"&lt;="&amp;$B117,BD!$K$3:$K$5001,"&lt;&gt;"))))</f>
        <v/>
      </c>
      <c r="H117" s="43" t="str">
        <f>IF(OR($B117="",$A117&gt;$B$9,H$114=""),"",IF(COUNTIFS(BD!$B$3:$B$5001,H$114,BD!$A$3:$A$5001,"&gt;="&amp;$C$7,BD!$A$3:$A$5001,"&lt;="&amp;$B117,BD!$K$3:$K$5001,"&lt;&gt;")=0,"",SUMIFS(BD!$K$3:$K$5001,BD!$B$3:$B$5001,H$114,BD!$A$3:$A$5001,_xlfn.MAXIFS(BD!$A$3:$A$5001,BD!$B$3:$B$5001,H$114,BD!$A$3:$A$5001,"&gt;="&amp;$C$7,BD!$A$3:$A$5001,"&lt;="&amp;$B117,BD!$K$3:$K$5001,"&lt;&gt;"))))</f>
        <v/>
      </c>
      <c r="I117" s="43" t="str">
        <f>IF(OR($B117="",$A117&gt;$B$9,I$114=""),"",IF(COUNTIFS(BD!$B$3:$B$5001,I$114,BD!$A$3:$A$5001,"&gt;="&amp;$C$7,BD!$A$3:$A$5001,"&lt;="&amp;$B117,BD!$K$3:$K$5001,"&lt;&gt;")=0,"",SUMIFS(BD!$K$3:$K$5001,BD!$B$3:$B$5001,I$114,BD!$A$3:$A$5001,_xlfn.MAXIFS(BD!$A$3:$A$5001,BD!$B$3:$B$5001,I$114,BD!$A$3:$A$5001,"&gt;="&amp;$C$7,BD!$A$3:$A$5001,"&lt;="&amp;$B117,BD!$K$3:$K$5001,"&lt;&gt;"))))</f>
        <v/>
      </c>
      <c r="J117" s="43" t="str">
        <f>IF(OR($B117="",$A117&gt;$B$9,J$114=""),"",IF(COUNTIFS(BD!$B$3:$B$5001,J$114,BD!$A$3:$A$5001,"&gt;="&amp;$C$7,BD!$A$3:$A$5001,"&lt;="&amp;$B117,BD!$K$3:$K$5001,"&lt;&gt;")=0,"",SUMIFS(BD!$K$3:$K$5001,BD!$B$3:$B$5001,J$114,BD!$A$3:$A$5001,_xlfn.MAXIFS(BD!$A$3:$A$5001,BD!$B$3:$B$5001,J$114,BD!$A$3:$A$5001,"&gt;="&amp;$C$7,BD!$A$3:$A$5001,"&lt;="&amp;$B117,BD!$K$3:$K$5001,"&lt;&gt;"))))</f>
        <v/>
      </c>
      <c r="K117" s="43" t="str">
        <f>IF(OR($B117="",$A117&gt;$B$9,K$114=""),"",IF(COUNTIFS(BD!$B$3:$B$5001,K$114,BD!$A$3:$A$5001,"&gt;="&amp;$C$7,BD!$A$3:$A$5001,"&lt;="&amp;$B117,BD!$K$3:$K$5001,"&lt;&gt;")=0,"",SUMIFS(BD!$K$3:$K$5001,BD!$B$3:$B$5001,K$114,BD!$A$3:$A$5001,_xlfn.MAXIFS(BD!$A$3:$A$5001,BD!$B$3:$B$5001,K$114,BD!$A$3:$A$5001,"&gt;="&amp;$C$7,BD!$A$3:$A$5001,"&lt;="&amp;$B117,BD!$K$3:$K$5001,"&lt;&gt;"))))</f>
        <v/>
      </c>
      <c r="L117" s="43" t="str">
        <f>IF(OR($B117="",$A117&gt;$B$9,L$114=""),"",IF(COUNTIFS(BD!$B$3:$B$5001,L$114,BD!$A$3:$A$5001,"&gt;="&amp;$C$7,BD!$A$3:$A$5001,"&lt;="&amp;$B117,BD!$K$3:$K$5001,"&lt;&gt;")=0,"",SUMIFS(BD!$K$3:$K$5001,BD!$B$3:$B$5001,L$114,BD!$A$3:$A$5001,_xlfn.MAXIFS(BD!$A$3:$A$5001,BD!$B$3:$B$5001,L$114,BD!$A$3:$A$5001,"&gt;="&amp;$C$7,BD!$A$3:$A$5001,"&lt;="&amp;$B117,BD!$K$3:$K$5001,"&lt;&gt;"))))</f>
        <v/>
      </c>
      <c r="M117" s="43" t="str">
        <f>IF(OR($B117="",$A117&gt;$B$9,M$114=""),"",IF(COUNTIFS(BD!$B$3:$B$5001,M$114,BD!$A$3:$A$5001,"&gt;="&amp;$C$7,BD!$A$3:$A$5001,"&lt;="&amp;$B117,BD!$K$3:$K$5001,"&lt;&gt;")=0,"",SUMIFS(BD!$K$3:$K$5001,BD!$B$3:$B$5001,M$114,BD!$A$3:$A$5001,_xlfn.MAXIFS(BD!$A$3:$A$5001,BD!$B$3:$B$5001,M$114,BD!$A$3:$A$5001,"&gt;="&amp;$C$7,BD!$A$3:$A$5001,"&lt;="&amp;$B117,BD!$K$3:$K$5001,"&lt;&gt;"))))</f>
        <v/>
      </c>
      <c r="N117" s="43" t="str">
        <f>IF(OR($B117="",$A117&gt;$B$9,N$114=""),"",IF(COUNTIFS(BD!$B$3:$B$5001,N$114,BD!$A$3:$A$5001,"&gt;="&amp;$C$7,BD!$A$3:$A$5001,"&lt;="&amp;$B117,BD!$K$3:$K$5001,"&lt;&gt;")=0,"",SUMIFS(BD!$K$3:$K$5001,BD!$B$3:$B$5001,N$114,BD!$A$3:$A$5001,_xlfn.MAXIFS(BD!$A$3:$A$5001,BD!$B$3:$B$5001,N$114,BD!$A$3:$A$5001,"&gt;="&amp;$C$7,BD!$A$3:$A$5001,"&lt;="&amp;$B117,BD!$K$3:$K$5001,"&lt;&gt;"))))</f>
        <v/>
      </c>
      <c r="O117" s="43" t="str">
        <f>IF(OR($B117="",$A117&gt;$B$9,O$114=""),"",IF(COUNTIFS(BD!$B$3:$B$5001,O$114,BD!$A$3:$A$5001,"&gt;="&amp;$C$7,BD!$A$3:$A$5001,"&lt;="&amp;$B117,BD!$K$3:$K$5001,"&lt;&gt;")=0,"",SUMIFS(BD!$K$3:$K$5001,BD!$B$3:$B$5001,O$114,BD!$A$3:$A$5001,_xlfn.MAXIFS(BD!$A$3:$A$5001,BD!$B$3:$B$5001,O$114,BD!$A$3:$A$5001,"&gt;="&amp;$C$7,BD!$A$3:$A$5001,"&lt;="&amp;$B117,BD!$K$3:$K$5001,"&lt;&gt;"))))</f>
        <v/>
      </c>
      <c r="P117" s="43" t="str">
        <f>IF(OR($B117="",$A117&gt;$B$9,P$114=""),"",IF(COUNTIFS(BD!$B$3:$B$5001,P$114,BD!$A$3:$A$5001,"&gt;="&amp;$C$7,BD!$A$3:$A$5001,"&lt;="&amp;$B117,BD!$K$3:$K$5001,"&lt;&gt;")=0,"",SUMIFS(BD!$K$3:$K$5001,BD!$B$3:$B$5001,P$114,BD!$A$3:$A$5001,_xlfn.MAXIFS(BD!$A$3:$A$5001,BD!$B$3:$B$5001,P$114,BD!$A$3:$A$5001,"&gt;="&amp;$C$7,BD!$A$3:$A$5001,"&lt;="&amp;$B117,BD!$K$3:$K$5001,"&lt;&gt;"))))</f>
        <v/>
      </c>
      <c r="Q117" s="43" t="str">
        <f>IF(OR($B117="",$A117&gt;$B$9,Q$114=""),"",IF(COUNTIFS(BD!$B$3:$B$5001,Q$114,BD!$A$3:$A$5001,"&gt;="&amp;$C$7,BD!$A$3:$A$5001,"&lt;="&amp;$B117,BD!$K$3:$K$5001,"&lt;&gt;")=0,"",SUMIFS(BD!$K$3:$K$5001,BD!$B$3:$B$5001,Q$114,BD!$A$3:$A$5001,_xlfn.MAXIFS(BD!$A$3:$A$5001,BD!$B$3:$B$5001,Q$114,BD!$A$3:$A$5001,"&gt;="&amp;$C$7,BD!$A$3:$A$5001,"&lt;="&amp;$B117,BD!$K$3:$K$5001,"&lt;&gt;"))))</f>
        <v/>
      </c>
      <c r="R117" s="43" t="str">
        <f>IF(OR($B117="",$A117&gt;$B$9,R$114=""),"",IF(COUNTIFS(BD!$B$3:$B$5001,R$114,BD!$A$3:$A$5001,"&gt;="&amp;$C$7,BD!$A$3:$A$5001,"&lt;="&amp;$B117,BD!$K$3:$K$5001,"&lt;&gt;")=0,"",SUMIFS(BD!$K$3:$K$5001,BD!$B$3:$B$5001,R$114,BD!$A$3:$A$5001,_xlfn.MAXIFS(BD!$A$3:$A$5001,BD!$B$3:$B$5001,R$114,BD!$A$3:$A$5001,"&gt;="&amp;$C$7,BD!$A$3:$A$5001,"&lt;="&amp;$B117,BD!$K$3:$K$5001,"&lt;&gt;"))))</f>
        <v/>
      </c>
      <c r="S117" s="43" t="str">
        <f>IF(OR($B117="",$A117&gt;$B$9,S$114=""),"",IF(COUNTIFS(BD!$B$3:$B$5001,S$114,BD!$A$3:$A$5001,"&gt;="&amp;$C$7,BD!$A$3:$A$5001,"&lt;="&amp;$B117,BD!$K$3:$K$5001,"&lt;&gt;")=0,"",SUMIFS(BD!$K$3:$K$5001,BD!$B$3:$B$5001,S$114,BD!$A$3:$A$5001,_xlfn.MAXIFS(BD!$A$3:$A$5001,BD!$B$3:$B$5001,S$114,BD!$A$3:$A$5001,"&gt;="&amp;$C$7,BD!$A$3:$A$5001,"&lt;="&amp;$B117,BD!$K$3:$K$5001,"&lt;&gt;"))))</f>
        <v/>
      </c>
      <c r="T117" s="43" t="str">
        <f>IF(OR($B117="",$A117&gt;$B$9,T$114=""),"",IF(COUNTIFS(BD!$B$3:$B$5001,T$114,BD!$A$3:$A$5001,"&gt;="&amp;$C$7,BD!$A$3:$A$5001,"&lt;="&amp;$B117,BD!$K$3:$K$5001,"&lt;&gt;")=0,"",SUMIFS(BD!$K$3:$K$5001,BD!$B$3:$B$5001,T$114,BD!$A$3:$A$5001,_xlfn.MAXIFS(BD!$A$3:$A$5001,BD!$B$3:$B$5001,T$114,BD!$A$3:$A$5001,"&gt;="&amp;$C$7,BD!$A$3:$A$5001,"&lt;="&amp;$B117,BD!$K$3:$K$5001,"&lt;&gt;"))))</f>
        <v/>
      </c>
      <c r="U117" s="43" t="str">
        <f>IF(OR($B117="",$A117&gt;$B$9,U$114=""),"",IF(COUNTIFS(BD!$B$3:$B$5001,U$114,BD!$A$3:$A$5001,"&gt;="&amp;$C$7,BD!$A$3:$A$5001,"&lt;="&amp;$B117,BD!$K$3:$K$5001,"&lt;&gt;")=0,"",SUMIFS(BD!$K$3:$K$5001,BD!$B$3:$B$5001,U$114,BD!$A$3:$A$5001,_xlfn.MAXIFS(BD!$A$3:$A$5001,BD!$B$3:$B$5001,U$114,BD!$A$3:$A$5001,"&gt;="&amp;$C$7,BD!$A$3:$A$5001,"&lt;="&amp;$B117,BD!$K$3:$K$5001,"&lt;&gt;"))))</f>
        <v/>
      </c>
      <c r="V117" s="43" t="str">
        <f>IF(OR($B117="",$A117&gt;$B$9,V$114=""),"",IF(COUNTIFS(BD!$B$3:$B$5001,V$114,BD!$A$3:$A$5001,"&gt;="&amp;$C$7,BD!$A$3:$A$5001,"&lt;="&amp;$B117,BD!$K$3:$K$5001,"&lt;&gt;")=0,"",SUMIFS(BD!$K$3:$K$5001,BD!$B$3:$B$5001,V$114,BD!$A$3:$A$5001,_xlfn.MAXIFS(BD!$A$3:$A$5001,BD!$B$3:$B$5001,V$114,BD!$A$3:$A$5001,"&gt;="&amp;$C$7,BD!$A$3:$A$5001,"&lt;="&amp;$B117,BD!$K$3:$K$5001,"&lt;&gt;"))))</f>
        <v/>
      </c>
    </row>
    <row r="118">
      <c r="A118" s="38">
        <v>4</v>
      </c>
      <c r="B118" s="42">
        <f>$B$15</f>
        <v>46299</v>
      </c>
      <c r="C118" s="43" t="str">
        <f>IF(OR($B118="",$A118&gt;$B$9,C$114=""),"",IF(COUNTIFS(BD!$B$3:$B$5001,C$114,BD!$A$3:$A$5001,"&gt;="&amp;$C$7,BD!$A$3:$A$5001,"&lt;="&amp;$B118,BD!$K$3:$K$5001,"&lt;&gt;")=0,"",SUMIFS(BD!$K$3:$K$5001,BD!$B$3:$B$5001,C$114,BD!$A$3:$A$5001,_xlfn.MAXIFS(BD!$A$3:$A$5001,BD!$B$3:$B$5001,C$114,BD!$A$3:$A$5001,"&gt;="&amp;$C$7,BD!$A$3:$A$5001,"&lt;="&amp;$B118,BD!$K$3:$K$5001,"&lt;&gt;"))))</f>
        <v/>
      </c>
      <c r="D118" s="43" t="str">
        <f>IF(OR($B118="",$A118&gt;$B$9,D$114=""),"",IF(COUNTIFS(BD!$B$3:$B$5001,D$114,BD!$A$3:$A$5001,"&gt;="&amp;$C$7,BD!$A$3:$A$5001,"&lt;="&amp;$B118,BD!$K$3:$K$5001,"&lt;&gt;")=0,"",SUMIFS(BD!$K$3:$K$5001,BD!$B$3:$B$5001,D$114,BD!$A$3:$A$5001,_xlfn.MAXIFS(BD!$A$3:$A$5001,BD!$B$3:$B$5001,D$114,BD!$A$3:$A$5001,"&gt;="&amp;$C$7,BD!$A$3:$A$5001,"&lt;="&amp;$B118,BD!$K$3:$K$5001,"&lt;&gt;"))))</f>
        <v/>
      </c>
      <c r="E118" s="43" t="str">
        <f>IF(OR($B118="",$A118&gt;$B$9,E$114=""),"",IF(COUNTIFS(BD!$B$3:$B$5001,E$114,BD!$A$3:$A$5001,"&gt;="&amp;$C$7,BD!$A$3:$A$5001,"&lt;="&amp;$B118,BD!$K$3:$K$5001,"&lt;&gt;")=0,"",SUMIFS(BD!$K$3:$K$5001,BD!$B$3:$B$5001,E$114,BD!$A$3:$A$5001,_xlfn.MAXIFS(BD!$A$3:$A$5001,BD!$B$3:$B$5001,E$114,BD!$A$3:$A$5001,"&gt;="&amp;$C$7,BD!$A$3:$A$5001,"&lt;="&amp;$B118,BD!$K$3:$K$5001,"&lt;&gt;"))))</f>
        <v/>
      </c>
      <c r="F118" s="43" t="str">
        <f>IF(OR($B118="",$A118&gt;$B$9,F$114=""),"",IF(COUNTIFS(BD!$B$3:$B$5001,F$114,BD!$A$3:$A$5001,"&gt;="&amp;$C$7,BD!$A$3:$A$5001,"&lt;="&amp;$B118,BD!$K$3:$K$5001,"&lt;&gt;")=0,"",SUMIFS(BD!$K$3:$K$5001,BD!$B$3:$B$5001,F$114,BD!$A$3:$A$5001,_xlfn.MAXIFS(BD!$A$3:$A$5001,BD!$B$3:$B$5001,F$114,BD!$A$3:$A$5001,"&gt;="&amp;$C$7,BD!$A$3:$A$5001,"&lt;="&amp;$B118,BD!$K$3:$K$5001,"&lt;&gt;"))))</f>
        <v/>
      </c>
      <c r="G118" s="43" t="str">
        <f>IF(OR($B118="",$A118&gt;$B$9,G$114=""),"",IF(COUNTIFS(BD!$B$3:$B$5001,G$114,BD!$A$3:$A$5001,"&gt;="&amp;$C$7,BD!$A$3:$A$5001,"&lt;="&amp;$B118,BD!$K$3:$K$5001,"&lt;&gt;")=0,"",SUMIFS(BD!$K$3:$K$5001,BD!$B$3:$B$5001,G$114,BD!$A$3:$A$5001,_xlfn.MAXIFS(BD!$A$3:$A$5001,BD!$B$3:$B$5001,G$114,BD!$A$3:$A$5001,"&gt;="&amp;$C$7,BD!$A$3:$A$5001,"&lt;="&amp;$B118,BD!$K$3:$K$5001,"&lt;&gt;"))))</f>
        <v/>
      </c>
      <c r="H118" s="43" t="str">
        <f>IF(OR($B118="",$A118&gt;$B$9,H$114=""),"",IF(COUNTIFS(BD!$B$3:$B$5001,H$114,BD!$A$3:$A$5001,"&gt;="&amp;$C$7,BD!$A$3:$A$5001,"&lt;="&amp;$B118,BD!$K$3:$K$5001,"&lt;&gt;")=0,"",SUMIFS(BD!$K$3:$K$5001,BD!$B$3:$B$5001,H$114,BD!$A$3:$A$5001,_xlfn.MAXIFS(BD!$A$3:$A$5001,BD!$B$3:$B$5001,H$114,BD!$A$3:$A$5001,"&gt;="&amp;$C$7,BD!$A$3:$A$5001,"&lt;="&amp;$B118,BD!$K$3:$K$5001,"&lt;&gt;"))))</f>
        <v/>
      </c>
      <c r="I118" s="43" t="str">
        <f>IF(OR($B118="",$A118&gt;$B$9,I$114=""),"",IF(COUNTIFS(BD!$B$3:$B$5001,I$114,BD!$A$3:$A$5001,"&gt;="&amp;$C$7,BD!$A$3:$A$5001,"&lt;="&amp;$B118,BD!$K$3:$K$5001,"&lt;&gt;")=0,"",SUMIFS(BD!$K$3:$K$5001,BD!$B$3:$B$5001,I$114,BD!$A$3:$A$5001,_xlfn.MAXIFS(BD!$A$3:$A$5001,BD!$B$3:$B$5001,I$114,BD!$A$3:$A$5001,"&gt;="&amp;$C$7,BD!$A$3:$A$5001,"&lt;="&amp;$B118,BD!$K$3:$K$5001,"&lt;&gt;"))))</f>
        <v/>
      </c>
      <c r="J118" s="43" t="str">
        <f>IF(OR($B118="",$A118&gt;$B$9,J$114=""),"",IF(COUNTIFS(BD!$B$3:$B$5001,J$114,BD!$A$3:$A$5001,"&gt;="&amp;$C$7,BD!$A$3:$A$5001,"&lt;="&amp;$B118,BD!$K$3:$K$5001,"&lt;&gt;")=0,"",SUMIFS(BD!$K$3:$K$5001,BD!$B$3:$B$5001,J$114,BD!$A$3:$A$5001,_xlfn.MAXIFS(BD!$A$3:$A$5001,BD!$B$3:$B$5001,J$114,BD!$A$3:$A$5001,"&gt;="&amp;$C$7,BD!$A$3:$A$5001,"&lt;="&amp;$B118,BD!$K$3:$K$5001,"&lt;&gt;"))))</f>
        <v/>
      </c>
      <c r="K118" s="43" t="str">
        <f>IF(OR($B118="",$A118&gt;$B$9,K$114=""),"",IF(COUNTIFS(BD!$B$3:$B$5001,K$114,BD!$A$3:$A$5001,"&gt;="&amp;$C$7,BD!$A$3:$A$5001,"&lt;="&amp;$B118,BD!$K$3:$K$5001,"&lt;&gt;")=0,"",SUMIFS(BD!$K$3:$K$5001,BD!$B$3:$B$5001,K$114,BD!$A$3:$A$5001,_xlfn.MAXIFS(BD!$A$3:$A$5001,BD!$B$3:$B$5001,K$114,BD!$A$3:$A$5001,"&gt;="&amp;$C$7,BD!$A$3:$A$5001,"&lt;="&amp;$B118,BD!$K$3:$K$5001,"&lt;&gt;"))))</f>
        <v/>
      </c>
      <c r="L118" s="43" t="str">
        <f>IF(OR($B118="",$A118&gt;$B$9,L$114=""),"",IF(COUNTIFS(BD!$B$3:$B$5001,L$114,BD!$A$3:$A$5001,"&gt;="&amp;$C$7,BD!$A$3:$A$5001,"&lt;="&amp;$B118,BD!$K$3:$K$5001,"&lt;&gt;")=0,"",SUMIFS(BD!$K$3:$K$5001,BD!$B$3:$B$5001,L$114,BD!$A$3:$A$5001,_xlfn.MAXIFS(BD!$A$3:$A$5001,BD!$B$3:$B$5001,L$114,BD!$A$3:$A$5001,"&gt;="&amp;$C$7,BD!$A$3:$A$5001,"&lt;="&amp;$B118,BD!$K$3:$K$5001,"&lt;&gt;"))))</f>
        <v/>
      </c>
      <c r="M118" s="43" t="str">
        <f>IF(OR($B118="",$A118&gt;$B$9,M$114=""),"",IF(COUNTIFS(BD!$B$3:$B$5001,M$114,BD!$A$3:$A$5001,"&gt;="&amp;$C$7,BD!$A$3:$A$5001,"&lt;="&amp;$B118,BD!$K$3:$K$5001,"&lt;&gt;")=0,"",SUMIFS(BD!$K$3:$K$5001,BD!$B$3:$B$5001,M$114,BD!$A$3:$A$5001,_xlfn.MAXIFS(BD!$A$3:$A$5001,BD!$B$3:$B$5001,M$114,BD!$A$3:$A$5001,"&gt;="&amp;$C$7,BD!$A$3:$A$5001,"&lt;="&amp;$B118,BD!$K$3:$K$5001,"&lt;&gt;"))))</f>
        <v/>
      </c>
      <c r="N118" s="43" t="str">
        <f>IF(OR($B118="",$A118&gt;$B$9,N$114=""),"",IF(COUNTIFS(BD!$B$3:$B$5001,N$114,BD!$A$3:$A$5001,"&gt;="&amp;$C$7,BD!$A$3:$A$5001,"&lt;="&amp;$B118,BD!$K$3:$K$5001,"&lt;&gt;")=0,"",SUMIFS(BD!$K$3:$K$5001,BD!$B$3:$B$5001,N$114,BD!$A$3:$A$5001,_xlfn.MAXIFS(BD!$A$3:$A$5001,BD!$B$3:$B$5001,N$114,BD!$A$3:$A$5001,"&gt;="&amp;$C$7,BD!$A$3:$A$5001,"&lt;="&amp;$B118,BD!$K$3:$K$5001,"&lt;&gt;"))))</f>
        <v/>
      </c>
      <c r="O118" s="43" t="str">
        <f>IF(OR($B118="",$A118&gt;$B$9,O$114=""),"",IF(COUNTIFS(BD!$B$3:$B$5001,O$114,BD!$A$3:$A$5001,"&gt;="&amp;$C$7,BD!$A$3:$A$5001,"&lt;="&amp;$B118,BD!$K$3:$K$5001,"&lt;&gt;")=0,"",SUMIFS(BD!$K$3:$K$5001,BD!$B$3:$B$5001,O$114,BD!$A$3:$A$5001,_xlfn.MAXIFS(BD!$A$3:$A$5001,BD!$B$3:$B$5001,O$114,BD!$A$3:$A$5001,"&gt;="&amp;$C$7,BD!$A$3:$A$5001,"&lt;="&amp;$B118,BD!$K$3:$K$5001,"&lt;&gt;"))))</f>
        <v/>
      </c>
      <c r="P118" s="43" t="str">
        <f>IF(OR($B118="",$A118&gt;$B$9,P$114=""),"",IF(COUNTIFS(BD!$B$3:$B$5001,P$114,BD!$A$3:$A$5001,"&gt;="&amp;$C$7,BD!$A$3:$A$5001,"&lt;="&amp;$B118,BD!$K$3:$K$5001,"&lt;&gt;")=0,"",SUMIFS(BD!$K$3:$K$5001,BD!$B$3:$B$5001,P$114,BD!$A$3:$A$5001,_xlfn.MAXIFS(BD!$A$3:$A$5001,BD!$B$3:$B$5001,P$114,BD!$A$3:$A$5001,"&gt;="&amp;$C$7,BD!$A$3:$A$5001,"&lt;="&amp;$B118,BD!$K$3:$K$5001,"&lt;&gt;"))))</f>
        <v/>
      </c>
      <c r="Q118" s="43" t="str">
        <f>IF(OR($B118="",$A118&gt;$B$9,Q$114=""),"",IF(COUNTIFS(BD!$B$3:$B$5001,Q$114,BD!$A$3:$A$5001,"&gt;="&amp;$C$7,BD!$A$3:$A$5001,"&lt;="&amp;$B118,BD!$K$3:$K$5001,"&lt;&gt;")=0,"",SUMIFS(BD!$K$3:$K$5001,BD!$B$3:$B$5001,Q$114,BD!$A$3:$A$5001,_xlfn.MAXIFS(BD!$A$3:$A$5001,BD!$B$3:$B$5001,Q$114,BD!$A$3:$A$5001,"&gt;="&amp;$C$7,BD!$A$3:$A$5001,"&lt;="&amp;$B118,BD!$K$3:$K$5001,"&lt;&gt;"))))</f>
        <v/>
      </c>
      <c r="R118" s="43" t="str">
        <f>IF(OR($B118="",$A118&gt;$B$9,R$114=""),"",IF(COUNTIFS(BD!$B$3:$B$5001,R$114,BD!$A$3:$A$5001,"&gt;="&amp;$C$7,BD!$A$3:$A$5001,"&lt;="&amp;$B118,BD!$K$3:$K$5001,"&lt;&gt;")=0,"",SUMIFS(BD!$K$3:$K$5001,BD!$B$3:$B$5001,R$114,BD!$A$3:$A$5001,_xlfn.MAXIFS(BD!$A$3:$A$5001,BD!$B$3:$B$5001,R$114,BD!$A$3:$A$5001,"&gt;="&amp;$C$7,BD!$A$3:$A$5001,"&lt;="&amp;$B118,BD!$K$3:$K$5001,"&lt;&gt;"))))</f>
        <v/>
      </c>
      <c r="S118" s="43" t="str">
        <f>IF(OR($B118="",$A118&gt;$B$9,S$114=""),"",IF(COUNTIFS(BD!$B$3:$B$5001,S$114,BD!$A$3:$A$5001,"&gt;="&amp;$C$7,BD!$A$3:$A$5001,"&lt;="&amp;$B118,BD!$K$3:$K$5001,"&lt;&gt;")=0,"",SUMIFS(BD!$K$3:$K$5001,BD!$B$3:$B$5001,S$114,BD!$A$3:$A$5001,_xlfn.MAXIFS(BD!$A$3:$A$5001,BD!$B$3:$B$5001,S$114,BD!$A$3:$A$5001,"&gt;="&amp;$C$7,BD!$A$3:$A$5001,"&lt;="&amp;$B118,BD!$K$3:$K$5001,"&lt;&gt;"))))</f>
        <v/>
      </c>
      <c r="T118" s="43" t="str">
        <f>IF(OR($B118="",$A118&gt;$B$9,T$114=""),"",IF(COUNTIFS(BD!$B$3:$B$5001,T$114,BD!$A$3:$A$5001,"&gt;="&amp;$C$7,BD!$A$3:$A$5001,"&lt;="&amp;$B118,BD!$K$3:$K$5001,"&lt;&gt;")=0,"",SUMIFS(BD!$K$3:$K$5001,BD!$B$3:$B$5001,T$114,BD!$A$3:$A$5001,_xlfn.MAXIFS(BD!$A$3:$A$5001,BD!$B$3:$B$5001,T$114,BD!$A$3:$A$5001,"&gt;="&amp;$C$7,BD!$A$3:$A$5001,"&lt;="&amp;$B118,BD!$K$3:$K$5001,"&lt;&gt;"))))</f>
        <v/>
      </c>
      <c r="U118" s="43" t="str">
        <f>IF(OR($B118="",$A118&gt;$B$9,U$114=""),"",IF(COUNTIFS(BD!$B$3:$B$5001,U$114,BD!$A$3:$A$5001,"&gt;="&amp;$C$7,BD!$A$3:$A$5001,"&lt;="&amp;$B118,BD!$K$3:$K$5001,"&lt;&gt;")=0,"",SUMIFS(BD!$K$3:$K$5001,BD!$B$3:$B$5001,U$114,BD!$A$3:$A$5001,_xlfn.MAXIFS(BD!$A$3:$A$5001,BD!$B$3:$B$5001,U$114,BD!$A$3:$A$5001,"&gt;="&amp;$C$7,BD!$A$3:$A$5001,"&lt;="&amp;$B118,BD!$K$3:$K$5001,"&lt;&gt;"))))</f>
        <v/>
      </c>
      <c r="V118" s="43" t="str">
        <f>IF(OR($B118="",$A118&gt;$B$9,V$114=""),"",IF(COUNTIFS(BD!$B$3:$B$5001,V$114,BD!$A$3:$A$5001,"&gt;="&amp;$C$7,BD!$A$3:$A$5001,"&lt;="&amp;$B118,BD!$K$3:$K$5001,"&lt;&gt;")=0,"",SUMIFS(BD!$K$3:$K$5001,BD!$B$3:$B$5001,V$114,BD!$A$3:$A$5001,_xlfn.MAXIFS(BD!$A$3:$A$5001,BD!$B$3:$B$5001,V$114,BD!$A$3:$A$5001,"&gt;="&amp;$C$7,BD!$A$3:$A$5001,"&lt;="&amp;$B118,BD!$K$3:$K$5001,"&lt;&gt;"))))</f>
        <v/>
      </c>
    </row>
    <row r="119">
      <c r="A119" s="38">
        <v>5</v>
      </c>
      <c r="B119" s="42">
        <f>$B$16</f>
        <v>46300</v>
      </c>
      <c r="C119" s="43" t="str">
        <f>IF(OR($B119="",$A119&gt;$B$9,C$114=""),"",IF(COUNTIFS(BD!$B$3:$B$5001,C$114,BD!$A$3:$A$5001,"&gt;="&amp;$C$7,BD!$A$3:$A$5001,"&lt;="&amp;$B119,BD!$K$3:$K$5001,"&lt;&gt;")=0,"",SUMIFS(BD!$K$3:$K$5001,BD!$B$3:$B$5001,C$114,BD!$A$3:$A$5001,_xlfn.MAXIFS(BD!$A$3:$A$5001,BD!$B$3:$B$5001,C$114,BD!$A$3:$A$5001,"&gt;="&amp;$C$7,BD!$A$3:$A$5001,"&lt;="&amp;$B119,BD!$K$3:$K$5001,"&lt;&gt;"))))</f>
        <v/>
      </c>
      <c r="D119" s="43" t="str">
        <f>IF(OR($B119="",$A119&gt;$B$9,D$114=""),"",IF(COUNTIFS(BD!$B$3:$B$5001,D$114,BD!$A$3:$A$5001,"&gt;="&amp;$C$7,BD!$A$3:$A$5001,"&lt;="&amp;$B119,BD!$K$3:$K$5001,"&lt;&gt;")=0,"",SUMIFS(BD!$K$3:$K$5001,BD!$B$3:$B$5001,D$114,BD!$A$3:$A$5001,_xlfn.MAXIFS(BD!$A$3:$A$5001,BD!$B$3:$B$5001,D$114,BD!$A$3:$A$5001,"&gt;="&amp;$C$7,BD!$A$3:$A$5001,"&lt;="&amp;$B119,BD!$K$3:$K$5001,"&lt;&gt;"))))</f>
        <v/>
      </c>
      <c r="E119" s="43" t="str">
        <f>IF(OR($B119="",$A119&gt;$B$9,E$114=""),"",IF(COUNTIFS(BD!$B$3:$B$5001,E$114,BD!$A$3:$A$5001,"&gt;="&amp;$C$7,BD!$A$3:$A$5001,"&lt;="&amp;$B119,BD!$K$3:$K$5001,"&lt;&gt;")=0,"",SUMIFS(BD!$K$3:$K$5001,BD!$B$3:$B$5001,E$114,BD!$A$3:$A$5001,_xlfn.MAXIFS(BD!$A$3:$A$5001,BD!$B$3:$B$5001,E$114,BD!$A$3:$A$5001,"&gt;="&amp;$C$7,BD!$A$3:$A$5001,"&lt;="&amp;$B119,BD!$K$3:$K$5001,"&lt;&gt;"))))</f>
        <v/>
      </c>
      <c r="F119" s="43" t="str">
        <f>IF(OR($B119="",$A119&gt;$B$9,F$114=""),"",IF(COUNTIFS(BD!$B$3:$B$5001,F$114,BD!$A$3:$A$5001,"&gt;="&amp;$C$7,BD!$A$3:$A$5001,"&lt;="&amp;$B119,BD!$K$3:$K$5001,"&lt;&gt;")=0,"",SUMIFS(BD!$K$3:$K$5001,BD!$B$3:$B$5001,F$114,BD!$A$3:$A$5001,_xlfn.MAXIFS(BD!$A$3:$A$5001,BD!$B$3:$B$5001,F$114,BD!$A$3:$A$5001,"&gt;="&amp;$C$7,BD!$A$3:$A$5001,"&lt;="&amp;$B119,BD!$K$3:$K$5001,"&lt;&gt;"))))</f>
        <v/>
      </c>
      <c r="G119" s="43" t="str">
        <f>IF(OR($B119="",$A119&gt;$B$9,G$114=""),"",IF(COUNTIFS(BD!$B$3:$B$5001,G$114,BD!$A$3:$A$5001,"&gt;="&amp;$C$7,BD!$A$3:$A$5001,"&lt;="&amp;$B119,BD!$K$3:$K$5001,"&lt;&gt;")=0,"",SUMIFS(BD!$K$3:$K$5001,BD!$B$3:$B$5001,G$114,BD!$A$3:$A$5001,_xlfn.MAXIFS(BD!$A$3:$A$5001,BD!$B$3:$B$5001,G$114,BD!$A$3:$A$5001,"&gt;="&amp;$C$7,BD!$A$3:$A$5001,"&lt;="&amp;$B119,BD!$K$3:$K$5001,"&lt;&gt;"))))</f>
        <v/>
      </c>
      <c r="H119" s="43" t="str">
        <f>IF(OR($B119="",$A119&gt;$B$9,H$114=""),"",IF(COUNTIFS(BD!$B$3:$B$5001,H$114,BD!$A$3:$A$5001,"&gt;="&amp;$C$7,BD!$A$3:$A$5001,"&lt;="&amp;$B119,BD!$K$3:$K$5001,"&lt;&gt;")=0,"",SUMIFS(BD!$K$3:$K$5001,BD!$B$3:$B$5001,H$114,BD!$A$3:$A$5001,_xlfn.MAXIFS(BD!$A$3:$A$5001,BD!$B$3:$B$5001,H$114,BD!$A$3:$A$5001,"&gt;="&amp;$C$7,BD!$A$3:$A$5001,"&lt;="&amp;$B119,BD!$K$3:$K$5001,"&lt;&gt;"))))</f>
        <v/>
      </c>
      <c r="I119" s="43" t="str">
        <f>IF(OR($B119="",$A119&gt;$B$9,I$114=""),"",IF(COUNTIFS(BD!$B$3:$B$5001,I$114,BD!$A$3:$A$5001,"&gt;="&amp;$C$7,BD!$A$3:$A$5001,"&lt;="&amp;$B119,BD!$K$3:$K$5001,"&lt;&gt;")=0,"",SUMIFS(BD!$K$3:$K$5001,BD!$B$3:$B$5001,I$114,BD!$A$3:$A$5001,_xlfn.MAXIFS(BD!$A$3:$A$5001,BD!$B$3:$B$5001,I$114,BD!$A$3:$A$5001,"&gt;="&amp;$C$7,BD!$A$3:$A$5001,"&lt;="&amp;$B119,BD!$K$3:$K$5001,"&lt;&gt;"))))</f>
        <v/>
      </c>
      <c r="J119" s="43" t="str">
        <f>IF(OR($B119="",$A119&gt;$B$9,J$114=""),"",IF(COUNTIFS(BD!$B$3:$B$5001,J$114,BD!$A$3:$A$5001,"&gt;="&amp;$C$7,BD!$A$3:$A$5001,"&lt;="&amp;$B119,BD!$K$3:$K$5001,"&lt;&gt;")=0,"",SUMIFS(BD!$K$3:$K$5001,BD!$B$3:$B$5001,J$114,BD!$A$3:$A$5001,_xlfn.MAXIFS(BD!$A$3:$A$5001,BD!$B$3:$B$5001,J$114,BD!$A$3:$A$5001,"&gt;="&amp;$C$7,BD!$A$3:$A$5001,"&lt;="&amp;$B119,BD!$K$3:$K$5001,"&lt;&gt;"))))</f>
        <v/>
      </c>
      <c r="K119" s="43" t="str">
        <f>IF(OR($B119="",$A119&gt;$B$9,K$114=""),"",IF(COUNTIFS(BD!$B$3:$B$5001,K$114,BD!$A$3:$A$5001,"&gt;="&amp;$C$7,BD!$A$3:$A$5001,"&lt;="&amp;$B119,BD!$K$3:$K$5001,"&lt;&gt;")=0,"",SUMIFS(BD!$K$3:$K$5001,BD!$B$3:$B$5001,K$114,BD!$A$3:$A$5001,_xlfn.MAXIFS(BD!$A$3:$A$5001,BD!$B$3:$B$5001,K$114,BD!$A$3:$A$5001,"&gt;="&amp;$C$7,BD!$A$3:$A$5001,"&lt;="&amp;$B119,BD!$K$3:$K$5001,"&lt;&gt;"))))</f>
        <v/>
      </c>
      <c r="L119" s="43" t="str">
        <f>IF(OR($B119="",$A119&gt;$B$9,L$114=""),"",IF(COUNTIFS(BD!$B$3:$B$5001,L$114,BD!$A$3:$A$5001,"&gt;="&amp;$C$7,BD!$A$3:$A$5001,"&lt;="&amp;$B119,BD!$K$3:$K$5001,"&lt;&gt;")=0,"",SUMIFS(BD!$K$3:$K$5001,BD!$B$3:$B$5001,L$114,BD!$A$3:$A$5001,_xlfn.MAXIFS(BD!$A$3:$A$5001,BD!$B$3:$B$5001,L$114,BD!$A$3:$A$5001,"&gt;="&amp;$C$7,BD!$A$3:$A$5001,"&lt;="&amp;$B119,BD!$K$3:$K$5001,"&lt;&gt;"))))</f>
        <v/>
      </c>
      <c r="M119" s="43" t="str">
        <f>IF(OR($B119="",$A119&gt;$B$9,M$114=""),"",IF(COUNTIFS(BD!$B$3:$B$5001,M$114,BD!$A$3:$A$5001,"&gt;="&amp;$C$7,BD!$A$3:$A$5001,"&lt;="&amp;$B119,BD!$K$3:$K$5001,"&lt;&gt;")=0,"",SUMIFS(BD!$K$3:$K$5001,BD!$B$3:$B$5001,M$114,BD!$A$3:$A$5001,_xlfn.MAXIFS(BD!$A$3:$A$5001,BD!$B$3:$B$5001,M$114,BD!$A$3:$A$5001,"&gt;="&amp;$C$7,BD!$A$3:$A$5001,"&lt;="&amp;$B119,BD!$K$3:$K$5001,"&lt;&gt;"))))</f>
        <v/>
      </c>
      <c r="N119" s="43" t="str">
        <f>IF(OR($B119="",$A119&gt;$B$9,N$114=""),"",IF(COUNTIFS(BD!$B$3:$B$5001,N$114,BD!$A$3:$A$5001,"&gt;="&amp;$C$7,BD!$A$3:$A$5001,"&lt;="&amp;$B119,BD!$K$3:$K$5001,"&lt;&gt;")=0,"",SUMIFS(BD!$K$3:$K$5001,BD!$B$3:$B$5001,N$114,BD!$A$3:$A$5001,_xlfn.MAXIFS(BD!$A$3:$A$5001,BD!$B$3:$B$5001,N$114,BD!$A$3:$A$5001,"&gt;="&amp;$C$7,BD!$A$3:$A$5001,"&lt;="&amp;$B119,BD!$K$3:$K$5001,"&lt;&gt;"))))</f>
        <v/>
      </c>
      <c r="O119" s="43" t="str">
        <f>IF(OR($B119="",$A119&gt;$B$9,O$114=""),"",IF(COUNTIFS(BD!$B$3:$B$5001,O$114,BD!$A$3:$A$5001,"&gt;="&amp;$C$7,BD!$A$3:$A$5001,"&lt;="&amp;$B119,BD!$K$3:$K$5001,"&lt;&gt;")=0,"",SUMIFS(BD!$K$3:$K$5001,BD!$B$3:$B$5001,O$114,BD!$A$3:$A$5001,_xlfn.MAXIFS(BD!$A$3:$A$5001,BD!$B$3:$B$5001,O$114,BD!$A$3:$A$5001,"&gt;="&amp;$C$7,BD!$A$3:$A$5001,"&lt;="&amp;$B119,BD!$K$3:$K$5001,"&lt;&gt;"))))</f>
        <v/>
      </c>
      <c r="P119" s="43" t="str">
        <f>IF(OR($B119="",$A119&gt;$B$9,P$114=""),"",IF(COUNTIFS(BD!$B$3:$B$5001,P$114,BD!$A$3:$A$5001,"&gt;="&amp;$C$7,BD!$A$3:$A$5001,"&lt;="&amp;$B119,BD!$K$3:$K$5001,"&lt;&gt;")=0,"",SUMIFS(BD!$K$3:$K$5001,BD!$B$3:$B$5001,P$114,BD!$A$3:$A$5001,_xlfn.MAXIFS(BD!$A$3:$A$5001,BD!$B$3:$B$5001,P$114,BD!$A$3:$A$5001,"&gt;="&amp;$C$7,BD!$A$3:$A$5001,"&lt;="&amp;$B119,BD!$K$3:$K$5001,"&lt;&gt;"))))</f>
        <v/>
      </c>
      <c r="Q119" s="43" t="str">
        <f>IF(OR($B119="",$A119&gt;$B$9,Q$114=""),"",IF(COUNTIFS(BD!$B$3:$B$5001,Q$114,BD!$A$3:$A$5001,"&gt;="&amp;$C$7,BD!$A$3:$A$5001,"&lt;="&amp;$B119,BD!$K$3:$K$5001,"&lt;&gt;")=0,"",SUMIFS(BD!$K$3:$K$5001,BD!$B$3:$B$5001,Q$114,BD!$A$3:$A$5001,_xlfn.MAXIFS(BD!$A$3:$A$5001,BD!$B$3:$B$5001,Q$114,BD!$A$3:$A$5001,"&gt;="&amp;$C$7,BD!$A$3:$A$5001,"&lt;="&amp;$B119,BD!$K$3:$K$5001,"&lt;&gt;"))))</f>
        <v/>
      </c>
      <c r="R119" s="43" t="str">
        <f>IF(OR($B119="",$A119&gt;$B$9,R$114=""),"",IF(COUNTIFS(BD!$B$3:$B$5001,R$114,BD!$A$3:$A$5001,"&gt;="&amp;$C$7,BD!$A$3:$A$5001,"&lt;="&amp;$B119,BD!$K$3:$K$5001,"&lt;&gt;")=0,"",SUMIFS(BD!$K$3:$K$5001,BD!$B$3:$B$5001,R$114,BD!$A$3:$A$5001,_xlfn.MAXIFS(BD!$A$3:$A$5001,BD!$B$3:$B$5001,R$114,BD!$A$3:$A$5001,"&gt;="&amp;$C$7,BD!$A$3:$A$5001,"&lt;="&amp;$B119,BD!$K$3:$K$5001,"&lt;&gt;"))))</f>
        <v/>
      </c>
      <c r="S119" s="43" t="str">
        <f>IF(OR($B119="",$A119&gt;$B$9,S$114=""),"",IF(COUNTIFS(BD!$B$3:$B$5001,S$114,BD!$A$3:$A$5001,"&gt;="&amp;$C$7,BD!$A$3:$A$5001,"&lt;="&amp;$B119,BD!$K$3:$K$5001,"&lt;&gt;")=0,"",SUMIFS(BD!$K$3:$K$5001,BD!$B$3:$B$5001,S$114,BD!$A$3:$A$5001,_xlfn.MAXIFS(BD!$A$3:$A$5001,BD!$B$3:$B$5001,S$114,BD!$A$3:$A$5001,"&gt;="&amp;$C$7,BD!$A$3:$A$5001,"&lt;="&amp;$B119,BD!$K$3:$K$5001,"&lt;&gt;"))))</f>
        <v/>
      </c>
      <c r="T119" s="43" t="str">
        <f>IF(OR($B119="",$A119&gt;$B$9,T$114=""),"",IF(COUNTIFS(BD!$B$3:$B$5001,T$114,BD!$A$3:$A$5001,"&gt;="&amp;$C$7,BD!$A$3:$A$5001,"&lt;="&amp;$B119,BD!$K$3:$K$5001,"&lt;&gt;")=0,"",SUMIFS(BD!$K$3:$K$5001,BD!$B$3:$B$5001,T$114,BD!$A$3:$A$5001,_xlfn.MAXIFS(BD!$A$3:$A$5001,BD!$B$3:$B$5001,T$114,BD!$A$3:$A$5001,"&gt;="&amp;$C$7,BD!$A$3:$A$5001,"&lt;="&amp;$B119,BD!$K$3:$K$5001,"&lt;&gt;"))))</f>
        <v/>
      </c>
      <c r="U119" s="43" t="str">
        <f>IF(OR($B119="",$A119&gt;$B$9,U$114=""),"",IF(COUNTIFS(BD!$B$3:$B$5001,U$114,BD!$A$3:$A$5001,"&gt;="&amp;$C$7,BD!$A$3:$A$5001,"&lt;="&amp;$B119,BD!$K$3:$K$5001,"&lt;&gt;")=0,"",SUMIFS(BD!$K$3:$K$5001,BD!$B$3:$B$5001,U$114,BD!$A$3:$A$5001,_xlfn.MAXIFS(BD!$A$3:$A$5001,BD!$B$3:$B$5001,U$114,BD!$A$3:$A$5001,"&gt;="&amp;$C$7,BD!$A$3:$A$5001,"&lt;="&amp;$B119,BD!$K$3:$K$5001,"&lt;&gt;"))))</f>
        <v/>
      </c>
      <c r="V119" s="43" t="str">
        <f>IF(OR($B119="",$A119&gt;$B$9,V$114=""),"",IF(COUNTIFS(BD!$B$3:$B$5001,V$114,BD!$A$3:$A$5001,"&gt;="&amp;$C$7,BD!$A$3:$A$5001,"&lt;="&amp;$B119,BD!$K$3:$K$5001,"&lt;&gt;")=0,"",SUMIFS(BD!$K$3:$K$5001,BD!$B$3:$B$5001,V$114,BD!$A$3:$A$5001,_xlfn.MAXIFS(BD!$A$3:$A$5001,BD!$B$3:$B$5001,V$114,BD!$A$3:$A$5001,"&gt;="&amp;$C$7,BD!$A$3:$A$5001,"&lt;="&amp;$B119,BD!$K$3:$K$5001,"&lt;&gt;"))))</f>
        <v/>
      </c>
    </row>
    <row r="120">
      <c r="A120" s="38">
        <v>6</v>
      </c>
      <c r="B120" s="42">
        <f>$B$17</f>
        <v>46301</v>
      </c>
      <c r="C120" s="43" t="str">
        <f>IF(OR($B120="",$A120&gt;$B$9,C$114=""),"",IF(COUNTIFS(BD!$B$3:$B$5001,C$114,BD!$A$3:$A$5001,"&gt;="&amp;$C$7,BD!$A$3:$A$5001,"&lt;="&amp;$B120,BD!$K$3:$K$5001,"&lt;&gt;")=0,"",SUMIFS(BD!$K$3:$K$5001,BD!$B$3:$B$5001,C$114,BD!$A$3:$A$5001,_xlfn.MAXIFS(BD!$A$3:$A$5001,BD!$B$3:$B$5001,C$114,BD!$A$3:$A$5001,"&gt;="&amp;$C$7,BD!$A$3:$A$5001,"&lt;="&amp;$B120,BD!$K$3:$K$5001,"&lt;&gt;"))))</f>
        <v/>
      </c>
      <c r="D120" s="43" t="str">
        <f>IF(OR($B120="",$A120&gt;$B$9,D$114=""),"",IF(COUNTIFS(BD!$B$3:$B$5001,D$114,BD!$A$3:$A$5001,"&gt;="&amp;$C$7,BD!$A$3:$A$5001,"&lt;="&amp;$B120,BD!$K$3:$K$5001,"&lt;&gt;")=0,"",SUMIFS(BD!$K$3:$K$5001,BD!$B$3:$B$5001,D$114,BD!$A$3:$A$5001,_xlfn.MAXIFS(BD!$A$3:$A$5001,BD!$B$3:$B$5001,D$114,BD!$A$3:$A$5001,"&gt;="&amp;$C$7,BD!$A$3:$A$5001,"&lt;="&amp;$B120,BD!$K$3:$K$5001,"&lt;&gt;"))))</f>
        <v/>
      </c>
      <c r="E120" s="43" t="str">
        <f>IF(OR($B120="",$A120&gt;$B$9,E$114=""),"",IF(COUNTIFS(BD!$B$3:$B$5001,E$114,BD!$A$3:$A$5001,"&gt;="&amp;$C$7,BD!$A$3:$A$5001,"&lt;="&amp;$B120,BD!$K$3:$K$5001,"&lt;&gt;")=0,"",SUMIFS(BD!$K$3:$K$5001,BD!$B$3:$B$5001,E$114,BD!$A$3:$A$5001,_xlfn.MAXIFS(BD!$A$3:$A$5001,BD!$B$3:$B$5001,E$114,BD!$A$3:$A$5001,"&gt;="&amp;$C$7,BD!$A$3:$A$5001,"&lt;="&amp;$B120,BD!$K$3:$K$5001,"&lt;&gt;"))))</f>
        <v/>
      </c>
      <c r="F120" s="43" t="str">
        <f>IF(OR($B120="",$A120&gt;$B$9,F$114=""),"",IF(COUNTIFS(BD!$B$3:$B$5001,F$114,BD!$A$3:$A$5001,"&gt;="&amp;$C$7,BD!$A$3:$A$5001,"&lt;="&amp;$B120,BD!$K$3:$K$5001,"&lt;&gt;")=0,"",SUMIFS(BD!$K$3:$K$5001,BD!$B$3:$B$5001,F$114,BD!$A$3:$A$5001,_xlfn.MAXIFS(BD!$A$3:$A$5001,BD!$B$3:$B$5001,F$114,BD!$A$3:$A$5001,"&gt;="&amp;$C$7,BD!$A$3:$A$5001,"&lt;="&amp;$B120,BD!$K$3:$K$5001,"&lt;&gt;"))))</f>
        <v/>
      </c>
      <c r="G120" s="43" t="str">
        <f>IF(OR($B120="",$A120&gt;$B$9,G$114=""),"",IF(COUNTIFS(BD!$B$3:$B$5001,G$114,BD!$A$3:$A$5001,"&gt;="&amp;$C$7,BD!$A$3:$A$5001,"&lt;="&amp;$B120,BD!$K$3:$K$5001,"&lt;&gt;")=0,"",SUMIFS(BD!$K$3:$K$5001,BD!$B$3:$B$5001,G$114,BD!$A$3:$A$5001,_xlfn.MAXIFS(BD!$A$3:$A$5001,BD!$B$3:$B$5001,G$114,BD!$A$3:$A$5001,"&gt;="&amp;$C$7,BD!$A$3:$A$5001,"&lt;="&amp;$B120,BD!$K$3:$K$5001,"&lt;&gt;"))))</f>
        <v/>
      </c>
      <c r="H120" s="43" t="str">
        <f>IF(OR($B120="",$A120&gt;$B$9,H$114=""),"",IF(COUNTIFS(BD!$B$3:$B$5001,H$114,BD!$A$3:$A$5001,"&gt;="&amp;$C$7,BD!$A$3:$A$5001,"&lt;="&amp;$B120,BD!$K$3:$K$5001,"&lt;&gt;")=0,"",SUMIFS(BD!$K$3:$K$5001,BD!$B$3:$B$5001,H$114,BD!$A$3:$A$5001,_xlfn.MAXIFS(BD!$A$3:$A$5001,BD!$B$3:$B$5001,H$114,BD!$A$3:$A$5001,"&gt;="&amp;$C$7,BD!$A$3:$A$5001,"&lt;="&amp;$B120,BD!$K$3:$K$5001,"&lt;&gt;"))))</f>
        <v/>
      </c>
      <c r="I120" s="43" t="str">
        <f>IF(OR($B120="",$A120&gt;$B$9,I$114=""),"",IF(COUNTIFS(BD!$B$3:$B$5001,I$114,BD!$A$3:$A$5001,"&gt;="&amp;$C$7,BD!$A$3:$A$5001,"&lt;="&amp;$B120,BD!$K$3:$K$5001,"&lt;&gt;")=0,"",SUMIFS(BD!$K$3:$K$5001,BD!$B$3:$B$5001,I$114,BD!$A$3:$A$5001,_xlfn.MAXIFS(BD!$A$3:$A$5001,BD!$B$3:$B$5001,I$114,BD!$A$3:$A$5001,"&gt;="&amp;$C$7,BD!$A$3:$A$5001,"&lt;="&amp;$B120,BD!$K$3:$K$5001,"&lt;&gt;"))))</f>
        <v/>
      </c>
      <c r="J120" s="43" t="str">
        <f>IF(OR($B120="",$A120&gt;$B$9,J$114=""),"",IF(COUNTIFS(BD!$B$3:$B$5001,J$114,BD!$A$3:$A$5001,"&gt;="&amp;$C$7,BD!$A$3:$A$5001,"&lt;="&amp;$B120,BD!$K$3:$K$5001,"&lt;&gt;")=0,"",SUMIFS(BD!$K$3:$K$5001,BD!$B$3:$B$5001,J$114,BD!$A$3:$A$5001,_xlfn.MAXIFS(BD!$A$3:$A$5001,BD!$B$3:$B$5001,J$114,BD!$A$3:$A$5001,"&gt;="&amp;$C$7,BD!$A$3:$A$5001,"&lt;="&amp;$B120,BD!$K$3:$K$5001,"&lt;&gt;"))))</f>
        <v/>
      </c>
      <c r="K120" s="43" t="str">
        <f>IF(OR($B120="",$A120&gt;$B$9,K$114=""),"",IF(COUNTIFS(BD!$B$3:$B$5001,K$114,BD!$A$3:$A$5001,"&gt;="&amp;$C$7,BD!$A$3:$A$5001,"&lt;="&amp;$B120,BD!$K$3:$K$5001,"&lt;&gt;")=0,"",SUMIFS(BD!$K$3:$K$5001,BD!$B$3:$B$5001,K$114,BD!$A$3:$A$5001,_xlfn.MAXIFS(BD!$A$3:$A$5001,BD!$B$3:$B$5001,K$114,BD!$A$3:$A$5001,"&gt;="&amp;$C$7,BD!$A$3:$A$5001,"&lt;="&amp;$B120,BD!$K$3:$K$5001,"&lt;&gt;"))))</f>
        <v/>
      </c>
      <c r="L120" s="43" t="str">
        <f>IF(OR($B120="",$A120&gt;$B$9,L$114=""),"",IF(COUNTIFS(BD!$B$3:$B$5001,L$114,BD!$A$3:$A$5001,"&gt;="&amp;$C$7,BD!$A$3:$A$5001,"&lt;="&amp;$B120,BD!$K$3:$K$5001,"&lt;&gt;")=0,"",SUMIFS(BD!$K$3:$K$5001,BD!$B$3:$B$5001,L$114,BD!$A$3:$A$5001,_xlfn.MAXIFS(BD!$A$3:$A$5001,BD!$B$3:$B$5001,L$114,BD!$A$3:$A$5001,"&gt;="&amp;$C$7,BD!$A$3:$A$5001,"&lt;="&amp;$B120,BD!$K$3:$K$5001,"&lt;&gt;"))))</f>
        <v/>
      </c>
      <c r="M120" s="43" t="str">
        <f>IF(OR($B120="",$A120&gt;$B$9,M$114=""),"",IF(COUNTIFS(BD!$B$3:$B$5001,M$114,BD!$A$3:$A$5001,"&gt;="&amp;$C$7,BD!$A$3:$A$5001,"&lt;="&amp;$B120,BD!$K$3:$K$5001,"&lt;&gt;")=0,"",SUMIFS(BD!$K$3:$K$5001,BD!$B$3:$B$5001,M$114,BD!$A$3:$A$5001,_xlfn.MAXIFS(BD!$A$3:$A$5001,BD!$B$3:$B$5001,M$114,BD!$A$3:$A$5001,"&gt;="&amp;$C$7,BD!$A$3:$A$5001,"&lt;="&amp;$B120,BD!$K$3:$K$5001,"&lt;&gt;"))))</f>
        <v/>
      </c>
      <c r="N120" s="43" t="str">
        <f>IF(OR($B120="",$A120&gt;$B$9,N$114=""),"",IF(COUNTIFS(BD!$B$3:$B$5001,N$114,BD!$A$3:$A$5001,"&gt;="&amp;$C$7,BD!$A$3:$A$5001,"&lt;="&amp;$B120,BD!$K$3:$K$5001,"&lt;&gt;")=0,"",SUMIFS(BD!$K$3:$K$5001,BD!$B$3:$B$5001,N$114,BD!$A$3:$A$5001,_xlfn.MAXIFS(BD!$A$3:$A$5001,BD!$B$3:$B$5001,N$114,BD!$A$3:$A$5001,"&gt;="&amp;$C$7,BD!$A$3:$A$5001,"&lt;="&amp;$B120,BD!$K$3:$K$5001,"&lt;&gt;"))))</f>
        <v/>
      </c>
      <c r="O120" s="43" t="str">
        <f>IF(OR($B120="",$A120&gt;$B$9,O$114=""),"",IF(COUNTIFS(BD!$B$3:$B$5001,O$114,BD!$A$3:$A$5001,"&gt;="&amp;$C$7,BD!$A$3:$A$5001,"&lt;="&amp;$B120,BD!$K$3:$K$5001,"&lt;&gt;")=0,"",SUMIFS(BD!$K$3:$K$5001,BD!$B$3:$B$5001,O$114,BD!$A$3:$A$5001,_xlfn.MAXIFS(BD!$A$3:$A$5001,BD!$B$3:$B$5001,O$114,BD!$A$3:$A$5001,"&gt;="&amp;$C$7,BD!$A$3:$A$5001,"&lt;="&amp;$B120,BD!$K$3:$K$5001,"&lt;&gt;"))))</f>
        <v/>
      </c>
      <c r="P120" s="43" t="str">
        <f>IF(OR($B120="",$A120&gt;$B$9,P$114=""),"",IF(COUNTIFS(BD!$B$3:$B$5001,P$114,BD!$A$3:$A$5001,"&gt;="&amp;$C$7,BD!$A$3:$A$5001,"&lt;="&amp;$B120,BD!$K$3:$K$5001,"&lt;&gt;")=0,"",SUMIFS(BD!$K$3:$K$5001,BD!$B$3:$B$5001,P$114,BD!$A$3:$A$5001,_xlfn.MAXIFS(BD!$A$3:$A$5001,BD!$B$3:$B$5001,P$114,BD!$A$3:$A$5001,"&gt;="&amp;$C$7,BD!$A$3:$A$5001,"&lt;="&amp;$B120,BD!$K$3:$K$5001,"&lt;&gt;"))))</f>
        <v/>
      </c>
      <c r="Q120" s="43" t="str">
        <f>IF(OR($B120="",$A120&gt;$B$9,Q$114=""),"",IF(COUNTIFS(BD!$B$3:$B$5001,Q$114,BD!$A$3:$A$5001,"&gt;="&amp;$C$7,BD!$A$3:$A$5001,"&lt;="&amp;$B120,BD!$K$3:$K$5001,"&lt;&gt;")=0,"",SUMIFS(BD!$K$3:$K$5001,BD!$B$3:$B$5001,Q$114,BD!$A$3:$A$5001,_xlfn.MAXIFS(BD!$A$3:$A$5001,BD!$B$3:$B$5001,Q$114,BD!$A$3:$A$5001,"&gt;="&amp;$C$7,BD!$A$3:$A$5001,"&lt;="&amp;$B120,BD!$K$3:$K$5001,"&lt;&gt;"))))</f>
        <v/>
      </c>
      <c r="R120" s="43" t="str">
        <f>IF(OR($B120="",$A120&gt;$B$9,R$114=""),"",IF(COUNTIFS(BD!$B$3:$B$5001,R$114,BD!$A$3:$A$5001,"&gt;="&amp;$C$7,BD!$A$3:$A$5001,"&lt;="&amp;$B120,BD!$K$3:$K$5001,"&lt;&gt;")=0,"",SUMIFS(BD!$K$3:$K$5001,BD!$B$3:$B$5001,R$114,BD!$A$3:$A$5001,_xlfn.MAXIFS(BD!$A$3:$A$5001,BD!$B$3:$B$5001,R$114,BD!$A$3:$A$5001,"&gt;="&amp;$C$7,BD!$A$3:$A$5001,"&lt;="&amp;$B120,BD!$K$3:$K$5001,"&lt;&gt;"))))</f>
        <v/>
      </c>
      <c r="S120" s="43" t="str">
        <f>IF(OR($B120="",$A120&gt;$B$9,S$114=""),"",IF(COUNTIFS(BD!$B$3:$B$5001,S$114,BD!$A$3:$A$5001,"&gt;="&amp;$C$7,BD!$A$3:$A$5001,"&lt;="&amp;$B120,BD!$K$3:$K$5001,"&lt;&gt;")=0,"",SUMIFS(BD!$K$3:$K$5001,BD!$B$3:$B$5001,S$114,BD!$A$3:$A$5001,_xlfn.MAXIFS(BD!$A$3:$A$5001,BD!$B$3:$B$5001,S$114,BD!$A$3:$A$5001,"&gt;="&amp;$C$7,BD!$A$3:$A$5001,"&lt;="&amp;$B120,BD!$K$3:$K$5001,"&lt;&gt;"))))</f>
        <v/>
      </c>
      <c r="T120" s="43" t="str">
        <f>IF(OR($B120="",$A120&gt;$B$9,T$114=""),"",IF(COUNTIFS(BD!$B$3:$B$5001,T$114,BD!$A$3:$A$5001,"&gt;="&amp;$C$7,BD!$A$3:$A$5001,"&lt;="&amp;$B120,BD!$K$3:$K$5001,"&lt;&gt;")=0,"",SUMIFS(BD!$K$3:$K$5001,BD!$B$3:$B$5001,T$114,BD!$A$3:$A$5001,_xlfn.MAXIFS(BD!$A$3:$A$5001,BD!$B$3:$B$5001,T$114,BD!$A$3:$A$5001,"&gt;="&amp;$C$7,BD!$A$3:$A$5001,"&lt;="&amp;$B120,BD!$K$3:$K$5001,"&lt;&gt;"))))</f>
        <v/>
      </c>
      <c r="U120" s="43" t="str">
        <f>IF(OR($B120="",$A120&gt;$B$9,U$114=""),"",IF(COUNTIFS(BD!$B$3:$B$5001,U$114,BD!$A$3:$A$5001,"&gt;="&amp;$C$7,BD!$A$3:$A$5001,"&lt;="&amp;$B120,BD!$K$3:$K$5001,"&lt;&gt;")=0,"",SUMIFS(BD!$K$3:$K$5001,BD!$B$3:$B$5001,U$114,BD!$A$3:$A$5001,_xlfn.MAXIFS(BD!$A$3:$A$5001,BD!$B$3:$B$5001,U$114,BD!$A$3:$A$5001,"&gt;="&amp;$C$7,BD!$A$3:$A$5001,"&lt;="&amp;$B120,BD!$K$3:$K$5001,"&lt;&gt;"))))</f>
        <v/>
      </c>
      <c r="V120" s="43" t="str">
        <f>IF(OR($B120="",$A120&gt;$B$9,V$114=""),"",IF(COUNTIFS(BD!$B$3:$B$5001,V$114,BD!$A$3:$A$5001,"&gt;="&amp;$C$7,BD!$A$3:$A$5001,"&lt;="&amp;$B120,BD!$K$3:$K$5001,"&lt;&gt;")=0,"",SUMIFS(BD!$K$3:$K$5001,BD!$B$3:$B$5001,V$114,BD!$A$3:$A$5001,_xlfn.MAXIFS(BD!$A$3:$A$5001,BD!$B$3:$B$5001,V$114,BD!$A$3:$A$5001,"&gt;="&amp;$C$7,BD!$A$3:$A$5001,"&lt;="&amp;$B120,BD!$K$3:$K$5001,"&lt;&gt;"))))</f>
        <v/>
      </c>
    </row>
    <row r="121">
      <c r="A121" s="38">
        <v>7</v>
      </c>
      <c r="B121" s="42">
        <f>$B$18</f>
        <v>46302</v>
      </c>
      <c r="C121" s="43" t="str">
        <f>IF(OR($B121="",$A121&gt;$B$9,C$114=""),"",IF(COUNTIFS(BD!$B$3:$B$5001,C$114,BD!$A$3:$A$5001,"&gt;="&amp;$C$7,BD!$A$3:$A$5001,"&lt;="&amp;$B121,BD!$K$3:$K$5001,"&lt;&gt;")=0,"",SUMIFS(BD!$K$3:$K$5001,BD!$B$3:$B$5001,C$114,BD!$A$3:$A$5001,_xlfn.MAXIFS(BD!$A$3:$A$5001,BD!$B$3:$B$5001,C$114,BD!$A$3:$A$5001,"&gt;="&amp;$C$7,BD!$A$3:$A$5001,"&lt;="&amp;$B121,BD!$K$3:$K$5001,"&lt;&gt;"))))</f>
        <v/>
      </c>
      <c r="D121" s="43" t="str">
        <f>IF(OR($B121="",$A121&gt;$B$9,D$114=""),"",IF(COUNTIFS(BD!$B$3:$B$5001,D$114,BD!$A$3:$A$5001,"&gt;="&amp;$C$7,BD!$A$3:$A$5001,"&lt;="&amp;$B121,BD!$K$3:$K$5001,"&lt;&gt;")=0,"",SUMIFS(BD!$K$3:$K$5001,BD!$B$3:$B$5001,D$114,BD!$A$3:$A$5001,_xlfn.MAXIFS(BD!$A$3:$A$5001,BD!$B$3:$B$5001,D$114,BD!$A$3:$A$5001,"&gt;="&amp;$C$7,BD!$A$3:$A$5001,"&lt;="&amp;$B121,BD!$K$3:$K$5001,"&lt;&gt;"))))</f>
        <v/>
      </c>
      <c r="E121" s="43" t="str">
        <f>IF(OR($B121="",$A121&gt;$B$9,E$114=""),"",IF(COUNTIFS(BD!$B$3:$B$5001,E$114,BD!$A$3:$A$5001,"&gt;="&amp;$C$7,BD!$A$3:$A$5001,"&lt;="&amp;$B121,BD!$K$3:$K$5001,"&lt;&gt;")=0,"",SUMIFS(BD!$K$3:$K$5001,BD!$B$3:$B$5001,E$114,BD!$A$3:$A$5001,_xlfn.MAXIFS(BD!$A$3:$A$5001,BD!$B$3:$B$5001,E$114,BD!$A$3:$A$5001,"&gt;="&amp;$C$7,BD!$A$3:$A$5001,"&lt;="&amp;$B121,BD!$K$3:$K$5001,"&lt;&gt;"))))</f>
        <v/>
      </c>
      <c r="F121" s="43" t="str">
        <f>IF(OR($B121="",$A121&gt;$B$9,F$114=""),"",IF(COUNTIFS(BD!$B$3:$B$5001,F$114,BD!$A$3:$A$5001,"&gt;="&amp;$C$7,BD!$A$3:$A$5001,"&lt;="&amp;$B121,BD!$K$3:$K$5001,"&lt;&gt;")=0,"",SUMIFS(BD!$K$3:$K$5001,BD!$B$3:$B$5001,F$114,BD!$A$3:$A$5001,_xlfn.MAXIFS(BD!$A$3:$A$5001,BD!$B$3:$B$5001,F$114,BD!$A$3:$A$5001,"&gt;="&amp;$C$7,BD!$A$3:$A$5001,"&lt;="&amp;$B121,BD!$K$3:$K$5001,"&lt;&gt;"))))</f>
        <v/>
      </c>
      <c r="G121" s="43" t="str">
        <f>IF(OR($B121="",$A121&gt;$B$9,G$114=""),"",IF(COUNTIFS(BD!$B$3:$B$5001,G$114,BD!$A$3:$A$5001,"&gt;="&amp;$C$7,BD!$A$3:$A$5001,"&lt;="&amp;$B121,BD!$K$3:$K$5001,"&lt;&gt;")=0,"",SUMIFS(BD!$K$3:$K$5001,BD!$B$3:$B$5001,G$114,BD!$A$3:$A$5001,_xlfn.MAXIFS(BD!$A$3:$A$5001,BD!$B$3:$B$5001,G$114,BD!$A$3:$A$5001,"&gt;="&amp;$C$7,BD!$A$3:$A$5001,"&lt;="&amp;$B121,BD!$K$3:$K$5001,"&lt;&gt;"))))</f>
        <v/>
      </c>
      <c r="H121" s="43" t="str">
        <f>IF(OR($B121="",$A121&gt;$B$9,H$114=""),"",IF(COUNTIFS(BD!$B$3:$B$5001,H$114,BD!$A$3:$A$5001,"&gt;="&amp;$C$7,BD!$A$3:$A$5001,"&lt;="&amp;$B121,BD!$K$3:$K$5001,"&lt;&gt;")=0,"",SUMIFS(BD!$K$3:$K$5001,BD!$B$3:$B$5001,H$114,BD!$A$3:$A$5001,_xlfn.MAXIFS(BD!$A$3:$A$5001,BD!$B$3:$B$5001,H$114,BD!$A$3:$A$5001,"&gt;="&amp;$C$7,BD!$A$3:$A$5001,"&lt;="&amp;$B121,BD!$K$3:$K$5001,"&lt;&gt;"))))</f>
        <v/>
      </c>
      <c r="I121" s="43" t="str">
        <f>IF(OR($B121="",$A121&gt;$B$9,I$114=""),"",IF(COUNTIFS(BD!$B$3:$B$5001,I$114,BD!$A$3:$A$5001,"&gt;="&amp;$C$7,BD!$A$3:$A$5001,"&lt;="&amp;$B121,BD!$K$3:$K$5001,"&lt;&gt;")=0,"",SUMIFS(BD!$K$3:$K$5001,BD!$B$3:$B$5001,I$114,BD!$A$3:$A$5001,_xlfn.MAXIFS(BD!$A$3:$A$5001,BD!$B$3:$B$5001,I$114,BD!$A$3:$A$5001,"&gt;="&amp;$C$7,BD!$A$3:$A$5001,"&lt;="&amp;$B121,BD!$K$3:$K$5001,"&lt;&gt;"))))</f>
        <v/>
      </c>
      <c r="J121" s="43" t="str">
        <f>IF(OR($B121="",$A121&gt;$B$9,J$114=""),"",IF(COUNTIFS(BD!$B$3:$B$5001,J$114,BD!$A$3:$A$5001,"&gt;="&amp;$C$7,BD!$A$3:$A$5001,"&lt;="&amp;$B121,BD!$K$3:$K$5001,"&lt;&gt;")=0,"",SUMIFS(BD!$K$3:$K$5001,BD!$B$3:$B$5001,J$114,BD!$A$3:$A$5001,_xlfn.MAXIFS(BD!$A$3:$A$5001,BD!$B$3:$B$5001,J$114,BD!$A$3:$A$5001,"&gt;="&amp;$C$7,BD!$A$3:$A$5001,"&lt;="&amp;$B121,BD!$K$3:$K$5001,"&lt;&gt;"))))</f>
        <v/>
      </c>
      <c r="K121" s="43" t="str">
        <f>IF(OR($B121="",$A121&gt;$B$9,K$114=""),"",IF(COUNTIFS(BD!$B$3:$B$5001,K$114,BD!$A$3:$A$5001,"&gt;="&amp;$C$7,BD!$A$3:$A$5001,"&lt;="&amp;$B121,BD!$K$3:$K$5001,"&lt;&gt;")=0,"",SUMIFS(BD!$K$3:$K$5001,BD!$B$3:$B$5001,K$114,BD!$A$3:$A$5001,_xlfn.MAXIFS(BD!$A$3:$A$5001,BD!$B$3:$B$5001,K$114,BD!$A$3:$A$5001,"&gt;="&amp;$C$7,BD!$A$3:$A$5001,"&lt;="&amp;$B121,BD!$K$3:$K$5001,"&lt;&gt;"))))</f>
        <v/>
      </c>
      <c r="L121" s="43" t="str">
        <f>IF(OR($B121="",$A121&gt;$B$9,L$114=""),"",IF(COUNTIFS(BD!$B$3:$B$5001,L$114,BD!$A$3:$A$5001,"&gt;="&amp;$C$7,BD!$A$3:$A$5001,"&lt;="&amp;$B121,BD!$K$3:$K$5001,"&lt;&gt;")=0,"",SUMIFS(BD!$K$3:$K$5001,BD!$B$3:$B$5001,L$114,BD!$A$3:$A$5001,_xlfn.MAXIFS(BD!$A$3:$A$5001,BD!$B$3:$B$5001,L$114,BD!$A$3:$A$5001,"&gt;="&amp;$C$7,BD!$A$3:$A$5001,"&lt;="&amp;$B121,BD!$K$3:$K$5001,"&lt;&gt;"))))</f>
        <v/>
      </c>
      <c r="M121" s="43" t="str">
        <f>IF(OR($B121="",$A121&gt;$B$9,M$114=""),"",IF(COUNTIFS(BD!$B$3:$B$5001,M$114,BD!$A$3:$A$5001,"&gt;="&amp;$C$7,BD!$A$3:$A$5001,"&lt;="&amp;$B121,BD!$K$3:$K$5001,"&lt;&gt;")=0,"",SUMIFS(BD!$K$3:$K$5001,BD!$B$3:$B$5001,M$114,BD!$A$3:$A$5001,_xlfn.MAXIFS(BD!$A$3:$A$5001,BD!$B$3:$B$5001,M$114,BD!$A$3:$A$5001,"&gt;="&amp;$C$7,BD!$A$3:$A$5001,"&lt;="&amp;$B121,BD!$K$3:$K$5001,"&lt;&gt;"))))</f>
        <v/>
      </c>
      <c r="N121" s="43" t="str">
        <f>IF(OR($B121="",$A121&gt;$B$9,N$114=""),"",IF(COUNTIFS(BD!$B$3:$B$5001,N$114,BD!$A$3:$A$5001,"&gt;="&amp;$C$7,BD!$A$3:$A$5001,"&lt;="&amp;$B121,BD!$K$3:$K$5001,"&lt;&gt;")=0,"",SUMIFS(BD!$K$3:$K$5001,BD!$B$3:$B$5001,N$114,BD!$A$3:$A$5001,_xlfn.MAXIFS(BD!$A$3:$A$5001,BD!$B$3:$B$5001,N$114,BD!$A$3:$A$5001,"&gt;="&amp;$C$7,BD!$A$3:$A$5001,"&lt;="&amp;$B121,BD!$K$3:$K$5001,"&lt;&gt;"))))</f>
        <v/>
      </c>
      <c r="O121" s="43" t="str">
        <f>IF(OR($B121="",$A121&gt;$B$9,O$114=""),"",IF(COUNTIFS(BD!$B$3:$B$5001,O$114,BD!$A$3:$A$5001,"&gt;="&amp;$C$7,BD!$A$3:$A$5001,"&lt;="&amp;$B121,BD!$K$3:$K$5001,"&lt;&gt;")=0,"",SUMIFS(BD!$K$3:$K$5001,BD!$B$3:$B$5001,O$114,BD!$A$3:$A$5001,_xlfn.MAXIFS(BD!$A$3:$A$5001,BD!$B$3:$B$5001,O$114,BD!$A$3:$A$5001,"&gt;="&amp;$C$7,BD!$A$3:$A$5001,"&lt;="&amp;$B121,BD!$K$3:$K$5001,"&lt;&gt;"))))</f>
        <v/>
      </c>
      <c r="P121" s="43" t="str">
        <f>IF(OR($B121="",$A121&gt;$B$9,P$114=""),"",IF(COUNTIFS(BD!$B$3:$B$5001,P$114,BD!$A$3:$A$5001,"&gt;="&amp;$C$7,BD!$A$3:$A$5001,"&lt;="&amp;$B121,BD!$K$3:$K$5001,"&lt;&gt;")=0,"",SUMIFS(BD!$K$3:$K$5001,BD!$B$3:$B$5001,P$114,BD!$A$3:$A$5001,_xlfn.MAXIFS(BD!$A$3:$A$5001,BD!$B$3:$B$5001,P$114,BD!$A$3:$A$5001,"&gt;="&amp;$C$7,BD!$A$3:$A$5001,"&lt;="&amp;$B121,BD!$K$3:$K$5001,"&lt;&gt;"))))</f>
        <v/>
      </c>
      <c r="Q121" s="43" t="str">
        <f>IF(OR($B121="",$A121&gt;$B$9,Q$114=""),"",IF(COUNTIFS(BD!$B$3:$B$5001,Q$114,BD!$A$3:$A$5001,"&gt;="&amp;$C$7,BD!$A$3:$A$5001,"&lt;="&amp;$B121,BD!$K$3:$K$5001,"&lt;&gt;")=0,"",SUMIFS(BD!$K$3:$K$5001,BD!$B$3:$B$5001,Q$114,BD!$A$3:$A$5001,_xlfn.MAXIFS(BD!$A$3:$A$5001,BD!$B$3:$B$5001,Q$114,BD!$A$3:$A$5001,"&gt;="&amp;$C$7,BD!$A$3:$A$5001,"&lt;="&amp;$B121,BD!$K$3:$K$5001,"&lt;&gt;"))))</f>
        <v/>
      </c>
      <c r="R121" s="43" t="str">
        <f>IF(OR($B121="",$A121&gt;$B$9,R$114=""),"",IF(COUNTIFS(BD!$B$3:$B$5001,R$114,BD!$A$3:$A$5001,"&gt;="&amp;$C$7,BD!$A$3:$A$5001,"&lt;="&amp;$B121,BD!$K$3:$K$5001,"&lt;&gt;")=0,"",SUMIFS(BD!$K$3:$K$5001,BD!$B$3:$B$5001,R$114,BD!$A$3:$A$5001,_xlfn.MAXIFS(BD!$A$3:$A$5001,BD!$B$3:$B$5001,R$114,BD!$A$3:$A$5001,"&gt;="&amp;$C$7,BD!$A$3:$A$5001,"&lt;="&amp;$B121,BD!$K$3:$K$5001,"&lt;&gt;"))))</f>
        <v/>
      </c>
      <c r="S121" s="43" t="str">
        <f>IF(OR($B121="",$A121&gt;$B$9,S$114=""),"",IF(COUNTIFS(BD!$B$3:$B$5001,S$114,BD!$A$3:$A$5001,"&gt;="&amp;$C$7,BD!$A$3:$A$5001,"&lt;="&amp;$B121,BD!$K$3:$K$5001,"&lt;&gt;")=0,"",SUMIFS(BD!$K$3:$K$5001,BD!$B$3:$B$5001,S$114,BD!$A$3:$A$5001,_xlfn.MAXIFS(BD!$A$3:$A$5001,BD!$B$3:$B$5001,S$114,BD!$A$3:$A$5001,"&gt;="&amp;$C$7,BD!$A$3:$A$5001,"&lt;="&amp;$B121,BD!$K$3:$K$5001,"&lt;&gt;"))))</f>
        <v/>
      </c>
      <c r="T121" s="43" t="str">
        <f>IF(OR($B121="",$A121&gt;$B$9,T$114=""),"",IF(COUNTIFS(BD!$B$3:$B$5001,T$114,BD!$A$3:$A$5001,"&gt;="&amp;$C$7,BD!$A$3:$A$5001,"&lt;="&amp;$B121,BD!$K$3:$K$5001,"&lt;&gt;")=0,"",SUMIFS(BD!$K$3:$K$5001,BD!$B$3:$B$5001,T$114,BD!$A$3:$A$5001,_xlfn.MAXIFS(BD!$A$3:$A$5001,BD!$B$3:$B$5001,T$114,BD!$A$3:$A$5001,"&gt;="&amp;$C$7,BD!$A$3:$A$5001,"&lt;="&amp;$B121,BD!$K$3:$K$5001,"&lt;&gt;"))))</f>
        <v/>
      </c>
      <c r="U121" s="43" t="str">
        <f>IF(OR($B121="",$A121&gt;$B$9,U$114=""),"",IF(COUNTIFS(BD!$B$3:$B$5001,U$114,BD!$A$3:$A$5001,"&gt;="&amp;$C$7,BD!$A$3:$A$5001,"&lt;="&amp;$B121,BD!$K$3:$K$5001,"&lt;&gt;")=0,"",SUMIFS(BD!$K$3:$K$5001,BD!$B$3:$B$5001,U$114,BD!$A$3:$A$5001,_xlfn.MAXIFS(BD!$A$3:$A$5001,BD!$B$3:$B$5001,U$114,BD!$A$3:$A$5001,"&gt;="&amp;$C$7,BD!$A$3:$A$5001,"&lt;="&amp;$B121,BD!$K$3:$K$5001,"&lt;&gt;"))))</f>
        <v/>
      </c>
      <c r="V121" s="43" t="str">
        <f>IF(OR($B121="",$A121&gt;$B$9,V$114=""),"",IF(COUNTIFS(BD!$B$3:$B$5001,V$114,BD!$A$3:$A$5001,"&gt;="&amp;$C$7,BD!$A$3:$A$5001,"&lt;="&amp;$B121,BD!$K$3:$K$5001,"&lt;&gt;")=0,"",SUMIFS(BD!$K$3:$K$5001,BD!$B$3:$B$5001,V$114,BD!$A$3:$A$5001,_xlfn.MAXIFS(BD!$A$3:$A$5001,BD!$B$3:$B$5001,V$114,BD!$A$3:$A$5001,"&gt;="&amp;$C$7,BD!$A$3:$A$5001,"&lt;="&amp;$B121,BD!$K$3:$K$5001,"&lt;&gt;"))))</f>
        <v/>
      </c>
    </row>
    <row r="122">
      <c r="A122" s="38">
        <v>8</v>
      </c>
      <c r="B122" s="42">
        <f>$B$19</f>
        <v>46303</v>
      </c>
      <c r="C122" s="43" t="str">
        <f>IF(OR($B122="",$A122&gt;$B$9,C$114=""),"",IF(COUNTIFS(BD!$B$3:$B$5001,C$114,BD!$A$3:$A$5001,"&gt;="&amp;$C$7,BD!$A$3:$A$5001,"&lt;="&amp;$B122,BD!$K$3:$K$5001,"&lt;&gt;")=0,"",SUMIFS(BD!$K$3:$K$5001,BD!$B$3:$B$5001,C$114,BD!$A$3:$A$5001,_xlfn.MAXIFS(BD!$A$3:$A$5001,BD!$B$3:$B$5001,C$114,BD!$A$3:$A$5001,"&gt;="&amp;$C$7,BD!$A$3:$A$5001,"&lt;="&amp;$B122,BD!$K$3:$K$5001,"&lt;&gt;"))))</f>
        <v/>
      </c>
      <c r="D122" s="43" t="str">
        <f>IF(OR($B122="",$A122&gt;$B$9,D$114=""),"",IF(COUNTIFS(BD!$B$3:$B$5001,D$114,BD!$A$3:$A$5001,"&gt;="&amp;$C$7,BD!$A$3:$A$5001,"&lt;="&amp;$B122,BD!$K$3:$K$5001,"&lt;&gt;")=0,"",SUMIFS(BD!$K$3:$K$5001,BD!$B$3:$B$5001,D$114,BD!$A$3:$A$5001,_xlfn.MAXIFS(BD!$A$3:$A$5001,BD!$B$3:$B$5001,D$114,BD!$A$3:$A$5001,"&gt;="&amp;$C$7,BD!$A$3:$A$5001,"&lt;="&amp;$B122,BD!$K$3:$K$5001,"&lt;&gt;"))))</f>
        <v/>
      </c>
      <c r="E122" s="43" t="str">
        <f>IF(OR($B122="",$A122&gt;$B$9,E$114=""),"",IF(COUNTIFS(BD!$B$3:$B$5001,E$114,BD!$A$3:$A$5001,"&gt;="&amp;$C$7,BD!$A$3:$A$5001,"&lt;="&amp;$B122,BD!$K$3:$K$5001,"&lt;&gt;")=0,"",SUMIFS(BD!$K$3:$K$5001,BD!$B$3:$B$5001,E$114,BD!$A$3:$A$5001,_xlfn.MAXIFS(BD!$A$3:$A$5001,BD!$B$3:$B$5001,E$114,BD!$A$3:$A$5001,"&gt;="&amp;$C$7,BD!$A$3:$A$5001,"&lt;="&amp;$B122,BD!$K$3:$K$5001,"&lt;&gt;"))))</f>
        <v/>
      </c>
      <c r="F122" s="43" t="str">
        <f>IF(OR($B122="",$A122&gt;$B$9,F$114=""),"",IF(COUNTIFS(BD!$B$3:$B$5001,F$114,BD!$A$3:$A$5001,"&gt;="&amp;$C$7,BD!$A$3:$A$5001,"&lt;="&amp;$B122,BD!$K$3:$K$5001,"&lt;&gt;")=0,"",SUMIFS(BD!$K$3:$K$5001,BD!$B$3:$B$5001,F$114,BD!$A$3:$A$5001,_xlfn.MAXIFS(BD!$A$3:$A$5001,BD!$B$3:$B$5001,F$114,BD!$A$3:$A$5001,"&gt;="&amp;$C$7,BD!$A$3:$A$5001,"&lt;="&amp;$B122,BD!$K$3:$K$5001,"&lt;&gt;"))))</f>
        <v/>
      </c>
      <c r="G122" s="43" t="str">
        <f>IF(OR($B122="",$A122&gt;$B$9,G$114=""),"",IF(COUNTIFS(BD!$B$3:$B$5001,G$114,BD!$A$3:$A$5001,"&gt;="&amp;$C$7,BD!$A$3:$A$5001,"&lt;="&amp;$B122,BD!$K$3:$K$5001,"&lt;&gt;")=0,"",SUMIFS(BD!$K$3:$K$5001,BD!$B$3:$B$5001,G$114,BD!$A$3:$A$5001,_xlfn.MAXIFS(BD!$A$3:$A$5001,BD!$B$3:$B$5001,G$114,BD!$A$3:$A$5001,"&gt;="&amp;$C$7,BD!$A$3:$A$5001,"&lt;="&amp;$B122,BD!$K$3:$K$5001,"&lt;&gt;"))))</f>
        <v/>
      </c>
      <c r="H122" s="43" t="str">
        <f>IF(OR($B122="",$A122&gt;$B$9,H$114=""),"",IF(COUNTIFS(BD!$B$3:$B$5001,H$114,BD!$A$3:$A$5001,"&gt;="&amp;$C$7,BD!$A$3:$A$5001,"&lt;="&amp;$B122,BD!$K$3:$K$5001,"&lt;&gt;")=0,"",SUMIFS(BD!$K$3:$K$5001,BD!$B$3:$B$5001,H$114,BD!$A$3:$A$5001,_xlfn.MAXIFS(BD!$A$3:$A$5001,BD!$B$3:$B$5001,H$114,BD!$A$3:$A$5001,"&gt;="&amp;$C$7,BD!$A$3:$A$5001,"&lt;="&amp;$B122,BD!$K$3:$K$5001,"&lt;&gt;"))))</f>
        <v/>
      </c>
      <c r="I122" s="43" t="str">
        <f>IF(OR($B122="",$A122&gt;$B$9,I$114=""),"",IF(COUNTIFS(BD!$B$3:$B$5001,I$114,BD!$A$3:$A$5001,"&gt;="&amp;$C$7,BD!$A$3:$A$5001,"&lt;="&amp;$B122,BD!$K$3:$K$5001,"&lt;&gt;")=0,"",SUMIFS(BD!$K$3:$K$5001,BD!$B$3:$B$5001,I$114,BD!$A$3:$A$5001,_xlfn.MAXIFS(BD!$A$3:$A$5001,BD!$B$3:$B$5001,I$114,BD!$A$3:$A$5001,"&gt;="&amp;$C$7,BD!$A$3:$A$5001,"&lt;="&amp;$B122,BD!$K$3:$K$5001,"&lt;&gt;"))))</f>
        <v/>
      </c>
      <c r="J122" s="43" t="str">
        <f>IF(OR($B122="",$A122&gt;$B$9,J$114=""),"",IF(COUNTIFS(BD!$B$3:$B$5001,J$114,BD!$A$3:$A$5001,"&gt;="&amp;$C$7,BD!$A$3:$A$5001,"&lt;="&amp;$B122,BD!$K$3:$K$5001,"&lt;&gt;")=0,"",SUMIFS(BD!$K$3:$K$5001,BD!$B$3:$B$5001,J$114,BD!$A$3:$A$5001,_xlfn.MAXIFS(BD!$A$3:$A$5001,BD!$B$3:$B$5001,J$114,BD!$A$3:$A$5001,"&gt;="&amp;$C$7,BD!$A$3:$A$5001,"&lt;="&amp;$B122,BD!$K$3:$K$5001,"&lt;&gt;"))))</f>
        <v/>
      </c>
      <c r="K122" s="43" t="str">
        <f>IF(OR($B122="",$A122&gt;$B$9,K$114=""),"",IF(COUNTIFS(BD!$B$3:$B$5001,K$114,BD!$A$3:$A$5001,"&gt;="&amp;$C$7,BD!$A$3:$A$5001,"&lt;="&amp;$B122,BD!$K$3:$K$5001,"&lt;&gt;")=0,"",SUMIFS(BD!$K$3:$K$5001,BD!$B$3:$B$5001,K$114,BD!$A$3:$A$5001,_xlfn.MAXIFS(BD!$A$3:$A$5001,BD!$B$3:$B$5001,K$114,BD!$A$3:$A$5001,"&gt;="&amp;$C$7,BD!$A$3:$A$5001,"&lt;="&amp;$B122,BD!$K$3:$K$5001,"&lt;&gt;"))))</f>
        <v/>
      </c>
      <c r="L122" s="43" t="str">
        <f>IF(OR($B122="",$A122&gt;$B$9,L$114=""),"",IF(COUNTIFS(BD!$B$3:$B$5001,L$114,BD!$A$3:$A$5001,"&gt;="&amp;$C$7,BD!$A$3:$A$5001,"&lt;="&amp;$B122,BD!$K$3:$K$5001,"&lt;&gt;")=0,"",SUMIFS(BD!$K$3:$K$5001,BD!$B$3:$B$5001,L$114,BD!$A$3:$A$5001,_xlfn.MAXIFS(BD!$A$3:$A$5001,BD!$B$3:$B$5001,L$114,BD!$A$3:$A$5001,"&gt;="&amp;$C$7,BD!$A$3:$A$5001,"&lt;="&amp;$B122,BD!$K$3:$K$5001,"&lt;&gt;"))))</f>
        <v/>
      </c>
      <c r="M122" s="43" t="str">
        <f>IF(OR($B122="",$A122&gt;$B$9,M$114=""),"",IF(COUNTIFS(BD!$B$3:$B$5001,M$114,BD!$A$3:$A$5001,"&gt;="&amp;$C$7,BD!$A$3:$A$5001,"&lt;="&amp;$B122,BD!$K$3:$K$5001,"&lt;&gt;")=0,"",SUMIFS(BD!$K$3:$K$5001,BD!$B$3:$B$5001,M$114,BD!$A$3:$A$5001,_xlfn.MAXIFS(BD!$A$3:$A$5001,BD!$B$3:$B$5001,M$114,BD!$A$3:$A$5001,"&gt;="&amp;$C$7,BD!$A$3:$A$5001,"&lt;="&amp;$B122,BD!$K$3:$K$5001,"&lt;&gt;"))))</f>
        <v/>
      </c>
      <c r="N122" s="43" t="str">
        <f>IF(OR($B122="",$A122&gt;$B$9,N$114=""),"",IF(COUNTIFS(BD!$B$3:$B$5001,N$114,BD!$A$3:$A$5001,"&gt;="&amp;$C$7,BD!$A$3:$A$5001,"&lt;="&amp;$B122,BD!$K$3:$K$5001,"&lt;&gt;")=0,"",SUMIFS(BD!$K$3:$K$5001,BD!$B$3:$B$5001,N$114,BD!$A$3:$A$5001,_xlfn.MAXIFS(BD!$A$3:$A$5001,BD!$B$3:$B$5001,N$114,BD!$A$3:$A$5001,"&gt;="&amp;$C$7,BD!$A$3:$A$5001,"&lt;="&amp;$B122,BD!$K$3:$K$5001,"&lt;&gt;"))))</f>
        <v/>
      </c>
      <c r="O122" s="43" t="str">
        <f>IF(OR($B122="",$A122&gt;$B$9,O$114=""),"",IF(COUNTIFS(BD!$B$3:$B$5001,O$114,BD!$A$3:$A$5001,"&gt;="&amp;$C$7,BD!$A$3:$A$5001,"&lt;="&amp;$B122,BD!$K$3:$K$5001,"&lt;&gt;")=0,"",SUMIFS(BD!$K$3:$K$5001,BD!$B$3:$B$5001,O$114,BD!$A$3:$A$5001,_xlfn.MAXIFS(BD!$A$3:$A$5001,BD!$B$3:$B$5001,O$114,BD!$A$3:$A$5001,"&gt;="&amp;$C$7,BD!$A$3:$A$5001,"&lt;="&amp;$B122,BD!$K$3:$K$5001,"&lt;&gt;"))))</f>
        <v/>
      </c>
      <c r="P122" s="43" t="str">
        <f>IF(OR($B122="",$A122&gt;$B$9,P$114=""),"",IF(COUNTIFS(BD!$B$3:$B$5001,P$114,BD!$A$3:$A$5001,"&gt;="&amp;$C$7,BD!$A$3:$A$5001,"&lt;="&amp;$B122,BD!$K$3:$K$5001,"&lt;&gt;")=0,"",SUMIFS(BD!$K$3:$K$5001,BD!$B$3:$B$5001,P$114,BD!$A$3:$A$5001,_xlfn.MAXIFS(BD!$A$3:$A$5001,BD!$B$3:$B$5001,P$114,BD!$A$3:$A$5001,"&gt;="&amp;$C$7,BD!$A$3:$A$5001,"&lt;="&amp;$B122,BD!$K$3:$K$5001,"&lt;&gt;"))))</f>
        <v/>
      </c>
      <c r="Q122" s="43" t="str">
        <f>IF(OR($B122="",$A122&gt;$B$9,Q$114=""),"",IF(COUNTIFS(BD!$B$3:$B$5001,Q$114,BD!$A$3:$A$5001,"&gt;="&amp;$C$7,BD!$A$3:$A$5001,"&lt;="&amp;$B122,BD!$K$3:$K$5001,"&lt;&gt;")=0,"",SUMIFS(BD!$K$3:$K$5001,BD!$B$3:$B$5001,Q$114,BD!$A$3:$A$5001,_xlfn.MAXIFS(BD!$A$3:$A$5001,BD!$B$3:$B$5001,Q$114,BD!$A$3:$A$5001,"&gt;="&amp;$C$7,BD!$A$3:$A$5001,"&lt;="&amp;$B122,BD!$K$3:$K$5001,"&lt;&gt;"))))</f>
        <v/>
      </c>
      <c r="R122" s="43" t="str">
        <f>IF(OR($B122="",$A122&gt;$B$9,R$114=""),"",IF(COUNTIFS(BD!$B$3:$B$5001,R$114,BD!$A$3:$A$5001,"&gt;="&amp;$C$7,BD!$A$3:$A$5001,"&lt;="&amp;$B122,BD!$K$3:$K$5001,"&lt;&gt;")=0,"",SUMIFS(BD!$K$3:$K$5001,BD!$B$3:$B$5001,R$114,BD!$A$3:$A$5001,_xlfn.MAXIFS(BD!$A$3:$A$5001,BD!$B$3:$B$5001,R$114,BD!$A$3:$A$5001,"&gt;="&amp;$C$7,BD!$A$3:$A$5001,"&lt;="&amp;$B122,BD!$K$3:$K$5001,"&lt;&gt;"))))</f>
        <v/>
      </c>
      <c r="S122" s="43" t="str">
        <f>IF(OR($B122="",$A122&gt;$B$9,S$114=""),"",IF(COUNTIFS(BD!$B$3:$B$5001,S$114,BD!$A$3:$A$5001,"&gt;="&amp;$C$7,BD!$A$3:$A$5001,"&lt;="&amp;$B122,BD!$K$3:$K$5001,"&lt;&gt;")=0,"",SUMIFS(BD!$K$3:$K$5001,BD!$B$3:$B$5001,S$114,BD!$A$3:$A$5001,_xlfn.MAXIFS(BD!$A$3:$A$5001,BD!$B$3:$B$5001,S$114,BD!$A$3:$A$5001,"&gt;="&amp;$C$7,BD!$A$3:$A$5001,"&lt;="&amp;$B122,BD!$K$3:$K$5001,"&lt;&gt;"))))</f>
        <v/>
      </c>
      <c r="T122" s="43" t="str">
        <f>IF(OR($B122="",$A122&gt;$B$9,T$114=""),"",IF(COUNTIFS(BD!$B$3:$B$5001,T$114,BD!$A$3:$A$5001,"&gt;="&amp;$C$7,BD!$A$3:$A$5001,"&lt;="&amp;$B122,BD!$K$3:$K$5001,"&lt;&gt;")=0,"",SUMIFS(BD!$K$3:$K$5001,BD!$B$3:$B$5001,T$114,BD!$A$3:$A$5001,_xlfn.MAXIFS(BD!$A$3:$A$5001,BD!$B$3:$B$5001,T$114,BD!$A$3:$A$5001,"&gt;="&amp;$C$7,BD!$A$3:$A$5001,"&lt;="&amp;$B122,BD!$K$3:$K$5001,"&lt;&gt;"))))</f>
        <v/>
      </c>
      <c r="U122" s="43" t="str">
        <f>IF(OR($B122="",$A122&gt;$B$9,U$114=""),"",IF(COUNTIFS(BD!$B$3:$B$5001,U$114,BD!$A$3:$A$5001,"&gt;="&amp;$C$7,BD!$A$3:$A$5001,"&lt;="&amp;$B122,BD!$K$3:$K$5001,"&lt;&gt;")=0,"",SUMIFS(BD!$K$3:$K$5001,BD!$B$3:$B$5001,U$114,BD!$A$3:$A$5001,_xlfn.MAXIFS(BD!$A$3:$A$5001,BD!$B$3:$B$5001,U$114,BD!$A$3:$A$5001,"&gt;="&amp;$C$7,BD!$A$3:$A$5001,"&lt;="&amp;$B122,BD!$K$3:$K$5001,"&lt;&gt;"))))</f>
        <v/>
      </c>
      <c r="V122" s="43" t="str">
        <f>IF(OR($B122="",$A122&gt;$B$9,V$114=""),"",IF(COUNTIFS(BD!$B$3:$B$5001,V$114,BD!$A$3:$A$5001,"&gt;="&amp;$C$7,BD!$A$3:$A$5001,"&lt;="&amp;$B122,BD!$K$3:$K$5001,"&lt;&gt;")=0,"",SUMIFS(BD!$K$3:$K$5001,BD!$B$3:$B$5001,V$114,BD!$A$3:$A$5001,_xlfn.MAXIFS(BD!$A$3:$A$5001,BD!$B$3:$B$5001,V$114,BD!$A$3:$A$5001,"&gt;="&amp;$C$7,BD!$A$3:$A$5001,"&lt;="&amp;$B122,BD!$K$3:$K$5001,"&lt;&gt;"))))</f>
        <v/>
      </c>
    </row>
    <row r="123">
      <c r="A123" s="38">
        <v>9</v>
      </c>
      <c r="B123" s="42">
        <f>$B$20</f>
        <v>46304</v>
      </c>
      <c r="C123" s="43" t="str">
        <f>IF(OR($B123="",$A123&gt;$B$9,C$114=""),"",IF(COUNTIFS(BD!$B$3:$B$5001,C$114,BD!$A$3:$A$5001,"&gt;="&amp;$C$7,BD!$A$3:$A$5001,"&lt;="&amp;$B123,BD!$K$3:$K$5001,"&lt;&gt;")=0,"",SUMIFS(BD!$K$3:$K$5001,BD!$B$3:$B$5001,C$114,BD!$A$3:$A$5001,_xlfn.MAXIFS(BD!$A$3:$A$5001,BD!$B$3:$B$5001,C$114,BD!$A$3:$A$5001,"&gt;="&amp;$C$7,BD!$A$3:$A$5001,"&lt;="&amp;$B123,BD!$K$3:$K$5001,"&lt;&gt;"))))</f>
        <v/>
      </c>
      <c r="D123" s="43" t="str">
        <f>IF(OR($B123="",$A123&gt;$B$9,D$114=""),"",IF(COUNTIFS(BD!$B$3:$B$5001,D$114,BD!$A$3:$A$5001,"&gt;="&amp;$C$7,BD!$A$3:$A$5001,"&lt;="&amp;$B123,BD!$K$3:$K$5001,"&lt;&gt;")=0,"",SUMIFS(BD!$K$3:$K$5001,BD!$B$3:$B$5001,D$114,BD!$A$3:$A$5001,_xlfn.MAXIFS(BD!$A$3:$A$5001,BD!$B$3:$B$5001,D$114,BD!$A$3:$A$5001,"&gt;="&amp;$C$7,BD!$A$3:$A$5001,"&lt;="&amp;$B123,BD!$K$3:$K$5001,"&lt;&gt;"))))</f>
        <v/>
      </c>
      <c r="E123" s="43" t="str">
        <f>IF(OR($B123="",$A123&gt;$B$9,E$114=""),"",IF(COUNTIFS(BD!$B$3:$B$5001,E$114,BD!$A$3:$A$5001,"&gt;="&amp;$C$7,BD!$A$3:$A$5001,"&lt;="&amp;$B123,BD!$K$3:$K$5001,"&lt;&gt;")=0,"",SUMIFS(BD!$K$3:$K$5001,BD!$B$3:$B$5001,E$114,BD!$A$3:$A$5001,_xlfn.MAXIFS(BD!$A$3:$A$5001,BD!$B$3:$B$5001,E$114,BD!$A$3:$A$5001,"&gt;="&amp;$C$7,BD!$A$3:$A$5001,"&lt;="&amp;$B123,BD!$K$3:$K$5001,"&lt;&gt;"))))</f>
        <v/>
      </c>
      <c r="F123" s="43" t="str">
        <f>IF(OR($B123="",$A123&gt;$B$9,F$114=""),"",IF(COUNTIFS(BD!$B$3:$B$5001,F$114,BD!$A$3:$A$5001,"&gt;="&amp;$C$7,BD!$A$3:$A$5001,"&lt;="&amp;$B123,BD!$K$3:$K$5001,"&lt;&gt;")=0,"",SUMIFS(BD!$K$3:$K$5001,BD!$B$3:$B$5001,F$114,BD!$A$3:$A$5001,_xlfn.MAXIFS(BD!$A$3:$A$5001,BD!$B$3:$B$5001,F$114,BD!$A$3:$A$5001,"&gt;="&amp;$C$7,BD!$A$3:$A$5001,"&lt;="&amp;$B123,BD!$K$3:$K$5001,"&lt;&gt;"))))</f>
        <v/>
      </c>
      <c r="G123" s="43" t="str">
        <f>IF(OR($B123="",$A123&gt;$B$9,G$114=""),"",IF(COUNTIFS(BD!$B$3:$B$5001,G$114,BD!$A$3:$A$5001,"&gt;="&amp;$C$7,BD!$A$3:$A$5001,"&lt;="&amp;$B123,BD!$K$3:$K$5001,"&lt;&gt;")=0,"",SUMIFS(BD!$K$3:$K$5001,BD!$B$3:$B$5001,G$114,BD!$A$3:$A$5001,_xlfn.MAXIFS(BD!$A$3:$A$5001,BD!$B$3:$B$5001,G$114,BD!$A$3:$A$5001,"&gt;="&amp;$C$7,BD!$A$3:$A$5001,"&lt;="&amp;$B123,BD!$K$3:$K$5001,"&lt;&gt;"))))</f>
        <v/>
      </c>
      <c r="H123" s="43" t="str">
        <f>IF(OR($B123="",$A123&gt;$B$9,H$114=""),"",IF(COUNTIFS(BD!$B$3:$B$5001,H$114,BD!$A$3:$A$5001,"&gt;="&amp;$C$7,BD!$A$3:$A$5001,"&lt;="&amp;$B123,BD!$K$3:$K$5001,"&lt;&gt;")=0,"",SUMIFS(BD!$K$3:$K$5001,BD!$B$3:$B$5001,H$114,BD!$A$3:$A$5001,_xlfn.MAXIFS(BD!$A$3:$A$5001,BD!$B$3:$B$5001,H$114,BD!$A$3:$A$5001,"&gt;="&amp;$C$7,BD!$A$3:$A$5001,"&lt;="&amp;$B123,BD!$K$3:$K$5001,"&lt;&gt;"))))</f>
        <v/>
      </c>
      <c r="I123" s="43" t="str">
        <f>IF(OR($B123="",$A123&gt;$B$9,I$114=""),"",IF(COUNTIFS(BD!$B$3:$B$5001,I$114,BD!$A$3:$A$5001,"&gt;="&amp;$C$7,BD!$A$3:$A$5001,"&lt;="&amp;$B123,BD!$K$3:$K$5001,"&lt;&gt;")=0,"",SUMIFS(BD!$K$3:$K$5001,BD!$B$3:$B$5001,I$114,BD!$A$3:$A$5001,_xlfn.MAXIFS(BD!$A$3:$A$5001,BD!$B$3:$B$5001,I$114,BD!$A$3:$A$5001,"&gt;="&amp;$C$7,BD!$A$3:$A$5001,"&lt;="&amp;$B123,BD!$K$3:$K$5001,"&lt;&gt;"))))</f>
        <v/>
      </c>
      <c r="J123" s="43" t="str">
        <f>IF(OR($B123="",$A123&gt;$B$9,J$114=""),"",IF(COUNTIFS(BD!$B$3:$B$5001,J$114,BD!$A$3:$A$5001,"&gt;="&amp;$C$7,BD!$A$3:$A$5001,"&lt;="&amp;$B123,BD!$K$3:$K$5001,"&lt;&gt;")=0,"",SUMIFS(BD!$K$3:$K$5001,BD!$B$3:$B$5001,J$114,BD!$A$3:$A$5001,_xlfn.MAXIFS(BD!$A$3:$A$5001,BD!$B$3:$B$5001,J$114,BD!$A$3:$A$5001,"&gt;="&amp;$C$7,BD!$A$3:$A$5001,"&lt;="&amp;$B123,BD!$K$3:$K$5001,"&lt;&gt;"))))</f>
        <v/>
      </c>
      <c r="K123" s="43" t="str">
        <f>IF(OR($B123="",$A123&gt;$B$9,K$114=""),"",IF(COUNTIFS(BD!$B$3:$B$5001,K$114,BD!$A$3:$A$5001,"&gt;="&amp;$C$7,BD!$A$3:$A$5001,"&lt;="&amp;$B123,BD!$K$3:$K$5001,"&lt;&gt;")=0,"",SUMIFS(BD!$K$3:$K$5001,BD!$B$3:$B$5001,K$114,BD!$A$3:$A$5001,_xlfn.MAXIFS(BD!$A$3:$A$5001,BD!$B$3:$B$5001,K$114,BD!$A$3:$A$5001,"&gt;="&amp;$C$7,BD!$A$3:$A$5001,"&lt;="&amp;$B123,BD!$K$3:$K$5001,"&lt;&gt;"))))</f>
        <v/>
      </c>
      <c r="L123" s="43" t="str">
        <f>IF(OR($B123="",$A123&gt;$B$9,L$114=""),"",IF(COUNTIFS(BD!$B$3:$B$5001,L$114,BD!$A$3:$A$5001,"&gt;="&amp;$C$7,BD!$A$3:$A$5001,"&lt;="&amp;$B123,BD!$K$3:$K$5001,"&lt;&gt;")=0,"",SUMIFS(BD!$K$3:$K$5001,BD!$B$3:$B$5001,L$114,BD!$A$3:$A$5001,_xlfn.MAXIFS(BD!$A$3:$A$5001,BD!$B$3:$B$5001,L$114,BD!$A$3:$A$5001,"&gt;="&amp;$C$7,BD!$A$3:$A$5001,"&lt;="&amp;$B123,BD!$K$3:$K$5001,"&lt;&gt;"))))</f>
        <v/>
      </c>
      <c r="M123" s="43" t="str">
        <f>IF(OR($B123="",$A123&gt;$B$9,M$114=""),"",IF(COUNTIFS(BD!$B$3:$B$5001,M$114,BD!$A$3:$A$5001,"&gt;="&amp;$C$7,BD!$A$3:$A$5001,"&lt;="&amp;$B123,BD!$K$3:$K$5001,"&lt;&gt;")=0,"",SUMIFS(BD!$K$3:$K$5001,BD!$B$3:$B$5001,M$114,BD!$A$3:$A$5001,_xlfn.MAXIFS(BD!$A$3:$A$5001,BD!$B$3:$B$5001,M$114,BD!$A$3:$A$5001,"&gt;="&amp;$C$7,BD!$A$3:$A$5001,"&lt;="&amp;$B123,BD!$K$3:$K$5001,"&lt;&gt;"))))</f>
        <v/>
      </c>
      <c r="N123" s="43" t="str">
        <f>IF(OR($B123="",$A123&gt;$B$9,N$114=""),"",IF(COUNTIFS(BD!$B$3:$B$5001,N$114,BD!$A$3:$A$5001,"&gt;="&amp;$C$7,BD!$A$3:$A$5001,"&lt;="&amp;$B123,BD!$K$3:$K$5001,"&lt;&gt;")=0,"",SUMIFS(BD!$K$3:$K$5001,BD!$B$3:$B$5001,N$114,BD!$A$3:$A$5001,_xlfn.MAXIFS(BD!$A$3:$A$5001,BD!$B$3:$B$5001,N$114,BD!$A$3:$A$5001,"&gt;="&amp;$C$7,BD!$A$3:$A$5001,"&lt;="&amp;$B123,BD!$K$3:$K$5001,"&lt;&gt;"))))</f>
        <v/>
      </c>
      <c r="O123" s="43" t="str">
        <f>IF(OR($B123="",$A123&gt;$B$9,O$114=""),"",IF(COUNTIFS(BD!$B$3:$B$5001,O$114,BD!$A$3:$A$5001,"&gt;="&amp;$C$7,BD!$A$3:$A$5001,"&lt;="&amp;$B123,BD!$K$3:$K$5001,"&lt;&gt;")=0,"",SUMIFS(BD!$K$3:$K$5001,BD!$B$3:$B$5001,O$114,BD!$A$3:$A$5001,_xlfn.MAXIFS(BD!$A$3:$A$5001,BD!$B$3:$B$5001,O$114,BD!$A$3:$A$5001,"&gt;="&amp;$C$7,BD!$A$3:$A$5001,"&lt;="&amp;$B123,BD!$K$3:$K$5001,"&lt;&gt;"))))</f>
        <v/>
      </c>
      <c r="P123" s="43" t="str">
        <f>IF(OR($B123="",$A123&gt;$B$9,P$114=""),"",IF(COUNTIFS(BD!$B$3:$B$5001,P$114,BD!$A$3:$A$5001,"&gt;="&amp;$C$7,BD!$A$3:$A$5001,"&lt;="&amp;$B123,BD!$K$3:$K$5001,"&lt;&gt;")=0,"",SUMIFS(BD!$K$3:$K$5001,BD!$B$3:$B$5001,P$114,BD!$A$3:$A$5001,_xlfn.MAXIFS(BD!$A$3:$A$5001,BD!$B$3:$B$5001,P$114,BD!$A$3:$A$5001,"&gt;="&amp;$C$7,BD!$A$3:$A$5001,"&lt;="&amp;$B123,BD!$K$3:$K$5001,"&lt;&gt;"))))</f>
        <v/>
      </c>
      <c r="Q123" s="43" t="str">
        <f>IF(OR($B123="",$A123&gt;$B$9,Q$114=""),"",IF(COUNTIFS(BD!$B$3:$B$5001,Q$114,BD!$A$3:$A$5001,"&gt;="&amp;$C$7,BD!$A$3:$A$5001,"&lt;="&amp;$B123,BD!$K$3:$K$5001,"&lt;&gt;")=0,"",SUMIFS(BD!$K$3:$K$5001,BD!$B$3:$B$5001,Q$114,BD!$A$3:$A$5001,_xlfn.MAXIFS(BD!$A$3:$A$5001,BD!$B$3:$B$5001,Q$114,BD!$A$3:$A$5001,"&gt;="&amp;$C$7,BD!$A$3:$A$5001,"&lt;="&amp;$B123,BD!$K$3:$K$5001,"&lt;&gt;"))))</f>
        <v/>
      </c>
      <c r="R123" s="43" t="str">
        <f>IF(OR($B123="",$A123&gt;$B$9,R$114=""),"",IF(COUNTIFS(BD!$B$3:$B$5001,R$114,BD!$A$3:$A$5001,"&gt;="&amp;$C$7,BD!$A$3:$A$5001,"&lt;="&amp;$B123,BD!$K$3:$K$5001,"&lt;&gt;")=0,"",SUMIFS(BD!$K$3:$K$5001,BD!$B$3:$B$5001,R$114,BD!$A$3:$A$5001,_xlfn.MAXIFS(BD!$A$3:$A$5001,BD!$B$3:$B$5001,R$114,BD!$A$3:$A$5001,"&gt;="&amp;$C$7,BD!$A$3:$A$5001,"&lt;="&amp;$B123,BD!$K$3:$K$5001,"&lt;&gt;"))))</f>
        <v/>
      </c>
      <c r="S123" s="43" t="str">
        <f>IF(OR($B123="",$A123&gt;$B$9,S$114=""),"",IF(COUNTIFS(BD!$B$3:$B$5001,S$114,BD!$A$3:$A$5001,"&gt;="&amp;$C$7,BD!$A$3:$A$5001,"&lt;="&amp;$B123,BD!$K$3:$K$5001,"&lt;&gt;")=0,"",SUMIFS(BD!$K$3:$K$5001,BD!$B$3:$B$5001,S$114,BD!$A$3:$A$5001,_xlfn.MAXIFS(BD!$A$3:$A$5001,BD!$B$3:$B$5001,S$114,BD!$A$3:$A$5001,"&gt;="&amp;$C$7,BD!$A$3:$A$5001,"&lt;="&amp;$B123,BD!$K$3:$K$5001,"&lt;&gt;"))))</f>
        <v/>
      </c>
      <c r="T123" s="43" t="str">
        <f>IF(OR($B123="",$A123&gt;$B$9,T$114=""),"",IF(COUNTIFS(BD!$B$3:$B$5001,T$114,BD!$A$3:$A$5001,"&gt;="&amp;$C$7,BD!$A$3:$A$5001,"&lt;="&amp;$B123,BD!$K$3:$K$5001,"&lt;&gt;")=0,"",SUMIFS(BD!$K$3:$K$5001,BD!$B$3:$B$5001,T$114,BD!$A$3:$A$5001,_xlfn.MAXIFS(BD!$A$3:$A$5001,BD!$B$3:$B$5001,T$114,BD!$A$3:$A$5001,"&gt;="&amp;$C$7,BD!$A$3:$A$5001,"&lt;="&amp;$B123,BD!$K$3:$K$5001,"&lt;&gt;"))))</f>
        <v/>
      </c>
      <c r="U123" s="43" t="str">
        <f>IF(OR($B123="",$A123&gt;$B$9,U$114=""),"",IF(COUNTIFS(BD!$B$3:$B$5001,U$114,BD!$A$3:$A$5001,"&gt;="&amp;$C$7,BD!$A$3:$A$5001,"&lt;="&amp;$B123,BD!$K$3:$K$5001,"&lt;&gt;")=0,"",SUMIFS(BD!$K$3:$K$5001,BD!$B$3:$B$5001,U$114,BD!$A$3:$A$5001,_xlfn.MAXIFS(BD!$A$3:$A$5001,BD!$B$3:$B$5001,U$114,BD!$A$3:$A$5001,"&gt;="&amp;$C$7,BD!$A$3:$A$5001,"&lt;="&amp;$B123,BD!$K$3:$K$5001,"&lt;&gt;"))))</f>
        <v/>
      </c>
      <c r="V123" s="43" t="str">
        <f>IF(OR($B123="",$A123&gt;$B$9,V$114=""),"",IF(COUNTIFS(BD!$B$3:$B$5001,V$114,BD!$A$3:$A$5001,"&gt;="&amp;$C$7,BD!$A$3:$A$5001,"&lt;="&amp;$B123,BD!$K$3:$K$5001,"&lt;&gt;")=0,"",SUMIFS(BD!$K$3:$K$5001,BD!$B$3:$B$5001,V$114,BD!$A$3:$A$5001,_xlfn.MAXIFS(BD!$A$3:$A$5001,BD!$B$3:$B$5001,V$114,BD!$A$3:$A$5001,"&gt;="&amp;$C$7,BD!$A$3:$A$5001,"&lt;="&amp;$B123,BD!$K$3:$K$5001,"&lt;&gt;"))))</f>
        <v/>
      </c>
    </row>
    <row r="124">
      <c r="A124" s="38">
        <v>10</v>
      </c>
      <c r="B124" s="42">
        <f>$B$21</f>
        <v>46305</v>
      </c>
      <c r="C124" s="43" t="str">
        <f>IF(OR($B124="",$A124&gt;$B$9,C$114=""),"",IF(COUNTIFS(BD!$B$3:$B$5001,C$114,BD!$A$3:$A$5001,"&gt;="&amp;$C$7,BD!$A$3:$A$5001,"&lt;="&amp;$B124,BD!$K$3:$K$5001,"&lt;&gt;")=0,"",SUMIFS(BD!$K$3:$K$5001,BD!$B$3:$B$5001,C$114,BD!$A$3:$A$5001,_xlfn.MAXIFS(BD!$A$3:$A$5001,BD!$B$3:$B$5001,C$114,BD!$A$3:$A$5001,"&gt;="&amp;$C$7,BD!$A$3:$A$5001,"&lt;="&amp;$B124,BD!$K$3:$K$5001,"&lt;&gt;"))))</f>
        <v/>
      </c>
      <c r="D124" s="43" t="str">
        <f>IF(OR($B124="",$A124&gt;$B$9,D$114=""),"",IF(COUNTIFS(BD!$B$3:$B$5001,D$114,BD!$A$3:$A$5001,"&gt;="&amp;$C$7,BD!$A$3:$A$5001,"&lt;="&amp;$B124,BD!$K$3:$K$5001,"&lt;&gt;")=0,"",SUMIFS(BD!$K$3:$K$5001,BD!$B$3:$B$5001,D$114,BD!$A$3:$A$5001,_xlfn.MAXIFS(BD!$A$3:$A$5001,BD!$B$3:$B$5001,D$114,BD!$A$3:$A$5001,"&gt;="&amp;$C$7,BD!$A$3:$A$5001,"&lt;="&amp;$B124,BD!$K$3:$K$5001,"&lt;&gt;"))))</f>
        <v/>
      </c>
      <c r="E124" s="43" t="str">
        <f>IF(OR($B124="",$A124&gt;$B$9,E$114=""),"",IF(COUNTIFS(BD!$B$3:$B$5001,E$114,BD!$A$3:$A$5001,"&gt;="&amp;$C$7,BD!$A$3:$A$5001,"&lt;="&amp;$B124,BD!$K$3:$K$5001,"&lt;&gt;")=0,"",SUMIFS(BD!$K$3:$K$5001,BD!$B$3:$B$5001,E$114,BD!$A$3:$A$5001,_xlfn.MAXIFS(BD!$A$3:$A$5001,BD!$B$3:$B$5001,E$114,BD!$A$3:$A$5001,"&gt;="&amp;$C$7,BD!$A$3:$A$5001,"&lt;="&amp;$B124,BD!$K$3:$K$5001,"&lt;&gt;"))))</f>
        <v/>
      </c>
      <c r="F124" s="43" t="str">
        <f>IF(OR($B124="",$A124&gt;$B$9,F$114=""),"",IF(COUNTIFS(BD!$B$3:$B$5001,F$114,BD!$A$3:$A$5001,"&gt;="&amp;$C$7,BD!$A$3:$A$5001,"&lt;="&amp;$B124,BD!$K$3:$K$5001,"&lt;&gt;")=0,"",SUMIFS(BD!$K$3:$K$5001,BD!$B$3:$B$5001,F$114,BD!$A$3:$A$5001,_xlfn.MAXIFS(BD!$A$3:$A$5001,BD!$B$3:$B$5001,F$114,BD!$A$3:$A$5001,"&gt;="&amp;$C$7,BD!$A$3:$A$5001,"&lt;="&amp;$B124,BD!$K$3:$K$5001,"&lt;&gt;"))))</f>
        <v/>
      </c>
      <c r="G124" s="43" t="str">
        <f>IF(OR($B124="",$A124&gt;$B$9,G$114=""),"",IF(COUNTIFS(BD!$B$3:$B$5001,G$114,BD!$A$3:$A$5001,"&gt;="&amp;$C$7,BD!$A$3:$A$5001,"&lt;="&amp;$B124,BD!$K$3:$K$5001,"&lt;&gt;")=0,"",SUMIFS(BD!$K$3:$K$5001,BD!$B$3:$B$5001,G$114,BD!$A$3:$A$5001,_xlfn.MAXIFS(BD!$A$3:$A$5001,BD!$B$3:$B$5001,G$114,BD!$A$3:$A$5001,"&gt;="&amp;$C$7,BD!$A$3:$A$5001,"&lt;="&amp;$B124,BD!$K$3:$K$5001,"&lt;&gt;"))))</f>
        <v/>
      </c>
      <c r="H124" s="43" t="str">
        <f>IF(OR($B124="",$A124&gt;$B$9,H$114=""),"",IF(COUNTIFS(BD!$B$3:$B$5001,H$114,BD!$A$3:$A$5001,"&gt;="&amp;$C$7,BD!$A$3:$A$5001,"&lt;="&amp;$B124,BD!$K$3:$K$5001,"&lt;&gt;")=0,"",SUMIFS(BD!$K$3:$K$5001,BD!$B$3:$B$5001,H$114,BD!$A$3:$A$5001,_xlfn.MAXIFS(BD!$A$3:$A$5001,BD!$B$3:$B$5001,H$114,BD!$A$3:$A$5001,"&gt;="&amp;$C$7,BD!$A$3:$A$5001,"&lt;="&amp;$B124,BD!$K$3:$K$5001,"&lt;&gt;"))))</f>
        <v/>
      </c>
      <c r="I124" s="43" t="str">
        <f>IF(OR($B124="",$A124&gt;$B$9,I$114=""),"",IF(COUNTIFS(BD!$B$3:$B$5001,I$114,BD!$A$3:$A$5001,"&gt;="&amp;$C$7,BD!$A$3:$A$5001,"&lt;="&amp;$B124,BD!$K$3:$K$5001,"&lt;&gt;")=0,"",SUMIFS(BD!$K$3:$K$5001,BD!$B$3:$B$5001,I$114,BD!$A$3:$A$5001,_xlfn.MAXIFS(BD!$A$3:$A$5001,BD!$B$3:$B$5001,I$114,BD!$A$3:$A$5001,"&gt;="&amp;$C$7,BD!$A$3:$A$5001,"&lt;="&amp;$B124,BD!$K$3:$K$5001,"&lt;&gt;"))))</f>
        <v/>
      </c>
      <c r="J124" s="43" t="str">
        <f>IF(OR($B124="",$A124&gt;$B$9,J$114=""),"",IF(COUNTIFS(BD!$B$3:$B$5001,J$114,BD!$A$3:$A$5001,"&gt;="&amp;$C$7,BD!$A$3:$A$5001,"&lt;="&amp;$B124,BD!$K$3:$K$5001,"&lt;&gt;")=0,"",SUMIFS(BD!$K$3:$K$5001,BD!$B$3:$B$5001,J$114,BD!$A$3:$A$5001,_xlfn.MAXIFS(BD!$A$3:$A$5001,BD!$B$3:$B$5001,J$114,BD!$A$3:$A$5001,"&gt;="&amp;$C$7,BD!$A$3:$A$5001,"&lt;="&amp;$B124,BD!$K$3:$K$5001,"&lt;&gt;"))))</f>
        <v/>
      </c>
      <c r="K124" s="43" t="str">
        <f>IF(OR($B124="",$A124&gt;$B$9,K$114=""),"",IF(COUNTIFS(BD!$B$3:$B$5001,K$114,BD!$A$3:$A$5001,"&gt;="&amp;$C$7,BD!$A$3:$A$5001,"&lt;="&amp;$B124,BD!$K$3:$K$5001,"&lt;&gt;")=0,"",SUMIFS(BD!$K$3:$K$5001,BD!$B$3:$B$5001,K$114,BD!$A$3:$A$5001,_xlfn.MAXIFS(BD!$A$3:$A$5001,BD!$B$3:$B$5001,K$114,BD!$A$3:$A$5001,"&gt;="&amp;$C$7,BD!$A$3:$A$5001,"&lt;="&amp;$B124,BD!$K$3:$K$5001,"&lt;&gt;"))))</f>
        <v/>
      </c>
      <c r="L124" s="43" t="str">
        <f>IF(OR($B124="",$A124&gt;$B$9,L$114=""),"",IF(COUNTIFS(BD!$B$3:$B$5001,L$114,BD!$A$3:$A$5001,"&gt;="&amp;$C$7,BD!$A$3:$A$5001,"&lt;="&amp;$B124,BD!$K$3:$K$5001,"&lt;&gt;")=0,"",SUMIFS(BD!$K$3:$K$5001,BD!$B$3:$B$5001,L$114,BD!$A$3:$A$5001,_xlfn.MAXIFS(BD!$A$3:$A$5001,BD!$B$3:$B$5001,L$114,BD!$A$3:$A$5001,"&gt;="&amp;$C$7,BD!$A$3:$A$5001,"&lt;="&amp;$B124,BD!$K$3:$K$5001,"&lt;&gt;"))))</f>
        <v/>
      </c>
      <c r="M124" s="43" t="str">
        <f>IF(OR($B124="",$A124&gt;$B$9,M$114=""),"",IF(COUNTIFS(BD!$B$3:$B$5001,M$114,BD!$A$3:$A$5001,"&gt;="&amp;$C$7,BD!$A$3:$A$5001,"&lt;="&amp;$B124,BD!$K$3:$K$5001,"&lt;&gt;")=0,"",SUMIFS(BD!$K$3:$K$5001,BD!$B$3:$B$5001,M$114,BD!$A$3:$A$5001,_xlfn.MAXIFS(BD!$A$3:$A$5001,BD!$B$3:$B$5001,M$114,BD!$A$3:$A$5001,"&gt;="&amp;$C$7,BD!$A$3:$A$5001,"&lt;="&amp;$B124,BD!$K$3:$K$5001,"&lt;&gt;"))))</f>
        <v/>
      </c>
      <c r="N124" s="43" t="str">
        <f>IF(OR($B124="",$A124&gt;$B$9,N$114=""),"",IF(COUNTIFS(BD!$B$3:$B$5001,N$114,BD!$A$3:$A$5001,"&gt;="&amp;$C$7,BD!$A$3:$A$5001,"&lt;="&amp;$B124,BD!$K$3:$K$5001,"&lt;&gt;")=0,"",SUMIFS(BD!$K$3:$K$5001,BD!$B$3:$B$5001,N$114,BD!$A$3:$A$5001,_xlfn.MAXIFS(BD!$A$3:$A$5001,BD!$B$3:$B$5001,N$114,BD!$A$3:$A$5001,"&gt;="&amp;$C$7,BD!$A$3:$A$5001,"&lt;="&amp;$B124,BD!$K$3:$K$5001,"&lt;&gt;"))))</f>
        <v/>
      </c>
      <c r="O124" s="43" t="str">
        <f>IF(OR($B124="",$A124&gt;$B$9,O$114=""),"",IF(COUNTIFS(BD!$B$3:$B$5001,O$114,BD!$A$3:$A$5001,"&gt;="&amp;$C$7,BD!$A$3:$A$5001,"&lt;="&amp;$B124,BD!$K$3:$K$5001,"&lt;&gt;")=0,"",SUMIFS(BD!$K$3:$K$5001,BD!$B$3:$B$5001,O$114,BD!$A$3:$A$5001,_xlfn.MAXIFS(BD!$A$3:$A$5001,BD!$B$3:$B$5001,O$114,BD!$A$3:$A$5001,"&gt;="&amp;$C$7,BD!$A$3:$A$5001,"&lt;="&amp;$B124,BD!$K$3:$K$5001,"&lt;&gt;"))))</f>
        <v/>
      </c>
      <c r="P124" s="43" t="str">
        <f>IF(OR($B124="",$A124&gt;$B$9,P$114=""),"",IF(COUNTIFS(BD!$B$3:$B$5001,P$114,BD!$A$3:$A$5001,"&gt;="&amp;$C$7,BD!$A$3:$A$5001,"&lt;="&amp;$B124,BD!$K$3:$K$5001,"&lt;&gt;")=0,"",SUMIFS(BD!$K$3:$K$5001,BD!$B$3:$B$5001,P$114,BD!$A$3:$A$5001,_xlfn.MAXIFS(BD!$A$3:$A$5001,BD!$B$3:$B$5001,P$114,BD!$A$3:$A$5001,"&gt;="&amp;$C$7,BD!$A$3:$A$5001,"&lt;="&amp;$B124,BD!$K$3:$K$5001,"&lt;&gt;"))))</f>
        <v/>
      </c>
      <c r="Q124" s="43" t="str">
        <f>IF(OR($B124="",$A124&gt;$B$9,Q$114=""),"",IF(COUNTIFS(BD!$B$3:$B$5001,Q$114,BD!$A$3:$A$5001,"&gt;="&amp;$C$7,BD!$A$3:$A$5001,"&lt;="&amp;$B124,BD!$K$3:$K$5001,"&lt;&gt;")=0,"",SUMIFS(BD!$K$3:$K$5001,BD!$B$3:$B$5001,Q$114,BD!$A$3:$A$5001,_xlfn.MAXIFS(BD!$A$3:$A$5001,BD!$B$3:$B$5001,Q$114,BD!$A$3:$A$5001,"&gt;="&amp;$C$7,BD!$A$3:$A$5001,"&lt;="&amp;$B124,BD!$K$3:$K$5001,"&lt;&gt;"))))</f>
        <v/>
      </c>
      <c r="R124" s="43" t="str">
        <f>IF(OR($B124="",$A124&gt;$B$9,R$114=""),"",IF(COUNTIFS(BD!$B$3:$B$5001,R$114,BD!$A$3:$A$5001,"&gt;="&amp;$C$7,BD!$A$3:$A$5001,"&lt;="&amp;$B124,BD!$K$3:$K$5001,"&lt;&gt;")=0,"",SUMIFS(BD!$K$3:$K$5001,BD!$B$3:$B$5001,R$114,BD!$A$3:$A$5001,_xlfn.MAXIFS(BD!$A$3:$A$5001,BD!$B$3:$B$5001,R$114,BD!$A$3:$A$5001,"&gt;="&amp;$C$7,BD!$A$3:$A$5001,"&lt;="&amp;$B124,BD!$K$3:$K$5001,"&lt;&gt;"))))</f>
        <v/>
      </c>
      <c r="S124" s="43" t="str">
        <f>IF(OR($B124="",$A124&gt;$B$9,S$114=""),"",IF(COUNTIFS(BD!$B$3:$B$5001,S$114,BD!$A$3:$A$5001,"&gt;="&amp;$C$7,BD!$A$3:$A$5001,"&lt;="&amp;$B124,BD!$K$3:$K$5001,"&lt;&gt;")=0,"",SUMIFS(BD!$K$3:$K$5001,BD!$B$3:$B$5001,S$114,BD!$A$3:$A$5001,_xlfn.MAXIFS(BD!$A$3:$A$5001,BD!$B$3:$B$5001,S$114,BD!$A$3:$A$5001,"&gt;="&amp;$C$7,BD!$A$3:$A$5001,"&lt;="&amp;$B124,BD!$K$3:$K$5001,"&lt;&gt;"))))</f>
        <v/>
      </c>
      <c r="T124" s="43" t="str">
        <f>IF(OR($B124="",$A124&gt;$B$9,T$114=""),"",IF(COUNTIFS(BD!$B$3:$B$5001,T$114,BD!$A$3:$A$5001,"&gt;="&amp;$C$7,BD!$A$3:$A$5001,"&lt;="&amp;$B124,BD!$K$3:$K$5001,"&lt;&gt;")=0,"",SUMIFS(BD!$K$3:$K$5001,BD!$B$3:$B$5001,T$114,BD!$A$3:$A$5001,_xlfn.MAXIFS(BD!$A$3:$A$5001,BD!$B$3:$B$5001,T$114,BD!$A$3:$A$5001,"&gt;="&amp;$C$7,BD!$A$3:$A$5001,"&lt;="&amp;$B124,BD!$K$3:$K$5001,"&lt;&gt;"))))</f>
        <v/>
      </c>
      <c r="U124" s="43" t="str">
        <f>IF(OR($B124="",$A124&gt;$B$9,U$114=""),"",IF(COUNTIFS(BD!$B$3:$B$5001,U$114,BD!$A$3:$A$5001,"&gt;="&amp;$C$7,BD!$A$3:$A$5001,"&lt;="&amp;$B124,BD!$K$3:$K$5001,"&lt;&gt;")=0,"",SUMIFS(BD!$K$3:$K$5001,BD!$B$3:$B$5001,U$114,BD!$A$3:$A$5001,_xlfn.MAXIFS(BD!$A$3:$A$5001,BD!$B$3:$B$5001,U$114,BD!$A$3:$A$5001,"&gt;="&amp;$C$7,BD!$A$3:$A$5001,"&lt;="&amp;$B124,BD!$K$3:$K$5001,"&lt;&gt;"))))</f>
        <v/>
      </c>
      <c r="V124" s="43" t="str">
        <f>IF(OR($B124="",$A124&gt;$B$9,V$114=""),"",IF(COUNTIFS(BD!$B$3:$B$5001,V$114,BD!$A$3:$A$5001,"&gt;="&amp;$C$7,BD!$A$3:$A$5001,"&lt;="&amp;$B124,BD!$K$3:$K$5001,"&lt;&gt;")=0,"",SUMIFS(BD!$K$3:$K$5001,BD!$B$3:$B$5001,V$114,BD!$A$3:$A$5001,_xlfn.MAXIFS(BD!$A$3:$A$5001,BD!$B$3:$B$5001,V$114,BD!$A$3:$A$5001,"&gt;="&amp;$C$7,BD!$A$3:$A$5001,"&lt;="&amp;$B124,BD!$K$3:$K$5001,"&lt;&gt;"))))</f>
        <v/>
      </c>
    </row>
    <row r="125">
      <c r="A125" s="38">
        <v>11</v>
      </c>
      <c r="B125" s="42">
        <f>$B$22</f>
        <v>46306</v>
      </c>
      <c r="C125" s="43" t="str">
        <f>IF(OR($B125="",$A125&gt;$B$9,C$114=""),"",IF(COUNTIFS(BD!$B$3:$B$5001,C$114,BD!$A$3:$A$5001,"&gt;="&amp;$C$7,BD!$A$3:$A$5001,"&lt;="&amp;$B125,BD!$K$3:$K$5001,"&lt;&gt;")=0,"",SUMIFS(BD!$K$3:$K$5001,BD!$B$3:$B$5001,C$114,BD!$A$3:$A$5001,_xlfn.MAXIFS(BD!$A$3:$A$5001,BD!$B$3:$B$5001,C$114,BD!$A$3:$A$5001,"&gt;="&amp;$C$7,BD!$A$3:$A$5001,"&lt;="&amp;$B125,BD!$K$3:$K$5001,"&lt;&gt;"))))</f>
        <v/>
      </c>
      <c r="D125" s="43" t="str">
        <f>IF(OR($B125="",$A125&gt;$B$9,D$114=""),"",IF(COUNTIFS(BD!$B$3:$B$5001,D$114,BD!$A$3:$A$5001,"&gt;="&amp;$C$7,BD!$A$3:$A$5001,"&lt;="&amp;$B125,BD!$K$3:$K$5001,"&lt;&gt;")=0,"",SUMIFS(BD!$K$3:$K$5001,BD!$B$3:$B$5001,D$114,BD!$A$3:$A$5001,_xlfn.MAXIFS(BD!$A$3:$A$5001,BD!$B$3:$B$5001,D$114,BD!$A$3:$A$5001,"&gt;="&amp;$C$7,BD!$A$3:$A$5001,"&lt;="&amp;$B125,BD!$K$3:$K$5001,"&lt;&gt;"))))</f>
        <v/>
      </c>
      <c r="E125" s="43" t="str">
        <f>IF(OR($B125="",$A125&gt;$B$9,E$114=""),"",IF(COUNTIFS(BD!$B$3:$B$5001,E$114,BD!$A$3:$A$5001,"&gt;="&amp;$C$7,BD!$A$3:$A$5001,"&lt;="&amp;$B125,BD!$K$3:$K$5001,"&lt;&gt;")=0,"",SUMIFS(BD!$K$3:$K$5001,BD!$B$3:$B$5001,E$114,BD!$A$3:$A$5001,_xlfn.MAXIFS(BD!$A$3:$A$5001,BD!$B$3:$B$5001,E$114,BD!$A$3:$A$5001,"&gt;="&amp;$C$7,BD!$A$3:$A$5001,"&lt;="&amp;$B125,BD!$K$3:$K$5001,"&lt;&gt;"))))</f>
        <v/>
      </c>
      <c r="F125" s="43" t="str">
        <f>IF(OR($B125="",$A125&gt;$B$9,F$114=""),"",IF(COUNTIFS(BD!$B$3:$B$5001,F$114,BD!$A$3:$A$5001,"&gt;="&amp;$C$7,BD!$A$3:$A$5001,"&lt;="&amp;$B125,BD!$K$3:$K$5001,"&lt;&gt;")=0,"",SUMIFS(BD!$K$3:$K$5001,BD!$B$3:$B$5001,F$114,BD!$A$3:$A$5001,_xlfn.MAXIFS(BD!$A$3:$A$5001,BD!$B$3:$B$5001,F$114,BD!$A$3:$A$5001,"&gt;="&amp;$C$7,BD!$A$3:$A$5001,"&lt;="&amp;$B125,BD!$K$3:$K$5001,"&lt;&gt;"))))</f>
        <v/>
      </c>
      <c r="G125" s="43" t="str">
        <f>IF(OR($B125="",$A125&gt;$B$9,G$114=""),"",IF(COUNTIFS(BD!$B$3:$B$5001,G$114,BD!$A$3:$A$5001,"&gt;="&amp;$C$7,BD!$A$3:$A$5001,"&lt;="&amp;$B125,BD!$K$3:$K$5001,"&lt;&gt;")=0,"",SUMIFS(BD!$K$3:$K$5001,BD!$B$3:$B$5001,G$114,BD!$A$3:$A$5001,_xlfn.MAXIFS(BD!$A$3:$A$5001,BD!$B$3:$B$5001,G$114,BD!$A$3:$A$5001,"&gt;="&amp;$C$7,BD!$A$3:$A$5001,"&lt;="&amp;$B125,BD!$K$3:$K$5001,"&lt;&gt;"))))</f>
        <v/>
      </c>
      <c r="H125" s="43" t="str">
        <f>IF(OR($B125="",$A125&gt;$B$9,H$114=""),"",IF(COUNTIFS(BD!$B$3:$B$5001,H$114,BD!$A$3:$A$5001,"&gt;="&amp;$C$7,BD!$A$3:$A$5001,"&lt;="&amp;$B125,BD!$K$3:$K$5001,"&lt;&gt;")=0,"",SUMIFS(BD!$K$3:$K$5001,BD!$B$3:$B$5001,H$114,BD!$A$3:$A$5001,_xlfn.MAXIFS(BD!$A$3:$A$5001,BD!$B$3:$B$5001,H$114,BD!$A$3:$A$5001,"&gt;="&amp;$C$7,BD!$A$3:$A$5001,"&lt;="&amp;$B125,BD!$K$3:$K$5001,"&lt;&gt;"))))</f>
        <v/>
      </c>
      <c r="I125" s="43" t="str">
        <f>IF(OR($B125="",$A125&gt;$B$9,I$114=""),"",IF(COUNTIFS(BD!$B$3:$B$5001,I$114,BD!$A$3:$A$5001,"&gt;="&amp;$C$7,BD!$A$3:$A$5001,"&lt;="&amp;$B125,BD!$K$3:$K$5001,"&lt;&gt;")=0,"",SUMIFS(BD!$K$3:$K$5001,BD!$B$3:$B$5001,I$114,BD!$A$3:$A$5001,_xlfn.MAXIFS(BD!$A$3:$A$5001,BD!$B$3:$B$5001,I$114,BD!$A$3:$A$5001,"&gt;="&amp;$C$7,BD!$A$3:$A$5001,"&lt;="&amp;$B125,BD!$K$3:$K$5001,"&lt;&gt;"))))</f>
        <v/>
      </c>
      <c r="J125" s="43" t="str">
        <f>IF(OR($B125="",$A125&gt;$B$9,J$114=""),"",IF(COUNTIFS(BD!$B$3:$B$5001,J$114,BD!$A$3:$A$5001,"&gt;="&amp;$C$7,BD!$A$3:$A$5001,"&lt;="&amp;$B125,BD!$K$3:$K$5001,"&lt;&gt;")=0,"",SUMIFS(BD!$K$3:$K$5001,BD!$B$3:$B$5001,J$114,BD!$A$3:$A$5001,_xlfn.MAXIFS(BD!$A$3:$A$5001,BD!$B$3:$B$5001,J$114,BD!$A$3:$A$5001,"&gt;="&amp;$C$7,BD!$A$3:$A$5001,"&lt;="&amp;$B125,BD!$K$3:$K$5001,"&lt;&gt;"))))</f>
        <v/>
      </c>
      <c r="K125" s="43" t="str">
        <f>IF(OR($B125="",$A125&gt;$B$9,K$114=""),"",IF(COUNTIFS(BD!$B$3:$B$5001,K$114,BD!$A$3:$A$5001,"&gt;="&amp;$C$7,BD!$A$3:$A$5001,"&lt;="&amp;$B125,BD!$K$3:$K$5001,"&lt;&gt;")=0,"",SUMIFS(BD!$K$3:$K$5001,BD!$B$3:$B$5001,K$114,BD!$A$3:$A$5001,_xlfn.MAXIFS(BD!$A$3:$A$5001,BD!$B$3:$B$5001,K$114,BD!$A$3:$A$5001,"&gt;="&amp;$C$7,BD!$A$3:$A$5001,"&lt;="&amp;$B125,BD!$K$3:$K$5001,"&lt;&gt;"))))</f>
        <v/>
      </c>
      <c r="L125" s="43" t="str">
        <f>IF(OR($B125="",$A125&gt;$B$9,L$114=""),"",IF(COUNTIFS(BD!$B$3:$B$5001,L$114,BD!$A$3:$A$5001,"&gt;="&amp;$C$7,BD!$A$3:$A$5001,"&lt;="&amp;$B125,BD!$K$3:$K$5001,"&lt;&gt;")=0,"",SUMIFS(BD!$K$3:$K$5001,BD!$B$3:$B$5001,L$114,BD!$A$3:$A$5001,_xlfn.MAXIFS(BD!$A$3:$A$5001,BD!$B$3:$B$5001,L$114,BD!$A$3:$A$5001,"&gt;="&amp;$C$7,BD!$A$3:$A$5001,"&lt;="&amp;$B125,BD!$K$3:$K$5001,"&lt;&gt;"))))</f>
        <v/>
      </c>
      <c r="M125" s="43" t="str">
        <f>IF(OR($B125="",$A125&gt;$B$9,M$114=""),"",IF(COUNTIFS(BD!$B$3:$B$5001,M$114,BD!$A$3:$A$5001,"&gt;="&amp;$C$7,BD!$A$3:$A$5001,"&lt;="&amp;$B125,BD!$K$3:$K$5001,"&lt;&gt;")=0,"",SUMIFS(BD!$K$3:$K$5001,BD!$B$3:$B$5001,M$114,BD!$A$3:$A$5001,_xlfn.MAXIFS(BD!$A$3:$A$5001,BD!$B$3:$B$5001,M$114,BD!$A$3:$A$5001,"&gt;="&amp;$C$7,BD!$A$3:$A$5001,"&lt;="&amp;$B125,BD!$K$3:$K$5001,"&lt;&gt;"))))</f>
        <v/>
      </c>
      <c r="N125" s="43" t="str">
        <f>IF(OR($B125="",$A125&gt;$B$9,N$114=""),"",IF(COUNTIFS(BD!$B$3:$B$5001,N$114,BD!$A$3:$A$5001,"&gt;="&amp;$C$7,BD!$A$3:$A$5001,"&lt;="&amp;$B125,BD!$K$3:$K$5001,"&lt;&gt;")=0,"",SUMIFS(BD!$K$3:$K$5001,BD!$B$3:$B$5001,N$114,BD!$A$3:$A$5001,_xlfn.MAXIFS(BD!$A$3:$A$5001,BD!$B$3:$B$5001,N$114,BD!$A$3:$A$5001,"&gt;="&amp;$C$7,BD!$A$3:$A$5001,"&lt;="&amp;$B125,BD!$K$3:$K$5001,"&lt;&gt;"))))</f>
        <v/>
      </c>
      <c r="O125" s="43" t="str">
        <f>IF(OR($B125="",$A125&gt;$B$9,O$114=""),"",IF(COUNTIFS(BD!$B$3:$B$5001,O$114,BD!$A$3:$A$5001,"&gt;="&amp;$C$7,BD!$A$3:$A$5001,"&lt;="&amp;$B125,BD!$K$3:$K$5001,"&lt;&gt;")=0,"",SUMIFS(BD!$K$3:$K$5001,BD!$B$3:$B$5001,O$114,BD!$A$3:$A$5001,_xlfn.MAXIFS(BD!$A$3:$A$5001,BD!$B$3:$B$5001,O$114,BD!$A$3:$A$5001,"&gt;="&amp;$C$7,BD!$A$3:$A$5001,"&lt;="&amp;$B125,BD!$K$3:$K$5001,"&lt;&gt;"))))</f>
        <v/>
      </c>
      <c r="P125" s="43" t="str">
        <f>IF(OR($B125="",$A125&gt;$B$9,P$114=""),"",IF(COUNTIFS(BD!$B$3:$B$5001,P$114,BD!$A$3:$A$5001,"&gt;="&amp;$C$7,BD!$A$3:$A$5001,"&lt;="&amp;$B125,BD!$K$3:$K$5001,"&lt;&gt;")=0,"",SUMIFS(BD!$K$3:$K$5001,BD!$B$3:$B$5001,P$114,BD!$A$3:$A$5001,_xlfn.MAXIFS(BD!$A$3:$A$5001,BD!$B$3:$B$5001,P$114,BD!$A$3:$A$5001,"&gt;="&amp;$C$7,BD!$A$3:$A$5001,"&lt;="&amp;$B125,BD!$K$3:$K$5001,"&lt;&gt;"))))</f>
        <v/>
      </c>
      <c r="Q125" s="43" t="str">
        <f>IF(OR($B125="",$A125&gt;$B$9,Q$114=""),"",IF(COUNTIFS(BD!$B$3:$B$5001,Q$114,BD!$A$3:$A$5001,"&gt;="&amp;$C$7,BD!$A$3:$A$5001,"&lt;="&amp;$B125,BD!$K$3:$K$5001,"&lt;&gt;")=0,"",SUMIFS(BD!$K$3:$K$5001,BD!$B$3:$B$5001,Q$114,BD!$A$3:$A$5001,_xlfn.MAXIFS(BD!$A$3:$A$5001,BD!$B$3:$B$5001,Q$114,BD!$A$3:$A$5001,"&gt;="&amp;$C$7,BD!$A$3:$A$5001,"&lt;="&amp;$B125,BD!$K$3:$K$5001,"&lt;&gt;"))))</f>
        <v/>
      </c>
      <c r="R125" s="43" t="str">
        <f>IF(OR($B125="",$A125&gt;$B$9,R$114=""),"",IF(COUNTIFS(BD!$B$3:$B$5001,R$114,BD!$A$3:$A$5001,"&gt;="&amp;$C$7,BD!$A$3:$A$5001,"&lt;="&amp;$B125,BD!$K$3:$K$5001,"&lt;&gt;")=0,"",SUMIFS(BD!$K$3:$K$5001,BD!$B$3:$B$5001,R$114,BD!$A$3:$A$5001,_xlfn.MAXIFS(BD!$A$3:$A$5001,BD!$B$3:$B$5001,R$114,BD!$A$3:$A$5001,"&gt;="&amp;$C$7,BD!$A$3:$A$5001,"&lt;="&amp;$B125,BD!$K$3:$K$5001,"&lt;&gt;"))))</f>
        <v/>
      </c>
      <c r="S125" s="43" t="str">
        <f>IF(OR($B125="",$A125&gt;$B$9,S$114=""),"",IF(COUNTIFS(BD!$B$3:$B$5001,S$114,BD!$A$3:$A$5001,"&gt;="&amp;$C$7,BD!$A$3:$A$5001,"&lt;="&amp;$B125,BD!$K$3:$K$5001,"&lt;&gt;")=0,"",SUMIFS(BD!$K$3:$K$5001,BD!$B$3:$B$5001,S$114,BD!$A$3:$A$5001,_xlfn.MAXIFS(BD!$A$3:$A$5001,BD!$B$3:$B$5001,S$114,BD!$A$3:$A$5001,"&gt;="&amp;$C$7,BD!$A$3:$A$5001,"&lt;="&amp;$B125,BD!$K$3:$K$5001,"&lt;&gt;"))))</f>
        <v/>
      </c>
      <c r="T125" s="43" t="str">
        <f>IF(OR($B125="",$A125&gt;$B$9,T$114=""),"",IF(COUNTIFS(BD!$B$3:$B$5001,T$114,BD!$A$3:$A$5001,"&gt;="&amp;$C$7,BD!$A$3:$A$5001,"&lt;="&amp;$B125,BD!$K$3:$K$5001,"&lt;&gt;")=0,"",SUMIFS(BD!$K$3:$K$5001,BD!$B$3:$B$5001,T$114,BD!$A$3:$A$5001,_xlfn.MAXIFS(BD!$A$3:$A$5001,BD!$B$3:$B$5001,T$114,BD!$A$3:$A$5001,"&gt;="&amp;$C$7,BD!$A$3:$A$5001,"&lt;="&amp;$B125,BD!$K$3:$K$5001,"&lt;&gt;"))))</f>
        <v/>
      </c>
      <c r="U125" s="43" t="str">
        <f>IF(OR($B125="",$A125&gt;$B$9,U$114=""),"",IF(COUNTIFS(BD!$B$3:$B$5001,U$114,BD!$A$3:$A$5001,"&gt;="&amp;$C$7,BD!$A$3:$A$5001,"&lt;="&amp;$B125,BD!$K$3:$K$5001,"&lt;&gt;")=0,"",SUMIFS(BD!$K$3:$K$5001,BD!$B$3:$B$5001,U$114,BD!$A$3:$A$5001,_xlfn.MAXIFS(BD!$A$3:$A$5001,BD!$B$3:$B$5001,U$114,BD!$A$3:$A$5001,"&gt;="&amp;$C$7,BD!$A$3:$A$5001,"&lt;="&amp;$B125,BD!$K$3:$K$5001,"&lt;&gt;"))))</f>
        <v/>
      </c>
      <c r="V125" s="43" t="str">
        <f>IF(OR($B125="",$A125&gt;$B$9,V$114=""),"",IF(COUNTIFS(BD!$B$3:$B$5001,V$114,BD!$A$3:$A$5001,"&gt;="&amp;$C$7,BD!$A$3:$A$5001,"&lt;="&amp;$B125,BD!$K$3:$K$5001,"&lt;&gt;")=0,"",SUMIFS(BD!$K$3:$K$5001,BD!$B$3:$B$5001,V$114,BD!$A$3:$A$5001,_xlfn.MAXIFS(BD!$A$3:$A$5001,BD!$B$3:$B$5001,V$114,BD!$A$3:$A$5001,"&gt;="&amp;$C$7,BD!$A$3:$A$5001,"&lt;="&amp;$B125,BD!$K$3:$K$5001,"&lt;&gt;"))))</f>
        <v/>
      </c>
    </row>
    <row r="126">
      <c r="A126" s="38">
        <v>12</v>
      </c>
      <c r="B126" s="42">
        <f>$B$23</f>
        <v>46307</v>
      </c>
      <c r="C126" s="43" t="str">
        <f>IF(OR($B126="",$A126&gt;$B$9,C$114=""),"",IF(COUNTIFS(BD!$B$3:$B$5001,C$114,BD!$A$3:$A$5001,"&gt;="&amp;$C$7,BD!$A$3:$A$5001,"&lt;="&amp;$B126,BD!$K$3:$K$5001,"&lt;&gt;")=0,"",SUMIFS(BD!$K$3:$K$5001,BD!$B$3:$B$5001,C$114,BD!$A$3:$A$5001,_xlfn.MAXIFS(BD!$A$3:$A$5001,BD!$B$3:$B$5001,C$114,BD!$A$3:$A$5001,"&gt;="&amp;$C$7,BD!$A$3:$A$5001,"&lt;="&amp;$B126,BD!$K$3:$K$5001,"&lt;&gt;"))))</f>
        <v/>
      </c>
      <c r="D126" s="43" t="str">
        <f>IF(OR($B126="",$A126&gt;$B$9,D$114=""),"",IF(COUNTIFS(BD!$B$3:$B$5001,D$114,BD!$A$3:$A$5001,"&gt;="&amp;$C$7,BD!$A$3:$A$5001,"&lt;="&amp;$B126,BD!$K$3:$K$5001,"&lt;&gt;")=0,"",SUMIFS(BD!$K$3:$K$5001,BD!$B$3:$B$5001,D$114,BD!$A$3:$A$5001,_xlfn.MAXIFS(BD!$A$3:$A$5001,BD!$B$3:$B$5001,D$114,BD!$A$3:$A$5001,"&gt;="&amp;$C$7,BD!$A$3:$A$5001,"&lt;="&amp;$B126,BD!$K$3:$K$5001,"&lt;&gt;"))))</f>
        <v/>
      </c>
      <c r="E126" s="43" t="str">
        <f>IF(OR($B126="",$A126&gt;$B$9,E$114=""),"",IF(COUNTIFS(BD!$B$3:$B$5001,E$114,BD!$A$3:$A$5001,"&gt;="&amp;$C$7,BD!$A$3:$A$5001,"&lt;="&amp;$B126,BD!$K$3:$K$5001,"&lt;&gt;")=0,"",SUMIFS(BD!$K$3:$K$5001,BD!$B$3:$B$5001,E$114,BD!$A$3:$A$5001,_xlfn.MAXIFS(BD!$A$3:$A$5001,BD!$B$3:$B$5001,E$114,BD!$A$3:$A$5001,"&gt;="&amp;$C$7,BD!$A$3:$A$5001,"&lt;="&amp;$B126,BD!$K$3:$K$5001,"&lt;&gt;"))))</f>
        <v/>
      </c>
      <c r="F126" s="43" t="str">
        <f>IF(OR($B126="",$A126&gt;$B$9,F$114=""),"",IF(COUNTIFS(BD!$B$3:$B$5001,F$114,BD!$A$3:$A$5001,"&gt;="&amp;$C$7,BD!$A$3:$A$5001,"&lt;="&amp;$B126,BD!$K$3:$K$5001,"&lt;&gt;")=0,"",SUMIFS(BD!$K$3:$K$5001,BD!$B$3:$B$5001,F$114,BD!$A$3:$A$5001,_xlfn.MAXIFS(BD!$A$3:$A$5001,BD!$B$3:$B$5001,F$114,BD!$A$3:$A$5001,"&gt;="&amp;$C$7,BD!$A$3:$A$5001,"&lt;="&amp;$B126,BD!$K$3:$K$5001,"&lt;&gt;"))))</f>
        <v/>
      </c>
      <c r="G126" s="43" t="str">
        <f>IF(OR($B126="",$A126&gt;$B$9,G$114=""),"",IF(COUNTIFS(BD!$B$3:$B$5001,G$114,BD!$A$3:$A$5001,"&gt;="&amp;$C$7,BD!$A$3:$A$5001,"&lt;="&amp;$B126,BD!$K$3:$K$5001,"&lt;&gt;")=0,"",SUMIFS(BD!$K$3:$K$5001,BD!$B$3:$B$5001,G$114,BD!$A$3:$A$5001,_xlfn.MAXIFS(BD!$A$3:$A$5001,BD!$B$3:$B$5001,G$114,BD!$A$3:$A$5001,"&gt;="&amp;$C$7,BD!$A$3:$A$5001,"&lt;="&amp;$B126,BD!$K$3:$K$5001,"&lt;&gt;"))))</f>
        <v/>
      </c>
      <c r="H126" s="43" t="str">
        <f>IF(OR($B126="",$A126&gt;$B$9,H$114=""),"",IF(COUNTIFS(BD!$B$3:$B$5001,H$114,BD!$A$3:$A$5001,"&gt;="&amp;$C$7,BD!$A$3:$A$5001,"&lt;="&amp;$B126,BD!$K$3:$K$5001,"&lt;&gt;")=0,"",SUMIFS(BD!$K$3:$K$5001,BD!$B$3:$B$5001,H$114,BD!$A$3:$A$5001,_xlfn.MAXIFS(BD!$A$3:$A$5001,BD!$B$3:$B$5001,H$114,BD!$A$3:$A$5001,"&gt;="&amp;$C$7,BD!$A$3:$A$5001,"&lt;="&amp;$B126,BD!$K$3:$K$5001,"&lt;&gt;"))))</f>
        <v/>
      </c>
      <c r="I126" s="43" t="str">
        <f>IF(OR($B126="",$A126&gt;$B$9,I$114=""),"",IF(COUNTIFS(BD!$B$3:$B$5001,I$114,BD!$A$3:$A$5001,"&gt;="&amp;$C$7,BD!$A$3:$A$5001,"&lt;="&amp;$B126,BD!$K$3:$K$5001,"&lt;&gt;")=0,"",SUMIFS(BD!$K$3:$K$5001,BD!$B$3:$B$5001,I$114,BD!$A$3:$A$5001,_xlfn.MAXIFS(BD!$A$3:$A$5001,BD!$B$3:$B$5001,I$114,BD!$A$3:$A$5001,"&gt;="&amp;$C$7,BD!$A$3:$A$5001,"&lt;="&amp;$B126,BD!$K$3:$K$5001,"&lt;&gt;"))))</f>
        <v/>
      </c>
      <c r="J126" s="43" t="str">
        <f>IF(OR($B126="",$A126&gt;$B$9,J$114=""),"",IF(COUNTIFS(BD!$B$3:$B$5001,J$114,BD!$A$3:$A$5001,"&gt;="&amp;$C$7,BD!$A$3:$A$5001,"&lt;="&amp;$B126,BD!$K$3:$K$5001,"&lt;&gt;")=0,"",SUMIFS(BD!$K$3:$K$5001,BD!$B$3:$B$5001,J$114,BD!$A$3:$A$5001,_xlfn.MAXIFS(BD!$A$3:$A$5001,BD!$B$3:$B$5001,J$114,BD!$A$3:$A$5001,"&gt;="&amp;$C$7,BD!$A$3:$A$5001,"&lt;="&amp;$B126,BD!$K$3:$K$5001,"&lt;&gt;"))))</f>
        <v/>
      </c>
      <c r="K126" s="43" t="str">
        <f>IF(OR($B126="",$A126&gt;$B$9,K$114=""),"",IF(COUNTIFS(BD!$B$3:$B$5001,K$114,BD!$A$3:$A$5001,"&gt;="&amp;$C$7,BD!$A$3:$A$5001,"&lt;="&amp;$B126,BD!$K$3:$K$5001,"&lt;&gt;")=0,"",SUMIFS(BD!$K$3:$K$5001,BD!$B$3:$B$5001,K$114,BD!$A$3:$A$5001,_xlfn.MAXIFS(BD!$A$3:$A$5001,BD!$B$3:$B$5001,K$114,BD!$A$3:$A$5001,"&gt;="&amp;$C$7,BD!$A$3:$A$5001,"&lt;="&amp;$B126,BD!$K$3:$K$5001,"&lt;&gt;"))))</f>
        <v/>
      </c>
      <c r="L126" s="43" t="str">
        <f>IF(OR($B126="",$A126&gt;$B$9,L$114=""),"",IF(COUNTIFS(BD!$B$3:$B$5001,L$114,BD!$A$3:$A$5001,"&gt;="&amp;$C$7,BD!$A$3:$A$5001,"&lt;="&amp;$B126,BD!$K$3:$K$5001,"&lt;&gt;")=0,"",SUMIFS(BD!$K$3:$K$5001,BD!$B$3:$B$5001,L$114,BD!$A$3:$A$5001,_xlfn.MAXIFS(BD!$A$3:$A$5001,BD!$B$3:$B$5001,L$114,BD!$A$3:$A$5001,"&gt;="&amp;$C$7,BD!$A$3:$A$5001,"&lt;="&amp;$B126,BD!$K$3:$K$5001,"&lt;&gt;"))))</f>
        <v/>
      </c>
      <c r="M126" s="43" t="str">
        <f>IF(OR($B126="",$A126&gt;$B$9,M$114=""),"",IF(COUNTIFS(BD!$B$3:$B$5001,M$114,BD!$A$3:$A$5001,"&gt;="&amp;$C$7,BD!$A$3:$A$5001,"&lt;="&amp;$B126,BD!$K$3:$K$5001,"&lt;&gt;")=0,"",SUMIFS(BD!$K$3:$K$5001,BD!$B$3:$B$5001,M$114,BD!$A$3:$A$5001,_xlfn.MAXIFS(BD!$A$3:$A$5001,BD!$B$3:$B$5001,M$114,BD!$A$3:$A$5001,"&gt;="&amp;$C$7,BD!$A$3:$A$5001,"&lt;="&amp;$B126,BD!$K$3:$K$5001,"&lt;&gt;"))))</f>
        <v/>
      </c>
      <c r="N126" s="43" t="str">
        <f>IF(OR($B126="",$A126&gt;$B$9,N$114=""),"",IF(COUNTIFS(BD!$B$3:$B$5001,N$114,BD!$A$3:$A$5001,"&gt;="&amp;$C$7,BD!$A$3:$A$5001,"&lt;="&amp;$B126,BD!$K$3:$K$5001,"&lt;&gt;")=0,"",SUMIFS(BD!$K$3:$K$5001,BD!$B$3:$B$5001,N$114,BD!$A$3:$A$5001,_xlfn.MAXIFS(BD!$A$3:$A$5001,BD!$B$3:$B$5001,N$114,BD!$A$3:$A$5001,"&gt;="&amp;$C$7,BD!$A$3:$A$5001,"&lt;="&amp;$B126,BD!$K$3:$K$5001,"&lt;&gt;"))))</f>
        <v/>
      </c>
      <c r="O126" s="43" t="str">
        <f>IF(OR($B126="",$A126&gt;$B$9,O$114=""),"",IF(COUNTIFS(BD!$B$3:$B$5001,O$114,BD!$A$3:$A$5001,"&gt;="&amp;$C$7,BD!$A$3:$A$5001,"&lt;="&amp;$B126,BD!$K$3:$K$5001,"&lt;&gt;")=0,"",SUMIFS(BD!$K$3:$K$5001,BD!$B$3:$B$5001,O$114,BD!$A$3:$A$5001,_xlfn.MAXIFS(BD!$A$3:$A$5001,BD!$B$3:$B$5001,O$114,BD!$A$3:$A$5001,"&gt;="&amp;$C$7,BD!$A$3:$A$5001,"&lt;="&amp;$B126,BD!$K$3:$K$5001,"&lt;&gt;"))))</f>
        <v/>
      </c>
      <c r="P126" s="43" t="str">
        <f>IF(OR($B126="",$A126&gt;$B$9,P$114=""),"",IF(COUNTIFS(BD!$B$3:$B$5001,P$114,BD!$A$3:$A$5001,"&gt;="&amp;$C$7,BD!$A$3:$A$5001,"&lt;="&amp;$B126,BD!$K$3:$K$5001,"&lt;&gt;")=0,"",SUMIFS(BD!$K$3:$K$5001,BD!$B$3:$B$5001,P$114,BD!$A$3:$A$5001,_xlfn.MAXIFS(BD!$A$3:$A$5001,BD!$B$3:$B$5001,P$114,BD!$A$3:$A$5001,"&gt;="&amp;$C$7,BD!$A$3:$A$5001,"&lt;="&amp;$B126,BD!$K$3:$K$5001,"&lt;&gt;"))))</f>
        <v/>
      </c>
      <c r="Q126" s="43" t="str">
        <f>IF(OR($B126="",$A126&gt;$B$9,Q$114=""),"",IF(COUNTIFS(BD!$B$3:$B$5001,Q$114,BD!$A$3:$A$5001,"&gt;="&amp;$C$7,BD!$A$3:$A$5001,"&lt;="&amp;$B126,BD!$K$3:$K$5001,"&lt;&gt;")=0,"",SUMIFS(BD!$K$3:$K$5001,BD!$B$3:$B$5001,Q$114,BD!$A$3:$A$5001,_xlfn.MAXIFS(BD!$A$3:$A$5001,BD!$B$3:$B$5001,Q$114,BD!$A$3:$A$5001,"&gt;="&amp;$C$7,BD!$A$3:$A$5001,"&lt;="&amp;$B126,BD!$K$3:$K$5001,"&lt;&gt;"))))</f>
        <v/>
      </c>
      <c r="R126" s="43" t="str">
        <f>IF(OR($B126="",$A126&gt;$B$9,R$114=""),"",IF(COUNTIFS(BD!$B$3:$B$5001,R$114,BD!$A$3:$A$5001,"&gt;="&amp;$C$7,BD!$A$3:$A$5001,"&lt;="&amp;$B126,BD!$K$3:$K$5001,"&lt;&gt;")=0,"",SUMIFS(BD!$K$3:$K$5001,BD!$B$3:$B$5001,R$114,BD!$A$3:$A$5001,_xlfn.MAXIFS(BD!$A$3:$A$5001,BD!$B$3:$B$5001,R$114,BD!$A$3:$A$5001,"&gt;="&amp;$C$7,BD!$A$3:$A$5001,"&lt;="&amp;$B126,BD!$K$3:$K$5001,"&lt;&gt;"))))</f>
        <v/>
      </c>
      <c r="S126" s="43" t="str">
        <f>IF(OR($B126="",$A126&gt;$B$9,S$114=""),"",IF(COUNTIFS(BD!$B$3:$B$5001,S$114,BD!$A$3:$A$5001,"&gt;="&amp;$C$7,BD!$A$3:$A$5001,"&lt;="&amp;$B126,BD!$K$3:$K$5001,"&lt;&gt;")=0,"",SUMIFS(BD!$K$3:$K$5001,BD!$B$3:$B$5001,S$114,BD!$A$3:$A$5001,_xlfn.MAXIFS(BD!$A$3:$A$5001,BD!$B$3:$B$5001,S$114,BD!$A$3:$A$5001,"&gt;="&amp;$C$7,BD!$A$3:$A$5001,"&lt;="&amp;$B126,BD!$K$3:$K$5001,"&lt;&gt;"))))</f>
        <v/>
      </c>
      <c r="T126" s="43" t="str">
        <f>IF(OR($B126="",$A126&gt;$B$9,T$114=""),"",IF(COUNTIFS(BD!$B$3:$B$5001,T$114,BD!$A$3:$A$5001,"&gt;="&amp;$C$7,BD!$A$3:$A$5001,"&lt;="&amp;$B126,BD!$K$3:$K$5001,"&lt;&gt;")=0,"",SUMIFS(BD!$K$3:$K$5001,BD!$B$3:$B$5001,T$114,BD!$A$3:$A$5001,_xlfn.MAXIFS(BD!$A$3:$A$5001,BD!$B$3:$B$5001,T$114,BD!$A$3:$A$5001,"&gt;="&amp;$C$7,BD!$A$3:$A$5001,"&lt;="&amp;$B126,BD!$K$3:$K$5001,"&lt;&gt;"))))</f>
        <v/>
      </c>
      <c r="U126" s="43" t="str">
        <f>IF(OR($B126="",$A126&gt;$B$9,U$114=""),"",IF(COUNTIFS(BD!$B$3:$B$5001,U$114,BD!$A$3:$A$5001,"&gt;="&amp;$C$7,BD!$A$3:$A$5001,"&lt;="&amp;$B126,BD!$K$3:$K$5001,"&lt;&gt;")=0,"",SUMIFS(BD!$K$3:$K$5001,BD!$B$3:$B$5001,U$114,BD!$A$3:$A$5001,_xlfn.MAXIFS(BD!$A$3:$A$5001,BD!$B$3:$B$5001,U$114,BD!$A$3:$A$5001,"&gt;="&amp;$C$7,BD!$A$3:$A$5001,"&lt;="&amp;$B126,BD!$K$3:$K$5001,"&lt;&gt;"))))</f>
        <v/>
      </c>
      <c r="V126" s="43" t="str">
        <f>IF(OR($B126="",$A126&gt;$B$9,V$114=""),"",IF(COUNTIFS(BD!$B$3:$B$5001,V$114,BD!$A$3:$A$5001,"&gt;="&amp;$C$7,BD!$A$3:$A$5001,"&lt;="&amp;$B126,BD!$K$3:$K$5001,"&lt;&gt;")=0,"",SUMIFS(BD!$K$3:$K$5001,BD!$B$3:$B$5001,V$114,BD!$A$3:$A$5001,_xlfn.MAXIFS(BD!$A$3:$A$5001,BD!$B$3:$B$5001,V$114,BD!$A$3:$A$5001,"&gt;="&amp;$C$7,BD!$A$3:$A$5001,"&lt;="&amp;$B126,BD!$K$3:$K$5001,"&lt;&gt;"))))</f>
        <v/>
      </c>
    </row>
    <row r="127">
      <c r="A127" s="38">
        <v>13</v>
      </c>
      <c r="B127" s="42">
        <f>$B$24</f>
        <v>46308</v>
      </c>
      <c r="C127" s="43" t="str">
        <f>IF(OR($B127="",$A127&gt;$B$9,C$114=""),"",IF(COUNTIFS(BD!$B$3:$B$5001,C$114,BD!$A$3:$A$5001,"&gt;="&amp;$C$7,BD!$A$3:$A$5001,"&lt;="&amp;$B127,BD!$K$3:$K$5001,"&lt;&gt;")=0,"",SUMIFS(BD!$K$3:$K$5001,BD!$B$3:$B$5001,C$114,BD!$A$3:$A$5001,_xlfn.MAXIFS(BD!$A$3:$A$5001,BD!$B$3:$B$5001,C$114,BD!$A$3:$A$5001,"&gt;="&amp;$C$7,BD!$A$3:$A$5001,"&lt;="&amp;$B127,BD!$K$3:$K$5001,"&lt;&gt;"))))</f>
        <v/>
      </c>
      <c r="D127" s="43" t="str">
        <f>IF(OR($B127="",$A127&gt;$B$9,D$114=""),"",IF(COUNTIFS(BD!$B$3:$B$5001,D$114,BD!$A$3:$A$5001,"&gt;="&amp;$C$7,BD!$A$3:$A$5001,"&lt;="&amp;$B127,BD!$K$3:$K$5001,"&lt;&gt;")=0,"",SUMIFS(BD!$K$3:$K$5001,BD!$B$3:$B$5001,D$114,BD!$A$3:$A$5001,_xlfn.MAXIFS(BD!$A$3:$A$5001,BD!$B$3:$B$5001,D$114,BD!$A$3:$A$5001,"&gt;="&amp;$C$7,BD!$A$3:$A$5001,"&lt;="&amp;$B127,BD!$K$3:$K$5001,"&lt;&gt;"))))</f>
        <v/>
      </c>
      <c r="E127" s="43" t="str">
        <f>IF(OR($B127="",$A127&gt;$B$9,E$114=""),"",IF(COUNTIFS(BD!$B$3:$B$5001,E$114,BD!$A$3:$A$5001,"&gt;="&amp;$C$7,BD!$A$3:$A$5001,"&lt;="&amp;$B127,BD!$K$3:$K$5001,"&lt;&gt;")=0,"",SUMIFS(BD!$K$3:$K$5001,BD!$B$3:$B$5001,E$114,BD!$A$3:$A$5001,_xlfn.MAXIFS(BD!$A$3:$A$5001,BD!$B$3:$B$5001,E$114,BD!$A$3:$A$5001,"&gt;="&amp;$C$7,BD!$A$3:$A$5001,"&lt;="&amp;$B127,BD!$K$3:$K$5001,"&lt;&gt;"))))</f>
        <v/>
      </c>
      <c r="F127" s="43" t="str">
        <f>IF(OR($B127="",$A127&gt;$B$9,F$114=""),"",IF(COUNTIFS(BD!$B$3:$B$5001,F$114,BD!$A$3:$A$5001,"&gt;="&amp;$C$7,BD!$A$3:$A$5001,"&lt;="&amp;$B127,BD!$K$3:$K$5001,"&lt;&gt;")=0,"",SUMIFS(BD!$K$3:$K$5001,BD!$B$3:$B$5001,F$114,BD!$A$3:$A$5001,_xlfn.MAXIFS(BD!$A$3:$A$5001,BD!$B$3:$B$5001,F$114,BD!$A$3:$A$5001,"&gt;="&amp;$C$7,BD!$A$3:$A$5001,"&lt;="&amp;$B127,BD!$K$3:$K$5001,"&lt;&gt;"))))</f>
        <v/>
      </c>
      <c r="G127" s="43" t="str">
        <f>IF(OR($B127="",$A127&gt;$B$9,G$114=""),"",IF(COUNTIFS(BD!$B$3:$B$5001,G$114,BD!$A$3:$A$5001,"&gt;="&amp;$C$7,BD!$A$3:$A$5001,"&lt;="&amp;$B127,BD!$K$3:$K$5001,"&lt;&gt;")=0,"",SUMIFS(BD!$K$3:$K$5001,BD!$B$3:$B$5001,G$114,BD!$A$3:$A$5001,_xlfn.MAXIFS(BD!$A$3:$A$5001,BD!$B$3:$B$5001,G$114,BD!$A$3:$A$5001,"&gt;="&amp;$C$7,BD!$A$3:$A$5001,"&lt;="&amp;$B127,BD!$K$3:$K$5001,"&lt;&gt;"))))</f>
        <v/>
      </c>
      <c r="H127" s="43" t="str">
        <f>IF(OR($B127="",$A127&gt;$B$9,H$114=""),"",IF(COUNTIFS(BD!$B$3:$B$5001,H$114,BD!$A$3:$A$5001,"&gt;="&amp;$C$7,BD!$A$3:$A$5001,"&lt;="&amp;$B127,BD!$K$3:$K$5001,"&lt;&gt;")=0,"",SUMIFS(BD!$K$3:$K$5001,BD!$B$3:$B$5001,H$114,BD!$A$3:$A$5001,_xlfn.MAXIFS(BD!$A$3:$A$5001,BD!$B$3:$B$5001,H$114,BD!$A$3:$A$5001,"&gt;="&amp;$C$7,BD!$A$3:$A$5001,"&lt;="&amp;$B127,BD!$K$3:$K$5001,"&lt;&gt;"))))</f>
        <v/>
      </c>
      <c r="I127" s="43" t="str">
        <f>IF(OR($B127="",$A127&gt;$B$9,I$114=""),"",IF(COUNTIFS(BD!$B$3:$B$5001,I$114,BD!$A$3:$A$5001,"&gt;="&amp;$C$7,BD!$A$3:$A$5001,"&lt;="&amp;$B127,BD!$K$3:$K$5001,"&lt;&gt;")=0,"",SUMIFS(BD!$K$3:$K$5001,BD!$B$3:$B$5001,I$114,BD!$A$3:$A$5001,_xlfn.MAXIFS(BD!$A$3:$A$5001,BD!$B$3:$B$5001,I$114,BD!$A$3:$A$5001,"&gt;="&amp;$C$7,BD!$A$3:$A$5001,"&lt;="&amp;$B127,BD!$K$3:$K$5001,"&lt;&gt;"))))</f>
        <v/>
      </c>
      <c r="J127" s="43" t="str">
        <f>IF(OR($B127="",$A127&gt;$B$9,J$114=""),"",IF(COUNTIFS(BD!$B$3:$B$5001,J$114,BD!$A$3:$A$5001,"&gt;="&amp;$C$7,BD!$A$3:$A$5001,"&lt;="&amp;$B127,BD!$K$3:$K$5001,"&lt;&gt;")=0,"",SUMIFS(BD!$K$3:$K$5001,BD!$B$3:$B$5001,J$114,BD!$A$3:$A$5001,_xlfn.MAXIFS(BD!$A$3:$A$5001,BD!$B$3:$B$5001,J$114,BD!$A$3:$A$5001,"&gt;="&amp;$C$7,BD!$A$3:$A$5001,"&lt;="&amp;$B127,BD!$K$3:$K$5001,"&lt;&gt;"))))</f>
        <v/>
      </c>
      <c r="K127" s="43" t="str">
        <f>IF(OR($B127="",$A127&gt;$B$9,K$114=""),"",IF(COUNTIFS(BD!$B$3:$B$5001,K$114,BD!$A$3:$A$5001,"&gt;="&amp;$C$7,BD!$A$3:$A$5001,"&lt;="&amp;$B127,BD!$K$3:$K$5001,"&lt;&gt;")=0,"",SUMIFS(BD!$K$3:$K$5001,BD!$B$3:$B$5001,K$114,BD!$A$3:$A$5001,_xlfn.MAXIFS(BD!$A$3:$A$5001,BD!$B$3:$B$5001,K$114,BD!$A$3:$A$5001,"&gt;="&amp;$C$7,BD!$A$3:$A$5001,"&lt;="&amp;$B127,BD!$K$3:$K$5001,"&lt;&gt;"))))</f>
        <v/>
      </c>
      <c r="L127" s="43" t="str">
        <f>IF(OR($B127="",$A127&gt;$B$9,L$114=""),"",IF(COUNTIFS(BD!$B$3:$B$5001,L$114,BD!$A$3:$A$5001,"&gt;="&amp;$C$7,BD!$A$3:$A$5001,"&lt;="&amp;$B127,BD!$K$3:$K$5001,"&lt;&gt;")=0,"",SUMIFS(BD!$K$3:$K$5001,BD!$B$3:$B$5001,L$114,BD!$A$3:$A$5001,_xlfn.MAXIFS(BD!$A$3:$A$5001,BD!$B$3:$B$5001,L$114,BD!$A$3:$A$5001,"&gt;="&amp;$C$7,BD!$A$3:$A$5001,"&lt;="&amp;$B127,BD!$K$3:$K$5001,"&lt;&gt;"))))</f>
        <v/>
      </c>
      <c r="M127" s="43" t="str">
        <f>IF(OR($B127="",$A127&gt;$B$9,M$114=""),"",IF(COUNTIFS(BD!$B$3:$B$5001,M$114,BD!$A$3:$A$5001,"&gt;="&amp;$C$7,BD!$A$3:$A$5001,"&lt;="&amp;$B127,BD!$K$3:$K$5001,"&lt;&gt;")=0,"",SUMIFS(BD!$K$3:$K$5001,BD!$B$3:$B$5001,M$114,BD!$A$3:$A$5001,_xlfn.MAXIFS(BD!$A$3:$A$5001,BD!$B$3:$B$5001,M$114,BD!$A$3:$A$5001,"&gt;="&amp;$C$7,BD!$A$3:$A$5001,"&lt;="&amp;$B127,BD!$K$3:$K$5001,"&lt;&gt;"))))</f>
        <v/>
      </c>
      <c r="N127" s="43" t="str">
        <f>IF(OR($B127="",$A127&gt;$B$9,N$114=""),"",IF(COUNTIFS(BD!$B$3:$B$5001,N$114,BD!$A$3:$A$5001,"&gt;="&amp;$C$7,BD!$A$3:$A$5001,"&lt;="&amp;$B127,BD!$K$3:$K$5001,"&lt;&gt;")=0,"",SUMIFS(BD!$K$3:$K$5001,BD!$B$3:$B$5001,N$114,BD!$A$3:$A$5001,_xlfn.MAXIFS(BD!$A$3:$A$5001,BD!$B$3:$B$5001,N$114,BD!$A$3:$A$5001,"&gt;="&amp;$C$7,BD!$A$3:$A$5001,"&lt;="&amp;$B127,BD!$K$3:$K$5001,"&lt;&gt;"))))</f>
        <v/>
      </c>
      <c r="O127" s="43" t="str">
        <f>IF(OR($B127="",$A127&gt;$B$9,O$114=""),"",IF(COUNTIFS(BD!$B$3:$B$5001,O$114,BD!$A$3:$A$5001,"&gt;="&amp;$C$7,BD!$A$3:$A$5001,"&lt;="&amp;$B127,BD!$K$3:$K$5001,"&lt;&gt;")=0,"",SUMIFS(BD!$K$3:$K$5001,BD!$B$3:$B$5001,O$114,BD!$A$3:$A$5001,_xlfn.MAXIFS(BD!$A$3:$A$5001,BD!$B$3:$B$5001,O$114,BD!$A$3:$A$5001,"&gt;="&amp;$C$7,BD!$A$3:$A$5001,"&lt;="&amp;$B127,BD!$K$3:$K$5001,"&lt;&gt;"))))</f>
        <v/>
      </c>
      <c r="P127" s="43" t="str">
        <f>IF(OR($B127="",$A127&gt;$B$9,P$114=""),"",IF(COUNTIFS(BD!$B$3:$B$5001,P$114,BD!$A$3:$A$5001,"&gt;="&amp;$C$7,BD!$A$3:$A$5001,"&lt;="&amp;$B127,BD!$K$3:$K$5001,"&lt;&gt;")=0,"",SUMIFS(BD!$K$3:$K$5001,BD!$B$3:$B$5001,P$114,BD!$A$3:$A$5001,_xlfn.MAXIFS(BD!$A$3:$A$5001,BD!$B$3:$B$5001,P$114,BD!$A$3:$A$5001,"&gt;="&amp;$C$7,BD!$A$3:$A$5001,"&lt;="&amp;$B127,BD!$K$3:$K$5001,"&lt;&gt;"))))</f>
        <v/>
      </c>
      <c r="Q127" s="43" t="str">
        <f>IF(OR($B127="",$A127&gt;$B$9,Q$114=""),"",IF(COUNTIFS(BD!$B$3:$B$5001,Q$114,BD!$A$3:$A$5001,"&gt;="&amp;$C$7,BD!$A$3:$A$5001,"&lt;="&amp;$B127,BD!$K$3:$K$5001,"&lt;&gt;")=0,"",SUMIFS(BD!$K$3:$K$5001,BD!$B$3:$B$5001,Q$114,BD!$A$3:$A$5001,_xlfn.MAXIFS(BD!$A$3:$A$5001,BD!$B$3:$B$5001,Q$114,BD!$A$3:$A$5001,"&gt;="&amp;$C$7,BD!$A$3:$A$5001,"&lt;="&amp;$B127,BD!$K$3:$K$5001,"&lt;&gt;"))))</f>
        <v/>
      </c>
      <c r="R127" s="43" t="str">
        <f>IF(OR($B127="",$A127&gt;$B$9,R$114=""),"",IF(COUNTIFS(BD!$B$3:$B$5001,R$114,BD!$A$3:$A$5001,"&gt;="&amp;$C$7,BD!$A$3:$A$5001,"&lt;="&amp;$B127,BD!$K$3:$K$5001,"&lt;&gt;")=0,"",SUMIFS(BD!$K$3:$K$5001,BD!$B$3:$B$5001,R$114,BD!$A$3:$A$5001,_xlfn.MAXIFS(BD!$A$3:$A$5001,BD!$B$3:$B$5001,R$114,BD!$A$3:$A$5001,"&gt;="&amp;$C$7,BD!$A$3:$A$5001,"&lt;="&amp;$B127,BD!$K$3:$K$5001,"&lt;&gt;"))))</f>
        <v/>
      </c>
      <c r="S127" s="43" t="str">
        <f>IF(OR($B127="",$A127&gt;$B$9,S$114=""),"",IF(COUNTIFS(BD!$B$3:$B$5001,S$114,BD!$A$3:$A$5001,"&gt;="&amp;$C$7,BD!$A$3:$A$5001,"&lt;="&amp;$B127,BD!$K$3:$K$5001,"&lt;&gt;")=0,"",SUMIFS(BD!$K$3:$K$5001,BD!$B$3:$B$5001,S$114,BD!$A$3:$A$5001,_xlfn.MAXIFS(BD!$A$3:$A$5001,BD!$B$3:$B$5001,S$114,BD!$A$3:$A$5001,"&gt;="&amp;$C$7,BD!$A$3:$A$5001,"&lt;="&amp;$B127,BD!$K$3:$K$5001,"&lt;&gt;"))))</f>
        <v/>
      </c>
      <c r="T127" s="43" t="str">
        <f>IF(OR($B127="",$A127&gt;$B$9,T$114=""),"",IF(COUNTIFS(BD!$B$3:$B$5001,T$114,BD!$A$3:$A$5001,"&gt;="&amp;$C$7,BD!$A$3:$A$5001,"&lt;="&amp;$B127,BD!$K$3:$K$5001,"&lt;&gt;")=0,"",SUMIFS(BD!$K$3:$K$5001,BD!$B$3:$B$5001,T$114,BD!$A$3:$A$5001,_xlfn.MAXIFS(BD!$A$3:$A$5001,BD!$B$3:$B$5001,T$114,BD!$A$3:$A$5001,"&gt;="&amp;$C$7,BD!$A$3:$A$5001,"&lt;="&amp;$B127,BD!$K$3:$K$5001,"&lt;&gt;"))))</f>
        <v/>
      </c>
      <c r="U127" s="43" t="str">
        <f>IF(OR($B127="",$A127&gt;$B$9,U$114=""),"",IF(COUNTIFS(BD!$B$3:$B$5001,U$114,BD!$A$3:$A$5001,"&gt;="&amp;$C$7,BD!$A$3:$A$5001,"&lt;="&amp;$B127,BD!$K$3:$K$5001,"&lt;&gt;")=0,"",SUMIFS(BD!$K$3:$K$5001,BD!$B$3:$B$5001,U$114,BD!$A$3:$A$5001,_xlfn.MAXIFS(BD!$A$3:$A$5001,BD!$B$3:$B$5001,U$114,BD!$A$3:$A$5001,"&gt;="&amp;$C$7,BD!$A$3:$A$5001,"&lt;="&amp;$B127,BD!$K$3:$K$5001,"&lt;&gt;"))))</f>
        <v/>
      </c>
      <c r="V127" s="43" t="str">
        <f>IF(OR($B127="",$A127&gt;$B$9,V$114=""),"",IF(COUNTIFS(BD!$B$3:$B$5001,V$114,BD!$A$3:$A$5001,"&gt;="&amp;$C$7,BD!$A$3:$A$5001,"&lt;="&amp;$B127,BD!$K$3:$K$5001,"&lt;&gt;")=0,"",SUMIFS(BD!$K$3:$K$5001,BD!$B$3:$B$5001,V$114,BD!$A$3:$A$5001,_xlfn.MAXIFS(BD!$A$3:$A$5001,BD!$B$3:$B$5001,V$114,BD!$A$3:$A$5001,"&gt;="&amp;$C$7,BD!$A$3:$A$5001,"&lt;="&amp;$B127,BD!$K$3:$K$5001,"&lt;&gt;"))))</f>
        <v/>
      </c>
    </row>
    <row r="128">
      <c r="A128" s="38">
        <v>14</v>
      </c>
      <c r="B128" s="42">
        <f>$B$25</f>
        <v>46309</v>
      </c>
      <c r="C128" s="43" t="str">
        <f>IF(OR($B128="",$A128&gt;$B$9,C$114=""),"",IF(COUNTIFS(BD!$B$3:$B$5001,C$114,BD!$A$3:$A$5001,"&gt;="&amp;$C$7,BD!$A$3:$A$5001,"&lt;="&amp;$B128,BD!$K$3:$K$5001,"&lt;&gt;")=0,"",SUMIFS(BD!$K$3:$K$5001,BD!$B$3:$B$5001,C$114,BD!$A$3:$A$5001,_xlfn.MAXIFS(BD!$A$3:$A$5001,BD!$B$3:$B$5001,C$114,BD!$A$3:$A$5001,"&gt;="&amp;$C$7,BD!$A$3:$A$5001,"&lt;="&amp;$B128,BD!$K$3:$K$5001,"&lt;&gt;"))))</f>
        <v/>
      </c>
      <c r="D128" s="43" t="str">
        <f>IF(OR($B128="",$A128&gt;$B$9,D$114=""),"",IF(COUNTIFS(BD!$B$3:$B$5001,D$114,BD!$A$3:$A$5001,"&gt;="&amp;$C$7,BD!$A$3:$A$5001,"&lt;="&amp;$B128,BD!$K$3:$K$5001,"&lt;&gt;")=0,"",SUMIFS(BD!$K$3:$K$5001,BD!$B$3:$B$5001,D$114,BD!$A$3:$A$5001,_xlfn.MAXIFS(BD!$A$3:$A$5001,BD!$B$3:$B$5001,D$114,BD!$A$3:$A$5001,"&gt;="&amp;$C$7,BD!$A$3:$A$5001,"&lt;="&amp;$B128,BD!$K$3:$K$5001,"&lt;&gt;"))))</f>
        <v/>
      </c>
      <c r="E128" s="43" t="str">
        <f>IF(OR($B128="",$A128&gt;$B$9,E$114=""),"",IF(COUNTIFS(BD!$B$3:$B$5001,E$114,BD!$A$3:$A$5001,"&gt;="&amp;$C$7,BD!$A$3:$A$5001,"&lt;="&amp;$B128,BD!$K$3:$K$5001,"&lt;&gt;")=0,"",SUMIFS(BD!$K$3:$K$5001,BD!$B$3:$B$5001,E$114,BD!$A$3:$A$5001,_xlfn.MAXIFS(BD!$A$3:$A$5001,BD!$B$3:$B$5001,E$114,BD!$A$3:$A$5001,"&gt;="&amp;$C$7,BD!$A$3:$A$5001,"&lt;="&amp;$B128,BD!$K$3:$K$5001,"&lt;&gt;"))))</f>
        <v/>
      </c>
      <c r="F128" s="43" t="str">
        <f>IF(OR($B128="",$A128&gt;$B$9,F$114=""),"",IF(COUNTIFS(BD!$B$3:$B$5001,F$114,BD!$A$3:$A$5001,"&gt;="&amp;$C$7,BD!$A$3:$A$5001,"&lt;="&amp;$B128,BD!$K$3:$K$5001,"&lt;&gt;")=0,"",SUMIFS(BD!$K$3:$K$5001,BD!$B$3:$B$5001,F$114,BD!$A$3:$A$5001,_xlfn.MAXIFS(BD!$A$3:$A$5001,BD!$B$3:$B$5001,F$114,BD!$A$3:$A$5001,"&gt;="&amp;$C$7,BD!$A$3:$A$5001,"&lt;="&amp;$B128,BD!$K$3:$K$5001,"&lt;&gt;"))))</f>
        <v/>
      </c>
      <c r="G128" s="43" t="str">
        <f>IF(OR($B128="",$A128&gt;$B$9,G$114=""),"",IF(COUNTIFS(BD!$B$3:$B$5001,G$114,BD!$A$3:$A$5001,"&gt;="&amp;$C$7,BD!$A$3:$A$5001,"&lt;="&amp;$B128,BD!$K$3:$K$5001,"&lt;&gt;")=0,"",SUMIFS(BD!$K$3:$K$5001,BD!$B$3:$B$5001,G$114,BD!$A$3:$A$5001,_xlfn.MAXIFS(BD!$A$3:$A$5001,BD!$B$3:$B$5001,G$114,BD!$A$3:$A$5001,"&gt;="&amp;$C$7,BD!$A$3:$A$5001,"&lt;="&amp;$B128,BD!$K$3:$K$5001,"&lt;&gt;"))))</f>
        <v/>
      </c>
      <c r="H128" s="43" t="str">
        <f>IF(OR($B128="",$A128&gt;$B$9,H$114=""),"",IF(COUNTIFS(BD!$B$3:$B$5001,H$114,BD!$A$3:$A$5001,"&gt;="&amp;$C$7,BD!$A$3:$A$5001,"&lt;="&amp;$B128,BD!$K$3:$K$5001,"&lt;&gt;")=0,"",SUMIFS(BD!$K$3:$K$5001,BD!$B$3:$B$5001,H$114,BD!$A$3:$A$5001,_xlfn.MAXIFS(BD!$A$3:$A$5001,BD!$B$3:$B$5001,H$114,BD!$A$3:$A$5001,"&gt;="&amp;$C$7,BD!$A$3:$A$5001,"&lt;="&amp;$B128,BD!$K$3:$K$5001,"&lt;&gt;"))))</f>
        <v/>
      </c>
      <c r="I128" s="43" t="str">
        <f>IF(OR($B128="",$A128&gt;$B$9,I$114=""),"",IF(COUNTIFS(BD!$B$3:$B$5001,I$114,BD!$A$3:$A$5001,"&gt;="&amp;$C$7,BD!$A$3:$A$5001,"&lt;="&amp;$B128,BD!$K$3:$K$5001,"&lt;&gt;")=0,"",SUMIFS(BD!$K$3:$K$5001,BD!$B$3:$B$5001,I$114,BD!$A$3:$A$5001,_xlfn.MAXIFS(BD!$A$3:$A$5001,BD!$B$3:$B$5001,I$114,BD!$A$3:$A$5001,"&gt;="&amp;$C$7,BD!$A$3:$A$5001,"&lt;="&amp;$B128,BD!$K$3:$K$5001,"&lt;&gt;"))))</f>
        <v/>
      </c>
      <c r="J128" s="43" t="str">
        <f>IF(OR($B128="",$A128&gt;$B$9,J$114=""),"",IF(COUNTIFS(BD!$B$3:$B$5001,J$114,BD!$A$3:$A$5001,"&gt;="&amp;$C$7,BD!$A$3:$A$5001,"&lt;="&amp;$B128,BD!$K$3:$K$5001,"&lt;&gt;")=0,"",SUMIFS(BD!$K$3:$K$5001,BD!$B$3:$B$5001,J$114,BD!$A$3:$A$5001,_xlfn.MAXIFS(BD!$A$3:$A$5001,BD!$B$3:$B$5001,J$114,BD!$A$3:$A$5001,"&gt;="&amp;$C$7,BD!$A$3:$A$5001,"&lt;="&amp;$B128,BD!$K$3:$K$5001,"&lt;&gt;"))))</f>
        <v/>
      </c>
      <c r="K128" s="43" t="str">
        <f>IF(OR($B128="",$A128&gt;$B$9,K$114=""),"",IF(COUNTIFS(BD!$B$3:$B$5001,K$114,BD!$A$3:$A$5001,"&gt;="&amp;$C$7,BD!$A$3:$A$5001,"&lt;="&amp;$B128,BD!$K$3:$K$5001,"&lt;&gt;")=0,"",SUMIFS(BD!$K$3:$K$5001,BD!$B$3:$B$5001,K$114,BD!$A$3:$A$5001,_xlfn.MAXIFS(BD!$A$3:$A$5001,BD!$B$3:$B$5001,K$114,BD!$A$3:$A$5001,"&gt;="&amp;$C$7,BD!$A$3:$A$5001,"&lt;="&amp;$B128,BD!$K$3:$K$5001,"&lt;&gt;"))))</f>
        <v/>
      </c>
      <c r="L128" s="43" t="str">
        <f>IF(OR($B128="",$A128&gt;$B$9,L$114=""),"",IF(COUNTIFS(BD!$B$3:$B$5001,L$114,BD!$A$3:$A$5001,"&gt;="&amp;$C$7,BD!$A$3:$A$5001,"&lt;="&amp;$B128,BD!$K$3:$K$5001,"&lt;&gt;")=0,"",SUMIFS(BD!$K$3:$K$5001,BD!$B$3:$B$5001,L$114,BD!$A$3:$A$5001,_xlfn.MAXIFS(BD!$A$3:$A$5001,BD!$B$3:$B$5001,L$114,BD!$A$3:$A$5001,"&gt;="&amp;$C$7,BD!$A$3:$A$5001,"&lt;="&amp;$B128,BD!$K$3:$K$5001,"&lt;&gt;"))))</f>
        <v/>
      </c>
      <c r="M128" s="43" t="str">
        <f>IF(OR($B128="",$A128&gt;$B$9,M$114=""),"",IF(COUNTIFS(BD!$B$3:$B$5001,M$114,BD!$A$3:$A$5001,"&gt;="&amp;$C$7,BD!$A$3:$A$5001,"&lt;="&amp;$B128,BD!$K$3:$K$5001,"&lt;&gt;")=0,"",SUMIFS(BD!$K$3:$K$5001,BD!$B$3:$B$5001,M$114,BD!$A$3:$A$5001,_xlfn.MAXIFS(BD!$A$3:$A$5001,BD!$B$3:$B$5001,M$114,BD!$A$3:$A$5001,"&gt;="&amp;$C$7,BD!$A$3:$A$5001,"&lt;="&amp;$B128,BD!$K$3:$K$5001,"&lt;&gt;"))))</f>
        <v/>
      </c>
      <c r="N128" s="43" t="str">
        <f>IF(OR($B128="",$A128&gt;$B$9,N$114=""),"",IF(COUNTIFS(BD!$B$3:$B$5001,N$114,BD!$A$3:$A$5001,"&gt;="&amp;$C$7,BD!$A$3:$A$5001,"&lt;="&amp;$B128,BD!$K$3:$K$5001,"&lt;&gt;")=0,"",SUMIFS(BD!$K$3:$K$5001,BD!$B$3:$B$5001,N$114,BD!$A$3:$A$5001,_xlfn.MAXIFS(BD!$A$3:$A$5001,BD!$B$3:$B$5001,N$114,BD!$A$3:$A$5001,"&gt;="&amp;$C$7,BD!$A$3:$A$5001,"&lt;="&amp;$B128,BD!$K$3:$K$5001,"&lt;&gt;"))))</f>
        <v/>
      </c>
      <c r="O128" s="43" t="str">
        <f>IF(OR($B128="",$A128&gt;$B$9,O$114=""),"",IF(COUNTIFS(BD!$B$3:$B$5001,O$114,BD!$A$3:$A$5001,"&gt;="&amp;$C$7,BD!$A$3:$A$5001,"&lt;="&amp;$B128,BD!$K$3:$K$5001,"&lt;&gt;")=0,"",SUMIFS(BD!$K$3:$K$5001,BD!$B$3:$B$5001,O$114,BD!$A$3:$A$5001,_xlfn.MAXIFS(BD!$A$3:$A$5001,BD!$B$3:$B$5001,O$114,BD!$A$3:$A$5001,"&gt;="&amp;$C$7,BD!$A$3:$A$5001,"&lt;="&amp;$B128,BD!$K$3:$K$5001,"&lt;&gt;"))))</f>
        <v/>
      </c>
      <c r="P128" s="43" t="str">
        <f>IF(OR($B128="",$A128&gt;$B$9,P$114=""),"",IF(COUNTIFS(BD!$B$3:$B$5001,P$114,BD!$A$3:$A$5001,"&gt;="&amp;$C$7,BD!$A$3:$A$5001,"&lt;="&amp;$B128,BD!$K$3:$K$5001,"&lt;&gt;")=0,"",SUMIFS(BD!$K$3:$K$5001,BD!$B$3:$B$5001,P$114,BD!$A$3:$A$5001,_xlfn.MAXIFS(BD!$A$3:$A$5001,BD!$B$3:$B$5001,P$114,BD!$A$3:$A$5001,"&gt;="&amp;$C$7,BD!$A$3:$A$5001,"&lt;="&amp;$B128,BD!$K$3:$K$5001,"&lt;&gt;"))))</f>
        <v/>
      </c>
      <c r="Q128" s="43" t="str">
        <f>IF(OR($B128="",$A128&gt;$B$9,Q$114=""),"",IF(COUNTIFS(BD!$B$3:$B$5001,Q$114,BD!$A$3:$A$5001,"&gt;="&amp;$C$7,BD!$A$3:$A$5001,"&lt;="&amp;$B128,BD!$K$3:$K$5001,"&lt;&gt;")=0,"",SUMIFS(BD!$K$3:$K$5001,BD!$B$3:$B$5001,Q$114,BD!$A$3:$A$5001,_xlfn.MAXIFS(BD!$A$3:$A$5001,BD!$B$3:$B$5001,Q$114,BD!$A$3:$A$5001,"&gt;="&amp;$C$7,BD!$A$3:$A$5001,"&lt;="&amp;$B128,BD!$K$3:$K$5001,"&lt;&gt;"))))</f>
        <v/>
      </c>
      <c r="R128" s="43" t="str">
        <f>IF(OR($B128="",$A128&gt;$B$9,R$114=""),"",IF(COUNTIFS(BD!$B$3:$B$5001,R$114,BD!$A$3:$A$5001,"&gt;="&amp;$C$7,BD!$A$3:$A$5001,"&lt;="&amp;$B128,BD!$K$3:$K$5001,"&lt;&gt;")=0,"",SUMIFS(BD!$K$3:$K$5001,BD!$B$3:$B$5001,R$114,BD!$A$3:$A$5001,_xlfn.MAXIFS(BD!$A$3:$A$5001,BD!$B$3:$B$5001,R$114,BD!$A$3:$A$5001,"&gt;="&amp;$C$7,BD!$A$3:$A$5001,"&lt;="&amp;$B128,BD!$K$3:$K$5001,"&lt;&gt;"))))</f>
        <v/>
      </c>
      <c r="S128" s="43" t="str">
        <f>IF(OR($B128="",$A128&gt;$B$9,S$114=""),"",IF(COUNTIFS(BD!$B$3:$B$5001,S$114,BD!$A$3:$A$5001,"&gt;="&amp;$C$7,BD!$A$3:$A$5001,"&lt;="&amp;$B128,BD!$K$3:$K$5001,"&lt;&gt;")=0,"",SUMIFS(BD!$K$3:$K$5001,BD!$B$3:$B$5001,S$114,BD!$A$3:$A$5001,_xlfn.MAXIFS(BD!$A$3:$A$5001,BD!$B$3:$B$5001,S$114,BD!$A$3:$A$5001,"&gt;="&amp;$C$7,BD!$A$3:$A$5001,"&lt;="&amp;$B128,BD!$K$3:$K$5001,"&lt;&gt;"))))</f>
        <v/>
      </c>
      <c r="T128" s="43" t="str">
        <f>IF(OR($B128="",$A128&gt;$B$9,T$114=""),"",IF(COUNTIFS(BD!$B$3:$B$5001,T$114,BD!$A$3:$A$5001,"&gt;="&amp;$C$7,BD!$A$3:$A$5001,"&lt;="&amp;$B128,BD!$K$3:$K$5001,"&lt;&gt;")=0,"",SUMIFS(BD!$K$3:$K$5001,BD!$B$3:$B$5001,T$114,BD!$A$3:$A$5001,_xlfn.MAXIFS(BD!$A$3:$A$5001,BD!$B$3:$B$5001,T$114,BD!$A$3:$A$5001,"&gt;="&amp;$C$7,BD!$A$3:$A$5001,"&lt;="&amp;$B128,BD!$K$3:$K$5001,"&lt;&gt;"))))</f>
        <v/>
      </c>
      <c r="U128" s="43" t="str">
        <f>IF(OR($B128="",$A128&gt;$B$9,U$114=""),"",IF(COUNTIFS(BD!$B$3:$B$5001,U$114,BD!$A$3:$A$5001,"&gt;="&amp;$C$7,BD!$A$3:$A$5001,"&lt;="&amp;$B128,BD!$K$3:$K$5001,"&lt;&gt;")=0,"",SUMIFS(BD!$K$3:$K$5001,BD!$B$3:$B$5001,U$114,BD!$A$3:$A$5001,_xlfn.MAXIFS(BD!$A$3:$A$5001,BD!$B$3:$B$5001,U$114,BD!$A$3:$A$5001,"&gt;="&amp;$C$7,BD!$A$3:$A$5001,"&lt;="&amp;$B128,BD!$K$3:$K$5001,"&lt;&gt;"))))</f>
        <v/>
      </c>
      <c r="V128" s="43" t="str">
        <f>IF(OR($B128="",$A128&gt;$B$9,V$114=""),"",IF(COUNTIFS(BD!$B$3:$B$5001,V$114,BD!$A$3:$A$5001,"&gt;="&amp;$C$7,BD!$A$3:$A$5001,"&lt;="&amp;$B128,BD!$K$3:$K$5001,"&lt;&gt;")=0,"",SUMIFS(BD!$K$3:$K$5001,BD!$B$3:$B$5001,V$114,BD!$A$3:$A$5001,_xlfn.MAXIFS(BD!$A$3:$A$5001,BD!$B$3:$B$5001,V$114,BD!$A$3:$A$5001,"&gt;="&amp;$C$7,BD!$A$3:$A$5001,"&lt;="&amp;$B128,BD!$K$3:$K$5001,"&lt;&gt;"))))</f>
        <v/>
      </c>
    </row>
    <row r="129">
      <c r="A129" s="38">
        <v>15</v>
      </c>
      <c r="B129" s="42">
        <f>$B$26</f>
        <v>46310</v>
      </c>
      <c r="C129" s="43" t="str">
        <f>IF(OR($B129="",$A129&gt;$B$9,C$114=""),"",IF(COUNTIFS(BD!$B$3:$B$5001,C$114,BD!$A$3:$A$5001,"&gt;="&amp;$C$7,BD!$A$3:$A$5001,"&lt;="&amp;$B129,BD!$K$3:$K$5001,"&lt;&gt;")=0,"",SUMIFS(BD!$K$3:$K$5001,BD!$B$3:$B$5001,C$114,BD!$A$3:$A$5001,_xlfn.MAXIFS(BD!$A$3:$A$5001,BD!$B$3:$B$5001,C$114,BD!$A$3:$A$5001,"&gt;="&amp;$C$7,BD!$A$3:$A$5001,"&lt;="&amp;$B129,BD!$K$3:$K$5001,"&lt;&gt;"))))</f>
        <v/>
      </c>
      <c r="D129" s="43" t="str">
        <f>IF(OR($B129="",$A129&gt;$B$9,D$114=""),"",IF(COUNTIFS(BD!$B$3:$B$5001,D$114,BD!$A$3:$A$5001,"&gt;="&amp;$C$7,BD!$A$3:$A$5001,"&lt;="&amp;$B129,BD!$K$3:$K$5001,"&lt;&gt;")=0,"",SUMIFS(BD!$K$3:$K$5001,BD!$B$3:$B$5001,D$114,BD!$A$3:$A$5001,_xlfn.MAXIFS(BD!$A$3:$A$5001,BD!$B$3:$B$5001,D$114,BD!$A$3:$A$5001,"&gt;="&amp;$C$7,BD!$A$3:$A$5001,"&lt;="&amp;$B129,BD!$K$3:$K$5001,"&lt;&gt;"))))</f>
        <v/>
      </c>
      <c r="E129" s="43" t="str">
        <f>IF(OR($B129="",$A129&gt;$B$9,E$114=""),"",IF(COUNTIFS(BD!$B$3:$B$5001,E$114,BD!$A$3:$A$5001,"&gt;="&amp;$C$7,BD!$A$3:$A$5001,"&lt;="&amp;$B129,BD!$K$3:$K$5001,"&lt;&gt;")=0,"",SUMIFS(BD!$K$3:$K$5001,BD!$B$3:$B$5001,E$114,BD!$A$3:$A$5001,_xlfn.MAXIFS(BD!$A$3:$A$5001,BD!$B$3:$B$5001,E$114,BD!$A$3:$A$5001,"&gt;="&amp;$C$7,BD!$A$3:$A$5001,"&lt;="&amp;$B129,BD!$K$3:$K$5001,"&lt;&gt;"))))</f>
        <v/>
      </c>
      <c r="F129" s="43" t="str">
        <f>IF(OR($B129="",$A129&gt;$B$9,F$114=""),"",IF(COUNTIFS(BD!$B$3:$B$5001,F$114,BD!$A$3:$A$5001,"&gt;="&amp;$C$7,BD!$A$3:$A$5001,"&lt;="&amp;$B129,BD!$K$3:$K$5001,"&lt;&gt;")=0,"",SUMIFS(BD!$K$3:$K$5001,BD!$B$3:$B$5001,F$114,BD!$A$3:$A$5001,_xlfn.MAXIFS(BD!$A$3:$A$5001,BD!$B$3:$B$5001,F$114,BD!$A$3:$A$5001,"&gt;="&amp;$C$7,BD!$A$3:$A$5001,"&lt;="&amp;$B129,BD!$K$3:$K$5001,"&lt;&gt;"))))</f>
        <v/>
      </c>
      <c r="G129" s="43" t="str">
        <f>IF(OR($B129="",$A129&gt;$B$9,G$114=""),"",IF(COUNTIFS(BD!$B$3:$B$5001,G$114,BD!$A$3:$A$5001,"&gt;="&amp;$C$7,BD!$A$3:$A$5001,"&lt;="&amp;$B129,BD!$K$3:$K$5001,"&lt;&gt;")=0,"",SUMIFS(BD!$K$3:$K$5001,BD!$B$3:$B$5001,G$114,BD!$A$3:$A$5001,_xlfn.MAXIFS(BD!$A$3:$A$5001,BD!$B$3:$B$5001,G$114,BD!$A$3:$A$5001,"&gt;="&amp;$C$7,BD!$A$3:$A$5001,"&lt;="&amp;$B129,BD!$K$3:$K$5001,"&lt;&gt;"))))</f>
        <v/>
      </c>
      <c r="H129" s="43" t="str">
        <f>IF(OR($B129="",$A129&gt;$B$9,H$114=""),"",IF(COUNTIFS(BD!$B$3:$B$5001,H$114,BD!$A$3:$A$5001,"&gt;="&amp;$C$7,BD!$A$3:$A$5001,"&lt;="&amp;$B129,BD!$K$3:$K$5001,"&lt;&gt;")=0,"",SUMIFS(BD!$K$3:$K$5001,BD!$B$3:$B$5001,H$114,BD!$A$3:$A$5001,_xlfn.MAXIFS(BD!$A$3:$A$5001,BD!$B$3:$B$5001,H$114,BD!$A$3:$A$5001,"&gt;="&amp;$C$7,BD!$A$3:$A$5001,"&lt;="&amp;$B129,BD!$K$3:$K$5001,"&lt;&gt;"))))</f>
        <v/>
      </c>
      <c r="I129" s="43" t="str">
        <f>IF(OR($B129="",$A129&gt;$B$9,I$114=""),"",IF(COUNTIFS(BD!$B$3:$B$5001,I$114,BD!$A$3:$A$5001,"&gt;="&amp;$C$7,BD!$A$3:$A$5001,"&lt;="&amp;$B129,BD!$K$3:$K$5001,"&lt;&gt;")=0,"",SUMIFS(BD!$K$3:$K$5001,BD!$B$3:$B$5001,I$114,BD!$A$3:$A$5001,_xlfn.MAXIFS(BD!$A$3:$A$5001,BD!$B$3:$B$5001,I$114,BD!$A$3:$A$5001,"&gt;="&amp;$C$7,BD!$A$3:$A$5001,"&lt;="&amp;$B129,BD!$K$3:$K$5001,"&lt;&gt;"))))</f>
        <v/>
      </c>
      <c r="J129" s="43" t="str">
        <f>IF(OR($B129="",$A129&gt;$B$9,J$114=""),"",IF(COUNTIFS(BD!$B$3:$B$5001,J$114,BD!$A$3:$A$5001,"&gt;="&amp;$C$7,BD!$A$3:$A$5001,"&lt;="&amp;$B129,BD!$K$3:$K$5001,"&lt;&gt;")=0,"",SUMIFS(BD!$K$3:$K$5001,BD!$B$3:$B$5001,J$114,BD!$A$3:$A$5001,_xlfn.MAXIFS(BD!$A$3:$A$5001,BD!$B$3:$B$5001,J$114,BD!$A$3:$A$5001,"&gt;="&amp;$C$7,BD!$A$3:$A$5001,"&lt;="&amp;$B129,BD!$K$3:$K$5001,"&lt;&gt;"))))</f>
        <v/>
      </c>
      <c r="K129" s="43" t="str">
        <f>IF(OR($B129="",$A129&gt;$B$9,K$114=""),"",IF(COUNTIFS(BD!$B$3:$B$5001,K$114,BD!$A$3:$A$5001,"&gt;="&amp;$C$7,BD!$A$3:$A$5001,"&lt;="&amp;$B129,BD!$K$3:$K$5001,"&lt;&gt;")=0,"",SUMIFS(BD!$K$3:$K$5001,BD!$B$3:$B$5001,K$114,BD!$A$3:$A$5001,_xlfn.MAXIFS(BD!$A$3:$A$5001,BD!$B$3:$B$5001,K$114,BD!$A$3:$A$5001,"&gt;="&amp;$C$7,BD!$A$3:$A$5001,"&lt;="&amp;$B129,BD!$K$3:$K$5001,"&lt;&gt;"))))</f>
        <v/>
      </c>
      <c r="L129" s="43" t="str">
        <f>IF(OR($B129="",$A129&gt;$B$9,L$114=""),"",IF(COUNTIFS(BD!$B$3:$B$5001,L$114,BD!$A$3:$A$5001,"&gt;="&amp;$C$7,BD!$A$3:$A$5001,"&lt;="&amp;$B129,BD!$K$3:$K$5001,"&lt;&gt;")=0,"",SUMIFS(BD!$K$3:$K$5001,BD!$B$3:$B$5001,L$114,BD!$A$3:$A$5001,_xlfn.MAXIFS(BD!$A$3:$A$5001,BD!$B$3:$B$5001,L$114,BD!$A$3:$A$5001,"&gt;="&amp;$C$7,BD!$A$3:$A$5001,"&lt;="&amp;$B129,BD!$K$3:$K$5001,"&lt;&gt;"))))</f>
        <v/>
      </c>
      <c r="M129" s="43" t="str">
        <f>IF(OR($B129="",$A129&gt;$B$9,M$114=""),"",IF(COUNTIFS(BD!$B$3:$B$5001,M$114,BD!$A$3:$A$5001,"&gt;="&amp;$C$7,BD!$A$3:$A$5001,"&lt;="&amp;$B129,BD!$K$3:$K$5001,"&lt;&gt;")=0,"",SUMIFS(BD!$K$3:$K$5001,BD!$B$3:$B$5001,M$114,BD!$A$3:$A$5001,_xlfn.MAXIFS(BD!$A$3:$A$5001,BD!$B$3:$B$5001,M$114,BD!$A$3:$A$5001,"&gt;="&amp;$C$7,BD!$A$3:$A$5001,"&lt;="&amp;$B129,BD!$K$3:$K$5001,"&lt;&gt;"))))</f>
        <v/>
      </c>
      <c r="N129" s="43" t="str">
        <f>IF(OR($B129="",$A129&gt;$B$9,N$114=""),"",IF(COUNTIFS(BD!$B$3:$B$5001,N$114,BD!$A$3:$A$5001,"&gt;="&amp;$C$7,BD!$A$3:$A$5001,"&lt;="&amp;$B129,BD!$K$3:$K$5001,"&lt;&gt;")=0,"",SUMIFS(BD!$K$3:$K$5001,BD!$B$3:$B$5001,N$114,BD!$A$3:$A$5001,_xlfn.MAXIFS(BD!$A$3:$A$5001,BD!$B$3:$B$5001,N$114,BD!$A$3:$A$5001,"&gt;="&amp;$C$7,BD!$A$3:$A$5001,"&lt;="&amp;$B129,BD!$K$3:$K$5001,"&lt;&gt;"))))</f>
        <v/>
      </c>
      <c r="O129" s="43" t="str">
        <f>IF(OR($B129="",$A129&gt;$B$9,O$114=""),"",IF(COUNTIFS(BD!$B$3:$B$5001,O$114,BD!$A$3:$A$5001,"&gt;="&amp;$C$7,BD!$A$3:$A$5001,"&lt;="&amp;$B129,BD!$K$3:$K$5001,"&lt;&gt;")=0,"",SUMIFS(BD!$K$3:$K$5001,BD!$B$3:$B$5001,O$114,BD!$A$3:$A$5001,_xlfn.MAXIFS(BD!$A$3:$A$5001,BD!$B$3:$B$5001,O$114,BD!$A$3:$A$5001,"&gt;="&amp;$C$7,BD!$A$3:$A$5001,"&lt;="&amp;$B129,BD!$K$3:$K$5001,"&lt;&gt;"))))</f>
        <v/>
      </c>
      <c r="P129" s="43" t="str">
        <f>IF(OR($B129="",$A129&gt;$B$9,P$114=""),"",IF(COUNTIFS(BD!$B$3:$B$5001,P$114,BD!$A$3:$A$5001,"&gt;="&amp;$C$7,BD!$A$3:$A$5001,"&lt;="&amp;$B129,BD!$K$3:$K$5001,"&lt;&gt;")=0,"",SUMIFS(BD!$K$3:$K$5001,BD!$B$3:$B$5001,P$114,BD!$A$3:$A$5001,_xlfn.MAXIFS(BD!$A$3:$A$5001,BD!$B$3:$B$5001,P$114,BD!$A$3:$A$5001,"&gt;="&amp;$C$7,BD!$A$3:$A$5001,"&lt;="&amp;$B129,BD!$K$3:$K$5001,"&lt;&gt;"))))</f>
        <v/>
      </c>
      <c r="Q129" s="43" t="str">
        <f>IF(OR($B129="",$A129&gt;$B$9,Q$114=""),"",IF(COUNTIFS(BD!$B$3:$B$5001,Q$114,BD!$A$3:$A$5001,"&gt;="&amp;$C$7,BD!$A$3:$A$5001,"&lt;="&amp;$B129,BD!$K$3:$K$5001,"&lt;&gt;")=0,"",SUMIFS(BD!$K$3:$K$5001,BD!$B$3:$B$5001,Q$114,BD!$A$3:$A$5001,_xlfn.MAXIFS(BD!$A$3:$A$5001,BD!$B$3:$B$5001,Q$114,BD!$A$3:$A$5001,"&gt;="&amp;$C$7,BD!$A$3:$A$5001,"&lt;="&amp;$B129,BD!$K$3:$K$5001,"&lt;&gt;"))))</f>
        <v/>
      </c>
      <c r="R129" s="43" t="str">
        <f>IF(OR($B129="",$A129&gt;$B$9,R$114=""),"",IF(COUNTIFS(BD!$B$3:$B$5001,R$114,BD!$A$3:$A$5001,"&gt;="&amp;$C$7,BD!$A$3:$A$5001,"&lt;="&amp;$B129,BD!$K$3:$K$5001,"&lt;&gt;")=0,"",SUMIFS(BD!$K$3:$K$5001,BD!$B$3:$B$5001,R$114,BD!$A$3:$A$5001,_xlfn.MAXIFS(BD!$A$3:$A$5001,BD!$B$3:$B$5001,R$114,BD!$A$3:$A$5001,"&gt;="&amp;$C$7,BD!$A$3:$A$5001,"&lt;="&amp;$B129,BD!$K$3:$K$5001,"&lt;&gt;"))))</f>
        <v/>
      </c>
      <c r="S129" s="43" t="str">
        <f>IF(OR($B129="",$A129&gt;$B$9,S$114=""),"",IF(COUNTIFS(BD!$B$3:$B$5001,S$114,BD!$A$3:$A$5001,"&gt;="&amp;$C$7,BD!$A$3:$A$5001,"&lt;="&amp;$B129,BD!$K$3:$K$5001,"&lt;&gt;")=0,"",SUMIFS(BD!$K$3:$K$5001,BD!$B$3:$B$5001,S$114,BD!$A$3:$A$5001,_xlfn.MAXIFS(BD!$A$3:$A$5001,BD!$B$3:$B$5001,S$114,BD!$A$3:$A$5001,"&gt;="&amp;$C$7,BD!$A$3:$A$5001,"&lt;="&amp;$B129,BD!$K$3:$K$5001,"&lt;&gt;"))))</f>
        <v/>
      </c>
      <c r="T129" s="43" t="str">
        <f>IF(OR($B129="",$A129&gt;$B$9,T$114=""),"",IF(COUNTIFS(BD!$B$3:$B$5001,T$114,BD!$A$3:$A$5001,"&gt;="&amp;$C$7,BD!$A$3:$A$5001,"&lt;="&amp;$B129,BD!$K$3:$K$5001,"&lt;&gt;")=0,"",SUMIFS(BD!$K$3:$K$5001,BD!$B$3:$B$5001,T$114,BD!$A$3:$A$5001,_xlfn.MAXIFS(BD!$A$3:$A$5001,BD!$B$3:$B$5001,T$114,BD!$A$3:$A$5001,"&gt;="&amp;$C$7,BD!$A$3:$A$5001,"&lt;="&amp;$B129,BD!$K$3:$K$5001,"&lt;&gt;"))))</f>
        <v/>
      </c>
      <c r="U129" s="43" t="str">
        <f>IF(OR($B129="",$A129&gt;$B$9,U$114=""),"",IF(COUNTIFS(BD!$B$3:$B$5001,U$114,BD!$A$3:$A$5001,"&gt;="&amp;$C$7,BD!$A$3:$A$5001,"&lt;="&amp;$B129,BD!$K$3:$K$5001,"&lt;&gt;")=0,"",SUMIFS(BD!$K$3:$K$5001,BD!$B$3:$B$5001,U$114,BD!$A$3:$A$5001,_xlfn.MAXIFS(BD!$A$3:$A$5001,BD!$B$3:$B$5001,U$114,BD!$A$3:$A$5001,"&gt;="&amp;$C$7,BD!$A$3:$A$5001,"&lt;="&amp;$B129,BD!$K$3:$K$5001,"&lt;&gt;"))))</f>
        <v/>
      </c>
      <c r="V129" s="43" t="str">
        <f>IF(OR($B129="",$A129&gt;$B$9,V$114=""),"",IF(COUNTIFS(BD!$B$3:$B$5001,V$114,BD!$A$3:$A$5001,"&gt;="&amp;$C$7,BD!$A$3:$A$5001,"&lt;="&amp;$B129,BD!$K$3:$K$5001,"&lt;&gt;")=0,"",SUMIFS(BD!$K$3:$K$5001,BD!$B$3:$B$5001,V$114,BD!$A$3:$A$5001,_xlfn.MAXIFS(BD!$A$3:$A$5001,BD!$B$3:$B$5001,V$114,BD!$A$3:$A$5001,"&gt;="&amp;$C$7,BD!$A$3:$A$5001,"&lt;="&amp;$B129,BD!$K$3:$K$5001,"&lt;&gt;"))))</f>
        <v/>
      </c>
    </row>
    <row r="130">
      <c r="A130" s="38">
        <v>16</v>
      </c>
      <c r="B130" s="42">
        <f>$B$27</f>
        <v>46311</v>
      </c>
      <c r="C130" s="43" t="str">
        <f>IF(OR($B130="",$A130&gt;$B$9,C$114=""),"",IF(COUNTIFS(BD!$B$3:$B$5001,C$114,BD!$A$3:$A$5001,"&gt;="&amp;$C$7,BD!$A$3:$A$5001,"&lt;="&amp;$B130,BD!$K$3:$K$5001,"&lt;&gt;")=0,"",SUMIFS(BD!$K$3:$K$5001,BD!$B$3:$B$5001,C$114,BD!$A$3:$A$5001,_xlfn.MAXIFS(BD!$A$3:$A$5001,BD!$B$3:$B$5001,C$114,BD!$A$3:$A$5001,"&gt;="&amp;$C$7,BD!$A$3:$A$5001,"&lt;="&amp;$B130,BD!$K$3:$K$5001,"&lt;&gt;"))))</f>
        <v/>
      </c>
      <c r="D130" s="43" t="str">
        <f>IF(OR($B130="",$A130&gt;$B$9,D$114=""),"",IF(COUNTIFS(BD!$B$3:$B$5001,D$114,BD!$A$3:$A$5001,"&gt;="&amp;$C$7,BD!$A$3:$A$5001,"&lt;="&amp;$B130,BD!$K$3:$K$5001,"&lt;&gt;")=0,"",SUMIFS(BD!$K$3:$K$5001,BD!$B$3:$B$5001,D$114,BD!$A$3:$A$5001,_xlfn.MAXIFS(BD!$A$3:$A$5001,BD!$B$3:$B$5001,D$114,BD!$A$3:$A$5001,"&gt;="&amp;$C$7,BD!$A$3:$A$5001,"&lt;="&amp;$B130,BD!$K$3:$K$5001,"&lt;&gt;"))))</f>
        <v/>
      </c>
      <c r="E130" s="43" t="str">
        <f>IF(OR($B130="",$A130&gt;$B$9,E$114=""),"",IF(COUNTIFS(BD!$B$3:$B$5001,E$114,BD!$A$3:$A$5001,"&gt;="&amp;$C$7,BD!$A$3:$A$5001,"&lt;="&amp;$B130,BD!$K$3:$K$5001,"&lt;&gt;")=0,"",SUMIFS(BD!$K$3:$K$5001,BD!$B$3:$B$5001,E$114,BD!$A$3:$A$5001,_xlfn.MAXIFS(BD!$A$3:$A$5001,BD!$B$3:$B$5001,E$114,BD!$A$3:$A$5001,"&gt;="&amp;$C$7,BD!$A$3:$A$5001,"&lt;="&amp;$B130,BD!$K$3:$K$5001,"&lt;&gt;"))))</f>
        <v/>
      </c>
      <c r="F130" s="43" t="str">
        <f>IF(OR($B130="",$A130&gt;$B$9,F$114=""),"",IF(COUNTIFS(BD!$B$3:$B$5001,F$114,BD!$A$3:$A$5001,"&gt;="&amp;$C$7,BD!$A$3:$A$5001,"&lt;="&amp;$B130,BD!$K$3:$K$5001,"&lt;&gt;")=0,"",SUMIFS(BD!$K$3:$K$5001,BD!$B$3:$B$5001,F$114,BD!$A$3:$A$5001,_xlfn.MAXIFS(BD!$A$3:$A$5001,BD!$B$3:$B$5001,F$114,BD!$A$3:$A$5001,"&gt;="&amp;$C$7,BD!$A$3:$A$5001,"&lt;="&amp;$B130,BD!$K$3:$K$5001,"&lt;&gt;"))))</f>
        <v/>
      </c>
      <c r="G130" s="43" t="str">
        <f>IF(OR($B130="",$A130&gt;$B$9,G$114=""),"",IF(COUNTIFS(BD!$B$3:$B$5001,G$114,BD!$A$3:$A$5001,"&gt;="&amp;$C$7,BD!$A$3:$A$5001,"&lt;="&amp;$B130,BD!$K$3:$K$5001,"&lt;&gt;")=0,"",SUMIFS(BD!$K$3:$K$5001,BD!$B$3:$B$5001,G$114,BD!$A$3:$A$5001,_xlfn.MAXIFS(BD!$A$3:$A$5001,BD!$B$3:$B$5001,G$114,BD!$A$3:$A$5001,"&gt;="&amp;$C$7,BD!$A$3:$A$5001,"&lt;="&amp;$B130,BD!$K$3:$K$5001,"&lt;&gt;"))))</f>
        <v/>
      </c>
      <c r="H130" s="43" t="str">
        <f>IF(OR($B130="",$A130&gt;$B$9,H$114=""),"",IF(COUNTIFS(BD!$B$3:$B$5001,H$114,BD!$A$3:$A$5001,"&gt;="&amp;$C$7,BD!$A$3:$A$5001,"&lt;="&amp;$B130,BD!$K$3:$K$5001,"&lt;&gt;")=0,"",SUMIFS(BD!$K$3:$K$5001,BD!$B$3:$B$5001,H$114,BD!$A$3:$A$5001,_xlfn.MAXIFS(BD!$A$3:$A$5001,BD!$B$3:$B$5001,H$114,BD!$A$3:$A$5001,"&gt;="&amp;$C$7,BD!$A$3:$A$5001,"&lt;="&amp;$B130,BD!$K$3:$K$5001,"&lt;&gt;"))))</f>
        <v/>
      </c>
      <c r="I130" s="43" t="str">
        <f>IF(OR($B130="",$A130&gt;$B$9,I$114=""),"",IF(COUNTIFS(BD!$B$3:$B$5001,I$114,BD!$A$3:$A$5001,"&gt;="&amp;$C$7,BD!$A$3:$A$5001,"&lt;="&amp;$B130,BD!$K$3:$K$5001,"&lt;&gt;")=0,"",SUMIFS(BD!$K$3:$K$5001,BD!$B$3:$B$5001,I$114,BD!$A$3:$A$5001,_xlfn.MAXIFS(BD!$A$3:$A$5001,BD!$B$3:$B$5001,I$114,BD!$A$3:$A$5001,"&gt;="&amp;$C$7,BD!$A$3:$A$5001,"&lt;="&amp;$B130,BD!$K$3:$K$5001,"&lt;&gt;"))))</f>
        <v/>
      </c>
      <c r="J130" s="43" t="str">
        <f>IF(OR($B130="",$A130&gt;$B$9,J$114=""),"",IF(COUNTIFS(BD!$B$3:$B$5001,J$114,BD!$A$3:$A$5001,"&gt;="&amp;$C$7,BD!$A$3:$A$5001,"&lt;="&amp;$B130,BD!$K$3:$K$5001,"&lt;&gt;")=0,"",SUMIFS(BD!$K$3:$K$5001,BD!$B$3:$B$5001,J$114,BD!$A$3:$A$5001,_xlfn.MAXIFS(BD!$A$3:$A$5001,BD!$B$3:$B$5001,J$114,BD!$A$3:$A$5001,"&gt;="&amp;$C$7,BD!$A$3:$A$5001,"&lt;="&amp;$B130,BD!$K$3:$K$5001,"&lt;&gt;"))))</f>
        <v/>
      </c>
      <c r="K130" s="43" t="str">
        <f>IF(OR($B130="",$A130&gt;$B$9,K$114=""),"",IF(COUNTIFS(BD!$B$3:$B$5001,K$114,BD!$A$3:$A$5001,"&gt;="&amp;$C$7,BD!$A$3:$A$5001,"&lt;="&amp;$B130,BD!$K$3:$K$5001,"&lt;&gt;")=0,"",SUMIFS(BD!$K$3:$K$5001,BD!$B$3:$B$5001,K$114,BD!$A$3:$A$5001,_xlfn.MAXIFS(BD!$A$3:$A$5001,BD!$B$3:$B$5001,K$114,BD!$A$3:$A$5001,"&gt;="&amp;$C$7,BD!$A$3:$A$5001,"&lt;="&amp;$B130,BD!$K$3:$K$5001,"&lt;&gt;"))))</f>
        <v/>
      </c>
      <c r="L130" s="43" t="str">
        <f>IF(OR($B130="",$A130&gt;$B$9,L$114=""),"",IF(COUNTIFS(BD!$B$3:$B$5001,L$114,BD!$A$3:$A$5001,"&gt;="&amp;$C$7,BD!$A$3:$A$5001,"&lt;="&amp;$B130,BD!$K$3:$K$5001,"&lt;&gt;")=0,"",SUMIFS(BD!$K$3:$K$5001,BD!$B$3:$B$5001,L$114,BD!$A$3:$A$5001,_xlfn.MAXIFS(BD!$A$3:$A$5001,BD!$B$3:$B$5001,L$114,BD!$A$3:$A$5001,"&gt;="&amp;$C$7,BD!$A$3:$A$5001,"&lt;="&amp;$B130,BD!$K$3:$K$5001,"&lt;&gt;"))))</f>
        <v/>
      </c>
      <c r="M130" s="43" t="str">
        <f>IF(OR($B130="",$A130&gt;$B$9,M$114=""),"",IF(COUNTIFS(BD!$B$3:$B$5001,M$114,BD!$A$3:$A$5001,"&gt;="&amp;$C$7,BD!$A$3:$A$5001,"&lt;="&amp;$B130,BD!$K$3:$K$5001,"&lt;&gt;")=0,"",SUMIFS(BD!$K$3:$K$5001,BD!$B$3:$B$5001,M$114,BD!$A$3:$A$5001,_xlfn.MAXIFS(BD!$A$3:$A$5001,BD!$B$3:$B$5001,M$114,BD!$A$3:$A$5001,"&gt;="&amp;$C$7,BD!$A$3:$A$5001,"&lt;="&amp;$B130,BD!$K$3:$K$5001,"&lt;&gt;"))))</f>
        <v/>
      </c>
      <c r="N130" s="43" t="str">
        <f>IF(OR($B130="",$A130&gt;$B$9,N$114=""),"",IF(COUNTIFS(BD!$B$3:$B$5001,N$114,BD!$A$3:$A$5001,"&gt;="&amp;$C$7,BD!$A$3:$A$5001,"&lt;="&amp;$B130,BD!$K$3:$K$5001,"&lt;&gt;")=0,"",SUMIFS(BD!$K$3:$K$5001,BD!$B$3:$B$5001,N$114,BD!$A$3:$A$5001,_xlfn.MAXIFS(BD!$A$3:$A$5001,BD!$B$3:$B$5001,N$114,BD!$A$3:$A$5001,"&gt;="&amp;$C$7,BD!$A$3:$A$5001,"&lt;="&amp;$B130,BD!$K$3:$K$5001,"&lt;&gt;"))))</f>
        <v/>
      </c>
      <c r="O130" s="43" t="str">
        <f>IF(OR($B130="",$A130&gt;$B$9,O$114=""),"",IF(COUNTIFS(BD!$B$3:$B$5001,O$114,BD!$A$3:$A$5001,"&gt;="&amp;$C$7,BD!$A$3:$A$5001,"&lt;="&amp;$B130,BD!$K$3:$K$5001,"&lt;&gt;")=0,"",SUMIFS(BD!$K$3:$K$5001,BD!$B$3:$B$5001,O$114,BD!$A$3:$A$5001,_xlfn.MAXIFS(BD!$A$3:$A$5001,BD!$B$3:$B$5001,O$114,BD!$A$3:$A$5001,"&gt;="&amp;$C$7,BD!$A$3:$A$5001,"&lt;="&amp;$B130,BD!$K$3:$K$5001,"&lt;&gt;"))))</f>
        <v/>
      </c>
      <c r="P130" s="43" t="str">
        <f>IF(OR($B130="",$A130&gt;$B$9,P$114=""),"",IF(COUNTIFS(BD!$B$3:$B$5001,P$114,BD!$A$3:$A$5001,"&gt;="&amp;$C$7,BD!$A$3:$A$5001,"&lt;="&amp;$B130,BD!$K$3:$K$5001,"&lt;&gt;")=0,"",SUMIFS(BD!$K$3:$K$5001,BD!$B$3:$B$5001,P$114,BD!$A$3:$A$5001,_xlfn.MAXIFS(BD!$A$3:$A$5001,BD!$B$3:$B$5001,P$114,BD!$A$3:$A$5001,"&gt;="&amp;$C$7,BD!$A$3:$A$5001,"&lt;="&amp;$B130,BD!$K$3:$K$5001,"&lt;&gt;"))))</f>
        <v/>
      </c>
      <c r="Q130" s="43" t="str">
        <f>IF(OR($B130="",$A130&gt;$B$9,Q$114=""),"",IF(COUNTIFS(BD!$B$3:$B$5001,Q$114,BD!$A$3:$A$5001,"&gt;="&amp;$C$7,BD!$A$3:$A$5001,"&lt;="&amp;$B130,BD!$K$3:$K$5001,"&lt;&gt;")=0,"",SUMIFS(BD!$K$3:$K$5001,BD!$B$3:$B$5001,Q$114,BD!$A$3:$A$5001,_xlfn.MAXIFS(BD!$A$3:$A$5001,BD!$B$3:$B$5001,Q$114,BD!$A$3:$A$5001,"&gt;="&amp;$C$7,BD!$A$3:$A$5001,"&lt;="&amp;$B130,BD!$K$3:$K$5001,"&lt;&gt;"))))</f>
        <v/>
      </c>
      <c r="R130" s="43" t="str">
        <f>IF(OR($B130="",$A130&gt;$B$9,R$114=""),"",IF(COUNTIFS(BD!$B$3:$B$5001,R$114,BD!$A$3:$A$5001,"&gt;="&amp;$C$7,BD!$A$3:$A$5001,"&lt;="&amp;$B130,BD!$K$3:$K$5001,"&lt;&gt;")=0,"",SUMIFS(BD!$K$3:$K$5001,BD!$B$3:$B$5001,R$114,BD!$A$3:$A$5001,_xlfn.MAXIFS(BD!$A$3:$A$5001,BD!$B$3:$B$5001,R$114,BD!$A$3:$A$5001,"&gt;="&amp;$C$7,BD!$A$3:$A$5001,"&lt;="&amp;$B130,BD!$K$3:$K$5001,"&lt;&gt;"))))</f>
        <v/>
      </c>
      <c r="S130" s="43" t="str">
        <f>IF(OR($B130="",$A130&gt;$B$9,S$114=""),"",IF(COUNTIFS(BD!$B$3:$B$5001,S$114,BD!$A$3:$A$5001,"&gt;="&amp;$C$7,BD!$A$3:$A$5001,"&lt;="&amp;$B130,BD!$K$3:$K$5001,"&lt;&gt;")=0,"",SUMIFS(BD!$K$3:$K$5001,BD!$B$3:$B$5001,S$114,BD!$A$3:$A$5001,_xlfn.MAXIFS(BD!$A$3:$A$5001,BD!$B$3:$B$5001,S$114,BD!$A$3:$A$5001,"&gt;="&amp;$C$7,BD!$A$3:$A$5001,"&lt;="&amp;$B130,BD!$K$3:$K$5001,"&lt;&gt;"))))</f>
        <v/>
      </c>
      <c r="T130" s="43" t="str">
        <f>IF(OR($B130="",$A130&gt;$B$9,T$114=""),"",IF(COUNTIFS(BD!$B$3:$B$5001,T$114,BD!$A$3:$A$5001,"&gt;="&amp;$C$7,BD!$A$3:$A$5001,"&lt;="&amp;$B130,BD!$K$3:$K$5001,"&lt;&gt;")=0,"",SUMIFS(BD!$K$3:$K$5001,BD!$B$3:$B$5001,T$114,BD!$A$3:$A$5001,_xlfn.MAXIFS(BD!$A$3:$A$5001,BD!$B$3:$B$5001,T$114,BD!$A$3:$A$5001,"&gt;="&amp;$C$7,BD!$A$3:$A$5001,"&lt;="&amp;$B130,BD!$K$3:$K$5001,"&lt;&gt;"))))</f>
        <v/>
      </c>
      <c r="U130" s="43" t="str">
        <f>IF(OR($B130="",$A130&gt;$B$9,U$114=""),"",IF(COUNTIFS(BD!$B$3:$B$5001,U$114,BD!$A$3:$A$5001,"&gt;="&amp;$C$7,BD!$A$3:$A$5001,"&lt;="&amp;$B130,BD!$K$3:$K$5001,"&lt;&gt;")=0,"",SUMIFS(BD!$K$3:$K$5001,BD!$B$3:$B$5001,U$114,BD!$A$3:$A$5001,_xlfn.MAXIFS(BD!$A$3:$A$5001,BD!$B$3:$B$5001,U$114,BD!$A$3:$A$5001,"&gt;="&amp;$C$7,BD!$A$3:$A$5001,"&lt;="&amp;$B130,BD!$K$3:$K$5001,"&lt;&gt;"))))</f>
        <v/>
      </c>
      <c r="V130" s="43" t="str">
        <f>IF(OR($B130="",$A130&gt;$B$9,V$114=""),"",IF(COUNTIFS(BD!$B$3:$B$5001,V$114,BD!$A$3:$A$5001,"&gt;="&amp;$C$7,BD!$A$3:$A$5001,"&lt;="&amp;$B130,BD!$K$3:$K$5001,"&lt;&gt;")=0,"",SUMIFS(BD!$K$3:$K$5001,BD!$B$3:$B$5001,V$114,BD!$A$3:$A$5001,_xlfn.MAXIFS(BD!$A$3:$A$5001,BD!$B$3:$B$5001,V$114,BD!$A$3:$A$5001,"&gt;="&amp;$C$7,BD!$A$3:$A$5001,"&lt;="&amp;$B130,BD!$K$3:$K$5001,"&lt;&gt;"))))</f>
        <v/>
      </c>
    </row>
    <row r="131">
      <c r="A131" s="38">
        <v>17</v>
      </c>
      <c r="B131" s="42">
        <f>$B$28</f>
        <v>46312</v>
      </c>
      <c r="C131" s="43" t="str">
        <f>IF(OR($B131="",$A131&gt;$B$9,C$114=""),"",IF(COUNTIFS(BD!$B$3:$B$5001,C$114,BD!$A$3:$A$5001,"&gt;="&amp;$C$7,BD!$A$3:$A$5001,"&lt;="&amp;$B131,BD!$K$3:$K$5001,"&lt;&gt;")=0,"",SUMIFS(BD!$K$3:$K$5001,BD!$B$3:$B$5001,C$114,BD!$A$3:$A$5001,_xlfn.MAXIFS(BD!$A$3:$A$5001,BD!$B$3:$B$5001,C$114,BD!$A$3:$A$5001,"&gt;="&amp;$C$7,BD!$A$3:$A$5001,"&lt;="&amp;$B131,BD!$K$3:$K$5001,"&lt;&gt;"))))</f>
        <v/>
      </c>
      <c r="D131" s="43" t="str">
        <f>IF(OR($B131="",$A131&gt;$B$9,D$114=""),"",IF(COUNTIFS(BD!$B$3:$B$5001,D$114,BD!$A$3:$A$5001,"&gt;="&amp;$C$7,BD!$A$3:$A$5001,"&lt;="&amp;$B131,BD!$K$3:$K$5001,"&lt;&gt;")=0,"",SUMIFS(BD!$K$3:$K$5001,BD!$B$3:$B$5001,D$114,BD!$A$3:$A$5001,_xlfn.MAXIFS(BD!$A$3:$A$5001,BD!$B$3:$B$5001,D$114,BD!$A$3:$A$5001,"&gt;="&amp;$C$7,BD!$A$3:$A$5001,"&lt;="&amp;$B131,BD!$K$3:$K$5001,"&lt;&gt;"))))</f>
        <v/>
      </c>
      <c r="E131" s="43" t="str">
        <f>IF(OR($B131="",$A131&gt;$B$9,E$114=""),"",IF(COUNTIFS(BD!$B$3:$B$5001,E$114,BD!$A$3:$A$5001,"&gt;="&amp;$C$7,BD!$A$3:$A$5001,"&lt;="&amp;$B131,BD!$K$3:$K$5001,"&lt;&gt;")=0,"",SUMIFS(BD!$K$3:$K$5001,BD!$B$3:$B$5001,E$114,BD!$A$3:$A$5001,_xlfn.MAXIFS(BD!$A$3:$A$5001,BD!$B$3:$B$5001,E$114,BD!$A$3:$A$5001,"&gt;="&amp;$C$7,BD!$A$3:$A$5001,"&lt;="&amp;$B131,BD!$K$3:$K$5001,"&lt;&gt;"))))</f>
        <v/>
      </c>
      <c r="F131" s="43" t="str">
        <f>IF(OR($B131="",$A131&gt;$B$9,F$114=""),"",IF(COUNTIFS(BD!$B$3:$B$5001,F$114,BD!$A$3:$A$5001,"&gt;="&amp;$C$7,BD!$A$3:$A$5001,"&lt;="&amp;$B131,BD!$K$3:$K$5001,"&lt;&gt;")=0,"",SUMIFS(BD!$K$3:$K$5001,BD!$B$3:$B$5001,F$114,BD!$A$3:$A$5001,_xlfn.MAXIFS(BD!$A$3:$A$5001,BD!$B$3:$B$5001,F$114,BD!$A$3:$A$5001,"&gt;="&amp;$C$7,BD!$A$3:$A$5001,"&lt;="&amp;$B131,BD!$K$3:$K$5001,"&lt;&gt;"))))</f>
        <v/>
      </c>
      <c r="G131" s="43" t="str">
        <f>IF(OR($B131="",$A131&gt;$B$9,G$114=""),"",IF(COUNTIFS(BD!$B$3:$B$5001,G$114,BD!$A$3:$A$5001,"&gt;="&amp;$C$7,BD!$A$3:$A$5001,"&lt;="&amp;$B131,BD!$K$3:$K$5001,"&lt;&gt;")=0,"",SUMIFS(BD!$K$3:$K$5001,BD!$B$3:$B$5001,G$114,BD!$A$3:$A$5001,_xlfn.MAXIFS(BD!$A$3:$A$5001,BD!$B$3:$B$5001,G$114,BD!$A$3:$A$5001,"&gt;="&amp;$C$7,BD!$A$3:$A$5001,"&lt;="&amp;$B131,BD!$K$3:$K$5001,"&lt;&gt;"))))</f>
        <v/>
      </c>
      <c r="H131" s="43" t="str">
        <f>IF(OR($B131="",$A131&gt;$B$9,H$114=""),"",IF(COUNTIFS(BD!$B$3:$B$5001,H$114,BD!$A$3:$A$5001,"&gt;="&amp;$C$7,BD!$A$3:$A$5001,"&lt;="&amp;$B131,BD!$K$3:$K$5001,"&lt;&gt;")=0,"",SUMIFS(BD!$K$3:$K$5001,BD!$B$3:$B$5001,H$114,BD!$A$3:$A$5001,_xlfn.MAXIFS(BD!$A$3:$A$5001,BD!$B$3:$B$5001,H$114,BD!$A$3:$A$5001,"&gt;="&amp;$C$7,BD!$A$3:$A$5001,"&lt;="&amp;$B131,BD!$K$3:$K$5001,"&lt;&gt;"))))</f>
        <v/>
      </c>
      <c r="I131" s="43" t="str">
        <f>IF(OR($B131="",$A131&gt;$B$9,I$114=""),"",IF(COUNTIFS(BD!$B$3:$B$5001,I$114,BD!$A$3:$A$5001,"&gt;="&amp;$C$7,BD!$A$3:$A$5001,"&lt;="&amp;$B131,BD!$K$3:$K$5001,"&lt;&gt;")=0,"",SUMIFS(BD!$K$3:$K$5001,BD!$B$3:$B$5001,I$114,BD!$A$3:$A$5001,_xlfn.MAXIFS(BD!$A$3:$A$5001,BD!$B$3:$B$5001,I$114,BD!$A$3:$A$5001,"&gt;="&amp;$C$7,BD!$A$3:$A$5001,"&lt;="&amp;$B131,BD!$K$3:$K$5001,"&lt;&gt;"))))</f>
        <v/>
      </c>
      <c r="J131" s="43" t="str">
        <f>IF(OR($B131="",$A131&gt;$B$9,J$114=""),"",IF(COUNTIFS(BD!$B$3:$B$5001,J$114,BD!$A$3:$A$5001,"&gt;="&amp;$C$7,BD!$A$3:$A$5001,"&lt;="&amp;$B131,BD!$K$3:$K$5001,"&lt;&gt;")=0,"",SUMIFS(BD!$K$3:$K$5001,BD!$B$3:$B$5001,J$114,BD!$A$3:$A$5001,_xlfn.MAXIFS(BD!$A$3:$A$5001,BD!$B$3:$B$5001,J$114,BD!$A$3:$A$5001,"&gt;="&amp;$C$7,BD!$A$3:$A$5001,"&lt;="&amp;$B131,BD!$K$3:$K$5001,"&lt;&gt;"))))</f>
        <v/>
      </c>
      <c r="K131" s="43" t="str">
        <f>IF(OR($B131="",$A131&gt;$B$9,K$114=""),"",IF(COUNTIFS(BD!$B$3:$B$5001,K$114,BD!$A$3:$A$5001,"&gt;="&amp;$C$7,BD!$A$3:$A$5001,"&lt;="&amp;$B131,BD!$K$3:$K$5001,"&lt;&gt;")=0,"",SUMIFS(BD!$K$3:$K$5001,BD!$B$3:$B$5001,K$114,BD!$A$3:$A$5001,_xlfn.MAXIFS(BD!$A$3:$A$5001,BD!$B$3:$B$5001,K$114,BD!$A$3:$A$5001,"&gt;="&amp;$C$7,BD!$A$3:$A$5001,"&lt;="&amp;$B131,BD!$K$3:$K$5001,"&lt;&gt;"))))</f>
        <v/>
      </c>
      <c r="L131" s="43" t="str">
        <f>IF(OR($B131="",$A131&gt;$B$9,L$114=""),"",IF(COUNTIFS(BD!$B$3:$B$5001,L$114,BD!$A$3:$A$5001,"&gt;="&amp;$C$7,BD!$A$3:$A$5001,"&lt;="&amp;$B131,BD!$K$3:$K$5001,"&lt;&gt;")=0,"",SUMIFS(BD!$K$3:$K$5001,BD!$B$3:$B$5001,L$114,BD!$A$3:$A$5001,_xlfn.MAXIFS(BD!$A$3:$A$5001,BD!$B$3:$B$5001,L$114,BD!$A$3:$A$5001,"&gt;="&amp;$C$7,BD!$A$3:$A$5001,"&lt;="&amp;$B131,BD!$K$3:$K$5001,"&lt;&gt;"))))</f>
        <v/>
      </c>
      <c r="M131" s="43" t="str">
        <f>IF(OR($B131="",$A131&gt;$B$9,M$114=""),"",IF(COUNTIFS(BD!$B$3:$B$5001,M$114,BD!$A$3:$A$5001,"&gt;="&amp;$C$7,BD!$A$3:$A$5001,"&lt;="&amp;$B131,BD!$K$3:$K$5001,"&lt;&gt;")=0,"",SUMIFS(BD!$K$3:$K$5001,BD!$B$3:$B$5001,M$114,BD!$A$3:$A$5001,_xlfn.MAXIFS(BD!$A$3:$A$5001,BD!$B$3:$B$5001,M$114,BD!$A$3:$A$5001,"&gt;="&amp;$C$7,BD!$A$3:$A$5001,"&lt;="&amp;$B131,BD!$K$3:$K$5001,"&lt;&gt;"))))</f>
        <v/>
      </c>
      <c r="N131" s="43" t="str">
        <f>IF(OR($B131="",$A131&gt;$B$9,N$114=""),"",IF(COUNTIFS(BD!$B$3:$B$5001,N$114,BD!$A$3:$A$5001,"&gt;="&amp;$C$7,BD!$A$3:$A$5001,"&lt;="&amp;$B131,BD!$K$3:$K$5001,"&lt;&gt;")=0,"",SUMIFS(BD!$K$3:$K$5001,BD!$B$3:$B$5001,N$114,BD!$A$3:$A$5001,_xlfn.MAXIFS(BD!$A$3:$A$5001,BD!$B$3:$B$5001,N$114,BD!$A$3:$A$5001,"&gt;="&amp;$C$7,BD!$A$3:$A$5001,"&lt;="&amp;$B131,BD!$K$3:$K$5001,"&lt;&gt;"))))</f>
        <v/>
      </c>
      <c r="O131" s="43" t="str">
        <f>IF(OR($B131="",$A131&gt;$B$9,O$114=""),"",IF(COUNTIFS(BD!$B$3:$B$5001,O$114,BD!$A$3:$A$5001,"&gt;="&amp;$C$7,BD!$A$3:$A$5001,"&lt;="&amp;$B131,BD!$K$3:$K$5001,"&lt;&gt;")=0,"",SUMIFS(BD!$K$3:$K$5001,BD!$B$3:$B$5001,O$114,BD!$A$3:$A$5001,_xlfn.MAXIFS(BD!$A$3:$A$5001,BD!$B$3:$B$5001,O$114,BD!$A$3:$A$5001,"&gt;="&amp;$C$7,BD!$A$3:$A$5001,"&lt;="&amp;$B131,BD!$K$3:$K$5001,"&lt;&gt;"))))</f>
        <v/>
      </c>
      <c r="P131" s="43" t="str">
        <f>IF(OR($B131="",$A131&gt;$B$9,P$114=""),"",IF(COUNTIFS(BD!$B$3:$B$5001,P$114,BD!$A$3:$A$5001,"&gt;="&amp;$C$7,BD!$A$3:$A$5001,"&lt;="&amp;$B131,BD!$K$3:$K$5001,"&lt;&gt;")=0,"",SUMIFS(BD!$K$3:$K$5001,BD!$B$3:$B$5001,P$114,BD!$A$3:$A$5001,_xlfn.MAXIFS(BD!$A$3:$A$5001,BD!$B$3:$B$5001,P$114,BD!$A$3:$A$5001,"&gt;="&amp;$C$7,BD!$A$3:$A$5001,"&lt;="&amp;$B131,BD!$K$3:$K$5001,"&lt;&gt;"))))</f>
        <v/>
      </c>
      <c r="Q131" s="43" t="str">
        <f>IF(OR($B131="",$A131&gt;$B$9,Q$114=""),"",IF(COUNTIFS(BD!$B$3:$B$5001,Q$114,BD!$A$3:$A$5001,"&gt;="&amp;$C$7,BD!$A$3:$A$5001,"&lt;="&amp;$B131,BD!$K$3:$K$5001,"&lt;&gt;")=0,"",SUMIFS(BD!$K$3:$K$5001,BD!$B$3:$B$5001,Q$114,BD!$A$3:$A$5001,_xlfn.MAXIFS(BD!$A$3:$A$5001,BD!$B$3:$B$5001,Q$114,BD!$A$3:$A$5001,"&gt;="&amp;$C$7,BD!$A$3:$A$5001,"&lt;="&amp;$B131,BD!$K$3:$K$5001,"&lt;&gt;"))))</f>
        <v/>
      </c>
      <c r="R131" s="43" t="str">
        <f>IF(OR($B131="",$A131&gt;$B$9,R$114=""),"",IF(COUNTIFS(BD!$B$3:$B$5001,R$114,BD!$A$3:$A$5001,"&gt;="&amp;$C$7,BD!$A$3:$A$5001,"&lt;="&amp;$B131,BD!$K$3:$K$5001,"&lt;&gt;")=0,"",SUMIFS(BD!$K$3:$K$5001,BD!$B$3:$B$5001,R$114,BD!$A$3:$A$5001,_xlfn.MAXIFS(BD!$A$3:$A$5001,BD!$B$3:$B$5001,R$114,BD!$A$3:$A$5001,"&gt;="&amp;$C$7,BD!$A$3:$A$5001,"&lt;="&amp;$B131,BD!$K$3:$K$5001,"&lt;&gt;"))))</f>
        <v/>
      </c>
      <c r="S131" s="43" t="str">
        <f>IF(OR($B131="",$A131&gt;$B$9,S$114=""),"",IF(COUNTIFS(BD!$B$3:$B$5001,S$114,BD!$A$3:$A$5001,"&gt;="&amp;$C$7,BD!$A$3:$A$5001,"&lt;="&amp;$B131,BD!$K$3:$K$5001,"&lt;&gt;")=0,"",SUMIFS(BD!$K$3:$K$5001,BD!$B$3:$B$5001,S$114,BD!$A$3:$A$5001,_xlfn.MAXIFS(BD!$A$3:$A$5001,BD!$B$3:$B$5001,S$114,BD!$A$3:$A$5001,"&gt;="&amp;$C$7,BD!$A$3:$A$5001,"&lt;="&amp;$B131,BD!$K$3:$K$5001,"&lt;&gt;"))))</f>
        <v/>
      </c>
      <c r="T131" s="43" t="str">
        <f>IF(OR($B131="",$A131&gt;$B$9,T$114=""),"",IF(COUNTIFS(BD!$B$3:$B$5001,T$114,BD!$A$3:$A$5001,"&gt;="&amp;$C$7,BD!$A$3:$A$5001,"&lt;="&amp;$B131,BD!$K$3:$K$5001,"&lt;&gt;")=0,"",SUMIFS(BD!$K$3:$K$5001,BD!$B$3:$B$5001,T$114,BD!$A$3:$A$5001,_xlfn.MAXIFS(BD!$A$3:$A$5001,BD!$B$3:$B$5001,T$114,BD!$A$3:$A$5001,"&gt;="&amp;$C$7,BD!$A$3:$A$5001,"&lt;="&amp;$B131,BD!$K$3:$K$5001,"&lt;&gt;"))))</f>
        <v/>
      </c>
      <c r="U131" s="43" t="str">
        <f>IF(OR($B131="",$A131&gt;$B$9,U$114=""),"",IF(COUNTIFS(BD!$B$3:$B$5001,U$114,BD!$A$3:$A$5001,"&gt;="&amp;$C$7,BD!$A$3:$A$5001,"&lt;="&amp;$B131,BD!$K$3:$K$5001,"&lt;&gt;")=0,"",SUMIFS(BD!$K$3:$K$5001,BD!$B$3:$B$5001,U$114,BD!$A$3:$A$5001,_xlfn.MAXIFS(BD!$A$3:$A$5001,BD!$B$3:$B$5001,U$114,BD!$A$3:$A$5001,"&gt;="&amp;$C$7,BD!$A$3:$A$5001,"&lt;="&amp;$B131,BD!$K$3:$K$5001,"&lt;&gt;"))))</f>
        <v/>
      </c>
      <c r="V131" s="43" t="str">
        <f>IF(OR($B131="",$A131&gt;$B$9,V$114=""),"",IF(COUNTIFS(BD!$B$3:$B$5001,V$114,BD!$A$3:$A$5001,"&gt;="&amp;$C$7,BD!$A$3:$A$5001,"&lt;="&amp;$B131,BD!$K$3:$K$5001,"&lt;&gt;")=0,"",SUMIFS(BD!$K$3:$K$5001,BD!$B$3:$B$5001,V$114,BD!$A$3:$A$5001,_xlfn.MAXIFS(BD!$A$3:$A$5001,BD!$B$3:$B$5001,V$114,BD!$A$3:$A$5001,"&gt;="&amp;$C$7,BD!$A$3:$A$5001,"&lt;="&amp;$B131,BD!$K$3:$K$5001,"&lt;&gt;"))))</f>
        <v/>
      </c>
    </row>
    <row r="132">
      <c r="A132" s="38">
        <v>18</v>
      </c>
      <c r="B132" s="42">
        <f>$B$29</f>
        <v>46313</v>
      </c>
      <c r="C132" s="43" t="str">
        <f>IF(OR($B132="",$A132&gt;$B$9,C$114=""),"",IF(COUNTIFS(BD!$B$3:$B$5001,C$114,BD!$A$3:$A$5001,"&gt;="&amp;$C$7,BD!$A$3:$A$5001,"&lt;="&amp;$B132,BD!$K$3:$K$5001,"&lt;&gt;")=0,"",SUMIFS(BD!$K$3:$K$5001,BD!$B$3:$B$5001,C$114,BD!$A$3:$A$5001,_xlfn.MAXIFS(BD!$A$3:$A$5001,BD!$B$3:$B$5001,C$114,BD!$A$3:$A$5001,"&gt;="&amp;$C$7,BD!$A$3:$A$5001,"&lt;="&amp;$B132,BD!$K$3:$K$5001,"&lt;&gt;"))))</f>
        <v/>
      </c>
      <c r="D132" s="43" t="str">
        <f>IF(OR($B132="",$A132&gt;$B$9,D$114=""),"",IF(COUNTIFS(BD!$B$3:$B$5001,D$114,BD!$A$3:$A$5001,"&gt;="&amp;$C$7,BD!$A$3:$A$5001,"&lt;="&amp;$B132,BD!$K$3:$K$5001,"&lt;&gt;")=0,"",SUMIFS(BD!$K$3:$K$5001,BD!$B$3:$B$5001,D$114,BD!$A$3:$A$5001,_xlfn.MAXIFS(BD!$A$3:$A$5001,BD!$B$3:$B$5001,D$114,BD!$A$3:$A$5001,"&gt;="&amp;$C$7,BD!$A$3:$A$5001,"&lt;="&amp;$B132,BD!$K$3:$K$5001,"&lt;&gt;"))))</f>
        <v/>
      </c>
      <c r="E132" s="43" t="str">
        <f>IF(OR($B132="",$A132&gt;$B$9,E$114=""),"",IF(COUNTIFS(BD!$B$3:$B$5001,E$114,BD!$A$3:$A$5001,"&gt;="&amp;$C$7,BD!$A$3:$A$5001,"&lt;="&amp;$B132,BD!$K$3:$K$5001,"&lt;&gt;")=0,"",SUMIFS(BD!$K$3:$K$5001,BD!$B$3:$B$5001,E$114,BD!$A$3:$A$5001,_xlfn.MAXIFS(BD!$A$3:$A$5001,BD!$B$3:$B$5001,E$114,BD!$A$3:$A$5001,"&gt;="&amp;$C$7,BD!$A$3:$A$5001,"&lt;="&amp;$B132,BD!$K$3:$K$5001,"&lt;&gt;"))))</f>
        <v/>
      </c>
      <c r="F132" s="43" t="str">
        <f>IF(OR($B132="",$A132&gt;$B$9,F$114=""),"",IF(COUNTIFS(BD!$B$3:$B$5001,F$114,BD!$A$3:$A$5001,"&gt;="&amp;$C$7,BD!$A$3:$A$5001,"&lt;="&amp;$B132,BD!$K$3:$K$5001,"&lt;&gt;")=0,"",SUMIFS(BD!$K$3:$K$5001,BD!$B$3:$B$5001,F$114,BD!$A$3:$A$5001,_xlfn.MAXIFS(BD!$A$3:$A$5001,BD!$B$3:$B$5001,F$114,BD!$A$3:$A$5001,"&gt;="&amp;$C$7,BD!$A$3:$A$5001,"&lt;="&amp;$B132,BD!$K$3:$K$5001,"&lt;&gt;"))))</f>
        <v/>
      </c>
      <c r="G132" s="43" t="str">
        <f>IF(OR($B132="",$A132&gt;$B$9,G$114=""),"",IF(COUNTIFS(BD!$B$3:$B$5001,G$114,BD!$A$3:$A$5001,"&gt;="&amp;$C$7,BD!$A$3:$A$5001,"&lt;="&amp;$B132,BD!$K$3:$K$5001,"&lt;&gt;")=0,"",SUMIFS(BD!$K$3:$K$5001,BD!$B$3:$B$5001,G$114,BD!$A$3:$A$5001,_xlfn.MAXIFS(BD!$A$3:$A$5001,BD!$B$3:$B$5001,G$114,BD!$A$3:$A$5001,"&gt;="&amp;$C$7,BD!$A$3:$A$5001,"&lt;="&amp;$B132,BD!$K$3:$K$5001,"&lt;&gt;"))))</f>
        <v/>
      </c>
      <c r="H132" s="43" t="str">
        <f>IF(OR($B132="",$A132&gt;$B$9,H$114=""),"",IF(COUNTIFS(BD!$B$3:$B$5001,H$114,BD!$A$3:$A$5001,"&gt;="&amp;$C$7,BD!$A$3:$A$5001,"&lt;="&amp;$B132,BD!$K$3:$K$5001,"&lt;&gt;")=0,"",SUMIFS(BD!$K$3:$K$5001,BD!$B$3:$B$5001,H$114,BD!$A$3:$A$5001,_xlfn.MAXIFS(BD!$A$3:$A$5001,BD!$B$3:$B$5001,H$114,BD!$A$3:$A$5001,"&gt;="&amp;$C$7,BD!$A$3:$A$5001,"&lt;="&amp;$B132,BD!$K$3:$K$5001,"&lt;&gt;"))))</f>
        <v/>
      </c>
      <c r="I132" s="43" t="str">
        <f>IF(OR($B132="",$A132&gt;$B$9,I$114=""),"",IF(COUNTIFS(BD!$B$3:$B$5001,I$114,BD!$A$3:$A$5001,"&gt;="&amp;$C$7,BD!$A$3:$A$5001,"&lt;="&amp;$B132,BD!$K$3:$K$5001,"&lt;&gt;")=0,"",SUMIFS(BD!$K$3:$K$5001,BD!$B$3:$B$5001,I$114,BD!$A$3:$A$5001,_xlfn.MAXIFS(BD!$A$3:$A$5001,BD!$B$3:$B$5001,I$114,BD!$A$3:$A$5001,"&gt;="&amp;$C$7,BD!$A$3:$A$5001,"&lt;="&amp;$B132,BD!$K$3:$K$5001,"&lt;&gt;"))))</f>
        <v/>
      </c>
      <c r="J132" s="43" t="str">
        <f>IF(OR($B132="",$A132&gt;$B$9,J$114=""),"",IF(COUNTIFS(BD!$B$3:$B$5001,J$114,BD!$A$3:$A$5001,"&gt;="&amp;$C$7,BD!$A$3:$A$5001,"&lt;="&amp;$B132,BD!$K$3:$K$5001,"&lt;&gt;")=0,"",SUMIFS(BD!$K$3:$K$5001,BD!$B$3:$B$5001,J$114,BD!$A$3:$A$5001,_xlfn.MAXIFS(BD!$A$3:$A$5001,BD!$B$3:$B$5001,J$114,BD!$A$3:$A$5001,"&gt;="&amp;$C$7,BD!$A$3:$A$5001,"&lt;="&amp;$B132,BD!$K$3:$K$5001,"&lt;&gt;"))))</f>
        <v/>
      </c>
      <c r="K132" s="43" t="str">
        <f>IF(OR($B132="",$A132&gt;$B$9,K$114=""),"",IF(COUNTIFS(BD!$B$3:$B$5001,K$114,BD!$A$3:$A$5001,"&gt;="&amp;$C$7,BD!$A$3:$A$5001,"&lt;="&amp;$B132,BD!$K$3:$K$5001,"&lt;&gt;")=0,"",SUMIFS(BD!$K$3:$K$5001,BD!$B$3:$B$5001,K$114,BD!$A$3:$A$5001,_xlfn.MAXIFS(BD!$A$3:$A$5001,BD!$B$3:$B$5001,K$114,BD!$A$3:$A$5001,"&gt;="&amp;$C$7,BD!$A$3:$A$5001,"&lt;="&amp;$B132,BD!$K$3:$K$5001,"&lt;&gt;"))))</f>
        <v/>
      </c>
      <c r="L132" s="43" t="str">
        <f>IF(OR($B132="",$A132&gt;$B$9,L$114=""),"",IF(COUNTIFS(BD!$B$3:$B$5001,L$114,BD!$A$3:$A$5001,"&gt;="&amp;$C$7,BD!$A$3:$A$5001,"&lt;="&amp;$B132,BD!$K$3:$K$5001,"&lt;&gt;")=0,"",SUMIFS(BD!$K$3:$K$5001,BD!$B$3:$B$5001,L$114,BD!$A$3:$A$5001,_xlfn.MAXIFS(BD!$A$3:$A$5001,BD!$B$3:$B$5001,L$114,BD!$A$3:$A$5001,"&gt;="&amp;$C$7,BD!$A$3:$A$5001,"&lt;="&amp;$B132,BD!$K$3:$K$5001,"&lt;&gt;"))))</f>
        <v/>
      </c>
      <c r="M132" s="43" t="str">
        <f>IF(OR($B132="",$A132&gt;$B$9,M$114=""),"",IF(COUNTIFS(BD!$B$3:$B$5001,M$114,BD!$A$3:$A$5001,"&gt;="&amp;$C$7,BD!$A$3:$A$5001,"&lt;="&amp;$B132,BD!$K$3:$K$5001,"&lt;&gt;")=0,"",SUMIFS(BD!$K$3:$K$5001,BD!$B$3:$B$5001,M$114,BD!$A$3:$A$5001,_xlfn.MAXIFS(BD!$A$3:$A$5001,BD!$B$3:$B$5001,M$114,BD!$A$3:$A$5001,"&gt;="&amp;$C$7,BD!$A$3:$A$5001,"&lt;="&amp;$B132,BD!$K$3:$K$5001,"&lt;&gt;"))))</f>
        <v/>
      </c>
      <c r="N132" s="43" t="str">
        <f>IF(OR($B132="",$A132&gt;$B$9,N$114=""),"",IF(COUNTIFS(BD!$B$3:$B$5001,N$114,BD!$A$3:$A$5001,"&gt;="&amp;$C$7,BD!$A$3:$A$5001,"&lt;="&amp;$B132,BD!$K$3:$K$5001,"&lt;&gt;")=0,"",SUMIFS(BD!$K$3:$K$5001,BD!$B$3:$B$5001,N$114,BD!$A$3:$A$5001,_xlfn.MAXIFS(BD!$A$3:$A$5001,BD!$B$3:$B$5001,N$114,BD!$A$3:$A$5001,"&gt;="&amp;$C$7,BD!$A$3:$A$5001,"&lt;="&amp;$B132,BD!$K$3:$K$5001,"&lt;&gt;"))))</f>
        <v/>
      </c>
      <c r="O132" s="43" t="str">
        <f>IF(OR($B132="",$A132&gt;$B$9,O$114=""),"",IF(COUNTIFS(BD!$B$3:$B$5001,O$114,BD!$A$3:$A$5001,"&gt;="&amp;$C$7,BD!$A$3:$A$5001,"&lt;="&amp;$B132,BD!$K$3:$K$5001,"&lt;&gt;")=0,"",SUMIFS(BD!$K$3:$K$5001,BD!$B$3:$B$5001,O$114,BD!$A$3:$A$5001,_xlfn.MAXIFS(BD!$A$3:$A$5001,BD!$B$3:$B$5001,O$114,BD!$A$3:$A$5001,"&gt;="&amp;$C$7,BD!$A$3:$A$5001,"&lt;="&amp;$B132,BD!$K$3:$K$5001,"&lt;&gt;"))))</f>
        <v/>
      </c>
      <c r="P132" s="43" t="str">
        <f>IF(OR($B132="",$A132&gt;$B$9,P$114=""),"",IF(COUNTIFS(BD!$B$3:$B$5001,P$114,BD!$A$3:$A$5001,"&gt;="&amp;$C$7,BD!$A$3:$A$5001,"&lt;="&amp;$B132,BD!$K$3:$K$5001,"&lt;&gt;")=0,"",SUMIFS(BD!$K$3:$K$5001,BD!$B$3:$B$5001,P$114,BD!$A$3:$A$5001,_xlfn.MAXIFS(BD!$A$3:$A$5001,BD!$B$3:$B$5001,P$114,BD!$A$3:$A$5001,"&gt;="&amp;$C$7,BD!$A$3:$A$5001,"&lt;="&amp;$B132,BD!$K$3:$K$5001,"&lt;&gt;"))))</f>
        <v/>
      </c>
      <c r="Q132" s="43" t="str">
        <f>IF(OR($B132="",$A132&gt;$B$9,Q$114=""),"",IF(COUNTIFS(BD!$B$3:$B$5001,Q$114,BD!$A$3:$A$5001,"&gt;="&amp;$C$7,BD!$A$3:$A$5001,"&lt;="&amp;$B132,BD!$K$3:$K$5001,"&lt;&gt;")=0,"",SUMIFS(BD!$K$3:$K$5001,BD!$B$3:$B$5001,Q$114,BD!$A$3:$A$5001,_xlfn.MAXIFS(BD!$A$3:$A$5001,BD!$B$3:$B$5001,Q$114,BD!$A$3:$A$5001,"&gt;="&amp;$C$7,BD!$A$3:$A$5001,"&lt;="&amp;$B132,BD!$K$3:$K$5001,"&lt;&gt;"))))</f>
        <v/>
      </c>
      <c r="R132" s="43" t="str">
        <f>IF(OR($B132="",$A132&gt;$B$9,R$114=""),"",IF(COUNTIFS(BD!$B$3:$B$5001,R$114,BD!$A$3:$A$5001,"&gt;="&amp;$C$7,BD!$A$3:$A$5001,"&lt;="&amp;$B132,BD!$K$3:$K$5001,"&lt;&gt;")=0,"",SUMIFS(BD!$K$3:$K$5001,BD!$B$3:$B$5001,R$114,BD!$A$3:$A$5001,_xlfn.MAXIFS(BD!$A$3:$A$5001,BD!$B$3:$B$5001,R$114,BD!$A$3:$A$5001,"&gt;="&amp;$C$7,BD!$A$3:$A$5001,"&lt;="&amp;$B132,BD!$K$3:$K$5001,"&lt;&gt;"))))</f>
        <v/>
      </c>
      <c r="S132" s="43" t="str">
        <f>IF(OR($B132="",$A132&gt;$B$9,S$114=""),"",IF(COUNTIFS(BD!$B$3:$B$5001,S$114,BD!$A$3:$A$5001,"&gt;="&amp;$C$7,BD!$A$3:$A$5001,"&lt;="&amp;$B132,BD!$K$3:$K$5001,"&lt;&gt;")=0,"",SUMIFS(BD!$K$3:$K$5001,BD!$B$3:$B$5001,S$114,BD!$A$3:$A$5001,_xlfn.MAXIFS(BD!$A$3:$A$5001,BD!$B$3:$B$5001,S$114,BD!$A$3:$A$5001,"&gt;="&amp;$C$7,BD!$A$3:$A$5001,"&lt;="&amp;$B132,BD!$K$3:$K$5001,"&lt;&gt;"))))</f>
        <v/>
      </c>
      <c r="T132" s="43" t="str">
        <f>IF(OR($B132="",$A132&gt;$B$9,T$114=""),"",IF(COUNTIFS(BD!$B$3:$B$5001,T$114,BD!$A$3:$A$5001,"&gt;="&amp;$C$7,BD!$A$3:$A$5001,"&lt;="&amp;$B132,BD!$K$3:$K$5001,"&lt;&gt;")=0,"",SUMIFS(BD!$K$3:$K$5001,BD!$B$3:$B$5001,T$114,BD!$A$3:$A$5001,_xlfn.MAXIFS(BD!$A$3:$A$5001,BD!$B$3:$B$5001,T$114,BD!$A$3:$A$5001,"&gt;="&amp;$C$7,BD!$A$3:$A$5001,"&lt;="&amp;$B132,BD!$K$3:$K$5001,"&lt;&gt;"))))</f>
        <v/>
      </c>
      <c r="U132" s="43" t="str">
        <f>IF(OR($B132="",$A132&gt;$B$9,U$114=""),"",IF(COUNTIFS(BD!$B$3:$B$5001,U$114,BD!$A$3:$A$5001,"&gt;="&amp;$C$7,BD!$A$3:$A$5001,"&lt;="&amp;$B132,BD!$K$3:$K$5001,"&lt;&gt;")=0,"",SUMIFS(BD!$K$3:$K$5001,BD!$B$3:$B$5001,U$114,BD!$A$3:$A$5001,_xlfn.MAXIFS(BD!$A$3:$A$5001,BD!$B$3:$B$5001,U$114,BD!$A$3:$A$5001,"&gt;="&amp;$C$7,BD!$A$3:$A$5001,"&lt;="&amp;$B132,BD!$K$3:$K$5001,"&lt;&gt;"))))</f>
        <v/>
      </c>
      <c r="V132" s="43" t="str">
        <f>IF(OR($B132="",$A132&gt;$B$9,V$114=""),"",IF(COUNTIFS(BD!$B$3:$B$5001,V$114,BD!$A$3:$A$5001,"&gt;="&amp;$C$7,BD!$A$3:$A$5001,"&lt;="&amp;$B132,BD!$K$3:$K$5001,"&lt;&gt;")=0,"",SUMIFS(BD!$K$3:$K$5001,BD!$B$3:$B$5001,V$114,BD!$A$3:$A$5001,_xlfn.MAXIFS(BD!$A$3:$A$5001,BD!$B$3:$B$5001,V$114,BD!$A$3:$A$5001,"&gt;="&amp;$C$7,BD!$A$3:$A$5001,"&lt;="&amp;$B132,BD!$K$3:$K$5001,"&lt;&gt;"))))</f>
        <v/>
      </c>
    </row>
    <row r="133">
      <c r="A133" s="38">
        <v>19</v>
      </c>
      <c r="B133" s="42">
        <f>$B$30</f>
        <v>46314</v>
      </c>
      <c r="C133" s="43" t="str">
        <f>IF(OR($B133="",$A133&gt;$B$9,C$114=""),"",IF(COUNTIFS(BD!$B$3:$B$5001,C$114,BD!$A$3:$A$5001,"&gt;="&amp;$C$7,BD!$A$3:$A$5001,"&lt;="&amp;$B133,BD!$K$3:$K$5001,"&lt;&gt;")=0,"",SUMIFS(BD!$K$3:$K$5001,BD!$B$3:$B$5001,C$114,BD!$A$3:$A$5001,_xlfn.MAXIFS(BD!$A$3:$A$5001,BD!$B$3:$B$5001,C$114,BD!$A$3:$A$5001,"&gt;="&amp;$C$7,BD!$A$3:$A$5001,"&lt;="&amp;$B133,BD!$K$3:$K$5001,"&lt;&gt;"))))</f>
        <v/>
      </c>
      <c r="D133" s="43" t="str">
        <f>IF(OR($B133="",$A133&gt;$B$9,D$114=""),"",IF(COUNTIFS(BD!$B$3:$B$5001,D$114,BD!$A$3:$A$5001,"&gt;="&amp;$C$7,BD!$A$3:$A$5001,"&lt;="&amp;$B133,BD!$K$3:$K$5001,"&lt;&gt;")=0,"",SUMIFS(BD!$K$3:$K$5001,BD!$B$3:$B$5001,D$114,BD!$A$3:$A$5001,_xlfn.MAXIFS(BD!$A$3:$A$5001,BD!$B$3:$B$5001,D$114,BD!$A$3:$A$5001,"&gt;="&amp;$C$7,BD!$A$3:$A$5001,"&lt;="&amp;$B133,BD!$K$3:$K$5001,"&lt;&gt;"))))</f>
        <v/>
      </c>
      <c r="E133" s="43" t="str">
        <f>IF(OR($B133="",$A133&gt;$B$9,E$114=""),"",IF(COUNTIFS(BD!$B$3:$B$5001,E$114,BD!$A$3:$A$5001,"&gt;="&amp;$C$7,BD!$A$3:$A$5001,"&lt;="&amp;$B133,BD!$K$3:$K$5001,"&lt;&gt;")=0,"",SUMIFS(BD!$K$3:$K$5001,BD!$B$3:$B$5001,E$114,BD!$A$3:$A$5001,_xlfn.MAXIFS(BD!$A$3:$A$5001,BD!$B$3:$B$5001,E$114,BD!$A$3:$A$5001,"&gt;="&amp;$C$7,BD!$A$3:$A$5001,"&lt;="&amp;$B133,BD!$K$3:$K$5001,"&lt;&gt;"))))</f>
        <v/>
      </c>
      <c r="F133" s="43" t="str">
        <f>IF(OR($B133="",$A133&gt;$B$9,F$114=""),"",IF(COUNTIFS(BD!$B$3:$B$5001,F$114,BD!$A$3:$A$5001,"&gt;="&amp;$C$7,BD!$A$3:$A$5001,"&lt;="&amp;$B133,BD!$K$3:$K$5001,"&lt;&gt;")=0,"",SUMIFS(BD!$K$3:$K$5001,BD!$B$3:$B$5001,F$114,BD!$A$3:$A$5001,_xlfn.MAXIFS(BD!$A$3:$A$5001,BD!$B$3:$B$5001,F$114,BD!$A$3:$A$5001,"&gt;="&amp;$C$7,BD!$A$3:$A$5001,"&lt;="&amp;$B133,BD!$K$3:$K$5001,"&lt;&gt;"))))</f>
        <v/>
      </c>
      <c r="G133" s="43" t="str">
        <f>IF(OR($B133="",$A133&gt;$B$9,G$114=""),"",IF(COUNTIFS(BD!$B$3:$B$5001,G$114,BD!$A$3:$A$5001,"&gt;="&amp;$C$7,BD!$A$3:$A$5001,"&lt;="&amp;$B133,BD!$K$3:$K$5001,"&lt;&gt;")=0,"",SUMIFS(BD!$K$3:$K$5001,BD!$B$3:$B$5001,G$114,BD!$A$3:$A$5001,_xlfn.MAXIFS(BD!$A$3:$A$5001,BD!$B$3:$B$5001,G$114,BD!$A$3:$A$5001,"&gt;="&amp;$C$7,BD!$A$3:$A$5001,"&lt;="&amp;$B133,BD!$K$3:$K$5001,"&lt;&gt;"))))</f>
        <v/>
      </c>
      <c r="H133" s="43" t="str">
        <f>IF(OR($B133="",$A133&gt;$B$9,H$114=""),"",IF(COUNTIFS(BD!$B$3:$B$5001,H$114,BD!$A$3:$A$5001,"&gt;="&amp;$C$7,BD!$A$3:$A$5001,"&lt;="&amp;$B133,BD!$K$3:$K$5001,"&lt;&gt;")=0,"",SUMIFS(BD!$K$3:$K$5001,BD!$B$3:$B$5001,H$114,BD!$A$3:$A$5001,_xlfn.MAXIFS(BD!$A$3:$A$5001,BD!$B$3:$B$5001,H$114,BD!$A$3:$A$5001,"&gt;="&amp;$C$7,BD!$A$3:$A$5001,"&lt;="&amp;$B133,BD!$K$3:$K$5001,"&lt;&gt;"))))</f>
        <v/>
      </c>
      <c r="I133" s="43" t="str">
        <f>IF(OR($B133="",$A133&gt;$B$9,I$114=""),"",IF(COUNTIFS(BD!$B$3:$B$5001,I$114,BD!$A$3:$A$5001,"&gt;="&amp;$C$7,BD!$A$3:$A$5001,"&lt;="&amp;$B133,BD!$K$3:$K$5001,"&lt;&gt;")=0,"",SUMIFS(BD!$K$3:$K$5001,BD!$B$3:$B$5001,I$114,BD!$A$3:$A$5001,_xlfn.MAXIFS(BD!$A$3:$A$5001,BD!$B$3:$B$5001,I$114,BD!$A$3:$A$5001,"&gt;="&amp;$C$7,BD!$A$3:$A$5001,"&lt;="&amp;$B133,BD!$K$3:$K$5001,"&lt;&gt;"))))</f>
        <v/>
      </c>
      <c r="J133" s="43" t="str">
        <f>IF(OR($B133="",$A133&gt;$B$9,J$114=""),"",IF(COUNTIFS(BD!$B$3:$B$5001,J$114,BD!$A$3:$A$5001,"&gt;="&amp;$C$7,BD!$A$3:$A$5001,"&lt;="&amp;$B133,BD!$K$3:$K$5001,"&lt;&gt;")=0,"",SUMIFS(BD!$K$3:$K$5001,BD!$B$3:$B$5001,J$114,BD!$A$3:$A$5001,_xlfn.MAXIFS(BD!$A$3:$A$5001,BD!$B$3:$B$5001,J$114,BD!$A$3:$A$5001,"&gt;="&amp;$C$7,BD!$A$3:$A$5001,"&lt;="&amp;$B133,BD!$K$3:$K$5001,"&lt;&gt;"))))</f>
        <v/>
      </c>
      <c r="K133" s="43" t="str">
        <f>IF(OR($B133="",$A133&gt;$B$9,K$114=""),"",IF(COUNTIFS(BD!$B$3:$B$5001,K$114,BD!$A$3:$A$5001,"&gt;="&amp;$C$7,BD!$A$3:$A$5001,"&lt;="&amp;$B133,BD!$K$3:$K$5001,"&lt;&gt;")=0,"",SUMIFS(BD!$K$3:$K$5001,BD!$B$3:$B$5001,K$114,BD!$A$3:$A$5001,_xlfn.MAXIFS(BD!$A$3:$A$5001,BD!$B$3:$B$5001,K$114,BD!$A$3:$A$5001,"&gt;="&amp;$C$7,BD!$A$3:$A$5001,"&lt;="&amp;$B133,BD!$K$3:$K$5001,"&lt;&gt;"))))</f>
        <v/>
      </c>
      <c r="L133" s="43" t="str">
        <f>IF(OR($B133="",$A133&gt;$B$9,L$114=""),"",IF(COUNTIFS(BD!$B$3:$B$5001,L$114,BD!$A$3:$A$5001,"&gt;="&amp;$C$7,BD!$A$3:$A$5001,"&lt;="&amp;$B133,BD!$K$3:$K$5001,"&lt;&gt;")=0,"",SUMIFS(BD!$K$3:$K$5001,BD!$B$3:$B$5001,L$114,BD!$A$3:$A$5001,_xlfn.MAXIFS(BD!$A$3:$A$5001,BD!$B$3:$B$5001,L$114,BD!$A$3:$A$5001,"&gt;="&amp;$C$7,BD!$A$3:$A$5001,"&lt;="&amp;$B133,BD!$K$3:$K$5001,"&lt;&gt;"))))</f>
        <v/>
      </c>
      <c r="M133" s="43" t="str">
        <f>IF(OR($B133="",$A133&gt;$B$9,M$114=""),"",IF(COUNTIFS(BD!$B$3:$B$5001,M$114,BD!$A$3:$A$5001,"&gt;="&amp;$C$7,BD!$A$3:$A$5001,"&lt;="&amp;$B133,BD!$K$3:$K$5001,"&lt;&gt;")=0,"",SUMIFS(BD!$K$3:$K$5001,BD!$B$3:$B$5001,M$114,BD!$A$3:$A$5001,_xlfn.MAXIFS(BD!$A$3:$A$5001,BD!$B$3:$B$5001,M$114,BD!$A$3:$A$5001,"&gt;="&amp;$C$7,BD!$A$3:$A$5001,"&lt;="&amp;$B133,BD!$K$3:$K$5001,"&lt;&gt;"))))</f>
        <v/>
      </c>
      <c r="N133" s="43" t="str">
        <f>IF(OR($B133="",$A133&gt;$B$9,N$114=""),"",IF(COUNTIFS(BD!$B$3:$B$5001,N$114,BD!$A$3:$A$5001,"&gt;="&amp;$C$7,BD!$A$3:$A$5001,"&lt;="&amp;$B133,BD!$K$3:$K$5001,"&lt;&gt;")=0,"",SUMIFS(BD!$K$3:$K$5001,BD!$B$3:$B$5001,N$114,BD!$A$3:$A$5001,_xlfn.MAXIFS(BD!$A$3:$A$5001,BD!$B$3:$B$5001,N$114,BD!$A$3:$A$5001,"&gt;="&amp;$C$7,BD!$A$3:$A$5001,"&lt;="&amp;$B133,BD!$K$3:$K$5001,"&lt;&gt;"))))</f>
        <v/>
      </c>
      <c r="O133" s="43" t="str">
        <f>IF(OR($B133="",$A133&gt;$B$9,O$114=""),"",IF(COUNTIFS(BD!$B$3:$B$5001,O$114,BD!$A$3:$A$5001,"&gt;="&amp;$C$7,BD!$A$3:$A$5001,"&lt;="&amp;$B133,BD!$K$3:$K$5001,"&lt;&gt;")=0,"",SUMIFS(BD!$K$3:$K$5001,BD!$B$3:$B$5001,O$114,BD!$A$3:$A$5001,_xlfn.MAXIFS(BD!$A$3:$A$5001,BD!$B$3:$B$5001,O$114,BD!$A$3:$A$5001,"&gt;="&amp;$C$7,BD!$A$3:$A$5001,"&lt;="&amp;$B133,BD!$K$3:$K$5001,"&lt;&gt;"))))</f>
        <v/>
      </c>
      <c r="P133" s="43" t="str">
        <f>IF(OR($B133="",$A133&gt;$B$9,P$114=""),"",IF(COUNTIFS(BD!$B$3:$B$5001,P$114,BD!$A$3:$A$5001,"&gt;="&amp;$C$7,BD!$A$3:$A$5001,"&lt;="&amp;$B133,BD!$K$3:$K$5001,"&lt;&gt;")=0,"",SUMIFS(BD!$K$3:$K$5001,BD!$B$3:$B$5001,P$114,BD!$A$3:$A$5001,_xlfn.MAXIFS(BD!$A$3:$A$5001,BD!$B$3:$B$5001,P$114,BD!$A$3:$A$5001,"&gt;="&amp;$C$7,BD!$A$3:$A$5001,"&lt;="&amp;$B133,BD!$K$3:$K$5001,"&lt;&gt;"))))</f>
        <v/>
      </c>
      <c r="Q133" s="43" t="str">
        <f>IF(OR($B133="",$A133&gt;$B$9,Q$114=""),"",IF(COUNTIFS(BD!$B$3:$B$5001,Q$114,BD!$A$3:$A$5001,"&gt;="&amp;$C$7,BD!$A$3:$A$5001,"&lt;="&amp;$B133,BD!$K$3:$K$5001,"&lt;&gt;")=0,"",SUMIFS(BD!$K$3:$K$5001,BD!$B$3:$B$5001,Q$114,BD!$A$3:$A$5001,_xlfn.MAXIFS(BD!$A$3:$A$5001,BD!$B$3:$B$5001,Q$114,BD!$A$3:$A$5001,"&gt;="&amp;$C$7,BD!$A$3:$A$5001,"&lt;="&amp;$B133,BD!$K$3:$K$5001,"&lt;&gt;"))))</f>
        <v/>
      </c>
      <c r="R133" s="43" t="str">
        <f>IF(OR($B133="",$A133&gt;$B$9,R$114=""),"",IF(COUNTIFS(BD!$B$3:$B$5001,R$114,BD!$A$3:$A$5001,"&gt;="&amp;$C$7,BD!$A$3:$A$5001,"&lt;="&amp;$B133,BD!$K$3:$K$5001,"&lt;&gt;")=0,"",SUMIFS(BD!$K$3:$K$5001,BD!$B$3:$B$5001,R$114,BD!$A$3:$A$5001,_xlfn.MAXIFS(BD!$A$3:$A$5001,BD!$B$3:$B$5001,R$114,BD!$A$3:$A$5001,"&gt;="&amp;$C$7,BD!$A$3:$A$5001,"&lt;="&amp;$B133,BD!$K$3:$K$5001,"&lt;&gt;"))))</f>
        <v/>
      </c>
      <c r="S133" s="43" t="str">
        <f>IF(OR($B133="",$A133&gt;$B$9,S$114=""),"",IF(COUNTIFS(BD!$B$3:$B$5001,S$114,BD!$A$3:$A$5001,"&gt;="&amp;$C$7,BD!$A$3:$A$5001,"&lt;="&amp;$B133,BD!$K$3:$K$5001,"&lt;&gt;")=0,"",SUMIFS(BD!$K$3:$K$5001,BD!$B$3:$B$5001,S$114,BD!$A$3:$A$5001,_xlfn.MAXIFS(BD!$A$3:$A$5001,BD!$B$3:$B$5001,S$114,BD!$A$3:$A$5001,"&gt;="&amp;$C$7,BD!$A$3:$A$5001,"&lt;="&amp;$B133,BD!$K$3:$K$5001,"&lt;&gt;"))))</f>
        <v/>
      </c>
      <c r="T133" s="43" t="str">
        <f>IF(OR($B133="",$A133&gt;$B$9,T$114=""),"",IF(COUNTIFS(BD!$B$3:$B$5001,T$114,BD!$A$3:$A$5001,"&gt;="&amp;$C$7,BD!$A$3:$A$5001,"&lt;="&amp;$B133,BD!$K$3:$K$5001,"&lt;&gt;")=0,"",SUMIFS(BD!$K$3:$K$5001,BD!$B$3:$B$5001,T$114,BD!$A$3:$A$5001,_xlfn.MAXIFS(BD!$A$3:$A$5001,BD!$B$3:$B$5001,T$114,BD!$A$3:$A$5001,"&gt;="&amp;$C$7,BD!$A$3:$A$5001,"&lt;="&amp;$B133,BD!$K$3:$K$5001,"&lt;&gt;"))))</f>
        <v/>
      </c>
      <c r="U133" s="43" t="str">
        <f>IF(OR($B133="",$A133&gt;$B$9,U$114=""),"",IF(COUNTIFS(BD!$B$3:$B$5001,U$114,BD!$A$3:$A$5001,"&gt;="&amp;$C$7,BD!$A$3:$A$5001,"&lt;="&amp;$B133,BD!$K$3:$K$5001,"&lt;&gt;")=0,"",SUMIFS(BD!$K$3:$K$5001,BD!$B$3:$B$5001,U$114,BD!$A$3:$A$5001,_xlfn.MAXIFS(BD!$A$3:$A$5001,BD!$B$3:$B$5001,U$114,BD!$A$3:$A$5001,"&gt;="&amp;$C$7,BD!$A$3:$A$5001,"&lt;="&amp;$B133,BD!$K$3:$K$5001,"&lt;&gt;"))))</f>
        <v/>
      </c>
      <c r="V133" s="43" t="str">
        <f>IF(OR($B133="",$A133&gt;$B$9,V$114=""),"",IF(COUNTIFS(BD!$B$3:$B$5001,V$114,BD!$A$3:$A$5001,"&gt;="&amp;$C$7,BD!$A$3:$A$5001,"&lt;="&amp;$B133,BD!$K$3:$K$5001,"&lt;&gt;")=0,"",SUMIFS(BD!$K$3:$K$5001,BD!$B$3:$B$5001,V$114,BD!$A$3:$A$5001,_xlfn.MAXIFS(BD!$A$3:$A$5001,BD!$B$3:$B$5001,V$114,BD!$A$3:$A$5001,"&gt;="&amp;$C$7,BD!$A$3:$A$5001,"&lt;="&amp;$B133,BD!$K$3:$K$5001,"&lt;&gt;"))))</f>
        <v/>
      </c>
    </row>
    <row r="134">
      <c r="A134" s="38">
        <v>20</v>
      </c>
      <c r="B134" s="42">
        <f>$B$31</f>
        <v>46315</v>
      </c>
      <c r="C134" s="43" t="str">
        <f>IF(OR($B134="",$A134&gt;$B$9,C$114=""),"",IF(COUNTIFS(BD!$B$3:$B$5001,C$114,BD!$A$3:$A$5001,"&gt;="&amp;$C$7,BD!$A$3:$A$5001,"&lt;="&amp;$B134,BD!$K$3:$K$5001,"&lt;&gt;")=0,"",SUMIFS(BD!$K$3:$K$5001,BD!$B$3:$B$5001,C$114,BD!$A$3:$A$5001,_xlfn.MAXIFS(BD!$A$3:$A$5001,BD!$B$3:$B$5001,C$114,BD!$A$3:$A$5001,"&gt;="&amp;$C$7,BD!$A$3:$A$5001,"&lt;="&amp;$B134,BD!$K$3:$K$5001,"&lt;&gt;"))))</f>
        <v/>
      </c>
      <c r="D134" s="43" t="str">
        <f>IF(OR($B134="",$A134&gt;$B$9,D$114=""),"",IF(COUNTIFS(BD!$B$3:$B$5001,D$114,BD!$A$3:$A$5001,"&gt;="&amp;$C$7,BD!$A$3:$A$5001,"&lt;="&amp;$B134,BD!$K$3:$K$5001,"&lt;&gt;")=0,"",SUMIFS(BD!$K$3:$K$5001,BD!$B$3:$B$5001,D$114,BD!$A$3:$A$5001,_xlfn.MAXIFS(BD!$A$3:$A$5001,BD!$B$3:$B$5001,D$114,BD!$A$3:$A$5001,"&gt;="&amp;$C$7,BD!$A$3:$A$5001,"&lt;="&amp;$B134,BD!$K$3:$K$5001,"&lt;&gt;"))))</f>
        <v/>
      </c>
      <c r="E134" s="43" t="str">
        <f>IF(OR($B134="",$A134&gt;$B$9,E$114=""),"",IF(COUNTIFS(BD!$B$3:$B$5001,E$114,BD!$A$3:$A$5001,"&gt;="&amp;$C$7,BD!$A$3:$A$5001,"&lt;="&amp;$B134,BD!$K$3:$K$5001,"&lt;&gt;")=0,"",SUMIFS(BD!$K$3:$K$5001,BD!$B$3:$B$5001,E$114,BD!$A$3:$A$5001,_xlfn.MAXIFS(BD!$A$3:$A$5001,BD!$B$3:$B$5001,E$114,BD!$A$3:$A$5001,"&gt;="&amp;$C$7,BD!$A$3:$A$5001,"&lt;="&amp;$B134,BD!$K$3:$K$5001,"&lt;&gt;"))))</f>
        <v/>
      </c>
      <c r="F134" s="43" t="str">
        <f>IF(OR($B134="",$A134&gt;$B$9,F$114=""),"",IF(COUNTIFS(BD!$B$3:$B$5001,F$114,BD!$A$3:$A$5001,"&gt;="&amp;$C$7,BD!$A$3:$A$5001,"&lt;="&amp;$B134,BD!$K$3:$K$5001,"&lt;&gt;")=0,"",SUMIFS(BD!$K$3:$K$5001,BD!$B$3:$B$5001,F$114,BD!$A$3:$A$5001,_xlfn.MAXIFS(BD!$A$3:$A$5001,BD!$B$3:$B$5001,F$114,BD!$A$3:$A$5001,"&gt;="&amp;$C$7,BD!$A$3:$A$5001,"&lt;="&amp;$B134,BD!$K$3:$K$5001,"&lt;&gt;"))))</f>
        <v/>
      </c>
      <c r="G134" s="43" t="str">
        <f>IF(OR($B134="",$A134&gt;$B$9,G$114=""),"",IF(COUNTIFS(BD!$B$3:$B$5001,G$114,BD!$A$3:$A$5001,"&gt;="&amp;$C$7,BD!$A$3:$A$5001,"&lt;="&amp;$B134,BD!$K$3:$K$5001,"&lt;&gt;")=0,"",SUMIFS(BD!$K$3:$K$5001,BD!$B$3:$B$5001,G$114,BD!$A$3:$A$5001,_xlfn.MAXIFS(BD!$A$3:$A$5001,BD!$B$3:$B$5001,G$114,BD!$A$3:$A$5001,"&gt;="&amp;$C$7,BD!$A$3:$A$5001,"&lt;="&amp;$B134,BD!$K$3:$K$5001,"&lt;&gt;"))))</f>
        <v/>
      </c>
      <c r="H134" s="43" t="str">
        <f>IF(OR($B134="",$A134&gt;$B$9,H$114=""),"",IF(COUNTIFS(BD!$B$3:$B$5001,H$114,BD!$A$3:$A$5001,"&gt;="&amp;$C$7,BD!$A$3:$A$5001,"&lt;="&amp;$B134,BD!$K$3:$K$5001,"&lt;&gt;")=0,"",SUMIFS(BD!$K$3:$K$5001,BD!$B$3:$B$5001,H$114,BD!$A$3:$A$5001,_xlfn.MAXIFS(BD!$A$3:$A$5001,BD!$B$3:$B$5001,H$114,BD!$A$3:$A$5001,"&gt;="&amp;$C$7,BD!$A$3:$A$5001,"&lt;="&amp;$B134,BD!$K$3:$K$5001,"&lt;&gt;"))))</f>
        <v/>
      </c>
      <c r="I134" s="43" t="str">
        <f>IF(OR($B134="",$A134&gt;$B$9,I$114=""),"",IF(COUNTIFS(BD!$B$3:$B$5001,I$114,BD!$A$3:$A$5001,"&gt;="&amp;$C$7,BD!$A$3:$A$5001,"&lt;="&amp;$B134,BD!$K$3:$K$5001,"&lt;&gt;")=0,"",SUMIFS(BD!$K$3:$K$5001,BD!$B$3:$B$5001,I$114,BD!$A$3:$A$5001,_xlfn.MAXIFS(BD!$A$3:$A$5001,BD!$B$3:$B$5001,I$114,BD!$A$3:$A$5001,"&gt;="&amp;$C$7,BD!$A$3:$A$5001,"&lt;="&amp;$B134,BD!$K$3:$K$5001,"&lt;&gt;"))))</f>
        <v/>
      </c>
      <c r="J134" s="43" t="str">
        <f>IF(OR($B134="",$A134&gt;$B$9,J$114=""),"",IF(COUNTIFS(BD!$B$3:$B$5001,J$114,BD!$A$3:$A$5001,"&gt;="&amp;$C$7,BD!$A$3:$A$5001,"&lt;="&amp;$B134,BD!$K$3:$K$5001,"&lt;&gt;")=0,"",SUMIFS(BD!$K$3:$K$5001,BD!$B$3:$B$5001,J$114,BD!$A$3:$A$5001,_xlfn.MAXIFS(BD!$A$3:$A$5001,BD!$B$3:$B$5001,J$114,BD!$A$3:$A$5001,"&gt;="&amp;$C$7,BD!$A$3:$A$5001,"&lt;="&amp;$B134,BD!$K$3:$K$5001,"&lt;&gt;"))))</f>
        <v/>
      </c>
      <c r="K134" s="43" t="str">
        <f>IF(OR($B134="",$A134&gt;$B$9,K$114=""),"",IF(COUNTIFS(BD!$B$3:$B$5001,K$114,BD!$A$3:$A$5001,"&gt;="&amp;$C$7,BD!$A$3:$A$5001,"&lt;="&amp;$B134,BD!$K$3:$K$5001,"&lt;&gt;")=0,"",SUMIFS(BD!$K$3:$K$5001,BD!$B$3:$B$5001,K$114,BD!$A$3:$A$5001,_xlfn.MAXIFS(BD!$A$3:$A$5001,BD!$B$3:$B$5001,K$114,BD!$A$3:$A$5001,"&gt;="&amp;$C$7,BD!$A$3:$A$5001,"&lt;="&amp;$B134,BD!$K$3:$K$5001,"&lt;&gt;"))))</f>
        <v/>
      </c>
      <c r="L134" s="43" t="str">
        <f>IF(OR($B134="",$A134&gt;$B$9,L$114=""),"",IF(COUNTIFS(BD!$B$3:$B$5001,L$114,BD!$A$3:$A$5001,"&gt;="&amp;$C$7,BD!$A$3:$A$5001,"&lt;="&amp;$B134,BD!$K$3:$K$5001,"&lt;&gt;")=0,"",SUMIFS(BD!$K$3:$K$5001,BD!$B$3:$B$5001,L$114,BD!$A$3:$A$5001,_xlfn.MAXIFS(BD!$A$3:$A$5001,BD!$B$3:$B$5001,L$114,BD!$A$3:$A$5001,"&gt;="&amp;$C$7,BD!$A$3:$A$5001,"&lt;="&amp;$B134,BD!$K$3:$K$5001,"&lt;&gt;"))))</f>
        <v/>
      </c>
      <c r="M134" s="43" t="str">
        <f>IF(OR($B134="",$A134&gt;$B$9,M$114=""),"",IF(COUNTIFS(BD!$B$3:$B$5001,M$114,BD!$A$3:$A$5001,"&gt;="&amp;$C$7,BD!$A$3:$A$5001,"&lt;="&amp;$B134,BD!$K$3:$K$5001,"&lt;&gt;")=0,"",SUMIFS(BD!$K$3:$K$5001,BD!$B$3:$B$5001,M$114,BD!$A$3:$A$5001,_xlfn.MAXIFS(BD!$A$3:$A$5001,BD!$B$3:$B$5001,M$114,BD!$A$3:$A$5001,"&gt;="&amp;$C$7,BD!$A$3:$A$5001,"&lt;="&amp;$B134,BD!$K$3:$K$5001,"&lt;&gt;"))))</f>
        <v/>
      </c>
      <c r="N134" s="43" t="str">
        <f>IF(OR($B134="",$A134&gt;$B$9,N$114=""),"",IF(COUNTIFS(BD!$B$3:$B$5001,N$114,BD!$A$3:$A$5001,"&gt;="&amp;$C$7,BD!$A$3:$A$5001,"&lt;="&amp;$B134,BD!$K$3:$K$5001,"&lt;&gt;")=0,"",SUMIFS(BD!$K$3:$K$5001,BD!$B$3:$B$5001,N$114,BD!$A$3:$A$5001,_xlfn.MAXIFS(BD!$A$3:$A$5001,BD!$B$3:$B$5001,N$114,BD!$A$3:$A$5001,"&gt;="&amp;$C$7,BD!$A$3:$A$5001,"&lt;="&amp;$B134,BD!$K$3:$K$5001,"&lt;&gt;"))))</f>
        <v/>
      </c>
      <c r="O134" s="43" t="str">
        <f>IF(OR($B134="",$A134&gt;$B$9,O$114=""),"",IF(COUNTIFS(BD!$B$3:$B$5001,O$114,BD!$A$3:$A$5001,"&gt;="&amp;$C$7,BD!$A$3:$A$5001,"&lt;="&amp;$B134,BD!$K$3:$K$5001,"&lt;&gt;")=0,"",SUMIFS(BD!$K$3:$K$5001,BD!$B$3:$B$5001,O$114,BD!$A$3:$A$5001,_xlfn.MAXIFS(BD!$A$3:$A$5001,BD!$B$3:$B$5001,O$114,BD!$A$3:$A$5001,"&gt;="&amp;$C$7,BD!$A$3:$A$5001,"&lt;="&amp;$B134,BD!$K$3:$K$5001,"&lt;&gt;"))))</f>
        <v/>
      </c>
      <c r="P134" s="43" t="str">
        <f>IF(OR($B134="",$A134&gt;$B$9,P$114=""),"",IF(COUNTIFS(BD!$B$3:$B$5001,P$114,BD!$A$3:$A$5001,"&gt;="&amp;$C$7,BD!$A$3:$A$5001,"&lt;="&amp;$B134,BD!$K$3:$K$5001,"&lt;&gt;")=0,"",SUMIFS(BD!$K$3:$K$5001,BD!$B$3:$B$5001,P$114,BD!$A$3:$A$5001,_xlfn.MAXIFS(BD!$A$3:$A$5001,BD!$B$3:$B$5001,P$114,BD!$A$3:$A$5001,"&gt;="&amp;$C$7,BD!$A$3:$A$5001,"&lt;="&amp;$B134,BD!$K$3:$K$5001,"&lt;&gt;"))))</f>
        <v/>
      </c>
      <c r="Q134" s="43" t="str">
        <f>IF(OR($B134="",$A134&gt;$B$9,Q$114=""),"",IF(COUNTIFS(BD!$B$3:$B$5001,Q$114,BD!$A$3:$A$5001,"&gt;="&amp;$C$7,BD!$A$3:$A$5001,"&lt;="&amp;$B134,BD!$K$3:$K$5001,"&lt;&gt;")=0,"",SUMIFS(BD!$K$3:$K$5001,BD!$B$3:$B$5001,Q$114,BD!$A$3:$A$5001,_xlfn.MAXIFS(BD!$A$3:$A$5001,BD!$B$3:$B$5001,Q$114,BD!$A$3:$A$5001,"&gt;="&amp;$C$7,BD!$A$3:$A$5001,"&lt;="&amp;$B134,BD!$K$3:$K$5001,"&lt;&gt;"))))</f>
        <v/>
      </c>
      <c r="R134" s="43" t="str">
        <f>IF(OR($B134="",$A134&gt;$B$9,R$114=""),"",IF(COUNTIFS(BD!$B$3:$B$5001,R$114,BD!$A$3:$A$5001,"&gt;="&amp;$C$7,BD!$A$3:$A$5001,"&lt;="&amp;$B134,BD!$K$3:$K$5001,"&lt;&gt;")=0,"",SUMIFS(BD!$K$3:$K$5001,BD!$B$3:$B$5001,R$114,BD!$A$3:$A$5001,_xlfn.MAXIFS(BD!$A$3:$A$5001,BD!$B$3:$B$5001,R$114,BD!$A$3:$A$5001,"&gt;="&amp;$C$7,BD!$A$3:$A$5001,"&lt;="&amp;$B134,BD!$K$3:$K$5001,"&lt;&gt;"))))</f>
        <v/>
      </c>
      <c r="S134" s="43" t="str">
        <f>IF(OR($B134="",$A134&gt;$B$9,S$114=""),"",IF(COUNTIFS(BD!$B$3:$B$5001,S$114,BD!$A$3:$A$5001,"&gt;="&amp;$C$7,BD!$A$3:$A$5001,"&lt;="&amp;$B134,BD!$K$3:$K$5001,"&lt;&gt;")=0,"",SUMIFS(BD!$K$3:$K$5001,BD!$B$3:$B$5001,S$114,BD!$A$3:$A$5001,_xlfn.MAXIFS(BD!$A$3:$A$5001,BD!$B$3:$B$5001,S$114,BD!$A$3:$A$5001,"&gt;="&amp;$C$7,BD!$A$3:$A$5001,"&lt;="&amp;$B134,BD!$K$3:$K$5001,"&lt;&gt;"))))</f>
        <v/>
      </c>
      <c r="T134" s="43" t="str">
        <f>IF(OR($B134="",$A134&gt;$B$9,T$114=""),"",IF(COUNTIFS(BD!$B$3:$B$5001,T$114,BD!$A$3:$A$5001,"&gt;="&amp;$C$7,BD!$A$3:$A$5001,"&lt;="&amp;$B134,BD!$K$3:$K$5001,"&lt;&gt;")=0,"",SUMIFS(BD!$K$3:$K$5001,BD!$B$3:$B$5001,T$114,BD!$A$3:$A$5001,_xlfn.MAXIFS(BD!$A$3:$A$5001,BD!$B$3:$B$5001,T$114,BD!$A$3:$A$5001,"&gt;="&amp;$C$7,BD!$A$3:$A$5001,"&lt;="&amp;$B134,BD!$K$3:$K$5001,"&lt;&gt;"))))</f>
        <v/>
      </c>
      <c r="U134" s="43" t="str">
        <f>IF(OR($B134="",$A134&gt;$B$9,U$114=""),"",IF(COUNTIFS(BD!$B$3:$B$5001,U$114,BD!$A$3:$A$5001,"&gt;="&amp;$C$7,BD!$A$3:$A$5001,"&lt;="&amp;$B134,BD!$K$3:$K$5001,"&lt;&gt;")=0,"",SUMIFS(BD!$K$3:$K$5001,BD!$B$3:$B$5001,U$114,BD!$A$3:$A$5001,_xlfn.MAXIFS(BD!$A$3:$A$5001,BD!$B$3:$B$5001,U$114,BD!$A$3:$A$5001,"&gt;="&amp;$C$7,BD!$A$3:$A$5001,"&lt;="&amp;$B134,BD!$K$3:$K$5001,"&lt;&gt;"))))</f>
        <v/>
      </c>
      <c r="V134" s="43" t="str">
        <f>IF(OR($B134="",$A134&gt;$B$9,V$114=""),"",IF(COUNTIFS(BD!$B$3:$B$5001,V$114,BD!$A$3:$A$5001,"&gt;="&amp;$C$7,BD!$A$3:$A$5001,"&lt;="&amp;$B134,BD!$K$3:$K$5001,"&lt;&gt;")=0,"",SUMIFS(BD!$K$3:$K$5001,BD!$B$3:$B$5001,V$114,BD!$A$3:$A$5001,_xlfn.MAXIFS(BD!$A$3:$A$5001,BD!$B$3:$B$5001,V$114,BD!$A$3:$A$5001,"&gt;="&amp;$C$7,BD!$A$3:$A$5001,"&lt;="&amp;$B134,BD!$K$3:$K$5001,"&lt;&gt;"))))</f>
        <v/>
      </c>
    </row>
    <row r="135">
      <c r="A135" s="38">
        <v>21</v>
      </c>
      <c r="B135" s="42">
        <f>$B$32</f>
        <v>46316</v>
      </c>
      <c r="C135" s="43" t="str">
        <f>IF(OR($B135="",$A135&gt;$B$9,C$114=""),"",IF(COUNTIFS(BD!$B$3:$B$5001,C$114,BD!$A$3:$A$5001,"&gt;="&amp;$C$7,BD!$A$3:$A$5001,"&lt;="&amp;$B135,BD!$K$3:$K$5001,"&lt;&gt;")=0,"",SUMIFS(BD!$K$3:$K$5001,BD!$B$3:$B$5001,C$114,BD!$A$3:$A$5001,_xlfn.MAXIFS(BD!$A$3:$A$5001,BD!$B$3:$B$5001,C$114,BD!$A$3:$A$5001,"&gt;="&amp;$C$7,BD!$A$3:$A$5001,"&lt;="&amp;$B135,BD!$K$3:$K$5001,"&lt;&gt;"))))</f>
        <v/>
      </c>
      <c r="D135" s="43" t="str">
        <f>IF(OR($B135="",$A135&gt;$B$9,D$114=""),"",IF(COUNTIFS(BD!$B$3:$B$5001,D$114,BD!$A$3:$A$5001,"&gt;="&amp;$C$7,BD!$A$3:$A$5001,"&lt;="&amp;$B135,BD!$K$3:$K$5001,"&lt;&gt;")=0,"",SUMIFS(BD!$K$3:$K$5001,BD!$B$3:$B$5001,D$114,BD!$A$3:$A$5001,_xlfn.MAXIFS(BD!$A$3:$A$5001,BD!$B$3:$B$5001,D$114,BD!$A$3:$A$5001,"&gt;="&amp;$C$7,BD!$A$3:$A$5001,"&lt;="&amp;$B135,BD!$K$3:$K$5001,"&lt;&gt;"))))</f>
        <v/>
      </c>
      <c r="E135" s="43" t="str">
        <f>IF(OR($B135="",$A135&gt;$B$9,E$114=""),"",IF(COUNTIFS(BD!$B$3:$B$5001,E$114,BD!$A$3:$A$5001,"&gt;="&amp;$C$7,BD!$A$3:$A$5001,"&lt;="&amp;$B135,BD!$K$3:$K$5001,"&lt;&gt;")=0,"",SUMIFS(BD!$K$3:$K$5001,BD!$B$3:$B$5001,E$114,BD!$A$3:$A$5001,_xlfn.MAXIFS(BD!$A$3:$A$5001,BD!$B$3:$B$5001,E$114,BD!$A$3:$A$5001,"&gt;="&amp;$C$7,BD!$A$3:$A$5001,"&lt;="&amp;$B135,BD!$K$3:$K$5001,"&lt;&gt;"))))</f>
        <v/>
      </c>
      <c r="F135" s="43" t="str">
        <f>IF(OR($B135="",$A135&gt;$B$9,F$114=""),"",IF(COUNTIFS(BD!$B$3:$B$5001,F$114,BD!$A$3:$A$5001,"&gt;="&amp;$C$7,BD!$A$3:$A$5001,"&lt;="&amp;$B135,BD!$K$3:$K$5001,"&lt;&gt;")=0,"",SUMIFS(BD!$K$3:$K$5001,BD!$B$3:$B$5001,F$114,BD!$A$3:$A$5001,_xlfn.MAXIFS(BD!$A$3:$A$5001,BD!$B$3:$B$5001,F$114,BD!$A$3:$A$5001,"&gt;="&amp;$C$7,BD!$A$3:$A$5001,"&lt;="&amp;$B135,BD!$K$3:$K$5001,"&lt;&gt;"))))</f>
        <v/>
      </c>
      <c r="G135" s="43" t="str">
        <f>IF(OR($B135="",$A135&gt;$B$9,G$114=""),"",IF(COUNTIFS(BD!$B$3:$B$5001,G$114,BD!$A$3:$A$5001,"&gt;="&amp;$C$7,BD!$A$3:$A$5001,"&lt;="&amp;$B135,BD!$K$3:$K$5001,"&lt;&gt;")=0,"",SUMIFS(BD!$K$3:$K$5001,BD!$B$3:$B$5001,G$114,BD!$A$3:$A$5001,_xlfn.MAXIFS(BD!$A$3:$A$5001,BD!$B$3:$B$5001,G$114,BD!$A$3:$A$5001,"&gt;="&amp;$C$7,BD!$A$3:$A$5001,"&lt;="&amp;$B135,BD!$K$3:$K$5001,"&lt;&gt;"))))</f>
        <v/>
      </c>
      <c r="H135" s="43" t="str">
        <f>IF(OR($B135="",$A135&gt;$B$9,H$114=""),"",IF(COUNTIFS(BD!$B$3:$B$5001,H$114,BD!$A$3:$A$5001,"&gt;="&amp;$C$7,BD!$A$3:$A$5001,"&lt;="&amp;$B135,BD!$K$3:$K$5001,"&lt;&gt;")=0,"",SUMIFS(BD!$K$3:$K$5001,BD!$B$3:$B$5001,H$114,BD!$A$3:$A$5001,_xlfn.MAXIFS(BD!$A$3:$A$5001,BD!$B$3:$B$5001,H$114,BD!$A$3:$A$5001,"&gt;="&amp;$C$7,BD!$A$3:$A$5001,"&lt;="&amp;$B135,BD!$K$3:$K$5001,"&lt;&gt;"))))</f>
        <v/>
      </c>
      <c r="I135" s="43" t="str">
        <f>IF(OR($B135="",$A135&gt;$B$9,I$114=""),"",IF(COUNTIFS(BD!$B$3:$B$5001,I$114,BD!$A$3:$A$5001,"&gt;="&amp;$C$7,BD!$A$3:$A$5001,"&lt;="&amp;$B135,BD!$K$3:$K$5001,"&lt;&gt;")=0,"",SUMIFS(BD!$K$3:$K$5001,BD!$B$3:$B$5001,I$114,BD!$A$3:$A$5001,_xlfn.MAXIFS(BD!$A$3:$A$5001,BD!$B$3:$B$5001,I$114,BD!$A$3:$A$5001,"&gt;="&amp;$C$7,BD!$A$3:$A$5001,"&lt;="&amp;$B135,BD!$K$3:$K$5001,"&lt;&gt;"))))</f>
        <v/>
      </c>
      <c r="J135" s="43" t="str">
        <f>IF(OR($B135="",$A135&gt;$B$9,J$114=""),"",IF(COUNTIFS(BD!$B$3:$B$5001,J$114,BD!$A$3:$A$5001,"&gt;="&amp;$C$7,BD!$A$3:$A$5001,"&lt;="&amp;$B135,BD!$K$3:$K$5001,"&lt;&gt;")=0,"",SUMIFS(BD!$K$3:$K$5001,BD!$B$3:$B$5001,J$114,BD!$A$3:$A$5001,_xlfn.MAXIFS(BD!$A$3:$A$5001,BD!$B$3:$B$5001,J$114,BD!$A$3:$A$5001,"&gt;="&amp;$C$7,BD!$A$3:$A$5001,"&lt;="&amp;$B135,BD!$K$3:$K$5001,"&lt;&gt;"))))</f>
        <v/>
      </c>
      <c r="K135" s="43" t="str">
        <f>IF(OR($B135="",$A135&gt;$B$9,K$114=""),"",IF(COUNTIFS(BD!$B$3:$B$5001,K$114,BD!$A$3:$A$5001,"&gt;="&amp;$C$7,BD!$A$3:$A$5001,"&lt;="&amp;$B135,BD!$K$3:$K$5001,"&lt;&gt;")=0,"",SUMIFS(BD!$K$3:$K$5001,BD!$B$3:$B$5001,K$114,BD!$A$3:$A$5001,_xlfn.MAXIFS(BD!$A$3:$A$5001,BD!$B$3:$B$5001,K$114,BD!$A$3:$A$5001,"&gt;="&amp;$C$7,BD!$A$3:$A$5001,"&lt;="&amp;$B135,BD!$K$3:$K$5001,"&lt;&gt;"))))</f>
        <v/>
      </c>
      <c r="L135" s="43" t="str">
        <f>IF(OR($B135="",$A135&gt;$B$9,L$114=""),"",IF(COUNTIFS(BD!$B$3:$B$5001,L$114,BD!$A$3:$A$5001,"&gt;="&amp;$C$7,BD!$A$3:$A$5001,"&lt;="&amp;$B135,BD!$K$3:$K$5001,"&lt;&gt;")=0,"",SUMIFS(BD!$K$3:$K$5001,BD!$B$3:$B$5001,L$114,BD!$A$3:$A$5001,_xlfn.MAXIFS(BD!$A$3:$A$5001,BD!$B$3:$B$5001,L$114,BD!$A$3:$A$5001,"&gt;="&amp;$C$7,BD!$A$3:$A$5001,"&lt;="&amp;$B135,BD!$K$3:$K$5001,"&lt;&gt;"))))</f>
        <v/>
      </c>
      <c r="M135" s="43" t="str">
        <f>IF(OR($B135="",$A135&gt;$B$9,M$114=""),"",IF(COUNTIFS(BD!$B$3:$B$5001,M$114,BD!$A$3:$A$5001,"&gt;="&amp;$C$7,BD!$A$3:$A$5001,"&lt;="&amp;$B135,BD!$K$3:$K$5001,"&lt;&gt;")=0,"",SUMIFS(BD!$K$3:$K$5001,BD!$B$3:$B$5001,M$114,BD!$A$3:$A$5001,_xlfn.MAXIFS(BD!$A$3:$A$5001,BD!$B$3:$B$5001,M$114,BD!$A$3:$A$5001,"&gt;="&amp;$C$7,BD!$A$3:$A$5001,"&lt;="&amp;$B135,BD!$K$3:$K$5001,"&lt;&gt;"))))</f>
        <v/>
      </c>
      <c r="N135" s="43" t="str">
        <f>IF(OR($B135="",$A135&gt;$B$9,N$114=""),"",IF(COUNTIFS(BD!$B$3:$B$5001,N$114,BD!$A$3:$A$5001,"&gt;="&amp;$C$7,BD!$A$3:$A$5001,"&lt;="&amp;$B135,BD!$K$3:$K$5001,"&lt;&gt;")=0,"",SUMIFS(BD!$K$3:$K$5001,BD!$B$3:$B$5001,N$114,BD!$A$3:$A$5001,_xlfn.MAXIFS(BD!$A$3:$A$5001,BD!$B$3:$B$5001,N$114,BD!$A$3:$A$5001,"&gt;="&amp;$C$7,BD!$A$3:$A$5001,"&lt;="&amp;$B135,BD!$K$3:$K$5001,"&lt;&gt;"))))</f>
        <v/>
      </c>
      <c r="O135" s="43" t="str">
        <f>IF(OR($B135="",$A135&gt;$B$9,O$114=""),"",IF(COUNTIFS(BD!$B$3:$B$5001,O$114,BD!$A$3:$A$5001,"&gt;="&amp;$C$7,BD!$A$3:$A$5001,"&lt;="&amp;$B135,BD!$K$3:$K$5001,"&lt;&gt;")=0,"",SUMIFS(BD!$K$3:$K$5001,BD!$B$3:$B$5001,O$114,BD!$A$3:$A$5001,_xlfn.MAXIFS(BD!$A$3:$A$5001,BD!$B$3:$B$5001,O$114,BD!$A$3:$A$5001,"&gt;="&amp;$C$7,BD!$A$3:$A$5001,"&lt;="&amp;$B135,BD!$K$3:$K$5001,"&lt;&gt;"))))</f>
        <v/>
      </c>
      <c r="P135" s="43" t="str">
        <f>IF(OR($B135="",$A135&gt;$B$9,P$114=""),"",IF(COUNTIFS(BD!$B$3:$B$5001,P$114,BD!$A$3:$A$5001,"&gt;="&amp;$C$7,BD!$A$3:$A$5001,"&lt;="&amp;$B135,BD!$K$3:$K$5001,"&lt;&gt;")=0,"",SUMIFS(BD!$K$3:$K$5001,BD!$B$3:$B$5001,P$114,BD!$A$3:$A$5001,_xlfn.MAXIFS(BD!$A$3:$A$5001,BD!$B$3:$B$5001,P$114,BD!$A$3:$A$5001,"&gt;="&amp;$C$7,BD!$A$3:$A$5001,"&lt;="&amp;$B135,BD!$K$3:$K$5001,"&lt;&gt;"))))</f>
        <v/>
      </c>
      <c r="Q135" s="43" t="str">
        <f>IF(OR($B135="",$A135&gt;$B$9,Q$114=""),"",IF(COUNTIFS(BD!$B$3:$B$5001,Q$114,BD!$A$3:$A$5001,"&gt;="&amp;$C$7,BD!$A$3:$A$5001,"&lt;="&amp;$B135,BD!$K$3:$K$5001,"&lt;&gt;")=0,"",SUMIFS(BD!$K$3:$K$5001,BD!$B$3:$B$5001,Q$114,BD!$A$3:$A$5001,_xlfn.MAXIFS(BD!$A$3:$A$5001,BD!$B$3:$B$5001,Q$114,BD!$A$3:$A$5001,"&gt;="&amp;$C$7,BD!$A$3:$A$5001,"&lt;="&amp;$B135,BD!$K$3:$K$5001,"&lt;&gt;"))))</f>
        <v/>
      </c>
      <c r="R135" s="43" t="str">
        <f>IF(OR($B135="",$A135&gt;$B$9,R$114=""),"",IF(COUNTIFS(BD!$B$3:$B$5001,R$114,BD!$A$3:$A$5001,"&gt;="&amp;$C$7,BD!$A$3:$A$5001,"&lt;="&amp;$B135,BD!$K$3:$K$5001,"&lt;&gt;")=0,"",SUMIFS(BD!$K$3:$K$5001,BD!$B$3:$B$5001,R$114,BD!$A$3:$A$5001,_xlfn.MAXIFS(BD!$A$3:$A$5001,BD!$B$3:$B$5001,R$114,BD!$A$3:$A$5001,"&gt;="&amp;$C$7,BD!$A$3:$A$5001,"&lt;="&amp;$B135,BD!$K$3:$K$5001,"&lt;&gt;"))))</f>
        <v/>
      </c>
      <c r="S135" s="43" t="str">
        <f>IF(OR($B135="",$A135&gt;$B$9,S$114=""),"",IF(COUNTIFS(BD!$B$3:$B$5001,S$114,BD!$A$3:$A$5001,"&gt;="&amp;$C$7,BD!$A$3:$A$5001,"&lt;="&amp;$B135,BD!$K$3:$K$5001,"&lt;&gt;")=0,"",SUMIFS(BD!$K$3:$K$5001,BD!$B$3:$B$5001,S$114,BD!$A$3:$A$5001,_xlfn.MAXIFS(BD!$A$3:$A$5001,BD!$B$3:$B$5001,S$114,BD!$A$3:$A$5001,"&gt;="&amp;$C$7,BD!$A$3:$A$5001,"&lt;="&amp;$B135,BD!$K$3:$K$5001,"&lt;&gt;"))))</f>
        <v/>
      </c>
      <c r="T135" s="43" t="str">
        <f>IF(OR($B135="",$A135&gt;$B$9,T$114=""),"",IF(COUNTIFS(BD!$B$3:$B$5001,T$114,BD!$A$3:$A$5001,"&gt;="&amp;$C$7,BD!$A$3:$A$5001,"&lt;="&amp;$B135,BD!$K$3:$K$5001,"&lt;&gt;")=0,"",SUMIFS(BD!$K$3:$K$5001,BD!$B$3:$B$5001,T$114,BD!$A$3:$A$5001,_xlfn.MAXIFS(BD!$A$3:$A$5001,BD!$B$3:$B$5001,T$114,BD!$A$3:$A$5001,"&gt;="&amp;$C$7,BD!$A$3:$A$5001,"&lt;="&amp;$B135,BD!$K$3:$K$5001,"&lt;&gt;"))))</f>
        <v/>
      </c>
      <c r="U135" s="43" t="str">
        <f>IF(OR($B135="",$A135&gt;$B$9,U$114=""),"",IF(COUNTIFS(BD!$B$3:$B$5001,U$114,BD!$A$3:$A$5001,"&gt;="&amp;$C$7,BD!$A$3:$A$5001,"&lt;="&amp;$B135,BD!$K$3:$K$5001,"&lt;&gt;")=0,"",SUMIFS(BD!$K$3:$K$5001,BD!$B$3:$B$5001,U$114,BD!$A$3:$A$5001,_xlfn.MAXIFS(BD!$A$3:$A$5001,BD!$B$3:$B$5001,U$114,BD!$A$3:$A$5001,"&gt;="&amp;$C$7,BD!$A$3:$A$5001,"&lt;="&amp;$B135,BD!$K$3:$K$5001,"&lt;&gt;"))))</f>
        <v/>
      </c>
      <c r="V135" s="43" t="str">
        <f>IF(OR($B135="",$A135&gt;$B$9,V$114=""),"",IF(COUNTIFS(BD!$B$3:$B$5001,V$114,BD!$A$3:$A$5001,"&gt;="&amp;$C$7,BD!$A$3:$A$5001,"&lt;="&amp;$B135,BD!$K$3:$K$5001,"&lt;&gt;")=0,"",SUMIFS(BD!$K$3:$K$5001,BD!$B$3:$B$5001,V$114,BD!$A$3:$A$5001,_xlfn.MAXIFS(BD!$A$3:$A$5001,BD!$B$3:$B$5001,V$114,BD!$A$3:$A$5001,"&gt;="&amp;$C$7,BD!$A$3:$A$5001,"&lt;="&amp;$B135,BD!$K$3:$K$5001,"&lt;&gt;"))))</f>
        <v/>
      </c>
    </row>
    <row r="136">
      <c r="A136" s="38">
        <v>22</v>
      </c>
      <c r="B136" s="42">
        <f>$B$33</f>
        <v>46317</v>
      </c>
      <c r="C136" s="43" t="str">
        <f>IF(OR($B136="",$A136&gt;$B$9,C$114=""),"",IF(COUNTIFS(BD!$B$3:$B$5001,C$114,BD!$A$3:$A$5001,"&gt;="&amp;$C$7,BD!$A$3:$A$5001,"&lt;="&amp;$B136,BD!$K$3:$K$5001,"&lt;&gt;")=0,"",SUMIFS(BD!$K$3:$K$5001,BD!$B$3:$B$5001,C$114,BD!$A$3:$A$5001,_xlfn.MAXIFS(BD!$A$3:$A$5001,BD!$B$3:$B$5001,C$114,BD!$A$3:$A$5001,"&gt;="&amp;$C$7,BD!$A$3:$A$5001,"&lt;="&amp;$B136,BD!$K$3:$K$5001,"&lt;&gt;"))))</f>
        <v/>
      </c>
      <c r="D136" s="43" t="str">
        <f>IF(OR($B136="",$A136&gt;$B$9,D$114=""),"",IF(COUNTIFS(BD!$B$3:$B$5001,D$114,BD!$A$3:$A$5001,"&gt;="&amp;$C$7,BD!$A$3:$A$5001,"&lt;="&amp;$B136,BD!$K$3:$K$5001,"&lt;&gt;")=0,"",SUMIFS(BD!$K$3:$K$5001,BD!$B$3:$B$5001,D$114,BD!$A$3:$A$5001,_xlfn.MAXIFS(BD!$A$3:$A$5001,BD!$B$3:$B$5001,D$114,BD!$A$3:$A$5001,"&gt;="&amp;$C$7,BD!$A$3:$A$5001,"&lt;="&amp;$B136,BD!$K$3:$K$5001,"&lt;&gt;"))))</f>
        <v/>
      </c>
      <c r="E136" s="43" t="str">
        <f>IF(OR($B136="",$A136&gt;$B$9,E$114=""),"",IF(COUNTIFS(BD!$B$3:$B$5001,E$114,BD!$A$3:$A$5001,"&gt;="&amp;$C$7,BD!$A$3:$A$5001,"&lt;="&amp;$B136,BD!$K$3:$K$5001,"&lt;&gt;")=0,"",SUMIFS(BD!$K$3:$K$5001,BD!$B$3:$B$5001,E$114,BD!$A$3:$A$5001,_xlfn.MAXIFS(BD!$A$3:$A$5001,BD!$B$3:$B$5001,E$114,BD!$A$3:$A$5001,"&gt;="&amp;$C$7,BD!$A$3:$A$5001,"&lt;="&amp;$B136,BD!$K$3:$K$5001,"&lt;&gt;"))))</f>
        <v/>
      </c>
      <c r="F136" s="43" t="str">
        <f>IF(OR($B136="",$A136&gt;$B$9,F$114=""),"",IF(COUNTIFS(BD!$B$3:$B$5001,F$114,BD!$A$3:$A$5001,"&gt;="&amp;$C$7,BD!$A$3:$A$5001,"&lt;="&amp;$B136,BD!$K$3:$K$5001,"&lt;&gt;")=0,"",SUMIFS(BD!$K$3:$K$5001,BD!$B$3:$B$5001,F$114,BD!$A$3:$A$5001,_xlfn.MAXIFS(BD!$A$3:$A$5001,BD!$B$3:$B$5001,F$114,BD!$A$3:$A$5001,"&gt;="&amp;$C$7,BD!$A$3:$A$5001,"&lt;="&amp;$B136,BD!$K$3:$K$5001,"&lt;&gt;"))))</f>
        <v/>
      </c>
      <c r="G136" s="43" t="str">
        <f>IF(OR($B136="",$A136&gt;$B$9,G$114=""),"",IF(COUNTIFS(BD!$B$3:$B$5001,G$114,BD!$A$3:$A$5001,"&gt;="&amp;$C$7,BD!$A$3:$A$5001,"&lt;="&amp;$B136,BD!$K$3:$K$5001,"&lt;&gt;")=0,"",SUMIFS(BD!$K$3:$K$5001,BD!$B$3:$B$5001,G$114,BD!$A$3:$A$5001,_xlfn.MAXIFS(BD!$A$3:$A$5001,BD!$B$3:$B$5001,G$114,BD!$A$3:$A$5001,"&gt;="&amp;$C$7,BD!$A$3:$A$5001,"&lt;="&amp;$B136,BD!$K$3:$K$5001,"&lt;&gt;"))))</f>
        <v/>
      </c>
      <c r="H136" s="43" t="str">
        <f>IF(OR($B136="",$A136&gt;$B$9,H$114=""),"",IF(COUNTIFS(BD!$B$3:$B$5001,H$114,BD!$A$3:$A$5001,"&gt;="&amp;$C$7,BD!$A$3:$A$5001,"&lt;="&amp;$B136,BD!$K$3:$K$5001,"&lt;&gt;")=0,"",SUMIFS(BD!$K$3:$K$5001,BD!$B$3:$B$5001,H$114,BD!$A$3:$A$5001,_xlfn.MAXIFS(BD!$A$3:$A$5001,BD!$B$3:$B$5001,H$114,BD!$A$3:$A$5001,"&gt;="&amp;$C$7,BD!$A$3:$A$5001,"&lt;="&amp;$B136,BD!$K$3:$K$5001,"&lt;&gt;"))))</f>
        <v/>
      </c>
      <c r="I136" s="43" t="str">
        <f>IF(OR($B136="",$A136&gt;$B$9,I$114=""),"",IF(COUNTIFS(BD!$B$3:$B$5001,I$114,BD!$A$3:$A$5001,"&gt;="&amp;$C$7,BD!$A$3:$A$5001,"&lt;="&amp;$B136,BD!$K$3:$K$5001,"&lt;&gt;")=0,"",SUMIFS(BD!$K$3:$K$5001,BD!$B$3:$B$5001,I$114,BD!$A$3:$A$5001,_xlfn.MAXIFS(BD!$A$3:$A$5001,BD!$B$3:$B$5001,I$114,BD!$A$3:$A$5001,"&gt;="&amp;$C$7,BD!$A$3:$A$5001,"&lt;="&amp;$B136,BD!$K$3:$K$5001,"&lt;&gt;"))))</f>
        <v/>
      </c>
      <c r="J136" s="43" t="str">
        <f>IF(OR($B136="",$A136&gt;$B$9,J$114=""),"",IF(COUNTIFS(BD!$B$3:$B$5001,J$114,BD!$A$3:$A$5001,"&gt;="&amp;$C$7,BD!$A$3:$A$5001,"&lt;="&amp;$B136,BD!$K$3:$K$5001,"&lt;&gt;")=0,"",SUMIFS(BD!$K$3:$K$5001,BD!$B$3:$B$5001,J$114,BD!$A$3:$A$5001,_xlfn.MAXIFS(BD!$A$3:$A$5001,BD!$B$3:$B$5001,J$114,BD!$A$3:$A$5001,"&gt;="&amp;$C$7,BD!$A$3:$A$5001,"&lt;="&amp;$B136,BD!$K$3:$K$5001,"&lt;&gt;"))))</f>
        <v/>
      </c>
      <c r="K136" s="43" t="str">
        <f>IF(OR($B136="",$A136&gt;$B$9,K$114=""),"",IF(COUNTIFS(BD!$B$3:$B$5001,K$114,BD!$A$3:$A$5001,"&gt;="&amp;$C$7,BD!$A$3:$A$5001,"&lt;="&amp;$B136,BD!$K$3:$K$5001,"&lt;&gt;")=0,"",SUMIFS(BD!$K$3:$K$5001,BD!$B$3:$B$5001,K$114,BD!$A$3:$A$5001,_xlfn.MAXIFS(BD!$A$3:$A$5001,BD!$B$3:$B$5001,K$114,BD!$A$3:$A$5001,"&gt;="&amp;$C$7,BD!$A$3:$A$5001,"&lt;="&amp;$B136,BD!$K$3:$K$5001,"&lt;&gt;"))))</f>
        <v/>
      </c>
      <c r="L136" s="43" t="str">
        <f>IF(OR($B136="",$A136&gt;$B$9,L$114=""),"",IF(COUNTIFS(BD!$B$3:$B$5001,L$114,BD!$A$3:$A$5001,"&gt;="&amp;$C$7,BD!$A$3:$A$5001,"&lt;="&amp;$B136,BD!$K$3:$K$5001,"&lt;&gt;")=0,"",SUMIFS(BD!$K$3:$K$5001,BD!$B$3:$B$5001,L$114,BD!$A$3:$A$5001,_xlfn.MAXIFS(BD!$A$3:$A$5001,BD!$B$3:$B$5001,L$114,BD!$A$3:$A$5001,"&gt;="&amp;$C$7,BD!$A$3:$A$5001,"&lt;="&amp;$B136,BD!$K$3:$K$5001,"&lt;&gt;"))))</f>
        <v/>
      </c>
      <c r="M136" s="43" t="str">
        <f>IF(OR($B136="",$A136&gt;$B$9,M$114=""),"",IF(COUNTIFS(BD!$B$3:$B$5001,M$114,BD!$A$3:$A$5001,"&gt;="&amp;$C$7,BD!$A$3:$A$5001,"&lt;="&amp;$B136,BD!$K$3:$K$5001,"&lt;&gt;")=0,"",SUMIFS(BD!$K$3:$K$5001,BD!$B$3:$B$5001,M$114,BD!$A$3:$A$5001,_xlfn.MAXIFS(BD!$A$3:$A$5001,BD!$B$3:$B$5001,M$114,BD!$A$3:$A$5001,"&gt;="&amp;$C$7,BD!$A$3:$A$5001,"&lt;="&amp;$B136,BD!$K$3:$K$5001,"&lt;&gt;"))))</f>
        <v/>
      </c>
      <c r="N136" s="43" t="str">
        <f>IF(OR($B136="",$A136&gt;$B$9,N$114=""),"",IF(COUNTIFS(BD!$B$3:$B$5001,N$114,BD!$A$3:$A$5001,"&gt;="&amp;$C$7,BD!$A$3:$A$5001,"&lt;="&amp;$B136,BD!$K$3:$K$5001,"&lt;&gt;")=0,"",SUMIFS(BD!$K$3:$K$5001,BD!$B$3:$B$5001,N$114,BD!$A$3:$A$5001,_xlfn.MAXIFS(BD!$A$3:$A$5001,BD!$B$3:$B$5001,N$114,BD!$A$3:$A$5001,"&gt;="&amp;$C$7,BD!$A$3:$A$5001,"&lt;="&amp;$B136,BD!$K$3:$K$5001,"&lt;&gt;"))))</f>
        <v/>
      </c>
      <c r="O136" s="43" t="str">
        <f>IF(OR($B136="",$A136&gt;$B$9,O$114=""),"",IF(COUNTIFS(BD!$B$3:$B$5001,O$114,BD!$A$3:$A$5001,"&gt;="&amp;$C$7,BD!$A$3:$A$5001,"&lt;="&amp;$B136,BD!$K$3:$K$5001,"&lt;&gt;")=0,"",SUMIFS(BD!$K$3:$K$5001,BD!$B$3:$B$5001,O$114,BD!$A$3:$A$5001,_xlfn.MAXIFS(BD!$A$3:$A$5001,BD!$B$3:$B$5001,O$114,BD!$A$3:$A$5001,"&gt;="&amp;$C$7,BD!$A$3:$A$5001,"&lt;="&amp;$B136,BD!$K$3:$K$5001,"&lt;&gt;"))))</f>
        <v/>
      </c>
      <c r="P136" s="43" t="str">
        <f>IF(OR($B136="",$A136&gt;$B$9,P$114=""),"",IF(COUNTIFS(BD!$B$3:$B$5001,P$114,BD!$A$3:$A$5001,"&gt;="&amp;$C$7,BD!$A$3:$A$5001,"&lt;="&amp;$B136,BD!$K$3:$K$5001,"&lt;&gt;")=0,"",SUMIFS(BD!$K$3:$K$5001,BD!$B$3:$B$5001,P$114,BD!$A$3:$A$5001,_xlfn.MAXIFS(BD!$A$3:$A$5001,BD!$B$3:$B$5001,P$114,BD!$A$3:$A$5001,"&gt;="&amp;$C$7,BD!$A$3:$A$5001,"&lt;="&amp;$B136,BD!$K$3:$K$5001,"&lt;&gt;"))))</f>
        <v/>
      </c>
      <c r="Q136" s="43" t="str">
        <f>IF(OR($B136="",$A136&gt;$B$9,Q$114=""),"",IF(COUNTIFS(BD!$B$3:$B$5001,Q$114,BD!$A$3:$A$5001,"&gt;="&amp;$C$7,BD!$A$3:$A$5001,"&lt;="&amp;$B136,BD!$K$3:$K$5001,"&lt;&gt;")=0,"",SUMIFS(BD!$K$3:$K$5001,BD!$B$3:$B$5001,Q$114,BD!$A$3:$A$5001,_xlfn.MAXIFS(BD!$A$3:$A$5001,BD!$B$3:$B$5001,Q$114,BD!$A$3:$A$5001,"&gt;="&amp;$C$7,BD!$A$3:$A$5001,"&lt;="&amp;$B136,BD!$K$3:$K$5001,"&lt;&gt;"))))</f>
        <v/>
      </c>
      <c r="R136" s="43" t="str">
        <f>IF(OR($B136="",$A136&gt;$B$9,R$114=""),"",IF(COUNTIFS(BD!$B$3:$B$5001,R$114,BD!$A$3:$A$5001,"&gt;="&amp;$C$7,BD!$A$3:$A$5001,"&lt;="&amp;$B136,BD!$K$3:$K$5001,"&lt;&gt;")=0,"",SUMIFS(BD!$K$3:$K$5001,BD!$B$3:$B$5001,R$114,BD!$A$3:$A$5001,_xlfn.MAXIFS(BD!$A$3:$A$5001,BD!$B$3:$B$5001,R$114,BD!$A$3:$A$5001,"&gt;="&amp;$C$7,BD!$A$3:$A$5001,"&lt;="&amp;$B136,BD!$K$3:$K$5001,"&lt;&gt;"))))</f>
        <v/>
      </c>
      <c r="S136" s="43" t="str">
        <f>IF(OR($B136="",$A136&gt;$B$9,S$114=""),"",IF(COUNTIFS(BD!$B$3:$B$5001,S$114,BD!$A$3:$A$5001,"&gt;="&amp;$C$7,BD!$A$3:$A$5001,"&lt;="&amp;$B136,BD!$K$3:$K$5001,"&lt;&gt;")=0,"",SUMIFS(BD!$K$3:$K$5001,BD!$B$3:$B$5001,S$114,BD!$A$3:$A$5001,_xlfn.MAXIFS(BD!$A$3:$A$5001,BD!$B$3:$B$5001,S$114,BD!$A$3:$A$5001,"&gt;="&amp;$C$7,BD!$A$3:$A$5001,"&lt;="&amp;$B136,BD!$K$3:$K$5001,"&lt;&gt;"))))</f>
        <v/>
      </c>
      <c r="T136" s="43" t="str">
        <f>IF(OR($B136="",$A136&gt;$B$9,T$114=""),"",IF(COUNTIFS(BD!$B$3:$B$5001,T$114,BD!$A$3:$A$5001,"&gt;="&amp;$C$7,BD!$A$3:$A$5001,"&lt;="&amp;$B136,BD!$K$3:$K$5001,"&lt;&gt;")=0,"",SUMIFS(BD!$K$3:$K$5001,BD!$B$3:$B$5001,T$114,BD!$A$3:$A$5001,_xlfn.MAXIFS(BD!$A$3:$A$5001,BD!$B$3:$B$5001,T$114,BD!$A$3:$A$5001,"&gt;="&amp;$C$7,BD!$A$3:$A$5001,"&lt;="&amp;$B136,BD!$K$3:$K$5001,"&lt;&gt;"))))</f>
        <v/>
      </c>
      <c r="U136" s="43" t="str">
        <f>IF(OR($B136="",$A136&gt;$B$9,U$114=""),"",IF(COUNTIFS(BD!$B$3:$B$5001,U$114,BD!$A$3:$A$5001,"&gt;="&amp;$C$7,BD!$A$3:$A$5001,"&lt;="&amp;$B136,BD!$K$3:$K$5001,"&lt;&gt;")=0,"",SUMIFS(BD!$K$3:$K$5001,BD!$B$3:$B$5001,U$114,BD!$A$3:$A$5001,_xlfn.MAXIFS(BD!$A$3:$A$5001,BD!$B$3:$B$5001,U$114,BD!$A$3:$A$5001,"&gt;="&amp;$C$7,BD!$A$3:$A$5001,"&lt;="&amp;$B136,BD!$K$3:$K$5001,"&lt;&gt;"))))</f>
        <v/>
      </c>
      <c r="V136" s="43" t="str">
        <f>IF(OR($B136="",$A136&gt;$B$9,V$114=""),"",IF(COUNTIFS(BD!$B$3:$B$5001,V$114,BD!$A$3:$A$5001,"&gt;="&amp;$C$7,BD!$A$3:$A$5001,"&lt;="&amp;$B136,BD!$K$3:$K$5001,"&lt;&gt;")=0,"",SUMIFS(BD!$K$3:$K$5001,BD!$B$3:$B$5001,V$114,BD!$A$3:$A$5001,_xlfn.MAXIFS(BD!$A$3:$A$5001,BD!$B$3:$B$5001,V$114,BD!$A$3:$A$5001,"&gt;="&amp;$C$7,BD!$A$3:$A$5001,"&lt;="&amp;$B136,BD!$K$3:$K$5001,"&lt;&gt;"))))</f>
        <v/>
      </c>
    </row>
    <row r="137">
      <c r="A137" s="38">
        <v>23</v>
      </c>
      <c r="B137" s="42">
        <f>$B$34</f>
        <v>46318</v>
      </c>
      <c r="C137" s="43" t="str">
        <f>IF(OR($B137="",$A137&gt;$B$9,C$114=""),"",IF(COUNTIFS(BD!$B$3:$B$5001,C$114,BD!$A$3:$A$5001,"&gt;="&amp;$C$7,BD!$A$3:$A$5001,"&lt;="&amp;$B137,BD!$K$3:$K$5001,"&lt;&gt;")=0,"",SUMIFS(BD!$K$3:$K$5001,BD!$B$3:$B$5001,C$114,BD!$A$3:$A$5001,_xlfn.MAXIFS(BD!$A$3:$A$5001,BD!$B$3:$B$5001,C$114,BD!$A$3:$A$5001,"&gt;="&amp;$C$7,BD!$A$3:$A$5001,"&lt;="&amp;$B137,BD!$K$3:$K$5001,"&lt;&gt;"))))</f>
        <v/>
      </c>
      <c r="D137" s="43" t="str">
        <f>IF(OR($B137="",$A137&gt;$B$9,D$114=""),"",IF(COUNTIFS(BD!$B$3:$B$5001,D$114,BD!$A$3:$A$5001,"&gt;="&amp;$C$7,BD!$A$3:$A$5001,"&lt;="&amp;$B137,BD!$K$3:$K$5001,"&lt;&gt;")=0,"",SUMIFS(BD!$K$3:$K$5001,BD!$B$3:$B$5001,D$114,BD!$A$3:$A$5001,_xlfn.MAXIFS(BD!$A$3:$A$5001,BD!$B$3:$B$5001,D$114,BD!$A$3:$A$5001,"&gt;="&amp;$C$7,BD!$A$3:$A$5001,"&lt;="&amp;$B137,BD!$K$3:$K$5001,"&lt;&gt;"))))</f>
        <v/>
      </c>
      <c r="E137" s="43" t="str">
        <f>IF(OR($B137="",$A137&gt;$B$9,E$114=""),"",IF(COUNTIFS(BD!$B$3:$B$5001,E$114,BD!$A$3:$A$5001,"&gt;="&amp;$C$7,BD!$A$3:$A$5001,"&lt;="&amp;$B137,BD!$K$3:$K$5001,"&lt;&gt;")=0,"",SUMIFS(BD!$K$3:$K$5001,BD!$B$3:$B$5001,E$114,BD!$A$3:$A$5001,_xlfn.MAXIFS(BD!$A$3:$A$5001,BD!$B$3:$B$5001,E$114,BD!$A$3:$A$5001,"&gt;="&amp;$C$7,BD!$A$3:$A$5001,"&lt;="&amp;$B137,BD!$K$3:$K$5001,"&lt;&gt;"))))</f>
        <v/>
      </c>
      <c r="F137" s="43" t="str">
        <f>IF(OR($B137="",$A137&gt;$B$9,F$114=""),"",IF(COUNTIFS(BD!$B$3:$B$5001,F$114,BD!$A$3:$A$5001,"&gt;="&amp;$C$7,BD!$A$3:$A$5001,"&lt;="&amp;$B137,BD!$K$3:$K$5001,"&lt;&gt;")=0,"",SUMIFS(BD!$K$3:$K$5001,BD!$B$3:$B$5001,F$114,BD!$A$3:$A$5001,_xlfn.MAXIFS(BD!$A$3:$A$5001,BD!$B$3:$B$5001,F$114,BD!$A$3:$A$5001,"&gt;="&amp;$C$7,BD!$A$3:$A$5001,"&lt;="&amp;$B137,BD!$K$3:$K$5001,"&lt;&gt;"))))</f>
        <v/>
      </c>
      <c r="G137" s="43" t="str">
        <f>IF(OR($B137="",$A137&gt;$B$9,G$114=""),"",IF(COUNTIFS(BD!$B$3:$B$5001,G$114,BD!$A$3:$A$5001,"&gt;="&amp;$C$7,BD!$A$3:$A$5001,"&lt;="&amp;$B137,BD!$K$3:$K$5001,"&lt;&gt;")=0,"",SUMIFS(BD!$K$3:$K$5001,BD!$B$3:$B$5001,G$114,BD!$A$3:$A$5001,_xlfn.MAXIFS(BD!$A$3:$A$5001,BD!$B$3:$B$5001,G$114,BD!$A$3:$A$5001,"&gt;="&amp;$C$7,BD!$A$3:$A$5001,"&lt;="&amp;$B137,BD!$K$3:$K$5001,"&lt;&gt;"))))</f>
        <v/>
      </c>
      <c r="H137" s="43" t="str">
        <f>IF(OR($B137="",$A137&gt;$B$9,H$114=""),"",IF(COUNTIFS(BD!$B$3:$B$5001,H$114,BD!$A$3:$A$5001,"&gt;="&amp;$C$7,BD!$A$3:$A$5001,"&lt;="&amp;$B137,BD!$K$3:$K$5001,"&lt;&gt;")=0,"",SUMIFS(BD!$K$3:$K$5001,BD!$B$3:$B$5001,H$114,BD!$A$3:$A$5001,_xlfn.MAXIFS(BD!$A$3:$A$5001,BD!$B$3:$B$5001,H$114,BD!$A$3:$A$5001,"&gt;="&amp;$C$7,BD!$A$3:$A$5001,"&lt;="&amp;$B137,BD!$K$3:$K$5001,"&lt;&gt;"))))</f>
        <v/>
      </c>
      <c r="I137" s="43" t="str">
        <f>IF(OR($B137="",$A137&gt;$B$9,I$114=""),"",IF(COUNTIFS(BD!$B$3:$B$5001,I$114,BD!$A$3:$A$5001,"&gt;="&amp;$C$7,BD!$A$3:$A$5001,"&lt;="&amp;$B137,BD!$K$3:$K$5001,"&lt;&gt;")=0,"",SUMIFS(BD!$K$3:$K$5001,BD!$B$3:$B$5001,I$114,BD!$A$3:$A$5001,_xlfn.MAXIFS(BD!$A$3:$A$5001,BD!$B$3:$B$5001,I$114,BD!$A$3:$A$5001,"&gt;="&amp;$C$7,BD!$A$3:$A$5001,"&lt;="&amp;$B137,BD!$K$3:$K$5001,"&lt;&gt;"))))</f>
        <v/>
      </c>
      <c r="J137" s="43" t="str">
        <f>IF(OR($B137="",$A137&gt;$B$9,J$114=""),"",IF(COUNTIFS(BD!$B$3:$B$5001,J$114,BD!$A$3:$A$5001,"&gt;="&amp;$C$7,BD!$A$3:$A$5001,"&lt;="&amp;$B137,BD!$K$3:$K$5001,"&lt;&gt;")=0,"",SUMIFS(BD!$K$3:$K$5001,BD!$B$3:$B$5001,J$114,BD!$A$3:$A$5001,_xlfn.MAXIFS(BD!$A$3:$A$5001,BD!$B$3:$B$5001,J$114,BD!$A$3:$A$5001,"&gt;="&amp;$C$7,BD!$A$3:$A$5001,"&lt;="&amp;$B137,BD!$K$3:$K$5001,"&lt;&gt;"))))</f>
        <v/>
      </c>
      <c r="K137" s="43" t="str">
        <f>IF(OR($B137="",$A137&gt;$B$9,K$114=""),"",IF(COUNTIFS(BD!$B$3:$B$5001,K$114,BD!$A$3:$A$5001,"&gt;="&amp;$C$7,BD!$A$3:$A$5001,"&lt;="&amp;$B137,BD!$K$3:$K$5001,"&lt;&gt;")=0,"",SUMIFS(BD!$K$3:$K$5001,BD!$B$3:$B$5001,K$114,BD!$A$3:$A$5001,_xlfn.MAXIFS(BD!$A$3:$A$5001,BD!$B$3:$B$5001,K$114,BD!$A$3:$A$5001,"&gt;="&amp;$C$7,BD!$A$3:$A$5001,"&lt;="&amp;$B137,BD!$K$3:$K$5001,"&lt;&gt;"))))</f>
        <v/>
      </c>
      <c r="L137" s="43" t="str">
        <f>IF(OR($B137="",$A137&gt;$B$9,L$114=""),"",IF(COUNTIFS(BD!$B$3:$B$5001,L$114,BD!$A$3:$A$5001,"&gt;="&amp;$C$7,BD!$A$3:$A$5001,"&lt;="&amp;$B137,BD!$K$3:$K$5001,"&lt;&gt;")=0,"",SUMIFS(BD!$K$3:$K$5001,BD!$B$3:$B$5001,L$114,BD!$A$3:$A$5001,_xlfn.MAXIFS(BD!$A$3:$A$5001,BD!$B$3:$B$5001,L$114,BD!$A$3:$A$5001,"&gt;="&amp;$C$7,BD!$A$3:$A$5001,"&lt;="&amp;$B137,BD!$K$3:$K$5001,"&lt;&gt;"))))</f>
        <v/>
      </c>
      <c r="M137" s="43" t="str">
        <f>IF(OR($B137="",$A137&gt;$B$9,M$114=""),"",IF(COUNTIFS(BD!$B$3:$B$5001,M$114,BD!$A$3:$A$5001,"&gt;="&amp;$C$7,BD!$A$3:$A$5001,"&lt;="&amp;$B137,BD!$K$3:$K$5001,"&lt;&gt;")=0,"",SUMIFS(BD!$K$3:$K$5001,BD!$B$3:$B$5001,M$114,BD!$A$3:$A$5001,_xlfn.MAXIFS(BD!$A$3:$A$5001,BD!$B$3:$B$5001,M$114,BD!$A$3:$A$5001,"&gt;="&amp;$C$7,BD!$A$3:$A$5001,"&lt;="&amp;$B137,BD!$K$3:$K$5001,"&lt;&gt;"))))</f>
        <v/>
      </c>
      <c r="N137" s="43" t="str">
        <f>IF(OR($B137="",$A137&gt;$B$9,N$114=""),"",IF(COUNTIFS(BD!$B$3:$B$5001,N$114,BD!$A$3:$A$5001,"&gt;="&amp;$C$7,BD!$A$3:$A$5001,"&lt;="&amp;$B137,BD!$K$3:$K$5001,"&lt;&gt;")=0,"",SUMIFS(BD!$K$3:$K$5001,BD!$B$3:$B$5001,N$114,BD!$A$3:$A$5001,_xlfn.MAXIFS(BD!$A$3:$A$5001,BD!$B$3:$B$5001,N$114,BD!$A$3:$A$5001,"&gt;="&amp;$C$7,BD!$A$3:$A$5001,"&lt;="&amp;$B137,BD!$K$3:$K$5001,"&lt;&gt;"))))</f>
        <v/>
      </c>
      <c r="O137" s="43" t="str">
        <f>IF(OR($B137="",$A137&gt;$B$9,O$114=""),"",IF(COUNTIFS(BD!$B$3:$B$5001,O$114,BD!$A$3:$A$5001,"&gt;="&amp;$C$7,BD!$A$3:$A$5001,"&lt;="&amp;$B137,BD!$K$3:$K$5001,"&lt;&gt;")=0,"",SUMIFS(BD!$K$3:$K$5001,BD!$B$3:$B$5001,O$114,BD!$A$3:$A$5001,_xlfn.MAXIFS(BD!$A$3:$A$5001,BD!$B$3:$B$5001,O$114,BD!$A$3:$A$5001,"&gt;="&amp;$C$7,BD!$A$3:$A$5001,"&lt;="&amp;$B137,BD!$K$3:$K$5001,"&lt;&gt;"))))</f>
        <v/>
      </c>
      <c r="P137" s="43" t="str">
        <f>IF(OR($B137="",$A137&gt;$B$9,P$114=""),"",IF(COUNTIFS(BD!$B$3:$B$5001,P$114,BD!$A$3:$A$5001,"&gt;="&amp;$C$7,BD!$A$3:$A$5001,"&lt;="&amp;$B137,BD!$K$3:$K$5001,"&lt;&gt;")=0,"",SUMIFS(BD!$K$3:$K$5001,BD!$B$3:$B$5001,P$114,BD!$A$3:$A$5001,_xlfn.MAXIFS(BD!$A$3:$A$5001,BD!$B$3:$B$5001,P$114,BD!$A$3:$A$5001,"&gt;="&amp;$C$7,BD!$A$3:$A$5001,"&lt;="&amp;$B137,BD!$K$3:$K$5001,"&lt;&gt;"))))</f>
        <v/>
      </c>
      <c r="Q137" s="43" t="str">
        <f>IF(OR($B137="",$A137&gt;$B$9,Q$114=""),"",IF(COUNTIFS(BD!$B$3:$B$5001,Q$114,BD!$A$3:$A$5001,"&gt;="&amp;$C$7,BD!$A$3:$A$5001,"&lt;="&amp;$B137,BD!$K$3:$K$5001,"&lt;&gt;")=0,"",SUMIFS(BD!$K$3:$K$5001,BD!$B$3:$B$5001,Q$114,BD!$A$3:$A$5001,_xlfn.MAXIFS(BD!$A$3:$A$5001,BD!$B$3:$B$5001,Q$114,BD!$A$3:$A$5001,"&gt;="&amp;$C$7,BD!$A$3:$A$5001,"&lt;="&amp;$B137,BD!$K$3:$K$5001,"&lt;&gt;"))))</f>
        <v/>
      </c>
      <c r="R137" s="43" t="str">
        <f>IF(OR($B137="",$A137&gt;$B$9,R$114=""),"",IF(COUNTIFS(BD!$B$3:$B$5001,R$114,BD!$A$3:$A$5001,"&gt;="&amp;$C$7,BD!$A$3:$A$5001,"&lt;="&amp;$B137,BD!$K$3:$K$5001,"&lt;&gt;")=0,"",SUMIFS(BD!$K$3:$K$5001,BD!$B$3:$B$5001,R$114,BD!$A$3:$A$5001,_xlfn.MAXIFS(BD!$A$3:$A$5001,BD!$B$3:$B$5001,R$114,BD!$A$3:$A$5001,"&gt;="&amp;$C$7,BD!$A$3:$A$5001,"&lt;="&amp;$B137,BD!$K$3:$K$5001,"&lt;&gt;"))))</f>
        <v/>
      </c>
      <c r="S137" s="43" t="str">
        <f>IF(OR($B137="",$A137&gt;$B$9,S$114=""),"",IF(COUNTIFS(BD!$B$3:$B$5001,S$114,BD!$A$3:$A$5001,"&gt;="&amp;$C$7,BD!$A$3:$A$5001,"&lt;="&amp;$B137,BD!$K$3:$K$5001,"&lt;&gt;")=0,"",SUMIFS(BD!$K$3:$K$5001,BD!$B$3:$B$5001,S$114,BD!$A$3:$A$5001,_xlfn.MAXIFS(BD!$A$3:$A$5001,BD!$B$3:$B$5001,S$114,BD!$A$3:$A$5001,"&gt;="&amp;$C$7,BD!$A$3:$A$5001,"&lt;="&amp;$B137,BD!$K$3:$K$5001,"&lt;&gt;"))))</f>
        <v/>
      </c>
      <c r="T137" s="43" t="str">
        <f>IF(OR($B137="",$A137&gt;$B$9,T$114=""),"",IF(COUNTIFS(BD!$B$3:$B$5001,T$114,BD!$A$3:$A$5001,"&gt;="&amp;$C$7,BD!$A$3:$A$5001,"&lt;="&amp;$B137,BD!$K$3:$K$5001,"&lt;&gt;")=0,"",SUMIFS(BD!$K$3:$K$5001,BD!$B$3:$B$5001,T$114,BD!$A$3:$A$5001,_xlfn.MAXIFS(BD!$A$3:$A$5001,BD!$B$3:$B$5001,T$114,BD!$A$3:$A$5001,"&gt;="&amp;$C$7,BD!$A$3:$A$5001,"&lt;="&amp;$B137,BD!$K$3:$K$5001,"&lt;&gt;"))))</f>
        <v/>
      </c>
      <c r="U137" s="43" t="str">
        <f>IF(OR($B137="",$A137&gt;$B$9,U$114=""),"",IF(COUNTIFS(BD!$B$3:$B$5001,U$114,BD!$A$3:$A$5001,"&gt;="&amp;$C$7,BD!$A$3:$A$5001,"&lt;="&amp;$B137,BD!$K$3:$K$5001,"&lt;&gt;")=0,"",SUMIFS(BD!$K$3:$K$5001,BD!$B$3:$B$5001,U$114,BD!$A$3:$A$5001,_xlfn.MAXIFS(BD!$A$3:$A$5001,BD!$B$3:$B$5001,U$114,BD!$A$3:$A$5001,"&gt;="&amp;$C$7,BD!$A$3:$A$5001,"&lt;="&amp;$B137,BD!$K$3:$K$5001,"&lt;&gt;"))))</f>
        <v/>
      </c>
      <c r="V137" s="43" t="str">
        <f>IF(OR($B137="",$A137&gt;$B$9,V$114=""),"",IF(COUNTIFS(BD!$B$3:$B$5001,V$114,BD!$A$3:$A$5001,"&gt;="&amp;$C$7,BD!$A$3:$A$5001,"&lt;="&amp;$B137,BD!$K$3:$K$5001,"&lt;&gt;")=0,"",SUMIFS(BD!$K$3:$K$5001,BD!$B$3:$B$5001,V$114,BD!$A$3:$A$5001,_xlfn.MAXIFS(BD!$A$3:$A$5001,BD!$B$3:$B$5001,V$114,BD!$A$3:$A$5001,"&gt;="&amp;$C$7,BD!$A$3:$A$5001,"&lt;="&amp;$B137,BD!$K$3:$K$5001,"&lt;&gt;"))))</f>
        <v/>
      </c>
    </row>
    <row r="138">
      <c r="A138" s="38">
        <v>24</v>
      </c>
      <c r="B138" s="42">
        <f>$B$35</f>
        <v>46319</v>
      </c>
      <c r="C138" s="43" t="str">
        <f>IF(OR($B138="",$A138&gt;$B$9,C$114=""),"",IF(COUNTIFS(BD!$B$3:$B$5001,C$114,BD!$A$3:$A$5001,"&gt;="&amp;$C$7,BD!$A$3:$A$5001,"&lt;="&amp;$B138,BD!$K$3:$K$5001,"&lt;&gt;")=0,"",SUMIFS(BD!$K$3:$K$5001,BD!$B$3:$B$5001,C$114,BD!$A$3:$A$5001,_xlfn.MAXIFS(BD!$A$3:$A$5001,BD!$B$3:$B$5001,C$114,BD!$A$3:$A$5001,"&gt;="&amp;$C$7,BD!$A$3:$A$5001,"&lt;="&amp;$B138,BD!$K$3:$K$5001,"&lt;&gt;"))))</f>
        <v/>
      </c>
      <c r="D138" s="43" t="str">
        <f>IF(OR($B138="",$A138&gt;$B$9,D$114=""),"",IF(COUNTIFS(BD!$B$3:$B$5001,D$114,BD!$A$3:$A$5001,"&gt;="&amp;$C$7,BD!$A$3:$A$5001,"&lt;="&amp;$B138,BD!$K$3:$K$5001,"&lt;&gt;")=0,"",SUMIFS(BD!$K$3:$K$5001,BD!$B$3:$B$5001,D$114,BD!$A$3:$A$5001,_xlfn.MAXIFS(BD!$A$3:$A$5001,BD!$B$3:$B$5001,D$114,BD!$A$3:$A$5001,"&gt;="&amp;$C$7,BD!$A$3:$A$5001,"&lt;="&amp;$B138,BD!$K$3:$K$5001,"&lt;&gt;"))))</f>
        <v/>
      </c>
      <c r="E138" s="43" t="str">
        <f>IF(OR($B138="",$A138&gt;$B$9,E$114=""),"",IF(COUNTIFS(BD!$B$3:$B$5001,E$114,BD!$A$3:$A$5001,"&gt;="&amp;$C$7,BD!$A$3:$A$5001,"&lt;="&amp;$B138,BD!$K$3:$K$5001,"&lt;&gt;")=0,"",SUMIFS(BD!$K$3:$K$5001,BD!$B$3:$B$5001,E$114,BD!$A$3:$A$5001,_xlfn.MAXIFS(BD!$A$3:$A$5001,BD!$B$3:$B$5001,E$114,BD!$A$3:$A$5001,"&gt;="&amp;$C$7,BD!$A$3:$A$5001,"&lt;="&amp;$B138,BD!$K$3:$K$5001,"&lt;&gt;"))))</f>
        <v/>
      </c>
      <c r="F138" s="43" t="str">
        <f>IF(OR($B138="",$A138&gt;$B$9,F$114=""),"",IF(COUNTIFS(BD!$B$3:$B$5001,F$114,BD!$A$3:$A$5001,"&gt;="&amp;$C$7,BD!$A$3:$A$5001,"&lt;="&amp;$B138,BD!$K$3:$K$5001,"&lt;&gt;")=0,"",SUMIFS(BD!$K$3:$K$5001,BD!$B$3:$B$5001,F$114,BD!$A$3:$A$5001,_xlfn.MAXIFS(BD!$A$3:$A$5001,BD!$B$3:$B$5001,F$114,BD!$A$3:$A$5001,"&gt;="&amp;$C$7,BD!$A$3:$A$5001,"&lt;="&amp;$B138,BD!$K$3:$K$5001,"&lt;&gt;"))))</f>
        <v/>
      </c>
      <c r="G138" s="43" t="str">
        <f>IF(OR($B138="",$A138&gt;$B$9,G$114=""),"",IF(COUNTIFS(BD!$B$3:$B$5001,G$114,BD!$A$3:$A$5001,"&gt;="&amp;$C$7,BD!$A$3:$A$5001,"&lt;="&amp;$B138,BD!$K$3:$K$5001,"&lt;&gt;")=0,"",SUMIFS(BD!$K$3:$K$5001,BD!$B$3:$B$5001,G$114,BD!$A$3:$A$5001,_xlfn.MAXIFS(BD!$A$3:$A$5001,BD!$B$3:$B$5001,G$114,BD!$A$3:$A$5001,"&gt;="&amp;$C$7,BD!$A$3:$A$5001,"&lt;="&amp;$B138,BD!$K$3:$K$5001,"&lt;&gt;"))))</f>
        <v/>
      </c>
      <c r="H138" s="43" t="str">
        <f>IF(OR($B138="",$A138&gt;$B$9,H$114=""),"",IF(COUNTIFS(BD!$B$3:$B$5001,H$114,BD!$A$3:$A$5001,"&gt;="&amp;$C$7,BD!$A$3:$A$5001,"&lt;="&amp;$B138,BD!$K$3:$K$5001,"&lt;&gt;")=0,"",SUMIFS(BD!$K$3:$K$5001,BD!$B$3:$B$5001,H$114,BD!$A$3:$A$5001,_xlfn.MAXIFS(BD!$A$3:$A$5001,BD!$B$3:$B$5001,H$114,BD!$A$3:$A$5001,"&gt;="&amp;$C$7,BD!$A$3:$A$5001,"&lt;="&amp;$B138,BD!$K$3:$K$5001,"&lt;&gt;"))))</f>
        <v/>
      </c>
      <c r="I138" s="43" t="str">
        <f>IF(OR($B138="",$A138&gt;$B$9,I$114=""),"",IF(COUNTIFS(BD!$B$3:$B$5001,I$114,BD!$A$3:$A$5001,"&gt;="&amp;$C$7,BD!$A$3:$A$5001,"&lt;="&amp;$B138,BD!$K$3:$K$5001,"&lt;&gt;")=0,"",SUMIFS(BD!$K$3:$K$5001,BD!$B$3:$B$5001,I$114,BD!$A$3:$A$5001,_xlfn.MAXIFS(BD!$A$3:$A$5001,BD!$B$3:$B$5001,I$114,BD!$A$3:$A$5001,"&gt;="&amp;$C$7,BD!$A$3:$A$5001,"&lt;="&amp;$B138,BD!$K$3:$K$5001,"&lt;&gt;"))))</f>
        <v/>
      </c>
      <c r="J138" s="43" t="str">
        <f>IF(OR($B138="",$A138&gt;$B$9,J$114=""),"",IF(COUNTIFS(BD!$B$3:$B$5001,J$114,BD!$A$3:$A$5001,"&gt;="&amp;$C$7,BD!$A$3:$A$5001,"&lt;="&amp;$B138,BD!$K$3:$K$5001,"&lt;&gt;")=0,"",SUMIFS(BD!$K$3:$K$5001,BD!$B$3:$B$5001,J$114,BD!$A$3:$A$5001,_xlfn.MAXIFS(BD!$A$3:$A$5001,BD!$B$3:$B$5001,J$114,BD!$A$3:$A$5001,"&gt;="&amp;$C$7,BD!$A$3:$A$5001,"&lt;="&amp;$B138,BD!$K$3:$K$5001,"&lt;&gt;"))))</f>
        <v/>
      </c>
      <c r="K138" s="43" t="str">
        <f>IF(OR($B138="",$A138&gt;$B$9,K$114=""),"",IF(COUNTIFS(BD!$B$3:$B$5001,K$114,BD!$A$3:$A$5001,"&gt;="&amp;$C$7,BD!$A$3:$A$5001,"&lt;="&amp;$B138,BD!$K$3:$K$5001,"&lt;&gt;")=0,"",SUMIFS(BD!$K$3:$K$5001,BD!$B$3:$B$5001,K$114,BD!$A$3:$A$5001,_xlfn.MAXIFS(BD!$A$3:$A$5001,BD!$B$3:$B$5001,K$114,BD!$A$3:$A$5001,"&gt;="&amp;$C$7,BD!$A$3:$A$5001,"&lt;="&amp;$B138,BD!$K$3:$K$5001,"&lt;&gt;"))))</f>
        <v/>
      </c>
      <c r="L138" s="43" t="str">
        <f>IF(OR($B138="",$A138&gt;$B$9,L$114=""),"",IF(COUNTIFS(BD!$B$3:$B$5001,L$114,BD!$A$3:$A$5001,"&gt;="&amp;$C$7,BD!$A$3:$A$5001,"&lt;="&amp;$B138,BD!$K$3:$K$5001,"&lt;&gt;")=0,"",SUMIFS(BD!$K$3:$K$5001,BD!$B$3:$B$5001,L$114,BD!$A$3:$A$5001,_xlfn.MAXIFS(BD!$A$3:$A$5001,BD!$B$3:$B$5001,L$114,BD!$A$3:$A$5001,"&gt;="&amp;$C$7,BD!$A$3:$A$5001,"&lt;="&amp;$B138,BD!$K$3:$K$5001,"&lt;&gt;"))))</f>
        <v/>
      </c>
      <c r="M138" s="43" t="str">
        <f>IF(OR($B138="",$A138&gt;$B$9,M$114=""),"",IF(COUNTIFS(BD!$B$3:$B$5001,M$114,BD!$A$3:$A$5001,"&gt;="&amp;$C$7,BD!$A$3:$A$5001,"&lt;="&amp;$B138,BD!$K$3:$K$5001,"&lt;&gt;")=0,"",SUMIFS(BD!$K$3:$K$5001,BD!$B$3:$B$5001,M$114,BD!$A$3:$A$5001,_xlfn.MAXIFS(BD!$A$3:$A$5001,BD!$B$3:$B$5001,M$114,BD!$A$3:$A$5001,"&gt;="&amp;$C$7,BD!$A$3:$A$5001,"&lt;="&amp;$B138,BD!$K$3:$K$5001,"&lt;&gt;"))))</f>
        <v/>
      </c>
      <c r="N138" s="43" t="str">
        <f>IF(OR($B138="",$A138&gt;$B$9,N$114=""),"",IF(COUNTIFS(BD!$B$3:$B$5001,N$114,BD!$A$3:$A$5001,"&gt;="&amp;$C$7,BD!$A$3:$A$5001,"&lt;="&amp;$B138,BD!$K$3:$K$5001,"&lt;&gt;")=0,"",SUMIFS(BD!$K$3:$K$5001,BD!$B$3:$B$5001,N$114,BD!$A$3:$A$5001,_xlfn.MAXIFS(BD!$A$3:$A$5001,BD!$B$3:$B$5001,N$114,BD!$A$3:$A$5001,"&gt;="&amp;$C$7,BD!$A$3:$A$5001,"&lt;="&amp;$B138,BD!$K$3:$K$5001,"&lt;&gt;"))))</f>
        <v/>
      </c>
      <c r="O138" s="43" t="str">
        <f>IF(OR($B138="",$A138&gt;$B$9,O$114=""),"",IF(COUNTIFS(BD!$B$3:$B$5001,O$114,BD!$A$3:$A$5001,"&gt;="&amp;$C$7,BD!$A$3:$A$5001,"&lt;="&amp;$B138,BD!$K$3:$K$5001,"&lt;&gt;")=0,"",SUMIFS(BD!$K$3:$K$5001,BD!$B$3:$B$5001,O$114,BD!$A$3:$A$5001,_xlfn.MAXIFS(BD!$A$3:$A$5001,BD!$B$3:$B$5001,O$114,BD!$A$3:$A$5001,"&gt;="&amp;$C$7,BD!$A$3:$A$5001,"&lt;="&amp;$B138,BD!$K$3:$K$5001,"&lt;&gt;"))))</f>
        <v/>
      </c>
      <c r="P138" s="43" t="str">
        <f>IF(OR($B138="",$A138&gt;$B$9,P$114=""),"",IF(COUNTIFS(BD!$B$3:$B$5001,P$114,BD!$A$3:$A$5001,"&gt;="&amp;$C$7,BD!$A$3:$A$5001,"&lt;="&amp;$B138,BD!$K$3:$K$5001,"&lt;&gt;")=0,"",SUMIFS(BD!$K$3:$K$5001,BD!$B$3:$B$5001,P$114,BD!$A$3:$A$5001,_xlfn.MAXIFS(BD!$A$3:$A$5001,BD!$B$3:$B$5001,P$114,BD!$A$3:$A$5001,"&gt;="&amp;$C$7,BD!$A$3:$A$5001,"&lt;="&amp;$B138,BD!$K$3:$K$5001,"&lt;&gt;"))))</f>
        <v/>
      </c>
      <c r="Q138" s="43" t="str">
        <f>IF(OR($B138="",$A138&gt;$B$9,Q$114=""),"",IF(COUNTIFS(BD!$B$3:$B$5001,Q$114,BD!$A$3:$A$5001,"&gt;="&amp;$C$7,BD!$A$3:$A$5001,"&lt;="&amp;$B138,BD!$K$3:$K$5001,"&lt;&gt;")=0,"",SUMIFS(BD!$K$3:$K$5001,BD!$B$3:$B$5001,Q$114,BD!$A$3:$A$5001,_xlfn.MAXIFS(BD!$A$3:$A$5001,BD!$B$3:$B$5001,Q$114,BD!$A$3:$A$5001,"&gt;="&amp;$C$7,BD!$A$3:$A$5001,"&lt;="&amp;$B138,BD!$K$3:$K$5001,"&lt;&gt;"))))</f>
        <v/>
      </c>
      <c r="R138" s="43" t="str">
        <f>IF(OR($B138="",$A138&gt;$B$9,R$114=""),"",IF(COUNTIFS(BD!$B$3:$B$5001,R$114,BD!$A$3:$A$5001,"&gt;="&amp;$C$7,BD!$A$3:$A$5001,"&lt;="&amp;$B138,BD!$K$3:$K$5001,"&lt;&gt;")=0,"",SUMIFS(BD!$K$3:$K$5001,BD!$B$3:$B$5001,R$114,BD!$A$3:$A$5001,_xlfn.MAXIFS(BD!$A$3:$A$5001,BD!$B$3:$B$5001,R$114,BD!$A$3:$A$5001,"&gt;="&amp;$C$7,BD!$A$3:$A$5001,"&lt;="&amp;$B138,BD!$K$3:$K$5001,"&lt;&gt;"))))</f>
        <v/>
      </c>
      <c r="S138" s="43" t="str">
        <f>IF(OR($B138="",$A138&gt;$B$9,S$114=""),"",IF(COUNTIFS(BD!$B$3:$B$5001,S$114,BD!$A$3:$A$5001,"&gt;="&amp;$C$7,BD!$A$3:$A$5001,"&lt;="&amp;$B138,BD!$K$3:$K$5001,"&lt;&gt;")=0,"",SUMIFS(BD!$K$3:$K$5001,BD!$B$3:$B$5001,S$114,BD!$A$3:$A$5001,_xlfn.MAXIFS(BD!$A$3:$A$5001,BD!$B$3:$B$5001,S$114,BD!$A$3:$A$5001,"&gt;="&amp;$C$7,BD!$A$3:$A$5001,"&lt;="&amp;$B138,BD!$K$3:$K$5001,"&lt;&gt;"))))</f>
        <v/>
      </c>
      <c r="T138" s="43" t="str">
        <f>IF(OR($B138="",$A138&gt;$B$9,T$114=""),"",IF(COUNTIFS(BD!$B$3:$B$5001,T$114,BD!$A$3:$A$5001,"&gt;="&amp;$C$7,BD!$A$3:$A$5001,"&lt;="&amp;$B138,BD!$K$3:$K$5001,"&lt;&gt;")=0,"",SUMIFS(BD!$K$3:$K$5001,BD!$B$3:$B$5001,T$114,BD!$A$3:$A$5001,_xlfn.MAXIFS(BD!$A$3:$A$5001,BD!$B$3:$B$5001,T$114,BD!$A$3:$A$5001,"&gt;="&amp;$C$7,BD!$A$3:$A$5001,"&lt;="&amp;$B138,BD!$K$3:$K$5001,"&lt;&gt;"))))</f>
        <v/>
      </c>
      <c r="U138" s="43" t="str">
        <f>IF(OR($B138="",$A138&gt;$B$9,U$114=""),"",IF(COUNTIFS(BD!$B$3:$B$5001,U$114,BD!$A$3:$A$5001,"&gt;="&amp;$C$7,BD!$A$3:$A$5001,"&lt;="&amp;$B138,BD!$K$3:$K$5001,"&lt;&gt;")=0,"",SUMIFS(BD!$K$3:$K$5001,BD!$B$3:$B$5001,U$114,BD!$A$3:$A$5001,_xlfn.MAXIFS(BD!$A$3:$A$5001,BD!$B$3:$B$5001,U$114,BD!$A$3:$A$5001,"&gt;="&amp;$C$7,BD!$A$3:$A$5001,"&lt;="&amp;$B138,BD!$K$3:$K$5001,"&lt;&gt;"))))</f>
        <v/>
      </c>
      <c r="V138" s="43" t="str">
        <f>IF(OR($B138="",$A138&gt;$B$9,V$114=""),"",IF(COUNTIFS(BD!$B$3:$B$5001,V$114,BD!$A$3:$A$5001,"&gt;="&amp;$C$7,BD!$A$3:$A$5001,"&lt;="&amp;$B138,BD!$K$3:$K$5001,"&lt;&gt;")=0,"",SUMIFS(BD!$K$3:$K$5001,BD!$B$3:$B$5001,V$114,BD!$A$3:$A$5001,_xlfn.MAXIFS(BD!$A$3:$A$5001,BD!$B$3:$B$5001,V$114,BD!$A$3:$A$5001,"&gt;="&amp;$C$7,BD!$A$3:$A$5001,"&lt;="&amp;$B138,BD!$K$3:$K$5001,"&lt;&gt;"))))</f>
        <v/>
      </c>
    </row>
    <row r="139">
      <c r="A139" s="38">
        <v>25</v>
      </c>
      <c r="B139" s="42">
        <f>$B$36</f>
        <v>46320</v>
      </c>
      <c r="C139" s="43" t="str">
        <f>IF(OR($B139="",$A139&gt;$B$9,C$114=""),"",IF(COUNTIFS(BD!$B$3:$B$5001,C$114,BD!$A$3:$A$5001,"&gt;="&amp;$C$7,BD!$A$3:$A$5001,"&lt;="&amp;$B139,BD!$K$3:$K$5001,"&lt;&gt;")=0,"",SUMIFS(BD!$K$3:$K$5001,BD!$B$3:$B$5001,C$114,BD!$A$3:$A$5001,_xlfn.MAXIFS(BD!$A$3:$A$5001,BD!$B$3:$B$5001,C$114,BD!$A$3:$A$5001,"&gt;="&amp;$C$7,BD!$A$3:$A$5001,"&lt;="&amp;$B139,BD!$K$3:$K$5001,"&lt;&gt;"))))</f>
        <v/>
      </c>
      <c r="D139" s="43" t="str">
        <f>IF(OR($B139="",$A139&gt;$B$9,D$114=""),"",IF(COUNTIFS(BD!$B$3:$B$5001,D$114,BD!$A$3:$A$5001,"&gt;="&amp;$C$7,BD!$A$3:$A$5001,"&lt;="&amp;$B139,BD!$K$3:$K$5001,"&lt;&gt;")=0,"",SUMIFS(BD!$K$3:$K$5001,BD!$B$3:$B$5001,D$114,BD!$A$3:$A$5001,_xlfn.MAXIFS(BD!$A$3:$A$5001,BD!$B$3:$B$5001,D$114,BD!$A$3:$A$5001,"&gt;="&amp;$C$7,BD!$A$3:$A$5001,"&lt;="&amp;$B139,BD!$K$3:$K$5001,"&lt;&gt;"))))</f>
        <v/>
      </c>
      <c r="E139" s="43" t="str">
        <f>IF(OR($B139="",$A139&gt;$B$9,E$114=""),"",IF(COUNTIFS(BD!$B$3:$B$5001,E$114,BD!$A$3:$A$5001,"&gt;="&amp;$C$7,BD!$A$3:$A$5001,"&lt;="&amp;$B139,BD!$K$3:$K$5001,"&lt;&gt;")=0,"",SUMIFS(BD!$K$3:$K$5001,BD!$B$3:$B$5001,E$114,BD!$A$3:$A$5001,_xlfn.MAXIFS(BD!$A$3:$A$5001,BD!$B$3:$B$5001,E$114,BD!$A$3:$A$5001,"&gt;="&amp;$C$7,BD!$A$3:$A$5001,"&lt;="&amp;$B139,BD!$K$3:$K$5001,"&lt;&gt;"))))</f>
        <v/>
      </c>
      <c r="F139" s="43" t="str">
        <f>IF(OR($B139="",$A139&gt;$B$9,F$114=""),"",IF(COUNTIFS(BD!$B$3:$B$5001,F$114,BD!$A$3:$A$5001,"&gt;="&amp;$C$7,BD!$A$3:$A$5001,"&lt;="&amp;$B139,BD!$K$3:$K$5001,"&lt;&gt;")=0,"",SUMIFS(BD!$K$3:$K$5001,BD!$B$3:$B$5001,F$114,BD!$A$3:$A$5001,_xlfn.MAXIFS(BD!$A$3:$A$5001,BD!$B$3:$B$5001,F$114,BD!$A$3:$A$5001,"&gt;="&amp;$C$7,BD!$A$3:$A$5001,"&lt;="&amp;$B139,BD!$K$3:$K$5001,"&lt;&gt;"))))</f>
        <v/>
      </c>
      <c r="G139" s="43" t="str">
        <f>IF(OR($B139="",$A139&gt;$B$9,G$114=""),"",IF(COUNTIFS(BD!$B$3:$B$5001,G$114,BD!$A$3:$A$5001,"&gt;="&amp;$C$7,BD!$A$3:$A$5001,"&lt;="&amp;$B139,BD!$K$3:$K$5001,"&lt;&gt;")=0,"",SUMIFS(BD!$K$3:$K$5001,BD!$B$3:$B$5001,G$114,BD!$A$3:$A$5001,_xlfn.MAXIFS(BD!$A$3:$A$5001,BD!$B$3:$B$5001,G$114,BD!$A$3:$A$5001,"&gt;="&amp;$C$7,BD!$A$3:$A$5001,"&lt;="&amp;$B139,BD!$K$3:$K$5001,"&lt;&gt;"))))</f>
        <v/>
      </c>
      <c r="H139" s="43" t="str">
        <f>IF(OR($B139="",$A139&gt;$B$9,H$114=""),"",IF(COUNTIFS(BD!$B$3:$B$5001,H$114,BD!$A$3:$A$5001,"&gt;="&amp;$C$7,BD!$A$3:$A$5001,"&lt;="&amp;$B139,BD!$K$3:$K$5001,"&lt;&gt;")=0,"",SUMIFS(BD!$K$3:$K$5001,BD!$B$3:$B$5001,H$114,BD!$A$3:$A$5001,_xlfn.MAXIFS(BD!$A$3:$A$5001,BD!$B$3:$B$5001,H$114,BD!$A$3:$A$5001,"&gt;="&amp;$C$7,BD!$A$3:$A$5001,"&lt;="&amp;$B139,BD!$K$3:$K$5001,"&lt;&gt;"))))</f>
        <v/>
      </c>
      <c r="I139" s="43" t="str">
        <f>IF(OR($B139="",$A139&gt;$B$9,I$114=""),"",IF(COUNTIFS(BD!$B$3:$B$5001,I$114,BD!$A$3:$A$5001,"&gt;="&amp;$C$7,BD!$A$3:$A$5001,"&lt;="&amp;$B139,BD!$K$3:$K$5001,"&lt;&gt;")=0,"",SUMIFS(BD!$K$3:$K$5001,BD!$B$3:$B$5001,I$114,BD!$A$3:$A$5001,_xlfn.MAXIFS(BD!$A$3:$A$5001,BD!$B$3:$B$5001,I$114,BD!$A$3:$A$5001,"&gt;="&amp;$C$7,BD!$A$3:$A$5001,"&lt;="&amp;$B139,BD!$K$3:$K$5001,"&lt;&gt;"))))</f>
        <v/>
      </c>
      <c r="J139" s="43" t="str">
        <f>IF(OR($B139="",$A139&gt;$B$9,J$114=""),"",IF(COUNTIFS(BD!$B$3:$B$5001,J$114,BD!$A$3:$A$5001,"&gt;="&amp;$C$7,BD!$A$3:$A$5001,"&lt;="&amp;$B139,BD!$K$3:$K$5001,"&lt;&gt;")=0,"",SUMIFS(BD!$K$3:$K$5001,BD!$B$3:$B$5001,J$114,BD!$A$3:$A$5001,_xlfn.MAXIFS(BD!$A$3:$A$5001,BD!$B$3:$B$5001,J$114,BD!$A$3:$A$5001,"&gt;="&amp;$C$7,BD!$A$3:$A$5001,"&lt;="&amp;$B139,BD!$K$3:$K$5001,"&lt;&gt;"))))</f>
        <v/>
      </c>
      <c r="K139" s="43" t="str">
        <f>IF(OR($B139="",$A139&gt;$B$9,K$114=""),"",IF(COUNTIFS(BD!$B$3:$B$5001,K$114,BD!$A$3:$A$5001,"&gt;="&amp;$C$7,BD!$A$3:$A$5001,"&lt;="&amp;$B139,BD!$K$3:$K$5001,"&lt;&gt;")=0,"",SUMIFS(BD!$K$3:$K$5001,BD!$B$3:$B$5001,K$114,BD!$A$3:$A$5001,_xlfn.MAXIFS(BD!$A$3:$A$5001,BD!$B$3:$B$5001,K$114,BD!$A$3:$A$5001,"&gt;="&amp;$C$7,BD!$A$3:$A$5001,"&lt;="&amp;$B139,BD!$K$3:$K$5001,"&lt;&gt;"))))</f>
        <v/>
      </c>
      <c r="L139" s="43" t="str">
        <f>IF(OR($B139="",$A139&gt;$B$9,L$114=""),"",IF(COUNTIFS(BD!$B$3:$B$5001,L$114,BD!$A$3:$A$5001,"&gt;="&amp;$C$7,BD!$A$3:$A$5001,"&lt;="&amp;$B139,BD!$K$3:$K$5001,"&lt;&gt;")=0,"",SUMIFS(BD!$K$3:$K$5001,BD!$B$3:$B$5001,L$114,BD!$A$3:$A$5001,_xlfn.MAXIFS(BD!$A$3:$A$5001,BD!$B$3:$B$5001,L$114,BD!$A$3:$A$5001,"&gt;="&amp;$C$7,BD!$A$3:$A$5001,"&lt;="&amp;$B139,BD!$K$3:$K$5001,"&lt;&gt;"))))</f>
        <v/>
      </c>
      <c r="M139" s="43" t="str">
        <f>IF(OR($B139="",$A139&gt;$B$9,M$114=""),"",IF(COUNTIFS(BD!$B$3:$B$5001,M$114,BD!$A$3:$A$5001,"&gt;="&amp;$C$7,BD!$A$3:$A$5001,"&lt;="&amp;$B139,BD!$K$3:$K$5001,"&lt;&gt;")=0,"",SUMIFS(BD!$K$3:$K$5001,BD!$B$3:$B$5001,M$114,BD!$A$3:$A$5001,_xlfn.MAXIFS(BD!$A$3:$A$5001,BD!$B$3:$B$5001,M$114,BD!$A$3:$A$5001,"&gt;="&amp;$C$7,BD!$A$3:$A$5001,"&lt;="&amp;$B139,BD!$K$3:$K$5001,"&lt;&gt;"))))</f>
        <v/>
      </c>
      <c r="N139" s="43" t="str">
        <f>IF(OR($B139="",$A139&gt;$B$9,N$114=""),"",IF(COUNTIFS(BD!$B$3:$B$5001,N$114,BD!$A$3:$A$5001,"&gt;="&amp;$C$7,BD!$A$3:$A$5001,"&lt;="&amp;$B139,BD!$K$3:$K$5001,"&lt;&gt;")=0,"",SUMIFS(BD!$K$3:$K$5001,BD!$B$3:$B$5001,N$114,BD!$A$3:$A$5001,_xlfn.MAXIFS(BD!$A$3:$A$5001,BD!$B$3:$B$5001,N$114,BD!$A$3:$A$5001,"&gt;="&amp;$C$7,BD!$A$3:$A$5001,"&lt;="&amp;$B139,BD!$K$3:$K$5001,"&lt;&gt;"))))</f>
        <v/>
      </c>
      <c r="O139" s="43" t="str">
        <f>IF(OR($B139="",$A139&gt;$B$9,O$114=""),"",IF(COUNTIFS(BD!$B$3:$B$5001,O$114,BD!$A$3:$A$5001,"&gt;="&amp;$C$7,BD!$A$3:$A$5001,"&lt;="&amp;$B139,BD!$K$3:$K$5001,"&lt;&gt;")=0,"",SUMIFS(BD!$K$3:$K$5001,BD!$B$3:$B$5001,O$114,BD!$A$3:$A$5001,_xlfn.MAXIFS(BD!$A$3:$A$5001,BD!$B$3:$B$5001,O$114,BD!$A$3:$A$5001,"&gt;="&amp;$C$7,BD!$A$3:$A$5001,"&lt;="&amp;$B139,BD!$K$3:$K$5001,"&lt;&gt;"))))</f>
        <v/>
      </c>
      <c r="P139" s="43" t="str">
        <f>IF(OR($B139="",$A139&gt;$B$9,P$114=""),"",IF(COUNTIFS(BD!$B$3:$B$5001,P$114,BD!$A$3:$A$5001,"&gt;="&amp;$C$7,BD!$A$3:$A$5001,"&lt;="&amp;$B139,BD!$K$3:$K$5001,"&lt;&gt;")=0,"",SUMIFS(BD!$K$3:$K$5001,BD!$B$3:$B$5001,P$114,BD!$A$3:$A$5001,_xlfn.MAXIFS(BD!$A$3:$A$5001,BD!$B$3:$B$5001,P$114,BD!$A$3:$A$5001,"&gt;="&amp;$C$7,BD!$A$3:$A$5001,"&lt;="&amp;$B139,BD!$K$3:$K$5001,"&lt;&gt;"))))</f>
        <v/>
      </c>
      <c r="Q139" s="43" t="str">
        <f>IF(OR($B139="",$A139&gt;$B$9,Q$114=""),"",IF(COUNTIFS(BD!$B$3:$B$5001,Q$114,BD!$A$3:$A$5001,"&gt;="&amp;$C$7,BD!$A$3:$A$5001,"&lt;="&amp;$B139,BD!$K$3:$K$5001,"&lt;&gt;")=0,"",SUMIFS(BD!$K$3:$K$5001,BD!$B$3:$B$5001,Q$114,BD!$A$3:$A$5001,_xlfn.MAXIFS(BD!$A$3:$A$5001,BD!$B$3:$B$5001,Q$114,BD!$A$3:$A$5001,"&gt;="&amp;$C$7,BD!$A$3:$A$5001,"&lt;="&amp;$B139,BD!$K$3:$K$5001,"&lt;&gt;"))))</f>
        <v/>
      </c>
      <c r="R139" s="43" t="str">
        <f>IF(OR($B139="",$A139&gt;$B$9,R$114=""),"",IF(COUNTIFS(BD!$B$3:$B$5001,R$114,BD!$A$3:$A$5001,"&gt;="&amp;$C$7,BD!$A$3:$A$5001,"&lt;="&amp;$B139,BD!$K$3:$K$5001,"&lt;&gt;")=0,"",SUMIFS(BD!$K$3:$K$5001,BD!$B$3:$B$5001,R$114,BD!$A$3:$A$5001,_xlfn.MAXIFS(BD!$A$3:$A$5001,BD!$B$3:$B$5001,R$114,BD!$A$3:$A$5001,"&gt;="&amp;$C$7,BD!$A$3:$A$5001,"&lt;="&amp;$B139,BD!$K$3:$K$5001,"&lt;&gt;"))))</f>
        <v/>
      </c>
      <c r="S139" s="43" t="str">
        <f>IF(OR($B139="",$A139&gt;$B$9,S$114=""),"",IF(COUNTIFS(BD!$B$3:$B$5001,S$114,BD!$A$3:$A$5001,"&gt;="&amp;$C$7,BD!$A$3:$A$5001,"&lt;="&amp;$B139,BD!$K$3:$K$5001,"&lt;&gt;")=0,"",SUMIFS(BD!$K$3:$K$5001,BD!$B$3:$B$5001,S$114,BD!$A$3:$A$5001,_xlfn.MAXIFS(BD!$A$3:$A$5001,BD!$B$3:$B$5001,S$114,BD!$A$3:$A$5001,"&gt;="&amp;$C$7,BD!$A$3:$A$5001,"&lt;="&amp;$B139,BD!$K$3:$K$5001,"&lt;&gt;"))))</f>
        <v/>
      </c>
      <c r="T139" s="43" t="str">
        <f>IF(OR($B139="",$A139&gt;$B$9,T$114=""),"",IF(COUNTIFS(BD!$B$3:$B$5001,T$114,BD!$A$3:$A$5001,"&gt;="&amp;$C$7,BD!$A$3:$A$5001,"&lt;="&amp;$B139,BD!$K$3:$K$5001,"&lt;&gt;")=0,"",SUMIFS(BD!$K$3:$K$5001,BD!$B$3:$B$5001,T$114,BD!$A$3:$A$5001,_xlfn.MAXIFS(BD!$A$3:$A$5001,BD!$B$3:$B$5001,T$114,BD!$A$3:$A$5001,"&gt;="&amp;$C$7,BD!$A$3:$A$5001,"&lt;="&amp;$B139,BD!$K$3:$K$5001,"&lt;&gt;"))))</f>
        <v/>
      </c>
      <c r="U139" s="43" t="str">
        <f>IF(OR($B139="",$A139&gt;$B$9,U$114=""),"",IF(COUNTIFS(BD!$B$3:$B$5001,U$114,BD!$A$3:$A$5001,"&gt;="&amp;$C$7,BD!$A$3:$A$5001,"&lt;="&amp;$B139,BD!$K$3:$K$5001,"&lt;&gt;")=0,"",SUMIFS(BD!$K$3:$K$5001,BD!$B$3:$B$5001,U$114,BD!$A$3:$A$5001,_xlfn.MAXIFS(BD!$A$3:$A$5001,BD!$B$3:$B$5001,U$114,BD!$A$3:$A$5001,"&gt;="&amp;$C$7,BD!$A$3:$A$5001,"&lt;="&amp;$B139,BD!$K$3:$K$5001,"&lt;&gt;"))))</f>
        <v/>
      </c>
      <c r="V139" s="43" t="str">
        <f>IF(OR($B139="",$A139&gt;$B$9,V$114=""),"",IF(COUNTIFS(BD!$B$3:$B$5001,V$114,BD!$A$3:$A$5001,"&gt;="&amp;$C$7,BD!$A$3:$A$5001,"&lt;="&amp;$B139,BD!$K$3:$K$5001,"&lt;&gt;")=0,"",SUMIFS(BD!$K$3:$K$5001,BD!$B$3:$B$5001,V$114,BD!$A$3:$A$5001,_xlfn.MAXIFS(BD!$A$3:$A$5001,BD!$B$3:$B$5001,V$114,BD!$A$3:$A$5001,"&gt;="&amp;$C$7,BD!$A$3:$A$5001,"&lt;="&amp;$B139,BD!$K$3:$K$5001,"&lt;&gt;"))))</f>
        <v/>
      </c>
    </row>
    <row r="140">
      <c r="A140" s="38">
        <v>26</v>
      </c>
      <c r="B140" s="42">
        <f>$B$37</f>
        <v>46321</v>
      </c>
      <c r="C140" s="43" t="str">
        <f>IF(OR($B140="",$A140&gt;$B$9,C$114=""),"",IF(COUNTIFS(BD!$B$3:$B$5001,C$114,BD!$A$3:$A$5001,"&gt;="&amp;$C$7,BD!$A$3:$A$5001,"&lt;="&amp;$B140,BD!$K$3:$K$5001,"&lt;&gt;")=0,"",SUMIFS(BD!$K$3:$K$5001,BD!$B$3:$B$5001,C$114,BD!$A$3:$A$5001,_xlfn.MAXIFS(BD!$A$3:$A$5001,BD!$B$3:$B$5001,C$114,BD!$A$3:$A$5001,"&gt;="&amp;$C$7,BD!$A$3:$A$5001,"&lt;="&amp;$B140,BD!$K$3:$K$5001,"&lt;&gt;"))))</f>
        <v/>
      </c>
      <c r="D140" s="43" t="str">
        <f>IF(OR($B140="",$A140&gt;$B$9,D$114=""),"",IF(COUNTIFS(BD!$B$3:$B$5001,D$114,BD!$A$3:$A$5001,"&gt;="&amp;$C$7,BD!$A$3:$A$5001,"&lt;="&amp;$B140,BD!$K$3:$K$5001,"&lt;&gt;")=0,"",SUMIFS(BD!$K$3:$K$5001,BD!$B$3:$B$5001,D$114,BD!$A$3:$A$5001,_xlfn.MAXIFS(BD!$A$3:$A$5001,BD!$B$3:$B$5001,D$114,BD!$A$3:$A$5001,"&gt;="&amp;$C$7,BD!$A$3:$A$5001,"&lt;="&amp;$B140,BD!$K$3:$K$5001,"&lt;&gt;"))))</f>
        <v/>
      </c>
      <c r="E140" s="43" t="str">
        <f>IF(OR($B140="",$A140&gt;$B$9,E$114=""),"",IF(COUNTIFS(BD!$B$3:$B$5001,E$114,BD!$A$3:$A$5001,"&gt;="&amp;$C$7,BD!$A$3:$A$5001,"&lt;="&amp;$B140,BD!$K$3:$K$5001,"&lt;&gt;")=0,"",SUMIFS(BD!$K$3:$K$5001,BD!$B$3:$B$5001,E$114,BD!$A$3:$A$5001,_xlfn.MAXIFS(BD!$A$3:$A$5001,BD!$B$3:$B$5001,E$114,BD!$A$3:$A$5001,"&gt;="&amp;$C$7,BD!$A$3:$A$5001,"&lt;="&amp;$B140,BD!$K$3:$K$5001,"&lt;&gt;"))))</f>
        <v/>
      </c>
      <c r="F140" s="43" t="str">
        <f>IF(OR($B140="",$A140&gt;$B$9,F$114=""),"",IF(COUNTIFS(BD!$B$3:$B$5001,F$114,BD!$A$3:$A$5001,"&gt;="&amp;$C$7,BD!$A$3:$A$5001,"&lt;="&amp;$B140,BD!$K$3:$K$5001,"&lt;&gt;")=0,"",SUMIFS(BD!$K$3:$K$5001,BD!$B$3:$B$5001,F$114,BD!$A$3:$A$5001,_xlfn.MAXIFS(BD!$A$3:$A$5001,BD!$B$3:$B$5001,F$114,BD!$A$3:$A$5001,"&gt;="&amp;$C$7,BD!$A$3:$A$5001,"&lt;="&amp;$B140,BD!$K$3:$K$5001,"&lt;&gt;"))))</f>
        <v/>
      </c>
      <c r="G140" s="43" t="str">
        <f>IF(OR($B140="",$A140&gt;$B$9,G$114=""),"",IF(COUNTIFS(BD!$B$3:$B$5001,G$114,BD!$A$3:$A$5001,"&gt;="&amp;$C$7,BD!$A$3:$A$5001,"&lt;="&amp;$B140,BD!$K$3:$K$5001,"&lt;&gt;")=0,"",SUMIFS(BD!$K$3:$K$5001,BD!$B$3:$B$5001,G$114,BD!$A$3:$A$5001,_xlfn.MAXIFS(BD!$A$3:$A$5001,BD!$B$3:$B$5001,G$114,BD!$A$3:$A$5001,"&gt;="&amp;$C$7,BD!$A$3:$A$5001,"&lt;="&amp;$B140,BD!$K$3:$K$5001,"&lt;&gt;"))))</f>
        <v/>
      </c>
      <c r="H140" s="43" t="str">
        <f>IF(OR($B140="",$A140&gt;$B$9,H$114=""),"",IF(COUNTIFS(BD!$B$3:$B$5001,H$114,BD!$A$3:$A$5001,"&gt;="&amp;$C$7,BD!$A$3:$A$5001,"&lt;="&amp;$B140,BD!$K$3:$K$5001,"&lt;&gt;")=0,"",SUMIFS(BD!$K$3:$K$5001,BD!$B$3:$B$5001,H$114,BD!$A$3:$A$5001,_xlfn.MAXIFS(BD!$A$3:$A$5001,BD!$B$3:$B$5001,H$114,BD!$A$3:$A$5001,"&gt;="&amp;$C$7,BD!$A$3:$A$5001,"&lt;="&amp;$B140,BD!$K$3:$K$5001,"&lt;&gt;"))))</f>
        <v/>
      </c>
      <c r="I140" s="43" t="str">
        <f>IF(OR($B140="",$A140&gt;$B$9,I$114=""),"",IF(COUNTIFS(BD!$B$3:$B$5001,I$114,BD!$A$3:$A$5001,"&gt;="&amp;$C$7,BD!$A$3:$A$5001,"&lt;="&amp;$B140,BD!$K$3:$K$5001,"&lt;&gt;")=0,"",SUMIFS(BD!$K$3:$K$5001,BD!$B$3:$B$5001,I$114,BD!$A$3:$A$5001,_xlfn.MAXIFS(BD!$A$3:$A$5001,BD!$B$3:$B$5001,I$114,BD!$A$3:$A$5001,"&gt;="&amp;$C$7,BD!$A$3:$A$5001,"&lt;="&amp;$B140,BD!$K$3:$K$5001,"&lt;&gt;"))))</f>
        <v/>
      </c>
      <c r="J140" s="43" t="str">
        <f>IF(OR($B140="",$A140&gt;$B$9,J$114=""),"",IF(COUNTIFS(BD!$B$3:$B$5001,J$114,BD!$A$3:$A$5001,"&gt;="&amp;$C$7,BD!$A$3:$A$5001,"&lt;="&amp;$B140,BD!$K$3:$K$5001,"&lt;&gt;")=0,"",SUMIFS(BD!$K$3:$K$5001,BD!$B$3:$B$5001,J$114,BD!$A$3:$A$5001,_xlfn.MAXIFS(BD!$A$3:$A$5001,BD!$B$3:$B$5001,J$114,BD!$A$3:$A$5001,"&gt;="&amp;$C$7,BD!$A$3:$A$5001,"&lt;="&amp;$B140,BD!$K$3:$K$5001,"&lt;&gt;"))))</f>
        <v/>
      </c>
      <c r="K140" s="43" t="str">
        <f>IF(OR($B140="",$A140&gt;$B$9,K$114=""),"",IF(COUNTIFS(BD!$B$3:$B$5001,K$114,BD!$A$3:$A$5001,"&gt;="&amp;$C$7,BD!$A$3:$A$5001,"&lt;="&amp;$B140,BD!$K$3:$K$5001,"&lt;&gt;")=0,"",SUMIFS(BD!$K$3:$K$5001,BD!$B$3:$B$5001,K$114,BD!$A$3:$A$5001,_xlfn.MAXIFS(BD!$A$3:$A$5001,BD!$B$3:$B$5001,K$114,BD!$A$3:$A$5001,"&gt;="&amp;$C$7,BD!$A$3:$A$5001,"&lt;="&amp;$B140,BD!$K$3:$K$5001,"&lt;&gt;"))))</f>
        <v/>
      </c>
      <c r="L140" s="43" t="str">
        <f>IF(OR($B140="",$A140&gt;$B$9,L$114=""),"",IF(COUNTIFS(BD!$B$3:$B$5001,L$114,BD!$A$3:$A$5001,"&gt;="&amp;$C$7,BD!$A$3:$A$5001,"&lt;="&amp;$B140,BD!$K$3:$K$5001,"&lt;&gt;")=0,"",SUMIFS(BD!$K$3:$K$5001,BD!$B$3:$B$5001,L$114,BD!$A$3:$A$5001,_xlfn.MAXIFS(BD!$A$3:$A$5001,BD!$B$3:$B$5001,L$114,BD!$A$3:$A$5001,"&gt;="&amp;$C$7,BD!$A$3:$A$5001,"&lt;="&amp;$B140,BD!$K$3:$K$5001,"&lt;&gt;"))))</f>
        <v/>
      </c>
      <c r="M140" s="43" t="str">
        <f>IF(OR($B140="",$A140&gt;$B$9,M$114=""),"",IF(COUNTIFS(BD!$B$3:$B$5001,M$114,BD!$A$3:$A$5001,"&gt;="&amp;$C$7,BD!$A$3:$A$5001,"&lt;="&amp;$B140,BD!$K$3:$K$5001,"&lt;&gt;")=0,"",SUMIFS(BD!$K$3:$K$5001,BD!$B$3:$B$5001,M$114,BD!$A$3:$A$5001,_xlfn.MAXIFS(BD!$A$3:$A$5001,BD!$B$3:$B$5001,M$114,BD!$A$3:$A$5001,"&gt;="&amp;$C$7,BD!$A$3:$A$5001,"&lt;="&amp;$B140,BD!$K$3:$K$5001,"&lt;&gt;"))))</f>
        <v/>
      </c>
      <c r="N140" s="43" t="str">
        <f>IF(OR($B140="",$A140&gt;$B$9,N$114=""),"",IF(COUNTIFS(BD!$B$3:$B$5001,N$114,BD!$A$3:$A$5001,"&gt;="&amp;$C$7,BD!$A$3:$A$5001,"&lt;="&amp;$B140,BD!$K$3:$K$5001,"&lt;&gt;")=0,"",SUMIFS(BD!$K$3:$K$5001,BD!$B$3:$B$5001,N$114,BD!$A$3:$A$5001,_xlfn.MAXIFS(BD!$A$3:$A$5001,BD!$B$3:$B$5001,N$114,BD!$A$3:$A$5001,"&gt;="&amp;$C$7,BD!$A$3:$A$5001,"&lt;="&amp;$B140,BD!$K$3:$K$5001,"&lt;&gt;"))))</f>
        <v/>
      </c>
      <c r="O140" s="43" t="str">
        <f>IF(OR($B140="",$A140&gt;$B$9,O$114=""),"",IF(COUNTIFS(BD!$B$3:$B$5001,O$114,BD!$A$3:$A$5001,"&gt;="&amp;$C$7,BD!$A$3:$A$5001,"&lt;="&amp;$B140,BD!$K$3:$K$5001,"&lt;&gt;")=0,"",SUMIFS(BD!$K$3:$K$5001,BD!$B$3:$B$5001,O$114,BD!$A$3:$A$5001,_xlfn.MAXIFS(BD!$A$3:$A$5001,BD!$B$3:$B$5001,O$114,BD!$A$3:$A$5001,"&gt;="&amp;$C$7,BD!$A$3:$A$5001,"&lt;="&amp;$B140,BD!$K$3:$K$5001,"&lt;&gt;"))))</f>
        <v/>
      </c>
      <c r="P140" s="43" t="str">
        <f>IF(OR($B140="",$A140&gt;$B$9,P$114=""),"",IF(COUNTIFS(BD!$B$3:$B$5001,P$114,BD!$A$3:$A$5001,"&gt;="&amp;$C$7,BD!$A$3:$A$5001,"&lt;="&amp;$B140,BD!$K$3:$K$5001,"&lt;&gt;")=0,"",SUMIFS(BD!$K$3:$K$5001,BD!$B$3:$B$5001,P$114,BD!$A$3:$A$5001,_xlfn.MAXIFS(BD!$A$3:$A$5001,BD!$B$3:$B$5001,P$114,BD!$A$3:$A$5001,"&gt;="&amp;$C$7,BD!$A$3:$A$5001,"&lt;="&amp;$B140,BD!$K$3:$K$5001,"&lt;&gt;"))))</f>
        <v/>
      </c>
      <c r="Q140" s="43" t="str">
        <f>IF(OR($B140="",$A140&gt;$B$9,Q$114=""),"",IF(COUNTIFS(BD!$B$3:$B$5001,Q$114,BD!$A$3:$A$5001,"&gt;="&amp;$C$7,BD!$A$3:$A$5001,"&lt;="&amp;$B140,BD!$K$3:$K$5001,"&lt;&gt;")=0,"",SUMIFS(BD!$K$3:$K$5001,BD!$B$3:$B$5001,Q$114,BD!$A$3:$A$5001,_xlfn.MAXIFS(BD!$A$3:$A$5001,BD!$B$3:$B$5001,Q$114,BD!$A$3:$A$5001,"&gt;="&amp;$C$7,BD!$A$3:$A$5001,"&lt;="&amp;$B140,BD!$K$3:$K$5001,"&lt;&gt;"))))</f>
        <v/>
      </c>
      <c r="R140" s="43" t="str">
        <f>IF(OR($B140="",$A140&gt;$B$9,R$114=""),"",IF(COUNTIFS(BD!$B$3:$B$5001,R$114,BD!$A$3:$A$5001,"&gt;="&amp;$C$7,BD!$A$3:$A$5001,"&lt;="&amp;$B140,BD!$K$3:$K$5001,"&lt;&gt;")=0,"",SUMIFS(BD!$K$3:$K$5001,BD!$B$3:$B$5001,R$114,BD!$A$3:$A$5001,_xlfn.MAXIFS(BD!$A$3:$A$5001,BD!$B$3:$B$5001,R$114,BD!$A$3:$A$5001,"&gt;="&amp;$C$7,BD!$A$3:$A$5001,"&lt;="&amp;$B140,BD!$K$3:$K$5001,"&lt;&gt;"))))</f>
        <v/>
      </c>
      <c r="S140" s="43" t="str">
        <f>IF(OR($B140="",$A140&gt;$B$9,S$114=""),"",IF(COUNTIFS(BD!$B$3:$B$5001,S$114,BD!$A$3:$A$5001,"&gt;="&amp;$C$7,BD!$A$3:$A$5001,"&lt;="&amp;$B140,BD!$K$3:$K$5001,"&lt;&gt;")=0,"",SUMIFS(BD!$K$3:$K$5001,BD!$B$3:$B$5001,S$114,BD!$A$3:$A$5001,_xlfn.MAXIFS(BD!$A$3:$A$5001,BD!$B$3:$B$5001,S$114,BD!$A$3:$A$5001,"&gt;="&amp;$C$7,BD!$A$3:$A$5001,"&lt;="&amp;$B140,BD!$K$3:$K$5001,"&lt;&gt;"))))</f>
        <v/>
      </c>
      <c r="T140" s="43" t="str">
        <f>IF(OR($B140="",$A140&gt;$B$9,T$114=""),"",IF(COUNTIFS(BD!$B$3:$B$5001,T$114,BD!$A$3:$A$5001,"&gt;="&amp;$C$7,BD!$A$3:$A$5001,"&lt;="&amp;$B140,BD!$K$3:$K$5001,"&lt;&gt;")=0,"",SUMIFS(BD!$K$3:$K$5001,BD!$B$3:$B$5001,T$114,BD!$A$3:$A$5001,_xlfn.MAXIFS(BD!$A$3:$A$5001,BD!$B$3:$B$5001,T$114,BD!$A$3:$A$5001,"&gt;="&amp;$C$7,BD!$A$3:$A$5001,"&lt;="&amp;$B140,BD!$K$3:$K$5001,"&lt;&gt;"))))</f>
        <v/>
      </c>
      <c r="U140" s="43" t="str">
        <f>IF(OR($B140="",$A140&gt;$B$9,U$114=""),"",IF(COUNTIFS(BD!$B$3:$B$5001,U$114,BD!$A$3:$A$5001,"&gt;="&amp;$C$7,BD!$A$3:$A$5001,"&lt;="&amp;$B140,BD!$K$3:$K$5001,"&lt;&gt;")=0,"",SUMIFS(BD!$K$3:$K$5001,BD!$B$3:$B$5001,U$114,BD!$A$3:$A$5001,_xlfn.MAXIFS(BD!$A$3:$A$5001,BD!$B$3:$B$5001,U$114,BD!$A$3:$A$5001,"&gt;="&amp;$C$7,BD!$A$3:$A$5001,"&lt;="&amp;$B140,BD!$K$3:$K$5001,"&lt;&gt;"))))</f>
        <v/>
      </c>
      <c r="V140" s="43" t="str">
        <f>IF(OR($B140="",$A140&gt;$B$9,V$114=""),"",IF(COUNTIFS(BD!$B$3:$B$5001,V$114,BD!$A$3:$A$5001,"&gt;="&amp;$C$7,BD!$A$3:$A$5001,"&lt;="&amp;$B140,BD!$K$3:$K$5001,"&lt;&gt;")=0,"",SUMIFS(BD!$K$3:$K$5001,BD!$B$3:$B$5001,V$114,BD!$A$3:$A$5001,_xlfn.MAXIFS(BD!$A$3:$A$5001,BD!$B$3:$B$5001,V$114,BD!$A$3:$A$5001,"&gt;="&amp;$C$7,BD!$A$3:$A$5001,"&lt;="&amp;$B140,BD!$K$3:$K$5001,"&lt;&gt;"))))</f>
        <v/>
      </c>
    </row>
    <row r="141">
      <c r="A141" s="38">
        <v>27</v>
      </c>
      <c r="B141" s="42">
        <f>$B$38</f>
        <v>46322</v>
      </c>
      <c r="C141" s="43" t="str">
        <f>IF(OR($B141="",$A141&gt;$B$9,C$114=""),"",IF(COUNTIFS(BD!$B$3:$B$5001,C$114,BD!$A$3:$A$5001,"&gt;="&amp;$C$7,BD!$A$3:$A$5001,"&lt;="&amp;$B141,BD!$K$3:$K$5001,"&lt;&gt;")=0,"",SUMIFS(BD!$K$3:$K$5001,BD!$B$3:$B$5001,C$114,BD!$A$3:$A$5001,_xlfn.MAXIFS(BD!$A$3:$A$5001,BD!$B$3:$B$5001,C$114,BD!$A$3:$A$5001,"&gt;="&amp;$C$7,BD!$A$3:$A$5001,"&lt;="&amp;$B141,BD!$K$3:$K$5001,"&lt;&gt;"))))</f>
        <v/>
      </c>
      <c r="D141" s="43" t="str">
        <f>IF(OR($B141="",$A141&gt;$B$9,D$114=""),"",IF(COUNTIFS(BD!$B$3:$B$5001,D$114,BD!$A$3:$A$5001,"&gt;="&amp;$C$7,BD!$A$3:$A$5001,"&lt;="&amp;$B141,BD!$K$3:$K$5001,"&lt;&gt;")=0,"",SUMIFS(BD!$K$3:$K$5001,BD!$B$3:$B$5001,D$114,BD!$A$3:$A$5001,_xlfn.MAXIFS(BD!$A$3:$A$5001,BD!$B$3:$B$5001,D$114,BD!$A$3:$A$5001,"&gt;="&amp;$C$7,BD!$A$3:$A$5001,"&lt;="&amp;$B141,BD!$K$3:$K$5001,"&lt;&gt;"))))</f>
        <v/>
      </c>
      <c r="E141" s="43" t="str">
        <f>IF(OR($B141="",$A141&gt;$B$9,E$114=""),"",IF(COUNTIFS(BD!$B$3:$B$5001,E$114,BD!$A$3:$A$5001,"&gt;="&amp;$C$7,BD!$A$3:$A$5001,"&lt;="&amp;$B141,BD!$K$3:$K$5001,"&lt;&gt;")=0,"",SUMIFS(BD!$K$3:$K$5001,BD!$B$3:$B$5001,E$114,BD!$A$3:$A$5001,_xlfn.MAXIFS(BD!$A$3:$A$5001,BD!$B$3:$B$5001,E$114,BD!$A$3:$A$5001,"&gt;="&amp;$C$7,BD!$A$3:$A$5001,"&lt;="&amp;$B141,BD!$K$3:$K$5001,"&lt;&gt;"))))</f>
        <v/>
      </c>
      <c r="F141" s="43" t="str">
        <f>IF(OR($B141="",$A141&gt;$B$9,F$114=""),"",IF(COUNTIFS(BD!$B$3:$B$5001,F$114,BD!$A$3:$A$5001,"&gt;="&amp;$C$7,BD!$A$3:$A$5001,"&lt;="&amp;$B141,BD!$K$3:$K$5001,"&lt;&gt;")=0,"",SUMIFS(BD!$K$3:$K$5001,BD!$B$3:$B$5001,F$114,BD!$A$3:$A$5001,_xlfn.MAXIFS(BD!$A$3:$A$5001,BD!$B$3:$B$5001,F$114,BD!$A$3:$A$5001,"&gt;="&amp;$C$7,BD!$A$3:$A$5001,"&lt;="&amp;$B141,BD!$K$3:$K$5001,"&lt;&gt;"))))</f>
        <v/>
      </c>
      <c r="G141" s="43" t="str">
        <f>IF(OR($B141="",$A141&gt;$B$9,G$114=""),"",IF(COUNTIFS(BD!$B$3:$B$5001,G$114,BD!$A$3:$A$5001,"&gt;="&amp;$C$7,BD!$A$3:$A$5001,"&lt;="&amp;$B141,BD!$K$3:$K$5001,"&lt;&gt;")=0,"",SUMIFS(BD!$K$3:$K$5001,BD!$B$3:$B$5001,G$114,BD!$A$3:$A$5001,_xlfn.MAXIFS(BD!$A$3:$A$5001,BD!$B$3:$B$5001,G$114,BD!$A$3:$A$5001,"&gt;="&amp;$C$7,BD!$A$3:$A$5001,"&lt;="&amp;$B141,BD!$K$3:$K$5001,"&lt;&gt;"))))</f>
        <v/>
      </c>
      <c r="H141" s="43" t="str">
        <f>IF(OR($B141="",$A141&gt;$B$9,H$114=""),"",IF(COUNTIFS(BD!$B$3:$B$5001,H$114,BD!$A$3:$A$5001,"&gt;="&amp;$C$7,BD!$A$3:$A$5001,"&lt;="&amp;$B141,BD!$K$3:$K$5001,"&lt;&gt;")=0,"",SUMIFS(BD!$K$3:$K$5001,BD!$B$3:$B$5001,H$114,BD!$A$3:$A$5001,_xlfn.MAXIFS(BD!$A$3:$A$5001,BD!$B$3:$B$5001,H$114,BD!$A$3:$A$5001,"&gt;="&amp;$C$7,BD!$A$3:$A$5001,"&lt;="&amp;$B141,BD!$K$3:$K$5001,"&lt;&gt;"))))</f>
        <v/>
      </c>
      <c r="I141" s="43" t="str">
        <f>IF(OR($B141="",$A141&gt;$B$9,I$114=""),"",IF(COUNTIFS(BD!$B$3:$B$5001,I$114,BD!$A$3:$A$5001,"&gt;="&amp;$C$7,BD!$A$3:$A$5001,"&lt;="&amp;$B141,BD!$K$3:$K$5001,"&lt;&gt;")=0,"",SUMIFS(BD!$K$3:$K$5001,BD!$B$3:$B$5001,I$114,BD!$A$3:$A$5001,_xlfn.MAXIFS(BD!$A$3:$A$5001,BD!$B$3:$B$5001,I$114,BD!$A$3:$A$5001,"&gt;="&amp;$C$7,BD!$A$3:$A$5001,"&lt;="&amp;$B141,BD!$K$3:$K$5001,"&lt;&gt;"))))</f>
        <v/>
      </c>
      <c r="J141" s="43" t="str">
        <f>IF(OR($B141="",$A141&gt;$B$9,J$114=""),"",IF(COUNTIFS(BD!$B$3:$B$5001,J$114,BD!$A$3:$A$5001,"&gt;="&amp;$C$7,BD!$A$3:$A$5001,"&lt;="&amp;$B141,BD!$K$3:$K$5001,"&lt;&gt;")=0,"",SUMIFS(BD!$K$3:$K$5001,BD!$B$3:$B$5001,J$114,BD!$A$3:$A$5001,_xlfn.MAXIFS(BD!$A$3:$A$5001,BD!$B$3:$B$5001,J$114,BD!$A$3:$A$5001,"&gt;="&amp;$C$7,BD!$A$3:$A$5001,"&lt;="&amp;$B141,BD!$K$3:$K$5001,"&lt;&gt;"))))</f>
        <v/>
      </c>
      <c r="K141" s="43" t="str">
        <f>IF(OR($B141="",$A141&gt;$B$9,K$114=""),"",IF(COUNTIFS(BD!$B$3:$B$5001,K$114,BD!$A$3:$A$5001,"&gt;="&amp;$C$7,BD!$A$3:$A$5001,"&lt;="&amp;$B141,BD!$K$3:$K$5001,"&lt;&gt;")=0,"",SUMIFS(BD!$K$3:$K$5001,BD!$B$3:$B$5001,K$114,BD!$A$3:$A$5001,_xlfn.MAXIFS(BD!$A$3:$A$5001,BD!$B$3:$B$5001,K$114,BD!$A$3:$A$5001,"&gt;="&amp;$C$7,BD!$A$3:$A$5001,"&lt;="&amp;$B141,BD!$K$3:$K$5001,"&lt;&gt;"))))</f>
        <v/>
      </c>
      <c r="L141" s="43" t="str">
        <f>IF(OR($B141="",$A141&gt;$B$9,L$114=""),"",IF(COUNTIFS(BD!$B$3:$B$5001,L$114,BD!$A$3:$A$5001,"&gt;="&amp;$C$7,BD!$A$3:$A$5001,"&lt;="&amp;$B141,BD!$K$3:$K$5001,"&lt;&gt;")=0,"",SUMIFS(BD!$K$3:$K$5001,BD!$B$3:$B$5001,L$114,BD!$A$3:$A$5001,_xlfn.MAXIFS(BD!$A$3:$A$5001,BD!$B$3:$B$5001,L$114,BD!$A$3:$A$5001,"&gt;="&amp;$C$7,BD!$A$3:$A$5001,"&lt;="&amp;$B141,BD!$K$3:$K$5001,"&lt;&gt;"))))</f>
        <v/>
      </c>
      <c r="M141" s="43" t="str">
        <f>IF(OR($B141="",$A141&gt;$B$9,M$114=""),"",IF(COUNTIFS(BD!$B$3:$B$5001,M$114,BD!$A$3:$A$5001,"&gt;="&amp;$C$7,BD!$A$3:$A$5001,"&lt;="&amp;$B141,BD!$K$3:$K$5001,"&lt;&gt;")=0,"",SUMIFS(BD!$K$3:$K$5001,BD!$B$3:$B$5001,M$114,BD!$A$3:$A$5001,_xlfn.MAXIFS(BD!$A$3:$A$5001,BD!$B$3:$B$5001,M$114,BD!$A$3:$A$5001,"&gt;="&amp;$C$7,BD!$A$3:$A$5001,"&lt;="&amp;$B141,BD!$K$3:$K$5001,"&lt;&gt;"))))</f>
        <v/>
      </c>
      <c r="N141" s="43" t="str">
        <f>IF(OR($B141="",$A141&gt;$B$9,N$114=""),"",IF(COUNTIFS(BD!$B$3:$B$5001,N$114,BD!$A$3:$A$5001,"&gt;="&amp;$C$7,BD!$A$3:$A$5001,"&lt;="&amp;$B141,BD!$K$3:$K$5001,"&lt;&gt;")=0,"",SUMIFS(BD!$K$3:$K$5001,BD!$B$3:$B$5001,N$114,BD!$A$3:$A$5001,_xlfn.MAXIFS(BD!$A$3:$A$5001,BD!$B$3:$B$5001,N$114,BD!$A$3:$A$5001,"&gt;="&amp;$C$7,BD!$A$3:$A$5001,"&lt;="&amp;$B141,BD!$K$3:$K$5001,"&lt;&gt;"))))</f>
        <v/>
      </c>
      <c r="O141" s="43" t="str">
        <f>IF(OR($B141="",$A141&gt;$B$9,O$114=""),"",IF(COUNTIFS(BD!$B$3:$B$5001,O$114,BD!$A$3:$A$5001,"&gt;="&amp;$C$7,BD!$A$3:$A$5001,"&lt;="&amp;$B141,BD!$K$3:$K$5001,"&lt;&gt;")=0,"",SUMIFS(BD!$K$3:$K$5001,BD!$B$3:$B$5001,O$114,BD!$A$3:$A$5001,_xlfn.MAXIFS(BD!$A$3:$A$5001,BD!$B$3:$B$5001,O$114,BD!$A$3:$A$5001,"&gt;="&amp;$C$7,BD!$A$3:$A$5001,"&lt;="&amp;$B141,BD!$K$3:$K$5001,"&lt;&gt;"))))</f>
        <v/>
      </c>
      <c r="P141" s="43" t="str">
        <f>IF(OR($B141="",$A141&gt;$B$9,P$114=""),"",IF(COUNTIFS(BD!$B$3:$B$5001,P$114,BD!$A$3:$A$5001,"&gt;="&amp;$C$7,BD!$A$3:$A$5001,"&lt;="&amp;$B141,BD!$K$3:$K$5001,"&lt;&gt;")=0,"",SUMIFS(BD!$K$3:$K$5001,BD!$B$3:$B$5001,P$114,BD!$A$3:$A$5001,_xlfn.MAXIFS(BD!$A$3:$A$5001,BD!$B$3:$B$5001,P$114,BD!$A$3:$A$5001,"&gt;="&amp;$C$7,BD!$A$3:$A$5001,"&lt;="&amp;$B141,BD!$K$3:$K$5001,"&lt;&gt;"))))</f>
        <v/>
      </c>
      <c r="Q141" s="43" t="str">
        <f>IF(OR($B141="",$A141&gt;$B$9,Q$114=""),"",IF(COUNTIFS(BD!$B$3:$B$5001,Q$114,BD!$A$3:$A$5001,"&gt;="&amp;$C$7,BD!$A$3:$A$5001,"&lt;="&amp;$B141,BD!$K$3:$K$5001,"&lt;&gt;")=0,"",SUMIFS(BD!$K$3:$K$5001,BD!$B$3:$B$5001,Q$114,BD!$A$3:$A$5001,_xlfn.MAXIFS(BD!$A$3:$A$5001,BD!$B$3:$B$5001,Q$114,BD!$A$3:$A$5001,"&gt;="&amp;$C$7,BD!$A$3:$A$5001,"&lt;="&amp;$B141,BD!$K$3:$K$5001,"&lt;&gt;"))))</f>
        <v/>
      </c>
      <c r="R141" s="43" t="str">
        <f>IF(OR($B141="",$A141&gt;$B$9,R$114=""),"",IF(COUNTIFS(BD!$B$3:$B$5001,R$114,BD!$A$3:$A$5001,"&gt;="&amp;$C$7,BD!$A$3:$A$5001,"&lt;="&amp;$B141,BD!$K$3:$K$5001,"&lt;&gt;")=0,"",SUMIFS(BD!$K$3:$K$5001,BD!$B$3:$B$5001,R$114,BD!$A$3:$A$5001,_xlfn.MAXIFS(BD!$A$3:$A$5001,BD!$B$3:$B$5001,R$114,BD!$A$3:$A$5001,"&gt;="&amp;$C$7,BD!$A$3:$A$5001,"&lt;="&amp;$B141,BD!$K$3:$K$5001,"&lt;&gt;"))))</f>
        <v/>
      </c>
      <c r="S141" s="43" t="str">
        <f>IF(OR($B141="",$A141&gt;$B$9,S$114=""),"",IF(COUNTIFS(BD!$B$3:$B$5001,S$114,BD!$A$3:$A$5001,"&gt;="&amp;$C$7,BD!$A$3:$A$5001,"&lt;="&amp;$B141,BD!$K$3:$K$5001,"&lt;&gt;")=0,"",SUMIFS(BD!$K$3:$K$5001,BD!$B$3:$B$5001,S$114,BD!$A$3:$A$5001,_xlfn.MAXIFS(BD!$A$3:$A$5001,BD!$B$3:$B$5001,S$114,BD!$A$3:$A$5001,"&gt;="&amp;$C$7,BD!$A$3:$A$5001,"&lt;="&amp;$B141,BD!$K$3:$K$5001,"&lt;&gt;"))))</f>
        <v/>
      </c>
      <c r="T141" s="43" t="str">
        <f>IF(OR($B141="",$A141&gt;$B$9,T$114=""),"",IF(COUNTIFS(BD!$B$3:$B$5001,T$114,BD!$A$3:$A$5001,"&gt;="&amp;$C$7,BD!$A$3:$A$5001,"&lt;="&amp;$B141,BD!$K$3:$K$5001,"&lt;&gt;")=0,"",SUMIFS(BD!$K$3:$K$5001,BD!$B$3:$B$5001,T$114,BD!$A$3:$A$5001,_xlfn.MAXIFS(BD!$A$3:$A$5001,BD!$B$3:$B$5001,T$114,BD!$A$3:$A$5001,"&gt;="&amp;$C$7,BD!$A$3:$A$5001,"&lt;="&amp;$B141,BD!$K$3:$K$5001,"&lt;&gt;"))))</f>
        <v/>
      </c>
      <c r="U141" s="43" t="str">
        <f>IF(OR($B141="",$A141&gt;$B$9,U$114=""),"",IF(COUNTIFS(BD!$B$3:$B$5001,U$114,BD!$A$3:$A$5001,"&gt;="&amp;$C$7,BD!$A$3:$A$5001,"&lt;="&amp;$B141,BD!$K$3:$K$5001,"&lt;&gt;")=0,"",SUMIFS(BD!$K$3:$K$5001,BD!$B$3:$B$5001,U$114,BD!$A$3:$A$5001,_xlfn.MAXIFS(BD!$A$3:$A$5001,BD!$B$3:$B$5001,U$114,BD!$A$3:$A$5001,"&gt;="&amp;$C$7,BD!$A$3:$A$5001,"&lt;="&amp;$B141,BD!$K$3:$K$5001,"&lt;&gt;"))))</f>
        <v/>
      </c>
      <c r="V141" s="43" t="str">
        <f>IF(OR($B141="",$A141&gt;$B$9,V$114=""),"",IF(COUNTIFS(BD!$B$3:$B$5001,V$114,BD!$A$3:$A$5001,"&gt;="&amp;$C$7,BD!$A$3:$A$5001,"&lt;="&amp;$B141,BD!$K$3:$K$5001,"&lt;&gt;")=0,"",SUMIFS(BD!$K$3:$K$5001,BD!$B$3:$B$5001,V$114,BD!$A$3:$A$5001,_xlfn.MAXIFS(BD!$A$3:$A$5001,BD!$B$3:$B$5001,V$114,BD!$A$3:$A$5001,"&gt;="&amp;$C$7,BD!$A$3:$A$5001,"&lt;="&amp;$B141,BD!$K$3:$K$5001,"&lt;&gt;"))))</f>
        <v/>
      </c>
    </row>
    <row r="142">
      <c r="A142" s="38">
        <v>28</v>
      </c>
      <c r="B142" s="42">
        <f>$B$39</f>
        <v>46323</v>
      </c>
      <c r="C142" s="43" t="str">
        <f>IF(OR($B142="",$A142&gt;$B$9,C$114=""),"",IF(COUNTIFS(BD!$B$3:$B$5001,C$114,BD!$A$3:$A$5001,"&gt;="&amp;$C$7,BD!$A$3:$A$5001,"&lt;="&amp;$B142,BD!$K$3:$K$5001,"&lt;&gt;")=0,"",SUMIFS(BD!$K$3:$K$5001,BD!$B$3:$B$5001,C$114,BD!$A$3:$A$5001,_xlfn.MAXIFS(BD!$A$3:$A$5001,BD!$B$3:$B$5001,C$114,BD!$A$3:$A$5001,"&gt;="&amp;$C$7,BD!$A$3:$A$5001,"&lt;="&amp;$B142,BD!$K$3:$K$5001,"&lt;&gt;"))))</f>
        <v/>
      </c>
      <c r="D142" s="43" t="str">
        <f>IF(OR($B142="",$A142&gt;$B$9,D$114=""),"",IF(COUNTIFS(BD!$B$3:$B$5001,D$114,BD!$A$3:$A$5001,"&gt;="&amp;$C$7,BD!$A$3:$A$5001,"&lt;="&amp;$B142,BD!$K$3:$K$5001,"&lt;&gt;")=0,"",SUMIFS(BD!$K$3:$K$5001,BD!$B$3:$B$5001,D$114,BD!$A$3:$A$5001,_xlfn.MAXIFS(BD!$A$3:$A$5001,BD!$B$3:$B$5001,D$114,BD!$A$3:$A$5001,"&gt;="&amp;$C$7,BD!$A$3:$A$5001,"&lt;="&amp;$B142,BD!$K$3:$K$5001,"&lt;&gt;"))))</f>
        <v/>
      </c>
      <c r="E142" s="43" t="str">
        <f>IF(OR($B142="",$A142&gt;$B$9,E$114=""),"",IF(COUNTIFS(BD!$B$3:$B$5001,E$114,BD!$A$3:$A$5001,"&gt;="&amp;$C$7,BD!$A$3:$A$5001,"&lt;="&amp;$B142,BD!$K$3:$K$5001,"&lt;&gt;")=0,"",SUMIFS(BD!$K$3:$K$5001,BD!$B$3:$B$5001,E$114,BD!$A$3:$A$5001,_xlfn.MAXIFS(BD!$A$3:$A$5001,BD!$B$3:$B$5001,E$114,BD!$A$3:$A$5001,"&gt;="&amp;$C$7,BD!$A$3:$A$5001,"&lt;="&amp;$B142,BD!$K$3:$K$5001,"&lt;&gt;"))))</f>
        <v/>
      </c>
      <c r="F142" s="43" t="str">
        <f>IF(OR($B142="",$A142&gt;$B$9,F$114=""),"",IF(COUNTIFS(BD!$B$3:$B$5001,F$114,BD!$A$3:$A$5001,"&gt;="&amp;$C$7,BD!$A$3:$A$5001,"&lt;="&amp;$B142,BD!$K$3:$K$5001,"&lt;&gt;")=0,"",SUMIFS(BD!$K$3:$K$5001,BD!$B$3:$B$5001,F$114,BD!$A$3:$A$5001,_xlfn.MAXIFS(BD!$A$3:$A$5001,BD!$B$3:$B$5001,F$114,BD!$A$3:$A$5001,"&gt;="&amp;$C$7,BD!$A$3:$A$5001,"&lt;="&amp;$B142,BD!$K$3:$K$5001,"&lt;&gt;"))))</f>
        <v/>
      </c>
      <c r="G142" s="43" t="str">
        <f>IF(OR($B142="",$A142&gt;$B$9,G$114=""),"",IF(COUNTIFS(BD!$B$3:$B$5001,G$114,BD!$A$3:$A$5001,"&gt;="&amp;$C$7,BD!$A$3:$A$5001,"&lt;="&amp;$B142,BD!$K$3:$K$5001,"&lt;&gt;")=0,"",SUMIFS(BD!$K$3:$K$5001,BD!$B$3:$B$5001,G$114,BD!$A$3:$A$5001,_xlfn.MAXIFS(BD!$A$3:$A$5001,BD!$B$3:$B$5001,G$114,BD!$A$3:$A$5001,"&gt;="&amp;$C$7,BD!$A$3:$A$5001,"&lt;="&amp;$B142,BD!$K$3:$K$5001,"&lt;&gt;"))))</f>
        <v/>
      </c>
      <c r="H142" s="43" t="str">
        <f>IF(OR($B142="",$A142&gt;$B$9,H$114=""),"",IF(COUNTIFS(BD!$B$3:$B$5001,H$114,BD!$A$3:$A$5001,"&gt;="&amp;$C$7,BD!$A$3:$A$5001,"&lt;="&amp;$B142,BD!$K$3:$K$5001,"&lt;&gt;")=0,"",SUMIFS(BD!$K$3:$K$5001,BD!$B$3:$B$5001,H$114,BD!$A$3:$A$5001,_xlfn.MAXIFS(BD!$A$3:$A$5001,BD!$B$3:$B$5001,H$114,BD!$A$3:$A$5001,"&gt;="&amp;$C$7,BD!$A$3:$A$5001,"&lt;="&amp;$B142,BD!$K$3:$K$5001,"&lt;&gt;"))))</f>
        <v/>
      </c>
      <c r="I142" s="43" t="str">
        <f>IF(OR($B142="",$A142&gt;$B$9,I$114=""),"",IF(COUNTIFS(BD!$B$3:$B$5001,I$114,BD!$A$3:$A$5001,"&gt;="&amp;$C$7,BD!$A$3:$A$5001,"&lt;="&amp;$B142,BD!$K$3:$K$5001,"&lt;&gt;")=0,"",SUMIFS(BD!$K$3:$K$5001,BD!$B$3:$B$5001,I$114,BD!$A$3:$A$5001,_xlfn.MAXIFS(BD!$A$3:$A$5001,BD!$B$3:$B$5001,I$114,BD!$A$3:$A$5001,"&gt;="&amp;$C$7,BD!$A$3:$A$5001,"&lt;="&amp;$B142,BD!$K$3:$K$5001,"&lt;&gt;"))))</f>
        <v/>
      </c>
      <c r="J142" s="43" t="str">
        <f>IF(OR($B142="",$A142&gt;$B$9,J$114=""),"",IF(COUNTIFS(BD!$B$3:$B$5001,J$114,BD!$A$3:$A$5001,"&gt;="&amp;$C$7,BD!$A$3:$A$5001,"&lt;="&amp;$B142,BD!$K$3:$K$5001,"&lt;&gt;")=0,"",SUMIFS(BD!$K$3:$K$5001,BD!$B$3:$B$5001,J$114,BD!$A$3:$A$5001,_xlfn.MAXIFS(BD!$A$3:$A$5001,BD!$B$3:$B$5001,J$114,BD!$A$3:$A$5001,"&gt;="&amp;$C$7,BD!$A$3:$A$5001,"&lt;="&amp;$B142,BD!$K$3:$K$5001,"&lt;&gt;"))))</f>
        <v/>
      </c>
      <c r="K142" s="43" t="str">
        <f>IF(OR($B142="",$A142&gt;$B$9,K$114=""),"",IF(COUNTIFS(BD!$B$3:$B$5001,K$114,BD!$A$3:$A$5001,"&gt;="&amp;$C$7,BD!$A$3:$A$5001,"&lt;="&amp;$B142,BD!$K$3:$K$5001,"&lt;&gt;")=0,"",SUMIFS(BD!$K$3:$K$5001,BD!$B$3:$B$5001,K$114,BD!$A$3:$A$5001,_xlfn.MAXIFS(BD!$A$3:$A$5001,BD!$B$3:$B$5001,K$114,BD!$A$3:$A$5001,"&gt;="&amp;$C$7,BD!$A$3:$A$5001,"&lt;="&amp;$B142,BD!$K$3:$K$5001,"&lt;&gt;"))))</f>
        <v/>
      </c>
      <c r="L142" s="43" t="str">
        <f>IF(OR($B142="",$A142&gt;$B$9,L$114=""),"",IF(COUNTIFS(BD!$B$3:$B$5001,L$114,BD!$A$3:$A$5001,"&gt;="&amp;$C$7,BD!$A$3:$A$5001,"&lt;="&amp;$B142,BD!$K$3:$K$5001,"&lt;&gt;")=0,"",SUMIFS(BD!$K$3:$K$5001,BD!$B$3:$B$5001,L$114,BD!$A$3:$A$5001,_xlfn.MAXIFS(BD!$A$3:$A$5001,BD!$B$3:$B$5001,L$114,BD!$A$3:$A$5001,"&gt;="&amp;$C$7,BD!$A$3:$A$5001,"&lt;="&amp;$B142,BD!$K$3:$K$5001,"&lt;&gt;"))))</f>
        <v/>
      </c>
      <c r="M142" s="43" t="str">
        <f>IF(OR($B142="",$A142&gt;$B$9,M$114=""),"",IF(COUNTIFS(BD!$B$3:$B$5001,M$114,BD!$A$3:$A$5001,"&gt;="&amp;$C$7,BD!$A$3:$A$5001,"&lt;="&amp;$B142,BD!$K$3:$K$5001,"&lt;&gt;")=0,"",SUMIFS(BD!$K$3:$K$5001,BD!$B$3:$B$5001,M$114,BD!$A$3:$A$5001,_xlfn.MAXIFS(BD!$A$3:$A$5001,BD!$B$3:$B$5001,M$114,BD!$A$3:$A$5001,"&gt;="&amp;$C$7,BD!$A$3:$A$5001,"&lt;="&amp;$B142,BD!$K$3:$K$5001,"&lt;&gt;"))))</f>
        <v/>
      </c>
      <c r="N142" s="43" t="str">
        <f>IF(OR($B142="",$A142&gt;$B$9,N$114=""),"",IF(COUNTIFS(BD!$B$3:$B$5001,N$114,BD!$A$3:$A$5001,"&gt;="&amp;$C$7,BD!$A$3:$A$5001,"&lt;="&amp;$B142,BD!$K$3:$K$5001,"&lt;&gt;")=0,"",SUMIFS(BD!$K$3:$K$5001,BD!$B$3:$B$5001,N$114,BD!$A$3:$A$5001,_xlfn.MAXIFS(BD!$A$3:$A$5001,BD!$B$3:$B$5001,N$114,BD!$A$3:$A$5001,"&gt;="&amp;$C$7,BD!$A$3:$A$5001,"&lt;="&amp;$B142,BD!$K$3:$K$5001,"&lt;&gt;"))))</f>
        <v/>
      </c>
      <c r="O142" s="43" t="str">
        <f>IF(OR($B142="",$A142&gt;$B$9,O$114=""),"",IF(COUNTIFS(BD!$B$3:$B$5001,O$114,BD!$A$3:$A$5001,"&gt;="&amp;$C$7,BD!$A$3:$A$5001,"&lt;="&amp;$B142,BD!$K$3:$K$5001,"&lt;&gt;")=0,"",SUMIFS(BD!$K$3:$K$5001,BD!$B$3:$B$5001,O$114,BD!$A$3:$A$5001,_xlfn.MAXIFS(BD!$A$3:$A$5001,BD!$B$3:$B$5001,O$114,BD!$A$3:$A$5001,"&gt;="&amp;$C$7,BD!$A$3:$A$5001,"&lt;="&amp;$B142,BD!$K$3:$K$5001,"&lt;&gt;"))))</f>
        <v/>
      </c>
      <c r="P142" s="43" t="str">
        <f>IF(OR($B142="",$A142&gt;$B$9,P$114=""),"",IF(COUNTIFS(BD!$B$3:$B$5001,P$114,BD!$A$3:$A$5001,"&gt;="&amp;$C$7,BD!$A$3:$A$5001,"&lt;="&amp;$B142,BD!$K$3:$K$5001,"&lt;&gt;")=0,"",SUMIFS(BD!$K$3:$K$5001,BD!$B$3:$B$5001,P$114,BD!$A$3:$A$5001,_xlfn.MAXIFS(BD!$A$3:$A$5001,BD!$B$3:$B$5001,P$114,BD!$A$3:$A$5001,"&gt;="&amp;$C$7,BD!$A$3:$A$5001,"&lt;="&amp;$B142,BD!$K$3:$K$5001,"&lt;&gt;"))))</f>
        <v/>
      </c>
      <c r="Q142" s="43" t="str">
        <f>IF(OR($B142="",$A142&gt;$B$9,Q$114=""),"",IF(COUNTIFS(BD!$B$3:$B$5001,Q$114,BD!$A$3:$A$5001,"&gt;="&amp;$C$7,BD!$A$3:$A$5001,"&lt;="&amp;$B142,BD!$K$3:$K$5001,"&lt;&gt;")=0,"",SUMIFS(BD!$K$3:$K$5001,BD!$B$3:$B$5001,Q$114,BD!$A$3:$A$5001,_xlfn.MAXIFS(BD!$A$3:$A$5001,BD!$B$3:$B$5001,Q$114,BD!$A$3:$A$5001,"&gt;="&amp;$C$7,BD!$A$3:$A$5001,"&lt;="&amp;$B142,BD!$K$3:$K$5001,"&lt;&gt;"))))</f>
        <v/>
      </c>
      <c r="R142" s="43" t="str">
        <f>IF(OR($B142="",$A142&gt;$B$9,R$114=""),"",IF(COUNTIFS(BD!$B$3:$B$5001,R$114,BD!$A$3:$A$5001,"&gt;="&amp;$C$7,BD!$A$3:$A$5001,"&lt;="&amp;$B142,BD!$K$3:$K$5001,"&lt;&gt;")=0,"",SUMIFS(BD!$K$3:$K$5001,BD!$B$3:$B$5001,R$114,BD!$A$3:$A$5001,_xlfn.MAXIFS(BD!$A$3:$A$5001,BD!$B$3:$B$5001,R$114,BD!$A$3:$A$5001,"&gt;="&amp;$C$7,BD!$A$3:$A$5001,"&lt;="&amp;$B142,BD!$K$3:$K$5001,"&lt;&gt;"))))</f>
        <v/>
      </c>
      <c r="S142" s="43" t="str">
        <f>IF(OR($B142="",$A142&gt;$B$9,S$114=""),"",IF(COUNTIFS(BD!$B$3:$B$5001,S$114,BD!$A$3:$A$5001,"&gt;="&amp;$C$7,BD!$A$3:$A$5001,"&lt;="&amp;$B142,BD!$K$3:$K$5001,"&lt;&gt;")=0,"",SUMIFS(BD!$K$3:$K$5001,BD!$B$3:$B$5001,S$114,BD!$A$3:$A$5001,_xlfn.MAXIFS(BD!$A$3:$A$5001,BD!$B$3:$B$5001,S$114,BD!$A$3:$A$5001,"&gt;="&amp;$C$7,BD!$A$3:$A$5001,"&lt;="&amp;$B142,BD!$K$3:$K$5001,"&lt;&gt;"))))</f>
        <v/>
      </c>
      <c r="T142" s="43" t="str">
        <f>IF(OR($B142="",$A142&gt;$B$9,T$114=""),"",IF(COUNTIFS(BD!$B$3:$B$5001,T$114,BD!$A$3:$A$5001,"&gt;="&amp;$C$7,BD!$A$3:$A$5001,"&lt;="&amp;$B142,BD!$K$3:$K$5001,"&lt;&gt;")=0,"",SUMIFS(BD!$K$3:$K$5001,BD!$B$3:$B$5001,T$114,BD!$A$3:$A$5001,_xlfn.MAXIFS(BD!$A$3:$A$5001,BD!$B$3:$B$5001,T$114,BD!$A$3:$A$5001,"&gt;="&amp;$C$7,BD!$A$3:$A$5001,"&lt;="&amp;$B142,BD!$K$3:$K$5001,"&lt;&gt;"))))</f>
        <v/>
      </c>
      <c r="U142" s="43" t="str">
        <f>IF(OR($B142="",$A142&gt;$B$9,U$114=""),"",IF(COUNTIFS(BD!$B$3:$B$5001,U$114,BD!$A$3:$A$5001,"&gt;="&amp;$C$7,BD!$A$3:$A$5001,"&lt;="&amp;$B142,BD!$K$3:$K$5001,"&lt;&gt;")=0,"",SUMIFS(BD!$K$3:$K$5001,BD!$B$3:$B$5001,U$114,BD!$A$3:$A$5001,_xlfn.MAXIFS(BD!$A$3:$A$5001,BD!$B$3:$B$5001,U$114,BD!$A$3:$A$5001,"&gt;="&amp;$C$7,BD!$A$3:$A$5001,"&lt;="&amp;$B142,BD!$K$3:$K$5001,"&lt;&gt;"))))</f>
        <v/>
      </c>
      <c r="V142" s="43" t="str">
        <f>IF(OR($B142="",$A142&gt;$B$9,V$114=""),"",IF(COUNTIFS(BD!$B$3:$B$5001,V$114,BD!$A$3:$A$5001,"&gt;="&amp;$C$7,BD!$A$3:$A$5001,"&lt;="&amp;$B142,BD!$K$3:$K$5001,"&lt;&gt;")=0,"",SUMIFS(BD!$K$3:$K$5001,BD!$B$3:$B$5001,V$114,BD!$A$3:$A$5001,_xlfn.MAXIFS(BD!$A$3:$A$5001,BD!$B$3:$B$5001,V$114,BD!$A$3:$A$5001,"&gt;="&amp;$C$7,BD!$A$3:$A$5001,"&lt;="&amp;$B142,BD!$K$3:$K$5001,"&lt;&gt;"))))</f>
        <v/>
      </c>
    </row>
    <row r="143">
      <c r="A143" s="38">
        <v>29</v>
      </c>
      <c r="B143" s="42">
        <f>$B$40</f>
        <v>46324</v>
      </c>
      <c r="C143" s="43" t="str">
        <f>IF(OR($B143="",$A143&gt;$B$9,C$114=""),"",IF(COUNTIFS(BD!$B$3:$B$5001,C$114,BD!$A$3:$A$5001,"&gt;="&amp;$C$7,BD!$A$3:$A$5001,"&lt;="&amp;$B143,BD!$K$3:$K$5001,"&lt;&gt;")=0,"",SUMIFS(BD!$K$3:$K$5001,BD!$B$3:$B$5001,C$114,BD!$A$3:$A$5001,_xlfn.MAXIFS(BD!$A$3:$A$5001,BD!$B$3:$B$5001,C$114,BD!$A$3:$A$5001,"&gt;="&amp;$C$7,BD!$A$3:$A$5001,"&lt;="&amp;$B143,BD!$K$3:$K$5001,"&lt;&gt;"))))</f>
        <v/>
      </c>
      <c r="D143" s="43" t="str">
        <f>IF(OR($B143="",$A143&gt;$B$9,D$114=""),"",IF(COUNTIFS(BD!$B$3:$B$5001,D$114,BD!$A$3:$A$5001,"&gt;="&amp;$C$7,BD!$A$3:$A$5001,"&lt;="&amp;$B143,BD!$K$3:$K$5001,"&lt;&gt;")=0,"",SUMIFS(BD!$K$3:$K$5001,BD!$B$3:$B$5001,D$114,BD!$A$3:$A$5001,_xlfn.MAXIFS(BD!$A$3:$A$5001,BD!$B$3:$B$5001,D$114,BD!$A$3:$A$5001,"&gt;="&amp;$C$7,BD!$A$3:$A$5001,"&lt;="&amp;$B143,BD!$K$3:$K$5001,"&lt;&gt;"))))</f>
        <v/>
      </c>
      <c r="E143" s="43" t="str">
        <f>IF(OR($B143="",$A143&gt;$B$9,E$114=""),"",IF(COUNTIFS(BD!$B$3:$B$5001,E$114,BD!$A$3:$A$5001,"&gt;="&amp;$C$7,BD!$A$3:$A$5001,"&lt;="&amp;$B143,BD!$K$3:$K$5001,"&lt;&gt;")=0,"",SUMIFS(BD!$K$3:$K$5001,BD!$B$3:$B$5001,E$114,BD!$A$3:$A$5001,_xlfn.MAXIFS(BD!$A$3:$A$5001,BD!$B$3:$B$5001,E$114,BD!$A$3:$A$5001,"&gt;="&amp;$C$7,BD!$A$3:$A$5001,"&lt;="&amp;$B143,BD!$K$3:$K$5001,"&lt;&gt;"))))</f>
        <v/>
      </c>
      <c r="F143" s="43" t="str">
        <f>IF(OR($B143="",$A143&gt;$B$9,F$114=""),"",IF(COUNTIFS(BD!$B$3:$B$5001,F$114,BD!$A$3:$A$5001,"&gt;="&amp;$C$7,BD!$A$3:$A$5001,"&lt;="&amp;$B143,BD!$K$3:$K$5001,"&lt;&gt;")=0,"",SUMIFS(BD!$K$3:$K$5001,BD!$B$3:$B$5001,F$114,BD!$A$3:$A$5001,_xlfn.MAXIFS(BD!$A$3:$A$5001,BD!$B$3:$B$5001,F$114,BD!$A$3:$A$5001,"&gt;="&amp;$C$7,BD!$A$3:$A$5001,"&lt;="&amp;$B143,BD!$K$3:$K$5001,"&lt;&gt;"))))</f>
        <v/>
      </c>
      <c r="G143" s="43" t="str">
        <f>IF(OR($B143="",$A143&gt;$B$9,G$114=""),"",IF(COUNTIFS(BD!$B$3:$B$5001,G$114,BD!$A$3:$A$5001,"&gt;="&amp;$C$7,BD!$A$3:$A$5001,"&lt;="&amp;$B143,BD!$K$3:$K$5001,"&lt;&gt;")=0,"",SUMIFS(BD!$K$3:$K$5001,BD!$B$3:$B$5001,G$114,BD!$A$3:$A$5001,_xlfn.MAXIFS(BD!$A$3:$A$5001,BD!$B$3:$B$5001,G$114,BD!$A$3:$A$5001,"&gt;="&amp;$C$7,BD!$A$3:$A$5001,"&lt;="&amp;$B143,BD!$K$3:$K$5001,"&lt;&gt;"))))</f>
        <v/>
      </c>
      <c r="H143" s="43" t="str">
        <f>IF(OR($B143="",$A143&gt;$B$9,H$114=""),"",IF(COUNTIFS(BD!$B$3:$B$5001,H$114,BD!$A$3:$A$5001,"&gt;="&amp;$C$7,BD!$A$3:$A$5001,"&lt;="&amp;$B143,BD!$K$3:$K$5001,"&lt;&gt;")=0,"",SUMIFS(BD!$K$3:$K$5001,BD!$B$3:$B$5001,H$114,BD!$A$3:$A$5001,_xlfn.MAXIFS(BD!$A$3:$A$5001,BD!$B$3:$B$5001,H$114,BD!$A$3:$A$5001,"&gt;="&amp;$C$7,BD!$A$3:$A$5001,"&lt;="&amp;$B143,BD!$K$3:$K$5001,"&lt;&gt;"))))</f>
        <v/>
      </c>
      <c r="I143" s="43" t="str">
        <f>IF(OR($B143="",$A143&gt;$B$9,I$114=""),"",IF(COUNTIFS(BD!$B$3:$B$5001,I$114,BD!$A$3:$A$5001,"&gt;="&amp;$C$7,BD!$A$3:$A$5001,"&lt;="&amp;$B143,BD!$K$3:$K$5001,"&lt;&gt;")=0,"",SUMIFS(BD!$K$3:$K$5001,BD!$B$3:$B$5001,I$114,BD!$A$3:$A$5001,_xlfn.MAXIFS(BD!$A$3:$A$5001,BD!$B$3:$B$5001,I$114,BD!$A$3:$A$5001,"&gt;="&amp;$C$7,BD!$A$3:$A$5001,"&lt;="&amp;$B143,BD!$K$3:$K$5001,"&lt;&gt;"))))</f>
        <v/>
      </c>
      <c r="J143" s="43" t="str">
        <f>IF(OR($B143="",$A143&gt;$B$9,J$114=""),"",IF(COUNTIFS(BD!$B$3:$B$5001,J$114,BD!$A$3:$A$5001,"&gt;="&amp;$C$7,BD!$A$3:$A$5001,"&lt;="&amp;$B143,BD!$K$3:$K$5001,"&lt;&gt;")=0,"",SUMIFS(BD!$K$3:$K$5001,BD!$B$3:$B$5001,J$114,BD!$A$3:$A$5001,_xlfn.MAXIFS(BD!$A$3:$A$5001,BD!$B$3:$B$5001,J$114,BD!$A$3:$A$5001,"&gt;="&amp;$C$7,BD!$A$3:$A$5001,"&lt;="&amp;$B143,BD!$K$3:$K$5001,"&lt;&gt;"))))</f>
        <v/>
      </c>
      <c r="K143" s="43" t="str">
        <f>IF(OR($B143="",$A143&gt;$B$9,K$114=""),"",IF(COUNTIFS(BD!$B$3:$B$5001,K$114,BD!$A$3:$A$5001,"&gt;="&amp;$C$7,BD!$A$3:$A$5001,"&lt;="&amp;$B143,BD!$K$3:$K$5001,"&lt;&gt;")=0,"",SUMIFS(BD!$K$3:$K$5001,BD!$B$3:$B$5001,K$114,BD!$A$3:$A$5001,_xlfn.MAXIFS(BD!$A$3:$A$5001,BD!$B$3:$B$5001,K$114,BD!$A$3:$A$5001,"&gt;="&amp;$C$7,BD!$A$3:$A$5001,"&lt;="&amp;$B143,BD!$K$3:$K$5001,"&lt;&gt;"))))</f>
        <v/>
      </c>
      <c r="L143" s="43" t="str">
        <f>IF(OR($B143="",$A143&gt;$B$9,L$114=""),"",IF(COUNTIFS(BD!$B$3:$B$5001,L$114,BD!$A$3:$A$5001,"&gt;="&amp;$C$7,BD!$A$3:$A$5001,"&lt;="&amp;$B143,BD!$K$3:$K$5001,"&lt;&gt;")=0,"",SUMIFS(BD!$K$3:$K$5001,BD!$B$3:$B$5001,L$114,BD!$A$3:$A$5001,_xlfn.MAXIFS(BD!$A$3:$A$5001,BD!$B$3:$B$5001,L$114,BD!$A$3:$A$5001,"&gt;="&amp;$C$7,BD!$A$3:$A$5001,"&lt;="&amp;$B143,BD!$K$3:$K$5001,"&lt;&gt;"))))</f>
        <v/>
      </c>
      <c r="M143" s="43" t="str">
        <f>IF(OR($B143="",$A143&gt;$B$9,M$114=""),"",IF(COUNTIFS(BD!$B$3:$B$5001,M$114,BD!$A$3:$A$5001,"&gt;="&amp;$C$7,BD!$A$3:$A$5001,"&lt;="&amp;$B143,BD!$K$3:$K$5001,"&lt;&gt;")=0,"",SUMIFS(BD!$K$3:$K$5001,BD!$B$3:$B$5001,M$114,BD!$A$3:$A$5001,_xlfn.MAXIFS(BD!$A$3:$A$5001,BD!$B$3:$B$5001,M$114,BD!$A$3:$A$5001,"&gt;="&amp;$C$7,BD!$A$3:$A$5001,"&lt;="&amp;$B143,BD!$K$3:$K$5001,"&lt;&gt;"))))</f>
        <v/>
      </c>
      <c r="N143" s="43" t="str">
        <f>IF(OR($B143="",$A143&gt;$B$9,N$114=""),"",IF(COUNTIFS(BD!$B$3:$B$5001,N$114,BD!$A$3:$A$5001,"&gt;="&amp;$C$7,BD!$A$3:$A$5001,"&lt;="&amp;$B143,BD!$K$3:$K$5001,"&lt;&gt;")=0,"",SUMIFS(BD!$K$3:$K$5001,BD!$B$3:$B$5001,N$114,BD!$A$3:$A$5001,_xlfn.MAXIFS(BD!$A$3:$A$5001,BD!$B$3:$B$5001,N$114,BD!$A$3:$A$5001,"&gt;="&amp;$C$7,BD!$A$3:$A$5001,"&lt;="&amp;$B143,BD!$K$3:$K$5001,"&lt;&gt;"))))</f>
        <v/>
      </c>
      <c r="O143" s="43" t="str">
        <f>IF(OR($B143="",$A143&gt;$B$9,O$114=""),"",IF(COUNTIFS(BD!$B$3:$B$5001,O$114,BD!$A$3:$A$5001,"&gt;="&amp;$C$7,BD!$A$3:$A$5001,"&lt;="&amp;$B143,BD!$K$3:$K$5001,"&lt;&gt;")=0,"",SUMIFS(BD!$K$3:$K$5001,BD!$B$3:$B$5001,O$114,BD!$A$3:$A$5001,_xlfn.MAXIFS(BD!$A$3:$A$5001,BD!$B$3:$B$5001,O$114,BD!$A$3:$A$5001,"&gt;="&amp;$C$7,BD!$A$3:$A$5001,"&lt;="&amp;$B143,BD!$K$3:$K$5001,"&lt;&gt;"))))</f>
        <v/>
      </c>
      <c r="P143" s="43" t="str">
        <f>IF(OR($B143="",$A143&gt;$B$9,P$114=""),"",IF(COUNTIFS(BD!$B$3:$B$5001,P$114,BD!$A$3:$A$5001,"&gt;="&amp;$C$7,BD!$A$3:$A$5001,"&lt;="&amp;$B143,BD!$K$3:$K$5001,"&lt;&gt;")=0,"",SUMIFS(BD!$K$3:$K$5001,BD!$B$3:$B$5001,P$114,BD!$A$3:$A$5001,_xlfn.MAXIFS(BD!$A$3:$A$5001,BD!$B$3:$B$5001,P$114,BD!$A$3:$A$5001,"&gt;="&amp;$C$7,BD!$A$3:$A$5001,"&lt;="&amp;$B143,BD!$K$3:$K$5001,"&lt;&gt;"))))</f>
        <v/>
      </c>
      <c r="Q143" s="43" t="str">
        <f>IF(OR($B143="",$A143&gt;$B$9,Q$114=""),"",IF(COUNTIFS(BD!$B$3:$B$5001,Q$114,BD!$A$3:$A$5001,"&gt;="&amp;$C$7,BD!$A$3:$A$5001,"&lt;="&amp;$B143,BD!$K$3:$K$5001,"&lt;&gt;")=0,"",SUMIFS(BD!$K$3:$K$5001,BD!$B$3:$B$5001,Q$114,BD!$A$3:$A$5001,_xlfn.MAXIFS(BD!$A$3:$A$5001,BD!$B$3:$B$5001,Q$114,BD!$A$3:$A$5001,"&gt;="&amp;$C$7,BD!$A$3:$A$5001,"&lt;="&amp;$B143,BD!$K$3:$K$5001,"&lt;&gt;"))))</f>
        <v/>
      </c>
      <c r="R143" s="43" t="str">
        <f>IF(OR($B143="",$A143&gt;$B$9,R$114=""),"",IF(COUNTIFS(BD!$B$3:$B$5001,R$114,BD!$A$3:$A$5001,"&gt;="&amp;$C$7,BD!$A$3:$A$5001,"&lt;="&amp;$B143,BD!$K$3:$K$5001,"&lt;&gt;")=0,"",SUMIFS(BD!$K$3:$K$5001,BD!$B$3:$B$5001,R$114,BD!$A$3:$A$5001,_xlfn.MAXIFS(BD!$A$3:$A$5001,BD!$B$3:$B$5001,R$114,BD!$A$3:$A$5001,"&gt;="&amp;$C$7,BD!$A$3:$A$5001,"&lt;="&amp;$B143,BD!$K$3:$K$5001,"&lt;&gt;"))))</f>
        <v/>
      </c>
      <c r="S143" s="43" t="str">
        <f>IF(OR($B143="",$A143&gt;$B$9,S$114=""),"",IF(COUNTIFS(BD!$B$3:$B$5001,S$114,BD!$A$3:$A$5001,"&gt;="&amp;$C$7,BD!$A$3:$A$5001,"&lt;="&amp;$B143,BD!$K$3:$K$5001,"&lt;&gt;")=0,"",SUMIFS(BD!$K$3:$K$5001,BD!$B$3:$B$5001,S$114,BD!$A$3:$A$5001,_xlfn.MAXIFS(BD!$A$3:$A$5001,BD!$B$3:$B$5001,S$114,BD!$A$3:$A$5001,"&gt;="&amp;$C$7,BD!$A$3:$A$5001,"&lt;="&amp;$B143,BD!$K$3:$K$5001,"&lt;&gt;"))))</f>
        <v/>
      </c>
      <c r="T143" s="43" t="str">
        <f>IF(OR($B143="",$A143&gt;$B$9,T$114=""),"",IF(COUNTIFS(BD!$B$3:$B$5001,T$114,BD!$A$3:$A$5001,"&gt;="&amp;$C$7,BD!$A$3:$A$5001,"&lt;="&amp;$B143,BD!$K$3:$K$5001,"&lt;&gt;")=0,"",SUMIFS(BD!$K$3:$K$5001,BD!$B$3:$B$5001,T$114,BD!$A$3:$A$5001,_xlfn.MAXIFS(BD!$A$3:$A$5001,BD!$B$3:$B$5001,T$114,BD!$A$3:$A$5001,"&gt;="&amp;$C$7,BD!$A$3:$A$5001,"&lt;="&amp;$B143,BD!$K$3:$K$5001,"&lt;&gt;"))))</f>
        <v/>
      </c>
      <c r="U143" s="43" t="str">
        <f>IF(OR($B143="",$A143&gt;$B$9,U$114=""),"",IF(COUNTIFS(BD!$B$3:$B$5001,U$114,BD!$A$3:$A$5001,"&gt;="&amp;$C$7,BD!$A$3:$A$5001,"&lt;="&amp;$B143,BD!$K$3:$K$5001,"&lt;&gt;")=0,"",SUMIFS(BD!$K$3:$K$5001,BD!$B$3:$B$5001,U$114,BD!$A$3:$A$5001,_xlfn.MAXIFS(BD!$A$3:$A$5001,BD!$B$3:$B$5001,U$114,BD!$A$3:$A$5001,"&gt;="&amp;$C$7,BD!$A$3:$A$5001,"&lt;="&amp;$B143,BD!$K$3:$K$5001,"&lt;&gt;"))))</f>
        <v/>
      </c>
      <c r="V143" s="43" t="str">
        <f>IF(OR($B143="",$A143&gt;$B$9,V$114=""),"",IF(COUNTIFS(BD!$B$3:$B$5001,V$114,BD!$A$3:$A$5001,"&gt;="&amp;$C$7,BD!$A$3:$A$5001,"&lt;="&amp;$B143,BD!$K$3:$K$5001,"&lt;&gt;")=0,"",SUMIFS(BD!$K$3:$K$5001,BD!$B$3:$B$5001,V$114,BD!$A$3:$A$5001,_xlfn.MAXIFS(BD!$A$3:$A$5001,BD!$B$3:$B$5001,V$114,BD!$A$3:$A$5001,"&gt;="&amp;$C$7,BD!$A$3:$A$5001,"&lt;="&amp;$B143,BD!$K$3:$K$5001,"&lt;&gt;"))))</f>
        <v/>
      </c>
    </row>
    <row r="144">
      <c r="A144" s="38">
        <v>30</v>
      </c>
      <c r="B144" s="42">
        <f>$B$41</f>
        <v>46325</v>
      </c>
      <c r="C144" s="43" t="str">
        <f>IF(OR($B144="",$A144&gt;$B$9,C$114=""),"",IF(COUNTIFS(BD!$B$3:$B$5001,C$114,BD!$A$3:$A$5001,"&gt;="&amp;$C$7,BD!$A$3:$A$5001,"&lt;="&amp;$B144,BD!$K$3:$K$5001,"&lt;&gt;")=0,"",SUMIFS(BD!$K$3:$K$5001,BD!$B$3:$B$5001,C$114,BD!$A$3:$A$5001,_xlfn.MAXIFS(BD!$A$3:$A$5001,BD!$B$3:$B$5001,C$114,BD!$A$3:$A$5001,"&gt;="&amp;$C$7,BD!$A$3:$A$5001,"&lt;="&amp;$B144,BD!$K$3:$K$5001,"&lt;&gt;"))))</f>
        <v/>
      </c>
      <c r="D144" s="43" t="str">
        <f>IF(OR($B144="",$A144&gt;$B$9,D$114=""),"",IF(COUNTIFS(BD!$B$3:$B$5001,D$114,BD!$A$3:$A$5001,"&gt;="&amp;$C$7,BD!$A$3:$A$5001,"&lt;="&amp;$B144,BD!$K$3:$K$5001,"&lt;&gt;")=0,"",SUMIFS(BD!$K$3:$K$5001,BD!$B$3:$B$5001,D$114,BD!$A$3:$A$5001,_xlfn.MAXIFS(BD!$A$3:$A$5001,BD!$B$3:$B$5001,D$114,BD!$A$3:$A$5001,"&gt;="&amp;$C$7,BD!$A$3:$A$5001,"&lt;="&amp;$B144,BD!$K$3:$K$5001,"&lt;&gt;"))))</f>
        <v/>
      </c>
      <c r="E144" s="43" t="str">
        <f>IF(OR($B144="",$A144&gt;$B$9,E$114=""),"",IF(COUNTIFS(BD!$B$3:$B$5001,E$114,BD!$A$3:$A$5001,"&gt;="&amp;$C$7,BD!$A$3:$A$5001,"&lt;="&amp;$B144,BD!$K$3:$K$5001,"&lt;&gt;")=0,"",SUMIFS(BD!$K$3:$K$5001,BD!$B$3:$B$5001,E$114,BD!$A$3:$A$5001,_xlfn.MAXIFS(BD!$A$3:$A$5001,BD!$B$3:$B$5001,E$114,BD!$A$3:$A$5001,"&gt;="&amp;$C$7,BD!$A$3:$A$5001,"&lt;="&amp;$B144,BD!$K$3:$K$5001,"&lt;&gt;"))))</f>
        <v/>
      </c>
      <c r="F144" s="43" t="str">
        <f>IF(OR($B144="",$A144&gt;$B$9,F$114=""),"",IF(COUNTIFS(BD!$B$3:$B$5001,F$114,BD!$A$3:$A$5001,"&gt;="&amp;$C$7,BD!$A$3:$A$5001,"&lt;="&amp;$B144,BD!$K$3:$K$5001,"&lt;&gt;")=0,"",SUMIFS(BD!$K$3:$K$5001,BD!$B$3:$B$5001,F$114,BD!$A$3:$A$5001,_xlfn.MAXIFS(BD!$A$3:$A$5001,BD!$B$3:$B$5001,F$114,BD!$A$3:$A$5001,"&gt;="&amp;$C$7,BD!$A$3:$A$5001,"&lt;="&amp;$B144,BD!$K$3:$K$5001,"&lt;&gt;"))))</f>
        <v/>
      </c>
      <c r="G144" s="43" t="str">
        <f>IF(OR($B144="",$A144&gt;$B$9,G$114=""),"",IF(COUNTIFS(BD!$B$3:$B$5001,G$114,BD!$A$3:$A$5001,"&gt;="&amp;$C$7,BD!$A$3:$A$5001,"&lt;="&amp;$B144,BD!$K$3:$K$5001,"&lt;&gt;")=0,"",SUMIFS(BD!$K$3:$K$5001,BD!$B$3:$B$5001,G$114,BD!$A$3:$A$5001,_xlfn.MAXIFS(BD!$A$3:$A$5001,BD!$B$3:$B$5001,G$114,BD!$A$3:$A$5001,"&gt;="&amp;$C$7,BD!$A$3:$A$5001,"&lt;="&amp;$B144,BD!$K$3:$K$5001,"&lt;&gt;"))))</f>
        <v/>
      </c>
      <c r="H144" s="43" t="str">
        <f>IF(OR($B144="",$A144&gt;$B$9,H$114=""),"",IF(COUNTIFS(BD!$B$3:$B$5001,H$114,BD!$A$3:$A$5001,"&gt;="&amp;$C$7,BD!$A$3:$A$5001,"&lt;="&amp;$B144,BD!$K$3:$K$5001,"&lt;&gt;")=0,"",SUMIFS(BD!$K$3:$K$5001,BD!$B$3:$B$5001,H$114,BD!$A$3:$A$5001,_xlfn.MAXIFS(BD!$A$3:$A$5001,BD!$B$3:$B$5001,H$114,BD!$A$3:$A$5001,"&gt;="&amp;$C$7,BD!$A$3:$A$5001,"&lt;="&amp;$B144,BD!$K$3:$K$5001,"&lt;&gt;"))))</f>
        <v/>
      </c>
      <c r="I144" s="43" t="str">
        <f>IF(OR($B144="",$A144&gt;$B$9,I$114=""),"",IF(COUNTIFS(BD!$B$3:$B$5001,I$114,BD!$A$3:$A$5001,"&gt;="&amp;$C$7,BD!$A$3:$A$5001,"&lt;="&amp;$B144,BD!$K$3:$K$5001,"&lt;&gt;")=0,"",SUMIFS(BD!$K$3:$K$5001,BD!$B$3:$B$5001,I$114,BD!$A$3:$A$5001,_xlfn.MAXIFS(BD!$A$3:$A$5001,BD!$B$3:$B$5001,I$114,BD!$A$3:$A$5001,"&gt;="&amp;$C$7,BD!$A$3:$A$5001,"&lt;="&amp;$B144,BD!$K$3:$K$5001,"&lt;&gt;"))))</f>
        <v/>
      </c>
      <c r="J144" s="43" t="str">
        <f>IF(OR($B144="",$A144&gt;$B$9,J$114=""),"",IF(COUNTIFS(BD!$B$3:$B$5001,J$114,BD!$A$3:$A$5001,"&gt;="&amp;$C$7,BD!$A$3:$A$5001,"&lt;="&amp;$B144,BD!$K$3:$K$5001,"&lt;&gt;")=0,"",SUMIFS(BD!$K$3:$K$5001,BD!$B$3:$B$5001,J$114,BD!$A$3:$A$5001,_xlfn.MAXIFS(BD!$A$3:$A$5001,BD!$B$3:$B$5001,J$114,BD!$A$3:$A$5001,"&gt;="&amp;$C$7,BD!$A$3:$A$5001,"&lt;="&amp;$B144,BD!$K$3:$K$5001,"&lt;&gt;"))))</f>
        <v/>
      </c>
      <c r="K144" s="43" t="str">
        <f>IF(OR($B144="",$A144&gt;$B$9,K$114=""),"",IF(COUNTIFS(BD!$B$3:$B$5001,K$114,BD!$A$3:$A$5001,"&gt;="&amp;$C$7,BD!$A$3:$A$5001,"&lt;="&amp;$B144,BD!$K$3:$K$5001,"&lt;&gt;")=0,"",SUMIFS(BD!$K$3:$K$5001,BD!$B$3:$B$5001,K$114,BD!$A$3:$A$5001,_xlfn.MAXIFS(BD!$A$3:$A$5001,BD!$B$3:$B$5001,K$114,BD!$A$3:$A$5001,"&gt;="&amp;$C$7,BD!$A$3:$A$5001,"&lt;="&amp;$B144,BD!$K$3:$K$5001,"&lt;&gt;"))))</f>
        <v/>
      </c>
      <c r="L144" s="43" t="str">
        <f>IF(OR($B144="",$A144&gt;$B$9,L$114=""),"",IF(COUNTIFS(BD!$B$3:$B$5001,L$114,BD!$A$3:$A$5001,"&gt;="&amp;$C$7,BD!$A$3:$A$5001,"&lt;="&amp;$B144,BD!$K$3:$K$5001,"&lt;&gt;")=0,"",SUMIFS(BD!$K$3:$K$5001,BD!$B$3:$B$5001,L$114,BD!$A$3:$A$5001,_xlfn.MAXIFS(BD!$A$3:$A$5001,BD!$B$3:$B$5001,L$114,BD!$A$3:$A$5001,"&gt;="&amp;$C$7,BD!$A$3:$A$5001,"&lt;="&amp;$B144,BD!$K$3:$K$5001,"&lt;&gt;"))))</f>
        <v/>
      </c>
      <c r="M144" s="43" t="str">
        <f>IF(OR($B144="",$A144&gt;$B$9,M$114=""),"",IF(COUNTIFS(BD!$B$3:$B$5001,M$114,BD!$A$3:$A$5001,"&gt;="&amp;$C$7,BD!$A$3:$A$5001,"&lt;="&amp;$B144,BD!$K$3:$K$5001,"&lt;&gt;")=0,"",SUMIFS(BD!$K$3:$K$5001,BD!$B$3:$B$5001,M$114,BD!$A$3:$A$5001,_xlfn.MAXIFS(BD!$A$3:$A$5001,BD!$B$3:$B$5001,M$114,BD!$A$3:$A$5001,"&gt;="&amp;$C$7,BD!$A$3:$A$5001,"&lt;="&amp;$B144,BD!$K$3:$K$5001,"&lt;&gt;"))))</f>
        <v/>
      </c>
      <c r="N144" s="43" t="str">
        <f>IF(OR($B144="",$A144&gt;$B$9,N$114=""),"",IF(COUNTIFS(BD!$B$3:$B$5001,N$114,BD!$A$3:$A$5001,"&gt;="&amp;$C$7,BD!$A$3:$A$5001,"&lt;="&amp;$B144,BD!$K$3:$K$5001,"&lt;&gt;")=0,"",SUMIFS(BD!$K$3:$K$5001,BD!$B$3:$B$5001,N$114,BD!$A$3:$A$5001,_xlfn.MAXIFS(BD!$A$3:$A$5001,BD!$B$3:$B$5001,N$114,BD!$A$3:$A$5001,"&gt;="&amp;$C$7,BD!$A$3:$A$5001,"&lt;="&amp;$B144,BD!$K$3:$K$5001,"&lt;&gt;"))))</f>
        <v/>
      </c>
      <c r="O144" s="43" t="str">
        <f>IF(OR($B144="",$A144&gt;$B$9,O$114=""),"",IF(COUNTIFS(BD!$B$3:$B$5001,O$114,BD!$A$3:$A$5001,"&gt;="&amp;$C$7,BD!$A$3:$A$5001,"&lt;="&amp;$B144,BD!$K$3:$K$5001,"&lt;&gt;")=0,"",SUMIFS(BD!$K$3:$K$5001,BD!$B$3:$B$5001,O$114,BD!$A$3:$A$5001,_xlfn.MAXIFS(BD!$A$3:$A$5001,BD!$B$3:$B$5001,O$114,BD!$A$3:$A$5001,"&gt;="&amp;$C$7,BD!$A$3:$A$5001,"&lt;="&amp;$B144,BD!$K$3:$K$5001,"&lt;&gt;"))))</f>
        <v/>
      </c>
      <c r="P144" s="43" t="str">
        <f>IF(OR($B144="",$A144&gt;$B$9,P$114=""),"",IF(COUNTIFS(BD!$B$3:$B$5001,P$114,BD!$A$3:$A$5001,"&gt;="&amp;$C$7,BD!$A$3:$A$5001,"&lt;="&amp;$B144,BD!$K$3:$K$5001,"&lt;&gt;")=0,"",SUMIFS(BD!$K$3:$K$5001,BD!$B$3:$B$5001,P$114,BD!$A$3:$A$5001,_xlfn.MAXIFS(BD!$A$3:$A$5001,BD!$B$3:$B$5001,P$114,BD!$A$3:$A$5001,"&gt;="&amp;$C$7,BD!$A$3:$A$5001,"&lt;="&amp;$B144,BD!$K$3:$K$5001,"&lt;&gt;"))))</f>
        <v/>
      </c>
      <c r="Q144" s="43" t="str">
        <f>IF(OR($B144="",$A144&gt;$B$9,Q$114=""),"",IF(COUNTIFS(BD!$B$3:$B$5001,Q$114,BD!$A$3:$A$5001,"&gt;="&amp;$C$7,BD!$A$3:$A$5001,"&lt;="&amp;$B144,BD!$K$3:$K$5001,"&lt;&gt;")=0,"",SUMIFS(BD!$K$3:$K$5001,BD!$B$3:$B$5001,Q$114,BD!$A$3:$A$5001,_xlfn.MAXIFS(BD!$A$3:$A$5001,BD!$B$3:$B$5001,Q$114,BD!$A$3:$A$5001,"&gt;="&amp;$C$7,BD!$A$3:$A$5001,"&lt;="&amp;$B144,BD!$K$3:$K$5001,"&lt;&gt;"))))</f>
        <v/>
      </c>
      <c r="R144" s="43" t="str">
        <f>IF(OR($B144="",$A144&gt;$B$9,R$114=""),"",IF(COUNTIFS(BD!$B$3:$B$5001,R$114,BD!$A$3:$A$5001,"&gt;="&amp;$C$7,BD!$A$3:$A$5001,"&lt;="&amp;$B144,BD!$K$3:$K$5001,"&lt;&gt;")=0,"",SUMIFS(BD!$K$3:$K$5001,BD!$B$3:$B$5001,R$114,BD!$A$3:$A$5001,_xlfn.MAXIFS(BD!$A$3:$A$5001,BD!$B$3:$B$5001,R$114,BD!$A$3:$A$5001,"&gt;="&amp;$C$7,BD!$A$3:$A$5001,"&lt;="&amp;$B144,BD!$K$3:$K$5001,"&lt;&gt;"))))</f>
        <v/>
      </c>
      <c r="S144" s="43" t="str">
        <f>IF(OR($B144="",$A144&gt;$B$9,S$114=""),"",IF(COUNTIFS(BD!$B$3:$B$5001,S$114,BD!$A$3:$A$5001,"&gt;="&amp;$C$7,BD!$A$3:$A$5001,"&lt;="&amp;$B144,BD!$K$3:$K$5001,"&lt;&gt;")=0,"",SUMIFS(BD!$K$3:$K$5001,BD!$B$3:$B$5001,S$114,BD!$A$3:$A$5001,_xlfn.MAXIFS(BD!$A$3:$A$5001,BD!$B$3:$B$5001,S$114,BD!$A$3:$A$5001,"&gt;="&amp;$C$7,BD!$A$3:$A$5001,"&lt;="&amp;$B144,BD!$K$3:$K$5001,"&lt;&gt;"))))</f>
        <v/>
      </c>
      <c r="T144" s="43" t="str">
        <f>IF(OR($B144="",$A144&gt;$B$9,T$114=""),"",IF(COUNTIFS(BD!$B$3:$B$5001,T$114,BD!$A$3:$A$5001,"&gt;="&amp;$C$7,BD!$A$3:$A$5001,"&lt;="&amp;$B144,BD!$K$3:$K$5001,"&lt;&gt;")=0,"",SUMIFS(BD!$K$3:$K$5001,BD!$B$3:$B$5001,T$114,BD!$A$3:$A$5001,_xlfn.MAXIFS(BD!$A$3:$A$5001,BD!$B$3:$B$5001,T$114,BD!$A$3:$A$5001,"&gt;="&amp;$C$7,BD!$A$3:$A$5001,"&lt;="&amp;$B144,BD!$K$3:$K$5001,"&lt;&gt;"))))</f>
        <v/>
      </c>
      <c r="U144" s="43" t="str">
        <f>IF(OR($B144="",$A144&gt;$B$9,U$114=""),"",IF(COUNTIFS(BD!$B$3:$B$5001,U$114,BD!$A$3:$A$5001,"&gt;="&amp;$C$7,BD!$A$3:$A$5001,"&lt;="&amp;$B144,BD!$K$3:$K$5001,"&lt;&gt;")=0,"",SUMIFS(BD!$K$3:$K$5001,BD!$B$3:$B$5001,U$114,BD!$A$3:$A$5001,_xlfn.MAXIFS(BD!$A$3:$A$5001,BD!$B$3:$B$5001,U$114,BD!$A$3:$A$5001,"&gt;="&amp;$C$7,BD!$A$3:$A$5001,"&lt;="&amp;$B144,BD!$K$3:$K$5001,"&lt;&gt;"))))</f>
        <v/>
      </c>
      <c r="V144" s="43" t="str">
        <f>IF(OR($B144="",$A144&gt;$B$9,V$114=""),"",IF(COUNTIFS(BD!$B$3:$B$5001,V$114,BD!$A$3:$A$5001,"&gt;="&amp;$C$7,BD!$A$3:$A$5001,"&lt;="&amp;$B144,BD!$K$3:$K$5001,"&lt;&gt;")=0,"",SUMIFS(BD!$K$3:$K$5001,BD!$B$3:$B$5001,V$114,BD!$A$3:$A$5001,_xlfn.MAXIFS(BD!$A$3:$A$5001,BD!$B$3:$B$5001,V$114,BD!$A$3:$A$5001,"&gt;="&amp;$C$7,BD!$A$3:$A$5001,"&lt;="&amp;$B144,BD!$K$3:$K$5001,"&lt;&gt;"))))</f>
        <v/>
      </c>
    </row>
    <row r="145">
      <c r="A145" s="38">
        <v>31</v>
      </c>
      <c r="B145" s="42">
        <f>$B$42</f>
        <v>46326</v>
      </c>
      <c r="C145" s="43" t="str">
        <f>IF(OR($B145="",$A145&gt;$B$9,C$114=""),"",IF(COUNTIFS(BD!$B$3:$B$5001,C$114,BD!$A$3:$A$5001,"&gt;="&amp;$C$7,BD!$A$3:$A$5001,"&lt;="&amp;$B145,BD!$K$3:$K$5001,"&lt;&gt;")=0,"",SUMIFS(BD!$K$3:$K$5001,BD!$B$3:$B$5001,C$114,BD!$A$3:$A$5001,_xlfn.MAXIFS(BD!$A$3:$A$5001,BD!$B$3:$B$5001,C$114,BD!$A$3:$A$5001,"&gt;="&amp;$C$7,BD!$A$3:$A$5001,"&lt;="&amp;$B145,BD!$K$3:$K$5001,"&lt;&gt;"))))</f>
        <v/>
      </c>
      <c r="D145" s="43" t="str">
        <f>IF(OR($B145="",$A145&gt;$B$9,D$114=""),"",IF(COUNTIFS(BD!$B$3:$B$5001,D$114,BD!$A$3:$A$5001,"&gt;="&amp;$C$7,BD!$A$3:$A$5001,"&lt;="&amp;$B145,BD!$K$3:$K$5001,"&lt;&gt;")=0,"",SUMIFS(BD!$K$3:$K$5001,BD!$B$3:$B$5001,D$114,BD!$A$3:$A$5001,_xlfn.MAXIFS(BD!$A$3:$A$5001,BD!$B$3:$B$5001,D$114,BD!$A$3:$A$5001,"&gt;="&amp;$C$7,BD!$A$3:$A$5001,"&lt;="&amp;$B145,BD!$K$3:$K$5001,"&lt;&gt;"))))</f>
        <v/>
      </c>
      <c r="E145" s="43" t="str">
        <f>IF(OR($B145="",$A145&gt;$B$9,E$114=""),"",IF(COUNTIFS(BD!$B$3:$B$5001,E$114,BD!$A$3:$A$5001,"&gt;="&amp;$C$7,BD!$A$3:$A$5001,"&lt;="&amp;$B145,BD!$K$3:$K$5001,"&lt;&gt;")=0,"",SUMIFS(BD!$K$3:$K$5001,BD!$B$3:$B$5001,E$114,BD!$A$3:$A$5001,_xlfn.MAXIFS(BD!$A$3:$A$5001,BD!$B$3:$B$5001,E$114,BD!$A$3:$A$5001,"&gt;="&amp;$C$7,BD!$A$3:$A$5001,"&lt;="&amp;$B145,BD!$K$3:$K$5001,"&lt;&gt;"))))</f>
        <v/>
      </c>
      <c r="F145" s="43" t="str">
        <f>IF(OR($B145="",$A145&gt;$B$9,F$114=""),"",IF(COUNTIFS(BD!$B$3:$B$5001,F$114,BD!$A$3:$A$5001,"&gt;="&amp;$C$7,BD!$A$3:$A$5001,"&lt;="&amp;$B145,BD!$K$3:$K$5001,"&lt;&gt;")=0,"",SUMIFS(BD!$K$3:$K$5001,BD!$B$3:$B$5001,F$114,BD!$A$3:$A$5001,_xlfn.MAXIFS(BD!$A$3:$A$5001,BD!$B$3:$B$5001,F$114,BD!$A$3:$A$5001,"&gt;="&amp;$C$7,BD!$A$3:$A$5001,"&lt;="&amp;$B145,BD!$K$3:$K$5001,"&lt;&gt;"))))</f>
        <v/>
      </c>
      <c r="G145" s="43" t="str">
        <f>IF(OR($B145="",$A145&gt;$B$9,G$114=""),"",IF(COUNTIFS(BD!$B$3:$B$5001,G$114,BD!$A$3:$A$5001,"&gt;="&amp;$C$7,BD!$A$3:$A$5001,"&lt;="&amp;$B145,BD!$K$3:$K$5001,"&lt;&gt;")=0,"",SUMIFS(BD!$K$3:$K$5001,BD!$B$3:$B$5001,G$114,BD!$A$3:$A$5001,_xlfn.MAXIFS(BD!$A$3:$A$5001,BD!$B$3:$B$5001,G$114,BD!$A$3:$A$5001,"&gt;="&amp;$C$7,BD!$A$3:$A$5001,"&lt;="&amp;$B145,BD!$K$3:$K$5001,"&lt;&gt;"))))</f>
        <v/>
      </c>
      <c r="H145" s="43" t="str">
        <f>IF(OR($B145="",$A145&gt;$B$9,H$114=""),"",IF(COUNTIFS(BD!$B$3:$B$5001,H$114,BD!$A$3:$A$5001,"&gt;="&amp;$C$7,BD!$A$3:$A$5001,"&lt;="&amp;$B145,BD!$K$3:$K$5001,"&lt;&gt;")=0,"",SUMIFS(BD!$K$3:$K$5001,BD!$B$3:$B$5001,H$114,BD!$A$3:$A$5001,_xlfn.MAXIFS(BD!$A$3:$A$5001,BD!$B$3:$B$5001,H$114,BD!$A$3:$A$5001,"&gt;="&amp;$C$7,BD!$A$3:$A$5001,"&lt;="&amp;$B145,BD!$K$3:$K$5001,"&lt;&gt;"))))</f>
        <v/>
      </c>
      <c r="I145" s="43" t="str">
        <f>IF(OR($B145="",$A145&gt;$B$9,I$114=""),"",IF(COUNTIFS(BD!$B$3:$B$5001,I$114,BD!$A$3:$A$5001,"&gt;="&amp;$C$7,BD!$A$3:$A$5001,"&lt;="&amp;$B145,BD!$K$3:$K$5001,"&lt;&gt;")=0,"",SUMIFS(BD!$K$3:$K$5001,BD!$B$3:$B$5001,I$114,BD!$A$3:$A$5001,_xlfn.MAXIFS(BD!$A$3:$A$5001,BD!$B$3:$B$5001,I$114,BD!$A$3:$A$5001,"&gt;="&amp;$C$7,BD!$A$3:$A$5001,"&lt;="&amp;$B145,BD!$K$3:$K$5001,"&lt;&gt;"))))</f>
        <v/>
      </c>
      <c r="J145" s="43" t="str">
        <f>IF(OR($B145="",$A145&gt;$B$9,J$114=""),"",IF(COUNTIFS(BD!$B$3:$B$5001,J$114,BD!$A$3:$A$5001,"&gt;="&amp;$C$7,BD!$A$3:$A$5001,"&lt;="&amp;$B145,BD!$K$3:$K$5001,"&lt;&gt;")=0,"",SUMIFS(BD!$K$3:$K$5001,BD!$B$3:$B$5001,J$114,BD!$A$3:$A$5001,_xlfn.MAXIFS(BD!$A$3:$A$5001,BD!$B$3:$B$5001,J$114,BD!$A$3:$A$5001,"&gt;="&amp;$C$7,BD!$A$3:$A$5001,"&lt;="&amp;$B145,BD!$K$3:$K$5001,"&lt;&gt;"))))</f>
        <v/>
      </c>
      <c r="K145" s="43" t="str">
        <f>IF(OR($B145="",$A145&gt;$B$9,K$114=""),"",IF(COUNTIFS(BD!$B$3:$B$5001,K$114,BD!$A$3:$A$5001,"&gt;="&amp;$C$7,BD!$A$3:$A$5001,"&lt;="&amp;$B145,BD!$K$3:$K$5001,"&lt;&gt;")=0,"",SUMIFS(BD!$K$3:$K$5001,BD!$B$3:$B$5001,K$114,BD!$A$3:$A$5001,_xlfn.MAXIFS(BD!$A$3:$A$5001,BD!$B$3:$B$5001,K$114,BD!$A$3:$A$5001,"&gt;="&amp;$C$7,BD!$A$3:$A$5001,"&lt;="&amp;$B145,BD!$K$3:$K$5001,"&lt;&gt;"))))</f>
        <v/>
      </c>
      <c r="L145" s="43" t="str">
        <f>IF(OR($B145="",$A145&gt;$B$9,L$114=""),"",IF(COUNTIFS(BD!$B$3:$B$5001,L$114,BD!$A$3:$A$5001,"&gt;="&amp;$C$7,BD!$A$3:$A$5001,"&lt;="&amp;$B145,BD!$K$3:$K$5001,"&lt;&gt;")=0,"",SUMIFS(BD!$K$3:$K$5001,BD!$B$3:$B$5001,L$114,BD!$A$3:$A$5001,_xlfn.MAXIFS(BD!$A$3:$A$5001,BD!$B$3:$B$5001,L$114,BD!$A$3:$A$5001,"&gt;="&amp;$C$7,BD!$A$3:$A$5001,"&lt;="&amp;$B145,BD!$K$3:$K$5001,"&lt;&gt;"))))</f>
        <v/>
      </c>
      <c r="M145" s="43" t="str">
        <f>IF(OR($B145="",$A145&gt;$B$9,M$114=""),"",IF(COUNTIFS(BD!$B$3:$B$5001,M$114,BD!$A$3:$A$5001,"&gt;="&amp;$C$7,BD!$A$3:$A$5001,"&lt;="&amp;$B145,BD!$K$3:$K$5001,"&lt;&gt;")=0,"",SUMIFS(BD!$K$3:$K$5001,BD!$B$3:$B$5001,M$114,BD!$A$3:$A$5001,_xlfn.MAXIFS(BD!$A$3:$A$5001,BD!$B$3:$B$5001,M$114,BD!$A$3:$A$5001,"&gt;="&amp;$C$7,BD!$A$3:$A$5001,"&lt;="&amp;$B145,BD!$K$3:$K$5001,"&lt;&gt;"))))</f>
        <v/>
      </c>
      <c r="N145" s="43" t="str">
        <f>IF(OR($B145="",$A145&gt;$B$9,N$114=""),"",IF(COUNTIFS(BD!$B$3:$B$5001,N$114,BD!$A$3:$A$5001,"&gt;="&amp;$C$7,BD!$A$3:$A$5001,"&lt;="&amp;$B145,BD!$K$3:$K$5001,"&lt;&gt;")=0,"",SUMIFS(BD!$K$3:$K$5001,BD!$B$3:$B$5001,N$114,BD!$A$3:$A$5001,_xlfn.MAXIFS(BD!$A$3:$A$5001,BD!$B$3:$B$5001,N$114,BD!$A$3:$A$5001,"&gt;="&amp;$C$7,BD!$A$3:$A$5001,"&lt;="&amp;$B145,BD!$K$3:$K$5001,"&lt;&gt;"))))</f>
        <v/>
      </c>
      <c r="O145" s="43" t="str">
        <f>IF(OR($B145="",$A145&gt;$B$9,O$114=""),"",IF(COUNTIFS(BD!$B$3:$B$5001,O$114,BD!$A$3:$A$5001,"&gt;="&amp;$C$7,BD!$A$3:$A$5001,"&lt;="&amp;$B145,BD!$K$3:$K$5001,"&lt;&gt;")=0,"",SUMIFS(BD!$K$3:$K$5001,BD!$B$3:$B$5001,O$114,BD!$A$3:$A$5001,_xlfn.MAXIFS(BD!$A$3:$A$5001,BD!$B$3:$B$5001,O$114,BD!$A$3:$A$5001,"&gt;="&amp;$C$7,BD!$A$3:$A$5001,"&lt;="&amp;$B145,BD!$K$3:$K$5001,"&lt;&gt;"))))</f>
        <v/>
      </c>
      <c r="P145" s="43" t="str">
        <f>IF(OR($B145="",$A145&gt;$B$9,P$114=""),"",IF(COUNTIFS(BD!$B$3:$B$5001,P$114,BD!$A$3:$A$5001,"&gt;="&amp;$C$7,BD!$A$3:$A$5001,"&lt;="&amp;$B145,BD!$K$3:$K$5001,"&lt;&gt;")=0,"",SUMIFS(BD!$K$3:$K$5001,BD!$B$3:$B$5001,P$114,BD!$A$3:$A$5001,_xlfn.MAXIFS(BD!$A$3:$A$5001,BD!$B$3:$B$5001,P$114,BD!$A$3:$A$5001,"&gt;="&amp;$C$7,BD!$A$3:$A$5001,"&lt;="&amp;$B145,BD!$K$3:$K$5001,"&lt;&gt;"))))</f>
        <v/>
      </c>
      <c r="Q145" s="43" t="str">
        <f>IF(OR($B145="",$A145&gt;$B$9,Q$114=""),"",IF(COUNTIFS(BD!$B$3:$B$5001,Q$114,BD!$A$3:$A$5001,"&gt;="&amp;$C$7,BD!$A$3:$A$5001,"&lt;="&amp;$B145,BD!$K$3:$K$5001,"&lt;&gt;")=0,"",SUMIFS(BD!$K$3:$K$5001,BD!$B$3:$B$5001,Q$114,BD!$A$3:$A$5001,_xlfn.MAXIFS(BD!$A$3:$A$5001,BD!$B$3:$B$5001,Q$114,BD!$A$3:$A$5001,"&gt;="&amp;$C$7,BD!$A$3:$A$5001,"&lt;="&amp;$B145,BD!$K$3:$K$5001,"&lt;&gt;"))))</f>
        <v/>
      </c>
      <c r="R145" s="43" t="str">
        <f>IF(OR($B145="",$A145&gt;$B$9,R$114=""),"",IF(COUNTIFS(BD!$B$3:$B$5001,R$114,BD!$A$3:$A$5001,"&gt;="&amp;$C$7,BD!$A$3:$A$5001,"&lt;="&amp;$B145,BD!$K$3:$K$5001,"&lt;&gt;")=0,"",SUMIFS(BD!$K$3:$K$5001,BD!$B$3:$B$5001,R$114,BD!$A$3:$A$5001,_xlfn.MAXIFS(BD!$A$3:$A$5001,BD!$B$3:$B$5001,R$114,BD!$A$3:$A$5001,"&gt;="&amp;$C$7,BD!$A$3:$A$5001,"&lt;="&amp;$B145,BD!$K$3:$K$5001,"&lt;&gt;"))))</f>
        <v/>
      </c>
      <c r="S145" s="43" t="str">
        <f>IF(OR($B145="",$A145&gt;$B$9,S$114=""),"",IF(COUNTIFS(BD!$B$3:$B$5001,S$114,BD!$A$3:$A$5001,"&gt;="&amp;$C$7,BD!$A$3:$A$5001,"&lt;="&amp;$B145,BD!$K$3:$K$5001,"&lt;&gt;")=0,"",SUMIFS(BD!$K$3:$K$5001,BD!$B$3:$B$5001,S$114,BD!$A$3:$A$5001,_xlfn.MAXIFS(BD!$A$3:$A$5001,BD!$B$3:$B$5001,S$114,BD!$A$3:$A$5001,"&gt;="&amp;$C$7,BD!$A$3:$A$5001,"&lt;="&amp;$B145,BD!$K$3:$K$5001,"&lt;&gt;"))))</f>
        <v/>
      </c>
      <c r="T145" s="43" t="str">
        <f>IF(OR($B145="",$A145&gt;$B$9,T$114=""),"",IF(COUNTIFS(BD!$B$3:$B$5001,T$114,BD!$A$3:$A$5001,"&gt;="&amp;$C$7,BD!$A$3:$A$5001,"&lt;="&amp;$B145,BD!$K$3:$K$5001,"&lt;&gt;")=0,"",SUMIFS(BD!$K$3:$K$5001,BD!$B$3:$B$5001,T$114,BD!$A$3:$A$5001,_xlfn.MAXIFS(BD!$A$3:$A$5001,BD!$B$3:$B$5001,T$114,BD!$A$3:$A$5001,"&gt;="&amp;$C$7,BD!$A$3:$A$5001,"&lt;="&amp;$B145,BD!$K$3:$K$5001,"&lt;&gt;"))))</f>
        <v/>
      </c>
      <c r="U145" s="43" t="str">
        <f>IF(OR($B145="",$A145&gt;$B$9,U$114=""),"",IF(COUNTIFS(BD!$B$3:$B$5001,U$114,BD!$A$3:$A$5001,"&gt;="&amp;$C$7,BD!$A$3:$A$5001,"&lt;="&amp;$B145,BD!$K$3:$K$5001,"&lt;&gt;")=0,"",SUMIFS(BD!$K$3:$K$5001,BD!$B$3:$B$5001,U$114,BD!$A$3:$A$5001,_xlfn.MAXIFS(BD!$A$3:$A$5001,BD!$B$3:$B$5001,U$114,BD!$A$3:$A$5001,"&gt;="&amp;$C$7,BD!$A$3:$A$5001,"&lt;="&amp;$B145,BD!$K$3:$K$5001,"&lt;&gt;"))))</f>
        <v/>
      </c>
      <c r="V145" s="43" t="str">
        <f>IF(OR($B145="",$A145&gt;$B$9,V$114=""),"",IF(COUNTIFS(BD!$B$3:$B$5001,V$114,BD!$A$3:$A$5001,"&gt;="&amp;$C$7,BD!$A$3:$A$5001,"&lt;="&amp;$B145,BD!$K$3:$K$5001,"&lt;&gt;")=0,"",SUMIFS(BD!$K$3:$K$5001,BD!$B$3:$B$5001,V$114,BD!$A$3:$A$5001,_xlfn.MAXIFS(BD!$A$3:$A$5001,BD!$B$3:$B$5001,V$114,BD!$A$3:$A$5001,"&gt;="&amp;$C$7,BD!$A$3:$A$5001,"&lt;="&amp;$B145,BD!$K$3:$K$5001,"&lt;&gt;"))))</f>
        <v/>
      </c>
    </row>
    <row r="146">
      <c r="A146" s="44" t="inlineStr">
        <is>
          <t xml:space="preserve">Mês anterior (último)</t>
        </is>
      </c>
      <c r="C146" s="45" t="str">
        <f>IF(C$114="","",IF(COUNTIFS(BD!$B$3:$B$5001,C$114,BD!$A$3:$A$5001,"&gt;="&amp;$C$8,BD!$A$3:$A$5001,"&lt;="&amp;$D$8,BD!$K$3:$K$5001,"&lt;&gt;")=0,"",SUMIFS(BD!$K$3:$K$5001,BD!$B$3:$B$5001,C$114,BD!$A$3:$A$5001,_xlfn.MAXIFS(BD!$A$3:$A$5001,BD!$B$3:$B$5001,C$114,BD!$A$3:$A$5001,"&gt;="&amp;$C$8,BD!$A$3:$A$5001,"&lt;="&amp;$D$8,BD!$K$3:$K$5001,"&lt;&gt;"))))</f>
        <v/>
      </c>
      <c r="D146" s="45" t="str">
        <f>IF(D$114="","",IF(COUNTIFS(BD!$B$3:$B$5001,D$114,BD!$A$3:$A$5001,"&gt;="&amp;$C$8,BD!$A$3:$A$5001,"&lt;="&amp;$D$8,BD!$K$3:$K$5001,"&lt;&gt;")=0,"",SUMIFS(BD!$K$3:$K$5001,BD!$B$3:$B$5001,D$114,BD!$A$3:$A$5001,_xlfn.MAXIFS(BD!$A$3:$A$5001,BD!$B$3:$B$5001,D$114,BD!$A$3:$A$5001,"&gt;="&amp;$C$8,BD!$A$3:$A$5001,"&lt;="&amp;$D$8,BD!$K$3:$K$5001,"&lt;&gt;"))))</f>
        <v/>
      </c>
      <c r="E146" s="45" t="str">
        <f>IF(E$114="","",IF(COUNTIFS(BD!$B$3:$B$5001,E$114,BD!$A$3:$A$5001,"&gt;="&amp;$C$8,BD!$A$3:$A$5001,"&lt;="&amp;$D$8,BD!$K$3:$K$5001,"&lt;&gt;")=0,"",SUMIFS(BD!$K$3:$K$5001,BD!$B$3:$B$5001,E$114,BD!$A$3:$A$5001,_xlfn.MAXIFS(BD!$A$3:$A$5001,BD!$B$3:$B$5001,E$114,BD!$A$3:$A$5001,"&gt;="&amp;$C$8,BD!$A$3:$A$5001,"&lt;="&amp;$D$8,BD!$K$3:$K$5001,"&lt;&gt;"))))</f>
        <v/>
      </c>
      <c r="F146" s="45" t="str">
        <f>IF(F$114="","",IF(COUNTIFS(BD!$B$3:$B$5001,F$114,BD!$A$3:$A$5001,"&gt;="&amp;$C$8,BD!$A$3:$A$5001,"&lt;="&amp;$D$8,BD!$K$3:$K$5001,"&lt;&gt;")=0,"",SUMIFS(BD!$K$3:$K$5001,BD!$B$3:$B$5001,F$114,BD!$A$3:$A$5001,_xlfn.MAXIFS(BD!$A$3:$A$5001,BD!$B$3:$B$5001,F$114,BD!$A$3:$A$5001,"&gt;="&amp;$C$8,BD!$A$3:$A$5001,"&lt;="&amp;$D$8,BD!$K$3:$K$5001,"&lt;&gt;"))))</f>
        <v/>
      </c>
      <c r="G146" s="45" t="str">
        <f>IF(G$114="","",IF(COUNTIFS(BD!$B$3:$B$5001,G$114,BD!$A$3:$A$5001,"&gt;="&amp;$C$8,BD!$A$3:$A$5001,"&lt;="&amp;$D$8,BD!$K$3:$K$5001,"&lt;&gt;")=0,"",SUMIFS(BD!$K$3:$K$5001,BD!$B$3:$B$5001,G$114,BD!$A$3:$A$5001,_xlfn.MAXIFS(BD!$A$3:$A$5001,BD!$B$3:$B$5001,G$114,BD!$A$3:$A$5001,"&gt;="&amp;$C$8,BD!$A$3:$A$5001,"&lt;="&amp;$D$8,BD!$K$3:$K$5001,"&lt;&gt;"))))</f>
        <v/>
      </c>
      <c r="H146" s="45" t="str">
        <f>IF(H$114="","",IF(COUNTIFS(BD!$B$3:$B$5001,H$114,BD!$A$3:$A$5001,"&gt;="&amp;$C$8,BD!$A$3:$A$5001,"&lt;="&amp;$D$8,BD!$K$3:$K$5001,"&lt;&gt;")=0,"",SUMIFS(BD!$K$3:$K$5001,BD!$B$3:$B$5001,H$114,BD!$A$3:$A$5001,_xlfn.MAXIFS(BD!$A$3:$A$5001,BD!$B$3:$B$5001,H$114,BD!$A$3:$A$5001,"&gt;="&amp;$C$8,BD!$A$3:$A$5001,"&lt;="&amp;$D$8,BD!$K$3:$K$5001,"&lt;&gt;"))))</f>
        <v/>
      </c>
      <c r="I146" s="45" t="str">
        <f>IF(I$114="","",IF(COUNTIFS(BD!$B$3:$B$5001,I$114,BD!$A$3:$A$5001,"&gt;="&amp;$C$8,BD!$A$3:$A$5001,"&lt;="&amp;$D$8,BD!$K$3:$K$5001,"&lt;&gt;")=0,"",SUMIFS(BD!$K$3:$K$5001,BD!$B$3:$B$5001,I$114,BD!$A$3:$A$5001,_xlfn.MAXIFS(BD!$A$3:$A$5001,BD!$B$3:$B$5001,I$114,BD!$A$3:$A$5001,"&gt;="&amp;$C$8,BD!$A$3:$A$5001,"&lt;="&amp;$D$8,BD!$K$3:$K$5001,"&lt;&gt;"))))</f>
        <v/>
      </c>
      <c r="J146" s="45" t="str">
        <f>IF(J$114="","",IF(COUNTIFS(BD!$B$3:$B$5001,J$114,BD!$A$3:$A$5001,"&gt;="&amp;$C$8,BD!$A$3:$A$5001,"&lt;="&amp;$D$8,BD!$K$3:$K$5001,"&lt;&gt;")=0,"",SUMIFS(BD!$K$3:$K$5001,BD!$B$3:$B$5001,J$114,BD!$A$3:$A$5001,_xlfn.MAXIFS(BD!$A$3:$A$5001,BD!$B$3:$B$5001,J$114,BD!$A$3:$A$5001,"&gt;="&amp;$C$8,BD!$A$3:$A$5001,"&lt;="&amp;$D$8,BD!$K$3:$K$5001,"&lt;&gt;"))))</f>
        <v/>
      </c>
      <c r="K146" s="45" t="str">
        <f>IF(K$114="","",IF(COUNTIFS(BD!$B$3:$B$5001,K$114,BD!$A$3:$A$5001,"&gt;="&amp;$C$8,BD!$A$3:$A$5001,"&lt;="&amp;$D$8,BD!$K$3:$K$5001,"&lt;&gt;")=0,"",SUMIFS(BD!$K$3:$K$5001,BD!$B$3:$B$5001,K$114,BD!$A$3:$A$5001,_xlfn.MAXIFS(BD!$A$3:$A$5001,BD!$B$3:$B$5001,K$114,BD!$A$3:$A$5001,"&gt;="&amp;$C$8,BD!$A$3:$A$5001,"&lt;="&amp;$D$8,BD!$K$3:$K$5001,"&lt;&gt;"))))</f>
        <v/>
      </c>
      <c r="L146" s="45" t="str">
        <f>IF(L$114="","",IF(COUNTIFS(BD!$B$3:$B$5001,L$114,BD!$A$3:$A$5001,"&gt;="&amp;$C$8,BD!$A$3:$A$5001,"&lt;="&amp;$D$8,BD!$K$3:$K$5001,"&lt;&gt;")=0,"",SUMIFS(BD!$K$3:$K$5001,BD!$B$3:$B$5001,L$114,BD!$A$3:$A$5001,_xlfn.MAXIFS(BD!$A$3:$A$5001,BD!$B$3:$B$5001,L$114,BD!$A$3:$A$5001,"&gt;="&amp;$C$8,BD!$A$3:$A$5001,"&lt;="&amp;$D$8,BD!$K$3:$K$5001,"&lt;&gt;"))))</f>
        <v/>
      </c>
      <c r="M146" s="45" t="str">
        <f>IF(M$114="","",IF(COUNTIFS(BD!$B$3:$B$5001,M$114,BD!$A$3:$A$5001,"&gt;="&amp;$C$8,BD!$A$3:$A$5001,"&lt;="&amp;$D$8,BD!$K$3:$K$5001,"&lt;&gt;")=0,"",SUMIFS(BD!$K$3:$K$5001,BD!$B$3:$B$5001,M$114,BD!$A$3:$A$5001,_xlfn.MAXIFS(BD!$A$3:$A$5001,BD!$B$3:$B$5001,M$114,BD!$A$3:$A$5001,"&gt;="&amp;$C$8,BD!$A$3:$A$5001,"&lt;="&amp;$D$8,BD!$K$3:$K$5001,"&lt;&gt;"))))</f>
        <v/>
      </c>
      <c r="N146" s="45" t="str">
        <f>IF(N$114="","",IF(COUNTIFS(BD!$B$3:$B$5001,N$114,BD!$A$3:$A$5001,"&gt;="&amp;$C$8,BD!$A$3:$A$5001,"&lt;="&amp;$D$8,BD!$K$3:$K$5001,"&lt;&gt;")=0,"",SUMIFS(BD!$K$3:$K$5001,BD!$B$3:$B$5001,N$114,BD!$A$3:$A$5001,_xlfn.MAXIFS(BD!$A$3:$A$5001,BD!$B$3:$B$5001,N$114,BD!$A$3:$A$5001,"&gt;="&amp;$C$8,BD!$A$3:$A$5001,"&lt;="&amp;$D$8,BD!$K$3:$K$5001,"&lt;&gt;"))))</f>
        <v/>
      </c>
      <c r="O146" s="45" t="str">
        <f>IF(O$114="","",IF(COUNTIFS(BD!$B$3:$B$5001,O$114,BD!$A$3:$A$5001,"&gt;="&amp;$C$8,BD!$A$3:$A$5001,"&lt;="&amp;$D$8,BD!$K$3:$K$5001,"&lt;&gt;")=0,"",SUMIFS(BD!$K$3:$K$5001,BD!$B$3:$B$5001,O$114,BD!$A$3:$A$5001,_xlfn.MAXIFS(BD!$A$3:$A$5001,BD!$B$3:$B$5001,O$114,BD!$A$3:$A$5001,"&gt;="&amp;$C$8,BD!$A$3:$A$5001,"&lt;="&amp;$D$8,BD!$K$3:$K$5001,"&lt;&gt;"))))</f>
        <v/>
      </c>
      <c r="P146" s="45" t="str">
        <f>IF(P$114="","",IF(COUNTIFS(BD!$B$3:$B$5001,P$114,BD!$A$3:$A$5001,"&gt;="&amp;$C$8,BD!$A$3:$A$5001,"&lt;="&amp;$D$8,BD!$K$3:$K$5001,"&lt;&gt;")=0,"",SUMIFS(BD!$K$3:$K$5001,BD!$B$3:$B$5001,P$114,BD!$A$3:$A$5001,_xlfn.MAXIFS(BD!$A$3:$A$5001,BD!$B$3:$B$5001,P$114,BD!$A$3:$A$5001,"&gt;="&amp;$C$8,BD!$A$3:$A$5001,"&lt;="&amp;$D$8,BD!$K$3:$K$5001,"&lt;&gt;"))))</f>
        <v/>
      </c>
      <c r="Q146" s="45" t="str">
        <f>IF(Q$114="","",IF(COUNTIFS(BD!$B$3:$B$5001,Q$114,BD!$A$3:$A$5001,"&gt;="&amp;$C$8,BD!$A$3:$A$5001,"&lt;="&amp;$D$8,BD!$K$3:$K$5001,"&lt;&gt;")=0,"",SUMIFS(BD!$K$3:$K$5001,BD!$B$3:$B$5001,Q$114,BD!$A$3:$A$5001,_xlfn.MAXIFS(BD!$A$3:$A$5001,BD!$B$3:$B$5001,Q$114,BD!$A$3:$A$5001,"&gt;="&amp;$C$8,BD!$A$3:$A$5001,"&lt;="&amp;$D$8,BD!$K$3:$K$5001,"&lt;&gt;"))))</f>
        <v/>
      </c>
      <c r="R146" s="45" t="str">
        <f>IF(R$114="","",IF(COUNTIFS(BD!$B$3:$B$5001,R$114,BD!$A$3:$A$5001,"&gt;="&amp;$C$8,BD!$A$3:$A$5001,"&lt;="&amp;$D$8,BD!$K$3:$K$5001,"&lt;&gt;")=0,"",SUMIFS(BD!$K$3:$K$5001,BD!$B$3:$B$5001,R$114,BD!$A$3:$A$5001,_xlfn.MAXIFS(BD!$A$3:$A$5001,BD!$B$3:$B$5001,R$114,BD!$A$3:$A$5001,"&gt;="&amp;$C$8,BD!$A$3:$A$5001,"&lt;="&amp;$D$8,BD!$K$3:$K$5001,"&lt;&gt;"))))</f>
        <v/>
      </c>
      <c r="S146" s="45" t="str">
        <f>IF(S$114="","",IF(COUNTIFS(BD!$B$3:$B$5001,S$114,BD!$A$3:$A$5001,"&gt;="&amp;$C$8,BD!$A$3:$A$5001,"&lt;="&amp;$D$8,BD!$K$3:$K$5001,"&lt;&gt;")=0,"",SUMIFS(BD!$K$3:$K$5001,BD!$B$3:$B$5001,S$114,BD!$A$3:$A$5001,_xlfn.MAXIFS(BD!$A$3:$A$5001,BD!$B$3:$B$5001,S$114,BD!$A$3:$A$5001,"&gt;="&amp;$C$8,BD!$A$3:$A$5001,"&lt;="&amp;$D$8,BD!$K$3:$K$5001,"&lt;&gt;"))))</f>
        <v/>
      </c>
      <c r="T146" s="45" t="str">
        <f>IF(T$114="","",IF(COUNTIFS(BD!$B$3:$B$5001,T$114,BD!$A$3:$A$5001,"&gt;="&amp;$C$8,BD!$A$3:$A$5001,"&lt;="&amp;$D$8,BD!$K$3:$K$5001,"&lt;&gt;")=0,"",SUMIFS(BD!$K$3:$K$5001,BD!$B$3:$B$5001,T$114,BD!$A$3:$A$5001,_xlfn.MAXIFS(BD!$A$3:$A$5001,BD!$B$3:$B$5001,T$114,BD!$A$3:$A$5001,"&gt;="&amp;$C$8,BD!$A$3:$A$5001,"&lt;="&amp;$D$8,BD!$K$3:$K$5001,"&lt;&gt;"))))</f>
        <v/>
      </c>
      <c r="U146" s="45" t="str">
        <f>IF(U$114="","",IF(COUNTIFS(BD!$B$3:$B$5001,U$114,BD!$A$3:$A$5001,"&gt;="&amp;$C$8,BD!$A$3:$A$5001,"&lt;="&amp;$D$8,BD!$K$3:$K$5001,"&lt;&gt;")=0,"",SUMIFS(BD!$K$3:$K$5001,BD!$B$3:$B$5001,U$114,BD!$A$3:$A$5001,_xlfn.MAXIFS(BD!$A$3:$A$5001,BD!$B$3:$B$5001,U$114,BD!$A$3:$A$5001,"&gt;="&amp;$C$8,BD!$A$3:$A$5001,"&lt;="&amp;$D$8,BD!$K$3:$K$5001,"&lt;&gt;"))))</f>
        <v/>
      </c>
      <c r="V146" s="45" t="str">
        <f>IF(V$114="","",IF(COUNTIFS(BD!$B$3:$B$5001,V$114,BD!$A$3:$A$5001,"&gt;="&amp;$C$8,BD!$A$3:$A$5001,"&lt;="&amp;$D$8,BD!$K$3:$K$5001,"&lt;&gt;")=0,"",SUMIFS(BD!$K$3:$K$5001,BD!$B$3:$B$5001,V$114,BD!$A$3:$A$5001,_xlfn.MAXIFS(BD!$A$3:$A$5001,BD!$B$3:$B$5001,V$114,BD!$A$3:$A$5001,"&gt;="&amp;$C$8,BD!$A$3:$A$5001,"&lt;="&amp;$D$8,BD!$K$3:$K$5001,"&lt;&gt;"))))</f>
        <v/>
      </c>
    </row>
    <row r="147">
      <c r="A147" s="44" t="inlineStr">
        <is>
          <t xml:space="preserve">Depósito</t>
        </is>
      </c>
      <c r="C147" s="38" t="str">
        <f>IF(Config!$C$10="","JSL",Config!$C$10)</f>
        <v>JSL</v>
      </c>
      <c r="D147" s="38" t="str">
        <f>IF(Config!$C$11="","JSL",Config!$C$11)</f>
        <v>JSL</v>
      </c>
      <c r="E147" s="38" t="str">
        <f>IF(Config!$C$12="","JSL",Config!$C$12)</f>
        <v>JSL</v>
      </c>
      <c r="F147" s="38" t="str">
        <f>IF(Config!$C$13="","JSL",Config!$C$13)</f>
        <v>JSL</v>
      </c>
      <c r="G147" s="38" t="str">
        <f>IF(Config!$C$14="","JSL",Config!$C$14)</f>
        <v>JSL</v>
      </c>
      <c r="H147" s="38" t="str">
        <f>IF(Config!$C$15="","JSL",Config!$C$15)</f>
        <v>JSL</v>
      </c>
      <c r="I147" s="38" t="str">
        <f>IF(Config!$C$16="","JSL",Config!$C$16)</f>
        <v>JSL</v>
      </c>
      <c r="J147" s="38" t="str">
        <f>IF(Config!$C$17="","JSL",Config!$C$17)</f>
        <v>JSL</v>
      </c>
      <c r="K147" s="38" t="str">
        <f>IF(Config!$C$18="","JSL",Config!$C$18)</f>
        <v>JSL</v>
      </c>
      <c r="L147" s="38" t="str">
        <f>IF(Config!$C$19="","JSL",Config!$C$19)</f>
        <v>JSL</v>
      </c>
      <c r="M147" s="38" t="str">
        <f>IF(Config!$C$20="","JSL",Config!$C$20)</f>
        <v>JSL</v>
      </c>
      <c r="N147" s="38" t="str">
        <f>IF(Config!$C$21="","JSL",Config!$C$21)</f>
        <v>JSL</v>
      </c>
      <c r="O147" s="38" t="str">
        <f>IF(Config!$C$22="","JSL",Config!$C$22)</f>
        <v>JSL</v>
      </c>
      <c r="P147" s="38" t="str">
        <f>IF(Config!$C$23="","JSL",Config!$C$23)</f>
        <v>JSL</v>
      </c>
      <c r="Q147" s="38" t="str">
        <f>IF(Config!$C$24="","JSL",Config!$C$24)</f>
        <v>JSL</v>
      </c>
      <c r="R147" s="38" t="str">
        <f>IF(Config!$C$25="","JSL",Config!$C$25)</f>
        <v>JSL</v>
      </c>
      <c r="S147" s="38" t="str">
        <f>IF(Config!$C$26="","JSL",Config!$C$26)</f>
        <v>JSL</v>
      </c>
      <c r="T147" s="38" t="str">
        <f>IF(Config!$C$27="","JSL",Config!$C$27)</f>
        <v>JSL</v>
      </c>
      <c r="U147" s="38" t="str">
        <f>IF(Config!$C$28="","JSL",Config!$C$28)</f>
        <v>JSL</v>
      </c>
      <c r="V147" s="38" t="str">
        <f>IF(Config!$C$29="","JSL",Config!$C$29)</f>
        <v>JSL</v>
      </c>
    </row>
    <row r="149">
      <c r="A149" s="37" t="inlineStr">
        <is>
          <t xml:space="preserve">Posições Ocupadas</t>
        </is>
      </c>
      <c r="B149" s="37" t="inlineStr">
        <is>
          <t xml:space="preserve">Data</t>
        </is>
      </c>
      <c r="C149" s="37" t="str">
        <f>Config!$B$10&amp;""</f>
        <v>Barry Callebaut</v>
      </c>
      <c r="D149" s="37" t="str">
        <f>Config!$B$11&amp;""</f>
        <v>GM</v>
      </c>
      <c r="E149" s="37" t="str">
        <f>Config!$B$12&amp;""</f>
        <v>Mondelez</v>
      </c>
      <c r="F149" s="37" t="str">
        <f>Config!$B$13&amp;""</f>
        <v>Nestlé</v>
      </c>
      <c r="G149" s="37" t="str">
        <f>Config!$B$14&amp;""</f>
        <v>PMB</v>
      </c>
      <c r="H149" s="37" t="str">
        <f>Config!$B$15&amp;""</f>
        <v/>
      </c>
      <c r="I149" s="37" t="str">
        <f>Config!$B$16&amp;""</f>
        <v/>
      </c>
      <c r="J149" s="37" t="str">
        <f>Config!$B$17&amp;""</f>
        <v/>
      </c>
      <c r="K149" s="37" t="str">
        <f>Config!$B$18&amp;""</f>
        <v/>
      </c>
      <c r="L149" s="37" t="str">
        <f>Config!$B$19&amp;""</f>
        <v/>
      </c>
      <c r="M149" s="37" t="str">
        <f>Config!$B$20&amp;""</f>
        <v/>
      </c>
      <c r="N149" s="37" t="str">
        <f>Config!$B$21&amp;""</f>
        <v/>
      </c>
      <c r="O149" s="37" t="str">
        <f>Config!$B$22&amp;""</f>
        <v/>
      </c>
      <c r="P149" s="37" t="str">
        <f>Config!$B$23&amp;""</f>
        <v/>
      </c>
      <c r="Q149" s="37" t="str">
        <f>Config!$B$24&amp;""</f>
        <v/>
      </c>
      <c r="R149" s="37" t="str">
        <f>Config!$B$25&amp;""</f>
        <v/>
      </c>
      <c r="S149" s="37" t="str">
        <f>Config!$B$26&amp;""</f>
        <v/>
      </c>
      <c r="T149" s="37" t="str">
        <f>Config!$B$27&amp;""</f>
        <v/>
      </c>
      <c r="U149" s="37" t="str">
        <f>Config!$B$28&amp;""</f>
        <v/>
      </c>
      <c r="V149" s="37" t="str">
        <f>Config!$B$29&amp;""</f>
        <v/>
      </c>
    </row>
    <row r="150">
      <c r="A150" s="38">
        <v>1</v>
      </c>
      <c r="B150" s="42">
        <f>$B$12</f>
        <v>46296</v>
      </c>
      <c r="C150" s="43" t="str">
        <f>IF(OR($B150="",$A150&gt;$B$9,C$149=""),"",IF(COUNTIFS(BD!$B$3:$B$5001,C$149,BD!$A$3:$A$5001,"&gt;="&amp;$C$7,BD!$A$3:$A$5001,"&lt;="&amp;$B150,BD!$M$3:$M$5001,"&lt;&gt;")=0,"",SUMIFS(BD!$M$3:$M$5001,BD!$B$3:$B$5001,C$149,BD!$A$3:$A$5001,_xlfn.MAXIFS(BD!$A$3:$A$5001,BD!$B$3:$B$5001,C$149,BD!$A$3:$A$5001,"&gt;="&amp;$C$7,BD!$A$3:$A$5001,"&lt;="&amp;$B150,BD!$M$3:$M$5001,"&lt;&gt;"))))</f>
        <v/>
      </c>
      <c r="D150" s="43" t="str">
        <f>IF(OR($B150="",$A150&gt;$B$9,D$149=""),"",IF(COUNTIFS(BD!$B$3:$B$5001,D$149,BD!$A$3:$A$5001,"&gt;="&amp;$C$7,BD!$A$3:$A$5001,"&lt;="&amp;$B150,BD!$M$3:$M$5001,"&lt;&gt;")=0,"",SUMIFS(BD!$M$3:$M$5001,BD!$B$3:$B$5001,D$149,BD!$A$3:$A$5001,_xlfn.MAXIFS(BD!$A$3:$A$5001,BD!$B$3:$B$5001,D$149,BD!$A$3:$A$5001,"&gt;="&amp;$C$7,BD!$A$3:$A$5001,"&lt;="&amp;$B150,BD!$M$3:$M$5001,"&lt;&gt;"))))</f>
        <v/>
      </c>
      <c r="E150" s="43" t="str">
        <f>IF(OR($B150="",$A150&gt;$B$9,E$149=""),"",IF(COUNTIFS(BD!$B$3:$B$5001,E$149,BD!$A$3:$A$5001,"&gt;="&amp;$C$7,BD!$A$3:$A$5001,"&lt;="&amp;$B150,BD!$M$3:$M$5001,"&lt;&gt;")=0,"",SUMIFS(BD!$M$3:$M$5001,BD!$B$3:$B$5001,E$149,BD!$A$3:$A$5001,_xlfn.MAXIFS(BD!$A$3:$A$5001,BD!$B$3:$B$5001,E$149,BD!$A$3:$A$5001,"&gt;="&amp;$C$7,BD!$A$3:$A$5001,"&lt;="&amp;$B150,BD!$M$3:$M$5001,"&lt;&gt;"))))</f>
        <v/>
      </c>
      <c r="F150" s="43" t="str">
        <f>IF(OR($B150="",$A150&gt;$B$9,F$149=""),"",IF(COUNTIFS(BD!$B$3:$B$5001,F$149,BD!$A$3:$A$5001,"&gt;="&amp;$C$7,BD!$A$3:$A$5001,"&lt;="&amp;$B150,BD!$M$3:$M$5001,"&lt;&gt;")=0,"",SUMIFS(BD!$M$3:$M$5001,BD!$B$3:$B$5001,F$149,BD!$A$3:$A$5001,_xlfn.MAXIFS(BD!$A$3:$A$5001,BD!$B$3:$B$5001,F$149,BD!$A$3:$A$5001,"&gt;="&amp;$C$7,BD!$A$3:$A$5001,"&lt;="&amp;$B150,BD!$M$3:$M$5001,"&lt;&gt;"))))</f>
        <v/>
      </c>
      <c r="G150" s="43" t="str">
        <f>IF(OR($B150="",$A150&gt;$B$9,G$149=""),"",IF(COUNTIFS(BD!$B$3:$B$5001,G$149,BD!$A$3:$A$5001,"&gt;="&amp;$C$7,BD!$A$3:$A$5001,"&lt;="&amp;$B150,BD!$M$3:$M$5001,"&lt;&gt;")=0,"",SUMIFS(BD!$M$3:$M$5001,BD!$B$3:$B$5001,G$149,BD!$A$3:$A$5001,_xlfn.MAXIFS(BD!$A$3:$A$5001,BD!$B$3:$B$5001,G$149,BD!$A$3:$A$5001,"&gt;="&amp;$C$7,BD!$A$3:$A$5001,"&lt;="&amp;$B150,BD!$M$3:$M$5001,"&lt;&gt;"))))</f>
        <v/>
      </c>
      <c r="H150" s="43" t="str">
        <f>IF(OR($B150="",$A150&gt;$B$9,H$149=""),"",IF(COUNTIFS(BD!$B$3:$B$5001,H$149,BD!$A$3:$A$5001,"&gt;="&amp;$C$7,BD!$A$3:$A$5001,"&lt;="&amp;$B150,BD!$M$3:$M$5001,"&lt;&gt;")=0,"",SUMIFS(BD!$M$3:$M$5001,BD!$B$3:$B$5001,H$149,BD!$A$3:$A$5001,_xlfn.MAXIFS(BD!$A$3:$A$5001,BD!$B$3:$B$5001,H$149,BD!$A$3:$A$5001,"&gt;="&amp;$C$7,BD!$A$3:$A$5001,"&lt;="&amp;$B150,BD!$M$3:$M$5001,"&lt;&gt;"))))</f>
        <v/>
      </c>
      <c r="I150" s="43" t="str">
        <f>IF(OR($B150="",$A150&gt;$B$9,I$149=""),"",IF(COUNTIFS(BD!$B$3:$B$5001,I$149,BD!$A$3:$A$5001,"&gt;="&amp;$C$7,BD!$A$3:$A$5001,"&lt;="&amp;$B150,BD!$M$3:$M$5001,"&lt;&gt;")=0,"",SUMIFS(BD!$M$3:$M$5001,BD!$B$3:$B$5001,I$149,BD!$A$3:$A$5001,_xlfn.MAXIFS(BD!$A$3:$A$5001,BD!$B$3:$B$5001,I$149,BD!$A$3:$A$5001,"&gt;="&amp;$C$7,BD!$A$3:$A$5001,"&lt;="&amp;$B150,BD!$M$3:$M$5001,"&lt;&gt;"))))</f>
        <v/>
      </c>
      <c r="J150" s="43" t="str">
        <f>IF(OR($B150="",$A150&gt;$B$9,J$149=""),"",IF(COUNTIFS(BD!$B$3:$B$5001,J$149,BD!$A$3:$A$5001,"&gt;="&amp;$C$7,BD!$A$3:$A$5001,"&lt;="&amp;$B150,BD!$M$3:$M$5001,"&lt;&gt;")=0,"",SUMIFS(BD!$M$3:$M$5001,BD!$B$3:$B$5001,J$149,BD!$A$3:$A$5001,_xlfn.MAXIFS(BD!$A$3:$A$5001,BD!$B$3:$B$5001,J$149,BD!$A$3:$A$5001,"&gt;="&amp;$C$7,BD!$A$3:$A$5001,"&lt;="&amp;$B150,BD!$M$3:$M$5001,"&lt;&gt;"))))</f>
        <v/>
      </c>
      <c r="K150" s="43" t="str">
        <f>IF(OR($B150="",$A150&gt;$B$9,K$149=""),"",IF(COUNTIFS(BD!$B$3:$B$5001,K$149,BD!$A$3:$A$5001,"&gt;="&amp;$C$7,BD!$A$3:$A$5001,"&lt;="&amp;$B150,BD!$M$3:$M$5001,"&lt;&gt;")=0,"",SUMIFS(BD!$M$3:$M$5001,BD!$B$3:$B$5001,K$149,BD!$A$3:$A$5001,_xlfn.MAXIFS(BD!$A$3:$A$5001,BD!$B$3:$B$5001,K$149,BD!$A$3:$A$5001,"&gt;="&amp;$C$7,BD!$A$3:$A$5001,"&lt;="&amp;$B150,BD!$M$3:$M$5001,"&lt;&gt;"))))</f>
        <v/>
      </c>
      <c r="L150" s="43" t="str">
        <f>IF(OR($B150="",$A150&gt;$B$9,L$149=""),"",IF(COUNTIFS(BD!$B$3:$B$5001,L$149,BD!$A$3:$A$5001,"&gt;="&amp;$C$7,BD!$A$3:$A$5001,"&lt;="&amp;$B150,BD!$M$3:$M$5001,"&lt;&gt;")=0,"",SUMIFS(BD!$M$3:$M$5001,BD!$B$3:$B$5001,L$149,BD!$A$3:$A$5001,_xlfn.MAXIFS(BD!$A$3:$A$5001,BD!$B$3:$B$5001,L$149,BD!$A$3:$A$5001,"&gt;="&amp;$C$7,BD!$A$3:$A$5001,"&lt;="&amp;$B150,BD!$M$3:$M$5001,"&lt;&gt;"))))</f>
        <v/>
      </c>
      <c r="M150" s="43" t="str">
        <f>IF(OR($B150="",$A150&gt;$B$9,M$149=""),"",IF(COUNTIFS(BD!$B$3:$B$5001,M$149,BD!$A$3:$A$5001,"&gt;="&amp;$C$7,BD!$A$3:$A$5001,"&lt;="&amp;$B150,BD!$M$3:$M$5001,"&lt;&gt;")=0,"",SUMIFS(BD!$M$3:$M$5001,BD!$B$3:$B$5001,M$149,BD!$A$3:$A$5001,_xlfn.MAXIFS(BD!$A$3:$A$5001,BD!$B$3:$B$5001,M$149,BD!$A$3:$A$5001,"&gt;="&amp;$C$7,BD!$A$3:$A$5001,"&lt;="&amp;$B150,BD!$M$3:$M$5001,"&lt;&gt;"))))</f>
        <v/>
      </c>
      <c r="N150" s="43" t="str">
        <f>IF(OR($B150="",$A150&gt;$B$9,N$149=""),"",IF(COUNTIFS(BD!$B$3:$B$5001,N$149,BD!$A$3:$A$5001,"&gt;="&amp;$C$7,BD!$A$3:$A$5001,"&lt;="&amp;$B150,BD!$M$3:$M$5001,"&lt;&gt;")=0,"",SUMIFS(BD!$M$3:$M$5001,BD!$B$3:$B$5001,N$149,BD!$A$3:$A$5001,_xlfn.MAXIFS(BD!$A$3:$A$5001,BD!$B$3:$B$5001,N$149,BD!$A$3:$A$5001,"&gt;="&amp;$C$7,BD!$A$3:$A$5001,"&lt;="&amp;$B150,BD!$M$3:$M$5001,"&lt;&gt;"))))</f>
        <v/>
      </c>
      <c r="O150" s="43" t="str">
        <f>IF(OR($B150="",$A150&gt;$B$9,O$149=""),"",IF(COUNTIFS(BD!$B$3:$B$5001,O$149,BD!$A$3:$A$5001,"&gt;="&amp;$C$7,BD!$A$3:$A$5001,"&lt;="&amp;$B150,BD!$M$3:$M$5001,"&lt;&gt;")=0,"",SUMIFS(BD!$M$3:$M$5001,BD!$B$3:$B$5001,O$149,BD!$A$3:$A$5001,_xlfn.MAXIFS(BD!$A$3:$A$5001,BD!$B$3:$B$5001,O$149,BD!$A$3:$A$5001,"&gt;="&amp;$C$7,BD!$A$3:$A$5001,"&lt;="&amp;$B150,BD!$M$3:$M$5001,"&lt;&gt;"))))</f>
        <v/>
      </c>
      <c r="P150" s="43" t="str">
        <f>IF(OR($B150="",$A150&gt;$B$9,P$149=""),"",IF(COUNTIFS(BD!$B$3:$B$5001,P$149,BD!$A$3:$A$5001,"&gt;="&amp;$C$7,BD!$A$3:$A$5001,"&lt;="&amp;$B150,BD!$M$3:$M$5001,"&lt;&gt;")=0,"",SUMIFS(BD!$M$3:$M$5001,BD!$B$3:$B$5001,P$149,BD!$A$3:$A$5001,_xlfn.MAXIFS(BD!$A$3:$A$5001,BD!$B$3:$B$5001,P$149,BD!$A$3:$A$5001,"&gt;="&amp;$C$7,BD!$A$3:$A$5001,"&lt;="&amp;$B150,BD!$M$3:$M$5001,"&lt;&gt;"))))</f>
        <v/>
      </c>
      <c r="Q150" s="43" t="str">
        <f>IF(OR($B150="",$A150&gt;$B$9,Q$149=""),"",IF(COUNTIFS(BD!$B$3:$B$5001,Q$149,BD!$A$3:$A$5001,"&gt;="&amp;$C$7,BD!$A$3:$A$5001,"&lt;="&amp;$B150,BD!$M$3:$M$5001,"&lt;&gt;")=0,"",SUMIFS(BD!$M$3:$M$5001,BD!$B$3:$B$5001,Q$149,BD!$A$3:$A$5001,_xlfn.MAXIFS(BD!$A$3:$A$5001,BD!$B$3:$B$5001,Q$149,BD!$A$3:$A$5001,"&gt;="&amp;$C$7,BD!$A$3:$A$5001,"&lt;="&amp;$B150,BD!$M$3:$M$5001,"&lt;&gt;"))))</f>
        <v/>
      </c>
      <c r="R150" s="43" t="str">
        <f>IF(OR($B150="",$A150&gt;$B$9,R$149=""),"",IF(COUNTIFS(BD!$B$3:$B$5001,R$149,BD!$A$3:$A$5001,"&gt;="&amp;$C$7,BD!$A$3:$A$5001,"&lt;="&amp;$B150,BD!$M$3:$M$5001,"&lt;&gt;")=0,"",SUMIFS(BD!$M$3:$M$5001,BD!$B$3:$B$5001,R$149,BD!$A$3:$A$5001,_xlfn.MAXIFS(BD!$A$3:$A$5001,BD!$B$3:$B$5001,R$149,BD!$A$3:$A$5001,"&gt;="&amp;$C$7,BD!$A$3:$A$5001,"&lt;="&amp;$B150,BD!$M$3:$M$5001,"&lt;&gt;"))))</f>
        <v/>
      </c>
      <c r="S150" s="43" t="str">
        <f>IF(OR($B150="",$A150&gt;$B$9,S$149=""),"",IF(COUNTIFS(BD!$B$3:$B$5001,S$149,BD!$A$3:$A$5001,"&gt;="&amp;$C$7,BD!$A$3:$A$5001,"&lt;="&amp;$B150,BD!$M$3:$M$5001,"&lt;&gt;")=0,"",SUMIFS(BD!$M$3:$M$5001,BD!$B$3:$B$5001,S$149,BD!$A$3:$A$5001,_xlfn.MAXIFS(BD!$A$3:$A$5001,BD!$B$3:$B$5001,S$149,BD!$A$3:$A$5001,"&gt;="&amp;$C$7,BD!$A$3:$A$5001,"&lt;="&amp;$B150,BD!$M$3:$M$5001,"&lt;&gt;"))))</f>
        <v/>
      </c>
      <c r="T150" s="43" t="str">
        <f>IF(OR($B150="",$A150&gt;$B$9,T$149=""),"",IF(COUNTIFS(BD!$B$3:$B$5001,T$149,BD!$A$3:$A$5001,"&gt;="&amp;$C$7,BD!$A$3:$A$5001,"&lt;="&amp;$B150,BD!$M$3:$M$5001,"&lt;&gt;")=0,"",SUMIFS(BD!$M$3:$M$5001,BD!$B$3:$B$5001,T$149,BD!$A$3:$A$5001,_xlfn.MAXIFS(BD!$A$3:$A$5001,BD!$B$3:$B$5001,T$149,BD!$A$3:$A$5001,"&gt;="&amp;$C$7,BD!$A$3:$A$5001,"&lt;="&amp;$B150,BD!$M$3:$M$5001,"&lt;&gt;"))))</f>
        <v/>
      </c>
      <c r="U150" s="43" t="str">
        <f>IF(OR($B150="",$A150&gt;$B$9,U$149=""),"",IF(COUNTIFS(BD!$B$3:$B$5001,U$149,BD!$A$3:$A$5001,"&gt;="&amp;$C$7,BD!$A$3:$A$5001,"&lt;="&amp;$B150,BD!$M$3:$M$5001,"&lt;&gt;")=0,"",SUMIFS(BD!$M$3:$M$5001,BD!$B$3:$B$5001,U$149,BD!$A$3:$A$5001,_xlfn.MAXIFS(BD!$A$3:$A$5001,BD!$B$3:$B$5001,U$149,BD!$A$3:$A$5001,"&gt;="&amp;$C$7,BD!$A$3:$A$5001,"&lt;="&amp;$B150,BD!$M$3:$M$5001,"&lt;&gt;"))))</f>
        <v/>
      </c>
      <c r="V150" s="43" t="str">
        <f>IF(OR($B150="",$A150&gt;$B$9,V$149=""),"",IF(COUNTIFS(BD!$B$3:$B$5001,V$149,BD!$A$3:$A$5001,"&gt;="&amp;$C$7,BD!$A$3:$A$5001,"&lt;="&amp;$B150,BD!$M$3:$M$5001,"&lt;&gt;")=0,"",SUMIFS(BD!$M$3:$M$5001,BD!$B$3:$B$5001,V$149,BD!$A$3:$A$5001,_xlfn.MAXIFS(BD!$A$3:$A$5001,BD!$B$3:$B$5001,V$149,BD!$A$3:$A$5001,"&gt;="&amp;$C$7,BD!$A$3:$A$5001,"&lt;="&amp;$B150,BD!$M$3:$M$5001,"&lt;&gt;"))))</f>
        <v/>
      </c>
    </row>
    <row r="151">
      <c r="A151" s="38">
        <v>2</v>
      </c>
      <c r="B151" s="42">
        <f>$B$13</f>
        <v>46297</v>
      </c>
      <c r="C151" s="43" t="str">
        <f>IF(OR($B151="",$A151&gt;$B$9,C$149=""),"",IF(COUNTIFS(BD!$B$3:$B$5001,C$149,BD!$A$3:$A$5001,"&gt;="&amp;$C$7,BD!$A$3:$A$5001,"&lt;="&amp;$B151,BD!$M$3:$M$5001,"&lt;&gt;")=0,"",SUMIFS(BD!$M$3:$M$5001,BD!$B$3:$B$5001,C$149,BD!$A$3:$A$5001,_xlfn.MAXIFS(BD!$A$3:$A$5001,BD!$B$3:$B$5001,C$149,BD!$A$3:$A$5001,"&gt;="&amp;$C$7,BD!$A$3:$A$5001,"&lt;="&amp;$B151,BD!$M$3:$M$5001,"&lt;&gt;"))))</f>
        <v/>
      </c>
      <c r="D151" s="43" t="str">
        <f>IF(OR($B151="",$A151&gt;$B$9,D$149=""),"",IF(COUNTIFS(BD!$B$3:$B$5001,D$149,BD!$A$3:$A$5001,"&gt;="&amp;$C$7,BD!$A$3:$A$5001,"&lt;="&amp;$B151,BD!$M$3:$M$5001,"&lt;&gt;")=0,"",SUMIFS(BD!$M$3:$M$5001,BD!$B$3:$B$5001,D$149,BD!$A$3:$A$5001,_xlfn.MAXIFS(BD!$A$3:$A$5001,BD!$B$3:$B$5001,D$149,BD!$A$3:$A$5001,"&gt;="&amp;$C$7,BD!$A$3:$A$5001,"&lt;="&amp;$B151,BD!$M$3:$M$5001,"&lt;&gt;"))))</f>
        <v/>
      </c>
      <c r="E151" s="43" t="str">
        <f>IF(OR($B151="",$A151&gt;$B$9,E$149=""),"",IF(COUNTIFS(BD!$B$3:$B$5001,E$149,BD!$A$3:$A$5001,"&gt;="&amp;$C$7,BD!$A$3:$A$5001,"&lt;="&amp;$B151,BD!$M$3:$M$5001,"&lt;&gt;")=0,"",SUMIFS(BD!$M$3:$M$5001,BD!$B$3:$B$5001,E$149,BD!$A$3:$A$5001,_xlfn.MAXIFS(BD!$A$3:$A$5001,BD!$B$3:$B$5001,E$149,BD!$A$3:$A$5001,"&gt;="&amp;$C$7,BD!$A$3:$A$5001,"&lt;="&amp;$B151,BD!$M$3:$M$5001,"&lt;&gt;"))))</f>
        <v/>
      </c>
      <c r="F151" s="43" t="str">
        <f>IF(OR($B151="",$A151&gt;$B$9,F$149=""),"",IF(COUNTIFS(BD!$B$3:$B$5001,F$149,BD!$A$3:$A$5001,"&gt;="&amp;$C$7,BD!$A$3:$A$5001,"&lt;="&amp;$B151,BD!$M$3:$M$5001,"&lt;&gt;")=0,"",SUMIFS(BD!$M$3:$M$5001,BD!$B$3:$B$5001,F$149,BD!$A$3:$A$5001,_xlfn.MAXIFS(BD!$A$3:$A$5001,BD!$B$3:$B$5001,F$149,BD!$A$3:$A$5001,"&gt;="&amp;$C$7,BD!$A$3:$A$5001,"&lt;="&amp;$B151,BD!$M$3:$M$5001,"&lt;&gt;"))))</f>
        <v/>
      </c>
      <c r="G151" s="43" t="str">
        <f>IF(OR($B151="",$A151&gt;$B$9,G$149=""),"",IF(COUNTIFS(BD!$B$3:$B$5001,G$149,BD!$A$3:$A$5001,"&gt;="&amp;$C$7,BD!$A$3:$A$5001,"&lt;="&amp;$B151,BD!$M$3:$M$5001,"&lt;&gt;")=0,"",SUMIFS(BD!$M$3:$M$5001,BD!$B$3:$B$5001,G$149,BD!$A$3:$A$5001,_xlfn.MAXIFS(BD!$A$3:$A$5001,BD!$B$3:$B$5001,G$149,BD!$A$3:$A$5001,"&gt;="&amp;$C$7,BD!$A$3:$A$5001,"&lt;="&amp;$B151,BD!$M$3:$M$5001,"&lt;&gt;"))))</f>
        <v/>
      </c>
      <c r="H151" s="43" t="str">
        <f>IF(OR($B151="",$A151&gt;$B$9,H$149=""),"",IF(COUNTIFS(BD!$B$3:$B$5001,H$149,BD!$A$3:$A$5001,"&gt;="&amp;$C$7,BD!$A$3:$A$5001,"&lt;="&amp;$B151,BD!$M$3:$M$5001,"&lt;&gt;")=0,"",SUMIFS(BD!$M$3:$M$5001,BD!$B$3:$B$5001,H$149,BD!$A$3:$A$5001,_xlfn.MAXIFS(BD!$A$3:$A$5001,BD!$B$3:$B$5001,H$149,BD!$A$3:$A$5001,"&gt;="&amp;$C$7,BD!$A$3:$A$5001,"&lt;="&amp;$B151,BD!$M$3:$M$5001,"&lt;&gt;"))))</f>
        <v/>
      </c>
      <c r="I151" s="43" t="str">
        <f>IF(OR($B151="",$A151&gt;$B$9,I$149=""),"",IF(COUNTIFS(BD!$B$3:$B$5001,I$149,BD!$A$3:$A$5001,"&gt;="&amp;$C$7,BD!$A$3:$A$5001,"&lt;="&amp;$B151,BD!$M$3:$M$5001,"&lt;&gt;")=0,"",SUMIFS(BD!$M$3:$M$5001,BD!$B$3:$B$5001,I$149,BD!$A$3:$A$5001,_xlfn.MAXIFS(BD!$A$3:$A$5001,BD!$B$3:$B$5001,I$149,BD!$A$3:$A$5001,"&gt;="&amp;$C$7,BD!$A$3:$A$5001,"&lt;="&amp;$B151,BD!$M$3:$M$5001,"&lt;&gt;"))))</f>
        <v/>
      </c>
      <c r="J151" s="43" t="str">
        <f>IF(OR($B151="",$A151&gt;$B$9,J$149=""),"",IF(COUNTIFS(BD!$B$3:$B$5001,J$149,BD!$A$3:$A$5001,"&gt;="&amp;$C$7,BD!$A$3:$A$5001,"&lt;="&amp;$B151,BD!$M$3:$M$5001,"&lt;&gt;")=0,"",SUMIFS(BD!$M$3:$M$5001,BD!$B$3:$B$5001,J$149,BD!$A$3:$A$5001,_xlfn.MAXIFS(BD!$A$3:$A$5001,BD!$B$3:$B$5001,J$149,BD!$A$3:$A$5001,"&gt;="&amp;$C$7,BD!$A$3:$A$5001,"&lt;="&amp;$B151,BD!$M$3:$M$5001,"&lt;&gt;"))))</f>
        <v/>
      </c>
      <c r="K151" s="43" t="str">
        <f>IF(OR($B151="",$A151&gt;$B$9,K$149=""),"",IF(COUNTIFS(BD!$B$3:$B$5001,K$149,BD!$A$3:$A$5001,"&gt;="&amp;$C$7,BD!$A$3:$A$5001,"&lt;="&amp;$B151,BD!$M$3:$M$5001,"&lt;&gt;")=0,"",SUMIFS(BD!$M$3:$M$5001,BD!$B$3:$B$5001,K$149,BD!$A$3:$A$5001,_xlfn.MAXIFS(BD!$A$3:$A$5001,BD!$B$3:$B$5001,K$149,BD!$A$3:$A$5001,"&gt;="&amp;$C$7,BD!$A$3:$A$5001,"&lt;="&amp;$B151,BD!$M$3:$M$5001,"&lt;&gt;"))))</f>
        <v/>
      </c>
      <c r="L151" s="43" t="str">
        <f>IF(OR($B151="",$A151&gt;$B$9,L$149=""),"",IF(COUNTIFS(BD!$B$3:$B$5001,L$149,BD!$A$3:$A$5001,"&gt;="&amp;$C$7,BD!$A$3:$A$5001,"&lt;="&amp;$B151,BD!$M$3:$M$5001,"&lt;&gt;")=0,"",SUMIFS(BD!$M$3:$M$5001,BD!$B$3:$B$5001,L$149,BD!$A$3:$A$5001,_xlfn.MAXIFS(BD!$A$3:$A$5001,BD!$B$3:$B$5001,L$149,BD!$A$3:$A$5001,"&gt;="&amp;$C$7,BD!$A$3:$A$5001,"&lt;="&amp;$B151,BD!$M$3:$M$5001,"&lt;&gt;"))))</f>
        <v/>
      </c>
      <c r="M151" s="43" t="str">
        <f>IF(OR($B151="",$A151&gt;$B$9,M$149=""),"",IF(COUNTIFS(BD!$B$3:$B$5001,M$149,BD!$A$3:$A$5001,"&gt;="&amp;$C$7,BD!$A$3:$A$5001,"&lt;="&amp;$B151,BD!$M$3:$M$5001,"&lt;&gt;")=0,"",SUMIFS(BD!$M$3:$M$5001,BD!$B$3:$B$5001,M$149,BD!$A$3:$A$5001,_xlfn.MAXIFS(BD!$A$3:$A$5001,BD!$B$3:$B$5001,M$149,BD!$A$3:$A$5001,"&gt;="&amp;$C$7,BD!$A$3:$A$5001,"&lt;="&amp;$B151,BD!$M$3:$M$5001,"&lt;&gt;"))))</f>
        <v/>
      </c>
      <c r="N151" s="43" t="str">
        <f>IF(OR($B151="",$A151&gt;$B$9,N$149=""),"",IF(COUNTIFS(BD!$B$3:$B$5001,N$149,BD!$A$3:$A$5001,"&gt;="&amp;$C$7,BD!$A$3:$A$5001,"&lt;="&amp;$B151,BD!$M$3:$M$5001,"&lt;&gt;")=0,"",SUMIFS(BD!$M$3:$M$5001,BD!$B$3:$B$5001,N$149,BD!$A$3:$A$5001,_xlfn.MAXIFS(BD!$A$3:$A$5001,BD!$B$3:$B$5001,N$149,BD!$A$3:$A$5001,"&gt;="&amp;$C$7,BD!$A$3:$A$5001,"&lt;="&amp;$B151,BD!$M$3:$M$5001,"&lt;&gt;"))))</f>
        <v/>
      </c>
      <c r="O151" s="43" t="str">
        <f>IF(OR($B151="",$A151&gt;$B$9,O$149=""),"",IF(COUNTIFS(BD!$B$3:$B$5001,O$149,BD!$A$3:$A$5001,"&gt;="&amp;$C$7,BD!$A$3:$A$5001,"&lt;="&amp;$B151,BD!$M$3:$M$5001,"&lt;&gt;")=0,"",SUMIFS(BD!$M$3:$M$5001,BD!$B$3:$B$5001,O$149,BD!$A$3:$A$5001,_xlfn.MAXIFS(BD!$A$3:$A$5001,BD!$B$3:$B$5001,O$149,BD!$A$3:$A$5001,"&gt;="&amp;$C$7,BD!$A$3:$A$5001,"&lt;="&amp;$B151,BD!$M$3:$M$5001,"&lt;&gt;"))))</f>
        <v/>
      </c>
      <c r="P151" s="43" t="str">
        <f>IF(OR($B151="",$A151&gt;$B$9,P$149=""),"",IF(COUNTIFS(BD!$B$3:$B$5001,P$149,BD!$A$3:$A$5001,"&gt;="&amp;$C$7,BD!$A$3:$A$5001,"&lt;="&amp;$B151,BD!$M$3:$M$5001,"&lt;&gt;")=0,"",SUMIFS(BD!$M$3:$M$5001,BD!$B$3:$B$5001,P$149,BD!$A$3:$A$5001,_xlfn.MAXIFS(BD!$A$3:$A$5001,BD!$B$3:$B$5001,P$149,BD!$A$3:$A$5001,"&gt;="&amp;$C$7,BD!$A$3:$A$5001,"&lt;="&amp;$B151,BD!$M$3:$M$5001,"&lt;&gt;"))))</f>
        <v/>
      </c>
      <c r="Q151" s="43" t="str">
        <f>IF(OR($B151="",$A151&gt;$B$9,Q$149=""),"",IF(COUNTIFS(BD!$B$3:$B$5001,Q$149,BD!$A$3:$A$5001,"&gt;="&amp;$C$7,BD!$A$3:$A$5001,"&lt;="&amp;$B151,BD!$M$3:$M$5001,"&lt;&gt;")=0,"",SUMIFS(BD!$M$3:$M$5001,BD!$B$3:$B$5001,Q$149,BD!$A$3:$A$5001,_xlfn.MAXIFS(BD!$A$3:$A$5001,BD!$B$3:$B$5001,Q$149,BD!$A$3:$A$5001,"&gt;="&amp;$C$7,BD!$A$3:$A$5001,"&lt;="&amp;$B151,BD!$M$3:$M$5001,"&lt;&gt;"))))</f>
        <v/>
      </c>
      <c r="R151" s="43" t="str">
        <f>IF(OR($B151="",$A151&gt;$B$9,R$149=""),"",IF(COUNTIFS(BD!$B$3:$B$5001,R$149,BD!$A$3:$A$5001,"&gt;="&amp;$C$7,BD!$A$3:$A$5001,"&lt;="&amp;$B151,BD!$M$3:$M$5001,"&lt;&gt;")=0,"",SUMIFS(BD!$M$3:$M$5001,BD!$B$3:$B$5001,R$149,BD!$A$3:$A$5001,_xlfn.MAXIFS(BD!$A$3:$A$5001,BD!$B$3:$B$5001,R$149,BD!$A$3:$A$5001,"&gt;="&amp;$C$7,BD!$A$3:$A$5001,"&lt;="&amp;$B151,BD!$M$3:$M$5001,"&lt;&gt;"))))</f>
        <v/>
      </c>
      <c r="S151" s="43" t="str">
        <f>IF(OR($B151="",$A151&gt;$B$9,S$149=""),"",IF(COUNTIFS(BD!$B$3:$B$5001,S$149,BD!$A$3:$A$5001,"&gt;="&amp;$C$7,BD!$A$3:$A$5001,"&lt;="&amp;$B151,BD!$M$3:$M$5001,"&lt;&gt;")=0,"",SUMIFS(BD!$M$3:$M$5001,BD!$B$3:$B$5001,S$149,BD!$A$3:$A$5001,_xlfn.MAXIFS(BD!$A$3:$A$5001,BD!$B$3:$B$5001,S$149,BD!$A$3:$A$5001,"&gt;="&amp;$C$7,BD!$A$3:$A$5001,"&lt;="&amp;$B151,BD!$M$3:$M$5001,"&lt;&gt;"))))</f>
        <v/>
      </c>
      <c r="T151" s="43" t="str">
        <f>IF(OR($B151="",$A151&gt;$B$9,T$149=""),"",IF(COUNTIFS(BD!$B$3:$B$5001,T$149,BD!$A$3:$A$5001,"&gt;="&amp;$C$7,BD!$A$3:$A$5001,"&lt;="&amp;$B151,BD!$M$3:$M$5001,"&lt;&gt;")=0,"",SUMIFS(BD!$M$3:$M$5001,BD!$B$3:$B$5001,T$149,BD!$A$3:$A$5001,_xlfn.MAXIFS(BD!$A$3:$A$5001,BD!$B$3:$B$5001,T$149,BD!$A$3:$A$5001,"&gt;="&amp;$C$7,BD!$A$3:$A$5001,"&lt;="&amp;$B151,BD!$M$3:$M$5001,"&lt;&gt;"))))</f>
        <v/>
      </c>
      <c r="U151" s="43" t="str">
        <f>IF(OR($B151="",$A151&gt;$B$9,U$149=""),"",IF(COUNTIFS(BD!$B$3:$B$5001,U$149,BD!$A$3:$A$5001,"&gt;="&amp;$C$7,BD!$A$3:$A$5001,"&lt;="&amp;$B151,BD!$M$3:$M$5001,"&lt;&gt;")=0,"",SUMIFS(BD!$M$3:$M$5001,BD!$B$3:$B$5001,U$149,BD!$A$3:$A$5001,_xlfn.MAXIFS(BD!$A$3:$A$5001,BD!$B$3:$B$5001,U$149,BD!$A$3:$A$5001,"&gt;="&amp;$C$7,BD!$A$3:$A$5001,"&lt;="&amp;$B151,BD!$M$3:$M$5001,"&lt;&gt;"))))</f>
        <v/>
      </c>
      <c r="V151" s="43" t="str">
        <f>IF(OR($B151="",$A151&gt;$B$9,V$149=""),"",IF(COUNTIFS(BD!$B$3:$B$5001,V$149,BD!$A$3:$A$5001,"&gt;="&amp;$C$7,BD!$A$3:$A$5001,"&lt;="&amp;$B151,BD!$M$3:$M$5001,"&lt;&gt;")=0,"",SUMIFS(BD!$M$3:$M$5001,BD!$B$3:$B$5001,V$149,BD!$A$3:$A$5001,_xlfn.MAXIFS(BD!$A$3:$A$5001,BD!$B$3:$B$5001,V$149,BD!$A$3:$A$5001,"&gt;="&amp;$C$7,BD!$A$3:$A$5001,"&lt;="&amp;$B151,BD!$M$3:$M$5001,"&lt;&gt;"))))</f>
        <v/>
      </c>
    </row>
    <row r="152">
      <c r="A152" s="38">
        <v>3</v>
      </c>
      <c r="B152" s="42">
        <f>$B$14</f>
        <v>46298</v>
      </c>
      <c r="C152" s="43" t="str">
        <f>IF(OR($B152="",$A152&gt;$B$9,C$149=""),"",IF(COUNTIFS(BD!$B$3:$B$5001,C$149,BD!$A$3:$A$5001,"&gt;="&amp;$C$7,BD!$A$3:$A$5001,"&lt;="&amp;$B152,BD!$M$3:$M$5001,"&lt;&gt;")=0,"",SUMIFS(BD!$M$3:$M$5001,BD!$B$3:$B$5001,C$149,BD!$A$3:$A$5001,_xlfn.MAXIFS(BD!$A$3:$A$5001,BD!$B$3:$B$5001,C$149,BD!$A$3:$A$5001,"&gt;="&amp;$C$7,BD!$A$3:$A$5001,"&lt;="&amp;$B152,BD!$M$3:$M$5001,"&lt;&gt;"))))</f>
        <v/>
      </c>
      <c r="D152" s="43" t="str">
        <f>IF(OR($B152="",$A152&gt;$B$9,D$149=""),"",IF(COUNTIFS(BD!$B$3:$B$5001,D$149,BD!$A$3:$A$5001,"&gt;="&amp;$C$7,BD!$A$3:$A$5001,"&lt;="&amp;$B152,BD!$M$3:$M$5001,"&lt;&gt;")=0,"",SUMIFS(BD!$M$3:$M$5001,BD!$B$3:$B$5001,D$149,BD!$A$3:$A$5001,_xlfn.MAXIFS(BD!$A$3:$A$5001,BD!$B$3:$B$5001,D$149,BD!$A$3:$A$5001,"&gt;="&amp;$C$7,BD!$A$3:$A$5001,"&lt;="&amp;$B152,BD!$M$3:$M$5001,"&lt;&gt;"))))</f>
        <v/>
      </c>
      <c r="E152" s="43" t="str">
        <f>IF(OR($B152="",$A152&gt;$B$9,E$149=""),"",IF(COUNTIFS(BD!$B$3:$B$5001,E$149,BD!$A$3:$A$5001,"&gt;="&amp;$C$7,BD!$A$3:$A$5001,"&lt;="&amp;$B152,BD!$M$3:$M$5001,"&lt;&gt;")=0,"",SUMIFS(BD!$M$3:$M$5001,BD!$B$3:$B$5001,E$149,BD!$A$3:$A$5001,_xlfn.MAXIFS(BD!$A$3:$A$5001,BD!$B$3:$B$5001,E$149,BD!$A$3:$A$5001,"&gt;="&amp;$C$7,BD!$A$3:$A$5001,"&lt;="&amp;$B152,BD!$M$3:$M$5001,"&lt;&gt;"))))</f>
        <v/>
      </c>
      <c r="F152" s="43" t="str">
        <f>IF(OR($B152="",$A152&gt;$B$9,F$149=""),"",IF(COUNTIFS(BD!$B$3:$B$5001,F$149,BD!$A$3:$A$5001,"&gt;="&amp;$C$7,BD!$A$3:$A$5001,"&lt;="&amp;$B152,BD!$M$3:$M$5001,"&lt;&gt;")=0,"",SUMIFS(BD!$M$3:$M$5001,BD!$B$3:$B$5001,F$149,BD!$A$3:$A$5001,_xlfn.MAXIFS(BD!$A$3:$A$5001,BD!$B$3:$B$5001,F$149,BD!$A$3:$A$5001,"&gt;="&amp;$C$7,BD!$A$3:$A$5001,"&lt;="&amp;$B152,BD!$M$3:$M$5001,"&lt;&gt;"))))</f>
        <v/>
      </c>
      <c r="G152" s="43" t="str">
        <f>IF(OR($B152="",$A152&gt;$B$9,G$149=""),"",IF(COUNTIFS(BD!$B$3:$B$5001,G$149,BD!$A$3:$A$5001,"&gt;="&amp;$C$7,BD!$A$3:$A$5001,"&lt;="&amp;$B152,BD!$M$3:$M$5001,"&lt;&gt;")=0,"",SUMIFS(BD!$M$3:$M$5001,BD!$B$3:$B$5001,G$149,BD!$A$3:$A$5001,_xlfn.MAXIFS(BD!$A$3:$A$5001,BD!$B$3:$B$5001,G$149,BD!$A$3:$A$5001,"&gt;="&amp;$C$7,BD!$A$3:$A$5001,"&lt;="&amp;$B152,BD!$M$3:$M$5001,"&lt;&gt;"))))</f>
        <v/>
      </c>
      <c r="H152" s="43" t="str">
        <f>IF(OR($B152="",$A152&gt;$B$9,H$149=""),"",IF(COUNTIFS(BD!$B$3:$B$5001,H$149,BD!$A$3:$A$5001,"&gt;="&amp;$C$7,BD!$A$3:$A$5001,"&lt;="&amp;$B152,BD!$M$3:$M$5001,"&lt;&gt;")=0,"",SUMIFS(BD!$M$3:$M$5001,BD!$B$3:$B$5001,H$149,BD!$A$3:$A$5001,_xlfn.MAXIFS(BD!$A$3:$A$5001,BD!$B$3:$B$5001,H$149,BD!$A$3:$A$5001,"&gt;="&amp;$C$7,BD!$A$3:$A$5001,"&lt;="&amp;$B152,BD!$M$3:$M$5001,"&lt;&gt;"))))</f>
        <v/>
      </c>
      <c r="I152" s="43" t="str">
        <f>IF(OR($B152="",$A152&gt;$B$9,I$149=""),"",IF(COUNTIFS(BD!$B$3:$B$5001,I$149,BD!$A$3:$A$5001,"&gt;="&amp;$C$7,BD!$A$3:$A$5001,"&lt;="&amp;$B152,BD!$M$3:$M$5001,"&lt;&gt;")=0,"",SUMIFS(BD!$M$3:$M$5001,BD!$B$3:$B$5001,I$149,BD!$A$3:$A$5001,_xlfn.MAXIFS(BD!$A$3:$A$5001,BD!$B$3:$B$5001,I$149,BD!$A$3:$A$5001,"&gt;="&amp;$C$7,BD!$A$3:$A$5001,"&lt;="&amp;$B152,BD!$M$3:$M$5001,"&lt;&gt;"))))</f>
        <v/>
      </c>
      <c r="J152" s="43" t="str">
        <f>IF(OR($B152="",$A152&gt;$B$9,J$149=""),"",IF(COUNTIFS(BD!$B$3:$B$5001,J$149,BD!$A$3:$A$5001,"&gt;="&amp;$C$7,BD!$A$3:$A$5001,"&lt;="&amp;$B152,BD!$M$3:$M$5001,"&lt;&gt;")=0,"",SUMIFS(BD!$M$3:$M$5001,BD!$B$3:$B$5001,J$149,BD!$A$3:$A$5001,_xlfn.MAXIFS(BD!$A$3:$A$5001,BD!$B$3:$B$5001,J$149,BD!$A$3:$A$5001,"&gt;="&amp;$C$7,BD!$A$3:$A$5001,"&lt;="&amp;$B152,BD!$M$3:$M$5001,"&lt;&gt;"))))</f>
        <v/>
      </c>
      <c r="K152" s="43" t="str">
        <f>IF(OR($B152="",$A152&gt;$B$9,K$149=""),"",IF(COUNTIFS(BD!$B$3:$B$5001,K$149,BD!$A$3:$A$5001,"&gt;="&amp;$C$7,BD!$A$3:$A$5001,"&lt;="&amp;$B152,BD!$M$3:$M$5001,"&lt;&gt;")=0,"",SUMIFS(BD!$M$3:$M$5001,BD!$B$3:$B$5001,K$149,BD!$A$3:$A$5001,_xlfn.MAXIFS(BD!$A$3:$A$5001,BD!$B$3:$B$5001,K$149,BD!$A$3:$A$5001,"&gt;="&amp;$C$7,BD!$A$3:$A$5001,"&lt;="&amp;$B152,BD!$M$3:$M$5001,"&lt;&gt;"))))</f>
        <v/>
      </c>
      <c r="L152" s="43" t="str">
        <f>IF(OR($B152="",$A152&gt;$B$9,L$149=""),"",IF(COUNTIFS(BD!$B$3:$B$5001,L$149,BD!$A$3:$A$5001,"&gt;="&amp;$C$7,BD!$A$3:$A$5001,"&lt;="&amp;$B152,BD!$M$3:$M$5001,"&lt;&gt;")=0,"",SUMIFS(BD!$M$3:$M$5001,BD!$B$3:$B$5001,L$149,BD!$A$3:$A$5001,_xlfn.MAXIFS(BD!$A$3:$A$5001,BD!$B$3:$B$5001,L$149,BD!$A$3:$A$5001,"&gt;="&amp;$C$7,BD!$A$3:$A$5001,"&lt;="&amp;$B152,BD!$M$3:$M$5001,"&lt;&gt;"))))</f>
        <v/>
      </c>
      <c r="M152" s="43" t="str">
        <f>IF(OR($B152="",$A152&gt;$B$9,M$149=""),"",IF(COUNTIFS(BD!$B$3:$B$5001,M$149,BD!$A$3:$A$5001,"&gt;="&amp;$C$7,BD!$A$3:$A$5001,"&lt;="&amp;$B152,BD!$M$3:$M$5001,"&lt;&gt;")=0,"",SUMIFS(BD!$M$3:$M$5001,BD!$B$3:$B$5001,M$149,BD!$A$3:$A$5001,_xlfn.MAXIFS(BD!$A$3:$A$5001,BD!$B$3:$B$5001,M$149,BD!$A$3:$A$5001,"&gt;="&amp;$C$7,BD!$A$3:$A$5001,"&lt;="&amp;$B152,BD!$M$3:$M$5001,"&lt;&gt;"))))</f>
        <v/>
      </c>
      <c r="N152" s="43" t="str">
        <f>IF(OR($B152="",$A152&gt;$B$9,N$149=""),"",IF(COUNTIFS(BD!$B$3:$B$5001,N$149,BD!$A$3:$A$5001,"&gt;="&amp;$C$7,BD!$A$3:$A$5001,"&lt;="&amp;$B152,BD!$M$3:$M$5001,"&lt;&gt;")=0,"",SUMIFS(BD!$M$3:$M$5001,BD!$B$3:$B$5001,N$149,BD!$A$3:$A$5001,_xlfn.MAXIFS(BD!$A$3:$A$5001,BD!$B$3:$B$5001,N$149,BD!$A$3:$A$5001,"&gt;="&amp;$C$7,BD!$A$3:$A$5001,"&lt;="&amp;$B152,BD!$M$3:$M$5001,"&lt;&gt;"))))</f>
        <v/>
      </c>
      <c r="O152" s="43" t="str">
        <f>IF(OR($B152="",$A152&gt;$B$9,O$149=""),"",IF(COUNTIFS(BD!$B$3:$B$5001,O$149,BD!$A$3:$A$5001,"&gt;="&amp;$C$7,BD!$A$3:$A$5001,"&lt;="&amp;$B152,BD!$M$3:$M$5001,"&lt;&gt;")=0,"",SUMIFS(BD!$M$3:$M$5001,BD!$B$3:$B$5001,O$149,BD!$A$3:$A$5001,_xlfn.MAXIFS(BD!$A$3:$A$5001,BD!$B$3:$B$5001,O$149,BD!$A$3:$A$5001,"&gt;="&amp;$C$7,BD!$A$3:$A$5001,"&lt;="&amp;$B152,BD!$M$3:$M$5001,"&lt;&gt;"))))</f>
        <v/>
      </c>
      <c r="P152" s="43" t="str">
        <f>IF(OR($B152="",$A152&gt;$B$9,P$149=""),"",IF(COUNTIFS(BD!$B$3:$B$5001,P$149,BD!$A$3:$A$5001,"&gt;="&amp;$C$7,BD!$A$3:$A$5001,"&lt;="&amp;$B152,BD!$M$3:$M$5001,"&lt;&gt;")=0,"",SUMIFS(BD!$M$3:$M$5001,BD!$B$3:$B$5001,P$149,BD!$A$3:$A$5001,_xlfn.MAXIFS(BD!$A$3:$A$5001,BD!$B$3:$B$5001,P$149,BD!$A$3:$A$5001,"&gt;="&amp;$C$7,BD!$A$3:$A$5001,"&lt;="&amp;$B152,BD!$M$3:$M$5001,"&lt;&gt;"))))</f>
        <v/>
      </c>
      <c r="Q152" s="43" t="str">
        <f>IF(OR($B152="",$A152&gt;$B$9,Q$149=""),"",IF(COUNTIFS(BD!$B$3:$B$5001,Q$149,BD!$A$3:$A$5001,"&gt;="&amp;$C$7,BD!$A$3:$A$5001,"&lt;="&amp;$B152,BD!$M$3:$M$5001,"&lt;&gt;")=0,"",SUMIFS(BD!$M$3:$M$5001,BD!$B$3:$B$5001,Q$149,BD!$A$3:$A$5001,_xlfn.MAXIFS(BD!$A$3:$A$5001,BD!$B$3:$B$5001,Q$149,BD!$A$3:$A$5001,"&gt;="&amp;$C$7,BD!$A$3:$A$5001,"&lt;="&amp;$B152,BD!$M$3:$M$5001,"&lt;&gt;"))))</f>
        <v/>
      </c>
      <c r="R152" s="43" t="str">
        <f>IF(OR($B152="",$A152&gt;$B$9,R$149=""),"",IF(COUNTIFS(BD!$B$3:$B$5001,R$149,BD!$A$3:$A$5001,"&gt;="&amp;$C$7,BD!$A$3:$A$5001,"&lt;="&amp;$B152,BD!$M$3:$M$5001,"&lt;&gt;")=0,"",SUMIFS(BD!$M$3:$M$5001,BD!$B$3:$B$5001,R$149,BD!$A$3:$A$5001,_xlfn.MAXIFS(BD!$A$3:$A$5001,BD!$B$3:$B$5001,R$149,BD!$A$3:$A$5001,"&gt;="&amp;$C$7,BD!$A$3:$A$5001,"&lt;="&amp;$B152,BD!$M$3:$M$5001,"&lt;&gt;"))))</f>
        <v/>
      </c>
      <c r="S152" s="43" t="str">
        <f>IF(OR($B152="",$A152&gt;$B$9,S$149=""),"",IF(COUNTIFS(BD!$B$3:$B$5001,S$149,BD!$A$3:$A$5001,"&gt;="&amp;$C$7,BD!$A$3:$A$5001,"&lt;="&amp;$B152,BD!$M$3:$M$5001,"&lt;&gt;")=0,"",SUMIFS(BD!$M$3:$M$5001,BD!$B$3:$B$5001,S$149,BD!$A$3:$A$5001,_xlfn.MAXIFS(BD!$A$3:$A$5001,BD!$B$3:$B$5001,S$149,BD!$A$3:$A$5001,"&gt;="&amp;$C$7,BD!$A$3:$A$5001,"&lt;="&amp;$B152,BD!$M$3:$M$5001,"&lt;&gt;"))))</f>
        <v/>
      </c>
      <c r="T152" s="43" t="str">
        <f>IF(OR($B152="",$A152&gt;$B$9,T$149=""),"",IF(COUNTIFS(BD!$B$3:$B$5001,T$149,BD!$A$3:$A$5001,"&gt;="&amp;$C$7,BD!$A$3:$A$5001,"&lt;="&amp;$B152,BD!$M$3:$M$5001,"&lt;&gt;")=0,"",SUMIFS(BD!$M$3:$M$5001,BD!$B$3:$B$5001,T$149,BD!$A$3:$A$5001,_xlfn.MAXIFS(BD!$A$3:$A$5001,BD!$B$3:$B$5001,T$149,BD!$A$3:$A$5001,"&gt;="&amp;$C$7,BD!$A$3:$A$5001,"&lt;="&amp;$B152,BD!$M$3:$M$5001,"&lt;&gt;"))))</f>
        <v/>
      </c>
      <c r="U152" s="43" t="str">
        <f>IF(OR($B152="",$A152&gt;$B$9,U$149=""),"",IF(COUNTIFS(BD!$B$3:$B$5001,U$149,BD!$A$3:$A$5001,"&gt;="&amp;$C$7,BD!$A$3:$A$5001,"&lt;="&amp;$B152,BD!$M$3:$M$5001,"&lt;&gt;")=0,"",SUMIFS(BD!$M$3:$M$5001,BD!$B$3:$B$5001,U$149,BD!$A$3:$A$5001,_xlfn.MAXIFS(BD!$A$3:$A$5001,BD!$B$3:$B$5001,U$149,BD!$A$3:$A$5001,"&gt;="&amp;$C$7,BD!$A$3:$A$5001,"&lt;="&amp;$B152,BD!$M$3:$M$5001,"&lt;&gt;"))))</f>
        <v/>
      </c>
      <c r="V152" s="43" t="str">
        <f>IF(OR($B152="",$A152&gt;$B$9,V$149=""),"",IF(COUNTIFS(BD!$B$3:$B$5001,V$149,BD!$A$3:$A$5001,"&gt;="&amp;$C$7,BD!$A$3:$A$5001,"&lt;="&amp;$B152,BD!$M$3:$M$5001,"&lt;&gt;")=0,"",SUMIFS(BD!$M$3:$M$5001,BD!$B$3:$B$5001,V$149,BD!$A$3:$A$5001,_xlfn.MAXIFS(BD!$A$3:$A$5001,BD!$B$3:$B$5001,V$149,BD!$A$3:$A$5001,"&gt;="&amp;$C$7,BD!$A$3:$A$5001,"&lt;="&amp;$B152,BD!$M$3:$M$5001,"&lt;&gt;"))))</f>
        <v/>
      </c>
    </row>
    <row r="153">
      <c r="A153" s="38">
        <v>4</v>
      </c>
      <c r="B153" s="42">
        <f>$B$15</f>
        <v>46299</v>
      </c>
      <c r="C153" s="43" t="str">
        <f>IF(OR($B153="",$A153&gt;$B$9,C$149=""),"",IF(COUNTIFS(BD!$B$3:$B$5001,C$149,BD!$A$3:$A$5001,"&gt;="&amp;$C$7,BD!$A$3:$A$5001,"&lt;="&amp;$B153,BD!$M$3:$M$5001,"&lt;&gt;")=0,"",SUMIFS(BD!$M$3:$M$5001,BD!$B$3:$B$5001,C$149,BD!$A$3:$A$5001,_xlfn.MAXIFS(BD!$A$3:$A$5001,BD!$B$3:$B$5001,C$149,BD!$A$3:$A$5001,"&gt;="&amp;$C$7,BD!$A$3:$A$5001,"&lt;="&amp;$B153,BD!$M$3:$M$5001,"&lt;&gt;"))))</f>
        <v/>
      </c>
      <c r="D153" s="43" t="str">
        <f>IF(OR($B153="",$A153&gt;$B$9,D$149=""),"",IF(COUNTIFS(BD!$B$3:$B$5001,D$149,BD!$A$3:$A$5001,"&gt;="&amp;$C$7,BD!$A$3:$A$5001,"&lt;="&amp;$B153,BD!$M$3:$M$5001,"&lt;&gt;")=0,"",SUMIFS(BD!$M$3:$M$5001,BD!$B$3:$B$5001,D$149,BD!$A$3:$A$5001,_xlfn.MAXIFS(BD!$A$3:$A$5001,BD!$B$3:$B$5001,D$149,BD!$A$3:$A$5001,"&gt;="&amp;$C$7,BD!$A$3:$A$5001,"&lt;="&amp;$B153,BD!$M$3:$M$5001,"&lt;&gt;"))))</f>
        <v/>
      </c>
      <c r="E153" s="43" t="str">
        <f>IF(OR($B153="",$A153&gt;$B$9,E$149=""),"",IF(COUNTIFS(BD!$B$3:$B$5001,E$149,BD!$A$3:$A$5001,"&gt;="&amp;$C$7,BD!$A$3:$A$5001,"&lt;="&amp;$B153,BD!$M$3:$M$5001,"&lt;&gt;")=0,"",SUMIFS(BD!$M$3:$M$5001,BD!$B$3:$B$5001,E$149,BD!$A$3:$A$5001,_xlfn.MAXIFS(BD!$A$3:$A$5001,BD!$B$3:$B$5001,E$149,BD!$A$3:$A$5001,"&gt;="&amp;$C$7,BD!$A$3:$A$5001,"&lt;="&amp;$B153,BD!$M$3:$M$5001,"&lt;&gt;"))))</f>
        <v/>
      </c>
      <c r="F153" s="43" t="str">
        <f>IF(OR($B153="",$A153&gt;$B$9,F$149=""),"",IF(COUNTIFS(BD!$B$3:$B$5001,F$149,BD!$A$3:$A$5001,"&gt;="&amp;$C$7,BD!$A$3:$A$5001,"&lt;="&amp;$B153,BD!$M$3:$M$5001,"&lt;&gt;")=0,"",SUMIFS(BD!$M$3:$M$5001,BD!$B$3:$B$5001,F$149,BD!$A$3:$A$5001,_xlfn.MAXIFS(BD!$A$3:$A$5001,BD!$B$3:$B$5001,F$149,BD!$A$3:$A$5001,"&gt;="&amp;$C$7,BD!$A$3:$A$5001,"&lt;="&amp;$B153,BD!$M$3:$M$5001,"&lt;&gt;"))))</f>
        <v/>
      </c>
      <c r="G153" s="43" t="str">
        <f>IF(OR($B153="",$A153&gt;$B$9,G$149=""),"",IF(COUNTIFS(BD!$B$3:$B$5001,G$149,BD!$A$3:$A$5001,"&gt;="&amp;$C$7,BD!$A$3:$A$5001,"&lt;="&amp;$B153,BD!$M$3:$M$5001,"&lt;&gt;")=0,"",SUMIFS(BD!$M$3:$M$5001,BD!$B$3:$B$5001,G$149,BD!$A$3:$A$5001,_xlfn.MAXIFS(BD!$A$3:$A$5001,BD!$B$3:$B$5001,G$149,BD!$A$3:$A$5001,"&gt;="&amp;$C$7,BD!$A$3:$A$5001,"&lt;="&amp;$B153,BD!$M$3:$M$5001,"&lt;&gt;"))))</f>
        <v/>
      </c>
      <c r="H153" s="43" t="str">
        <f>IF(OR($B153="",$A153&gt;$B$9,H$149=""),"",IF(COUNTIFS(BD!$B$3:$B$5001,H$149,BD!$A$3:$A$5001,"&gt;="&amp;$C$7,BD!$A$3:$A$5001,"&lt;="&amp;$B153,BD!$M$3:$M$5001,"&lt;&gt;")=0,"",SUMIFS(BD!$M$3:$M$5001,BD!$B$3:$B$5001,H$149,BD!$A$3:$A$5001,_xlfn.MAXIFS(BD!$A$3:$A$5001,BD!$B$3:$B$5001,H$149,BD!$A$3:$A$5001,"&gt;="&amp;$C$7,BD!$A$3:$A$5001,"&lt;="&amp;$B153,BD!$M$3:$M$5001,"&lt;&gt;"))))</f>
        <v/>
      </c>
      <c r="I153" s="43" t="str">
        <f>IF(OR($B153="",$A153&gt;$B$9,I$149=""),"",IF(COUNTIFS(BD!$B$3:$B$5001,I$149,BD!$A$3:$A$5001,"&gt;="&amp;$C$7,BD!$A$3:$A$5001,"&lt;="&amp;$B153,BD!$M$3:$M$5001,"&lt;&gt;")=0,"",SUMIFS(BD!$M$3:$M$5001,BD!$B$3:$B$5001,I$149,BD!$A$3:$A$5001,_xlfn.MAXIFS(BD!$A$3:$A$5001,BD!$B$3:$B$5001,I$149,BD!$A$3:$A$5001,"&gt;="&amp;$C$7,BD!$A$3:$A$5001,"&lt;="&amp;$B153,BD!$M$3:$M$5001,"&lt;&gt;"))))</f>
        <v/>
      </c>
      <c r="J153" s="43" t="str">
        <f>IF(OR($B153="",$A153&gt;$B$9,J$149=""),"",IF(COUNTIFS(BD!$B$3:$B$5001,J$149,BD!$A$3:$A$5001,"&gt;="&amp;$C$7,BD!$A$3:$A$5001,"&lt;="&amp;$B153,BD!$M$3:$M$5001,"&lt;&gt;")=0,"",SUMIFS(BD!$M$3:$M$5001,BD!$B$3:$B$5001,J$149,BD!$A$3:$A$5001,_xlfn.MAXIFS(BD!$A$3:$A$5001,BD!$B$3:$B$5001,J$149,BD!$A$3:$A$5001,"&gt;="&amp;$C$7,BD!$A$3:$A$5001,"&lt;="&amp;$B153,BD!$M$3:$M$5001,"&lt;&gt;"))))</f>
        <v/>
      </c>
      <c r="K153" s="43" t="str">
        <f>IF(OR($B153="",$A153&gt;$B$9,K$149=""),"",IF(COUNTIFS(BD!$B$3:$B$5001,K$149,BD!$A$3:$A$5001,"&gt;="&amp;$C$7,BD!$A$3:$A$5001,"&lt;="&amp;$B153,BD!$M$3:$M$5001,"&lt;&gt;")=0,"",SUMIFS(BD!$M$3:$M$5001,BD!$B$3:$B$5001,K$149,BD!$A$3:$A$5001,_xlfn.MAXIFS(BD!$A$3:$A$5001,BD!$B$3:$B$5001,K$149,BD!$A$3:$A$5001,"&gt;="&amp;$C$7,BD!$A$3:$A$5001,"&lt;="&amp;$B153,BD!$M$3:$M$5001,"&lt;&gt;"))))</f>
        <v/>
      </c>
      <c r="L153" s="43" t="str">
        <f>IF(OR($B153="",$A153&gt;$B$9,L$149=""),"",IF(COUNTIFS(BD!$B$3:$B$5001,L$149,BD!$A$3:$A$5001,"&gt;="&amp;$C$7,BD!$A$3:$A$5001,"&lt;="&amp;$B153,BD!$M$3:$M$5001,"&lt;&gt;")=0,"",SUMIFS(BD!$M$3:$M$5001,BD!$B$3:$B$5001,L$149,BD!$A$3:$A$5001,_xlfn.MAXIFS(BD!$A$3:$A$5001,BD!$B$3:$B$5001,L$149,BD!$A$3:$A$5001,"&gt;="&amp;$C$7,BD!$A$3:$A$5001,"&lt;="&amp;$B153,BD!$M$3:$M$5001,"&lt;&gt;"))))</f>
        <v/>
      </c>
      <c r="M153" s="43" t="str">
        <f>IF(OR($B153="",$A153&gt;$B$9,M$149=""),"",IF(COUNTIFS(BD!$B$3:$B$5001,M$149,BD!$A$3:$A$5001,"&gt;="&amp;$C$7,BD!$A$3:$A$5001,"&lt;="&amp;$B153,BD!$M$3:$M$5001,"&lt;&gt;")=0,"",SUMIFS(BD!$M$3:$M$5001,BD!$B$3:$B$5001,M$149,BD!$A$3:$A$5001,_xlfn.MAXIFS(BD!$A$3:$A$5001,BD!$B$3:$B$5001,M$149,BD!$A$3:$A$5001,"&gt;="&amp;$C$7,BD!$A$3:$A$5001,"&lt;="&amp;$B153,BD!$M$3:$M$5001,"&lt;&gt;"))))</f>
        <v/>
      </c>
      <c r="N153" s="43" t="str">
        <f>IF(OR($B153="",$A153&gt;$B$9,N$149=""),"",IF(COUNTIFS(BD!$B$3:$B$5001,N$149,BD!$A$3:$A$5001,"&gt;="&amp;$C$7,BD!$A$3:$A$5001,"&lt;="&amp;$B153,BD!$M$3:$M$5001,"&lt;&gt;")=0,"",SUMIFS(BD!$M$3:$M$5001,BD!$B$3:$B$5001,N$149,BD!$A$3:$A$5001,_xlfn.MAXIFS(BD!$A$3:$A$5001,BD!$B$3:$B$5001,N$149,BD!$A$3:$A$5001,"&gt;="&amp;$C$7,BD!$A$3:$A$5001,"&lt;="&amp;$B153,BD!$M$3:$M$5001,"&lt;&gt;"))))</f>
        <v/>
      </c>
      <c r="O153" s="43" t="str">
        <f>IF(OR($B153="",$A153&gt;$B$9,O$149=""),"",IF(COUNTIFS(BD!$B$3:$B$5001,O$149,BD!$A$3:$A$5001,"&gt;="&amp;$C$7,BD!$A$3:$A$5001,"&lt;="&amp;$B153,BD!$M$3:$M$5001,"&lt;&gt;")=0,"",SUMIFS(BD!$M$3:$M$5001,BD!$B$3:$B$5001,O$149,BD!$A$3:$A$5001,_xlfn.MAXIFS(BD!$A$3:$A$5001,BD!$B$3:$B$5001,O$149,BD!$A$3:$A$5001,"&gt;="&amp;$C$7,BD!$A$3:$A$5001,"&lt;="&amp;$B153,BD!$M$3:$M$5001,"&lt;&gt;"))))</f>
        <v/>
      </c>
      <c r="P153" s="43" t="str">
        <f>IF(OR($B153="",$A153&gt;$B$9,P$149=""),"",IF(COUNTIFS(BD!$B$3:$B$5001,P$149,BD!$A$3:$A$5001,"&gt;="&amp;$C$7,BD!$A$3:$A$5001,"&lt;="&amp;$B153,BD!$M$3:$M$5001,"&lt;&gt;")=0,"",SUMIFS(BD!$M$3:$M$5001,BD!$B$3:$B$5001,P$149,BD!$A$3:$A$5001,_xlfn.MAXIFS(BD!$A$3:$A$5001,BD!$B$3:$B$5001,P$149,BD!$A$3:$A$5001,"&gt;="&amp;$C$7,BD!$A$3:$A$5001,"&lt;="&amp;$B153,BD!$M$3:$M$5001,"&lt;&gt;"))))</f>
        <v/>
      </c>
      <c r="Q153" s="43" t="str">
        <f>IF(OR($B153="",$A153&gt;$B$9,Q$149=""),"",IF(COUNTIFS(BD!$B$3:$B$5001,Q$149,BD!$A$3:$A$5001,"&gt;="&amp;$C$7,BD!$A$3:$A$5001,"&lt;="&amp;$B153,BD!$M$3:$M$5001,"&lt;&gt;")=0,"",SUMIFS(BD!$M$3:$M$5001,BD!$B$3:$B$5001,Q$149,BD!$A$3:$A$5001,_xlfn.MAXIFS(BD!$A$3:$A$5001,BD!$B$3:$B$5001,Q$149,BD!$A$3:$A$5001,"&gt;="&amp;$C$7,BD!$A$3:$A$5001,"&lt;="&amp;$B153,BD!$M$3:$M$5001,"&lt;&gt;"))))</f>
        <v/>
      </c>
      <c r="R153" s="43" t="str">
        <f>IF(OR($B153="",$A153&gt;$B$9,R$149=""),"",IF(COUNTIFS(BD!$B$3:$B$5001,R$149,BD!$A$3:$A$5001,"&gt;="&amp;$C$7,BD!$A$3:$A$5001,"&lt;="&amp;$B153,BD!$M$3:$M$5001,"&lt;&gt;")=0,"",SUMIFS(BD!$M$3:$M$5001,BD!$B$3:$B$5001,R$149,BD!$A$3:$A$5001,_xlfn.MAXIFS(BD!$A$3:$A$5001,BD!$B$3:$B$5001,R$149,BD!$A$3:$A$5001,"&gt;="&amp;$C$7,BD!$A$3:$A$5001,"&lt;="&amp;$B153,BD!$M$3:$M$5001,"&lt;&gt;"))))</f>
        <v/>
      </c>
      <c r="S153" s="43" t="str">
        <f>IF(OR($B153="",$A153&gt;$B$9,S$149=""),"",IF(COUNTIFS(BD!$B$3:$B$5001,S$149,BD!$A$3:$A$5001,"&gt;="&amp;$C$7,BD!$A$3:$A$5001,"&lt;="&amp;$B153,BD!$M$3:$M$5001,"&lt;&gt;")=0,"",SUMIFS(BD!$M$3:$M$5001,BD!$B$3:$B$5001,S$149,BD!$A$3:$A$5001,_xlfn.MAXIFS(BD!$A$3:$A$5001,BD!$B$3:$B$5001,S$149,BD!$A$3:$A$5001,"&gt;="&amp;$C$7,BD!$A$3:$A$5001,"&lt;="&amp;$B153,BD!$M$3:$M$5001,"&lt;&gt;"))))</f>
        <v/>
      </c>
      <c r="T153" s="43" t="str">
        <f>IF(OR($B153="",$A153&gt;$B$9,T$149=""),"",IF(COUNTIFS(BD!$B$3:$B$5001,T$149,BD!$A$3:$A$5001,"&gt;="&amp;$C$7,BD!$A$3:$A$5001,"&lt;="&amp;$B153,BD!$M$3:$M$5001,"&lt;&gt;")=0,"",SUMIFS(BD!$M$3:$M$5001,BD!$B$3:$B$5001,T$149,BD!$A$3:$A$5001,_xlfn.MAXIFS(BD!$A$3:$A$5001,BD!$B$3:$B$5001,T$149,BD!$A$3:$A$5001,"&gt;="&amp;$C$7,BD!$A$3:$A$5001,"&lt;="&amp;$B153,BD!$M$3:$M$5001,"&lt;&gt;"))))</f>
        <v/>
      </c>
      <c r="U153" s="43" t="str">
        <f>IF(OR($B153="",$A153&gt;$B$9,U$149=""),"",IF(COUNTIFS(BD!$B$3:$B$5001,U$149,BD!$A$3:$A$5001,"&gt;="&amp;$C$7,BD!$A$3:$A$5001,"&lt;="&amp;$B153,BD!$M$3:$M$5001,"&lt;&gt;")=0,"",SUMIFS(BD!$M$3:$M$5001,BD!$B$3:$B$5001,U$149,BD!$A$3:$A$5001,_xlfn.MAXIFS(BD!$A$3:$A$5001,BD!$B$3:$B$5001,U$149,BD!$A$3:$A$5001,"&gt;="&amp;$C$7,BD!$A$3:$A$5001,"&lt;="&amp;$B153,BD!$M$3:$M$5001,"&lt;&gt;"))))</f>
        <v/>
      </c>
      <c r="V153" s="43" t="str">
        <f>IF(OR($B153="",$A153&gt;$B$9,V$149=""),"",IF(COUNTIFS(BD!$B$3:$B$5001,V$149,BD!$A$3:$A$5001,"&gt;="&amp;$C$7,BD!$A$3:$A$5001,"&lt;="&amp;$B153,BD!$M$3:$M$5001,"&lt;&gt;")=0,"",SUMIFS(BD!$M$3:$M$5001,BD!$B$3:$B$5001,V$149,BD!$A$3:$A$5001,_xlfn.MAXIFS(BD!$A$3:$A$5001,BD!$B$3:$B$5001,V$149,BD!$A$3:$A$5001,"&gt;="&amp;$C$7,BD!$A$3:$A$5001,"&lt;="&amp;$B153,BD!$M$3:$M$5001,"&lt;&gt;"))))</f>
        <v/>
      </c>
    </row>
    <row r="154">
      <c r="A154" s="38">
        <v>5</v>
      </c>
      <c r="B154" s="42">
        <f>$B$16</f>
        <v>46300</v>
      </c>
      <c r="C154" s="43" t="str">
        <f>IF(OR($B154="",$A154&gt;$B$9,C$149=""),"",IF(COUNTIFS(BD!$B$3:$B$5001,C$149,BD!$A$3:$A$5001,"&gt;="&amp;$C$7,BD!$A$3:$A$5001,"&lt;="&amp;$B154,BD!$M$3:$M$5001,"&lt;&gt;")=0,"",SUMIFS(BD!$M$3:$M$5001,BD!$B$3:$B$5001,C$149,BD!$A$3:$A$5001,_xlfn.MAXIFS(BD!$A$3:$A$5001,BD!$B$3:$B$5001,C$149,BD!$A$3:$A$5001,"&gt;="&amp;$C$7,BD!$A$3:$A$5001,"&lt;="&amp;$B154,BD!$M$3:$M$5001,"&lt;&gt;"))))</f>
        <v/>
      </c>
      <c r="D154" s="43" t="str">
        <f>IF(OR($B154="",$A154&gt;$B$9,D$149=""),"",IF(COUNTIFS(BD!$B$3:$B$5001,D$149,BD!$A$3:$A$5001,"&gt;="&amp;$C$7,BD!$A$3:$A$5001,"&lt;="&amp;$B154,BD!$M$3:$M$5001,"&lt;&gt;")=0,"",SUMIFS(BD!$M$3:$M$5001,BD!$B$3:$B$5001,D$149,BD!$A$3:$A$5001,_xlfn.MAXIFS(BD!$A$3:$A$5001,BD!$B$3:$B$5001,D$149,BD!$A$3:$A$5001,"&gt;="&amp;$C$7,BD!$A$3:$A$5001,"&lt;="&amp;$B154,BD!$M$3:$M$5001,"&lt;&gt;"))))</f>
        <v/>
      </c>
      <c r="E154" s="43" t="str">
        <f>IF(OR($B154="",$A154&gt;$B$9,E$149=""),"",IF(COUNTIFS(BD!$B$3:$B$5001,E$149,BD!$A$3:$A$5001,"&gt;="&amp;$C$7,BD!$A$3:$A$5001,"&lt;="&amp;$B154,BD!$M$3:$M$5001,"&lt;&gt;")=0,"",SUMIFS(BD!$M$3:$M$5001,BD!$B$3:$B$5001,E$149,BD!$A$3:$A$5001,_xlfn.MAXIFS(BD!$A$3:$A$5001,BD!$B$3:$B$5001,E$149,BD!$A$3:$A$5001,"&gt;="&amp;$C$7,BD!$A$3:$A$5001,"&lt;="&amp;$B154,BD!$M$3:$M$5001,"&lt;&gt;"))))</f>
        <v/>
      </c>
      <c r="F154" s="43" t="str">
        <f>IF(OR($B154="",$A154&gt;$B$9,F$149=""),"",IF(COUNTIFS(BD!$B$3:$B$5001,F$149,BD!$A$3:$A$5001,"&gt;="&amp;$C$7,BD!$A$3:$A$5001,"&lt;="&amp;$B154,BD!$M$3:$M$5001,"&lt;&gt;")=0,"",SUMIFS(BD!$M$3:$M$5001,BD!$B$3:$B$5001,F$149,BD!$A$3:$A$5001,_xlfn.MAXIFS(BD!$A$3:$A$5001,BD!$B$3:$B$5001,F$149,BD!$A$3:$A$5001,"&gt;="&amp;$C$7,BD!$A$3:$A$5001,"&lt;="&amp;$B154,BD!$M$3:$M$5001,"&lt;&gt;"))))</f>
        <v/>
      </c>
      <c r="G154" s="43" t="str">
        <f>IF(OR($B154="",$A154&gt;$B$9,G$149=""),"",IF(COUNTIFS(BD!$B$3:$B$5001,G$149,BD!$A$3:$A$5001,"&gt;="&amp;$C$7,BD!$A$3:$A$5001,"&lt;="&amp;$B154,BD!$M$3:$M$5001,"&lt;&gt;")=0,"",SUMIFS(BD!$M$3:$M$5001,BD!$B$3:$B$5001,G$149,BD!$A$3:$A$5001,_xlfn.MAXIFS(BD!$A$3:$A$5001,BD!$B$3:$B$5001,G$149,BD!$A$3:$A$5001,"&gt;="&amp;$C$7,BD!$A$3:$A$5001,"&lt;="&amp;$B154,BD!$M$3:$M$5001,"&lt;&gt;"))))</f>
        <v/>
      </c>
      <c r="H154" s="43" t="str">
        <f>IF(OR($B154="",$A154&gt;$B$9,H$149=""),"",IF(COUNTIFS(BD!$B$3:$B$5001,H$149,BD!$A$3:$A$5001,"&gt;="&amp;$C$7,BD!$A$3:$A$5001,"&lt;="&amp;$B154,BD!$M$3:$M$5001,"&lt;&gt;")=0,"",SUMIFS(BD!$M$3:$M$5001,BD!$B$3:$B$5001,H$149,BD!$A$3:$A$5001,_xlfn.MAXIFS(BD!$A$3:$A$5001,BD!$B$3:$B$5001,H$149,BD!$A$3:$A$5001,"&gt;="&amp;$C$7,BD!$A$3:$A$5001,"&lt;="&amp;$B154,BD!$M$3:$M$5001,"&lt;&gt;"))))</f>
        <v/>
      </c>
      <c r="I154" s="43" t="str">
        <f>IF(OR($B154="",$A154&gt;$B$9,I$149=""),"",IF(COUNTIFS(BD!$B$3:$B$5001,I$149,BD!$A$3:$A$5001,"&gt;="&amp;$C$7,BD!$A$3:$A$5001,"&lt;="&amp;$B154,BD!$M$3:$M$5001,"&lt;&gt;")=0,"",SUMIFS(BD!$M$3:$M$5001,BD!$B$3:$B$5001,I$149,BD!$A$3:$A$5001,_xlfn.MAXIFS(BD!$A$3:$A$5001,BD!$B$3:$B$5001,I$149,BD!$A$3:$A$5001,"&gt;="&amp;$C$7,BD!$A$3:$A$5001,"&lt;="&amp;$B154,BD!$M$3:$M$5001,"&lt;&gt;"))))</f>
        <v/>
      </c>
      <c r="J154" s="43" t="str">
        <f>IF(OR($B154="",$A154&gt;$B$9,J$149=""),"",IF(COUNTIFS(BD!$B$3:$B$5001,J$149,BD!$A$3:$A$5001,"&gt;="&amp;$C$7,BD!$A$3:$A$5001,"&lt;="&amp;$B154,BD!$M$3:$M$5001,"&lt;&gt;")=0,"",SUMIFS(BD!$M$3:$M$5001,BD!$B$3:$B$5001,J$149,BD!$A$3:$A$5001,_xlfn.MAXIFS(BD!$A$3:$A$5001,BD!$B$3:$B$5001,J$149,BD!$A$3:$A$5001,"&gt;="&amp;$C$7,BD!$A$3:$A$5001,"&lt;="&amp;$B154,BD!$M$3:$M$5001,"&lt;&gt;"))))</f>
        <v/>
      </c>
      <c r="K154" s="43" t="str">
        <f>IF(OR($B154="",$A154&gt;$B$9,K$149=""),"",IF(COUNTIFS(BD!$B$3:$B$5001,K$149,BD!$A$3:$A$5001,"&gt;="&amp;$C$7,BD!$A$3:$A$5001,"&lt;="&amp;$B154,BD!$M$3:$M$5001,"&lt;&gt;")=0,"",SUMIFS(BD!$M$3:$M$5001,BD!$B$3:$B$5001,K$149,BD!$A$3:$A$5001,_xlfn.MAXIFS(BD!$A$3:$A$5001,BD!$B$3:$B$5001,K$149,BD!$A$3:$A$5001,"&gt;="&amp;$C$7,BD!$A$3:$A$5001,"&lt;="&amp;$B154,BD!$M$3:$M$5001,"&lt;&gt;"))))</f>
        <v/>
      </c>
      <c r="L154" s="43" t="str">
        <f>IF(OR($B154="",$A154&gt;$B$9,L$149=""),"",IF(COUNTIFS(BD!$B$3:$B$5001,L$149,BD!$A$3:$A$5001,"&gt;="&amp;$C$7,BD!$A$3:$A$5001,"&lt;="&amp;$B154,BD!$M$3:$M$5001,"&lt;&gt;")=0,"",SUMIFS(BD!$M$3:$M$5001,BD!$B$3:$B$5001,L$149,BD!$A$3:$A$5001,_xlfn.MAXIFS(BD!$A$3:$A$5001,BD!$B$3:$B$5001,L$149,BD!$A$3:$A$5001,"&gt;="&amp;$C$7,BD!$A$3:$A$5001,"&lt;="&amp;$B154,BD!$M$3:$M$5001,"&lt;&gt;"))))</f>
        <v/>
      </c>
      <c r="M154" s="43" t="str">
        <f>IF(OR($B154="",$A154&gt;$B$9,M$149=""),"",IF(COUNTIFS(BD!$B$3:$B$5001,M$149,BD!$A$3:$A$5001,"&gt;="&amp;$C$7,BD!$A$3:$A$5001,"&lt;="&amp;$B154,BD!$M$3:$M$5001,"&lt;&gt;")=0,"",SUMIFS(BD!$M$3:$M$5001,BD!$B$3:$B$5001,M$149,BD!$A$3:$A$5001,_xlfn.MAXIFS(BD!$A$3:$A$5001,BD!$B$3:$B$5001,M$149,BD!$A$3:$A$5001,"&gt;="&amp;$C$7,BD!$A$3:$A$5001,"&lt;="&amp;$B154,BD!$M$3:$M$5001,"&lt;&gt;"))))</f>
        <v/>
      </c>
      <c r="N154" s="43" t="str">
        <f>IF(OR($B154="",$A154&gt;$B$9,N$149=""),"",IF(COUNTIFS(BD!$B$3:$B$5001,N$149,BD!$A$3:$A$5001,"&gt;="&amp;$C$7,BD!$A$3:$A$5001,"&lt;="&amp;$B154,BD!$M$3:$M$5001,"&lt;&gt;")=0,"",SUMIFS(BD!$M$3:$M$5001,BD!$B$3:$B$5001,N$149,BD!$A$3:$A$5001,_xlfn.MAXIFS(BD!$A$3:$A$5001,BD!$B$3:$B$5001,N$149,BD!$A$3:$A$5001,"&gt;="&amp;$C$7,BD!$A$3:$A$5001,"&lt;="&amp;$B154,BD!$M$3:$M$5001,"&lt;&gt;"))))</f>
        <v/>
      </c>
      <c r="O154" s="43" t="str">
        <f>IF(OR($B154="",$A154&gt;$B$9,O$149=""),"",IF(COUNTIFS(BD!$B$3:$B$5001,O$149,BD!$A$3:$A$5001,"&gt;="&amp;$C$7,BD!$A$3:$A$5001,"&lt;="&amp;$B154,BD!$M$3:$M$5001,"&lt;&gt;")=0,"",SUMIFS(BD!$M$3:$M$5001,BD!$B$3:$B$5001,O$149,BD!$A$3:$A$5001,_xlfn.MAXIFS(BD!$A$3:$A$5001,BD!$B$3:$B$5001,O$149,BD!$A$3:$A$5001,"&gt;="&amp;$C$7,BD!$A$3:$A$5001,"&lt;="&amp;$B154,BD!$M$3:$M$5001,"&lt;&gt;"))))</f>
        <v/>
      </c>
      <c r="P154" s="43" t="str">
        <f>IF(OR($B154="",$A154&gt;$B$9,P$149=""),"",IF(COUNTIFS(BD!$B$3:$B$5001,P$149,BD!$A$3:$A$5001,"&gt;="&amp;$C$7,BD!$A$3:$A$5001,"&lt;="&amp;$B154,BD!$M$3:$M$5001,"&lt;&gt;")=0,"",SUMIFS(BD!$M$3:$M$5001,BD!$B$3:$B$5001,P$149,BD!$A$3:$A$5001,_xlfn.MAXIFS(BD!$A$3:$A$5001,BD!$B$3:$B$5001,P$149,BD!$A$3:$A$5001,"&gt;="&amp;$C$7,BD!$A$3:$A$5001,"&lt;="&amp;$B154,BD!$M$3:$M$5001,"&lt;&gt;"))))</f>
        <v/>
      </c>
      <c r="Q154" s="43" t="str">
        <f>IF(OR($B154="",$A154&gt;$B$9,Q$149=""),"",IF(COUNTIFS(BD!$B$3:$B$5001,Q$149,BD!$A$3:$A$5001,"&gt;="&amp;$C$7,BD!$A$3:$A$5001,"&lt;="&amp;$B154,BD!$M$3:$M$5001,"&lt;&gt;")=0,"",SUMIFS(BD!$M$3:$M$5001,BD!$B$3:$B$5001,Q$149,BD!$A$3:$A$5001,_xlfn.MAXIFS(BD!$A$3:$A$5001,BD!$B$3:$B$5001,Q$149,BD!$A$3:$A$5001,"&gt;="&amp;$C$7,BD!$A$3:$A$5001,"&lt;="&amp;$B154,BD!$M$3:$M$5001,"&lt;&gt;"))))</f>
        <v/>
      </c>
      <c r="R154" s="43" t="str">
        <f>IF(OR($B154="",$A154&gt;$B$9,R$149=""),"",IF(COUNTIFS(BD!$B$3:$B$5001,R$149,BD!$A$3:$A$5001,"&gt;="&amp;$C$7,BD!$A$3:$A$5001,"&lt;="&amp;$B154,BD!$M$3:$M$5001,"&lt;&gt;")=0,"",SUMIFS(BD!$M$3:$M$5001,BD!$B$3:$B$5001,R$149,BD!$A$3:$A$5001,_xlfn.MAXIFS(BD!$A$3:$A$5001,BD!$B$3:$B$5001,R$149,BD!$A$3:$A$5001,"&gt;="&amp;$C$7,BD!$A$3:$A$5001,"&lt;="&amp;$B154,BD!$M$3:$M$5001,"&lt;&gt;"))))</f>
        <v/>
      </c>
      <c r="S154" s="43" t="str">
        <f>IF(OR($B154="",$A154&gt;$B$9,S$149=""),"",IF(COUNTIFS(BD!$B$3:$B$5001,S$149,BD!$A$3:$A$5001,"&gt;="&amp;$C$7,BD!$A$3:$A$5001,"&lt;="&amp;$B154,BD!$M$3:$M$5001,"&lt;&gt;")=0,"",SUMIFS(BD!$M$3:$M$5001,BD!$B$3:$B$5001,S$149,BD!$A$3:$A$5001,_xlfn.MAXIFS(BD!$A$3:$A$5001,BD!$B$3:$B$5001,S$149,BD!$A$3:$A$5001,"&gt;="&amp;$C$7,BD!$A$3:$A$5001,"&lt;="&amp;$B154,BD!$M$3:$M$5001,"&lt;&gt;"))))</f>
        <v/>
      </c>
      <c r="T154" s="43" t="str">
        <f>IF(OR($B154="",$A154&gt;$B$9,T$149=""),"",IF(COUNTIFS(BD!$B$3:$B$5001,T$149,BD!$A$3:$A$5001,"&gt;="&amp;$C$7,BD!$A$3:$A$5001,"&lt;="&amp;$B154,BD!$M$3:$M$5001,"&lt;&gt;")=0,"",SUMIFS(BD!$M$3:$M$5001,BD!$B$3:$B$5001,T$149,BD!$A$3:$A$5001,_xlfn.MAXIFS(BD!$A$3:$A$5001,BD!$B$3:$B$5001,T$149,BD!$A$3:$A$5001,"&gt;="&amp;$C$7,BD!$A$3:$A$5001,"&lt;="&amp;$B154,BD!$M$3:$M$5001,"&lt;&gt;"))))</f>
        <v/>
      </c>
      <c r="U154" s="43" t="str">
        <f>IF(OR($B154="",$A154&gt;$B$9,U$149=""),"",IF(COUNTIFS(BD!$B$3:$B$5001,U$149,BD!$A$3:$A$5001,"&gt;="&amp;$C$7,BD!$A$3:$A$5001,"&lt;="&amp;$B154,BD!$M$3:$M$5001,"&lt;&gt;")=0,"",SUMIFS(BD!$M$3:$M$5001,BD!$B$3:$B$5001,U$149,BD!$A$3:$A$5001,_xlfn.MAXIFS(BD!$A$3:$A$5001,BD!$B$3:$B$5001,U$149,BD!$A$3:$A$5001,"&gt;="&amp;$C$7,BD!$A$3:$A$5001,"&lt;="&amp;$B154,BD!$M$3:$M$5001,"&lt;&gt;"))))</f>
        <v/>
      </c>
      <c r="V154" s="43" t="str">
        <f>IF(OR($B154="",$A154&gt;$B$9,V$149=""),"",IF(COUNTIFS(BD!$B$3:$B$5001,V$149,BD!$A$3:$A$5001,"&gt;="&amp;$C$7,BD!$A$3:$A$5001,"&lt;="&amp;$B154,BD!$M$3:$M$5001,"&lt;&gt;")=0,"",SUMIFS(BD!$M$3:$M$5001,BD!$B$3:$B$5001,V$149,BD!$A$3:$A$5001,_xlfn.MAXIFS(BD!$A$3:$A$5001,BD!$B$3:$B$5001,V$149,BD!$A$3:$A$5001,"&gt;="&amp;$C$7,BD!$A$3:$A$5001,"&lt;="&amp;$B154,BD!$M$3:$M$5001,"&lt;&gt;"))))</f>
        <v/>
      </c>
    </row>
    <row r="155">
      <c r="A155" s="38">
        <v>6</v>
      </c>
      <c r="B155" s="42">
        <f>$B$17</f>
        <v>46301</v>
      </c>
      <c r="C155" s="43" t="str">
        <f>IF(OR($B155="",$A155&gt;$B$9,C$149=""),"",IF(COUNTIFS(BD!$B$3:$B$5001,C$149,BD!$A$3:$A$5001,"&gt;="&amp;$C$7,BD!$A$3:$A$5001,"&lt;="&amp;$B155,BD!$M$3:$M$5001,"&lt;&gt;")=0,"",SUMIFS(BD!$M$3:$M$5001,BD!$B$3:$B$5001,C$149,BD!$A$3:$A$5001,_xlfn.MAXIFS(BD!$A$3:$A$5001,BD!$B$3:$B$5001,C$149,BD!$A$3:$A$5001,"&gt;="&amp;$C$7,BD!$A$3:$A$5001,"&lt;="&amp;$B155,BD!$M$3:$M$5001,"&lt;&gt;"))))</f>
        <v/>
      </c>
      <c r="D155" s="43" t="str">
        <f>IF(OR($B155="",$A155&gt;$B$9,D$149=""),"",IF(COUNTIFS(BD!$B$3:$B$5001,D$149,BD!$A$3:$A$5001,"&gt;="&amp;$C$7,BD!$A$3:$A$5001,"&lt;="&amp;$B155,BD!$M$3:$M$5001,"&lt;&gt;")=0,"",SUMIFS(BD!$M$3:$M$5001,BD!$B$3:$B$5001,D$149,BD!$A$3:$A$5001,_xlfn.MAXIFS(BD!$A$3:$A$5001,BD!$B$3:$B$5001,D$149,BD!$A$3:$A$5001,"&gt;="&amp;$C$7,BD!$A$3:$A$5001,"&lt;="&amp;$B155,BD!$M$3:$M$5001,"&lt;&gt;"))))</f>
        <v/>
      </c>
      <c r="E155" s="43" t="str">
        <f>IF(OR($B155="",$A155&gt;$B$9,E$149=""),"",IF(COUNTIFS(BD!$B$3:$B$5001,E$149,BD!$A$3:$A$5001,"&gt;="&amp;$C$7,BD!$A$3:$A$5001,"&lt;="&amp;$B155,BD!$M$3:$M$5001,"&lt;&gt;")=0,"",SUMIFS(BD!$M$3:$M$5001,BD!$B$3:$B$5001,E$149,BD!$A$3:$A$5001,_xlfn.MAXIFS(BD!$A$3:$A$5001,BD!$B$3:$B$5001,E$149,BD!$A$3:$A$5001,"&gt;="&amp;$C$7,BD!$A$3:$A$5001,"&lt;="&amp;$B155,BD!$M$3:$M$5001,"&lt;&gt;"))))</f>
        <v/>
      </c>
      <c r="F155" s="43" t="str">
        <f>IF(OR($B155="",$A155&gt;$B$9,F$149=""),"",IF(COUNTIFS(BD!$B$3:$B$5001,F$149,BD!$A$3:$A$5001,"&gt;="&amp;$C$7,BD!$A$3:$A$5001,"&lt;="&amp;$B155,BD!$M$3:$M$5001,"&lt;&gt;")=0,"",SUMIFS(BD!$M$3:$M$5001,BD!$B$3:$B$5001,F$149,BD!$A$3:$A$5001,_xlfn.MAXIFS(BD!$A$3:$A$5001,BD!$B$3:$B$5001,F$149,BD!$A$3:$A$5001,"&gt;="&amp;$C$7,BD!$A$3:$A$5001,"&lt;="&amp;$B155,BD!$M$3:$M$5001,"&lt;&gt;"))))</f>
        <v/>
      </c>
      <c r="G155" s="43" t="str">
        <f>IF(OR($B155="",$A155&gt;$B$9,G$149=""),"",IF(COUNTIFS(BD!$B$3:$B$5001,G$149,BD!$A$3:$A$5001,"&gt;="&amp;$C$7,BD!$A$3:$A$5001,"&lt;="&amp;$B155,BD!$M$3:$M$5001,"&lt;&gt;")=0,"",SUMIFS(BD!$M$3:$M$5001,BD!$B$3:$B$5001,G$149,BD!$A$3:$A$5001,_xlfn.MAXIFS(BD!$A$3:$A$5001,BD!$B$3:$B$5001,G$149,BD!$A$3:$A$5001,"&gt;="&amp;$C$7,BD!$A$3:$A$5001,"&lt;="&amp;$B155,BD!$M$3:$M$5001,"&lt;&gt;"))))</f>
        <v/>
      </c>
      <c r="H155" s="43" t="str">
        <f>IF(OR($B155="",$A155&gt;$B$9,H$149=""),"",IF(COUNTIFS(BD!$B$3:$B$5001,H$149,BD!$A$3:$A$5001,"&gt;="&amp;$C$7,BD!$A$3:$A$5001,"&lt;="&amp;$B155,BD!$M$3:$M$5001,"&lt;&gt;")=0,"",SUMIFS(BD!$M$3:$M$5001,BD!$B$3:$B$5001,H$149,BD!$A$3:$A$5001,_xlfn.MAXIFS(BD!$A$3:$A$5001,BD!$B$3:$B$5001,H$149,BD!$A$3:$A$5001,"&gt;="&amp;$C$7,BD!$A$3:$A$5001,"&lt;="&amp;$B155,BD!$M$3:$M$5001,"&lt;&gt;"))))</f>
        <v/>
      </c>
      <c r="I155" s="43" t="str">
        <f>IF(OR($B155="",$A155&gt;$B$9,I$149=""),"",IF(COUNTIFS(BD!$B$3:$B$5001,I$149,BD!$A$3:$A$5001,"&gt;="&amp;$C$7,BD!$A$3:$A$5001,"&lt;="&amp;$B155,BD!$M$3:$M$5001,"&lt;&gt;")=0,"",SUMIFS(BD!$M$3:$M$5001,BD!$B$3:$B$5001,I$149,BD!$A$3:$A$5001,_xlfn.MAXIFS(BD!$A$3:$A$5001,BD!$B$3:$B$5001,I$149,BD!$A$3:$A$5001,"&gt;="&amp;$C$7,BD!$A$3:$A$5001,"&lt;="&amp;$B155,BD!$M$3:$M$5001,"&lt;&gt;"))))</f>
        <v/>
      </c>
      <c r="J155" s="43" t="str">
        <f>IF(OR($B155="",$A155&gt;$B$9,J$149=""),"",IF(COUNTIFS(BD!$B$3:$B$5001,J$149,BD!$A$3:$A$5001,"&gt;="&amp;$C$7,BD!$A$3:$A$5001,"&lt;="&amp;$B155,BD!$M$3:$M$5001,"&lt;&gt;")=0,"",SUMIFS(BD!$M$3:$M$5001,BD!$B$3:$B$5001,J$149,BD!$A$3:$A$5001,_xlfn.MAXIFS(BD!$A$3:$A$5001,BD!$B$3:$B$5001,J$149,BD!$A$3:$A$5001,"&gt;="&amp;$C$7,BD!$A$3:$A$5001,"&lt;="&amp;$B155,BD!$M$3:$M$5001,"&lt;&gt;"))))</f>
        <v/>
      </c>
      <c r="K155" s="43" t="str">
        <f>IF(OR($B155="",$A155&gt;$B$9,K$149=""),"",IF(COUNTIFS(BD!$B$3:$B$5001,K$149,BD!$A$3:$A$5001,"&gt;="&amp;$C$7,BD!$A$3:$A$5001,"&lt;="&amp;$B155,BD!$M$3:$M$5001,"&lt;&gt;")=0,"",SUMIFS(BD!$M$3:$M$5001,BD!$B$3:$B$5001,K$149,BD!$A$3:$A$5001,_xlfn.MAXIFS(BD!$A$3:$A$5001,BD!$B$3:$B$5001,K$149,BD!$A$3:$A$5001,"&gt;="&amp;$C$7,BD!$A$3:$A$5001,"&lt;="&amp;$B155,BD!$M$3:$M$5001,"&lt;&gt;"))))</f>
        <v/>
      </c>
      <c r="L155" s="43" t="str">
        <f>IF(OR($B155="",$A155&gt;$B$9,L$149=""),"",IF(COUNTIFS(BD!$B$3:$B$5001,L$149,BD!$A$3:$A$5001,"&gt;="&amp;$C$7,BD!$A$3:$A$5001,"&lt;="&amp;$B155,BD!$M$3:$M$5001,"&lt;&gt;")=0,"",SUMIFS(BD!$M$3:$M$5001,BD!$B$3:$B$5001,L$149,BD!$A$3:$A$5001,_xlfn.MAXIFS(BD!$A$3:$A$5001,BD!$B$3:$B$5001,L$149,BD!$A$3:$A$5001,"&gt;="&amp;$C$7,BD!$A$3:$A$5001,"&lt;="&amp;$B155,BD!$M$3:$M$5001,"&lt;&gt;"))))</f>
        <v/>
      </c>
      <c r="M155" s="43" t="str">
        <f>IF(OR($B155="",$A155&gt;$B$9,M$149=""),"",IF(COUNTIFS(BD!$B$3:$B$5001,M$149,BD!$A$3:$A$5001,"&gt;="&amp;$C$7,BD!$A$3:$A$5001,"&lt;="&amp;$B155,BD!$M$3:$M$5001,"&lt;&gt;")=0,"",SUMIFS(BD!$M$3:$M$5001,BD!$B$3:$B$5001,M$149,BD!$A$3:$A$5001,_xlfn.MAXIFS(BD!$A$3:$A$5001,BD!$B$3:$B$5001,M$149,BD!$A$3:$A$5001,"&gt;="&amp;$C$7,BD!$A$3:$A$5001,"&lt;="&amp;$B155,BD!$M$3:$M$5001,"&lt;&gt;"))))</f>
        <v/>
      </c>
      <c r="N155" s="43" t="str">
        <f>IF(OR($B155="",$A155&gt;$B$9,N$149=""),"",IF(COUNTIFS(BD!$B$3:$B$5001,N$149,BD!$A$3:$A$5001,"&gt;="&amp;$C$7,BD!$A$3:$A$5001,"&lt;="&amp;$B155,BD!$M$3:$M$5001,"&lt;&gt;")=0,"",SUMIFS(BD!$M$3:$M$5001,BD!$B$3:$B$5001,N$149,BD!$A$3:$A$5001,_xlfn.MAXIFS(BD!$A$3:$A$5001,BD!$B$3:$B$5001,N$149,BD!$A$3:$A$5001,"&gt;="&amp;$C$7,BD!$A$3:$A$5001,"&lt;="&amp;$B155,BD!$M$3:$M$5001,"&lt;&gt;"))))</f>
        <v/>
      </c>
      <c r="O155" s="43" t="str">
        <f>IF(OR($B155="",$A155&gt;$B$9,O$149=""),"",IF(COUNTIFS(BD!$B$3:$B$5001,O$149,BD!$A$3:$A$5001,"&gt;="&amp;$C$7,BD!$A$3:$A$5001,"&lt;="&amp;$B155,BD!$M$3:$M$5001,"&lt;&gt;")=0,"",SUMIFS(BD!$M$3:$M$5001,BD!$B$3:$B$5001,O$149,BD!$A$3:$A$5001,_xlfn.MAXIFS(BD!$A$3:$A$5001,BD!$B$3:$B$5001,O$149,BD!$A$3:$A$5001,"&gt;="&amp;$C$7,BD!$A$3:$A$5001,"&lt;="&amp;$B155,BD!$M$3:$M$5001,"&lt;&gt;"))))</f>
        <v/>
      </c>
      <c r="P155" s="43" t="str">
        <f>IF(OR($B155="",$A155&gt;$B$9,P$149=""),"",IF(COUNTIFS(BD!$B$3:$B$5001,P$149,BD!$A$3:$A$5001,"&gt;="&amp;$C$7,BD!$A$3:$A$5001,"&lt;="&amp;$B155,BD!$M$3:$M$5001,"&lt;&gt;")=0,"",SUMIFS(BD!$M$3:$M$5001,BD!$B$3:$B$5001,P$149,BD!$A$3:$A$5001,_xlfn.MAXIFS(BD!$A$3:$A$5001,BD!$B$3:$B$5001,P$149,BD!$A$3:$A$5001,"&gt;="&amp;$C$7,BD!$A$3:$A$5001,"&lt;="&amp;$B155,BD!$M$3:$M$5001,"&lt;&gt;"))))</f>
        <v/>
      </c>
      <c r="Q155" s="43" t="str">
        <f>IF(OR($B155="",$A155&gt;$B$9,Q$149=""),"",IF(COUNTIFS(BD!$B$3:$B$5001,Q$149,BD!$A$3:$A$5001,"&gt;="&amp;$C$7,BD!$A$3:$A$5001,"&lt;="&amp;$B155,BD!$M$3:$M$5001,"&lt;&gt;")=0,"",SUMIFS(BD!$M$3:$M$5001,BD!$B$3:$B$5001,Q$149,BD!$A$3:$A$5001,_xlfn.MAXIFS(BD!$A$3:$A$5001,BD!$B$3:$B$5001,Q$149,BD!$A$3:$A$5001,"&gt;="&amp;$C$7,BD!$A$3:$A$5001,"&lt;="&amp;$B155,BD!$M$3:$M$5001,"&lt;&gt;"))))</f>
        <v/>
      </c>
      <c r="R155" s="43" t="str">
        <f>IF(OR($B155="",$A155&gt;$B$9,R$149=""),"",IF(COUNTIFS(BD!$B$3:$B$5001,R$149,BD!$A$3:$A$5001,"&gt;="&amp;$C$7,BD!$A$3:$A$5001,"&lt;="&amp;$B155,BD!$M$3:$M$5001,"&lt;&gt;")=0,"",SUMIFS(BD!$M$3:$M$5001,BD!$B$3:$B$5001,R$149,BD!$A$3:$A$5001,_xlfn.MAXIFS(BD!$A$3:$A$5001,BD!$B$3:$B$5001,R$149,BD!$A$3:$A$5001,"&gt;="&amp;$C$7,BD!$A$3:$A$5001,"&lt;="&amp;$B155,BD!$M$3:$M$5001,"&lt;&gt;"))))</f>
        <v/>
      </c>
      <c r="S155" s="43" t="str">
        <f>IF(OR($B155="",$A155&gt;$B$9,S$149=""),"",IF(COUNTIFS(BD!$B$3:$B$5001,S$149,BD!$A$3:$A$5001,"&gt;="&amp;$C$7,BD!$A$3:$A$5001,"&lt;="&amp;$B155,BD!$M$3:$M$5001,"&lt;&gt;")=0,"",SUMIFS(BD!$M$3:$M$5001,BD!$B$3:$B$5001,S$149,BD!$A$3:$A$5001,_xlfn.MAXIFS(BD!$A$3:$A$5001,BD!$B$3:$B$5001,S$149,BD!$A$3:$A$5001,"&gt;="&amp;$C$7,BD!$A$3:$A$5001,"&lt;="&amp;$B155,BD!$M$3:$M$5001,"&lt;&gt;"))))</f>
        <v/>
      </c>
      <c r="T155" s="43" t="str">
        <f>IF(OR($B155="",$A155&gt;$B$9,T$149=""),"",IF(COUNTIFS(BD!$B$3:$B$5001,T$149,BD!$A$3:$A$5001,"&gt;="&amp;$C$7,BD!$A$3:$A$5001,"&lt;="&amp;$B155,BD!$M$3:$M$5001,"&lt;&gt;")=0,"",SUMIFS(BD!$M$3:$M$5001,BD!$B$3:$B$5001,T$149,BD!$A$3:$A$5001,_xlfn.MAXIFS(BD!$A$3:$A$5001,BD!$B$3:$B$5001,T$149,BD!$A$3:$A$5001,"&gt;="&amp;$C$7,BD!$A$3:$A$5001,"&lt;="&amp;$B155,BD!$M$3:$M$5001,"&lt;&gt;"))))</f>
        <v/>
      </c>
      <c r="U155" s="43" t="str">
        <f>IF(OR($B155="",$A155&gt;$B$9,U$149=""),"",IF(COUNTIFS(BD!$B$3:$B$5001,U$149,BD!$A$3:$A$5001,"&gt;="&amp;$C$7,BD!$A$3:$A$5001,"&lt;="&amp;$B155,BD!$M$3:$M$5001,"&lt;&gt;")=0,"",SUMIFS(BD!$M$3:$M$5001,BD!$B$3:$B$5001,U$149,BD!$A$3:$A$5001,_xlfn.MAXIFS(BD!$A$3:$A$5001,BD!$B$3:$B$5001,U$149,BD!$A$3:$A$5001,"&gt;="&amp;$C$7,BD!$A$3:$A$5001,"&lt;="&amp;$B155,BD!$M$3:$M$5001,"&lt;&gt;"))))</f>
        <v/>
      </c>
      <c r="V155" s="43" t="str">
        <f>IF(OR($B155="",$A155&gt;$B$9,V$149=""),"",IF(COUNTIFS(BD!$B$3:$B$5001,V$149,BD!$A$3:$A$5001,"&gt;="&amp;$C$7,BD!$A$3:$A$5001,"&lt;="&amp;$B155,BD!$M$3:$M$5001,"&lt;&gt;")=0,"",SUMIFS(BD!$M$3:$M$5001,BD!$B$3:$B$5001,V$149,BD!$A$3:$A$5001,_xlfn.MAXIFS(BD!$A$3:$A$5001,BD!$B$3:$B$5001,V$149,BD!$A$3:$A$5001,"&gt;="&amp;$C$7,BD!$A$3:$A$5001,"&lt;="&amp;$B155,BD!$M$3:$M$5001,"&lt;&gt;"))))</f>
        <v/>
      </c>
    </row>
    <row r="156">
      <c r="A156" s="38">
        <v>7</v>
      </c>
      <c r="B156" s="42">
        <f>$B$18</f>
        <v>46302</v>
      </c>
      <c r="C156" s="43" t="str">
        <f>IF(OR($B156="",$A156&gt;$B$9,C$149=""),"",IF(COUNTIFS(BD!$B$3:$B$5001,C$149,BD!$A$3:$A$5001,"&gt;="&amp;$C$7,BD!$A$3:$A$5001,"&lt;="&amp;$B156,BD!$M$3:$M$5001,"&lt;&gt;")=0,"",SUMIFS(BD!$M$3:$M$5001,BD!$B$3:$B$5001,C$149,BD!$A$3:$A$5001,_xlfn.MAXIFS(BD!$A$3:$A$5001,BD!$B$3:$B$5001,C$149,BD!$A$3:$A$5001,"&gt;="&amp;$C$7,BD!$A$3:$A$5001,"&lt;="&amp;$B156,BD!$M$3:$M$5001,"&lt;&gt;"))))</f>
        <v/>
      </c>
      <c r="D156" s="43" t="str">
        <f>IF(OR($B156="",$A156&gt;$B$9,D$149=""),"",IF(COUNTIFS(BD!$B$3:$B$5001,D$149,BD!$A$3:$A$5001,"&gt;="&amp;$C$7,BD!$A$3:$A$5001,"&lt;="&amp;$B156,BD!$M$3:$M$5001,"&lt;&gt;")=0,"",SUMIFS(BD!$M$3:$M$5001,BD!$B$3:$B$5001,D$149,BD!$A$3:$A$5001,_xlfn.MAXIFS(BD!$A$3:$A$5001,BD!$B$3:$B$5001,D$149,BD!$A$3:$A$5001,"&gt;="&amp;$C$7,BD!$A$3:$A$5001,"&lt;="&amp;$B156,BD!$M$3:$M$5001,"&lt;&gt;"))))</f>
        <v/>
      </c>
      <c r="E156" s="43" t="str">
        <f>IF(OR($B156="",$A156&gt;$B$9,E$149=""),"",IF(COUNTIFS(BD!$B$3:$B$5001,E$149,BD!$A$3:$A$5001,"&gt;="&amp;$C$7,BD!$A$3:$A$5001,"&lt;="&amp;$B156,BD!$M$3:$M$5001,"&lt;&gt;")=0,"",SUMIFS(BD!$M$3:$M$5001,BD!$B$3:$B$5001,E$149,BD!$A$3:$A$5001,_xlfn.MAXIFS(BD!$A$3:$A$5001,BD!$B$3:$B$5001,E$149,BD!$A$3:$A$5001,"&gt;="&amp;$C$7,BD!$A$3:$A$5001,"&lt;="&amp;$B156,BD!$M$3:$M$5001,"&lt;&gt;"))))</f>
        <v/>
      </c>
      <c r="F156" s="43" t="str">
        <f>IF(OR($B156="",$A156&gt;$B$9,F$149=""),"",IF(COUNTIFS(BD!$B$3:$B$5001,F$149,BD!$A$3:$A$5001,"&gt;="&amp;$C$7,BD!$A$3:$A$5001,"&lt;="&amp;$B156,BD!$M$3:$M$5001,"&lt;&gt;")=0,"",SUMIFS(BD!$M$3:$M$5001,BD!$B$3:$B$5001,F$149,BD!$A$3:$A$5001,_xlfn.MAXIFS(BD!$A$3:$A$5001,BD!$B$3:$B$5001,F$149,BD!$A$3:$A$5001,"&gt;="&amp;$C$7,BD!$A$3:$A$5001,"&lt;="&amp;$B156,BD!$M$3:$M$5001,"&lt;&gt;"))))</f>
        <v/>
      </c>
      <c r="G156" s="43" t="str">
        <f>IF(OR($B156="",$A156&gt;$B$9,G$149=""),"",IF(COUNTIFS(BD!$B$3:$B$5001,G$149,BD!$A$3:$A$5001,"&gt;="&amp;$C$7,BD!$A$3:$A$5001,"&lt;="&amp;$B156,BD!$M$3:$M$5001,"&lt;&gt;")=0,"",SUMIFS(BD!$M$3:$M$5001,BD!$B$3:$B$5001,G$149,BD!$A$3:$A$5001,_xlfn.MAXIFS(BD!$A$3:$A$5001,BD!$B$3:$B$5001,G$149,BD!$A$3:$A$5001,"&gt;="&amp;$C$7,BD!$A$3:$A$5001,"&lt;="&amp;$B156,BD!$M$3:$M$5001,"&lt;&gt;"))))</f>
        <v/>
      </c>
      <c r="H156" s="43" t="str">
        <f>IF(OR($B156="",$A156&gt;$B$9,H$149=""),"",IF(COUNTIFS(BD!$B$3:$B$5001,H$149,BD!$A$3:$A$5001,"&gt;="&amp;$C$7,BD!$A$3:$A$5001,"&lt;="&amp;$B156,BD!$M$3:$M$5001,"&lt;&gt;")=0,"",SUMIFS(BD!$M$3:$M$5001,BD!$B$3:$B$5001,H$149,BD!$A$3:$A$5001,_xlfn.MAXIFS(BD!$A$3:$A$5001,BD!$B$3:$B$5001,H$149,BD!$A$3:$A$5001,"&gt;="&amp;$C$7,BD!$A$3:$A$5001,"&lt;="&amp;$B156,BD!$M$3:$M$5001,"&lt;&gt;"))))</f>
        <v/>
      </c>
      <c r="I156" s="43" t="str">
        <f>IF(OR($B156="",$A156&gt;$B$9,I$149=""),"",IF(COUNTIFS(BD!$B$3:$B$5001,I$149,BD!$A$3:$A$5001,"&gt;="&amp;$C$7,BD!$A$3:$A$5001,"&lt;="&amp;$B156,BD!$M$3:$M$5001,"&lt;&gt;")=0,"",SUMIFS(BD!$M$3:$M$5001,BD!$B$3:$B$5001,I$149,BD!$A$3:$A$5001,_xlfn.MAXIFS(BD!$A$3:$A$5001,BD!$B$3:$B$5001,I$149,BD!$A$3:$A$5001,"&gt;="&amp;$C$7,BD!$A$3:$A$5001,"&lt;="&amp;$B156,BD!$M$3:$M$5001,"&lt;&gt;"))))</f>
        <v/>
      </c>
      <c r="J156" s="43" t="str">
        <f>IF(OR($B156="",$A156&gt;$B$9,J$149=""),"",IF(COUNTIFS(BD!$B$3:$B$5001,J$149,BD!$A$3:$A$5001,"&gt;="&amp;$C$7,BD!$A$3:$A$5001,"&lt;="&amp;$B156,BD!$M$3:$M$5001,"&lt;&gt;")=0,"",SUMIFS(BD!$M$3:$M$5001,BD!$B$3:$B$5001,J$149,BD!$A$3:$A$5001,_xlfn.MAXIFS(BD!$A$3:$A$5001,BD!$B$3:$B$5001,J$149,BD!$A$3:$A$5001,"&gt;="&amp;$C$7,BD!$A$3:$A$5001,"&lt;="&amp;$B156,BD!$M$3:$M$5001,"&lt;&gt;"))))</f>
        <v/>
      </c>
      <c r="K156" s="43" t="str">
        <f>IF(OR($B156="",$A156&gt;$B$9,K$149=""),"",IF(COUNTIFS(BD!$B$3:$B$5001,K$149,BD!$A$3:$A$5001,"&gt;="&amp;$C$7,BD!$A$3:$A$5001,"&lt;="&amp;$B156,BD!$M$3:$M$5001,"&lt;&gt;")=0,"",SUMIFS(BD!$M$3:$M$5001,BD!$B$3:$B$5001,K$149,BD!$A$3:$A$5001,_xlfn.MAXIFS(BD!$A$3:$A$5001,BD!$B$3:$B$5001,K$149,BD!$A$3:$A$5001,"&gt;="&amp;$C$7,BD!$A$3:$A$5001,"&lt;="&amp;$B156,BD!$M$3:$M$5001,"&lt;&gt;"))))</f>
        <v/>
      </c>
      <c r="L156" s="43" t="str">
        <f>IF(OR($B156="",$A156&gt;$B$9,L$149=""),"",IF(COUNTIFS(BD!$B$3:$B$5001,L$149,BD!$A$3:$A$5001,"&gt;="&amp;$C$7,BD!$A$3:$A$5001,"&lt;="&amp;$B156,BD!$M$3:$M$5001,"&lt;&gt;")=0,"",SUMIFS(BD!$M$3:$M$5001,BD!$B$3:$B$5001,L$149,BD!$A$3:$A$5001,_xlfn.MAXIFS(BD!$A$3:$A$5001,BD!$B$3:$B$5001,L$149,BD!$A$3:$A$5001,"&gt;="&amp;$C$7,BD!$A$3:$A$5001,"&lt;="&amp;$B156,BD!$M$3:$M$5001,"&lt;&gt;"))))</f>
        <v/>
      </c>
      <c r="M156" s="43" t="str">
        <f>IF(OR($B156="",$A156&gt;$B$9,M$149=""),"",IF(COUNTIFS(BD!$B$3:$B$5001,M$149,BD!$A$3:$A$5001,"&gt;="&amp;$C$7,BD!$A$3:$A$5001,"&lt;="&amp;$B156,BD!$M$3:$M$5001,"&lt;&gt;")=0,"",SUMIFS(BD!$M$3:$M$5001,BD!$B$3:$B$5001,M$149,BD!$A$3:$A$5001,_xlfn.MAXIFS(BD!$A$3:$A$5001,BD!$B$3:$B$5001,M$149,BD!$A$3:$A$5001,"&gt;="&amp;$C$7,BD!$A$3:$A$5001,"&lt;="&amp;$B156,BD!$M$3:$M$5001,"&lt;&gt;"))))</f>
        <v/>
      </c>
      <c r="N156" s="43" t="str">
        <f>IF(OR($B156="",$A156&gt;$B$9,N$149=""),"",IF(COUNTIFS(BD!$B$3:$B$5001,N$149,BD!$A$3:$A$5001,"&gt;="&amp;$C$7,BD!$A$3:$A$5001,"&lt;="&amp;$B156,BD!$M$3:$M$5001,"&lt;&gt;")=0,"",SUMIFS(BD!$M$3:$M$5001,BD!$B$3:$B$5001,N$149,BD!$A$3:$A$5001,_xlfn.MAXIFS(BD!$A$3:$A$5001,BD!$B$3:$B$5001,N$149,BD!$A$3:$A$5001,"&gt;="&amp;$C$7,BD!$A$3:$A$5001,"&lt;="&amp;$B156,BD!$M$3:$M$5001,"&lt;&gt;"))))</f>
        <v/>
      </c>
      <c r="O156" s="43" t="str">
        <f>IF(OR($B156="",$A156&gt;$B$9,O$149=""),"",IF(COUNTIFS(BD!$B$3:$B$5001,O$149,BD!$A$3:$A$5001,"&gt;="&amp;$C$7,BD!$A$3:$A$5001,"&lt;="&amp;$B156,BD!$M$3:$M$5001,"&lt;&gt;")=0,"",SUMIFS(BD!$M$3:$M$5001,BD!$B$3:$B$5001,O$149,BD!$A$3:$A$5001,_xlfn.MAXIFS(BD!$A$3:$A$5001,BD!$B$3:$B$5001,O$149,BD!$A$3:$A$5001,"&gt;="&amp;$C$7,BD!$A$3:$A$5001,"&lt;="&amp;$B156,BD!$M$3:$M$5001,"&lt;&gt;"))))</f>
        <v/>
      </c>
      <c r="P156" s="43" t="str">
        <f>IF(OR($B156="",$A156&gt;$B$9,P$149=""),"",IF(COUNTIFS(BD!$B$3:$B$5001,P$149,BD!$A$3:$A$5001,"&gt;="&amp;$C$7,BD!$A$3:$A$5001,"&lt;="&amp;$B156,BD!$M$3:$M$5001,"&lt;&gt;")=0,"",SUMIFS(BD!$M$3:$M$5001,BD!$B$3:$B$5001,P$149,BD!$A$3:$A$5001,_xlfn.MAXIFS(BD!$A$3:$A$5001,BD!$B$3:$B$5001,P$149,BD!$A$3:$A$5001,"&gt;="&amp;$C$7,BD!$A$3:$A$5001,"&lt;="&amp;$B156,BD!$M$3:$M$5001,"&lt;&gt;"))))</f>
        <v/>
      </c>
      <c r="Q156" s="43" t="str">
        <f>IF(OR($B156="",$A156&gt;$B$9,Q$149=""),"",IF(COUNTIFS(BD!$B$3:$B$5001,Q$149,BD!$A$3:$A$5001,"&gt;="&amp;$C$7,BD!$A$3:$A$5001,"&lt;="&amp;$B156,BD!$M$3:$M$5001,"&lt;&gt;")=0,"",SUMIFS(BD!$M$3:$M$5001,BD!$B$3:$B$5001,Q$149,BD!$A$3:$A$5001,_xlfn.MAXIFS(BD!$A$3:$A$5001,BD!$B$3:$B$5001,Q$149,BD!$A$3:$A$5001,"&gt;="&amp;$C$7,BD!$A$3:$A$5001,"&lt;="&amp;$B156,BD!$M$3:$M$5001,"&lt;&gt;"))))</f>
        <v/>
      </c>
      <c r="R156" s="43" t="str">
        <f>IF(OR($B156="",$A156&gt;$B$9,R$149=""),"",IF(COUNTIFS(BD!$B$3:$B$5001,R$149,BD!$A$3:$A$5001,"&gt;="&amp;$C$7,BD!$A$3:$A$5001,"&lt;="&amp;$B156,BD!$M$3:$M$5001,"&lt;&gt;")=0,"",SUMIFS(BD!$M$3:$M$5001,BD!$B$3:$B$5001,R$149,BD!$A$3:$A$5001,_xlfn.MAXIFS(BD!$A$3:$A$5001,BD!$B$3:$B$5001,R$149,BD!$A$3:$A$5001,"&gt;="&amp;$C$7,BD!$A$3:$A$5001,"&lt;="&amp;$B156,BD!$M$3:$M$5001,"&lt;&gt;"))))</f>
        <v/>
      </c>
      <c r="S156" s="43" t="str">
        <f>IF(OR($B156="",$A156&gt;$B$9,S$149=""),"",IF(COUNTIFS(BD!$B$3:$B$5001,S$149,BD!$A$3:$A$5001,"&gt;="&amp;$C$7,BD!$A$3:$A$5001,"&lt;="&amp;$B156,BD!$M$3:$M$5001,"&lt;&gt;")=0,"",SUMIFS(BD!$M$3:$M$5001,BD!$B$3:$B$5001,S$149,BD!$A$3:$A$5001,_xlfn.MAXIFS(BD!$A$3:$A$5001,BD!$B$3:$B$5001,S$149,BD!$A$3:$A$5001,"&gt;="&amp;$C$7,BD!$A$3:$A$5001,"&lt;="&amp;$B156,BD!$M$3:$M$5001,"&lt;&gt;"))))</f>
        <v/>
      </c>
      <c r="T156" s="43" t="str">
        <f>IF(OR($B156="",$A156&gt;$B$9,T$149=""),"",IF(COUNTIFS(BD!$B$3:$B$5001,T$149,BD!$A$3:$A$5001,"&gt;="&amp;$C$7,BD!$A$3:$A$5001,"&lt;="&amp;$B156,BD!$M$3:$M$5001,"&lt;&gt;")=0,"",SUMIFS(BD!$M$3:$M$5001,BD!$B$3:$B$5001,T$149,BD!$A$3:$A$5001,_xlfn.MAXIFS(BD!$A$3:$A$5001,BD!$B$3:$B$5001,T$149,BD!$A$3:$A$5001,"&gt;="&amp;$C$7,BD!$A$3:$A$5001,"&lt;="&amp;$B156,BD!$M$3:$M$5001,"&lt;&gt;"))))</f>
        <v/>
      </c>
      <c r="U156" s="43" t="str">
        <f>IF(OR($B156="",$A156&gt;$B$9,U$149=""),"",IF(COUNTIFS(BD!$B$3:$B$5001,U$149,BD!$A$3:$A$5001,"&gt;="&amp;$C$7,BD!$A$3:$A$5001,"&lt;="&amp;$B156,BD!$M$3:$M$5001,"&lt;&gt;")=0,"",SUMIFS(BD!$M$3:$M$5001,BD!$B$3:$B$5001,U$149,BD!$A$3:$A$5001,_xlfn.MAXIFS(BD!$A$3:$A$5001,BD!$B$3:$B$5001,U$149,BD!$A$3:$A$5001,"&gt;="&amp;$C$7,BD!$A$3:$A$5001,"&lt;="&amp;$B156,BD!$M$3:$M$5001,"&lt;&gt;"))))</f>
        <v/>
      </c>
      <c r="V156" s="43" t="str">
        <f>IF(OR($B156="",$A156&gt;$B$9,V$149=""),"",IF(COUNTIFS(BD!$B$3:$B$5001,V$149,BD!$A$3:$A$5001,"&gt;="&amp;$C$7,BD!$A$3:$A$5001,"&lt;="&amp;$B156,BD!$M$3:$M$5001,"&lt;&gt;")=0,"",SUMIFS(BD!$M$3:$M$5001,BD!$B$3:$B$5001,V$149,BD!$A$3:$A$5001,_xlfn.MAXIFS(BD!$A$3:$A$5001,BD!$B$3:$B$5001,V$149,BD!$A$3:$A$5001,"&gt;="&amp;$C$7,BD!$A$3:$A$5001,"&lt;="&amp;$B156,BD!$M$3:$M$5001,"&lt;&gt;"))))</f>
        <v/>
      </c>
    </row>
    <row r="157">
      <c r="A157" s="38">
        <v>8</v>
      </c>
      <c r="B157" s="42">
        <f>$B$19</f>
        <v>46303</v>
      </c>
      <c r="C157" s="43" t="str">
        <f>IF(OR($B157="",$A157&gt;$B$9,C$149=""),"",IF(COUNTIFS(BD!$B$3:$B$5001,C$149,BD!$A$3:$A$5001,"&gt;="&amp;$C$7,BD!$A$3:$A$5001,"&lt;="&amp;$B157,BD!$M$3:$M$5001,"&lt;&gt;")=0,"",SUMIFS(BD!$M$3:$M$5001,BD!$B$3:$B$5001,C$149,BD!$A$3:$A$5001,_xlfn.MAXIFS(BD!$A$3:$A$5001,BD!$B$3:$B$5001,C$149,BD!$A$3:$A$5001,"&gt;="&amp;$C$7,BD!$A$3:$A$5001,"&lt;="&amp;$B157,BD!$M$3:$M$5001,"&lt;&gt;"))))</f>
        <v/>
      </c>
      <c r="D157" s="43" t="str">
        <f>IF(OR($B157="",$A157&gt;$B$9,D$149=""),"",IF(COUNTIFS(BD!$B$3:$B$5001,D$149,BD!$A$3:$A$5001,"&gt;="&amp;$C$7,BD!$A$3:$A$5001,"&lt;="&amp;$B157,BD!$M$3:$M$5001,"&lt;&gt;")=0,"",SUMIFS(BD!$M$3:$M$5001,BD!$B$3:$B$5001,D$149,BD!$A$3:$A$5001,_xlfn.MAXIFS(BD!$A$3:$A$5001,BD!$B$3:$B$5001,D$149,BD!$A$3:$A$5001,"&gt;="&amp;$C$7,BD!$A$3:$A$5001,"&lt;="&amp;$B157,BD!$M$3:$M$5001,"&lt;&gt;"))))</f>
        <v/>
      </c>
      <c r="E157" s="43" t="str">
        <f>IF(OR($B157="",$A157&gt;$B$9,E$149=""),"",IF(COUNTIFS(BD!$B$3:$B$5001,E$149,BD!$A$3:$A$5001,"&gt;="&amp;$C$7,BD!$A$3:$A$5001,"&lt;="&amp;$B157,BD!$M$3:$M$5001,"&lt;&gt;")=0,"",SUMIFS(BD!$M$3:$M$5001,BD!$B$3:$B$5001,E$149,BD!$A$3:$A$5001,_xlfn.MAXIFS(BD!$A$3:$A$5001,BD!$B$3:$B$5001,E$149,BD!$A$3:$A$5001,"&gt;="&amp;$C$7,BD!$A$3:$A$5001,"&lt;="&amp;$B157,BD!$M$3:$M$5001,"&lt;&gt;"))))</f>
        <v/>
      </c>
      <c r="F157" s="43" t="str">
        <f>IF(OR($B157="",$A157&gt;$B$9,F$149=""),"",IF(COUNTIFS(BD!$B$3:$B$5001,F$149,BD!$A$3:$A$5001,"&gt;="&amp;$C$7,BD!$A$3:$A$5001,"&lt;="&amp;$B157,BD!$M$3:$M$5001,"&lt;&gt;")=0,"",SUMIFS(BD!$M$3:$M$5001,BD!$B$3:$B$5001,F$149,BD!$A$3:$A$5001,_xlfn.MAXIFS(BD!$A$3:$A$5001,BD!$B$3:$B$5001,F$149,BD!$A$3:$A$5001,"&gt;="&amp;$C$7,BD!$A$3:$A$5001,"&lt;="&amp;$B157,BD!$M$3:$M$5001,"&lt;&gt;"))))</f>
        <v/>
      </c>
      <c r="G157" s="43" t="str">
        <f>IF(OR($B157="",$A157&gt;$B$9,G$149=""),"",IF(COUNTIFS(BD!$B$3:$B$5001,G$149,BD!$A$3:$A$5001,"&gt;="&amp;$C$7,BD!$A$3:$A$5001,"&lt;="&amp;$B157,BD!$M$3:$M$5001,"&lt;&gt;")=0,"",SUMIFS(BD!$M$3:$M$5001,BD!$B$3:$B$5001,G$149,BD!$A$3:$A$5001,_xlfn.MAXIFS(BD!$A$3:$A$5001,BD!$B$3:$B$5001,G$149,BD!$A$3:$A$5001,"&gt;="&amp;$C$7,BD!$A$3:$A$5001,"&lt;="&amp;$B157,BD!$M$3:$M$5001,"&lt;&gt;"))))</f>
        <v/>
      </c>
      <c r="H157" s="43" t="str">
        <f>IF(OR($B157="",$A157&gt;$B$9,H$149=""),"",IF(COUNTIFS(BD!$B$3:$B$5001,H$149,BD!$A$3:$A$5001,"&gt;="&amp;$C$7,BD!$A$3:$A$5001,"&lt;="&amp;$B157,BD!$M$3:$M$5001,"&lt;&gt;")=0,"",SUMIFS(BD!$M$3:$M$5001,BD!$B$3:$B$5001,H$149,BD!$A$3:$A$5001,_xlfn.MAXIFS(BD!$A$3:$A$5001,BD!$B$3:$B$5001,H$149,BD!$A$3:$A$5001,"&gt;="&amp;$C$7,BD!$A$3:$A$5001,"&lt;="&amp;$B157,BD!$M$3:$M$5001,"&lt;&gt;"))))</f>
        <v/>
      </c>
      <c r="I157" s="43" t="str">
        <f>IF(OR($B157="",$A157&gt;$B$9,I$149=""),"",IF(COUNTIFS(BD!$B$3:$B$5001,I$149,BD!$A$3:$A$5001,"&gt;="&amp;$C$7,BD!$A$3:$A$5001,"&lt;="&amp;$B157,BD!$M$3:$M$5001,"&lt;&gt;")=0,"",SUMIFS(BD!$M$3:$M$5001,BD!$B$3:$B$5001,I$149,BD!$A$3:$A$5001,_xlfn.MAXIFS(BD!$A$3:$A$5001,BD!$B$3:$B$5001,I$149,BD!$A$3:$A$5001,"&gt;="&amp;$C$7,BD!$A$3:$A$5001,"&lt;="&amp;$B157,BD!$M$3:$M$5001,"&lt;&gt;"))))</f>
        <v/>
      </c>
      <c r="J157" s="43" t="str">
        <f>IF(OR($B157="",$A157&gt;$B$9,J$149=""),"",IF(COUNTIFS(BD!$B$3:$B$5001,J$149,BD!$A$3:$A$5001,"&gt;="&amp;$C$7,BD!$A$3:$A$5001,"&lt;="&amp;$B157,BD!$M$3:$M$5001,"&lt;&gt;")=0,"",SUMIFS(BD!$M$3:$M$5001,BD!$B$3:$B$5001,J$149,BD!$A$3:$A$5001,_xlfn.MAXIFS(BD!$A$3:$A$5001,BD!$B$3:$B$5001,J$149,BD!$A$3:$A$5001,"&gt;="&amp;$C$7,BD!$A$3:$A$5001,"&lt;="&amp;$B157,BD!$M$3:$M$5001,"&lt;&gt;"))))</f>
        <v/>
      </c>
      <c r="K157" s="43" t="str">
        <f>IF(OR($B157="",$A157&gt;$B$9,K$149=""),"",IF(COUNTIFS(BD!$B$3:$B$5001,K$149,BD!$A$3:$A$5001,"&gt;="&amp;$C$7,BD!$A$3:$A$5001,"&lt;="&amp;$B157,BD!$M$3:$M$5001,"&lt;&gt;")=0,"",SUMIFS(BD!$M$3:$M$5001,BD!$B$3:$B$5001,K$149,BD!$A$3:$A$5001,_xlfn.MAXIFS(BD!$A$3:$A$5001,BD!$B$3:$B$5001,K$149,BD!$A$3:$A$5001,"&gt;="&amp;$C$7,BD!$A$3:$A$5001,"&lt;="&amp;$B157,BD!$M$3:$M$5001,"&lt;&gt;"))))</f>
        <v/>
      </c>
      <c r="L157" s="43" t="str">
        <f>IF(OR($B157="",$A157&gt;$B$9,L$149=""),"",IF(COUNTIFS(BD!$B$3:$B$5001,L$149,BD!$A$3:$A$5001,"&gt;="&amp;$C$7,BD!$A$3:$A$5001,"&lt;="&amp;$B157,BD!$M$3:$M$5001,"&lt;&gt;")=0,"",SUMIFS(BD!$M$3:$M$5001,BD!$B$3:$B$5001,L$149,BD!$A$3:$A$5001,_xlfn.MAXIFS(BD!$A$3:$A$5001,BD!$B$3:$B$5001,L$149,BD!$A$3:$A$5001,"&gt;="&amp;$C$7,BD!$A$3:$A$5001,"&lt;="&amp;$B157,BD!$M$3:$M$5001,"&lt;&gt;"))))</f>
        <v/>
      </c>
      <c r="M157" s="43" t="str">
        <f>IF(OR($B157="",$A157&gt;$B$9,M$149=""),"",IF(COUNTIFS(BD!$B$3:$B$5001,M$149,BD!$A$3:$A$5001,"&gt;="&amp;$C$7,BD!$A$3:$A$5001,"&lt;="&amp;$B157,BD!$M$3:$M$5001,"&lt;&gt;")=0,"",SUMIFS(BD!$M$3:$M$5001,BD!$B$3:$B$5001,M$149,BD!$A$3:$A$5001,_xlfn.MAXIFS(BD!$A$3:$A$5001,BD!$B$3:$B$5001,M$149,BD!$A$3:$A$5001,"&gt;="&amp;$C$7,BD!$A$3:$A$5001,"&lt;="&amp;$B157,BD!$M$3:$M$5001,"&lt;&gt;"))))</f>
        <v/>
      </c>
      <c r="N157" s="43" t="str">
        <f>IF(OR($B157="",$A157&gt;$B$9,N$149=""),"",IF(COUNTIFS(BD!$B$3:$B$5001,N$149,BD!$A$3:$A$5001,"&gt;="&amp;$C$7,BD!$A$3:$A$5001,"&lt;="&amp;$B157,BD!$M$3:$M$5001,"&lt;&gt;")=0,"",SUMIFS(BD!$M$3:$M$5001,BD!$B$3:$B$5001,N$149,BD!$A$3:$A$5001,_xlfn.MAXIFS(BD!$A$3:$A$5001,BD!$B$3:$B$5001,N$149,BD!$A$3:$A$5001,"&gt;="&amp;$C$7,BD!$A$3:$A$5001,"&lt;="&amp;$B157,BD!$M$3:$M$5001,"&lt;&gt;"))))</f>
        <v/>
      </c>
      <c r="O157" s="43" t="str">
        <f>IF(OR($B157="",$A157&gt;$B$9,O$149=""),"",IF(COUNTIFS(BD!$B$3:$B$5001,O$149,BD!$A$3:$A$5001,"&gt;="&amp;$C$7,BD!$A$3:$A$5001,"&lt;="&amp;$B157,BD!$M$3:$M$5001,"&lt;&gt;")=0,"",SUMIFS(BD!$M$3:$M$5001,BD!$B$3:$B$5001,O$149,BD!$A$3:$A$5001,_xlfn.MAXIFS(BD!$A$3:$A$5001,BD!$B$3:$B$5001,O$149,BD!$A$3:$A$5001,"&gt;="&amp;$C$7,BD!$A$3:$A$5001,"&lt;="&amp;$B157,BD!$M$3:$M$5001,"&lt;&gt;"))))</f>
        <v/>
      </c>
      <c r="P157" s="43" t="str">
        <f>IF(OR($B157="",$A157&gt;$B$9,P$149=""),"",IF(COUNTIFS(BD!$B$3:$B$5001,P$149,BD!$A$3:$A$5001,"&gt;="&amp;$C$7,BD!$A$3:$A$5001,"&lt;="&amp;$B157,BD!$M$3:$M$5001,"&lt;&gt;")=0,"",SUMIFS(BD!$M$3:$M$5001,BD!$B$3:$B$5001,P$149,BD!$A$3:$A$5001,_xlfn.MAXIFS(BD!$A$3:$A$5001,BD!$B$3:$B$5001,P$149,BD!$A$3:$A$5001,"&gt;="&amp;$C$7,BD!$A$3:$A$5001,"&lt;="&amp;$B157,BD!$M$3:$M$5001,"&lt;&gt;"))))</f>
        <v/>
      </c>
      <c r="Q157" s="43" t="str">
        <f>IF(OR($B157="",$A157&gt;$B$9,Q$149=""),"",IF(COUNTIFS(BD!$B$3:$B$5001,Q$149,BD!$A$3:$A$5001,"&gt;="&amp;$C$7,BD!$A$3:$A$5001,"&lt;="&amp;$B157,BD!$M$3:$M$5001,"&lt;&gt;")=0,"",SUMIFS(BD!$M$3:$M$5001,BD!$B$3:$B$5001,Q$149,BD!$A$3:$A$5001,_xlfn.MAXIFS(BD!$A$3:$A$5001,BD!$B$3:$B$5001,Q$149,BD!$A$3:$A$5001,"&gt;="&amp;$C$7,BD!$A$3:$A$5001,"&lt;="&amp;$B157,BD!$M$3:$M$5001,"&lt;&gt;"))))</f>
        <v/>
      </c>
      <c r="R157" s="43" t="str">
        <f>IF(OR($B157="",$A157&gt;$B$9,R$149=""),"",IF(COUNTIFS(BD!$B$3:$B$5001,R$149,BD!$A$3:$A$5001,"&gt;="&amp;$C$7,BD!$A$3:$A$5001,"&lt;="&amp;$B157,BD!$M$3:$M$5001,"&lt;&gt;")=0,"",SUMIFS(BD!$M$3:$M$5001,BD!$B$3:$B$5001,R$149,BD!$A$3:$A$5001,_xlfn.MAXIFS(BD!$A$3:$A$5001,BD!$B$3:$B$5001,R$149,BD!$A$3:$A$5001,"&gt;="&amp;$C$7,BD!$A$3:$A$5001,"&lt;="&amp;$B157,BD!$M$3:$M$5001,"&lt;&gt;"))))</f>
        <v/>
      </c>
      <c r="S157" s="43" t="str">
        <f>IF(OR($B157="",$A157&gt;$B$9,S$149=""),"",IF(COUNTIFS(BD!$B$3:$B$5001,S$149,BD!$A$3:$A$5001,"&gt;="&amp;$C$7,BD!$A$3:$A$5001,"&lt;="&amp;$B157,BD!$M$3:$M$5001,"&lt;&gt;")=0,"",SUMIFS(BD!$M$3:$M$5001,BD!$B$3:$B$5001,S$149,BD!$A$3:$A$5001,_xlfn.MAXIFS(BD!$A$3:$A$5001,BD!$B$3:$B$5001,S$149,BD!$A$3:$A$5001,"&gt;="&amp;$C$7,BD!$A$3:$A$5001,"&lt;="&amp;$B157,BD!$M$3:$M$5001,"&lt;&gt;"))))</f>
        <v/>
      </c>
      <c r="T157" s="43" t="str">
        <f>IF(OR($B157="",$A157&gt;$B$9,T$149=""),"",IF(COUNTIFS(BD!$B$3:$B$5001,T$149,BD!$A$3:$A$5001,"&gt;="&amp;$C$7,BD!$A$3:$A$5001,"&lt;="&amp;$B157,BD!$M$3:$M$5001,"&lt;&gt;")=0,"",SUMIFS(BD!$M$3:$M$5001,BD!$B$3:$B$5001,T$149,BD!$A$3:$A$5001,_xlfn.MAXIFS(BD!$A$3:$A$5001,BD!$B$3:$B$5001,T$149,BD!$A$3:$A$5001,"&gt;="&amp;$C$7,BD!$A$3:$A$5001,"&lt;="&amp;$B157,BD!$M$3:$M$5001,"&lt;&gt;"))))</f>
        <v/>
      </c>
      <c r="U157" s="43" t="str">
        <f>IF(OR($B157="",$A157&gt;$B$9,U$149=""),"",IF(COUNTIFS(BD!$B$3:$B$5001,U$149,BD!$A$3:$A$5001,"&gt;="&amp;$C$7,BD!$A$3:$A$5001,"&lt;="&amp;$B157,BD!$M$3:$M$5001,"&lt;&gt;")=0,"",SUMIFS(BD!$M$3:$M$5001,BD!$B$3:$B$5001,U$149,BD!$A$3:$A$5001,_xlfn.MAXIFS(BD!$A$3:$A$5001,BD!$B$3:$B$5001,U$149,BD!$A$3:$A$5001,"&gt;="&amp;$C$7,BD!$A$3:$A$5001,"&lt;="&amp;$B157,BD!$M$3:$M$5001,"&lt;&gt;"))))</f>
        <v/>
      </c>
      <c r="V157" s="43" t="str">
        <f>IF(OR($B157="",$A157&gt;$B$9,V$149=""),"",IF(COUNTIFS(BD!$B$3:$B$5001,V$149,BD!$A$3:$A$5001,"&gt;="&amp;$C$7,BD!$A$3:$A$5001,"&lt;="&amp;$B157,BD!$M$3:$M$5001,"&lt;&gt;")=0,"",SUMIFS(BD!$M$3:$M$5001,BD!$B$3:$B$5001,V$149,BD!$A$3:$A$5001,_xlfn.MAXIFS(BD!$A$3:$A$5001,BD!$B$3:$B$5001,V$149,BD!$A$3:$A$5001,"&gt;="&amp;$C$7,BD!$A$3:$A$5001,"&lt;="&amp;$B157,BD!$M$3:$M$5001,"&lt;&gt;"))))</f>
        <v/>
      </c>
    </row>
    <row r="158">
      <c r="A158" s="38">
        <v>9</v>
      </c>
      <c r="B158" s="42">
        <f>$B$20</f>
        <v>46304</v>
      </c>
      <c r="C158" s="43" t="str">
        <f>IF(OR($B158="",$A158&gt;$B$9,C$149=""),"",IF(COUNTIFS(BD!$B$3:$B$5001,C$149,BD!$A$3:$A$5001,"&gt;="&amp;$C$7,BD!$A$3:$A$5001,"&lt;="&amp;$B158,BD!$M$3:$M$5001,"&lt;&gt;")=0,"",SUMIFS(BD!$M$3:$M$5001,BD!$B$3:$B$5001,C$149,BD!$A$3:$A$5001,_xlfn.MAXIFS(BD!$A$3:$A$5001,BD!$B$3:$B$5001,C$149,BD!$A$3:$A$5001,"&gt;="&amp;$C$7,BD!$A$3:$A$5001,"&lt;="&amp;$B158,BD!$M$3:$M$5001,"&lt;&gt;"))))</f>
        <v/>
      </c>
      <c r="D158" s="43" t="str">
        <f>IF(OR($B158="",$A158&gt;$B$9,D$149=""),"",IF(COUNTIFS(BD!$B$3:$B$5001,D$149,BD!$A$3:$A$5001,"&gt;="&amp;$C$7,BD!$A$3:$A$5001,"&lt;="&amp;$B158,BD!$M$3:$M$5001,"&lt;&gt;")=0,"",SUMIFS(BD!$M$3:$M$5001,BD!$B$3:$B$5001,D$149,BD!$A$3:$A$5001,_xlfn.MAXIFS(BD!$A$3:$A$5001,BD!$B$3:$B$5001,D$149,BD!$A$3:$A$5001,"&gt;="&amp;$C$7,BD!$A$3:$A$5001,"&lt;="&amp;$B158,BD!$M$3:$M$5001,"&lt;&gt;"))))</f>
        <v/>
      </c>
      <c r="E158" s="43" t="str">
        <f>IF(OR($B158="",$A158&gt;$B$9,E$149=""),"",IF(COUNTIFS(BD!$B$3:$B$5001,E$149,BD!$A$3:$A$5001,"&gt;="&amp;$C$7,BD!$A$3:$A$5001,"&lt;="&amp;$B158,BD!$M$3:$M$5001,"&lt;&gt;")=0,"",SUMIFS(BD!$M$3:$M$5001,BD!$B$3:$B$5001,E$149,BD!$A$3:$A$5001,_xlfn.MAXIFS(BD!$A$3:$A$5001,BD!$B$3:$B$5001,E$149,BD!$A$3:$A$5001,"&gt;="&amp;$C$7,BD!$A$3:$A$5001,"&lt;="&amp;$B158,BD!$M$3:$M$5001,"&lt;&gt;"))))</f>
        <v/>
      </c>
      <c r="F158" s="43" t="str">
        <f>IF(OR($B158="",$A158&gt;$B$9,F$149=""),"",IF(COUNTIFS(BD!$B$3:$B$5001,F$149,BD!$A$3:$A$5001,"&gt;="&amp;$C$7,BD!$A$3:$A$5001,"&lt;="&amp;$B158,BD!$M$3:$M$5001,"&lt;&gt;")=0,"",SUMIFS(BD!$M$3:$M$5001,BD!$B$3:$B$5001,F$149,BD!$A$3:$A$5001,_xlfn.MAXIFS(BD!$A$3:$A$5001,BD!$B$3:$B$5001,F$149,BD!$A$3:$A$5001,"&gt;="&amp;$C$7,BD!$A$3:$A$5001,"&lt;="&amp;$B158,BD!$M$3:$M$5001,"&lt;&gt;"))))</f>
        <v/>
      </c>
      <c r="G158" s="43" t="str">
        <f>IF(OR($B158="",$A158&gt;$B$9,G$149=""),"",IF(COUNTIFS(BD!$B$3:$B$5001,G$149,BD!$A$3:$A$5001,"&gt;="&amp;$C$7,BD!$A$3:$A$5001,"&lt;="&amp;$B158,BD!$M$3:$M$5001,"&lt;&gt;")=0,"",SUMIFS(BD!$M$3:$M$5001,BD!$B$3:$B$5001,G$149,BD!$A$3:$A$5001,_xlfn.MAXIFS(BD!$A$3:$A$5001,BD!$B$3:$B$5001,G$149,BD!$A$3:$A$5001,"&gt;="&amp;$C$7,BD!$A$3:$A$5001,"&lt;="&amp;$B158,BD!$M$3:$M$5001,"&lt;&gt;"))))</f>
        <v/>
      </c>
      <c r="H158" s="43" t="str">
        <f>IF(OR($B158="",$A158&gt;$B$9,H$149=""),"",IF(COUNTIFS(BD!$B$3:$B$5001,H$149,BD!$A$3:$A$5001,"&gt;="&amp;$C$7,BD!$A$3:$A$5001,"&lt;="&amp;$B158,BD!$M$3:$M$5001,"&lt;&gt;")=0,"",SUMIFS(BD!$M$3:$M$5001,BD!$B$3:$B$5001,H$149,BD!$A$3:$A$5001,_xlfn.MAXIFS(BD!$A$3:$A$5001,BD!$B$3:$B$5001,H$149,BD!$A$3:$A$5001,"&gt;="&amp;$C$7,BD!$A$3:$A$5001,"&lt;="&amp;$B158,BD!$M$3:$M$5001,"&lt;&gt;"))))</f>
        <v/>
      </c>
      <c r="I158" s="43" t="str">
        <f>IF(OR($B158="",$A158&gt;$B$9,I$149=""),"",IF(COUNTIFS(BD!$B$3:$B$5001,I$149,BD!$A$3:$A$5001,"&gt;="&amp;$C$7,BD!$A$3:$A$5001,"&lt;="&amp;$B158,BD!$M$3:$M$5001,"&lt;&gt;")=0,"",SUMIFS(BD!$M$3:$M$5001,BD!$B$3:$B$5001,I$149,BD!$A$3:$A$5001,_xlfn.MAXIFS(BD!$A$3:$A$5001,BD!$B$3:$B$5001,I$149,BD!$A$3:$A$5001,"&gt;="&amp;$C$7,BD!$A$3:$A$5001,"&lt;="&amp;$B158,BD!$M$3:$M$5001,"&lt;&gt;"))))</f>
        <v/>
      </c>
      <c r="J158" s="43" t="str">
        <f>IF(OR($B158="",$A158&gt;$B$9,J$149=""),"",IF(COUNTIFS(BD!$B$3:$B$5001,J$149,BD!$A$3:$A$5001,"&gt;="&amp;$C$7,BD!$A$3:$A$5001,"&lt;="&amp;$B158,BD!$M$3:$M$5001,"&lt;&gt;")=0,"",SUMIFS(BD!$M$3:$M$5001,BD!$B$3:$B$5001,J$149,BD!$A$3:$A$5001,_xlfn.MAXIFS(BD!$A$3:$A$5001,BD!$B$3:$B$5001,J$149,BD!$A$3:$A$5001,"&gt;="&amp;$C$7,BD!$A$3:$A$5001,"&lt;="&amp;$B158,BD!$M$3:$M$5001,"&lt;&gt;"))))</f>
        <v/>
      </c>
      <c r="K158" s="43" t="str">
        <f>IF(OR($B158="",$A158&gt;$B$9,K$149=""),"",IF(COUNTIFS(BD!$B$3:$B$5001,K$149,BD!$A$3:$A$5001,"&gt;="&amp;$C$7,BD!$A$3:$A$5001,"&lt;="&amp;$B158,BD!$M$3:$M$5001,"&lt;&gt;")=0,"",SUMIFS(BD!$M$3:$M$5001,BD!$B$3:$B$5001,K$149,BD!$A$3:$A$5001,_xlfn.MAXIFS(BD!$A$3:$A$5001,BD!$B$3:$B$5001,K$149,BD!$A$3:$A$5001,"&gt;="&amp;$C$7,BD!$A$3:$A$5001,"&lt;="&amp;$B158,BD!$M$3:$M$5001,"&lt;&gt;"))))</f>
        <v/>
      </c>
      <c r="L158" s="43" t="str">
        <f>IF(OR($B158="",$A158&gt;$B$9,L$149=""),"",IF(COUNTIFS(BD!$B$3:$B$5001,L$149,BD!$A$3:$A$5001,"&gt;="&amp;$C$7,BD!$A$3:$A$5001,"&lt;="&amp;$B158,BD!$M$3:$M$5001,"&lt;&gt;")=0,"",SUMIFS(BD!$M$3:$M$5001,BD!$B$3:$B$5001,L$149,BD!$A$3:$A$5001,_xlfn.MAXIFS(BD!$A$3:$A$5001,BD!$B$3:$B$5001,L$149,BD!$A$3:$A$5001,"&gt;="&amp;$C$7,BD!$A$3:$A$5001,"&lt;="&amp;$B158,BD!$M$3:$M$5001,"&lt;&gt;"))))</f>
        <v/>
      </c>
      <c r="M158" s="43" t="str">
        <f>IF(OR($B158="",$A158&gt;$B$9,M$149=""),"",IF(COUNTIFS(BD!$B$3:$B$5001,M$149,BD!$A$3:$A$5001,"&gt;="&amp;$C$7,BD!$A$3:$A$5001,"&lt;="&amp;$B158,BD!$M$3:$M$5001,"&lt;&gt;")=0,"",SUMIFS(BD!$M$3:$M$5001,BD!$B$3:$B$5001,M$149,BD!$A$3:$A$5001,_xlfn.MAXIFS(BD!$A$3:$A$5001,BD!$B$3:$B$5001,M$149,BD!$A$3:$A$5001,"&gt;="&amp;$C$7,BD!$A$3:$A$5001,"&lt;="&amp;$B158,BD!$M$3:$M$5001,"&lt;&gt;"))))</f>
        <v/>
      </c>
      <c r="N158" s="43" t="str">
        <f>IF(OR($B158="",$A158&gt;$B$9,N$149=""),"",IF(COUNTIFS(BD!$B$3:$B$5001,N$149,BD!$A$3:$A$5001,"&gt;="&amp;$C$7,BD!$A$3:$A$5001,"&lt;="&amp;$B158,BD!$M$3:$M$5001,"&lt;&gt;")=0,"",SUMIFS(BD!$M$3:$M$5001,BD!$B$3:$B$5001,N$149,BD!$A$3:$A$5001,_xlfn.MAXIFS(BD!$A$3:$A$5001,BD!$B$3:$B$5001,N$149,BD!$A$3:$A$5001,"&gt;="&amp;$C$7,BD!$A$3:$A$5001,"&lt;="&amp;$B158,BD!$M$3:$M$5001,"&lt;&gt;"))))</f>
        <v/>
      </c>
      <c r="O158" s="43" t="str">
        <f>IF(OR($B158="",$A158&gt;$B$9,O$149=""),"",IF(COUNTIFS(BD!$B$3:$B$5001,O$149,BD!$A$3:$A$5001,"&gt;="&amp;$C$7,BD!$A$3:$A$5001,"&lt;="&amp;$B158,BD!$M$3:$M$5001,"&lt;&gt;")=0,"",SUMIFS(BD!$M$3:$M$5001,BD!$B$3:$B$5001,O$149,BD!$A$3:$A$5001,_xlfn.MAXIFS(BD!$A$3:$A$5001,BD!$B$3:$B$5001,O$149,BD!$A$3:$A$5001,"&gt;="&amp;$C$7,BD!$A$3:$A$5001,"&lt;="&amp;$B158,BD!$M$3:$M$5001,"&lt;&gt;"))))</f>
        <v/>
      </c>
      <c r="P158" s="43" t="str">
        <f>IF(OR($B158="",$A158&gt;$B$9,P$149=""),"",IF(COUNTIFS(BD!$B$3:$B$5001,P$149,BD!$A$3:$A$5001,"&gt;="&amp;$C$7,BD!$A$3:$A$5001,"&lt;="&amp;$B158,BD!$M$3:$M$5001,"&lt;&gt;")=0,"",SUMIFS(BD!$M$3:$M$5001,BD!$B$3:$B$5001,P$149,BD!$A$3:$A$5001,_xlfn.MAXIFS(BD!$A$3:$A$5001,BD!$B$3:$B$5001,P$149,BD!$A$3:$A$5001,"&gt;="&amp;$C$7,BD!$A$3:$A$5001,"&lt;="&amp;$B158,BD!$M$3:$M$5001,"&lt;&gt;"))))</f>
        <v/>
      </c>
      <c r="Q158" s="43" t="str">
        <f>IF(OR($B158="",$A158&gt;$B$9,Q$149=""),"",IF(COUNTIFS(BD!$B$3:$B$5001,Q$149,BD!$A$3:$A$5001,"&gt;="&amp;$C$7,BD!$A$3:$A$5001,"&lt;="&amp;$B158,BD!$M$3:$M$5001,"&lt;&gt;")=0,"",SUMIFS(BD!$M$3:$M$5001,BD!$B$3:$B$5001,Q$149,BD!$A$3:$A$5001,_xlfn.MAXIFS(BD!$A$3:$A$5001,BD!$B$3:$B$5001,Q$149,BD!$A$3:$A$5001,"&gt;="&amp;$C$7,BD!$A$3:$A$5001,"&lt;="&amp;$B158,BD!$M$3:$M$5001,"&lt;&gt;"))))</f>
        <v/>
      </c>
      <c r="R158" s="43" t="str">
        <f>IF(OR($B158="",$A158&gt;$B$9,R$149=""),"",IF(COUNTIFS(BD!$B$3:$B$5001,R$149,BD!$A$3:$A$5001,"&gt;="&amp;$C$7,BD!$A$3:$A$5001,"&lt;="&amp;$B158,BD!$M$3:$M$5001,"&lt;&gt;")=0,"",SUMIFS(BD!$M$3:$M$5001,BD!$B$3:$B$5001,R$149,BD!$A$3:$A$5001,_xlfn.MAXIFS(BD!$A$3:$A$5001,BD!$B$3:$B$5001,R$149,BD!$A$3:$A$5001,"&gt;="&amp;$C$7,BD!$A$3:$A$5001,"&lt;="&amp;$B158,BD!$M$3:$M$5001,"&lt;&gt;"))))</f>
        <v/>
      </c>
      <c r="S158" s="43" t="str">
        <f>IF(OR($B158="",$A158&gt;$B$9,S$149=""),"",IF(COUNTIFS(BD!$B$3:$B$5001,S$149,BD!$A$3:$A$5001,"&gt;="&amp;$C$7,BD!$A$3:$A$5001,"&lt;="&amp;$B158,BD!$M$3:$M$5001,"&lt;&gt;")=0,"",SUMIFS(BD!$M$3:$M$5001,BD!$B$3:$B$5001,S$149,BD!$A$3:$A$5001,_xlfn.MAXIFS(BD!$A$3:$A$5001,BD!$B$3:$B$5001,S$149,BD!$A$3:$A$5001,"&gt;="&amp;$C$7,BD!$A$3:$A$5001,"&lt;="&amp;$B158,BD!$M$3:$M$5001,"&lt;&gt;"))))</f>
        <v/>
      </c>
      <c r="T158" s="43" t="str">
        <f>IF(OR($B158="",$A158&gt;$B$9,T$149=""),"",IF(COUNTIFS(BD!$B$3:$B$5001,T$149,BD!$A$3:$A$5001,"&gt;="&amp;$C$7,BD!$A$3:$A$5001,"&lt;="&amp;$B158,BD!$M$3:$M$5001,"&lt;&gt;")=0,"",SUMIFS(BD!$M$3:$M$5001,BD!$B$3:$B$5001,T$149,BD!$A$3:$A$5001,_xlfn.MAXIFS(BD!$A$3:$A$5001,BD!$B$3:$B$5001,T$149,BD!$A$3:$A$5001,"&gt;="&amp;$C$7,BD!$A$3:$A$5001,"&lt;="&amp;$B158,BD!$M$3:$M$5001,"&lt;&gt;"))))</f>
        <v/>
      </c>
      <c r="U158" s="43" t="str">
        <f>IF(OR($B158="",$A158&gt;$B$9,U$149=""),"",IF(COUNTIFS(BD!$B$3:$B$5001,U$149,BD!$A$3:$A$5001,"&gt;="&amp;$C$7,BD!$A$3:$A$5001,"&lt;="&amp;$B158,BD!$M$3:$M$5001,"&lt;&gt;")=0,"",SUMIFS(BD!$M$3:$M$5001,BD!$B$3:$B$5001,U$149,BD!$A$3:$A$5001,_xlfn.MAXIFS(BD!$A$3:$A$5001,BD!$B$3:$B$5001,U$149,BD!$A$3:$A$5001,"&gt;="&amp;$C$7,BD!$A$3:$A$5001,"&lt;="&amp;$B158,BD!$M$3:$M$5001,"&lt;&gt;"))))</f>
        <v/>
      </c>
      <c r="V158" s="43" t="str">
        <f>IF(OR($B158="",$A158&gt;$B$9,V$149=""),"",IF(COUNTIFS(BD!$B$3:$B$5001,V$149,BD!$A$3:$A$5001,"&gt;="&amp;$C$7,BD!$A$3:$A$5001,"&lt;="&amp;$B158,BD!$M$3:$M$5001,"&lt;&gt;")=0,"",SUMIFS(BD!$M$3:$M$5001,BD!$B$3:$B$5001,V$149,BD!$A$3:$A$5001,_xlfn.MAXIFS(BD!$A$3:$A$5001,BD!$B$3:$B$5001,V$149,BD!$A$3:$A$5001,"&gt;="&amp;$C$7,BD!$A$3:$A$5001,"&lt;="&amp;$B158,BD!$M$3:$M$5001,"&lt;&gt;"))))</f>
        <v/>
      </c>
    </row>
    <row r="159">
      <c r="A159" s="38">
        <v>10</v>
      </c>
      <c r="B159" s="42">
        <f>$B$21</f>
        <v>46305</v>
      </c>
      <c r="C159" s="43" t="str">
        <f>IF(OR($B159="",$A159&gt;$B$9,C$149=""),"",IF(COUNTIFS(BD!$B$3:$B$5001,C$149,BD!$A$3:$A$5001,"&gt;="&amp;$C$7,BD!$A$3:$A$5001,"&lt;="&amp;$B159,BD!$M$3:$M$5001,"&lt;&gt;")=0,"",SUMIFS(BD!$M$3:$M$5001,BD!$B$3:$B$5001,C$149,BD!$A$3:$A$5001,_xlfn.MAXIFS(BD!$A$3:$A$5001,BD!$B$3:$B$5001,C$149,BD!$A$3:$A$5001,"&gt;="&amp;$C$7,BD!$A$3:$A$5001,"&lt;="&amp;$B159,BD!$M$3:$M$5001,"&lt;&gt;"))))</f>
        <v/>
      </c>
      <c r="D159" s="43" t="str">
        <f>IF(OR($B159="",$A159&gt;$B$9,D$149=""),"",IF(COUNTIFS(BD!$B$3:$B$5001,D$149,BD!$A$3:$A$5001,"&gt;="&amp;$C$7,BD!$A$3:$A$5001,"&lt;="&amp;$B159,BD!$M$3:$M$5001,"&lt;&gt;")=0,"",SUMIFS(BD!$M$3:$M$5001,BD!$B$3:$B$5001,D$149,BD!$A$3:$A$5001,_xlfn.MAXIFS(BD!$A$3:$A$5001,BD!$B$3:$B$5001,D$149,BD!$A$3:$A$5001,"&gt;="&amp;$C$7,BD!$A$3:$A$5001,"&lt;="&amp;$B159,BD!$M$3:$M$5001,"&lt;&gt;"))))</f>
        <v/>
      </c>
      <c r="E159" s="43" t="str">
        <f>IF(OR($B159="",$A159&gt;$B$9,E$149=""),"",IF(COUNTIFS(BD!$B$3:$B$5001,E$149,BD!$A$3:$A$5001,"&gt;="&amp;$C$7,BD!$A$3:$A$5001,"&lt;="&amp;$B159,BD!$M$3:$M$5001,"&lt;&gt;")=0,"",SUMIFS(BD!$M$3:$M$5001,BD!$B$3:$B$5001,E$149,BD!$A$3:$A$5001,_xlfn.MAXIFS(BD!$A$3:$A$5001,BD!$B$3:$B$5001,E$149,BD!$A$3:$A$5001,"&gt;="&amp;$C$7,BD!$A$3:$A$5001,"&lt;="&amp;$B159,BD!$M$3:$M$5001,"&lt;&gt;"))))</f>
        <v/>
      </c>
      <c r="F159" s="43" t="str">
        <f>IF(OR($B159="",$A159&gt;$B$9,F$149=""),"",IF(COUNTIFS(BD!$B$3:$B$5001,F$149,BD!$A$3:$A$5001,"&gt;="&amp;$C$7,BD!$A$3:$A$5001,"&lt;="&amp;$B159,BD!$M$3:$M$5001,"&lt;&gt;")=0,"",SUMIFS(BD!$M$3:$M$5001,BD!$B$3:$B$5001,F$149,BD!$A$3:$A$5001,_xlfn.MAXIFS(BD!$A$3:$A$5001,BD!$B$3:$B$5001,F$149,BD!$A$3:$A$5001,"&gt;="&amp;$C$7,BD!$A$3:$A$5001,"&lt;="&amp;$B159,BD!$M$3:$M$5001,"&lt;&gt;"))))</f>
        <v/>
      </c>
      <c r="G159" s="43" t="str">
        <f>IF(OR($B159="",$A159&gt;$B$9,G$149=""),"",IF(COUNTIFS(BD!$B$3:$B$5001,G$149,BD!$A$3:$A$5001,"&gt;="&amp;$C$7,BD!$A$3:$A$5001,"&lt;="&amp;$B159,BD!$M$3:$M$5001,"&lt;&gt;")=0,"",SUMIFS(BD!$M$3:$M$5001,BD!$B$3:$B$5001,G$149,BD!$A$3:$A$5001,_xlfn.MAXIFS(BD!$A$3:$A$5001,BD!$B$3:$B$5001,G$149,BD!$A$3:$A$5001,"&gt;="&amp;$C$7,BD!$A$3:$A$5001,"&lt;="&amp;$B159,BD!$M$3:$M$5001,"&lt;&gt;"))))</f>
        <v/>
      </c>
      <c r="H159" s="43" t="str">
        <f>IF(OR($B159="",$A159&gt;$B$9,H$149=""),"",IF(COUNTIFS(BD!$B$3:$B$5001,H$149,BD!$A$3:$A$5001,"&gt;="&amp;$C$7,BD!$A$3:$A$5001,"&lt;="&amp;$B159,BD!$M$3:$M$5001,"&lt;&gt;")=0,"",SUMIFS(BD!$M$3:$M$5001,BD!$B$3:$B$5001,H$149,BD!$A$3:$A$5001,_xlfn.MAXIFS(BD!$A$3:$A$5001,BD!$B$3:$B$5001,H$149,BD!$A$3:$A$5001,"&gt;="&amp;$C$7,BD!$A$3:$A$5001,"&lt;="&amp;$B159,BD!$M$3:$M$5001,"&lt;&gt;"))))</f>
        <v/>
      </c>
      <c r="I159" s="43" t="str">
        <f>IF(OR($B159="",$A159&gt;$B$9,I$149=""),"",IF(COUNTIFS(BD!$B$3:$B$5001,I$149,BD!$A$3:$A$5001,"&gt;="&amp;$C$7,BD!$A$3:$A$5001,"&lt;="&amp;$B159,BD!$M$3:$M$5001,"&lt;&gt;")=0,"",SUMIFS(BD!$M$3:$M$5001,BD!$B$3:$B$5001,I$149,BD!$A$3:$A$5001,_xlfn.MAXIFS(BD!$A$3:$A$5001,BD!$B$3:$B$5001,I$149,BD!$A$3:$A$5001,"&gt;="&amp;$C$7,BD!$A$3:$A$5001,"&lt;="&amp;$B159,BD!$M$3:$M$5001,"&lt;&gt;"))))</f>
        <v/>
      </c>
      <c r="J159" s="43" t="str">
        <f>IF(OR($B159="",$A159&gt;$B$9,J$149=""),"",IF(COUNTIFS(BD!$B$3:$B$5001,J$149,BD!$A$3:$A$5001,"&gt;="&amp;$C$7,BD!$A$3:$A$5001,"&lt;="&amp;$B159,BD!$M$3:$M$5001,"&lt;&gt;")=0,"",SUMIFS(BD!$M$3:$M$5001,BD!$B$3:$B$5001,J$149,BD!$A$3:$A$5001,_xlfn.MAXIFS(BD!$A$3:$A$5001,BD!$B$3:$B$5001,J$149,BD!$A$3:$A$5001,"&gt;="&amp;$C$7,BD!$A$3:$A$5001,"&lt;="&amp;$B159,BD!$M$3:$M$5001,"&lt;&gt;"))))</f>
        <v/>
      </c>
      <c r="K159" s="43" t="str">
        <f>IF(OR($B159="",$A159&gt;$B$9,K$149=""),"",IF(COUNTIFS(BD!$B$3:$B$5001,K$149,BD!$A$3:$A$5001,"&gt;="&amp;$C$7,BD!$A$3:$A$5001,"&lt;="&amp;$B159,BD!$M$3:$M$5001,"&lt;&gt;")=0,"",SUMIFS(BD!$M$3:$M$5001,BD!$B$3:$B$5001,K$149,BD!$A$3:$A$5001,_xlfn.MAXIFS(BD!$A$3:$A$5001,BD!$B$3:$B$5001,K$149,BD!$A$3:$A$5001,"&gt;="&amp;$C$7,BD!$A$3:$A$5001,"&lt;="&amp;$B159,BD!$M$3:$M$5001,"&lt;&gt;"))))</f>
        <v/>
      </c>
      <c r="L159" s="43" t="str">
        <f>IF(OR($B159="",$A159&gt;$B$9,L$149=""),"",IF(COUNTIFS(BD!$B$3:$B$5001,L$149,BD!$A$3:$A$5001,"&gt;="&amp;$C$7,BD!$A$3:$A$5001,"&lt;="&amp;$B159,BD!$M$3:$M$5001,"&lt;&gt;")=0,"",SUMIFS(BD!$M$3:$M$5001,BD!$B$3:$B$5001,L$149,BD!$A$3:$A$5001,_xlfn.MAXIFS(BD!$A$3:$A$5001,BD!$B$3:$B$5001,L$149,BD!$A$3:$A$5001,"&gt;="&amp;$C$7,BD!$A$3:$A$5001,"&lt;="&amp;$B159,BD!$M$3:$M$5001,"&lt;&gt;"))))</f>
        <v/>
      </c>
      <c r="M159" s="43" t="str">
        <f>IF(OR($B159="",$A159&gt;$B$9,M$149=""),"",IF(COUNTIFS(BD!$B$3:$B$5001,M$149,BD!$A$3:$A$5001,"&gt;="&amp;$C$7,BD!$A$3:$A$5001,"&lt;="&amp;$B159,BD!$M$3:$M$5001,"&lt;&gt;")=0,"",SUMIFS(BD!$M$3:$M$5001,BD!$B$3:$B$5001,M$149,BD!$A$3:$A$5001,_xlfn.MAXIFS(BD!$A$3:$A$5001,BD!$B$3:$B$5001,M$149,BD!$A$3:$A$5001,"&gt;="&amp;$C$7,BD!$A$3:$A$5001,"&lt;="&amp;$B159,BD!$M$3:$M$5001,"&lt;&gt;"))))</f>
        <v/>
      </c>
      <c r="N159" s="43" t="str">
        <f>IF(OR($B159="",$A159&gt;$B$9,N$149=""),"",IF(COUNTIFS(BD!$B$3:$B$5001,N$149,BD!$A$3:$A$5001,"&gt;="&amp;$C$7,BD!$A$3:$A$5001,"&lt;="&amp;$B159,BD!$M$3:$M$5001,"&lt;&gt;")=0,"",SUMIFS(BD!$M$3:$M$5001,BD!$B$3:$B$5001,N$149,BD!$A$3:$A$5001,_xlfn.MAXIFS(BD!$A$3:$A$5001,BD!$B$3:$B$5001,N$149,BD!$A$3:$A$5001,"&gt;="&amp;$C$7,BD!$A$3:$A$5001,"&lt;="&amp;$B159,BD!$M$3:$M$5001,"&lt;&gt;"))))</f>
        <v/>
      </c>
      <c r="O159" s="43" t="str">
        <f>IF(OR($B159="",$A159&gt;$B$9,O$149=""),"",IF(COUNTIFS(BD!$B$3:$B$5001,O$149,BD!$A$3:$A$5001,"&gt;="&amp;$C$7,BD!$A$3:$A$5001,"&lt;="&amp;$B159,BD!$M$3:$M$5001,"&lt;&gt;")=0,"",SUMIFS(BD!$M$3:$M$5001,BD!$B$3:$B$5001,O$149,BD!$A$3:$A$5001,_xlfn.MAXIFS(BD!$A$3:$A$5001,BD!$B$3:$B$5001,O$149,BD!$A$3:$A$5001,"&gt;="&amp;$C$7,BD!$A$3:$A$5001,"&lt;="&amp;$B159,BD!$M$3:$M$5001,"&lt;&gt;"))))</f>
        <v/>
      </c>
      <c r="P159" s="43" t="str">
        <f>IF(OR($B159="",$A159&gt;$B$9,P$149=""),"",IF(COUNTIFS(BD!$B$3:$B$5001,P$149,BD!$A$3:$A$5001,"&gt;="&amp;$C$7,BD!$A$3:$A$5001,"&lt;="&amp;$B159,BD!$M$3:$M$5001,"&lt;&gt;")=0,"",SUMIFS(BD!$M$3:$M$5001,BD!$B$3:$B$5001,P$149,BD!$A$3:$A$5001,_xlfn.MAXIFS(BD!$A$3:$A$5001,BD!$B$3:$B$5001,P$149,BD!$A$3:$A$5001,"&gt;="&amp;$C$7,BD!$A$3:$A$5001,"&lt;="&amp;$B159,BD!$M$3:$M$5001,"&lt;&gt;"))))</f>
        <v/>
      </c>
      <c r="Q159" s="43" t="str">
        <f>IF(OR($B159="",$A159&gt;$B$9,Q$149=""),"",IF(COUNTIFS(BD!$B$3:$B$5001,Q$149,BD!$A$3:$A$5001,"&gt;="&amp;$C$7,BD!$A$3:$A$5001,"&lt;="&amp;$B159,BD!$M$3:$M$5001,"&lt;&gt;")=0,"",SUMIFS(BD!$M$3:$M$5001,BD!$B$3:$B$5001,Q$149,BD!$A$3:$A$5001,_xlfn.MAXIFS(BD!$A$3:$A$5001,BD!$B$3:$B$5001,Q$149,BD!$A$3:$A$5001,"&gt;="&amp;$C$7,BD!$A$3:$A$5001,"&lt;="&amp;$B159,BD!$M$3:$M$5001,"&lt;&gt;"))))</f>
        <v/>
      </c>
      <c r="R159" s="43" t="str">
        <f>IF(OR($B159="",$A159&gt;$B$9,R$149=""),"",IF(COUNTIFS(BD!$B$3:$B$5001,R$149,BD!$A$3:$A$5001,"&gt;="&amp;$C$7,BD!$A$3:$A$5001,"&lt;="&amp;$B159,BD!$M$3:$M$5001,"&lt;&gt;")=0,"",SUMIFS(BD!$M$3:$M$5001,BD!$B$3:$B$5001,R$149,BD!$A$3:$A$5001,_xlfn.MAXIFS(BD!$A$3:$A$5001,BD!$B$3:$B$5001,R$149,BD!$A$3:$A$5001,"&gt;="&amp;$C$7,BD!$A$3:$A$5001,"&lt;="&amp;$B159,BD!$M$3:$M$5001,"&lt;&gt;"))))</f>
        <v/>
      </c>
      <c r="S159" s="43" t="str">
        <f>IF(OR($B159="",$A159&gt;$B$9,S$149=""),"",IF(COUNTIFS(BD!$B$3:$B$5001,S$149,BD!$A$3:$A$5001,"&gt;="&amp;$C$7,BD!$A$3:$A$5001,"&lt;="&amp;$B159,BD!$M$3:$M$5001,"&lt;&gt;")=0,"",SUMIFS(BD!$M$3:$M$5001,BD!$B$3:$B$5001,S$149,BD!$A$3:$A$5001,_xlfn.MAXIFS(BD!$A$3:$A$5001,BD!$B$3:$B$5001,S$149,BD!$A$3:$A$5001,"&gt;="&amp;$C$7,BD!$A$3:$A$5001,"&lt;="&amp;$B159,BD!$M$3:$M$5001,"&lt;&gt;"))))</f>
        <v/>
      </c>
      <c r="T159" s="43" t="str">
        <f>IF(OR($B159="",$A159&gt;$B$9,T$149=""),"",IF(COUNTIFS(BD!$B$3:$B$5001,T$149,BD!$A$3:$A$5001,"&gt;="&amp;$C$7,BD!$A$3:$A$5001,"&lt;="&amp;$B159,BD!$M$3:$M$5001,"&lt;&gt;")=0,"",SUMIFS(BD!$M$3:$M$5001,BD!$B$3:$B$5001,T$149,BD!$A$3:$A$5001,_xlfn.MAXIFS(BD!$A$3:$A$5001,BD!$B$3:$B$5001,T$149,BD!$A$3:$A$5001,"&gt;="&amp;$C$7,BD!$A$3:$A$5001,"&lt;="&amp;$B159,BD!$M$3:$M$5001,"&lt;&gt;"))))</f>
        <v/>
      </c>
      <c r="U159" s="43" t="str">
        <f>IF(OR($B159="",$A159&gt;$B$9,U$149=""),"",IF(COUNTIFS(BD!$B$3:$B$5001,U$149,BD!$A$3:$A$5001,"&gt;="&amp;$C$7,BD!$A$3:$A$5001,"&lt;="&amp;$B159,BD!$M$3:$M$5001,"&lt;&gt;")=0,"",SUMIFS(BD!$M$3:$M$5001,BD!$B$3:$B$5001,U$149,BD!$A$3:$A$5001,_xlfn.MAXIFS(BD!$A$3:$A$5001,BD!$B$3:$B$5001,U$149,BD!$A$3:$A$5001,"&gt;="&amp;$C$7,BD!$A$3:$A$5001,"&lt;="&amp;$B159,BD!$M$3:$M$5001,"&lt;&gt;"))))</f>
        <v/>
      </c>
      <c r="V159" s="43" t="str">
        <f>IF(OR($B159="",$A159&gt;$B$9,V$149=""),"",IF(COUNTIFS(BD!$B$3:$B$5001,V$149,BD!$A$3:$A$5001,"&gt;="&amp;$C$7,BD!$A$3:$A$5001,"&lt;="&amp;$B159,BD!$M$3:$M$5001,"&lt;&gt;")=0,"",SUMIFS(BD!$M$3:$M$5001,BD!$B$3:$B$5001,V$149,BD!$A$3:$A$5001,_xlfn.MAXIFS(BD!$A$3:$A$5001,BD!$B$3:$B$5001,V$149,BD!$A$3:$A$5001,"&gt;="&amp;$C$7,BD!$A$3:$A$5001,"&lt;="&amp;$B159,BD!$M$3:$M$5001,"&lt;&gt;"))))</f>
        <v/>
      </c>
    </row>
    <row r="160">
      <c r="A160" s="38">
        <v>11</v>
      </c>
      <c r="B160" s="42">
        <f>$B$22</f>
        <v>46306</v>
      </c>
      <c r="C160" s="43" t="str">
        <f>IF(OR($B160="",$A160&gt;$B$9,C$149=""),"",IF(COUNTIFS(BD!$B$3:$B$5001,C$149,BD!$A$3:$A$5001,"&gt;="&amp;$C$7,BD!$A$3:$A$5001,"&lt;="&amp;$B160,BD!$M$3:$M$5001,"&lt;&gt;")=0,"",SUMIFS(BD!$M$3:$M$5001,BD!$B$3:$B$5001,C$149,BD!$A$3:$A$5001,_xlfn.MAXIFS(BD!$A$3:$A$5001,BD!$B$3:$B$5001,C$149,BD!$A$3:$A$5001,"&gt;="&amp;$C$7,BD!$A$3:$A$5001,"&lt;="&amp;$B160,BD!$M$3:$M$5001,"&lt;&gt;"))))</f>
        <v/>
      </c>
      <c r="D160" s="43" t="str">
        <f>IF(OR($B160="",$A160&gt;$B$9,D$149=""),"",IF(COUNTIFS(BD!$B$3:$B$5001,D$149,BD!$A$3:$A$5001,"&gt;="&amp;$C$7,BD!$A$3:$A$5001,"&lt;="&amp;$B160,BD!$M$3:$M$5001,"&lt;&gt;")=0,"",SUMIFS(BD!$M$3:$M$5001,BD!$B$3:$B$5001,D$149,BD!$A$3:$A$5001,_xlfn.MAXIFS(BD!$A$3:$A$5001,BD!$B$3:$B$5001,D$149,BD!$A$3:$A$5001,"&gt;="&amp;$C$7,BD!$A$3:$A$5001,"&lt;="&amp;$B160,BD!$M$3:$M$5001,"&lt;&gt;"))))</f>
        <v/>
      </c>
      <c r="E160" s="43" t="str">
        <f>IF(OR($B160="",$A160&gt;$B$9,E$149=""),"",IF(COUNTIFS(BD!$B$3:$B$5001,E$149,BD!$A$3:$A$5001,"&gt;="&amp;$C$7,BD!$A$3:$A$5001,"&lt;="&amp;$B160,BD!$M$3:$M$5001,"&lt;&gt;")=0,"",SUMIFS(BD!$M$3:$M$5001,BD!$B$3:$B$5001,E$149,BD!$A$3:$A$5001,_xlfn.MAXIFS(BD!$A$3:$A$5001,BD!$B$3:$B$5001,E$149,BD!$A$3:$A$5001,"&gt;="&amp;$C$7,BD!$A$3:$A$5001,"&lt;="&amp;$B160,BD!$M$3:$M$5001,"&lt;&gt;"))))</f>
        <v/>
      </c>
      <c r="F160" s="43" t="str">
        <f>IF(OR($B160="",$A160&gt;$B$9,F$149=""),"",IF(COUNTIFS(BD!$B$3:$B$5001,F$149,BD!$A$3:$A$5001,"&gt;="&amp;$C$7,BD!$A$3:$A$5001,"&lt;="&amp;$B160,BD!$M$3:$M$5001,"&lt;&gt;")=0,"",SUMIFS(BD!$M$3:$M$5001,BD!$B$3:$B$5001,F$149,BD!$A$3:$A$5001,_xlfn.MAXIFS(BD!$A$3:$A$5001,BD!$B$3:$B$5001,F$149,BD!$A$3:$A$5001,"&gt;="&amp;$C$7,BD!$A$3:$A$5001,"&lt;="&amp;$B160,BD!$M$3:$M$5001,"&lt;&gt;"))))</f>
        <v/>
      </c>
      <c r="G160" s="43" t="str">
        <f>IF(OR($B160="",$A160&gt;$B$9,G$149=""),"",IF(COUNTIFS(BD!$B$3:$B$5001,G$149,BD!$A$3:$A$5001,"&gt;="&amp;$C$7,BD!$A$3:$A$5001,"&lt;="&amp;$B160,BD!$M$3:$M$5001,"&lt;&gt;")=0,"",SUMIFS(BD!$M$3:$M$5001,BD!$B$3:$B$5001,G$149,BD!$A$3:$A$5001,_xlfn.MAXIFS(BD!$A$3:$A$5001,BD!$B$3:$B$5001,G$149,BD!$A$3:$A$5001,"&gt;="&amp;$C$7,BD!$A$3:$A$5001,"&lt;="&amp;$B160,BD!$M$3:$M$5001,"&lt;&gt;"))))</f>
        <v/>
      </c>
      <c r="H160" s="43" t="str">
        <f>IF(OR($B160="",$A160&gt;$B$9,H$149=""),"",IF(COUNTIFS(BD!$B$3:$B$5001,H$149,BD!$A$3:$A$5001,"&gt;="&amp;$C$7,BD!$A$3:$A$5001,"&lt;="&amp;$B160,BD!$M$3:$M$5001,"&lt;&gt;")=0,"",SUMIFS(BD!$M$3:$M$5001,BD!$B$3:$B$5001,H$149,BD!$A$3:$A$5001,_xlfn.MAXIFS(BD!$A$3:$A$5001,BD!$B$3:$B$5001,H$149,BD!$A$3:$A$5001,"&gt;="&amp;$C$7,BD!$A$3:$A$5001,"&lt;="&amp;$B160,BD!$M$3:$M$5001,"&lt;&gt;"))))</f>
        <v/>
      </c>
      <c r="I160" s="43" t="str">
        <f>IF(OR($B160="",$A160&gt;$B$9,I$149=""),"",IF(COUNTIFS(BD!$B$3:$B$5001,I$149,BD!$A$3:$A$5001,"&gt;="&amp;$C$7,BD!$A$3:$A$5001,"&lt;="&amp;$B160,BD!$M$3:$M$5001,"&lt;&gt;")=0,"",SUMIFS(BD!$M$3:$M$5001,BD!$B$3:$B$5001,I$149,BD!$A$3:$A$5001,_xlfn.MAXIFS(BD!$A$3:$A$5001,BD!$B$3:$B$5001,I$149,BD!$A$3:$A$5001,"&gt;="&amp;$C$7,BD!$A$3:$A$5001,"&lt;="&amp;$B160,BD!$M$3:$M$5001,"&lt;&gt;"))))</f>
        <v/>
      </c>
      <c r="J160" s="43" t="str">
        <f>IF(OR($B160="",$A160&gt;$B$9,J$149=""),"",IF(COUNTIFS(BD!$B$3:$B$5001,J$149,BD!$A$3:$A$5001,"&gt;="&amp;$C$7,BD!$A$3:$A$5001,"&lt;="&amp;$B160,BD!$M$3:$M$5001,"&lt;&gt;")=0,"",SUMIFS(BD!$M$3:$M$5001,BD!$B$3:$B$5001,J$149,BD!$A$3:$A$5001,_xlfn.MAXIFS(BD!$A$3:$A$5001,BD!$B$3:$B$5001,J$149,BD!$A$3:$A$5001,"&gt;="&amp;$C$7,BD!$A$3:$A$5001,"&lt;="&amp;$B160,BD!$M$3:$M$5001,"&lt;&gt;"))))</f>
        <v/>
      </c>
      <c r="K160" s="43" t="str">
        <f>IF(OR($B160="",$A160&gt;$B$9,K$149=""),"",IF(COUNTIFS(BD!$B$3:$B$5001,K$149,BD!$A$3:$A$5001,"&gt;="&amp;$C$7,BD!$A$3:$A$5001,"&lt;="&amp;$B160,BD!$M$3:$M$5001,"&lt;&gt;")=0,"",SUMIFS(BD!$M$3:$M$5001,BD!$B$3:$B$5001,K$149,BD!$A$3:$A$5001,_xlfn.MAXIFS(BD!$A$3:$A$5001,BD!$B$3:$B$5001,K$149,BD!$A$3:$A$5001,"&gt;="&amp;$C$7,BD!$A$3:$A$5001,"&lt;="&amp;$B160,BD!$M$3:$M$5001,"&lt;&gt;"))))</f>
        <v/>
      </c>
      <c r="L160" s="43" t="str">
        <f>IF(OR($B160="",$A160&gt;$B$9,L$149=""),"",IF(COUNTIFS(BD!$B$3:$B$5001,L$149,BD!$A$3:$A$5001,"&gt;="&amp;$C$7,BD!$A$3:$A$5001,"&lt;="&amp;$B160,BD!$M$3:$M$5001,"&lt;&gt;")=0,"",SUMIFS(BD!$M$3:$M$5001,BD!$B$3:$B$5001,L$149,BD!$A$3:$A$5001,_xlfn.MAXIFS(BD!$A$3:$A$5001,BD!$B$3:$B$5001,L$149,BD!$A$3:$A$5001,"&gt;="&amp;$C$7,BD!$A$3:$A$5001,"&lt;="&amp;$B160,BD!$M$3:$M$5001,"&lt;&gt;"))))</f>
        <v/>
      </c>
      <c r="M160" s="43" t="str">
        <f>IF(OR($B160="",$A160&gt;$B$9,M$149=""),"",IF(COUNTIFS(BD!$B$3:$B$5001,M$149,BD!$A$3:$A$5001,"&gt;="&amp;$C$7,BD!$A$3:$A$5001,"&lt;="&amp;$B160,BD!$M$3:$M$5001,"&lt;&gt;")=0,"",SUMIFS(BD!$M$3:$M$5001,BD!$B$3:$B$5001,M$149,BD!$A$3:$A$5001,_xlfn.MAXIFS(BD!$A$3:$A$5001,BD!$B$3:$B$5001,M$149,BD!$A$3:$A$5001,"&gt;="&amp;$C$7,BD!$A$3:$A$5001,"&lt;="&amp;$B160,BD!$M$3:$M$5001,"&lt;&gt;"))))</f>
        <v/>
      </c>
      <c r="N160" s="43" t="str">
        <f>IF(OR($B160="",$A160&gt;$B$9,N$149=""),"",IF(COUNTIFS(BD!$B$3:$B$5001,N$149,BD!$A$3:$A$5001,"&gt;="&amp;$C$7,BD!$A$3:$A$5001,"&lt;="&amp;$B160,BD!$M$3:$M$5001,"&lt;&gt;")=0,"",SUMIFS(BD!$M$3:$M$5001,BD!$B$3:$B$5001,N$149,BD!$A$3:$A$5001,_xlfn.MAXIFS(BD!$A$3:$A$5001,BD!$B$3:$B$5001,N$149,BD!$A$3:$A$5001,"&gt;="&amp;$C$7,BD!$A$3:$A$5001,"&lt;="&amp;$B160,BD!$M$3:$M$5001,"&lt;&gt;"))))</f>
        <v/>
      </c>
      <c r="O160" s="43" t="str">
        <f>IF(OR($B160="",$A160&gt;$B$9,O$149=""),"",IF(COUNTIFS(BD!$B$3:$B$5001,O$149,BD!$A$3:$A$5001,"&gt;="&amp;$C$7,BD!$A$3:$A$5001,"&lt;="&amp;$B160,BD!$M$3:$M$5001,"&lt;&gt;")=0,"",SUMIFS(BD!$M$3:$M$5001,BD!$B$3:$B$5001,O$149,BD!$A$3:$A$5001,_xlfn.MAXIFS(BD!$A$3:$A$5001,BD!$B$3:$B$5001,O$149,BD!$A$3:$A$5001,"&gt;="&amp;$C$7,BD!$A$3:$A$5001,"&lt;="&amp;$B160,BD!$M$3:$M$5001,"&lt;&gt;"))))</f>
        <v/>
      </c>
      <c r="P160" s="43" t="str">
        <f>IF(OR($B160="",$A160&gt;$B$9,P$149=""),"",IF(COUNTIFS(BD!$B$3:$B$5001,P$149,BD!$A$3:$A$5001,"&gt;="&amp;$C$7,BD!$A$3:$A$5001,"&lt;="&amp;$B160,BD!$M$3:$M$5001,"&lt;&gt;")=0,"",SUMIFS(BD!$M$3:$M$5001,BD!$B$3:$B$5001,P$149,BD!$A$3:$A$5001,_xlfn.MAXIFS(BD!$A$3:$A$5001,BD!$B$3:$B$5001,P$149,BD!$A$3:$A$5001,"&gt;="&amp;$C$7,BD!$A$3:$A$5001,"&lt;="&amp;$B160,BD!$M$3:$M$5001,"&lt;&gt;"))))</f>
        <v/>
      </c>
      <c r="Q160" s="43" t="str">
        <f>IF(OR($B160="",$A160&gt;$B$9,Q$149=""),"",IF(COUNTIFS(BD!$B$3:$B$5001,Q$149,BD!$A$3:$A$5001,"&gt;="&amp;$C$7,BD!$A$3:$A$5001,"&lt;="&amp;$B160,BD!$M$3:$M$5001,"&lt;&gt;")=0,"",SUMIFS(BD!$M$3:$M$5001,BD!$B$3:$B$5001,Q$149,BD!$A$3:$A$5001,_xlfn.MAXIFS(BD!$A$3:$A$5001,BD!$B$3:$B$5001,Q$149,BD!$A$3:$A$5001,"&gt;="&amp;$C$7,BD!$A$3:$A$5001,"&lt;="&amp;$B160,BD!$M$3:$M$5001,"&lt;&gt;"))))</f>
        <v/>
      </c>
      <c r="R160" s="43" t="str">
        <f>IF(OR($B160="",$A160&gt;$B$9,R$149=""),"",IF(COUNTIFS(BD!$B$3:$B$5001,R$149,BD!$A$3:$A$5001,"&gt;="&amp;$C$7,BD!$A$3:$A$5001,"&lt;="&amp;$B160,BD!$M$3:$M$5001,"&lt;&gt;")=0,"",SUMIFS(BD!$M$3:$M$5001,BD!$B$3:$B$5001,R$149,BD!$A$3:$A$5001,_xlfn.MAXIFS(BD!$A$3:$A$5001,BD!$B$3:$B$5001,R$149,BD!$A$3:$A$5001,"&gt;="&amp;$C$7,BD!$A$3:$A$5001,"&lt;="&amp;$B160,BD!$M$3:$M$5001,"&lt;&gt;"))))</f>
        <v/>
      </c>
      <c r="S160" s="43" t="str">
        <f>IF(OR($B160="",$A160&gt;$B$9,S$149=""),"",IF(COUNTIFS(BD!$B$3:$B$5001,S$149,BD!$A$3:$A$5001,"&gt;="&amp;$C$7,BD!$A$3:$A$5001,"&lt;="&amp;$B160,BD!$M$3:$M$5001,"&lt;&gt;")=0,"",SUMIFS(BD!$M$3:$M$5001,BD!$B$3:$B$5001,S$149,BD!$A$3:$A$5001,_xlfn.MAXIFS(BD!$A$3:$A$5001,BD!$B$3:$B$5001,S$149,BD!$A$3:$A$5001,"&gt;="&amp;$C$7,BD!$A$3:$A$5001,"&lt;="&amp;$B160,BD!$M$3:$M$5001,"&lt;&gt;"))))</f>
        <v/>
      </c>
      <c r="T160" s="43" t="str">
        <f>IF(OR($B160="",$A160&gt;$B$9,T$149=""),"",IF(COUNTIFS(BD!$B$3:$B$5001,T$149,BD!$A$3:$A$5001,"&gt;="&amp;$C$7,BD!$A$3:$A$5001,"&lt;="&amp;$B160,BD!$M$3:$M$5001,"&lt;&gt;")=0,"",SUMIFS(BD!$M$3:$M$5001,BD!$B$3:$B$5001,T$149,BD!$A$3:$A$5001,_xlfn.MAXIFS(BD!$A$3:$A$5001,BD!$B$3:$B$5001,T$149,BD!$A$3:$A$5001,"&gt;="&amp;$C$7,BD!$A$3:$A$5001,"&lt;="&amp;$B160,BD!$M$3:$M$5001,"&lt;&gt;"))))</f>
        <v/>
      </c>
      <c r="U160" s="43" t="str">
        <f>IF(OR($B160="",$A160&gt;$B$9,U$149=""),"",IF(COUNTIFS(BD!$B$3:$B$5001,U$149,BD!$A$3:$A$5001,"&gt;="&amp;$C$7,BD!$A$3:$A$5001,"&lt;="&amp;$B160,BD!$M$3:$M$5001,"&lt;&gt;")=0,"",SUMIFS(BD!$M$3:$M$5001,BD!$B$3:$B$5001,U$149,BD!$A$3:$A$5001,_xlfn.MAXIFS(BD!$A$3:$A$5001,BD!$B$3:$B$5001,U$149,BD!$A$3:$A$5001,"&gt;="&amp;$C$7,BD!$A$3:$A$5001,"&lt;="&amp;$B160,BD!$M$3:$M$5001,"&lt;&gt;"))))</f>
        <v/>
      </c>
      <c r="V160" s="43" t="str">
        <f>IF(OR($B160="",$A160&gt;$B$9,V$149=""),"",IF(COUNTIFS(BD!$B$3:$B$5001,V$149,BD!$A$3:$A$5001,"&gt;="&amp;$C$7,BD!$A$3:$A$5001,"&lt;="&amp;$B160,BD!$M$3:$M$5001,"&lt;&gt;")=0,"",SUMIFS(BD!$M$3:$M$5001,BD!$B$3:$B$5001,V$149,BD!$A$3:$A$5001,_xlfn.MAXIFS(BD!$A$3:$A$5001,BD!$B$3:$B$5001,V$149,BD!$A$3:$A$5001,"&gt;="&amp;$C$7,BD!$A$3:$A$5001,"&lt;="&amp;$B160,BD!$M$3:$M$5001,"&lt;&gt;"))))</f>
        <v/>
      </c>
    </row>
    <row r="161">
      <c r="A161" s="38">
        <v>12</v>
      </c>
      <c r="B161" s="42">
        <f>$B$23</f>
        <v>46307</v>
      </c>
      <c r="C161" s="43" t="str">
        <f>IF(OR($B161="",$A161&gt;$B$9,C$149=""),"",IF(COUNTIFS(BD!$B$3:$B$5001,C$149,BD!$A$3:$A$5001,"&gt;="&amp;$C$7,BD!$A$3:$A$5001,"&lt;="&amp;$B161,BD!$M$3:$M$5001,"&lt;&gt;")=0,"",SUMIFS(BD!$M$3:$M$5001,BD!$B$3:$B$5001,C$149,BD!$A$3:$A$5001,_xlfn.MAXIFS(BD!$A$3:$A$5001,BD!$B$3:$B$5001,C$149,BD!$A$3:$A$5001,"&gt;="&amp;$C$7,BD!$A$3:$A$5001,"&lt;="&amp;$B161,BD!$M$3:$M$5001,"&lt;&gt;"))))</f>
        <v/>
      </c>
      <c r="D161" s="43" t="str">
        <f>IF(OR($B161="",$A161&gt;$B$9,D$149=""),"",IF(COUNTIFS(BD!$B$3:$B$5001,D$149,BD!$A$3:$A$5001,"&gt;="&amp;$C$7,BD!$A$3:$A$5001,"&lt;="&amp;$B161,BD!$M$3:$M$5001,"&lt;&gt;")=0,"",SUMIFS(BD!$M$3:$M$5001,BD!$B$3:$B$5001,D$149,BD!$A$3:$A$5001,_xlfn.MAXIFS(BD!$A$3:$A$5001,BD!$B$3:$B$5001,D$149,BD!$A$3:$A$5001,"&gt;="&amp;$C$7,BD!$A$3:$A$5001,"&lt;="&amp;$B161,BD!$M$3:$M$5001,"&lt;&gt;"))))</f>
        <v/>
      </c>
      <c r="E161" s="43" t="str">
        <f>IF(OR($B161="",$A161&gt;$B$9,E$149=""),"",IF(COUNTIFS(BD!$B$3:$B$5001,E$149,BD!$A$3:$A$5001,"&gt;="&amp;$C$7,BD!$A$3:$A$5001,"&lt;="&amp;$B161,BD!$M$3:$M$5001,"&lt;&gt;")=0,"",SUMIFS(BD!$M$3:$M$5001,BD!$B$3:$B$5001,E$149,BD!$A$3:$A$5001,_xlfn.MAXIFS(BD!$A$3:$A$5001,BD!$B$3:$B$5001,E$149,BD!$A$3:$A$5001,"&gt;="&amp;$C$7,BD!$A$3:$A$5001,"&lt;="&amp;$B161,BD!$M$3:$M$5001,"&lt;&gt;"))))</f>
        <v/>
      </c>
      <c r="F161" s="43" t="str">
        <f>IF(OR($B161="",$A161&gt;$B$9,F$149=""),"",IF(COUNTIFS(BD!$B$3:$B$5001,F$149,BD!$A$3:$A$5001,"&gt;="&amp;$C$7,BD!$A$3:$A$5001,"&lt;="&amp;$B161,BD!$M$3:$M$5001,"&lt;&gt;")=0,"",SUMIFS(BD!$M$3:$M$5001,BD!$B$3:$B$5001,F$149,BD!$A$3:$A$5001,_xlfn.MAXIFS(BD!$A$3:$A$5001,BD!$B$3:$B$5001,F$149,BD!$A$3:$A$5001,"&gt;="&amp;$C$7,BD!$A$3:$A$5001,"&lt;="&amp;$B161,BD!$M$3:$M$5001,"&lt;&gt;"))))</f>
        <v/>
      </c>
      <c r="G161" s="43" t="str">
        <f>IF(OR($B161="",$A161&gt;$B$9,G$149=""),"",IF(COUNTIFS(BD!$B$3:$B$5001,G$149,BD!$A$3:$A$5001,"&gt;="&amp;$C$7,BD!$A$3:$A$5001,"&lt;="&amp;$B161,BD!$M$3:$M$5001,"&lt;&gt;")=0,"",SUMIFS(BD!$M$3:$M$5001,BD!$B$3:$B$5001,G$149,BD!$A$3:$A$5001,_xlfn.MAXIFS(BD!$A$3:$A$5001,BD!$B$3:$B$5001,G$149,BD!$A$3:$A$5001,"&gt;="&amp;$C$7,BD!$A$3:$A$5001,"&lt;="&amp;$B161,BD!$M$3:$M$5001,"&lt;&gt;"))))</f>
        <v/>
      </c>
      <c r="H161" s="43" t="str">
        <f>IF(OR($B161="",$A161&gt;$B$9,H$149=""),"",IF(COUNTIFS(BD!$B$3:$B$5001,H$149,BD!$A$3:$A$5001,"&gt;="&amp;$C$7,BD!$A$3:$A$5001,"&lt;="&amp;$B161,BD!$M$3:$M$5001,"&lt;&gt;")=0,"",SUMIFS(BD!$M$3:$M$5001,BD!$B$3:$B$5001,H$149,BD!$A$3:$A$5001,_xlfn.MAXIFS(BD!$A$3:$A$5001,BD!$B$3:$B$5001,H$149,BD!$A$3:$A$5001,"&gt;="&amp;$C$7,BD!$A$3:$A$5001,"&lt;="&amp;$B161,BD!$M$3:$M$5001,"&lt;&gt;"))))</f>
        <v/>
      </c>
      <c r="I161" s="43" t="str">
        <f>IF(OR($B161="",$A161&gt;$B$9,I$149=""),"",IF(COUNTIFS(BD!$B$3:$B$5001,I$149,BD!$A$3:$A$5001,"&gt;="&amp;$C$7,BD!$A$3:$A$5001,"&lt;="&amp;$B161,BD!$M$3:$M$5001,"&lt;&gt;")=0,"",SUMIFS(BD!$M$3:$M$5001,BD!$B$3:$B$5001,I$149,BD!$A$3:$A$5001,_xlfn.MAXIFS(BD!$A$3:$A$5001,BD!$B$3:$B$5001,I$149,BD!$A$3:$A$5001,"&gt;="&amp;$C$7,BD!$A$3:$A$5001,"&lt;="&amp;$B161,BD!$M$3:$M$5001,"&lt;&gt;"))))</f>
        <v/>
      </c>
      <c r="J161" s="43" t="str">
        <f>IF(OR($B161="",$A161&gt;$B$9,J$149=""),"",IF(COUNTIFS(BD!$B$3:$B$5001,J$149,BD!$A$3:$A$5001,"&gt;="&amp;$C$7,BD!$A$3:$A$5001,"&lt;="&amp;$B161,BD!$M$3:$M$5001,"&lt;&gt;")=0,"",SUMIFS(BD!$M$3:$M$5001,BD!$B$3:$B$5001,J$149,BD!$A$3:$A$5001,_xlfn.MAXIFS(BD!$A$3:$A$5001,BD!$B$3:$B$5001,J$149,BD!$A$3:$A$5001,"&gt;="&amp;$C$7,BD!$A$3:$A$5001,"&lt;="&amp;$B161,BD!$M$3:$M$5001,"&lt;&gt;"))))</f>
        <v/>
      </c>
      <c r="K161" s="43" t="str">
        <f>IF(OR($B161="",$A161&gt;$B$9,K$149=""),"",IF(COUNTIFS(BD!$B$3:$B$5001,K$149,BD!$A$3:$A$5001,"&gt;="&amp;$C$7,BD!$A$3:$A$5001,"&lt;="&amp;$B161,BD!$M$3:$M$5001,"&lt;&gt;")=0,"",SUMIFS(BD!$M$3:$M$5001,BD!$B$3:$B$5001,K$149,BD!$A$3:$A$5001,_xlfn.MAXIFS(BD!$A$3:$A$5001,BD!$B$3:$B$5001,K$149,BD!$A$3:$A$5001,"&gt;="&amp;$C$7,BD!$A$3:$A$5001,"&lt;="&amp;$B161,BD!$M$3:$M$5001,"&lt;&gt;"))))</f>
        <v/>
      </c>
      <c r="L161" s="43" t="str">
        <f>IF(OR($B161="",$A161&gt;$B$9,L$149=""),"",IF(COUNTIFS(BD!$B$3:$B$5001,L$149,BD!$A$3:$A$5001,"&gt;="&amp;$C$7,BD!$A$3:$A$5001,"&lt;="&amp;$B161,BD!$M$3:$M$5001,"&lt;&gt;")=0,"",SUMIFS(BD!$M$3:$M$5001,BD!$B$3:$B$5001,L$149,BD!$A$3:$A$5001,_xlfn.MAXIFS(BD!$A$3:$A$5001,BD!$B$3:$B$5001,L$149,BD!$A$3:$A$5001,"&gt;="&amp;$C$7,BD!$A$3:$A$5001,"&lt;="&amp;$B161,BD!$M$3:$M$5001,"&lt;&gt;"))))</f>
        <v/>
      </c>
      <c r="M161" s="43" t="str">
        <f>IF(OR($B161="",$A161&gt;$B$9,M$149=""),"",IF(COUNTIFS(BD!$B$3:$B$5001,M$149,BD!$A$3:$A$5001,"&gt;="&amp;$C$7,BD!$A$3:$A$5001,"&lt;="&amp;$B161,BD!$M$3:$M$5001,"&lt;&gt;")=0,"",SUMIFS(BD!$M$3:$M$5001,BD!$B$3:$B$5001,M$149,BD!$A$3:$A$5001,_xlfn.MAXIFS(BD!$A$3:$A$5001,BD!$B$3:$B$5001,M$149,BD!$A$3:$A$5001,"&gt;="&amp;$C$7,BD!$A$3:$A$5001,"&lt;="&amp;$B161,BD!$M$3:$M$5001,"&lt;&gt;"))))</f>
        <v/>
      </c>
      <c r="N161" s="43" t="str">
        <f>IF(OR($B161="",$A161&gt;$B$9,N$149=""),"",IF(COUNTIFS(BD!$B$3:$B$5001,N$149,BD!$A$3:$A$5001,"&gt;="&amp;$C$7,BD!$A$3:$A$5001,"&lt;="&amp;$B161,BD!$M$3:$M$5001,"&lt;&gt;")=0,"",SUMIFS(BD!$M$3:$M$5001,BD!$B$3:$B$5001,N$149,BD!$A$3:$A$5001,_xlfn.MAXIFS(BD!$A$3:$A$5001,BD!$B$3:$B$5001,N$149,BD!$A$3:$A$5001,"&gt;="&amp;$C$7,BD!$A$3:$A$5001,"&lt;="&amp;$B161,BD!$M$3:$M$5001,"&lt;&gt;"))))</f>
        <v/>
      </c>
      <c r="O161" s="43" t="str">
        <f>IF(OR($B161="",$A161&gt;$B$9,O$149=""),"",IF(COUNTIFS(BD!$B$3:$B$5001,O$149,BD!$A$3:$A$5001,"&gt;="&amp;$C$7,BD!$A$3:$A$5001,"&lt;="&amp;$B161,BD!$M$3:$M$5001,"&lt;&gt;")=0,"",SUMIFS(BD!$M$3:$M$5001,BD!$B$3:$B$5001,O$149,BD!$A$3:$A$5001,_xlfn.MAXIFS(BD!$A$3:$A$5001,BD!$B$3:$B$5001,O$149,BD!$A$3:$A$5001,"&gt;="&amp;$C$7,BD!$A$3:$A$5001,"&lt;="&amp;$B161,BD!$M$3:$M$5001,"&lt;&gt;"))))</f>
        <v/>
      </c>
      <c r="P161" s="43" t="str">
        <f>IF(OR($B161="",$A161&gt;$B$9,P$149=""),"",IF(COUNTIFS(BD!$B$3:$B$5001,P$149,BD!$A$3:$A$5001,"&gt;="&amp;$C$7,BD!$A$3:$A$5001,"&lt;="&amp;$B161,BD!$M$3:$M$5001,"&lt;&gt;")=0,"",SUMIFS(BD!$M$3:$M$5001,BD!$B$3:$B$5001,P$149,BD!$A$3:$A$5001,_xlfn.MAXIFS(BD!$A$3:$A$5001,BD!$B$3:$B$5001,P$149,BD!$A$3:$A$5001,"&gt;="&amp;$C$7,BD!$A$3:$A$5001,"&lt;="&amp;$B161,BD!$M$3:$M$5001,"&lt;&gt;"))))</f>
        <v/>
      </c>
      <c r="Q161" s="43" t="str">
        <f>IF(OR($B161="",$A161&gt;$B$9,Q$149=""),"",IF(COUNTIFS(BD!$B$3:$B$5001,Q$149,BD!$A$3:$A$5001,"&gt;="&amp;$C$7,BD!$A$3:$A$5001,"&lt;="&amp;$B161,BD!$M$3:$M$5001,"&lt;&gt;")=0,"",SUMIFS(BD!$M$3:$M$5001,BD!$B$3:$B$5001,Q$149,BD!$A$3:$A$5001,_xlfn.MAXIFS(BD!$A$3:$A$5001,BD!$B$3:$B$5001,Q$149,BD!$A$3:$A$5001,"&gt;="&amp;$C$7,BD!$A$3:$A$5001,"&lt;="&amp;$B161,BD!$M$3:$M$5001,"&lt;&gt;"))))</f>
        <v/>
      </c>
      <c r="R161" s="43" t="str">
        <f>IF(OR($B161="",$A161&gt;$B$9,R$149=""),"",IF(COUNTIFS(BD!$B$3:$B$5001,R$149,BD!$A$3:$A$5001,"&gt;="&amp;$C$7,BD!$A$3:$A$5001,"&lt;="&amp;$B161,BD!$M$3:$M$5001,"&lt;&gt;")=0,"",SUMIFS(BD!$M$3:$M$5001,BD!$B$3:$B$5001,R$149,BD!$A$3:$A$5001,_xlfn.MAXIFS(BD!$A$3:$A$5001,BD!$B$3:$B$5001,R$149,BD!$A$3:$A$5001,"&gt;="&amp;$C$7,BD!$A$3:$A$5001,"&lt;="&amp;$B161,BD!$M$3:$M$5001,"&lt;&gt;"))))</f>
        <v/>
      </c>
      <c r="S161" s="43" t="str">
        <f>IF(OR($B161="",$A161&gt;$B$9,S$149=""),"",IF(COUNTIFS(BD!$B$3:$B$5001,S$149,BD!$A$3:$A$5001,"&gt;="&amp;$C$7,BD!$A$3:$A$5001,"&lt;="&amp;$B161,BD!$M$3:$M$5001,"&lt;&gt;")=0,"",SUMIFS(BD!$M$3:$M$5001,BD!$B$3:$B$5001,S$149,BD!$A$3:$A$5001,_xlfn.MAXIFS(BD!$A$3:$A$5001,BD!$B$3:$B$5001,S$149,BD!$A$3:$A$5001,"&gt;="&amp;$C$7,BD!$A$3:$A$5001,"&lt;="&amp;$B161,BD!$M$3:$M$5001,"&lt;&gt;"))))</f>
        <v/>
      </c>
      <c r="T161" s="43" t="str">
        <f>IF(OR($B161="",$A161&gt;$B$9,T$149=""),"",IF(COUNTIFS(BD!$B$3:$B$5001,T$149,BD!$A$3:$A$5001,"&gt;="&amp;$C$7,BD!$A$3:$A$5001,"&lt;="&amp;$B161,BD!$M$3:$M$5001,"&lt;&gt;")=0,"",SUMIFS(BD!$M$3:$M$5001,BD!$B$3:$B$5001,T$149,BD!$A$3:$A$5001,_xlfn.MAXIFS(BD!$A$3:$A$5001,BD!$B$3:$B$5001,T$149,BD!$A$3:$A$5001,"&gt;="&amp;$C$7,BD!$A$3:$A$5001,"&lt;="&amp;$B161,BD!$M$3:$M$5001,"&lt;&gt;"))))</f>
        <v/>
      </c>
      <c r="U161" s="43" t="str">
        <f>IF(OR($B161="",$A161&gt;$B$9,U$149=""),"",IF(COUNTIFS(BD!$B$3:$B$5001,U$149,BD!$A$3:$A$5001,"&gt;="&amp;$C$7,BD!$A$3:$A$5001,"&lt;="&amp;$B161,BD!$M$3:$M$5001,"&lt;&gt;")=0,"",SUMIFS(BD!$M$3:$M$5001,BD!$B$3:$B$5001,U$149,BD!$A$3:$A$5001,_xlfn.MAXIFS(BD!$A$3:$A$5001,BD!$B$3:$B$5001,U$149,BD!$A$3:$A$5001,"&gt;="&amp;$C$7,BD!$A$3:$A$5001,"&lt;="&amp;$B161,BD!$M$3:$M$5001,"&lt;&gt;"))))</f>
        <v/>
      </c>
      <c r="V161" s="43" t="str">
        <f>IF(OR($B161="",$A161&gt;$B$9,V$149=""),"",IF(COUNTIFS(BD!$B$3:$B$5001,V$149,BD!$A$3:$A$5001,"&gt;="&amp;$C$7,BD!$A$3:$A$5001,"&lt;="&amp;$B161,BD!$M$3:$M$5001,"&lt;&gt;")=0,"",SUMIFS(BD!$M$3:$M$5001,BD!$B$3:$B$5001,V$149,BD!$A$3:$A$5001,_xlfn.MAXIFS(BD!$A$3:$A$5001,BD!$B$3:$B$5001,V$149,BD!$A$3:$A$5001,"&gt;="&amp;$C$7,BD!$A$3:$A$5001,"&lt;="&amp;$B161,BD!$M$3:$M$5001,"&lt;&gt;"))))</f>
        <v/>
      </c>
    </row>
    <row r="162">
      <c r="A162" s="38">
        <v>13</v>
      </c>
      <c r="B162" s="42">
        <f>$B$24</f>
        <v>46308</v>
      </c>
      <c r="C162" s="43" t="str">
        <f>IF(OR($B162="",$A162&gt;$B$9,C$149=""),"",IF(COUNTIFS(BD!$B$3:$B$5001,C$149,BD!$A$3:$A$5001,"&gt;="&amp;$C$7,BD!$A$3:$A$5001,"&lt;="&amp;$B162,BD!$M$3:$M$5001,"&lt;&gt;")=0,"",SUMIFS(BD!$M$3:$M$5001,BD!$B$3:$B$5001,C$149,BD!$A$3:$A$5001,_xlfn.MAXIFS(BD!$A$3:$A$5001,BD!$B$3:$B$5001,C$149,BD!$A$3:$A$5001,"&gt;="&amp;$C$7,BD!$A$3:$A$5001,"&lt;="&amp;$B162,BD!$M$3:$M$5001,"&lt;&gt;"))))</f>
        <v/>
      </c>
      <c r="D162" s="43" t="str">
        <f>IF(OR($B162="",$A162&gt;$B$9,D$149=""),"",IF(COUNTIFS(BD!$B$3:$B$5001,D$149,BD!$A$3:$A$5001,"&gt;="&amp;$C$7,BD!$A$3:$A$5001,"&lt;="&amp;$B162,BD!$M$3:$M$5001,"&lt;&gt;")=0,"",SUMIFS(BD!$M$3:$M$5001,BD!$B$3:$B$5001,D$149,BD!$A$3:$A$5001,_xlfn.MAXIFS(BD!$A$3:$A$5001,BD!$B$3:$B$5001,D$149,BD!$A$3:$A$5001,"&gt;="&amp;$C$7,BD!$A$3:$A$5001,"&lt;="&amp;$B162,BD!$M$3:$M$5001,"&lt;&gt;"))))</f>
        <v/>
      </c>
      <c r="E162" s="43" t="str">
        <f>IF(OR($B162="",$A162&gt;$B$9,E$149=""),"",IF(COUNTIFS(BD!$B$3:$B$5001,E$149,BD!$A$3:$A$5001,"&gt;="&amp;$C$7,BD!$A$3:$A$5001,"&lt;="&amp;$B162,BD!$M$3:$M$5001,"&lt;&gt;")=0,"",SUMIFS(BD!$M$3:$M$5001,BD!$B$3:$B$5001,E$149,BD!$A$3:$A$5001,_xlfn.MAXIFS(BD!$A$3:$A$5001,BD!$B$3:$B$5001,E$149,BD!$A$3:$A$5001,"&gt;="&amp;$C$7,BD!$A$3:$A$5001,"&lt;="&amp;$B162,BD!$M$3:$M$5001,"&lt;&gt;"))))</f>
        <v/>
      </c>
      <c r="F162" s="43" t="str">
        <f>IF(OR($B162="",$A162&gt;$B$9,F$149=""),"",IF(COUNTIFS(BD!$B$3:$B$5001,F$149,BD!$A$3:$A$5001,"&gt;="&amp;$C$7,BD!$A$3:$A$5001,"&lt;="&amp;$B162,BD!$M$3:$M$5001,"&lt;&gt;")=0,"",SUMIFS(BD!$M$3:$M$5001,BD!$B$3:$B$5001,F$149,BD!$A$3:$A$5001,_xlfn.MAXIFS(BD!$A$3:$A$5001,BD!$B$3:$B$5001,F$149,BD!$A$3:$A$5001,"&gt;="&amp;$C$7,BD!$A$3:$A$5001,"&lt;="&amp;$B162,BD!$M$3:$M$5001,"&lt;&gt;"))))</f>
        <v/>
      </c>
      <c r="G162" s="43" t="str">
        <f>IF(OR($B162="",$A162&gt;$B$9,G$149=""),"",IF(COUNTIFS(BD!$B$3:$B$5001,G$149,BD!$A$3:$A$5001,"&gt;="&amp;$C$7,BD!$A$3:$A$5001,"&lt;="&amp;$B162,BD!$M$3:$M$5001,"&lt;&gt;")=0,"",SUMIFS(BD!$M$3:$M$5001,BD!$B$3:$B$5001,G$149,BD!$A$3:$A$5001,_xlfn.MAXIFS(BD!$A$3:$A$5001,BD!$B$3:$B$5001,G$149,BD!$A$3:$A$5001,"&gt;="&amp;$C$7,BD!$A$3:$A$5001,"&lt;="&amp;$B162,BD!$M$3:$M$5001,"&lt;&gt;"))))</f>
        <v/>
      </c>
      <c r="H162" s="43" t="str">
        <f>IF(OR($B162="",$A162&gt;$B$9,H$149=""),"",IF(COUNTIFS(BD!$B$3:$B$5001,H$149,BD!$A$3:$A$5001,"&gt;="&amp;$C$7,BD!$A$3:$A$5001,"&lt;="&amp;$B162,BD!$M$3:$M$5001,"&lt;&gt;")=0,"",SUMIFS(BD!$M$3:$M$5001,BD!$B$3:$B$5001,H$149,BD!$A$3:$A$5001,_xlfn.MAXIFS(BD!$A$3:$A$5001,BD!$B$3:$B$5001,H$149,BD!$A$3:$A$5001,"&gt;="&amp;$C$7,BD!$A$3:$A$5001,"&lt;="&amp;$B162,BD!$M$3:$M$5001,"&lt;&gt;"))))</f>
        <v/>
      </c>
      <c r="I162" s="43" t="str">
        <f>IF(OR($B162="",$A162&gt;$B$9,I$149=""),"",IF(COUNTIFS(BD!$B$3:$B$5001,I$149,BD!$A$3:$A$5001,"&gt;="&amp;$C$7,BD!$A$3:$A$5001,"&lt;="&amp;$B162,BD!$M$3:$M$5001,"&lt;&gt;")=0,"",SUMIFS(BD!$M$3:$M$5001,BD!$B$3:$B$5001,I$149,BD!$A$3:$A$5001,_xlfn.MAXIFS(BD!$A$3:$A$5001,BD!$B$3:$B$5001,I$149,BD!$A$3:$A$5001,"&gt;="&amp;$C$7,BD!$A$3:$A$5001,"&lt;="&amp;$B162,BD!$M$3:$M$5001,"&lt;&gt;"))))</f>
        <v/>
      </c>
      <c r="J162" s="43" t="str">
        <f>IF(OR($B162="",$A162&gt;$B$9,J$149=""),"",IF(COUNTIFS(BD!$B$3:$B$5001,J$149,BD!$A$3:$A$5001,"&gt;="&amp;$C$7,BD!$A$3:$A$5001,"&lt;="&amp;$B162,BD!$M$3:$M$5001,"&lt;&gt;")=0,"",SUMIFS(BD!$M$3:$M$5001,BD!$B$3:$B$5001,J$149,BD!$A$3:$A$5001,_xlfn.MAXIFS(BD!$A$3:$A$5001,BD!$B$3:$B$5001,J$149,BD!$A$3:$A$5001,"&gt;="&amp;$C$7,BD!$A$3:$A$5001,"&lt;="&amp;$B162,BD!$M$3:$M$5001,"&lt;&gt;"))))</f>
        <v/>
      </c>
      <c r="K162" s="43" t="str">
        <f>IF(OR($B162="",$A162&gt;$B$9,K$149=""),"",IF(COUNTIFS(BD!$B$3:$B$5001,K$149,BD!$A$3:$A$5001,"&gt;="&amp;$C$7,BD!$A$3:$A$5001,"&lt;="&amp;$B162,BD!$M$3:$M$5001,"&lt;&gt;")=0,"",SUMIFS(BD!$M$3:$M$5001,BD!$B$3:$B$5001,K$149,BD!$A$3:$A$5001,_xlfn.MAXIFS(BD!$A$3:$A$5001,BD!$B$3:$B$5001,K$149,BD!$A$3:$A$5001,"&gt;="&amp;$C$7,BD!$A$3:$A$5001,"&lt;="&amp;$B162,BD!$M$3:$M$5001,"&lt;&gt;"))))</f>
        <v/>
      </c>
      <c r="L162" s="43" t="str">
        <f>IF(OR($B162="",$A162&gt;$B$9,L$149=""),"",IF(COUNTIFS(BD!$B$3:$B$5001,L$149,BD!$A$3:$A$5001,"&gt;="&amp;$C$7,BD!$A$3:$A$5001,"&lt;="&amp;$B162,BD!$M$3:$M$5001,"&lt;&gt;")=0,"",SUMIFS(BD!$M$3:$M$5001,BD!$B$3:$B$5001,L$149,BD!$A$3:$A$5001,_xlfn.MAXIFS(BD!$A$3:$A$5001,BD!$B$3:$B$5001,L$149,BD!$A$3:$A$5001,"&gt;="&amp;$C$7,BD!$A$3:$A$5001,"&lt;="&amp;$B162,BD!$M$3:$M$5001,"&lt;&gt;"))))</f>
        <v/>
      </c>
      <c r="M162" s="43" t="str">
        <f>IF(OR($B162="",$A162&gt;$B$9,M$149=""),"",IF(COUNTIFS(BD!$B$3:$B$5001,M$149,BD!$A$3:$A$5001,"&gt;="&amp;$C$7,BD!$A$3:$A$5001,"&lt;="&amp;$B162,BD!$M$3:$M$5001,"&lt;&gt;")=0,"",SUMIFS(BD!$M$3:$M$5001,BD!$B$3:$B$5001,M$149,BD!$A$3:$A$5001,_xlfn.MAXIFS(BD!$A$3:$A$5001,BD!$B$3:$B$5001,M$149,BD!$A$3:$A$5001,"&gt;="&amp;$C$7,BD!$A$3:$A$5001,"&lt;="&amp;$B162,BD!$M$3:$M$5001,"&lt;&gt;"))))</f>
        <v/>
      </c>
      <c r="N162" s="43" t="str">
        <f>IF(OR($B162="",$A162&gt;$B$9,N$149=""),"",IF(COUNTIFS(BD!$B$3:$B$5001,N$149,BD!$A$3:$A$5001,"&gt;="&amp;$C$7,BD!$A$3:$A$5001,"&lt;="&amp;$B162,BD!$M$3:$M$5001,"&lt;&gt;")=0,"",SUMIFS(BD!$M$3:$M$5001,BD!$B$3:$B$5001,N$149,BD!$A$3:$A$5001,_xlfn.MAXIFS(BD!$A$3:$A$5001,BD!$B$3:$B$5001,N$149,BD!$A$3:$A$5001,"&gt;="&amp;$C$7,BD!$A$3:$A$5001,"&lt;="&amp;$B162,BD!$M$3:$M$5001,"&lt;&gt;"))))</f>
        <v/>
      </c>
      <c r="O162" s="43" t="str">
        <f>IF(OR($B162="",$A162&gt;$B$9,O$149=""),"",IF(COUNTIFS(BD!$B$3:$B$5001,O$149,BD!$A$3:$A$5001,"&gt;="&amp;$C$7,BD!$A$3:$A$5001,"&lt;="&amp;$B162,BD!$M$3:$M$5001,"&lt;&gt;")=0,"",SUMIFS(BD!$M$3:$M$5001,BD!$B$3:$B$5001,O$149,BD!$A$3:$A$5001,_xlfn.MAXIFS(BD!$A$3:$A$5001,BD!$B$3:$B$5001,O$149,BD!$A$3:$A$5001,"&gt;="&amp;$C$7,BD!$A$3:$A$5001,"&lt;="&amp;$B162,BD!$M$3:$M$5001,"&lt;&gt;"))))</f>
        <v/>
      </c>
      <c r="P162" s="43" t="str">
        <f>IF(OR($B162="",$A162&gt;$B$9,P$149=""),"",IF(COUNTIFS(BD!$B$3:$B$5001,P$149,BD!$A$3:$A$5001,"&gt;="&amp;$C$7,BD!$A$3:$A$5001,"&lt;="&amp;$B162,BD!$M$3:$M$5001,"&lt;&gt;")=0,"",SUMIFS(BD!$M$3:$M$5001,BD!$B$3:$B$5001,P$149,BD!$A$3:$A$5001,_xlfn.MAXIFS(BD!$A$3:$A$5001,BD!$B$3:$B$5001,P$149,BD!$A$3:$A$5001,"&gt;="&amp;$C$7,BD!$A$3:$A$5001,"&lt;="&amp;$B162,BD!$M$3:$M$5001,"&lt;&gt;"))))</f>
        <v/>
      </c>
      <c r="Q162" s="43" t="str">
        <f>IF(OR($B162="",$A162&gt;$B$9,Q$149=""),"",IF(COUNTIFS(BD!$B$3:$B$5001,Q$149,BD!$A$3:$A$5001,"&gt;="&amp;$C$7,BD!$A$3:$A$5001,"&lt;="&amp;$B162,BD!$M$3:$M$5001,"&lt;&gt;")=0,"",SUMIFS(BD!$M$3:$M$5001,BD!$B$3:$B$5001,Q$149,BD!$A$3:$A$5001,_xlfn.MAXIFS(BD!$A$3:$A$5001,BD!$B$3:$B$5001,Q$149,BD!$A$3:$A$5001,"&gt;="&amp;$C$7,BD!$A$3:$A$5001,"&lt;="&amp;$B162,BD!$M$3:$M$5001,"&lt;&gt;"))))</f>
        <v/>
      </c>
      <c r="R162" s="43" t="str">
        <f>IF(OR($B162="",$A162&gt;$B$9,R$149=""),"",IF(COUNTIFS(BD!$B$3:$B$5001,R$149,BD!$A$3:$A$5001,"&gt;="&amp;$C$7,BD!$A$3:$A$5001,"&lt;="&amp;$B162,BD!$M$3:$M$5001,"&lt;&gt;")=0,"",SUMIFS(BD!$M$3:$M$5001,BD!$B$3:$B$5001,R$149,BD!$A$3:$A$5001,_xlfn.MAXIFS(BD!$A$3:$A$5001,BD!$B$3:$B$5001,R$149,BD!$A$3:$A$5001,"&gt;="&amp;$C$7,BD!$A$3:$A$5001,"&lt;="&amp;$B162,BD!$M$3:$M$5001,"&lt;&gt;"))))</f>
        <v/>
      </c>
      <c r="S162" s="43" t="str">
        <f>IF(OR($B162="",$A162&gt;$B$9,S$149=""),"",IF(COUNTIFS(BD!$B$3:$B$5001,S$149,BD!$A$3:$A$5001,"&gt;="&amp;$C$7,BD!$A$3:$A$5001,"&lt;="&amp;$B162,BD!$M$3:$M$5001,"&lt;&gt;")=0,"",SUMIFS(BD!$M$3:$M$5001,BD!$B$3:$B$5001,S$149,BD!$A$3:$A$5001,_xlfn.MAXIFS(BD!$A$3:$A$5001,BD!$B$3:$B$5001,S$149,BD!$A$3:$A$5001,"&gt;="&amp;$C$7,BD!$A$3:$A$5001,"&lt;="&amp;$B162,BD!$M$3:$M$5001,"&lt;&gt;"))))</f>
        <v/>
      </c>
      <c r="T162" s="43" t="str">
        <f>IF(OR($B162="",$A162&gt;$B$9,T$149=""),"",IF(COUNTIFS(BD!$B$3:$B$5001,T$149,BD!$A$3:$A$5001,"&gt;="&amp;$C$7,BD!$A$3:$A$5001,"&lt;="&amp;$B162,BD!$M$3:$M$5001,"&lt;&gt;")=0,"",SUMIFS(BD!$M$3:$M$5001,BD!$B$3:$B$5001,T$149,BD!$A$3:$A$5001,_xlfn.MAXIFS(BD!$A$3:$A$5001,BD!$B$3:$B$5001,T$149,BD!$A$3:$A$5001,"&gt;="&amp;$C$7,BD!$A$3:$A$5001,"&lt;="&amp;$B162,BD!$M$3:$M$5001,"&lt;&gt;"))))</f>
        <v/>
      </c>
      <c r="U162" s="43" t="str">
        <f>IF(OR($B162="",$A162&gt;$B$9,U$149=""),"",IF(COUNTIFS(BD!$B$3:$B$5001,U$149,BD!$A$3:$A$5001,"&gt;="&amp;$C$7,BD!$A$3:$A$5001,"&lt;="&amp;$B162,BD!$M$3:$M$5001,"&lt;&gt;")=0,"",SUMIFS(BD!$M$3:$M$5001,BD!$B$3:$B$5001,U$149,BD!$A$3:$A$5001,_xlfn.MAXIFS(BD!$A$3:$A$5001,BD!$B$3:$B$5001,U$149,BD!$A$3:$A$5001,"&gt;="&amp;$C$7,BD!$A$3:$A$5001,"&lt;="&amp;$B162,BD!$M$3:$M$5001,"&lt;&gt;"))))</f>
        <v/>
      </c>
      <c r="V162" s="43" t="str">
        <f>IF(OR($B162="",$A162&gt;$B$9,V$149=""),"",IF(COUNTIFS(BD!$B$3:$B$5001,V$149,BD!$A$3:$A$5001,"&gt;="&amp;$C$7,BD!$A$3:$A$5001,"&lt;="&amp;$B162,BD!$M$3:$M$5001,"&lt;&gt;")=0,"",SUMIFS(BD!$M$3:$M$5001,BD!$B$3:$B$5001,V$149,BD!$A$3:$A$5001,_xlfn.MAXIFS(BD!$A$3:$A$5001,BD!$B$3:$B$5001,V$149,BD!$A$3:$A$5001,"&gt;="&amp;$C$7,BD!$A$3:$A$5001,"&lt;="&amp;$B162,BD!$M$3:$M$5001,"&lt;&gt;"))))</f>
        <v/>
      </c>
    </row>
    <row r="163">
      <c r="A163" s="38">
        <v>14</v>
      </c>
      <c r="B163" s="42">
        <f>$B$25</f>
        <v>46309</v>
      </c>
      <c r="C163" s="43" t="str">
        <f>IF(OR($B163="",$A163&gt;$B$9,C$149=""),"",IF(COUNTIFS(BD!$B$3:$B$5001,C$149,BD!$A$3:$A$5001,"&gt;="&amp;$C$7,BD!$A$3:$A$5001,"&lt;="&amp;$B163,BD!$M$3:$M$5001,"&lt;&gt;")=0,"",SUMIFS(BD!$M$3:$M$5001,BD!$B$3:$B$5001,C$149,BD!$A$3:$A$5001,_xlfn.MAXIFS(BD!$A$3:$A$5001,BD!$B$3:$B$5001,C$149,BD!$A$3:$A$5001,"&gt;="&amp;$C$7,BD!$A$3:$A$5001,"&lt;="&amp;$B163,BD!$M$3:$M$5001,"&lt;&gt;"))))</f>
        <v/>
      </c>
      <c r="D163" s="43" t="str">
        <f>IF(OR($B163="",$A163&gt;$B$9,D$149=""),"",IF(COUNTIFS(BD!$B$3:$B$5001,D$149,BD!$A$3:$A$5001,"&gt;="&amp;$C$7,BD!$A$3:$A$5001,"&lt;="&amp;$B163,BD!$M$3:$M$5001,"&lt;&gt;")=0,"",SUMIFS(BD!$M$3:$M$5001,BD!$B$3:$B$5001,D$149,BD!$A$3:$A$5001,_xlfn.MAXIFS(BD!$A$3:$A$5001,BD!$B$3:$B$5001,D$149,BD!$A$3:$A$5001,"&gt;="&amp;$C$7,BD!$A$3:$A$5001,"&lt;="&amp;$B163,BD!$M$3:$M$5001,"&lt;&gt;"))))</f>
        <v/>
      </c>
      <c r="E163" s="43" t="str">
        <f>IF(OR($B163="",$A163&gt;$B$9,E$149=""),"",IF(COUNTIFS(BD!$B$3:$B$5001,E$149,BD!$A$3:$A$5001,"&gt;="&amp;$C$7,BD!$A$3:$A$5001,"&lt;="&amp;$B163,BD!$M$3:$M$5001,"&lt;&gt;")=0,"",SUMIFS(BD!$M$3:$M$5001,BD!$B$3:$B$5001,E$149,BD!$A$3:$A$5001,_xlfn.MAXIFS(BD!$A$3:$A$5001,BD!$B$3:$B$5001,E$149,BD!$A$3:$A$5001,"&gt;="&amp;$C$7,BD!$A$3:$A$5001,"&lt;="&amp;$B163,BD!$M$3:$M$5001,"&lt;&gt;"))))</f>
        <v/>
      </c>
      <c r="F163" s="43" t="str">
        <f>IF(OR($B163="",$A163&gt;$B$9,F$149=""),"",IF(COUNTIFS(BD!$B$3:$B$5001,F$149,BD!$A$3:$A$5001,"&gt;="&amp;$C$7,BD!$A$3:$A$5001,"&lt;="&amp;$B163,BD!$M$3:$M$5001,"&lt;&gt;")=0,"",SUMIFS(BD!$M$3:$M$5001,BD!$B$3:$B$5001,F$149,BD!$A$3:$A$5001,_xlfn.MAXIFS(BD!$A$3:$A$5001,BD!$B$3:$B$5001,F$149,BD!$A$3:$A$5001,"&gt;="&amp;$C$7,BD!$A$3:$A$5001,"&lt;="&amp;$B163,BD!$M$3:$M$5001,"&lt;&gt;"))))</f>
        <v/>
      </c>
      <c r="G163" s="43" t="str">
        <f>IF(OR($B163="",$A163&gt;$B$9,G$149=""),"",IF(COUNTIFS(BD!$B$3:$B$5001,G$149,BD!$A$3:$A$5001,"&gt;="&amp;$C$7,BD!$A$3:$A$5001,"&lt;="&amp;$B163,BD!$M$3:$M$5001,"&lt;&gt;")=0,"",SUMIFS(BD!$M$3:$M$5001,BD!$B$3:$B$5001,G$149,BD!$A$3:$A$5001,_xlfn.MAXIFS(BD!$A$3:$A$5001,BD!$B$3:$B$5001,G$149,BD!$A$3:$A$5001,"&gt;="&amp;$C$7,BD!$A$3:$A$5001,"&lt;="&amp;$B163,BD!$M$3:$M$5001,"&lt;&gt;"))))</f>
        <v/>
      </c>
      <c r="H163" s="43" t="str">
        <f>IF(OR($B163="",$A163&gt;$B$9,H$149=""),"",IF(COUNTIFS(BD!$B$3:$B$5001,H$149,BD!$A$3:$A$5001,"&gt;="&amp;$C$7,BD!$A$3:$A$5001,"&lt;="&amp;$B163,BD!$M$3:$M$5001,"&lt;&gt;")=0,"",SUMIFS(BD!$M$3:$M$5001,BD!$B$3:$B$5001,H$149,BD!$A$3:$A$5001,_xlfn.MAXIFS(BD!$A$3:$A$5001,BD!$B$3:$B$5001,H$149,BD!$A$3:$A$5001,"&gt;="&amp;$C$7,BD!$A$3:$A$5001,"&lt;="&amp;$B163,BD!$M$3:$M$5001,"&lt;&gt;"))))</f>
        <v/>
      </c>
      <c r="I163" s="43" t="str">
        <f>IF(OR($B163="",$A163&gt;$B$9,I$149=""),"",IF(COUNTIFS(BD!$B$3:$B$5001,I$149,BD!$A$3:$A$5001,"&gt;="&amp;$C$7,BD!$A$3:$A$5001,"&lt;="&amp;$B163,BD!$M$3:$M$5001,"&lt;&gt;")=0,"",SUMIFS(BD!$M$3:$M$5001,BD!$B$3:$B$5001,I$149,BD!$A$3:$A$5001,_xlfn.MAXIFS(BD!$A$3:$A$5001,BD!$B$3:$B$5001,I$149,BD!$A$3:$A$5001,"&gt;="&amp;$C$7,BD!$A$3:$A$5001,"&lt;="&amp;$B163,BD!$M$3:$M$5001,"&lt;&gt;"))))</f>
        <v/>
      </c>
      <c r="J163" s="43" t="str">
        <f>IF(OR($B163="",$A163&gt;$B$9,J$149=""),"",IF(COUNTIFS(BD!$B$3:$B$5001,J$149,BD!$A$3:$A$5001,"&gt;="&amp;$C$7,BD!$A$3:$A$5001,"&lt;="&amp;$B163,BD!$M$3:$M$5001,"&lt;&gt;")=0,"",SUMIFS(BD!$M$3:$M$5001,BD!$B$3:$B$5001,J$149,BD!$A$3:$A$5001,_xlfn.MAXIFS(BD!$A$3:$A$5001,BD!$B$3:$B$5001,J$149,BD!$A$3:$A$5001,"&gt;="&amp;$C$7,BD!$A$3:$A$5001,"&lt;="&amp;$B163,BD!$M$3:$M$5001,"&lt;&gt;"))))</f>
        <v/>
      </c>
      <c r="K163" s="43" t="str">
        <f>IF(OR($B163="",$A163&gt;$B$9,K$149=""),"",IF(COUNTIFS(BD!$B$3:$B$5001,K$149,BD!$A$3:$A$5001,"&gt;="&amp;$C$7,BD!$A$3:$A$5001,"&lt;="&amp;$B163,BD!$M$3:$M$5001,"&lt;&gt;")=0,"",SUMIFS(BD!$M$3:$M$5001,BD!$B$3:$B$5001,K$149,BD!$A$3:$A$5001,_xlfn.MAXIFS(BD!$A$3:$A$5001,BD!$B$3:$B$5001,K$149,BD!$A$3:$A$5001,"&gt;="&amp;$C$7,BD!$A$3:$A$5001,"&lt;="&amp;$B163,BD!$M$3:$M$5001,"&lt;&gt;"))))</f>
        <v/>
      </c>
      <c r="L163" s="43" t="str">
        <f>IF(OR($B163="",$A163&gt;$B$9,L$149=""),"",IF(COUNTIFS(BD!$B$3:$B$5001,L$149,BD!$A$3:$A$5001,"&gt;="&amp;$C$7,BD!$A$3:$A$5001,"&lt;="&amp;$B163,BD!$M$3:$M$5001,"&lt;&gt;")=0,"",SUMIFS(BD!$M$3:$M$5001,BD!$B$3:$B$5001,L$149,BD!$A$3:$A$5001,_xlfn.MAXIFS(BD!$A$3:$A$5001,BD!$B$3:$B$5001,L$149,BD!$A$3:$A$5001,"&gt;="&amp;$C$7,BD!$A$3:$A$5001,"&lt;="&amp;$B163,BD!$M$3:$M$5001,"&lt;&gt;"))))</f>
        <v/>
      </c>
      <c r="M163" s="43" t="str">
        <f>IF(OR($B163="",$A163&gt;$B$9,M$149=""),"",IF(COUNTIFS(BD!$B$3:$B$5001,M$149,BD!$A$3:$A$5001,"&gt;="&amp;$C$7,BD!$A$3:$A$5001,"&lt;="&amp;$B163,BD!$M$3:$M$5001,"&lt;&gt;")=0,"",SUMIFS(BD!$M$3:$M$5001,BD!$B$3:$B$5001,M$149,BD!$A$3:$A$5001,_xlfn.MAXIFS(BD!$A$3:$A$5001,BD!$B$3:$B$5001,M$149,BD!$A$3:$A$5001,"&gt;="&amp;$C$7,BD!$A$3:$A$5001,"&lt;="&amp;$B163,BD!$M$3:$M$5001,"&lt;&gt;"))))</f>
        <v/>
      </c>
      <c r="N163" s="43" t="str">
        <f>IF(OR($B163="",$A163&gt;$B$9,N$149=""),"",IF(COUNTIFS(BD!$B$3:$B$5001,N$149,BD!$A$3:$A$5001,"&gt;="&amp;$C$7,BD!$A$3:$A$5001,"&lt;="&amp;$B163,BD!$M$3:$M$5001,"&lt;&gt;")=0,"",SUMIFS(BD!$M$3:$M$5001,BD!$B$3:$B$5001,N$149,BD!$A$3:$A$5001,_xlfn.MAXIFS(BD!$A$3:$A$5001,BD!$B$3:$B$5001,N$149,BD!$A$3:$A$5001,"&gt;="&amp;$C$7,BD!$A$3:$A$5001,"&lt;="&amp;$B163,BD!$M$3:$M$5001,"&lt;&gt;"))))</f>
        <v/>
      </c>
      <c r="O163" s="43" t="str">
        <f>IF(OR($B163="",$A163&gt;$B$9,O$149=""),"",IF(COUNTIFS(BD!$B$3:$B$5001,O$149,BD!$A$3:$A$5001,"&gt;="&amp;$C$7,BD!$A$3:$A$5001,"&lt;="&amp;$B163,BD!$M$3:$M$5001,"&lt;&gt;")=0,"",SUMIFS(BD!$M$3:$M$5001,BD!$B$3:$B$5001,O$149,BD!$A$3:$A$5001,_xlfn.MAXIFS(BD!$A$3:$A$5001,BD!$B$3:$B$5001,O$149,BD!$A$3:$A$5001,"&gt;="&amp;$C$7,BD!$A$3:$A$5001,"&lt;="&amp;$B163,BD!$M$3:$M$5001,"&lt;&gt;"))))</f>
        <v/>
      </c>
      <c r="P163" s="43" t="str">
        <f>IF(OR($B163="",$A163&gt;$B$9,P$149=""),"",IF(COUNTIFS(BD!$B$3:$B$5001,P$149,BD!$A$3:$A$5001,"&gt;="&amp;$C$7,BD!$A$3:$A$5001,"&lt;="&amp;$B163,BD!$M$3:$M$5001,"&lt;&gt;")=0,"",SUMIFS(BD!$M$3:$M$5001,BD!$B$3:$B$5001,P$149,BD!$A$3:$A$5001,_xlfn.MAXIFS(BD!$A$3:$A$5001,BD!$B$3:$B$5001,P$149,BD!$A$3:$A$5001,"&gt;="&amp;$C$7,BD!$A$3:$A$5001,"&lt;="&amp;$B163,BD!$M$3:$M$5001,"&lt;&gt;"))))</f>
        <v/>
      </c>
      <c r="Q163" s="43" t="str">
        <f>IF(OR($B163="",$A163&gt;$B$9,Q$149=""),"",IF(COUNTIFS(BD!$B$3:$B$5001,Q$149,BD!$A$3:$A$5001,"&gt;="&amp;$C$7,BD!$A$3:$A$5001,"&lt;="&amp;$B163,BD!$M$3:$M$5001,"&lt;&gt;")=0,"",SUMIFS(BD!$M$3:$M$5001,BD!$B$3:$B$5001,Q$149,BD!$A$3:$A$5001,_xlfn.MAXIFS(BD!$A$3:$A$5001,BD!$B$3:$B$5001,Q$149,BD!$A$3:$A$5001,"&gt;="&amp;$C$7,BD!$A$3:$A$5001,"&lt;="&amp;$B163,BD!$M$3:$M$5001,"&lt;&gt;"))))</f>
        <v/>
      </c>
      <c r="R163" s="43" t="str">
        <f>IF(OR($B163="",$A163&gt;$B$9,R$149=""),"",IF(COUNTIFS(BD!$B$3:$B$5001,R$149,BD!$A$3:$A$5001,"&gt;="&amp;$C$7,BD!$A$3:$A$5001,"&lt;="&amp;$B163,BD!$M$3:$M$5001,"&lt;&gt;")=0,"",SUMIFS(BD!$M$3:$M$5001,BD!$B$3:$B$5001,R$149,BD!$A$3:$A$5001,_xlfn.MAXIFS(BD!$A$3:$A$5001,BD!$B$3:$B$5001,R$149,BD!$A$3:$A$5001,"&gt;="&amp;$C$7,BD!$A$3:$A$5001,"&lt;="&amp;$B163,BD!$M$3:$M$5001,"&lt;&gt;"))))</f>
        <v/>
      </c>
      <c r="S163" s="43" t="str">
        <f>IF(OR($B163="",$A163&gt;$B$9,S$149=""),"",IF(COUNTIFS(BD!$B$3:$B$5001,S$149,BD!$A$3:$A$5001,"&gt;="&amp;$C$7,BD!$A$3:$A$5001,"&lt;="&amp;$B163,BD!$M$3:$M$5001,"&lt;&gt;")=0,"",SUMIFS(BD!$M$3:$M$5001,BD!$B$3:$B$5001,S$149,BD!$A$3:$A$5001,_xlfn.MAXIFS(BD!$A$3:$A$5001,BD!$B$3:$B$5001,S$149,BD!$A$3:$A$5001,"&gt;="&amp;$C$7,BD!$A$3:$A$5001,"&lt;="&amp;$B163,BD!$M$3:$M$5001,"&lt;&gt;"))))</f>
        <v/>
      </c>
      <c r="T163" s="43" t="str">
        <f>IF(OR($B163="",$A163&gt;$B$9,T$149=""),"",IF(COUNTIFS(BD!$B$3:$B$5001,T$149,BD!$A$3:$A$5001,"&gt;="&amp;$C$7,BD!$A$3:$A$5001,"&lt;="&amp;$B163,BD!$M$3:$M$5001,"&lt;&gt;")=0,"",SUMIFS(BD!$M$3:$M$5001,BD!$B$3:$B$5001,T$149,BD!$A$3:$A$5001,_xlfn.MAXIFS(BD!$A$3:$A$5001,BD!$B$3:$B$5001,T$149,BD!$A$3:$A$5001,"&gt;="&amp;$C$7,BD!$A$3:$A$5001,"&lt;="&amp;$B163,BD!$M$3:$M$5001,"&lt;&gt;"))))</f>
        <v/>
      </c>
      <c r="U163" s="43" t="str">
        <f>IF(OR($B163="",$A163&gt;$B$9,U$149=""),"",IF(COUNTIFS(BD!$B$3:$B$5001,U$149,BD!$A$3:$A$5001,"&gt;="&amp;$C$7,BD!$A$3:$A$5001,"&lt;="&amp;$B163,BD!$M$3:$M$5001,"&lt;&gt;")=0,"",SUMIFS(BD!$M$3:$M$5001,BD!$B$3:$B$5001,U$149,BD!$A$3:$A$5001,_xlfn.MAXIFS(BD!$A$3:$A$5001,BD!$B$3:$B$5001,U$149,BD!$A$3:$A$5001,"&gt;="&amp;$C$7,BD!$A$3:$A$5001,"&lt;="&amp;$B163,BD!$M$3:$M$5001,"&lt;&gt;"))))</f>
        <v/>
      </c>
      <c r="V163" s="43" t="str">
        <f>IF(OR($B163="",$A163&gt;$B$9,V$149=""),"",IF(COUNTIFS(BD!$B$3:$B$5001,V$149,BD!$A$3:$A$5001,"&gt;="&amp;$C$7,BD!$A$3:$A$5001,"&lt;="&amp;$B163,BD!$M$3:$M$5001,"&lt;&gt;")=0,"",SUMIFS(BD!$M$3:$M$5001,BD!$B$3:$B$5001,V$149,BD!$A$3:$A$5001,_xlfn.MAXIFS(BD!$A$3:$A$5001,BD!$B$3:$B$5001,V$149,BD!$A$3:$A$5001,"&gt;="&amp;$C$7,BD!$A$3:$A$5001,"&lt;="&amp;$B163,BD!$M$3:$M$5001,"&lt;&gt;"))))</f>
        <v/>
      </c>
    </row>
    <row r="164">
      <c r="A164" s="38">
        <v>15</v>
      </c>
      <c r="B164" s="42">
        <f>$B$26</f>
        <v>46310</v>
      </c>
      <c r="C164" s="43" t="str">
        <f>IF(OR($B164="",$A164&gt;$B$9,C$149=""),"",IF(COUNTIFS(BD!$B$3:$B$5001,C$149,BD!$A$3:$A$5001,"&gt;="&amp;$C$7,BD!$A$3:$A$5001,"&lt;="&amp;$B164,BD!$M$3:$M$5001,"&lt;&gt;")=0,"",SUMIFS(BD!$M$3:$M$5001,BD!$B$3:$B$5001,C$149,BD!$A$3:$A$5001,_xlfn.MAXIFS(BD!$A$3:$A$5001,BD!$B$3:$B$5001,C$149,BD!$A$3:$A$5001,"&gt;="&amp;$C$7,BD!$A$3:$A$5001,"&lt;="&amp;$B164,BD!$M$3:$M$5001,"&lt;&gt;"))))</f>
        <v/>
      </c>
      <c r="D164" s="43" t="str">
        <f>IF(OR($B164="",$A164&gt;$B$9,D$149=""),"",IF(COUNTIFS(BD!$B$3:$B$5001,D$149,BD!$A$3:$A$5001,"&gt;="&amp;$C$7,BD!$A$3:$A$5001,"&lt;="&amp;$B164,BD!$M$3:$M$5001,"&lt;&gt;")=0,"",SUMIFS(BD!$M$3:$M$5001,BD!$B$3:$B$5001,D$149,BD!$A$3:$A$5001,_xlfn.MAXIFS(BD!$A$3:$A$5001,BD!$B$3:$B$5001,D$149,BD!$A$3:$A$5001,"&gt;="&amp;$C$7,BD!$A$3:$A$5001,"&lt;="&amp;$B164,BD!$M$3:$M$5001,"&lt;&gt;"))))</f>
        <v/>
      </c>
      <c r="E164" s="43" t="str">
        <f>IF(OR($B164="",$A164&gt;$B$9,E$149=""),"",IF(COUNTIFS(BD!$B$3:$B$5001,E$149,BD!$A$3:$A$5001,"&gt;="&amp;$C$7,BD!$A$3:$A$5001,"&lt;="&amp;$B164,BD!$M$3:$M$5001,"&lt;&gt;")=0,"",SUMIFS(BD!$M$3:$M$5001,BD!$B$3:$B$5001,E$149,BD!$A$3:$A$5001,_xlfn.MAXIFS(BD!$A$3:$A$5001,BD!$B$3:$B$5001,E$149,BD!$A$3:$A$5001,"&gt;="&amp;$C$7,BD!$A$3:$A$5001,"&lt;="&amp;$B164,BD!$M$3:$M$5001,"&lt;&gt;"))))</f>
        <v/>
      </c>
      <c r="F164" s="43" t="str">
        <f>IF(OR($B164="",$A164&gt;$B$9,F$149=""),"",IF(COUNTIFS(BD!$B$3:$B$5001,F$149,BD!$A$3:$A$5001,"&gt;="&amp;$C$7,BD!$A$3:$A$5001,"&lt;="&amp;$B164,BD!$M$3:$M$5001,"&lt;&gt;")=0,"",SUMIFS(BD!$M$3:$M$5001,BD!$B$3:$B$5001,F$149,BD!$A$3:$A$5001,_xlfn.MAXIFS(BD!$A$3:$A$5001,BD!$B$3:$B$5001,F$149,BD!$A$3:$A$5001,"&gt;="&amp;$C$7,BD!$A$3:$A$5001,"&lt;="&amp;$B164,BD!$M$3:$M$5001,"&lt;&gt;"))))</f>
        <v/>
      </c>
      <c r="G164" s="43" t="str">
        <f>IF(OR($B164="",$A164&gt;$B$9,G$149=""),"",IF(COUNTIFS(BD!$B$3:$B$5001,G$149,BD!$A$3:$A$5001,"&gt;="&amp;$C$7,BD!$A$3:$A$5001,"&lt;="&amp;$B164,BD!$M$3:$M$5001,"&lt;&gt;")=0,"",SUMIFS(BD!$M$3:$M$5001,BD!$B$3:$B$5001,G$149,BD!$A$3:$A$5001,_xlfn.MAXIFS(BD!$A$3:$A$5001,BD!$B$3:$B$5001,G$149,BD!$A$3:$A$5001,"&gt;="&amp;$C$7,BD!$A$3:$A$5001,"&lt;="&amp;$B164,BD!$M$3:$M$5001,"&lt;&gt;"))))</f>
        <v/>
      </c>
      <c r="H164" s="43" t="str">
        <f>IF(OR($B164="",$A164&gt;$B$9,H$149=""),"",IF(COUNTIFS(BD!$B$3:$B$5001,H$149,BD!$A$3:$A$5001,"&gt;="&amp;$C$7,BD!$A$3:$A$5001,"&lt;="&amp;$B164,BD!$M$3:$M$5001,"&lt;&gt;")=0,"",SUMIFS(BD!$M$3:$M$5001,BD!$B$3:$B$5001,H$149,BD!$A$3:$A$5001,_xlfn.MAXIFS(BD!$A$3:$A$5001,BD!$B$3:$B$5001,H$149,BD!$A$3:$A$5001,"&gt;="&amp;$C$7,BD!$A$3:$A$5001,"&lt;="&amp;$B164,BD!$M$3:$M$5001,"&lt;&gt;"))))</f>
        <v/>
      </c>
      <c r="I164" s="43" t="str">
        <f>IF(OR($B164="",$A164&gt;$B$9,I$149=""),"",IF(COUNTIFS(BD!$B$3:$B$5001,I$149,BD!$A$3:$A$5001,"&gt;="&amp;$C$7,BD!$A$3:$A$5001,"&lt;="&amp;$B164,BD!$M$3:$M$5001,"&lt;&gt;")=0,"",SUMIFS(BD!$M$3:$M$5001,BD!$B$3:$B$5001,I$149,BD!$A$3:$A$5001,_xlfn.MAXIFS(BD!$A$3:$A$5001,BD!$B$3:$B$5001,I$149,BD!$A$3:$A$5001,"&gt;="&amp;$C$7,BD!$A$3:$A$5001,"&lt;="&amp;$B164,BD!$M$3:$M$5001,"&lt;&gt;"))))</f>
        <v/>
      </c>
      <c r="J164" s="43" t="str">
        <f>IF(OR($B164="",$A164&gt;$B$9,J$149=""),"",IF(COUNTIFS(BD!$B$3:$B$5001,J$149,BD!$A$3:$A$5001,"&gt;="&amp;$C$7,BD!$A$3:$A$5001,"&lt;="&amp;$B164,BD!$M$3:$M$5001,"&lt;&gt;")=0,"",SUMIFS(BD!$M$3:$M$5001,BD!$B$3:$B$5001,J$149,BD!$A$3:$A$5001,_xlfn.MAXIFS(BD!$A$3:$A$5001,BD!$B$3:$B$5001,J$149,BD!$A$3:$A$5001,"&gt;="&amp;$C$7,BD!$A$3:$A$5001,"&lt;="&amp;$B164,BD!$M$3:$M$5001,"&lt;&gt;"))))</f>
        <v/>
      </c>
      <c r="K164" s="43" t="str">
        <f>IF(OR($B164="",$A164&gt;$B$9,K$149=""),"",IF(COUNTIFS(BD!$B$3:$B$5001,K$149,BD!$A$3:$A$5001,"&gt;="&amp;$C$7,BD!$A$3:$A$5001,"&lt;="&amp;$B164,BD!$M$3:$M$5001,"&lt;&gt;")=0,"",SUMIFS(BD!$M$3:$M$5001,BD!$B$3:$B$5001,K$149,BD!$A$3:$A$5001,_xlfn.MAXIFS(BD!$A$3:$A$5001,BD!$B$3:$B$5001,K$149,BD!$A$3:$A$5001,"&gt;="&amp;$C$7,BD!$A$3:$A$5001,"&lt;="&amp;$B164,BD!$M$3:$M$5001,"&lt;&gt;"))))</f>
        <v/>
      </c>
      <c r="L164" s="43" t="str">
        <f>IF(OR($B164="",$A164&gt;$B$9,L$149=""),"",IF(COUNTIFS(BD!$B$3:$B$5001,L$149,BD!$A$3:$A$5001,"&gt;="&amp;$C$7,BD!$A$3:$A$5001,"&lt;="&amp;$B164,BD!$M$3:$M$5001,"&lt;&gt;")=0,"",SUMIFS(BD!$M$3:$M$5001,BD!$B$3:$B$5001,L$149,BD!$A$3:$A$5001,_xlfn.MAXIFS(BD!$A$3:$A$5001,BD!$B$3:$B$5001,L$149,BD!$A$3:$A$5001,"&gt;="&amp;$C$7,BD!$A$3:$A$5001,"&lt;="&amp;$B164,BD!$M$3:$M$5001,"&lt;&gt;"))))</f>
        <v/>
      </c>
      <c r="M164" s="43" t="str">
        <f>IF(OR($B164="",$A164&gt;$B$9,M$149=""),"",IF(COUNTIFS(BD!$B$3:$B$5001,M$149,BD!$A$3:$A$5001,"&gt;="&amp;$C$7,BD!$A$3:$A$5001,"&lt;="&amp;$B164,BD!$M$3:$M$5001,"&lt;&gt;")=0,"",SUMIFS(BD!$M$3:$M$5001,BD!$B$3:$B$5001,M$149,BD!$A$3:$A$5001,_xlfn.MAXIFS(BD!$A$3:$A$5001,BD!$B$3:$B$5001,M$149,BD!$A$3:$A$5001,"&gt;="&amp;$C$7,BD!$A$3:$A$5001,"&lt;="&amp;$B164,BD!$M$3:$M$5001,"&lt;&gt;"))))</f>
        <v/>
      </c>
      <c r="N164" s="43" t="str">
        <f>IF(OR($B164="",$A164&gt;$B$9,N$149=""),"",IF(COUNTIFS(BD!$B$3:$B$5001,N$149,BD!$A$3:$A$5001,"&gt;="&amp;$C$7,BD!$A$3:$A$5001,"&lt;="&amp;$B164,BD!$M$3:$M$5001,"&lt;&gt;")=0,"",SUMIFS(BD!$M$3:$M$5001,BD!$B$3:$B$5001,N$149,BD!$A$3:$A$5001,_xlfn.MAXIFS(BD!$A$3:$A$5001,BD!$B$3:$B$5001,N$149,BD!$A$3:$A$5001,"&gt;="&amp;$C$7,BD!$A$3:$A$5001,"&lt;="&amp;$B164,BD!$M$3:$M$5001,"&lt;&gt;"))))</f>
        <v/>
      </c>
      <c r="O164" s="43" t="str">
        <f>IF(OR($B164="",$A164&gt;$B$9,O$149=""),"",IF(COUNTIFS(BD!$B$3:$B$5001,O$149,BD!$A$3:$A$5001,"&gt;="&amp;$C$7,BD!$A$3:$A$5001,"&lt;="&amp;$B164,BD!$M$3:$M$5001,"&lt;&gt;")=0,"",SUMIFS(BD!$M$3:$M$5001,BD!$B$3:$B$5001,O$149,BD!$A$3:$A$5001,_xlfn.MAXIFS(BD!$A$3:$A$5001,BD!$B$3:$B$5001,O$149,BD!$A$3:$A$5001,"&gt;="&amp;$C$7,BD!$A$3:$A$5001,"&lt;="&amp;$B164,BD!$M$3:$M$5001,"&lt;&gt;"))))</f>
        <v/>
      </c>
      <c r="P164" s="43" t="str">
        <f>IF(OR($B164="",$A164&gt;$B$9,P$149=""),"",IF(COUNTIFS(BD!$B$3:$B$5001,P$149,BD!$A$3:$A$5001,"&gt;="&amp;$C$7,BD!$A$3:$A$5001,"&lt;="&amp;$B164,BD!$M$3:$M$5001,"&lt;&gt;")=0,"",SUMIFS(BD!$M$3:$M$5001,BD!$B$3:$B$5001,P$149,BD!$A$3:$A$5001,_xlfn.MAXIFS(BD!$A$3:$A$5001,BD!$B$3:$B$5001,P$149,BD!$A$3:$A$5001,"&gt;="&amp;$C$7,BD!$A$3:$A$5001,"&lt;="&amp;$B164,BD!$M$3:$M$5001,"&lt;&gt;"))))</f>
        <v/>
      </c>
      <c r="Q164" s="43" t="str">
        <f>IF(OR($B164="",$A164&gt;$B$9,Q$149=""),"",IF(COUNTIFS(BD!$B$3:$B$5001,Q$149,BD!$A$3:$A$5001,"&gt;="&amp;$C$7,BD!$A$3:$A$5001,"&lt;="&amp;$B164,BD!$M$3:$M$5001,"&lt;&gt;")=0,"",SUMIFS(BD!$M$3:$M$5001,BD!$B$3:$B$5001,Q$149,BD!$A$3:$A$5001,_xlfn.MAXIFS(BD!$A$3:$A$5001,BD!$B$3:$B$5001,Q$149,BD!$A$3:$A$5001,"&gt;="&amp;$C$7,BD!$A$3:$A$5001,"&lt;="&amp;$B164,BD!$M$3:$M$5001,"&lt;&gt;"))))</f>
        <v/>
      </c>
      <c r="R164" s="43" t="str">
        <f>IF(OR($B164="",$A164&gt;$B$9,R$149=""),"",IF(COUNTIFS(BD!$B$3:$B$5001,R$149,BD!$A$3:$A$5001,"&gt;="&amp;$C$7,BD!$A$3:$A$5001,"&lt;="&amp;$B164,BD!$M$3:$M$5001,"&lt;&gt;")=0,"",SUMIFS(BD!$M$3:$M$5001,BD!$B$3:$B$5001,R$149,BD!$A$3:$A$5001,_xlfn.MAXIFS(BD!$A$3:$A$5001,BD!$B$3:$B$5001,R$149,BD!$A$3:$A$5001,"&gt;="&amp;$C$7,BD!$A$3:$A$5001,"&lt;="&amp;$B164,BD!$M$3:$M$5001,"&lt;&gt;"))))</f>
        <v/>
      </c>
      <c r="S164" s="43" t="str">
        <f>IF(OR($B164="",$A164&gt;$B$9,S$149=""),"",IF(COUNTIFS(BD!$B$3:$B$5001,S$149,BD!$A$3:$A$5001,"&gt;="&amp;$C$7,BD!$A$3:$A$5001,"&lt;="&amp;$B164,BD!$M$3:$M$5001,"&lt;&gt;")=0,"",SUMIFS(BD!$M$3:$M$5001,BD!$B$3:$B$5001,S$149,BD!$A$3:$A$5001,_xlfn.MAXIFS(BD!$A$3:$A$5001,BD!$B$3:$B$5001,S$149,BD!$A$3:$A$5001,"&gt;="&amp;$C$7,BD!$A$3:$A$5001,"&lt;="&amp;$B164,BD!$M$3:$M$5001,"&lt;&gt;"))))</f>
        <v/>
      </c>
      <c r="T164" s="43" t="str">
        <f>IF(OR($B164="",$A164&gt;$B$9,T$149=""),"",IF(COUNTIFS(BD!$B$3:$B$5001,T$149,BD!$A$3:$A$5001,"&gt;="&amp;$C$7,BD!$A$3:$A$5001,"&lt;="&amp;$B164,BD!$M$3:$M$5001,"&lt;&gt;")=0,"",SUMIFS(BD!$M$3:$M$5001,BD!$B$3:$B$5001,T$149,BD!$A$3:$A$5001,_xlfn.MAXIFS(BD!$A$3:$A$5001,BD!$B$3:$B$5001,T$149,BD!$A$3:$A$5001,"&gt;="&amp;$C$7,BD!$A$3:$A$5001,"&lt;="&amp;$B164,BD!$M$3:$M$5001,"&lt;&gt;"))))</f>
        <v/>
      </c>
      <c r="U164" s="43" t="str">
        <f>IF(OR($B164="",$A164&gt;$B$9,U$149=""),"",IF(COUNTIFS(BD!$B$3:$B$5001,U$149,BD!$A$3:$A$5001,"&gt;="&amp;$C$7,BD!$A$3:$A$5001,"&lt;="&amp;$B164,BD!$M$3:$M$5001,"&lt;&gt;")=0,"",SUMIFS(BD!$M$3:$M$5001,BD!$B$3:$B$5001,U$149,BD!$A$3:$A$5001,_xlfn.MAXIFS(BD!$A$3:$A$5001,BD!$B$3:$B$5001,U$149,BD!$A$3:$A$5001,"&gt;="&amp;$C$7,BD!$A$3:$A$5001,"&lt;="&amp;$B164,BD!$M$3:$M$5001,"&lt;&gt;"))))</f>
        <v/>
      </c>
      <c r="V164" s="43" t="str">
        <f>IF(OR($B164="",$A164&gt;$B$9,V$149=""),"",IF(COUNTIFS(BD!$B$3:$B$5001,V$149,BD!$A$3:$A$5001,"&gt;="&amp;$C$7,BD!$A$3:$A$5001,"&lt;="&amp;$B164,BD!$M$3:$M$5001,"&lt;&gt;")=0,"",SUMIFS(BD!$M$3:$M$5001,BD!$B$3:$B$5001,V$149,BD!$A$3:$A$5001,_xlfn.MAXIFS(BD!$A$3:$A$5001,BD!$B$3:$B$5001,V$149,BD!$A$3:$A$5001,"&gt;="&amp;$C$7,BD!$A$3:$A$5001,"&lt;="&amp;$B164,BD!$M$3:$M$5001,"&lt;&gt;"))))</f>
        <v/>
      </c>
    </row>
    <row r="165">
      <c r="A165" s="38">
        <v>16</v>
      </c>
      <c r="B165" s="42">
        <f>$B$27</f>
        <v>46311</v>
      </c>
      <c r="C165" s="43" t="str">
        <f>IF(OR($B165="",$A165&gt;$B$9,C$149=""),"",IF(COUNTIFS(BD!$B$3:$B$5001,C$149,BD!$A$3:$A$5001,"&gt;="&amp;$C$7,BD!$A$3:$A$5001,"&lt;="&amp;$B165,BD!$M$3:$M$5001,"&lt;&gt;")=0,"",SUMIFS(BD!$M$3:$M$5001,BD!$B$3:$B$5001,C$149,BD!$A$3:$A$5001,_xlfn.MAXIFS(BD!$A$3:$A$5001,BD!$B$3:$B$5001,C$149,BD!$A$3:$A$5001,"&gt;="&amp;$C$7,BD!$A$3:$A$5001,"&lt;="&amp;$B165,BD!$M$3:$M$5001,"&lt;&gt;"))))</f>
        <v/>
      </c>
      <c r="D165" s="43" t="str">
        <f>IF(OR($B165="",$A165&gt;$B$9,D$149=""),"",IF(COUNTIFS(BD!$B$3:$B$5001,D$149,BD!$A$3:$A$5001,"&gt;="&amp;$C$7,BD!$A$3:$A$5001,"&lt;="&amp;$B165,BD!$M$3:$M$5001,"&lt;&gt;")=0,"",SUMIFS(BD!$M$3:$M$5001,BD!$B$3:$B$5001,D$149,BD!$A$3:$A$5001,_xlfn.MAXIFS(BD!$A$3:$A$5001,BD!$B$3:$B$5001,D$149,BD!$A$3:$A$5001,"&gt;="&amp;$C$7,BD!$A$3:$A$5001,"&lt;="&amp;$B165,BD!$M$3:$M$5001,"&lt;&gt;"))))</f>
        <v/>
      </c>
      <c r="E165" s="43" t="str">
        <f>IF(OR($B165="",$A165&gt;$B$9,E$149=""),"",IF(COUNTIFS(BD!$B$3:$B$5001,E$149,BD!$A$3:$A$5001,"&gt;="&amp;$C$7,BD!$A$3:$A$5001,"&lt;="&amp;$B165,BD!$M$3:$M$5001,"&lt;&gt;")=0,"",SUMIFS(BD!$M$3:$M$5001,BD!$B$3:$B$5001,E$149,BD!$A$3:$A$5001,_xlfn.MAXIFS(BD!$A$3:$A$5001,BD!$B$3:$B$5001,E$149,BD!$A$3:$A$5001,"&gt;="&amp;$C$7,BD!$A$3:$A$5001,"&lt;="&amp;$B165,BD!$M$3:$M$5001,"&lt;&gt;"))))</f>
        <v/>
      </c>
      <c r="F165" s="43" t="str">
        <f>IF(OR($B165="",$A165&gt;$B$9,F$149=""),"",IF(COUNTIFS(BD!$B$3:$B$5001,F$149,BD!$A$3:$A$5001,"&gt;="&amp;$C$7,BD!$A$3:$A$5001,"&lt;="&amp;$B165,BD!$M$3:$M$5001,"&lt;&gt;")=0,"",SUMIFS(BD!$M$3:$M$5001,BD!$B$3:$B$5001,F$149,BD!$A$3:$A$5001,_xlfn.MAXIFS(BD!$A$3:$A$5001,BD!$B$3:$B$5001,F$149,BD!$A$3:$A$5001,"&gt;="&amp;$C$7,BD!$A$3:$A$5001,"&lt;="&amp;$B165,BD!$M$3:$M$5001,"&lt;&gt;"))))</f>
        <v/>
      </c>
      <c r="G165" s="43" t="str">
        <f>IF(OR($B165="",$A165&gt;$B$9,G$149=""),"",IF(COUNTIFS(BD!$B$3:$B$5001,G$149,BD!$A$3:$A$5001,"&gt;="&amp;$C$7,BD!$A$3:$A$5001,"&lt;="&amp;$B165,BD!$M$3:$M$5001,"&lt;&gt;")=0,"",SUMIFS(BD!$M$3:$M$5001,BD!$B$3:$B$5001,G$149,BD!$A$3:$A$5001,_xlfn.MAXIFS(BD!$A$3:$A$5001,BD!$B$3:$B$5001,G$149,BD!$A$3:$A$5001,"&gt;="&amp;$C$7,BD!$A$3:$A$5001,"&lt;="&amp;$B165,BD!$M$3:$M$5001,"&lt;&gt;"))))</f>
        <v/>
      </c>
      <c r="H165" s="43" t="str">
        <f>IF(OR($B165="",$A165&gt;$B$9,H$149=""),"",IF(COUNTIFS(BD!$B$3:$B$5001,H$149,BD!$A$3:$A$5001,"&gt;="&amp;$C$7,BD!$A$3:$A$5001,"&lt;="&amp;$B165,BD!$M$3:$M$5001,"&lt;&gt;")=0,"",SUMIFS(BD!$M$3:$M$5001,BD!$B$3:$B$5001,H$149,BD!$A$3:$A$5001,_xlfn.MAXIFS(BD!$A$3:$A$5001,BD!$B$3:$B$5001,H$149,BD!$A$3:$A$5001,"&gt;="&amp;$C$7,BD!$A$3:$A$5001,"&lt;="&amp;$B165,BD!$M$3:$M$5001,"&lt;&gt;"))))</f>
        <v/>
      </c>
      <c r="I165" s="43" t="str">
        <f>IF(OR($B165="",$A165&gt;$B$9,I$149=""),"",IF(COUNTIFS(BD!$B$3:$B$5001,I$149,BD!$A$3:$A$5001,"&gt;="&amp;$C$7,BD!$A$3:$A$5001,"&lt;="&amp;$B165,BD!$M$3:$M$5001,"&lt;&gt;")=0,"",SUMIFS(BD!$M$3:$M$5001,BD!$B$3:$B$5001,I$149,BD!$A$3:$A$5001,_xlfn.MAXIFS(BD!$A$3:$A$5001,BD!$B$3:$B$5001,I$149,BD!$A$3:$A$5001,"&gt;="&amp;$C$7,BD!$A$3:$A$5001,"&lt;="&amp;$B165,BD!$M$3:$M$5001,"&lt;&gt;"))))</f>
        <v/>
      </c>
      <c r="J165" s="43" t="str">
        <f>IF(OR($B165="",$A165&gt;$B$9,J$149=""),"",IF(COUNTIFS(BD!$B$3:$B$5001,J$149,BD!$A$3:$A$5001,"&gt;="&amp;$C$7,BD!$A$3:$A$5001,"&lt;="&amp;$B165,BD!$M$3:$M$5001,"&lt;&gt;")=0,"",SUMIFS(BD!$M$3:$M$5001,BD!$B$3:$B$5001,J$149,BD!$A$3:$A$5001,_xlfn.MAXIFS(BD!$A$3:$A$5001,BD!$B$3:$B$5001,J$149,BD!$A$3:$A$5001,"&gt;="&amp;$C$7,BD!$A$3:$A$5001,"&lt;="&amp;$B165,BD!$M$3:$M$5001,"&lt;&gt;"))))</f>
        <v/>
      </c>
      <c r="K165" s="43" t="str">
        <f>IF(OR($B165="",$A165&gt;$B$9,K$149=""),"",IF(COUNTIFS(BD!$B$3:$B$5001,K$149,BD!$A$3:$A$5001,"&gt;="&amp;$C$7,BD!$A$3:$A$5001,"&lt;="&amp;$B165,BD!$M$3:$M$5001,"&lt;&gt;")=0,"",SUMIFS(BD!$M$3:$M$5001,BD!$B$3:$B$5001,K$149,BD!$A$3:$A$5001,_xlfn.MAXIFS(BD!$A$3:$A$5001,BD!$B$3:$B$5001,K$149,BD!$A$3:$A$5001,"&gt;="&amp;$C$7,BD!$A$3:$A$5001,"&lt;="&amp;$B165,BD!$M$3:$M$5001,"&lt;&gt;"))))</f>
        <v/>
      </c>
      <c r="L165" s="43" t="str">
        <f>IF(OR($B165="",$A165&gt;$B$9,L$149=""),"",IF(COUNTIFS(BD!$B$3:$B$5001,L$149,BD!$A$3:$A$5001,"&gt;="&amp;$C$7,BD!$A$3:$A$5001,"&lt;="&amp;$B165,BD!$M$3:$M$5001,"&lt;&gt;")=0,"",SUMIFS(BD!$M$3:$M$5001,BD!$B$3:$B$5001,L$149,BD!$A$3:$A$5001,_xlfn.MAXIFS(BD!$A$3:$A$5001,BD!$B$3:$B$5001,L$149,BD!$A$3:$A$5001,"&gt;="&amp;$C$7,BD!$A$3:$A$5001,"&lt;="&amp;$B165,BD!$M$3:$M$5001,"&lt;&gt;"))))</f>
        <v/>
      </c>
      <c r="M165" s="43" t="str">
        <f>IF(OR($B165="",$A165&gt;$B$9,M$149=""),"",IF(COUNTIFS(BD!$B$3:$B$5001,M$149,BD!$A$3:$A$5001,"&gt;="&amp;$C$7,BD!$A$3:$A$5001,"&lt;="&amp;$B165,BD!$M$3:$M$5001,"&lt;&gt;")=0,"",SUMIFS(BD!$M$3:$M$5001,BD!$B$3:$B$5001,M$149,BD!$A$3:$A$5001,_xlfn.MAXIFS(BD!$A$3:$A$5001,BD!$B$3:$B$5001,M$149,BD!$A$3:$A$5001,"&gt;="&amp;$C$7,BD!$A$3:$A$5001,"&lt;="&amp;$B165,BD!$M$3:$M$5001,"&lt;&gt;"))))</f>
        <v/>
      </c>
      <c r="N165" s="43" t="str">
        <f>IF(OR($B165="",$A165&gt;$B$9,N$149=""),"",IF(COUNTIFS(BD!$B$3:$B$5001,N$149,BD!$A$3:$A$5001,"&gt;="&amp;$C$7,BD!$A$3:$A$5001,"&lt;="&amp;$B165,BD!$M$3:$M$5001,"&lt;&gt;")=0,"",SUMIFS(BD!$M$3:$M$5001,BD!$B$3:$B$5001,N$149,BD!$A$3:$A$5001,_xlfn.MAXIFS(BD!$A$3:$A$5001,BD!$B$3:$B$5001,N$149,BD!$A$3:$A$5001,"&gt;="&amp;$C$7,BD!$A$3:$A$5001,"&lt;="&amp;$B165,BD!$M$3:$M$5001,"&lt;&gt;"))))</f>
        <v/>
      </c>
      <c r="O165" s="43" t="str">
        <f>IF(OR($B165="",$A165&gt;$B$9,O$149=""),"",IF(COUNTIFS(BD!$B$3:$B$5001,O$149,BD!$A$3:$A$5001,"&gt;="&amp;$C$7,BD!$A$3:$A$5001,"&lt;="&amp;$B165,BD!$M$3:$M$5001,"&lt;&gt;")=0,"",SUMIFS(BD!$M$3:$M$5001,BD!$B$3:$B$5001,O$149,BD!$A$3:$A$5001,_xlfn.MAXIFS(BD!$A$3:$A$5001,BD!$B$3:$B$5001,O$149,BD!$A$3:$A$5001,"&gt;="&amp;$C$7,BD!$A$3:$A$5001,"&lt;="&amp;$B165,BD!$M$3:$M$5001,"&lt;&gt;"))))</f>
        <v/>
      </c>
      <c r="P165" s="43" t="str">
        <f>IF(OR($B165="",$A165&gt;$B$9,P$149=""),"",IF(COUNTIFS(BD!$B$3:$B$5001,P$149,BD!$A$3:$A$5001,"&gt;="&amp;$C$7,BD!$A$3:$A$5001,"&lt;="&amp;$B165,BD!$M$3:$M$5001,"&lt;&gt;")=0,"",SUMIFS(BD!$M$3:$M$5001,BD!$B$3:$B$5001,P$149,BD!$A$3:$A$5001,_xlfn.MAXIFS(BD!$A$3:$A$5001,BD!$B$3:$B$5001,P$149,BD!$A$3:$A$5001,"&gt;="&amp;$C$7,BD!$A$3:$A$5001,"&lt;="&amp;$B165,BD!$M$3:$M$5001,"&lt;&gt;"))))</f>
        <v/>
      </c>
      <c r="Q165" s="43" t="str">
        <f>IF(OR($B165="",$A165&gt;$B$9,Q$149=""),"",IF(COUNTIFS(BD!$B$3:$B$5001,Q$149,BD!$A$3:$A$5001,"&gt;="&amp;$C$7,BD!$A$3:$A$5001,"&lt;="&amp;$B165,BD!$M$3:$M$5001,"&lt;&gt;")=0,"",SUMIFS(BD!$M$3:$M$5001,BD!$B$3:$B$5001,Q$149,BD!$A$3:$A$5001,_xlfn.MAXIFS(BD!$A$3:$A$5001,BD!$B$3:$B$5001,Q$149,BD!$A$3:$A$5001,"&gt;="&amp;$C$7,BD!$A$3:$A$5001,"&lt;="&amp;$B165,BD!$M$3:$M$5001,"&lt;&gt;"))))</f>
        <v/>
      </c>
      <c r="R165" s="43" t="str">
        <f>IF(OR($B165="",$A165&gt;$B$9,R$149=""),"",IF(COUNTIFS(BD!$B$3:$B$5001,R$149,BD!$A$3:$A$5001,"&gt;="&amp;$C$7,BD!$A$3:$A$5001,"&lt;="&amp;$B165,BD!$M$3:$M$5001,"&lt;&gt;")=0,"",SUMIFS(BD!$M$3:$M$5001,BD!$B$3:$B$5001,R$149,BD!$A$3:$A$5001,_xlfn.MAXIFS(BD!$A$3:$A$5001,BD!$B$3:$B$5001,R$149,BD!$A$3:$A$5001,"&gt;="&amp;$C$7,BD!$A$3:$A$5001,"&lt;="&amp;$B165,BD!$M$3:$M$5001,"&lt;&gt;"))))</f>
        <v/>
      </c>
      <c r="S165" s="43" t="str">
        <f>IF(OR($B165="",$A165&gt;$B$9,S$149=""),"",IF(COUNTIFS(BD!$B$3:$B$5001,S$149,BD!$A$3:$A$5001,"&gt;="&amp;$C$7,BD!$A$3:$A$5001,"&lt;="&amp;$B165,BD!$M$3:$M$5001,"&lt;&gt;")=0,"",SUMIFS(BD!$M$3:$M$5001,BD!$B$3:$B$5001,S$149,BD!$A$3:$A$5001,_xlfn.MAXIFS(BD!$A$3:$A$5001,BD!$B$3:$B$5001,S$149,BD!$A$3:$A$5001,"&gt;="&amp;$C$7,BD!$A$3:$A$5001,"&lt;="&amp;$B165,BD!$M$3:$M$5001,"&lt;&gt;"))))</f>
        <v/>
      </c>
      <c r="T165" s="43" t="str">
        <f>IF(OR($B165="",$A165&gt;$B$9,T$149=""),"",IF(COUNTIFS(BD!$B$3:$B$5001,T$149,BD!$A$3:$A$5001,"&gt;="&amp;$C$7,BD!$A$3:$A$5001,"&lt;="&amp;$B165,BD!$M$3:$M$5001,"&lt;&gt;")=0,"",SUMIFS(BD!$M$3:$M$5001,BD!$B$3:$B$5001,T$149,BD!$A$3:$A$5001,_xlfn.MAXIFS(BD!$A$3:$A$5001,BD!$B$3:$B$5001,T$149,BD!$A$3:$A$5001,"&gt;="&amp;$C$7,BD!$A$3:$A$5001,"&lt;="&amp;$B165,BD!$M$3:$M$5001,"&lt;&gt;"))))</f>
        <v/>
      </c>
      <c r="U165" s="43" t="str">
        <f>IF(OR($B165="",$A165&gt;$B$9,U$149=""),"",IF(COUNTIFS(BD!$B$3:$B$5001,U$149,BD!$A$3:$A$5001,"&gt;="&amp;$C$7,BD!$A$3:$A$5001,"&lt;="&amp;$B165,BD!$M$3:$M$5001,"&lt;&gt;")=0,"",SUMIFS(BD!$M$3:$M$5001,BD!$B$3:$B$5001,U$149,BD!$A$3:$A$5001,_xlfn.MAXIFS(BD!$A$3:$A$5001,BD!$B$3:$B$5001,U$149,BD!$A$3:$A$5001,"&gt;="&amp;$C$7,BD!$A$3:$A$5001,"&lt;="&amp;$B165,BD!$M$3:$M$5001,"&lt;&gt;"))))</f>
        <v/>
      </c>
      <c r="V165" s="43" t="str">
        <f>IF(OR($B165="",$A165&gt;$B$9,V$149=""),"",IF(COUNTIFS(BD!$B$3:$B$5001,V$149,BD!$A$3:$A$5001,"&gt;="&amp;$C$7,BD!$A$3:$A$5001,"&lt;="&amp;$B165,BD!$M$3:$M$5001,"&lt;&gt;")=0,"",SUMIFS(BD!$M$3:$M$5001,BD!$B$3:$B$5001,V$149,BD!$A$3:$A$5001,_xlfn.MAXIFS(BD!$A$3:$A$5001,BD!$B$3:$B$5001,V$149,BD!$A$3:$A$5001,"&gt;="&amp;$C$7,BD!$A$3:$A$5001,"&lt;="&amp;$B165,BD!$M$3:$M$5001,"&lt;&gt;"))))</f>
        <v/>
      </c>
    </row>
    <row r="166">
      <c r="A166" s="38">
        <v>17</v>
      </c>
      <c r="B166" s="42">
        <f>$B$28</f>
        <v>46312</v>
      </c>
      <c r="C166" s="43" t="str">
        <f>IF(OR($B166="",$A166&gt;$B$9,C$149=""),"",IF(COUNTIFS(BD!$B$3:$B$5001,C$149,BD!$A$3:$A$5001,"&gt;="&amp;$C$7,BD!$A$3:$A$5001,"&lt;="&amp;$B166,BD!$M$3:$M$5001,"&lt;&gt;")=0,"",SUMIFS(BD!$M$3:$M$5001,BD!$B$3:$B$5001,C$149,BD!$A$3:$A$5001,_xlfn.MAXIFS(BD!$A$3:$A$5001,BD!$B$3:$B$5001,C$149,BD!$A$3:$A$5001,"&gt;="&amp;$C$7,BD!$A$3:$A$5001,"&lt;="&amp;$B166,BD!$M$3:$M$5001,"&lt;&gt;"))))</f>
        <v/>
      </c>
      <c r="D166" s="43" t="str">
        <f>IF(OR($B166="",$A166&gt;$B$9,D$149=""),"",IF(COUNTIFS(BD!$B$3:$B$5001,D$149,BD!$A$3:$A$5001,"&gt;="&amp;$C$7,BD!$A$3:$A$5001,"&lt;="&amp;$B166,BD!$M$3:$M$5001,"&lt;&gt;")=0,"",SUMIFS(BD!$M$3:$M$5001,BD!$B$3:$B$5001,D$149,BD!$A$3:$A$5001,_xlfn.MAXIFS(BD!$A$3:$A$5001,BD!$B$3:$B$5001,D$149,BD!$A$3:$A$5001,"&gt;="&amp;$C$7,BD!$A$3:$A$5001,"&lt;="&amp;$B166,BD!$M$3:$M$5001,"&lt;&gt;"))))</f>
        <v/>
      </c>
      <c r="E166" s="43" t="str">
        <f>IF(OR($B166="",$A166&gt;$B$9,E$149=""),"",IF(COUNTIFS(BD!$B$3:$B$5001,E$149,BD!$A$3:$A$5001,"&gt;="&amp;$C$7,BD!$A$3:$A$5001,"&lt;="&amp;$B166,BD!$M$3:$M$5001,"&lt;&gt;")=0,"",SUMIFS(BD!$M$3:$M$5001,BD!$B$3:$B$5001,E$149,BD!$A$3:$A$5001,_xlfn.MAXIFS(BD!$A$3:$A$5001,BD!$B$3:$B$5001,E$149,BD!$A$3:$A$5001,"&gt;="&amp;$C$7,BD!$A$3:$A$5001,"&lt;="&amp;$B166,BD!$M$3:$M$5001,"&lt;&gt;"))))</f>
        <v/>
      </c>
      <c r="F166" s="43" t="str">
        <f>IF(OR($B166="",$A166&gt;$B$9,F$149=""),"",IF(COUNTIFS(BD!$B$3:$B$5001,F$149,BD!$A$3:$A$5001,"&gt;="&amp;$C$7,BD!$A$3:$A$5001,"&lt;="&amp;$B166,BD!$M$3:$M$5001,"&lt;&gt;")=0,"",SUMIFS(BD!$M$3:$M$5001,BD!$B$3:$B$5001,F$149,BD!$A$3:$A$5001,_xlfn.MAXIFS(BD!$A$3:$A$5001,BD!$B$3:$B$5001,F$149,BD!$A$3:$A$5001,"&gt;="&amp;$C$7,BD!$A$3:$A$5001,"&lt;="&amp;$B166,BD!$M$3:$M$5001,"&lt;&gt;"))))</f>
        <v/>
      </c>
      <c r="G166" s="43" t="str">
        <f>IF(OR($B166="",$A166&gt;$B$9,G$149=""),"",IF(COUNTIFS(BD!$B$3:$B$5001,G$149,BD!$A$3:$A$5001,"&gt;="&amp;$C$7,BD!$A$3:$A$5001,"&lt;="&amp;$B166,BD!$M$3:$M$5001,"&lt;&gt;")=0,"",SUMIFS(BD!$M$3:$M$5001,BD!$B$3:$B$5001,G$149,BD!$A$3:$A$5001,_xlfn.MAXIFS(BD!$A$3:$A$5001,BD!$B$3:$B$5001,G$149,BD!$A$3:$A$5001,"&gt;="&amp;$C$7,BD!$A$3:$A$5001,"&lt;="&amp;$B166,BD!$M$3:$M$5001,"&lt;&gt;"))))</f>
        <v/>
      </c>
      <c r="H166" s="43" t="str">
        <f>IF(OR($B166="",$A166&gt;$B$9,H$149=""),"",IF(COUNTIFS(BD!$B$3:$B$5001,H$149,BD!$A$3:$A$5001,"&gt;="&amp;$C$7,BD!$A$3:$A$5001,"&lt;="&amp;$B166,BD!$M$3:$M$5001,"&lt;&gt;")=0,"",SUMIFS(BD!$M$3:$M$5001,BD!$B$3:$B$5001,H$149,BD!$A$3:$A$5001,_xlfn.MAXIFS(BD!$A$3:$A$5001,BD!$B$3:$B$5001,H$149,BD!$A$3:$A$5001,"&gt;="&amp;$C$7,BD!$A$3:$A$5001,"&lt;="&amp;$B166,BD!$M$3:$M$5001,"&lt;&gt;"))))</f>
        <v/>
      </c>
      <c r="I166" s="43" t="str">
        <f>IF(OR($B166="",$A166&gt;$B$9,I$149=""),"",IF(COUNTIFS(BD!$B$3:$B$5001,I$149,BD!$A$3:$A$5001,"&gt;="&amp;$C$7,BD!$A$3:$A$5001,"&lt;="&amp;$B166,BD!$M$3:$M$5001,"&lt;&gt;")=0,"",SUMIFS(BD!$M$3:$M$5001,BD!$B$3:$B$5001,I$149,BD!$A$3:$A$5001,_xlfn.MAXIFS(BD!$A$3:$A$5001,BD!$B$3:$B$5001,I$149,BD!$A$3:$A$5001,"&gt;="&amp;$C$7,BD!$A$3:$A$5001,"&lt;="&amp;$B166,BD!$M$3:$M$5001,"&lt;&gt;"))))</f>
        <v/>
      </c>
      <c r="J166" s="43" t="str">
        <f>IF(OR($B166="",$A166&gt;$B$9,J$149=""),"",IF(COUNTIFS(BD!$B$3:$B$5001,J$149,BD!$A$3:$A$5001,"&gt;="&amp;$C$7,BD!$A$3:$A$5001,"&lt;="&amp;$B166,BD!$M$3:$M$5001,"&lt;&gt;")=0,"",SUMIFS(BD!$M$3:$M$5001,BD!$B$3:$B$5001,J$149,BD!$A$3:$A$5001,_xlfn.MAXIFS(BD!$A$3:$A$5001,BD!$B$3:$B$5001,J$149,BD!$A$3:$A$5001,"&gt;="&amp;$C$7,BD!$A$3:$A$5001,"&lt;="&amp;$B166,BD!$M$3:$M$5001,"&lt;&gt;"))))</f>
        <v/>
      </c>
      <c r="K166" s="43" t="str">
        <f>IF(OR($B166="",$A166&gt;$B$9,K$149=""),"",IF(COUNTIFS(BD!$B$3:$B$5001,K$149,BD!$A$3:$A$5001,"&gt;="&amp;$C$7,BD!$A$3:$A$5001,"&lt;="&amp;$B166,BD!$M$3:$M$5001,"&lt;&gt;")=0,"",SUMIFS(BD!$M$3:$M$5001,BD!$B$3:$B$5001,K$149,BD!$A$3:$A$5001,_xlfn.MAXIFS(BD!$A$3:$A$5001,BD!$B$3:$B$5001,K$149,BD!$A$3:$A$5001,"&gt;="&amp;$C$7,BD!$A$3:$A$5001,"&lt;="&amp;$B166,BD!$M$3:$M$5001,"&lt;&gt;"))))</f>
        <v/>
      </c>
      <c r="L166" s="43" t="str">
        <f>IF(OR($B166="",$A166&gt;$B$9,L$149=""),"",IF(COUNTIFS(BD!$B$3:$B$5001,L$149,BD!$A$3:$A$5001,"&gt;="&amp;$C$7,BD!$A$3:$A$5001,"&lt;="&amp;$B166,BD!$M$3:$M$5001,"&lt;&gt;")=0,"",SUMIFS(BD!$M$3:$M$5001,BD!$B$3:$B$5001,L$149,BD!$A$3:$A$5001,_xlfn.MAXIFS(BD!$A$3:$A$5001,BD!$B$3:$B$5001,L$149,BD!$A$3:$A$5001,"&gt;="&amp;$C$7,BD!$A$3:$A$5001,"&lt;="&amp;$B166,BD!$M$3:$M$5001,"&lt;&gt;"))))</f>
        <v/>
      </c>
      <c r="M166" s="43" t="str">
        <f>IF(OR($B166="",$A166&gt;$B$9,M$149=""),"",IF(COUNTIFS(BD!$B$3:$B$5001,M$149,BD!$A$3:$A$5001,"&gt;="&amp;$C$7,BD!$A$3:$A$5001,"&lt;="&amp;$B166,BD!$M$3:$M$5001,"&lt;&gt;")=0,"",SUMIFS(BD!$M$3:$M$5001,BD!$B$3:$B$5001,M$149,BD!$A$3:$A$5001,_xlfn.MAXIFS(BD!$A$3:$A$5001,BD!$B$3:$B$5001,M$149,BD!$A$3:$A$5001,"&gt;="&amp;$C$7,BD!$A$3:$A$5001,"&lt;="&amp;$B166,BD!$M$3:$M$5001,"&lt;&gt;"))))</f>
        <v/>
      </c>
      <c r="N166" s="43" t="str">
        <f>IF(OR($B166="",$A166&gt;$B$9,N$149=""),"",IF(COUNTIFS(BD!$B$3:$B$5001,N$149,BD!$A$3:$A$5001,"&gt;="&amp;$C$7,BD!$A$3:$A$5001,"&lt;="&amp;$B166,BD!$M$3:$M$5001,"&lt;&gt;")=0,"",SUMIFS(BD!$M$3:$M$5001,BD!$B$3:$B$5001,N$149,BD!$A$3:$A$5001,_xlfn.MAXIFS(BD!$A$3:$A$5001,BD!$B$3:$B$5001,N$149,BD!$A$3:$A$5001,"&gt;="&amp;$C$7,BD!$A$3:$A$5001,"&lt;="&amp;$B166,BD!$M$3:$M$5001,"&lt;&gt;"))))</f>
        <v/>
      </c>
      <c r="O166" s="43" t="str">
        <f>IF(OR($B166="",$A166&gt;$B$9,O$149=""),"",IF(COUNTIFS(BD!$B$3:$B$5001,O$149,BD!$A$3:$A$5001,"&gt;="&amp;$C$7,BD!$A$3:$A$5001,"&lt;="&amp;$B166,BD!$M$3:$M$5001,"&lt;&gt;")=0,"",SUMIFS(BD!$M$3:$M$5001,BD!$B$3:$B$5001,O$149,BD!$A$3:$A$5001,_xlfn.MAXIFS(BD!$A$3:$A$5001,BD!$B$3:$B$5001,O$149,BD!$A$3:$A$5001,"&gt;="&amp;$C$7,BD!$A$3:$A$5001,"&lt;="&amp;$B166,BD!$M$3:$M$5001,"&lt;&gt;"))))</f>
        <v/>
      </c>
      <c r="P166" s="43" t="str">
        <f>IF(OR($B166="",$A166&gt;$B$9,P$149=""),"",IF(COUNTIFS(BD!$B$3:$B$5001,P$149,BD!$A$3:$A$5001,"&gt;="&amp;$C$7,BD!$A$3:$A$5001,"&lt;="&amp;$B166,BD!$M$3:$M$5001,"&lt;&gt;")=0,"",SUMIFS(BD!$M$3:$M$5001,BD!$B$3:$B$5001,P$149,BD!$A$3:$A$5001,_xlfn.MAXIFS(BD!$A$3:$A$5001,BD!$B$3:$B$5001,P$149,BD!$A$3:$A$5001,"&gt;="&amp;$C$7,BD!$A$3:$A$5001,"&lt;="&amp;$B166,BD!$M$3:$M$5001,"&lt;&gt;"))))</f>
        <v/>
      </c>
      <c r="Q166" s="43" t="str">
        <f>IF(OR($B166="",$A166&gt;$B$9,Q$149=""),"",IF(COUNTIFS(BD!$B$3:$B$5001,Q$149,BD!$A$3:$A$5001,"&gt;="&amp;$C$7,BD!$A$3:$A$5001,"&lt;="&amp;$B166,BD!$M$3:$M$5001,"&lt;&gt;")=0,"",SUMIFS(BD!$M$3:$M$5001,BD!$B$3:$B$5001,Q$149,BD!$A$3:$A$5001,_xlfn.MAXIFS(BD!$A$3:$A$5001,BD!$B$3:$B$5001,Q$149,BD!$A$3:$A$5001,"&gt;="&amp;$C$7,BD!$A$3:$A$5001,"&lt;="&amp;$B166,BD!$M$3:$M$5001,"&lt;&gt;"))))</f>
        <v/>
      </c>
      <c r="R166" s="43" t="str">
        <f>IF(OR($B166="",$A166&gt;$B$9,R$149=""),"",IF(COUNTIFS(BD!$B$3:$B$5001,R$149,BD!$A$3:$A$5001,"&gt;="&amp;$C$7,BD!$A$3:$A$5001,"&lt;="&amp;$B166,BD!$M$3:$M$5001,"&lt;&gt;")=0,"",SUMIFS(BD!$M$3:$M$5001,BD!$B$3:$B$5001,R$149,BD!$A$3:$A$5001,_xlfn.MAXIFS(BD!$A$3:$A$5001,BD!$B$3:$B$5001,R$149,BD!$A$3:$A$5001,"&gt;="&amp;$C$7,BD!$A$3:$A$5001,"&lt;="&amp;$B166,BD!$M$3:$M$5001,"&lt;&gt;"))))</f>
        <v/>
      </c>
      <c r="S166" s="43" t="str">
        <f>IF(OR($B166="",$A166&gt;$B$9,S$149=""),"",IF(COUNTIFS(BD!$B$3:$B$5001,S$149,BD!$A$3:$A$5001,"&gt;="&amp;$C$7,BD!$A$3:$A$5001,"&lt;="&amp;$B166,BD!$M$3:$M$5001,"&lt;&gt;")=0,"",SUMIFS(BD!$M$3:$M$5001,BD!$B$3:$B$5001,S$149,BD!$A$3:$A$5001,_xlfn.MAXIFS(BD!$A$3:$A$5001,BD!$B$3:$B$5001,S$149,BD!$A$3:$A$5001,"&gt;="&amp;$C$7,BD!$A$3:$A$5001,"&lt;="&amp;$B166,BD!$M$3:$M$5001,"&lt;&gt;"))))</f>
        <v/>
      </c>
      <c r="T166" s="43" t="str">
        <f>IF(OR($B166="",$A166&gt;$B$9,T$149=""),"",IF(COUNTIFS(BD!$B$3:$B$5001,T$149,BD!$A$3:$A$5001,"&gt;="&amp;$C$7,BD!$A$3:$A$5001,"&lt;="&amp;$B166,BD!$M$3:$M$5001,"&lt;&gt;")=0,"",SUMIFS(BD!$M$3:$M$5001,BD!$B$3:$B$5001,T$149,BD!$A$3:$A$5001,_xlfn.MAXIFS(BD!$A$3:$A$5001,BD!$B$3:$B$5001,T$149,BD!$A$3:$A$5001,"&gt;="&amp;$C$7,BD!$A$3:$A$5001,"&lt;="&amp;$B166,BD!$M$3:$M$5001,"&lt;&gt;"))))</f>
        <v/>
      </c>
      <c r="U166" s="43" t="str">
        <f>IF(OR($B166="",$A166&gt;$B$9,U$149=""),"",IF(COUNTIFS(BD!$B$3:$B$5001,U$149,BD!$A$3:$A$5001,"&gt;="&amp;$C$7,BD!$A$3:$A$5001,"&lt;="&amp;$B166,BD!$M$3:$M$5001,"&lt;&gt;")=0,"",SUMIFS(BD!$M$3:$M$5001,BD!$B$3:$B$5001,U$149,BD!$A$3:$A$5001,_xlfn.MAXIFS(BD!$A$3:$A$5001,BD!$B$3:$B$5001,U$149,BD!$A$3:$A$5001,"&gt;="&amp;$C$7,BD!$A$3:$A$5001,"&lt;="&amp;$B166,BD!$M$3:$M$5001,"&lt;&gt;"))))</f>
        <v/>
      </c>
      <c r="V166" s="43" t="str">
        <f>IF(OR($B166="",$A166&gt;$B$9,V$149=""),"",IF(COUNTIFS(BD!$B$3:$B$5001,V$149,BD!$A$3:$A$5001,"&gt;="&amp;$C$7,BD!$A$3:$A$5001,"&lt;="&amp;$B166,BD!$M$3:$M$5001,"&lt;&gt;")=0,"",SUMIFS(BD!$M$3:$M$5001,BD!$B$3:$B$5001,V$149,BD!$A$3:$A$5001,_xlfn.MAXIFS(BD!$A$3:$A$5001,BD!$B$3:$B$5001,V$149,BD!$A$3:$A$5001,"&gt;="&amp;$C$7,BD!$A$3:$A$5001,"&lt;="&amp;$B166,BD!$M$3:$M$5001,"&lt;&gt;"))))</f>
        <v/>
      </c>
    </row>
    <row r="167">
      <c r="A167" s="38">
        <v>18</v>
      </c>
      <c r="B167" s="42">
        <f>$B$29</f>
        <v>46313</v>
      </c>
      <c r="C167" s="43" t="str">
        <f>IF(OR($B167="",$A167&gt;$B$9,C$149=""),"",IF(COUNTIFS(BD!$B$3:$B$5001,C$149,BD!$A$3:$A$5001,"&gt;="&amp;$C$7,BD!$A$3:$A$5001,"&lt;="&amp;$B167,BD!$M$3:$M$5001,"&lt;&gt;")=0,"",SUMIFS(BD!$M$3:$M$5001,BD!$B$3:$B$5001,C$149,BD!$A$3:$A$5001,_xlfn.MAXIFS(BD!$A$3:$A$5001,BD!$B$3:$B$5001,C$149,BD!$A$3:$A$5001,"&gt;="&amp;$C$7,BD!$A$3:$A$5001,"&lt;="&amp;$B167,BD!$M$3:$M$5001,"&lt;&gt;"))))</f>
        <v/>
      </c>
      <c r="D167" s="43" t="str">
        <f>IF(OR($B167="",$A167&gt;$B$9,D$149=""),"",IF(COUNTIFS(BD!$B$3:$B$5001,D$149,BD!$A$3:$A$5001,"&gt;="&amp;$C$7,BD!$A$3:$A$5001,"&lt;="&amp;$B167,BD!$M$3:$M$5001,"&lt;&gt;")=0,"",SUMIFS(BD!$M$3:$M$5001,BD!$B$3:$B$5001,D$149,BD!$A$3:$A$5001,_xlfn.MAXIFS(BD!$A$3:$A$5001,BD!$B$3:$B$5001,D$149,BD!$A$3:$A$5001,"&gt;="&amp;$C$7,BD!$A$3:$A$5001,"&lt;="&amp;$B167,BD!$M$3:$M$5001,"&lt;&gt;"))))</f>
        <v/>
      </c>
      <c r="E167" s="43" t="str">
        <f>IF(OR($B167="",$A167&gt;$B$9,E$149=""),"",IF(COUNTIFS(BD!$B$3:$B$5001,E$149,BD!$A$3:$A$5001,"&gt;="&amp;$C$7,BD!$A$3:$A$5001,"&lt;="&amp;$B167,BD!$M$3:$M$5001,"&lt;&gt;")=0,"",SUMIFS(BD!$M$3:$M$5001,BD!$B$3:$B$5001,E$149,BD!$A$3:$A$5001,_xlfn.MAXIFS(BD!$A$3:$A$5001,BD!$B$3:$B$5001,E$149,BD!$A$3:$A$5001,"&gt;="&amp;$C$7,BD!$A$3:$A$5001,"&lt;="&amp;$B167,BD!$M$3:$M$5001,"&lt;&gt;"))))</f>
        <v/>
      </c>
      <c r="F167" s="43" t="str">
        <f>IF(OR($B167="",$A167&gt;$B$9,F$149=""),"",IF(COUNTIFS(BD!$B$3:$B$5001,F$149,BD!$A$3:$A$5001,"&gt;="&amp;$C$7,BD!$A$3:$A$5001,"&lt;="&amp;$B167,BD!$M$3:$M$5001,"&lt;&gt;")=0,"",SUMIFS(BD!$M$3:$M$5001,BD!$B$3:$B$5001,F$149,BD!$A$3:$A$5001,_xlfn.MAXIFS(BD!$A$3:$A$5001,BD!$B$3:$B$5001,F$149,BD!$A$3:$A$5001,"&gt;="&amp;$C$7,BD!$A$3:$A$5001,"&lt;="&amp;$B167,BD!$M$3:$M$5001,"&lt;&gt;"))))</f>
        <v/>
      </c>
      <c r="G167" s="43" t="str">
        <f>IF(OR($B167="",$A167&gt;$B$9,G$149=""),"",IF(COUNTIFS(BD!$B$3:$B$5001,G$149,BD!$A$3:$A$5001,"&gt;="&amp;$C$7,BD!$A$3:$A$5001,"&lt;="&amp;$B167,BD!$M$3:$M$5001,"&lt;&gt;")=0,"",SUMIFS(BD!$M$3:$M$5001,BD!$B$3:$B$5001,G$149,BD!$A$3:$A$5001,_xlfn.MAXIFS(BD!$A$3:$A$5001,BD!$B$3:$B$5001,G$149,BD!$A$3:$A$5001,"&gt;="&amp;$C$7,BD!$A$3:$A$5001,"&lt;="&amp;$B167,BD!$M$3:$M$5001,"&lt;&gt;"))))</f>
        <v/>
      </c>
      <c r="H167" s="43" t="str">
        <f>IF(OR($B167="",$A167&gt;$B$9,H$149=""),"",IF(COUNTIFS(BD!$B$3:$B$5001,H$149,BD!$A$3:$A$5001,"&gt;="&amp;$C$7,BD!$A$3:$A$5001,"&lt;="&amp;$B167,BD!$M$3:$M$5001,"&lt;&gt;")=0,"",SUMIFS(BD!$M$3:$M$5001,BD!$B$3:$B$5001,H$149,BD!$A$3:$A$5001,_xlfn.MAXIFS(BD!$A$3:$A$5001,BD!$B$3:$B$5001,H$149,BD!$A$3:$A$5001,"&gt;="&amp;$C$7,BD!$A$3:$A$5001,"&lt;="&amp;$B167,BD!$M$3:$M$5001,"&lt;&gt;"))))</f>
        <v/>
      </c>
      <c r="I167" s="43" t="str">
        <f>IF(OR($B167="",$A167&gt;$B$9,I$149=""),"",IF(COUNTIFS(BD!$B$3:$B$5001,I$149,BD!$A$3:$A$5001,"&gt;="&amp;$C$7,BD!$A$3:$A$5001,"&lt;="&amp;$B167,BD!$M$3:$M$5001,"&lt;&gt;")=0,"",SUMIFS(BD!$M$3:$M$5001,BD!$B$3:$B$5001,I$149,BD!$A$3:$A$5001,_xlfn.MAXIFS(BD!$A$3:$A$5001,BD!$B$3:$B$5001,I$149,BD!$A$3:$A$5001,"&gt;="&amp;$C$7,BD!$A$3:$A$5001,"&lt;="&amp;$B167,BD!$M$3:$M$5001,"&lt;&gt;"))))</f>
        <v/>
      </c>
      <c r="J167" s="43" t="str">
        <f>IF(OR($B167="",$A167&gt;$B$9,J$149=""),"",IF(COUNTIFS(BD!$B$3:$B$5001,J$149,BD!$A$3:$A$5001,"&gt;="&amp;$C$7,BD!$A$3:$A$5001,"&lt;="&amp;$B167,BD!$M$3:$M$5001,"&lt;&gt;")=0,"",SUMIFS(BD!$M$3:$M$5001,BD!$B$3:$B$5001,J$149,BD!$A$3:$A$5001,_xlfn.MAXIFS(BD!$A$3:$A$5001,BD!$B$3:$B$5001,J$149,BD!$A$3:$A$5001,"&gt;="&amp;$C$7,BD!$A$3:$A$5001,"&lt;="&amp;$B167,BD!$M$3:$M$5001,"&lt;&gt;"))))</f>
        <v/>
      </c>
      <c r="K167" s="43" t="str">
        <f>IF(OR($B167="",$A167&gt;$B$9,K$149=""),"",IF(COUNTIFS(BD!$B$3:$B$5001,K$149,BD!$A$3:$A$5001,"&gt;="&amp;$C$7,BD!$A$3:$A$5001,"&lt;="&amp;$B167,BD!$M$3:$M$5001,"&lt;&gt;")=0,"",SUMIFS(BD!$M$3:$M$5001,BD!$B$3:$B$5001,K$149,BD!$A$3:$A$5001,_xlfn.MAXIFS(BD!$A$3:$A$5001,BD!$B$3:$B$5001,K$149,BD!$A$3:$A$5001,"&gt;="&amp;$C$7,BD!$A$3:$A$5001,"&lt;="&amp;$B167,BD!$M$3:$M$5001,"&lt;&gt;"))))</f>
        <v/>
      </c>
      <c r="L167" s="43" t="str">
        <f>IF(OR($B167="",$A167&gt;$B$9,L$149=""),"",IF(COUNTIFS(BD!$B$3:$B$5001,L$149,BD!$A$3:$A$5001,"&gt;="&amp;$C$7,BD!$A$3:$A$5001,"&lt;="&amp;$B167,BD!$M$3:$M$5001,"&lt;&gt;")=0,"",SUMIFS(BD!$M$3:$M$5001,BD!$B$3:$B$5001,L$149,BD!$A$3:$A$5001,_xlfn.MAXIFS(BD!$A$3:$A$5001,BD!$B$3:$B$5001,L$149,BD!$A$3:$A$5001,"&gt;="&amp;$C$7,BD!$A$3:$A$5001,"&lt;="&amp;$B167,BD!$M$3:$M$5001,"&lt;&gt;"))))</f>
        <v/>
      </c>
      <c r="M167" s="43" t="str">
        <f>IF(OR($B167="",$A167&gt;$B$9,M$149=""),"",IF(COUNTIFS(BD!$B$3:$B$5001,M$149,BD!$A$3:$A$5001,"&gt;="&amp;$C$7,BD!$A$3:$A$5001,"&lt;="&amp;$B167,BD!$M$3:$M$5001,"&lt;&gt;")=0,"",SUMIFS(BD!$M$3:$M$5001,BD!$B$3:$B$5001,M$149,BD!$A$3:$A$5001,_xlfn.MAXIFS(BD!$A$3:$A$5001,BD!$B$3:$B$5001,M$149,BD!$A$3:$A$5001,"&gt;="&amp;$C$7,BD!$A$3:$A$5001,"&lt;="&amp;$B167,BD!$M$3:$M$5001,"&lt;&gt;"))))</f>
        <v/>
      </c>
      <c r="N167" s="43" t="str">
        <f>IF(OR($B167="",$A167&gt;$B$9,N$149=""),"",IF(COUNTIFS(BD!$B$3:$B$5001,N$149,BD!$A$3:$A$5001,"&gt;="&amp;$C$7,BD!$A$3:$A$5001,"&lt;="&amp;$B167,BD!$M$3:$M$5001,"&lt;&gt;")=0,"",SUMIFS(BD!$M$3:$M$5001,BD!$B$3:$B$5001,N$149,BD!$A$3:$A$5001,_xlfn.MAXIFS(BD!$A$3:$A$5001,BD!$B$3:$B$5001,N$149,BD!$A$3:$A$5001,"&gt;="&amp;$C$7,BD!$A$3:$A$5001,"&lt;="&amp;$B167,BD!$M$3:$M$5001,"&lt;&gt;"))))</f>
        <v/>
      </c>
      <c r="O167" s="43" t="str">
        <f>IF(OR($B167="",$A167&gt;$B$9,O$149=""),"",IF(COUNTIFS(BD!$B$3:$B$5001,O$149,BD!$A$3:$A$5001,"&gt;="&amp;$C$7,BD!$A$3:$A$5001,"&lt;="&amp;$B167,BD!$M$3:$M$5001,"&lt;&gt;")=0,"",SUMIFS(BD!$M$3:$M$5001,BD!$B$3:$B$5001,O$149,BD!$A$3:$A$5001,_xlfn.MAXIFS(BD!$A$3:$A$5001,BD!$B$3:$B$5001,O$149,BD!$A$3:$A$5001,"&gt;="&amp;$C$7,BD!$A$3:$A$5001,"&lt;="&amp;$B167,BD!$M$3:$M$5001,"&lt;&gt;"))))</f>
        <v/>
      </c>
      <c r="P167" s="43" t="str">
        <f>IF(OR($B167="",$A167&gt;$B$9,P$149=""),"",IF(COUNTIFS(BD!$B$3:$B$5001,P$149,BD!$A$3:$A$5001,"&gt;="&amp;$C$7,BD!$A$3:$A$5001,"&lt;="&amp;$B167,BD!$M$3:$M$5001,"&lt;&gt;")=0,"",SUMIFS(BD!$M$3:$M$5001,BD!$B$3:$B$5001,P$149,BD!$A$3:$A$5001,_xlfn.MAXIFS(BD!$A$3:$A$5001,BD!$B$3:$B$5001,P$149,BD!$A$3:$A$5001,"&gt;="&amp;$C$7,BD!$A$3:$A$5001,"&lt;="&amp;$B167,BD!$M$3:$M$5001,"&lt;&gt;"))))</f>
        <v/>
      </c>
      <c r="Q167" s="43" t="str">
        <f>IF(OR($B167="",$A167&gt;$B$9,Q$149=""),"",IF(COUNTIFS(BD!$B$3:$B$5001,Q$149,BD!$A$3:$A$5001,"&gt;="&amp;$C$7,BD!$A$3:$A$5001,"&lt;="&amp;$B167,BD!$M$3:$M$5001,"&lt;&gt;")=0,"",SUMIFS(BD!$M$3:$M$5001,BD!$B$3:$B$5001,Q$149,BD!$A$3:$A$5001,_xlfn.MAXIFS(BD!$A$3:$A$5001,BD!$B$3:$B$5001,Q$149,BD!$A$3:$A$5001,"&gt;="&amp;$C$7,BD!$A$3:$A$5001,"&lt;="&amp;$B167,BD!$M$3:$M$5001,"&lt;&gt;"))))</f>
        <v/>
      </c>
      <c r="R167" s="43" t="str">
        <f>IF(OR($B167="",$A167&gt;$B$9,R$149=""),"",IF(COUNTIFS(BD!$B$3:$B$5001,R$149,BD!$A$3:$A$5001,"&gt;="&amp;$C$7,BD!$A$3:$A$5001,"&lt;="&amp;$B167,BD!$M$3:$M$5001,"&lt;&gt;")=0,"",SUMIFS(BD!$M$3:$M$5001,BD!$B$3:$B$5001,R$149,BD!$A$3:$A$5001,_xlfn.MAXIFS(BD!$A$3:$A$5001,BD!$B$3:$B$5001,R$149,BD!$A$3:$A$5001,"&gt;="&amp;$C$7,BD!$A$3:$A$5001,"&lt;="&amp;$B167,BD!$M$3:$M$5001,"&lt;&gt;"))))</f>
        <v/>
      </c>
      <c r="S167" s="43" t="str">
        <f>IF(OR($B167="",$A167&gt;$B$9,S$149=""),"",IF(COUNTIFS(BD!$B$3:$B$5001,S$149,BD!$A$3:$A$5001,"&gt;="&amp;$C$7,BD!$A$3:$A$5001,"&lt;="&amp;$B167,BD!$M$3:$M$5001,"&lt;&gt;")=0,"",SUMIFS(BD!$M$3:$M$5001,BD!$B$3:$B$5001,S$149,BD!$A$3:$A$5001,_xlfn.MAXIFS(BD!$A$3:$A$5001,BD!$B$3:$B$5001,S$149,BD!$A$3:$A$5001,"&gt;="&amp;$C$7,BD!$A$3:$A$5001,"&lt;="&amp;$B167,BD!$M$3:$M$5001,"&lt;&gt;"))))</f>
        <v/>
      </c>
      <c r="T167" s="43" t="str">
        <f>IF(OR($B167="",$A167&gt;$B$9,T$149=""),"",IF(COUNTIFS(BD!$B$3:$B$5001,T$149,BD!$A$3:$A$5001,"&gt;="&amp;$C$7,BD!$A$3:$A$5001,"&lt;="&amp;$B167,BD!$M$3:$M$5001,"&lt;&gt;")=0,"",SUMIFS(BD!$M$3:$M$5001,BD!$B$3:$B$5001,T$149,BD!$A$3:$A$5001,_xlfn.MAXIFS(BD!$A$3:$A$5001,BD!$B$3:$B$5001,T$149,BD!$A$3:$A$5001,"&gt;="&amp;$C$7,BD!$A$3:$A$5001,"&lt;="&amp;$B167,BD!$M$3:$M$5001,"&lt;&gt;"))))</f>
        <v/>
      </c>
      <c r="U167" s="43" t="str">
        <f>IF(OR($B167="",$A167&gt;$B$9,U$149=""),"",IF(COUNTIFS(BD!$B$3:$B$5001,U$149,BD!$A$3:$A$5001,"&gt;="&amp;$C$7,BD!$A$3:$A$5001,"&lt;="&amp;$B167,BD!$M$3:$M$5001,"&lt;&gt;")=0,"",SUMIFS(BD!$M$3:$M$5001,BD!$B$3:$B$5001,U$149,BD!$A$3:$A$5001,_xlfn.MAXIFS(BD!$A$3:$A$5001,BD!$B$3:$B$5001,U$149,BD!$A$3:$A$5001,"&gt;="&amp;$C$7,BD!$A$3:$A$5001,"&lt;="&amp;$B167,BD!$M$3:$M$5001,"&lt;&gt;"))))</f>
        <v/>
      </c>
      <c r="V167" s="43" t="str">
        <f>IF(OR($B167="",$A167&gt;$B$9,V$149=""),"",IF(COUNTIFS(BD!$B$3:$B$5001,V$149,BD!$A$3:$A$5001,"&gt;="&amp;$C$7,BD!$A$3:$A$5001,"&lt;="&amp;$B167,BD!$M$3:$M$5001,"&lt;&gt;")=0,"",SUMIFS(BD!$M$3:$M$5001,BD!$B$3:$B$5001,V$149,BD!$A$3:$A$5001,_xlfn.MAXIFS(BD!$A$3:$A$5001,BD!$B$3:$B$5001,V$149,BD!$A$3:$A$5001,"&gt;="&amp;$C$7,BD!$A$3:$A$5001,"&lt;="&amp;$B167,BD!$M$3:$M$5001,"&lt;&gt;"))))</f>
        <v/>
      </c>
    </row>
    <row r="168">
      <c r="A168" s="38">
        <v>19</v>
      </c>
      <c r="B168" s="42">
        <f>$B$30</f>
        <v>46314</v>
      </c>
      <c r="C168" s="43" t="str">
        <f>IF(OR($B168="",$A168&gt;$B$9,C$149=""),"",IF(COUNTIFS(BD!$B$3:$B$5001,C$149,BD!$A$3:$A$5001,"&gt;="&amp;$C$7,BD!$A$3:$A$5001,"&lt;="&amp;$B168,BD!$M$3:$M$5001,"&lt;&gt;")=0,"",SUMIFS(BD!$M$3:$M$5001,BD!$B$3:$B$5001,C$149,BD!$A$3:$A$5001,_xlfn.MAXIFS(BD!$A$3:$A$5001,BD!$B$3:$B$5001,C$149,BD!$A$3:$A$5001,"&gt;="&amp;$C$7,BD!$A$3:$A$5001,"&lt;="&amp;$B168,BD!$M$3:$M$5001,"&lt;&gt;"))))</f>
        <v/>
      </c>
      <c r="D168" s="43" t="str">
        <f>IF(OR($B168="",$A168&gt;$B$9,D$149=""),"",IF(COUNTIFS(BD!$B$3:$B$5001,D$149,BD!$A$3:$A$5001,"&gt;="&amp;$C$7,BD!$A$3:$A$5001,"&lt;="&amp;$B168,BD!$M$3:$M$5001,"&lt;&gt;")=0,"",SUMIFS(BD!$M$3:$M$5001,BD!$B$3:$B$5001,D$149,BD!$A$3:$A$5001,_xlfn.MAXIFS(BD!$A$3:$A$5001,BD!$B$3:$B$5001,D$149,BD!$A$3:$A$5001,"&gt;="&amp;$C$7,BD!$A$3:$A$5001,"&lt;="&amp;$B168,BD!$M$3:$M$5001,"&lt;&gt;"))))</f>
        <v/>
      </c>
      <c r="E168" s="43" t="str">
        <f>IF(OR($B168="",$A168&gt;$B$9,E$149=""),"",IF(COUNTIFS(BD!$B$3:$B$5001,E$149,BD!$A$3:$A$5001,"&gt;="&amp;$C$7,BD!$A$3:$A$5001,"&lt;="&amp;$B168,BD!$M$3:$M$5001,"&lt;&gt;")=0,"",SUMIFS(BD!$M$3:$M$5001,BD!$B$3:$B$5001,E$149,BD!$A$3:$A$5001,_xlfn.MAXIFS(BD!$A$3:$A$5001,BD!$B$3:$B$5001,E$149,BD!$A$3:$A$5001,"&gt;="&amp;$C$7,BD!$A$3:$A$5001,"&lt;="&amp;$B168,BD!$M$3:$M$5001,"&lt;&gt;"))))</f>
        <v/>
      </c>
      <c r="F168" s="43" t="str">
        <f>IF(OR($B168="",$A168&gt;$B$9,F$149=""),"",IF(COUNTIFS(BD!$B$3:$B$5001,F$149,BD!$A$3:$A$5001,"&gt;="&amp;$C$7,BD!$A$3:$A$5001,"&lt;="&amp;$B168,BD!$M$3:$M$5001,"&lt;&gt;")=0,"",SUMIFS(BD!$M$3:$M$5001,BD!$B$3:$B$5001,F$149,BD!$A$3:$A$5001,_xlfn.MAXIFS(BD!$A$3:$A$5001,BD!$B$3:$B$5001,F$149,BD!$A$3:$A$5001,"&gt;="&amp;$C$7,BD!$A$3:$A$5001,"&lt;="&amp;$B168,BD!$M$3:$M$5001,"&lt;&gt;"))))</f>
        <v/>
      </c>
      <c r="G168" s="43" t="str">
        <f>IF(OR($B168="",$A168&gt;$B$9,G$149=""),"",IF(COUNTIFS(BD!$B$3:$B$5001,G$149,BD!$A$3:$A$5001,"&gt;="&amp;$C$7,BD!$A$3:$A$5001,"&lt;="&amp;$B168,BD!$M$3:$M$5001,"&lt;&gt;")=0,"",SUMIFS(BD!$M$3:$M$5001,BD!$B$3:$B$5001,G$149,BD!$A$3:$A$5001,_xlfn.MAXIFS(BD!$A$3:$A$5001,BD!$B$3:$B$5001,G$149,BD!$A$3:$A$5001,"&gt;="&amp;$C$7,BD!$A$3:$A$5001,"&lt;="&amp;$B168,BD!$M$3:$M$5001,"&lt;&gt;"))))</f>
        <v/>
      </c>
      <c r="H168" s="43" t="str">
        <f>IF(OR($B168="",$A168&gt;$B$9,H$149=""),"",IF(COUNTIFS(BD!$B$3:$B$5001,H$149,BD!$A$3:$A$5001,"&gt;="&amp;$C$7,BD!$A$3:$A$5001,"&lt;="&amp;$B168,BD!$M$3:$M$5001,"&lt;&gt;")=0,"",SUMIFS(BD!$M$3:$M$5001,BD!$B$3:$B$5001,H$149,BD!$A$3:$A$5001,_xlfn.MAXIFS(BD!$A$3:$A$5001,BD!$B$3:$B$5001,H$149,BD!$A$3:$A$5001,"&gt;="&amp;$C$7,BD!$A$3:$A$5001,"&lt;="&amp;$B168,BD!$M$3:$M$5001,"&lt;&gt;"))))</f>
        <v/>
      </c>
      <c r="I168" s="43" t="str">
        <f>IF(OR($B168="",$A168&gt;$B$9,I$149=""),"",IF(COUNTIFS(BD!$B$3:$B$5001,I$149,BD!$A$3:$A$5001,"&gt;="&amp;$C$7,BD!$A$3:$A$5001,"&lt;="&amp;$B168,BD!$M$3:$M$5001,"&lt;&gt;")=0,"",SUMIFS(BD!$M$3:$M$5001,BD!$B$3:$B$5001,I$149,BD!$A$3:$A$5001,_xlfn.MAXIFS(BD!$A$3:$A$5001,BD!$B$3:$B$5001,I$149,BD!$A$3:$A$5001,"&gt;="&amp;$C$7,BD!$A$3:$A$5001,"&lt;="&amp;$B168,BD!$M$3:$M$5001,"&lt;&gt;"))))</f>
        <v/>
      </c>
      <c r="J168" s="43" t="str">
        <f>IF(OR($B168="",$A168&gt;$B$9,J$149=""),"",IF(COUNTIFS(BD!$B$3:$B$5001,J$149,BD!$A$3:$A$5001,"&gt;="&amp;$C$7,BD!$A$3:$A$5001,"&lt;="&amp;$B168,BD!$M$3:$M$5001,"&lt;&gt;")=0,"",SUMIFS(BD!$M$3:$M$5001,BD!$B$3:$B$5001,J$149,BD!$A$3:$A$5001,_xlfn.MAXIFS(BD!$A$3:$A$5001,BD!$B$3:$B$5001,J$149,BD!$A$3:$A$5001,"&gt;="&amp;$C$7,BD!$A$3:$A$5001,"&lt;="&amp;$B168,BD!$M$3:$M$5001,"&lt;&gt;"))))</f>
        <v/>
      </c>
      <c r="K168" s="43" t="str">
        <f>IF(OR($B168="",$A168&gt;$B$9,K$149=""),"",IF(COUNTIFS(BD!$B$3:$B$5001,K$149,BD!$A$3:$A$5001,"&gt;="&amp;$C$7,BD!$A$3:$A$5001,"&lt;="&amp;$B168,BD!$M$3:$M$5001,"&lt;&gt;")=0,"",SUMIFS(BD!$M$3:$M$5001,BD!$B$3:$B$5001,K$149,BD!$A$3:$A$5001,_xlfn.MAXIFS(BD!$A$3:$A$5001,BD!$B$3:$B$5001,K$149,BD!$A$3:$A$5001,"&gt;="&amp;$C$7,BD!$A$3:$A$5001,"&lt;="&amp;$B168,BD!$M$3:$M$5001,"&lt;&gt;"))))</f>
        <v/>
      </c>
      <c r="L168" s="43" t="str">
        <f>IF(OR($B168="",$A168&gt;$B$9,L$149=""),"",IF(COUNTIFS(BD!$B$3:$B$5001,L$149,BD!$A$3:$A$5001,"&gt;="&amp;$C$7,BD!$A$3:$A$5001,"&lt;="&amp;$B168,BD!$M$3:$M$5001,"&lt;&gt;")=0,"",SUMIFS(BD!$M$3:$M$5001,BD!$B$3:$B$5001,L$149,BD!$A$3:$A$5001,_xlfn.MAXIFS(BD!$A$3:$A$5001,BD!$B$3:$B$5001,L$149,BD!$A$3:$A$5001,"&gt;="&amp;$C$7,BD!$A$3:$A$5001,"&lt;="&amp;$B168,BD!$M$3:$M$5001,"&lt;&gt;"))))</f>
        <v/>
      </c>
      <c r="M168" s="43" t="str">
        <f>IF(OR($B168="",$A168&gt;$B$9,M$149=""),"",IF(COUNTIFS(BD!$B$3:$B$5001,M$149,BD!$A$3:$A$5001,"&gt;="&amp;$C$7,BD!$A$3:$A$5001,"&lt;="&amp;$B168,BD!$M$3:$M$5001,"&lt;&gt;")=0,"",SUMIFS(BD!$M$3:$M$5001,BD!$B$3:$B$5001,M$149,BD!$A$3:$A$5001,_xlfn.MAXIFS(BD!$A$3:$A$5001,BD!$B$3:$B$5001,M$149,BD!$A$3:$A$5001,"&gt;="&amp;$C$7,BD!$A$3:$A$5001,"&lt;="&amp;$B168,BD!$M$3:$M$5001,"&lt;&gt;"))))</f>
        <v/>
      </c>
      <c r="N168" s="43" t="str">
        <f>IF(OR($B168="",$A168&gt;$B$9,N$149=""),"",IF(COUNTIFS(BD!$B$3:$B$5001,N$149,BD!$A$3:$A$5001,"&gt;="&amp;$C$7,BD!$A$3:$A$5001,"&lt;="&amp;$B168,BD!$M$3:$M$5001,"&lt;&gt;")=0,"",SUMIFS(BD!$M$3:$M$5001,BD!$B$3:$B$5001,N$149,BD!$A$3:$A$5001,_xlfn.MAXIFS(BD!$A$3:$A$5001,BD!$B$3:$B$5001,N$149,BD!$A$3:$A$5001,"&gt;="&amp;$C$7,BD!$A$3:$A$5001,"&lt;="&amp;$B168,BD!$M$3:$M$5001,"&lt;&gt;"))))</f>
        <v/>
      </c>
      <c r="O168" s="43" t="str">
        <f>IF(OR($B168="",$A168&gt;$B$9,O$149=""),"",IF(COUNTIFS(BD!$B$3:$B$5001,O$149,BD!$A$3:$A$5001,"&gt;="&amp;$C$7,BD!$A$3:$A$5001,"&lt;="&amp;$B168,BD!$M$3:$M$5001,"&lt;&gt;")=0,"",SUMIFS(BD!$M$3:$M$5001,BD!$B$3:$B$5001,O$149,BD!$A$3:$A$5001,_xlfn.MAXIFS(BD!$A$3:$A$5001,BD!$B$3:$B$5001,O$149,BD!$A$3:$A$5001,"&gt;="&amp;$C$7,BD!$A$3:$A$5001,"&lt;="&amp;$B168,BD!$M$3:$M$5001,"&lt;&gt;"))))</f>
        <v/>
      </c>
      <c r="P168" s="43" t="str">
        <f>IF(OR($B168="",$A168&gt;$B$9,P$149=""),"",IF(COUNTIFS(BD!$B$3:$B$5001,P$149,BD!$A$3:$A$5001,"&gt;="&amp;$C$7,BD!$A$3:$A$5001,"&lt;="&amp;$B168,BD!$M$3:$M$5001,"&lt;&gt;")=0,"",SUMIFS(BD!$M$3:$M$5001,BD!$B$3:$B$5001,P$149,BD!$A$3:$A$5001,_xlfn.MAXIFS(BD!$A$3:$A$5001,BD!$B$3:$B$5001,P$149,BD!$A$3:$A$5001,"&gt;="&amp;$C$7,BD!$A$3:$A$5001,"&lt;="&amp;$B168,BD!$M$3:$M$5001,"&lt;&gt;"))))</f>
        <v/>
      </c>
      <c r="Q168" s="43" t="str">
        <f>IF(OR($B168="",$A168&gt;$B$9,Q$149=""),"",IF(COUNTIFS(BD!$B$3:$B$5001,Q$149,BD!$A$3:$A$5001,"&gt;="&amp;$C$7,BD!$A$3:$A$5001,"&lt;="&amp;$B168,BD!$M$3:$M$5001,"&lt;&gt;")=0,"",SUMIFS(BD!$M$3:$M$5001,BD!$B$3:$B$5001,Q$149,BD!$A$3:$A$5001,_xlfn.MAXIFS(BD!$A$3:$A$5001,BD!$B$3:$B$5001,Q$149,BD!$A$3:$A$5001,"&gt;="&amp;$C$7,BD!$A$3:$A$5001,"&lt;="&amp;$B168,BD!$M$3:$M$5001,"&lt;&gt;"))))</f>
        <v/>
      </c>
      <c r="R168" s="43" t="str">
        <f>IF(OR($B168="",$A168&gt;$B$9,R$149=""),"",IF(COUNTIFS(BD!$B$3:$B$5001,R$149,BD!$A$3:$A$5001,"&gt;="&amp;$C$7,BD!$A$3:$A$5001,"&lt;="&amp;$B168,BD!$M$3:$M$5001,"&lt;&gt;")=0,"",SUMIFS(BD!$M$3:$M$5001,BD!$B$3:$B$5001,R$149,BD!$A$3:$A$5001,_xlfn.MAXIFS(BD!$A$3:$A$5001,BD!$B$3:$B$5001,R$149,BD!$A$3:$A$5001,"&gt;="&amp;$C$7,BD!$A$3:$A$5001,"&lt;="&amp;$B168,BD!$M$3:$M$5001,"&lt;&gt;"))))</f>
        <v/>
      </c>
      <c r="S168" s="43" t="str">
        <f>IF(OR($B168="",$A168&gt;$B$9,S$149=""),"",IF(COUNTIFS(BD!$B$3:$B$5001,S$149,BD!$A$3:$A$5001,"&gt;="&amp;$C$7,BD!$A$3:$A$5001,"&lt;="&amp;$B168,BD!$M$3:$M$5001,"&lt;&gt;")=0,"",SUMIFS(BD!$M$3:$M$5001,BD!$B$3:$B$5001,S$149,BD!$A$3:$A$5001,_xlfn.MAXIFS(BD!$A$3:$A$5001,BD!$B$3:$B$5001,S$149,BD!$A$3:$A$5001,"&gt;="&amp;$C$7,BD!$A$3:$A$5001,"&lt;="&amp;$B168,BD!$M$3:$M$5001,"&lt;&gt;"))))</f>
        <v/>
      </c>
      <c r="T168" s="43" t="str">
        <f>IF(OR($B168="",$A168&gt;$B$9,T$149=""),"",IF(COUNTIFS(BD!$B$3:$B$5001,T$149,BD!$A$3:$A$5001,"&gt;="&amp;$C$7,BD!$A$3:$A$5001,"&lt;="&amp;$B168,BD!$M$3:$M$5001,"&lt;&gt;")=0,"",SUMIFS(BD!$M$3:$M$5001,BD!$B$3:$B$5001,T$149,BD!$A$3:$A$5001,_xlfn.MAXIFS(BD!$A$3:$A$5001,BD!$B$3:$B$5001,T$149,BD!$A$3:$A$5001,"&gt;="&amp;$C$7,BD!$A$3:$A$5001,"&lt;="&amp;$B168,BD!$M$3:$M$5001,"&lt;&gt;"))))</f>
        <v/>
      </c>
      <c r="U168" s="43" t="str">
        <f>IF(OR($B168="",$A168&gt;$B$9,U$149=""),"",IF(COUNTIFS(BD!$B$3:$B$5001,U$149,BD!$A$3:$A$5001,"&gt;="&amp;$C$7,BD!$A$3:$A$5001,"&lt;="&amp;$B168,BD!$M$3:$M$5001,"&lt;&gt;")=0,"",SUMIFS(BD!$M$3:$M$5001,BD!$B$3:$B$5001,U$149,BD!$A$3:$A$5001,_xlfn.MAXIFS(BD!$A$3:$A$5001,BD!$B$3:$B$5001,U$149,BD!$A$3:$A$5001,"&gt;="&amp;$C$7,BD!$A$3:$A$5001,"&lt;="&amp;$B168,BD!$M$3:$M$5001,"&lt;&gt;"))))</f>
        <v/>
      </c>
      <c r="V168" s="43" t="str">
        <f>IF(OR($B168="",$A168&gt;$B$9,V$149=""),"",IF(COUNTIFS(BD!$B$3:$B$5001,V$149,BD!$A$3:$A$5001,"&gt;="&amp;$C$7,BD!$A$3:$A$5001,"&lt;="&amp;$B168,BD!$M$3:$M$5001,"&lt;&gt;")=0,"",SUMIFS(BD!$M$3:$M$5001,BD!$B$3:$B$5001,V$149,BD!$A$3:$A$5001,_xlfn.MAXIFS(BD!$A$3:$A$5001,BD!$B$3:$B$5001,V$149,BD!$A$3:$A$5001,"&gt;="&amp;$C$7,BD!$A$3:$A$5001,"&lt;="&amp;$B168,BD!$M$3:$M$5001,"&lt;&gt;"))))</f>
        <v/>
      </c>
    </row>
    <row r="169">
      <c r="A169" s="38">
        <v>20</v>
      </c>
      <c r="B169" s="42">
        <f>$B$31</f>
        <v>46315</v>
      </c>
      <c r="C169" s="43" t="str">
        <f>IF(OR($B169="",$A169&gt;$B$9,C$149=""),"",IF(COUNTIFS(BD!$B$3:$B$5001,C$149,BD!$A$3:$A$5001,"&gt;="&amp;$C$7,BD!$A$3:$A$5001,"&lt;="&amp;$B169,BD!$M$3:$M$5001,"&lt;&gt;")=0,"",SUMIFS(BD!$M$3:$M$5001,BD!$B$3:$B$5001,C$149,BD!$A$3:$A$5001,_xlfn.MAXIFS(BD!$A$3:$A$5001,BD!$B$3:$B$5001,C$149,BD!$A$3:$A$5001,"&gt;="&amp;$C$7,BD!$A$3:$A$5001,"&lt;="&amp;$B169,BD!$M$3:$M$5001,"&lt;&gt;"))))</f>
        <v/>
      </c>
      <c r="D169" s="43" t="str">
        <f>IF(OR($B169="",$A169&gt;$B$9,D$149=""),"",IF(COUNTIFS(BD!$B$3:$B$5001,D$149,BD!$A$3:$A$5001,"&gt;="&amp;$C$7,BD!$A$3:$A$5001,"&lt;="&amp;$B169,BD!$M$3:$M$5001,"&lt;&gt;")=0,"",SUMIFS(BD!$M$3:$M$5001,BD!$B$3:$B$5001,D$149,BD!$A$3:$A$5001,_xlfn.MAXIFS(BD!$A$3:$A$5001,BD!$B$3:$B$5001,D$149,BD!$A$3:$A$5001,"&gt;="&amp;$C$7,BD!$A$3:$A$5001,"&lt;="&amp;$B169,BD!$M$3:$M$5001,"&lt;&gt;"))))</f>
        <v/>
      </c>
      <c r="E169" s="43" t="str">
        <f>IF(OR($B169="",$A169&gt;$B$9,E$149=""),"",IF(COUNTIFS(BD!$B$3:$B$5001,E$149,BD!$A$3:$A$5001,"&gt;="&amp;$C$7,BD!$A$3:$A$5001,"&lt;="&amp;$B169,BD!$M$3:$M$5001,"&lt;&gt;")=0,"",SUMIFS(BD!$M$3:$M$5001,BD!$B$3:$B$5001,E$149,BD!$A$3:$A$5001,_xlfn.MAXIFS(BD!$A$3:$A$5001,BD!$B$3:$B$5001,E$149,BD!$A$3:$A$5001,"&gt;="&amp;$C$7,BD!$A$3:$A$5001,"&lt;="&amp;$B169,BD!$M$3:$M$5001,"&lt;&gt;"))))</f>
        <v/>
      </c>
      <c r="F169" s="43" t="str">
        <f>IF(OR($B169="",$A169&gt;$B$9,F$149=""),"",IF(COUNTIFS(BD!$B$3:$B$5001,F$149,BD!$A$3:$A$5001,"&gt;="&amp;$C$7,BD!$A$3:$A$5001,"&lt;="&amp;$B169,BD!$M$3:$M$5001,"&lt;&gt;")=0,"",SUMIFS(BD!$M$3:$M$5001,BD!$B$3:$B$5001,F$149,BD!$A$3:$A$5001,_xlfn.MAXIFS(BD!$A$3:$A$5001,BD!$B$3:$B$5001,F$149,BD!$A$3:$A$5001,"&gt;="&amp;$C$7,BD!$A$3:$A$5001,"&lt;="&amp;$B169,BD!$M$3:$M$5001,"&lt;&gt;"))))</f>
        <v/>
      </c>
      <c r="G169" s="43" t="str">
        <f>IF(OR($B169="",$A169&gt;$B$9,G$149=""),"",IF(COUNTIFS(BD!$B$3:$B$5001,G$149,BD!$A$3:$A$5001,"&gt;="&amp;$C$7,BD!$A$3:$A$5001,"&lt;="&amp;$B169,BD!$M$3:$M$5001,"&lt;&gt;")=0,"",SUMIFS(BD!$M$3:$M$5001,BD!$B$3:$B$5001,G$149,BD!$A$3:$A$5001,_xlfn.MAXIFS(BD!$A$3:$A$5001,BD!$B$3:$B$5001,G$149,BD!$A$3:$A$5001,"&gt;="&amp;$C$7,BD!$A$3:$A$5001,"&lt;="&amp;$B169,BD!$M$3:$M$5001,"&lt;&gt;"))))</f>
        <v/>
      </c>
      <c r="H169" s="43" t="str">
        <f>IF(OR($B169="",$A169&gt;$B$9,H$149=""),"",IF(COUNTIFS(BD!$B$3:$B$5001,H$149,BD!$A$3:$A$5001,"&gt;="&amp;$C$7,BD!$A$3:$A$5001,"&lt;="&amp;$B169,BD!$M$3:$M$5001,"&lt;&gt;")=0,"",SUMIFS(BD!$M$3:$M$5001,BD!$B$3:$B$5001,H$149,BD!$A$3:$A$5001,_xlfn.MAXIFS(BD!$A$3:$A$5001,BD!$B$3:$B$5001,H$149,BD!$A$3:$A$5001,"&gt;="&amp;$C$7,BD!$A$3:$A$5001,"&lt;="&amp;$B169,BD!$M$3:$M$5001,"&lt;&gt;"))))</f>
        <v/>
      </c>
      <c r="I169" s="43" t="str">
        <f>IF(OR($B169="",$A169&gt;$B$9,I$149=""),"",IF(COUNTIFS(BD!$B$3:$B$5001,I$149,BD!$A$3:$A$5001,"&gt;="&amp;$C$7,BD!$A$3:$A$5001,"&lt;="&amp;$B169,BD!$M$3:$M$5001,"&lt;&gt;")=0,"",SUMIFS(BD!$M$3:$M$5001,BD!$B$3:$B$5001,I$149,BD!$A$3:$A$5001,_xlfn.MAXIFS(BD!$A$3:$A$5001,BD!$B$3:$B$5001,I$149,BD!$A$3:$A$5001,"&gt;="&amp;$C$7,BD!$A$3:$A$5001,"&lt;="&amp;$B169,BD!$M$3:$M$5001,"&lt;&gt;"))))</f>
        <v/>
      </c>
      <c r="J169" s="43" t="str">
        <f>IF(OR($B169="",$A169&gt;$B$9,J$149=""),"",IF(COUNTIFS(BD!$B$3:$B$5001,J$149,BD!$A$3:$A$5001,"&gt;="&amp;$C$7,BD!$A$3:$A$5001,"&lt;="&amp;$B169,BD!$M$3:$M$5001,"&lt;&gt;")=0,"",SUMIFS(BD!$M$3:$M$5001,BD!$B$3:$B$5001,J$149,BD!$A$3:$A$5001,_xlfn.MAXIFS(BD!$A$3:$A$5001,BD!$B$3:$B$5001,J$149,BD!$A$3:$A$5001,"&gt;="&amp;$C$7,BD!$A$3:$A$5001,"&lt;="&amp;$B169,BD!$M$3:$M$5001,"&lt;&gt;"))))</f>
        <v/>
      </c>
      <c r="K169" s="43" t="str">
        <f>IF(OR($B169="",$A169&gt;$B$9,K$149=""),"",IF(COUNTIFS(BD!$B$3:$B$5001,K$149,BD!$A$3:$A$5001,"&gt;="&amp;$C$7,BD!$A$3:$A$5001,"&lt;="&amp;$B169,BD!$M$3:$M$5001,"&lt;&gt;")=0,"",SUMIFS(BD!$M$3:$M$5001,BD!$B$3:$B$5001,K$149,BD!$A$3:$A$5001,_xlfn.MAXIFS(BD!$A$3:$A$5001,BD!$B$3:$B$5001,K$149,BD!$A$3:$A$5001,"&gt;="&amp;$C$7,BD!$A$3:$A$5001,"&lt;="&amp;$B169,BD!$M$3:$M$5001,"&lt;&gt;"))))</f>
        <v/>
      </c>
      <c r="L169" s="43" t="str">
        <f>IF(OR($B169="",$A169&gt;$B$9,L$149=""),"",IF(COUNTIFS(BD!$B$3:$B$5001,L$149,BD!$A$3:$A$5001,"&gt;="&amp;$C$7,BD!$A$3:$A$5001,"&lt;="&amp;$B169,BD!$M$3:$M$5001,"&lt;&gt;")=0,"",SUMIFS(BD!$M$3:$M$5001,BD!$B$3:$B$5001,L$149,BD!$A$3:$A$5001,_xlfn.MAXIFS(BD!$A$3:$A$5001,BD!$B$3:$B$5001,L$149,BD!$A$3:$A$5001,"&gt;="&amp;$C$7,BD!$A$3:$A$5001,"&lt;="&amp;$B169,BD!$M$3:$M$5001,"&lt;&gt;"))))</f>
        <v/>
      </c>
      <c r="M169" s="43" t="str">
        <f>IF(OR($B169="",$A169&gt;$B$9,M$149=""),"",IF(COUNTIFS(BD!$B$3:$B$5001,M$149,BD!$A$3:$A$5001,"&gt;="&amp;$C$7,BD!$A$3:$A$5001,"&lt;="&amp;$B169,BD!$M$3:$M$5001,"&lt;&gt;")=0,"",SUMIFS(BD!$M$3:$M$5001,BD!$B$3:$B$5001,M$149,BD!$A$3:$A$5001,_xlfn.MAXIFS(BD!$A$3:$A$5001,BD!$B$3:$B$5001,M$149,BD!$A$3:$A$5001,"&gt;="&amp;$C$7,BD!$A$3:$A$5001,"&lt;="&amp;$B169,BD!$M$3:$M$5001,"&lt;&gt;"))))</f>
        <v/>
      </c>
      <c r="N169" s="43" t="str">
        <f>IF(OR($B169="",$A169&gt;$B$9,N$149=""),"",IF(COUNTIFS(BD!$B$3:$B$5001,N$149,BD!$A$3:$A$5001,"&gt;="&amp;$C$7,BD!$A$3:$A$5001,"&lt;="&amp;$B169,BD!$M$3:$M$5001,"&lt;&gt;")=0,"",SUMIFS(BD!$M$3:$M$5001,BD!$B$3:$B$5001,N$149,BD!$A$3:$A$5001,_xlfn.MAXIFS(BD!$A$3:$A$5001,BD!$B$3:$B$5001,N$149,BD!$A$3:$A$5001,"&gt;="&amp;$C$7,BD!$A$3:$A$5001,"&lt;="&amp;$B169,BD!$M$3:$M$5001,"&lt;&gt;"))))</f>
        <v/>
      </c>
      <c r="O169" s="43" t="str">
        <f>IF(OR($B169="",$A169&gt;$B$9,O$149=""),"",IF(COUNTIFS(BD!$B$3:$B$5001,O$149,BD!$A$3:$A$5001,"&gt;="&amp;$C$7,BD!$A$3:$A$5001,"&lt;="&amp;$B169,BD!$M$3:$M$5001,"&lt;&gt;")=0,"",SUMIFS(BD!$M$3:$M$5001,BD!$B$3:$B$5001,O$149,BD!$A$3:$A$5001,_xlfn.MAXIFS(BD!$A$3:$A$5001,BD!$B$3:$B$5001,O$149,BD!$A$3:$A$5001,"&gt;="&amp;$C$7,BD!$A$3:$A$5001,"&lt;="&amp;$B169,BD!$M$3:$M$5001,"&lt;&gt;"))))</f>
        <v/>
      </c>
      <c r="P169" s="43" t="str">
        <f>IF(OR($B169="",$A169&gt;$B$9,P$149=""),"",IF(COUNTIFS(BD!$B$3:$B$5001,P$149,BD!$A$3:$A$5001,"&gt;="&amp;$C$7,BD!$A$3:$A$5001,"&lt;="&amp;$B169,BD!$M$3:$M$5001,"&lt;&gt;")=0,"",SUMIFS(BD!$M$3:$M$5001,BD!$B$3:$B$5001,P$149,BD!$A$3:$A$5001,_xlfn.MAXIFS(BD!$A$3:$A$5001,BD!$B$3:$B$5001,P$149,BD!$A$3:$A$5001,"&gt;="&amp;$C$7,BD!$A$3:$A$5001,"&lt;="&amp;$B169,BD!$M$3:$M$5001,"&lt;&gt;"))))</f>
        <v/>
      </c>
      <c r="Q169" s="43" t="str">
        <f>IF(OR($B169="",$A169&gt;$B$9,Q$149=""),"",IF(COUNTIFS(BD!$B$3:$B$5001,Q$149,BD!$A$3:$A$5001,"&gt;="&amp;$C$7,BD!$A$3:$A$5001,"&lt;="&amp;$B169,BD!$M$3:$M$5001,"&lt;&gt;")=0,"",SUMIFS(BD!$M$3:$M$5001,BD!$B$3:$B$5001,Q$149,BD!$A$3:$A$5001,_xlfn.MAXIFS(BD!$A$3:$A$5001,BD!$B$3:$B$5001,Q$149,BD!$A$3:$A$5001,"&gt;="&amp;$C$7,BD!$A$3:$A$5001,"&lt;="&amp;$B169,BD!$M$3:$M$5001,"&lt;&gt;"))))</f>
        <v/>
      </c>
      <c r="R169" s="43" t="str">
        <f>IF(OR($B169="",$A169&gt;$B$9,R$149=""),"",IF(COUNTIFS(BD!$B$3:$B$5001,R$149,BD!$A$3:$A$5001,"&gt;="&amp;$C$7,BD!$A$3:$A$5001,"&lt;="&amp;$B169,BD!$M$3:$M$5001,"&lt;&gt;")=0,"",SUMIFS(BD!$M$3:$M$5001,BD!$B$3:$B$5001,R$149,BD!$A$3:$A$5001,_xlfn.MAXIFS(BD!$A$3:$A$5001,BD!$B$3:$B$5001,R$149,BD!$A$3:$A$5001,"&gt;="&amp;$C$7,BD!$A$3:$A$5001,"&lt;="&amp;$B169,BD!$M$3:$M$5001,"&lt;&gt;"))))</f>
        <v/>
      </c>
      <c r="S169" s="43" t="str">
        <f>IF(OR($B169="",$A169&gt;$B$9,S$149=""),"",IF(COUNTIFS(BD!$B$3:$B$5001,S$149,BD!$A$3:$A$5001,"&gt;="&amp;$C$7,BD!$A$3:$A$5001,"&lt;="&amp;$B169,BD!$M$3:$M$5001,"&lt;&gt;")=0,"",SUMIFS(BD!$M$3:$M$5001,BD!$B$3:$B$5001,S$149,BD!$A$3:$A$5001,_xlfn.MAXIFS(BD!$A$3:$A$5001,BD!$B$3:$B$5001,S$149,BD!$A$3:$A$5001,"&gt;="&amp;$C$7,BD!$A$3:$A$5001,"&lt;="&amp;$B169,BD!$M$3:$M$5001,"&lt;&gt;"))))</f>
        <v/>
      </c>
      <c r="T169" s="43" t="str">
        <f>IF(OR($B169="",$A169&gt;$B$9,T$149=""),"",IF(COUNTIFS(BD!$B$3:$B$5001,T$149,BD!$A$3:$A$5001,"&gt;="&amp;$C$7,BD!$A$3:$A$5001,"&lt;="&amp;$B169,BD!$M$3:$M$5001,"&lt;&gt;")=0,"",SUMIFS(BD!$M$3:$M$5001,BD!$B$3:$B$5001,T$149,BD!$A$3:$A$5001,_xlfn.MAXIFS(BD!$A$3:$A$5001,BD!$B$3:$B$5001,T$149,BD!$A$3:$A$5001,"&gt;="&amp;$C$7,BD!$A$3:$A$5001,"&lt;="&amp;$B169,BD!$M$3:$M$5001,"&lt;&gt;"))))</f>
        <v/>
      </c>
      <c r="U169" s="43" t="str">
        <f>IF(OR($B169="",$A169&gt;$B$9,U$149=""),"",IF(COUNTIFS(BD!$B$3:$B$5001,U$149,BD!$A$3:$A$5001,"&gt;="&amp;$C$7,BD!$A$3:$A$5001,"&lt;="&amp;$B169,BD!$M$3:$M$5001,"&lt;&gt;")=0,"",SUMIFS(BD!$M$3:$M$5001,BD!$B$3:$B$5001,U$149,BD!$A$3:$A$5001,_xlfn.MAXIFS(BD!$A$3:$A$5001,BD!$B$3:$B$5001,U$149,BD!$A$3:$A$5001,"&gt;="&amp;$C$7,BD!$A$3:$A$5001,"&lt;="&amp;$B169,BD!$M$3:$M$5001,"&lt;&gt;"))))</f>
        <v/>
      </c>
      <c r="V169" s="43" t="str">
        <f>IF(OR($B169="",$A169&gt;$B$9,V$149=""),"",IF(COUNTIFS(BD!$B$3:$B$5001,V$149,BD!$A$3:$A$5001,"&gt;="&amp;$C$7,BD!$A$3:$A$5001,"&lt;="&amp;$B169,BD!$M$3:$M$5001,"&lt;&gt;")=0,"",SUMIFS(BD!$M$3:$M$5001,BD!$B$3:$B$5001,V$149,BD!$A$3:$A$5001,_xlfn.MAXIFS(BD!$A$3:$A$5001,BD!$B$3:$B$5001,V$149,BD!$A$3:$A$5001,"&gt;="&amp;$C$7,BD!$A$3:$A$5001,"&lt;="&amp;$B169,BD!$M$3:$M$5001,"&lt;&gt;"))))</f>
        <v/>
      </c>
    </row>
    <row r="170">
      <c r="A170" s="38">
        <v>21</v>
      </c>
      <c r="B170" s="42">
        <f>$B$32</f>
        <v>46316</v>
      </c>
      <c r="C170" s="43" t="str">
        <f>IF(OR($B170="",$A170&gt;$B$9,C$149=""),"",IF(COUNTIFS(BD!$B$3:$B$5001,C$149,BD!$A$3:$A$5001,"&gt;="&amp;$C$7,BD!$A$3:$A$5001,"&lt;="&amp;$B170,BD!$M$3:$M$5001,"&lt;&gt;")=0,"",SUMIFS(BD!$M$3:$M$5001,BD!$B$3:$B$5001,C$149,BD!$A$3:$A$5001,_xlfn.MAXIFS(BD!$A$3:$A$5001,BD!$B$3:$B$5001,C$149,BD!$A$3:$A$5001,"&gt;="&amp;$C$7,BD!$A$3:$A$5001,"&lt;="&amp;$B170,BD!$M$3:$M$5001,"&lt;&gt;"))))</f>
        <v/>
      </c>
      <c r="D170" s="43" t="str">
        <f>IF(OR($B170="",$A170&gt;$B$9,D$149=""),"",IF(COUNTIFS(BD!$B$3:$B$5001,D$149,BD!$A$3:$A$5001,"&gt;="&amp;$C$7,BD!$A$3:$A$5001,"&lt;="&amp;$B170,BD!$M$3:$M$5001,"&lt;&gt;")=0,"",SUMIFS(BD!$M$3:$M$5001,BD!$B$3:$B$5001,D$149,BD!$A$3:$A$5001,_xlfn.MAXIFS(BD!$A$3:$A$5001,BD!$B$3:$B$5001,D$149,BD!$A$3:$A$5001,"&gt;="&amp;$C$7,BD!$A$3:$A$5001,"&lt;="&amp;$B170,BD!$M$3:$M$5001,"&lt;&gt;"))))</f>
        <v/>
      </c>
      <c r="E170" s="43" t="str">
        <f>IF(OR($B170="",$A170&gt;$B$9,E$149=""),"",IF(COUNTIFS(BD!$B$3:$B$5001,E$149,BD!$A$3:$A$5001,"&gt;="&amp;$C$7,BD!$A$3:$A$5001,"&lt;="&amp;$B170,BD!$M$3:$M$5001,"&lt;&gt;")=0,"",SUMIFS(BD!$M$3:$M$5001,BD!$B$3:$B$5001,E$149,BD!$A$3:$A$5001,_xlfn.MAXIFS(BD!$A$3:$A$5001,BD!$B$3:$B$5001,E$149,BD!$A$3:$A$5001,"&gt;="&amp;$C$7,BD!$A$3:$A$5001,"&lt;="&amp;$B170,BD!$M$3:$M$5001,"&lt;&gt;"))))</f>
        <v/>
      </c>
      <c r="F170" s="43" t="str">
        <f>IF(OR($B170="",$A170&gt;$B$9,F$149=""),"",IF(COUNTIFS(BD!$B$3:$B$5001,F$149,BD!$A$3:$A$5001,"&gt;="&amp;$C$7,BD!$A$3:$A$5001,"&lt;="&amp;$B170,BD!$M$3:$M$5001,"&lt;&gt;")=0,"",SUMIFS(BD!$M$3:$M$5001,BD!$B$3:$B$5001,F$149,BD!$A$3:$A$5001,_xlfn.MAXIFS(BD!$A$3:$A$5001,BD!$B$3:$B$5001,F$149,BD!$A$3:$A$5001,"&gt;="&amp;$C$7,BD!$A$3:$A$5001,"&lt;="&amp;$B170,BD!$M$3:$M$5001,"&lt;&gt;"))))</f>
        <v/>
      </c>
      <c r="G170" s="43" t="str">
        <f>IF(OR($B170="",$A170&gt;$B$9,G$149=""),"",IF(COUNTIFS(BD!$B$3:$B$5001,G$149,BD!$A$3:$A$5001,"&gt;="&amp;$C$7,BD!$A$3:$A$5001,"&lt;="&amp;$B170,BD!$M$3:$M$5001,"&lt;&gt;")=0,"",SUMIFS(BD!$M$3:$M$5001,BD!$B$3:$B$5001,G$149,BD!$A$3:$A$5001,_xlfn.MAXIFS(BD!$A$3:$A$5001,BD!$B$3:$B$5001,G$149,BD!$A$3:$A$5001,"&gt;="&amp;$C$7,BD!$A$3:$A$5001,"&lt;="&amp;$B170,BD!$M$3:$M$5001,"&lt;&gt;"))))</f>
        <v/>
      </c>
      <c r="H170" s="43" t="str">
        <f>IF(OR($B170="",$A170&gt;$B$9,H$149=""),"",IF(COUNTIFS(BD!$B$3:$B$5001,H$149,BD!$A$3:$A$5001,"&gt;="&amp;$C$7,BD!$A$3:$A$5001,"&lt;="&amp;$B170,BD!$M$3:$M$5001,"&lt;&gt;")=0,"",SUMIFS(BD!$M$3:$M$5001,BD!$B$3:$B$5001,H$149,BD!$A$3:$A$5001,_xlfn.MAXIFS(BD!$A$3:$A$5001,BD!$B$3:$B$5001,H$149,BD!$A$3:$A$5001,"&gt;="&amp;$C$7,BD!$A$3:$A$5001,"&lt;="&amp;$B170,BD!$M$3:$M$5001,"&lt;&gt;"))))</f>
        <v/>
      </c>
      <c r="I170" s="43" t="str">
        <f>IF(OR($B170="",$A170&gt;$B$9,I$149=""),"",IF(COUNTIFS(BD!$B$3:$B$5001,I$149,BD!$A$3:$A$5001,"&gt;="&amp;$C$7,BD!$A$3:$A$5001,"&lt;="&amp;$B170,BD!$M$3:$M$5001,"&lt;&gt;")=0,"",SUMIFS(BD!$M$3:$M$5001,BD!$B$3:$B$5001,I$149,BD!$A$3:$A$5001,_xlfn.MAXIFS(BD!$A$3:$A$5001,BD!$B$3:$B$5001,I$149,BD!$A$3:$A$5001,"&gt;="&amp;$C$7,BD!$A$3:$A$5001,"&lt;="&amp;$B170,BD!$M$3:$M$5001,"&lt;&gt;"))))</f>
        <v/>
      </c>
      <c r="J170" s="43" t="str">
        <f>IF(OR($B170="",$A170&gt;$B$9,J$149=""),"",IF(COUNTIFS(BD!$B$3:$B$5001,J$149,BD!$A$3:$A$5001,"&gt;="&amp;$C$7,BD!$A$3:$A$5001,"&lt;="&amp;$B170,BD!$M$3:$M$5001,"&lt;&gt;")=0,"",SUMIFS(BD!$M$3:$M$5001,BD!$B$3:$B$5001,J$149,BD!$A$3:$A$5001,_xlfn.MAXIFS(BD!$A$3:$A$5001,BD!$B$3:$B$5001,J$149,BD!$A$3:$A$5001,"&gt;="&amp;$C$7,BD!$A$3:$A$5001,"&lt;="&amp;$B170,BD!$M$3:$M$5001,"&lt;&gt;"))))</f>
        <v/>
      </c>
      <c r="K170" s="43" t="str">
        <f>IF(OR($B170="",$A170&gt;$B$9,K$149=""),"",IF(COUNTIFS(BD!$B$3:$B$5001,K$149,BD!$A$3:$A$5001,"&gt;="&amp;$C$7,BD!$A$3:$A$5001,"&lt;="&amp;$B170,BD!$M$3:$M$5001,"&lt;&gt;")=0,"",SUMIFS(BD!$M$3:$M$5001,BD!$B$3:$B$5001,K$149,BD!$A$3:$A$5001,_xlfn.MAXIFS(BD!$A$3:$A$5001,BD!$B$3:$B$5001,K$149,BD!$A$3:$A$5001,"&gt;="&amp;$C$7,BD!$A$3:$A$5001,"&lt;="&amp;$B170,BD!$M$3:$M$5001,"&lt;&gt;"))))</f>
        <v/>
      </c>
      <c r="L170" s="43" t="str">
        <f>IF(OR($B170="",$A170&gt;$B$9,L$149=""),"",IF(COUNTIFS(BD!$B$3:$B$5001,L$149,BD!$A$3:$A$5001,"&gt;="&amp;$C$7,BD!$A$3:$A$5001,"&lt;="&amp;$B170,BD!$M$3:$M$5001,"&lt;&gt;")=0,"",SUMIFS(BD!$M$3:$M$5001,BD!$B$3:$B$5001,L$149,BD!$A$3:$A$5001,_xlfn.MAXIFS(BD!$A$3:$A$5001,BD!$B$3:$B$5001,L$149,BD!$A$3:$A$5001,"&gt;="&amp;$C$7,BD!$A$3:$A$5001,"&lt;="&amp;$B170,BD!$M$3:$M$5001,"&lt;&gt;"))))</f>
        <v/>
      </c>
      <c r="M170" s="43" t="str">
        <f>IF(OR($B170="",$A170&gt;$B$9,M$149=""),"",IF(COUNTIFS(BD!$B$3:$B$5001,M$149,BD!$A$3:$A$5001,"&gt;="&amp;$C$7,BD!$A$3:$A$5001,"&lt;="&amp;$B170,BD!$M$3:$M$5001,"&lt;&gt;")=0,"",SUMIFS(BD!$M$3:$M$5001,BD!$B$3:$B$5001,M$149,BD!$A$3:$A$5001,_xlfn.MAXIFS(BD!$A$3:$A$5001,BD!$B$3:$B$5001,M$149,BD!$A$3:$A$5001,"&gt;="&amp;$C$7,BD!$A$3:$A$5001,"&lt;="&amp;$B170,BD!$M$3:$M$5001,"&lt;&gt;"))))</f>
        <v/>
      </c>
      <c r="N170" s="43" t="str">
        <f>IF(OR($B170="",$A170&gt;$B$9,N$149=""),"",IF(COUNTIFS(BD!$B$3:$B$5001,N$149,BD!$A$3:$A$5001,"&gt;="&amp;$C$7,BD!$A$3:$A$5001,"&lt;="&amp;$B170,BD!$M$3:$M$5001,"&lt;&gt;")=0,"",SUMIFS(BD!$M$3:$M$5001,BD!$B$3:$B$5001,N$149,BD!$A$3:$A$5001,_xlfn.MAXIFS(BD!$A$3:$A$5001,BD!$B$3:$B$5001,N$149,BD!$A$3:$A$5001,"&gt;="&amp;$C$7,BD!$A$3:$A$5001,"&lt;="&amp;$B170,BD!$M$3:$M$5001,"&lt;&gt;"))))</f>
        <v/>
      </c>
      <c r="O170" s="43" t="str">
        <f>IF(OR($B170="",$A170&gt;$B$9,O$149=""),"",IF(COUNTIFS(BD!$B$3:$B$5001,O$149,BD!$A$3:$A$5001,"&gt;="&amp;$C$7,BD!$A$3:$A$5001,"&lt;="&amp;$B170,BD!$M$3:$M$5001,"&lt;&gt;")=0,"",SUMIFS(BD!$M$3:$M$5001,BD!$B$3:$B$5001,O$149,BD!$A$3:$A$5001,_xlfn.MAXIFS(BD!$A$3:$A$5001,BD!$B$3:$B$5001,O$149,BD!$A$3:$A$5001,"&gt;="&amp;$C$7,BD!$A$3:$A$5001,"&lt;="&amp;$B170,BD!$M$3:$M$5001,"&lt;&gt;"))))</f>
        <v/>
      </c>
      <c r="P170" s="43" t="str">
        <f>IF(OR($B170="",$A170&gt;$B$9,P$149=""),"",IF(COUNTIFS(BD!$B$3:$B$5001,P$149,BD!$A$3:$A$5001,"&gt;="&amp;$C$7,BD!$A$3:$A$5001,"&lt;="&amp;$B170,BD!$M$3:$M$5001,"&lt;&gt;")=0,"",SUMIFS(BD!$M$3:$M$5001,BD!$B$3:$B$5001,P$149,BD!$A$3:$A$5001,_xlfn.MAXIFS(BD!$A$3:$A$5001,BD!$B$3:$B$5001,P$149,BD!$A$3:$A$5001,"&gt;="&amp;$C$7,BD!$A$3:$A$5001,"&lt;="&amp;$B170,BD!$M$3:$M$5001,"&lt;&gt;"))))</f>
        <v/>
      </c>
      <c r="Q170" s="43" t="str">
        <f>IF(OR($B170="",$A170&gt;$B$9,Q$149=""),"",IF(COUNTIFS(BD!$B$3:$B$5001,Q$149,BD!$A$3:$A$5001,"&gt;="&amp;$C$7,BD!$A$3:$A$5001,"&lt;="&amp;$B170,BD!$M$3:$M$5001,"&lt;&gt;")=0,"",SUMIFS(BD!$M$3:$M$5001,BD!$B$3:$B$5001,Q$149,BD!$A$3:$A$5001,_xlfn.MAXIFS(BD!$A$3:$A$5001,BD!$B$3:$B$5001,Q$149,BD!$A$3:$A$5001,"&gt;="&amp;$C$7,BD!$A$3:$A$5001,"&lt;="&amp;$B170,BD!$M$3:$M$5001,"&lt;&gt;"))))</f>
        <v/>
      </c>
      <c r="R170" s="43" t="str">
        <f>IF(OR($B170="",$A170&gt;$B$9,R$149=""),"",IF(COUNTIFS(BD!$B$3:$B$5001,R$149,BD!$A$3:$A$5001,"&gt;="&amp;$C$7,BD!$A$3:$A$5001,"&lt;="&amp;$B170,BD!$M$3:$M$5001,"&lt;&gt;")=0,"",SUMIFS(BD!$M$3:$M$5001,BD!$B$3:$B$5001,R$149,BD!$A$3:$A$5001,_xlfn.MAXIFS(BD!$A$3:$A$5001,BD!$B$3:$B$5001,R$149,BD!$A$3:$A$5001,"&gt;="&amp;$C$7,BD!$A$3:$A$5001,"&lt;="&amp;$B170,BD!$M$3:$M$5001,"&lt;&gt;"))))</f>
        <v/>
      </c>
      <c r="S170" s="43" t="str">
        <f>IF(OR($B170="",$A170&gt;$B$9,S$149=""),"",IF(COUNTIFS(BD!$B$3:$B$5001,S$149,BD!$A$3:$A$5001,"&gt;="&amp;$C$7,BD!$A$3:$A$5001,"&lt;="&amp;$B170,BD!$M$3:$M$5001,"&lt;&gt;")=0,"",SUMIFS(BD!$M$3:$M$5001,BD!$B$3:$B$5001,S$149,BD!$A$3:$A$5001,_xlfn.MAXIFS(BD!$A$3:$A$5001,BD!$B$3:$B$5001,S$149,BD!$A$3:$A$5001,"&gt;="&amp;$C$7,BD!$A$3:$A$5001,"&lt;="&amp;$B170,BD!$M$3:$M$5001,"&lt;&gt;"))))</f>
        <v/>
      </c>
      <c r="T170" s="43" t="str">
        <f>IF(OR($B170="",$A170&gt;$B$9,T$149=""),"",IF(COUNTIFS(BD!$B$3:$B$5001,T$149,BD!$A$3:$A$5001,"&gt;="&amp;$C$7,BD!$A$3:$A$5001,"&lt;="&amp;$B170,BD!$M$3:$M$5001,"&lt;&gt;")=0,"",SUMIFS(BD!$M$3:$M$5001,BD!$B$3:$B$5001,T$149,BD!$A$3:$A$5001,_xlfn.MAXIFS(BD!$A$3:$A$5001,BD!$B$3:$B$5001,T$149,BD!$A$3:$A$5001,"&gt;="&amp;$C$7,BD!$A$3:$A$5001,"&lt;="&amp;$B170,BD!$M$3:$M$5001,"&lt;&gt;"))))</f>
        <v/>
      </c>
      <c r="U170" s="43" t="str">
        <f>IF(OR($B170="",$A170&gt;$B$9,U$149=""),"",IF(COUNTIFS(BD!$B$3:$B$5001,U$149,BD!$A$3:$A$5001,"&gt;="&amp;$C$7,BD!$A$3:$A$5001,"&lt;="&amp;$B170,BD!$M$3:$M$5001,"&lt;&gt;")=0,"",SUMIFS(BD!$M$3:$M$5001,BD!$B$3:$B$5001,U$149,BD!$A$3:$A$5001,_xlfn.MAXIFS(BD!$A$3:$A$5001,BD!$B$3:$B$5001,U$149,BD!$A$3:$A$5001,"&gt;="&amp;$C$7,BD!$A$3:$A$5001,"&lt;="&amp;$B170,BD!$M$3:$M$5001,"&lt;&gt;"))))</f>
        <v/>
      </c>
      <c r="V170" s="43" t="str">
        <f>IF(OR($B170="",$A170&gt;$B$9,V$149=""),"",IF(COUNTIFS(BD!$B$3:$B$5001,V$149,BD!$A$3:$A$5001,"&gt;="&amp;$C$7,BD!$A$3:$A$5001,"&lt;="&amp;$B170,BD!$M$3:$M$5001,"&lt;&gt;")=0,"",SUMIFS(BD!$M$3:$M$5001,BD!$B$3:$B$5001,V$149,BD!$A$3:$A$5001,_xlfn.MAXIFS(BD!$A$3:$A$5001,BD!$B$3:$B$5001,V$149,BD!$A$3:$A$5001,"&gt;="&amp;$C$7,BD!$A$3:$A$5001,"&lt;="&amp;$B170,BD!$M$3:$M$5001,"&lt;&gt;"))))</f>
        <v/>
      </c>
    </row>
    <row r="171">
      <c r="A171" s="38">
        <v>22</v>
      </c>
      <c r="B171" s="42">
        <f>$B$33</f>
        <v>46317</v>
      </c>
      <c r="C171" s="43" t="str">
        <f>IF(OR($B171="",$A171&gt;$B$9,C$149=""),"",IF(COUNTIFS(BD!$B$3:$B$5001,C$149,BD!$A$3:$A$5001,"&gt;="&amp;$C$7,BD!$A$3:$A$5001,"&lt;="&amp;$B171,BD!$M$3:$M$5001,"&lt;&gt;")=0,"",SUMIFS(BD!$M$3:$M$5001,BD!$B$3:$B$5001,C$149,BD!$A$3:$A$5001,_xlfn.MAXIFS(BD!$A$3:$A$5001,BD!$B$3:$B$5001,C$149,BD!$A$3:$A$5001,"&gt;="&amp;$C$7,BD!$A$3:$A$5001,"&lt;="&amp;$B171,BD!$M$3:$M$5001,"&lt;&gt;"))))</f>
        <v/>
      </c>
      <c r="D171" s="43" t="str">
        <f>IF(OR($B171="",$A171&gt;$B$9,D$149=""),"",IF(COUNTIFS(BD!$B$3:$B$5001,D$149,BD!$A$3:$A$5001,"&gt;="&amp;$C$7,BD!$A$3:$A$5001,"&lt;="&amp;$B171,BD!$M$3:$M$5001,"&lt;&gt;")=0,"",SUMIFS(BD!$M$3:$M$5001,BD!$B$3:$B$5001,D$149,BD!$A$3:$A$5001,_xlfn.MAXIFS(BD!$A$3:$A$5001,BD!$B$3:$B$5001,D$149,BD!$A$3:$A$5001,"&gt;="&amp;$C$7,BD!$A$3:$A$5001,"&lt;="&amp;$B171,BD!$M$3:$M$5001,"&lt;&gt;"))))</f>
        <v/>
      </c>
      <c r="E171" s="43" t="str">
        <f>IF(OR($B171="",$A171&gt;$B$9,E$149=""),"",IF(COUNTIFS(BD!$B$3:$B$5001,E$149,BD!$A$3:$A$5001,"&gt;="&amp;$C$7,BD!$A$3:$A$5001,"&lt;="&amp;$B171,BD!$M$3:$M$5001,"&lt;&gt;")=0,"",SUMIFS(BD!$M$3:$M$5001,BD!$B$3:$B$5001,E$149,BD!$A$3:$A$5001,_xlfn.MAXIFS(BD!$A$3:$A$5001,BD!$B$3:$B$5001,E$149,BD!$A$3:$A$5001,"&gt;="&amp;$C$7,BD!$A$3:$A$5001,"&lt;="&amp;$B171,BD!$M$3:$M$5001,"&lt;&gt;"))))</f>
        <v/>
      </c>
      <c r="F171" s="43" t="str">
        <f>IF(OR($B171="",$A171&gt;$B$9,F$149=""),"",IF(COUNTIFS(BD!$B$3:$B$5001,F$149,BD!$A$3:$A$5001,"&gt;="&amp;$C$7,BD!$A$3:$A$5001,"&lt;="&amp;$B171,BD!$M$3:$M$5001,"&lt;&gt;")=0,"",SUMIFS(BD!$M$3:$M$5001,BD!$B$3:$B$5001,F$149,BD!$A$3:$A$5001,_xlfn.MAXIFS(BD!$A$3:$A$5001,BD!$B$3:$B$5001,F$149,BD!$A$3:$A$5001,"&gt;="&amp;$C$7,BD!$A$3:$A$5001,"&lt;="&amp;$B171,BD!$M$3:$M$5001,"&lt;&gt;"))))</f>
        <v/>
      </c>
      <c r="G171" s="43" t="str">
        <f>IF(OR($B171="",$A171&gt;$B$9,G$149=""),"",IF(COUNTIFS(BD!$B$3:$B$5001,G$149,BD!$A$3:$A$5001,"&gt;="&amp;$C$7,BD!$A$3:$A$5001,"&lt;="&amp;$B171,BD!$M$3:$M$5001,"&lt;&gt;")=0,"",SUMIFS(BD!$M$3:$M$5001,BD!$B$3:$B$5001,G$149,BD!$A$3:$A$5001,_xlfn.MAXIFS(BD!$A$3:$A$5001,BD!$B$3:$B$5001,G$149,BD!$A$3:$A$5001,"&gt;="&amp;$C$7,BD!$A$3:$A$5001,"&lt;="&amp;$B171,BD!$M$3:$M$5001,"&lt;&gt;"))))</f>
        <v/>
      </c>
      <c r="H171" s="43" t="str">
        <f>IF(OR($B171="",$A171&gt;$B$9,H$149=""),"",IF(COUNTIFS(BD!$B$3:$B$5001,H$149,BD!$A$3:$A$5001,"&gt;="&amp;$C$7,BD!$A$3:$A$5001,"&lt;="&amp;$B171,BD!$M$3:$M$5001,"&lt;&gt;")=0,"",SUMIFS(BD!$M$3:$M$5001,BD!$B$3:$B$5001,H$149,BD!$A$3:$A$5001,_xlfn.MAXIFS(BD!$A$3:$A$5001,BD!$B$3:$B$5001,H$149,BD!$A$3:$A$5001,"&gt;="&amp;$C$7,BD!$A$3:$A$5001,"&lt;="&amp;$B171,BD!$M$3:$M$5001,"&lt;&gt;"))))</f>
        <v/>
      </c>
      <c r="I171" s="43" t="str">
        <f>IF(OR($B171="",$A171&gt;$B$9,I$149=""),"",IF(COUNTIFS(BD!$B$3:$B$5001,I$149,BD!$A$3:$A$5001,"&gt;="&amp;$C$7,BD!$A$3:$A$5001,"&lt;="&amp;$B171,BD!$M$3:$M$5001,"&lt;&gt;")=0,"",SUMIFS(BD!$M$3:$M$5001,BD!$B$3:$B$5001,I$149,BD!$A$3:$A$5001,_xlfn.MAXIFS(BD!$A$3:$A$5001,BD!$B$3:$B$5001,I$149,BD!$A$3:$A$5001,"&gt;="&amp;$C$7,BD!$A$3:$A$5001,"&lt;="&amp;$B171,BD!$M$3:$M$5001,"&lt;&gt;"))))</f>
        <v/>
      </c>
      <c r="J171" s="43" t="str">
        <f>IF(OR($B171="",$A171&gt;$B$9,J$149=""),"",IF(COUNTIFS(BD!$B$3:$B$5001,J$149,BD!$A$3:$A$5001,"&gt;="&amp;$C$7,BD!$A$3:$A$5001,"&lt;="&amp;$B171,BD!$M$3:$M$5001,"&lt;&gt;")=0,"",SUMIFS(BD!$M$3:$M$5001,BD!$B$3:$B$5001,J$149,BD!$A$3:$A$5001,_xlfn.MAXIFS(BD!$A$3:$A$5001,BD!$B$3:$B$5001,J$149,BD!$A$3:$A$5001,"&gt;="&amp;$C$7,BD!$A$3:$A$5001,"&lt;="&amp;$B171,BD!$M$3:$M$5001,"&lt;&gt;"))))</f>
        <v/>
      </c>
      <c r="K171" s="43" t="str">
        <f>IF(OR($B171="",$A171&gt;$B$9,K$149=""),"",IF(COUNTIFS(BD!$B$3:$B$5001,K$149,BD!$A$3:$A$5001,"&gt;="&amp;$C$7,BD!$A$3:$A$5001,"&lt;="&amp;$B171,BD!$M$3:$M$5001,"&lt;&gt;")=0,"",SUMIFS(BD!$M$3:$M$5001,BD!$B$3:$B$5001,K$149,BD!$A$3:$A$5001,_xlfn.MAXIFS(BD!$A$3:$A$5001,BD!$B$3:$B$5001,K$149,BD!$A$3:$A$5001,"&gt;="&amp;$C$7,BD!$A$3:$A$5001,"&lt;="&amp;$B171,BD!$M$3:$M$5001,"&lt;&gt;"))))</f>
        <v/>
      </c>
      <c r="L171" s="43" t="str">
        <f>IF(OR($B171="",$A171&gt;$B$9,L$149=""),"",IF(COUNTIFS(BD!$B$3:$B$5001,L$149,BD!$A$3:$A$5001,"&gt;="&amp;$C$7,BD!$A$3:$A$5001,"&lt;="&amp;$B171,BD!$M$3:$M$5001,"&lt;&gt;")=0,"",SUMIFS(BD!$M$3:$M$5001,BD!$B$3:$B$5001,L$149,BD!$A$3:$A$5001,_xlfn.MAXIFS(BD!$A$3:$A$5001,BD!$B$3:$B$5001,L$149,BD!$A$3:$A$5001,"&gt;="&amp;$C$7,BD!$A$3:$A$5001,"&lt;="&amp;$B171,BD!$M$3:$M$5001,"&lt;&gt;"))))</f>
        <v/>
      </c>
      <c r="M171" s="43" t="str">
        <f>IF(OR($B171="",$A171&gt;$B$9,M$149=""),"",IF(COUNTIFS(BD!$B$3:$B$5001,M$149,BD!$A$3:$A$5001,"&gt;="&amp;$C$7,BD!$A$3:$A$5001,"&lt;="&amp;$B171,BD!$M$3:$M$5001,"&lt;&gt;")=0,"",SUMIFS(BD!$M$3:$M$5001,BD!$B$3:$B$5001,M$149,BD!$A$3:$A$5001,_xlfn.MAXIFS(BD!$A$3:$A$5001,BD!$B$3:$B$5001,M$149,BD!$A$3:$A$5001,"&gt;="&amp;$C$7,BD!$A$3:$A$5001,"&lt;="&amp;$B171,BD!$M$3:$M$5001,"&lt;&gt;"))))</f>
        <v/>
      </c>
      <c r="N171" s="43" t="str">
        <f>IF(OR($B171="",$A171&gt;$B$9,N$149=""),"",IF(COUNTIFS(BD!$B$3:$B$5001,N$149,BD!$A$3:$A$5001,"&gt;="&amp;$C$7,BD!$A$3:$A$5001,"&lt;="&amp;$B171,BD!$M$3:$M$5001,"&lt;&gt;")=0,"",SUMIFS(BD!$M$3:$M$5001,BD!$B$3:$B$5001,N$149,BD!$A$3:$A$5001,_xlfn.MAXIFS(BD!$A$3:$A$5001,BD!$B$3:$B$5001,N$149,BD!$A$3:$A$5001,"&gt;="&amp;$C$7,BD!$A$3:$A$5001,"&lt;="&amp;$B171,BD!$M$3:$M$5001,"&lt;&gt;"))))</f>
        <v/>
      </c>
      <c r="O171" s="43" t="str">
        <f>IF(OR($B171="",$A171&gt;$B$9,O$149=""),"",IF(COUNTIFS(BD!$B$3:$B$5001,O$149,BD!$A$3:$A$5001,"&gt;="&amp;$C$7,BD!$A$3:$A$5001,"&lt;="&amp;$B171,BD!$M$3:$M$5001,"&lt;&gt;")=0,"",SUMIFS(BD!$M$3:$M$5001,BD!$B$3:$B$5001,O$149,BD!$A$3:$A$5001,_xlfn.MAXIFS(BD!$A$3:$A$5001,BD!$B$3:$B$5001,O$149,BD!$A$3:$A$5001,"&gt;="&amp;$C$7,BD!$A$3:$A$5001,"&lt;="&amp;$B171,BD!$M$3:$M$5001,"&lt;&gt;"))))</f>
        <v/>
      </c>
      <c r="P171" s="43" t="str">
        <f>IF(OR($B171="",$A171&gt;$B$9,P$149=""),"",IF(COUNTIFS(BD!$B$3:$B$5001,P$149,BD!$A$3:$A$5001,"&gt;="&amp;$C$7,BD!$A$3:$A$5001,"&lt;="&amp;$B171,BD!$M$3:$M$5001,"&lt;&gt;")=0,"",SUMIFS(BD!$M$3:$M$5001,BD!$B$3:$B$5001,P$149,BD!$A$3:$A$5001,_xlfn.MAXIFS(BD!$A$3:$A$5001,BD!$B$3:$B$5001,P$149,BD!$A$3:$A$5001,"&gt;="&amp;$C$7,BD!$A$3:$A$5001,"&lt;="&amp;$B171,BD!$M$3:$M$5001,"&lt;&gt;"))))</f>
        <v/>
      </c>
      <c r="Q171" s="43" t="str">
        <f>IF(OR($B171="",$A171&gt;$B$9,Q$149=""),"",IF(COUNTIFS(BD!$B$3:$B$5001,Q$149,BD!$A$3:$A$5001,"&gt;="&amp;$C$7,BD!$A$3:$A$5001,"&lt;="&amp;$B171,BD!$M$3:$M$5001,"&lt;&gt;")=0,"",SUMIFS(BD!$M$3:$M$5001,BD!$B$3:$B$5001,Q$149,BD!$A$3:$A$5001,_xlfn.MAXIFS(BD!$A$3:$A$5001,BD!$B$3:$B$5001,Q$149,BD!$A$3:$A$5001,"&gt;="&amp;$C$7,BD!$A$3:$A$5001,"&lt;="&amp;$B171,BD!$M$3:$M$5001,"&lt;&gt;"))))</f>
        <v/>
      </c>
      <c r="R171" s="43" t="str">
        <f>IF(OR($B171="",$A171&gt;$B$9,R$149=""),"",IF(COUNTIFS(BD!$B$3:$B$5001,R$149,BD!$A$3:$A$5001,"&gt;="&amp;$C$7,BD!$A$3:$A$5001,"&lt;="&amp;$B171,BD!$M$3:$M$5001,"&lt;&gt;")=0,"",SUMIFS(BD!$M$3:$M$5001,BD!$B$3:$B$5001,R$149,BD!$A$3:$A$5001,_xlfn.MAXIFS(BD!$A$3:$A$5001,BD!$B$3:$B$5001,R$149,BD!$A$3:$A$5001,"&gt;="&amp;$C$7,BD!$A$3:$A$5001,"&lt;="&amp;$B171,BD!$M$3:$M$5001,"&lt;&gt;"))))</f>
        <v/>
      </c>
      <c r="S171" s="43" t="str">
        <f>IF(OR($B171="",$A171&gt;$B$9,S$149=""),"",IF(COUNTIFS(BD!$B$3:$B$5001,S$149,BD!$A$3:$A$5001,"&gt;="&amp;$C$7,BD!$A$3:$A$5001,"&lt;="&amp;$B171,BD!$M$3:$M$5001,"&lt;&gt;")=0,"",SUMIFS(BD!$M$3:$M$5001,BD!$B$3:$B$5001,S$149,BD!$A$3:$A$5001,_xlfn.MAXIFS(BD!$A$3:$A$5001,BD!$B$3:$B$5001,S$149,BD!$A$3:$A$5001,"&gt;="&amp;$C$7,BD!$A$3:$A$5001,"&lt;="&amp;$B171,BD!$M$3:$M$5001,"&lt;&gt;"))))</f>
        <v/>
      </c>
      <c r="T171" s="43" t="str">
        <f>IF(OR($B171="",$A171&gt;$B$9,T$149=""),"",IF(COUNTIFS(BD!$B$3:$B$5001,T$149,BD!$A$3:$A$5001,"&gt;="&amp;$C$7,BD!$A$3:$A$5001,"&lt;="&amp;$B171,BD!$M$3:$M$5001,"&lt;&gt;")=0,"",SUMIFS(BD!$M$3:$M$5001,BD!$B$3:$B$5001,T$149,BD!$A$3:$A$5001,_xlfn.MAXIFS(BD!$A$3:$A$5001,BD!$B$3:$B$5001,T$149,BD!$A$3:$A$5001,"&gt;="&amp;$C$7,BD!$A$3:$A$5001,"&lt;="&amp;$B171,BD!$M$3:$M$5001,"&lt;&gt;"))))</f>
        <v/>
      </c>
      <c r="U171" s="43" t="str">
        <f>IF(OR($B171="",$A171&gt;$B$9,U$149=""),"",IF(COUNTIFS(BD!$B$3:$B$5001,U$149,BD!$A$3:$A$5001,"&gt;="&amp;$C$7,BD!$A$3:$A$5001,"&lt;="&amp;$B171,BD!$M$3:$M$5001,"&lt;&gt;")=0,"",SUMIFS(BD!$M$3:$M$5001,BD!$B$3:$B$5001,U$149,BD!$A$3:$A$5001,_xlfn.MAXIFS(BD!$A$3:$A$5001,BD!$B$3:$B$5001,U$149,BD!$A$3:$A$5001,"&gt;="&amp;$C$7,BD!$A$3:$A$5001,"&lt;="&amp;$B171,BD!$M$3:$M$5001,"&lt;&gt;"))))</f>
        <v/>
      </c>
      <c r="V171" s="43" t="str">
        <f>IF(OR($B171="",$A171&gt;$B$9,V$149=""),"",IF(COUNTIFS(BD!$B$3:$B$5001,V$149,BD!$A$3:$A$5001,"&gt;="&amp;$C$7,BD!$A$3:$A$5001,"&lt;="&amp;$B171,BD!$M$3:$M$5001,"&lt;&gt;")=0,"",SUMIFS(BD!$M$3:$M$5001,BD!$B$3:$B$5001,V$149,BD!$A$3:$A$5001,_xlfn.MAXIFS(BD!$A$3:$A$5001,BD!$B$3:$B$5001,V$149,BD!$A$3:$A$5001,"&gt;="&amp;$C$7,BD!$A$3:$A$5001,"&lt;="&amp;$B171,BD!$M$3:$M$5001,"&lt;&gt;"))))</f>
        <v/>
      </c>
    </row>
    <row r="172">
      <c r="A172" s="38">
        <v>23</v>
      </c>
      <c r="B172" s="42">
        <f>$B$34</f>
        <v>46318</v>
      </c>
      <c r="C172" s="43" t="str">
        <f>IF(OR($B172="",$A172&gt;$B$9,C$149=""),"",IF(COUNTIFS(BD!$B$3:$B$5001,C$149,BD!$A$3:$A$5001,"&gt;="&amp;$C$7,BD!$A$3:$A$5001,"&lt;="&amp;$B172,BD!$M$3:$M$5001,"&lt;&gt;")=0,"",SUMIFS(BD!$M$3:$M$5001,BD!$B$3:$B$5001,C$149,BD!$A$3:$A$5001,_xlfn.MAXIFS(BD!$A$3:$A$5001,BD!$B$3:$B$5001,C$149,BD!$A$3:$A$5001,"&gt;="&amp;$C$7,BD!$A$3:$A$5001,"&lt;="&amp;$B172,BD!$M$3:$M$5001,"&lt;&gt;"))))</f>
        <v/>
      </c>
      <c r="D172" s="43" t="str">
        <f>IF(OR($B172="",$A172&gt;$B$9,D$149=""),"",IF(COUNTIFS(BD!$B$3:$B$5001,D$149,BD!$A$3:$A$5001,"&gt;="&amp;$C$7,BD!$A$3:$A$5001,"&lt;="&amp;$B172,BD!$M$3:$M$5001,"&lt;&gt;")=0,"",SUMIFS(BD!$M$3:$M$5001,BD!$B$3:$B$5001,D$149,BD!$A$3:$A$5001,_xlfn.MAXIFS(BD!$A$3:$A$5001,BD!$B$3:$B$5001,D$149,BD!$A$3:$A$5001,"&gt;="&amp;$C$7,BD!$A$3:$A$5001,"&lt;="&amp;$B172,BD!$M$3:$M$5001,"&lt;&gt;"))))</f>
        <v/>
      </c>
      <c r="E172" s="43" t="str">
        <f>IF(OR($B172="",$A172&gt;$B$9,E$149=""),"",IF(COUNTIFS(BD!$B$3:$B$5001,E$149,BD!$A$3:$A$5001,"&gt;="&amp;$C$7,BD!$A$3:$A$5001,"&lt;="&amp;$B172,BD!$M$3:$M$5001,"&lt;&gt;")=0,"",SUMIFS(BD!$M$3:$M$5001,BD!$B$3:$B$5001,E$149,BD!$A$3:$A$5001,_xlfn.MAXIFS(BD!$A$3:$A$5001,BD!$B$3:$B$5001,E$149,BD!$A$3:$A$5001,"&gt;="&amp;$C$7,BD!$A$3:$A$5001,"&lt;="&amp;$B172,BD!$M$3:$M$5001,"&lt;&gt;"))))</f>
        <v/>
      </c>
      <c r="F172" s="43" t="str">
        <f>IF(OR($B172="",$A172&gt;$B$9,F$149=""),"",IF(COUNTIFS(BD!$B$3:$B$5001,F$149,BD!$A$3:$A$5001,"&gt;="&amp;$C$7,BD!$A$3:$A$5001,"&lt;="&amp;$B172,BD!$M$3:$M$5001,"&lt;&gt;")=0,"",SUMIFS(BD!$M$3:$M$5001,BD!$B$3:$B$5001,F$149,BD!$A$3:$A$5001,_xlfn.MAXIFS(BD!$A$3:$A$5001,BD!$B$3:$B$5001,F$149,BD!$A$3:$A$5001,"&gt;="&amp;$C$7,BD!$A$3:$A$5001,"&lt;="&amp;$B172,BD!$M$3:$M$5001,"&lt;&gt;"))))</f>
        <v/>
      </c>
      <c r="G172" s="43" t="str">
        <f>IF(OR($B172="",$A172&gt;$B$9,G$149=""),"",IF(COUNTIFS(BD!$B$3:$B$5001,G$149,BD!$A$3:$A$5001,"&gt;="&amp;$C$7,BD!$A$3:$A$5001,"&lt;="&amp;$B172,BD!$M$3:$M$5001,"&lt;&gt;")=0,"",SUMIFS(BD!$M$3:$M$5001,BD!$B$3:$B$5001,G$149,BD!$A$3:$A$5001,_xlfn.MAXIFS(BD!$A$3:$A$5001,BD!$B$3:$B$5001,G$149,BD!$A$3:$A$5001,"&gt;="&amp;$C$7,BD!$A$3:$A$5001,"&lt;="&amp;$B172,BD!$M$3:$M$5001,"&lt;&gt;"))))</f>
        <v/>
      </c>
      <c r="H172" s="43" t="str">
        <f>IF(OR($B172="",$A172&gt;$B$9,H$149=""),"",IF(COUNTIFS(BD!$B$3:$B$5001,H$149,BD!$A$3:$A$5001,"&gt;="&amp;$C$7,BD!$A$3:$A$5001,"&lt;="&amp;$B172,BD!$M$3:$M$5001,"&lt;&gt;")=0,"",SUMIFS(BD!$M$3:$M$5001,BD!$B$3:$B$5001,H$149,BD!$A$3:$A$5001,_xlfn.MAXIFS(BD!$A$3:$A$5001,BD!$B$3:$B$5001,H$149,BD!$A$3:$A$5001,"&gt;="&amp;$C$7,BD!$A$3:$A$5001,"&lt;="&amp;$B172,BD!$M$3:$M$5001,"&lt;&gt;"))))</f>
        <v/>
      </c>
      <c r="I172" s="43" t="str">
        <f>IF(OR($B172="",$A172&gt;$B$9,I$149=""),"",IF(COUNTIFS(BD!$B$3:$B$5001,I$149,BD!$A$3:$A$5001,"&gt;="&amp;$C$7,BD!$A$3:$A$5001,"&lt;="&amp;$B172,BD!$M$3:$M$5001,"&lt;&gt;")=0,"",SUMIFS(BD!$M$3:$M$5001,BD!$B$3:$B$5001,I$149,BD!$A$3:$A$5001,_xlfn.MAXIFS(BD!$A$3:$A$5001,BD!$B$3:$B$5001,I$149,BD!$A$3:$A$5001,"&gt;="&amp;$C$7,BD!$A$3:$A$5001,"&lt;="&amp;$B172,BD!$M$3:$M$5001,"&lt;&gt;"))))</f>
        <v/>
      </c>
      <c r="J172" s="43" t="str">
        <f>IF(OR($B172="",$A172&gt;$B$9,J$149=""),"",IF(COUNTIFS(BD!$B$3:$B$5001,J$149,BD!$A$3:$A$5001,"&gt;="&amp;$C$7,BD!$A$3:$A$5001,"&lt;="&amp;$B172,BD!$M$3:$M$5001,"&lt;&gt;")=0,"",SUMIFS(BD!$M$3:$M$5001,BD!$B$3:$B$5001,J$149,BD!$A$3:$A$5001,_xlfn.MAXIFS(BD!$A$3:$A$5001,BD!$B$3:$B$5001,J$149,BD!$A$3:$A$5001,"&gt;="&amp;$C$7,BD!$A$3:$A$5001,"&lt;="&amp;$B172,BD!$M$3:$M$5001,"&lt;&gt;"))))</f>
        <v/>
      </c>
      <c r="K172" s="43" t="str">
        <f>IF(OR($B172="",$A172&gt;$B$9,K$149=""),"",IF(COUNTIFS(BD!$B$3:$B$5001,K$149,BD!$A$3:$A$5001,"&gt;="&amp;$C$7,BD!$A$3:$A$5001,"&lt;="&amp;$B172,BD!$M$3:$M$5001,"&lt;&gt;")=0,"",SUMIFS(BD!$M$3:$M$5001,BD!$B$3:$B$5001,K$149,BD!$A$3:$A$5001,_xlfn.MAXIFS(BD!$A$3:$A$5001,BD!$B$3:$B$5001,K$149,BD!$A$3:$A$5001,"&gt;="&amp;$C$7,BD!$A$3:$A$5001,"&lt;="&amp;$B172,BD!$M$3:$M$5001,"&lt;&gt;"))))</f>
        <v/>
      </c>
      <c r="L172" s="43" t="str">
        <f>IF(OR($B172="",$A172&gt;$B$9,L$149=""),"",IF(COUNTIFS(BD!$B$3:$B$5001,L$149,BD!$A$3:$A$5001,"&gt;="&amp;$C$7,BD!$A$3:$A$5001,"&lt;="&amp;$B172,BD!$M$3:$M$5001,"&lt;&gt;")=0,"",SUMIFS(BD!$M$3:$M$5001,BD!$B$3:$B$5001,L$149,BD!$A$3:$A$5001,_xlfn.MAXIFS(BD!$A$3:$A$5001,BD!$B$3:$B$5001,L$149,BD!$A$3:$A$5001,"&gt;="&amp;$C$7,BD!$A$3:$A$5001,"&lt;="&amp;$B172,BD!$M$3:$M$5001,"&lt;&gt;"))))</f>
        <v/>
      </c>
      <c r="M172" s="43" t="str">
        <f>IF(OR($B172="",$A172&gt;$B$9,M$149=""),"",IF(COUNTIFS(BD!$B$3:$B$5001,M$149,BD!$A$3:$A$5001,"&gt;="&amp;$C$7,BD!$A$3:$A$5001,"&lt;="&amp;$B172,BD!$M$3:$M$5001,"&lt;&gt;")=0,"",SUMIFS(BD!$M$3:$M$5001,BD!$B$3:$B$5001,M$149,BD!$A$3:$A$5001,_xlfn.MAXIFS(BD!$A$3:$A$5001,BD!$B$3:$B$5001,M$149,BD!$A$3:$A$5001,"&gt;="&amp;$C$7,BD!$A$3:$A$5001,"&lt;="&amp;$B172,BD!$M$3:$M$5001,"&lt;&gt;"))))</f>
        <v/>
      </c>
      <c r="N172" s="43" t="str">
        <f>IF(OR($B172="",$A172&gt;$B$9,N$149=""),"",IF(COUNTIFS(BD!$B$3:$B$5001,N$149,BD!$A$3:$A$5001,"&gt;="&amp;$C$7,BD!$A$3:$A$5001,"&lt;="&amp;$B172,BD!$M$3:$M$5001,"&lt;&gt;")=0,"",SUMIFS(BD!$M$3:$M$5001,BD!$B$3:$B$5001,N$149,BD!$A$3:$A$5001,_xlfn.MAXIFS(BD!$A$3:$A$5001,BD!$B$3:$B$5001,N$149,BD!$A$3:$A$5001,"&gt;="&amp;$C$7,BD!$A$3:$A$5001,"&lt;="&amp;$B172,BD!$M$3:$M$5001,"&lt;&gt;"))))</f>
        <v/>
      </c>
      <c r="O172" s="43" t="str">
        <f>IF(OR($B172="",$A172&gt;$B$9,O$149=""),"",IF(COUNTIFS(BD!$B$3:$B$5001,O$149,BD!$A$3:$A$5001,"&gt;="&amp;$C$7,BD!$A$3:$A$5001,"&lt;="&amp;$B172,BD!$M$3:$M$5001,"&lt;&gt;")=0,"",SUMIFS(BD!$M$3:$M$5001,BD!$B$3:$B$5001,O$149,BD!$A$3:$A$5001,_xlfn.MAXIFS(BD!$A$3:$A$5001,BD!$B$3:$B$5001,O$149,BD!$A$3:$A$5001,"&gt;="&amp;$C$7,BD!$A$3:$A$5001,"&lt;="&amp;$B172,BD!$M$3:$M$5001,"&lt;&gt;"))))</f>
        <v/>
      </c>
      <c r="P172" s="43" t="str">
        <f>IF(OR($B172="",$A172&gt;$B$9,P$149=""),"",IF(COUNTIFS(BD!$B$3:$B$5001,P$149,BD!$A$3:$A$5001,"&gt;="&amp;$C$7,BD!$A$3:$A$5001,"&lt;="&amp;$B172,BD!$M$3:$M$5001,"&lt;&gt;")=0,"",SUMIFS(BD!$M$3:$M$5001,BD!$B$3:$B$5001,P$149,BD!$A$3:$A$5001,_xlfn.MAXIFS(BD!$A$3:$A$5001,BD!$B$3:$B$5001,P$149,BD!$A$3:$A$5001,"&gt;="&amp;$C$7,BD!$A$3:$A$5001,"&lt;="&amp;$B172,BD!$M$3:$M$5001,"&lt;&gt;"))))</f>
        <v/>
      </c>
      <c r="Q172" s="43" t="str">
        <f>IF(OR($B172="",$A172&gt;$B$9,Q$149=""),"",IF(COUNTIFS(BD!$B$3:$B$5001,Q$149,BD!$A$3:$A$5001,"&gt;="&amp;$C$7,BD!$A$3:$A$5001,"&lt;="&amp;$B172,BD!$M$3:$M$5001,"&lt;&gt;")=0,"",SUMIFS(BD!$M$3:$M$5001,BD!$B$3:$B$5001,Q$149,BD!$A$3:$A$5001,_xlfn.MAXIFS(BD!$A$3:$A$5001,BD!$B$3:$B$5001,Q$149,BD!$A$3:$A$5001,"&gt;="&amp;$C$7,BD!$A$3:$A$5001,"&lt;="&amp;$B172,BD!$M$3:$M$5001,"&lt;&gt;"))))</f>
        <v/>
      </c>
      <c r="R172" s="43" t="str">
        <f>IF(OR($B172="",$A172&gt;$B$9,R$149=""),"",IF(COUNTIFS(BD!$B$3:$B$5001,R$149,BD!$A$3:$A$5001,"&gt;="&amp;$C$7,BD!$A$3:$A$5001,"&lt;="&amp;$B172,BD!$M$3:$M$5001,"&lt;&gt;")=0,"",SUMIFS(BD!$M$3:$M$5001,BD!$B$3:$B$5001,R$149,BD!$A$3:$A$5001,_xlfn.MAXIFS(BD!$A$3:$A$5001,BD!$B$3:$B$5001,R$149,BD!$A$3:$A$5001,"&gt;="&amp;$C$7,BD!$A$3:$A$5001,"&lt;="&amp;$B172,BD!$M$3:$M$5001,"&lt;&gt;"))))</f>
        <v/>
      </c>
      <c r="S172" s="43" t="str">
        <f>IF(OR($B172="",$A172&gt;$B$9,S$149=""),"",IF(COUNTIFS(BD!$B$3:$B$5001,S$149,BD!$A$3:$A$5001,"&gt;="&amp;$C$7,BD!$A$3:$A$5001,"&lt;="&amp;$B172,BD!$M$3:$M$5001,"&lt;&gt;")=0,"",SUMIFS(BD!$M$3:$M$5001,BD!$B$3:$B$5001,S$149,BD!$A$3:$A$5001,_xlfn.MAXIFS(BD!$A$3:$A$5001,BD!$B$3:$B$5001,S$149,BD!$A$3:$A$5001,"&gt;="&amp;$C$7,BD!$A$3:$A$5001,"&lt;="&amp;$B172,BD!$M$3:$M$5001,"&lt;&gt;"))))</f>
        <v/>
      </c>
      <c r="T172" s="43" t="str">
        <f>IF(OR($B172="",$A172&gt;$B$9,T$149=""),"",IF(COUNTIFS(BD!$B$3:$B$5001,T$149,BD!$A$3:$A$5001,"&gt;="&amp;$C$7,BD!$A$3:$A$5001,"&lt;="&amp;$B172,BD!$M$3:$M$5001,"&lt;&gt;")=0,"",SUMIFS(BD!$M$3:$M$5001,BD!$B$3:$B$5001,T$149,BD!$A$3:$A$5001,_xlfn.MAXIFS(BD!$A$3:$A$5001,BD!$B$3:$B$5001,T$149,BD!$A$3:$A$5001,"&gt;="&amp;$C$7,BD!$A$3:$A$5001,"&lt;="&amp;$B172,BD!$M$3:$M$5001,"&lt;&gt;"))))</f>
        <v/>
      </c>
      <c r="U172" s="43" t="str">
        <f>IF(OR($B172="",$A172&gt;$B$9,U$149=""),"",IF(COUNTIFS(BD!$B$3:$B$5001,U$149,BD!$A$3:$A$5001,"&gt;="&amp;$C$7,BD!$A$3:$A$5001,"&lt;="&amp;$B172,BD!$M$3:$M$5001,"&lt;&gt;")=0,"",SUMIFS(BD!$M$3:$M$5001,BD!$B$3:$B$5001,U$149,BD!$A$3:$A$5001,_xlfn.MAXIFS(BD!$A$3:$A$5001,BD!$B$3:$B$5001,U$149,BD!$A$3:$A$5001,"&gt;="&amp;$C$7,BD!$A$3:$A$5001,"&lt;="&amp;$B172,BD!$M$3:$M$5001,"&lt;&gt;"))))</f>
        <v/>
      </c>
      <c r="V172" s="43" t="str">
        <f>IF(OR($B172="",$A172&gt;$B$9,V$149=""),"",IF(COUNTIFS(BD!$B$3:$B$5001,V$149,BD!$A$3:$A$5001,"&gt;="&amp;$C$7,BD!$A$3:$A$5001,"&lt;="&amp;$B172,BD!$M$3:$M$5001,"&lt;&gt;")=0,"",SUMIFS(BD!$M$3:$M$5001,BD!$B$3:$B$5001,V$149,BD!$A$3:$A$5001,_xlfn.MAXIFS(BD!$A$3:$A$5001,BD!$B$3:$B$5001,V$149,BD!$A$3:$A$5001,"&gt;="&amp;$C$7,BD!$A$3:$A$5001,"&lt;="&amp;$B172,BD!$M$3:$M$5001,"&lt;&gt;"))))</f>
        <v/>
      </c>
    </row>
    <row r="173">
      <c r="A173" s="38">
        <v>24</v>
      </c>
      <c r="B173" s="42">
        <f>$B$35</f>
        <v>46319</v>
      </c>
      <c r="C173" s="43" t="str">
        <f>IF(OR($B173="",$A173&gt;$B$9,C$149=""),"",IF(COUNTIFS(BD!$B$3:$B$5001,C$149,BD!$A$3:$A$5001,"&gt;="&amp;$C$7,BD!$A$3:$A$5001,"&lt;="&amp;$B173,BD!$M$3:$M$5001,"&lt;&gt;")=0,"",SUMIFS(BD!$M$3:$M$5001,BD!$B$3:$B$5001,C$149,BD!$A$3:$A$5001,_xlfn.MAXIFS(BD!$A$3:$A$5001,BD!$B$3:$B$5001,C$149,BD!$A$3:$A$5001,"&gt;="&amp;$C$7,BD!$A$3:$A$5001,"&lt;="&amp;$B173,BD!$M$3:$M$5001,"&lt;&gt;"))))</f>
        <v/>
      </c>
      <c r="D173" s="43" t="str">
        <f>IF(OR($B173="",$A173&gt;$B$9,D$149=""),"",IF(COUNTIFS(BD!$B$3:$B$5001,D$149,BD!$A$3:$A$5001,"&gt;="&amp;$C$7,BD!$A$3:$A$5001,"&lt;="&amp;$B173,BD!$M$3:$M$5001,"&lt;&gt;")=0,"",SUMIFS(BD!$M$3:$M$5001,BD!$B$3:$B$5001,D$149,BD!$A$3:$A$5001,_xlfn.MAXIFS(BD!$A$3:$A$5001,BD!$B$3:$B$5001,D$149,BD!$A$3:$A$5001,"&gt;="&amp;$C$7,BD!$A$3:$A$5001,"&lt;="&amp;$B173,BD!$M$3:$M$5001,"&lt;&gt;"))))</f>
        <v/>
      </c>
      <c r="E173" s="43" t="str">
        <f>IF(OR($B173="",$A173&gt;$B$9,E$149=""),"",IF(COUNTIFS(BD!$B$3:$B$5001,E$149,BD!$A$3:$A$5001,"&gt;="&amp;$C$7,BD!$A$3:$A$5001,"&lt;="&amp;$B173,BD!$M$3:$M$5001,"&lt;&gt;")=0,"",SUMIFS(BD!$M$3:$M$5001,BD!$B$3:$B$5001,E$149,BD!$A$3:$A$5001,_xlfn.MAXIFS(BD!$A$3:$A$5001,BD!$B$3:$B$5001,E$149,BD!$A$3:$A$5001,"&gt;="&amp;$C$7,BD!$A$3:$A$5001,"&lt;="&amp;$B173,BD!$M$3:$M$5001,"&lt;&gt;"))))</f>
        <v/>
      </c>
      <c r="F173" s="43" t="str">
        <f>IF(OR($B173="",$A173&gt;$B$9,F$149=""),"",IF(COUNTIFS(BD!$B$3:$B$5001,F$149,BD!$A$3:$A$5001,"&gt;="&amp;$C$7,BD!$A$3:$A$5001,"&lt;="&amp;$B173,BD!$M$3:$M$5001,"&lt;&gt;")=0,"",SUMIFS(BD!$M$3:$M$5001,BD!$B$3:$B$5001,F$149,BD!$A$3:$A$5001,_xlfn.MAXIFS(BD!$A$3:$A$5001,BD!$B$3:$B$5001,F$149,BD!$A$3:$A$5001,"&gt;="&amp;$C$7,BD!$A$3:$A$5001,"&lt;="&amp;$B173,BD!$M$3:$M$5001,"&lt;&gt;"))))</f>
        <v/>
      </c>
      <c r="G173" s="43" t="str">
        <f>IF(OR($B173="",$A173&gt;$B$9,G$149=""),"",IF(COUNTIFS(BD!$B$3:$B$5001,G$149,BD!$A$3:$A$5001,"&gt;="&amp;$C$7,BD!$A$3:$A$5001,"&lt;="&amp;$B173,BD!$M$3:$M$5001,"&lt;&gt;")=0,"",SUMIFS(BD!$M$3:$M$5001,BD!$B$3:$B$5001,G$149,BD!$A$3:$A$5001,_xlfn.MAXIFS(BD!$A$3:$A$5001,BD!$B$3:$B$5001,G$149,BD!$A$3:$A$5001,"&gt;="&amp;$C$7,BD!$A$3:$A$5001,"&lt;="&amp;$B173,BD!$M$3:$M$5001,"&lt;&gt;"))))</f>
        <v/>
      </c>
      <c r="H173" s="43" t="str">
        <f>IF(OR($B173="",$A173&gt;$B$9,H$149=""),"",IF(COUNTIFS(BD!$B$3:$B$5001,H$149,BD!$A$3:$A$5001,"&gt;="&amp;$C$7,BD!$A$3:$A$5001,"&lt;="&amp;$B173,BD!$M$3:$M$5001,"&lt;&gt;")=0,"",SUMIFS(BD!$M$3:$M$5001,BD!$B$3:$B$5001,H$149,BD!$A$3:$A$5001,_xlfn.MAXIFS(BD!$A$3:$A$5001,BD!$B$3:$B$5001,H$149,BD!$A$3:$A$5001,"&gt;="&amp;$C$7,BD!$A$3:$A$5001,"&lt;="&amp;$B173,BD!$M$3:$M$5001,"&lt;&gt;"))))</f>
        <v/>
      </c>
      <c r="I173" s="43" t="str">
        <f>IF(OR($B173="",$A173&gt;$B$9,I$149=""),"",IF(COUNTIFS(BD!$B$3:$B$5001,I$149,BD!$A$3:$A$5001,"&gt;="&amp;$C$7,BD!$A$3:$A$5001,"&lt;="&amp;$B173,BD!$M$3:$M$5001,"&lt;&gt;")=0,"",SUMIFS(BD!$M$3:$M$5001,BD!$B$3:$B$5001,I$149,BD!$A$3:$A$5001,_xlfn.MAXIFS(BD!$A$3:$A$5001,BD!$B$3:$B$5001,I$149,BD!$A$3:$A$5001,"&gt;="&amp;$C$7,BD!$A$3:$A$5001,"&lt;="&amp;$B173,BD!$M$3:$M$5001,"&lt;&gt;"))))</f>
        <v/>
      </c>
      <c r="J173" s="43" t="str">
        <f>IF(OR($B173="",$A173&gt;$B$9,J$149=""),"",IF(COUNTIFS(BD!$B$3:$B$5001,J$149,BD!$A$3:$A$5001,"&gt;="&amp;$C$7,BD!$A$3:$A$5001,"&lt;="&amp;$B173,BD!$M$3:$M$5001,"&lt;&gt;")=0,"",SUMIFS(BD!$M$3:$M$5001,BD!$B$3:$B$5001,J$149,BD!$A$3:$A$5001,_xlfn.MAXIFS(BD!$A$3:$A$5001,BD!$B$3:$B$5001,J$149,BD!$A$3:$A$5001,"&gt;="&amp;$C$7,BD!$A$3:$A$5001,"&lt;="&amp;$B173,BD!$M$3:$M$5001,"&lt;&gt;"))))</f>
        <v/>
      </c>
      <c r="K173" s="43" t="str">
        <f>IF(OR($B173="",$A173&gt;$B$9,K$149=""),"",IF(COUNTIFS(BD!$B$3:$B$5001,K$149,BD!$A$3:$A$5001,"&gt;="&amp;$C$7,BD!$A$3:$A$5001,"&lt;="&amp;$B173,BD!$M$3:$M$5001,"&lt;&gt;")=0,"",SUMIFS(BD!$M$3:$M$5001,BD!$B$3:$B$5001,K$149,BD!$A$3:$A$5001,_xlfn.MAXIFS(BD!$A$3:$A$5001,BD!$B$3:$B$5001,K$149,BD!$A$3:$A$5001,"&gt;="&amp;$C$7,BD!$A$3:$A$5001,"&lt;="&amp;$B173,BD!$M$3:$M$5001,"&lt;&gt;"))))</f>
        <v/>
      </c>
      <c r="L173" s="43" t="str">
        <f>IF(OR($B173="",$A173&gt;$B$9,L$149=""),"",IF(COUNTIFS(BD!$B$3:$B$5001,L$149,BD!$A$3:$A$5001,"&gt;="&amp;$C$7,BD!$A$3:$A$5001,"&lt;="&amp;$B173,BD!$M$3:$M$5001,"&lt;&gt;")=0,"",SUMIFS(BD!$M$3:$M$5001,BD!$B$3:$B$5001,L$149,BD!$A$3:$A$5001,_xlfn.MAXIFS(BD!$A$3:$A$5001,BD!$B$3:$B$5001,L$149,BD!$A$3:$A$5001,"&gt;="&amp;$C$7,BD!$A$3:$A$5001,"&lt;="&amp;$B173,BD!$M$3:$M$5001,"&lt;&gt;"))))</f>
        <v/>
      </c>
      <c r="M173" s="43" t="str">
        <f>IF(OR($B173="",$A173&gt;$B$9,M$149=""),"",IF(COUNTIFS(BD!$B$3:$B$5001,M$149,BD!$A$3:$A$5001,"&gt;="&amp;$C$7,BD!$A$3:$A$5001,"&lt;="&amp;$B173,BD!$M$3:$M$5001,"&lt;&gt;")=0,"",SUMIFS(BD!$M$3:$M$5001,BD!$B$3:$B$5001,M$149,BD!$A$3:$A$5001,_xlfn.MAXIFS(BD!$A$3:$A$5001,BD!$B$3:$B$5001,M$149,BD!$A$3:$A$5001,"&gt;="&amp;$C$7,BD!$A$3:$A$5001,"&lt;="&amp;$B173,BD!$M$3:$M$5001,"&lt;&gt;"))))</f>
        <v/>
      </c>
      <c r="N173" s="43" t="str">
        <f>IF(OR($B173="",$A173&gt;$B$9,N$149=""),"",IF(COUNTIFS(BD!$B$3:$B$5001,N$149,BD!$A$3:$A$5001,"&gt;="&amp;$C$7,BD!$A$3:$A$5001,"&lt;="&amp;$B173,BD!$M$3:$M$5001,"&lt;&gt;")=0,"",SUMIFS(BD!$M$3:$M$5001,BD!$B$3:$B$5001,N$149,BD!$A$3:$A$5001,_xlfn.MAXIFS(BD!$A$3:$A$5001,BD!$B$3:$B$5001,N$149,BD!$A$3:$A$5001,"&gt;="&amp;$C$7,BD!$A$3:$A$5001,"&lt;="&amp;$B173,BD!$M$3:$M$5001,"&lt;&gt;"))))</f>
        <v/>
      </c>
      <c r="O173" s="43" t="str">
        <f>IF(OR($B173="",$A173&gt;$B$9,O$149=""),"",IF(COUNTIFS(BD!$B$3:$B$5001,O$149,BD!$A$3:$A$5001,"&gt;="&amp;$C$7,BD!$A$3:$A$5001,"&lt;="&amp;$B173,BD!$M$3:$M$5001,"&lt;&gt;")=0,"",SUMIFS(BD!$M$3:$M$5001,BD!$B$3:$B$5001,O$149,BD!$A$3:$A$5001,_xlfn.MAXIFS(BD!$A$3:$A$5001,BD!$B$3:$B$5001,O$149,BD!$A$3:$A$5001,"&gt;="&amp;$C$7,BD!$A$3:$A$5001,"&lt;="&amp;$B173,BD!$M$3:$M$5001,"&lt;&gt;"))))</f>
        <v/>
      </c>
      <c r="P173" s="43" t="str">
        <f>IF(OR($B173="",$A173&gt;$B$9,P$149=""),"",IF(COUNTIFS(BD!$B$3:$B$5001,P$149,BD!$A$3:$A$5001,"&gt;="&amp;$C$7,BD!$A$3:$A$5001,"&lt;="&amp;$B173,BD!$M$3:$M$5001,"&lt;&gt;")=0,"",SUMIFS(BD!$M$3:$M$5001,BD!$B$3:$B$5001,P$149,BD!$A$3:$A$5001,_xlfn.MAXIFS(BD!$A$3:$A$5001,BD!$B$3:$B$5001,P$149,BD!$A$3:$A$5001,"&gt;="&amp;$C$7,BD!$A$3:$A$5001,"&lt;="&amp;$B173,BD!$M$3:$M$5001,"&lt;&gt;"))))</f>
        <v/>
      </c>
      <c r="Q173" s="43" t="str">
        <f>IF(OR($B173="",$A173&gt;$B$9,Q$149=""),"",IF(COUNTIFS(BD!$B$3:$B$5001,Q$149,BD!$A$3:$A$5001,"&gt;="&amp;$C$7,BD!$A$3:$A$5001,"&lt;="&amp;$B173,BD!$M$3:$M$5001,"&lt;&gt;")=0,"",SUMIFS(BD!$M$3:$M$5001,BD!$B$3:$B$5001,Q$149,BD!$A$3:$A$5001,_xlfn.MAXIFS(BD!$A$3:$A$5001,BD!$B$3:$B$5001,Q$149,BD!$A$3:$A$5001,"&gt;="&amp;$C$7,BD!$A$3:$A$5001,"&lt;="&amp;$B173,BD!$M$3:$M$5001,"&lt;&gt;"))))</f>
        <v/>
      </c>
      <c r="R173" s="43" t="str">
        <f>IF(OR($B173="",$A173&gt;$B$9,R$149=""),"",IF(COUNTIFS(BD!$B$3:$B$5001,R$149,BD!$A$3:$A$5001,"&gt;="&amp;$C$7,BD!$A$3:$A$5001,"&lt;="&amp;$B173,BD!$M$3:$M$5001,"&lt;&gt;")=0,"",SUMIFS(BD!$M$3:$M$5001,BD!$B$3:$B$5001,R$149,BD!$A$3:$A$5001,_xlfn.MAXIFS(BD!$A$3:$A$5001,BD!$B$3:$B$5001,R$149,BD!$A$3:$A$5001,"&gt;="&amp;$C$7,BD!$A$3:$A$5001,"&lt;="&amp;$B173,BD!$M$3:$M$5001,"&lt;&gt;"))))</f>
        <v/>
      </c>
      <c r="S173" s="43" t="str">
        <f>IF(OR($B173="",$A173&gt;$B$9,S$149=""),"",IF(COUNTIFS(BD!$B$3:$B$5001,S$149,BD!$A$3:$A$5001,"&gt;="&amp;$C$7,BD!$A$3:$A$5001,"&lt;="&amp;$B173,BD!$M$3:$M$5001,"&lt;&gt;")=0,"",SUMIFS(BD!$M$3:$M$5001,BD!$B$3:$B$5001,S$149,BD!$A$3:$A$5001,_xlfn.MAXIFS(BD!$A$3:$A$5001,BD!$B$3:$B$5001,S$149,BD!$A$3:$A$5001,"&gt;="&amp;$C$7,BD!$A$3:$A$5001,"&lt;="&amp;$B173,BD!$M$3:$M$5001,"&lt;&gt;"))))</f>
        <v/>
      </c>
      <c r="T173" s="43" t="str">
        <f>IF(OR($B173="",$A173&gt;$B$9,T$149=""),"",IF(COUNTIFS(BD!$B$3:$B$5001,T$149,BD!$A$3:$A$5001,"&gt;="&amp;$C$7,BD!$A$3:$A$5001,"&lt;="&amp;$B173,BD!$M$3:$M$5001,"&lt;&gt;")=0,"",SUMIFS(BD!$M$3:$M$5001,BD!$B$3:$B$5001,T$149,BD!$A$3:$A$5001,_xlfn.MAXIFS(BD!$A$3:$A$5001,BD!$B$3:$B$5001,T$149,BD!$A$3:$A$5001,"&gt;="&amp;$C$7,BD!$A$3:$A$5001,"&lt;="&amp;$B173,BD!$M$3:$M$5001,"&lt;&gt;"))))</f>
        <v/>
      </c>
      <c r="U173" s="43" t="str">
        <f>IF(OR($B173="",$A173&gt;$B$9,U$149=""),"",IF(COUNTIFS(BD!$B$3:$B$5001,U$149,BD!$A$3:$A$5001,"&gt;="&amp;$C$7,BD!$A$3:$A$5001,"&lt;="&amp;$B173,BD!$M$3:$M$5001,"&lt;&gt;")=0,"",SUMIFS(BD!$M$3:$M$5001,BD!$B$3:$B$5001,U$149,BD!$A$3:$A$5001,_xlfn.MAXIFS(BD!$A$3:$A$5001,BD!$B$3:$B$5001,U$149,BD!$A$3:$A$5001,"&gt;="&amp;$C$7,BD!$A$3:$A$5001,"&lt;="&amp;$B173,BD!$M$3:$M$5001,"&lt;&gt;"))))</f>
        <v/>
      </c>
      <c r="V173" s="43" t="str">
        <f>IF(OR($B173="",$A173&gt;$B$9,V$149=""),"",IF(COUNTIFS(BD!$B$3:$B$5001,V$149,BD!$A$3:$A$5001,"&gt;="&amp;$C$7,BD!$A$3:$A$5001,"&lt;="&amp;$B173,BD!$M$3:$M$5001,"&lt;&gt;")=0,"",SUMIFS(BD!$M$3:$M$5001,BD!$B$3:$B$5001,V$149,BD!$A$3:$A$5001,_xlfn.MAXIFS(BD!$A$3:$A$5001,BD!$B$3:$B$5001,V$149,BD!$A$3:$A$5001,"&gt;="&amp;$C$7,BD!$A$3:$A$5001,"&lt;="&amp;$B173,BD!$M$3:$M$5001,"&lt;&gt;"))))</f>
        <v/>
      </c>
    </row>
    <row r="174">
      <c r="A174" s="38">
        <v>25</v>
      </c>
      <c r="B174" s="42">
        <f>$B$36</f>
        <v>46320</v>
      </c>
      <c r="C174" s="43" t="str">
        <f>IF(OR($B174="",$A174&gt;$B$9,C$149=""),"",IF(COUNTIFS(BD!$B$3:$B$5001,C$149,BD!$A$3:$A$5001,"&gt;="&amp;$C$7,BD!$A$3:$A$5001,"&lt;="&amp;$B174,BD!$M$3:$M$5001,"&lt;&gt;")=0,"",SUMIFS(BD!$M$3:$M$5001,BD!$B$3:$B$5001,C$149,BD!$A$3:$A$5001,_xlfn.MAXIFS(BD!$A$3:$A$5001,BD!$B$3:$B$5001,C$149,BD!$A$3:$A$5001,"&gt;="&amp;$C$7,BD!$A$3:$A$5001,"&lt;="&amp;$B174,BD!$M$3:$M$5001,"&lt;&gt;"))))</f>
        <v/>
      </c>
      <c r="D174" s="43" t="str">
        <f>IF(OR($B174="",$A174&gt;$B$9,D$149=""),"",IF(COUNTIFS(BD!$B$3:$B$5001,D$149,BD!$A$3:$A$5001,"&gt;="&amp;$C$7,BD!$A$3:$A$5001,"&lt;="&amp;$B174,BD!$M$3:$M$5001,"&lt;&gt;")=0,"",SUMIFS(BD!$M$3:$M$5001,BD!$B$3:$B$5001,D$149,BD!$A$3:$A$5001,_xlfn.MAXIFS(BD!$A$3:$A$5001,BD!$B$3:$B$5001,D$149,BD!$A$3:$A$5001,"&gt;="&amp;$C$7,BD!$A$3:$A$5001,"&lt;="&amp;$B174,BD!$M$3:$M$5001,"&lt;&gt;"))))</f>
        <v/>
      </c>
      <c r="E174" s="43" t="str">
        <f>IF(OR($B174="",$A174&gt;$B$9,E$149=""),"",IF(COUNTIFS(BD!$B$3:$B$5001,E$149,BD!$A$3:$A$5001,"&gt;="&amp;$C$7,BD!$A$3:$A$5001,"&lt;="&amp;$B174,BD!$M$3:$M$5001,"&lt;&gt;")=0,"",SUMIFS(BD!$M$3:$M$5001,BD!$B$3:$B$5001,E$149,BD!$A$3:$A$5001,_xlfn.MAXIFS(BD!$A$3:$A$5001,BD!$B$3:$B$5001,E$149,BD!$A$3:$A$5001,"&gt;="&amp;$C$7,BD!$A$3:$A$5001,"&lt;="&amp;$B174,BD!$M$3:$M$5001,"&lt;&gt;"))))</f>
        <v/>
      </c>
      <c r="F174" s="43" t="str">
        <f>IF(OR($B174="",$A174&gt;$B$9,F$149=""),"",IF(COUNTIFS(BD!$B$3:$B$5001,F$149,BD!$A$3:$A$5001,"&gt;="&amp;$C$7,BD!$A$3:$A$5001,"&lt;="&amp;$B174,BD!$M$3:$M$5001,"&lt;&gt;")=0,"",SUMIFS(BD!$M$3:$M$5001,BD!$B$3:$B$5001,F$149,BD!$A$3:$A$5001,_xlfn.MAXIFS(BD!$A$3:$A$5001,BD!$B$3:$B$5001,F$149,BD!$A$3:$A$5001,"&gt;="&amp;$C$7,BD!$A$3:$A$5001,"&lt;="&amp;$B174,BD!$M$3:$M$5001,"&lt;&gt;"))))</f>
        <v/>
      </c>
      <c r="G174" s="43" t="str">
        <f>IF(OR($B174="",$A174&gt;$B$9,G$149=""),"",IF(COUNTIFS(BD!$B$3:$B$5001,G$149,BD!$A$3:$A$5001,"&gt;="&amp;$C$7,BD!$A$3:$A$5001,"&lt;="&amp;$B174,BD!$M$3:$M$5001,"&lt;&gt;")=0,"",SUMIFS(BD!$M$3:$M$5001,BD!$B$3:$B$5001,G$149,BD!$A$3:$A$5001,_xlfn.MAXIFS(BD!$A$3:$A$5001,BD!$B$3:$B$5001,G$149,BD!$A$3:$A$5001,"&gt;="&amp;$C$7,BD!$A$3:$A$5001,"&lt;="&amp;$B174,BD!$M$3:$M$5001,"&lt;&gt;"))))</f>
        <v/>
      </c>
      <c r="H174" s="43" t="str">
        <f>IF(OR($B174="",$A174&gt;$B$9,H$149=""),"",IF(COUNTIFS(BD!$B$3:$B$5001,H$149,BD!$A$3:$A$5001,"&gt;="&amp;$C$7,BD!$A$3:$A$5001,"&lt;="&amp;$B174,BD!$M$3:$M$5001,"&lt;&gt;")=0,"",SUMIFS(BD!$M$3:$M$5001,BD!$B$3:$B$5001,H$149,BD!$A$3:$A$5001,_xlfn.MAXIFS(BD!$A$3:$A$5001,BD!$B$3:$B$5001,H$149,BD!$A$3:$A$5001,"&gt;="&amp;$C$7,BD!$A$3:$A$5001,"&lt;="&amp;$B174,BD!$M$3:$M$5001,"&lt;&gt;"))))</f>
        <v/>
      </c>
      <c r="I174" s="43" t="str">
        <f>IF(OR($B174="",$A174&gt;$B$9,I$149=""),"",IF(COUNTIFS(BD!$B$3:$B$5001,I$149,BD!$A$3:$A$5001,"&gt;="&amp;$C$7,BD!$A$3:$A$5001,"&lt;="&amp;$B174,BD!$M$3:$M$5001,"&lt;&gt;")=0,"",SUMIFS(BD!$M$3:$M$5001,BD!$B$3:$B$5001,I$149,BD!$A$3:$A$5001,_xlfn.MAXIFS(BD!$A$3:$A$5001,BD!$B$3:$B$5001,I$149,BD!$A$3:$A$5001,"&gt;="&amp;$C$7,BD!$A$3:$A$5001,"&lt;="&amp;$B174,BD!$M$3:$M$5001,"&lt;&gt;"))))</f>
        <v/>
      </c>
      <c r="J174" s="43" t="str">
        <f>IF(OR($B174="",$A174&gt;$B$9,J$149=""),"",IF(COUNTIFS(BD!$B$3:$B$5001,J$149,BD!$A$3:$A$5001,"&gt;="&amp;$C$7,BD!$A$3:$A$5001,"&lt;="&amp;$B174,BD!$M$3:$M$5001,"&lt;&gt;")=0,"",SUMIFS(BD!$M$3:$M$5001,BD!$B$3:$B$5001,J$149,BD!$A$3:$A$5001,_xlfn.MAXIFS(BD!$A$3:$A$5001,BD!$B$3:$B$5001,J$149,BD!$A$3:$A$5001,"&gt;="&amp;$C$7,BD!$A$3:$A$5001,"&lt;="&amp;$B174,BD!$M$3:$M$5001,"&lt;&gt;"))))</f>
        <v/>
      </c>
      <c r="K174" s="43" t="str">
        <f>IF(OR($B174="",$A174&gt;$B$9,K$149=""),"",IF(COUNTIFS(BD!$B$3:$B$5001,K$149,BD!$A$3:$A$5001,"&gt;="&amp;$C$7,BD!$A$3:$A$5001,"&lt;="&amp;$B174,BD!$M$3:$M$5001,"&lt;&gt;")=0,"",SUMIFS(BD!$M$3:$M$5001,BD!$B$3:$B$5001,K$149,BD!$A$3:$A$5001,_xlfn.MAXIFS(BD!$A$3:$A$5001,BD!$B$3:$B$5001,K$149,BD!$A$3:$A$5001,"&gt;="&amp;$C$7,BD!$A$3:$A$5001,"&lt;="&amp;$B174,BD!$M$3:$M$5001,"&lt;&gt;"))))</f>
        <v/>
      </c>
      <c r="L174" s="43" t="str">
        <f>IF(OR($B174="",$A174&gt;$B$9,L$149=""),"",IF(COUNTIFS(BD!$B$3:$B$5001,L$149,BD!$A$3:$A$5001,"&gt;="&amp;$C$7,BD!$A$3:$A$5001,"&lt;="&amp;$B174,BD!$M$3:$M$5001,"&lt;&gt;")=0,"",SUMIFS(BD!$M$3:$M$5001,BD!$B$3:$B$5001,L$149,BD!$A$3:$A$5001,_xlfn.MAXIFS(BD!$A$3:$A$5001,BD!$B$3:$B$5001,L$149,BD!$A$3:$A$5001,"&gt;="&amp;$C$7,BD!$A$3:$A$5001,"&lt;="&amp;$B174,BD!$M$3:$M$5001,"&lt;&gt;"))))</f>
        <v/>
      </c>
      <c r="M174" s="43" t="str">
        <f>IF(OR($B174="",$A174&gt;$B$9,M$149=""),"",IF(COUNTIFS(BD!$B$3:$B$5001,M$149,BD!$A$3:$A$5001,"&gt;="&amp;$C$7,BD!$A$3:$A$5001,"&lt;="&amp;$B174,BD!$M$3:$M$5001,"&lt;&gt;")=0,"",SUMIFS(BD!$M$3:$M$5001,BD!$B$3:$B$5001,M$149,BD!$A$3:$A$5001,_xlfn.MAXIFS(BD!$A$3:$A$5001,BD!$B$3:$B$5001,M$149,BD!$A$3:$A$5001,"&gt;="&amp;$C$7,BD!$A$3:$A$5001,"&lt;="&amp;$B174,BD!$M$3:$M$5001,"&lt;&gt;"))))</f>
        <v/>
      </c>
      <c r="N174" s="43" t="str">
        <f>IF(OR($B174="",$A174&gt;$B$9,N$149=""),"",IF(COUNTIFS(BD!$B$3:$B$5001,N$149,BD!$A$3:$A$5001,"&gt;="&amp;$C$7,BD!$A$3:$A$5001,"&lt;="&amp;$B174,BD!$M$3:$M$5001,"&lt;&gt;")=0,"",SUMIFS(BD!$M$3:$M$5001,BD!$B$3:$B$5001,N$149,BD!$A$3:$A$5001,_xlfn.MAXIFS(BD!$A$3:$A$5001,BD!$B$3:$B$5001,N$149,BD!$A$3:$A$5001,"&gt;="&amp;$C$7,BD!$A$3:$A$5001,"&lt;="&amp;$B174,BD!$M$3:$M$5001,"&lt;&gt;"))))</f>
        <v/>
      </c>
      <c r="O174" s="43" t="str">
        <f>IF(OR($B174="",$A174&gt;$B$9,O$149=""),"",IF(COUNTIFS(BD!$B$3:$B$5001,O$149,BD!$A$3:$A$5001,"&gt;="&amp;$C$7,BD!$A$3:$A$5001,"&lt;="&amp;$B174,BD!$M$3:$M$5001,"&lt;&gt;")=0,"",SUMIFS(BD!$M$3:$M$5001,BD!$B$3:$B$5001,O$149,BD!$A$3:$A$5001,_xlfn.MAXIFS(BD!$A$3:$A$5001,BD!$B$3:$B$5001,O$149,BD!$A$3:$A$5001,"&gt;="&amp;$C$7,BD!$A$3:$A$5001,"&lt;="&amp;$B174,BD!$M$3:$M$5001,"&lt;&gt;"))))</f>
        <v/>
      </c>
      <c r="P174" s="43" t="str">
        <f>IF(OR($B174="",$A174&gt;$B$9,P$149=""),"",IF(COUNTIFS(BD!$B$3:$B$5001,P$149,BD!$A$3:$A$5001,"&gt;="&amp;$C$7,BD!$A$3:$A$5001,"&lt;="&amp;$B174,BD!$M$3:$M$5001,"&lt;&gt;")=0,"",SUMIFS(BD!$M$3:$M$5001,BD!$B$3:$B$5001,P$149,BD!$A$3:$A$5001,_xlfn.MAXIFS(BD!$A$3:$A$5001,BD!$B$3:$B$5001,P$149,BD!$A$3:$A$5001,"&gt;="&amp;$C$7,BD!$A$3:$A$5001,"&lt;="&amp;$B174,BD!$M$3:$M$5001,"&lt;&gt;"))))</f>
        <v/>
      </c>
      <c r="Q174" s="43" t="str">
        <f>IF(OR($B174="",$A174&gt;$B$9,Q$149=""),"",IF(COUNTIFS(BD!$B$3:$B$5001,Q$149,BD!$A$3:$A$5001,"&gt;="&amp;$C$7,BD!$A$3:$A$5001,"&lt;="&amp;$B174,BD!$M$3:$M$5001,"&lt;&gt;")=0,"",SUMIFS(BD!$M$3:$M$5001,BD!$B$3:$B$5001,Q$149,BD!$A$3:$A$5001,_xlfn.MAXIFS(BD!$A$3:$A$5001,BD!$B$3:$B$5001,Q$149,BD!$A$3:$A$5001,"&gt;="&amp;$C$7,BD!$A$3:$A$5001,"&lt;="&amp;$B174,BD!$M$3:$M$5001,"&lt;&gt;"))))</f>
        <v/>
      </c>
      <c r="R174" s="43" t="str">
        <f>IF(OR($B174="",$A174&gt;$B$9,R$149=""),"",IF(COUNTIFS(BD!$B$3:$B$5001,R$149,BD!$A$3:$A$5001,"&gt;="&amp;$C$7,BD!$A$3:$A$5001,"&lt;="&amp;$B174,BD!$M$3:$M$5001,"&lt;&gt;")=0,"",SUMIFS(BD!$M$3:$M$5001,BD!$B$3:$B$5001,R$149,BD!$A$3:$A$5001,_xlfn.MAXIFS(BD!$A$3:$A$5001,BD!$B$3:$B$5001,R$149,BD!$A$3:$A$5001,"&gt;="&amp;$C$7,BD!$A$3:$A$5001,"&lt;="&amp;$B174,BD!$M$3:$M$5001,"&lt;&gt;"))))</f>
        <v/>
      </c>
      <c r="S174" s="43" t="str">
        <f>IF(OR($B174="",$A174&gt;$B$9,S$149=""),"",IF(COUNTIFS(BD!$B$3:$B$5001,S$149,BD!$A$3:$A$5001,"&gt;="&amp;$C$7,BD!$A$3:$A$5001,"&lt;="&amp;$B174,BD!$M$3:$M$5001,"&lt;&gt;")=0,"",SUMIFS(BD!$M$3:$M$5001,BD!$B$3:$B$5001,S$149,BD!$A$3:$A$5001,_xlfn.MAXIFS(BD!$A$3:$A$5001,BD!$B$3:$B$5001,S$149,BD!$A$3:$A$5001,"&gt;="&amp;$C$7,BD!$A$3:$A$5001,"&lt;="&amp;$B174,BD!$M$3:$M$5001,"&lt;&gt;"))))</f>
        <v/>
      </c>
      <c r="T174" s="43" t="str">
        <f>IF(OR($B174="",$A174&gt;$B$9,T$149=""),"",IF(COUNTIFS(BD!$B$3:$B$5001,T$149,BD!$A$3:$A$5001,"&gt;="&amp;$C$7,BD!$A$3:$A$5001,"&lt;="&amp;$B174,BD!$M$3:$M$5001,"&lt;&gt;")=0,"",SUMIFS(BD!$M$3:$M$5001,BD!$B$3:$B$5001,T$149,BD!$A$3:$A$5001,_xlfn.MAXIFS(BD!$A$3:$A$5001,BD!$B$3:$B$5001,T$149,BD!$A$3:$A$5001,"&gt;="&amp;$C$7,BD!$A$3:$A$5001,"&lt;="&amp;$B174,BD!$M$3:$M$5001,"&lt;&gt;"))))</f>
        <v/>
      </c>
      <c r="U174" s="43" t="str">
        <f>IF(OR($B174="",$A174&gt;$B$9,U$149=""),"",IF(COUNTIFS(BD!$B$3:$B$5001,U$149,BD!$A$3:$A$5001,"&gt;="&amp;$C$7,BD!$A$3:$A$5001,"&lt;="&amp;$B174,BD!$M$3:$M$5001,"&lt;&gt;")=0,"",SUMIFS(BD!$M$3:$M$5001,BD!$B$3:$B$5001,U$149,BD!$A$3:$A$5001,_xlfn.MAXIFS(BD!$A$3:$A$5001,BD!$B$3:$B$5001,U$149,BD!$A$3:$A$5001,"&gt;="&amp;$C$7,BD!$A$3:$A$5001,"&lt;="&amp;$B174,BD!$M$3:$M$5001,"&lt;&gt;"))))</f>
        <v/>
      </c>
      <c r="V174" s="43" t="str">
        <f>IF(OR($B174="",$A174&gt;$B$9,V$149=""),"",IF(COUNTIFS(BD!$B$3:$B$5001,V$149,BD!$A$3:$A$5001,"&gt;="&amp;$C$7,BD!$A$3:$A$5001,"&lt;="&amp;$B174,BD!$M$3:$M$5001,"&lt;&gt;")=0,"",SUMIFS(BD!$M$3:$M$5001,BD!$B$3:$B$5001,V$149,BD!$A$3:$A$5001,_xlfn.MAXIFS(BD!$A$3:$A$5001,BD!$B$3:$B$5001,V$149,BD!$A$3:$A$5001,"&gt;="&amp;$C$7,BD!$A$3:$A$5001,"&lt;="&amp;$B174,BD!$M$3:$M$5001,"&lt;&gt;"))))</f>
        <v/>
      </c>
    </row>
    <row r="175">
      <c r="A175" s="38">
        <v>26</v>
      </c>
      <c r="B175" s="42">
        <f>$B$37</f>
        <v>46321</v>
      </c>
      <c r="C175" s="43" t="str">
        <f>IF(OR($B175="",$A175&gt;$B$9,C$149=""),"",IF(COUNTIFS(BD!$B$3:$B$5001,C$149,BD!$A$3:$A$5001,"&gt;="&amp;$C$7,BD!$A$3:$A$5001,"&lt;="&amp;$B175,BD!$M$3:$M$5001,"&lt;&gt;")=0,"",SUMIFS(BD!$M$3:$M$5001,BD!$B$3:$B$5001,C$149,BD!$A$3:$A$5001,_xlfn.MAXIFS(BD!$A$3:$A$5001,BD!$B$3:$B$5001,C$149,BD!$A$3:$A$5001,"&gt;="&amp;$C$7,BD!$A$3:$A$5001,"&lt;="&amp;$B175,BD!$M$3:$M$5001,"&lt;&gt;"))))</f>
        <v/>
      </c>
      <c r="D175" s="43" t="str">
        <f>IF(OR($B175="",$A175&gt;$B$9,D$149=""),"",IF(COUNTIFS(BD!$B$3:$B$5001,D$149,BD!$A$3:$A$5001,"&gt;="&amp;$C$7,BD!$A$3:$A$5001,"&lt;="&amp;$B175,BD!$M$3:$M$5001,"&lt;&gt;")=0,"",SUMIFS(BD!$M$3:$M$5001,BD!$B$3:$B$5001,D$149,BD!$A$3:$A$5001,_xlfn.MAXIFS(BD!$A$3:$A$5001,BD!$B$3:$B$5001,D$149,BD!$A$3:$A$5001,"&gt;="&amp;$C$7,BD!$A$3:$A$5001,"&lt;="&amp;$B175,BD!$M$3:$M$5001,"&lt;&gt;"))))</f>
        <v/>
      </c>
      <c r="E175" s="43" t="str">
        <f>IF(OR($B175="",$A175&gt;$B$9,E$149=""),"",IF(COUNTIFS(BD!$B$3:$B$5001,E$149,BD!$A$3:$A$5001,"&gt;="&amp;$C$7,BD!$A$3:$A$5001,"&lt;="&amp;$B175,BD!$M$3:$M$5001,"&lt;&gt;")=0,"",SUMIFS(BD!$M$3:$M$5001,BD!$B$3:$B$5001,E$149,BD!$A$3:$A$5001,_xlfn.MAXIFS(BD!$A$3:$A$5001,BD!$B$3:$B$5001,E$149,BD!$A$3:$A$5001,"&gt;="&amp;$C$7,BD!$A$3:$A$5001,"&lt;="&amp;$B175,BD!$M$3:$M$5001,"&lt;&gt;"))))</f>
        <v/>
      </c>
      <c r="F175" s="43" t="str">
        <f>IF(OR($B175="",$A175&gt;$B$9,F$149=""),"",IF(COUNTIFS(BD!$B$3:$B$5001,F$149,BD!$A$3:$A$5001,"&gt;="&amp;$C$7,BD!$A$3:$A$5001,"&lt;="&amp;$B175,BD!$M$3:$M$5001,"&lt;&gt;")=0,"",SUMIFS(BD!$M$3:$M$5001,BD!$B$3:$B$5001,F$149,BD!$A$3:$A$5001,_xlfn.MAXIFS(BD!$A$3:$A$5001,BD!$B$3:$B$5001,F$149,BD!$A$3:$A$5001,"&gt;="&amp;$C$7,BD!$A$3:$A$5001,"&lt;="&amp;$B175,BD!$M$3:$M$5001,"&lt;&gt;"))))</f>
        <v/>
      </c>
      <c r="G175" s="43" t="str">
        <f>IF(OR($B175="",$A175&gt;$B$9,G$149=""),"",IF(COUNTIFS(BD!$B$3:$B$5001,G$149,BD!$A$3:$A$5001,"&gt;="&amp;$C$7,BD!$A$3:$A$5001,"&lt;="&amp;$B175,BD!$M$3:$M$5001,"&lt;&gt;")=0,"",SUMIFS(BD!$M$3:$M$5001,BD!$B$3:$B$5001,G$149,BD!$A$3:$A$5001,_xlfn.MAXIFS(BD!$A$3:$A$5001,BD!$B$3:$B$5001,G$149,BD!$A$3:$A$5001,"&gt;="&amp;$C$7,BD!$A$3:$A$5001,"&lt;="&amp;$B175,BD!$M$3:$M$5001,"&lt;&gt;"))))</f>
        <v/>
      </c>
      <c r="H175" s="43" t="str">
        <f>IF(OR($B175="",$A175&gt;$B$9,H$149=""),"",IF(COUNTIFS(BD!$B$3:$B$5001,H$149,BD!$A$3:$A$5001,"&gt;="&amp;$C$7,BD!$A$3:$A$5001,"&lt;="&amp;$B175,BD!$M$3:$M$5001,"&lt;&gt;")=0,"",SUMIFS(BD!$M$3:$M$5001,BD!$B$3:$B$5001,H$149,BD!$A$3:$A$5001,_xlfn.MAXIFS(BD!$A$3:$A$5001,BD!$B$3:$B$5001,H$149,BD!$A$3:$A$5001,"&gt;="&amp;$C$7,BD!$A$3:$A$5001,"&lt;="&amp;$B175,BD!$M$3:$M$5001,"&lt;&gt;"))))</f>
        <v/>
      </c>
      <c r="I175" s="43" t="str">
        <f>IF(OR($B175="",$A175&gt;$B$9,I$149=""),"",IF(COUNTIFS(BD!$B$3:$B$5001,I$149,BD!$A$3:$A$5001,"&gt;="&amp;$C$7,BD!$A$3:$A$5001,"&lt;="&amp;$B175,BD!$M$3:$M$5001,"&lt;&gt;")=0,"",SUMIFS(BD!$M$3:$M$5001,BD!$B$3:$B$5001,I$149,BD!$A$3:$A$5001,_xlfn.MAXIFS(BD!$A$3:$A$5001,BD!$B$3:$B$5001,I$149,BD!$A$3:$A$5001,"&gt;="&amp;$C$7,BD!$A$3:$A$5001,"&lt;="&amp;$B175,BD!$M$3:$M$5001,"&lt;&gt;"))))</f>
        <v/>
      </c>
      <c r="J175" s="43" t="str">
        <f>IF(OR($B175="",$A175&gt;$B$9,J$149=""),"",IF(COUNTIFS(BD!$B$3:$B$5001,J$149,BD!$A$3:$A$5001,"&gt;="&amp;$C$7,BD!$A$3:$A$5001,"&lt;="&amp;$B175,BD!$M$3:$M$5001,"&lt;&gt;")=0,"",SUMIFS(BD!$M$3:$M$5001,BD!$B$3:$B$5001,J$149,BD!$A$3:$A$5001,_xlfn.MAXIFS(BD!$A$3:$A$5001,BD!$B$3:$B$5001,J$149,BD!$A$3:$A$5001,"&gt;="&amp;$C$7,BD!$A$3:$A$5001,"&lt;="&amp;$B175,BD!$M$3:$M$5001,"&lt;&gt;"))))</f>
        <v/>
      </c>
      <c r="K175" s="43" t="str">
        <f>IF(OR($B175="",$A175&gt;$B$9,K$149=""),"",IF(COUNTIFS(BD!$B$3:$B$5001,K$149,BD!$A$3:$A$5001,"&gt;="&amp;$C$7,BD!$A$3:$A$5001,"&lt;="&amp;$B175,BD!$M$3:$M$5001,"&lt;&gt;")=0,"",SUMIFS(BD!$M$3:$M$5001,BD!$B$3:$B$5001,K$149,BD!$A$3:$A$5001,_xlfn.MAXIFS(BD!$A$3:$A$5001,BD!$B$3:$B$5001,K$149,BD!$A$3:$A$5001,"&gt;="&amp;$C$7,BD!$A$3:$A$5001,"&lt;="&amp;$B175,BD!$M$3:$M$5001,"&lt;&gt;"))))</f>
        <v/>
      </c>
      <c r="L175" s="43" t="str">
        <f>IF(OR($B175="",$A175&gt;$B$9,L$149=""),"",IF(COUNTIFS(BD!$B$3:$B$5001,L$149,BD!$A$3:$A$5001,"&gt;="&amp;$C$7,BD!$A$3:$A$5001,"&lt;="&amp;$B175,BD!$M$3:$M$5001,"&lt;&gt;")=0,"",SUMIFS(BD!$M$3:$M$5001,BD!$B$3:$B$5001,L$149,BD!$A$3:$A$5001,_xlfn.MAXIFS(BD!$A$3:$A$5001,BD!$B$3:$B$5001,L$149,BD!$A$3:$A$5001,"&gt;="&amp;$C$7,BD!$A$3:$A$5001,"&lt;="&amp;$B175,BD!$M$3:$M$5001,"&lt;&gt;"))))</f>
        <v/>
      </c>
      <c r="M175" s="43" t="str">
        <f>IF(OR($B175="",$A175&gt;$B$9,M$149=""),"",IF(COUNTIFS(BD!$B$3:$B$5001,M$149,BD!$A$3:$A$5001,"&gt;="&amp;$C$7,BD!$A$3:$A$5001,"&lt;="&amp;$B175,BD!$M$3:$M$5001,"&lt;&gt;")=0,"",SUMIFS(BD!$M$3:$M$5001,BD!$B$3:$B$5001,M$149,BD!$A$3:$A$5001,_xlfn.MAXIFS(BD!$A$3:$A$5001,BD!$B$3:$B$5001,M$149,BD!$A$3:$A$5001,"&gt;="&amp;$C$7,BD!$A$3:$A$5001,"&lt;="&amp;$B175,BD!$M$3:$M$5001,"&lt;&gt;"))))</f>
        <v/>
      </c>
      <c r="N175" s="43" t="str">
        <f>IF(OR($B175="",$A175&gt;$B$9,N$149=""),"",IF(COUNTIFS(BD!$B$3:$B$5001,N$149,BD!$A$3:$A$5001,"&gt;="&amp;$C$7,BD!$A$3:$A$5001,"&lt;="&amp;$B175,BD!$M$3:$M$5001,"&lt;&gt;")=0,"",SUMIFS(BD!$M$3:$M$5001,BD!$B$3:$B$5001,N$149,BD!$A$3:$A$5001,_xlfn.MAXIFS(BD!$A$3:$A$5001,BD!$B$3:$B$5001,N$149,BD!$A$3:$A$5001,"&gt;="&amp;$C$7,BD!$A$3:$A$5001,"&lt;="&amp;$B175,BD!$M$3:$M$5001,"&lt;&gt;"))))</f>
        <v/>
      </c>
      <c r="O175" s="43" t="str">
        <f>IF(OR($B175="",$A175&gt;$B$9,O$149=""),"",IF(COUNTIFS(BD!$B$3:$B$5001,O$149,BD!$A$3:$A$5001,"&gt;="&amp;$C$7,BD!$A$3:$A$5001,"&lt;="&amp;$B175,BD!$M$3:$M$5001,"&lt;&gt;")=0,"",SUMIFS(BD!$M$3:$M$5001,BD!$B$3:$B$5001,O$149,BD!$A$3:$A$5001,_xlfn.MAXIFS(BD!$A$3:$A$5001,BD!$B$3:$B$5001,O$149,BD!$A$3:$A$5001,"&gt;="&amp;$C$7,BD!$A$3:$A$5001,"&lt;="&amp;$B175,BD!$M$3:$M$5001,"&lt;&gt;"))))</f>
        <v/>
      </c>
      <c r="P175" s="43" t="str">
        <f>IF(OR($B175="",$A175&gt;$B$9,P$149=""),"",IF(COUNTIFS(BD!$B$3:$B$5001,P$149,BD!$A$3:$A$5001,"&gt;="&amp;$C$7,BD!$A$3:$A$5001,"&lt;="&amp;$B175,BD!$M$3:$M$5001,"&lt;&gt;")=0,"",SUMIFS(BD!$M$3:$M$5001,BD!$B$3:$B$5001,P$149,BD!$A$3:$A$5001,_xlfn.MAXIFS(BD!$A$3:$A$5001,BD!$B$3:$B$5001,P$149,BD!$A$3:$A$5001,"&gt;="&amp;$C$7,BD!$A$3:$A$5001,"&lt;="&amp;$B175,BD!$M$3:$M$5001,"&lt;&gt;"))))</f>
        <v/>
      </c>
      <c r="Q175" s="43" t="str">
        <f>IF(OR($B175="",$A175&gt;$B$9,Q$149=""),"",IF(COUNTIFS(BD!$B$3:$B$5001,Q$149,BD!$A$3:$A$5001,"&gt;="&amp;$C$7,BD!$A$3:$A$5001,"&lt;="&amp;$B175,BD!$M$3:$M$5001,"&lt;&gt;")=0,"",SUMIFS(BD!$M$3:$M$5001,BD!$B$3:$B$5001,Q$149,BD!$A$3:$A$5001,_xlfn.MAXIFS(BD!$A$3:$A$5001,BD!$B$3:$B$5001,Q$149,BD!$A$3:$A$5001,"&gt;="&amp;$C$7,BD!$A$3:$A$5001,"&lt;="&amp;$B175,BD!$M$3:$M$5001,"&lt;&gt;"))))</f>
        <v/>
      </c>
      <c r="R175" s="43" t="str">
        <f>IF(OR($B175="",$A175&gt;$B$9,R$149=""),"",IF(COUNTIFS(BD!$B$3:$B$5001,R$149,BD!$A$3:$A$5001,"&gt;="&amp;$C$7,BD!$A$3:$A$5001,"&lt;="&amp;$B175,BD!$M$3:$M$5001,"&lt;&gt;")=0,"",SUMIFS(BD!$M$3:$M$5001,BD!$B$3:$B$5001,R$149,BD!$A$3:$A$5001,_xlfn.MAXIFS(BD!$A$3:$A$5001,BD!$B$3:$B$5001,R$149,BD!$A$3:$A$5001,"&gt;="&amp;$C$7,BD!$A$3:$A$5001,"&lt;="&amp;$B175,BD!$M$3:$M$5001,"&lt;&gt;"))))</f>
        <v/>
      </c>
      <c r="S175" s="43" t="str">
        <f>IF(OR($B175="",$A175&gt;$B$9,S$149=""),"",IF(COUNTIFS(BD!$B$3:$B$5001,S$149,BD!$A$3:$A$5001,"&gt;="&amp;$C$7,BD!$A$3:$A$5001,"&lt;="&amp;$B175,BD!$M$3:$M$5001,"&lt;&gt;")=0,"",SUMIFS(BD!$M$3:$M$5001,BD!$B$3:$B$5001,S$149,BD!$A$3:$A$5001,_xlfn.MAXIFS(BD!$A$3:$A$5001,BD!$B$3:$B$5001,S$149,BD!$A$3:$A$5001,"&gt;="&amp;$C$7,BD!$A$3:$A$5001,"&lt;="&amp;$B175,BD!$M$3:$M$5001,"&lt;&gt;"))))</f>
        <v/>
      </c>
      <c r="T175" s="43" t="str">
        <f>IF(OR($B175="",$A175&gt;$B$9,T$149=""),"",IF(COUNTIFS(BD!$B$3:$B$5001,T$149,BD!$A$3:$A$5001,"&gt;="&amp;$C$7,BD!$A$3:$A$5001,"&lt;="&amp;$B175,BD!$M$3:$M$5001,"&lt;&gt;")=0,"",SUMIFS(BD!$M$3:$M$5001,BD!$B$3:$B$5001,T$149,BD!$A$3:$A$5001,_xlfn.MAXIFS(BD!$A$3:$A$5001,BD!$B$3:$B$5001,T$149,BD!$A$3:$A$5001,"&gt;="&amp;$C$7,BD!$A$3:$A$5001,"&lt;="&amp;$B175,BD!$M$3:$M$5001,"&lt;&gt;"))))</f>
        <v/>
      </c>
      <c r="U175" s="43" t="str">
        <f>IF(OR($B175="",$A175&gt;$B$9,U$149=""),"",IF(COUNTIFS(BD!$B$3:$B$5001,U$149,BD!$A$3:$A$5001,"&gt;="&amp;$C$7,BD!$A$3:$A$5001,"&lt;="&amp;$B175,BD!$M$3:$M$5001,"&lt;&gt;")=0,"",SUMIFS(BD!$M$3:$M$5001,BD!$B$3:$B$5001,U$149,BD!$A$3:$A$5001,_xlfn.MAXIFS(BD!$A$3:$A$5001,BD!$B$3:$B$5001,U$149,BD!$A$3:$A$5001,"&gt;="&amp;$C$7,BD!$A$3:$A$5001,"&lt;="&amp;$B175,BD!$M$3:$M$5001,"&lt;&gt;"))))</f>
        <v/>
      </c>
      <c r="V175" s="43" t="str">
        <f>IF(OR($B175="",$A175&gt;$B$9,V$149=""),"",IF(COUNTIFS(BD!$B$3:$B$5001,V$149,BD!$A$3:$A$5001,"&gt;="&amp;$C$7,BD!$A$3:$A$5001,"&lt;="&amp;$B175,BD!$M$3:$M$5001,"&lt;&gt;")=0,"",SUMIFS(BD!$M$3:$M$5001,BD!$B$3:$B$5001,V$149,BD!$A$3:$A$5001,_xlfn.MAXIFS(BD!$A$3:$A$5001,BD!$B$3:$B$5001,V$149,BD!$A$3:$A$5001,"&gt;="&amp;$C$7,BD!$A$3:$A$5001,"&lt;="&amp;$B175,BD!$M$3:$M$5001,"&lt;&gt;"))))</f>
        <v/>
      </c>
    </row>
    <row r="176">
      <c r="A176" s="38">
        <v>27</v>
      </c>
      <c r="B176" s="42">
        <f>$B$38</f>
        <v>46322</v>
      </c>
      <c r="C176" s="43" t="str">
        <f>IF(OR($B176="",$A176&gt;$B$9,C$149=""),"",IF(COUNTIFS(BD!$B$3:$B$5001,C$149,BD!$A$3:$A$5001,"&gt;="&amp;$C$7,BD!$A$3:$A$5001,"&lt;="&amp;$B176,BD!$M$3:$M$5001,"&lt;&gt;")=0,"",SUMIFS(BD!$M$3:$M$5001,BD!$B$3:$B$5001,C$149,BD!$A$3:$A$5001,_xlfn.MAXIFS(BD!$A$3:$A$5001,BD!$B$3:$B$5001,C$149,BD!$A$3:$A$5001,"&gt;="&amp;$C$7,BD!$A$3:$A$5001,"&lt;="&amp;$B176,BD!$M$3:$M$5001,"&lt;&gt;"))))</f>
        <v/>
      </c>
      <c r="D176" s="43" t="str">
        <f>IF(OR($B176="",$A176&gt;$B$9,D$149=""),"",IF(COUNTIFS(BD!$B$3:$B$5001,D$149,BD!$A$3:$A$5001,"&gt;="&amp;$C$7,BD!$A$3:$A$5001,"&lt;="&amp;$B176,BD!$M$3:$M$5001,"&lt;&gt;")=0,"",SUMIFS(BD!$M$3:$M$5001,BD!$B$3:$B$5001,D$149,BD!$A$3:$A$5001,_xlfn.MAXIFS(BD!$A$3:$A$5001,BD!$B$3:$B$5001,D$149,BD!$A$3:$A$5001,"&gt;="&amp;$C$7,BD!$A$3:$A$5001,"&lt;="&amp;$B176,BD!$M$3:$M$5001,"&lt;&gt;"))))</f>
        <v/>
      </c>
      <c r="E176" s="43" t="str">
        <f>IF(OR($B176="",$A176&gt;$B$9,E$149=""),"",IF(COUNTIFS(BD!$B$3:$B$5001,E$149,BD!$A$3:$A$5001,"&gt;="&amp;$C$7,BD!$A$3:$A$5001,"&lt;="&amp;$B176,BD!$M$3:$M$5001,"&lt;&gt;")=0,"",SUMIFS(BD!$M$3:$M$5001,BD!$B$3:$B$5001,E$149,BD!$A$3:$A$5001,_xlfn.MAXIFS(BD!$A$3:$A$5001,BD!$B$3:$B$5001,E$149,BD!$A$3:$A$5001,"&gt;="&amp;$C$7,BD!$A$3:$A$5001,"&lt;="&amp;$B176,BD!$M$3:$M$5001,"&lt;&gt;"))))</f>
        <v/>
      </c>
      <c r="F176" s="43" t="str">
        <f>IF(OR($B176="",$A176&gt;$B$9,F$149=""),"",IF(COUNTIFS(BD!$B$3:$B$5001,F$149,BD!$A$3:$A$5001,"&gt;="&amp;$C$7,BD!$A$3:$A$5001,"&lt;="&amp;$B176,BD!$M$3:$M$5001,"&lt;&gt;")=0,"",SUMIFS(BD!$M$3:$M$5001,BD!$B$3:$B$5001,F$149,BD!$A$3:$A$5001,_xlfn.MAXIFS(BD!$A$3:$A$5001,BD!$B$3:$B$5001,F$149,BD!$A$3:$A$5001,"&gt;="&amp;$C$7,BD!$A$3:$A$5001,"&lt;="&amp;$B176,BD!$M$3:$M$5001,"&lt;&gt;"))))</f>
        <v/>
      </c>
      <c r="G176" s="43" t="str">
        <f>IF(OR($B176="",$A176&gt;$B$9,G$149=""),"",IF(COUNTIFS(BD!$B$3:$B$5001,G$149,BD!$A$3:$A$5001,"&gt;="&amp;$C$7,BD!$A$3:$A$5001,"&lt;="&amp;$B176,BD!$M$3:$M$5001,"&lt;&gt;")=0,"",SUMIFS(BD!$M$3:$M$5001,BD!$B$3:$B$5001,G$149,BD!$A$3:$A$5001,_xlfn.MAXIFS(BD!$A$3:$A$5001,BD!$B$3:$B$5001,G$149,BD!$A$3:$A$5001,"&gt;="&amp;$C$7,BD!$A$3:$A$5001,"&lt;="&amp;$B176,BD!$M$3:$M$5001,"&lt;&gt;"))))</f>
        <v/>
      </c>
      <c r="H176" s="43" t="str">
        <f>IF(OR($B176="",$A176&gt;$B$9,H$149=""),"",IF(COUNTIFS(BD!$B$3:$B$5001,H$149,BD!$A$3:$A$5001,"&gt;="&amp;$C$7,BD!$A$3:$A$5001,"&lt;="&amp;$B176,BD!$M$3:$M$5001,"&lt;&gt;")=0,"",SUMIFS(BD!$M$3:$M$5001,BD!$B$3:$B$5001,H$149,BD!$A$3:$A$5001,_xlfn.MAXIFS(BD!$A$3:$A$5001,BD!$B$3:$B$5001,H$149,BD!$A$3:$A$5001,"&gt;="&amp;$C$7,BD!$A$3:$A$5001,"&lt;="&amp;$B176,BD!$M$3:$M$5001,"&lt;&gt;"))))</f>
        <v/>
      </c>
      <c r="I176" s="43" t="str">
        <f>IF(OR($B176="",$A176&gt;$B$9,I$149=""),"",IF(COUNTIFS(BD!$B$3:$B$5001,I$149,BD!$A$3:$A$5001,"&gt;="&amp;$C$7,BD!$A$3:$A$5001,"&lt;="&amp;$B176,BD!$M$3:$M$5001,"&lt;&gt;")=0,"",SUMIFS(BD!$M$3:$M$5001,BD!$B$3:$B$5001,I$149,BD!$A$3:$A$5001,_xlfn.MAXIFS(BD!$A$3:$A$5001,BD!$B$3:$B$5001,I$149,BD!$A$3:$A$5001,"&gt;="&amp;$C$7,BD!$A$3:$A$5001,"&lt;="&amp;$B176,BD!$M$3:$M$5001,"&lt;&gt;"))))</f>
        <v/>
      </c>
      <c r="J176" s="43" t="str">
        <f>IF(OR($B176="",$A176&gt;$B$9,J$149=""),"",IF(COUNTIFS(BD!$B$3:$B$5001,J$149,BD!$A$3:$A$5001,"&gt;="&amp;$C$7,BD!$A$3:$A$5001,"&lt;="&amp;$B176,BD!$M$3:$M$5001,"&lt;&gt;")=0,"",SUMIFS(BD!$M$3:$M$5001,BD!$B$3:$B$5001,J$149,BD!$A$3:$A$5001,_xlfn.MAXIFS(BD!$A$3:$A$5001,BD!$B$3:$B$5001,J$149,BD!$A$3:$A$5001,"&gt;="&amp;$C$7,BD!$A$3:$A$5001,"&lt;="&amp;$B176,BD!$M$3:$M$5001,"&lt;&gt;"))))</f>
        <v/>
      </c>
      <c r="K176" s="43" t="str">
        <f>IF(OR($B176="",$A176&gt;$B$9,K$149=""),"",IF(COUNTIFS(BD!$B$3:$B$5001,K$149,BD!$A$3:$A$5001,"&gt;="&amp;$C$7,BD!$A$3:$A$5001,"&lt;="&amp;$B176,BD!$M$3:$M$5001,"&lt;&gt;")=0,"",SUMIFS(BD!$M$3:$M$5001,BD!$B$3:$B$5001,K$149,BD!$A$3:$A$5001,_xlfn.MAXIFS(BD!$A$3:$A$5001,BD!$B$3:$B$5001,K$149,BD!$A$3:$A$5001,"&gt;="&amp;$C$7,BD!$A$3:$A$5001,"&lt;="&amp;$B176,BD!$M$3:$M$5001,"&lt;&gt;"))))</f>
        <v/>
      </c>
      <c r="L176" s="43" t="str">
        <f>IF(OR($B176="",$A176&gt;$B$9,L$149=""),"",IF(COUNTIFS(BD!$B$3:$B$5001,L$149,BD!$A$3:$A$5001,"&gt;="&amp;$C$7,BD!$A$3:$A$5001,"&lt;="&amp;$B176,BD!$M$3:$M$5001,"&lt;&gt;")=0,"",SUMIFS(BD!$M$3:$M$5001,BD!$B$3:$B$5001,L$149,BD!$A$3:$A$5001,_xlfn.MAXIFS(BD!$A$3:$A$5001,BD!$B$3:$B$5001,L$149,BD!$A$3:$A$5001,"&gt;="&amp;$C$7,BD!$A$3:$A$5001,"&lt;="&amp;$B176,BD!$M$3:$M$5001,"&lt;&gt;"))))</f>
        <v/>
      </c>
      <c r="M176" s="43" t="str">
        <f>IF(OR($B176="",$A176&gt;$B$9,M$149=""),"",IF(COUNTIFS(BD!$B$3:$B$5001,M$149,BD!$A$3:$A$5001,"&gt;="&amp;$C$7,BD!$A$3:$A$5001,"&lt;="&amp;$B176,BD!$M$3:$M$5001,"&lt;&gt;")=0,"",SUMIFS(BD!$M$3:$M$5001,BD!$B$3:$B$5001,M$149,BD!$A$3:$A$5001,_xlfn.MAXIFS(BD!$A$3:$A$5001,BD!$B$3:$B$5001,M$149,BD!$A$3:$A$5001,"&gt;="&amp;$C$7,BD!$A$3:$A$5001,"&lt;="&amp;$B176,BD!$M$3:$M$5001,"&lt;&gt;"))))</f>
        <v/>
      </c>
      <c r="N176" s="43" t="str">
        <f>IF(OR($B176="",$A176&gt;$B$9,N$149=""),"",IF(COUNTIFS(BD!$B$3:$B$5001,N$149,BD!$A$3:$A$5001,"&gt;="&amp;$C$7,BD!$A$3:$A$5001,"&lt;="&amp;$B176,BD!$M$3:$M$5001,"&lt;&gt;")=0,"",SUMIFS(BD!$M$3:$M$5001,BD!$B$3:$B$5001,N$149,BD!$A$3:$A$5001,_xlfn.MAXIFS(BD!$A$3:$A$5001,BD!$B$3:$B$5001,N$149,BD!$A$3:$A$5001,"&gt;="&amp;$C$7,BD!$A$3:$A$5001,"&lt;="&amp;$B176,BD!$M$3:$M$5001,"&lt;&gt;"))))</f>
        <v/>
      </c>
      <c r="O176" s="43" t="str">
        <f>IF(OR($B176="",$A176&gt;$B$9,O$149=""),"",IF(COUNTIFS(BD!$B$3:$B$5001,O$149,BD!$A$3:$A$5001,"&gt;="&amp;$C$7,BD!$A$3:$A$5001,"&lt;="&amp;$B176,BD!$M$3:$M$5001,"&lt;&gt;")=0,"",SUMIFS(BD!$M$3:$M$5001,BD!$B$3:$B$5001,O$149,BD!$A$3:$A$5001,_xlfn.MAXIFS(BD!$A$3:$A$5001,BD!$B$3:$B$5001,O$149,BD!$A$3:$A$5001,"&gt;="&amp;$C$7,BD!$A$3:$A$5001,"&lt;="&amp;$B176,BD!$M$3:$M$5001,"&lt;&gt;"))))</f>
        <v/>
      </c>
      <c r="P176" s="43" t="str">
        <f>IF(OR($B176="",$A176&gt;$B$9,P$149=""),"",IF(COUNTIFS(BD!$B$3:$B$5001,P$149,BD!$A$3:$A$5001,"&gt;="&amp;$C$7,BD!$A$3:$A$5001,"&lt;="&amp;$B176,BD!$M$3:$M$5001,"&lt;&gt;")=0,"",SUMIFS(BD!$M$3:$M$5001,BD!$B$3:$B$5001,P$149,BD!$A$3:$A$5001,_xlfn.MAXIFS(BD!$A$3:$A$5001,BD!$B$3:$B$5001,P$149,BD!$A$3:$A$5001,"&gt;="&amp;$C$7,BD!$A$3:$A$5001,"&lt;="&amp;$B176,BD!$M$3:$M$5001,"&lt;&gt;"))))</f>
        <v/>
      </c>
      <c r="Q176" s="43" t="str">
        <f>IF(OR($B176="",$A176&gt;$B$9,Q$149=""),"",IF(COUNTIFS(BD!$B$3:$B$5001,Q$149,BD!$A$3:$A$5001,"&gt;="&amp;$C$7,BD!$A$3:$A$5001,"&lt;="&amp;$B176,BD!$M$3:$M$5001,"&lt;&gt;")=0,"",SUMIFS(BD!$M$3:$M$5001,BD!$B$3:$B$5001,Q$149,BD!$A$3:$A$5001,_xlfn.MAXIFS(BD!$A$3:$A$5001,BD!$B$3:$B$5001,Q$149,BD!$A$3:$A$5001,"&gt;="&amp;$C$7,BD!$A$3:$A$5001,"&lt;="&amp;$B176,BD!$M$3:$M$5001,"&lt;&gt;"))))</f>
        <v/>
      </c>
      <c r="R176" s="43" t="str">
        <f>IF(OR($B176="",$A176&gt;$B$9,R$149=""),"",IF(COUNTIFS(BD!$B$3:$B$5001,R$149,BD!$A$3:$A$5001,"&gt;="&amp;$C$7,BD!$A$3:$A$5001,"&lt;="&amp;$B176,BD!$M$3:$M$5001,"&lt;&gt;")=0,"",SUMIFS(BD!$M$3:$M$5001,BD!$B$3:$B$5001,R$149,BD!$A$3:$A$5001,_xlfn.MAXIFS(BD!$A$3:$A$5001,BD!$B$3:$B$5001,R$149,BD!$A$3:$A$5001,"&gt;="&amp;$C$7,BD!$A$3:$A$5001,"&lt;="&amp;$B176,BD!$M$3:$M$5001,"&lt;&gt;"))))</f>
        <v/>
      </c>
      <c r="S176" s="43" t="str">
        <f>IF(OR($B176="",$A176&gt;$B$9,S$149=""),"",IF(COUNTIFS(BD!$B$3:$B$5001,S$149,BD!$A$3:$A$5001,"&gt;="&amp;$C$7,BD!$A$3:$A$5001,"&lt;="&amp;$B176,BD!$M$3:$M$5001,"&lt;&gt;")=0,"",SUMIFS(BD!$M$3:$M$5001,BD!$B$3:$B$5001,S$149,BD!$A$3:$A$5001,_xlfn.MAXIFS(BD!$A$3:$A$5001,BD!$B$3:$B$5001,S$149,BD!$A$3:$A$5001,"&gt;="&amp;$C$7,BD!$A$3:$A$5001,"&lt;="&amp;$B176,BD!$M$3:$M$5001,"&lt;&gt;"))))</f>
        <v/>
      </c>
      <c r="T176" s="43" t="str">
        <f>IF(OR($B176="",$A176&gt;$B$9,T$149=""),"",IF(COUNTIFS(BD!$B$3:$B$5001,T$149,BD!$A$3:$A$5001,"&gt;="&amp;$C$7,BD!$A$3:$A$5001,"&lt;="&amp;$B176,BD!$M$3:$M$5001,"&lt;&gt;")=0,"",SUMIFS(BD!$M$3:$M$5001,BD!$B$3:$B$5001,T$149,BD!$A$3:$A$5001,_xlfn.MAXIFS(BD!$A$3:$A$5001,BD!$B$3:$B$5001,T$149,BD!$A$3:$A$5001,"&gt;="&amp;$C$7,BD!$A$3:$A$5001,"&lt;="&amp;$B176,BD!$M$3:$M$5001,"&lt;&gt;"))))</f>
        <v/>
      </c>
      <c r="U176" s="43" t="str">
        <f>IF(OR($B176="",$A176&gt;$B$9,U$149=""),"",IF(COUNTIFS(BD!$B$3:$B$5001,U$149,BD!$A$3:$A$5001,"&gt;="&amp;$C$7,BD!$A$3:$A$5001,"&lt;="&amp;$B176,BD!$M$3:$M$5001,"&lt;&gt;")=0,"",SUMIFS(BD!$M$3:$M$5001,BD!$B$3:$B$5001,U$149,BD!$A$3:$A$5001,_xlfn.MAXIFS(BD!$A$3:$A$5001,BD!$B$3:$B$5001,U$149,BD!$A$3:$A$5001,"&gt;="&amp;$C$7,BD!$A$3:$A$5001,"&lt;="&amp;$B176,BD!$M$3:$M$5001,"&lt;&gt;"))))</f>
        <v/>
      </c>
      <c r="V176" s="43" t="str">
        <f>IF(OR($B176="",$A176&gt;$B$9,V$149=""),"",IF(COUNTIFS(BD!$B$3:$B$5001,V$149,BD!$A$3:$A$5001,"&gt;="&amp;$C$7,BD!$A$3:$A$5001,"&lt;="&amp;$B176,BD!$M$3:$M$5001,"&lt;&gt;")=0,"",SUMIFS(BD!$M$3:$M$5001,BD!$B$3:$B$5001,V$149,BD!$A$3:$A$5001,_xlfn.MAXIFS(BD!$A$3:$A$5001,BD!$B$3:$B$5001,V$149,BD!$A$3:$A$5001,"&gt;="&amp;$C$7,BD!$A$3:$A$5001,"&lt;="&amp;$B176,BD!$M$3:$M$5001,"&lt;&gt;"))))</f>
        <v/>
      </c>
    </row>
    <row r="177">
      <c r="A177" s="38">
        <v>28</v>
      </c>
      <c r="B177" s="42">
        <f>$B$39</f>
        <v>46323</v>
      </c>
      <c r="C177" s="43" t="str">
        <f>IF(OR($B177="",$A177&gt;$B$9,C$149=""),"",IF(COUNTIFS(BD!$B$3:$B$5001,C$149,BD!$A$3:$A$5001,"&gt;="&amp;$C$7,BD!$A$3:$A$5001,"&lt;="&amp;$B177,BD!$M$3:$M$5001,"&lt;&gt;")=0,"",SUMIFS(BD!$M$3:$M$5001,BD!$B$3:$B$5001,C$149,BD!$A$3:$A$5001,_xlfn.MAXIFS(BD!$A$3:$A$5001,BD!$B$3:$B$5001,C$149,BD!$A$3:$A$5001,"&gt;="&amp;$C$7,BD!$A$3:$A$5001,"&lt;="&amp;$B177,BD!$M$3:$M$5001,"&lt;&gt;"))))</f>
        <v/>
      </c>
      <c r="D177" s="43" t="str">
        <f>IF(OR($B177="",$A177&gt;$B$9,D$149=""),"",IF(COUNTIFS(BD!$B$3:$B$5001,D$149,BD!$A$3:$A$5001,"&gt;="&amp;$C$7,BD!$A$3:$A$5001,"&lt;="&amp;$B177,BD!$M$3:$M$5001,"&lt;&gt;")=0,"",SUMIFS(BD!$M$3:$M$5001,BD!$B$3:$B$5001,D$149,BD!$A$3:$A$5001,_xlfn.MAXIFS(BD!$A$3:$A$5001,BD!$B$3:$B$5001,D$149,BD!$A$3:$A$5001,"&gt;="&amp;$C$7,BD!$A$3:$A$5001,"&lt;="&amp;$B177,BD!$M$3:$M$5001,"&lt;&gt;"))))</f>
        <v/>
      </c>
      <c r="E177" s="43" t="str">
        <f>IF(OR($B177="",$A177&gt;$B$9,E$149=""),"",IF(COUNTIFS(BD!$B$3:$B$5001,E$149,BD!$A$3:$A$5001,"&gt;="&amp;$C$7,BD!$A$3:$A$5001,"&lt;="&amp;$B177,BD!$M$3:$M$5001,"&lt;&gt;")=0,"",SUMIFS(BD!$M$3:$M$5001,BD!$B$3:$B$5001,E$149,BD!$A$3:$A$5001,_xlfn.MAXIFS(BD!$A$3:$A$5001,BD!$B$3:$B$5001,E$149,BD!$A$3:$A$5001,"&gt;="&amp;$C$7,BD!$A$3:$A$5001,"&lt;="&amp;$B177,BD!$M$3:$M$5001,"&lt;&gt;"))))</f>
        <v/>
      </c>
      <c r="F177" s="43" t="str">
        <f>IF(OR($B177="",$A177&gt;$B$9,F$149=""),"",IF(COUNTIFS(BD!$B$3:$B$5001,F$149,BD!$A$3:$A$5001,"&gt;="&amp;$C$7,BD!$A$3:$A$5001,"&lt;="&amp;$B177,BD!$M$3:$M$5001,"&lt;&gt;")=0,"",SUMIFS(BD!$M$3:$M$5001,BD!$B$3:$B$5001,F$149,BD!$A$3:$A$5001,_xlfn.MAXIFS(BD!$A$3:$A$5001,BD!$B$3:$B$5001,F$149,BD!$A$3:$A$5001,"&gt;="&amp;$C$7,BD!$A$3:$A$5001,"&lt;="&amp;$B177,BD!$M$3:$M$5001,"&lt;&gt;"))))</f>
        <v/>
      </c>
      <c r="G177" s="43" t="str">
        <f>IF(OR($B177="",$A177&gt;$B$9,G$149=""),"",IF(COUNTIFS(BD!$B$3:$B$5001,G$149,BD!$A$3:$A$5001,"&gt;="&amp;$C$7,BD!$A$3:$A$5001,"&lt;="&amp;$B177,BD!$M$3:$M$5001,"&lt;&gt;")=0,"",SUMIFS(BD!$M$3:$M$5001,BD!$B$3:$B$5001,G$149,BD!$A$3:$A$5001,_xlfn.MAXIFS(BD!$A$3:$A$5001,BD!$B$3:$B$5001,G$149,BD!$A$3:$A$5001,"&gt;="&amp;$C$7,BD!$A$3:$A$5001,"&lt;="&amp;$B177,BD!$M$3:$M$5001,"&lt;&gt;"))))</f>
        <v/>
      </c>
      <c r="H177" s="43" t="str">
        <f>IF(OR($B177="",$A177&gt;$B$9,H$149=""),"",IF(COUNTIFS(BD!$B$3:$B$5001,H$149,BD!$A$3:$A$5001,"&gt;="&amp;$C$7,BD!$A$3:$A$5001,"&lt;="&amp;$B177,BD!$M$3:$M$5001,"&lt;&gt;")=0,"",SUMIFS(BD!$M$3:$M$5001,BD!$B$3:$B$5001,H$149,BD!$A$3:$A$5001,_xlfn.MAXIFS(BD!$A$3:$A$5001,BD!$B$3:$B$5001,H$149,BD!$A$3:$A$5001,"&gt;="&amp;$C$7,BD!$A$3:$A$5001,"&lt;="&amp;$B177,BD!$M$3:$M$5001,"&lt;&gt;"))))</f>
        <v/>
      </c>
      <c r="I177" s="43" t="str">
        <f>IF(OR($B177="",$A177&gt;$B$9,I$149=""),"",IF(COUNTIFS(BD!$B$3:$B$5001,I$149,BD!$A$3:$A$5001,"&gt;="&amp;$C$7,BD!$A$3:$A$5001,"&lt;="&amp;$B177,BD!$M$3:$M$5001,"&lt;&gt;")=0,"",SUMIFS(BD!$M$3:$M$5001,BD!$B$3:$B$5001,I$149,BD!$A$3:$A$5001,_xlfn.MAXIFS(BD!$A$3:$A$5001,BD!$B$3:$B$5001,I$149,BD!$A$3:$A$5001,"&gt;="&amp;$C$7,BD!$A$3:$A$5001,"&lt;="&amp;$B177,BD!$M$3:$M$5001,"&lt;&gt;"))))</f>
        <v/>
      </c>
      <c r="J177" s="43" t="str">
        <f>IF(OR($B177="",$A177&gt;$B$9,J$149=""),"",IF(COUNTIFS(BD!$B$3:$B$5001,J$149,BD!$A$3:$A$5001,"&gt;="&amp;$C$7,BD!$A$3:$A$5001,"&lt;="&amp;$B177,BD!$M$3:$M$5001,"&lt;&gt;")=0,"",SUMIFS(BD!$M$3:$M$5001,BD!$B$3:$B$5001,J$149,BD!$A$3:$A$5001,_xlfn.MAXIFS(BD!$A$3:$A$5001,BD!$B$3:$B$5001,J$149,BD!$A$3:$A$5001,"&gt;="&amp;$C$7,BD!$A$3:$A$5001,"&lt;="&amp;$B177,BD!$M$3:$M$5001,"&lt;&gt;"))))</f>
        <v/>
      </c>
      <c r="K177" s="43" t="str">
        <f>IF(OR($B177="",$A177&gt;$B$9,K$149=""),"",IF(COUNTIFS(BD!$B$3:$B$5001,K$149,BD!$A$3:$A$5001,"&gt;="&amp;$C$7,BD!$A$3:$A$5001,"&lt;="&amp;$B177,BD!$M$3:$M$5001,"&lt;&gt;")=0,"",SUMIFS(BD!$M$3:$M$5001,BD!$B$3:$B$5001,K$149,BD!$A$3:$A$5001,_xlfn.MAXIFS(BD!$A$3:$A$5001,BD!$B$3:$B$5001,K$149,BD!$A$3:$A$5001,"&gt;="&amp;$C$7,BD!$A$3:$A$5001,"&lt;="&amp;$B177,BD!$M$3:$M$5001,"&lt;&gt;"))))</f>
        <v/>
      </c>
      <c r="L177" s="43" t="str">
        <f>IF(OR($B177="",$A177&gt;$B$9,L$149=""),"",IF(COUNTIFS(BD!$B$3:$B$5001,L$149,BD!$A$3:$A$5001,"&gt;="&amp;$C$7,BD!$A$3:$A$5001,"&lt;="&amp;$B177,BD!$M$3:$M$5001,"&lt;&gt;")=0,"",SUMIFS(BD!$M$3:$M$5001,BD!$B$3:$B$5001,L$149,BD!$A$3:$A$5001,_xlfn.MAXIFS(BD!$A$3:$A$5001,BD!$B$3:$B$5001,L$149,BD!$A$3:$A$5001,"&gt;="&amp;$C$7,BD!$A$3:$A$5001,"&lt;="&amp;$B177,BD!$M$3:$M$5001,"&lt;&gt;"))))</f>
        <v/>
      </c>
      <c r="M177" s="43" t="str">
        <f>IF(OR($B177="",$A177&gt;$B$9,M$149=""),"",IF(COUNTIFS(BD!$B$3:$B$5001,M$149,BD!$A$3:$A$5001,"&gt;="&amp;$C$7,BD!$A$3:$A$5001,"&lt;="&amp;$B177,BD!$M$3:$M$5001,"&lt;&gt;")=0,"",SUMIFS(BD!$M$3:$M$5001,BD!$B$3:$B$5001,M$149,BD!$A$3:$A$5001,_xlfn.MAXIFS(BD!$A$3:$A$5001,BD!$B$3:$B$5001,M$149,BD!$A$3:$A$5001,"&gt;="&amp;$C$7,BD!$A$3:$A$5001,"&lt;="&amp;$B177,BD!$M$3:$M$5001,"&lt;&gt;"))))</f>
        <v/>
      </c>
      <c r="N177" s="43" t="str">
        <f>IF(OR($B177="",$A177&gt;$B$9,N$149=""),"",IF(COUNTIFS(BD!$B$3:$B$5001,N$149,BD!$A$3:$A$5001,"&gt;="&amp;$C$7,BD!$A$3:$A$5001,"&lt;="&amp;$B177,BD!$M$3:$M$5001,"&lt;&gt;")=0,"",SUMIFS(BD!$M$3:$M$5001,BD!$B$3:$B$5001,N$149,BD!$A$3:$A$5001,_xlfn.MAXIFS(BD!$A$3:$A$5001,BD!$B$3:$B$5001,N$149,BD!$A$3:$A$5001,"&gt;="&amp;$C$7,BD!$A$3:$A$5001,"&lt;="&amp;$B177,BD!$M$3:$M$5001,"&lt;&gt;"))))</f>
        <v/>
      </c>
      <c r="O177" s="43" t="str">
        <f>IF(OR($B177="",$A177&gt;$B$9,O$149=""),"",IF(COUNTIFS(BD!$B$3:$B$5001,O$149,BD!$A$3:$A$5001,"&gt;="&amp;$C$7,BD!$A$3:$A$5001,"&lt;="&amp;$B177,BD!$M$3:$M$5001,"&lt;&gt;")=0,"",SUMIFS(BD!$M$3:$M$5001,BD!$B$3:$B$5001,O$149,BD!$A$3:$A$5001,_xlfn.MAXIFS(BD!$A$3:$A$5001,BD!$B$3:$B$5001,O$149,BD!$A$3:$A$5001,"&gt;="&amp;$C$7,BD!$A$3:$A$5001,"&lt;="&amp;$B177,BD!$M$3:$M$5001,"&lt;&gt;"))))</f>
        <v/>
      </c>
      <c r="P177" s="43" t="str">
        <f>IF(OR($B177="",$A177&gt;$B$9,P$149=""),"",IF(COUNTIFS(BD!$B$3:$B$5001,P$149,BD!$A$3:$A$5001,"&gt;="&amp;$C$7,BD!$A$3:$A$5001,"&lt;="&amp;$B177,BD!$M$3:$M$5001,"&lt;&gt;")=0,"",SUMIFS(BD!$M$3:$M$5001,BD!$B$3:$B$5001,P$149,BD!$A$3:$A$5001,_xlfn.MAXIFS(BD!$A$3:$A$5001,BD!$B$3:$B$5001,P$149,BD!$A$3:$A$5001,"&gt;="&amp;$C$7,BD!$A$3:$A$5001,"&lt;="&amp;$B177,BD!$M$3:$M$5001,"&lt;&gt;"))))</f>
        <v/>
      </c>
      <c r="Q177" s="43" t="str">
        <f>IF(OR($B177="",$A177&gt;$B$9,Q$149=""),"",IF(COUNTIFS(BD!$B$3:$B$5001,Q$149,BD!$A$3:$A$5001,"&gt;="&amp;$C$7,BD!$A$3:$A$5001,"&lt;="&amp;$B177,BD!$M$3:$M$5001,"&lt;&gt;")=0,"",SUMIFS(BD!$M$3:$M$5001,BD!$B$3:$B$5001,Q$149,BD!$A$3:$A$5001,_xlfn.MAXIFS(BD!$A$3:$A$5001,BD!$B$3:$B$5001,Q$149,BD!$A$3:$A$5001,"&gt;="&amp;$C$7,BD!$A$3:$A$5001,"&lt;="&amp;$B177,BD!$M$3:$M$5001,"&lt;&gt;"))))</f>
        <v/>
      </c>
      <c r="R177" s="43" t="str">
        <f>IF(OR($B177="",$A177&gt;$B$9,R$149=""),"",IF(COUNTIFS(BD!$B$3:$B$5001,R$149,BD!$A$3:$A$5001,"&gt;="&amp;$C$7,BD!$A$3:$A$5001,"&lt;="&amp;$B177,BD!$M$3:$M$5001,"&lt;&gt;")=0,"",SUMIFS(BD!$M$3:$M$5001,BD!$B$3:$B$5001,R$149,BD!$A$3:$A$5001,_xlfn.MAXIFS(BD!$A$3:$A$5001,BD!$B$3:$B$5001,R$149,BD!$A$3:$A$5001,"&gt;="&amp;$C$7,BD!$A$3:$A$5001,"&lt;="&amp;$B177,BD!$M$3:$M$5001,"&lt;&gt;"))))</f>
        <v/>
      </c>
      <c r="S177" s="43" t="str">
        <f>IF(OR($B177="",$A177&gt;$B$9,S$149=""),"",IF(COUNTIFS(BD!$B$3:$B$5001,S$149,BD!$A$3:$A$5001,"&gt;="&amp;$C$7,BD!$A$3:$A$5001,"&lt;="&amp;$B177,BD!$M$3:$M$5001,"&lt;&gt;")=0,"",SUMIFS(BD!$M$3:$M$5001,BD!$B$3:$B$5001,S$149,BD!$A$3:$A$5001,_xlfn.MAXIFS(BD!$A$3:$A$5001,BD!$B$3:$B$5001,S$149,BD!$A$3:$A$5001,"&gt;="&amp;$C$7,BD!$A$3:$A$5001,"&lt;="&amp;$B177,BD!$M$3:$M$5001,"&lt;&gt;"))))</f>
        <v/>
      </c>
      <c r="T177" s="43" t="str">
        <f>IF(OR($B177="",$A177&gt;$B$9,T$149=""),"",IF(COUNTIFS(BD!$B$3:$B$5001,T$149,BD!$A$3:$A$5001,"&gt;="&amp;$C$7,BD!$A$3:$A$5001,"&lt;="&amp;$B177,BD!$M$3:$M$5001,"&lt;&gt;")=0,"",SUMIFS(BD!$M$3:$M$5001,BD!$B$3:$B$5001,T$149,BD!$A$3:$A$5001,_xlfn.MAXIFS(BD!$A$3:$A$5001,BD!$B$3:$B$5001,T$149,BD!$A$3:$A$5001,"&gt;="&amp;$C$7,BD!$A$3:$A$5001,"&lt;="&amp;$B177,BD!$M$3:$M$5001,"&lt;&gt;"))))</f>
        <v/>
      </c>
      <c r="U177" s="43" t="str">
        <f>IF(OR($B177="",$A177&gt;$B$9,U$149=""),"",IF(COUNTIFS(BD!$B$3:$B$5001,U$149,BD!$A$3:$A$5001,"&gt;="&amp;$C$7,BD!$A$3:$A$5001,"&lt;="&amp;$B177,BD!$M$3:$M$5001,"&lt;&gt;")=0,"",SUMIFS(BD!$M$3:$M$5001,BD!$B$3:$B$5001,U$149,BD!$A$3:$A$5001,_xlfn.MAXIFS(BD!$A$3:$A$5001,BD!$B$3:$B$5001,U$149,BD!$A$3:$A$5001,"&gt;="&amp;$C$7,BD!$A$3:$A$5001,"&lt;="&amp;$B177,BD!$M$3:$M$5001,"&lt;&gt;"))))</f>
        <v/>
      </c>
      <c r="V177" s="43" t="str">
        <f>IF(OR($B177="",$A177&gt;$B$9,V$149=""),"",IF(COUNTIFS(BD!$B$3:$B$5001,V$149,BD!$A$3:$A$5001,"&gt;="&amp;$C$7,BD!$A$3:$A$5001,"&lt;="&amp;$B177,BD!$M$3:$M$5001,"&lt;&gt;")=0,"",SUMIFS(BD!$M$3:$M$5001,BD!$B$3:$B$5001,V$149,BD!$A$3:$A$5001,_xlfn.MAXIFS(BD!$A$3:$A$5001,BD!$B$3:$B$5001,V$149,BD!$A$3:$A$5001,"&gt;="&amp;$C$7,BD!$A$3:$A$5001,"&lt;="&amp;$B177,BD!$M$3:$M$5001,"&lt;&gt;"))))</f>
        <v/>
      </c>
    </row>
    <row r="178">
      <c r="A178" s="38">
        <v>29</v>
      </c>
      <c r="B178" s="42">
        <f>$B$40</f>
        <v>46324</v>
      </c>
      <c r="C178" s="43" t="str">
        <f>IF(OR($B178="",$A178&gt;$B$9,C$149=""),"",IF(COUNTIFS(BD!$B$3:$B$5001,C$149,BD!$A$3:$A$5001,"&gt;="&amp;$C$7,BD!$A$3:$A$5001,"&lt;="&amp;$B178,BD!$M$3:$M$5001,"&lt;&gt;")=0,"",SUMIFS(BD!$M$3:$M$5001,BD!$B$3:$B$5001,C$149,BD!$A$3:$A$5001,_xlfn.MAXIFS(BD!$A$3:$A$5001,BD!$B$3:$B$5001,C$149,BD!$A$3:$A$5001,"&gt;="&amp;$C$7,BD!$A$3:$A$5001,"&lt;="&amp;$B178,BD!$M$3:$M$5001,"&lt;&gt;"))))</f>
        <v/>
      </c>
      <c r="D178" s="43" t="str">
        <f>IF(OR($B178="",$A178&gt;$B$9,D$149=""),"",IF(COUNTIFS(BD!$B$3:$B$5001,D$149,BD!$A$3:$A$5001,"&gt;="&amp;$C$7,BD!$A$3:$A$5001,"&lt;="&amp;$B178,BD!$M$3:$M$5001,"&lt;&gt;")=0,"",SUMIFS(BD!$M$3:$M$5001,BD!$B$3:$B$5001,D$149,BD!$A$3:$A$5001,_xlfn.MAXIFS(BD!$A$3:$A$5001,BD!$B$3:$B$5001,D$149,BD!$A$3:$A$5001,"&gt;="&amp;$C$7,BD!$A$3:$A$5001,"&lt;="&amp;$B178,BD!$M$3:$M$5001,"&lt;&gt;"))))</f>
        <v/>
      </c>
      <c r="E178" s="43" t="str">
        <f>IF(OR($B178="",$A178&gt;$B$9,E$149=""),"",IF(COUNTIFS(BD!$B$3:$B$5001,E$149,BD!$A$3:$A$5001,"&gt;="&amp;$C$7,BD!$A$3:$A$5001,"&lt;="&amp;$B178,BD!$M$3:$M$5001,"&lt;&gt;")=0,"",SUMIFS(BD!$M$3:$M$5001,BD!$B$3:$B$5001,E$149,BD!$A$3:$A$5001,_xlfn.MAXIFS(BD!$A$3:$A$5001,BD!$B$3:$B$5001,E$149,BD!$A$3:$A$5001,"&gt;="&amp;$C$7,BD!$A$3:$A$5001,"&lt;="&amp;$B178,BD!$M$3:$M$5001,"&lt;&gt;"))))</f>
        <v/>
      </c>
      <c r="F178" s="43" t="str">
        <f>IF(OR($B178="",$A178&gt;$B$9,F$149=""),"",IF(COUNTIFS(BD!$B$3:$B$5001,F$149,BD!$A$3:$A$5001,"&gt;="&amp;$C$7,BD!$A$3:$A$5001,"&lt;="&amp;$B178,BD!$M$3:$M$5001,"&lt;&gt;")=0,"",SUMIFS(BD!$M$3:$M$5001,BD!$B$3:$B$5001,F$149,BD!$A$3:$A$5001,_xlfn.MAXIFS(BD!$A$3:$A$5001,BD!$B$3:$B$5001,F$149,BD!$A$3:$A$5001,"&gt;="&amp;$C$7,BD!$A$3:$A$5001,"&lt;="&amp;$B178,BD!$M$3:$M$5001,"&lt;&gt;"))))</f>
        <v/>
      </c>
      <c r="G178" s="43" t="str">
        <f>IF(OR($B178="",$A178&gt;$B$9,G$149=""),"",IF(COUNTIFS(BD!$B$3:$B$5001,G$149,BD!$A$3:$A$5001,"&gt;="&amp;$C$7,BD!$A$3:$A$5001,"&lt;="&amp;$B178,BD!$M$3:$M$5001,"&lt;&gt;")=0,"",SUMIFS(BD!$M$3:$M$5001,BD!$B$3:$B$5001,G$149,BD!$A$3:$A$5001,_xlfn.MAXIFS(BD!$A$3:$A$5001,BD!$B$3:$B$5001,G$149,BD!$A$3:$A$5001,"&gt;="&amp;$C$7,BD!$A$3:$A$5001,"&lt;="&amp;$B178,BD!$M$3:$M$5001,"&lt;&gt;"))))</f>
        <v/>
      </c>
      <c r="H178" s="43" t="str">
        <f>IF(OR($B178="",$A178&gt;$B$9,H$149=""),"",IF(COUNTIFS(BD!$B$3:$B$5001,H$149,BD!$A$3:$A$5001,"&gt;="&amp;$C$7,BD!$A$3:$A$5001,"&lt;="&amp;$B178,BD!$M$3:$M$5001,"&lt;&gt;")=0,"",SUMIFS(BD!$M$3:$M$5001,BD!$B$3:$B$5001,H$149,BD!$A$3:$A$5001,_xlfn.MAXIFS(BD!$A$3:$A$5001,BD!$B$3:$B$5001,H$149,BD!$A$3:$A$5001,"&gt;="&amp;$C$7,BD!$A$3:$A$5001,"&lt;="&amp;$B178,BD!$M$3:$M$5001,"&lt;&gt;"))))</f>
        <v/>
      </c>
      <c r="I178" s="43" t="str">
        <f>IF(OR($B178="",$A178&gt;$B$9,I$149=""),"",IF(COUNTIFS(BD!$B$3:$B$5001,I$149,BD!$A$3:$A$5001,"&gt;="&amp;$C$7,BD!$A$3:$A$5001,"&lt;="&amp;$B178,BD!$M$3:$M$5001,"&lt;&gt;")=0,"",SUMIFS(BD!$M$3:$M$5001,BD!$B$3:$B$5001,I$149,BD!$A$3:$A$5001,_xlfn.MAXIFS(BD!$A$3:$A$5001,BD!$B$3:$B$5001,I$149,BD!$A$3:$A$5001,"&gt;="&amp;$C$7,BD!$A$3:$A$5001,"&lt;="&amp;$B178,BD!$M$3:$M$5001,"&lt;&gt;"))))</f>
        <v/>
      </c>
      <c r="J178" s="43" t="str">
        <f>IF(OR($B178="",$A178&gt;$B$9,J$149=""),"",IF(COUNTIFS(BD!$B$3:$B$5001,J$149,BD!$A$3:$A$5001,"&gt;="&amp;$C$7,BD!$A$3:$A$5001,"&lt;="&amp;$B178,BD!$M$3:$M$5001,"&lt;&gt;")=0,"",SUMIFS(BD!$M$3:$M$5001,BD!$B$3:$B$5001,J$149,BD!$A$3:$A$5001,_xlfn.MAXIFS(BD!$A$3:$A$5001,BD!$B$3:$B$5001,J$149,BD!$A$3:$A$5001,"&gt;="&amp;$C$7,BD!$A$3:$A$5001,"&lt;="&amp;$B178,BD!$M$3:$M$5001,"&lt;&gt;"))))</f>
        <v/>
      </c>
      <c r="K178" s="43" t="str">
        <f>IF(OR($B178="",$A178&gt;$B$9,K$149=""),"",IF(COUNTIFS(BD!$B$3:$B$5001,K$149,BD!$A$3:$A$5001,"&gt;="&amp;$C$7,BD!$A$3:$A$5001,"&lt;="&amp;$B178,BD!$M$3:$M$5001,"&lt;&gt;")=0,"",SUMIFS(BD!$M$3:$M$5001,BD!$B$3:$B$5001,K$149,BD!$A$3:$A$5001,_xlfn.MAXIFS(BD!$A$3:$A$5001,BD!$B$3:$B$5001,K$149,BD!$A$3:$A$5001,"&gt;="&amp;$C$7,BD!$A$3:$A$5001,"&lt;="&amp;$B178,BD!$M$3:$M$5001,"&lt;&gt;"))))</f>
        <v/>
      </c>
      <c r="L178" s="43" t="str">
        <f>IF(OR($B178="",$A178&gt;$B$9,L$149=""),"",IF(COUNTIFS(BD!$B$3:$B$5001,L$149,BD!$A$3:$A$5001,"&gt;="&amp;$C$7,BD!$A$3:$A$5001,"&lt;="&amp;$B178,BD!$M$3:$M$5001,"&lt;&gt;")=0,"",SUMIFS(BD!$M$3:$M$5001,BD!$B$3:$B$5001,L$149,BD!$A$3:$A$5001,_xlfn.MAXIFS(BD!$A$3:$A$5001,BD!$B$3:$B$5001,L$149,BD!$A$3:$A$5001,"&gt;="&amp;$C$7,BD!$A$3:$A$5001,"&lt;="&amp;$B178,BD!$M$3:$M$5001,"&lt;&gt;"))))</f>
        <v/>
      </c>
      <c r="M178" s="43" t="str">
        <f>IF(OR($B178="",$A178&gt;$B$9,M$149=""),"",IF(COUNTIFS(BD!$B$3:$B$5001,M$149,BD!$A$3:$A$5001,"&gt;="&amp;$C$7,BD!$A$3:$A$5001,"&lt;="&amp;$B178,BD!$M$3:$M$5001,"&lt;&gt;")=0,"",SUMIFS(BD!$M$3:$M$5001,BD!$B$3:$B$5001,M$149,BD!$A$3:$A$5001,_xlfn.MAXIFS(BD!$A$3:$A$5001,BD!$B$3:$B$5001,M$149,BD!$A$3:$A$5001,"&gt;="&amp;$C$7,BD!$A$3:$A$5001,"&lt;="&amp;$B178,BD!$M$3:$M$5001,"&lt;&gt;"))))</f>
        <v/>
      </c>
      <c r="N178" s="43" t="str">
        <f>IF(OR($B178="",$A178&gt;$B$9,N$149=""),"",IF(COUNTIFS(BD!$B$3:$B$5001,N$149,BD!$A$3:$A$5001,"&gt;="&amp;$C$7,BD!$A$3:$A$5001,"&lt;="&amp;$B178,BD!$M$3:$M$5001,"&lt;&gt;")=0,"",SUMIFS(BD!$M$3:$M$5001,BD!$B$3:$B$5001,N$149,BD!$A$3:$A$5001,_xlfn.MAXIFS(BD!$A$3:$A$5001,BD!$B$3:$B$5001,N$149,BD!$A$3:$A$5001,"&gt;="&amp;$C$7,BD!$A$3:$A$5001,"&lt;="&amp;$B178,BD!$M$3:$M$5001,"&lt;&gt;"))))</f>
        <v/>
      </c>
      <c r="O178" s="43" t="str">
        <f>IF(OR($B178="",$A178&gt;$B$9,O$149=""),"",IF(COUNTIFS(BD!$B$3:$B$5001,O$149,BD!$A$3:$A$5001,"&gt;="&amp;$C$7,BD!$A$3:$A$5001,"&lt;="&amp;$B178,BD!$M$3:$M$5001,"&lt;&gt;")=0,"",SUMIFS(BD!$M$3:$M$5001,BD!$B$3:$B$5001,O$149,BD!$A$3:$A$5001,_xlfn.MAXIFS(BD!$A$3:$A$5001,BD!$B$3:$B$5001,O$149,BD!$A$3:$A$5001,"&gt;="&amp;$C$7,BD!$A$3:$A$5001,"&lt;="&amp;$B178,BD!$M$3:$M$5001,"&lt;&gt;"))))</f>
        <v/>
      </c>
      <c r="P178" s="43" t="str">
        <f>IF(OR($B178="",$A178&gt;$B$9,P$149=""),"",IF(COUNTIFS(BD!$B$3:$B$5001,P$149,BD!$A$3:$A$5001,"&gt;="&amp;$C$7,BD!$A$3:$A$5001,"&lt;="&amp;$B178,BD!$M$3:$M$5001,"&lt;&gt;")=0,"",SUMIFS(BD!$M$3:$M$5001,BD!$B$3:$B$5001,P$149,BD!$A$3:$A$5001,_xlfn.MAXIFS(BD!$A$3:$A$5001,BD!$B$3:$B$5001,P$149,BD!$A$3:$A$5001,"&gt;="&amp;$C$7,BD!$A$3:$A$5001,"&lt;="&amp;$B178,BD!$M$3:$M$5001,"&lt;&gt;"))))</f>
        <v/>
      </c>
      <c r="Q178" s="43" t="str">
        <f>IF(OR($B178="",$A178&gt;$B$9,Q$149=""),"",IF(COUNTIFS(BD!$B$3:$B$5001,Q$149,BD!$A$3:$A$5001,"&gt;="&amp;$C$7,BD!$A$3:$A$5001,"&lt;="&amp;$B178,BD!$M$3:$M$5001,"&lt;&gt;")=0,"",SUMIFS(BD!$M$3:$M$5001,BD!$B$3:$B$5001,Q$149,BD!$A$3:$A$5001,_xlfn.MAXIFS(BD!$A$3:$A$5001,BD!$B$3:$B$5001,Q$149,BD!$A$3:$A$5001,"&gt;="&amp;$C$7,BD!$A$3:$A$5001,"&lt;="&amp;$B178,BD!$M$3:$M$5001,"&lt;&gt;"))))</f>
        <v/>
      </c>
      <c r="R178" s="43" t="str">
        <f>IF(OR($B178="",$A178&gt;$B$9,R$149=""),"",IF(COUNTIFS(BD!$B$3:$B$5001,R$149,BD!$A$3:$A$5001,"&gt;="&amp;$C$7,BD!$A$3:$A$5001,"&lt;="&amp;$B178,BD!$M$3:$M$5001,"&lt;&gt;")=0,"",SUMIFS(BD!$M$3:$M$5001,BD!$B$3:$B$5001,R$149,BD!$A$3:$A$5001,_xlfn.MAXIFS(BD!$A$3:$A$5001,BD!$B$3:$B$5001,R$149,BD!$A$3:$A$5001,"&gt;="&amp;$C$7,BD!$A$3:$A$5001,"&lt;="&amp;$B178,BD!$M$3:$M$5001,"&lt;&gt;"))))</f>
        <v/>
      </c>
      <c r="S178" s="43" t="str">
        <f>IF(OR($B178="",$A178&gt;$B$9,S$149=""),"",IF(COUNTIFS(BD!$B$3:$B$5001,S$149,BD!$A$3:$A$5001,"&gt;="&amp;$C$7,BD!$A$3:$A$5001,"&lt;="&amp;$B178,BD!$M$3:$M$5001,"&lt;&gt;")=0,"",SUMIFS(BD!$M$3:$M$5001,BD!$B$3:$B$5001,S$149,BD!$A$3:$A$5001,_xlfn.MAXIFS(BD!$A$3:$A$5001,BD!$B$3:$B$5001,S$149,BD!$A$3:$A$5001,"&gt;="&amp;$C$7,BD!$A$3:$A$5001,"&lt;="&amp;$B178,BD!$M$3:$M$5001,"&lt;&gt;"))))</f>
        <v/>
      </c>
      <c r="T178" s="43" t="str">
        <f>IF(OR($B178="",$A178&gt;$B$9,T$149=""),"",IF(COUNTIFS(BD!$B$3:$B$5001,T$149,BD!$A$3:$A$5001,"&gt;="&amp;$C$7,BD!$A$3:$A$5001,"&lt;="&amp;$B178,BD!$M$3:$M$5001,"&lt;&gt;")=0,"",SUMIFS(BD!$M$3:$M$5001,BD!$B$3:$B$5001,T$149,BD!$A$3:$A$5001,_xlfn.MAXIFS(BD!$A$3:$A$5001,BD!$B$3:$B$5001,T$149,BD!$A$3:$A$5001,"&gt;="&amp;$C$7,BD!$A$3:$A$5001,"&lt;="&amp;$B178,BD!$M$3:$M$5001,"&lt;&gt;"))))</f>
        <v/>
      </c>
      <c r="U178" s="43" t="str">
        <f>IF(OR($B178="",$A178&gt;$B$9,U$149=""),"",IF(COUNTIFS(BD!$B$3:$B$5001,U$149,BD!$A$3:$A$5001,"&gt;="&amp;$C$7,BD!$A$3:$A$5001,"&lt;="&amp;$B178,BD!$M$3:$M$5001,"&lt;&gt;")=0,"",SUMIFS(BD!$M$3:$M$5001,BD!$B$3:$B$5001,U$149,BD!$A$3:$A$5001,_xlfn.MAXIFS(BD!$A$3:$A$5001,BD!$B$3:$B$5001,U$149,BD!$A$3:$A$5001,"&gt;="&amp;$C$7,BD!$A$3:$A$5001,"&lt;="&amp;$B178,BD!$M$3:$M$5001,"&lt;&gt;"))))</f>
        <v/>
      </c>
      <c r="V178" s="43" t="str">
        <f>IF(OR($B178="",$A178&gt;$B$9,V$149=""),"",IF(COUNTIFS(BD!$B$3:$B$5001,V$149,BD!$A$3:$A$5001,"&gt;="&amp;$C$7,BD!$A$3:$A$5001,"&lt;="&amp;$B178,BD!$M$3:$M$5001,"&lt;&gt;")=0,"",SUMIFS(BD!$M$3:$M$5001,BD!$B$3:$B$5001,V$149,BD!$A$3:$A$5001,_xlfn.MAXIFS(BD!$A$3:$A$5001,BD!$B$3:$B$5001,V$149,BD!$A$3:$A$5001,"&gt;="&amp;$C$7,BD!$A$3:$A$5001,"&lt;="&amp;$B178,BD!$M$3:$M$5001,"&lt;&gt;"))))</f>
        <v/>
      </c>
    </row>
    <row r="179">
      <c r="A179" s="38">
        <v>30</v>
      </c>
      <c r="B179" s="42">
        <f>$B$41</f>
        <v>46325</v>
      </c>
      <c r="C179" s="43" t="str">
        <f>IF(OR($B179="",$A179&gt;$B$9,C$149=""),"",IF(COUNTIFS(BD!$B$3:$B$5001,C$149,BD!$A$3:$A$5001,"&gt;="&amp;$C$7,BD!$A$3:$A$5001,"&lt;="&amp;$B179,BD!$M$3:$M$5001,"&lt;&gt;")=0,"",SUMIFS(BD!$M$3:$M$5001,BD!$B$3:$B$5001,C$149,BD!$A$3:$A$5001,_xlfn.MAXIFS(BD!$A$3:$A$5001,BD!$B$3:$B$5001,C$149,BD!$A$3:$A$5001,"&gt;="&amp;$C$7,BD!$A$3:$A$5001,"&lt;="&amp;$B179,BD!$M$3:$M$5001,"&lt;&gt;"))))</f>
        <v/>
      </c>
      <c r="D179" s="43" t="str">
        <f>IF(OR($B179="",$A179&gt;$B$9,D$149=""),"",IF(COUNTIFS(BD!$B$3:$B$5001,D$149,BD!$A$3:$A$5001,"&gt;="&amp;$C$7,BD!$A$3:$A$5001,"&lt;="&amp;$B179,BD!$M$3:$M$5001,"&lt;&gt;")=0,"",SUMIFS(BD!$M$3:$M$5001,BD!$B$3:$B$5001,D$149,BD!$A$3:$A$5001,_xlfn.MAXIFS(BD!$A$3:$A$5001,BD!$B$3:$B$5001,D$149,BD!$A$3:$A$5001,"&gt;="&amp;$C$7,BD!$A$3:$A$5001,"&lt;="&amp;$B179,BD!$M$3:$M$5001,"&lt;&gt;"))))</f>
        <v/>
      </c>
      <c r="E179" s="43" t="str">
        <f>IF(OR($B179="",$A179&gt;$B$9,E$149=""),"",IF(COUNTIFS(BD!$B$3:$B$5001,E$149,BD!$A$3:$A$5001,"&gt;="&amp;$C$7,BD!$A$3:$A$5001,"&lt;="&amp;$B179,BD!$M$3:$M$5001,"&lt;&gt;")=0,"",SUMIFS(BD!$M$3:$M$5001,BD!$B$3:$B$5001,E$149,BD!$A$3:$A$5001,_xlfn.MAXIFS(BD!$A$3:$A$5001,BD!$B$3:$B$5001,E$149,BD!$A$3:$A$5001,"&gt;="&amp;$C$7,BD!$A$3:$A$5001,"&lt;="&amp;$B179,BD!$M$3:$M$5001,"&lt;&gt;"))))</f>
        <v/>
      </c>
      <c r="F179" s="43" t="str">
        <f>IF(OR($B179="",$A179&gt;$B$9,F$149=""),"",IF(COUNTIFS(BD!$B$3:$B$5001,F$149,BD!$A$3:$A$5001,"&gt;="&amp;$C$7,BD!$A$3:$A$5001,"&lt;="&amp;$B179,BD!$M$3:$M$5001,"&lt;&gt;")=0,"",SUMIFS(BD!$M$3:$M$5001,BD!$B$3:$B$5001,F$149,BD!$A$3:$A$5001,_xlfn.MAXIFS(BD!$A$3:$A$5001,BD!$B$3:$B$5001,F$149,BD!$A$3:$A$5001,"&gt;="&amp;$C$7,BD!$A$3:$A$5001,"&lt;="&amp;$B179,BD!$M$3:$M$5001,"&lt;&gt;"))))</f>
        <v/>
      </c>
      <c r="G179" s="43" t="str">
        <f>IF(OR($B179="",$A179&gt;$B$9,G$149=""),"",IF(COUNTIFS(BD!$B$3:$B$5001,G$149,BD!$A$3:$A$5001,"&gt;="&amp;$C$7,BD!$A$3:$A$5001,"&lt;="&amp;$B179,BD!$M$3:$M$5001,"&lt;&gt;")=0,"",SUMIFS(BD!$M$3:$M$5001,BD!$B$3:$B$5001,G$149,BD!$A$3:$A$5001,_xlfn.MAXIFS(BD!$A$3:$A$5001,BD!$B$3:$B$5001,G$149,BD!$A$3:$A$5001,"&gt;="&amp;$C$7,BD!$A$3:$A$5001,"&lt;="&amp;$B179,BD!$M$3:$M$5001,"&lt;&gt;"))))</f>
        <v/>
      </c>
      <c r="H179" s="43" t="str">
        <f>IF(OR($B179="",$A179&gt;$B$9,H$149=""),"",IF(COUNTIFS(BD!$B$3:$B$5001,H$149,BD!$A$3:$A$5001,"&gt;="&amp;$C$7,BD!$A$3:$A$5001,"&lt;="&amp;$B179,BD!$M$3:$M$5001,"&lt;&gt;")=0,"",SUMIFS(BD!$M$3:$M$5001,BD!$B$3:$B$5001,H$149,BD!$A$3:$A$5001,_xlfn.MAXIFS(BD!$A$3:$A$5001,BD!$B$3:$B$5001,H$149,BD!$A$3:$A$5001,"&gt;="&amp;$C$7,BD!$A$3:$A$5001,"&lt;="&amp;$B179,BD!$M$3:$M$5001,"&lt;&gt;"))))</f>
        <v/>
      </c>
      <c r="I179" s="43" t="str">
        <f>IF(OR($B179="",$A179&gt;$B$9,I$149=""),"",IF(COUNTIFS(BD!$B$3:$B$5001,I$149,BD!$A$3:$A$5001,"&gt;="&amp;$C$7,BD!$A$3:$A$5001,"&lt;="&amp;$B179,BD!$M$3:$M$5001,"&lt;&gt;")=0,"",SUMIFS(BD!$M$3:$M$5001,BD!$B$3:$B$5001,I$149,BD!$A$3:$A$5001,_xlfn.MAXIFS(BD!$A$3:$A$5001,BD!$B$3:$B$5001,I$149,BD!$A$3:$A$5001,"&gt;="&amp;$C$7,BD!$A$3:$A$5001,"&lt;="&amp;$B179,BD!$M$3:$M$5001,"&lt;&gt;"))))</f>
        <v/>
      </c>
      <c r="J179" s="43" t="str">
        <f>IF(OR($B179="",$A179&gt;$B$9,J$149=""),"",IF(COUNTIFS(BD!$B$3:$B$5001,J$149,BD!$A$3:$A$5001,"&gt;="&amp;$C$7,BD!$A$3:$A$5001,"&lt;="&amp;$B179,BD!$M$3:$M$5001,"&lt;&gt;")=0,"",SUMIFS(BD!$M$3:$M$5001,BD!$B$3:$B$5001,J$149,BD!$A$3:$A$5001,_xlfn.MAXIFS(BD!$A$3:$A$5001,BD!$B$3:$B$5001,J$149,BD!$A$3:$A$5001,"&gt;="&amp;$C$7,BD!$A$3:$A$5001,"&lt;="&amp;$B179,BD!$M$3:$M$5001,"&lt;&gt;"))))</f>
        <v/>
      </c>
      <c r="K179" s="43" t="str">
        <f>IF(OR($B179="",$A179&gt;$B$9,K$149=""),"",IF(COUNTIFS(BD!$B$3:$B$5001,K$149,BD!$A$3:$A$5001,"&gt;="&amp;$C$7,BD!$A$3:$A$5001,"&lt;="&amp;$B179,BD!$M$3:$M$5001,"&lt;&gt;")=0,"",SUMIFS(BD!$M$3:$M$5001,BD!$B$3:$B$5001,K$149,BD!$A$3:$A$5001,_xlfn.MAXIFS(BD!$A$3:$A$5001,BD!$B$3:$B$5001,K$149,BD!$A$3:$A$5001,"&gt;="&amp;$C$7,BD!$A$3:$A$5001,"&lt;="&amp;$B179,BD!$M$3:$M$5001,"&lt;&gt;"))))</f>
        <v/>
      </c>
      <c r="L179" s="43" t="str">
        <f>IF(OR($B179="",$A179&gt;$B$9,L$149=""),"",IF(COUNTIFS(BD!$B$3:$B$5001,L$149,BD!$A$3:$A$5001,"&gt;="&amp;$C$7,BD!$A$3:$A$5001,"&lt;="&amp;$B179,BD!$M$3:$M$5001,"&lt;&gt;")=0,"",SUMIFS(BD!$M$3:$M$5001,BD!$B$3:$B$5001,L$149,BD!$A$3:$A$5001,_xlfn.MAXIFS(BD!$A$3:$A$5001,BD!$B$3:$B$5001,L$149,BD!$A$3:$A$5001,"&gt;="&amp;$C$7,BD!$A$3:$A$5001,"&lt;="&amp;$B179,BD!$M$3:$M$5001,"&lt;&gt;"))))</f>
        <v/>
      </c>
      <c r="M179" s="43" t="str">
        <f>IF(OR($B179="",$A179&gt;$B$9,M$149=""),"",IF(COUNTIFS(BD!$B$3:$B$5001,M$149,BD!$A$3:$A$5001,"&gt;="&amp;$C$7,BD!$A$3:$A$5001,"&lt;="&amp;$B179,BD!$M$3:$M$5001,"&lt;&gt;")=0,"",SUMIFS(BD!$M$3:$M$5001,BD!$B$3:$B$5001,M$149,BD!$A$3:$A$5001,_xlfn.MAXIFS(BD!$A$3:$A$5001,BD!$B$3:$B$5001,M$149,BD!$A$3:$A$5001,"&gt;="&amp;$C$7,BD!$A$3:$A$5001,"&lt;="&amp;$B179,BD!$M$3:$M$5001,"&lt;&gt;"))))</f>
        <v/>
      </c>
      <c r="N179" s="43" t="str">
        <f>IF(OR($B179="",$A179&gt;$B$9,N$149=""),"",IF(COUNTIFS(BD!$B$3:$B$5001,N$149,BD!$A$3:$A$5001,"&gt;="&amp;$C$7,BD!$A$3:$A$5001,"&lt;="&amp;$B179,BD!$M$3:$M$5001,"&lt;&gt;")=0,"",SUMIFS(BD!$M$3:$M$5001,BD!$B$3:$B$5001,N$149,BD!$A$3:$A$5001,_xlfn.MAXIFS(BD!$A$3:$A$5001,BD!$B$3:$B$5001,N$149,BD!$A$3:$A$5001,"&gt;="&amp;$C$7,BD!$A$3:$A$5001,"&lt;="&amp;$B179,BD!$M$3:$M$5001,"&lt;&gt;"))))</f>
        <v/>
      </c>
      <c r="O179" s="43" t="str">
        <f>IF(OR($B179="",$A179&gt;$B$9,O$149=""),"",IF(COUNTIFS(BD!$B$3:$B$5001,O$149,BD!$A$3:$A$5001,"&gt;="&amp;$C$7,BD!$A$3:$A$5001,"&lt;="&amp;$B179,BD!$M$3:$M$5001,"&lt;&gt;")=0,"",SUMIFS(BD!$M$3:$M$5001,BD!$B$3:$B$5001,O$149,BD!$A$3:$A$5001,_xlfn.MAXIFS(BD!$A$3:$A$5001,BD!$B$3:$B$5001,O$149,BD!$A$3:$A$5001,"&gt;="&amp;$C$7,BD!$A$3:$A$5001,"&lt;="&amp;$B179,BD!$M$3:$M$5001,"&lt;&gt;"))))</f>
        <v/>
      </c>
      <c r="P179" s="43" t="str">
        <f>IF(OR($B179="",$A179&gt;$B$9,P$149=""),"",IF(COUNTIFS(BD!$B$3:$B$5001,P$149,BD!$A$3:$A$5001,"&gt;="&amp;$C$7,BD!$A$3:$A$5001,"&lt;="&amp;$B179,BD!$M$3:$M$5001,"&lt;&gt;")=0,"",SUMIFS(BD!$M$3:$M$5001,BD!$B$3:$B$5001,P$149,BD!$A$3:$A$5001,_xlfn.MAXIFS(BD!$A$3:$A$5001,BD!$B$3:$B$5001,P$149,BD!$A$3:$A$5001,"&gt;="&amp;$C$7,BD!$A$3:$A$5001,"&lt;="&amp;$B179,BD!$M$3:$M$5001,"&lt;&gt;"))))</f>
        <v/>
      </c>
      <c r="Q179" s="43" t="str">
        <f>IF(OR($B179="",$A179&gt;$B$9,Q$149=""),"",IF(COUNTIFS(BD!$B$3:$B$5001,Q$149,BD!$A$3:$A$5001,"&gt;="&amp;$C$7,BD!$A$3:$A$5001,"&lt;="&amp;$B179,BD!$M$3:$M$5001,"&lt;&gt;")=0,"",SUMIFS(BD!$M$3:$M$5001,BD!$B$3:$B$5001,Q$149,BD!$A$3:$A$5001,_xlfn.MAXIFS(BD!$A$3:$A$5001,BD!$B$3:$B$5001,Q$149,BD!$A$3:$A$5001,"&gt;="&amp;$C$7,BD!$A$3:$A$5001,"&lt;="&amp;$B179,BD!$M$3:$M$5001,"&lt;&gt;"))))</f>
        <v/>
      </c>
      <c r="R179" s="43" t="str">
        <f>IF(OR($B179="",$A179&gt;$B$9,R$149=""),"",IF(COUNTIFS(BD!$B$3:$B$5001,R$149,BD!$A$3:$A$5001,"&gt;="&amp;$C$7,BD!$A$3:$A$5001,"&lt;="&amp;$B179,BD!$M$3:$M$5001,"&lt;&gt;")=0,"",SUMIFS(BD!$M$3:$M$5001,BD!$B$3:$B$5001,R$149,BD!$A$3:$A$5001,_xlfn.MAXIFS(BD!$A$3:$A$5001,BD!$B$3:$B$5001,R$149,BD!$A$3:$A$5001,"&gt;="&amp;$C$7,BD!$A$3:$A$5001,"&lt;="&amp;$B179,BD!$M$3:$M$5001,"&lt;&gt;"))))</f>
        <v/>
      </c>
      <c r="S179" s="43" t="str">
        <f>IF(OR($B179="",$A179&gt;$B$9,S$149=""),"",IF(COUNTIFS(BD!$B$3:$B$5001,S$149,BD!$A$3:$A$5001,"&gt;="&amp;$C$7,BD!$A$3:$A$5001,"&lt;="&amp;$B179,BD!$M$3:$M$5001,"&lt;&gt;")=0,"",SUMIFS(BD!$M$3:$M$5001,BD!$B$3:$B$5001,S$149,BD!$A$3:$A$5001,_xlfn.MAXIFS(BD!$A$3:$A$5001,BD!$B$3:$B$5001,S$149,BD!$A$3:$A$5001,"&gt;="&amp;$C$7,BD!$A$3:$A$5001,"&lt;="&amp;$B179,BD!$M$3:$M$5001,"&lt;&gt;"))))</f>
        <v/>
      </c>
      <c r="T179" s="43" t="str">
        <f>IF(OR($B179="",$A179&gt;$B$9,T$149=""),"",IF(COUNTIFS(BD!$B$3:$B$5001,T$149,BD!$A$3:$A$5001,"&gt;="&amp;$C$7,BD!$A$3:$A$5001,"&lt;="&amp;$B179,BD!$M$3:$M$5001,"&lt;&gt;")=0,"",SUMIFS(BD!$M$3:$M$5001,BD!$B$3:$B$5001,T$149,BD!$A$3:$A$5001,_xlfn.MAXIFS(BD!$A$3:$A$5001,BD!$B$3:$B$5001,T$149,BD!$A$3:$A$5001,"&gt;="&amp;$C$7,BD!$A$3:$A$5001,"&lt;="&amp;$B179,BD!$M$3:$M$5001,"&lt;&gt;"))))</f>
        <v/>
      </c>
      <c r="U179" s="43" t="str">
        <f>IF(OR($B179="",$A179&gt;$B$9,U$149=""),"",IF(COUNTIFS(BD!$B$3:$B$5001,U$149,BD!$A$3:$A$5001,"&gt;="&amp;$C$7,BD!$A$3:$A$5001,"&lt;="&amp;$B179,BD!$M$3:$M$5001,"&lt;&gt;")=0,"",SUMIFS(BD!$M$3:$M$5001,BD!$B$3:$B$5001,U$149,BD!$A$3:$A$5001,_xlfn.MAXIFS(BD!$A$3:$A$5001,BD!$B$3:$B$5001,U$149,BD!$A$3:$A$5001,"&gt;="&amp;$C$7,BD!$A$3:$A$5001,"&lt;="&amp;$B179,BD!$M$3:$M$5001,"&lt;&gt;"))))</f>
        <v/>
      </c>
      <c r="V179" s="43" t="str">
        <f>IF(OR($B179="",$A179&gt;$B$9,V$149=""),"",IF(COUNTIFS(BD!$B$3:$B$5001,V$149,BD!$A$3:$A$5001,"&gt;="&amp;$C$7,BD!$A$3:$A$5001,"&lt;="&amp;$B179,BD!$M$3:$M$5001,"&lt;&gt;")=0,"",SUMIFS(BD!$M$3:$M$5001,BD!$B$3:$B$5001,V$149,BD!$A$3:$A$5001,_xlfn.MAXIFS(BD!$A$3:$A$5001,BD!$B$3:$B$5001,V$149,BD!$A$3:$A$5001,"&gt;="&amp;$C$7,BD!$A$3:$A$5001,"&lt;="&amp;$B179,BD!$M$3:$M$5001,"&lt;&gt;"))))</f>
        <v/>
      </c>
    </row>
    <row r="180">
      <c r="A180" s="38">
        <v>31</v>
      </c>
      <c r="B180" s="42">
        <f>$B$42</f>
        <v>46326</v>
      </c>
      <c r="C180" s="43" t="str">
        <f>IF(OR($B180="",$A180&gt;$B$9,C$149=""),"",IF(COUNTIFS(BD!$B$3:$B$5001,C$149,BD!$A$3:$A$5001,"&gt;="&amp;$C$7,BD!$A$3:$A$5001,"&lt;="&amp;$B180,BD!$M$3:$M$5001,"&lt;&gt;")=0,"",SUMIFS(BD!$M$3:$M$5001,BD!$B$3:$B$5001,C$149,BD!$A$3:$A$5001,_xlfn.MAXIFS(BD!$A$3:$A$5001,BD!$B$3:$B$5001,C$149,BD!$A$3:$A$5001,"&gt;="&amp;$C$7,BD!$A$3:$A$5001,"&lt;="&amp;$B180,BD!$M$3:$M$5001,"&lt;&gt;"))))</f>
        <v/>
      </c>
      <c r="D180" s="43" t="str">
        <f>IF(OR($B180="",$A180&gt;$B$9,D$149=""),"",IF(COUNTIFS(BD!$B$3:$B$5001,D$149,BD!$A$3:$A$5001,"&gt;="&amp;$C$7,BD!$A$3:$A$5001,"&lt;="&amp;$B180,BD!$M$3:$M$5001,"&lt;&gt;")=0,"",SUMIFS(BD!$M$3:$M$5001,BD!$B$3:$B$5001,D$149,BD!$A$3:$A$5001,_xlfn.MAXIFS(BD!$A$3:$A$5001,BD!$B$3:$B$5001,D$149,BD!$A$3:$A$5001,"&gt;="&amp;$C$7,BD!$A$3:$A$5001,"&lt;="&amp;$B180,BD!$M$3:$M$5001,"&lt;&gt;"))))</f>
        <v/>
      </c>
      <c r="E180" s="43" t="str">
        <f>IF(OR($B180="",$A180&gt;$B$9,E$149=""),"",IF(COUNTIFS(BD!$B$3:$B$5001,E$149,BD!$A$3:$A$5001,"&gt;="&amp;$C$7,BD!$A$3:$A$5001,"&lt;="&amp;$B180,BD!$M$3:$M$5001,"&lt;&gt;")=0,"",SUMIFS(BD!$M$3:$M$5001,BD!$B$3:$B$5001,E$149,BD!$A$3:$A$5001,_xlfn.MAXIFS(BD!$A$3:$A$5001,BD!$B$3:$B$5001,E$149,BD!$A$3:$A$5001,"&gt;="&amp;$C$7,BD!$A$3:$A$5001,"&lt;="&amp;$B180,BD!$M$3:$M$5001,"&lt;&gt;"))))</f>
        <v/>
      </c>
      <c r="F180" s="43" t="str">
        <f>IF(OR($B180="",$A180&gt;$B$9,F$149=""),"",IF(COUNTIFS(BD!$B$3:$B$5001,F$149,BD!$A$3:$A$5001,"&gt;="&amp;$C$7,BD!$A$3:$A$5001,"&lt;="&amp;$B180,BD!$M$3:$M$5001,"&lt;&gt;")=0,"",SUMIFS(BD!$M$3:$M$5001,BD!$B$3:$B$5001,F$149,BD!$A$3:$A$5001,_xlfn.MAXIFS(BD!$A$3:$A$5001,BD!$B$3:$B$5001,F$149,BD!$A$3:$A$5001,"&gt;="&amp;$C$7,BD!$A$3:$A$5001,"&lt;="&amp;$B180,BD!$M$3:$M$5001,"&lt;&gt;"))))</f>
        <v/>
      </c>
      <c r="G180" s="43" t="str">
        <f>IF(OR($B180="",$A180&gt;$B$9,G$149=""),"",IF(COUNTIFS(BD!$B$3:$B$5001,G$149,BD!$A$3:$A$5001,"&gt;="&amp;$C$7,BD!$A$3:$A$5001,"&lt;="&amp;$B180,BD!$M$3:$M$5001,"&lt;&gt;")=0,"",SUMIFS(BD!$M$3:$M$5001,BD!$B$3:$B$5001,G$149,BD!$A$3:$A$5001,_xlfn.MAXIFS(BD!$A$3:$A$5001,BD!$B$3:$B$5001,G$149,BD!$A$3:$A$5001,"&gt;="&amp;$C$7,BD!$A$3:$A$5001,"&lt;="&amp;$B180,BD!$M$3:$M$5001,"&lt;&gt;"))))</f>
        <v/>
      </c>
      <c r="H180" s="43" t="str">
        <f>IF(OR($B180="",$A180&gt;$B$9,H$149=""),"",IF(COUNTIFS(BD!$B$3:$B$5001,H$149,BD!$A$3:$A$5001,"&gt;="&amp;$C$7,BD!$A$3:$A$5001,"&lt;="&amp;$B180,BD!$M$3:$M$5001,"&lt;&gt;")=0,"",SUMIFS(BD!$M$3:$M$5001,BD!$B$3:$B$5001,H$149,BD!$A$3:$A$5001,_xlfn.MAXIFS(BD!$A$3:$A$5001,BD!$B$3:$B$5001,H$149,BD!$A$3:$A$5001,"&gt;="&amp;$C$7,BD!$A$3:$A$5001,"&lt;="&amp;$B180,BD!$M$3:$M$5001,"&lt;&gt;"))))</f>
        <v/>
      </c>
      <c r="I180" s="43" t="str">
        <f>IF(OR($B180="",$A180&gt;$B$9,I$149=""),"",IF(COUNTIFS(BD!$B$3:$B$5001,I$149,BD!$A$3:$A$5001,"&gt;="&amp;$C$7,BD!$A$3:$A$5001,"&lt;="&amp;$B180,BD!$M$3:$M$5001,"&lt;&gt;")=0,"",SUMIFS(BD!$M$3:$M$5001,BD!$B$3:$B$5001,I$149,BD!$A$3:$A$5001,_xlfn.MAXIFS(BD!$A$3:$A$5001,BD!$B$3:$B$5001,I$149,BD!$A$3:$A$5001,"&gt;="&amp;$C$7,BD!$A$3:$A$5001,"&lt;="&amp;$B180,BD!$M$3:$M$5001,"&lt;&gt;"))))</f>
        <v/>
      </c>
      <c r="J180" s="43" t="str">
        <f>IF(OR($B180="",$A180&gt;$B$9,J$149=""),"",IF(COUNTIFS(BD!$B$3:$B$5001,J$149,BD!$A$3:$A$5001,"&gt;="&amp;$C$7,BD!$A$3:$A$5001,"&lt;="&amp;$B180,BD!$M$3:$M$5001,"&lt;&gt;")=0,"",SUMIFS(BD!$M$3:$M$5001,BD!$B$3:$B$5001,J$149,BD!$A$3:$A$5001,_xlfn.MAXIFS(BD!$A$3:$A$5001,BD!$B$3:$B$5001,J$149,BD!$A$3:$A$5001,"&gt;="&amp;$C$7,BD!$A$3:$A$5001,"&lt;="&amp;$B180,BD!$M$3:$M$5001,"&lt;&gt;"))))</f>
        <v/>
      </c>
      <c r="K180" s="43" t="str">
        <f>IF(OR($B180="",$A180&gt;$B$9,K$149=""),"",IF(COUNTIFS(BD!$B$3:$B$5001,K$149,BD!$A$3:$A$5001,"&gt;="&amp;$C$7,BD!$A$3:$A$5001,"&lt;="&amp;$B180,BD!$M$3:$M$5001,"&lt;&gt;")=0,"",SUMIFS(BD!$M$3:$M$5001,BD!$B$3:$B$5001,K$149,BD!$A$3:$A$5001,_xlfn.MAXIFS(BD!$A$3:$A$5001,BD!$B$3:$B$5001,K$149,BD!$A$3:$A$5001,"&gt;="&amp;$C$7,BD!$A$3:$A$5001,"&lt;="&amp;$B180,BD!$M$3:$M$5001,"&lt;&gt;"))))</f>
        <v/>
      </c>
      <c r="L180" s="43" t="str">
        <f>IF(OR($B180="",$A180&gt;$B$9,L$149=""),"",IF(COUNTIFS(BD!$B$3:$B$5001,L$149,BD!$A$3:$A$5001,"&gt;="&amp;$C$7,BD!$A$3:$A$5001,"&lt;="&amp;$B180,BD!$M$3:$M$5001,"&lt;&gt;")=0,"",SUMIFS(BD!$M$3:$M$5001,BD!$B$3:$B$5001,L$149,BD!$A$3:$A$5001,_xlfn.MAXIFS(BD!$A$3:$A$5001,BD!$B$3:$B$5001,L$149,BD!$A$3:$A$5001,"&gt;="&amp;$C$7,BD!$A$3:$A$5001,"&lt;="&amp;$B180,BD!$M$3:$M$5001,"&lt;&gt;"))))</f>
        <v/>
      </c>
      <c r="M180" s="43" t="str">
        <f>IF(OR($B180="",$A180&gt;$B$9,M$149=""),"",IF(COUNTIFS(BD!$B$3:$B$5001,M$149,BD!$A$3:$A$5001,"&gt;="&amp;$C$7,BD!$A$3:$A$5001,"&lt;="&amp;$B180,BD!$M$3:$M$5001,"&lt;&gt;")=0,"",SUMIFS(BD!$M$3:$M$5001,BD!$B$3:$B$5001,M$149,BD!$A$3:$A$5001,_xlfn.MAXIFS(BD!$A$3:$A$5001,BD!$B$3:$B$5001,M$149,BD!$A$3:$A$5001,"&gt;="&amp;$C$7,BD!$A$3:$A$5001,"&lt;="&amp;$B180,BD!$M$3:$M$5001,"&lt;&gt;"))))</f>
        <v/>
      </c>
      <c r="N180" s="43" t="str">
        <f>IF(OR($B180="",$A180&gt;$B$9,N$149=""),"",IF(COUNTIFS(BD!$B$3:$B$5001,N$149,BD!$A$3:$A$5001,"&gt;="&amp;$C$7,BD!$A$3:$A$5001,"&lt;="&amp;$B180,BD!$M$3:$M$5001,"&lt;&gt;")=0,"",SUMIFS(BD!$M$3:$M$5001,BD!$B$3:$B$5001,N$149,BD!$A$3:$A$5001,_xlfn.MAXIFS(BD!$A$3:$A$5001,BD!$B$3:$B$5001,N$149,BD!$A$3:$A$5001,"&gt;="&amp;$C$7,BD!$A$3:$A$5001,"&lt;="&amp;$B180,BD!$M$3:$M$5001,"&lt;&gt;"))))</f>
        <v/>
      </c>
      <c r="O180" s="43" t="str">
        <f>IF(OR($B180="",$A180&gt;$B$9,O$149=""),"",IF(COUNTIFS(BD!$B$3:$B$5001,O$149,BD!$A$3:$A$5001,"&gt;="&amp;$C$7,BD!$A$3:$A$5001,"&lt;="&amp;$B180,BD!$M$3:$M$5001,"&lt;&gt;")=0,"",SUMIFS(BD!$M$3:$M$5001,BD!$B$3:$B$5001,O$149,BD!$A$3:$A$5001,_xlfn.MAXIFS(BD!$A$3:$A$5001,BD!$B$3:$B$5001,O$149,BD!$A$3:$A$5001,"&gt;="&amp;$C$7,BD!$A$3:$A$5001,"&lt;="&amp;$B180,BD!$M$3:$M$5001,"&lt;&gt;"))))</f>
        <v/>
      </c>
      <c r="P180" s="43" t="str">
        <f>IF(OR($B180="",$A180&gt;$B$9,P$149=""),"",IF(COUNTIFS(BD!$B$3:$B$5001,P$149,BD!$A$3:$A$5001,"&gt;="&amp;$C$7,BD!$A$3:$A$5001,"&lt;="&amp;$B180,BD!$M$3:$M$5001,"&lt;&gt;")=0,"",SUMIFS(BD!$M$3:$M$5001,BD!$B$3:$B$5001,P$149,BD!$A$3:$A$5001,_xlfn.MAXIFS(BD!$A$3:$A$5001,BD!$B$3:$B$5001,P$149,BD!$A$3:$A$5001,"&gt;="&amp;$C$7,BD!$A$3:$A$5001,"&lt;="&amp;$B180,BD!$M$3:$M$5001,"&lt;&gt;"))))</f>
        <v/>
      </c>
      <c r="Q180" s="43" t="str">
        <f>IF(OR($B180="",$A180&gt;$B$9,Q$149=""),"",IF(COUNTIFS(BD!$B$3:$B$5001,Q$149,BD!$A$3:$A$5001,"&gt;="&amp;$C$7,BD!$A$3:$A$5001,"&lt;="&amp;$B180,BD!$M$3:$M$5001,"&lt;&gt;")=0,"",SUMIFS(BD!$M$3:$M$5001,BD!$B$3:$B$5001,Q$149,BD!$A$3:$A$5001,_xlfn.MAXIFS(BD!$A$3:$A$5001,BD!$B$3:$B$5001,Q$149,BD!$A$3:$A$5001,"&gt;="&amp;$C$7,BD!$A$3:$A$5001,"&lt;="&amp;$B180,BD!$M$3:$M$5001,"&lt;&gt;"))))</f>
        <v/>
      </c>
      <c r="R180" s="43" t="str">
        <f>IF(OR($B180="",$A180&gt;$B$9,R$149=""),"",IF(COUNTIFS(BD!$B$3:$B$5001,R$149,BD!$A$3:$A$5001,"&gt;="&amp;$C$7,BD!$A$3:$A$5001,"&lt;="&amp;$B180,BD!$M$3:$M$5001,"&lt;&gt;")=0,"",SUMIFS(BD!$M$3:$M$5001,BD!$B$3:$B$5001,R$149,BD!$A$3:$A$5001,_xlfn.MAXIFS(BD!$A$3:$A$5001,BD!$B$3:$B$5001,R$149,BD!$A$3:$A$5001,"&gt;="&amp;$C$7,BD!$A$3:$A$5001,"&lt;="&amp;$B180,BD!$M$3:$M$5001,"&lt;&gt;"))))</f>
        <v/>
      </c>
      <c r="S180" s="43" t="str">
        <f>IF(OR($B180="",$A180&gt;$B$9,S$149=""),"",IF(COUNTIFS(BD!$B$3:$B$5001,S$149,BD!$A$3:$A$5001,"&gt;="&amp;$C$7,BD!$A$3:$A$5001,"&lt;="&amp;$B180,BD!$M$3:$M$5001,"&lt;&gt;")=0,"",SUMIFS(BD!$M$3:$M$5001,BD!$B$3:$B$5001,S$149,BD!$A$3:$A$5001,_xlfn.MAXIFS(BD!$A$3:$A$5001,BD!$B$3:$B$5001,S$149,BD!$A$3:$A$5001,"&gt;="&amp;$C$7,BD!$A$3:$A$5001,"&lt;="&amp;$B180,BD!$M$3:$M$5001,"&lt;&gt;"))))</f>
        <v/>
      </c>
      <c r="T180" s="43" t="str">
        <f>IF(OR($B180="",$A180&gt;$B$9,T$149=""),"",IF(COUNTIFS(BD!$B$3:$B$5001,T$149,BD!$A$3:$A$5001,"&gt;="&amp;$C$7,BD!$A$3:$A$5001,"&lt;="&amp;$B180,BD!$M$3:$M$5001,"&lt;&gt;")=0,"",SUMIFS(BD!$M$3:$M$5001,BD!$B$3:$B$5001,T$149,BD!$A$3:$A$5001,_xlfn.MAXIFS(BD!$A$3:$A$5001,BD!$B$3:$B$5001,T$149,BD!$A$3:$A$5001,"&gt;="&amp;$C$7,BD!$A$3:$A$5001,"&lt;="&amp;$B180,BD!$M$3:$M$5001,"&lt;&gt;"))))</f>
        <v/>
      </c>
      <c r="U180" s="43" t="str">
        <f>IF(OR($B180="",$A180&gt;$B$9,U$149=""),"",IF(COUNTIFS(BD!$B$3:$B$5001,U$149,BD!$A$3:$A$5001,"&gt;="&amp;$C$7,BD!$A$3:$A$5001,"&lt;="&amp;$B180,BD!$M$3:$M$5001,"&lt;&gt;")=0,"",SUMIFS(BD!$M$3:$M$5001,BD!$B$3:$B$5001,U$149,BD!$A$3:$A$5001,_xlfn.MAXIFS(BD!$A$3:$A$5001,BD!$B$3:$B$5001,U$149,BD!$A$3:$A$5001,"&gt;="&amp;$C$7,BD!$A$3:$A$5001,"&lt;="&amp;$B180,BD!$M$3:$M$5001,"&lt;&gt;"))))</f>
        <v/>
      </c>
      <c r="V180" s="43" t="str">
        <f>IF(OR($B180="",$A180&gt;$B$9,V$149=""),"",IF(COUNTIFS(BD!$B$3:$B$5001,V$149,BD!$A$3:$A$5001,"&gt;="&amp;$C$7,BD!$A$3:$A$5001,"&lt;="&amp;$B180,BD!$M$3:$M$5001,"&lt;&gt;")=0,"",SUMIFS(BD!$M$3:$M$5001,BD!$B$3:$B$5001,V$149,BD!$A$3:$A$5001,_xlfn.MAXIFS(BD!$A$3:$A$5001,BD!$B$3:$B$5001,V$149,BD!$A$3:$A$5001,"&gt;="&amp;$C$7,BD!$A$3:$A$5001,"&lt;="&amp;$B180,BD!$M$3:$M$5001,"&lt;&gt;"))))</f>
        <v/>
      </c>
    </row>
    <row r="181">
      <c r="A181" s="44" t="inlineStr">
        <is>
          <t xml:space="preserve">Mês anterior (último)</t>
        </is>
      </c>
      <c r="C181" s="45" t="str">
        <f>IF(C$149="","",IF(COUNTIFS(BD!$B$3:$B$5001,C$149,BD!$A$3:$A$5001,"&gt;="&amp;$C$8,BD!$A$3:$A$5001,"&lt;="&amp;$D$8,BD!$M$3:$M$5001,"&lt;&gt;")=0,"",SUMIFS(BD!$M$3:$M$5001,BD!$B$3:$B$5001,C$149,BD!$A$3:$A$5001,_xlfn.MAXIFS(BD!$A$3:$A$5001,BD!$B$3:$B$5001,C$149,BD!$A$3:$A$5001,"&gt;="&amp;$C$8,BD!$A$3:$A$5001,"&lt;="&amp;$D$8,BD!$M$3:$M$5001,"&lt;&gt;"))))</f>
        <v/>
      </c>
      <c r="D181" s="45" t="str">
        <f>IF(D$149="","",IF(COUNTIFS(BD!$B$3:$B$5001,D$149,BD!$A$3:$A$5001,"&gt;="&amp;$C$8,BD!$A$3:$A$5001,"&lt;="&amp;$D$8,BD!$M$3:$M$5001,"&lt;&gt;")=0,"",SUMIFS(BD!$M$3:$M$5001,BD!$B$3:$B$5001,D$149,BD!$A$3:$A$5001,_xlfn.MAXIFS(BD!$A$3:$A$5001,BD!$B$3:$B$5001,D$149,BD!$A$3:$A$5001,"&gt;="&amp;$C$8,BD!$A$3:$A$5001,"&lt;="&amp;$D$8,BD!$M$3:$M$5001,"&lt;&gt;"))))</f>
        <v/>
      </c>
      <c r="E181" s="45" t="str">
        <f>IF(E$149="","",IF(COUNTIFS(BD!$B$3:$B$5001,E$149,BD!$A$3:$A$5001,"&gt;="&amp;$C$8,BD!$A$3:$A$5001,"&lt;="&amp;$D$8,BD!$M$3:$M$5001,"&lt;&gt;")=0,"",SUMIFS(BD!$M$3:$M$5001,BD!$B$3:$B$5001,E$149,BD!$A$3:$A$5001,_xlfn.MAXIFS(BD!$A$3:$A$5001,BD!$B$3:$B$5001,E$149,BD!$A$3:$A$5001,"&gt;="&amp;$C$8,BD!$A$3:$A$5001,"&lt;="&amp;$D$8,BD!$M$3:$M$5001,"&lt;&gt;"))))</f>
        <v/>
      </c>
      <c r="F181" s="45" t="str">
        <f>IF(F$149="","",IF(COUNTIFS(BD!$B$3:$B$5001,F$149,BD!$A$3:$A$5001,"&gt;="&amp;$C$8,BD!$A$3:$A$5001,"&lt;="&amp;$D$8,BD!$M$3:$M$5001,"&lt;&gt;")=0,"",SUMIFS(BD!$M$3:$M$5001,BD!$B$3:$B$5001,F$149,BD!$A$3:$A$5001,_xlfn.MAXIFS(BD!$A$3:$A$5001,BD!$B$3:$B$5001,F$149,BD!$A$3:$A$5001,"&gt;="&amp;$C$8,BD!$A$3:$A$5001,"&lt;="&amp;$D$8,BD!$M$3:$M$5001,"&lt;&gt;"))))</f>
        <v/>
      </c>
      <c r="G181" s="45" t="str">
        <f>IF(G$149="","",IF(COUNTIFS(BD!$B$3:$B$5001,G$149,BD!$A$3:$A$5001,"&gt;="&amp;$C$8,BD!$A$3:$A$5001,"&lt;="&amp;$D$8,BD!$M$3:$M$5001,"&lt;&gt;")=0,"",SUMIFS(BD!$M$3:$M$5001,BD!$B$3:$B$5001,G$149,BD!$A$3:$A$5001,_xlfn.MAXIFS(BD!$A$3:$A$5001,BD!$B$3:$B$5001,G$149,BD!$A$3:$A$5001,"&gt;="&amp;$C$8,BD!$A$3:$A$5001,"&lt;="&amp;$D$8,BD!$M$3:$M$5001,"&lt;&gt;"))))</f>
        <v/>
      </c>
      <c r="H181" s="45" t="str">
        <f>IF(H$149="","",IF(COUNTIFS(BD!$B$3:$B$5001,H$149,BD!$A$3:$A$5001,"&gt;="&amp;$C$8,BD!$A$3:$A$5001,"&lt;="&amp;$D$8,BD!$M$3:$M$5001,"&lt;&gt;")=0,"",SUMIFS(BD!$M$3:$M$5001,BD!$B$3:$B$5001,H$149,BD!$A$3:$A$5001,_xlfn.MAXIFS(BD!$A$3:$A$5001,BD!$B$3:$B$5001,H$149,BD!$A$3:$A$5001,"&gt;="&amp;$C$8,BD!$A$3:$A$5001,"&lt;="&amp;$D$8,BD!$M$3:$M$5001,"&lt;&gt;"))))</f>
        <v/>
      </c>
      <c r="I181" s="45" t="str">
        <f>IF(I$149="","",IF(COUNTIFS(BD!$B$3:$B$5001,I$149,BD!$A$3:$A$5001,"&gt;="&amp;$C$8,BD!$A$3:$A$5001,"&lt;="&amp;$D$8,BD!$M$3:$M$5001,"&lt;&gt;")=0,"",SUMIFS(BD!$M$3:$M$5001,BD!$B$3:$B$5001,I$149,BD!$A$3:$A$5001,_xlfn.MAXIFS(BD!$A$3:$A$5001,BD!$B$3:$B$5001,I$149,BD!$A$3:$A$5001,"&gt;="&amp;$C$8,BD!$A$3:$A$5001,"&lt;="&amp;$D$8,BD!$M$3:$M$5001,"&lt;&gt;"))))</f>
        <v/>
      </c>
      <c r="J181" s="45" t="str">
        <f>IF(J$149="","",IF(COUNTIFS(BD!$B$3:$B$5001,J$149,BD!$A$3:$A$5001,"&gt;="&amp;$C$8,BD!$A$3:$A$5001,"&lt;="&amp;$D$8,BD!$M$3:$M$5001,"&lt;&gt;")=0,"",SUMIFS(BD!$M$3:$M$5001,BD!$B$3:$B$5001,J$149,BD!$A$3:$A$5001,_xlfn.MAXIFS(BD!$A$3:$A$5001,BD!$B$3:$B$5001,J$149,BD!$A$3:$A$5001,"&gt;="&amp;$C$8,BD!$A$3:$A$5001,"&lt;="&amp;$D$8,BD!$M$3:$M$5001,"&lt;&gt;"))))</f>
        <v/>
      </c>
      <c r="K181" s="45" t="str">
        <f>IF(K$149="","",IF(COUNTIFS(BD!$B$3:$B$5001,K$149,BD!$A$3:$A$5001,"&gt;="&amp;$C$8,BD!$A$3:$A$5001,"&lt;="&amp;$D$8,BD!$M$3:$M$5001,"&lt;&gt;")=0,"",SUMIFS(BD!$M$3:$M$5001,BD!$B$3:$B$5001,K$149,BD!$A$3:$A$5001,_xlfn.MAXIFS(BD!$A$3:$A$5001,BD!$B$3:$B$5001,K$149,BD!$A$3:$A$5001,"&gt;="&amp;$C$8,BD!$A$3:$A$5001,"&lt;="&amp;$D$8,BD!$M$3:$M$5001,"&lt;&gt;"))))</f>
        <v/>
      </c>
      <c r="L181" s="45" t="str">
        <f>IF(L$149="","",IF(COUNTIFS(BD!$B$3:$B$5001,L$149,BD!$A$3:$A$5001,"&gt;="&amp;$C$8,BD!$A$3:$A$5001,"&lt;="&amp;$D$8,BD!$M$3:$M$5001,"&lt;&gt;")=0,"",SUMIFS(BD!$M$3:$M$5001,BD!$B$3:$B$5001,L$149,BD!$A$3:$A$5001,_xlfn.MAXIFS(BD!$A$3:$A$5001,BD!$B$3:$B$5001,L$149,BD!$A$3:$A$5001,"&gt;="&amp;$C$8,BD!$A$3:$A$5001,"&lt;="&amp;$D$8,BD!$M$3:$M$5001,"&lt;&gt;"))))</f>
        <v/>
      </c>
      <c r="M181" s="45" t="str">
        <f>IF(M$149="","",IF(COUNTIFS(BD!$B$3:$B$5001,M$149,BD!$A$3:$A$5001,"&gt;="&amp;$C$8,BD!$A$3:$A$5001,"&lt;="&amp;$D$8,BD!$M$3:$M$5001,"&lt;&gt;")=0,"",SUMIFS(BD!$M$3:$M$5001,BD!$B$3:$B$5001,M$149,BD!$A$3:$A$5001,_xlfn.MAXIFS(BD!$A$3:$A$5001,BD!$B$3:$B$5001,M$149,BD!$A$3:$A$5001,"&gt;="&amp;$C$8,BD!$A$3:$A$5001,"&lt;="&amp;$D$8,BD!$M$3:$M$5001,"&lt;&gt;"))))</f>
        <v/>
      </c>
      <c r="N181" s="45" t="str">
        <f>IF(N$149="","",IF(COUNTIFS(BD!$B$3:$B$5001,N$149,BD!$A$3:$A$5001,"&gt;="&amp;$C$8,BD!$A$3:$A$5001,"&lt;="&amp;$D$8,BD!$M$3:$M$5001,"&lt;&gt;")=0,"",SUMIFS(BD!$M$3:$M$5001,BD!$B$3:$B$5001,N$149,BD!$A$3:$A$5001,_xlfn.MAXIFS(BD!$A$3:$A$5001,BD!$B$3:$B$5001,N$149,BD!$A$3:$A$5001,"&gt;="&amp;$C$8,BD!$A$3:$A$5001,"&lt;="&amp;$D$8,BD!$M$3:$M$5001,"&lt;&gt;"))))</f>
        <v/>
      </c>
      <c r="O181" s="45" t="str">
        <f>IF(O$149="","",IF(COUNTIFS(BD!$B$3:$B$5001,O$149,BD!$A$3:$A$5001,"&gt;="&amp;$C$8,BD!$A$3:$A$5001,"&lt;="&amp;$D$8,BD!$M$3:$M$5001,"&lt;&gt;")=0,"",SUMIFS(BD!$M$3:$M$5001,BD!$B$3:$B$5001,O$149,BD!$A$3:$A$5001,_xlfn.MAXIFS(BD!$A$3:$A$5001,BD!$B$3:$B$5001,O$149,BD!$A$3:$A$5001,"&gt;="&amp;$C$8,BD!$A$3:$A$5001,"&lt;="&amp;$D$8,BD!$M$3:$M$5001,"&lt;&gt;"))))</f>
        <v/>
      </c>
      <c r="P181" s="45" t="str">
        <f>IF(P$149="","",IF(COUNTIFS(BD!$B$3:$B$5001,P$149,BD!$A$3:$A$5001,"&gt;="&amp;$C$8,BD!$A$3:$A$5001,"&lt;="&amp;$D$8,BD!$M$3:$M$5001,"&lt;&gt;")=0,"",SUMIFS(BD!$M$3:$M$5001,BD!$B$3:$B$5001,P$149,BD!$A$3:$A$5001,_xlfn.MAXIFS(BD!$A$3:$A$5001,BD!$B$3:$B$5001,P$149,BD!$A$3:$A$5001,"&gt;="&amp;$C$8,BD!$A$3:$A$5001,"&lt;="&amp;$D$8,BD!$M$3:$M$5001,"&lt;&gt;"))))</f>
        <v/>
      </c>
      <c r="Q181" s="45" t="str">
        <f>IF(Q$149="","",IF(COUNTIFS(BD!$B$3:$B$5001,Q$149,BD!$A$3:$A$5001,"&gt;="&amp;$C$8,BD!$A$3:$A$5001,"&lt;="&amp;$D$8,BD!$M$3:$M$5001,"&lt;&gt;")=0,"",SUMIFS(BD!$M$3:$M$5001,BD!$B$3:$B$5001,Q$149,BD!$A$3:$A$5001,_xlfn.MAXIFS(BD!$A$3:$A$5001,BD!$B$3:$B$5001,Q$149,BD!$A$3:$A$5001,"&gt;="&amp;$C$8,BD!$A$3:$A$5001,"&lt;="&amp;$D$8,BD!$M$3:$M$5001,"&lt;&gt;"))))</f>
        <v/>
      </c>
      <c r="R181" s="45" t="str">
        <f>IF(R$149="","",IF(COUNTIFS(BD!$B$3:$B$5001,R$149,BD!$A$3:$A$5001,"&gt;="&amp;$C$8,BD!$A$3:$A$5001,"&lt;="&amp;$D$8,BD!$M$3:$M$5001,"&lt;&gt;")=0,"",SUMIFS(BD!$M$3:$M$5001,BD!$B$3:$B$5001,R$149,BD!$A$3:$A$5001,_xlfn.MAXIFS(BD!$A$3:$A$5001,BD!$B$3:$B$5001,R$149,BD!$A$3:$A$5001,"&gt;="&amp;$C$8,BD!$A$3:$A$5001,"&lt;="&amp;$D$8,BD!$M$3:$M$5001,"&lt;&gt;"))))</f>
        <v/>
      </c>
      <c r="S181" s="45" t="str">
        <f>IF(S$149="","",IF(COUNTIFS(BD!$B$3:$B$5001,S$149,BD!$A$3:$A$5001,"&gt;="&amp;$C$8,BD!$A$3:$A$5001,"&lt;="&amp;$D$8,BD!$M$3:$M$5001,"&lt;&gt;")=0,"",SUMIFS(BD!$M$3:$M$5001,BD!$B$3:$B$5001,S$149,BD!$A$3:$A$5001,_xlfn.MAXIFS(BD!$A$3:$A$5001,BD!$B$3:$B$5001,S$149,BD!$A$3:$A$5001,"&gt;="&amp;$C$8,BD!$A$3:$A$5001,"&lt;="&amp;$D$8,BD!$M$3:$M$5001,"&lt;&gt;"))))</f>
        <v/>
      </c>
      <c r="T181" s="45" t="str">
        <f>IF(T$149="","",IF(COUNTIFS(BD!$B$3:$B$5001,T$149,BD!$A$3:$A$5001,"&gt;="&amp;$C$8,BD!$A$3:$A$5001,"&lt;="&amp;$D$8,BD!$M$3:$M$5001,"&lt;&gt;")=0,"",SUMIFS(BD!$M$3:$M$5001,BD!$B$3:$B$5001,T$149,BD!$A$3:$A$5001,_xlfn.MAXIFS(BD!$A$3:$A$5001,BD!$B$3:$B$5001,T$149,BD!$A$3:$A$5001,"&gt;="&amp;$C$8,BD!$A$3:$A$5001,"&lt;="&amp;$D$8,BD!$M$3:$M$5001,"&lt;&gt;"))))</f>
        <v/>
      </c>
      <c r="U181" s="45" t="str">
        <f>IF(U$149="","",IF(COUNTIFS(BD!$B$3:$B$5001,U$149,BD!$A$3:$A$5001,"&gt;="&amp;$C$8,BD!$A$3:$A$5001,"&lt;="&amp;$D$8,BD!$M$3:$M$5001,"&lt;&gt;")=0,"",SUMIFS(BD!$M$3:$M$5001,BD!$B$3:$B$5001,U$149,BD!$A$3:$A$5001,_xlfn.MAXIFS(BD!$A$3:$A$5001,BD!$B$3:$B$5001,U$149,BD!$A$3:$A$5001,"&gt;="&amp;$C$8,BD!$A$3:$A$5001,"&lt;="&amp;$D$8,BD!$M$3:$M$5001,"&lt;&gt;"))))</f>
        <v/>
      </c>
      <c r="V181" s="45" t="str">
        <f>IF(V$149="","",IF(COUNTIFS(BD!$B$3:$B$5001,V$149,BD!$A$3:$A$5001,"&gt;="&amp;$C$8,BD!$A$3:$A$5001,"&lt;="&amp;$D$8,BD!$M$3:$M$5001,"&lt;&gt;")=0,"",SUMIFS(BD!$M$3:$M$5001,BD!$B$3:$B$5001,V$149,BD!$A$3:$A$5001,_xlfn.MAXIFS(BD!$A$3:$A$5001,BD!$B$3:$B$5001,V$149,BD!$A$3:$A$5001,"&gt;="&amp;$C$8,BD!$A$3:$A$5001,"&lt;="&amp;$D$8,BD!$M$3:$M$5001,"&lt;&gt;"))))</f>
        <v/>
      </c>
    </row>
    <row r="182">
      <c r="A182" s="44" t="inlineStr">
        <is>
          <t xml:space="preserve">Depósito</t>
        </is>
      </c>
      <c r="C182" s="38" t="str">
        <f>IF(Config!$C$10="","JSL",Config!$C$10)</f>
        <v>JSL</v>
      </c>
      <c r="D182" s="38" t="str">
        <f>IF(Config!$C$11="","JSL",Config!$C$11)</f>
        <v>JSL</v>
      </c>
      <c r="E182" s="38" t="str">
        <f>IF(Config!$C$12="","JSL",Config!$C$12)</f>
        <v>JSL</v>
      </c>
      <c r="F182" s="38" t="str">
        <f>IF(Config!$C$13="","JSL",Config!$C$13)</f>
        <v>JSL</v>
      </c>
      <c r="G182" s="38" t="str">
        <f>IF(Config!$C$14="","JSL",Config!$C$14)</f>
        <v>JSL</v>
      </c>
      <c r="H182" s="38" t="str">
        <f>IF(Config!$C$15="","JSL",Config!$C$15)</f>
        <v>JSL</v>
      </c>
      <c r="I182" s="38" t="str">
        <f>IF(Config!$C$16="","JSL",Config!$C$16)</f>
        <v>JSL</v>
      </c>
      <c r="J182" s="38" t="str">
        <f>IF(Config!$C$17="","JSL",Config!$C$17)</f>
        <v>JSL</v>
      </c>
      <c r="K182" s="38" t="str">
        <f>IF(Config!$C$18="","JSL",Config!$C$18)</f>
        <v>JSL</v>
      </c>
      <c r="L182" s="38" t="str">
        <f>IF(Config!$C$19="","JSL",Config!$C$19)</f>
        <v>JSL</v>
      </c>
      <c r="M182" s="38" t="str">
        <f>IF(Config!$C$20="","JSL",Config!$C$20)</f>
        <v>JSL</v>
      </c>
      <c r="N182" s="38" t="str">
        <f>IF(Config!$C$21="","JSL",Config!$C$21)</f>
        <v>JSL</v>
      </c>
      <c r="O182" s="38" t="str">
        <f>IF(Config!$C$22="","JSL",Config!$C$22)</f>
        <v>JSL</v>
      </c>
      <c r="P182" s="38" t="str">
        <f>IF(Config!$C$23="","JSL",Config!$C$23)</f>
        <v>JSL</v>
      </c>
      <c r="Q182" s="38" t="str">
        <f>IF(Config!$C$24="","JSL",Config!$C$24)</f>
        <v>JSL</v>
      </c>
      <c r="R182" s="38" t="str">
        <f>IF(Config!$C$25="","JSL",Config!$C$25)</f>
        <v>JSL</v>
      </c>
      <c r="S182" s="38" t="str">
        <f>IF(Config!$C$26="","JSL",Config!$C$26)</f>
        <v>JSL</v>
      </c>
      <c r="T182" s="38" t="str">
        <f>IF(Config!$C$27="","JSL",Config!$C$27)</f>
        <v>JSL</v>
      </c>
      <c r="U182" s="38" t="str">
        <f>IF(Config!$C$28="","JSL",Config!$C$28)</f>
        <v>JSL</v>
      </c>
      <c r="V182" s="38" t="str">
        <f>IF(Config!$C$29="","JSL",Config!$C$29)</f>
        <v>JSL</v>
      </c>
    </row>
    <row r="184">
      <c r="A184" s="37" t="inlineStr">
        <is>
          <t xml:space="preserve">Posições Disponíveis</t>
        </is>
      </c>
      <c r="B184" s="37" t="inlineStr">
        <is>
          <t xml:space="preserve">Data</t>
        </is>
      </c>
      <c r="C184" s="37" t="str">
        <f>Config!$B$10&amp;""</f>
        <v>Barry Callebaut</v>
      </c>
      <c r="D184" s="37" t="str">
        <f>Config!$B$11&amp;""</f>
        <v>GM</v>
      </c>
      <c r="E184" s="37" t="str">
        <f>Config!$B$12&amp;""</f>
        <v>Mondelez</v>
      </c>
      <c r="F184" s="37" t="str">
        <f>Config!$B$13&amp;""</f>
        <v>Nestlé</v>
      </c>
      <c r="G184" s="37" t="str">
        <f>Config!$B$14&amp;""</f>
        <v>PMB</v>
      </c>
      <c r="H184" s="37" t="str">
        <f>Config!$B$15&amp;""</f>
        <v/>
      </c>
      <c r="I184" s="37" t="str">
        <f>Config!$B$16&amp;""</f>
        <v/>
      </c>
      <c r="J184" s="37" t="str">
        <f>Config!$B$17&amp;""</f>
        <v/>
      </c>
      <c r="K184" s="37" t="str">
        <f>Config!$B$18&amp;""</f>
        <v/>
      </c>
      <c r="L184" s="37" t="str">
        <f>Config!$B$19&amp;""</f>
        <v/>
      </c>
      <c r="M184" s="37" t="str">
        <f>Config!$B$20&amp;""</f>
        <v/>
      </c>
      <c r="N184" s="37" t="str">
        <f>Config!$B$21&amp;""</f>
        <v/>
      </c>
      <c r="O184" s="37" t="str">
        <f>Config!$B$22&amp;""</f>
        <v/>
      </c>
      <c r="P184" s="37" t="str">
        <f>Config!$B$23&amp;""</f>
        <v/>
      </c>
      <c r="Q184" s="37" t="str">
        <f>Config!$B$24&amp;""</f>
        <v/>
      </c>
      <c r="R184" s="37" t="str">
        <f>Config!$B$25&amp;""</f>
        <v/>
      </c>
      <c r="S184" s="37" t="str">
        <f>Config!$B$26&amp;""</f>
        <v/>
      </c>
      <c r="T184" s="37" t="str">
        <f>Config!$B$27&amp;""</f>
        <v/>
      </c>
      <c r="U184" s="37" t="str">
        <f>Config!$B$28&amp;""</f>
        <v/>
      </c>
      <c r="V184" s="37" t="str">
        <f>Config!$B$29&amp;""</f>
        <v/>
      </c>
    </row>
    <row r="185">
      <c r="A185" s="38">
        <v>1</v>
      </c>
      <c r="B185" s="42">
        <f>$B$12</f>
        <v>46296</v>
      </c>
      <c r="C185" s="43" t="str">
        <f>IF(OR($B185="",$A185&gt;$B$9,C$184=""),"",IF(COUNTIFS(BD!$B$3:$B$5001,C$184,BD!$A$3:$A$5001,"&gt;="&amp;$C$7,BD!$A$3:$A$5001,"&lt;="&amp;$B185,BD!$L$3:$L$5001,"&lt;&gt;")=0,"",SUMIFS(BD!$L$3:$L$5001,BD!$B$3:$B$5001,C$184,BD!$A$3:$A$5001,_xlfn.MAXIFS(BD!$A$3:$A$5001,BD!$B$3:$B$5001,C$184,BD!$A$3:$A$5001,"&gt;="&amp;$C$7,BD!$A$3:$A$5001,"&lt;="&amp;$B185,BD!$L$3:$L$5001,"&lt;&gt;"))))</f>
        <v/>
      </c>
      <c r="D185" s="43" t="str">
        <f>IF(OR($B185="",$A185&gt;$B$9,D$184=""),"",IF(COUNTIFS(BD!$B$3:$B$5001,D$184,BD!$A$3:$A$5001,"&gt;="&amp;$C$7,BD!$A$3:$A$5001,"&lt;="&amp;$B185,BD!$L$3:$L$5001,"&lt;&gt;")=0,"",SUMIFS(BD!$L$3:$L$5001,BD!$B$3:$B$5001,D$184,BD!$A$3:$A$5001,_xlfn.MAXIFS(BD!$A$3:$A$5001,BD!$B$3:$B$5001,D$184,BD!$A$3:$A$5001,"&gt;="&amp;$C$7,BD!$A$3:$A$5001,"&lt;="&amp;$B185,BD!$L$3:$L$5001,"&lt;&gt;"))))</f>
        <v/>
      </c>
      <c r="E185" s="43" t="str">
        <f>IF(OR($B185="",$A185&gt;$B$9,E$184=""),"",IF(COUNTIFS(BD!$B$3:$B$5001,E$184,BD!$A$3:$A$5001,"&gt;="&amp;$C$7,BD!$A$3:$A$5001,"&lt;="&amp;$B185,BD!$L$3:$L$5001,"&lt;&gt;")=0,"",SUMIFS(BD!$L$3:$L$5001,BD!$B$3:$B$5001,E$184,BD!$A$3:$A$5001,_xlfn.MAXIFS(BD!$A$3:$A$5001,BD!$B$3:$B$5001,E$184,BD!$A$3:$A$5001,"&gt;="&amp;$C$7,BD!$A$3:$A$5001,"&lt;="&amp;$B185,BD!$L$3:$L$5001,"&lt;&gt;"))))</f>
        <v/>
      </c>
      <c r="F185" s="43" t="str">
        <f>IF(OR($B185="",$A185&gt;$B$9,F$184=""),"",IF(COUNTIFS(BD!$B$3:$B$5001,F$184,BD!$A$3:$A$5001,"&gt;="&amp;$C$7,BD!$A$3:$A$5001,"&lt;="&amp;$B185,BD!$L$3:$L$5001,"&lt;&gt;")=0,"",SUMIFS(BD!$L$3:$L$5001,BD!$B$3:$B$5001,F$184,BD!$A$3:$A$5001,_xlfn.MAXIFS(BD!$A$3:$A$5001,BD!$B$3:$B$5001,F$184,BD!$A$3:$A$5001,"&gt;="&amp;$C$7,BD!$A$3:$A$5001,"&lt;="&amp;$B185,BD!$L$3:$L$5001,"&lt;&gt;"))))</f>
        <v/>
      </c>
      <c r="G185" s="43" t="str">
        <f>IF(OR($B185="",$A185&gt;$B$9,G$184=""),"",IF(COUNTIFS(BD!$B$3:$B$5001,G$184,BD!$A$3:$A$5001,"&gt;="&amp;$C$7,BD!$A$3:$A$5001,"&lt;="&amp;$B185,BD!$L$3:$L$5001,"&lt;&gt;")=0,"",SUMIFS(BD!$L$3:$L$5001,BD!$B$3:$B$5001,G$184,BD!$A$3:$A$5001,_xlfn.MAXIFS(BD!$A$3:$A$5001,BD!$B$3:$B$5001,G$184,BD!$A$3:$A$5001,"&gt;="&amp;$C$7,BD!$A$3:$A$5001,"&lt;="&amp;$B185,BD!$L$3:$L$5001,"&lt;&gt;"))))</f>
        <v/>
      </c>
      <c r="H185" s="43" t="str">
        <f>IF(OR($B185="",$A185&gt;$B$9,H$184=""),"",IF(COUNTIFS(BD!$B$3:$B$5001,H$184,BD!$A$3:$A$5001,"&gt;="&amp;$C$7,BD!$A$3:$A$5001,"&lt;="&amp;$B185,BD!$L$3:$L$5001,"&lt;&gt;")=0,"",SUMIFS(BD!$L$3:$L$5001,BD!$B$3:$B$5001,H$184,BD!$A$3:$A$5001,_xlfn.MAXIFS(BD!$A$3:$A$5001,BD!$B$3:$B$5001,H$184,BD!$A$3:$A$5001,"&gt;="&amp;$C$7,BD!$A$3:$A$5001,"&lt;="&amp;$B185,BD!$L$3:$L$5001,"&lt;&gt;"))))</f>
        <v/>
      </c>
      <c r="I185" s="43" t="str">
        <f>IF(OR($B185="",$A185&gt;$B$9,I$184=""),"",IF(COUNTIFS(BD!$B$3:$B$5001,I$184,BD!$A$3:$A$5001,"&gt;="&amp;$C$7,BD!$A$3:$A$5001,"&lt;="&amp;$B185,BD!$L$3:$L$5001,"&lt;&gt;")=0,"",SUMIFS(BD!$L$3:$L$5001,BD!$B$3:$B$5001,I$184,BD!$A$3:$A$5001,_xlfn.MAXIFS(BD!$A$3:$A$5001,BD!$B$3:$B$5001,I$184,BD!$A$3:$A$5001,"&gt;="&amp;$C$7,BD!$A$3:$A$5001,"&lt;="&amp;$B185,BD!$L$3:$L$5001,"&lt;&gt;"))))</f>
        <v/>
      </c>
      <c r="J185" s="43" t="str">
        <f>IF(OR($B185="",$A185&gt;$B$9,J$184=""),"",IF(COUNTIFS(BD!$B$3:$B$5001,J$184,BD!$A$3:$A$5001,"&gt;="&amp;$C$7,BD!$A$3:$A$5001,"&lt;="&amp;$B185,BD!$L$3:$L$5001,"&lt;&gt;")=0,"",SUMIFS(BD!$L$3:$L$5001,BD!$B$3:$B$5001,J$184,BD!$A$3:$A$5001,_xlfn.MAXIFS(BD!$A$3:$A$5001,BD!$B$3:$B$5001,J$184,BD!$A$3:$A$5001,"&gt;="&amp;$C$7,BD!$A$3:$A$5001,"&lt;="&amp;$B185,BD!$L$3:$L$5001,"&lt;&gt;"))))</f>
        <v/>
      </c>
      <c r="K185" s="43" t="str">
        <f>IF(OR($B185="",$A185&gt;$B$9,K$184=""),"",IF(COUNTIFS(BD!$B$3:$B$5001,K$184,BD!$A$3:$A$5001,"&gt;="&amp;$C$7,BD!$A$3:$A$5001,"&lt;="&amp;$B185,BD!$L$3:$L$5001,"&lt;&gt;")=0,"",SUMIFS(BD!$L$3:$L$5001,BD!$B$3:$B$5001,K$184,BD!$A$3:$A$5001,_xlfn.MAXIFS(BD!$A$3:$A$5001,BD!$B$3:$B$5001,K$184,BD!$A$3:$A$5001,"&gt;="&amp;$C$7,BD!$A$3:$A$5001,"&lt;="&amp;$B185,BD!$L$3:$L$5001,"&lt;&gt;"))))</f>
        <v/>
      </c>
      <c r="L185" s="43" t="str">
        <f>IF(OR($B185="",$A185&gt;$B$9,L$184=""),"",IF(COUNTIFS(BD!$B$3:$B$5001,L$184,BD!$A$3:$A$5001,"&gt;="&amp;$C$7,BD!$A$3:$A$5001,"&lt;="&amp;$B185,BD!$L$3:$L$5001,"&lt;&gt;")=0,"",SUMIFS(BD!$L$3:$L$5001,BD!$B$3:$B$5001,L$184,BD!$A$3:$A$5001,_xlfn.MAXIFS(BD!$A$3:$A$5001,BD!$B$3:$B$5001,L$184,BD!$A$3:$A$5001,"&gt;="&amp;$C$7,BD!$A$3:$A$5001,"&lt;="&amp;$B185,BD!$L$3:$L$5001,"&lt;&gt;"))))</f>
        <v/>
      </c>
      <c r="M185" s="43" t="str">
        <f>IF(OR($B185="",$A185&gt;$B$9,M$184=""),"",IF(COUNTIFS(BD!$B$3:$B$5001,M$184,BD!$A$3:$A$5001,"&gt;="&amp;$C$7,BD!$A$3:$A$5001,"&lt;="&amp;$B185,BD!$L$3:$L$5001,"&lt;&gt;")=0,"",SUMIFS(BD!$L$3:$L$5001,BD!$B$3:$B$5001,M$184,BD!$A$3:$A$5001,_xlfn.MAXIFS(BD!$A$3:$A$5001,BD!$B$3:$B$5001,M$184,BD!$A$3:$A$5001,"&gt;="&amp;$C$7,BD!$A$3:$A$5001,"&lt;="&amp;$B185,BD!$L$3:$L$5001,"&lt;&gt;"))))</f>
        <v/>
      </c>
      <c r="N185" s="43" t="str">
        <f>IF(OR($B185="",$A185&gt;$B$9,N$184=""),"",IF(COUNTIFS(BD!$B$3:$B$5001,N$184,BD!$A$3:$A$5001,"&gt;="&amp;$C$7,BD!$A$3:$A$5001,"&lt;="&amp;$B185,BD!$L$3:$L$5001,"&lt;&gt;")=0,"",SUMIFS(BD!$L$3:$L$5001,BD!$B$3:$B$5001,N$184,BD!$A$3:$A$5001,_xlfn.MAXIFS(BD!$A$3:$A$5001,BD!$B$3:$B$5001,N$184,BD!$A$3:$A$5001,"&gt;="&amp;$C$7,BD!$A$3:$A$5001,"&lt;="&amp;$B185,BD!$L$3:$L$5001,"&lt;&gt;"))))</f>
        <v/>
      </c>
      <c r="O185" s="43" t="str">
        <f>IF(OR($B185="",$A185&gt;$B$9,O$184=""),"",IF(COUNTIFS(BD!$B$3:$B$5001,O$184,BD!$A$3:$A$5001,"&gt;="&amp;$C$7,BD!$A$3:$A$5001,"&lt;="&amp;$B185,BD!$L$3:$L$5001,"&lt;&gt;")=0,"",SUMIFS(BD!$L$3:$L$5001,BD!$B$3:$B$5001,O$184,BD!$A$3:$A$5001,_xlfn.MAXIFS(BD!$A$3:$A$5001,BD!$B$3:$B$5001,O$184,BD!$A$3:$A$5001,"&gt;="&amp;$C$7,BD!$A$3:$A$5001,"&lt;="&amp;$B185,BD!$L$3:$L$5001,"&lt;&gt;"))))</f>
        <v/>
      </c>
      <c r="P185" s="43" t="str">
        <f>IF(OR($B185="",$A185&gt;$B$9,P$184=""),"",IF(COUNTIFS(BD!$B$3:$B$5001,P$184,BD!$A$3:$A$5001,"&gt;="&amp;$C$7,BD!$A$3:$A$5001,"&lt;="&amp;$B185,BD!$L$3:$L$5001,"&lt;&gt;")=0,"",SUMIFS(BD!$L$3:$L$5001,BD!$B$3:$B$5001,P$184,BD!$A$3:$A$5001,_xlfn.MAXIFS(BD!$A$3:$A$5001,BD!$B$3:$B$5001,P$184,BD!$A$3:$A$5001,"&gt;="&amp;$C$7,BD!$A$3:$A$5001,"&lt;="&amp;$B185,BD!$L$3:$L$5001,"&lt;&gt;"))))</f>
        <v/>
      </c>
      <c r="Q185" s="43" t="str">
        <f>IF(OR($B185="",$A185&gt;$B$9,Q$184=""),"",IF(COUNTIFS(BD!$B$3:$B$5001,Q$184,BD!$A$3:$A$5001,"&gt;="&amp;$C$7,BD!$A$3:$A$5001,"&lt;="&amp;$B185,BD!$L$3:$L$5001,"&lt;&gt;")=0,"",SUMIFS(BD!$L$3:$L$5001,BD!$B$3:$B$5001,Q$184,BD!$A$3:$A$5001,_xlfn.MAXIFS(BD!$A$3:$A$5001,BD!$B$3:$B$5001,Q$184,BD!$A$3:$A$5001,"&gt;="&amp;$C$7,BD!$A$3:$A$5001,"&lt;="&amp;$B185,BD!$L$3:$L$5001,"&lt;&gt;"))))</f>
        <v/>
      </c>
      <c r="R185" s="43" t="str">
        <f>IF(OR($B185="",$A185&gt;$B$9,R$184=""),"",IF(COUNTIFS(BD!$B$3:$B$5001,R$184,BD!$A$3:$A$5001,"&gt;="&amp;$C$7,BD!$A$3:$A$5001,"&lt;="&amp;$B185,BD!$L$3:$L$5001,"&lt;&gt;")=0,"",SUMIFS(BD!$L$3:$L$5001,BD!$B$3:$B$5001,R$184,BD!$A$3:$A$5001,_xlfn.MAXIFS(BD!$A$3:$A$5001,BD!$B$3:$B$5001,R$184,BD!$A$3:$A$5001,"&gt;="&amp;$C$7,BD!$A$3:$A$5001,"&lt;="&amp;$B185,BD!$L$3:$L$5001,"&lt;&gt;"))))</f>
        <v/>
      </c>
      <c r="S185" s="43" t="str">
        <f>IF(OR($B185="",$A185&gt;$B$9,S$184=""),"",IF(COUNTIFS(BD!$B$3:$B$5001,S$184,BD!$A$3:$A$5001,"&gt;="&amp;$C$7,BD!$A$3:$A$5001,"&lt;="&amp;$B185,BD!$L$3:$L$5001,"&lt;&gt;")=0,"",SUMIFS(BD!$L$3:$L$5001,BD!$B$3:$B$5001,S$184,BD!$A$3:$A$5001,_xlfn.MAXIFS(BD!$A$3:$A$5001,BD!$B$3:$B$5001,S$184,BD!$A$3:$A$5001,"&gt;="&amp;$C$7,BD!$A$3:$A$5001,"&lt;="&amp;$B185,BD!$L$3:$L$5001,"&lt;&gt;"))))</f>
        <v/>
      </c>
      <c r="T185" s="43" t="str">
        <f>IF(OR($B185="",$A185&gt;$B$9,T$184=""),"",IF(COUNTIFS(BD!$B$3:$B$5001,T$184,BD!$A$3:$A$5001,"&gt;="&amp;$C$7,BD!$A$3:$A$5001,"&lt;="&amp;$B185,BD!$L$3:$L$5001,"&lt;&gt;")=0,"",SUMIFS(BD!$L$3:$L$5001,BD!$B$3:$B$5001,T$184,BD!$A$3:$A$5001,_xlfn.MAXIFS(BD!$A$3:$A$5001,BD!$B$3:$B$5001,T$184,BD!$A$3:$A$5001,"&gt;="&amp;$C$7,BD!$A$3:$A$5001,"&lt;="&amp;$B185,BD!$L$3:$L$5001,"&lt;&gt;"))))</f>
        <v/>
      </c>
      <c r="U185" s="43" t="str">
        <f>IF(OR($B185="",$A185&gt;$B$9,U$184=""),"",IF(COUNTIFS(BD!$B$3:$B$5001,U$184,BD!$A$3:$A$5001,"&gt;="&amp;$C$7,BD!$A$3:$A$5001,"&lt;="&amp;$B185,BD!$L$3:$L$5001,"&lt;&gt;")=0,"",SUMIFS(BD!$L$3:$L$5001,BD!$B$3:$B$5001,U$184,BD!$A$3:$A$5001,_xlfn.MAXIFS(BD!$A$3:$A$5001,BD!$B$3:$B$5001,U$184,BD!$A$3:$A$5001,"&gt;="&amp;$C$7,BD!$A$3:$A$5001,"&lt;="&amp;$B185,BD!$L$3:$L$5001,"&lt;&gt;"))))</f>
        <v/>
      </c>
      <c r="V185" s="43" t="str">
        <f>IF(OR($B185="",$A185&gt;$B$9,V$184=""),"",IF(COUNTIFS(BD!$B$3:$B$5001,V$184,BD!$A$3:$A$5001,"&gt;="&amp;$C$7,BD!$A$3:$A$5001,"&lt;="&amp;$B185,BD!$L$3:$L$5001,"&lt;&gt;")=0,"",SUMIFS(BD!$L$3:$L$5001,BD!$B$3:$B$5001,V$184,BD!$A$3:$A$5001,_xlfn.MAXIFS(BD!$A$3:$A$5001,BD!$B$3:$B$5001,V$184,BD!$A$3:$A$5001,"&gt;="&amp;$C$7,BD!$A$3:$A$5001,"&lt;="&amp;$B185,BD!$L$3:$L$5001,"&lt;&gt;"))))</f>
        <v/>
      </c>
    </row>
    <row r="186">
      <c r="A186" s="38">
        <v>2</v>
      </c>
      <c r="B186" s="42">
        <f>$B$13</f>
        <v>46297</v>
      </c>
      <c r="C186" s="43" t="str">
        <f>IF(OR($B186="",$A186&gt;$B$9,C$184=""),"",IF(COUNTIFS(BD!$B$3:$B$5001,C$184,BD!$A$3:$A$5001,"&gt;="&amp;$C$7,BD!$A$3:$A$5001,"&lt;="&amp;$B186,BD!$L$3:$L$5001,"&lt;&gt;")=0,"",SUMIFS(BD!$L$3:$L$5001,BD!$B$3:$B$5001,C$184,BD!$A$3:$A$5001,_xlfn.MAXIFS(BD!$A$3:$A$5001,BD!$B$3:$B$5001,C$184,BD!$A$3:$A$5001,"&gt;="&amp;$C$7,BD!$A$3:$A$5001,"&lt;="&amp;$B186,BD!$L$3:$L$5001,"&lt;&gt;"))))</f>
        <v/>
      </c>
      <c r="D186" s="43" t="str">
        <f>IF(OR($B186="",$A186&gt;$B$9,D$184=""),"",IF(COUNTIFS(BD!$B$3:$B$5001,D$184,BD!$A$3:$A$5001,"&gt;="&amp;$C$7,BD!$A$3:$A$5001,"&lt;="&amp;$B186,BD!$L$3:$L$5001,"&lt;&gt;")=0,"",SUMIFS(BD!$L$3:$L$5001,BD!$B$3:$B$5001,D$184,BD!$A$3:$A$5001,_xlfn.MAXIFS(BD!$A$3:$A$5001,BD!$B$3:$B$5001,D$184,BD!$A$3:$A$5001,"&gt;="&amp;$C$7,BD!$A$3:$A$5001,"&lt;="&amp;$B186,BD!$L$3:$L$5001,"&lt;&gt;"))))</f>
        <v/>
      </c>
      <c r="E186" s="43" t="str">
        <f>IF(OR($B186="",$A186&gt;$B$9,E$184=""),"",IF(COUNTIFS(BD!$B$3:$B$5001,E$184,BD!$A$3:$A$5001,"&gt;="&amp;$C$7,BD!$A$3:$A$5001,"&lt;="&amp;$B186,BD!$L$3:$L$5001,"&lt;&gt;")=0,"",SUMIFS(BD!$L$3:$L$5001,BD!$B$3:$B$5001,E$184,BD!$A$3:$A$5001,_xlfn.MAXIFS(BD!$A$3:$A$5001,BD!$B$3:$B$5001,E$184,BD!$A$3:$A$5001,"&gt;="&amp;$C$7,BD!$A$3:$A$5001,"&lt;="&amp;$B186,BD!$L$3:$L$5001,"&lt;&gt;"))))</f>
        <v/>
      </c>
      <c r="F186" s="43" t="str">
        <f>IF(OR($B186="",$A186&gt;$B$9,F$184=""),"",IF(COUNTIFS(BD!$B$3:$B$5001,F$184,BD!$A$3:$A$5001,"&gt;="&amp;$C$7,BD!$A$3:$A$5001,"&lt;="&amp;$B186,BD!$L$3:$L$5001,"&lt;&gt;")=0,"",SUMIFS(BD!$L$3:$L$5001,BD!$B$3:$B$5001,F$184,BD!$A$3:$A$5001,_xlfn.MAXIFS(BD!$A$3:$A$5001,BD!$B$3:$B$5001,F$184,BD!$A$3:$A$5001,"&gt;="&amp;$C$7,BD!$A$3:$A$5001,"&lt;="&amp;$B186,BD!$L$3:$L$5001,"&lt;&gt;"))))</f>
        <v/>
      </c>
      <c r="G186" s="43" t="str">
        <f>IF(OR($B186="",$A186&gt;$B$9,G$184=""),"",IF(COUNTIFS(BD!$B$3:$B$5001,G$184,BD!$A$3:$A$5001,"&gt;="&amp;$C$7,BD!$A$3:$A$5001,"&lt;="&amp;$B186,BD!$L$3:$L$5001,"&lt;&gt;")=0,"",SUMIFS(BD!$L$3:$L$5001,BD!$B$3:$B$5001,G$184,BD!$A$3:$A$5001,_xlfn.MAXIFS(BD!$A$3:$A$5001,BD!$B$3:$B$5001,G$184,BD!$A$3:$A$5001,"&gt;="&amp;$C$7,BD!$A$3:$A$5001,"&lt;="&amp;$B186,BD!$L$3:$L$5001,"&lt;&gt;"))))</f>
        <v/>
      </c>
      <c r="H186" s="43" t="str">
        <f>IF(OR($B186="",$A186&gt;$B$9,H$184=""),"",IF(COUNTIFS(BD!$B$3:$B$5001,H$184,BD!$A$3:$A$5001,"&gt;="&amp;$C$7,BD!$A$3:$A$5001,"&lt;="&amp;$B186,BD!$L$3:$L$5001,"&lt;&gt;")=0,"",SUMIFS(BD!$L$3:$L$5001,BD!$B$3:$B$5001,H$184,BD!$A$3:$A$5001,_xlfn.MAXIFS(BD!$A$3:$A$5001,BD!$B$3:$B$5001,H$184,BD!$A$3:$A$5001,"&gt;="&amp;$C$7,BD!$A$3:$A$5001,"&lt;="&amp;$B186,BD!$L$3:$L$5001,"&lt;&gt;"))))</f>
        <v/>
      </c>
      <c r="I186" s="43" t="str">
        <f>IF(OR($B186="",$A186&gt;$B$9,I$184=""),"",IF(COUNTIFS(BD!$B$3:$B$5001,I$184,BD!$A$3:$A$5001,"&gt;="&amp;$C$7,BD!$A$3:$A$5001,"&lt;="&amp;$B186,BD!$L$3:$L$5001,"&lt;&gt;")=0,"",SUMIFS(BD!$L$3:$L$5001,BD!$B$3:$B$5001,I$184,BD!$A$3:$A$5001,_xlfn.MAXIFS(BD!$A$3:$A$5001,BD!$B$3:$B$5001,I$184,BD!$A$3:$A$5001,"&gt;="&amp;$C$7,BD!$A$3:$A$5001,"&lt;="&amp;$B186,BD!$L$3:$L$5001,"&lt;&gt;"))))</f>
        <v/>
      </c>
      <c r="J186" s="43" t="str">
        <f>IF(OR($B186="",$A186&gt;$B$9,J$184=""),"",IF(COUNTIFS(BD!$B$3:$B$5001,J$184,BD!$A$3:$A$5001,"&gt;="&amp;$C$7,BD!$A$3:$A$5001,"&lt;="&amp;$B186,BD!$L$3:$L$5001,"&lt;&gt;")=0,"",SUMIFS(BD!$L$3:$L$5001,BD!$B$3:$B$5001,J$184,BD!$A$3:$A$5001,_xlfn.MAXIFS(BD!$A$3:$A$5001,BD!$B$3:$B$5001,J$184,BD!$A$3:$A$5001,"&gt;="&amp;$C$7,BD!$A$3:$A$5001,"&lt;="&amp;$B186,BD!$L$3:$L$5001,"&lt;&gt;"))))</f>
        <v/>
      </c>
      <c r="K186" s="43" t="str">
        <f>IF(OR($B186="",$A186&gt;$B$9,K$184=""),"",IF(COUNTIFS(BD!$B$3:$B$5001,K$184,BD!$A$3:$A$5001,"&gt;="&amp;$C$7,BD!$A$3:$A$5001,"&lt;="&amp;$B186,BD!$L$3:$L$5001,"&lt;&gt;")=0,"",SUMIFS(BD!$L$3:$L$5001,BD!$B$3:$B$5001,K$184,BD!$A$3:$A$5001,_xlfn.MAXIFS(BD!$A$3:$A$5001,BD!$B$3:$B$5001,K$184,BD!$A$3:$A$5001,"&gt;="&amp;$C$7,BD!$A$3:$A$5001,"&lt;="&amp;$B186,BD!$L$3:$L$5001,"&lt;&gt;"))))</f>
        <v/>
      </c>
      <c r="L186" s="43" t="str">
        <f>IF(OR($B186="",$A186&gt;$B$9,L$184=""),"",IF(COUNTIFS(BD!$B$3:$B$5001,L$184,BD!$A$3:$A$5001,"&gt;="&amp;$C$7,BD!$A$3:$A$5001,"&lt;="&amp;$B186,BD!$L$3:$L$5001,"&lt;&gt;")=0,"",SUMIFS(BD!$L$3:$L$5001,BD!$B$3:$B$5001,L$184,BD!$A$3:$A$5001,_xlfn.MAXIFS(BD!$A$3:$A$5001,BD!$B$3:$B$5001,L$184,BD!$A$3:$A$5001,"&gt;="&amp;$C$7,BD!$A$3:$A$5001,"&lt;="&amp;$B186,BD!$L$3:$L$5001,"&lt;&gt;"))))</f>
        <v/>
      </c>
      <c r="M186" s="43" t="str">
        <f>IF(OR($B186="",$A186&gt;$B$9,M$184=""),"",IF(COUNTIFS(BD!$B$3:$B$5001,M$184,BD!$A$3:$A$5001,"&gt;="&amp;$C$7,BD!$A$3:$A$5001,"&lt;="&amp;$B186,BD!$L$3:$L$5001,"&lt;&gt;")=0,"",SUMIFS(BD!$L$3:$L$5001,BD!$B$3:$B$5001,M$184,BD!$A$3:$A$5001,_xlfn.MAXIFS(BD!$A$3:$A$5001,BD!$B$3:$B$5001,M$184,BD!$A$3:$A$5001,"&gt;="&amp;$C$7,BD!$A$3:$A$5001,"&lt;="&amp;$B186,BD!$L$3:$L$5001,"&lt;&gt;"))))</f>
        <v/>
      </c>
      <c r="N186" s="43" t="str">
        <f>IF(OR($B186="",$A186&gt;$B$9,N$184=""),"",IF(COUNTIFS(BD!$B$3:$B$5001,N$184,BD!$A$3:$A$5001,"&gt;="&amp;$C$7,BD!$A$3:$A$5001,"&lt;="&amp;$B186,BD!$L$3:$L$5001,"&lt;&gt;")=0,"",SUMIFS(BD!$L$3:$L$5001,BD!$B$3:$B$5001,N$184,BD!$A$3:$A$5001,_xlfn.MAXIFS(BD!$A$3:$A$5001,BD!$B$3:$B$5001,N$184,BD!$A$3:$A$5001,"&gt;="&amp;$C$7,BD!$A$3:$A$5001,"&lt;="&amp;$B186,BD!$L$3:$L$5001,"&lt;&gt;"))))</f>
        <v/>
      </c>
      <c r="O186" s="43" t="str">
        <f>IF(OR($B186="",$A186&gt;$B$9,O$184=""),"",IF(COUNTIFS(BD!$B$3:$B$5001,O$184,BD!$A$3:$A$5001,"&gt;="&amp;$C$7,BD!$A$3:$A$5001,"&lt;="&amp;$B186,BD!$L$3:$L$5001,"&lt;&gt;")=0,"",SUMIFS(BD!$L$3:$L$5001,BD!$B$3:$B$5001,O$184,BD!$A$3:$A$5001,_xlfn.MAXIFS(BD!$A$3:$A$5001,BD!$B$3:$B$5001,O$184,BD!$A$3:$A$5001,"&gt;="&amp;$C$7,BD!$A$3:$A$5001,"&lt;="&amp;$B186,BD!$L$3:$L$5001,"&lt;&gt;"))))</f>
        <v/>
      </c>
      <c r="P186" s="43" t="str">
        <f>IF(OR($B186="",$A186&gt;$B$9,P$184=""),"",IF(COUNTIFS(BD!$B$3:$B$5001,P$184,BD!$A$3:$A$5001,"&gt;="&amp;$C$7,BD!$A$3:$A$5001,"&lt;="&amp;$B186,BD!$L$3:$L$5001,"&lt;&gt;")=0,"",SUMIFS(BD!$L$3:$L$5001,BD!$B$3:$B$5001,P$184,BD!$A$3:$A$5001,_xlfn.MAXIFS(BD!$A$3:$A$5001,BD!$B$3:$B$5001,P$184,BD!$A$3:$A$5001,"&gt;="&amp;$C$7,BD!$A$3:$A$5001,"&lt;="&amp;$B186,BD!$L$3:$L$5001,"&lt;&gt;"))))</f>
        <v/>
      </c>
      <c r="Q186" s="43" t="str">
        <f>IF(OR($B186="",$A186&gt;$B$9,Q$184=""),"",IF(COUNTIFS(BD!$B$3:$B$5001,Q$184,BD!$A$3:$A$5001,"&gt;="&amp;$C$7,BD!$A$3:$A$5001,"&lt;="&amp;$B186,BD!$L$3:$L$5001,"&lt;&gt;")=0,"",SUMIFS(BD!$L$3:$L$5001,BD!$B$3:$B$5001,Q$184,BD!$A$3:$A$5001,_xlfn.MAXIFS(BD!$A$3:$A$5001,BD!$B$3:$B$5001,Q$184,BD!$A$3:$A$5001,"&gt;="&amp;$C$7,BD!$A$3:$A$5001,"&lt;="&amp;$B186,BD!$L$3:$L$5001,"&lt;&gt;"))))</f>
        <v/>
      </c>
      <c r="R186" s="43" t="str">
        <f>IF(OR($B186="",$A186&gt;$B$9,R$184=""),"",IF(COUNTIFS(BD!$B$3:$B$5001,R$184,BD!$A$3:$A$5001,"&gt;="&amp;$C$7,BD!$A$3:$A$5001,"&lt;="&amp;$B186,BD!$L$3:$L$5001,"&lt;&gt;")=0,"",SUMIFS(BD!$L$3:$L$5001,BD!$B$3:$B$5001,R$184,BD!$A$3:$A$5001,_xlfn.MAXIFS(BD!$A$3:$A$5001,BD!$B$3:$B$5001,R$184,BD!$A$3:$A$5001,"&gt;="&amp;$C$7,BD!$A$3:$A$5001,"&lt;="&amp;$B186,BD!$L$3:$L$5001,"&lt;&gt;"))))</f>
        <v/>
      </c>
      <c r="S186" s="43" t="str">
        <f>IF(OR($B186="",$A186&gt;$B$9,S$184=""),"",IF(COUNTIFS(BD!$B$3:$B$5001,S$184,BD!$A$3:$A$5001,"&gt;="&amp;$C$7,BD!$A$3:$A$5001,"&lt;="&amp;$B186,BD!$L$3:$L$5001,"&lt;&gt;")=0,"",SUMIFS(BD!$L$3:$L$5001,BD!$B$3:$B$5001,S$184,BD!$A$3:$A$5001,_xlfn.MAXIFS(BD!$A$3:$A$5001,BD!$B$3:$B$5001,S$184,BD!$A$3:$A$5001,"&gt;="&amp;$C$7,BD!$A$3:$A$5001,"&lt;="&amp;$B186,BD!$L$3:$L$5001,"&lt;&gt;"))))</f>
        <v/>
      </c>
      <c r="T186" s="43" t="str">
        <f>IF(OR($B186="",$A186&gt;$B$9,T$184=""),"",IF(COUNTIFS(BD!$B$3:$B$5001,T$184,BD!$A$3:$A$5001,"&gt;="&amp;$C$7,BD!$A$3:$A$5001,"&lt;="&amp;$B186,BD!$L$3:$L$5001,"&lt;&gt;")=0,"",SUMIFS(BD!$L$3:$L$5001,BD!$B$3:$B$5001,T$184,BD!$A$3:$A$5001,_xlfn.MAXIFS(BD!$A$3:$A$5001,BD!$B$3:$B$5001,T$184,BD!$A$3:$A$5001,"&gt;="&amp;$C$7,BD!$A$3:$A$5001,"&lt;="&amp;$B186,BD!$L$3:$L$5001,"&lt;&gt;"))))</f>
        <v/>
      </c>
      <c r="U186" s="43" t="str">
        <f>IF(OR($B186="",$A186&gt;$B$9,U$184=""),"",IF(COUNTIFS(BD!$B$3:$B$5001,U$184,BD!$A$3:$A$5001,"&gt;="&amp;$C$7,BD!$A$3:$A$5001,"&lt;="&amp;$B186,BD!$L$3:$L$5001,"&lt;&gt;")=0,"",SUMIFS(BD!$L$3:$L$5001,BD!$B$3:$B$5001,U$184,BD!$A$3:$A$5001,_xlfn.MAXIFS(BD!$A$3:$A$5001,BD!$B$3:$B$5001,U$184,BD!$A$3:$A$5001,"&gt;="&amp;$C$7,BD!$A$3:$A$5001,"&lt;="&amp;$B186,BD!$L$3:$L$5001,"&lt;&gt;"))))</f>
        <v/>
      </c>
      <c r="V186" s="43" t="str">
        <f>IF(OR($B186="",$A186&gt;$B$9,V$184=""),"",IF(COUNTIFS(BD!$B$3:$B$5001,V$184,BD!$A$3:$A$5001,"&gt;="&amp;$C$7,BD!$A$3:$A$5001,"&lt;="&amp;$B186,BD!$L$3:$L$5001,"&lt;&gt;")=0,"",SUMIFS(BD!$L$3:$L$5001,BD!$B$3:$B$5001,V$184,BD!$A$3:$A$5001,_xlfn.MAXIFS(BD!$A$3:$A$5001,BD!$B$3:$B$5001,V$184,BD!$A$3:$A$5001,"&gt;="&amp;$C$7,BD!$A$3:$A$5001,"&lt;="&amp;$B186,BD!$L$3:$L$5001,"&lt;&gt;"))))</f>
        <v/>
      </c>
    </row>
    <row r="187">
      <c r="A187" s="38">
        <v>3</v>
      </c>
      <c r="B187" s="42">
        <f>$B$14</f>
        <v>46298</v>
      </c>
      <c r="C187" s="43" t="str">
        <f>IF(OR($B187="",$A187&gt;$B$9,C$184=""),"",IF(COUNTIFS(BD!$B$3:$B$5001,C$184,BD!$A$3:$A$5001,"&gt;="&amp;$C$7,BD!$A$3:$A$5001,"&lt;="&amp;$B187,BD!$L$3:$L$5001,"&lt;&gt;")=0,"",SUMIFS(BD!$L$3:$L$5001,BD!$B$3:$B$5001,C$184,BD!$A$3:$A$5001,_xlfn.MAXIFS(BD!$A$3:$A$5001,BD!$B$3:$B$5001,C$184,BD!$A$3:$A$5001,"&gt;="&amp;$C$7,BD!$A$3:$A$5001,"&lt;="&amp;$B187,BD!$L$3:$L$5001,"&lt;&gt;"))))</f>
        <v/>
      </c>
      <c r="D187" s="43" t="str">
        <f>IF(OR($B187="",$A187&gt;$B$9,D$184=""),"",IF(COUNTIFS(BD!$B$3:$B$5001,D$184,BD!$A$3:$A$5001,"&gt;="&amp;$C$7,BD!$A$3:$A$5001,"&lt;="&amp;$B187,BD!$L$3:$L$5001,"&lt;&gt;")=0,"",SUMIFS(BD!$L$3:$L$5001,BD!$B$3:$B$5001,D$184,BD!$A$3:$A$5001,_xlfn.MAXIFS(BD!$A$3:$A$5001,BD!$B$3:$B$5001,D$184,BD!$A$3:$A$5001,"&gt;="&amp;$C$7,BD!$A$3:$A$5001,"&lt;="&amp;$B187,BD!$L$3:$L$5001,"&lt;&gt;"))))</f>
        <v/>
      </c>
      <c r="E187" s="43" t="str">
        <f>IF(OR($B187="",$A187&gt;$B$9,E$184=""),"",IF(COUNTIFS(BD!$B$3:$B$5001,E$184,BD!$A$3:$A$5001,"&gt;="&amp;$C$7,BD!$A$3:$A$5001,"&lt;="&amp;$B187,BD!$L$3:$L$5001,"&lt;&gt;")=0,"",SUMIFS(BD!$L$3:$L$5001,BD!$B$3:$B$5001,E$184,BD!$A$3:$A$5001,_xlfn.MAXIFS(BD!$A$3:$A$5001,BD!$B$3:$B$5001,E$184,BD!$A$3:$A$5001,"&gt;="&amp;$C$7,BD!$A$3:$A$5001,"&lt;="&amp;$B187,BD!$L$3:$L$5001,"&lt;&gt;"))))</f>
        <v/>
      </c>
      <c r="F187" s="43" t="str">
        <f>IF(OR($B187="",$A187&gt;$B$9,F$184=""),"",IF(COUNTIFS(BD!$B$3:$B$5001,F$184,BD!$A$3:$A$5001,"&gt;="&amp;$C$7,BD!$A$3:$A$5001,"&lt;="&amp;$B187,BD!$L$3:$L$5001,"&lt;&gt;")=0,"",SUMIFS(BD!$L$3:$L$5001,BD!$B$3:$B$5001,F$184,BD!$A$3:$A$5001,_xlfn.MAXIFS(BD!$A$3:$A$5001,BD!$B$3:$B$5001,F$184,BD!$A$3:$A$5001,"&gt;="&amp;$C$7,BD!$A$3:$A$5001,"&lt;="&amp;$B187,BD!$L$3:$L$5001,"&lt;&gt;"))))</f>
        <v/>
      </c>
      <c r="G187" s="43" t="str">
        <f>IF(OR($B187="",$A187&gt;$B$9,G$184=""),"",IF(COUNTIFS(BD!$B$3:$B$5001,G$184,BD!$A$3:$A$5001,"&gt;="&amp;$C$7,BD!$A$3:$A$5001,"&lt;="&amp;$B187,BD!$L$3:$L$5001,"&lt;&gt;")=0,"",SUMIFS(BD!$L$3:$L$5001,BD!$B$3:$B$5001,G$184,BD!$A$3:$A$5001,_xlfn.MAXIFS(BD!$A$3:$A$5001,BD!$B$3:$B$5001,G$184,BD!$A$3:$A$5001,"&gt;="&amp;$C$7,BD!$A$3:$A$5001,"&lt;="&amp;$B187,BD!$L$3:$L$5001,"&lt;&gt;"))))</f>
        <v/>
      </c>
      <c r="H187" s="43" t="str">
        <f>IF(OR($B187="",$A187&gt;$B$9,H$184=""),"",IF(COUNTIFS(BD!$B$3:$B$5001,H$184,BD!$A$3:$A$5001,"&gt;="&amp;$C$7,BD!$A$3:$A$5001,"&lt;="&amp;$B187,BD!$L$3:$L$5001,"&lt;&gt;")=0,"",SUMIFS(BD!$L$3:$L$5001,BD!$B$3:$B$5001,H$184,BD!$A$3:$A$5001,_xlfn.MAXIFS(BD!$A$3:$A$5001,BD!$B$3:$B$5001,H$184,BD!$A$3:$A$5001,"&gt;="&amp;$C$7,BD!$A$3:$A$5001,"&lt;="&amp;$B187,BD!$L$3:$L$5001,"&lt;&gt;"))))</f>
        <v/>
      </c>
      <c r="I187" s="43" t="str">
        <f>IF(OR($B187="",$A187&gt;$B$9,I$184=""),"",IF(COUNTIFS(BD!$B$3:$B$5001,I$184,BD!$A$3:$A$5001,"&gt;="&amp;$C$7,BD!$A$3:$A$5001,"&lt;="&amp;$B187,BD!$L$3:$L$5001,"&lt;&gt;")=0,"",SUMIFS(BD!$L$3:$L$5001,BD!$B$3:$B$5001,I$184,BD!$A$3:$A$5001,_xlfn.MAXIFS(BD!$A$3:$A$5001,BD!$B$3:$B$5001,I$184,BD!$A$3:$A$5001,"&gt;="&amp;$C$7,BD!$A$3:$A$5001,"&lt;="&amp;$B187,BD!$L$3:$L$5001,"&lt;&gt;"))))</f>
        <v/>
      </c>
      <c r="J187" s="43" t="str">
        <f>IF(OR($B187="",$A187&gt;$B$9,J$184=""),"",IF(COUNTIFS(BD!$B$3:$B$5001,J$184,BD!$A$3:$A$5001,"&gt;="&amp;$C$7,BD!$A$3:$A$5001,"&lt;="&amp;$B187,BD!$L$3:$L$5001,"&lt;&gt;")=0,"",SUMIFS(BD!$L$3:$L$5001,BD!$B$3:$B$5001,J$184,BD!$A$3:$A$5001,_xlfn.MAXIFS(BD!$A$3:$A$5001,BD!$B$3:$B$5001,J$184,BD!$A$3:$A$5001,"&gt;="&amp;$C$7,BD!$A$3:$A$5001,"&lt;="&amp;$B187,BD!$L$3:$L$5001,"&lt;&gt;"))))</f>
        <v/>
      </c>
      <c r="K187" s="43" t="str">
        <f>IF(OR($B187="",$A187&gt;$B$9,K$184=""),"",IF(COUNTIFS(BD!$B$3:$B$5001,K$184,BD!$A$3:$A$5001,"&gt;="&amp;$C$7,BD!$A$3:$A$5001,"&lt;="&amp;$B187,BD!$L$3:$L$5001,"&lt;&gt;")=0,"",SUMIFS(BD!$L$3:$L$5001,BD!$B$3:$B$5001,K$184,BD!$A$3:$A$5001,_xlfn.MAXIFS(BD!$A$3:$A$5001,BD!$B$3:$B$5001,K$184,BD!$A$3:$A$5001,"&gt;="&amp;$C$7,BD!$A$3:$A$5001,"&lt;="&amp;$B187,BD!$L$3:$L$5001,"&lt;&gt;"))))</f>
        <v/>
      </c>
      <c r="L187" s="43" t="str">
        <f>IF(OR($B187="",$A187&gt;$B$9,L$184=""),"",IF(COUNTIFS(BD!$B$3:$B$5001,L$184,BD!$A$3:$A$5001,"&gt;="&amp;$C$7,BD!$A$3:$A$5001,"&lt;="&amp;$B187,BD!$L$3:$L$5001,"&lt;&gt;")=0,"",SUMIFS(BD!$L$3:$L$5001,BD!$B$3:$B$5001,L$184,BD!$A$3:$A$5001,_xlfn.MAXIFS(BD!$A$3:$A$5001,BD!$B$3:$B$5001,L$184,BD!$A$3:$A$5001,"&gt;="&amp;$C$7,BD!$A$3:$A$5001,"&lt;="&amp;$B187,BD!$L$3:$L$5001,"&lt;&gt;"))))</f>
        <v/>
      </c>
      <c r="M187" s="43" t="str">
        <f>IF(OR($B187="",$A187&gt;$B$9,M$184=""),"",IF(COUNTIFS(BD!$B$3:$B$5001,M$184,BD!$A$3:$A$5001,"&gt;="&amp;$C$7,BD!$A$3:$A$5001,"&lt;="&amp;$B187,BD!$L$3:$L$5001,"&lt;&gt;")=0,"",SUMIFS(BD!$L$3:$L$5001,BD!$B$3:$B$5001,M$184,BD!$A$3:$A$5001,_xlfn.MAXIFS(BD!$A$3:$A$5001,BD!$B$3:$B$5001,M$184,BD!$A$3:$A$5001,"&gt;="&amp;$C$7,BD!$A$3:$A$5001,"&lt;="&amp;$B187,BD!$L$3:$L$5001,"&lt;&gt;"))))</f>
        <v/>
      </c>
      <c r="N187" s="43" t="str">
        <f>IF(OR($B187="",$A187&gt;$B$9,N$184=""),"",IF(COUNTIFS(BD!$B$3:$B$5001,N$184,BD!$A$3:$A$5001,"&gt;="&amp;$C$7,BD!$A$3:$A$5001,"&lt;="&amp;$B187,BD!$L$3:$L$5001,"&lt;&gt;")=0,"",SUMIFS(BD!$L$3:$L$5001,BD!$B$3:$B$5001,N$184,BD!$A$3:$A$5001,_xlfn.MAXIFS(BD!$A$3:$A$5001,BD!$B$3:$B$5001,N$184,BD!$A$3:$A$5001,"&gt;="&amp;$C$7,BD!$A$3:$A$5001,"&lt;="&amp;$B187,BD!$L$3:$L$5001,"&lt;&gt;"))))</f>
        <v/>
      </c>
      <c r="O187" s="43" t="str">
        <f>IF(OR($B187="",$A187&gt;$B$9,O$184=""),"",IF(COUNTIFS(BD!$B$3:$B$5001,O$184,BD!$A$3:$A$5001,"&gt;="&amp;$C$7,BD!$A$3:$A$5001,"&lt;="&amp;$B187,BD!$L$3:$L$5001,"&lt;&gt;")=0,"",SUMIFS(BD!$L$3:$L$5001,BD!$B$3:$B$5001,O$184,BD!$A$3:$A$5001,_xlfn.MAXIFS(BD!$A$3:$A$5001,BD!$B$3:$B$5001,O$184,BD!$A$3:$A$5001,"&gt;="&amp;$C$7,BD!$A$3:$A$5001,"&lt;="&amp;$B187,BD!$L$3:$L$5001,"&lt;&gt;"))))</f>
        <v/>
      </c>
      <c r="P187" s="43" t="str">
        <f>IF(OR($B187="",$A187&gt;$B$9,P$184=""),"",IF(COUNTIFS(BD!$B$3:$B$5001,P$184,BD!$A$3:$A$5001,"&gt;="&amp;$C$7,BD!$A$3:$A$5001,"&lt;="&amp;$B187,BD!$L$3:$L$5001,"&lt;&gt;")=0,"",SUMIFS(BD!$L$3:$L$5001,BD!$B$3:$B$5001,P$184,BD!$A$3:$A$5001,_xlfn.MAXIFS(BD!$A$3:$A$5001,BD!$B$3:$B$5001,P$184,BD!$A$3:$A$5001,"&gt;="&amp;$C$7,BD!$A$3:$A$5001,"&lt;="&amp;$B187,BD!$L$3:$L$5001,"&lt;&gt;"))))</f>
        <v/>
      </c>
      <c r="Q187" s="43" t="str">
        <f>IF(OR($B187="",$A187&gt;$B$9,Q$184=""),"",IF(COUNTIFS(BD!$B$3:$B$5001,Q$184,BD!$A$3:$A$5001,"&gt;="&amp;$C$7,BD!$A$3:$A$5001,"&lt;="&amp;$B187,BD!$L$3:$L$5001,"&lt;&gt;")=0,"",SUMIFS(BD!$L$3:$L$5001,BD!$B$3:$B$5001,Q$184,BD!$A$3:$A$5001,_xlfn.MAXIFS(BD!$A$3:$A$5001,BD!$B$3:$B$5001,Q$184,BD!$A$3:$A$5001,"&gt;="&amp;$C$7,BD!$A$3:$A$5001,"&lt;="&amp;$B187,BD!$L$3:$L$5001,"&lt;&gt;"))))</f>
        <v/>
      </c>
      <c r="R187" s="43" t="str">
        <f>IF(OR($B187="",$A187&gt;$B$9,R$184=""),"",IF(COUNTIFS(BD!$B$3:$B$5001,R$184,BD!$A$3:$A$5001,"&gt;="&amp;$C$7,BD!$A$3:$A$5001,"&lt;="&amp;$B187,BD!$L$3:$L$5001,"&lt;&gt;")=0,"",SUMIFS(BD!$L$3:$L$5001,BD!$B$3:$B$5001,R$184,BD!$A$3:$A$5001,_xlfn.MAXIFS(BD!$A$3:$A$5001,BD!$B$3:$B$5001,R$184,BD!$A$3:$A$5001,"&gt;="&amp;$C$7,BD!$A$3:$A$5001,"&lt;="&amp;$B187,BD!$L$3:$L$5001,"&lt;&gt;"))))</f>
        <v/>
      </c>
      <c r="S187" s="43" t="str">
        <f>IF(OR($B187="",$A187&gt;$B$9,S$184=""),"",IF(COUNTIFS(BD!$B$3:$B$5001,S$184,BD!$A$3:$A$5001,"&gt;="&amp;$C$7,BD!$A$3:$A$5001,"&lt;="&amp;$B187,BD!$L$3:$L$5001,"&lt;&gt;")=0,"",SUMIFS(BD!$L$3:$L$5001,BD!$B$3:$B$5001,S$184,BD!$A$3:$A$5001,_xlfn.MAXIFS(BD!$A$3:$A$5001,BD!$B$3:$B$5001,S$184,BD!$A$3:$A$5001,"&gt;="&amp;$C$7,BD!$A$3:$A$5001,"&lt;="&amp;$B187,BD!$L$3:$L$5001,"&lt;&gt;"))))</f>
        <v/>
      </c>
      <c r="T187" s="43" t="str">
        <f>IF(OR($B187="",$A187&gt;$B$9,T$184=""),"",IF(COUNTIFS(BD!$B$3:$B$5001,T$184,BD!$A$3:$A$5001,"&gt;="&amp;$C$7,BD!$A$3:$A$5001,"&lt;="&amp;$B187,BD!$L$3:$L$5001,"&lt;&gt;")=0,"",SUMIFS(BD!$L$3:$L$5001,BD!$B$3:$B$5001,T$184,BD!$A$3:$A$5001,_xlfn.MAXIFS(BD!$A$3:$A$5001,BD!$B$3:$B$5001,T$184,BD!$A$3:$A$5001,"&gt;="&amp;$C$7,BD!$A$3:$A$5001,"&lt;="&amp;$B187,BD!$L$3:$L$5001,"&lt;&gt;"))))</f>
        <v/>
      </c>
      <c r="U187" s="43" t="str">
        <f>IF(OR($B187="",$A187&gt;$B$9,U$184=""),"",IF(COUNTIFS(BD!$B$3:$B$5001,U$184,BD!$A$3:$A$5001,"&gt;="&amp;$C$7,BD!$A$3:$A$5001,"&lt;="&amp;$B187,BD!$L$3:$L$5001,"&lt;&gt;")=0,"",SUMIFS(BD!$L$3:$L$5001,BD!$B$3:$B$5001,U$184,BD!$A$3:$A$5001,_xlfn.MAXIFS(BD!$A$3:$A$5001,BD!$B$3:$B$5001,U$184,BD!$A$3:$A$5001,"&gt;="&amp;$C$7,BD!$A$3:$A$5001,"&lt;="&amp;$B187,BD!$L$3:$L$5001,"&lt;&gt;"))))</f>
        <v/>
      </c>
      <c r="V187" s="43" t="str">
        <f>IF(OR($B187="",$A187&gt;$B$9,V$184=""),"",IF(COUNTIFS(BD!$B$3:$B$5001,V$184,BD!$A$3:$A$5001,"&gt;="&amp;$C$7,BD!$A$3:$A$5001,"&lt;="&amp;$B187,BD!$L$3:$L$5001,"&lt;&gt;")=0,"",SUMIFS(BD!$L$3:$L$5001,BD!$B$3:$B$5001,V$184,BD!$A$3:$A$5001,_xlfn.MAXIFS(BD!$A$3:$A$5001,BD!$B$3:$B$5001,V$184,BD!$A$3:$A$5001,"&gt;="&amp;$C$7,BD!$A$3:$A$5001,"&lt;="&amp;$B187,BD!$L$3:$L$5001,"&lt;&gt;"))))</f>
        <v/>
      </c>
    </row>
    <row r="188">
      <c r="A188" s="38">
        <v>4</v>
      </c>
      <c r="B188" s="42">
        <f>$B$15</f>
        <v>46299</v>
      </c>
      <c r="C188" s="43" t="str">
        <f>IF(OR($B188="",$A188&gt;$B$9,C$184=""),"",IF(COUNTIFS(BD!$B$3:$B$5001,C$184,BD!$A$3:$A$5001,"&gt;="&amp;$C$7,BD!$A$3:$A$5001,"&lt;="&amp;$B188,BD!$L$3:$L$5001,"&lt;&gt;")=0,"",SUMIFS(BD!$L$3:$L$5001,BD!$B$3:$B$5001,C$184,BD!$A$3:$A$5001,_xlfn.MAXIFS(BD!$A$3:$A$5001,BD!$B$3:$B$5001,C$184,BD!$A$3:$A$5001,"&gt;="&amp;$C$7,BD!$A$3:$A$5001,"&lt;="&amp;$B188,BD!$L$3:$L$5001,"&lt;&gt;"))))</f>
        <v/>
      </c>
      <c r="D188" s="43" t="str">
        <f>IF(OR($B188="",$A188&gt;$B$9,D$184=""),"",IF(COUNTIFS(BD!$B$3:$B$5001,D$184,BD!$A$3:$A$5001,"&gt;="&amp;$C$7,BD!$A$3:$A$5001,"&lt;="&amp;$B188,BD!$L$3:$L$5001,"&lt;&gt;")=0,"",SUMIFS(BD!$L$3:$L$5001,BD!$B$3:$B$5001,D$184,BD!$A$3:$A$5001,_xlfn.MAXIFS(BD!$A$3:$A$5001,BD!$B$3:$B$5001,D$184,BD!$A$3:$A$5001,"&gt;="&amp;$C$7,BD!$A$3:$A$5001,"&lt;="&amp;$B188,BD!$L$3:$L$5001,"&lt;&gt;"))))</f>
        <v/>
      </c>
      <c r="E188" s="43" t="str">
        <f>IF(OR($B188="",$A188&gt;$B$9,E$184=""),"",IF(COUNTIFS(BD!$B$3:$B$5001,E$184,BD!$A$3:$A$5001,"&gt;="&amp;$C$7,BD!$A$3:$A$5001,"&lt;="&amp;$B188,BD!$L$3:$L$5001,"&lt;&gt;")=0,"",SUMIFS(BD!$L$3:$L$5001,BD!$B$3:$B$5001,E$184,BD!$A$3:$A$5001,_xlfn.MAXIFS(BD!$A$3:$A$5001,BD!$B$3:$B$5001,E$184,BD!$A$3:$A$5001,"&gt;="&amp;$C$7,BD!$A$3:$A$5001,"&lt;="&amp;$B188,BD!$L$3:$L$5001,"&lt;&gt;"))))</f>
        <v/>
      </c>
      <c r="F188" s="43" t="str">
        <f>IF(OR($B188="",$A188&gt;$B$9,F$184=""),"",IF(COUNTIFS(BD!$B$3:$B$5001,F$184,BD!$A$3:$A$5001,"&gt;="&amp;$C$7,BD!$A$3:$A$5001,"&lt;="&amp;$B188,BD!$L$3:$L$5001,"&lt;&gt;")=0,"",SUMIFS(BD!$L$3:$L$5001,BD!$B$3:$B$5001,F$184,BD!$A$3:$A$5001,_xlfn.MAXIFS(BD!$A$3:$A$5001,BD!$B$3:$B$5001,F$184,BD!$A$3:$A$5001,"&gt;="&amp;$C$7,BD!$A$3:$A$5001,"&lt;="&amp;$B188,BD!$L$3:$L$5001,"&lt;&gt;"))))</f>
        <v/>
      </c>
      <c r="G188" s="43" t="str">
        <f>IF(OR($B188="",$A188&gt;$B$9,G$184=""),"",IF(COUNTIFS(BD!$B$3:$B$5001,G$184,BD!$A$3:$A$5001,"&gt;="&amp;$C$7,BD!$A$3:$A$5001,"&lt;="&amp;$B188,BD!$L$3:$L$5001,"&lt;&gt;")=0,"",SUMIFS(BD!$L$3:$L$5001,BD!$B$3:$B$5001,G$184,BD!$A$3:$A$5001,_xlfn.MAXIFS(BD!$A$3:$A$5001,BD!$B$3:$B$5001,G$184,BD!$A$3:$A$5001,"&gt;="&amp;$C$7,BD!$A$3:$A$5001,"&lt;="&amp;$B188,BD!$L$3:$L$5001,"&lt;&gt;"))))</f>
        <v/>
      </c>
      <c r="H188" s="43" t="str">
        <f>IF(OR($B188="",$A188&gt;$B$9,H$184=""),"",IF(COUNTIFS(BD!$B$3:$B$5001,H$184,BD!$A$3:$A$5001,"&gt;="&amp;$C$7,BD!$A$3:$A$5001,"&lt;="&amp;$B188,BD!$L$3:$L$5001,"&lt;&gt;")=0,"",SUMIFS(BD!$L$3:$L$5001,BD!$B$3:$B$5001,H$184,BD!$A$3:$A$5001,_xlfn.MAXIFS(BD!$A$3:$A$5001,BD!$B$3:$B$5001,H$184,BD!$A$3:$A$5001,"&gt;="&amp;$C$7,BD!$A$3:$A$5001,"&lt;="&amp;$B188,BD!$L$3:$L$5001,"&lt;&gt;"))))</f>
        <v/>
      </c>
      <c r="I188" s="43" t="str">
        <f>IF(OR($B188="",$A188&gt;$B$9,I$184=""),"",IF(COUNTIFS(BD!$B$3:$B$5001,I$184,BD!$A$3:$A$5001,"&gt;="&amp;$C$7,BD!$A$3:$A$5001,"&lt;="&amp;$B188,BD!$L$3:$L$5001,"&lt;&gt;")=0,"",SUMIFS(BD!$L$3:$L$5001,BD!$B$3:$B$5001,I$184,BD!$A$3:$A$5001,_xlfn.MAXIFS(BD!$A$3:$A$5001,BD!$B$3:$B$5001,I$184,BD!$A$3:$A$5001,"&gt;="&amp;$C$7,BD!$A$3:$A$5001,"&lt;="&amp;$B188,BD!$L$3:$L$5001,"&lt;&gt;"))))</f>
        <v/>
      </c>
      <c r="J188" s="43" t="str">
        <f>IF(OR($B188="",$A188&gt;$B$9,J$184=""),"",IF(COUNTIFS(BD!$B$3:$B$5001,J$184,BD!$A$3:$A$5001,"&gt;="&amp;$C$7,BD!$A$3:$A$5001,"&lt;="&amp;$B188,BD!$L$3:$L$5001,"&lt;&gt;")=0,"",SUMIFS(BD!$L$3:$L$5001,BD!$B$3:$B$5001,J$184,BD!$A$3:$A$5001,_xlfn.MAXIFS(BD!$A$3:$A$5001,BD!$B$3:$B$5001,J$184,BD!$A$3:$A$5001,"&gt;="&amp;$C$7,BD!$A$3:$A$5001,"&lt;="&amp;$B188,BD!$L$3:$L$5001,"&lt;&gt;"))))</f>
        <v/>
      </c>
      <c r="K188" s="43" t="str">
        <f>IF(OR($B188="",$A188&gt;$B$9,K$184=""),"",IF(COUNTIFS(BD!$B$3:$B$5001,K$184,BD!$A$3:$A$5001,"&gt;="&amp;$C$7,BD!$A$3:$A$5001,"&lt;="&amp;$B188,BD!$L$3:$L$5001,"&lt;&gt;")=0,"",SUMIFS(BD!$L$3:$L$5001,BD!$B$3:$B$5001,K$184,BD!$A$3:$A$5001,_xlfn.MAXIFS(BD!$A$3:$A$5001,BD!$B$3:$B$5001,K$184,BD!$A$3:$A$5001,"&gt;="&amp;$C$7,BD!$A$3:$A$5001,"&lt;="&amp;$B188,BD!$L$3:$L$5001,"&lt;&gt;"))))</f>
        <v/>
      </c>
      <c r="L188" s="43" t="str">
        <f>IF(OR($B188="",$A188&gt;$B$9,L$184=""),"",IF(COUNTIFS(BD!$B$3:$B$5001,L$184,BD!$A$3:$A$5001,"&gt;="&amp;$C$7,BD!$A$3:$A$5001,"&lt;="&amp;$B188,BD!$L$3:$L$5001,"&lt;&gt;")=0,"",SUMIFS(BD!$L$3:$L$5001,BD!$B$3:$B$5001,L$184,BD!$A$3:$A$5001,_xlfn.MAXIFS(BD!$A$3:$A$5001,BD!$B$3:$B$5001,L$184,BD!$A$3:$A$5001,"&gt;="&amp;$C$7,BD!$A$3:$A$5001,"&lt;="&amp;$B188,BD!$L$3:$L$5001,"&lt;&gt;"))))</f>
        <v/>
      </c>
      <c r="M188" s="43" t="str">
        <f>IF(OR($B188="",$A188&gt;$B$9,M$184=""),"",IF(COUNTIFS(BD!$B$3:$B$5001,M$184,BD!$A$3:$A$5001,"&gt;="&amp;$C$7,BD!$A$3:$A$5001,"&lt;="&amp;$B188,BD!$L$3:$L$5001,"&lt;&gt;")=0,"",SUMIFS(BD!$L$3:$L$5001,BD!$B$3:$B$5001,M$184,BD!$A$3:$A$5001,_xlfn.MAXIFS(BD!$A$3:$A$5001,BD!$B$3:$B$5001,M$184,BD!$A$3:$A$5001,"&gt;="&amp;$C$7,BD!$A$3:$A$5001,"&lt;="&amp;$B188,BD!$L$3:$L$5001,"&lt;&gt;"))))</f>
        <v/>
      </c>
      <c r="N188" s="43" t="str">
        <f>IF(OR($B188="",$A188&gt;$B$9,N$184=""),"",IF(COUNTIFS(BD!$B$3:$B$5001,N$184,BD!$A$3:$A$5001,"&gt;="&amp;$C$7,BD!$A$3:$A$5001,"&lt;="&amp;$B188,BD!$L$3:$L$5001,"&lt;&gt;")=0,"",SUMIFS(BD!$L$3:$L$5001,BD!$B$3:$B$5001,N$184,BD!$A$3:$A$5001,_xlfn.MAXIFS(BD!$A$3:$A$5001,BD!$B$3:$B$5001,N$184,BD!$A$3:$A$5001,"&gt;="&amp;$C$7,BD!$A$3:$A$5001,"&lt;="&amp;$B188,BD!$L$3:$L$5001,"&lt;&gt;"))))</f>
        <v/>
      </c>
      <c r="O188" s="43" t="str">
        <f>IF(OR($B188="",$A188&gt;$B$9,O$184=""),"",IF(COUNTIFS(BD!$B$3:$B$5001,O$184,BD!$A$3:$A$5001,"&gt;="&amp;$C$7,BD!$A$3:$A$5001,"&lt;="&amp;$B188,BD!$L$3:$L$5001,"&lt;&gt;")=0,"",SUMIFS(BD!$L$3:$L$5001,BD!$B$3:$B$5001,O$184,BD!$A$3:$A$5001,_xlfn.MAXIFS(BD!$A$3:$A$5001,BD!$B$3:$B$5001,O$184,BD!$A$3:$A$5001,"&gt;="&amp;$C$7,BD!$A$3:$A$5001,"&lt;="&amp;$B188,BD!$L$3:$L$5001,"&lt;&gt;"))))</f>
        <v/>
      </c>
      <c r="P188" s="43" t="str">
        <f>IF(OR($B188="",$A188&gt;$B$9,P$184=""),"",IF(COUNTIFS(BD!$B$3:$B$5001,P$184,BD!$A$3:$A$5001,"&gt;="&amp;$C$7,BD!$A$3:$A$5001,"&lt;="&amp;$B188,BD!$L$3:$L$5001,"&lt;&gt;")=0,"",SUMIFS(BD!$L$3:$L$5001,BD!$B$3:$B$5001,P$184,BD!$A$3:$A$5001,_xlfn.MAXIFS(BD!$A$3:$A$5001,BD!$B$3:$B$5001,P$184,BD!$A$3:$A$5001,"&gt;="&amp;$C$7,BD!$A$3:$A$5001,"&lt;="&amp;$B188,BD!$L$3:$L$5001,"&lt;&gt;"))))</f>
        <v/>
      </c>
      <c r="Q188" s="43" t="str">
        <f>IF(OR($B188="",$A188&gt;$B$9,Q$184=""),"",IF(COUNTIFS(BD!$B$3:$B$5001,Q$184,BD!$A$3:$A$5001,"&gt;="&amp;$C$7,BD!$A$3:$A$5001,"&lt;="&amp;$B188,BD!$L$3:$L$5001,"&lt;&gt;")=0,"",SUMIFS(BD!$L$3:$L$5001,BD!$B$3:$B$5001,Q$184,BD!$A$3:$A$5001,_xlfn.MAXIFS(BD!$A$3:$A$5001,BD!$B$3:$B$5001,Q$184,BD!$A$3:$A$5001,"&gt;="&amp;$C$7,BD!$A$3:$A$5001,"&lt;="&amp;$B188,BD!$L$3:$L$5001,"&lt;&gt;"))))</f>
        <v/>
      </c>
      <c r="R188" s="43" t="str">
        <f>IF(OR($B188="",$A188&gt;$B$9,R$184=""),"",IF(COUNTIFS(BD!$B$3:$B$5001,R$184,BD!$A$3:$A$5001,"&gt;="&amp;$C$7,BD!$A$3:$A$5001,"&lt;="&amp;$B188,BD!$L$3:$L$5001,"&lt;&gt;")=0,"",SUMIFS(BD!$L$3:$L$5001,BD!$B$3:$B$5001,R$184,BD!$A$3:$A$5001,_xlfn.MAXIFS(BD!$A$3:$A$5001,BD!$B$3:$B$5001,R$184,BD!$A$3:$A$5001,"&gt;="&amp;$C$7,BD!$A$3:$A$5001,"&lt;="&amp;$B188,BD!$L$3:$L$5001,"&lt;&gt;"))))</f>
        <v/>
      </c>
      <c r="S188" s="43" t="str">
        <f>IF(OR($B188="",$A188&gt;$B$9,S$184=""),"",IF(COUNTIFS(BD!$B$3:$B$5001,S$184,BD!$A$3:$A$5001,"&gt;="&amp;$C$7,BD!$A$3:$A$5001,"&lt;="&amp;$B188,BD!$L$3:$L$5001,"&lt;&gt;")=0,"",SUMIFS(BD!$L$3:$L$5001,BD!$B$3:$B$5001,S$184,BD!$A$3:$A$5001,_xlfn.MAXIFS(BD!$A$3:$A$5001,BD!$B$3:$B$5001,S$184,BD!$A$3:$A$5001,"&gt;="&amp;$C$7,BD!$A$3:$A$5001,"&lt;="&amp;$B188,BD!$L$3:$L$5001,"&lt;&gt;"))))</f>
        <v/>
      </c>
      <c r="T188" s="43" t="str">
        <f>IF(OR($B188="",$A188&gt;$B$9,T$184=""),"",IF(COUNTIFS(BD!$B$3:$B$5001,T$184,BD!$A$3:$A$5001,"&gt;="&amp;$C$7,BD!$A$3:$A$5001,"&lt;="&amp;$B188,BD!$L$3:$L$5001,"&lt;&gt;")=0,"",SUMIFS(BD!$L$3:$L$5001,BD!$B$3:$B$5001,T$184,BD!$A$3:$A$5001,_xlfn.MAXIFS(BD!$A$3:$A$5001,BD!$B$3:$B$5001,T$184,BD!$A$3:$A$5001,"&gt;="&amp;$C$7,BD!$A$3:$A$5001,"&lt;="&amp;$B188,BD!$L$3:$L$5001,"&lt;&gt;"))))</f>
        <v/>
      </c>
      <c r="U188" s="43" t="str">
        <f>IF(OR($B188="",$A188&gt;$B$9,U$184=""),"",IF(COUNTIFS(BD!$B$3:$B$5001,U$184,BD!$A$3:$A$5001,"&gt;="&amp;$C$7,BD!$A$3:$A$5001,"&lt;="&amp;$B188,BD!$L$3:$L$5001,"&lt;&gt;")=0,"",SUMIFS(BD!$L$3:$L$5001,BD!$B$3:$B$5001,U$184,BD!$A$3:$A$5001,_xlfn.MAXIFS(BD!$A$3:$A$5001,BD!$B$3:$B$5001,U$184,BD!$A$3:$A$5001,"&gt;="&amp;$C$7,BD!$A$3:$A$5001,"&lt;="&amp;$B188,BD!$L$3:$L$5001,"&lt;&gt;"))))</f>
        <v/>
      </c>
      <c r="V188" s="43" t="str">
        <f>IF(OR($B188="",$A188&gt;$B$9,V$184=""),"",IF(COUNTIFS(BD!$B$3:$B$5001,V$184,BD!$A$3:$A$5001,"&gt;="&amp;$C$7,BD!$A$3:$A$5001,"&lt;="&amp;$B188,BD!$L$3:$L$5001,"&lt;&gt;")=0,"",SUMIFS(BD!$L$3:$L$5001,BD!$B$3:$B$5001,V$184,BD!$A$3:$A$5001,_xlfn.MAXIFS(BD!$A$3:$A$5001,BD!$B$3:$B$5001,V$184,BD!$A$3:$A$5001,"&gt;="&amp;$C$7,BD!$A$3:$A$5001,"&lt;="&amp;$B188,BD!$L$3:$L$5001,"&lt;&gt;"))))</f>
        <v/>
      </c>
    </row>
    <row r="189">
      <c r="A189" s="38">
        <v>5</v>
      </c>
      <c r="B189" s="42">
        <f>$B$16</f>
        <v>46300</v>
      </c>
      <c r="C189" s="43" t="str">
        <f>IF(OR($B189="",$A189&gt;$B$9,C$184=""),"",IF(COUNTIFS(BD!$B$3:$B$5001,C$184,BD!$A$3:$A$5001,"&gt;="&amp;$C$7,BD!$A$3:$A$5001,"&lt;="&amp;$B189,BD!$L$3:$L$5001,"&lt;&gt;")=0,"",SUMIFS(BD!$L$3:$L$5001,BD!$B$3:$B$5001,C$184,BD!$A$3:$A$5001,_xlfn.MAXIFS(BD!$A$3:$A$5001,BD!$B$3:$B$5001,C$184,BD!$A$3:$A$5001,"&gt;="&amp;$C$7,BD!$A$3:$A$5001,"&lt;="&amp;$B189,BD!$L$3:$L$5001,"&lt;&gt;"))))</f>
        <v/>
      </c>
      <c r="D189" s="43" t="str">
        <f>IF(OR($B189="",$A189&gt;$B$9,D$184=""),"",IF(COUNTIFS(BD!$B$3:$B$5001,D$184,BD!$A$3:$A$5001,"&gt;="&amp;$C$7,BD!$A$3:$A$5001,"&lt;="&amp;$B189,BD!$L$3:$L$5001,"&lt;&gt;")=0,"",SUMIFS(BD!$L$3:$L$5001,BD!$B$3:$B$5001,D$184,BD!$A$3:$A$5001,_xlfn.MAXIFS(BD!$A$3:$A$5001,BD!$B$3:$B$5001,D$184,BD!$A$3:$A$5001,"&gt;="&amp;$C$7,BD!$A$3:$A$5001,"&lt;="&amp;$B189,BD!$L$3:$L$5001,"&lt;&gt;"))))</f>
        <v/>
      </c>
      <c r="E189" s="43" t="str">
        <f>IF(OR($B189="",$A189&gt;$B$9,E$184=""),"",IF(COUNTIFS(BD!$B$3:$B$5001,E$184,BD!$A$3:$A$5001,"&gt;="&amp;$C$7,BD!$A$3:$A$5001,"&lt;="&amp;$B189,BD!$L$3:$L$5001,"&lt;&gt;")=0,"",SUMIFS(BD!$L$3:$L$5001,BD!$B$3:$B$5001,E$184,BD!$A$3:$A$5001,_xlfn.MAXIFS(BD!$A$3:$A$5001,BD!$B$3:$B$5001,E$184,BD!$A$3:$A$5001,"&gt;="&amp;$C$7,BD!$A$3:$A$5001,"&lt;="&amp;$B189,BD!$L$3:$L$5001,"&lt;&gt;"))))</f>
        <v/>
      </c>
      <c r="F189" s="43" t="str">
        <f>IF(OR($B189="",$A189&gt;$B$9,F$184=""),"",IF(COUNTIFS(BD!$B$3:$B$5001,F$184,BD!$A$3:$A$5001,"&gt;="&amp;$C$7,BD!$A$3:$A$5001,"&lt;="&amp;$B189,BD!$L$3:$L$5001,"&lt;&gt;")=0,"",SUMIFS(BD!$L$3:$L$5001,BD!$B$3:$B$5001,F$184,BD!$A$3:$A$5001,_xlfn.MAXIFS(BD!$A$3:$A$5001,BD!$B$3:$B$5001,F$184,BD!$A$3:$A$5001,"&gt;="&amp;$C$7,BD!$A$3:$A$5001,"&lt;="&amp;$B189,BD!$L$3:$L$5001,"&lt;&gt;"))))</f>
        <v/>
      </c>
      <c r="G189" s="43" t="str">
        <f>IF(OR($B189="",$A189&gt;$B$9,G$184=""),"",IF(COUNTIFS(BD!$B$3:$B$5001,G$184,BD!$A$3:$A$5001,"&gt;="&amp;$C$7,BD!$A$3:$A$5001,"&lt;="&amp;$B189,BD!$L$3:$L$5001,"&lt;&gt;")=0,"",SUMIFS(BD!$L$3:$L$5001,BD!$B$3:$B$5001,G$184,BD!$A$3:$A$5001,_xlfn.MAXIFS(BD!$A$3:$A$5001,BD!$B$3:$B$5001,G$184,BD!$A$3:$A$5001,"&gt;="&amp;$C$7,BD!$A$3:$A$5001,"&lt;="&amp;$B189,BD!$L$3:$L$5001,"&lt;&gt;"))))</f>
        <v/>
      </c>
      <c r="H189" s="43" t="str">
        <f>IF(OR($B189="",$A189&gt;$B$9,H$184=""),"",IF(COUNTIFS(BD!$B$3:$B$5001,H$184,BD!$A$3:$A$5001,"&gt;="&amp;$C$7,BD!$A$3:$A$5001,"&lt;="&amp;$B189,BD!$L$3:$L$5001,"&lt;&gt;")=0,"",SUMIFS(BD!$L$3:$L$5001,BD!$B$3:$B$5001,H$184,BD!$A$3:$A$5001,_xlfn.MAXIFS(BD!$A$3:$A$5001,BD!$B$3:$B$5001,H$184,BD!$A$3:$A$5001,"&gt;="&amp;$C$7,BD!$A$3:$A$5001,"&lt;="&amp;$B189,BD!$L$3:$L$5001,"&lt;&gt;"))))</f>
        <v/>
      </c>
      <c r="I189" s="43" t="str">
        <f>IF(OR($B189="",$A189&gt;$B$9,I$184=""),"",IF(COUNTIFS(BD!$B$3:$B$5001,I$184,BD!$A$3:$A$5001,"&gt;="&amp;$C$7,BD!$A$3:$A$5001,"&lt;="&amp;$B189,BD!$L$3:$L$5001,"&lt;&gt;")=0,"",SUMIFS(BD!$L$3:$L$5001,BD!$B$3:$B$5001,I$184,BD!$A$3:$A$5001,_xlfn.MAXIFS(BD!$A$3:$A$5001,BD!$B$3:$B$5001,I$184,BD!$A$3:$A$5001,"&gt;="&amp;$C$7,BD!$A$3:$A$5001,"&lt;="&amp;$B189,BD!$L$3:$L$5001,"&lt;&gt;"))))</f>
        <v/>
      </c>
      <c r="J189" s="43" t="str">
        <f>IF(OR($B189="",$A189&gt;$B$9,J$184=""),"",IF(COUNTIFS(BD!$B$3:$B$5001,J$184,BD!$A$3:$A$5001,"&gt;="&amp;$C$7,BD!$A$3:$A$5001,"&lt;="&amp;$B189,BD!$L$3:$L$5001,"&lt;&gt;")=0,"",SUMIFS(BD!$L$3:$L$5001,BD!$B$3:$B$5001,J$184,BD!$A$3:$A$5001,_xlfn.MAXIFS(BD!$A$3:$A$5001,BD!$B$3:$B$5001,J$184,BD!$A$3:$A$5001,"&gt;="&amp;$C$7,BD!$A$3:$A$5001,"&lt;="&amp;$B189,BD!$L$3:$L$5001,"&lt;&gt;"))))</f>
        <v/>
      </c>
      <c r="K189" s="43" t="str">
        <f>IF(OR($B189="",$A189&gt;$B$9,K$184=""),"",IF(COUNTIFS(BD!$B$3:$B$5001,K$184,BD!$A$3:$A$5001,"&gt;="&amp;$C$7,BD!$A$3:$A$5001,"&lt;="&amp;$B189,BD!$L$3:$L$5001,"&lt;&gt;")=0,"",SUMIFS(BD!$L$3:$L$5001,BD!$B$3:$B$5001,K$184,BD!$A$3:$A$5001,_xlfn.MAXIFS(BD!$A$3:$A$5001,BD!$B$3:$B$5001,K$184,BD!$A$3:$A$5001,"&gt;="&amp;$C$7,BD!$A$3:$A$5001,"&lt;="&amp;$B189,BD!$L$3:$L$5001,"&lt;&gt;"))))</f>
        <v/>
      </c>
      <c r="L189" s="43" t="str">
        <f>IF(OR($B189="",$A189&gt;$B$9,L$184=""),"",IF(COUNTIFS(BD!$B$3:$B$5001,L$184,BD!$A$3:$A$5001,"&gt;="&amp;$C$7,BD!$A$3:$A$5001,"&lt;="&amp;$B189,BD!$L$3:$L$5001,"&lt;&gt;")=0,"",SUMIFS(BD!$L$3:$L$5001,BD!$B$3:$B$5001,L$184,BD!$A$3:$A$5001,_xlfn.MAXIFS(BD!$A$3:$A$5001,BD!$B$3:$B$5001,L$184,BD!$A$3:$A$5001,"&gt;="&amp;$C$7,BD!$A$3:$A$5001,"&lt;="&amp;$B189,BD!$L$3:$L$5001,"&lt;&gt;"))))</f>
        <v/>
      </c>
      <c r="M189" s="43" t="str">
        <f>IF(OR($B189="",$A189&gt;$B$9,M$184=""),"",IF(COUNTIFS(BD!$B$3:$B$5001,M$184,BD!$A$3:$A$5001,"&gt;="&amp;$C$7,BD!$A$3:$A$5001,"&lt;="&amp;$B189,BD!$L$3:$L$5001,"&lt;&gt;")=0,"",SUMIFS(BD!$L$3:$L$5001,BD!$B$3:$B$5001,M$184,BD!$A$3:$A$5001,_xlfn.MAXIFS(BD!$A$3:$A$5001,BD!$B$3:$B$5001,M$184,BD!$A$3:$A$5001,"&gt;="&amp;$C$7,BD!$A$3:$A$5001,"&lt;="&amp;$B189,BD!$L$3:$L$5001,"&lt;&gt;"))))</f>
        <v/>
      </c>
      <c r="N189" s="43" t="str">
        <f>IF(OR($B189="",$A189&gt;$B$9,N$184=""),"",IF(COUNTIFS(BD!$B$3:$B$5001,N$184,BD!$A$3:$A$5001,"&gt;="&amp;$C$7,BD!$A$3:$A$5001,"&lt;="&amp;$B189,BD!$L$3:$L$5001,"&lt;&gt;")=0,"",SUMIFS(BD!$L$3:$L$5001,BD!$B$3:$B$5001,N$184,BD!$A$3:$A$5001,_xlfn.MAXIFS(BD!$A$3:$A$5001,BD!$B$3:$B$5001,N$184,BD!$A$3:$A$5001,"&gt;="&amp;$C$7,BD!$A$3:$A$5001,"&lt;="&amp;$B189,BD!$L$3:$L$5001,"&lt;&gt;"))))</f>
        <v/>
      </c>
      <c r="O189" s="43" t="str">
        <f>IF(OR($B189="",$A189&gt;$B$9,O$184=""),"",IF(COUNTIFS(BD!$B$3:$B$5001,O$184,BD!$A$3:$A$5001,"&gt;="&amp;$C$7,BD!$A$3:$A$5001,"&lt;="&amp;$B189,BD!$L$3:$L$5001,"&lt;&gt;")=0,"",SUMIFS(BD!$L$3:$L$5001,BD!$B$3:$B$5001,O$184,BD!$A$3:$A$5001,_xlfn.MAXIFS(BD!$A$3:$A$5001,BD!$B$3:$B$5001,O$184,BD!$A$3:$A$5001,"&gt;="&amp;$C$7,BD!$A$3:$A$5001,"&lt;="&amp;$B189,BD!$L$3:$L$5001,"&lt;&gt;"))))</f>
        <v/>
      </c>
      <c r="P189" s="43" t="str">
        <f>IF(OR($B189="",$A189&gt;$B$9,P$184=""),"",IF(COUNTIFS(BD!$B$3:$B$5001,P$184,BD!$A$3:$A$5001,"&gt;="&amp;$C$7,BD!$A$3:$A$5001,"&lt;="&amp;$B189,BD!$L$3:$L$5001,"&lt;&gt;")=0,"",SUMIFS(BD!$L$3:$L$5001,BD!$B$3:$B$5001,P$184,BD!$A$3:$A$5001,_xlfn.MAXIFS(BD!$A$3:$A$5001,BD!$B$3:$B$5001,P$184,BD!$A$3:$A$5001,"&gt;="&amp;$C$7,BD!$A$3:$A$5001,"&lt;="&amp;$B189,BD!$L$3:$L$5001,"&lt;&gt;"))))</f>
        <v/>
      </c>
      <c r="Q189" s="43" t="str">
        <f>IF(OR($B189="",$A189&gt;$B$9,Q$184=""),"",IF(COUNTIFS(BD!$B$3:$B$5001,Q$184,BD!$A$3:$A$5001,"&gt;="&amp;$C$7,BD!$A$3:$A$5001,"&lt;="&amp;$B189,BD!$L$3:$L$5001,"&lt;&gt;")=0,"",SUMIFS(BD!$L$3:$L$5001,BD!$B$3:$B$5001,Q$184,BD!$A$3:$A$5001,_xlfn.MAXIFS(BD!$A$3:$A$5001,BD!$B$3:$B$5001,Q$184,BD!$A$3:$A$5001,"&gt;="&amp;$C$7,BD!$A$3:$A$5001,"&lt;="&amp;$B189,BD!$L$3:$L$5001,"&lt;&gt;"))))</f>
        <v/>
      </c>
      <c r="R189" s="43" t="str">
        <f>IF(OR($B189="",$A189&gt;$B$9,R$184=""),"",IF(COUNTIFS(BD!$B$3:$B$5001,R$184,BD!$A$3:$A$5001,"&gt;="&amp;$C$7,BD!$A$3:$A$5001,"&lt;="&amp;$B189,BD!$L$3:$L$5001,"&lt;&gt;")=0,"",SUMIFS(BD!$L$3:$L$5001,BD!$B$3:$B$5001,R$184,BD!$A$3:$A$5001,_xlfn.MAXIFS(BD!$A$3:$A$5001,BD!$B$3:$B$5001,R$184,BD!$A$3:$A$5001,"&gt;="&amp;$C$7,BD!$A$3:$A$5001,"&lt;="&amp;$B189,BD!$L$3:$L$5001,"&lt;&gt;"))))</f>
        <v/>
      </c>
      <c r="S189" s="43" t="str">
        <f>IF(OR($B189="",$A189&gt;$B$9,S$184=""),"",IF(COUNTIFS(BD!$B$3:$B$5001,S$184,BD!$A$3:$A$5001,"&gt;="&amp;$C$7,BD!$A$3:$A$5001,"&lt;="&amp;$B189,BD!$L$3:$L$5001,"&lt;&gt;")=0,"",SUMIFS(BD!$L$3:$L$5001,BD!$B$3:$B$5001,S$184,BD!$A$3:$A$5001,_xlfn.MAXIFS(BD!$A$3:$A$5001,BD!$B$3:$B$5001,S$184,BD!$A$3:$A$5001,"&gt;="&amp;$C$7,BD!$A$3:$A$5001,"&lt;="&amp;$B189,BD!$L$3:$L$5001,"&lt;&gt;"))))</f>
        <v/>
      </c>
      <c r="T189" s="43" t="str">
        <f>IF(OR($B189="",$A189&gt;$B$9,T$184=""),"",IF(COUNTIFS(BD!$B$3:$B$5001,T$184,BD!$A$3:$A$5001,"&gt;="&amp;$C$7,BD!$A$3:$A$5001,"&lt;="&amp;$B189,BD!$L$3:$L$5001,"&lt;&gt;")=0,"",SUMIFS(BD!$L$3:$L$5001,BD!$B$3:$B$5001,T$184,BD!$A$3:$A$5001,_xlfn.MAXIFS(BD!$A$3:$A$5001,BD!$B$3:$B$5001,T$184,BD!$A$3:$A$5001,"&gt;="&amp;$C$7,BD!$A$3:$A$5001,"&lt;="&amp;$B189,BD!$L$3:$L$5001,"&lt;&gt;"))))</f>
        <v/>
      </c>
      <c r="U189" s="43" t="str">
        <f>IF(OR($B189="",$A189&gt;$B$9,U$184=""),"",IF(COUNTIFS(BD!$B$3:$B$5001,U$184,BD!$A$3:$A$5001,"&gt;="&amp;$C$7,BD!$A$3:$A$5001,"&lt;="&amp;$B189,BD!$L$3:$L$5001,"&lt;&gt;")=0,"",SUMIFS(BD!$L$3:$L$5001,BD!$B$3:$B$5001,U$184,BD!$A$3:$A$5001,_xlfn.MAXIFS(BD!$A$3:$A$5001,BD!$B$3:$B$5001,U$184,BD!$A$3:$A$5001,"&gt;="&amp;$C$7,BD!$A$3:$A$5001,"&lt;="&amp;$B189,BD!$L$3:$L$5001,"&lt;&gt;"))))</f>
        <v/>
      </c>
      <c r="V189" s="43" t="str">
        <f>IF(OR($B189="",$A189&gt;$B$9,V$184=""),"",IF(COUNTIFS(BD!$B$3:$B$5001,V$184,BD!$A$3:$A$5001,"&gt;="&amp;$C$7,BD!$A$3:$A$5001,"&lt;="&amp;$B189,BD!$L$3:$L$5001,"&lt;&gt;")=0,"",SUMIFS(BD!$L$3:$L$5001,BD!$B$3:$B$5001,V$184,BD!$A$3:$A$5001,_xlfn.MAXIFS(BD!$A$3:$A$5001,BD!$B$3:$B$5001,V$184,BD!$A$3:$A$5001,"&gt;="&amp;$C$7,BD!$A$3:$A$5001,"&lt;="&amp;$B189,BD!$L$3:$L$5001,"&lt;&gt;"))))</f>
        <v/>
      </c>
    </row>
    <row r="190">
      <c r="A190" s="38">
        <v>6</v>
      </c>
      <c r="B190" s="42">
        <f>$B$17</f>
        <v>46301</v>
      </c>
      <c r="C190" s="43" t="str">
        <f>IF(OR($B190="",$A190&gt;$B$9,C$184=""),"",IF(COUNTIFS(BD!$B$3:$B$5001,C$184,BD!$A$3:$A$5001,"&gt;="&amp;$C$7,BD!$A$3:$A$5001,"&lt;="&amp;$B190,BD!$L$3:$L$5001,"&lt;&gt;")=0,"",SUMIFS(BD!$L$3:$L$5001,BD!$B$3:$B$5001,C$184,BD!$A$3:$A$5001,_xlfn.MAXIFS(BD!$A$3:$A$5001,BD!$B$3:$B$5001,C$184,BD!$A$3:$A$5001,"&gt;="&amp;$C$7,BD!$A$3:$A$5001,"&lt;="&amp;$B190,BD!$L$3:$L$5001,"&lt;&gt;"))))</f>
        <v/>
      </c>
      <c r="D190" s="43" t="str">
        <f>IF(OR($B190="",$A190&gt;$B$9,D$184=""),"",IF(COUNTIFS(BD!$B$3:$B$5001,D$184,BD!$A$3:$A$5001,"&gt;="&amp;$C$7,BD!$A$3:$A$5001,"&lt;="&amp;$B190,BD!$L$3:$L$5001,"&lt;&gt;")=0,"",SUMIFS(BD!$L$3:$L$5001,BD!$B$3:$B$5001,D$184,BD!$A$3:$A$5001,_xlfn.MAXIFS(BD!$A$3:$A$5001,BD!$B$3:$B$5001,D$184,BD!$A$3:$A$5001,"&gt;="&amp;$C$7,BD!$A$3:$A$5001,"&lt;="&amp;$B190,BD!$L$3:$L$5001,"&lt;&gt;"))))</f>
        <v/>
      </c>
      <c r="E190" s="43" t="str">
        <f>IF(OR($B190="",$A190&gt;$B$9,E$184=""),"",IF(COUNTIFS(BD!$B$3:$B$5001,E$184,BD!$A$3:$A$5001,"&gt;="&amp;$C$7,BD!$A$3:$A$5001,"&lt;="&amp;$B190,BD!$L$3:$L$5001,"&lt;&gt;")=0,"",SUMIFS(BD!$L$3:$L$5001,BD!$B$3:$B$5001,E$184,BD!$A$3:$A$5001,_xlfn.MAXIFS(BD!$A$3:$A$5001,BD!$B$3:$B$5001,E$184,BD!$A$3:$A$5001,"&gt;="&amp;$C$7,BD!$A$3:$A$5001,"&lt;="&amp;$B190,BD!$L$3:$L$5001,"&lt;&gt;"))))</f>
        <v/>
      </c>
      <c r="F190" s="43" t="str">
        <f>IF(OR($B190="",$A190&gt;$B$9,F$184=""),"",IF(COUNTIFS(BD!$B$3:$B$5001,F$184,BD!$A$3:$A$5001,"&gt;="&amp;$C$7,BD!$A$3:$A$5001,"&lt;="&amp;$B190,BD!$L$3:$L$5001,"&lt;&gt;")=0,"",SUMIFS(BD!$L$3:$L$5001,BD!$B$3:$B$5001,F$184,BD!$A$3:$A$5001,_xlfn.MAXIFS(BD!$A$3:$A$5001,BD!$B$3:$B$5001,F$184,BD!$A$3:$A$5001,"&gt;="&amp;$C$7,BD!$A$3:$A$5001,"&lt;="&amp;$B190,BD!$L$3:$L$5001,"&lt;&gt;"))))</f>
        <v/>
      </c>
      <c r="G190" s="43" t="str">
        <f>IF(OR($B190="",$A190&gt;$B$9,G$184=""),"",IF(COUNTIFS(BD!$B$3:$B$5001,G$184,BD!$A$3:$A$5001,"&gt;="&amp;$C$7,BD!$A$3:$A$5001,"&lt;="&amp;$B190,BD!$L$3:$L$5001,"&lt;&gt;")=0,"",SUMIFS(BD!$L$3:$L$5001,BD!$B$3:$B$5001,G$184,BD!$A$3:$A$5001,_xlfn.MAXIFS(BD!$A$3:$A$5001,BD!$B$3:$B$5001,G$184,BD!$A$3:$A$5001,"&gt;="&amp;$C$7,BD!$A$3:$A$5001,"&lt;="&amp;$B190,BD!$L$3:$L$5001,"&lt;&gt;"))))</f>
        <v/>
      </c>
      <c r="H190" s="43" t="str">
        <f>IF(OR($B190="",$A190&gt;$B$9,H$184=""),"",IF(COUNTIFS(BD!$B$3:$B$5001,H$184,BD!$A$3:$A$5001,"&gt;="&amp;$C$7,BD!$A$3:$A$5001,"&lt;="&amp;$B190,BD!$L$3:$L$5001,"&lt;&gt;")=0,"",SUMIFS(BD!$L$3:$L$5001,BD!$B$3:$B$5001,H$184,BD!$A$3:$A$5001,_xlfn.MAXIFS(BD!$A$3:$A$5001,BD!$B$3:$B$5001,H$184,BD!$A$3:$A$5001,"&gt;="&amp;$C$7,BD!$A$3:$A$5001,"&lt;="&amp;$B190,BD!$L$3:$L$5001,"&lt;&gt;"))))</f>
        <v/>
      </c>
      <c r="I190" s="43" t="str">
        <f>IF(OR($B190="",$A190&gt;$B$9,I$184=""),"",IF(COUNTIFS(BD!$B$3:$B$5001,I$184,BD!$A$3:$A$5001,"&gt;="&amp;$C$7,BD!$A$3:$A$5001,"&lt;="&amp;$B190,BD!$L$3:$L$5001,"&lt;&gt;")=0,"",SUMIFS(BD!$L$3:$L$5001,BD!$B$3:$B$5001,I$184,BD!$A$3:$A$5001,_xlfn.MAXIFS(BD!$A$3:$A$5001,BD!$B$3:$B$5001,I$184,BD!$A$3:$A$5001,"&gt;="&amp;$C$7,BD!$A$3:$A$5001,"&lt;="&amp;$B190,BD!$L$3:$L$5001,"&lt;&gt;"))))</f>
        <v/>
      </c>
      <c r="J190" s="43" t="str">
        <f>IF(OR($B190="",$A190&gt;$B$9,J$184=""),"",IF(COUNTIFS(BD!$B$3:$B$5001,J$184,BD!$A$3:$A$5001,"&gt;="&amp;$C$7,BD!$A$3:$A$5001,"&lt;="&amp;$B190,BD!$L$3:$L$5001,"&lt;&gt;")=0,"",SUMIFS(BD!$L$3:$L$5001,BD!$B$3:$B$5001,J$184,BD!$A$3:$A$5001,_xlfn.MAXIFS(BD!$A$3:$A$5001,BD!$B$3:$B$5001,J$184,BD!$A$3:$A$5001,"&gt;="&amp;$C$7,BD!$A$3:$A$5001,"&lt;="&amp;$B190,BD!$L$3:$L$5001,"&lt;&gt;"))))</f>
        <v/>
      </c>
      <c r="K190" s="43" t="str">
        <f>IF(OR($B190="",$A190&gt;$B$9,K$184=""),"",IF(COUNTIFS(BD!$B$3:$B$5001,K$184,BD!$A$3:$A$5001,"&gt;="&amp;$C$7,BD!$A$3:$A$5001,"&lt;="&amp;$B190,BD!$L$3:$L$5001,"&lt;&gt;")=0,"",SUMIFS(BD!$L$3:$L$5001,BD!$B$3:$B$5001,K$184,BD!$A$3:$A$5001,_xlfn.MAXIFS(BD!$A$3:$A$5001,BD!$B$3:$B$5001,K$184,BD!$A$3:$A$5001,"&gt;="&amp;$C$7,BD!$A$3:$A$5001,"&lt;="&amp;$B190,BD!$L$3:$L$5001,"&lt;&gt;"))))</f>
        <v/>
      </c>
      <c r="L190" s="43" t="str">
        <f>IF(OR($B190="",$A190&gt;$B$9,L$184=""),"",IF(COUNTIFS(BD!$B$3:$B$5001,L$184,BD!$A$3:$A$5001,"&gt;="&amp;$C$7,BD!$A$3:$A$5001,"&lt;="&amp;$B190,BD!$L$3:$L$5001,"&lt;&gt;")=0,"",SUMIFS(BD!$L$3:$L$5001,BD!$B$3:$B$5001,L$184,BD!$A$3:$A$5001,_xlfn.MAXIFS(BD!$A$3:$A$5001,BD!$B$3:$B$5001,L$184,BD!$A$3:$A$5001,"&gt;="&amp;$C$7,BD!$A$3:$A$5001,"&lt;="&amp;$B190,BD!$L$3:$L$5001,"&lt;&gt;"))))</f>
        <v/>
      </c>
      <c r="M190" s="43" t="str">
        <f>IF(OR($B190="",$A190&gt;$B$9,M$184=""),"",IF(COUNTIFS(BD!$B$3:$B$5001,M$184,BD!$A$3:$A$5001,"&gt;="&amp;$C$7,BD!$A$3:$A$5001,"&lt;="&amp;$B190,BD!$L$3:$L$5001,"&lt;&gt;")=0,"",SUMIFS(BD!$L$3:$L$5001,BD!$B$3:$B$5001,M$184,BD!$A$3:$A$5001,_xlfn.MAXIFS(BD!$A$3:$A$5001,BD!$B$3:$B$5001,M$184,BD!$A$3:$A$5001,"&gt;="&amp;$C$7,BD!$A$3:$A$5001,"&lt;="&amp;$B190,BD!$L$3:$L$5001,"&lt;&gt;"))))</f>
        <v/>
      </c>
      <c r="N190" s="43" t="str">
        <f>IF(OR($B190="",$A190&gt;$B$9,N$184=""),"",IF(COUNTIFS(BD!$B$3:$B$5001,N$184,BD!$A$3:$A$5001,"&gt;="&amp;$C$7,BD!$A$3:$A$5001,"&lt;="&amp;$B190,BD!$L$3:$L$5001,"&lt;&gt;")=0,"",SUMIFS(BD!$L$3:$L$5001,BD!$B$3:$B$5001,N$184,BD!$A$3:$A$5001,_xlfn.MAXIFS(BD!$A$3:$A$5001,BD!$B$3:$B$5001,N$184,BD!$A$3:$A$5001,"&gt;="&amp;$C$7,BD!$A$3:$A$5001,"&lt;="&amp;$B190,BD!$L$3:$L$5001,"&lt;&gt;"))))</f>
        <v/>
      </c>
      <c r="O190" s="43" t="str">
        <f>IF(OR($B190="",$A190&gt;$B$9,O$184=""),"",IF(COUNTIFS(BD!$B$3:$B$5001,O$184,BD!$A$3:$A$5001,"&gt;="&amp;$C$7,BD!$A$3:$A$5001,"&lt;="&amp;$B190,BD!$L$3:$L$5001,"&lt;&gt;")=0,"",SUMIFS(BD!$L$3:$L$5001,BD!$B$3:$B$5001,O$184,BD!$A$3:$A$5001,_xlfn.MAXIFS(BD!$A$3:$A$5001,BD!$B$3:$B$5001,O$184,BD!$A$3:$A$5001,"&gt;="&amp;$C$7,BD!$A$3:$A$5001,"&lt;="&amp;$B190,BD!$L$3:$L$5001,"&lt;&gt;"))))</f>
        <v/>
      </c>
      <c r="P190" s="43" t="str">
        <f>IF(OR($B190="",$A190&gt;$B$9,P$184=""),"",IF(COUNTIFS(BD!$B$3:$B$5001,P$184,BD!$A$3:$A$5001,"&gt;="&amp;$C$7,BD!$A$3:$A$5001,"&lt;="&amp;$B190,BD!$L$3:$L$5001,"&lt;&gt;")=0,"",SUMIFS(BD!$L$3:$L$5001,BD!$B$3:$B$5001,P$184,BD!$A$3:$A$5001,_xlfn.MAXIFS(BD!$A$3:$A$5001,BD!$B$3:$B$5001,P$184,BD!$A$3:$A$5001,"&gt;="&amp;$C$7,BD!$A$3:$A$5001,"&lt;="&amp;$B190,BD!$L$3:$L$5001,"&lt;&gt;"))))</f>
        <v/>
      </c>
      <c r="Q190" s="43" t="str">
        <f>IF(OR($B190="",$A190&gt;$B$9,Q$184=""),"",IF(COUNTIFS(BD!$B$3:$B$5001,Q$184,BD!$A$3:$A$5001,"&gt;="&amp;$C$7,BD!$A$3:$A$5001,"&lt;="&amp;$B190,BD!$L$3:$L$5001,"&lt;&gt;")=0,"",SUMIFS(BD!$L$3:$L$5001,BD!$B$3:$B$5001,Q$184,BD!$A$3:$A$5001,_xlfn.MAXIFS(BD!$A$3:$A$5001,BD!$B$3:$B$5001,Q$184,BD!$A$3:$A$5001,"&gt;="&amp;$C$7,BD!$A$3:$A$5001,"&lt;="&amp;$B190,BD!$L$3:$L$5001,"&lt;&gt;"))))</f>
        <v/>
      </c>
      <c r="R190" s="43" t="str">
        <f>IF(OR($B190="",$A190&gt;$B$9,R$184=""),"",IF(COUNTIFS(BD!$B$3:$B$5001,R$184,BD!$A$3:$A$5001,"&gt;="&amp;$C$7,BD!$A$3:$A$5001,"&lt;="&amp;$B190,BD!$L$3:$L$5001,"&lt;&gt;")=0,"",SUMIFS(BD!$L$3:$L$5001,BD!$B$3:$B$5001,R$184,BD!$A$3:$A$5001,_xlfn.MAXIFS(BD!$A$3:$A$5001,BD!$B$3:$B$5001,R$184,BD!$A$3:$A$5001,"&gt;="&amp;$C$7,BD!$A$3:$A$5001,"&lt;="&amp;$B190,BD!$L$3:$L$5001,"&lt;&gt;"))))</f>
        <v/>
      </c>
      <c r="S190" s="43" t="str">
        <f>IF(OR($B190="",$A190&gt;$B$9,S$184=""),"",IF(COUNTIFS(BD!$B$3:$B$5001,S$184,BD!$A$3:$A$5001,"&gt;="&amp;$C$7,BD!$A$3:$A$5001,"&lt;="&amp;$B190,BD!$L$3:$L$5001,"&lt;&gt;")=0,"",SUMIFS(BD!$L$3:$L$5001,BD!$B$3:$B$5001,S$184,BD!$A$3:$A$5001,_xlfn.MAXIFS(BD!$A$3:$A$5001,BD!$B$3:$B$5001,S$184,BD!$A$3:$A$5001,"&gt;="&amp;$C$7,BD!$A$3:$A$5001,"&lt;="&amp;$B190,BD!$L$3:$L$5001,"&lt;&gt;"))))</f>
        <v/>
      </c>
      <c r="T190" s="43" t="str">
        <f>IF(OR($B190="",$A190&gt;$B$9,T$184=""),"",IF(COUNTIFS(BD!$B$3:$B$5001,T$184,BD!$A$3:$A$5001,"&gt;="&amp;$C$7,BD!$A$3:$A$5001,"&lt;="&amp;$B190,BD!$L$3:$L$5001,"&lt;&gt;")=0,"",SUMIFS(BD!$L$3:$L$5001,BD!$B$3:$B$5001,T$184,BD!$A$3:$A$5001,_xlfn.MAXIFS(BD!$A$3:$A$5001,BD!$B$3:$B$5001,T$184,BD!$A$3:$A$5001,"&gt;="&amp;$C$7,BD!$A$3:$A$5001,"&lt;="&amp;$B190,BD!$L$3:$L$5001,"&lt;&gt;"))))</f>
        <v/>
      </c>
      <c r="U190" s="43" t="str">
        <f>IF(OR($B190="",$A190&gt;$B$9,U$184=""),"",IF(COUNTIFS(BD!$B$3:$B$5001,U$184,BD!$A$3:$A$5001,"&gt;="&amp;$C$7,BD!$A$3:$A$5001,"&lt;="&amp;$B190,BD!$L$3:$L$5001,"&lt;&gt;")=0,"",SUMIFS(BD!$L$3:$L$5001,BD!$B$3:$B$5001,U$184,BD!$A$3:$A$5001,_xlfn.MAXIFS(BD!$A$3:$A$5001,BD!$B$3:$B$5001,U$184,BD!$A$3:$A$5001,"&gt;="&amp;$C$7,BD!$A$3:$A$5001,"&lt;="&amp;$B190,BD!$L$3:$L$5001,"&lt;&gt;"))))</f>
        <v/>
      </c>
      <c r="V190" s="43" t="str">
        <f>IF(OR($B190="",$A190&gt;$B$9,V$184=""),"",IF(COUNTIFS(BD!$B$3:$B$5001,V$184,BD!$A$3:$A$5001,"&gt;="&amp;$C$7,BD!$A$3:$A$5001,"&lt;="&amp;$B190,BD!$L$3:$L$5001,"&lt;&gt;")=0,"",SUMIFS(BD!$L$3:$L$5001,BD!$B$3:$B$5001,V$184,BD!$A$3:$A$5001,_xlfn.MAXIFS(BD!$A$3:$A$5001,BD!$B$3:$B$5001,V$184,BD!$A$3:$A$5001,"&gt;="&amp;$C$7,BD!$A$3:$A$5001,"&lt;="&amp;$B190,BD!$L$3:$L$5001,"&lt;&gt;"))))</f>
        <v/>
      </c>
    </row>
    <row r="191">
      <c r="A191" s="38">
        <v>7</v>
      </c>
      <c r="B191" s="42">
        <f>$B$18</f>
        <v>46302</v>
      </c>
      <c r="C191" s="43" t="str">
        <f>IF(OR($B191="",$A191&gt;$B$9,C$184=""),"",IF(COUNTIFS(BD!$B$3:$B$5001,C$184,BD!$A$3:$A$5001,"&gt;="&amp;$C$7,BD!$A$3:$A$5001,"&lt;="&amp;$B191,BD!$L$3:$L$5001,"&lt;&gt;")=0,"",SUMIFS(BD!$L$3:$L$5001,BD!$B$3:$B$5001,C$184,BD!$A$3:$A$5001,_xlfn.MAXIFS(BD!$A$3:$A$5001,BD!$B$3:$B$5001,C$184,BD!$A$3:$A$5001,"&gt;="&amp;$C$7,BD!$A$3:$A$5001,"&lt;="&amp;$B191,BD!$L$3:$L$5001,"&lt;&gt;"))))</f>
        <v/>
      </c>
      <c r="D191" s="43" t="str">
        <f>IF(OR($B191="",$A191&gt;$B$9,D$184=""),"",IF(COUNTIFS(BD!$B$3:$B$5001,D$184,BD!$A$3:$A$5001,"&gt;="&amp;$C$7,BD!$A$3:$A$5001,"&lt;="&amp;$B191,BD!$L$3:$L$5001,"&lt;&gt;")=0,"",SUMIFS(BD!$L$3:$L$5001,BD!$B$3:$B$5001,D$184,BD!$A$3:$A$5001,_xlfn.MAXIFS(BD!$A$3:$A$5001,BD!$B$3:$B$5001,D$184,BD!$A$3:$A$5001,"&gt;="&amp;$C$7,BD!$A$3:$A$5001,"&lt;="&amp;$B191,BD!$L$3:$L$5001,"&lt;&gt;"))))</f>
        <v/>
      </c>
      <c r="E191" s="43" t="str">
        <f>IF(OR($B191="",$A191&gt;$B$9,E$184=""),"",IF(COUNTIFS(BD!$B$3:$B$5001,E$184,BD!$A$3:$A$5001,"&gt;="&amp;$C$7,BD!$A$3:$A$5001,"&lt;="&amp;$B191,BD!$L$3:$L$5001,"&lt;&gt;")=0,"",SUMIFS(BD!$L$3:$L$5001,BD!$B$3:$B$5001,E$184,BD!$A$3:$A$5001,_xlfn.MAXIFS(BD!$A$3:$A$5001,BD!$B$3:$B$5001,E$184,BD!$A$3:$A$5001,"&gt;="&amp;$C$7,BD!$A$3:$A$5001,"&lt;="&amp;$B191,BD!$L$3:$L$5001,"&lt;&gt;"))))</f>
        <v/>
      </c>
      <c r="F191" s="43" t="str">
        <f>IF(OR($B191="",$A191&gt;$B$9,F$184=""),"",IF(COUNTIFS(BD!$B$3:$B$5001,F$184,BD!$A$3:$A$5001,"&gt;="&amp;$C$7,BD!$A$3:$A$5001,"&lt;="&amp;$B191,BD!$L$3:$L$5001,"&lt;&gt;")=0,"",SUMIFS(BD!$L$3:$L$5001,BD!$B$3:$B$5001,F$184,BD!$A$3:$A$5001,_xlfn.MAXIFS(BD!$A$3:$A$5001,BD!$B$3:$B$5001,F$184,BD!$A$3:$A$5001,"&gt;="&amp;$C$7,BD!$A$3:$A$5001,"&lt;="&amp;$B191,BD!$L$3:$L$5001,"&lt;&gt;"))))</f>
        <v/>
      </c>
      <c r="G191" s="43" t="str">
        <f>IF(OR($B191="",$A191&gt;$B$9,G$184=""),"",IF(COUNTIFS(BD!$B$3:$B$5001,G$184,BD!$A$3:$A$5001,"&gt;="&amp;$C$7,BD!$A$3:$A$5001,"&lt;="&amp;$B191,BD!$L$3:$L$5001,"&lt;&gt;")=0,"",SUMIFS(BD!$L$3:$L$5001,BD!$B$3:$B$5001,G$184,BD!$A$3:$A$5001,_xlfn.MAXIFS(BD!$A$3:$A$5001,BD!$B$3:$B$5001,G$184,BD!$A$3:$A$5001,"&gt;="&amp;$C$7,BD!$A$3:$A$5001,"&lt;="&amp;$B191,BD!$L$3:$L$5001,"&lt;&gt;"))))</f>
        <v/>
      </c>
      <c r="H191" s="43" t="str">
        <f>IF(OR($B191="",$A191&gt;$B$9,H$184=""),"",IF(COUNTIFS(BD!$B$3:$B$5001,H$184,BD!$A$3:$A$5001,"&gt;="&amp;$C$7,BD!$A$3:$A$5001,"&lt;="&amp;$B191,BD!$L$3:$L$5001,"&lt;&gt;")=0,"",SUMIFS(BD!$L$3:$L$5001,BD!$B$3:$B$5001,H$184,BD!$A$3:$A$5001,_xlfn.MAXIFS(BD!$A$3:$A$5001,BD!$B$3:$B$5001,H$184,BD!$A$3:$A$5001,"&gt;="&amp;$C$7,BD!$A$3:$A$5001,"&lt;="&amp;$B191,BD!$L$3:$L$5001,"&lt;&gt;"))))</f>
        <v/>
      </c>
      <c r="I191" s="43" t="str">
        <f>IF(OR($B191="",$A191&gt;$B$9,I$184=""),"",IF(COUNTIFS(BD!$B$3:$B$5001,I$184,BD!$A$3:$A$5001,"&gt;="&amp;$C$7,BD!$A$3:$A$5001,"&lt;="&amp;$B191,BD!$L$3:$L$5001,"&lt;&gt;")=0,"",SUMIFS(BD!$L$3:$L$5001,BD!$B$3:$B$5001,I$184,BD!$A$3:$A$5001,_xlfn.MAXIFS(BD!$A$3:$A$5001,BD!$B$3:$B$5001,I$184,BD!$A$3:$A$5001,"&gt;="&amp;$C$7,BD!$A$3:$A$5001,"&lt;="&amp;$B191,BD!$L$3:$L$5001,"&lt;&gt;"))))</f>
        <v/>
      </c>
      <c r="J191" s="43" t="str">
        <f>IF(OR($B191="",$A191&gt;$B$9,J$184=""),"",IF(COUNTIFS(BD!$B$3:$B$5001,J$184,BD!$A$3:$A$5001,"&gt;="&amp;$C$7,BD!$A$3:$A$5001,"&lt;="&amp;$B191,BD!$L$3:$L$5001,"&lt;&gt;")=0,"",SUMIFS(BD!$L$3:$L$5001,BD!$B$3:$B$5001,J$184,BD!$A$3:$A$5001,_xlfn.MAXIFS(BD!$A$3:$A$5001,BD!$B$3:$B$5001,J$184,BD!$A$3:$A$5001,"&gt;="&amp;$C$7,BD!$A$3:$A$5001,"&lt;="&amp;$B191,BD!$L$3:$L$5001,"&lt;&gt;"))))</f>
        <v/>
      </c>
      <c r="K191" s="43" t="str">
        <f>IF(OR($B191="",$A191&gt;$B$9,K$184=""),"",IF(COUNTIFS(BD!$B$3:$B$5001,K$184,BD!$A$3:$A$5001,"&gt;="&amp;$C$7,BD!$A$3:$A$5001,"&lt;="&amp;$B191,BD!$L$3:$L$5001,"&lt;&gt;")=0,"",SUMIFS(BD!$L$3:$L$5001,BD!$B$3:$B$5001,K$184,BD!$A$3:$A$5001,_xlfn.MAXIFS(BD!$A$3:$A$5001,BD!$B$3:$B$5001,K$184,BD!$A$3:$A$5001,"&gt;="&amp;$C$7,BD!$A$3:$A$5001,"&lt;="&amp;$B191,BD!$L$3:$L$5001,"&lt;&gt;"))))</f>
        <v/>
      </c>
      <c r="L191" s="43" t="str">
        <f>IF(OR($B191="",$A191&gt;$B$9,L$184=""),"",IF(COUNTIFS(BD!$B$3:$B$5001,L$184,BD!$A$3:$A$5001,"&gt;="&amp;$C$7,BD!$A$3:$A$5001,"&lt;="&amp;$B191,BD!$L$3:$L$5001,"&lt;&gt;")=0,"",SUMIFS(BD!$L$3:$L$5001,BD!$B$3:$B$5001,L$184,BD!$A$3:$A$5001,_xlfn.MAXIFS(BD!$A$3:$A$5001,BD!$B$3:$B$5001,L$184,BD!$A$3:$A$5001,"&gt;="&amp;$C$7,BD!$A$3:$A$5001,"&lt;="&amp;$B191,BD!$L$3:$L$5001,"&lt;&gt;"))))</f>
        <v/>
      </c>
      <c r="M191" s="43" t="str">
        <f>IF(OR($B191="",$A191&gt;$B$9,M$184=""),"",IF(COUNTIFS(BD!$B$3:$B$5001,M$184,BD!$A$3:$A$5001,"&gt;="&amp;$C$7,BD!$A$3:$A$5001,"&lt;="&amp;$B191,BD!$L$3:$L$5001,"&lt;&gt;")=0,"",SUMIFS(BD!$L$3:$L$5001,BD!$B$3:$B$5001,M$184,BD!$A$3:$A$5001,_xlfn.MAXIFS(BD!$A$3:$A$5001,BD!$B$3:$B$5001,M$184,BD!$A$3:$A$5001,"&gt;="&amp;$C$7,BD!$A$3:$A$5001,"&lt;="&amp;$B191,BD!$L$3:$L$5001,"&lt;&gt;"))))</f>
        <v/>
      </c>
      <c r="N191" s="43" t="str">
        <f>IF(OR($B191="",$A191&gt;$B$9,N$184=""),"",IF(COUNTIFS(BD!$B$3:$B$5001,N$184,BD!$A$3:$A$5001,"&gt;="&amp;$C$7,BD!$A$3:$A$5001,"&lt;="&amp;$B191,BD!$L$3:$L$5001,"&lt;&gt;")=0,"",SUMIFS(BD!$L$3:$L$5001,BD!$B$3:$B$5001,N$184,BD!$A$3:$A$5001,_xlfn.MAXIFS(BD!$A$3:$A$5001,BD!$B$3:$B$5001,N$184,BD!$A$3:$A$5001,"&gt;="&amp;$C$7,BD!$A$3:$A$5001,"&lt;="&amp;$B191,BD!$L$3:$L$5001,"&lt;&gt;"))))</f>
        <v/>
      </c>
      <c r="O191" s="43" t="str">
        <f>IF(OR($B191="",$A191&gt;$B$9,O$184=""),"",IF(COUNTIFS(BD!$B$3:$B$5001,O$184,BD!$A$3:$A$5001,"&gt;="&amp;$C$7,BD!$A$3:$A$5001,"&lt;="&amp;$B191,BD!$L$3:$L$5001,"&lt;&gt;")=0,"",SUMIFS(BD!$L$3:$L$5001,BD!$B$3:$B$5001,O$184,BD!$A$3:$A$5001,_xlfn.MAXIFS(BD!$A$3:$A$5001,BD!$B$3:$B$5001,O$184,BD!$A$3:$A$5001,"&gt;="&amp;$C$7,BD!$A$3:$A$5001,"&lt;="&amp;$B191,BD!$L$3:$L$5001,"&lt;&gt;"))))</f>
        <v/>
      </c>
      <c r="P191" s="43" t="str">
        <f>IF(OR($B191="",$A191&gt;$B$9,P$184=""),"",IF(COUNTIFS(BD!$B$3:$B$5001,P$184,BD!$A$3:$A$5001,"&gt;="&amp;$C$7,BD!$A$3:$A$5001,"&lt;="&amp;$B191,BD!$L$3:$L$5001,"&lt;&gt;")=0,"",SUMIFS(BD!$L$3:$L$5001,BD!$B$3:$B$5001,P$184,BD!$A$3:$A$5001,_xlfn.MAXIFS(BD!$A$3:$A$5001,BD!$B$3:$B$5001,P$184,BD!$A$3:$A$5001,"&gt;="&amp;$C$7,BD!$A$3:$A$5001,"&lt;="&amp;$B191,BD!$L$3:$L$5001,"&lt;&gt;"))))</f>
        <v/>
      </c>
      <c r="Q191" s="43" t="str">
        <f>IF(OR($B191="",$A191&gt;$B$9,Q$184=""),"",IF(COUNTIFS(BD!$B$3:$B$5001,Q$184,BD!$A$3:$A$5001,"&gt;="&amp;$C$7,BD!$A$3:$A$5001,"&lt;="&amp;$B191,BD!$L$3:$L$5001,"&lt;&gt;")=0,"",SUMIFS(BD!$L$3:$L$5001,BD!$B$3:$B$5001,Q$184,BD!$A$3:$A$5001,_xlfn.MAXIFS(BD!$A$3:$A$5001,BD!$B$3:$B$5001,Q$184,BD!$A$3:$A$5001,"&gt;="&amp;$C$7,BD!$A$3:$A$5001,"&lt;="&amp;$B191,BD!$L$3:$L$5001,"&lt;&gt;"))))</f>
        <v/>
      </c>
      <c r="R191" s="43" t="str">
        <f>IF(OR($B191="",$A191&gt;$B$9,R$184=""),"",IF(COUNTIFS(BD!$B$3:$B$5001,R$184,BD!$A$3:$A$5001,"&gt;="&amp;$C$7,BD!$A$3:$A$5001,"&lt;="&amp;$B191,BD!$L$3:$L$5001,"&lt;&gt;")=0,"",SUMIFS(BD!$L$3:$L$5001,BD!$B$3:$B$5001,R$184,BD!$A$3:$A$5001,_xlfn.MAXIFS(BD!$A$3:$A$5001,BD!$B$3:$B$5001,R$184,BD!$A$3:$A$5001,"&gt;="&amp;$C$7,BD!$A$3:$A$5001,"&lt;="&amp;$B191,BD!$L$3:$L$5001,"&lt;&gt;"))))</f>
        <v/>
      </c>
      <c r="S191" s="43" t="str">
        <f>IF(OR($B191="",$A191&gt;$B$9,S$184=""),"",IF(COUNTIFS(BD!$B$3:$B$5001,S$184,BD!$A$3:$A$5001,"&gt;="&amp;$C$7,BD!$A$3:$A$5001,"&lt;="&amp;$B191,BD!$L$3:$L$5001,"&lt;&gt;")=0,"",SUMIFS(BD!$L$3:$L$5001,BD!$B$3:$B$5001,S$184,BD!$A$3:$A$5001,_xlfn.MAXIFS(BD!$A$3:$A$5001,BD!$B$3:$B$5001,S$184,BD!$A$3:$A$5001,"&gt;="&amp;$C$7,BD!$A$3:$A$5001,"&lt;="&amp;$B191,BD!$L$3:$L$5001,"&lt;&gt;"))))</f>
        <v/>
      </c>
      <c r="T191" s="43" t="str">
        <f>IF(OR($B191="",$A191&gt;$B$9,T$184=""),"",IF(COUNTIFS(BD!$B$3:$B$5001,T$184,BD!$A$3:$A$5001,"&gt;="&amp;$C$7,BD!$A$3:$A$5001,"&lt;="&amp;$B191,BD!$L$3:$L$5001,"&lt;&gt;")=0,"",SUMIFS(BD!$L$3:$L$5001,BD!$B$3:$B$5001,T$184,BD!$A$3:$A$5001,_xlfn.MAXIFS(BD!$A$3:$A$5001,BD!$B$3:$B$5001,T$184,BD!$A$3:$A$5001,"&gt;="&amp;$C$7,BD!$A$3:$A$5001,"&lt;="&amp;$B191,BD!$L$3:$L$5001,"&lt;&gt;"))))</f>
        <v/>
      </c>
      <c r="U191" s="43" t="str">
        <f>IF(OR($B191="",$A191&gt;$B$9,U$184=""),"",IF(COUNTIFS(BD!$B$3:$B$5001,U$184,BD!$A$3:$A$5001,"&gt;="&amp;$C$7,BD!$A$3:$A$5001,"&lt;="&amp;$B191,BD!$L$3:$L$5001,"&lt;&gt;")=0,"",SUMIFS(BD!$L$3:$L$5001,BD!$B$3:$B$5001,U$184,BD!$A$3:$A$5001,_xlfn.MAXIFS(BD!$A$3:$A$5001,BD!$B$3:$B$5001,U$184,BD!$A$3:$A$5001,"&gt;="&amp;$C$7,BD!$A$3:$A$5001,"&lt;="&amp;$B191,BD!$L$3:$L$5001,"&lt;&gt;"))))</f>
        <v/>
      </c>
      <c r="V191" s="43" t="str">
        <f>IF(OR($B191="",$A191&gt;$B$9,V$184=""),"",IF(COUNTIFS(BD!$B$3:$B$5001,V$184,BD!$A$3:$A$5001,"&gt;="&amp;$C$7,BD!$A$3:$A$5001,"&lt;="&amp;$B191,BD!$L$3:$L$5001,"&lt;&gt;")=0,"",SUMIFS(BD!$L$3:$L$5001,BD!$B$3:$B$5001,V$184,BD!$A$3:$A$5001,_xlfn.MAXIFS(BD!$A$3:$A$5001,BD!$B$3:$B$5001,V$184,BD!$A$3:$A$5001,"&gt;="&amp;$C$7,BD!$A$3:$A$5001,"&lt;="&amp;$B191,BD!$L$3:$L$5001,"&lt;&gt;"))))</f>
        <v/>
      </c>
    </row>
    <row r="192">
      <c r="A192" s="38">
        <v>8</v>
      </c>
      <c r="B192" s="42">
        <f>$B$19</f>
        <v>46303</v>
      </c>
      <c r="C192" s="43" t="str">
        <f>IF(OR($B192="",$A192&gt;$B$9,C$184=""),"",IF(COUNTIFS(BD!$B$3:$B$5001,C$184,BD!$A$3:$A$5001,"&gt;="&amp;$C$7,BD!$A$3:$A$5001,"&lt;="&amp;$B192,BD!$L$3:$L$5001,"&lt;&gt;")=0,"",SUMIFS(BD!$L$3:$L$5001,BD!$B$3:$B$5001,C$184,BD!$A$3:$A$5001,_xlfn.MAXIFS(BD!$A$3:$A$5001,BD!$B$3:$B$5001,C$184,BD!$A$3:$A$5001,"&gt;="&amp;$C$7,BD!$A$3:$A$5001,"&lt;="&amp;$B192,BD!$L$3:$L$5001,"&lt;&gt;"))))</f>
        <v/>
      </c>
      <c r="D192" s="43" t="str">
        <f>IF(OR($B192="",$A192&gt;$B$9,D$184=""),"",IF(COUNTIFS(BD!$B$3:$B$5001,D$184,BD!$A$3:$A$5001,"&gt;="&amp;$C$7,BD!$A$3:$A$5001,"&lt;="&amp;$B192,BD!$L$3:$L$5001,"&lt;&gt;")=0,"",SUMIFS(BD!$L$3:$L$5001,BD!$B$3:$B$5001,D$184,BD!$A$3:$A$5001,_xlfn.MAXIFS(BD!$A$3:$A$5001,BD!$B$3:$B$5001,D$184,BD!$A$3:$A$5001,"&gt;="&amp;$C$7,BD!$A$3:$A$5001,"&lt;="&amp;$B192,BD!$L$3:$L$5001,"&lt;&gt;"))))</f>
        <v/>
      </c>
      <c r="E192" s="43" t="str">
        <f>IF(OR($B192="",$A192&gt;$B$9,E$184=""),"",IF(COUNTIFS(BD!$B$3:$B$5001,E$184,BD!$A$3:$A$5001,"&gt;="&amp;$C$7,BD!$A$3:$A$5001,"&lt;="&amp;$B192,BD!$L$3:$L$5001,"&lt;&gt;")=0,"",SUMIFS(BD!$L$3:$L$5001,BD!$B$3:$B$5001,E$184,BD!$A$3:$A$5001,_xlfn.MAXIFS(BD!$A$3:$A$5001,BD!$B$3:$B$5001,E$184,BD!$A$3:$A$5001,"&gt;="&amp;$C$7,BD!$A$3:$A$5001,"&lt;="&amp;$B192,BD!$L$3:$L$5001,"&lt;&gt;"))))</f>
        <v/>
      </c>
      <c r="F192" s="43" t="str">
        <f>IF(OR($B192="",$A192&gt;$B$9,F$184=""),"",IF(COUNTIFS(BD!$B$3:$B$5001,F$184,BD!$A$3:$A$5001,"&gt;="&amp;$C$7,BD!$A$3:$A$5001,"&lt;="&amp;$B192,BD!$L$3:$L$5001,"&lt;&gt;")=0,"",SUMIFS(BD!$L$3:$L$5001,BD!$B$3:$B$5001,F$184,BD!$A$3:$A$5001,_xlfn.MAXIFS(BD!$A$3:$A$5001,BD!$B$3:$B$5001,F$184,BD!$A$3:$A$5001,"&gt;="&amp;$C$7,BD!$A$3:$A$5001,"&lt;="&amp;$B192,BD!$L$3:$L$5001,"&lt;&gt;"))))</f>
        <v/>
      </c>
      <c r="G192" s="43" t="str">
        <f>IF(OR($B192="",$A192&gt;$B$9,G$184=""),"",IF(COUNTIFS(BD!$B$3:$B$5001,G$184,BD!$A$3:$A$5001,"&gt;="&amp;$C$7,BD!$A$3:$A$5001,"&lt;="&amp;$B192,BD!$L$3:$L$5001,"&lt;&gt;")=0,"",SUMIFS(BD!$L$3:$L$5001,BD!$B$3:$B$5001,G$184,BD!$A$3:$A$5001,_xlfn.MAXIFS(BD!$A$3:$A$5001,BD!$B$3:$B$5001,G$184,BD!$A$3:$A$5001,"&gt;="&amp;$C$7,BD!$A$3:$A$5001,"&lt;="&amp;$B192,BD!$L$3:$L$5001,"&lt;&gt;"))))</f>
        <v/>
      </c>
      <c r="H192" s="43" t="str">
        <f>IF(OR($B192="",$A192&gt;$B$9,H$184=""),"",IF(COUNTIFS(BD!$B$3:$B$5001,H$184,BD!$A$3:$A$5001,"&gt;="&amp;$C$7,BD!$A$3:$A$5001,"&lt;="&amp;$B192,BD!$L$3:$L$5001,"&lt;&gt;")=0,"",SUMIFS(BD!$L$3:$L$5001,BD!$B$3:$B$5001,H$184,BD!$A$3:$A$5001,_xlfn.MAXIFS(BD!$A$3:$A$5001,BD!$B$3:$B$5001,H$184,BD!$A$3:$A$5001,"&gt;="&amp;$C$7,BD!$A$3:$A$5001,"&lt;="&amp;$B192,BD!$L$3:$L$5001,"&lt;&gt;"))))</f>
        <v/>
      </c>
      <c r="I192" s="43" t="str">
        <f>IF(OR($B192="",$A192&gt;$B$9,I$184=""),"",IF(COUNTIFS(BD!$B$3:$B$5001,I$184,BD!$A$3:$A$5001,"&gt;="&amp;$C$7,BD!$A$3:$A$5001,"&lt;="&amp;$B192,BD!$L$3:$L$5001,"&lt;&gt;")=0,"",SUMIFS(BD!$L$3:$L$5001,BD!$B$3:$B$5001,I$184,BD!$A$3:$A$5001,_xlfn.MAXIFS(BD!$A$3:$A$5001,BD!$B$3:$B$5001,I$184,BD!$A$3:$A$5001,"&gt;="&amp;$C$7,BD!$A$3:$A$5001,"&lt;="&amp;$B192,BD!$L$3:$L$5001,"&lt;&gt;"))))</f>
        <v/>
      </c>
      <c r="J192" s="43" t="str">
        <f>IF(OR($B192="",$A192&gt;$B$9,J$184=""),"",IF(COUNTIFS(BD!$B$3:$B$5001,J$184,BD!$A$3:$A$5001,"&gt;="&amp;$C$7,BD!$A$3:$A$5001,"&lt;="&amp;$B192,BD!$L$3:$L$5001,"&lt;&gt;")=0,"",SUMIFS(BD!$L$3:$L$5001,BD!$B$3:$B$5001,J$184,BD!$A$3:$A$5001,_xlfn.MAXIFS(BD!$A$3:$A$5001,BD!$B$3:$B$5001,J$184,BD!$A$3:$A$5001,"&gt;="&amp;$C$7,BD!$A$3:$A$5001,"&lt;="&amp;$B192,BD!$L$3:$L$5001,"&lt;&gt;"))))</f>
        <v/>
      </c>
      <c r="K192" s="43" t="str">
        <f>IF(OR($B192="",$A192&gt;$B$9,K$184=""),"",IF(COUNTIFS(BD!$B$3:$B$5001,K$184,BD!$A$3:$A$5001,"&gt;="&amp;$C$7,BD!$A$3:$A$5001,"&lt;="&amp;$B192,BD!$L$3:$L$5001,"&lt;&gt;")=0,"",SUMIFS(BD!$L$3:$L$5001,BD!$B$3:$B$5001,K$184,BD!$A$3:$A$5001,_xlfn.MAXIFS(BD!$A$3:$A$5001,BD!$B$3:$B$5001,K$184,BD!$A$3:$A$5001,"&gt;="&amp;$C$7,BD!$A$3:$A$5001,"&lt;="&amp;$B192,BD!$L$3:$L$5001,"&lt;&gt;"))))</f>
        <v/>
      </c>
      <c r="L192" s="43" t="str">
        <f>IF(OR($B192="",$A192&gt;$B$9,L$184=""),"",IF(COUNTIFS(BD!$B$3:$B$5001,L$184,BD!$A$3:$A$5001,"&gt;="&amp;$C$7,BD!$A$3:$A$5001,"&lt;="&amp;$B192,BD!$L$3:$L$5001,"&lt;&gt;")=0,"",SUMIFS(BD!$L$3:$L$5001,BD!$B$3:$B$5001,L$184,BD!$A$3:$A$5001,_xlfn.MAXIFS(BD!$A$3:$A$5001,BD!$B$3:$B$5001,L$184,BD!$A$3:$A$5001,"&gt;="&amp;$C$7,BD!$A$3:$A$5001,"&lt;="&amp;$B192,BD!$L$3:$L$5001,"&lt;&gt;"))))</f>
        <v/>
      </c>
      <c r="M192" s="43" t="str">
        <f>IF(OR($B192="",$A192&gt;$B$9,M$184=""),"",IF(COUNTIFS(BD!$B$3:$B$5001,M$184,BD!$A$3:$A$5001,"&gt;="&amp;$C$7,BD!$A$3:$A$5001,"&lt;="&amp;$B192,BD!$L$3:$L$5001,"&lt;&gt;")=0,"",SUMIFS(BD!$L$3:$L$5001,BD!$B$3:$B$5001,M$184,BD!$A$3:$A$5001,_xlfn.MAXIFS(BD!$A$3:$A$5001,BD!$B$3:$B$5001,M$184,BD!$A$3:$A$5001,"&gt;="&amp;$C$7,BD!$A$3:$A$5001,"&lt;="&amp;$B192,BD!$L$3:$L$5001,"&lt;&gt;"))))</f>
        <v/>
      </c>
      <c r="N192" s="43" t="str">
        <f>IF(OR($B192="",$A192&gt;$B$9,N$184=""),"",IF(COUNTIFS(BD!$B$3:$B$5001,N$184,BD!$A$3:$A$5001,"&gt;="&amp;$C$7,BD!$A$3:$A$5001,"&lt;="&amp;$B192,BD!$L$3:$L$5001,"&lt;&gt;")=0,"",SUMIFS(BD!$L$3:$L$5001,BD!$B$3:$B$5001,N$184,BD!$A$3:$A$5001,_xlfn.MAXIFS(BD!$A$3:$A$5001,BD!$B$3:$B$5001,N$184,BD!$A$3:$A$5001,"&gt;="&amp;$C$7,BD!$A$3:$A$5001,"&lt;="&amp;$B192,BD!$L$3:$L$5001,"&lt;&gt;"))))</f>
        <v/>
      </c>
      <c r="O192" s="43" t="str">
        <f>IF(OR($B192="",$A192&gt;$B$9,O$184=""),"",IF(COUNTIFS(BD!$B$3:$B$5001,O$184,BD!$A$3:$A$5001,"&gt;="&amp;$C$7,BD!$A$3:$A$5001,"&lt;="&amp;$B192,BD!$L$3:$L$5001,"&lt;&gt;")=0,"",SUMIFS(BD!$L$3:$L$5001,BD!$B$3:$B$5001,O$184,BD!$A$3:$A$5001,_xlfn.MAXIFS(BD!$A$3:$A$5001,BD!$B$3:$B$5001,O$184,BD!$A$3:$A$5001,"&gt;="&amp;$C$7,BD!$A$3:$A$5001,"&lt;="&amp;$B192,BD!$L$3:$L$5001,"&lt;&gt;"))))</f>
        <v/>
      </c>
      <c r="P192" s="43" t="str">
        <f>IF(OR($B192="",$A192&gt;$B$9,P$184=""),"",IF(COUNTIFS(BD!$B$3:$B$5001,P$184,BD!$A$3:$A$5001,"&gt;="&amp;$C$7,BD!$A$3:$A$5001,"&lt;="&amp;$B192,BD!$L$3:$L$5001,"&lt;&gt;")=0,"",SUMIFS(BD!$L$3:$L$5001,BD!$B$3:$B$5001,P$184,BD!$A$3:$A$5001,_xlfn.MAXIFS(BD!$A$3:$A$5001,BD!$B$3:$B$5001,P$184,BD!$A$3:$A$5001,"&gt;="&amp;$C$7,BD!$A$3:$A$5001,"&lt;="&amp;$B192,BD!$L$3:$L$5001,"&lt;&gt;"))))</f>
        <v/>
      </c>
      <c r="Q192" s="43" t="str">
        <f>IF(OR($B192="",$A192&gt;$B$9,Q$184=""),"",IF(COUNTIFS(BD!$B$3:$B$5001,Q$184,BD!$A$3:$A$5001,"&gt;="&amp;$C$7,BD!$A$3:$A$5001,"&lt;="&amp;$B192,BD!$L$3:$L$5001,"&lt;&gt;")=0,"",SUMIFS(BD!$L$3:$L$5001,BD!$B$3:$B$5001,Q$184,BD!$A$3:$A$5001,_xlfn.MAXIFS(BD!$A$3:$A$5001,BD!$B$3:$B$5001,Q$184,BD!$A$3:$A$5001,"&gt;="&amp;$C$7,BD!$A$3:$A$5001,"&lt;="&amp;$B192,BD!$L$3:$L$5001,"&lt;&gt;"))))</f>
        <v/>
      </c>
      <c r="R192" s="43" t="str">
        <f>IF(OR($B192="",$A192&gt;$B$9,R$184=""),"",IF(COUNTIFS(BD!$B$3:$B$5001,R$184,BD!$A$3:$A$5001,"&gt;="&amp;$C$7,BD!$A$3:$A$5001,"&lt;="&amp;$B192,BD!$L$3:$L$5001,"&lt;&gt;")=0,"",SUMIFS(BD!$L$3:$L$5001,BD!$B$3:$B$5001,R$184,BD!$A$3:$A$5001,_xlfn.MAXIFS(BD!$A$3:$A$5001,BD!$B$3:$B$5001,R$184,BD!$A$3:$A$5001,"&gt;="&amp;$C$7,BD!$A$3:$A$5001,"&lt;="&amp;$B192,BD!$L$3:$L$5001,"&lt;&gt;"))))</f>
        <v/>
      </c>
      <c r="S192" s="43" t="str">
        <f>IF(OR($B192="",$A192&gt;$B$9,S$184=""),"",IF(COUNTIFS(BD!$B$3:$B$5001,S$184,BD!$A$3:$A$5001,"&gt;="&amp;$C$7,BD!$A$3:$A$5001,"&lt;="&amp;$B192,BD!$L$3:$L$5001,"&lt;&gt;")=0,"",SUMIFS(BD!$L$3:$L$5001,BD!$B$3:$B$5001,S$184,BD!$A$3:$A$5001,_xlfn.MAXIFS(BD!$A$3:$A$5001,BD!$B$3:$B$5001,S$184,BD!$A$3:$A$5001,"&gt;="&amp;$C$7,BD!$A$3:$A$5001,"&lt;="&amp;$B192,BD!$L$3:$L$5001,"&lt;&gt;"))))</f>
        <v/>
      </c>
      <c r="T192" s="43" t="str">
        <f>IF(OR($B192="",$A192&gt;$B$9,T$184=""),"",IF(COUNTIFS(BD!$B$3:$B$5001,T$184,BD!$A$3:$A$5001,"&gt;="&amp;$C$7,BD!$A$3:$A$5001,"&lt;="&amp;$B192,BD!$L$3:$L$5001,"&lt;&gt;")=0,"",SUMIFS(BD!$L$3:$L$5001,BD!$B$3:$B$5001,T$184,BD!$A$3:$A$5001,_xlfn.MAXIFS(BD!$A$3:$A$5001,BD!$B$3:$B$5001,T$184,BD!$A$3:$A$5001,"&gt;="&amp;$C$7,BD!$A$3:$A$5001,"&lt;="&amp;$B192,BD!$L$3:$L$5001,"&lt;&gt;"))))</f>
        <v/>
      </c>
      <c r="U192" s="43" t="str">
        <f>IF(OR($B192="",$A192&gt;$B$9,U$184=""),"",IF(COUNTIFS(BD!$B$3:$B$5001,U$184,BD!$A$3:$A$5001,"&gt;="&amp;$C$7,BD!$A$3:$A$5001,"&lt;="&amp;$B192,BD!$L$3:$L$5001,"&lt;&gt;")=0,"",SUMIFS(BD!$L$3:$L$5001,BD!$B$3:$B$5001,U$184,BD!$A$3:$A$5001,_xlfn.MAXIFS(BD!$A$3:$A$5001,BD!$B$3:$B$5001,U$184,BD!$A$3:$A$5001,"&gt;="&amp;$C$7,BD!$A$3:$A$5001,"&lt;="&amp;$B192,BD!$L$3:$L$5001,"&lt;&gt;"))))</f>
        <v/>
      </c>
      <c r="V192" s="43" t="str">
        <f>IF(OR($B192="",$A192&gt;$B$9,V$184=""),"",IF(COUNTIFS(BD!$B$3:$B$5001,V$184,BD!$A$3:$A$5001,"&gt;="&amp;$C$7,BD!$A$3:$A$5001,"&lt;="&amp;$B192,BD!$L$3:$L$5001,"&lt;&gt;")=0,"",SUMIFS(BD!$L$3:$L$5001,BD!$B$3:$B$5001,V$184,BD!$A$3:$A$5001,_xlfn.MAXIFS(BD!$A$3:$A$5001,BD!$B$3:$B$5001,V$184,BD!$A$3:$A$5001,"&gt;="&amp;$C$7,BD!$A$3:$A$5001,"&lt;="&amp;$B192,BD!$L$3:$L$5001,"&lt;&gt;"))))</f>
        <v/>
      </c>
    </row>
    <row r="193">
      <c r="A193" s="38">
        <v>9</v>
      </c>
      <c r="B193" s="42">
        <f>$B$20</f>
        <v>46304</v>
      </c>
      <c r="C193" s="43" t="str">
        <f>IF(OR($B193="",$A193&gt;$B$9,C$184=""),"",IF(COUNTIFS(BD!$B$3:$B$5001,C$184,BD!$A$3:$A$5001,"&gt;="&amp;$C$7,BD!$A$3:$A$5001,"&lt;="&amp;$B193,BD!$L$3:$L$5001,"&lt;&gt;")=0,"",SUMIFS(BD!$L$3:$L$5001,BD!$B$3:$B$5001,C$184,BD!$A$3:$A$5001,_xlfn.MAXIFS(BD!$A$3:$A$5001,BD!$B$3:$B$5001,C$184,BD!$A$3:$A$5001,"&gt;="&amp;$C$7,BD!$A$3:$A$5001,"&lt;="&amp;$B193,BD!$L$3:$L$5001,"&lt;&gt;"))))</f>
        <v/>
      </c>
      <c r="D193" s="43" t="str">
        <f>IF(OR($B193="",$A193&gt;$B$9,D$184=""),"",IF(COUNTIFS(BD!$B$3:$B$5001,D$184,BD!$A$3:$A$5001,"&gt;="&amp;$C$7,BD!$A$3:$A$5001,"&lt;="&amp;$B193,BD!$L$3:$L$5001,"&lt;&gt;")=0,"",SUMIFS(BD!$L$3:$L$5001,BD!$B$3:$B$5001,D$184,BD!$A$3:$A$5001,_xlfn.MAXIFS(BD!$A$3:$A$5001,BD!$B$3:$B$5001,D$184,BD!$A$3:$A$5001,"&gt;="&amp;$C$7,BD!$A$3:$A$5001,"&lt;="&amp;$B193,BD!$L$3:$L$5001,"&lt;&gt;"))))</f>
        <v/>
      </c>
      <c r="E193" s="43" t="str">
        <f>IF(OR($B193="",$A193&gt;$B$9,E$184=""),"",IF(COUNTIFS(BD!$B$3:$B$5001,E$184,BD!$A$3:$A$5001,"&gt;="&amp;$C$7,BD!$A$3:$A$5001,"&lt;="&amp;$B193,BD!$L$3:$L$5001,"&lt;&gt;")=0,"",SUMIFS(BD!$L$3:$L$5001,BD!$B$3:$B$5001,E$184,BD!$A$3:$A$5001,_xlfn.MAXIFS(BD!$A$3:$A$5001,BD!$B$3:$B$5001,E$184,BD!$A$3:$A$5001,"&gt;="&amp;$C$7,BD!$A$3:$A$5001,"&lt;="&amp;$B193,BD!$L$3:$L$5001,"&lt;&gt;"))))</f>
        <v/>
      </c>
      <c r="F193" s="43" t="str">
        <f>IF(OR($B193="",$A193&gt;$B$9,F$184=""),"",IF(COUNTIFS(BD!$B$3:$B$5001,F$184,BD!$A$3:$A$5001,"&gt;="&amp;$C$7,BD!$A$3:$A$5001,"&lt;="&amp;$B193,BD!$L$3:$L$5001,"&lt;&gt;")=0,"",SUMIFS(BD!$L$3:$L$5001,BD!$B$3:$B$5001,F$184,BD!$A$3:$A$5001,_xlfn.MAXIFS(BD!$A$3:$A$5001,BD!$B$3:$B$5001,F$184,BD!$A$3:$A$5001,"&gt;="&amp;$C$7,BD!$A$3:$A$5001,"&lt;="&amp;$B193,BD!$L$3:$L$5001,"&lt;&gt;"))))</f>
        <v/>
      </c>
      <c r="G193" s="43" t="str">
        <f>IF(OR($B193="",$A193&gt;$B$9,G$184=""),"",IF(COUNTIFS(BD!$B$3:$B$5001,G$184,BD!$A$3:$A$5001,"&gt;="&amp;$C$7,BD!$A$3:$A$5001,"&lt;="&amp;$B193,BD!$L$3:$L$5001,"&lt;&gt;")=0,"",SUMIFS(BD!$L$3:$L$5001,BD!$B$3:$B$5001,G$184,BD!$A$3:$A$5001,_xlfn.MAXIFS(BD!$A$3:$A$5001,BD!$B$3:$B$5001,G$184,BD!$A$3:$A$5001,"&gt;="&amp;$C$7,BD!$A$3:$A$5001,"&lt;="&amp;$B193,BD!$L$3:$L$5001,"&lt;&gt;"))))</f>
        <v/>
      </c>
      <c r="H193" s="43" t="str">
        <f>IF(OR($B193="",$A193&gt;$B$9,H$184=""),"",IF(COUNTIFS(BD!$B$3:$B$5001,H$184,BD!$A$3:$A$5001,"&gt;="&amp;$C$7,BD!$A$3:$A$5001,"&lt;="&amp;$B193,BD!$L$3:$L$5001,"&lt;&gt;")=0,"",SUMIFS(BD!$L$3:$L$5001,BD!$B$3:$B$5001,H$184,BD!$A$3:$A$5001,_xlfn.MAXIFS(BD!$A$3:$A$5001,BD!$B$3:$B$5001,H$184,BD!$A$3:$A$5001,"&gt;="&amp;$C$7,BD!$A$3:$A$5001,"&lt;="&amp;$B193,BD!$L$3:$L$5001,"&lt;&gt;"))))</f>
        <v/>
      </c>
      <c r="I193" s="43" t="str">
        <f>IF(OR($B193="",$A193&gt;$B$9,I$184=""),"",IF(COUNTIFS(BD!$B$3:$B$5001,I$184,BD!$A$3:$A$5001,"&gt;="&amp;$C$7,BD!$A$3:$A$5001,"&lt;="&amp;$B193,BD!$L$3:$L$5001,"&lt;&gt;")=0,"",SUMIFS(BD!$L$3:$L$5001,BD!$B$3:$B$5001,I$184,BD!$A$3:$A$5001,_xlfn.MAXIFS(BD!$A$3:$A$5001,BD!$B$3:$B$5001,I$184,BD!$A$3:$A$5001,"&gt;="&amp;$C$7,BD!$A$3:$A$5001,"&lt;="&amp;$B193,BD!$L$3:$L$5001,"&lt;&gt;"))))</f>
        <v/>
      </c>
      <c r="J193" s="43" t="str">
        <f>IF(OR($B193="",$A193&gt;$B$9,J$184=""),"",IF(COUNTIFS(BD!$B$3:$B$5001,J$184,BD!$A$3:$A$5001,"&gt;="&amp;$C$7,BD!$A$3:$A$5001,"&lt;="&amp;$B193,BD!$L$3:$L$5001,"&lt;&gt;")=0,"",SUMIFS(BD!$L$3:$L$5001,BD!$B$3:$B$5001,J$184,BD!$A$3:$A$5001,_xlfn.MAXIFS(BD!$A$3:$A$5001,BD!$B$3:$B$5001,J$184,BD!$A$3:$A$5001,"&gt;="&amp;$C$7,BD!$A$3:$A$5001,"&lt;="&amp;$B193,BD!$L$3:$L$5001,"&lt;&gt;"))))</f>
        <v/>
      </c>
      <c r="K193" s="43" t="str">
        <f>IF(OR($B193="",$A193&gt;$B$9,K$184=""),"",IF(COUNTIFS(BD!$B$3:$B$5001,K$184,BD!$A$3:$A$5001,"&gt;="&amp;$C$7,BD!$A$3:$A$5001,"&lt;="&amp;$B193,BD!$L$3:$L$5001,"&lt;&gt;")=0,"",SUMIFS(BD!$L$3:$L$5001,BD!$B$3:$B$5001,K$184,BD!$A$3:$A$5001,_xlfn.MAXIFS(BD!$A$3:$A$5001,BD!$B$3:$B$5001,K$184,BD!$A$3:$A$5001,"&gt;="&amp;$C$7,BD!$A$3:$A$5001,"&lt;="&amp;$B193,BD!$L$3:$L$5001,"&lt;&gt;"))))</f>
        <v/>
      </c>
      <c r="L193" s="43" t="str">
        <f>IF(OR($B193="",$A193&gt;$B$9,L$184=""),"",IF(COUNTIFS(BD!$B$3:$B$5001,L$184,BD!$A$3:$A$5001,"&gt;="&amp;$C$7,BD!$A$3:$A$5001,"&lt;="&amp;$B193,BD!$L$3:$L$5001,"&lt;&gt;")=0,"",SUMIFS(BD!$L$3:$L$5001,BD!$B$3:$B$5001,L$184,BD!$A$3:$A$5001,_xlfn.MAXIFS(BD!$A$3:$A$5001,BD!$B$3:$B$5001,L$184,BD!$A$3:$A$5001,"&gt;="&amp;$C$7,BD!$A$3:$A$5001,"&lt;="&amp;$B193,BD!$L$3:$L$5001,"&lt;&gt;"))))</f>
        <v/>
      </c>
      <c r="M193" s="43" t="str">
        <f>IF(OR($B193="",$A193&gt;$B$9,M$184=""),"",IF(COUNTIFS(BD!$B$3:$B$5001,M$184,BD!$A$3:$A$5001,"&gt;="&amp;$C$7,BD!$A$3:$A$5001,"&lt;="&amp;$B193,BD!$L$3:$L$5001,"&lt;&gt;")=0,"",SUMIFS(BD!$L$3:$L$5001,BD!$B$3:$B$5001,M$184,BD!$A$3:$A$5001,_xlfn.MAXIFS(BD!$A$3:$A$5001,BD!$B$3:$B$5001,M$184,BD!$A$3:$A$5001,"&gt;="&amp;$C$7,BD!$A$3:$A$5001,"&lt;="&amp;$B193,BD!$L$3:$L$5001,"&lt;&gt;"))))</f>
        <v/>
      </c>
      <c r="N193" s="43" t="str">
        <f>IF(OR($B193="",$A193&gt;$B$9,N$184=""),"",IF(COUNTIFS(BD!$B$3:$B$5001,N$184,BD!$A$3:$A$5001,"&gt;="&amp;$C$7,BD!$A$3:$A$5001,"&lt;="&amp;$B193,BD!$L$3:$L$5001,"&lt;&gt;")=0,"",SUMIFS(BD!$L$3:$L$5001,BD!$B$3:$B$5001,N$184,BD!$A$3:$A$5001,_xlfn.MAXIFS(BD!$A$3:$A$5001,BD!$B$3:$B$5001,N$184,BD!$A$3:$A$5001,"&gt;="&amp;$C$7,BD!$A$3:$A$5001,"&lt;="&amp;$B193,BD!$L$3:$L$5001,"&lt;&gt;"))))</f>
        <v/>
      </c>
      <c r="O193" s="43" t="str">
        <f>IF(OR($B193="",$A193&gt;$B$9,O$184=""),"",IF(COUNTIFS(BD!$B$3:$B$5001,O$184,BD!$A$3:$A$5001,"&gt;="&amp;$C$7,BD!$A$3:$A$5001,"&lt;="&amp;$B193,BD!$L$3:$L$5001,"&lt;&gt;")=0,"",SUMIFS(BD!$L$3:$L$5001,BD!$B$3:$B$5001,O$184,BD!$A$3:$A$5001,_xlfn.MAXIFS(BD!$A$3:$A$5001,BD!$B$3:$B$5001,O$184,BD!$A$3:$A$5001,"&gt;="&amp;$C$7,BD!$A$3:$A$5001,"&lt;="&amp;$B193,BD!$L$3:$L$5001,"&lt;&gt;"))))</f>
        <v/>
      </c>
      <c r="P193" s="43" t="str">
        <f>IF(OR($B193="",$A193&gt;$B$9,P$184=""),"",IF(COUNTIFS(BD!$B$3:$B$5001,P$184,BD!$A$3:$A$5001,"&gt;="&amp;$C$7,BD!$A$3:$A$5001,"&lt;="&amp;$B193,BD!$L$3:$L$5001,"&lt;&gt;")=0,"",SUMIFS(BD!$L$3:$L$5001,BD!$B$3:$B$5001,P$184,BD!$A$3:$A$5001,_xlfn.MAXIFS(BD!$A$3:$A$5001,BD!$B$3:$B$5001,P$184,BD!$A$3:$A$5001,"&gt;="&amp;$C$7,BD!$A$3:$A$5001,"&lt;="&amp;$B193,BD!$L$3:$L$5001,"&lt;&gt;"))))</f>
        <v/>
      </c>
      <c r="Q193" s="43" t="str">
        <f>IF(OR($B193="",$A193&gt;$B$9,Q$184=""),"",IF(COUNTIFS(BD!$B$3:$B$5001,Q$184,BD!$A$3:$A$5001,"&gt;="&amp;$C$7,BD!$A$3:$A$5001,"&lt;="&amp;$B193,BD!$L$3:$L$5001,"&lt;&gt;")=0,"",SUMIFS(BD!$L$3:$L$5001,BD!$B$3:$B$5001,Q$184,BD!$A$3:$A$5001,_xlfn.MAXIFS(BD!$A$3:$A$5001,BD!$B$3:$B$5001,Q$184,BD!$A$3:$A$5001,"&gt;="&amp;$C$7,BD!$A$3:$A$5001,"&lt;="&amp;$B193,BD!$L$3:$L$5001,"&lt;&gt;"))))</f>
        <v/>
      </c>
      <c r="R193" s="43" t="str">
        <f>IF(OR($B193="",$A193&gt;$B$9,R$184=""),"",IF(COUNTIFS(BD!$B$3:$B$5001,R$184,BD!$A$3:$A$5001,"&gt;="&amp;$C$7,BD!$A$3:$A$5001,"&lt;="&amp;$B193,BD!$L$3:$L$5001,"&lt;&gt;")=0,"",SUMIFS(BD!$L$3:$L$5001,BD!$B$3:$B$5001,R$184,BD!$A$3:$A$5001,_xlfn.MAXIFS(BD!$A$3:$A$5001,BD!$B$3:$B$5001,R$184,BD!$A$3:$A$5001,"&gt;="&amp;$C$7,BD!$A$3:$A$5001,"&lt;="&amp;$B193,BD!$L$3:$L$5001,"&lt;&gt;"))))</f>
        <v/>
      </c>
      <c r="S193" s="43" t="str">
        <f>IF(OR($B193="",$A193&gt;$B$9,S$184=""),"",IF(COUNTIFS(BD!$B$3:$B$5001,S$184,BD!$A$3:$A$5001,"&gt;="&amp;$C$7,BD!$A$3:$A$5001,"&lt;="&amp;$B193,BD!$L$3:$L$5001,"&lt;&gt;")=0,"",SUMIFS(BD!$L$3:$L$5001,BD!$B$3:$B$5001,S$184,BD!$A$3:$A$5001,_xlfn.MAXIFS(BD!$A$3:$A$5001,BD!$B$3:$B$5001,S$184,BD!$A$3:$A$5001,"&gt;="&amp;$C$7,BD!$A$3:$A$5001,"&lt;="&amp;$B193,BD!$L$3:$L$5001,"&lt;&gt;"))))</f>
        <v/>
      </c>
      <c r="T193" s="43" t="str">
        <f>IF(OR($B193="",$A193&gt;$B$9,T$184=""),"",IF(COUNTIFS(BD!$B$3:$B$5001,T$184,BD!$A$3:$A$5001,"&gt;="&amp;$C$7,BD!$A$3:$A$5001,"&lt;="&amp;$B193,BD!$L$3:$L$5001,"&lt;&gt;")=0,"",SUMIFS(BD!$L$3:$L$5001,BD!$B$3:$B$5001,T$184,BD!$A$3:$A$5001,_xlfn.MAXIFS(BD!$A$3:$A$5001,BD!$B$3:$B$5001,T$184,BD!$A$3:$A$5001,"&gt;="&amp;$C$7,BD!$A$3:$A$5001,"&lt;="&amp;$B193,BD!$L$3:$L$5001,"&lt;&gt;"))))</f>
        <v/>
      </c>
      <c r="U193" s="43" t="str">
        <f>IF(OR($B193="",$A193&gt;$B$9,U$184=""),"",IF(COUNTIFS(BD!$B$3:$B$5001,U$184,BD!$A$3:$A$5001,"&gt;="&amp;$C$7,BD!$A$3:$A$5001,"&lt;="&amp;$B193,BD!$L$3:$L$5001,"&lt;&gt;")=0,"",SUMIFS(BD!$L$3:$L$5001,BD!$B$3:$B$5001,U$184,BD!$A$3:$A$5001,_xlfn.MAXIFS(BD!$A$3:$A$5001,BD!$B$3:$B$5001,U$184,BD!$A$3:$A$5001,"&gt;="&amp;$C$7,BD!$A$3:$A$5001,"&lt;="&amp;$B193,BD!$L$3:$L$5001,"&lt;&gt;"))))</f>
        <v/>
      </c>
      <c r="V193" s="43" t="str">
        <f>IF(OR($B193="",$A193&gt;$B$9,V$184=""),"",IF(COUNTIFS(BD!$B$3:$B$5001,V$184,BD!$A$3:$A$5001,"&gt;="&amp;$C$7,BD!$A$3:$A$5001,"&lt;="&amp;$B193,BD!$L$3:$L$5001,"&lt;&gt;")=0,"",SUMIFS(BD!$L$3:$L$5001,BD!$B$3:$B$5001,V$184,BD!$A$3:$A$5001,_xlfn.MAXIFS(BD!$A$3:$A$5001,BD!$B$3:$B$5001,V$184,BD!$A$3:$A$5001,"&gt;="&amp;$C$7,BD!$A$3:$A$5001,"&lt;="&amp;$B193,BD!$L$3:$L$5001,"&lt;&gt;"))))</f>
        <v/>
      </c>
    </row>
    <row r="194">
      <c r="A194" s="38">
        <v>10</v>
      </c>
      <c r="B194" s="42">
        <f>$B$21</f>
        <v>46305</v>
      </c>
      <c r="C194" s="43" t="str">
        <f>IF(OR($B194="",$A194&gt;$B$9,C$184=""),"",IF(COUNTIFS(BD!$B$3:$B$5001,C$184,BD!$A$3:$A$5001,"&gt;="&amp;$C$7,BD!$A$3:$A$5001,"&lt;="&amp;$B194,BD!$L$3:$L$5001,"&lt;&gt;")=0,"",SUMIFS(BD!$L$3:$L$5001,BD!$B$3:$B$5001,C$184,BD!$A$3:$A$5001,_xlfn.MAXIFS(BD!$A$3:$A$5001,BD!$B$3:$B$5001,C$184,BD!$A$3:$A$5001,"&gt;="&amp;$C$7,BD!$A$3:$A$5001,"&lt;="&amp;$B194,BD!$L$3:$L$5001,"&lt;&gt;"))))</f>
        <v/>
      </c>
      <c r="D194" s="43" t="str">
        <f>IF(OR($B194="",$A194&gt;$B$9,D$184=""),"",IF(COUNTIFS(BD!$B$3:$B$5001,D$184,BD!$A$3:$A$5001,"&gt;="&amp;$C$7,BD!$A$3:$A$5001,"&lt;="&amp;$B194,BD!$L$3:$L$5001,"&lt;&gt;")=0,"",SUMIFS(BD!$L$3:$L$5001,BD!$B$3:$B$5001,D$184,BD!$A$3:$A$5001,_xlfn.MAXIFS(BD!$A$3:$A$5001,BD!$B$3:$B$5001,D$184,BD!$A$3:$A$5001,"&gt;="&amp;$C$7,BD!$A$3:$A$5001,"&lt;="&amp;$B194,BD!$L$3:$L$5001,"&lt;&gt;"))))</f>
        <v/>
      </c>
      <c r="E194" s="43" t="str">
        <f>IF(OR($B194="",$A194&gt;$B$9,E$184=""),"",IF(COUNTIFS(BD!$B$3:$B$5001,E$184,BD!$A$3:$A$5001,"&gt;="&amp;$C$7,BD!$A$3:$A$5001,"&lt;="&amp;$B194,BD!$L$3:$L$5001,"&lt;&gt;")=0,"",SUMIFS(BD!$L$3:$L$5001,BD!$B$3:$B$5001,E$184,BD!$A$3:$A$5001,_xlfn.MAXIFS(BD!$A$3:$A$5001,BD!$B$3:$B$5001,E$184,BD!$A$3:$A$5001,"&gt;="&amp;$C$7,BD!$A$3:$A$5001,"&lt;="&amp;$B194,BD!$L$3:$L$5001,"&lt;&gt;"))))</f>
        <v/>
      </c>
      <c r="F194" s="43" t="str">
        <f>IF(OR($B194="",$A194&gt;$B$9,F$184=""),"",IF(COUNTIFS(BD!$B$3:$B$5001,F$184,BD!$A$3:$A$5001,"&gt;="&amp;$C$7,BD!$A$3:$A$5001,"&lt;="&amp;$B194,BD!$L$3:$L$5001,"&lt;&gt;")=0,"",SUMIFS(BD!$L$3:$L$5001,BD!$B$3:$B$5001,F$184,BD!$A$3:$A$5001,_xlfn.MAXIFS(BD!$A$3:$A$5001,BD!$B$3:$B$5001,F$184,BD!$A$3:$A$5001,"&gt;="&amp;$C$7,BD!$A$3:$A$5001,"&lt;="&amp;$B194,BD!$L$3:$L$5001,"&lt;&gt;"))))</f>
        <v/>
      </c>
      <c r="G194" s="43" t="str">
        <f>IF(OR($B194="",$A194&gt;$B$9,G$184=""),"",IF(COUNTIFS(BD!$B$3:$B$5001,G$184,BD!$A$3:$A$5001,"&gt;="&amp;$C$7,BD!$A$3:$A$5001,"&lt;="&amp;$B194,BD!$L$3:$L$5001,"&lt;&gt;")=0,"",SUMIFS(BD!$L$3:$L$5001,BD!$B$3:$B$5001,G$184,BD!$A$3:$A$5001,_xlfn.MAXIFS(BD!$A$3:$A$5001,BD!$B$3:$B$5001,G$184,BD!$A$3:$A$5001,"&gt;="&amp;$C$7,BD!$A$3:$A$5001,"&lt;="&amp;$B194,BD!$L$3:$L$5001,"&lt;&gt;"))))</f>
        <v/>
      </c>
      <c r="H194" s="43" t="str">
        <f>IF(OR($B194="",$A194&gt;$B$9,H$184=""),"",IF(COUNTIFS(BD!$B$3:$B$5001,H$184,BD!$A$3:$A$5001,"&gt;="&amp;$C$7,BD!$A$3:$A$5001,"&lt;="&amp;$B194,BD!$L$3:$L$5001,"&lt;&gt;")=0,"",SUMIFS(BD!$L$3:$L$5001,BD!$B$3:$B$5001,H$184,BD!$A$3:$A$5001,_xlfn.MAXIFS(BD!$A$3:$A$5001,BD!$B$3:$B$5001,H$184,BD!$A$3:$A$5001,"&gt;="&amp;$C$7,BD!$A$3:$A$5001,"&lt;="&amp;$B194,BD!$L$3:$L$5001,"&lt;&gt;"))))</f>
        <v/>
      </c>
      <c r="I194" s="43" t="str">
        <f>IF(OR($B194="",$A194&gt;$B$9,I$184=""),"",IF(COUNTIFS(BD!$B$3:$B$5001,I$184,BD!$A$3:$A$5001,"&gt;="&amp;$C$7,BD!$A$3:$A$5001,"&lt;="&amp;$B194,BD!$L$3:$L$5001,"&lt;&gt;")=0,"",SUMIFS(BD!$L$3:$L$5001,BD!$B$3:$B$5001,I$184,BD!$A$3:$A$5001,_xlfn.MAXIFS(BD!$A$3:$A$5001,BD!$B$3:$B$5001,I$184,BD!$A$3:$A$5001,"&gt;="&amp;$C$7,BD!$A$3:$A$5001,"&lt;="&amp;$B194,BD!$L$3:$L$5001,"&lt;&gt;"))))</f>
        <v/>
      </c>
      <c r="J194" s="43" t="str">
        <f>IF(OR($B194="",$A194&gt;$B$9,J$184=""),"",IF(COUNTIFS(BD!$B$3:$B$5001,J$184,BD!$A$3:$A$5001,"&gt;="&amp;$C$7,BD!$A$3:$A$5001,"&lt;="&amp;$B194,BD!$L$3:$L$5001,"&lt;&gt;")=0,"",SUMIFS(BD!$L$3:$L$5001,BD!$B$3:$B$5001,J$184,BD!$A$3:$A$5001,_xlfn.MAXIFS(BD!$A$3:$A$5001,BD!$B$3:$B$5001,J$184,BD!$A$3:$A$5001,"&gt;="&amp;$C$7,BD!$A$3:$A$5001,"&lt;="&amp;$B194,BD!$L$3:$L$5001,"&lt;&gt;"))))</f>
        <v/>
      </c>
      <c r="K194" s="43" t="str">
        <f>IF(OR($B194="",$A194&gt;$B$9,K$184=""),"",IF(COUNTIFS(BD!$B$3:$B$5001,K$184,BD!$A$3:$A$5001,"&gt;="&amp;$C$7,BD!$A$3:$A$5001,"&lt;="&amp;$B194,BD!$L$3:$L$5001,"&lt;&gt;")=0,"",SUMIFS(BD!$L$3:$L$5001,BD!$B$3:$B$5001,K$184,BD!$A$3:$A$5001,_xlfn.MAXIFS(BD!$A$3:$A$5001,BD!$B$3:$B$5001,K$184,BD!$A$3:$A$5001,"&gt;="&amp;$C$7,BD!$A$3:$A$5001,"&lt;="&amp;$B194,BD!$L$3:$L$5001,"&lt;&gt;"))))</f>
        <v/>
      </c>
      <c r="L194" s="43" t="str">
        <f>IF(OR($B194="",$A194&gt;$B$9,L$184=""),"",IF(COUNTIFS(BD!$B$3:$B$5001,L$184,BD!$A$3:$A$5001,"&gt;="&amp;$C$7,BD!$A$3:$A$5001,"&lt;="&amp;$B194,BD!$L$3:$L$5001,"&lt;&gt;")=0,"",SUMIFS(BD!$L$3:$L$5001,BD!$B$3:$B$5001,L$184,BD!$A$3:$A$5001,_xlfn.MAXIFS(BD!$A$3:$A$5001,BD!$B$3:$B$5001,L$184,BD!$A$3:$A$5001,"&gt;="&amp;$C$7,BD!$A$3:$A$5001,"&lt;="&amp;$B194,BD!$L$3:$L$5001,"&lt;&gt;"))))</f>
        <v/>
      </c>
      <c r="M194" s="43" t="str">
        <f>IF(OR($B194="",$A194&gt;$B$9,M$184=""),"",IF(COUNTIFS(BD!$B$3:$B$5001,M$184,BD!$A$3:$A$5001,"&gt;="&amp;$C$7,BD!$A$3:$A$5001,"&lt;="&amp;$B194,BD!$L$3:$L$5001,"&lt;&gt;")=0,"",SUMIFS(BD!$L$3:$L$5001,BD!$B$3:$B$5001,M$184,BD!$A$3:$A$5001,_xlfn.MAXIFS(BD!$A$3:$A$5001,BD!$B$3:$B$5001,M$184,BD!$A$3:$A$5001,"&gt;="&amp;$C$7,BD!$A$3:$A$5001,"&lt;="&amp;$B194,BD!$L$3:$L$5001,"&lt;&gt;"))))</f>
        <v/>
      </c>
      <c r="N194" s="43" t="str">
        <f>IF(OR($B194="",$A194&gt;$B$9,N$184=""),"",IF(COUNTIFS(BD!$B$3:$B$5001,N$184,BD!$A$3:$A$5001,"&gt;="&amp;$C$7,BD!$A$3:$A$5001,"&lt;="&amp;$B194,BD!$L$3:$L$5001,"&lt;&gt;")=0,"",SUMIFS(BD!$L$3:$L$5001,BD!$B$3:$B$5001,N$184,BD!$A$3:$A$5001,_xlfn.MAXIFS(BD!$A$3:$A$5001,BD!$B$3:$B$5001,N$184,BD!$A$3:$A$5001,"&gt;="&amp;$C$7,BD!$A$3:$A$5001,"&lt;="&amp;$B194,BD!$L$3:$L$5001,"&lt;&gt;"))))</f>
        <v/>
      </c>
      <c r="O194" s="43" t="str">
        <f>IF(OR($B194="",$A194&gt;$B$9,O$184=""),"",IF(COUNTIFS(BD!$B$3:$B$5001,O$184,BD!$A$3:$A$5001,"&gt;="&amp;$C$7,BD!$A$3:$A$5001,"&lt;="&amp;$B194,BD!$L$3:$L$5001,"&lt;&gt;")=0,"",SUMIFS(BD!$L$3:$L$5001,BD!$B$3:$B$5001,O$184,BD!$A$3:$A$5001,_xlfn.MAXIFS(BD!$A$3:$A$5001,BD!$B$3:$B$5001,O$184,BD!$A$3:$A$5001,"&gt;="&amp;$C$7,BD!$A$3:$A$5001,"&lt;="&amp;$B194,BD!$L$3:$L$5001,"&lt;&gt;"))))</f>
        <v/>
      </c>
      <c r="P194" s="43" t="str">
        <f>IF(OR($B194="",$A194&gt;$B$9,P$184=""),"",IF(COUNTIFS(BD!$B$3:$B$5001,P$184,BD!$A$3:$A$5001,"&gt;="&amp;$C$7,BD!$A$3:$A$5001,"&lt;="&amp;$B194,BD!$L$3:$L$5001,"&lt;&gt;")=0,"",SUMIFS(BD!$L$3:$L$5001,BD!$B$3:$B$5001,P$184,BD!$A$3:$A$5001,_xlfn.MAXIFS(BD!$A$3:$A$5001,BD!$B$3:$B$5001,P$184,BD!$A$3:$A$5001,"&gt;="&amp;$C$7,BD!$A$3:$A$5001,"&lt;="&amp;$B194,BD!$L$3:$L$5001,"&lt;&gt;"))))</f>
        <v/>
      </c>
      <c r="Q194" s="43" t="str">
        <f>IF(OR($B194="",$A194&gt;$B$9,Q$184=""),"",IF(COUNTIFS(BD!$B$3:$B$5001,Q$184,BD!$A$3:$A$5001,"&gt;="&amp;$C$7,BD!$A$3:$A$5001,"&lt;="&amp;$B194,BD!$L$3:$L$5001,"&lt;&gt;")=0,"",SUMIFS(BD!$L$3:$L$5001,BD!$B$3:$B$5001,Q$184,BD!$A$3:$A$5001,_xlfn.MAXIFS(BD!$A$3:$A$5001,BD!$B$3:$B$5001,Q$184,BD!$A$3:$A$5001,"&gt;="&amp;$C$7,BD!$A$3:$A$5001,"&lt;="&amp;$B194,BD!$L$3:$L$5001,"&lt;&gt;"))))</f>
        <v/>
      </c>
      <c r="R194" s="43" t="str">
        <f>IF(OR($B194="",$A194&gt;$B$9,R$184=""),"",IF(COUNTIFS(BD!$B$3:$B$5001,R$184,BD!$A$3:$A$5001,"&gt;="&amp;$C$7,BD!$A$3:$A$5001,"&lt;="&amp;$B194,BD!$L$3:$L$5001,"&lt;&gt;")=0,"",SUMIFS(BD!$L$3:$L$5001,BD!$B$3:$B$5001,R$184,BD!$A$3:$A$5001,_xlfn.MAXIFS(BD!$A$3:$A$5001,BD!$B$3:$B$5001,R$184,BD!$A$3:$A$5001,"&gt;="&amp;$C$7,BD!$A$3:$A$5001,"&lt;="&amp;$B194,BD!$L$3:$L$5001,"&lt;&gt;"))))</f>
        <v/>
      </c>
      <c r="S194" s="43" t="str">
        <f>IF(OR($B194="",$A194&gt;$B$9,S$184=""),"",IF(COUNTIFS(BD!$B$3:$B$5001,S$184,BD!$A$3:$A$5001,"&gt;="&amp;$C$7,BD!$A$3:$A$5001,"&lt;="&amp;$B194,BD!$L$3:$L$5001,"&lt;&gt;")=0,"",SUMIFS(BD!$L$3:$L$5001,BD!$B$3:$B$5001,S$184,BD!$A$3:$A$5001,_xlfn.MAXIFS(BD!$A$3:$A$5001,BD!$B$3:$B$5001,S$184,BD!$A$3:$A$5001,"&gt;="&amp;$C$7,BD!$A$3:$A$5001,"&lt;="&amp;$B194,BD!$L$3:$L$5001,"&lt;&gt;"))))</f>
        <v/>
      </c>
      <c r="T194" s="43" t="str">
        <f>IF(OR($B194="",$A194&gt;$B$9,T$184=""),"",IF(COUNTIFS(BD!$B$3:$B$5001,T$184,BD!$A$3:$A$5001,"&gt;="&amp;$C$7,BD!$A$3:$A$5001,"&lt;="&amp;$B194,BD!$L$3:$L$5001,"&lt;&gt;")=0,"",SUMIFS(BD!$L$3:$L$5001,BD!$B$3:$B$5001,T$184,BD!$A$3:$A$5001,_xlfn.MAXIFS(BD!$A$3:$A$5001,BD!$B$3:$B$5001,T$184,BD!$A$3:$A$5001,"&gt;="&amp;$C$7,BD!$A$3:$A$5001,"&lt;="&amp;$B194,BD!$L$3:$L$5001,"&lt;&gt;"))))</f>
        <v/>
      </c>
      <c r="U194" s="43" t="str">
        <f>IF(OR($B194="",$A194&gt;$B$9,U$184=""),"",IF(COUNTIFS(BD!$B$3:$B$5001,U$184,BD!$A$3:$A$5001,"&gt;="&amp;$C$7,BD!$A$3:$A$5001,"&lt;="&amp;$B194,BD!$L$3:$L$5001,"&lt;&gt;")=0,"",SUMIFS(BD!$L$3:$L$5001,BD!$B$3:$B$5001,U$184,BD!$A$3:$A$5001,_xlfn.MAXIFS(BD!$A$3:$A$5001,BD!$B$3:$B$5001,U$184,BD!$A$3:$A$5001,"&gt;="&amp;$C$7,BD!$A$3:$A$5001,"&lt;="&amp;$B194,BD!$L$3:$L$5001,"&lt;&gt;"))))</f>
        <v/>
      </c>
      <c r="V194" s="43" t="str">
        <f>IF(OR($B194="",$A194&gt;$B$9,V$184=""),"",IF(COUNTIFS(BD!$B$3:$B$5001,V$184,BD!$A$3:$A$5001,"&gt;="&amp;$C$7,BD!$A$3:$A$5001,"&lt;="&amp;$B194,BD!$L$3:$L$5001,"&lt;&gt;")=0,"",SUMIFS(BD!$L$3:$L$5001,BD!$B$3:$B$5001,V$184,BD!$A$3:$A$5001,_xlfn.MAXIFS(BD!$A$3:$A$5001,BD!$B$3:$B$5001,V$184,BD!$A$3:$A$5001,"&gt;="&amp;$C$7,BD!$A$3:$A$5001,"&lt;="&amp;$B194,BD!$L$3:$L$5001,"&lt;&gt;"))))</f>
        <v/>
      </c>
    </row>
    <row r="195">
      <c r="A195" s="38">
        <v>11</v>
      </c>
      <c r="B195" s="42">
        <f>$B$22</f>
        <v>46306</v>
      </c>
      <c r="C195" s="43" t="str">
        <f>IF(OR($B195="",$A195&gt;$B$9,C$184=""),"",IF(COUNTIFS(BD!$B$3:$B$5001,C$184,BD!$A$3:$A$5001,"&gt;="&amp;$C$7,BD!$A$3:$A$5001,"&lt;="&amp;$B195,BD!$L$3:$L$5001,"&lt;&gt;")=0,"",SUMIFS(BD!$L$3:$L$5001,BD!$B$3:$B$5001,C$184,BD!$A$3:$A$5001,_xlfn.MAXIFS(BD!$A$3:$A$5001,BD!$B$3:$B$5001,C$184,BD!$A$3:$A$5001,"&gt;="&amp;$C$7,BD!$A$3:$A$5001,"&lt;="&amp;$B195,BD!$L$3:$L$5001,"&lt;&gt;"))))</f>
        <v/>
      </c>
      <c r="D195" s="43" t="str">
        <f>IF(OR($B195="",$A195&gt;$B$9,D$184=""),"",IF(COUNTIFS(BD!$B$3:$B$5001,D$184,BD!$A$3:$A$5001,"&gt;="&amp;$C$7,BD!$A$3:$A$5001,"&lt;="&amp;$B195,BD!$L$3:$L$5001,"&lt;&gt;")=0,"",SUMIFS(BD!$L$3:$L$5001,BD!$B$3:$B$5001,D$184,BD!$A$3:$A$5001,_xlfn.MAXIFS(BD!$A$3:$A$5001,BD!$B$3:$B$5001,D$184,BD!$A$3:$A$5001,"&gt;="&amp;$C$7,BD!$A$3:$A$5001,"&lt;="&amp;$B195,BD!$L$3:$L$5001,"&lt;&gt;"))))</f>
        <v/>
      </c>
      <c r="E195" s="43" t="str">
        <f>IF(OR($B195="",$A195&gt;$B$9,E$184=""),"",IF(COUNTIFS(BD!$B$3:$B$5001,E$184,BD!$A$3:$A$5001,"&gt;="&amp;$C$7,BD!$A$3:$A$5001,"&lt;="&amp;$B195,BD!$L$3:$L$5001,"&lt;&gt;")=0,"",SUMIFS(BD!$L$3:$L$5001,BD!$B$3:$B$5001,E$184,BD!$A$3:$A$5001,_xlfn.MAXIFS(BD!$A$3:$A$5001,BD!$B$3:$B$5001,E$184,BD!$A$3:$A$5001,"&gt;="&amp;$C$7,BD!$A$3:$A$5001,"&lt;="&amp;$B195,BD!$L$3:$L$5001,"&lt;&gt;"))))</f>
        <v/>
      </c>
      <c r="F195" s="43" t="str">
        <f>IF(OR($B195="",$A195&gt;$B$9,F$184=""),"",IF(COUNTIFS(BD!$B$3:$B$5001,F$184,BD!$A$3:$A$5001,"&gt;="&amp;$C$7,BD!$A$3:$A$5001,"&lt;="&amp;$B195,BD!$L$3:$L$5001,"&lt;&gt;")=0,"",SUMIFS(BD!$L$3:$L$5001,BD!$B$3:$B$5001,F$184,BD!$A$3:$A$5001,_xlfn.MAXIFS(BD!$A$3:$A$5001,BD!$B$3:$B$5001,F$184,BD!$A$3:$A$5001,"&gt;="&amp;$C$7,BD!$A$3:$A$5001,"&lt;="&amp;$B195,BD!$L$3:$L$5001,"&lt;&gt;"))))</f>
        <v/>
      </c>
      <c r="G195" s="43" t="str">
        <f>IF(OR($B195="",$A195&gt;$B$9,G$184=""),"",IF(COUNTIFS(BD!$B$3:$B$5001,G$184,BD!$A$3:$A$5001,"&gt;="&amp;$C$7,BD!$A$3:$A$5001,"&lt;="&amp;$B195,BD!$L$3:$L$5001,"&lt;&gt;")=0,"",SUMIFS(BD!$L$3:$L$5001,BD!$B$3:$B$5001,G$184,BD!$A$3:$A$5001,_xlfn.MAXIFS(BD!$A$3:$A$5001,BD!$B$3:$B$5001,G$184,BD!$A$3:$A$5001,"&gt;="&amp;$C$7,BD!$A$3:$A$5001,"&lt;="&amp;$B195,BD!$L$3:$L$5001,"&lt;&gt;"))))</f>
        <v/>
      </c>
      <c r="H195" s="43" t="str">
        <f>IF(OR($B195="",$A195&gt;$B$9,H$184=""),"",IF(COUNTIFS(BD!$B$3:$B$5001,H$184,BD!$A$3:$A$5001,"&gt;="&amp;$C$7,BD!$A$3:$A$5001,"&lt;="&amp;$B195,BD!$L$3:$L$5001,"&lt;&gt;")=0,"",SUMIFS(BD!$L$3:$L$5001,BD!$B$3:$B$5001,H$184,BD!$A$3:$A$5001,_xlfn.MAXIFS(BD!$A$3:$A$5001,BD!$B$3:$B$5001,H$184,BD!$A$3:$A$5001,"&gt;="&amp;$C$7,BD!$A$3:$A$5001,"&lt;="&amp;$B195,BD!$L$3:$L$5001,"&lt;&gt;"))))</f>
        <v/>
      </c>
      <c r="I195" s="43" t="str">
        <f>IF(OR($B195="",$A195&gt;$B$9,I$184=""),"",IF(COUNTIFS(BD!$B$3:$B$5001,I$184,BD!$A$3:$A$5001,"&gt;="&amp;$C$7,BD!$A$3:$A$5001,"&lt;="&amp;$B195,BD!$L$3:$L$5001,"&lt;&gt;")=0,"",SUMIFS(BD!$L$3:$L$5001,BD!$B$3:$B$5001,I$184,BD!$A$3:$A$5001,_xlfn.MAXIFS(BD!$A$3:$A$5001,BD!$B$3:$B$5001,I$184,BD!$A$3:$A$5001,"&gt;="&amp;$C$7,BD!$A$3:$A$5001,"&lt;="&amp;$B195,BD!$L$3:$L$5001,"&lt;&gt;"))))</f>
        <v/>
      </c>
      <c r="J195" s="43" t="str">
        <f>IF(OR($B195="",$A195&gt;$B$9,J$184=""),"",IF(COUNTIFS(BD!$B$3:$B$5001,J$184,BD!$A$3:$A$5001,"&gt;="&amp;$C$7,BD!$A$3:$A$5001,"&lt;="&amp;$B195,BD!$L$3:$L$5001,"&lt;&gt;")=0,"",SUMIFS(BD!$L$3:$L$5001,BD!$B$3:$B$5001,J$184,BD!$A$3:$A$5001,_xlfn.MAXIFS(BD!$A$3:$A$5001,BD!$B$3:$B$5001,J$184,BD!$A$3:$A$5001,"&gt;="&amp;$C$7,BD!$A$3:$A$5001,"&lt;="&amp;$B195,BD!$L$3:$L$5001,"&lt;&gt;"))))</f>
        <v/>
      </c>
      <c r="K195" s="43" t="str">
        <f>IF(OR($B195="",$A195&gt;$B$9,K$184=""),"",IF(COUNTIFS(BD!$B$3:$B$5001,K$184,BD!$A$3:$A$5001,"&gt;="&amp;$C$7,BD!$A$3:$A$5001,"&lt;="&amp;$B195,BD!$L$3:$L$5001,"&lt;&gt;")=0,"",SUMIFS(BD!$L$3:$L$5001,BD!$B$3:$B$5001,K$184,BD!$A$3:$A$5001,_xlfn.MAXIFS(BD!$A$3:$A$5001,BD!$B$3:$B$5001,K$184,BD!$A$3:$A$5001,"&gt;="&amp;$C$7,BD!$A$3:$A$5001,"&lt;="&amp;$B195,BD!$L$3:$L$5001,"&lt;&gt;"))))</f>
        <v/>
      </c>
      <c r="L195" s="43" t="str">
        <f>IF(OR($B195="",$A195&gt;$B$9,L$184=""),"",IF(COUNTIFS(BD!$B$3:$B$5001,L$184,BD!$A$3:$A$5001,"&gt;="&amp;$C$7,BD!$A$3:$A$5001,"&lt;="&amp;$B195,BD!$L$3:$L$5001,"&lt;&gt;")=0,"",SUMIFS(BD!$L$3:$L$5001,BD!$B$3:$B$5001,L$184,BD!$A$3:$A$5001,_xlfn.MAXIFS(BD!$A$3:$A$5001,BD!$B$3:$B$5001,L$184,BD!$A$3:$A$5001,"&gt;="&amp;$C$7,BD!$A$3:$A$5001,"&lt;="&amp;$B195,BD!$L$3:$L$5001,"&lt;&gt;"))))</f>
        <v/>
      </c>
      <c r="M195" s="43" t="str">
        <f>IF(OR($B195="",$A195&gt;$B$9,M$184=""),"",IF(COUNTIFS(BD!$B$3:$B$5001,M$184,BD!$A$3:$A$5001,"&gt;="&amp;$C$7,BD!$A$3:$A$5001,"&lt;="&amp;$B195,BD!$L$3:$L$5001,"&lt;&gt;")=0,"",SUMIFS(BD!$L$3:$L$5001,BD!$B$3:$B$5001,M$184,BD!$A$3:$A$5001,_xlfn.MAXIFS(BD!$A$3:$A$5001,BD!$B$3:$B$5001,M$184,BD!$A$3:$A$5001,"&gt;="&amp;$C$7,BD!$A$3:$A$5001,"&lt;="&amp;$B195,BD!$L$3:$L$5001,"&lt;&gt;"))))</f>
        <v/>
      </c>
      <c r="N195" s="43" t="str">
        <f>IF(OR($B195="",$A195&gt;$B$9,N$184=""),"",IF(COUNTIFS(BD!$B$3:$B$5001,N$184,BD!$A$3:$A$5001,"&gt;="&amp;$C$7,BD!$A$3:$A$5001,"&lt;="&amp;$B195,BD!$L$3:$L$5001,"&lt;&gt;")=0,"",SUMIFS(BD!$L$3:$L$5001,BD!$B$3:$B$5001,N$184,BD!$A$3:$A$5001,_xlfn.MAXIFS(BD!$A$3:$A$5001,BD!$B$3:$B$5001,N$184,BD!$A$3:$A$5001,"&gt;="&amp;$C$7,BD!$A$3:$A$5001,"&lt;="&amp;$B195,BD!$L$3:$L$5001,"&lt;&gt;"))))</f>
        <v/>
      </c>
      <c r="O195" s="43" t="str">
        <f>IF(OR($B195="",$A195&gt;$B$9,O$184=""),"",IF(COUNTIFS(BD!$B$3:$B$5001,O$184,BD!$A$3:$A$5001,"&gt;="&amp;$C$7,BD!$A$3:$A$5001,"&lt;="&amp;$B195,BD!$L$3:$L$5001,"&lt;&gt;")=0,"",SUMIFS(BD!$L$3:$L$5001,BD!$B$3:$B$5001,O$184,BD!$A$3:$A$5001,_xlfn.MAXIFS(BD!$A$3:$A$5001,BD!$B$3:$B$5001,O$184,BD!$A$3:$A$5001,"&gt;="&amp;$C$7,BD!$A$3:$A$5001,"&lt;="&amp;$B195,BD!$L$3:$L$5001,"&lt;&gt;"))))</f>
        <v/>
      </c>
      <c r="P195" s="43" t="str">
        <f>IF(OR($B195="",$A195&gt;$B$9,P$184=""),"",IF(COUNTIFS(BD!$B$3:$B$5001,P$184,BD!$A$3:$A$5001,"&gt;="&amp;$C$7,BD!$A$3:$A$5001,"&lt;="&amp;$B195,BD!$L$3:$L$5001,"&lt;&gt;")=0,"",SUMIFS(BD!$L$3:$L$5001,BD!$B$3:$B$5001,P$184,BD!$A$3:$A$5001,_xlfn.MAXIFS(BD!$A$3:$A$5001,BD!$B$3:$B$5001,P$184,BD!$A$3:$A$5001,"&gt;="&amp;$C$7,BD!$A$3:$A$5001,"&lt;="&amp;$B195,BD!$L$3:$L$5001,"&lt;&gt;"))))</f>
        <v/>
      </c>
      <c r="Q195" s="43" t="str">
        <f>IF(OR($B195="",$A195&gt;$B$9,Q$184=""),"",IF(COUNTIFS(BD!$B$3:$B$5001,Q$184,BD!$A$3:$A$5001,"&gt;="&amp;$C$7,BD!$A$3:$A$5001,"&lt;="&amp;$B195,BD!$L$3:$L$5001,"&lt;&gt;")=0,"",SUMIFS(BD!$L$3:$L$5001,BD!$B$3:$B$5001,Q$184,BD!$A$3:$A$5001,_xlfn.MAXIFS(BD!$A$3:$A$5001,BD!$B$3:$B$5001,Q$184,BD!$A$3:$A$5001,"&gt;="&amp;$C$7,BD!$A$3:$A$5001,"&lt;="&amp;$B195,BD!$L$3:$L$5001,"&lt;&gt;"))))</f>
        <v/>
      </c>
      <c r="R195" s="43" t="str">
        <f>IF(OR($B195="",$A195&gt;$B$9,R$184=""),"",IF(COUNTIFS(BD!$B$3:$B$5001,R$184,BD!$A$3:$A$5001,"&gt;="&amp;$C$7,BD!$A$3:$A$5001,"&lt;="&amp;$B195,BD!$L$3:$L$5001,"&lt;&gt;")=0,"",SUMIFS(BD!$L$3:$L$5001,BD!$B$3:$B$5001,R$184,BD!$A$3:$A$5001,_xlfn.MAXIFS(BD!$A$3:$A$5001,BD!$B$3:$B$5001,R$184,BD!$A$3:$A$5001,"&gt;="&amp;$C$7,BD!$A$3:$A$5001,"&lt;="&amp;$B195,BD!$L$3:$L$5001,"&lt;&gt;"))))</f>
        <v/>
      </c>
      <c r="S195" s="43" t="str">
        <f>IF(OR($B195="",$A195&gt;$B$9,S$184=""),"",IF(COUNTIFS(BD!$B$3:$B$5001,S$184,BD!$A$3:$A$5001,"&gt;="&amp;$C$7,BD!$A$3:$A$5001,"&lt;="&amp;$B195,BD!$L$3:$L$5001,"&lt;&gt;")=0,"",SUMIFS(BD!$L$3:$L$5001,BD!$B$3:$B$5001,S$184,BD!$A$3:$A$5001,_xlfn.MAXIFS(BD!$A$3:$A$5001,BD!$B$3:$B$5001,S$184,BD!$A$3:$A$5001,"&gt;="&amp;$C$7,BD!$A$3:$A$5001,"&lt;="&amp;$B195,BD!$L$3:$L$5001,"&lt;&gt;"))))</f>
        <v/>
      </c>
      <c r="T195" s="43" t="str">
        <f>IF(OR($B195="",$A195&gt;$B$9,T$184=""),"",IF(COUNTIFS(BD!$B$3:$B$5001,T$184,BD!$A$3:$A$5001,"&gt;="&amp;$C$7,BD!$A$3:$A$5001,"&lt;="&amp;$B195,BD!$L$3:$L$5001,"&lt;&gt;")=0,"",SUMIFS(BD!$L$3:$L$5001,BD!$B$3:$B$5001,T$184,BD!$A$3:$A$5001,_xlfn.MAXIFS(BD!$A$3:$A$5001,BD!$B$3:$B$5001,T$184,BD!$A$3:$A$5001,"&gt;="&amp;$C$7,BD!$A$3:$A$5001,"&lt;="&amp;$B195,BD!$L$3:$L$5001,"&lt;&gt;"))))</f>
        <v/>
      </c>
      <c r="U195" s="43" t="str">
        <f>IF(OR($B195="",$A195&gt;$B$9,U$184=""),"",IF(COUNTIFS(BD!$B$3:$B$5001,U$184,BD!$A$3:$A$5001,"&gt;="&amp;$C$7,BD!$A$3:$A$5001,"&lt;="&amp;$B195,BD!$L$3:$L$5001,"&lt;&gt;")=0,"",SUMIFS(BD!$L$3:$L$5001,BD!$B$3:$B$5001,U$184,BD!$A$3:$A$5001,_xlfn.MAXIFS(BD!$A$3:$A$5001,BD!$B$3:$B$5001,U$184,BD!$A$3:$A$5001,"&gt;="&amp;$C$7,BD!$A$3:$A$5001,"&lt;="&amp;$B195,BD!$L$3:$L$5001,"&lt;&gt;"))))</f>
        <v/>
      </c>
      <c r="V195" s="43" t="str">
        <f>IF(OR($B195="",$A195&gt;$B$9,V$184=""),"",IF(COUNTIFS(BD!$B$3:$B$5001,V$184,BD!$A$3:$A$5001,"&gt;="&amp;$C$7,BD!$A$3:$A$5001,"&lt;="&amp;$B195,BD!$L$3:$L$5001,"&lt;&gt;")=0,"",SUMIFS(BD!$L$3:$L$5001,BD!$B$3:$B$5001,V$184,BD!$A$3:$A$5001,_xlfn.MAXIFS(BD!$A$3:$A$5001,BD!$B$3:$B$5001,V$184,BD!$A$3:$A$5001,"&gt;="&amp;$C$7,BD!$A$3:$A$5001,"&lt;="&amp;$B195,BD!$L$3:$L$5001,"&lt;&gt;"))))</f>
        <v/>
      </c>
    </row>
    <row r="196">
      <c r="A196" s="38">
        <v>12</v>
      </c>
      <c r="B196" s="42">
        <f>$B$23</f>
        <v>46307</v>
      </c>
      <c r="C196" s="43" t="str">
        <f>IF(OR($B196="",$A196&gt;$B$9,C$184=""),"",IF(COUNTIFS(BD!$B$3:$B$5001,C$184,BD!$A$3:$A$5001,"&gt;="&amp;$C$7,BD!$A$3:$A$5001,"&lt;="&amp;$B196,BD!$L$3:$L$5001,"&lt;&gt;")=0,"",SUMIFS(BD!$L$3:$L$5001,BD!$B$3:$B$5001,C$184,BD!$A$3:$A$5001,_xlfn.MAXIFS(BD!$A$3:$A$5001,BD!$B$3:$B$5001,C$184,BD!$A$3:$A$5001,"&gt;="&amp;$C$7,BD!$A$3:$A$5001,"&lt;="&amp;$B196,BD!$L$3:$L$5001,"&lt;&gt;"))))</f>
        <v/>
      </c>
      <c r="D196" s="43" t="str">
        <f>IF(OR($B196="",$A196&gt;$B$9,D$184=""),"",IF(COUNTIFS(BD!$B$3:$B$5001,D$184,BD!$A$3:$A$5001,"&gt;="&amp;$C$7,BD!$A$3:$A$5001,"&lt;="&amp;$B196,BD!$L$3:$L$5001,"&lt;&gt;")=0,"",SUMIFS(BD!$L$3:$L$5001,BD!$B$3:$B$5001,D$184,BD!$A$3:$A$5001,_xlfn.MAXIFS(BD!$A$3:$A$5001,BD!$B$3:$B$5001,D$184,BD!$A$3:$A$5001,"&gt;="&amp;$C$7,BD!$A$3:$A$5001,"&lt;="&amp;$B196,BD!$L$3:$L$5001,"&lt;&gt;"))))</f>
        <v/>
      </c>
      <c r="E196" s="43" t="str">
        <f>IF(OR($B196="",$A196&gt;$B$9,E$184=""),"",IF(COUNTIFS(BD!$B$3:$B$5001,E$184,BD!$A$3:$A$5001,"&gt;="&amp;$C$7,BD!$A$3:$A$5001,"&lt;="&amp;$B196,BD!$L$3:$L$5001,"&lt;&gt;")=0,"",SUMIFS(BD!$L$3:$L$5001,BD!$B$3:$B$5001,E$184,BD!$A$3:$A$5001,_xlfn.MAXIFS(BD!$A$3:$A$5001,BD!$B$3:$B$5001,E$184,BD!$A$3:$A$5001,"&gt;="&amp;$C$7,BD!$A$3:$A$5001,"&lt;="&amp;$B196,BD!$L$3:$L$5001,"&lt;&gt;"))))</f>
        <v/>
      </c>
      <c r="F196" s="43" t="str">
        <f>IF(OR($B196="",$A196&gt;$B$9,F$184=""),"",IF(COUNTIFS(BD!$B$3:$B$5001,F$184,BD!$A$3:$A$5001,"&gt;="&amp;$C$7,BD!$A$3:$A$5001,"&lt;="&amp;$B196,BD!$L$3:$L$5001,"&lt;&gt;")=0,"",SUMIFS(BD!$L$3:$L$5001,BD!$B$3:$B$5001,F$184,BD!$A$3:$A$5001,_xlfn.MAXIFS(BD!$A$3:$A$5001,BD!$B$3:$B$5001,F$184,BD!$A$3:$A$5001,"&gt;="&amp;$C$7,BD!$A$3:$A$5001,"&lt;="&amp;$B196,BD!$L$3:$L$5001,"&lt;&gt;"))))</f>
        <v/>
      </c>
      <c r="G196" s="43" t="str">
        <f>IF(OR($B196="",$A196&gt;$B$9,G$184=""),"",IF(COUNTIFS(BD!$B$3:$B$5001,G$184,BD!$A$3:$A$5001,"&gt;="&amp;$C$7,BD!$A$3:$A$5001,"&lt;="&amp;$B196,BD!$L$3:$L$5001,"&lt;&gt;")=0,"",SUMIFS(BD!$L$3:$L$5001,BD!$B$3:$B$5001,G$184,BD!$A$3:$A$5001,_xlfn.MAXIFS(BD!$A$3:$A$5001,BD!$B$3:$B$5001,G$184,BD!$A$3:$A$5001,"&gt;="&amp;$C$7,BD!$A$3:$A$5001,"&lt;="&amp;$B196,BD!$L$3:$L$5001,"&lt;&gt;"))))</f>
        <v/>
      </c>
      <c r="H196" s="43" t="str">
        <f>IF(OR($B196="",$A196&gt;$B$9,H$184=""),"",IF(COUNTIFS(BD!$B$3:$B$5001,H$184,BD!$A$3:$A$5001,"&gt;="&amp;$C$7,BD!$A$3:$A$5001,"&lt;="&amp;$B196,BD!$L$3:$L$5001,"&lt;&gt;")=0,"",SUMIFS(BD!$L$3:$L$5001,BD!$B$3:$B$5001,H$184,BD!$A$3:$A$5001,_xlfn.MAXIFS(BD!$A$3:$A$5001,BD!$B$3:$B$5001,H$184,BD!$A$3:$A$5001,"&gt;="&amp;$C$7,BD!$A$3:$A$5001,"&lt;="&amp;$B196,BD!$L$3:$L$5001,"&lt;&gt;"))))</f>
        <v/>
      </c>
      <c r="I196" s="43" t="str">
        <f>IF(OR($B196="",$A196&gt;$B$9,I$184=""),"",IF(COUNTIFS(BD!$B$3:$B$5001,I$184,BD!$A$3:$A$5001,"&gt;="&amp;$C$7,BD!$A$3:$A$5001,"&lt;="&amp;$B196,BD!$L$3:$L$5001,"&lt;&gt;")=0,"",SUMIFS(BD!$L$3:$L$5001,BD!$B$3:$B$5001,I$184,BD!$A$3:$A$5001,_xlfn.MAXIFS(BD!$A$3:$A$5001,BD!$B$3:$B$5001,I$184,BD!$A$3:$A$5001,"&gt;="&amp;$C$7,BD!$A$3:$A$5001,"&lt;="&amp;$B196,BD!$L$3:$L$5001,"&lt;&gt;"))))</f>
        <v/>
      </c>
      <c r="J196" s="43" t="str">
        <f>IF(OR($B196="",$A196&gt;$B$9,J$184=""),"",IF(COUNTIFS(BD!$B$3:$B$5001,J$184,BD!$A$3:$A$5001,"&gt;="&amp;$C$7,BD!$A$3:$A$5001,"&lt;="&amp;$B196,BD!$L$3:$L$5001,"&lt;&gt;")=0,"",SUMIFS(BD!$L$3:$L$5001,BD!$B$3:$B$5001,J$184,BD!$A$3:$A$5001,_xlfn.MAXIFS(BD!$A$3:$A$5001,BD!$B$3:$B$5001,J$184,BD!$A$3:$A$5001,"&gt;="&amp;$C$7,BD!$A$3:$A$5001,"&lt;="&amp;$B196,BD!$L$3:$L$5001,"&lt;&gt;"))))</f>
        <v/>
      </c>
      <c r="K196" s="43" t="str">
        <f>IF(OR($B196="",$A196&gt;$B$9,K$184=""),"",IF(COUNTIFS(BD!$B$3:$B$5001,K$184,BD!$A$3:$A$5001,"&gt;="&amp;$C$7,BD!$A$3:$A$5001,"&lt;="&amp;$B196,BD!$L$3:$L$5001,"&lt;&gt;")=0,"",SUMIFS(BD!$L$3:$L$5001,BD!$B$3:$B$5001,K$184,BD!$A$3:$A$5001,_xlfn.MAXIFS(BD!$A$3:$A$5001,BD!$B$3:$B$5001,K$184,BD!$A$3:$A$5001,"&gt;="&amp;$C$7,BD!$A$3:$A$5001,"&lt;="&amp;$B196,BD!$L$3:$L$5001,"&lt;&gt;"))))</f>
        <v/>
      </c>
      <c r="L196" s="43" t="str">
        <f>IF(OR($B196="",$A196&gt;$B$9,L$184=""),"",IF(COUNTIFS(BD!$B$3:$B$5001,L$184,BD!$A$3:$A$5001,"&gt;="&amp;$C$7,BD!$A$3:$A$5001,"&lt;="&amp;$B196,BD!$L$3:$L$5001,"&lt;&gt;")=0,"",SUMIFS(BD!$L$3:$L$5001,BD!$B$3:$B$5001,L$184,BD!$A$3:$A$5001,_xlfn.MAXIFS(BD!$A$3:$A$5001,BD!$B$3:$B$5001,L$184,BD!$A$3:$A$5001,"&gt;="&amp;$C$7,BD!$A$3:$A$5001,"&lt;="&amp;$B196,BD!$L$3:$L$5001,"&lt;&gt;"))))</f>
        <v/>
      </c>
      <c r="M196" s="43" t="str">
        <f>IF(OR($B196="",$A196&gt;$B$9,M$184=""),"",IF(COUNTIFS(BD!$B$3:$B$5001,M$184,BD!$A$3:$A$5001,"&gt;="&amp;$C$7,BD!$A$3:$A$5001,"&lt;="&amp;$B196,BD!$L$3:$L$5001,"&lt;&gt;")=0,"",SUMIFS(BD!$L$3:$L$5001,BD!$B$3:$B$5001,M$184,BD!$A$3:$A$5001,_xlfn.MAXIFS(BD!$A$3:$A$5001,BD!$B$3:$B$5001,M$184,BD!$A$3:$A$5001,"&gt;="&amp;$C$7,BD!$A$3:$A$5001,"&lt;="&amp;$B196,BD!$L$3:$L$5001,"&lt;&gt;"))))</f>
        <v/>
      </c>
      <c r="N196" s="43" t="str">
        <f>IF(OR($B196="",$A196&gt;$B$9,N$184=""),"",IF(COUNTIFS(BD!$B$3:$B$5001,N$184,BD!$A$3:$A$5001,"&gt;="&amp;$C$7,BD!$A$3:$A$5001,"&lt;="&amp;$B196,BD!$L$3:$L$5001,"&lt;&gt;")=0,"",SUMIFS(BD!$L$3:$L$5001,BD!$B$3:$B$5001,N$184,BD!$A$3:$A$5001,_xlfn.MAXIFS(BD!$A$3:$A$5001,BD!$B$3:$B$5001,N$184,BD!$A$3:$A$5001,"&gt;="&amp;$C$7,BD!$A$3:$A$5001,"&lt;="&amp;$B196,BD!$L$3:$L$5001,"&lt;&gt;"))))</f>
        <v/>
      </c>
      <c r="O196" s="43" t="str">
        <f>IF(OR($B196="",$A196&gt;$B$9,O$184=""),"",IF(COUNTIFS(BD!$B$3:$B$5001,O$184,BD!$A$3:$A$5001,"&gt;="&amp;$C$7,BD!$A$3:$A$5001,"&lt;="&amp;$B196,BD!$L$3:$L$5001,"&lt;&gt;")=0,"",SUMIFS(BD!$L$3:$L$5001,BD!$B$3:$B$5001,O$184,BD!$A$3:$A$5001,_xlfn.MAXIFS(BD!$A$3:$A$5001,BD!$B$3:$B$5001,O$184,BD!$A$3:$A$5001,"&gt;="&amp;$C$7,BD!$A$3:$A$5001,"&lt;="&amp;$B196,BD!$L$3:$L$5001,"&lt;&gt;"))))</f>
        <v/>
      </c>
      <c r="P196" s="43" t="str">
        <f>IF(OR($B196="",$A196&gt;$B$9,P$184=""),"",IF(COUNTIFS(BD!$B$3:$B$5001,P$184,BD!$A$3:$A$5001,"&gt;="&amp;$C$7,BD!$A$3:$A$5001,"&lt;="&amp;$B196,BD!$L$3:$L$5001,"&lt;&gt;")=0,"",SUMIFS(BD!$L$3:$L$5001,BD!$B$3:$B$5001,P$184,BD!$A$3:$A$5001,_xlfn.MAXIFS(BD!$A$3:$A$5001,BD!$B$3:$B$5001,P$184,BD!$A$3:$A$5001,"&gt;="&amp;$C$7,BD!$A$3:$A$5001,"&lt;="&amp;$B196,BD!$L$3:$L$5001,"&lt;&gt;"))))</f>
        <v/>
      </c>
      <c r="Q196" s="43" t="str">
        <f>IF(OR($B196="",$A196&gt;$B$9,Q$184=""),"",IF(COUNTIFS(BD!$B$3:$B$5001,Q$184,BD!$A$3:$A$5001,"&gt;="&amp;$C$7,BD!$A$3:$A$5001,"&lt;="&amp;$B196,BD!$L$3:$L$5001,"&lt;&gt;")=0,"",SUMIFS(BD!$L$3:$L$5001,BD!$B$3:$B$5001,Q$184,BD!$A$3:$A$5001,_xlfn.MAXIFS(BD!$A$3:$A$5001,BD!$B$3:$B$5001,Q$184,BD!$A$3:$A$5001,"&gt;="&amp;$C$7,BD!$A$3:$A$5001,"&lt;="&amp;$B196,BD!$L$3:$L$5001,"&lt;&gt;"))))</f>
        <v/>
      </c>
      <c r="R196" s="43" t="str">
        <f>IF(OR($B196="",$A196&gt;$B$9,R$184=""),"",IF(COUNTIFS(BD!$B$3:$B$5001,R$184,BD!$A$3:$A$5001,"&gt;="&amp;$C$7,BD!$A$3:$A$5001,"&lt;="&amp;$B196,BD!$L$3:$L$5001,"&lt;&gt;")=0,"",SUMIFS(BD!$L$3:$L$5001,BD!$B$3:$B$5001,R$184,BD!$A$3:$A$5001,_xlfn.MAXIFS(BD!$A$3:$A$5001,BD!$B$3:$B$5001,R$184,BD!$A$3:$A$5001,"&gt;="&amp;$C$7,BD!$A$3:$A$5001,"&lt;="&amp;$B196,BD!$L$3:$L$5001,"&lt;&gt;"))))</f>
        <v/>
      </c>
      <c r="S196" s="43" t="str">
        <f>IF(OR($B196="",$A196&gt;$B$9,S$184=""),"",IF(COUNTIFS(BD!$B$3:$B$5001,S$184,BD!$A$3:$A$5001,"&gt;="&amp;$C$7,BD!$A$3:$A$5001,"&lt;="&amp;$B196,BD!$L$3:$L$5001,"&lt;&gt;")=0,"",SUMIFS(BD!$L$3:$L$5001,BD!$B$3:$B$5001,S$184,BD!$A$3:$A$5001,_xlfn.MAXIFS(BD!$A$3:$A$5001,BD!$B$3:$B$5001,S$184,BD!$A$3:$A$5001,"&gt;="&amp;$C$7,BD!$A$3:$A$5001,"&lt;="&amp;$B196,BD!$L$3:$L$5001,"&lt;&gt;"))))</f>
        <v/>
      </c>
      <c r="T196" s="43" t="str">
        <f>IF(OR($B196="",$A196&gt;$B$9,T$184=""),"",IF(COUNTIFS(BD!$B$3:$B$5001,T$184,BD!$A$3:$A$5001,"&gt;="&amp;$C$7,BD!$A$3:$A$5001,"&lt;="&amp;$B196,BD!$L$3:$L$5001,"&lt;&gt;")=0,"",SUMIFS(BD!$L$3:$L$5001,BD!$B$3:$B$5001,T$184,BD!$A$3:$A$5001,_xlfn.MAXIFS(BD!$A$3:$A$5001,BD!$B$3:$B$5001,T$184,BD!$A$3:$A$5001,"&gt;="&amp;$C$7,BD!$A$3:$A$5001,"&lt;="&amp;$B196,BD!$L$3:$L$5001,"&lt;&gt;"))))</f>
        <v/>
      </c>
      <c r="U196" s="43" t="str">
        <f>IF(OR($B196="",$A196&gt;$B$9,U$184=""),"",IF(COUNTIFS(BD!$B$3:$B$5001,U$184,BD!$A$3:$A$5001,"&gt;="&amp;$C$7,BD!$A$3:$A$5001,"&lt;="&amp;$B196,BD!$L$3:$L$5001,"&lt;&gt;")=0,"",SUMIFS(BD!$L$3:$L$5001,BD!$B$3:$B$5001,U$184,BD!$A$3:$A$5001,_xlfn.MAXIFS(BD!$A$3:$A$5001,BD!$B$3:$B$5001,U$184,BD!$A$3:$A$5001,"&gt;="&amp;$C$7,BD!$A$3:$A$5001,"&lt;="&amp;$B196,BD!$L$3:$L$5001,"&lt;&gt;"))))</f>
        <v/>
      </c>
      <c r="V196" s="43" t="str">
        <f>IF(OR($B196="",$A196&gt;$B$9,V$184=""),"",IF(COUNTIFS(BD!$B$3:$B$5001,V$184,BD!$A$3:$A$5001,"&gt;="&amp;$C$7,BD!$A$3:$A$5001,"&lt;="&amp;$B196,BD!$L$3:$L$5001,"&lt;&gt;")=0,"",SUMIFS(BD!$L$3:$L$5001,BD!$B$3:$B$5001,V$184,BD!$A$3:$A$5001,_xlfn.MAXIFS(BD!$A$3:$A$5001,BD!$B$3:$B$5001,V$184,BD!$A$3:$A$5001,"&gt;="&amp;$C$7,BD!$A$3:$A$5001,"&lt;="&amp;$B196,BD!$L$3:$L$5001,"&lt;&gt;"))))</f>
        <v/>
      </c>
    </row>
    <row r="197">
      <c r="A197" s="38">
        <v>13</v>
      </c>
      <c r="B197" s="42">
        <f>$B$24</f>
        <v>46308</v>
      </c>
      <c r="C197" s="43" t="str">
        <f>IF(OR($B197="",$A197&gt;$B$9,C$184=""),"",IF(COUNTIFS(BD!$B$3:$B$5001,C$184,BD!$A$3:$A$5001,"&gt;="&amp;$C$7,BD!$A$3:$A$5001,"&lt;="&amp;$B197,BD!$L$3:$L$5001,"&lt;&gt;")=0,"",SUMIFS(BD!$L$3:$L$5001,BD!$B$3:$B$5001,C$184,BD!$A$3:$A$5001,_xlfn.MAXIFS(BD!$A$3:$A$5001,BD!$B$3:$B$5001,C$184,BD!$A$3:$A$5001,"&gt;="&amp;$C$7,BD!$A$3:$A$5001,"&lt;="&amp;$B197,BD!$L$3:$L$5001,"&lt;&gt;"))))</f>
        <v/>
      </c>
      <c r="D197" s="43" t="str">
        <f>IF(OR($B197="",$A197&gt;$B$9,D$184=""),"",IF(COUNTIFS(BD!$B$3:$B$5001,D$184,BD!$A$3:$A$5001,"&gt;="&amp;$C$7,BD!$A$3:$A$5001,"&lt;="&amp;$B197,BD!$L$3:$L$5001,"&lt;&gt;")=0,"",SUMIFS(BD!$L$3:$L$5001,BD!$B$3:$B$5001,D$184,BD!$A$3:$A$5001,_xlfn.MAXIFS(BD!$A$3:$A$5001,BD!$B$3:$B$5001,D$184,BD!$A$3:$A$5001,"&gt;="&amp;$C$7,BD!$A$3:$A$5001,"&lt;="&amp;$B197,BD!$L$3:$L$5001,"&lt;&gt;"))))</f>
        <v/>
      </c>
      <c r="E197" s="43" t="str">
        <f>IF(OR($B197="",$A197&gt;$B$9,E$184=""),"",IF(COUNTIFS(BD!$B$3:$B$5001,E$184,BD!$A$3:$A$5001,"&gt;="&amp;$C$7,BD!$A$3:$A$5001,"&lt;="&amp;$B197,BD!$L$3:$L$5001,"&lt;&gt;")=0,"",SUMIFS(BD!$L$3:$L$5001,BD!$B$3:$B$5001,E$184,BD!$A$3:$A$5001,_xlfn.MAXIFS(BD!$A$3:$A$5001,BD!$B$3:$B$5001,E$184,BD!$A$3:$A$5001,"&gt;="&amp;$C$7,BD!$A$3:$A$5001,"&lt;="&amp;$B197,BD!$L$3:$L$5001,"&lt;&gt;"))))</f>
        <v/>
      </c>
      <c r="F197" s="43" t="str">
        <f>IF(OR($B197="",$A197&gt;$B$9,F$184=""),"",IF(COUNTIFS(BD!$B$3:$B$5001,F$184,BD!$A$3:$A$5001,"&gt;="&amp;$C$7,BD!$A$3:$A$5001,"&lt;="&amp;$B197,BD!$L$3:$L$5001,"&lt;&gt;")=0,"",SUMIFS(BD!$L$3:$L$5001,BD!$B$3:$B$5001,F$184,BD!$A$3:$A$5001,_xlfn.MAXIFS(BD!$A$3:$A$5001,BD!$B$3:$B$5001,F$184,BD!$A$3:$A$5001,"&gt;="&amp;$C$7,BD!$A$3:$A$5001,"&lt;="&amp;$B197,BD!$L$3:$L$5001,"&lt;&gt;"))))</f>
        <v/>
      </c>
      <c r="G197" s="43" t="str">
        <f>IF(OR($B197="",$A197&gt;$B$9,G$184=""),"",IF(COUNTIFS(BD!$B$3:$B$5001,G$184,BD!$A$3:$A$5001,"&gt;="&amp;$C$7,BD!$A$3:$A$5001,"&lt;="&amp;$B197,BD!$L$3:$L$5001,"&lt;&gt;")=0,"",SUMIFS(BD!$L$3:$L$5001,BD!$B$3:$B$5001,G$184,BD!$A$3:$A$5001,_xlfn.MAXIFS(BD!$A$3:$A$5001,BD!$B$3:$B$5001,G$184,BD!$A$3:$A$5001,"&gt;="&amp;$C$7,BD!$A$3:$A$5001,"&lt;="&amp;$B197,BD!$L$3:$L$5001,"&lt;&gt;"))))</f>
        <v/>
      </c>
      <c r="H197" s="43" t="str">
        <f>IF(OR($B197="",$A197&gt;$B$9,H$184=""),"",IF(COUNTIFS(BD!$B$3:$B$5001,H$184,BD!$A$3:$A$5001,"&gt;="&amp;$C$7,BD!$A$3:$A$5001,"&lt;="&amp;$B197,BD!$L$3:$L$5001,"&lt;&gt;")=0,"",SUMIFS(BD!$L$3:$L$5001,BD!$B$3:$B$5001,H$184,BD!$A$3:$A$5001,_xlfn.MAXIFS(BD!$A$3:$A$5001,BD!$B$3:$B$5001,H$184,BD!$A$3:$A$5001,"&gt;="&amp;$C$7,BD!$A$3:$A$5001,"&lt;="&amp;$B197,BD!$L$3:$L$5001,"&lt;&gt;"))))</f>
        <v/>
      </c>
      <c r="I197" s="43" t="str">
        <f>IF(OR($B197="",$A197&gt;$B$9,I$184=""),"",IF(COUNTIFS(BD!$B$3:$B$5001,I$184,BD!$A$3:$A$5001,"&gt;="&amp;$C$7,BD!$A$3:$A$5001,"&lt;="&amp;$B197,BD!$L$3:$L$5001,"&lt;&gt;")=0,"",SUMIFS(BD!$L$3:$L$5001,BD!$B$3:$B$5001,I$184,BD!$A$3:$A$5001,_xlfn.MAXIFS(BD!$A$3:$A$5001,BD!$B$3:$B$5001,I$184,BD!$A$3:$A$5001,"&gt;="&amp;$C$7,BD!$A$3:$A$5001,"&lt;="&amp;$B197,BD!$L$3:$L$5001,"&lt;&gt;"))))</f>
        <v/>
      </c>
      <c r="J197" s="43" t="str">
        <f>IF(OR($B197="",$A197&gt;$B$9,J$184=""),"",IF(COUNTIFS(BD!$B$3:$B$5001,J$184,BD!$A$3:$A$5001,"&gt;="&amp;$C$7,BD!$A$3:$A$5001,"&lt;="&amp;$B197,BD!$L$3:$L$5001,"&lt;&gt;")=0,"",SUMIFS(BD!$L$3:$L$5001,BD!$B$3:$B$5001,J$184,BD!$A$3:$A$5001,_xlfn.MAXIFS(BD!$A$3:$A$5001,BD!$B$3:$B$5001,J$184,BD!$A$3:$A$5001,"&gt;="&amp;$C$7,BD!$A$3:$A$5001,"&lt;="&amp;$B197,BD!$L$3:$L$5001,"&lt;&gt;"))))</f>
        <v/>
      </c>
      <c r="K197" s="43" t="str">
        <f>IF(OR($B197="",$A197&gt;$B$9,K$184=""),"",IF(COUNTIFS(BD!$B$3:$B$5001,K$184,BD!$A$3:$A$5001,"&gt;="&amp;$C$7,BD!$A$3:$A$5001,"&lt;="&amp;$B197,BD!$L$3:$L$5001,"&lt;&gt;")=0,"",SUMIFS(BD!$L$3:$L$5001,BD!$B$3:$B$5001,K$184,BD!$A$3:$A$5001,_xlfn.MAXIFS(BD!$A$3:$A$5001,BD!$B$3:$B$5001,K$184,BD!$A$3:$A$5001,"&gt;="&amp;$C$7,BD!$A$3:$A$5001,"&lt;="&amp;$B197,BD!$L$3:$L$5001,"&lt;&gt;"))))</f>
        <v/>
      </c>
      <c r="L197" s="43" t="str">
        <f>IF(OR($B197="",$A197&gt;$B$9,L$184=""),"",IF(COUNTIFS(BD!$B$3:$B$5001,L$184,BD!$A$3:$A$5001,"&gt;="&amp;$C$7,BD!$A$3:$A$5001,"&lt;="&amp;$B197,BD!$L$3:$L$5001,"&lt;&gt;")=0,"",SUMIFS(BD!$L$3:$L$5001,BD!$B$3:$B$5001,L$184,BD!$A$3:$A$5001,_xlfn.MAXIFS(BD!$A$3:$A$5001,BD!$B$3:$B$5001,L$184,BD!$A$3:$A$5001,"&gt;="&amp;$C$7,BD!$A$3:$A$5001,"&lt;="&amp;$B197,BD!$L$3:$L$5001,"&lt;&gt;"))))</f>
        <v/>
      </c>
      <c r="M197" s="43" t="str">
        <f>IF(OR($B197="",$A197&gt;$B$9,M$184=""),"",IF(COUNTIFS(BD!$B$3:$B$5001,M$184,BD!$A$3:$A$5001,"&gt;="&amp;$C$7,BD!$A$3:$A$5001,"&lt;="&amp;$B197,BD!$L$3:$L$5001,"&lt;&gt;")=0,"",SUMIFS(BD!$L$3:$L$5001,BD!$B$3:$B$5001,M$184,BD!$A$3:$A$5001,_xlfn.MAXIFS(BD!$A$3:$A$5001,BD!$B$3:$B$5001,M$184,BD!$A$3:$A$5001,"&gt;="&amp;$C$7,BD!$A$3:$A$5001,"&lt;="&amp;$B197,BD!$L$3:$L$5001,"&lt;&gt;"))))</f>
        <v/>
      </c>
      <c r="N197" s="43" t="str">
        <f>IF(OR($B197="",$A197&gt;$B$9,N$184=""),"",IF(COUNTIFS(BD!$B$3:$B$5001,N$184,BD!$A$3:$A$5001,"&gt;="&amp;$C$7,BD!$A$3:$A$5001,"&lt;="&amp;$B197,BD!$L$3:$L$5001,"&lt;&gt;")=0,"",SUMIFS(BD!$L$3:$L$5001,BD!$B$3:$B$5001,N$184,BD!$A$3:$A$5001,_xlfn.MAXIFS(BD!$A$3:$A$5001,BD!$B$3:$B$5001,N$184,BD!$A$3:$A$5001,"&gt;="&amp;$C$7,BD!$A$3:$A$5001,"&lt;="&amp;$B197,BD!$L$3:$L$5001,"&lt;&gt;"))))</f>
        <v/>
      </c>
      <c r="O197" s="43" t="str">
        <f>IF(OR($B197="",$A197&gt;$B$9,O$184=""),"",IF(COUNTIFS(BD!$B$3:$B$5001,O$184,BD!$A$3:$A$5001,"&gt;="&amp;$C$7,BD!$A$3:$A$5001,"&lt;="&amp;$B197,BD!$L$3:$L$5001,"&lt;&gt;")=0,"",SUMIFS(BD!$L$3:$L$5001,BD!$B$3:$B$5001,O$184,BD!$A$3:$A$5001,_xlfn.MAXIFS(BD!$A$3:$A$5001,BD!$B$3:$B$5001,O$184,BD!$A$3:$A$5001,"&gt;="&amp;$C$7,BD!$A$3:$A$5001,"&lt;="&amp;$B197,BD!$L$3:$L$5001,"&lt;&gt;"))))</f>
        <v/>
      </c>
      <c r="P197" s="43" t="str">
        <f>IF(OR($B197="",$A197&gt;$B$9,P$184=""),"",IF(COUNTIFS(BD!$B$3:$B$5001,P$184,BD!$A$3:$A$5001,"&gt;="&amp;$C$7,BD!$A$3:$A$5001,"&lt;="&amp;$B197,BD!$L$3:$L$5001,"&lt;&gt;")=0,"",SUMIFS(BD!$L$3:$L$5001,BD!$B$3:$B$5001,P$184,BD!$A$3:$A$5001,_xlfn.MAXIFS(BD!$A$3:$A$5001,BD!$B$3:$B$5001,P$184,BD!$A$3:$A$5001,"&gt;="&amp;$C$7,BD!$A$3:$A$5001,"&lt;="&amp;$B197,BD!$L$3:$L$5001,"&lt;&gt;"))))</f>
        <v/>
      </c>
      <c r="Q197" s="43" t="str">
        <f>IF(OR($B197="",$A197&gt;$B$9,Q$184=""),"",IF(COUNTIFS(BD!$B$3:$B$5001,Q$184,BD!$A$3:$A$5001,"&gt;="&amp;$C$7,BD!$A$3:$A$5001,"&lt;="&amp;$B197,BD!$L$3:$L$5001,"&lt;&gt;")=0,"",SUMIFS(BD!$L$3:$L$5001,BD!$B$3:$B$5001,Q$184,BD!$A$3:$A$5001,_xlfn.MAXIFS(BD!$A$3:$A$5001,BD!$B$3:$B$5001,Q$184,BD!$A$3:$A$5001,"&gt;="&amp;$C$7,BD!$A$3:$A$5001,"&lt;="&amp;$B197,BD!$L$3:$L$5001,"&lt;&gt;"))))</f>
        <v/>
      </c>
      <c r="R197" s="43" t="str">
        <f>IF(OR($B197="",$A197&gt;$B$9,R$184=""),"",IF(COUNTIFS(BD!$B$3:$B$5001,R$184,BD!$A$3:$A$5001,"&gt;="&amp;$C$7,BD!$A$3:$A$5001,"&lt;="&amp;$B197,BD!$L$3:$L$5001,"&lt;&gt;")=0,"",SUMIFS(BD!$L$3:$L$5001,BD!$B$3:$B$5001,R$184,BD!$A$3:$A$5001,_xlfn.MAXIFS(BD!$A$3:$A$5001,BD!$B$3:$B$5001,R$184,BD!$A$3:$A$5001,"&gt;="&amp;$C$7,BD!$A$3:$A$5001,"&lt;="&amp;$B197,BD!$L$3:$L$5001,"&lt;&gt;"))))</f>
        <v/>
      </c>
      <c r="S197" s="43" t="str">
        <f>IF(OR($B197="",$A197&gt;$B$9,S$184=""),"",IF(COUNTIFS(BD!$B$3:$B$5001,S$184,BD!$A$3:$A$5001,"&gt;="&amp;$C$7,BD!$A$3:$A$5001,"&lt;="&amp;$B197,BD!$L$3:$L$5001,"&lt;&gt;")=0,"",SUMIFS(BD!$L$3:$L$5001,BD!$B$3:$B$5001,S$184,BD!$A$3:$A$5001,_xlfn.MAXIFS(BD!$A$3:$A$5001,BD!$B$3:$B$5001,S$184,BD!$A$3:$A$5001,"&gt;="&amp;$C$7,BD!$A$3:$A$5001,"&lt;="&amp;$B197,BD!$L$3:$L$5001,"&lt;&gt;"))))</f>
        <v/>
      </c>
      <c r="T197" s="43" t="str">
        <f>IF(OR($B197="",$A197&gt;$B$9,T$184=""),"",IF(COUNTIFS(BD!$B$3:$B$5001,T$184,BD!$A$3:$A$5001,"&gt;="&amp;$C$7,BD!$A$3:$A$5001,"&lt;="&amp;$B197,BD!$L$3:$L$5001,"&lt;&gt;")=0,"",SUMIFS(BD!$L$3:$L$5001,BD!$B$3:$B$5001,T$184,BD!$A$3:$A$5001,_xlfn.MAXIFS(BD!$A$3:$A$5001,BD!$B$3:$B$5001,T$184,BD!$A$3:$A$5001,"&gt;="&amp;$C$7,BD!$A$3:$A$5001,"&lt;="&amp;$B197,BD!$L$3:$L$5001,"&lt;&gt;"))))</f>
        <v/>
      </c>
      <c r="U197" s="43" t="str">
        <f>IF(OR($B197="",$A197&gt;$B$9,U$184=""),"",IF(COUNTIFS(BD!$B$3:$B$5001,U$184,BD!$A$3:$A$5001,"&gt;="&amp;$C$7,BD!$A$3:$A$5001,"&lt;="&amp;$B197,BD!$L$3:$L$5001,"&lt;&gt;")=0,"",SUMIFS(BD!$L$3:$L$5001,BD!$B$3:$B$5001,U$184,BD!$A$3:$A$5001,_xlfn.MAXIFS(BD!$A$3:$A$5001,BD!$B$3:$B$5001,U$184,BD!$A$3:$A$5001,"&gt;="&amp;$C$7,BD!$A$3:$A$5001,"&lt;="&amp;$B197,BD!$L$3:$L$5001,"&lt;&gt;"))))</f>
        <v/>
      </c>
      <c r="V197" s="43" t="str">
        <f>IF(OR($B197="",$A197&gt;$B$9,V$184=""),"",IF(COUNTIFS(BD!$B$3:$B$5001,V$184,BD!$A$3:$A$5001,"&gt;="&amp;$C$7,BD!$A$3:$A$5001,"&lt;="&amp;$B197,BD!$L$3:$L$5001,"&lt;&gt;")=0,"",SUMIFS(BD!$L$3:$L$5001,BD!$B$3:$B$5001,V$184,BD!$A$3:$A$5001,_xlfn.MAXIFS(BD!$A$3:$A$5001,BD!$B$3:$B$5001,V$184,BD!$A$3:$A$5001,"&gt;="&amp;$C$7,BD!$A$3:$A$5001,"&lt;="&amp;$B197,BD!$L$3:$L$5001,"&lt;&gt;"))))</f>
        <v/>
      </c>
    </row>
    <row r="198">
      <c r="A198" s="38">
        <v>14</v>
      </c>
      <c r="B198" s="42">
        <f>$B$25</f>
        <v>46309</v>
      </c>
      <c r="C198" s="43" t="str">
        <f>IF(OR($B198="",$A198&gt;$B$9,C$184=""),"",IF(COUNTIFS(BD!$B$3:$B$5001,C$184,BD!$A$3:$A$5001,"&gt;="&amp;$C$7,BD!$A$3:$A$5001,"&lt;="&amp;$B198,BD!$L$3:$L$5001,"&lt;&gt;")=0,"",SUMIFS(BD!$L$3:$L$5001,BD!$B$3:$B$5001,C$184,BD!$A$3:$A$5001,_xlfn.MAXIFS(BD!$A$3:$A$5001,BD!$B$3:$B$5001,C$184,BD!$A$3:$A$5001,"&gt;="&amp;$C$7,BD!$A$3:$A$5001,"&lt;="&amp;$B198,BD!$L$3:$L$5001,"&lt;&gt;"))))</f>
        <v/>
      </c>
      <c r="D198" s="43" t="str">
        <f>IF(OR($B198="",$A198&gt;$B$9,D$184=""),"",IF(COUNTIFS(BD!$B$3:$B$5001,D$184,BD!$A$3:$A$5001,"&gt;="&amp;$C$7,BD!$A$3:$A$5001,"&lt;="&amp;$B198,BD!$L$3:$L$5001,"&lt;&gt;")=0,"",SUMIFS(BD!$L$3:$L$5001,BD!$B$3:$B$5001,D$184,BD!$A$3:$A$5001,_xlfn.MAXIFS(BD!$A$3:$A$5001,BD!$B$3:$B$5001,D$184,BD!$A$3:$A$5001,"&gt;="&amp;$C$7,BD!$A$3:$A$5001,"&lt;="&amp;$B198,BD!$L$3:$L$5001,"&lt;&gt;"))))</f>
        <v/>
      </c>
      <c r="E198" s="43" t="str">
        <f>IF(OR($B198="",$A198&gt;$B$9,E$184=""),"",IF(COUNTIFS(BD!$B$3:$B$5001,E$184,BD!$A$3:$A$5001,"&gt;="&amp;$C$7,BD!$A$3:$A$5001,"&lt;="&amp;$B198,BD!$L$3:$L$5001,"&lt;&gt;")=0,"",SUMIFS(BD!$L$3:$L$5001,BD!$B$3:$B$5001,E$184,BD!$A$3:$A$5001,_xlfn.MAXIFS(BD!$A$3:$A$5001,BD!$B$3:$B$5001,E$184,BD!$A$3:$A$5001,"&gt;="&amp;$C$7,BD!$A$3:$A$5001,"&lt;="&amp;$B198,BD!$L$3:$L$5001,"&lt;&gt;"))))</f>
        <v/>
      </c>
      <c r="F198" s="43" t="str">
        <f>IF(OR($B198="",$A198&gt;$B$9,F$184=""),"",IF(COUNTIFS(BD!$B$3:$B$5001,F$184,BD!$A$3:$A$5001,"&gt;="&amp;$C$7,BD!$A$3:$A$5001,"&lt;="&amp;$B198,BD!$L$3:$L$5001,"&lt;&gt;")=0,"",SUMIFS(BD!$L$3:$L$5001,BD!$B$3:$B$5001,F$184,BD!$A$3:$A$5001,_xlfn.MAXIFS(BD!$A$3:$A$5001,BD!$B$3:$B$5001,F$184,BD!$A$3:$A$5001,"&gt;="&amp;$C$7,BD!$A$3:$A$5001,"&lt;="&amp;$B198,BD!$L$3:$L$5001,"&lt;&gt;"))))</f>
        <v/>
      </c>
      <c r="G198" s="43" t="str">
        <f>IF(OR($B198="",$A198&gt;$B$9,G$184=""),"",IF(COUNTIFS(BD!$B$3:$B$5001,G$184,BD!$A$3:$A$5001,"&gt;="&amp;$C$7,BD!$A$3:$A$5001,"&lt;="&amp;$B198,BD!$L$3:$L$5001,"&lt;&gt;")=0,"",SUMIFS(BD!$L$3:$L$5001,BD!$B$3:$B$5001,G$184,BD!$A$3:$A$5001,_xlfn.MAXIFS(BD!$A$3:$A$5001,BD!$B$3:$B$5001,G$184,BD!$A$3:$A$5001,"&gt;="&amp;$C$7,BD!$A$3:$A$5001,"&lt;="&amp;$B198,BD!$L$3:$L$5001,"&lt;&gt;"))))</f>
        <v/>
      </c>
      <c r="H198" s="43" t="str">
        <f>IF(OR($B198="",$A198&gt;$B$9,H$184=""),"",IF(COUNTIFS(BD!$B$3:$B$5001,H$184,BD!$A$3:$A$5001,"&gt;="&amp;$C$7,BD!$A$3:$A$5001,"&lt;="&amp;$B198,BD!$L$3:$L$5001,"&lt;&gt;")=0,"",SUMIFS(BD!$L$3:$L$5001,BD!$B$3:$B$5001,H$184,BD!$A$3:$A$5001,_xlfn.MAXIFS(BD!$A$3:$A$5001,BD!$B$3:$B$5001,H$184,BD!$A$3:$A$5001,"&gt;="&amp;$C$7,BD!$A$3:$A$5001,"&lt;="&amp;$B198,BD!$L$3:$L$5001,"&lt;&gt;"))))</f>
        <v/>
      </c>
      <c r="I198" s="43" t="str">
        <f>IF(OR($B198="",$A198&gt;$B$9,I$184=""),"",IF(COUNTIFS(BD!$B$3:$B$5001,I$184,BD!$A$3:$A$5001,"&gt;="&amp;$C$7,BD!$A$3:$A$5001,"&lt;="&amp;$B198,BD!$L$3:$L$5001,"&lt;&gt;")=0,"",SUMIFS(BD!$L$3:$L$5001,BD!$B$3:$B$5001,I$184,BD!$A$3:$A$5001,_xlfn.MAXIFS(BD!$A$3:$A$5001,BD!$B$3:$B$5001,I$184,BD!$A$3:$A$5001,"&gt;="&amp;$C$7,BD!$A$3:$A$5001,"&lt;="&amp;$B198,BD!$L$3:$L$5001,"&lt;&gt;"))))</f>
        <v/>
      </c>
      <c r="J198" s="43" t="str">
        <f>IF(OR($B198="",$A198&gt;$B$9,J$184=""),"",IF(COUNTIFS(BD!$B$3:$B$5001,J$184,BD!$A$3:$A$5001,"&gt;="&amp;$C$7,BD!$A$3:$A$5001,"&lt;="&amp;$B198,BD!$L$3:$L$5001,"&lt;&gt;")=0,"",SUMIFS(BD!$L$3:$L$5001,BD!$B$3:$B$5001,J$184,BD!$A$3:$A$5001,_xlfn.MAXIFS(BD!$A$3:$A$5001,BD!$B$3:$B$5001,J$184,BD!$A$3:$A$5001,"&gt;="&amp;$C$7,BD!$A$3:$A$5001,"&lt;="&amp;$B198,BD!$L$3:$L$5001,"&lt;&gt;"))))</f>
        <v/>
      </c>
      <c r="K198" s="43" t="str">
        <f>IF(OR($B198="",$A198&gt;$B$9,K$184=""),"",IF(COUNTIFS(BD!$B$3:$B$5001,K$184,BD!$A$3:$A$5001,"&gt;="&amp;$C$7,BD!$A$3:$A$5001,"&lt;="&amp;$B198,BD!$L$3:$L$5001,"&lt;&gt;")=0,"",SUMIFS(BD!$L$3:$L$5001,BD!$B$3:$B$5001,K$184,BD!$A$3:$A$5001,_xlfn.MAXIFS(BD!$A$3:$A$5001,BD!$B$3:$B$5001,K$184,BD!$A$3:$A$5001,"&gt;="&amp;$C$7,BD!$A$3:$A$5001,"&lt;="&amp;$B198,BD!$L$3:$L$5001,"&lt;&gt;"))))</f>
        <v/>
      </c>
      <c r="L198" s="43" t="str">
        <f>IF(OR($B198="",$A198&gt;$B$9,L$184=""),"",IF(COUNTIFS(BD!$B$3:$B$5001,L$184,BD!$A$3:$A$5001,"&gt;="&amp;$C$7,BD!$A$3:$A$5001,"&lt;="&amp;$B198,BD!$L$3:$L$5001,"&lt;&gt;")=0,"",SUMIFS(BD!$L$3:$L$5001,BD!$B$3:$B$5001,L$184,BD!$A$3:$A$5001,_xlfn.MAXIFS(BD!$A$3:$A$5001,BD!$B$3:$B$5001,L$184,BD!$A$3:$A$5001,"&gt;="&amp;$C$7,BD!$A$3:$A$5001,"&lt;="&amp;$B198,BD!$L$3:$L$5001,"&lt;&gt;"))))</f>
        <v/>
      </c>
      <c r="M198" s="43" t="str">
        <f>IF(OR($B198="",$A198&gt;$B$9,M$184=""),"",IF(COUNTIFS(BD!$B$3:$B$5001,M$184,BD!$A$3:$A$5001,"&gt;="&amp;$C$7,BD!$A$3:$A$5001,"&lt;="&amp;$B198,BD!$L$3:$L$5001,"&lt;&gt;")=0,"",SUMIFS(BD!$L$3:$L$5001,BD!$B$3:$B$5001,M$184,BD!$A$3:$A$5001,_xlfn.MAXIFS(BD!$A$3:$A$5001,BD!$B$3:$B$5001,M$184,BD!$A$3:$A$5001,"&gt;="&amp;$C$7,BD!$A$3:$A$5001,"&lt;="&amp;$B198,BD!$L$3:$L$5001,"&lt;&gt;"))))</f>
        <v/>
      </c>
      <c r="N198" s="43" t="str">
        <f>IF(OR($B198="",$A198&gt;$B$9,N$184=""),"",IF(COUNTIFS(BD!$B$3:$B$5001,N$184,BD!$A$3:$A$5001,"&gt;="&amp;$C$7,BD!$A$3:$A$5001,"&lt;="&amp;$B198,BD!$L$3:$L$5001,"&lt;&gt;")=0,"",SUMIFS(BD!$L$3:$L$5001,BD!$B$3:$B$5001,N$184,BD!$A$3:$A$5001,_xlfn.MAXIFS(BD!$A$3:$A$5001,BD!$B$3:$B$5001,N$184,BD!$A$3:$A$5001,"&gt;="&amp;$C$7,BD!$A$3:$A$5001,"&lt;="&amp;$B198,BD!$L$3:$L$5001,"&lt;&gt;"))))</f>
        <v/>
      </c>
      <c r="O198" s="43" t="str">
        <f>IF(OR($B198="",$A198&gt;$B$9,O$184=""),"",IF(COUNTIFS(BD!$B$3:$B$5001,O$184,BD!$A$3:$A$5001,"&gt;="&amp;$C$7,BD!$A$3:$A$5001,"&lt;="&amp;$B198,BD!$L$3:$L$5001,"&lt;&gt;")=0,"",SUMIFS(BD!$L$3:$L$5001,BD!$B$3:$B$5001,O$184,BD!$A$3:$A$5001,_xlfn.MAXIFS(BD!$A$3:$A$5001,BD!$B$3:$B$5001,O$184,BD!$A$3:$A$5001,"&gt;="&amp;$C$7,BD!$A$3:$A$5001,"&lt;="&amp;$B198,BD!$L$3:$L$5001,"&lt;&gt;"))))</f>
        <v/>
      </c>
      <c r="P198" s="43" t="str">
        <f>IF(OR($B198="",$A198&gt;$B$9,P$184=""),"",IF(COUNTIFS(BD!$B$3:$B$5001,P$184,BD!$A$3:$A$5001,"&gt;="&amp;$C$7,BD!$A$3:$A$5001,"&lt;="&amp;$B198,BD!$L$3:$L$5001,"&lt;&gt;")=0,"",SUMIFS(BD!$L$3:$L$5001,BD!$B$3:$B$5001,P$184,BD!$A$3:$A$5001,_xlfn.MAXIFS(BD!$A$3:$A$5001,BD!$B$3:$B$5001,P$184,BD!$A$3:$A$5001,"&gt;="&amp;$C$7,BD!$A$3:$A$5001,"&lt;="&amp;$B198,BD!$L$3:$L$5001,"&lt;&gt;"))))</f>
        <v/>
      </c>
      <c r="Q198" s="43" t="str">
        <f>IF(OR($B198="",$A198&gt;$B$9,Q$184=""),"",IF(COUNTIFS(BD!$B$3:$B$5001,Q$184,BD!$A$3:$A$5001,"&gt;="&amp;$C$7,BD!$A$3:$A$5001,"&lt;="&amp;$B198,BD!$L$3:$L$5001,"&lt;&gt;")=0,"",SUMIFS(BD!$L$3:$L$5001,BD!$B$3:$B$5001,Q$184,BD!$A$3:$A$5001,_xlfn.MAXIFS(BD!$A$3:$A$5001,BD!$B$3:$B$5001,Q$184,BD!$A$3:$A$5001,"&gt;="&amp;$C$7,BD!$A$3:$A$5001,"&lt;="&amp;$B198,BD!$L$3:$L$5001,"&lt;&gt;"))))</f>
        <v/>
      </c>
      <c r="R198" s="43" t="str">
        <f>IF(OR($B198="",$A198&gt;$B$9,R$184=""),"",IF(COUNTIFS(BD!$B$3:$B$5001,R$184,BD!$A$3:$A$5001,"&gt;="&amp;$C$7,BD!$A$3:$A$5001,"&lt;="&amp;$B198,BD!$L$3:$L$5001,"&lt;&gt;")=0,"",SUMIFS(BD!$L$3:$L$5001,BD!$B$3:$B$5001,R$184,BD!$A$3:$A$5001,_xlfn.MAXIFS(BD!$A$3:$A$5001,BD!$B$3:$B$5001,R$184,BD!$A$3:$A$5001,"&gt;="&amp;$C$7,BD!$A$3:$A$5001,"&lt;="&amp;$B198,BD!$L$3:$L$5001,"&lt;&gt;"))))</f>
        <v/>
      </c>
      <c r="S198" s="43" t="str">
        <f>IF(OR($B198="",$A198&gt;$B$9,S$184=""),"",IF(COUNTIFS(BD!$B$3:$B$5001,S$184,BD!$A$3:$A$5001,"&gt;="&amp;$C$7,BD!$A$3:$A$5001,"&lt;="&amp;$B198,BD!$L$3:$L$5001,"&lt;&gt;")=0,"",SUMIFS(BD!$L$3:$L$5001,BD!$B$3:$B$5001,S$184,BD!$A$3:$A$5001,_xlfn.MAXIFS(BD!$A$3:$A$5001,BD!$B$3:$B$5001,S$184,BD!$A$3:$A$5001,"&gt;="&amp;$C$7,BD!$A$3:$A$5001,"&lt;="&amp;$B198,BD!$L$3:$L$5001,"&lt;&gt;"))))</f>
        <v/>
      </c>
      <c r="T198" s="43" t="str">
        <f>IF(OR($B198="",$A198&gt;$B$9,T$184=""),"",IF(COUNTIFS(BD!$B$3:$B$5001,T$184,BD!$A$3:$A$5001,"&gt;="&amp;$C$7,BD!$A$3:$A$5001,"&lt;="&amp;$B198,BD!$L$3:$L$5001,"&lt;&gt;")=0,"",SUMIFS(BD!$L$3:$L$5001,BD!$B$3:$B$5001,T$184,BD!$A$3:$A$5001,_xlfn.MAXIFS(BD!$A$3:$A$5001,BD!$B$3:$B$5001,T$184,BD!$A$3:$A$5001,"&gt;="&amp;$C$7,BD!$A$3:$A$5001,"&lt;="&amp;$B198,BD!$L$3:$L$5001,"&lt;&gt;"))))</f>
        <v/>
      </c>
      <c r="U198" s="43" t="str">
        <f>IF(OR($B198="",$A198&gt;$B$9,U$184=""),"",IF(COUNTIFS(BD!$B$3:$B$5001,U$184,BD!$A$3:$A$5001,"&gt;="&amp;$C$7,BD!$A$3:$A$5001,"&lt;="&amp;$B198,BD!$L$3:$L$5001,"&lt;&gt;")=0,"",SUMIFS(BD!$L$3:$L$5001,BD!$B$3:$B$5001,U$184,BD!$A$3:$A$5001,_xlfn.MAXIFS(BD!$A$3:$A$5001,BD!$B$3:$B$5001,U$184,BD!$A$3:$A$5001,"&gt;="&amp;$C$7,BD!$A$3:$A$5001,"&lt;="&amp;$B198,BD!$L$3:$L$5001,"&lt;&gt;"))))</f>
        <v/>
      </c>
      <c r="V198" s="43" t="str">
        <f>IF(OR($B198="",$A198&gt;$B$9,V$184=""),"",IF(COUNTIFS(BD!$B$3:$B$5001,V$184,BD!$A$3:$A$5001,"&gt;="&amp;$C$7,BD!$A$3:$A$5001,"&lt;="&amp;$B198,BD!$L$3:$L$5001,"&lt;&gt;")=0,"",SUMIFS(BD!$L$3:$L$5001,BD!$B$3:$B$5001,V$184,BD!$A$3:$A$5001,_xlfn.MAXIFS(BD!$A$3:$A$5001,BD!$B$3:$B$5001,V$184,BD!$A$3:$A$5001,"&gt;="&amp;$C$7,BD!$A$3:$A$5001,"&lt;="&amp;$B198,BD!$L$3:$L$5001,"&lt;&gt;"))))</f>
        <v/>
      </c>
    </row>
    <row r="199">
      <c r="A199" s="38">
        <v>15</v>
      </c>
      <c r="B199" s="42">
        <f>$B$26</f>
        <v>46310</v>
      </c>
      <c r="C199" s="43" t="str">
        <f>IF(OR($B199="",$A199&gt;$B$9,C$184=""),"",IF(COUNTIFS(BD!$B$3:$B$5001,C$184,BD!$A$3:$A$5001,"&gt;="&amp;$C$7,BD!$A$3:$A$5001,"&lt;="&amp;$B199,BD!$L$3:$L$5001,"&lt;&gt;")=0,"",SUMIFS(BD!$L$3:$L$5001,BD!$B$3:$B$5001,C$184,BD!$A$3:$A$5001,_xlfn.MAXIFS(BD!$A$3:$A$5001,BD!$B$3:$B$5001,C$184,BD!$A$3:$A$5001,"&gt;="&amp;$C$7,BD!$A$3:$A$5001,"&lt;="&amp;$B199,BD!$L$3:$L$5001,"&lt;&gt;"))))</f>
        <v/>
      </c>
      <c r="D199" s="43" t="str">
        <f>IF(OR($B199="",$A199&gt;$B$9,D$184=""),"",IF(COUNTIFS(BD!$B$3:$B$5001,D$184,BD!$A$3:$A$5001,"&gt;="&amp;$C$7,BD!$A$3:$A$5001,"&lt;="&amp;$B199,BD!$L$3:$L$5001,"&lt;&gt;")=0,"",SUMIFS(BD!$L$3:$L$5001,BD!$B$3:$B$5001,D$184,BD!$A$3:$A$5001,_xlfn.MAXIFS(BD!$A$3:$A$5001,BD!$B$3:$B$5001,D$184,BD!$A$3:$A$5001,"&gt;="&amp;$C$7,BD!$A$3:$A$5001,"&lt;="&amp;$B199,BD!$L$3:$L$5001,"&lt;&gt;"))))</f>
        <v/>
      </c>
      <c r="E199" s="43" t="str">
        <f>IF(OR($B199="",$A199&gt;$B$9,E$184=""),"",IF(COUNTIFS(BD!$B$3:$B$5001,E$184,BD!$A$3:$A$5001,"&gt;="&amp;$C$7,BD!$A$3:$A$5001,"&lt;="&amp;$B199,BD!$L$3:$L$5001,"&lt;&gt;")=0,"",SUMIFS(BD!$L$3:$L$5001,BD!$B$3:$B$5001,E$184,BD!$A$3:$A$5001,_xlfn.MAXIFS(BD!$A$3:$A$5001,BD!$B$3:$B$5001,E$184,BD!$A$3:$A$5001,"&gt;="&amp;$C$7,BD!$A$3:$A$5001,"&lt;="&amp;$B199,BD!$L$3:$L$5001,"&lt;&gt;"))))</f>
        <v/>
      </c>
      <c r="F199" s="43" t="str">
        <f>IF(OR($B199="",$A199&gt;$B$9,F$184=""),"",IF(COUNTIFS(BD!$B$3:$B$5001,F$184,BD!$A$3:$A$5001,"&gt;="&amp;$C$7,BD!$A$3:$A$5001,"&lt;="&amp;$B199,BD!$L$3:$L$5001,"&lt;&gt;")=0,"",SUMIFS(BD!$L$3:$L$5001,BD!$B$3:$B$5001,F$184,BD!$A$3:$A$5001,_xlfn.MAXIFS(BD!$A$3:$A$5001,BD!$B$3:$B$5001,F$184,BD!$A$3:$A$5001,"&gt;="&amp;$C$7,BD!$A$3:$A$5001,"&lt;="&amp;$B199,BD!$L$3:$L$5001,"&lt;&gt;"))))</f>
        <v/>
      </c>
      <c r="G199" s="43" t="str">
        <f>IF(OR($B199="",$A199&gt;$B$9,G$184=""),"",IF(COUNTIFS(BD!$B$3:$B$5001,G$184,BD!$A$3:$A$5001,"&gt;="&amp;$C$7,BD!$A$3:$A$5001,"&lt;="&amp;$B199,BD!$L$3:$L$5001,"&lt;&gt;")=0,"",SUMIFS(BD!$L$3:$L$5001,BD!$B$3:$B$5001,G$184,BD!$A$3:$A$5001,_xlfn.MAXIFS(BD!$A$3:$A$5001,BD!$B$3:$B$5001,G$184,BD!$A$3:$A$5001,"&gt;="&amp;$C$7,BD!$A$3:$A$5001,"&lt;="&amp;$B199,BD!$L$3:$L$5001,"&lt;&gt;"))))</f>
        <v/>
      </c>
      <c r="H199" s="43" t="str">
        <f>IF(OR($B199="",$A199&gt;$B$9,H$184=""),"",IF(COUNTIFS(BD!$B$3:$B$5001,H$184,BD!$A$3:$A$5001,"&gt;="&amp;$C$7,BD!$A$3:$A$5001,"&lt;="&amp;$B199,BD!$L$3:$L$5001,"&lt;&gt;")=0,"",SUMIFS(BD!$L$3:$L$5001,BD!$B$3:$B$5001,H$184,BD!$A$3:$A$5001,_xlfn.MAXIFS(BD!$A$3:$A$5001,BD!$B$3:$B$5001,H$184,BD!$A$3:$A$5001,"&gt;="&amp;$C$7,BD!$A$3:$A$5001,"&lt;="&amp;$B199,BD!$L$3:$L$5001,"&lt;&gt;"))))</f>
        <v/>
      </c>
      <c r="I199" s="43" t="str">
        <f>IF(OR($B199="",$A199&gt;$B$9,I$184=""),"",IF(COUNTIFS(BD!$B$3:$B$5001,I$184,BD!$A$3:$A$5001,"&gt;="&amp;$C$7,BD!$A$3:$A$5001,"&lt;="&amp;$B199,BD!$L$3:$L$5001,"&lt;&gt;")=0,"",SUMIFS(BD!$L$3:$L$5001,BD!$B$3:$B$5001,I$184,BD!$A$3:$A$5001,_xlfn.MAXIFS(BD!$A$3:$A$5001,BD!$B$3:$B$5001,I$184,BD!$A$3:$A$5001,"&gt;="&amp;$C$7,BD!$A$3:$A$5001,"&lt;="&amp;$B199,BD!$L$3:$L$5001,"&lt;&gt;"))))</f>
        <v/>
      </c>
      <c r="J199" s="43" t="str">
        <f>IF(OR($B199="",$A199&gt;$B$9,J$184=""),"",IF(COUNTIFS(BD!$B$3:$B$5001,J$184,BD!$A$3:$A$5001,"&gt;="&amp;$C$7,BD!$A$3:$A$5001,"&lt;="&amp;$B199,BD!$L$3:$L$5001,"&lt;&gt;")=0,"",SUMIFS(BD!$L$3:$L$5001,BD!$B$3:$B$5001,J$184,BD!$A$3:$A$5001,_xlfn.MAXIFS(BD!$A$3:$A$5001,BD!$B$3:$B$5001,J$184,BD!$A$3:$A$5001,"&gt;="&amp;$C$7,BD!$A$3:$A$5001,"&lt;="&amp;$B199,BD!$L$3:$L$5001,"&lt;&gt;"))))</f>
        <v/>
      </c>
      <c r="K199" s="43" t="str">
        <f>IF(OR($B199="",$A199&gt;$B$9,K$184=""),"",IF(COUNTIFS(BD!$B$3:$B$5001,K$184,BD!$A$3:$A$5001,"&gt;="&amp;$C$7,BD!$A$3:$A$5001,"&lt;="&amp;$B199,BD!$L$3:$L$5001,"&lt;&gt;")=0,"",SUMIFS(BD!$L$3:$L$5001,BD!$B$3:$B$5001,K$184,BD!$A$3:$A$5001,_xlfn.MAXIFS(BD!$A$3:$A$5001,BD!$B$3:$B$5001,K$184,BD!$A$3:$A$5001,"&gt;="&amp;$C$7,BD!$A$3:$A$5001,"&lt;="&amp;$B199,BD!$L$3:$L$5001,"&lt;&gt;"))))</f>
        <v/>
      </c>
      <c r="L199" s="43" t="str">
        <f>IF(OR($B199="",$A199&gt;$B$9,L$184=""),"",IF(COUNTIFS(BD!$B$3:$B$5001,L$184,BD!$A$3:$A$5001,"&gt;="&amp;$C$7,BD!$A$3:$A$5001,"&lt;="&amp;$B199,BD!$L$3:$L$5001,"&lt;&gt;")=0,"",SUMIFS(BD!$L$3:$L$5001,BD!$B$3:$B$5001,L$184,BD!$A$3:$A$5001,_xlfn.MAXIFS(BD!$A$3:$A$5001,BD!$B$3:$B$5001,L$184,BD!$A$3:$A$5001,"&gt;="&amp;$C$7,BD!$A$3:$A$5001,"&lt;="&amp;$B199,BD!$L$3:$L$5001,"&lt;&gt;"))))</f>
        <v/>
      </c>
      <c r="M199" s="43" t="str">
        <f>IF(OR($B199="",$A199&gt;$B$9,M$184=""),"",IF(COUNTIFS(BD!$B$3:$B$5001,M$184,BD!$A$3:$A$5001,"&gt;="&amp;$C$7,BD!$A$3:$A$5001,"&lt;="&amp;$B199,BD!$L$3:$L$5001,"&lt;&gt;")=0,"",SUMIFS(BD!$L$3:$L$5001,BD!$B$3:$B$5001,M$184,BD!$A$3:$A$5001,_xlfn.MAXIFS(BD!$A$3:$A$5001,BD!$B$3:$B$5001,M$184,BD!$A$3:$A$5001,"&gt;="&amp;$C$7,BD!$A$3:$A$5001,"&lt;="&amp;$B199,BD!$L$3:$L$5001,"&lt;&gt;"))))</f>
        <v/>
      </c>
      <c r="N199" s="43" t="str">
        <f>IF(OR($B199="",$A199&gt;$B$9,N$184=""),"",IF(COUNTIFS(BD!$B$3:$B$5001,N$184,BD!$A$3:$A$5001,"&gt;="&amp;$C$7,BD!$A$3:$A$5001,"&lt;="&amp;$B199,BD!$L$3:$L$5001,"&lt;&gt;")=0,"",SUMIFS(BD!$L$3:$L$5001,BD!$B$3:$B$5001,N$184,BD!$A$3:$A$5001,_xlfn.MAXIFS(BD!$A$3:$A$5001,BD!$B$3:$B$5001,N$184,BD!$A$3:$A$5001,"&gt;="&amp;$C$7,BD!$A$3:$A$5001,"&lt;="&amp;$B199,BD!$L$3:$L$5001,"&lt;&gt;"))))</f>
        <v/>
      </c>
      <c r="O199" s="43" t="str">
        <f>IF(OR($B199="",$A199&gt;$B$9,O$184=""),"",IF(COUNTIFS(BD!$B$3:$B$5001,O$184,BD!$A$3:$A$5001,"&gt;="&amp;$C$7,BD!$A$3:$A$5001,"&lt;="&amp;$B199,BD!$L$3:$L$5001,"&lt;&gt;")=0,"",SUMIFS(BD!$L$3:$L$5001,BD!$B$3:$B$5001,O$184,BD!$A$3:$A$5001,_xlfn.MAXIFS(BD!$A$3:$A$5001,BD!$B$3:$B$5001,O$184,BD!$A$3:$A$5001,"&gt;="&amp;$C$7,BD!$A$3:$A$5001,"&lt;="&amp;$B199,BD!$L$3:$L$5001,"&lt;&gt;"))))</f>
        <v/>
      </c>
      <c r="P199" s="43" t="str">
        <f>IF(OR($B199="",$A199&gt;$B$9,P$184=""),"",IF(COUNTIFS(BD!$B$3:$B$5001,P$184,BD!$A$3:$A$5001,"&gt;="&amp;$C$7,BD!$A$3:$A$5001,"&lt;="&amp;$B199,BD!$L$3:$L$5001,"&lt;&gt;")=0,"",SUMIFS(BD!$L$3:$L$5001,BD!$B$3:$B$5001,P$184,BD!$A$3:$A$5001,_xlfn.MAXIFS(BD!$A$3:$A$5001,BD!$B$3:$B$5001,P$184,BD!$A$3:$A$5001,"&gt;="&amp;$C$7,BD!$A$3:$A$5001,"&lt;="&amp;$B199,BD!$L$3:$L$5001,"&lt;&gt;"))))</f>
        <v/>
      </c>
      <c r="Q199" s="43" t="str">
        <f>IF(OR($B199="",$A199&gt;$B$9,Q$184=""),"",IF(COUNTIFS(BD!$B$3:$B$5001,Q$184,BD!$A$3:$A$5001,"&gt;="&amp;$C$7,BD!$A$3:$A$5001,"&lt;="&amp;$B199,BD!$L$3:$L$5001,"&lt;&gt;")=0,"",SUMIFS(BD!$L$3:$L$5001,BD!$B$3:$B$5001,Q$184,BD!$A$3:$A$5001,_xlfn.MAXIFS(BD!$A$3:$A$5001,BD!$B$3:$B$5001,Q$184,BD!$A$3:$A$5001,"&gt;="&amp;$C$7,BD!$A$3:$A$5001,"&lt;="&amp;$B199,BD!$L$3:$L$5001,"&lt;&gt;"))))</f>
        <v/>
      </c>
      <c r="R199" s="43" t="str">
        <f>IF(OR($B199="",$A199&gt;$B$9,R$184=""),"",IF(COUNTIFS(BD!$B$3:$B$5001,R$184,BD!$A$3:$A$5001,"&gt;="&amp;$C$7,BD!$A$3:$A$5001,"&lt;="&amp;$B199,BD!$L$3:$L$5001,"&lt;&gt;")=0,"",SUMIFS(BD!$L$3:$L$5001,BD!$B$3:$B$5001,R$184,BD!$A$3:$A$5001,_xlfn.MAXIFS(BD!$A$3:$A$5001,BD!$B$3:$B$5001,R$184,BD!$A$3:$A$5001,"&gt;="&amp;$C$7,BD!$A$3:$A$5001,"&lt;="&amp;$B199,BD!$L$3:$L$5001,"&lt;&gt;"))))</f>
        <v/>
      </c>
      <c r="S199" s="43" t="str">
        <f>IF(OR($B199="",$A199&gt;$B$9,S$184=""),"",IF(COUNTIFS(BD!$B$3:$B$5001,S$184,BD!$A$3:$A$5001,"&gt;="&amp;$C$7,BD!$A$3:$A$5001,"&lt;="&amp;$B199,BD!$L$3:$L$5001,"&lt;&gt;")=0,"",SUMIFS(BD!$L$3:$L$5001,BD!$B$3:$B$5001,S$184,BD!$A$3:$A$5001,_xlfn.MAXIFS(BD!$A$3:$A$5001,BD!$B$3:$B$5001,S$184,BD!$A$3:$A$5001,"&gt;="&amp;$C$7,BD!$A$3:$A$5001,"&lt;="&amp;$B199,BD!$L$3:$L$5001,"&lt;&gt;"))))</f>
        <v/>
      </c>
      <c r="T199" s="43" t="str">
        <f>IF(OR($B199="",$A199&gt;$B$9,T$184=""),"",IF(COUNTIFS(BD!$B$3:$B$5001,T$184,BD!$A$3:$A$5001,"&gt;="&amp;$C$7,BD!$A$3:$A$5001,"&lt;="&amp;$B199,BD!$L$3:$L$5001,"&lt;&gt;")=0,"",SUMIFS(BD!$L$3:$L$5001,BD!$B$3:$B$5001,T$184,BD!$A$3:$A$5001,_xlfn.MAXIFS(BD!$A$3:$A$5001,BD!$B$3:$B$5001,T$184,BD!$A$3:$A$5001,"&gt;="&amp;$C$7,BD!$A$3:$A$5001,"&lt;="&amp;$B199,BD!$L$3:$L$5001,"&lt;&gt;"))))</f>
        <v/>
      </c>
      <c r="U199" s="43" t="str">
        <f>IF(OR($B199="",$A199&gt;$B$9,U$184=""),"",IF(COUNTIFS(BD!$B$3:$B$5001,U$184,BD!$A$3:$A$5001,"&gt;="&amp;$C$7,BD!$A$3:$A$5001,"&lt;="&amp;$B199,BD!$L$3:$L$5001,"&lt;&gt;")=0,"",SUMIFS(BD!$L$3:$L$5001,BD!$B$3:$B$5001,U$184,BD!$A$3:$A$5001,_xlfn.MAXIFS(BD!$A$3:$A$5001,BD!$B$3:$B$5001,U$184,BD!$A$3:$A$5001,"&gt;="&amp;$C$7,BD!$A$3:$A$5001,"&lt;="&amp;$B199,BD!$L$3:$L$5001,"&lt;&gt;"))))</f>
        <v/>
      </c>
      <c r="V199" s="43" t="str">
        <f>IF(OR($B199="",$A199&gt;$B$9,V$184=""),"",IF(COUNTIFS(BD!$B$3:$B$5001,V$184,BD!$A$3:$A$5001,"&gt;="&amp;$C$7,BD!$A$3:$A$5001,"&lt;="&amp;$B199,BD!$L$3:$L$5001,"&lt;&gt;")=0,"",SUMIFS(BD!$L$3:$L$5001,BD!$B$3:$B$5001,V$184,BD!$A$3:$A$5001,_xlfn.MAXIFS(BD!$A$3:$A$5001,BD!$B$3:$B$5001,V$184,BD!$A$3:$A$5001,"&gt;="&amp;$C$7,BD!$A$3:$A$5001,"&lt;="&amp;$B199,BD!$L$3:$L$5001,"&lt;&gt;"))))</f>
        <v/>
      </c>
    </row>
    <row r="200">
      <c r="A200" s="38">
        <v>16</v>
      </c>
      <c r="B200" s="42">
        <f>$B$27</f>
        <v>46311</v>
      </c>
      <c r="C200" s="43" t="str">
        <f>IF(OR($B200="",$A200&gt;$B$9,C$184=""),"",IF(COUNTIFS(BD!$B$3:$B$5001,C$184,BD!$A$3:$A$5001,"&gt;="&amp;$C$7,BD!$A$3:$A$5001,"&lt;="&amp;$B200,BD!$L$3:$L$5001,"&lt;&gt;")=0,"",SUMIFS(BD!$L$3:$L$5001,BD!$B$3:$B$5001,C$184,BD!$A$3:$A$5001,_xlfn.MAXIFS(BD!$A$3:$A$5001,BD!$B$3:$B$5001,C$184,BD!$A$3:$A$5001,"&gt;="&amp;$C$7,BD!$A$3:$A$5001,"&lt;="&amp;$B200,BD!$L$3:$L$5001,"&lt;&gt;"))))</f>
        <v/>
      </c>
      <c r="D200" s="43" t="str">
        <f>IF(OR($B200="",$A200&gt;$B$9,D$184=""),"",IF(COUNTIFS(BD!$B$3:$B$5001,D$184,BD!$A$3:$A$5001,"&gt;="&amp;$C$7,BD!$A$3:$A$5001,"&lt;="&amp;$B200,BD!$L$3:$L$5001,"&lt;&gt;")=0,"",SUMIFS(BD!$L$3:$L$5001,BD!$B$3:$B$5001,D$184,BD!$A$3:$A$5001,_xlfn.MAXIFS(BD!$A$3:$A$5001,BD!$B$3:$B$5001,D$184,BD!$A$3:$A$5001,"&gt;="&amp;$C$7,BD!$A$3:$A$5001,"&lt;="&amp;$B200,BD!$L$3:$L$5001,"&lt;&gt;"))))</f>
        <v/>
      </c>
      <c r="E200" s="43" t="str">
        <f>IF(OR($B200="",$A200&gt;$B$9,E$184=""),"",IF(COUNTIFS(BD!$B$3:$B$5001,E$184,BD!$A$3:$A$5001,"&gt;="&amp;$C$7,BD!$A$3:$A$5001,"&lt;="&amp;$B200,BD!$L$3:$L$5001,"&lt;&gt;")=0,"",SUMIFS(BD!$L$3:$L$5001,BD!$B$3:$B$5001,E$184,BD!$A$3:$A$5001,_xlfn.MAXIFS(BD!$A$3:$A$5001,BD!$B$3:$B$5001,E$184,BD!$A$3:$A$5001,"&gt;="&amp;$C$7,BD!$A$3:$A$5001,"&lt;="&amp;$B200,BD!$L$3:$L$5001,"&lt;&gt;"))))</f>
        <v/>
      </c>
      <c r="F200" s="43" t="str">
        <f>IF(OR($B200="",$A200&gt;$B$9,F$184=""),"",IF(COUNTIFS(BD!$B$3:$B$5001,F$184,BD!$A$3:$A$5001,"&gt;="&amp;$C$7,BD!$A$3:$A$5001,"&lt;="&amp;$B200,BD!$L$3:$L$5001,"&lt;&gt;")=0,"",SUMIFS(BD!$L$3:$L$5001,BD!$B$3:$B$5001,F$184,BD!$A$3:$A$5001,_xlfn.MAXIFS(BD!$A$3:$A$5001,BD!$B$3:$B$5001,F$184,BD!$A$3:$A$5001,"&gt;="&amp;$C$7,BD!$A$3:$A$5001,"&lt;="&amp;$B200,BD!$L$3:$L$5001,"&lt;&gt;"))))</f>
        <v/>
      </c>
      <c r="G200" s="43" t="str">
        <f>IF(OR($B200="",$A200&gt;$B$9,G$184=""),"",IF(COUNTIFS(BD!$B$3:$B$5001,G$184,BD!$A$3:$A$5001,"&gt;="&amp;$C$7,BD!$A$3:$A$5001,"&lt;="&amp;$B200,BD!$L$3:$L$5001,"&lt;&gt;")=0,"",SUMIFS(BD!$L$3:$L$5001,BD!$B$3:$B$5001,G$184,BD!$A$3:$A$5001,_xlfn.MAXIFS(BD!$A$3:$A$5001,BD!$B$3:$B$5001,G$184,BD!$A$3:$A$5001,"&gt;="&amp;$C$7,BD!$A$3:$A$5001,"&lt;="&amp;$B200,BD!$L$3:$L$5001,"&lt;&gt;"))))</f>
        <v/>
      </c>
      <c r="H200" s="43" t="str">
        <f>IF(OR($B200="",$A200&gt;$B$9,H$184=""),"",IF(COUNTIFS(BD!$B$3:$B$5001,H$184,BD!$A$3:$A$5001,"&gt;="&amp;$C$7,BD!$A$3:$A$5001,"&lt;="&amp;$B200,BD!$L$3:$L$5001,"&lt;&gt;")=0,"",SUMIFS(BD!$L$3:$L$5001,BD!$B$3:$B$5001,H$184,BD!$A$3:$A$5001,_xlfn.MAXIFS(BD!$A$3:$A$5001,BD!$B$3:$B$5001,H$184,BD!$A$3:$A$5001,"&gt;="&amp;$C$7,BD!$A$3:$A$5001,"&lt;="&amp;$B200,BD!$L$3:$L$5001,"&lt;&gt;"))))</f>
        <v/>
      </c>
      <c r="I200" s="43" t="str">
        <f>IF(OR($B200="",$A200&gt;$B$9,I$184=""),"",IF(COUNTIFS(BD!$B$3:$B$5001,I$184,BD!$A$3:$A$5001,"&gt;="&amp;$C$7,BD!$A$3:$A$5001,"&lt;="&amp;$B200,BD!$L$3:$L$5001,"&lt;&gt;")=0,"",SUMIFS(BD!$L$3:$L$5001,BD!$B$3:$B$5001,I$184,BD!$A$3:$A$5001,_xlfn.MAXIFS(BD!$A$3:$A$5001,BD!$B$3:$B$5001,I$184,BD!$A$3:$A$5001,"&gt;="&amp;$C$7,BD!$A$3:$A$5001,"&lt;="&amp;$B200,BD!$L$3:$L$5001,"&lt;&gt;"))))</f>
        <v/>
      </c>
      <c r="J200" s="43" t="str">
        <f>IF(OR($B200="",$A200&gt;$B$9,J$184=""),"",IF(COUNTIFS(BD!$B$3:$B$5001,J$184,BD!$A$3:$A$5001,"&gt;="&amp;$C$7,BD!$A$3:$A$5001,"&lt;="&amp;$B200,BD!$L$3:$L$5001,"&lt;&gt;")=0,"",SUMIFS(BD!$L$3:$L$5001,BD!$B$3:$B$5001,J$184,BD!$A$3:$A$5001,_xlfn.MAXIFS(BD!$A$3:$A$5001,BD!$B$3:$B$5001,J$184,BD!$A$3:$A$5001,"&gt;="&amp;$C$7,BD!$A$3:$A$5001,"&lt;="&amp;$B200,BD!$L$3:$L$5001,"&lt;&gt;"))))</f>
        <v/>
      </c>
      <c r="K200" s="43" t="str">
        <f>IF(OR($B200="",$A200&gt;$B$9,K$184=""),"",IF(COUNTIFS(BD!$B$3:$B$5001,K$184,BD!$A$3:$A$5001,"&gt;="&amp;$C$7,BD!$A$3:$A$5001,"&lt;="&amp;$B200,BD!$L$3:$L$5001,"&lt;&gt;")=0,"",SUMIFS(BD!$L$3:$L$5001,BD!$B$3:$B$5001,K$184,BD!$A$3:$A$5001,_xlfn.MAXIFS(BD!$A$3:$A$5001,BD!$B$3:$B$5001,K$184,BD!$A$3:$A$5001,"&gt;="&amp;$C$7,BD!$A$3:$A$5001,"&lt;="&amp;$B200,BD!$L$3:$L$5001,"&lt;&gt;"))))</f>
        <v/>
      </c>
      <c r="L200" s="43" t="str">
        <f>IF(OR($B200="",$A200&gt;$B$9,L$184=""),"",IF(COUNTIFS(BD!$B$3:$B$5001,L$184,BD!$A$3:$A$5001,"&gt;="&amp;$C$7,BD!$A$3:$A$5001,"&lt;="&amp;$B200,BD!$L$3:$L$5001,"&lt;&gt;")=0,"",SUMIFS(BD!$L$3:$L$5001,BD!$B$3:$B$5001,L$184,BD!$A$3:$A$5001,_xlfn.MAXIFS(BD!$A$3:$A$5001,BD!$B$3:$B$5001,L$184,BD!$A$3:$A$5001,"&gt;="&amp;$C$7,BD!$A$3:$A$5001,"&lt;="&amp;$B200,BD!$L$3:$L$5001,"&lt;&gt;"))))</f>
        <v/>
      </c>
      <c r="M200" s="43" t="str">
        <f>IF(OR($B200="",$A200&gt;$B$9,M$184=""),"",IF(COUNTIFS(BD!$B$3:$B$5001,M$184,BD!$A$3:$A$5001,"&gt;="&amp;$C$7,BD!$A$3:$A$5001,"&lt;="&amp;$B200,BD!$L$3:$L$5001,"&lt;&gt;")=0,"",SUMIFS(BD!$L$3:$L$5001,BD!$B$3:$B$5001,M$184,BD!$A$3:$A$5001,_xlfn.MAXIFS(BD!$A$3:$A$5001,BD!$B$3:$B$5001,M$184,BD!$A$3:$A$5001,"&gt;="&amp;$C$7,BD!$A$3:$A$5001,"&lt;="&amp;$B200,BD!$L$3:$L$5001,"&lt;&gt;"))))</f>
        <v/>
      </c>
      <c r="N200" s="43" t="str">
        <f>IF(OR($B200="",$A200&gt;$B$9,N$184=""),"",IF(COUNTIFS(BD!$B$3:$B$5001,N$184,BD!$A$3:$A$5001,"&gt;="&amp;$C$7,BD!$A$3:$A$5001,"&lt;="&amp;$B200,BD!$L$3:$L$5001,"&lt;&gt;")=0,"",SUMIFS(BD!$L$3:$L$5001,BD!$B$3:$B$5001,N$184,BD!$A$3:$A$5001,_xlfn.MAXIFS(BD!$A$3:$A$5001,BD!$B$3:$B$5001,N$184,BD!$A$3:$A$5001,"&gt;="&amp;$C$7,BD!$A$3:$A$5001,"&lt;="&amp;$B200,BD!$L$3:$L$5001,"&lt;&gt;"))))</f>
        <v/>
      </c>
      <c r="O200" s="43" t="str">
        <f>IF(OR($B200="",$A200&gt;$B$9,O$184=""),"",IF(COUNTIFS(BD!$B$3:$B$5001,O$184,BD!$A$3:$A$5001,"&gt;="&amp;$C$7,BD!$A$3:$A$5001,"&lt;="&amp;$B200,BD!$L$3:$L$5001,"&lt;&gt;")=0,"",SUMIFS(BD!$L$3:$L$5001,BD!$B$3:$B$5001,O$184,BD!$A$3:$A$5001,_xlfn.MAXIFS(BD!$A$3:$A$5001,BD!$B$3:$B$5001,O$184,BD!$A$3:$A$5001,"&gt;="&amp;$C$7,BD!$A$3:$A$5001,"&lt;="&amp;$B200,BD!$L$3:$L$5001,"&lt;&gt;"))))</f>
        <v/>
      </c>
      <c r="P200" s="43" t="str">
        <f>IF(OR($B200="",$A200&gt;$B$9,P$184=""),"",IF(COUNTIFS(BD!$B$3:$B$5001,P$184,BD!$A$3:$A$5001,"&gt;="&amp;$C$7,BD!$A$3:$A$5001,"&lt;="&amp;$B200,BD!$L$3:$L$5001,"&lt;&gt;")=0,"",SUMIFS(BD!$L$3:$L$5001,BD!$B$3:$B$5001,P$184,BD!$A$3:$A$5001,_xlfn.MAXIFS(BD!$A$3:$A$5001,BD!$B$3:$B$5001,P$184,BD!$A$3:$A$5001,"&gt;="&amp;$C$7,BD!$A$3:$A$5001,"&lt;="&amp;$B200,BD!$L$3:$L$5001,"&lt;&gt;"))))</f>
        <v/>
      </c>
      <c r="Q200" s="43" t="str">
        <f>IF(OR($B200="",$A200&gt;$B$9,Q$184=""),"",IF(COUNTIFS(BD!$B$3:$B$5001,Q$184,BD!$A$3:$A$5001,"&gt;="&amp;$C$7,BD!$A$3:$A$5001,"&lt;="&amp;$B200,BD!$L$3:$L$5001,"&lt;&gt;")=0,"",SUMIFS(BD!$L$3:$L$5001,BD!$B$3:$B$5001,Q$184,BD!$A$3:$A$5001,_xlfn.MAXIFS(BD!$A$3:$A$5001,BD!$B$3:$B$5001,Q$184,BD!$A$3:$A$5001,"&gt;="&amp;$C$7,BD!$A$3:$A$5001,"&lt;="&amp;$B200,BD!$L$3:$L$5001,"&lt;&gt;"))))</f>
        <v/>
      </c>
      <c r="R200" s="43" t="str">
        <f>IF(OR($B200="",$A200&gt;$B$9,R$184=""),"",IF(COUNTIFS(BD!$B$3:$B$5001,R$184,BD!$A$3:$A$5001,"&gt;="&amp;$C$7,BD!$A$3:$A$5001,"&lt;="&amp;$B200,BD!$L$3:$L$5001,"&lt;&gt;")=0,"",SUMIFS(BD!$L$3:$L$5001,BD!$B$3:$B$5001,R$184,BD!$A$3:$A$5001,_xlfn.MAXIFS(BD!$A$3:$A$5001,BD!$B$3:$B$5001,R$184,BD!$A$3:$A$5001,"&gt;="&amp;$C$7,BD!$A$3:$A$5001,"&lt;="&amp;$B200,BD!$L$3:$L$5001,"&lt;&gt;"))))</f>
        <v/>
      </c>
      <c r="S200" s="43" t="str">
        <f>IF(OR($B200="",$A200&gt;$B$9,S$184=""),"",IF(COUNTIFS(BD!$B$3:$B$5001,S$184,BD!$A$3:$A$5001,"&gt;="&amp;$C$7,BD!$A$3:$A$5001,"&lt;="&amp;$B200,BD!$L$3:$L$5001,"&lt;&gt;")=0,"",SUMIFS(BD!$L$3:$L$5001,BD!$B$3:$B$5001,S$184,BD!$A$3:$A$5001,_xlfn.MAXIFS(BD!$A$3:$A$5001,BD!$B$3:$B$5001,S$184,BD!$A$3:$A$5001,"&gt;="&amp;$C$7,BD!$A$3:$A$5001,"&lt;="&amp;$B200,BD!$L$3:$L$5001,"&lt;&gt;"))))</f>
        <v/>
      </c>
      <c r="T200" s="43" t="str">
        <f>IF(OR($B200="",$A200&gt;$B$9,T$184=""),"",IF(COUNTIFS(BD!$B$3:$B$5001,T$184,BD!$A$3:$A$5001,"&gt;="&amp;$C$7,BD!$A$3:$A$5001,"&lt;="&amp;$B200,BD!$L$3:$L$5001,"&lt;&gt;")=0,"",SUMIFS(BD!$L$3:$L$5001,BD!$B$3:$B$5001,T$184,BD!$A$3:$A$5001,_xlfn.MAXIFS(BD!$A$3:$A$5001,BD!$B$3:$B$5001,T$184,BD!$A$3:$A$5001,"&gt;="&amp;$C$7,BD!$A$3:$A$5001,"&lt;="&amp;$B200,BD!$L$3:$L$5001,"&lt;&gt;"))))</f>
        <v/>
      </c>
      <c r="U200" s="43" t="str">
        <f>IF(OR($B200="",$A200&gt;$B$9,U$184=""),"",IF(COUNTIFS(BD!$B$3:$B$5001,U$184,BD!$A$3:$A$5001,"&gt;="&amp;$C$7,BD!$A$3:$A$5001,"&lt;="&amp;$B200,BD!$L$3:$L$5001,"&lt;&gt;")=0,"",SUMIFS(BD!$L$3:$L$5001,BD!$B$3:$B$5001,U$184,BD!$A$3:$A$5001,_xlfn.MAXIFS(BD!$A$3:$A$5001,BD!$B$3:$B$5001,U$184,BD!$A$3:$A$5001,"&gt;="&amp;$C$7,BD!$A$3:$A$5001,"&lt;="&amp;$B200,BD!$L$3:$L$5001,"&lt;&gt;"))))</f>
        <v/>
      </c>
      <c r="V200" s="43" t="str">
        <f>IF(OR($B200="",$A200&gt;$B$9,V$184=""),"",IF(COUNTIFS(BD!$B$3:$B$5001,V$184,BD!$A$3:$A$5001,"&gt;="&amp;$C$7,BD!$A$3:$A$5001,"&lt;="&amp;$B200,BD!$L$3:$L$5001,"&lt;&gt;")=0,"",SUMIFS(BD!$L$3:$L$5001,BD!$B$3:$B$5001,V$184,BD!$A$3:$A$5001,_xlfn.MAXIFS(BD!$A$3:$A$5001,BD!$B$3:$B$5001,V$184,BD!$A$3:$A$5001,"&gt;="&amp;$C$7,BD!$A$3:$A$5001,"&lt;="&amp;$B200,BD!$L$3:$L$5001,"&lt;&gt;"))))</f>
        <v/>
      </c>
    </row>
    <row r="201">
      <c r="A201" s="38">
        <v>17</v>
      </c>
      <c r="B201" s="42">
        <f>$B$28</f>
        <v>46312</v>
      </c>
      <c r="C201" s="43" t="str">
        <f>IF(OR($B201="",$A201&gt;$B$9,C$184=""),"",IF(COUNTIFS(BD!$B$3:$B$5001,C$184,BD!$A$3:$A$5001,"&gt;="&amp;$C$7,BD!$A$3:$A$5001,"&lt;="&amp;$B201,BD!$L$3:$L$5001,"&lt;&gt;")=0,"",SUMIFS(BD!$L$3:$L$5001,BD!$B$3:$B$5001,C$184,BD!$A$3:$A$5001,_xlfn.MAXIFS(BD!$A$3:$A$5001,BD!$B$3:$B$5001,C$184,BD!$A$3:$A$5001,"&gt;="&amp;$C$7,BD!$A$3:$A$5001,"&lt;="&amp;$B201,BD!$L$3:$L$5001,"&lt;&gt;"))))</f>
        <v/>
      </c>
      <c r="D201" s="43" t="str">
        <f>IF(OR($B201="",$A201&gt;$B$9,D$184=""),"",IF(COUNTIFS(BD!$B$3:$B$5001,D$184,BD!$A$3:$A$5001,"&gt;="&amp;$C$7,BD!$A$3:$A$5001,"&lt;="&amp;$B201,BD!$L$3:$L$5001,"&lt;&gt;")=0,"",SUMIFS(BD!$L$3:$L$5001,BD!$B$3:$B$5001,D$184,BD!$A$3:$A$5001,_xlfn.MAXIFS(BD!$A$3:$A$5001,BD!$B$3:$B$5001,D$184,BD!$A$3:$A$5001,"&gt;="&amp;$C$7,BD!$A$3:$A$5001,"&lt;="&amp;$B201,BD!$L$3:$L$5001,"&lt;&gt;"))))</f>
        <v/>
      </c>
      <c r="E201" s="43" t="str">
        <f>IF(OR($B201="",$A201&gt;$B$9,E$184=""),"",IF(COUNTIFS(BD!$B$3:$B$5001,E$184,BD!$A$3:$A$5001,"&gt;="&amp;$C$7,BD!$A$3:$A$5001,"&lt;="&amp;$B201,BD!$L$3:$L$5001,"&lt;&gt;")=0,"",SUMIFS(BD!$L$3:$L$5001,BD!$B$3:$B$5001,E$184,BD!$A$3:$A$5001,_xlfn.MAXIFS(BD!$A$3:$A$5001,BD!$B$3:$B$5001,E$184,BD!$A$3:$A$5001,"&gt;="&amp;$C$7,BD!$A$3:$A$5001,"&lt;="&amp;$B201,BD!$L$3:$L$5001,"&lt;&gt;"))))</f>
        <v/>
      </c>
      <c r="F201" s="43" t="str">
        <f>IF(OR($B201="",$A201&gt;$B$9,F$184=""),"",IF(COUNTIFS(BD!$B$3:$B$5001,F$184,BD!$A$3:$A$5001,"&gt;="&amp;$C$7,BD!$A$3:$A$5001,"&lt;="&amp;$B201,BD!$L$3:$L$5001,"&lt;&gt;")=0,"",SUMIFS(BD!$L$3:$L$5001,BD!$B$3:$B$5001,F$184,BD!$A$3:$A$5001,_xlfn.MAXIFS(BD!$A$3:$A$5001,BD!$B$3:$B$5001,F$184,BD!$A$3:$A$5001,"&gt;="&amp;$C$7,BD!$A$3:$A$5001,"&lt;="&amp;$B201,BD!$L$3:$L$5001,"&lt;&gt;"))))</f>
        <v/>
      </c>
      <c r="G201" s="43" t="str">
        <f>IF(OR($B201="",$A201&gt;$B$9,G$184=""),"",IF(COUNTIFS(BD!$B$3:$B$5001,G$184,BD!$A$3:$A$5001,"&gt;="&amp;$C$7,BD!$A$3:$A$5001,"&lt;="&amp;$B201,BD!$L$3:$L$5001,"&lt;&gt;")=0,"",SUMIFS(BD!$L$3:$L$5001,BD!$B$3:$B$5001,G$184,BD!$A$3:$A$5001,_xlfn.MAXIFS(BD!$A$3:$A$5001,BD!$B$3:$B$5001,G$184,BD!$A$3:$A$5001,"&gt;="&amp;$C$7,BD!$A$3:$A$5001,"&lt;="&amp;$B201,BD!$L$3:$L$5001,"&lt;&gt;"))))</f>
        <v/>
      </c>
      <c r="H201" s="43" t="str">
        <f>IF(OR($B201="",$A201&gt;$B$9,H$184=""),"",IF(COUNTIFS(BD!$B$3:$B$5001,H$184,BD!$A$3:$A$5001,"&gt;="&amp;$C$7,BD!$A$3:$A$5001,"&lt;="&amp;$B201,BD!$L$3:$L$5001,"&lt;&gt;")=0,"",SUMIFS(BD!$L$3:$L$5001,BD!$B$3:$B$5001,H$184,BD!$A$3:$A$5001,_xlfn.MAXIFS(BD!$A$3:$A$5001,BD!$B$3:$B$5001,H$184,BD!$A$3:$A$5001,"&gt;="&amp;$C$7,BD!$A$3:$A$5001,"&lt;="&amp;$B201,BD!$L$3:$L$5001,"&lt;&gt;"))))</f>
        <v/>
      </c>
      <c r="I201" s="43" t="str">
        <f>IF(OR($B201="",$A201&gt;$B$9,I$184=""),"",IF(COUNTIFS(BD!$B$3:$B$5001,I$184,BD!$A$3:$A$5001,"&gt;="&amp;$C$7,BD!$A$3:$A$5001,"&lt;="&amp;$B201,BD!$L$3:$L$5001,"&lt;&gt;")=0,"",SUMIFS(BD!$L$3:$L$5001,BD!$B$3:$B$5001,I$184,BD!$A$3:$A$5001,_xlfn.MAXIFS(BD!$A$3:$A$5001,BD!$B$3:$B$5001,I$184,BD!$A$3:$A$5001,"&gt;="&amp;$C$7,BD!$A$3:$A$5001,"&lt;="&amp;$B201,BD!$L$3:$L$5001,"&lt;&gt;"))))</f>
        <v/>
      </c>
      <c r="J201" s="43" t="str">
        <f>IF(OR($B201="",$A201&gt;$B$9,J$184=""),"",IF(COUNTIFS(BD!$B$3:$B$5001,J$184,BD!$A$3:$A$5001,"&gt;="&amp;$C$7,BD!$A$3:$A$5001,"&lt;="&amp;$B201,BD!$L$3:$L$5001,"&lt;&gt;")=0,"",SUMIFS(BD!$L$3:$L$5001,BD!$B$3:$B$5001,J$184,BD!$A$3:$A$5001,_xlfn.MAXIFS(BD!$A$3:$A$5001,BD!$B$3:$B$5001,J$184,BD!$A$3:$A$5001,"&gt;="&amp;$C$7,BD!$A$3:$A$5001,"&lt;="&amp;$B201,BD!$L$3:$L$5001,"&lt;&gt;"))))</f>
        <v/>
      </c>
      <c r="K201" s="43" t="str">
        <f>IF(OR($B201="",$A201&gt;$B$9,K$184=""),"",IF(COUNTIFS(BD!$B$3:$B$5001,K$184,BD!$A$3:$A$5001,"&gt;="&amp;$C$7,BD!$A$3:$A$5001,"&lt;="&amp;$B201,BD!$L$3:$L$5001,"&lt;&gt;")=0,"",SUMIFS(BD!$L$3:$L$5001,BD!$B$3:$B$5001,K$184,BD!$A$3:$A$5001,_xlfn.MAXIFS(BD!$A$3:$A$5001,BD!$B$3:$B$5001,K$184,BD!$A$3:$A$5001,"&gt;="&amp;$C$7,BD!$A$3:$A$5001,"&lt;="&amp;$B201,BD!$L$3:$L$5001,"&lt;&gt;"))))</f>
        <v/>
      </c>
      <c r="L201" s="43" t="str">
        <f>IF(OR($B201="",$A201&gt;$B$9,L$184=""),"",IF(COUNTIFS(BD!$B$3:$B$5001,L$184,BD!$A$3:$A$5001,"&gt;="&amp;$C$7,BD!$A$3:$A$5001,"&lt;="&amp;$B201,BD!$L$3:$L$5001,"&lt;&gt;")=0,"",SUMIFS(BD!$L$3:$L$5001,BD!$B$3:$B$5001,L$184,BD!$A$3:$A$5001,_xlfn.MAXIFS(BD!$A$3:$A$5001,BD!$B$3:$B$5001,L$184,BD!$A$3:$A$5001,"&gt;="&amp;$C$7,BD!$A$3:$A$5001,"&lt;="&amp;$B201,BD!$L$3:$L$5001,"&lt;&gt;"))))</f>
        <v/>
      </c>
      <c r="M201" s="43" t="str">
        <f>IF(OR($B201="",$A201&gt;$B$9,M$184=""),"",IF(COUNTIFS(BD!$B$3:$B$5001,M$184,BD!$A$3:$A$5001,"&gt;="&amp;$C$7,BD!$A$3:$A$5001,"&lt;="&amp;$B201,BD!$L$3:$L$5001,"&lt;&gt;")=0,"",SUMIFS(BD!$L$3:$L$5001,BD!$B$3:$B$5001,M$184,BD!$A$3:$A$5001,_xlfn.MAXIFS(BD!$A$3:$A$5001,BD!$B$3:$B$5001,M$184,BD!$A$3:$A$5001,"&gt;="&amp;$C$7,BD!$A$3:$A$5001,"&lt;="&amp;$B201,BD!$L$3:$L$5001,"&lt;&gt;"))))</f>
        <v/>
      </c>
      <c r="N201" s="43" t="str">
        <f>IF(OR($B201="",$A201&gt;$B$9,N$184=""),"",IF(COUNTIFS(BD!$B$3:$B$5001,N$184,BD!$A$3:$A$5001,"&gt;="&amp;$C$7,BD!$A$3:$A$5001,"&lt;="&amp;$B201,BD!$L$3:$L$5001,"&lt;&gt;")=0,"",SUMIFS(BD!$L$3:$L$5001,BD!$B$3:$B$5001,N$184,BD!$A$3:$A$5001,_xlfn.MAXIFS(BD!$A$3:$A$5001,BD!$B$3:$B$5001,N$184,BD!$A$3:$A$5001,"&gt;="&amp;$C$7,BD!$A$3:$A$5001,"&lt;="&amp;$B201,BD!$L$3:$L$5001,"&lt;&gt;"))))</f>
        <v/>
      </c>
      <c r="O201" s="43" t="str">
        <f>IF(OR($B201="",$A201&gt;$B$9,O$184=""),"",IF(COUNTIFS(BD!$B$3:$B$5001,O$184,BD!$A$3:$A$5001,"&gt;="&amp;$C$7,BD!$A$3:$A$5001,"&lt;="&amp;$B201,BD!$L$3:$L$5001,"&lt;&gt;")=0,"",SUMIFS(BD!$L$3:$L$5001,BD!$B$3:$B$5001,O$184,BD!$A$3:$A$5001,_xlfn.MAXIFS(BD!$A$3:$A$5001,BD!$B$3:$B$5001,O$184,BD!$A$3:$A$5001,"&gt;="&amp;$C$7,BD!$A$3:$A$5001,"&lt;="&amp;$B201,BD!$L$3:$L$5001,"&lt;&gt;"))))</f>
        <v/>
      </c>
      <c r="P201" s="43" t="str">
        <f>IF(OR($B201="",$A201&gt;$B$9,P$184=""),"",IF(COUNTIFS(BD!$B$3:$B$5001,P$184,BD!$A$3:$A$5001,"&gt;="&amp;$C$7,BD!$A$3:$A$5001,"&lt;="&amp;$B201,BD!$L$3:$L$5001,"&lt;&gt;")=0,"",SUMIFS(BD!$L$3:$L$5001,BD!$B$3:$B$5001,P$184,BD!$A$3:$A$5001,_xlfn.MAXIFS(BD!$A$3:$A$5001,BD!$B$3:$B$5001,P$184,BD!$A$3:$A$5001,"&gt;="&amp;$C$7,BD!$A$3:$A$5001,"&lt;="&amp;$B201,BD!$L$3:$L$5001,"&lt;&gt;"))))</f>
        <v/>
      </c>
      <c r="Q201" s="43" t="str">
        <f>IF(OR($B201="",$A201&gt;$B$9,Q$184=""),"",IF(COUNTIFS(BD!$B$3:$B$5001,Q$184,BD!$A$3:$A$5001,"&gt;="&amp;$C$7,BD!$A$3:$A$5001,"&lt;="&amp;$B201,BD!$L$3:$L$5001,"&lt;&gt;")=0,"",SUMIFS(BD!$L$3:$L$5001,BD!$B$3:$B$5001,Q$184,BD!$A$3:$A$5001,_xlfn.MAXIFS(BD!$A$3:$A$5001,BD!$B$3:$B$5001,Q$184,BD!$A$3:$A$5001,"&gt;="&amp;$C$7,BD!$A$3:$A$5001,"&lt;="&amp;$B201,BD!$L$3:$L$5001,"&lt;&gt;"))))</f>
        <v/>
      </c>
      <c r="R201" s="43" t="str">
        <f>IF(OR($B201="",$A201&gt;$B$9,R$184=""),"",IF(COUNTIFS(BD!$B$3:$B$5001,R$184,BD!$A$3:$A$5001,"&gt;="&amp;$C$7,BD!$A$3:$A$5001,"&lt;="&amp;$B201,BD!$L$3:$L$5001,"&lt;&gt;")=0,"",SUMIFS(BD!$L$3:$L$5001,BD!$B$3:$B$5001,R$184,BD!$A$3:$A$5001,_xlfn.MAXIFS(BD!$A$3:$A$5001,BD!$B$3:$B$5001,R$184,BD!$A$3:$A$5001,"&gt;="&amp;$C$7,BD!$A$3:$A$5001,"&lt;="&amp;$B201,BD!$L$3:$L$5001,"&lt;&gt;"))))</f>
        <v/>
      </c>
      <c r="S201" s="43" t="str">
        <f>IF(OR($B201="",$A201&gt;$B$9,S$184=""),"",IF(COUNTIFS(BD!$B$3:$B$5001,S$184,BD!$A$3:$A$5001,"&gt;="&amp;$C$7,BD!$A$3:$A$5001,"&lt;="&amp;$B201,BD!$L$3:$L$5001,"&lt;&gt;")=0,"",SUMIFS(BD!$L$3:$L$5001,BD!$B$3:$B$5001,S$184,BD!$A$3:$A$5001,_xlfn.MAXIFS(BD!$A$3:$A$5001,BD!$B$3:$B$5001,S$184,BD!$A$3:$A$5001,"&gt;="&amp;$C$7,BD!$A$3:$A$5001,"&lt;="&amp;$B201,BD!$L$3:$L$5001,"&lt;&gt;"))))</f>
        <v/>
      </c>
      <c r="T201" s="43" t="str">
        <f>IF(OR($B201="",$A201&gt;$B$9,T$184=""),"",IF(COUNTIFS(BD!$B$3:$B$5001,T$184,BD!$A$3:$A$5001,"&gt;="&amp;$C$7,BD!$A$3:$A$5001,"&lt;="&amp;$B201,BD!$L$3:$L$5001,"&lt;&gt;")=0,"",SUMIFS(BD!$L$3:$L$5001,BD!$B$3:$B$5001,T$184,BD!$A$3:$A$5001,_xlfn.MAXIFS(BD!$A$3:$A$5001,BD!$B$3:$B$5001,T$184,BD!$A$3:$A$5001,"&gt;="&amp;$C$7,BD!$A$3:$A$5001,"&lt;="&amp;$B201,BD!$L$3:$L$5001,"&lt;&gt;"))))</f>
        <v/>
      </c>
      <c r="U201" s="43" t="str">
        <f>IF(OR($B201="",$A201&gt;$B$9,U$184=""),"",IF(COUNTIFS(BD!$B$3:$B$5001,U$184,BD!$A$3:$A$5001,"&gt;="&amp;$C$7,BD!$A$3:$A$5001,"&lt;="&amp;$B201,BD!$L$3:$L$5001,"&lt;&gt;")=0,"",SUMIFS(BD!$L$3:$L$5001,BD!$B$3:$B$5001,U$184,BD!$A$3:$A$5001,_xlfn.MAXIFS(BD!$A$3:$A$5001,BD!$B$3:$B$5001,U$184,BD!$A$3:$A$5001,"&gt;="&amp;$C$7,BD!$A$3:$A$5001,"&lt;="&amp;$B201,BD!$L$3:$L$5001,"&lt;&gt;"))))</f>
        <v/>
      </c>
      <c r="V201" s="43" t="str">
        <f>IF(OR($B201="",$A201&gt;$B$9,V$184=""),"",IF(COUNTIFS(BD!$B$3:$B$5001,V$184,BD!$A$3:$A$5001,"&gt;="&amp;$C$7,BD!$A$3:$A$5001,"&lt;="&amp;$B201,BD!$L$3:$L$5001,"&lt;&gt;")=0,"",SUMIFS(BD!$L$3:$L$5001,BD!$B$3:$B$5001,V$184,BD!$A$3:$A$5001,_xlfn.MAXIFS(BD!$A$3:$A$5001,BD!$B$3:$B$5001,V$184,BD!$A$3:$A$5001,"&gt;="&amp;$C$7,BD!$A$3:$A$5001,"&lt;="&amp;$B201,BD!$L$3:$L$5001,"&lt;&gt;"))))</f>
        <v/>
      </c>
    </row>
    <row r="202">
      <c r="A202" s="38">
        <v>18</v>
      </c>
      <c r="B202" s="42">
        <f>$B$29</f>
        <v>46313</v>
      </c>
      <c r="C202" s="43" t="str">
        <f>IF(OR($B202="",$A202&gt;$B$9,C$184=""),"",IF(COUNTIFS(BD!$B$3:$B$5001,C$184,BD!$A$3:$A$5001,"&gt;="&amp;$C$7,BD!$A$3:$A$5001,"&lt;="&amp;$B202,BD!$L$3:$L$5001,"&lt;&gt;")=0,"",SUMIFS(BD!$L$3:$L$5001,BD!$B$3:$B$5001,C$184,BD!$A$3:$A$5001,_xlfn.MAXIFS(BD!$A$3:$A$5001,BD!$B$3:$B$5001,C$184,BD!$A$3:$A$5001,"&gt;="&amp;$C$7,BD!$A$3:$A$5001,"&lt;="&amp;$B202,BD!$L$3:$L$5001,"&lt;&gt;"))))</f>
        <v/>
      </c>
      <c r="D202" s="43" t="str">
        <f>IF(OR($B202="",$A202&gt;$B$9,D$184=""),"",IF(COUNTIFS(BD!$B$3:$B$5001,D$184,BD!$A$3:$A$5001,"&gt;="&amp;$C$7,BD!$A$3:$A$5001,"&lt;="&amp;$B202,BD!$L$3:$L$5001,"&lt;&gt;")=0,"",SUMIFS(BD!$L$3:$L$5001,BD!$B$3:$B$5001,D$184,BD!$A$3:$A$5001,_xlfn.MAXIFS(BD!$A$3:$A$5001,BD!$B$3:$B$5001,D$184,BD!$A$3:$A$5001,"&gt;="&amp;$C$7,BD!$A$3:$A$5001,"&lt;="&amp;$B202,BD!$L$3:$L$5001,"&lt;&gt;"))))</f>
        <v/>
      </c>
      <c r="E202" s="43" t="str">
        <f>IF(OR($B202="",$A202&gt;$B$9,E$184=""),"",IF(COUNTIFS(BD!$B$3:$B$5001,E$184,BD!$A$3:$A$5001,"&gt;="&amp;$C$7,BD!$A$3:$A$5001,"&lt;="&amp;$B202,BD!$L$3:$L$5001,"&lt;&gt;")=0,"",SUMIFS(BD!$L$3:$L$5001,BD!$B$3:$B$5001,E$184,BD!$A$3:$A$5001,_xlfn.MAXIFS(BD!$A$3:$A$5001,BD!$B$3:$B$5001,E$184,BD!$A$3:$A$5001,"&gt;="&amp;$C$7,BD!$A$3:$A$5001,"&lt;="&amp;$B202,BD!$L$3:$L$5001,"&lt;&gt;"))))</f>
        <v/>
      </c>
      <c r="F202" s="43" t="str">
        <f>IF(OR($B202="",$A202&gt;$B$9,F$184=""),"",IF(COUNTIFS(BD!$B$3:$B$5001,F$184,BD!$A$3:$A$5001,"&gt;="&amp;$C$7,BD!$A$3:$A$5001,"&lt;="&amp;$B202,BD!$L$3:$L$5001,"&lt;&gt;")=0,"",SUMIFS(BD!$L$3:$L$5001,BD!$B$3:$B$5001,F$184,BD!$A$3:$A$5001,_xlfn.MAXIFS(BD!$A$3:$A$5001,BD!$B$3:$B$5001,F$184,BD!$A$3:$A$5001,"&gt;="&amp;$C$7,BD!$A$3:$A$5001,"&lt;="&amp;$B202,BD!$L$3:$L$5001,"&lt;&gt;"))))</f>
        <v/>
      </c>
      <c r="G202" s="43" t="str">
        <f>IF(OR($B202="",$A202&gt;$B$9,G$184=""),"",IF(COUNTIFS(BD!$B$3:$B$5001,G$184,BD!$A$3:$A$5001,"&gt;="&amp;$C$7,BD!$A$3:$A$5001,"&lt;="&amp;$B202,BD!$L$3:$L$5001,"&lt;&gt;")=0,"",SUMIFS(BD!$L$3:$L$5001,BD!$B$3:$B$5001,G$184,BD!$A$3:$A$5001,_xlfn.MAXIFS(BD!$A$3:$A$5001,BD!$B$3:$B$5001,G$184,BD!$A$3:$A$5001,"&gt;="&amp;$C$7,BD!$A$3:$A$5001,"&lt;="&amp;$B202,BD!$L$3:$L$5001,"&lt;&gt;"))))</f>
        <v/>
      </c>
      <c r="H202" s="43" t="str">
        <f>IF(OR($B202="",$A202&gt;$B$9,H$184=""),"",IF(COUNTIFS(BD!$B$3:$B$5001,H$184,BD!$A$3:$A$5001,"&gt;="&amp;$C$7,BD!$A$3:$A$5001,"&lt;="&amp;$B202,BD!$L$3:$L$5001,"&lt;&gt;")=0,"",SUMIFS(BD!$L$3:$L$5001,BD!$B$3:$B$5001,H$184,BD!$A$3:$A$5001,_xlfn.MAXIFS(BD!$A$3:$A$5001,BD!$B$3:$B$5001,H$184,BD!$A$3:$A$5001,"&gt;="&amp;$C$7,BD!$A$3:$A$5001,"&lt;="&amp;$B202,BD!$L$3:$L$5001,"&lt;&gt;"))))</f>
        <v/>
      </c>
      <c r="I202" s="43" t="str">
        <f>IF(OR($B202="",$A202&gt;$B$9,I$184=""),"",IF(COUNTIFS(BD!$B$3:$B$5001,I$184,BD!$A$3:$A$5001,"&gt;="&amp;$C$7,BD!$A$3:$A$5001,"&lt;="&amp;$B202,BD!$L$3:$L$5001,"&lt;&gt;")=0,"",SUMIFS(BD!$L$3:$L$5001,BD!$B$3:$B$5001,I$184,BD!$A$3:$A$5001,_xlfn.MAXIFS(BD!$A$3:$A$5001,BD!$B$3:$B$5001,I$184,BD!$A$3:$A$5001,"&gt;="&amp;$C$7,BD!$A$3:$A$5001,"&lt;="&amp;$B202,BD!$L$3:$L$5001,"&lt;&gt;"))))</f>
        <v/>
      </c>
      <c r="J202" s="43" t="str">
        <f>IF(OR($B202="",$A202&gt;$B$9,J$184=""),"",IF(COUNTIFS(BD!$B$3:$B$5001,J$184,BD!$A$3:$A$5001,"&gt;="&amp;$C$7,BD!$A$3:$A$5001,"&lt;="&amp;$B202,BD!$L$3:$L$5001,"&lt;&gt;")=0,"",SUMIFS(BD!$L$3:$L$5001,BD!$B$3:$B$5001,J$184,BD!$A$3:$A$5001,_xlfn.MAXIFS(BD!$A$3:$A$5001,BD!$B$3:$B$5001,J$184,BD!$A$3:$A$5001,"&gt;="&amp;$C$7,BD!$A$3:$A$5001,"&lt;="&amp;$B202,BD!$L$3:$L$5001,"&lt;&gt;"))))</f>
        <v/>
      </c>
      <c r="K202" s="43" t="str">
        <f>IF(OR($B202="",$A202&gt;$B$9,K$184=""),"",IF(COUNTIFS(BD!$B$3:$B$5001,K$184,BD!$A$3:$A$5001,"&gt;="&amp;$C$7,BD!$A$3:$A$5001,"&lt;="&amp;$B202,BD!$L$3:$L$5001,"&lt;&gt;")=0,"",SUMIFS(BD!$L$3:$L$5001,BD!$B$3:$B$5001,K$184,BD!$A$3:$A$5001,_xlfn.MAXIFS(BD!$A$3:$A$5001,BD!$B$3:$B$5001,K$184,BD!$A$3:$A$5001,"&gt;="&amp;$C$7,BD!$A$3:$A$5001,"&lt;="&amp;$B202,BD!$L$3:$L$5001,"&lt;&gt;"))))</f>
        <v/>
      </c>
      <c r="L202" s="43" t="str">
        <f>IF(OR($B202="",$A202&gt;$B$9,L$184=""),"",IF(COUNTIFS(BD!$B$3:$B$5001,L$184,BD!$A$3:$A$5001,"&gt;="&amp;$C$7,BD!$A$3:$A$5001,"&lt;="&amp;$B202,BD!$L$3:$L$5001,"&lt;&gt;")=0,"",SUMIFS(BD!$L$3:$L$5001,BD!$B$3:$B$5001,L$184,BD!$A$3:$A$5001,_xlfn.MAXIFS(BD!$A$3:$A$5001,BD!$B$3:$B$5001,L$184,BD!$A$3:$A$5001,"&gt;="&amp;$C$7,BD!$A$3:$A$5001,"&lt;="&amp;$B202,BD!$L$3:$L$5001,"&lt;&gt;"))))</f>
        <v/>
      </c>
      <c r="M202" s="43" t="str">
        <f>IF(OR($B202="",$A202&gt;$B$9,M$184=""),"",IF(COUNTIFS(BD!$B$3:$B$5001,M$184,BD!$A$3:$A$5001,"&gt;="&amp;$C$7,BD!$A$3:$A$5001,"&lt;="&amp;$B202,BD!$L$3:$L$5001,"&lt;&gt;")=0,"",SUMIFS(BD!$L$3:$L$5001,BD!$B$3:$B$5001,M$184,BD!$A$3:$A$5001,_xlfn.MAXIFS(BD!$A$3:$A$5001,BD!$B$3:$B$5001,M$184,BD!$A$3:$A$5001,"&gt;="&amp;$C$7,BD!$A$3:$A$5001,"&lt;="&amp;$B202,BD!$L$3:$L$5001,"&lt;&gt;"))))</f>
        <v/>
      </c>
      <c r="N202" s="43" t="str">
        <f>IF(OR($B202="",$A202&gt;$B$9,N$184=""),"",IF(COUNTIFS(BD!$B$3:$B$5001,N$184,BD!$A$3:$A$5001,"&gt;="&amp;$C$7,BD!$A$3:$A$5001,"&lt;="&amp;$B202,BD!$L$3:$L$5001,"&lt;&gt;")=0,"",SUMIFS(BD!$L$3:$L$5001,BD!$B$3:$B$5001,N$184,BD!$A$3:$A$5001,_xlfn.MAXIFS(BD!$A$3:$A$5001,BD!$B$3:$B$5001,N$184,BD!$A$3:$A$5001,"&gt;="&amp;$C$7,BD!$A$3:$A$5001,"&lt;="&amp;$B202,BD!$L$3:$L$5001,"&lt;&gt;"))))</f>
        <v/>
      </c>
      <c r="O202" s="43" t="str">
        <f>IF(OR($B202="",$A202&gt;$B$9,O$184=""),"",IF(COUNTIFS(BD!$B$3:$B$5001,O$184,BD!$A$3:$A$5001,"&gt;="&amp;$C$7,BD!$A$3:$A$5001,"&lt;="&amp;$B202,BD!$L$3:$L$5001,"&lt;&gt;")=0,"",SUMIFS(BD!$L$3:$L$5001,BD!$B$3:$B$5001,O$184,BD!$A$3:$A$5001,_xlfn.MAXIFS(BD!$A$3:$A$5001,BD!$B$3:$B$5001,O$184,BD!$A$3:$A$5001,"&gt;="&amp;$C$7,BD!$A$3:$A$5001,"&lt;="&amp;$B202,BD!$L$3:$L$5001,"&lt;&gt;"))))</f>
        <v/>
      </c>
      <c r="P202" s="43" t="str">
        <f>IF(OR($B202="",$A202&gt;$B$9,P$184=""),"",IF(COUNTIFS(BD!$B$3:$B$5001,P$184,BD!$A$3:$A$5001,"&gt;="&amp;$C$7,BD!$A$3:$A$5001,"&lt;="&amp;$B202,BD!$L$3:$L$5001,"&lt;&gt;")=0,"",SUMIFS(BD!$L$3:$L$5001,BD!$B$3:$B$5001,P$184,BD!$A$3:$A$5001,_xlfn.MAXIFS(BD!$A$3:$A$5001,BD!$B$3:$B$5001,P$184,BD!$A$3:$A$5001,"&gt;="&amp;$C$7,BD!$A$3:$A$5001,"&lt;="&amp;$B202,BD!$L$3:$L$5001,"&lt;&gt;"))))</f>
        <v/>
      </c>
      <c r="Q202" s="43" t="str">
        <f>IF(OR($B202="",$A202&gt;$B$9,Q$184=""),"",IF(COUNTIFS(BD!$B$3:$B$5001,Q$184,BD!$A$3:$A$5001,"&gt;="&amp;$C$7,BD!$A$3:$A$5001,"&lt;="&amp;$B202,BD!$L$3:$L$5001,"&lt;&gt;")=0,"",SUMIFS(BD!$L$3:$L$5001,BD!$B$3:$B$5001,Q$184,BD!$A$3:$A$5001,_xlfn.MAXIFS(BD!$A$3:$A$5001,BD!$B$3:$B$5001,Q$184,BD!$A$3:$A$5001,"&gt;="&amp;$C$7,BD!$A$3:$A$5001,"&lt;="&amp;$B202,BD!$L$3:$L$5001,"&lt;&gt;"))))</f>
        <v/>
      </c>
      <c r="R202" s="43" t="str">
        <f>IF(OR($B202="",$A202&gt;$B$9,R$184=""),"",IF(COUNTIFS(BD!$B$3:$B$5001,R$184,BD!$A$3:$A$5001,"&gt;="&amp;$C$7,BD!$A$3:$A$5001,"&lt;="&amp;$B202,BD!$L$3:$L$5001,"&lt;&gt;")=0,"",SUMIFS(BD!$L$3:$L$5001,BD!$B$3:$B$5001,R$184,BD!$A$3:$A$5001,_xlfn.MAXIFS(BD!$A$3:$A$5001,BD!$B$3:$B$5001,R$184,BD!$A$3:$A$5001,"&gt;="&amp;$C$7,BD!$A$3:$A$5001,"&lt;="&amp;$B202,BD!$L$3:$L$5001,"&lt;&gt;"))))</f>
        <v/>
      </c>
      <c r="S202" s="43" t="str">
        <f>IF(OR($B202="",$A202&gt;$B$9,S$184=""),"",IF(COUNTIFS(BD!$B$3:$B$5001,S$184,BD!$A$3:$A$5001,"&gt;="&amp;$C$7,BD!$A$3:$A$5001,"&lt;="&amp;$B202,BD!$L$3:$L$5001,"&lt;&gt;")=0,"",SUMIFS(BD!$L$3:$L$5001,BD!$B$3:$B$5001,S$184,BD!$A$3:$A$5001,_xlfn.MAXIFS(BD!$A$3:$A$5001,BD!$B$3:$B$5001,S$184,BD!$A$3:$A$5001,"&gt;="&amp;$C$7,BD!$A$3:$A$5001,"&lt;="&amp;$B202,BD!$L$3:$L$5001,"&lt;&gt;"))))</f>
        <v/>
      </c>
      <c r="T202" s="43" t="str">
        <f>IF(OR($B202="",$A202&gt;$B$9,T$184=""),"",IF(COUNTIFS(BD!$B$3:$B$5001,T$184,BD!$A$3:$A$5001,"&gt;="&amp;$C$7,BD!$A$3:$A$5001,"&lt;="&amp;$B202,BD!$L$3:$L$5001,"&lt;&gt;")=0,"",SUMIFS(BD!$L$3:$L$5001,BD!$B$3:$B$5001,T$184,BD!$A$3:$A$5001,_xlfn.MAXIFS(BD!$A$3:$A$5001,BD!$B$3:$B$5001,T$184,BD!$A$3:$A$5001,"&gt;="&amp;$C$7,BD!$A$3:$A$5001,"&lt;="&amp;$B202,BD!$L$3:$L$5001,"&lt;&gt;"))))</f>
        <v/>
      </c>
      <c r="U202" s="43" t="str">
        <f>IF(OR($B202="",$A202&gt;$B$9,U$184=""),"",IF(COUNTIFS(BD!$B$3:$B$5001,U$184,BD!$A$3:$A$5001,"&gt;="&amp;$C$7,BD!$A$3:$A$5001,"&lt;="&amp;$B202,BD!$L$3:$L$5001,"&lt;&gt;")=0,"",SUMIFS(BD!$L$3:$L$5001,BD!$B$3:$B$5001,U$184,BD!$A$3:$A$5001,_xlfn.MAXIFS(BD!$A$3:$A$5001,BD!$B$3:$B$5001,U$184,BD!$A$3:$A$5001,"&gt;="&amp;$C$7,BD!$A$3:$A$5001,"&lt;="&amp;$B202,BD!$L$3:$L$5001,"&lt;&gt;"))))</f>
        <v/>
      </c>
      <c r="V202" s="43" t="str">
        <f>IF(OR($B202="",$A202&gt;$B$9,V$184=""),"",IF(COUNTIFS(BD!$B$3:$B$5001,V$184,BD!$A$3:$A$5001,"&gt;="&amp;$C$7,BD!$A$3:$A$5001,"&lt;="&amp;$B202,BD!$L$3:$L$5001,"&lt;&gt;")=0,"",SUMIFS(BD!$L$3:$L$5001,BD!$B$3:$B$5001,V$184,BD!$A$3:$A$5001,_xlfn.MAXIFS(BD!$A$3:$A$5001,BD!$B$3:$B$5001,V$184,BD!$A$3:$A$5001,"&gt;="&amp;$C$7,BD!$A$3:$A$5001,"&lt;="&amp;$B202,BD!$L$3:$L$5001,"&lt;&gt;"))))</f>
        <v/>
      </c>
    </row>
    <row r="203">
      <c r="A203" s="38">
        <v>19</v>
      </c>
      <c r="B203" s="42">
        <f>$B$30</f>
        <v>46314</v>
      </c>
      <c r="C203" s="43" t="str">
        <f>IF(OR($B203="",$A203&gt;$B$9,C$184=""),"",IF(COUNTIFS(BD!$B$3:$B$5001,C$184,BD!$A$3:$A$5001,"&gt;="&amp;$C$7,BD!$A$3:$A$5001,"&lt;="&amp;$B203,BD!$L$3:$L$5001,"&lt;&gt;")=0,"",SUMIFS(BD!$L$3:$L$5001,BD!$B$3:$B$5001,C$184,BD!$A$3:$A$5001,_xlfn.MAXIFS(BD!$A$3:$A$5001,BD!$B$3:$B$5001,C$184,BD!$A$3:$A$5001,"&gt;="&amp;$C$7,BD!$A$3:$A$5001,"&lt;="&amp;$B203,BD!$L$3:$L$5001,"&lt;&gt;"))))</f>
        <v/>
      </c>
      <c r="D203" s="43" t="str">
        <f>IF(OR($B203="",$A203&gt;$B$9,D$184=""),"",IF(COUNTIFS(BD!$B$3:$B$5001,D$184,BD!$A$3:$A$5001,"&gt;="&amp;$C$7,BD!$A$3:$A$5001,"&lt;="&amp;$B203,BD!$L$3:$L$5001,"&lt;&gt;")=0,"",SUMIFS(BD!$L$3:$L$5001,BD!$B$3:$B$5001,D$184,BD!$A$3:$A$5001,_xlfn.MAXIFS(BD!$A$3:$A$5001,BD!$B$3:$B$5001,D$184,BD!$A$3:$A$5001,"&gt;="&amp;$C$7,BD!$A$3:$A$5001,"&lt;="&amp;$B203,BD!$L$3:$L$5001,"&lt;&gt;"))))</f>
        <v/>
      </c>
      <c r="E203" s="43" t="str">
        <f>IF(OR($B203="",$A203&gt;$B$9,E$184=""),"",IF(COUNTIFS(BD!$B$3:$B$5001,E$184,BD!$A$3:$A$5001,"&gt;="&amp;$C$7,BD!$A$3:$A$5001,"&lt;="&amp;$B203,BD!$L$3:$L$5001,"&lt;&gt;")=0,"",SUMIFS(BD!$L$3:$L$5001,BD!$B$3:$B$5001,E$184,BD!$A$3:$A$5001,_xlfn.MAXIFS(BD!$A$3:$A$5001,BD!$B$3:$B$5001,E$184,BD!$A$3:$A$5001,"&gt;="&amp;$C$7,BD!$A$3:$A$5001,"&lt;="&amp;$B203,BD!$L$3:$L$5001,"&lt;&gt;"))))</f>
        <v/>
      </c>
      <c r="F203" s="43" t="str">
        <f>IF(OR($B203="",$A203&gt;$B$9,F$184=""),"",IF(COUNTIFS(BD!$B$3:$B$5001,F$184,BD!$A$3:$A$5001,"&gt;="&amp;$C$7,BD!$A$3:$A$5001,"&lt;="&amp;$B203,BD!$L$3:$L$5001,"&lt;&gt;")=0,"",SUMIFS(BD!$L$3:$L$5001,BD!$B$3:$B$5001,F$184,BD!$A$3:$A$5001,_xlfn.MAXIFS(BD!$A$3:$A$5001,BD!$B$3:$B$5001,F$184,BD!$A$3:$A$5001,"&gt;="&amp;$C$7,BD!$A$3:$A$5001,"&lt;="&amp;$B203,BD!$L$3:$L$5001,"&lt;&gt;"))))</f>
        <v/>
      </c>
      <c r="G203" s="43" t="str">
        <f>IF(OR($B203="",$A203&gt;$B$9,G$184=""),"",IF(COUNTIFS(BD!$B$3:$B$5001,G$184,BD!$A$3:$A$5001,"&gt;="&amp;$C$7,BD!$A$3:$A$5001,"&lt;="&amp;$B203,BD!$L$3:$L$5001,"&lt;&gt;")=0,"",SUMIFS(BD!$L$3:$L$5001,BD!$B$3:$B$5001,G$184,BD!$A$3:$A$5001,_xlfn.MAXIFS(BD!$A$3:$A$5001,BD!$B$3:$B$5001,G$184,BD!$A$3:$A$5001,"&gt;="&amp;$C$7,BD!$A$3:$A$5001,"&lt;="&amp;$B203,BD!$L$3:$L$5001,"&lt;&gt;"))))</f>
        <v/>
      </c>
      <c r="H203" s="43" t="str">
        <f>IF(OR($B203="",$A203&gt;$B$9,H$184=""),"",IF(COUNTIFS(BD!$B$3:$B$5001,H$184,BD!$A$3:$A$5001,"&gt;="&amp;$C$7,BD!$A$3:$A$5001,"&lt;="&amp;$B203,BD!$L$3:$L$5001,"&lt;&gt;")=0,"",SUMIFS(BD!$L$3:$L$5001,BD!$B$3:$B$5001,H$184,BD!$A$3:$A$5001,_xlfn.MAXIFS(BD!$A$3:$A$5001,BD!$B$3:$B$5001,H$184,BD!$A$3:$A$5001,"&gt;="&amp;$C$7,BD!$A$3:$A$5001,"&lt;="&amp;$B203,BD!$L$3:$L$5001,"&lt;&gt;"))))</f>
        <v/>
      </c>
      <c r="I203" s="43" t="str">
        <f>IF(OR($B203="",$A203&gt;$B$9,I$184=""),"",IF(COUNTIFS(BD!$B$3:$B$5001,I$184,BD!$A$3:$A$5001,"&gt;="&amp;$C$7,BD!$A$3:$A$5001,"&lt;="&amp;$B203,BD!$L$3:$L$5001,"&lt;&gt;")=0,"",SUMIFS(BD!$L$3:$L$5001,BD!$B$3:$B$5001,I$184,BD!$A$3:$A$5001,_xlfn.MAXIFS(BD!$A$3:$A$5001,BD!$B$3:$B$5001,I$184,BD!$A$3:$A$5001,"&gt;="&amp;$C$7,BD!$A$3:$A$5001,"&lt;="&amp;$B203,BD!$L$3:$L$5001,"&lt;&gt;"))))</f>
        <v/>
      </c>
      <c r="J203" s="43" t="str">
        <f>IF(OR($B203="",$A203&gt;$B$9,J$184=""),"",IF(COUNTIFS(BD!$B$3:$B$5001,J$184,BD!$A$3:$A$5001,"&gt;="&amp;$C$7,BD!$A$3:$A$5001,"&lt;="&amp;$B203,BD!$L$3:$L$5001,"&lt;&gt;")=0,"",SUMIFS(BD!$L$3:$L$5001,BD!$B$3:$B$5001,J$184,BD!$A$3:$A$5001,_xlfn.MAXIFS(BD!$A$3:$A$5001,BD!$B$3:$B$5001,J$184,BD!$A$3:$A$5001,"&gt;="&amp;$C$7,BD!$A$3:$A$5001,"&lt;="&amp;$B203,BD!$L$3:$L$5001,"&lt;&gt;"))))</f>
        <v/>
      </c>
      <c r="K203" s="43" t="str">
        <f>IF(OR($B203="",$A203&gt;$B$9,K$184=""),"",IF(COUNTIFS(BD!$B$3:$B$5001,K$184,BD!$A$3:$A$5001,"&gt;="&amp;$C$7,BD!$A$3:$A$5001,"&lt;="&amp;$B203,BD!$L$3:$L$5001,"&lt;&gt;")=0,"",SUMIFS(BD!$L$3:$L$5001,BD!$B$3:$B$5001,K$184,BD!$A$3:$A$5001,_xlfn.MAXIFS(BD!$A$3:$A$5001,BD!$B$3:$B$5001,K$184,BD!$A$3:$A$5001,"&gt;="&amp;$C$7,BD!$A$3:$A$5001,"&lt;="&amp;$B203,BD!$L$3:$L$5001,"&lt;&gt;"))))</f>
        <v/>
      </c>
      <c r="L203" s="43" t="str">
        <f>IF(OR($B203="",$A203&gt;$B$9,L$184=""),"",IF(COUNTIFS(BD!$B$3:$B$5001,L$184,BD!$A$3:$A$5001,"&gt;="&amp;$C$7,BD!$A$3:$A$5001,"&lt;="&amp;$B203,BD!$L$3:$L$5001,"&lt;&gt;")=0,"",SUMIFS(BD!$L$3:$L$5001,BD!$B$3:$B$5001,L$184,BD!$A$3:$A$5001,_xlfn.MAXIFS(BD!$A$3:$A$5001,BD!$B$3:$B$5001,L$184,BD!$A$3:$A$5001,"&gt;="&amp;$C$7,BD!$A$3:$A$5001,"&lt;="&amp;$B203,BD!$L$3:$L$5001,"&lt;&gt;"))))</f>
        <v/>
      </c>
      <c r="M203" s="43" t="str">
        <f>IF(OR($B203="",$A203&gt;$B$9,M$184=""),"",IF(COUNTIFS(BD!$B$3:$B$5001,M$184,BD!$A$3:$A$5001,"&gt;="&amp;$C$7,BD!$A$3:$A$5001,"&lt;="&amp;$B203,BD!$L$3:$L$5001,"&lt;&gt;")=0,"",SUMIFS(BD!$L$3:$L$5001,BD!$B$3:$B$5001,M$184,BD!$A$3:$A$5001,_xlfn.MAXIFS(BD!$A$3:$A$5001,BD!$B$3:$B$5001,M$184,BD!$A$3:$A$5001,"&gt;="&amp;$C$7,BD!$A$3:$A$5001,"&lt;="&amp;$B203,BD!$L$3:$L$5001,"&lt;&gt;"))))</f>
        <v/>
      </c>
      <c r="N203" s="43" t="str">
        <f>IF(OR($B203="",$A203&gt;$B$9,N$184=""),"",IF(COUNTIFS(BD!$B$3:$B$5001,N$184,BD!$A$3:$A$5001,"&gt;="&amp;$C$7,BD!$A$3:$A$5001,"&lt;="&amp;$B203,BD!$L$3:$L$5001,"&lt;&gt;")=0,"",SUMIFS(BD!$L$3:$L$5001,BD!$B$3:$B$5001,N$184,BD!$A$3:$A$5001,_xlfn.MAXIFS(BD!$A$3:$A$5001,BD!$B$3:$B$5001,N$184,BD!$A$3:$A$5001,"&gt;="&amp;$C$7,BD!$A$3:$A$5001,"&lt;="&amp;$B203,BD!$L$3:$L$5001,"&lt;&gt;"))))</f>
        <v/>
      </c>
      <c r="O203" s="43" t="str">
        <f>IF(OR($B203="",$A203&gt;$B$9,O$184=""),"",IF(COUNTIFS(BD!$B$3:$B$5001,O$184,BD!$A$3:$A$5001,"&gt;="&amp;$C$7,BD!$A$3:$A$5001,"&lt;="&amp;$B203,BD!$L$3:$L$5001,"&lt;&gt;")=0,"",SUMIFS(BD!$L$3:$L$5001,BD!$B$3:$B$5001,O$184,BD!$A$3:$A$5001,_xlfn.MAXIFS(BD!$A$3:$A$5001,BD!$B$3:$B$5001,O$184,BD!$A$3:$A$5001,"&gt;="&amp;$C$7,BD!$A$3:$A$5001,"&lt;="&amp;$B203,BD!$L$3:$L$5001,"&lt;&gt;"))))</f>
        <v/>
      </c>
      <c r="P203" s="43" t="str">
        <f>IF(OR($B203="",$A203&gt;$B$9,P$184=""),"",IF(COUNTIFS(BD!$B$3:$B$5001,P$184,BD!$A$3:$A$5001,"&gt;="&amp;$C$7,BD!$A$3:$A$5001,"&lt;="&amp;$B203,BD!$L$3:$L$5001,"&lt;&gt;")=0,"",SUMIFS(BD!$L$3:$L$5001,BD!$B$3:$B$5001,P$184,BD!$A$3:$A$5001,_xlfn.MAXIFS(BD!$A$3:$A$5001,BD!$B$3:$B$5001,P$184,BD!$A$3:$A$5001,"&gt;="&amp;$C$7,BD!$A$3:$A$5001,"&lt;="&amp;$B203,BD!$L$3:$L$5001,"&lt;&gt;"))))</f>
        <v/>
      </c>
      <c r="Q203" s="43" t="str">
        <f>IF(OR($B203="",$A203&gt;$B$9,Q$184=""),"",IF(COUNTIFS(BD!$B$3:$B$5001,Q$184,BD!$A$3:$A$5001,"&gt;="&amp;$C$7,BD!$A$3:$A$5001,"&lt;="&amp;$B203,BD!$L$3:$L$5001,"&lt;&gt;")=0,"",SUMIFS(BD!$L$3:$L$5001,BD!$B$3:$B$5001,Q$184,BD!$A$3:$A$5001,_xlfn.MAXIFS(BD!$A$3:$A$5001,BD!$B$3:$B$5001,Q$184,BD!$A$3:$A$5001,"&gt;="&amp;$C$7,BD!$A$3:$A$5001,"&lt;="&amp;$B203,BD!$L$3:$L$5001,"&lt;&gt;"))))</f>
        <v/>
      </c>
      <c r="R203" s="43" t="str">
        <f>IF(OR($B203="",$A203&gt;$B$9,R$184=""),"",IF(COUNTIFS(BD!$B$3:$B$5001,R$184,BD!$A$3:$A$5001,"&gt;="&amp;$C$7,BD!$A$3:$A$5001,"&lt;="&amp;$B203,BD!$L$3:$L$5001,"&lt;&gt;")=0,"",SUMIFS(BD!$L$3:$L$5001,BD!$B$3:$B$5001,R$184,BD!$A$3:$A$5001,_xlfn.MAXIFS(BD!$A$3:$A$5001,BD!$B$3:$B$5001,R$184,BD!$A$3:$A$5001,"&gt;="&amp;$C$7,BD!$A$3:$A$5001,"&lt;="&amp;$B203,BD!$L$3:$L$5001,"&lt;&gt;"))))</f>
        <v/>
      </c>
      <c r="S203" s="43" t="str">
        <f>IF(OR($B203="",$A203&gt;$B$9,S$184=""),"",IF(COUNTIFS(BD!$B$3:$B$5001,S$184,BD!$A$3:$A$5001,"&gt;="&amp;$C$7,BD!$A$3:$A$5001,"&lt;="&amp;$B203,BD!$L$3:$L$5001,"&lt;&gt;")=0,"",SUMIFS(BD!$L$3:$L$5001,BD!$B$3:$B$5001,S$184,BD!$A$3:$A$5001,_xlfn.MAXIFS(BD!$A$3:$A$5001,BD!$B$3:$B$5001,S$184,BD!$A$3:$A$5001,"&gt;="&amp;$C$7,BD!$A$3:$A$5001,"&lt;="&amp;$B203,BD!$L$3:$L$5001,"&lt;&gt;"))))</f>
        <v/>
      </c>
      <c r="T203" s="43" t="str">
        <f>IF(OR($B203="",$A203&gt;$B$9,T$184=""),"",IF(COUNTIFS(BD!$B$3:$B$5001,T$184,BD!$A$3:$A$5001,"&gt;="&amp;$C$7,BD!$A$3:$A$5001,"&lt;="&amp;$B203,BD!$L$3:$L$5001,"&lt;&gt;")=0,"",SUMIFS(BD!$L$3:$L$5001,BD!$B$3:$B$5001,T$184,BD!$A$3:$A$5001,_xlfn.MAXIFS(BD!$A$3:$A$5001,BD!$B$3:$B$5001,T$184,BD!$A$3:$A$5001,"&gt;="&amp;$C$7,BD!$A$3:$A$5001,"&lt;="&amp;$B203,BD!$L$3:$L$5001,"&lt;&gt;"))))</f>
        <v/>
      </c>
      <c r="U203" s="43" t="str">
        <f>IF(OR($B203="",$A203&gt;$B$9,U$184=""),"",IF(COUNTIFS(BD!$B$3:$B$5001,U$184,BD!$A$3:$A$5001,"&gt;="&amp;$C$7,BD!$A$3:$A$5001,"&lt;="&amp;$B203,BD!$L$3:$L$5001,"&lt;&gt;")=0,"",SUMIFS(BD!$L$3:$L$5001,BD!$B$3:$B$5001,U$184,BD!$A$3:$A$5001,_xlfn.MAXIFS(BD!$A$3:$A$5001,BD!$B$3:$B$5001,U$184,BD!$A$3:$A$5001,"&gt;="&amp;$C$7,BD!$A$3:$A$5001,"&lt;="&amp;$B203,BD!$L$3:$L$5001,"&lt;&gt;"))))</f>
        <v/>
      </c>
      <c r="V203" s="43" t="str">
        <f>IF(OR($B203="",$A203&gt;$B$9,V$184=""),"",IF(COUNTIFS(BD!$B$3:$B$5001,V$184,BD!$A$3:$A$5001,"&gt;="&amp;$C$7,BD!$A$3:$A$5001,"&lt;="&amp;$B203,BD!$L$3:$L$5001,"&lt;&gt;")=0,"",SUMIFS(BD!$L$3:$L$5001,BD!$B$3:$B$5001,V$184,BD!$A$3:$A$5001,_xlfn.MAXIFS(BD!$A$3:$A$5001,BD!$B$3:$B$5001,V$184,BD!$A$3:$A$5001,"&gt;="&amp;$C$7,BD!$A$3:$A$5001,"&lt;="&amp;$B203,BD!$L$3:$L$5001,"&lt;&gt;"))))</f>
        <v/>
      </c>
    </row>
    <row r="204">
      <c r="A204" s="38">
        <v>20</v>
      </c>
      <c r="B204" s="42">
        <f>$B$31</f>
        <v>46315</v>
      </c>
      <c r="C204" s="43" t="str">
        <f>IF(OR($B204="",$A204&gt;$B$9,C$184=""),"",IF(COUNTIFS(BD!$B$3:$B$5001,C$184,BD!$A$3:$A$5001,"&gt;="&amp;$C$7,BD!$A$3:$A$5001,"&lt;="&amp;$B204,BD!$L$3:$L$5001,"&lt;&gt;")=0,"",SUMIFS(BD!$L$3:$L$5001,BD!$B$3:$B$5001,C$184,BD!$A$3:$A$5001,_xlfn.MAXIFS(BD!$A$3:$A$5001,BD!$B$3:$B$5001,C$184,BD!$A$3:$A$5001,"&gt;="&amp;$C$7,BD!$A$3:$A$5001,"&lt;="&amp;$B204,BD!$L$3:$L$5001,"&lt;&gt;"))))</f>
        <v/>
      </c>
      <c r="D204" s="43" t="str">
        <f>IF(OR($B204="",$A204&gt;$B$9,D$184=""),"",IF(COUNTIFS(BD!$B$3:$B$5001,D$184,BD!$A$3:$A$5001,"&gt;="&amp;$C$7,BD!$A$3:$A$5001,"&lt;="&amp;$B204,BD!$L$3:$L$5001,"&lt;&gt;")=0,"",SUMIFS(BD!$L$3:$L$5001,BD!$B$3:$B$5001,D$184,BD!$A$3:$A$5001,_xlfn.MAXIFS(BD!$A$3:$A$5001,BD!$B$3:$B$5001,D$184,BD!$A$3:$A$5001,"&gt;="&amp;$C$7,BD!$A$3:$A$5001,"&lt;="&amp;$B204,BD!$L$3:$L$5001,"&lt;&gt;"))))</f>
        <v/>
      </c>
      <c r="E204" s="43" t="str">
        <f>IF(OR($B204="",$A204&gt;$B$9,E$184=""),"",IF(COUNTIFS(BD!$B$3:$B$5001,E$184,BD!$A$3:$A$5001,"&gt;="&amp;$C$7,BD!$A$3:$A$5001,"&lt;="&amp;$B204,BD!$L$3:$L$5001,"&lt;&gt;")=0,"",SUMIFS(BD!$L$3:$L$5001,BD!$B$3:$B$5001,E$184,BD!$A$3:$A$5001,_xlfn.MAXIFS(BD!$A$3:$A$5001,BD!$B$3:$B$5001,E$184,BD!$A$3:$A$5001,"&gt;="&amp;$C$7,BD!$A$3:$A$5001,"&lt;="&amp;$B204,BD!$L$3:$L$5001,"&lt;&gt;"))))</f>
        <v/>
      </c>
      <c r="F204" s="43" t="str">
        <f>IF(OR($B204="",$A204&gt;$B$9,F$184=""),"",IF(COUNTIFS(BD!$B$3:$B$5001,F$184,BD!$A$3:$A$5001,"&gt;="&amp;$C$7,BD!$A$3:$A$5001,"&lt;="&amp;$B204,BD!$L$3:$L$5001,"&lt;&gt;")=0,"",SUMIFS(BD!$L$3:$L$5001,BD!$B$3:$B$5001,F$184,BD!$A$3:$A$5001,_xlfn.MAXIFS(BD!$A$3:$A$5001,BD!$B$3:$B$5001,F$184,BD!$A$3:$A$5001,"&gt;="&amp;$C$7,BD!$A$3:$A$5001,"&lt;="&amp;$B204,BD!$L$3:$L$5001,"&lt;&gt;"))))</f>
        <v/>
      </c>
      <c r="G204" s="43" t="str">
        <f>IF(OR($B204="",$A204&gt;$B$9,G$184=""),"",IF(COUNTIFS(BD!$B$3:$B$5001,G$184,BD!$A$3:$A$5001,"&gt;="&amp;$C$7,BD!$A$3:$A$5001,"&lt;="&amp;$B204,BD!$L$3:$L$5001,"&lt;&gt;")=0,"",SUMIFS(BD!$L$3:$L$5001,BD!$B$3:$B$5001,G$184,BD!$A$3:$A$5001,_xlfn.MAXIFS(BD!$A$3:$A$5001,BD!$B$3:$B$5001,G$184,BD!$A$3:$A$5001,"&gt;="&amp;$C$7,BD!$A$3:$A$5001,"&lt;="&amp;$B204,BD!$L$3:$L$5001,"&lt;&gt;"))))</f>
        <v/>
      </c>
      <c r="H204" s="43" t="str">
        <f>IF(OR($B204="",$A204&gt;$B$9,H$184=""),"",IF(COUNTIFS(BD!$B$3:$B$5001,H$184,BD!$A$3:$A$5001,"&gt;="&amp;$C$7,BD!$A$3:$A$5001,"&lt;="&amp;$B204,BD!$L$3:$L$5001,"&lt;&gt;")=0,"",SUMIFS(BD!$L$3:$L$5001,BD!$B$3:$B$5001,H$184,BD!$A$3:$A$5001,_xlfn.MAXIFS(BD!$A$3:$A$5001,BD!$B$3:$B$5001,H$184,BD!$A$3:$A$5001,"&gt;="&amp;$C$7,BD!$A$3:$A$5001,"&lt;="&amp;$B204,BD!$L$3:$L$5001,"&lt;&gt;"))))</f>
        <v/>
      </c>
      <c r="I204" s="43" t="str">
        <f>IF(OR($B204="",$A204&gt;$B$9,I$184=""),"",IF(COUNTIFS(BD!$B$3:$B$5001,I$184,BD!$A$3:$A$5001,"&gt;="&amp;$C$7,BD!$A$3:$A$5001,"&lt;="&amp;$B204,BD!$L$3:$L$5001,"&lt;&gt;")=0,"",SUMIFS(BD!$L$3:$L$5001,BD!$B$3:$B$5001,I$184,BD!$A$3:$A$5001,_xlfn.MAXIFS(BD!$A$3:$A$5001,BD!$B$3:$B$5001,I$184,BD!$A$3:$A$5001,"&gt;="&amp;$C$7,BD!$A$3:$A$5001,"&lt;="&amp;$B204,BD!$L$3:$L$5001,"&lt;&gt;"))))</f>
        <v/>
      </c>
      <c r="J204" s="43" t="str">
        <f>IF(OR($B204="",$A204&gt;$B$9,J$184=""),"",IF(COUNTIFS(BD!$B$3:$B$5001,J$184,BD!$A$3:$A$5001,"&gt;="&amp;$C$7,BD!$A$3:$A$5001,"&lt;="&amp;$B204,BD!$L$3:$L$5001,"&lt;&gt;")=0,"",SUMIFS(BD!$L$3:$L$5001,BD!$B$3:$B$5001,J$184,BD!$A$3:$A$5001,_xlfn.MAXIFS(BD!$A$3:$A$5001,BD!$B$3:$B$5001,J$184,BD!$A$3:$A$5001,"&gt;="&amp;$C$7,BD!$A$3:$A$5001,"&lt;="&amp;$B204,BD!$L$3:$L$5001,"&lt;&gt;"))))</f>
        <v/>
      </c>
      <c r="K204" s="43" t="str">
        <f>IF(OR($B204="",$A204&gt;$B$9,K$184=""),"",IF(COUNTIFS(BD!$B$3:$B$5001,K$184,BD!$A$3:$A$5001,"&gt;="&amp;$C$7,BD!$A$3:$A$5001,"&lt;="&amp;$B204,BD!$L$3:$L$5001,"&lt;&gt;")=0,"",SUMIFS(BD!$L$3:$L$5001,BD!$B$3:$B$5001,K$184,BD!$A$3:$A$5001,_xlfn.MAXIFS(BD!$A$3:$A$5001,BD!$B$3:$B$5001,K$184,BD!$A$3:$A$5001,"&gt;="&amp;$C$7,BD!$A$3:$A$5001,"&lt;="&amp;$B204,BD!$L$3:$L$5001,"&lt;&gt;"))))</f>
        <v/>
      </c>
      <c r="L204" s="43" t="str">
        <f>IF(OR($B204="",$A204&gt;$B$9,L$184=""),"",IF(COUNTIFS(BD!$B$3:$B$5001,L$184,BD!$A$3:$A$5001,"&gt;="&amp;$C$7,BD!$A$3:$A$5001,"&lt;="&amp;$B204,BD!$L$3:$L$5001,"&lt;&gt;")=0,"",SUMIFS(BD!$L$3:$L$5001,BD!$B$3:$B$5001,L$184,BD!$A$3:$A$5001,_xlfn.MAXIFS(BD!$A$3:$A$5001,BD!$B$3:$B$5001,L$184,BD!$A$3:$A$5001,"&gt;="&amp;$C$7,BD!$A$3:$A$5001,"&lt;="&amp;$B204,BD!$L$3:$L$5001,"&lt;&gt;"))))</f>
        <v/>
      </c>
      <c r="M204" s="43" t="str">
        <f>IF(OR($B204="",$A204&gt;$B$9,M$184=""),"",IF(COUNTIFS(BD!$B$3:$B$5001,M$184,BD!$A$3:$A$5001,"&gt;="&amp;$C$7,BD!$A$3:$A$5001,"&lt;="&amp;$B204,BD!$L$3:$L$5001,"&lt;&gt;")=0,"",SUMIFS(BD!$L$3:$L$5001,BD!$B$3:$B$5001,M$184,BD!$A$3:$A$5001,_xlfn.MAXIFS(BD!$A$3:$A$5001,BD!$B$3:$B$5001,M$184,BD!$A$3:$A$5001,"&gt;="&amp;$C$7,BD!$A$3:$A$5001,"&lt;="&amp;$B204,BD!$L$3:$L$5001,"&lt;&gt;"))))</f>
        <v/>
      </c>
      <c r="N204" s="43" t="str">
        <f>IF(OR($B204="",$A204&gt;$B$9,N$184=""),"",IF(COUNTIFS(BD!$B$3:$B$5001,N$184,BD!$A$3:$A$5001,"&gt;="&amp;$C$7,BD!$A$3:$A$5001,"&lt;="&amp;$B204,BD!$L$3:$L$5001,"&lt;&gt;")=0,"",SUMIFS(BD!$L$3:$L$5001,BD!$B$3:$B$5001,N$184,BD!$A$3:$A$5001,_xlfn.MAXIFS(BD!$A$3:$A$5001,BD!$B$3:$B$5001,N$184,BD!$A$3:$A$5001,"&gt;="&amp;$C$7,BD!$A$3:$A$5001,"&lt;="&amp;$B204,BD!$L$3:$L$5001,"&lt;&gt;"))))</f>
        <v/>
      </c>
      <c r="O204" s="43" t="str">
        <f>IF(OR($B204="",$A204&gt;$B$9,O$184=""),"",IF(COUNTIFS(BD!$B$3:$B$5001,O$184,BD!$A$3:$A$5001,"&gt;="&amp;$C$7,BD!$A$3:$A$5001,"&lt;="&amp;$B204,BD!$L$3:$L$5001,"&lt;&gt;")=0,"",SUMIFS(BD!$L$3:$L$5001,BD!$B$3:$B$5001,O$184,BD!$A$3:$A$5001,_xlfn.MAXIFS(BD!$A$3:$A$5001,BD!$B$3:$B$5001,O$184,BD!$A$3:$A$5001,"&gt;="&amp;$C$7,BD!$A$3:$A$5001,"&lt;="&amp;$B204,BD!$L$3:$L$5001,"&lt;&gt;"))))</f>
        <v/>
      </c>
      <c r="P204" s="43" t="str">
        <f>IF(OR($B204="",$A204&gt;$B$9,P$184=""),"",IF(COUNTIFS(BD!$B$3:$B$5001,P$184,BD!$A$3:$A$5001,"&gt;="&amp;$C$7,BD!$A$3:$A$5001,"&lt;="&amp;$B204,BD!$L$3:$L$5001,"&lt;&gt;")=0,"",SUMIFS(BD!$L$3:$L$5001,BD!$B$3:$B$5001,P$184,BD!$A$3:$A$5001,_xlfn.MAXIFS(BD!$A$3:$A$5001,BD!$B$3:$B$5001,P$184,BD!$A$3:$A$5001,"&gt;="&amp;$C$7,BD!$A$3:$A$5001,"&lt;="&amp;$B204,BD!$L$3:$L$5001,"&lt;&gt;"))))</f>
        <v/>
      </c>
      <c r="Q204" s="43" t="str">
        <f>IF(OR($B204="",$A204&gt;$B$9,Q$184=""),"",IF(COUNTIFS(BD!$B$3:$B$5001,Q$184,BD!$A$3:$A$5001,"&gt;="&amp;$C$7,BD!$A$3:$A$5001,"&lt;="&amp;$B204,BD!$L$3:$L$5001,"&lt;&gt;")=0,"",SUMIFS(BD!$L$3:$L$5001,BD!$B$3:$B$5001,Q$184,BD!$A$3:$A$5001,_xlfn.MAXIFS(BD!$A$3:$A$5001,BD!$B$3:$B$5001,Q$184,BD!$A$3:$A$5001,"&gt;="&amp;$C$7,BD!$A$3:$A$5001,"&lt;="&amp;$B204,BD!$L$3:$L$5001,"&lt;&gt;"))))</f>
        <v/>
      </c>
      <c r="R204" s="43" t="str">
        <f>IF(OR($B204="",$A204&gt;$B$9,R$184=""),"",IF(COUNTIFS(BD!$B$3:$B$5001,R$184,BD!$A$3:$A$5001,"&gt;="&amp;$C$7,BD!$A$3:$A$5001,"&lt;="&amp;$B204,BD!$L$3:$L$5001,"&lt;&gt;")=0,"",SUMIFS(BD!$L$3:$L$5001,BD!$B$3:$B$5001,R$184,BD!$A$3:$A$5001,_xlfn.MAXIFS(BD!$A$3:$A$5001,BD!$B$3:$B$5001,R$184,BD!$A$3:$A$5001,"&gt;="&amp;$C$7,BD!$A$3:$A$5001,"&lt;="&amp;$B204,BD!$L$3:$L$5001,"&lt;&gt;"))))</f>
        <v/>
      </c>
      <c r="S204" s="43" t="str">
        <f>IF(OR($B204="",$A204&gt;$B$9,S$184=""),"",IF(COUNTIFS(BD!$B$3:$B$5001,S$184,BD!$A$3:$A$5001,"&gt;="&amp;$C$7,BD!$A$3:$A$5001,"&lt;="&amp;$B204,BD!$L$3:$L$5001,"&lt;&gt;")=0,"",SUMIFS(BD!$L$3:$L$5001,BD!$B$3:$B$5001,S$184,BD!$A$3:$A$5001,_xlfn.MAXIFS(BD!$A$3:$A$5001,BD!$B$3:$B$5001,S$184,BD!$A$3:$A$5001,"&gt;="&amp;$C$7,BD!$A$3:$A$5001,"&lt;="&amp;$B204,BD!$L$3:$L$5001,"&lt;&gt;"))))</f>
        <v/>
      </c>
      <c r="T204" s="43" t="str">
        <f>IF(OR($B204="",$A204&gt;$B$9,T$184=""),"",IF(COUNTIFS(BD!$B$3:$B$5001,T$184,BD!$A$3:$A$5001,"&gt;="&amp;$C$7,BD!$A$3:$A$5001,"&lt;="&amp;$B204,BD!$L$3:$L$5001,"&lt;&gt;")=0,"",SUMIFS(BD!$L$3:$L$5001,BD!$B$3:$B$5001,T$184,BD!$A$3:$A$5001,_xlfn.MAXIFS(BD!$A$3:$A$5001,BD!$B$3:$B$5001,T$184,BD!$A$3:$A$5001,"&gt;="&amp;$C$7,BD!$A$3:$A$5001,"&lt;="&amp;$B204,BD!$L$3:$L$5001,"&lt;&gt;"))))</f>
        <v/>
      </c>
      <c r="U204" s="43" t="str">
        <f>IF(OR($B204="",$A204&gt;$B$9,U$184=""),"",IF(COUNTIFS(BD!$B$3:$B$5001,U$184,BD!$A$3:$A$5001,"&gt;="&amp;$C$7,BD!$A$3:$A$5001,"&lt;="&amp;$B204,BD!$L$3:$L$5001,"&lt;&gt;")=0,"",SUMIFS(BD!$L$3:$L$5001,BD!$B$3:$B$5001,U$184,BD!$A$3:$A$5001,_xlfn.MAXIFS(BD!$A$3:$A$5001,BD!$B$3:$B$5001,U$184,BD!$A$3:$A$5001,"&gt;="&amp;$C$7,BD!$A$3:$A$5001,"&lt;="&amp;$B204,BD!$L$3:$L$5001,"&lt;&gt;"))))</f>
        <v/>
      </c>
      <c r="V204" s="43" t="str">
        <f>IF(OR($B204="",$A204&gt;$B$9,V$184=""),"",IF(COUNTIFS(BD!$B$3:$B$5001,V$184,BD!$A$3:$A$5001,"&gt;="&amp;$C$7,BD!$A$3:$A$5001,"&lt;="&amp;$B204,BD!$L$3:$L$5001,"&lt;&gt;")=0,"",SUMIFS(BD!$L$3:$L$5001,BD!$B$3:$B$5001,V$184,BD!$A$3:$A$5001,_xlfn.MAXIFS(BD!$A$3:$A$5001,BD!$B$3:$B$5001,V$184,BD!$A$3:$A$5001,"&gt;="&amp;$C$7,BD!$A$3:$A$5001,"&lt;="&amp;$B204,BD!$L$3:$L$5001,"&lt;&gt;"))))</f>
        <v/>
      </c>
    </row>
    <row r="205">
      <c r="A205" s="38">
        <v>21</v>
      </c>
      <c r="B205" s="42">
        <f>$B$32</f>
        <v>46316</v>
      </c>
      <c r="C205" s="43" t="str">
        <f>IF(OR($B205="",$A205&gt;$B$9,C$184=""),"",IF(COUNTIFS(BD!$B$3:$B$5001,C$184,BD!$A$3:$A$5001,"&gt;="&amp;$C$7,BD!$A$3:$A$5001,"&lt;="&amp;$B205,BD!$L$3:$L$5001,"&lt;&gt;")=0,"",SUMIFS(BD!$L$3:$L$5001,BD!$B$3:$B$5001,C$184,BD!$A$3:$A$5001,_xlfn.MAXIFS(BD!$A$3:$A$5001,BD!$B$3:$B$5001,C$184,BD!$A$3:$A$5001,"&gt;="&amp;$C$7,BD!$A$3:$A$5001,"&lt;="&amp;$B205,BD!$L$3:$L$5001,"&lt;&gt;"))))</f>
        <v/>
      </c>
      <c r="D205" s="43" t="str">
        <f>IF(OR($B205="",$A205&gt;$B$9,D$184=""),"",IF(COUNTIFS(BD!$B$3:$B$5001,D$184,BD!$A$3:$A$5001,"&gt;="&amp;$C$7,BD!$A$3:$A$5001,"&lt;="&amp;$B205,BD!$L$3:$L$5001,"&lt;&gt;")=0,"",SUMIFS(BD!$L$3:$L$5001,BD!$B$3:$B$5001,D$184,BD!$A$3:$A$5001,_xlfn.MAXIFS(BD!$A$3:$A$5001,BD!$B$3:$B$5001,D$184,BD!$A$3:$A$5001,"&gt;="&amp;$C$7,BD!$A$3:$A$5001,"&lt;="&amp;$B205,BD!$L$3:$L$5001,"&lt;&gt;"))))</f>
        <v/>
      </c>
      <c r="E205" s="43" t="str">
        <f>IF(OR($B205="",$A205&gt;$B$9,E$184=""),"",IF(COUNTIFS(BD!$B$3:$B$5001,E$184,BD!$A$3:$A$5001,"&gt;="&amp;$C$7,BD!$A$3:$A$5001,"&lt;="&amp;$B205,BD!$L$3:$L$5001,"&lt;&gt;")=0,"",SUMIFS(BD!$L$3:$L$5001,BD!$B$3:$B$5001,E$184,BD!$A$3:$A$5001,_xlfn.MAXIFS(BD!$A$3:$A$5001,BD!$B$3:$B$5001,E$184,BD!$A$3:$A$5001,"&gt;="&amp;$C$7,BD!$A$3:$A$5001,"&lt;="&amp;$B205,BD!$L$3:$L$5001,"&lt;&gt;"))))</f>
        <v/>
      </c>
      <c r="F205" s="43" t="str">
        <f>IF(OR($B205="",$A205&gt;$B$9,F$184=""),"",IF(COUNTIFS(BD!$B$3:$B$5001,F$184,BD!$A$3:$A$5001,"&gt;="&amp;$C$7,BD!$A$3:$A$5001,"&lt;="&amp;$B205,BD!$L$3:$L$5001,"&lt;&gt;")=0,"",SUMIFS(BD!$L$3:$L$5001,BD!$B$3:$B$5001,F$184,BD!$A$3:$A$5001,_xlfn.MAXIFS(BD!$A$3:$A$5001,BD!$B$3:$B$5001,F$184,BD!$A$3:$A$5001,"&gt;="&amp;$C$7,BD!$A$3:$A$5001,"&lt;="&amp;$B205,BD!$L$3:$L$5001,"&lt;&gt;"))))</f>
        <v/>
      </c>
      <c r="G205" s="43" t="str">
        <f>IF(OR($B205="",$A205&gt;$B$9,G$184=""),"",IF(COUNTIFS(BD!$B$3:$B$5001,G$184,BD!$A$3:$A$5001,"&gt;="&amp;$C$7,BD!$A$3:$A$5001,"&lt;="&amp;$B205,BD!$L$3:$L$5001,"&lt;&gt;")=0,"",SUMIFS(BD!$L$3:$L$5001,BD!$B$3:$B$5001,G$184,BD!$A$3:$A$5001,_xlfn.MAXIFS(BD!$A$3:$A$5001,BD!$B$3:$B$5001,G$184,BD!$A$3:$A$5001,"&gt;="&amp;$C$7,BD!$A$3:$A$5001,"&lt;="&amp;$B205,BD!$L$3:$L$5001,"&lt;&gt;"))))</f>
        <v/>
      </c>
      <c r="H205" s="43" t="str">
        <f>IF(OR($B205="",$A205&gt;$B$9,H$184=""),"",IF(COUNTIFS(BD!$B$3:$B$5001,H$184,BD!$A$3:$A$5001,"&gt;="&amp;$C$7,BD!$A$3:$A$5001,"&lt;="&amp;$B205,BD!$L$3:$L$5001,"&lt;&gt;")=0,"",SUMIFS(BD!$L$3:$L$5001,BD!$B$3:$B$5001,H$184,BD!$A$3:$A$5001,_xlfn.MAXIFS(BD!$A$3:$A$5001,BD!$B$3:$B$5001,H$184,BD!$A$3:$A$5001,"&gt;="&amp;$C$7,BD!$A$3:$A$5001,"&lt;="&amp;$B205,BD!$L$3:$L$5001,"&lt;&gt;"))))</f>
        <v/>
      </c>
      <c r="I205" s="43" t="str">
        <f>IF(OR($B205="",$A205&gt;$B$9,I$184=""),"",IF(COUNTIFS(BD!$B$3:$B$5001,I$184,BD!$A$3:$A$5001,"&gt;="&amp;$C$7,BD!$A$3:$A$5001,"&lt;="&amp;$B205,BD!$L$3:$L$5001,"&lt;&gt;")=0,"",SUMIFS(BD!$L$3:$L$5001,BD!$B$3:$B$5001,I$184,BD!$A$3:$A$5001,_xlfn.MAXIFS(BD!$A$3:$A$5001,BD!$B$3:$B$5001,I$184,BD!$A$3:$A$5001,"&gt;="&amp;$C$7,BD!$A$3:$A$5001,"&lt;="&amp;$B205,BD!$L$3:$L$5001,"&lt;&gt;"))))</f>
        <v/>
      </c>
      <c r="J205" s="43" t="str">
        <f>IF(OR($B205="",$A205&gt;$B$9,J$184=""),"",IF(COUNTIFS(BD!$B$3:$B$5001,J$184,BD!$A$3:$A$5001,"&gt;="&amp;$C$7,BD!$A$3:$A$5001,"&lt;="&amp;$B205,BD!$L$3:$L$5001,"&lt;&gt;")=0,"",SUMIFS(BD!$L$3:$L$5001,BD!$B$3:$B$5001,J$184,BD!$A$3:$A$5001,_xlfn.MAXIFS(BD!$A$3:$A$5001,BD!$B$3:$B$5001,J$184,BD!$A$3:$A$5001,"&gt;="&amp;$C$7,BD!$A$3:$A$5001,"&lt;="&amp;$B205,BD!$L$3:$L$5001,"&lt;&gt;"))))</f>
        <v/>
      </c>
      <c r="K205" s="43" t="str">
        <f>IF(OR($B205="",$A205&gt;$B$9,K$184=""),"",IF(COUNTIFS(BD!$B$3:$B$5001,K$184,BD!$A$3:$A$5001,"&gt;="&amp;$C$7,BD!$A$3:$A$5001,"&lt;="&amp;$B205,BD!$L$3:$L$5001,"&lt;&gt;")=0,"",SUMIFS(BD!$L$3:$L$5001,BD!$B$3:$B$5001,K$184,BD!$A$3:$A$5001,_xlfn.MAXIFS(BD!$A$3:$A$5001,BD!$B$3:$B$5001,K$184,BD!$A$3:$A$5001,"&gt;="&amp;$C$7,BD!$A$3:$A$5001,"&lt;="&amp;$B205,BD!$L$3:$L$5001,"&lt;&gt;"))))</f>
        <v/>
      </c>
      <c r="L205" s="43" t="str">
        <f>IF(OR($B205="",$A205&gt;$B$9,L$184=""),"",IF(COUNTIFS(BD!$B$3:$B$5001,L$184,BD!$A$3:$A$5001,"&gt;="&amp;$C$7,BD!$A$3:$A$5001,"&lt;="&amp;$B205,BD!$L$3:$L$5001,"&lt;&gt;")=0,"",SUMIFS(BD!$L$3:$L$5001,BD!$B$3:$B$5001,L$184,BD!$A$3:$A$5001,_xlfn.MAXIFS(BD!$A$3:$A$5001,BD!$B$3:$B$5001,L$184,BD!$A$3:$A$5001,"&gt;="&amp;$C$7,BD!$A$3:$A$5001,"&lt;="&amp;$B205,BD!$L$3:$L$5001,"&lt;&gt;"))))</f>
        <v/>
      </c>
      <c r="M205" s="43" t="str">
        <f>IF(OR($B205="",$A205&gt;$B$9,M$184=""),"",IF(COUNTIFS(BD!$B$3:$B$5001,M$184,BD!$A$3:$A$5001,"&gt;="&amp;$C$7,BD!$A$3:$A$5001,"&lt;="&amp;$B205,BD!$L$3:$L$5001,"&lt;&gt;")=0,"",SUMIFS(BD!$L$3:$L$5001,BD!$B$3:$B$5001,M$184,BD!$A$3:$A$5001,_xlfn.MAXIFS(BD!$A$3:$A$5001,BD!$B$3:$B$5001,M$184,BD!$A$3:$A$5001,"&gt;="&amp;$C$7,BD!$A$3:$A$5001,"&lt;="&amp;$B205,BD!$L$3:$L$5001,"&lt;&gt;"))))</f>
        <v/>
      </c>
      <c r="N205" s="43" t="str">
        <f>IF(OR($B205="",$A205&gt;$B$9,N$184=""),"",IF(COUNTIFS(BD!$B$3:$B$5001,N$184,BD!$A$3:$A$5001,"&gt;="&amp;$C$7,BD!$A$3:$A$5001,"&lt;="&amp;$B205,BD!$L$3:$L$5001,"&lt;&gt;")=0,"",SUMIFS(BD!$L$3:$L$5001,BD!$B$3:$B$5001,N$184,BD!$A$3:$A$5001,_xlfn.MAXIFS(BD!$A$3:$A$5001,BD!$B$3:$B$5001,N$184,BD!$A$3:$A$5001,"&gt;="&amp;$C$7,BD!$A$3:$A$5001,"&lt;="&amp;$B205,BD!$L$3:$L$5001,"&lt;&gt;"))))</f>
        <v/>
      </c>
      <c r="O205" s="43" t="str">
        <f>IF(OR($B205="",$A205&gt;$B$9,O$184=""),"",IF(COUNTIFS(BD!$B$3:$B$5001,O$184,BD!$A$3:$A$5001,"&gt;="&amp;$C$7,BD!$A$3:$A$5001,"&lt;="&amp;$B205,BD!$L$3:$L$5001,"&lt;&gt;")=0,"",SUMIFS(BD!$L$3:$L$5001,BD!$B$3:$B$5001,O$184,BD!$A$3:$A$5001,_xlfn.MAXIFS(BD!$A$3:$A$5001,BD!$B$3:$B$5001,O$184,BD!$A$3:$A$5001,"&gt;="&amp;$C$7,BD!$A$3:$A$5001,"&lt;="&amp;$B205,BD!$L$3:$L$5001,"&lt;&gt;"))))</f>
        <v/>
      </c>
      <c r="P205" s="43" t="str">
        <f>IF(OR($B205="",$A205&gt;$B$9,P$184=""),"",IF(COUNTIFS(BD!$B$3:$B$5001,P$184,BD!$A$3:$A$5001,"&gt;="&amp;$C$7,BD!$A$3:$A$5001,"&lt;="&amp;$B205,BD!$L$3:$L$5001,"&lt;&gt;")=0,"",SUMIFS(BD!$L$3:$L$5001,BD!$B$3:$B$5001,P$184,BD!$A$3:$A$5001,_xlfn.MAXIFS(BD!$A$3:$A$5001,BD!$B$3:$B$5001,P$184,BD!$A$3:$A$5001,"&gt;="&amp;$C$7,BD!$A$3:$A$5001,"&lt;="&amp;$B205,BD!$L$3:$L$5001,"&lt;&gt;"))))</f>
        <v/>
      </c>
      <c r="Q205" s="43" t="str">
        <f>IF(OR($B205="",$A205&gt;$B$9,Q$184=""),"",IF(COUNTIFS(BD!$B$3:$B$5001,Q$184,BD!$A$3:$A$5001,"&gt;="&amp;$C$7,BD!$A$3:$A$5001,"&lt;="&amp;$B205,BD!$L$3:$L$5001,"&lt;&gt;")=0,"",SUMIFS(BD!$L$3:$L$5001,BD!$B$3:$B$5001,Q$184,BD!$A$3:$A$5001,_xlfn.MAXIFS(BD!$A$3:$A$5001,BD!$B$3:$B$5001,Q$184,BD!$A$3:$A$5001,"&gt;="&amp;$C$7,BD!$A$3:$A$5001,"&lt;="&amp;$B205,BD!$L$3:$L$5001,"&lt;&gt;"))))</f>
        <v/>
      </c>
      <c r="R205" s="43" t="str">
        <f>IF(OR($B205="",$A205&gt;$B$9,R$184=""),"",IF(COUNTIFS(BD!$B$3:$B$5001,R$184,BD!$A$3:$A$5001,"&gt;="&amp;$C$7,BD!$A$3:$A$5001,"&lt;="&amp;$B205,BD!$L$3:$L$5001,"&lt;&gt;")=0,"",SUMIFS(BD!$L$3:$L$5001,BD!$B$3:$B$5001,R$184,BD!$A$3:$A$5001,_xlfn.MAXIFS(BD!$A$3:$A$5001,BD!$B$3:$B$5001,R$184,BD!$A$3:$A$5001,"&gt;="&amp;$C$7,BD!$A$3:$A$5001,"&lt;="&amp;$B205,BD!$L$3:$L$5001,"&lt;&gt;"))))</f>
        <v/>
      </c>
      <c r="S205" s="43" t="str">
        <f>IF(OR($B205="",$A205&gt;$B$9,S$184=""),"",IF(COUNTIFS(BD!$B$3:$B$5001,S$184,BD!$A$3:$A$5001,"&gt;="&amp;$C$7,BD!$A$3:$A$5001,"&lt;="&amp;$B205,BD!$L$3:$L$5001,"&lt;&gt;")=0,"",SUMIFS(BD!$L$3:$L$5001,BD!$B$3:$B$5001,S$184,BD!$A$3:$A$5001,_xlfn.MAXIFS(BD!$A$3:$A$5001,BD!$B$3:$B$5001,S$184,BD!$A$3:$A$5001,"&gt;="&amp;$C$7,BD!$A$3:$A$5001,"&lt;="&amp;$B205,BD!$L$3:$L$5001,"&lt;&gt;"))))</f>
        <v/>
      </c>
      <c r="T205" s="43" t="str">
        <f>IF(OR($B205="",$A205&gt;$B$9,T$184=""),"",IF(COUNTIFS(BD!$B$3:$B$5001,T$184,BD!$A$3:$A$5001,"&gt;="&amp;$C$7,BD!$A$3:$A$5001,"&lt;="&amp;$B205,BD!$L$3:$L$5001,"&lt;&gt;")=0,"",SUMIFS(BD!$L$3:$L$5001,BD!$B$3:$B$5001,T$184,BD!$A$3:$A$5001,_xlfn.MAXIFS(BD!$A$3:$A$5001,BD!$B$3:$B$5001,T$184,BD!$A$3:$A$5001,"&gt;="&amp;$C$7,BD!$A$3:$A$5001,"&lt;="&amp;$B205,BD!$L$3:$L$5001,"&lt;&gt;"))))</f>
        <v/>
      </c>
      <c r="U205" s="43" t="str">
        <f>IF(OR($B205="",$A205&gt;$B$9,U$184=""),"",IF(COUNTIFS(BD!$B$3:$B$5001,U$184,BD!$A$3:$A$5001,"&gt;="&amp;$C$7,BD!$A$3:$A$5001,"&lt;="&amp;$B205,BD!$L$3:$L$5001,"&lt;&gt;")=0,"",SUMIFS(BD!$L$3:$L$5001,BD!$B$3:$B$5001,U$184,BD!$A$3:$A$5001,_xlfn.MAXIFS(BD!$A$3:$A$5001,BD!$B$3:$B$5001,U$184,BD!$A$3:$A$5001,"&gt;="&amp;$C$7,BD!$A$3:$A$5001,"&lt;="&amp;$B205,BD!$L$3:$L$5001,"&lt;&gt;"))))</f>
        <v/>
      </c>
      <c r="V205" s="43" t="str">
        <f>IF(OR($B205="",$A205&gt;$B$9,V$184=""),"",IF(COUNTIFS(BD!$B$3:$B$5001,V$184,BD!$A$3:$A$5001,"&gt;="&amp;$C$7,BD!$A$3:$A$5001,"&lt;="&amp;$B205,BD!$L$3:$L$5001,"&lt;&gt;")=0,"",SUMIFS(BD!$L$3:$L$5001,BD!$B$3:$B$5001,V$184,BD!$A$3:$A$5001,_xlfn.MAXIFS(BD!$A$3:$A$5001,BD!$B$3:$B$5001,V$184,BD!$A$3:$A$5001,"&gt;="&amp;$C$7,BD!$A$3:$A$5001,"&lt;="&amp;$B205,BD!$L$3:$L$5001,"&lt;&gt;"))))</f>
        <v/>
      </c>
    </row>
    <row r="206">
      <c r="A206" s="38">
        <v>22</v>
      </c>
      <c r="B206" s="42">
        <f>$B$33</f>
        <v>46317</v>
      </c>
      <c r="C206" s="43" t="str">
        <f>IF(OR($B206="",$A206&gt;$B$9,C$184=""),"",IF(COUNTIFS(BD!$B$3:$B$5001,C$184,BD!$A$3:$A$5001,"&gt;="&amp;$C$7,BD!$A$3:$A$5001,"&lt;="&amp;$B206,BD!$L$3:$L$5001,"&lt;&gt;")=0,"",SUMIFS(BD!$L$3:$L$5001,BD!$B$3:$B$5001,C$184,BD!$A$3:$A$5001,_xlfn.MAXIFS(BD!$A$3:$A$5001,BD!$B$3:$B$5001,C$184,BD!$A$3:$A$5001,"&gt;="&amp;$C$7,BD!$A$3:$A$5001,"&lt;="&amp;$B206,BD!$L$3:$L$5001,"&lt;&gt;"))))</f>
        <v/>
      </c>
      <c r="D206" s="43" t="str">
        <f>IF(OR($B206="",$A206&gt;$B$9,D$184=""),"",IF(COUNTIFS(BD!$B$3:$B$5001,D$184,BD!$A$3:$A$5001,"&gt;="&amp;$C$7,BD!$A$3:$A$5001,"&lt;="&amp;$B206,BD!$L$3:$L$5001,"&lt;&gt;")=0,"",SUMIFS(BD!$L$3:$L$5001,BD!$B$3:$B$5001,D$184,BD!$A$3:$A$5001,_xlfn.MAXIFS(BD!$A$3:$A$5001,BD!$B$3:$B$5001,D$184,BD!$A$3:$A$5001,"&gt;="&amp;$C$7,BD!$A$3:$A$5001,"&lt;="&amp;$B206,BD!$L$3:$L$5001,"&lt;&gt;"))))</f>
        <v/>
      </c>
      <c r="E206" s="43" t="str">
        <f>IF(OR($B206="",$A206&gt;$B$9,E$184=""),"",IF(COUNTIFS(BD!$B$3:$B$5001,E$184,BD!$A$3:$A$5001,"&gt;="&amp;$C$7,BD!$A$3:$A$5001,"&lt;="&amp;$B206,BD!$L$3:$L$5001,"&lt;&gt;")=0,"",SUMIFS(BD!$L$3:$L$5001,BD!$B$3:$B$5001,E$184,BD!$A$3:$A$5001,_xlfn.MAXIFS(BD!$A$3:$A$5001,BD!$B$3:$B$5001,E$184,BD!$A$3:$A$5001,"&gt;="&amp;$C$7,BD!$A$3:$A$5001,"&lt;="&amp;$B206,BD!$L$3:$L$5001,"&lt;&gt;"))))</f>
        <v/>
      </c>
      <c r="F206" s="43" t="str">
        <f>IF(OR($B206="",$A206&gt;$B$9,F$184=""),"",IF(COUNTIFS(BD!$B$3:$B$5001,F$184,BD!$A$3:$A$5001,"&gt;="&amp;$C$7,BD!$A$3:$A$5001,"&lt;="&amp;$B206,BD!$L$3:$L$5001,"&lt;&gt;")=0,"",SUMIFS(BD!$L$3:$L$5001,BD!$B$3:$B$5001,F$184,BD!$A$3:$A$5001,_xlfn.MAXIFS(BD!$A$3:$A$5001,BD!$B$3:$B$5001,F$184,BD!$A$3:$A$5001,"&gt;="&amp;$C$7,BD!$A$3:$A$5001,"&lt;="&amp;$B206,BD!$L$3:$L$5001,"&lt;&gt;"))))</f>
        <v/>
      </c>
      <c r="G206" s="43" t="str">
        <f>IF(OR($B206="",$A206&gt;$B$9,G$184=""),"",IF(COUNTIFS(BD!$B$3:$B$5001,G$184,BD!$A$3:$A$5001,"&gt;="&amp;$C$7,BD!$A$3:$A$5001,"&lt;="&amp;$B206,BD!$L$3:$L$5001,"&lt;&gt;")=0,"",SUMIFS(BD!$L$3:$L$5001,BD!$B$3:$B$5001,G$184,BD!$A$3:$A$5001,_xlfn.MAXIFS(BD!$A$3:$A$5001,BD!$B$3:$B$5001,G$184,BD!$A$3:$A$5001,"&gt;="&amp;$C$7,BD!$A$3:$A$5001,"&lt;="&amp;$B206,BD!$L$3:$L$5001,"&lt;&gt;"))))</f>
        <v/>
      </c>
      <c r="H206" s="43" t="str">
        <f>IF(OR($B206="",$A206&gt;$B$9,H$184=""),"",IF(COUNTIFS(BD!$B$3:$B$5001,H$184,BD!$A$3:$A$5001,"&gt;="&amp;$C$7,BD!$A$3:$A$5001,"&lt;="&amp;$B206,BD!$L$3:$L$5001,"&lt;&gt;")=0,"",SUMIFS(BD!$L$3:$L$5001,BD!$B$3:$B$5001,H$184,BD!$A$3:$A$5001,_xlfn.MAXIFS(BD!$A$3:$A$5001,BD!$B$3:$B$5001,H$184,BD!$A$3:$A$5001,"&gt;="&amp;$C$7,BD!$A$3:$A$5001,"&lt;="&amp;$B206,BD!$L$3:$L$5001,"&lt;&gt;"))))</f>
        <v/>
      </c>
      <c r="I206" s="43" t="str">
        <f>IF(OR($B206="",$A206&gt;$B$9,I$184=""),"",IF(COUNTIFS(BD!$B$3:$B$5001,I$184,BD!$A$3:$A$5001,"&gt;="&amp;$C$7,BD!$A$3:$A$5001,"&lt;="&amp;$B206,BD!$L$3:$L$5001,"&lt;&gt;")=0,"",SUMIFS(BD!$L$3:$L$5001,BD!$B$3:$B$5001,I$184,BD!$A$3:$A$5001,_xlfn.MAXIFS(BD!$A$3:$A$5001,BD!$B$3:$B$5001,I$184,BD!$A$3:$A$5001,"&gt;="&amp;$C$7,BD!$A$3:$A$5001,"&lt;="&amp;$B206,BD!$L$3:$L$5001,"&lt;&gt;"))))</f>
        <v/>
      </c>
      <c r="J206" s="43" t="str">
        <f>IF(OR($B206="",$A206&gt;$B$9,J$184=""),"",IF(COUNTIFS(BD!$B$3:$B$5001,J$184,BD!$A$3:$A$5001,"&gt;="&amp;$C$7,BD!$A$3:$A$5001,"&lt;="&amp;$B206,BD!$L$3:$L$5001,"&lt;&gt;")=0,"",SUMIFS(BD!$L$3:$L$5001,BD!$B$3:$B$5001,J$184,BD!$A$3:$A$5001,_xlfn.MAXIFS(BD!$A$3:$A$5001,BD!$B$3:$B$5001,J$184,BD!$A$3:$A$5001,"&gt;="&amp;$C$7,BD!$A$3:$A$5001,"&lt;="&amp;$B206,BD!$L$3:$L$5001,"&lt;&gt;"))))</f>
        <v/>
      </c>
      <c r="K206" s="43" t="str">
        <f>IF(OR($B206="",$A206&gt;$B$9,K$184=""),"",IF(COUNTIFS(BD!$B$3:$B$5001,K$184,BD!$A$3:$A$5001,"&gt;="&amp;$C$7,BD!$A$3:$A$5001,"&lt;="&amp;$B206,BD!$L$3:$L$5001,"&lt;&gt;")=0,"",SUMIFS(BD!$L$3:$L$5001,BD!$B$3:$B$5001,K$184,BD!$A$3:$A$5001,_xlfn.MAXIFS(BD!$A$3:$A$5001,BD!$B$3:$B$5001,K$184,BD!$A$3:$A$5001,"&gt;="&amp;$C$7,BD!$A$3:$A$5001,"&lt;="&amp;$B206,BD!$L$3:$L$5001,"&lt;&gt;"))))</f>
        <v/>
      </c>
      <c r="L206" s="43" t="str">
        <f>IF(OR($B206="",$A206&gt;$B$9,L$184=""),"",IF(COUNTIFS(BD!$B$3:$B$5001,L$184,BD!$A$3:$A$5001,"&gt;="&amp;$C$7,BD!$A$3:$A$5001,"&lt;="&amp;$B206,BD!$L$3:$L$5001,"&lt;&gt;")=0,"",SUMIFS(BD!$L$3:$L$5001,BD!$B$3:$B$5001,L$184,BD!$A$3:$A$5001,_xlfn.MAXIFS(BD!$A$3:$A$5001,BD!$B$3:$B$5001,L$184,BD!$A$3:$A$5001,"&gt;="&amp;$C$7,BD!$A$3:$A$5001,"&lt;="&amp;$B206,BD!$L$3:$L$5001,"&lt;&gt;"))))</f>
        <v/>
      </c>
      <c r="M206" s="43" t="str">
        <f>IF(OR($B206="",$A206&gt;$B$9,M$184=""),"",IF(COUNTIFS(BD!$B$3:$B$5001,M$184,BD!$A$3:$A$5001,"&gt;="&amp;$C$7,BD!$A$3:$A$5001,"&lt;="&amp;$B206,BD!$L$3:$L$5001,"&lt;&gt;")=0,"",SUMIFS(BD!$L$3:$L$5001,BD!$B$3:$B$5001,M$184,BD!$A$3:$A$5001,_xlfn.MAXIFS(BD!$A$3:$A$5001,BD!$B$3:$B$5001,M$184,BD!$A$3:$A$5001,"&gt;="&amp;$C$7,BD!$A$3:$A$5001,"&lt;="&amp;$B206,BD!$L$3:$L$5001,"&lt;&gt;"))))</f>
        <v/>
      </c>
      <c r="N206" s="43" t="str">
        <f>IF(OR($B206="",$A206&gt;$B$9,N$184=""),"",IF(COUNTIFS(BD!$B$3:$B$5001,N$184,BD!$A$3:$A$5001,"&gt;="&amp;$C$7,BD!$A$3:$A$5001,"&lt;="&amp;$B206,BD!$L$3:$L$5001,"&lt;&gt;")=0,"",SUMIFS(BD!$L$3:$L$5001,BD!$B$3:$B$5001,N$184,BD!$A$3:$A$5001,_xlfn.MAXIFS(BD!$A$3:$A$5001,BD!$B$3:$B$5001,N$184,BD!$A$3:$A$5001,"&gt;="&amp;$C$7,BD!$A$3:$A$5001,"&lt;="&amp;$B206,BD!$L$3:$L$5001,"&lt;&gt;"))))</f>
        <v/>
      </c>
      <c r="O206" s="43" t="str">
        <f>IF(OR($B206="",$A206&gt;$B$9,O$184=""),"",IF(COUNTIFS(BD!$B$3:$B$5001,O$184,BD!$A$3:$A$5001,"&gt;="&amp;$C$7,BD!$A$3:$A$5001,"&lt;="&amp;$B206,BD!$L$3:$L$5001,"&lt;&gt;")=0,"",SUMIFS(BD!$L$3:$L$5001,BD!$B$3:$B$5001,O$184,BD!$A$3:$A$5001,_xlfn.MAXIFS(BD!$A$3:$A$5001,BD!$B$3:$B$5001,O$184,BD!$A$3:$A$5001,"&gt;="&amp;$C$7,BD!$A$3:$A$5001,"&lt;="&amp;$B206,BD!$L$3:$L$5001,"&lt;&gt;"))))</f>
        <v/>
      </c>
      <c r="P206" s="43" t="str">
        <f>IF(OR($B206="",$A206&gt;$B$9,P$184=""),"",IF(COUNTIFS(BD!$B$3:$B$5001,P$184,BD!$A$3:$A$5001,"&gt;="&amp;$C$7,BD!$A$3:$A$5001,"&lt;="&amp;$B206,BD!$L$3:$L$5001,"&lt;&gt;")=0,"",SUMIFS(BD!$L$3:$L$5001,BD!$B$3:$B$5001,P$184,BD!$A$3:$A$5001,_xlfn.MAXIFS(BD!$A$3:$A$5001,BD!$B$3:$B$5001,P$184,BD!$A$3:$A$5001,"&gt;="&amp;$C$7,BD!$A$3:$A$5001,"&lt;="&amp;$B206,BD!$L$3:$L$5001,"&lt;&gt;"))))</f>
        <v/>
      </c>
      <c r="Q206" s="43" t="str">
        <f>IF(OR($B206="",$A206&gt;$B$9,Q$184=""),"",IF(COUNTIFS(BD!$B$3:$B$5001,Q$184,BD!$A$3:$A$5001,"&gt;="&amp;$C$7,BD!$A$3:$A$5001,"&lt;="&amp;$B206,BD!$L$3:$L$5001,"&lt;&gt;")=0,"",SUMIFS(BD!$L$3:$L$5001,BD!$B$3:$B$5001,Q$184,BD!$A$3:$A$5001,_xlfn.MAXIFS(BD!$A$3:$A$5001,BD!$B$3:$B$5001,Q$184,BD!$A$3:$A$5001,"&gt;="&amp;$C$7,BD!$A$3:$A$5001,"&lt;="&amp;$B206,BD!$L$3:$L$5001,"&lt;&gt;"))))</f>
        <v/>
      </c>
      <c r="R206" s="43" t="str">
        <f>IF(OR($B206="",$A206&gt;$B$9,R$184=""),"",IF(COUNTIFS(BD!$B$3:$B$5001,R$184,BD!$A$3:$A$5001,"&gt;="&amp;$C$7,BD!$A$3:$A$5001,"&lt;="&amp;$B206,BD!$L$3:$L$5001,"&lt;&gt;")=0,"",SUMIFS(BD!$L$3:$L$5001,BD!$B$3:$B$5001,R$184,BD!$A$3:$A$5001,_xlfn.MAXIFS(BD!$A$3:$A$5001,BD!$B$3:$B$5001,R$184,BD!$A$3:$A$5001,"&gt;="&amp;$C$7,BD!$A$3:$A$5001,"&lt;="&amp;$B206,BD!$L$3:$L$5001,"&lt;&gt;"))))</f>
        <v/>
      </c>
      <c r="S206" s="43" t="str">
        <f>IF(OR($B206="",$A206&gt;$B$9,S$184=""),"",IF(COUNTIFS(BD!$B$3:$B$5001,S$184,BD!$A$3:$A$5001,"&gt;="&amp;$C$7,BD!$A$3:$A$5001,"&lt;="&amp;$B206,BD!$L$3:$L$5001,"&lt;&gt;")=0,"",SUMIFS(BD!$L$3:$L$5001,BD!$B$3:$B$5001,S$184,BD!$A$3:$A$5001,_xlfn.MAXIFS(BD!$A$3:$A$5001,BD!$B$3:$B$5001,S$184,BD!$A$3:$A$5001,"&gt;="&amp;$C$7,BD!$A$3:$A$5001,"&lt;="&amp;$B206,BD!$L$3:$L$5001,"&lt;&gt;"))))</f>
        <v/>
      </c>
      <c r="T206" s="43" t="str">
        <f>IF(OR($B206="",$A206&gt;$B$9,T$184=""),"",IF(COUNTIFS(BD!$B$3:$B$5001,T$184,BD!$A$3:$A$5001,"&gt;="&amp;$C$7,BD!$A$3:$A$5001,"&lt;="&amp;$B206,BD!$L$3:$L$5001,"&lt;&gt;")=0,"",SUMIFS(BD!$L$3:$L$5001,BD!$B$3:$B$5001,T$184,BD!$A$3:$A$5001,_xlfn.MAXIFS(BD!$A$3:$A$5001,BD!$B$3:$B$5001,T$184,BD!$A$3:$A$5001,"&gt;="&amp;$C$7,BD!$A$3:$A$5001,"&lt;="&amp;$B206,BD!$L$3:$L$5001,"&lt;&gt;"))))</f>
        <v/>
      </c>
      <c r="U206" s="43" t="str">
        <f>IF(OR($B206="",$A206&gt;$B$9,U$184=""),"",IF(COUNTIFS(BD!$B$3:$B$5001,U$184,BD!$A$3:$A$5001,"&gt;="&amp;$C$7,BD!$A$3:$A$5001,"&lt;="&amp;$B206,BD!$L$3:$L$5001,"&lt;&gt;")=0,"",SUMIFS(BD!$L$3:$L$5001,BD!$B$3:$B$5001,U$184,BD!$A$3:$A$5001,_xlfn.MAXIFS(BD!$A$3:$A$5001,BD!$B$3:$B$5001,U$184,BD!$A$3:$A$5001,"&gt;="&amp;$C$7,BD!$A$3:$A$5001,"&lt;="&amp;$B206,BD!$L$3:$L$5001,"&lt;&gt;"))))</f>
        <v/>
      </c>
      <c r="V206" s="43" t="str">
        <f>IF(OR($B206="",$A206&gt;$B$9,V$184=""),"",IF(COUNTIFS(BD!$B$3:$B$5001,V$184,BD!$A$3:$A$5001,"&gt;="&amp;$C$7,BD!$A$3:$A$5001,"&lt;="&amp;$B206,BD!$L$3:$L$5001,"&lt;&gt;")=0,"",SUMIFS(BD!$L$3:$L$5001,BD!$B$3:$B$5001,V$184,BD!$A$3:$A$5001,_xlfn.MAXIFS(BD!$A$3:$A$5001,BD!$B$3:$B$5001,V$184,BD!$A$3:$A$5001,"&gt;="&amp;$C$7,BD!$A$3:$A$5001,"&lt;="&amp;$B206,BD!$L$3:$L$5001,"&lt;&gt;"))))</f>
        <v/>
      </c>
    </row>
    <row r="207">
      <c r="A207" s="38">
        <v>23</v>
      </c>
      <c r="B207" s="42">
        <f>$B$34</f>
        <v>46318</v>
      </c>
      <c r="C207" s="43" t="str">
        <f>IF(OR($B207="",$A207&gt;$B$9,C$184=""),"",IF(COUNTIFS(BD!$B$3:$B$5001,C$184,BD!$A$3:$A$5001,"&gt;="&amp;$C$7,BD!$A$3:$A$5001,"&lt;="&amp;$B207,BD!$L$3:$L$5001,"&lt;&gt;")=0,"",SUMIFS(BD!$L$3:$L$5001,BD!$B$3:$B$5001,C$184,BD!$A$3:$A$5001,_xlfn.MAXIFS(BD!$A$3:$A$5001,BD!$B$3:$B$5001,C$184,BD!$A$3:$A$5001,"&gt;="&amp;$C$7,BD!$A$3:$A$5001,"&lt;="&amp;$B207,BD!$L$3:$L$5001,"&lt;&gt;"))))</f>
        <v/>
      </c>
      <c r="D207" s="43" t="str">
        <f>IF(OR($B207="",$A207&gt;$B$9,D$184=""),"",IF(COUNTIFS(BD!$B$3:$B$5001,D$184,BD!$A$3:$A$5001,"&gt;="&amp;$C$7,BD!$A$3:$A$5001,"&lt;="&amp;$B207,BD!$L$3:$L$5001,"&lt;&gt;")=0,"",SUMIFS(BD!$L$3:$L$5001,BD!$B$3:$B$5001,D$184,BD!$A$3:$A$5001,_xlfn.MAXIFS(BD!$A$3:$A$5001,BD!$B$3:$B$5001,D$184,BD!$A$3:$A$5001,"&gt;="&amp;$C$7,BD!$A$3:$A$5001,"&lt;="&amp;$B207,BD!$L$3:$L$5001,"&lt;&gt;"))))</f>
        <v/>
      </c>
      <c r="E207" s="43" t="str">
        <f>IF(OR($B207="",$A207&gt;$B$9,E$184=""),"",IF(COUNTIFS(BD!$B$3:$B$5001,E$184,BD!$A$3:$A$5001,"&gt;="&amp;$C$7,BD!$A$3:$A$5001,"&lt;="&amp;$B207,BD!$L$3:$L$5001,"&lt;&gt;")=0,"",SUMIFS(BD!$L$3:$L$5001,BD!$B$3:$B$5001,E$184,BD!$A$3:$A$5001,_xlfn.MAXIFS(BD!$A$3:$A$5001,BD!$B$3:$B$5001,E$184,BD!$A$3:$A$5001,"&gt;="&amp;$C$7,BD!$A$3:$A$5001,"&lt;="&amp;$B207,BD!$L$3:$L$5001,"&lt;&gt;"))))</f>
        <v/>
      </c>
      <c r="F207" s="43" t="str">
        <f>IF(OR($B207="",$A207&gt;$B$9,F$184=""),"",IF(COUNTIFS(BD!$B$3:$B$5001,F$184,BD!$A$3:$A$5001,"&gt;="&amp;$C$7,BD!$A$3:$A$5001,"&lt;="&amp;$B207,BD!$L$3:$L$5001,"&lt;&gt;")=0,"",SUMIFS(BD!$L$3:$L$5001,BD!$B$3:$B$5001,F$184,BD!$A$3:$A$5001,_xlfn.MAXIFS(BD!$A$3:$A$5001,BD!$B$3:$B$5001,F$184,BD!$A$3:$A$5001,"&gt;="&amp;$C$7,BD!$A$3:$A$5001,"&lt;="&amp;$B207,BD!$L$3:$L$5001,"&lt;&gt;"))))</f>
        <v/>
      </c>
      <c r="G207" s="43" t="str">
        <f>IF(OR($B207="",$A207&gt;$B$9,G$184=""),"",IF(COUNTIFS(BD!$B$3:$B$5001,G$184,BD!$A$3:$A$5001,"&gt;="&amp;$C$7,BD!$A$3:$A$5001,"&lt;="&amp;$B207,BD!$L$3:$L$5001,"&lt;&gt;")=0,"",SUMIFS(BD!$L$3:$L$5001,BD!$B$3:$B$5001,G$184,BD!$A$3:$A$5001,_xlfn.MAXIFS(BD!$A$3:$A$5001,BD!$B$3:$B$5001,G$184,BD!$A$3:$A$5001,"&gt;="&amp;$C$7,BD!$A$3:$A$5001,"&lt;="&amp;$B207,BD!$L$3:$L$5001,"&lt;&gt;"))))</f>
        <v/>
      </c>
      <c r="H207" s="43" t="str">
        <f>IF(OR($B207="",$A207&gt;$B$9,H$184=""),"",IF(COUNTIFS(BD!$B$3:$B$5001,H$184,BD!$A$3:$A$5001,"&gt;="&amp;$C$7,BD!$A$3:$A$5001,"&lt;="&amp;$B207,BD!$L$3:$L$5001,"&lt;&gt;")=0,"",SUMIFS(BD!$L$3:$L$5001,BD!$B$3:$B$5001,H$184,BD!$A$3:$A$5001,_xlfn.MAXIFS(BD!$A$3:$A$5001,BD!$B$3:$B$5001,H$184,BD!$A$3:$A$5001,"&gt;="&amp;$C$7,BD!$A$3:$A$5001,"&lt;="&amp;$B207,BD!$L$3:$L$5001,"&lt;&gt;"))))</f>
        <v/>
      </c>
      <c r="I207" s="43" t="str">
        <f>IF(OR($B207="",$A207&gt;$B$9,I$184=""),"",IF(COUNTIFS(BD!$B$3:$B$5001,I$184,BD!$A$3:$A$5001,"&gt;="&amp;$C$7,BD!$A$3:$A$5001,"&lt;="&amp;$B207,BD!$L$3:$L$5001,"&lt;&gt;")=0,"",SUMIFS(BD!$L$3:$L$5001,BD!$B$3:$B$5001,I$184,BD!$A$3:$A$5001,_xlfn.MAXIFS(BD!$A$3:$A$5001,BD!$B$3:$B$5001,I$184,BD!$A$3:$A$5001,"&gt;="&amp;$C$7,BD!$A$3:$A$5001,"&lt;="&amp;$B207,BD!$L$3:$L$5001,"&lt;&gt;"))))</f>
        <v/>
      </c>
      <c r="J207" s="43" t="str">
        <f>IF(OR($B207="",$A207&gt;$B$9,J$184=""),"",IF(COUNTIFS(BD!$B$3:$B$5001,J$184,BD!$A$3:$A$5001,"&gt;="&amp;$C$7,BD!$A$3:$A$5001,"&lt;="&amp;$B207,BD!$L$3:$L$5001,"&lt;&gt;")=0,"",SUMIFS(BD!$L$3:$L$5001,BD!$B$3:$B$5001,J$184,BD!$A$3:$A$5001,_xlfn.MAXIFS(BD!$A$3:$A$5001,BD!$B$3:$B$5001,J$184,BD!$A$3:$A$5001,"&gt;="&amp;$C$7,BD!$A$3:$A$5001,"&lt;="&amp;$B207,BD!$L$3:$L$5001,"&lt;&gt;"))))</f>
        <v/>
      </c>
      <c r="K207" s="43" t="str">
        <f>IF(OR($B207="",$A207&gt;$B$9,K$184=""),"",IF(COUNTIFS(BD!$B$3:$B$5001,K$184,BD!$A$3:$A$5001,"&gt;="&amp;$C$7,BD!$A$3:$A$5001,"&lt;="&amp;$B207,BD!$L$3:$L$5001,"&lt;&gt;")=0,"",SUMIFS(BD!$L$3:$L$5001,BD!$B$3:$B$5001,K$184,BD!$A$3:$A$5001,_xlfn.MAXIFS(BD!$A$3:$A$5001,BD!$B$3:$B$5001,K$184,BD!$A$3:$A$5001,"&gt;="&amp;$C$7,BD!$A$3:$A$5001,"&lt;="&amp;$B207,BD!$L$3:$L$5001,"&lt;&gt;"))))</f>
        <v/>
      </c>
      <c r="L207" s="43" t="str">
        <f>IF(OR($B207="",$A207&gt;$B$9,L$184=""),"",IF(COUNTIFS(BD!$B$3:$B$5001,L$184,BD!$A$3:$A$5001,"&gt;="&amp;$C$7,BD!$A$3:$A$5001,"&lt;="&amp;$B207,BD!$L$3:$L$5001,"&lt;&gt;")=0,"",SUMIFS(BD!$L$3:$L$5001,BD!$B$3:$B$5001,L$184,BD!$A$3:$A$5001,_xlfn.MAXIFS(BD!$A$3:$A$5001,BD!$B$3:$B$5001,L$184,BD!$A$3:$A$5001,"&gt;="&amp;$C$7,BD!$A$3:$A$5001,"&lt;="&amp;$B207,BD!$L$3:$L$5001,"&lt;&gt;"))))</f>
        <v/>
      </c>
      <c r="M207" s="43" t="str">
        <f>IF(OR($B207="",$A207&gt;$B$9,M$184=""),"",IF(COUNTIFS(BD!$B$3:$B$5001,M$184,BD!$A$3:$A$5001,"&gt;="&amp;$C$7,BD!$A$3:$A$5001,"&lt;="&amp;$B207,BD!$L$3:$L$5001,"&lt;&gt;")=0,"",SUMIFS(BD!$L$3:$L$5001,BD!$B$3:$B$5001,M$184,BD!$A$3:$A$5001,_xlfn.MAXIFS(BD!$A$3:$A$5001,BD!$B$3:$B$5001,M$184,BD!$A$3:$A$5001,"&gt;="&amp;$C$7,BD!$A$3:$A$5001,"&lt;="&amp;$B207,BD!$L$3:$L$5001,"&lt;&gt;"))))</f>
        <v/>
      </c>
      <c r="N207" s="43" t="str">
        <f>IF(OR($B207="",$A207&gt;$B$9,N$184=""),"",IF(COUNTIFS(BD!$B$3:$B$5001,N$184,BD!$A$3:$A$5001,"&gt;="&amp;$C$7,BD!$A$3:$A$5001,"&lt;="&amp;$B207,BD!$L$3:$L$5001,"&lt;&gt;")=0,"",SUMIFS(BD!$L$3:$L$5001,BD!$B$3:$B$5001,N$184,BD!$A$3:$A$5001,_xlfn.MAXIFS(BD!$A$3:$A$5001,BD!$B$3:$B$5001,N$184,BD!$A$3:$A$5001,"&gt;="&amp;$C$7,BD!$A$3:$A$5001,"&lt;="&amp;$B207,BD!$L$3:$L$5001,"&lt;&gt;"))))</f>
        <v/>
      </c>
      <c r="O207" s="43" t="str">
        <f>IF(OR($B207="",$A207&gt;$B$9,O$184=""),"",IF(COUNTIFS(BD!$B$3:$B$5001,O$184,BD!$A$3:$A$5001,"&gt;="&amp;$C$7,BD!$A$3:$A$5001,"&lt;="&amp;$B207,BD!$L$3:$L$5001,"&lt;&gt;")=0,"",SUMIFS(BD!$L$3:$L$5001,BD!$B$3:$B$5001,O$184,BD!$A$3:$A$5001,_xlfn.MAXIFS(BD!$A$3:$A$5001,BD!$B$3:$B$5001,O$184,BD!$A$3:$A$5001,"&gt;="&amp;$C$7,BD!$A$3:$A$5001,"&lt;="&amp;$B207,BD!$L$3:$L$5001,"&lt;&gt;"))))</f>
        <v/>
      </c>
      <c r="P207" s="43" t="str">
        <f>IF(OR($B207="",$A207&gt;$B$9,P$184=""),"",IF(COUNTIFS(BD!$B$3:$B$5001,P$184,BD!$A$3:$A$5001,"&gt;="&amp;$C$7,BD!$A$3:$A$5001,"&lt;="&amp;$B207,BD!$L$3:$L$5001,"&lt;&gt;")=0,"",SUMIFS(BD!$L$3:$L$5001,BD!$B$3:$B$5001,P$184,BD!$A$3:$A$5001,_xlfn.MAXIFS(BD!$A$3:$A$5001,BD!$B$3:$B$5001,P$184,BD!$A$3:$A$5001,"&gt;="&amp;$C$7,BD!$A$3:$A$5001,"&lt;="&amp;$B207,BD!$L$3:$L$5001,"&lt;&gt;"))))</f>
        <v/>
      </c>
      <c r="Q207" s="43" t="str">
        <f>IF(OR($B207="",$A207&gt;$B$9,Q$184=""),"",IF(COUNTIFS(BD!$B$3:$B$5001,Q$184,BD!$A$3:$A$5001,"&gt;="&amp;$C$7,BD!$A$3:$A$5001,"&lt;="&amp;$B207,BD!$L$3:$L$5001,"&lt;&gt;")=0,"",SUMIFS(BD!$L$3:$L$5001,BD!$B$3:$B$5001,Q$184,BD!$A$3:$A$5001,_xlfn.MAXIFS(BD!$A$3:$A$5001,BD!$B$3:$B$5001,Q$184,BD!$A$3:$A$5001,"&gt;="&amp;$C$7,BD!$A$3:$A$5001,"&lt;="&amp;$B207,BD!$L$3:$L$5001,"&lt;&gt;"))))</f>
        <v/>
      </c>
      <c r="R207" s="43" t="str">
        <f>IF(OR($B207="",$A207&gt;$B$9,R$184=""),"",IF(COUNTIFS(BD!$B$3:$B$5001,R$184,BD!$A$3:$A$5001,"&gt;="&amp;$C$7,BD!$A$3:$A$5001,"&lt;="&amp;$B207,BD!$L$3:$L$5001,"&lt;&gt;")=0,"",SUMIFS(BD!$L$3:$L$5001,BD!$B$3:$B$5001,R$184,BD!$A$3:$A$5001,_xlfn.MAXIFS(BD!$A$3:$A$5001,BD!$B$3:$B$5001,R$184,BD!$A$3:$A$5001,"&gt;="&amp;$C$7,BD!$A$3:$A$5001,"&lt;="&amp;$B207,BD!$L$3:$L$5001,"&lt;&gt;"))))</f>
        <v/>
      </c>
      <c r="S207" s="43" t="str">
        <f>IF(OR($B207="",$A207&gt;$B$9,S$184=""),"",IF(COUNTIFS(BD!$B$3:$B$5001,S$184,BD!$A$3:$A$5001,"&gt;="&amp;$C$7,BD!$A$3:$A$5001,"&lt;="&amp;$B207,BD!$L$3:$L$5001,"&lt;&gt;")=0,"",SUMIFS(BD!$L$3:$L$5001,BD!$B$3:$B$5001,S$184,BD!$A$3:$A$5001,_xlfn.MAXIFS(BD!$A$3:$A$5001,BD!$B$3:$B$5001,S$184,BD!$A$3:$A$5001,"&gt;="&amp;$C$7,BD!$A$3:$A$5001,"&lt;="&amp;$B207,BD!$L$3:$L$5001,"&lt;&gt;"))))</f>
        <v/>
      </c>
      <c r="T207" s="43" t="str">
        <f>IF(OR($B207="",$A207&gt;$B$9,T$184=""),"",IF(COUNTIFS(BD!$B$3:$B$5001,T$184,BD!$A$3:$A$5001,"&gt;="&amp;$C$7,BD!$A$3:$A$5001,"&lt;="&amp;$B207,BD!$L$3:$L$5001,"&lt;&gt;")=0,"",SUMIFS(BD!$L$3:$L$5001,BD!$B$3:$B$5001,T$184,BD!$A$3:$A$5001,_xlfn.MAXIFS(BD!$A$3:$A$5001,BD!$B$3:$B$5001,T$184,BD!$A$3:$A$5001,"&gt;="&amp;$C$7,BD!$A$3:$A$5001,"&lt;="&amp;$B207,BD!$L$3:$L$5001,"&lt;&gt;"))))</f>
        <v/>
      </c>
      <c r="U207" s="43" t="str">
        <f>IF(OR($B207="",$A207&gt;$B$9,U$184=""),"",IF(COUNTIFS(BD!$B$3:$B$5001,U$184,BD!$A$3:$A$5001,"&gt;="&amp;$C$7,BD!$A$3:$A$5001,"&lt;="&amp;$B207,BD!$L$3:$L$5001,"&lt;&gt;")=0,"",SUMIFS(BD!$L$3:$L$5001,BD!$B$3:$B$5001,U$184,BD!$A$3:$A$5001,_xlfn.MAXIFS(BD!$A$3:$A$5001,BD!$B$3:$B$5001,U$184,BD!$A$3:$A$5001,"&gt;="&amp;$C$7,BD!$A$3:$A$5001,"&lt;="&amp;$B207,BD!$L$3:$L$5001,"&lt;&gt;"))))</f>
        <v/>
      </c>
      <c r="V207" s="43" t="str">
        <f>IF(OR($B207="",$A207&gt;$B$9,V$184=""),"",IF(COUNTIFS(BD!$B$3:$B$5001,V$184,BD!$A$3:$A$5001,"&gt;="&amp;$C$7,BD!$A$3:$A$5001,"&lt;="&amp;$B207,BD!$L$3:$L$5001,"&lt;&gt;")=0,"",SUMIFS(BD!$L$3:$L$5001,BD!$B$3:$B$5001,V$184,BD!$A$3:$A$5001,_xlfn.MAXIFS(BD!$A$3:$A$5001,BD!$B$3:$B$5001,V$184,BD!$A$3:$A$5001,"&gt;="&amp;$C$7,BD!$A$3:$A$5001,"&lt;="&amp;$B207,BD!$L$3:$L$5001,"&lt;&gt;"))))</f>
        <v/>
      </c>
    </row>
    <row r="208">
      <c r="A208" s="38">
        <v>24</v>
      </c>
      <c r="B208" s="42">
        <f>$B$35</f>
        <v>46319</v>
      </c>
      <c r="C208" s="43" t="str">
        <f>IF(OR($B208="",$A208&gt;$B$9,C$184=""),"",IF(COUNTIFS(BD!$B$3:$B$5001,C$184,BD!$A$3:$A$5001,"&gt;="&amp;$C$7,BD!$A$3:$A$5001,"&lt;="&amp;$B208,BD!$L$3:$L$5001,"&lt;&gt;")=0,"",SUMIFS(BD!$L$3:$L$5001,BD!$B$3:$B$5001,C$184,BD!$A$3:$A$5001,_xlfn.MAXIFS(BD!$A$3:$A$5001,BD!$B$3:$B$5001,C$184,BD!$A$3:$A$5001,"&gt;="&amp;$C$7,BD!$A$3:$A$5001,"&lt;="&amp;$B208,BD!$L$3:$L$5001,"&lt;&gt;"))))</f>
        <v/>
      </c>
      <c r="D208" s="43" t="str">
        <f>IF(OR($B208="",$A208&gt;$B$9,D$184=""),"",IF(COUNTIFS(BD!$B$3:$B$5001,D$184,BD!$A$3:$A$5001,"&gt;="&amp;$C$7,BD!$A$3:$A$5001,"&lt;="&amp;$B208,BD!$L$3:$L$5001,"&lt;&gt;")=0,"",SUMIFS(BD!$L$3:$L$5001,BD!$B$3:$B$5001,D$184,BD!$A$3:$A$5001,_xlfn.MAXIFS(BD!$A$3:$A$5001,BD!$B$3:$B$5001,D$184,BD!$A$3:$A$5001,"&gt;="&amp;$C$7,BD!$A$3:$A$5001,"&lt;="&amp;$B208,BD!$L$3:$L$5001,"&lt;&gt;"))))</f>
        <v/>
      </c>
      <c r="E208" s="43" t="str">
        <f>IF(OR($B208="",$A208&gt;$B$9,E$184=""),"",IF(COUNTIFS(BD!$B$3:$B$5001,E$184,BD!$A$3:$A$5001,"&gt;="&amp;$C$7,BD!$A$3:$A$5001,"&lt;="&amp;$B208,BD!$L$3:$L$5001,"&lt;&gt;")=0,"",SUMIFS(BD!$L$3:$L$5001,BD!$B$3:$B$5001,E$184,BD!$A$3:$A$5001,_xlfn.MAXIFS(BD!$A$3:$A$5001,BD!$B$3:$B$5001,E$184,BD!$A$3:$A$5001,"&gt;="&amp;$C$7,BD!$A$3:$A$5001,"&lt;="&amp;$B208,BD!$L$3:$L$5001,"&lt;&gt;"))))</f>
        <v/>
      </c>
      <c r="F208" s="43" t="str">
        <f>IF(OR($B208="",$A208&gt;$B$9,F$184=""),"",IF(COUNTIFS(BD!$B$3:$B$5001,F$184,BD!$A$3:$A$5001,"&gt;="&amp;$C$7,BD!$A$3:$A$5001,"&lt;="&amp;$B208,BD!$L$3:$L$5001,"&lt;&gt;")=0,"",SUMIFS(BD!$L$3:$L$5001,BD!$B$3:$B$5001,F$184,BD!$A$3:$A$5001,_xlfn.MAXIFS(BD!$A$3:$A$5001,BD!$B$3:$B$5001,F$184,BD!$A$3:$A$5001,"&gt;="&amp;$C$7,BD!$A$3:$A$5001,"&lt;="&amp;$B208,BD!$L$3:$L$5001,"&lt;&gt;"))))</f>
        <v/>
      </c>
      <c r="G208" s="43" t="str">
        <f>IF(OR($B208="",$A208&gt;$B$9,G$184=""),"",IF(COUNTIFS(BD!$B$3:$B$5001,G$184,BD!$A$3:$A$5001,"&gt;="&amp;$C$7,BD!$A$3:$A$5001,"&lt;="&amp;$B208,BD!$L$3:$L$5001,"&lt;&gt;")=0,"",SUMIFS(BD!$L$3:$L$5001,BD!$B$3:$B$5001,G$184,BD!$A$3:$A$5001,_xlfn.MAXIFS(BD!$A$3:$A$5001,BD!$B$3:$B$5001,G$184,BD!$A$3:$A$5001,"&gt;="&amp;$C$7,BD!$A$3:$A$5001,"&lt;="&amp;$B208,BD!$L$3:$L$5001,"&lt;&gt;"))))</f>
        <v/>
      </c>
      <c r="H208" s="43" t="str">
        <f>IF(OR($B208="",$A208&gt;$B$9,H$184=""),"",IF(COUNTIFS(BD!$B$3:$B$5001,H$184,BD!$A$3:$A$5001,"&gt;="&amp;$C$7,BD!$A$3:$A$5001,"&lt;="&amp;$B208,BD!$L$3:$L$5001,"&lt;&gt;")=0,"",SUMIFS(BD!$L$3:$L$5001,BD!$B$3:$B$5001,H$184,BD!$A$3:$A$5001,_xlfn.MAXIFS(BD!$A$3:$A$5001,BD!$B$3:$B$5001,H$184,BD!$A$3:$A$5001,"&gt;="&amp;$C$7,BD!$A$3:$A$5001,"&lt;="&amp;$B208,BD!$L$3:$L$5001,"&lt;&gt;"))))</f>
        <v/>
      </c>
      <c r="I208" s="43" t="str">
        <f>IF(OR($B208="",$A208&gt;$B$9,I$184=""),"",IF(COUNTIFS(BD!$B$3:$B$5001,I$184,BD!$A$3:$A$5001,"&gt;="&amp;$C$7,BD!$A$3:$A$5001,"&lt;="&amp;$B208,BD!$L$3:$L$5001,"&lt;&gt;")=0,"",SUMIFS(BD!$L$3:$L$5001,BD!$B$3:$B$5001,I$184,BD!$A$3:$A$5001,_xlfn.MAXIFS(BD!$A$3:$A$5001,BD!$B$3:$B$5001,I$184,BD!$A$3:$A$5001,"&gt;="&amp;$C$7,BD!$A$3:$A$5001,"&lt;="&amp;$B208,BD!$L$3:$L$5001,"&lt;&gt;"))))</f>
        <v/>
      </c>
      <c r="J208" s="43" t="str">
        <f>IF(OR($B208="",$A208&gt;$B$9,J$184=""),"",IF(COUNTIFS(BD!$B$3:$B$5001,J$184,BD!$A$3:$A$5001,"&gt;="&amp;$C$7,BD!$A$3:$A$5001,"&lt;="&amp;$B208,BD!$L$3:$L$5001,"&lt;&gt;")=0,"",SUMIFS(BD!$L$3:$L$5001,BD!$B$3:$B$5001,J$184,BD!$A$3:$A$5001,_xlfn.MAXIFS(BD!$A$3:$A$5001,BD!$B$3:$B$5001,J$184,BD!$A$3:$A$5001,"&gt;="&amp;$C$7,BD!$A$3:$A$5001,"&lt;="&amp;$B208,BD!$L$3:$L$5001,"&lt;&gt;"))))</f>
        <v/>
      </c>
      <c r="K208" s="43" t="str">
        <f>IF(OR($B208="",$A208&gt;$B$9,K$184=""),"",IF(COUNTIFS(BD!$B$3:$B$5001,K$184,BD!$A$3:$A$5001,"&gt;="&amp;$C$7,BD!$A$3:$A$5001,"&lt;="&amp;$B208,BD!$L$3:$L$5001,"&lt;&gt;")=0,"",SUMIFS(BD!$L$3:$L$5001,BD!$B$3:$B$5001,K$184,BD!$A$3:$A$5001,_xlfn.MAXIFS(BD!$A$3:$A$5001,BD!$B$3:$B$5001,K$184,BD!$A$3:$A$5001,"&gt;="&amp;$C$7,BD!$A$3:$A$5001,"&lt;="&amp;$B208,BD!$L$3:$L$5001,"&lt;&gt;"))))</f>
        <v/>
      </c>
      <c r="L208" s="43" t="str">
        <f>IF(OR($B208="",$A208&gt;$B$9,L$184=""),"",IF(COUNTIFS(BD!$B$3:$B$5001,L$184,BD!$A$3:$A$5001,"&gt;="&amp;$C$7,BD!$A$3:$A$5001,"&lt;="&amp;$B208,BD!$L$3:$L$5001,"&lt;&gt;")=0,"",SUMIFS(BD!$L$3:$L$5001,BD!$B$3:$B$5001,L$184,BD!$A$3:$A$5001,_xlfn.MAXIFS(BD!$A$3:$A$5001,BD!$B$3:$B$5001,L$184,BD!$A$3:$A$5001,"&gt;="&amp;$C$7,BD!$A$3:$A$5001,"&lt;="&amp;$B208,BD!$L$3:$L$5001,"&lt;&gt;"))))</f>
        <v/>
      </c>
      <c r="M208" s="43" t="str">
        <f>IF(OR($B208="",$A208&gt;$B$9,M$184=""),"",IF(COUNTIFS(BD!$B$3:$B$5001,M$184,BD!$A$3:$A$5001,"&gt;="&amp;$C$7,BD!$A$3:$A$5001,"&lt;="&amp;$B208,BD!$L$3:$L$5001,"&lt;&gt;")=0,"",SUMIFS(BD!$L$3:$L$5001,BD!$B$3:$B$5001,M$184,BD!$A$3:$A$5001,_xlfn.MAXIFS(BD!$A$3:$A$5001,BD!$B$3:$B$5001,M$184,BD!$A$3:$A$5001,"&gt;="&amp;$C$7,BD!$A$3:$A$5001,"&lt;="&amp;$B208,BD!$L$3:$L$5001,"&lt;&gt;"))))</f>
        <v/>
      </c>
      <c r="N208" s="43" t="str">
        <f>IF(OR($B208="",$A208&gt;$B$9,N$184=""),"",IF(COUNTIFS(BD!$B$3:$B$5001,N$184,BD!$A$3:$A$5001,"&gt;="&amp;$C$7,BD!$A$3:$A$5001,"&lt;="&amp;$B208,BD!$L$3:$L$5001,"&lt;&gt;")=0,"",SUMIFS(BD!$L$3:$L$5001,BD!$B$3:$B$5001,N$184,BD!$A$3:$A$5001,_xlfn.MAXIFS(BD!$A$3:$A$5001,BD!$B$3:$B$5001,N$184,BD!$A$3:$A$5001,"&gt;="&amp;$C$7,BD!$A$3:$A$5001,"&lt;="&amp;$B208,BD!$L$3:$L$5001,"&lt;&gt;"))))</f>
        <v/>
      </c>
      <c r="O208" s="43" t="str">
        <f>IF(OR($B208="",$A208&gt;$B$9,O$184=""),"",IF(COUNTIFS(BD!$B$3:$B$5001,O$184,BD!$A$3:$A$5001,"&gt;="&amp;$C$7,BD!$A$3:$A$5001,"&lt;="&amp;$B208,BD!$L$3:$L$5001,"&lt;&gt;")=0,"",SUMIFS(BD!$L$3:$L$5001,BD!$B$3:$B$5001,O$184,BD!$A$3:$A$5001,_xlfn.MAXIFS(BD!$A$3:$A$5001,BD!$B$3:$B$5001,O$184,BD!$A$3:$A$5001,"&gt;="&amp;$C$7,BD!$A$3:$A$5001,"&lt;="&amp;$B208,BD!$L$3:$L$5001,"&lt;&gt;"))))</f>
        <v/>
      </c>
      <c r="P208" s="43" t="str">
        <f>IF(OR($B208="",$A208&gt;$B$9,P$184=""),"",IF(COUNTIFS(BD!$B$3:$B$5001,P$184,BD!$A$3:$A$5001,"&gt;="&amp;$C$7,BD!$A$3:$A$5001,"&lt;="&amp;$B208,BD!$L$3:$L$5001,"&lt;&gt;")=0,"",SUMIFS(BD!$L$3:$L$5001,BD!$B$3:$B$5001,P$184,BD!$A$3:$A$5001,_xlfn.MAXIFS(BD!$A$3:$A$5001,BD!$B$3:$B$5001,P$184,BD!$A$3:$A$5001,"&gt;="&amp;$C$7,BD!$A$3:$A$5001,"&lt;="&amp;$B208,BD!$L$3:$L$5001,"&lt;&gt;"))))</f>
        <v/>
      </c>
      <c r="Q208" s="43" t="str">
        <f>IF(OR($B208="",$A208&gt;$B$9,Q$184=""),"",IF(COUNTIFS(BD!$B$3:$B$5001,Q$184,BD!$A$3:$A$5001,"&gt;="&amp;$C$7,BD!$A$3:$A$5001,"&lt;="&amp;$B208,BD!$L$3:$L$5001,"&lt;&gt;")=0,"",SUMIFS(BD!$L$3:$L$5001,BD!$B$3:$B$5001,Q$184,BD!$A$3:$A$5001,_xlfn.MAXIFS(BD!$A$3:$A$5001,BD!$B$3:$B$5001,Q$184,BD!$A$3:$A$5001,"&gt;="&amp;$C$7,BD!$A$3:$A$5001,"&lt;="&amp;$B208,BD!$L$3:$L$5001,"&lt;&gt;"))))</f>
        <v/>
      </c>
      <c r="R208" s="43" t="str">
        <f>IF(OR($B208="",$A208&gt;$B$9,R$184=""),"",IF(COUNTIFS(BD!$B$3:$B$5001,R$184,BD!$A$3:$A$5001,"&gt;="&amp;$C$7,BD!$A$3:$A$5001,"&lt;="&amp;$B208,BD!$L$3:$L$5001,"&lt;&gt;")=0,"",SUMIFS(BD!$L$3:$L$5001,BD!$B$3:$B$5001,R$184,BD!$A$3:$A$5001,_xlfn.MAXIFS(BD!$A$3:$A$5001,BD!$B$3:$B$5001,R$184,BD!$A$3:$A$5001,"&gt;="&amp;$C$7,BD!$A$3:$A$5001,"&lt;="&amp;$B208,BD!$L$3:$L$5001,"&lt;&gt;"))))</f>
        <v/>
      </c>
      <c r="S208" s="43" t="str">
        <f>IF(OR($B208="",$A208&gt;$B$9,S$184=""),"",IF(COUNTIFS(BD!$B$3:$B$5001,S$184,BD!$A$3:$A$5001,"&gt;="&amp;$C$7,BD!$A$3:$A$5001,"&lt;="&amp;$B208,BD!$L$3:$L$5001,"&lt;&gt;")=0,"",SUMIFS(BD!$L$3:$L$5001,BD!$B$3:$B$5001,S$184,BD!$A$3:$A$5001,_xlfn.MAXIFS(BD!$A$3:$A$5001,BD!$B$3:$B$5001,S$184,BD!$A$3:$A$5001,"&gt;="&amp;$C$7,BD!$A$3:$A$5001,"&lt;="&amp;$B208,BD!$L$3:$L$5001,"&lt;&gt;"))))</f>
        <v/>
      </c>
      <c r="T208" s="43" t="str">
        <f>IF(OR($B208="",$A208&gt;$B$9,T$184=""),"",IF(COUNTIFS(BD!$B$3:$B$5001,T$184,BD!$A$3:$A$5001,"&gt;="&amp;$C$7,BD!$A$3:$A$5001,"&lt;="&amp;$B208,BD!$L$3:$L$5001,"&lt;&gt;")=0,"",SUMIFS(BD!$L$3:$L$5001,BD!$B$3:$B$5001,T$184,BD!$A$3:$A$5001,_xlfn.MAXIFS(BD!$A$3:$A$5001,BD!$B$3:$B$5001,T$184,BD!$A$3:$A$5001,"&gt;="&amp;$C$7,BD!$A$3:$A$5001,"&lt;="&amp;$B208,BD!$L$3:$L$5001,"&lt;&gt;"))))</f>
        <v/>
      </c>
      <c r="U208" s="43" t="str">
        <f>IF(OR($B208="",$A208&gt;$B$9,U$184=""),"",IF(COUNTIFS(BD!$B$3:$B$5001,U$184,BD!$A$3:$A$5001,"&gt;="&amp;$C$7,BD!$A$3:$A$5001,"&lt;="&amp;$B208,BD!$L$3:$L$5001,"&lt;&gt;")=0,"",SUMIFS(BD!$L$3:$L$5001,BD!$B$3:$B$5001,U$184,BD!$A$3:$A$5001,_xlfn.MAXIFS(BD!$A$3:$A$5001,BD!$B$3:$B$5001,U$184,BD!$A$3:$A$5001,"&gt;="&amp;$C$7,BD!$A$3:$A$5001,"&lt;="&amp;$B208,BD!$L$3:$L$5001,"&lt;&gt;"))))</f>
        <v/>
      </c>
      <c r="V208" s="43" t="str">
        <f>IF(OR($B208="",$A208&gt;$B$9,V$184=""),"",IF(COUNTIFS(BD!$B$3:$B$5001,V$184,BD!$A$3:$A$5001,"&gt;="&amp;$C$7,BD!$A$3:$A$5001,"&lt;="&amp;$B208,BD!$L$3:$L$5001,"&lt;&gt;")=0,"",SUMIFS(BD!$L$3:$L$5001,BD!$B$3:$B$5001,V$184,BD!$A$3:$A$5001,_xlfn.MAXIFS(BD!$A$3:$A$5001,BD!$B$3:$B$5001,V$184,BD!$A$3:$A$5001,"&gt;="&amp;$C$7,BD!$A$3:$A$5001,"&lt;="&amp;$B208,BD!$L$3:$L$5001,"&lt;&gt;"))))</f>
        <v/>
      </c>
    </row>
    <row r="209">
      <c r="A209" s="38">
        <v>25</v>
      </c>
      <c r="B209" s="42">
        <f>$B$36</f>
        <v>46320</v>
      </c>
      <c r="C209" s="43" t="str">
        <f>IF(OR($B209="",$A209&gt;$B$9,C$184=""),"",IF(COUNTIFS(BD!$B$3:$B$5001,C$184,BD!$A$3:$A$5001,"&gt;="&amp;$C$7,BD!$A$3:$A$5001,"&lt;="&amp;$B209,BD!$L$3:$L$5001,"&lt;&gt;")=0,"",SUMIFS(BD!$L$3:$L$5001,BD!$B$3:$B$5001,C$184,BD!$A$3:$A$5001,_xlfn.MAXIFS(BD!$A$3:$A$5001,BD!$B$3:$B$5001,C$184,BD!$A$3:$A$5001,"&gt;="&amp;$C$7,BD!$A$3:$A$5001,"&lt;="&amp;$B209,BD!$L$3:$L$5001,"&lt;&gt;"))))</f>
        <v/>
      </c>
      <c r="D209" s="43" t="str">
        <f>IF(OR($B209="",$A209&gt;$B$9,D$184=""),"",IF(COUNTIFS(BD!$B$3:$B$5001,D$184,BD!$A$3:$A$5001,"&gt;="&amp;$C$7,BD!$A$3:$A$5001,"&lt;="&amp;$B209,BD!$L$3:$L$5001,"&lt;&gt;")=0,"",SUMIFS(BD!$L$3:$L$5001,BD!$B$3:$B$5001,D$184,BD!$A$3:$A$5001,_xlfn.MAXIFS(BD!$A$3:$A$5001,BD!$B$3:$B$5001,D$184,BD!$A$3:$A$5001,"&gt;="&amp;$C$7,BD!$A$3:$A$5001,"&lt;="&amp;$B209,BD!$L$3:$L$5001,"&lt;&gt;"))))</f>
        <v/>
      </c>
      <c r="E209" s="43" t="str">
        <f>IF(OR($B209="",$A209&gt;$B$9,E$184=""),"",IF(COUNTIFS(BD!$B$3:$B$5001,E$184,BD!$A$3:$A$5001,"&gt;="&amp;$C$7,BD!$A$3:$A$5001,"&lt;="&amp;$B209,BD!$L$3:$L$5001,"&lt;&gt;")=0,"",SUMIFS(BD!$L$3:$L$5001,BD!$B$3:$B$5001,E$184,BD!$A$3:$A$5001,_xlfn.MAXIFS(BD!$A$3:$A$5001,BD!$B$3:$B$5001,E$184,BD!$A$3:$A$5001,"&gt;="&amp;$C$7,BD!$A$3:$A$5001,"&lt;="&amp;$B209,BD!$L$3:$L$5001,"&lt;&gt;"))))</f>
        <v/>
      </c>
      <c r="F209" s="43" t="str">
        <f>IF(OR($B209="",$A209&gt;$B$9,F$184=""),"",IF(COUNTIFS(BD!$B$3:$B$5001,F$184,BD!$A$3:$A$5001,"&gt;="&amp;$C$7,BD!$A$3:$A$5001,"&lt;="&amp;$B209,BD!$L$3:$L$5001,"&lt;&gt;")=0,"",SUMIFS(BD!$L$3:$L$5001,BD!$B$3:$B$5001,F$184,BD!$A$3:$A$5001,_xlfn.MAXIFS(BD!$A$3:$A$5001,BD!$B$3:$B$5001,F$184,BD!$A$3:$A$5001,"&gt;="&amp;$C$7,BD!$A$3:$A$5001,"&lt;="&amp;$B209,BD!$L$3:$L$5001,"&lt;&gt;"))))</f>
        <v/>
      </c>
      <c r="G209" s="43" t="str">
        <f>IF(OR($B209="",$A209&gt;$B$9,G$184=""),"",IF(COUNTIFS(BD!$B$3:$B$5001,G$184,BD!$A$3:$A$5001,"&gt;="&amp;$C$7,BD!$A$3:$A$5001,"&lt;="&amp;$B209,BD!$L$3:$L$5001,"&lt;&gt;")=0,"",SUMIFS(BD!$L$3:$L$5001,BD!$B$3:$B$5001,G$184,BD!$A$3:$A$5001,_xlfn.MAXIFS(BD!$A$3:$A$5001,BD!$B$3:$B$5001,G$184,BD!$A$3:$A$5001,"&gt;="&amp;$C$7,BD!$A$3:$A$5001,"&lt;="&amp;$B209,BD!$L$3:$L$5001,"&lt;&gt;"))))</f>
        <v/>
      </c>
      <c r="H209" s="43" t="str">
        <f>IF(OR($B209="",$A209&gt;$B$9,H$184=""),"",IF(COUNTIFS(BD!$B$3:$B$5001,H$184,BD!$A$3:$A$5001,"&gt;="&amp;$C$7,BD!$A$3:$A$5001,"&lt;="&amp;$B209,BD!$L$3:$L$5001,"&lt;&gt;")=0,"",SUMIFS(BD!$L$3:$L$5001,BD!$B$3:$B$5001,H$184,BD!$A$3:$A$5001,_xlfn.MAXIFS(BD!$A$3:$A$5001,BD!$B$3:$B$5001,H$184,BD!$A$3:$A$5001,"&gt;="&amp;$C$7,BD!$A$3:$A$5001,"&lt;="&amp;$B209,BD!$L$3:$L$5001,"&lt;&gt;"))))</f>
        <v/>
      </c>
      <c r="I209" s="43" t="str">
        <f>IF(OR($B209="",$A209&gt;$B$9,I$184=""),"",IF(COUNTIFS(BD!$B$3:$B$5001,I$184,BD!$A$3:$A$5001,"&gt;="&amp;$C$7,BD!$A$3:$A$5001,"&lt;="&amp;$B209,BD!$L$3:$L$5001,"&lt;&gt;")=0,"",SUMIFS(BD!$L$3:$L$5001,BD!$B$3:$B$5001,I$184,BD!$A$3:$A$5001,_xlfn.MAXIFS(BD!$A$3:$A$5001,BD!$B$3:$B$5001,I$184,BD!$A$3:$A$5001,"&gt;="&amp;$C$7,BD!$A$3:$A$5001,"&lt;="&amp;$B209,BD!$L$3:$L$5001,"&lt;&gt;"))))</f>
        <v/>
      </c>
      <c r="J209" s="43" t="str">
        <f>IF(OR($B209="",$A209&gt;$B$9,J$184=""),"",IF(COUNTIFS(BD!$B$3:$B$5001,J$184,BD!$A$3:$A$5001,"&gt;="&amp;$C$7,BD!$A$3:$A$5001,"&lt;="&amp;$B209,BD!$L$3:$L$5001,"&lt;&gt;")=0,"",SUMIFS(BD!$L$3:$L$5001,BD!$B$3:$B$5001,J$184,BD!$A$3:$A$5001,_xlfn.MAXIFS(BD!$A$3:$A$5001,BD!$B$3:$B$5001,J$184,BD!$A$3:$A$5001,"&gt;="&amp;$C$7,BD!$A$3:$A$5001,"&lt;="&amp;$B209,BD!$L$3:$L$5001,"&lt;&gt;"))))</f>
        <v/>
      </c>
      <c r="K209" s="43" t="str">
        <f>IF(OR($B209="",$A209&gt;$B$9,K$184=""),"",IF(COUNTIFS(BD!$B$3:$B$5001,K$184,BD!$A$3:$A$5001,"&gt;="&amp;$C$7,BD!$A$3:$A$5001,"&lt;="&amp;$B209,BD!$L$3:$L$5001,"&lt;&gt;")=0,"",SUMIFS(BD!$L$3:$L$5001,BD!$B$3:$B$5001,K$184,BD!$A$3:$A$5001,_xlfn.MAXIFS(BD!$A$3:$A$5001,BD!$B$3:$B$5001,K$184,BD!$A$3:$A$5001,"&gt;="&amp;$C$7,BD!$A$3:$A$5001,"&lt;="&amp;$B209,BD!$L$3:$L$5001,"&lt;&gt;"))))</f>
        <v/>
      </c>
      <c r="L209" s="43" t="str">
        <f>IF(OR($B209="",$A209&gt;$B$9,L$184=""),"",IF(COUNTIFS(BD!$B$3:$B$5001,L$184,BD!$A$3:$A$5001,"&gt;="&amp;$C$7,BD!$A$3:$A$5001,"&lt;="&amp;$B209,BD!$L$3:$L$5001,"&lt;&gt;")=0,"",SUMIFS(BD!$L$3:$L$5001,BD!$B$3:$B$5001,L$184,BD!$A$3:$A$5001,_xlfn.MAXIFS(BD!$A$3:$A$5001,BD!$B$3:$B$5001,L$184,BD!$A$3:$A$5001,"&gt;="&amp;$C$7,BD!$A$3:$A$5001,"&lt;="&amp;$B209,BD!$L$3:$L$5001,"&lt;&gt;"))))</f>
        <v/>
      </c>
      <c r="M209" s="43" t="str">
        <f>IF(OR($B209="",$A209&gt;$B$9,M$184=""),"",IF(COUNTIFS(BD!$B$3:$B$5001,M$184,BD!$A$3:$A$5001,"&gt;="&amp;$C$7,BD!$A$3:$A$5001,"&lt;="&amp;$B209,BD!$L$3:$L$5001,"&lt;&gt;")=0,"",SUMIFS(BD!$L$3:$L$5001,BD!$B$3:$B$5001,M$184,BD!$A$3:$A$5001,_xlfn.MAXIFS(BD!$A$3:$A$5001,BD!$B$3:$B$5001,M$184,BD!$A$3:$A$5001,"&gt;="&amp;$C$7,BD!$A$3:$A$5001,"&lt;="&amp;$B209,BD!$L$3:$L$5001,"&lt;&gt;"))))</f>
        <v/>
      </c>
      <c r="N209" s="43" t="str">
        <f>IF(OR($B209="",$A209&gt;$B$9,N$184=""),"",IF(COUNTIFS(BD!$B$3:$B$5001,N$184,BD!$A$3:$A$5001,"&gt;="&amp;$C$7,BD!$A$3:$A$5001,"&lt;="&amp;$B209,BD!$L$3:$L$5001,"&lt;&gt;")=0,"",SUMIFS(BD!$L$3:$L$5001,BD!$B$3:$B$5001,N$184,BD!$A$3:$A$5001,_xlfn.MAXIFS(BD!$A$3:$A$5001,BD!$B$3:$B$5001,N$184,BD!$A$3:$A$5001,"&gt;="&amp;$C$7,BD!$A$3:$A$5001,"&lt;="&amp;$B209,BD!$L$3:$L$5001,"&lt;&gt;"))))</f>
        <v/>
      </c>
      <c r="O209" s="43" t="str">
        <f>IF(OR($B209="",$A209&gt;$B$9,O$184=""),"",IF(COUNTIFS(BD!$B$3:$B$5001,O$184,BD!$A$3:$A$5001,"&gt;="&amp;$C$7,BD!$A$3:$A$5001,"&lt;="&amp;$B209,BD!$L$3:$L$5001,"&lt;&gt;")=0,"",SUMIFS(BD!$L$3:$L$5001,BD!$B$3:$B$5001,O$184,BD!$A$3:$A$5001,_xlfn.MAXIFS(BD!$A$3:$A$5001,BD!$B$3:$B$5001,O$184,BD!$A$3:$A$5001,"&gt;="&amp;$C$7,BD!$A$3:$A$5001,"&lt;="&amp;$B209,BD!$L$3:$L$5001,"&lt;&gt;"))))</f>
        <v/>
      </c>
      <c r="P209" s="43" t="str">
        <f>IF(OR($B209="",$A209&gt;$B$9,P$184=""),"",IF(COUNTIFS(BD!$B$3:$B$5001,P$184,BD!$A$3:$A$5001,"&gt;="&amp;$C$7,BD!$A$3:$A$5001,"&lt;="&amp;$B209,BD!$L$3:$L$5001,"&lt;&gt;")=0,"",SUMIFS(BD!$L$3:$L$5001,BD!$B$3:$B$5001,P$184,BD!$A$3:$A$5001,_xlfn.MAXIFS(BD!$A$3:$A$5001,BD!$B$3:$B$5001,P$184,BD!$A$3:$A$5001,"&gt;="&amp;$C$7,BD!$A$3:$A$5001,"&lt;="&amp;$B209,BD!$L$3:$L$5001,"&lt;&gt;"))))</f>
        <v/>
      </c>
      <c r="Q209" s="43" t="str">
        <f>IF(OR($B209="",$A209&gt;$B$9,Q$184=""),"",IF(COUNTIFS(BD!$B$3:$B$5001,Q$184,BD!$A$3:$A$5001,"&gt;="&amp;$C$7,BD!$A$3:$A$5001,"&lt;="&amp;$B209,BD!$L$3:$L$5001,"&lt;&gt;")=0,"",SUMIFS(BD!$L$3:$L$5001,BD!$B$3:$B$5001,Q$184,BD!$A$3:$A$5001,_xlfn.MAXIFS(BD!$A$3:$A$5001,BD!$B$3:$B$5001,Q$184,BD!$A$3:$A$5001,"&gt;="&amp;$C$7,BD!$A$3:$A$5001,"&lt;="&amp;$B209,BD!$L$3:$L$5001,"&lt;&gt;"))))</f>
        <v/>
      </c>
      <c r="R209" s="43" t="str">
        <f>IF(OR($B209="",$A209&gt;$B$9,R$184=""),"",IF(COUNTIFS(BD!$B$3:$B$5001,R$184,BD!$A$3:$A$5001,"&gt;="&amp;$C$7,BD!$A$3:$A$5001,"&lt;="&amp;$B209,BD!$L$3:$L$5001,"&lt;&gt;")=0,"",SUMIFS(BD!$L$3:$L$5001,BD!$B$3:$B$5001,R$184,BD!$A$3:$A$5001,_xlfn.MAXIFS(BD!$A$3:$A$5001,BD!$B$3:$B$5001,R$184,BD!$A$3:$A$5001,"&gt;="&amp;$C$7,BD!$A$3:$A$5001,"&lt;="&amp;$B209,BD!$L$3:$L$5001,"&lt;&gt;"))))</f>
        <v/>
      </c>
      <c r="S209" s="43" t="str">
        <f>IF(OR($B209="",$A209&gt;$B$9,S$184=""),"",IF(COUNTIFS(BD!$B$3:$B$5001,S$184,BD!$A$3:$A$5001,"&gt;="&amp;$C$7,BD!$A$3:$A$5001,"&lt;="&amp;$B209,BD!$L$3:$L$5001,"&lt;&gt;")=0,"",SUMIFS(BD!$L$3:$L$5001,BD!$B$3:$B$5001,S$184,BD!$A$3:$A$5001,_xlfn.MAXIFS(BD!$A$3:$A$5001,BD!$B$3:$B$5001,S$184,BD!$A$3:$A$5001,"&gt;="&amp;$C$7,BD!$A$3:$A$5001,"&lt;="&amp;$B209,BD!$L$3:$L$5001,"&lt;&gt;"))))</f>
        <v/>
      </c>
      <c r="T209" s="43" t="str">
        <f>IF(OR($B209="",$A209&gt;$B$9,T$184=""),"",IF(COUNTIFS(BD!$B$3:$B$5001,T$184,BD!$A$3:$A$5001,"&gt;="&amp;$C$7,BD!$A$3:$A$5001,"&lt;="&amp;$B209,BD!$L$3:$L$5001,"&lt;&gt;")=0,"",SUMIFS(BD!$L$3:$L$5001,BD!$B$3:$B$5001,T$184,BD!$A$3:$A$5001,_xlfn.MAXIFS(BD!$A$3:$A$5001,BD!$B$3:$B$5001,T$184,BD!$A$3:$A$5001,"&gt;="&amp;$C$7,BD!$A$3:$A$5001,"&lt;="&amp;$B209,BD!$L$3:$L$5001,"&lt;&gt;"))))</f>
        <v/>
      </c>
      <c r="U209" s="43" t="str">
        <f>IF(OR($B209="",$A209&gt;$B$9,U$184=""),"",IF(COUNTIFS(BD!$B$3:$B$5001,U$184,BD!$A$3:$A$5001,"&gt;="&amp;$C$7,BD!$A$3:$A$5001,"&lt;="&amp;$B209,BD!$L$3:$L$5001,"&lt;&gt;")=0,"",SUMIFS(BD!$L$3:$L$5001,BD!$B$3:$B$5001,U$184,BD!$A$3:$A$5001,_xlfn.MAXIFS(BD!$A$3:$A$5001,BD!$B$3:$B$5001,U$184,BD!$A$3:$A$5001,"&gt;="&amp;$C$7,BD!$A$3:$A$5001,"&lt;="&amp;$B209,BD!$L$3:$L$5001,"&lt;&gt;"))))</f>
        <v/>
      </c>
      <c r="V209" s="43" t="str">
        <f>IF(OR($B209="",$A209&gt;$B$9,V$184=""),"",IF(COUNTIFS(BD!$B$3:$B$5001,V$184,BD!$A$3:$A$5001,"&gt;="&amp;$C$7,BD!$A$3:$A$5001,"&lt;="&amp;$B209,BD!$L$3:$L$5001,"&lt;&gt;")=0,"",SUMIFS(BD!$L$3:$L$5001,BD!$B$3:$B$5001,V$184,BD!$A$3:$A$5001,_xlfn.MAXIFS(BD!$A$3:$A$5001,BD!$B$3:$B$5001,V$184,BD!$A$3:$A$5001,"&gt;="&amp;$C$7,BD!$A$3:$A$5001,"&lt;="&amp;$B209,BD!$L$3:$L$5001,"&lt;&gt;"))))</f>
        <v/>
      </c>
    </row>
    <row r="210">
      <c r="A210" s="38">
        <v>26</v>
      </c>
      <c r="B210" s="42">
        <f>$B$37</f>
        <v>46321</v>
      </c>
      <c r="C210" s="43" t="str">
        <f>IF(OR($B210="",$A210&gt;$B$9,C$184=""),"",IF(COUNTIFS(BD!$B$3:$B$5001,C$184,BD!$A$3:$A$5001,"&gt;="&amp;$C$7,BD!$A$3:$A$5001,"&lt;="&amp;$B210,BD!$L$3:$L$5001,"&lt;&gt;")=0,"",SUMIFS(BD!$L$3:$L$5001,BD!$B$3:$B$5001,C$184,BD!$A$3:$A$5001,_xlfn.MAXIFS(BD!$A$3:$A$5001,BD!$B$3:$B$5001,C$184,BD!$A$3:$A$5001,"&gt;="&amp;$C$7,BD!$A$3:$A$5001,"&lt;="&amp;$B210,BD!$L$3:$L$5001,"&lt;&gt;"))))</f>
        <v/>
      </c>
      <c r="D210" s="43" t="str">
        <f>IF(OR($B210="",$A210&gt;$B$9,D$184=""),"",IF(COUNTIFS(BD!$B$3:$B$5001,D$184,BD!$A$3:$A$5001,"&gt;="&amp;$C$7,BD!$A$3:$A$5001,"&lt;="&amp;$B210,BD!$L$3:$L$5001,"&lt;&gt;")=0,"",SUMIFS(BD!$L$3:$L$5001,BD!$B$3:$B$5001,D$184,BD!$A$3:$A$5001,_xlfn.MAXIFS(BD!$A$3:$A$5001,BD!$B$3:$B$5001,D$184,BD!$A$3:$A$5001,"&gt;="&amp;$C$7,BD!$A$3:$A$5001,"&lt;="&amp;$B210,BD!$L$3:$L$5001,"&lt;&gt;"))))</f>
        <v/>
      </c>
      <c r="E210" s="43" t="str">
        <f>IF(OR($B210="",$A210&gt;$B$9,E$184=""),"",IF(COUNTIFS(BD!$B$3:$B$5001,E$184,BD!$A$3:$A$5001,"&gt;="&amp;$C$7,BD!$A$3:$A$5001,"&lt;="&amp;$B210,BD!$L$3:$L$5001,"&lt;&gt;")=0,"",SUMIFS(BD!$L$3:$L$5001,BD!$B$3:$B$5001,E$184,BD!$A$3:$A$5001,_xlfn.MAXIFS(BD!$A$3:$A$5001,BD!$B$3:$B$5001,E$184,BD!$A$3:$A$5001,"&gt;="&amp;$C$7,BD!$A$3:$A$5001,"&lt;="&amp;$B210,BD!$L$3:$L$5001,"&lt;&gt;"))))</f>
        <v/>
      </c>
      <c r="F210" s="43" t="str">
        <f>IF(OR($B210="",$A210&gt;$B$9,F$184=""),"",IF(COUNTIFS(BD!$B$3:$B$5001,F$184,BD!$A$3:$A$5001,"&gt;="&amp;$C$7,BD!$A$3:$A$5001,"&lt;="&amp;$B210,BD!$L$3:$L$5001,"&lt;&gt;")=0,"",SUMIFS(BD!$L$3:$L$5001,BD!$B$3:$B$5001,F$184,BD!$A$3:$A$5001,_xlfn.MAXIFS(BD!$A$3:$A$5001,BD!$B$3:$B$5001,F$184,BD!$A$3:$A$5001,"&gt;="&amp;$C$7,BD!$A$3:$A$5001,"&lt;="&amp;$B210,BD!$L$3:$L$5001,"&lt;&gt;"))))</f>
        <v/>
      </c>
      <c r="G210" s="43" t="str">
        <f>IF(OR($B210="",$A210&gt;$B$9,G$184=""),"",IF(COUNTIFS(BD!$B$3:$B$5001,G$184,BD!$A$3:$A$5001,"&gt;="&amp;$C$7,BD!$A$3:$A$5001,"&lt;="&amp;$B210,BD!$L$3:$L$5001,"&lt;&gt;")=0,"",SUMIFS(BD!$L$3:$L$5001,BD!$B$3:$B$5001,G$184,BD!$A$3:$A$5001,_xlfn.MAXIFS(BD!$A$3:$A$5001,BD!$B$3:$B$5001,G$184,BD!$A$3:$A$5001,"&gt;="&amp;$C$7,BD!$A$3:$A$5001,"&lt;="&amp;$B210,BD!$L$3:$L$5001,"&lt;&gt;"))))</f>
        <v/>
      </c>
      <c r="H210" s="43" t="str">
        <f>IF(OR($B210="",$A210&gt;$B$9,H$184=""),"",IF(COUNTIFS(BD!$B$3:$B$5001,H$184,BD!$A$3:$A$5001,"&gt;="&amp;$C$7,BD!$A$3:$A$5001,"&lt;="&amp;$B210,BD!$L$3:$L$5001,"&lt;&gt;")=0,"",SUMIFS(BD!$L$3:$L$5001,BD!$B$3:$B$5001,H$184,BD!$A$3:$A$5001,_xlfn.MAXIFS(BD!$A$3:$A$5001,BD!$B$3:$B$5001,H$184,BD!$A$3:$A$5001,"&gt;="&amp;$C$7,BD!$A$3:$A$5001,"&lt;="&amp;$B210,BD!$L$3:$L$5001,"&lt;&gt;"))))</f>
        <v/>
      </c>
      <c r="I210" s="43" t="str">
        <f>IF(OR($B210="",$A210&gt;$B$9,I$184=""),"",IF(COUNTIFS(BD!$B$3:$B$5001,I$184,BD!$A$3:$A$5001,"&gt;="&amp;$C$7,BD!$A$3:$A$5001,"&lt;="&amp;$B210,BD!$L$3:$L$5001,"&lt;&gt;")=0,"",SUMIFS(BD!$L$3:$L$5001,BD!$B$3:$B$5001,I$184,BD!$A$3:$A$5001,_xlfn.MAXIFS(BD!$A$3:$A$5001,BD!$B$3:$B$5001,I$184,BD!$A$3:$A$5001,"&gt;="&amp;$C$7,BD!$A$3:$A$5001,"&lt;="&amp;$B210,BD!$L$3:$L$5001,"&lt;&gt;"))))</f>
        <v/>
      </c>
      <c r="J210" s="43" t="str">
        <f>IF(OR($B210="",$A210&gt;$B$9,J$184=""),"",IF(COUNTIFS(BD!$B$3:$B$5001,J$184,BD!$A$3:$A$5001,"&gt;="&amp;$C$7,BD!$A$3:$A$5001,"&lt;="&amp;$B210,BD!$L$3:$L$5001,"&lt;&gt;")=0,"",SUMIFS(BD!$L$3:$L$5001,BD!$B$3:$B$5001,J$184,BD!$A$3:$A$5001,_xlfn.MAXIFS(BD!$A$3:$A$5001,BD!$B$3:$B$5001,J$184,BD!$A$3:$A$5001,"&gt;="&amp;$C$7,BD!$A$3:$A$5001,"&lt;="&amp;$B210,BD!$L$3:$L$5001,"&lt;&gt;"))))</f>
        <v/>
      </c>
      <c r="K210" s="43" t="str">
        <f>IF(OR($B210="",$A210&gt;$B$9,K$184=""),"",IF(COUNTIFS(BD!$B$3:$B$5001,K$184,BD!$A$3:$A$5001,"&gt;="&amp;$C$7,BD!$A$3:$A$5001,"&lt;="&amp;$B210,BD!$L$3:$L$5001,"&lt;&gt;")=0,"",SUMIFS(BD!$L$3:$L$5001,BD!$B$3:$B$5001,K$184,BD!$A$3:$A$5001,_xlfn.MAXIFS(BD!$A$3:$A$5001,BD!$B$3:$B$5001,K$184,BD!$A$3:$A$5001,"&gt;="&amp;$C$7,BD!$A$3:$A$5001,"&lt;="&amp;$B210,BD!$L$3:$L$5001,"&lt;&gt;"))))</f>
        <v/>
      </c>
      <c r="L210" s="43" t="str">
        <f>IF(OR($B210="",$A210&gt;$B$9,L$184=""),"",IF(COUNTIFS(BD!$B$3:$B$5001,L$184,BD!$A$3:$A$5001,"&gt;="&amp;$C$7,BD!$A$3:$A$5001,"&lt;="&amp;$B210,BD!$L$3:$L$5001,"&lt;&gt;")=0,"",SUMIFS(BD!$L$3:$L$5001,BD!$B$3:$B$5001,L$184,BD!$A$3:$A$5001,_xlfn.MAXIFS(BD!$A$3:$A$5001,BD!$B$3:$B$5001,L$184,BD!$A$3:$A$5001,"&gt;="&amp;$C$7,BD!$A$3:$A$5001,"&lt;="&amp;$B210,BD!$L$3:$L$5001,"&lt;&gt;"))))</f>
        <v/>
      </c>
      <c r="M210" s="43" t="str">
        <f>IF(OR($B210="",$A210&gt;$B$9,M$184=""),"",IF(COUNTIFS(BD!$B$3:$B$5001,M$184,BD!$A$3:$A$5001,"&gt;="&amp;$C$7,BD!$A$3:$A$5001,"&lt;="&amp;$B210,BD!$L$3:$L$5001,"&lt;&gt;")=0,"",SUMIFS(BD!$L$3:$L$5001,BD!$B$3:$B$5001,M$184,BD!$A$3:$A$5001,_xlfn.MAXIFS(BD!$A$3:$A$5001,BD!$B$3:$B$5001,M$184,BD!$A$3:$A$5001,"&gt;="&amp;$C$7,BD!$A$3:$A$5001,"&lt;="&amp;$B210,BD!$L$3:$L$5001,"&lt;&gt;"))))</f>
        <v/>
      </c>
      <c r="N210" s="43" t="str">
        <f>IF(OR($B210="",$A210&gt;$B$9,N$184=""),"",IF(COUNTIFS(BD!$B$3:$B$5001,N$184,BD!$A$3:$A$5001,"&gt;="&amp;$C$7,BD!$A$3:$A$5001,"&lt;="&amp;$B210,BD!$L$3:$L$5001,"&lt;&gt;")=0,"",SUMIFS(BD!$L$3:$L$5001,BD!$B$3:$B$5001,N$184,BD!$A$3:$A$5001,_xlfn.MAXIFS(BD!$A$3:$A$5001,BD!$B$3:$B$5001,N$184,BD!$A$3:$A$5001,"&gt;="&amp;$C$7,BD!$A$3:$A$5001,"&lt;="&amp;$B210,BD!$L$3:$L$5001,"&lt;&gt;"))))</f>
        <v/>
      </c>
      <c r="O210" s="43" t="str">
        <f>IF(OR($B210="",$A210&gt;$B$9,O$184=""),"",IF(COUNTIFS(BD!$B$3:$B$5001,O$184,BD!$A$3:$A$5001,"&gt;="&amp;$C$7,BD!$A$3:$A$5001,"&lt;="&amp;$B210,BD!$L$3:$L$5001,"&lt;&gt;")=0,"",SUMIFS(BD!$L$3:$L$5001,BD!$B$3:$B$5001,O$184,BD!$A$3:$A$5001,_xlfn.MAXIFS(BD!$A$3:$A$5001,BD!$B$3:$B$5001,O$184,BD!$A$3:$A$5001,"&gt;="&amp;$C$7,BD!$A$3:$A$5001,"&lt;="&amp;$B210,BD!$L$3:$L$5001,"&lt;&gt;"))))</f>
        <v/>
      </c>
      <c r="P210" s="43" t="str">
        <f>IF(OR($B210="",$A210&gt;$B$9,P$184=""),"",IF(COUNTIFS(BD!$B$3:$B$5001,P$184,BD!$A$3:$A$5001,"&gt;="&amp;$C$7,BD!$A$3:$A$5001,"&lt;="&amp;$B210,BD!$L$3:$L$5001,"&lt;&gt;")=0,"",SUMIFS(BD!$L$3:$L$5001,BD!$B$3:$B$5001,P$184,BD!$A$3:$A$5001,_xlfn.MAXIFS(BD!$A$3:$A$5001,BD!$B$3:$B$5001,P$184,BD!$A$3:$A$5001,"&gt;="&amp;$C$7,BD!$A$3:$A$5001,"&lt;="&amp;$B210,BD!$L$3:$L$5001,"&lt;&gt;"))))</f>
        <v/>
      </c>
      <c r="Q210" s="43" t="str">
        <f>IF(OR($B210="",$A210&gt;$B$9,Q$184=""),"",IF(COUNTIFS(BD!$B$3:$B$5001,Q$184,BD!$A$3:$A$5001,"&gt;="&amp;$C$7,BD!$A$3:$A$5001,"&lt;="&amp;$B210,BD!$L$3:$L$5001,"&lt;&gt;")=0,"",SUMIFS(BD!$L$3:$L$5001,BD!$B$3:$B$5001,Q$184,BD!$A$3:$A$5001,_xlfn.MAXIFS(BD!$A$3:$A$5001,BD!$B$3:$B$5001,Q$184,BD!$A$3:$A$5001,"&gt;="&amp;$C$7,BD!$A$3:$A$5001,"&lt;="&amp;$B210,BD!$L$3:$L$5001,"&lt;&gt;"))))</f>
        <v/>
      </c>
      <c r="R210" s="43" t="str">
        <f>IF(OR($B210="",$A210&gt;$B$9,R$184=""),"",IF(COUNTIFS(BD!$B$3:$B$5001,R$184,BD!$A$3:$A$5001,"&gt;="&amp;$C$7,BD!$A$3:$A$5001,"&lt;="&amp;$B210,BD!$L$3:$L$5001,"&lt;&gt;")=0,"",SUMIFS(BD!$L$3:$L$5001,BD!$B$3:$B$5001,R$184,BD!$A$3:$A$5001,_xlfn.MAXIFS(BD!$A$3:$A$5001,BD!$B$3:$B$5001,R$184,BD!$A$3:$A$5001,"&gt;="&amp;$C$7,BD!$A$3:$A$5001,"&lt;="&amp;$B210,BD!$L$3:$L$5001,"&lt;&gt;"))))</f>
        <v/>
      </c>
      <c r="S210" s="43" t="str">
        <f>IF(OR($B210="",$A210&gt;$B$9,S$184=""),"",IF(COUNTIFS(BD!$B$3:$B$5001,S$184,BD!$A$3:$A$5001,"&gt;="&amp;$C$7,BD!$A$3:$A$5001,"&lt;="&amp;$B210,BD!$L$3:$L$5001,"&lt;&gt;")=0,"",SUMIFS(BD!$L$3:$L$5001,BD!$B$3:$B$5001,S$184,BD!$A$3:$A$5001,_xlfn.MAXIFS(BD!$A$3:$A$5001,BD!$B$3:$B$5001,S$184,BD!$A$3:$A$5001,"&gt;="&amp;$C$7,BD!$A$3:$A$5001,"&lt;="&amp;$B210,BD!$L$3:$L$5001,"&lt;&gt;"))))</f>
        <v/>
      </c>
      <c r="T210" s="43" t="str">
        <f>IF(OR($B210="",$A210&gt;$B$9,T$184=""),"",IF(COUNTIFS(BD!$B$3:$B$5001,T$184,BD!$A$3:$A$5001,"&gt;="&amp;$C$7,BD!$A$3:$A$5001,"&lt;="&amp;$B210,BD!$L$3:$L$5001,"&lt;&gt;")=0,"",SUMIFS(BD!$L$3:$L$5001,BD!$B$3:$B$5001,T$184,BD!$A$3:$A$5001,_xlfn.MAXIFS(BD!$A$3:$A$5001,BD!$B$3:$B$5001,T$184,BD!$A$3:$A$5001,"&gt;="&amp;$C$7,BD!$A$3:$A$5001,"&lt;="&amp;$B210,BD!$L$3:$L$5001,"&lt;&gt;"))))</f>
        <v/>
      </c>
      <c r="U210" s="43" t="str">
        <f>IF(OR($B210="",$A210&gt;$B$9,U$184=""),"",IF(COUNTIFS(BD!$B$3:$B$5001,U$184,BD!$A$3:$A$5001,"&gt;="&amp;$C$7,BD!$A$3:$A$5001,"&lt;="&amp;$B210,BD!$L$3:$L$5001,"&lt;&gt;")=0,"",SUMIFS(BD!$L$3:$L$5001,BD!$B$3:$B$5001,U$184,BD!$A$3:$A$5001,_xlfn.MAXIFS(BD!$A$3:$A$5001,BD!$B$3:$B$5001,U$184,BD!$A$3:$A$5001,"&gt;="&amp;$C$7,BD!$A$3:$A$5001,"&lt;="&amp;$B210,BD!$L$3:$L$5001,"&lt;&gt;"))))</f>
        <v/>
      </c>
      <c r="V210" s="43" t="str">
        <f>IF(OR($B210="",$A210&gt;$B$9,V$184=""),"",IF(COUNTIFS(BD!$B$3:$B$5001,V$184,BD!$A$3:$A$5001,"&gt;="&amp;$C$7,BD!$A$3:$A$5001,"&lt;="&amp;$B210,BD!$L$3:$L$5001,"&lt;&gt;")=0,"",SUMIFS(BD!$L$3:$L$5001,BD!$B$3:$B$5001,V$184,BD!$A$3:$A$5001,_xlfn.MAXIFS(BD!$A$3:$A$5001,BD!$B$3:$B$5001,V$184,BD!$A$3:$A$5001,"&gt;="&amp;$C$7,BD!$A$3:$A$5001,"&lt;="&amp;$B210,BD!$L$3:$L$5001,"&lt;&gt;"))))</f>
        <v/>
      </c>
    </row>
    <row r="211">
      <c r="A211" s="38">
        <v>27</v>
      </c>
      <c r="B211" s="42">
        <f>$B$38</f>
        <v>46322</v>
      </c>
      <c r="C211" s="43" t="str">
        <f>IF(OR($B211="",$A211&gt;$B$9,C$184=""),"",IF(COUNTIFS(BD!$B$3:$B$5001,C$184,BD!$A$3:$A$5001,"&gt;="&amp;$C$7,BD!$A$3:$A$5001,"&lt;="&amp;$B211,BD!$L$3:$L$5001,"&lt;&gt;")=0,"",SUMIFS(BD!$L$3:$L$5001,BD!$B$3:$B$5001,C$184,BD!$A$3:$A$5001,_xlfn.MAXIFS(BD!$A$3:$A$5001,BD!$B$3:$B$5001,C$184,BD!$A$3:$A$5001,"&gt;="&amp;$C$7,BD!$A$3:$A$5001,"&lt;="&amp;$B211,BD!$L$3:$L$5001,"&lt;&gt;"))))</f>
        <v/>
      </c>
      <c r="D211" s="43" t="str">
        <f>IF(OR($B211="",$A211&gt;$B$9,D$184=""),"",IF(COUNTIFS(BD!$B$3:$B$5001,D$184,BD!$A$3:$A$5001,"&gt;="&amp;$C$7,BD!$A$3:$A$5001,"&lt;="&amp;$B211,BD!$L$3:$L$5001,"&lt;&gt;")=0,"",SUMIFS(BD!$L$3:$L$5001,BD!$B$3:$B$5001,D$184,BD!$A$3:$A$5001,_xlfn.MAXIFS(BD!$A$3:$A$5001,BD!$B$3:$B$5001,D$184,BD!$A$3:$A$5001,"&gt;="&amp;$C$7,BD!$A$3:$A$5001,"&lt;="&amp;$B211,BD!$L$3:$L$5001,"&lt;&gt;"))))</f>
        <v/>
      </c>
      <c r="E211" s="43" t="str">
        <f>IF(OR($B211="",$A211&gt;$B$9,E$184=""),"",IF(COUNTIFS(BD!$B$3:$B$5001,E$184,BD!$A$3:$A$5001,"&gt;="&amp;$C$7,BD!$A$3:$A$5001,"&lt;="&amp;$B211,BD!$L$3:$L$5001,"&lt;&gt;")=0,"",SUMIFS(BD!$L$3:$L$5001,BD!$B$3:$B$5001,E$184,BD!$A$3:$A$5001,_xlfn.MAXIFS(BD!$A$3:$A$5001,BD!$B$3:$B$5001,E$184,BD!$A$3:$A$5001,"&gt;="&amp;$C$7,BD!$A$3:$A$5001,"&lt;="&amp;$B211,BD!$L$3:$L$5001,"&lt;&gt;"))))</f>
        <v/>
      </c>
      <c r="F211" s="43" t="str">
        <f>IF(OR($B211="",$A211&gt;$B$9,F$184=""),"",IF(COUNTIFS(BD!$B$3:$B$5001,F$184,BD!$A$3:$A$5001,"&gt;="&amp;$C$7,BD!$A$3:$A$5001,"&lt;="&amp;$B211,BD!$L$3:$L$5001,"&lt;&gt;")=0,"",SUMIFS(BD!$L$3:$L$5001,BD!$B$3:$B$5001,F$184,BD!$A$3:$A$5001,_xlfn.MAXIFS(BD!$A$3:$A$5001,BD!$B$3:$B$5001,F$184,BD!$A$3:$A$5001,"&gt;="&amp;$C$7,BD!$A$3:$A$5001,"&lt;="&amp;$B211,BD!$L$3:$L$5001,"&lt;&gt;"))))</f>
        <v/>
      </c>
      <c r="G211" s="43" t="str">
        <f>IF(OR($B211="",$A211&gt;$B$9,G$184=""),"",IF(COUNTIFS(BD!$B$3:$B$5001,G$184,BD!$A$3:$A$5001,"&gt;="&amp;$C$7,BD!$A$3:$A$5001,"&lt;="&amp;$B211,BD!$L$3:$L$5001,"&lt;&gt;")=0,"",SUMIFS(BD!$L$3:$L$5001,BD!$B$3:$B$5001,G$184,BD!$A$3:$A$5001,_xlfn.MAXIFS(BD!$A$3:$A$5001,BD!$B$3:$B$5001,G$184,BD!$A$3:$A$5001,"&gt;="&amp;$C$7,BD!$A$3:$A$5001,"&lt;="&amp;$B211,BD!$L$3:$L$5001,"&lt;&gt;"))))</f>
        <v/>
      </c>
      <c r="H211" s="43" t="str">
        <f>IF(OR($B211="",$A211&gt;$B$9,H$184=""),"",IF(COUNTIFS(BD!$B$3:$B$5001,H$184,BD!$A$3:$A$5001,"&gt;="&amp;$C$7,BD!$A$3:$A$5001,"&lt;="&amp;$B211,BD!$L$3:$L$5001,"&lt;&gt;")=0,"",SUMIFS(BD!$L$3:$L$5001,BD!$B$3:$B$5001,H$184,BD!$A$3:$A$5001,_xlfn.MAXIFS(BD!$A$3:$A$5001,BD!$B$3:$B$5001,H$184,BD!$A$3:$A$5001,"&gt;="&amp;$C$7,BD!$A$3:$A$5001,"&lt;="&amp;$B211,BD!$L$3:$L$5001,"&lt;&gt;"))))</f>
        <v/>
      </c>
      <c r="I211" s="43" t="str">
        <f>IF(OR($B211="",$A211&gt;$B$9,I$184=""),"",IF(COUNTIFS(BD!$B$3:$B$5001,I$184,BD!$A$3:$A$5001,"&gt;="&amp;$C$7,BD!$A$3:$A$5001,"&lt;="&amp;$B211,BD!$L$3:$L$5001,"&lt;&gt;")=0,"",SUMIFS(BD!$L$3:$L$5001,BD!$B$3:$B$5001,I$184,BD!$A$3:$A$5001,_xlfn.MAXIFS(BD!$A$3:$A$5001,BD!$B$3:$B$5001,I$184,BD!$A$3:$A$5001,"&gt;="&amp;$C$7,BD!$A$3:$A$5001,"&lt;="&amp;$B211,BD!$L$3:$L$5001,"&lt;&gt;"))))</f>
        <v/>
      </c>
      <c r="J211" s="43" t="str">
        <f>IF(OR($B211="",$A211&gt;$B$9,J$184=""),"",IF(COUNTIFS(BD!$B$3:$B$5001,J$184,BD!$A$3:$A$5001,"&gt;="&amp;$C$7,BD!$A$3:$A$5001,"&lt;="&amp;$B211,BD!$L$3:$L$5001,"&lt;&gt;")=0,"",SUMIFS(BD!$L$3:$L$5001,BD!$B$3:$B$5001,J$184,BD!$A$3:$A$5001,_xlfn.MAXIFS(BD!$A$3:$A$5001,BD!$B$3:$B$5001,J$184,BD!$A$3:$A$5001,"&gt;="&amp;$C$7,BD!$A$3:$A$5001,"&lt;="&amp;$B211,BD!$L$3:$L$5001,"&lt;&gt;"))))</f>
        <v/>
      </c>
      <c r="K211" s="43" t="str">
        <f>IF(OR($B211="",$A211&gt;$B$9,K$184=""),"",IF(COUNTIFS(BD!$B$3:$B$5001,K$184,BD!$A$3:$A$5001,"&gt;="&amp;$C$7,BD!$A$3:$A$5001,"&lt;="&amp;$B211,BD!$L$3:$L$5001,"&lt;&gt;")=0,"",SUMIFS(BD!$L$3:$L$5001,BD!$B$3:$B$5001,K$184,BD!$A$3:$A$5001,_xlfn.MAXIFS(BD!$A$3:$A$5001,BD!$B$3:$B$5001,K$184,BD!$A$3:$A$5001,"&gt;="&amp;$C$7,BD!$A$3:$A$5001,"&lt;="&amp;$B211,BD!$L$3:$L$5001,"&lt;&gt;"))))</f>
        <v/>
      </c>
      <c r="L211" s="43" t="str">
        <f>IF(OR($B211="",$A211&gt;$B$9,L$184=""),"",IF(COUNTIFS(BD!$B$3:$B$5001,L$184,BD!$A$3:$A$5001,"&gt;="&amp;$C$7,BD!$A$3:$A$5001,"&lt;="&amp;$B211,BD!$L$3:$L$5001,"&lt;&gt;")=0,"",SUMIFS(BD!$L$3:$L$5001,BD!$B$3:$B$5001,L$184,BD!$A$3:$A$5001,_xlfn.MAXIFS(BD!$A$3:$A$5001,BD!$B$3:$B$5001,L$184,BD!$A$3:$A$5001,"&gt;="&amp;$C$7,BD!$A$3:$A$5001,"&lt;="&amp;$B211,BD!$L$3:$L$5001,"&lt;&gt;"))))</f>
        <v/>
      </c>
      <c r="M211" s="43" t="str">
        <f>IF(OR($B211="",$A211&gt;$B$9,M$184=""),"",IF(COUNTIFS(BD!$B$3:$B$5001,M$184,BD!$A$3:$A$5001,"&gt;="&amp;$C$7,BD!$A$3:$A$5001,"&lt;="&amp;$B211,BD!$L$3:$L$5001,"&lt;&gt;")=0,"",SUMIFS(BD!$L$3:$L$5001,BD!$B$3:$B$5001,M$184,BD!$A$3:$A$5001,_xlfn.MAXIFS(BD!$A$3:$A$5001,BD!$B$3:$B$5001,M$184,BD!$A$3:$A$5001,"&gt;="&amp;$C$7,BD!$A$3:$A$5001,"&lt;="&amp;$B211,BD!$L$3:$L$5001,"&lt;&gt;"))))</f>
        <v/>
      </c>
      <c r="N211" s="43" t="str">
        <f>IF(OR($B211="",$A211&gt;$B$9,N$184=""),"",IF(COUNTIFS(BD!$B$3:$B$5001,N$184,BD!$A$3:$A$5001,"&gt;="&amp;$C$7,BD!$A$3:$A$5001,"&lt;="&amp;$B211,BD!$L$3:$L$5001,"&lt;&gt;")=0,"",SUMIFS(BD!$L$3:$L$5001,BD!$B$3:$B$5001,N$184,BD!$A$3:$A$5001,_xlfn.MAXIFS(BD!$A$3:$A$5001,BD!$B$3:$B$5001,N$184,BD!$A$3:$A$5001,"&gt;="&amp;$C$7,BD!$A$3:$A$5001,"&lt;="&amp;$B211,BD!$L$3:$L$5001,"&lt;&gt;"))))</f>
        <v/>
      </c>
      <c r="O211" s="43" t="str">
        <f>IF(OR($B211="",$A211&gt;$B$9,O$184=""),"",IF(COUNTIFS(BD!$B$3:$B$5001,O$184,BD!$A$3:$A$5001,"&gt;="&amp;$C$7,BD!$A$3:$A$5001,"&lt;="&amp;$B211,BD!$L$3:$L$5001,"&lt;&gt;")=0,"",SUMIFS(BD!$L$3:$L$5001,BD!$B$3:$B$5001,O$184,BD!$A$3:$A$5001,_xlfn.MAXIFS(BD!$A$3:$A$5001,BD!$B$3:$B$5001,O$184,BD!$A$3:$A$5001,"&gt;="&amp;$C$7,BD!$A$3:$A$5001,"&lt;="&amp;$B211,BD!$L$3:$L$5001,"&lt;&gt;"))))</f>
        <v/>
      </c>
      <c r="P211" s="43" t="str">
        <f>IF(OR($B211="",$A211&gt;$B$9,P$184=""),"",IF(COUNTIFS(BD!$B$3:$B$5001,P$184,BD!$A$3:$A$5001,"&gt;="&amp;$C$7,BD!$A$3:$A$5001,"&lt;="&amp;$B211,BD!$L$3:$L$5001,"&lt;&gt;")=0,"",SUMIFS(BD!$L$3:$L$5001,BD!$B$3:$B$5001,P$184,BD!$A$3:$A$5001,_xlfn.MAXIFS(BD!$A$3:$A$5001,BD!$B$3:$B$5001,P$184,BD!$A$3:$A$5001,"&gt;="&amp;$C$7,BD!$A$3:$A$5001,"&lt;="&amp;$B211,BD!$L$3:$L$5001,"&lt;&gt;"))))</f>
        <v/>
      </c>
      <c r="Q211" s="43" t="str">
        <f>IF(OR($B211="",$A211&gt;$B$9,Q$184=""),"",IF(COUNTIFS(BD!$B$3:$B$5001,Q$184,BD!$A$3:$A$5001,"&gt;="&amp;$C$7,BD!$A$3:$A$5001,"&lt;="&amp;$B211,BD!$L$3:$L$5001,"&lt;&gt;")=0,"",SUMIFS(BD!$L$3:$L$5001,BD!$B$3:$B$5001,Q$184,BD!$A$3:$A$5001,_xlfn.MAXIFS(BD!$A$3:$A$5001,BD!$B$3:$B$5001,Q$184,BD!$A$3:$A$5001,"&gt;="&amp;$C$7,BD!$A$3:$A$5001,"&lt;="&amp;$B211,BD!$L$3:$L$5001,"&lt;&gt;"))))</f>
        <v/>
      </c>
      <c r="R211" s="43" t="str">
        <f>IF(OR($B211="",$A211&gt;$B$9,R$184=""),"",IF(COUNTIFS(BD!$B$3:$B$5001,R$184,BD!$A$3:$A$5001,"&gt;="&amp;$C$7,BD!$A$3:$A$5001,"&lt;="&amp;$B211,BD!$L$3:$L$5001,"&lt;&gt;")=0,"",SUMIFS(BD!$L$3:$L$5001,BD!$B$3:$B$5001,R$184,BD!$A$3:$A$5001,_xlfn.MAXIFS(BD!$A$3:$A$5001,BD!$B$3:$B$5001,R$184,BD!$A$3:$A$5001,"&gt;="&amp;$C$7,BD!$A$3:$A$5001,"&lt;="&amp;$B211,BD!$L$3:$L$5001,"&lt;&gt;"))))</f>
        <v/>
      </c>
      <c r="S211" s="43" t="str">
        <f>IF(OR($B211="",$A211&gt;$B$9,S$184=""),"",IF(COUNTIFS(BD!$B$3:$B$5001,S$184,BD!$A$3:$A$5001,"&gt;="&amp;$C$7,BD!$A$3:$A$5001,"&lt;="&amp;$B211,BD!$L$3:$L$5001,"&lt;&gt;")=0,"",SUMIFS(BD!$L$3:$L$5001,BD!$B$3:$B$5001,S$184,BD!$A$3:$A$5001,_xlfn.MAXIFS(BD!$A$3:$A$5001,BD!$B$3:$B$5001,S$184,BD!$A$3:$A$5001,"&gt;="&amp;$C$7,BD!$A$3:$A$5001,"&lt;="&amp;$B211,BD!$L$3:$L$5001,"&lt;&gt;"))))</f>
        <v/>
      </c>
      <c r="T211" s="43" t="str">
        <f>IF(OR($B211="",$A211&gt;$B$9,T$184=""),"",IF(COUNTIFS(BD!$B$3:$B$5001,T$184,BD!$A$3:$A$5001,"&gt;="&amp;$C$7,BD!$A$3:$A$5001,"&lt;="&amp;$B211,BD!$L$3:$L$5001,"&lt;&gt;")=0,"",SUMIFS(BD!$L$3:$L$5001,BD!$B$3:$B$5001,T$184,BD!$A$3:$A$5001,_xlfn.MAXIFS(BD!$A$3:$A$5001,BD!$B$3:$B$5001,T$184,BD!$A$3:$A$5001,"&gt;="&amp;$C$7,BD!$A$3:$A$5001,"&lt;="&amp;$B211,BD!$L$3:$L$5001,"&lt;&gt;"))))</f>
        <v/>
      </c>
      <c r="U211" s="43" t="str">
        <f>IF(OR($B211="",$A211&gt;$B$9,U$184=""),"",IF(COUNTIFS(BD!$B$3:$B$5001,U$184,BD!$A$3:$A$5001,"&gt;="&amp;$C$7,BD!$A$3:$A$5001,"&lt;="&amp;$B211,BD!$L$3:$L$5001,"&lt;&gt;")=0,"",SUMIFS(BD!$L$3:$L$5001,BD!$B$3:$B$5001,U$184,BD!$A$3:$A$5001,_xlfn.MAXIFS(BD!$A$3:$A$5001,BD!$B$3:$B$5001,U$184,BD!$A$3:$A$5001,"&gt;="&amp;$C$7,BD!$A$3:$A$5001,"&lt;="&amp;$B211,BD!$L$3:$L$5001,"&lt;&gt;"))))</f>
        <v/>
      </c>
      <c r="V211" s="43" t="str">
        <f>IF(OR($B211="",$A211&gt;$B$9,V$184=""),"",IF(COUNTIFS(BD!$B$3:$B$5001,V$184,BD!$A$3:$A$5001,"&gt;="&amp;$C$7,BD!$A$3:$A$5001,"&lt;="&amp;$B211,BD!$L$3:$L$5001,"&lt;&gt;")=0,"",SUMIFS(BD!$L$3:$L$5001,BD!$B$3:$B$5001,V$184,BD!$A$3:$A$5001,_xlfn.MAXIFS(BD!$A$3:$A$5001,BD!$B$3:$B$5001,V$184,BD!$A$3:$A$5001,"&gt;="&amp;$C$7,BD!$A$3:$A$5001,"&lt;="&amp;$B211,BD!$L$3:$L$5001,"&lt;&gt;"))))</f>
        <v/>
      </c>
    </row>
    <row r="212">
      <c r="A212" s="38">
        <v>28</v>
      </c>
      <c r="B212" s="42">
        <f>$B$39</f>
        <v>46323</v>
      </c>
      <c r="C212" s="43" t="str">
        <f>IF(OR($B212="",$A212&gt;$B$9,C$184=""),"",IF(COUNTIFS(BD!$B$3:$B$5001,C$184,BD!$A$3:$A$5001,"&gt;="&amp;$C$7,BD!$A$3:$A$5001,"&lt;="&amp;$B212,BD!$L$3:$L$5001,"&lt;&gt;")=0,"",SUMIFS(BD!$L$3:$L$5001,BD!$B$3:$B$5001,C$184,BD!$A$3:$A$5001,_xlfn.MAXIFS(BD!$A$3:$A$5001,BD!$B$3:$B$5001,C$184,BD!$A$3:$A$5001,"&gt;="&amp;$C$7,BD!$A$3:$A$5001,"&lt;="&amp;$B212,BD!$L$3:$L$5001,"&lt;&gt;"))))</f>
        <v/>
      </c>
      <c r="D212" s="43" t="str">
        <f>IF(OR($B212="",$A212&gt;$B$9,D$184=""),"",IF(COUNTIFS(BD!$B$3:$B$5001,D$184,BD!$A$3:$A$5001,"&gt;="&amp;$C$7,BD!$A$3:$A$5001,"&lt;="&amp;$B212,BD!$L$3:$L$5001,"&lt;&gt;")=0,"",SUMIFS(BD!$L$3:$L$5001,BD!$B$3:$B$5001,D$184,BD!$A$3:$A$5001,_xlfn.MAXIFS(BD!$A$3:$A$5001,BD!$B$3:$B$5001,D$184,BD!$A$3:$A$5001,"&gt;="&amp;$C$7,BD!$A$3:$A$5001,"&lt;="&amp;$B212,BD!$L$3:$L$5001,"&lt;&gt;"))))</f>
        <v/>
      </c>
      <c r="E212" s="43" t="str">
        <f>IF(OR($B212="",$A212&gt;$B$9,E$184=""),"",IF(COUNTIFS(BD!$B$3:$B$5001,E$184,BD!$A$3:$A$5001,"&gt;="&amp;$C$7,BD!$A$3:$A$5001,"&lt;="&amp;$B212,BD!$L$3:$L$5001,"&lt;&gt;")=0,"",SUMIFS(BD!$L$3:$L$5001,BD!$B$3:$B$5001,E$184,BD!$A$3:$A$5001,_xlfn.MAXIFS(BD!$A$3:$A$5001,BD!$B$3:$B$5001,E$184,BD!$A$3:$A$5001,"&gt;="&amp;$C$7,BD!$A$3:$A$5001,"&lt;="&amp;$B212,BD!$L$3:$L$5001,"&lt;&gt;"))))</f>
        <v/>
      </c>
      <c r="F212" s="43" t="str">
        <f>IF(OR($B212="",$A212&gt;$B$9,F$184=""),"",IF(COUNTIFS(BD!$B$3:$B$5001,F$184,BD!$A$3:$A$5001,"&gt;="&amp;$C$7,BD!$A$3:$A$5001,"&lt;="&amp;$B212,BD!$L$3:$L$5001,"&lt;&gt;")=0,"",SUMIFS(BD!$L$3:$L$5001,BD!$B$3:$B$5001,F$184,BD!$A$3:$A$5001,_xlfn.MAXIFS(BD!$A$3:$A$5001,BD!$B$3:$B$5001,F$184,BD!$A$3:$A$5001,"&gt;="&amp;$C$7,BD!$A$3:$A$5001,"&lt;="&amp;$B212,BD!$L$3:$L$5001,"&lt;&gt;"))))</f>
        <v/>
      </c>
      <c r="G212" s="43" t="str">
        <f>IF(OR($B212="",$A212&gt;$B$9,G$184=""),"",IF(COUNTIFS(BD!$B$3:$B$5001,G$184,BD!$A$3:$A$5001,"&gt;="&amp;$C$7,BD!$A$3:$A$5001,"&lt;="&amp;$B212,BD!$L$3:$L$5001,"&lt;&gt;")=0,"",SUMIFS(BD!$L$3:$L$5001,BD!$B$3:$B$5001,G$184,BD!$A$3:$A$5001,_xlfn.MAXIFS(BD!$A$3:$A$5001,BD!$B$3:$B$5001,G$184,BD!$A$3:$A$5001,"&gt;="&amp;$C$7,BD!$A$3:$A$5001,"&lt;="&amp;$B212,BD!$L$3:$L$5001,"&lt;&gt;"))))</f>
        <v/>
      </c>
      <c r="H212" s="43" t="str">
        <f>IF(OR($B212="",$A212&gt;$B$9,H$184=""),"",IF(COUNTIFS(BD!$B$3:$B$5001,H$184,BD!$A$3:$A$5001,"&gt;="&amp;$C$7,BD!$A$3:$A$5001,"&lt;="&amp;$B212,BD!$L$3:$L$5001,"&lt;&gt;")=0,"",SUMIFS(BD!$L$3:$L$5001,BD!$B$3:$B$5001,H$184,BD!$A$3:$A$5001,_xlfn.MAXIFS(BD!$A$3:$A$5001,BD!$B$3:$B$5001,H$184,BD!$A$3:$A$5001,"&gt;="&amp;$C$7,BD!$A$3:$A$5001,"&lt;="&amp;$B212,BD!$L$3:$L$5001,"&lt;&gt;"))))</f>
        <v/>
      </c>
      <c r="I212" s="43" t="str">
        <f>IF(OR($B212="",$A212&gt;$B$9,I$184=""),"",IF(COUNTIFS(BD!$B$3:$B$5001,I$184,BD!$A$3:$A$5001,"&gt;="&amp;$C$7,BD!$A$3:$A$5001,"&lt;="&amp;$B212,BD!$L$3:$L$5001,"&lt;&gt;")=0,"",SUMIFS(BD!$L$3:$L$5001,BD!$B$3:$B$5001,I$184,BD!$A$3:$A$5001,_xlfn.MAXIFS(BD!$A$3:$A$5001,BD!$B$3:$B$5001,I$184,BD!$A$3:$A$5001,"&gt;="&amp;$C$7,BD!$A$3:$A$5001,"&lt;="&amp;$B212,BD!$L$3:$L$5001,"&lt;&gt;"))))</f>
        <v/>
      </c>
      <c r="J212" s="43" t="str">
        <f>IF(OR($B212="",$A212&gt;$B$9,J$184=""),"",IF(COUNTIFS(BD!$B$3:$B$5001,J$184,BD!$A$3:$A$5001,"&gt;="&amp;$C$7,BD!$A$3:$A$5001,"&lt;="&amp;$B212,BD!$L$3:$L$5001,"&lt;&gt;")=0,"",SUMIFS(BD!$L$3:$L$5001,BD!$B$3:$B$5001,J$184,BD!$A$3:$A$5001,_xlfn.MAXIFS(BD!$A$3:$A$5001,BD!$B$3:$B$5001,J$184,BD!$A$3:$A$5001,"&gt;="&amp;$C$7,BD!$A$3:$A$5001,"&lt;="&amp;$B212,BD!$L$3:$L$5001,"&lt;&gt;"))))</f>
        <v/>
      </c>
      <c r="K212" s="43" t="str">
        <f>IF(OR($B212="",$A212&gt;$B$9,K$184=""),"",IF(COUNTIFS(BD!$B$3:$B$5001,K$184,BD!$A$3:$A$5001,"&gt;="&amp;$C$7,BD!$A$3:$A$5001,"&lt;="&amp;$B212,BD!$L$3:$L$5001,"&lt;&gt;")=0,"",SUMIFS(BD!$L$3:$L$5001,BD!$B$3:$B$5001,K$184,BD!$A$3:$A$5001,_xlfn.MAXIFS(BD!$A$3:$A$5001,BD!$B$3:$B$5001,K$184,BD!$A$3:$A$5001,"&gt;="&amp;$C$7,BD!$A$3:$A$5001,"&lt;="&amp;$B212,BD!$L$3:$L$5001,"&lt;&gt;"))))</f>
        <v/>
      </c>
      <c r="L212" s="43" t="str">
        <f>IF(OR($B212="",$A212&gt;$B$9,L$184=""),"",IF(COUNTIFS(BD!$B$3:$B$5001,L$184,BD!$A$3:$A$5001,"&gt;="&amp;$C$7,BD!$A$3:$A$5001,"&lt;="&amp;$B212,BD!$L$3:$L$5001,"&lt;&gt;")=0,"",SUMIFS(BD!$L$3:$L$5001,BD!$B$3:$B$5001,L$184,BD!$A$3:$A$5001,_xlfn.MAXIFS(BD!$A$3:$A$5001,BD!$B$3:$B$5001,L$184,BD!$A$3:$A$5001,"&gt;="&amp;$C$7,BD!$A$3:$A$5001,"&lt;="&amp;$B212,BD!$L$3:$L$5001,"&lt;&gt;"))))</f>
        <v/>
      </c>
      <c r="M212" s="43" t="str">
        <f>IF(OR($B212="",$A212&gt;$B$9,M$184=""),"",IF(COUNTIFS(BD!$B$3:$B$5001,M$184,BD!$A$3:$A$5001,"&gt;="&amp;$C$7,BD!$A$3:$A$5001,"&lt;="&amp;$B212,BD!$L$3:$L$5001,"&lt;&gt;")=0,"",SUMIFS(BD!$L$3:$L$5001,BD!$B$3:$B$5001,M$184,BD!$A$3:$A$5001,_xlfn.MAXIFS(BD!$A$3:$A$5001,BD!$B$3:$B$5001,M$184,BD!$A$3:$A$5001,"&gt;="&amp;$C$7,BD!$A$3:$A$5001,"&lt;="&amp;$B212,BD!$L$3:$L$5001,"&lt;&gt;"))))</f>
        <v/>
      </c>
      <c r="N212" s="43" t="str">
        <f>IF(OR($B212="",$A212&gt;$B$9,N$184=""),"",IF(COUNTIFS(BD!$B$3:$B$5001,N$184,BD!$A$3:$A$5001,"&gt;="&amp;$C$7,BD!$A$3:$A$5001,"&lt;="&amp;$B212,BD!$L$3:$L$5001,"&lt;&gt;")=0,"",SUMIFS(BD!$L$3:$L$5001,BD!$B$3:$B$5001,N$184,BD!$A$3:$A$5001,_xlfn.MAXIFS(BD!$A$3:$A$5001,BD!$B$3:$B$5001,N$184,BD!$A$3:$A$5001,"&gt;="&amp;$C$7,BD!$A$3:$A$5001,"&lt;="&amp;$B212,BD!$L$3:$L$5001,"&lt;&gt;"))))</f>
        <v/>
      </c>
      <c r="O212" s="43" t="str">
        <f>IF(OR($B212="",$A212&gt;$B$9,O$184=""),"",IF(COUNTIFS(BD!$B$3:$B$5001,O$184,BD!$A$3:$A$5001,"&gt;="&amp;$C$7,BD!$A$3:$A$5001,"&lt;="&amp;$B212,BD!$L$3:$L$5001,"&lt;&gt;")=0,"",SUMIFS(BD!$L$3:$L$5001,BD!$B$3:$B$5001,O$184,BD!$A$3:$A$5001,_xlfn.MAXIFS(BD!$A$3:$A$5001,BD!$B$3:$B$5001,O$184,BD!$A$3:$A$5001,"&gt;="&amp;$C$7,BD!$A$3:$A$5001,"&lt;="&amp;$B212,BD!$L$3:$L$5001,"&lt;&gt;"))))</f>
        <v/>
      </c>
      <c r="P212" s="43" t="str">
        <f>IF(OR($B212="",$A212&gt;$B$9,P$184=""),"",IF(COUNTIFS(BD!$B$3:$B$5001,P$184,BD!$A$3:$A$5001,"&gt;="&amp;$C$7,BD!$A$3:$A$5001,"&lt;="&amp;$B212,BD!$L$3:$L$5001,"&lt;&gt;")=0,"",SUMIFS(BD!$L$3:$L$5001,BD!$B$3:$B$5001,P$184,BD!$A$3:$A$5001,_xlfn.MAXIFS(BD!$A$3:$A$5001,BD!$B$3:$B$5001,P$184,BD!$A$3:$A$5001,"&gt;="&amp;$C$7,BD!$A$3:$A$5001,"&lt;="&amp;$B212,BD!$L$3:$L$5001,"&lt;&gt;"))))</f>
        <v/>
      </c>
      <c r="Q212" s="43" t="str">
        <f>IF(OR($B212="",$A212&gt;$B$9,Q$184=""),"",IF(COUNTIFS(BD!$B$3:$B$5001,Q$184,BD!$A$3:$A$5001,"&gt;="&amp;$C$7,BD!$A$3:$A$5001,"&lt;="&amp;$B212,BD!$L$3:$L$5001,"&lt;&gt;")=0,"",SUMIFS(BD!$L$3:$L$5001,BD!$B$3:$B$5001,Q$184,BD!$A$3:$A$5001,_xlfn.MAXIFS(BD!$A$3:$A$5001,BD!$B$3:$B$5001,Q$184,BD!$A$3:$A$5001,"&gt;="&amp;$C$7,BD!$A$3:$A$5001,"&lt;="&amp;$B212,BD!$L$3:$L$5001,"&lt;&gt;"))))</f>
        <v/>
      </c>
      <c r="R212" s="43" t="str">
        <f>IF(OR($B212="",$A212&gt;$B$9,R$184=""),"",IF(COUNTIFS(BD!$B$3:$B$5001,R$184,BD!$A$3:$A$5001,"&gt;="&amp;$C$7,BD!$A$3:$A$5001,"&lt;="&amp;$B212,BD!$L$3:$L$5001,"&lt;&gt;")=0,"",SUMIFS(BD!$L$3:$L$5001,BD!$B$3:$B$5001,R$184,BD!$A$3:$A$5001,_xlfn.MAXIFS(BD!$A$3:$A$5001,BD!$B$3:$B$5001,R$184,BD!$A$3:$A$5001,"&gt;="&amp;$C$7,BD!$A$3:$A$5001,"&lt;="&amp;$B212,BD!$L$3:$L$5001,"&lt;&gt;"))))</f>
        <v/>
      </c>
      <c r="S212" s="43" t="str">
        <f>IF(OR($B212="",$A212&gt;$B$9,S$184=""),"",IF(COUNTIFS(BD!$B$3:$B$5001,S$184,BD!$A$3:$A$5001,"&gt;="&amp;$C$7,BD!$A$3:$A$5001,"&lt;="&amp;$B212,BD!$L$3:$L$5001,"&lt;&gt;")=0,"",SUMIFS(BD!$L$3:$L$5001,BD!$B$3:$B$5001,S$184,BD!$A$3:$A$5001,_xlfn.MAXIFS(BD!$A$3:$A$5001,BD!$B$3:$B$5001,S$184,BD!$A$3:$A$5001,"&gt;="&amp;$C$7,BD!$A$3:$A$5001,"&lt;="&amp;$B212,BD!$L$3:$L$5001,"&lt;&gt;"))))</f>
        <v/>
      </c>
      <c r="T212" s="43" t="str">
        <f>IF(OR($B212="",$A212&gt;$B$9,T$184=""),"",IF(COUNTIFS(BD!$B$3:$B$5001,T$184,BD!$A$3:$A$5001,"&gt;="&amp;$C$7,BD!$A$3:$A$5001,"&lt;="&amp;$B212,BD!$L$3:$L$5001,"&lt;&gt;")=0,"",SUMIFS(BD!$L$3:$L$5001,BD!$B$3:$B$5001,T$184,BD!$A$3:$A$5001,_xlfn.MAXIFS(BD!$A$3:$A$5001,BD!$B$3:$B$5001,T$184,BD!$A$3:$A$5001,"&gt;="&amp;$C$7,BD!$A$3:$A$5001,"&lt;="&amp;$B212,BD!$L$3:$L$5001,"&lt;&gt;"))))</f>
        <v/>
      </c>
      <c r="U212" s="43" t="str">
        <f>IF(OR($B212="",$A212&gt;$B$9,U$184=""),"",IF(COUNTIFS(BD!$B$3:$B$5001,U$184,BD!$A$3:$A$5001,"&gt;="&amp;$C$7,BD!$A$3:$A$5001,"&lt;="&amp;$B212,BD!$L$3:$L$5001,"&lt;&gt;")=0,"",SUMIFS(BD!$L$3:$L$5001,BD!$B$3:$B$5001,U$184,BD!$A$3:$A$5001,_xlfn.MAXIFS(BD!$A$3:$A$5001,BD!$B$3:$B$5001,U$184,BD!$A$3:$A$5001,"&gt;="&amp;$C$7,BD!$A$3:$A$5001,"&lt;="&amp;$B212,BD!$L$3:$L$5001,"&lt;&gt;"))))</f>
        <v/>
      </c>
      <c r="V212" s="43" t="str">
        <f>IF(OR($B212="",$A212&gt;$B$9,V$184=""),"",IF(COUNTIFS(BD!$B$3:$B$5001,V$184,BD!$A$3:$A$5001,"&gt;="&amp;$C$7,BD!$A$3:$A$5001,"&lt;="&amp;$B212,BD!$L$3:$L$5001,"&lt;&gt;")=0,"",SUMIFS(BD!$L$3:$L$5001,BD!$B$3:$B$5001,V$184,BD!$A$3:$A$5001,_xlfn.MAXIFS(BD!$A$3:$A$5001,BD!$B$3:$B$5001,V$184,BD!$A$3:$A$5001,"&gt;="&amp;$C$7,BD!$A$3:$A$5001,"&lt;="&amp;$B212,BD!$L$3:$L$5001,"&lt;&gt;"))))</f>
        <v/>
      </c>
    </row>
    <row r="213">
      <c r="A213" s="38">
        <v>29</v>
      </c>
      <c r="B213" s="42">
        <f>$B$40</f>
        <v>46324</v>
      </c>
      <c r="C213" s="43" t="str">
        <f>IF(OR($B213="",$A213&gt;$B$9,C$184=""),"",IF(COUNTIFS(BD!$B$3:$B$5001,C$184,BD!$A$3:$A$5001,"&gt;="&amp;$C$7,BD!$A$3:$A$5001,"&lt;="&amp;$B213,BD!$L$3:$L$5001,"&lt;&gt;")=0,"",SUMIFS(BD!$L$3:$L$5001,BD!$B$3:$B$5001,C$184,BD!$A$3:$A$5001,_xlfn.MAXIFS(BD!$A$3:$A$5001,BD!$B$3:$B$5001,C$184,BD!$A$3:$A$5001,"&gt;="&amp;$C$7,BD!$A$3:$A$5001,"&lt;="&amp;$B213,BD!$L$3:$L$5001,"&lt;&gt;"))))</f>
        <v/>
      </c>
      <c r="D213" s="43" t="str">
        <f>IF(OR($B213="",$A213&gt;$B$9,D$184=""),"",IF(COUNTIFS(BD!$B$3:$B$5001,D$184,BD!$A$3:$A$5001,"&gt;="&amp;$C$7,BD!$A$3:$A$5001,"&lt;="&amp;$B213,BD!$L$3:$L$5001,"&lt;&gt;")=0,"",SUMIFS(BD!$L$3:$L$5001,BD!$B$3:$B$5001,D$184,BD!$A$3:$A$5001,_xlfn.MAXIFS(BD!$A$3:$A$5001,BD!$B$3:$B$5001,D$184,BD!$A$3:$A$5001,"&gt;="&amp;$C$7,BD!$A$3:$A$5001,"&lt;="&amp;$B213,BD!$L$3:$L$5001,"&lt;&gt;"))))</f>
        <v/>
      </c>
      <c r="E213" s="43" t="str">
        <f>IF(OR($B213="",$A213&gt;$B$9,E$184=""),"",IF(COUNTIFS(BD!$B$3:$B$5001,E$184,BD!$A$3:$A$5001,"&gt;="&amp;$C$7,BD!$A$3:$A$5001,"&lt;="&amp;$B213,BD!$L$3:$L$5001,"&lt;&gt;")=0,"",SUMIFS(BD!$L$3:$L$5001,BD!$B$3:$B$5001,E$184,BD!$A$3:$A$5001,_xlfn.MAXIFS(BD!$A$3:$A$5001,BD!$B$3:$B$5001,E$184,BD!$A$3:$A$5001,"&gt;="&amp;$C$7,BD!$A$3:$A$5001,"&lt;="&amp;$B213,BD!$L$3:$L$5001,"&lt;&gt;"))))</f>
        <v/>
      </c>
      <c r="F213" s="43" t="str">
        <f>IF(OR($B213="",$A213&gt;$B$9,F$184=""),"",IF(COUNTIFS(BD!$B$3:$B$5001,F$184,BD!$A$3:$A$5001,"&gt;="&amp;$C$7,BD!$A$3:$A$5001,"&lt;="&amp;$B213,BD!$L$3:$L$5001,"&lt;&gt;")=0,"",SUMIFS(BD!$L$3:$L$5001,BD!$B$3:$B$5001,F$184,BD!$A$3:$A$5001,_xlfn.MAXIFS(BD!$A$3:$A$5001,BD!$B$3:$B$5001,F$184,BD!$A$3:$A$5001,"&gt;="&amp;$C$7,BD!$A$3:$A$5001,"&lt;="&amp;$B213,BD!$L$3:$L$5001,"&lt;&gt;"))))</f>
        <v/>
      </c>
      <c r="G213" s="43" t="str">
        <f>IF(OR($B213="",$A213&gt;$B$9,G$184=""),"",IF(COUNTIFS(BD!$B$3:$B$5001,G$184,BD!$A$3:$A$5001,"&gt;="&amp;$C$7,BD!$A$3:$A$5001,"&lt;="&amp;$B213,BD!$L$3:$L$5001,"&lt;&gt;")=0,"",SUMIFS(BD!$L$3:$L$5001,BD!$B$3:$B$5001,G$184,BD!$A$3:$A$5001,_xlfn.MAXIFS(BD!$A$3:$A$5001,BD!$B$3:$B$5001,G$184,BD!$A$3:$A$5001,"&gt;="&amp;$C$7,BD!$A$3:$A$5001,"&lt;="&amp;$B213,BD!$L$3:$L$5001,"&lt;&gt;"))))</f>
        <v/>
      </c>
      <c r="H213" s="43" t="str">
        <f>IF(OR($B213="",$A213&gt;$B$9,H$184=""),"",IF(COUNTIFS(BD!$B$3:$B$5001,H$184,BD!$A$3:$A$5001,"&gt;="&amp;$C$7,BD!$A$3:$A$5001,"&lt;="&amp;$B213,BD!$L$3:$L$5001,"&lt;&gt;")=0,"",SUMIFS(BD!$L$3:$L$5001,BD!$B$3:$B$5001,H$184,BD!$A$3:$A$5001,_xlfn.MAXIFS(BD!$A$3:$A$5001,BD!$B$3:$B$5001,H$184,BD!$A$3:$A$5001,"&gt;="&amp;$C$7,BD!$A$3:$A$5001,"&lt;="&amp;$B213,BD!$L$3:$L$5001,"&lt;&gt;"))))</f>
        <v/>
      </c>
      <c r="I213" s="43" t="str">
        <f>IF(OR($B213="",$A213&gt;$B$9,I$184=""),"",IF(COUNTIFS(BD!$B$3:$B$5001,I$184,BD!$A$3:$A$5001,"&gt;="&amp;$C$7,BD!$A$3:$A$5001,"&lt;="&amp;$B213,BD!$L$3:$L$5001,"&lt;&gt;")=0,"",SUMIFS(BD!$L$3:$L$5001,BD!$B$3:$B$5001,I$184,BD!$A$3:$A$5001,_xlfn.MAXIFS(BD!$A$3:$A$5001,BD!$B$3:$B$5001,I$184,BD!$A$3:$A$5001,"&gt;="&amp;$C$7,BD!$A$3:$A$5001,"&lt;="&amp;$B213,BD!$L$3:$L$5001,"&lt;&gt;"))))</f>
        <v/>
      </c>
      <c r="J213" s="43" t="str">
        <f>IF(OR($B213="",$A213&gt;$B$9,J$184=""),"",IF(COUNTIFS(BD!$B$3:$B$5001,J$184,BD!$A$3:$A$5001,"&gt;="&amp;$C$7,BD!$A$3:$A$5001,"&lt;="&amp;$B213,BD!$L$3:$L$5001,"&lt;&gt;")=0,"",SUMIFS(BD!$L$3:$L$5001,BD!$B$3:$B$5001,J$184,BD!$A$3:$A$5001,_xlfn.MAXIFS(BD!$A$3:$A$5001,BD!$B$3:$B$5001,J$184,BD!$A$3:$A$5001,"&gt;="&amp;$C$7,BD!$A$3:$A$5001,"&lt;="&amp;$B213,BD!$L$3:$L$5001,"&lt;&gt;"))))</f>
        <v/>
      </c>
      <c r="K213" s="43" t="str">
        <f>IF(OR($B213="",$A213&gt;$B$9,K$184=""),"",IF(COUNTIFS(BD!$B$3:$B$5001,K$184,BD!$A$3:$A$5001,"&gt;="&amp;$C$7,BD!$A$3:$A$5001,"&lt;="&amp;$B213,BD!$L$3:$L$5001,"&lt;&gt;")=0,"",SUMIFS(BD!$L$3:$L$5001,BD!$B$3:$B$5001,K$184,BD!$A$3:$A$5001,_xlfn.MAXIFS(BD!$A$3:$A$5001,BD!$B$3:$B$5001,K$184,BD!$A$3:$A$5001,"&gt;="&amp;$C$7,BD!$A$3:$A$5001,"&lt;="&amp;$B213,BD!$L$3:$L$5001,"&lt;&gt;"))))</f>
        <v/>
      </c>
      <c r="L213" s="43" t="str">
        <f>IF(OR($B213="",$A213&gt;$B$9,L$184=""),"",IF(COUNTIFS(BD!$B$3:$B$5001,L$184,BD!$A$3:$A$5001,"&gt;="&amp;$C$7,BD!$A$3:$A$5001,"&lt;="&amp;$B213,BD!$L$3:$L$5001,"&lt;&gt;")=0,"",SUMIFS(BD!$L$3:$L$5001,BD!$B$3:$B$5001,L$184,BD!$A$3:$A$5001,_xlfn.MAXIFS(BD!$A$3:$A$5001,BD!$B$3:$B$5001,L$184,BD!$A$3:$A$5001,"&gt;="&amp;$C$7,BD!$A$3:$A$5001,"&lt;="&amp;$B213,BD!$L$3:$L$5001,"&lt;&gt;"))))</f>
        <v/>
      </c>
      <c r="M213" s="43" t="str">
        <f>IF(OR($B213="",$A213&gt;$B$9,M$184=""),"",IF(COUNTIFS(BD!$B$3:$B$5001,M$184,BD!$A$3:$A$5001,"&gt;="&amp;$C$7,BD!$A$3:$A$5001,"&lt;="&amp;$B213,BD!$L$3:$L$5001,"&lt;&gt;")=0,"",SUMIFS(BD!$L$3:$L$5001,BD!$B$3:$B$5001,M$184,BD!$A$3:$A$5001,_xlfn.MAXIFS(BD!$A$3:$A$5001,BD!$B$3:$B$5001,M$184,BD!$A$3:$A$5001,"&gt;="&amp;$C$7,BD!$A$3:$A$5001,"&lt;="&amp;$B213,BD!$L$3:$L$5001,"&lt;&gt;"))))</f>
        <v/>
      </c>
      <c r="N213" s="43" t="str">
        <f>IF(OR($B213="",$A213&gt;$B$9,N$184=""),"",IF(COUNTIFS(BD!$B$3:$B$5001,N$184,BD!$A$3:$A$5001,"&gt;="&amp;$C$7,BD!$A$3:$A$5001,"&lt;="&amp;$B213,BD!$L$3:$L$5001,"&lt;&gt;")=0,"",SUMIFS(BD!$L$3:$L$5001,BD!$B$3:$B$5001,N$184,BD!$A$3:$A$5001,_xlfn.MAXIFS(BD!$A$3:$A$5001,BD!$B$3:$B$5001,N$184,BD!$A$3:$A$5001,"&gt;="&amp;$C$7,BD!$A$3:$A$5001,"&lt;="&amp;$B213,BD!$L$3:$L$5001,"&lt;&gt;"))))</f>
        <v/>
      </c>
      <c r="O213" s="43" t="str">
        <f>IF(OR($B213="",$A213&gt;$B$9,O$184=""),"",IF(COUNTIFS(BD!$B$3:$B$5001,O$184,BD!$A$3:$A$5001,"&gt;="&amp;$C$7,BD!$A$3:$A$5001,"&lt;="&amp;$B213,BD!$L$3:$L$5001,"&lt;&gt;")=0,"",SUMIFS(BD!$L$3:$L$5001,BD!$B$3:$B$5001,O$184,BD!$A$3:$A$5001,_xlfn.MAXIFS(BD!$A$3:$A$5001,BD!$B$3:$B$5001,O$184,BD!$A$3:$A$5001,"&gt;="&amp;$C$7,BD!$A$3:$A$5001,"&lt;="&amp;$B213,BD!$L$3:$L$5001,"&lt;&gt;"))))</f>
        <v/>
      </c>
      <c r="P213" s="43" t="str">
        <f>IF(OR($B213="",$A213&gt;$B$9,P$184=""),"",IF(COUNTIFS(BD!$B$3:$B$5001,P$184,BD!$A$3:$A$5001,"&gt;="&amp;$C$7,BD!$A$3:$A$5001,"&lt;="&amp;$B213,BD!$L$3:$L$5001,"&lt;&gt;")=0,"",SUMIFS(BD!$L$3:$L$5001,BD!$B$3:$B$5001,P$184,BD!$A$3:$A$5001,_xlfn.MAXIFS(BD!$A$3:$A$5001,BD!$B$3:$B$5001,P$184,BD!$A$3:$A$5001,"&gt;="&amp;$C$7,BD!$A$3:$A$5001,"&lt;="&amp;$B213,BD!$L$3:$L$5001,"&lt;&gt;"))))</f>
        <v/>
      </c>
      <c r="Q213" s="43" t="str">
        <f>IF(OR($B213="",$A213&gt;$B$9,Q$184=""),"",IF(COUNTIFS(BD!$B$3:$B$5001,Q$184,BD!$A$3:$A$5001,"&gt;="&amp;$C$7,BD!$A$3:$A$5001,"&lt;="&amp;$B213,BD!$L$3:$L$5001,"&lt;&gt;")=0,"",SUMIFS(BD!$L$3:$L$5001,BD!$B$3:$B$5001,Q$184,BD!$A$3:$A$5001,_xlfn.MAXIFS(BD!$A$3:$A$5001,BD!$B$3:$B$5001,Q$184,BD!$A$3:$A$5001,"&gt;="&amp;$C$7,BD!$A$3:$A$5001,"&lt;="&amp;$B213,BD!$L$3:$L$5001,"&lt;&gt;"))))</f>
        <v/>
      </c>
      <c r="R213" s="43" t="str">
        <f>IF(OR($B213="",$A213&gt;$B$9,R$184=""),"",IF(COUNTIFS(BD!$B$3:$B$5001,R$184,BD!$A$3:$A$5001,"&gt;="&amp;$C$7,BD!$A$3:$A$5001,"&lt;="&amp;$B213,BD!$L$3:$L$5001,"&lt;&gt;")=0,"",SUMIFS(BD!$L$3:$L$5001,BD!$B$3:$B$5001,R$184,BD!$A$3:$A$5001,_xlfn.MAXIFS(BD!$A$3:$A$5001,BD!$B$3:$B$5001,R$184,BD!$A$3:$A$5001,"&gt;="&amp;$C$7,BD!$A$3:$A$5001,"&lt;="&amp;$B213,BD!$L$3:$L$5001,"&lt;&gt;"))))</f>
        <v/>
      </c>
      <c r="S213" s="43" t="str">
        <f>IF(OR($B213="",$A213&gt;$B$9,S$184=""),"",IF(COUNTIFS(BD!$B$3:$B$5001,S$184,BD!$A$3:$A$5001,"&gt;="&amp;$C$7,BD!$A$3:$A$5001,"&lt;="&amp;$B213,BD!$L$3:$L$5001,"&lt;&gt;")=0,"",SUMIFS(BD!$L$3:$L$5001,BD!$B$3:$B$5001,S$184,BD!$A$3:$A$5001,_xlfn.MAXIFS(BD!$A$3:$A$5001,BD!$B$3:$B$5001,S$184,BD!$A$3:$A$5001,"&gt;="&amp;$C$7,BD!$A$3:$A$5001,"&lt;="&amp;$B213,BD!$L$3:$L$5001,"&lt;&gt;"))))</f>
        <v/>
      </c>
      <c r="T213" s="43" t="str">
        <f>IF(OR($B213="",$A213&gt;$B$9,T$184=""),"",IF(COUNTIFS(BD!$B$3:$B$5001,T$184,BD!$A$3:$A$5001,"&gt;="&amp;$C$7,BD!$A$3:$A$5001,"&lt;="&amp;$B213,BD!$L$3:$L$5001,"&lt;&gt;")=0,"",SUMIFS(BD!$L$3:$L$5001,BD!$B$3:$B$5001,T$184,BD!$A$3:$A$5001,_xlfn.MAXIFS(BD!$A$3:$A$5001,BD!$B$3:$B$5001,T$184,BD!$A$3:$A$5001,"&gt;="&amp;$C$7,BD!$A$3:$A$5001,"&lt;="&amp;$B213,BD!$L$3:$L$5001,"&lt;&gt;"))))</f>
        <v/>
      </c>
      <c r="U213" s="43" t="str">
        <f>IF(OR($B213="",$A213&gt;$B$9,U$184=""),"",IF(COUNTIFS(BD!$B$3:$B$5001,U$184,BD!$A$3:$A$5001,"&gt;="&amp;$C$7,BD!$A$3:$A$5001,"&lt;="&amp;$B213,BD!$L$3:$L$5001,"&lt;&gt;")=0,"",SUMIFS(BD!$L$3:$L$5001,BD!$B$3:$B$5001,U$184,BD!$A$3:$A$5001,_xlfn.MAXIFS(BD!$A$3:$A$5001,BD!$B$3:$B$5001,U$184,BD!$A$3:$A$5001,"&gt;="&amp;$C$7,BD!$A$3:$A$5001,"&lt;="&amp;$B213,BD!$L$3:$L$5001,"&lt;&gt;"))))</f>
        <v/>
      </c>
      <c r="V213" s="43" t="str">
        <f>IF(OR($B213="",$A213&gt;$B$9,V$184=""),"",IF(COUNTIFS(BD!$B$3:$B$5001,V$184,BD!$A$3:$A$5001,"&gt;="&amp;$C$7,BD!$A$3:$A$5001,"&lt;="&amp;$B213,BD!$L$3:$L$5001,"&lt;&gt;")=0,"",SUMIFS(BD!$L$3:$L$5001,BD!$B$3:$B$5001,V$184,BD!$A$3:$A$5001,_xlfn.MAXIFS(BD!$A$3:$A$5001,BD!$B$3:$B$5001,V$184,BD!$A$3:$A$5001,"&gt;="&amp;$C$7,BD!$A$3:$A$5001,"&lt;="&amp;$B213,BD!$L$3:$L$5001,"&lt;&gt;"))))</f>
        <v/>
      </c>
    </row>
    <row r="214">
      <c r="A214" s="38">
        <v>30</v>
      </c>
      <c r="B214" s="42">
        <f>$B$41</f>
        <v>46325</v>
      </c>
      <c r="C214" s="43" t="str">
        <f>IF(OR($B214="",$A214&gt;$B$9,C$184=""),"",IF(COUNTIFS(BD!$B$3:$B$5001,C$184,BD!$A$3:$A$5001,"&gt;="&amp;$C$7,BD!$A$3:$A$5001,"&lt;="&amp;$B214,BD!$L$3:$L$5001,"&lt;&gt;")=0,"",SUMIFS(BD!$L$3:$L$5001,BD!$B$3:$B$5001,C$184,BD!$A$3:$A$5001,_xlfn.MAXIFS(BD!$A$3:$A$5001,BD!$B$3:$B$5001,C$184,BD!$A$3:$A$5001,"&gt;="&amp;$C$7,BD!$A$3:$A$5001,"&lt;="&amp;$B214,BD!$L$3:$L$5001,"&lt;&gt;"))))</f>
        <v/>
      </c>
      <c r="D214" s="43" t="str">
        <f>IF(OR($B214="",$A214&gt;$B$9,D$184=""),"",IF(COUNTIFS(BD!$B$3:$B$5001,D$184,BD!$A$3:$A$5001,"&gt;="&amp;$C$7,BD!$A$3:$A$5001,"&lt;="&amp;$B214,BD!$L$3:$L$5001,"&lt;&gt;")=0,"",SUMIFS(BD!$L$3:$L$5001,BD!$B$3:$B$5001,D$184,BD!$A$3:$A$5001,_xlfn.MAXIFS(BD!$A$3:$A$5001,BD!$B$3:$B$5001,D$184,BD!$A$3:$A$5001,"&gt;="&amp;$C$7,BD!$A$3:$A$5001,"&lt;="&amp;$B214,BD!$L$3:$L$5001,"&lt;&gt;"))))</f>
        <v/>
      </c>
      <c r="E214" s="43" t="str">
        <f>IF(OR($B214="",$A214&gt;$B$9,E$184=""),"",IF(COUNTIFS(BD!$B$3:$B$5001,E$184,BD!$A$3:$A$5001,"&gt;="&amp;$C$7,BD!$A$3:$A$5001,"&lt;="&amp;$B214,BD!$L$3:$L$5001,"&lt;&gt;")=0,"",SUMIFS(BD!$L$3:$L$5001,BD!$B$3:$B$5001,E$184,BD!$A$3:$A$5001,_xlfn.MAXIFS(BD!$A$3:$A$5001,BD!$B$3:$B$5001,E$184,BD!$A$3:$A$5001,"&gt;="&amp;$C$7,BD!$A$3:$A$5001,"&lt;="&amp;$B214,BD!$L$3:$L$5001,"&lt;&gt;"))))</f>
        <v/>
      </c>
      <c r="F214" s="43" t="str">
        <f>IF(OR($B214="",$A214&gt;$B$9,F$184=""),"",IF(COUNTIFS(BD!$B$3:$B$5001,F$184,BD!$A$3:$A$5001,"&gt;="&amp;$C$7,BD!$A$3:$A$5001,"&lt;="&amp;$B214,BD!$L$3:$L$5001,"&lt;&gt;")=0,"",SUMIFS(BD!$L$3:$L$5001,BD!$B$3:$B$5001,F$184,BD!$A$3:$A$5001,_xlfn.MAXIFS(BD!$A$3:$A$5001,BD!$B$3:$B$5001,F$184,BD!$A$3:$A$5001,"&gt;="&amp;$C$7,BD!$A$3:$A$5001,"&lt;="&amp;$B214,BD!$L$3:$L$5001,"&lt;&gt;"))))</f>
        <v/>
      </c>
      <c r="G214" s="43" t="str">
        <f>IF(OR($B214="",$A214&gt;$B$9,G$184=""),"",IF(COUNTIFS(BD!$B$3:$B$5001,G$184,BD!$A$3:$A$5001,"&gt;="&amp;$C$7,BD!$A$3:$A$5001,"&lt;="&amp;$B214,BD!$L$3:$L$5001,"&lt;&gt;")=0,"",SUMIFS(BD!$L$3:$L$5001,BD!$B$3:$B$5001,G$184,BD!$A$3:$A$5001,_xlfn.MAXIFS(BD!$A$3:$A$5001,BD!$B$3:$B$5001,G$184,BD!$A$3:$A$5001,"&gt;="&amp;$C$7,BD!$A$3:$A$5001,"&lt;="&amp;$B214,BD!$L$3:$L$5001,"&lt;&gt;"))))</f>
        <v/>
      </c>
      <c r="H214" s="43" t="str">
        <f>IF(OR($B214="",$A214&gt;$B$9,H$184=""),"",IF(COUNTIFS(BD!$B$3:$B$5001,H$184,BD!$A$3:$A$5001,"&gt;="&amp;$C$7,BD!$A$3:$A$5001,"&lt;="&amp;$B214,BD!$L$3:$L$5001,"&lt;&gt;")=0,"",SUMIFS(BD!$L$3:$L$5001,BD!$B$3:$B$5001,H$184,BD!$A$3:$A$5001,_xlfn.MAXIFS(BD!$A$3:$A$5001,BD!$B$3:$B$5001,H$184,BD!$A$3:$A$5001,"&gt;="&amp;$C$7,BD!$A$3:$A$5001,"&lt;="&amp;$B214,BD!$L$3:$L$5001,"&lt;&gt;"))))</f>
        <v/>
      </c>
      <c r="I214" s="43" t="str">
        <f>IF(OR($B214="",$A214&gt;$B$9,I$184=""),"",IF(COUNTIFS(BD!$B$3:$B$5001,I$184,BD!$A$3:$A$5001,"&gt;="&amp;$C$7,BD!$A$3:$A$5001,"&lt;="&amp;$B214,BD!$L$3:$L$5001,"&lt;&gt;")=0,"",SUMIFS(BD!$L$3:$L$5001,BD!$B$3:$B$5001,I$184,BD!$A$3:$A$5001,_xlfn.MAXIFS(BD!$A$3:$A$5001,BD!$B$3:$B$5001,I$184,BD!$A$3:$A$5001,"&gt;="&amp;$C$7,BD!$A$3:$A$5001,"&lt;="&amp;$B214,BD!$L$3:$L$5001,"&lt;&gt;"))))</f>
        <v/>
      </c>
      <c r="J214" s="43" t="str">
        <f>IF(OR($B214="",$A214&gt;$B$9,J$184=""),"",IF(COUNTIFS(BD!$B$3:$B$5001,J$184,BD!$A$3:$A$5001,"&gt;="&amp;$C$7,BD!$A$3:$A$5001,"&lt;="&amp;$B214,BD!$L$3:$L$5001,"&lt;&gt;")=0,"",SUMIFS(BD!$L$3:$L$5001,BD!$B$3:$B$5001,J$184,BD!$A$3:$A$5001,_xlfn.MAXIFS(BD!$A$3:$A$5001,BD!$B$3:$B$5001,J$184,BD!$A$3:$A$5001,"&gt;="&amp;$C$7,BD!$A$3:$A$5001,"&lt;="&amp;$B214,BD!$L$3:$L$5001,"&lt;&gt;"))))</f>
        <v/>
      </c>
      <c r="K214" s="43" t="str">
        <f>IF(OR($B214="",$A214&gt;$B$9,K$184=""),"",IF(COUNTIFS(BD!$B$3:$B$5001,K$184,BD!$A$3:$A$5001,"&gt;="&amp;$C$7,BD!$A$3:$A$5001,"&lt;="&amp;$B214,BD!$L$3:$L$5001,"&lt;&gt;")=0,"",SUMIFS(BD!$L$3:$L$5001,BD!$B$3:$B$5001,K$184,BD!$A$3:$A$5001,_xlfn.MAXIFS(BD!$A$3:$A$5001,BD!$B$3:$B$5001,K$184,BD!$A$3:$A$5001,"&gt;="&amp;$C$7,BD!$A$3:$A$5001,"&lt;="&amp;$B214,BD!$L$3:$L$5001,"&lt;&gt;"))))</f>
        <v/>
      </c>
      <c r="L214" s="43" t="str">
        <f>IF(OR($B214="",$A214&gt;$B$9,L$184=""),"",IF(COUNTIFS(BD!$B$3:$B$5001,L$184,BD!$A$3:$A$5001,"&gt;="&amp;$C$7,BD!$A$3:$A$5001,"&lt;="&amp;$B214,BD!$L$3:$L$5001,"&lt;&gt;")=0,"",SUMIFS(BD!$L$3:$L$5001,BD!$B$3:$B$5001,L$184,BD!$A$3:$A$5001,_xlfn.MAXIFS(BD!$A$3:$A$5001,BD!$B$3:$B$5001,L$184,BD!$A$3:$A$5001,"&gt;="&amp;$C$7,BD!$A$3:$A$5001,"&lt;="&amp;$B214,BD!$L$3:$L$5001,"&lt;&gt;"))))</f>
        <v/>
      </c>
      <c r="M214" s="43" t="str">
        <f>IF(OR($B214="",$A214&gt;$B$9,M$184=""),"",IF(COUNTIFS(BD!$B$3:$B$5001,M$184,BD!$A$3:$A$5001,"&gt;="&amp;$C$7,BD!$A$3:$A$5001,"&lt;="&amp;$B214,BD!$L$3:$L$5001,"&lt;&gt;")=0,"",SUMIFS(BD!$L$3:$L$5001,BD!$B$3:$B$5001,M$184,BD!$A$3:$A$5001,_xlfn.MAXIFS(BD!$A$3:$A$5001,BD!$B$3:$B$5001,M$184,BD!$A$3:$A$5001,"&gt;="&amp;$C$7,BD!$A$3:$A$5001,"&lt;="&amp;$B214,BD!$L$3:$L$5001,"&lt;&gt;"))))</f>
        <v/>
      </c>
      <c r="N214" s="43" t="str">
        <f>IF(OR($B214="",$A214&gt;$B$9,N$184=""),"",IF(COUNTIFS(BD!$B$3:$B$5001,N$184,BD!$A$3:$A$5001,"&gt;="&amp;$C$7,BD!$A$3:$A$5001,"&lt;="&amp;$B214,BD!$L$3:$L$5001,"&lt;&gt;")=0,"",SUMIFS(BD!$L$3:$L$5001,BD!$B$3:$B$5001,N$184,BD!$A$3:$A$5001,_xlfn.MAXIFS(BD!$A$3:$A$5001,BD!$B$3:$B$5001,N$184,BD!$A$3:$A$5001,"&gt;="&amp;$C$7,BD!$A$3:$A$5001,"&lt;="&amp;$B214,BD!$L$3:$L$5001,"&lt;&gt;"))))</f>
        <v/>
      </c>
      <c r="O214" s="43" t="str">
        <f>IF(OR($B214="",$A214&gt;$B$9,O$184=""),"",IF(COUNTIFS(BD!$B$3:$B$5001,O$184,BD!$A$3:$A$5001,"&gt;="&amp;$C$7,BD!$A$3:$A$5001,"&lt;="&amp;$B214,BD!$L$3:$L$5001,"&lt;&gt;")=0,"",SUMIFS(BD!$L$3:$L$5001,BD!$B$3:$B$5001,O$184,BD!$A$3:$A$5001,_xlfn.MAXIFS(BD!$A$3:$A$5001,BD!$B$3:$B$5001,O$184,BD!$A$3:$A$5001,"&gt;="&amp;$C$7,BD!$A$3:$A$5001,"&lt;="&amp;$B214,BD!$L$3:$L$5001,"&lt;&gt;"))))</f>
        <v/>
      </c>
      <c r="P214" s="43" t="str">
        <f>IF(OR($B214="",$A214&gt;$B$9,P$184=""),"",IF(COUNTIFS(BD!$B$3:$B$5001,P$184,BD!$A$3:$A$5001,"&gt;="&amp;$C$7,BD!$A$3:$A$5001,"&lt;="&amp;$B214,BD!$L$3:$L$5001,"&lt;&gt;")=0,"",SUMIFS(BD!$L$3:$L$5001,BD!$B$3:$B$5001,P$184,BD!$A$3:$A$5001,_xlfn.MAXIFS(BD!$A$3:$A$5001,BD!$B$3:$B$5001,P$184,BD!$A$3:$A$5001,"&gt;="&amp;$C$7,BD!$A$3:$A$5001,"&lt;="&amp;$B214,BD!$L$3:$L$5001,"&lt;&gt;"))))</f>
        <v/>
      </c>
      <c r="Q214" s="43" t="str">
        <f>IF(OR($B214="",$A214&gt;$B$9,Q$184=""),"",IF(COUNTIFS(BD!$B$3:$B$5001,Q$184,BD!$A$3:$A$5001,"&gt;="&amp;$C$7,BD!$A$3:$A$5001,"&lt;="&amp;$B214,BD!$L$3:$L$5001,"&lt;&gt;")=0,"",SUMIFS(BD!$L$3:$L$5001,BD!$B$3:$B$5001,Q$184,BD!$A$3:$A$5001,_xlfn.MAXIFS(BD!$A$3:$A$5001,BD!$B$3:$B$5001,Q$184,BD!$A$3:$A$5001,"&gt;="&amp;$C$7,BD!$A$3:$A$5001,"&lt;="&amp;$B214,BD!$L$3:$L$5001,"&lt;&gt;"))))</f>
        <v/>
      </c>
      <c r="R214" s="43" t="str">
        <f>IF(OR($B214="",$A214&gt;$B$9,R$184=""),"",IF(COUNTIFS(BD!$B$3:$B$5001,R$184,BD!$A$3:$A$5001,"&gt;="&amp;$C$7,BD!$A$3:$A$5001,"&lt;="&amp;$B214,BD!$L$3:$L$5001,"&lt;&gt;")=0,"",SUMIFS(BD!$L$3:$L$5001,BD!$B$3:$B$5001,R$184,BD!$A$3:$A$5001,_xlfn.MAXIFS(BD!$A$3:$A$5001,BD!$B$3:$B$5001,R$184,BD!$A$3:$A$5001,"&gt;="&amp;$C$7,BD!$A$3:$A$5001,"&lt;="&amp;$B214,BD!$L$3:$L$5001,"&lt;&gt;"))))</f>
        <v/>
      </c>
      <c r="S214" s="43" t="str">
        <f>IF(OR($B214="",$A214&gt;$B$9,S$184=""),"",IF(COUNTIFS(BD!$B$3:$B$5001,S$184,BD!$A$3:$A$5001,"&gt;="&amp;$C$7,BD!$A$3:$A$5001,"&lt;="&amp;$B214,BD!$L$3:$L$5001,"&lt;&gt;")=0,"",SUMIFS(BD!$L$3:$L$5001,BD!$B$3:$B$5001,S$184,BD!$A$3:$A$5001,_xlfn.MAXIFS(BD!$A$3:$A$5001,BD!$B$3:$B$5001,S$184,BD!$A$3:$A$5001,"&gt;="&amp;$C$7,BD!$A$3:$A$5001,"&lt;="&amp;$B214,BD!$L$3:$L$5001,"&lt;&gt;"))))</f>
        <v/>
      </c>
      <c r="T214" s="43" t="str">
        <f>IF(OR($B214="",$A214&gt;$B$9,T$184=""),"",IF(COUNTIFS(BD!$B$3:$B$5001,T$184,BD!$A$3:$A$5001,"&gt;="&amp;$C$7,BD!$A$3:$A$5001,"&lt;="&amp;$B214,BD!$L$3:$L$5001,"&lt;&gt;")=0,"",SUMIFS(BD!$L$3:$L$5001,BD!$B$3:$B$5001,T$184,BD!$A$3:$A$5001,_xlfn.MAXIFS(BD!$A$3:$A$5001,BD!$B$3:$B$5001,T$184,BD!$A$3:$A$5001,"&gt;="&amp;$C$7,BD!$A$3:$A$5001,"&lt;="&amp;$B214,BD!$L$3:$L$5001,"&lt;&gt;"))))</f>
        <v/>
      </c>
      <c r="U214" s="43" t="str">
        <f>IF(OR($B214="",$A214&gt;$B$9,U$184=""),"",IF(COUNTIFS(BD!$B$3:$B$5001,U$184,BD!$A$3:$A$5001,"&gt;="&amp;$C$7,BD!$A$3:$A$5001,"&lt;="&amp;$B214,BD!$L$3:$L$5001,"&lt;&gt;")=0,"",SUMIFS(BD!$L$3:$L$5001,BD!$B$3:$B$5001,U$184,BD!$A$3:$A$5001,_xlfn.MAXIFS(BD!$A$3:$A$5001,BD!$B$3:$B$5001,U$184,BD!$A$3:$A$5001,"&gt;="&amp;$C$7,BD!$A$3:$A$5001,"&lt;="&amp;$B214,BD!$L$3:$L$5001,"&lt;&gt;"))))</f>
        <v/>
      </c>
      <c r="V214" s="43" t="str">
        <f>IF(OR($B214="",$A214&gt;$B$9,V$184=""),"",IF(COUNTIFS(BD!$B$3:$B$5001,V$184,BD!$A$3:$A$5001,"&gt;="&amp;$C$7,BD!$A$3:$A$5001,"&lt;="&amp;$B214,BD!$L$3:$L$5001,"&lt;&gt;")=0,"",SUMIFS(BD!$L$3:$L$5001,BD!$B$3:$B$5001,V$184,BD!$A$3:$A$5001,_xlfn.MAXIFS(BD!$A$3:$A$5001,BD!$B$3:$B$5001,V$184,BD!$A$3:$A$5001,"&gt;="&amp;$C$7,BD!$A$3:$A$5001,"&lt;="&amp;$B214,BD!$L$3:$L$5001,"&lt;&gt;"))))</f>
        <v/>
      </c>
    </row>
    <row r="215">
      <c r="A215" s="38">
        <v>31</v>
      </c>
      <c r="B215" s="42">
        <f>$B$42</f>
        <v>46326</v>
      </c>
      <c r="C215" s="43" t="str">
        <f>IF(OR($B215="",$A215&gt;$B$9,C$184=""),"",IF(COUNTIFS(BD!$B$3:$B$5001,C$184,BD!$A$3:$A$5001,"&gt;="&amp;$C$7,BD!$A$3:$A$5001,"&lt;="&amp;$B215,BD!$L$3:$L$5001,"&lt;&gt;")=0,"",SUMIFS(BD!$L$3:$L$5001,BD!$B$3:$B$5001,C$184,BD!$A$3:$A$5001,_xlfn.MAXIFS(BD!$A$3:$A$5001,BD!$B$3:$B$5001,C$184,BD!$A$3:$A$5001,"&gt;="&amp;$C$7,BD!$A$3:$A$5001,"&lt;="&amp;$B215,BD!$L$3:$L$5001,"&lt;&gt;"))))</f>
        <v/>
      </c>
      <c r="D215" s="43" t="str">
        <f>IF(OR($B215="",$A215&gt;$B$9,D$184=""),"",IF(COUNTIFS(BD!$B$3:$B$5001,D$184,BD!$A$3:$A$5001,"&gt;="&amp;$C$7,BD!$A$3:$A$5001,"&lt;="&amp;$B215,BD!$L$3:$L$5001,"&lt;&gt;")=0,"",SUMIFS(BD!$L$3:$L$5001,BD!$B$3:$B$5001,D$184,BD!$A$3:$A$5001,_xlfn.MAXIFS(BD!$A$3:$A$5001,BD!$B$3:$B$5001,D$184,BD!$A$3:$A$5001,"&gt;="&amp;$C$7,BD!$A$3:$A$5001,"&lt;="&amp;$B215,BD!$L$3:$L$5001,"&lt;&gt;"))))</f>
        <v/>
      </c>
      <c r="E215" s="43" t="str">
        <f>IF(OR($B215="",$A215&gt;$B$9,E$184=""),"",IF(COUNTIFS(BD!$B$3:$B$5001,E$184,BD!$A$3:$A$5001,"&gt;="&amp;$C$7,BD!$A$3:$A$5001,"&lt;="&amp;$B215,BD!$L$3:$L$5001,"&lt;&gt;")=0,"",SUMIFS(BD!$L$3:$L$5001,BD!$B$3:$B$5001,E$184,BD!$A$3:$A$5001,_xlfn.MAXIFS(BD!$A$3:$A$5001,BD!$B$3:$B$5001,E$184,BD!$A$3:$A$5001,"&gt;="&amp;$C$7,BD!$A$3:$A$5001,"&lt;="&amp;$B215,BD!$L$3:$L$5001,"&lt;&gt;"))))</f>
        <v/>
      </c>
      <c r="F215" s="43" t="str">
        <f>IF(OR($B215="",$A215&gt;$B$9,F$184=""),"",IF(COUNTIFS(BD!$B$3:$B$5001,F$184,BD!$A$3:$A$5001,"&gt;="&amp;$C$7,BD!$A$3:$A$5001,"&lt;="&amp;$B215,BD!$L$3:$L$5001,"&lt;&gt;")=0,"",SUMIFS(BD!$L$3:$L$5001,BD!$B$3:$B$5001,F$184,BD!$A$3:$A$5001,_xlfn.MAXIFS(BD!$A$3:$A$5001,BD!$B$3:$B$5001,F$184,BD!$A$3:$A$5001,"&gt;="&amp;$C$7,BD!$A$3:$A$5001,"&lt;="&amp;$B215,BD!$L$3:$L$5001,"&lt;&gt;"))))</f>
        <v/>
      </c>
      <c r="G215" s="43" t="str">
        <f>IF(OR($B215="",$A215&gt;$B$9,G$184=""),"",IF(COUNTIFS(BD!$B$3:$B$5001,G$184,BD!$A$3:$A$5001,"&gt;="&amp;$C$7,BD!$A$3:$A$5001,"&lt;="&amp;$B215,BD!$L$3:$L$5001,"&lt;&gt;")=0,"",SUMIFS(BD!$L$3:$L$5001,BD!$B$3:$B$5001,G$184,BD!$A$3:$A$5001,_xlfn.MAXIFS(BD!$A$3:$A$5001,BD!$B$3:$B$5001,G$184,BD!$A$3:$A$5001,"&gt;="&amp;$C$7,BD!$A$3:$A$5001,"&lt;="&amp;$B215,BD!$L$3:$L$5001,"&lt;&gt;"))))</f>
        <v/>
      </c>
      <c r="H215" s="43" t="str">
        <f>IF(OR($B215="",$A215&gt;$B$9,H$184=""),"",IF(COUNTIFS(BD!$B$3:$B$5001,H$184,BD!$A$3:$A$5001,"&gt;="&amp;$C$7,BD!$A$3:$A$5001,"&lt;="&amp;$B215,BD!$L$3:$L$5001,"&lt;&gt;")=0,"",SUMIFS(BD!$L$3:$L$5001,BD!$B$3:$B$5001,H$184,BD!$A$3:$A$5001,_xlfn.MAXIFS(BD!$A$3:$A$5001,BD!$B$3:$B$5001,H$184,BD!$A$3:$A$5001,"&gt;="&amp;$C$7,BD!$A$3:$A$5001,"&lt;="&amp;$B215,BD!$L$3:$L$5001,"&lt;&gt;"))))</f>
        <v/>
      </c>
      <c r="I215" s="43" t="str">
        <f>IF(OR($B215="",$A215&gt;$B$9,I$184=""),"",IF(COUNTIFS(BD!$B$3:$B$5001,I$184,BD!$A$3:$A$5001,"&gt;="&amp;$C$7,BD!$A$3:$A$5001,"&lt;="&amp;$B215,BD!$L$3:$L$5001,"&lt;&gt;")=0,"",SUMIFS(BD!$L$3:$L$5001,BD!$B$3:$B$5001,I$184,BD!$A$3:$A$5001,_xlfn.MAXIFS(BD!$A$3:$A$5001,BD!$B$3:$B$5001,I$184,BD!$A$3:$A$5001,"&gt;="&amp;$C$7,BD!$A$3:$A$5001,"&lt;="&amp;$B215,BD!$L$3:$L$5001,"&lt;&gt;"))))</f>
        <v/>
      </c>
      <c r="J215" s="43" t="str">
        <f>IF(OR($B215="",$A215&gt;$B$9,J$184=""),"",IF(COUNTIFS(BD!$B$3:$B$5001,J$184,BD!$A$3:$A$5001,"&gt;="&amp;$C$7,BD!$A$3:$A$5001,"&lt;="&amp;$B215,BD!$L$3:$L$5001,"&lt;&gt;")=0,"",SUMIFS(BD!$L$3:$L$5001,BD!$B$3:$B$5001,J$184,BD!$A$3:$A$5001,_xlfn.MAXIFS(BD!$A$3:$A$5001,BD!$B$3:$B$5001,J$184,BD!$A$3:$A$5001,"&gt;="&amp;$C$7,BD!$A$3:$A$5001,"&lt;="&amp;$B215,BD!$L$3:$L$5001,"&lt;&gt;"))))</f>
        <v/>
      </c>
      <c r="K215" s="43" t="str">
        <f>IF(OR($B215="",$A215&gt;$B$9,K$184=""),"",IF(COUNTIFS(BD!$B$3:$B$5001,K$184,BD!$A$3:$A$5001,"&gt;="&amp;$C$7,BD!$A$3:$A$5001,"&lt;="&amp;$B215,BD!$L$3:$L$5001,"&lt;&gt;")=0,"",SUMIFS(BD!$L$3:$L$5001,BD!$B$3:$B$5001,K$184,BD!$A$3:$A$5001,_xlfn.MAXIFS(BD!$A$3:$A$5001,BD!$B$3:$B$5001,K$184,BD!$A$3:$A$5001,"&gt;="&amp;$C$7,BD!$A$3:$A$5001,"&lt;="&amp;$B215,BD!$L$3:$L$5001,"&lt;&gt;"))))</f>
        <v/>
      </c>
      <c r="L215" s="43" t="str">
        <f>IF(OR($B215="",$A215&gt;$B$9,L$184=""),"",IF(COUNTIFS(BD!$B$3:$B$5001,L$184,BD!$A$3:$A$5001,"&gt;="&amp;$C$7,BD!$A$3:$A$5001,"&lt;="&amp;$B215,BD!$L$3:$L$5001,"&lt;&gt;")=0,"",SUMIFS(BD!$L$3:$L$5001,BD!$B$3:$B$5001,L$184,BD!$A$3:$A$5001,_xlfn.MAXIFS(BD!$A$3:$A$5001,BD!$B$3:$B$5001,L$184,BD!$A$3:$A$5001,"&gt;="&amp;$C$7,BD!$A$3:$A$5001,"&lt;="&amp;$B215,BD!$L$3:$L$5001,"&lt;&gt;"))))</f>
        <v/>
      </c>
      <c r="M215" s="43" t="str">
        <f>IF(OR($B215="",$A215&gt;$B$9,M$184=""),"",IF(COUNTIFS(BD!$B$3:$B$5001,M$184,BD!$A$3:$A$5001,"&gt;="&amp;$C$7,BD!$A$3:$A$5001,"&lt;="&amp;$B215,BD!$L$3:$L$5001,"&lt;&gt;")=0,"",SUMIFS(BD!$L$3:$L$5001,BD!$B$3:$B$5001,M$184,BD!$A$3:$A$5001,_xlfn.MAXIFS(BD!$A$3:$A$5001,BD!$B$3:$B$5001,M$184,BD!$A$3:$A$5001,"&gt;="&amp;$C$7,BD!$A$3:$A$5001,"&lt;="&amp;$B215,BD!$L$3:$L$5001,"&lt;&gt;"))))</f>
        <v/>
      </c>
      <c r="N215" s="43" t="str">
        <f>IF(OR($B215="",$A215&gt;$B$9,N$184=""),"",IF(COUNTIFS(BD!$B$3:$B$5001,N$184,BD!$A$3:$A$5001,"&gt;="&amp;$C$7,BD!$A$3:$A$5001,"&lt;="&amp;$B215,BD!$L$3:$L$5001,"&lt;&gt;")=0,"",SUMIFS(BD!$L$3:$L$5001,BD!$B$3:$B$5001,N$184,BD!$A$3:$A$5001,_xlfn.MAXIFS(BD!$A$3:$A$5001,BD!$B$3:$B$5001,N$184,BD!$A$3:$A$5001,"&gt;="&amp;$C$7,BD!$A$3:$A$5001,"&lt;="&amp;$B215,BD!$L$3:$L$5001,"&lt;&gt;"))))</f>
        <v/>
      </c>
      <c r="O215" s="43" t="str">
        <f>IF(OR($B215="",$A215&gt;$B$9,O$184=""),"",IF(COUNTIFS(BD!$B$3:$B$5001,O$184,BD!$A$3:$A$5001,"&gt;="&amp;$C$7,BD!$A$3:$A$5001,"&lt;="&amp;$B215,BD!$L$3:$L$5001,"&lt;&gt;")=0,"",SUMIFS(BD!$L$3:$L$5001,BD!$B$3:$B$5001,O$184,BD!$A$3:$A$5001,_xlfn.MAXIFS(BD!$A$3:$A$5001,BD!$B$3:$B$5001,O$184,BD!$A$3:$A$5001,"&gt;="&amp;$C$7,BD!$A$3:$A$5001,"&lt;="&amp;$B215,BD!$L$3:$L$5001,"&lt;&gt;"))))</f>
        <v/>
      </c>
      <c r="P215" s="43" t="str">
        <f>IF(OR($B215="",$A215&gt;$B$9,P$184=""),"",IF(COUNTIFS(BD!$B$3:$B$5001,P$184,BD!$A$3:$A$5001,"&gt;="&amp;$C$7,BD!$A$3:$A$5001,"&lt;="&amp;$B215,BD!$L$3:$L$5001,"&lt;&gt;")=0,"",SUMIFS(BD!$L$3:$L$5001,BD!$B$3:$B$5001,P$184,BD!$A$3:$A$5001,_xlfn.MAXIFS(BD!$A$3:$A$5001,BD!$B$3:$B$5001,P$184,BD!$A$3:$A$5001,"&gt;="&amp;$C$7,BD!$A$3:$A$5001,"&lt;="&amp;$B215,BD!$L$3:$L$5001,"&lt;&gt;"))))</f>
        <v/>
      </c>
      <c r="Q215" s="43" t="str">
        <f>IF(OR($B215="",$A215&gt;$B$9,Q$184=""),"",IF(COUNTIFS(BD!$B$3:$B$5001,Q$184,BD!$A$3:$A$5001,"&gt;="&amp;$C$7,BD!$A$3:$A$5001,"&lt;="&amp;$B215,BD!$L$3:$L$5001,"&lt;&gt;")=0,"",SUMIFS(BD!$L$3:$L$5001,BD!$B$3:$B$5001,Q$184,BD!$A$3:$A$5001,_xlfn.MAXIFS(BD!$A$3:$A$5001,BD!$B$3:$B$5001,Q$184,BD!$A$3:$A$5001,"&gt;="&amp;$C$7,BD!$A$3:$A$5001,"&lt;="&amp;$B215,BD!$L$3:$L$5001,"&lt;&gt;"))))</f>
        <v/>
      </c>
      <c r="R215" s="43" t="str">
        <f>IF(OR($B215="",$A215&gt;$B$9,R$184=""),"",IF(COUNTIFS(BD!$B$3:$B$5001,R$184,BD!$A$3:$A$5001,"&gt;="&amp;$C$7,BD!$A$3:$A$5001,"&lt;="&amp;$B215,BD!$L$3:$L$5001,"&lt;&gt;")=0,"",SUMIFS(BD!$L$3:$L$5001,BD!$B$3:$B$5001,R$184,BD!$A$3:$A$5001,_xlfn.MAXIFS(BD!$A$3:$A$5001,BD!$B$3:$B$5001,R$184,BD!$A$3:$A$5001,"&gt;="&amp;$C$7,BD!$A$3:$A$5001,"&lt;="&amp;$B215,BD!$L$3:$L$5001,"&lt;&gt;"))))</f>
        <v/>
      </c>
      <c r="S215" s="43" t="str">
        <f>IF(OR($B215="",$A215&gt;$B$9,S$184=""),"",IF(COUNTIFS(BD!$B$3:$B$5001,S$184,BD!$A$3:$A$5001,"&gt;="&amp;$C$7,BD!$A$3:$A$5001,"&lt;="&amp;$B215,BD!$L$3:$L$5001,"&lt;&gt;")=0,"",SUMIFS(BD!$L$3:$L$5001,BD!$B$3:$B$5001,S$184,BD!$A$3:$A$5001,_xlfn.MAXIFS(BD!$A$3:$A$5001,BD!$B$3:$B$5001,S$184,BD!$A$3:$A$5001,"&gt;="&amp;$C$7,BD!$A$3:$A$5001,"&lt;="&amp;$B215,BD!$L$3:$L$5001,"&lt;&gt;"))))</f>
        <v/>
      </c>
      <c r="T215" s="43" t="str">
        <f>IF(OR($B215="",$A215&gt;$B$9,T$184=""),"",IF(COUNTIFS(BD!$B$3:$B$5001,T$184,BD!$A$3:$A$5001,"&gt;="&amp;$C$7,BD!$A$3:$A$5001,"&lt;="&amp;$B215,BD!$L$3:$L$5001,"&lt;&gt;")=0,"",SUMIFS(BD!$L$3:$L$5001,BD!$B$3:$B$5001,T$184,BD!$A$3:$A$5001,_xlfn.MAXIFS(BD!$A$3:$A$5001,BD!$B$3:$B$5001,T$184,BD!$A$3:$A$5001,"&gt;="&amp;$C$7,BD!$A$3:$A$5001,"&lt;="&amp;$B215,BD!$L$3:$L$5001,"&lt;&gt;"))))</f>
        <v/>
      </c>
      <c r="U215" s="43" t="str">
        <f>IF(OR($B215="",$A215&gt;$B$9,U$184=""),"",IF(COUNTIFS(BD!$B$3:$B$5001,U$184,BD!$A$3:$A$5001,"&gt;="&amp;$C$7,BD!$A$3:$A$5001,"&lt;="&amp;$B215,BD!$L$3:$L$5001,"&lt;&gt;")=0,"",SUMIFS(BD!$L$3:$L$5001,BD!$B$3:$B$5001,U$184,BD!$A$3:$A$5001,_xlfn.MAXIFS(BD!$A$3:$A$5001,BD!$B$3:$B$5001,U$184,BD!$A$3:$A$5001,"&gt;="&amp;$C$7,BD!$A$3:$A$5001,"&lt;="&amp;$B215,BD!$L$3:$L$5001,"&lt;&gt;"))))</f>
        <v/>
      </c>
      <c r="V215" s="43" t="str">
        <f>IF(OR($B215="",$A215&gt;$B$9,V$184=""),"",IF(COUNTIFS(BD!$B$3:$B$5001,V$184,BD!$A$3:$A$5001,"&gt;="&amp;$C$7,BD!$A$3:$A$5001,"&lt;="&amp;$B215,BD!$L$3:$L$5001,"&lt;&gt;")=0,"",SUMIFS(BD!$L$3:$L$5001,BD!$B$3:$B$5001,V$184,BD!$A$3:$A$5001,_xlfn.MAXIFS(BD!$A$3:$A$5001,BD!$B$3:$B$5001,V$184,BD!$A$3:$A$5001,"&gt;="&amp;$C$7,BD!$A$3:$A$5001,"&lt;="&amp;$B215,BD!$L$3:$L$5001,"&lt;&gt;"))))</f>
        <v/>
      </c>
    </row>
    <row r="216">
      <c r="A216" s="44" t="inlineStr">
        <is>
          <t xml:space="preserve">Mês anterior (último)</t>
        </is>
      </c>
      <c r="C216" s="45" t="str">
        <f>IF(C$184="","",IF(COUNTIFS(BD!$B$3:$B$5001,C$184,BD!$A$3:$A$5001,"&gt;="&amp;$C$8,BD!$A$3:$A$5001,"&lt;="&amp;$D$8,BD!$L$3:$L$5001,"&lt;&gt;")=0,"",SUMIFS(BD!$L$3:$L$5001,BD!$B$3:$B$5001,C$184,BD!$A$3:$A$5001,_xlfn.MAXIFS(BD!$A$3:$A$5001,BD!$B$3:$B$5001,C$184,BD!$A$3:$A$5001,"&gt;="&amp;$C$8,BD!$A$3:$A$5001,"&lt;="&amp;$D$8,BD!$L$3:$L$5001,"&lt;&gt;"))))</f>
        <v/>
      </c>
      <c r="D216" s="45" t="str">
        <f>IF(D$184="","",IF(COUNTIFS(BD!$B$3:$B$5001,D$184,BD!$A$3:$A$5001,"&gt;="&amp;$C$8,BD!$A$3:$A$5001,"&lt;="&amp;$D$8,BD!$L$3:$L$5001,"&lt;&gt;")=0,"",SUMIFS(BD!$L$3:$L$5001,BD!$B$3:$B$5001,D$184,BD!$A$3:$A$5001,_xlfn.MAXIFS(BD!$A$3:$A$5001,BD!$B$3:$B$5001,D$184,BD!$A$3:$A$5001,"&gt;="&amp;$C$8,BD!$A$3:$A$5001,"&lt;="&amp;$D$8,BD!$L$3:$L$5001,"&lt;&gt;"))))</f>
        <v/>
      </c>
      <c r="E216" s="45" t="str">
        <f>IF(E$184="","",IF(COUNTIFS(BD!$B$3:$B$5001,E$184,BD!$A$3:$A$5001,"&gt;="&amp;$C$8,BD!$A$3:$A$5001,"&lt;="&amp;$D$8,BD!$L$3:$L$5001,"&lt;&gt;")=0,"",SUMIFS(BD!$L$3:$L$5001,BD!$B$3:$B$5001,E$184,BD!$A$3:$A$5001,_xlfn.MAXIFS(BD!$A$3:$A$5001,BD!$B$3:$B$5001,E$184,BD!$A$3:$A$5001,"&gt;="&amp;$C$8,BD!$A$3:$A$5001,"&lt;="&amp;$D$8,BD!$L$3:$L$5001,"&lt;&gt;"))))</f>
        <v/>
      </c>
      <c r="F216" s="45" t="str">
        <f>IF(F$184="","",IF(COUNTIFS(BD!$B$3:$B$5001,F$184,BD!$A$3:$A$5001,"&gt;="&amp;$C$8,BD!$A$3:$A$5001,"&lt;="&amp;$D$8,BD!$L$3:$L$5001,"&lt;&gt;")=0,"",SUMIFS(BD!$L$3:$L$5001,BD!$B$3:$B$5001,F$184,BD!$A$3:$A$5001,_xlfn.MAXIFS(BD!$A$3:$A$5001,BD!$B$3:$B$5001,F$184,BD!$A$3:$A$5001,"&gt;="&amp;$C$8,BD!$A$3:$A$5001,"&lt;="&amp;$D$8,BD!$L$3:$L$5001,"&lt;&gt;"))))</f>
        <v/>
      </c>
      <c r="G216" s="45" t="str">
        <f>IF(G$184="","",IF(COUNTIFS(BD!$B$3:$B$5001,G$184,BD!$A$3:$A$5001,"&gt;="&amp;$C$8,BD!$A$3:$A$5001,"&lt;="&amp;$D$8,BD!$L$3:$L$5001,"&lt;&gt;")=0,"",SUMIFS(BD!$L$3:$L$5001,BD!$B$3:$B$5001,G$184,BD!$A$3:$A$5001,_xlfn.MAXIFS(BD!$A$3:$A$5001,BD!$B$3:$B$5001,G$184,BD!$A$3:$A$5001,"&gt;="&amp;$C$8,BD!$A$3:$A$5001,"&lt;="&amp;$D$8,BD!$L$3:$L$5001,"&lt;&gt;"))))</f>
        <v/>
      </c>
      <c r="H216" s="45" t="str">
        <f>IF(H$184="","",IF(COUNTIFS(BD!$B$3:$B$5001,H$184,BD!$A$3:$A$5001,"&gt;="&amp;$C$8,BD!$A$3:$A$5001,"&lt;="&amp;$D$8,BD!$L$3:$L$5001,"&lt;&gt;")=0,"",SUMIFS(BD!$L$3:$L$5001,BD!$B$3:$B$5001,H$184,BD!$A$3:$A$5001,_xlfn.MAXIFS(BD!$A$3:$A$5001,BD!$B$3:$B$5001,H$184,BD!$A$3:$A$5001,"&gt;="&amp;$C$8,BD!$A$3:$A$5001,"&lt;="&amp;$D$8,BD!$L$3:$L$5001,"&lt;&gt;"))))</f>
        <v/>
      </c>
      <c r="I216" s="45" t="str">
        <f>IF(I$184="","",IF(COUNTIFS(BD!$B$3:$B$5001,I$184,BD!$A$3:$A$5001,"&gt;="&amp;$C$8,BD!$A$3:$A$5001,"&lt;="&amp;$D$8,BD!$L$3:$L$5001,"&lt;&gt;")=0,"",SUMIFS(BD!$L$3:$L$5001,BD!$B$3:$B$5001,I$184,BD!$A$3:$A$5001,_xlfn.MAXIFS(BD!$A$3:$A$5001,BD!$B$3:$B$5001,I$184,BD!$A$3:$A$5001,"&gt;="&amp;$C$8,BD!$A$3:$A$5001,"&lt;="&amp;$D$8,BD!$L$3:$L$5001,"&lt;&gt;"))))</f>
        <v/>
      </c>
      <c r="J216" s="45" t="str">
        <f>IF(J$184="","",IF(COUNTIFS(BD!$B$3:$B$5001,J$184,BD!$A$3:$A$5001,"&gt;="&amp;$C$8,BD!$A$3:$A$5001,"&lt;="&amp;$D$8,BD!$L$3:$L$5001,"&lt;&gt;")=0,"",SUMIFS(BD!$L$3:$L$5001,BD!$B$3:$B$5001,J$184,BD!$A$3:$A$5001,_xlfn.MAXIFS(BD!$A$3:$A$5001,BD!$B$3:$B$5001,J$184,BD!$A$3:$A$5001,"&gt;="&amp;$C$8,BD!$A$3:$A$5001,"&lt;="&amp;$D$8,BD!$L$3:$L$5001,"&lt;&gt;"))))</f>
        <v/>
      </c>
      <c r="K216" s="45" t="str">
        <f>IF(K$184="","",IF(COUNTIFS(BD!$B$3:$B$5001,K$184,BD!$A$3:$A$5001,"&gt;="&amp;$C$8,BD!$A$3:$A$5001,"&lt;="&amp;$D$8,BD!$L$3:$L$5001,"&lt;&gt;")=0,"",SUMIFS(BD!$L$3:$L$5001,BD!$B$3:$B$5001,K$184,BD!$A$3:$A$5001,_xlfn.MAXIFS(BD!$A$3:$A$5001,BD!$B$3:$B$5001,K$184,BD!$A$3:$A$5001,"&gt;="&amp;$C$8,BD!$A$3:$A$5001,"&lt;="&amp;$D$8,BD!$L$3:$L$5001,"&lt;&gt;"))))</f>
        <v/>
      </c>
      <c r="L216" s="45" t="str">
        <f>IF(L$184="","",IF(COUNTIFS(BD!$B$3:$B$5001,L$184,BD!$A$3:$A$5001,"&gt;="&amp;$C$8,BD!$A$3:$A$5001,"&lt;="&amp;$D$8,BD!$L$3:$L$5001,"&lt;&gt;")=0,"",SUMIFS(BD!$L$3:$L$5001,BD!$B$3:$B$5001,L$184,BD!$A$3:$A$5001,_xlfn.MAXIFS(BD!$A$3:$A$5001,BD!$B$3:$B$5001,L$184,BD!$A$3:$A$5001,"&gt;="&amp;$C$8,BD!$A$3:$A$5001,"&lt;="&amp;$D$8,BD!$L$3:$L$5001,"&lt;&gt;"))))</f>
        <v/>
      </c>
      <c r="M216" s="45" t="str">
        <f>IF(M$184="","",IF(COUNTIFS(BD!$B$3:$B$5001,M$184,BD!$A$3:$A$5001,"&gt;="&amp;$C$8,BD!$A$3:$A$5001,"&lt;="&amp;$D$8,BD!$L$3:$L$5001,"&lt;&gt;")=0,"",SUMIFS(BD!$L$3:$L$5001,BD!$B$3:$B$5001,M$184,BD!$A$3:$A$5001,_xlfn.MAXIFS(BD!$A$3:$A$5001,BD!$B$3:$B$5001,M$184,BD!$A$3:$A$5001,"&gt;="&amp;$C$8,BD!$A$3:$A$5001,"&lt;="&amp;$D$8,BD!$L$3:$L$5001,"&lt;&gt;"))))</f>
        <v/>
      </c>
      <c r="N216" s="45" t="str">
        <f>IF(N$184="","",IF(COUNTIFS(BD!$B$3:$B$5001,N$184,BD!$A$3:$A$5001,"&gt;="&amp;$C$8,BD!$A$3:$A$5001,"&lt;="&amp;$D$8,BD!$L$3:$L$5001,"&lt;&gt;")=0,"",SUMIFS(BD!$L$3:$L$5001,BD!$B$3:$B$5001,N$184,BD!$A$3:$A$5001,_xlfn.MAXIFS(BD!$A$3:$A$5001,BD!$B$3:$B$5001,N$184,BD!$A$3:$A$5001,"&gt;="&amp;$C$8,BD!$A$3:$A$5001,"&lt;="&amp;$D$8,BD!$L$3:$L$5001,"&lt;&gt;"))))</f>
        <v/>
      </c>
      <c r="O216" s="45" t="str">
        <f>IF(O$184="","",IF(COUNTIFS(BD!$B$3:$B$5001,O$184,BD!$A$3:$A$5001,"&gt;="&amp;$C$8,BD!$A$3:$A$5001,"&lt;="&amp;$D$8,BD!$L$3:$L$5001,"&lt;&gt;")=0,"",SUMIFS(BD!$L$3:$L$5001,BD!$B$3:$B$5001,O$184,BD!$A$3:$A$5001,_xlfn.MAXIFS(BD!$A$3:$A$5001,BD!$B$3:$B$5001,O$184,BD!$A$3:$A$5001,"&gt;="&amp;$C$8,BD!$A$3:$A$5001,"&lt;="&amp;$D$8,BD!$L$3:$L$5001,"&lt;&gt;"))))</f>
        <v/>
      </c>
      <c r="P216" s="45" t="str">
        <f>IF(P$184="","",IF(COUNTIFS(BD!$B$3:$B$5001,P$184,BD!$A$3:$A$5001,"&gt;="&amp;$C$8,BD!$A$3:$A$5001,"&lt;="&amp;$D$8,BD!$L$3:$L$5001,"&lt;&gt;")=0,"",SUMIFS(BD!$L$3:$L$5001,BD!$B$3:$B$5001,P$184,BD!$A$3:$A$5001,_xlfn.MAXIFS(BD!$A$3:$A$5001,BD!$B$3:$B$5001,P$184,BD!$A$3:$A$5001,"&gt;="&amp;$C$8,BD!$A$3:$A$5001,"&lt;="&amp;$D$8,BD!$L$3:$L$5001,"&lt;&gt;"))))</f>
        <v/>
      </c>
      <c r="Q216" s="45" t="str">
        <f>IF(Q$184="","",IF(COUNTIFS(BD!$B$3:$B$5001,Q$184,BD!$A$3:$A$5001,"&gt;="&amp;$C$8,BD!$A$3:$A$5001,"&lt;="&amp;$D$8,BD!$L$3:$L$5001,"&lt;&gt;")=0,"",SUMIFS(BD!$L$3:$L$5001,BD!$B$3:$B$5001,Q$184,BD!$A$3:$A$5001,_xlfn.MAXIFS(BD!$A$3:$A$5001,BD!$B$3:$B$5001,Q$184,BD!$A$3:$A$5001,"&gt;="&amp;$C$8,BD!$A$3:$A$5001,"&lt;="&amp;$D$8,BD!$L$3:$L$5001,"&lt;&gt;"))))</f>
        <v/>
      </c>
      <c r="R216" s="45" t="str">
        <f>IF(R$184="","",IF(COUNTIFS(BD!$B$3:$B$5001,R$184,BD!$A$3:$A$5001,"&gt;="&amp;$C$8,BD!$A$3:$A$5001,"&lt;="&amp;$D$8,BD!$L$3:$L$5001,"&lt;&gt;")=0,"",SUMIFS(BD!$L$3:$L$5001,BD!$B$3:$B$5001,R$184,BD!$A$3:$A$5001,_xlfn.MAXIFS(BD!$A$3:$A$5001,BD!$B$3:$B$5001,R$184,BD!$A$3:$A$5001,"&gt;="&amp;$C$8,BD!$A$3:$A$5001,"&lt;="&amp;$D$8,BD!$L$3:$L$5001,"&lt;&gt;"))))</f>
        <v/>
      </c>
      <c r="S216" s="45" t="str">
        <f>IF(S$184="","",IF(COUNTIFS(BD!$B$3:$B$5001,S$184,BD!$A$3:$A$5001,"&gt;="&amp;$C$8,BD!$A$3:$A$5001,"&lt;="&amp;$D$8,BD!$L$3:$L$5001,"&lt;&gt;")=0,"",SUMIFS(BD!$L$3:$L$5001,BD!$B$3:$B$5001,S$184,BD!$A$3:$A$5001,_xlfn.MAXIFS(BD!$A$3:$A$5001,BD!$B$3:$B$5001,S$184,BD!$A$3:$A$5001,"&gt;="&amp;$C$8,BD!$A$3:$A$5001,"&lt;="&amp;$D$8,BD!$L$3:$L$5001,"&lt;&gt;"))))</f>
        <v/>
      </c>
      <c r="T216" s="45" t="str">
        <f>IF(T$184="","",IF(COUNTIFS(BD!$B$3:$B$5001,T$184,BD!$A$3:$A$5001,"&gt;="&amp;$C$8,BD!$A$3:$A$5001,"&lt;="&amp;$D$8,BD!$L$3:$L$5001,"&lt;&gt;")=0,"",SUMIFS(BD!$L$3:$L$5001,BD!$B$3:$B$5001,T$184,BD!$A$3:$A$5001,_xlfn.MAXIFS(BD!$A$3:$A$5001,BD!$B$3:$B$5001,T$184,BD!$A$3:$A$5001,"&gt;="&amp;$C$8,BD!$A$3:$A$5001,"&lt;="&amp;$D$8,BD!$L$3:$L$5001,"&lt;&gt;"))))</f>
        <v/>
      </c>
      <c r="U216" s="45" t="str">
        <f>IF(U$184="","",IF(COUNTIFS(BD!$B$3:$B$5001,U$184,BD!$A$3:$A$5001,"&gt;="&amp;$C$8,BD!$A$3:$A$5001,"&lt;="&amp;$D$8,BD!$L$3:$L$5001,"&lt;&gt;")=0,"",SUMIFS(BD!$L$3:$L$5001,BD!$B$3:$B$5001,U$184,BD!$A$3:$A$5001,_xlfn.MAXIFS(BD!$A$3:$A$5001,BD!$B$3:$B$5001,U$184,BD!$A$3:$A$5001,"&gt;="&amp;$C$8,BD!$A$3:$A$5001,"&lt;="&amp;$D$8,BD!$L$3:$L$5001,"&lt;&gt;"))))</f>
        <v/>
      </c>
      <c r="V216" s="45" t="str">
        <f>IF(V$184="","",IF(COUNTIFS(BD!$B$3:$B$5001,V$184,BD!$A$3:$A$5001,"&gt;="&amp;$C$8,BD!$A$3:$A$5001,"&lt;="&amp;$D$8,BD!$L$3:$L$5001,"&lt;&gt;")=0,"",SUMIFS(BD!$L$3:$L$5001,BD!$B$3:$B$5001,V$184,BD!$A$3:$A$5001,_xlfn.MAXIFS(BD!$A$3:$A$5001,BD!$B$3:$B$5001,V$184,BD!$A$3:$A$5001,"&gt;="&amp;$C$8,BD!$A$3:$A$5001,"&lt;="&amp;$D$8,BD!$L$3:$L$5001,"&lt;&gt;"))))</f>
        <v/>
      </c>
    </row>
    <row r="217">
      <c r="A217" s="44" t="inlineStr">
        <is>
          <t xml:space="preserve">Depósito</t>
        </is>
      </c>
      <c r="C217" s="38" t="str">
        <f>IF(Config!$C$10="","JSL",Config!$C$10)</f>
        <v>JSL</v>
      </c>
      <c r="D217" s="38" t="str">
        <f>IF(Config!$C$11="","JSL",Config!$C$11)</f>
        <v>JSL</v>
      </c>
      <c r="E217" s="38" t="str">
        <f>IF(Config!$C$12="","JSL",Config!$C$12)</f>
        <v>JSL</v>
      </c>
      <c r="F217" s="38" t="str">
        <f>IF(Config!$C$13="","JSL",Config!$C$13)</f>
        <v>JSL</v>
      </c>
      <c r="G217" s="38" t="str">
        <f>IF(Config!$C$14="","JSL",Config!$C$14)</f>
        <v>JSL</v>
      </c>
      <c r="H217" s="38" t="str">
        <f>IF(Config!$C$15="","JSL",Config!$C$15)</f>
        <v>JSL</v>
      </c>
      <c r="I217" s="38" t="str">
        <f>IF(Config!$C$16="","JSL",Config!$C$16)</f>
        <v>JSL</v>
      </c>
      <c r="J217" s="38" t="str">
        <f>IF(Config!$C$17="","JSL",Config!$C$17)</f>
        <v>JSL</v>
      </c>
      <c r="K217" s="38" t="str">
        <f>IF(Config!$C$18="","JSL",Config!$C$18)</f>
        <v>JSL</v>
      </c>
      <c r="L217" s="38" t="str">
        <f>IF(Config!$C$19="","JSL",Config!$C$19)</f>
        <v>JSL</v>
      </c>
      <c r="M217" s="38" t="str">
        <f>IF(Config!$C$20="","JSL",Config!$C$20)</f>
        <v>JSL</v>
      </c>
      <c r="N217" s="38" t="str">
        <f>IF(Config!$C$21="","JSL",Config!$C$21)</f>
        <v>JSL</v>
      </c>
      <c r="O217" s="38" t="str">
        <f>IF(Config!$C$22="","JSL",Config!$C$22)</f>
        <v>JSL</v>
      </c>
      <c r="P217" s="38" t="str">
        <f>IF(Config!$C$23="","JSL",Config!$C$23)</f>
        <v>JSL</v>
      </c>
      <c r="Q217" s="38" t="str">
        <f>IF(Config!$C$24="","JSL",Config!$C$24)</f>
        <v>JSL</v>
      </c>
      <c r="R217" s="38" t="str">
        <f>IF(Config!$C$25="","JSL",Config!$C$25)</f>
        <v>JSL</v>
      </c>
      <c r="S217" s="38" t="str">
        <f>IF(Config!$C$26="","JSL",Config!$C$26)</f>
        <v>JSL</v>
      </c>
      <c r="T217" s="38" t="str">
        <f>IF(Config!$C$27="","JSL",Config!$C$27)</f>
        <v>JSL</v>
      </c>
      <c r="U217" s="38" t="str">
        <f>IF(Config!$C$28="","JSL",Config!$C$28)</f>
        <v>JSL</v>
      </c>
      <c r="V217" s="38" t="str">
        <f>IF(Config!$C$29="","JSL",Config!$C$29)</f>
        <v>JSL</v>
      </c>
    </row>
    <row r="219">
      <c r="A219" s="37" t="inlineStr">
        <is>
          <t xml:space="preserve">Efetivo Op.</t>
        </is>
      </c>
      <c r="B219" s="37" t="inlineStr">
        <is>
          <t xml:space="preserve">Data</t>
        </is>
      </c>
      <c r="C219" s="37" t="str">
        <f>Config!$B$10&amp;""</f>
        <v>Barry Callebaut</v>
      </c>
      <c r="D219" s="37" t="str">
        <f>Config!$B$11&amp;""</f>
        <v>GM</v>
      </c>
      <c r="E219" s="37" t="str">
        <f>Config!$B$12&amp;""</f>
        <v>Mondelez</v>
      </c>
      <c r="F219" s="37" t="str">
        <f>Config!$B$13&amp;""</f>
        <v>Nestlé</v>
      </c>
      <c r="G219" s="37" t="str">
        <f>Config!$B$14&amp;""</f>
        <v>PMB</v>
      </c>
      <c r="H219" s="37" t="str">
        <f>Config!$B$15&amp;""</f>
        <v/>
      </c>
      <c r="I219" s="37" t="str">
        <f>Config!$B$16&amp;""</f>
        <v/>
      </c>
      <c r="J219" s="37" t="str">
        <f>Config!$B$17&amp;""</f>
        <v/>
      </c>
      <c r="K219" s="37" t="str">
        <f>Config!$B$18&amp;""</f>
        <v/>
      </c>
      <c r="L219" s="37" t="str">
        <f>Config!$B$19&amp;""</f>
        <v/>
      </c>
      <c r="M219" s="37" t="str">
        <f>Config!$B$20&amp;""</f>
        <v/>
      </c>
      <c r="N219" s="37" t="str">
        <f>Config!$B$21&amp;""</f>
        <v/>
      </c>
      <c r="O219" s="37" t="str">
        <f>Config!$B$22&amp;""</f>
        <v/>
      </c>
      <c r="P219" s="37" t="str">
        <f>Config!$B$23&amp;""</f>
        <v/>
      </c>
      <c r="Q219" s="37" t="str">
        <f>Config!$B$24&amp;""</f>
        <v/>
      </c>
      <c r="R219" s="37" t="str">
        <f>Config!$B$25&amp;""</f>
        <v/>
      </c>
      <c r="S219" s="37" t="str">
        <f>Config!$B$26&amp;""</f>
        <v/>
      </c>
      <c r="T219" s="37" t="str">
        <f>Config!$B$27&amp;""</f>
        <v/>
      </c>
      <c r="U219" s="37" t="str">
        <f>Config!$B$28&amp;""</f>
        <v/>
      </c>
      <c r="V219" s="37" t="str">
        <f>Config!$B$29&amp;""</f>
        <v/>
      </c>
    </row>
    <row r="220">
      <c r="A220" s="38">
        <v>1</v>
      </c>
      <c r="B220" s="42">
        <f>$B$12</f>
        <v>46296</v>
      </c>
      <c r="C220" s="43" t="str">
        <f>IF(OR($B220="",$A220&gt;$B$9,C$219=""),"",IF(COUNTIFS(BD!$B$3:$B$5001,C$219,BD!$A$3:$A$5001,"&gt;="&amp;$C$7,BD!$A$3:$A$5001,"&lt;="&amp;$B220,BD!$N$3:$N$5001,"&lt;&gt;")=0,"",SUMIFS(BD!$N$3:$N$5001,BD!$B$3:$B$5001,C$219,BD!$A$3:$A$5001,_xlfn.MAXIFS(BD!$A$3:$A$5001,BD!$B$3:$B$5001,C$219,BD!$A$3:$A$5001,"&gt;="&amp;$C$7,BD!$A$3:$A$5001,"&lt;="&amp;$B220,BD!$N$3:$N$5001,"&lt;&gt;"))))</f>
        <v/>
      </c>
      <c r="D220" s="43" t="str">
        <f>IF(OR($B220="",$A220&gt;$B$9,D$219=""),"",IF(COUNTIFS(BD!$B$3:$B$5001,D$219,BD!$A$3:$A$5001,"&gt;="&amp;$C$7,BD!$A$3:$A$5001,"&lt;="&amp;$B220,BD!$N$3:$N$5001,"&lt;&gt;")=0,"",SUMIFS(BD!$N$3:$N$5001,BD!$B$3:$B$5001,D$219,BD!$A$3:$A$5001,_xlfn.MAXIFS(BD!$A$3:$A$5001,BD!$B$3:$B$5001,D$219,BD!$A$3:$A$5001,"&gt;="&amp;$C$7,BD!$A$3:$A$5001,"&lt;="&amp;$B220,BD!$N$3:$N$5001,"&lt;&gt;"))))</f>
        <v/>
      </c>
      <c r="E220" s="43" t="str">
        <f>IF(OR($B220="",$A220&gt;$B$9,E$219=""),"",IF(COUNTIFS(BD!$B$3:$B$5001,E$219,BD!$A$3:$A$5001,"&gt;="&amp;$C$7,BD!$A$3:$A$5001,"&lt;="&amp;$B220,BD!$N$3:$N$5001,"&lt;&gt;")=0,"",SUMIFS(BD!$N$3:$N$5001,BD!$B$3:$B$5001,E$219,BD!$A$3:$A$5001,_xlfn.MAXIFS(BD!$A$3:$A$5001,BD!$B$3:$B$5001,E$219,BD!$A$3:$A$5001,"&gt;="&amp;$C$7,BD!$A$3:$A$5001,"&lt;="&amp;$B220,BD!$N$3:$N$5001,"&lt;&gt;"))))</f>
        <v/>
      </c>
      <c r="F220" s="43" t="str">
        <f>IF(OR($B220="",$A220&gt;$B$9,F$219=""),"",IF(COUNTIFS(BD!$B$3:$B$5001,F$219,BD!$A$3:$A$5001,"&gt;="&amp;$C$7,BD!$A$3:$A$5001,"&lt;="&amp;$B220,BD!$N$3:$N$5001,"&lt;&gt;")=0,"",SUMIFS(BD!$N$3:$N$5001,BD!$B$3:$B$5001,F$219,BD!$A$3:$A$5001,_xlfn.MAXIFS(BD!$A$3:$A$5001,BD!$B$3:$B$5001,F$219,BD!$A$3:$A$5001,"&gt;="&amp;$C$7,BD!$A$3:$A$5001,"&lt;="&amp;$B220,BD!$N$3:$N$5001,"&lt;&gt;"))))</f>
        <v/>
      </c>
      <c r="G220" s="43" t="str">
        <f>IF(OR($B220="",$A220&gt;$B$9,G$219=""),"",IF(COUNTIFS(BD!$B$3:$B$5001,G$219,BD!$A$3:$A$5001,"&gt;="&amp;$C$7,BD!$A$3:$A$5001,"&lt;="&amp;$B220,BD!$N$3:$N$5001,"&lt;&gt;")=0,"",SUMIFS(BD!$N$3:$N$5001,BD!$B$3:$B$5001,G$219,BD!$A$3:$A$5001,_xlfn.MAXIFS(BD!$A$3:$A$5001,BD!$B$3:$B$5001,G$219,BD!$A$3:$A$5001,"&gt;="&amp;$C$7,BD!$A$3:$A$5001,"&lt;="&amp;$B220,BD!$N$3:$N$5001,"&lt;&gt;"))))</f>
        <v/>
      </c>
      <c r="H220" s="43" t="str">
        <f>IF(OR($B220="",$A220&gt;$B$9,H$219=""),"",IF(COUNTIFS(BD!$B$3:$B$5001,H$219,BD!$A$3:$A$5001,"&gt;="&amp;$C$7,BD!$A$3:$A$5001,"&lt;="&amp;$B220,BD!$N$3:$N$5001,"&lt;&gt;")=0,"",SUMIFS(BD!$N$3:$N$5001,BD!$B$3:$B$5001,H$219,BD!$A$3:$A$5001,_xlfn.MAXIFS(BD!$A$3:$A$5001,BD!$B$3:$B$5001,H$219,BD!$A$3:$A$5001,"&gt;="&amp;$C$7,BD!$A$3:$A$5001,"&lt;="&amp;$B220,BD!$N$3:$N$5001,"&lt;&gt;"))))</f>
        <v/>
      </c>
      <c r="I220" s="43" t="str">
        <f>IF(OR($B220="",$A220&gt;$B$9,I$219=""),"",IF(COUNTIFS(BD!$B$3:$B$5001,I$219,BD!$A$3:$A$5001,"&gt;="&amp;$C$7,BD!$A$3:$A$5001,"&lt;="&amp;$B220,BD!$N$3:$N$5001,"&lt;&gt;")=0,"",SUMIFS(BD!$N$3:$N$5001,BD!$B$3:$B$5001,I$219,BD!$A$3:$A$5001,_xlfn.MAXIFS(BD!$A$3:$A$5001,BD!$B$3:$B$5001,I$219,BD!$A$3:$A$5001,"&gt;="&amp;$C$7,BD!$A$3:$A$5001,"&lt;="&amp;$B220,BD!$N$3:$N$5001,"&lt;&gt;"))))</f>
        <v/>
      </c>
      <c r="J220" s="43" t="str">
        <f>IF(OR($B220="",$A220&gt;$B$9,J$219=""),"",IF(COUNTIFS(BD!$B$3:$B$5001,J$219,BD!$A$3:$A$5001,"&gt;="&amp;$C$7,BD!$A$3:$A$5001,"&lt;="&amp;$B220,BD!$N$3:$N$5001,"&lt;&gt;")=0,"",SUMIFS(BD!$N$3:$N$5001,BD!$B$3:$B$5001,J$219,BD!$A$3:$A$5001,_xlfn.MAXIFS(BD!$A$3:$A$5001,BD!$B$3:$B$5001,J$219,BD!$A$3:$A$5001,"&gt;="&amp;$C$7,BD!$A$3:$A$5001,"&lt;="&amp;$B220,BD!$N$3:$N$5001,"&lt;&gt;"))))</f>
        <v/>
      </c>
      <c r="K220" s="43" t="str">
        <f>IF(OR($B220="",$A220&gt;$B$9,K$219=""),"",IF(COUNTIFS(BD!$B$3:$B$5001,K$219,BD!$A$3:$A$5001,"&gt;="&amp;$C$7,BD!$A$3:$A$5001,"&lt;="&amp;$B220,BD!$N$3:$N$5001,"&lt;&gt;")=0,"",SUMIFS(BD!$N$3:$N$5001,BD!$B$3:$B$5001,K$219,BD!$A$3:$A$5001,_xlfn.MAXIFS(BD!$A$3:$A$5001,BD!$B$3:$B$5001,K$219,BD!$A$3:$A$5001,"&gt;="&amp;$C$7,BD!$A$3:$A$5001,"&lt;="&amp;$B220,BD!$N$3:$N$5001,"&lt;&gt;"))))</f>
        <v/>
      </c>
      <c r="L220" s="43" t="str">
        <f>IF(OR($B220="",$A220&gt;$B$9,L$219=""),"",IF(COUNTIFS(BD!$B$3:$B$5001,L$219,BD!$A$3:$A$5001,"&gt;="&amp;$C$7,BD!$A$3:$A$5001,"&lt;="&amp;$B220,BD!$N$3:$N$5001,"&lt;&gt;")=0,"",SUMIFS(BD!$N$3:$N$5001,BD!$B$3:$B$5001,L$219,BD!$A$3:$A$5001,_xlfn.MAXIFS(BD!$A$3:$A$5001,BD!$B$3:$B$5001,L$219,BD!$A$3:$A$5001,"&gt;="&amp;$C$7,BD!$A$3:$A$5001,"&lt;="&amp;$B220,BD!$N$3:$N$5001,"&lt;&gt;"))))</f>
        <v/>
      </c>
      <c r="M220" s="43" t="str">
        <f>IF(OR($B220="",$A220&gt;$B$9,M$219=""),"",IF(COUNTIFS(BD!$B$3:$B$5001,M$219,BD!$A$3:$A$5001,"&gt;="&amp;$C$7,BD!$A$3:$A$5001,"&lt;="&amp;$B220,BD!$N$3:$N$5001,"&lt;&gt;")=0,"",SUMIFS(BD!$N$3:$N$5001,BD!$B$3:$B$5001,M$219,BD!$A$3:$A$5001,_xlfn.MAXIFS(BD!$A$3:$A$5001,BD!$B$3:$B$5001,M$219,BD!$A$3:$A$5001,"&gt;="&amp;$C$7,BD!$A$3:$A$5001,"&lt;="&amp;$B220,BD!$N$3:$N$5001,"&lt;&gt;"))))</f>
        <v/>
      </c>
      <c r="N220" s="43" t="str">
        <f>IF(OR($B220="",$A220&gt;$B$9,N$219=""),"",IF(COUNTIFS(BD!$B$3:$B$5001,N$219,BD!$A$3:$A$5001,"&gt;="&amp;$C$7,BD!$A$3:$A$5001,"&lt;="&amp;$B220,BD!$N$3:$N$5001,"&lt;&gt;")=0,"",SUMIFS(BD!$N$3:$N$5001,BD!$B$3:$B$5001,N$219,BD!$A$3:$A$5001,_xlfn.MAXIFS(BD!$A$3:$A$5001,BD!$B$3:$B$5001,N$219,BD!$A$3:$A$5001,"&gt;="&amp;$C$7,BD!$A$3:$A$5001,"&lt;="&amp;$B220,BD!$N$3:$N$5001,"&lt;&gt;"))))</f>
        <v/>
      </c>
      <c r="O220" s="43" t="str">
        <f>IF(OR($B220="",$A220&gt;$B$9,O$219=""),"",IF(COUNTIFS(BD!$B$3:$B$5001,O$219,BD!$A$3:$A$5001,"&gt;="&amp;$C$7,BD!$A$3:$A$5001,"&lt;="&amp;$B220,BD!$N$3:$N$5001,"&lt;&gt;")=0,"",SUMIFS(BD!$N$3:$N$5001,BD!$B$3:$B$5001,O$219,BD!$A$3:$A$5001,_xlfn.MAXIFS(BD!$A$3:$A$5001,BD!$B$3:$B$5001,O$219,BD!$A$3:$A$5001,"&gt;="&amp;$C$7,BD!$A$3:$A$5001,"&lt;="&amp;$B220,BD!$N$3:$N$5001,"&lt;&gt;"))))</f>
        <v/>
      </c>
      <c r="P220" s="43" t="str">
        <f>IF(OR($B220="",$A220&gt;$B$9,P$219=""),"",IF(COUNTIFS(BD!$B$3:$B$5001,P$219,BD!$A$3:$A$5001,"&gt;="&amp;$C$7,BD!$A$3:$A$5001,"&lt;="&amp;$B220,BD!$N$3:$N$5001,"&lt;&gt;")=0,"",SUMIFS(BD!$N$3:$N$5001,BD!$B$3:$B$5001,P$219,BD!$A$3:$A$5001,_xlfn.MAXIFS(BD!$A$3:$A$5001,BD!$B$3:$B$5001,P$219,BD!$A$3:$A$5001,"&gt;="&amp;$C$7,BD!$A$3:$A$5001,"&lt;="&amp;$B220,BD!$N$3:$N$5001,"&lt;&gt;"))))</f>
        <v/>
      </c>
      <c r="Q220" s="43" t="str">
        <f>IF(OR($B220="",$A220&gt;$B$9,Q$219=""),"",IF(COUNTIFS(BD!$B$3:$B$5001,Q$219,BD!$A$3:$A$5001,"&gt;="&amp;$C$7,BD!$A$3:$A$5001,"&lt;="&amp;$B220,BD!$N$3:$N$5001,"&lt;&gt;")=0,"",SUMIFS(BD!$N$3:$N$5001,BD!$B$3:$B$5001,Q$219,BD!$A$3:$A$5001,_xlfn.MAXIFS(BD!$A$3:$A$5001,BD!$B$3:$B$5001,Q$219,BD!$A$3:$A$5001,"&gt;="&amp;$C$7,BD!$A$3:$A$5001,"&lt;="&amp;$B220,BD!$N$3:$N$5001,"&lt;&gt;"))))</f>
        <v/>
      </c>
      <c r="R220" s="43" t="str">
        <f>IF(OR($B220="",$A220&gt;$B$9,R$219=""),"",IF(COUNTIFS(BD!$B$3:$B$5001,R$219,BD!$A$3:$A$5001,"&gt;="&amp;$C$7,BD!$A$3:$A$5001,"&lt;="&amp;$B220,BD!$N$3:$N$5001,"&lt;&gt;")=0,"",SUMIFS(BD!$N$3:$N$5001,BD!$B$3:$B$5001,R$219,BD!$A$3:$A$5001,_xlfn.MAXIFS(BD!$A$3:$A$5001,BD!$B$3:$B$5001,R$219,BD!$A$3:$A$5001,"&gt;="&amp;$C$7,BD!$A$3:$A$5001,"&lt;="&amp;$B220,BD!$N$3:$N$5001,"&lt;&gt;"))))</f>
        <v/>
      </c>
      <c r="S220" s="43" t="str">
        <f>IF(OR($B220="",$A220&gt;$B$9,S$219=""),"",IF(COUNTIFS(BD!$B$3:$B$5001,S$219,BD!$A$3:$A$5001,"&gt;="&amp;$C$7,BD!$A$3:$A$5001,"&lt;="&amp;$B220,BD!$N$3:$N$5001,"&lt;&gt;")=0,"",SUMIFS(BD!$N$3:$N$5001,BD!$B$3:$B$5001,S$219,BD!$A$3:$A$5001,_xlfn.MAXIFS(BD!$A$3:$A$5001,BD!$B$3:$B$5001,S$219,BD!$A$3:$A$5001,"&gt;="&amp;$C$7,BD!$A$3:$A$5001,"&lt;="&amp;$B220,BD!$N$3:$N$5001,"&lt;&gt;"))))</f>
        <v/>
      </c>
      <c r="T220" s="43" t="str">
        <f>IF(OR($B220="",$A220&gt;$B$9,T$219=""),"",IF(COUNTIFS(BD!$B$3:$B$5001,T$219,BD!$A$3:$A$5001,"&gt;="&amp;$C$7,BD!$A$3:$A$5001,"&lt;="&amp;$B220,BD!$N$3:$N$5001,"&lt;&gt;")=0,"",SUMIFS(BD!$N$3:$N$5001,BD!$B$3:$B$5001,T$219,BD!$A$3:$A$5001,_xlfn.MAXIFS(BD!$A$3:$A$5001,BD!$B$3:$B$5001,T$219,BD!$A$3:$A$5001,"&gt;="&amp;$C$7,BD!$A$3:$A$5001,"&lt;="&amp;$B220,BD!$N$3:$N$5001,"&lt;&gt;"))))</f>
        <v/>
      </c>
      <c r="U220" s="43" t="str">
        <f>IF(OR($B220="",$A220&gt;$B$9,U$219=""),"",IF(COUNTIFS(BD!$B$3:$B$5001,U$219,BD!$A$3:$A$5001,"&gt;="&amp;$C$7,BD!$A$3:$A$5001,"&lt;="&amp;$B220,BD!$N$3:$N$5001,"&lt;&gt;")=0,"",SUMIFS(BD!$N$3:$N$5001,BD!$B$3:$B$5001,U$219,BD!$A$3:$A$5001,_xlfn.MAXIFS(BD!$A$3:$A$5001,BD!$B$3:$B$5001,U$219,BD!$A$3:$A$5001,"&gt;="&amp;$C$7,BD!$A$3:$A$5001,"&lt;="&amp;$B220,BD!$N$3:$N$5001,"&lt;&gt;"))))</f>
        <v/>
      </c>
      <c r="V220" s="43" t="str">
        <f>IF(OR($B220="",$A220&gt;$B$9,V$219=""),"",IF(COUNTIFS(BD!$B$3:$B$5001,V$219,BD!$A$3:$A$5001,"&gt;="&amp;$C$7,BD!$A$3:$A$5001,"&lt;="&amp;$B220,BD!$N$3:$N$5001,"&lt;&gt;")=0,"",SUMIFS(BD!$N$3:$N$5001,BD!$B$3:$B$5001,V$219,BD!$A$3:$A$5001,_xlfn.MAXIFS(BD!$A$3:$A$5001,BD!$B$3:$B$5001,V$219,BD!$A$3:$A$5001,"&gt;="&amp;$C$7,BD!$A$3:$A$5001,"&lt;="&amp;$B220,BD!$N$3:$N$5001,"&lt;&gt;"))))</f>
        <v/>
      </c>
    </row>
    <row r="221">
      <c r="A221" s="38">
        <v>2</v>
      </c>
      <c r="B221" s="42">
        <f>$B$13</f>
        <v>46297</v>
      </c>
      <c r="C221" s="43" t="str">
        <f>IF(OR($B221="",$A221&gt;$B$9,C$219=""),"",IF(COUNTIFS(BD!$B$3:$B$5001,C$219,BD!$A$3:$A$5001,"&gt;="&amp;$C$7,BD!$A$3:$A$5001,"&lt;="&amp;$B221,BD!$N$3:$N$5001,"&lt;&gt;")=0,"",SUMIFS(BD!$N$3:$N$5001,BD!$B$3:$B$5001,C$219,BD!$A$3:$A$5001,_xlfn.MAXIFS(BD!$A$3:$A$5001,BD!$B$3:$B$5001,C$219,BD!$A$3:$A$5001,"&gt;="&amp;$C$7,BD!$A$3:$A$5001,"&lt;="&amp;$B221,BD!$N$3:$N$5001,"&lt;&gt;"))))</f>
        <v/>
      </c>
      <c r="D221" s="43" t="str">
        <f>IF(OR($B221="",$A221&gt;$B$9,D$219=""),"",IF(COUNTIFS(BD!$B$3:$B$5001,D$219,BD!$A$3:$A$5001,"&gt;="&amp;$C$7,BD!$A$3:$A$5001,"&lt;="&amp;$B221,BD!$N$3:$N$5001,"&lt;&gt;")=0,"",SUMIFS(BD!$N$3:$N$5001,BD!$B$3:$B$5001,D$219,BD!$A$3:$A$5001,_xlfn.MAXIFS(BD!$A$3:$A$5001,BD!$B$3:$B$5001,D$219,BD!$A$3:$A$5001,"&gt;="&amp;$C$7,BD!$A$3:$A$5001,"&lt;="&amp;$B221,BD!$N$3:$N$5001,"&lt;&gt;"))))</f>
        <v/>
      </c>
      <c r="E221" s="43" t="str">
        <f>IF(OR($B221="",$A221&gt;$B$9,E$219=""),"",IF(COUNTIFS(BD!$B$3:$B$5001,E$219,BD!$A$3:$A$5001,"&gt;="&amp;$C$7,BD!$A$3:$A$5001,"&lt;="&amp;$B221,BD!$N$3:$N$5001,"&lt;&gt;")=0,"",SUMIFS(BD!$N$3:$N$5001,BD!$B$3:$B$5001,E$219,BD!$A$3:$A$5001,_xlfn.MAXIFS(BD!$A$3:$A$5001,BD!$B$3:$B$5001,E$219,BD!$A$3:$A$5001,"&gt;="&amp;$C$7,BD!$A$3:$A$5001,"&lt;="&amp;$B221,BD!$N$3:$N$5001,"&lt;&gt;"))))</f>
        <v/>
      </c>
      <c r="F221" s="43" t="str">
        <f>IF(OR($B221="",$A221&gt;$B$9,F$219=""),"",IF(COUNTIFS(BD!$B$3:$B$5001,F$219,BD!$A$3:$A$5001,"&gt;="&amp;$C$7,BD!$A$3:$A$5001,"&lt;="&amp;$B221,BD!$N$3:$N$5001,"&lt;&gt;")=0,"",SUMIFS(BD!$N$3:$N$5001,BD!$B$3:$B$5001,F$219,BD!$A$3:$A$5001,_xlfn.MAXIFS(BD!$A$3:$A$5001,BD!$B$3:$B$5001,F$219,BD!$A$3:$A$5001,"&gt;="&amp;$C$7,BD!$A$3:$A$5001,"&lt;="&amp;$B221,BD!$N$3:$N$5001,"&lt;&gt;"))))</f>
        <v/>
      </c>
      <c r="G221" s="43" t="str">
        <f>IF(OR($B221="",$A221&gt;$B$9,G$219=""),"",IF(COUNTIFS(BD!$B$3:$B$5001,G$219,BD!$A$3:$A$5001,"&gt;="&amp;$C$7,BD!$A$3:$A$5001,"&lt;="&amp;$B221,BD!$N$3:$N$5001,"&lt;&gt;")=0,"",SUMIFS(BD!$N$3:$N$5001,BD!$B$3:$B$5001,G$219,BD!$A$3:$A$5001,_xlfn.MAXIFS(BD!$A$3:$A$5001,BD!$B$3:$B$5001,G$219,BD!$A$3:$A$5001,"&gt;="&amp;$C$7,BD!$A$3:$A$5001,"&lt;="&amp;$B221,BD!$N$3:$N$5001,"&lt;&gt;"))))</f>
        <v/>
      </c>
      <c r="H221" s="43" t="str">
        <f>IF(OR($B221="",$A221&gt;$B$9,H$219=""),"",IF(COUNTIFS(BD!$B$3:$B$5001,H$219,BD!$A$3:$A$5001,"&gt;="&amp;$C$7,BD!$A$3:$A$5001,"&lt;="&amp;$B221,BD!$N$3:$N$5001,"&lt;&gt;")=0,"",SUMIFS(BD!$N$3:$N$5001,BD!$B$3:$B$5001,H$219,BD!$A$3:$A$5001,_xlfn.MAXIFS(BD!$A$3:$A$5001,BD!$B$3:$B$5001,H$219,BD!$A$3:$A$5001,"&gt;="&amp;$C$7,BD!$A$3:$A$5001,"&lt;="&amp;$B221,BD!$N$3:$N$5001,"&lt;&gt;"))))</f>
        <v/>
      </c>
      <c r="I221" s="43" t="str">
        <f>IF(OR($B221="",$A221&gt;$B$9,I$219=""),"",IF(COUNTIFS(BD!$B$3:$B$5001,I$219,BD!$A$3:$A$5001,"&gt;="&amp;$C$7,BD!$A$3:$A$5001,"&lt;="&amp;$B221,BD!$N$3:$N$5001,"&lt;&gt;")=0,"",SUMIFS(BD!$N$3:$N$5001,BD!$B$3:$B$5001,I$219,BD!$A$3:$A$5001,_xlfn.MAXIFS(BD!$A$3:$A$5001,BD!$B$3:$B$5001,I$219,BD!$A$3:$A$5001,"&gt;="&amp;$C$7,BD!$A$3:$A$5001,"&lt;="&amp;$B221,BD!$N$3:$N$5001,"&lt;&gt;"))))</f>
        <v/>
      </c>
      <c r="J221" s="43" t="str">
        <f>IF(OR($B221="",$A221&gt;$B$9,J$219=""),"",IF(COUNTIFS(BD!$B$3:$B$5001,J$219,BD!$A$3:$A$5001,"&gt;="&amp;$C$7,BD!$A$3:$A$5001,"&lt;="&amp;$B221,BD!$N$3:$N$5001,"&lt;&gt;")=0,"",SUMIFS(BD!$N$3:$N$5001,BD!$B$3:$B$5001,J$219,BD!$A$3:$A$5001,_xlfn.MAXIFS(BD!$A$3:$A$5001,BD!$B$3:$B$5001,J$219,BD!$A$3:$A$5001,"&gt;="&amp;$C$7,BD!$A$3:$A$5001,"&lt;="&amp;$B221,BD!$N$3:$N$5001,"&lt;&gt;"))))</f>
        <v/>
      </c>
      <c r="K221" s="43" t="str">
        <f>IF(OR($B221="",$A221&gt;$B$9,K$219=""),"",IF(COUNTIFS(BD!$B$3:$B$5001,K$219,BD!$A$3:$A$5001,"&gt;="&amp;$C$7,BD!$A$3:$A$5001,"&lt;="&amp;$B221,BD!$N$3:$N$5001,"&lt;&gt;")=0,"",SUMIFS(BD!$N$3:$N$5001,BD!$B$3:$B$5001,K$219,BD!$A$3:$A$5001,_xlfn.MAXIFS(BD!$A$3:$A$5001,BD!$B$3:$B$5001,K$219,BD!$A$3:$A$5001,"&gt;="&amp;$C$7,BD!$A$3:$A$5001,"&lt;="&amp;$B221,BD!$N$3:$N$5001,"&lt;&gt;"))))</f>
        <v/>
      </c>
      <c r="L221" s="43" t="str">
        <f>IF(OR($B221="",$A221&gt;$B$9,L$219=""),"",IF(COUNTIFS(BD!$B$3:$B$5001,L$219,BD!$A$3:$A$5001,"&gt;="&amp;$C$7,BD!$A$3:$A$5001,"&lt;="&amp;$B221,BD!$N$3:$N$5001,"&lt;&gt;")=0,"",SUMIFS(BD!$N$3:$N$5001,BD!$B$3:$B$5001,L$219,BD!$A$3:$A$5001,_xlfn.MAXIFS(BD!$A$3:$A$5001,BD!$B$3:$B$5001,L$219,BD!$A$3:$A$5001,"&gt;="&amp;$C$7,BD!$A$3:$A$5001,"&lt;="&amp;$B221,BD!$N$3:$N$5001,"&lt;&gt;"))))</f>
        <v/>
      </c>
      <c r="M221" s="43" t="str">
        <f>IF(OR($B221="",$A221&gt;$B$9,M$219=""),"",IF(COUNTIFS(BD!$B$3:$B$5001,M$219,BD!$A$3:$A$5001,"&gt;="&amp;$C$7,BD!$A$3:$A$5001,"&lt;="&amp;$B221,BD!$N$3:$N$5001,"&lt;&gt;")=0,"",SUMIFS(BD!$N$3:$N$5001,BD!$B$3:$B$5001,M$219,BD!$A$3:$A$5001,_xlfn.MAXIFS(BD!$A$3:$A$5001,BD!$B$3:$B$5001,M$219,BD!$A$3:$A$5001,"&gt;="&amp;$C$7,BD!$A$3:$A$5001,"&lt;="&amp;$B221,BD!$N$3:$N$5001,"&lt;&gt;"))))</f>
        <v/>
      </c>
      <c r="N221" s="43" t="str">
        <f>IF(OR($B221="",$A221&gt;$B$9,N$219=""),"",IF(COUNTIFS(BD!$B$3:$B$5001,N$219,BD!$A$3:$A$5001,"&gt;="&amp;$C$7,BD!$A$3:$A$5001,"&lt;="&amp;$B221,BD!$N$3:$N$5001,"&lt;&gt;")=0,"",SUMIFS(BD!$N$3:$N$5001,BD!$B$3:$B$5001,N$219,BD!$A$3:$A$5001,_xlfn.MAXIFS(BD!$A$3:$A$5001,BD!$B$3:$B$5001,N$219,BD!$A$3:$A$5001,"&gt;="&amp;$C$7,BD!$A$3:$A$5001,"&lt;="&amp;$B221,BD!$N$3:$N$5001,"&lt;&gt;"))))</f>
        <v/>
      </c>
      <c r="O221" s="43" t="str">
        <f>IF(OR($B221="",$A221&gt;$B$9,O$219=""),"",IF(COUNTIFS(BD!$B$3:$B$5001,O$219,BD!$A$3:$A$5001,"&gt;="&amp;$C$7,BD!$A$3:$A$5001,"&lt;="&amp;$B221,BD!$N$3:$N$5001,"&lt;&gt;")=0,"",SUMIFS(BD!$N$3:$N$5001,BD!$B$3:$B$5001,O$219,BD!$A$3:$A$5001,_xlfn.MAXIFS(BD!$A$3:$A$5001,BD!$B$3:$B$5001,O$219,BD!$A$3:$A$5001,"&gt;="&amp;$C$7,BD!$A$3:$A$5001,"&lt;="&amp;$B221,BD!$N$3:$N$5001,"&lt;&gt;"))))</f>
        <v/>
      </c>
      <c r="P221" s="43" t="str">
        <f>IF(OR($B221="",$A221&gt;$B$9,P$219=""),"",IF(COUNTIFS(BD!$B$3:$B$5001,P$219,BD!$A$3:$A$5001,"&gt;="&amp;$C$7,BD!$A$3:$A$5001,"&lt;="&amp;$B221,BD!$N$3:$N$5001,"&lt;&gt;")=0,"",SUMIFS(BD!$N$3:$N$5001,BD!$B$3:$B$5001,P$219,BD!$A$3:$A$5001,_xlfn.MAXIFS(BD!$A$3:$A$5001,BD!$B$3:$B$5001,P$219,BD!$A$3:$A$5001,"&gt;="&amp;$C$7,BD!$A$3:$A$5001,"&lt;="&amp;$B221,BD!$N$3:$N$5001,"&lt;&gt;"))))</f>
        <v/>
      </c>
      <c r="Q221" s="43" t="str">
        <f>IF(OR($B221="",$A221&gt;$B$9,Q$219=""),"",IF(COUNTIFS(BD!$B$3:$B$5001,Q$219,BD!$A$3:$A$5001,"&gt;="&amp;$C$7,BD!$A$3:$A$5001,"&lt;="&amp;$B221,BD!$N$3:$N$5001,"&lt;&gt;")=0,"",SUMIFS(BD!$N$3:$N$5001,BD!$B$3:$B$5001,Q$219,BD!$A$3:$A$5001,_xlfn.MAXIFS(BD!$A$3:$A$5001,BD!$B$3:$B$5001,Q$219,BD!$A$3:$A$5001,"&gt;="&amp;$C$7,BD!$A$3:$A$5001,"&lt;="&amp;$B221,BD!$N$3:$N$5001,"&lt;&gt;"))))</f>
        <v/>
      </c>
      <c r="R221" s="43" t="str">
        <f>IF(OR($B221="",$A221&gt;$B$9,R$219=""),"",IF(COUNTIFS(BD!$B$3:$B$5001,R$219,BD!$A$3:$A$5001,"&gt;="&amp;$C$7,BD!$A$3:$A$5001,"&lt;="&amp;$B221,BD!$N$3:$N$5001,"&lt;&gt;")=0,"",SUMIFS(BD!$N$3:$N$5001,BD!$B$3:$B$5001,R$219,BD!$A$3:$A$5001,_xlfn.MAXIFS(BD!$A$3:$A$5001,BD!$B$3:$B$5001,R$219,BD!$A$3:$A$5001,"&gt;="&amp;$C$7,BD!$A$3:$A$5001,"&lt;="&amp;$B221,BD!$N$3:$N$5001,"&lt;&gt;"))))</f>
        <v/>
      </c>
      <c r="S221" s="43" t="str">
        <f>IF(OR($B221="",$A221&gt;$B$9,S$219=""),"",IF(COUNTIFS(BD!$B$3:$B$5001,S$219,BD!$A$3:$A$5001,"&gt;="&amp;$C$7,BD!$A$3:$A$5001,"&lt;="&amp;$B221,BD!$N$3:$N$5001,"&lt;&gt;")=0,"",SUMIFS(BD!$N$3:$N$5001,BD!$B$3:$B$5001,S$219,BD!$A$3:$A$5001,_xlfn.MAXIFS(BD!$A$3:$A$5001,BD!$B$3:$B$5001,S$219,BD!$A$3:$A$5001,"&gt;="&amp;$C$7,BD!$A$3:$A$5001,"&lt;="&amp;$B221,BD!$N$3:$N$5001,"&lt;&gt;"))))</f>
        <v/>
      </c>
      <c r="T221" s="43" t="str">
        <f>IF(OR($B221="",$A221&gt;$B$9,T$219=""),"",IF(COUNTIFS(BD!$B$3:$B$5001,T$219,BD!$A$3:$A$5001,"&gt;="&amp;$C$7,BD!$A$3:$A$5001,"&lt;="&amp;$B221,BD!$N$3:$N$5001,"&lt;&gt;")=0,"",SUMIFS(BD!$N$3:$N$5001,BD!$B$3:$B$5001,T$219,BD!$A$3:$A$5001,_xlfn.MAXIFS(BD!$A$3:$A$5001,BD!$B$3:$B$5001,T$219,BD!$A$3:$A$5001,"&gt;="&amp;$C$7,BD!$A$3:$A$5001,"&lt;="&amp;$B221,BD!$N$3:$N$5001,"&lt;&gt;"))))</f>
        <v/>
      </c>
      <c r="U221" s="43" t="str">
        <f>IF(OR($B221="",$A221&gt;$B$9,U$219=""),"",IF(COUNTIFS(BD!$B$3:$B$5001,U$219,BD!$A$3:$A$5001,"&gt;="&amp;$C$7,BD!$A$3:$A$5001,"&lt;="&amp;$B221,BD!$N$3:$N$5001,"&lt;&gt;")=0,"",SUMIFS(BD!$N$3:$N$5001,BD!$B$3:$B$5001,U$219,BD!$A$3:$A$5001,_xlfn.MAXIFS(BD!$A$3:$A$5001,BD!$B$3:$B$5001,U$219,BD!$A$3:$A$5001,"&gt;="&amp;$C$7,BD!$A$3:$A$5001,"&lt;="&amp;$B221,BD!$N$3:$N$5001,"&lt;&gt;"))))</f>
        <v/>
      </c>
      <c r="V221" s="43" t="str">
        <f>IF(OR($B221="",$A221&gt;$B$9,V$219=""),"",IF(COUNTIFS(BD!$B$3:$B$5001,V$219,BD!$A$3:$A$5001,"&gt;="&amp;$C$7,BD!$A$3:$A$5001,"&lt;="&amp;$B221,BD!$N$3:$N$5001,"&lt;&gt;")=0,"",SUMIFS(BD!$N$3:$N$5001,BD!$B$3:$B$5001,V$219,BD!$A$3:$A$5001,_xlfn.MAXIFS(BD!$A$3:$A$5001,BD!$B$3:$B$5001,V$219,BD!$A$3:$A$5001,"&gt;="&amp;$C$7,BD!$A$3:$A$5001,"&lt;="&amp;$B221,BD!$N$3:$N$5001,"&lt;&gt;"))))</f>
        <v/>
      </c>
    </row>
    <row r="222">
      <c r="A222" s="38">
        <v>3</v>
      </c>
      <c r="B222" s="42">
        <f>$B$14</f>
        <v>46298</v>
      </c>
      <c r="C222" s="43" t="str">
        <f>IF(OR($B222="",$A222&gt;$B$9,C$219=""),"",IF(COUNTIFS(BD!$B$3:$B$5001,C$219,BD!$A$3:$A$5001,"&gt;="&amp;$C$7,BD!$A$3:$A$5001,"&lt;="&amp;$B222,BD!$N$3:$N$5001,"&lt;&gt;")=0,"",SUMIFS(BD!$N$3:$N$5001,BD!$B$3:$B$5001,C$219,BD!$A$3:$A$5001,_xlfn.MAXIFS(BD!$A$3:$A$5001,BD!$B$3:$B$5001,C$219,BD!$A$3:$A$5001,"&gt;="&amp;$C$7,BD!$A$3:$A$5001,"&lt;="&amp;$B222,BD!$N$3:$N$5001,"&lt;&gt;"))))</f>
        <v/>
      </c>
      <c r="D222" s="43" t="str">
        <f>IF(OR($B222="",$A222&gt;$B$9,D$219=""),"",IF(COUNTIFS(BD!$B$3:$B$5001,D$219,BD!$A$3:$A$5001,"&gt;="&amp;$C$7,BD!$A$3:$A$5001,"&lt;="&amp;$B222,BD!$N$3:$N$5001,"&lt;&gt;")=0,"",SUMIFS(BD!$N$3:$N$5001,BD!$B$3:$B$5001,D$219,BD!$A$3:$A$5001,_xlfn.MAXIFS(BD!$A$3:$A$5001,BD!$B$3:$B$5001,D$219,BD!$A$3:$A$5001,"&gt;="&amp;$C$7,BD!$A$3:$A$5001,"&lt;="&amp;$B222,BD!$N$3:$N$5001,"&lt;&gt;"))))</f>
        <v/>
      </c>
      <c r="E222" s="43" t="str">
        <f>IF(OR($B222="",$A222&gt;$B$9,E$219=""),"",IF(COUNTIFS(BD!$B$3:$B$5001,E$219,BD!$A$3:$A$5001,"&gt;="&amp;$C$7,BD!$A$3:$A$5001,"&lt;="&amp;$B222,BD!$N$3:$N$5001,"&lt;&gt;")=0,"",SUMIFS(BD!$N$3:$N$5001,BD!$B$3:$B$5001,E$219,BD!$A$3:$A$5001,_xlfn.MAXIFS(BD!$A$3:$A$5001,BD!$B$3:$B$5001,E$219,BD!$A$3:$A$5001,"&gt;="&amp;$C$7,BD!$A$3:$A$5001,"&lt;="&amp;$B222,BD!$N$3:$N$5001,"&lt;&gt;"))))</f>
        <v/>
      </c>
      <c r="F222" s="43" t="str">
        <f>IF(OR($B222="",$A222&gt;$B$9,F$219=""),"",IF(COUNTIFS(BD!$B$3:$B$5001,F$219,BD!$A$3:$A$5001,"&gt;="&amp;$C$7,BD!$A$3:$A$5001,"&lt;="&amp;$B222,BD!$N$3:$N$5001,"&lt;&gt;")=0,"",SUMIFS(BD!$N$3:$N$5001,BD!$B$3:$B$5001,F$219,BD!$A$3:$A$5001,_xlfn.MAXIFS(BD!$A$3:$A$5001,BD!$B$3:$B$5001,F$219,BD!$A$3:$A$5001,"&gt;="&amp;$C$7,BD!$A$3:$A$5001,"&lt;="&amp;$B222,BD!$N$3:$N$5001,"&lt;&gt;"))))</f>
        <v/>
      </c>
      <c r="G222" s="43" t="str">
        <f>IF(OR($B222="",$A222&gt;$B$9,G$219=""),"",IF(COUNTIFS(BD!$B$3:$B$5001,G$219,BD!$A$3:$A$5001,"&gt;="&amp;$C$7,BD!$A$3:$A$5001,"&lt;="&amp;$B222,BD!$N$3:$N$5001,"&lt;&gt;")=0,"",SUMIFS(BD!$N$3:$N$5001,BD!$B$3:$B$5001,G$219,BD!$A$3:$A$5001,_xlfn.MAXIFS(BD!$A$3:$A$5001,BD!$B$3:$B$5001,G$219,BD!$A$3:$A$5001,"&gt;="&amp;$C$7,BD!$A$3:$A$5001,"&lt;="&amp;$B222,BD!$N$3:$N$5001,"&lt;&gt;"))))</f>
        <v/>
      </c>
      <c r="H222" s="43" t="str">
        <f>IF(OR($B222="",$A222&gt;$B$9,H$219=""),"",IF(COUNTIFS(BD!$B$3:$B$5001,H$219,BD!$A$3:$A$5001,"&gt;="&amp;$C$7,BD!$A$3:$A$5001,"&lt;="&amp;$B222,BD!$N$3:$N$5001,"&lt;&gt;")=0,"",SUMIFS(BD!$N$3:$N$5001,BD!$B$3:$B$5001,H$219,BD!$A$3:$A$5001,_xlfn.MAXIFS(BD!$A$3:$A$5001,BD!$B$3:$B$5001,H$219,BD!$A$3:$A$5001,"&gt;="&amp;$C$7,BD!$A$3:$A$5001,"&lt;="&amp;$B222,BD!$N$3:$N$5001,"&lt;&gt;"))))</f>
        <v/>
      </c>
      <c r="I222" s="43" t="str">
        <f>IF(OR($B222="",$A222&gt;$B$9,I$219=""),"",IF(COUNTIFS(BD!$B$3:$B$5001,I$219,BD!$A$3:$A$5001,"&gt;="&amp;$C$7,BD!$A$3:$A$5001,"&lt;="&amp;$B222,BD!$N$3:$N$5001,"&lt;&gt;")=0,"",SUMIFS(BD!$N$3:$N$5001,BD!$B$3:$B$5001,I$219,BD!$A$3:$A$5001,_xlfn.MAXIFS(BD!$A$3:$A$5001,BD!$B$3:$B$5001,I$219,BD!$A$3:$A$5001,"&gt;="&amp;$C$7,BD!$A$3:$A$5001,"&lt;="&amp;$B222,BD!$N$3:$N$5001,"&lt;&gt;"))))</f>
        <v/>
      </c>
      <c r="J222" s="43" t="str">
        <f>IF(OR($B222="",$A222&gt;$B$9,J$219=""),"",IF(COUNTIFS(BD!$B$3:$B$5001,J$219,BD!$A$3:$A$5001,"&gt;="&amp;$C$7,BD!$A$3:$A$5001,"&lt;="&amp;$B222,BD!$N$3:$N$5001,"&lt;&gt;")=0,"",SUMIFS(BD!$N$3:$N$5001,BD!$B$3:$B$5001,J$219,BD!$A$3:$A$5001,_xlfn.MAXIFS(BD!$A$3:$A$5001,BD!$B$3:$B$5001,J$219,BD!$A$3:$A$5001,"&gt;="&amp;$C$7,BD!$A$3:$A$5001,"&lt;="&amp;$B222,BD!$N$3:$N$5001,"&lt;&gt;"))))</f>
        <v/>
      </c>
      <c r="K222" s="43" t="str">
        <f>IF(OR($B222="",$A222&gt;$B$9,K$219=""),"",IF(COUNTIFS(BD!$B$3:$B$5001,K$219,BD!$A$3:$A$5001,"&gt;="&amp;$C$7,BD!$A$3:$A$5001,"&lt;="&amp;$B222,BD!$N$3:$N$5001,"&lt;&gt;")=0,"",SUMIFS(BD!$N$3:$N$5001,BD!$B$3:$B$5001,K$219,BD!$A$3:$A$5001,_xlfn.MAXIFS(BD!$A$3:$A$5001,BD!$B$3:$B$5001,K$219,BD!$A$3:$A$5001,"&gt;="&amp;$C$7,BD!$A$3:$A$5001,"&lt;="&amp;$B222,BD!$N$3:$N$5001,"&lt;&gt;"))))</f>
        <v/>
      </c>
      <c r="L222" s="43" t="str">
        <f>IF(OR($B222="",$A222&gt;$B$9,L$219=""),"",IF(COUNTIFS(BD!$B$3:$B$5001,L$219,BD!$A$3:$A$5001,"&gt;="&amp;$C$7,BD!$A$3:$A$5001,"&lt;="&amp;$B222,BD!$N$3:$N$5001,"&lt;&gt;")=0,"",SUMIFS(BD!$N$3:$N$5001,BD!$B$3:$B$5001,L$219,BD!$A$3:$A$5001,_xlfn.MAXIFS(BD!$A$3:$A$5001,BD!$B$3:$B$5001,L$219,BD!$A$3:$A$5001,"&gt;="&amp;$C$7,BD!$A$3:$A$5001,"&lt;="&amp;$B222,BD!$N$3:$N$5001,"&lt;&gt;"))))</f>
        <v/>
      </c>
      <c r="M222" s="43" t="str">
        <f>IF(OR($B222="",$A222&gt;$B$9,M$219=""),"",IF(COUNTIFS(BD!$B$3:$B$5001,M$219,BD!$A$3:$A$5001,"&gt;="&amp;$C$7,BD!$A$3:$A$5001,"&lt;="&amp;$B222,BD!$N$3:$N$5001,"&lt;&gt;")=0,"",SUMIFS(BD!$N$3:$N$5001,BD!$B$3:$B$5001,M$219,BD!$A$3:$A$5001,_xlfn.MAXIFS(BD!$A$3:$A$5001,BD!$B$3:$B$5001,M$219,BD!$A$3:$A$5001,"&gt;="&amp;$C$7,BD!$A$3:$A$5001,"&lt;="&amp;$B222,BD!$N$3:$N$5001,"&lt;&gt;"))))</f>
        <v/>
      </c>
      <c r="N222" s="43" t="str">
        <f>IF(OR($B222="",$A222&gt;$B$9,N$219=""),"",IF(COUNTIFS(BD!$B$3:$B$5001,N$219,BD!$A$3:$A$5001,"&gt;="&amp;$C$7,BD!$A$3:$A$5001,"&lt;="&amp;$B222,BD!$N$3:$N$5001,"&lt;&gt;")=0,"",SUMIFS(BD!$N$3:$N$5001,BD!$B$3:$B$5001,N$219,BD!$A$3:$A$5001,_xlfn.MAXIFS(BD!$A$3:$A$5001,BD!$B$3:$B$5001,N$219,BD!$A$3:$A$5001,"&gt;="&amp;$C$7,BD!$A$3:$A$5001,"&lt;="&amp;$B222,BD!$N$3:$N$5001,"&lt;&gt;"))))</f>
        <v/>
      </c>
      <c r="O222" s="43" t="str">
        <f>IF(OR($B222="",$A222&gt;$B$9,O$219=""),"",IF(COUNTIFS(BD!$B$3:$B$5001,O$219,BD!$A$3:$A$5001,"&gt;="&amp;$C$7,BD!$A$3:$A$5001,"&lt;="&amp;$B222,BD!$N$3:$N$5001,"&lt;&gt;")=0,"",SUMIFS(BD!$N$3:$N$5001,BD!$B$3:$B$5001,O$219,BD!$A$3:$A$5001,_xlfn.MAXIFS(BD!$A$3:$A$5001,BD!$B$3:$B$5001,O$219,BD!$A$3:$A$5001,"&gt;="&amp;$C$7,BD!$A$3:$A$5001,"&lt;="&amp;$B222,BD!$N$3:$N$5001,"&lt;&gt;"))))</f>
        <v/>
      </c>
      <c r="P222" s="43" t="str">
        <f>IF(OR($B222="",$A222&gt;$B$9,P$219=""),"",IF(COUNTIFS(BD!$B$3:$B$5001,P$219,BD!$A$3:$A$5001,"&gt;="&amp;$C$7,BD!$A$3:$A$5001,"&lt;="&amp;$B222,BD!$N$3:$N$5001,"&lt;&gt;")=0,"",SUMIFS(BD!$N$3:$N$5001,BD!$B$3:$B$5001,P$219,BD!$A$3:$A$5001,_xlfn.MAXIFS(BD!$A$3:$A$5001,BD!$B$3:$B$5001,P$219,BD!$A$3:$A$5001,"&gt;="&amp;$C$7,BD!$A$3:$A$5001,"&lt;="&amp;$B222,BD!$N$3:$N$5001,"&lt;&gt;"))))</f>
        <v/>
      </c>
      <c r="Q222" s="43" t="str">
        <f>IF(OR($B222="",$A222&gt;$B$9,Q$219=""),"",IF(COUNTIFS(BD!$B$3:$B$5001,Q$219,BD!$A$3:$A$5001,"&gt;="&amp;$C$7,BD!$A$3:$A$5001,"&lt;="&amp;$B222,BD!$N$3:$N$5001,"&lt;&gt;")=0,"",SUMIFS(BD!$N$3:$N$5001,BD!$B$3:$B$5001,Q$219,BD!$A$3:$A$5001,_xlfn.MAXIFS(BD!$A$3:$A$5001,BD!$B$3:$B$5001,Q$219,BD!$A$3:$A$5001,"&gt;="&amp;$C$7,BD!$A$3:$A$5001,"&lt;="&amp;$B222,BD!$N$3:$N$5001,"&lt;&gt;"))))</f>
        <v/>
      </c>
      <c r="R222" s="43" t="str">
        <f>IF(OR($B222="",$A222&gt;$B$9,R$219=""),"",IF(COUNTIFS(BD!$B$3:$B$5001,R$219,BD!$A$3:$A$5001,"&gt;="&amp;$C$7,BD!$A$3:$A$5001,"&lt;="&amp;$B222,BD!$N$3:$N$5001,"&lt;&gt;")=0,"",SUMIFS(BD!$N$3:$N$5001,BD!$B$3:$B$5001,R$219,BD!$A$3:$A$5001,_xlfn.MAXIFS(BD!$A$3:$A$5001,BD!$B$3:$B$5001,R$219,BD!$A$3:$A$5001,"&gt;="&amp;$C$7,BD!$A$3:$A$5001,"&lt;="&amp;$B222,BD!$N$3:$N$5001,"&lt;&gt;"))))</f>
        <v/>
      </c>
      <c r="S222" s="43" t="str">
        <f>IF(OR($B222="",$A222&gt;$B$9,S$219=""),"",IF(COUNTIFS(BD!$B$3:$B$5001,S$219,BD!$A$3:$A$5001,"&gt;="&amp;$C$7,BD!$A$3:$A$5001,"&lt;="&amp;$B222,BD!$N$3:$N$5001,"&lt;&gt;")=0,"",SUMIFS(BD!$N$3:$N$5001,BD!$B$3:$B$5001,S$219,BD!$A$3:$A$5001,_xlfn.MAXIFS(BD!$A$3:$A$5001,BD!$B$3:$B$5001,S$219,BD!$A$3:$A$5001,"&gt;="&amp;$C$7,BD!$A$3:$A$5001,"&lt;="&amp;$B222,BD!$N$3:$N$5001,"&lt;&gt;"))))</f>
        <v/>
      </c>
      <c r="T222" s="43" t="str">
        <f>IF(OR($B222="",$A222&gt;$B$9,T$219=""),"",IF(COUNTIFS(BD!$B$3:$B$5001,T$219,BD!$A$3:$A$5001,"&gt;="&amp;$C$7,BD!$A$3:$A$5001,"&lt;="&amp;$B222,BD!$N$3:$N$5001,"&lt;&gt;")=0,"",SUMIFS(BD!$N$3:$N$5001,BD!$B$3:$B$5001,T$219,BD!$A$3:$A$5001,_xlfn.MAXIFS(BD!$A$3:$A$5001,BD!$B$3:$B$5001,T$219,BD!$A$3:$A$5001,"&gt;="&amp;$C$7,BD!$A$3:$A$5001,"&lt;="&amp;$B222,BD!$N$3:$N$5001,"&lt;&gt;"))))</f>
        <v/>
      </c>
      <c r="U222" s="43" t="str">
        <f>IF(OR($B222="",$A222&gt;$B$9,U$219=""),"",IF(COUNTIFS(BD!$B$3:$B$5001,U$219,BD!$A$3:$A$5001,"&gt;="&amp;$C$7,BD!$A$3:$A$5001,"&lt;="&amp;$B222,BD!$N$3:$N$5001,"&lt;&gt;")=0,"",SUMIFS(BD!$N$3:$N$5001,BD!$B$3:$B$5001,U$219,BD!$A$3:$A$5001,_xlfn.MAXIFS(BD!$A$3:$A$5001,BD!$B$3:$B$5001,U$219,BD!$A$3:$A$5001,"&gt;="&amp;$C$7,BD!$A$3:$A$5001,"&lt;="&amp;$B222,BD!$N$3:$N$5001,"&lt;&gt;"))))</f>
        <v/>
      </c>
      <c r="V222" s="43" t="str">
        <f>IF(OR($B222="",$A222&gt;$B$9,V$219=""),"",IF(COUNTIFS(BD!$B$3:$B$5001,V$219,BD!$A$3:$A$5001,"&gt;="&amp;$C$7,BD!$A$3:$A$5001,"&lt;="&amp;$B222,BD!$N$3:$N$5001,"&lt;&gt;")=0,"",SUMIFS(BD!$N$3:$N$5001,BD!$B$3:$B$5001,V$219,BD!$A$3:$A$5001,_xlfn.MAXIFS(BD!$A$3:$A$5001,BD!$B$3:$B$5001,V$219,BD!$A$3:$A$5001,"&gt;="&amp;$C$7,BD!$A$3:$A$5001,"&lt;="&amp;$B222,BD!$N$3:$N$5001,"&lt;&gt;"))))</f>
        <v/>
      </c>
    </row>
    <row r="223">
      <c r="A223" s="38">
        <v>4</v>
      </c>
      <c r="B223" s="42">
        <f>$B$15</f>
        <v>46299</v>
      </c>
      <c r="C223" s="43" t="str">
        <f>IF(OR($B223="",$A223&gt;$B$9,C$219=""),"",IF(COUNTIFS(BD!$B$3:$B$5001,C$219,BD!$A$3:$A$5001,"&gt;="&amp;$C$7,BD!$A$3:$A$5001,"&lt;="&amp;$B223,BD!$N$3:$N$5001,"&lt;&gt;")=0,"",SUMIFS(BD!$N$3:$N$5001,BD!$B$3:$B$5001,C$219,BD!$A$3:$A$5001,_xlfn.MAXIFS(BD!$A$3:$A$5001,BD!$B$3:$B$5001,C$219,BD!$A$3:$A$5001,"&gt;="&amp;$C$7,BD!$A$3:$A$5001,"&lt;="&amp;$B223,BD!$N$3:$N$5001,"&lt;&gt;"))))</f>
        <v/>
      </c>
      <c r="D223" s="43" t="str">
        <f>IF(OR($B223="",$A223&gt;$B$9,D$219=""),"",IF(COUNTIFS(BD!$B$3:$B$5001,D$219,BD!$A$3:$A$5001,"&gt;="&amp;$C$7,BD!$A$3:$A$5001,"&lt;="&amp;$B223,BD!$N$3:$N$5001,"&lt;&gt;")=0,"",SUMIFS(BD!$N$3:$N$5001,BD!$B$3:$B$5001,D$219,BD!$A$3:$A$5001,_xlfn.MAXIFS(BD!$A$3:$A$5001,BD!$B$3:$B$5001,D$219,BD!$A$3:$A$5001,"&gt;="&amp;$C$7,BD!$A$3:$A$5001,"&lt;="&amp;$B223,BD!$N$3:$N$5001,"&lt;&gt;"))))</f>
        <v/>
      </c>
      <c r="E223" s="43" t="str">
        <f>IF(OR($B223="",$A223&gt;$B$9,E$219=""),"",IF(COUNTIFS(BD!$B$3:$B$5001,E$219,BD!$A$3:$A$5001,"&gt;="&amp;$C$7,BD!$A$3:$A$5001,"&lt;="&amp;$B223,BD!$N$3:$N$5001,"&lt;&gt;")=0,"",SUMIFS(BD!$N$3:$N$5001,BD!$B$3:$B$5001,E$219,BD!$A$3:$A$5001,_xlfn.MAXIFS(BD!$A$3:$A$5001,BD!$B$3:$B$5001,E$219,BD!$A$3:$A$5001,"&gt;="&amp;$C$7,BD!$A$3:$A$5001,"&lt;="&amp;$B223,BD!$N$3:$N$5001,"&lt;&gt;"))))</f>
        <v/>
      </c>
      <c r="F223" s="43" t="str">
        <f>IF(OR($B223="",$A223&gt;$B$9,F$219=""),"",IF(COUNTIFS(BD!$B$3:$B$5001,F$219,BD!$A$3:$A$5001,"&gt;="&amp;$C$7,BD!$A$3:$A$5001,"&lt;="&amp;$B223,BD!$N$3:$N$5001,"&lt;&gt;")=0,"",SUMIFS(BD!$N$3:$N$5001,BD!$B$3:$B$5001,F$219,BD!$A$3:$A$5001,_xlfn.MAXIFS(BD!$A$3:$A$5001,BD!$B$3:$B$5001,F$219,BD!$A$3:$A$5001,"&gt;="&amp;$C$7,BD!$A$3:$A$5001,"&lt;="&amp;$B223,BD!$N$3:$N$5001,"&lt;&gt;"))))</f>
        <v/>
      </c>
      <c r="G223" s="43" t="str">
        <f>IF(OR($B223="",$A223&gt;$B$9,G$219=""),"",IF(COUNTIFS(BD!$B$3:$B$5001,G$219,BD!$A$3:$A$5001,"&gt;="&amp;$C$7,BD!$A$3:$A$5001,"&lt;="&amp;$B223,BD!$N$3:$N$5001,"&lt;&gt;")=0,"",SUMIFS(BD!$N$3:$N$5001,BD!$B$3:$B$5001,G$219,BD!$A$3:$A$5001,_xlfn.MAXIFS(BD!$A$3:$A$5001,BD!$B$3:$B$5001,G$219,BD!$A$3:$A$5001,"&gt;="&amp;$C$7,BD!$A$3:$A$5001,"&lt;="&amp;$B223,BD!$N$3:$N$5001,"&lt;&gt;"))))</f>
        <v/>
      </c>
      <c r="H223" s="43" t="str">
        <f>IF(OR($B223="",$A223&gt;$B$9,H$219=""),"",IF(COUNTIFS(BD!$B$3:$B$5001,H$219,BD!$A$3:$A$5001,"&gt;="&amp;$C$7,BD!$A$3:$A$5001,"&lt;="&amp;$B223,BD!$N$3:$N$5001,"&lt;&gt;")=0,"",SUMIFS(BD!$N$3:$N$5001,BD!$B$3:$B$5001,H$219,BD!$A$3:$A$5001,_xlfn.MAXIFS(BD!$A$3:$A$5001,BD!$B$3:$B$5001,H$219,BD!$A$3:$A$5001,"&gt;="&amp;$C$7,BD!$A$3:$A$5001,"&lt;="&amp;$B223,BD!$N$3:$N$5001,"&lt;&gt;"))))</f>
        <v/>
      </c>
      <c r="I223" s="43" t="str">
        <f>IF(OR($B223="",$A223&gt;$B$9,I$219=""),"",IF(COUNTIFS(BD!$B$3:$B$5001,I$219,BD!$A$3:$A$5001,"&gt;="&amp;$C$7,BD!$A$3:$A$5001,"&lt;="&amp;$B223,BD!$N$3:$N$5001,"&lt;&gt;")=0,"",SUMIFS(BD!$N$3:$N$5001,BD!$B$3:$B$5001,I$219,BD!$A$3:$A$5001,_xlfn.MAXIFS(BD!$A$3:$A$5001,BD!$B$3:$B$5001,I$219,BD!$A$3:$A$5001,"&gt;="&amp;$C$7,BD!$A$3:$A$5001,"&lt;="&amp;$B223,BD!$N$3:$N$5001,"&lt;&gt;"))))</f>
        <v/>
      </c>
      <c r="J223" s="43" t="str">
        <f>IF(OR($B223="",$A223&gt;$B$9,J$219=""),"",IF(COUNTIFS(BD!$B$3:$B$5001,J$219,BD!$A$3:$A$5001,"&gt;="&amp;$C$7,BD!$A$3:$A$5001,"&lt;="&amp;$B223,BD!$N$3:$N$5001,"&lt;&gt;")=0,"",SUMIFS(BD!$N$3:$N$5001,BD!$B$3:$B$5001,J$219,BD!$A$3:$A$5001,_xlfn.MAXIFS(BD!$A$3:$A$5001,BD!$B$3:$B$5001,J$219,BD!$A$3:$A$5001,"&gt;="&amp;$C$7,BD!$A$3:$A$5001,"&lt;="&amp;$B223,BD!$N$3:$N$5001,"&lt;&gt;"))))</f>
        <v/>
      </c>
      <c r="K223" s="43" t="str">
        <f>IF(OR($B223="",$A223&gt;$B$9,K$219=""),"",IF(COUNTIFS(BD!$B$3:$B$5001,K$219,BD!$A$3:$A$5001,"&gt;="&amp;$C$7,BD!$A$3:$A$5001,"&lt;="&amp;$B223,BD!$N$3:$N$5001,"&lt;&gt;")=0,"",SUMIFS(BD!$N$3:$N$5001,BD!$B$3:$B$5001,K$219,BD!$A$3:$A$5001,_xlfn.MAXIFS(BD!$A$3:$A$5001,BD!$B$3:$B$5001,K$219,BD!$A$3:$A$5001,"&gt;="&amp;$C$7,BD!$A$3:$A$5001,"&lt;="&amp;$B223,BD!$N$3:$N$5001,"&lt;&gt;"))))</f>
        <v/>
      </c>
      <c r="L223" s="43" t="str">
        <f>IF(OR($B223="",$A223&gt;$B$9,L$219=""),"",IF(COUNTIFS(BD!$B$3:$B$5001,L$219,BD!$A$3:$A$5001,"&gt;="&amp;$C$7,BD!$A$3:$A$5001,"&lt;="&amp;$B223,BD!$N$3:$N$5001,"&lt;&gt;")=0,"",SUMIFS(BD!$N$3:$N$5001,BD!$B$3:$B$5001,L$219,BD!$A$3:$A$5001,_xlfn.MAXIFS(BD!$A$3:$A$5001,BD!$B$3:$B$5001,L$219,BD!$A$3:$A$5001,"&gt;="&amp;$C$7,BD!$A$3:$A$5001,"&lt;="&amp;$B223,BD!$N$3:$N$5001,"&lt;&gt;"))))</f>
        <v/>
      </c>
      <c r="M223" s="43" t="str">
        <f>IF(OR($B223="",$A223&gt;$B$9,M$219=""),"",IF(COUNTIFS(BD!$B$3:$B$5001,M$219,BD!$A$3:$A$5001,"&gt;="&amp;$C$7,BD!$A$3:$A$5001,"&lt;="&amp;$B223,BD!$N$3:$N$5001,"&lt;&gt;")=0,"",SUMIFS(BD!$N$3:$N$5001,BD!$B$3:$B$5001,M$219,BD!$A$3:$A$5001,_xlfn.MAXIFS(BD!$A$3:$A$5001,BD!$B$3:$B$5001,M$219,BD!$A$3:$A$5001,"&gt;="&amp;$C$7,BD!$A$3:$A$5001,"&lt;="&amp;$B223,BD!$N$3:$N$5001,"&lt;&gt;"))))</f>
        <v/>
      </c>
      <c r="N223" s="43" t="str">
        <f>IF(OR($B223="",$A223&gt;$B$9,N$219=""),"",IF(COUNTIFS(BD!$B$3:$B$5001,N$219,BD!$A$3:$A$5001,"&gt;="&amp;$C$7,BD!$A$3:$A$5001,"&lt;="&amp;$B223,BD!$N$3:$N$5001,"&lt;&gt;")=0,"",SUMIFS(BD!$N$3:$N$5001,BD!$B$3:$B$5001,N$219,BD!$A$3:$A$5001,_xlfn.MAXIFS(BD!$A$3:$A$5001,BD!$B$3:$B$5001,N$219,BD!$A$3:$A$5001,"&gt;="&amp;$C$7,BD!$A$3:$A$5001,"&lt;="&amp;$B223,BD!$N$3:$N$5001,"&lt;&gt;"))))</f>
        <v/>
      </c>
      <c r="O223" s="43" t="str">
        <f>IF(OR($B223="",$A223&gt;$B$9,O$219=""),"",IF(COUNTIFS(BD!$B$3:$B$5001,O$219,BD!$A$3:$A$5001,"&gt;="&amp;$C$7,BD!$A$3:$A$5001,"&lt;="&amp;$B223,BD!$N$3:$N$5001,"&lt;&gt;")=0,"",SUMIFS(BD!$N$3:$N$5001,BD!$B$3:$B$5001,O$219,BD!$A$3:$A$5001,_xlfn.MAXIFS(BD!$A$3:$A$5001,BD!$B$3:$B$5001,O$219,BD!$A$3:$A$5001,"&gt;="&amp;$C$7,BD!$A$3:$A$5001,"&lt;="&amp;$B223,BD!$N$3:$N$5001,"&lt;&gt;"))))</f>
        <v/>
      </c>
      <c r="P223" s="43" t="str">
        <f>IF(OR($B223="",$A223&gt;$B$9,P$219=""),"",IF(COUNTIFS(BD!$B$3:$B$5001,P$219,BD!$A$3:$A$5001,"&gt;="&amp;$C$7,BD!$A$3:$A$5001,"&lt;="&amp;$B223,BD!$N$3:$N$5001,"&lt;&gt;")=0,"",SUMIFS(BD!$N$3:$N$5001,BD!$B$3:$B$5001,P$219,BD!$A$3:$A$5001,_xlfn.MAXIFS(BD!$A$3:$A$5001,BD!$B$3:$B$5001,P$219,BD!$A$3:$A$5001,"&gt;="&amp;$C$7,BD!$A$3:$A$5001,"&lt;="&amp;$B223,BD!$N$3:$N$5001,"&lt;&gt;"))))</f>
        <v/>
      </c>
      <c r="Q223" s="43" t="str">
        <f>IF(OR($B223="",$A223&gt;$B$9,Q$219=""),"",IF(COUNTIFS(BD!$B$3:$B$5001,Q$219,BD!$A$3:$A$5001,"&gt;="&amp;$C$7,BD!$A$3:$A$5001,"&lt;="&amp;$B223,BD!$N$3:$N$5001,"&lt;&gt;")=0,"",SUMIFS(BD!$N$3:$N$5001,BD!$B$3:$B$5001,Q$219,BD!$A$3:$A$5001,_xlfn.MAXIFS(BD!$A$3:$A$5001,BD!$B$3:$B$5001,Q$219,BD!$A$3:$A$5001,"&gt;="&amp;$C$7,BD!$A$3:$A$5001,"&lt;="&amp;$B223,BD!$N$3:$N$5001,"&lt;&gt;"))))</f>
        <v/>
      </c>
      <c r="R223" s="43" t="str">
        <f>IF(OR($B223="",$A223&gt;$B$9,R$219=""),"",IF(COUNTIFS(BD!$B$3:$B$5001,R$219,BD!$A$3:$A$5001,"&gt;="&amp;$C$7,BD!$A$3:$A$5001,"&lt;="&amp;$B223,BD!$N$3:$N$5001,"&lt;&gt;")=0,"",SUMIFS(BD!$N$3:$N$5001,BD!$B$3:$B$5001,R$219,BD!$A$3:$A$5001,_xlfn.MAXIFS(BD!$A$3:$A$5001,BD!$B$3:$B$5001,R$219,BD!$A$3:$A$5001,"&gt;="&amp;$C$7,BD!$A$3:$A$5001,"&lt;="&amp;$B223,BD!$N$3:$N$5001,"&lt;&gt;"))))</f>
        <v/>
      </c>
      <c r="S223" s="43" t="str">
        <f>IF(OR($B223="",$A223&gt;$B$9,S$219=""),"",IF(COUNTIFS(BD!$B$3:$B$5001,S$219,BD!$A$3:$A$5001,"&gt;="&amp;$C$7,BD!$A$3:$A$5001,"&lt;="&amp;$B223,BD!$N$3:$N$5001,"&lt;&gt;")=0,"",SUMIFS(BD!$N$3:$N$5001,BD!$B$3:$B$5001,S$219,BD!$A$3:$A$5001,_xlfn.MAXIFS(BD!$A$3:$A$5001,BD!$B$3:$B$5001,S$219,BD!$A$3:$A$5001,"&gt;="&amp;$C$7,BD!$A$3:$A$5001,"&lt;="&amp;$B223,BD!$N$3:$N$5001,"&lt;&gt;"))))</f>
        <v/>
      </c>
      <c r="T223" s="43" t="str">
        <f>IF(OR($B223="",$A223&gt;$B$9,T$219=""),"",IF(COUNTIFS(BD!$B$3:$B$5001,T$219,BD!$A$3:$A$5001,"&gt;="&amp;$C$7,BD!$A$3:$A$5001,"&lt;="&amp;$B223,BD!$N$3:$N$5001,"&lt;&gt;")=0,"",SUMIFS(BD!$N$3:$N$5001,BD!$B$3:$B$5001,T$219,BD!$A$3:$A$5001,_xlfn.MAXIFS(BD!$A$3:$A$5001,BD!$B$3:$B$5001,T$219,BD!$A$3:$A$5001,"&gt;="&amp;$C$7,BD!$A$3:$A$5001,"&lt;="&amp;$B223,BD!$N$3:$N$5001,"&lt;&gt;"))))</f>
        <v/>
      </c>
      <c r="U223" s="43" t="str">
        <f>IF(OR($B223="",$A223&gt;$B$9,U$219=""),"",IF(COUNTIFS(BD!$B$3:$B$5001,U$219,BD!$A$3:$A$5001,"&gt;="&amp;$C$7,BD!$A$3:$A$5001,"&lt;="&amp;$B223,BD!$N$3:$N$5001,"&lt;&gt;")=0,"",SUMIFS(BD!$N$3:$N$5001,BD!$B$3:$B$5001,U$219,BD!$A$3:$A$5001,_xlfn.MAXIFS(BD!$A$3:$A$5001,BD!$B$3:$B$5001,U$219,BD!$A$3:$A$5001,"&gt;="&amp;$C$7,BD!$A$3:$A$5001,"&lt;="&amp;$B223,BD!$N$3:$N$5001,"&lt;&gt;"))))</f>
        <v/>
      </c>
      <c r="V223" s="43" t="str">
        <f>IF(OR($B223="",$A223&gt;$B$9,V$219=""),"",IF(COUNTIFS(BD!$B$3:$B$5001,V$219,BD!$A$3:$A$5001,"&gt;="&amp;$C$7,BD!$A$3:$A$5001,"&lt;="&amp;$B223,BD!$N$3:$N$5001,"&lt;&gt;")=0,"",SUMIFS(BD!$N$3:$N$5001,BD!$B$3:$B$5001,V$219,BD!$A$3:$A$5001,_xlfn.MAXIFS(BD!$A$3:$A$5001,BD!$B$3:$B$5001,V$219,BD!$A$3:$A$5001,"&gt;="&amp;$C$7,BD!$A$3:$A$5001,"&lt;="&amp;$B223,BD!$N$3:$N$5001,"&lt;&gt;"))))</f>
        <v/>
      </c>
    </row>
    <row r="224">
      <c r="A224" s="38">
        <v>5</v>
      </c>
      <c r="B224" s="42">
        <f>$B$16</f>
        <v>46300</v>
      </c>
      <c r="C224" s="43" t="str">
        <f>IF(OR($B224="",$A224&gt;$B$9,C$219=""),"",IF(COUNTIFS(BD!$B$3:$B$5001,C$219,BD!$A$3:$A$5001,"&gt;="&amp;$C$7,BD!$A$3:$A$5001,"&lt;="&amp;$B224,BD!$N$3:$N$5001,"&lt;&gt;")=0,"",SUMIFS(BD!$N$3:$N$5001,BD!$B$3:$B$5001,C$219,BD!$A$3:$A$5001,_xlfn.MAXIFS(BD!$A$3:$A$5001,BD!$B$3:$B$5001,C$219,BD!$A$3:$A$5001,"&gt;="&amp;$C$7,BD!$A$3:$A$5001,"&lt;="&amp;$B224,BD!$N$3:$N$5001,"&lt;&gt;"))))</f>
        <v/>
      </c>
      <c r="D224" s="43" t="str">
        <f>IF(OR($B224="",$A224&gt;$B$9,D$219=""),"",IF(COUNTIFS(BD!$B$3:$B$5001,D$219,BD!$A$3:$A$5001,"&gt;="&amp;$C$7,BD!$A$3:$A$5001,"&lt;="&amp;$B224,BD!$N$3:$N$5001,"&lt;&gt;")=0,"",SUMIFS(BD!$N$3:$N$5001,BD!$B$3:$B$5001,D$219,BD!$A$3:$A$5001,_xlfn.MAXIFS(BD!$A$3:$A$5001,BD!$B$3:$B$5001,D$219,BD!$A$3:$A$5001,"&gt;="&amp;$C$7,BD!$A$3:$A$5001,"&lt;="&amp;$B224,BD!$N$3:$N$5001,"&lt;&gt;"))))</f>
        <v/>
      </c>
      <c r="E224" s="43" t="str">
        <f>IF(OR($B224="",$A224&gt;$B$9,E$219=""),"",IF(COUNTIFS(BD!$B$3:$B$5001,E$219,BD!$A$3:$A$5001,"&gt;="&amp;$C$7,BD!$A$3:$A$5001,"&lt;="&amp;$B224,BD!$N$3:$N$5001,"&lt;&gt;")=0,"",SUMIFS(BD!$N$3:$N$5001,BD!$B$3:$B$5001,E$219,BD!$A$3:$A$5001,_xlfn.MAXIFS(BD!$A$3:$A$5001,BD!$B$3:$B$5001,E$219,BD!$A$3:$A$5001,"&gt;="&amp;$C$7,BD!$A$3:$A$5001,"&lt;="&amp;$B224,BD!$N$3:$N$5001,"&lt;&gt;"))))</f>
        <v/>
      </c>
      <c r="F224" s="43" t="str">
        <f>IF(OR($B224="",$A224&gt;$B$9,F$219=""),"",IF(COUNTIFS(BD!$B$3:$B$5001,F$219,BD!$A$3:$A$5001,"&gt;="&amp;$C$7,BD!$A$3:$A$5001,"&lt;="&amp;$B224,BD!$N$3:$N$5001,"&lt;&gt;")=0,"",SUMIFS(BD!$N$3:$N$5001,BD!$B$3:$B$5001,F$219,BD!$A$3:$A$5001,_xlfn.MAXIFS(BD!$A$3:$A$5001,BD!$B$3:$B$5001,F$219,BD!$A$3:$A$5001,"&gt;="&amp;$C$7,BD!$A$3:$A$5001,"&lt;="&amp;$B224,BD!$N$3:$N$5001,"&lt;&gt;"))))</f>
        <v/>
      </c>
      <c r="G224" s="43" t="str">
        <f>IF(OR($B224="",$A224&gt;$B$9,G$219=""),"",IF(COUNTIFS(BD!$B$3:$B$5001,G$219,BD!$A$3:$A$5001,"&gt;="&amp;$C$7,BD!$A$3:$A$5001,"&lt;="&amp;$B224,BD!$N$3:$N$5001,"&lt;&gt;")=0,"",SUMIFS(BD!$N$3:$N$5001,BD!$B$3:$B$5001,G$219,BD!$A$3:$A$5001,_xlfn.MAXIFS(BD!$A$3:$A$5001,BD!$B$3:$B$5001,G$219,BD!$A$3:$A$5001,"&gt;="&amp;$C$7,BD!$A$3:$A$5001,"&lt;="&amp;$B224,BD!$N$3:$N$5001,"&lt;&gt;"))))</f>
        <v/>
      </c>
      <c r="H224" s="43" t="str">
        <f>IF(OR($B224="",$A224&gt;$B$9,H$219=""),"",IF(COUNTIFS(BD!$B$3:$B$5001,H$219,BD!$A$3:$A$5001,"&gt;="&amp;$C$7,BD!$A$3:$A$5001,"&lt;="&amp;$B224,BD!$N$3:$N$5001,"&lt;&gt;")=0,"",SUMIFS(BD!$N$3:$N$5001,BD!$B$3:$B$5001,H$219,BD!$A$3:$A$5001,_xlfn.MAXIFS(BD!$A$3:$A$5001,BD!$B$3:$B$5001,H$219,BD!$A$3:$A$5001,"&gt;="&amp;$C$7,BD!$A$3:$A$5001,"&lt;="&amp;$B224,BD!$N$3:$N$5001,"&lt;&gt;"))))</f>
        <v/>
      </c>
      <c r="I224" s="43" t="str">
        <f>IF(OR($B224="",$A224&gt;$B$9,I$219=""),"",IF(COUNTIFS(BD!$B$3:$B$5001,I$219,BD!$A$3:$A$5001,"&gt;="&amp;$C$7,BD!$A$3:$A$5001,"&lt;="&amp;$B224,BD!$N$3:$N$5001,"&lt;&gt;")=0,"",SUMIFS(BD!$N$3:$N$5001,BD!$B$3:$B$5001,I$219,BD!$A$3:$A$5001,_xlfn.MAXIFS(BD!$A$3:$A$5001,BD!$B$3:$B$5001,I$219,BD!$A$3:$A$5001,"&gt;="&amp;$C$7,BD!$A$3:$A$5001,"&lt;="&amp;$B224,BD!$N$3:$N$5001,"&lt;&gt;"))))</f>
        <v/>
      </c>
      <c r="J224" s="43" t="str">
        <f>IF(OR($B224="",$A224&gt;$B$9,J$219=""),"",IF(COUNTIFS(BD!$B$3:$B$5001,J$219,BD!$A$3:$A$5001,"&gt;="&amp;$C$7,BD!$A$3:$A$5001,"&lt;="&amp;$B224,BD!$N$3:$N$5001,"&lt;&gt;")=0,"",SUMIFS(BD!$N$3:$N$5001,BD!$B$3:$B$5001,J$219,BD!$A$3:$A$5001,_xlfn.MAXIFS(BD!$A$3:$A$5001,BD!$B$3:$B$5001,J$219,BD!$A$3:$A$5001,"&gt;="&amp;$C$7,BD!$A$3:$A$5001,"&lt;="&amp;$B224,BD!$N$3:$N$5001,"&lt;&gt;"))))</f>
        <v/>
      </c>
      <c r="K224" s="43" t="str">
        <f>IF(OR($B224="",$A224&gt;$B$9,K$219=""),"",IF(COUNTIFS(BD!$B$3:$B$5001,K$219,BD!$A$3:$A$5001,"&gt;="&amp;$C$7,BD!$A$3:$A$5001,"&lt;="&amp;$B224,BD!$N$3:$N$5001,"&lt;&gt;")=0,"",SUMIFS(BD!$N$3:$N$5001,BD!$B$3:$B$5001,K$219,BD!$A$3:$A$5001,_xlfn.MAXIFS(BD!$A$3:$A$5001,BD!$B$3:$B$5001,K$219,BD!$A$3:$A$5001,"&gt;="&amp;$C$7,BD!$A$3:$A$5001,"&lt;="&amp;$B224,BD!$N$3:$N$5001,"&lt;&gt;"))))</f>
        <v/>
      </c>
      <c r="L224" s="43" t="str">
        <f>IF(OR($B224="",$A224&gt;$B$9,L$219=""),"",IF(COUNTIFS(BD!$B$3:$B$5001,L$219,BD!$A$3:$A$5001,"&gt;="&amp;$C$7,BD!$A$3:$A$5001,"&lt;="&amp;$B224,BD!$N$3:$N$5001,"&lt;&gt;")=0,"",SUMIFS(BD!$N$3:$N$5001,BD!$B$3:$B$5001,L$219,BD!$A$3:$A$5001,_xlfn.MAXIFS(BD!$A$3:$A$5001,BD!$B$3:$B$5001,L$219,BD!$A$3:$A$5001,"&gt;="&amp;$C$7,BD!$A$3:$A$5001,"&lt;="&amp;$B224,BD!$N$3:$N$5001,"&lt;&gt;"))))</f>
        <v/>
      </c>
      <c r="M224" s="43" t="str">
        <f>IF(OR($B224="",$A224&gt;$B$9,M$219=""),"",IF(COUNTIFS(BD!$B$3:$B$5001,M$219,BD!$A$3:$A$5001,"&gt;="&amp;$C$7,BD!$A$3:$A$5001,"&lt;="&amp;$B224,BD!$N$3:$N$5001,"&lt;&gt;")=0,"",SUMIFS(BD!$N$3:$N$5001,BD!$B$3:$B$5001,M$219,BD!$A$3:$A$5001,_xlfn.MAXIFS(BD!$A$3:$A$5001,BD!$B$3:$B$5001,M$219,BD!$A$3:$A$5001,"&gt;="&amp;$C$7,BD!$A$3:$A$5001,"&lt;="&amp;$B224,BD!$N$3:$N$5001,"&lt;&gt;"))))</f>
        <v/>
      </c>
      <c r="N224" s="43" t="str">
        <f>IF(OR($B224="",$A224&gt;$B$9,N$219=""),"",IF(COUNTIFS(BD!$B$3:$B$5001,N$219,BD!$A$3:$A$5001,"&gt;="&amp;$C$7,BD!$A$3:$A$5001,"&lt;="&amp;$B224,BD!$N$3:$N$5001,"&lt;&gt;")=0,"",SUMIFS(BD!$N$3:$N$5001,BD!$B$3:$B$5001,N$219,BD!$A$3:$A$5001,_xlfn.MAXIFS(BD!$A$3:$A$5001,BD!$B$3:$B$5001,N$219,BD!$A$3:$A$5001,"&gt;="&amp;$C$7,BD!$A$3:$A$5001,"&lt;="&amp;$B224,BD!$N$3:$N$5001,"&lt;&gt;"))))</f>
        <v/>
      </c>
      <c r="O224" s="43" t="str">
        <f>IF(OR($B224="",$A224&gt;$B$9,O$219=""),"",IF(COUNTIFS(BD!$B$3:$B$5001,O$219,BD!$A$3:$A$5001,"&gt;="&amp;$C$7,BD!$A$3:$A$5001,"&lt;="&amp;$B224,BD!$N$3:$N$5001,"&lt;&gt;")=0,"",SUMIFS(BD!$N$3:$N$5001,BD!$B$3:$B$5001,O$219,BD!$A$3:$A$5001,_xlfn.MAXIFS(BD!$A$3:$A$5001,BD!$B$3:$B$5001,O$219,BD!$A$3:$A$5001,"&gt;="&amp;$C$7,BD!$A$3:$A$5001,"&lt;="&amp;$B224,BD!$N$3:$N$5001,"&lt;&gt;"))))</f>
        <v/>
      </c>
      <c r="P224" s="43" t="str">
        <f>IF(OR($B224="",$A224&gt;$B$9,P$219=""),"",IF(COUNTIFS(BD!$B$3:$B$5001,P$219,BD!$A$3:$A$5001,"&gt;="&amp;$C$7,BD!$A$3:$A$5001,"&lt;="&amp;$B224,BD!$N$3:$N$5001,"&lt;&gt;")=0,"",SUMIFS(BD!$N$3:$N$5001,BD!$B$3:$B$5001,P$219,BD!$A$3:$A$5001,_xlfn.MAXIFS(BD!$A$3:$A$5001,BD!$B$3:$B$5001,P$219,BD!$A$3:$A$5001,"&gt;="&amp;$C$7,BD!$A$3:$A$5001,"&lt;="&amp;$B224,BD!$N$3:$N$5001,"&lt;&gt;"))))</f>
        <v/>
      </c>
      <c r="Q224" s="43" t="str">
        <f>IF(OR($B224="",$A224&gt;$B$9,Q$219=""),"",IF(COUNTIFS(BD!$B$3:$B$5001,Q$219,BD!$A$3:$A$5001,"&gt;="&amp;$C$7,BD!$A$3:$A$5001,"&lt;="&amp;$B224,BD!$N$3:$N$5001,"&lt;&gt;")=0,"",SUMIFS(BD!$N$3:$N$5001,BD!$B$3:$B$5001,Q$219,BD!$A$3:$A$5001,_xlfn.MAXIFS(BD!$A$3:$A$5001,BD!$B$3:$B$5001,Q$219,BD!$A$3:$A$5001,"&gt;="&amp;$C$7,BD!$A$3:$A$5001,"&lt;="&amp;$B224,BD!$N$3:$N$5001,"&lt;&gt;"))))</f>
        <v/>
      </c>
      <c r="R224" s="43" t="str">
        <f>IF(OR($B224="",$A224&gt;$B$9,R$219=""),"",IF(COUNTIFS(BD!$B$3:$B$5001,R$219,BD!$A$3:$A$5001,"&gt;="&amp;$C$7,BD!$A$3:$A$5001,"&lt;="&amp;$B224,BD!$N$3:$N$5001,"&lt;&gt;")=0,"",SUMIFS(BD!$N$3:$N$5001,BD!$B$3:$B$5001,R$219,BD!$A$3:$A$5001,_xlfn.MAXIFS(BD!$A$3:$A$5001,BD!$B$3:$B$5001,R$219,BD!$A$3:$A$5001,"&gt;="&amp;$C$7,BD!$A$3:$A$5001,"&lt;="&amp;$B224,BD!$N$3:$N$5001,"&lt;&gt;"))))</f>
        <v/>
      </c>
      <c r="S224" s="43" t="str">
        <f>IF(OR($B224="",$A224&gt;$B$9,S$219=""),"",IF(COUNTIFS(BD!$B$3:$B$5001,S$219,BD!$A$3:$A$5001,"&gt;="&amp;$C$7,BD!$A$3:$A$5001,"&lt;="&amp;$B224,BD!$N$3:$N$5001,"&lt;&gt;")=0,"",SUMIFS(BD!$N$3:$N$5001,BD!$B$3:$B$5001,S$219,BD!$A$3:$A$5001,_xlfn.MAXIFS(BD!$A$3:$A$5001,BD!$B$3:$B$5001,S$219,BD!$A$3:$A$5001,"&gt;="&amp;$C$7,BD!$A$3:$A$5001,"&lt;="&amp;$B224,BD!$N$3:$N$5001,"&lt;&gt;"))))</f>
        <v/>
      </c>
      <c r="T224" s="43" t="str">
        <f>IF(OR($B224="",$A224&gt;$B$9,T$219=""),"",IF(COUNTIFS(BD!$B$3:$B$5001,T$219,BD!$A$3:$A$5001,"&gt;="&amp;$C$7,BD!$A$3:$A$5001,"&lt;="&amp;$B224,BD!$N$3:$N$5001,"&lt;&gt;")=0,"",SUMIFS(BD!$N$3:$N$5001,BD!$B$3:$B$5001,T$219,BD!$A$3:$A$5001,_xlfn.MAXIFS(BD!$A$3:$A$5001,BD!$B$3:$B$5001,T$219,BD!$A$3:$A$5001,"&gt;="&amp;$C$7,BD!$A$3:$A$5001,"&lt;="&amp;$B224,BD!$N$3:$N$5001,"&lt;&gt;"))))</f>
        <v/>
      </c>
      <c r="U224" s="43" t="str">
        <f>IF(OR($B224="",$A224&gt;$B$9,U$219=""),"",IF(COUNTIFS(BD!$B$3:$B$5001,U$219,BD!$A$3:$A$5001,"&gt;="&amp;$C$7,BD!$A$3:$A$5001,"&lt;="&amp;$B224,BD!$N$3:$N$5001,"&lt;&gt;")=0,"",SUMIFS(BD!$N$3:$N$5001,BD!$B$3:$B$5001,U$219,BD!$A$3:$A$5001,_xlfn.MAXIFS(BD!$A$3:$A$5001,BD!$B$3:$B$5001,U$219,BD!$A$3:$A$5001,"&gt;="&amp;$C$7,BD!$A$3:$A$5001,"&lt;="&amp;$B224,BD!$N$3:$N$5001,"&lt;&gt;"))))</f>
        <v/>
      </c>
      <c r="V224" s="43" t="str">
        <f>IF(OR($B224="",$A224&gt;$B$9,V$219=""),"",IF(COUNTIFS(BD!$B$3:$B$5001,V$219,BD!$A$3:$A$5001,"&gt;="&amp;$C$7,BD!$A$3:$A$5001,"&lt;="&amp;$B224,BD!$N$3:$N$5001,"&lt;&gt;")=0,"",SUMIFS(BD!$N$3:$N$5001,BD!$B$3:$B$5001,V$219,BD!$A$3:$A$5001,_xlfn.MAXIFS(BD!$A$3:$A$5001,BD!$B$3:$B$5001,V$219,BD!$A$3:$A$5001,"&gt;="&amp;$C$7,BD!$A$3:$A$5001,"&lt;="&amp;$B224,BD!$N$3:$N$5001,"&lt;&gt;"))))</f>
        <v/>
      </c>
    </row>
    <row r="225">
      <c r="A225" s="38">
        <v>6</v>
      </c>
      <c r="B225" s="42">
        <f>$B$17</f>
        <v>46301</v>
      </c>
      <c r="C225" s="43" t="str">
        <f>IF(OR($B225="",$A225&gt;$B$9,C$219=""),"",IF(COUNTIFS(BD!$B$3:$B$5001,C$219,BD!$A$3:$A$5001,"&gt;="&amp;$C$7,BD!$A$3:$A$5001,"&lt;="&amp;$B225,BD!$N$3:$N$5001,"&lt;&gt;")=0,"",SUMIFS(BD!$N$3:$N$5001,BD!$B$3:$B$5001,C$219,BD!$A$3:$A$5001,_xlfn.MAXIFS(BD!$A$3:$A$5001,BD!$B$3:$B$5001,C$219,BD!$A$3:$A$5001,"&gt;="&amp;$C$7,BD!$A$3:$A$5001,"&lt;="&amp;$B225,BD!$N$3:$N$5001,"&lt;&gt;"))))</f>
        <v/>
      </c>
      <c r="D225" s="43" t="str">
        <f>IF(OR($B225="",$A225&gt;$B$9,D$219=""),"",IF(COUNTIFS(BD!$B$3:$B$5001,D$219,BD!$A$3:$A$5001,"&gt;="&amp;$C$7,BD!$A$3:$A$5001,"&lt;="&amp;$B225,BD!$N$3:$N$5001,"&lt;&gt;")=0,"",SUMIFS(BD!$N$3:$N$5001,BD!$B$3:$B$5001,D$219,BD!$A$3:$A$5001,_xlfn.MAXIFS(BD!$A$3:$A$5001,BD!$B$3:$B$5001,D$219,BD!$A$3:$A$5001,"&gt;="&amp;$C$7,BD!$A$3:$A$5001,"&lt;="&amp;$B225,BD!$N$3:$N$5001,"&lt;&gt;"))))</f>
        <v/>
      </c>
      <c r="E225" s="43" t="str">
        <f>IF(OR($B225="",$A225&gt;$B$9,E$219=""),"",IF(COUNTIFS(BD!$B$3:$B$5001,E$219,BD!$A$3:$A$5001,"&gt;="&amp;$C$7,BD!$A$3:$A$5001,"&lt;="&amp;$B225,BD!$N$3:$N$5001,"&lt;&gt;")=0,"",SUMIFS(BD!$N$3:$N$5001,BD!$B$3:$B$5001,E$219,BD!$A$3:$A$5001,_xlfn.MAXIFS(BD!$A$3:$A$5001,BD!$B$3:$B$5001,E$219,BD!$A$3:$A$5001,"&gt;="&amp;$C$7,BD!$A$3:$A$5001,"&lt;="&amp;$B225,BD!$N$3:$N$5001,"&lt;&gt;"))))</f>
        <v/>
      </c>
      <c r="F225" s="43" t="str">
        <f>IF(OR($B225="",$A225&gt;$B$9,F$219=""),"",IF(COUNTIFS(BD!$B$3:$B$5001,F$219,BD!$A$3:$A$5001,"&gt;="&amp;$C$7,BD!$A$3:$A$5001,"&lt;="&amp;$B225,BD!$N$3:$N$5001,"&lt;&gt;")=0,"",SUMIFS(BD!$N$3:$N$5001,BD!$B$3:$B$5001,F$219,BD!$A$3:$A$5001,_xlfn.MAXIFS(BD!$A$3:$A$5001,BD!$B$3:$B$5001,F$219,BD!$A$3:$A$5001,"&gt;="&amp;$C$7,BD!$A$3:$A$5001,"&lt;="&amp;$B225,BD!$N$3:$N$5001,"&lt;&gt;"))))</f>
        <v/>
      </c>
      <c r="G225" s="43" t="str">
        <f>IF(OR($B225="",$A225&gt;$B$9,G$219=""),"",IF(COUNTIFS(BD!$B$3:$B$5001,G$219,BD!$A$3:$A$5001,"&gt;="&amp;$C$7,BD!$A$3:$A$5001,"&lt;="&amp;$B225,BD!$N$3:$N$5001,"&lt;&gt;")=0,"",SUMIFS(BD!$N$3:$N$5001,BD!$B$3:$B$5001,G$219,BD!$A$3:$A$5001,_xlfn.MAXIFS(BD!$A$3:$A$5001,BD!$B$3:$B$5001,G$219,BD!$A$3:$A$5001,"&gt;="&amp;$C$7,BD!$A$3:$A$5001,"&lt;="&amp;$B225,BD!$N$3:$N$5001,"&lt;&gt;"))))</f>
        <v/>
      </c>
      <c r="H225" s="43" t="str">
        <f>IF(OR($B225="",$A225&gt;$B$9,H$219=""),"",IF(COUNTIFS(BD!$B$3:$B$5001,H$219,BD!$A$3:$A$5001,"&gt;="&amp;$C$7,BD!$A$3:$A$5001,"&lt;="&amp;$B225,BD!$N$3:$N$5001,"&lt;&gt;")=0,"",SUMIFS(BD!$N$3:$N$5001,BD!$B$3:$B$5001,H$219,BD!$A$3:$A$5001,_xlfn.MAXIFS(BD!$A$3:$A$5001,BD!$B$3:$B$5001,H$219,BD!$A$3:$A$5001,"&gt;="&amp;$C$7,BD!$A$3:$A$5001,"&lt;="&amp;$B225,BD!$N$3:$N$5001,"&lt;&gt;"))))</f>
        <v/>
      </c>
      <c r="I225" s="43" t="str">
        <f>IF(OR($B225="",$A225&gt;$B$9,I$219=""),"",IF(COUNTIFS(BD!$B$3:$B$5001,I$219,BD!$A$3:$A$5001,"&gt;="&amp;$C$7,BD!$A$3:$A$5001,"&lt;="&amp;$B225,BD!$N$3:$N$5001,"&lt;&gt;")=0,"",SUMIFS(BD!$N$3:$N$5001,BD!$B$3:$B$5001,I$219,BD!$A$3:$A$5001,_xlfn.MAXIFS(BD!$A$3:$A$5001,BD!$B$3:$B$5001,I$219,BD!$A$3:$A$5001,"&gt;="&amp;$C$7,BD!$A$3:$A$5001,"&lt;="&amp;$B225,BD!$N$3:$N$5001,"&lt;&gt;"))))</f>
        <v/>
      </c>
      <c r="J225" s="43" t="str">
        <f>IF(OR($B225="",$A225&gt;$B$9,J$219=""),"",IF(COUNTIFS(BD!$B$3:$B$5001,J$219,BD!$A$3:$A$5001,"&gt;="&amp;$C$7,BD!$A$3:$A$5001,"&lt;="&amp;$B225,BD!$N$3:$N$5001,"&lt;&gt;")=0,"",SUMIFS(BD!$N$3:$N$5001,BD!$B$3:$B$5001,J$219,BD!$A$3:$A$5001,_xlfn.MAXIFS(BD!$A$3:$A$5001,BD!$B$3:$B$5001,J$219,BD!$A$3:$A$5001,"&gt;="&amp;$C$7,BD!$A$3:$A$5001,"&lt;="&amp;$B225,BD!$N$3:$N$5001,"&lt;&gt;"))))</f>
        <v/>
      </c>
      <c r="K225" s="43" t="str">
        <f>IF(OR($B225="",$A225&gt;$B$9,K$219=""),"",IF(COUNTIFS(BD!$B$3:$B$5001,K$219,BD!$A$3:$A$5001,"&gt;="&amp;$C$7,BD!$A$3:$A$5001,"&lt;="&amp;$B225,BD!$N$3:$N$5001,"&lt;&gt;")=0,"",SUMIFS(BD!$N$3:$N$5001,BD!$B$3:$B$5001,K$219,BD!$A$3:$A$5001,_xlfn.MAXIFS(BD!$A$3:$A$5001,BD!$B$3:$B$5001,K$219,BD!$A$3:$A$5001,"&gt;="&amp;$C$7,BD!$A$3:$A$5001,"&lt;="&amp;$B225,BD!$N$3:$N$5001,"&lt;&gt;"))))</f>
        <v/>
      </c>
      <c r="L225" s="43" t="str">
        <f>IF(OR($B225="",$A225&gt;$B$9,L$219=""),"",IF(COUNTIFS(BD!$B$3:$B$5001,L$219,BD!$A$3:$A$5001,"&gt;="&amp;$C$7,BD!$A$3:$A$5001,"&lt;="&amp;$B225,BD!$N$3:$N$5001,"&lt;&gt;")=0,"",SUMIFS(BD!$N$3:$N$5001,BD!$B$3:$B$5001,L$219,BD!$A$3:$A$5001,_xlfn.MAXIFS(BD!$A$3:$A$5001,BD!$B$3:$B$5001,L$219,BD!$A$3:$A$5001,"&gt;="&amp;$C$7,BD!$A$3:$A$5001,"&lt;="&amp;$B225,BD!$N$3:$N$5001,"&lt;&gt;"))))</f>
        <v/>
      </c>
      <c r="M225" s="43" t="str">
        <f>IF(OR($B225="",$A225&gt;$B$9,M$219=""),"",IF(COUNTIFS(BD!$B$3:$B$5001,M$219,BD!$A$3:$A$5001,"&gt;="&amp;$C$7,BD!$A$3:$A$5001,"&lt;="&amp;$B225,BD!$N$3:$N$5001,"&lt;&gt;")=0,"",SUMIFS(BD!$N$3:$N$5001,BD!$B$3:$B$5001,M$219,BD!$A$3:$A$5001,_xlfn.MAXIFS(BD!$A$3:$A$5001,BD!$B$3:$B$5001,M$219,BD!$A$3:$A$5001,"&gt;="&amp;$C$7,BD!$A$3:$A$5001,"&lt;="&amp;$B225,BD!$N$3:$N$5001,"&lt;&gt;"))))</f>
        <v/>
      </c>
      <c r="N225" s="43" t="str">
        <f>IF(OR($B225="",$A225&gt;$B$9,N$219=""),"",IF(COUNTIFS(BD!$B$3:$B$5001,N$219,BD!$A$3:$A$5001,"&gt;="&amp;$C$7,BD!$A$3:$A$5001,"&lt;="&amp;$B225,BD!$N$3:$N$5001,"&lt;&gt;")=0,"",SUMIFS(BD!$N$3:$N$5001,BD!$B$3:$B$5001,N$219,BD!$A$3:$A$5001,_xlfn.MAXIFS(BD!$A$3:$A$5001,BD!$B$3:$B$5001,N$219,BD!$A$3:$A$5001,"&gt;="&amp;$C$7,BD!$A$3:$A$5001,"&lt;="&amp;$B225,BD!$N$3:$N$5001,"&lt;&gt;"))))</f>
        <v/>
      </c>
      <c r="O225" s="43" t="str">
        <f>IF(OR($B225="",$A225&gt;$B$9,O$219=""),"",IF(COUNTIFS(BD!$B$3:$B$5001,O$219,BD!$A$3:$A$5001,"&gt;="&amp;$C$7,BD!$A$3:$A$5001,"&lt;="&amp;$B225,BD!$N$3:$N$5001,"&lt;&gt;")=0,"",SUMIFS(BD!$N$3:$N$5001,BD!$B$3:$B$5001,O$219,BD!$A$3:$A$5001,_xlfn.MAXIFS(BD!$A$3:$A$5001,BD!$B$3:$B$5001,O$219,BD!$A$3:$A$5001,"&gt;="&amp;$C$7,BD!$A$3:$A$5001,"&lt;="&amp;$B225,BD!$N$3:$N$5001,"&lt;&gt;"))))</f>
        <v/>
      </c>
      <c r="P225" s="43" t="str">
        <f>IF(OR($B225="",$A225&gt;$B$9,P$219=""),"",IF(COUNTIFS(BD!$B$3:$B$5001,P$219,BD!$A$3:$A$5001,"&gt;="&amp;$C$7,BD!$A$3:$A$5001,"&lt;="&amp;$B225,BD!$N$3:$N$5001,"&lt;&gt;")=0,"",SUMIFS(BD!$N$3:$N$5001,BD!$B$3:$B$5001,P$219,BD!$A$3:$A$5001,_xlfn.MAXIFS(BD!$A$3:$A$5001,BD!$B$3:$B$5001,P$219,BD!$A$3:$A$5001,"&gt;="&amp;$C$7,BD!$A$3:$A$5001,"&lt;="&amp;$B225,BD!$N$3:$N$5001,"&lt;&gt;"))))</f>
        <v/>
      </c>
      <c r="Q225" s="43" t="str">
        <f>IF(OR($B225="",$A225&gt;$B$9,Q$219=""),"",IF(COUNTIFS(BD!$B$3:$B$5001,Q$219,BD!$A$3:$A$5001,"&gt;="&amp;$C$7,BD!$A$3:$A$5001,"&lt;="&amp;$B225,BD!$N$3:$N$5001,"&lt;&gt;")=0,"",SUMIFS(BD!$N$3:$N$5001,BD!$B$3:$B$5001,Q$219,BD!$A$3:$A$5001,_xlfn.MAXIFS(BD!$A$3:$A$5001,BD!$B$3:$B$5001,Q$219,BD!$A$3:$A$5001,"&gt;="&amp;$C$7,BD!$A$3:$A$5001,"&lt;="&amp;$B225,BD!$N$3:$N$5001,"&lt;&gt;"))))</f>
        <v/>
      </c>
      <c r="R225" s="43" t="str">
        <f>IF(OR($B225="",$A225&gt;$B$9,R$219=""),"",IF(COUNTIFS(BD!$B$3:$B$5001,R$219,BD!$A$3:$A$5001,"&gt;="&amp;$C$7,BD!$A$3:$A$5001,"&lt;="&amp;$B225,BD!$N$3:$N$5001,"&lt;&gt;")=0,"",SUMIFS(BD!$N$3:$N$5001,BD!$B$3:$B$5001,R$219,BD!$A$3:$A$5001,_xlfn.MAXIFS(BD!$A$3:$A$5001,BD!$B$3:$B$5001,R$219,BD!$A$3:$A$5001,"&gt;="&amp;$C$7,BD!$A$3:$A$5001,"&lt;="&amp;$B225,BD!$N$3:$N$5001,"&lt;&gt;"))))</f>
        <v/>
      </c>
      <c r="S225" s="43" t="str">
        <f>IF(OR($B225="",$A225&gt;$B$9,S$219=""),"",IF(COUNTIFS(BD!$B$3:$B$5001,S$219,BD!$A$3:$A$5001,"&gt;="&amp;$C$7,BD!$A$3:$A$5001,"&lt;="&amp;$B225,BD!$N$3:$N$5001,"&lt;&gt;")=0,"",SUMIFS(BD!$N$3:$N$5001,BD!$B$3:$B$5001,S$219,BD!$A$3:$A$5001,_xlfn.MAXIFS(BD!$A$3:$A$5001,BD!$B$3:$B$5001,S$219,BD!$A$3:$A$5001,"&gt;="&amp;$C$7,BD!$A$3:$A$5001,"&lt;="&amp;$B225,BD!$N$3:$N$5001,"&lt;&gt;"))))</f>
        <v/>
      </c>
      <c r="T225" s="43" t="str">
        <f>IF(OR($B225="",$A225&gt;$B$9,T$219=""),"",IF(COUNTIFS(BD!$B$3:$B$5001,T$219,BD!$A$3:$A$5001,"&gt;="&amp;$C$7,BD!$A$3:$A$5001,"&lt;="&amp;$B225,BD!$N$3:$N$5001,"&lt;&gt;")=0,"",SUMIFS(BD!$N$3:$N$5001,BD!$B$3:$B$5001,T$219,BD!$A$3:$A$5001,_xlfn.MAXIFS(BD!$A$3:$A$5001,BD!$B$3:$B$5001,T$219,BD!$A$3:$A$5001,"&gt;="&amp;$C$7,BD!$A$3:$A$5001,"&lt;="&amp;$B225,BD!$N$3:$N$5001,"&lt;&gt;"))))</f>
        <v/>
      </c>
      <c r="U225" s="43" t="str">
        <f>IF(OR($B225="",$A225&gt;$B$9,U$219=""),"",IF(COUNTIFS(BD!$B$3:$B$5001,U$219,BD!$A$3:$A$5001,"&gt;="&amp;$C$7,BD!$A$3:$A$5001,"&lt;="&amp;$B225,BD!$N$3:$N$5001,"&lt;&gt;")=0,"",SUMIFS(BD!$N$3:$N$5001,BD!$B$3:$B$5001,U$219,BD!$A$3:$A$5001,_xlfn.MAXIFS(BD!$A$3:$A$5001,BD!$B$3:$B$5001,U$219,BD!$A$3:$A$5001,"&gt;="&amp;$C$7,BD!$A$3:$A$5001,"&lt;="&amp;$B225,BD!$N$3:$N$5001,"&lt;&gt;"))))</f>
        <v/>
      </c>
      <c r="V225" s="43" t="str">
        <f>IF(OR($B225="",$A225&gt;$B$9,V$219=""),"",IF(COUNTIFS(BD!$B$3:$B$5001,V$219,BD!$A$3:$A$5001,"&gt;="&amp;$C$7,BD!$A$3:$A$5001,"&lt;="&amp;$B225,BD!$N$3:$N$5001,"&lt;&gt;")=0,"",SUMIFS(BD!$N$3:$N$5001,BD!$B$3:$B$5001,V$219,BD!$A$3:$A$5001,_xlfn.MAXIFS(BD!$A$3:$A$5001,BD!$B$3:$B$5001,V$219,BD!$A$3:$A$5001,"&gt;="&amp;$C$7,BD!$A$3:$A$5001,"&lt;="&amp;$B225,BD!$N$3:$N$5001,"&lt;&gt;"))))</f>
        <v/>
      </c>
    </row>
    <row r="226">
      <c r="A226" s="38">
        <v>7</v>
      </c>
      <c r="B226" s="42">
        <f>$B$18</f>
        <v>46302</v>
      </c>
      <c r="C226" s="43" t="str">
        <f>IF(OR($B226="",$A226&gt;$B$9,C$219=""),"",IF(COUNTIFS(BD!$B$3:$B$5001,C$219,BD!$A$3:$A$5001,"&gt;="&amp;$C$7,BD!$A$3:$A$5001,"&lt;="&amp;$B226,BD!$N$3:$N$5001,"&lt;&gt;")=0,"",SUMIFS(BD!$N$3:$N$5001,BD!$B$3:$B$5001,C$219,BD!$A$3:$A$5001,_xlfn.MAXIFS(BD!$A$3:$A$5001,BD!$B$3:$B$5001,C$219,BD!$A$3:$A$5001,"&gt;="&amp;$C$7,BD!$A$3:$A$5001,"&lt;="&amp;$B226,BD!$N$3:$N$5001,"&lt;&gt;"))))</f>
        <v/>
      </c>
      <c r="D226" s="43" t="str">
        <f>IF(OR($B226="",$A226&gt;$B$9,D$219=""),"",IF(COUNTIFS(BD!$B$3:$B$5001,D$219,BD!$A$3:$A$5001,"&gt;="&amp;$C$7,BD!$A$3:$A$5001,"&lt;="&amp;$B226,BD!$N$3:$N$5001,"&lt;&gt;")=0,"",SUMIFS(BD!$N$3:$N$5001,BD!$B$3:$B$5001,D$219,BD!$A$3:$A$5001,_xlfn.MAXIFS(BD!$A$3:$A$5001,BD!$B$3:$B$5001,D$219,BD!$A$3:$A$5001,"&gt;="&amp;$C$7,BD!$A$3:$A$5001,"&lt;="&amp;$B226,BD!$N$3:$N$5001,"&lt;&gt;"))))</f>
        <v/>
      </c>
      <c r="E226" s="43" t="str">
        <f>IF(OR($B226="",$A226&gt;$B$9,E$219=""),"",IF(COUNTIFS(BD!$B$3:$B$5001,E$219,BD!$A$3:$A$5001,"&gt;="&amp;$C$7,BD!$A$3:$A$5001,"&lt;="&amp;$B226,BD!$N$3:$N$5001,"&lt;&gt;")=0,"",SUMIFS(BD!$N$3:$N$5001,BD!$B$3:$B$5001,E$219,BD!$A$3:$A$5001,_xlfn.MAXIFS(BD!$A$3:$A$5001,BD!$B$3:$B$5001,E$219,BD!$A$3:$A$5001,"&gt;="&amp;$C$7,BD!$A$3:$A$5001,"&lt;="&amp;$B226,BD!$N$3:$N$5001,"&lt;&gt;"))))</f>
        <v/>
      </c>
      <c r="F226" s="43" t="str">
        <f>IF(OR($B226="",$A226&gt;$B$9,F$219=""),"",IF(COUNTIFS(BD!$B$3:$B$5001,F$219,BD!$A$3:$A$5001,"&gt;="&amp;$C$7,BD!$A$3:$A$5001,"&lt;="&amp;$B226,BD!$N$3:$N$5001,"&lt;&gt;")=0,"",SUMIFS(BD!$N$3:$N$5001,BD!$B$3:$B$5001,F$219,BD!$A$3:$A$5001,_xlfn.MAXIFS(BD!$A$3:$A$5001,BD!$B$3:$B$5001,F$219,BD!$A$3:$A$5001,"&gt;="&amp;$C$7,BD!$A$3:$A$5001,"&lt;="&amp;$B226,BD!$N$3:$N$5001,"&lt;&gt;"))))</f>
        <v/>
      </c>
      <c r="G226" s="43" t="str">
        <f>IF(OR($B226="",$A226&gt;$B$9,G$219=""),"",IF(COUNTIFS(BD!$B$3:$B$5001,G$219,BD!$A$3:$A$5001,"&gt;="&amp;$C$7,BD!$A$3:$A$5001,"&lt;="&amp;$B226,BD!$N$3:$N$5001,"&lt;&gt;")=0,"",SUMIFS(BD!$N$3:$N$5001,BD!$B$3:$B$5001,G$219,BD!$A$3:$A$5001,_xlfn.MAXIFS(BD!$A$3:$A$5001,BD!$B$3:$B$5001,G$219,BD!$A$3:$A$5001,"&gt;="&amp;$C$7,BD!$A$3:$A$5001,"&lt;="&amp;$B226,BD!$N$3:$N$5001,"&lt;&gt;"))))</f>
        <v/>
      </c>
      <c r="H226" s="43" t="str">
        <f>IF(OR($B226="",$A226&gt;$B$9,H$219=""),"",IF(COUNTIFS(BD!$B$3:$B$5001,H$219,BD!$A$3:$A$5001,"&gt;="&amp;$C$7,BD!$A$3:$A$5001,"&lt;="&amp;$B226,BD!$N$3:$N$5001,"&lt;&gt;")=0,"",SUMIFS(BD!$N$3:$N$5001,BD!$B$3:$B$5001,H$219,BD!$A$3:$A$5001,_xlfn.MAXIFS(BD!$A$3:$A$5001,BD!$B$3:$B$5001,H$219,BD!$A$3:$A$5001,"&gt;="&amp;$C$7,BD!$A$3:$A$5001,"&lt;="&amp;$B226,BD!$N$3:$N$5001,"&lt;&gt;"))))</f>
        <v/>
      </c>
      <c r="I226" s="43" t="str">
        <f>IF(OR($B226="",$A226&gt;$B$9,I$219=""),"",IF(COUNTIFS(BD!$B$3:$B$5001,I$219,BD!$A$3:$A$5001,"&gt;="&amp;$C$7,BD!$A$3:$A$5001,"&lt;="&amp;$B226,BD!$N$3:$N$5001,"&lt;&gt;")=0,"",SUMIFS(BD!$N$3:$N$5001,BD!$B$3:$B$5001,I$219,BD!$A$3:$A$5001,_xlfn.MAXIFS(BD!$A$3:$A$5001,BD!$B$3:$B$5001,I$219,BD!$A$3:$A$5001,"&gt;="&amp;$C$7,BD!$A$3:$A$5001,"&lt;="&amp;$B226,BD!$N$3:$N$5001,"&lt;&gt;"))))</f>
        <v/>
      </c>
      <c r="J226" s="43" t="str">
        <f>IF(OR($B226="",$A226&gt;$B$9,J$219=""),"",IF(COUNTIFS(BD!$B$3:$B$5001,J$219,BD!$A$3:$A$5001,"&gt;="&amp;$C$7,BD!$A$3:$A$5001,"&lt;="&amp;$B226,BD!$N$3:$N$5001,"&lt;&gt;")=0,"",SUMIFS(BD!$N$3:$N$5001,BD!$B$3:$B$5001,J$219,BD!$A$3:$A$5001,_xlfn.MAXIFS(BD!$A$3:$A$5001,BD!$B$3:$B$5001,J$219,BD!$A$3:$A$5001,"&gt;="&amp;$C$7,BD!$A$3:$A$5001,"&lt;="&amp;$B226,BD!$N$3:$N$5001,"&lt;&gt;"))))</f>
        <v/>
      </c>
      <c r="K226" s="43" t="str">
        <f>IF(OR($B226="",$A226&gt;$B$9,K$219=""),"",IF(COUNTIFS(BD!$B$3:$B$5001,K$219,BD!$A$3:$A$5001,"&gt;="&amp;$C$7,BD!$A$3:$A$5001,"&lt;="&amp;$B226,BD!$N$3:$N$5001,"&lt;&gt;")=0,"",SUMIFS(BD!$N$3:$N$5001,BD!$B$3:$B$5001,K$219,BD!$A$3:$A$5001,_xlfn.MAXIFS(BD!$A$3:$A$5001,BD!$B$3:$B$5001,K$219,BD!$A$3:$A$5001,"&gt;="&amp;$C$7,BD!$A$3:$A$5001,"&lt;="&amp;$B226,BD!$N$3:$N$5001,"&lt;&gt;"))))</f>
        <v/>
      </c>
      <c r="L226" s="43" t="str">
        <f>IF(OR($B226="",$A226&gt;$B$9,L$219=""),"",IF(COUNTIFS(BD!$B$3:$B$5001,L$219,BD!$A$3:$A$5001,"&gt;="&amp;$C$7,BD!$A$3:$A$5001,"&lt;="&amp;$B226,BD!$N$3:$N$5001,"&lt;&gt;")=0,"",SUMIFS(BD!$N$3:$N$5001,BD!$B$3:$B$5001,L$219,BD!$A$3:$A$5001,_xlfn.MAXIFS(BD!$A$3:$A$5001,BD!$B$3:$B$5001,L$219,BD!$A$3:$A$5001,"&gt;="&amp;$C$7,BD!$A$3:$A$5001,"&lt;="&amp;$B226,BD!$N$3:$N$5001,"&lt;&gt;"))))</f>
        <v/>
      </c>
      <c r="M226" s="43" t="str">
        <f>IF(OR($B226="",$A226&gt;$B$9,M$219=""),"",IF(COUNTIFS(BD!$B$3:$B$5001,M$219,BD!$A$3:$A$5001,"&gt;="&amp;$C$7,BD!$A$3:$A$5001,"&lt;="&amp;$B226,BD!$N$3:$N$5001,"&lt;&gt;")=0,"",SUMIFS(BD!$N$3:$N$5001,BD!$B$3:$B$5001,M$219,BD!$A$3:$A$5001,_xlfn.MAXIFS(BD!$A$3:$A$5001,BD!$B$3:$B$5001,M$219,BD!$A$3:$A$5001,"&gt;="&amp;$C$7,BD!$A$3:$A$5001,"&lt;="&amp;$B226,BD!$N$3:$N$5001,"&lt;&gt;"))))</f>
        <v/>
      </c>
      <c r="N226" s="43" t="str">
        <f>IF(OR($B226="",$A226&gt;$B$9,N$219=""),"",IF(COUNTIFS(BD!$B$3:$B$5001,N$219,BD!$A$3:$A$5001,"&gt;="&amp;$C$7,BD!$A$3:$A$5001,"&lt;="&amp;$B226,BD!$N$3:$N$5001,"&lt;&gt;")=0,"",SUMIFS(BD!$N$3:$N$5001,BD!$B$3:$B$5001,N$219,BD!$A$3:$A$5001,_xlfn.MAXIFS(BD!$A$3:$A$5001,BD!$B$3:$B$5001,N$219,BD!$A$3:$A$5001,"&gt;="&amp;$C$7,BD!$A$3:$A$5001,"&lt;="&amp;$B226,BD!$N$3:$N$5001,"&lt;&gt;"))))</f>
        <v/>
      </c>
      <c r="O226" s="43" t="str">
        <f>IF(OR($B226="",$A226&gt;$B$9,O$219=""),"",IF(COUNTIFS(BD!$B$3:$B$5001,O$219,BD!$A$3:$A$5001,"&gt;="&amp;$C$7,BD!$A$3:$A$5001,"&lt;="&amp;$B226,BD!$N$3:$N$5001,"&lt;&gt;")=0,"",SUMIFS(BD!$N$3:$N$5001,BD!$B$3:$B$5001,O$219,BD!$A$3:$A$5001,_xlfn.MAXIFS(BD!$A$3:$A$5001,BD!$B$3:$B$5001,O$219,BD!$A$3:$A$5001,"&gt;="&amp;$C$7,BD!$A$3:$A$5001,"&lt;="&amp;$B226,BD!$N$3:$N$5001,"&lt;&gt;"))))</f>
        <v/>
      </c>
      <c r="P226" s="43" t="str">
        <f>IF(OR($B226="",$A226&gt;$B$9,P$219=""),"",IF(COUNTIFS(BD!$B$3:$B$5001,P$219,BD!$A$3:$A$5001,"&gt;="&amp;$C$7,BD!$A$3:$A$5001,"&lt;="&amp;$B226,BD!$N$3:$N$5001,"&lt;&gt;")=0,"",SUMIFS(BD!$N$3:$N$5001,BD!$B$3:$B$5001,P$219,BD!$A$3:$A$5001,_xlfn.MAXIFS(BD!$A$3:$A$5001,BD!$B$3:$B$5001,P$219,BD!$A$3:$A$5001,"&gt;="&amp;$C$7,BD!$A$3:$A$5001,"&lt;="&amp;$B226,BD!$N$3:$N$5001,"&lt;&gt;"))))</f>
        <v/>
      </c>
      <c r="Q226" s="43" t="str">
        <f>IF(OR($B226="",$A226&gt;$B$9,Q$219=""),"",IF(COUNTIFS(BD!$B$3:$B$5001,Q$219,BD!$A$3:$A$5001,"&gt;="&amp;$C$7,BD!$A$3:$A$5001,"&lt;="&amp;$B226,BD!$N$3:$N$5001,"&lt;&gt;")=0,"",SUMIFS(BD!$N$3:$N$5001,BD!$B$3:$B$5001,Q$219,BD!$A$3:$A$5001,_xlfn.MAXIFS(BD!$A$3:$A$5001,BD!$B$3:$B$5001,Q$219,BD!$A$3:$A$5001,"&gt;="&amp;$C$7,BD!$A$3:$A$5001,"&lt;="&amp;$B226,BD!$N$3:$N$5001,"&lt;&gt;"))))</f>
        <v/>
      </c>
      <c r="R226" s="43" t="str">
        <f>IF(OR($B226="",$A226&gt;$B$9,R$219=""),"",IF(COUNTIFS(BD!$B$3:$B$5001,R$219,BD!$A$3:$A$5001,"&gt;="&amp;$C$7,BD!$A$3:$A$5001,"&lt;="&amp;$B226,BD!$N$3:$N$5001,"&lt;&gt;")=0,"",SUMIFS(BD!$N$3:$N$5001,BD!$B$3:$B$5001,R$219,BD!$A$3:$A$5001,_xlfn.MAXIFS(BD!$A$3:$A$5001,BD!$B$3:$B$5001,R$219,BD!$A$3:$A$5001,"&gt;="&amp;$C$7,BD!$A$3:$A$5001,"&lt;="&amp;$B226,BD!$N$3:$N$5001,"&lt;&gt;"))))</f>
        <v/>
      </c>
      <c r="S226" s="43" t="str">
        <f>IF(OR($B226="",$A226&gt;$B$9,S$219=""),"",IF(COUNTIFS(BD!$B$3:$B$5001,S$219,BD!$A$3:$A$5001,"&gt;="&amp;$C$7,BD!$A$3:$A$5001,"&lt;="&amp;$B226,BD!$N$3:$N$5001,"&lt;&gt;")=0,"",SUMIFS(BD!$N$3:$N$5001,BD!$B$3:$B$5001,S$219,BD!$A$3:$A$5001,_xlfn.MAXIFS(BD!$A$3:$A$5001,BD!$B$3:$B$5001,S$219,BD!$A$3:$A$5001,"&gt;="&amp;$C$7,BD!$A$3:$A$5001,"&lt;="&amp;$B226,BD!$N$3:$N$5001,"&lt;&gt;"))))</f>
        <v/>
      </c>
      <c r="T226" s="43" t="str">
        <f>IF(OR($B226="",$A226&gt;$B$9,T$219=""),"",IF(COUNTIFS(BD!$B$3:$B$5001,T$219,BD!$A$3:$A$5001,"&gt;="&amp;$C$7,BD!$A$3:$A$5001,"&lt;="&amp;$B226,BD!$N$3:$N$5001,"&lt;&gt;")=0,"",SUMIFS(BD!$N$3:$N$5001,BD!$B$3:$B$5001,T$219,BD!$A$3:$A$5001,_xlfn.MAXIFS(BD!$A$3:$A$5001,BD!$B$3:$B$5001,T$219,BD!$A$3:$A$5001,"&gt;="&amp;$C$7,BD!$A$3:$A$5001,"&lt;="&amp;$B226,BD!$N$3:$N$5001,"&lt;&gt;"))))</f>
        <v/>
      </c>
      <c r="U226" s="43" t="str">
        <f>IF(OR($B226="",$A226&gt;$B$9,U$219=""),"",IF(COUNTIFS(BD!$B$3:$B$5001,U$219,BD!$A$3:$A$5001,"&gt;="&amp;$C$7,BD!$A$3:$A$5001,"&lt;="&amp;$B226,BD!$N$3:$N$5001,"&lt;&gt;")=0,"",SUMIFS(BD!$N$3:$N$5001,BD!$B$3:$B$5001,U$219,BD!$A$3:$A$5001,_xlfn.MAXIFS(BD!$A$3:$A$5001,BD!$B$3:$B$5001,U$219,BD!$A$3:$A$5001,"&gt;="&amp;$C$7,BD!$A$3:$A$5001,"&lt;="&amp;$B226,BD!$N$3:$N$5001,"&lt;&gt;"))))</f>
        <v/>
      </c>
      <c r="V226" s="43" t="str">
        <f>IF(OR($B226="",$A226&gt;$B$9,V$219=""),"",IF(COUNTIFS(BD!$B$3:$B$5001,V$219,BD!$A$3:$A$5001,"&gt;="&amp;$C$7,BD!$A$3:$A$5001,"&lt;="&amp;$B226,BD!$N$3:$N$5001,"&lt;&gt;")=0,"",SUMIFS(BD!$N$3:$N$5001,BD!$B$3:$B$5001,V$219,BD!$A$3:$A$5001,_xlfn.MAXIFS(BD!$A$3:$A$5001,BD!$B$3:$B$5001,V$219,BD!$A$3:$A$5001,"&gt;="&amp;$C$7,BD!$A$3:$A$5001,"&lt;="&amp;$B226,BD!$N$3:$N$5001,"&lt;&gt;"))))</f>
        <v/>
      </c>
    </row>
    <row r="227">
      <c r="A227" s="38">
        <v>8</v>
      </c>
      <c r="B227" s="42">
        <f>$B$19</f>
        <v>46303</v>
      </c>
      <c r="C227" s="43" t="str">
        <f>IF(OR($B227="",$A227&gt;$B$9,C$219=""),"",IF(COUNTIFS(BD!$B$3:$B$5001,C$219,BD!$A$3:$A$5001,"&gt;="&amp;$C$7,BD!$A$3:$A$5001,"&lt;="&amp;$B227,BD!$N$3:$N$5001,"&lt;&gt;")=0,"",SUMIFS(BD!$N$3:$N$5001,BD!$B$3:$B$5001,C$219,BD!$A$3:$A$5001,_xlfn.MAXIFS(BD!$A$3:$A$5001,BD!$B$3:$B$5001,C$219,BD!$A$3:$A$5001,"&gt;="&amp;$C$7,BD!$A$3:$A$5001,"&lt;="&amp;$B227,BD!$N$3:$N$5001,"&lt;&gt;"))))</f>
        <v/>
      </c>
      <c r="D227" s="43" t="str">
        <f>IF(OR($B227="",$A227&gt;$B$9,D$219=""),"",IF(COUNTIFS(BD!$B$3:$B$5001,D$219,BD!$A$3:$A$5001,"&gt;="&amp;$C$7,BD!$A$3:$A$5001,"&lt;="&amp;$B227,BD!$N$3:$N$5001,"&lt;&gt;")=0,"",SUMIFS(BD!$N$3:$N$5001,BD!$B$3:$B$5001,D$219,BD!$A$3:$A$5001,_xlfn.MAXIFS(BD!$A$3:$A$5001,BD!$B$3:$B$5001,D$219,BD!$A$3:$A$5001,"&gt;="&amp;$C$7,BD!$A$3:$A$5001,"&lt;="&amp;$B227,BD!$N$3:$N$5001,"&lt;&gt;"))))</f>
        <v/>
      </c>
      <c r="E227" s="43" t="str">
        <f>IF(OR($B227="",$A227&gt;$B$9,E$219=""),"",IF(COUNTIFS(BD!$B$3:$B$5001,E$219,BD!$A$3:$A$5001,"&gt;="&amp;$C$7,BD!$A$3:$A$5001,"&lt;="&amp;$B227,BD!$N$3:$N$5001,"&lt;&gt;")=0,"",SUMIFS(BD!$N$3:$N$5001,BD!$B$3:$B$5001,E$219,BD!$A$3:$A$5001,_xlfn.MAXIFS(BD!$A$3:$A$5001,BD!$B$3:$B$5001,E$219,BD!$A$3:$A$5001,"&gt;="&amp;$C$7,BD!$A$3:$A$5001,"&lt;="&amp;$B227,BD!$N$3:$N$5001,"&lt;&gt;"))))</f>
        <v/>
      </c>
      <c r="F227" s="43" t="str">
        <f>IF(OR($B227="",$A227&gt;$B$9,F$219=""),"",IF(COUNTIFS(BD!$B$3:$B$5001,F$219,BD!$A$3:$A$5001,"&gt;="&amp;$C$7,BD!$A$3:$A$5001,"&lt;="&amp;$B227,BD!$N$3:$N$5001,"&lt;&gt;")=0,"",SUMIFS(BD!$N$3:$N$5001,BD!$B$3:$B$5001,F$219,BD!$A$3:$A$5001,_xlfn.MAXIFS(BD!$A$3:$A$5001,BD!$B$3:$B$5001,F$219,BD!$A$3:$A$5001,"&gt;="&amp;$C$7,BD!$A$3:$A$5001,"&lt;="&amp;$B227,BD!$N$3:$N$5001,"&lt;&gt;"))))</f>
        <v/>
      </c>
      <c r="G227" s="43" t="str">
        <f>IF(OR($B227="",$A227&gt;$B$9,G$219=""),"",IF(COUNTIFS(BD!$B$3:$B$5001,G$219,BD!$A$3:$A$5001,"&gt;="&amp;$C$7,BD!$A$3:$A$5001,"&lt;="&amp;$B227,BD!$N$3:$N$5001,"&lt;&gt;")=0,"",SUMIFS(BD!$N$3:$N$5001,BD!$B$3:$B$5001,G$219,BD!$A$3:$A$5001,_xlfn.MAXIFS(BD!$A$3:$A$5001,BD!$B$3:$B$5001,G$219,BD!$A$3:$A$5001,"&gt;="&amp;$C$7,BD!$A$3:$A$5001,"&lt;="&amp;$B227,BD!$N$3:$N$5001,"&lt;&gt;"))))</f>
        <v/>
      </c>
      <c r="H227" s="43" t="str">
        <f>IF(OR($B227="",$A227&gt;$B$9,H$219=""),"",IF(COUNTIFS(BD!$B$3:$B$5001,H$219,BD!$A$3:$A$5001,"&gt;="&amp;$C$7,BD!$A$3:$A$5001,"&lt;="&amp;$B227,BD!$N$3:$N$5001,"&lt;&gt;")=0,"",SUMIFS(BD!$N$3:$N$5001,BD!$B$3:$B$5001,H$219,BD!$A$3:$A$5001,_xlfn.MAXIFS(BD!$A$3:$A$5001,BD!$B$3:$B$5001,H$219,BD!$A$3:$A$5001,"&gt;="&amp;$C$7,BD!$A$3:$A$5001,"&lt;="&amp;$B227,BD!$N$3:$N$5001,"&lt;&gt;"))))</f>
        <v/>
      </c>
      <c r="I227" s="43" t="str">
        <f>IF(OR($B227="",$A227&gt;$B$9,I$219=""),"",IF(COUNTIFS(BD!$B$3:$B$5001,I$219,BD!$A$3:$A$5001,"&gt;="&amp;$C$7,BD!$A$3:$A$5001,"&lt;="&amp;$B227,BD!$N$3:$N$5001,"&lt;&gt;")=0,"",SUMIFS(BD!$N$3:$N$5001,BD!$B$3:$B$5001,I$219,BD!$A$3:$A$5001,_xlfn.MAXIFS(BD!$A$3:$A$5001,BD!$B$3:$B$5001,I$219,BD!$A$3:$A$5001,"&gt;="&amp;$C$7,BD!$A$3:$A$5001,"&lt;="&amp;$B227,BD!$N$3:$N$5001,"&lt;&gt;"))))</f>
        <v/>
      </c>
      <c r="J227" s="43" t="str">
        <f>IF(OR($B227="",$A227&gt;$B$9,J$219=""),"",IF(COUNTIFS(BD!$B$3:$B$5001,J$219,BD!$A$3:$A$5001,"&gt;="&amp;$C$7,BD!$A$3:$A$5001,"&lt;="&amp;$B227,BD!$N$3:$N$5001,"&lt;&gt;")=0,"",SUMIFS(BD!$N$3:$N$5001,BD!$B$3:$B$5001,J$219,BD!$A$3:$A$5001,_xlfn.MAXIFS(BD!$A$3:$A$5001,BD!$B$3:$B$5001,J$219,BD!$A$3:$A$5001,"&gt;="&amp;$C$7,BD!$A$3:$A$5001,"&lt;="&amp;$B227,BD!$N$3:$N$5001,"&lt;&gt;"))))</f>
        <v/>
      </c>
      <c r="K227" s="43" t="str">
        <f>IF(OR($B227="",$A227&gt;$B$9,K$219=""),"",IF(COUNTIFS(BD!$B$3:$B$5001,K$219,BD!$A$3:$A$5001,"&gt;="&amp;$C$7,BD!$A$3:$A$5001,"&lt;="&amp;$B227,BD!$N$3:$N$5001,"&lt;&gt;")=0,"",SUMIFS(BD!$N$3:$N$5001,BD!$B$3:$B$5001,K$219,BD!$A$3:$A$5001,_xlfn.MAXIFS(BD!$A$3:$A$5001,BD!$B$3:$B$5001,K$219,BD!$A$3:$A$5001,"&gt;="&amp;$C$7,BD!$A$3:$A$5001,"&lt;="&amp;$B227,BD!$N$3:$N$5001,"&lt;&gt;"))))</f>
        <v/>
      </c>
      <c r="L227" s="43" t="str">
        <f>IF(OR($B227="",$A227&gt;$B$9,L$219=""),"",IF(COUNTIFS(BD!$B$3:$B$5001,L$219,BD!$A$3:$A$5001,"&gt;="&amp;$C$7,BD!$A$3:$A$5001,"&lt;="&amp;$B227,BD!$N$3:$N$5001,"&lt;&gt;")=0,"",SUMIFS(BD!$N$3:$N$5001,BD!$B$3:$B$5001,L$219,BD!$A$3:$A$5001,_xlfn.MAXIFS(BD!$A$3:$A$5001,BD!$B$3:$B$5001,L$219,BD!$A$3:$A$5001,"&gt;="&amp;$C$7,BD!$A$3:$A$5001,"&lt;="&amp;$B227,BD!$N$3:$N$5001,"&lt;&gt;"))))</f>
        <v/>
      </c>
      <c r="M227" s="43" t="str">
        <f>IF(OR($B227="",$A227&gt;$B$9,M$219=""),"",IF(COUNTIFS(BD!$B$3:$B$5001,M$219,BD!$A$3:$A$5001,"&gt;="&amp;$C$7,BD!$A$3:$A$5001,"&lt;="&amp;$B227,BD!$N$3:$N$5001,"&lt;&gt;")=0,"",SUMIFS(BD!$N$3:$N$5001,BD!$B$3:$B$5001,M$219,BD!$A$3:$A$5001,_xlfn.MAXIFS(BD!$A$3:$A$5001,BD!$B$3:$B$5001,M$219,BD!$A$3:$A$5001,"&gt;="&amp;$C$7,BD!$A$3:$A$5001,"&lt;="&amp;$B227,BD!$N$3:$N$5001,"&lt;&gt;"))))</f>
        <v/>
      </c>
      <c r="N227" s="43" t="str">
        <f>IF(OR($B227="",$A227&gt;$B$9,N$219=""),"",IF(COUNTIFS(BD!$B$3:$B$5001,N$219,BD!$A$3:$A$5001,"&gt;="&amp;$C$7,BD!$A$3:$A$5001,"&lt;="&amp;$B227,BD!$N$3:$N$5001,"&lt;&gt;")=0,"",SUMIFS(BD!$N$3:$N$5001,BD!$B$3:$B$5001,N$219,BD!$A$3:$A$5001,_xlfn.MAXIFS(BD!$A$3:$A$5001,BD!$B$3:$B$5001,N$219,BD!$A$3:$A$5001,"&gt;="&amp;$C$7,BD!$A$3:$A$5001,"&lt;="&amp;$B227,BD!$N$3:$N$5001,"&lt;&gt;"))))</f>
        <v/>
      </c>
      <c r="O227" s="43" t="str">
        <f>IF(OR($B227="",$A227&gt;$B$9,O$219=""),"",IF(COUNTIFS(BD!$B$3:$B$5001,O$219,BD!$A$3:$A$5001,"&gt;="&amp;$C$7,BD!$A$3:$A$5001,"&lt;="&amp;$B227,BD!$N$3:$N$5001,"&lt;&gt;")=0,"",SUMIFS(BD!$N$3:$N$5001,BD!$B$3:$B$5001,O$219,BD!$A$3:$A$5001,_xlfn.MAXIFS(BD!$A$3:$A$5001,BD!$B$3:$B$5001,O$219,BD!$A$3:$A$5001,"&gt;="&amp;$C$7,BD!$A$3:$A$5001,"&lt;="&amp;$B227,BD!$N$3:$N$5001,"&lt;&gt;"))))</f>
        <v/>
      </c>
      <c r="P227" s="43" t="str">
        <f>IF(OR($B227="",$A227&gt;$B$9,P$219=""),"",IF(COUNTIFS(BD!$B$3:$B$5001,P$219,BD!$A$3:$A$5001,"&gt;="&amp;$C$7,BD!$A$3:$A$5001,"&lt;="&amp;$B227,BD!$N$3:$N$5001,"&lt;&gt;")=0,"",SUMIFS(BD!$N$3:$N$5001,BD!$B$3:$B$5001,P$219,BD!$A$3:$A$5001,_xlfn.MAXIFS(BD!$A$3:$A$5001,BD!$B$3:$B$5001,P$219,BD!$A$3:$A$5001,"&gt;="&amp;$C$7,BD!$A$3:$A$5001,"&lt;="&amp;$B227,BD!$N$3:$N$5001,"&lt;&gt;"))))</f>
        <v/>
      </c>
      <c r="Q227" s="43" t="str">
        <f>IF(OR($B227="",$A227&gt;$B$9,Q$219=""),"",IF(COUNTIFS(BD!$B$3:$B$5001,Q$219,BD!$A$3:$A$5001,"&gt;="&amp;$C$7,BD!$A$3:$A$5001,"&lt;="&amp;$B227,BD!$N$3:$N$5001,"&lt;&gt;")=0,"",SUMIFS(BD!$N$3:$N$5001,BD!$B$3:$B$5001,Q$219,BD!$A$3:$A$5001,_xlfn.MAXIFS(BD!$A$3:$A$5001,BD!$B$3:$B$5001,Q$219,BD!$A$3:$A$5001,"&gt;="&amp;$C$7,BD!$A$3:$A$5001,"&lt;="&amp;$B227,BD!$N$3:$N$5001,"&lt;&gt;"))))</f>
        <v/>
      </c>
      <c r="R227" s="43" t="str">
        <f>IF(OR($B227="",$A227&gt;$B$9,R$219=""),"",IF(COUNTIFS(BD!$B$3:$B$5001,R$219,BD!$A$3:$A$5001,"&gt;="&amp;$C$7,BD!$A$3:$A$5001,"&lt;="&amp;$B227,BD!$N$3:$N$5001,"&lt;&gt;")=0,"",SUMIFS(BD!$N$3:$N$5001,BD!$B$3:$B$5001,R$219,BD!$A$3:$A$5001,_xlfn.MAXIFS(BD!$A$3:$A$5001,BD!$B$3:$B$5001,R$219,BD!$A$3:$A$5001,"&gt;="&amp;$C$7,BD!$A$3:$A$5001,"&lt;="&amp;$B227,BD!$N$3:$N$5001,"&lt;&gt;"))))</f>
        <v/>
      </c>
      <c r="S227" s="43" t="str">
        <f>IF(OR($B227="",$A227&gt;$B$9,S$219=""),"",IF(COUNTIFS(BD!$B$3:$B$5001,S$219,BD!$A$3:$A$5001,"&gt;="&amp;$C$7,BD!$A$3:$A$5001,"&lt;="&amp;$B227,BD!$N$3:$N$5001,"&lt;&gt;")=0,"",SUMIFS(BD!$N$3:$N$5001,BD!$B$3:$B$5001,S$219,BD!$A$3:$A$5001,_xlfn.MAXIFS(BD!$A$3:$A$5001,BD!$B$3:$B$5001,S$219,BD!$A$3:$A$5001,"&gt;="&amp;$C$7,BD!$A$3:$A$5001,"&lt;="&amp;$B227,BD!$N$3:$N$5001,"&lt;&gt;"))))</f>
        <v/>
      </c>
      <c r="T227" s="43" t="str">
        <f>IF(OR($B227="",$A227&gt;$B$9,T$219=""),"",IF(COUNTIFS(BD!$B$3:$B$5001,T$219,BD!$A$3:$A$5001,"&gt;="&amp;$C$7,BD!$A$3:$A$5001,"&lt;="&amp;$B227,BD!$N$3:$N$5001,"&lt;&gt;")=0,"",SUMIFS(BD!$N$3:$N$5001,BD!$B$3:$B$5001,T$219,BD!$A$3:$A$5001,_xlfn.MAXIFS(BD!$A$3:$A$5001,BD!$B$3:$B$5001,T$219,BD!$A$3:$A$5001,"&gt;="&amp;$C$7,BD!$A$3:$A$5001,"&lt;="&amp;$B227,BD!$N$3:$N$5001,"&lt;&gt;"))))</f>
        <v/>
      </c>
      <c r="U227" s="43" t="str">
        <f>IF(OR($B227="",$A227&gt;$B$9,U$219=""),"",IF(COUNTIFS(BD!$B$3:$B$5001,U$219,BD!$A$3:$A$5001,"&gt;="&amp;$C$7,BD!$A$3:$A$5001,"&lt;="&amp;$B227,BD!$N$3:$N$5001,"&lt;&gt;")=0,"",SUMIFS(BD!$N$3:$N$5001,BD!$B$3:$B$5001,U$219,BD!$A$3:$A$5001,_xlfn.MAXIFS(BD!$A$3:$A$5001,BD!$B$3:$B$5001,U$219,BD!$A$3:$A$5001,"&gt;="&amp;$C$7,BD!$A$3:$A$5001,"&lt;="&amp;$B227,BD!$N$3:$N$5001,"&lt;&gt;"))))</f>
        <v/>
      </c>
      <c r="V227" s="43" t="str">
        <f>IF(OR($B227="",$A227&gt;$B$9,V$219=""),"",IF(COUNTIFS(BD!$B$3:$B$5001,V$219,BD!$A$3:$A$5001,"&gt;="&amp;$C$7,BD!$A$3:$A$5001,"&lt;="&amp;$B227,BD!$N$3:$N$5001,"&lt;&gt;")=0,"",SUMIFS(BD!$N$3:$N$5001,BD!$B$3:$B$5001,V$219,BD!$A$3:$A$5001,_xlfn.MAXIFS(BD!$A$3:$A$5001,BD!$B$3:$B$5001,V$219,BD!$A$3:$A$5001,"&gt;="&amp;$C$7,BD!$A$3:$A$5001,"&lt;="&amp;$B227,BD!$N$3:$N$5001,"&lt;&gt;"))))</f>
        <v/>
      </c>
    </row>
    <row r="228">
      <c r="A228" s="38">
        <v>9</v>
      </c>
      <c r="B228" s="42">
        <f>$B$20</f>
        <v>46304</v>
      </c>
      <c r="C228" s="43" t="str">
        <f>IF(OR($B228="",$A228&gt;$B$9,C$219=""),"",IF(COUNTIFS(BD!$B$3:$B$5001,C$219,BD!$A$3:$A$5001,"&gt;="&amp;$C$7,BD!$A$3:$A$5001,"&lt;="&amp;$B228,BD!$N$3:$N$5001,"&lt;&gt;")=0,"",SUMIFS(BD!$N$3:$N$5001,BD!$B$3:$B$5001,C$219,BD!$A$3:$A$5001,_xlfn.MAXIFS(BD!$A$3:$A$5001,BD!$B$3:$B$5001,C$219,BD!$A$3:$A$5001,"&gt;="&amp;$C$7,BD!$A$3:$A$5001,"&lt;="&amp;$B228,BD!$N$3:$N$5001,"&lt;&gt;"))))</f>
        <v/>
      </c>
      <c r="D228" s="43" t="str">
        <f>IF(OR($B228="",$A228&gt;$B$9,D$219=""),"",IF(COUNTIFS(BD!$B$3:$B$5001,D$219,BD!$A$3:$A$5001,"&gt;="&amp;$C$7,BD!$A$3:$A$5001,"&lt;="&amp;$B228,BD!$N$3:$N$5001,"&lt;&gt;")=0,"",SUMIFS(BD!$N$3:$N$5001,BD!$B$3:$B$5001,D$219,BD!$A$3:$A$5001,_xlfn.MAXIFS(BD!$A$3:$A$5001,BD!$B$3:$B$5001,D$219,BD!$A$3:$A$5001,"&gt;="&amp;$C$7,BD!$A$3:$A$5001,"&lt;="&amp;$B228,BD!$N$3:$N$5001,"&lt;&gt;"))))</f>
        <v/>
      </c>
      <c r="E228" s="43" t="str">
        <f>IF(OR($B228="",$A228&gt;$B$9,E$219=""),"",IF(COUNTIFS(BD!$B$3:$B$5001,E$219,BD!$A$3:$A$5001,"&gt;="&amp;$C$7,BD!$A$3:$A$5001,"&lt;="&amp;$B228,BD!$N$3:$N$5001,"&lt;&gt;")=0,"",SUMIFS(BD!$N$3:$N$5001,BD!$B$3:$B$5001,E$219,BD!$A$3:$A$5001,_xlfn.MAXIFS(BD!$A$3:$A$5001,BD!$B$3:$B$5001,E$219,BD!$A$3:$A$5001,"&gt;="&amp;$C$7,BD!$A$3:$A$5001,"&lt;="&amp;$B228,BD!$N$3:$N$5001,"&lt;&gt;"))))</f>
        <v/>
      </c>
      <c r="F228" s="43" t="str">
        <f>IF(OR($B228="",$A228&gt;$B$9,F$219=""),"",IF(COUNTIFS(BD!$B$3:$B$5001,F$219,BD!$A$3:$A$5001,"&gt;="&amp;$C$7,BD!$A$3:$A$5001,"&lt;="&amp;$B228,BD!$N$3:$N$5001,"&lt;&gt;")=0,"",SUMIFS(BD!$N$3:$N$5001,BD!$B$3:$B$5001,F$219,BD!$A$3:$A$5001,_xlfn.MAXIFS(BD!$A$3:$A$5001,BD!$B$3:$B$5001,F$219,BD!$A$3:$A$5001,"&gt;="&amp;$C$7,BD!$A$3:$A$5001,"&lt;="&amp;$B228,BD!$N$3:$N$5001,"&lt;&gt;"))))</f>
        <v/>
      </c>
      <c r="G228" s="43" t="str">
        <f>IF(OR($B228="",$A228&gt;$B$9,G$219=""),"",IF(COUNTIFS(BD!$B$3:$B$5001,G$219,BD!$A$3:$A$5001,"&gt;="&amp;$C$7,BD!$A$3:$A$5001,"&lt;="&amp;$B228,BD!$N$3:$N$5001,"&lt;&gt;")=0,"",SUMIFS(BD!$N$3:$N$5001,BD!$B$3:$B$5001,G$219,BD!$A$3:$A$5001,_xlfn.MAXIFS(BD!$A$3:$A$5001,BD!$B$3:$B$5001,G$219,BD!$A$3:$A$5001,"&gt;="&amp;$C$7,BD!$A$3:$A$5001,"&lt;="&amp;$B228,BD!$N$3:$N$5001,"&lt;&gt;"))))</f>
        <v/>
      </c>
      <c r="H228" s="43" t="str">
        <f>IF(OR($B228="",$A228&gt;$B$9,H$219=""),"",IF(COUNTIFS(BD!$B$3:$B$5001,H$219,BD!$A$3:$A$5001,"&gt;="&amp;$C$7,BD!$A$3:$A$5001,"&lt;="&amp;$B228,BD!$N$3:$N$5001,"&lt;&gt;")=0,"",SUMIFS(BD!$N$3:$N$5001,BD!$B$3:$B$5001,H$219,BD!$A$3:$A$5001,_xlfn.MAXIFS(BD!$A$3:$A$5001,BD!$B$3:$B$5001,H$219,BD!$A$3:$A$5001,"&gt;="&amp;$C$7,BD!$A$3:$A$5001,"&lt;="&amp;$B228,BD!$N$3:$N$5001,"&lt;&gt;"))))</f>
        <v/>
      </c>
      <c r="I228" s="43" t="str">
        <f>IF(OR($B228="",$A228&gt;$B$9,I$219=""),"",IF(COUNTIFS(BD!$B$3:$B$5001,I$219,BD!$A$3:$A$5001,"&gt;="&amp;$C$7,BD!$A$3:$A$5001,"&lt;="&amp;$B228,BD!$N$3:$N$5001,"&lt;&gt;")=0,"",SUMIFS(BD!$N$3:$N$5001,BD!$B$3:$B$5001,I$219,BD!$A$3:$A$5001,_xlfn.MAXIFS(BD!$A$3:$A$5001,BD!$B$3:$B$5001,I$219,BD!$A$3:$A$5001,"&gt;="&amp;$C$7,BD!$A$3:$A$5001,"&lt;="&amp;$B228,BD!$N$3:$N$5001,"&lt;&gt;"))))</f>
        <v/>
      </c>
      <c r="J228" s="43" t="str">
        <f>IF(OR($B228="",$A228&gt;$B$9,J$219=""),"",IF(COUNTIFS(BD!$B$3:$B$5001,J$219,BD!$A$3:$A$5001,"&gt;="&amp;$C$7,BD!$A$3:$A$5001,"&lt;="&amp;$B228,BD!$N$3:$N$5001,"&lt;&gt;")=0,"",SUMIFS(BD!$N$3:$N$5001,BD!$B$3:$B$5001,J$219,BD!$A$3:$A$5001,_xlfn.MAXIFS(BD!$A$3:$A$5001,BD!$B$3:$B$5001,J$219,BD!$A$3:$A$5001,"&gt;="&amp;$C$7,BD!$A$3:$A$5001,"&lt;="&amp;$B228,BD!$N$3:$N$5001,"&lt;&gt;"))))</f>
        <v/>
      </c>
      <c r="K228" s="43" t="str">
        <f>IF(OR($B228="",$A228&gt;$B$9,K$219=""),"",IF(COUNTIFS(BD!$B$3:$B$5001,K$219,BD!$A$3:$A$5001,"&gt;="&amp;$C$7,BD!$A$3:$A$5001,"&lt;="&amp;$B228,BD!$N$3:$N$5001,"&lt;&gt;")=0,"",SUMIFS(BD!$N$3:$N$5001,BD!$B$3:$B$5001,K$219,BD!$A$3:$A$5001,_xlfn.MAXIFS(BD!$A$3:$A$5001,BD!$B$3:$B$5001,K$219,BD!$A$3:$A$5001,"&gt;="&amp;$C$7,BD!$A$3:$A$5001,"&lt;="&amp;$B228,BD!$N$3:$N$5001,"&lt;&gt;"))))</f>
        <v/>
      </c>
      <c r="L228" s="43" t="str">
        <f>IF(OR($B228="",$A228&gt;$B$9,L$219=""),"",IF(COUNTIFS(BD!$B$3:$B$5001,L$219,BD!$A$3:$A$5001,"&gt;="&amp;$C$7,BD!$A$3:$A$5001,"&lt;="&amp;$B228,BD!$N$3:$N$5001,"&lt;&gt;")=0,"",SUMIFS(BD!$N$3:$N$5001,BD!$B$3:$B$5001,L$219,BD!$A$3:$A$5001,_xlfn.MAXIFS(BD!$A$3:$A$5001,BD!$B$3:$B$5001,L$219,BD!$A$3:$A$5001,"&gt;="&amp;$C$7,BD!$A$3:$A$5001,"&lt;="&amp;$B228,BD!$N$3:$N$5001,"&lt;&gt;"))))</f>
        <v/>
      </c>
      <c r="M228" s="43" t="str">
        <f>IF(OR($B228="",$A228&gt;$B$9,M$219=""),"",IF(COUNTIFS(BD!$B$3:$B$5001,M$219,BD!$A$3:$A$5001,"&gt;="&amp;$C$7,BD!$A$3:$A$5001,"&lt;="&amp;$B228,BD!$N$3:$N$5001,"&lt;&gt;")=0,"",SUMIFS(BD!$N$3:$N$5001,BD!$B$3:$B$5001,M$219,BD!$A$3:$A$5001,_xlfn.MAXIFS(BD!$A$3:$A$5001,BD!$B$3:$B$5001,M$219,BD!$A$3:$A$5001,"&gt;="&amp;$C$7,BD!$A$3:$A$5001,"&lt;="&amp;$B228,BD!$N$3:$N$5001,"&lt;&gt;"))))</f>
        <v/>
      </c>
      <c r="N228" s="43" t="str">
        <f>IF(OR($B228="",$A228&gt;$B$9,N$219=""),"",IF(COUNTIFS(BD!$B$3:$B$5001,N$219,BD!$A$3:$A$5001,"&gt;="&amp;$C$7,BD!$A$3:$A$5001,"&lt;="&amp;$B228,BD!$N$3:$N$5001,"&lt;&gt;")=0,"",SUMIFS(BD!$N$3:$N$5001,BD!$B$3:$B$5001,N$219,BD!$A$3:$A$5001,_xlfn.MAXIFS(BD!$A$3:$A$5001,BD!$B$3:$B$5001,N$219,BD!$A$3:$A$5001,"&gt;="&amp;$C$7,BD!$A$3:$A$5001,"&lt;="&amp;$B228,BD!$N$3:$N$5001,"&lt;&gt;"))))</f>
        <v/>
      </c>
      <c r="O228" s="43" t="str">
        <f>IF(OR($B228="",$A228&gt;$B$9,O$219=""),"",IF(COUNTIFS(BD!$B$3:$B$5001,O$219,BD!$A$3:$A$5001,"&gt;="&amp;$C$7,BD!$A$3:$A$5001,"&lt;="&amp;$B228,BD!$N$3:$N$5001,"&lt;&gt;")=0,"",SUMIFS(BD!$N$3:$N$5001,BD!$B$3:$B$5001,O$219,BD!$A$3:$A$5001,_xlfn.MAXIFS(BD!$A$3:$A$5001,BD!$B$3:$B$5001,O$219,BD!$A$3:$A$5001,"&gt;="&amp;$C$7,BD!$A$3:$A$5001,"&lt;="&amp;$B228,BD!$N$3:$N$5001,"&lt;&gt;"))))</f>
        <v/>
      </c>
      <c r="P228" s="43" t="str">
        <f>IF(OR($B228="",$A228&gt;$B$9,P$219=""),"",IF(COUNTIFS(BD!$B$3:$B$5001,P$219,BD!$A$3:$A$5001,"&gt;="&amp;$C$7,BD!$A$3:$A$5001,"&lt;="&amp;$B228,BD!$N$3:$N$5001,"&lt;&gt;")=0,"",SUMIFS(BD!$N$3:$N$5001,BD!$B$3:$B$5001,P$219,BD!$A$3:$A$5001,_xlfn.MAXIFS(BD!$A$3:$A$5001,BD!$B$3:$B$5001,P$219,BD!$A$3:$A$5001,"&gt;="&amp;$C$7,BD!$A$3:$A$5001,"&lt;="&amp;$B228,BD!$N$3:$N$5001,"&lt;&gt;"))))</f>
        <v/>
      </c>
      <c r="Q228" s="43" t="str">
        <f>IF(OR($B228="",$A228&gt;$B$9,Q$219=""),"",IF(COUNTIFS(BD!$B$3:$B$5001,Q$219,BD!$A$3:$A$5001,"&gt;="&amp;$C$7,BD!$A$3:$A$5001,"&lt;="&amp;$B228,BD!$N$3:$N$5001,"&lt;&gt;")=0,"",SUMIFS(BD!$N$3:$N$5001,BD!$B$3:$B$5001,Q$219,BD!$A$3:$A$5001,_xlfn.MAXIFS(BD!$A$3:$A$5001,BD!$B$3:$B$5001,Q$219,BD!$A$3:$A$5001,"&gt;="&amp;$C$7,BD!$A$3:$A$5001,"&lt;="&amp;$B228,BD!$N$3:$N$5001,"&lt;&gt;"))))</f>
        <v/>
      </c>
      <c r="R228" s="43" t="str">
        <f>IF(OR($B228="",$A228&gt;$B$9,R$219=""),"",IF(COUNTIFS(BD!$B$3:$B$5001,R$219,BD!$A$3:$A$5001,"&gt;="&amp;$C$7,BD!$A$3:$A$5001,"&lt;="&amp;$B228,BD!$N$3:$N$5001,"&lt;&gt;")=0,"",SUMIFS(BD!$N$3:$N$5001,BD!$B$3:$B$5001,R$219,BD!$A$3:$A$5001,_xlfn.MAXIFS(BD!$A$3:$A$5001,BD!$B$3:$B$5001,R$219,BD!$A$3:$A$5001,"&gt;="&amp;$C$7,BD!$A$3:$A$5001,"&lt;="&amp;$B228,BD!$N$3:$N$5001,"&lt;&gt;"))))</f>
        <v/>
      </c>
      <c r="S228" s="43" t="str">
        <f>IF(OR($B228="",$A228&gt;$B$9,S$219=""),"",IF(COUNTIFS(BD!$B$3:$B$5001,S$219,BD!$A$3:$A$5001,"&gt;="&amp;$C$7,BD!$A$3:$A$5001,"&lt;="&amp;$B228,BD!$N$3:$N$5001,"&lt;&gt;")=0,"",SUMIFS(BD!$N$3:$N$5001,BD!$B$3:$B$5001,S$219,BD!$A$3:$A$5001,_xlfn.MAXIFS(BD!$A$3:$A$5001,BD!$B$3:$B$5001,S$219,BD!$A$3:$A$5001,"&gt;="&amp;$C$7,BD!$A$3:$A$5001,"&lt;="&amp;$B228,BD!$N$3:$N$5001,"&lt;&gt;"))))</f>
        <v/>
      </c>
      <c r="T228" s="43" t="str">
        <f>IF(OR($B228="",$A228&gt;$B$9,T$219=""),"",IF(COUNTIFS(BD!$B$3:$B$5001,T$219,BD!$A$3:$A$5001,"&gt;="&amp;$C$7,BD!$A$3:$A$5001,"&lt;="&amp;$B228,BD!$N$3:$N$5001,"&lt;&gt;")=0,"",SUMIFS(BD!$N$3:$N$5001,BD!$B$3:$B$5001,T$219,BD!$A$3:$A$5001,_xlfn.MAXIFS(BD!$A$3:$A$5001,BD!$B$3:$B$5001,T$219,BD!$A$3:$A$5001,"&gt;="&amp;$C$7,BD!$A$3:$A$5001,"&lt;="&amp;$B228,BD!$N$3:$N$5001,"&lt;&gt;"))))</f>
        <v/>
      </c>
      <c r="U228" s="43" t="str">
        <f>IF(OR($B228="",$A228&gt;$B$9,U$219=""),"",IF(COUNTIFS(BD!$B$3:$B$5001,U$219,BD!$A$3:$A$5001,"&gt;="&amp;$C$7,BD!$A$3:$A$5001,"&lt;="&amp;$B228,BD!$N$3:$N$5001,"&lt;&gt;")=0,"",SUMIFS(BD!$N$3:$N$5001,BD!$B$3:$B$5001,U$219,BD!$A$3:$A$5001,_xlfn.MAXIFS(BD!$A$3:$A$5001,BD!$B$3:$B$5001,U$219,BD!$A$3:$A$5001,"&gt;="&amp;$C$7,BD!$A$3:$A$5001,"&lt;="&amp;$B228,BD!$N$3:$N$5001,"&lt;&gt;"))))</f>
        <v/>
      </c>
      <c r="V228" s="43" t="str">
        <f>IF(OR($B228="",$A228&gt;$B$9,V$219=""),"",IF(COUNTIFS(BD!$B$3:$B$5001,V$219,BD!$A$3:$A$5001,"&gt;="&amp;$C$7,BD!$A$3:$A$5001,"&lt;="&amp;$B228,BD!$N$3:$N$5001,"&lt;&gt;")=0,"",SUMIFS(BD!$N$3:$N$5001,BD!$B$3:$B$5001,V$219,BD!$A$3:$A$5001,_xlfn.MAXIFS(BD!$A$3:$A$5001,BD!$B$3:$B$5001,V$219,BD!$A$3:$A$5001,"&gt;="&amp;$C$7,BD!$A$3:$A$5001,"&lt;="&amp;$B228,BD!$N$3:$N$5001,"&lt;&gt;"))))</f>
        <v/>
      </c>
    </row>
    <row r="229">
      <c r="A229" s="38">
        <v>10</v>
      </c>
      <c r="B229" s="42">
        <f>$B$21</f>
        <v>46305</v>
      </c>
      <c r="C229" s="43" t="str">
        <f>IF(OR($B229="",$A229&gt;$B$9,C$219=""),"",IF(COUNTIFS(BD!$B$3:$B$5001,C$219,BD!$A$3:$A$5001,"&gt;="&amp;$C$7,BD!$A$3:$A$5001,"&lt;="&amp;$B229,BD!$N$3:$N$5001,"&lt;&gt;")=0,"",SUMIFS(BD!$N$3:$N$5001,BD!$B$3:$B$5001,C$219,BD!$A$3:$A$5001,_xlfn.MAXIFS(BD!$A$3:$A$5001,BD!$B$3:$B$5001,C$219,BD!$A$3:$A$5001,"&gt;="&amp;$C$7,BD!$A$3:$A$5001,"&lt;="&amp;$B229,BD!$N$3:$N$5001,"&lt;&gt;"))))</f>
        <v/>
      </c>
      <c r="D229" s="43" t="str">
        <f>IF(OR($B229="",$A229&gt;$B$9,D$219=""),"",IF(COUNTIFS(BD!$B$3:$B$5001,D$219,BD!$A$3:$A$5001,"&gt;="&amp;$C$7,BD!$A$3:$A$5001,"&lt;="&amp;$B229,BD!$N$3:$N$5001,"&lt;&gt;")=0,"",SUMIFS(BD!$N$3:$N$5001,BD!$B$3:$B$5001,D$219,BD!$A$3:$A$5001,_xlfn.MAXIFS(BD!$A$3:$A$5001,BD!$B$3:$B$5001,D$219,BD!$A$3:$A$5001,"&gt;="&amp;$C$7,BD!$A$3:$A$5001,"&lt;="&amp;$B229,BD!$N$3:$N$5001,"&lt;&gt;"))))</f>
        <v/>
      </c>
      <c r="E229" s="43" t="str">
        <f>IF(OR($B229="",$A229&gt;$B$9,E$219=""),"",IF(COUNTIFS(BD!$B$3:$B$5001,E$219,BD!$A$3:$A$5001,"&gt;="&amp;$C$7,BD!$A$3:$A$5001,"&lt;="&amp;$B229,BD!$N$3:$N$5001,"&lt;&gt;")=0,"",SUMIFS(BD!$N$3:$N$5001,BD!$B$3:$B$5001,E$219,BD!$A$3:$A$5001,_xlfn.MAXIFS(BD!$A$3:$A$5001,BD!$B$3:$B$5001,E$219,BD!$A$3:$A$5001,"&gt;="&amp;$C$7,BD!$A$3:$A$5001,"&lt;="&amp;$B229,BD!$N$3:$N$5001,"&lt;&gt;"))))</f>
        <v/>
      </c>
      <c r="F229" s="43" t="str">
        <f>IF(OR($B229="",$A229&gt;$B$9,F$219=""),"",IF(COUNTIFS(BD!$B$3:$B$5001,F$219,BD!$A$3:$A$5001,"&gt;="&amp;$C$7,BD!$A$3:$A$5001,"&lt;="&amp;$B229,BD!$N$3:$N$5001,"&lt;&gt;")=0,"",SUMIFS(BD!$N$3:$N$5001,BD!$B$3:$B$5001,F$219,BD!$A$3:$A$5001,_xlfn.MAXIFS(BD!$A$3:$A$5001,BD!$B$3:$B$5001,F$219,BD!$A$3:$A$5001,"&gt;="&amp;$C$7,BD!$A$3:$A$5001,"&lt;="&amp;$B229,BD!$N$3:$N$5001,"&lt;&gt;"))))</f>
        <v/>
      </c>
      <c r="G229" s="43" t="str">
        <f>IF(OR($B229="",$A229&gt;$B$9,G$219=""),"",IF(COUNTIFS(BD!$B$3:$B$5001,G$219,BD!$A$3:$A$5001,"&gt;="&amp;$C$7,BD!$A$3:$A$5001,"&lt;="&amp;$B229,BD!$N$3:$N$5001,"&lt;&gt;")=0,"",SUMIFS(BD!$N$3:$N$5001,BD!$B$3:$B$5001,G$219,BD!$A$3:$A$5001,_xlfn.MAXIFS(BD!$A$3:$A$5001,BD!$B$3:$B$5001,G$219,BD!$A$3:$A$5001,"&gt;="&amp;$C$7,BD!$A$3:$A$5001,"&lt;="&amp;$B229,BD!$N$3:$N$5001,"&lt;&gt;"))))</f>
        <v/>
      </c>
      <c r="H229" s="43" t="str">
        <f>IF(OR($B229="",$A229&gt;$B$9,H$219=""),"",IF(COUNTIFS(BD!$B$3:$B$5001,H$219,BD!$A$3:$A$5001,"&gt;="&amp;$C$7,BD!$A$3:$A$5001,"&lt;="&amp;$B229,BD!$N$3:$N$5001,"&lt;&gt;")=0,"",SUMIFS(BD!$N$3:$N$5001,BD!$B$3:$B$5001,H$219,BD!$A$3:$A$5001,_xlfn.MAXIFS(BD!$A$3:$A$5001,BD!$B$3:$B$5001,H$219,BD!$A$3:$A$5001,"&gt;="&amp;$C$7,BD!$A$3:$A$5001,"&lt;="&amp;$B229,BD!$N$3:$N$5001,"&lt;&gt;"))))</f>
        <v/>
      </c>
      <c r="I229" s="43" t="str">
        <f>IF(OR($B229="",$A229&gt;$B$9,I$219=""),"",IF(COUNTIFS(BD!$B$3:$B$5001,I$219,BD!$A$3:$A$5001,"&gt;="&amp;$C$7,BD!$A$3:$A$5001,"&lt;="&amp;$B229,BD!$N$3:$N$5001,"&lt;&gt;")=0,"",SUMIFS(BD!$N$3:$N$5001,BD!$B$3:$B$5001,I$219,BD!$A$3:$A$5001,_xlfn.MAXIFS(BD!$A$3:$A$5001,BD!$B$3:$B$5001,I$219,BD!$A$3:$A$5001,"&gt;="&amp;$C$7,BD!$A$3:$A$5001,"&lt;="&amp;$B229,BD!$N$3:$N$5001,"&lt;&gt;"))))</f>
        <v/>
      </c>
      <c r="J229" s="43" t="str">
        <f>IF(OR($B229="",$A229&gt;$B$9,J$219=""),"",IF(COUNTIFS(BD!$B$3:$B$5001,J$219,BD!$A$3:$A$5001,"&gt;="&amp;$C$7,BD!$A$3:$A$5001,"&lt;="&amp;$B229,BD!$N$3:$N$5001,"&lt;&gt;")=0,"",SUMIFS(BD!$N$3:$N$5001,BD!$B$3:$B$5001,J$219,BD!$A$3:$A$5001,_xlfn.MAXIFS(BD!$A$3:$A$5001,BD!$B$3:$B$5001,J$219,BD!$A$3:$A$5001,"&gt;="&amp;$C$7,BD!$A$3:$A$5001,"&lt;="&amp;$B229,BD!$N$3:$N$5001,"&lt;&gt;"))))</f>
        <v/>
      </c>
      <c r="K229" s="43" t="str">
        <f>IF(OR($B229="",$A229&gt;$B$9,K$219=""),"",IF(COUNTIFS(BD!$B$3:$B$5001,K$219,BD!$A$3:$A$5001,"&gt;="&amp;$C$7,BD!$A$3:$A$5001,"&lt;="&amp;$B229,BD!$N$3:$N$5001,"&lt;&gt;")=0,"",SUMIFS(BD!$N$3:$N$5001,BD!$B$3:$B$5001,K$219,BD!$A$3:$A$5001,_xlfn.MAXIFS(BD!$A$3:$A$5001,BD!$B$3:$B$5001,K$219,BD!$A$3:$A$5001,"&gt;="&amp;$C$7,BD!$A$3:$A$5001,"&lt;="&amp;$B229,BD!$N$3:$N$5001,"&lt;&gt;"))))</f>
        <v/>
      </c>
      <c r="L229" s="43" t="str">
        <f>IF(OR($B229="",$A229&gt;$B$9,L$219=""),"",IF(COUNTIFS(BD!$B$3:$B$5001,L$219,BD!$A$3:$A$5001,"&gt;="&amp;$C$7,BD!$A$3:$A$5001,"&lt;="&amp;$B229,BD!$N$3:$N$5001,"&lt;&gt;")=0,"",SUMIFS(BD!$N$3:$N$5001,BD!$B$3:$B$5001,L$219,BD!$A$3:$A$5001,_xlfn.MAXIFS(BD!$A$3:$A$5001,BD!$B$3:$B$5001,L$219,BD!$A$3:$A$5001,"&gt;="&amp;$C$7,BD!$A$3:$A$5001,"&lt;="&amp;$B229,BD!$N$3:$N$5001,"&lt;&gt;"))))</f>
        <v/>
      </c>
      <c r="M229" s="43" t="str">
        <f>IF(OR($B229="",$A229&gt;$B$9,M$219=""),"",IF(COUNTIFS(BD!$B$3:$B$5001,M$219,BD!$A$3:$A$5001,"&gt;="&amp;$C$7,BD!$A$3:$A$5001,"&lt;="&amp;$B229,BD!$N$3:$N$5001,"&lt;&gt;")=0,"",SUMIFS(BD!$N$3:$N$5001,BD!$B$3:$B$5001,M$219,BD!$A$3:$A$5001,_xlfn.MAXIFS(BD!$A$3:$A$5001,BD!$B$3:$B$5001,M$219,BD!$A$3:$A$5001,"&gt;="&amp;$C$7,BD!$A$3:$A$5001,"&lt;="&amp;$B229,BD!$N$3:$N$5001,"&lt;&gt;"))))</f>
        <v/>
      </c>
      <c r="N229" s="43" t="str">
        <f>IF(OR($B229="",$A229&gt;$B$9,N$219=""),"",IF(COUNTIFS(BD!$B$3:$B$5001,N$219,BD!$A$3:$A$5001,"&gt;="&amp;$C$7,BD!$A$3:$A$5001,"&lt;="&amp;$B229,BD!$N$3:$N$5001,"&lt;&gt;")=0,"",SUMIFS(BD!$N$3:$N$5001,BD!$B$3:$B$5001,N$219,BD!$A$3:$A$5001,_xlfn.MAXIFS(BD!$A$3:$A$5001,BD!$B$3:$B$5001,N$219,BD!$A$3:$A$5001,"&gt;="&amp;$C$7,BD!$A$3:$A$5001,"&lt;="&amp;$B229,BD!$N$3:$N$5001,"&lt;&gt;"))))</f>
        <v/>
      </c>
      <c r="O229" s="43" t="str">
        <f>IF(OR($B229="",$A229&gt;$B$9,O$219=""),"",IF(COUNTIFS(BD!$B$3:$B$5001,O$219,BD!$A$3:$A$5001,"&gt;="&amp;$C$7,BD!$A$3:$A$5001,"&lt;="&amp;$B229,BD!$N$3:$N$5001,"&lt;&gt;")=0,"",SUMIFS(BD!$N$3:$N$5001,BD!$B$3:$B$5001,O$219,BD!$A$3:$A$5001,_xlfn.MAXIFS(BD!$A$3:$A$5001,BD!$B$3:$B$5001,O$219,BD!$A$3:$A$5001,"&gt;="&amp;$C$7,BD!$A$3:$A$5001,"&lt;="&amp;$B229,BD!$N$3:$N$5001,"&lt;&gt;"))))</f>
        <v/>
      </c>
      <c r="P229" s="43" t="str">
        <f>IF(OR($B229="",$A229&gt;$B$9,P$219=""),"",IF(COUNTIFS(BD!$B$3:$B$5001,P$219,BD!$A$3:$A$5001,"&gt;="&amp;$C$7,BD!$A$3:$A$5001,"&lt;="&amp;$B229,BD!$N$3:$N$5001,"&lt;&gt;")=0,"",SUMIFS(BD!$N$3:$N$5001,BD!$B$3:$B$5001,P$219,BD!$A$3:$A$5001,_xlfn.MAXIFS(BD!$A$3:$A$5001,BD!$B$3:$B$5001,P$219,BD!$A$3:$A$5001,"&gt;="&amp;$C$7,BD!$A$3:$A$5001,"&lt;="&amp;$B229,BD!$N$3:$N$5001,"&lt;&gt;"))))</f>
        <v/>
      </c>
      <c r="Q229" s="43" t="str">
        <f>IF(OR($B229="",$A229&gt;$B$9,Q$219=""),"",IF(COUNTIFS(BD!$B$3:$B$5001,Q$219,BD!$A$3:$A$5001,"&gt;="&amp;$C$7,BD!$A$3:$A$5001,"&lt;="&amp;$B229,BD!$N$3:$N$5001,"&lt;&gt;")=0,"",SUMIFS(BD!$N$3:$N$5001,BD!$B$3:$B$5001,Q$219,BD!$A$3:$A$5001,_xlfn.MAXIFS(BD!$A$3:$A$5001,BD!$B$3:$B$5001,Q$219,BD!$A$3:$A$5001,"&gt;="&amp;$C$7,BD!$A$3:$A$5001,"&lt;="&amp;$B229,BD!$N$3:$N$5001,"&lt;&gt;"))))</f>
        <v/>
      </c>
      <c r="R229" s="43" t="str">
        <f>IF(OR($B229="",$A229&gt;$B$9,R$219=""),"",IF(COUNTIFS(BD!$B$3:$B$5001,R$219,BD!$A$3:$A$5001,"&gt;="&amp;$C$7,BD!$A$3:$A$5001,"&lt;="&amp;$B229,BD!$N$3:$N$5001,"&lt;&gt;")=0,"",SUMIFS(BD!$N$3:$N$5001,BD!$B$3:$B$5001,R$219,BD!$A$3:$A$5001,_xlfn.MAXIFS(BD!$A$3:$A$5001,BD!$B$3:$B$5001,R$219,BD!$A$3:$A$5001,"&gt;="&amp;$C$7,BD!$A$3:$A$5001,"&lt;="&amp;$B229,BD!$N$3:$N$5001,"&lt;&gt;"))))</f>
        <v/>
      </c>
      <c r="S229" s="43" t="str">
        <f>IF(OR($B229="",$A229&gt;$B$9,S$219=""),"",IF(COUNTIFS(BD!$B$3:$B$5001,S$219,BD!$A$3:$A$5001,"&gt;="&amp;$C$7,BD!$A$3:$A$5001,"&lt;="&amp;$B229,BD!$N$3:$N$5001,"&lt;&gt;")=0,"",SUMIFS(BD!$N$3:$N$5001,BD!$B$3:$B$5001,S$219,BD!$A$3:$A$5001,_xlfn.MAXIFS(BD!$A$3:$A$5001,BD!$B$3:$B$5001,S$219,BD!$A$3:$A$5001,"&gt;="&amp;$C$7,BD!$A$3:$A$5001,"&lt;="&amp;$B229,BD!$N$3:$N$5001,"&lt;&gt;"))))</f>
        <v/>
      </c>
      <c r="T229" s="43" t="str">
        <f>IF(OR($B229="",$A229&gt;$B$9,T$219=""),"",IF(COUNTIFS(BD!$B$3:$B$5001,T$219,BD!$A$3:$A$5001,"&gt;="&amp;$C$7,BD!$A$3:$A$5001,"&lt;="&amp;$B229,BD!$N$3:$N$5001,"&lt;&gt;")=0,"",SUMIFS(BD!$N$3:$N$5001,BD!$B$3:$B$5001,T$219,BD!$A$3:$A$5001,_xlfn.MAXIFS(BD!$A$3:$A$5001,BD!$B$3:$B$5001,T$219,BD!$A$3:$A$5001,"&gt;="&amp;$C$7,BD!$A$3:$A$5001,"&lt;="&amp;$B229,BD!$N$3:$N$5001,"&lt;&gt;"))))</f>
        <v/>
      </c>
      <c r="U229" s="43" t="str">
        <f>IF(OR($B229="",$A229&gt;$B$9,U$219=""),"",IF(COUNTIFS(BD!$B$3:$B$5001,U$219,BD!$A$3:$A$5001,"&gt;="&amp;$C$7,BD!$A$3:$A$5001,"&lt;="&amp;$B229,BD!$N$3:$N$5001,"&lt;&gt;")=0,"",SUMIFS(BD!$N$3:$N$5001,BD!$B$3:$B$5001,U$219,BD!$A$3:$A$5001,_xlfn.MAXIFS(BD!$A$3:$A$5001,BD!$B$3:$B$5001,U$219,BD!$A$3:$A$5001,"&gt;="&amp;$C$7,BD!$A$3:$A$5001,"&lt;="&amp;$B229,BD!$N$3:$N$5001,"&lt;&gt;"))))</f>
        <v/>
      </c>
      <c r="V229" s="43" t="str">
        <f>IF(OR($B229="",$A229&gt;$B$9,V$219=""),"",IF(COUNTIFS(BD!$B$3:$B$5001,V$219,BD!$A$3:$A$5001,"&gt;="&amp;$C$7,BD!$A$3:$A$5001,"&lt;="&amp;$B229,BD!$N$3:$N$5001,"&lt;&gt;")=0,"",SUMIFS(BD!$N$3:$N$5001,BD!$B$3:$B$5001,V$219,BD!$A$3:$A$5001,_xlfn.MAXIFS(BD!$A$3:$A$5001,BD!$B$3:$B$5001,V$219,BD!$A$3:$A$5001,"&gt;="&amp;$C$7,BD!$A$3:$A$5001,"&lt;="&amp;$B229,BD!$N$3:$N$5001,"&lt;&gt;"))))</f>
        <v/>
      </c>
    </row>
    <row r="230">
      <c r="A230" s="38">
        <v>11</v>
      </c>
      <c r="B230" s="42">
        <f>$B$22</f>
        <v>46306</v>
      </c>
      <c r="C230" s="43" t="str">
        <f>IF(OR($B230="",$A230&gt;$B$9,C$219=""),"",IF(COUNTIFS(BD!$B$3:$B$5001,C$219,BD!$A$3:$A$5001,"&gt;="&amp;$C$7,BD!$A$3:$A$5001,"&lt;="&amp;$B230,BD!$N$3:$N$5001,"&lt;&gt;")=0,"",SUMIFS(BD!$N$3:$N$5001,BD!$B$3:$B$5001,C$219,BD!$A$3:$A$5001,_xlfn.MAXIFS(BD!$A$3:$A$5001,BD!$B$3:$B$5001,C$219,BD!$A$3:$A$5001,"&gt;="&amp;$C$7,BD!$A$3:$A$5001,"&lt;="&amp;$B230,BD!$N$3:$N$5001,"&lt;&gt;"))))</f>
        <v/>
      </c>
      <c r="D230" s="43" t="str">
        <f>IF(OR($B230="",$A230&gt;$B$9,D$219=""),"",IF(COUNTIFS(BD!$B$3:$B$5001,D$219,BD!$A$3:$A$5001,"&gt;="&amp;$C$7,BD!$A$3:$A$5001,"&lt;="&amp;$B230,BD!$N$3:$N$5001,"&lt;&gt;")=0,"",SUMIFS(BD!$N$3:$N$5001,BD!$B$3:$B$5001,D$219,BD!$A$3:$A$5001,_xlfn.MAXIFS(BD!$A$3:$A$5001,BD!$B$3:$B$5001,D$219,BD!$A$3:$A$5001,"&gt;="&amp;$C$7,BD!$A$3:$A$5001,"&lt;="&amp;$B230,BD!$N$3:$N$5001,"&lt;&gt;"))))</f>
        <v/>
      </c>
      <c r="E230" s="43" t="str">
        <f>IF(OR($B230="",$A230&gt;$B$9,E$219=""),"",IF(COUNTIFS(BD!$B$3:$B$5001,E$219,BD!$A$3:$A$5001,"&gt;="&amp;$C$7,BD!$A$3:$A$5001,"&lt;="&amp;$B230,BD!$N$3:$N$5001,"&lt;&gt;")=0,"",SUMIFS(BD!$N$3:$N$5001,BD!$B$3:$B$5001,E$219,BD!$A$3:$A$5001,_xlfn.MAXIFS(BD!$A$3:$A$5001,BD!$B$3:$B$5001,E$219,BD!$A$3:$A$5001,"&gt;="&amp;$C$7,BD!$A$3:$A$5001,"&lt;="&amp;$B230,BD!$N$3:$N$5001,"&lt;&gt;"))))</f>
        <v/>
      </c>
      <c r="F230" s="43" t="str">
        <f>IF(OR($B230="",$A230&gt;$B$9,F$219=""),"",IF(COUNTIFS(BD!$B$3:$B$5001,F$219,BD!$A$3:$A$5001,"&gt;="&amp;$C$7,BD!$A$3:$A$5001,"&lt;="&amp;$B230,BD!$N$3:$N$5001,"&lt;&gt;")=0,"",SUMIFS(BD!$N$3:$N$5001,BD!$B$3:$B$5001,F$219,BD!$A$3:$A$5001,_xlfn.MAXIFS(BD!$A$3:$A$5001,BD!$B$3:$B$5001,F$219,BD!$A$3:$A$5001,"&gt;="&amp;$C$7,BD!$A$3:$A$5001,"&lt;="&amp;$B230,BD!$N$3:$N$5001,"&lt;&gt;"))))</f>
        <v/>
      </c>
      <c r="G230" s="43" t="str">
        <f>IF(OR($B230="",$A230&gt;$B$9,G$219=""),"",IF(COUNTIFS(BD!$B$3:$B$5001,G$219,BD!$A$3:$A$5001,"&gt;="&amp;$C$7,BD!$A$3:$A$5001,"&lt;="&amp;$B230,BD!$N$3:$N$5001,"&lt;&gt;")=0,"",SUMIFS(BD!$N$3:$N$5001,BD!$B$3:$B$5001,G$219,BD!$A$3:$A$5001,_xlfn.MAXIFS(BD!$A$3:$A$5001,BD!$B$3:$B$5001,G$219,BD!$A$3:$A$5001,"&gt;="&amp;$C$7,BD!$A$3:$A$5001,"&lt;="&amp;$B230,BD!$N$3:$N$5001,"&lt;&gt;"))))</f>
        <v/>
      </c>
      <c r="H230" s="43" t="str">
        <f>IF(OR($B230="",$A230&gt;$B$9,H$219=""),"",IF(COUNTIFS(BD!$B$3:$B$5001,H$219,BD!$A$3:$A$5001,"&gt;="&amp;$C$7,BD!$A$3:$A$5001,"&lt;="&amp;$B230,BD!$N$3:$N$5001,"&lt;&gt;")=0,"",SUMIFS(BD!$N$3:$N$5001,BD!$B$3:$B$5001,H$219,BD!$A$3:$A$5001,_xlfn.MAXIFS(BD!$A$3:$A$5001,BD!$B$3:$B$5001,H$219,BD!$A$3:$A$5001,"&gt;="&amp;$C$7,BD!$A$3:$A$5001,"&lt;="&amp;$B230,BD!$N$3:$N$5001,"&lt;&gt;"))))</f>
        <v/>
      </c>
      <c r="I230" s="43" t="str">
        <f>IF(OR($B230="",$A230&gt;$B$9,I$219=""),"",IF(COUNTIFS(BD!$B$3:$B$5001,I$219,BD!$A$3:$A$5001,"&gt;="&amp;$C$7,BD!$A$3:$A$5001,"&lt;="&amp;$B230,BD!$N$3:$N$5001,"&lt;&gt;")=0,"",SUMIFS(BD!$N$3:$N$5001,BD!$B$3:$B$5001,I$219,BD!$A$3:$A$5001,_xlfn.MAXIFS(BD!$A$3:$A$5001,BD!$B$3:$B$5001,I$219,BD!$A$3:$A$5001,"&gt;="&amp;$C$7,BD!$A$3:$A$5001,"&lt;="&amp;$B230,BD!$N$3:$N$5001,"&lt;&gt;"))))</f>
        <v/>
      </c>
      <c r="J230" s="43" t="str">
        <f>IF(OR($B230="",$A230&gt;$B$9,J$219=""),"",IF(COUNTIFS(BD!$B$3:$B$5001,J$219,BD!$A$3:$A$5001,"&gt;="&amp;$C$7,BD!$A$3:$A$5001,"&lt;="&amp;$B230,BD!$N$3:$N$5001,"&lt;&gt;")=0,"",SUMIFS(BD!$N$3:$N$5001,BD!$B$3:$B$5001,J$219,BD!$A$3:$A$5001,_xlfn.MAXIFS(BD!$A$3:$A$5001,BD!$B$3:$B$5001,J$219,BD!$A$3:$A$5001,"&gt;="&amp;$C$7,BD!$A$3:$A$5001,"&lt;="&amp;$B230,BD!$N$3:$N$5001,"&lt;&gt;"))))</f>
        <v/>
      </c>
      <c r="K230" s="43" t="str">
        <f>IF(OR($B230="",$A230&gt;$B$9,K$219=""),"",IF(COUNTIFS(BD!$B$3:$B$5001,K$219,BD!$A$3:$A$5001,"&gt;="&amp;$C$7,BD!$A$3:$A$5001,"&lt;="&amp;$B230,BD!$N$3:$N$5001,"&lt;&gt;")=0,"",SUMIFS(BD!$N$3:$N$5001,BD!$B$3:$B$5001,K$219,BD!$A$3:$A$5001,_xlfn.MAXIFS(BD!$A$3:$A$5001,BD!$B$3:$B$5001,K$219,BD!$A$3:$A$5001,"&gt;="&amp;$C$7,BD!$A$3:$A$5001,"&lt;="&amp;$B230,BD!$N$3:$N$5001,"&lt;&gt;"))))</f>
        <v/>
      </c>
      <c r="L230" s="43" t="str">
        <f>IF(OR($B230="",$A230&gt;$B$9,L$219=""),"",IF(COUNTIFS(BD!$B$3:$B$5001,L$219,BD!$A$3:$A$5001,"&gt;="&amp;$C$7,BD!$A$3:$A$5001,"&lt;="&amp;$B230,BD!$N$3:$N$5001,"&lt;&gt;")=0,"",SUMIFS(BD!$N$3:$N$5001,BD!$B$3:$B$5001,L$219,BD!$A$3:$A$5001,_xlfn.MAXIFS(BD!$A$3:$A$5001,BD!$B$3:$B$5001,L$219,BD!$A$3:$A$5001,"&gt;="&amp;$C$7,BD!$A$3:$A$5001,"&lt;="&amp;$B230,BD!$N$3:$N$5001,"&lt;&gt;"))))</f>
        <v/>
      </c>
      <c r="M230" s="43" t="str">
        <f>IF(OR($B230="",$A230&gt;$B$9,M$219=""),"",IF(COUNTIFS(BD!$B$3:$B$5001,M$219,BD!$A$3:$A$5001,"&gt;="&amp;$C$7,BD!$A$3:$A$5001,"&lt;="&amp;$B230,BD!$N$3:$N$5001,"&lt;&gt;")=0,"",SUMIFS(BD!$N$3:$N$5001,BD!$B$3:$B$5001,M$219,BD!$A$3:$A$5001,_xlfn.MAXIFS(BD!$A$3:$A$5001,BD!$B$3:$B$5001,M$219,BD!$A$3:$A$5001,"&gt;="&amp;$C$7,BD!$A$3:$A$5001,"&lt;="&amp;$B230,BD!$N$3:$N$5001,"&lt;&gt;"))))</f>
        <v/>
      </c>
      <c r="N230" s="43" t="str">
        <f>IF(OR($B230="",$A230&gt;$B$9,N$219=""),"",IF(COUNTIFS(BD!$B$3:$B$5001,N$219,BD!$A$3:$A$5001,"&gt;="&amp;$C$7,BD!$A$3:$A$5001,"&lt;="&amp;$B230,BD!$N$3:$N$5001,"&lt;&gt;")=0,"",SUMIFS(BD!$N$3:$N$5001,BD!$B$3:$B$5001,N$219,BD!$A$3:$A$5001,_xlfn.MAXIFS(BD!$A$3:$A$5001,BD!$B$3:$B$5001,N$219,BD!$A$3:$A$5001,"&gt;="&amp;$C$7,BD!$A$3:$A$5001,"&lt;="&amp;$B230,BD!$N$3:$N$5001,"&lt;&gt;"))))</f>
        <v/>
      </c>
      <c r="O230" s="43" t="str">
        <f>IF(OR($B230="",$A230&gt;$B$9,O$219=""),"",IF(COUNTIFS(BD!$B$3:$B$5001,O$219,BD!$A$3:$A$5001,"&gt;="&amp;$C$7,BD!$A$3:$A$5001,"&lt;="&amp;$B230,BD!$N$3:$N$5001,"&lt;&gt;")=0,"",SUMIFS(BD!$N$3:$N$5001,BD!$B$3:$B$5001,O$219,BD!$A$3:$A$5001,_xlfn.MAXIFS(BD!$A$3:$A$5001,BD!$B$3:$B$5001,O$219,BD!$A$3:$A$5001,"&gt;="&amp;$C$7,BD!$A$3:$A$5001,"&lt;="&amp;$B230,BD!$N$3:$N$5001,"&lt;&gt;"))))</f>
        <v/>
      </c>
      <c r="P230" s="43" t="str">
        <f>IF(OR($B230="",$A230&gt;$B$9,P$219=""),"",IF(COUNTIFS(BD!$B$3:$B$5001,P$219,BD!$A$3:$A$5001,"&gt;="&amp;$C$7,BD!$A$3:$A$5001,"&lt;="&amp;$B230,BD!$N$3:$N$5001,"&lt;&gt;")=0,"",SUMIFS(BD!$N$3:$N$5001,BD!$B$3:$B$5001,P$219,BD!$A$3:$A$5001,_xlfn.MAXIFS(BD!$A$3:$A$5001,BD!$B$3:$B$5001,P$219,BD!$A$3:$A$5001,"&gt;="&amp;$C$7,BD!$A$3:$A$5001,"&lt;="&amp;$B230,BD!$N$3:$N$5001,"&lt;&gt;"))))</f>
        <v/>
      </c>
      <c r="Q230" s="43" t="str">
        <f>IF(OR($B230="",$A230&gt;$B$9,Q$219=""),"",IF(COUNTIFS(BD!$B$3:$B$5001,Q$219,BD!$A$3:$A$5001,"&gt;="&amp;$C$7,BD!$A$3:$A$5001,"&lt;="&amp;$B230,BD!$N$3:$N$5001,"&lt;&gt;")=0,"",SUMIFS(BD!$N$3:$N$5001,BD!$B$3:$B$5001,Q$219,BD!$A$3:$A$5001,_xlfn.MAXIFS(BD!$A$3:$A$5001,BD!$B$3:$B$5001,Q$219,BD!$A$3:$A$5001,"&gt;="&amp;$C$7,BD!$A$3:$A$5001,"&lt;="&amp;$B230,BD!$N$3:$N$5001,"&lt;&gt;"))))</f>
        <v/>
      </c>
      <c r="R230" s="43" t="str">
        <f>IF(OR($B230="",$A230&gt;$B$9,R$219=""),"",IF(COUNTIFS(BD!$B$3:$B$5001,R$219,BD!$A$3:$A$5001,"&gt;="&amp;$C$7,BD!$A$3:$A$5001,"&lt;="&amp;$B230,BD!$N$3:$N$5001,"&lt;&gt;")=0,"",SUMIFS(BD!$N$3:$N$5001,BD!$B$3:$B$5001,R$219,BD!$A$3:$A$5001,_xlfn.MAXIFS(BD!$A$3:$A$5001,BD!$B$3:$B$5001,R$219,BD!$A$3:$A$5001,"&gt;="&amp;$C$7,BD!$A$3:$A$5001,"&lt;="&amp;$B230,BD!$N$3:$N$5001,"&lt;&gt;"))))</f>
        <v/>
      </c>
      <c r="S230" s="43" t="str">
        <f>IF(OR($B230="",$A230&gt;$B$9,S$219=""),"",IF(COUNTIFS(BD!$B$3:$B$5001,S$219,BD!$A$3:$A$5001,"&gt;="&amp;$C$7,BD!$A$3:$A$5001,"&lt;="&amp;$B230,BD!$N$3:$N$5001,"&lt;&gt;")=0,"",SUMIFS(BD!$N$3:$N$5001,BD!$B$3:$B$5001,S$219,BD!$A$3:$A$5001,_xlfn.MAXIFS(BD!$A$3:$A$5001,BD!$B$3:$B$5001,S$219,BD!$A$3:$A$5001,"&gt;="&amp;$C$7,BD!$A$3:$A$5001,"&lt;="&amp;$B230,BD!$N$3:$N$5001,"&lt;&gt;"))))</f>
        <v/>
      </c>
      <c r="T230" s="43" t="str">
        <f>IF(OR($B230="",$A230&gt;$B$9,T$219=""),"",IF(COUNTIFS(BD!$B$3:$B$5001,T$219,BD!$A$3:$A$5001,"&gt;="&amp;$C$7,BD!$A$3:$A$5001,"&lt;="&amp;$B230,BD!$N$3:$N$5001,"&lt;&gt;")=0,"",SUMIFS(BD!$N$3:$N$5001,BD!$B$3:$B$5001,T$219,BD!$A$3:$A$5001,_xlfn.MAXIFS(BD!$A$3:$A$5001,BD!$B$3:$B$5001,T$219,BD!$A$3:$A$5001,"&gt;="&amp;$C$7,BD!$A$3:$A$5001,"&lt;="&amp;$B230,BD!$N$3:$N$5001,"&lt;&gt;"))))</f>
        <v/>
      </c>
      <c r="U230" s="43" t="str">
        <f>IF(OR($B230="",$A230&gt;$B$9,U$219=""),"",IF(COUNTIFS(BD!$B$3:$B$5001,U$219,BD!$A$3:$A$5001,"&gt;="&amp;$C$7,BD!$A$3:$A$5001,"&lt;="&amp;$B230,BD!$N$3:$N$5001,"&lt;&gt;")=0,"",SUMIFS(BD!$N$3:$N$5001,BD!$B$3:$B$5001,U$219,BD!$A$3:$A$5001,_xlfn.MAXIFS(BD!$A$3:$A$5001,BD!$B$3:$B$5001,U$219,BD!$A$3:$A$5001,"&gt;="&amp;$C$7,BD!$A$3:$A$5001,"&lt;="&amp;$B230,BD!$N$3:$N$5001,"&lt;&gt;"))))</f>
        <v/>
      </c>
      <c r="V230" s="43" t="str">
        <f>IF(OR($B230="",$A230&gt;$B$9,V$219=""),"",IF(COUNTIFS(BD!$B$3:$B$5001,V$219,BD!$A$3:$A$5001,"&gt;="&amp;$C$7,BD!$A$3:$A$5001,"&lt;="&amp;$B230,BD!$N$3:$N$5001,"&lt;&gt;")=0,"",SUMIFS(BD!$N$3:$N$5001,BD!$B$3:$B$5001,V$219,BD!$A$3:$A$5001,_xlfn.MAXIFS(BD!$A$3:$A$5001,BD!$B$3:$B$5001,V$219,BD!$A$3:$A$5001,"&gt;="&amp;$C$7,BD!$A$3:$A$5001,"&lt;="&amp;$B230,BD!$N$3:$N$5001,"&lt;&gt;"))))</f>
        <v/>
      </c>
    </row>
    <row r="231">
      <c r="A231" s="38">
        <v>12</v>
      </c>
      <c r="B231" s="42">
        <f>$B$23</f>
        <v>46307</v>
      </c>
      <c r="C231" s="43" t="str">
        <f>IF(OR($B231="",$A231&gt;$B$9,C$219=""),"",IF(COUNTIFS(BD!$B$3:$B$5001,C$219,BD!$A$3:$A$5001,"&gt;="&amp;$C$7,BD!$A$3:$A$5001,"&lt;="&amp;$B231,BD!$N$3:$N$5001,"&lt;&gt;")=0,"",SUMIFS(BD!$N$3:$N$5001,BD!$B$3:$B$5001,C$219,BD!$A$3:$A$5001,_xlfn.MAXIFS(BD!$A$3:$A$5001,BD!$B$3:$B$5001,C$219,BD!$A$3:$A$5001,"&gt;="&amp;$C$7,BD!$A$3:$A$5001,"&lt;="&amp;$B231,BD!$N$3:$N$5001,"&lt;&gt;"))))</f>
        <v/>
      </c>
      <c r="D231" s="43" t="str">
        <f>IF(OR($B231="",$A231&gt;$B$9,D$219=""),"",IF(COUNTIFS(BD!$B$3:$B$5001,D$219,BD!$A$3:$A$5001,"&gt;="&amp;$C$7,BD!$A$3:$A$5001,"&lt;="&amp;$B231,BD!$N$3:$N$5001,"&lt;&gt;")=0,"",SUMIFS(BD!$N$3:$N$5001,BD!$B$3:$B$5001,D$219,BD!$A$3:$A$5001,_xlfn.MAXIFS(BD!$A$3:$A$5001,BD!$B$3:$B$5001,D$219,BD!$A$3:$A$5001,"&gt;="&amp;$C$7,BD!$A$3:$A$5001,"&lt;="&amp;$B231,BD!$N$3:$N$5001,"&lt;&gt;"))))</f>
        <v/>
      </c>
      <c r="E231" s="43" t="str">
        <f>IF(OR($B231="",$A231&gt;$B$9,E$219=""),"",IF(COUNTIFS(BD!$B$3:$B$5001,E$219,BD!$A$3:$A$5001,"&gt;="&amp;$C$7,BD!$A$3:$A$5001,"&lt;="&amp;$B231,BD!$N$3:$N$5001,"&lt;&gt;")=0,"",SUMIFS(BD!$N$3:$N$5001,BD!$B$3:$B$5001,E$219,BD!$A$3:$A$5001,_xlfn.MAXIFS(BD!$A$3:$A$5001,BD!$B$3:$B$5001,E$219,BD!$A$3:$A$5001,"&gt;="&amp;$C$7,BD!$A$3:$A$5001,"&lt;="&amp;$B231,BD!$N$3:$N$5001,"&lt;&gt;"))))</f>
        <v/>
      </c>
      <c r="F231" s="43" t="str">
        <f>IF(OR($B231="",$A231&gt;$B$9,F$219=""),"",IF(COUNTIFS(BD!$B$3:$B$5001,F$219,BD!$A$3:$A$5001,"&gt;="&amp;$C$7,BD!$A$3:$A$5001,"&lt;="&amp;$B231,BD!$N$3:$N$5001,"&lt;&gt;")=0,"",SUMIFS(BD!$N$3:$N$5001,BD!$B$3:$B$5001,F$219,BD!$A$3:$A$5001,_xlfn.MAXIFS(BD!$A$3:$A$5001,BD!$B$3:$B$5001,F$219,BD!$A$3:$A$5001,"&gt;="&amp;$C$7,BD!$A$3:$A$5001,"&lt;="&amp;$B231,BD!$N$3:$N$5001,"&lt;&gt;"))))</f>
        <v/>
      </c>
      <c r="G231" s="43" t="str">
        <f>IF(OR($B231="",$A231&gt;$B$9,G$219=""),"",IF(COUNTIFS(BD!$B$3:$B$5001,G$219,BD!$A$3:$A$5001,"&gt;="&amp;$C$7,BD!$A$3:$A$5001,"&lt;="&amp;$B231,BD!$N$3:$N$5001,"&lt;&gt;")=0,"",SUMIFS(BD!$N$3:$N$5001,BD!$B$3:$B$5001,G$219,BD!$A$3:$A$5001,_xlfn.MAXIFS(BD!$A$3:$A$5001,BD!$B$3:$B$5001,G$219,BD!$A$3:$A$5001,"&gt;="&amp;$C$7,BD!$A$3:$A$5001,"&lt;="&amp;$B231,BD!$N$3:$N$5001,"&lt;&gt;"))))</f>
        <v/>
      </c>
      <c r="H231" s="43" t="str">
        <f>IF(OR($B231="",$A231&gt;$B$9,H$219=""),"",IF(COUNTIFS(BD!$B$3:$B$5001,H$219,BD!$A$3:$A$5001,"&gt;="&amp;$C$7,BD!$A$3:$A$5001,"&lt;="&amp;$B231,BD!$N$3:$N$5001,"&lt;&gt;")=0,"",SUMIFS(BD!$N$3:$N$5001,BD!$B$3:$B$5001,H$219,BD!$A$3:$A$5001,_xlfn.MAXIFS(BD!$A$3:$A$5001,BD!$B$3:$B$5001,H$219,BD!$A$3:$A$5001,"&gt;="&amp;$C$7,BD!$A$3:$A$5001,"&lt;="&amp;$B231,BD!$N$3:$N$5001,"&lt;&gt;"))))</f>
        <v/>
      </c>
      <c r="I231" s="43" t="str">
        <f>IF(OR($B231="",$A231&gt;$B$9,I$219=""),"",IF(COUNTIFS(BD!$B$3:$B$5001,I$219,BD!$A$3:$A$5001,"&gt;="&amp;$C$7,BD!$A$3:$A$5001,"&lt;="&amp;$B231,BD!$N$3:$N$5001,"&lt;&gt;")=0,"",SUMIFS(BD!$N$3:$N$5001,BD!$B$3:$B$5001,I$219,BD!$A$3:$A$5001,_xlfn.MAXIFS(BD!$A$3:$A$5001,BD!$B$3:$B$5001,I$219,BD!$A$3:$A$5001,"&gt;="&amp;$C$7,BD!$A$3:$A$5001,"&lt;="&amp;$B231,BD!$N$3:$N$5001,"&lt;&gt;"))))</f>
        <v/>
      </c>
      <c r="J231" s="43" t="str">
        <f>IF(OR($B231="",$A231&gt;$B$9,J$219=""),"",IF(COUNTIFS(BD!$B$3:$B$5001,J$219,BD!$A$3:$A$5001,"&gt;="&amp;$C$7,BD!$A$3:$A$5001,"&lt;="&amp;$B231,BD!$N$3:$N$5001,"&lt;&gt;")=0,"",SUMIFS(BD!$N$3:$N$5001,BD!$B$3:$B$5001,J$219,BD!$A$3:$A$5001,_xlfn.MAXIFS(BD!$A$3:$A$5001,BD!$B$3:$B$5001,J$219,BD!$A$3:$A$5001,"&gt;="&amp;$C$7,BD!$A$3:$A$5001,"&lt;="&amp;$B231,BD!$N$3:$N$5001,"&lt;&gt;"))))</f>
        <v/>
      </c>
      <c r="K231" s="43" t="str">
        <f>IF(OR($B231="",$A231&gt;$B$9,K$219=""),"",IF(COUNTIFS(BD!$B$3:$B$5001,K$219,BD!$A$3:$A$5001,"&gt;="&amp;$C$7,BD!$A$3:$A$5001,"&lt;="&amp;$B231,BD!$N$3:$N$5001,"&lt;&gt;")=0,"",SUMIFS(BD!$N$3:$N$5001,BD!$B$3:$B$5001,K$219,BD!$A$3:$A$5001,_xlfn.MAXIFS(BD!$A$3:$A$5001,BD!$B$3:$B$5001,K$219,BD!$A$3:$A$5001,"&gt;="&amp;$C$7,BD!$A$3:$A$5001,"&lt;="&amp;$B231,BD!$N$3:$N$5001,"&lt;&gt;"))))</f>
        <v/>
      </c>
      <c r="L231" s="43" t="str">
        <f>IF(OR($B231="",$A231&gt;$B$9,L$219=""),"",IF(COUNTIFS(BD!$B$3:$B$5001,L$219,BD!$A$3:$A$5001,"&gt;="&amp;$C$7,BD!$A$3:$A$5001,"&lt;="&amp;$B231,BD!$N$3:$N$5001,"&lt;&gt;")=0,"",SUMIFS(BD!$N$3:$N$5001,BD!$B$3:$B$5001,L$219,BD!$A$3:$A$5001,_xlfn.MAXIFS(BD!$A$3:$A$5001,BD!$B$3:$B$5001,L$219,BD!$A$3:$A$5001,"&gt;="&amp;$C$7,BD!$A$3:$A$5001,"&lt;="&amp;$B231,BD!$N$3:$N$5001,"&lt;&gt;"))))</f>
        <v/>
      </c>
      <c r="M231" s="43" t="str">
        <f>IF(OR($B231="",$A231&gt;$B$9,M$219=""),"",IF(COUNTIFS(BD!$B$3:$B$5001,M$219,BD!$A$3:$A$5001,"&gt;="&amp;$C$7,BD!$A$3:$A$5001,"&lt;="&amp;$B231,BD!$N$3:$N$5001,"&lt;&gt;")=0,"",SUMIFS(BD!$N$3:$N$5001,BD!$B$3:$B$5001,M$219,BD!$A$3:$A$5001,_xlfn.MAXIFS(BD!$A$3:$A$5001,BD!$B$3:$B$5001,M$219,BD!$A$3:$A$5001,"&gt;="&amp;$C$7,BD!$A$3:$A$5001,"&lt;="&amp;$B231,BD!$N$3:$N$5001,"&lt;&gt;"))))</f>
        <v/>
      </c>
      <c r="N231" s="43" t="str">
        <f>IF(OR($B231="",$A231&gt;$B$9,N$219=""),"",IF(COUNTIFS(BD!$B$3:$B$5001,N$219,BD!$A$3:$A$5001,"&gt;="&amp;$C$7,BD!$A$3:$A$5001,"&lt;="&amp;$B231,BD!$N$3:$N$5001,"&lt;&gt;")=0,"",SUMIFS(BD!$N$3:$N$5001,BD!$B$3:$B$5001,N$219,BD!$A$3:$A$5001,_xlfn.MAXIFS(BD!$A$3:$A$5001,BD!$B$3:$B$5001,N$219,BD!$A$3:$A$5001,"&gt;="&amp;$C$7,BD!$A$3:$A$5001,"&lt;="&amp;$B231,BD!$N$3:$N$5001,"&lt;&gt;"))))</f>
        <v/>
      </c>
      <c r="O231" s="43" t="str">
        <f>IF(OR($B231="",$A231&gt;$B$9,O$219=""),"",IF(COUNTIFS(BD!$B$3:$B$5001,O$219,BD!$A$3:$A$5001,"&gt;="&amp;$C$7,BD!$A$3:$A$5001,"&lt;="&amp;$B231,BD!$N$3:$N$5001,"&lt;&gt;")=0,"",SUMIFS(BD!$N$3:$N$5001,BD!$B$3:$B$5001,O$219,BD!$A$3:$A$5001,_xlfn.MAXIFS(BD!$A$3:$A$5001,BD!$B$3:$B$5001,O$219,BD!$A$3:$A$5001,"&gt;="&amp;$C$7,BD!$A$3:$A$5001,"&lt;="&amp;$B231,BD!$N$3:$N$5001,"&lt;&gt;"))))</f>
        <v/>
      </c>
      <c r="P231" s="43" t="str">
        <f>IF(OR($B231="",$A231&gt;$B$9,P$219=""),"",IF(COUNTIFS(BD!$B$3:$B$5001,P$219,BD!$A$3:$A$5001,"&gt;="&amp;$C$7,BD!$A$3:$A$5001,"&lt;="&amp;$B231,BD!$N$3:$N$5001,"&lt;&gt;")=0,"",SUMIFS(BD!$N$3:$N$5001,BD!$B$3:$B$5001,P$219,BD!$A$3:$A$5001,_xlfn.MAXIFS(BD!$A$3:$A$5001,BD!$B$3:$B$5001,P$219,BD!$A$3:$A$5001,"&gt;="&amp;$C$7,BD!$A$3:$A$5001,"&lt;="&amp;$B231,BD!$N$3:$N$5001,"&lt;&gt;"))))</f>
        <v/>
      </c>
      <c r="Q231" s="43" t="str">
        <f>IF(OR($B231="",$A231&gt;$B$9,Q$219=""),"",IF(COUNTIFS(BD!$B$3:$B$5001,Q$219,BD!$A$3:$A$5001,"&gt;="&amp;$C$7,BD!$A$3:$A$5001,"&lt;="&amp;$B231,BD!$N$3:$N$5001,"&lt;&gt;")=0,"",SUMIFS(BD!$N$3:$N$5001,BD!$B$3:$B$5001,Q$219,BD!$A$3:$A$5001,_xlfn.MAXIFS(BD!$A$3:$A$5001,BD!$B$3:$B$5001,Q$219,BD!$A$3:$A$5001,"&gt;="&amp;$C$7,BD!$A$3:$A$5001,"&lt;="&amp;$B231,BD!$N$3:$N$5001,"&lt;&gt;"))))</f>
        <v/>
      </c>
      <c r="R231" s="43" t="str">
        <f>IF(OR($B231="",$A231&gt;$B$9,R$219=""),"",IF(COUNTIFS(BD!$B$3:$B$5001,R$219,BD!$A$3:$A$5001,"&gt;="&amp;$C$7,BD!$A$3:$A$5001,"&lt;="&amp;$B231,BD!$N$3:$N$5001,"&lt;&gt;")=0,"",SUMIFS(BD!$N$3:$N$5001,BD!$B$3:$B$5001,R$219,BD!$A$3:$A$5001,_xlfn.MAXIFS(BD!$A$3:$A$5001,BD!$B$3:$B$5001,R$219,BD!$A$3:$A$5001,"&gt;="&amp;$C$7,BD!$A$3:$A$5001,"&lt;="&amp;$B231,BD!$N$3:$N$5001,"&lt;&gt;"))))</f>
        <v/>
      </c>
      <c r="S231" s="43" t="str">
        <f>IF(OR($B231="",$A231&gt;$B$9,S$219=""),"",IF(COUNTIFS(BD!$B$3:$B$5001,S$219,BD!$A$3:$A$5001,"&gt;="&amp;$C$7,BD!$A$3:$A$5001,"&lt;="&amp;$B231,BD!$N$3:$N$5001,"&lt;&gt;")=0,"",SUMIFS(BD!$N$3:$N$5001,BD!$B$3:$B$5001,S$219,BD!$A$3:$A$5001,_xlfn.MAXIFS(BD!$A$3:$A$5001,BD!$B$3:$B$5001,S$219,BD!$A$3:$A$5001,"&gt;="&amp;$C$7,BD!$A$3:$A$5001,"&lt;="&amp;$B231,BD!$N$3:$N$5001,"&lt;&gt;"))))</f>
        <v/>
      </c>
      <c r="T231" s="43" t="str">
        <f>IF(OR($B231="",$A231&gt;$B$9,T$219=""),"",IF(COUNTIFS(BD!$B$3:$B$5001,T$219,BD!$A$3:$A$5001,"&gt;="&amp;$C$7,BD!$A$3:$A$5001,"&lt;="&amp;$B231,BD!$N$3:$N$5001,"&lt;&gt;")=0,"",SUMIFS(BD!$N$3:$N$5001,BD!$B$3:$B$5001,T$219,BD!$A$3:$A$5001,_xlfn.MAXIFS(BD!$A$3:$A$5001,BD!$B$3:$B$5001,T$219,BD!$A$3:$A$5001,"&gt;="&amp;$C$7,BD!$A$3:$A$5001,"&lt;="&amp;$B231,BD!$N$3:$N$5001,"&lt;&gt;"))))</f>
        <v/>
      </c>
      <c r="U231" s="43" t="str">
        <f>IF(OR($B231="",$A231&gt;$B$9,U$219=""),"",IF(COUNTIFS(BD!$B$3:$B$5001,U$219,BD!$A$3:$A$5001,"&gt;="&amp;$C$7,BD!$A$3:$A$5001,"&lt;="&amp;$B231,BD!$N$3:$N$5001,"&lt;&gt;")=0,"",SUMIFS(BD!$N$3:$N$5001,BD!$B$3:$B$5001,U$219,BD!$A$3:$A$5001,_xlfn.MAXIFS(BD!$A$3:$A$5001,BD!$B$3:$B$5001,U$219,BD!$A$3:$A$5001,"&gt;="&amp;$C$7,BD!$A$3:$A$5001,"&lt;="&amp;$B231,BD!$N$3:$N$5001,"&lt;&gt;"))))</f>
        <v/>
      </c>
      <c r="V231" s="43" t="str">
        <f>IF(OR($B231="",$A231&gt;$B$9,V$219=""),"",IF(COUNTIFS(BD!$B$3:$B$5001,V$219,BD!$A$3:$A$5001,"&gt;="&amp;$C$7,BD!$A$3:$A$5001,"&lt;="&amp;$B231,BD!$N$3:$N$5001,"&lt;&gt;")=0,"",SUMIFS(BD!$N$3:$N$5001,BD!$B$3:$B$5001,V$219,BD!$A$3:$A$5001,_xlfn.MAXIFS(BD!$A$3:$A$5001,BD!$B$3:$B$5001,V$219,BD!$A$3:$A$5001,"&gt;="&amp;$C$7,BD!$A$3:$A$5001,"&lt;="&amp;$B231,BD!$N$3:$N$5001,"&lt;&gt;"))))</f>
        <v/>
      </c>
    </row>
    <row r="232">
      <c r="A232" s="38">
        <v>13</v>
      </c>
      <c r="B232" s="42">
        <f>$B$24</f>
        <v>46308</v>
      </c>
      <c r="C232" s="43" t="str">
        <f>IF(OR($B232="",$A232&gt;$B$9,C$219=""),"",IF(COUNTIFS(BD!$B$3:$B$5001,C$219,BD!$A$3:$A$5001,"&gt;="&amp;$C$7,BD!$A$3:$A$5001,"&lt;="&amp;$B232,BD!$N$3:$N$5001,"&lt;&gt;")=0,"",SUMIFS(BD!$N$3:$N$5001,BD!$B$3:$B$5001,C$219,BD!$A$3:$A$5001,_xlfn.MAXIFS(BD!$A$3:$A$5001,BD!$B$3:$B$5001,C$219,BD!$A$3:$A$5001,"&gt;="&amp;$C$7,BD!$A$3:$A$5001,"&lt;="&amp;$B232,BD!$N$3:$N$5001,"&lt;&gt;"))))</f>
        <v/>
      </c>
      <c r="D232" s="43" t="str">
        <f>IF(OR($B232="",$A232&gt;$B$9,D$219=""),"",IF(COUNTIFS(BD!$B$3:$B$5001,D$219,BD!$A$3:$A$5001,"&gt;="&amp;$C$7,BD!$A$3:$A$5001,"&lt;="&amp;$B232,BD!$N$3:$N$5001,"&lt;&gt;")=0,"",SUMIFS(BD!$N$3:$N$5001,BD!$B$3:$B$5001,D$219,BD!$A$3:$A$5001,_xlfn.MAXIFS(BD!$A$3:$A$5001,BD!$B$3:$B$5001,D$219,BD!$A$3:$A$5001,"&gt;="&amp;$C$7,BD!$A$3:$A$5001,"&lt;="&amp;$B232,BD!$N$3:$N$5001,"&lt;&gt;"))))</f>
        <v/>
      </c>
      <c r="E232" s="43" t="str">
        <f>IF(OR($B232="",$A232&gt;$B$9,E$219=""),"",IF(COUNTIFS(BD!$B$3:$B$5001,E$219,BD!$A$3:$A$5001,"&gt;="&amp;$C$7,BD!$A$3:$A$5001,"&lt;="&amp;$B232,BD!$N$3:$N$5001,"&lt;&gt;")=0,"",SUMIFS(BD!$N$3:$N$5001,BD!$B$3:$B$5001,E$219,BD!$A$3:$A$5001,_xlfn.MAXIFS(BD!$A$3:$A$5001,BD!$B$3:$B$5001,E$219,BD!$A$3:$A$5001,"&gt;="&amp;$C$7,BD!$A$3:$A$5001,"&lt;="&amp;$B232,BD!$N$3:$N$5001,"&lt;&gt;"))))</f>
        <v/>
      </c>
      <c r="F232" s="43" t="str">
        <f>IF(OR($B232="",$A232&gt;$B$9,F$219=""),"",IF(COUNTIFS(BD!$B$3:$B$5001,F$219,BD!$A$3:$A$5001,"&gt;="&amp;$C$7,BD!$A$3:$A$5001,"&lt;="&amp;$B232,BD!$N$3:$N$5001,"&lt;&gt;")=0,"",SUMIFS(BD!$N$3:$N$5001,BD!$B$3:$B$5001,F$219,BD!$A$3:$A$5001,_xlfn.MAXIFS(BD!$A$3:$A$5001,BD!$B$3:$B$5001,F$219,BD!$A$3:$A$5001,"&gt;="&amp;$C$7,BD!$A$3:$A$5001,"&lt;="&amp;$B232,BD!$N$3:$N$5001,"&lt;&gt;"))))</f>
        <v/>
      </c>
      <c r="G232" s="43" t="str">
        <f>IF(OR($B232="",$A232&gt;$B$9,G$219=""),"",IF(COUNTIFS(BD!$B$3:$B$5001,G$219,BD!$A$3:$A$5001,"&gt;="&amp;$C$7,BD!$A$3:$A$5001,"&lt;="&amp;$B232,BD!$N$3:$N$5001,"&lt;&gt;")=0,"",SUMIFS(BD!$N$3:$N$5001,BD!$B$3:$B$5001,G$219,BD!$A$3:$A$5001,_xlfn.MAXIFS(BD!$A$3:$A$5001,BD!$B$3:$B$5001,G$219,BD!$A$3:$A$5001,"&gt;="&amp;$C$7,BD!$A$3:$A$5001,"&lt;="&amp;$B232,BD!$N$3:$N$5001,"&lt;&gt;"))))</f>
        <v/>
      </c>
      <c r="H232" s="43" t="str">
        <f>IF(OR($B232="",$A232&gt;$B$9,H$219=""),"",IF(COUNTIFS(BD!$B$3:$B$5001,H$219,BD!$A$3:$A$5001,"&gt;="&amp;$C$7,BD!$A$3:$A$5001,"&lt;="&amp;$B232,BD!$N$3:$N$5001,"&lt;&gt;")=0,"",SUMIFS(BD!$N$3:$N$5001,BD!$B$3:$B$5001,H$219,BD!$A$3:$A$5001,_xlfn.MAXIFS(BD!$A$3:$A$5001,BD!$B$3:$B$5001,H$219,BD!$A$3:$A$5001,"&gt;="&amp;$C$7,BD!$A$3:$A$5001,"&lt;="&amp;$B232,BD!$N$3:$N$5001,"&lt;&gt;"))))</f>
        <v/>
      </c>
      <c r="I232" s="43" t="str">
        <f>IF(OR($B232="",$A232&gt;$B$9,I$219=""),"",IF(COUNTIFS(BD!$B$3:$B$5001,I$219,BD!$A$3:$A$5001,"&gt;="&amp;$C$7,BD!$A$3:$A$5001,"&lt;="&amp;$B232,BD!$N$3:$N$5001,"&lt;&gt;")=0,"",SUMIFS(BD!$N$3:$N$5001,BD!$B$3:$B$5001,I$219,BD!$A$3:$A$5001,_xlfn.MAXIFS(BD!$A$3:$A$5001,BD!$B$3:$B$5001,I$219,BD!$A$3:$A$5001,"&gt;="&amp;$C$7,BD!$A$3:$A$5001,"&lt;="&amp;$B232,BD!$N$3:$N$5001,"&lt;&gt;"))))</f>
        <v/>
      </c>
      <c r="J232" s="43" t="str">
        <f>IF(OR($B232="",$A232&gt;$B$9,J$219=""),"",IF(COUNTIFS(BD!$B$3:$B$5001,J$219,BD!$A$3:$A$5001,"&gt;="&amp;$C$7,BD!$A$3:$A$5001,"&lt;="&amp;$B232,BD!$N$3:$N$5001,"&lt;&gt;")=0,"",SUMIFS(BD!$N$3:$N$5001,BD!$B$3:$B$5001,J$219,BD!$A$3:$A$5001,_xlfn.MAXIFS(BD!$A$3:$A$5001,BD!$B$3:$B$5001,J$219,BD!$A$3:$A$5001,"&gt;="&amp;$C$7,BD!$A$3:$A$5001,"&lt;="&amp;$B232,BD!$N$3:$N$5001,"&lt;&gt;"))))</f>
        <v/>
      </c>
      <c r="K232" s="43" t="str">
        <f>IF(OR($B232="",$A232&gt;$B$9,K$219=""),"",IF(COUNTIFS(BD!$B$3:$B$5001,K$219,BD!$A$3:$A$5001,"&gt;="&amp;$C$7,BD!$A$3:$A$5001,"&lt;="&amp;$B232,BD!$N$3:$N$5001,"&lt;&gt;")=0,"",SUMIFS(BD!$N$3:$N$5001,BD!$B$3:$B$5001,K$219,BD!$A$3:$A$5001,_xlfn.MAXIFS(BD!$A$3:$A$5001,BD!$B$3:$B$5001,K$219,BD!$A$3:$A$5001,"&gt;="&amp;$C$7,BD!$A$3:$A$5001,"&lt;="&amp;$B232,BD!$N$3:$N$5001,"&lt;&gt;"))))</f>
        <v/>
      </c>
      <c r="L232" s="43" t="str">
        <f>IF(OR($B232="",$A232&gt;$B$9,L$219=""),"",IF(COUNTIFS(BD!$B$3:$B$5001,L$219,BD!$A$3:$A$5001,"&gt;="&amp;$C$7,BD!$A$3:$A$5001,"&lt;="&amp;$B232,BD!$N$3:$N$5001,"&lt;&gt;")=0,"",SUMIFS(BD!$N$3:$N$5001,BD!$B$3:$B$5001,L$219,BD!$A$3:$A$5001,_xlfn.MAXIFS(BD!$A$3:$A$5001,BD!$B$3:$B$5001,L$219,BD!$A$3:$A$5001,"&gt;="&amp;$C$7,BD!$A$3:$A$5001,"&lt;="&amp;$B232,BD!$N$3:$N$5001,"&lt;&gt;"))))</f>
        <v/>
      </c>
      <c r="M232" s="43" t="str">
        <f>IF(OR($B232="",$A232&gt;$B$9,M$219=""),"",IF(COUNTIFS(BD!$B$3:$B$5001,M$219,BD!$A$3:$A$5001,"&gt;="&amp;$C$7,BD!$A$3:$A$5001,"&lt;="&amp;$B232,BD!$N$3:$N$5001,"&lt;&gt;")=0,"",SUMIFS(BD!$N$3:$N$5001,BD!$B$3:$B$5001,M$219,BD!$A$3:$A$5001,_xlfn.MAXIFS(BD!$A$3:$A$5001,BD!$B$3:$B$5001,M$219,BD!$A$3:$A$5001,"&gt;="&amp;$C$7,BD!$A$3:$A$5001,"&lt;="&amp;$B232,BD!$N$3:$N$5001,"&lt;&gt;"))))</f>
        <v/>
      </c>
      <c r="N232" s="43" t="str">
        <f>IF(OR($B232="",$A232&gt;$B$9,N$219=""),"",IF(COUNTIFS(BD!$B$3:$B$5001,N$219,BD!$A$3:$A$5001,"&gt;="&amp;$C$7,BD!$A$3:$A$5001,"&lt;="&amp;$B232,BD!$N$3:$N$5001,"&lt;&gt;")=0,"",SUMIFS(BD!$N$3:$N$5001,BD!$B$3:$B$5001,N$219,BD!$A$3:$A$5001,_xlfn.MAXIFS(BD!$A$3:$A$5001,BD!$B$3:$B$5001,N$219,BD!$A$3:$A$5001,"&gt;="&amp;$C$7,BD!$A$3:$A$5001,"&lt;="&amp;$B232,BD!$N$3:$N$5001,"&lt;&gt;"))))</f>
        <v/>
      </c>
      <c r="O232" s="43" t="str">
        <f>IF(OR($B232="",$A232&gt;$B$9,O$219=""),"",IF(COUNTIFS(BD!$B$3:$B$5001,O$219,BD!$A$3:$A$5001,"&gt;="&amp;$C$7,BD!$A$3:$A$5001,"&lt;="&amp;$B232,BD!$N$3:$N$5001,"&lt;&gt;")=0,"",SUMIFS(BD!$N$3:$N$5001,BD!$B$3:$B$5001,O$219,BD!$A$3:$A$5001,_xlfn.MAXIFS(BD!$A$3:$A$5001,BD!$B$3:$B$5001,O$219,BD!$A$3:$A$5001,"&gt;="&amp;$C$7,BD!$A$3:$A$5001,"&lt;="&amp;$B232,BD!$N$3:$N$5001,"&lt;&gt;"))))</f>
        <v/>
      </c>
      <c r="P232" s="43" t="str">
        <f>IF(OR($B232="",$A232&gt;$B$9,P$219=""),"",IF(COUNTIFS(BD!$B$3:$B$5001,P$219,BD!$A$3:$A$5001,"&gt;="&amp;$C$7,BD!$A$3:$A$5001,"&lt;="&amp;$B232,BD!$N$3:$N$5001,"&lt;&gt;")=0,"",SUMIFS(BD!$N$3:$N$5001,BD!$B$3:$B$5001,P$219,BD!$A$3:$A$5001,_xlfn.MAXIFS(BD!$A$3:$A$5001,BD!$B$3:$B$5001,P$219,BD!$A$3:$A$5001,"&gt;="&amp;$C$7,BD!$A$3:$A$5001,"&lt;="&amp;$B232,BD!$N$3:$N$5001,"&lt;&gt;"))))</f>
        <v/>
      </c>
      <c r="Q232" s="43" t="str">
        <f>IF(OR($B232="",$A232&gt;$B$9,Q$219=""),"",IF(COUNTIFS(BD!$B$3:$B$5001,Q$219,BD!$A$3:$A$5001,"&gt;="&amp;$C$7,BD!$A$3:$A$5001,"&lt;="&amp;$B232,BD!$N$3:$N$5001,"&lt;&gt;")=0,"",SUMIFS(BD!$N$3:$N$5001,BD!$B$3:$B$5001,Q$219,BD!$A$3:$A$5001,_xlfn.MAXIFS(BD!$A$3:$A$5001,BD!$B$3:$B$5001,Q$219,BD!$A$3:$A$5001,"&gt;="&amp;$C$7,BD!$A$3:$A$5001,"&lt;="&amp;$B232,BD!$N$3:$N$5001,"&lt;&gt;"))))</f>
        <v/>
      </c>
      <c r="R232" s="43" t="str">
        <f>IF(OR($B232="",$A232&gt;$B$9,R$219=""),"",IF(COUNTIFS(BD!$B$3:$B$5001,R$219,BD!$A$3:$A$5001,"&gt;="&amp;$C$7,BD!$A$3:$A$5001,"&lt;="&amp;$B232,BD!$N$3:$N$5001,"&lt;&gt;")=0,"",SUMIFS(BD!$N$3:$N$5001,BD!$B$3:$B$5001,R$219,BD!$A$3:$A$5001,_xlfn.MAXIFS(BD!$A$3:$A$5001,BD!$B$3:$B$5001,R$219,BD!$A$3:$A$5001,"&gt;="&amp;$C$7,BD!$A$3:$A$5001,"&lt;="&amp;$B232,BD!$N$3:$N$5001,"&lt;&gt;"))))</f>
        <v/>
      </c>
      <c r="S232" s="43" t="str">
        <f>IF(OR($B232="",$A232&gt;$B$9,S$219=""),"",IF(COUNTIFS(BD!$B$3:$B$5001,S$219,BD!$A$3:$A$5001,"&gt;="&amp;$C$7,BD!$A$3:$A$5001,"&lt;="&amp;$B232,BD!$N$3:$N$5001,"&lt;&gt;")=0,"",SUMIFS(BD!$N$3:$N$5001,BD!$B$3:$B$5001,S$219,BD!$A$3:$A$5001,_xlfn.MAXIFS(BD!$A$3:$A$5001,BD!$B$3:$B$5001,S$219,BD!$A$3:$A$5001,"&gt;="&amp;$C$7,BD!$A$3:$A$5001,"&lt;="&amp;$B232,BD!$N$3:$N$5001,"&lt;&gt;"))))</f>
        <v/>
      </c>
      <c r="T232" s="43" t="str">
        <f>IF(OR($B232="",$A232&gt;$B$9,T$219=""),"",IF(COUNTIFS(BD!$B$3:$B$5001,T$219,BD!$A$3:$A$5001,"&gt;="&amp;$C$7,BD!$A$3:$A$5001,"&lt;="&amp;$B232,BD!$N$3:$N$5001,"&lt;&gt;")=0,"",SUMIFS(BD!$N$3:$N$5001,BD!$B$3:$B$5001,T$219,BD!$A$3:$A$5001,_xlfn.MAXIFS(BD!$A$3:$A$5001,BD!$B$3:$B$5001,T$219,BD!$A$3:$A$5001,"&gt;="&amp;$C$7,BD!$A$3:$A$5001,"&lt;="&amp;$B232,BD!$N$3:$N$5001,"&lt;&gt;"))))</f>
        <v/>
      </c>
      <c r="U232" s="43" t="str">
        <f>IF(OR($B232="",$A232&gt;$B$9,U$219=""),"",IF(COUNTIFS(BD!$B$3:$B$5001,U$219,BD!$A$3:$A$5001,"&gt;="&amp;$C$7,BD!$A$3:$A$5001,"&lt;="&amp;$B232,BD!$N$3:$N$5001,"&lt;&gt;")=0,"",SUMIFS(BD!$N$3:$N$5001,BD!$B$3:$B$5001,U$219,BD!$A$3:$A$5001,_xlfn.MAXIFS(BD!$A$3:$A$5001,BD!$B$3:$B$5001,U$219,BD!$A$3:$A$5001,"&gt;="&amp;$C$7,BD!$A$3:$A$5001,"&lt;="&amp;$B232,BD!$N$3:$N$5001,"&lt;&gt;"))))</f>
        <v/>
      </c>
      <c r="V232" s="43" t="str">
        <f>IF(OR($B232="",$A232&gt;$B$9,V$219=""),"",IF(COUNTIFS(BD!$B$3:$B$5001,V$219,BD!$A$3:$A$5001,"&gt;="&amp;$C$7,BD!$A$3:$A$5001,"&lt;="&amp;$B232,BD!$N$3:$N$5001,"&lt;&gt;")=0,"",SUMIFS(BD!$N$3:$N$5001,BD!$B$3:$B$5001,V$219,BD!$A$3:$A$5001,_xlfn.MAXIFS(BD!$A$3:$A$5001,BD!$B$3:$B$5001,V$219,BD!$A$3:$A$5001,"&gt;="&amp;$C$7,BD!$A$3:$A$5001,"&lt;="&amp;$B232,BD!$N$3:$N$5001,"&lt;&gt;"))))</f>
        <v/>
      </c>
    </row>
    <row r="233">
      <c r="A233" s="38">
        <v>14</v>
      </c>
      <c r="B233" s="42">
        <f>$B$25</f>
        <v>46309</v>
      </c>
      <c r="C233" s="43" t="str">
        <f>IF(OR($B233="",$A233&gt;$B$9,C$219=""),"",IF(COUNTIFS(BD!$B$3:$B$5001,C$219,BD!$A$3:$A$5001,"&gt;="&amp;$C$7,BD!$A$3:$A$5001,"&lt;="&amp;$B233,BD!$N$3:$N$5001,"&lt;&gt;")=0,"",SUMIFS(BD!$N$3:$N$5001,BD!$B$3:$B$5001,C$219,BD!$A$3:$A$5001,_xlfn.MAXIFS(BD!$A$3:$A$5001,BD!$B$3:$B$5001,C$219,BD!$A$3:$A$5001,"&gt;="&amp;$C$7,BD!$A$3:$A$5001,"&lt;="&amp;$B233,BD!$N$3:$N$5001,"&lt;&gt;"))))</f>
        <v/>
      </c>
      <c r="D233" s="43" t="str">
        <f>IF(OR($B233="",$A233&gt;$B$9,D$219=""),"",IF(COUNTIFS(BD!$B$3:$B$5001,D$219,BD!$A$3:$A$5001,"&gt;="&amp;$C$7,BD!$A$3:$A$5001,"&lt;="&amp;$B233,BD!$N$3:$N$5001,"&lt;&gt;")=0,"",SUMIFS(BD!$N$3:$N$5001,BD!$B$3:$B$5001,D$219,BD!$A$3:$A$5001,_xlfn.MAXIFS(BD!$A$3:$A$5001,BD!$B$3:$B$5001,D$219,BD!$A$3:$A$5001,"&gt;="&amp;$C$7,BD!$A$3:$A$5001,"&lt;="&amp;$B233,BD!$N$3:$N$5001,"&lt;&gt;"))))</f>
        <v/>
      </c>
      <c r="E233" s="43" t="str">
        <f>IF(OR($B233="",$A233&gt;$B$9,E$219=""),"",IF(COUNTIFS(BD!$B$3:$B$5001,E$219,BD!$A$3:$A$5001,"&gt;="&amp;$C$7,BD!$A$3:$A$5001,"&lt;="&amp;$B233,BD!$N$3:$N$5001,"&lt;&gt;")=0,"",SUMIFS(BD!$N$3:$N$5001,BD!$B$3:$B$5001,E$219,BD!$A$3:$A$5001,_xlfn.MAXIFS(BD!$A$3:$A$5001,BD!$B$3:$B$5001,E$219,BD!$A$3:$A$5001,"&gt;="&amp;$C$7,BD!$A$3:$A$5001,"&lt;="&amp;$B233,BD!$N$3:$N$5001,"&lt;&gt;"))))</f>
        <v/>
      </c>
      <c r="F233" s="43" t="str">
        <f>IF(OR($B233="",$A233&gt;$B$9,F$219=""),"",IF(COUNTIFS(BD!$B$3:$B$5001,F$219,BD!$A$3:$A$5001,"&gt;="&amp;$C$7,BD!$A$3:$A$5001,"&lt;="&amp;$B233,BD!$N$3:$N$5001,"&lt;&gt;")=0,"",SUMIFS(BD!$N$3:$N$5001,BD!$B$3:$B$5001,F$219,BD!$A$3:$A$5001,_xlfn.MAXIFS(BD!$A$3:$A$5001,BD!$B$3:$B$5001,F$219,BD!$A$3:$A$5001,"&gt;="&amp;$C$7,BD!$A$3:$A$5001,"&lt;="&amp;$B233,BD!$N$3:$N$5001,"&lt;&gt;"))))</f>
        <v/>
      </c>
      <c r="G233" s="43" t="str">
        <f>IF(OR($B233="",$A233&gt;$B$9,G$219=""),"",IF(COUNTIFS(BD!$B$3:$B$5001,G$219,BD!$A$3:$A$5001,"&gt;="&amp;$C$7,BD!$A$3:$A$5001,"&lt;="&amp;$B233,BD!$N$3:$N$5001,"&lt;&gt;")=0,"",SUMIFS(BD!$N$3:$N$5001,BD!$B$3:$B$5001,G$219,BD!$A$3:$A$5001,_xlfn.MAXIFS(BD!$A$3:$A$5001,BD!$B$3:$B$5001,G$219,BD!$A$3:$A$5001,"&gt;="&amp;$C$7,BD!$A$3:$A$5001,"&lt;="&amp;$B233,BD!$N$3:$N$5001,"&lt;&gt;"))))</f>
        <v/>
      </c>
      <c r="H233" s="43" t="str">
        <f>IF(OR($B233="",$A233&gt;$B$9,H$219=""),"",IF(COUNTIFS(BD!$B$3:$B$5001,H$219,BD!$A$3:$A$5001,"&gt;="&amp;$C$7,BD!$A$3:$A$5001,"&lt;="&amp;$B233,BD!$N$3:$N$5001,"&lt;&gt;")=0,"",SUMIFS(BD!$N$3:$N$5001,BD!$B$3:$B$5001,H$219,BD!$A$3:$A$5001,_xlfn.MAXIFS(BD!$A$3:$A$5001,BD!$B$3:$B$5001,H$219,BD!$A$3:$A$5001,"&gt;="&amp;$C$7,BD!$A$3:$A$5001,"&lt;="&amp;$B233,BD!$N$3:$N$5001,"&lt;&gt;"))))</f>
        <v/>
      </c>
      <c r="I233" s="43" t="str">
        <f>IF(OR($B233="",$A233&gt;$B$9,I$219=""),"",IF(COUNTIFS(BD!$B$3:$B$5001,I$219,BD!$A$3:$A$5001,"&gt;="&amp;$C$7,BD!$A$3:$A$5001,"&lt;="&amp;$B233,BD!$N$3:$N$5001,"&lt;&gt;")=0,"",SUMIFS(BD!$N$3:$N$5001,BD!$B$3:$B$5001,I$219,BD!$A$3:$A$5001,_xlfn.MAXIFS(BD!$A$3:$A$5001,BD!$B$3:$B$5001,I$219,BD!$A$3:$A$5001,"&gt;="&amp;$C$7,BD!$A$3:$A$5001,"&lt;="&amp;$B233,BD!$N$3:$N$5001,"&lt;&gt;"))))</f>
        <v/>
      </c>
      <c r="J233" s="43" t="str">
        <f>IF(OR($B233="",$A233&gt;$B$9,J$219=""),"",IF(COUNTIFS(BD!$B$3:$B$5001,J$219,BD!$A$3:$A$5001,"&gt;="&amp;$C$7,BD!$A$3:$A$5001,"&lt;="&amp;$B233,BD!$N$3:$N$5001,"&lt;&gt;")=0,"",SUMIFS(BD!$N$3:$N$5001,BD!$B$3:$B$5001,J$219,BD!$A$3:$A$5001,_xlfn.MAXIFS(BD!$A$3:$A$5001,BD!$B$3:$B$5001,J$219,BD!$A$3:$A$5001,"&gt;="&amp;$C$7,BD!$A$3:$A$5001,"&lt;="&amp;$B233,BD!$N$3:$N$5001,"&lt;&gt;"))))</f>
        <v/>
      </c>
      <c r="K233" s="43" t="str">
        <f>IF(OR($B233="",$A233&gt;$B$9,K$219=""),"",IF(COUNTIFS(BD!$B$3:$B$5001,K$219,BD!$A$3:$A$5001,"&gt;="&amp;$C$7,BD!$A$3:$A$5001,"&lt;="&amp;$B233,BD!$N$3:$N$5001,"&lt;&gt;")=0,"",SUMIFS(BD!$N$3:$N$5001,BD!$B$3:$B$5001,K$219,BD!$A$3:$A$5001,_xlfn.MAXIFS(BD!$A$3:$A$5001,BD!$B$3:$B$5001,K$219,BD!$A$3:$A$5001,"&gt;="&amp;$C$7,BD!$A$3:$A$5001,"&lt;="&amp;$B233,BD!$N$3:$N$5001,"&lt;&gt;"))))</f>
        <v/>
      </c>
      <c r="L233" s="43" t="str">
        <f>IF(OR($B233="",$A233&gt;$B$9,L$219=""),"",IF(COUNTIFS(BD!$B$3:$B$5001,L$219,BD!$A$3:$A$5001,"&gt;="&amp;$C$7,BD!$A$3:$A$5001,"&lt;="&amp;$B233,BD!$N$3:$N$5001,"&lt;&gt;")=0,"",SUMIFS(BD!$N$3:$N$5001,BD!$B$3:$B$5001,L$219,BD!$A$3:$A$5001,_xlfn.MAXIFS(BD!$A$3:$A$5001,BD!$B$3:$B$5001,L$219,BD!$A$3:$A$5001,"&gt;="&amp;$C$7,BD!$A$3:$A$5001,"&lt;="&amp;$B233,BD!$N$3:$N$5001,"&lt;&gt;"))))</f>
        <v/>
      </c>
      <c r="M233" s="43" t="str">
        <f>IF(OR($B233="",$A233&gt;$B$9,M$219=""),"",IF(COUNTIFS(BD!$B$3:$B$5001,M$219,BD!$A$3:$A$5001,"&gt;="&amp;$C$7,BD!$A$3:$A$5001,"&lt;="&amp;$B233,BD!$N$3:$N$5001,"&lt;&gt;")=0,"",SUMIFS(BD!$N$3:$N$5001,BD!$B$3:$B$5001,M$219,BD!$A$3:$A$5001,_xlfn.MAXIFS(BD!$A$3:$A$5001,BD!$B$3:$B$5001,M$219,BD!$A$3:$A$5001,"&gt;="&amp;$C$7,BD!$A$3:$A$5001,"&lt;="&amp;$B233,BD!$N$3:$N$5001,"&lt;&gt;"))))</f>
        <v/>
      </c>
      <c r="N233" s="43" t="str">
        <f>IF(OR($B233="",$A233&gt;$B$9,N$219=""),"",IF(COUNTIFS(BD!$B$3:$B$5001,N$219,BD!$A$3:$A$5001,"&gt;="&amp;$C$7,BD!$A$3:$A$5001,"&lt;="&amp;$B233,BD!$N$3:$N$5001,"&lt;&gt;")=0,"",SUMIFS(BD!$N$3:$N$5001,BD!$B$3:$B$5001,N$219,BD!$A$3:$A$5001,_xlfn.MAXIFS(BD!$A$3:$A$5001,BD!$B$3:$B$5001,N$219,BD!$A$3:$A$5001,"&gt;="&amp;$C$7,BD!$A$3:$A$5001,"&lt;="&amp;$B233,BD!$N$3:$N$5001,"&lt;&gt;"))))</f>
        <v/>
      </c>
      <c r="O233" s="43" t="str">
        <f>IF(OR($B233="",$A233&gt;$B$9,O$219=""),"",IF(COUNTIFS(BD!$B$3:$B$5001,O$219,BD!$A$3:$A$5001,"&gt;="&amp;$C$7,BD!$A$3:$A$5001,"&lt;="&amp;$B233,BD!$N$3:$N$5001,"&lt;&gt;")=0,"",SUMIFS(BD!$N$3:$N$5001,BD!$B$3:$B$5001,O$219,BD!$A$3:$A$5001,_xlfn.MAXIFS(BD!$A$3:$A$5001,BD!$B$3:$B$5001,O$219,BD!$A$3:$A$5001,"&gt;="&amp;$C$7,BD!$A$3:$A$5001,"&lt;="&amp;$B233,BD!$N$3:$N$5001,"&lt;&gt;"))))</f>
        <v/>
      </c>
      <c r="P233" s="43" t="str">
        <f>IF(OR($B233="",$A233&gt;$B$9,P$219=""),"",IF(COUNTIFS(BD!$B$3:$B$5001,P$219,BD!$A$3:$A$5001,"&gt;="&amp;$C$7,BD!$A$3:$A$5001,"&lt;="&amp;$B233,BD!$N$3:$N$5001,"&lt;&gt;")=0,"",SUMIFS(BD!$N$3:$N$5001,BD!$B$3:$B$5001,P$219,BD!$A$3:$A$5001,_xlfn.MAXIFS(BD!$A$3:$A$5001,BD!$B$3:$B$5001,P$219,BD!$A$3:$A$5001,"&gt;="&amp;$C$7,BD!$A$3:$A$5001,"&lt;="&amp;$B233,BD!$N$3:$N$5001,"&lt;&gt;"))))</f>
        <v/>
      </c>
      <c r="Q233" s="43" t="str">
        <f>IF(OR($B233="",$A233&gt;$B$9,Q$219=""),"",IF(COUNTIFS(BD!$B$3:$B$5001,Q$219,BD!$A$3:$A$5001,"&gt;="&amp;$C$7,BD!$A$3:$A$5001,"&lt;="&amp;$B233,BD!$N$3:$N$5001,"&lt;&gt;")=0,"",SUMIFS(BD!$N$3:$N$5001,BD!$B$3:$B$5001,Q$219,BD!$A$3:$A$5001,_xlfn.MAXIFS(BD!$A$3:$A$5001,BD!$B$3:$B$5001,Q$219,BD!$A$3:$A$5001,"&gt;="&amp;$C$7,BD!$A$3:$A$5001,"&lt;="&amp;$B233,BD!$N$3:$N$5001,"&lt;&gt;"))))</f>
        <v/>
      </c>
      <c r="R233" s="43" t="str">
        <f>IF(OR($B233="",$A233&gt;$B$9,R$219=""),"",IF(COUNTIFS(BD!$B$3:$B$5001,R$219,BD!$A$3:$A$5001,"&gt;="&amp;$C$7,BD!$A$3:$A$5001,"&lt;="&amp;$B233,BD!$N$3:$N$5001,"&lt;&gt;")=0,"",SUMIFS(BD!$N$3:$N$5001,BD!$B$3:$B$5001,R$219,BD!$A$3:$A$5001,_xlfn.MAXIFS(BD!$A$3:$A$5001,BD!$B$3:$B$5001,R$219,BD!$A$3:$A$5001,"&gt;="&amp;$C$7,BD!$A$3:$A$5001,"&lt;="&amp;$B233,BD!$N$3:$N$5001,"&lt;&gt;"))))</f>
        <v/>
      </c>
      <c r="S233" s="43" t="str">
        <f>IF(OR($B233="",$A233&gt;$B$9,S$219=""),"",IF(COUNTIFS(BD!$B$3:$B$5001,S$219,BD!$A$3:$A$5001,"&gt;="&amp;$C$7,BD!$A$3:$A$5001,"&lt;="&amp;$B233,BD!$N$3:$N$5001,"&lt;&gt;")=0,"",SUMIFS(BD!$N$3:$N$5001,BD!$B$3:$B$5001,S$219,BD!$A$3:$A$5001,_xlfn.MAXIFS(BD!$A$3:$A$5001,BD!$B$3:$B$5001,S$219,BD!$A$3:$A$5001,"&gt;="&amp;$C$7,BD!$A$3:$A$5001,"&lt;="&amp;$B233,BD!$N$3:$N$5001,"&lt;&gt;"))))</f>
        <v/>
      </c>
      <c r="T233" s="43" t="str">
        <f>IF(OR($B233="",$A233&gt;$B$9,T$219=""),"",IF(COUNTIFS(BD!$B$3:$B$5001,T$219,BD!$A$3:$A$5001,"&gt;="&amp;$C$7,BD!$A$3:$A$5001,"&lt;="&amp;$B233,BD!$N$3:$N$5001,"&lt;&gt;")=0,"",SUMIFS(BD!$N$3:$N$5001,BD!$B$3:$B$5001,T$219,BD!$A$3:$A$5001,_xlfn.MAXIFS(BD!$A$3:$A$5001,BD!$B$3:$B$5001,T$219,BD!$A$3:$A$5001,"&gt;="&amp;$C$7,BD!$A$3:$A$5001,"&lt;="&amp;$B233,BD!$N$3:$N$5001,"&lt;&gt;"))))</f>
        <v/>
      </c>
      <c r="U233" s="43" t="str">
        <f>IF(OR($B233="",$A233&gt;$B$9,U$219=""),"",IF(COUNTIFS(BD!$B$3:$B$5001,U$219,BD!$A$3:$A$5001,"&gt;="&amp;$C$7,BD!$A$3:$A$5001,"&lt;="&amp;$B233,BD!$N$3:$N$5001,"&lt;&gt;")=0,"",SUMIFS(BD!$N$3:$N$5001,BD!$B$3:$B$5001,U$219,BD!$A$3:$A$5001,_xlfn.MAXIFS(BD!$A$3:$A$5001,BD!$B$3:$B$5001,U$219,BD!$A$3:$A$5001,"&gt;="&amp;$C$7,BD!$A$3:$A$5001,"&lt;="&amp;$B233,BD!$N$3:$N$5001,"&lt;&gt;"))))</f>
        <v/>
      </c>
      <c r="V233" s="43" t="str">
        <f>IF(OR($B233="",$A233&gt;$B$9,V$219=""),"",IF(COUNTIFS(BD!$B$3:$B$5001,V$219,BD!$A$3:$A$5001,"&gt;="&amp;$C$7,BD!$A$3:$A$5001,"&lt;="&amp;$B233,BD!$N$3:$N$5001,"&lt;&gt;")=0,"",SUMIFS(BD!$N$3:$N$5001,BD!$B$3:$B$5001,V$219,BD!$A$3:$A$5001,_xlfn.MAXIFS(BD!$A$3:$A$5001,BD!$B$3:$B$5001,V$219,BD!$A$3:$A$5001,"&gt;="&amp;$C$7,BD!$A$3:$A$5001,"&lt;="&amp;$B233,BD!$N$3:$N$5001,"&lt;&gt;"))))</f>
        <v/>
      </c>
    </row>
    <row r="234">
      <c r="A234" s="38">
        <v>15</v>
      </c>
      <c r="B234" s="42">
        <f>$B$26</f>
        <v>46310</v>
      </c>
      <c r="C234" s="43" t="str">
        <f>IF(OR($B234="",$A234&gt;$B$9,C$219=""),"",IF(COUNTIFS(BD!$B$3:$B$5001,C$219,BD!$A$3:$A$5001,"&gt;="&amp;$C$7,BD!$A$3:$A$5001,"&lt;="&amp;$B234,BD!$N$3:$N$5001,"&lt;&gt;")=0,"",SUMIFS(BD!$N$3:$N$5001,BD!$B$3:$B$5001,C$219,BD!$A$3:$A$5001,_xlfn.MAXIFS(BD!$A$3:$A$5001,BD!$B$3:$B$5001,C$219,BD!$A$3:$A$5001,"&gt;="&amp;$C$7,BD!$A$3:$A$5001,"&lt;="&amp;$B234,BD!$N$3:$N$5001,"&lt;&gt;"))))</f>
        <v/>
      </c>
      <c r="D234" s="43" t="str">
        <f>IF(OR($B234="",$A234&gt;$B$9,D$219=""),"",IF(COUNTIFS(BD!$B$3:$B$5001,D$219,BD!$A$3:$A$5001,"&gt;="&amp;$C$7,BD!$A$3:$A$5001,"&lt;="&amp;$B234,BD!$N$3:$N$5001,"&lt;&gt;")=0,"",SUMIFS(BD!$N$3:$N$5001,BD!$B$3:$B$5001,D$219,BD!$A$3:$A$5001,_xlfn.MAXIFS(BD!$A$3:$A$5001,BD!$B$3:$B$5001,D$219,BD!$A$3:$A$5001,"&gt;="&amp;$C$7,BD!$A$3:$A$5001,"&lt;="&amp;$B234,BD!$N$3:$N$5001,"&lt;&gt;"))))</f>
        <v/>
      </c>
      <c r="E234" s="43" t="str">
        <f>IF(OR($B234="",$A234&gt;$B$9,E$219=""),"",IF(COUNTIFS(BD!$B$3:$B$5001,E$219,BD!$A$3:$A$5001,"&gt;="&amp;$C$7,BD!$A$3:$A$5001,"&lt;="&amp;$B234,BD!$N$3:$N$5001,"&lt;&gt;")=0,"",SUMIFS(BD!$N$3:$N$5001,BD!$B$3:$B$5001,E$219,BD!$A$3:$A$5001,_xlfn.MAXIFS(BD!$A$3:$A$5001,BD!$B$3:$B$5001,E$219,BD!$A$3:$A$5001,"&gt;="&amp;$C$7,BD!$A$3:$A$5001,"&lt;="&amp;$B234,BD!$N$3:$N$5001,"&lt;&gt;"))))</f>
        <v/>
      </c>
      <c r="F234" s="43" t="str">
        <f>IF(OR($B234="",$A234&gt;$B$9,F$219=""),"",IF(COUNTIFS(BD!$B$3:$B$5001,F$219,BD!$A$3:$A$5001,"&gt;="&amp;$C$7,BD!$A$3:$A$5001,"&lt;="&amp;$B234,BD!$N$3:$N$5001,"&lt;&gt;")=0,"",SUMIFS(BD!$N$3:$N$5001,BD!$B$3:$B$5001,F$219,BD!$A$3:$A$5001,_xlfn.MAXIFS(BD!$A$3:$A$5001,BD!$B$3:$B$5001,F$219,BD!$A$3:$A$5001,"&gt;="&amp;$C$7,BD!$A$3:$A$5001,"&lt;="&amp;$B234,BD!$N$3:$N$5001,"&lt;&gt;"))))</f>
        <v/>
      </c>
      <c r="G234" s="43" t="str">
        <f>IF(OR($B234="",$A234&gt;$B$9,G$219=""),"",IF(COUNTIFS(BD!$B$3:$B$5001,G$219,BD!$A$3:$A$5001,"&gt;="&amp;$C$7,BD!$A$3:$A$5001,"&lt;="&amp;$B234,BD!$N$3:$N$5001,"&lt;&gt;")=0,"",SUMIFS(BD!$N$3:$N$5001,BD!$B$3:$B$5001,G$219,BD!$A$3:$A$5001,_xlfn.MAXIFS(BD!$A$3:$A$5001,BD!$B$3:$B$5001,G$219,BD!$A$3:$A$5001,"&gt;="&amp;$C$7,BD!$A$3:$A$5001,"&lt;="&amp;$B234,BD!$N$3:$N$5001,"&lt;&gt;"))))</f>
        <v/>
      </c>
      <c r="H234" s="43" t="str">
        <f>IF(OR($B234="",$A234&gt;$B$9,H$219=""),"",IF(COUNTIFS(BD!$B$3:$B$5001,H$219,BD!$A$3:$A$5001,"&gt;="&amp;$C$7,BD!$A$3:$A$5001,"&lt;="&amp;$B234,BD!$N$3:$N$5001,"&lt;&gt;")=0,"",SUMIFS(BD!$N$3:$N$5001,BD!$B$3:$B$5001,H$219,BD!$A$3:$A$5001,_xlfn.MAXIFS(BD!$A$3:$A$5001,BD!$B$3:$B$5001,H$219,BD!$A$3:$A$5001,"&gt;="&amp;$C$7,BD!$A$3:$A$5001,"&lt;="&amp;$B234,BD!$N$3:$N$5001,"&lt;&gt;"))))</f>
        <v/>
      </c>
      <c r="I234" s="43" t="str">
        <f>IF(OR($B234="",$A234&gt;$B$9,I$219=""),"",IF(COUNTIFS(BD!$B$3:$B$5001,I$219,BD!$A$3:$A$5001,"&gt;="&amp;$C$7,BD!$A$3:$A$5001,"&lt;="&amp;$B234,BD!$N$3:$N$5001,"&lt;&gt;")=0,"",SUMIFS(BD!$N$3:$N$5001,BD!$B$3:$B$5001,I$219,BD!$A$3:$A$5001,_xlfn.MAXIFS(BD!$A$3:$A$5001,BD!$B$3:$B$5001,I$219,BD!$A$3:$A$5001,"&gt;="&amp;$C$7,BD!$A$3:$A$5001,"&lt;="&amp;$B234,BD!$N$3:$N$5001,"&lt;&gt;"))))</f>
        <v/>
      </c>
      <c r="J234" s="43" t="str">
        <f>IF(OR($B234="",$A234&gt;$B$9,J$219=""),"",IF(COUNTIFS(BD!$B$3:$B$5001,J$219,BD!$A$3:$A$5001,"&gt;="&amp;$C$7,BD!$A$3:$A$5001,"&lt;="&amp;$B234,BD!$N$3:$N$5001,"&lt;&gt;")=0,"",SUMIFS(BD!$N$3:$N$5001,BD!$B$3:$B$5001,J$219,BD!$A$3:$A$5001,_xlfn.MAXIFS(BD!$A$3:$A$5001,BD!$B$3:$B$5001,J$219,BD!$A$3:$A$5001,"&gt;="&amp;$C$7,BD!$A$3:$A$5001,"&lt;="&amp;$B234,BD!$N$3:$N$5001,"&lt;&gt;"))))</f>
        <v/>
      </c>
      <c r="K234" s="43" t="str">
        <f>IF(OR($B234="",$A234&gt;$B$9,K$219=""),"",IF(COUNTIFS(BD!$B$3:$B$5001,K$219,BD!$A$3:$A$5001,"&gt;="&amp;$C$7,BD!$A$3:$A$5001,"&lt;="&amp;$B234,BD!$N$3:$N$5001,"&lt;&gt;")=0,"",SUMIFS(BD!$N$3:$N$5001,BD!$B$3:$B$5001,K$219,BD!$A$3:$A$5001,_xlfn.MAXIFS(BD!$A$3:$A$5001,BD!$B$3:$B$5001,K$219,BD!$A$3:$A$5001,"&gt;="&amp;$C$7,BD!$A$3:$A$5001,"&lt;="&amp;$B234,BD!$N$3:$N$5001,"&lt;&gt;"))))</f>
        <v/>
      </c>
      <c r="L234" s="43" t="str">
        <f>IF(OR($B234="",$A234&gt;$B$9,L$219=""),"",IF(COUNTIFS(BD!$B$3:$B$5001,L$219,BD!$A$3:$A$5001,"&gt;="&amp;$C$7,BD!$A$3:$A$5001,"&lt;="&amp;$B234,BD!$N$3:$N$5001,"&lt;&gt;")=0,"",SUMIFS(BD!$N$3:$N$5001,BD!$B$3:$B$5001,L$219,BD!$A$3:$A$5001,_xlfn.MAXIFS(BD!$A$3:$A$5001,BD!$B$3:$B$5001,L$219,BD!$A$3:$A$5001,"&gt;="&amp;$C$7,BD!$A$3:$A$5001,"&lt;="&amp;$B234,BD!$N$3:$N$5001,"&lt;&gt;"))))</f>
        <v/>
      </c>
      <c r="M234" s="43" t="str">
        <f>IF(OR($B234="",$A234&gt;$B$9,M$219=""),"",IF(COUNTIFS(BD!$B$3:$B$5001,M$219,BD!$A$3:$A$5001,"&gt;="&amp;$C$7,BD!$A$3:$A$5001,"&lt;="&amp;$B234,BD!$N$3:$N$5001,"&lt;&gt;")=0,"",SUMIFS(BD!$N$3:$N$5001,BD!$B$3:$B$5001,M$219,BD!$A$3:$A$5001,_xlfn.MAXIFS(BD!$A$3:$A$5001,BD!$B$3:$B$5001,M$219,BD!$A$3:$A$5001,"&gt;="&amp;$C$7,BD!$A$3:$A$5001,"&lt;="&amp;$B234,BD!$N$3:$N$5001,"&lt;&gt;"))))</f>
        <v/>
      </c>
      <c r="N234" s="43" t="str">
        <f>IF(OR($B234="",$A234&gt;$B$9,N$219=""),"",IF(COUNTIFS(BD!$B$3:$B$5001,N$219,BD!$A$3:$A$5001,"&gt;="&amp;$C$7,BD!$A$3:$A$5001,"&lt;="&amp;$B234,BD!$N$3:$N$5001,"&lt;&gt;")=0,"",SUMIFS(BD!$N$3:$N$5001,BD!$B$3:$B$5001,N$219,BD!$A$3:$A$5001,_xlfn.MAXIFS(BD!$A$3:$A$5001,BD!$B$3:$B$5001,N$219,BD!$A$3:$A$5001,"&gt;="&amp;$C$7,BD!$A$3:$A$5001,"&lt;="&amp;$B234,BD!$N$3:$N$5001,"&lt;&gt;"))))</f>
        <v/>
      </c>
      <c r="O234" s="43" t="str">
        <f>IF(OR($B234="",$A234&gt;$B$9,O$219=""),"",IF(COUNTIFS(BD!$B$3:$B$5001,O$219,BD!$A$3:$A$5001,"&gt;="&amp;$C$7,BD!$A$3:$A$5001,"&lt;="&amp;$B234,BD!$N$3:$N$5001,"&lt;&gt;")=0,"",SUMIFS(BD!$N$3:$N$5001,BD!$B$3:$B$5001,O$219,BD!$A$3:$A$5001,_xlfn.MAXIFS(BD!$A$3:$A$5001,BD!$B$3:$B$5001,O$219,BD!$A$3:$A$5001,"&gt;="&amp;$C$7,BD!$A$3:$A$5001,"&lt;="&amp;$B234,BD!$N$3:$N$5001,"&lt;&gt;"))))</f>
        <v/>
      </c>
      <c r="P234" s="43" t="str">
        <f>IF(OR($B234="",$A234&gt;$B$9,P$219=""),"",IF(COUNTIFS(BD!$B$3:$B$5001,P$219,BD!$A$3:$A$5001,"&gt;="&amp;$C$7,BD!$A$3:$A$5001,"&lt;="&amp;$B234,BD!$N$3:$N$5001,"&lt;&gt;")=0,"",SUMIFS(BD!$N$3:$N$5001,BD!$B$3:$B$5001,P$219,BD!$A$3:$A$5001,_xlfn.MAXIFS(BD!$A$3:$A$5001,BD!$B$3:$B$5001,P$219,BD!$A$3:$A$5001,"&gt;="&amp;$C$7,BD!$A$3:$A$5001,"&lt;="&amp;$B234,BD!$N$3:$N$5001,"&lt;&gt;"))))</f>
        <v/>
      </c>
      <c r="Q234" s="43" t="str">
        <f>IF(OR($B234="",$A234&gt;$B$9,Q$219=""),"",IF(COUNTIFS(BD!$B$3:$B$5001,Q$219,BD!$A$3:$A$5001,"&gt;="&amp;$C$7,BD!$A$3:$A$5001,"&lt;="&amp;$B234,BD!$N$3:$N$5001,"&lt;&gt;")=0,"",SUMIFS(BD!$N$3:$N$5001,BD!$B$3:$B$5001,Q$219,BD!$A$3:$A$5001,_xlfn.MAXIFS(BD!$A$3:$A$5001,BD!$B$3:$B$5001,Q$219,BD!$A$3:$A$5001,"&gt;="&amp;$C$7,BD!$A$3:$A$5001,"&lt;="&amp;$B234,BD!$N$3:$N$5001,"&lt;&gt;"))))</f>
        <v/>
      </c>
      <c r="R234" s="43" t="str">
        <f>IF(OR($B234="",$A234&gt;$B$9,R$219=""),"",IF(COUNTIFS(BD!$B$3:$B$5001,R$219,BD!$A$3:$A$5001,"&gt;="&amp;$C$7,BD!$A$3:$A$5001,"&lt;="&amp;$B234,BD!$N$3:$N$5001,"&lt;&gt;")=0,"",SUMIFS(BD!$N$3:$N$5001,BD!$B$3:$B$5001,R$219,BD!$A$3:$A$5001,_xlfn.MAXIFS(BD!$A$3:$A$5001,BD!$B$3:$B$5001,R$219,BD!$A$3:$A$5001,"&gt;="&amp;$C$7,BD!$A$3:$A$5001,"&lt;="&amp;$B234,BD!$N$3:$N$5001,"&lt;&gt;"))))</f>
        <v/>
      </c>
      <c r="S234" s="43" t="str">
        <f>IF(OR($B234="",$A234&gt;$B$9,S$219=""),"",IF(COUNTIFS(BD!$B$3:$B$5001,S$219,BD!$A$3:$A$5001,"&gt;="&amp;$C$7,BD!$A$3:$A$5001,"&lt;="&amp;$B234,BD!$N$3:$N$5001,"&lt;&gt;")=0,"",SUMIFS(BD!$N$3:$N$5001,BD!$B$3:$B$5001,S$219,BD!$A$3:$A$5001,_xlfn.MAXIFS(BD!$A$3:$A$5001,BD!$B$3:$B$5001,S$219,BD!$A$3:$A$5001,"&gt;="&amp;$C$7,BD!$A$3:$A$5001,"&lt;="&amp;$B234,BD!$N$3:$N$5001,"&lt;&gt;"))))</f>
        <v/>
      </c>
      <c r="T234" s="43" t="str">
        <f>IF(OR($B234="",$A234&gt;$B$9,T$219=""),"",IF(COUNTIFS(BD!$B$3:$B$5001,T$219,BD!$A$3:$A$5001,"&gt;="&amp;$C$7,BD!$A$3:$A$5001,"&lt;="&amp;$B234,BD!$N$3:$N$5001,"&lt;&gt;")=0,"",SUMIFS(BD!$N$3:$N$5001,BD!$B$3:$B$5001,T$219,BD!$A$3:$A$5001,_xlfn.MAXIFS(BD!$A$3:$A$5001,BD!$B$3:$B$5001,T$219,BD!$A$3:$A$5001,"&gt;="&amp;$C$7,BD!$A$3:$A$5001,"&lt;="&amp;$B234,BD!$N$3:$N$5001,"&lt;&gt;"))))</f>
        <v/>
      </c>
      <c r="U234" s="43" t="str">
        <f>IF(OR($B234="",$A234&gt;$B$9,U$219=""),"",IF(COUNTIFS(BD!$B$3:$B$5001,U$219,BD!$A$3:$A$5001,"&gt;="&amp;$C$7,BD!$A$3:$A$5001,"&lt;="&amp;$B234,BD!$N$3:$N$5001,"&lt;&gt;")=0,"",SUMIFS(BD!$N$3:$N$5001,BD!$B$3:$B$5001,U$219,BD!$A$3:$A$5001,_xlfn.MAXIFS(BD!$A$3:$A$5001,BD!$B$3:$B$5001,U$219,BD!$A$3:$A$5001,"&gt;="&amp;$C$7,BD!$A$3:$A$5001,"&lt;="&amp;$B234,BD!$N$3:$N$5001,"&lt;&gt;"))))</f>
        <v/>
      </c>
      <c r="V234" s="43" t="str">
        <f>IF(OR($B234="",$A234&gt;$B$9,V$219=""),"",IF(COUNTIFS(BD!$B$3:$B$5001,V$219,BD!$A$3:$A$5001,"&gt;="&amp;$C$7,BD!$A$3:$A$5001,"&lt;="&amp;$B234,BD!$N$3:$N$5001,"&lt;&gt;")=0,"",SUMIFS(BD!$N$3:$N$5001,BD!$B$3:$B$5001,V$219,BD!$A$3:$A$5001,_xlfn.MAXIFS(BD!$A$3:$A$5001,BD!$B$3:$B$5001,V$219,BD!$A$3:$A$5001,"&gt;="&amp;$C$7,BD!$A$3:$A$5001,"&lt;="&amp;$B234,BD!$N$3:$N$5001,"&lt;&gt;"))))</f>
        <v/>
      </c>
    </row>
    <row r="235">
      <c r="A235" s="38">
        <v>16</v>
      </c>
      <c r="B235" s="42">
        <f>$B$27</f>
        <v>46311</v>
      </c>
      <c r="C235" s="43" t="str">
        <f>IF(OR($B235="",$A235&gt;$B$9,C$219=""),"",IF(COUNTIFS(BD!$B$3:$B$5001,C$219,BD!$A$3:$A$5001,"&gt;="&amp;$C$7,BD!$A$3:$A$5001,"&lt;="&amp;$B235,BD!$N$3:$N$5001,"&lt;&gt;")=0,"",SUMIFS(BD!$N$3:$N$5001,BD!$B$3:$B$5001,C$219,BD!$A$3:$A$5001,_xlfn.MAXIFS(BD!$A$3:$A$5001,BD!$B$3:$B$5001,C$219,BD!$A$3:$A$5001,"&gt;="&amp;$C$7,BD!$A$3:$A$5001,"&lt;="&amp;$B235,BD!$N$3:$N$5001,"&lt;&gt;"))))</f>
        <v/>
      </c>
      <c r="D235" s="43" t="str">
        <f>IF(OR($B235="",$A235&gt;$B$9,D$219=""),"",IF(COUNTIFS(BD!$B$3:$B$5001,D$219,BD!$A$3:$A$5001,"&gt;="&amp;$C$7,BD!$A$3:$A$5001,"&lt;="&amp;$B235,BD!$N$3:$N$5001,"&lt;&gt;")=0,"",SUMIFS(BD!$N$3:$N$5001,BD!$B$3:$B$5001,D$219,BD!$A$3:$A$5001,_xlfn.MAXIFS(BD!$A$3:$A$5001,BD!$B$3:$B$5001,D$219,BD!$A$3:$A$5001,"&gt;="&amp;$C$7,BD!$A$3:$A$5001,"&lt;="&amp;$B235,BD!$N$3:$N$5001,"&lt;&gt;"))))</f>
        <v/>
      </c>
      <c r="E235" s="43" t="str">
        <f>IF(OR($B235="",$A235&gt;$B$9,E$219=""),"",IF(COUNTIFS(BD!$B$3:$B$5001,E$219,BD!$A$3:$A$5001,"&gt;="&amp;$C$7,BD!$A$3:$A$5001,"&lt;="&amp;$B235,BD!$N$3:$N$5001,"&lt;&gt;")=0,"",SUMIFS(BD!$N$3:$N$5001,BD!$B$3:$B$5001,E$219,BD!$A$3:$A$5001,_xlfn.MAXIFS(BD!$A$3:$A$5001,BD!$B$3:$B$5001,E$219,BD!$A$3:$A$5001,"&gt;="&amp;$C$7,BD!$A$3:$A$5001,"&lt;="&amp;$B235,BD!$N$3:$N$5001,"&lt;&gt;"))))</f>
        <v/>
      </c>
      <c r="F235" s="43" t="str">
        <f>IF(OR($B235="",$A235&gt;$B$9,F$219=""),"",IF(COUNTIFS(BD!$B$3:$B$5001,F$219,BD!$A$3:$A$5001,"&gt;="&amp;$C$7,BD!$A$3:$A$5001,"&lt;="&amp;$B235,BD!$N$3:$N$5001,"&lt;&gt;")=0,"",SUMIFS(BD!$N$3:$N$5001,BD!$B$3:$B$5001,F$219,BD!$A$3:$A$5001,_xlfn.MAXIFS(BD!$A$3:$A$5001,BD!$B$3:$B$5001,F$219,BD!$A$3:$A$5001,"&gt;="&amp;$C$7,BD!$A$3:$A$5001,"&lt;="&amp;$B235,BD!$N$3:$N$5001,"&lt;&gt;"))))</f>
        <v/>
      </c>
      <c r="G235" s="43" t="str">
        <f>IF(OR($B235="",$A235&gt;$B$9,G$219=""),"",IF(COUNTIFS(BD!$B$3:$B$5001,G$219,BD!$A$3:$A$5001,"&gt;="&amp;$C$7,BD!$A$3:$A$5001,"&lt;="&amp;$B235,BD!$N$3:$N$5001,"&lt;&gt;")=0,"",SUMIFS(BD!$N$3:$N$5001,BD!$B$3:$B$5001,G$219,BD!$A$3:$A$5001,_xlfn.MAXIFS(BD!$A$3:$A$5001,BD!$B$3:$B$5001,G$219,BD!$A$3:$A$5001,"&gt;="&amp;$C$7,BD!$A$3:$A$5001,"&lt;="&amp;$B235,BD!$N$3:$N$5001,"&lt;&gt;"))))</f>
        <v/>
      </c>
      <c r="H235" s="43" t="str">
        <f>IF(OR($B235="",$A235&gt;$B$9,H$219=""),"",IF(COUNTIFS(BD!$B$3:$B$5001,H$219,BD!$A$3:$A$5001,"&gt;="&amp;$C$7,BD!$A$3:$A$5001,"&lt;="&amp;$B235,BD!$N$3:$N$5001,"&lt;&gt;")=0,"",SUMIFS(BD!$N$3:$N$5001,BD!$B$3:$B$5001,H$219,BD!$A$3:$A$5001,_xlfn.MAXIFS(BD!$A$3:$A$5001,BD!$B$3:$B$5001,H$219,BD!$A$3:$A$5001,"&gt;="&amp;$C$7,BD!$A$3:$A$5001,"&lt;="&amp;$B235,BD!$N$3:$N$5001,"&lt;&gt;"))))</f>
        <v/>
      </c>
      <c r="I235" s="43" t="str">
        <f>IF(OR($B235="",$A235&gt;$B$9,I$219=""),"",IF(COUNTIFS(BD!$B$3:$B$5001,I$219,BD!$A$3:$A$5001,"&gt;="&amp;$C$7,BD!$A$3:$A$5001,"&lt;="&amp;$B235,BD!$N$3:$N$5001,"&lt;&gt;")=0,"",SUMIFS(BD!$N$3:$N$5001,BD!$B$3:$B$5001,I$219,BD!$A$3:$A$5001,_xlfn.MAXIFS(BD!$A$3:$A$5001,BD!$B$3:$B$5001,I$219,BD!$A$3:$A$5001,"&gt;="&amp;$C$7,BD!$A$3:$A$5001,"&lt;="&amp;$B235,BD!$N$3:$N$5001,"&lt;&gt;"))))</f>
        <v/>
      </c>
      <c r="J235" s="43" t="str">
        <f>IF(OR($B235="",$A235&gt;$B$9,J$219=""),"",IF(COUNTIFS(BD!$B$3:$B$5001,J$219,BD!$A$3:$A$5001,"&gt;="&amp;$C$7,BD!$A$3:$A$5001,"&lt;="&amp;$B235,BD!$N$3:$N$5001,"&lt;&gt;")=0,"",SUMIFS(BD!$N$3:$N$5001,BD!$B$3:$B$5001,J$219,BD!$A$3:$A$5001,_xlfn.MAXIFS(BD!$A$3:$A$5001,BD!$B$3:$B$5001,J$219,BD!$A$3:$A$5001,"&gt;="&amp;$C$7,BD!$A$3:$A$5001,"&lt;="&amp;$B235,BD!$N$3:$N$5001,"&lt;&gt;"))))</f>
        <v/>
      </c>
      <c r="K235" s="43" t="str">
        <f>IF(OR($B235="",$A235&gt;$B$9,K$219=""),"",IF(COUNTIFS(BD!$B$3:$B$5001,K$219,BD!$A$3:$A$5001,"&gt;="&amp;$C$7,BD!$A$3:$A$5001,"&lt;="&amp;$B235,BD!$N$3:$N$5001,"&lt;&gt;")=0,"",SUMIFS(BD!$N$3:$N$5001,BD!$B$3:$B$5001,K$219,BD!$A$3:$A$5001,_xlfn.MAXIFS(BD!$A$3:$A$5001,BD!$B$3:$B$5001,K$219,BD!$A$3:$A$5001,"&gt;="&amp;$C$7,BD!$A$3:$A$5001,"&lt;="&amp;$B235,BD!$N$3:$N$5001,"&lt;&gt;"))))</f>
        <v/>
      </c>
      <c r="L235" s="43" t="str">
        <f>IF(OR($B235="",$A235&gt;$B$9,L$219=""),"",IF(COUNTIFS(BD!$B$3:$B$5001,L$219,BD!$A$3:$A$5001,"&gt;="&amp;$C$7,BD!$A$3:$A$5001,"&lt;="&amp;$B235,BD!$N$3:$N$5001,"&lt;&gt;")=0,"",SUMIFS(BD!$N$3:$N$5001,BD!$B$3:$B$5001,L$219,BD!$A$3:$A$5001,_xlfn.MAXIFS(BD!$A$3:$A$5001,BD!$B$3:$B$5001,L$219,BD!$A$3:$A$5001,"&gt;="&amp;$C$7,BD!$A$3:$A$5001,"&lt;="&amp;$B235,BD!$N$3:$N$5001,"&lt;&gt;"))))</f>
        <v/>
      </c>
      <c r="M235" s="43" t="str">
        <f>IF(OR($B235="",$A235&gt;$B$9,M$219=""),"",IF(COUNTIFS(BD!$B$3:$B$5001,M$219,BD!$A$3:$A$5001,"&gt;="&amp;$C$7,BD!$A$3:$A$5001,"&lt;="&amp;$B235,BD!$N$3:$N$5001,"&lt;&gt;")=0,"",SUMIFS(BD!$N$3:$N$5001,BD!$B$3:$B$5001,M$219,BD!$A$3:$A$5001,_xlfn.MAXIFS(BD!$A$3:$A$5001,BD!$B$3:$B$5001,M$219,BD!$A$3:$A$5001,"&gt;="&amp;$C$7,BD!$A$3:$A$5001,"&lt;="&amp;$B235,BD!$N$3:$N$5001,"&lt;&gt;"))))</f>
        <v/>
      </c>
      <c r="N235" s="43" t="str">
        <f>IF(OR($B235="",$A235&gt;$B$9,N$219=""),"",IF(COUNTIFS(BD!$B$3:$B$5001,N$219,BD!$A$3:$A$5001,"&gt;="&amp;$C$7,BD!$A$3:$A$5001,"&lt;="&amp;$B235,BD!$N$3:$N$5001,"&lt;&gt;")=0,"",SUMIFS(BD!$N$3:$N$5001,BD!$B$3:$B$5001,N$219,BD!$A$3:$A$5001,_xlfn.MAXIFS(BD!$A$3:$A$5001,BD!$B$3:$B$5001,N$219,BD!$A$3:$A$5001,"&gt;="&amp;$C$7,BD!$A$3:$A$5001,"&lt;="&amp;$B235,BD!$N$3:$N$5001,"&lt;&gt;"))))</f>
        <v/>
      </c>
      <c r="O235" s="43" t="str">
        <f>IF(OR($B235="",$A235&gt;$B$9,O$219=""),"",IF(COUNTIFS(BD!$B$3:$B$5001,O$219,BD!$A$3:$A$5001,"&gt;="&amp;$C$7,BD!$A$3:$A$5001,"&lt;="&amp;$B235,BD!$N$3:$N$5001,"&lt;&gt;")=0,"",SUMIFS(BD!$N$3:$N$5001,BD!$B$3:$B$5001,O$219,BD!$A$3:$A$5001,_xlfn.MAXIFS(BD!$A$3:$A$5001,BD!$B$3:$B$5001,O$219,BD!$A$3:$A$5001,"&gt;="&amp;$C$7,BD!$A$3:$A$5001,"&lt;="&amp;$B235,BD!$N$3:$N$5001,"&lt;&gt;"))))</f>
        <v/>
      </c>
      <c r="P235" s="43" t="str">
        <f>IF(OR($B235="",$A235&gt;$B$9,P$219=""),"",IF(COUNTIFS(BD!$B$3:$B$5001,P$219,BD!$A$3:$A$5001,"&gt;="&amp;$C$7,BD!$A$3:$A$5001,"&lt;="&amp;$B235,BD!$N$3:$N$5001,"&lt;&gt;")=0,"",SUMIFS(BD!$N$3:$N$5001,BD!$B$3:$B$5001,P$219,BD!$A$3:$A$5001,_xlfn.MAXIFS(BD!$A$3:$A$5001,BD!$B$3:$B$5001,P$219,BD!$A$3:$A$5001,"&gt;="&amp;$C$7,BD!$A$3:$A$5001,"&lt;="&amp;$B235,BD!$N$3:$N$5001,"&lt;&gt;"))))</f>
        <v/>
      </c>
      <c r="Q235" s="43" t="str">
        <f>IF(OR($B235="",$A235&gt;$B$9,Q$219=""),"",IF(COUNTIFS(BD!$B$3:$B$5001,Q$219,BD!$A$3:$A$5001,"&gt;="&amp;$C$7,BD!$A$3:$A$5001,"&lt;="&amp;$B235,BD!$N$3:$N$5001,"&lt;&gt;")=0,"",SUMIFS(BD!$N$3:$N$5001,BD!$B$3:$B$5001,Q$219,BD!$A$3:$A$5001,_xlfn.MAXIFS(BD!$A$3:$A$5001,BD!$B$3:$B$5001,Q$219,BD!$A$3:$A$5001,"&gt;="&amp;$C$7,BD!$A$3:$A$5001,"&lt;="&amp;$B235,BD!$N$3:$N$5001,"&lt;&gt;"))))</f>
        <v/>
      </c>
      <c r="R235" s="43" t="str">
        <f>IF(OR($B235="",$A235&gt;$B$9,R$219=""),"",IF(COUNTIFS(BD!$B$3:$B$5001,R$219,BD!$A$3:$A$5001,"&gt;="&amp;$C$7,BD!$A$3:$A$5001,"&lt;="&amp;$B235,BD!$N$3:$N$5001,"&lt;&gt;")=0,"",SUMIFS(BD!$N$3:$N$5001,BD!$B$3:$B$5001,R$219,BD!$A$3:$A$5001,_xlfn.MAXIFS(BD!$A$3:$A$5001,BD!$B$3:$B$5001,R$219,BD!$A$3:$A$5001,"&gt;="&amp;$C$7,BD!$A$3:$A$5001,"&lt;="&amp;$B235,BD!$N$3:$N$5001,"&lt;&gt;"))))</f>
        <v/>
      </c>
      <c r="S235" s="43" t="str">
        <f>IF(OR($B235="",$A235&gt;$B$9,S$219=""),"",IF(COUNTIFS(BD!$B$3:$B$5001,S$219,BD!$A$3:$A$5001,"&gt;="&amp;$C$7,BD!$A$3:$A$5001,"&lt;="&amp;$B235,BD!$N$3:$N$5001,"&lt;&gt;")=0,"",SUMIFS(BD!$N$3:$N$5001,BD!$B$3:$B$5001,S$219,BD!$A$3:$A$5001,_xlfn.MAXIFS(BD!$A$3:$A$5001,BD!$B$3:$B$5001,S$219,BD!$A$3:$A$5001,"&gt;="&amp;$C$7,BD!$A$3:$A$5001,"&lt;="&amp;$B235,BD!$N$3:$N$5001,"&lt;&gt;"))))</f>
        <v/>
      </c>
      <c r="T235" s="43" t="str">
        <f>IF(OR($B235="",$A235&gt;$B$9,T$219=""),"",IF(COUNTIFS(BD!$B$3:$B$5001,T$219,BD!$A$3:$A$5001,"&gt;="&amp;$C$7,BD!$A$3:$A$5001,"&lt;="&amp;$B235,BD!$N$3:$N$5001,"&lt;&gt;")=0,"",SUMIFS(BD!$N$3:$N$5001,BD!$B$3:$B$5001,T$219,BD!$A$3:$A$5001,_xlfn.MAXIFS(BD!$A$3:$A$5001,BD!$B$3:$B$5001,T$219,BD!$A$3:$A$5001,"&gt;="&amp;$C$7,BD!$A$3:$A$5001,"&lt;="&amp;$B235,BD!$N$3:$N$5001,"&lt;&gt;"))))</f>
        <v/>
      </c>
      <c r="U235" s="43" t="str">
        <f>IF(OR($B235="",$A235&gt;$B$9,U$219=""),"",IF(COUNTIFS(BD!$B$3:$B$5001,U$219,BD!$A$3:$A$5001,"&gt;="&amp;$C$7,BD!$A$3:$A$5001,"&lt;="&amp;$B235,BD!$N$3:$N$5001,"&lt;&gt;")=0,"",SUMIFS(BD!$N$3:$N$5001,BD!$B$3:$B$5001,U$219,BD!$A$3:$A$5001,_xlfn.MAXIFS(BD!$A$3:$A$5001,BD!$B$3:$B$5001,U$219,BD!$A$3:$A$5001,"&gt;="&amp;$C$7,BD!$A$3:$A$5001,"&lt;="&amp;$B235,BD!$N$3:$N$5001,"&lt;&gt;"))))</f>
        <v/>
      </c>
      <c r="V235" s="43" t="str">
        <f>IF(OR($B235="",$A235&gt;$B$9,V$219=""),"",IF(COUNTIFS(BD!$B$3:$B$5001,V$219,BD!$A$3:$A$5001,"&gt;="&amp;$C$7,BD!$A$3:$A$5001,"&lt;="&amp;$B235,BD!$N$3:$N$5001,"&lt;&gt;")=0,"",SUMIFS(BD!$N$3:$N$5001,BD!$B$3:$B$5001,V$219,BD!$A$3:$A$5001,_xlfn.MAXIFS(BD!$A$3:$A$5001,BD!$B$3:$B$5001,V$219,BD!$A$3:$A$5001,"&gt;="&amp;$C$7,BD!$A$3:$A$5001,"&lt;="&amp;$B235,BD!$N$3:$N$5001,"&lt;&gt;"))))</f>
        <v/>
      </c>
    </row>
    <row r="236">
      <c r="A236" s="38">
        <v>17</v>
      </c>
      <c r="B236" s="42">
        <f>$B$28</f>
        <v>46312</v>
      </c>
      <c r="C236" s="43" t="str">
        <f>IF(OR($B236="",$A236&gt;$B$9,C$219=""),"",IF(COUNTIFS(BD!$B$3:$B$5001,C$219,BD!$A$3:$A$5001,"&gt;="&amp;$C$7,BD!$A$3:$A$5001,"&lt;="&amp;$B236,BD!$N$3:$N$5001,"&lt;&gt;")=0,"",SUMIFS(BD!$N$3:$N$5001,BD!$B$3:$B$5001,C$219,BD!$A$3:$A$5001,_xlfn.MAXIFS(BD!$A$3:$A$5001,BD!$B$3:$B$5001,C$219,BD!$A$3:$A$5001,"&gt;="&amp;$C$7,BD!$A$3:$A$5001,"&lt;="&amp;$B236,BD!$N$3:$N$5001,"&lt;&gt;"))))</f>
        <v/>
      </c>
      <c r="D236" s="43" t="str">
        <f>IF(OR($B236="",$A236&gt;$B$9,D$219=""),"",IF(COUNTIFS(BD!$B$3:$B$5001,D$219,BD!$A$3:$A$5001,"&gt;="&amp;$C$7,BD!$A$3:$A$5001,"&lt;="&amp;$B236,BD!$N$3:$N$5001,"&lt;&gt;")=0,"",SUMIFS(BD!$N$3:$N$5001,BD!$B$3:$B$5001,D$219,BD!$A$3:$A$5001,_xlfn.MAXIFS(BD!$A$3:$A$5001,BD!$B$3:$B$5001,D$219,BD!$A$3:$A$5001,"&gt;="&amp;$C$7,BD!$A$3:$A$5001,"&lt;="&amp;$B236,BD!$N$3:$N$5001,"&lt;&gt;"))))</f>
        <v/>
      </c>
      <c r="E236" s="43" t="str">
        <f>IF(OR($B236="",$A236&gt;$B$9,E$219=""),"",IF(COUNTIFS(BD!$B$3:$B$5001,E$219,BD!$A$3:$A$5001,"&gt;="&amp;$C$7,BD!$A$3:$A$5001,"&lt;="&amp;$B236,BD!$N$3:$N$5001,"&lt;&gt;")=0,"",SUMIFS(BD!$N$3:$N$5001,BD!$B$3:$B$5001,E$219,BD!$A$3:$A$5001,_xlfn.MAXIFS(BD!$A$3:$A$5001,BD!$B$3:$B$5001,E$219,BD!$A$3:$A$5001,"&gt;="&amp;$C$7,BD!$A$3:$A$5001,"&lt;="&amp;$B236,BD!$N$3:$N$5001,"&lt;&gt;"))))</f>
        <v/>
      </c>
      <c r="F236" s="43" t="str">
        <f>IF(OR($B236="",$A236&gt;$B$9,F$219=""),"",IF(COUNTIFS(BD!$B$3:$B$5001,F$219,BD!$A$3:$A$5001,"&gt;="&amp;$C$7,BD!$A$3:$A$5001,"&lt;="&amp;$B236,BD!$N$3:$N$5001,"&lt;&gt;")=0,"",SUMIFS(BD!$N$3:$N$5001,BD!$B$3:$B$5001,F$219,BD!$A$3:$A$5001,_xlfn.MAXIFS(BD!$A$3:$A$5001,BD!$B$3:$B$5001,F$219,BD!$A$3:$A$5001,"&gt;="&amp;$C$7,BD!$A$3:$A$5001,"&lt;="&amp;$B236,BD!$N$3:$N$5001,"&lt;&gt;"))))</f>
        <v/>
      </c>
      <c r="G236" s="43" t="str">
        <f>IF(OR($B236="",$A236&gt;$B$9,G$219=""),"",IF(COUNTIFS(BD!$B$3:$B$5001,G$219,BD!$A$3:$A$5001,"&gt;="&amp;$C$7,BD!$A$3:$A$5001,"&lt;="&amp;$B236,BD!$N$3:$N$5001,"&lt;&gt;")=0,"",SUMIFS(BD!$N$3:$N$5001,BD!$B$3:$B$5001,G$219,BD!$A$3:$A$5001,_xlfn.MAXIFS(BD!$A$3:$A$5001,BD!$B$3:$B$5001,G$219,BD!$A$3:$A$5001,"&gt;="&amp;$C$7,BD!$A$3:$A$5001,"&lt;="&amp;$B236,BD!$N$3:$N$5001,"&lt;&gt;"))))</f>
        <v/>
      </c>
      <c r="H236" s="43" t="str">
        <f>IF(OR($B236="",$A236&gt;$B$9,H$219=""),"",IF(COUNTIFS(BD!$B$3:$B$5001,H$219,BD!$A$3:$A$5001,"&gt;="&amp;$C$7,BD!$A$3:$A$5001,"&lt;="&amp;$B236,BD!$N$3:$N$5001,"&lt;&gt;")=0,"",SUMIFS(BD!$N$3:$N$5001,BD!$B$3:$B$5001,H$219,BD!$A$3:$A$5001,_xlfn.MAXIFS(BD!$A$3:$A$5001,BD!$B$3:$B$5001,H$219,BD!$A$3:$A$5001,"&gt;="&amp;$C$7,BD!$A$3:$A$5001,"&lt;="&amp;$B236,BD!$N$3:$N$5001,"&lt;&gt;"))))</f>
        <v/>
      </c>
      <c r="I236" s="43" t="str">
        <f>IF(OR($B236="",$A236&gt;$B$9,I$219=""),"",IF(COUNTIFS(BD!$B$3:$B$5001,I$219,BD!$A$3:$A$5001,"&gt;="&amp;$C$7,BD!$A$3:$A$5001,"&lt;="&amp;$B236,BD!$N$3:$N$5001,"&lt;&gt;")=0,"",SUMIFS(BD!$N$3:$N$5001,BD!$B$3:$B$5001,I$219,BD!$A$3:$A$5001,_xlfn.MAXIFS(BD!$A$3:$A$5001,BD!$B$3:$B$5001,I$219,BD!$A$3:$A$5001,"&gt;="&amp;$C$7,BD!$A$3:$A$5001,"&lt;="&amp;$B236,BD!$N$3:$N$5001,"&lt;&gt;"))))</f>
        <v/>
      </c>
      <c r="J236" s="43" t="str">
        <f>IF(OR($B236="",$A236&gt;$B$9,J$219=""),"",IF(COUNTIFS(BD!$B$3:$B$5001,J$219,BD!$A$3:$A$5001,"&gt;="&amp;$C$7,BD!$A$3:$A$5001,"&lt;="&amp;$B236,BD!$N$3:$N$5001,"&lt;&gt;")=0,"",SUMIFS(BD!$N$3:$N$5001,BD!$B$3:$B$5001,J$219,BD!$A$3:$A$5001,_xlfn.MAXIFS(BD!$A$3:$A$5001,BD!$B$3:$B$5001,J$219,BD!$A$3:$A$5001,"&gt;="&amp;$C$7,BD!$A$3:$A$5001,"&lt;="&amp;$B236,BD!$N$3:$N$5001,"&lt;&gt;"))))</f>
        <v/>
      </c>
      <c r="K236" s="43" t="str">
        <f>IF(OR($B236="",$A236&gt;$B$9,K$219=""),"",IF(COUNTIFS(BD!$B$3:$B$5001,K$219,BD!$A$3:$A$5001,"&gt;="&amp;$C$7,BD!$A$3:$A$5001,"&lt;="&amp;$B236,BD!$N$3:$N$5001,"&lt;&gt;")=0,"",SUMIFS(BD!$N$3:$N$5001,BD!$B$3:$B$5001,K$219,BD!$A$3:$A$5001,_xlfn.MAXIFS(BD!$A$3:$A$5001,BD!$B$3:$B$5001,K$219,BD!$A$3:$A$5001,"&gt;="&amp;$C$7,BD!$A$3:$A$5001,"&lt;="&amp;$B236,BD!$N$3:$N$5001,"&lt;&gt;"))))</f>
        <v/>
      </c>
      <c r="L236" s="43" t="str">
        <f>IF(OR($B236="",$A236&gt;$B$9,L$219=""),"",IF(COUNTIFS(BD!$B$3:$B$5001,L$219,BD!$A$3:$A$5001,"&gt;="&amp;$C$7,BD!$A$3:$A$5001,"&lt;="&amp;$B236,BD!$N$3:$N$5001,"&lt;&gt;")=0,"",SUMIFS(BD!$N$3:$N$5001,BD!$B$3:$B$5001,L$219,BD!$A$3:$A$5001,_xlfn.MAXIFS(BD!$A$3:$A$5001,BD!$B$3:$B$5001,L$219,BD!$A$3:$A$5001,"&gt;="&amp;$C$7,BD!$A$3:$A$5001,"&lt;="&amp;$B236,BD!$N$3:$N$5001,"&lt;&gt;"))))</f>
        <v/>
      </c>
      <c r="M236" s="43" t="str">
        <f>IF(OR($B236="",$A236&gt;$B$9,M$219=""),"",IF(COUNTIFS(BD!$B$3:$B$5001,M$219,BD!$A$3:$A$5001,"&gt;="&amp;$C$7,BD!$A$3:$A$5001,"&lt;="&amp;$B236,BD!$N$3:$N$5001,"&lt;&gt;")=0,"",SUMIFS(BD!$N$3:$N$5001,BD!$B$3:$B$5001,M$219,BD!$A$3:$A$5001,_xlfn.MAXIFS(BD!$A$3:$A$5001,BD!$B$3:$B$5001,M$219,BD!$A$3:$A$5001,"&gt;="&amp;$C$7,BD!$A$3:$A$5001,"&lt;="&amp;$B236,BD!$N$3:$N$5001,"&lt;&gt;"))))</f>
        <v/>
      </c>
      <c r="N236" s="43" t="str">
        <f>IF(OR($B236="",$A236&gt;$B$9,N$219=""),"",IF(COUNTIFS(BD!$B$3:$B$5001,N$219,BD!$A$3:$A$5001,"&gt;="&amp;$C$7,BD!$A$3:$A$5001,"&lt;="&amp;$B236,BD!$N$3:$N$5001,"&lt;&gt;")=0,"",SUMIFS(BD!$N$3:$N$5001,BD!$B$3:$B$5001,N$219,BD!$A$3:$A$5001,_xlfn.MAXIFS(BD!$A$3:$A$5001,BD!$B$3:$B$5001,N$219,BD!$A$3:$A$5001,"&gt;="&amp;$C$7,BD!$A$3:$A$5001,"&lt;="&amp;$B236,BD!$N$3:$N$5001,"&lt;&gt;"))))</f>
        <v/>
      </c>
      <c r="O236" s="43" t="str">
        <f>IF(OR($B236="",$A236&gt;$B$9,O$219=""),"",IF(COUNTIFS(BD!$B$3:$B$5001,O$219,BD!$A$3:$A$5001,"&gt;="&amp;$C$7,BD!$A$3:$A$5001,"&lt;="&amp;$B236,BD!$N$3:$N$5001,"&lt;&gt;")=0,"",SUMIFS(BD!$N$3:$N$5001,BD!$B$3:$B$5001,O$219,BD!$A$3:$A$5001,_xlfn.MAXIFS(BD!$A$3:$A$5001,BD!$B$3:$B$5001,O$219,BD!$A$3:$A$5001,"&gt;="&amp;$C$7,BD!$A$3:$A$5001,"&lt;="&amp;$B236,BD!$N$3:$N$5001,"&lt;&gt;"))))</f>
        <v/>
      </c>
      <c r="P236" s="43" t="str">
        <f>IF(OR($B236="",$A236&gt;$B$9,P$219=""),"",IF(COUNTIFS(BD!$B$3:$B$5001,P$219,BD!$A$3:$A$5001,"&gt;="&amp;$C$7,BD!$A$3:$A$5001,"&lt;="&amp;$B236,BD!$N$3:$N$5001,"&lt;&gt;")=0,"",SUMIFS(BD!$N$3:$N$5001,BD!$B$3:$B$5001,P$219,BD!$A$3:$A$5001,_xlfn.MAXIFS(BD!$A$3:$A$5001,BD!$B$3:$B$5001,P$219,BD!$A$3:$A$5001,"&gt;="&amp;$C$7,BD!$A$3:$A$5001,"&lt;="&amp;$B236,BD!$N$3:$N$5001,"&lt;&gt;"))))</f>
        <v/>
      </c>
      <c r="Q236" s="43" t="str">
        <f>IF(OR($B236="",$A236&gt;$B$9,Q$219=""),"",IF(COUNTIFS(BD!$B$3:$B$5001,Q$219,BD!$A$3:$A$5001,"&gt;="&amp;$C$7,BD!$A$3:$A$5001,"&lt;="&amp;$B236,BD!$N$3:$N$5001,"&lt;&gt;")=0,"",SUMIFS(BD!$N$3:$N$5001,BD!$B$3:$B$5001,Q$219,BD!$A$3:$A$5001,_xlfn.MAXIFS(BD!$A$3:$A$5001,BD!$B$3:$B$5001,Q$219,BD!$A$3:$A$5001,"&gt;="&amp;$C$7,BD!$A$3:$A$5001,"&lt;="&amp;$B236,BD!$N$3:$N$5001,"&lt;&gt;"))))</f>
        <v/>
      </c>
      <c r="R236" s="43" t="str">
        <f>IF(OR($B236="",$A236&gt;$B$9,R$219=""),"",IF(COUNTIFS(BD!$B$3:$B$5001,R$219,BD!$A$3:$A$5001,"&gt;="&amp;$C$7,BD!$A$3:$A$5001,"&lt;="&amp;$B236,BD!$N$3:$N$5001,"&lt;&gt;")=0,"",SUMIFS(BD!$N$3:$N$5001,BD!$B$3:$B$5001,R$219,BD!$A$3:$A$5001,_xlfn.MAXIFS(BD!$A$3:$A$5001,BD!$B$3:$B$5001,R$219,BD!$A$3:$A$5001,"&gt;="&amp;$C$7,BD!$A$3:$A$5001,"&lt;="&amp;$B236,BD!$N$3:$N$5001,"&lt;&gt;"))))</f>
        <v/>
      </c>
      <c r="S236" s="43" t="str">
        <f>IF(OR($B236="",$A236&gt;$B$9,S$219=""),"",IF(COUNTIFS(BD!$B$3:$B$5001,S$219,BD!$A$3:$A$5001,"&gt;="&amp;$C$7,BD!$A$3:$A$5001,"&lt;="&amp;$B236,BD!$N$3:$N$5001,"&lt;&gt;")=0,"",SUMIFS(BD!$N$3:$N$5001,BD!$B$3:$B$5001,S$219,BD!$A$3:$A$5001,_xlfn.MAXIFS(BD!$A$3:$A$5001,BD!$B$3:$B$5001,S$219,BD!$A$3:$A$5001,"&gt;="&amp;$C$7,BD!$A$3:$A$5001,"&lt;="&amp;$B236,BD!$N$3:$N$5001,"&lt;&gt;"))))</f>
        <v/>
      </c>
      <c r="T236" s="43" t="str">
        <f>IF(OR($B236="",$A236&gt;$B$9,T$219=""),"",IF(COUNTIFS(BD!$B$3:$B$5001,T$219,BD!$A$3:$A$5001,"&gt;="&amp;$C$7,BD!$A$3:$A$5001,"&lt;="&amp;$B236,BD!$N$3:$N$5001,"&lt;&gt;")=0,"",SUMIFS(BD!$N$3:$N$5001,BD!$B$3:$B$5001,T$219,BD!$A$3:$A$5001,_xlfn.MAXIFS(BD!$A$3:$A$5001,BD!$B$3:$B$5001,T$219,BD!$A$3:$A$5001,"&gt;="&amp;$C$7,BD!$A$3:$A$5001,"&lt;="&amp;$B236,BD!$N$3:$N$5001,"&lt;&gt;"))))</f>
        <v/>
      </c>
      <c r="U236" s="43" t="str">
        <f>IF(OR($B236="",$A236&gt;$B$9,U$219=""),"",IF(COUNTIFS(BD!$B$3:$B$5001,U$219,BD!$A$3:$A$5001,"&gt;="&amp;$C$7,BD!$A$3:$A$5001,"&lt;="&amp;$B236,BD!$N$3:$N$5001,"&lt;&gt;")=0,"",SUMIFS(BD!$N$3:$N$5001,BD!$B$3:$B$5001,U$219,BD!$A$3:$A$5001,_xlfn.MAXIFS(BD!$A$3:$A$5001,BD!$B$3:$B$5001,U$219,BD!$A$3:$A$5001,"&gt;="&amp;$C$7,BD!$A$3:$A$5001,"&lt;="&amp;$B236,BD!$N$3:$N$5001,"&lt;&gt;"))))</f>
        <v/>
      </c>
      <c r="V236" s="43" t="str">
        <f>IF(OR($B236="",$A236&gt;$B$9,V$219=""),"",IF(COUNTIFS(BD!$B$3:$B$5001,V$219,BD!$A$3:$A$5001,"&gt;="&amp;$C$7,BD!$A$3:$A$5001,"&lt;="&amp;$B236,BD!$N$3:$N$5001,"&lt;&gt;")=0,"",SUMIFS(BD!$N$3:$N$5001,BD!$B$3:$B$5001,V$219,BD!$A$3:$A$5001,_xlfn.MAXIFS(BD!$A$3:$A$5001,BD!$B$3:$B$5001,V$219,BD!$A$3:$A$5001,"&gt;="&amp;$C$7,BD!$A$3:$A$5001,"&lt;="&amp;$B236,BD!$N$3:$N$5001,"&lt;&gt;"))))</f>
        <v/>
      </c>
    </row>
    <row r="237">
      <c r="A237" s="38">
        <v>18</v>
      </c>
      <c r="B237" s="42">
        <f>$B$29</f>
        <v>46313</v>
      </c>
      <c r="C237" s="43" t="str">
        <f>IF(OR($B237="",$A237&gt;$B$9,C$219=""),"",IF(COUNTIFS(BD!$B$3:$B$5001,C$219,BD!$A$3:$A$5001,"&gt;="&amp;$C$7,BD!$A$3:$A$5001,"&lt;="&amp;$B237,BD!$N$3:$N$5001,"&lt;&gt;")=0,"",SUMIFS(BD!$N$3:$N$5001,BD!$B$3:$B$5001,C$219,BD!$A$3:$A$5001,_xlfn.MAXIFS(BD!$A$3:$A$5001,BD!$B$3:$B$5001,C$219,BD!$A$3:$A$5001,"&gt;="&amp;$C$7,BD!$A$3:$A$5001,"&lt;="&amp;$B237,BD!$N$3:$N$5001,"&lt;&gt;"))))</f>
        <v/>
      </c>
      <c r="D237" s="43" t="str">
        <f>IF(OR($B237="",$A237&gt;$B$9,D$219=""),"",IF(COUNTIFS(BD!$B$3:$B$5001,D$219,BD!$A$3:$A$5001,"&gt;="&amp;$C$7,BD!$A$3:$A$5001,"&lt;="&amp;$B237,BD!$N$3:$N$5001,"&lt;&gt;")=0,"",SUMIFS(BD!$N$3:$N$5001,BD!$B$3:$B$5001,D$219,BD!$A$3:$A$5001,_xlfn.MAXIFS(BD!$A$3:$A$5001,BD!$B$3:$B$5001,D$219,BD!$A$3:$A$5001,"&gt;="&amp;$C$7,BD!$A$3:$A$5001,"&lt;="&amp;$B237,BD!$N$3:$N$5001,"&lt;&gt;"))))</f>
        <v/>
      </c>
      <c r="E237" s="43" t="str">
        <f>IF(OR($B237="",$A237&gt;$B$9,E$219=""),"",IF(COUNTIFS(BD!$B$3:$B$5001,E$219,BD!$A$3:$A$5001,"&gt;="&amp;$C$7,BD!$A$3:$A$5001,"&lt;="&amp;$B237,BD!$N$3:$N$5001,"&lt;&gt;")=0,"",SUMIFS(BD!$N$3:$N$5001,BD!$B$3:$B$5001,E$219,BD!$A$3:$A$5001,_xlfn.MAXIFS(BD!$A$3:$A$5001,BD!$B$3:$B$5001,E$219,BD!$A$3:$A$5001,"&gt;="&amp;$C$7,BD!$A$3:$A$5001,"&lt;="&amp;$B237,BD!$N$3:$N$5001,"&lt;&gt;"))))</f>
        <v/>
      </c>
      <c r="F237" s="43" t="str">
        <f>IF(OR($B237="",$A237&gt;$B$9,F$219=""),"",IF(COUNTIFS(BD!$B$3:$B$5001,F$219,BD!$A$3:$A$5001,"&gt;="&amp;$C$7,BD!$A$3:$A$5001,"&lt;="&amp;$B237,BD!$N$3:$N$5001,"&lt;&gt;")=0,"",SUMIFS(BD!$N$3:$N$5001,BD!$B$3:$B$5001,F$219,BD!$A$3:$A$5001,_xlfn.MAXIFS(BD!$A$3:$A$5001,BD!$B$3:$B$5001,F$219,BD!$A$3:$A$5001,"&gt;="&amp;$C$7,BD!$A$3:$A$5001,"&lt;="&amp;$B237,BD!$N$3:$N$5001,"&lt;&gt;"))))</f>
        <v/>
      </c>
      <c r="G237" s="43" t="str">
        <f>IF(OR($B237="",$A237&gt;$B$9,G$219=""),"",IF(COUNTIFS(BD!$B$3:$B$5001,G$219,BD!$A$3:$A$5001,"&gt;="&amp;$C$7,BD!$A$3:$A$5001,"&lt;="&amp;$B237,BD!$N$3:$N$5001,"&lt;&gt;")=0,"",SUMIFS(BD!$N$3:$N$5001,BD!$B$3:$B$5001,G$219,BD!$A$3:$A$5001,_xlfn.MAXIFS(BD!$A$3:$A$5001,BD!$B$3:$B$5001,G$219,BD!$A$3:$A$5001,"&gt;="&amp;$C$7,BD!$A$3:$A$5001,"&lt;="&amp;$B237,BD!$N$3:$N$5001,"&lt;&gt;"))))</f>
        <v/>
      </c>
      <c r="H237" s="43" t="str">
        <f>IF(OR($B237="",$A237&gt;$B$9,H$219=""),"",IF(COUNTIFS(BD!$B$3:$B$5001,H$219,BD!$A$3:$A$5001,"&gt;="&amp;$C$7,BD!$A$3:$A$5001,"&lt;="&amp;$B237,BD!$N$3:$N$5001,"&lt;&gt;")=0,"",SUMIFS(BD!$N$3:$N$5001,BD!$B$3:$B$5001,H$219,BD!$A$3:$A$5001,_xlfn.MAXIFS(BD!$A$3:$A$5001,BD!$B$3:$B$5001,H$219,BD!$A$3:$A$5001,"&gt;="&amp;$C$7,BD!$A$3:$A$5001,"&lt;="&amp;$B237,BD!$N$3:$N$5001,"&lt;&gt;"))))</f>
        <v/>
      </c>
      <c r="I237" s="43" t="str">
        <f>IF(OR($B237="",$A237&gt;$B$9,I$219=""),"",IF(COUNTIFS(BD!$B$3:$B$5001,I$219,BD!$A$3:$A$5001,"&gt;="&amp;$C$7,BD!$A$3:$A$5001,"&lt;="&amp;$B237,BD!$N$3:$N$5001,"&lt;&gt;")=0,"",SUMIFS(BD!$N$3:$N$5001,BD!$B$3:$B$5001,I$219,BD!$A$3:$A$5001,_xlfn.MAXIFS(BD!$A$3:$A$5001,BD!$B$3:$B$5001,I$219,BD!$A$3:$A$5001,"&gt;="&amp;$C$7,BD!$A$3:$A$5001,"&lt;="&amp;$B237,BD!$N$3:$N$5001,"&lt;&gt;"))))</f>
        <v/>
      </c>
      <c r="J237" s="43" t="str">
        <f>IF(OR($B237="",$A237&gt;$B$9,J$219=""),"",IF(COUNTIFS(BD!$B$3:$B$5001,J$219,BD!$A$3:$A$5001,"&gt;="&amp;$C$7,BD!$A$3:$A$5001,"&lt;="&amp;$B237,BD!$N$3:$N$5001,"&lt;&gt;")=0,"",SUMIFS(BD!$N$3:$N$5001,BD!$B$3:$B$5001,J$219,BD!$A$3:$A$5001,_xlfn.MAXIFS(BD!$A$3:$A$5001,BD!$B$3:$B$5001,J$219,BD!$A$3:$A$5001,"&gt;="&amp;$C$7,BD!$A$3:$A$5001,"&lt;="&amp;$B237,BD!$N$3:$N$5001,"&lt;&gt;"))))</f>
        <v/>
      </c>
      <c r="K237" s="43" t="str">
        <f>IF(OR($B237="",$A237&gt;$B$9,K$219=""),"",IF(COUNTIFS(BD!$B$3:$B$5001,K$219,BD!$A$3:$A$5001,"&gt;="&amp;$C$7,BD!$A$3:$A$5001,"&lt;="&amp;$B237,BD!$N$3:$N$5001,"&lt;&gt;")=0,"",SUMIFS(BD!$N$3:$N$5001,BD!$B$3:$B$5001,K$219,BD!$A$3:$A$5001,_xlfn.MAXIFS(BD!$A$3:$A$5001,BD!$B$3:$B$5001,K$219,BD!$A$3:$A$5001,"&gt;="&amp;$C$7,BD!$A$3:$A$5001,"&lt;="&amp;$B237,BD!$N$3:$N$5001,"&lt;&gt;"))))</f>
        <v/>
      </c>
      <c r="L237" s="43" t="str">
        <f>IF(OR($B237="",$A237&gt;$B$9,L$219=""),"",IF(COUNTIFS(BD!$B$3:$B$5001,L$219,BD!$A$3:$A$5001,"&gt;="&amp;$C$7,BD!$A$3:$A$5001,"&lt;="&amp;$B237,BD!$N$3:$N$5001,"&lt;&gt;")=0,"",SUMIFS(BD!$N$3:$N$5001,BD!$B$3:$B$5001,L$219,BD!$A$3:$A$5001,_xlfn.MAXIFS(BD!$A$3:$A$5001,BD!$B$3:$B$5001,L$219,BD!$A$3:$A$5001,"&gt;="&amp;$C$7,BD!$A$3:$A$5001,"&lt;="&amp;$B237,BD!$N$3:$N$5001,"&lt;&gt;"))))</f>
        <v/>
      </c>
      <c r="M237" s="43" t="str">
        <f>IF(OR($B237="",$A237&gt;$B$9,M$219=""),"",IF(COUNTIFS(BD!$B$3:$B$5001,M$219,BD!$A$3:$A$5001,"&gt;="&amp;$C$7,BD!$A$3:$A$5001,"&lt;="&amp;$B237,BD!$N$3:$N$5001,"&lt;&gt;")=0,"",SUMIFS(BD!$N$3:$N$5001,BD!$B$3:$B$5001,M$219,BD!$A$3:$A$5001,_xlfn.MAXIFS(BD!$A$3:$A$5001,BD!$B$3:$B$5001,M$219,BD!$A$3:$A$5001,"&gt;="&amp;$C$7,BD!$A$3:$A$5001,"&lt;="&amp;$B237,BD!$N$3:$N$5001,"&lt;&gt;"))))</f>
        <v/>
      </c>
      <c r="N237" s="43" t="str">
        <f>IF(OR($B237="",$A237&gt;$B$9,N$219=""),"",IF(COUNTIFS(BD!$B$3:$B$5001,N$219,BD!$A$3:$A$5001,"&gt;="&amp;$C$7,BD!$A$3:$A$5001,"&lt;="&amp;$B237,BD!$N$3:$N$5001,"&lt;&gt;")=0,"",SUMIFS(BD!$N$3:$N$5001,BD!$B$3:$B$5001,N$219,BD!$A$3:$A$5001,_xlfn.MAXIFS(BD!$A$3:$A$5001,BD!$B$3:$B$5001,N$219,BD!$A$3:$A$5001,"&gt;="&amp;$C$7,BD!$A$3:$A$5001,"&lt;="&amp;$B237,BD!$N$3:$N$5001,"&lt;&gt;"))))</f>
        <v/>
      </c>
      <c r="O237" s="43" t="str">
        <f>IF(OR($B237="",$A237&gt;$B$9,O$219=""),"",IF(COUNTIFS(BD!$B$3:$B$5001,O$219,BD!$A$3:$A$5001,"&gt;="&amp;$C$7,BD!$A$3:$A$5001,"&lt;="&amp;$B237,BD!$N$3:$N$5001,"&lt;&gt;")=0,"",SUMIFS(BD!$N$3:$N$5001,BD!$B$3:$B$5001,O$219,BD!$A$3:$A$5001,_xlfn.MAXIFS(BD!$A$3:$A$5001,BD!$B$3:$B$5001,O$219,BD!$A$3:$A$5001,"&gt;="&amp;$C$7,BD!$A$3:$A$5001,"&lt;="&amp;$B237,BD!$N$3:$N$5001,"&lt;&gt;"))))</f>
        <v/>
      </c>
      <c r="P237" s="43" t="str">
        <f>IF(OR($B237="",$A237&gt;$B$9,P$219=""),"",IF(COUNTIFS(BD!$B$3:$B$5001,P$219,BD!$A$3:$A$5001,"&gt;="&amp;$C$7,BD!$A$3:$A$5001,"&lt;="&amp;$B237,BD!$N$3:$N$5001,"&lt;&gt;")=0,"",SUMIFS(BD!$N$3:$N$5001,BD!$B$3:$B$5001,P$219,BD!$A$3:$A$5001,_xlfn.MAXIFS(BD!$A$3:$A$5001,BD!$B$3:$B$5001,P$219,BD!$A$3:$A$5001,"&gt;="&amp;$C$7,BD!$A$3:$A$5001,"&lt;="&amp;$B237,BD!$N$3:$N$5001,"&lt;&gt;"))))</f>
        <v/>
      </c>
      <c r="Q237" s="43" t="str">
        <f>IF(OR($B237="",$A237&gt;$B$9,Q$219=""),"",IF(COUNTIFS(BD!$B$3:$B$5001,Q$219,BD!$A$3:$A$5001,"&gt;="&amp;$C$7,BD!$A$3:$A$5001,"&lt;="&amp;$B237,BD!$N$3:$N$5001,"&lt;&gt;")=0,"",SUMIFS(BD!$N$3:$N$5001,BD!$B$3:$B$5001,Q$219,BD!$A$3:$A$5001,_xlfn.MAXIFS(BD!$A$3:$A$5001,BD!$B$3:$B$5001,Q$219,BD!$A$3:$A$5001,"&gt;="&amp;$C$7,BD!$A$3:$A$5001,"&lt;="&amp;$B237,BD!$N$3:$N$5001,"&lt;&gt;"))))</f>
        <v/>
      </c>
      <c r="R237" s="43" t="str">
        <f>IF(OR($B237="",$A237&gt;$B$9,R$219=""),"",IF(COUNTIFS(BD!$B$3:$B$5001,R$219,BD!$A$3:$A$5001,"&gt;="&amp;$C$7,BD!$A$3:$A$5001,"&lt;="&amp;$B237,BD!$N$3:$N$5001,"&lt;&gt;")=0,"",SUMIFS(BD!$N$3:$N$5001,BD!$B$3:$B$5001,R$219,BD!$A$3:$A$5001,_xlfn.MAXIFS(BD!$A$3:$A$5001,BD!$B$3:$B$5001,R$219,BD!$A$3:$A$5001,"&gt;="&amp;$C$7,BD!$A$3:$A$5001,"&lt;="&amp;$B237,BD!$N$3:$N$5001,"&lt;&gt;"))))</f>
        <v/>
      </c>
      <c r="S237" s="43" t="str">
        <f>IF(OR($B237="",$A237&gt;$B$9,S$219=""),"",IF(COUNTIFS(BD!$B$3:$B$5001,S$219,BD!$A$3:$A$5001,"&gt;="&amp;$C$7,BD!$A$3:$A$5001,"&lt;="&amp;$B237,BD!$N$3:$N$5001,"&lt;&gt;")=0,"",SUMIFS(BD!$N$3:$N$5001,BD!$B$3:$B$5001,S$219,BD!$A$3:$A$5001,_xlfn.MAXIFS(BD!$A$3:$A$5001,BD!$B$3:$B$5001,S$219,BD!$A$3:$A$5001,"&gt;="&amp;$C$7,BD!$A$3:$A$5001,"&lt;="&amp;$B237,BD!$N$3:$N$5001,"&lt;&gt;"))))</f>
        <v/>
      </c>
      <c r="T237" s="43" t="str">
        <f>IF(OR($B237="",$A237&gt;$B$9,T$219=""),"",IF(COUNTIFS(BD!$B$3:$B$5001,T$219,BD!$A$3:$A$5001,"&gt;="&amp;$C$7,BD!$A$3:$A$5001,"&lt;="&amp;$B237,BD!$N$3:$N$5001,"&lt;&gt;")=0,"",SUMIFS(BD!$N$3:$N$5001,BD!$B$3:$B$5001,T$219,BD!$A$3:$A$5001,_xlfn.MAXIFS(BD!$A$3:$A$5001,BD!$B$3:$B$5001,T$219,BD!$A$3:$A$5001,"&gt;="&amp;$C$7,BD!$A$3:$A$5001,"&lt;="&amp;$B237,BD!$N$3:$N$5001,"&lt;&gt;"))))</f>
        <v/>
      </c>
      <c r="U237" s="43" t="str">
        <f>IF(OR($B237="",$A237&gt;$B$9,U$219=""),"",IF(COUNTIFS(BD!$B$3:$B$5001,U$219,BD!$A$3:$A$5001,"&gt;="&amp;$C$7,BD!$A$3:$A$5001,"&lt;="&amp;$B237,BD!$N$3:$N$5001,"&lt;&gt;")=0,"",SUMIFS(BD!$N$3:$N$5001,BD!$B$3:$B$5001,U$219,BD!$A$3:$A$5001,_xlfn.MAXIFS(BD!$A$3:$A$5001,BD!$B$3:$B$5001,U$219,BD!$A$3:$A$5001,"&gt;="&amp;$C$7,BD!$A$3:$A$5001,"&lt;="&amp;$B237,BD!$N$3:$N$5001,"&lt;&gt;"))))</f>
        <v/>
      </c>
      <c r="V237" s="43" t="str">
        <f>IF(OR($B237="",$A237&gt;$B$9,V$219=""),"",IF(COUNTIFS(BD!$B$3:$B$5001,V$219,BD!$A$3:$A$5001,"&gt;="&amp;$C$7,BD!$A$3:$A$5001,"&lt;="&amp;$B237,BD!$N$3:$N$5001,"&lt;&gt;")=0,"",SUMIFS(BD!$N$3:$N$5001,BD!$B$3:$B$5001,V$219,BD!$A$3:$A$5001,_xlfn.MAXIFS(BD!$A$3:$A$5001,BD!$B$3:$B$5001,V$219,BD!$A$3:$A$5001,"&gt;="&amp;$C$7,BD!$A$3:$A$5001,"&lt;="&amp;$B237,BD!$N$3:$N$5001,"&lt;&gt;"))))</f>
        <v/>
      </c>
    </row>
    <row r="238">
      <c r="A238" s="38">
        <v>19</v>
      </c>
      <c r="B238" s="42">
        <f>$B$30</f>
        <v>46314</v>
      </c>
      <c r="C238" s="43" t="str">
        <f>IF(OR($B238="",$A238&gt;$B$9,C$219=""),"",IF(COUNTIFS(BD!$B$3:$B$5001,C$219,BD!$A$3:$A$5001,"&gt;="&amp;$C$7,BD!$A$3:$A$5001,"&lt;="&amp;$B238,BD!$N$3:$N$5001,"&lt;&gt;")=0,"",SUMIFS(BD!$N$3:$N$5001,BD!$B$3:$B$5001,C$219,BD!$A$3:$A$5001,_xlfn.MAXIFS(BD!$A$3:$A$5001,BD!$B$3:$B$5001,C$219,BD!$A$3:$A$5001,"&gt;="&amp;$C$7,BD!$A$3:$A$5001,"&lt;="&amp;$B238,BD!$N$3:$N$5001,"&lt;&gt;"))))</f>
        <v/>
      </c>
      <c r="D238" s="43" t="str">
        <f>IF(OR($B238="",$A238&gt;$B$9,D$219=""),"",IF(COUNTIFS(BD!$B$3:$B$5001,D$219,BD!$A$3:$A$5001,"&gt;="&amp;$C$7,BD!$A$3:$A$5001,"&lt;="&amp;$B238,BD!$N$3:$N$5001,"&lt;&gt;")=0,"",SUMIFS(BD!$N$3:$N$5001,BD!$B$3:$B$5001,D$219,BD!$A$3:$A$5001,_xlfn.MAXIFS(BD!$A$3:$A$5001,BD!$B$3:$B$5001,D$219,BD!$A$3:$A$5001,"&gt;="&amp;$C$7,BD!$A$3:$A$5001,"&lt;="&amp;$B238,BD!$N$3:$N$5001,"&lt;&gt;"))))</f>
        <v/>
      </c>
      <c r="E238" s="43" t="str">
        <f>IF(OR($B238="",$A238&gt;$B$9,E$219=""),"",IF(COUNTIFS(BD!$B$3:$B$5001,E$219,BD!$A$3:$A$5001,"&gt;="&amp;$C$7,BD!$A$3:$A$5001,"&lt;="&amp;$B238,BD!$N$3:$N$5001,"&lt;&gt;")=0,"",SUMIFS(BD!$N$3:$N$5001,BD!$B$3:$B$5001,E$219,BD!$A$3:$A$5001,_xlfn.MAXIFS(BD!$A$3:$A$5001,BD!$B$3:$B$5001,E$219,BD!$A$3:$A$5001,"&gt;="&amp;$C$7,BD!$A$3:$A$5001,"&lt;="&amp;$B238,BD!$N$3:$N$5001,"&lt;&gt;"))))</f>
        <v/>
      </c>
      <c r="F238" s="43" t="str">
        <f>IF(OR($B238="",$A238&gt;$B$9,F$219=""),"",IF(COUNTIFS(BD!$B$3:$B$5001,F$219,BD!$A$3:$A$5001,"&gt;="&amp;$C$7,BD!$A$3:$A$5001,"&lt;="&amp;$B238,BD!$N$3:$N$5001,"&lt;&gt;")=0,"",SUMIFS(BD!$N$3:$N$5001,BD!$B$3:$B$5001,F$219,BD!$A$3:$A$5001,_xlfn.MAXIFS(BD!$A$3:$A$5001,BD!$B$3:$B$5001,F$219,BD!$A$3:$A$5001,"&gt;="&amp;$C$7,BD!$A$3:$A$5001,"&lt;="&amp;$B238,BD!$N$3:$N$5001,"&lt;&gt;"))))</f>
        <v/>
      </c>
      <c r="G238" s="43" t="str">
        <f>IF(OR($B238="",$A238&gt;$B$9,G$219=""),"",IF(COUNTIFS(BD!$B$3:$B$5001,G$219,BD!$A$3:$A$5001,"&gt;="&amp;$C$7,BD!$A$3:$A$5001,"&lt;="&amp;$B238,BD!$N$3:$N$5001,"&lt;&gt;")=0,"",SUMIFS(BD!$N$3:$N$5001,BD!$B$3:$B$5001,G$219,BD!$A$3:$A$5001,_xlfn.MAXIFS(BD!$A$3:$A$5001,BD!$B$3:$B$5001,G$219,BD!$A$3:$A$5001,"&gt;="&amp;$C$7,BD!$A$3:$A$5001,"&lt;="&amp;$B238,BD!$N$3:$N$5001,"&lt;&gt;"))))</f>
        <v/>
      </c>
      <c r="H238" s="43" t="str">
        <f>IF(OR($B238="",$A238&gt;$B$9,H$219=""),"",IF(COUNTIFS(BD!$B$3:$B$5001,H$219,BD!$A$3:$A$5001,"&gt;="&amp;$C$7,BD!$A$3:$A$5001,"&lt;="&amp;$B238,BD!$N$3:$N$5001,"&lt;&gt;")=0,"",SUMIFS(BD!$N$3:$N$5001,BD!$B$3:$B$5001,H$219,BD!$A$3:$A$5001,_xlfn.MAXIFS(BD!$A$3:$A$5001,BD!$B$3:$B$5001,H$219,BD!$A$3:$A$5001,"&gt;="&amp;$C$7,BD!$A$3:$A$5001,"&lt;="&amp;$B238,BD!$N$3:$N$5001,"&lt;&gt;"))))</f>
        <v/>
      </c>
      <c r="I238" s="43" t="str">
        <f>IF(OR($B238="",$A238&gt;$B$9,I$219=""),"",IF(COUNTIFS(BD!$B$3:$B$5001,I$219,BD!$A$3:$A$5001,"&gt;="&amp;$C$7,BD!$A$3:$A$5001,"&lt;="&amp;$B238,BD!$N$3:$N$5001,"&lt;&gt;")=0,"",SUMIFS(BD!$N$3:$N$5001,BD!$B$3:$B$5001,I$219,BD!$A$3:$A$5001,_xlfn.MAXIFS(BD!$A$3:$A$5001,BD!$B$3:$B$5001,I$219,BD!$A$3:$A$5001,"&gt;="&amp;$C$7,BD!$A$3:$A$5001,"&lt;="&amp;$B238,BD!$N$3:$N$5001,"&lt;&gt;"))))</f>
        <v/>
      </c>
      <c r="J238" s="43" t="str">
        <f>IF(OR($B238="",$A238&gt;$B$9,J$219=""),"",IF(COUNTIFS(BD!$B$3:$B$5001,J$219,BD!$A$3:$A$5001,"&gt;="&amp;$C$7,BD!$A$3:$A$5001,"&lt;="&amp;$B238,BD!$N$3:$N$5001,"&lt;&gt;")=0,"",SUMIFS(BD!$N$3:$N$5001,BD!$B$3:$B$5001,J$219,BD!$A$3:$A$5001,_xlfn.MAXIFS(BD!$A$3:$A$5001,BD!$B$3:$B$5001,J$219,BD!$A$3:$A$5001,"&gt;="&amp;$C$7,BD!$A$3:$A$5001,"&lt;="&amp;$B238,BD!$N$3:$N$5001,"&lt;&gt;"))))</f>
        <v/>
      </c>
      <c r="K238" s="43" t="str">
        <f>IF(OR($B238="",$A238&gt;$B$9,K$219=""),"",IF(COUNTIFS(BD!$B$3:$B$5001,K$219,BD!$A$3:$A$5001,"&gt;="&amp;$C$7,BD!$A$3:$A$5001,"&lt;="&amp;$B238,BD!$N$3:$N$5001,"&lt;&gt;")=0,"",SUMIFS(BD!$N$3:$N$5001,BD!$B$3:$B$5001,K$219,BD!$A$3:$A$5001,_xlfn.MAXIFS(BD!$A$3:$A$5001,BD!$B$3:$B$5001,K$219,BD!$A$3:$A$5001,"&gt;="&amp;$C$7,BD!$A$3:$A$5001,"&lt;="&amp;$B238,BD!$N$3:$N$5001,"&lt;&gt;"))))</f>
        <v/>
      </c>
      <c r="L238" s="43" t="str">
        <f>IF(OR($B238="",$A238&gt;$B$9,L$219=""),"",IF(COUNTIFS(BD!$B$3:$B$5001,L$219,BD!$A$3:$A$5001,"&gt;="&amp;$C$7,BD!$A$3:$A$5001,"&lt;="&amp;$B238,BD!$N$3:$N$5001,"&lt;&gt;")=0,"",SUMIFS(BD!$N$3:$N$5001,BD!$B$3:$B$5001,L$219,BD!$A$3:$A$5001,_xlfn.MAXIFS(BD!$A$3:$A$5001,BD!$B$3:$B$5001,L$219,BD!$A$3:$A$5001,"&gt;="&amp;$C$7,BD!$A$3:$A$5001,"&lt;="&amp;$B238,BD!$N$3:$N$5001,"&lt;&gt;"))))</f>
        <v/>
      </c>
      <c r="M238" s="43" t="str">
        <f>IF(OR($B238="",$A238&gt;$B$9,M$219=""),"",IF(COUNTIFS(BD!$B$3:$B$5001,M$219,BD!$A$3:$A$5001,"&gt;="&amp;$C$7,BD!$A$3:$A$5001,"&lt;="&amp;$B238,BD!$N$3:$N$5001,"&lt;&gt;")=0,"",SUMIFS(BD!$N$3:$N$5001,BD!$B$3:$B$5001,M$219,BD!$A$3:$A$5001,_xlfn.MAXIFS(BD!$A$3:$A$5001,BD!$B$3:$B$5001,M$219,BD!$A$3:$A$5001,"&gt;="&amp;$C$7,BD!$A$3:$A$5001,"&lt;="&amp;$B238,BD!$N$3:$N$5001,"&lt;&gt;"))))</f>
        <v/>
      </c>
      <c r="N238" s="43" t="str">
        <f>IF(OR($B238="",$A238&gt;$B$9,N$219=""),"",IF(COUNTIFS(BD!$B$3:$B$5001,N$219,BD!$A$3:$A$5001,"&gt;="&amp;$C$7,BD!$A$3:$A$5001,"&lt;="&amp;$B238,BD!$N$3:$N$5001,"&lt;&gt;")=0,"",SUMIFS(BD!$N$3:$N$5001,BD!$B$3:$B$5001,N$219,BD!$A$3:$A$5001,_xlfn.MAXIFS(BD!$A$3:$A$5001,BD!$B$3:$B$5001,N$219,BD!$A$3:$A$5001,"&gt;="&amp;$C$7,BD!$A$3:$A$5001,"&lt;="&amp;$B238,BD!$N$3:$N$5001,"&lt;&gt;"))))</f>
        <v/>
      </c>
      <c r="O238" s="43" t="str">
        <f>IF(OR($B238="",$A238&gt;$B$9,O$219=""),"",IF(COUNTIFS(BD!$B$3:$B$5001,O$219,BD!$A$3:$A$5001,"&gt;="&amp;$C$7,BD!$A$3:$A$5001,"&lt;="&amp;$B238,BD!$N$3:$N$5001,"&lt;&gt;")=0,"",SUMIFS(BD!$N$3:$N$5001,BD!$B$3:$B$5001,O$219,BD!$A$3:$A$5001,_xlfn.MAXIFS(BD!$A$3:$A$5001,BD!$B$3:$B$5001,O$219,BD!$A$3:$A$5001,"&gt;="&amp;$C$7,BD!$A$3:$A$5001,"&lt;="&amp;$B238,BD!$N$3:$N$5001,"&lt;&gt;"))))</f>
        <v/>
      </c>
      <c r="P238" s="43" t="str">
        <f>IF(OR($B238="",$A238&gt;$B$9,P$219=""),"",IF(COUNTIFS(BD!$B$3:$B$5001,P$219,BD!$A$3:$A$5001,"&gt;="&amp;$C$7,BD!$A$3:$A$5001,"&lt;="&amp;$B238,BD!$N$3:$N$5001,"&lt;&gt;")=0,"",SUMIFS(BD!$N$3:$N$5001,BD!$B$3:$B$5001,P$219,BD!$A$3:$A$5001,_xlfn.MAXIFS(BD!$A$3:$A$5001,BD!$B$3:$B$5001,P$219,BD!$A$3:$A$5001,"&gt;="&amp;$C$7,BD!$A$3:$A$5001,"&lt;="&amp;$B238,BD!$N$3:$N$5001,"&lt;&gt;"))))</f>
        <v/>
      </c>
      <c r="Q238" s="43" t="str">
        <f>IF(OR($B238="",$A238&gt;$B$9,Q$219=""),"",IF(COUNTIFS(BD!$B$3:$B$5001,Q$219,BD!$A$3:$A$5001,"&gt;="&amp;$C$7,BD!$A$3:$A$5001,"&lt;="&amp;$B238,BD!$N$3:$N$5001,"&lt;&gt;")=0,"",SUMIFS(BD!$N$3:$N$5001,BD!$B$3:$B$5001,Q$219,BD!$A$3:$A$5001,_xlfn.MAXIFS(BD!$A$3:$A$5001,BD!$B$3:$B$5001,Q$219,BD!$A$3:$A$5001,"&gt;="&amp;$C$7,BD!$A$3:$A$5001,"&lt;="&amp;$B238,BD!$N$3:$N$5001,"&lt;&gt;"))))</f>
        <v/>
      </c>
      <c r="R238" s="43" t="str">
        <f>IF(OR($B238="",$A238&gt;$B$9,R$219=""),"",IF(COUNTIFS(BD!$B$3:$B$5001,R$219,BD!$A$3:$A$5001,"&gt;="&amp;$C$7,BD!$A$3:$A$5001,"&lt;="&amp;$B238,BD!$N$3:$N$5001,"&lt;&gt;")=0,"",SUMIFS(BD!$N$3:$N$5001,BD!$B$3:$B$5001,R$219,BD!$A$3:$A$5001,_xlfn.MAXIFS(BD!$A$3:$A$5001,BD!$B$3:$B$5001,R$219,BD!$A$3:$A$5001,"&gt;="&amp;$C$7,BD!$A$3:$A$5001,"&lt;="&amp;$B238,BD!$N$3:$N$5001,"&lt;&gt;"))))</f>
        <v/>
      </c>
      <c r="S238" s="43" t="str">
        <f>IF(OR($B238="",$A238&gt;$B$9,S$219=""),"",IF(COUNTIFS(BD!$B$3:$B$5001,S$219,BD!$A$3:$A$5001,"&gt;="&amp;$C$7,BD!$A$3:$A$5001,"&lt;="&amp;$B238,BD!$N$3:$N$5001,"&lt;&gt;")=0,"",SUMIFS(BD!$N$3:$N$5001,BD!$B$3:$B$5001,S$219,BD!$A$3:$A$5001,_xlfn.MAXIFS(BD!$A$3:$A$5001,BD!$B$3:$B$5001,S$219,BD!$A$3:$A$5001,"&gt;="&amp;$C$7,BD!$A$3:$A$5001,"&lt;="&amp;$B238,BD!$N$3:$N$5001,"&lt;&gt;"))))</f>
        <v/>
      </c>
      <c r="T238" s="43" t="str">
        <f>IF(OR($B238="",$A238&gt;$B$9,T$219=""),"",IF(COUNTIFS(BD!$B$3:$B$5001,T$219,BD!$A$3:$A$5001,"&gt;="&amp;$C$7,BD!$A$3:$A$5001,"&lt;="&amp;$B238,BD!$N$3:$N$5001,"&lt;&gt;")=0,"",SUMIFS(BD!$N$3:$N$5001,BD!$B$3:$B$5001,T$219,BD!$A$3:$A$5001,_xlfn.MAXIFS(BD!$A$3:$A$5001,BD!$B$3:$B$5001,T$219,BD!$A$3:$A$5001,"&gt;="&amp;$C$7,BD!$A$3:$A$5001,"&lt;="&amp;$B238,BD!$N$3:$N$5001,"&lt;&gt;"))))</f>
        <v/>
      </c>
      <c r="U238" s="43" t="str">
        <f>IF(OR($B238="",$A238&gt;$B$9,U$219=""),"",IF(COUNTIFS(BD!$B$3:$B$5001,U$219,BD!$A$3:$A$5001,"&gt;="&amp;$C$7,BD!$A$3:$A$5001,"&lt;="&amp;$B238,BD!$N$3:$N$5001,"&lt;&gt;")=0,"",SUMIFS(BD!$N$3:$N$5001,BD!$B$3:$B$5001,U$219,BD!$A$3:$A$5001,_xlfn.MAXIFS(BD!$A$3:$A$5001,BD!$B$3:$B$5001,U$219,BD!$A$3:$A$5001,"&gt;="&amp;$C$7,BD!$A$3:$A$5001,"&lt;="&amp;$B238,BD!$N$3:$N$5001,"&lt;&gt;"))))</f>
        <v/>
      </c>
      <c r="V238" s="43" t="str">
        <f>IF(OR($B238="",$A238&gt;$B$9,V$219=""),"",IF(COUNTIFS(BD!$B$3:$B$5001,V$219,BD!$A$3:$A$5001,"&gt;="&amp;$C$7,BD!$A$3:$A$5001,"&lt;="&amp;$B238,BD!$N$3:$N$5001,"&lt;&gt;")=0,"",SUMIFS(BD!$N$3:$N$5001,BD!$B$3:$B$5001,V$219,BD!$A$3:$A$5001,_xlfn.MAXIFS(BD!$A$3:$A$5001,BD!$B$3:$B$5001,V$219,BD!$A$3:$A$5001,"&gt;="&amp;$C$7,BD!$A$3:$A$5001,"&lt;="&amp;$B238,BD!$N$3:$N$5001,"&lt;&gt;"))))</f>
        <v/>
      </c>
    </row>
    <row r="239">
      <c r="A239" s="38">
        <v>20</v>
      </c>
      <c r="B239" s="42">
        <f>$B$31</f>
        <v>46315</v>
      </c>
      <c r="C239" s="43" t="str">
        <f>IF(OR($B239="",$A239&gt;$B$9,C$219=""),"",IF(COUNTIFS(BD!$B$3:$B$5001,C$219,BD!$A$3:$A$5001,"&gt;="&amp;$C$7,BD!$A$3:$A$5001,"&lt;="&amp;$B239,BD!$N$3:$N$5001,"&lt;&gt;")=0,"",SUMIFS(BD!$N$3:$N$5001,BD!$B$3:$B$5001,C$219,BD!$A$3:$A$5001,_xlfn.MAXIFS(BD!$A$3:$A$5001,BD!$B$3:$B$5001,C$219,BD!$A$3:$A$5001,"&gt;="&amp;$C$7,BD!$A$3:$A$5001,"&lt;="&amp;$B239,BD!$N$3:$N$5001,"&lt;&gt;"))))</f>
        <v/>
      </c>
      <c r="D239" s="43" t="str">
        <f>IF(OR($B239="",$A239&gt;$B$9,D$219=""),"",IF(COUNTIFS(BD!$B$3:$B$5001,D$219,BD!$A$3:$A$5001,"&gt;="&amp;$C$7,BD!$A$3:$A$5001,"&lt;="&amp;$B239,BD!$N$3:$N$5001,"&lt;&gt;")=0,"",SUMIFS(BD!$N$3:$N$5001,BD!$B$3:$B$5001,D$219,BD!$A$3:$A$5001,_xlfn.MAXIFS(BD!$A$3:$A$5001,BD!$B$3:$B$5001,D$219,BD!$A$3:$A$5001,"&gt;="&amp;$C$7,BD!$A$3:$A$5001,"&lt;="&amp;$B239,BD!$N$3:$N$5001,"&lt;&gt;"))))</f>
        <v/>
      </c>
      <c r="E239" s="43" t="str">
        <f>IF(OR($B239="",$A239&gt;$B$9,E$219=""),"",IF(COUNTIFS(BD!$B$3:$B$5001,E$219,BD!$A$3:$A$5001,"&gt;="&amp;$C$7,BD!$A$3:$A$5001,"&lt;="&amp;$B239,BD!$N$3:$N$5001,"&lt;&gt;")=0,"",SUMIFS(BD!$N$3:$N$5001,BD!$B$3:$B$5001,E$219,BD!$A$3:$A$5001,_xlfn.MAXIFS(BD!$A$3:$A$5001,BD!$B$3:$B$5001,E$219,BD!$A$3:$A$5001,"&gt;="&amp;$C$7,BD!$A$3:$A$5001,"&lt;="&amp;$B239,BD!$N$3:$N$5001,"&lt;&gt;"))))</f>
        <v/>
      </c>
      <c r="F239" s="43" t="str">
        <f>IF(OR($B239="",$A239&gt;$B$9,F$219=""),"",IF(COUNTIFS(BD!$B$3:$B$5001,F$219,BD!$A$3:$A$5001,"&gt;="&amp;$C$7,BD!$A$3:$A$5001,"&lt;="&amp;$B239,BD!$N$3:$N$5001,"&lt;&gt;")=0,"",SUMIFS(BD!$N$3:$N$5001,BD!$B$3:$B$5001,F$219,BD!$A$3:$A$5001,_xlfn.MAXIFS(BD!$A$3:$A$5001,BD!$B$3:$B$5001,F$219,BD!$A$3:$A$5001,"&gt;="&amp;$C$7,BD!$A$3:$A$5001,"&lt;="&amp;$B239,BD!$N$3:$N$5001,"&lt;&gt;"))))</f>
        <v/>
      </c>
      <c r="G239" s="43" t="str">
        <f>IF(OR($B239="",$A239&gt;$B$9,G$219=""),"",IF(COUNTIFS(BD!$B$3:$B$5001,G$219,BD!$A$3:$A$5001,"&gt;="&amp;$C$7,BD!$A$3:$A$5001,"&lt;="&amp;$B239,BD!$N$3:$N$5001,"&lt;&gt;")=0,"",SUMIFS(BD!$N$3:$N$5001,BD!$B$3:$B$5001,G$219,BD!$A$3:$A$5001,_xlfn.MAXIFS(BD!$A$3:$A$5001,BD!$B$3:$B$5001,G$219,BD!$A$3:$A$5001,"&gt;="&amp;$C$7,BD!$A$3:$A$5001,"&lt;="&amp;$B239,BD!$N$3:$N$5001,"&lt;&gt;"))))</f>
        <v/>
      </c>
      <c r="H239" s="43" t="str">
        <f>IF(OR($B239="",$A239&gt;$B$9,H$219=""),"",IF(COUNTIFS(BD!$B$3:$B$5001,H$219,BD!$A$3:$A$5001,"&gt;="&amp;$C$7,BD!$A$3:$A$5001,"&lt;="&amp;$B239,BD!$N$3:$N$5001,"&lt;&gt;")=0,"",SUMIFS(BD!$N$3:$N$5001,BD!$B$3:$B$5001,H$219,BD!$A$3:$A$5001,_xlfn.MAXIFS(BD!$A$3:$A$5001,BD!$B$3:$B$5001,H$219,BD!$A$3:$A$5001,"&gt;="&amp;$C$7,BD!$A$3:$A$5001,"&lt;="&amp;$B239,BD!$N$3:$N$5001,"&lt;&gt;"))))</f>
        <v/>
      </c>
      <c r="I239" s="43" t="str">
        <f>IF(OR($B239="",$A239&gt;$B$9,I$219=""),"",IF(COUNTIFS(BD!$B$3:$B$5001,I$219,BD!$A$3:$A$5001,"&gt;="&amp;$C$7,BD!$A$3:$A$5001,"&lt;="&amp;$B239,BD!$N$3:$N$5001,"&lt;&gt;")=0,"",SUMIFS(BD!$N$3:$N$5001,BD!$B$3:$B$5001,I$219,BD!$A$3:$A$5001,_xlfn.MAXIFS(BD!$A$3:$A$5001,BD!$B$3:$B$5001,I$219,BD!$A$3:$A$5001,"&gt;="&amp;$C$7,BD!$A$3:$A$5001,"&lt;="&amp;$B239,BD!$N$3:$N$5001,"&lt;&gt;"))))</f>
        <v/>
      </c>
      <c r="J239" s="43" t="str">
        <f>IF(OR($B239="",$A239&gt;$B$9,J$219=""),"",IF(COUNTIFS(BD!$B$3:$B$5001,J$219,BD!$A$3:$A$5001,"&gt;="&amp;$C$7,BD!$A$3:$A$5001,"&lt;="&amp;$B239,BD!$N$3:$N$5001,"&lt;&gt;")=0,"",SUMIFS(BD!$N$3:$N$5001,BD!$B$3:$B$5001,J$219,BD!$A$3:$A$5001,_xlfn.MAXIFS(BD!$A$3:$A$5001,BD!$B$3:$B$5001,J$219,BD!$A$3:$A$5001,"&gt;="&amp;$C$7,BD!$A$3:$A$5001,"&lt;="&amp;$B239,BD!$N$3:$N$5001,"&lt;&gt;"))))</f>
        <v/>
      </c>
      <c r="K239" s="43" t="str">
        <f>IF(OR($B239="",$A239&gt;$B$9,K$219=""),"",IF(COUNTIFS(BD!$B$3:$B$5001,K$219,BD!$A$3:$A$5001,"&gt;="&amp;$C$7,BD!$A$3:$A$5001,"&lt;="&amp;$B239,BD!$N$3:$N$5001,"&lt;&gt;")=0,"",SUMIFS(BD!$N$3:$N$5001,BD!$B$3:$B$5001,K$219,BD!$A$3:$A$5001,_xlfn.MAXIFS(BD!$A$3:$A$5001,BD!$B$3:$B$5001,K$219,BD!$A$3:$A$5001,"&gt;="&amp;$C$7,BD!$A$3:$A$5001,"&lt;="&amp;$B239,BD!$N$3:$N$5001,"&lt;&gt;"))))</f>
        <v/>
      </c>
      <c r="L239" s="43" t="str">
        <f>IF(OR($B239="",$A239&gt;$B$9,L$219=""),"",IF(COUNTIFS(BD!$B$3:$B$5001,L$219,BD!$A$3:$A$5001,"&gt;="&amp;$C$7,BD!$A$3:$A$5001,"&lt;="&amp;$B239,BD!$N$3:$N$5001,"&lt;&gt;")=0,"",SUMIFS(BD!$N$3:$N$5001,BD!$B$3:$B$5001,L$219,BD!$A$3:$A$5001,_xlfn.MAXIFS(BD!$A$3:$A$5001,BD!$B$3:$B$5001,L$219,BD!$A$3:$A$5001,"&gt;="&amp;$C$7,BD!$A$3:$A$5001,"&lt;="&amp;$B239,BD!$N$3:$N$5001,"&lt;&gt;"))))</f>
        <v/>
      </c>
      <c r="M239" s="43" t="str">
        <f>IF(OR($B239="",$A239&gt;$B$9,M$219=""),"",IF(COUNTIFS(BD!$B$3:$B$5001,M$219,BD!$A$3:$A$5001,"&gt;="&amp;$C$7,BD!$A$3:$A$5001,"&lt;="&amp;$B239,BD!$N$3:$N$5001,"&lt;&gt;")=0,"",SUMIFS(BD!$N$3:$N$5001,BD!$B$3:$B$5001,M$219,BD!$A$3:$A$5001,_xlfn.MAXIFS(BD!$A$3:$A$5001,BD!$B$3:$B$5001,M$219,BD!$A$3:$A$5001,"&gt;="&amp;$C$7,BD!$A$3:$A$5001,"&lt;="&amp;$B239,BD!$N$3:$N$5001,"&lt;&gt;"))))</f>
        <v/>
      </c>
      <c r="N239" s="43" t="str">
        <f>IF(OR($B239="",$A239&gt;$B$9,N$219=""),"",IF(COUNTIFS(BD!$B$3:$B$5001,N$219,BD!$A$3:$A$5001,"&gt;="&amp;$C$7,BD!$A$3:$A$5001,"&lt;="&amp;$B239,BD!$N$3:$N$5001,"&lt;&gt;")=0,"",SUMIFS(BD!$N$3:$N$5001,BD!$B$3:$B$5001,N$219,BD!$A$3:$A$5001,_xlfn.MAXIFS(BD!$A$3:$A$5001,BD!$B$3:$B$5001,N$219,BD!$A$3:$A$5001,"&gt;="&amp;$C$7,BD!$A$3:$A$5001,"&lt;="&amp;$B239,BD!$N$3:$N$5001,"&lt;&gt;"))))</f>
        <v/>
      </c>
      <c r="O239" s="43" t="str">
        <f>IF(OR($B239="",$A239&gt;$B$9,O$219=""),"",IF(COUNTIFS(BD!$B$3:$B$5001,O$219,BD!$A$3:$A$5001,"&gt;="&amp;$C$7,BD!$A$3:$A$5001,"&lt;="&amp;$B239,BD!$N$3:$N$5001,"&lt;&gt;")=0,"",SUMIFS(BD!$N$3:$N$5001,BD!$B$3:$B$5001,O$219,BD!$A$3:$A$5001,_xlfn.MAXIFS(BD!$A$3:$A$5001,BD!$B$3:$B$5001,O$219,BD!$A$3:$A$5001,"&gt;="&amp;$C$7,BD!$A$3:$A$5001,"&lt;="&amp;$B239,BD!$N$3:$N$5001,"&lt;&gt;"))))</f>
        <v/>
      </c>
      <c r="P239" s="43" t="str">
        <f>IF(OR($B239="",$A239&gt;$B$9,P$219=""),"",IF(COUNTIFS(BD!$B$3:$B$5001,P$219,BD!$A$3:$A$5001,"&gt;="&amp;$C$7,BD!$A$3:$A$5001,"&lt;="&amp;$B239,BD!$N$3:$N$5001,"&lt;&gt;")=0,"",SUMIFS(BD!$N$3:$N$5001,BD!$B$3:$B$5001,P$219,BD!$A$3:$A$5001,_xlfn.MAXIFS(BD!$A$3:$A$5001,BD!$B$3:$B$5001,P$219,BD!$A$3:$A$5001,"&gt;="&amp;$C$7,BD!$A$3:$A$5001,"&lt;="&amp;$B239,BD!$N$3:$N$5001,"&lt;&gt;"))))</f>
        <v/>
      </c>
      <c r="Q239" s="43" t="str">
        <f>IF(OR($B239="",$A239&gt;$B$9,Q$219=""),"",IF(COUNTIFS(BD!$B$3:$B$5001,Q$219,BD!$A$3:$A$5001,"&gt;="&amp;$C$7,BD!$A$3:$A$5001,"&lt;="&amp;$B239,BD!$N$3:$N$5001,"&lt;&gt;")=0,"",SUMIFS(BD!$N$3:$N$5001,BD!$B$3:$B$5001,Q$219,BD!$A$3:$A$5001,_xlfn.MAXIFS(BD!$A$3:$A$5001,BD!$B$3:$B$5001,Q$219,BD!$A$3:$A$5001,"&gt;="&amp;$C$7,BD!$A$3:$A$5001,"&lt;="&amp;$B239,BD!$N$3:$N$5001,"&lt;&gt;"))))</f>
        <v/>
      </c>
      <c r="R239" s="43" t="str">
        <f>IF(OR($B239="",$A239&gt;$B$9,R$219=""),"",IF(COUNTIFS(BD!$B$3:$B$5001,R$219,BD!$A$3:$A$5001,"&gt;="&amp;$C$7,BD!$A$3:$A$5001,"&lt;="&amp;$B239,BD!$N$3:$N$5001,"&lt;&gt;")=0,"",SUMIFS(BD!$N$3:$N$5001,BD!$B$3:$B$5001,R$219,BD!$A$3:$A$5001,_xlfn.MAXIFS(BD!$A$3:$A$5001,BD!$B$3:$B$5001,R$219,BD!$A$3:$A$5001,"&gt;="&amp;$C$7,BD!$A$3:$A$5001,"&lt;="&amp;$B239,BD!$N$3:$N$5001,"&lt;&gt;"))))</f>
        <v/>
      </c>
      <c r="S239" s="43" t="str">
        <f>IF(OR($B239="",$A239&gt;$B$9,S$219=""),"",IF(COUNTIFS(BD!$B$3:$B$5001,S$219,BD!$A$3:$A$5001,"&gt;="&amp;$C$7,BD!$A$3:$A$5001,"&lt;="&amp;$B239,BD!$N$3:$N$5001,"&lt;&gt;")=0,"",SUMIFS(BD!$N$3:$N$5001,BD!$B$3:$B$5001,S$219,BD!$A$3:$A$5001,_xlfn.MAXIFS(BD!$A$3:$A$5001,BD!$B$3:$B$5001,S$219,BD!$A$3:$A$5001,"&gt;="&amp;$C$7,BD!$A$3:$A$5001,"&lt;="&amp;$B239,BD!$N$3:$N$5001,"&lt;&gt;"))))</f>
        <v/>
      </c>
      <c r="T239" s="43" t="str">
        <f>IF(OR($B239="",$A239&gt;$B$9,T$219=""),"",IF(COUNTIFS(BD!$B$3:$B$5001,T$219,BD!$A$3:$A$5001,"&gt;="&amp;$C$7,BD!$A$3:$A$5001,"&lt;="&amp;$B239,BD!$N$3:$N$5001,"&lt;&gt;")=0,"",SUMIFS(BD!$N$3:$N$5001,BD!$B$3:$B$5001,T$219,BD!$A$3:$A$5001,_xlfn.MAXIFS(BD!$A$3:$A$5001,BD!$B$3:$B$5001,T$219,BD!$A$3:$A$5001,"&gt;="&amp;$C$7,BD!$A$3:$A$5001,"&lt;="&amp;$B239,BD!$N$3:$N$5001,"&lt;&gt;"))))</f>
        <v/>
      </c>
      <c r="U239" s="43" t="str">
        <f>IF(OR($B239="",$A239&gt;$B$9,U$219=""),"",IF(COUNTIFS(BD!$B$3:$B$5001,U$219,BD!$A$3:$A$5001,"&gt;="&amp;$C$7,BD!$A$3:$A$5001,"&lt;="&amp;$B239,BD!$N$3:$N$5001,"&lt;&gt;")=0,"",SUMIFS(BD!$N$3:$N$5001,BD!$B$3:$B$5001,U$219,BD!$A$3:$A$5001,_xlfn.MAXIFS(BD!$A$3:$A$5001,BD!$B$3:$B$5001,U$219,BD!$A$3:$A$5001,"&gt;="&amp;$C$7,BD!$A$3:$A$5001,"&lt;="&amp;$B239,BD!$N$3:$N$5001,"&lt;&gt;"))))</f>
        <v/>
      </c>
      <c r="V239" s="43" t="str">
        <f>IF(OR($B239="",$A239&gt;$B$9,V$219=""),"",IF(COUNTIFS(BD!$B$3:$B$5001,V$219,BD!$A$3:$A$5001,"&gt;="&amp;$C$7,BD!$A$3:$A$5001,"&lt;="&amp;$B239,BD!$N$3:$N$5001,"&lt;&gt;")=0,"",SUMIFS(BD!$N$3:$N$5001,BD!$B$3:$B$5001,V$219,BD!$A$3:$A$5001,_xlfn.MAXIFS(BD!$A$3:$A$5001,BD!$B$3:$B$5001,V$219,BD!$A$3:$A$5001,"&gt;="&amp;$C$7,BD!$A$3:$A$5001,"&lt;="&amp;$B239,BD!$N$3:$N$5001,"&lt;&gt;"))))</f>
        <v/>
      </c>
    </row>
    <row r="240">
      <c r="A240" s="38">
        <v>21</v>
      </c>
      <c r="B240" s="42">
        <f>$B$32</f>
        <v>46316</v>
      </c>
      <c r="C240" s="43" t="str">
        <f>IF(OR($B240="",$A240&gt;$B$9,C$219=""),"",IF(COUNTIFS(BD!$B$3:$B$5001,C$219,BD!$A$3:$A$5001,"&gt;="&amp;$C$7,BD!$A$3:$A$5001,"&lt;="&amp;$B240,BD!$N$3:$N$5001,"&lt;&gt;")=0,"",SUMIFS(BD!$N$3:$N$5001,BD!$B$3:$B$5001,C$219,BD!$A$3:$A$5001,_xlfn.MAXIFS(BD!$A$3:$A$5001,BD!$B$3:$B$5001,C$219,BD!$A$3:$A$5001,"&gt;="&amp;$C$7,BD!$A$3:$A$5001,"&lt;="&amp;$B240,BD!$N$3:$N$5001,"&lt;&gt;"))))</f>
        <v/>
      </c>
      <c r="D240" s="43" t="str">
        <f>IF(OR($B240="",$A240&gt;$B$9,D$219=""),"",IF(COUNTIFS(BD!$B$3:$B$5001,D$219,BD!$A$3:$A$5001,"&gt;="&amp;$C$7,BD!$A$3:$A$5001,"&lt;="&amp;$B240,BD!$N$3:$N$5001,"&lt;&gt;")=0,"",SUMIFS(BD!$N$3:$N$5001,BD!$B$3:$B$5001,D$219,BD!$A$3:$A$5001,_xlfn.MAXIFS(BD!$A$3:$A$5001,BD!$B$3:$B$5001,D$219,BD!$A$3:$A$5001,"&gt;="&amp;$C$7,BD!$A$3:$A$5001,"&lt;="&amp;$B240,BD!$N$3:$N$5001,"&lt;&gt;"))))</f>
        <v/>
      </c>
      <c r="E240" s="43" t="str">
        <f>IF(OR($B240="",$A240&gt;$B$9,E$219=""),"",IF(COUNTIFS(BD!$B$3:$B$5001,E$219,BD!$A$3:$A$5001,"&gt;="&amp;$C$7,BD!$A$3:$A$5001,"&lt;="&amp;$B240,BD!$N$3:$N$5001,"&lt;&gt;")=0,"",SUMIFS(BD!$N$3:$N$5001,BD!$B$3:$B$5001,E$219,BD!$A$3:$A$5001,_xlfn.MAXIFS(BD!$A$3:$A$5001,BD!$B$3:$B$5001,E$219,BD!$A$3:$A$5001,"&gt;="&amp;$C$7,BD!$A$3:$A$5001,"&lt;="&amp;$B240,BD!$N$3:$N$5001,"&lt;&gt;"))))</f>
        <v/>
      </c>
      <c r="F240" s="43" t="str">
        <f>IF(OR($B240="",$A240&gt;$B$9,F$219=""),"",IF(COUNTIFS(BD!$B$3:$B$5001,F$219,BD!$A$3:$A$5001,"&gt;="&amp;$C$7,BD!$A$3:$A$5001,"&lt;="&amp;$B240,BD!$N$3:$N$5001,"&lt;&gt;")=0,"",SUMIFS(BD!$N$3:$N$5001,BD!$B$3:$B$5001,F$219,BD!$A$3:$A$5001,_xlfn.MAXIFS(BD!$A$3:$A$5001,BD!$B$3:$B$5001,F$219,BD!$A$3:$A$5001,"&gt;="&amp;$C$7,BD!$A$3:$A$5001,"&lt;="&amp;$B240,BD!$N$3:$N$5001,"&lt;&gt;"))))</f>
        <v/>
      </c>
      <c r="G240" s="43" t="str">
        <f>IF(OR($B240="",$A240&gt;$B$9,G$219=""),"",IF(COUNTIFS(BD!$B$3:$B$5001,G$219,BD!$A$3:$A$5001,"&gt;="&amp;$C$7,BD!$A$3:$A$5001,"&lt;="&amp;$B240,BD!$N$3:$N$5001,"&lt;&gt;")=0,"",SUMIFS(BD!$N$3:$N$5001,BD!$B$3:$B$5001,G$219,BD!$A$3:$A$5001,_xlfn.MAXIFS(BD!$A$3:$A$5001,BD!$B$3:$B$5001,G$219,BD!$A$3:$A$5001,"&gt;="&amp;$C$7,BD!$A$3:$A$5001,"&lt;="&amp;$B240,BD!$N$3:$N$5001,"&lt;&gt;"))))</f>
        <v/>
      </c>
      <c r="H240" s="43" t="str">
        <f>IF(OR($B240="",$A240&gt;$B$9,H$219=""),"",IF(COUNTIFS(BD!$B$3:$B$5001,H$219,BD!$A$3:$A$5001,"&gt;="&amp;$C$7,BD!$A$3:$A$5001,"&lt;="&amp;$B240,BD!$N$3:$N$5001,"&lt;&gt;")=0,"",SUMIFS(BD!$N$3:$N$5001,BD!$B$3:$B$5001,H$219,BD!$A$3:$A$5001,_xlfn.MAXIFS(BD!$A$3:$A$5001,BD!$B$3:$B$5001,H$219,BD!$A$3:$A$5001,"&gt;="&amp;$C$7,BD!$A$3:$A$5001,"&lt;="&amp;$B240,BD!$N$3:$N$5001,"&lt;&gt;"))))</f>
        <v/>
      </c>
      <c r="I240" s="43" t="str">
        <f>IF(OR($B240="",$A240&gt;$B$9,I$219=""),"",IF(COUNTIFS(BD!$B$3:$B$5001,I$219,BD!$A$3:$A$5001,"&gt;="&amp;$C$7,BD!$A$3:$A$5001,"&lt;="&amp;$B240,BD!$N$3:$N$5001,"&lt;&gt;")=0,"",SUMIFS(BD!$N$3:$N$5001,BD!$B$3:$B$5001,I$219,BD!$A$3:$A$5001,_xlfn.MAXIFS(BD!$A$3:$A$5001,BD!$B$3:$B$5001,I$219,BD!$A$3:$A$5001,"&gt;="&amp;$C$7,BD!$A$3:$A$5001,"&lt;="&amp;$B240,BD!$N$3:$N$5001,"&lt;&gt;"))))</f>
        <v/>
      </c>
      <c r="J240" s="43" t="str">
        <f>IF(OR($B240="",$A240&gt;$B$9,J$219=""),"",IF(COUNTIFS(BD!$B$3:$B$5001,J$219,BD!$A$3:$A$5001,"&gt;="&amp;$C$7,BD!$A$3:$A$5001,"&lt;="&amp;$B240,BD!$N$3:$N$5001,"&lt;&gt;")=0,"",SUMIFS(BD!$N$3:$N$5001,BD!$B$3:$B$5001,J$219,BD!$A$3:$A$5001,_xlfn.MAXIFS(BD!$A$3:$A$5001,BD!$B$3:$B$5001,J$219,BD!$A$3:$A$5001,"&gt;="&amp;$C$7,BD!$A$3:$A$5001,"&lt;="&amp;$B240,BD!$N$3:$N$5001,"&lt;&gt;"))))</f>
        <v/>
      </c>
      <c r="K240" s="43" t="str">
        <f>IF(OR($B240="",$A240&gt;$B$9,K$219=""),"",IF(COUNTIFS(BD!$B$3:$B$5001,K$219,BD!$A$3:$A$5001,"&gt;="&amp;$C$7,BD!$A$3:$A$5001,"&lt;="&amp;$B240,BD!$N$3:$N$5001,"&lt;&gt;")=0,"",SUMIFS(BD!$N$3:$N$5001,BD!$B$3:$B$5001,K$219,BD!$A$3:$A$5001,_xlfn.MAXIFS(BD!$A$3:$A$5001,BD!$B$3:$B$5001,K$219,BD!$A$3:$A$5001,"&gt;="&amp;$C$7,BD!$A$3:$A$5001,"&lt;="&amp;$B240,BD!$N$3:$N$5001,"&lt;&gt;"))))</f>
        <v/>
      </c>
      <c r="L240" s="43" t="str">
        <f>IF(OR($B240="",$A240&gt;$B$9,L$219=""),"",IF(COUNTIFS(BD!$B$3:$B$5001,L$219,BD!$A$3:$A$5001,"&gt;="&amp;$C$7,BD!$A$3:$A$5001,"&lt;="&amp;$B240,BD!$N$3:$N$5001,"&lt;&gt;")=0,"",SUMIFS(BD!$N$3:$N$5001,BD!$B$3:$B$5001,L$219,BD!$A$3:$A$5001,_xlfn.MAXIFS(BD!$A$3:$A$5001,BD!$B$3:$B$5001,L$219,BD!$A$3:$A$5001,"&gt;="&amp;$C$7,BD!$A$3:$A$5001,"&lt;="&amp;$B240,BD!$N$3:$N$5001,"&lt;&gt;"))))</f>
        <v/>
      </c>
      <c r="M240" s="43" t="str">
        <f>IF(OR($B240="",$A240&gt;$B$9,M$219=""),"",IF(COUNTIFS(BD!$B$3:$B$5001,M$219,BD!$A$3:$A$5001,"&gt;="&amp;$C$7,BD!$A$3:$A$5001,"&lt;="&amp;$B240,BD!$N$3:$N$5001,"&lt;&gt;")=0,"",SUMIFS(BD!$N$3:$N$5001,BD!$B$3:$B$5001,M$219,BD!$A$3:$A$5001,_xlfn.MAXIFS(BD!$A$3:$A$5001,BD!$B$3:$B$5001,M$219,BD!$A$3:$A$5001,"&gt;="&amp;$C$7,BD!$A$3:$A$5001,"&lt;="&amp;$B240,BD!$N$3:$N$5001,"&lt;&gt;"))))</f>
        <v/>
      </c>
      <c r="N240" s="43" t="str">
        <f>IF(OR($B240="",$A240&gt;$B$9,N$219=""),"",IF(COUNTIFS(BD!$B$3:$B$5001,N$219,BD!$A$3:$A$5001,"&gt;="&amp;$C$7,BD!$A$3:$A$5001,"&lt;="&amp;$B240,BD!$N$3:$N$5001,"&lt;&gt;")=0,"",SUMIFS(BD!$N$3:$N$5001,BD!$B$3:$B$5001,N$219,BD!$A$3:$A$5001,_xlfn.MAXIFS(BD!$A$3:$A$5001,BD!$B$3:$B$5001,N$219,BD!$A$3:$A$5001,"&gt;="&amp;$C$7,BD!$A$3:$A$5001,"&lt;="&amp;$B240,BD!$N$3:$N$5001,"&lt;&gt;"))))</f>
        <v/>
      </c>
      <c r="O240" s="43" t="str">
        <f>IF(OR($B240="",$A240&gt;$B$9,O$219=""),"",IF(COUNTIFS(BD!$B$3:$B$5001,O$219,BD!$A$3:$A$5001,"&gt;="&amp;$C$7,BD!$A$3:$A$5001,"&lt;="&amp;$B240,BD!$N$3:$N$5001,"&lt;&gt;")=0,"",SUMIFS(BD!$N$3:$N$5001,BD!$B$3:$B$5001,O$219,BD!$A$3:$A$5001,_xlfn.MAXIFS(BD!$A$3:$A$5001,BD!$B$3:$B$5001,O$219,BD!$A$3:$A$5001,"&gt;="&amp;$C$7,BD!$A$3:$A$5001,"&lt;="&amp;$B240,BD!$N$3:$N$5001,"&lt;&gt;"))))</f>
        <v/>
      </c>
      <c r="P240" s="43" t="str">
        <f>IF(OR($B240="",$A240&gt;$B$9,P$219=""),"",IF(COUNTIFS(BD!$B$3:$B$5001,P$219,BD!$A$3:$A$5001,"&gt;="&amp;$C$7,BD!$A$3:$A$5001,"&lt;="&amp;$B240,BD!$N$3:$N$5001,"&lt;&gt;")=0,"",SUMIFS(BD!$N$3:$N$5001,BD!$B$3:$B$5001,P$219,BD!$A$3:$A$5001,_xlfn.MAXIFS(BD!$A$3:$A$5001,BD!$B$3:$B$5001,P$219,BD!$A$3:$A$5001,"&gt;="&amp;$C$7,BD!$A$3:$A$5001,"&lt;="&amp;$B240,BD!$N$3:$N$5001,"&lt;&gt;"))))</f>
        <v/>
      </c>
      <c r="Q240" s="43" t="str">
        <f>IF(OR($B240="",$A240&gt;$B$9,Q$219=""),"",IF(COUNTIFS(BD!$B$3:$B$5001,Q$219,BD!$A$3:$A$5001,"&gt;="&amp;$C$7,BD!$A$3:$A$5001,"&lt;="&amp;$B240,BD!$N$3:$N$5001,"&lt;&gt;")=0,"",SUMIFS(BD!$N$3:$N$5001,BD!$B$3:$B$5001,Q$219,BD!$A$3:$A$5001,_xlfn.MAXIFS(BD!$A$3:$A$5001,BD!$B$3:$B$5001,Q$219,BD!$A$3:$A$5001,"&gt;="&amp;$C$7,BD!$A$3:$A$5001,"&lt;="&amp;$B240,BD!$N$3:$N$5001,"&lt;&gt;"))))</f>
        <v/>
      </c>
      <c r="R240" s="43" t="str">
        <f>IF(OR($B240="",$A240&gt;$B$9,R$219=""),"",IF(COUNTIFS(BD!$B$3:$B$5001,R$219,BD!$A$3:$A$5001,"&gt;="&amp;$C$7,BD!$A$3:$A$5001,"&lt;="&amp;$B240,BD!$N$3:$N$5001,"&lt;&gt;")=0,"",SUMIFS(BD!$N$3:$N$5001,BD!$B$3:$B$5001,R$219,BD!$A$3:$A$5001,_xlfn.MAXIFS(BD!$A$3:$A$5001,BD!$B$3:$B$5001,R$219,BD!$A$3:$A$5001,"&gt;="&amp;$C$7,BD!$A$3:$A$5001,"&lt;="&amp;$B240,BD!$N$3:$N$5001,"&lt;&gt;"))))</f>
        <v/>
      </c>
      <c r="S240" s="43" t="str">
        <f>IF(OR($B240="",$A240&gt;$B$9,S$219=""),"",IF(COUNTIFS(BD!$B$3:$B$5001,S$219,BD!$A$3:$A$5001,"&gt;="&amp;$C$7,BD!$A$3:$A$5001,"&lt;="&amp;$B240,BD!$N$3:$N$5001,"&lt;&gt;")=0,"",SUMIFS(BD!$N$3:$N$5001,BD!$B$3:$B$5001,S$219,BD!$A$3:$A$5001,_xlfn.MAXIFS(BD!$A$3:$A$5001,BD!$B$3:$B$5001,S$219,BD!$A$3:$A$5001,"&gt;="&amp;$C$7,BD!$A$3:$A$5001,"&lt;="&amp;$B240,BD!$N$3:$N$5001,"&lt;&gt;"))))</f>
        <v/>
      </c>
      <c r="T240" s="43" t="str">
        <f>IF(OR($B240="",$A240&gt;$B$9,T$219=""),"",IF(COUNTIFS(BD!$B$3:$B$5001,T$219,BD!$A$3:$A$5001,"&gt;="&amp;$C$7,BD!$A$3:$A$5001,"&lt;="&amp;$B240,BD!$N$3:$N$5001,"&lt;&gt;")=0,"",SUMIFS(BD!$N$3:$N$5001,BD!$B$3:$B$5001,T$219,BD!$A$3:$A$5001,_xlfn.MAXIFS(BD!$A$3:$A$5001,BD!$B$3:$B$5001,T$219,BD!$A$3:$A$5001,"&gt;="&amp;$C$7,BD!$A$3:$A$5001,"&lt;="&amp;$B240,BD!$N$3:$N$5001,"&lt;&gt;"))))</f>
        <v/>
      </c>
      <c r="U240" s="43" t="str">
        <f>IF(OR($B240="",$A240&gt;$B$9,U$219=""),"",IF(COUNTIFS(BD!$B$3:$B$5001,U$219,BD!$A$3:$A$5001,"&gt;="&amp;$C$7,BD!$A$3:$A$5001,"&lt;="&amp;$B240,BD!$N$3:$N$5001,"&lt;&gt;")=0,"",SUMIFS(BD!$N$3:$N$5001,BD!$B$3:$B$5001,U$219,BD!$A$3:$A$5001,_xlfn.MAXIFS(BD!$A$3:$A$5001,BD!$B$3:$B$5001,U$219,BD!$A$3:$A$5001,"&gt;="&amp;$C$7,BD!$A$3:$A$5001,"&lt;="&amp;$B240,BD!$N$3:$N$5001,"&lt;&gt;"))))</f>
        <v/>
      </c>
      <c r="V240" s="43" t="str">
        <f>IF(OR($B240="",$A240&gt;$B$9,V$219=""),"",IF(COUNTIFS(BD!$B$3:$B$5001,V$219,BD!$A$3:$A$5001,"&gt;="&amp;$C$7,BD!$A$3:$A$5001,"&lt;="&amp;$B240,BD!$N$3:$N$5001,"&lt;&gt;")=0,"",SUMIFS(BD!$N$3:$N$5001,BD!$B$3:$B$5001,V$219,BD!$A$3:$A$5001,_xlfn.MAXIFS(BD!$A$3:$A$5001,BD!$B$3:$B$5001,V$219,BD!$A$3:$A$5001,"&gt;="&amp;$C$7,BD!$A$3:$A$5001,"&lt;="&amp;$B240,BD!$N$3:$N$5001,"&lt;&gt;"))))</f>
        <v/>
      </c>
    </row>
    <row r="241">
      <c r="A241" s="38">
        <v>22</v>
      </c>
      <c r="B241" s="42">
        <f>$B$33</f>
        <v>46317</v>
      </c>
      <c r="C241" s="43" t="str">
        <f>IF(OR($B241="",$A241&gt;$B$9,C$219=""),"",IF(COUNTIFS(BD!$B$3:$B$5001,C$219,BD!$A$3:$A$5001,"&gt;="&amp;$C$7,BD!$A$3:$A$5001,"&lt;="&amp;$B241,BD!$N$3:$N$5001,"&lt;&gt;")=0,"",SUMIFS(BD!$N$3:$N$5001,BD!$B$3:$B$5001,C$219,BD!$A$3:$A$5001,_xlfn.MAXIFS(BD!$A$3:$A$5001,BD!$B$3:$B$5001,C$219,BD!$A$3:$A$5001,"&gt;="&amp;$C$7,BD!$A$3:$A$5001,"&lt;="&amp;$B241,BD!$N$3:$N$5001,"&lt;&gt;"))))</f>
        <v/>
      </c>
      <c r="D241" s="43" t="str">
        <f>IF(OR($B241="",$A241&gt;$B$9,D$219=""),"",IF(COUNTIFS(BD!$B$3:$B$5001,D$219,BD!$A$3:$A$5001,"&gt;="&amp;$C$7,BD!$A$3:$A$5001,"&lt;="&amp;$B241,BD!$N$3:$N$5001,"&lt;&gt;")=0,"",SUMIFS(BD!$N$3:$N$5001,BD!$B$3:$B$5001,D$219,BD!$A$3:$A$5001,_xlfn.MAXIFS(BD!$A$3:$A$5001,BD!$B$3:$B$5001,D$219,BD!$A$3:$A$5001,"&gt;="&amp;$C$7,BD!$A$3:$A$5001,"&lt;="&amp;$B241,BD!$N$3:$N$5001,"&lt;&gt;"))))</f>
        <v/>
      </c>
      <c r="E241" s="43" t="str">
        <f>IF(OR($B241="",$A241&gt;$B$9,E$219=""),"",IF(COUNTIFS(BD!$B$3:$B$5001,E$219,BD!$A$3:$A$5001,"&gt;="&amp;$C$7,BD!$A$3:$A$5001,"&lt;="&amp;$B241,BD!$N$3:$N$5001,"&lt;&gt;")=0,"",SUMIFS(BD!$N$3:$N$5001,BD!$B$3:$B$5001,E$219,BD!$A$3:$A$5001,_xlfn.MAXIFS(BD!$A$3:$A$5001,BD!$B$3:$B$5001,E$219,BD!$A$3:$A$5001,"&gt;="&amp;$C$7,BD!$A$3:$A$5001,"&lt;="&amp;$B241,BD!$N$3:$N$5001,"&lt;&gt;"))))</f>
        <v/>
      </c>
      <c r="F241" s="43" t="str">
        <f>IF(OR($B241="",$A241&gt;$B$9,F$219=""),"",IF(COUNTIFS(BD!$B$3:$B$5001,F$219,BD!$A$3:$A$5001,"&gt;="&amp;$C$7,BD!$A$3:$A$5001,"&lt;="&amp;$B241,BD!$N$3:$N$5001,"&lt;&gt;")=0,"",SUMIFS(BD!$N$3:$N$5001,BD!$B$3:$B$5001,F$219,BD!$A$3:$A$5001,_xlfn.MAXIFS(BD!$A$3:$A$5001,BD!$B$3:$B$5001,F$219,BD!$A$3:$A$5001,"&gt;="&amp;$C$7,BD!$A$3:$A$5001,"&lt;="&amp;$B241,BD!$N$3:$N$5001,"&lt;&gt;"))))</f>
        <v/>
      </c>
      <c r="G241" s="43" t="str">
        <f>IF(OR($B241="",$A241&gt;$B$9,G$219=""),"",IF(COUNTIFS(BD!$B$3:$B$5001,G$219,BD!$A$3:$A$5001,"&gt;="&amp;$C$7,BD!$A$3:$A$5001,"&lt;="&amp;$B241,BD!$N$3:$N$5001,"&lt;&gt;")=0,"",SUMIFS(BD!$N$3:$N$5001,BD!$B$3:$B$5001,G$219,BD!$A$3:$A$5001,_xlfn.MAXIFS(BD!$A$3:$A$5001,BD!$B$3:$B$5001,G$219,BD!$A$3:$A$5001,"&gt;="&amp;$C$7,BD!$A$3:$A$5001,"&lt;="&amp;$B241,BD!$N$3:$N$5001,"&lt;&gt;"))))</f>
        <v/>
      </c>
      <c r="H241" s="43" t="str">
        <f>IF(OR($B241="",$A241&gt;$B$9,H$219=""),"",IF(COUNTIFS(BD!$B$3:$B$5001,H$219,BD!$A$3:$A$5001,"&gt;="&amp;$C$7,BD!$A$3:$A$5001,"&lt;="&amp;$B241,BD!$N$3:$N$5001,"&lt;&gt;")=0,"",SUMIFS(BD!$N$3:$N$5001,BD!$B$3:$B$5001,H$219,BD!$A$3:$A$5001,_xlfn.MAXIFS(BD!$A$3:$A$5001,BD!$B$3:$B$5001,H$219,BD!$A$3:$A$5001,"&gt;="&amp;$C$7,BD!$A$3:$A$5001,"&lt;="&amp;$B241,BD!$N$3:$N$5001,"&lt;&gt;"))))</f>
        <v/>
      </c>
      <c r="I241" s="43" t="str">
        <f>IF(OR($B241="",$A241&gt;$B$9,I$219=""),"",IF(COUNTIFS(BD!$B$3:$B$5001,I$219,BD!$A$3:$A$5001,"&gt;="&amp;$C$7,BD!$A$3:$A$5001,"&lt;="&amp;$B241,BD!$N$3:$N$5001,"&lt;&gt;")=0,"",SUMIFS(BD!$N$3:$N$5001,BD!$B$3:$B$5001,I$219,BD!$A$3:$A$5001,_xlfn.MAXIFS(BD!$A$3:$A$5001,BD!$B$3:$B$5001,I$219,BD!$A$3:$A$5001,"&gt;="&amp;$C$7,BD!$A$3:$A$5001,"&lt;="&amp;$B241,BD!$N$3:$N$5001,"&lt;&gt;"))))</f>
        <v/>
      </c>
      <c r="J241" s="43" t="str">
        <f>IF(OR($B241="",$A241&gt;$B$9,J$219=""),"",IF(COUNTIFS(BD!$B$3:$B$5001,J$219,BD!$A$3:$A$5001,"&gt;="&amp;$C$7,BD!$A$3:$A$5001,"&lt;="&amp;$B241,BD!$N$3:$N$5001,"&lt;&gt;")=0,"",SUMIFS(BD!$N$3:$N$5001,BD!$B$3:$B$5001,J$219,BD!$A$3:$A$5001,_xlfn.MAXIFS(BD!$A$3:$A$5001,BD!$B$3:$B$5001,J$219,BD!$A$3:$A$5001,"&gt;="&amp;$C$7,BD!$A$3:$A$5001,"&lt;="&amp;$B241,BD!$N$3:$N$5001,"&lt;&gt;"))))</f>
        <v/>
      </c>
      <c r="K241" s="43" t="str">
        <f>IF(OR($B241="",$A241&gt;$B$9,K$219=""),"",IF(COUNTIFS(BD!$B$3:$B$5001,K$219,BD!$A$3:$A$5001,"&gt;="&amp;$C$7,BD!$A$3:$A$5001,"&lt;="&amp;$B241,BD!$N$3:$N$5001,"&lt;&gt;")=0,"",SUMIFS(BD!$N$3:$N$5001,BD!$B$3:$B$5001,K$219,BD!$A$3:$A$5001,_xlfn.MAXIFS(BD!$A$3:$A$5001,BD!$B$3:$B$5001,K$219,BD!$A$3:$A$5001,"&gt;="&amp;$C$7,BD!$A$3:$A$5001,"&lt;="&amp;$B241,BD!$N$3:$N$5001,"&lt;&gt;"))))</f>
        <v/>
      </c>
      <c r="L241" s="43" t="str">
        <f>IF(OR($B241="",$A241&gt;$B$9,L$219=""),"",IF(COUNTIFS(BD!$B$3:$B$5001,L$219,BD!$A$3:$A$5001,"&gt;="&amp;$C$7,BD!$A$3:$A$5001,"&lt;="&amp;$B241,BD!$N$3:$N$5001,"&lt;&gt;")=0,"",SUMIFS(BD!$N$3:$N$5001,BD!$B$3:$B$5001,L$219,BD!$A$3:$A$5001,_xlfn.MAXIFS(BD!$A$3:$A$5001,BD!$B$3:$B$5001,L$219,BD!$A$3:$A$5001,"&gt;="&amp;$C$7,BD!$A$3:$A$5001,"&lt;="&amp;$B241,BD!$N$3:$N$5001,"&lt;&gt;"))))</f>
        <v/>
      </c>
      <c r="M241" s="43" t="str">
        <f>IF(OR($B241="",$A241&gt;$B$9,M$219=""),"",IF(COUNTIFS(BD!$B$3:$B$5001,M$219,BD!$A$3:$A$5001,"&gt;="&amp;$C$7,BD!$A$3:$A$5001,"&lt;="&amp;$B241,BD!$N$3:$N$5001,"&lt;&gt;")=0,"",SUMIFS(BD!$N$3:$N$5001,BD!$B$3:$B$5001,M$219,BD!$A$3:$A$5001,_xlfn.MAXIFS(BD!$A$3:$A$5001,BD!$B$3:$B$5001,M$219,BD!$A$3:$A$5001,"&gt;="&amp;$C$7,BD!$A$3:$A$5001,"&lt;="&amp;$B241,BD!$N$3:$N$5001,"&lt;&gt;"))))</f>
        <v/>
      </c>
      <c r="N241" s="43" t="str">
        <f>IF(OR($B241="",$A241&gt;$B$9,N$219=""),"",IF(COUNTIFS(BD!$B$3:$B$5001,N$219,BD!$A$3:$A$5001,"&gt;="&amp;$C$7,BD!$A$3:$A$5001,"&lt;="&amp;$B241,BD!$N$3:$N$5001,"&lt;&gt;")=0,"",SUMIFS(BD!$N$3:$N$5001,BD!$B$3:$B$5001,N$219,BD!$A$3:$A$5001,_xlfn.MAXIFS(BD!$A$3:$A$5001,BD!$B$3:$B$5001,N$219,BD!$A$3:$A$5001,"&gt;="&amp;$C$7,BD!$A$3:$A$5001,"&lt;="&amp;$B241,BD!$N$3:$N$5001,"&lt;&gt;"))))</f>
        <v/>
      </c>
      <c r="O241" s="43" t="str">
        <f>IF(OR($B241="",$A241&gt;$B$9,O$219=""),"",IF(COUNTIFS(BD!$B$3:$B$5001,O$219,BD!$A$3:$A$5001,"&gt;="&amp;$C$7,BD!$A$3:$A$5001,"&lt;="&amp;$B241,BD!$N$3:$N$5001,"&lt;&gt;")=0,"",SUMIFS(BD!$N$3:$N$5001,BD!$B$3:$B$5001,O$219,BD!$A$3:$A$5001,_xlfn.MAXIFS(BD!$A$3:$A$5001,BD!$B$3:$B$5001,O$219,BD!$A$3:$A$5001,"&gt;="&amp;$C$7,BD!$A$3:$A$5001,"&lt;="&amp;$B241,BD!$N$3:$N$5001,"&lt;&gt;"))))</f>
        <v/>
      </c>
      <c r="P241" s="43" t="str">
        <f>IF(OR($B241="",$A241&gt;$B$9,P$219=""),"",IF(COUNTIFS(BD!$B$3:$B$5001,P$219,BD!$A$3:$A$5001,"&gt;="&amp;$C$7,BD!$A$3:$A$5001,"&lt;="&amp;$B241,BD!$N$3:$N$5001,"&lt;&gt;")=0,"",SUMIFS(BD!$N$3:$N$5001,BD!$B$3:$B$5001,P$219,BD!$A$3:$A$5001,_xlfn.MAXIFS(BD!$A$3:$A$5001,BD!$B$3:$B$5001,P$219,BD!$A$3:$A$5001,"&gt;="&amp;$C$7,BD!$A$3:$A$5001,"&lt;="&amp;$B241,BD!$N$3:$N$5001,"&lt;&gt;"))))</f>
        <v/>
      </c>
      <c r="Q241" s="43" t="str">
        <f>IF(OR($B241="",$A241&gt;$B$9,Q$219=""),"",IF(COUNTIFS(BD!$B$3:$B$5001,Q$219,BD!$A$3:$A$5001,"&gt;="&amp;$C$7,BD!$A$3:$A$5001,"&lt;="&amp;$B241,BD!$N$3:$N$5001,"&lt;&gt;")=0,"",SUMIFS(BD!$N$3:$N$5001,BD!$B$3:$B$5001,Q$219,BD!$A$3:$A$5001,_xlfn.MAXIFS(BD!$A$3:$A$5001,BD!$B$3:$B$5001,Q$219,BD!$A$3:$A$5001,"&gt;="&amp;$C$7,BD!$A$3:$A$5001,"&lt;="&amp;$B241,BD!$N$3:$N$5001,"&lt;&gt;"))))</f>
        <v/>
      </c>
      <c r="R241" s="43" t="str">
        <f>IF(OR($B241="",$A241&gt;$B$9,R$219=""),"",IF(COUNTIFS(BD!$B$3:$B$5001,R$219,BD!$A$3:$A$5001,"&gt;="&amp;$C$7,BD!$A$3:$A$5001,"&lt;="&amp;$B241,BD!$N$3:$N$5001,"&lt;&gt;")=0,"",SUMIFS(BD!$N$3:$N$5001,BD!$B$3:$B$5001,R$219,BD!$A$3:$A$5001,_xlfn.MAXIFS(BD!$A$3:$A$5001,BD!$B$3:$B$5001,R$219,BD!$A$3:$A$5001,"&gt;="&amp;$C$7,BD!$A$3:$A$5001,"&lt;="&amp;$B241,BD!$N$3:$N$5001,"&lt;&gt;"))))</f>
        <v/>
      </c>
      <c r="S241" s="43" t="str">
        <f>IF(OR($B241="",$A241&gt;$B$9,S$219=""),"",IF(COUNTIFS(BD!$B$3:$B$5001,S$219,BD!$A$3:$A$5001,"&gt;="&amp;$C$7,BD!$A$3:$A$5001,"&lt;="&amp;$B241,BD!$N$3:$N$5001,"&lt;&gt;")=0,"",SUMIFS(BD!$N$3:$N$5001,BD!$B$3:$B$5001,S$219,BD!$A$3:$A$5001,_xlfn.MAXIFS(BD!$A$3:$A$5001,BD!$B$3:$B$5001,S$219,BD!$A$3:$A$5001,"&gt;="&amp;$C$7,BD!$A$3:$A$5001,"&lt;="&amp;$B241,BD!$N$3:$N$5001,"&lt;&gt;"))))</f>
        <v/>
      </c>
      <c r="T241" s="43" t="str">
        <f>IF(OR($B241="",$A241&gt;$B$9,T$219=""),"",IF(COUNTIFS(BD!$B$3:$B$5001,T$219,BD!$A$3:$A$5001,"&gt;="&amp;$C$7,BD!$A$3:$A$5001,"&lt;="&amp;$B241,BD!$N$3:$N$5001,"&lt;&gt;")=0,"",SUMIFS(BD!$N$3:$N$5001,BD!$B$3:$B$5001,T$219,BD!$A$3:$A$5001,_xlfn.MAXIFS(BD!$A$3:$A$5001,BD!$B$3:$B$5001,T$219,BD!$A$3:$A$5001,"&gt;="&amp;$C$7,BD!$A$3:$A$5001,"&lt;="&amp;$B241,BD!$N$3:$N$5001,"&lt;&gt;"))))</f>
        <v/>
      </c>
      <c r="U241" s="43" t="str">
        <f>IF(OR($B241="",$A241&gt;$B$9,U$219=""),"",IF(COUNTIFS(BD!$B$3:$B$5001,U$219,BD!$A$3:$A$5001,"&gt;="&amp;$C$7,BD!$A$3:$A$5001,"&lt;="&amp;$B241,BD!$N$3:$N$5001,"&lt;&gt;")=0,"",SUMIFS(BD!$N$3:$N$5001,BD!$B$3:$B$5001,U$219,BD!$A$3:$A$5001,_xlfn.MAXIFS(BD!$A$3:$A$5001,BD!$B$3:$B$5001,U$219,BD!$A$3:$A$5001,"&gt;="&amp;$C$7,BD!$A$3:$A$5001,"&lt;="&amp;$B241,BD!$N$3:$N$5001,"&lt;&gt;"))))</f>
        <v/>
      </c>
      <c r="V241" s="43" t="str">
        <f>IF(OR($B241="",$A241&gt;$B$9,V$219=""),"",IF(COUNTIFS(BD!$B$3:$B$5001,V$219,BD!$A$3:$A$5001,"&gt;="&amp;$C$7,BD!$A$3:$A$5001,"&lt;="&amp;$B241,BD!$N$3:$N$5001,"&lt;&gt;")=0,"",SUMIFS(BD!$N$3:$N$5001,BD!$B$3:$B$5001,V$219,BD!$A$3:$A$5001,_xlfn.MAXIFS(BD!$A$3:$A$5001,BD!$B$3:$B$5001,V$219,BD!$A$3:$A$5001,"&gt;="&amp;$C$7,BD!$A$3:$A$5001,"&lt;="&amp;$B241,BD!$N$3:$N$5001,"&lt;&gt;"))))</f>
        <v/>
      </c>
    </row>
    <row r="242">
      <c r="A242" s="38">
        <v>23</v>
      </c>
      <c r="B242" s="42">
        <f>$B$34</f>
        <v>46318</v>
      </c>
      <c r="C242" s="43" t="str">
        <f>IF(OR($B242="",$A242&gt;$B$9,C$219=""),"",IF(COUNTIFS(BD!$B$3:$B$5001,C$219,BD!$A$3:$A$5001,"&gt;="&amp;$C$7,BD!$A$3:$A$5001,"&lt;="&amp;$B242,BD!$N$3:$N$5001,"&lt;&gt;")=0,"",SUMIFS(BD!$N$3:$N$5001,BD!$B$3:$B$5001,C$219,BD!$A$3:$A$5001,_xlfn.MAXIFS(BD!$A$3:$A$5001,BD!$B$3:$B$5001,C$219,BD!$A$3:$A$5001,"&gt;="&amp;$C$7,BD!$A$3:$A$5001,"&lt;="&amp;$B242,BD!$N$3:$N$5001,"&lt;&gt;"))))</f>
        <v/>
      </c>
      <c r="D242" s="43" t="str">
        <f>IF(OR($B242="",$A242&gt;$B$9,D$219=""),"",IF(COUNTIFS(BD!$B$3:$B$5001,D$219,BD!$A$3:$A$5001,"&gt;="&amp;$C$7,BD!$A$3:$A$5001,"&lt;="&amp;$B242,BD!$N$3:$N$5001,"&lt;&gt;")=0,"",SUMIFS(BD!$N$3:$N$5001,BD!$B$3:$B$5001,D$219,BD!$A$3:$A$5001,_xlfn.MAXIFS(BD!$A$3:$A$5001,BD!$B$3:$B$5001,D$219,BD!$A$3:$A$5001,"&gt;="&amp;$C$7,BD!$A$3:$A$5001,"&lt;="&amp;$B242,BD!$N$3:$N$5001,"&lt;&gt;"))))</f>
        <v/>
      </c>
      <c r="E242" s="43" t="str">
        <f>IF(OR($B242="",$A242&gt;$B$9,E$219=""),"",IF(COUNTIFS(BD!$B$3:$B$5001,E$219,BD!$A$3:$A$5001,"&gt;="&amp;$C$7,BD!$A$3:$A$5001,"&lt;="&amp;$B242,BD!$N$3:$N$5001,"&lt;&gt;")=0,"",SUMIFS(BD!$N$3:$N$5001,BD!$B$3:$B$5001,E$219,BD!$A$3:$A$5001,_xlfn.MAXIFS(BD!$A$3:$A$5001,BD!$B$3:$B$5001,E$219,BD!$A$3:$A$5001,"&gt;="&amp;$C$7,BD!$A$3:$A$5001,"&lt;="&amp;$B242,BD!$N$3:$N$5001,"&lt;&gt;"))))</f>
        <v/>
      </c>
      <c r="F242" s="43" t="str">
        <f>IF(OR($B242="",$A242&gt;$B$9,F$219=""),"",IF(COUNTIFS(BD!$B$3:$B$5001,F$219,BD!$A$3:$A$5001,"&gt;="&amp;$C$7,BD!$A$3:$A$5001,"&lt;="&amp;$B242,BD!$N$3:$N$5001,"&lt;&gt;")=0,"",SUMIFS(BD!$N$3:$N$5001,BD!$B$3:$B$5001,F$219,BD!$A$3:$A$5001,_xlfn.MAXIFS(BD!$A$3:$A$5001,BD!$B$3:$B$5001,F$219,BD!$A$3:$A$5001,"&gt;="&amp;$C$7,BD!$A$3:$A$5001,"&lt;="&amp;$B242,BD!$N$3:$N$5001,"&lt;&gt;"))))</f>
        <v/>
      </c>
      <c r="G242" s="43" t="str">
        <f>IF(OR($B242="",$A242&gt;$B$9,G$219=""),"",IF(COUNTIFS(BD!$B$3:$B$5001,G$219,BD!$A$3:$A$5001,"&gt;="&amp;$C$7,BD!$A$3:$A$5001,"&lt;="&amp;$B242,BD!$N$3:$N$5001,"&lt;&gt;")=0,"",SUMIFS(BD!$N$3:$N$5001,BD!$B$3:$B$5001,G$219,BD!$A$3:$A$5001,_xlfn.MAXIFS(BD!$A$3:$A$5001,BD!$B$3:$B$5001,G$219,BD!$A$3:$A$5001,"&gt;="&amp;$C$7,BD!$A$3:$A$5001,"&lt;="&amp;$B242,BD!$N$3:$N$5001,"&lt;&gt;"))))</f>
        <v/>
      </c>
      <c r="H242" s="43" t="str">
        <f>IF(OR($B242="",$A242&gt;$B$9,H$219=""),"",IF(COUNTIFS(BD!$B$3:$B$5001,H$219,BD!$A$3:$A$5001,"&gt;="&amp;$C$7,BD!$A$3:$A$5001,"&lt;="&amp;$B242,BD!$N$3:$N$5001,"&lt;&gt;")=0,"",SUMIFS(BD!$N$3:$N$5001,BD!$B$3:$B$5001,H$219,BD!$A$3:$A$5001,_xlfn.MAXIFS(BD!$A$3:$A$5001,BD!$B$3:$B$5001,H$219,BD!$A$3:$A$5001,"&gt;="&amp;$C$7,BD!$A$3:$A$5001,"&lt;="&amp;$B242,BD!$N$3:$N$5001,"&lt;&gt;"))))</f>
        <v/>
      </c>
      <c r="I242" s="43" t="str">
        <f>IF(OR($B242="",$A242&gt;$B$9,I$219=""),"",IF(COUNTIFS(BD!$B$3:$B$5001,I$219,BD!$A$3:$A$5001,"&gt;="&amp;$C$7,BD!$A$3:$A$5001,"&lt;="&amp;$B242,BD!$N$3:$N$5001,"&lt;&gt;")=0,"",SUMIFS(BD!$N$3:$N$5001,BD!$B$3:$B$5001,I$219,BD!$A$3:$A$5001,_xlfn.MAXIFS(BD!$A$3:$A$5001,BD!$B$3:$B$5001,I$219,BD!$A$3:$A$5001,"&gt;="&amp;$C$7,BD!$A$3:$A$5001,"&lt;="&amp;$B242,BD!$N$3:$N$5001,"&lt;&gt;"))))</f>
        <v/>
      </c>
      <c r="J242" s="43" t="str">
        <f>IF(OR($B242="",$A242&gt;$B$9,J$219=""),"",IF(COUNTIFS(BD!$B$3:$B$5001,J$219,BD!$A$3:$A$5001,"&gt;="&amp;$C$7,BD!$A$3:$A$5001,"&lt;="&amp;$B242,BD!$N$3:$N$5001,"&lt;&gt;")=0,"",SUMIFS(BD!$N$3:$N$5001,BD!$B$3:$B$5001,J$219,BD!$A$3:$A$5001,_xlfn.MAXIFS(BD!$A$3:$A$5001,BD!$B$3:$B$5001,J$219,BD!$A$3:$A$5001,"&gt;="&amp;$C$7,BD!$A$3:$A$5001,"&lt;="&amp;$B242,BD!$N$3:$N$5001,"&lt;&gt;"))))</f>
        <v/>
      </c>
      <c r="K242" s="43" t="str">
        <f>IF(OR($B242="",$A242&gt;$B$9,K$219=""),"",IF(COUNTIFS(BD!$B$3:$B$5001,K$219,BD!$A$3:$A$5001,"&gt;="&amp;$C$7,BD!$A$3:$A$5001,"&lt;="&amp;$B242,BD!$N$3:$N$5001,"&lt;&gt;")=0,"",SUMIFS(BD!$N$3:$N$5001,BD!$B$3:$B$5001,K$219,BD!$A$3:$A$5001,_xlfn.MAXIFS(BD!$A$3:$A$5001,BD!$B$3:$B$5001,K$219,BD!$A$3:$A$5001,"&gt;="&amp;$C$7,BD!$A$3:$A$5001,"&lt;="&amp;$B242,BD!$N$3:$N$5001,"&lt;&gt;"))))</f>
        <v/>
      </c>
      <c r="L242" s="43" t="str">
        <f>IF(OR($B242="",$A242&gt;$B$9,L$219=""),"",IF(COUNTIFS(BD!$B$3:$B$5001,L$219,BD!$A$3:$A$5001,"&gt;="&amp;$C$7,BD!$A$3:$A$5001,"&lt;="&amp;$B242,BD!$N$3:$N$5001,"&lt;&gt;")=0,"",SUMIFS(BD!$N$3:$N$5001,BD!$B$3:$B$5001,L$219,BD!$A$3:$A$5001,_xlfn.MAXIFS(BD!$A$3:$A$5001,BD!$B$3:$B$5001,L$219,BD!$A$3:$A$5001,"&gt;="&amp;$C$7,BD!$A$3:$A$5001,"&lt;="&amp;$B242,BD!$N$3:$N$5001,"&lt;&gt;"))))</f>
        <v/>
      </c>
      <c r="M242" s="43" t="str">
        <f>IF(OR($B242="",$A242&gt;$B$9,M$219=""),"",IF(COUNTIFS(BD!$B$3:$B$5001,M$219,BD!$A$3:$A$5001,"&gt;="&amp;$C$7,BD!$A$3:$A$5001,"&lt;="&amp;$B242,BD!$N$3:$N$5001,"&lt;&gt;")=0,"",SUMIFS(BD!$N$3:$N$5001,BD!$B$3:$B$5001,M$219,BD!$A$3:$A$5001,_xlfn.MAXIFS(BD!$A$3:$A$5001,BD!$B$3:$B$5001,M$219,BD!$A$3:$A$5001,"&gt;="&amp;$C$7,BD!$A$3:$A$5001,"&lt;="&amp;$B242,BD!$N$3:$N$5001,"&lt;&gt;"))))</f>
        <v/>
      </c>
      <c r="N242" s="43" t="str">
        <f>IF(OR($B242="",$A242&gt;$B$9,N$219=""),"",IF(COUNTIFS(BD!$B$3:$B$5001,N$219,BD!$A$3:$A$5001,"&gt;="&amp;$C$7,BD!$A$3:$A$5001,"&lt;="&amp;$B242,BD!$N$3:$N$5001,"&lt;&gt;")=0,"",SUMIFS(BD!$N$3:$N$5001,BD!$B$3:$B$5001,N$219,BD!$A$3:$A$5001,_xlfn.MAXIFS(BD!$A$3:$A$5001,BD!$B$3:$B$5001,N$219,BD!$A$3:$A$5001,"&gt;="&amp;$C$7,BD!$A$3:$A$5001,"&lt;="&amp;$B242,BD!$N$3:$N$5001,"&lt;&gt;"))))</f>
        <v/>
      </c>
      <c r="O242" s="43" t="str">
        <f>IF(OR($B242="",$A242&gt;$B$9,O$219=""),"",IF(COUNTIFS(BD!$B$3:$B$5001,O$219,BD!$A$3:$A$5001,"&gt;="&amp;$C$7,BD!$A$3:$A$5001,"&lt;="&amp;$B242,BD!$N$3:$N$5001,"&lt;&gt;")=0,"",SUMIFS(BD!$N$3:$N$5001,BD!$B$3:$B$5001,O$219,BD!$A$3:$A$5001,_xlfn.MAXIFS(BD!$A$3:$A$5001,BD!$B$3:$B$5001,O$219,BD!$A$3:$A$5001,"&gt;="&amp;$C$7,BD!$A$3:$A$5001,"&lt;="&amp;$B242,BD!$N$3:$N$5001,"&lt;&gt;"))))</f>
        <v/>
      </c>
      <c r="P242" s="43" t="str">
        <f>IF(OR($B242="",$A242&gt;$B$9,P$219=""),"",IF(COUNTIFS(BD!$B$3:$B$5001,P$219,BD!$A$3:$A$5001,"&gt;="&amp;$C$7,BD!$A$3:$A$5001,"&lt;="&amp;$B242,BD!$N$3:$N$5001,"&lt;&gt;")=0,"",SUMIFS(BD!$N$3:$N$5001,BD!$B$3:$B$5001,P$219,BD!$A$3:$A$5001,_xlfn.MAXIFS(BD!$A$3:$A$5001,BD!$B$3:$B$5001,P$219,BD!$A$3:$A$5001,"&gt;="&amp;$C$7,BD!$A$3:$A$5001,"&lt;="&amp;$B242,BD!$N$3:$N$5001,"&lt;&gt;"))))</f>
        <v/>
      </c>
      <c r="Q242" s="43" t="str">
        <f>IF(OR($B242="",$A242&gt;$B$9,Q$219=""),"",IF(COUNTIFS(BD!$B$3:$B$5001,Q$219,BD!$A$3:$A$5001,"&gt;="&amp;$C$7,BD!$A$3:$A$5001,"&lt;="&amp;$B242,BD!$N$3:$N$5001,"&lt;&gt;")=0,"",SUMIFS(BD!$N$3:$N$5001,BD!$B$3:$B$5001,Q$219,BD!$A$3:$A$5001,_xlfn.MAXIFS(BD!$A$3:$A$5001,BD!$B$3:$B$5001,Q$219,BD!$A$3:$A$5001,"&gt;="&amp;$C$7,BD!$A$3:$A$5001,"&lt;="&amp;$B242,BD!$N$3:$N$5001,"&lt;&gt;"))))</f>
        <v/>
      </c>
      <c r="R242" s="43" t="str">
        <f>IF(OR($B242="",$A242&gt;$B$9,R$219=""),"",IF(COUNTIFS(BD!$B$3:$B$5001,R$219,BD!$A$3:$A$5001,"&gt;="&amp;$C$7,BD!$A$3:$A$5001,"&lt;="&amp;$B242,BD!$N$3:$N$5001,"&lt;&gt;")=0,"",SUMIFS(BD!$N$3:$N$5001,BD!$B$3:$B$5001,R$219,BD!$A$3:$A$5001,_xlfn.MAXIFS(BD!$A$3:$A$5001,BD!$B$3:$B$5001,R$219,BD!$A$3:$A$5001,"&gt;="&amp;$C$7,BD!$A$3:$A$5001,"&lt;="&amp;$B242,BD!$N$3:$N$5001,"&lt;&gt;"))))</f>
        <v/>
      </c>
      <c r="S242" s="43" t="str">
        <f>IF(OR($B242="",$A242&gt;$B$9,S$219=""),"",IF(COUNTIFS(BD!$B$3:$B$5001,S$219,BD!$A$3:$A$5001,"&gt;="&amp;$C$7,BD!$A$3:$A$5001,"&lt;="&amp;$B242,BD!$N$3:$N$5001,"&lt;&gt;")=0,"",SUMIFS(BD!$N$3:$N$5001,BD!$B$3:$B$5001,S$219,BD!$A$3:$A$5001,_xlfn.MAXIFS(BD!$A$3:$A$5001,BD!$B$3:$B$5001,S$219,BD!$A$3:$A$5001,"&gt;="&amp;$C$7,BD!$A$3:$A$5001,"&lt;="&amp;$B242,BD!$N$3:$N$5001,"&lt;&gt;"))))</f>
        <v/>
      </c>
      <c r="T242" s="43" t="str">
        <f>IF(OR($B242="",$A242&gt;$B$9,T$219=""),"",IF(COUNTIFS(BD!$B$3:$B$5001,T$219,BD!$A$3:$A$5001,"&gt;="&amp;$C$7,BD!$A$3:$A$5001,"&lt;="&amp;$B242,BD!$N$3:$N$5001,"&lt;&gt;")=0,"",SUMIFS(BD!$N$3:$N$5001,BD!$B$3:$B$5001,T$219,BD!$A$3:$A$5001,_xlfn.MAXIFS(BD!$A$3:$A$5001,BD!$B$3:$B$5001,T$219,BD!$A$3:$A$5001,"&gt;="&amp;$C$7,BD!$A$3:$A$5001,"&lt;="&amp;$B242,BD!$N$3:$N$5001,"&lt;&gt;"))))</f>
        <v/>
      </c>
      <c r="U242" s="43" t="str">
        <f>IF(OR($B242="",$A242&gt;$B$9,U$219=""),"",IF(COUNTIFS(BD!$B$3:$B$5001,U$219,BD!$A$3:$A$5001,"&gt;="&amp;$C$7,BD!$A$3:$A$5001,"&lt;="&amp;$B242,BD!$N$3:$N$5001,"&lt;&gt;")=0,"",SUMIFS(BD!$N$3:$N$5001,BD!$B$3:$B$5001,U$219,BD!$A$3:$A$5001,_xlfn.MAXIFS(BD!$A$3:$A$5001,BD!$B$3:$B$5001,U$219,BD!$A$3:$A$5001,"&gt;="&amp;$C$7,BD!$A$3:$A$5001,"&lt;="&amp;$B242,BD!$N$3:$N$5001,"&lt;&gt;"))))</f>
        <v/>
      </c>
      <c r="V242" s="43" t="str">
        <f>IF(OR($B242="",$A242&gt;$B$9,V$219=""),"",IF(COUNTIFS(BD!$B$3:$B$5001,V$219,BD!$A$3:$A$5001,"&gt;="&amp;$C$7,BD!$A$3:$A$5001,"&lt;="&amp;$B242,BD!$N$3:$N$5001,"&lt;&gt;")=0,"",SUMIFS(BD!$N$3:$N$5001,BD!$B$3:$B$5001,V$219,BD!$A$3:$A$5001,_xlfn.MAXIFS(BD!$A$3:$A$5001,BD!$B$3:$B$5001,V$219,BD!$A$3:$A$5001,"&gt;="&amp;$C$7,BD!$A$3:$A$5001,"&lt;="&amp;$B242,BD!$N$3:$N$5001,"&lt;&gt;"))))</f>
        <v/>
      </c>
    </row>
    <row r="243">
      <c r="A243" s="38">
        <v>24</v>
      </c>
      <c r="B243" s="42">
        <f>$B$35</f>
        <v>46319</v>
      </c>
      <c r="C243" s="43" t="str">
        <f>IF(OR($B243="",$A243&gt;$B$9,C$219=""),"",IF(COUNTIFS(BD!$B$3:$B$5001,C$219,BD!$A$3:$A$5001,"&gt;="&amp;$C$7,BD!$A$3:$A$5001,"&lt;="&amp;$B243,BD!$N$3:$N$5001,"&lt;&gt;")=0,"",SUMIFS(BD!$N$3:$N$5001,BD!$B$3:$B$5001,C$219,BD!$A$3:$A$5001,_xlfn.MAXIFS(BD!$A$3:$A$5001,BD!$B$3:$B$5001,C$219,BD!$A$3:$A$5001,"&gt;="&amp;$C$7,BD!$A$3:$A$5001,"&lt;="&amp;$B243,BD!$N$3:$N$5001,"&lt;&gt;"))))</f>
        <v/>
      </c>
      <c r="D243" s="43" t="str">
        <f>IF(OR($B243="",$A243&gt;$B$9,D$219=""),"",IF(COUNTIFS(BD!$B$3:$B$5001,D$219,BD!$A$3:$A$5001,"&gt;="&amp;$C$7,BD!$A$3:$A$5001,"&lt;="&amp;$B243,BD!$N$3:$N$5001,"&lt;&gt;")=0,"",SUMIFS(BD!$N$3:$N$5001,BD!$B$3:$B$5001,D$219,BD!$A$3:$A$5001,_xlfn.MAXIFS(BD!$A$3:$A$5001,BD!$B$3:$B$5001,D$219,BD!$A$3:$A$5001,"&gt;="&amp;$C$7,BD!$A$3:$A$5001,"&lt;="&amp;$B243,BD!$N$3:$N$5001,"&lt;&gt;"))))</f>
        <v/>
      </c>
      <c r="E243" s="43" t="str">
        <f>IF(OR($B243="",$A243&gt;$B$9,E$219=""),"",IF(COUNTIFS(BD!$B$3:$B$5001,E$219,BD!$A$3:$A$5001,"&gt;="&amp;$C$7,BD!$A$3:$A$5001,"&lt;="&amp;$B243,BD!$N$3:$N$5001,"&lt;&gt;")=0,"",SUMIFS(BD!$N$3:$N$5001,BD!$B$3:$B$5001,E$219,BD!$A$3:$A$5001,_xlfn.MAXIFS(BD!$A$3:$A$5001,BD!$B$3:$B$5001,E$219,BD!$A$3:$A$5001,"&gt;="&amp;$C$7,BD!$A$3:$A$5001,"&lt;="&amp;$B243,BD!$N$3:$N$5001,"&lt;&gt;"))))</f>
        <v/>
      </c>
      <c r="F243" s="43" t="str">
        <f>IF(OR($B243="",$A243&gt;$B$9,F$219=""),"",IF(COUNTIFS(BD!$B$3:$B$5001,F$219,BD!$A$3:$A$5001,"&gt;="&amp;$C$7,BD!$A$3:$A$5001,"&lt;="&amp;$B243,BD!$N$3:$N$5001,"&lt;&gt;")=0,"",SUMIFS(BD!$N$3:$N$5001,BD!$B$3:$B$5001,F$219,BD!$A$3:$A$5001,_xlfn.MAXIFS(BD!$A$3:$A$5001,BD!$B$3:$B$5001,F$219,BD!$A$3:$A$5001,"&gt;="&amp;$C$7,BD!$A$3:$A$5001,"&lt;="&amp;$B243,BD!$N$3:$N$5001,"&lt;&gt;"))))</f>
        <v/>
      </c>
      <c r="G243" s="43" t="str">
        <f>IF(OR($B243="",$A243&gt;$B$9,G$219=""),"",IF(COUNTIFS(BD!$B$3:$B$5001,G$219,BD!$A$3:$A$5001,"&gt;="&amp;$C$7,BD!$A$3:$A$5001,"&lt;="&amp;$B243,BD!$N$3:$N$5001,"&lt;&gt;")=0,"",SUMIFS(BD!$N$3:$N$5001,BD!$B$3:$B$5001,G$219,BD!$A$3:$A$5001,_xlfn.MAXIFS(BD!$A$3:$A$5001,BD!$B$3:$B$5001,G$219,BD!$A$3:$A$5001,"&gt;="&amp;$C$7,BD!$A$3:$A$5001,"&lt;="&amp;$B243,BD!$N$3:$N$5001,"&lt;&gt;"))))</f>
        <v/>
      </c>
      <c r="H243" s="43" t="str">
        <f>IF(OR($B243="",$A243&gt;$B$9,H$219=""),"",IF(COUNTIFS(BD!$B$3:$B$5001,H$219,BD!$A$3:$A$5001,"&gt;="&amp;$C$7,BD!$A$3:$A$5001,"&lt;="&amp;$B243,BD!$N$3:$N$5001,"&lt;&gt;")=0,"",SUMIFS(BD!$N$3:$N$5001,BD!$B$3:$B$5001,H$219,BD!$A$3:$A$5001,_xlfn.MAXIFS(BD!$A$3:$A$5001,BD!$B$3:$B$5001,H$219,BD!$A$3:$A$5001,"&gt;="&amp;$C$7,BD!$A$3:$A$5001,"&lt;="&amp;$B243,BD!$N$3:$N$5001,"&lt;&gt;"))))</f>
        <v/>
      </c>
      <c r="I243" s="43" t="str">
        <f>IF(OR($B243="",$A243&gt;$B$9,I$219=""),"",IF(COUNTIFS(BD!$B$3:$B$5001,I$219,BD!$A$3:$A$5001,"&gt;="&amp;$C$7,BD!$A$3:$A$5001,"&lt;="&amp;$B243,BD!$N$3:$N$5001,"&lt;&gt;")=0,"",SUMIFS(BD!$N$3:$N$5001,BD!$B$3:$B$5001,I$219,BD!$A$3:$A$5001,_xlfn.MAXIFS(BD!$A$3:$A$5001,BD!$B$3:$B$5001,I$219,BD!$A$3:$A$5001,"&gt;="&amp;$C$7,BD!$A$3:$A$5001,"&lt;="&amp;$B243,BD!$N$3:$N$5001,"&lt;&gt;"))))</f>
        <v/>
      </c>
      <c r="J243" s="43" t="str">
        <f>IF(OR($B243="",$A243&gt;$B$9,J$219=""),"",IF(COUNTIFS(BD!$B$3:$B$5001,J$219,BD!$A$3:$A$5001,"&gt;="&amp;$C$7,BD!$A$3:$A$5001,"&lt;="&amp;$B243,BD!$N$3:$N$5001,"&lt;&gt;")=0,"",SUMIFS(BD!$N$3:$N$5001,BD!$B$3:$B$5001,J$219,BD!$A$3:$A$5001,_xlfn.MAXIFS(BD!$A$3:$A$5001,BD!$B$3:$B$5001,J$219,BD!$A$3:$A$5001,"&gt;="&amp;$C$7,BD!$A$3:$A$5001,"&lt;="&amp;$B243,BD!$N$3:$N$5001,"&lt;&gt;"))))</f>
        <v/>
      </c>
      <c r="K243" s="43" t="str">
        <f>IF(OR($B243="",$A243&gt;$B$9,K$219=""),"",IF(COUNTIFS(BD!$B$3:$B$5001,K$219,BD!$A$3:$A$5001,"&gt;="&amp;$C$7,BD!$A$3:$A$5001,"&lt;="&amp;$B243,BD!$N$3:$N$5001,"&lt;&gt;")=0,"",SUMIFS(BD!$N$3:$N$5001,BD!$B$3:$B$5001,K$219,BD!$A$3:$A$5001,_xlfn.MAXIFS(BD!$A$3:$A$5001,BD!$B$3:$B$5001,K$219,BD!$A$3:$A$5001,"&gt;="&amp;$C$7,BD!$A$3:$A$5001,"&lt;="&amp;$B243,BD!$N$3:$N$5001,"&lt;&gt;"))))</f>
        <v/>
      </c>
      <c r="L243" s="43" t="str">
        <f>IF(OR($B243="",$A243&gt;$B$9,L$219=""),"",IF(COUNTIFS(BD!$B$3:$B$5001,L$219,BD!$A$3:$A$5001,"&gt;="&amp;$C$7,BD!$A$3:$A$5001,"&lt;="&amp;$B243,BD!$N$3:$N$5001,"&lt;&gt;")=0,"",SUMIFS(BD!$N$3:$N$5001,BD!$B$3:$B$5001,L$219,BD!$A$3:$A$5001,_xlfn.MAXIFS(BD!$A$3:$A$5001,BD!$B$3:$B$5001,L$219,BD!$A$3:$A$5001,"&gt;="&amp;$C$7,BD!$A$3:$A$5001,"&lt;="&amp;$B243,BD!$N$3:$N$5001,"&lt;&gt;"))))</f>
        <v/>
      </c>
      <c r="M243" s="43" t="str">
        <f>IF(OR($B243="",$A243&gt;$B$9,M$219=""),"",IF(COUNTIFS(BD!$B$3:$B$5001,M$219,BD!$A$3:$A$5001,"&gt;="&amp;$C$7,BD!$A$3:$A$5001,"&lt;="&amp;$B243,BD!$N$3:$N$5001,"&lt;&gt;")=0,"",SUMIFS(BD!$N$3:$N$5001,BD!$B$3:$B$5001,M$219,BD!$A$3:$A$5001,_xlfn.MAXIFS(BD!$A$3:$A$5001,BD!$B$3:$B$5001,M$219,BD!$A$3:$A$5001,"&gt;="&amp;$C$7,BD!$A$3:$A$5001,"&lt;="&amp;$B243,BD!$N$3:$N$5001,"&lt;&gt;"))))</f>
        <v/>
      </c>
      <c r="N243" s="43" t="str">
        <f>IF(OR($B243="",$A243&gt;$B$9,N$219=""),"",IF(COUNTIFS(BD!$B$3:$B$5001,N$219,BD!$A$3:$A$5001,"&gt;="&amp;$C$7,BD!$A$3:$A$5001,"&lt;="&amp;$B243,BD!$N$3:$N$5001,"&lt;&gt;")=0,"",SUMIFS(BD!$N$3:$N$5001,BD!$B$3:$B$5001,N$219,BD!$A$3:$A$5001,_xlfn.MAXIFS(BD!$A$3:$A$5001,BD!$B$3:$B$5001,N$219,BD!$A$3:$A$5001,"&gt;="&amp;$C$7,BD!$A$3:$A$5001,"&lt;="&amp;$B243,BD!$N$3:$N$5001,"&lt;&gt;"))))</f>
        <v/>
      </c>
      <c r="O243" s="43" t="str">
        <f>IF(OR($B243="",$A243&gt;$B$9,O$219=""),"",IF(COUNTIFS(BD!$B$3:$B$5001,O$219,BD!$A$3:$A$5001,"&gt;="&amp;$C$7,BD!$A$3:$A$5001,"&lt;="&amp;$B243,BD!$N$3:$N$5001,"&lt;&gt;")=0,"",SUMIFS(BD!$N$3:$N$5001,BD!$B$3:$B$5001,O$219,BD!$A$3:$A$5001,_xlfn.MAXIFS(BD!$A$3:$A$5001,BD!$B$3:$B$5001,O$219,BD!$A$3:$A$5001,"&gt;="&amp;$C$7,BD!$A$3:$A$5001,"&lt;="&amp;$B243,BD!$N$3:$N$5001,"&lt;&gt;"))))</f>
        <v/>
      </c>
      <c r="P243" s="43" t="str">
        <f>IF(OR($B243="",$A243&gt;$B$9,P$219=""),"",IF(COUNTIFS(BD!$B$3:$B$5001,P$219,BD!$A$3:$A$5001,"&gt;="&amp;$C$7,BD!$A$3:$A$5001,"&lt;="&amp;$B243,BD!$N$3:$N$5001,"&lt;&gt;")=0,"",SUMIFS(BD!$N$3:$N$5001,BD!$B$3:$B$5001,P$219,BD!$A$3:$A$5001,_xlfn.MAXIFS(BD!$A$3:$A$5001,BD!$B$3:$B$5001,P$219,BD!$A$3:$A$5001,"&gt;="&amp;$C$7,BD!$A$3:$A$5001,"&lt;="&amp;$B243,BD!$N$3:$N$5001,"&lt;&gt;"))))</f>
        <v/>
      </c>
      <c r="Q243" s="43" t="str">
        <f>IF(OR($B243="",$A243&gt;$B$9,Q$219=""),"",IF(COUNTIFS(BD!$B$3:$B$5001,Q$219,BD!$A$3:$A$5001,"&gt;="&amp;$C$7,BD!$A$3:$A$5001,"&lt;="&amp;$B243,BD!$N$3:$N$5001,"&lt;&gt;")=0,"",SUMIFS(BD!$N$3:$N$5001,BD!$B$3:$B$5001,Q$219,BD!$A$3:$A$5001,_xlfn.MAXIFS(BD!$A$3:$A$5001,BD!$B$3:$B$5001,Q$219,BD!$A$3:$A$5001,"&gt;="&amp;$C$7,BD!$A$3:$A$5001,"&lt;="&amp;$B243,BD!$N$3:$N$5001,"&lt;&gt;"))))</f>
        <v/>
      </c>
      <c r="R243" s="43" t="str">
        <f>IF(OR($B243="",$A243&gt;$B$9,R$219=""),"",IF(COUNTIFS(BD!$B$3:$B$5001,R$219,BD!$A$3:$A$5001,"&gt;="&amp;$C$7,BD!$A$3:$A$5001,"&lt;="&amp;$B243,BD!$N$3:$N$5001,"&lt;&gt;")=0,"",SUMIFS(BD!$N$3:$N$5001,BD!$B$3:$B$5001,R$219,BD!$A$3:$A$5001,_xlfn.MAXIFS(BD!$A$3:$A$5001,BD!$B$3:$B$5001,R$219,BD!$A$3:$A$5001,"&gt;="&amp;$C$7,BD!$A$3:$A$5001,"&lt;="&amp;$B243,BD!$N$3:$N$5001,"&lt;&gt;"))))</f>
        <v/>
      </c>
      <c r="S243" s="43" t="str">
        <f>IF(OR($B243="",$A243&gt;$B$9,S$219=""),"",IF(COUNTIFS(BD!$B$3:$B$5001,S$219,BD!$A$3:$A$5001,"&gt;="&amp;$C$7,BD!$A$3:$A$5001,"&lt;="&amp;$B243,BD!$N$3:$N$5001,"&lt;&gt;")=0,"",SUMIFS(BD!$N$3:$N$5001,BD!$B$3:$B$5001,S$219,BD!$A$3:$A$5001,_xlfn.MAXIFS(BD!$A$3:$A$5001,BD!$B$3:$B$5001,S$219,BD!$A$3:$A$5001,"&gt;="&amp;$C$7,BD!$A$3:$A$5001,"&lt;="&amp;$B243,BD!$N$3:$N$5001,"&lt;&gt;"))))</f>
        <v/>
      </c>
      <c r="T243" s="43" t="str">
        <f>IF(OR($B243="",$A243&gt;$B$9,T$219=""),"",IF(COUNTIFS(BD!$B$3:$B$5001,T$219,BD!$A$3:$A$5001,"&gt;="&amp;$C$7,BD!$A$3:$A$5001,"&lt;="&amp;$B243,BD!$N$3:$N$5001,"&lt;&gt;")=0,"",SUMIFS(BD!$N$3:$N$5001,BD!$B$3:$B$5001,T$219,BD!$A$3:$A$5001,_xlfn.MAXIFS(BD!$A$3:$A$5001,BD!$B$3:$B$5001,T$219,BD!$A$3:$A$5001,"&gt;="&amp;$C$7,BD!$A$3:$A$5001,"&lt;="&amp;$B243,BD!$N$3:$N$5001,"&lt;&gt;"))))</f>
        <v/>
      </c>
      <c r="U243" s="43" t="str">
        <f>IF(OR($B243="",$A243&gt;$B$9,U$219=""),"",IF(COUNTIFS(BD!$B$3:$B$5001,U$219,BD!$A$3:$A$5001,"&gt;="&amp;$C$7,BD!$A$3:$A$5001,"&lt;="&amp;$B243,BD!$N$3:$N$5001,"&lt;&gt;")=0,"",SUMIFS(BD!$N$3:$N$5001,BD!$B$3:$B$5001,U$219,BD!$A$3:$A$5001,_xlfn.MAXIFS(BD!$A$3:$A$5001,BD!$B$3:$B$5001,U$219,BD!$A$3:$A$5001,"&gt;="&amp;$C$7,BD!$A$3:$A$5001,"&lt;="&amp;$B243,BD!$N$3:$N$5001,"&lt;&gt;"))))</f>
        <v/>
      </c>
      <c r="V243" s="43" t="str">
        <f>IF(OR($B243="",$A243&gt;$B$9,V$219=""),"",IF(COUNTIFS(BD!$B$3:$B$5001,V$219,BD!$A$3:$A$5001,"&gt;="&amp;$C$7,BD!$A$3:$A$5001,"&lt;="&amp;$B243,BD!$N$3:$N$5001,"&lt;&gt;")=0,"",SUMIFS(BD!$N$3:$N$5001,BD!$B$3:$B$5001,V$219,BD!$A$3:$A$5001,_xlfn.MAXIFS(BD!$A$3:$A$5001,BD!$B$3:$B$5001,V$219,BD!$A$3:$A$5001,"&gt;="&amp;$C$7,BD!$A$3:$A$5001,"&lt;="&amp;$B243,BD!$N$3:$N$5001,"&lt;&gt;"))))</f>
        <v/>
      </c>
    </row>
    <row r="244">
      <c r="A244" s="38">
        <v>25</v>
      </c>
      <c r="B244" s="42">
        <f>$B$36</f>
        <v>46320</v>
      </c>
      <c r="C244" s="43" t="str">
        <f>IF(OR($B244="",$A244&gt;$B$9,C$219=""),"",IF(COUNTIFS(BD!$B$3:$B$5001,C$219,BD!$A$3:$A$5001,"&gt;="&amp;$C$7,BD!$A$3:$A$5001,"&lt;="&amp;$B244,BD!$N$3:$N$5001,"&lt;&gt;")=0,"",SUMIFS(BD!$N$3:$N$5001,BD!$B$3:$B$5001,C$219,BD!$A$3:$A$5001,_xlfn.MAXIFS(BD!$A$3:$A$5001,BD!$B$3:$B$5001,C$219,BD!$A$3:$A$5001,"&gt;="&amp;$C$7,BD!$A$3:$A$5001,"&lt;="&amp;$B244,BD!$N$3:$N$5001,"&lt;&gt;"))))</f>
        <v/>
      </c>
      <c r="D244" s="43" t="str">
        <f>IF(OR($B244="",$A244&gt;$B$9,D$219=""),"",IF(COUNTIFS(BD!$B$3:$B$5001,D$219,BD!$A$3:$A$5001,"&gt;="&amp;$C$7,BD!$A$3:$A$5001,"&lt;="&amp;$B244,BD!$N$3:$N$5001,"&lt;&gt;")=0,"",SUMIFS(BD!$N$3:$N$5001,BD!$B$3:$B$5001,D$219,BD!$A$3:$A$5001,_xlfn.MAXIFS(BD!$A$3:$A$5001,BD!$B$3:$B$5001,D$219,BD!$A$3:$A$5001,"&gt;="&amp;$C$7,BD!$A$3:$A$5001,"&lt;="&amp;$B244,BD!$N$3:$N$5001,"&lt;&gt;"))))</f>
        <v/>
      </c>
      <c r="E244" s="43" t="str">
        <f>IF(OR($B244="",$A244&gt;$B$9,E$219=""),"",IF(COUNTIFS(BD!$B$3:$B$5001,E$219,BD!$A$3:$A$5001,"&gt;="&amp;$C$7,BD!$A$3:$A$5001,"&lt;="&amp;$B244,BD!$N$3:$N$5001,"&lt;&gt;")=0,"",SUMIFS(BD!$N$3:$N$5001,BD!$B$3:$B$5001,E$219,BD!$A$3:$A$5001,_xlfn.MAXIFS(BD!$A$3:$A$5001,BD!$B$3:$B$5001,E$219,BD!$A$3:$A$5001,"&gt;="&amp;$C$7,BD!$A$3:$A$5001,"&lt;="&amp;$B244,BD!$N$3:$N$5001,"&lt;&gt;"))))</f>
        <v/>
      </c>
      <c r="F244" s="43" t="str">
        <f>IF(OR($B244="",$A244&gt;$B$9,F$219=""),"",IF(COUNTIFS(BD!$B$3:$B$5001,F$219,BD!$A$3:$A$5001,"&gt;="&amp;$C$7,BD!$A$3:$A$5001,"&lt;="&amp;$B244,BD!$N$3:$N$5001,"&lt;&gt;")=0,"",SUMIFS(BD!$N$3:$N$5001,BD!$B$3:$B$5001,F$219,BD!$A$3:$A$5001,_xlfn.MAXIFS(BD!$A$3:$A$5001,BD!$B$3:$B$5001,F$219,BD!$A$3:$A$5001,"&gt;="&amp;$C$7,BD!$A$3:$A$5001,"&lt;="&amp;$B244,BD!$N$3:$N$5001,"&lt;&gt;"))))</f>
        <v/>
      </c>
      <c r="G244" s="43" t="str">
        <f>IF(OR($B244="",$A244&gt;$B$9,G$219=""),"",IF(COUNTIFS(BD!$B$3:$B$5001,G$219,BD!$A$3:$A$5001,"&gt;="&amp;$C$7,BD!$A$3:$A$5001,"&lt;="&amp;$B244,BD!$N$3:$N$5001,"&lt;&gt;")=0,"",SUMIFS(BD!$N$3:$N$5001,BD!$B$3:$B$5001,G$219,BD!$A$3:$A$5001,_xlfn.MAXIFS(BD!$A$3:$A$5001,BD!$B$3:$B$5001,G$219,BD!$A$3:$A$5001,"&gt;="&amp;$C$7,BD!$A$3:$A$5001,"&lt;="&amp;$B244,BD!$N$3:$N$5001,"&lt;&gt;"))))</f>
        <v/>
      </c>
      <c r="H244" s="43" t="str">
        <f>IF(OR($B244="",$A244&gt;$B$9,H$219=""),"",IF(COUNTIFS(BD!$B$3:$B$5001,H$219,BD!$A$3:$A$5001,"&gt;="&amp;$C$7,BD!$A$3:$A$5001,"&lt;="&amp;$B244,BD!$N$3:$N$5001,"&lt;&gt;")=0,"",SUMIFS(BD!$N$3:$N$5001,BD!$B$3:$B$5001,H$219,BD!$A$3:$A$5001,_xlfn.MAXIFS(BD!$A$3:$A$5001,BD!$B$3:$B$5001,H$219,BD!$A$3:$A$5001,"&gt;="&amp;$C$7,BD!$A$3:$A$5001,"&lt;="&amp;$B244,BD!$N$3:$N$5001,"&lt;&gt;"))))</f>
        <v/>
      </c>
      <c r="I244" s="43" t="str">
        <f>IF(OR($B244="",$A244&gt;$B$9,I$219=""),"",IF(COUNTIFS(BD!$B$3:$B$5001,I$219,BD!$A$3:$A$5001,"&gt;="&amp;$C$7,BD!$A$3:$A$5001,"&lt;="&amp;$B244,BD!$N$3:$N$5001,"&lt;&gt;")=0,"",SUMIFS(BD!$N$3:$N$5001,BD!$B$3:$B$5001,I$219,BD!$A$3:$A$5001,_xlfn.MAXIFS(BD!$A$3:$A$5001,BD!$B$3:$B$5001,I$219,BD!$A$3:$A$5001,"&gt;="&amp;$C$7,BD!$A$3:$A$5001,"&lt;="&amp;$B244,BD!$N$3:$N$5001,"&lt;&gt;"))))</f>
        <v/>
      </c>
      <c r="J244" s="43" t="str">
        <f>IF(OR($B244="",$A244&gt;$B$9,J$219=""),"",IF(COUNTIFS(BD!$B$3:$B$5001,J$219,BD!$A$3:$A$5001,"&gt;="&amp;$C$7,BD!$A$3:$A$5001,"&lt;="&amp;$B244,BD!$N$3:$N$5001,"&lt;&gt;")=0,"",SUMIFS(BD!$N$3:$N$5001,BD!$B$3:$B$5001,J$219,BD!$A$3:$A$5001,_xlfn.MAXIFS(BD!$A$3:$A$5001,BD!$B$3:$B$5001,J$219,BD!$A$3:$A$5001,"&gt;="&amp;$C$7,BD!$A$3:$A$5001,"&lt;="&amp;$B244,BD!$N$3:$N$5001,"&lt;&gt;"))))</f>
        <v/>
      </c>
      <c r="K244" s="43" t="str">
        <f>IF(OR($B244="",$A244&gt;$B$9,K$219=""),"",IF(COUNTIFS(BD!$B$3:$B$5001,K$219,BD!$A$3:$A$5001,"&gt;="&amp;$C$7,BD!$A$3:$A$5001,"&lt;="&amp;$B244,BD!$N$3:$N$5001,"&lt;&gt;")=0,"",SUMIFS(BD!$N$3:$N$5001,BD!$B$3:$B$5001,K$219,BD!$A$3:$A$5001,_xlfn.MAXIFS(BD!$A$3:$A$5001,BD!$B$3:$B$5001,K$219,BD!$A$3:$A$5001,"&gt;="&amp;$C$7,BD!$A$3:$A$5001,"&lt;="&amp;$B244,BD!$N$3:$N$5001,"&lt;&gt;"))))</f>
        <v/>
      </c>
      <c r="L244" s="43" t="str">
        <f>IF(OR($B244="",$A244&gt;$B$9,L$219=""),"",IF(COUNTIFS(BD!$B$3:$B$5001,L$219,BD!$A$3:$A$5001,"&gt;="&amp;$C$7,BD!$A$3:$A$5001,"&lt;="&amp;$B244,BD!$N$3:$N$5001,"&lt;&gt;")=0,"",SUMIFS(BD!$N$3:$N$5001,BD!$B$3:$B$5001,L$219,BD!$A$3:$A$5001,_xlfn.MAXIFS(BD!$A$3:$A$5001,BD!$B$3:$B$5001,L$219,BD!$A$3:$A$5001,"&gt;="&amp;$C$7,BD!$A$3:$A$5001,"&lt;="&amp;$B244,BD!$N$3:$N$5001,"&lt;&gt;"))))</f>
        <v/>
      </c>
      <c r="M244" s="43" t="str">
        <f>IF(OR($B244="",$A244&gt;$B$9,M$219=""),"",IF(COUNTIFS(BD!$B$3:$B$5001,M$219,BD!$A$3:$A$5001,"&gt;="&amp;$C$7,BD!$A$3:$A$5001,"&lt;="&amp;$B244,BD!$N$3:$N$5001,"&lt;&gt;")=0,"",SUMIFS(BD!$N$3:$N$5001,BD!$B$3:$B$5001,M$219,BD!$A$3:$A$5001,_xlfn.MAXIFS(BD!$A$3:$A$5001,BD!$B$3:$B$5001,M$219,BD!$A$3:$A$5001,"&gt;="&amp;$C$7,BD!$A$3:$A$5001,"&lt;="&amp;$B244,BD!$N$3:$N$5001,"&lt;&gt;"))))</f>
        <v/>
      </c>
      <c r="N244" s="43" t="str">
        <f>IF(OR($B244="",$A244&gt;$B$9,N$219=""),"",IF(COUNTIFS(BD!$B$3:$B$5001,N$219,BD!$A$3:$A$5001,"&gt;="&amp;$C$7,BD!$A$3:$A$5001,"&lt;="&amp;$B244,BD!$N$3:$N$5001,"&lt;&gt;")=0,"",SUMIFS(BD!$N$3:$N$5001,BD!$B$3:$B$5001,N$219,BD!$A$3:$A$5001,_xlfn.MAXIFS(BD!$A$3:$A$5001,BD!$B$3:$B$5001,N$219,BD!$A$3:$A$5001,"&gt;="&amp;$C$7,BD!$A$3:$A$5001,"&lt;="&amp;$B244,BD!$N$3:$N$5001,"&lt;&gt;"))))</f>
        <v/>
      </c>
      <c r="O244" s="43" t="str">
        <f>IF(OR($B244="",$A244&gt;$B$9,O$219=""),"",IF(COUNTIFS(BD!$B$3:$B$5001,O$219,BD!$A$3:$A$5001,"&gt;="&amp;$C$7,BD!$A$3:$A$5001,"&lt;="&amp;$B244,BD!$N$3:$N$5001,"&lt;&gt;")=0,"",SUMIFS(BD!$N$3:$N$5001,BD!$B$3:$B$5001,O$219,BD!$A$3:$A$5001,_xlfn.MAXIFS(BD!$A$3:$A$5001,BD!$B$3:$B$5001,O$219,BD!$A$3:$A$5001,"&gt;="&amp;$C$7,BD!$A$3:$A$5001,"&lt;="&amp;$B244,BD!$N$3:$N$5001,"&lt;&gt;"))))</f>
        <v/>
      </c>
      <c r="P244" s="43" t="str">
        <f>IF(OR($B244="",$A244&gt;$B$9,P$219=""),"",IF(COUNTIFS(BD!$B$3:$B$5001,P$219,BD!$A$3:$A$5001,"&gt;="&amp;$C$7,BD!$A$3:$A$5001,"&lt;="&amp;$B244,BD!$N$3:$N$5001,"&lt;&gt;")=0,"",SUMIFS(BD!$N$3:$N$5001,BD!$B$3:$B$5001,P$219,BD!$A$3:$A$5001,_xlfn.MAXIFS(BD!$A$3:$A$5001,BD!$B$3:$B$5001,P$219,BD!$A$3:$A$5001,"&gt;="&amp;$C$7,BD!$A$3:$A$5001,"&lt;="&amp;$B244,BD!$N$3:$N$5001,"&lt;&gt;"))))</f>
        <v/>
      </c>
      <c r="Q244" s="43" t="str">
        <f>IF(OR($B244="",$A244&gt;$B$9,Q$219=""),"",IF(COUNTIFS(BD!$B$3:$B$5001,Q$219,BD!$A$3:$A$5001,"&gt;="&amp;$C$7,BD!$A$3:$A$5001,"&lt;="&amp;$B244,BD!$N$3:$N$5001,"&lt;&gt;")=0,"",SUMIFS(BD!$N$3:$N$5001,BD!$B$3:$B$5001,Q$219,BD!$A$3:$A$5001,_xlfn.MAXIFS(BD!$A$3:$A$5001,BD!$B$3:$B$5001,Q$219,BD!$A$3:$A$5001,"&gt;="&amp;$C$7,BD!$A$3:$A$5001,"&lt;="&amp;$B244,BD!$N$3:$N$5001,"&lt;&gt;"))))</f>
        <v/>
      </c>
      <c r="R244" s="43" t="str">
        <f>IF(OR($B244="",$A244&gt;$B$9,R$219=""),"",IF(COUNTIFS(BD!$B$3:$B$5001,R$219,BD!$A$3:$A$5001,"&gt;="&amp;$C$7,BD!$A$3:$A$5001,"&lt;="&amp;$B244,BD!$N$3:$N$5001,"&lt;&gt;")=0,"",SUMIFS(BD!$N$3:$N$5001,BD!$B$3:$B$5001,R$219,BD!$A$3:$A$5001,_xlfn.MAXIFS(BD!$A$3:$A$5001,BD!$B$3:$B$5001,R$219,BD!$A$3:$A$5001,"&gt;="&amp;$C$7,BD!$A$3:$A$5001,"&lt;="&amp;$B244,BD!$N$3:$N$5001,"&lt;&gt;"))))</f>
        <v/>
      </c>
      <c r="S244" s="43" t="str">
        <f>IF(OR($B244="",$A244&gt;$B$9,S$219=""),"",IF(COUNTIFS(BD!$B$3:$B$5001,S$219,BD!$A$3:$A$5001,"&gt;="&amp;$C$7,BD!$A$3:$A$5001,"&lt;="&amp;$B244,BD!$N$3:$N$5001,"&lt;&gt;")=0,"",SUMIFS(BD!$N$3:$N$5001,BD!$B$3:$B$5001,S$219,BD!$A$3:$A$5001,_xlfn.MAXIFS(BD!$A$3:$A$5001,BD!$B$3:$B$5001,S$219,BD!$A$3:$A$5001,"&gt;="&amp;$C$7,BD!$A$3:$A$5001,"&lt;="&amp;$B244,BD!$N$3:$N$5001,"&lt;&gt;"))))</f>
        <v/>
      </c>
      <c r="T244" s="43" t="str">
        <f>IF(OR($B244="",$A244&gt;$B$9,T$219=""),"",IF(COUNTIFS(BD!$B$3:$B$5001,T$219,BD!$A$3:$A$5001,"&gt;="&amp;$C$7,BD!$A$3:$A$5001,"&lt;="&amp;$B244,BD!$N$3:$N$5001,"&lt;&gt;")=0,"",SUMIFS(BD!$N$3:$N$5001,BD!$B$3:$B$5001,T$219,BD!$A$3:$A$5001,_xlfn.MAXIFS(BD!$A$3:$A$5001,BD!$B$3:$B$5001,T$219,BD!$A$3:$A$5001,"&gt;="&amp;$C$7,BD!$A$3:$A$5001,"&lt;="&amp;$B244,BD!$N$3:$N$5001,"&lt;&gt;"))))</f>
        <v/>
      </c>
      <c r="U244" s="43" t="str">
        <f>IF(OR($B244="",$A244&gt;$B$9,U$219=""),"",IF(COUNTIFS(BD!$B$3:$B$5001,U$219,BD!$A$3:$A$5001,"&gt;="&amp;$C$7,BD!$A$3:$A$5001,"&lt;="&amp;$B244,BD!$N$3:$N$5001,"&lt;&gt;")=0,"",SUMIFS(BD!$N$3:$N$5001,BD!$B$3:$B$5001,U$219,BD!$A$3:$A$5001,_xlfn.MAXIFS(BD!$A$3:$A$5001,BD!$B$3:$B$5001,U$219,BD!$A$3:$A$5001,"&gt;="&amp;$C$7,BD!$A$3:$A$5001,"&lt;="&amp;$B244,BD!$N$3:$N$5001,"&lt;&gt;"))))</f>
        <v/>
      </c>
      <c r="V244" s="43" t="str">
        <f>IF(OR($B244="",$A244&gt;$B$9,V$219=""),"",IF(COUNTIFS(BD!$B$3:$B$5001,V$219,BD!$A$3:$A$5001,"&gt;="&amp;$C$7,BD!$A$3:$A$5001,"&lt;="&amp;$B244,BD!$N$3:$N$5001,"&lt;&gt;")=0,"",SUMIFS(BD!$N$3:$N$5001,BD!$B$3:$B$5001,V$219,BD!$A$3:$A$5001,_xlfn.MAXIFS(BD!$A$3:$A$5001,BD!$B$3:$B$5001,V$219,BD!$A$3:$A$5001,"&gt;="&amp;$C$7,BD!$A$3:$A$5001,"&lt;="&amp;$B244,BD!$N$3:$N$5001,"&lt;&gt;"))))</f>
        <v/>
      </c>
    </row>
    <row r="245">
      <c r="A245" s="38">
        <v>26</v>
      </c>
      <c r="B245" s="42">
        <f>$B$37</f>
        <v>46321</v>
      </c>
      <c r="C245" s="43" t="str">
        <f>IF(OR($B245="",$A245&gt;$B$9,C$219=""),"",IF(COUNTIFS(BD!$B$3:$B$5001,C$219,BD!$A$3:$A$5001,"&gt;="&amp;$C$7,BD!$A$3:$A$5001,"&lt;="&amp;$B245,BD!$N$3:$N$5001,"&lt;&gt;")=0,"",SUMIFS(BD!$N$3:$N$5001,BD!$B$3:$B$5001,C$219,BD!$A$3:$A$5001,_xlfn.MAXIFS(BD!$A$3:$A$5001,BD!$B$3:$B$5001,C$219,BD!$A$3:$A$5001,"&gt;="&amp;$C$7,BD!$A$3:$A$5001,"&lt;="&amp;$B245,BD!$N$3:$N$5001,"&lt;&gt;"))))</f>
        <v/>
      </c>
      <c r="D245" s="43" t="str">
        <f>IF(OR($B245="",$A245&gt;$B$9,D$219=""),"",IF(COUNTIFS(BD!$B$3:$B$5001,D$219,BD!$A$3:$A$5001,"&gt;="&amp;$C$7,BD!$A$3:$A$5001,"&lt;="&amp;$B245,BD!$N$3:$N$5001,"&lt;&gt;")=0,"",SUMIFS(BD!$N$3:$N$5001,BD!$B$3:$B$5001,D$219,BD!$A$3:$A$5001,_xlfn.MAXIFS(BD!$A$3:$A$5001,BD!$B$3:$B$5001,D$219,BD!$A$3:$A$5001,"&gt;="&amp;$C$7,BD!$A$3:$A$5001,"&lt;="&amp;$B245,BD!$N$3:$N$5001,"&lt;&gt;"))))</f>
        <v/>
      </c>
      <c r="E245" s="43" t="str">
        <f>IF(OR($B245="",$A245&gt;$B$9,E$219=""),"",IF(COUNTIFS(BD!$B$3:$B$5001,E$219,BD!$A$3:$A$5001,"&gt;="&amp;$C$7,BD!$A$3:$A$5001,"&lt;="&amp;$B245,BD!$N$3:$N$5001,"&lt;&gt;")=0,"",SUMIFS(BD!$N$3:$N$5001,BD!$B$3:$B$5001,E$219,BD!$A$3:$A$5001,_xlfn.MAXIFS(BD!$A$3:$A$5001,BD!$B$3:$B$5001,E$219,BD!$A$3:$A$5001,"&gt;="&amp;$C$7,BD!$A$3:$A$5001,"&lt;="&amp;$B245,BD!$N$3:$N$5001,"&lt;&gt;"))))</f>
        <v/>
      </c>
      <c r="F245" s="43" t="str">
        <f>IF(OR($B245="",$A245&gt;$B$9,F$219=""),"",IF(COUNTIFS(BD!$B$3:$B$5001,F$219,BD!$A$3:$A$5001,"&gt;="&amp;$C$7,BD!$A$3:$A$5001,"&lt;="&amp;$B245,BD!$N$3:$N$5001,"&lt;&gt;")=0,"",SUMIFS(BD!$N$3:$N$5001,BD!$B$3:$B$5001,F$219,BD!$A$3:$A$5001,_xlfn.MAXIFS(BD!$A$3:$A$5001,BD!$B$3:$B$5001,F$219,BD!$A$3:$A$5001,"&gt;="&amp;$C$7,BD!$A$3:$A$5001,"&lt;="&amp;$B245,BD!$N$3:$N$5001,"&lt;&gt;"))))</f>
        <v/>
      </c>
      <c r="G245" s="43" t="str">
        <f>IF(OR($B245="",$A245&gt;$B$9,G$219=""),"",IF(COUNTIFS(BD!$B$3:$B$5001,G$219,BD!$A$3:$A$5001,"&gt;="&amp;$C$7,BD!$A$3:$A$5001,"&lt;="&amp;$B245,BD!$N$3:$N$5001,"&lt;&gt;")=0,"",SUMIFS(BD!$N$3:$N$5001,BD!$B$3:$B$5001,G$219,BD!$A$3:$A$5001,_xlfn.MAXIFS(BD!$A$3:$A$5001,BD!$B$3:$B$5001,G$219,BD!$A$3:$A$5001,"&gt;="&amp;$C$7,BD!$A$3:$A$5001,"&lt;="&amp;$B245,BD!$N$3:$N$5001,"&lt;&gt;"))))</f>
        <v/>
      </c>
      <c r="H245" s="43" t="str">
        <f>IF(OR($B245="",$A245&gt;$B$9,H$219=""),"",IF(COUNTIFS(BD!$B$3:$B$5001,H$219,BD!$A$3:$A$5001,"&gt;="&amp;$C$7,BD!$A$3:$A$5001,"&lt;="&amp;$B245,BD!$N$3:$N$5001,"&lt;&gt;")=0,"",SUMIFS(BD!$N$3:$N$5001,BD!$B$3:$B$5001,H$219,BD!$A$3:$A$5001,_xlfn.MAXIFS(BD!$A$3:$A$5001,BD!$B$3:$B$5001,H$219,BD!$A$3:$A$5001,"&gt;="&amp;$C$7,BD!$A$3:$A$5001,"&lt;="&amp;$B245,BD!$N$3:$N$5001,"&lt;&gt;"))))</f>
        <v/>
      </c>
      <c r="I245" s="43" t="str">
        <f>IF(OR($B245="",$A245&gt;$B$9,I$219=""),"",IF(COUNTIFS(BD!$B$3:$B$5001,I$219,BD!$A$3:$A$5001,"&gt;="&amp;$C$7,BD!$A$3:$A$5001,"&lt;="&amp;$B245,BD!$N$3:$N$5001,"&lt;&gt;")=0,"",SUMIFS(BD!$N$3:$N$5001,BD!$B$3:$B$5001,I$219,BD!$A$3:$A$5001,_xlfn.MAXIFS(BD!$A$3:$A$5001,BD!$B$3:$B$5001,I$219,BD!$A$3:$A$5001,"&gt;="&amp;$C$7,BD!$A$3:$A$5001,"&lt;="&amp;$B245,BD!$N$3:$N$5001,"&lt;&gt;"))))</f>
        <v/>
      </c>
      <c r="J245" s="43" t="str">
        <f>IF(OR($B245="",$A245&gt;$B$9,J$219=""),"",IF(COUNTIFS(BD!$B$3:$B$5001,J$219,BD!$A$3:$A$5001,"&gt;="&amp;$C$7,BD!$A$3:$A$5001,"&lt;="&amp;$B245,BD!$N$3:$N$5001,"&lt;&gt;")=0,"",SUMIFS(BD!$N$3:$N$5001,BD!$B$3:$B$5001,J$219,BD!$A$3:$A$5001,_xlfn.MAXIFS(BD!$A$3:$A$5001,BD!$B$3:$B$5001,J$219,BD!$A$3:$A$5001,"&gt;="&amp;$C$7,BD!$A$3:$A$5001,"&lt;="&amp;$B245,BD!$N$3:$N$5001,"&lt;&gt;"))))</f>
        <v/>
      </c>
      <c r="K245" s="43" t="str">
        <f>IF(OR($B245="",$A245&gt;$B$9,K$219=""),"",IF(COUNTIFS(BD!$B$3:$B$5001,K$219,BD!$A$3:$A$5001,"&gt;="&amp;$C$7,BD!$A$3:$A$5001,"&lt;="&amp;$B245,BD!$N$3:$N$5001,"&lt;&gt;")=0,"",SUMIFS(BD!$N$3:$N$5001,BD!$B$3:$B$5001,K$219,BD!$A$3:$A$5001,_xlfn.MAXIFS(BD!$A$3:$A$5001,BD!$B$3:$B$5001,K$219,BD!$A$3:$A$5001,"&gt;="&amp;$C$7,BD!$A$3:$A$5001,"&lt;="&amp;$B245,BD!$N$3:$N$5001,"&lt;&gt;"))))</f>
        <v/>
      </c>
      <c r="L245" s="43" t="str">
        <f>IF(OR($B245="",$A245&gt;$B$9,L$219=""),"",IF(COUNTIFS(BD!$B$3:$B$5001,L$219,BD!$A$3:$A$5001,"&gt;="&amp;$C$7,BD!$A$3:$A$5001,"&lt;="&amp;$B245,BD!$N$3:$N$5001,"&lt;&gt;")=0,"",SUMIFS(BD!$N$3:$N$5001,BD!$B$3:$B$5001,L$219,BD!$A$3:$A$5001,_xlfn.MAXIFS(BD!$A$3:$A$5001,BD!$B$3:$B$5001,L$219,BD!$A$3:$A$5001,"&gt;="&amp;$C$7,BD!$A$3:$A$5001,"&lt;="&amp;$B245,BD!$N$3:$N$5001,"&lt;&gt;"))))</f>
        <v/>
      </c>
      <c r="M245" s="43" t="str">
        <f>IF(OR($B245="",$A245&gt;$B$9,M$219=""),"",IF(COUNTIFS(BD!$B$3:$B$5001,M$219,BD!$A$3:$A$5001,"&gt;="&amp;$C$7,BD!$A$3:$A$5001,"&lt;="&amp;$B245,BD!$N$3:$N$5001,"&lt;&gt;")=0,"",SUMIFS(BD!$N$3:$N$5001,BD!$B$3:$B$5001,M$219,BD!$A$3:$A$5001,_xlfn.MAXIFS(BD!$A$3:$A$5001,BD!$B$3:$B$5001,M$219,BD!$A$3:$A$5001,"&gt;="&amp;$C$7,BD!$A$3:$A$5001,"&lt;="&amp;$B245,BD!$N$3:$N$5001,"&lt;&gt;"))))</f>
        <v/>
      </c>
      <c r="N245" s="43" t="str">
        <f>IF(OR($B245="",$A245&gt;$B$9,N$219=""),"",IF(COUNTIFS(BD!$B$3:$B$5001,N$219,BD!$A$3:$A$5001,"&gt;="&amp;$C$7,BD!$A$3:$A$5001,"&lt;="&amp;$B245,BD!$N$3:$N$5001,"&lt;&gt;")=0,"",SUMIFS(BD!$N$3:$N$5001,BD!$B$3:$B$5001,N$219,BD!$A$3:$A$5001,_xlfn.MAXIFS(BD!$A$3:$A$5001,BD!$B$3:$B$5001,N$219,BD!$A$3:$A$5001,"&gt;="&amp;$C$7,BD!$A$3:$A$5001,"&lt;="&amp;$B245,BD!$N$3:$N$5001,"&lt;&gt;"))))</f>
        <v/>
      </c>
      <c r="O245" s="43" t="str">
        <f>IF(OR($B245="",$A245&gt;$B$9,O$219=""),"",IF(COUNTIFS(BD!$B$3:$B$5001,O$219,BD!$A$3:$A$5001,"&gt;="&amp;$C$7,BD!$A$3:$A$5001,"&lt;="&amp;$B245,BD!$N$3:$N$5001,"&lt;&gt;")=0,"",SUMIFS(BD!$N$3:$N$5001,BD!$B$3:$B$5001,O$219,BD!$A$3:$A$5001,_xlfn.MAXIFS(BD!$A$3:$A$5001,BD!$B$3:$B$5001,O$219,BD!$A$3:$A$5001,"&gt;="&amp;$C$7,BD!$A$3:$A$5001,"&lt;="&amp;$B245,BD!$N$3:$N$5001,"&lt;&gt;"))))</f>
        <v/>
      </c>
      <c r="P245" s="43" t="str">
        <f>IF(OR($B245="",$A245&gt;$B$9,P$219=""),"",IF(COUNTIFS(BD!$B$3:$B$5001,P$219,BD!$A$3:$A$5001,"&gt;="&amp;$C$7,BD!$A$3:$A$5001,"&lt;="&amp;$B245,BD!$N$3:$N$5001,"&lt;&gt;")=0,"",SUMIFS(BD!$N$3:$N$5001,BD!$B$3:$B$5001,P$219,BD!$A$3:$A$5001,_xlfn.MAXIFS(BD!$A$3:$A$5001,BD!$B$3:$B$5001,P$219,BD!$A$3:$A$5001,"&gt;="&amp;$C$7,BD!$A$3:$A$5001,"&lt;="&amp;$B245,BD!$N$3:$N$5001,"&lt;&gt;"))))</f>
        <v/>
      </c>
      <c r="Q245" s="43" t="str">
        <f>IF(OR($B245="",$A245&gt;$B$9,Q$219=""),"",IF(COUNTIFS(BD!$B$3:$B$5001,Q$219,BD!$A$3:$A$5001,"&gt;="&amp;$C$7,BD!$A$3:$A$5001,"&lt;="&amp;$B245,BD!$N$3:$N$5001,"&lt;&gt;")=0,"",SUMIFS(BD!$N$3:$N$5001,BD!$B$3:$B$5001,Q$219,BD!$A$3:$A$5001,_xlfn.MAXIFS(BD!$A$3:$A$5001,BD!$B$3:$B$5001,Q$219,BD!$A$3:$A$5001,"&gt;="&amp;$C$7,BD!$A$3:$A$5001,"&lt;="&amp;$B245,BD!$N$3:$N$5001,"&lt;&gt;"))))</f>
        <v/>
      </c>
      <c r="R245" s="43" t="str">
        <f>IF(OR($B245="",$A245&gt;$B$9,R$219=""),"",IF(COUNTIFS(BD!$B$3:$B$5001,R$219,BD!$A$3:$A$5001,"&gt;="&amp;$C$7,BD!$A$3:$A$5001,"&lt;="&amp;$B245,BD!$N$3:$N$5001,"&lt;&gt;")=0,"",SUMIFS(BD!$N$3:$N$5001,BD!$B$3:$B$5001,R$219,BD!$A$3:$A$5001,_xlfn.MAXIFS(BD!$A$3:$A$5001,BD!$B$3:$B$5001,R$219,BD!$A$3:$A$5001,"&gt;="&amp;$C$7,BD!$A$3:$A$5001,"&lt;="&amp;$B245,BD!$N$3:$N$5001,"&lt;&gt;"))))</f>
        <v/>
      </c>
      <c r="S245" s="43" t="str">
        <f>IF(OR($B245="",$A245&gt;$B$9,S$219=""),"",IF(COUNTIFS(BD!$B$3:$B$5001,S$219,BD!$A$3:$A$5001,"&gt;="&amp;$C$7,BD!$A$3:$A$5001,"&lt;="&amp;$B245,BD!$N$3:$N$5001,"&lt;&gt;")=0,"",SUMIFS(BD!$N$3:$N$5001,BD!$B$3:$B$5001,S$219,BD!$A$3:$A$5001,_xlfn.MAXIFS(BD!$A$3:$A$5001,BD!$B$3:$B$5001,S$219,BD!$A$3:$A$5001,"&gt;="&amp;$C$7,BD!$A$3:$A$5001,"&lt;="&amp;$B245,BD!$N$3:$N$5001,"&lt;&gt;"))))</f>
        <v/>
      </c>
      <c r="T245" s="43" t="str">
        <f>IF(OR($B245="",$A245&gt;$B$9,T$219=""),"",IF(COUNTIFS(BD!$B$3:$B$5001,T$219,BD!$A$3:$A$5001,"&gt;="&amp;$C$7,BD!$A$3:$A$5001,"&lt;="&amp;$B245,BD!$N$3:$N$5001,"&lt;&gt;")=0,"",SUMIFS(BD!$N$3:$N$5001,BD!$B$3:$B$5001,T$219,BD!$A$3:$A$5001,_xlfn.MAXIFS(BD!$A$3:$A$5001,BD!$B$3:$B$5001,T$219,BD!$A$3:$A$5001,"&gt;="&amp;$C$7,BD!$A$3:$A$5001,"&lt;="&amp;$B245,BD!$N$3:$N$5001,"&lt;&gt;"))))</f>
        <v/>
      </c>
      <c r="U245" s="43" t="str">
        <f>IF(OR($B245="",$A245&gt;$B$9,U$219=""),"",IF(COUNTIFS(BD!$B$3:$B$5001,U$219,BD!$A$3:$A$5001,"&gt;="&amp;$C$7,BD!$A$3:$A$5001,"&lt;="&amp;$B245,BD!$N$3:$N$5001,"&lt;&gt;")=0,"",SUMIFS(BD!$N$3:$N$5001,BD!$B$3:$B$5001,U$219,BD!$A$3:$A$5001,_xlfn.MAXIFS(BD!$A$3:$A$5001,BD!$B$3:$B$5001,U$219,BD!$A$3:$A$5001,"&gt;="&amp;$C$7,BD!$A$3:$A$5001,"&lt;="&amp;$B245,BD!$N$3:$N$5001,"&lt;&gt;"))))</f>
        <v/>
      </c>
      <c r="V245" s="43" t="str">
        <f>IF(OR($B245="",$A245&gt;$B$9,V$219=""),"",IF(COUNTIFS(BD!$B$3:$B$5001,V$219,BD!$A$3:$A$5001,"&gt;="&amp;$C$7,BD!$A$3:$A$5001,"&lt;="&amp;$B245,BD!$N$3:$N$5001,"&lt;&gt;")=0,"",SUMIFS(BD!$N$3:$N$5001,BD!$B$3:$B$5001,V$219,BD!$A$3:$A$5001,_xlfn.MAXIFS(BD!$A$3:$A$5001,BD!$B$3:$B$5001,V$219,BD!$A$3:$A$5001,"&gt;="&amp;$C$7,BD!$A$3:$A$5001,"&lt;="&amp;$B245,BD!$N$3:$N$5001,"&lt;&gt;"))))</f>
        <v/>
      </c>
    </row>
    <row r="246">
      <c r="A246" s="38">
        <v>27</v>
      </c>
      <c r="B246" s="42">
        <f>$B$38</f>
        <v>46322</v>
      </c>
      <c r="C246" s="43" t="str">
        <f>IF(OR($B246="",$A246&gt;$B$9,C$219=""),"",IF(COUNTIFS(BD!$B$3:$B$5001,C$219,BD!$A$3:$A$5001,"&gt;="&amp;$C$7,BD!$A$3:$A$5001,"&lt;="&amp;$B246,BD!$N$3:$N$5001,"&lt;&gt;")=0,"",SUMIFS(BD!$N$3:$N$5001,BD!$B$3:$B$5001,C$219,BD!$A$3:$A$5001,_xlfn.MAXIFS(BD!$A$3:$A$5001,BD!$B$3:$B$5001,C$219,BD!$A$3:$A$5001,"&gt;="&amp;$C$7,BD!$A$3:$A$5001,"&lt;="&amp;$B246,BD!$N$3:$N$5001,"&lt;&gt;"))))</f>
        <v/>
      </c>
      <c r="D246" s="43" t="str">
        <f>IF(OR($B246="",$A246&gt;$B$9,D$219=""),"",IF(COUNTIFS(BD!$B$3:$B$5001,D$219,BD!$A$3:$A$5001,"&gt;="&amp;$C$7,BD!$A$3:$A$5001,"&lt;="&amp;$B246,BD!$N$3:$N$5001,"&lt;&gt;")=0,"",SUMIFS(BD!$N$3:$N$5001,BD!$B$3:$B$5001,D$219,BD!$A$3:$A$5001,_xlfn.MAXIFS(BD!$A$3:$A$5001,BD!$B$3:$B$5001,D$219,BD!$A$3:$A$5001,"&gt;="&amp;$C$7,BD!$A$3:$A$5001,"&lt;="&amp;$B246,BD!$N$3:$N$5001,"&lt;&gt;"))))</f>
        <v/>
      </c>
      <c r="E246" s="43" t="str">
        <f>IF(OR($B246="",$A246&gt;$B$9,E$219=""),"",IF(COUNTIFS(BD!$B$3:$B$5001,E$219,BD!$A$3:$A$5001,"&gt;="&amp;$C$7,BD!$A$3:$A$5001,"&lt;="&amp;$B246,BD!$N$3:$N$5001,"&lt;&gt;")=0,"",SUMIFS(BD!$N$3:$N$5001,BD!$B$3:$B$5001,E$219,BD!$A$3:$A$5001,_xlfn.MAXIFS(BD!$A$3:$A$5001,BD!$B$3:$B$5001,E$219,BD!$A$3:$A$5001,"&gt;="&amp;$C$7,BD!$A$3:$A$5001,"&lt;="&amp;$B246,BD!$N$3:$N$5001,"&lt;&gt;"))))</f>
        <v/>
      </c>
      <c r="F246" s="43" t="str">
        <f>IF(OR($B246="",$A246&gt;$B$9,F$219=""),"",IF(COUNTIFS(BD!$B$3:$B$5001,F$219,BD!$A$3:$A$5001,"&gt;="&amp;$C$7,BD!$A$3:$A$5001,"&lt;="&amp;$B246,BD!$N$3:$N$5001,"&lt;&gt;")=0,"",SUMIFS(BD!$N$3:$N$5001,BD!$B$3:$B$5001,F$219,BD!$A$3:$A$5001,_xlfn.MAXIFS(BD!$A$3:$A$5001,BD!$B$3:$B$5001,F$219,BD!$A$3:$A$5001,"&gt;="&amp;$C$7,BD!$A$3:$A$5001,"&lt;="&amp;$B246,BD!$N$3:$N$5001,"&lt;&gt;"))))</f>
        <v/>
      </c>
      <c r="G246" s="43" t="str">
        <f>IF(OR($B246="",$A246&gt;$B$9,G$219=""),"",IF(COUNTIFS(BD!$B$3:$B$5001,G$219,BD!$A$3:$A$5001,"&gt;="&amp;$C$7,BD!$A$3:$A$5001,"&lt;="&amp;$B246,BD!$N$3:$N$5001,"&lt;&gt;")=0,"",SUMIFS(BD!$N$3:$N$5001,BD!$B$3:$B$5001,G$219,BD!$A$3:$A$5001,_xlfn.MAXIFS(BD!$A$3:$A$5001,BD!$B$3:$B$5001,G$219,BD!$A$3:$A$5001,"&gt;="&amp;$C$7,BD!$A$3:$A$5001,"&lt;="&amp;$B246,BD!$N$3:$N$5001,"&lt;&gt;"))))</f>
        <v/>
      </c>
      <c r="H246" s="43" t="str">
        <f>IF(OR($B246="",$A246&gt;$B$9,H$219=""),"",IF(COUNTIFS(BD!$B$3:$B$5001,H$219,BD!$A$3:$A$5001,"&gt;="&amp;$C$7,BD!$A$3:$A$5001,"&lt;="&amp;$B246,BD!$N$3:$N$5001,"&lt;&gt;")=0,"",SUMIFS(BD!$N$3:$N$5001,BD!$B$3:$B$5001,H$219,BD!$A$3:$A$5001,_xlfn.MAXIFS(BD!$A$3:$A$5001,BD!$B$3:$B$5001,H$219,BD!$A$3:$A$5001,"&gt;="&amp;$C$7,BD!$A$3:$A$5001,"&lt;="&amp;$B246,BD!$N$3:$N$5001,"&lt;&gt;"))))</f>
        <v/>
      </c>
      <c r="I246" s="43" t="str">
        <f>IF(OR($B246="",$A246&gt;$B$9,I$219=""),"",IF(COUNTIFS(BD!$B$3:$B$5001,I$219,BD!$A$3:$A$5001,"&gt;="&amp;$C$7,BD!$A$3:$A$5001,"&lt;="&amp;$B246,BD!$N$3:$N$5001,"&lt;&gt;")=0,"",SUMIFS(BD!$N$3:$N$5001,BD!$B$3:$B$5001,I$219,BD!$A$3:$A$5001,_xlfn.MAXIFS(BD!$A$3:$A$5001,BD!$B$3:$B$5001,I$219,BD!$A$3:$A$5001,"&gt;="&amp;$C$7,BD!$A$3:$A$5001,"&lt;="&amp;$B246,BD!$N$3:$N$5001,"&lt;&gt;"))))</f>
        <v/>
      </c>
      <c r="J246" s="43" t="str">
        <f>IF(OR($B246="",$A246&gt;$B$9,J$219=""),"",IF(COUNTIFS(BD!$B$3:$B$5001,J$219,BD!$A$3:$A$5001,"&gt;="&amp;$C$7,BD!$A$3:$A$5001,"&lt;="&amp;$B246,BD!$N$3:$N$5001,"&lt;&gt;")=0,"",SUMIFS(BD!$N$3:$N$5001,BD!$B$3:$B$5001,J$219,BD!$A$3:$A$5001,_xlfn.MAXIFS(BD!$A$3:$A$5001,BD!$B$3:$B$5001,J$219,BD!$A$3:$A$5001,"&gt;="&amp;$C$7,BD!$A$3:$A$5001,"&lt;="&amp;$B246,BD!$N$3:$N$5001,"&lt;&gt;"))))</f>
        <v/>
      </c>
      <c r="K246" s="43" t="str">
        <f>IF(OR($B246="",$A246&gt;$B$9,K$219=""),"",IF(COUNTIFS(BD!$B$3:$B$5001,K$219,BD!$A$3:$A$5001,"&gt;="&amp;$C$7,BD!$A$3:$A$5001,"&lt;="&amp;$B246,BD!$N$3:$N$5001,"&lt;&gt;")=0,"",SUMIFS(BD!$N$3:$N$5001,BD!$B$3:$B$5001,K$219,BD!$A$3:$A$5001,_xlfn.MAXIFS(BD!$A$3:$A$5001,BD!$B$3:$B$5001,K$219,BD!$A$3:$A$5001,"&gt;="&amp;$C$7,BD!$A$3:$A$5001,"&lt;="&amp;$B246,BD!$N$3:$N$5001,"&lt;&gt;"))))</f>
        <v/>
      </c>
      <c r="L246" s="43" t="str">
        <f>IF(OR($B246="",$A246&gt;$B$9,L$219=""),"",IF(COUNTIFS(BD!$B$3:$B$5001,L$219,BD!$A$3:$A$5001,"&gt;="&amp;$C$7,BD!$A$3:$A$5001,"&lt;="&amp;$B246,BD!$N$3:$N$5001,"&lt;&gt;")=0,"",SUMIFS(BD!$N$3:$N$5001,BD!$B$3:$B$5001,L$219,BD!$A$3:$A$5001,_xlfn.MAXIFS(BD!$A$3:$A$5001,BD!$B$3:$B$5001,L$219,BD!$A$3:$A$5001,"&gt;="&amp;$C$7,BD!$A$3:$A$5001,"&lt;="&amp;$B246,BD!$N$3:$N$5001,"&lt;&gt;"))))</f>
        <v/>
      </c>
      <c r="M246" s="43" t="str">
        <f>IF(OR($B246="",$A246&gt;$B$9,M$219=""),"",IF(COUNTIFS(BD!$B$3:$B$5001,M$219,BD!$A$3:$A$5001,"&gt;="&amp;$C$7,BD!$A$3:$A$5001,"&lt;="&amp;$B246,BD!$N$3:$N$5001,"&lt;&gt;")=0,"",SUMIFS(BD!$N$3:$N$5001,BD!$B$3:$B$5001,M$219,BD!$A$3:$A$5001,_xlfn.MAXIFS(BD!$A$3:$A$5001,BD!$B$3:$B$5001,M$219,BD!$A$3:$A$5001,"&gt;="&amp;$C$7,BD!$A$3:$A$5001,"&lt;="&amp;$B246,BD!$N$3:$N$5001,"&lt;&gt;"))))</f>
        <v/>
      </c>
      <c r="N246" s="43" t="str">
        <f>IF(OR($B246="",$A246&gt;$B$9,N$219=""),"",IF(COUNTIFS(BD!$B$3:$B$5001,N$219,BD!$A$3:$A$5001,"&gt;="&amp;$C$7,BD!$A$3:$A$5001,"&lt;="&amp;$B246,BD!$N$3:$N$5001,"&lt;&gt;")=0,"",SUMIFS(BD!$N$3:$N$5001,BD!$B$3:$B$5001,N$219,BD!$A$3:$A$5001,_xlfn.MAXIFS(BD!$A$3:$A$5001,BD!$B$3:$B$5001,N$219,BD!$A$3:$A$5001,"&gt;="&amp;$C$7,BD!$A$3:$A$5001,"&lt;="&amp;$B246,BD!$N$3:$N$5001,"&lt;&gt;"))))</f>
        <v/>
      </c>
      <c r="O246" s="43" t="str">
        <f>IF(OR($B246="",$A246&gt;$B$9,O$219=""),"",IF(COUNTIFS(BD!$B$3:$B$5001,O$219,BD!$A$3:$A$5001,"&gt;="&amp;$C$7,BD!$A$3:$A$5001,"&lt;="&amp;$B246,BD!$N$3:$N$5001,"&lt;&gt;")=0,"",SUMIFS(BD!$N$3:$N$5001,BD!$B$3:$B$5001,O$219,BD!$A$3:$A$5001,_xlfn.MAXIFS(BD!$A$3:$A$5001,BD!$B$3:$B$5001,O$219,BD!$A$3:$A$5001,"&gt;="&amp;$C$7,BD!$A$3:$A$5001,"&lt;="&amp;$B246,BD!$N$3:$N$5001,"&lt;&gt;"))))</f>
        <v/>
      </c>
      <c r="P246" s="43" t="str">
        <f>IF(OR($B246="",$A246&gt;$B$9,P$219=""),"",IF(COUNTIFS(BD!$B$3:$B$5001,P$219,BD!$A$3:$A$5001,"&gt;="&amp;$C$7,BD!$A$3:$A$5001,"&lt;="&amp;$B246,BD!$N$3:$N$5001,"&lt;&gt;")=0,"",SUMIFS(BD!$N$3:$N$5001,BD!$B$3:$B$5001,P$219,BD!$A$3:$A$5001,_xlfn.MAXIFS(BD!$A$3:$A$5001,BD!$B$3:$B$5001,P$219,BD!$A$3:$A$5001,"&gt;="&amp;$C$7,BD!$A$3:$A$5001,"&lt;="&amp;$B246,BD!$N$3:$N$5001,"&lt;&gt;"))))</f>
        <v/>
      </c>
      <c r="Q246" s="43" t="str">
        <f>IF(OR($B246="",$A246&gt;$B$9,Q$219=""),"",IF(COUNTIFS(BD!$B$3:$B$5001,Q$219,BD!$A$3:$A$5001,"&gt;="&amp;$C$7,BD!$A$3:$A$5001,"&lt;="&amp;$B246,BD!$N$3:$N$5001,"&lt;&gt;")=0,"",SUMIFS(BD!$N$3:$N$5001,BD!$B$3:$B$5001,Q$219,BD!$A$3:$A$5001,_xlfn.MAXIFS(BD!$A$3:$A$5001,BD!$B$3:$B$5001,Q$219,BD!$A$3:$A$5001,"&gt;="&amp;$C$7,BD!$A$3:$A$5001,"&lt;="&amp;$B246,BD!$N$3:$N$5001,"&lt;&gt;"))))</f>
        <v/>
      </c>
      <c r="R246" s="43" t="str">
        <f>IF(OR($B246="",$A246&gt;$B$9,R$219=""),"",IF(COUNTIFS(BD!$B$3:$B$5001,R$219,BD!$A$3:$A$5001,"&gt;="&amp;$C$7,BD!$A$3:$A$5001,"&lt;="&amp;$B246,BD!$N$3:$N$5001,"&lt;&gt;")=0,"",SUMIFS(BD!$N$3:$N$5001,BD!$B$3:$B$5001,R$219,BD!$A$3:$A$5001,_xlfn.MAXIFS(BD!$A$3:$A$5001,BD!$B$3:$B$5001,R$219,BD!$A$3:$A$5001,"&gt;="&amp;$C$7,BD!$A$3:$A$5001,"&lt;="&amp;$B246,BD!$N$3:$N$5001,"&lt;&gt;"))))</f>
        <v/>
      </c>
      <c r="S246" s="43" t="str">
        <f>IF(OR($B246="",$A246&gt;$B$9,S$219=""),"",IF(COUNTIFS(BD!$B$3:$B$5001,S$219,BD!$A$3:$A$5001,"&gt;="&amp;$C$7,BD!$A$3:$A$5001,"&lt;="&amp;$B246,BD!$N$3:$N$5001,"&lt;&gt;")=0,"",SUMIFS(BD!$N$3:$N$5001,BD!$B$3:$B$5001,S$219,BD!$A$3:$A$5001,_xlfn.MAXIFS(BD!$A$3:$A$5001,BD!$B$3:$B$5001,S$219,BD!$A$3:$A$5001,"&gt;="&amp;$C$7,BD!$A$3:$A$5001,"&lt;="&amp;$B246,BD!$N$3:$N$5001,"&lt;&gt;"))))</f>
        <v/>
      </c>
      <c r="T246" s="43" t="str">
        <f>IF(OR($B246="",$A246&gt;$B$9,T$219=""),"",IF(COUNTIFS(BD!$B$3:$B$5001,T$219,BD!$A$3:$A$5001,"&gt;="&amp;$C$7,BD!$A$3:$A$5001,"&lt;="&amp;$B246,BD!$N$3:$N$5001,"&lt;&gt;")=0,"",SUMIFS(BD!$N$3:$N$5001,BD!$B$3:$B$5001,T$219,BD!$A$3:$A$5001,_xlfn.MAXIFS(BD!$A$3:$A$5001,BD!$B$3:$B$5001,T$219,BD!$A$3:$A$5001,"&gt;="&amp;$C$7,BD!$A$3:$A$5001,"&lt;="&amp;$B246,BD!$N$3:$N$5001,"&lt;&gt;"))))</f>
        <v/>
      </c>
      <c r="U246" s="43" t="str">
        <f>IF(OR($B246="",$A246&gt;$B$9,U$219=""),"",IF(COUNTIFS(BD!$B$3:$B$5001,U$219,BD!$A$3:$A$5001,"&gt;="&amp;$C$7,BD!$A$3:$A$5001,"&lt;="&amp;$B246,BD!$N$3:$N$5001,"&lt;&gt;")=0,"",SUMIFS(BD!$N$3:$N$5001,BD!$B$3:$B$5001,U$219,BD!$A$3:$A$5001,_xlfn.MAXIFS(BD!$A$3:$A$5001,BD!$B$3:$B$5001,U$219,BD!$A$3:$A$5001,"&gt;="&amp;$C$7,BD!$A$3:$A$5001,"&lt;="&amp;$B246,BD!$N$3:$N$5001,"&lt;&gt;"))))</f>
        <v/>
      </c>
      <c r="V246" s="43" t="str">
        <f>IF(OR($B246="",$A246&gt;$B$9,V$219=""),"",IF(COUNTIFS(BD!$B$3:$B$5001,V$219,BD!$A$3:$A$5001,"&gt;="&amp;$C$7,BD!$A$3:$A$5001,"&lt;="&amp;$B246,BD!$N$3:$N$5001,"&lt;&gt;")=0,"",SUMIFS(BD!$N$3:$N$5001,BD!$B$3:$B$5001,V$219,BD!$A$3:$A$5001,_xlfn.MAXIFS(BD!$A$3:$A$5001,BD!$B$3:$B$5001,V$219,BD!$A$3:$A$5001,"&gt;="&amp;$C$7,BD!$A$3:$A$5001,"&lt;="&amp;$B246,BD!$N$3:$N$5001,"&lt;&gt;"))))</f>
        <v/>
      </c>
    </row>
    <row r="247">
      <c r="A247" s="38">
        <v>28</v>
      </c>
      <c r="B247" s="42">
        <f>$B$39</f>
        <v>46323</v>
      </c>
      <c r="C247" s="43" t="str">
        <f>IF(OR($B247="",$A247&gt;$B$9,C$219=""),"",IF(COUNTIFS(BD!$B$3:$B$5001,C$219,BD!$A$3:$A$5001,"&gt;="&amp;$C$7,BD!$A$3:$A$5001,"&lt;="&amp;$B247,BD!$N$3:$N$5001,"&lt;&gt;")=0,"",SUMIFS(BD!$N$3:$N$5001,BD!$B$3:$B$5001,C$219,BD!$A$3:$A$5001,_xlfn.MAXIFS(BD!$A$3:$A$5001,BD!$B$3:$B$5001,C$219,BD!$A$3:$A$5001,"&gt;="&amp;$C$7,BD!$A$3:$A$5001,"&lt;="&amp;$B247,BD!$N$3:$N$5001,"&lt;&gt;"))))</f>
        <v/>
      </c>
      <c r="D247" s="43" t="str">
        <f>IF(OR($B247="",$A247&gt;$B$9,D$219=""),"",IF(COUNTIFS(BD!$B$3:$B$5001,D$219,BD!$A$3:$A$5001,"&gt;="&amp;$C$7,BD!$A$3:$A$5001,"&lt;="&amp;$B247,BD!$N$3:$N$5001,"&lt;&gt;")=0,"",SUMIFS(BD!$N$3:$N$5001,BD!$B$3:$B$5001,D$219,BD!$A$3:$A$5001,_xlfn.MAXIFS(BD!$A$3:$A$5001,BD!$B$3:$B$5001,D$219,BD!$A$3:$A$5001,"&gt;="&amp;$C$7,BD!$A$3:$A$5001,"&lt;="&amp;$B247,BD!$N$3:$N$5001,"&lt;&gt;"))))</f>
        <v/>
      </c>
      <c r="E247" s="43" t="str">
        <f>IF(OR($B247="",$A247&gt;$B$9,E$219=""),"",IF(COUNTIFS(BD!$B$3:$B$5001,E$219,BD!$A$3:$A$5001,"&gt;="&amp;$C$7,BD!$A$3:$A$5001,"&lt;="&amp;$B247,BD!$N$3:$N$5001,"&lt;&gt;")=0,"",SUMIFS(BD!$N$3:$N$5001,BD!$B$3:$B$5001,E$219,BD!$A$3:$A$5001,_xlfn.MAXIFS(BD!$A$3:$A$5001,BD!$B$3:$B$5001,E$219,BD!$A$3:$A$5001,"&gt;="&amp;$C$7,BD!$A$3:$A$5001,"&lt;="&amp;$B247,BD!$N$3:$N$5001,"&lt;&gt;"))))</f>
        <v/>
      </c>
      <c r="F247" s="43" t="str">
        <f>IF(OR($B247="",$A247&gt;$B$9,F$219=""),"",IF(COUNTIFS(BD!$B$3:$B$5001,F$219,BD!$A$3:$A$5001,"&gt;="&amp;$C$7,BD!$A$3:$A$5001,"&lt;="&amp;$B247,BD!$N$3:$N$5001,"&lt;&gt;")=0,"",SUMIFS(BD!$N$3:$N$5001,BD!$B$3:$B$5001,F$219,BD!$A$3:$A$5001,_xlfn.MAXIFS(BD!$A$3:$A$5001,BD!$B$3:$B$5001,F$219,BD!$A$3:$A$5001,"&gt;="&amp;$C$7,BD!$A$3:$A$5001,"&lt;="&amp;$B247,BD!$N$3:$N$5001,"&lt;&gt;"))))</f>
        <v/>
      </c>
      <c r="G247" s="43" t="str">
        <f>IF(OR($B247="",$A247&gt;$B$9,G$219=""),"",IF(COUNTIFS(BD!$B$3:$B$5001,G$219,BD!$A$3:$A$5001,"&gt;="&amp;$C$7,BD!$A$3:$A$5001,"&lt;="&amp;$B247,BD!$N$3:$N$5001,"&lt;&gt;")=0,"",SUMIFS(BD!$N$3:$N$5001,BD!$B$3:$B$5001,G$219,BD!$A$3:$A$5001,_xlfn.MAXIFS(BD!$A$3:$A$5001,BD!$B$3:$B$5001,G$219,BD!$A$3:$A$5001,"&gt;="&amp;$C$7,BD!$A$3:$A$5001,"&lt;="&amp;$B247,BD!$N$3:$N$5001,"&lt;&gt;"))))</f>
        <v/>
      </c>
      <c r="H247" s="43" t="str">
        <f>IF(OR($B247="",$A247&gt;$B$9,H$219=""),"",IF(COUNTIFS(BD!$B$3:$B$5001,H$219,BD!$A$3:$A$5001,"&gt;="&amp;$C$7,BD!$A$3:$A$5001,"&lt;="&amp;$B247,BD!$N$3:$N$5001,"&lt;&gt;")=0,"",SUMIFS(BD!$N$3:$N$5001,BD!$B$3:$B$5001,H$219,BD!$A$3:$A$5001,_xlfn.MAXIFS(BD!$A$3:$A$5001,BD!$B$3:$B$5001,H$219,BD!$A$3:$A$5001,"&gt;="&amp;$C$7,BD!$A$3:$A$5001,"&lt;="&amp;$B247,BD!$N$3:$N$5001,"&lt;&gt;"))))</f>
        <v/>
      </c>
      <c r="I247" s="43" t="str">
        <f>IF(OR($B247="",$A247&gt;$B$9,I$219=""),"",IF(COUNTIFS(BD!$B$3:$B$5001,I$219,BD!$A$3:$A$5001,"&gt;="&amp;$C$7,BD!$A$3:$A$5001,"&lt;="&amp;$B247,BD!$N$3:$N$5001,"&lt;&gt;")=0,"",SUMIFS(BD!$N$3:$N$5001,BD!$B$3:$B$5001,I$219,BD!$A$3:$A$5001,_xlfn.MAXIFS(BD!$A$3:$A$5001,BD!$B$3:$B$5001,I$219,BD!$A$3:$A$5001,"&gt;="&amp;$C$7,BD!$A$3:$A$5001,"&lt;="&amp;$B247,BD!$N$3:$N$5001,"&lt;&gt;"))))</f>
        <v/>
      </c>
      <c r="J247" s="43" t="str">
        <f>IF(OR($B247="",$A247&gt;$B$9,J$219=""),"",IF(COUNTIFS(BD!$B$3:$B$5001,J$219,BD!$A$3:$A$5001,"&gt;="&amp;$C$7,BD!$A$3:$A$5001,"&lt;="&amp;$B247,BD!$N$3:$N$5001,"&lt;&gt;")=0,"",SUMIFS(BD!$N$3:$N$5001,BD!$B$3:$B$5001,J$219,BD!$A$3:$A$5001,_xlfn.MAXIFS(BD!$A$3:$A$5001,BD!$B$3:$B$5001,J$219,BD!$A$3:$A$5001,"&gt;="&amp;$C$7,BD!$A$3:$A$5001,"&lt;="&amp;$B247,BD!$N$3:$N$5001,"&lt;&gt;"))))</f>
        <v/>
      </c>
      <c r="K247" s="43" t="str">
        <f>IF(OR($B247="",$A247&gt;$B$9,K$219=""),"",IF(COUNTIFS(BD!$B$3:$B$5001,K$219,BD!$A$3:$A$5001,"&gt;="&amp;$C$7,BD!$A$3:$A$5001,"&lt;="&amp;$B247,BD!$N$3:$N$5001,"&lt;&gt;")=0,"",SUMIFS(BD!$N$3:$N$5001,BD!$B$3:$B$5001,K$219,BD!$A$3:$A$5001,_xlfn.MAXIFS(BD!$A$3:$A$5001,BD!$B$3:$B$5001,K$219,BD!$A$3:$A$5001,"&gt;="&amp;$C$7,BD!$A$3:$A$5001,"&lt;="&amp;$B247,BD!$N$3:$N$5001,"&lt;&gt;"))))</f>
        <v/>
      </c>
      <c r="L247" s="43" t="str">
        <f>IF(OR($B247="",$A247&gt;$B$9,L$219=""),"",IF(COUNTIFS(BD!$B$3:$B$5001,L$219,BD!$A$3:$A$5001,"&gt;="&amp;$C$7,BD!$A$3:$A$5001,"&lt;="&amp;$B247,BD!$N$3:$N$5001,"&lt;&gt;")=0,"",SUMIFS(BD!$N$3:$N$5001,BD!$B$3:$B$5001,L$219,BD!$A$3:$A$5001,_xlfn.MAXIFS(BD!$A$3:$A$5001,BD!$B$3:$B$5001,L$219,BD!$A$3:$A$5001,"&gt;="&amp;$C$7,BD!$A$3:$A$5001,"&lt;="&amp;$B247,BD!$N$3:$N$5001,"&lt;&gt;"))))</f>
        <v/>
      </c>
      <c r="M247" s="43" t="str">
        <f>IF(OR($B247="",$A247&gt;$B$9,M$219=""),"",IF(COUNTIFS(BD!$B$3:$B$5001,M$219,BD!$A$3:$A$5001,"&gt;="&amp;$C$7,BD!$A$3:$A$5001,"&lt;="&amp;$B247,BD!$N$3:$N$5001,"&lt;&gt;")=0,"",SUMIFS(BD!$N$3:$N$5001,BD!$B$3:$B$5001,M$219,BD!$A$3:$A$5001,_xlfn.MAXIFS(BD!$A$3:$A$5001,BD!$B$3:$B$5001,M$219,BD!$A$3:$A$5001,"&gt;="&amp;$C$7,BD!$A$3:$A$5001,"&lt;="&amp;$B247,BD!$N$3:$N$5001,"&lt;&gt;"))))</f>
        <v/>
      </c>
      <c r="N247" s="43" t="str">
        <f>IF(OR($B247="",$A247&gt;$B$9,N$219=""),"",IF(COUNTIFS(BD!$B$3:$B$5001,N$219,BD!$A$3:$A$5001,"&gt;="&amp;$C$7,BD!$A$3:$A$5001,"&lt;="&amp;$B247,BD!$N$3:$N$5001,"&lt;&gt;")=0,"",SUMIFS(BD!$N$3:$N$5001,BD!$B$3:$B$5001,N$219,BD!$A$3:$A$5001,_xlfn.MAXIFS(BD!$A$3:$A$5001,BD!$B$3:$B$5001,N$219,BD!$A$3:$A$5001,"&gt;="&amp;$C$7,BD!$A$3:$A$5001,"&lt;="&amp;$B247,BD!$N$3:$N$5001,"&lt;&gt;"))))</f>
        <v/>
      </c>
      <c r="O247" s="43" t="str">
        <f>IF(OR($B247="",$A247&gt;$B$9,O$219=""),"",IF(COUNTIFS(BD!$B$3:$B$5001,O$219,BD!$A$3:$A$5001,"&gt;="&amp;$C$7,BD!$A$3:$A$5001,"&lt;="&amp;$B247,BD!$N$3:$N$5001,"&lt;&gt;")=0,"",SUMIFS(BD!$N$3:$N$5001,BD!$B$3:$B$5001,O$219,BD!$A$3:$A$5001,_xlfn.MAXIFS(BD!$A$3:$A$5001,BD!$B$3:$B$5001,O$219,BD!$A$3:$A$5001,"&gt;="&amp;$C$7,BD!$A$3:$A$5001,"&lt;="&amp;$B247,BD!$N$3:$N$5001,"&lt;&gt;"))))</f>
        <v/>
      </c>
      <c r="P247" s="43" t="str">
        <f>IF(OR($B247="",$A247&gt;$B$9,P$219=""),"",IF(COUNTIFS(BD!$B$3:$B$5001,P$219,BD!$A$3:$A$5001,"&gt;="&amp;$C$7,BD!$A$3:$A$5001,"&lt;="&amp;$B247,BD!$N$3:$N$5001,"&lt;&gt;")=0,"",SUMIFS(BD!$N$3:$N$5001,BD!$B$3:$B$5001,P$219,BD!$A$3:$A$5001,_xlfn.MAXIFS(BD!$A$3:$A$5001,BD!$B$3:$B$5001,P$219,BD!$A$3:$A$5001,"&gt;="&amp;$C$7,BD!$A$3:$A$5001,"&lt;="&amp;$B247,BD!$N$3:$N$5001,"&lt;&gt;"))))</f>
        <v/>
      </c>
      <c r="Q247" s="43" t="str">
        <f>IF(OR($B247="",$A247&gt;$B$9,Q$219=""),"",IF(COUNTIFS(BD!$B$3:$B$5001,Q$219,BD!$A$3:$A$5001,"&gt;="&amp;$C$7,BD!$A$3:$A$5001,"&lt;="&amp;$B247,BD!$N$3:$N$5001,"&lt;&gt;")=0,"",SUMIFS(BD!$N$3:$N$5001,BD!$B$3:$B$5001,Q$219,BD!$A$3:$A$5001,_xlfn.MAXIFS(BD!$A$3:$A$5001,BD!$B$3:$B$5001,Q$219,BD!$A$3:$A$5001,"&gt;="&amp;$C$7,BD!$A$3:$A$5001,"&lt;="&amp;$B247,BD!$N$3:$N$5001,"&lt;&gt;"))))</f>
        <v/>
      </c>
      <c r="R247" s="43" t="str">
        <f>IF(OR($B247="",$A247&gt;$B$9,R$219=""),"",IF(COUNTIFS(BD!$B$3:$B$5001,R$219,BD!$A$3:$A$5001,"&gt;="&amp;$C$7,BD!$A$3:$A$5001,"&lt;="&amp;$B247,BD!$N$3:$N$5001,"&lt;&gt;")=0,"",SUMIFS(BD!$N$3:$N$5001,BD!$B$3:$B$5001,R$219,BD!$A$3:$A$5001,_xlfn.MAXIFS(BD!$A$3:$A$5001,BD!$B$3:$B$5001,R$219,BD!$A$3:$A$5001,"&gt;="&amp;$C$7,BD!$A$3:$A$5001,"&lt;="&amp;$B247,BD!$N$3:$N$5001,"&lt;&gt;"))))</f>
        <v/>
      </c>
      <c r="S247" s="43" t="str">
        <f>IF(OR($B247="",$A247&gt;$B$9,S$219=""),"",IF(COUNTIFS(BD!$B$3:$B$5001,S$219,BD!$A$3:$A$5001,"&gt;="&amp;$C$7,BD!$A$3:$A$5001,"&lt;="&amp;$B247,BD!$N$3:$N$5001,"&lt;&gt;")=0,"",SUMIFS(BD!$N$3:$N$5001,BD!$B$3:$B$5001,S$219,BD!$A$3:$A$5001,_xlfn.MAXIFS(BD!$A$3:$A$5001,BD!$B$3:$B$5001,S$219,BD!$A$3:$A$5001,"&gt;="&amp;$C$7,BD!$A$3:$A$5001,"&lt;="&amp;$B247,BD!$N$3:$N$5001,"&lt;&gt;"))))</f>
        <v/>
      </c>
      <c r="T247" s="43" t="str">
        <f>IF(OR($B247="",$A247&gt;$B$9,T$219=""),"",IF(COUNTIFS(BD!$B$3:$B$5001,T$219,BD!$A$3:$A$5001,"&gt;="&amp;$C$7,BD!$A$3:$A$5001,"&lt;="&amp;$B247,BD!$N$3:$N$5001,"&lt;&gt;")=0,"",SUMIFS(BD!$N$3:$N$5001,BD!$B$3:$B$5001,T$219,BD!$A$3:$A$5001,_xlfn.MAXIFS(BD!$A$3:$A$5001,BD!$B$3:$B$5001,T$219,BD!$A$3:$A$5001,"&gt;="&amp;$C$7,BD!$A$3:$A$5001,"&lt;="&amp;$B247,BD!$N$3:$N$5001,"&lt;&gt;"))))</f>
        <v/>
      </c>
      <c r="U247" s="43" t="str">
        <f>IF(OR($B247="",$A247&gt;$B$9,U$219=""),"",IF(COUNTIFS(BD!$B$3:$B$5001,U$219,BD!$A$3:$A$5001,"&gt;="&amp;$C$7,BD!$A$3:$A$5001,"&lt;="&amp;$B247,BD!$N$3:$N$5001,"&lt;&gt;")=0,"",SUMIFS(BD!$N$3:$N$5001,BD!$B$3:$B$5001,U$219,BD!$A$3:$A$5001,_xlfn.MAXIFS(BD!$A$3:$A$5001,BD!$B$3:$B$5001,U$219,BD!$A$3:$A$5001,"&gt;="&amp;$C$7,BD!$A$3:$A$5001,"&lt;="&amp;$B247,BD!$N$3:$N$5001,"&lt;&gt;"))))</f>
        <v/>
      </c>
      <c r="V247" s="43" t="str">
        <f>IF(OR($B247="",$A247&gt;$B$9,V$219=""),"",IF(COUNTIFS(BD!$B$3:$B$5001,V$219,BD!$A$3:$A$5001,"&gt;="&amp;$C$7,BD!$A$3:$A$5001,"&lt;="&amp;$B247,BD!$N$3:$N$5001,"&lt;&gt;")=0,"",SUMIFS(BD!$N$3:$N$5001,BD!$B$3:$B$5001,V$219,BD!$A$3:$A$5001,_xlfn.MAXIFS(BD!$A$3:$A$5001,BD!$B$3:$B$5001,V$219,BD!$A$3:$A$5001,"&gt;="&amp;$C$7,BD!$A$3:$A$5001,"&lt;="&amp;$B247,BD!$N$3:$N$5001,"&lt;&gt;"))))</f>
        <v/>
      </c>
    </row>
    <row r="248">
      <c r="A248" s="38">
        <v>29</v>
      </c>
      <c r="B248" s="42">
        <f>$B$40</f>
        <v>46324</v>
      </c>
      <c r="C248" s="43" t="str">
        <f>IF(OR($B248="",$A248&gt;$B$9,C$219=""),"",IF(COUNTIFS(BD!$B$3:$B$5001,C$219,BD!$A$3:$A$5001,"&gt;="&amp;$C$7,BD!$A$3:$A$5001,"&lt;="&amp;$B248,BD!$N$3:$N$5001,"&lt;&gt;")=0,"",SUMIFS(BD!$N$3:$N$5001,BD!$B$3:$B$5001,C$219,BD!$A$3:$A$5001,_xlfn.MAXIFS(BD!$A$3:$A$5001,BD!$B$3:$B$5001,C$219,BD!$A$3:$A$5001,"&gt;="&amp;$C$7,BD!$A$3:$A$5001,"&lt;="&amp;$B248,BD!$N$3:$N$5001,"&lt;&gt;"))))</f>
        <v/>
      </c>
      <c r="D248" s="43" t="str">
        <f>IF(OR($B248="",$A248&gt;$B$9,D$219=""),"",IF(COUNTIFS(BD!$B$3:$B$5001,D$219,BD!$A$3:$A$5001,"&gt;="&amp;$C$7,BD!$A$3:$A$5001,"&lt;="&amp;$B248,BD!$N$3:$N$5001,"&lt;&gt;")=0,"",SUMIFS(BD!$N$3:$N$5001,BD!$B$3:$B$5001,D$219,BD!$A$3:$A$5001,_xlfn.MAXIFS(BD!$A$3:$A$5001,BD!$B$3:$B$5001,D$219,BD!$A$3:$A$5001,"&gt;="&amp;$C$7,BD!$A$3:$A$5001,"&lt;="&amp;$B248,BD!$N$3:$N$5001,"&lt;&gt;"))))</f>
        <v/>
      </c>
      <c r="E248" s="43" t="str">
        <f>IF(OR($B248="",$A248&gt;$B$9,E$219=""),"",IF(COUNTIFS(BD!$B$3:$B$5001,E$219,BD!$A$3:$A$5001,"&gt;="&amp;$C$7,BD!$A$3:$A$5001,"&lt;="&amp;$B248,BD!$N$3:$N$5001,"&lt;&gt;")=0,"",SUMIFS(BD!$N$3:$N$5001,BD!$B$3:$B$5001,E$219,BD!$A$3:$A$5001,_xlfn.MAXIFS(BD!$A$3:$A$5001,BD!$B$3:$B$5001,E$219,BD!$A$3:$A$5001,"&gt;="&amp;$C$7,BD!$A$3:$A$5001,"&lt;="&amp;$B248,BD!$N$3:$N$5001,"&lt;&gt;"))))</f>
        <v/>
      </c>
      <c r="F248" s="43" t="str">
        <f>IF(OR($B248="",$A248&gt;$B$9,F$219=""),"",IF(COUNTIFS(BD!$B$3:$B$5001,F$219,BD!$A$3:$A$5001,"&gt;="&amp;$C$7,BD!$A$3:$A$5001,"&lt;="&amp;$B248,BD!$N$3:$N$5001,"&lt;&gt;")=0,"",SUMIFS(BD!$N$3:$N$5001,BD!$B$3:$B$5001,F$219,BD!$A$3:$A$5001,_xlfn.MAXIFS(BD!$A$3:$A$5001,BD!$B$3:$B$5001,F$219,BD!$A$3:$A$5001,"&gt;="&amp;$C$7,BD!$A$3:$A$5001,"&lt;="&amp;$B248,BD!$N$3:$N$5001,"&lt;&gt;"))))</f>
        <v/>
      </c>
      <c r="G248" s="43" t="str">
        <f>IF(OR($B248="",$A248&gt;$B$9,G$219=""),"",IF(COUNTIFS(BD!$B$3:$B$5001,G$219,BD!$A$3:$A$5001,"&gt;="&amp;$C$7,BD!$A$3:$A$5001,"&lt;="&amp;$B248,BD!$N$3:$N$5001,"&lt;&gt;")=0,"",SUMIFS(BD!$N$3:$N$5001,BD!$B$3:$B$5001,G$219,BD!$A$3:$A$5001,_xlfn.MAXIFS(BD!$A$3:$A$5001,BD!$B$3:$B$5001,G$219,BD!$A$3:$A$5001,"&gt;="&amp;$C$7,BD!$A$3:$A$5001,"&lt;="&amp;$B248,BD!$N$3:$N$5001,"&lt;&gt;"))))</f>
        <v/>
      </c>
      <c r="H248" s="43" t="str">
        <f>IF(OR($B248="",$A248&gt;$B$9,H$219=""),"",IF(COUNTIFS(BD!$B$3:$B$5001,H$219,BD!$A$3:$A$5001,"&gt;="&amp;$C$7,BD!$A$3:$A$5001,"&lt;="&amp;$B248,BD!$N$3:$N$5001,"&lt;&gt;")=0,"",SUMIFS(BD!$N$3:$N$5001,BD!$B$3:$B$5001,H$219,BD!$A$3:$A$5001,_xlfn.MAXIFS(BD!$A$3:$A$5001,BD!$B$3:$B$5001,H$219,BD!$A$3:$A$5001,"&gt;="&amp;$C$7,BD!$A$3:$A$5001,"&lt;="&amp;$B248,BD!$N$3:$N$5001,"&lt;&gt;"))))</f>
        <v/>
      </c>
      <c r="I248" s="43" t="str">
        <f>IF(OR($B248="",$A248&gt;$B$9,I$219=""),"",IF(COUNTIFS(BD!$B$3:$B$5001,I$219,BD!$A$3:$A$5001,"&gt;="&amp;$C$7,BD!$A$3:$A$5001,"&lt;="&amp;$B248,BD!$N$3:$N$5001,"&lt;&gt;")=0,"",SUMIFS(BD!$N$3:$N$5001,BD!$B$3:$B$5001,I$219,BD!$A$3:$A$5001,_xlfn.MAXIFS(BD!$A$3:$A$5001,BD!$B$3:$B$5001,I$219,BD!$A$3:$A$5001,"&gt;="&amp;$C$7,BD!$A$3:$A$5001,"&lt;="&amp;$B248,BD!$N$3:$N$5001,"&lt;&gt;"))))</f>
        <v/>
      </c>
      <c r="J248" s="43" t="str">
        <f>IF(OR($B248="",$A248&gt;$B$9,J$219=""),"",IF(COUNTIFS(BD!$B$3:$B$5001,J$219,BD!$A$3:$A$5001,"&gt;="&amp;$C$7,BD!$A$3:$A$5001,"&lt;="&amp;$B248,BD!$N$3:$N$5001,"&lt;&gt;")=0,"",SUMIFS(BD!$N$3:$N$5001,BD!$B$3:$B$5001,J$219,BD!$A$3:$A$5001,_xlfn.MAXIFS(BD!$A$3:$A$5001,BD!$B$3:$B$5001,J$219,BD!$A$3:$A$5001,"&gt;="&amp;$C$7,BD!$A$3:$A$5001,"&lt;="&amp;$B248,BD!$N$3:$N$5001,"&lt;&gt;"))))</f>
        <v/>
      </c>
      <c r="K248" s="43" t="str">
        <f>IF(OR($B248="",$A248&gt;$B$9,K$219=""),"",IF(COUNTIFS(BD!$B$3:$B$5001,K$219,BD!$A$3:$A$5001,"&gt;="&amp;$C$7,BD!$A$3:$A$5001,"&lt;="&amp;$B248,BD!$N$3:$N$5001,"&lt;&gt;")=0,"",SUMIFS(BD!$N$3:$N$5001,BD!$B$3:$B$5001,K$219,BD!$A$3:$A$5001,_xlfn.MAXIFS(BD!$A$3:$A$5001,BD!$B$3:$B$5001,K$219,BD!$A$3:$A$5001,"&gt;="&amp;$C$7,BD!$A$3:$A$5001,"&lt;="&amp;$B248,BD!$N$3:$N$5001,"&lt;&gt;"))))</f>
        <v/>
      </c>
      <c r="L248" s="43" t="str">
        <f>IF(OR($B248="",$A248&gt;$B$9,L$219=""),"",IF(COUNTIFS(BD!$B$3:$B$5001,L$219,BD!$A$3:$A$5001,"&gt;="&amp;$C$7,BD!$A$3:$A$5001,"&lt;="&amp;$B248,BD!$N$3:$N$5001,"&lt;&gt;")=0,"",SUMIFS(BD!$N$3:$N$5001,BD!$B$3:$B$5001,L$219,BD!$A$3:$A$5001,_xlfn.MAXIFS(BD!$A$3:$A$5001,BD!$B$3:$B$5001,L$219,BD!$A$3:$A$5001,"&gt;="&amp;$C$7,BD!$A$3:$A$5001,"&lt;="&amp;$B248,BD!$N$3:$N$5001,"&lt;&gt;"))))</f>
        <v/>
      </c>
      <c r="M248" s="43" t="str">
        <f>IF(OR($B248="",$A248&gt;$B$9,M$219=""),"",IF(COUNTIFS(BD!$B$3:$B$5001,M$219,BD!$A$3:$A$5001,"&gt;="&amp;$C$7,BD!$A$3:$A$5001,"&lt;="&amp;$B248,BD!$N$3:$N$5001,"&lt;&gt;")=0,"",SUMIFS(BD!$N$3:$N$5001,BD!$B$3:$B$5001,M$219,BD!$A$3:$A$5001,_xlfn.MAXIFS(BD!$A$3:$A$5001,BD!$B$3:$B$5001,M$219,BD!$A$3:$A$5001,"&gt;="&amp;$C$7,BD!$A$3:$A$5001,"&lt;="&amp;$B248,BD!$N$3:$N$5001,"&lt;&gt;"))))</f>
        <v/>
      </c>
      <c r="N248" s="43" t="str">
        <f>IF(OR($B248="",$A248&gt;$B$9,N$219=""),"",IF(COUNTIFS(BD!$B$3:$B$5001,N$219,BD!$A$3:$A$5001,"&gt;="&amp;$C$7,BD!$A$3:$A$5001,"&lt;="&amp;$B248,BD!$N$3:$N$5001,"&lt;&gt;")=0,"",SUMIFS(BD!$N$3:$N$5001,BD!$B$3:$B$5001,N$219,BD!$A$3:$A$5001,_xlfn.MAXIFS(BD!$A$3:$A$5001,BD!$B$3:$B$5001,N$219,BD!$A$3:$A$5001,"&gt;="&amp;$C$7,BD!$A$3:$A$5001,"&lt;="&amp;$B248,BD!$N$3:$N$5001,"&lt;&gt;"))))</f>
        <v/>
      </c>
      <c r="O248" s="43" t="str">
        <f>IF(OR($B248="",$A248&gt;$B$9,O$219=""),"",IF(COUNTIFS(BD!$B$3:$B$5001,O$219,BD!$A$3:$A$5001,"&gt;="&amp;$C$7,BD!$A$3:$A$5001,"&lt;="&amp;$B248,BD!$N$3:$N$5001,"&lt;&gt;")=0,"",SUMIFS(BD!$N$3:$N$5001,BD!$B$3:$B$5001,O$219,BD!$A$3:$A$5001,_xlfn.MAXIFS(BD!$A$3:$A$5001,BD!$B$3:$B$5001,O$219,BD!$A$3:$A$5001,"&gt;="&amp;$C$7,BD!$A$3:$A$5001,"&lt;="&amp;$B248,BD!$N$3:$N$5001,"&lt;&gt;"))))</f>
        <v/>
      </c>
      <c r="P248" s="43" t="str">
        <f>IF(OR($B248="",$A248&gt;$B$9,P$219=""),"",IF(COUNTIFS(BD!$B$3:$B$5001,P$219,BD!$A$3:$A$5001,"&gt;="&amp;$C$7,BD!$A$3:$A$5001,"&lt;="&amp;$B248,BD!$N$3:$N$5001,"&lt;&gt;")=0,"",SUMIFS(BD!$N$3:$N$5001,BD!$B$3:$B$5001,P$219,BD!$A$3:$A$5001,_xlfn.MAXIFS(BD!$A$3:$A$5001,BD!$B$3:$B$5001,P$219,BD!$A$3:$A$5001,"&gt;="&amp;$C$7,BD!$A$3:$A$5001,"&lt;="&amp;$B248,BD!$N$3:$N$5001,"&lt;&gt;"))))</f>
        <v/>
      </c>
      <c r="Q248" s="43" t="str">
        <f>IF(OR($B248="",$A248&gt;$B$9,Q$219=""),"",IF(COUNTIFS(BD!$B$3:$B$5001,Q$219,BD!$A$3:$A$5001,"&gt;="&amp;$C$7,BD!$A$3:$A$5001,"&lt;="&amp;$B248,BD!$N$3:$N$5001,"&lt;&gt;")=0,"",SUMIFS(BD!$N$3:$N$5001,BD!$B$3:$B$5001,Q$219,BD!$A$3:$A$5001,_xlfn.MAXIFS(BD!$A$3:$A$5001,BD!$B$3:$B$5001,Q$219,BD!$A$3:$A$5001,"&gt;="&amp;$C$7,BD!$A$3:$A$5001,"&lt;="&amp;$B248,BD!$N$3:$N$5001,"&lt;&gt;"))))</f>
        <v/>
      </c>
      <c r="R248" s="43" t="str">
        <f>IF(OR($B248="",$A248&gt;$B$9,R$219=""),"",IF(COUNTIFS(BD!$B$3:$B$5001,R$219,BD!$A$3:$A$5001,"&gt;="&amp;$C$7,BD!$A$3:$A$5001,"&lt;="&amp;$B248,BD!$N$3:$N$5001,"&lt;&gt;")=0,"",SUMIFS(BD!$N$3:$N$5001,BD!$B$3:$B$5001,R$219,BD!$A$3:$A$5001,_xlfn.MAXIFS(BD!$A$3:$A$5001,BD!$B$3:$B$5001,R$219,BD!$A$3:$A$5001,"&gt;="&amp;$C$7,BD!$A$3:$A$5001,"&lt;="&amp;$B248,BD!$N$3:$N$5001,"&lt;&gt;"))))</f>
        <v/>
      </c>
      <c r="S248" s="43" t="str">
        <f>IF(OR($B248="",$A248&gt;$B$9,S$219=""),"",IF(COUNTIFS(BD!$B$3:$B$5001,S$219,BD!$A$3:$A$5001,"&gt;="&amp;$C$7,BD!$A$3:$A$5001,"&lt;="&amp;$B248,BD!$N$3:$N$5001,"&lt;&gt;")=0,"",SUMIFS(BD!$N$3:$N$5001,BD!$B$3:$B$5001,S$219,BD!$A$3:$A$5001,_xlfn.MAXIFS(BD!$A$3:$A$5001,BD!$B$3:$B$5001,S$219,BD!$A$3:$A$5001,"&gt;="&amp;$C$7,BD!$A$3:$A$5001,"&lt;="&amp;$B248,BD!$N$3:$N$5001,"&lt;&gt;"))))</f>
        <v/>
      </c>
      <c r="T248" s="43" t="str">
        <f>IF(OR($B248="",$A248&gt;$B$9,T$219=""),"",IF(COUNTIFS(BD!$B$3:$B$5001,T$219,BD!$A$3:$A$5001,"&gt;="&amp;$C$7,BD!$A$3:$A$5001,"&lt;="&amp;$B248,BD!$N$3:$N$5001,"&lt;&gt;")=0,"",SUMIFS(BD!$N$3:$N$5001,BD!$B$3:$B$5001,T$219,BD!$A$3:$A$5001,_xlfn.MAXIFS(BD!$A$3:$A$5001,BD!$B$3:$B$5001,T$219,BD!$A$3:$A$5001,"&gt;="&amp;$C$7,BD!$A$3:$A$5001,"&lt;="&amp;$B248,BD!$N$3:$N$5001,"&lt;&gt;"))))</f>
        <v/>
      </c>
      <c r="U248" s="43" t="str">
        <f>IF(OR($B248="",$A248&gt;$B$9,U$219=""),"",IF(COUNTIFS(BD!$B$3:$B$5001,U$219,BD!$A$3:$A$5001,"&gt;="&amp;$C$7,BD!$A$3:$A$5001,"&lt;="&amp;$B248,BD!$N$3:$N$5001,"&lt;&gt;")=0,"",SUMIFS(BD!$N$3:$N$5001,BD!$B$3:$B$5001,U$219,BD!$A$3:$A$5001,_xlfn.MAXIFS(BD!$A$3:$A$5001,BD!$B$3:$B$5001,U$219,BD!$A$3:$A$5001,"&gt;="&amp;$C$7,BD!$A$3:$A$5001,"&lt;="&amp;$B248,BD!$N$3:$N$5001,"&lt;&gt;"))))</f>
        <v/>
      </c>
      <c r="V248" s="43" t="str">
        <f>IF(OR($B248="",$A248&gt;$B$9,V$219=""),"",IF(COUNTIFS(BD!$B$3:$B$5001,V$219,BD!$A$3:$A$5001,"&gt;="&amp;$C$7,BD!$A$3:$A$5001,"&lt;="&amp;$B248,BD!$N$3:$N$5001,"&lt;&gt;")=0,"",SUMIFS(BD!$N$3:$N$5001,BD!$B$3:$B$5001,V$219,BD!$A$3:$A$5001,_xlfn.MAXIFS(BD!$A$3:$A$5001,BD!$B$3:$B$5001,V$219,BD!$A$3:$A$5001,"&gt;="&amp;$C$7,BD!$A$3:$A$5001,"&lt;="&amp;$B248,BD!$N$3:$N$5001,"&lt;&gt;"))))</f>
        <v/>
      </c>
    </row>
    <row r="249">
      <c r="A249" s="38">
        <v>30</v>
      </c>
      <c r="B249" s="42">
        <f>$B$41</f>
        <v>46325</v>
      </c>
      <c r="C249" s="43" t="str">
        <f>IF(OR($B249="",$A249&gt;$B$9,C$219=""),"",IF(COUNTIFS(BD!$B$3:$B$5001,C$219,BD!$A$3:$A$5001,"&gt;="&amp;$C$7,BD!$A$3:$A$5001,"&lt;="&amp;$B249,BD!$N$3:$N$5001,"&lt;&gt;")=0,"",SUMIFS(BD!$N$3:$N$5001,BD!$B$3:$B$5001,C$219,BD!$A$3:$A$5001,_xlfn.MAXIFS(BD!$A$3:$A$5001,BD!$B$3:$B$5001,C$219,BD!$A$3:$A$5001,"&gt;="&amp;$C$7,BD!$A$3:$A$5001,"&lt;="&amp;$B249,BD!$N$3:$N$5001,"&lt;&gt;"))))</f>
        <v/>
      </c>
      <c r="D249" s="43" t="str">
        <f>IF(OR($B249="",$A249&gt;$B$9,D$219=""),"",IF(COUNTIFS(BD!$B$3:$B$5001,D$219,BD!$A$3:$A$5001,"&gt;="&amp;$C$7,BD!$A$3:$A$5001,"&lt;="&amp;$B249,BD!$N$3:$N$5001,"&lt;&gt;")=0,"",SUMIFS(BD!$N$3:$N$5001,BD!$B$3:$B$5001,D$219,BD!$A$3:$A$5001,_xlfn.MAXIFS(BD!$A$3:$A$5001,BD!$B$3:$B$5001,D$219,BD!$A$3:$A$5001,"&gt;="&amp;$C$7,BD!$A$3:$A$5001,"&lt;="&amp;$B249,BD!$N$3:$N$5001,"&lt;&gt;"))))</f>
        <v/>
      </c>
      <c r="E249" s="43" t="str">
        <f>IF(OR($B249="",$A249&gt;$B$9,E$219=""),"",IF(COUNTIFS(BD!$B$3:$B$5001,E$219,BD!$A$3:$A$5001,"&gt;="&amp;$C$7,BD!$A$3:$A$5001,"&lt;="&amp;$B249,BD!$N$3:$N$5001,"&lt;&gt;")=0,"",SUMIFS(BD!$N$3:$N$5001,BD!$B$3:$B$5001,E$219,BD!$A$3:$A$5001,_xlfn.MAXIFS(BD!$A$3:$A$5001,BD!$B$3:$B$5001,E$219,BD!$A$3:$A$5001,"&gt;="&amp;$C$7,BD!$A$3:$A$5001,"&lt;="&amp;$B249,BD!$N$3:$N$5001,"&lt;&gt;"))))</f>
        <v/>
      </c>
      <c r="F249" s="43" t="str">
        <f>IF(OR($B249="",$A249&gt;$B$9,F$219=""),"",IF(COUNTIFS(BD!$B$3:$B$5001,F$219,BD!$A$3:$A$5001,"&gt;="&amp;$C$7,BD!$A$3:$A$5001,"&lt;="&amp;$B249,BD!$N$3:$N$5001,"&lt;&gt;")=0,"",SUMIFS(BD!$N$3:$N$5001,BD!$B$3:$B$5001,F$219,BD!$A$3:$A$5001,_xlfn.MAXIFS(BD!$A$3:$A$5001,BD!$B$3:$B$5001,F$219,BD!$A$3:$A$5001,"&gt;="&amp;$C$7,BD!$A$3:$A$5001,"&lt;="&amp;$B249,BD!$N$3:$N$5001,"&lt;&gt;"))))</f>
        <v/>
      </c>
      <c r="G249" s="43" t="str">
        <f>IF(OR($B249="",$A249&gt;$B$9,G$219=""),"",IF(COUNTIFS(BD!$B$3:$B$5001,G$219,BD!$A$3:$A$5001,"&gt;="&amp;$C$7,BD!$A$3:$A$5001,"&lt;="&amp;$B249,BD!$N$3:$N$5001,"&lt;&gt;")=0,"",SUMIFS(BD!$N$3:$N$5001,BD!$B$3:$B$5001,G$219,BD!$A$3:$A$5001,_xlfn.MAXIFS(BD!$A$3:$A$5001,BD!$B$3:$B$5001,G$219,BD!$A$3:$A$5001,"&gt;="&amp;$C$7,BD!$A$3:$A$5001,"&lt;="&amp;$B249,BD!$N$3:$N$5001,"&lt;&gt;"))))</f>
        <v/>
      </c>
      <c r="H249" s="43" t="str">
        <f>IF(OR($B249="",$A249&gt;$B$9,H$219=""),"",IF(COUNTIFS(BD!$B$3:$B$5001,H$219,BD!$A$3:$A$5001,"&gt;="&amp;$C$7,BD!$A$3:$A$5001,"&lt;="&amp;$B249,BD!$N$3:$N$5001,"&lt;&gt;")=0,"",SUMIFS(BD!$N$3:$N$5001,BD!$B$3:$B$5001,H$219,BD!$A$3:$A$5001,_xlfn.MAXIFS(BD!$A$3:$A$5001,BD!$B$3:$B$5001,H$219,BD!$A$3:$A$5001,"&gt;="&amp;$C$7,BD!$A$3:$A$5001,"&lt;="&amp;$B249,BD!$N$3:$N$5001,"&lt;&gt;"))))</f>
        <v/>
      </c>
      <c r="I249" s="43" t="str">
        <f>IF(OR($B249="",$A249&gt;$B$9,I$219=""),"",IF(COUNTIFS(BD!$B$3:$B$5001,I$219,BD!$A$3:$A$5001,"&gt;="&amp;$C$7,BD!$A$3:$A$5001,"&lt;="&amp;$B249,BD!$N$3:$N$5001,"&lt;&gt;")=0,"",SUMIFS(BD!$N$3:$N$5001,BD!$B$3:$B$5001,I$219,BD!$A$3:$A$5001,_xlfn.MAXIFS(BD!$A$3:$A$5001,BD!$B$3:$B$5001,I$219,BD!$A$3:$A$5001,"&gt;="&amp;$C$7,BD!$A$3:$A$5001,"&lt;="&amp;$B249,BD!$N$3:$N$5001,"&lt;&gt;"))))</f>
        <v/>
      </c>
      <c r="J249" s="43" t="str">
        <f>IF(OR($B249="",$A249&gt;$B$9,J$219=""),"",IF(COUNTIFS(BD!$B$3:$B$5001,J$219,BD!$A$3:$A$5001,"&gt;="&amp;$C$7,BD!$A$3:$A$5001,"&lt;="&amp;$B249,BD!$N$3:$N$5001,"&lt;&gt;")=0,"",SUMIFS(BD!$N$3:$N$5001,BD!$B$3:$B$5001,J$219,BD!$A$3:$A$5001,_xlfn.MAXIFS(BD!$A$3:$A$5001,BD!$B$3:$B$5001,J$219,BD!$A$3:$A$5001,"&gt;="&amp;$C$7,BD!$A$3:$A$5001,"&lt;="&amp;$B249,BD!$N$3:$N$5001,"&lt;&gt;"))))</f>
        <v/>
      </c>
      <c r="K249" s="43" t="str">
        <f>IF(OR($B249="",$A249&gt;$B$9,K$219=""),"",IF(COUNTIFS(BD!$B$3:$B$5001,K$219,BD!$A$3:$A$5001,"&gt;="&amp;$C$7,BD!$A$3:$A$5001,"&lt;="&amp;$B249,BD!$N$3:$N$5001,"&lt;&gt;")=0,"",SUMIFS(BD!$N$3:$N$5001,BD!$B$3:$B$5001,K$219,BD!$A$3:$A$5001,_xlfn.MAXIFS(BD!$A$3:$A$5001,BD!$B$3:$B$5001,K$219,BD!$A$3:$A$5001,"&gt;="&amp;$C$7,BD!$A$3:$A$5001,"&lt;="&amp;$B249,BD!$N$3:$N$5001,"&lt;&gt;"))))</f>
        <v/>
      </c>
      <c r="L249" s="43" t="str">
        <f>IF(OR($B249="",$A249&gt;$B$9,L$219=""),"",IF(COUNTIFS(BD!$B$3:$B$5001,L$219,BD!$A$3:$A$5001,"&gt;="&amp;$C$7,BD!$A$3:$A$5001,"&lt;="&amp;$B249,BD!$N$3:$N$5001,"&lt;&gt;")=0,"",SUMIFS(BD!$N$3:$N$5001,BD!$B$3:$B$5001,L$219,BD!$A$3:$A$5001,_xlfn.MAXIFS(BD!$A$3:$A$5001,BD!$B$3:$B$5001,L$219,BD!$A$3:$A$5001,"&gt;="&amp;$C$7,BD!$A$3:$A$5001,"&lt;="&amp;$B249,BD!$N$3:$N$5001,"&lt;&gt;"))))</f>
        <v/>
      </c>
      <c r="M249" s="43" t="str">
        <f>IF(OR($B249="",$A249&gt;$B$9,M$219=""),"",IF(COUNTIFS(BD!$B$3:$B$5001,M$219,BD!$A$3:$A$5001,"&gt;="&amp;$C$7,BD!$A$3:$A$5001,"&lt;="&amp;$B249,BD!$N$3:$N$5001,"&lt;&gt;")=0,"",SUMIFS(BD!$N$3:$N$5001,BD!$B$3:$B$5001,M$219,BD!$A$3:$A$5001,_xlfn.MAXIFS(BD!$A$3:$A$5001,BD!$B$3:$B$5001,M$219,BD!$A$3:$A$5001,"&gt;="&amp;$C$7,BD!$A$3:$A$5001,"&lt;="&amp;$B249,BD!$N$3:$N$5001,"&lt;&gt;"))))</f>
        <v/>
      </c>
      <c r="N249" s="43" t="str">
        <f>IF(OR($B249="",$A249&gt;$B$9,N$219=""),"",IF(COUNTIFS(BD!$B$3:$B$5001,N$219,BD!$A$3:$A$5001,"&gt;="&amp;$C$7,BD!$A$3:$A$5001,"&lt;="&amp;$B249,BD!$N$3:$N$5001,"&lt;&gt;")=0,"",SUMIFS(BD!$N$3:$N$5001,BD!$B$3:$B$5001,N$219,BD!$A$3:$A$5001,_xlfn.MAXIFS(BD!$A$3:$A$5001,BD!$B$3:$B$5001,N$219,BD!$A$3:$A$5001,"&gt;="&amp;$C$7,BD!$A$3:$A$5001,"&lt;="&amp;$B249,BD!$N$3:$N$5001,"&lt;&gt;"))))</f>
        <v/>
      </c>
      <c r="O249" s="43" t="str">
        <f>IF(OR($B249="",$A249&gt;$B$9,O$219=""),"",IF(COUNTIFS(BD!$B$3:$B$5001,O$219,BD!$A$3:$A$5001,"&gt;="&amp;$C$7,BD!$A$3:$A$5001,"&lt;="&amp;$B249,BD!$N$3:$N$5001,"&lt;&gt;")=0,"",SUMIFS(BD!$N$3:$N$5001,BD!$B$3:$B$5001,O$219,BD!$A$3:$A$5001,_xlfn.MAXIFS(BD!$A$3:$A$5001,BD!$B$3:$B$5001,O$219,BD!$A$3:$A$5001,"&gt;="&amp;$C$7,BD!$A$3:$A$5001,"&lt;="&amp;$B249,BD!$N$3:$N$5001,"&lt;&gt;"))))</f>
        <v/>
      </c>
      <c r="P249" s="43" t="str">
        <f>IF(OR($B249="",$A249&gt;$B$9,P$219=""),"",IF(COUNTIFS(BD!$B$3:$B$5001,P$219,BD!$A$3:$A$5001,"&gt;="&amp;$C$7,BD!$A$3:$A$5001,"&lt;="&amp;$B249,BD!$N$3:$N$5001,"&lt;&gt;")=0,"",SUMIFS(BD!$N$3:$N$5001,BD!$B$3:$B$5001,P$219,BD!$A$3:$A$5001,_xlfn.MAXIFS(BD!$A$3:$A$5001,BD!$B$3:$B$5001,P$219,BD!$A$3:$A$5001,"&gt;="&amp;$C$7,BD!$A$3:$A$5001,"&lt;="&amp;$B249,BD!$N$3:$N$5001,"&lt;&gt;"))))</f>
        <v/>
      </c>
      <c r="Q249" s="43" t="str">
        <f>IF(OR($B249="",$A249&gt;$B$9,Q$219=""),"",IF(COUNTIFS(BD!$B$3:$B$5001,Q$219,BD!$A$3:$A$5001,"&gt;="&amp;$C$7,BD!$A$3:$A$5001,"&lt;="&amp;$B249,BD!$N$3:$N$5001,"&lt;&gt;")=0,"",SUMIFS(BD!$N$3:$N$5001,BD!$B$3:$B$5001,Q$219,BD!$A$3:$A$5001,_xlfn.MAXIFS(BD!$A$3:$A$5001,BD!$B$3:$B$5001,Q$219,BD!$A$3:$A$5001,"&gt;="&amp;$C$7,BD!$A$3:$A$5001,"&lt;="&amp;$B249,BD!$N$3:$N$5001,"&lt;&gt;"))))</f>
        <v/>
      </c>
      <c r="R249" s="43" t="str">
        <f>IF(OR($B249="",$A249&gt;$B$9,R$219=""),"",IF(COUNTIFS(BD!$B$3:$B$5001,R$219,BD!$A$3:$A$5001,"&gt;="&amp;$C$7,BD!$A$3:$A$5001,"&lt;="&amp;$B249,BD!$N$3:$N$5001,"&lt;&gt;")=0,"",SUMIFS(BD!$N$3:$N$5001,BD!$B$3:$B$5001,R$219,BD!$A$3:$A$5001,_xlfn.MAXIFS(BD!$A$3:$A$5001,BD!$B$3:$B$5001,R$219,BD!$A$3:$A$5001,"&gt;="&amp;$C$7,BD!$A$3:$A$5001,"&lt;="&amp;$B249,BD!$N$3:$N$5001,"&lt;&gt;"))))</f>
        <v/>
      </c>
      <c r="S249" s="43" t="str">
        <f>IF(OR($B249="",$A249&gt;$B$9,S$219=""),"",IF(COUNTIFS(BD!$B$3:$B$5001,S$219,BD!$A$3:$A$5001,"&gt;="&amp;$C$7,BD!$A$3:$A$5001,"&lt;="&amp;$B249,BD!$N$3:$N$5001,"&lt;&gt;")=0,"",SUMIFS(BD!$N$3:$N$5001,BD!$B$3:$B$5001,S$219,BD!$A$3:$A$5001,_xlfn.MAXIFS(BD!$A$3:$A$5001,BD!$B$3:$B$5001,S$219,BD!$A$3:$A$5001,"&gt;="&amp;$C$7,BD!$A$3:$A$5001,"&lt;="&amp;$B249,BD!$N$3:$N$5001,"&lt;&gt;"))))</f>
        <v/>
      </c>
      <c r="T249" s="43" t="str">
        <f>IF(OR($B249="",$A249&gt;$B$9,T$219=""),"",IF(COUNTIFS(BD!$B$3:$B$5001,T$219,BD!$A$3:$A$5001,"&gt;="&amp;$C$7,BD!$A$3:$A$5001,"&lt;="&amp;$B249,BD!$N$3:$N$5001,"&lt;&gt;")=0,"",SUMIFS(BD!$N$3:$N$5001,BD!$B$3:$B$5001,T$219,BD!$A$3:$A$5001,_xlfn.MAXIFS(BD!$A$3:$A$5001,BD!$B$3:$B$5001,T$219,BD!$A$3:$A$5001,"&gt;="&amp;$C$7,BD!$A$3:$A$5001,"&lt;="&amp;$B249,BD!$N$3:$N$5001,"&lt;&gt;"))))</f>
        <v/>
      </c>
      <c r="U249" s="43" t="str">
        <f>IF(OR($B249="",$A249&gt;$B$9,U$219=""),"",IF(COUNTIFS(BD!$B$3:$B$5001,U$219,BD!$A$3:$A$5001,"&gt;="&amp;$C$7,BD!$A$3:$A$5001,"&lt;="&amp;$B249,BD!$N$3:$N$5001,"&lt;&gt;")=0,"",SUMIFS(BD!$N$3:$N$5001,BD!$B$3:$B$5001,U$219,BD!$A$3:$A$5001,_xlfn.MAXIFS(BD!$A$3:$A$5001,BD!$B$3:$B$5001,U$219,BD!$A$3:$A$5001,"&gt;="&amp;$C$7,BD!$A$3:$A$5001,"&lt;="&amp;$B249,BD!$N$3:$N$5001,"&lt;&gt;"))))</f>
        <v/>
      </c>
      <c r="V249" s="43" t="str">
        <f>IF(OR($B249="",$A249&gt;$B$9,V$219=""),"",IF(COUNTIFS(BD!$B$3:$B$5001,V$219,BD!$A$3:$A$5001,"&gt;="&amp;$C$7,BD!$A$3:$A$5001,"&lt;="&amp;$B249,BD!$N$3:$N$5001,"&lt;&gt;")=0,"",SUMIFS(BD!$N$3:$N$5001,BD!$B$3:$B$5001,V$219,BD!$A$3:$A$5001,_xlfn.MAXIFS(BD!$A$3:$A$5001,BD!$B$3:$B$5001,V$219,BD!$A$3:$A$5001,"&gt;="&amp;$C$7,BD!$A$3:$A$5001,"&lt;="&amp;$B249,BD!$N$3:$N$5001,"&lt;&gt;"))))</f>
        <v/>
      </c>
    </row>
    <row r="250">
      <c r="A250" s="38">
        <v>31</v>
      </c>
      <c r="B250" s="42">
        <f>$B$42</f>
        <v>46326</v>
      </c>
      <c r="C250" s="43" t="str">
        <f>IF(OR($B250="",$A250&gt;$B$9,C$219=""),"",IF(COUNTIFS(BD!$B$3:$B$5001,C$219,BD!$A$3:$A$5001,"&gt;="&amp;$C$7,BD!$A$3:$A$5001,"&lt;="&amp;$B250,BD!$N$3:$N$5001,"&lt;&gt;")=0,"",SUMIFS(BD!$N$3:$N$5001,BD!$B$3:$B$5001,C$219,BD!$A$3:$A$5001,_xlfn.MAXIFS(BD!$A$3:$A$5001,BD!$B$3:$B$5001,C$219,BD!$A$3:$A$5001,"&gt;="&amp;$C$7,BD!$A$3:$A$5001,"&lt;="&amp;$B250,BD!$N$3:$N$5001,"&lt;&gt;"))))</f>
        <v/>
      </c>
      <c r="D250" s="43" t="str">
        <f>IF(OR($B250="",$A250&gt;$B$9,D$219=""),"",IF(COUNTIFS(BD!$B$3:$B$5001,D$219,BD!$A$3:$A$5001,"&gt;="&amp;$C$7,BD!$A$3:$A$5001,"&lt;="&amp;$B250,BD!$N$3:$N$5001,"&lt;&gt;")=0,"",SUMIFS(BD!$N$3:$N$5001,BD!$B$3:$B$5001,D$219,BD!$A$3:$A$5001,_xlfn.MAXIFS(BD!$A$3:$A$5001,BD!$B$3:$B$5001,D$219,BD!$A$3:$A$5001,"&gt;="&amp;$C$7,BD!$A$3:$A$5001,"&lt;="&amp;$B250,BD!$N$3:$N$5001,"&lt;&gt;"))))</f>
        <v/>
      </c>
      <c r="E250" s="43" t="str">
        <f>IF(OR($B250="",$A250&gt;$B$9,E$219=""),"",IF(COUNTIFS(BD!$B$3:$B$5001,E$219,BD!$A$3:$A$5001,"&gt;="&amp;$C$7,BD!$A$3:$A$5001,"&lt;="&amp;$B250,BD!$N$3:$N$5001,"&lt;&gt;")=0,"",SUMIFS(BD!$N$3:$N$5001,BD!$B$3:$B$5001,E$219,BD!$A$3:$A$5001,_xlfn.MAXIFS(BD!$A$3:$A$5001,BD!$B$3:$B$5001,E$219,BD!$A$3:$A$5001,"&gt;="&amp;$C$7,BD!$A$3:$A$5001,"&lt;="&amp;$B250,BD!$N$3:$N$5001,"&lt;&gt;"))))</f>
        <v/>
      </c>
      <c r="F250" s="43" t="str">
        <f>IF(OR($B250="",$A250&gt;$B$9,F$219=""),"",IF(COUNTIFS(BD!$B$3:$B$5001,F$219,BD!$A$3:$A$5001,"&gt;="&amp;$C$7,BD!$A$3:$A$5001,"&lt;="&amp;$B250,BD!$N$3:$N$5001,"&lt;&gt;")=0,"",SUMIFS(BD!$N$3:$N$5001,BD!$B$3:$B$5001,F$219,BD!$A$3:$A$5001,_xlfn.MAXIFS(BD!$A$3:$A$5001,BD!$B$3:$B$5001,F$219,BD!$A$3:$A$5001,"&gt;="&amp;$C$7,BD!$A$3:$A$5001,"&lt;="&amp;$B250,BD!$N$3:$N$5001,"&lt;&gt;"))))</f>
        <v/>
      </c>
      <c r="G250" s="43" t="str">
        <f>IF(OR($B250="",$A250&gt;$B$9,G$219=""),"",IF(COUNTIFS(BD!$B$3:$B$5001,G$219,BD!$A$3:$A$5001,"&gt;="&amp;$C$7,BD!$A$3:$A$5001,"&lt;="&amp;$B250,BD!$N$3:$N$5001,"&lt;&gt;")=0,"",SUMIFS(BD!$N$3:$N$5001,BD!$B$3:$B$5001,G$219,BD!$A$3:$A$5001,_xlfn.MAXIFS(BD!$A$3:$A$5001,BD!$B$3:$B$5001,G$219,BD!$A$3:$A$5001,"&gt;="&amp;$C$7,BD!$A$3:$A$5001,"&lt;="&amp;$B250,BD!$N$3:$N$5001,"&lt;&gt;"))))</f>
        <v/>
      </c>
      <c r="H250" s="43" t="str">
        <f>IF(OR($B250="",$A250&gt;$B$9,H$219=""),"",IF(COUNTIFS(BD!$B$3:$B$5001,H$219,BD!$A$3:$A$5001,"&gt;="&amp;$C$7,BD!$A$3:$A$5001,"&lt;="&amp;$B250,BD!$N$3:$N$5001,"&lt;&gt;")=0,"",SUMIFS(BD!$N$3:$N$5001,BD!$B$3:$B$5001,H$219,BD!$A$3:$A$5001,_xlfn.MAXIFS(BD!$A$3:$A$5001,BD!$B$3:$B$5001,H$219,BD!$A$3:$A$5001,"&gt;="&amp;$C$7,BD!$A$3:$A$5001,"&lt;="&amp;$B250,BD!$N$3:$N$5001,"&lt;&gt;"))))</f>
        <v/>
      </c>
      <c r="I250" s="43" t="str">
        <f>IF(OR($B250="",$A250&gt;$B$9,I$219=""),"",IF(COUNTIFS(BD!$B$3:$B$5001,I$219,BD!$A$3:$A$5001,"&gt;="&amp;$C$7,BD!$A$3:$A$5001,"&lt;="&amp;$B250,BD!$N$3:$N$5001,"&lt;&gt;")=0,"",SUMIFS(BD!$N$3:$N$5001,BD!$B$3:$B$5001,I$219,BD!$A$3:$A$5001,_xlfn.MAXIFS(BD!$A$3:$A$5001,BD!$B$3:$B$5001,I$219,BD!$A$3:$A$5001,"&gt;="&amp;$C$7,BD!$A$3:$A$5001,"&lt;="&amp;$B250,BD!$N$3:$N$5001,"&lt;&gt;"))))</f>
        <v/>
      </c>
      <c r="J250" s="43" t="str">
        <f>IF(OR($B250="",$A250&gt;$B$9,J$219=""),"",IF(COUNTIFS(BD!$B$3:$B$5001,J$219,BD!$A$3:$A$5001,"&gt;="&amp;$C$7,BD!$A$3:$A$5001,"&lt;="&amp;$B250,BD!$N$3:$N$5001,"&lt;&gt;")=0,"",SUMIFS(BD!$N$3:$N$5001,BD!$B$3:$B$5001,J$219,BD!$A$3:$A$5001,_xlfn.MAXIFS(BD!$A$3:$A$5001,BD!$B$3:$B$5001,J$219,BD!$A$3:$A$5001,"&gt;="&amp;$C$7,BD!$A$3:$A$5001,"&lt;="&amp;$B250,BD!$N$3:$N$5001,"&lt;&gt;"))))</f>
        <v/>
      </c>
      <c r="K250" s="43" t="str">
        <f>IF(OR($B250="",$A250&gt;$B$9,K$219=""),"",IF(COUNTIFS(BD!$B$3:$B$5001,K$219,BD!$A$3:$A$5001,"&gt;="&amp;$C$7,BD!$A$3:$A$5001,"&lt;="&amp;$B250,BD!$N$3:$N$5001,"&lt;&gt;")=0,"",SUMIFS(BD!$N$3:$N$5001,BD!$B$3:$B$5001,K$219,BD!$A$3:$A$5001,_xlfn.MAXIFS(BD!$A$3:$A$5001,BD!$B$3:$B$5001,K$219,BD!$A$3:$A$5001,"&gt;="&amp;$C$7,BD!$A$3:$A$5001,"&lt;="&amp;$B250,BD!$N$3:$N$5001,"&lt;&gt;"))))</f>
        <v/>
      </c>
      <c r="L250" s="43" t="str">
        <f>IF(OR($B250="",$A250&gt;$B$9,L$219=""),"",IF(COUNTIFS(BD!$B$3:$B$5001,L$219,BD!$A$3:$A$5001,"&gt;="&amp;$C$7,BD!$A$3:$A$5001,"&lt;="&amp;$B250,BD!$N$3:$N$5001,"&lt;&gt;")=0,"",SUMIFS(BD!$N$3:$N$5001,BD!$B$3:$B$5001,L$219,BD!$A$3:$A$5001,_xlfn.MAXIFS(BD!$A$3:$A$5001,BD!$B$3:$B$5001,L$219,BD!$A$3:$A$5001,"&gt;="&amp;$C$7,BD!$A$3:$A$5001,"&lt;="&amp;$B250,BD!$N$3:$N$5001,"&lt;&gt;"))))</f>
        <v/>
      </c>
      <c r="M250" s="43" t="str">
        <f>IF(OR($B250="",$A250&gt;$B$9,M$219=""),"",IF(COUNTIFS(BD!$B$3:$B$5001,M$219,BD!$A$3:$A$5001,"&gt;="&amp;$C$7,BD!$A$3:$A$5001,"&lt;="&amp;$B250,BD!$N$3:$N$5001,"&lt;&gt;")=0,"",SUMIFS(BD!$N$3:$N$5001,BD!$B$3:$B$5001,M$219,BD!$A$3:$A$5001,_xlfn.MAXIFS(BD!$A$3:$A$5001,BD!$B$3:$B$5001,M$219,BD!$A$3:$A$5001,"&gt;="&amp;$C$7,BD!$A$3:$A$5001,"&lt;="&amp;$B250,BD!$N$3:$N$5001,"&lt;&gt;"))))</f>
        <v/>
      </c>
      <c r="N250" s="43" t="str">
        <f>IF(OR($B250="",$A250&gt;$B$9,N$219=""),"",IF(COUNTIFS(BD!$B$3:$B$5001,N$219,BD!$A$3:$A$5001,"&gt;="&amp;$C$7,BD!$A$3:$A$5001,"&lt;="&amp;$B250,BD!$N$3:$N$5001,"&lt;&gt;")=0,"",SUMIFS(BD!$N$3:$N$5001,BD!$B$3:$B$5001,N$219,BD!$A$3:$A$5001,_xlfn.MAXIFS(BD!$A$3:$A$5001,BD!$B$3:$B$5001,N$219,BD!$A$3:$A$5001,"&gt;="&amp;$C$7,BD!$A$3:$A$5001,"&lt;="&amp;$B250,BD!$N$3:$N$5001,"&lt;&gt;"))))</f>
        <v/>
      </c>
      <c r="O250" s="43" t="str">
        <f>IF(OR($B250="",$A250&gt;$B$9,O$219=""),"",IF(COUNTIFS(BD!$B$3:$B$5001,O$219,BD!$A$3:$A$5001,"&gt;="&amp;$C$7,BD!$A$3:$A$5001,"&lt;="&amp;$B250,BD!$N$3:$N$5001,"&lt;&gt;")=0,"",SUMIFS(BD!$N$3:$N$5001,BD!$B$3:$B$5001,O$219,BD!$A$3:$A$5001,_xlfn.MAXIFS(BD!$A$3:$A$5001,BD!$B$3:$B$5001,O$219,BD!$A$3:$A$5001,"&gt;="&amp;$C$7,BD!$A$3:$A$5001,"&lt;="&amp;$B250,BD!$N$3:$N$5001,"&lt;&gt;"))))</f>
        <v/>
      </c>
      <c r="P250" s="43" t="str">
        <f>IF(OR($B250="",$A250&gt;$B$9,P$219=""),"",IF(COUNTIFS(BD!$B$3:$B$5001,P$219,BD!$A$3:$A$5001,"&gt;="&amp;$C$7,BD!$A$3:$A$5001,"&lt;="&amp;$B250,BD!$N$3:$N$5001,"&lt;&gt;")=0,"",SUMIFS(BD!$N$3:$N$5001,BD!$B$3:$B$5001,P$219,BD!$A$3:$A$5001,_xlfn.MAXIFS(BD!$A$3:$A$5001,BD!$B$3:$B$5001,P$219,BD!$A$3:$A$5001,"&gt;="&amp;$C$7,BD!$A$3:$A$5001,"&lt;="&amp;$B250,BD!$N$3:$N$5001,"&lt;&gt;"))))</f>
        <v/>
      </c>
      <c r="Q250" s="43" t="str">
        <f>IF(OR($B250="",$A250&gt;$B$9,Q$219=""),"",IF(COUNTIFS(BD!$B$3:$B$5001,Q$219,BD!$A$3:$A$5001,"&gt;="&amp;$C$7,BD!$A$3:$A$5001,"&lt;="&amp;$B250,BD!$N$3:$N$5001,"&lt;&gt;")=0,"",SUMIFS(BD!$N$3:$N$5001,BD!$B$3:$B$5001,Q$219,BD!$A$3:$A$5001,_xlfn.MAXIFS(BD!$A$3:$A$5001,BD!$B$3:$B$5001,Q$219,BD!$A$3:$A$5001,"&gt;="&amp;$C$7,BD!$A$3:$A$5001,"&lt;="&amp;$B250,BD!$N$3:$N$5001,"&lt;&gt;"))))</f>
        <v/>
      </c>
      <c r="R250" s="43" t="str">
        <f>IF(OR($B250="",$A250&gt;$B$9,R$219=""),"",IF(COUNTIFS(BD!$B$3:$B$5001,R$219,BD!$A$3:$A$5001,"&gt;="&amp;$C$7,BD!$A$3:$A$5001,"&lt;="&amp;$B250,BD!$N$3:$N$5001,"&lt;&gt;")=0,"",SUMIFS(BD!$N$3:$N$5001,BD!$B$3:$B$5001,R$219,BD!$A$3:$A$5001,_xlfn.MAXIFS(BD!$A$3:$A$5001,BD!$B$3:$B$5001,R$219,BD!$A$3:$A$5001,"&gt;="&amp;$C$7,BD!$A$3:$A$5001,"&lt;="&amp;$B250,BD!$N$3:$N$5001,"&lt;&gt;"))))</f>
        <v/>
      </c>
      <c r="S250" s="43" t="str">
        <f>IF(OR($B250="",$A250&gt;$B$9,S$219=""),"",IF(COUNTIFS(BD!$B$3:$B$5001,S$219,BD!$A$3:$A$5001,"&gt;="&amp;$C$7,BD!$A$3:$A$5001,"&lt;="&amp;$B250,BD!$N$3:$N$5001,"&lt;&gt;")=0,"",SUMIFS(BD!$N$3:$N$5001,BD!$B$3:$B$5001,S$219,BD!$A$3:$A$5001,_xlfn.MAXIFS(BD!$A$3:$A$5001,BD!$B$3:$B$5001,S$219,BD!$A$3:$A$5001,"&gt;="&amp;$C$7,BD!$A$3:$A$5001,"&lt;="&amp;$B250,BD!$N$3:$N$5001,"&lt;&gt;"))))</f>
        <v/>
      </c>
      <c r="T250" s="43" t="str">
        <f>IF(OR($B250="",$A250&gt;$B$9,T$219=""),"",IF(COUNTIFS(BD!$B$3:$B$5001,T$219,BD!$A$3:$A$5001,"&gt;="&amp;$C$7,BD!$A$3:$A$5001,"&lt;="&amp;$B250,BD!$N$3:$N$5001,"&lt;&gt;")=0,"",SUMIFS(BD!$N$3:$N$5001,BD!$B$3:$B$5001,T$219,BD!$A$3:$A$5001,_xlfn.MAXIFS(BD!$A$3:$A$5001,BD!$B$3:$B$5001,T$219,BD!$A$3:$A$5001,"&gt;="&amp;$C$7,BD!$A$3:$A$5001,"&lt;="&amp;$B250,BD!$N$3:$N$5001,"&lt;&gt;"))))</f>
        <v/>
      </c>
      <c r="U250" s="43" t="str">
        <f>IF(OR($B250="",$A250&gt;$B$9,U$219=""),"",IF(COUNTIFS(BD!$B$3:$B$5001,U$219,BD!$A$3:$A$5001,"&gt;="&amp;$C$7,BD!$A$3:$A$5001,"&lt;="&amp;$B250,BD!$N$3:$N$5001,"&lt;&gt;")=0,"",SUMIFS(BD!$N$3:$N$5001,BD!$B$3:$B$5001,U$219,BD!$A$3:$A$5001,_xlfn.MAXIFS(BD!$A$3:$A$5001,BD!$B$3:$B$5001,U$219,BD!$A$3:$A$5001,"&gt;="&amp;$C$7,BD!$A$3:$A$5001,"&lt;="&amp;$B250,BD!$N$3:$N$5001,"&lt;&gt;"))))</f>
        <v/>
      </c>
      <c r="V250" s="43" t="str">
        <f>IF(OR($B250="",$A250&gt;$B$9,V$219=""),"",IF(COUNTIFS(BD!$B$3:$B$5001,V$219,BD!$A$3:$A$5001,"&gt;="&amp;$C$7,BD!$A$3:$A$5001,"&lt;="&amp;$B250,BD!$N$3:$N$5001,"&lt;&gt;")=0,"",SUMIFS(BD!$N$3:$N$5001,BD!$B$3:$B$5001,V$219,BD!$A$3:$A$5001,_xlfn.MAXIFS(BD!$A$3:$A$5001,BD!$B$3:$B$5001,V$219,BD!$A$3:$A$5001,"&gt;="&amp;$C$7,BD!$A$3:$A$5001,"&lt;="&amp;$B250,BD!$N$3:$N$5001,"&lt;&gt;"))))</f>
        <v/>
      </c>
    </row>
    <row r="251">
      <c r="A251" s="44" t="inlineStr">
        <is>
          <t xml:space="preserve">Mês anterior (último)</t>
        </is>
      </c>
      <c r="C251" s="45" t="str">
        <f>IF(C$219="","",IF(COUNTIFS(BD!$B$3:$B$5001,C$219,BD!$A$3:$A$5001,"&gt;="&amp;$C$8,BD!$A$3:$A$5001,"&lt;="&amp;$D$8,BD!$N$3:$N$5001,"&lt;&gt;")=0,"",SUMIFS(BD!$N$3:$N$5001,BD!$B$3:$B$5001,C$219,BD!$A$3:$A$5001,_xlfn.MAXIFS(BD!$A$3:$A$5001,BD!$B$3:$B$5001,C$219,BD!$A$3:$A$5001,"&gt;="&amp;$C$8,BD!$A$3:$A$5001,"&lt;="&amp;$D$8,BD!$N$3:$N$5001,"&lt;&gt;"))))</f>
        <v/>
      </c>
      <c r="D251" s="45" t="str">
        <f>IF(D$219="","",IF(COUNTIFS(BD!$B$3:$B$5001,D$219,BD!$A$3:$A$5001,"&gt;="&amp;$C$8,BD!$A$3:$A$5001,"&lt;="&amp;$D$8,BD!$N$3:$N$5001,"&lt;&gt;")=0,"",SUMIFS(BD!$N$3:$N$5001,BD!$B$3:$B$5001,D$219,BD!$A$3:$A$5001,_xlfn.MAXIFS(BD!$A$3:$A$5001,BD!$B$3:$B$5001,D$219,BD!$A$3:$A$5001,"&gt;="&amp;$C$8,BD!$A$3:$A$5001,"&lt;="&amp;$D$8,BD!$N$3:$N$5001,"&lt;&gt;"))))</f>
        <v/>
      </c>
      <c r="E251" s="45" t="str">
        <f>IF(E$219="","",IF(COUNTIFS(BD!$B$3:$B$5001,E$219,BD!$A$3:$A$5001,"&gt;="&amp;$C$8,BD!$A$3:$A$5001,"&lt;="&amp;$D$8,BD!$N$3:$N$5001,"&lt;&gt;")=0,"",SUMIFS(BD!$N$3:$N$5001,BD!$B$3:$B$5001,E$219,BD!$A$3:$A$5001,_xlfn.MAXIFS(BD!$A$3:$A$5001,BD!$B$3:$B$5001,E$219,BD!$A$3:$A$5001,"&gt;="&amp;$C$8,BD!$A$3:$A$5001,"&lt;="&amp;$D$8,BD!$N$3:$N$5001,"&lt;&gt;"))))</f>
        <v/>
      </c>
      <c r="F251" s="45" t="str">
        <f>IF(F$219="","",IF(COUNTIFS(BD!$B$3:$B$5001,F$219,BD!$A$3:$A$5001,"&gt;="&amp;$C$8,BD!$A$3:$A$5001,"&lt;="&amp;$D$8,BD!$N$3:$N$5001,"&lt;&gt;")=0,"",SUMIFS(BD!$N$3:$N$5001,BD!$B$3:$B$5001,F$219,BD!$A$3:$A$5001,_xlfn.MAXIFS(BD!$A$3:$A$5001,BD!$B$3:$B$5001,F$219,BD!$A$3:$A$5001,"&gt;="&amp;$C$8,BD!$A$3:$A$5001,"&lt;="&amp;$D$8,BD!$N$3:$N$5001,"&lt;&gt;"))))</f>
        <v/>
      </c>
      <c r="G251" s="45" t="str">
        <f>IF(G$219="","",IF(COUNTIFS(BD!$B$3:$B$5001,G$219,BD!$A$3:$A$5001,"&gt;="&amp;$C$8,BD!$A$3:$A$5001,"&lt;="&amp;$D$8,BD!$N$3:$N$5001,"&lt;&gt;")=0,"",SUMIFS(BD!$N$3:$N$5001,BD!$B$3:$B$5001,G$219,BD!$A$3:$A$5001,_xlfn.MAXIFS(BD!$A$3:$A$5001,BD!$B$3:$B$5001,G$219,BD!$A$3:$A$5001,"&gt;="&amp;$C$8,BD!$A$3:$A$5001,"&lt;="&amp;$D$8,BD!$N$3:$N$5001,"&lt;&gt;"))))</f>
        <v/>
      </c>
      <c r="H251" s="45" t="str">
        <f>IF(H$219="","",IF(COUNTIFS(BD!$B$3:$B$5001,H$219,BD!$A$3:$A$5001,"&gt;="&amp;$C$8,BD!$A$3:$A$5001,"&lt;="&amp;$D$8,BD!$N$3:$N$5001,"&lt;&gt;")=0,"",SUMIFS(BD!$N$3:$N$5001,BD!$B$3:$B$5001,H$219,BD!$A$3:$A$5001,_xlfn.MAXIFS(BD!$A$3:$A$5001,BD!$B$3:$B$5001,H$219,BD!$A$3:$A$5001,"&gt;="&amp;$C$8,BD!$A$3:$A$5001,"&lt;="&amp;$D$8,BD!$N$3:$N$5001,"&lt;&gt;"))))</f>
        <v/>
      </c>
      <c r="I251" s="45" t="str">
        <f>IF(I$219="","",IF(COUNTIFS(BD!$B$3:$B$5001,I$219,BD!$A$3:$A$5001,"&gt;="&amp;$C$8,BD!$A$3:$A$5001,"&lt;="&amp;$D$8,BD!$N$3:$N$5001,"&lt;&gt;")=0,"",SUMIFS(BD!$N$3:$N$5001,BD!$B$3:$B$5001,I$219,BD!$A$3:$A$5001,_xlfn.MAXIFS(BD!$A$3:$A$5001,BD!$B$3:$B$5001,I$219,BD!$A$3:$A$5001,"&gt;="&amp;$C$8,BD!$A$3:$A$5001,"&lt;="&amp;$D$8,BD!$N$3:$N$5001,"&lt;&gt;"))))</f>
        <v/>
      </c>
      <c r="J251" s="45" t="str">
        <f>IF(J$219="","",IF(COUNTIFS(BD!$B$3:$B$5001,J$219,BD!$A$3:$A$5001,"&gt;="&amp;$C$8,BD!$A$3:$A$5001,"&lt;="&amp;$D$8,BD!$N$3:$N$5001,"&lt;&gt;")=0,"",SUMIFS(BD!$N$3:$N$5001,BD!$B$3:$B$5001,J$219,BD!$A$3:$A$5001,_xlfn.MAXIFS(BD!$A$3:$A$5001,BD!$B$3:$B$5001,J$219,BD!$A$3:$A$5001,"&gt;="&amp;$C$8,BD!$A$3:$A$5001,"&lt;="&amp;$D$8,BD!$N$3:$N$5001,"&lt;&gt;"))))</f>
        <v/>
      </c>
      <c r="K251" s="45" t="str">
        <f>IF(K$219="","",IF(COUNTIFS(BD!$B$3:$B$5001,K$219,BD!$A$3:$A$5001,"&gt;="&amp;$C$8,BD!$A$3:$A$5001,"&lt;="&amp;$D$8,BD!$N$3:$N$5001,"&lt;&gt;")=0,"",SUMIFS(BD!$N$3:$N$5001,BD!$B$3:$B$5001,K$219,BD!$A$3:$A$5001,_xlfn.MAXIFS(BD!$A$3:$A$5001,BD!$B$3:$B$5001,K$219,BD!$A$3:$A$5001,"&gt;="&amp;$C$8,BD!$A$3:$A$5001,"&lt;="&amp;$D$8,BD!$N$3:$N$5001,"&lt;&gt;"))))</f>
        <v/>
      </c>
      <c r="L251" s="45" t="str">
        <f>IF(L$219="","",IF(COUNTIFS(BD!$B$3:$B$5001,L$219,BD!$A$3:$A$5001,"&gt;="&amp;$C$8,BD!$A$3:$A$5001,"&lt;="&amp;$D$8,BD!$N$3:$N$5001,"&lt;&gt;")=0,"",SUMIFS(BD!$N$3:$N$5001,BD!$B$3:$B$5001,L$219,BD!$A$3:$A$5001,_xlfn.MAXIFS(BD!$A$3:$A$5001,BD!$B$3:$B$5001,L$219,BD!$A$3:$A$5001,"&gt;="&amp;$C$8,BD!$A$3:$A$5001,"&lt;="&amp;$D$8,BD!$N$3:$N$5001,"&lt;&gt;"))))</f>
        <v/>
      </c>
      <c r="M251" s="45" t="str">
        <f>IF(M$219="","",IF(COUNTIFS(BD!$B$3:$B$5001,M$219,BD!$A$3:$A$5001,"&gt;="&amp;$C$8,BD!$A$3:$A$5001,"&lt;="&amp;$D$8,BD!$N$3:$N$5001,"&lt;&gt;")=0,"",SUMIFS(BD!$N$3:$N$5001,BD!$B$3:$B$5001,M$219,BD!$A$3:$A$5001,_xlfn.MAXIFS(BD!$A$3:$A$5001,BD!$B$3:$B$5001,M$219,BD!$A$3:$A$5001,"&gt;="&amp;$C$8,BD!$A$3:$A$5001,"&lt;="&amp;$D$8,BD!$N$3:$N$5001,"&lt;&gt;"))))</f>
        <v/>
      </c>
      <c r="N251" s="45" t="str">
        <f>IF(N$219="","",IF(COUNTIFS(BD!$B$3:$B$5001,N$219,BD!$A$3:$A$5001,"&gt;="&amp;$C$8,BD!$A$3:$A$5001,"&lt;="&amp;$D$8,BD!$N$3:$N$5001,"&lt;&gt;")=0,"",SUMIFS(BD!$N$3:$N$5001,BD!$B$3:$B$5001,N$219,BD!$A$3:$A$5001,_xlfn.MAXIFS(BD!$A$3:$A$5001,BD!$B$3:$B$5001,N$219,BD!$A$3:$A$5001,"&gt;="&amp;$C$8,BD!$A$3:$A$5001,"&lt;="&amp;$D$8,BD!$N$3:$N$5001,"&lt;&gt;"))))</f>
        <v/>
      </c>
      <c r="O251" s="45" t="str">
        <f>IF(O$219="","",IF(COUNTIFS(BD!$B$3:$B$5001,O$219,BD!$A$3:$A$5001,"&gt;="&amp;$C$8,BD!$A$3:$A$5001,"&lt;="&amp;$D$8,BD!$N$3:$N$5001,"&lt;&gt;")=0,"",SUMIFS(BD!$N$3:$N$5001,BD!$B$3:$B$5001,O$219,BD!$A$3:$A$5001,_xlfn.MAXIFS(BD!$A$3:$A$5001,BD!$B$3:$B$5001,O$219,BD!$A$3:$A$5001,"&gt;="&amp;$C$8,BD!$A$3:$A$5001,"&lt;="&amp;$D$8,BD!$N$3:$N$5001,"&lt;&gt;"))))</f>
        <v/>
      </c>
      <c r="P251" s="45" t="str">
        <f>IF(P$219="","",IF(COUNTIFS(BD!$B$3:$B$5001,P$219,BD!$A$3:$A$5001,"&gt;="&amp;$C$8,BD!$A$3:$A$5001,"&lt;="&amp;$D$8,BD!$N$3:$N$5001,"&lt;&gt;")=0,"",SUMIFS(BD!$N$3:$N$5001,BD!$B$3:$B$5001,P$219,BD!$A$3:$A$5001,_xlfn.MAXIFS(BD!$A$3:$A$5001,BD!$B$3:$B$5001,P$219,BD!$A$3:$A$5001,"&gt;="&amp;$C$8,BD!$A$3:$A$5001,"&lt;="&amp;$D$8,BD!$N$3:$N$5001,"&lt;&gt;"))))</f>
        <v/>
      </c>
      <c r="Q251" s="45" t="str">
        <f>IF(Q$219="","",IF(COUNTIFS(BD!$B$3:$B$5001,Q$219,BD!$A$3:$A$5001,"&gt;="&amp;$C$8,BD!$A$3:$A$5001,"&lt;="&amp;$D$8,BD!$N$3:$N$5001,"&lt;&gt;")=0,"",SUMIFS(BD!$N$3:$N$5001,BD!$B$3:$B$5001,Q$219,BD!$A$3:$A$5001,_xlfn.MAXIFS(BD!$A$3:$A$5001,BD!$B$3:$B$5001,Q$219,BD!$A$3:$A$5001,"&gt;="&amp;$C$8,BD!$A$3:$A$5001,"&lt;="&amp;$D$8,BD!$N$3:$N$5001,"&lt;&gt;"))))</f>
        <v/>
      </c>
      <c r="R251" s="45" t="str">
        <f>IF(R$219="","",IF(COUNTIFS(BD!$B$3:$B$5001,R$219,BD!$A$3:$A$5001,"&gt;="&amp;$C$8,BD!$A$3:$A$5001,"&lt;="&amp;$D$8,BD!$N$3:$N$5001,"&lt;&gt;")=0,"",SUMIFS(BD!$N$3:$N$5001,BD!$B$3:$B$5001,R$219,BD!$A$3:$A$5001,_xlfn.MAXIFS(BD!$A$3:$A$5001,BD!$B$3:$B$5001,R$219,BD!$A$3:$A$5001,"&gt;="&amp;$C$8,BD!$A$3:$A$5001,"&lt;="&amp;$D$8,BD!$N$3:$N$5001,"&lt;&gt;"))))</f>
        <v/>
      </c>
      <c r="S251" s="45" t="str">
        <f>IF(S$219="","",IF(COUNTIFS(BD!$B$3:$B$5001,S$219,BD!$A$3:$A$5001,"&gt;="&amp;$C$8,BD!$A$3:$A$5001,"&lt;="&amp;$D$8,BD!$N$3:$N$5001,"&lt;&gt;")=0,"",SUMIFS(BD!$N$3:$N$5001,BD!$B$3:$B$5001,S$219,BD!$A$3:$A$5001,_xlfn.MAXIFS(BD!$A$3:$A$5001,BD!$B$3:$B$5001,S$219,BD!$A$3:$A$5001,"&gt;="&amp;$C$8,BD!$A$3:$A$5001,"&lt;="&amp;$D$8,BD!$N$3:$N$5001,"&lt;&gt;"))))</f>
        <v/>
      </c>
      <c r="T251" s="45" t="str">
        <f>IF(T$219="","",IF(COUNTIFS(BD!$B$3:$B$5001,T$219,BD!$A$3:$A$5001,"&gt;="&amp;$C$8,BD!$A$3:$A$5001,"&lt;="&amp;$D$8,BD!$N$3:$N$5001,"&lt;&gt;")=0,"",SUMIFS(BD!$N$3:$N$5001,BD!$B$3:$B$5001,T$219,BD!$A$3:$A$5001,_xlfn.MAXIFS(BD!$A$3:$A$5001,BD!$B$3:$B$5001,T$219,BD!$A$3:$A$5001,"&gt;="&amp;$C$8,BD!$A$3:$A$5001,"&lt;="&amp;$D$8,BD!$N$3:$N$5001,"&lt;&gt;"))))</f>
        <v/>
      </c>
      <c r="U251" s="45" t="str">
        <f>IF(U$219="","",IF(COUNTIFS(BD!$B$3:$B$5001,U$219,BD!$A$3:$A$5001,"&gt;="&amp;$C$8,BD!$A$3:$A$5001,"&lt;="&amp;$D$8,BD!$N$3:$N$5001,"&lt;&gt;")=0,"",SUMIFS(BD!$N$3:$N$5001,BD!$B$3:$B$5001,U$219,BD!$A$3:$A$5001,_xlfn.MAXIFS(BD!$A$3:$A$5001,BD!$B$3:$B$5001,U$219,BD!$A$3:$A$5001,"&gt;="&amp;$C$8,BD!$A$3:$A$5001,"&lt;="&amp;$D$8,BD!$N$3:$N$5001,"&lt;&gt;"))))</f>
        <v/>
      </c>
      <c r="V251" s="45" t="str">
        <f>IF(V$219="","",IF(COUNTIFS(BD!$B$3:$B$5001,V$219,BD!$A$3:$A$5001,"&gt;="&amp;$C$8,BD!$A$3:$A$5001,"&lt;="&amp;$D$8,BD!$N$3:$N$5001,"&lt;&gt;")=0,"",SUMIFS(BD!$N$3:$N$5001,BD!$B$3:$B$5001,V$219,BD!$A$3:$A$5001,_xlfn.MAXIFS(BD!$A$3:$A$5001,BD!$B$3:$B$5001,V$219,BD!$A$3:$A$5001,"&gt;="&amp;$C$8,BD!$A$3:$A$5001,"&lt;="&amp;$D$8,BD!$N$3:$N$5001,"&lt;&gt;"))))</f>
        <v/>
      </c>
    </row>
    <row r="252">
      <c r="A252" s="44" t="inlineStr">
        <is>
          <t xml:space="preserve">Depósito</t>
        </is>
      </c>
      <c r="C252" s="38" t="str">
        <f>IF(Config!$C$10="","JSL",Config!$C$10)</f>
        <v>JSL</v>
      </c>
      <c r="D252" s="38" t="str">
        <f>IF(Config!$C$11="","JSL",Config!$C$11)</f>
        <v>JSL</v>
      </c>
      <c r="E252" s="38" t="str">
        <f>IF(Config!$C$12="","JSL",Config!$C$12)</f>
        <v>JSL</v>
      </c>
      <c r="F252" s="38" t="str">
        <f>IF(Config!$C$13="","JSL",Config!$C$13)</f>
        <v>JSL</v>
      </c>
      <c r="G252" s="38" t="str">
        <f>IF(Config!$C$14="","JSL",Config!$C$14)</f>
        <v>JSL</v>
      </c>
      <c r="H252" s="38" t="str">
        <f>IF(Config!$C$15="","JSL",Config!$C$15)</f>
        <v>JSL</v>
      </c>
      <c r="I252" s="38" t="str">
        <f>IF(Config!$C$16="","JSL",Config!$C$16)</f>
        <v>JSL</v>
      </c>
      <c r="J252" s="38" t="str">
        <f>IF(Config!$C$17="","JSL",Config!$C$17)</f>
        <v>JSL</v>
      </c>
      <c r="K252" s="38" t="str">
        <f>IF(Config!$C$18="","JSL",Config!$C$18)</f>
        <v>JSL</v>
      </c>
      <c r="L252" s="38" t="str">
        <f>IF(Config!$C$19="","JSL",Config!$C$19)</f>
        <v>JSL</v>
      </c>
      <c r="M252" s="38" t="str">
        <f>IF(Config!$C$20="","JSL",Config!$C$20)</f>
        <v>JSL</v>
      </c>
      <c r="N252" s="38" t="str">
        <f>IF(Config!$C$21="","JSL",Config!$C$21)</f>
        <v>JSL</v>
      </c>
      <c r="O252" s="38" t="str">
        <f>IF(Config!$C$22="","JSL",Config!$C$22)</f>
        <v>JSL</v>
      </c>
      <c r="P252" s="38" t="str">
        <f>IF(Config!$C$23="","JSL",Config!$C$23)</f>
        <v>JSL</v>
      </c>
      <c r="Q252" s="38" t="str">
        <f>IF(Config!$C$24="","JSL",Config!$C$24)</f>
        <v>JSL</v>
      </c>
      <c r="R252" s="38" t="str">
        <f>IF(Config!$C$25="","JSL",Config!$C$25)</f>
        <v>JSL</v>
      </c>
      <c r="S252" s="38" t="str">
        <f>IF(Config!$C$26="","JSL",Config!$C$26)</f>
        <v>JSL</v>
      </c>
      <c r="T252" s="38" t="str">
        <f>IF(Config!$C$27="","JSL",Config!$C$27)</f>
        <v>JSL</v>
      </c>
      <c r="U252" s="38" t="str">
        <f>IF(Config!$C$28="","JSL",Config!$C$28)</f>
        <v>JSL</v>
      </c>
      <c r="V252" s="38" t="str">
        <f>IF(Config!$C$29="","JSL",Config!$C$29)</f>
        <v>JSL</v>
      </c>
    </row>
    <row r="256">
      <c r="A256" s="19" t="inlineStr">
        <is>
          <t xml:space="preserve">RESUMO POR CLIENTE — clientes visíveis pelo filtro do Consol Mensal</t>
        </is>
      </c>
    </row>
    <row r="257">
      <c r="A257" s="37" t="inlineStr">
        <is>
          <t xml:space="preserve">Cliente</t>
        </is>
      </c>
      <c r="B257" s="37" t="inlineStr">
        <is>
          <t xml:space="preserve">Depósito</t>
        </is>
      </c>
      <c r="C257" s="37" t="inlineStr">
        <is>
          <t xml:space="preserve">Entra?</t>
        </is>
      </c>
      <c r="D257" s="37" t="inlineStr">
        <is>
          <t xml:space="preserve">Ordem</t>
        </is>
      </c>
      <c r="F257" s="37" t="inlineStr">
        <is>
          <t xml:space="preserve">Posição</t>
        </is>
      </c>
      <c r="G257" s="37" t="inlineStr">
        <is>
          <t xml:space="preserve">Cliente visível</t>
        </is>
      </c>
      <c r="H257" s="37" t="inlineStr">
        <is>
          <t xml:space="preserve">Depósito visível</t>
        </is>
      </c>
    </row>
    <row r="258">
      <c r="A258" s="65" t="str">
        <f>Config!$B$10&amp;""</f>
        <v>Barry Callebaut</v>
      </c>
      <c r="B258" s="38" t="str">
        <f>IF(Config!$C$10="","JSL",Config!$C$10)</f>
        <v>JSL</v>
      </c>
      <c r="C258" s="38">
        <f>IF($A258="",0,IF(OR($B$2="Todos",AND($C$2=2,$B258=$D$2),AND($C$2=1,$A258=$D$2)),1,0))</f>
        <v>1</v>
      </c>
      <c r="D258" s="38">
        <f>IF($C258=1,SUM($C$258:$C258),"")</f>
        <v>1</v>
      </c>
      <c r="F258" s="38">
        <v>1</v>
      </c>
      <c r="G258" s="65" t="str">
        <f>IFERROR(INDEX($A$258:$A$277,MATCH($F258,$D$258:$D$277,0)),"")</f>
        <v>Barry Callebaut</v>
      </c>
      <c r="H258" s="38" t="str">
        <f>IFERROR(INDEX($B$258:$B$277,MATCH($F258,$D$258:$D$277,0)),"")</f>
        <v>JSL</v>
      </c>
    </row>
    <row r="259">
      <c r="A259" s="65" t="str">
        <f>Config!$B$11&amp;""</f>
        <v>GM</v>
      </c>
      <c r="B259" s="38" t="str">
        <f>IF(Config!$C$11="","JSL",Config!$C$11)</f>
        <v>JSL</v>
      </c>
      <c r="C259" s="38">
        <f>IF($A259="",0,IF(OR($B$2="Todos",AND($C$2=2,$B259=$D$2),AND($C$2=1,$A259=$D$2)),1,0))</f>
        <v>1</v>
      </c>
      <c r="D259" s="38">
        <f>IF($C259=1,SUM($C$258:$C259),"")</f>
        <v>2</v>
      </c>
      <c r="F259" s="38">
        <v>2</v>
      </c>
      <c r="G259" s="65" t="str">
        <f>IFERROR(INDEX($A$258:$A$277,MATCH($F259,$D$258:$D$277,0)),"")</f>
        <v>GM</v>
      </c>
      <c r="H259" s="38" t="str">
        <f>IFERROR(INDEX($B$258:$B$277,MATCH($F259,$D$258:$D$277,0)),"")</f>
        <v>JSL</v>
      </c>
    </row>
    <row r="260">
      <c r="A260" s="65" t="str">
        <f>Config!$B$12&amp;""</f>
        <v>Mondelez</v>
      </c>
      <c r="B260" s="38" t="str">
        <f>IF(Config!$C$12="","JSL",Config!$C$12)</f>
        <v>JSL</v>
      </c>
      <c r="C260" s="38">
        <f>IF($A260="",0,IF(OR($B$2="Todos",AND($C$2=2,$B260=$D$2),AND($C$2=1,$A260=$D$2)),1,0))</f>
        <v>1</v>
      </c>
      <c r="D260" s="38">
        <f>IF($C260=1,SUM($C$258:$C260),"")</f>
        <v>3</v>
      </c>
      <c r="F260" s="38">
        <v>3</v>
      </c>
      <c r="G260" s="65" t="str">
        <f>IFERROR(INDEX($A$258:$A$277,MATCH($F260,$D$258:$D$277,0)),"")</f>
        <v>Mondelez</v>
      </c>
      <c r="H260" s="38" t="str">
        <f>IFERROR(INDEX($B$258:$B$277,MATCH($F260,$D$258:$D$277,0)),"")</f>
        <v>JSL</v>
      </c>
    </row>
    <row r="261">
      <c r="A261" s="65" t="str">
        <f>Config!$B$13&amp;""</f>
        <v>Nestlé</v>
      </c>
      <c r="B261" s="38" t="str">
        <f>IF(Config!$C$13="","JSL",Config!$C$13)</f>
        <v>JSL</v>
      </c>
      <c r="C261" s="38">
        <f>IF($A261="",0,IF(OR($B$2="Todos",AND($C$2=2,$B261=$D$2),AND($C$2=1,$A261=$D$2)),1,0))</f>
        <v>1</v>
      </c>
      <c r="D261" s="38">
        <f>IF($C261=1,SUM($C$258:$C261),"")</f>
        <v>4</v>
      </c>
      <c r="F261" s="38">
        <v>4</v>
      </c>
      <c r="G261" s="65" t="str">
        <f>IFERROR(INDEX($A$258:$A$277,MATCH($F261,$D$258:$D$277,0)),"")</f>
        <v>Nestlé</v>
      </c>
      <c r="H261" s="38" t="str">
        <f>IFERROR(INDEX($B$258:$B$277,MATCH($F261,$D$258:$D$277,0)),"")</f>
        <v>JSL</v>
      </c>
    </row>
    <row r="262">
      <c r="A262" s="65" t="str">
        <f>Config!$B$14&amp;""</f>
        <v>PMB</v>
      </c>
      <c r="B262" s="38" t="str">
        <f>IF(Config!$C$14="","JSL",Config!$C$14)</f>
        <v>JSL</v>
      </c>
      <c r="C262" s="38">
        <f>IF($A262="",0,IF(OR($B$2="Todos",AND($C$2=2,$B262=$D$2),AND($C$2=1,$A262=$D$2)),1,0))</f>
        <v>1</v>
      </c>
      <c r="D262" s="38">
        <f>IF($C262=1,SUM($C$258:$C262),"")</f>
        <v>5</v>
      </c>
      <c r="F262" s="38">
        <v>5</v>
      </c>
      <c r="G262" s="65" t="str">
        <f>IFERROR(INDEX($A$258:$A$277,MATCH($F262,$D$258:$D$277,0)),"")</f>
        <v>PMB</v>
      </c>
      <c r="H262" s="38" t="str">
        <f>IFERROR(INDEX($B$258:$B$277,MATCH($F262,$D$258:$D$277,0)),"")</f>
        <v>JSL</v>
      </c>
    </row>
    <row r="263">
      <c r="A263" s="65" t="str">
        <f>Config!$B$15&amp;""</f>
        <v/>
      </c>
      <c r="B263" s="38" t="str">
        <f>IF(Config!$C$15="","JSL",Config!$C$15)</f>
        <v>JSL</v>
      </c>
      <c r="C263" s="38">
        <f>IF($A263="",0,IF(OR($B$2="Todos",AND($C$2=2,$B263=$D$2),AND($C$2=1,$A263=$D$2)),1,0))</f>
        <v>0</v>
      </c>
      <c r="D263" s="38" t="str">
        <f>IF($C263=1,SUM($C$258:$C263),"")</f>
        <v/>
      </c>
      <c r="F263" s="38">
        <v>6</v>
      </c>
      <c r="G263" s="65" t="str">
        <f>IFERROR(INDEX($A$258:$A$277,MATCH($F263,$D$258:$D$277,0)),"")</f>
        <v/>
      </c>
      <c r="H263" s="38" t="str">
        <f>IFERROR(INDEX($B$258:$B$277,MATCH($F263,$D$258:$D$277,0)),"")</f>
        <v/>
      </c>
    </row>
    <row r="264">
      <c r="A264" s="65" t="str">
        <f>Config!$B$16&amp;""</f>
        <v/>
      </c>
      <c r="B264" s="38" t="str">
        <f>IF(Config!$C$16="","JSL",Config!$C$16)</f>
        <v>JSL</v>
      </c>
      <c r="C264" s="38">
        <f>IF($A264="",0,IF(OR($B$2="Todos",AND($C$2=2,$B264=$D$2),AND($C$2=1,$A264=$D$2)),1,0))</f>
        <v>0</v>
      </c>
      <c r="D264" s="38" t="str">
        <f>IF($C264=1,SUM($C$258:$C264),"")</f>
        <v/>
      </c>
      <c r="F264" s="38">
        <v>7</v>
      </c>
      <c r="G264" s="65" t="str">
        <f>IFERROR(INDEX($A$258:$A$277,MATCH($F264,$D$258:$D$277,0)),"")</f>
        <v/>
      </c>
      <c r="H264" s="38" t="str">
        <f>IFERROR(INDEX($B$258:$B$277,MATCH($F264,$D$258:$D$277,0)),"")</f>
        <v/>
      </c>
    </row>
    <row r="265">
      <c r="A265" s="65" t="str">
        <f>Config!$B$17&amp;""</f>
        <v/>
      </c>
      <c r="B265" s="38" t="str">
        <f>IF(Config!$C$17="","JSL",Config!$C$17)</f>
        <v>JSL</v>
      </c>
      <c r="C265" s="38">
        <f>IF($A265="",0,IF(OR($B$2="Todos",AND($C$2=2,$B265=$D$2),AND($C$2=1,$A265=$D$2)),1,0))</f>
        <v>0</v>
      </c>
      <c r="D265" s="38" t="str">
        <f>IF($C265=1,SUM($C$258:$C265),"")</f>
        <v/>
      </c>
      <c r="F265" s="38">
        <v>8</v>
      </c>
      <c r="G265" s="65" t="str">
        <f>IFERROR(INDEX($A$258:$A$277,MATCH($F265,$D$258:$D$277,0)),"")</f>
        <v/>
      </c>
      <c r="H265" s="38" t="str">
        <f>IFERROR(INDEX($B$258:$B$277,MATCH($F265,$D$258:$D$277,0)),"")</f>
        <v/>
      </c>
    </row>
    <row r="266">
      <c r="A266" s="65" t="str">
        <f>Config!$B$18&amp;""</f>
        <v/>
      </c>
      <c r="B266" s="38" t="str">
        <f>IF(Config!$C$18="","JSL",Config!$C$18)</f>
        <v>JSL</v>
      </c>
      <c r="C266" s="38">
        <f>IF($A266="",0,IF(OR($B$2="Todos",AND($C$2=2,$B266=$D$2),AND($C$2=1,$A266=$D$2)),1,0))</f>
        <v>0</v>
      </c>
      <c r="D266" s="38" t="str">
        <f>IF($C266=1,SUM($C$258:$C266),"")</f>
        <v/>
      </c>
      <c r="F266" s="38">
        <v>9</v>
      </c>
      <c r="G266" s="65" t="str">
        <f>IFERROR(INDEX($A$258:$A$277,MATCH($F266,$D$258:$D$277,0)),"")</f>
        <v/>
      </c>
      <c r="H266" s="38" t="str">
        <f>IFERROR(INDEX($B$258:$B$277,MATCH($F266,$D$258:$D$277,0)),"")</f>
        <v/>
      </c>
    </row>
    <row r="267">
      <c r="A267" s="65" t="str">
        <f>Config!$B$19&amp;""</f>
        <v/>
      </c>
      <c r="B267" s="38" t="str">
        <f>IF(Config!$C$19="","JSL",Config!$C$19)</f>
        <v>JSL</v>
      </c>
      <c r="C267" s="38">
        <f>IF($A267="",0,IF(OR($B$2="Todos",AND($C$2=2,$B267=$D$2),AND($C$2=1,$A267=$D$2)),1,0))</f>
        <v>0</v>
      </c>
      <c r="D267" s="38" t="str">
        <f>IF($C267=1,SUM($C$258:$C267),"")</f>
        <v/>
      </c>
      <c r="F267" s="38">
        <v>10</v>
      </c>
      <c r="G267" s="65" t="str">
        <f>IFERROR(INDEX($A$258:$A$277,MATCH($F267,$D$258:$D$277,0)),"")</f>
        <v/>
      </c>
      <c r="H267" s="38" t="str">
        <f>IFERROR(INDEX($B$258:$B$277,MATCH($F267,$D$258:$D$277,0)),"")</f>
        <v/>
      </c>
    </row>
    <row r="268">
      <c r="A268" s="65" t="str">
        <f>Config!$B$20&amp;""</f>
        <v/>
      </c>
      <c r="B268" s="38" t="str">
        <f>IF(Config!$C$20="","JSL",Config!$C$20)</f>
        <v>JSL</v>
      </c>
      <c r="C268" s="38">
        <f>IF($A268="",0,IF(OR($B$2="Todos",AND($C$2=2,$B268=$D$2),AND($C$2=1,$A268=$D$2)),1,0))</f>
        <v>0</v>
      </c>
      <c r="D268" s="38" t="str">
        <f>IF($C268=1,SUM($C$258:$C268),"")</f>
        <v/>
      </c>
      <c r="F268" s="38">
        <v>11</v>
      </c>
      <c r="G268" s="65" t="str">
        <f>IFERROR(INDEX($A$258:$A$277,MATCH($F268,$D$258:$D$277,0)),"")</f>
        <v/>
      </c>
      <c r="H268" s="38" t="str">
        <f>IFERROR(INDEX($B$258:$B$277,MATCH($F268,$D$258:$D$277,0)),"")</f>
        <v/>
      </c>
    </row>
    <row r="269">
      <c r="A269" s="65" t="str">
        <f>Config!$B$21&amp;""</f>
        <v/>
      </c>
      <c r="B269" s="38" t="str">
        <f>IF(Config!$C$21="","JSL",Config!$C$21)</f>
        <v>JSL</v>
      </c>
      <c r="C269" s="38">
        <f>IF($A269="",0,IF(OR($B$2="Todos",AND($C$2=2,$B269=$D$2),AND($C$2=1,$A269=$D$2)),1,0))</f>
        <v>0</v>
      </c>
      <c r="D269" s="38" t="str">
        <f>IF($C269=1,SUM($C$258:$C269),"")</f>
        <v/>
      </c>
      <c r="F269" s="38">
        <v>12</v>
      </c>
      <c r="G269" s="65" t="str">
        <f>IFERROR(INDEX($A$258:$A$277,MATCH($F269,$D$258:$D$277,0)),"")</f>
        <v/>
      </c>
      <c r="H269" s="38" t="str">
        <f>IFERROR(INDEX($B$258:$B$277,MATCH($F269,$D$258:$D$277,0)),"")</f>
        <v/>
      </c>
    </row>
    <row r="270">
      <c r="A270" s="65" t="str">
        <f>Config!$B$22&amp;""</f>
        <v/>
      </c>
      <c r="B270" s="38" t="str">
        <f>IF(Config!$C$22="","JSL",Config!$C$22)</f>
        <v>JSL</v>
      </c>
      <c r="C270" s="38">
        <f>IF($A270="",0,IF(OR($B$2="Todos",AND($C$2=2,$B270=$D$2),AND($C$2=1,$A270=$D$2)),1,0))</f>
        <v>0</v>
      </c>
      <c r="D270" s="38" t="str">
        <f>IF($C270=1,SUM($C$258:$C270),"")</f>
        <v/>
      </c>
      <c r="F270" s="38">
        <v>13</v>
      </c>
      <c r="G270" s="65" t="str">
        <f>IFERROR(INDEX($A$258:$A$277,MATCH($F270,$D$258:$D$277,0)),"")</f>
        <v/>
      </c>
      <c r="H270" s="38" t="str">
        <f>IFERROR(INDEX($B$258:$B$277,MATCH($F270,$D$258:$D$277,0)),"")</f>
        <v/>
      </c>
    </row>
    <row r="271">
      <c r="A271" s="65" t="str">
        <f>Config!$B$23&amp;""</f>
        <v/>
      </c>
      <c r="B271" s="38" t="str">
        <f>IF(Config!$C$23="","JSL",Config!$C$23)</f>
        <v>JSL</v>
      </c>
      <c r="C271" s="38">
        <f>IF($A271="",0,IF(OR($B$2="Todos",AND($C$2=2,$B271=$D$2),AND($C$2=1,$A271=$D$2)),1,0))</f>
        <v>0</v>
      </c>
      <c r="D271" s="38" t="str">
        <f>IF($C271=1,SUM($C$258:$C271),"")</f>
        <v/>
      </c>
      <c r="F271" s="38">
        <v>14</v>
      </c>
      <c r="G271" s="65" t="str">
        <f>IFERROR(INDEX($A$258:$A$277,MATCH($F271,$D$258:$D$277,0)),"")</f>
        <v/>
      </c>
      <c r="H271" s="38" t="str">
        <f>IFERROR(INDEX($B$258:$B$277,MATCH($F271,$D$258:$D$277,0)),"")</f>
        <v/>
      </c>
    </row>
    <row r="272">
      <c r="A272" s="65" t="str">
        <f>Config!$B$24&amp;""</f>
        <v/>
      </c>
      <c r="B272" s="38" t="str">
        <f>IF(Config!$C$24="","JSL",Config!$C$24)</f>
        <v>JSL</v>
      </c>
      <c r="C272" s="38">
        <f>IF($A272="",0,IF(OR($B$2="Todos",AND($C$2=2,$B272=$D$2),AND($C$2=1,$A272=$D$2)),1,0))</f>
        <v>0</v>
      </c>
      <c r="D272" s="38" t="str">
        <f>IF($C272=1,SUM($C$258:$C272),"")</f>
        <v/>
      </c>
      <c r="F272" s="38">
        <v>15</v>
      </c>
      <c r="G272" s="65" t="str">
        <f>IFERROR(INDEX($A$258:$A$277,MATCH($F272,$D$258:$D$277,0)),"")</f>
        <v/>
      </c>
      <c r="H272" s="38" t="str">
        <f>IFERROR(INDEX($B$258:$B$277,MATCH($F272,$D$258:$D$277,0)),"")</f>
        <v/>
      </c>
    </row>
    <row r="273">
      <c r="A273" s="65" t="str">
        <f>Config!$B$25&amp;""</f>
        <v/>
      </c>
      <c r="B273" s="38" t="str">
        <f>IF(Config!$C$25="","JSL",Config!$C$25)</f>
        <v>JSL</v>
      </c>
      <c r="C273" s="38">
        <f>IF($A273="",0,IF(OR($B$2="Todos",AND($C$2=2,$B273=$D$2),AND($C$2=1,$A273=$D$2)),1,0))</f>
        <v>0</v>
      </c>
      <c r="D273" s="38" t="str">
        <f>IF($C273=1,SUM($C$258:$C273),"")</f>
        <v/>
      </c>
      <c r="F273" s="38">
        <v>16</v>
      </c>
      <c r="G273" s="65" t="str">
        <f>IFERROR(INDEX($A$258:$A$277,MATCH($F273,$D$258:$D$277,0)),"")</f>
        <v/>
      </c>
      <c r="H273" s="38" t="str">
        <f>IFERROR(INDEX($B$258:$B$277,MATCH($F273,$D$258:$D$277,0)),"")</f>
        <v/>
      </c>
    </row>
    <row r="274">
      <c r="A274" s="65" t="str">
        <f>Config!$B$26&amp;""</f>
        <v/>
      </c>
      <c r="B274" s="38" t="str">
        <f>IF(Config!$C$26="","JSL",Config!$C$26)</f>
        <v>JSL</v>
      </c>
      <c r="C274" s="38">
        <f>IF($A274="",0,IF(OR($B$2="Todos",AND($C$2=2,$B274=$D$2),AND($C$2=1,$A274=$D$2)),1,0))</f>
        <v>0</v>
      </c>
      <c r="D274" s="38" t="str">
        <f>IF($C274=1,SUM($C$258:$C274),"")</f>
        <v/>
      </c>
      <c r="F274" s="38">
        <v>17</v>
      </c>
      <c r="G274" s="65" t="str">
        <f>IFERROR(INDEX($A$258:$A$277,MATCH($F274,$D$258:$D$277,0)),"")</f>
        <v/>
      </c>
      <c r="H274" s="38" t="str">
        <f>IFERROR(INDEX($B$258:$B$277,MATCH($F274,$D$258:$D$277,0)),"")</f>
        <v/>
      </c>
    </row>
    <row r="275">
      <c r="A275" s="65" t="str">
        <f>Config!$B$27&amp;""</f>
        <v/>
      </c>
      <c r="B275" s="38" t="str">
        <f>IF(Config!$C$27="","JSL",Config!$C$27)</f>
        <v>JSL</v>
      </c>
      <c r="C275" s="38">
        <f>IF($A275="",0,IF(OR($B$2="Todos",AND($C$2=2,$B275=$D$2),AND($C$2=1,$A275=$D$2)),1,0))</f>
        <v>0</v>
      </c>
      <c r="D275" s="38" t="str">
        <f>IF($C275=1,SUM($C$258:$C275),"")</f>
        <v/>
      </c>
      <c r="F275" s="38">
        <v>18</v>
      </c>
      <c r="G275" s="65" t="str">
        <f>IFERROR(INDEX($A$258:$A$277,MATCH($F275,$D$258:$D$277,0)),"")</f>
        <v/>
      </c>
      <c r="H275" s="38" t="str">
        <f>IFERROR(INDEX($B$258:$B$277,MATCH($F275,$D$258:$D$277,0)),"")</f>
        <v/>
      </c>
    </row>
    <row r="276">
      <c r="A276" s="65" t="str">
        <f>Config!$B$28&amp;""</f>
        <v/>
      </c>
      <c r="B276" s="38" t="str">
        <f>IF(Config!$C$28="","JSL",Config!$C$28)</f>
        <v>JSL</v>
      </c>
      <c r="C276" s="38">
        <f>IF($A276="",0,IF(OR($B$2="Todos",AND($C$2=2,$B276=$D$2),AND($C$2=1,$A276=$D$2)),1,0))</f>
        <v>0</v>
      </c>
      <c r="D276" s="38" t="str">
        <f>IF($C276=1,SUM($C$258:$C276),"")</f>
        <v/>
      </c>
      <c r="F276" s="38">
        <v>19</v>
      </c>
      <c r="G276" s="65" t="str">
        <f>IFERROR(INDEX($A$258:$A$277,MATCH($F276,$D$258:$D$277,0)),"")</f>
        <v/>
      </c>
      <c r="H276" s="38" t="str">
        <f>IFERROR(INDEX($B$258:$B$277,MATCH($F276,$D$258:$D$277,0)),"")</f>
        <v/>
      </c>
    </row>
    <row r="277">
      <c r="A277" s="65" t="str">
        <f>Config!$B$29&amp;""</f>
        <v/>
      </c>
      <c r="B277" s="38" t="str">
        <f>IF(Config!$C$29="","JSL",Config!$C$29)</f>
        <v>JSL</v>
      </c>
      <c r="C277" s="38">
        <f>IF($A277="",0,IF(OR($B$2="Todos",AND($C$2=2,$B277=$D$2),AND($C$2=1,$A277=$D$2)),1,0))</f>
        <v>0</v>
      </c>
      <c r="D277" s="38" t="str">
        <f>IF($C277=1,SUM($C$258:$C277),"")</f>
        <v/>
      </c>
      <c r="F277" s="38">
        <v>20</v>
      </c>
      <c r="G277" s="65" t="str">
        <f>IFERROR(INDEX($A$258:$A$277,MATCH($F277,$D$258:$D$277,0)),"")</f>
        <v/>
      </c>
      <c r="H277" s="38" t="str">
        <f>IFERROR(INDEX($B$258:$B$277,MATCH($F277,$D$258:$D$277,0)),"")</f>
        <v/>
      </c>
    </row>
    <row r="279">
      <c r="A279" s="19" t="inlineStr">
        <is>
          <t xml:space="preserve">INDICADORES MEDIDOS POR CLIENTE (1 = mede) — o quadro mostra "—" quando o cliente filtrado não mede</t>
        </is>
      </c>
    </row>
    <row r="280">
      <c r="A280" s="37" t="inlineStr">
        <is>
          <t xml:space="preserve">Indicador</t>
        </is>
      </c>
      <c r="B280" s="37" t="inlineStr">
        <is>
          <t xml:space="preserve">Mede (seleção)</t>
        </is>
      </c>
      <c r="C280" s="37" t="str">
        <f>Config!$B$10&amp;""</f>
        <v>Barry Callebaut</v>
      </c>
      <c r="D280" s="37" t="str">
        <f>Config!$B$11&amp;""</f>
        <v>GM</v>
      </c>
      <c r="E280" s="37" t="str">
        <f>Config!$B$12&amp;""</f>
        <v>Mondelez</v>
      </c>
      <c r="F280" s="37" t="str">
        <f>Config!$B$13&amp;""</f>
        <v>Nestlé</v>
      </c>
      <c r="G280" s="37" t="str">
        <f>Config!$B$14&amp;""</f>
        <v>PMB</v>
      </c>
      <c r="H280" s="37" t="str">
        <f>Config!$B$15&amp;""</f>
        <v/>
      </c>
      <c r="I280" s="37" t="str">
        <f>Config!$B$16&amp;""</f>
        <v/>
      </c>
      <c r="J280" s="37" t="str">
        <f>Config!$B$17&amp;""</f>
        <v/>
      </c>
      <c r="K280" s="37" t="str">
        <f>Config!$B$18&amp;""</f>
        <v/>
      </c>
      <c r="L280" s="37" t="str">
        <f>Config!$B$19&amp;""</f>
        <v/>
      </c>
      <c r="M280" s="37" t="str">
        <f>Config!$B$20&amp;""</f>
        <v/>
      </c>
      <c r="N280" s="37" t="str">
        <f>Config!$B$21&amp;""</f>
        <v/>
      </c>
      <c r="O280" s="37" t="str">
        <f>Config!$B$22&amp;""</f>
        <v/>
      </c>
      <c r="P280" s="37" t="str">
        <f>Config!$B$23&amp;""</f>
        <v/>
      </c>
      <c r="Q280" s="37" t="str">
        <f>Config!$B$24&amp;""</f>
        <v/>
      </c>
      <c r="R280" s="37" t="str">
        <f>Config!$B$25&amp;""</f>
        <v/>
      </c>
      <c r="S280" s="37" t="str">
        <f>Config!$B$26&amp;""</f>
        <v/>
      </c>
      <c r="T280" s="37" t="str">
        <f>Config!$B$27&amp;""</f>
        <v/>
      </c>
      <c r="U280" s="37" t="str">
        <f>Config!$B$28&amp;""</f>
        <v/>
      </c>
      <c r="V280" s="37" t="str">
        <f>Config!$B$29&amp;""</f>
        <v/>
      </c>
    </row>
    <row r="281">
      <c r="A281" s="65" t="inlineStr">
        <is>
          <t xml:space="preserve">IN · Veículos Recebidos</t>
        </is>
      </c>
      <c r="B281" s="39">
        <f>IF(OR($B$2="Todos",$C$2=2),1,IFERROR(INDEX($C$281:$V$281,MATCH($D$2,$C$280:$V$280,0)),1))</f>
        <v>1</v>
      </c>
      <c r="C281" s="38">
        <f>IF(Config!$D$35&lt;&gt;"Não",1,0)</f>
        <v>1</v>
      </c>
      <c r="D281" s="38">
        <f>IF(Config!$D$36&lt;&gt;"Não",1,0)</f>
        <v>0</v>
      </c>
      <c r="E281" s="38">
        <f>IF(Config!$D$37&lt;&gt;"Não",1,0)</f>
        <v>1</v>
      </c>
      <c r="F281" s="38">
        <f>IF(Config!$D$38&lt;&gt;"Não",1,0)</f>
        <v>1</v>
      </c>
      <c r="G281" s="38">
        <f>IF(Config!$D$39&lt;&gt;"Não",1,0)</f>
        <v>1</v>
      </c>
      <c r="H281" s="38">
        <f>IF(Config!$D$40&lt;&gt;"Não",1,0)</f>
        <v>1</v>
      </c>
      <c r="I281" s="38">
        <f>IF(Config!$D$41&lt;&gt;"Não",1,0)</f>
        <v>1</v>
      </c>
      <c r="J281" s="38">
        <f>IF(Config!$D$42&lt;&gt;"Não",1,0)</f>
        <v>1</v>
      </c>
      <c r="K281" s="38">
        <f>IF(Config!$D$43&lt;&gt;"Não",1,0)</f>
        <v>1</v>
      </c>
      <c r="L281" s="38">
        <f>IF(Config!$D$44&lt;&gt;"Não",1,0)</f>
        <v>1</v>
      </c>
      <c r="M281" s="38">
        <f>IF(Config!$D$45&lt;&gt;"Não",1,0)</f>
        <v>1</v>
      </c>
      <c r="N281" s="38">
        <f>IF(Config!$D$46&lt;&gt;"Não",1,0)</f>
        <v>1</v>
      </c>
      <c r="O281" s="38">
        <f>IF(Config!$D$47&lt;&gt;"Não",1,0)</f>
        <v>1</v>
      </c>
      <c r="P281" s="38">
        <f>IF(Config!$D$48&lt;&gt;"Não",1,0)</f>
        <v>1</v>
      </c>
      <c r="Q281" s="38">
        <f>IF(Config!$D$49&lt;&gt;"Não",1,0)</f>
        <v>1</v>
      </c>
      <c r="R281" s="38">
        <f>IF(Config!$D$50&lt;&gt;"Não",1,0)</f>
        <v>1</v>
      </c>
      <c r="S281" s="38">
        <f>IF(Config!$D$51&lt;&gt;"Não",1,0)</f>
        <v>1</v>
      </c>
      <c r="T281" s="38">
        <f>IF(Config!$D$52&lt;&gt;"Não",1,0)</f>
        <v>1</v>
      </c>
      <c r="U281" s="38">
        <f>IF(Config!$D$53&lt;&gt;"Não",1,0)</f>
        <v>1</v>
      </c>
      <c r="V281" s="38">
        <f>IF(Config!$D$54&lt;&gt;"Não",1,0)</f>
        <v>1</v>
      </c>
    </row>
    <row r="282">
      <c r="A282" s="65" t="inlineStr">
        <is>
          <t xml:space="preserve">IN · Pallets Movimentados</t>
        </is>
      </c>
      <c r="B282" s="39">
        <f>IF(OR($B$2="Todos",$C$2=2),1,IFERROR(INDEX($C$282:$V$282,MATCH($D$2,$C$280:$V$280,0)),1))</f>
        <v>1</v>
      </c>
      <c r="C282" s="38">
        <f>IF(Config!$E$35&lt;&gt;"Não",1,0)</f>
        <v>1</v>
      </c>
      <c r="D282" s="38">
        <f>IF(Config!$E$36&lt;&gt;"Não",1,0)</f>
        <v>0</v>
      </c>
      <c r="E282" s="38">
        <f>IF(Config!$E$37&lt;&gt;"Não",1,0)</f>
        <v>1</v>
      </c>
      <c r="F282" s="38">
        <f>IF(Config!$E$38&lt;&gt;"Não",1,0)</f>
        <v>1</v>
      </c>
      <c r="G282" s="38">
        <f>IF(Config!$E$39&lt;&gt;"Não",1,0)</f>
        <v>1</v>
      </c>
      <c r="H282" s="38">
        <f>IF(Config!$E$40&lt;&gt;"Não",1,0)</f>
        <v>1</v>
      </c>
      <c r="I282" s="38">
        <f>IF(Config!$E$41&lt;&gt;"Não",1,0)</f>
        <v>1</v>
      </c>
      <c r="J282" s="38">
        <f>IF(Config!$E$42&lt;&gt;"Não",1,0)</f>
        <v>1</v>
      </c>
      <c r="K282" s="38">
        <f>IF(Config!$E$43&lt;&gt;"Não",1,0)</f>
        <v>1</v>
      </c>
      <c r="L282" s="38">
        <f>IF(Config!$E$44&lt;&gt;"Não",1,0)</f>
        <v>1</v>
      </c>
      <c r="M282" s="38">
        <f>IF(Config!$E$45&lt;&gt;"Não",1,0)</f>
        <v>1</v>
      </c>
      <c r="N282" s="38">
        <f>IF(Config!$E$46&lt;&gt;"Não",1,0)</f>
        <v>1</v>
      </c>
      <c r="O282" s="38">
        <f>IF(Config!$E$47&lt;&gt;"Não",1,0)</f>
        <v>1</v>
      </c>
      <c r="P282" s="38">
        <f>IF(Config!$E$48&lt;&gt;"Não",1,0)</f>
        <v>1</v>
      </c>
      <c r="Q282" s="38">
        <f>IF(Config!$E$49&lt;&gt;"Não",1,0)</f>
        <v>1</v>
      </c>
      <c r="R282" s="38">
        <f>IF(Config!$E$50&lt;&gt;"Não",1,0)</f>
        <v>1</v>
      </c>
      <c r="S282" s="38">
        <f>IF(Config!$E$51&lt;&gt;"Não",1,0)</f>
        <v>1</v>
      </c>
      <c r="T282" s="38">
        <f>IF(Config!$E$52&lt;&gt;"Não",1,0)</f>
        <v>1</v>
      </c>
      <c r="U282" s="38">
        <f>IF(Config!$E$53&lt;&gt;"Não",1,0)</f>
        <v>1</v>
      </c>
      <c r="V282" s="38">
        <f>IF(Config!$E$54&lt;&gt;"Não",1,0)</f>
        <v>1</v>
      </c>
    </row>
    <row r="283">
      <c r="A283" s="65" t="inlineStr">
        <is>
          <t xml:space="preserve">IN · Toneladas Movimentadas</t>
        </is>
      </c>
      <c r="B283" s="39">
        <f>IF(OR($B$2="Todos",$C$2=2),1,IFERROR(INDEX($C$283:$V$283,MATCH($D$2,$C$280:$V$280,0)),1))</f>
        <v>1</v>
      </c>
      <c r="C283" s="38">
        <f>IF(Config!$F$35&lt;&gt;"Não",1,0)</f>
        <v>1</v>
      </c>
      <c r="D283" s="38">
        <f>IF(Config!$F$36&lt;&gt;"Não",1,0)</f>
        <v>0</v>
      </c>
      <c r="E283" s="38">
        <f>IF(Config!$F$37&lt;&gt;"Não",1,0)</f>
        <v>1</v>
      </c>
      <c r="F283" s="38">
        <f>IF(Config!$F$38&lt;&gt;"Não",1,0)</f>
        <v>1</v>
      </c>
      <c r="G283" s="38">
        <f>IF(Config!$F$39&lt;&gt;"Não",1,0)</f>
        <v>1</v>
      </c>
      <c r="H283" s="38">
        <f>IF(Config!$F$40&lt;&gt;"Não",1,0)</f>
        <v>1</v>
      </c>
      <c r="I283" s="38">
        <f>IF(Config!$F$41&lt;&gt;"Não",1,0)</f>
        <v>1</v>
      </c>
      <c r="J283" s="38">
        <f>IF(Config!$F$42&lt;&gt;"Não",1,0)</f>
        <v>1</v>
      </c>
      <c r="K283" s="38">
        <f>IF(Config!$F$43&lt;&gt;"Não",1,0)</f>
        <v>1</v>
      </c>
      <c r="L283" s="38">
        <f>IF(Config!$F$44&lt;&gt;"Não",1,0)</f>
        <v>1</v>
      </c>
      <c r="M283" s="38">
        <f>IF(Config!$F$45&lt;&gt;"Não",1,0)</f>
        <v>1</v>
      </c>
      <c r="N283" s="38">
        <f>IF(Config!$F$46&lt;&gt;"Não",1,0)</f>
        <v>1</v>
      </c>
      <c r="O283" s="38">
        <f>IF(Config!$F$47&lt;&gt;"Não",1,0)</f>
        <v>1</v>
      </c>
      <c r="P283" s="38">
        <f>IF(Config!$F$48&lt;&gt;"Não",1,0)</f>
        <v>1</v>
      </c>
      <c r="Q283" s="38">
        <f>IF(Config!$F$49&lt;&gt;"Não",1,0)</f>
        <v>1</v>
      </c>
      <c r="R283" s="38">
        <f>IF(Config!$F$50&lt;&gt;"Não",1,0)</f>
        <v>1</v>
      </c>
      <c r="S283" s="38">
        <f>IF(Config!$F$51&lt;&gt;"Não",1,0)</f>
        <v>1</v>
      </c>
      <c r="T283" s="38">
        <f>IF(Config!$F$52&lt;&gt;"Não",1,0)</f>
        <v>1</v>
      </c>
      <c r="U283" s="38">
        <f>IF(Config!$F$53&lt;&gt;"Não",1,0)</f>
        <v>1</v>
      </c>
      <c r="V283" s="38">
        <f>IF(Config!$F$54&lt;&gt;"Não",1,0)</f>
        <v>1</v>
      </c>
    </row>
    <row r="284">
      <c r="A284" s="65" t="inlineStr">
        <is>
          <t xml:space="preserve">OUT · Veículos Expedidos</t>
        </is>
      </c>
      <c r="B284" s="39">
        <f>IF(OR($B$2="Todos",$C$2=2),1,IFERROR(INDEX($C$284:$V$284,MATCH($D$2,$C$280:$V$280,0)),1))</f>
        <v>1</v>
      </c>
      <c r="C284" s="38">
        <f>IF(Config!$G$35&lt;&gt;"Não",1,0)</f>
        <v>1</v>
      </c>
      <c r="D284" s="38">
        <f>IF(Config!$G$36&lt;&gt;"Não",1,0)</f>
        <v>1</v>
      </c>
      <c r="E284" s="38">
        <f>IF(Config!$G$37&lt;&gt;"Não",1,0)</f>
        <v>1</v>
      </c>
      <c r="F284" s="38">
        <f>IF(Config!$G$38&lt;&gt;"Não",1,0)</f>
        <v>1</v>
      </c>
      <c r="G284" s="38">
        <f>IF(Config!$G$39&lt;&gt;"Não",1,0)</f>
        <v>1</v>
      </c>
      <c r="H284" s="38">
        <f>IF(Config!$G$40&lt;&gt;"Não",1,0)</f>
        <v>1</v>
      </c>
      <c r="I284" s="38">
        <f>IF(Config!$G$41&lt;&gt;"Não",1,0)</f>
        <v>1</v>
      </c>
      <c r="J284" s="38">
        <f>IF(Config!$G$42&lt;&gt;"Não",1,0)</f>
        <v>1</v>
      </c>
      <c r="K284" s="38">
        <f>IF(Config!$G$43&lt;&gt;"Não",1,0)</f>
        <v>1</v>
      </c>
      <c r="L284" s="38">
        <f>IF(Config!$G$44&lt;&gt;"Não",1,0)</f>
        <v>1</v>
      </c>
      <c r="M284" s="38">
        <f>IF(Config!$G$45&lt;&gt;"Não",1,0)</f>
        <v>1</v>
      </c>
      <c r="N284" s="38">
        <f>IF(Config!$G$46&lt;&gt;"Não",1,0)</f>
        <v>1</v>
      </c>
      <c r="O284" s="38">
        <f>IF(Config!$G$47&lt;&gt;"Não",1,0)</f>
        <v>1</v>
      </c>
      <c r="P284" s="38">
        <f>IF(Config!$G$48&lt;&gt;"Não",1,0)</f>
        <v>1</v>
      </c>
      <c r="Q284" s="38">
        <f>IF(Config!$G$49&lt;&gt;"Não",1,0)</f>
        <v>1</v>
      </c>
      <c r="R284" s="38">
        <f>IF(Config!$G$50&lt;&gt;"Não",1,0)</f>
        <v>1</v>
      </c>
      <c r="S284" s="38">
        <f>IF(Config!$G$51&lt;&gt;"Não",1,0)</f>
        <v>1</v>
      </c>
      <c r="T284" s="38">
        <f>IF(Config!$G$52&lt;&gt;"Não",1,0)</f>
        <v>1</v>
      </c>
      <c r="U284" s="38">
        <f>IF(Config!$G$53&lt;&gt;"Não",1,0)</f>
        <v>1</v>
      </c>
      <c r="V284" s="38">
        <f>IF(Config!$G$54&lt;&gt;"Não",1,0)</f>
        <v>1</v>
      </c>
    </row>
    <row r="285">
      <c r="A285" s="65" t="inlineStr">
        <is>
          <t xml:space="preserve">OUT · Pallets Movimentados</t>
        </is>
      </c>
      <c r="B285" s="39">
        <f>IF(OR($B$2="Todos",$C$2=2),1,IFERROR(INDEX($C$285:$V$285,MATCH($D$2,$C$280:$V$280,0)),1))</f>
        <v>1</v>
      </c>
      <c r="C285" s="38">
        <f>IF(Config!$H$35&lt;&gt;"Não",1,0)</f>
        <v>1</v>
      </c>
      <c r="D285" s="38">
        <f>IF(Config!$H$36&lt;&gt;"Não",1,0)</f>
        <v>1</v>
      </c>
      <c r="E285" s="38">
        <f>IF(Config!$H$37&lt;&gt;"Não",1,0)</f>
        <v>1</v>
      </c>
      <c r="F285" s="38">
        <f>IF(Config!$H$38&lt;&gt;"Não",1,0)</f>
        <v>1</v>
      </c>
      <c r="G285" s="38">
        <f>IF(Config!$H$39&lt;&gt;"Não",1,0)</f>
        <v>1</v>
      </c>
      <c r="H285" s="38">
        <f>IF(Config!$H$40&lt;&gt;"Não",1,0)</f>
        <v>1</v>
      </c>
      <c r="I285" s="38">
        <f>IF(Config!$H$41&lt;&gt;"Não",1,0)</f>
        <v>1</v>
      </c>
      <c r="J285" s="38">
        <f>IF(Config!$H$42&lt;&gt;"Não",1,0)</f>
        <v>1</v>
      </c>
      <c r="K285" s="38">
        <f>IF(Config!$H$43&lt;&gt;"Não",1,0)</f>
        <v>1</v>
      </c>
      <c r="L285" s="38">
        <f>IF(Config!$H$44&lt;&gt;"Não",1,0)</f>
        <v>1</v>
      </c>
      <c r="M285" s="38">
        <f>IF(Config!$H$45&lt;&gt;"Não",1,0)</f>
        <v>1</v>
      </c>
      <c r="N285" s="38">
        <f>IF(Config!$H$46&lt;&gt;"Não",1,0)</f>
        <v>1</v>
      </c>
      <c r="O285" s="38">
        <f>IF(Config!$H$47&lt;&gt;"Não",1,0)</f>
        <v>1</v>
      </c>
      <c r="P285" s="38">
        <f>IF(Config!$H$48&lt;&gt;"Não",1,0)</f>
        <v>1</v>
      </c>
      <c r="Q285" s="38">
        <f>IF(Config!$H$49&lt;&gt;"Não",1,0)</f>
        <v>1</v>
      </c>
      <c r="R285" s="38">
        <f>IF(Config!$H$50&lt;&gt;"Não",1,0)</f>
        <v>1</v>
      </c>
      <c r="S285" s="38">
        <f>IF(Config!$H$51&lt;&gt;"Não",1,0)</f>
        <v>1</v>
      </c>
      <c r="T285" s="38">
        <f>IF(Config!$H$52&lt;&gt;"Não",1,0)</f>
        <v>1</v>
      </c>
      <c r="U285" s="38">
        <f>IF(Config!$H$53&lt;&gt;"Não",1,0)</f>
        <v>1</v>
      </c>
      <c r="V285" s="38">
        <f>IF(Config!$H$54&lt;&gt;"Não",1,0)</f>
        <v>1</v>
      </c>
    </row>
    <row r="286">
      <c r="A286" s="65" t="inlineStr">
        <is>
          <t xml:space="preserve">OUT · Toneladas Movimentadas</t>
        </is>
      </c>
      <c r="B286" s="39">
        <f>IF(OR($B$2="Todos",$C$2=2),1,IFERROR(INDEX($C$286:$V$286,MATCH($D$2,$C$280:$V$280,0)),1))</f>
        <v>1</v>
      </c>
      <c r="C286" s="38">
        <f>IF(Config!$I$35&lt;&gt;"Não",1,0)</f>
        <v>1</v>
      </c>
      <c r="D286" s="38">
        <f>IF(Config!$I$36&lt;&gt;"Não",1,0)</f>
        <v>1</v>
      </c>
      <c r="E286" s="38">
        <f>IF(Config!$I$37&lt;&gt;"Não",1,0)</f>
        <v>1</v>
      </c>
      <c r="F286" s="38">
        <f>IF(Config!$I$38&lt;&gt;"Não",1,0)</f>
        <v>1</v>
      </c>
      <c r="G286" s="38">
        <f>IF(Config!$I$39&lt;&gt;"Não",1,0)</f>
        <v>1</v>
      </c>
      <c r="H286" s="38">
        <f>IF(Config!$I$40&lt;&gt;"Não",1,0)</f>
        <v>1</v>
      </c>
      <c r="I286" s="38">
        <f>IF(Config!$I$41&lt;&gt;"Não",1,0)</f>
        <v>1</v>
      </c>
      <c r="J286" s="38">
        <f>IF(Config!$I$42&lt;&gt;"Não",1,0)</f>
        <v>1</v>
      </c>
      <c r="K286" s="38">
        <f>IF(Config!$I$43&lt;&gt;"Não",1,0)</f>
        <v>1</v>
      </c>
      <c r="L286" s="38">
        <f>IF(Config!$I$44&lt;&gt;"Não",1,0)</f>
        <v>1</v>
      </c>
      <c r="M286" s="38">
        <f>IF(Config!$I$45&lt;&gt;"Não",1,0)</f>
        <v>1</v>
      </c>
      <c r="N286" s="38">
        <f>IF(Config!$I$46&lt;&gt;"Não",1,0)</f>
        <v>1</v>
      </c>
      <c r="O286" s="38">
        <f>IF(Config!$I$47&lt;&gt;"Não",1,0)</f>
        <v>1</v>
      </c>
      <c r="P286" s="38">
        <f>IF(Config!$I$48&lt;&gt;"Não",1,0)</f>
        <v>1</v>
      </c>
      <c r="Q286" s="38">
        <f>IF(Config!$I$49&lt;&gt;"Não",1,0)</f>
        <v>1</v>
      </c>
      <c r="R286" s="38">
        <f>IF(Config!$I$50&lt;&gt;"Não",1,0)</f>
        <v>1</v>
      </c>
      <c r="S286" s="38">
        <f>IF(Config!$I$51&lt;&gt;"Não",1,0)</f>
        <v>1</v>
      </c>
      <c r="T286" s="38">
        <f>IF(Config!$I$52&lt;&gt;"Não",1,0)</f>
        <v>1</v>
      </c>
      <c r="U286" s="38">
        <f>IF(Config!$I$53&lt;&gt;"Não",1,0)</f>
        <v>1</v>
      </c>
      <c r="V286" s="38">
        <f>IF(Config!$I$54&lt;&gt;"Não",1,0)</f>
        <v>1</v>
      </c>
    </row>
    <row r="287">
      <c r="A287" s="65" t="inlineStr">
        <is>
          <t xml:space="preserve">NC · Incidentes</t>
        </is>
      </c>
      <c r="B287" s="39">
        <f>IF(OR($B$2="Todos",$C$2=2),1,IFERROR(INDEX($C$287:$V$287,MATCH($D$2,$C$280:$V$280,0)),1))</f>
        <v>1</v>
      </c>
      <c r="C287" s="38">
        <f>IF(Config!$J$35&lt;&gt;"Não",1,0)</f>
        <v>1</v>
      </c>
      <c r="D287" s="38">
        <f>IF(Config!$J$36&lt;&gt;"Não",1,0)</f>
        <v>1</v>
      </c>
      <c r="E287" s="38">
        <f>IF(Config!$J$37&lt;&gt;"Não",1,0)</f>
        <v>1</v>
      </c>
      <c r="F287" s="38">
        <f>IF(Config!$J$38&lt;&gt;"Não",1,0)</f>
        <v>1</v>
      </c>
      <c r="G287" s="38">
        <f>IF(Config!$J$39&lt;&gt;"Não",1,0)</f>
        <v>1</v>
      </c>
      <c r="H287" s="38">
        <f>IF(Config!$J$40&lt;&gt;"Não",1,0)</f>
        <v>1</v>
      </c>
      <c r="I287" s="38">
        <f>IF(Config!$J$41&lt;&gt;"Não",1,0)</f>
        <v>1</v>
      </c>
      <c r="J287" s="38">
        <f>IF(Config!$J$42&lt;&gt;"Não",1,0)</f>
        <v>1</v>
      </c>
      <c r="K287" s="38">
        <f>IF(Config!$J$43&lt;&gt;"Não",1,0)</f>
        <v>1</v>
      </c>
      <c r="L287" s="38">
        <f>IF(Config!$J$44&lt;&gt;"Não",1,0)</f>
        <v>1</v>
      </c>
      <c r="M287" s="38">
        <f>IF(Config!$J$45&lt;&gt;"Não",1,0)</f>
        <v>1</v>
      </c>
      <c r="N287" s="38">
        <f>IF(Config!$J$46&lt;&gt;"Não",1,0)</f>
        <v>1</v>
      </c>
      <c r="O287" s="38">
        <f>IF(Config!$J$47&lt;&gt;"Não",1,0)</f>
        <v>1</v>
      </c>
      <c r="P287" s="38">
        <f>IF(Config!$J$48&lt;&gt;"Não",1,0)</f>
        <v>1</v>
      </c>
      <c r="Q287" s="38">
        <f>IF(Config!$J$49&lt;&gt;"Não",1,0)</f>
        <v>1</v>
      </c>
      <c r="R287" s="38">
        <f>IF(Config!$J$50&lt;&gt;"Não",1,0)</f>
        <v>1</v>
      </c>
      <c r="S287" s="38">
        <f>IF(Config!$J$51&lt;&gt;"Não",1,0)</f>
        <v>1</v>
      </c>
      <c r="T287" s="38">
        <f>IF(Config!$J$52&lt;&gt;"Não",1,0)</f>
        <v>1</v>
      </c>
      <c r="U287" s="38">
        <f>IF(Config!$J$53&lt;&gt;"Não",1,0)</f>
        <v>1</v>
      </c>
      <c r="V287" s="38">
        <f>IF(Config!$J$54&lt;&gt;"Não",1,0)</f>
        <v>1</v>
      </c>
    </row>
    <row r="288">
      <c r="A288" s="65" t="inlineStr">
        <is>
          <t xml:space="preserve">NC · No show</t>
        </is>
      </c>
      <c r="B288" s="39">
        <f>IF(OR($B$2="Todos",$C$2=2),1,IFERROR(INDEX($C$288:$V$288,MATCH($D$2,$C$280:$V$280,0)),1))</f>
        <v>1</v>
      </c>
      <c r="C288" s="38">
        <f>IF(Config!$K$35&lt;&gt;"Não",1,0)</f>
        <v>1</v>
      </c>
      <c r="D288" s="38">
        <f>IF(Config!$K$36&lt;&gt;"Não",1,0)</f>
        <v>1</v>
      </c>
      <c r="E288" s="38">
        <f>IF(Config!$K$37&lt;&gt;"Não",1,0)</f>
        <v>1</v>
      </c>
      <c r="F288" s="38">
        <f>IF(Config!$K$38&lt;&gt;"Não",1,0)</f>
        <v>1</v>
      </c>
      <c r="G288" s="38">
        <f>IF(Config!$K$39&lt;&gt;"Não",1,0)</f>
        <v>1</v>
      </c>
      <c r="H288" s="38">
        <f>IF(Config!$K$40&lt;&gt;"Não",1,0)</f>
        <v>1</v>
      </c>
      <c r="I288" s="38">
        <f>IF(Config!$K$41&lt;&gt;"Não",1,0)</f>
        <v>1</v>
      </c>
      <c r="J288" s="38">
        <f>IF(Config!$K$42&lt;&gt;"Não",1,0)</f>
        <v>1</v>
      </c>
      <c r="K288" s="38">
        <f>IF(Config!$K$43&lt;&gt;"Não",1,0)</f>
        <v>1</v>
      </c>
      <c r="L288" s="38">
        <f>IF(Config!$K$44&lt;&gt;"Não",1,0)</f>
        <v>1</v>
      </c>
      <c r="M288" s="38">
        <f>IF(Config!$K$45&lt;&gt;"Não",1,0)</f>
        <v>1</v>
      </c>
      <c r="N288" s="38">
        <f>IF(Config!$K$46&lt;&gt;"Não",1,0)</f>
        <v>1</v>
      </c>
      <c r="O288" s="38">
        <f>IF(Config!$K$47&lt;&gt;"Não",1,0)</f>
        <v>1</v>
      </c>
      <c r="P288" s="38">
        <f>IF(Config!$K$48&lt;&gt;"Não",1,0)</f>
        <v>1</v>
      </c>
      <c r="Q288" s="38">
        <f>IF(Config!$K$49&lt;&gt;"Não",1,0)</f>
        <v>1</v>
      </c>
      <c r="R288" s="38">
        <f>IF(Config!$K$50&lt;&gt;"Não",1,0)</f>
        <v>1</v>
      </c>
      <c r="S288" s="38">
        <f>IF(Config!$K$51&lt;&gt;"Não",1,0)</f>
        <v>1</v>
      </c>
      <c r="T288" s="38">
        <f>IF(Config!$K$52&lt;&gt;"Não",1,0)</f>
        <v>1</v>
      </c>
      <c r="U288" s="38">
        <f>IF(Config!$K$53&lt;&gt;"Não",1,0)</f>
        <v>1</v>
      </c>
      <c r="V288" s="38">
        <f>IF(Config!$K$54&lt;&gt;"Não",1,0)</f>
        <v>1</v>
      </c>
    </row>
    <row r="289">
      <c r="A289" s="65" t="inlineStr">
        <is>
          <t xml:space="preserve">NC · Backlog</t>
        </is>
      </c>
      <c r="B289" s="39">
        <f>IF(OR($B$2="Todos",$C$2=2),1,IFERROR(INDEX($C$289:$V$289,MATCH($D$2,$C$280:$V$280,0)),1))</f>
        <v>1</v>
      </c>
      <c r="C289" s="38">
        <f>IF(Config!$L$35&lt;&gt;"Não",1,0)</f>
        <v>1</v>
      </c>
      <c r="D289" s="38">
        <f>IF(Config!$L$36&lt;&gt;"Não",1,0)</f>
        <v>1</v>
      </c>
      <c r="E289" s="38">
        <f>IF(Config!$L$37&lt;&gt;"Não",1,0)</f>
        <v>1</v>
      </c>
      <c r="F289" s="38">
        <f>IF(Config!$L$38&lt;&gt;"Não",1,0)</f>
        <v>1</v>
      </c>
      <c r="G289" s="38">
        <f>IF(Config!$L$39&lt;&gt;"Não",1,0)</f>
        <v>1</v>
      </c>
      <c r="H289" s="38">
        <f>IF(Config!$L$40&lt;&gt;"Não",1,0)</f>
        <v>1</v>
      </c>
      <c r="I289" s="38">
        <f>IF(Config!$L$41&lt;&gt;"Não",1,0)</f>
        <v>1</v>
      </c>
      <c r="J289" s="38">
        <f>IF(Config!$L$42&lt;&gt;"Não",1,0)</f>
        <v>1</v>
      </c>
      <c r="K289" s="38">
        <f>IF(Config!$L$43&lt;&gt;"Não",1,0)</f>
        <v>1</v>
      </c>
      <c r="L289" s="38">
        <f>IF(Config!$L$44&lt;&gt;"Não",1,0)</f>
        <v>1</v>
      </c>
      <c r="M289" s="38">
        <f>IF(Config!$L$45&lt;&gt;"Não",1,0)</f>
        <v>1</v>
      </c>
      <c r="N289" s="38">
        <f>IF(Config!$L$46&lt;&gt;"Não",1,0)</f>
        <v>1</v>
      </c>
      <c r="O289" s="38">
        <f>IF(Config!$L$47&lt;&gt;"Não",1,0)</f>
        <v>1</v>
      </c>
      <c r="P289" s="38">
        <f>IF(Config!$L$48&lt;&gt;"Não",1,0)</f>
        <v>1</v>
      </c>
      <c r="Q289" s="38">
        <f>IF(Config!$L$49&lt;&gt;"Não",1,0)</f>
        <v>1</v>
      </c>
      <c r="R289" s="38">
        <f>IF(Config!$L$50&lt;&gt;"Não",1,0)</f>
        <v>1</v>
      </c>
      <c r="S289" s="38">
        <f>IF(Config!$L$51&lt;&gt;"Não",1,0)</f>
        <v>1</v>
      </c>
      <c r="T289" s="38">
        <f>IF(Config!$L$52&lt;&gt;"Não",1,0)</f>
        <v>1</v>
      </c>
      <c r="U289" s="38">
        <f>IF(Config!$L$53&lt;&gt;"Não",1,0)</f>
        <v>1</v>
      </c>
      <c r="V289" s="38">
        <f>IF(Config!$L$54&lt;&gt;"Não",1,0)</f>
        <v>1</v>
      </c>
    </row>
    <row r="290">
      <c r="A290" s="65" t="inlineStr">
        <is>
          <t xml:space="preserve">OCUPAÇÃO (P.P) · Posições Disponíveis</t>
        </is>
      </c>
      <c r="B290" s="39">
        <f>IF(OR($B$2="Todos",$C$2=2),1,IFERROR(INDEX($C$290:$V$290,MATCH($D$2,$C$280:$V$280,0)),1))</f>
        <v>1</v>
      </c>
      <c r="C290" s="38">
        <f>IF(Config!$M$35&lt;&gt;"Não",1,0)</f>
        <v>1</v>
      </c>
      <c r="D290" s="38">
        <f>IF(Config!$M$36&lt;&gt;"Não",1,0)</f>
        <v>0</v>
      </c>
      <c r="E290" s="38">
        <f>IF(Config!$M$37&lt;&gt;"Não",1,0)</f>
        <v>0</v>
      </c>
      <c r="F290" s="38">
        <f>IF(Config!$M$38&lt;&gt;"Não",1,0)</f>
        <v>0</v>
      </c>
      <c r="G290" s="38">
        <f>IF(Config!$M$39&lt;&gt;"Não",1,0)</f>
        <v>1</v>
      </c>
      <c r="H290" s="38">
        <f>IF(Config!$M$40&lt;&gt;"Não",1,0)</f>
        <v>1</v>
      </c>
      <c r="I290" s="38">
        <f>IF(Config!$M$41&lt;&gt;"Não",1,0)</f>
        <v>1</v>
      </c>
      <c r="J290" s="38">
        <f>IF(Config!$M$42&lt;&gt;"Não",1,0)</f>
        <v>1</v>
      </c>
      <c r="K290" s="38">
        <f>IF(Config!$M$43&lt;&gt;"Não",1,0)</f>
        <v>1</v>
      </c>
      <c r="L290" s="38">
        <f>IF(Config!$M$44&lt;&gt;"Não",1,0)</f>
        <v>1</v>
      </c>
      <c r="M290" s="38">
        <f>IF(Config!$M$45&lt;&gt;"Não",1,0)</f>
        <v>1</v>
      </c>
      <c r="N290" s="38">
        <f>IF(Config!$M$46&lt;&gt;"Não",1,0)</f>
        <v>1</v>
      </c>
      <c r="O290" s="38">
        <f>IF(Config!$M$47&lt;&gt;"Não",1,0)</f>
        <v>1</v>
      </c>
      <c r="P290" s="38">
        <f>IF(Config!$M$48&lt;&gt;"Não",1,0)</f>
        <v>1</v>
      </c>
      <c r="Q290" s="38">
        <f>IF(Config!$M$49&lt;&gt;"Não",1,0)</f>
        <v>1</v>
      </c>
      <c r="R290" s="38">
        <f>IF(Config!$M$50&lt;&gt;"Não",1,0)</f>
        <v>1</v>
      </c>
      <c r="S290" s="38">
        <f>IF(Config!$M$51&lt;&gt;"Não",1,0)</f>
        <v>1</v>
      </c>
      <c r="T290" s="38">
        <f>IF(Config!$M$52&lt;&gt;"Não",1,0)</f>
        <v>1</v>
      </c>
      <c r="U290" s="38">
        <f>IF(Config!$M$53&lt;&gt;"Não",1,0)</f>
        <v>1</v>
      </c>
      <c r="V290" s="38">
        <f>IF(Config!$M$54&lt;&gt;"Não",1,0)</f>
        <v>1</v>
      </c>
    </row>
    <row r="291">
      <c r="A291" s="65" t="inlineStr">
        <is>
          <t xml:space="preserve">OCUPAÇÃO (P.P) · Posições Ocupadas</t>
        </is>
      </c>
      <c r="B291" s="39">
        <f>IF(OR($B$2="Todos",$C$2=2),1,IFERROR(INDEX($C$291:$V$291,MATCH($D$2,$C$280:$V$280,0)),1))</f>
        <v>1</v>
      </c>
      <c r="C291" s="38">
        <f>IF(Config!$N$35&lt;&gt;"Não",1,0)</f>
        <v>1</v>
      </c>
      <c r="D291" s="38">
        <f>IF(Config!$N$36&lt;&gt;"Não",1,0)</f>
        <v>0</v>
      </c>
      <c r="E291" s="38">
        <f>IF(Config!$N$37&lt;&gt;"Não",1,0)</f>
        <v>1</v>
      </c>
      <c r="F291" s="38">
        <f>IF(Config!$N$38&lt;&gt;"Não",1,0)</f>
        <v>1</v>
      </c>
      <c r="G291" s="38">
        <f>IF(Config!$N$39&lt;&gt;"Não",1,0)</f>
        <v>1</v>
      </c>
      <c r="H291" s="38">
        <f>IF(Config!$N$40&lt;&gt;"Não",1,0)</f>
        <v>1</v>
      </c>
      <c r="I291" s="38">
        <f>IF(Config!$N$41&lt;&gt;"Não",1,0)</f>
        <v>1</v>
      </c>
      <c r="J291" s="38">
        <f>IF(Config!$N$42&lt;&gt;"Não",1,0)</f>
        <v>1</v>
      </c>
      <c r="K291" s="38">
        <f>IF(Config!$N$43&lt;&gt;"Não",1,0)</f>
        <v>1</v>
      </c>
      <c r="L291" s="38">
        <f>IF(Config!$N$44&lt;&gt;"Não",1,0)</f>
        <v>1</v>
      </c>
      <c r="M291" s="38">
        <f>IF(Config!$N$45&lt;&gt;"Não",1,0)</f>
        <v>1</v>
      </c>
      <c r="N291" s="38">
        <f>IF(Config!$N$46&lt;&gt;"Não",1,0)</f>
        <v>1</v>
      </c>
      <c r="O291" s="38">
        <f>IF(Config!$N$47&lt;&gt;"Não",1,0)</f>
        <v>1</v>
      </c>
      <c r="P291" s="38">
        <f>IF(Config!$N$48&lt;&gt;"Não",1,0)</f>
        <v>1</v>
      </c>
      <c r="Q291" s="38">
        <f>IF(Config!$N$49&lt;&gt;"Não",1,0)</f>
        <v>1</v>
      </c>
      <c r="R291" s="38">
        <f>IF(Config!$N$50&lt;&gt;"Não",1,0)</f>
        <v>1</v>
      </c>
      <c r="S291" s="38">
        <f>IF(Config!$N$51&lt;&gt;"Não",1,0)</f>
        <v>1</v>
      </c>
      <c r="T291" s="38">
        <f>IF(Config!$N$52&lt;&gt;"Não",1,0)</f>
        <v>1</v>
      </c>
      <c r="U291" s="38">
        <f>IF(Config!$N$53&lt;&gt;"Não",1,0)</f>
        <v>1</v>
      </c>
      <c r="V291" s="38">
        <f>IF(Config!$N$54&lt;&gt;"Não",1,0)</f>
        <v>1</v>
      </c>
    </row>
    <row r="292">
      <c r="A292" s="65" t="inlineStr">
        <is>
          <t xml:space="preserve">OCUPAÇÃO (P.P) · Taxa de Ocupação</t>
        </is>
      </c>
      <c r="B292" s="39">
        <f>IF(OR($B$2="Todos",$C$2=2),1,IFERROR(INDEX($C$292:$V$292,MATCH($D$2,$C$280:$V$280,0)),1))</f>
        <v>1</v>
      </c>
      <c r="C292" s="38">
        <f>IF(AND(Config!$M$35&lt;&gt;"Não",Config!$N$35&lt;&gt;"Não"),1,0)</f>
        <v>1</v>
      </c>
      <c r="D292" s="38">
        <f>IF(AND(Config!$M$36&lt;&gt;"Não",Config!$N$36&lt;&gt;"Não"),1,0)</f>
        <v>0</v>
      </c>
      <c r="E292" s="38">
        <f>IF(AND(Config!$M$37&lt;&gt;"Não",Config!$N$37&lt;&gt;"Não"),1,0)</f>
        <v>0</v>
      </c>
      <c r="F292" s="38">
        <f>IF(AND(Config!$M$38&lt;&gt;"Não",Config!$N$38&lt;&gt;"Não"),1,0)</f>
        <v>0</v>
      </c>
      <c r="G292" s="38">
        <f>IF(AND(Config!$M$39&lt;&gt;"Não",Config!$N$39&lt;&gt;"Não"),1,0)</f>
        <v>1</v>
      </c>
      <c r="H292" s="38">
        <f>IF(AND(Config!$M$40&lt;&gt;"Não",Config!$N$40&lt;&gt;"Não"),1,0)</f>
        <v>1</v>
      </c>
      <c r="I292" s="38">
        <f>IF(AND(Config!$M$41&lt;&gt;"Não",Config!$N$41&lt;&gt;"Não"),1,0)</f>
        <v>1</v>
      </c>
      <c r="J292" s="38">
        <f>IF(AND(Config!$M$42&lt;&gt;"Não",Config!$N$42&lt;&gt;"Não"),1,0)</f>
        <v>1</v>
      </c>
      <c r="K292" s="38">
        <f>IF(AND(Config!$M$43&lt;&gt;"Não",Config!$N$43&lt;&gt;"Não"),1,0)</f>
        <v>1</v>
      </c>
      <c r="L292" s="38">
        <f>IF(AND(Config!$M$44&lt;&gt;"Não",Config!$N$44&lt;&gt;"Não"),1,0)</f>
        <v>1</v>
      </c>
      <c r="M292" s="38">
        <f>IF(AND(Config!$M$45&lt;&gt;"Não",Config!$N$45&lt;&gt;"Não"),1,0)</f>
        <v>1</v>
      </c>
      <c r="N292" s="38">
        <f>IF(AND(Config!$M$46&lt;&gt;"Não",Config!$N$46&lt;&gt;"Não"),1,0)</f>
        <v>1</v>
      </c>
      <c r="O292" s="38">
        <f>IF(AND(Config!$M$47&lt;&gt;"Não",Config!$N$47&lt;&gt;"Não"),1,0)</f>
        <v>1</v>
      </c>
      <c r="P292" s="38">
        <f>IF(AND(Config!$M$48&lt;&gt;"Não",Config!$N$48&lt;&gt;"Não"),1,0)</f>
        <v>1</v>
      </c>
      <c r="Q292" s="38">
        <f>IF(AND(Config!$M$49&lt;&gt;"Não",Config!$N$49&lt;&gt;"Não"),1,0)</f>
        <v>1</v>
      </c>
      <c r="R292" s="38">
        <f>IF(AND(Config!$M$50&lt;&gt;"Não",Config!$N$50&lt;&gt;"Não"),1,0)</f>
        <v>1</v>
      </c>
      <c r="S292" s="38">
        <f>IF(AND(Config!$M$51&lt;&gt;"Não",Config!$N$51&lt;&gt;"Não"),1,0)</f>
        <v>1</v>
      </c>
      <c r="T292" s="38">
        <f>IF(AND(Config!$M$52&lt;&gt;"Não",Config!$N$52&lt;&gt;"Não"),1,0)</f>
        <v>1</v>
      </c>
      <c r="U292" s="38">
        <f>IF(AND(Config!$M$53&lt;&gt;"Não",Config!$N$53&lt;&gt;"Não"),1,0)</f>
        <v>1</v>
      </c>
      <c r="V292" s="38">
        <f>IF(AND(Config!$M$54&lt;&gt;"Não",Config!$N$54&lt;&gt;"Não"),1,0)</f>
        <v>1</v>
      </c>
    </row>
    <row r="293">
      <c r="A293" s="65" t="inlineStr">
        <is>
          <t xml:space="preserve">GENTE · Efetivo Op.</t>
        </is>
      </c>
      <c r="B293" s="39">
        <f>IF(OR($B$2="Todos",$C$2=2),1,IFERROR(INDEX($C$293:$V$293,MATCH($D$2,$C$280:$V$280,0)),1))</f>
        <v>1</v>
      </c>
      <c r="C293" s="38">
        <f>IF(Config!$O$35&lt;&gt;"Não",1,0)</f>
        <v>1</v>
      </c>
      <c r="D293" s="38">
        <f>IF(Config!$O$36&lt;&gt;"Não",1,0)</f>
        <v>1</v>
      </c>
      <c r="E293" s="38">
        <f>IF(Config!$O$37&lt;&gt;"Não",1,0)</f>
        <v>1</v>
      </c>
      <c r="F293" s="38">
        <f>IF(Config!$O$38&lt;&gt;"Não",1,0)</f>
        <v>1</v>
      </c>
      <c r="G293" s="38">
        <f>IF(Config!$O$39&lt;&gt;"Não",1,0)</f>
        <v>1</v>
      </c>
      <c r="H293" s="38">
        <f>IF(Config!$O$40&lt;&gt;"Não",1,0)</f>
        <v>1</v>
      </c>
      <c r="I293" s="38">
        <f>IF(Config!$O$41&lt;&gt;"Não",1,0)</f>
        <v>1</v>
      </c>
      <c r="J293" s="38">
        <f>IF(Config!$O$42&lt;&gt;"Não",1,0)</f>
        <v>1</v>
      </c>
      <c r="K293" s="38">
        <f>IF(Config!$O$43&lt;&gt;"Não",1,0)</f>
        <v>1</v>
      </c>
      <c r="L293" s="38">
        <f>IF(Config!$O$44&lt;&gt;"Não",1,0)</f>
        <v>1</v>
      </c>
      <c r="M293" s="38">
        <f>IF(Config!$O$45&lt;&gt;"Não",1,0)</f>
        <v>1</v>
      </c>
      <c r="N293" s="38">
        <f>IF(Config!$O$46&lt;&gt;"Não",1,0)</f>
        <v>1</v>
      </c>
      <c r="O293" s="38">
        <f>IF(Config!$O$47&lt;&gt;"Não",1,0)</f>
        <v>1</v>
      </c>
      <c r="P293" s="38">
        <f>IF(Config!$O$48&lt;&gt;"Não",1,0)</f>
        <v>1</v>
      </c>
      <c r="Q293" s="38">
        <f>IF(Config!$O$49&lt;&gt;"Não",1,0)</f>
        <v>1</v>
      </c>
      <c r="R293" s="38">
        <f>IF(Config!$O$50&lt;&gt;"Não",1,0)</f>
        <v>1</v>
      </c>
      <c r="S293" s="38">
        <f>IF(Config!$O$51&lt;&gt;"Não",1,0)</f>
        <v>1</v>
      </c>
      <c r="T293" s="38">
        <f>IF(Config!$O$52&lt;&gt;"Não",1,0)</f>
        <v>1</v>
      </c>
      <c r="U293" s="38">
        <f>IF(Config!$O$53&lt;&gt;"Não",1,0)</f>
        <v>1</v>
      </c>
      <c r="V293" s="38">
        <f>IF(Config!$O$54&lt;&gt;"Não",1,0)</f>
        <v>1</v>
      </c>
    </row>
    <row r="294">
      <c r="A294" s="65" t="inlineStr">
        <is>
          <t xml:space="preserve">GENTE · Falta</t>
        </is>
      </c>
      <c r="B294" s="39">
        <f>IF(OR($B$2="Todos",$C$2=2),1,IFERROR(INDEX($C$294:$V$294,MATCH($D$2,$C$280:$V$280,0)),1))</f>
        <v>1</v>
      </c>
      <c r="C294" s="38">
        <f>IF(Config!$P$35&lt;&gt;"Não",1,0)</f>
        <v>1</v>
      </c>
      <c r="D294" s="38">
        <f>IF(Config!$P$36&lt;&gt;"Não",1,0)</f>
        <v>1</v>
      </c>
      <c r="E294" s="38">
        <f>IF(Config!$P$37&lt;&gt;"Não",1,0)</f>
        <v>1</v>
      </c>
      <c r="F294" s="38">
        <f>IF(Config!$P$38&lt;&gt;"Não",1,0)</f>
        <v>1</v>
      </c>
      <c r="G294" s="38">
        <f>IF(Config!$P$39&lt;&gt;"Não",1,0)</f>
        <v>1</v>
      </c>
      <c r="H294" s="38">
        <f>IF(Config!$P$40&lt;&gt;"Não",1,0)</f>
        <v>1</v>
      </c>
      <c r="I294" s="38">
        <f>IF(Config!$P$41&lt;&gt;"Não",1,0)</f>
        <v>1</v>
      </c>
      <c r="J294" s="38">
        <f>IF(Config!$P$42&lt;&gt;"Não",1,0)</f>
        <v>1</v>
      </c>
      <c r="K294" s="38">
        <f>IF(Config!$P$43&lt;&gt;"Não",1,0)</f>
        <v>1</v>
      </c>
      <c r="L294" s="38">
        <f>IF(Config!$P$44&lt;&gt;"Não",1,0)</f>
        <v>1</v>
      </c>
      <c r="M294" s="38">
        <f>IF(Config!$P$45&lt;&gt;"Não",1,0)</f>
        <v>1</v>
      </c>
      <c r="N294" s="38">
        <f>IF(Config!$P$46&lt;&gt;"Não",1,0)</f>
        <v>1</v>
      </c>
      <c r="O294" s="38">
        <f>IF(Config!$P$47&lt;&gt;"Não",1,0)</f>
        <v>1</v>
      </c>
      <c r="P294" s="38">
        <f>IF(Config!$P$48&lt;&gt;"Não",1,0)</f>
        <v>1</v>
      </c>
      <c r="Q294" s="38">
        <f>IF(Config!$P$49&lt;&gt;"Não",1,0)</f>
        <v>1</v>
      </c>
      <c r="R294" s="38">
        <f>IF(Config!$P$50&lt;&gt;"Não",1,0)</f>
        <v>1</v>
      </c>
      <c r="S294" s="38">
        <f>IF(Config!$P$51&lt;&gt;"Não",1,0)</f>
        <v>1</v>
      </c>
      <c r="T294" s="38">
        <f>IF(Config!$P$52&lt;&gt;"Não",1,0)</f>
        <v>1</v>
      </c>
      <c r="U294" s="38">
        <f>IF(Config!$P$53&lt;&gt;"Não",1,0)</f>
        <v>1</v>
      </c>
      <c r="V294" s="38">
        <f>IF(Config!$P$54&lt;&gt;"Não",1,0)</f>
        <v>1</v>
      </c>
    </row>
    <row r="295">
      <c r="A295" s="65" t="inlineStr">
        <is>
          <t xml:space="preserve">GENTE · Folga</t>
        </is>
      </c>
      <c r="B295" s="39">
        <f>IF(OR($B$2="Todos",$C$2=2),1,IFERROR(INDEX($C$295:$V$295,MATCH($D$2,$C$280:$V$280,0)),1))</f>
        <v>1</v>
      </c>
      <c r="C295" s="38">
        <f>IF(Config!$Q$35&lt;&gt;"Não",1,0)</f>
        <v>1</v>
      </c>
      <c r="D295" s="38">
        <f>IF(Config!$Q$36&lt;&gt;"Não",1,0)</f>
        <v>1</v>
      </c>
      <c r="E295" s="38">
        <f>IF(Config!$Q$37&lt;&gt;"Não",1,0)</f>
        <v>1</v>
      </c>
      <c r="F295" s="38">
        <f>IF(Config!$Q$38&lt;&gt;"Não",1,0)</f>
        <v>1</v>
      </c>
      <c r="G295" s="38">
        <f>IF(Config!$Q$39&lt;&gt;"Não",1,0)</f>
        <v>1</v>
      </c>
      <c r="H295" s="38">
        <f>IF(Config!$Q$40&lt;&gt;"Não",1,0)</f>
        <v>1</v>
      </c>
      <c r="I295" s="38">
        <f>IF(Config!$Q$41&lt;&gt;"Não",1,0)</f>
        <v>1</v>
      </c>
      <c r="J295" s="38">
        <f>IF(Config!$Q$42&lt;&gt;"Não",1,0)</f>
        <v>1</v>
      </c>
      <c r="K295" s="38">
        <f>IF(Config!$Q$43&lt;&gt;"Não",1,0)</f>
        <v>1</v>
      </c>
      <c r="L295" s="38">
        <f>IF(Config!$Q$44&lt;&gt;"Não",1,0)</f>
        <v>1</v>
      </c>
      <c r="M295" s="38">
        <f>IF(Config!$Q$45&lt;&gt;"Não",1,0)</f>
        <v>1</v>
      </c>
      <c r="N295" s="38">
        <f>IF(Config!$Q$46&lt;&gt;"Não",1,0)</f>
        <v>1</v>
      </c>
      <c r="O295" s="38">
        <f>IF(Config!$Q$47&lt;&gt;"Não",1,0)</f>
        <v>1</v>
      </c>
      <c r="P295" s="38">
        <f>IF(Config!$Q$48&lt;&gt;"Não",1,0)</f>
        <v>1</v>
      </c>
      <c r="Q295" s="38">
        <f>IF(Config!$Q$49&lt;&gt;"Não",1,0)</f>
        <v>1</v>
      </c>
      <c r="R295" s="38">
        <f>IF(Config!$Q$50&lt;&gt;"Não",1,0)</f>
        <v>1</v>
      </c>
      <c r="S295" s="38">
        <f>IF(Config!$Q$51&lt;&gt;"Não",1,0)</f>
        <v>1</v>
      </c>
      <c r="T295" s="38">
        <f>IF(Config!$Q$52&lt;&gt;"Não",1,0)</f>
        <v>1</v>
      </c>
      <c r="U295" s="38">
        <f>IF(Config!$Q$53&lt;&gt;"Não",1,0)</f>
        <v>1</v>
      </c>
      <c r="V295" s="38">
        <f>IF(Config!$Q$54&lt;&gt;"Não",1,0)</f>
        <v>1</v>
      </c>
    </row>
    <row r="296">
      <c r="A296" s="65" t="inlineStr">
        <is>
          <t xml:space="preserve">GENTE · Férias</t>
        </is>
      </c>
      <c r="B296" s="39">
        <f>IF(OR($B$2="Todos",$C$2=2),1,IFERROR(INDEX($C$296:$V$296,MATCH($D$2,$C$280:$V$280,0)),1))</f>
        <v>1</v>
      </c>
      <c r="C296" s="38">
        <f>IF(Config!$R$35&lt;&gt;"Não",1,0)</f>
        <v>1</v>
      </c>
      <c r="D296" s="38">
        <f>IF(Config!$R$36&lt;&gt;"Não",1,0)</f>
        <v>1</v>
      </c>
      <c r="E296" s="38">
        <f>IF(Config!$R$37&lt;&gt;"Não",1,0)</f>
        <v>1</v>
      </c>
      <c r="F296" s="38">
        <f>IF(Config!$R$38&lt;&gt;"Não",1,0)</f>
        <v>1</v>
      </c>
      <c r="G296" s="38">
        <f>IF(Config!$R$39&lt;&gt;"Não",1,0)</f>
        <v>1</v>
      </c>
      <c r="H296" s="38">
        <f>IF(Config!$R$40&lt;&gt;"Não",1,0)</f>
        <v>1</v>
      </c>
      <c r="I296" s="38">
        <f>IF(Config!$R$41&lt;&gt;"Não",1,0)</f>
        <v>1</v>
      </c>
      <c r="J296" s="38">
        <f>IF(Config!$R$42&lt;&gt;"Não",1,0)</f>
        <v>1</v>
      </c>
      <c r="K296" s="38">
        <f>IF(Config!$R$43&lt;&gt;"Não",1,0)</f>
        <v>1</v>
      </c>
      <c r="L296" s="38">
        <f>IF(Config!$R$44&lt;&gt;"Não",1,0)</f>
        <v>1</v>
      </c>
      <c r="M296" s="38">
        <f>IF(Config!$R$45&lt;&gt;"Não",1,0)</f>
        <v>1</v>
      </c>
      <c r="N296" s="38">
        <f>IF(Config!$R$46&lt;&gt;"Não",1,0)</f>
        <v>1</v>
      </c>
      <c r="O296" s="38">
        <f>IF(Config!$R$47&lt;&gt;"Não",1,0)</f>
        <v>1</v>
      </c>
      <c r="P296" s="38">
        <f>IF(Config!$R$48&lt;&gt;"Não",1,0)</f>
        <v>1</v>
      </c>
      <c r="Q296" s="38">
        <f>IF(Config!$R$49&lt;&gt;"Não",1,0)</f>
        <v>1</v>
      </c>
      <c r="R296" s="38">
        <f>IF(Config!$R$50&lt;&gt;"Não",1,0)</f>
        <v>1</v>
      </c>
      <c r="S296" s="38">
        <f>IF(Config!$R$51&lt;&gt;"Não",1,0)</f>
        <v>1</v>
      </c>
      <c r="T296" s="38">
        <f>IF(Config!$R$52&lt;&gt;"Não",1,0)</f>
        <v>1</v>
      </c>
      <c r="U296" s="38">
        <f>IF(Config!$R$53&lt;&gt;"Não",1,0)</f>
        <v>1</v>
      </c>
      <c r="V296" s="38">
        <f>IF(Config!$R$54&lt;&gt;"Não",1,0)</f>
        <v>1</v>
      </c>
    </row>
    <row r="297">
      <c r="A297" s="65" t="inlineStr">
        <is>
          <t xml:space="preserve">GENTE · Desligamento</t>
        </is>
      </c>
      <c r="B297" s="39">
        <f>IF(OR($B$2="Todos",$C$2=2),1,IFERROR(INDEX($C$297:$V$297,MATCH($D$2,$C$280:$V$280,0)),1))</f>
        <v>1</v>
      </c>
      <c r="C297" s="38">
        <f>IF(Config!$S$35&lt;&gt;"Não",1,0)</f>
        <v>1</v>
      </c>
      <c r="D297" s="38">
        <f>IF(Config!$S$36&lt;&gt;"Não",1,0)</f>
        <v>1</v>
      </c>
      <c r="E297" s="38">
        <f>IF(Config!$S$37&lt;&gt;"Não",1,0)</f>
        <v>1</v>
      </c>
      <c r="F297" s="38">
        <f>IF(Config!$S$38&lt;&gt;"Não",1,0)</f>
        <v>1</v>
      </c>
      <c r="G297" s="38">
        <f>IF(Config!$S$39&lt;&gt;"Não",1,0)</f>
        <v>1</v>
      </c>
      <c r="H297" s="38">
        <f>IF(Config!$S$40&lt;&gt;"Não",1,0)</f>
        <v>1</v>
      </c>
      <c r="I297" s="38">
        <f>IF(Config!$S$41&lt;&gt;"Não",1,0)</f>
        <v>1</v>
      </c>
      <c r="J297" s="38">
        <f>IF(Config!$S$42&lt;&gt;"Não",1,0)</f>
        <v>1</v>
      </c>
      <c r="K297" s="38">
        <f>IF(Config!$S$43&lt;&gt;"Não",1,0)</f>
        <v>1</v>
      </c>
      <c r="L297" s="38">
        <f>IF(Config!$S$44&lt;&gt;"Não",1,0)</f>
        <v>1</v>
      </c>
      <c r="M297" s="38">
        <f>IF(Config!$S$45&lt;&gt;"Não",1,0)</f>
        <v>1</v>
      </c>
      <c r="N297" s="38">
        <f>IF(Config!$S$46&lt;&gt;"Não",1,0)</f>
        <v>1</v>
      </c>
      <c r="O297" s="38">
        <f>IF(Config!$S$47&lt;&gt;"Não",1,0)</f>
        <v>1</v>
      </c>
      <c r="P297" s="38">
        <f>IF(Config!$S$48&lt;&gt;"Não",1,0)</f>
        <v>1</v>
      </c>
      <c r="Q297" s="38">
        <f>IF(Config!$S$49&lt;&gt;"Não",1,0)</f>
        <v>1</v>
      </c>
      <c r="R297" s="38">
        <f>IF(Config!$S$50&lt;&gt;"Não",1,0)</f>
        <v>1</v>
      </c>
      <c r="S297" s="38">
        <f>IF(Config!$S$51&lt;&gt;"Não",1,0)</f>
        <v>1</v>
      </c>
      <c r="T297" s="38">
        <f>IF(Config!$S$52&lt;&gt;"Não",1,0)</f>
        <v>1</v>
      </c>
      <c r="U297" s="38">
        <f>IF(Config!$S$53&lt;&gt;"Não",1,0)</f>
        <v>1</v>
      </c>
      <c r="V297" s="38">
        <f>IF(Config!$S$54&lt;&gt;"Não",1,0)</f>
        <v>1</v>
      </c>
    </row>
    <row r="298">
      <c r="A298" s="65" t="inlineStr">
        <is>
          <t xml:space="preserve">GENTE · Desvios Comportamentais</t>
        </is>
      </c>
      <c r="B298" s="39">
        <f>IF(OR($B$2="Todos",$C$2=2),1,IFERROR(INDEX($C$298:$V$298,MATCH($D$2,$C$280:$V$280,0)),1))</f>
        <v>1</v>
      </c>
      <c r="C298" s="38">
        <f>IF(Config!$T$35&lt;&gt;"Não",1,0)</f>
        <v>1</v>
      </c>
      <c r="D298" s="38">
        <f>IF(Config!$T$36&lt;&gt;"Não",1,0)</f>
        <v>1</v>
      </c>
      <c r="E298" s="38">
        <f>IF(Config!$T$37&lt;&gt;"Não",1,0)</f>
        <v>1</v>
      </c>
      <c r="F298" s="38">
        <f>IF(Config!$T$38&lt;&gt;"Não",1,0)</f>
        <v>1</v>
      </c>
      <c r="G298" s="38">
        <f>IF(Config!$T$39&lt;&gt;"Não",1,0)</f>
        <v>1</v>
      </c>
      <c r="H298" s="38">
        <f>IF(Config!$T$40&lt;&gt;"Não",1,0)</f>
        <v>1</v>
      </c>
      <c r="I298" s="38">
        <f>IF(Config!$T$41&lt;&gt;"Não",1,0)</f>
        <v>1</v>
      </c>
      <c r="J298" s="38">
        <f>IF(Config!$T$42&lt;&gt;"Não",1,0)</f>
        <v>1</v>
      </c>
      <c r="K298" s="38">
        <f>IF(Config!$T$43&lt;&gt;"Não",1,0)</f>
        <v>1</v>
      </c>
      <c r="L298" s="38">
        <f>IF(Config!$T$44&lt;&gt;"Não",1,0)</f>
        <v>1</v>
      </c>
      <c r="M298" s="38">
        <f>IF(Config!$T$45&lt;&gt;"Não",1,0)</f>
        <v>1</v>
      </c>
      <c r="N298" s="38">
        <f>IF(Config!$T$46&lt;&gt;"Não",1,0)</f>
        <v>1</v>
      </c>
      <c r="O298" s="38">
        <f>IF(Config!$T$47&lt;&gt;"Não",1,0)</f>
        <v>1</v>
      </c>
      <c r="P298" s="38">
        <f>IF(Config!$T$48&lt;&gt;"Não",1,0)</f>
        <v>1</v>
      </c>
      <c r="Q298" s="38">
        <f>IF(Config!$T$49&lt;&gt;"Não",1,0)</f>
        <v>1</v>
      </c>
      <c r="R298" s="38">
        <f>IF(Config!$T$50&lt;&gt;"Não",1,0)</f>
        <v>1</v>
      </c>
      <c r="S298" s="38">
        <f>IF(Config!$T$51&lt;&gt;"Não",1,0)</f>
        <v>1</v>
      </c>
      <c r="T298" s="38">
        <f>IF(Config!$T$52&lt;&gt;"Não",1,0)</f>
        <v>1</v>
      </c>
      <c r="U298" s="38">
        <f>IF(Config!$T$53&lt;&gt;"Não",1,0)</f>
        <v>1</v>
      </c>
      <c r="V298" s="38">
        <f>IF(Config!$T$54&lt;&gt;"Não",1,0)</f>
        <v>1</v>
      </c>
    </row>
    <row r="299">
      <c r="A299" s="65" t="inlineStr">
        <is>
          <t xml:space="preserve">GENTE · Acidentes CAF</t>
        </is>
      </c>
      <c r="B299" s="39">
        <f>IF(OR($B$2="Todos",$C$2=2),1,IFERROR(INDEX($C$299:$V$299,MATCH($D$2,$C$280:$V$280,0)),1))</f>
        <v>1</v>
      </c>
      <c r="C299" s="38">
        <f>IF(Config!$U$35&lt;&gt;"Não",1,0)</f>
        <v>1</v>
      </c>
      <c r="D299" s="38">
        <f>IF(Config!$U$36&lt;&gt;"Não",1,0)</f>
        <v>1</v>
      </c>
      <c r="E299" s="38">
        <f>IF(Config!$U$37&lt;&gt;"Não",1,0)</f>
        <v>1</v>
      </c>
      <c r="F299" s="38">
        <f>IF(Config!$U$38&lt;&gt;"Não",1,0)</f>
        <v>1</v>
      </c>
      <c r="G299" s="38">
        <f>IF(Config!$U$39&lt;&gt;"Não",1,0)</f>
        <v>1</v>
      </c>
      <c r="H299" s="38">
        <f>IF(Config!$U$40&lt;&gt;"Não",1,0)</f>
        <v>1</v>
      </c>
      <c r="I299" s="38">
        <f>IF(Config!$U$41&lt;&gt;"Não",1,0)</f>
        <v>1</v>
      </c>
      <c r="J299" s="38">
        <f>IF(Config!$U$42&lt;&gt;"Não",1,0)</f>
        <v>1</v>
      </c>
      <c r="K299" s="38">
        <f>IF(Config!$U$43&lt;&gt;"Não",1,0)</f>
        <v>1</v>
      </c>
      <c r="L299" s="38">
        <f>IF(Config!$U$44&lt;&gt;"Não",1,0)</f>
        <v>1</v>
      </c>
      <c r="M299" s="38">
        <f>IF(Config!$U$45&lt;&gt;"Não",1,0)</f>
        <v>1</v>
      </c>
      <c r="N299" s="38">
        <f>IF(Config!$U$46&lt;&gt;"Não",1,0)</f>
        <v>1</v>
      </c>
      <c r="O299" s="38">
        <f>IF(Config!$U$47&lt;&gt;"Não",1,0)</f>
        <v>1</v>
      </c>
      <c r="P299" s="38">
        <f>IF(Config!$U$48&lt;&gt;"Não",1,0)</f>
        <v>1</v>
      </c>
      <c r="Q299" s="38">
        <f>IF(Config!$U$49&lt;&gt;"Não",1,0)</f>
        <v>1</v>
      </c>
      <c r="R299" s="38">
        <f>IF(Config!$U$50&lt;&gt;"Não",1,0)</f>
        <v>1</v>
      </c>
      <c r="S299" s="38">
        <f>IF(Config!$U$51&lt;&gt;"Não",1,0)</f>
        <v>1</v>
      </c>
      <c r="T299" s="38">
        <f>IF(Config!$U$52&lt;&gt;"Não",1,0)</f>
        <v>1</v>
      </c>
      <c r="U299" s="38">
        <f>IF(Config!$U$53&lt;&gt;"Não",1,0)</f>
        <v>1</v>
      </c>
      <c r="V299" s="38">
        <f>IF(Config!$U$54&lt;&gt;"Não",1,0)</f>
        <v>1</v>
      </c>
    </row>
    <row r="300">
      <c r="A300" s="65" t="inlineStr">
        <is>
          <t xml:space="preserve">GENTE · Acidentes SAF</t>
        </is>
      </c>
      <c r="B300" s="39">
        <f>IF(OR($B$2="Todos",$C$2=2),1,IFERROR(INDEX($C$300:$V$300,MATCH($D$2,$C$280:$V$280,0)),1))</f>
        <v>1</v>
      </c>
      <c r="C300" s="38">
        <f>IF(Config!$V$35&lt;&gt;"Não",1,0)</f>
        <v>1</v>
      </c>
      <c r="D300" s="38">
        <f>IF(Config!$V$36&lt;&gt;"Não",1,0)</f>
        <v>1</v>
      </c>
      <c r="E300" s="38">
        <f>IF(Config!$V$37&lt;&gt;"Não",1,0)</f>
        <v>1</v>
      </c>
      <c r="F300" s="38">
        <f>IF(Config!$V$38&lt;&gt;"Não",1,0)</f>
        <v>1</v>
      </c>
      <c r="G300" s="38">
        <f>IF(Config!$V$39&lt;&gt;"Não",1,0)</f>
        <v>1</v>
      </c>
      <c r="H300" s="38">
        <f>IF(Config!$V$40&lt;&gt;"Não",1,0)</f>
        <v>1</v>
      </c>
      <c r="I300" s="38">
        <f>IF(Config!$V$41&lt;&gt;"Não",1,0)</f>
        <v>1</v>
      </c>
      <c r="J300" s="38">
        <f>IF(Config!$V$42&lt;&gt;"Não",1,0)</f>
        <v>1</v>
      </c>
      <c r="K300" s="38">
        <f>IF(Config!$V$43&lt;&gt;"Não",1,0)</f>
        <v>1</v>
      </c>
      <c r="L300" s="38">
        <f>IF(Config!$V$44&lt;&gt;"Não",1,0)</f>
        <v>1</v>
      </c>
      <c r="M300" s="38">
        <f>IF(Config!$V$45&lt;&gt;"Não",1,0)</f>
        <v>1</v>
      </c>
      <c r="N300" s="38">
        <f>IF(Config!$V$46&lt;&gt;"Não",1,0)</f>
        <v>1</v>
      </c>
      <c r="O300" s="38">
        <f>IF(Config!$V$47&lt;&gt;"Não",1,0)</f>
        <v>1</v>
      </c>
      <c r="P300" s="38">
        <f>IF(Config!$V$48&lt;&gt;"Não",1,0)</f>
        <v>1</v>
      </c>
      <c r="Q300" s="38">
        <f>IF(Config!$V$49&lt;&gt;"Não",1,0)</f>
        <v>1</v>
      </c>
      <c r="R300" s="38">
        <f>IF(Config!$V$50&lt;&gt;"Não",1,0)</f>
        <v>1</v>
      </c>
      <c r="S300" s="38">
        <f>IF(Config!$V$51&lt;&gt;"Não",1,0)</f>
        <v>1</v>
      </c>
      <c r="T300" s="38">
        <f>IF(Config!$V$52&lt;&gt;"Não",1,0)</f>
        <v>1</v>
      </c>
      <c r="U300" s="38">
        <f>IF(Config!$V$53&lt;&gt;"Não",1,0)</f>
        <v>1</v>
      </c>
      <c r="V300" s="38">
        <f>IF(Config!$V$54&lt;&gt;"Não",1,0)</f>
        <v>1</v>
      </c>
    </row>
  </sheetData>
  <sheetProtection password="CC30" sheet="1" objects="1" scenarios="1"/>
  <pageMargins left="0.25" right="0.25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Monitoramento diário de performance</dc:title>
  <dc:creator>IntraLog · Resumo operacional</dc:creator>
  <dcterms:created xsi:type="dcterms:W3CDTF">2026-10-02T14:40:48Z</dcterms:created>
</cp:coreProperties>
</file>