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workbook.xml" ContentType="application/vnd.openxmlformats-officedocument.spreadsheetml.sheet.main+xml"/>
  <Override PartName="/xl/styles.xml" ContentType="application/vnd.openxmlformats-officedocument.spreadsheetml.styles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drawings/drawing3.xml" ContentType="application/vnd.openxmlformats-officedocument.drawing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ables/table1.xml" ContentType="application/vnd.openxmlformats-officedocument.spreadsheetml.table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workbookProtection workbookPassword="CC30" lockStructure="1"/>
  <bookViews>
    <workbookView activeTab="0"/>
  </bookViews>
  <sheets>
    <sheet name="Dashboard" sheetId="1" r:id="rId1"/>
    <sheet name="Monitoramento" sheetId="2" r:id="rId2"/>
    <sheet name="Consol Mensal" sheetId="3" r:id="rId3"/>
    <sheet name="calculos" sheetId="4" state="hidden" r:id="rId4"/>
    <sheet name="BD" sheetId="5" r:id="rId5"/>
    <sheet name="Config" sheetId="6" r:id="rId6"/>
    <sheet name="calculos_quadro" sheetId="7" state="hidden" r:id="rId7"/>
  </sheets>
  <definedNames>
    <definedName name="_xlnm.Print_Area" localSheetId="0">'Dashboard'!$A$1:$Z$65</definedName>
    <definedName name="_xlnm.Print_Area" localSheetId="1">'Monitoramento'!$A$1:$AK$100</definedName>
    <definedName name="_xlnm.Print_Area" localSheetId="2">'Consol Mensal'!$A$1:$AA$51</definedName>
    <definedName name="_xlnm.Print_Area" localSheetId="5">'Config'!$A$1:$R$55</definedName>
  </definedNames>
  <calcPr calcId="191029" fullCalcOnLoad="1"/>
</workbook>
</file>

<file path=xl/styles.xml><?xml version="1.0" encoding="utf-8"?>
<styleSheet xmlns="http://schemas.openxmlformats.org/spreadsheetml/2006/main">
  <numFmts count="11">
    <numFmt numFmtId="164" formatCode="dd/mm/yyyy"/>
    <numFmt numFmtId="165" formatCode="dd/mm"/>
    <numFmt numFmtId="166" formatCode="#,##0;;"/>
    <numFmt numFmtId="167" formatCode="0.0%"/>
    <numFmt numFmtId="168" formatCode="#,##0.0"/>
    <numFmt numFmtId="169" formatCode="&quot;▲ &quot;0%&quot; vs período ant.&quot;;&quot;▼ &quot;0%&quot; vs período ant.&quot;;&quot;= período ant.&quot;"/>
    <numFmt numFmtId="170" formatCode="#,##0&quot; p.p&quot;"/>
    <numFmt numFmtId="171" formatCode="0.0%;&quot;excede &quot;0.0%"/>
    <numFmt numFmtId="172" formatCode="[$-416]d;@"/>
    <numFmt numFmtId="173" formatCode="[&gt;=1000]#,##0;#,##0.0"/>
    <numFmt numFmtId="174" formatCode="&quot;▲ &quot;0%;&quot;▼ &quot;0%;&quot;= 0%&quot;"/>
  </numFmts>
  <fonts count="33">
    <font>
      <sz val="10"/>
      <color rgb="FF000000"/>
      <name val="Calibri"/>
      <family val="2"/>
    </font>
    <font>
      <b/>
      <sz val="9"/>
      <color rgb="FF1B1B1F"/>
      <name val="Calibri"/>
      <family val="2"/>
    </font>
    <font>
      <b/>
      <sz val="9"/>
      <color rgb="FFFFFFFF"/>
      <name val="Calibri"/>
      <family val="2"/>
    </font>
    <font>
      <b/>
      <sz val="10"/>
      <color rgb="FFC00000"/>
      <name val="Calibri"/>
      <family val="2"/>
    </font>
    <font>
      <sz val="9"/>
      <color rgb="FF404040"/>
      <name val="Calibri"/>
      <family val="2"/>
    </font>
    <font>
      <b/>
      <sz val="9"/>
      <color rgb="FF000000"/>
      <name val="Calibri"/>
      <family val="2"/>
    </font>
    <font>
      <sz val="10"/>
      <color rgb="FF0000FF"/>
      <name val="Calibri"/>
      <family val="2"/>
    </font>
    <font>
      <b/>
      <sz val="11"/>
      <color rgb="FFC00000"/>
      <name val="Calibri"/>
      <family val="2"/>
    </font>
    <font>
      <b/>
      <sz val="10"/>
      <color rgb="FF000000"/>
      <name val="Calibri"/>
      <family val="2"/>
    </font>
    <font>
      <sz val="9"/>
      <color rgb="FF000000"/>
      <name val="Calibri"/>
      <family val="2"/>
    </font>
    <font>
      <i/>
      <sz val="8"/>
      <color rgb="FF7F7F7F"/>
      <name val="Calibri"/>
      <family val="2"/>
    </font>
    <font>
      <b/>
      <sz val="8"/>
      <color rgb="FFFFFFFF"/>
      <name val="Calibri"/>
      <family val="2"/>
    </font>
    <font>
      <sz val="8"/>
      <color rgb="FF000000"/>
      <name val="Calibri"/>
      <family val="2"/>
    </font>
    <font>
      <b/>
      <sz val="8"/>
      <color rgb="FF000000"/>
      <name val="Calibri"/>
      <family val="2"/>
    </font>
    <font>
      <b/>
      <sz val="14"/>
      <color rgb="FFFFFFFF"/>
      <name val="Calibri"/>
      <family val="2"/>
    </font>
    <font>
      <b/>
      <sz val="9"/>
      <color rgb="FFC00000"/>
      <name val="Calibri"/>
      <family val="2"/>
    </font>
    <font>
      <sz val="9"/>
      <color rgb="FF0000FF"/>
      <name val="Calibri"/>
      <family val="2"/>
    </font>
    <font>
      <sz val="8"/>
      <color rgb="FF9A9A9A"/>
      <name val="Calibri"/>
      <family val="2"/>
    </font>
    <font>
      <b/>
      <sz val="8"/>
      <color rgb="FF1B1B1F"/>
      <name val="Calibri"/>
      <family val="2"/>
    </font>
    <font>
      <b/>
      <sz val="16"/>
      <color rgb="FFFFFFFF"/>
      <name val="Calibri"/>
      <family val="2"/>
    </font>
    <font>
      <b/>
      <sz val="12"/>
      <color rgb="FF1B1B1F"/>
      <name val="Calibri"/>
      <family val="2"/>
    </font>
    <font>
      <b/>
      <sz val="13"/>
      <color rgb="FF000000"/>
      <name val="Calibri"/>
      <family val="2"/>
    </font>
    <font>
      <b/>
      <sz val="12"/>
      <color rgb="FF000000"/>
      <name val="Calibri"/>
      <family val="2"/>
    </font>
    <font>
      <b/>
      <sz val="11"/>
      <color rgb="FF595959"/>
      <name val="Calibri"/>
      <family val="2"/>
    </font>
    <font>
      <sz val="9"/>
      <color rgb="FF7F7F7F"/>
      <name val="Calibri"/>
      <family val="2"/>
    </font>
    <font>
      <b/>
      <sz val="11"/>
      <color rgb="FF1B1B1F"/>
      <name val="Calibri"/>
      <family val="2"/>
    </font>
    <font>
      <b/>
      <sz val="30"/>
      <color rgb="FF1B1B1F"/>
      <name val="Calibri"/>
      <family val="2"/>
    </font>
    <font>
      <b/>
      <sz val="10"/>
      <color rgb="FF595959"/>
      <name val="Calibri"/>
      <family val="2"/>
    </font>
    <font>
      <sz val="10"/>
      <color rgb="FF6E7078"/>
      <name val="Calibri"/>
      <family val="2"/>
    </font>
    <font>
      <b/>
      <sz val="10"/>
      <color rgb="FF7F7F7F"/>
      <name val="Calibri"/>
      <family val="2"/>
    </font>
    <font>
      <b/>
      <sz val="9"/>
      <color rgb="FF6E7078"/>
      <name val="Calibri"/>
      <family val="2"/>
    </font>
    <font>
      <i/>
      <sz val="8"/>
      <color rgb="FF9A9A9A"/>
      <name val="Calibri"/>
      <family val="2"/>
    </font>
    <font>
      <b/>
      <sz val="11"/>
      <color rgb="FF000000"/>
      <name val="Calibri"/>
      <family val="2"/>
    </font>
  </fonts>
  <fills count="17">
    <fill>
      <patternFill patternType="none"/>
    </fill>
    <fill>
      <patternFill patternType="gray125"/>
    </fill>
    <fill>
      <patternFill patternType="solid">
        <fgColor rgb="FFE7E6E6"/>
        <bgColor indexed="64"/>
      </patternFill>
    </fill>
    <fill>
      <patternFill patternType="solid">
        <fgColor rgb="FFE2EFD9"/>
        <bgColor indexed="64"/>
      </patternFill>
    </fill>
    <fill>
      <patternFill patternType="solid">
        <fgColor rgb="FFD9E2F3"/>
        <bgColor indexed="64"/>
      </patternFill>
    </fill>
    <fill>
      <patternFill patternType="solid">
        <fgColor rgb="FFFFF2CB"/>
        <bgColor indexed="64"/>
      </patternFill>
    </fill>
    <fill>
      <patternFill patternType="solid">
        <fgColor rgb="FFD0CECE"/>
        <bgColor indexed="64"/>
      </patternFill>
    </fill>
    <fill>
      <patternFill patternType="solid">
        <fgColor rgb="FF1B1B1F"/>
        <bgColor indexed="64"/>
      </patternFill>
    </fill>
    <fill>
      <patternFill patternType="solid">
        <fgColor rgb="FFFFF2CC"/>
        <bgColor indexed="64"/>
      </patternFill>
    </fill>
    <fill>
      <patternFill patternType="solid">
        <fgColor rgb="FFEDEDED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7F7F7F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F7F7F7"/>
        <bgColor indexed="64"/>
      </patternFill>
    </fill>
    <fill>
      <patternFill patternType="solid">
        <fgColor rgb="FFD9D9D9"/>
        <bgColor indexed="64"/>
      </patternFill>
    </fill>
    <fill>
      <patternFill patternType="solid">
        <fgColor rgb="FFDADADA"/>
        <bgColor indexed="64"/>
      </patternFill>
    </fill>
    <fill>
      <patternFill patternType="solid">
        <fgColor rgb="FFF2F2F2"/>
        <bgColor indexed="64"/>
      </patternFill>
    </fill>
  </fills>
  <borders count="54">
    <border>
      <left/>
      <right/>
      <top/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/>
      <bottom style="hair">
        <color rgb="FFBFBFBF"/>
      </bottom>
      <diagonal/>
    </border>
    <border>
      <left/>
      <right/>
      <top style="thin">
        <color rgb="FF000000"/>
      </top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/>
      <right/>
      <top/>
      <bottom style="medium">
        <color rgb="FF000000"/>
      </bottom>
      <diagonal/>
    </border>
    <border>
      <left style="medium">
        <color rgb="FFE01E1E"/>
      </left>
      <right/>
      <top style="medium">
        <color rgb="FFE01E1E"/>
      </top>
      <bottom style="medium">
        <color rgb="FFE01E1E"/>
      </bottom>
      <diagonal/>
    </border>
    <border>
      <left/>
      <right/>
      <top style="medium">
        <color rgb="FFE01E1E"/>
      </top>
      <bottom style="medium">
        <color rgb="FFE01E1E"/>
      </bottom>
      <diagonal/>
    </border>
    <border>
      <left/>
      <right style="medium">
        <color rgb="FFE01E1E"/>
      </right>
      <top style="medium">
        <color rgb="FFE01E1E"/>
      </top>
      <bottom style="medium">
        <color rgb="FFE01E1E"/>
      </bottom>
      <diagonal/>
    </border>
    <border>
      <left style="thin">
        <color rgb="FFD9D9D9"/>
      </left>
      <right/>
      <top/>
      <bottom/>
      <diagonal/>
    </border>
    <border>
      <left/>
      <right style="thin">
        <color rgb="FFD9D9D9"/>
      </right>
      <top/>
      <bottom/>
      <diagonal/>
    </border>
    <border>
      <left style="thin">
        <color rgb="FFD9D9D9"/>
      </left>
      <right/>
      <top/>
      <bottom style="thin">
        <color rgb="FFD9D9D9"/>
      </bottom>
      <diagonal/>
    </border>
    <border>
      <left/>
      <right/>
      <top/>
      <bottom style="thin">
        <color rgb="FFD9D9D9"/>
      </bottom>
      <diagonal/>
    </border>
    <border>
      <left/>
      <right style="thin">
        <color rgb="FFD9D9D9"/>
      </right>
      <top/>
      <bottom style="thin">
        <color rgb="FFD9D9D9"/>
      </bottom>
      <diagonal/>
    </border>
    <border>
      <left/>
      <right/>
      <top style="thick">
        <color rgb="FFE01E1E"/>
      </top>
      <bottom/>
      <diagonal/>
    </border>
    <border>
      <left/>
      <right/>
      <top/>
      <bottom style="hair">
        <color rgb="FFC9CBD1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dotted">
        <color rgb="FF7F7F7F"/>
      </right>
      <top style="medium">
        <color rgb="FF000000"/>
      </top>
      <bottom style="medium">
        <color rgb="FF000000"/>
      </bottom>
      <diagonal/>
    </border>
    <border>
      <left style="dotted">
        <color rgb="FF7F7F7F"/>
      </left>
      <right style="dotted">
        <color rgb="FF7F7F7F"/>
      </right>
      <top style="medium">
        <color rgb="FF000000"/>
      </top>
      <bottom style="medium">
        <color rgb="FF000000"/>
      </bottom>
      <diagonal/>
    </border>
    <border>
      <left style="dotted">
        <color rgb="FF7F7F7F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/>
      <right/>
      <top style="medium">
        <color rgb="FF000000"/>
      </top>
      <bottom/>
      <diagonal/>
    </border>
    <border>
      <left style="medium">
        <color rgb="FF000000"/>
      </left>
      <right style="dotted">
        <color rgb="FF7F7F7F"/>
      </right>
      <top style="medium">
        <color rgb="FF000000"/>
      </top>
      <bottom style="dotted">
        <color rgb="FF7F7F7F"/>
      </bottom>
      <diagonal/>
    </border>
    <border>
      <left style="dotted">
        <color rgb="FF7F7F7F"/>
      </left>
      <right style="dotted">
        <color rgb="FF7F7F7F"/>
      </right>
      <top style="medium">
        <color rgb="FF000000"/>
      </top>
      <bottom style="dotted">
        <color rgb="FF7F7F7F"/>
      </bottom>
      <diagonal/>
    </border>
    <border>
      <left style="dotted">
        <color rgb="FF7F7F7F"/>
      </left>
      <right style="medium">
        <color rgb="FF000000"/>
      </right>
      <top style="medium">
        <color rgb="FF000000"/>
      </top>
      <bottom style="dotted">
        <color rgb="FF7F7F7F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dotted">
        <color rgb="FF7F7F7F"/>
      </bottom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 style="medium">
        <color rgb="FF000000"/>
      </left>
      <right style="dotted">
        <color rgb="FF7F7F7F"/>
      </right>
      <top/>
      <bottom style="dotted">
        <color rgb="FF7F7F7F"/>
      </bottom>
      <diagonal/>
    </border>
    <border>
      <left style="dotted">
        <color rgb="FF7F7F7F"/>
      </left>
      <right style="dotted">
        <color rgb="FF7F7F7F"/>
      </right>
      <top/>
      <bottom style="dotted">
        <color rgb="FF7F7F7F"/>
      </bottom>
      <diagonal/>
    </border>
    <border>
      <left style="dotted">
        <color rgb="FF7F7F7F"/>
      </left>
      <right style="medium">
        <color rgb="FF000000"/>
      </right>
      <top/>
      <bottom style="dotted">
        <color rgb="FF7F7F7F"/>
      </bottom>
      <diagonal/>
    </border>
    <border>
      <left style="medium">
        <color rgb="FF000000"/>
      </left>
      <right style="medium">
        <color rgb="FF000000"/>
      </right>
      <top/>
      <bottom style="dotted">
        <color rgb="FF7F7F7F"/>
      </bottom>
      <diagonal/>
    </border>
    <border>
      <left style="medium">
        <color rgb="FF000000"/>
      </left>
      <right style="dotted">
        <color rgb="FF7F7F7F"/>
      </right>
      <top/>
      <bottom style="medium">
        <color rgb="FF000000"/>
      </bottom>
      <diagonal/>
    </border>
    <border>
      <left style="dotted">
        <color rgb="FF7F7F7F"/>
      </left>
      <right style="dotted">
        <color rgb="FF7F7F7F"/>
      </right>
      <top/>
      <bottom style="medium">
        <color rgb="FF000000"/>
      </bottom>
      <diagonal/>
    </border>
    <border>
      <left style="dotted">
        <color rgb="FF7F7F7F"/>
      </left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/>
      <right/>
      <top/>
      <bottom style="medium">
        <color rgb="FF595959"/>
      </bottom>
      <diagonal/>
    </border>
    <border>
      <left style="hair">
        <color rgb="FF7F7F7F"/>
      </left>
      <right/>
      <top style="medium">
        <color rgb="FF000000"/>
      </top>
      <bottom/>
      <diagonal/>
    </border>
    <border>
      <left/>
      <right/>
      <top style="hair">
        <color rgb="FF7F7F7F"/>
      </top>
      <bottom/>
      <diagonal/>
    </border>
    <border>
      <left style="hair">
        <color rgb="FF7F7F7F"/>
      </left>
      <right/>
      <top style="hair">
        <color rgb="FF7F7F7F"/>
      </top>
      <bottom/>
      <diagonal/>
    </border>
    <border>
      <left/>
      <right style="medium">
        <color rgb="FF000000"/>
      </right>
      <top style="hair">
        <color rgb="FF7F7F7F"/>
      </top>
      <bottom/>
      <diagonal/>
    </border>
    <border>
      <left/>
      <right/>
      <top style="hair">
        <color rgb="FF7F7F7F"/>
      </top>
      <bottom style="medium">
        <color rgb="FF000000"/>
      </bottom>
      <diagonal/>
    </border>
    <border>
      <left style="hair">
        <color rgb="FF7F7F7F"/>
      </left>
      <right/>
      <top style="hair">
        <color rgb="FF7F7F7F"/>
      </top>
      <bottom style="medium">
        <color rgb="FF000000"/>
      </bottom>
      <diagonal/>
    </border>
    <border>
      <left/>
      <right style="medium">
        <color rgb="FF000000"/>
      </right>
      <top style="hair">
        <color rgb="FF7F7F7F"/>
      </top>
      <bottom style="medium">
        <color rgb="FF000000"/>
      </bottom>
      <diagonal/>
    </border>
    <border>
      <left style="medium">
        <color rgb="FF000000"/>
      </left>
      <right/>
      <top/>
      <bottom/>
      <diagonal/>
    </border>
  </borders>
  <cellStyleXfs count="1">
    <xf numFmtId="0" fontId="0" fillId="0" borderId="0"/>
  </cellStyleXfs>
  <cellXfs count="512">
    <xf numFmtId="0" fontId="0" fillId="0" borderId="0" xfId="0"/>
    <xf numFmtId="0" fontId="1" fillId="2" borderId="1" xfId="0" applyNumberFormat="1" applyFont="1" applyFill="1" applyBorder="1" applyAlignment="1">
      <alignment horizontal="center" vertical="center"/>
    </xf>
    <xf numFmtId="0" fontId="1" fillId="2" borderId="2" xfId="0" applyNumberFormat="1" applyFont="1" applyFill="1" applyBorder="1" applyAlignment="1">
      <alignment horizontal="center" vertical="center"/>
    </xf>
    <xf numFmtId="0" fontId="1" fillId="3" borderId="1" xfId="0" applyNumberFormat="1" applyFont="1" applyFill="1" applyBorder="1" applyAlignment="1">
      <alignment horizontal="center" vertical="center"/>
    </xf>
    <xf numFmtId="0" fontId="1" fillId="3" borderId="3" xfId="0" applyNumberFormat="1" applyFont="1" applyFill="1" applyBorder="1" applyAlignment="1">
      <alignment horizontal="center" vertical="center"/>
    </xf>
    <xf numFmtId="0" fontId="1" fillId="3" borderId="2" xfId="0" applyNumberFormat="1" applyFont="1" applyFill="1" applyBorder="1" applyAlignment="1">
      <alignment horizontal="center" vertical="center"/>
    </xf>
    <xf numFmtId="0" fontId="1" fillId="4" borderId="1" xfId="0" applyNumberFormat="1" applyFont="1" applyFill="1" applyBorder="1" applyAlignment="1">
      <alignment horizontal="center" vertical="center"/>
    </xf>
    <xf numFmtId="0" fontId="1" fillId="4" borderId="3" xfId="0" applyNumberFormat="1" applyFont="1" applyFill="1" applyBorder="1" applyAlignment="1">
      <alignment horizontal="center" vertical="center"/>
    </xf>
    <xf numFmtId="0" fontId="1" fillId="4" borderId="2" xfId="0" applyNumberFormat="1" applyFont="1" applyFill="1" applyBorder="1" applyAlignment="1">
      <alignment horizontal="center" vertical="center"/>
    </xf>
    <xf numFmtId="0" fontId="1" fillId="5" borderId="1" xfId="0" applyNumberFormat="1" applyFont="1" applyFill="1" applyBorder="1" applyAlignment="1">
      <alignment horizontal="center" vertical="center"/>
    </xf>
    <xf numFmtId="0" fontId="1" fillId="5" borderId="3" xfId="0" applyNumberFormat="1" applyFont="1" applyFill="1" applyBorder="1" applyAlignment="1">
      <alignment horizontal="center" vertical="center"/>
    </xf>
    <xf numFmtId="0" fontId="1" fillId="5" borderId="2" xfId="0" applyNumberFormat="1" applyFont="1" applyFill="1" applyBorder="1" applyAlignment="1">
      <alignment horizontal="center" vertical="center"/>
    </xf>
    <xf numFmtId="0" fontId="1" fillId="6" borderId="1" xfId="0" applyNumberFormat="1" applyFont="1" applyFill="1" applyBorder="1" applyAlignment="1">
      <alignment horizontal="center" vertical="center"/>
    </xf>
    <xf numFmtId="0" fontId="1" fillId="6" borderId="3" xfId="0" applyNumberFormat="1" applyFont="1" applyFill="1" applyBorder="1" applyAlignment="1">
      <alignment horizontal="center" vertical="center"/>
    </xf>
    <xf numFmtId="0" fontId="1" fillId="6" borderId="2" xfId="0" applyNumberFormat="1" applyFont="1" applyFill="1" applyBorder="1" applyAlignment="1">
      <alignment horizontal="center" vertical="center"/>
    </xf>
    <xf numFmtId="0" fontId="1" fillId="2" borderId="4" xfId="0" applyNumberFormat="1" applyFont="1" applyFill="1" applyBorder="1" applyAlignment="1">
      <alignment horizontal="center" vertical="center"/>
    </xf>
    <xf numFmtId="0" fontId="2" fillId="7" borderId="0" xfId="0" applyNumberFormat="1" applyFont="1" applyFill="1" applyBorder="1" applyAlignment="1">
      <alignment horizontal="center" vertical="center" wrapText="1"/>
    </xf>
    <xf numFmtId="0" fontId="3" fillId="0" borderId="0" xfId="0" applyNumberFormat="1" applyFont="1" applyFill="1" applyBorder="1" applyAlignment="1">
      <alignment horizontal="left" vertical="center" wrapText="1"/>
    </xf>
    <xf numFmtId="0" fontId="4" fillId="0" borderId="0" xfId="0" applyNumberFormat="1" applyFont="1" applyFill="1" applyBorder="1" applyAlignment="1">
      <alignment horizontal="left" vertical="center" wrapText="1"/>
    </xf>
    <xf numFmtId="0" fontId="3" fillId="0" borderId="0" xfId="0" applyNumberFormat="1" applyFont="1" applyFill="1" applyBorder="1" applyAlignment="1">
      <alignment horizontal="left" vertical="center"/>
    </xf>
    <xf numFmtId="0" fontId="5" fillId="3" borderId="5" xfId="0" applyNumberFormat="1" applyFont="1" applyFill="1" applyBorder="1" applyAlignment="1">
      <alignment horizontal="left" vertical="center" indent="1"/>
    </xf>
    <xf numFmtId="3" fontId="6" fillId="8" borderId="5" xfId="0" applyNumberFormat="1" applyFont="1" applyFill="1" applyBorder="1" applyAlignment="1">
      <alignment horizontal="center" vertical="center"/>
    </xf>
    <xf numFmtId="0" fontId="5" fillId="4" borderId="5" xfId="0" applyNumberFormat="1" applyFont="1" applyFill="1" applyBorder="1" applyAlignment="1">
      <alignment horizontal="left" vertical="center" indent="1"/>
    </xf>
    <xf numFmtId="0" fontId="5" fillId="5" borderId="5" xfId="0" applyNumberFormat="1" applyFont="1" applyFill="1" applyBorder="1" applyAlignment="1">
      <alignment horizontal="left" vertical="center" indent="1"/>
    </xf>
    <xf numFmtId="9" fontId="6" fillId="8" borderId="5" xfId="0" applyNumberFormat="1" applyFont="1" applyFill="1" applyBorder="1" applyAlignment="1">
      <alignment horizontal="center" vertical="center"/>
    </xf>
    <xf numFmtId="0" fontId="5" fillId="6" borderId="5" xfId="0" applyNumberFormat="1" applyFont="1" applyFill="1" applyBorder="1" applyAlignment="1">
      <alignment horizontal="left" vertical="center" indent="1"/>
    </xf>
    <xf numFmtId="0" fontId="7" fillId="0" borderId="0" xfId="0" applyNumberFormat="1" applyFont="1" applyFill="1" applyBorder="1" applyAlignment="1">
      <alignment horizontal="left" vertical="center"/>
    </xf>
    <xf numFmtId="0" fontId="8" fillId="0" borderId="0" xfId="0" applyNumberFormat="1" applyFont="1" applyFill="1" applyBorder="1" applyAlignment="1">
      <alignment horizontal="left" vertical="center"/>
    </xf>
    <xf numFmtId="0" fontId="9" fillId="0" borderId="0" xfId="0" applyNumberFormat="1" applyFont="1" applyFill="1" applyBorder="1" applyAlignment="1">
      <alignment horizontal="center" vertical="center"/>
    </xf>
    <xf numFmtId="0" fontId="9" fillId="0" borderId="0" xfId="0" applyNumberFormat="1" applyFont="1" applyFill="1" applyBorder="1" applyAlignment="1">
      <alignment horizontal="left" vertical="center"/>
    </xf>
    <xf numFmtId="3" fontId="8" fillId="0" borderId="0" xfId="0" applyNumberFormat="1" applyFont="1" applyFill="1" applyBorder="1" applyAlignment="1">
      <alignment horizontal="left" vertical="center"/>
    </xf>
    <xf numFmtId="0" fontId="10" fillId="0" borderId="0" xfId="0" applyNumberFormat="1" applyFont="1" applyFill="1" applyBorder="1" applyAlignment="1">
      <alignment horizontal="left" vertical="center"/>
    </xf>
    <xf numFmtId="3" fontId="9" fillId="0" borderId="0" xfId="0" applyNumberFormat="1" applyFont="1" applyFill="1" applyBorder="1" applyAlignment="1">
      <alignment horizontal="center" vertical="center"/>
    </xf>
    <xf numFmtId="9" fontId="6" fillId="8" borderId="0" xfId="0" applyNumberFormat="1" applyFont="1" applyFill="1" applyBorder="1" applyAlignment="1">
      <alignment horizontal="left" vertical="center"/>
    </xf>
    <xf numFmtId="164" fontId="9" fillId="0" borderId="0" xfId="0" applyNumberFormat="1" applyFont="1" applyFill="1" applyBorder="1" applyAlignment="1">
      <alignment horizontal="center" vertical="center"/>
    </xf>
    <xf numFmtId="0" fontId="0" fillId="0" borderId="0" xfId="0" applyNumberFormat="1" applyFont="1" applyFill="1" applyBorder="1" applyAlignment="1">
      <alignment horizontal="left" vertical="center"/>
    </xf>
    <xf numFmtId="1" fontId="8" fillId="0" borderId="0" xfId="0" applyNumberFormat="1" applyFont="1" applyFill="1" applyBorder="1" applyAlignment="1">
      <alignment horizontal="left" vertical="center"/>
    </xf>
    <xf numFmtId="0" fontId="11" fillId="7" borderId="0" xfId="0" applyNumberFormat="1" applyFont="1" applyFill="1" applyBorder="1" applyAlignment="1">
      <alignment horizontal="center" vertical="center" wrapText="1"/>
    </xf>
    <xf numFmtId="0" fontId="5" fillId="0" borderId="0" xfId="0" applyNumberFormat="1" applyFont="1" applyFill="1" applyBorder="1" applyAlignment="1">
      <alignment horizontal="left" vertical="center"/>
    </xf>
    <xf numFmtId="3" fontId="6" fillId="8" borderId="0" xfId="0" applyNumberFormat="1" applyFont="1" applyFill="1" applyBorder="1" applyAlignment="1">
      <alignment horizontal="left" vertical="center"/>
    </xf>
    <xf numFmtId="0" fontId="12" fillId="0" borderId="0" xfId="0" applyNumberFormat="1" applyFont="1" applyFill="1" applyBorder="1" applyAlignment="1">
      <alignment horizontal="center" vertical="center"/>
    </xf>
    <xf numFmtId="165" fontId="12" fillId="0" borderId="0" xfId="0" applyNumberFormat="1" applyFont="1" applyFill="1" applyBorder="1" applyAlignment="1">
      <alignment horizontal="center" vertical="center"/>
    </xf>
    <xf numFmtId="3" fontId="12" fillId="0" borderId="0" xfId="0" applyNumberFormat="1" applyFont="1" applyFill="1" applyBorder="1" applyAlignment="1">
      <alignment horizontal="center" vertical="center"/>
    </xf>
    <xf numFmtId="0" fontId="13" fillId="0" borderId="0" xfId="0" applyNumberFormat="1" applyFont="1" applyFill="1" applyBorder="1" applyAlignment="1">
      <alignment horizontal="left" vertical="center"/>
    </xf>
    <xf numFmtId="3" fontId="13" fillId="0" borderId="0" xfId="0" applyNumberFormat="1" applyFont="1" applyFill="1" applyBorder="1" applyAlignment="1">
      <alignment horizontal="center" vertical="center"/>
    </xf>
    <xf numFmtId="165" fontId="9" fillId="0" borderId="0" xfId="0" applyNumberFormat="1" applyFont="1" applyFill="1" applyBorder="1" applyAlignment="1">
      <alignment horizontal="center" vertical="center"/>
    </xf>
    <xf numFmtId="4" fontId="9" fillId="0" borderId="0" xfId="0" applyNumberFormat="1" applyFont="1" applyFill="1" applyBorder="1" applyAlignment="1">
      <alignment horizontal="center" vertical="center"/>
    </xf>
    <xf numFmtId="166" fontId="9" fillId="0" borderId="0" xfId="0" applyNumberFormat="1" applyFont="1" applyFill="1" applyBorder="1" applyAlignment="1">
      <alignment horizontal="center" vertical="center"/>
    </xf>
    <xf numFmtId="167" fontId="9" fillId="0" borderId="0" xfId="0" applyNumberFormat="1" applyFont="1" applyFill="1" applyBorder="1" applyAlignment="1">
      <alignment horizontal="center" vertical="center"/>
    </xf>
    <xf numFmtId="9" fontId="9" fillId="0" borderId="0" xfId="0" applyNumberFormat="1" applyFont="1" applyFill="1" applyBorder="1" applyAlignment="1">
      <alignment horizontal="center" vertical="center"/>
    </xf>
    <xf numFmtId="0" fontId="5" fillId="9" borderId="6" xfId="0" applyNumberFormat="1" applyFont="1" applyFill="1" applyBorder="1" applyAlignment="1">
      <alignment horizontal="left" vertical="center"/>
    </xf>
    <xf numFmtId="0" fontId="5" fillId="9" borderId="0" xfId="0" applyNumberFormat="1" applyFont="1" applyFill="1" applyBorder="1" applyAlignment="1">
      <alignment horizontal="left" vertical="center"/>
    </xf>
    <xf numFmtId="3" fontId="5" fillId="9" borderId="6" xfId="0" applyNumberFormat="1" applyFont="1" applyFill="1" applyBorder="1" applyAlignment="1">
      <alignment horizontal="center" vertical="center"/>
    </xf>
    <xf numFmtId="168" fontId="9" fillId="9" borderId="0" xfId="0" applyNumberFormat="1" applyFont="1" applyFill="1" applyBorder="1" applyAlignment="1">
      <alignment horizontal="center" vertical="center"/>
    </xf>
    <xf numFmtId="3" fontId="9" fillId="9" borderId="0" xfId="0" applyNumberFormat="1" applyFont="1" applyFill="1" applyBorder="1" applyAlignment="1">
      <alignment horizontal="center" vertical="center"/>
    </xf>
    <xf numFmtId="167" fontId="9" fillId="9" borderId="0" xfId="0" applyNumberFormat="1" applyFont="1" applyFill="1" applyBorder="1" applyAlignment="1">
      <alignment horizontal="center" vertical="center"/>
    </xf>
    <xf numFmtId="9" fontId="9" fillId="9" borderId="0" xfId="0" applyNumberFormat="1" applyFont="1" applyFill="1" applyBorder="1" applyAlignment="1">
      <alignment horizontal="center" vertical="center"/>
    </xf>
    <xf numFmtId="0" fontId="9" fillId="9" borderId="0" xfId="0" applyNumberFormat="1" applyFont="1" applyFill="1" applyBorder="1" applyAlignment="1">
      <alignment horizontal="center" vertical="center"/>
    </xf>
    <xf numFmtId="168" fontId="5" fillId="9" borderId="6" xfId="0" applyNumberFormat="1" applyFont="1" applyFill="1" applyBorder="1" applyAlignment="1">
      <alignment horizontal="center" vertical="center"/>
    </xf>
    <xf numFmtId="167" fontId="5" fillId="9" borderId="6" xfId="0" applyNumberFormat="1" applyFont="1" applyFill="1" applyBorder="1" applyAlignment="1">
      <alignment horizontal="center" vertical="center"/>
    </xf>
    <xf numFmtId="168" fontId="9" fillId="0" borderId="0" xfId="0" applyNumberFormat="1" applyFont="1" applyFill="1" applyBorder="1" applyAlignment="1">
      <alignment horizontal="center" vertical="center"/>
    </xf>
    <xf numFmtId="3" fontId="5" fillId="0" borderId="0" xfId="0" applyNumberFormat="1" applyFont="1" applyFill="1" applyBorder="1" applyAlignment="1">
      <alignment horizontal="center" vertical="center"/>
    </xf>
    <xf numFmtId="168" fontId="5" fillId="0" borderId="0" xfId="0" applyNumberFormat="1" applyFont="1" applyFill="1" applyBorder="1" applyAlignment="1">
      <alignment horizontal="center" vertical="center"/>
    </xf>
    <xf numFmtId="9" fontId="5" fillId="0" borderId="0" xfId="0" applyNumberFormat="1" applyFont="1" applyFill="1" applyBorder="1" applyAlignment="1">
      <alignment horizontal="center" vertical="center"/>
    </xf>
    <xf numFmtId="0" fontId="12" fillId="0" borderId="0" xfId="0" applyNumberFormat="1" applyFont="1" applyFill="1" applyBorder="1" applyAlignment="1">
      <alignment horizontal="left" vertical="center"/>
    </xf>
    <xf numFmtId="0" fontId="14" fillId="10" borderId="7" xfId="0" applyNumberFormat="1" applyFont="1" applyFill="1" applyBorder="1" applyAlignment="1">
      <alignment horizontal="left" vertical="center" indent="1"/>
    </xf>
    <xf numFmtId="0" fontId="14" fillId="10" borderId="8" xfId="0" applyNumberFormat="1" applyFont="1" applyFill="1" applyBorder="1" applyAlignment="1">
      <alignment horizontal="left" vertical="center" indent="1"/>
    </xf>
    <xf numFmtId="0" fontId="14" fillId="10" borderId="9" xfId="0" applyNumberFormat="1" applyFont="1" applyFill="1" applyBorder="1" applyAlignment="1">
      <alignment horizontal="left" vertical="center" indent="1"/>
    </xf>
    <xf numFmtId="0" fontId="4" fillId="0" borderId="0" xfId="0" applyNumberFormat="1" applyFont="1" applyFill="1" applyBorder="1" applyAlignment="1">
      <alignment horizontal="left" vertical="top" wrapText="1"/>
    </xf>
    <xf numFmtId="0" fontId="2" fillId="11" borderId="0" xfId="0" applyNumberFormat="1" applyFont="1" applyFill="1" applyBorder="1" applyAlignment="1">
      <alignment horizontal="center" vertical="center" wrapText="1"/>
    </xf>
    <xf numFmtId="0" fontId="15" fillId="0" borderId="0" xfId="0" applyNumberFormat="1" applyFont="1" applyFill="1" applyBorder="1" applyAlignment="1">
      <alignment horizontal="left" vertical="center"/>
    </xf>
    <xf numFmtId="0" fontId="16" fillId="8" borderId="0" xfId="0" applyNumberFormat="1" applyFont="1" applyFill="1" applyBorder="1" applyAlignment="1">
      <alignment horizontal="left" vertical="center"/>
    </xf>
    <xf numFmtId="0" fontId="16" fillId="8" borderId="0" xfId="0" applyNumberFormat="1" applyFont="1" applyFill="1" applyBorder="1" applyAlignment="1">
      <alignment horizontal="center" vertical="center"/>
    </xf>
    <xf numFmtId="0" fontId="17" fillId="0" borderId="0" xfId="0" applyNumberFormat="1" applyFont="1" applyFill="1" applyBorder="1" applyAlignment="1">
      <alignment horizontal="center" vertical="center"/>
    </xf>
    <xf numFmtId="0" fontId="8" fillId="12" borderId="5" xfId="0" applyNumberFormat="1" applyFont="1" applyFill="1" applyBorder="1" applyAlignment="1">
      <alignment horizontal="left" vertical="center"/>
    </xf>
    <xf numFmtId="0" fontId="16" fillId="8" borderId="5" xfId="0" applyNumberFormat="1" applyFont="1" applyFill="1" applyBorder="1" applyAlignment="1">
      <alignment horizontal="left" vertical="center"/>
    </xf>
    <xf numFmtId="0" fontId="8" fillId="13" borderId="5" xfId="0" applyNumberFormat="1" applyFont="1" applyFill="1" applyBorder="1" applyAlignment="1">
      <alignment horizontal="left" vertical="center"/>
    </xf>
    <xf numFmtId="0" fontId="2" fillId="7" borderId="7" xfId="0" applyNumberFormat="1" applyFont="1" applyFill="1" applyBorder="1" applyAlignment="1">
      <alignment horizontal="center" vertical="center" wrapText="1"/>
    </xf>
    <xf numFmtId="0" fontId="2" fillId="7" borderId="8" xfId="0" applyNumberFormat="1" applyFont="1" applyFill="1" applyBorder="1" applyAlignment="1">
      <alignment horizontal="center" vertical="center" wrapText="1"/>
    </xf>
    <xf numFmtId="0" fontId="2" fillId="7" borderId="9" xfId="0" applyNumberFormat="1" applyFont="1" applyFill="1" applyBorder="1" applyAlignment="1">
      <alignment horizontal="center" vertical="center" wrapText="1"/>
    </xf>
    <xf numFmtId="0" fontId="9" fillId="0" borderId="5" xfId="0" applyNumberFormat="1" applyFont="1" applyFill="1" applyBorder="1" applyAlignment="1">
      <alignment horizontal="left" vertical="center"/>
    </xf>
    <xf numFmtId="0" fontId="18" fillId="3" borderId="0" xfId="0" applyNumberFormat="1" applyFont="1" applyFill="1" applyBorder="1" applyAlignment="1">
      <alignment horizontal="center" vertical="center" wrapText="1"/>
    </xf>
    <xf numFmtId="0" fontId="18" fillId="4" borderId="0" xfId="0" applyNumberFormat="1" applyFont="1" applyFill="1" applyBorder="1" applyAlignment="1">
      <alignment horizontal="center" vertical="center" wrapText="1"/>
    </xf>
    <xf numFmtId="0" fontId="18" fillId="5" borderId="0" xfId="0" applyNumberFormat="1" applyFont="1" applyFill="1" applyBorder="1" applyAlignment="1">
      <alignment horizontal="center" vertical="center" wrapText="1"/>
    </xf>
    <xf numFmtId="0" fontId="18" fillId="6" borderId="0" xfId="0" applyNumberFormat="1" applyFont="1" applyFill="1" applyBorder="1" applyAlignment="1">
      <alignment horizontal="center" vertical="center" wrapText="1"/>
    </xf>
    <xf numFmtId="0" fontId="5" fillId="0" borderId="5" xfId="0" applyNumberFormat="1" applyFont="1" applyFill="1" applyBorder="1" applyAlignment="1">
      <alignment horizontal="left" vertical="center"/>
    </xf>
    <xf numFmtId="0" fontId="16" fillId="8" borderId="5" xfId="0" applyNumberFormat="1" applyFont="1" applyFill="1" applyBorder="1" applyAlignment="1">
      <alignment horizontal="center" vertical="center"/>
    </xf>
    <xf numFmtId="1" fontId="13" fillId="0" borderId="0" xfId="0" applyNumberFormat="1" applyFont="1" applyFill="1" applyBorder="1" applyAlignment="1">
      <alignment horizontal="center" vertical="center"/>
    </xf>
    <xf numFmtId="0" fontId="13" fillId="8" borderId="0" xfId="0" applyNumberFormat="1" applyFont="1" applyFill="1" applyBorder="1" applyAlignment="1">
      <alignment horizontal="left" vertical="center"/>
    </xf>
    <xf numFmtId="0" fontId="13" fillId="0" borderId="0" xfId="0" applyNumberFormat="1" applyFont="1" applyFill="1" applyBorder="1" applyAlignment="1">
      <alignment horizontal="center" vertical="center"/>
    </xf>
    <xf numFmtId="0" fontId="0" fillId="14" borderId="10" xfId="0" applyNumberFormat="1" applyFont="1" applyFill="1" applyBorder="1" applyAlignment="1">
      <alignment horizontal="center" vertical="center"/>
    </xf>
    <xf numFmtId="0" fontId="0" fillId="10" borderId="10" xfId="0" applyNumberFormat="1" applyFont="1" applyFill="1" applyBorder="1" applyAlignment="1">
      <alignment horizontal="center" vertical="center"/>
    </xf>
    <xf numFmtId="0" fontId="19" fillId="10" borderId="10" xfId="0" applyNumberFormat="1" applyFont="1" applyFill="1" applyBorder="1" applyAlignment="1">
      <alignment horizontal="center" vertical="center"/>
    </xf>
    <xf numFmtId="0" fontId="20" fillId="0" borderId="0" xfId="0" applyNumberFormat="1" applyFont="1" applyFill="1" applyBorder="1" applyAlignment="1">
      <alignment horizontal="right" vertical="center" indent="1"/>
    </xf>
    <xf numFmtId="0" fontId="21" fillId="8" borderId="11" xfId="0" applyNumberFormat="1" applyFont="1" applyFill="1" applyBorder="1" applyAlignment="1" applyProtection="1">
      <alignment horizontal="center" vertical="center"/>
      <protection locked="0"/>
    </xf>
    <xf numFmtId="0" fontId="21" fillId="8" borderId="12" xfId="0" applyNumberFormat="1" applyFont="1" applyFill="1" applyBorder="1" applyAlignment="1" applyProtection="1">
      <alignment horizontal="center" vertical="center"/>
      <protection locked="0"/>
    </xf>
    <xf numFmtId="0" fontId="21" fillId="8" borderId="13" xfId="0" applyNumberFormat="1" applyFont="1" applyFill="1" applyBorder="1" applyAlignment="1" applyProtection="1">
      <alignment horizontal="center" vertical="center"/>
      <protection locked="0"/>
    </xf>
    <xf numFmtId="164" fontId="22" fillId="8" borderId="11" xfId="0" applyNumberFormat="1" applyFont="1" applyFill="1" applyBorder="1" applyAlignment="1" applyProtection="1">
      <alignment horizontal="center" vertical="center"/>
      <protection locked="0"/>
    </xf>
    <xf numFmtId="164" fontId="22" fillId="8" borderId="12" xfId="0" applyNumberFormat="1" applyFont="1" applyFill="1" applyBorder="1" applyAlignment="1" applyProtection="1">
      <alignment horizontal="center" vertical="center"/>
      <protection locked="0"/>
    </xf>
    <xf numFmtId="164" fontId="22" fillId="8" borderId="13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NumberFormat="1" applyFont="1" applyFill="1" applyBorder="1" applyAlignment="1">
      <alignment horizontal="center" vertical="center"/>
    </xf>
    <xf numFmtId="0" fontId="24" fillId="0" borderId="0" xfId="0" applyNumberFormat="1" applyFont="1" applyFill="1" applyBorder="1" applyAlignment="1">
      <alignment horizontal="right" vertical="center"/>
    </xf>
    <xf numFmtId="0" fontId="0" fillId="13" borderId="14" xfId="0" applyNumberFormat="1" applyFont="1" applyFill="1" applyBorder="1" applyAlignment="1">
      <alignment horizontal="center" vertical="center"/>
    </xf>
    <xf numFmtId="0" fontId="0" fillId="13" borderId="0" xfId="0" applyNumberFormat="1" applyFont="1" applyFill="1" applyBorder="1" applyAlignment="1">
      <alignment horizontal="center" vertical="center"/>
    </xf>
    <xf numFmtId="0" fontId="0" fillId="13" borderId="15" xfId="0" applyNumberFormat="1" applyFont="1" applyFill="1" applyBorder="1" applyAlignment="1">
      <alignment horizontal="center" vertical="center"/>
    </xf>
    <xf numFmtId="0" fontId="0" fillId="13" borderId="16" xfId="0" applyNumberFormat="1" applyFont="1" applyFill="1" applyBorder="1" applyAlignment="1">
      <alignment horizontal="center" vertical="center"/>
    </xf>
    <xf numFmtId="0" fontId="0" fillId="13" borderId="17" xfId="0" applyNumberFormat="1" applyFont="1" applyFill="1" applyBorder="1" applyAlignment="1">
      <alignment horizontal="center" vertical="center"/>
    </xf>
    <xf numFmtId="0" fontId="0" fillId="13" borderId="18" xfId="0" applyNumberFormat="1" applyFont="1" applyFill="1" applyBorder="1" applyAlignment="1">
      <alignment horizontal="center" vertical="center"/>
    </xf>
    <xf numFmtId="0" fontId="0" fillId="3" borderId="19" xfId="0" applyNumberFormat="1" applyFont="1" applyFill="1" applyBorder="1" applyAlignment="1">
      <alignment horizontal="center" vertical="center"/>
    </xf>
    <xf numFmtId="0" fontId="25" fillId="3" borderId="19" xfId="0" applyNumberFormat="1" applyFont="1" applyFill="1" applyBorder="1" applyAlignment="1">
      <alignment horizontal="center" vertical="center" wrapText="1"/>
    </xf>
    <xf numFmtId="3" fontId="26" fillId="13" borderId="0" xfId="0" applyNumberFormat="1" applyFont="1" applyFill="1" applyBorder="1" applyAlignment="1">
      <alignment horizontal="center" vertical="center"/>
    </xf>
    <xf numFmtId="0" fontId="27" fillId="13" borderId="0" xfId="0" applyNumberFormat="1" applyFont="1" applyFill="1" applyBorder="1" applyAlignment="1">
      <alignment horizontal="center" vertical="center"/>
    </xf>
    <xf numFmtId="0" fontId="28" fillId="13" borderId="0" xfId="0" applyNumberFormat="1" applyFont="1" applyFill="1" applyBorder="1" applyAlignment="1">
      <alignment horizontal="center" vertical="center" wrapText="1"/>
    </xf>
    <xf numFmtId="169" fontId="29" fillId="13" borderId="17" xfId="0" applyNumberFormat="1" applyFont="1" applyFill="1" applyBorder="1" applyAlignment="1">
      <alignment horizontal="center" vertical="center"/>
    </xf>
    <xf numFmtId="0" fontId="0" fillId="4" borderId="19" xfId="0" applyNumberFormat="1" applyFont="1" applyFill="1" applyBorder="1" applyAlignment="1">
      <alignment horizontal="center" vertical="center"/>
    </xf>
    <xf numFmtId="0" fontId="25" fillId="4" borderId="19" xfId="0" applyNumberFormat="1" applyFont="1" applyFill="1" applyBorder="1" applyAlignment="1">
      <alignment horizontal="center" vertical="center" wrapText="1"/>
    </xf>
    <xf numFmtId="0" fontId="0" fillId="5" borderId="19" xfId="0" applyNumberFormat="1" applyFont="1" applyFill="1" applyBorder="1" applyAlignment="1">
      <alignment horizontal="center" vertical="center"/>
    </xf>
    <xf numFmtId="0" fontId="25" fillId="5" borderId="19" xfId="0" applyNumberFormat="1" applyFont="1" applyFill="1" applyBorder="1" applyAlignment="1">
      <alignment horizontal="center" vertical="center" wrapText="1"/>
    </xf>
    <xf numFmtId="0" fontId="30" fillId="13" borderId="20" xfId="0" applyNumberFormat="1" applyFont="1" applyFill="1" applyBorder="1" applyAlignment="1">
      <alignment horizontal="left" vertical="center" indent="1"/>
    </xf>
    <xf numFmtId="3" fontId="25" fillId="13" borderId="20" xfId="0" applyNumberFormat="1" applyFont="1" applyFill="1" applyBorder="1" applyAlignment="1">
      <alignment horizontal="right" vertical="center" indent="1"/>
    </xf>
    <xf numFmtId="0" fontId="30" fillId="13" borderId="0" xfId="0" applyNumberFormat="1" applyFont="1" applyFill="1" applyBorder="1" applyAlignment="1">
      <alignment horizontal="left" vertical="center" indent="1"/>
    </xf>
    <xf numFmtId="3" fontId="25" fillId="13" borderId="0" xfId="0" applyNumberFormat="1" applyFont="1" applyFill="1" applyBorder="1" applyAlignment="1">
      <alignment horizontal="right" vertical="center" indent="1"/>
    </xf>
    <xf numFmtId="170" fontId="25" fillId="13" borderId="20" xfId="0" applyNumberFormat="1" applyFont="1" applyFill="1" applyBorder="1" applyAlignment="1">
      <alignment horizontal="right" vertical="center" indent="1"/>
    </xf>
    <xf numFmtId="167" fontId="25" fillId="13" borderId="20" xfId="0" applyNumberFormat="1" applyFont="1" applyFill="1" applyBorder="1" applyAlignment="1">
      <alignment horizontal="right" vertical="center" indent="1"/>
    </xf>
    <xf numFmtId="171" fontId="25" fillId="13" borderId="20" xfId="0" applyNumberFormat="1" applyFont="1" applyFill="1" applyBorder="1" applyAlignment="1">
      <alignment horizontal="right" vertical="center" indent="1"/>
    </xf>
    <xf numFmtId="0" fontId="27" fillId="13" borderId="0" xfId="0" applyNumberFormat="1" applyFont="1" applyFill="1" applyBorder="1" applyAlignment="1">
      <alignment horizontal="center" vertical="center" wrapText="1"/>
    </xf>
    <xf numFmtId="0" fontId="0" fillId="6" borderId="19" xfId="0" applyNumberFormat="1" applyFont="1" applyFill="1" applyBorder="1" applyAlignment="1">
      <alignment horizontal="center" vertical="center"/>
    </xf>
    <xf numFmtId="0" fontId="25" fillId="6" borderId="19" xfId="0" applyNumberFormat="1" applyFont="1" applyFill="1" applyBorder="1" applyAlignment="1">
      <alignment horizontal="center" vertical="center" wrapText="1"/>
    </xf>
    <xf numFmtId="0" fontId="25" fillId="13" borderId="0" xfId="0" applyNumberFormat="1" applyFont="1" applyFill="1" applyBorder="1" applyAlignment="1">
      <alignment horizontal="right" vertical="center" indent="1"/>
    </xf>
    <xf numFmtId="0" fontId="31" fillId="0" borderId="0" xfId="0" applyNumberFormat="1" applyFont="1" applyFill="1" applyBorder="1" applyAlignment="1">
      <alignment horizontal="left" vertical="center"/>
    </xf>
    <xf numFmtId="0" fontId="14" fillId="10" borderId="10" xfId="0" applyNumberFormat="1" applyFont="1" applyFill="1" applyBorder="1" applyAlignment="1">
      <alignment horizontal="center" vertical="center"/>
    </xf>
    <xf numFmtId="0" fontId="14" fillId="10" borderId="10" xfId="0" applyNumberFormat="1" applyFont="1" applyFill="1" applyBorder="1" applyAlignment="1" applyProtection="1">
      <alignment horizontal="right" vertical="center" indent="1"/>
      <protection locked="0"/>
    </xf>
    <xf numFmtId="0" fontId="8" fillId="0" borderId="21" xfId="0" applyNumberFormat="1" applyFont="1" applyFill="1" applyBorder="1" applyAlignment="1">
      <alignment horizontal="center" vertical="center"/>
    </xf>
    <xf numFmtId="0" fontId="8" fillId="0" borderId="22" xfId="0" applyNumberFormat="1" applyFont="1" applyFill="1" applyBorder="1" applyAlignment="1">
      <alignment horizontal="center" vertical="center"/>
    </xf>
    <xf numFmtId="0" fontId="8" fillId="2" borderId="23" xfId="0" applyNumberFormat="1" applyFont="1" applyFill="1" applyBorder="1" applyAlignment="1">
      <alignment horizontal="center" vertical="center"/>
    </xf>
    <xf numFmtId="0" fontId="8" fillId="2" borderId="24" xfId="0" applyNumberFormat="1" applyFont="1" applyFill="1" applyBorder="1" applyAlignment="1">
      <alignment horizontal="center" vertical="center"/>
    </xf>
    <xf numFmtId="0" fontId="8" fillId="2" borderId="25" xfId="0" applyNumberFormat="1" applyFont="1" applyFill="1" applyBorder="1" applyAlignment="1">
      <alignment horizontal="center" vertical="center"/>
    </xf>
    <xf numFmtId="0" fontId="8" fillId="2" borderId="26" xfId="0" applyNumberFormat="1" applyFont="1" applyFill="1" applyBorder="1" applyAlignment="1">
      <alignment horizontal="center" vertical="center"/>
    </xf>
    <xf numFmtId="0" fontId="8" fillId="2" borderId="21" xfId="0" applyNumberFormat="1" applyFont="1" applyFill="1" applyBorder="1" applyAlignment="1">
      <alignment horizontal="center" vertical="center"/>
    </xf>
    <xf numFmtId="0" fontId="8" fillId="2" borderId="22" xfId="0" applyNumberFormat="1" applyFont="1" applyFill="1" applyBorder="1" applyAlignment="1">
      <alignment horizontal="center" vertical="center"/>
    </xf>
    <xf numFmtId="0" fontId="32" fillId="15" borderId="7" xfId="0" applyNumberFormat="1" applyFont="1" applyFill="1" applyBorder="1" applyAlignment="1">
      <alignment horizontal="center" vertical="center"/>
    </xf>
    <xf numFmtId="0" fontId="32" fillId="15" borderId="8" xfId="0" applyNumberFormat="1" applyFont="1" applyFill="1" applyBorder="1" applyAlignment="1">
      <alignment horizontal="center" vertical="center"/>
    </xf>
    <xf numFmtId="0" fontId="32" fillId="15" borderId="9" xfId="0" applyNumberFormat="1" applyFont="1" applyFill="1" applyBorder="1" applyAlignment="1">
      <alignment horizontal="center" vertical="center"/>
    </xf>
    <xf numFmtId="0" fontId="8" fillId="15" borderId="21" xfId="0" applyNumberFormat="1" applyFont="1" applyFill="1" applyBorder="1" applyAlignment="1">
      <alignment horizontal="center" vertical="center"/>
    </xf>
    <xf numFmtId="0" fontId="8" fillId="15" borderId="22" xfId="0" applyNumberFormat="1" applyFont="1" applyFill="1" applyBorder="1" applyAlignment="1">
      <alignment horizontal="center" vertical="center"/>
    </xf>
    <xf numFmtId="172" fontId="0" fillId="16" borderId="27" xfId="0" applyNumberFormat="1" applyFont="1" applyFill="1" applyBorder="1" applyAlignment="1">
      <alignment horizontal="center" vertical="center"/>
    </xf>
    <xf numFmtId="172" fontId="0" fillId="16" borderId="28" xfId="0" applyNumberFormat="1" applyFont="1" applyFill="1" applyBorder="1" applyAlignment="1">
      <alignment horizontal="center" vertical="center"/>
    </xf>
    <xf numFmtId="172" fontId="0" fillId="16" borderId="29" xfId="0" applyNumberFormat="1" applyFont="1" applyFill="1" applyBorder="1" applyAlignment="1">
      <alignment horizontal="center" vertical="center"/>
    </xf>
    <xf numFmtId="0" fontId="8" fillId="3" borderId="24" xfId="0" applyNumberFormat="1" applyFont="1" applyFill="1" applyBorder="1" applyAlignment="1">
      <alignment horizontal="center" vertical="center"/>
    </xf>
    <xf numFmtId="3" fontId="8" fillId="3" borderId="21" xfId="0" applyNumberFormat="1" applyFont="1" applyFill="1" applyBorder="1" applyAlignment="1">
      <alignment horizontal="center" vertical="center"/>
    </xf>
    <xf numFmtId="0" fontId="0" fillId="3" borderId="30" xfId="0" applyNumberFormat="1" applyFont="1" applyFill="1" applyBorder="1" applyAlignment="1">
      <alignment horizontal="center" vertical="center"/>
    </xf>
    <xf numFmtId="3" fontId="0" fillId="3" borderId="31" xfId="0" applyNumberFormat="1" applyFont="1" applyFill="1" applyBorder="1" applyAlignment="1">
      <alignment horizontal="center" vertical="center"/>
    </xf>
    <xf numFmtId="3" fontId="0" fillId="3" borderId="32" xfId="0" applyNumberFormat="1" applyFont="1" applyFill="1" applyBorder="1" applyAlignment="1">
      <alignment horizontal="center" vertical="center"/>
    </xf>
    <xf numFmtId="3" fontId="0" fillId="3" borderId="33" xfId="0" applyNumberFormat="1" applyFont="1" applyFill="1" applyBorder="1" applyAlignment="1">
      <alignment horizontal="center" vertical="center"/>
    </xf>
    <xf numFmtId="3" fontId="8" fillId="3" borderId="34" xfId="0" applyNumberFormat="1" applyFont="1" applyFill="1" applyBorder="1" applyAlignment="1">
      <alignment horizontal="center" vertical="center"/>
    </xf>
    <xf numFmtId="0" fontId="8" fillId="3" borderId="35" xfId="0" applyNumberFormat="1" applyFont="1" applyFill="1" applyBorder="1" applyAlignment="1">
      <alignment horizontal="center" vertical="center"/>
    </xf>
    <xf numFmtId="3" fontId="8" fillId="3" borderId="36" xfId="0" applyNumberFormat="1" applyFont="1" applyFill="1" applyBorder="1" applyAlignment="1">
      <alignment horizontal="center" vertical="center"/>
    </xf>
    <xf numFmtId="0" fontId="0" fillId="3" borderId="0" xfId="0" applyNumberFormat="1" applyFont="1" applyFill="1" applyBorder="1" applyAlignment="1">
      <alignment horizontal="center" vertical="center"/>
    </xf>
    <xf numFmtId="3" fontId="0" fillId="3" borderId="37" xfId="0" applyNumberFormat="1" applyFont="1" applyFill="1" applyBorder="1" applyAlignment="1">
      <alignment horizontal="center" vertical="center"/>
    </xf>
    <xf numFmtId="3" fontId="0" fillId="3" borderId="38" xfId="0" applyNumberFormat="1" applyFont="1" applyFill="1" applyBorder="1" applyAlignment="1">
      <alignment horizontal="center" vertical="center"/>
    </xf>
    <xf numFmtId="3" fontId="0" fillId="3" borderId="39" xfId="0" applyNumberFormat="1" applyFont="1" applyFill="1" applyBorder="1" applyAlignment="1">
      <alignment horizontal="center" vertical="center"/>
    </xf>
    <xf numFmtId="3" fontId="8" fillId="3" borderId="40" xfId="0" applyNumberFormat="1" applyFont="1" applyFill="1" applyBorder="1" applyAlignment="1">
      <alignment horizontal="center" vertical="center"/>
    </xf>
    <xf numFmtId="0" fontId="8" fillId="3" borderId="26" xfId="0" applyNumberFormat="1" applyFont="1" applyFill="1" applyBorder="1" applyAlignment="1">
      <alignment horizontal="center" vertical="center"/>
    </xf>
    <xf numFmtId="3" fontId="8" fillId="3" borderId="22" xfId="0" applyNumberFormat="1" applyFont="1" applyFill="1" applyBorder="1" applyAlignment="1">
      <alignment horizontal="center" vertical="center"/>
    </xf>
    <xf numFmtId="0" fontId="0" fillId="3" borderId="10" xfId="0" applyNumberFormat="1" applyFont="1" applyFill="1" applyBorder="1" applyAlignment="1">
      <alignment horizontal="center" vertical="center"/>
    </xf>
    <xf numFmtId="173" fontId="0" fillId="3" borderId="41" xfId="0" applyNumberFormat="1" applyFont="1" applyFill="1" applyBorder="1" applyAlignment="1">
      <alignment horizontal="center" vertical="center"/>
    </xf>
    <xf numFmtId="173" fontId="0" fillId="3" borderId="42" xfId="0" applyNumberFormat="1" applyFont="1" applyFill="1" applyBorder="1" applyAlignment="1">
      <alignment horizontal="center" vertical="center"/>
    </xf>
    <xf numFmtId="173" fontId="0" fillId="3" borderId="43" xfId="0" applyNumberFormat="1" applyFont="1" applyFill="1" applyBorder="1" applyAlignment="1">
      <alignment horizontal="center" vertical="center"/>
    </xf>
    <xf numFmtId="173" fontId="8" fillId="3" borderId="22" xfId="0" applyNumberFormat="1" applyFont="1" applyFill="1" applyBorder="1" applyAlignment="1">
      <alignment horizontal="center" vertical="center"/>
    </xf>
    <xf numFmtId="0" fontId="8" fillId="4" borderId="24" xfId="0" applyNumberFormat="1" applyFont="1" applyFill="1" applyBorder="1" applyAlignment="1">
      <alignment horizontal="center" vertical="center"/>
    </xf>
    <xf numFmtId="3" fontId="8" fillId="4" borderId="21" xfId="0" applyNumberFormat="1" applyFont="1" applyFill="1" applyBorder="1" applyAlignment="1">
      <alignment horizontal="center" vertical="center"/>
    </xf>
    <xf numFmtId="0" fontId="0" fillId="4" borderId="30" xfId="0" applyNumberFormat="1" applyFont="1" applyFill="1" applyBorder="1" applyAlignment="1">
      <alignment horizontal="center" vertical="center"/>
    </xf>
    <xf numFmtId="3" fontId="0" fillId="4" borderId="31" xfId="0" applyNumberFormat="1" applyFont="1" applyFill="1" applyBorder="1" applyAlignment="1">
      <alignment horizontal="center" vertical="center"/>
    </xf>
    <xf numFmtId="3" fontId="0" fillId="4" borderId="32" xfId="0" applyNumberFormat="1" applyFont="1" applyFill="1" applyBorder="1" applyAlignment="1">
      <alignment horizontal="center" vertical="center"/>
    </xf>
    <xf numFmtId="3" fontId="0" fillId="4" borderId="33" xfId="0" applyNumberFormat="1" applyFont="1" applyFill="1" applyBorder="1" applyAlignment="1">
      <alignment horizontal="center" vertical="center"/>
    </xf>
    <xf numFmtId="3" fontId="8" fillId="4" borderId="34" xfId="0" applyNumberFormat="1" applyFont="1" applyFill="1" applyBorder="1" applyAlignment="1">
      <alignment horizontal="center" vertical="center"/>
    </xf>
    <xf numFmtId="0" fontId="8" fillId="4" borderId="35" xfId="0" applyNumberFormat="1" applyFont="1" applyFill="1" applyBorder="1" applyAlignment="1">
      <alignment horizontal="center" vertical="center"/>
    </xf>
    <xf numFmtId="3" fontId="8" fillId="4" borderId="36" xfId="0" applyNumberFormat="1" applyFont="1" applyFill="1" applyBorder="1" applyAlignment="1">
      <alignment horizontal="center" vertical="center"/>
    </xf>
    <xf numFmtId="0" fontId="0" fillId="4" borderId="0" xfId="0" applyNumberFormat="1" applyFont="1" applyFill="1" applyBorder="1" applyAlignment="1">
      <alignment horizontal="center" vertical="center"/>
    </xf>
    <xf numFmtId="3" fontId="0" fillId="4" borderId="37" xfId="0" applyNumberFormat="1" applyFont="1" applyFill="1" applyBorder="1" applyAlignment="1">
      <alignment horizontal="center" vertical="center"/>
    </xf>
    <xf numFmtId="3" fontId="0" fillId="4" borderId="38" xfId="0" applyNumberFormat="1" applyFont="1" applyFill="1" applyBorder="1" applyAlignment="1">
      <alignment horizontal="center" vertical="center"/>
    </xf>
    <xf numFmtId="3" fontId="0" fillId="4" borderId="39" xfId="0" applyNumberFormat="1" applyFont="1" applyFill="1" applyBorder="1" applyAlignment="1">
      <alignment horizontal="center" vertical="center"/>
    </xf>
    <xf numFmtId="3" fontId="8" fillId="4" borderId="40" xfId="0" applyNumberFormat="1" applyFont="1" applyFill="1" applyBorder="1" applyAlignment="1">
      <alignment horizontal="center" vertical="center"/>
    </xf>
    <xf numFmtId="0" fontId="8" fillId="4" borderId="26" xfId="0" applyNumberFormat="1" applyFont="1" applyFill="1" applyBorder="1" applyAlignment="1">
      <alignment horizontal="center" vertical="center"/>
    </xf>
    <xf numFmtId="3" fontId="8" fillId="4" borderId="22" xfId="0" applyNumberFormat="1" applyFont="1" applyFill="1" applyBorder="1" applyAlignment="1">
      <alignment horizontal="center" vertical="center"/>
    </xf>
    <xf numFmtId="0" fontId="0" fillId="4" borderId="10" xfId="0" applyNumberFormat="1" applyFont="1" applyFill="1" applyBorder="1" applyAlignment="1">
      <alignment horizontal="center" vertical="center"/>
    </xf>
    <xf numFmtId="173" fontId="0" fillId="4" borderId="41" xfId="0" applyNumberFormat="1" applyFont="1" applyFill="1" applyBorder="1" applyAlignment="1">
      <alignment horizontal="center" vertical="center"/>
    </xf>
    <xf numFmtId="173" fontId="0" fillId="4" borderId="42" xfId="0" applyNumberFormat="1" applyFont="1" applyFill="1" applyBorder="1" applyAlignment="1">
      <alignment horizontal="center" vertical="center"/>
    </xf>
    <xf numFmtId="173" fontId="0" fillId="4" borderId="43" xfId="0" applyNumberFormat="1" applyFont="1" applyFill="1" applyBorder="1" applyAlignment="1">
      <alignment horizontal="center" vertical="center"/>
    </xf>
    <xf numFmtId="173" fontId="8" fillId="4" borderId="22" xfId="0" applyNumberFormat="1" applyFont="1" applyFill="1" applyBorder="1" applyAlignment="1">
      <alignment horizontal="center" vertical="center"/>
    </xf>
    <xf numFmtId="0" fontId="8" fillId="5" borderId="24" xfId="0" applyNumberFormat="1" applyFont="1" applyFill="1" applyBorder="1" applyAlignment="1">
      <alignment horizontal="center" vertical="center"/>
    </xf>
    <xf numFmtId="3" fontId="8" fillId="5" borderId="21" xfId="0" applyNumberFormat="1" applyFont="1" applyFill="1" applyBorder="1" applyAlignment="1">
      <alignment horizontal="center" vertical="center"/>
    </xf>
    <xf numFmtId="0" fontId="0" fillId="5" borderId="30" xfId="0" applyNumberFormat="1" applyFont="1" applyFill="1" applyBorder="1" applyAlignment="1">
      <alignment horizontal="center" vertical="center"/>
    </xf>
    <xf numFmtId="3" fontId="0" fillId="5" borderId="31" xfId="0" applyNumberFormat="1" applyFont="1" applyFill="1" applyBorder="1" applyAlignment="1">
      <alignment horizontal="center" vertical="center"/>
    </xf>
    <xf numFmtId="3" fontId="0" fillId="5" borderId="32" xfId="0" applyNumberFormat="1" applyFont="1" applyFill="1" applyBorder="1" applyAlignment="1">
      <alignment horizontal="center" vertical="center"/>
    </xf>
    <xf numFmtId="3" fontId="0" fillId="5" borderId="33" xfId="0" applyNumberFormat="1" applyFont="1" applyFill="1" applyBorder="1" applyAlignment="1">
      <alignment horizontal="center" vertical="center"/>
    </xf>
    <xf numFmtId="3" fontId="8" fillId="5" borderId="34" xfId="0" applyNumberFormat="1" applyFont="1" applyFill="1" applyBorder="1" applyAlignment="1">
      <alignment horizontal="center" vertical="center"/>
    </xf>
    <xf numFmtId="0" fontId="8" fillId="5" borderId="35" xfId="0" applyNumberFormat="1" applyFont="1" applyFill="1" applyBorder="1" applyAlignment="1">
      <alignment horizontal="center" vertical="center"/>
    </xf>
    <xf numFmtId="3" fontId="8" fillId="5" borderId="36" xfId="0" applyNumberFormat="1" applyFont="1" applyFill="1" applyBorder="1" applyAlignment="1">
      <alignment horizontal="center" vertical="center"/>
    </xf>
    <xf numFmtId="0" fontId="0" fillId="5" borderId="0" xfId="0" applyNumberFormat="1" applyFont="1" applyFill="1" applyBorder="1" applyAlignment="1">
      <alignment horizontal="center" vertical="center"/>
    </xf>
    <xf numFmtId="3" fontId="0" fillId="5" borderId="37" xfId="0" applyNumberFormat="1" applyFont="1" applyFill="1" applyBorder="1" applyAlignment="1">
      <alignment horizontal="center" vertical="center"/>
    </xf>
    <xf numFmtId="3" fontId="0" fillId="5" borderId="38" xfId="0" applyNumberFormat="1" applyFont="1" applyFill="1" applyBorder="1" applyAlignment="1">
      <alignment horizontal="center" vertical="center"/>
    </xf>
    <xf numFmtId="3" fontId="0" fillId="5" borderId="39" xfId="0" applyNumberFormat="1" applyFont="1" applyFill="1" applyBorder="1" applyAlignment="1">
      <alignment horizontal="center" vertical="center"/>
    </xf>
    <xf numFmtId="3" fontId="8" fillId="5" borderId="40" xfId="0" applyNumberFormat="1" applyFont="1" applyFill="1" applyBorder="1" applyAlignment="1">
      <alignment horizontal="center" vertical="center"/>
    </xf>
    <xf numFmtId="0" fontId="8" fillId="5" borderId="26" xfId="0" applyNumberFormat="1" applyFont="1" applyFill="1" applyBorder="1" applyAlignment="1">
      <alignment horizontal="center" vertical="center"/>
    </xf>
    <xf numFmtId="3" fontId="8" fillId="5" borderId="22" xfId="0" applyNumberFormat="1" applyFont="1" applyFill="1" applyBorder="1" applyAlignment="1">
      <alignment horizontal="center" vertical="center"/>
    </xf>
    <xf numFmtId="0" fontId="0" fillId="5" borderId="10" xfId="0" applyNumberFormat="1" applyFont="1" applyFill="1" applyBorder="1" applyAlignment="1">
      <alignment horizontal="center" vertical="center"/>
    </xf>
    <xf numFmtId="3" fontId="0" fillId="5" borderId="41" xfId="0" applyNumberFormat="1" applyFont="1" applyFill="1" applyBorder="1" applyAlignment="1">
      <alignment horizontal="center" vertical="center"/>
    </xf>
    <xf numFmtId="3" fontId="0" fillId="5" borderId="42" xfId="0" applyNumberFormat="1" applyFont="1" applyFill="1" applyBorder="1" applyAlignment="1">
      <alignment horizontal="center" vertical="center"/>
    </xf>
    <xf numFmtId="3" fontId="0" fillId="5" borderId="43" xfId="0" applyNumberFormat="1" applyFont="1" applyFill="1" applyBorder="1" applyAlignment="1">
      <alignment horizontal="center" vertical="center"/>
    </xf>
    <xf numFmtId="9" fontId="8" fillId="3" borderId="22" xfId="0" applyNumberFormat="1" applyFont="1" applyFill="1" applyBorder="1" applyAlignment="1">
      <alignment horizontal="center" vertical="center"/>
    </xf>
    <xf numFmtId="9" fontId="0" fillId="3" borderId="41" xfId="0" applyNumberFormat="1" applyFont="1" applyFill="1" applyBorder="1" applyAlignment="1">
      <alignment horizontal="center" vertical="center"/>
    </xf>
    <xf numFmtId="9" fontId="0" fillId="3" borderId="42" xfId="0" applyNumberFormat="1" applyFont="1" applyFill="1" applyBorder="1" applyAlignment="1">
      <alignment horizontal="center" vertical="center"/>
    </xf>
    <xf numFmtId="9" fontId="0" fillId="3" borderId="43" xfId="0" applyNumberFormat="1" applyFont="1" applyFill="1" applyBorder="1" applyAlignment="1">
      <alignment horizontal="center" vertical="center"/>
    </xf>
    <xf numFmtId="0" fontId="8" fillId="6" borderId="24" xfId="0" applyNumberFormat="1" applyFont="1" applyFill="1" applyBorder="1" applyAlignment="1">
      <alignment horizontal="center" vertical="center"/>
    </xf>
    <xf numFmtId="3" fontId="8" fillId="6" borderId="21" xfId="0" applyNumberFormat="1" applyFont="1" applyFill="1" applyBorder="1" applyAlignment="1">
      <alignment horizontal="center" vertical="center"/>
    </xf>
    <xf numFmtId="0" fontId="0" fillId="6" borderId="30" xfId="0" applyNumberFormat="1" applyFont="1" applyFill="1" applyBorder="1" applyAlignment="1">
      <alignment horizontal="center" vertical="center"/>
    </xf>
    <xf numFmtId="3" fontId="0" fillId="6" borderId="31" xfId="0" applyNumberFormat="1" applyFont="1" applyFill="1" applyBorder="1" applyAlignment="1">
      <alignment horizontal="center" vertical="center"/>
    </xf>
    <xf numFmtId="3" fontId="0" fillId="6" borderId="32" xfId="0" applyNumberFormat="1" applyFont="1" applyFill="1" applyBorder="1" applyAlignment="1">
      <alignment horizontal="center" vertical="center"/>
    </xf>
    <xf numFmtId="3" fontId="0" fillId="6" borderId="33" xfId="0" applyNumberFormat="1" applyFont="1" applyFill="1" applyBorder="1" applyAlignment="1">
      <alignment horizontal="center" vertical="center"/>
    </xf>
    <xf numFmtId="3" fontId="8" fillId="6" borderId="34" xfId="0" applyNumberFormat="1" applyFont="1" applyFill="1" applyBorder="1" applyAlignment="1">
      <alignment horizontal="center" vertical="center"/>
    </xf>
    <xf numFmtId="0" fontId="8" fillId="6" borderId="35" xfId="0" applyNumberFormat="1" applyFont="1" applyFill="1" applyBorder="1" applyAlignment="1">
      <alignment horizontal="center" vertical="center"/>
    </xf>
    <xf numFmtId="3" fontId="8" fillId="6" borderId="36" xfId="0" applyNumberFormat="1" applyFont="1" applyFill="1" applyBorder="1" applyAlignment="1">
      <alignment horizontal="center" vertical="center"/>
    </xf>
    <xf numFmtId="0" fontId="0" fillId="6" borderId="0" xfId="0" applyNumberFormat="1" applyFont="1" applyFill="1" applyBorder="1" applyAlignment="1">
      <alignment horizontal="center" vertical="center"/>
    </xf>
    <xf numFmtId="3" fontId="0" fillId="6" borderId="37" xfId="0" applyNumberFormat="1" applyFont="1" applyFill="1" applyBorder="1" applyAlignment="1">
      <alignment horizontal="center" vertical="center"/>
    </xf>
    <xf numFmtId="3" fontId="0" fillId="6" borderId="38" xfId="0" applyNumberFormat="1" applyFont="1" applyFill="1" applyBorder="1" applyAlignment="1">
      <alignment horizontal="center" vertical="center"/>
    </xf>
    <xf numFmtId="3" fontId="0" fillId="6" borderId="39" xfId="0" applyNumberFormat="1" applyFont="1" applyFill="1" applyBorder="1" applyAlignment="1">
      <alignment horizontal="center" vertical="center"/>
    </xf>
    <xf numFmtId="3" fontId="8" fillId="6" borderId="40" xfId="0" applyNumberFormat="1" applyFont="1" applyFill="1" applyBorder="1" applyAlignment="1">
      <alignment horizontal="center" vertical="center"/>
    </xf>
    <xf numFmtId="0" fontId="8" fillId="6" borderId="26" xfId="0" applyNumberFormat="1" applyFont="1" applyFill="1" applyBorder="1" applyAlignment="1">
      <alignment horizontal="center" vertical="center"/>
    </xf>
    <xf numFmtId="3" fontId="8" fillId="6" borderId="22" xfId="0" applyNumberFormat="1" applyFont="1" applyFill="1" applyBorder="1" applyAlignment="1">
      <alignment horizontal="center" vertical="center"/>
    </xf>
    <xf numFmtId="0" fontId="0" fillId="6" borderId="10" xfId="0" applyNumberFormat="1" applyFont="1" applyFill="1" applyBorder="1" applyAlignment="1">
      <alignment horizontal="center" vertical="center"/>
    </xf>
    <xf numFmtId="3" fontId="0" fillId="6" borderId="41" xfId="0" applyNumberFormat="1" applyFont="1" applyFill="1" applyBorder="1" applyAlignment="1">
      <alignment horizontal="center" vertical="center"/>
    </xf>
    <xf numFmtId="3" fontId="0" fillId="6" borderId="42" xfId="0" applyNumberFormat="1" applyFont="1" applyFill="1" applyBorder="1" applyAlignment="1">
      <alignment horizontal="center" vertical="center"/>
    </xf>
    <xf numFmtId="3" fontId="0" fillId="6" borderId="43" xfId="0" applyNumberFormat="1" applyFont="1" applyFill="1" applyBorder="1" applyAlignment="1">
      <alignment horizontal="center" vertical="center"/>
    </xf>
    <xf numFmtId="0" fontId="8" fillId="3" borderId="21" xfId="0" applyNumberFormat="1" applyFont="1" applyFill="1" applyBorder="1" applyAlignment="1">
      <alignment horizontal="center" vertical="center"/>
    </xf>
    <xf numFmtId="0" fontId="8" fillId="3" borderId="36" xfId="0" applyNumberFormat="1" applyFont="1" applyFill="1" applyBorder="1" applyAlignment="1">
      <alignment horizontal="center" vertical="center"/>
    </xf>
    <xf numFmtId="0" fontId="8" fillId="3" borderId="22" xfId="0" applyNumberFormat="1" applyFont="1" applyFill="1" applyBorder="1" applyAlignment="1">
      <alignment horizontal="center" vertical="center"/>
    </xf>
    <xf numFmtId="0" fontId="8" fillId="4" borderId="21" xfId="0" applyNumberFormat="1" applyFont="1" applyFill="1" applyBorder="1" applyAlignment="1">
      <alignment horizontal="center" vertical="center"/>
    </xf>
    <xf numFmtId="0" fontId="8" fillId="4" borderId="36" xfId="0" applyNumberFormat="1" applyFont="1" applyFill="1" applyBorder="1" applyAlignment="1">
      <alignment horizontal="center" vertical="center"/>
    </xf>
    <xf numFmtId="0" fontId="8" fillId="4" borderId="22" xfId="0" applyNumberFormat="1" applyFont="1" applyFill="1" applyBorder="1" applyAlignment="1">
      <alignment horizontal="center" vertical="center"/>
    </xf>
    <xf numFmtId="0" fontId="8" fillId="5" borderId="21" xfId="0" applyNumberFormat="1" applyFont="1" applyFill="1" applyBorder="1" applyAlignment="1">
      <alignment horizontal="center" vertical="center"/>
    </xf>
    <xf numFmtId="0" fontId="8" fillId="5" borderId="36" xfId="0" applyNumberFormat="1" applyFont="1" applyFill="1" applyBorder="1" applyAlignment="1">
      <alignment horizontal="center" vertical="center"/>
    </xf>
    <xf numFmtId="0" fontId="8" fillId="5" borderId="22" xfId="0" applyNumberFormat="1" applyFont="1" applyFill="1" applyBorder="1" applyAlignment="1">
      <alignment horizontal="center" vertical="center"/>
    </xf>
    <xf numFmtId="0" fontId="8" fillId="6" borderId="21" xfId="0" applyNumberFormat="1" applyFont="1" applyFill="1" applyBorder="1" applyAlignment="1">
      <alignment horizontal="center" vertical="center"/>
    </xf>
    <xf numFmtId="0" fontId="8" fillId="6" borderId="36" xfId="0" applyNumberFormat="1" applyFont="1" applyFill="1" applyBorder="1" applyAlignment="1">
      <alignment horizontal="center" vertical="center"/>
    </xf>
    <xf numFmtId="0" fontId="8" fillId="6" borderId="22" xfId="0" applyNumberFormat="1" applyFont="1" applyFill="1" applyBorder="1" applyAlignment="1">
      <alignment horizontal="center" vertical="center"/>
    </xf>
    <xf numFmtId="0" fontId="5" fillId="0" borderId="21" xfId="0" applyNumberFormat="1" applyFont="1" applyFill="1" applyBorder="1" applyAlignment="1">
      <alignment horizontal="center" vertical="center" wrapText="1"/>
    </xf>
    <xf numFmtId="0" fontId="5" fillId="0" borderId="36" xfId="0" applyNumberFormat="1" applyFont="1" applyFill="1" applyBorder="1" applyAlignment="1">
      <alignment horizontal="center" vertical="center" wrapText="1"/>
    </xf>
    <xf numFmtId="0" fontId="5" fillId="0" borderId="22" xfId="0" applyNumberFormat="1" applyFont="1" applyFill="1" applyBorder="1" applyAlignment="1">
      <alignment horizontal="center" vertical="center" wrapText="1"/>
    </xf>
    <xf numFmtId="0" fontId="8" fillId="3" borderId="9" xfId="0" applyNumberFormat="1" applyFont="1" applyFill="1" applyBorder="1" applyAlignment="1">
      <alignment horizontal="center" vertical="center"/>
    </xf>
    <xf numFmtId="3" fontId="8" fillId="3" borderId="44" xfId="0" applyNumberFormat="1" applyFont="1" applyFill="1" applyBorder="1" applyAlignment="1">
      <alignment horizontal="center" vertical="center"/>
    </xf>
    <xf numFmtId="0" fontId="0" fillId="3" borderId="8" xfId="0" applyNumberFormat="1" applyFont="1" applyFill="1" applyBorder="1" applyAlignment="1">
      <alignment horizontal="center" vertical="center"/>
    </xf>
    <xf numFmtId="3" fontId="0" fillId="3" borderId="27" xfId="0" applyNumberFormat="1" applyFont="1" applyFill="1" applyBorder="1" applyAlignment="1">
      <alignment horizontal="center" vertical="center"/>
    </xf>
    <xf numFmtId="3" fontId="0" fillId="3" borderId="28" xfId="0" applyNumberFormat="1" applyFont="1" applyFill="1" applyBorder="1" applyAlignment="1">
      <alignment horizontal="center" vertical="center"/>
    </xf>
    <xf numFmtId="3" fontId="0" fillId="3" borderId="29" xfId="0" applyNumberFormat="1" applyFont="1" applyFill="1" applyBorder="1" applyAlignment="1">
      <alignment horizontal="center" vertical="center"/>
    </xf>
    <xf numFmtId="0" fontId="8" fillId="3" borderId="44" xfId="0" applyNumberFormat="1" applyFont="1" applyFill="1" applyBorder="1" applyAlignment="1">
      <alignment horizontal="center" vertical="center"/>
    </xf>
    <xf numFmtId="0" fontId="27" fillId="0" borderId="0" xfId="0" applyNumberFormat="1" applyFont="1" applyFill="1" applyBorder="1" applyAlignment="1">
      <alignment horizontal="right" vertical="center"/>
    </xf>
    <xf numFmtId="0" fontId="25" fillId="0" borderId="45" xfId="0" applyNumberFormat="1" applyFont="1" applyFill="1" applyBorder="1" applyAlignment="1">
      <alignment horizontal="left" vertical="center"/>
    </xf>
    <xf numFmtId="0" fontId="8" fillId="2" borderId="7" xfId="0" applyNumberFormat="1" applyFont="1" applyFill="1" applyBorder="1" applyAlignment="1">
      <alignment horizontal="center" vertical="center" wrapText="1"/>
    </xf>
    <xf numFmtId="0" fontId="8" fillId="2" borderId="9" xfId="0" applyNumberFormat="1" applyFont="1" applyFill="1" applyBorder="1" applyAlignment="1">
      <alignment horizontal="center" vertical="center" wrapText="1"/>
    </xf>
    <xf numFmtId="0" fontId="8" fillId="2" borderId="8" xfId="0" applyNumberFormat="1" applyFont="1" applyFill="1" applyBorder="1" applyAlignment="1">
      <alignment horizontal="center" vertical="center" wrapText="1"/>
    </xf>
    <xf numFmtId="0" fontId="8" fillId="15" borderId="7" xfId="0" applyNumberFormat="1" applyFont="1" applyFill="1" applyBorder="1" applyAlignment="1">
      <alignment horizontal="center" vertical="center" wrapText="1"/>
    </xf>
    <xf numFmtId="0" fontId="8" fillId="15" borderId="9" xfId="0" applyNumberFormat="1" applyFont="1" applyFill="1" applyBorder="1" applyAlignment="1">
      <alignment horizontal="center" vertical="center" wrapText="1"/>
    </xf>
    <xf numFmtId="0" fontId="8" fillId="15" borderId="8" xfId="0" applyNumberFormat="1" applyFont="1" applyFill="1" applyBorder="1" applyAlignment="1">
      <alignment horizontal="center" vertical="center" wrapText="1"/>
    </xf>
    <xf numFmtId="0" fontId="8" fillId="3" borderId="30" xfId="0" applyNumberFormat="1" applyFont="1" applyFill="1" applyBorder="1" applyAlignment="1">
      <alignment horizontal="left" vertical="center" indent="1"/>
    </xf>
    <xf numFmtId="0" fontId="8" fillId="3" borderId="46" xfId="0" applyNumberFormat="1" applyFont="1" applyFill="1" applyBorder="1" applyAlignment="1">
      <alignment horizontal="left" vertical="center" indent="1"/>
    </xf>
    <xf numFmtId="3" fontId="8" fillId="3" borderId="30" xfId="0" applyNumberFormat="1" applyFont="1" applyFill="1" applyBorder="1" applyAlignment="1">
      <alignment horizontal="center" vertical="center"/>
    </xf>
    <xf numFmtId="3" fontId="8" fillId="3" borderId="46" xfId="0" applyNumberFormat="1" applyFont="1" applyFill="1" applyBorder="1" applyAlignment="1">
      <alignment horizontal="center" vertical="center"/>
    </xf>
    <xf numFmtId="3" fontId="32" fillId="3" borderId="30" xfId="0" applyNumberFormat="1" applyFont="1" applyFill="1" applyBorder="1" applyAlignment="1">
      <alignment horizontal="center" vertical="center"/>
    </xf>
    <xf numFmtId="3" fontId="32" fillId="3" borderId="46" xfId="0" applyNumberFormat="1" applyFont="1" applyFill="1" applyBorder="1" applyAlignment="1">
      <alignment horizontal="center" vertical="center"/>
    </xf>
    <xf numFmtId="168" fontId="0" fillId="3" borderId="30" xfId="0" applyNumberFormat="1" applyFont="1" applyFill="1" applyBorder="1" applyAlignment="1">
      <alignment horizontal="center" vertical="center"/>
    </xf>
    <xf numFmtId="168" fontId="0" fillId="3" borderId="46" xfId="0" applyNumberFormat="1" applyFont="1" applyFill="1" applyBorder="1" applyAlignment="1">
      <alignment horizontal="center" vertical="center"/>
    </xf>
    <xf numFmtId="3" fontId="0" fillId="3" borderId="30" xfId="0" applyNumberFormat="1" applyFont="1" applyFill="1" applyBorder="1" applyAlignment="1">
      <alignment horizontal="center" vertical="center"/>
    </xf>
    <xf numFmtId="3" fontId="0" fillId="3" borderId="46" xfId="0" applyNumberFormat="1" applyFont="1" applyFill="1" applyBorder="1" applyAlignment="1">
      <alignment horizontal="center" vertical="center"/>
    </xf>
    <xf numFmtId="174" fontId="8" fillId="3" borderId="30" xfId="0" applyNumberFormat="1" applyFont="1" applyFill="1" applyBorder="1" applyAlignment="1">
      <alignment horizontal="center" vertical="center"/>
    </xf>
    <xf numFmtId="174" fontId="8" fillId="3" borderId="46" xfId="0" applyNumberFormat="1" applyFont="1" applyFill="1" applyBorder="1" applyAlignment="1">
      <alignment horizontal="center" vertical="center"/>
    </xf>
    <xf numFmtId="9" fontId="0" fillId="3" borderId="30" xfId="0" applyNumberFormat="1" applyFont="1" applyFill="1" applyBorder="1" applyAlignment="1">
      <alignment horizontal="center" vertical="center"/>
    </xf>
    <xf numFmtId="9" fontId="0" fillId="3" borderId="46" xfId="0" applyNumberFormat="1" applyFont="1" applyFill="1" applyBorder="1" applyAlignment="1">
      <alignment horizontal="center" vertical="center"/>
    </xf>
    <xf numFmtId="0" fontId="5" fillId="3" borderId="30" xfId="0" applyNumberFormat="1" applyFont="1" applyFill="1" applyBorder="1" applyAlignment="1">
      <alignment horizontal="center" vertical="center"/>
    </xf>
    <xf numFmtId="0" fontId="5" fillId="3" borderId="46" xfId="0" applyNumberFormat="1" applyFont="1" applyFill="1" applyBorder="1" applyAlignment="1">
      <alignment horizontal="center" vertical="center"/>
    </xf>
    <xf numFmtId="0" fontId="5" fillId="3" borderId="24" xfId="0" applyNumberFormat="1" applyFont="1" applyFill="1" applyBorder="1" applyAlignment="1">
      <alignment horizontal="center" vertical="center"/>
    </xf>
    <xf numFmtId="0" fontId="8" fillId="3" borderId="47" xfId="0" applyNumberFormat="1" applyFont="1" applyFill="1" applyBorder="1" applyAlignment="1">
      <alignment horizontal="left" vertical="center" indent="1"/>
    </xf>
    <xf numFmtId="0" fontId="8" fillId="3" borderId="48" xfId="0" applyNumberFormat="1" applyFont="1" applyFill="1" applyBorder="1" applyAlignment="1">
      <alignment horizontal="left" vertical="center" indent="1"/>
    </xf>
    <xf numFmtId="3" fontId="8" fillId="3" borderId="47" xfId="0" applyNumberFormat="1" applyFont="1" applyFill="1" applyBorder="1" applyAlignment="1">
      <alignment horizontal="center" vertical="center"/>
    </xf>
    <xf numFmtId="3" fontId="8" fillId="3" borderId="48" xfId="0" applyNumberFormat="1" applyFont="1" applyFill="1" applyBorder="1" applyAlignment="1">
      <alignment horizontal="center" vertical="center"/>
    </xf>
    <xf numFmtId="3" fontId="32" fillId="3" borderId="47" xfId="0" applyNumberFormat="1" applyFont="1" applyFill="1" applyBorder="1" applyAlignment="1">
      <alignment horizontal="center" vertical="center"/>
    </xf>
    <xf numFmtId="3" fontId="32" fillId="3" borderId="48" xfId="0" applyNumberFormat="1" applyFont="1" applyFill="1" applyBorder="1" applyAlignment="1">
      <alignment horizontal="center" vertical="center"/>
    </xf>
    <xf numFmtId="168" fontId="0" fillId="3" borderId="47" xfId="0" applyNumberFormat="1" applyFont="1" applyFill="1" applyBorder="1" applyAlignment="1">
      <alignment horizontal="center" vertical="center"/>
    </xf>
    <xf numFmtId="168" fontId="0" fillId="3" borderId="48" xfId="0" applyNumberFormat="1" applyFont="1" applyFill="1" applyBorder="1" applyAlignment="1">
      <alignment horizontal="center" vertical="center"/>
    </xf>
    <xf numFmtId="3" fontId="0" fillId="3" borderId="47" xfId="0" applyNumberFormat="1" applyFont="1" applyFill="1" applyBorder="1" applyAlignment="1">
      <alignment horizontal="center" vertical="center"/>
    </xf>
    <xf numFmtId="3" fontId="0" fillId="3" borderId="48" xfId="0" applyNumberFormat="1" applyFont="1" applyFill="1" applyBorder="1" applyAlignment="1">
      <alignment horizontal="center" vertical="center"/>
    </xf>
    <xf numFmtId="174" fontId="8" fillId="3" borderId="47" xfId="0" applyNumberFormat="1" applyFont="1" applyFill="1" applyBorder="1" applyAlignment="1">
      <alignment horizontal="center" vertical="center"/>
    </xf>
    <xf numFmtId="174" fontId="8" fillId="3" borderId="48" xfId="0" applyNumberFormat="1" applyFont="1" applyFill="1" applyBorder="1" applyAlignment="1">
      <alignment horizontal="center" vertical="center"/>
    </xf>
    <xf numFmtId="9" fontId="0" fillId="3" borderId="47" xfId="0" applyNumberFormat="1" applyFont="1" applyFill="1" applyBorder="1" applyAlignment="1">
      <alignment horizontal="center" vertical="center"/>
    </xf>
    <xf numFmtId="9" fontId="0" fillId="3" borderId="48" xfId="0" applyNumberFormat="1" applyFont="1" applyFill="1" applyBorder="1" applyAlignment="1">
      <alignment horizontal="center" vertical="center"/>
    </xf>
    <xf numFmtId="0" fontId="5" fillId="3" borderId="47" xfId="0" applyNumberFormat="1" applyFont="1" applyFill="1" applyBorder="1" applyAlignment="1">
      <alignment horizontal="center" vertical="center"/>
    </xf>
    <xf numFmtId="0" fontId="5" fillId="3" borderId="48" xfId="0" applyNumberFormat="1" applyFont="1" applyFill="1" applyBorder="1" applyAlignment="1">
      <alignment horizontal="center" vertical="center"/>
    </xf>
    <xf numFmtId="0" fontId="5" fillId="3" borderId="49" xfId="0" applyNumberFormat="1" applyFont="1" applyFill="1" applyBorder="1" applyAlignment="1">
      <alignment horizontal="center" vertical="center"/>
    </xf>
    <xf numFmtId="0" fontId="8" fillId="3" borderId="50" xfId="0" applyNumberFormat="1" applyFont="1" applyFill="1" applyBorder="1" applyAlignment="1">
      <alignment horizontal="left" vertical="center" indent="1"/>
    </xf>
    <xf numFmtId="0" fontId="8" fillId="3" borderId="51" xfId="0" applyNumberFormat="1" applyFont="1" applyFill="1" applyBorder="1" applyAlignment="1">
      <alignment horizontal="left" vertical="center" indent="1"/>
    </xf>
    <xf numFmtId="3" fontId="8" fillId="3" borderId="50" xfId="0" applyNumberFormat="1" applyFont="1" applyFill="1" applyBorder="1" applyAlignment="1">
      <alignment horizontal="center" vertical="center"/>
    </xf>
    <xf numFmtId="3" fontId="8" fillId="3" borderId="51" xfId="0" applyNumberFormat="1" applyFont="1" applyFill="1" applyBorder="1" applyAlignment="1">
      <alignment horizontal="center" vertical="center"/>
    </xf>
    <xf numFmtId="168" fontId="32" fillId="3" borderId="50" xfId="0" applyNumberFormat="1" applyFont="1" applyFill="1" applyBorder="1" applyAlignment="1">
      <alignment horizontal="center" vertical="center"/>
    </xf>
    <xf numFmtId="168" fontId="32" fillId="3" borderId="51" xfId="0" applyNumberFormat="1" applyFont="1" applyFill="1" applyBorder="1" applyAlignment="1">
      <alignment horizontal="center" vertical="center"/>
    </xf>
    <xf numFmtId="168" fontId="0" fillId="3" borderId="50" xfId="0" applyNumberFormat="1" applyFont="1" applyFill="1" applyBorder="1" applyAlignment="1">
      <alignment horizontal="center" vertical="center"/>
    </xf>
    <xf numFmtId="168" fontId="0" fillId="3" borderId="51" xfId="0" applyNumberFormat="1" applyFont="1" applyFill="1" applyBorder="1" applyAlignment="1">
      <alignment horizontal="center" vertical="center"/>
    </xf>
    <xf numFmtId="174" fontId="8" fillId="3" borderId="50" xfId="0" applyNumberFormat="1" applyFont="1" applyFill="1" applyBorder="1" applyAlignment="1">
      <alignment horizontal="center" vertical="center"/>
    </xf>
    <xf numFmtId="174" fontId="8" fillId="3" borderId="51" xfId="0" applyNumberFormat="1" applyFont="1" applyFill="1" applyBorder="1" applyAlignment="1">
      <alignment horizontal="center" vertical="center"/>
    </xf>
    <xf numFmtId="9" fontId="0" fillId="3" borderId="50" xfId="0" applyNumberFormat="1" applyFont="1" applyFill="1" applyBorder="1" applyAlignment="1">
      <alignment horizontal="center" vertical="center"/>
    </xf>
    <xf numFmtId="9" fontId="0" fillId="3" borderId="51" xfId="0" applyNumberFormat="1" applyFont="1" applyFill="1" applyBorder="1" applyAlignment="1">
      <alignment horizontal="center" vertical="center"/>
    </xf>
    <xf numFmtId="0" fontId="5" fillId="3" borderId="50" xfId="0" applyNumberFormat="1" applyFont="1" applyFill="1" applyBorder="1" applyAlignment="1">
      <alignment horizontal="center" vertical="center"/>
    </xf>
    <xf numFmtId="0" fontId="5" fillId="3" borderId="51" xfId="0" applyNumberFormat="1" applyFont="1" applyFill="1" applyBorder="1" applyAlignment="1">
      <alignment horizontal="center" vertical="center"/>
    </xf>
    <xf numFmtId="0" fontId="5" fillId="3" borderId="52" xfId="0" applyNumberFormat="1" applyFont="1" applyFill="1" applyBorder="1" applyAlignment="1">
      <alignment horizontal="center" vertical="center"/>
    </xf>
    <xf numFmtId="0" fontId="8" fillId="4" borderId="30" xfId="0" applyNumberFormat="1" applyFont="1" applyFill="1" applyBorder="1" applyAlignment="1">
      <alignment horizontal="left" vertical="center" indent="1"/>
    </xf>
    <xf numFmtId="0" fontId="8" fillId="4" borderId="46" xfId="0" applyNumberFormat="1" applyFont="1" applyFill="1" applyBorder="1" applyAlignment="1">
      <alignment horizontal="left" vertical="center" indent="1"/>
    </xf>
    <xf numFmtId="3" fontId="8" fillId="4" borderId="30" xfId="0" applyNumberFormat="1" applyFont="1" applyFill="1" applyBorder="1" applyAlignment="1">
      <alignment horizontal="center" vertical="center"/>
    </xf>
    <xf numFmtId="3" fontId="8" fillId="4" borderId="46" xfId="0" applyNumberFormat="1" applyFont="1" applyFill="1" applyBorder="1" applyAlignment="1">
      <alignment horizontal="center" vertical="center"/>
    </xf>
    <xf numFmtId="3" fontId="32" fillId="4" borderId="30" xfId="0" applyNumberFormat="1" applyFont="1" applyFill="1" applyBorder="1" applyAlignment="1">
      <alignment horizontal="center" vertical="center"/>
    </xf>
    <xf numFmtId="3" fontId="32" fillId="4" borderId="46" xfId="0" applyNumberFormat="1" applyFont="1" applyFill="1" applyBorder="1" applyAlignment="1">
      <alignment horizontal="center" vertical="center"/>
    </xf>
    <xf numFmtId="168" fontId="0" fillId="4" borderId="30" xfId="0" applyNumberFormat="1" applyFont="1" applyFill="1" applyBorder="1" applyAlignment="1">
      <alignment horizontal="center" vertical="center"/>
    </xf>
    <xf numFmtId="168" fontId="0" fillId="4" borderId="46" xfId="0" applyNumberFormat="1" applyFont="1" applyFill="1" applyBorder="1" applyAlignment="1">
      <alignment horizontal="center" vertical="center"/>
    </xf>
    <xf numFmtId="3" fontId="0" fillId="4" borderId="30" xfId="0" applyNumberFormat="1" applyFont="1" applyFill="1" applyBorder="1" applyAlignment="1">
      <alignment horizontal="center" vertical="center"/>
    </xf>
    <xf numFmtId="3" fontId="0" fillId="4" borderId="46" xfId="0" applyNumberFormat="1" applyFont="1" applyFill="1" applyBorder="1" applyAlignment="1">
      <alignment horizontal="center" vertical="center"/>
    </xf>
    <xf numFmtId="174" fontId="8" fillId="4" borderId="30" xfId="0" applyNumberFormat="1" applyFont="1" applyFill="1" applyBorder="1" applyAlignment="1">
      <alignment horizontal="center" vertical="center"/>
    </xf>
    <xf numFmtId="174" fontId="8" fillId="4" borderId="46" xfId="0" applyNumberFormat="1" applyFont="1" applyFill="1" applyBorder="1" applyAlignment="1">
      <alignment horizontal="center" vertical="center"/>
    </xf>
    <xf numFmtId="9" fontId="0" fillId="4" borderId="30" xfId="0" applyNumberFormat="1" applyFont="1" applyFill="1" applyBorder="1" applyAlignment="1">
      <alignment horizontal="center" vertical="center"/>
    </xf>
    <xf numFmtId="9" fontId="0" fillId="4" borderId="46" xfId="0" applyNumberFormat="1" applyFont="1" applyFill="1" applyBorder="1" applyAlignment="1">
      <alignment horizontal="center" vertical="center"/>
    </xf>
    <xf numFmtId="0" fontId="5" fillId="4" borderId="30" xfId="0" applyNumberFormat="1" applyFont="1" applyFill="1" applyBorder="1" applyAlignment="1">
      <alignment horizontal="center" vertical="center"/>
    </xf>
    <xf numFmtId="0" fontId="5" fillId="4" borderId="46" xfId="0" applyNumberFormat="1" applyFont="1" applyFill="1" applyBorder="1" applyAlignment="1">
      <alignment horizontal="center" vertical="center"/>
    </xf>
    <xf numFmtId="0" fontId="5" fillId="4" borderId="24" xfId="0" applyNumberFormat="1" applyFont="1" applyFill="1" applyBorder="1" applyAlignment="1">
      <alignment horizontal="center" vertical="center"/>
    </xf>
    <xf numFmtId="0" fontId="8" fillId="4" borderId="47" xfId="0" applyNumberFormat="1" applyFont="1" applyFill="1" applyBorder="1" applyAlignment="1">
      <alignment horizontal="left" vertical="center" indent="1"/>
    </xf>
    <xf numFmtId="0" fontId="8" fillId="4" borderId="48" xfId="0" applyNumberFormat="1" applyFont="1" applyFill="1" applyBorder="1" applyAlignment="1">
      <alignment horizontal="left" vertical="center" indent="1"/>
    </xf>
    <xf numFmtId="3" fontId="8" fillId="4" borderId="47" xfId="0" applyNumberFormat="1" applyFont="1" applyFill="1" applyBorder="1" applyAlignment="1">
      <alignment horizontal="center" vertical="center"/>
    </xf>
    <xf numFmtId="3" fontId="8" fillId="4" borderId="48" xfId="0" applyNumberFormat="1" applyFont="1" applyFill="1" applyBorder="1" applyAlignment="1">
      <alignment horizontal="center" vertical="center"/>
    </xf>
    <xf numFmtId="3" fontId="32" fillId="4" borderId="47" xfId="0" applyNumberFormat="1" applyFont="1" applyFill="1" applyBorder="1" applyAlignment="1">
      <alignment horizontal="center" vertical="center"/>
    </xf>
    <xf numFmtId="3" fontId="32" fillId="4" borderId="48" xfId="0" applyNumberFormat="1" applyFont="1" applyFill="1" applyBorder="1" applyAlignment="1">
      <alignment horizontal="center" vertical="center"/>
    </xf>
    <xf numFmtId="168" fontId="0" fillId="4" borderId="47" xfId="0" applyNumberFormat="1" applyFont="1" applyFill="1" applyBorder="1" applyAlignment="1">
      <alignment horizontal="center" vertical="center"/>
    </xf>
    <xf numFmtId="168" fontId="0" fillId="4" borderId="48" xfId="0" applyNumberFormat="1" applyFont="1" applyFill="1" applyBorder="1" applyAlignment="1">
      <alignment horizontal="center" vertical="center"/>
    </xf>
    <xf numFmtId="3" fontId="0" fillId="4" borderId="47" xfId="0" applyNumberFormat="1" applyFont="1" applyFill="1" applyBorder="1" applyAlignment="1">
      <alignment horizontal="center" vertical="center"/>
    </xf>
    <xf numFmtId="3" fontId="0" fillId="4" borderId="48" xfId="0" applyNumberFormat="1" applyFont="1" applyFill="1" applyBorder="1" applyAlignment="1">
      <alignment horizontal="center" vertical="center"/>
    </xf>
    <xf numFmtId="174" fontId="8" fillId="4" borderId="47" xfId="0" applyNumberFormat="1" applyFont="1" applyFill="1" applyBorder="1" applyAlignment="1">
      <alignment horizontal="center" vertical="center"/>
    </xf>
    <xf numFmtId="174" fontId="8" fillId="4" borderId="48" xfId="0" applyNumberFormat="1" applyFont="1" applyFill="1" applyBorder="1" applyAlignment="1">
      <alignment horizontal="center" vertical="center"/>
    </xf>
    <xf numFmtId="9" fontId="0" fillId="4" borderId="47" xfId="0" applyNumberFormat="1" applyFont="1" applyFill="1" applyBorder="1" applyAlignment="1">
      <alignment horizontal="center" vertical="center"/>
    </xf>
    <xf numFmtId="9" fontId="0" fillId="4" borderId="48" xfId="0" applyNumberFormat="1" applyFont="1" applyFill="1" applyBorder="1" applyAlignment="1">
      <alignment horizontal="center" vertical="center"/>
    </xf>
    <xf numFmtId="0" fontId="5" fillId="4" borderId="47" xfId="0" applyNumberFormat="1" applyFont="1" applyFill="1" applyBorder="1" applyAlignment="1">
      <alignment horizontal="center" vertical="center"/>
    </xf>
    <xf numFmtId="0" fontId="5" fillId="4" borderId="48" xfId="0" applyNumberFormat="1" applyFont="1" applyFill="1" applyBorder="1" applyAlignment="1">
      <alignment horizontal="center" vertical="center"/>
    </xf>
    <xf numFmtId="0" fontId="5" fillId="4" borderId="49" xfId="0" applyNumberFormat="1" applyFont="1" applyFill="1" applyBorder="1" applyAlignment="1">
      <alignment horizontal="center" vertical="center"/>
    </xf>
    <xf numFmtId="0" fontId="8" fillId="4" borderId="50" xfId="0" applyNumberFormat="1" applyFont="1" applyFill="1" applyBorder="1" applyAlignment="1">
      <alignment horizontal="left" vertical="center" indent="1"/>
    </xf>
    <xf numFmtId="0" fontId="8" fillId="4" borderId="51" xfId="0" applyNumberFormat="1" applyFont="1" applyFill="1" applyBorder="1" applyAlignment="1">
      <alignment horizontal="left" vertical="center" indent="1"/>
    </xf>
    <xf numFmtId="3" fontId="8" fillId="4" borderId="50" xfId="0" applyNumberFormat="1" applyFont="1" applyFill="1" applyBorder="1" applyAlignment="1">
      <alignment horizontal="center" vertical="center"/>
    </xf>
    <xf numFmtId="3" fontId="8" fillId="4" borderId="51" xfId="0" applyNumberFormat="1" applyFont="1" applyFill="1" applyBorder="1" applyAlignment="1">
      <alignment horizontal="center" vertical="center"/>
    </xf>
    <xf numFmtId="168" fontId="32" fillId="4" borderId="50" xfId="0" applyNumberFormat="1" applyFont="1" applyFill="1" applyBorder="1" applyAlignment="1">
      <alignment horizontal="center" vertical="center"/>
    </xf>
    <xf numFmtId="168" fontId="32" fillId="4" borderId="51" xfId="0" applyNumberFormat="1" applyFont="1" applyFill="1" applyBorder="1" applyAlignment="1">
      <alignment horizontal="center" vertical="center"/>
    </xf>
    <xf numFmtId="168" fontId="0" fillId="4" borderId="50" xfId="0" applyNumberFormat="1" applyFont="1" applyFill="1" applyBorder="1" applyAlignment="1">
      <alignment horizontal="center" vertical="center"/>
    </xf>
    <xf numFmtId="168" fontId="0" fillId="4" borderId="51" xfId="0" applyNumberFormat="1" applyFont="1" applyFill="1" applyBorder="1" applyAlignment="1">
      <alignment horizontal="center" vertical="center"/>
    </xf>
    <xf numFmtId="174" fontId="8" fillId="4" borderId="50" xfId="0" applyNumberFormat="1" applyFont="1" applyFill="1" applyBorder="1" applyAlignment="1">
      <alignment horizontal="center" vertical="center"/>
    </xf>
    <xf numFmtId="174" fontId="8" fillId="4" borderId="51" xfId="0" applyNumberFormat="1" applyFont="1" applyFill="1" applyBorder="1" applyAlignment="1">
      <alignment horizontal="center" vertical="center"/>
    </xf>
    <xf numFmtId="9" fontId="0" fillId="4" borderId="50" xfId="0" applyNumberFormat="1" applyFont="1" applyFill="1" applyBorder="1" applyAlignment="1">
      <alignment horizontal="center" vertical="center"/>
    </xf>
    <xf numFmtId="9" fontId="0" fillId="4" borderId="51" xfId="0" applyNumberFormat="1" applyFont="1" applyFill="1" applyBorder="1" applyAlignment="1">
      <alignment horizontal="center" vertical="center"/>
    </xf>
    <xf numFmtId="0" fontId="5" fillId="4" borderId="50" xfId="0" applyNumberFormat="1" applyFont="1" applyFill="1" applyBorder="1" applyAlignment="1">
      <alignment horizontal="center" vertical="center"/>
    </xf>
    <xf numFmtId="0" fontId="5" fillId="4" borderId="51" xfId="0" applyNumberFormat="1" applyFont="1" applyFill="1" applyBorder="1" applyAlignment="1">
      <alignment horizontal="center" vertical="center"/>
    </xf>
    <xf numFmtId="0" fontId="5" fillId="4" borderId="52" xfId="0" applyNumberFormat="1" applyFont="1" applyFill="1" applyBorder="1" applyAlignment="1">
      <alignment horizontal="center" vertical="center"/>
    </xf>
    <xf numFmtId="0" fontId="8" fillId="5" borderId="30" xfId="0" applyNumberFormat="1" applyFont="1" applyFill="1" applyBorder="1" applyAlignment="1">
      <alignment horizontal="left" vertical="center" indent="1"/>
    </xf>
    <xf numFmtId="0" fontId="8" fillId="5" borderId="46" xfId="0" applyNumberFormat="1" applyFont="1" applyFill="1" applyBorder="1" applyAlignment="1">
      <alignment horizontal="left" vertical="center" indent="1"/>
    </xf>
    <xf numFmtId="3" fontId="8" fillId="5" borderId="30" xfId="0" applyNumberFormat="1" applyFont="1" applyFill="1" applyBorder="1" applyAlignment="1">
      <alignment horizontal="center" vertical="center"/>
    </xf>
    <xf numFmtId="3" fontId="8" fillId="5" borderId="46" xfId="0" applyNumberFormat="1" applyFont="1" applyFill="1" applyBorder="1" applyAlignment="1">
      <alignment horizontal="center" vertical="center"/>
    </xf>
    <xf numFmtId="3" fontId="32" fillId="5" borderId="30" xfId="0" applyNumberFormat="1" applyFont="1" applyFill="1" applyBorder="1" applyAlignment="1">
      <alignment horizontal="center" vertical="center"/>
    </xf>
    <xf numFmtId="3" fontId="32" fillId="5" borderId="46" xfId="0" applyNumberFormat="1" applyFont="1" applyFill="1" applyBorder="1" applyAlignment="1">
      <alignment horizontal="center" vertical="center"/>
    </xf>
    <xf numFmtId="168" fontId="0" fillId="5" borderId="30" xfId="0" applyNumberFormat="1" applyFont="1" applyFill="1" applyBorder="1" applyAlignment="1">
      <alignment horizontal="center" vertical="center"/>
    </xf>
    <xf numFmtId="168" fontId="0" fillId="5" borderId="46" xfId="0" applyNumberFormat="1" applyFont="1" applyFill="1" applyBorder="1" applyAlignment="1">
      <alignment horizontal="center" vertical="center"/>
    </xf>
    <xf numFmtId="3" fontId="0" fillId="5" borderId="30" xfId="0" applyNumberFormat="1" applyFont="1" applyFill="1" applyBorder="1" applyAlignment="1">
      <alignment horizontal="center" vertical="center"/>
    </xf>
    <xf numFmtId="3" fontId="0" fillId="5" borderId="46" xfId="0" applyNumberFormat="1" applyFont="1" applyFill="1" applyBorder="1" applyAlignment="1">
      <alignment horizontal="center" vertical="center"/>
    </xf>
    <xf numFmtId="174" fontId="8" fillId="5" borderId="30" xfId="0" applyNumberFormat="1" applyFont="1" applyFill="1" applyBorder="1" applyAlignment="1">
      <alignment horizontal="center" vertical="center"/>
    </xf>
    <xf numFmtId="174" fontId="8" fillId="5" borderId="46" xfId="0" applyNumberFormat="1" applyFont="1" applyFill="1" applyBorder="1" applyAlignment="1">
      <alignment horizontal="center" vertical="center"/>
    </xf>
    <xf numFmtId="9" fontId="0" fillId="5" borderId="30" xfId="0" applyNumberFormat="1" applyFont="1" applyFill="1" applyBorder="1" applyAlignment="1">
      <alignment horizontal="center" vertical="center"/>
    </xf>
    <xf numFmtId="9" fontId="0" fillId="5" borderId="46" xfId="0" applyNumberFormat="1" applyFont="1" applyFill="1" applyBorder="1" applyAlignment="1">
      <alignment horizontal="center" vertical="center"/>
    </xf>
    <xf numFmtId="0" fontId="5" fillId="5" borderId="30" xfId="0" applyNumberFormat="1" applyFont="1" applyFill="1" applyBorder="1" applyAlignment="1">
      <alignment horizontal="center" vertical="center"/>
    </xf>
    <xf numFmtId="0" fontId="5" fillId="5" borderId="46" xfId="0" applyNumberFormat="1" applyFont="1" applyFill="1" applyBorder="1" applyAlignment="1">
      <alignment horizontal="center" vertical="center"/>
    </xf>
    <xf numFmtId="0" fontId="5" fillId="5" borderId="24" xfId="0" applyNumberFormat="1" applyFont="1" applyFill="1" applyBorder="1" applyAlignment="1">
      <alignment horizontal="center" vertical="center"/>
    </xf>
    <xf numFmtId="0" fontId="8" fillId="5" borderId="47" xfId="0" applyNumberFormat="1" applyFont="1" applyFill="1" applyBorder="1" applyAlignment="1">
      <alignment horizontal="left" vertical="center" indent="1"/>
    </xf>
    <xf numFmtId="0" fontId="8" fillId="5" borderId="48" xfId="0" applyNumberFormat="1" applyFont="1" applyFill="1" applyBorder="1" applyAlignment="1">
      <alignment horizontal="left" vertical="center" indent="1"/>
    </xf>
    <xf numFmtId="3" fontId="8" fillId="5" borderId="47" xfId="0" applyNumberFormat="1" applyFont="1" applyFill="1" applyBorder="1" applyAlignment="1">
      <alignment horizontal="center" vertical="center"/>
    </xf>
    <xf numFmtId="3" fontId="8" fillId="5" borderId="48" xfId="0" applyNumberFormat="1" applyFont="1" applyFill="1" applyBorder="1" applyAlignment="1">
      <alignment horizontal="center" vertical="center"/>
    </xf>
    <xf numFmtId="3" fontId="32" fillId="5" borderId="47" xfId="0" applyNumberFormat="1" applyFont="1" applyFill="1" applyBorder="1" applyAlignment="1">
      <alignment horizontal="center" vertical="center"/>
    </xf>
    <xf numFmtId="3" fontId="32" fillId="5" borderId="48" xfId="0" applyNumberFormat="1" applyFont="1" applyFill="1" applyBorder="1" applyAlignment="1">
      <alignment horizontal="center" vertical="center"/>
    </xf>
    <xf numFmtId="168" fontId="0" fillId="5" borderId="47" xfId="0" applyNumberFormat="1" applyFont="1" applyFill="1" applyBorder="1" applyAlignment="1">
      <alignment horizontal="center" vertical="center"/>
    </xf>
    <xf numFmtId="168" fontId="0" fillId="5" borderId="48" xfId="0" applyNumberFormat="1" applyFont="1" applyFill="1" applyBorder="1" applyAlignment="1">
      <alignment horizontal="center" vertical="center"/>
    </xf>
    <xf numFmtId="3" fontId="0" fillId="5" borderId="47" xfId="0" applyNumberFormat="1" applyFont="1" applyFill="1" applyBorder="1" applyAlignment="1">
      <alignment horizontal="center" vertical="center"/>
    </xf>
    <xf numFmtId="3" fontId="0" fillId="5" borderId="48" xfId="0" applyNumberFormat="1" applyFont="1" applyFill="1" applyBorder="1" applyAlignment="1">
      <alignment horizontal="center" vertical="center"/>
    </xf>
    <xf numFmtId="174" fontId="8" fillId="5" borderId="47" xfId="0" applyNumberFormat="1" applyFont="1" applyFill="1" applyBorder="1" applyAlignment="1">
      <alignment horizontal="center" vertical="center"/>
    </xf>
    <xf numFmtId="174" fontId="8" fillId="5" borderId="48" xfId="0" applyNumberFormat="1" applyFont="1" applyFill="1" applyBorder="1" applyAlignment="1">
      <alignment horizontal="center" vertical="center"/>
    </xf>
    <xf numFmtId="9" fontId="0" fillId="5" borderId="47" xfId="0" applyNumberFormat="1" applyFont="1" applyFill="1" applyBorder="1" applyAlignment="1">
      <alignment horizontal="center" vertical="center"/>
    </xf>
    <xf numFmtId="9" fontId="0" fillId="5" borderId="48" xfId="0" applyNumberFormat="1" applyFont="1" applyFill="1" applyBorder="1" applyAlignment="1">
      <alignment horizontal="center" vertical="center"/>
    </xf>
    <xf numFmtId="0" fontId="5" fillId="5" borderId="47" xfId="0" applyNumberFormat="1" applyFont="1" applyFill="1" applyBorder="1" applyAlignment="1">
      <alignment horizontal="center" vertical="center"/>
    </xf>
    <xf numFmtId="0" fontId="5" fillId="5" borderId="48" xfId="0" applyNumberFormat="1" applyFont="1" applyFill="1" applyBorder="1" applyAlignment="1">
      <alignment horizontal="center" vertical="center"/>
    </xf>
    <xf numFmtId="0" fontId="5" fillId="5" borderId="49" xfId="0" applyNumberFormat="1" applyFont="1" applyFill="1" applyBorder="1" applyAlignment="1">
      <alignment horizontal="center" vertical="center"/>
    </xf>
    <xf numFmtId="0" fontId="8" fillId="5" borderId="50" xfId="0" applyNumberFormat="1" applyFont="1" applyFill="1" applyBorder="1" applyAlignment="1">
      <alignment horizontal="left" vertical="center" indent="1"/>
    </xf>
    <xf numFmtId="0" fontId="8" fillId="5" borderId="51" xfId="0" applyNumberFormat="1" applyFont="1" applyFill="1" applyBorder="1" applyAlignment="1">
      <alignment horizontal="left" vertical="center" indent="1"/>
    </xf>
    <xf numFmtId="3" fontId="8" fillId="5" borderId="50" xfId="0" applyNumberFormat="1" applyFont="1" applyFill="1" applyBorder="1" applyAlignment="1">
      <alignment horizontal="center" vertical="center"/>
    </xf>
    <xf numFmtId="3" fontId="8" fillId="5" borderId="51" xfId="0" applyNumberFormat="1" applyFont="1" applyFill="1" applyBorder="1" applyAlignment="1">
      <alignment horizontal="center" vertical="center"/>
    </xf>
    <xf numFmtId="3" fontId="32" fillId="5" borderId="50" xfId="0" applyNumberFormat="1" applyFont="1" applyFill="1" applyBorder="1" applyAlignment="1">
      <alignment horizontal="center" vertical="center"/>
    </xf>
    <xf numFmtId="3" fontId="32" fillId="5" borderId="51" xfId="0" applyNumberFormat="1" applyFont="1" applyFill="1" applyBorder="1" applyAlignment="1">
      <alignment horizontal="center" vertical="center"/>
    </xf>
    <xf numFmtId="168" fontId="0" fillId="5" borderId="50" xfId="0" applyNumberFormat="1" applyFont="1" applyFill="1" applyBorder="1" applyAlignment="1">
      <alignment horizontal="center" vertical="center"/>
    </xf>
    <xf numFmtId="168" fontId="0" fillId="5" borderId="51" xfId="0" applyNumberFormat="1" applyFont="1" applyFill="1" applyBorder="1" applyAlignment="1">
      <alignment horizontal="center" vertical="center"/>
    </xf>
    <xf numFmtId="3" fontId="0" fillId="5" borderId="50" xfId="0" applyNumberFormat="1" applyFont="1" applyFill="1" applyBorder="1" applyAlignment="1">
      <alignment horizontal="center" vertical="center"/>
    </xf>
    <xf numFmtId="3" fontId="0" fillId="5" borderId="51" xfId="0" applyNumberFormat="1" applyFont="1" applyFill="1" applyBorder="1" applyAlignment="1">
      <alignment horizontal="center" vertical="center"/>
    </xf>
    <xf numFmtId="174" fontId="8" fillId="5" borderId="50" xfId="0" applyNumberFormat="1" applyFont="1" applyFill="1" applyBorder="1" applyAlignment="1">
      <alignment horizontal="center" vertical="center"/>
    </xf>
    <xf numFmtId="174" fontId="8" fillId="5" borderId="51" xfId="0" applyNumberFormat="1" applyFont="1" applyFill="1" applyBorder="1" applyAlignment="1">
      <alignment horizontal="center" vertical="center"/>
    </xf>
    <xf numFmtId="9" fontId="0" fillId="5" borderId="50" xfId="0" applyNumberFormat="1" applyFont="1" applyFill="1" applyBorder="1" applyAlignment="1">
      <alignment horizontal="center" vertical="center"/>
    </xf>
    <xf numFmtId="9" fontId="0" fillId="5" borderId="51" xfId="0" applyNumberFormat="1" applyFont="1" applyFill="1" applyBorder="1" applyAlignment="1">
      <alignment horizontal="center" vertical="center"/>
    </xf>
    <xf numFmtId="0" fontId="5" fillId="5" borderId="50" xfId="0" applyNumberFormat="1" applyFont="1" applyFill="1" applyBorder="1" applyAlignment="1">
      <alignment horizontal="center" vertical="center"/>
    </xf>
    <xf numFmtId="0" fontId="5" fillId="5" borderId="51" xfId="0" applyNumberFormat="1" applyFont="1" applyFill="1" applyBorder="1" applyAlignment="1">
      <alignment horizontal="center" vertical="center"/>
    </xf>
    <xf numFmtId="0" fontId="5" fillId="5" borderId="52" xfId="0" applyNumberFormat="1" applyFont="1" applyFill="1" applyBorder="1" applyAlignment="1">
      <alignment horizontal="center" vertical="center"/>
    </xf>
    <xf numFmtId="166" fontId="32" fillId="3" borderId="30" xfId="0" applyNumberFormat="1" applyFont="1" applyFill="1" applyBorder="1" applyAlignment="1">
      <alignment horizontal="center" vertical="center"/>
    </xf>
    <xf numFmtId="166" fontId="32" fillId="3" borderId="46" xfId="0" applyNumberFormat="1" applyFont="1" applyFill="1" applyBorder="1" applyAlignment="1">
      <alignment horizontal="center" vertical="center"/>
    </xf>
    <xf numFmtId="166" fontId="0" fillId="3" borderId="30" xfId="0" applyNumberFormat="1" applyFont="1" applyFill="1" applyBorder="1" applyAlignment="1">
      <alignment horizontal="center" vertical="center"/>
    </xf>
    <xf numFmtId="166" fontId="0" fillId="3" borderId="46" xfId="0" applyNumberFormat="1" applyFont="1" applyFill="1" applyBorder="1" applyAlignment="1">
      <alignment horizontal="center" vertical="center"/>
    </xf>
    <xf numFmtId="9" fontId="8" fillId="3" borderId="50" xfId="0" applyNumberFormat="1" applyFont="1" applyFill="1" applyBorder="1" applyAlignment="1">
      <alignment horizontal="center" vertical="center"/>
    </xf>
    <xf numFmtId="9" fontId="8" fillId="3" borderId="51" xfId="0" applyNumberFormat="1" applyFont="1" applyFill="1" applyBorder="1" applyAlignment="1">
      <alignment horizontal="center" vertical="center"/>
    </xf>
    <xf numFmtId="167" fontId="32" fillId="3" borderId="50" xfId="0" applyNumberFormat="1" applyFont="1" applyFill="1" applyBorder="1" applyAlignment="1">
      <alignment horizontal="center" vertical="center"/>
    </xf>
    <xf numFmtId="167" fontId="32" fillId="3" borderId="51" xfId="0" applyNumberFormat="1" applyFont="1" applyFill="1" applyBorder="1" applyAlignment="1">
      <alignment horizontal="center" vertical="center"/>
    </xf>
    <xf numFmtId="167" fontId="0" fillId="3" borderId="50" xfId="0" applyNumberFormat="1" applyFont="1" applyFill="1" applyBorder="1" applyAlignment="1">
      <alignment horizontal="center" vertical="center"/>
    </xf>
    <xf numFmtId="167" fontId="0" fillId="3" borderId="51" xfId="0" applyNumberFormat="1" applyFont="1" applyFill="1" applyBorder="1" applyAlignment="1">
      <alignment horizontal="center" vertical="center"/>
    </xf>
    <xf numFmtId="0" fontId="8" fillId="6" borderId="30" xfId="0" applyNumberFormat="1" applyFont="1" applyFill="1" applyBorder="1" applyAlignment="1">
      <alignment horizontal="left" vertical="center" indent="1"/>
    </xf>
    <xf numFmtId="0" fontId="8" fillId="6" borderId="46" xfId="0" applyNumberFormat="1" applyFont="1" applyFill="1" applyBorder="1" applyAlignment="1">
      <alignment horizontal="left" vertical="center" indent="1"/>
    </xf>
    <xf numFmtId="3" fontId="8" fillId="6" borderId="30" xfId="0" applyNumberFormat="1" applyFont="1" applyFill="1" applyBorder="1" applyAlignment="1">
      <alignment horizontal="center" vertical="center"/>
    </xf>
    <xf numFmtId="3" fontId="8" fillId="6" borderId="46" xfId="0" applyNumberFormat="1" applyFont="1" applyFill="1" applyBorder="1" applyAlignment="1">
      <alignment horizontal="center" vertical="center"/>
    </xf>
    <xf numFmtId="3" fontId="32" fillId="6" borderId="30" xfId="0" applyNumberFormat="1" applyFont="1" applyFill="1" applyBorder="1" applyAlignment="1">
      <alignment horizontal="center" vertical="center"/>
    </xf>
    <xf numFmtId="3" fontId="32" fillId="6" borderId="46" xfId="0" applyNumberFormat="1" applyFont="1" applyFill="1" applyBorder="1" applyAlignment="1">
      <alignment horizontal="center" vertical="center"/>
    </xf>
    <xf numFmtId="168" fontId="0" fillId="6" borderId="30" xfId="0" applyNumberFormat="1" applyFont="1" applyFill="1" applyBorder="1" applyAlignment="1">
      <alignment horizontal="center" vertical="center"/>
    </xf>
    <xf numFmtId="168" fontId="0" fillId="6" borderId="46" xfId="0" applyNumberFormat="1" applyFont="1" applyFill="1" applyBorder="1" applyAlignment="1">
      <alignment horizontal="center" vertical="center"/>
    </xf>
    <xf numFmtId="3" fontId="0" fillId="6" borderId="30" xfId="0" applyNumberFormat="1" applyFont="1" applyFill="1" applyBorder="1" applyAlignment="1">
      <alignment horizontal="center" vertical="center"/>
    </xf>
    <xf numFmtId="3" fontId="0" fillId="6" borderId="46" xfId="0" applyNumberFormat="1" applyFont="1" applyFill="1" applyBorder="1" applyAlignment="1">
      <alignment horizontal="center" vertical="center"/>
    </xf>
    <xf numFmtId="174" fontId="8" fillId="6" borderId="30" xfId="0" applyNumberFormat="1" applyFont="1" applyFill="1" applyBorder="1" applyAlignment="1">
      <alignment horizontal="center" vertical="center"/>
    </xf>
    <xf numFmtId="174" fontId="8" fillId="6" borderId="46" xfId="0" applyNumberFormat="1" applyFont="1" applyFill="1" applyBorder="1" applyAlignment="1">
      <alignment horizontal="center" vertical="center"/>
    </xf>
    <xf numFmtId="9" fontId="0" fillId="6" borderId="30" xfId="0" applyNumberFormat="1" applyFont="1" applyFill="1" applyBorder="1" applyAlignment="1">
      <alignment horizontal="center" vertical="center"/>
    </xf>
    <xf numFmtId="9" fontId="0" fillId="6" borderId="46" xfId="0" applyNumberFormat="1" applyFont="1" applyFill="1" applyBorder="1" applyAlignment="1">
      <alignment horizontal="center" vertical="center"/>
    </xf>
    <xf numFmtId="0" fontId="5" fillId="6" borderId="30" xfId="0" applyNumberFormat="1" applyFont="1" applyFill="1" applyBorder="1" applyAlignment="1">
      <alignment horizontal="center" vertical="center"/>
    </xf>
    <xf numFmtId="0" fontId="5" fillId="6" borderId="46" xfId="0" applyNumberFormat="1" applyFont="1" applyFill="1" applyBorder="1" applyAlignment="1">
      <alignment horizontal="center" vertical="center"/>
    </xf>
    <xf numFmtId="0" fontId="5" fillId="6" borderId="24" xfId="0" applyNumberFormat="1" applyFont="1" applyFill="1" applyBorder="1" applyAlignment="1">
      <alignment horizontal="center" vertical="center"/>
    </xf>
    <xf numFmtId="0" fontId="8" fillId="6" borderId="47" xfId="0" applyNumberFormat="1" applyFont="1" applyFill="1" applyBorder="1" applyAlignment="1">
      <alignment horizontal="left" vertical="center" indent="1"/>
    </xf>
    <xf numFmtId="0" fontId="8" fillId="6" borderId="48" xfId="0" applyNumberFormat="1" applyFont="1" applyFill="1" applyBorder="1" applyAlignment="1">
      <alignment horizontal="left" vertical="center" indent="1"/>
    </xf>
    <xf numFmtId="3" fontId="8" fillId="6" borderId="47" xfId="0" applyNumberFormat="1" applyFont="1" applyFill="1" applyBorder="1" applyAlignment="1">
      <alignment horizontal="center" vertical="center"/>
    </xf>
    <xf numFmtId="3" fontId="8" fillId="6" borderId="48" xfId="0" applyNumberFormat="1" applyFont="1" applyFill="1" applyBorder="1" applyAlignment="1">
      <alignment horizontal="center" vertical="center"/>
    </xf>
    <xf numFmtId="3" fontId="32" fillId="6" borderId="47" xfId="0" applyNumberFormat="1" applyFont="1" applyFill="1" applyBorder="1" applyAlignment="1">
      <alignment horizontal="center" vertical="center"/>
    </xf>
    <xf numFmtId="3" fontId="32" fillId="6" borderId="48" xfId="0" applyNumberFormat="1" applyFont="1" applyFill="1" applyBorder="1" applyAlignment="1">
      <alignment horizontal="center" vertical="center"/>
    </xf>
    <xf numFmtId="168" fontId="0" fillId="6" borderId="47" xfId="0" applyNumberFormat="1" applyFont="1" applyFill="1" applyBorder="1" applyAlignment="1">
      <alignment horizontal="center" vertical="center"/>
    </xf>
    <xf numFmtId="168" fontId="0" fillId="6" borderId="48" xfId="0" applyNumberFormat="1" applyFont="1" applyFill="1" applyBorder="1" applyAlignment="1">
      <alignment horizontal="center" vertical="center"/>
    </xf>
    <xf numFmtId="3" fontId="0" fillId="6" borderId="47" xfId="0" applyNumberFormat="1" applyFont="1" applyFill="1" applyBorder="1" applyAlignment="1">
      <alignment horizontal="center" vertical="center"/>
    </xf>
    <xf numFmtId="3" fontId="0" fillId="6" borderId="48" xfId="0" applyNumberFormat="1" applyFont="1" applyFill="1" applyBorder="1" applyAlignment="1">
      <alignment horizontal="center" vertical="center"/>
    </xf>
    <xf numFmtId="174" fontId="8" fillId="6" borderId="47" xfId="0" applyNumberFormat="1" applyFont="1" applyFill="1" applyBorder="1" applyAlignment="1">
      <alignment horizontal="center" vertical="center"/>
    </xf>
    <xf numFmtId="174" fontId="8" fillId="6" borderId="48" xfId="0" applyNumberFormat="1" applyFont="1" applyFill="1" applyBorder="1" applyAlignment="1">
      <alignment horizontal="center" vertical="center"/>
    </xf>
    <xf numFmtId="9" fontId="0" fillId="6" borderId="47" xfId="0" applyNumberFormat="1" applyFont="1" applyFill="1" applyBorder="1" applyAlignment="1">
      <alignment horizontal="center" vertical="center"/>
    </xf>
    <xf numFmtId="9" fontId="0" fillId="6" borderId="48" xfId="0" applyNumberFormat="1" applyFont="1" applyFill="1" applyBorder="1" applyAlignment="1">
      <alignment horizontal="center" vertical="center"/>
    </xf>
    <xf numFmtId="0" fontId="5" fillId="6" borderId="47" xfId="0" applyNumberFormat="1" applyFont="1" applyFill="1" applyBorder="1" applyAlignment="1">
      <alignment horizontal="center" vertical="center"/>
    </xf>
    <xf numFmtId="0" fontId="5" fillId="6" borderId="48" xfId="0" applyNumberFormat="1" applyFont="1" applyFill="1" applyBorder="1" applyAlignment="1">
      <alignment horizontal="center" vertical="center"/>
    </xf>
    <xf numFmtId="0" fontId="5" fillId="6" borderId="49" xfId="0" applyNumberFormat="1" applyFont="1" applyFill="1" applyBorder="1" applyAlignment="1">
      <alignment horizontal="center" vertical="center"/>
    </xf>
    <xf numFmtId="0" fontId="8" fillId="6" borderId="50" xfId="0" applyNumberFormat="1" applyFont="1" applyFill="1" applyBorder="1" applyAlignment="1">
      <alignment horizontal="left" vertical="center" indent="1"/>
    </xf>
    <xf numFmtId="0" fontId="8" fillId="6" borderId="51" xfId="0" applyNumberFormat="1" applyFont="1" applyFill="1" applyBorder="1" applyAlignment="1">
      <alignment horizontal="left" vertical="center" indent="1"/>
    </xf>
    <xf numFmtId="3" fontId="8" fillId="6" borderId="50" xfId="0" applyNumberFormat="1" applyFont="1" applyFill="1" applyBorder="1" applyAlignment="1">
      <alignment horizontal="center" vertical="center"/>
    </xf>
    <xf numFmtId="3" fontId="8" fillId="6" borderId="51" xfId="0" applyNumberFormat="1" applyFont="1" applyFill="1" applyBorder="1" applyAlignment="1">
      <alignment horizontal="center" vertical="center"/>
    </xf>
    <xf numFmtId="3" fontId="32" fillId="6" borderId="50" xfId="0" applyNumberFormat="1" applyFont="1" applyFill="1" applyBorder="1" applyAlignment="1">
      <alignment horizontal="center" vertical="center"/>
    </xf>
    <xf numFmtId="3" fontId="32" fillId="6" borderId="51" xfId="0" applyNumberFormat="1" applyFont="1" applyFill="1" applyBorder="1" applyAlignment="1">
      <alignment horizontal="center" vertical="center"/>
    </xf>
    <xf numFmtId="168" fontId="0" fillId="6" borderId="50" xfId="0" applyNumberFormat="1" applyFont="1" applyFill="1" applyBorder="1" applyAlignment="1">
      <alignment horizontal="center" vertical="center"/>
    </xf>
    <xf numFmtId="168" fontId="0" fillId="6" borderId="51" xfId="0" applyNumberFormat="1" applyFont="1" applyFill="1" applyBorder="1" applyAlignment="1">
      <alignment horizontal="center" vertical="center"/>
    </xf>
    <xf numFmtId="3" fontId="0" fillId="6" borderId="50" xfId="0" applyNumberFormat="1" applyFont="1" applyFill="1" applyBorder="1" applyAlignment="1">
      <alignment horizontal="center" vertical="center"/>
    </xf>
    <xf numFmtId="3" fontId="0" fillId="6" borderId="51" xfId="0" applyNumberFormat="1" applyFont="1" applyFill="1" applyBorder="1" applyAlignment="1">
      <alignment horizontal="center" vertical="center"/>
    </xf>
    <xf numFmtId="174" fontId="8" fillId="6" borderId="50" xfId="0" applyNumberFormat="1" applyFont="1" applyFill="1" applyBorder="1" applyAlignment="1">
      <alignment horizontal="center" vertical="center"/>
    </xf>
    <xf numFmtId="174" fontId="8" fillId="6" borderId="51" xfId="0" applyNumberFormat="1" applyFont="1" applyFill="1" applyBorder="1" applyAlignment="1">
      <alignment horizontal="center" vertical="center"/>
    </xf>
    <xf numFmtId="9" fontId="0" fillId="6" borderId="50" xfId="0" applyNumberFormat="1" applyFont="1" applyFill="1" applyBorder="1" applyAlignment="1">
      <alignment horizontal="center" vertical="center"/>
    </xf>
    <xf numFmtId="9" fontId="0" fillId="6" borderId="51" xfId="0" applyNumberFormat="1" applyFont="1" applyFill="1" applyBorder="1" applyAlignment="1">
      <alignment horizontal="center" vertical="center"/>
    </xf>
    <xf numFmtId="0" fontId="5" fillId="6" borderId="50" xfId="0" applyNumberFormat="1" applyFont="1" applyFill="1" applyBorder="1" applyAlignment="1">
      <alignment horizontal="center" vertical="center"/>
    </xf>
    <xf numFmtId="0" fontId="5" fillId="6" borderId="51" xfId="0" applyNumberFormat="1" applyFont="1" applyFill="1" applyBorder="1" applyAlignment="1">
      <alignment horizontal="center" vertical="center"/>
    </xf>
    <xf numFmtId="0" fontId="5" fillId="6" borderId="52" xfId="0" applyNumberFormat="1" applyFont="1" applyFill="1" applyBorder="1" applyAlignment="1">
      <alignment horizontal="center" vertical="center"/>
    </xf>
    <xf numFmtId="0" fontId="8" fillId="3" borderId="23" xfId="0" applyNumberFormat="1" applyFont="1" applyFill="1" applyBorder="1" applyAlignment="1">
      <alignment horizontal="center" vertical="center"/>
    </xf>
    <xf numFmtId="0" fontId="8" fillId="3" borderId="53" xfId="0" applyNumberFormat="1" applyFont="1" applyFill="1" applyBorder="1" applyAlignment="1">
      <alignment horizontal="center" vertical="center"/>
    </xf>
    <xf numFmtId="0" fontId="8" fillId="3" borderId="25" xfId="0" applyNumberFormat="1" applyFont="1" applyFill="1" applyBorder="1" applyAlignment="1">
      <alignment horizontal="center" vertical="center"/>
    </xf>
    <xf numFmtId="0" fontId="8" fillId="4" borderId="23" xfId="0" applyNumberFormat="1" applyFont="1" applyFill="1" applyBorder="1" applyAlignment="1">
      <alignment horizontal="center" vertical="center"/>
    </xf>
    <xf numFmtId="0" fontId="8" fillId="4" borderId="53" xfId="0" applyNumberFormat="1" applyFont="1" applyFill="1" applyBorder="1" applyAlignment="1">
      <alignment horizontal="center" vertical="center"/>
    </xf>
    <xf numFmtId="0" fontId="8" fillId="4" borderId="25" xfId="0" applyNumberFormat="1" applyFont="1" applyFill="1" applyBorder="1" applyAlignment="1">
      <alignment horizontal="center" vertical="center"/>
    </xf>
    <xf numFmtId="0" fontId="8" fillId="5" borderId="23" xfId="0" applyNumberFormat="1" applyFont="1" applyFill="1" applyBorder="1" applyAlignment="1">
      <alignment horizontal="center" vertical="center"/>
    </xf>
    <xf numFmtId="0" fontId="8" fillId="5" borderId="53" xfId="0" applyNumberFormat="1" applyFont="1" applyFill="1" applyBorder="1" applyAlignment="1">
      <alignment horizontal="center" vertical="center"/>
    </xf>
    <xf numFmtId="0" fontId="8" fillId="5" borderId="25" xfId="0" applyNumberFormat="1" applyFont="1" applyFill="1" applyBorder="1" applyAlignment="1">
      <alignment horizontal="center" vertical="center"/>
    </xf>
    <xf numFmtId="0" fontId="8" fillId="6" borderId="23" xfId="0" applyNumberFormat="1" applyFont="1" applyFill="1" applyBorder="1" applyAlignment="1">
      <alignment horizontal="center" vertical="center"/>
    </xf>
    <xf numFmtId="0" fontId="8" fillId="6" borderId="53" xfId="0" applyNumberFormat="1" applyFont="1" applyFill="1" applyBorder="1" applyAlignment="1">
      <alignment horizontal="center" vertical="center"/>
    </xf>
    <xf numFmtId="0" fontId="8" fillId="6" borderId="25" xfId="0" applyNumberFormat="1" applyFont="1" applyFill="1" applyBorder="1" applyAlignment="1">
      <alignment horizontal="center" vertical="center"/>
    </xf>
    <xf numFmtId="0" fontId="5" fillId="2" borderId="7" xfId="0" applyNumberFormat="1" applyFont="1" applyFill="1" applyBorder="1" applyAlignment="1">
      <alignment horizontal="center" vertical="center" wrapText="1"/>
    </xf>
    <xf numFmtId="0" fontId="5" fillId="2" borderId="9" xfId="0" applyNumberFormat="1" applyFont="1" applyFill="1" applyBorder="1" applyAlignment="1">
      <alignment horizontal="center" vertical="center" wrapText="1"/>
    </xf>
    <xf numFmtId="0" fontId="5" fillId="2" borderId="8" xfId="0" applyNumberFormat="1" applyFont="1" applyFill="1" applyBorder="1" applyAlignment="1">
      <alignment horizontal="center" vertical="center" wrapText="1"/>
    </xf>
    <xf numFmtId="0" fontId="5" fillId="16" borderId="7" xfId="0" applyNumberFormat="1" applyFont="1" applyFill="1" applyBorder="1" applyAlignment="1">
      <alignment horizontal="center" vertical="center" wrapText="1"/>
    </xf>
    <xf numFmtId="0" fontId="5" fillId="16" borderId="9" xfId="0" applyNumberFormat="1" applyFont="1" applyFill="1" applyBorder="1" applyAlignment="1">
      <alignment horizontal="center" vertical="center" wrapText="1"/>
    </xf>
    <xf numFmtId="0" fontId="5" fillId="16" borderId="8" xfId="0" applyNumberFormat="1" applyFont="1" applyFill="1" applyBorder="1" applyAlignment="1">
      <alignment horizontal="center" vertical="center" wrapText="1"/>
    </xf>
    <xf numFmtId="0" fontId="5" fillId="15" borderId="7" xfId="0" applyNumberFormat="1" applyFont="1" applyFill="1" applyBorder="1" applyAlignment="1">
      <alignment horizontal="center" vertical="center" wrapText="1"/>
    </xf>
    <xf numFmtId="0" fontId="5" fillId="15" borderId="8" xfId="0" applyNumberFormat="1" applyFont="1" applyFill="1" applyBorder="1" applyAlignment="1">
      <alignment horizontal="center" vertical="center" wrapText="1"/>
    </xf>
    <xf numFmtId="0" fontId="5" fillId="15" borderId="9" xfId="0" applyNumberFormat="1" applyFont="1" applyFill="1" applyBorder="1" applyAlignment="1">
      <alignment horizontal="center" vertical="center" wrapText="1"/>
    </xf>
    <xf numFmtId="3" fontId="8" fillId="3" borderId="24" xfId="0" applyNumberFormat="1" applyFont="1" applyFill="1" applyBorder="1" applyAlignment="1">
      <alignment horizontal="center" vertical="center"/>
    </xf>
    <xf numFmtId="3" fontId="8" fillId="3" borderId="49" xfId="0" applyNumberFormat="1" applyFont="1" applyFill="1" applyBorder="1" applyAlignment="1">
      <alignment horizontal="center" vertical="center"/>
    </xf>
    <xf numFmtId="168" fontId="8" fillId="3" borderId="50" xfId="0" applyNumberFormat="1" applyFont="1" applyFill="1" applyBorder="1" applyAlignment="1">
      <alignment horizontal="center" vertical="center"/>
    </xf>
    <xf numFmtId="168" fontId="8" fillId="3" borderId="51" xfId="0" applyNumberFormat="1" applyFont="1" applyFill="1" applyBorder="1" applyAlignment="1">
      <alignment horizontal="center" vertical="center"/>
    </xf>
    <xf numFmtId="168" fontId="8" fillId="3" borderId="52" xfId="0" applyNumberFormat="1" applyFont="1" applyFill="1" applyBorder="1" applyAlignment="1">
      <alignment horizontal="center" vertical="center"/>
    </xf>
    <xf numFmtId="3" fontId="8" fillId="4" borderId="24" xfId="0" applyNumberFormat="1" applyFont="1" applyFill="1" applyBorder="1" applyAlignment="1">
      <alignment horizontal="center" vertical="center"/>
    </xf>
    <xf numFmtId="3" fontId="8" fillId="4" borderId="49" xfId="0" applyNumberFormat="1" applyFont="1" applyFill="1" applyBorder="1" applyAlignment="1">
      <alignment horizontal="center" vertical="center"/>
    </xf>
    <xf numFmtId="168" fontId="8" fillId="4" borderId="50" xfId="0" applyNumberFormat="1" applyFont="1" applyFill="1" applyBorder="1" applyAlignment="1">
      <alignment horizontal="center" vertical="center"/>
    </xf>
    <xf numFmtId="168" fontId="8" fillId="4" borderId="51" xfId="0" applyNumberFormat="1" applyFont="1" applyFill="1" applyBorder="1" applyAlignment="1">
      <alignment horizontal="center" vertical="center"/>
    </xf>
    <xf numFmtId="168" fontId="8" fillId="4" borderId="52" xfId="0" applyNumberFormat="1" applyFont="1" applyFill="1" applyBorder="1" applyAlignment="1">
      <alignment horizontal="center" vertical="center"/>
    </xf>
    <xf numFmtId="3" fontId="8" fillId="5" borderId="24" xfId="0" applyNumberFormat="1" applyFont="1" applyFill="1" applyBorder="1" applyAlignment="1">
      <alignment horizontal="center" vertical="center"/>
    </xf>
    <xf numFmtId="3" fontId="8" fillId="5" borderId="49" xfId="0" applyNumberFormat="1" applyFont="1" applyFill="1" applyBorder="1" applyAlignment="1">
      <alignment horizontal="center" vertical="center"/>
    </xf>
    <xf numFmtId="3" fontId="8" fillId="5" borderId="52" xfId="0" applyNumberFormat="1" applyFont="1" applyFill="1" applyBorder="1" applyAlignment="1">
      <alignment horizontal="center" vertical="center"/>
    </xf>
    <xf numFmtId="9" fontId="8" fillId="3" borderId="52" xfId="0" applyNumberFormat="1" applyFont="1" applyFill="1" applyBorder="1" applyAlignment="1">
      <alignment horizontal="center" vertical="center"/>
    </xf>
    <xf numFmtId="3" fontId="8" fillId="6" borderId="24" xfId="0" applyNumberFormat="1" applyFont="1" applyFill="1" applyBorder="1" applyAlignment="1">
      <alignment horizontal="center" vertical="center"/>
    </xf>
    <xf numFmtId="3" fontId="8" fillId="6" borderId="49" xfId="0" applyNumberFormat="1" applyFont="1" applyFill="1" applyBorder="1" applyAlignment="1">
      <alignment horizontal="center" vertical="center"/>
    </xf>
    <xf numFmtId="3" fontId="8" fillId="6" borderId="52" xfId="0" applyNumberFormat="1" applyFont="1" applyFill="1" applyBorder="1" applyAlignment="1">
      <alignment horizontal="center" vertical="center"/>
    </xf>
  </cellXfs>
  <cellStyles count="1">
    <cellStyle name="Normal" xfId="0" builtinId="0"/>
  </cellStyles>
  <dxfs count="18">
    <dxf>
      <font>
        <b/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b/>
        <color rgb="FF1F5F3A"/>
      </font>
      <fill>
        <patternFill>
          <bgColor rgb="FFC6EFCE"/>
        </patternFill>
      </fill>
    </dxf>
    <dxf>
      <font>
        <b/>
        <color rgb="FF9C0006"/>
      </font>
      <fill>
        <patternFill>
          <bgColor rgb="FFFFC7CE"/>
        </patternFill>
      </fill>
    </dxf>
    <dxf>
      <font>
        <b/>
        <color rgb="FF9C5700"/>
      </font>
      <fill>
        <patternFill>
          <bgColor rgb="FFFFEB9C"/>
        </patternFill>
      </fill>
    </dxf>
    <dxf>
      <font>
        <color rgb="FFA6A6A6"/>
      </font>
      <fill>
        <patternFill>
          <bgColor rgb="FFD9D9D9"/>
        </patternFill>
      </fill>
    </dxf>
    <dxf>
      <font>
        <b/>
        <color rgb="FF2F7D4E"/>
      </font>
    </dxf>
    <dxf>
      <font>
        <b/>
        <color rgb="FFC00000"/>
      </font>
    </dxf>
    <dxf>
      <font>
        <b/>
        <color rgb="FFC98A00"/>
      </font>
    </dxf>
    <dxf>
      <font>
        <b/>
        <color rgb="FF2F7D4E"/>
      </font>
      <fill>
        <patternFill>
          <bgColor rgb="FFE2EFD9"/>
        </patternFill>
      </fill>
    </dxf>
    <dxf>
      <font>
        <b/>
        <color rgb="FF9C0006"/>
      </font>
      <fill>
        <patternFill>
          <bgColor rgb="FFFFC7CE"/>
        </patternFill>
      </fill>
    </dxf>
    <dxf>
      <font>
        <b/>
        <color rgb="FF9C5700"/>
      </font>
      <fill>
        <patternFill>
          <bgColor rgb="FFFFEB9C"/>
        </patternFill>
      </fill>
    </dxf>
    <dxf>
      <font>
        <b/>
        <color rgb="FF1B1B1F"/>
      </font>
      <fill>
        <patternFill>
          <bgColor rgb="FFD9D9D9"/>
        </patternFill>
      </fill>
    </dxf>
    <dxf>
      <font>
        <b/>
        <color rgb="FF9C0006"/>
      </font>
      <fill>
        <patternFill>
          <bgColor rgb="FFFFC7CE"/>
        </patternFill>
      </fill>
    </dxf>
    <dxf>
      <font>
        <b/>
        <color rgb="FFFFFFFF"/>
      </font>
      <fill>
        <patternFill>
          <bgColor rgb="FF1F6F43"/>
        </patternFill>
      </fill>
    </dxf>
    <dxf>
      <font>
        <b/>
        <color rgb="FF1F5F3A"/>
      </font>
      <fill>
        <patternFill>
          <bgColor rgb="FFC6EFCE"/>
        </patternFill>
      </fill>
    </dxf>
    <dxf>
      <font>
        <b/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worksheet" Target="worksheets/sheet6.xml"/><Relationship Id="rId7" Type="http://schemas.openxmlformats.org/officeDocument/2006/relationships/worksheet" Target="worksheets/sheet7.xml"/><Relationship Id="rId8" Type="http://schemas.openxmlformats.org/officeDocument/2006/relationships/styles" Target="style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pt-BR"/>
  <c:roundedCorners val="0"/>
  <c:chart>
    <c:title>
      <c:tx>
        <c:strRef>
          <c:f>calculos!$AQ$12</c:f>
          <c:strCache>
            <c:ptCount val="1"/>
            <c:pt idx="0">
              <c:v>MOVIMENTAÇÃO VEÍCULO/DIA — TODOS OS CLIENTES</c:v>
            </c:pt>
          </c:strCache>
        </c:strRef>
      </c:tx>
      <c:overlay val="0"/>
      <c:txPr>
        <a:bodyPr/>
        <a:lstStyle/>
        <a:p>
          <a:pPr>
            <a:defRPr sz="1100" b="1">
              <a:solidFill>
                <a:srgbClr val="404040"/>
              </a:solidFill>
              <a:latin typeface="Calibri"/>
            </a:defRPr>
          </a:pPr>
          <a:endParaRPr lang="pt-BR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Config!$B$39</c:f>
              <c:strCache>
                <c:ptCount val="1"/>
                <c:pt idx="0">
                  <c:v>Recebidos (IN)</c:v>
                </c:pt>
              </c:strCache>
            </c:strRef>
          </c:tx>
          <c:spPr>
            <a:solidFill>
              <a:srgbClr val="E01E1E"/>
            </a:solidFill>
            <a:ln>
              <a:noFill/>
            </a:ln>
          </c:spPr>
          <c:invertIfNegative val="0"/>
          <c:cat>
            <c:numRef>
              <c:f>calculos!$A$12:$A$42</c:f>
              <c:numCache>
                <c:formatCode>General</c:formatCode>
                <c:ptCount val="31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</c:numCache>
            </c:numRef>
          </c:cat>
          <c:val>
            <c:numRef>
              <c:f>calculos!$C$12:$C$42</c:f>
              <c:numCache>
                <c:formatCode>General</c:formatCode>
                <c:ptCount val="31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</c:numCache>
            </c:numRef>
          </c:val>
        </c:ser>
        <c:ser>
          <c:idx val="1"/>
          <c:order val="1"/>
          <c:tx>
            <c:strRef>
              <c:f>Config!$B$40</c:f>
              <c:strCache>
                <c:ptCount val="1"/>
                <c:pt idx="0">
                  <c:v>Expedidos (OUT)</c:v>
                </c:pt>
              </c:strCache>
            </c:strRef>
          </c:tx>
          <c:spPr>
            <a:solidFill>
              <a:srgbClr val="A6A6A6"/>
            </a:solidFill>
            <a:ln>
              <a:noFill/>
            </a:ln>
          </c:spPr>
          <c:invertIfNegative val="0"/>
          <c:cat>
            <c:numRef>
              <c:f>calculos!$A$12:$A$42</c:f>
              <c:numCache>
                <c:formatCode>General</c:formatCode>
                <c:ptCount val="31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</c:numCache>
            </c:numRef>
          </c:cat>
          <c:val>
            <c:numRef>
              <c:f>calculos!$F$12:$F$42</c:f>
              <c:numCache>
                <c:formatCode>General</c:formatCode>
                <c:ptCount val="31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</c:numCache>
            </c:numRef>
          </c:val>
        </c:ser>
        <c:gapWidth val="60"/>
        <c:overlap val="-10"/>
        <c:axId val="101"/>
        <c:axId val="102"/>
      </c:barChart>
      <c:catAx>
        <c:axId val="101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>
            <a:solidFill>
              <a:srgbClr val="BFBFBF"/>
            </a:solidFill>
          </a:ln>
        </c:spPr>
        <c:txPr>
          <a:bodyPr/>
          <a:lstStyle/>
          <a:p>
            <a:pPr>
              <a:defRPr sz="800" b="0">
                <a:solidFill>
                  <a:srgbClr val="595959"/>
                </a:solidFill>
                <a:latin typeface="Calibri"/>
              </a:defRPr>
            </a:pPr>
            <a:endParaRPr lang="pt-BR"/>
          </a:p>
        </c:txPr>
        <c:crossAx val="102"/>
        <c:crosses val="autoZero"/>
        <c:auto val="1"/>
        <c:lblAlgn val="ctr"/>
        <c:lblOffset val="100"/>
        <c:tickLblSkip val="1"/>
        <c:noMultiLvlLbl val="0"/>
      </c:catAx>
      <c:valAx>
        <c:axId val="102"/>
        <c:scaling>
          <c:orientation val="minMax"/>
          <c:min val="0"/>
        </c:scaling>
        <c:delete val="0"/>
        <c:axPos val="l"/>
        <c:majorGridlines>
          <c:spPr>
            <a:ln w="6350">
              <a:solidFill>
                <a:srgbClr val="E0E0E0"/>
              </a:solidFill>
            </a:ln>
          </c:spPr>
        </c:majorGridlines>
        <c:numFmt formatCode="#,##0" sourceLinked="0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>
              <a:defRPr sz="800" b="0">
                <a:solidFill>
                  <a:srgbClr val="595959"/>
                </a:solidFill>
                <a:latin typeface="Calibri"/>
              </a:defRPr>
            </a:pPr>
            <a:endParaRPr lang="pt-BR"/>
          </a:p>
        </c:txPr>
        <c:crossAx val="101"/>
        <c:crosses val="autoZero"/>
        <c:crossBetween val="between"/>
      </c:valAx>
      <c:spPr>
        <a:noFill/>
        <a:ln>
          <a:noFill/>
        </a:ln>
      </c:spPr>
    </c:plotArea>
    <c:legend>
      <c:legendPos val="t"/>
      <c:overlay val="0"/>
      <c:txPr>
        <a:bodyPr/>
        <a:lstStyle/>
        <a:p>
          <a:pPr>
            <a:defRPr sz="900" b="0">
              <a:solidFill>
                <a:srgbClr val="404040"/>
              </a:solidFill>
              <a:latin typeface="Calibri"/>
            </a:defRPr>
          </a:pPr>
          <a:endParaRPr lang="pt-BR"/>
        </a:p>
      </c:txPr>
    </c:legend>
    <c:plotVisOnly val="1"/>
    <c:dispBlanksAs val="gap"/>
  </c:chart>
  <c:spPr>
    <a:solidFill>
      <a:srgbClr val="F2F2F2"/>
    </a:solidFill>
    <a:ln>
      <a:noFill/>
    </a:ln>
  </c:spPr>
  <c:txPr>
    <a:bodyPr/>
    <a:lstStyle/>
    <a:p>
      <a:pPr>
        <a:defRPr sz="900" b="0">
          <a:solidFill>
            <a:srgbClr val="595959"/>
          </a:solidFill>
          <a:latin typeface="Calibri"/>
        </a:defRPr>
      </a:pPr>
      <a:endParaRPr lang="pt-BR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pt-BR"/>
  <c:roundedCorners val="0"/>
  <c:chart>
    <c:title>
      <c:tx>
        <c:strRef>
          <c:f>calculos!$AQ$13</c:f>
          <c:strCache>
            <c:ptCount val="1"/>
            <c:pt idx="0">
              <c:v>OCUPAÇÃO DIÁRIA — TODOS OS CLIENTES</c:v>
            </c:pt>
          </c:strCache>
        </c:strRef>
      </c:tx>
      <c:overlay val="0"/>
      <c:txPr>
        <a:bodyPr/>
        <a:lstStyle/>
        <a:p>
          <a:pPr>
            <a:defRPr sz="1100" b="1">
              <a:solidFill>
                <a:srgbClr val="404040"/>
              </a:solidFill>
              <a:latin typeface="Calibri"/>
            </a:defRPr>
          </a:pPr>
          <a:endParaRPr lang="pt-BR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Config!$B$44</c:f>
              <c:strCache>
                <c:ptCount val="1"/>
                <c:pt idx="0">
                  <c:v>Ocupada (p.p)</c:v>
                </c:pt>
              </c:strCache>
            </c:strRef>
          </c:tx>
          <c:spPr>
            <a:solidFill>
              <a:srgbClr val="E01E1E"/>
            </a:solidFill>
            <a:ln>
              <a:noFill/>
            </a:ln>
          </c:spPr>
          <c:invertIfNegative val="0"/>
          <c:cat>
            <c:numRef>
              <c:f>calculos!$A$12:$A$42</c:f>
              <c:numCache>
                <c:formatCode>General</c:formatCode>
                <c:ptCount val="31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</c:numCache>
            </c:numRef>
          </c:cat>
          <c:val>
            <c:numRef>
              <c:f>calculos!$M$12:$M$42</c:f>
              <c:numCache>
                <c:formatCode>General</c:formatCode>
                <c:ptCount val="31"/>
              </c:numCache>
            </c:numRef>
          </c:val>
        </c:ser>
        <c:gapWidth val="40"/>
        <c:axId val="101"/>
        <c:axId val="102"/>
      </c:barChart>
      <c:lineChart>
        <c:grouping val="standard"/>
        <c:varyColors val="0"/>
        <c:ser>
          <c:idx val="1"/>
          <c:order val="1"/>
          <c:tx>
            <c:strRef>
              <c:f>calculos!$BB$295</c:f>
              <c:strCache>
                <c:ptCount val="1"/>
                <c:pt idx="0">
                  <c:v>Capacidade do armazém (p.p)</c:v>
                </c:pt>
              </c:strCache>
            </c:strRef>
          </c:tx>
          <c:spPr>
            <a:ln w="22225" cap="rnd">
              <a:solidFill>
                <a:srgbClr val="404040"/>
              </a:solidFill>
              <a:prstDash val="sysDot"/>
              <a:round/>
            </a:ln>
          </c:spPr>
          <c:marker>
            <c:symbol val="none"/>
          </c:marker>
          <c:cat>
            <c:numRef>
              <c:f>calculos!$A$12:$A$42</c:f>
              <c:numCache>
                <c:formatCode>General</c:formatCode>
                <c:ptCount val="31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</c:numCache>
            </c:numRef>
          </c:cat>
          <c:val>
            <c:numRef>
              <c:f>calculos!$L$12:$L$42</c:f>
              <c:numCache>
                <c:formatCode>General</c:formatCode>
                <c:ptCount val="31"/>
              </c:numCache>
            </c:numRef>
          </c:val>
          <c:smooth val="0"/>
        </c:ser>
        <c:ser>
          <c:idx val="2"/>
          <c:order val="2"/>
          <c:tx>
            <c:v>rótulo</c:v>
          </c:tx>
          <c:spPr>
            <a:ln>
              <a:noFill/>
            </a:ln>
          </c:spPr>
          <c:marker>
            <c:symbol val="none"/>
          </c:marker>
          <c:dLbls>
            <c:numFmt formatCode="#,##0&quot; p.p&quot;" sourceLinked="0"/>
            <c:spPr>
              <a:noFill/>
              <a:ln>
                <a:noFill/>
              </a:ln>
            </c:spPr>
            <c:txPr>
              <a:bodyPr/>
              <a:lstStyle/>
              <a:p>
                <a:pPr>
                  <a:defRPr sz="900" b="1">
                    <a:solidFill>
                      <a:srgbClr val="262626"/>
                    </a:solidFill>
                    <a:latin typeface="Calibri"/>
                  </a:defRPr>
                </a:pPr>
                <a:endParaRPr lang="pt-BR"/>
              </a:p>
            </c:txPr>
            <c:dLblPos val="t"/>
            <c:showLegendKey val="0"/>
            <c:showVal val="1"/>
            <c:showCatName val="0"/>
            <c:showSerName val="0"/>
            <c:showPercent val="0"/>
            <c:showBubbleSize val="0"/>
          </c:dLbls>
          <c:cat>
            <c:numRef>
              <c:f>calculos!$A$12:$A$42</c:f>
              <c:numCache>
                <c:formatCode>General</c:formatCode>
                <c:ptCount val="31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</c:numCache>
            </c:numRef>
          </c:cat>
          <c:val>
            <c:numRef>
              <c:f>calculos!$BC$12:$BC$42</c:f>
              <c:numCache>
                <c:formatCode>General</c:formatCode>
                <c:ptCount val="31"/>
              </c:numCache>
            </c:numRef>
          </c:val>
          <c:smooth val="0"/>
        </c:ser>
        <c:marker val="1"/>
        <c:axId val="101"/>
        <c:axId val="102"/>
      </c:lineChart>
      <c:catAx>
        <c:axId val="101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>
            <a:solidFill>
              <a:srgbClr val="BFBFBF"/>
            </a:solidFill>
          </a:ln>
        </c:spPr>
        <c:txPr>
          <a:bodyPr/>
          <a:lstStyle/>
          <a:p>
            <a:pPr>
              <a:defRPr sz="800" b="0">
                <a:solidFill>
                  <a:srgbClr val="595959"/>
                </a:solidFill>
                <a:latin typeface="Calibri"/>
              </a:defRPr>
            </a:pPr>
            <a:endParaRPr lang="pt-BR"/>
          </a:p>
        </c:txPr>
        <c:crossAx val="102"/>
        <c:crosses val="autoZero"/>
        <c:auto val="1"/>
        <c:lblAlgn val="ctr"/>
        <c:lblOffset val="100"/>
        <c:tickLblSkip val="1"/>
        <c:noMultiLvlLbl val="0"/>
      </c:catAx>
      <c:valAx>
        <c:axId val="102"/>
        <c:scaling>
          <c:orientation val="minMax"/>
          <c:min val="0"/>
        </c:scaling>
        <c:delete val="0"/>
        <c:axPos val="l"/>
        <c:majorGridlines>
          <c:spPr>
            <a:ln w="6350">
              <a:solidFill>
                <a:srgbClr val="E0E0E0"/>
              </a:solidFill>
            </a:ln>
          </c:spPr>
        </c:majorGridlines>
        <c:numFmt formatCode="#,##0&quot; p.p&quot;" sourceLinked="0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>
              <a:defRPr sz="800" b="0">
                <a:solidFill>
                  <a:srgbClr val="595959"/>
                </a:solidFill>
                <a:latin typeface="Calibri"/>
              </a:defRPr>
            </a:pPr>
            <a:endParaRPr lang="pt-BR"/>
          </a:p>
        </c:txPr>
        <c:crossAx val="101"/>
        <c:crosses val="autoZero"/>
        <c:crossBetween val="between"/>
      </c:valAx>
      <c:spPr>
        <a:noFill/>
        <a:ln>
          <a:noFill/>
        </a:ln>
      </c:spPr>
    </c:plotArea>
    <c:legend>
      <c:legendPos val="t"/>
      <c:legendEntry>
        <c:idx val="2"/>
        <c:delete val="1"/>
      </c:legendEntry>
      <c:overlay val="0"/>
      <c:txPr>
        <a:bodyPr/>
        <a:lstStyle/>
        <a:p>
          <a:pPr>
            <a:defRPr sz="900" b="0">
              <a:solidFill>
                <a:srgbClr val="404040"/>
              </a:solidFill>
              <a:latin typeface="Calibri"/>
            </a:defRPr>
          </a:pPr>
          <a:endParaRPr lang="pt-BR"/>
        </a:p>
      </c:txPr>
    </c:legend>
    <c:plotVisOnly val="1"/>
    <c:dispBlanksAs val="gap"/>
  </c:chart>
  <c:spPr>
    <a:solidFill>
      <a:srgbClr val="F2F2F2"/>
    </a:solidFill>
    <a:ln>
      <a:noFill/>
    </a:ln>
  </c:spPr>
  <c:txPr>
    <a:bodyPr/>
    <a:lstStyle/>
    <a:p>
      <a:pPr>
        <a:defRPr sz="900" b="0">
          <a:solidFill>
            <a:srgbClr val="595959"/>
          </a:solidFill>
          <a:latin typeface="Calibri"/>
        </a:defRPr>
      </a:pPr>
      <a:endParaRPr lang="pt-BR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pt-BR"/>
  <c:roundedCorners val="0"/>
  <c:chart>
    <c:title>
      <c:tx>
        <c:strRef>
          <c:f>calculos!$AQ$14</c:f>
          <c:strCache>
            <c:ptCount val="1"/>
            <c:pt idx="0">
              <c:v>MOVIMENTAÇÃO PALETES/DIA — TODOS OS CLIENTES</c:v>
            </c:pt>
          </c:strCache>
        </c:strRef>
      </c:tx>
      <c:overlay val="0"/>
      <c:txPr>
        <a:bodyPr/>
        <a:lstStyle/>
        <a:p>
          <a:pPr>
            <a:defRPr sz="1100" b="1">
              <a:solidFill>
                <a:srgbClr val="404040"/>
              </a:solidFill>
              <a:latin typeface="Calibri"/>
            </a:defRPr>
          </a:pPr>
          <a:endParaRPr lang="pt-BR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calculos!$AN$295</c:f>
              <c:strCache>
                <c:ptCount val="1"/>
                <c:pt idx="0">
                  <c:v>Pallets Movimentados IN</c:v>
                </c:pt>
              </c:strCache>
            </c:strRef>
          </c:tx>
          <c:spPr>
            <a:solidFill>
              <a:srgbClr val="E01E1E"/>
            </a:solidFill>
            <a:ln>
              <a:noFill/>
            </a:ln>
          </c:spPr>
          <c:invertIfNegative val="0"/>
          <c:cat>
            <c:numRef>
              <c:f>calculos!$A$12:$A$42</c:f>
              <c:numCache>
                <c:formatCode>General</c:formatCode>
                <c:ptCount val="31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</c:numCache>
            </c:numRef>
          </c:cat>
          <c:val>
            <c:numRef>
              <c:f>calculos!$AX$12:$AX$42</c:f>
              <c:numCache>
                <c:formatCode>General</c:formatCode>
                <c:ptCount val="31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</c:numCache>
            </c:numRef>
          </c:val>
        </c:ser>
        <c:ser>
          <c:idx val="1"/>
          <c:order val="1"/>
          <c:tx>
            <c:strRef>
              <c:f>calculos!$AO$295</c:f>
              <c:strCache>
                <c:ptCount val="1"/>
                <c:pt idx="0">
                  <c:v>Pallets Movimentados OUT</c:v>
                </c:pt>
              </c:strCache>
            </c:strRef>
          </c:tx>
          <c:spPr>
            <a:solidFill>
              <a:srgbClr val="A6A6A6"/>
            </a:solidFill>
            <a:ln>
              <a:noFill/>
            </a:ln>
          </c:spPr>
          <c:invertIfNegative val="0"/>
          <c:cat>
            <c:numRef>
              <c:f>calculos!$A$12:$A$42</c:f>
              <c:numCache>
                <c:formatCode>General</c:formatCode>
                <c:ptCount val="31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</c:numCache>
            </c:numRef>
          </c:cat>
          <c:val>
            <c:numRef>
              <c:f>calculos!$AY$12:$AY$42</c:f>
              <c:numCache>
                <c:formatCode>General</c:formatCode>
                <c:ptCount val="31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</c:numCache>
            </c:numRef>
          </c:val>
        </c:ser>
        <c:gapWidth val="60"/>
        <c:overlap val="-10"/>
        <c:axId val="101"/>
        <c:axId val="102"/>
      </c:barChart>
      <c:catAx>
        <c:axId val="101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>
            <a:solidFill>
              <a:srgbClr val="BFBFBF"/>
            </a:solidFill>
          </a:ln>
        </c:spPr>
        <c:txPr>
          <a:bodyPr/>
          <a:lstStyle/>
          <a:p>
            <a:pPr>
              <a:defRPr sz="800" b="0">
                <a:solidFill>
                  <a:srgbClr val="595959"/>
                </a:solidFill>
                <a:latin typeface="Calibri"/>
              </a:defRPr>
            </a:pPr>
            <a:endParaRPr lang="pt-BR"/>
          </a:p>
        </c:txPr>
        <c:crossAx val="102"/>
        <c:crosses val="autoZero"/>
        <c:auto val="1"/>
        <c:lblAlgn val="ctr"/>
        <c:lblOffset val="100"/>
        <c:tickLblSkip val="1"/>
        <c:noMultiLvlLbl val="0"/>
      </c:catAx>
      <c:valAx>
        <c:axId val="102"/>
        <c:scaling>
          <c:orientation val="minMax"/>
          <c:min val="0"/>
        </c:scaling>
        <c:delete val="0"/>
        <c:axPos val="l"/>
        <c:majorGridlines>
          <c:spPr>
            <a:ln w="6350">
              <a:solidFill>
                <a:srgbClr val="E0E0E0"/>
              </a:solidFill>
            </a:ln>
          </c:spPr>
        </c:majorGridlines>
        <c:numFmt formatCode="#,##0" sourceLinked="0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>
              <a:defRPr sz="800" b="0">
                <a:solidFill>
                  <a:srgbClr val="595959"/>
                </a:solidFill>
                <a:latin typeface="Calibri"/>
              </a:defRPr>
            </a:pPr>
            <a:endParaRPr lang="pt-BR"/>
          </a:p>
        </c:txPr>
        <c:crossAx val="101"/>
        <c:crosses val="autoZero"/>
        <c:crossBetween val="between"/>
      </c:valAx>
      <c:spPr>
        <a:noFill/>
        <a:ln>
          <a:noFill/>
        </a:ln>
      </c:spPr>
    </c:plotArea>
    <c:legend>
      <c:legendPos val="t"/>
      <c:overlay val="0"/>
      <c:txPr>
        <a:bodyPr/>
        <a:lstStyle/>
        <a:p>
          <a:pPr>
            <a:defRPr sz="900" b="0">
              <a:solidFill>
                <a:srgbClr val="404040"/>
              </a:solidFill>
              <a:latin typeface="Calibri"/>
            </a:defRPr>
          </a:pPr>
          <a:endParaRPr lang="pt-BR"/>
        </a:p>
      </c:txPr>
    </c:legend>
    <c:plotVisOnly val="1"/>
    <c:dispBlanksAs val="gap"/>
  </c:chart>
  <c:spPr>
    <a:solidFill>
      <a:srgbClr val="F2F2F2"/>
    </a:solidFill>
    <a:ln>
      <a:noFill/>
    </a:ln>
  </c:spPr>
  <c:txPr>
    <a:bodyPr/>
    <a:lstStyle/>
    <a:p>
      <a:pPr>
        <a:defRPr sz="900" b="0">
          <a:solidFill>
            <a:srgbClr val="595959"/>
          </a:solidFill>
          <a:latin typeface="Calibri"/>
        </a:defRPr>
      </a:pPr>
      <a:endParaRPr lang="pt-BR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pt-BR"/>
  <c:roundedCorners val="0"/>
  <c:chart>
    <c:title>
      <c:tx>
        <c:strRef>
          <c:f>calculos!$AQ$15</c:f>
          <c:strCache>
            <c:ptCount val="1"/>
            <c:pt idx="0">
              <c:v>MOVIMENTAÇÃO TONS/DIA — TODOS OS CLIENTES</c:v>
            </c:pt>
          </c:strCache>
        </c:strRef>
      </c:tx>
      <c:overlay val="0"/>
      <c:txPr>
        <a:bodyPr/>
        <a:lstStyle/>
        <a:p>
          <a:pPr>
            <a:defRPr sz="1100" b="1">
              <a:solidFill>
                <a:srgbClr val="404040"/>
              </a:solidFill>
              <a:latin typeface="Calibri"/>
            </a:defRPr>
          </a:pPr>
          <a:endParaRPr lang="pt-BR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calculos!$AV$295</c:f>
              <c:strCache>
                <c:ptCount val="1"/>
                <c:pt idx="0">
                  <c:v>Toneladas Movimentadas IN</c:v>
                </c:pt>
              </c:strCache>
            </c:strRef>
          </c:tx>
          <c:spPr>
            <a:solidFill>
              <a:srgbClr val="E01E1E"/>
            </a:solidFill>
            <a:ln>
              <a:noFill/>
            </a:ln>
          </c:spPr>
          <c:invertIfNegative val="0"/>
          <c:cat>
            <c:numRef>
              <c:f>calculos!$A$12:$A$42</c:f>
              <c:numCache>
                <c:formatCode>General</c:formatCode>
                <c:ptCount val="31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</c:numCache>
            </c:numRef>
          </c:cat>
          <c:val>
            <c:numRef>
              <c:f>calculos!$AZ$12:$AZ$42</c:f>
              <c:numCache>
                <c:formatCode>General</c:formatCode>
                <c:ptCount val="31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</c:numCache>
            </c:numRef>
          </c:val>
        </c:ser>
        <c:ser>
          <c:idx val="1"/>
          <c:order val="1"/>
          <c:tx>
            <c:strRef>
              <c:f>calculos!$AW$295</c:f>
              <c:strCache>
                <c:ptCount val="1"/>
                <c:pt idx="0">
                  <c:v>Toneladas Movimentadas OUT</c:v>
                </c:pt>
              </c:strCache>
            </c:strRef>
          </c:tx>
          <c:spPr>
            <a:solidFill>
              <a:srgbClr val="A6A6A6"/>
            </a:solidFill>
            <a:ln>
              <a:noFill/>
            </a:ln>
          </c:spPr>
          <c:invertIfNegative val="0"/>
          <c:cat>
            <c:numRef>
              <c:f>calculos!$A$12:$A$42</c:f>
              <c:numCache>
                <c:formatCode>General</c:formatCode>
                <c:ptCount val="31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</c:numCache>
            </c:numRef>
          </c:cat>
          <c:val>
            <c:numRef>
              <c:f>calculos!$BA$12:$BA$42</c:f>
              <c:numCache>
                <c:formatCode>General</c:formatCode>
                <c:ptCount val="31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</c:numCache>
            </c:numRef>
          </c:val>
        </c:ser>
        <c:gapWidth val="60"/>
        <c:overlap val="-10"/>
        <c:axId val="101"/>
        <c:axId val="102"/>
      </c:barChart>
      <c:catAx>
        <c:axId val="101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>
            <a:solidFill>
              <a:srgbClr val="BFBFBF"/>
            </a:solidFill>
          </a:ln>
        </c:spPr>
        <c:txPr>
          <a:bodyPr/>
          <a:lstStyle/>
          <a:p>
            <a:pPr>
              <a:defRPr sz="800" b="0">
                <a:solidFill>
                  <a:srgbClr val="595959"/>
                </a:solidFill>
                <a:latin typeface="Calibri"/>
              </a:defRPr>
            </a:pPr>
            <a:endParaRPr lang="pt-BR"/>
          </a:p>
        </c:txPr>
        <c:crossAx val="102"/>
        <c:crosses val="autoZero"/>
        <c:auto val="1"/>
        <c:lblAlgn val="ctr"/>
        <c:lblOffset val="100"/>
        <c:tickLblSkip val="1"/>
        <c:noMultiLvlLbl val="0"/>
      </c:catAx>
      <c:valAx>
        <c:axId val="102"/>
        <c:scaling>
          <c:orientation val="minMax"/>
          <c:min val="0"/>
        </c:scaling>
        <c:delete val="0"/>
        <c:axPos val="l"/>
        <c:majorGridlines>
          <c:spPr>
            <a:ln w="6350">
              <a:solidFill>
                <a:srgbClr val="E0E0E0"/>
              </a:solidFill>
            </a:ln>
          </c:spPr>
        </c:majorGridlines>
        <c:numFmt formatCode="#,##0" sourceLinked="0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>
              <a:defRPr sz="800" b="0">
                <a:solidFill>
                  <a:srgbClr val="595959"/>
                </a:solidFill>
                <a:latin typeface="Calibri"/>
              </a:defRPr>
            </a:pPr>
            <a:endParaRPr lang="pt-BR"/>
          </a:p>
        </c:txPr>
        <c:crossAx val="101"/>
        <c:crosses val="autoZero"/>
        <c:crossBetween val="between"/>
      </c:valAx>
      <c:spPr>
        <a:noFill/>
        <a:ln>
          <a:noFill/>
        </a:ln>
      </c:spPr>
    </c:plotArea>
    <c:legend>
      <c:legendPos val="t"/>
      <c:overlay val="0"/>
      <c:txPr>
        <a:bodyPr/>
        <a:lstStyle/>
        <a:p>
          <a:pPr>
            <a:defRPr sz="900" b="0">
              <a:solidFill>
                <a:srgbClr val="404040"/>
              </a:solidFill>
              <a:latin typeface="Calibri"/>
            </a:defRPr>
          </a:pPr>
          <a:endParaRPr lang="pt-BR"/>
        </a:p>
      </c:txPr>
    </c:legend>
    <c:plotVisOnly val="1"/>
    <c:dispBlanksAs val="gap"/>
  </c:chart>
  <c:spPr>
    <a:solidFill>
      <a:srgbClr val="F2F2F2"/>
    </a:solidFill>
    <a:ln>
      <a:noFill/>
    </a:ln>
  </c:spPr>
  <c:txPr>
    <a:bodyPr/>
    <a:lstStyle/>
    <a:p>
      <a:pPr>
        <a:defRPr sz="900" b="0">
          <a:solidFill>
            <a:srgbClr val="595959"/>
          </a:solidFill>
          <a:latin typeface="Calibri"/>
        </a:defRPr>
      </a:pPr>
      <a:endParaRPr lang="pt-BR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pt-BR"/>
  <c:roundedCorners val="0"/>
  <c:chart>
    <c:title>
      <c:tx>
        <c:strRef>
          <c:f>calculos!$AQ$16</c:f>
          <c:strCache>
            <c:ptCount val="1"/>
            <c:pt idx="0">
              <c:v>ACUMULADO SEMANAL PALETES — TODOS OS CLIENTES</c:v>
            </c:pt>
          </c:strCache>
        </c:strRef>
      </c:tx>
      <c:overlay val="0"/>
      <c:txPr>
        <a:bodyPr/>
        <a:lstStyle/>
        <a:p>
          <a:pPr>
            <a:defRPr sz="1100" b="1">
              <a:solidFill>
                <a:srgbClr val="404040"/>
              </a:solidFill>
              <a:latin typeface="Calibri"/>
            </a:defRPr>
          </a:pPr>
          <a:endParaRPr lang="pt-BR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calculos!$AN$295</c:f>
              <c:strCache>
                <c:ptCount val="1"/>
                <c:pt idx="0">
                  <c:v>Pallets Movimentados IN</c:v>
                </c:pt>
              </c:strCache>
            </c:strRef>
          </c:tx>
          <c:spPr>
            <a:solidFill>
              <a:srgbClr val="E01E1E"/>
            </a:solidFill>
            <a:ln>
              <a:noFill/>
            </a:ln>
          </c:spPr>
          <c:invertIfNegative val="0"/>
          <c:dLbls>
            <c:numFmt formatCode="[&gt;=100]#,##0;[&gt;0]#,##0.0;;" sourceLinked="0"/>
            <c:spPr>
              <a:noFill/>
              <a:ln>
                <a:noFill/>
              </a:ln>
            </c:spPr>
            <c:txPr>
              <a:bodyPr/>
              <a:lstStyle/>
              <a:p>
                <a:pPr>
                  <a:defRPr sz="1000" b="0">
                    <a:solidFill>
                      <a:srgbClr val="404040"/>
                    </a:solidFill>
                    <a:latin typeface="Calibri"/>
                  </a:defRPr>
                </a:pPr>
                <a:endParaRPr lang="pt-BR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</c:dLbls>
          <c:cat>
            <c:strRef>
              <c:f>calculos!$A$80:$A$84</c:f>
              <c:strCache>
                <c:ptCount val="5"/>
                <c:pt idx="0">
                  <c:v>Sem 1 (01–07)</c:v>
                </c:pt>
                <c:pt idx="1">
                  <c:v>Sem 2 (08–14)</c:v>
                </c:pt>
                <c:pt idx="2">
                  <c:v>Sem 3 (15–21)</c:v>
                </c:pt>
                <c:pt idx="3">
                  <c:v>Sem 4 (22–28)</c:v>
                </c:pt>
                <c:pt idx="4">
                  <c:v>Sem 5 (29–fim)</c:v>
                </c:pt>
              </c:strCache>
            </c:strRef>
          </c:cat>
          <c:val>
            <c:numRef>
              <c:f>calculos!$AX$80:$AX$84</c:f>
              <c:numCache>
                <c:formatCode>General</c:formatCode>
                <c:ptCount val="5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</c:numCache>
            </c:numRef>
          </c:val>
        </c:ser>
        <c:ser>
          <c:idx val="1"/>
          <c:order val="1"/>
          <c:tx>
            <c:strRef>
              <c:f>calculos!$AO$295</c:f>
              <c:strCache>
                <c:ptCount val="1"/>
                <c:pt idx="0">
                  <c:v>Pallets Movimentados OUT</c:v>
                </c:pt>
              </c:strCache>
            </c:strRef>
          </c:tx>
          <c:spPr>
            <a:solidFill>
              <a:srgbClr val="A6A6A6"/>
            </a:solidFill>
            <a:ln>
              <a:noFill/>
            </a:ln>
          </c:spPr>
          <c:invertIfNegative val="0"/>
          <c:dLbls>
            <c:numFmt formatCode="[&gt;=100]#,##0;[&gt;0]#,##0.0;;" sourceLinked="0"/>
            <c:spPr>
              <a:noFill/>
              <a:ln>
                <a:noFill/>
              </a:ln>
            </c:spPr>
            <c:txPr>
              <a:bodyPr/>
              <a:lstStyle/>
              <a:p>
                <a:pPr>
                  <a:defRPr sz="1000" b="0">
                    <a:solidFill>
                      <a:srgbClr val="404040"/>
                    </a:solidFill>
                    <a:latin typeface="Calibri"/>
                  </a:defRPr>
                </a:pPr>
                <a:endParaRPr lang="pt-BR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</c:dLbls>
          <c:cat>
            <c:strRef>
              <c:f>calculos!$A$80:$A$84</c:f>
              <c:strCache>
                <c:ptCount val="5"/>
                <c:pt idx="0">
                  <c:v>Sem 1 (01–07)</c:v>
                </c:pt>
                <c:pt idx="1">
                  <c:v>Sem 2 (08–14)</c:v>
                </c:pt>
                <c:pt idx="2">
                  <c:v>Sem 3 (15–21)</c:v>
                </c:pt>
                <c:pt idx="3">
                  <c:v>Sem 4 (22–28)</c:v>
                </c:pt>
                <c:pt idx="4">
                  <c:v>Sem 5 (29–fim)</c:v>
                </c:pt>
              </c:strCache>
            </c:strRef>
          </c:cat>
          <c:val>
            <c:numRef>
              <c:f>calculos!$AY$80:$AY$84</c:f>
              <c:numCache>
                <c:formatCode>General</c:formatCode>
                <c:ptCount val="5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</c:numCache>
            </c:numRef>
          </c:val>
        </c:ser>
        <c:gapWidth val="70"/>
        <c:overlap val="-10"/>
        <c:axId val="101"/>
        <c:axId val="102"/>
      </c:barChart>
      <c:catAx>
        <c:axId val="101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>
            <a:solidFill>
              <a:srgbClr val="BFBFBF"/>
            </a:solidFill>
          </a:ln>
        </c:spPr>
        <c:txPr>
          <a:bodyPr/>
          <a:lstStyle/>
          <a:p>
            <a:pPr>
              <a:defRPr sz="900" b="0">
                <a:solidFill>
                  <a:srgbClr val="595959"/>
                </a:solidFill>
                <a:latin typeface="Calibri"/>
              </a:defRPr>
            </a:pPr>
            <a:endParaRPr lang="pt-BR"/>
          </a:p>
        </c:txPr>
        <c:crossAx val="102"/>
        <c:crosses val="autoZero"/>
        <c:auto val="1"/>
        <c:lblAlgn val="ctr"/>
        <c:lblOffset val="100"/>
        <c:tickLblSkip val="1"/>
        <c:noMultiLvlLbl val="0"/>
      </c:catAx>
      <c:valAx>
        <c:axId val="102"/>
        <c:scaling>
          <c:orientation val="minMax"/>
          <c:min val="0"/>
        </c:scaling>
        <c:delete val="1"/>
        <c:axPos val="l"/>
        <c:numFmt formatCode="#,##0" sourceLinked="0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>
              <a:defRPr sz="800" b="0">
                <a:solidFill>
                  <a:srgbClr val="595959"/>
                </a:solidFill>
                <a:latin typeface="Calibri"/>
              </a:defRPr>
            </a:pPr>
            <a:endParaRPr lang="pt-BR"/>
          </a:p>
        </c:txPr>
        <c:crossAx val="101"/>
        <c:crosses val="autoZero"/>
        <c:crossBetween val="between"/>
      </c:valAx>
      <c:spPr>
        <a:noFill/>
        <a:ln>
          <a:noFill/>
        </a:ln>
      </c:spPr>
    </c:plotArea>
    <c:legend>
      <c:legendPos val="t"/>
      <c:overlay val="0"/>
      <c:txPr>
        <a:bodyPr/>
        <a:lstStyle/>
        <a:p>
          <a:pPr>
            <a:defRPr sz="900" b="0">
              <a:solidFill>
                <a:srgbClr val="404040"/>
              </a:solidFill>
              <a:latin typeface="Calibri"/>
            </a:defRPr>
          </a:pPr>
          <a:endParaRPr lang="pt-BR"/>
        </a:p>
      </c:txPr>
    </c:legend>
    <c:plotVisOnly val="1"/>
    <c:dispBlanksAs val="gap"/>
  </c:chart>
  <c:spPr>
    <a:solidFill>
      <a:srgbClr val="F2F2F2"/>
    </a:solidFill>
    <a:ln>
      <a:noFill/>
    </a:ln>
  </c:spPr>
  <c:txPr>
    <a:bodyPr/>
    <a:lstStyle/>
    <a:p>
      <a:pPr>
        <a:defRPr sz="900" b="0">
          <a:solidFill>
            <a:srgbClr val="595959"/>
          </a:solidFill>
          <a:latin typeface="Calibri"/>
        </a:defRPr>
      </a:pPr>
      <a:endParaRPr lang="pt-BR"/>
    </a:p>
  </c:tx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pt-BR"/>
  <c:roundedCorners val="0"/>
  <c:chart>
    <c:title>
      <c:tx>
        <c:strRef>
          <c:f>calculos!$AQ$17</c:f>
          <c:strCache>
            <c:ptCount val="1"/>
            <c:pt idx="0">
              <c:v>ACUMULADO SEMANAL TONS — TODOS OS CLIENTES</c:v>
            </c:pt>
          </c:strCache>
        </c:strRef>
      </c:tx>
      <c:overlay val="0"/>
      <c:txPr>
        <a:bodyPr/>
        <a:lstStyle/>
        <a:p>
          <a:pPr>
            <a:defRPr sz="1100" b="1">
              <a:solidFill>
                <a:srgbClr val="404040"/>
              </a:solidFill>
              <a:latin typeface="Calibri"/>
            </a:defRPr>
          </a:pPr>
          <a:endParaRPr lang="pt-BR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calculos!$AV$295</c:f>
              <c:strCache>
                <c:ptCount val="1"/>
                <c:pt idx="0">
                  <c:v>Toneladas Movimentadas IN</c:v>
                </c:pt>
              </c:strCache>
            </c:strRef>
          </c:tx>
          <c:spPr>
            <a:solidFill>
              <a:srgbClr val="E01E1E"/>
            </a:solidFill>
            <a:ln>
              <a:noFill/>
            </a:ln>
          </c:spPr>
          <c:invertIfNegative val="0"/>
          <c:dLbls>
            <c:numFmt formatCode="[&gt;=100]#,##0;[&gt;0]#,##0.0;;" sourceLinked="0"/>
            <c:spPr>
              <a:noFill/>
              <a:ln>
                <a:noFill/>
              </a:ln>
            </c:spPr>
            <c:txPr>
              <a:bodyPr/>
              <a:lstStyle/>
              <a:p>
                <a:pPr>
                  <a:defRPr sz="1000" b="0">
                    <a:solidFill>
                      <a:srgbClr val="404040"/>
                    </a:solidFill>
                    <a:latin typeface="Calibri"/>
                  </a:defRPr>
                </a:pPr>
                <a:endParaRPr lang="pt-BR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</c:dLbls>
          <c:cat>
            <c:strRef>
              <c:f>calculos!$A$80:$A$84</c:f>
              <c:strCache>
                <c:ptCount val="5"/>
                <c:pt idx="0">
                  <c:v>Sem 1 (01–07)</c:v>
                </c:pt>
                <c:pt idx="1">
                  <c:v>Sem 2 (08–14)</c:v>
                </c:pt>
                <c:pt idx="2">
                  <c:v>Sem 3 (15–21)</c:v>
                </c:pt>
                <c:pt idx="3">
                  <c:v>Sem 4 (22–28)</c:v>
                </c:pt>
                <c:pt idx="4">
                  <c:v>Sem 5 (29–fim)</c:v>
                </c:pt>
              </c:strCache>
            </c:strRef>
          </c:cat>
          <c:val>
            <c:numRef>
              <c:f>calculos!$AZ$80:$AZ$84</c:f>
              <c:numCache>
                <c:formatCode>General</c:formatCode>
                <c:ptCount val="5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</c:numCache>
            </c:numRef>
          </c:val>
        </c:ser>
        <c:ser>
          <c:idx val="1"/>
          <c:order val="1"/>
          <c:tx>
            <c:strRef>
              <c:f>calculos!$AW$295</c:f>
              <c:strCache>
                <c:ptCount val="1"/>
                <c:pt idx="0">
                  <c:v>Toneladas Movimentadas OUT</c:v>
                </c:pt>
              </c:strCache>
            </c:strRef>
          </c:tx>
          <c:spPr>
            <a:solidFill>
              <a:srgbClr val="A6A6A6"/>
            </a:solidFill>
            <a:ln>
              <a:noFill/>
            </a:ln>
          </c:spPr>
          <c:invertIfNegative val="0"/>
          <c:dLbls>
            <c:numFmt formatCode="[&gt;=100]#,##0;[&gt;0]#,##0.0;;" sourceLinked="0"/>
            <c:spPr>
              <a:noFill/>
              <a:ln>
                <a:noFill/>
              </a:ln>
            </c:spPr>
            <c:txPr>
              <a:bodyPr/>
              <a:lstStyle/>
              <a:p>
                <a:pPr>
                  <a:defRPr sz="1000" b="0">
                    <a:solidFill>
                      <a:srgbClr val="404040"/>
                    </a:solidFill>
                    <a:latin typeface="Calibri"/>
                  </a:defRPr>
                </a:pPr>
                <a:endParaRPr lang="pt-BR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</c:dLbls>
          <c:cat>
            <c:strRef>
              <c:f>calculos!$A$80:$A$84</c:f>
              <c:strCache>
                <c:ptCount val="5"/>
                <c:pt idx="0">
                  <c:v>Sem 1 (01–07)</c:v>
                </c:pt>
                <c:pt idx="1">
                  <c:v>Sem 2 (08–14)</c:v>
                </c:pt>
                <c:pt idx="2">
                  <c:v>Sem 3 (15–21)</c:v>
                </c:pt>
                <c:pt idx="3">
                  <c:v>Sem 4 (22–28)</c:v>
                </c:pt>
                <c:pt idx="4">
                  <c:v>Sem 5 (29–fim)</c:v>
                </c:pt>
              </c:strCache>
            </c:strRef>
          </c:cat>
          <c:val>
            <c:numRef>
              <c:f>calculos!$BA$80:$BA$84</c:f>
              <c:numCache>
                <c:formatCode>General</c:formatCode>
                <c:ptCount val="5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</c:numCache>
            </c:numRef>
          </c:val>
        </c:ser>
        <c:gapWidth val="70"/>
        <c:overlap val="-10"/>
        <c:axId val="101"/>
        <c:axId val="102"/>
      </c:barChart>
      <c:catAx>
        <c:axId val="101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>
            <a:solidFill>
              <a:srgbClr val="BFBFBF"/>
            </a:solidFill>
          </a:ln>
        </c:spPr>
        <c:txPr>
          <a:bodyPr/>
          <a:lstStyle/>
          <a:p>
            <a:pPr>
              <a:defRPr sz="900" b="0">
                <a:solidFill>
                  <a:srgbClr val="595959"/>
                </a:solidFill>
                <a:latin typeface="Calibri"/>
              </a:defRPr>
            </a:pPr>
            <a:endParaRPr lang="pt-BR"/>
          </a:p>
        </c:txPr>
        <c:crossAx val="102"/>
        <c:crosses val="autoZero"/>
        <c:auto val="1"/>
        <c:lblAlgn val="ctr"/>
        <c:lblOffset val="100"/>
        <c:tickLblSkip val="1"/>
        <c:noMultiLvlLbl val="0"/>
      </c:catAx>
      <c:valAx>
        <c:axId val="102"/>
        <c:scaling>
          <c:orientation val="minMax"/>
          <c:min val="0"/>
        </c:scaling>
        <c:delete val="1"/>
        <c:axPos val="l"/>
        <c:numFmt formatCode="#,##0" sourceLinked="0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>
              <a:defRPr sz="800" b="0">
                <a:solidFill>
                  <a:srgbClr val="595959"/>
                </a:solidFill>
                <a:latin typeface="Calibri"/>
              </a:defRPr>
            </a:pPr>
            <a:endParaRPr lang="pt-BR"/>
          </a:p>
        </c:txPr>
        <c:crossAx val="101"/>
        <c:crosses val="autoZero"/>
        <c:crossBetween val="between"/>
      </c:valAx>
      <c:spPr>
        <a:noFill/>
        <a:ln>
          <a:noFill/>
        </a:ln>
      </c:spPr>
    </c:plotArea>
    <c:legend>
      <c:legendPos val="t"/>
      <c:overlay val="0"/>
      <c:txPr>
        <a:bodyPr/>
        <a:lstStyle/>
        <a:p>
          <a:pPr>
            <a:defRPr sz="900" b="0">
              <a:solidFill>
                <a:srgbClr val="404040"/>
              </a:solidFill>
              <a:latin typeface="Calibri"/>
            </a:defRPr>
          </a:pPr>
          <a:endParaRPr lang="pt-BR"/>
        </a:p>
      </c:txPr>
    </c:legend>
    <c:plotVisOnly val="1"/>
    <c:dispBlanksAs val="gap"/>
  </c:chart>
  <c:spPr>
    <a:solidFill>
      <a:srgbClr val="F2F2F2"/>
    </a:solidFill>
    <a:ln>
      <a:noFill/>
    </a:ln>
  </c:spPr>
  <c:txPr>
    <a:bodyPr/>
    <a:lstStyle/>
    <a:p>
      <a:pPr>
        <a:defRPr sz="900" b="0">
          <a:solidFill>
            <a:srgbClr val="595959"/>
          </a:solidFill>
          <a:latin typeface="Calibri"/>
        </a:defRPr>
      </a:pPr>
      <a:endParaRPr lang="pt-BR"/>
    </a:p>
  </c:tx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image" Target="../media/image1.png"/><Relationship Id="rId2" Type="http://schemas.openxmlformats.org/officeDocument/2006/relationships/image" Target="../media/image2.png"/><Relationship Id="rId3" Type="http://schemas.openxmlformats.org/officeDocument/2006/relationships/image" Target="../media/image3.png"/><Relationship Id="rId4" Type="http://schemas.openxmlformats.org/officeDocument/2006/relationships/image" Target="../media/image4.png"/><Relationship Id="rId5" Type="http://schemas.openxmlformats.org/officeDocument/2006/relationships/image" Target="../media/image5.png"/><Relationship Id="rId6" Type="http://schemas.openxmlformats.org/officeDocument/2006/relationships/image" Target="../media/image6.png"/><Relationship Id="rId7" Type="http://schemas.openxmlformats.org/officeDocument/2006/relationships/chart" Target="../charts/chart1.xml"/><Relationship Id="rId8" Type="http://schemas.openxmlformats.org/officeDocument/2006/relationships/chart" Target="../charts/chart2.xml"/><Relationship Id="rId9" Type="http://schemas.openxmlformats.org/officeDocument/2006/relationships/chart" Target="../charts/chart3.xml"/><Relationship Id="rId10" Type="http://schemas.openxmlformats.org/officeDocument/2006/relationships/chart" Target="../charts/chart4.xml"/><Relationship Id="rId11" Type="http://schemas.openxmlformats.org/officeDocument/2006/relationships/chart" Target="../charts/chart5.xml"/><Relationship Id="rId12" Type="http://schemas.openxmlformats.org/officeDocument/2006/relationships/chart" Target="../charts/chart6.xml"/></Relationships>
</file>

<file path=xl/drawings/_rels/drawing2.xml.rels><?xml version="1.0" encoding="UTF-8" standalone="yes"?>
<Relationships xmlns="http://schemas.openxmlformats.org/package/2006/relationships"><Relationship Id="rId1" Type="http://schemas.openxmlformats.org/officeDocument/2006/relationships/image" Target="../media/image7.png"/></Relationships>
</file>

<file path=xl/drawings/_rels/drawing3.xml.rels><?xml version="1.0" encoding="UTF-8" standalone="yes"?>
<Relationships xmlns="http://schemas.openxmlformats.org/package/2006/relationships"><Relationship Id="rId1" Type="http://schemas.openxmlformats.org/officeDocument/2006/relationships/image" Target="../media/image8.png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oneCellAnchor>
    <xdr:from>
      <xdr:col>1</xdr:col>
      <xdr:colOff>19050</xdr:colOff>
      <xdr:row>0</xdr:row>
      <xdr:rowOff>47625</xdr:rowOff>
    </xdr:from>
    <xdr:ext cx="1152525" cy="323850"/>
    <xdr:pic>
      <xdr:nvPicPr>
        <xdr:cNvPr id="2" name="Imagem 2"/>
        <xdr:cNvPicPr>
          <a:picLocks noChangeAspect="1"/>
        </xdr:cNvPicPr>
      </xdr:nvPicPr>
      <xdr:blipFill>
        <a:blip r:embed="rId1"/>
        <a:stretch>
          <a:fillRect/>
        </a:stretch>
      </xdr:blipFill>
      <xdr:spPr>
        <a:xfrm>
          <a:off x="0" y="0"/>
          <a:ext cx="1152525" cy="323850"/>
        </a:xfrm>
        <a:prstGeom prst="rect">
          <a:avLst/>
        </a:prstGeom>
      </xdr:spPr>
    </xdr:pic>
    <xdr:clientData/>
  </xdr:oneCellAnchor>
  <xdr:oneCellAnchor>
    <xdr:from>
      <xdr:col>1</xdr:col>
      <xdr:colOff>104775</xdr:colOff>
      <xdr:row>5</xdr:row>
      <xdr:rowOff>104775</xdr:rowOff>
    </xdr:from>
    <xdr:ext cx="514350" cy="381000"/>
    <xdr:pic>
      <xdr:nvPicPr>
        <xdr:cNvPr id="3" name="Imagem 3"/>
        <xdr:cNvPicPr>
          <a:picLocks noChangeAspect="1"/>
        </xdr:cNvPicPr>
      </xdr:nvPicPr>
      <xdr:blipFill>
        <a:blip r:embed="rId2"/>
        <a:stretch>
          <a:fillRect/>
        </a:stretch>
      </xdr:blipFill>
      <xdr:spPr>
        <a:xfrm>
          <a:off x="0" y="0"/>
          <a:ext cx="514350" cy="381000"/>
        </a:xfrm>
        <a:prstGeom prst="rect">
          <a:avLst/>
        </a:prstGeom>
      </xdr:spPr>
    </xdr:pic>
    <xdr:clientData/>
  </xdr:oneCellAnchor>
  <xdr:oneCellAnchor>
    <xdr:from>
      <xdr:col>6</xdr:col>
      <xdr:colOff>142875</xdr:colOff>
      <xdr:row>5</xdr:row>
      <xdr:rowOff>104775</xdr:rowOff>
    </xdr:from>
    <xdr:ext cx="438150" cy="381000"/>
    <xdr:pic>
      <xdr:nvPicPr>
        <xdr:cNvPr id="4" name="Imagem 4"/>
        <xdr:cNvPicPr>
          <a:picLocks noChangeAspect="1"/>
        </xdr:cNvPicPr>
      </xdr:nvPicPr>
      <xdr:blipFill>
        <a:blip r:embed="rId3"/>
        <a:stretch>
          <a:fillRect/>
        </a:stretch>
      </xdr:blipFill>
      <xdr:spPr>
        <a:xfrm>
          <a:off x="0" y="0"/>
          <a:ext cx="438150" cy="381000"/>
        </a:xfrm>
        <a:prstGeom prst="rect">
          <a:avLst/>
        </a:prstGeom>
      </xdr:spPr>
    </xdr:pic>
    <xdr:clientData/>
  </xdr:oneCellAnchor>
  <xdr:oneCellAnchor>
    <xdr:from>
      <xdr:col>11</xdr:col>
      <xdr:colOff>142875</xdr:colOff>
      <xdr:row>5</xdr:row>
      <xdr:rowOff>104775</xdr:rowOff>
    </xdr:from>
    <xdr:ext cx="438150" cy="381000"/>
    <xdr:pic>
      <xdr:nvPicPr>
        <xdr:cNvPr id="5" name="Imagem 5"/>
        <xdr:cNvPicPr>
          <a:picLocks noChangeAspect="1"/>
        </xdr:cNvPicPr>
      </xdr:nvPicPr>
      <xdr:blipFill>
        <a:blip r:embed="rId4"/>
        <a:stretch>
          <a:fillRect/>
        </a:stretch>
      </xdr:blipFill>
      <xdr:spPr>
        <a:xfrm>
          <a:off x="0" y="0"/>
          <a:ext cx="438150" cy="381000"/>
        </a:xfrm>
        <a:prstGeom prst="rect">
          <a:avLst/>
        </a:prstGeom>
      </xdr:spPr>
    </xdr:pic>
    <xdr:clientData/>
  </xdr:oneCellAnchor>
  <xdr:oneCellAnchor>
    <xdr:from>
      <xdr:col>16</xdr:col>
      <xdr:colOff>104775</xdr:colOff>
      <xdr:row>5</xdr:row>
      <xdr:rowOff>104775</xdr:rowOff>
    </xdr:from>
    <xdr:ext cx="504825" cy="381000"/>
    <xdr:pic>
      <xdr:nvPicPr>
        <xdr:cNvPr id="6" name="Imagem 6"/>
        <xdr:cNvPicPr>
          <a:picLocks noChangeAspect="1"/>
        </xdr:cNvPicPr>
      </xdr:nvPicPr>
      <xdr:blipFill>
        <a:blip r:embed="rId5"/>
        <a:stretch>
          <a:fillRect/>
        </a:stretch>
      </xdr:blipFill>
      <xdr:spPr>
        <a:xfrm>
          <a:off x="0" y="0"/>
          <a:ext cx="504825" cy="381000"/>
        </a:xfrm>
        <a:prstGeom prst="rect">
          <a:avLst/>
        </a:prstGeom>
      </xdr:spPr>
    </xdr:pic>
    <xdr:clientData/>
  </xdr:oneCellAnchor>
  <xdr:oneCellAnchor>
    <xdr:from>
      <xdr:col>21</xdr:col>
      <xdr:colOff>171450</xdr:colOff>
      <xdr:row>5</xdr:row>
      <xdr:rowOff>104775</xdr:rowOff>
    </xdr:from>
    <xdr:ext cx="381000" cy="381000"/>
    <xdr:pic>
      <xdr:nvPicPr>
        <xdr:cNvPr id="7" name="Imagem 7"/>
        <xdr:cNvPicPr>
          <a:picLocks noChangeAspect="1"/>
        </xdr:cNvPicPr>
      </xdr:nvPicPr>
      <xdr:blipFill>
        <a:blip r:embed="rId6"/>
        <a:stretch>
          <a:fillRect/>
        </a:stretch>
      </xdr:blipFill>
      <xdr:spPr>
        <a:xfrm>
          <a:off x="0" y="0"/>
          <a:ext cx="381000" cy="381000"/>
        </a:xfrm>
        <a:prstGeom prst="rect">
          <a:avLst/>
        </a:prstGeom>
      </xdr:spPr>
    </xdr:pic>
    <xdr:clientData/>
  </xdr:oneCellAnchor>
  <xdr:twoCellAnchor editAs="oneCell">
    <xdr:from>
      <xdr:col>1</xdr:col>
      <xdr:colOff>0</xdr:colOff>
      <xdr:row>14</xdr:row>
      <xdr:rowOff>0</xdr:rowOff>
    </xdr:from>
    <xdr:to>
      <xdr:col>13</xdr:col>
      <xdr:colOff>0</xdr:colOff>
      <xdr:row>30</xdr:row>
      <xdr:rowOff>0</xdr:rowOff>
    </xdr:to>
    <xdr:graphicFrame macro="">
      <xdr:nvGraphicFramePr>
        <xdr:cNvPr id="8" name="Gráfico 8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r:id="rId7"/>
        </a:graphicData>
      </a:graphic>
    </xdr:graphicFrame>
    <xdr:clientData/>
  </xdr:twoCellAnchor>
  <xdr:twoCellAnchor editAs="oneCell">
    <xdr:from>
      <xdr:col>14</xdr:col>
      <xdr:colOff>0</xdr:colOff>
      <xdr:row>14</xdr:row>
      <xdr:rowOff>0</xdr:rowOff>
    </xdr:from>
    <xdr:to>
      <xdr:col>25</xdr:col>
      <xdr:colOff>0</xdr:colOff>
      <xdr:row>30</xdr:row>
      <xdr:rowOff>0</xdr:rowOff>
    </xdr:to>
    <xdr:graphicFrame macro="">
      <xdr:nvGraphicFramePr>
        <xdr:cNvPr id="9" name="Gráfico 9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r:id="rId8"/>
        </a:graphicData>
      </a:graphic>
    </xdr:graphicFrame>
    <xdr:clientData/>
  </xdr:twoCellAnchor>
  <xdr:twoCellAnchor editAs="oneCell">
    <xdr:from>
      <xdr:col>1</xdr:col>
      <xdr:colOff>0</xdr:colOff>
      <xdr:row>31</xdr:row>
      <xdr:rowOff>0</xdr:rowOff>
    </xdr:from>
    <xdr:to>
      <xdr:col>13</xdr:col>
      <xdr:colOff>0</xdr:colOff>
      <xdr:row>47</xdr:row>
      <xdr:rowOff>0</xdr:rowOff>
    </xdr:to>
    <xdr:graphicFrame macro="">
      <xdr:nvGraphicFramePr>
        <xdr:cNvPr id="10" name="Gráfico 10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r:id="rId9"/>
        </a:graphicData>
      </a:graphic>
    </xdr:graphicFrame>
    <xdr:clientData/>
  </xdr:twoCellAnchor>
  <xdr:twoCellAnchor editAs="oneCell">
    <xdr:from>
      <xdr:col>14</xdr:col>
      <xdr:colOff>0</xdr:colOff>
      <xdr:row>31</xdr:row>
      <xdr:rowOff>0</xdr:rowOff>
    </xdr:from>
    <xdr:to>
      <xdr:col>25</xdr:col>
      <xdr:colOff>0</xdr:colOff>
      <xdr:row>47</xdr:row>
      <xdr:rowOff>0</xdr:rowOff>
    </xdr:to>
    <xdr:graphicFrame macro="">
      <xdr:nvGraphicFramePr>
        <xdr:cNvPr id="11" name="Gráfico 1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r:id="rId10"/>
        </a:graphicData>
      </a:graphic>
    </xdr:graphicFrame>
    <xdr:clientData/>
  </xdr:twoCellAnchor>
  <xdr:twoCellAnchor editAs="oneCell">
    <xdr:from>
      <xdr:col>1</xdr:col>
      <xdr:colOff>0</xdr:colOff>
      <xdr:row>48</xdr:row>
      <xdr:rowOff>0</xdr:rowOff>
    </xdr:from>
    <xdr:to>
      <xdr:col>13</xdr:col>
      <xdr:colOff>0</xdr:colOff>
      <xdr:row>64</xdr:row>
      <xdr:rowOff>0</xdr:rowOff>
    </xdr:to>
    <xdr:graphicFrame macro="">
      <xdr:nvGraphicFramePr>
        <xdr:cNvPr id="12" name="Gráfico 12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r:id="rId11"/>
        </a:graphicData>
      </a:graphic>
    </xdr:graphicFrame>
    <xdr:clientData/>
  </xdr:twoCellAnchor>
  <xdr:twoCellAnchor editAs="oneCell">
    <xdr:from>
      <xdr:col>14</xdr:col>
      <xdr:colOff>0</xdr:colOff>
      <xdr:row>48</xdr:row>
      <xdr:rowOff>0</xdr:rowOff>
    </xdr:from>
    <xdr:to>
      <xdr:col>25</xdr:col>
      <xdr:colOff>0</xdr:colOff>
      <xdr:row>64</xdr:row>
      <xdr:rowOff>0</xdr:rowOff>
    </xdr:to>
    <xdr:graphicFrame macro="">
      <xdr:nvGraphicFramePr>
        <xdr:cNvPr id="13" name="Gráfico 13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r:id="rId12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oneCellAnchor>
    <xdr:from>
      <xdr:col>0</xdr:col>
      <xdr:colOff>76200</xdr:colOff>
      <xdr:row>0</xdr:row>
      <xdr:rowOff>47625</xdr:rowOff>
    </xdr:from>
    <xdr:ext cx="1152525" cy="323850"/>
    <xdr:pic>
      <xdr:nvPicPr>
        <xdr:cNvPr id="2" name="Imagem 2"/>
        <xdr:cNvPicPr>
          <a:picLocks noChangeAspect="1"/>
        </xdr:cNvPicPr>
      </xdr:nvPicPr>
      <xdr:blipFill>
        <a:blip r:embed="rId1"/>
        <a:stretch>
          <a:fillRect/>
        </a:stretch>
      </xdr:blipFill>
      <xdr:spPr>
        <a:xfrm>
          <a:off x="0" y="0"/>
          <a:ext cx="1152525" cy="323850"/>
        </a:xfrm>
        <a:prstGeom prst="rect">
          <a:avLst/>
        </a:prstGeom>
      </xdr:spPr>
    </xdr:pic>
    <xdr:clientData/>
  </xdr:oneCellAnchor>
</xdr:wsDr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oneCellAnchor>
    <xdr:from>
      <xdr:col>1</xdr:col>
      <xdr:colOff>19050</xdr:colOff>
      <xdr:row>0</xdr:row>
      <xdr:rowOff>47625</xdr:rowOff>
    </xdr:from>
    <xdr:ext cx="1152525" cy="323850"/>
    <xdr:pic>
      <xdr:nvPicPr>
        <xdr:cNvPr id="2" name="Imagem 2"/>
        <xdr:cNvPicPr>
          <a:picLocks noChangeAspect="1"/>
        </xdr:cNvPicPr>
      </xdr:nvPicPr>
      <xdr:blipFill>
        <a:blip r:embed="rId1"/>
        <a:stretch>
          <a:fillRect/>
        </a:stretch>
      </xdr:blipFill>
      <xdr:spPr>
        <a:xfrm>
          <a:off x="0" y="0"/>
          <a:ext cx="1152525" cy="323850"/>
        </a:xfrm>
        <a:prstGeom prst="rect">
          <a:avLst/>
        </a:prstGeom>
      </xdr:spPr>
    </xdr:pic>
    <xdr:clientData/>
  </xdr:oneCellAnchor>
</xdr:wsDr>
</file>

<file path=xl/tables/table1.xml><?xml version="1.0" encoding="utf-8"?>
<table xmlns="http://schemas.openxmlformats.org/spreadsheetml/2006/main" id="1" name="tbBase" displayName="tbBase" ref="A2:V3" totalsRowShown="0">
  <autoFilter ref="A2:V3"/>
  <tableColumns count="22">
    <tableColumn id="1" name="Data"/>
    <tableColumn id="2" name="Cliente"/>
    <tableColumn id="3" name="IN Veículos Recebidos"/>
    <tableColumn id="4" name="IN Pallets Movimentados"/>
    <tableColumn id="5" name="IN Toneladas Movimentadas"/>
    <tableColumn id="6" name="OUT Veículos Expedidos"/>
    <tableColumn id="7" name="OUT Pallets Movimentados"/>
    <tableColumn id="8" name="OUT Toneladas Movimentadas"/>
    <tableColumn id="9" name="NC Incidentes"/>
    <tableColumn id="10" name="NC No show"/>
    <tableColumn id="11" name="NC Backlog"/>
    <tableColumn id="12" name="Posições Disponíveis"/>
    <tableColumn id="13" name="Posições Ocupadas"/>
    <tableColumn id="14" name="Efetivo Op."/>
    <tableColumn id="15" name="Falta"/>
    <tableColumn id="16" name="Folga"/>
    <tableColumn id="17" name="Férias"/>
    <tableColumn id="18" name="Desligamento"/>
    <tableColumn id="19" name="Desvios Comportamentais"/>
    <tableColumn id="20" name="Acidentes CAF"/>
    <tableColumn id="21" name="Acidentes SAF"/>
    <tableColumn id="22" name="Modalidade"/>
  </tableColumns>
  <tableStyleInfo name="TableStyleLight1" showFirstColumn="0" showLastColumn="0" showRowStripes="1" showColumnStripes="0"/>
</tabl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5.xml.rels><?xml version="1.0" encoding="UTF-8" standalone="yes"?>
<Relationships xmlns="http://schemas.openxmlformats.org/package/2006/relationships"><Relationship Id="rIdT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>
  <sheetPr>
    <tabColor rgb="FFE01E1E"/>
    <pageSetUpPr fitToPage="1"/>
  </sheetPr>
  <dimension ref="A1:Z65"/>
  <sheetViews>
    <sheetView showGridLines="0" tabSelected="1" zoomScale="90" zoomScaleNormal="90" workbookViewId="0"/>
  </sheetViews>
  <sheetFormatPr defaultRowHeight="15"/>
  <cols>
    <col min="1" max="1" width="1.5" customWidth="1"/>
    <col min="2" max="2" width="10" customWidth="1"/>
    <col min="3" max="3" width="10" customWidth="1"/>
    <col min="4" max="4" width="10" customWidth="1"/>
    <col min="5" max="5" width="10" customWidth="1"/>
    <col min="6" max="6" width="1.8" customWidth="1"/>
    <col min="7" max="7" width="10" customWidth="1"/>
    <col min="8" max="8" width="10" customWidth="1"/>
    <col min="9" max="9" width="10" customWidth="1"/>
    <col min="10" max="10" width="10" customWidth="1"/>
    <col min="11" max="11" width="1.8" customWidth="1"/>
    <col min="12" max="12" width="10" customWidth="1"/>
    <col min="13" max="13" width="10" customWidth="1"/>
    <col min="14" max="14" width="10" customWidth="1"/>
    <col min="15" max="15" width="10" customWidth="1"/>
    <col min="16" max="16" width="1.8" customWidth="1"/>
    <col min="17" max="17" width="10" customWidth="1"/>
    <col min="18" max="18" width="10" customWidth="1"/>
    <col min="19" max="19" width="10" customWidth="1"/>
    <col min="20" max="20" width="10" customWidth="1"/>
    <col min="21" max="21" width="1.8" customWidth="1"/>
    <col min="22" max="22" width="10" customWidth="1"/>
    <col min="23" max="23" width="10" customWidth="1"/>
    <col min="24" max="24" width="10" customWidth="1"/>
    <col min="25" max="25" width="10" customWidth="1"/>
    <col min="26" max="26" width="1.5" customWidth="1"/>
  </cols>
  <sheetData>
    <row r="1" ht="34.5" customHeight="1">
      <c r="A1" s="90"/>
      <c r="B1" s="90"/>
      <c r="C1" s="90"/>
      <c r="D1" s="90"/>
      <c r="E1" s="90"/>
      <c r="F1" s="90"/>
      <c r="G1" s="92" t="inlineStr">
        <is>
          <t xml:space="preserve">DASHBOARD · INDICADORES OPERACIONAIS</t>
        </is>
      </c>
      <c r="H1" s="92"/>
      <c r="I1" s="92"/>
      <c r="J1" s="92"/>
      <c r="K1" s="92"/>
      <c r="L1" s="92"/>
      <c r="M1" s="92"/>
      <c r="N1" s="92"/>
      <c r="O1" s="92"/>
      <c r="P1" s="92"/>
      <c r="Q1" s="92"/>
      <c r="R1" s="92"/>
      <c r="S1" s="92"/>
      <c r="T1" s="92"/>
      <c r="U1" s="92"/>
      <c r="V1" s="92"/>
      <c r="W1" s="92"/>
      <c r="X1" s="92"/>
      <c r="Y1" s="92"/>
      <c r="Z1" s="92"/>
    </row>
    <row r="3" ht="26" customHeight="1">
      <c r="B3" s="93" t="inlineStr">
        <is>
          <t xml:space="preserve">CLIENTE  ▸</t>
        </is>
      </c>
      <c r="C3" s="93"/>
      <c r="D3" s="94" t="inlineStr">
        <is>
          <t xml:space="preserve">Todos</t>
        </is>
      </c>
      <c r="E3" s="95"/>
      <c r="F3" s="95"/>
      <c r="G3" s="95"/>
      <c r="H3" s="95"/>
      <c r="I3" s="96"/>
      <c r="L3" s="93" t="inlineStr">
        <is>
          <t xml:space="preserve">PERÍODO  ▸</t>
        </is>
      </c>
      <c r="M3" s="93"/>
      <c r="N3" s="93"/>
      <c r="O3" s="93"/>
      <c r="Q3" s="97">
        <v>46296</v>
      </c>
      <c r="R3" s="98"/>
      <c r="S3" s="99"/>
      <c r="T3" s="100" t="inlineStr">
        <is>
          <t xml:space="preserve">até</t>
        </is>
      </c>
      <c r="V3" s="97">
        <v>46326</v>
      </c>
      <c r="W3" s="98"/>
      <c r="X3" s="99"/>
    </row>
    <row r="4" ht="16" customHeight="1">
      <c r="B4" s="101" t="str">
        <f>"Período "&amp;TEXT(calculos!$F$7,"dd/mm")&amp;"/"&amp;YEAR(calculos!$F$7)&amp;" a "&amp;TEXT(calculos!$G$7,"dd/mm")&amp;"/"&amp;YEAR(calculos!$G$7)&amp;"   ·   ▲▼ comparado a "&amp;TEXT(calculos!$F$8,"dd/mm")&amp;"–"&amp;TEXT(calculos!$G$8,"dd/mm")&amp;" (mesmo número de dias)   ·   gráficos diários: "&amp;calculos!$B$7</f>
        <v>Período 01/10/2026 a 31/10/2026   ·   ▲▼ comparado a 31/08–30/09 (mesmo número de dias)   ·   gráficos diários: Outubro/2026</v>
      </c>
      <c r="C4" s="101"/>
      <c r="D4" s="101"/>
      <c r="E4" s="101"/>
      <c r="F4" s="101"/>
      <c r="G4" s="101"/>
      <c r="H4" s="101"/>
      <c r="I4" s="101"/>
      <c r="J4" s="101"/>
      <c r="K4" s="101"/>
      <c r="L4" s="101"/>
      <c r="M4" s="101"/>
      <c r="N4" s="101"/>
      <c r="O4" s="101"/>
      <c r="P4" s="101"/>
      <c r="Q4" s="101"/>
      <c r="R4" s="101"/>
      <c r="S4" s="101"/>
      <c r="T4" s="101"/>
      <c r="U4" s="101"/>
      <c r="V4" s="101"/>
      <c r="W4" s="101"/>
      <c r="X4" s="101"/>
      <c r="Y4" s="101"/>
    </row>
    <row r="6" ht="46" customHeight="1">
      <c r="B6" s="108"/>
      <c r="C6" s="109" t="str">
        <f>Config!$B$17&amp;""</f>
        <v>RECEBIMENTO (IN)</v>
      </c>
      <c r="D6" s="109"/>
      <c r="E6" s="109"/>
      <c r="G6" s="114"/>
      <c r="H6" s="115" t="str">
        <f>Config!$B$19&amp;""</f>
        <v>EXPEDIÇÃO (OUT)</v>
      </c>
      <c r="I6" s="115"/>
      <c r="J6" s="115"/>
      <c r="L6" s="116"/>
      <c r="M6" s="117" t="str">
        <f>Config!$B$21&amp;""</f>
        <v>NC OPERACIONAL</v>
      </c>
      <c r="N6" s="117"/>
      <c r="O6" s="117"/>
      <c r="Q6" s="108"/>
      <c r="R6" s="109" t="str">
        <f>Config!$B$25&amp;""</f>
        <v>ÍNDICE DE OCUPAÇÃO (P.P)</v>
      </c>
      <c r="S6" s="109"/>
      <c r="T6" s="109"/>
      <c r="V6" s="126"/>
      <c r="W6" s="127" t="str">
        <f>Config!$B$31&amp;""</f>
        <v>GENTE</v>
      </c>
      <c r="X6" s="127"/>
      <c r="Y6" s="127"/>
    </row>
    <row r="7" ht="20" customHeight="1">
      <c r="B7" s="110">
        <f>IF(calculos!$AX$295="Não se aplica","—",calculos!$B$266)</f>
        <v>0</v>
      </c>
      <c r="C7" s="110"/>
      <c r="D7" s="110"/>
      <c r="E7" s="110"/>
      <c r="G7" s="110">
        <f>IF(calculos!$AY$295="Não se aplica","—",calculos!$B$269)</f>
        <v>0</v>
      </c>
      <c r="H7" s="110"/>
      <c r="I7" s="110"/>
      <c r="J7" s="110"/>
      <c r="L7" s="110">
        <f>calculos!$B$272</f>
        <v>0</v>
      </c>
      <c r="M7" s="110"/>
      <c r="N7" s="110"/>
      <c r="O7" s="110"/>
      <c r="Q7" s="118" t="str">
        <f>IF(OR(calculos!$AZ$295="Completo",calculos!$AZ$295=""),calculos!$BA$295&amp;"","")</f>
        <v>ARMAZÉM</v>
      </c>
      <c r="R7" s="118"/>
      <c r="S7" s="122" t="str">
        <f>IF(OR(calculos!$AZ$295="Completo",calculos!$AZ$295=""),calculos!$B$276,"")</f>
        <v/>
      </c>
      <c r="T7" s="122"/>
      <c r="V7" s="118" t="str">
        <f>Config!$B$32&amp;""</f>
        <v>EFETIVO</v>
      </c>
      <c r="W7" s="118"/>
      <c r="X7" s="119" t="str">
        <f>calculos!$B$279</f>
        <v/>
      </c>
      <c r="Y7" s="119"/>
    </row>
    <row r="8" ht="20" customHeight="1">
      <c r="B8" s="110"/>
      <c r="C8" s="110"/>
      <c r="D8" s="110"/>
      <c r="E8" s="110"/>
      <c r="G8" s="110"/>
      <c r="H8" s="110"/>
      <c r="I8" s="110"/>
      <c r="J8" s="110"/>
      <c r="L8" s="110"/>
      <c r="M8" s="110"/>
      <c r="N8" s="110"/>
      <c r="O8" s="110"/>
      <c r="Q8" s="118" t="str">
        <f>IF(calculos!$AZ$295="Não se aplica","",Config!$B$28&amp;"")</f>
        <v>OCUPADA</v>
      </c>
      <c r="R8" s="118"/>
      <c r="S8" s="122" t="str">
        <f>IF(calculos!$AZ$295="Não se aplica","",calculos!$B$275)</f>
        <v/>
      </c>
      <c r="T8" s="122"/>
      <c r="V8" s="118" t="str">
        <f>Config!$B$33&amp;""</f>
        <v>ABSENTEÍSMO (H/H)</v>
      </c>
      <c r="W8" s="118"/>
      <c r="X8" s="123" t="str">
        <f>calculos!$B$282</f>
        <v/>
      </c>
      <c r="Y8" s="123"/>
    </row>
    <row r="9" ht="20" customHeight="1">
      <c r="B9" s="110"/>
      <c r="C9" s="110"/>
      <c r="D9" s="110"/>
      <c r="E9" s="110"/>
      <c r="G9" s="110"/>
      <c r="H9" s="110"/>
      <c r="I9" s="110"/>
      <c r="J9" s="110"/>
      <c r="L9" s="110"/>
      <c r="M9" s="110"/>
      <c r="N9" s="110"/>
      <c r="O9" s="110"/>
      <c r="Q9" s="118" t="str">
        <f>IF(OR(calculos!$AZ$295="Completo",calculos!$AZ$295=""),Config!$B$29&amp;"","")</f>
        <v>TX OCUPAÇÃO</v>
      </c>
      <c r="R9" s="118"/>
      <c r="S9" s="123" t="str">
        <f>IF(OR(calculos!$AZ$295="Completo",calculos!$AZ$295=""),calculos!$B$277,"")</f>
        <v/>
      </c>
      <c r="T9" s="123"/>
      <c r="V9" s="118" t="str">
        <f>Config!$B$34&amp;""</f>
        <v>FÉRIAS</v>
      </c>
      <c r="W9" s="118"/>
      <c r="X9" s="119">
        <f>calculos!$B$284</f>
        <v>0</v>
      </c>
      <c r="Y9" s="119"/>
    </row>
    <row r="10" ht="20" customHeight="1">
      <c r="B10" s="111" t="str">
        <f>IF(calculos!$AX$295="Não se aplica","não se aplica a este cliente",Config!$B$18&amp;"")</f>
        <v>veículos recebidos</v>
      </c>
      <c r="C10" s="111"/>
      <c r="D10" s="111"/>
      <c r="E10" s="111"/>
      <c r="G10" s="111" t="str">
        <f>IF(calculos!$AY$295="Não se aplica","não se aplica a este cliente",Config!$B$20&amp;"")</f>
        <v>veículos expedidos</v>
      </c>
      <c r="H10" s="111"/>
      <c r="I10" s="111"/>
      <c r="J10" s="111"/>
      <c r="L10" s="111" t="str">
        <f>Config!$B$22&amp;""</f>
        <v>incidentes no período</v>
      </c>
      <c r="M10" s="111"/>
      <c r="N10" s="111"/>
      <c r="O10" s="111"/>
      <c r="Q10" s="118" t="str">
        <f>IF(OR(calculos!$AZ$295="Completo",calculos!$AZ$295=""),Config!$B$30&amp;"","")</f>
        <v>OCIOSIDADE</v>
      </c>
      <c r="R10" s="118"/>
      <c r="S10" s="124" t="str">
        <f>IF(OR(calculos!$AZ$295="Completo",calculos!$AZ$295=""),calculos!$B$278,"")</f>
        <v/>
      </c>
      <c r="T10" s="124"/>
      <c r="V10" s="118" t="str">
        <f>Config!$B$35&amp;""</f>
        <v>TURNOVER</v>
      </c>
      <c r="W10" s="118"/>
      <c r="X10" s="123" t="str">
        <f>calculos!$B$286</f>
        <v/>
      </c>
      <c r="Y10" s="123"/>
    </row>
    <row r="11" ht="20" customHeight="1">
      <c r="B11" s="112" t="str">
        <f>IF(calculos!$AX$295="Não se aplica","",calculos!$B$293)</f>
        <v>0 pallets movimentados</v>
      </c>
      <c r="C11" s="112"/>
      <c r="D11" s="112"/>
      <c r="E11" s="112"/>
      <c r="G11" s="112" t="str">
        <f>IF(calculos!$AY$295="Não se aplica","",calculos!$F$293)</f>
        <v>0 pallets movimentados</v>
      </c>
      <c r="H11" s="112"/>
      <c r="I11" s="112"/>
      <c r="J11" s="112"/>
      <c r="L11" s="118" t="str">
        <f>Config!$B$23&amp;""</f>
        <v>NO SHOW</v>
      </c>
      <c r="M11" s="118"/>
      <c r="N11" s="119">
        <f>calculos!$B$273</f>
        <v>0</v>
      </c>
      <c r="O11" s="119"/>
      <c r="Q11" s="125" t="str">
        <f>IF(calculos!$AZ$295="Não se aplica","não se aplica a este cliente",IF(calculos!$AZ$295="Só ocupadas","só posições ocupadas · sem contrato (Spot / Cross)",IF(ISNUMBER(calculos!$B$277),"taxa de ocupação · "&amp;IF(calculos!$B$277&gt;1,"excede o contratado",IF(calculos!$B$277&gt;=calculos!$B$6,"ocupação alta",IF(calculos!$B$277&gt;=calculos!$B$5,"ocupação média","ociosidade alta"))),"")))</f>
        <v/>
      </c>
      <c r="R11" s="125"/>
      <c r="S11" s="125"/>
      <c r="T11" s="125"/>
      <c r="V11" s="118" t="str">
        <f>Config!$B$36&amp;""</f>
        <v>DESVIOS COMPORTAM.</v>
      </c>
      <c r="W11" s="118"/>
      <c r="X11" s="119">
        <f>calculos!$B$287</f>
        <v>0</v>
      </c>
      <c r="Y11" s="119"/>
    </row>
    <row r="12" ht="20" customHeight="1">
      <c r="B12" s="112" t="str">
        <f>IF(calculos!$AX$295="Não se aplica","",calculos!$D$293)</f>
        <v>0,0 t movimentadas</v>
      </c>
      <c r="C12" s="112"/>
      <c r="D12" s="112"/>
      <c r="E12" s="112"/>
      <c r="G12" s="112" t="str">
        <f>IF(calculos!$AY$295="Não se aplica","",calculos!$H$293)</f>
        <v>0,0 t movimentadas</v>
      </c>
      <c r="H12" s="112"/>
      <c r="I12" s="112"/>
      <c r="J12" s="112"/>
      <c r="L12" s="120" t="str">
        <f>Config!$B$24&amp;""</f>
        <v>BACKLOG</v>
      </c>
      <c r="M12" s="120"/>
      <c r="N12" s="121" t="str">
        <f>calculos!$B$274</f>
        <v/>
      </c>
      <c r="O12" s="121"/>
      <c r="Q12" s="125"/>
      <c r="R12" s="125"/>
      <c r="S12" s="125"/>
      <c r="T12" s="125"/>
      <c r="V12" s="120" t="str">
        <f>Config!$B$37&amp;""</f>
        <v>ACIDENTES (CAF/SAF)</v>
      </c>
      <c r="W12" s="120"/>
      <c r="X12" s="128" t="str">
        <f>N(calculos!$B$288)&amp;" / "&amp;N(calculos!$B$289)</f>
        <v>0 / 0</v>
      </c>
      <c r="Y12" s="128"/>
    </row>
    <row r="13" ht="18" customHeight="1">
      <c r="B13" s="113" t="str">
        <f>IF(calculos!$AX$295="Não se aplica","",calculos!$D$266)</f>
        <v/>
      </c>
      <c r="C13" s="113"/>
      <c r="D13" s="113"/>
      <c r="E13" s="113"/>
      <c r="G13" s="113" t="str">
        <f>IF(calculos!$AY$295="Não se aplica","",calculos!$D$269)</f>
        <v/>
      </c>
      <c r="H13" s="113"/>
      <c r="I13" s="113"/>
      <c r="J13" s="113"/>
      <c r="L13" s="113" t="str">
        <f>calculos!$D$272</f>
        <v/>
      </c>
      <c r="M13" s="113"/>
      <c r="N13" s="113"/>
      <c r="O13" s="113"/>
      <c r="Q13" s="113" t="str">
        <f>IF(AND(calculos!$AZ$295&lt;&gt;"Completo",calculos!$AZ$295&lt;&gt;""),"",calculos!$D$277)</f>
        <v/>
      </c>
      <c r="R13" s="113"/>
      <c r="S13" s="113"/>
      <c r="T13" s="113"/>
      <c r="V13" s="113" t="str">
        <f>calculos!$D$279</f>
        <v/>
      </c>
      <c r="W13" s="113"/>
      <c r="X13" s="113"/>
      <c r="Y13" s="113"/>
    </row>
    <row r="65">
      <c r="B65" s="129" t="inlineStr">
        <is>
          <t xml:space="preserve">Cards: período digitado (dia inicial e final). Gráficos: mês do dia inicial. Absenteísmo (H/H) = faltas ÷ homem-dia (soma do efetivo diário) · Turnover = desligamentos ÷ efetivo · CAF/SAF = acidentes com / sem afastamento. Metas: aba BD.</t>
        </is>
      </c>
      <c r="C65" s="129"/>
      <c r="D65" s="129"/>
      <c r="E65" s="129"/>
      <c r="F65" s="129"/>
      <c r="G65" s="129"/>
      <c r="H65" s="129"/>
      <c r="I65" s="129"/>
      <c r="J65" s="129"/>
      <c r="K65" s="129"/>
      <c r="L65" s="129"/>
      <c r="M65" s="129"/>
      <c r="N65" s="129"/>
      <c r="O65" s="129"/>
      <c r="P65" s="129"/>
      <c r="Q65" s="129"/>
      <c r="R65" s="129"/>
      <c r="S65" s="129"/>
      <c r="T65" s="129"/>
      <c r="U65" s="129"/>
      <c r="V65" s="129"/>
      <c r="W65" s="129"/>
      <c r="X65" s="129"/>
      <c r="Y65" s="129"/>
    </row>
  </sheetData>
  <sheetProtection password="CC30" sheet="1" objects="1" scenarios="1"/>
  <mergeCells count="53">
    <mergeCell ref="G1:Z1"/>
    <mergeCell ref="B3:C3"/>
    <mergeCell ref="D3:I3"/>
    <mergeCell ref="L3:O3"/>
    <mergeCell ref="Q3:S3"/>
    <mergeCell ref="V3:X3"/>
    <mergeCell ref="B4:Y4"/>
    <mergeCell ref="C6:E6"/>
    <mergeCell ref="B7:E9"/>
    <mergeCell ref="B10:E10"/>
    <mergeCell ref="B11:E11"/>
    <mergeCell ref="B12:E12"/>
    <mergeCell ref="B13:E13"/>
    <mergeCell ref="H6:J6"/>
    <mergeCell ref="G7:J9"/>
    <mergeCell ref="G10:J10"/>
    <mergeCell ref="G11:J11"/>
    <mergeCell ref="G12:J12"/>
    <mergeCell ref="G13:J13"/>
    <mergeCell ref="M6:O6"/>
    <mergeCell ref="L7:O9"/>
    <mergeCell ref="L10:O10"/>
    <mergeCell ref="L11:M11"/>
    <mergeCell ref="N11:O11"/>
    <mergeCell ref="L12:M12"/>
    <mergeCell ref="N12:O12"/>
    <mergeCell ref="L13:O13"/>
    <mergeCell ref="R6:T6"/>
    <mergeCell ref="Q7:R7"/>
    <mergeCell ref="S7:T7"/>
    <mergeCell ref="Q8:R8"/>
    <mergeCell ref="S8:T8"/>
    <mergeCell ref="Q9:R9"/>
    <mergeCell ref="S9:T9"/>
    <mergeCell ref="Q10:R10"/>
    <mergeCell ref="S10:T10"/>
    <mergeCell ref="Q11:T12"/>
    <mergeCell ref="Q13:T13"/>
    <mergeCell ref="W6:Y6"/>
    <mergeCell ref="V7:W7"/>
    <mergeCell ref="X7:Y7"/>
    <mergeCell ref="V8:W8"/>
    <mergeCell ref="X8:Y8"/>
    <mergeCell ref="V9:W9"/>
    <mergeCell ref="X9:Y9"/>
    <mergeCell ref="V10:W10"/>
    <mergeCell ref="X10:Y10"/>
    <mergeCell ref="V11:W11"/>
    <mergeCell ref="X11:Y11"/>
    <mergeCell ref="V12:W12"/>
    <mergeCell ref="X12:Y12"/>
    <mergeCell ref="V13:Y13"/>
    <mergeCell ref="B65:Y65"/>
  </mergeCells>
  <conditionalFormatting sqref="B13">
    <cfRule type="expression" dxfId="6" priority="1">
      <formula>AND(ISNUMBER(B13),B13&gt;0)</formula>
    </cfRule>
  </conditionalFormatting>
  <conditionalFormatting sqref="B13">
    <cfRule type="expression" dxfId="7" priority="2">
      <formula>AND(ISNUMBER(B13),B13&lt;0)</formula>
    </cfRule>
  </conditionalFormatting>
  <conditionalFormatting sqref="G13">
    <cfRule type="expression" dxfId="6" priority="3">
      <formula>AND(ISNUMBER(G13),G13&gt;0)</formula>
    </cfRule>
  </conditionalFormatting>
  <conditionalFormatting sqref="G13">
    <cfRule type="expression" dxfId="7" priority="4">
      <formula>AND(ISNUMBER(G13),G13&lt;0)</formula>
    </cfRule>
  </conditionalFormatting>
  <conditionalFormatting sqref="L13">
    <cfRule type="expression" dxfId="6" priority="5">
      <formula>AND(ISNUMBER(L13),L13&lt;0)</formula>
    </cfRule>
  </conditionalFormatting>
  <conditionalFormatting sqref="L13">
    <cfRule type="expression" dxfId="7" priority="6">
      <formula>AND(ISNUMBER(L13),L13&gt;0)</formula>
    </cfRule>
  </conditionalFormatting>
  <conditionalFormatting sqref="S9">
    <cfRule type="expression" dxfId="6" priority="7" stopIfTrue="1">
      <formula>AND(ISNUMBER(S9),S9&gt;=calculos!$B$6)</formula>
    </cfRule>
  </conditionalFormatting>
  <conditionalFormatting sqref="S9">
    <cfRule type="expression" dxfId="8" priority="8" stopIfTrue="1">
      <formula>AND(ISNUMBER(S9),S9&gt;=calculos!$B$5)</formula>
    </cfRule>
  </conditionalFormatting>
  <conditionalFormatting sqref="S9">
    <cfRule type="expression" dxfId="7" priority="9">
      <formula>ISNUMBER(S9)</formula>
    </cfRule>
  </conditionalFormatting>
  <conditionalFormatting sqref="X11">
    <cfRule type="expression" dxfId="7" priority="10" stopIfTrue="1">
      <formula>N(calculos!$B$287)&gt;0</formula>
    </cfRule>
  </conditionalFormatting>
  <conditionalFormatting sqref="X11">
    <cfRule type="expression" dxfId="6" priority="11">
      <formula>N(calculos!$B$287)=0</formula>
    </cfRule>
  </conditionalFormatting>
  <conditionalFormatting sqref="X12">
    <cfRule type="expression" dxfId="7" priority="12" stopIfTrue="1">
      <formula>N(calculos!$B$288)+N(calculos!$B$289)&gt;0</formula>
    </cfRule>
  </conditionalFormatting>
  <conditionalFormatting sqref="X12">
    <cfRule type="expression" dxfId="6" priority="13">
      <formula>N(calculos!$B$288)+N(calculos!$B$289)=0</formula>
    </cfRule>
  </conditionalFormatting>
  <dataValidations count="3">
    <dataValidation type="list" allowBlank="1" showInputMessage="1" showErrorMessage="1" promptTitle="Cliente" prompt="Escolha na lista. Cards e gráficos se atualizam." errorTitle="Valor inválido" error="Escolha um valor da lista." sqref="D3">
      <formula1>calculos!$AN$12:$AN$17</formula1>
    </dataValidation>
    <dataValidation type="date" operator="greaterThanOrEqual" allowBlank="1" showInputMessage="1" showErrorMessage="1" promptTitle="Dia inicial" prompt="Digite a data inicial (dd/mm/aaaa)." errorTitle="Valor inválido" error="Digite uma data válida (dd/mm/aaaa)." sqref="Q3">
      <formula1>43831</formula1>
    </dataValidation>
    <dataValidation type="date" operator="greaterThanOrEqual" allowBlank="1" showInputMessage="1" showErrorMessage="1" promptTitle="Dia final" prompt="Digite a data final (dd/mm/aaaa)." errorTitle="Valor inválido" error="Digite uma data válida (dd/mm/aaaa)." sqref="V3">
      <formula1>43831</formula1>
    </dataValidation>
  </dataValidations>
  <pageMargins left="0.25" right="0.25" top="0.4" bottom="0.4" header="0.2" footer="0.2"/>
  <pageSetup paperSize="9" orientation="landscape" fitToWidth="1" fitToHeight="1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>
  <sheetPr>
    <tabColor rgb="FFC00000"/>
    <pageSetUpPr fitToPage="1"/>
  </sheetPr>
  <dimension ref="A1:AK100"/>
  <sheetViews>
    <sheetView showGridLines="0" zoomScale="100" zoomScaleNormal="100" workbookViewId="0">
      <pane xSplit="5" ySplit="4" topLeftCell="F5" activePane="bottomRight" state="frozen"/>
      <selection pane="bottomRight" activeCell="F5" sqref="F5"/>
    </sheetView>
  </sheetViews>
  <sheetFormatPr defaultRowHeight="15"/>
  <cols>
    <col min="1" max="1" width="13" customWidth="1"/>
    <col min="2" max="2" width="17.3" customWidth="1"/>
    <col min="3" max="3" width="24" customWidth="1"/>
    <col min="4" max="4" width="8" customWidth="1"/>
    <col min="5" max="5" width="1.6" customWidth="1"/>
    <col min="6" max="6" width="6.3" customWidth="1"/>
    <col min="7" max="7" width="6.3" customWidth="1"/>
    <col min="8" max="8" width="6.3" customWidth="1"/>
    <col min="9" max="9" width="6.3" customWidth="1"/>
    <col min="10" max="10" width="6.3" customWidth="1"/>
    <col min="11" max="11" width="6.3" customWidth="1"/>
    <col min="12" max="12" width="6.3" customWidth="1"/>
    <col min="13" max="13" width="6.3" customWidth="1"/>
    <col min="14" max="14" width="6.3" customWidth="1"/>
    <col min="15" max="15" width="6.3" customWidth="1"/>
    <col min="16" max="16" width="6.3" customWidth="1"/>
    <col min="17" max="17" width="6.3" customWidth="1"/>
    <col min="18" max="18" width="6.3" customWidth="1"/>
    <col min="19" max="19" width="6.3" customWidth="1"/>
    <col min="20" max="20" width="6.3" customWidth="1"/>
    <col min="21" max="21" width="6.3" customWidth="1"/>
    <col min="22" max="22" width="6.3" customWidth="1"/>
    <col min="23" max="23" width="6.3" customWidth="1"/>
    <col min="24" max="24" width="6.3" customWidth="1"/>
    <col min="25" max="25" width="6.3" customWidth="1"/>
    <col min="26" max="26" width="6.3" customWidth="1"/>
    <col min="27" max="27" width="6.3" customWidth="1"/>
    <col min="28" max="28" width="6.3" customWidth="1"/>
    <col min="29" max="29" width="6.3" customWidth="1"/>
    <col min="30" max="30" width="6.3" customWidth="1"/>
    <col min="31" max="31" width="6.3" customWidth="1"/>
    <col min="32" max="32" width="6.3" customWidth="1"/>
    <col min="33" max="33" width="6.3" customWidth="1"/>
    <col min="34" max="34" width="6.3" customWidth="1"/>
    <col min="35" max="35" width="6.3" customWidth="1"/>
    <col min="36" max="36" width="6.3" customWidth="1"/>
    <col min="37" max="37" width="9.5" customWidth="1"/>
  </cols>
  <sheetData>
    <row r="1" ht="34.5" customHeight="1">
      <c r="A1" s="90"/>
      <c r="B1" s="90"/>
      <c r="C1" s="90"/>
      <c r="D1" s="90"/>
      <c r="E1" s="90"/>
      <c r="F1" s="90"/>
      <c r="G1" s="130" t="inlineStr">
        <is>
          <t xml:space="preserve">MONITORAMENTO DIÁRIO DE PERFORMANCE</t>
        </is>
      </c>
      <c r="H1" s="130"/>
      <c r="I1" s="130"/>
      <c r="J1" s="130"/>
      <c r="K1" s="130"/>
      <c r="L1" s="130"/>
      <c r="M1" s="130"/>
      <c r="N1" s="130"/>
      <c r="O1" s="130"/>
      <c r="P1" s="130"/>
      <c r="Q1" s="130"/>
      <c r="R1" s="130"/>
      <c r="S1" s="130"/>
      <c r="T1" s="130"/>
      <c r="U1" s="130"/>
      <c r="V1" s="130"/>
      <c r="W1" s="130"/>
      <c r="X1" s="130"/>
      <c r="Y1" s="130"/>
      <c r="Z1" s="130"/>
      <c r="AA1" s="130"/>
      <c r="AB1" s="130"/>
      <c r="AC1" s="130"/>
      <c r="AD1" s="130"/>
      <c r="AE1" s="131" t="inlineStr">
        <is>
          <t xml:space="preserve">OUTUBRO · 2026</t>
        </is>
      </c>
      <c r="AF1" s="131"/>
      <c r="AG1" s="131"/>
      <c r="AH1" s="131"/>
      <c r="AI1" s="131"/>
      <c r="AJ1" s="131"/>
      <c r="AK1" s="131"/>
    </row>
    <row r="2" ht="19.5" customHeight="1">
      <c r="A2" s="132" t="inlineStr">
        <is>
          <t xml:space="preserve">CLIENTE</t>
        </is>
      </c>
      <c r="B2" s="134" t="inlineStr">
        <is>
          <t xml:space="preserve">INDICADORES</t>
        </is>
      </c>
      <c r="C2" s="135"/>
      <c r="D2" s="138" t="inlineStr">
        <is>
          <t xml:space="preserve">META</t>
        </is>
      </c>
      <c r="F2" s="140" t="inlineStr">
        <is>
          <t xml:space="preserve">REALIZADO P/DIA</t>
        </is>
      </c>
      <c r="G2" s="141"/>
      <c r="H2" s="141"/>
      <c r="I2" s="141"/>
      <c r="J2" s="141"/>
      <c r="K2" s="141"/>
      <c r="L2" s="141"/>
      <c r="M2" s="141"/>
      <c r="N2" s="141"/>
      <c r="O2" s="141"/>
      <c r="P2" s="141"/>
      <c r="Q2" s="141"/>
      <c r="R2" s="141"/>
      <c r="S2" s="141"/>
      <c r="T2" s="141"/>
      <c r="U2" s="141"/>
      <c r="V2" s="141"/>
      <c r="W2" s="141"/>
      <c r="X2" s="141"/>
      <c r="Y2" s="141"/>
      <c r="Z2" s="141"/>
      <c r="AA2" s="141"/>
      <c r="AB2" s="141"/>
      <c r="AC2" s="141"/>
      <c r="AD2" s="141"/>
      <c r="AE2" s="141"/>
      <c r="AF2" s="141"/>
      <c r="AG2" s="141"/>
      <c r="AH2" s="141"/>
      <c r="AI2" s="141"/>
      <c r="AJ2" s="142"/>
      <c r="AK2" s="143" t="inlineStr">
        <is>
          <t xml:space="preserve">MÊS</t>
        </is>
      </c>
    </row>
    <row r="3" ht="13.5" customHeight="1">
      <c r="A3" s="133"/>
      <c r="B3" s="136"/>
      <c r="C3" s="137"/>
      <c r="D3" s="139"/>
      <c r="F3" s="145">
        <f>IF(ISNUMBER($AE$1),DATE(YEAR($AE$1),MONTH($AE$1),1),IFERROR(DATE(VALUE(RIGHT(TRIM($AE$1),4)),MATCH(TRIM(LEFT($AE$1,FIND("·",$AE$1)-1)),{"JANEIRO","FEVEREIRO","MARÇO","ABRIL","MAIO","JUNHO","JULHO","AGOSTO","SETEMBRO","OUTUBRO","NOVEMBRO","DEZEMBRO"},0),1),DATE(2026,10,1)))</f>
        <v>46296</v>
      </c>
      <c r="G3" s="146">
        <f>IF(F3="","",IF(MONTH(F3+1)=MONTH($F$3),F3+1,""))</f>
        <v>46297</v>
      </c>
      <c r="H3" s="146">
        <f>IF(G3="","",IF(MONTH(G3+1)=MONTH($F$3),G3+1,""))</f>
        <v>46298</v>
      </c>
      <c r="I3" s="146">
        <f>IF(H3="","",IF(MONTH(H3+1)=MONTH($F$3),H3+1,""))</f>
        <v>46299</v>
      </c>
      <c r="J3" s="146">
        <f>IF(I3="","",IF(MONTH(I3+1)=MONTH($F$3),I3+1,""))</f>
        <v>46300</v>
      </c>
      <c r="K3" s="146">
        <f>IF(J3="","",IF(MONTH(J3+1)=MONTH($F$3),J3+1,""))</f>
        <v>46301</v>
      </c>
      <c r="L3" s="146">
        <f>IF(K3="","",IF(MONTH(K3+1)=MONTH($F$3),K3+1,""))</f>
        <v>46302</v>
      </c>
      <c r="M3" s="146">
        <f>IF(L3="","",IF(MONTH(L3+1)=MONTH($F$3),L3+1,""))</f>
        <v>46303</v>
      </c>
      <c r="N3" s="146">
        <f>IF(M3="","",IF(MONTH(M3+1)=MONTH($F$3),M3+1,""))</f>
        <v>46304</v>
      </c>
      <c r="O3" s="146">
        <f>IF(N3="","",IF(MONTH(N3+1)=MONTH($F$3),N3+1,""))</f>
        <v>46305</v>
      </c>
      <c r="P3" s="146">
        <f>IF(O3="","",IF(MONTH(O3+1)=MONTH($F$3),O3+1,""))</f>
        <v>46306</v>
      </c>
      <c r="Q3" s="146">
        <f>IF(P3="","",IF(MONTH(P3+1)=MONTH($F$3),P3+1,""))</f>
        <v>46307</v>
      </c>
      <c r="R3" s="146">
        <f>IF(Q3="","",IF(MONTH(Q3+1)=MONTH($F$3),Q3+1,""))</f>
        <v>46308</v>
      </c>
      <c r="S3" s="146">
        <f>IF(R3="","",IF(MONTH(R3+1)=MONTH($F$3),R3+1,""))</f>
        <v>46309</v>
      </c>
      <c r="T3" s="146">
        <f>IF(S3="","",IF(MONTH(S3+1)=MONTH($F$3),S3+1,""))</f>
        <v>46310</v>
      </c>
      <c r="U3" s="146">
        <f>IF(T3="","",IF(MONTH(T3+1)=MONTH($F$3),T3+1,""))</f>
        <v>46311</v>
      </c>
      <c r="V3" s="146">
        <f>IF(U3="","",IF(MONTH(U3+1)=MONTH($F$3),U3+1,""))</f>
        <v>46312</v>
      </c>
      <c r="W3" s="146">
        <f>IF(V3="","",IF(MONTH(V3+1)=MONTH($F$3),V3+1,""))</f>
        <v>46313</v>
      </c>
      <c r="X3" s="146">
        <f>IF(W3="","",IF(MONTH(W3+1)=MONTH($F$3),W3+1,""))</f>
        <v>46314</v>
      </c>
      <c r="Y3" s="146">
        <f>IF(X3="","",IF(MONTH(X3+1)=MONTH($F$3),X3+1,""))</f>
        <v>46315</v>
      </c>
      <c r="Z3" s="146">
        <f>IF(Y3="","",IF(MONTH(Y3+1)=MONTH($F$3),Y3+1,""))</f>
        <v>46316</v>
      </c>
      <c r="AA3" s="146">
        <f>IF(Z3="","",IF(MONTH(Z3+1)=MONTH($F$3),Z3+1,""))</f>
        <v>46317</v>
      </c>
      <c r="AB3" s="146">
        <f>IF(AA3="","",IF(MONTH(AA3+1)=MONTH($F$3),AA3+1,""))</f>
        <v>46318</v>
      </c>
      <c r="AC3" s="146">
        <f>IF(AB3="","",IF(MONTH(AB3+1)=MONTH($F$3),AB3+1,""))</f>
        <v>46319</v>
      </c>
      <c r="AD3" s="146">
        <f>IF(AC3="","",IF(MONTH(AC3+1)=MONTH($F$3),AC3+1,""))</f>
        <v>46320</v>
      </c>
      <c r="AE3" s="146">
        <f>IF(AD3="","",IF(MONTH(AD3+1)=MONTH($F$3),AD3+1,""))</f>
        <v>46321</v>
      </c>
      <c r="AF3" s="146">
        <f>IF(AE3="","",IF(MONTH(AE3+1)=MONTH($F$3),AE3+1,""))</f>
        <v>46322</v>
      </c>
      <c r="AG3" s="146">
        <f>IF(AF3="","",IF(MONTH(AF3+1)=MONTH($F$3),AF3+1,""))</f>
        <v>46323</v>
      </c>
      <c r="AH3" s="146">
        <f>IF(AG3="","",IF(MONTH(AG3+1)=MONTH($F$3),AG3+1,""))</f>
        <v>46324</v>
      </c>
      <c r="AI3" s="146">
        <f>IF(AH3="","",IF(MONTH(AH3+1)=MONTH($F$3),AH3+1,""))</f>
        <v>46325</v>
      </c>
      <c r="AJ3" s="147">
        <f>IF(AI3="","",IF(MONTH(AI3+1)=MONTH($F$3),AI3+1,""))</f>
        <v>46326</v>
      </c>
      <c r="AK3" s="144"/>
    </row>
    <row r="5" ht="15.75" customHeight="1">
      <c r="A5" s="246" t="inlineStr">
        <is>
          <t xml:space="preserve">Barry Callebaut</t>
        </is>
      </c>
      <c r="B5" s="234" t="inlineStr">
        <is>
          <t xml:space="preserve">IN</t>
        </is>
      </c>
      <c r="C5" s="148" t="inlineStr">
        <is>
          <t xml:space="preserve">Veículos Recebidos</t>
        </is>
      </c>
      <c r="D5" s="149" t="str">
        <f>IFERROR(1/(1/INDEX(BD!$Y$23:$AD$23,MATCH($A$5,BD!$Y$22:$AD$22,0))),"")</f>
        <v/>
      </c>
      <c r="E5" s="150"/>
      <c r="F5" s="151" t="str">
        <f>IF(F$3="","",IF(COUNTIFS(BD!$A$3:$A$5001,F$3,BD!$B$3:$B$5001,$A$5,BD!$C$3:$C$5001,"&lt;&gt;")=0,"",SUMIFS(BD!$C$3:$C$5001,BD!$A$3:$A$5001,F$3,BD!$B$3:$B$5001,$A$5)))</f>
        <v/>
      </c>
      <c r="G5" s="152" t="str">
        <f>IF(G$3="","",IF(COUNTIFS(BD!$A$3:$A$5001,G$3,BD!$B$3:$B$5001,$A$5,BD!$C$3:$C$5001,"&lt;&gt;")=0,"",SUMIFS(BD!$C$3:$C$5001,BD!$A$3:$A$5001,G$3,BD!$B$3:$B$5001,$A$5)))</f>
        <v/>
      </c>
      <c r="H5" s="152" t="str">
        <f>IF(H$3="","",IF(COUNTIFS(BD!$A$3:$A$5001,H$3,BD!$B$3:$B$5001,$A$5,BD!$C$3:$C$5001,"&lt;&gt;")=0,"",SUMIFS(BD!$C$3:$C$5001,BD!$A$3:$A$5001,H$3,BD!$B$3:$B$5001,$A$5)))</f>
        <v/>
      </c>
      <c r="I5" s="152" t="str">
        <f>IF(I$3="","",IF(COUNTIFS(BD!$A$3:$A$5001,I$3,BD!$B$3:$B$5001,$A$5,BD!$C$3:$C$5001,"&lt;&gt;")=0,"",SUMIFS(BD!$C$3:$C$5001,BD!$A$3:$A$5001,I$3,BD!$B$3:$B$5001,$A$5)))</f>
        <v/>
      </c>
      <c r="J5" s="152" t="str">
        <f>IF(J$3="","",IF(COUNTIFS(BD!$A$3:$A$5001,J$3,BD!$B$3:$B$5001,$A$5,BD!$C$3:$C$5001,"&lt;&gt;")=0,"",SUMIFS(BD!$C$3:$C$5001,BD!$A$3:$A$5001,J$3,BD!$B$3:$B$5001,$A$5)))</f>
        <v/>
      </c>
      <c r="K5" s="152" t="str">
        <f>IF(K$3="","",IF(COUNTIFS(BD!$A$3:$A$5001,K$3,BD!$B$3:$B$5001,$A$5,BD!$C$3:$C$5001,"&lt;&gt;")=0,"",SUMIFS(BD!$C$3:$C$5001,BD!$A$3:$A$5001,K$3,BD!$B$3:$B$5001,$A$5)))</f>
        <v/>
      </c>
      <c r="L5" s="152" t="str">
        <f>IF(L$3="","",IF(COUNTIFS(BD!$A$3:$A$5001,L$3,BD!$B$3:$B$5001,$A$5,BD!$C$3:$C$5001,"&lt;&gt;")=0,"",SUMIFS(BD!$C$3:$C$5001,BD!$A$3:$A$5001,L$3,BD!$B$3:$B$5001,$A$5)))</f>
        <v/>
      </c>
      <c r="M5" s="152" t="str">
        <f>IF(M$3="","",IF(COUNTIFS(BD!$A$3:$A$5001,M$3,BD!$B$3:$B$5001,$A$5,BD!$C$3:$C$5001,"&lt;&gt;")=0,"",SUMIFS(BD!$C$3:$C$5001,BD!$A$3:$A$5001,M$3,BD!$B$3:$B$5001,$A$5)))</f>
        <v/>
      </c>
      <c r="N5" s="152" t="str">
        <f>IF(N$3="","",IF(COUNTIFS(BD!$A$3:$A$5001,N$3,BD!$B$3:$B$5001,$A$5,BD!$C$3:$C$5001,"&lt;&gt;")=0,"",SUMIFS(BD!$C$3:$C$5001,BD!$A$3:$A$5001,N$3,BD!$B$3:$B$5001,$A$5)))</f>
        <v/>
      </c>
      <c r="O5" s="152" t="str">
        <f>IF(O$3="","",IF(COUNTIFS(BD!$A$3:$A$5001,O$3,BD!$B$3:$B$5001,$A$5,BD!$C$3:$C$5001,"&lt;&gt;")=0,"",SUMIFS(BD!$C$3:$C$5001,BD!$A$3:$A$5001,O$3,BD!$B$3:$B$5001,$A$5)))</f>
        <v/>
      </c>
      <c r="P5" s="152" t="str">
        <f>IF(P$3="","",IF(COUNTIFS(BD!$A$3:$A$5001,P$3,BD!$B$3:$B$5001,$A$5,BD!$C$3:$C$5001,"&lt;&gt;")=0,"",SUMIFS(BD!$C$3:$C$5001,BD!$A$3:$A$5001,P$3,BD!$B$3:$B$5001,$A$5)))</f>
        <v/>
      </c>
      <c r="Q5" s="152" t="str">
        <f>IF(Q$3="","",IF(COUNTIFS(BD!$A$3:$A$5001,Q$3,BD!$B$3:$B$5001,$A$5,BD!$C$3:$C$5001,"&lt;&gt;")=0,"",SUMIFS(BD!$C$3:$C$5001,BD!$A$3:$A$5001,Q$3,BD!$B$3:$B$5001,$A$5)))</f>
        <v/>
      </c>
      <c r="R5" s="152" t="str">
        <f>IF(R$3="","",IF(COUNTIFS(BD!$A$3:$A$5001,R$3,BD!$B$3:$B$5001,$A$5,BD!$C$3:$C$5001,"&lt;&gt;")=0,"",SUMIFS(BD!$C$3:$C$5001,BD!$A$3:$A$5001,R$3,BD!$B$3:$B$5001,$A$5)))</f>
        <v/>
      </c>
      <c r="S5" s="152" t="str">
        <f>IF(S$3="","",IF(COUNTIFS(BD!$A$3:$A$5001,S$3,BD!$B$3:$B$5001,$A$5,BD!$C$3:$C$5001,"&lt;&gt;")=0,"",SUMIFS(BD!$C$3:$C$5001,BD!$A$3:$A$5001,S$3,BD!$B$3:$B$5001,$A$5)))</f>
        <v/>
      </c>
      <c r="T5" s="152" t="str">
        <f>IF(T$3="","",IF(COUNTIFS(BD!$A$3:$A$5001,T$3,BD!$B$3:$B$5001,$A$5,BD!$C$3:$C$5001,"&lt;&gt;")=0,"",SUMIFS(BD!$C$3:$C$5001,BD!$A$3:$A$5001,T$3,BD!$B$3:$B$5001,$A$5)))</f>
        <v/>
      </c>
      <c r="U5" s="152" t="str">
        <f>IF(U$3="","",IF(COUNTIFS(BD!$A$3:$A$5001,U$3,BD!$B$3:$B$5001,$A$5,BD!$C$3:$C$5001,"&lt;&gt;")=0,"",SUMIFS(BD!$C$3:$C$5001,BD!$A$3:$A$5001,U$3,BD!$B$3:$B$5001,$A$5)))</f>
        <v/>
      </c>
      <c r="V5" s="152" t="str">
        <f>IF(V$3="","",IF(COUNTIFS(BD!$A$3:$A$5001,V$3,BD!$B$3:$B$5001,$A$5,BD!$C$3:$C$5001,"&lt;&gt;")=0,"",SUMIFS(BD!$C$3:$C$5001,BD!$A$3:$A$5001,V$3,BD!$B$3:$B$5001,$A$5)))</f>
        <v/>
      </c>
      <c r="W5" s="152" t="str">
        <f>IF(W$3="","",IF(COUNTIFS(BD!$A$3:$A$5001,W$3,BD!$B$3:$B$5001,$A$5,BD!$C$3:$C$5001,"&lt;&gt;")=0,"",SUMIFS(BD!$C$3:$C$5001,BD!$A$3:$A$5001,W$3,BD!$B$3:$B$5001,$A$5)))</f>
        <v/>
      </c>
      <c r="X5" s="152" t="str">
        <f>IF(X$3="","",IF(COUNTIFS(BD!$A$3:$A$5001,X$3,BD!$B$3:$B$5001,$A$5,BD!$C$3:$C$5001,"&lt;&gt;")=0,"",SUMIFS(BD!$C$3:$C$5001,BD!$A$3:$A$5001,X$3,BD!$B$3:$B$5001,$A$5)))</f>
        <v/>
      </c>
      <c r="Y5" s="152" t="str">
        <f>IF(Y$3="","",IF(COUNTIFS(BD!$A$3:$A$5001,Y$3,BD!$B$3:$B$5001,$A$5,BD!$C$3:$C$5001,"&lt;&gt;")=0,"",SUMIFS(BD!$C$3:$C$5001,BD!$A$3:$A$5001,Y$3,BD!$B$3:$B$5001,$A$5)))</f>
        <v/>
      </c>
      <c r="Z5" s="152" t="str">
        <f>IF(Z$3="","",IF(COUNTIFS(BD!$A$3:$A$5001,Z$3,BD!$B$3:$B$5001,$A$5,BD!$C$3:$C$5001,"&lt;&gt;")=0,"",SUMIFS(BD!$C$3:$C$5001,BD!$A$3:$A$5001,Z$3,BD!$B$3:$B$5001,$A$5)))</f>
        <v/>
      </c>
      <c r="AA5" s="152" t="str">
        <f>IF(AA$3="","",IF(COUNTIFS(BD!$A$3:$A$5001,AA$3,BD!$B$3:$B$5001,$A$5,BD!$C$3:$C$5001,"&lt;&gt;")=0,"",SUMIFS(BD!$C$3:$C$5001,BD!$A$3:$A$5001,AA$3,BD!$B$3:$B$5001,$A$5)))</f>
        <v/>
      </c>
      <c r="AB5" s="152" t="str">
        <f>IF(AB$3="","",IF(COUNTIFS(BD!$A$3:$A$5001,AB$3,BD!$B$3:$B$5001,$A$5,BD!$C$3:$C$5001,"&lt;&gt;")=0,"",SUMIFS(BD!$C$3:$C$5001,BD!$A$3:$A$5001,AB$3,BD!$B$3:$B$5001,$A$5)))</f>
        <v/>
      </c>
      <c r="AC5" s="152" t="str">
        <f>IF(AC$3="","",IF(COUNTIFS(BD!$A$3:$A$5001,AC$3,BD!$B$3:$B$5001,$A$5,BD!$C$3:$C$5001,"&lt;&gt;")=0,"",SUMIFS(BD!$C$3:$C$5001,BD!$A$3:$A$5001,AC$3,BD!$B$3:$B$5001,$A$5)))</f>
        <v/>
      </c>
      <c r="AD5" s="152" t="str">
        <f>IF(AD$3="","",IF(COUNTIFS(BD!$A$3:$A$5001,AD$3,BD!$B$3:$B$5001,$A$5,BD!$C$3:$C$5001,"&lt;&gt;")=0,"",SUMIFS(BD!$C$3:$C$5001,BD!$A$3:$A$5001,AD$3,BD!$B$3:$B$5001,$A$5)))</f>
        <v/>
      </c>
      <c r="AE5" s="152" t="str">
        <f>IF(AE$3="","",IF(COUNTIFS(BD!$A$3:$A$5001,AE$3,BD!$B$3:$B$5001,$A$5,BD!$C$3:$C$5001,"&lt;&gt;")=0,"",SUMIFS(BD!$C$3:$C$5001,BD!$A$3:$A$5001,AE$3,BD!$B$3:$B$5001,$A$5)))</f>
        <v/>
      </c>
      <c r="AF5" s="152" t="str">
        <f>IF(AF$3="","",IF(COUNTIFS(BD!$A$3:$A$5001,AF$3,BD!$B$3:$B$5001,$A$5,BD!$C$3:$C$5001,"&lt;&gt;")=0,"",SUMIFS(BD!$C$3:$C$5001,BD!$A$3:$A$5001,AF$3,BD!$B$3:$B$5001,$A$5)))</f>
        <v/>
      </c>
      <c r="AG5" s="152" t="str">
        <f>IF(AG$3="","",IF(COUNTIFS(BD!$A$3:$A$5001,AG$3,BD!$B$3:$B$5001,$A$5,BD!$C$3:$C$5001,"&lt;&gt;")=0,"",SUMIFS(BD!$C$3:$C$5001,BD!$A$3:$A$5001,AG$3,BD!$B$3:$B$5001,$A$5)))</f>
        <v/>
      </c>
      <c r="AH5" s="152" t="str">
        <f>IF(AH$3="","",IF(COUNTIFS(BD!$A$3:$A$5001,AH$3,BD!$B$3:$B$5001,$A$5,BD!$C$3:$C$5001,"&lt;&gt;")=0,"",SUMIFS(BD!$C$3:$C$5001,BD!$A$3:$A$5001,AH$3,BD!$B$3:$B$5001,$A$5)))</f>
        <v/>
      </c>
      <c r="AI5" s="152" t="str">
        <f>IF(AI$3="","",IF(COUNTIFS(BD!$A$3:$A$5001,AI$3,BD!$B$3:$B$5001,$A$5,BD!$C$3:$C$5001,"&lt;&gt;")=0,"",SUMIFS(BD!$C$3:$C$5001,BD!$A$3:$A$5001,AI$3,BD!$B$3:$B$5001,$A$5)))</f>
        <v/>
      </c>
      <c r="AJ5" s="153" t="str">
        <f>IF(AJ$3="","",IF(COUNTIFS(BD!$A$3:$A$5001,AJ$3,BD!$B$3:$B$5001,$A$5,BD!$C$3:$C$5001,"&lt;&gt;")=0,"",SUMIFS(BD!$C$3:$C$5001,BD!$A$3:$A$5001,AJ$3,BD!$B$3:$B$5001,$A$5)))</f>
        <v/>
      </c>
      <c r="AK5" s="154" t="str">
        <f>IF(COUNT(F5:AJ5)=0,"",SUM(F5:AJ5))</f>
        <v/>
      </c>
    </row>
    <row r="6" ht="15.75" customHeight="1">
      <c r="A6" s="247"/>
      <c r="B6" s="235"/>
      <c r="C6" s="155" t="inlineStr">
        <is>
          <t xml:space="preserve">Pallets Movimentados</t>
        </is>
      </c>
      <c r="D6" s="156" t="str">
        <f>IFERROR(1/(1/INDEX(BD!$Y$24:$AD$24,MATCH($A$5,BD!$Y$22:$AD$22,0))),"")</f>
        <v/>
      </c>
      <c r="E6" s="157"/>
      <c r="F6" s="158" t="str">
        <f>IF(F$3="","",IF(COUNTIFS(BD!$A$3:$A$5001,F$3,BD!$B$3:$B$5001,$A$5,BD!$D$3:$D$5001,"&lt;&gt;")=0,"",SUMIFS(BD!$D$3:$D$5001,BD!$A$3:$A$5001,F$3,BD!$B$3:$B$5001,$A$5)))</f>
        <v/>
      </c>
      <c r="G6" s="159" t="str">
        <f>IF(G$3="","",IF(COUNTIFS(BD!$A$3:$A$5001,G$3,BD!$B$3:$B$5001,$A$5,BD!$D$3:$D$5001,"&lt;&gt;")=0,"",SUMIFS(BD!$D$3:$D$5001,BD!$A$3:$A$5001,G$3,BD!$B$3:$B$5001,$A$5)))</f>
        <v/>
      </c>
      <c r="H6" s="159" t="str">
        <f>IF(H$3="","",IF(COUNTIFS(BD!$A$3:$A$5001,H$3,BD!$B$3:$B$5001,$A$5,BD!$D$3:$D$5001,"&lt;&gt;")=0,"",SUMIFS(BD!$D$3:$D$5001,BD!$A$3:$A$5001,H$3,BD!$B$3:$B$5001,$A$5)))</f>
        <v/>
      </c>
      <c r="I6" s="159" t="str">
        <f>IF(I$3="","",IF(COUNTIFS(BD!$A$3:$A$5001,I$3,BD!$B$3:$B$5001,$A$5,BD!$D$3:$D$5001,"&lt;&gt;")=0,"",SUMIFS(BD!$D$3:$D$5001,BD!$A$3:$A$5001,I$3,BD!$B$3:$B$5001,$A$5)))</f>
        <v/>
      </c>
      <c r="J6" s="159" t="str">
        <f>IF(J$3="","",IF(COUNTIFS(BD!$A$3:$A$5001,J$3,BD!$B$3:$B$5001,$A$5,BD!$D$3:$D$5001,"&lt;&gt;")=0,"",SUMIFS(BD!$D$3:$D$5001,BD!$A$3:$A$5001,J$3,BD!$B$3:$B$5001,$A$5)))</f>
        <v/>
      </c>
      <c r="K6" s="159" t="str">
        <f>IF(K$3="","",IF(COUNTIFS(BD!$A$3:$A$5001,K$3,BD!$B$3:$B$5001,$A$5,BD!$D$3:$D$5001,"&lt;&gt;")=0,"",SUMIFS(BD!$D$3:$D$5001,BD!$A$3:$A$5001,K$3,BD!$B$3:$B$5001,$A$5)))</f>
        <v/>
      </c>
      <c r="L6" s="159" t="str">
        <f>IF(L$3="","",IF(COUNTIFS(BD!$A$3:$A$5001,L$3,BD!$B$3:$B$5001,$A$5,BD!$D$3:$D$5001,"&lt;&gt;")=0,"",SUMIFS(BD!$D$3:$D$5001,BD!$A$3:$A$5001,L$3,BD!$B$3:$B$5001,$A$5)))</f>
        <v/>
      </c>
      <c r="M6" s="159" t="str">
        <f>IF(M$3="","",IF(COUNTIFS(BD!$A$3:$A$5001,M$3,BD!$B$3:$B$5001,$A$5,BD!$D$3:$D$5001,"&lt;&gt;")=0,"",SUMIFS(BD!$D$3:$D$5001,BD!$A$3:$A$5001,M$3,BD!$B$3:$B$5001,$A$5)))</f>
        <v/>
      </c>
      <c r="N6" s="159" t="str">
        <f>IF(N$3="","",IF(COUNTIFS(BD!$A$3:$A$5001,N$3,BD!$B$3:$B$5001,$A$5,BD!$D$3:$D$5001,"&lt;&gt;")=0,"",SUMIFS(BD!$D$3:$D$5001,BD!$A$3:$A$5001,N$3,BD!$B$3:$B$5001,$A$5)))</f>
        <v/>
      </c>
      <c r="O6" s="159" t="str">
        <f>IF(O$3="","",IF(COUNTIFS(BD!$A$3:$A$5001,O$3,BD!$B$3:$B$5001,$A$5,BD!$D$3:$D$5001,"&lt;&gt;")=0,"",SUMIFS(BD!$D$3:$D$5001,BD!$A$3:$A$5001,O$3,BD!$B$3:$B$5001,$A$5)))</f>
        <v/>
      </c>
      <c r="P6" s="159" t="str">
        <f>IF(P$3="","",IF(COUNTIFS(BD!$A$3:$A$5001,P$3,BD!$B$3:$B$5001,$A$5,BD!$D$3:$D$5001,"&lt;&gt;")=0,"",SUMIFS(BD!$D$3:$D$5001,BD!$A$3:$A$5001,P$3,BD!$B$3:$B$5001,$A$5)))</f>
        <v/>
      </c>
      <c r="Q6" s="159" t="str">
        <f>IF(Q$3="","",IF(COUNTIFS(BD!$A$3:$A$5001,Q$3,BD!$B$3:$B$5001,$A$5,BD!$D$3:$D$5001,"&lt;&gt;")=0,"",SUMIFS(BD!$D$3:$D$5001,BD!$A$3:$A$5001,Q$3,BD!$B$3:$B$5001,$A$5)))</f>
        <v/>
      </c>
      <c r="R6" s="159" t="str">
        <f>IF(R$3="","",IF(COUNTIFS(BD!$A$3:$A$5001,R$3,BD!$B$3:$B$5001,$A$5,BD!$D$3:$D$5001,"&lt;&gt;")=0,"",SUMIFS(BD!$D$3:$D$5001,BD!$A$3:$A$5001,R$3,BD!$B$3:$B$5001,$A$5)))</f>
        <v/>
      </c>
      <c r="S6" s="159" t="str">
        <f>IF(S$3="","",IF(COUNTIFS(BD!$A$3:$A$5001,S$3,BD!$B$3:$B$5001,$A$5,BD!$D$3:$D$5001,"&lt;&gt;")=0,"",SUMIFS(BD!$D$3:$D$5001,BD!$A$3:$A$5001,S$3,BD!$B$3:$B$5001,$A$5)))</f>
        <v/>
      </c>
      <c r="T6" s="159" t="str">
        <f>IF(T$3="","",IF(COUNTIFS(BD!$A$3:$A$5001,T$3,BD!$B$3:$B$5001,$A$5,BD!$D$3:$D$5001,"&lt;&gt;")=0,"",SUMIFS(BD!$D$3:$D$5001,BD!$A$3:$A$5001,T$3,BD!$B$3:$B$5001,$A$5)))</f>
        <v/>
      </c>
      <c r="U6" s="159" t="str">
        <f>IF(U$3="","",IF(COUNTIFS(BD!$A$3:$A$5001,U$3,BD!$B$3:$B$5001,$A$5,BD!$D$3:$D$5001,"&lt;&gt;")=0,"",SUMIFS(BD!$D$3:$D$5001,BD!$A$3:$A$5001,U$3,BD!$B$3:$B$5001,$A$5)))</f>
        <v/>
      </c>
      <c r="V6" s="159" t="str">
        <f>IF(V$3="","",IF(COUNTIFS(BD!$A$3:$A$5001,V$3,BD!$B$3:$B$5001,$A$5,BD!$D$3:$D$5001,"&lt;&gt;")=0,"",SUMIFS(BD!$D$3:$D$5001,BD!$A$3:$A$5001,V$3,BD!$B$3:$B$5001,$A$5)))</f>
        <v/>
      </c>
      <c r="W6" s="159" t="str">
        <f>IF(W$3="","",IF(COUNTIFS(BD!$A$3:$A$5001,W$3,BD!$B$3:$B$5001,$A$5,BD!$D$3:$D$5001,"&lt;&gt;")=0,"",SUMIFS(BD!$D$3:$D$5001,BD!$A$3:$A$5001,W$3,BD!$B$3:$B$5001,$A$5)))</f>
        <v/>
      </c>
      <c r="X6" s="159" t="str">
        <f>IF(X$3="","",IF(COUNTIFS(BD!$A$3:$A$5001,X$3,BD!$B$3:$B$5001,$A$5,BD!$D$3:$D$5001,"&lt;&gt;")=0,"",SUMIFS(BD!$D$3:$D$5001,BD!$A$3:$A$5001,X$3,BD!$B$3:$B$5001,$A$5)))</f>
        <v/>
      </c>
      <c r="Y6" s="159" t="str">
        <f>IF(Y$3="","",IF(COUNTIFS(BD!$A$3:$A$5001,Y$3,BD!$B$3:$B$5001,$A$5,BD!$D$3:$D$5001,"&lt;&gt;")=0,"",SUMIFS(BD!$D$3:$D$5001,BD!$A$3:$A$5001,Y$3,BD!$B$3:$B$5001,$A$5)))</f>
        <v/>
      </c>
      <c r="Z6" s="159" t="str">
        <f>IF(Z$3="","",IF(COUNTIFS(BD!$A$3:$A$5001,Z$3,BD!$B$3:$B$5001,$A$5,BD!$D$3:$D$5001,"&lt;&gt;")=0,"",SUMIFS(BD!$D$3:$D$5001,BD!$A$3:$A$5001,Z$3,BD!$B$3:$B$5001,$A$5)))</f>
        <v/>
      </c>
      <c r="AA6" s="159" t="str">
        <f>IF(AA$3="","",IF(COUNTIFS(BD!$A$3:$A$5001,AA$3,BD!$B$3:$B$5001,$A$5,BD!$D$3:$D$5001,"&lt;&gt;")=0,"",SUMIFS(BD!$D$3:$D$5001,BD!$A$3:$A$5001,AA$3,BD!$B$3:$B$5001,$A$5)))</f>
        <v/>
      </c>
      <c r="AB6" s="159" t="str">
        <f>IF(AB$3="","",IF(COUNTIFS(BD!$A$3:$A$5001,AB$3,BD!$B$3:$B$5001,$A$5,BD!$D$3:$D$5001,"&lt;&gt;")=0,"",SUMIFS(BD!$D$3:$D$5001,BD!$A$3:$A$5001,AB$3,BD!$B$3:$B$5001,$A$5)))</f>
        <v/>
      </c>
      <c r="AC6" s="159" t="str">
        <f>IF(AC$3="","",IF(COUNTIFS(BD!$A$3:$A$5001,AC$3,BD!$B$3:$B$5001,$A$5,BD!$D$3:$D$5001,"&lt;&gt;")=0,"",SUMIFS(BD!$D$3:$D$5001,BD!$A$3:$A$5001,AC$3,BD!$B$3:$B$5001,$A$5)))</f>
        <v/>
      </c>
      <c r="AD6" s="159" t="str">
        <f>IF(AD$3="","",IF(COUNTIFS(BD!$A$3:$A$5001,AD$3,BD!$B$3:$B$5001,$A$5,BD!$D$3:$D$5001,"&lt;&gt;")=0,"",SUMIFS(BD!$D$3:$D$5001,BD!$A$3:$A$5001,AD$3,BD!$B$3:$B$5001,$A$5)))</f>
        <v/>
      </c>
      <c r="AE6" s="159" t="str">
        <f>IF(AE$3="","",IF(COUNTIFS(BD!$A$3:$A$5001,AE$3,BD!$B$3:$B$5001,$A$5,BD!$D$3:$D$5001,"&lt;&gt;")=0,"",SUMIFS(BD!$D$3:$D$5001,BD!$A$3:$A$5001,AE$3,BD!$B$3:$B$5001,$A$5)))</f>
        <v/>
      </c>
      <c r="AF6" s="159" t="str">
        <f>IF(AF$3="","",IF(COUNTIFS(BD!$A$3:$A$5001,AF$3,BD!$B$3:$B$5001,$A$5,BD!$D$3:$D$5001,"&lt;&gt;")=0,"",SUMIFS(BD!$D$3:$D$5001,BD!$A$3:$A$5001,AF$3,BD!$B$3:$B$5001,$A$5)))</f>
        <v/>
      </c>
      <c r="AG6" s="159" t="str">
        <f>IF(AG$3="","",IF(COUNTIFS(BD!$A$3:$A$5001,AG$3,BD!$B$3:$B$5001,$A$5,BD!$D$3:$D$5001,"&lt;&gt;")=0,"",SUMIFS(BD!$D$3:$D$5001,BD!$A$3:$A$5001,AG$3,BD!$B$3:$B$5001,$A$5)))</f>
        <v/>
      </c>
      <c r="AH6" s="159" t="str">
        <f>IF(AH$3="","",IF(COUNTIFS(BD!$A$3:$A$5001,AH$3,BD!$B$3:$B$5001,$A$5,BD!$D$3:$D$5001,"&lt;&gt;")=0,"",SUMIFS(BD!$D$3:$D$5001,BD!$A$3:$A$5001,AH$3,BD!$B$3:$B$5001,$A$5)))</f>
        <v/>
      </c>
      <c r="AI6" s="159" t="str">
        <f>IF(AI$3="","",IF(COUNTIFS(BD!$A$3:$A$5001,AI$3,BD!$B$3:$B$5001,$A$5,BD!$D$3:$D$5001,"&lt;&gt;")=0,"",SUMIFS(BD!$D$3:$D$5001,BD!$A$3:$A$5001,AI$3,BD!$B$3:$B$5001,$A$5)))</f>
        <v/>
      </c>
      <c r="AJ6" s="160" t="str">
        <f>IF(AJ$3="","",IF(COUNTIFS(BD!$A$3:$A$5001,AJ$3,BD!$B$3:$B$5001,$A$5,BD!$D$3:$D$5001,"&lt;&gt;")=0,"",SUMIFS(BD!$D$3:$D$5001,BD!$A$3:$A$5001,AJ$3,BD!$B$3:$B$5001,$A$5)))</f>
        <v/>
      </c>
      <c r="AK6" s="161" t="str">
        <f>IF(COUNT(F6:AJ6)=0,"",SUM(F6:AJ6))</f>
        <v/>
      </c>
    </row>
    <row r="7" ht="15.75" customHeight="1">
      <c r="A7" s="247"/>
      <c r="B7" s="236"/>
      <c r="C7" s="162" t="inlineStr">
        <is>
          <t xml:space="preserve">Toneladas Movimentadas</t>
        </is>
      </c>
      <c r="D7" s="163" t="str">
        <f>IFERROR(1/(1/INDEX(BD!$Y$25:$AD$25,MATCH($A$5,BD!$Y$22:$AD$22,0))),"")</f>
        <v/>
      </c>
      <c r="E7" s="164"/>
      <c r="F7" s="165" t="str">
        <f>IF(F$3="","",IF(COUNTIFS(BD!$A$3:$A$5001,F$3,BD!$B$3:$B$5001,$A$5,BD!$E$3:$E$5001,"&lt;&gt;")=0,"",SUMIFS(BD!$E$3:$E$5001,BD!$A$3:$A$5001,F$3,BD!$B$3:$B$5001,$A$5)))</f>
        <v/>
      </c>
      <c r="G7" s="166" t="str">
        <f>IF(G$3="","",IF(COUNTIFS(BD!$A$3:$A$5001,G$3,BD!$B$3:$B$5001,$A$5,BD!$E$3:$E$5001,"&lt;&gt;")=0,"",SUMIFS(BD!$E$3:$E$5001,BD!$A$3:$A$5001,G$3,BD!$B$3:$B$5001,$A$5)))</f>
        <v/>
      </c>
      <c r="H7" s="166" t="str">
        <f>IF(H$3="","",IF(COUNTIFS(BD!$A$3:$A$5001,H$3,BD!$B$3:$B$5001,$A$5,BD!$E$3:$E$5001,"&lt;&gt;")=0,"",SUMIFS(BD!$E$3:$E$5001,BD!$A$3:$A$5001,H$3,BD!$B$3:$B$5001,$A$5)))</f>
        <v/>
      </c>
      <c r="I7" s="166" t="str">
        <f>IF(I$3="","",IF(COUNTIFS(BD!$A$3:$A$5001,I$3,BD!$B$3:$B$5001,$A$5,BD!$E$3:$E$5001,"&lt;&gt;")=0,"",SUMIFS(BD!$E$3:$E$5001,BD!$A$3:$A$5001,I$3,BD!$B$3:$B$5001,$A$5)))</f>
        <v/>
      </c>
      <c r="J7" s="166" t="str">
        <f>IF(J$3="","",IF(COUNTIFS(BD!$A$3:$A$5001,J$3,BD!$B$3:$B$5001,$A$5,BD!$E$3:$E$5001,"&lt;&gt;")=0,"",SUMIFS(BD!$E$3:$E$5001,BD!$A$3:$A$5001,J$3,BD!$B$3:$B$5001,$A$5)))</f>
        <v/>
      </c>
      <c r="K7" s="166" t="str">
        <f>IF(K$3="","",IF(COUNTIFS(BD!$A$3:$A$5001,K$3,BD!$B$3:$B$5001,$A$5,BD!$E$3:$E$5001,"&lt;&gt;")=0,"",SUMIFS(BD!$E$3:$E$5001,BD!$A$3:$A$5001,K$3,BD!$B$3:$B$5001,$A$5)))</f>
        <v/>
      </c>
      <c r="L7" s="166" t="str">
        <f>IF(L$3="","",IF(COUNTIFS(BD!$A$3:$A$5001,L$3,BD!$B$3:$B$5001,$A$5,BD!$E$3:$E$5001,"&lt;&gt;")=0,"",SUMIFS(BD!$E$3:$E$5001,BD!$A$3:$A$5001,L$3,BD!$B$3:$B$5001,$A$5)))</f>
        <v/>
      </c>
      <c r="M7" s="166" t="str">
        <f>IF(M$3="","",IF(COUNTIFS(BD!$A$3:$A$5001,M$3,BD!$B$3:$B$5001,$A$5,BD!$E$3:$E$5001,"&lt;&gt;")=0,"",SUMIFS(BD!$E$3:$E$5001,BD!$A$3:$A$5001,M$3,BD!$B$3:$B$5001,$A$5)))</f>
        <v/>
      </c>
      <c r="N7" s="166" t="str">
        <f>IF(N$3="","",IF(COUNTIFS(BD!$A$3:$A$5001,N$3,BD!$B$3:$B$5001,$A$5,BD!$E$3:$E$5001,"&lt;&gt;")=0,"",SUMIFS(BD!$E$3:$E$5001,BD!$A$3:$A$5001,N$3,BD!$B$3:$B$5001,$A$5)))</f>
        <v/>
      </c>
      <c r="O7" s="166" t="str">
        <f>IF(O$3="","",IF(COUNTIFS(BD!$A$3:$A$5001,O$3,BD!$B$3:$B$5001,$A$5,BD!$E$3:$E$5001,"&lt;&gt;")=0,"",SUMIFS(BD!$E$3:$E$5001,BD!$A$3:$A$5001,O$3,BD!$B$3:$B$5001,$A$5)))</f>
        <v/>
      </c>
      <c r="P7" s="166" t="str">
        <f>IF(P$3="","",IF(COUNTIFS(BD!$A$3:$A$5001,P$3,BD!$B$3:$B$5001,$A$5,BD!$E$3:$E$5001,"&lt;&gt;")=0,"",SUMIFS(BD!$E$3:$E$5001,BD!$A$3:$A$5001,P$3,BD!$B$3:$B$5001,$A$5)))</f>
        <v/>
      </c>
      <c r="Q7" s="166" t="str">
        <f>IF(Q$3="","",IF(COUNTIFS(BD!$A$3:$A$5001,Q$3,BD!$B$3:$B$5001,$A$5,BD!$E$3:$E$5001,"&lt;&gt;")=0,"",SUMIFS(BD!$E$3:$E$5001,BD!$A$3:$A$5001,Q$3,BD!$B$3:$B$5001,$A$5)))</f>
        <v/>
      </c>
      <c r="R7" s="166" t="str">
        <f>IF(R$3="","",IF(COUNTIFS(BD!$A$3:$A$5001,R$3,BD!$B$3:$B$5001,$A$5,BD!$E$3:$E$5001,"&lt;&gt;")=0,"",SUMIFS(BD!$E$3:$E$5001,BD!$A$3:$A$5001,R$3,BD!$B$3:$B$5001,$A$5)))</f>
        <v/>
      </c>
      <c r="S7" s="166" t="str">
        <f>IF(S$3="","",IF(COUNTIFS(BD!$A$3:$A$5001,S$3,BD!$B$3:$B$5001,$A$5,BD!$E$3:$E$5001,"&lt;&gt;")=0,"",SUMIFS(BD!$E$3:$E$5001,BD!$A$3:$A$5001,S$3,BD!$B$3:$B$5001,$A$5)))</f>
        <v/>
      </c>
      <c r="T7" s="166" t="str">
        <f>IF(T$3="","",IF(COUNTIFS(BD!$A$3:$A$5001,T$3,BD!$B$3:$B$5001,$A$5,BD!$E$3:$E$5001,"&lt;&gt;")=0,"",SUMIFS(BD!$E$3:$E$5001,BD!$A$3:$A$5001,T$3,BD!$B$3:$B$5001,$A$5)))</f>
        <v/>
      </c>
      <c r="U7" s="166" t="str">
        <f>IF(U$3="","",IF(COUNTIFS(BD!$A$3:$A$5001,U$3,BD!$B$3:$B$5001,$A$5,BD!$E$3:$E$5001,"&lt;&gt;")=0,"",SUMIFS(BD!$E$3:$E$5001,BD!$A$3:$A$5001,U$3,BD!$B$3:$B$5001,$A$5)))</f>
        <v/>
      </c>
      <c r="V7" s="166" t="str">
        <f>IF(V$3="","",IF(COUNTIFS(BD!$A$3:$A$5001,V$3,BD!$B$3:$B$5001,$A$5,BD!$E$3:$E$5001,"&lt;&gt;")=0,"",SUMIFS(BD!$E$3:$E$5001,BD!$A$3:$A$5001,V$3,BD!$B$3:$B$5001,$A$5)))</f>
        <v/>
      </c>
      <c r="W7" s="166" t="str">
        <f>IF(W$3="","",IF(COUNTIFS(BD!$A$3:$A$5001,W$3,BD!$B$3:$B$5001,$A$5,BD!$E$3:$E$5001,"&lt;&gt;")=0,"",SUMIFS(BD!$E$3:$E$5001,BD!$A$3:$A$5001,W$3,BD!$B$3:$B$5001,$A$5)))</f>
        <v/>
      </c>
      <c r="X7" s="166" t="str">
        <f>IF(X$3="","",IF(COUNTIFS(BD!$A$3:$A$5001,X$3,BD!$B$3:$B$5001,$A$5,BD!$E$3:$E$5001,"&lt;&gt;")=0,"",SUMIFS(BD!$E$3:$E$5001,BD!$A$3:$A$5001,X$3,BD!$B$3:$B$5001,$A$5)))</f>
        <v/>
      </c>
      <c r="Y7" s="166" t="str">
        <f>IF(Y$3="","",IF(COUNTIFS(BD!$A$3:$A$5001,Y$3,BD!$B$3:$B$5001,$A$5,BD!$E$3:$E$5001,"&lt;&gt;")=0,"",SUMIFS(BD!$E$3:$E$5001,BD!$A$3:$A$5001,Y$3,BD!$B$3:$B$5001,$A$5)))</f>
        <v/>
      </c>
      <c r="Z7" s="166" t="str">
        <f>IF(Z$3="","",IF(COUNTIFS(BD!$A$3:$A$5001,Z$3,BD!$B$3:$B$5001,$A$5,BD!$E$3:$E$5001,"&lt;&gt;")=0,"",SUMIFS(BD!$E$3:$E$5001,BD!$A$3:$A$5001,Z$3,BD!$B$3:$B$5001,$A$5)))</f>
        <v/>
      </c>
      <c r="AA7" s="166" t="str">
        <f>IF(AA$3="","",IF(COUNTIFS(BD!$A$3:$A$5001,AA$3,BD!$B$3:$B$5001,$A$5,BD!$E$3:$E$5001,"&lt;&gt;")=0,"",SUMIFS(BD!$E$3:$E$5001,BD!$A$3:$A$5001,AA$3,BD!$B$3:$B$5001,$A$5)))</f>
        <v/>
      </c>
      <c r="AB7" s="166" t="str">
        <f>IF(AB$3="","",IF(COUNTIFS(BD!$A$3:$A$5001,AB$3,BD!$B$3:$B$5001,$A$5,BD!$E$3:$E$5001,"&lt;&gt;")=0,"",SUMIFS(BD!$E$3:$E$5001,BD!$A$3:$A$5001,AB$3,BD!$B$3:$B$5001,$A$5)))</f>
        <v/>
      </c>
      <c r="AC7" s="166" t="str">
        <f>IF(AC$3="","",IF(COUNTIFS(BD!$A$3:$A$5001,AC$3,BD!$B$3:$B$5001,$A$5,BD!$E$3:$E$5001,"&lt;&gt;")=0,"",SUMIFS(BD!$E$3:$E$5001,BD!$A$3:$A$5001,AC$3,BD!$B$3:$B$5001,$A$5)))</f>
        <v/>
      </c>
      <c r="AD7" s="166" t="str">
        <f>IF(AD$3="","",IF(COUNTIFS(BD!$A$3:$A$5001,AD$3,BD!$B$3:$B$5001,$A$5,BD!$E$3:$E$5001,"&lt;&gt;")=0,"",SUMIFS(BD!$E$3:$E$5001,BD!$A$3:$A$5001,AD$3,BD!$B$3:$B$5001,$A$5)))</f>
        <v/>
      </c>
      <c r="AE7" s="166" t="str">
        <f>IF(AE$3="","",IF(COUNTIFS(BD!$A$3:$A$5001,AE$3,BD!$B$3:$B$5001,$A$5,BD!$E$3:$E$5001,"&lt;&gt;")=0,"",SUMIFS(BD!$E$3:$E$5001,BD!$A$3:$A$5001,AE$3,BD!$B$3:$B$5001,$A$5)))</f>
        <v/>
      </c>
      <c r="AF7" s="166" t="str">
        <f>IF(AF$3="","",IF(COUNTIFS(BD!$A$3:$A$5001,AF$3,BD!$B$3:$B$5001,$A$5,BD!$E$3:$E$5001,"&lt;&gt;")=0,"",SUMIFS(BD!$E$3:$E$5001,BD!$A$3:$A$5001,AF$3,BD!$B$3:$B$5001,$A$5)))</f>
        <v/>
      </c>
      <c r="AG7" s="166" t="str">
        <f>IF(AG$3="","",IF(COUNTIFS(BD!$A$3:$A$5001,AG$3,BD!$B$3:$B$5001,$A$5,BD!$E$3:$E$5001,"&lt;&gt;")=0,"",SUMIFS(BD!$E$3:$E$5001,BD!$A$3:$A$5001,AG$3,BD!$B$3:$B$5001,$A$5)))</f>
        <v/>
      </c>
      <c r="AH7" s="166" t="str">
        <f>IF(AH$3="","",IF(COUNTIFS(BD!$A$3:$A$5001,AH$3,BD!$B$3:$B$5001,$A$5,BD!$E$3:$E$5001,"&lt;&gt;")=0,"",SUMIFS(BD!$E$3:$E$5001,BD!$A$3:$A$5001,AH$3,BD!$B$3:$B$5001,$A$5)))</f>
        <v/>
      </c>
      <c r="AI7" s="166" t="str">
        <f>IF(AI$3="","",IF(COUNTIFS(BD!$A$3:$A$5001,AI$3,BD!$B$3:$B$5001,$A$5,BD!$E$3:$E$5001,"&lt;&gt;")=0,"",SUMIFS(BD!$E$3:$E$5001,BD!$A$3:$A$5001,AI$3,BD!$B$3:$B$5001,$A$5)))</f>
        <v/>
      </c>
      <c r="AJ7" s="167" t="str">
        <f>IF(AJ$3="","",IF(COUNTIFS(BD!$A$3:$A$5001,AJ$3,BD!$B$3:$B$5001,$A$5,BD!$E$3:$E$5001,"&lt;&gt;")=0,"",SUMIFS(BD!$E$3:$E$5001,BD!$A$3:$A$5001,AJ$3,BD!$B$3:$B$5001,$A$5)))</f>
        <v/>
      </c>
      <c r="AK7" s="168" t="str">
        <f>IF(COUNT(F7:AJ7)=0,"",SUM(F7:AJ7))</f>
        <v/>
      </c>
    </row>
    <row r="8" ht="15.75" customHeight="1">
      <c r="A8" s="247"/>
      <c r="B8" s="237" t="inlineStr">
        <is>
          <t xml:space="preserve">OUT</t>
        </is>
      </c>
      <c r="C8" s="169" t="inlineStr">
        <is>
          <t xml:space="preserve">Veículos Expedidos</t>
        </is>
      </c>
      <c r="D8" s="170" t="str">
        <f>IFERROR(1/(1/INDEX(BD!$Y$26:$AD$26,MATCH($A$5,BD!$Y$22:$AD$22,0))),"")</f>
        <v/>
      </c>
      <c r="E8" s="171"/>
      <c r="F8" s="172" t="str">
        <f>IF(F$3="","",IF(COUNTIFS(BD!$A$3:$A$5001,F$3,BD!$B$3:$B$5001,$A$5,BD!$F$3:$F$5001,"&lt;&gt;")=0,"",SUMIFS(BD!$F$3:$F$5001,BD!$A$3:$A$5001,F$3,BD!$B$3:$B$5001,$A$5)))</f>
        <v/>
      </c>
      <c r="G8" s="173" t="str">
        <f>IF(G$3="","",IF(COUNTIFS(BD!$A$3:$A$5001,G$3,BD!$B$3:$B$5001,$A$5,BD!$F$3:$F$5001,"&lt;&gt;")=0,"",SUMIFS(BD!$F$3:$F$5001,BD!$A$3:$A$5001,G$3,BD!$B$3:$B$5001,$A$5)))</f>
        <v/>
      </c>
      <c r="H8" s="173" t="str">
        <f>IF(H$3="","",IF(COUNTIFS(BD!$A$3:$A$5001,H$3,BD!$B$3:$B$5001,$A$5,BD!$F$3:$F$5001,"&lt;&gt;")=0,"",SUMIFS(BD!$F$3:$F$5001,BD!$A$3:$A$5001,H$3,BD!$B$3:$B$5001,$A$5)))</f>
        <v/>
      </c>
      <c r="I8" s="173" t="str">
        <f>IF(I$3="","",IF(COUNTIFS(BD!$A$3:$A$5001,I$3,BD!$B$3:$B$5001,$A$5,BD!$F$3:$F$5001,"&lt;&gt;")=0,"",SUMIFS(BD!$F$3:$F$5001,BD!$A$3:$A$5001,I$3,BD!$B$3:$B$5001,$A$5)))</f>
        <v/>
      </c>
      <c r="J8" s="173" t="str">
        <f>IF(J$3="","",IF(COUNTIFS(BD!$A$3:$A$5001,J$3,BD!$B$3:$B$5001,$A$5,BD!$F$3:$F$5001,"&lt;&gt;")=0,"",SUMIFS(BD!$F$3:$F$5001,BD!$A$3:$A$5001,J$3,BD!$B$3:$B$5001,$A$5)))</f>
        <v/>
      </c>
      <c r="K8" s="173" t="str">
        <f>IF(K$3="","",IF(COUNTIFS(BD!$A$3:$A$5001,K$3,BD!$B$3:$B$5001,$A$5,BD!$F$3:$F$5001,"&lt;&gt;")=0,"",SUMIFS(BD!$F$3:$F$5001,BD!$A$3:$A$5001,K$3,BD!$B$3:$B$5001,$A$5)))</f>
        <v/>
      </c>
      <c r="L8" s="173" t="str">
        <f>IF(L$3="","",IF(COUNTIFS(BD!$A$3:$A$5001,L$3,BD!$B$3:$B$5001,$A$5,BD!$F$3:$F$5001,"&lt;&gt;")=0,"",SUMIFS(BD!$F$3:$F$5001,BD!$A$3:$A$5001,L$3,BD!$B$3:$B$5001,$A$5)))</f>
        <v/>
      </c>
      <c r="M8" s="173" t="str">
        <f>IF(M$3="","",IF(COUNTIFS(BD!$A$3:$A$5001,M$3,BD!$B$3:$B$5001,$A$5,BD!$F$3:$F$5001,"&lt;&gt;")=0,"",SUMIFS(BD!$F$3:$F$5001,BD!$A$3:$A$5001,M$3,BD!$B$3:$B$5001,$A$5)))</f>
        <v/>
      </c>
      <c r="N8" s="173" t="str">
        <f>IF(N$3="","",IF(COUNTIFS(BD!$A$3:$A$5001,N$3,BD!$B$3:$B$5001,$A$5,BD!$F$3:$F$5001,"&lt;&gt;")=0,"",SUMIFS(BD!$F$3:$F$5001,BD!$A$3:$A$5001,N$3,BD!$B$3:$B$5001,$A$5)))</f>
        <v/>
      </c>
      <c r="O8" s="173" t="str">
        <f>IF(O$3="","",IF(COUNTIFS(BD!$A$3:$A$5001,O$3,BD!$B$3:$B$5001,$A$5,BD!$F$3:$F$5001,"&lt;&gt;")=0,"",SUMIFS(BD!$F$3:$F$5001,BD!$A$3:$A$5001,O$3,BD!$B$3:$B$5001,$A$5)))</f>
        <v/>
      </c>
      <c r="P8" s="173" t="str">
        <f>IF(P$3="","",IF(COUNTIFS(BD!$A$3:$A$5001,P$3,BD!$B$3:$B$5001,$A$5,BD!$F$3:$F$5001,"&lt;&gt;")=0,"",SUMIFS(BD!$F$3:$F$5001,BD!$A$3:$A$5001,P$3,BD!$B$3:$B$5001,$A$5)))</f>
        <v/>
      </c>
      <c r="Q8" s="173" t="str">
        <f>IF(Q$3="","",IF(COUNTIFS(BD!$A$3:$A$5001,Q$3,BD!$B$3:$B$5001,$A$5,BD!$F$3:$F$5001,"&lt;&gt;")=0,"",SUMIFS(BD!$F$3:$F$5001,BD!$A$3:$A$5001,Q$3,BD!$B$3:$B$5001,$A$5)))</f>
        <v/>
      </c>
      <c r="R8" s="173" t="str">
        <f>IF(R$3="","",IF(COUNTIFS(BD!$A$3:$A$5001,R$3,BD!$B$3:$B$5001,$A$5,BD!$F$3:$F$5001,"&lt;&gt;")=0,"",SUMIFS(BD!$F$3:$F$5001,BD!$A$3:$A$5001,R$3,BD!$B$3:$B$5001,$A$5)))</f>
        <v/>
      </c>
      <c r="S8" s="173" t="str">
        <f>IF(S$3="","",IF(COUNTIFS(BD!$A$3:$A$5001,S$3,BD!$B$3:$B$5001,$A$5,BD!$F$3:$F$5001,"&lt;&gt;")=0,"",SUMIFS(BD!$F$3:$F$5001,BD!$A$3:$A$5001,S$3,BD!$B$3:$B$5001,$A$5)))</f>
        <v/>
      </c>
      <c r="T8" s="173" t="str">
        <f>IF(T$3="","",IF(COUNTIFS(BD!$A$3:$A$5001,T$3,BD!$B$3:$B$5001,$A$5,BD!$F$3:$F$5001,"&lt;&gt;")=0,"",SUMIFS(BD!$F$3:$F$5001,BD!$A$3:$A$5001,T$3,BD!$B$3:$B$5001,$A$5)))</f>
        <v/>
      </c>
      <c r="U8" s="173" t="str">
        <f>IF(U$3="","",IF(COUNTIFS(BD!$A$3:$A$5001,U$3,BD!$B$3:$B$5001,$A$5,BD!$F$3:$F$5001,"&lt;&gt;")=0,"",SUMIFS(BD!$F$3:$F$5001,BD!$A$3:$A$5001,U$3,BD!$B$3:$B$5001,$A$5)))</f>
        <v/>
      </c>
      <c r="V8" s="173" t="str">
        <f>IF(V$3="","",IF(COUNTIFS(BD!$A$3:$A$5001,V$3,BD!$B$3:$B$5001,$A$5,BD!$F$3:$F$5001,"&lt;&gt;")=0,"",SUMIFS(BD!$F$3:$F$5001,BD!$A$3:$A$5001,V$3,BD!$B$3:$B$5001,$A$5)))</f>
        <v/>
      </c>
      <c r="W8" s="173" t="str">
        <f>IF(W$3="","",IF(COUNTIFS(BD!$A$3:$A$5001,W$3,BD!$B$3:$B$5001,$A$5,BD!$F$3:$F$5001,"&lt;&gt;")=0,"",SUMIFS(BD!$F$3:$F$5001,BD!$A$3:$A$5001,W$3,BD!$B$3:$B$5001,$A$5)))</f>
        <v/>
      </c>
      <c r="X8" s="173" t="str">
        <f>IF(X$3="","",IF(COUNTIFS(BD!$A$3:$A$5001,X$3,BD!$B$3:$B$5001,$A$5,BD!$F$3:$F$5001,"&lt;&gt;")=0,"",SUMIFS(BD!$F$3:$F$5001,BD!$A$3:$A$5001,X$3,BD!$B$3:$B$5001,$A$5)))</f>
        <v/>
      </c>
      <c r="Y8" s="173" t="str">
        <f>IF(Y$3="","",IF(COUNTIFS(BD!$A$3:$A$5001,Y$3,BD!$B$3:$B$5001,$A$5,BD!$F$3:$F$5001,"&lt;&gt;")=0,"",SUMIFS(BD!$F$3:$F$5001,BD!$A$3:$A$5001,Y$3,BD!$B$3:$B$5001,$A$5)))</f>
        <v/>
      </c>
      <c r="Z8" s="173" t="str">
        <f>IF(Z$3="","",IF(COUNTIFS(BD!$A$3:$A$5001,Z$3,BD!$B$3:$B$5001,$A$5,BD!$F$3:$F$5001,"&lt;&gt;")=0,"",SUMIFS(BD!$F$3:$F$5001,BD!$A$3:$A$5001,Z$3,BD!$B$3:$B$5001,$A$5)))</f>
        <v/>
      </c>
      <c r="AA8" s="173" t="str">
        <f>IF(AA$3="","",IF(COUNTIFS(BD!$A$3:$A$5001,AA$3,BD!$B$3:$B$5001,$A$5,BD!$F$3:$F$5001,"&lt;&gt;")=0,"",SUMIFS(BD!$F$3:$F$5001,BD!$A$3:$A$5001,AA$3,BD!$B$3:$B$5001,$A$5)))</f>
        <v/>
      </c>
      <c r="AB8" s="173" t="str">
        <f>IF(AB$3="","",IF(COUNTIFS(BD!$A$3:$A$5001,AB$3,BD!$B$3:$B$5001,$A$5,BD!$F$3:$F$5001,"&lt;&gt;")=0,"",SUMIFS(BD!$F$3:$F$5001,BD!$A$3:$A$5001,AB$3,BD!$B$3:$B$5001,$A$5)))</f>
        <v/>
      </c>
      <c r="AC8" s="173" t="str">
        <f>IF(AC$3="","",IF(COUNTIFS(BD!$A$3:$A$5001,AC$3,BD!$B$3:$B$5001,$A$5,BD!$F$3:$F$5001,"&lt;&gt;")=0,"",SUMIFS(BD!$F$3:$F$5001,BD!$A$3:$A$5001,AC$3,BD!$B$3:$B$5001,$A$5)))</f>
        <v/>
      </c>
      <c r="AD8" s="173" t="str">
        <f>IF(AD$3="","",IF(COUNTIFS(BD!$A$3:$A$5001,AD$3,BD!$B$3:$B$5001,$A$5,BD!$F$3:$F$5001,"&lt;&gt;")=0,"",SUMIFS(BD!$F$3:$F$5001,BD!$A$3:$A$5001,AD$3,BD!$B$3:$B$5001,$A$5)))</f>
        <v/>
      </c>
      <c r="AE8" s="173" t="str">
        <f>IF(AE$3="","",IF(COUNTIFS(BD!$A$3:$A$5001,AE$3,BD!$B$3:$B$5001,$A$5,BD!$F$3:$F$5001,"&lt;&gt;")=0,"",SUMIFS(BD!$F$3:$F$5001,BD!$A$3:$A$5001,AE$3,BD!$B$3:$B$5001,$A$5)))</f>
        <v/>
      </c>
      <c r="AF8" s="173" t="str">
        <f>IF(AF$3="","",IF(COUNTIFS(BD!$A$3:$A$5001,AF$3,BD!$B$3:$B$5001,$A$5,BD!$F$3:$F$5001,"&lt;&gt;")=0,"",SUMIFS(BD!$F$3:$F$5001,BD!$A$3:$A$5001,AF$3,BD!$B$3:$B$5001,$A$5)))</f>
        <v/>
      </c>
      <c r="AG8" s="173" t="str">
        <f>IF(AG$3="","",IF(COUNTIFS(BD!$A$3:$A$5001,AG$3,BD!$B$3:$B$5001,$A$5,BD!$F$3:$F$5001,"&lt;&gt;")=0,"",SUMIFS(BD!$F$3:$F$5001,BD!$A$3:$A$5001,AG$3,BD!$B$3:$B$5001,$A$5)))</f>
        <v/>
      </c>
      <c r="AH8" s="173" t="str">
        <f>IF(AH$3="","",IF(COUNTIFS(BD!$A$3:$A$5001,AH$3,BD!$B$3:$B$5001,$A$5,BD!$F$3:$F$5001,"&lt;&gt;")=0,"",SUMIFS(BD!$F$3:$F$5001,BD!$A$3:$A$5001,AH$3,BD!$B$3:$B$5001,$A$5)))</f>
        <v/>
      </c>
      <c r="AI8" s="173" t="str">
        <f>IF(AI$3="","",IF(COUNTIFS(BD!$A$3:$A$5001,AI$3,BD!$B$3:$B$5001,$A$5,BD!$F$3:$F$5001,"&lt;&gt;")=0,"",SUMIFS(BD!$F$3:$F$5001,BD!$A$3:$A$5001,AI$3,BD!$B$3:$B$5001,$A$5)))</f>
        <v/>
      </c>
      <c r="AJ8" s="174" t="str">
        <f>IF(AJ$3="","",IF(COUNTIFS(BD!$A$3:$A$5001,AJ$3,BD!$B$3:$B$5001,$A$5,BD!$F$3:$F$5001,"&lt;&gt;")=0,"",SUMIFS(BD!$F$3:$F$5001,BD!$A$3:$A$5001,AJ$3,BD!$B$3:$B$5001,$A$5)))</f>
        <v/>
      </c>
      <c r="AK8" s="175" t="str">
        <f>IF(COUNT(F8:AJ8)=0,"",SUM(F8:AJ8))</f>
        <v/>
      </c>
    </row>
    <row r="9" ht="15.75" customHeight="1">
      <c r="A9" s="247"/>
      <c r="B9" s="238"/>
      <c r="C9" s="176" t="inlineStr">
        <is>
          <t xml:space="preserve">Pallets Movimentados</t>
        </is>
      </c>
      <c r="D9" s="177" t="str">
        <f>IFERROR(1/(1/INDEX(BD!$Y$27:$AD$27,MATCH($A$5,BD!$Y$22:$AD$22,0))),"")</f>
        <v/>
      </c>
      <c r="E9" s="178"/>
      <c r="F9" s="179" t="str">
        <f>IF(F$3="","",IF(COUNTIFS(BD!$A$3:$A$5001,F$3,BD!$B$3:$B$5001,$A$5,BD!$G$3:$G$5001,"&lt;&gt;")=0,"",SUMIFS(BD!$G$3:$G$5001,BD!$A$3:$A$5001,F$3,BD!$B$3:$B$5001,$A$5)))</f>
        <v/>
      </c>
      <c r="G9" s="180" t="str">
        <f>IF(G$3="","",IF(COUNTIFS(BD!$A$3:$A$5001,G$3,BD!$B$3:$B$5001,$A$5,BD!$G$3:$G$5001,"&lt;&gt;")=0,"",SUMIFS(BD!$G$3:$G$5001,BD!$A$3:$A$5001,G$3,BD!$B$3:$B$5001,$A$5)))</f>
        <v/>
      </c>
      <c r="H9" s="180" t="str">
        <f>IF(H$3="","",IF(COUNTIFS(BD!$A$3:$A$5001,H$3,BD!$B$3:$B$5001,$A$5,BD!$G$3:$G$5001,"&lt;&gt;")=0,"",SUMIFS(BD!$G$3:$G$5001,BD!$A$3:$A$5001,H$3,BD!$B$3:$B$5001,$A$5)))</f>
        <v/>
      </c>
      <c r="I9" s="180" t="str">
        <f>IF(I$3="","",IF(COUNTIFS(BD!$A$3:$A$5001,I$3,BD!$B$3:$B$5001,$A$5,BD!$G$3:$G$5001,"&lt;&gt;")=0,"",SUMIFS(BD!$G$3:$G$5001,BD!$A$3:$A$5001,I$3,BD!$B$3:$B$5001,$A$5)))</f>
        <v/>
      </c>
      <c r="J9" s="180" t="str">
        <f>IF(J$3="","",IF(COUNTIFS(BD!$A$3:$A$5001,J$3,BD!$B$3:$B$5001,$A$5,BD!$G$3:$G$5001,"&lt;&gt;")=0,"",SUMIFS(BD!$G$3:$G$5001,BD!$A$3:$A$5001,J$3,BD!$B$3:$B$5001,$A$5)))</f>
        <v/>
      </c>
      <c r="K9" s="180" t="str">
        <f>IF(K$3="","",IF(COUNTIFS(BD!$A$3:$A$5001,K$3,BD!$B$3:$B$5001,$A$5,BD!$G$3:$G$5001,"&lt;&gt;")=0,"",SUMIFS(BD!$G$3:$G$5001,BD!$A$3:$A$5001,K$3,BD!$B$3:$B$5001,$A$5)))</f>
        <v/>
      </c>
      <c r="L9" s="180" t="str">
        <f>IF(L$3="","",IF(COUNTIFS(BD!$A$3:$A$5001,L$3,BD!$B$3:$B$5001,$A$5,BD!$G$3:$G$5001,"&lt;&gt;")=0,"",SUMIFS(BD!$G$3:$G$5001,BD!$A$3:$A$5001,L$3,BD!$B$3:$B$5001,$A$5)))</f>
        <v/>
      </c>
      <c r="M9" s="180" t="str">
        <f>IF(M$3="","",IF(COUNTIFS(BD!$A$3:$A$5001,M$3,BD!$B$3:$B$5001,$A$5,BD!$G$3:$G$5001,"&lt;&gt;")=0,"",SUMIFS(BD!$G$3:$G$5001,BD!$A$3:$A$5001,M$3,BD!$B$3:$B$5001,$A$5)))</f>
        <v/>
      </c>
      <c r="N9" s="180" t="str">
        <f>IF(N$3="","",IF(COUNTIFS(BD!$A$3:$A$5001,N$3,BD!$B$3:$B$5001,$A$5,BD!$G$3:$G$5001,"&lt;&gt;")=0,"",SUMIFS(BD!$G$3:$G$5001,BD!$A$3:$A$5001,N$3,BD!$B$3:$B$5001,$A$5)))</f>
        <v/>
      </c>
      <c r="O9" s="180" t="str">
        <f>IF(O$3="","",IF(COUNTIFS(BD!$A$3:$A$5001,O$3,BD!$B$3:$B$5001,$A$5,BD!$G$3:$G$5001,"&lt;&gt;")=0,"",SUMIFS(BD!$G$3:$G$5001,BD!$A$3:$A$5001,O$3,BD!$B$3:$B$5001,$A$5)))</f>
        <v/>
      </c>
      <c r="P9" s="180" t="str">
        <f>IF(P$3="","",IF(COUNTIFS(BD!$A$3:$A$5001,P$3,BD!$B$3:$B$5001,$A$5,BD!$G$3:$G$5001,"&lt;&gt;")=0,"",SUMIFS(BD!$G$3:$G$5001,BD!$A$3:$A$5001,P$3,BD!$B$3:$B$5001,$A$5)))</f>
        <v/>
      </c>
      <c r="Q9" s="180" t="str">
        <f>IF(Q$3="","",IF(COUNTIFS(BD!$A$3:$A$5001,Q$3,BD!$B$3:$B$5001,$A$5,BD!$G$3:$G$5001,"&lt;&gt;")=0,"",SUMIFS(BD!$G$3:$G$5001,BD!$A$3:$A$5001,Q$3,BD!$B$3:$B$5001,$A$5)))</f>
        <v/>
      </c>
      <c r="R9" s="180" t="str">
        <f>IF(R$3="","",IF(COUNTIFS(BD!$A$3:$A$5001,R$3,BD!$B$3:$B$5001,$A$5,BD!$G$3:$G$5001,"&lt;&gt;")=0,"",SUMIFS(BD!$G$3:$G$5001,BD!$A$3:$A$5001,R$3,BD!$B$3:$B$5001,$A$5)))</f>
        <v/>
      </c>
      <c r="S9" s="180" t="str">
        <f>IF(S$3="","",IF(COUNTIFS(BD!$A$3:$A$5001,S$3,BD!$B$3:$B$5001,$A$5,BD!$G$3:$G$5001,"&lt;&gt;")=0,"",SUMIFS(BD!$G$3:$G$5001,BD!$A$3:$A$5001,S$3,BD!$B$3:$B$5001,$A$5)))</f>
        <v/>
      </c>
      <c r="T9" s="180" t="str">
        <f>IF(T$3="","",IF(COUNTIFS(BD!$A$3:$A$5001,T$3,BD!$B$3:$B$5001,$A$5,BD!$G$3:$G$5001,"&lt;&gt;")=0,"",SUMIFS(BD!$G$3:$G$5001,BD!$A$3:$A$5001,T$3,BD!$B$3:$B$5001,$A$5)))</f>
        <v/>
      </c>
      <c r="U9" s="180" t="str">
        <f>IF(U$3="","",IF(COUNTIFS(BD!$A$3:$A$5001,U$3,BD!$B$3:$B$5001,$A$5,BD!$G$3:$G$5001,"&lt;&gt;")=0,"",SUMIFS(BD!$G$3:$G$5001,BD!$A$3:$A$5001,U$3,BD!$B$3:$B$5001,$A$5)))</f>
        <v/>
      </c>
      <c r="V9" s="180" t="str">
        <f>IF(V$3="","",IF(COUNTIFS(BD!$A$3:$A$5001,V$3,BD!$B$3:$B$5001,$A$5,BD!$G$3:$G$5001,"&lt;&gt;")=0,"",SUMIFS(BD!$G$3:$G$5001,BD!$A$3:$A$5001,V$3,BD!$B$3:$B$5001,$A$5)))</f>
        <v/>
      </c>
      <c r="W9" s="180" t="str">
        <f>IF(W$3="","",IF(COUNTIFS(BD!$A$3:$A$5001,W$3,BD!$B$3:$B$5001,$A$5,BD!$G$3:$G$5001,"&lt;&gt;")=0,"",SUMIFS(BD!$G$3:$G$5001,BD!$A$3:$A$5001,W$3,BD!$B$3:$B$5001,$A$5)))</f>
        <v/>
      </c>
      <c r="X9" s="180" t="str">
        <f>IF(X$3="","",IF(COUNTIFS(BD!$A$3:$A$5001,X$3,BD!$B$3:$B$5001,$A$5,BD!$G$3:$G$5001,"&lt;&gt;")=0,"",SUMIFS(BD!$G$3:$G$5001,BD!$A$3:$A$5001,X$3,BD!$B$3:$B$5001,$A$5)))</f>
        <v/>
      </c>
      <c r="Y9" s="180" t="str">
        <f>IF(Y$3="","",IF(COUNTIFS(BD!$A$3:$A$5001,Y$3,BD!$B$3:$B$5001,$A$5,BD!$G$3:$G$5001,"&lt;&gt;")=0,"",SUMIFS(BD!$G$3:$G$5001,BD!$A$3:$A$5001,Y$3,BD!$B$3:$B$5001,$A$5)))</f>
        <v/>
      </c>
      <c r="Z9" s="180" t="str">
        <f>IF(Z$3="","",IF(COUNTIFS(BD!$A$3:$A$5001,Z$3,BD!$B$3:$B$5001,$A$5,BD!$G$3:$G$5001,"&lt;&gt;")=0,"",SUMIFS(BD!$G$3:$G$5001,BD!$A$3:$A$5001,Z$3,BD!$B$3:$B$5001,$A$5)))</f>
        <v/>
      </c>
      <c r="AA9" s="180" t="str">
        <f>IF(AA$3="","",IF(COUNTIFS(BD!$A$3:$A$5001,AA$3,BD!$B$3:$B$5001,$A$5,BD!$G$3:$G$5001,"&lt;&gt;")=0,"",SUMIFS(BD!$G$3:$G$5001,BD!$A$3:$A$5001,AA$3,BD!$B$3:$B$5001,$A$5)))</f>
        <v/>
      </c>
      <c r="AB9" s="180" t="str">
        <f>IF(AB$3="","",IF(COUNTIFS(BD!$A$3:$A$5001,AB$3,BD!$B$3:$B$5001,$A$5,BD!$G$3:$G$5001,"&lt;&gt;")=0,"",SUMIFS(BD!$G$3:$G$5001,BD!$A$3:$A$5001,AB$3,BD!$B$3:$B$5001,$A$5)))</f>
        <v/>
      </c>
      <c r="AC9" s="180" t="str">
        <f>IF(AC$3="","",IF(COUNTIFS(BD!$A$3:$A$5001,AC$3,BD!$B$3:$B$5001,$A$5,BD!$G$3:$G$5001,"&lt;&gt;")=0,"",SUMIFS(BD!$G$3:$G$5001,BD!$A$3:$A$5001,AC$3,BD!$B$3:$B$5001,$A$5)))</f>
        <v/>
      </c>
      <c r="AD9" s="180" t="str">
        <f>IF(AD$3="","",IF(COUNTIFS(BD!$A$3:$A$5001,AD$3,BD!$B$3:$B$5001,$A$5,BD!$G$3:$G$5001,"&lt;&gt;")=0,"",SUMIFS(BD!$G$3:$G$5001,BD!$A$3:$A$5001,AD$3,BD!$B$3:$B$5001,$A$5)))</f>
        <v/>
      </c>
      <c r="AE9" s="180" t="str">
        <f>IF(AE$3="","",IF(COUNTIFS(BD!$A$3:$A$5001,AE$3,BD!$B$3:$B$5001,$A$5,BD!$G$3:$G$5001,"&lt;&gt;")=0,"",SUMIFS(BD!$G$3:$G$5001,BD!$A$3:$A$5001,AE$3,BD!$B$3:$B$5001,$A$5)))</f>
        <v/>
      </c>
      <c r="AF9" s="180" t="str">
        <f>IF(AF$3="","",IF(COUNTIFS(BD!$A$3:$A$5001,AF$3,BD!$B$3:$B$5001,$A$5,BD!$G$3:$G$5001,"&lt;&gt;")=0,"",SUMIFS(BD!$G$3:$G$5001,BD!$A$3:$A$5001,AF$3,BD!$B$3:$B$5001,$A$5)))</f>
        <v/>
      </c>
      <c r="AG9" s="180" t="str">
        <f>IF(AG$3="","",IF(COUNTIFS(BD!$A$3:$A$5001,AG$3,BD!$B$3:$B$5001,$A$5,BD!$G$3:$G$5001,"&lt;&gt;")=0,"",SUMIFS(BD!$G$3:$G$5001,BD!$A$3:$A$5001,AG$3,BD!$B$3:$B$5001,$A$5)))</f>
        <v/>
      </c>
      <c r="AH9" s="180" t="str">
        <f>IF(AH$3="","",IF(COUNTIFS(BD!$A$3:$A$5001,AH$3,BD!$B$3:$B$5001,$A$5,BD!$G$3:$G$5001,"&lt;&gt;")=0,"",SUMIFS(BD!$G$3:$G$5001,BD!$A$3:$A$5001,AH$3,BD!$B$3:$B$5001,$A$5)))</f>
        <v/>
      </c>
      <c r="AI9" s="180" t="str">
        <f>IF(AI$3="","",IF(COUNTIFS(BD!$A$3:$A$5001,AI$3,BD!$B$3:$B$5001,$A$5,BD!$G$3:$G$5001,"&lt;&gt;")=0,"",SUMIFS(BD!$G$3:$G$5001,BD!$A$3:$A$5001,AI$3,BD!$B$3:$B$5001,$A$5)))</f>
        <v/>
      </c>
      <c r="AJ9" s="181" t="str">
        <f>IF(AJ$3="","",IF(COUNTIFS(BD!$A$3:$A$5001,AJ$3,BD!$B$3:$B$5001,$A$5,BD!$G$3:$G$5001,"&lt;&gt;")=0,"",SUMIFS(BD!$G$3:$G$5001,BD!$A$3:$A$5001,AJ$3,BD!$B$3:$B$5001,$A$5)))</f>
        <v/>
      </c>
      <c r="AK9" s="182" t="str">
        <f>IF(COUNT(F9:AJ9)=0,"",SUM(F9:AJ9))</f>
        <v/>
      </c>
    </row>
    <row r="10" ht="15.75" customHeight="1">
      <c r="A10" s="247"/>
      <c r="B10" s="239"/>
      <c r="C10" s="183" t="inlineStr">
        <is>
          <t xml:space="preserve">Toneladas Movimentadas</t>
        </is>
      </c>
      <c r="D10" s="184" t="str">
        <f>IFERROR(1/(1/INDEX(BD!$Y$28:$AD$28,MATCH($A$5,BD!$Y$22:$AD$22,0))),"")</f>
        <v/>
      </c>
      <c r="E10" s="185"/>
      <c r="F10" s="186" t="str">
        <f>IF(F$3="","",IF(COUNTIFS(BD!$A$3:$A$5001,F$3,BD!$B$3:$B$5001,$A$5,BD!$H$3:$H$5001,"&lt;&gt;")=0,"",SUMIFS(BD!$H$3:$H$5001,BD!$A$3:$A$5001,F$3,BD!$B$3:$B$5001,$A$5)))</f>
        <v/>
      </c>
      <c r="G10" s="187" t="str">
        <f>IF(G$3="","",IF(COUNTIFS(BD!$A$3:$A$5001,G$3,BD!$B$3:$B$5001,$A$5,BD!$H$3:$H$5001,"&lt;&gt;")=0,"",SUMIFS(BD!$H$3:$H$5001,BD!$A$3:$A$5001,G$3,BD!$B$3:$B$5001,$A$5)))</f>
        <v/>
      </c>
      <c r="H10" s="187" t="str">
        <f>IF(H$3="","",IF(COUNTIFS(BD!$A$3:$A$5001,H$3,BD!$B$3:$B$5001,$A$5,BD!$H$3:$H$5001,"&lt;&gt;")=0,"",SUMIFS(BD!$H$3:$H$5001,BD!$A$3:$A$5001,H$3,BD!$B$3:$B$5001,$A$5)))</f>
        <v/>
      </c>
      <c r="I10" s="187" t="str">
        <f>IF(I$3="","",IF(COUNTIFS(BD!$A$3:$A$5001,I$3,BD!$B$3:$B$5001,$A$5,BD!$H$3:$H$5001,"&lt;&gt;")=0,"",SUMIFS(BD!$H$3:$H$5001,BD!$A$3:$A$5001,I$3,BD!$B$3:$B$5001,$A$5)))</f>
        <v/>
      </c>
      <c r="J10" s="187" t="str">
        <f>IF(J$3="","",IF(COUNTIFS(BD!$A$3:$A$5001,J$3,BD!$B$3:$B$5001,$A$5,BD!$H$3:$H$5001,"&lt;&gt;")=0,"",SUMIFS(BD!$H$3:$H$5001,BD!$A$3:$A$5001,J$3,BD!$B$3:$B$5001,$A$5)))</f>
        <v/>
      </c>
      <c r="K10" s="187" t="str">
        <f>IF(K$3="","",IF(COUNTIFS(BD!$A$3:$A$5001,K$3,BD!$B$3:$B$5001,$A$5,BD!$H$3:$H$5001,"&lt;&gt;")=0,"",SUMIFS(BD!$H$3:$H$5001,BD!$A$3:$A$5001,K$3,BD!$B$3:$B$5001,$A$5)))</f>
        <v/>
      </c>
      <c r="L10" s="187" t="str">
        <f>IF(L$3="","",IF(COUNTIFS(BD!$A$3:$A$5001,L$3,BD!$B$3:$B$5001,$A$5,BD!$H$3:$H$5001,"&lt;&gt;")=0,"",SUMIFS(BD!$H$3:$H$5001,BD!$A$3:$A$5001,L$3,BD!$B$3:$B$5001,$A$5)))</f>
        <v/>
      </c>
      <c r="M10" s="187" t="str">
        <f>IF(M$3="","",IF(COUNTIFS(BD!$A$3:$A$5001,M$3,BD!$B$3:$B$5001,$A$5,BD!$H$3:$H$5001,"&lt;&gt;")=0,"",SUMIFS(BD!$H$3:$H$5001,BD!$A$3:$A$5001,M$3,BD!$B$3:$B$5001,$A$5)))</f>
        <v/>
      </c>
      <c r="N10" s="187" t="str">
        <f>IF(N$3="","",IF(COUNTIFS(BD!$A$3:$A$5001,N$3,BD!$B$3:$B$5001,$A$5,BD!$H$3:$H$5001,"&lt;&gt;")=0,"",SUMIFS(BD!$H$3:$H$5001,BD!$A$3:$A$5001,N$3,BD!$B$3:$B$5001,$A$5)))</f>
        <v/>
      </c>
      <c r="O10" s="187" t="str">
        <f>IF(O$3="","",IF(COUNTIFS(BD!$A$3:$A$5001,O$3,BD!$B$3:$B$5001,$A$5,BD!$H$3:$H$5001,"&lt;&gt;")=0,"",SUMIFS(BD!$H$3:$H$5001,BD!$A$3:$A$5001,O$3,BD!$B$3:$B$5001,$A$5)))</f>
        <v/>
      </c>
      <c r="P10" s="187" t="str">
        <f>IF(P$3="","",IF(COUNTIFS(BD!$A$3:$A$5001,P$3,BD!$B$3:$B$5001,$A$5,BD!$H$3:$H$5001,"&lt;&gt;")=0,"",SUMIFS(BD!$H$3:$H$5001,BD!$A$3:$A$5001,P$3,BD!$B$3:$B$5001,$A$5)))</f>
        <v/>
      </c>
      <c r="Q10" s="187" t="str">
        <f>IF(Q$3="","",IF(COUNTIFS(BD!$A$3:$A$5001,Q$3,BD!$B$3:$B$5001,$A$5,BD!$H$3:$H$5001,"&lt;&gt;")=0,"",SUMIFS(BD!$H$3:$H$5001,BD!$A$3:$A$5001,Q$3,BD!$B$3:$B$5001,$A$5)))</f>
        <v/>
      </c>
      <c r="R10" s="187" t="str">
        <f>IF(R$3="","",IF(COUNTIFS(BD!$A$3:$A$5001,R$3,BD!$B$3:$B$5001,$A$5,BD!$H$3:$H$5001,"&lt;&gt;")=0,"",SUMIFS(BD!$H$3:$H$5001,BD!$A$3:$A$5001,R$3,BD!$B$3:$B$5001,$A$5)))</f>
        <v/>
      </c>
      <c r="S10" s="187" t="str">
        <f>IF(S$3="","",IF(COUNTIFS(BD!$A$3:$A$5001,S$3,BD!$B$3:$B$5001,$A$5,BD!$H$3:$H$5001,"&lt;&gt;")=0,"",SUMIFS(BD!$H$3:$H$5001,BD!$A$3:$A$5001,S$3,BD!$B$3:$B$5001,$A$5)))</f>
        <v/>
      </c>
      <c r="T10" s="187" t="str">
        <f>IF(T$3="","",IF(COUNTIFS(BD!$A$3:$A$5001,T$3,BD!$B$3:$B$5001,$A$5,BD!$H$3:$H$5001,"&lt;&gt;")=0,"",SUMIFS(BD!$H$3:$H$5001,BD!$A$3:$A$5001,T$3,BD!$B$3:$B$5001,$A$5)))</f>
        <v/>
      </c>
      <c r="U10" s="187" t="str">
        <f>IF(U$3="","",IF(COUNTIFS(BD!$A$3:$A$5001,U$3,BD!$B$3:$B$5001,$A$5,BD!$H$3:$H$5001,"&lt;&gt;")=0,"",SUMIFS(BD!$H$3:$H$5001,BD!$A$3:$A$5001,U$3,BD!$B$3:$B$5001,$A$5)))</f>
        <v/>
      </c>
      <c r="V10" s="187" t="str">
        <f>IF(V$3="","",IF(COUNTIFS(BD!$A$3:$A$5001,V$3,BD!$B$3:$B$5001,$A$5,BD!$H$3:$H$5001,"&lt;&gt;")=0,"",SUMIFS(BD!$H$3:$H$5001,BD!$A$3:$A$5001,V$3,BD!$B$3:$B$5001,$A$5)))</f>
        <v/>
      </c>
      <c r="W10" s="187" t="str">
        <f>IF(W$3="","",IF(COUNTIFS(BD!$A$3:$A$5001,W$3,BD!$B$3:$B$5001,$A$5,BD!$H$3:$H$5001,"&lt;&gt;")=0,"",SUMIFS(BD!$H$3:$H$5001,BD!$A$3:$A$5001,W$3,BD!$B$3:$B$5001,$A$5)))</f>
        <v/>
      </c>
      <c r="X10" s="187" t="str">
        <f>IF(X$3="","",IF(COUNTIFS(BD!$A$3:$A$5001,X$3,BD!$B$3:$B$5001,$A$5,BD!$H$3:$H$5001,"&lt;&gt;")=0,"",SUMIFS(BD!$H$3:$H$5001,BD!$A$3:$A$5001,X$3,BD!$B$3:$B$5001,$A$5)))</f>
        <v/>
      </c>
      <c r="Y10" s="187" t="str">
        <f>IF(Y$3="","",IF(COUNTIFS(BD!$A$3:$A$5001,Y$3,BD!$B$3:$B$5001,$A$5,BD!$H$3:$H$5001,"&lt;&gt;")=0,"",SUMIFS(BD!$H$3:$H$5001,BD!$A$3:$A$5001,Y$3,BD!$B$3:$B$5001,$A$5)))</f>
        <v/>
      </c>
      <c r="Z10" s="187" t="str">
        <f>IF(Z$3="","",IF(COUNTIFS(BD!$A$3:$A$5001,Z$3,BD!$B$3:$B$5001,$A$5,BD!$H$3:$H$5001,"&lt;&gt;")=0,"",SUMIFS(BD!$H$3:$H$5001,BD!$A$3:$A$5001,Z$3,BD!$B$3:$B$5001,$A$5)))</f>
        <v/>
      </c>
      <c r="AA10" s="187" t="str">
        <f>IF(AA$3="","",IF(COUNTIFS(BD!$A$3:$A$5001,AA$3,BD!$B$3:$B$5001,$A$5,BD!$H$3:$H$5001,"&lt;&gt;")=0,"",SUMIFS(BD!$H$3:$H$5001,BD!$A$3:$A$5001,AA$3,BD!$B$3:$B$5001,$A$5)))</f>
        <v/>
      </c>
      <c r="AB10" s="187" t="str">
        <f>IF(AB$3="","",IF(COUNTIFS(BD!$A$3:$A$5001,AB$3,BD!$B$3:$B$5001,$A$5,BD!$H$3:$H$5001,"&lt;&gt;")=0,"",SUMIFS(BD!$H$3:$H$5001,BD!$A$3:$A$5001,AB$3,BD!$B$3:$B$5001,$A$5)))</f>
        <v/>
      </c>
      <c r="AC10" s="187" t="str">
        <f>IF(AC$3="","",IF(COUNTIFS(BD!$A$3:$A$5001,AC$3,BD!$B$3:$B$5001,$A$5,BD!$H$3:$H$5001,"&lt;&gt;")=0,"",SUMIFS(BD!$H$3:$H$5001,BD!$A$3:$A$5001,AC$3,BD!$B$3:$B$5001,$A$5)))</f>
        <v/>
      </c>
      <c r="AD10" s="187" t="str">
        <f>IF(AD$3="","",IF(COUNTIFS(BD!$A$3:$A$5001,AD$3,BD!$B$3:$B$5001,$A$5,BD!$H$3:$H$5001,"&lt;&gt;")=0,"",SUMIFS(BD!$H$3:$H$5001,BD!$A$3:$A$5001,AD$3,BD!$B$3:$B$5001,$A$5)))</f>
        <v/>
      </c>
      <c r="AE10" s="187" t="str">
        <f>IF(AE$3="","",IF(COUNTIFS(BD!$A$3:$A$5001,AE$3,BD!$B$3:$B$5001,$A$5,BD!$H$3:$H$5001,"&lt;&gt;")=0,"",SUMIFS(BD!$H$3:$H$5001,BD!$A$3:$A$5001,AE$3,BD!$B$3:$B$5001,$A$5)))</f>
        <v/>
      </c>
      <c r="AF10" s="187" t="str">
        <f>IF(AF$3="","",IF(COUNTIFS(BD!$A$3:$A$5001,AF$3,BD!$B$3:$B$5001,$A$5,BD!$H$3:$H$5001,"&lt;&gt;")=0,"",SUMIFS(BD!$H$3:$H$5001,BD!$A$3:$A$5001,AF$3,BD!$B$3:$B$5001,$A$5)))</f>
        <v/>
      </c>
      <c r="AG10" s="187" t="str">
        <f>IF(AG$3="","",IF(COUNTIFS(BD!$A$3:$A$5001,AG$3,BD!$B$3:$B$5001,$A$5,BD!$H$3:$H$5001,"&lt;&gt;")=0,"",SUMIFS(BD!$H$3:$H$5001,BD!$A$3:$A$5001,AG$3,BD!$B$3:$B$5001,$A$5)))</f>
        <v/>
      </c>
      <c r="AH10" s="187" t="str">
        <f>IF(AH$3="","",IF(COUNTIFS(BD!$A$3:$A$5001,AH$3,BD!$B$3:$B$5001,$A$5,BD!$H$3:$H$5001,"&lt;&gt;")=0,"",SUMIFS(BD!$H$3:$H$5001,BD!$A$3:$A$5001,AH$3,BD!$B$3:$B$5001,$A$5)))</f>
        <v/>
      </c>
      <c r="AI10" s="187" t="str">
        <f>IF(AI$3="","",IF(COUNTIFS(BD!$A$3:$A$5001,AI$3,BD!$B$3:$B$5001,$A$5,BD!$H$3:$H$5001,"&lt;&gt;")=0,"",SUMIFS(BD!$H$3:$H$5001,BD!$A$3:$A$5001,AI$3,BD!$B$3:$B$5001,$A$5)))</f>
        <v/>
      </c>
      <c r="AJ10" s="188" t="str">
        <f>IF(AJ$3="","",IF(COUNTIFS(BD!$A$3:$A$5001,AJ$3,BD!$B$3:$B$5001,$A$5,BD!$H$3:$H$5001,"&lt;&gt;")=0,"",SUMIFS(BD!$H$3:$H$5001,BD!$A$3:$A$5001,AJ$3,BD!$B$3:$B$5001,$A$5)))</f>
        <v/>
      </c>
      <c r="AK10" s="189" t="str">
        <f>IF(COUNT(F10:AJ10)=0,"",SUM(F10:AJ10))</f>
        <v/>
      </c>
    </row>
    <row r="11" ht="15.75" customHeight="1">
      <c r="A11" s="247"/>
      <c r="B11" s="240" t="inlineStr">
        <is>
          <t xml:space="preserve">NC</t>
        </is>
      </c>
      <c r="C11" s="190" t="inlineStr">
        <is>
          <t xml:space="preserve">Incidentes</t>
        </is>
      </c>
      <c r="D11" s="191" t="str">
        <f>IFERROR(1/(1/INDEX(BD!$Y$29:$AD$29,MATCH($A$5,BD!$Y$22:$AD$22,0))),"")</f>
        <v/>
      </c>
      <c r="E11" s="192"/>
      <c r="F11" s="193" t="str">
        <f>IF(F$3="","",IF(COUNTIFS(BD!$A$3:$A$5001,F$3,BD!$B$3:$B$5001,$A$5,BD!$I$3:$I$5001,"&lt;&gt;")=0,"",SUMIFS(BD!$I$3:$I$5001,BD!$A$3:$A$5001,F$3,BD!$B$3:$B$5001,$A$5)))</f>
        <v/>
      </c>
      <c r="G11" s="194" t="str">
        <f>IF(G$3="","",IF(COUNTIFS(BD!$A$3:$A$5001,G$3,BD!$B$3:$B$5001,$A$5,BD!$I$3:$I$5001,"&lt;&gt;")=0,"",SUMIFS(BD!$I$3:$I$5001,BD!$A$3:$A$5001,G$3,BD!$B$3:$B$5001,$A$5)))</f>
        <v/>
      </c>
      <c r="H11" s="194" t="str">
        <f>IF(H$3="","",IF(COUNTIFS(BD!$A$3:$A$5001,H$3,BD!$B$3:$B$5001,$A$5,BD!$I$3:$I$5001,"&lt;&gt;")=0,"",SUMIFS(BD!$I$3:$I$5001,BD!$A$3:$A$5001,H$3,BD!$B$3:$B$5001,$A$5)))</f>
        <v/>
      </c>
      <c r="I11" s="194" t="str">
        <f>IF(I$3="","",IF(COUNTIFS(BD!$A$3:$A$5001,I$3,BD!$B$3:$B$5001,$A$5,BD!$I$3:$I$5001,"&lt;&gt;")=0,"",SUMIFS(BD!$I$3:$I$5001,BD!$A$3:$A$5001,I$3,BD!$B$3:$B$5001,$A$5)))</f>
        <v/>
      </c>
      <c r="J11" s="194" t="str">
        <f>IF(J$3="","",IF(COUNTIFS(BD!$A$3:$A$5001,J$3,BD!$B$3:$B$5001,$A$5,BD!$I$3:$I$5001,"&lt;&gt;")=0,"",SUMIFS(BD!$I$3:$I$5001,BD!$A$3:$A$5001,J$3,BD!$B$3:$B$5001,$A$5)))</f>
        <v/>
      </c>
      <c r="K11" s="194" t="str">
        <f>IF(K$3="","",IF(COUNTIFS(BD!$A$3:$A$5001,K$3,BD!$B$3:$B$5001,$A$5,BD!$I$3:$I$5001,"&lt;&gt;")=0,"",SUMIFS(BD!$I$3:$I$5001,BD!$A$3:$A$5001,K$3,BD!$B$3:$B$5001,$A$5)))</f>
        <v/>
      </c>
      <c r="L11" s="194" t="str">
        <f>IF(L$3="","",IF(COUNTIFS(BD!$A$3:$A$5001,L$3,BD!$B$3:$B$5001,$A$5,BD!$I$3:$I$5001,"&lt;&gt;")=0,"",SUMIFS(BD!$I$3:$I$5001,BD!$A$3:$A$5001,L$3,BD!$B$3:$B$5001,$A$5)))</f>
        <v/>
      </c>
      <c r="M11" s="194" t="str">
        <f>IF(M$3="","",IF(COUNTIFS(BD!$A$3:$A$5001,M$3,BD!$B$3:$B$5001,$A$5,BD!$I$3:$I$5001,"&lt;&gt;")=0,"",SUMIFS(BD!$I$3:$I$5001,BD!$A$3:$A$5001,M$3,BD!$B$3:$B$5001,$A$5)))</f>
        <v/>
      </c>
      <c r="N11" s="194" t="str">
        <f>IF(N$3="","",IF(COUNTIFS(BD!$A$3:$A$5001,N$3,BD!$B$3:$B$5001,$A$5,BD!$I$3:$I$5001,"&lt;&gt;")=0,"",SUMIFS(BD!$I$3:$I$5001,BD!$A$3:$A$5001,N$3,BD!$B$3:$B$5001,$A$5)))</f>
        <v/>
      </c>
      <c r="O11" s="194" t="str">
        <f>IF(O$3="","",IF(COUNTIFS(BD!$A$3:$A$5001,O$3,BD!$B$3:$B$5001,$A$5,BD!$I$3:$I$5001,"&lt;&gt;")=0,"",SUMIFS(BD!$I$3:$I$5001,BD!$A$3:$A$5001,O$3,BD!$B$3:$B$5001,$A$5)))</f>
        <v/>
      </c>
      <c r="P11" s="194" t="str">
        <f>IF(P$3="","",IF(COUNTIFS(BD!$A$3:$A$5001,P$3,BD!$B$3:$B$5001,$A$5,BD!$I$3:$I$5001,"&lt;&gt;")=0,"",SUMIFS(BD!$I$3:$I$5001,BD!$A$3:$A$5001,P$3,BD!$B$3:$B$5001,$A$5)))</f>
        <v/>
      </c>
      <c r="Q11" s="194" t="str">
        <f>IF(Q$3="","",IF(COUNTIFS(BD!$A$3:$A$5001,Q$3,BD!$B$3:$B$5001,$A$5,BD!$I$3:$I$5001,"&lt;&gt;")=0,"",SUMIFS(BD!$I$3:$I$5001,BD!$A$3:$A$5001,Q$3,BD!$B$3:$B$5001,$A$5)))</f>
        <v/>
      </c>
      <c r="R11" s="194" t="str">
        <f>IF(R$3="","",IF(COUNTIFS(BD!$A$3:$A$5001,R$3,BD!$B$3:$B$5001,$A$5,BD!$I$3:$I$5001,"&lt;&gt;")=0,"",SUMIFS(BD!$I$3:$I$5001,BD!$A$3:$A$5001,R$3,BD!$B$3:$B$5001,$A$5)))</f>
        <v/>
      </c>
      <c r="S11" s="194" t="str">
        <f>IF(S$3="","",IF(COUNTIFS(BD!$A$3:$A$5001,S$3,BD!$B$3:$B$5001,$A$5,BD!$I$3:$I$5001,"&lt;&gt;")=0,"",SUMIFS(BD!$I$3:$I$5001,BD!$A$3:$A$5001,S$3,BD!$B$3:$B$5001,$A$5)))</f>
        <v/>
      </c>
      <c r="T11" s="194" t="str">
        <f>IF(T$3="","",IF(COUNTIFS(BD!$A$3:$A$5001,T$3,BD!$B$3:$B$5001,$A$5,BD!$I$3:$I$5001,"&lt;&gt;")=0,"",SUMIFS(BD!$I$3:$I$5001,BD!$A$3:$A$5001,T$3,BD!$B$3:$B$5001,$A$5)))</f>
        <v/>
      </c>
      <c r="U11" s="194" t="str">
        <f>IF(U$3="","",IF(COUNTIFS(BD!$A$3:$A$5001,U$3,BD!$B$3:$B$5001,$A$5,BD!$I$3:$I$5001,"&lt;&gt;")=0,"",SUMIFS(BD!$I$3:$I$5001,BD!$A$3:$A$5001,U$3,BD!$B$3:$B$5001,$A$5)))</f>
        <v/>
      </c>
      <c r="V11" s="194" t="str">
        <f>IF(V$3="","",IF(COUNTIFS(BD!$A$3:$A$5001,V$3,BD!$B$3:$B$5001,$A$5,BD!$I$3:$I$5001,"&lt;&gt;")=0,"",SUMIFS(BD!$I$3:$I$5001,BD!$A$3:$A$5001,V$3,BD!$B$3:$B$5001,$A$5)))</f>
        <v/>
      </c>
      <c r="W11" s="194" t="str">
        <f>IF(W$3="","",IF(COUNTIFS(BD!$A$3:$A$5001,W$3,BD!$B$3:$B$5001,$A$5,BD!$I$3:$I$5001,"&lt;&gt;")=0,"",SUMIFS(BD!$I$3:$I$5001,BD!$A$3:$A$5001,W$3,BD!$B$3:$B$5001,$A$5)))</f>
        <v/>
      </c>
      <c r="X11" s="194" t="str">
        <f>IF(X$3="","",IF(COUNTIFS(BD!$A$3:$A$5001,X$3,BD!$B$3:$B$5001,$A$5,BD!$I$3:$I$5001,"&lt;&gt;")=0,"",SUMIFS(BD!$I$3:$I$5001,BD!$A$3:$A$5001,X$3,BD!$B$3:$B$5001,$A$5)))</f>
        <v/>
      </c>
      <c r="Y11" s="194" t="str">
        <f>IF(Y$3="","",IF(COUNTIFS(BD!$A$3:$A$5001,Y$3,BD!$B$3:$B$5001,$A$5,BD!$I$3:$I$5001,"&lt;&gt;")=0,"",SUMIFS(BD!$I$3:$I$5001,BD!$A$3:$A$5001,Y$3,BD!$B$3:$B$5001,$A$5)))</f>
        <v/>
      </c>
      <c r="Z11" s="194" t="str">
        <f>IF(Z$3="","",IF(COUNTIFS(BD!$A$3:$A$5001,Z$3,BD!$B$3:$B$5001,$A$5,BD!$I$3:$I$5001,"&lt;&gt;")=0,"",SUMIFS(BD!$I$3:$I$5001,BD!$A$3:$A$5001,Z$3,BD!$B$3:$B$5001,$A$5)))</f>
        <v/>
      </c>
      <c r="AA11" s="194" t="str">
        <f>IF(AA$3="","",IF(COUNTIFS(BD!$A$3:$A$5001,AA$3,BD!$B$3:$B$5001,$A$5,BD!$I$3:$I$5001,"&lt;&gt;")=0,"",SUMIFS(BD!$I$3:$I$5001,BD!$A$3:$A$5001,AA$3,BD!$B$3:$B$5001,$A$5)))</f>
        <v/>
      </c>
      <c r="AB11" s="194" t="str">
        <f>IF(AB$3="","",IF(COUNTIFS(BD!$A$3:$A$5001,AB$3,BD!$B$3:$B$5001,$A$5,BD!$I$3:$I$5001,"&lt;&gt;")=0,"",SUMIFS(BD!$I$3:$I$5001,BD!$A$3:$A$5001,AB$3,BD!$B$3:$B$5001,$A$5)))</f>
        <v/>
      </c>
      <c r="AC11" s="194" t="str">
        <f>IF(AC$3="","",IF(COUNTIFS(BD!$A$3:$A$5001,AC$3,BD!$B$3:$B$5001,$A$5,BD!$I$3:$I$5001,"&lt;&gt;")=0,"",SUMIFS(BD!$I$3:$I$5001,BD!$A$3:$A$5001,AC$3,BD!$B$3:$B$5001,$A$5)))</f>
        <v/>
      </c>
      <c r="AD11" s="194" t="str">
        <f>IF(AD$3="","",IF(COUNTIFS(BD!$A$3:$A$5001,AD$3,BD!$B$3:$B$5001,$A$5,BD!$I$3:$I$5001,"&lt;&gt;")=0,"",SUMIFS(BD!$I$3:$I$5001,BD!$A$3:$A$5001,AD$3,BD!$B$3:$B$5001,$A$5)))</f>
        <v/>
      </c>
      <c r="AE11" s="194" t="str">
        <f>IF(AE$3="","",IF(COUNTIFS(BD!$A$3:$A$5001,AE$3,BD!$B$3:$B$5001,$A$5,BD!$I$3:$I$5001,"&lt;&gt;")=0,"",SUMIFS(BD!$I$3:$I$5001,BD!$A$3:$A$5001,AE$3,BD!$B$3:$B$5001,$A$5)))</f>
        <v/>
      </c>
      <c r="AF11" s="194" t="str">
        <f>IF(AF$3="","",IF(COUNTIFS(BD!$A$3:$A$5001,AF$3,BD!$B$3:$B$5001,$A$5,BD!$I$3:$I$5001,"&lt;&gt;")=0,"",SUMIFS(BD!$I$3:$I$5001,BD!$A$3:$A$5001,AF$3,BD!$B$3:$B$5001,$A$5)))</f>
        <v/>
      </c>
      <c r="AG11" s="194" t="str">
        <f>IF(AG$3="","",IF(COUNTIFS(BD!$A$3:$A$5001,AG$3,BD!$B$3:$B$5001,$A$5,BD!$I$3:$I$5001,"&lt;&gt;")=0,"",SUMIFS(BD!$I$3:$I$5001,BD!$A$3:$A$5001,AG$3,BD!$B$3:$B$5001,$A$5)))</f>
        <v/>
      </c>
      <c r="AH11" s="194" t="str">
        <f>IF(AH$3="","",IF(COUNTIFS(BD!$A$3:$A$5001,AH$3,BD!$B$3:$B$5001,$A$5,BD!$I$3:$I$5001,"&lt;&gt;")=0,"",SUMIFS(BD!$I$3:$I$5001,BD!$A$3:$A$5001,AH$3,BD!$B$3:$B$5001,$A$5)))</f>
        <v/>
      </c>
      <c r="AI11" s="194" t="str">
        <f>IF(AI$3="","",IF(COUNTIFS(BD!$A$3:$A$5001,AI$3,BD!$B$3:$B$5001,$A$5,BD!$I$3:$I$5001,"&lt;&gt;")=0,"",SUMIFS(BD!$I$3:$I$5001,BD!$A$3:$A$5001,AI$3,BD!$B$3:$B$5001,$A$5)))</f>
        <v/>
      </c>
      <c r="AJ11" s="195" t="str">
        <f>IF(AJ$3="","",IF(COUNTIFS(BD!$A$3:$A$5001,AJ$3,BD!$B$3:$B$5001,$A$5,BD!$I$3:$I$5001,"&lt;&gt;")=0,"",SUMIFS(BD!$I$3:$I$5001,BD!$A$3:$A$5001,AJ$3,BD!$B$3:$B$5001,$A$5)))</f>
        <v/>
      </c>
      <c r="AK11" s="196" t="str">
        <f>IF(COUNT(F11:AJ11)=0,"",SUM(F11:AJ11))</f>
        <v/>
      </c>
    </row>
    <row r="12" ht="15.75" customHeight="1">
      <c r="A12" s="247"/>
      <c r="B12" s="241"/>
      <c r="C12" s="197" t="inlineStr">
        <is>
          <t xml:space="preserve">No show</t>
        </is>
      </c>
      <c r="D12" s="198" t="str">
        <f>IFERROR(1/(1/INDEX(BD!$Y$30:$AD$30,MATCH($A$5,BD!$Y$22:$AD$22,0))),"")</f>
        <v/>
      </c>
      <c r="E12" s="199"/>
      <c r="F12" s="200" t="str">
        <f>IF(F$3="","",IF(COUNTIFS(BD!$A$3:$A$5001,F$3,BD!$B$3:$B$5001,$A$5,BD!$J$3:$J$5001,"&lt;&gt;")=0,"",SUMIFS(BD!$J$3:$J$5001,BD!$A$3:$A$5001,F$3,BD!$B$3:$B$5001,$A$5)))</f>
        <v/>
      </c>
      <c r="G12" s="201" t="str">
        <f>IF(G$3="","",IF(COUNTIFS(BD!$A$3:$A$5001,G$3,BD!$B$3:$B$5001,$A$5,BD!$J$3:$J$5001,"&lt;&gt;")=0,"",SUMIFS(BD!$J$3:$J$5001,BD!$A$3:$A$5001,G$3,BD!$B$3:$B$5001,$A$5)))</f>
        <v/>
      </c>
      <c r="H12" s="201" t="str">
        <f>IF(H$3="","",IF(COUNTIFS(BD!$A$3:$A$5001,H$3,BD!$B$3:$B$5001,$A$5,BD!$J$3:$J$5001,"&lt;&gt;")=0,"",SUMIFS(BD!$J$3:$J$5001,BD!$A$3:$A$5001,H$3,BD!$B$3:$B$5001,$A$5)))</f>
        <v/>
      </c>
      <c r="I12" s="201" t="str">
        <f>IF(I$3="","",IF(COUNTIFS(BD!$A$3:$A$5001,I$3,BD!$B$3:$B$5001,$A$5,BD!$J$3:$J$5001,"&lt;&gt;")=0,"",SUMIFS(BD!$J$3:$J$5001,BD!$A$3:$A$5001,I$3,BD!$B$3:$B$5001,$A$5)))</f>
        <v/>
      </c>
      <c r="J12" s="201" t="str">
        <f>IF(J$3="","",IF(COUNTIFS(BD!$A$3:$A$5001,J$3,BD!$B$3:$B$5001,$A$5,BD!$J$3:$J$5001,"&lt;&gt;")=0,"",SUMIFS(BD!$J$3:$J$5001,BD!$A$3:$A$5001,J$3,BD!$B$3:$B$5001,$A$5)))</f>
        <v/>
      </c>
      <c r="K12" s="201" t="str">
        <f>IF(K$3="","",IF(COUNTIFS(BD!$A$3:$A$5001,K$3,BD!$B$3:$B$5001,$A$5,BD!$J$3:$J$5001,"&lt;&gt;")=0,"",SUMIFS(BD!$J$3:$J$5001,BD!$A$3:$A$5001,K$3,BD!$B$3:$B$5001,$A$5)))</f>
        <v/>
      </c>
      <c r="L12" s="201" t="str">
        <f>IF(L$3="","",IF(COUNTIFS(BD!$A$3:$A$5001,L$3,BD!$B$3:$B$5001,$A$5,BD!$J$3:$J$5001,"&lt;&gt;")=0,"",SUMIFS(BD!$J$3:$J$5001,BD!$A$3:$A$5001,L$3,BD!$B$3:$B$5001,$A$5)))</f>
        <v/>
      </c>
      <c r="M12" s="201" t="str">
        <f>IF(M$3="","",IF(COUNTIFS(BD!$A$3:$A$5001,M$3,BD!$B$3:$B$5001,$A$5,BD!$J$3:$J$5001,"&lt;&gt;")=0,"",SUMIFS(BD!$J$3:$J$5001,BD!$A$3:$A$5001,M$3,BD!$B$3:$B$5001,$A$5)))</f>
        <v/>
      </c>
      <c r="N12" s="201" t="str">
        <f>IF(N$3="","",IF(COUNTIFS(BD!$A$3:$A$5001,N$3,BD!$B$3:$B$5001,$A$5,BD!$J$3:$J$5001,"&lt;&gt;")=0,"",SUMIFS(BD!$J$3:$J$5001,BD!$A$3:$A$5001,N$3,BD!$B$3:$B$5001,$A$5)))</f>
        <v/>
      </c>
      <c r="O12" s="201" t="str">
        <f>IF(O$3="","",IF(COUNTIFS(BD!$A$3:$A$5001,O$3,BD!$B$3:$B$5001,$A$5,BD!$J$3:$J$5001,"&lt;&gt;")=0,"",SUMIFS(BD!$J$3:$J$5001,BD!$A$3:$A$5001,O$3,BD!$B$3:$B$5001,$A$5)))</f>
        <v/>
      </c>
      <c r="P12" s="201" t="str">
        <f>IF(P$3="","",IF(COUNTIFS(BD!$A$3:$A$5001,P$3,BD!$B$3:$B$5001,$A$5,BD!$J$3:$J$5001,"&lt;&gt;")=0,"",SUMIFS(BD!$J$3:$J$5001,BD!$A$3:$A$5001,P$3,BD!$B$3:$B$5001,$A$5)))</f>
        <v/>
      </c>
      <c r="Q12" s="201" t="str">
        <f>IF(Q$3="","",IF(COUNTIFS(BD!$A$3:$A$5001,Q$3,BD!$B$3:$B$5001,$A$5,BD!$J$3:$J$5001,"&lt;&gt;")=0,"",SUMIFS(BD!$J$3:$J$5001,BD!$A$3:$A$5001,Q$3,BD!$B$3:$B$5001,$A$5)))</f>
        <v/>
      </c>
      <c r="R12" s="201" t="str">
        <f>IF(R$3="","",IF(COUNTIFS(BD!$A$3:$A$5001,R$3,BD!$B$3:$B$5001,$A$5,BD!$J$3:$J$5001,"&lt;&gt;")=0,"",SUMIFS(BD!$J$3:$J$5001,BD!$A$3:$A$5001,R$3,BD!$B$3:$B$5001,$A$5)))</f>
        <v/>
      </c>
      <c r="S12" s="201" t="str">
        <f>IF(S$3="","",IF(COUNTIFS(BD!$A$3:$A$5001,S$3,BD!$B$3:$B$5001,$A$5,BD!$J$3:$J$5001,"&lt;&gt;")=0,"",SUMIFS(BD!$J$3:$J$5001,BD!$A$3:$A$5001,S$3,BD!$B$3:$B$5001,$A$5)))</f>
        <v/>
      </c>
      <c r="T12" s="201" t="str">
        <f>IF(T$3="","",IF(COUNTIFS(BD!$A$3:$A$5001,T$3,BD!$B$3:$B$5001,$A$5,BD!$J$3:$J$5001,"&lt;&gt;")=0,"",SUMIFS(BD!$J$3:$J$5001,BD!$A$3:$A$5001,T$3,BD!$B$3:$B$5001,$A$5)))</f>
        <v/>
      </c>
      <c r="U12" s="201" t="str">
        <f>IF(U$3="","",IF(COUNTIFS(BD!$A$3:$A$5001,U$3,BD!$B$3:$B$5001,$A$5,BD!$J$3:$J$5001,"&lt;&gt;")=0,"",SUMIFS(BD!$J$3:$J$5001,BD!$A$3:$A$5001,U$3,BD!$B$3:$B$5001,$A$5)))</f>
        <v/>
      </c>
      <c r="V12" s="201" t="str">
        <f>IF(V$3="","",IF(COUNTIFS(BD!$A$3:$A$5001,V$3,BD!$B$3:$B$5001,$A$5,BD!$J$3:$J$5001,"&lt;&gt;")=0,"",SUMIFS(BD!$J$3:$J$5001,BD!$A$3:$A$5001,V$3,BD!$B$3:$B$5001,$A$5)))</f>
        <v/>
      </c>
      <c r="W12" s="201" t="str">
        <f>IF(W$3="","",IF(COUNTIFS(BD!$A$3:$A$5001,W$3,BD!$B$3:$B$5001,$A$5,BD!$J$3:$J$5001,"&lt;&gt;")=0,"",SUMIFS(BD!$J$3:$J$5001,BD!$A$3:$A$5001,W$3,BD!$B$3:$B$5001,$A$5)))</f>
        <v/>
      </c>
      <c r="X12" s="201" t="str">
        <f>IF(X$3="","",IF(COUNTIFS(BD!$A$3:$A$5001,X$3,BD!$B$3:$B$5001,$A$5,BD!$J$3:$J$5001,"&lt;&gt;")=0,"",SUMIFS(BD!$J$3:$J$5001,BD!$A$3:$A$5001,X$3,BD!$B$3:$B$5001,$A$5)))</f>
        <v/>
      </c>
      <c r="Y12" s="201" t="str">
        <f>IF(Y$3="","",IF(COUNTIFS(BD!$A$3:$A$5001,Y$3,BD!$B$3:$B$5001,$A$5,BD!$J$3:$J$5001,"&lt;&gt;")=0,"",SUMIFS(BD!$J$3:$J$5001,BD!$A$3:$A$5001,Y$3,BD!$B$3:$B$5001,$A$5)))</f>
        <v/>
      </c>
      <c r="Z12" s="201" t="str">
        <f>IF(Z$3="","",IF(COUNTIFS(BD!$A$3:$A$5001,Z$3,BD!$B$3:$B$5001,$A$5,BD!$J$3:$J$5001,"&lt;&gt;")=0,"",SUMIFS(BD!$J$3:$J$5001,BD!$A$3:$A$5001,Z$3,BD!$B$3:$B$5001,$A$5)))</f>
        <v/>
      </c>
      <c r="AA12" s="201" t="str">
        <f>IF(AA$3="","",IF(COUNTIFS(BD!$A$3:$A$5001,AA$3,BD!$B$3:$B$5001,$A$5,BD!$J$3:$J$5001,"&lt;&gt;")=0,"",SUMIFS(BD!$J$3:$J$5001,BD!$A$3:$A$5001,AA$3,BD!$B$3:$B$5001,$A$5)))</f>
        <v/>
      </c>
      <c r="AB12" s="201" t="str">
        <f>IF(AB$3="","",IF(COUNTIFS(BD!$A$3:$A$5001,AB$3,BD!$B$3:$B$5001,$A$5,BD!$J$3:$J$5001,"&lt;&gt;")=0,"",SUMIFS(BD!$J$3:$J$5001,BD!$A$3:$A$5001,AB$3,BD!$B$3:$B$5001,$A$5)))</f>
        <v/>
      </c>
      <c r="AC12" s="201" t="str">
        <f>IF(AC$3="","",IF(COUNTIFS(BD!$A$3:$A$5001,AC$3,BD!$B$3:$B$5001,$A$5,BD!$J$3:$J$5001,"&lt;&gt;")=0,"",SUMIFS(BD!$J$3:$J$5001,BD!$A$3:$A$5001,AC$3,BD!$B$3:$B$5001,$A$5)))</f>
        <v/>
      </c>
      <c r="AD12" s="201" t="str">
        <f>IF(AD$3="","",IF(COUNTIFS(BD!$A$3:$A$5001,AD$3,BD!$B$3:$B$5001,$A$5,BD!$J$3:$J$5001,"&lt;&gt;")=0,"",SUMIFS(BD!$J$3:$J$5001,BD!$A$3:$A$5001,AD$3,BD!$B$3:$B$5001,$A$5)))</f>
        <v/>
      </c>
      <c r="AE12" s="201" t="str">
        <f>IF(AE$3="","",IF(COUNTIFS(BD!$A$3:$A$5001,AE$3,BD!$B$3:$B$5001,$A$5,BD!$J$3:$J$5001,"&lt;&gt;")=0,"",SUMIFS(BD!$J$3:$J$5001,BD!$A$3:$A$5001,AE$3,BD!$B$3:$B$5001,$A$5)))</f>
        <v/>
      </c>
      <c r="AF12" s="201" t="str">
        <f>IF(AF$3="","",IF(COUNTIFS(BD!$A$3:$A$5001,AF$3,BD!$B$3:$B$5001,$A$5,BD!$J$3:$J$5001,"&lt;&gt;")=0,"",SUMIFS(BD!$J$3:$J$5001,BD!$A$3:$A$5001,AF$3,BD!$B$3:$B$5001,$A$5)))</f>
        <v/>
      </c>
      <c r="AG12" s="201" t="str">
        <f>IF(AG$3="","",IF(COUNTIFS(BD!$A$3:$A$5001,AG$3,BD!$B$3:$B$5001,$A$5,BD!$J$3:$J$5001,"&lt;&gt;")=0,"",SUMIFS(BD!$J$3:$J$5001,BD!$A$3:$A$5001,AG$3,BD!$B$3:$B$5001,$A$5)))</f>
        <v/>
      </c>
      <c r="AH12" s="201" t="str">
        <f>IF(AH$3="","",IF(COUNTIFS(BD!$A$3:$A$5001,AH$3,BD!$B$3:$B$5001,$A$5,BD!$J$3:$J$5001,"&lt;&gt;")=0,"",SUMIFS(BD!$J$3:$J$5001,BD!$A$3:$A$5001,AH$3,BD!$B$3:$B$5001,$A$5)))</f>
        <v/>
      </c>
      <c r="AI12" s="201" t="str">
        <f>IF(AI$3="","",IF(COUNTIFS(BD!$A$3:$A$5001,AI$3,BD!$B$3:$B$5001,$A$5,BD!$J$3:$J$5001,"&lt;&gt;")=0,"",SUMIFS(BD!$J$3:$J$5001,BD!$A$3:$A$5001,AI$3,BD!$B$3:$B$5001,$A$5)))</f>
        <v/>
      </c>
      <c r="AJ12" s="202" t="str">
        <f>IF(AJ$3="","",IF(COUNTIFS(BD!$A$3:$A$5001,AJ$3,BD!$B$3:$B$5001,$A$5,BD!$J$3:$J$5001,"&lt;&gt;")=0,"",SUMIFS(BD!$J$3:$J$5001,BD!$A$3:$A$5001,AJ$3,BD!$B$3:$B$5001,$A$5)))</f>
        <v/>
      </c>
      <c r="AK12" s="203" t="str">
        <f>IF(COUNT(F12:AJ12)=0,"",SUM(F12:AJ12))</f>
        <v/>
      </c>
    </row>
    <row r="13" ht="15.75" customHeight="1">
      <c r="A13" s="247"/>
      <c r="B13" s="242"/>
      <c r="C13" s="204" t="inlineStr">
        <is>
          <t xml:space="preserve">Backlog</t>
        </is>
      </c>
      <c r="D13" s="205" t="str">
        <f>IFERROR(1/(1/INDEX(BD!$Y$31:$AD$31,MATCH($A$5,BD!$Y$22:$AD$22,0))),"")</f>
        <v/>
      </c>
      <c r="E13" s="206"/>
      <c r="F13" s="207" t="str">
        <f>IF(F$3="","",IF(COUNTIFS(BD!$A$3:$A$5001,F$3,BD!$B$3:$B$5001,$A$5,BD!$K$3:$K$5001,"&lt;&gt;")=0,"",SUMIFS(BD!$K$3:$K$5001,BD!$A$3:$A$5001,F$3,BD!$B$3:$B$5001,$A$5)))</f>
        <v/>
      </c>
      <c r="G13" s="208" t="str">
        <f>IF(G$3="","",IF(COUNTIFS(BD!$A$3:$A$5001,G$3,BD!$B$3:$B$5001,$A$5,BD!$K$3:$K$5001,"&lt;&gt;")=0,"",SUMIFS(BD!$K$3:$K$5001,BD!$A$3:$A$5001,G$3,BD!$B$3:$B$5001,$A$5)))</f>
        <v/>
      </c>
      <c r="H13" s="208" t="str">
        <f>IF(H$3="","",IF(COUNTIFS(BD!$A$3:$A$5001,H$3,BD!$B$3:$B$5001,$A$5,BD!$K$3:$K$5001,"&lt;&gt;")=0,"",SUMIFS(BD!$K$3:$K$5001,BD!$A$3:$A$5001,H$3,BD!$B$3:$B$5001,$A$5)))</f>
        <v/>
      </c>
      <c r="I13" s="208" t="str">
        <f>IF(I$3="","",IF(COUNTIFS(BD!$A$3:$A$5001,I$3,BD!$B$3:$B$5001,$A$5,BD!$K$3:$K$5001,"&lt;&gt;")=0,"",SUMIFS(BD!$K$3:$K$5001,BD!$A$3:$A$5001,I$3,BD!$B$3:$B$5001,$A$5)))</f>
        <v/>
      </c>
      <c r="J13" s="208" t="str">
        <f>IF(J$3="","",IF(COUNTIFS(BD!$A$3:$A$5001,J$3,BD!$B$3:$B$5001,$A$5,BD!$K$3:$K$5001,"&lt;&gt;")=0,"",SUMIFS(BD!$K$3:$K$5001,BD!$A$3:$A$5001,J$3,BD!$B$3:$B$5001,$A$5)))</f>
        <v/>
      </c>
      <c r="K13" s="208" t="str">
        <f>IF(K$3="","",IF(COUNTIFS(BD!$A$3:$A$5001,K$3,BD!$B$3:$B$5001,$A$5,BD!$K$3:$K$5001,"&lt;&gt;")=0,"",SUMIFS(BD!$K$3:$K$5001,BD!$A$3:$A$5001,K$3,BD!$B$3:$B$5001,$A$5)))</f>
        <v/>
      </c>
      <c r="L13" s="208" t="str">
        <f>IF(L$3="","",IF(COUNTIFS(BD!$A$3:$A$5001,L$3,BD!$B$3:$B$5001,$A$5,BD!$K$3:$K$5001,"&lt;&gt;")=0,"",SUMIFS(BD!$K$3:$K$5001,BD!$A$3:$A$5001,L$3,BD!$B$3:$B$5001,$A$5)))</f>
        <v/>
      </c>
      <c r="M13" s="208" t="str">
        <f>IF(M$3="","",IF(COUNTIFS(BD!$A$3:$A$5001,M$3,BD!$B$3:$B$5001,$A$5,BD!$K$3:$K$5001,"&lt;&gt;")=0,"",SUMIFS(BD!$K$3:$K$5001,BD!$A$3:$A$5001,M$3,BD!$B$3:$B$5001,$A$5)))</f>
        <v/>
      </c>
      <c r="N13" s="208" t="str">
        <f>IF(N$3="","",IF(COUNTIFS(BD!$A$3:$A$5001,N$3,BD!$B$3:$B$5001,$A$5,BD!$K$3:$K$5001,"&lt;&gt;")=0,"",SUMIFS(BD!$K$3:$K$5001,BD!$A$3:$A$5001,N$3,BD!$B$3:$B$5001,$A$5)))</f>
        <v/>
      </c>
      <c r="O13" s="208" t="str">
        <f>IF(O$3="","",IF(COUNTIFS(BD!$A$3:$A$5001,O$3,BD!$B$3:$B$5001,$A$5,BD!$K$3:$K$5001,"&lt;&gt;")=0,"",SUMIFS(BD!$K$3:$K$5001,BD!$A$3:$A$5001,O$3,BD!$B$3:$B$5001,$A$5)))</f>
        <v/>
      </c>
      <c r="P13" s="208" t="str">
        <f>IF(P$3="","",IF(COUNTIFS(BD!$A$3:$A$5001,P$3,BD!$B$3:$B$5001,$A$5,BD!$K$3:$K$5001,"&lt;&gt;")=0,"",SUMIFS(BD!$K$3:$K$5001,BD!$A$3:$A$5001,P$3,BD!$B$3:$B$5001,$A$5)))</f>
        <v/>
      </c>
      <c r="Q13" s="208" t="str">
        <f>IF(Q$3="","",IF(COUNTIFS(BD!$A$3:$A$5001,Q$3,BD!$B$3:$B$5001,$A$5,BD!$K$3:$K$5001,"&lt;&gt;")=0,"",SUMIFS(BD!$K$3:$K$5001,BD!$A$3:$A$5001,Q$3,BD!$B$3:$B$5001,$A$5)))</f>
        <v/>
      </c>
      <c r="R13" s="208" t="str">
        <f>IF(R$3="","",IF(COUNTIFS(BD!$A$3:$A$5001,R$3,BD!$B$3:$B$5001,$A$5,BD!$K$3:$K$5001,"&lt;&gt;")=0,"",SUMIFS(BD!$K$3:$K$5001,BD!$A$3:$A$5001,R$3,BD!$B$3:$B$5001,$A$5)))</f>
        <v/>
      </c>
      <c r="S13" s="208" t="str">
        <f>IF(S$3="","",IF(COUNTIFS(BD!$A$3:$A$5001,S$3,BD!$B$3:$B$5001,$A$5,BD!$K$3:$K$5001,"&lt;&gt;")=0,"",SUMIFS(BD!$K$3:$K$5001,BD!$A$3:$A$5001,S$3,BD!$B$3:$B$5001,$A$5)))</f>
        <v/>
      </c>
      <c r="T13" s="208" t="str">
        <f>IF(T$3="","",IF(COUNTIFS(BD!$A$3:$A$5001,T$3,BD!$B$3:$B$5001,$A$5,BD!$K$3:$K$5001,"&lt;&gt;")=0,"",SUMIFS(BD!$K$3:$K$5001,BD!$A$3:$A$5001,T$3,BD!$B$3:$B$5001,$A$5)))</f>
        <v/>
      </c>
      <c r="U13" s="208" t="str">
        <f>IF(U$3="","",IF(COUNTIFS(BD!$A$3:$A$5001,U$3,BD!$B$3:$B$5001,$A$5,BD!$K$3:$K$5001,"&lt;&gt;")=0,"",SUMIFS(BD!$K$3:$K$5001,BD!$A$3:$A$5001,U$3,BD!$B$3:$B$5001,$A$5)))</f>
        <v/>
      </c>
      <c r="V13" s="208" t="str">
        <f>IF(V$3="","",IF(COUNTIFS(BD!$A$3:$A$5001,V$3,BD!$B$3:$B$5001,$A$5,BD!$K$3:$K$5001,"&lt;&gt;")=0,"",SUMIFS(BD!$K$3:$K$5001,BD!$A$3:$A$5001,V$3,BD!$B$3:$B$5001,$A$5)))</f>
        <v/>
      </c>
      <c r="W13" s="208" t="str">
        <f>IF(W$3="","",IF(COUNTIFS(BD!$A$3:$A$5001,W$3,BD!$B$3:$B$5001,$A$5,BD!$K$3:$K$5001,"&lt;&gt;")=0,"",SUMIFS(BD!$K$3:$K$5001,BD!$A$3:$A$5001,W$3,BD!$B$3:$B$5001,$A$5)))</f>
        <v/>
      </c>
      <c r="X13" s="208" t="str">
        <f>IF(X$3="","",IF(COUNTIFS(BD!$A$3:$A$5001,X$3,BD!$B$3:$B$5001,$A$5,BD!$K$3:$K$5001,"&lt;&gt;")=0,"",SUMIFS(BD!$K$3:$K$5001,BD!$A$3:$A$5001,X$3,BD!$B$3:$B$5001,$A$5)))</f>
        <v/>
      </c>
      <c r="Y13" s="208" t="str">
        <f>IF(Y$3="","",IF(COUNTIFS(BD!$A$3:$A$5001,Y$3,BD!$B$3:$B$5001,$A$5,BD!$K$3:$K$5001,"&lt;&gt;")=0,"",SUMIFS(BD!$K$3:$K$5001,BD!$A$3:$A$5001,Y$3,BD!$B$3:$B$5001,$A$5)))</f>
        <v/>
      </c>
      <c r="Z13" s="208" t="str">
        <f>IF(Z$3="","",IF(COUNTIFS(BD!$A$3:$A$5001,Z$3,BD!$B$3:$B$5001,$A$5,BD!$K$3:$K$5001,"&lt;&gt;")=0,"",SUMIFS(BD!$K$3:$K$5001,BD!$A$3:$A$5001,Z$3,BD!$B$3:$B$5001,$A$5)))</f>
        <v/>
      </c>
      <c r="AA13" s="208" t="str">
        <f>IF(AA$3="","",IF(COUNTIFS(BD!$A$3:$A$5001,AA$3,BD!$B$3:$B$5001,$A$5,BD!$K$3:$K$5001,"&lt;&gt;")=0,"",SUMIFS(BD!$K$3:$K$5001,BD!$A$3:$A$5001,AA$3,BD!$B$3:$B$5001,$A$5)))</f>
        <v/>
      </c>
      <c r="AB13" s="208" t="str">
        <f>IF(AB$3="","",IF(COUNTIFS(BD!$A$3:$A$5001,AB$3,BD!$B$3:$B$5001,$A$5,BD!$K$3:$K$5001,"&lt;&gt;")=0,"",SUMIFS(BD!$K$3:$K$5001,BD!$A$3:$A$5001,AB$3,BD!$B$3:$B$5001,$A$5)))</f>
        <v/>
      </c>
      <c r="AC13" s="208" t="str">
        <f>IF(AC$3="","",IF(COUNTIFS(BD!$A$3:$A$5001,AC$3,BD!$B$3:$B$5001,$A$5,BD!$K$3:$K$5001,"&lt;&gt;")=0,"",SUMIFS(BD!$K$3:$K$5001,BD!$A$3:$A$5001,AC$3,BD!$B$3:$B$5001,$A$5)))</f>
        <v/>
      </c>
      <c r="AD13" s="208" t="str">
        <f>IF(AD$3="","",IF(COUNTIFS(BD!$A$3:$A$5001,AD$3,BD!$B$3:$B$5001,$A$5,BD!$K$3:$K$5001,"&lt;&gt;")=0,"",SUMIFS(BD!$K$3:$K$5001,BD!$A$3:$A$5001,AD$3,BD!$B$3:$B$5001,$A$5)))</f>
        <v/>
      </c>
      <c r="AE13" s="208" t="str">
        <f>IF(AE$3="","",IF(COUNTIFS(BD!$A$3:$A$5001,AE$3,BD!$B$3:$B$5001,$A$5,BD!$K$3:$K$5001,"&lt;&gt;")=0,"",SUMIFS(BD!$K$3:$K$5001,BD!$A$3:$A$5001,AE$3,BD!$B$3:$B$5001,$A$5)))</f>
        <v/>
      </c>
      <c r="AF13" s="208" t="str">
        <f>IF(AF$3="","",IF(COUNTIFS(BD!$A$3:$A$5001,AF$3,BD!$B$3:$B$5001,$A$5,BD!$K$3:$K$5001,"&lt;&gt;")=0,"",SUMIFS(BD!$K$3:$K$5001,BD!$A$3:$A$5001,AF$3,BD!$B$3:$B$5001,$A$5)))</f>
        <v/>
      </c>
      <c r="AG13" s="208" t="str">
        <f>IF(AG$3="","",IF(COUNTIFS(BD!$A$3:$A$5001,AG$3,BD!$B$3:$B$5001,$A$5,BD!$K$3:$K$5001,"&lt;&gt;")=0,"",SUMIFS(BD!$K$3:$K$5001,BD!$A$3:$A$5001,AG$3,BD!$B$3:$B$5001,$A$5)))</f>
        <v/>
      </c>
      <c r="AH13" s="208" t="str">
        <f>IF(AH$3="","",IF(COUNTIFS(BD!$A$3:$A$5001,AH$3,BD!$B$3:$B$5001,$A$5,BD!$K$3:$K$5001,"&lt;&gt;")=0,"",SUMIFS(BD!$K$3:$K$5001,BD!$A$3:$A$5001,AH$3,BD!$B$3:$B$5001,$A$5)))</f>
        <v/>
      </c>
      <c r="AI13" s="208" t="str">
        <f>IF(AI$3="","",IF(COUNTIFS(BD!$A$3:$A$5001,AI$3,BD!$B$3:$B$5001,$A$5,BD!$K$3:$K$5001,"&lt;&gt;")=0,"",SUMIFS(BD!$K$3:$K$5001,BD!$A$3:$A$5001,AI$3,BD!$B$3:$B$5001,$A$5)))</f>
        <v/>
      </c>
      <c r="AJ13" s="209" t="str">
        <f>IF(AJ$3="","",IF(COUNTIFS(BD!$A$3:$A$5001,AJ$3,BD!$B$3:$B$5001,$A$5,BD!$K$3:$K$5001,"&lt;&gt;")=0,"",SUMIFS(BD!$K$3:$K$5001,BD!$A$3:$A$5001,AJ$3,BD!$B$3:$B$5001,$A$5)))</f>
        <v/>
      </c>
      <c r="AK13" s="205" t="str">
        <f>IFERROR(LOOKUP(9.99E+307,F13:AJ13),"")</f>
        <v/>
      </c>
    </row>
    <row r="14" ht="15.75" customHeight="1">
      <c r="A14" s="247"/>
      <c r="B14" s="234" t="inlineStr">
        <is>
          <t xml:space="preserve">OCUPAÇÃO (P.P)</t>
        </is>
      </c>
      <c r="C14" s="148" t="inlineStr">
        <is>
          <t xml:space="preserve">Posições Disponíveis</t>
        </is>
      </c>
      <c r="D14" s="149" t="str">
        <f>IFERROR(1/(1/INDEX(BD!$Y$32:$AD$32,MATCH($A$5,BD!$Y$22:$AD$22,0))),"")</f>
        <v/>
      </c>
      <c r="E14" s="150"/>
      <c r="F14" s="151" t="str">
        <f>IF(F$3="","",IF(COUNTIFS(BD!$A$3:$A$5001,F$3,BD!$B$3:$B$5001,$A$5,BD!$L$3:$L$5001,"&lt;&gt;")=0,"",SUMIFS(BD!$L$3:$L$5001,BD!$A$3:$A$5001,F$3,BD!$B$3:$B$5001,$A$5)))</f>
        <v/>
      </c>
      <c r="G14" s="152" t="str">
        <f>IF(G$3="","",IF(COUNTIFS(BD!$A$3:$A$5001,G$3,BD!$B$3:$B$5001,$A$5,BD!$L$3:$L$5001,"&lt;&gt;")=0,"",SUMIFS(BD!$L$3:$L$5001,BD!$A$3:$A$5001,G$3,BD!$B$3:$B$5001,$A$5)))</f>
        <v/>
      </c>
      <c r="H14" s="152" t="str">
        <f>IF(H$3="","",IF(COUNTIFS(BD!$A$3:$A$5001,H$3,BD!$B$3:$B$5001,$A$5,BD!$L$3:$L$5001,"&lt;&gt;")=0,"",SUMIFS(BD!$L$3:$L$5001,BD!$A$3:$A$5001,H$3,BD!$B$3:$B$5001,$A$5)))</f>
        <v/>
      </c>
      <c r="I14" s="152" t="str">
        <f>IF(I$3="","",IF(COUNTIFS(BD!$A$3:$A$5001,I$3,BD!$B$3:$B$5001,$A$5,BD!$L$3:$L$5001,"&lt;&gt;")=0,"",SUMIFS(BD!$L$3:$L$5001,BD!$A$3:$A$5001,I$3,BD!$B$3:$B$5001,$A$5)))</f>
        <v/>
      </c>
      <c r="J14" s="152" t="str">
        <f>IF(J$3="","",IF(COUNTIFS(BD!$A$3:$A$5001,J$3,BD!$B$3:$B$5001,$A$5,BD!$L$3:$L$5001,"&lt;&gt;")=0,"",SUMIFS(BD!$L$3:$L$5001,BD!$A$3:$A$5001,J$3,BD!$B$3:$B$5001,$A$5)))</f>
        <v/>
      </c>
      <c r="K14" s="152" t="str">
        <f>IF(K$3="","",IF(COUNTIFS(BD!$A$3:$A$5001,K$3,BD!$B$3:$B$5001,$A$5,BD!$L$3:$L$5001,"&lt;&gt;")=0,"",SUMIFS(BD!$L$3:$L$5001,BD!$A$3:$A$5001,K$3,BD!$B$3:$B$5001,$A$5)))</f>
        <v/>
      </c>
      <c r="L14" s="152" t="str">
        <f>IF(L$3="","",IF(COUNTIFS(BD!$A$3:$A$5001,L$3,BD!$B$3:$B$5001,$A$5,BD!$L$3:$L$5001,"&lt;&gt;")=0,"",SUMIFS(BD!$L$3:$L$5001,BD!$A$3:$A$5001,L$3,BD!$B$3:$B$5001,$A$5)))</f>
        <v/>
      </c>
      <c r="M14" s="152" t="str">
        <f>IF(M$3="","",IF(COUNTIFS(BD!$A$3:$A$5001,M$3,BD!$B$3:$B$5001,$A$5,BD!$L$3:$L$5001,"&lt;&gt;")=0,"",SUMIFS(BD!$L$3:$L$5001,BD!$A$3:$A$5001,M$3,BD!$B$3:$B$5001,$A$5)))</f>
        <v/>
      </c>
      <c r="N14" s="152" t="str">
        <f>IF(N$3="","",IF(COUNTIFS(BD!$A$3:$A$5001,N$3,BD!$B$3:$B$5001,$A$5,BD!$L$3:$L$5001,"&lt;&gt;")=0,"",SUMIFS(BD!$L$3:$L$5001,BD!$A$3:$A$5001,N$3,BD!$B$3:$B$5001,$A$5)))</f>
        <v/>
      </c>
      <c r="O14" s="152" t="str">
        <f>IF(O$3="","",IF(COUNTIFS(BD!$A$3:$A$5001,O$3,BD!$B$3:$B$5001,$A$5,BD!$L$3:$L$5001,"&lt;&gt;")=0,"",SUMIFS(BD!$L$3:$L$5001,BD!$A$3:$A$5001,O$3,BD!$B$3:$B$5001,$A$5)))</f>
        <v/>
      </c>
      <c r="P14" s="152" t="str">
        <f>IF(P$3="","",IF(COUNTIFS(BD!$A$3:$A$5001,P$3,BD!$B$3:$B$5001,$A$5,BD!$L$3:$L$5001,"&lt;&gt;")=0,"",SUMIFS(BD!$L$3:$L$5001,BD!$A$3:$A$5001,P$3,BD!$B$3:$B$5001,$A$5)))</f>
        <v/>
      </c>
      <c r="Q14" s="152" t="str">
        <f>IF(Q$3="","",IF(COUNTIFS(BD!$A$3:$A$5001,Q$3,BD!$B$3:$B$5001,$A$5,BD!$L$3:$L$5001,"&lt;&gt;")=0,"",SUMIFS(BD!$L$3:$L$5001,BD!$A$3:$A$5001,Q$3,BD!$B$3:$B$5001,$A$5)))</f>
        <v/>
      </c>
      <c r="R14" s="152" t="str">
        <f>IF(R$3="","",IF(COUNTIFS(BD!$A$3:$A$5001,R$3,BD!$B$3:$B$5001,$A$5,BD!$L$3:$L$5001,"&lt;&gt;")=0,"",SUMIFS(BD!$L$3:$L$5001,BD!$A$3:$A$5001,R$3,BD!$B$3:$B$5001,$A$5)))</f>
        <v/>
      </c>
      <c r="S14" s="152" t="str">
        <f>IF(S$3="","",IF(COUNTIFS(BD!$A$3:$A$5001,S$3,BD!$B$3:$B$5001,$A$5,BD!$L$3:$L$5001,"&lt;&gt;")=0,"",SUMIFS(BD!$L$3:$L$5001,BD!$A$3:$A$5001,S$3,BD!$B$3:$B$5001,$A$5)))</f>
        <v/>
      </c>
      <c r="T14" s="152" t="str">
        <f>IF(T$3="","",IF(COUNTIFS(BD!$A$3:$A$5001,T$3,BD!$B$3:$B$5001,$A$5,BD!$L$3:$L$5001,"&lt;&gt;")=0,"",SUMIFS(BD!$L$3:$L$5001,BD!$A$3:$A$5001,T$3,BD!$B$3:$B$5001,$A$5)))</f>
        <v/>
      </c>
      <c r="U14" s="152" t="str">
        <f>IF(U$3="","",IF(COUNTIFS(BD!$A$3:$A$5001,U$3,BD!$B$3:$B$5001,$A$5,BD!$L$3:$L$5001,"&lt;&gt;")=0,"",SUMIFS(BD!$L$3:$L$5001,BD!$A$3:$A$5001,U$3,BD!$B$3:$B$5001,$A$5)))</f>
        <v/>
      </c>
      <c r="V14" s="152" t="str">
        <f>IF(V$3="","",IF(COUNTIFS(BD!$A$3:$A$5001,V$3,BD!$B$3:$B$5001,$A$5,BD!$L$3:$L$5001,"&lt;&gt;")=0,"",SUMIFS(BD!$L$3:$L$5001,BD!$A$3:$A$5001,V$3,BD!$B$3:$B$5001,$A$5)))</f>
        <v/>
      </c>
      <c r="W14" s="152" t="str">
        <f>IF(W$3="","",IF(COUNTIFS(BD!$A$3:$A$5001,W$3,BD!$B$3:$B$5001,$A$5,BD!$L$3:$L$5001,"&lt;&gt;")=0,"",SUMIFS(BD!$L$3:$L$5001,BD!$A$3:$A$5001,W$3,BD!$B$3:$B$5001,$A$5)))</f>
        <v/>
      </c>
      <c r="X14" s="152" t="str">
        <f>IF(X$3="","",IF(COUNTIFS(BD!$A$3:$A$5001,X$3,BD!$B$3:$B$5001,$A$5,BD!$L$3:$L$5001,"&lt;&gt;")=0,"",SUMIFS(BD!$L$3:$L$5001,BD!$A$3:$A$5001,X$3,BD!$B$3:$B$5001,$A$5)))</f>
        <v/>
      </c>
      <c r="Y14" s="152" t="str">
        <f>IF(Y$3="","",IF(COUNTIFS(BD!$A$3:$A$5001,Y$3,BD!$B$3:$B$5001,$A$5,BD!$L$3:$L$5001,"&lt;&gt;")=0,"",SUMIFS(BD!$L$3:$L$5001,BD!$A$3:$A$5001,Y$3,BD!$B$3:$B$5001,$A$5)))</f>
        <v/>
      </c>
      <c r="Z14" s="152" t="str">
        <f>IF(Z$3="","",IF(COUNTIFS(BD!$A$3:$A$5001,Z$3,BD!$B$3:$B$5001,$A$5,BD!$L$3:$L$5001,"&lt;&gt;")=0,"",SUMIFS(BD!$L$3:$L$5001,BD!$A$3:$A$5001,Z$3,BD!$B$3:$B$5001,$A$5)))</f>
        <v/>
      </c>
      <c r="AA14" s="152" t="str">
        <f>IF(AA$3="","",IF(COUNTIFS(BD!$A$3:$A$5001,AA$3,BD!$B$3:$B$5001,$A$5,BD!$L$3:$L$5001,"&lt;&gt;")=0,"",SUMIFS(BD!$L$3:$L$5001,BD!$A$3:$A$5001,AA$3,BD!$B$3:$B$5001,$A$5)))</f>
        <v/>
      </c>
      <c r="AB14" s="152" t="str">
        <f>IF(AB$3="","",IF(COUNTIFS(BD!$A$3:$A$5001,AB$3,BD!$B$3:$B$5001,$A$5,BD!$L$3:$L$5001,"&lt;&gt;")=0,"",SUMIFS(BD!$L$3:$L$5001,BD!$A$3:$A$5001,AB$3,BD!$B$3:$B$5001,$A$5)))</f>
        <v/>
      </c>
      <c r="AC14" s="152" t="str">
        <f>IF(AC$3="","",IF(COUNTIFS(BD!$A$3:$A$5001,AC$3,BD!$B$3:$B$5001,$A$5,BD!$L$3:$L$5001,"&lt;&gt;")=0,"",SUMIFS(BD!$L$3:$L$5001,BD!$A$3:$A$5001,AC$3,BD!$B$3:$B$5001,$A$5)))</f>
        <v/>
      </c>
      <c r="AD14" s="152" t="str">
        <f>IF(AD$3="","",IF(COUNTIFS(BD!$A$3:$A$5001,AD$3,BD!$B$3:$B$5001,$A$5,BD!$L$3:$L$5001,"&lt;&gt;")=0,"",SUMIFS(BD!$L$3:$L$5001,BD!$A$3:$A$5001,AD$3,BD!$B$3:$B$5001,$A$5)))</f>
        <v/>
      </c>
      <c r="AE14" s="152" t="str">
        <f>IF(AE$3="","",IF(COUNTIFS(BD!$A$3:$A$5001,AE$3,BD!$B$3:$B$5001,$A$5,BD!$L$3:$L$5001,"&lt;&gt;")=0,"",SUMIFS(BD!$L$3:$L$5001,BD!$A$3:$A$5001,AE$3,BD!$B$3:$B$5001,$A$5)))</f>
        <v/>
      </c>
      <c r="AF14" s="152" t="str">
        <f>IF(AF$3="","",IF(COUNTIFS(BD!$A$3:$A$5001,AF$3,BD!$B$3:$B$5001,$A$5,BD!$L$3:$L$5001,"&lt;&gt;")=0,"",SUMIFS(BD!$L$3:$L$5001,BD!$A$3:$A$5001,AF$3,BD!$B$3:$B$5001,$A$5)))</f>
        <v/>
      </c>
      <c r="AG14" s="152" t="str">
        <f>IF(AG$3="","",IF(COUNTIFS(BD!$A$3:$A$5001,AG$3,BD!$B$3:$B$5001,$A$5,BD!$L$3:$L$5001,"&lt;&gt;")=0,"",SUMIFS(BD!$L$3:$L$5001,BD!$A$3:$A$5001,AG$3,BD!$B$3:$B$5001,$A$5)))</f>
        <v/>
      </c>
      <c r="AH14" s="152" t="str">
        <f>IF(AH$3="","",IF(COUNTIFS(BD!$A$3:$A$5001,AH$3,BD!$B$3:$B$5001,$A$5,BD!$L$3:$L$5001,"&lt;&gt;")=0,"",SUMIFS(BD!$L$3:$L$5001,BD!$A$3:$A$5001,AH$3,BD!$B$3:$B$5001,$A$5)))</f>
        <v/>
      </c>
      <c r="AI14" s="152" t="str">
        <f>IF(AI$3="","",IF(COUNTIFS(BD!$A$3:$A$5001,AI$3,BD!$B$3:$B$5001,$A$5,BD!$L$3:$L$5001,"&lt;&gt;")=0,"",SUMIFS(BD!$L$3:$L$5001,BD!$A$3:$A$5001,AI$3,BD!$B$3:$B$5001,$A$5)))</f>
        <v/>
      </c>
      <c r="AJ14" s="153" t="str">
        <f>IF(AJ$3="","",IF(COUNTIFS(BD!$A$3:$A$5001,AJ$3,BD!$B$3:$B$5001,$A$5,BD!$L$3:$L$5001,"&lt;&gt;")=0,"",SUMIFS(BD!$L$3:$L$5001,BD!$A$3:$A$5001,AJ$3,BD!$B$3:$B$5001,$A$5)))</f>
        <v/>
      </c>
      <c r="AK14" s="154" t="str">
        <f>IF(COUNT(F14:AJ14)&gt;0,LOOKUP(9.99E+307,F14:AJ14),IFERROR(IF(INDEX(BD!$V$3:$V$5001,MATCH($A$5,BD!$B$3:$B$5001,0))&amp;""="Contrato","",INDEX(BD!$V$3:$V$5001,MATCH($A$5,BD!$B$3:$B$5001,0))&amp;""),""))</f>
        <v/>
      </c>
    </row>
    <row r="15" ht="15.75" customHeight="1">
      <c r="A15" s="247"/>
      <c r="B15" s="235"/>
      <c r="C15" s="155" t="inlineStr">
        <is>
          <t xml:space="preserve">Posições Ocupadas</t>
        </is>
      </c>
      <c r="D15" s="156" t="str">
        <f>IFERROR(1/(1/INDEX(BD!$Y$33:$AD$33,MATCH($A$5,BD!$Y$22:$AD$22,0))),"")</f>
        <v/>
      </c>
      <c r="E15" s="157"/>
      <c r="F15" s="158" t="str">
        <f>IF(F$3="","",IF(COUNTIFS(BD!$A$3:$A$5001,F$3,BD!$B$3:$B$5001,$A$5,BD!$M$3:$M$5001,"&lt;&gt;")=0,"",SUMIFS(BD!$M$3:$M$5001,BD!$A$3:$A$5001,F$3,BD!$B$3:$B$5001,$A$5)))</f>
        <v/>
      </c>
      <c r="G15" s="159" t="str">
        <f>IF(G$3="","",IF(COUNTIFS(BD!$A$3:$A$5001,G$3,BD!$B$3:$B$5001,$A$5,BD!$M$3:$M$5001,"&lt;&gt;")=0,"",SUMIFS(BD!$M$3:$M$5001,BD!$A$3:$A$5001,G$3,BD!$B$3:$B$5001,$A$5)))</f>
        <v/>
      </c>
      <c r="H15" s="159" t="str">
        <f>IF(H$3="","",IF(COUNTIFS(BD!$A$3:$A$5001,H$3,BD!$B$3:$B$5001,$A$5,BD!$M$3:$M$5001,"&lt;&gt;")=0,"",SUMIFS(BD!$M$3:$M$5001,BD!$A$3:$A$5001,H$3,BD!$B$3:$B$5001,$A$5)))</f>
        <v/>
      </c>
      <c r="I15" s="159" t="str">
        <f>IF(I$3="","",IF(COUNTIFS(BD!$A$3:$A$5001,I$3,BD!$B$3:$B$5001,$A$5,BD!$M$3:$M$5001,"&lt;&gt;")=0,"",SUMIFS(BD!$M$3:$M$5001,BD!$A$3:$A$5001,I$3,BD!$B$3:$B$5001,$A$5)))</f>
        <v/>
      </c>
      <c r="J15" s="159" t="str">
        <f>IF(J$3="","",IF(COUNTIFS(BD!$A$3:$A$5001,J$3,BD!$B$3:$B$5001,$A$5,BD!$M$3:$M$5001,"&lt;&gt;")=0,"",SUMIFS(BD!$M$3:$M$5001,BD!$A$3:$A$5001,J$3,BD!$B$3:$B$5001,$A$5)))</f>
        <v/>
      </c>
      <c r="K15" s="159" t="str">
        <f>IF(K$3="","",IF(COUNTIFS(BD!$A$3:$A$5001,K$3,BD!$B$3:$B$5001,$A$5,BD!$M$3:$M$5001,"&lt;&gt;")=0,"",SUMIFS(BD!$M$3:$M$5001,BD!$A$3:$A$5001,K$3,BD!$B$3:$B$5001,$A$5)))</f>
        <v/>
      </c>
      <c r="L15" s="159" t="str">
        <f>IF(L$3="","",IF(COUNTIFS(BD!$A$3:$A$5001,L$3,BD!$B$3:$B$5001,$A$5,BD!$M$3:$M$5001,"&lt;&gt;")=0,"",SUMIFS(BD!$M$3:$M$5001,BD!$A$3:$A$5001,L$3,BD!$B$3:$B$5001,$A$5)))</f>
        <v/>
      </c>
      <c r="M15" s="159" t="str">
        <f>IF(M$3="","",IF(COUNTIFS(BD!$A$3:$A$5001,M$3,BD!$B$3:$B$5001,$A$5,BD!$M$3:$M$5001,"&lt;&gt;")=0,"",SUMIFS(BD!$M$3:$M$5001,BD!$A$3:$A$5001,M$3,BD!$B$3:$B$5001,$A$5)))</f>
        <v/>
      </c>
      <c r="N15" s="159" t="str">
        <f>IF(N$3="","",IF(COUNTIFS(BD!$A$3:$A$5001,N$3,BD!$B$3:$B$5001,$A$5,BD!$M$3:$M$5001,"&lt;&gt;")=0,"",SUMIFS(BD!$M$3:$M$5001,BD!$A$3:$A$5001,N$3,BD!$B$3:$B$5001,$A$5)))</f>
        <v/>
      </c>
      <c r="O15" s="159" t="str">
        <f>IF(O$3="","",IF(COUNTIFS(BD!$A$3:$A$5001,O$3,BD!$B$3:$B$5001,$A$5,BD!$M$3:$M$5001,"&lt;&gt;")=0,"",SUMIFS(BD!$M$3:$M$5001,BD!$A$3:$A$5001,O$3,BD!$B$3:$B$5001,$A$5)))</f>
        <v/>
      </c>
      <c r="P15" s="159" t="str">
        <f>IF(P$3="","",IF(COUNTIFS(BD!$A$3:$A$5001,P$3,BD!$B$3:$B$5001,$A$5,BD!$M$3:$M$5001,"&lt;&gt;")=0,"",SUMIFS(BD!$M$3:$M$5001,BD!$A$3:$A$5001,P$3,BD!$B$3:$B$5001,$A$5)))</f>
        <v/>
      </c>
      <c r="Q15" s="159" t="str">
        <f>IF(Q$3="","",IF(COUNTIFS(BD!$A$3:$A$5001,Q$3,BD!$B$3:$B$5001,$A$5,BD!$M$3:$M$5001,"&lt;&gt;")=0,"",SUMIFS(BD!$M$3:$M$5001,BD!$A$3:$A$5001,Q$3,BD!$B$3:$B$5001,$A$5)))</f>
        <v/>
      </c>
      <c r="R15" s="159" t="str">
        <f>IF(R$3="","",IF(COUNTIFS(BD!$A$3:$A$5001,R$3,BD!$B$3:$B$5001,$A$5,BD!$M$3:$M$5001,"&lt;&gt;")=0,"",SUMIFS(BD!$M$3:$M$5001,BD!$A$3:$A$5001,R$3,BD!$B$3:$B$5001,$A$5)))</f>
        <v/>
      </c>
      <c r="S15" s="159" t="str">
        <f>IF(S$3="","",IF(COUNTIFS(BD!$A$3:$A$5001,S$3,BD!$B$3:$B$5001,$A$5,BD!$M$3:$M$5001,"&lt;&gt;")=0,"",SUMIFS(BD!$M$3:$M$5001,BD!$A$3:$A$5001,S$3,BD!$B$3:$B$5001,$A$5)))</f>
        <v/>
      </c>
      <c r="T15" s="159" t="str">
        <f>IF(T$3="","",IF(COUNTIFS(BD!$A$3:$A$5001,T$3,BD!$B$3:$B$5001,$A$5,BD!$M$3:$M$5001,"&lt;&gt;")=0,"",SUMIFS(BD!$M$3:$M$5001,BD!$A$3:$A$5001,T$3,BD!$B$3:$B$5001,$A$5)))</f>
        <v/>
      </c>
      <c r="U15" s="159" t="str">
        <f>IF(U$3="","",IF(COUNTIFS(BD!$A$3:$A$5001,U$3,BD!$B$3:$B$5001,$A$5,BD!$M$3:$M$5001,"&lt;&gt;")=0,"",SUMIFS(BD!$M$3:$M$5001,BD!$A$3:$A$5001,U$3,BD!$B$3:$B$5001,$A$5)))</f>
        <v/>
      </c>
      <c r="V15" s="159" t="str">
        <f>IF(V$3="","",IF(COUNTIFS(BD!$A$3:$A$5001,V$3,BD!$B$3:$B$5001,$A$5,BD!$M$3:$M$5001,"&lt;&gt;")=0,"",SUMIFS(BD!$M$3:$M$5001,BD!$A$3:$A$5001,V$3,BD!$B$3:$B$5001,$A$5)))</f>
        <v/>
      </c>
      <c r="W15" s="159" t="str">
        <f>IF(W$3="","",IF(COUNTIFS(BD!$A$3:$A$5001,W$3,BD!$B$3:$B$5001,$A$5,BD!$M$3:$M$5001,"&lt;&gt;")=0,"",SUMIFS(BD!$M$3:$M$5001,BD!$A$3:$A$5001,W$3,BD!$B$3:$B$5001,$A$5)))</f>
        <v/>
      </c>
      <c r="X15" s="159" t="str">
        <f>IF(X$3="","",IF(COUNTIFS(BD!$A$3:$A$5001,X$3,BD!$B$3:$B$5001,$A$5,BD!$M$3:$M$5001,"&lt;&gt;")=0,"",SUMIFS(BD!$M$3:$M$5001,BD!$A$3:$A$5001,X$3,BD!$B$3:$B$5001,$A$5)))</f>
        <v/>
      </c>
      <c r="Y15" s="159" t="str">
        <f>IF(Y$3="","",IF(COUNTIFS(BD!$A$3:$A$5001,Y$3,BD!$B$3:$B$5001,$A$5,BD!$M$3:$M$5001,"&lt;&gt;")=0,"",SUMIFS(BD!$M$3:$M$5001,BD!$A$3:$A$5001,Y$3,BD!$B$3:$B$5001,$A$5)))</f>
        <v/>
      </c>
      <c r="Z15" s="159" t="str">
        <f>IF(Z$3="","",IF(COUNTIFS(BD!$A$3:$A$5001,Z$3,BD!$B$3:$B$5001,$A$5,BD!$M$3:$M$5001,"&lt;&gt;")=0,"",SUMIFS(BD!$M$3:$M$5001,BD!$A$3:$A$5001,Z$3,BD!$B$3:$B$5001,$A$5)))</f>
        <v/>
      </c>
      <c r="AA15" s="159" t="str">
        <f>IF(AA$3="","",IF(COUNTIFS(BD!$A$3:$A$5001,AA$3,BD!$B$3:$B$5001,$A$5,BD!$M$3:$M$5001,"&lt;&gt;")=0,"",SUMIFS(BD!$M$3:$M$5001,BD!$A$3:$A$5001,AA$3,BD!$B$3:$B$5001,$A$5)))</f>
        <v/>
      </c>
      <c r="AB15" s="159" t="str">
        <f>IF(AB$3="","",IF(COUNTIFS(BD!$A$3:$A$5001,AB$3,BD!$B$3:$B$5001,$A$5,BD!$M$3:$M$5001,"&lt;&gt;")=0,"",SUMIFS(BD!$M$3:$M$5001,BD!$A$3:$A$5001,AB$3,BD!$B$3:$B$5001,$A$5)))</f>
        <v/>
      </c>
      <c r="AC15" s="159" t="str">
        <f>IF(AC$3="","",IF(COUNTIFS(BD!$A$3:$A$5001,AC$3,BD!$B$3:$B$5001,$A$5,BD!$M$3:$M$5001,"&lt;&gt;")=0,"",SUMIFS(BD!$M$3:$M$5001,BD!$A$3:$A$5001,AC$3,BD!$B$3:$B$5001,$A$5)))</f>
        <v/>
      </c>
      <c r="AD15" s="159" t="str">
        <f>IF(AD$3="","",IF(COUNTIFS(BD!$A$3:$A$5001,AD$3,BD!$B$3:$B$5001,$A$5,BD!$M$3:$M$5001,"&lt;&gt;")=0,"",SUMIFS(BD!$M$3:$M$5001,BD!$A$3:$A$5001,AD$3,BD!$B$3:$B$5001,$A$5)))</f>
        <v/>
      </c>
      <c r="AE15" s="159" t="str">
        <f>IF(AE$3="","",IF(COUNTIFS(BD!$A$3:$A$5001,AE$3,BD!$B$3:$B$5001,$A$5,BD!$M$3:$M$5001,"&lt;&gt;")=0,"",SUMIFS(BD!$M$3:$M$5001,BD!$A$3:$A$5001,AE$3,BD!$B$3:$B$5001,$A$5)))</f>
        <v/>
      </c>
      <c r="AF15" s="159" t="str">
        <f>IF(AF$3="","",IF(COUNTIFS(BD!$A$3:$A$5001,AF$3,BD!$B$3:$B$5001,$A$5,BD!$M$3:$M$5001,"&lt;&gt;")=0,"",SUMIFS(BD!$M$3:$M$5001,BD!$A$3:$A$5001,AF$3,BD!$B$3:$B$5001,$A$5)))</f>
        <v/>
      </c>
      <c r="AG15" s="159" t="str">
        <f>IF(AG$3="","",IF(COUNTIFS(BD!$A$3:$A$5001,AG$3,BD!$B$3:$B$5001,$A$5,BD!$M$3:$M$5001,"&lt;&gt;")=0,"",SUMIFS(BD!$M$3:$M$5001,BD!$A$3:$A$5001,AG$3,BD!$B$3:$B$5001,$A$5)))</f>
        <v/>
      </c>
      <c r="AH15" s="159" t="str">
        <f>IF(AH$3="","",IF(COUNTIFS(BD!$A$3:$A$5001,AH$3,BD!$B$3:$B$5001,$A$5,BD!$M$3:$M$5001,"&lt;&gt;")=0,"",SUMIFS(BD!$M$3:$M$5001,BD!$A$3:$A$5001,AH$3,BD!$B$3:$B$5001,$A$5)))</f>
        <v/>
      </c>
      <c r="AI15" s="159" t="str">
        <f>IF(AI$3="","",IF(COUNTIFS(BD!$A$3:$A$5001,AI$3,BD!$B$3:$B$5001,$A$5,BD!$M$3:$M$5001,"&lt;&gt;")=0,"",SUMIFS(BD!$M$3:$M$5001,BD!$A$3:$A$5001,AI$3,BD!$B$3:$B$5001,$A$5)))</f>
        <v/>
      </c>
      <c r="AJ15" s="160" t="str">
        <f>IF(AJ$3="","",IF(COUNTIFS(BD!$A$3:$A$5001,AJ$3,BD!$B$3:$B$5001,$A$5,BD!$M$3:$M$5001,"&lt;&gt;")=0,"",SUMIFS(BD!$M$3:$M$5001,BD!$A$3:$A$5001,AJ$3,BD!$B$3:$B$5001,$A$5)))</f>
        <v/>
      </c>
      <c r="AK15" s="161" t="str">
        <f>IFERROR(LOOKUP(9.99E+307,F15:AJ15),"")</f>
        <v/>
      </c>
    </row>
    <row r="16" ht="15.75" customHeight="1">
      <c r="A16" s="247"/>
      <c r="B16" s="236"/>
      <c r="C16" s="162" t="inlineStr">
        <is>
          <t xml:space="preserve">Taxa de Ocupação</t>
        </is>
      </c>
      <c r="D16" s="210" t="str">
        <f>IFERROR(1/(1/INDEX(BD!$Y$34:$AD$34,MATCH($A$5,BD!$Y$22:$AD$22,0))),"")</f>
        <v/>
      </c>
      <c r="E16" s="164"/>
      <c r="F16" s="211" t="str">
        <f>IF(AND(ISNUMBER(F14),ISNUMBER(F15)),IF(F14&gt;0,F15/F14,""),"")</f>
        <v/>
      </c>
      <c r="G16" s="212" t="str">
        <f>IF(AND(ISNUMBER(G14),ISNUMBER(G15)),IF(G14&gt;0,G15/G14,""),"")</f>
        <v/>
      </c>
      <c r="H16" s="212" t="str">
        <f>IF(AND(ISNUMBER(H14),ISNUMBER(H15)),IF(H14&gt;0,H15/H14,""),"")</f>
        <v/>
      </c>
      <c r="I16" s="212" t="str">
        <f>IF(AND(ISNUMBER(I14),ISNUMBER(I15)),IF(I14&gt;0,I15/I14,""),"")</f>
        <v/>
      </c>
      <c r="J16" s="212" t="str">
        <f>IF(AND(ISNUMBER(J14),ISNUMBER(J15)),IF(J14&gt;0,J15/J14,""),"")</f>
        <v/>
      </c>
      <c r="K16" s="212" t="str">
        <f>IF(AND(ISNUMBER(K14),ISNUMBER(K15)),IF(K14&gt;0,K15/K14,""),"")</f>
        <v/>
      </c>
      <c r="L16" s="212" t="str">
        <f>IF(AND(ISNUMBER(L14),ISNUMBER(L15)),IF(L14&gt;0,L15/L14,""),"")</f>
        <v/>
      </c>
      <c r="M16" s="212" t="str">
        <f>IF(AND(ISNUMBER(M14),ISNUMBER(M15)),IF(M14&gt;0,M15/M14,""),"")</f>
        <v/>
      </c>
      <c r="N16" s="212" t="str">
        <f>IF(AND(ISNUMBER(N14),ISNUMBER(N15)),IF(N14&gt;0,N15/N14,""),"")</f>
        <v/>
      </c>
      <c r="O16" s="212" t="str">
        <f>IF(AND(ISNUMBER(O14),ISNUMBER(O15)),IF(O14&gt;0,O15/O14,""),"")</f>
        <v/>
      </c>
      <c r="P16" s="212" t="str">
        <f>IF(AND(ISNUMBER(P14),ISNUMBER(P15)),IF(P14&gt;0,P15/P14,""),"")</f>
        <v/>
      </c>
      <c r="Q16" s="212" t="str">
        <f>IF(AND(ISNUMBER(Q14),ISNUMBER(Q15)),IF(Q14&gt;0,Q15/Q14,""),"")</f>
        <v/>
      </c>
      <c r="R16" s="212" t="str">
        <f>IF(AND(ISNUMBER(R14),ISNUMBER(R15)),IF(R14&gt;0,R15/R14,""),"")</f>
        <v/>
      </c>
      <c r="S16" s="212" t="str">
        <f>IF(AND(ISNUMBER(S14),ISNUMBER(S15)),IF(S14&gt;0,S15/S14,""),"")</f>
        <v/>
      </c>
      <c r="T16" s="212" t="str">
        <f>IF(AND(ISNUMBER(T14),ISNUMBER(T15)),IF(T14&gt;0,T15/T14,""),"")</f>
        <v/>
      </c>
      <c r="U16" s="212" t="str">
        <f>IF(AND(ISNUMBER(U14),ISNUMBER(U15)),IF(U14&gt;0,U15/U14,""),"")</f>
        <v/>
      </c>
      <c r="V16" s="212" t="str">
        <f>IF(AND(ISNUMBER(V14),ISNUMBER(V15)),IF(V14&gt;0,V15/V14,""),"")</f>
        <v/>
      </c>
      <c r="W16" s="212" t="str">
        <f>IF(AND(ISNUMBER(W14),ISNUMBER(W15)),IF(W14&gt;0,W15/W14,""),"")</f>
        <v/>
      </c>
      <c r="X16" s="212" t="str">
        <f>IF(AND(ISNUMBER(X14),ISNUMBER(X15)),IF(X14&gt;0,X15/X14,""),"")</f>
        <v/>
      </c>
      <c r="Y16" s="212" t="str">
        <f>IF(AND(ISNUMBER(Y14),ISNUMBER(Y15)),IF(Y14&gt;0,Y15/Y14,""),"")</f>
        <v/>
      </c>
      <c r="Z16" s="212" t="str">
        <f>IF(AND(ISNUMBER(Z14),ISNUMBER(Z15)),IF(Z14&gt;0,Z15/Z14,""),"")</f>
        <v/>
      </c>
      <c r="AA16" s="212" t="str">
        <f>IF(AND(ISNUMBER(AA14),ISNUMBER(AA15)),IF(AA14&gt;0,AA15/AA14,""),"")</f>
        <v/>
      </c>
      <c r="AB16" s="212" t="str">
        <f>IF(AND(ISNUMBER(AB14),ISNUMBER(AB15)),IF(AB14&gt;0,AB15/AB14,""),"")</f>
        <v/>
      </c>
      <c r="AC16" s="212" t="str">
        <f>IF(AND(ISNUMBER(AC14),ISNUMBER(AC15)),IF(AC14&gt;0,AC15/AC14,""),"")</f>
        <v/>
      </c>
      <c r="AD16" s="212" t="str">
        <f>IF(AND(ISNUMBER(AD14),ISNUMBER(AD15)),IF(AD14&gt;0,AD15/AD14,""),"")</f>
        <v/>
      </c>
      <c r="AE16" s="212" t="str">
        <f>IF(AND(ISNUMBER(AE14),ISNUMBER(AE15)),IF(AE14&gt;0,AE15/AE14,""),"")</f>
        <v/>
      </c>
      <c r="AF16" s="212" t="str">
        <f>IF(AND(ISNUMBER(AF14),ISNUMBER(AF15)),IF(AF14&gt;0,AF15/AF14,""),"")</f>
        <v/>
      </c>
      <c r="AG16" s="212" t="str">
        <f>IF(AND(ISNUMBER(AG14),ISNUMBER(AG15)),IF(AG14&gt;0,AG15/AG14,""),"")</f>
        <v/>
      </c>
      <c r="AH16" s="212" t="str">
        <f>IF(AND(ISNUMBER(AH14),ISNUMBER(AH15)),IF(AH14&gt;0,AH15/AH14,""),"")</f>
        <v/>
      </c>
      <c r="AI16" s="212" t="str">
        <f>IF(AND(ISNUMBER(AI14),ISNUMBER(AI15)),IF(AI14&gt;0,AI15/AI14,""),"")</f>
        <v/>
      </c>
      <c r="AJ16" s="213" t="str">
        <f>IF(AND(ISNUMBER(AJ14),ISNUMBER(AJ15)),IF(AJ14&gt;0,AJ15/AJ14,""),"")</f>
        <v/>
      </c>
      <c r="AK16" s="210" t="str">
        <f>IF(AND(ISNUMBER(AK14),ISNUMBER(AK15)),IF(AK14&gt;0,AK15/AK14,""),"")</f>
        <v/>
      </c>
    </row>
    <row r="17" ht="15.75" customHeight="1">
      <c r="A17" s="247"/>
      <c r="B17" s="243" t="inlineStr">
        <is>
          <t xml:space="preserve">GENTE</t>
        </is>
      </c>
      <c r="C17" s="214" t="inlineStr">
        <is>
          <t xml:space="preserve">Efetivo Op.</t>
        </is>
      </c>
      <c r="D17" s="215" t="str">
        <f>IFERROR(1/(1/INDEX(BD!$Y$35:$AD$35,MATCH($A$5,BD!$Y$22:$AD$22,0))),"")</f>
        <v/>
      </c>
      <c r="E17" s="216"/>
      <c r="F17" s="217" t="str">
        <f>IF(F$3="","",IF(COUNTIFS(BD!$A$3:$A$5001,F$3,BD!$B$3:$B$5001,$A$5,BD!$N$3:$N$5001,"&lt;&gt;")=0,"",SUMIFS(BD!$N$3:$N$5001,BD!$A$3:$A$5001,F$3,BD!$B$3:$B$5001,$A$5)))</f>
        <v/>
      </c>
      <c r="G17" s="218" t="str">
        <f>IF(G$3="","",IF(COUNTIFS(BD!$A$3:$A$5001,G$3,BD!$B$3:$B$5001,$A$5,BD!$N$3:$N$5001,"&lt;&gt;")=0,"",SUMIFS(BD!$N$3:$N$5001,BD!$A$3:$A$5001,G$3,BD!$B$3:$B$5001,$A$5)))</f>
        <v/>
      </c>
      <c r="H17" s="218" t="str">
        <f>IF(H$3="","",IF(COUNTIFS(BD!$A$3:$A$5001,H$3,BD!$B$3:$B$5001,$A$5,BD!$N$3:$N$5001,"&lt;&gt;")=0,"",SUMIFS(BD!$N$3:$N$5001,BD!$A$3:$A$5001,H$3,BD!$B$3:$B$5001,$A$5)))</f>
        <v/>
      </c>
      <c r="I17" s="218" t="str">
        <f>IF(I$3="","",IF(COUNTIFS(BD!$A$3:$A$5001,I$3,BD!$B$3:$B$5001,$A$5,BD!$N$3:$N$5001,"&lt;&gt;")=0,"",SUMIFS(BD!$N$3:$N$5001,BD!$A$3:$A$5001,I$3,BD!$B$3:$B$5001,$A$5)))</f>
        <v/>
      </c>
      <c r="J17" s="218" t="str">
        <f>IF(J$3="","",IF(COUNTIFS(BD!$A$3:$A$5001,J$3,BD!$B$3:$B$5001,$A$5,BD!$N$3:$N$5001,"&lt;&gt;")=0,"",SUMIFS(BD!$N$3:$N$5001,BD!$A$3:$A$5001,J$3,BD!$B$3:$B$5001,$A$5)))</f>
        <v/>
      </c>
      <c r="K17" s="218" t="str">
        <f>IF(K$3="","",IF(COUNTIFS(BD!$A$3:$A$5001,K$3,BD!$B$3:$B$5001,$A$5,BD!$N$3:$N$5001,"&lt;&gt;")=0,"",SUMIFS(BD!$N$3:$N$5001,BD!$A$3:$A$5001,K$3,BD!$B$3:$B$5001,$A$5)))</f>
        <v/>
      </c>
      <c r="L17" s="218" t="str">
        <f>IF(L$3="","",IF(COUNTIFS(BD!$A$3:$A$5001,L$3,BD!$B$3:$B$5001,$A$5,BD!$N$3:$N$5001,"&lt;&gt;")=0,"",SUMIFS(BD!$N$3:$N$5001,BD!$A$3:$A$5001,L$3,BD!$B$3:$B$5001,$A$5)))</f>
        <v/>
      </c>
      <c r="M17" s="218" t="str">
        <f>IF(M$3="","",IF(COUNTIFS(BD!$A$3:$A$5001,M$3,BD!$B$3:$B$5001,$A$5,BD!$N$3:$N$5001,"&lt;&gt;")=0,"",SUMIFS(BD!$N$3:$N$5001,BD!$A$3:$A$5001,M$3,BD!$B$3:$B$5001,$A$5)))</f>
        <v/>
      </c>
      <c r="N17" s="218" t="str">
        <f>IF(N$3="","",IF(COUNTIFS(BD!$A$3:$A$5001,N$3,BD!$B$3:$B$5001,$A$5,BD!$N$3:$N$5001,"&lt;&gt;")=0,"",SUMIFS(BD!$N$3:$N$5001,BD!$A$3:$A$5001,N$3,BD!$B$3:$B$5001,$A$5)))</f>
        <v/>
      </c>
      <c r="O17" s="218" t="str">
        <f>IF(O$3="","",IF(COUNTIFS(BD!$A$3:$A$5001,O$3,BD!$B$3:$B$5001,$A$5,BD!$N$3:$N$5001,"&lt;&gt;")=0,"",SUMIFS(BD!$N$3:$N$5001,BD!$A$3:$A$5001,O$3,BD!$B$3:$B$5001,$A$5)))</f>
        <v/>
      </c>
      <c r="P17" s="218" t="str">
        <f>IF(P$3="","",IF(COUNTIFS(BD!$A$3:$A$5001,P$3,BD!$B$3:$B$5001,$A$5,BD!$N$3:$N$5001,"&lt;&gt;")=0,"",SUMIFS(BD!$N$3:$N$5001,BD!$A$3:$A$5001,P$3,BD!$B$3:$B$5001,$A$5)))</f>
        <v/>
      </c>
      <c r="Q17" s="218" t="str">
        <f>IF(Q$3="","",IF(COUNTIFS(BD!$A$3:$A$5001,Q$3,BD!$B$3:$B$5001,$A$5,BD!$N$3:$N$5001,"&lt;&gt;")=0,"",SUMIFS(BD!$N$3:$N$5001,BD!$A$3:$A$5001,Q$3,BD!$B$3:$B$5001,$A$5)))</f>
        <v/>
      </c>
      <c r="R17" s="218" t="str">
        <f>IF(R$3="","",IF(COUNTIFS(BD!$A$3:$A$5001,R$3,BD!$B$3:$B$5001,$A$5,BD!$N$3:$N$5001,"&lt;&gt;")=0,"",SUMIFS(BD!$N$3:$N$5001,BD!$A$3:$A$5001,R$3,BD!$B$3:$B$5001,$A$5)))</f>
        <v/>
      </c>
      <c r="S17" s="218" t="str">
        <f>IF(S$3="","",IF(COUNTIFS(BD!$A$3:$A$5001,S$3,BD!$B$3:$B$5001,$A$5,BD!$N$3:$N$5001,"&lt;&gt;")=0,"",SUMIFS(BD!$N$3:$N$5001,BD!$A$3:$A$5001,S$3,BD!$B$3:$B$5001,$A$5)))</f>
        <v/>
      </c>
      <c r="T17" s="218" t="str">
        <f>IF(T$3="","",IF(COUNTIFS(BD!$A$3:$A$5001,T$3,BD!$B$3:$B$5001,$A$5,BD!$N$3:$N$5001,"&lt;&gt;")=0,"",SUMIFS(BD!$N$3:$N$5001,BD!$A$3:$A$5001,T$3,BD!$B$3:$B$5001,$A$5)))</f>
        <v/>
      </c>
      <c r="U17" s="218" t="str">
        <f>IF(U$3="","",IF(COUNTIFS(BD!$A$3:$A$5001,U$3,BD!$B$3:$B$5001,$A$5,BD!$N$3:$N$5001,"&lt;&gt;")=0,"",SUMIFS(BD!$N$3:$N$5001,BD!$A$3:$A$5001,U$3,BD!$B$3:$B$5001,$A$5)))</f>
        <v/>
      </c>
      <c r="V17" s="218" t="str">
        <f>IF(V$3="","",IF(COUNTIFS(BD!$A$3:$A$5001,V$3,BD!$B$3:$B$5001,$A$5,BD!$N$3:$N$5001,"&lt;&gt;")=0,"",SUMIFS(BD!$N$3:$N$5001,BD!$A$3:$A$5001,V$3,BD!$B$3:$B$5001,$A$5)))</f>
        <v/>
      </c>
      <c r="W17" s="218" t="str">
        <f>IF(W$3="","",IF(COUNTIFS(BD!$A$3:$A$5001,W$3,BD!$B$3:$B$5001,$A$5,BD!$N$3:$N$5001,"&lt;&gt;")=0,"",SUMIFS(BD!$N$3:$N$5001,BD!$A$3:$A$5001,W$3,BD!$B$3:$B$5001,$A$5)))</f>
        <v/>
      </c>
      <c r="X17" s="218" t="str">
        <f>IF(X$3="","",IF(COUNTIFS(BD!$A$3:$A$5001,X$3,BD!$B$3:$B$5001,$A$5,BD!$N$3:$N$5001,"&lt;&gt;")=0,"",SUMIFS(BD!$N$3:$N$5001,BD!$A$3:$A$5001,X$3,BD!$B$3:$B$5001,$A$5)))</f>
        <v/>
      </c>
      <c r="Y17" s="218" t="str">
        <f>IF(Y$3="","",IF(COUNTIFS(BD!$A$3:$A$5001,Y$3,BD!$B$3:$B$5001,$A$5,BD!$N$3:$N$5001,"&lt;&gt;")=0,"",SUMIFS(BD!$N$3:$N$5001,BD!$A$3:$A$5001,Y$3,BD!$B$3:$B$5001,$A$5)))</f>
        <v/>
      </c>
      <c r="Z17" s="218" t="str">
        <f>IF(Z$3="","",IF(COUNTIFS(BD!$A$3:$A$5001,Z$3,BD!$B$3:$B$5001,$A$5,BD!$N$3:$N$5001,"&lt;&gt;")=0,"",SUMIFS(BD!$N$3:$N$5001,BD!$A$3:$A$5001,Z$3,BD!$B$3:$B$5001,$A$5)))</f>
        <v/>
      </c>
      <c r="AA17" s="218" t="str">
        <f>IF(AA$3="","",IF(COUNTIFS(BD!$A$3:$A$5001,AA$3,BD!$B$3:$B$5001,$A$5,BD!$N$3:$N$5001,"&lt;&gt;")=0,"",SUMIFS(BD!$N$3:$N$5001,BD!$A$3:$A$5001,AA$3,BD!$B$3:$B$5001,$A$5)))</f>
        <v/>
      </c>
      <c r="AB17" s="218" t="str">
        <f>IF(AB$3="","",IF(COUNTIFS(BD!$A$3:$A$5001,AB$3,BD!$B$3:$B$5001,$A$5,BD!$N$3:$N$5001,"&lt;&gt;")=0,"",SUMIFS(BD!$N$3:$N$5001,BD!$A$3:$A$5001,AB$3,BD!$B$3:$B$5001,$A$5)))</f>
        <v/>
      </c>
      <c r="AC17" s="218" t="str">
        <f>IF(AC$3="","",IF(COUNTIFS(BD!$A$3:$A$5001,AC$3,BD!$B$3:$B$5001,$A$5,BD!$N$3:$N$5001,"&lt;&gt;")=0,"",SUMIFS(BD!$N$3:$N$5001,BD!$A$3:$A$5001,AC$3,BD!$B$3:$B$5001,$A$5)))</f>
        <v/>
      </c>
      <c r="AD17" s="218" t="str">
        <f>IF(AD$3="","",IF(COUNTIFS(BD!$A$3:$A$5001,AD$3,BD!$B$3:$B$5001,$A$5,BD!$N$3:$N$5001,"&lt;&gt;")=0,"",SUMIFS(BD!$N$3:$N$5001,BD!$A$3:$A$5001,AD$3,BD!$B$3:$B$5001,$A$5)))</f>
        <v/>
      </c>
      <c r="AE17" s="218" t="str">
        <f>IF(AE$3="","",IF(COUNTIFS(BD!$A$3:$A$5001,AE$3,BD!$B$3:$B$5001,$A$5,BD!$N$3:$N$5001,"&lt;&gt;")=0,"",SUMIFS(BD!$N$3:$N$5001,BD!$A$3:$A$5001,AE$3,BD!$B$3:$B$5001,$A$5)))</f>
        <v/>
      </c>
      <c r="AF17" s="218" t="str">
        <f>IF(AF$3="","",IF(COUNTIFS(BD!$A$3:$A$5001,AF$3,BD!$B$3:$B$5001,$A$5,BD!$N$3:$N$5001,"&lt;&gt;")=0,"",SUMIFS(BD!$N$3:$N$5001,BD!$A$3:$A$5001,AF$3,BD!$B$3:$B$5001,$A$5)))</f>
        <v/>
      </c>
      <c r="AG17" s="218" t="str">
        <f>IF(AG$3="","",IF(COUNTIFS(BD!$A$3:$A$5001,AG$3,BD!$B$3:$B$5001,$A$5,BD!$N$3:$N$5001,"&lt;&gt;")=0,"",SUMIFS(BD!$N$3:$N$5001,BD!$A$3:$A$5001,AG$3,BD!$B$3:$B$5001,$A$5)))</f>
        <v/>
      </c>
      <c r="AH17" s="218" t="str">
        <f>IF(AH$3="","",IF(COUNTIFS(BD!$A$3:$A$5001,AH$3,BD!$B$3:$B$5001,$A$5,BD!$N$3:$N$5001,"&lt;&gt;")=0,"",SUMIFS(BD!$N$3:$N$5001,BD!$A$3:$A$5001,AH$3,BD!$B$3:$B$5001,$A$5)))</f>
        <v/>
      </c>
      <c r="AI17" s="218" t="str">
        <f>IF(AI$3="","",IF(COUNTIFS(BD!$A$3:$A$5001,AI$3,BD!$B$3:$B$5001,$A$5,BD!$N$3:$N$5001,"&lt;&gt;")=0,"",SUMIFS(BD!$N$3:$N$5001,BD!$A$3:$A$5001,AI$3,BD!$B$3:$B$5001,$A$5)))</f>
        <v/>
      </c>
      <c r="AJ17" s="219" t="str">
        <f>IF(AJ$3="","",IF(COUNTIFS(BD!$A$3:$A$5001,AJ$3,BD!$B$3:$B$5001,$A$5,BD!$N$3:$N$5001,"&lt;&gt;")=0,"",SUMIFS(BD!$N$3:$N$5001,BD!$A$3:$A$5001,AJ$3,BD!$B$3:$B$5001,$A$5)))</f>
        <v/>
      </c>
      <c r="AK17" s="220" t="str">
        <f>IFERROR(LOOKUP(9.99E+307,F17:AJ17),"")</f>
        <v/>
      </c>
    </row>
    <row r="18" ht="15.75" customHeight="1">
      <c r="A18" s="247"/>
      <c r="B18" s="244"/>
      <c r="C18" s="221" t="inlineStr">
        <is>
          <t xml:space="preserve">Falta</t>
        </is>
      </c>
      <c r="D18" s="222" t="str">
        <f>IFERROR(1/(1/INDEX(BD!$Y$36:$AD$36,MATCH($A$5,BD!$Y$22:$AD$22,0))),"")</f>
        <v/>
      </c>
      <c r="E18" s="223"/>
      <c r="F18" s="224" t="str">
        <f>IF(F$3="","",IF(COUNTIFS(BD!$A$3:$A$5001,F$3,BD!$B$3:$B$5001,$A$5,BD!$O$3:$O$5001,"&lt;&gt;")=0,"",SUMIFS(BD!$O$3:$O$5001,BD!$A$3:$A$5001,F$3,BD!$B$3:$B$5001,$A$5)))</f>
        <v/>
      </c>
      <c r="G18" s="225" t="str">
        <f>IF(G$3="","",IF(COUNTIFS(BD!$A$3:$A$5001,G$3,BD!$B$3:$B$5001,$A$5,BD!$O$3:$O$5001,"&lt;&gt;")=0,"",SUMIFS(BD!$O$3:$O$5001,BD!$A$3:$A$5001,G$3,BD!$B$3:$B$5001,$A$5)))</f>
        <v/>
      </c>
      <c r="H18" s="225" t="str">
        <f>IF(H$3="","",IF(COUNTIFS(BD!$A$3:$A$5001,H$3,BD!$B$3:$B$5001,$A$5,BD!$O$3:$O$5001,"&lt;&gt;")=0,"",SUMIFS(BD!$O$3:$O$5001,BD!$A$3:$A$5001,H$3,BD!$B$3:$B$5001,$A$5)))</f>
        <v/>
      </c>
      <c r="I18" s="225" t="str">
        <f>IF(I$3="","",IF(COUNTIFS(BD!$A$3:$A$5001,I$3,BD!$B$3:$B$5001,$A$5,BD!$O$3:$O$5001,"&lt;&gt;")=0,"",SUMIFS(BD!$O$3:$O$5001,BD!$A$3:$A$5001,I$3,BD!$B$3:$B$5001,$A$5)))</f>
        <v/>
      </c>
      <c r="J18" s="225" t="str">
        <f>IF(J$3="","",IF(COUNTIFS(BD!$A$3:$A$5001,J$3,BD!$B$3:$B$5001,$A$5,BD!$O$3:$O$5001,"&lt;&gt;")=0,"",SUMIFS(BD!$O$3:$O$5001,BD!$A$3:$A$5001,J$3,BD!$B$3:$B$5001,$A$5)))</f>
        <v/>
      </c>
      <c r="K18" s="225" t="str">
        <f>IF(K$3="","",IF(COUNTIFS(BD!$A$3:$A$5001,K$3,BD!$B$3:$B$5001,$A$5,BD!$O$3:$O$5001,"&lt;&gt;")=0,"",SUMIFS(BD!$O$3:$O$5001,BD!$A$3:$A$5001,K$3,BD!$B$3:$B$5001,$A$5)))</f>
        <v/>
      </c>
      <c r="L18" s="225" t="str">
        <f>IF(L$3="","",IF(COUNTIFS(BD!$A$3:$A$5001,L$3,BD!$B$3:$B$5001,$A$5,BD!$O$3:$O$5001,"&lt;&gt;")=0,"",SUMIFS(BD!$O$3:$O$5001,BD!$A$3:$A$5001,L$3,BD!$B$3:$B$5001,$A$5)))</f>
        <v/>
      </c>
      <c r="M18" s="225" t="str">
        <f>IF(M$3="","",IF(COUNTIFS(BD!$A$3:$A$5001,M$3,BD!$B$3:$B$5001,$A$5,BD!$O$3:$O$5001,"&lt;&gt;")=0,"",SUMIFS(BD!$O$3:$O$5001,BD!$A$3:$A$5001,M$3,BD!$B$3:$B$5001,$A$5)))</f>
        <v/>
      </c>
      <c r="N18" s="225" t="str">
        <f>IF(N$3="","",IF(COUNTIFS(BD!$A$3:$A$5001,N$3,BD!$B$3:$B$5001,$A$5,BD!$O$3:$O$5001,"&lt;&gt;")=0,"",SUMIFS(BD!$O$3:$O$5001,BD!$A$3:$A$5001,N$3,BD!$B$3:$B$5001,$A$5)))</f>
        <v/>
      </c>
      <c r="O18" s="225" t="str">
        <f>IF(O$3="","",IF(COUNTIFS(BD!$A$3:$A$5001,O$3,BD!$B$3:$B$5001,$A$5,BD!$O$3:$O$5001,"&lt;&gt;")=0,"",SUMIFS(BD!$O$3:$O$5001,BD!$A$3:$A$5001,O$3,BD!$B$3:$B$5001,$A$5)))</f>
        <v/>
      </c>
      <c r="P18" s="225" t="str">
        <f>IF(P$3="","",IF(COUNTIFS(BD!$A$3:$A$5001,P$3,BD!$B$3:$B$5001,$A$5,BD!$O$3:$O$5001,"&lt;&gt;")=0,"",SUMIFS(BD!$O$3:$O$5001,BD!$A$3:$A$5001,P$3,BD!$B$3:$B$5001,$A$5)))</f>
        <v/>
      </c>
      <c r="Q18" s="225" t="str">
        <f>IF(Q$3="","",IF(COUNTIFS(BD!$A$3:$A$5001,Q$3,BD!$B$3:$B$5001,$A$5,BD!$O$3:$O$5001,"&lt;&gt;")=0,"",SUMIFS(BD!$O$3:$O$5001,BD!$A$3:$A$5001,Q$3,BD!$B$3:$B$5001,$A$5)))</f>
        <v/>
      </c>
      <c r="R18" s="225" t="str">
        <f>IF(R$3="","",IF(COUNTIFS(BD!$A$3:$A$5001,R$3,BD!$B$3:$B$5001,$A$5,BD!$O$3:$O$5001,"&lt;&gt;")=0,"",SUMIFS(BD!$O$3:$O$5001,BD!$A$3:$A$5001,R$3,BD!$B$3:$B$5001,$A$5)))</f>
        <v/>
      </c>
      <c r="S18" s="225" t="str">
        <f>IF(S$3="","",IF(COUNTIFS(BD!$A$3:$A$5001,S$3,BD!$B$3:$B$5001,$A$5,BD!$O$3:$O$5001,"&lt;&gt;")=0,"",SUMIFS(BD!$O$3:$O$5001,BD!$A$3:$A$5001,S$3,BD!$B$3:$B$5001,$A$5)))</f>
        <v/>
      </c>
      <c r="T18" s="225" t="str">
        <f>IF(T$3="","",IF(COUNTIFS(BD!$A$3:$A$5001,T$3,BD!$B$3:$B$5001,$A$5,BD!$O$3:$O$5001,"&lt;&gt;")=0,"",SUMIFS(BD!$O$3:$O$5001,BD!$A$3:$A$5001,T$3,BD!$B$3:$B$5001,$A$5)))</f>
        <v/>
      </c>
      <c r="U18" s="225" t="str">
        <f>IF(U$3="","",IF(COUNTIFS(BD!$A$3:$A$5001,U$3,BD!$B$3:$B$5001,$A$5,BD!$O$3:$O$5001,"&lt;&gt;")=0,"",SUMIFS(BD!$O$3:$O$5001,BD!$A$3:$A$5001,U$3,BD!$B$3:$B$5001,$A$5)))</f>
        <v/>
      </c>
      <c r="V18" s="225" t="str">
        <f>IF(V$3="","",IF(COUNTIFS(BD!$A$3:$A$5001,V$3,BD!$B$3:$B$5001,$A$5,BD!$O$3:$O$5001,"&lt;&gt;")=0,"",SUMIFS(BD!$O$3:$O$5001,BD!$A$3:$A$5001,V$3,BD!$B$3:$B$5001,$A$5)))</f>
        <v/>
      </c>
      <c r="W18" s="225" t="str">
        <f>IF(W$3="","",IF(COUNTIFS(BD!$A$3:$A$5001,W$3,BD!$B$3:$B$5001,$A$5,BD!$O$3:$O$5001,"&lt;&gt;")=0,"",SUMIFS(BD!$O$3:$O$5001,BD!$A$3:$A$5001,W$3,BD!$B$3:$B$5001,$A$5)))</f>
        <v/>
      </c>
      <c r="X18" s="225" t="str">
        <f>IF(X$3="","",IF(COUNTIFS(BD!$A$3:$A$5001,X$3,BD!$B$3:$B$5001,$A$5,BD!$O$3:$O$5001,"&lt;&gt;")=0,"",SUMIFS(BD!$O$3:$O$5001,BD!$A$3:$A$5001,X$3,BD!$B$3:$B$5001,$A$5)))</f>
        <v/>
      </c>
      <c r="Y18" s="225" t="str">
        <f>IF(Y$3="","",IF(COUNTIFS(BD!$A$3:$A$5001,Y$3,BD!$B$3:$B$5001,$A$5,BD!$O$3:$O$5001,"&lt;&gt;")=0,"",SUMIFS(BD!$O$3:$O$5001,BD!$A$3:$A$5001,Y$3,BD!$B$3:$B$5001,$A$5)))</f>
        <v/>
      </c>
      <c r="Z18" s="225" t="str">
        <f>IF(Z$3="","",IF(COUNTIFS(BD!$A$3:$A$5001,Z$3,BD!$B$3:$B$5001,$A$5,BD!$O$3:$O$5001,"&lt;&gt;")=0,"",SUMIFS(BD!$O$3:$O$5001,BD!$A$3:$A$5001,Z$3,BD!$B$3:$B$5001,$A$5)))</f>
        <v/>
      </c>
      <c r="AA18" s="225" t="str">
        <f>IF(AA$3="","",IF(COUNTIFS(BD!$A$3:$A$5001,AA$3,BD!$B$3:$B$5001,$A$5,BD!$O$3:$O$5001,"&lt;&gt;")=0,"",SUMIFS(BD!$O$3:$O$5001,BD!$A$3:$A$5001,AA$3,BD!$B$3:$B$5001,$A$5)))</f>
        <v/>
      </c>
      <c r="AB18" s="225" t="str">
        <f>IF(AB$3="","",IF(COUNTIFS(BD!$A$3:$A$5001,AB$3,BD!$B$3:$B$5001,$A$5,BD!$O$3:$O$5001,"&lt;&gt;")=0,"",SUMIFS(BD!$O$3:$O$5001,BD!$A$3:$A$5001,AB$3,BD!$B$3:$B$5001,$A$5)))</f>
        <v/>
      </c>
      <c r="AC18" s="225" t="str">
        <f>IF(AC$3="","",IF(COUNTIFS(BD!$A$3:$A$5001,AC$3,BD!$B$3:$B$5001,$A$5,BD!$O$3:$O$5001,"&lt;&gt;")=0,"",SUMIFS(BD!$O$3:$O$5001,BD!$A$3:$A$5001,AC$3,BD!$B$3:$B$5001,$A$5)))</f>
        <v/>
      </c>
      <c r="AD18" s="225" t="str">
        <f>IF(AD$3="","",IF(COUNTIFS(BD!$A$3:$A$5001,AD$3,BD!$B$3:$B$5001,$A$5,BD!$O$3:$O$5001,"&lt;&gt;")=0,"",SUMIFS(BD!$O$3:$O$5001,BD!$A$3:$A$5001,AD$3,BD!$B$3:$B$5001,$A$5)))</f>
        <v/>
      </c>
      <c r="AE18" s="225" t="str">
        <f>IF(AE$3="","",IF(COUNTIFS(BD!$A$3:$A$5001,AE$3,BD!$B$3:$B$5001,$A$5,BD!$O$3:$O$5001,"&lt;&gt;")=0,"",SUMIFS(BD!$O$3:$O$5001,BD!$A$3:$A$5001,AE$3,BD!$B$3:$B$5001,$A$5)))</f>
        <v/>
      </c>
      <c r="AF18" s="225" t="str">
        <f>IF(AF$3="","",IF(COUNTIFS(BD!$A$3:$A$5001,AF$3,BD!$B$3:$B$5001,$A$5,BD!$O$3:$O$5001,"&lt;&gt;")=0,"",SUMIFS(BD!$O$3:$O$5001,BD!$A$3:$A$5001,AF$3,BD!$B$3:$B$5001,$A$5)))</f>
        <v/>
      </c>
      <c r="AG18" s="225" t="str">
        <f>IF(AG$3="","",IF(COUNTIFS(BD!$A$3:$A$5001,AG$3,BD!$B$3:$B$5001,$A$5,BD!$O$3:$O$5001,"&lt;&gt;")=0,"",SUMIFS(BD!$O$3:$O$5001,BD!$A$3:$A$5001,AG$3,BD!$B$3:$B$5001,$A$5)))</f>
        <v/>
      </c>
      <c r="AH18" s="225" t="str">
        <f>IF(AH$3="","",IF(COUNTIFS(BD!$A$3:$A$5001,AH$3,BD!$B$3:$B$5001,$A$5,BD!$O$3:$O$5001,"&lt;&gt;")=0,"",SUMIFS(BD!$O$3:$O$5001,BD!$A$3:$A$5001,AH$3,BD!$B$3:$B$5001,$A$5)))</f>
        <v/>
      </c>
      <c r="AI18" s="225" t="str">
        <f>IF(AI$3="","",IF(COUNTIFS(BD!$A$3:$A$5001,AI$3,BD!$B$3:$B$5001,$A$5,BD!$O$3:$O$5001,"&lt;&gt;")=0,"",SUMIFS(BD!$O$3:$O$5001,BD!$A$3:$A$5001,AI$3,BD!$B$3:$B$5001,$A$5)))</f>
        <v/>
      </c>
      <c r="AJ18" s="226" t="str">
        <f>IF(AJ$3="","",IF(COUNTIFS(BD!$A$3:$A$5001,AJ$3,BD!$B$3:$B$5001,$A$5,BD!$O$3:$O$5001,"&lt;&gt;")=0,"",SUMIFS(BD!$O$3:$O$5001,BD!$A$3:$A$5001,AJ$3,BD!$B$3:$B$5001,$A$5)))</f>
        <v/>
      </c>
      <c r="AK18" s="227" t="str">
        <f>IF(COUNT(F18:AJ18)=0,"",SUM(F18:AJ18))</f>
        <v/>
      </c>
    </row>
    <row r="19" ht="15.75" customHeight="1">
      <c r="A19" s="247"/>
      <c r="B19" s="244"/>
      <c r="C19" s="221" t="inlineStr">
        <is>
          <t xml:space="preserve">Folga</t>
        </is>
      </c>
      <c r="D19" s="222" t="str">
        <f>IFERROR(1/(1/INDEX(BD!$Y$37:$AD$37,MATCH($A$5,BD!$Y$22:$AD$22,0))),"")</f>
        <v/>
      </c>
      <c r="E19" s="223"/>
      <c r="F19" s="224" t="str">
        <f>IF(F$3="","",IF(COUNTIFS(BD!$A$3:$A$5001,F$3,BD!$B$3:$B$5001,$A$5,BD!$P$3:$P$5001,"&lt;&gt;")=0,"",SUMIFS(BD!$P$3:$P$5001,BD!$A$3:$A$5001,F$3,BD!$B$3:$B$5001,$A$5)))</f>
        <v/>
      </c>
      <c r="G19" s="225" t="str">
        <f>IF(G$3="","",IF(COUNTIFS(BD!$A$3:$A$5001,G$3,BD!$B$3:$B$5001,$A$5,BD!$P$3:$P$5001,"&lt;&gt;")=0,"",SUMIFS(BD!$P$3:$P$5001,BD!$A$3:$A$5001,G$3,BD!$B$3:$B$5001,$A$5)))</f>
        <v/>
      </c>
      <c r="H19" s="225" t="str">
        <f>IF(H$3="","",IF(COUNTIFS(BD!$A$3:$A$5001,H$3,BD!$B$3:$B$5001,$A$5,BD!$P$3:$P$5001,"&lt;&gt;")=0,"",SUMIFS(BD!$P$3:$P$5001,BD!$A$3:$A$5001,H$3,BD!$B$3:$B$5001,$A$5)))</f>
        <v/>
      </c>
      <c r="I19" s="225" t="str">
        <f>IF(I$3="","",IF(COUNTIFS(BD!$A$3:$A$5001,I$3,BD!$B$3:$B$5001,$A$5,BD!$P$3:$P$5001,"&lt;&gt;")=0,"",SUMIFS(BD!$P$3:$P$5001,BD!$A$3:$A$5001,I$3,BD!$B$3:$B$5001,$A$5)))</f>
        <v/>
      </c>
      <c r="J19" s="225" t="str">
        <f>IF(J$3="","",IF(COUNTIFS(BD!$A$3:$A$5001,J$3,BD!$B$3:$B$5001,$A$5,BD!$P$3:$P$5001,"&lt;&gt;")=0,"",SUMIFS(BD!$P$3:$P$5001,BD!$A$3:$A$5001,J$3,BD!$B$3:$B$5001,$A$5)))</f>
        <v/>
      </c>
      <c r="K19" s="225" t="str">
        <f>IF(K$3="","",IF(COUNTIFS(BD!$A$3:$A$5001,K$3,BD!$B$3:$B$5001,$A$5,BD!$P$3:$P$5001,"&lt;&gt;")=0,"",SUMIFS(BD!$P$3:$P$5001,BD!$A$3:$A$5001,K$3,BD!$B$3:$B$5001,$A$5)))</f>
        <v/>
      </c>
      <c r="L19" s="225" t="str">
        <f>IF(L$3="","",IF(COUNTIFS(BD!$A$3:$A$5001,L$3,BD!$B$3:$B$5001,$A$5,BD!$P$3:$P$5001,"&lt;&gt;")=0,"",SUMIFS(BD!$P$3:$P$5001,BD!$A$3:$A$5001,L$3,BD!$B$3:$B$5001,$A$5)))</f>
        <v/>
      </c>
      <c r="M19" s="225" t="str">
        <f>IF(M$3="","",IF(COUNTIFS(BD!$A$3:$A$5001,M$3,BD!$B$3:$B$5001,$A$5,BD!$P$3:$P$5001,"&lt;&gt;")=0,"",SUMIFS(BD!$P$3:$P$5001,BD!$A$3:$A$5001,M$3,BD!$B$3:$B$5001,$A$5)))</f>
        <v/>
      </c>
      <c r="N19" s="225" t="str">
        <f>IF(N$3="","",IF(COUNTIFS(BD!$A$3:$A$5001,N$3,BD!$B$3:$B$5001,$A$5,BD!$P$3:$P$5001,"&lt;&gt;")=0,"",SUMIFS(BD!$P$3:$P$5001,BD!$A$3:$A$5001,N$3,BD!$B$3:$B$5001,$A$5)))</f>
        <v/>
      </c>
      <c r="O19" s="225" t="str">
        <f>IF(O$3="","",IF(COUNTIFS(BD!$A$3:$A$5001,O$3,BD!$B$3:$B$5001,$A$5,BD!$P$3:$P$5001,"&lt;&gt;")=0,"",SUMIFS(BD!$P$3:$P$5001,BD!$A$3:$A$5001,O$3,BD!$B$3:$B$5001,$A$5)))</f>
        <v/>
      </c>
      <c r="P19" s="225" t="str">
        <f>IF(P$3="","",IF(COUNTIFS(BD!$A$3:$A$5001,P$3,BD!$B$3:$B$5001,$A$5,BD!$P$3:$P$5001,"&lt;&gt;")=0,"",SUMIFS(BD!$P$3:$P$5001,BD!$A$3:$A$5001,P$3,BD!$B$3:$B$5001,$A$5)))</f>
        <v/>
      </c>
      <c r="Q19" s="225" t="str">
        <f>IF(Q$3="","",IF(COUNTIFS(BD!$A$3:$A$5001,Q$3,BD!$B$3:$B$5001,$A$5,BD!$P$3:$P$5001,"&lt;&gt;")=0,"",SUMIFS(BD!$P$3:$P$5001,BD!$A$3:$A$5001,Q$3,BD!$B$3:$B$5001,$A$5)))</f>
        <v/>
      </c>
      <c r="R19" s="225" t="str">
        <f>IF(R$3="","",IF(COUNTIFS(BD!$A$3:$A$5001,R$3,BD!$B$3:$B$5001,$A$5,BD!$P$3:$P$5001,"&lt;&gt;")=0,"",SUMIFS(BD!$P$3:$P$5001,BD!$A$3:$A$5001,R$3,BD!$B$3:$B$5001,$A$5)))</f>
        <v/>
      </c>
      <c r="S19" s="225" t="str">
        <f>IF(S$3="","",IF(COUNTIFS(BD!$A$3:$A$5001,S$3,BD!$B$3:$B$5001,$A$5,BD!$P$3:$P$5001,"&lt;&gt;")=0,"",SUMIFS(BD!$P$3:$P$5001,BD!$A$3:$A$5001,S$3,BD!$B$3:$B$5001,$A$5)))</f>
        <v/>
      </c>
      <c r="T19" s="225" t="str">
        <f>IF(T$3="","",IF(COUNTIFS(BD!$A$3:$A$5001,T$3,BD!$B$3:$B$5001,$A$5,BD!$P$3:$P$5001,"&lt;&gt;")=0,"",SUMIFS(BD!$P$3:$P$5001,BD!$A$3:$A$5001,T$3,BD!$B$3:$B$5001,$A$5)))</f>
        <v/>
      </c>
      <c r="U19" s="225" t="str">
        <f>IF(U$3="","",IF(COUNTIFS(BD!$A$3:$A$5001,U$3,BD!$B$3:$B$5001,$A$5,BD!$P$3:$P$5001,"&lt;&gt;")=0,"",SUMIFS(BD!$P$3:$P$5001,BD!$A$3:$A$5001,U$3,BD!$B$3:$B$5001,$A$5)))</f>
        <v/>
      </c>
      <c r="V19" s="225" t="str">
        <f>IF(V$3="","",IF(COUNTIFS(BD!$A$3:$A$5001,V$3,BD!$B$3:$B$5001,$A$5,BD!$P$3:$P$5001,"&lt;&gt;")=0,"",SUMIFS(BD!$P$3:$P$5001,BD!$A$3:$A$5001,V$3,BD!$B$3:$B$5001,$A$5)))</f>
        <v/>
      </c>
      <c r="W19" s="225" t="str">
        <f>IF(W$3="","",IF(COUNTIFS(BD!$A$3:$A$5001,W$3,BD!$B$3:$B$5001,$A$5,BD!$P$3:$P$5001,"&lt;&gt;")=0,"",SUMIFS(BD!$P$3:$P$5001,BD!$A$3:$A$5001,W$3,BD!$B$3:$B$5001,$A$5)))</f>
        <v/>
      </c>
      <c r="X19" s="225" t="str">
        <f>IF(X$3="","",IF(COUNTIFS(BD!$A$3:$A$5001,X$3,BD!$B$3:$B$5001,$A$5,BD!$P$3:$P$5001,"&lt;&gt;")=0,"",SUMIFS(BD!$P$3:$P$5001,BD!$A$3:$A$5001,X$3,BD!$B$3:$B$5001,$A$5)))</f>
        <v/>
      </c>
      <c r="Y19" s="225" t="str">
        <f>IF(Y$3="","",IF(COUNTIFS(BD!$A$3:$A$5001,Y$3,BD!$B$3:$B$5001,$A$5,BD!$P$3:$P$5001,"&lt;&gt;")=0,"",SUMIFS(BD!$P$3:$P$5001,BD!$A$3:$A$5001,Y$3,BD!$B$3:$B$5001,$A$5)))</f>
        <v/>
      </c>
      <c r="Z19" s="225" t="str">
        <f>IF(Z$3="","",IF(COUNTIFS(BD!$A$3:$A$5001,Z$3,BD!$B$3:$B$5001,$A$5,BD!$P$3:$P$5001,"&lt;&gt;")=0,"",SUMIFS(BD!$P$3:$P$5001,BD!$A$3:$A$5001,Z$3,BD!$B$3:$B$5001,$A$5)))</f>
        <v/>
      </c>
      <c r="AA19" s="225" t="str">
        <f>IF(AA$3="","",IF(COUNTIFS(BD!$A$3:$A$5001,AA$3,BD!$B$3:$B$5001,$A$5,BD!$P$3:$P$5001,"&lt;&gt;")=0,"",SUMIFS(BD!$P$3:$P$5001,BD!$A$3:$A$5001,AA$3,BD!$B$3:$B$5001,$A$5)))</f>
        <v/>
      </c>
      <c r="AB19" s="225" t="str">
        <f>IF(AB$3="","",IF(COUNTIFS(BD!$A$3:$A$5001,AB$3,BD!$B$3:$B$5001,$A$5,BD!$P$3:$P$5001,"&lt;&gt;")=0,"",SUMIFS(BD!$P$3:$P$5001,BD!$A$3:$A$5001,AB$3,BD!$B$3:$B$5001,$A$5)))</f>
        <v/>
      </c>
      <c r="AC19" s="225" t="str">
        <f>IF(AC$3="","",IF(COUNTIFS(BD!$A$3:$A$5001,AC$3,BD!$B$3:$B$5001,$A$5,BD!$P$3:$P$5001,"&lt;&gt;")=0,"",SUMIFS(BD!$P$3:$P$5001,BD!$A$3:$A$5001,AC$3,BD!$B$3:$B$5001,$A$5)))</f>
        <v/>
      </c>
      <c r="AD19" s="225" t="str">
        <f>IF(AD$3="","",IF(COUNTIFS(BD!$A$3:$A$5001,AD$3,BD!$B$3:$B$5001,$A$5,BD!$P$3:$P$5001,"&lt;&gt;")=0,"",SUMIFS(BD!$P$3:$P$5001,BD!$A$3:$A$5001,AD$3,BD!$B$3:$B$5001,$A$5)))</f>
        <v/>
      </c>
      <c r="AE19" s="225" t="str">
        <f>IF(AE$3="","",IF(COUNTIFS(BD!$A$3:$A$5001,AE$3,BD!$B$3:$B$5001,$A$5,BD!$P$3:$P$5001,"&lt;&gt;")=0,"",SUMIFS(BD!$P$3:$P$5001,BD!$A$3:$A$5001,AE$3,BD!$B$3:$B$5001,$A$5)))</f>
        <v/>
      </c>
      <c r="AF19" s="225" t="str">
        <f>IF(AF$3="","",IF(COUNTIFS(BD!$A$3:$A$5001,AF$3,BD!$B$3:$B$5001,$A$5,BD!$P$3:$P$5001,"&lt;&gt;")=0,"",SUMIFS(BD!$P$3:$P$5001,BD!$A$3:$A$5001,AF$3,BD!$B$3:$B$5001,$A$5)))</f>
        <v/>
      </c>
      <c r="AG19" s="225" t="str">
        <f>IF(AG$3="","",IF(COUNTIFS(BD!$A$3:$A$5001,AG$3,BD!$B$3:$B$5001,$A$5,BD!$P$3:$P$5001,"&lt;&gt;")=0,"",SUMIFS(BD!$P$3:$P$5001,BD!$A$3:$A$5001,AG$3,BD!$B$3:$B$5001,$A$5)))</f>
        <v/>
      </c>
      <c r="AH19" s="225" t="str">
        <f>IF(AH$3="","",IF(COUNTIFS(BD!$A$3:$A$5001,AH$3,BD!$B$3:$B$5001,$A$5,BD!$P$3:$P$5001,"&lt;&gt;")=0,"",SUMIFS(BD!$P$3:$P$5001,BD!$A$3:$A$5001,AH$3,BD!$B$3:$B$5001,$A$5)))</f>
        <v/>
      </c>
      <c r="AI19" s="225" t="str">
        <f>IF(AI$3="","",IF(COUNTIFS(BD!$A$3:$A$5001,AI$3,BD!$B$3:$B$5001,$A$5,BD!$P$3:$P$5001,"&lt;&gt;")=0,"",SUMIFS(BD!$P$3:$P$5001,BD!$A$3:$A$5001,AI$3,BD!$B$3:$B$5001,$A$5)))</f>
        <v/>
      </c>
      <c r="AJ19" s="226" t="str">
        <f>IF(AJ$3="","",IF(COUNTIFS(BD!$A$3:$A$5001,AJ$3,BD!$B$3:$B$5001,$A$5,BD!$P$3:$P$5001,"&lt;&gt;")=0,"",SUMIFS(BD!$P$3:$P$5001,BD!$A$3:$A$5001,AJ$3,BD!$B$3:$B$5001,$A$5)))</f>
        <v/>
      </c>
      <c r="AK19" s="227" t="str">
        <f>IF(COUNT(F19:AJ19)=0,"",SUM(F19:AJ19))</f>
        <v/>
      </c>
    </row>
    <row r="20" ht="15.75" customHeight="1">
      <c r="A20" s="247"/>
      <c r="B20" s="244"/>
      <c r="C20" s="221" t="inlineStr">
        <is>
          <t xml:space="preserve">Férias</t>
        </is>
      </c>
      <c r="D20" s="222" t="str">
        <f>IFERROR(1/(1/INDEX(BD!$Y$38:$AD$38,MATCH($A$5,BD!$Y$22:$AD$22,0))),"")</f>
        <v/>
      </c>
      <c r="E20" s="223"/>
      <c r="F20" s="224" t="str">
        <f>IF(F$3="","",IF(COUNTIFS(BD!$A$3:$A$5001,F$3,BD!$B$3:$B$5001,$A$5,BD!$Q$3:$Q$5001,"&lt;&gt;")=0,"",SUMIFS(BD!$Q$3:$Q$5001,BD!$A$3:$A$5001,F$3,BD!$B$3:$B$5001,$A$5)))</f>
        <v/>
      </c>
      <c r="G20" s="225" t="str">
        <f>IF(G$3="","",IF(COUNTIFS(BD!$A$3:$A$5001,G$3,BD!$B$3:$B$5001,$A$5,BD!$Q$3:$Q$5001,"&lt;&gt;")=0,"",SUMIFS(BD!$Q$3:$Q$5001,BD!$A$3:$A$5001,G$3,BD!$B$3:$B$5001,$A$5)))</f>
        <v/>
      </c>
      <c r="H20" s="225" t="str">
        <f>IF(H$3="","",IF(COUNTIFS(BD!$A$3:$A$5001,H$3,BD!$B$3:$B$5001,$A$5,BD!$Q$3:$Q$5001,"&lt;&gt;")=0,"",SUMIFS(BD!$Q$3:$Q$5001,BD!$A$3:$A$5001,H$3,BD!$B$3:$B$5001,$A$5)))</f>
        <v/>
      </c>
      <c r="I20" s="225" t="str">
        <f>IF(I$3="","",IF(COUNTIFS(BD!$A$3:$A$5001,I$3,BD!$B$3:$B$5001,$A$5,BD!$Q$3:$Q$5001,"&lt;&gt;")=0,"",SUMIFS(BD!$Q$3:$Q$5001,BD!$A$3:$A$5001,I$3,BD!$B$3:$B$5001,$A$5)))</f>
        <v/>
      </c>
      <c r="J20" s="225" t="str">
        <f>IF(J$3="","",IF(COUNTIFS(BD!$A$3:$A$5001,J$3,BD!$B$3:$B$5001,$A$5,BD!$Q$3:$Q$5001,"&lt;&gt;")=0,"",SUMIFS(BD!$Q$3:$Q$5001,BD!$A$3:$A$5001,J$3,BD!$B$3:$B$5001,$A$5)))</f>
        <v/>
      </c>
      <c r="K20" s="225" t="str">
        <f>IF(K$3="","",IF(COUNTIFS(BD!$A$3:$A$5001,K$3,BD!$B$3:$B$5001,$A$5,BD!$Q$3:$Q$5001,"&lt;&gt;")=0,"",SUMIFS(BD!$Q$3:$Q$5001,BD!$A$3:$A$5001,K$3,BD!$B$3:$B$5001,$A$5)))</f>
        <v/>
      </c>
      <c r="L20" s="225" t="str">
        <f>IF(L$3="","",IF(COUNTIFS(BD!$A$3:$A$5001,L$3,BD!$B$3:$B$5001,$A$5,BD!$Q$3:$Q$5001,"&lt;&gt;")=0,"",SUMIFS(BD!$Q$3:$Q$5001,BD!$A$3:$A$5001,L$3,BD!$B$3:$B$5001,$A$5)))</f>
        <v/>
      </c>
      <c r="M20" s="225" t="str">
        <f>IF(M$3="","",IF(COUNTIFS(BD!$A$3:$A$5001,M$3,BD!$B$3:$B$5001,$A$5,BD!$Q$3:$Q$5001,"&lt;&gt;")=0,"",SUMIFS(BD!$Q$3:$Q$5001,BD!$A$3:$A$5001,M$3,BD!$B$3:$B$5001,$A$5)))</f>
        <v/>
      </c>
      <c r="N20" s="225" t="str">
        <f>IF(N$3="","",IF(COUNTIFS(BD!$A$3:$A$5001,N$3,BD!$B$3:$B$5001,$A$5,BD!$Q$3:$Q$5001,"&lt;&gt;")=0,"",SUMIFS(BD!$Q$3:$Q$5001,BD!$A$3:$A$5001,N$3,BD!$B$3:$B$5001,$A$5)))</f>
        <v/>
      </c>
      <c r="O20" s="225" t="str">
        <f>IF(O$3="","",IF(COUNTIFS(BD!$A$3:$A$5001,O$3,BD!$B$3:$B$5001,$A$5,BD!$Q$3:$Q$5001,"&lt;&gt;")=0,"",SUMIFS(BD!$Q$3:$Q$5001,BD!$A$3:$A$5001,O$3,BD!$B$3:$B$5001,$A$5)))</f>
        <v/>
      </c>
      <c r="P20" s="225" t="str">
        <f>IF(P$3="","",IF(COUNTIFS(BD!$A$3:$A$5001,P$3,BD!$B$3:$B$5001,$A$5,BD!$Q$3:$Q$5001,"&lt;&gt;")=0,"",SUMIFS(BD!$Q$3:$Q$5001,BD!$A$3:$A$5001,P$3,BD!$B$3:$B$5001,$A$5)))</f>
        <v/>
      </c>
      <c r="Q20" s="225" t="str">
        <f>IF(Q$3="","",IF(COUNTIFS(BD!$A$3:$A$5001,Q$3,BD!$B$3:$B$5001,$A$5,BD!$Q$3:$Q$5001,"&lt;&gt;")=0,"",SUMIFS(BD!$Q$3:$Q$5001,BD!$A$3:$A$5001,Q$3,BD!$B$3:$B$5001,$A$5)))</f>
        <v/>
      </c>
      <c r="R20" s="225" t="str">
        <f>IF(R$3="","",IF(COUNTIFS(BD!$A$3:$A$5001,R$3,BD!$B$3:$B$5001,$A$5,BD!$Q$3:$Q$5001,"&lt;&gt;")=0,"",SUMIFS(BD!$Q$3:$Q$5001,BD!$A$3:$A$5001,R$3,BD!$B$3:$B$5001,$A$5)))</f>
        <v/>
      </c>
      <c r="S20" s="225" t="str">
        <f>IF(S$3="","",IF(COUNTIFS(BD!$A$3:$A$5001,S$3,BD!$B$3:$B$5001,$A$5,BD!$Q$3:$Q$5001,"&lt;&gt;")=0,"",SUMIFS(BD!$Q$3:$Q$5001,BD!$A$3:$A$5001,S$3,BD!$B$3:$B$5001,$A$5)))</f>
        <v/>
      </c>
      <c r="T20" s="225" t="str">
        <f>IF(T$3="","",IF(COUNTIFS(BD!$A$3:$A$5001,T$3,BD!$B$3:$B$5001,$A$5,BD!$Q$3:$Q$5001,"&lt;&gt;")=0,"",SUMIFS(BD!$Q$3:$Q$5001,BD!$A$3:$A$5001,T$3,BD!$B$3:$B$5001,$A$5)))</f>
        <v/>
      </c>
      <c r="U20" s="225" t="str">
        <f>IF(U$3="","",IF(COUNTIFS(BD!$A$3:$A$5001,U$3,BD!$B$3:$B$5001,$A$5,BD!$Q$3:$Q$5001,"&lt;&gt;")=0,"",SUMIFS(BD!$Q$3:$Q$5001,BD!$A$3:$A$5001,U$3,BD!$B$3:$B$5001,$A$5)))</f>
        <v/>
      </c>
      <c r="V20" s="225" t="str">
        <f>IF(V$3="","",IF(COUNTIFS(BD!$A$3:$A$5001,V$3,BD!$B$3:$B$5001,$A$5,BD!$Q$3:$Q$5001,"&lt;&gt;")=0,"",SUMIFS(BD!$Q$3:$Q$5001,BD!$A$3:$A$5001,V$3,BD!$B$3:$B$5001,$A$5)))</f>
        <v/>
      </c>
      <c r="W20" s="225" t="str">
        <f>IF(W$3="","",IF(COUNTIFS(BD!$A$3:$A$5001,W$3,BD!$B$3:$B$5001,$A$5,BD!$Q$3:$Q$5001,"&lt;&gt;")=0,"",SUMIFS(BD!$Q$3:$Q$5001,BD!$A$3:$A$5001,W$3,BD!$B$3:$B$5001,$A$5)))</f>
        <v/>
      </c>
      <c r="X20" s="225" t="str">
        <f>IF(X$3="","",IF(COUNTIFS(BD!$A$3:$A$5001,X$3,BD!$B$3:$B$5001,$A$5,BD!$Q$3:$Q$5001,"&lt;&gt;")=0,"",SUMIFS(BD!$Q$3:$Q$5001,BD!$A$3:$A$5001,X$3,BD!$B$3:$B$5001,$A$5)))</f>
        <v/>
      </c>
      <c r="Y20" s="225" t="str">
        <f>IF(Y$3="","",IF(COUNTIFS(BD!$A$3:$A$5001,Y$3,BD!$B$3:$B$5001,$A$5,BD!$Q$3:$Q$5001,"&lt;&gt;")=0,"",SUMIFS(BD!$Q$3:$Q$5001,BD!$A$3:$A$5001,Y$3,BD!$B$3:$B$5001,$A$5)))</f>
        <v/>
      </c>
      <c r="Z20" s="225" t="str">
        <f>IF(Z$3="","",IF(COUNTIFS(BD!$A$3:$A$5001,Z$3,BD!$B$3:$B$5001,$A$5,BD!$Q$3:$Q$5001,"&lt;&gt;")=0,"",SUMIFS(BD!$Q$3:$Q$5001,BD!$A$3:$A$5001,Z$3,BD!$B$3:$B$5001,$A$5)))</f>
        <v/>
      </c>
      <c r="AA20" s="225" t="str">
        <f>IF(AA$3="","",IF(COUNTIFS(BD!$A$3:$A$5001,AA$3,BD!$B$3:$B$5001,$A$5,BD!$Q$3:$Q$5001,"&lt;&gt;")=0,"",SUMIFS(BD!$Q$3:$Q$5001,BD!$A$3:$A$5001,AA$3,BD!$B$3:$B$5001,$A$5)))</f>
        <v/>
      </c>
      <c r="AB20" s="225" t="str">
        <f>IF(AB$3="","",IF(COUNTIFS(BD!$A$3:$A$5001,AB$3,BD!$B$3:$B$5001,$A$5,BD!$Q$3:$Q$5001,"&lt;&gt;")=0,"",SUMIFS(BD!$Q$3:$Q$5001,BD!$A$3:$A$5001,AB$3,BD!$B$3:$B$5001,$A$5)))</f>
        <v/>
      </c>
      <c r="AC20" s="225" t="str">
        <f>IF(AC$3="","",IF(COUNTIFS(BD!$A$3:$A$5001,AC$3,BD!$B$3:$B$5001,$A$5,BD!$Q$3:$Q$5001,"&lt;&gt;")=0,"",SUMIFS(BD!$Q$3:$Q$5001,BD!$A$3:$A$5001,AC$3,BD!$B$3:$B$5001,$A$5)))</f>
        <v/>
      </c>
      <c r="AD20" s="225" t="str">
        <f>IF(AD$3="","",IF(COUNTIFS(BD!$A$3:$A$5001,AD$3,BD!$B$3:$B$5001,$A$5,BD!$Q$3:$Q$5001,"&lt;&gt;")=0,"",SUMIFS(BD!$Q$3:$Q$5001,BD!$A$3:$A$5001,AD$3,BD!$B$3:$B$5001,$A$5)))</f>
        <v/>
      </c>
      <c r="AE20" s="225" t="str">
        <f>IF(AE$3="","",IF(COUNTIFS(BD!$A$3:$A$5001,AE$3,BD!$B$3:$B$5001,$A$5,BD!$Q$3:$Q$5001,"&lt;&gt;")=0,"",SUMIFS(BD!$Q$3:$Q$5001,BD!$A$3:$A$5001,AE$3,BD!$B$3:$B$5001,$A$5)))</f>
        <v/>
      </c>
      <c r="AF20" s="225" t="str">
        <f>IF(AF$3="","",IF(COUNTIFS(BD!$A$3:$A$5001,AF$3,BD!$B$3:$B$5001,$A$5,BD!$Q$3:$Q$5001,"&lt;&gt;")=0,"",SUMIFS(BD!$Q$3:$Q$5001,BD!$A$3:$A$5001,AF$3,BD!$B$3:$B$5001,$A$5)))</f>
        <v/>
      </c>
      <c r="AG20" s="225" t="str">
        <f>IF(AG$3="","",IF(COUNTIFS(BD!$A$3:$A$5001,AG$3,BD!$B$3:$B$5001,$A$5,BD!$Q$3:$Q$5001,"&lt;&gt;")=0,"",SUMIFS(BD!$Q$3:$Q$5001,BD!$A$3:$A$5001,AG$3,BD!$B$3:$B$5001,$A$5)))</f>
        <v/>
      </c>
      <c r="AH20" s="225" t="str">
        <f>IF(AH$3="","",IF(COUNTIFS(BD!$A$3:$A$5001,AH$3,BD!$B$3:$B$5001,$A$5,BD!$Q$3:$Q$5001,"&lt;&gt;")=0,"",SUMIFS(BD!$Q$3:$Q$5001,BD!$A$3:$A$5001,AH$3,BD!$B$3:$B$5001,$A$5)))</f>
        <v/>
      </c>
      <c r="AI20" s="225" t="str">
        <f>IF(AI$3="","",IF(COUNTIFS(BD!$A$3:$A$5001,AI$3,BD!$B$3:$B$5001,$A$5,BD!$Q$3:$Q$5001,"&lt;&gt;")=0,"",SUMIFS(BD!$Q$3:$Q$5001,BD!$A$3:$A$5001,AI$3,BD!$B$3:$B$5001,$A$5)))</f>
        <v/>
      </c>
      <c r="AJ20" s="226" t="str">
        <f>IF(AJ$3="","",IF(COUNTIFS(BD!$A$3:$A$5001,AJ$3,BD!$B$3:$B$5001,$A$5,BD!$Q$3:$Q$5001,"&lt;&gt;")=0,"",SUMIFS(BD!$Q$3:$Q$5001,BD!$A$3:$A$5001,AJ$3,BD!$B$3:$B$5001,$A$5)))</f>
        <v/>
      </c>
      <c r="AK20" s="227" t="str">
        <f>IF(COUNT(F20:AJ20)=0,"",SUM(F20:AJ20))</f>
        <v/>
      </c>
    </row>
    <row r="21" ht="15.75" customHeight="1">
      <c r="A21" s="247"/>
      <c r="B21" s="244"/>
      <c r="C21" s="221" t="inlineStr">
        <is>
          <t xml:space="preserve">Desligamento</t>
        </is>
      </c>
      <c r="D21" s="222" t="str">
        <f>IFERROR(1/(1/INDEX(BD!$Y$39:$AD$39,MATCH($A$5,BD!$Y$22:$AD$22,0))),"")</f>
        <v/>
      </c>
      <c r="E21" s="223"/>
      <c r="F21" s="224" t="str">
        <f>IF(F$3="","",IF(COUNTIFS(BD!$A$3:$A$5001,F$3,BD!$B$3:$B$5001,$A$5,BD!$R$3:$R$5001,"&lt;&gt;")=0,"",SUMIFS(BD!$R$3:$R$5001,BD!$A$3:$A$5001,F$3,BD!$B$3:$B$5001,$A$5)))</f>
        <v/>
      </c>
      <c r="G21" s="225" t="str">
        <f>IF(G$3="","",IF(COUNTIFS(BD!$A$3:$A$5001,G$3,BD!$B$3:$B$5001,$A$5,BD!$R$3:$R$5001,"&lt;&gt;")=0,"",SUMIFS(BD!$R$3:$R$5001,BD!$A$3:$A$5001,G$3,BD!$B$3:$B$5001,$A$5)))</f>
        <v/>
      </c>
      <c r="H21" s="225" t="str">
        <f>IF(H$3="","",IF(COUNTIFS(BD!$A$3:$A$5001,H$3,BD!$B$3:$B$5001,$A$5,BD!$R$3:$R$5001,"&lt;&gt;")=0,"",SUMIFS(BD!$R$3:$R$5001,BD!$A$3:$A$5001,H$3,BD!$B$3:$B$5001,$A$5)))</f>
        <v/>
      </c>
      <c r="I21" s="225" t="str">
        <f>IF(I$3="","",IF(COUNTIFS(BD!$A$3:$A$5001,I$3,BD!$B$3:$B$5001,$A$5,BD!$R$3:$R$5001,"&lt;&gt;")=0,"",SUMIFS(BD!$R$3:$R$5001,BD!$A$3:$A$5001,I$3,BD!$B$3:$B$5001,$A$5)))</f>
        <v/>
      </c>
      <c r="J21" s="225" t="str">
        <f>IF(J$3="","",IF(COUNTIFS(BD!$A$3:$A$5001,J$3,BD!$B$3:$B$5001,$A$5,BD!$R$3:$R$5001,"&lt;&gt;")=0,"",SUMIFS(BD!$R$3:$R$5001,BD!$A$3:$A$5001,J$3,BD!$B$3:$B$5001,$A$5)))</f>
        <v/>
      </c>
      <c r="K21" s="225" t="str">
        <f>IF(K$3="","",IF(COUNTIFS(BD!$A$3:$A$5001,K$3,BD!$B$3:$B$5001,$A$5,BD!$R$3:$R$5001,"&lt;&gt;")=0,"",SUMIFS(BD!$R$3:$R$5001,BD!$A$3:$A$5001,K$3,BD!$B$3:$B$5001,$A$5)))</f>
        <v/>
      </c>
      <c r="L21" s="225" t="str">
        <f>IF(L$3="","",IF(COUNTIFS(BD!$A$3:$A$5001,L$3,BD!$B$3:$B$5001,$A$5,BD!$R$3:$R$5001,"&lt;&gt;")=0,"",SUMIFS(BD!$R$3:$R$5001,BD!$A$3:$A$5001,L$3,BD!$B$3:$B$5001,$A$5)))</f>
        <v/>
      </c>
      <c r="M21" s="225" t="str">
        <f>IF(M$3="","",IF(COUNTIFS(BD!$A$3:$A$5001,M$3,BD!$B$3:$B$5001,$A$5,BD!$R$3:$R$5001,"&lt;&gt;")=0,"",SUMIFS(BD!$R$3:$R$5001,BD!$A$3:$A$5001,M$3,BD!$B$3:$B$5001,$A$5)))</f>
        <v/>
      </c>
      <c r="N21" s="225" t="str">
        <f>IF(N$3="","",IF(COUNTIFS(BD!$A$3:$A$5001,N$3,BD!$B$3:$B$5001,$A$5,BD!$R$3:$R$5001,"&lt;&gt;")=0,"",SUMIFS(BD!$R$3:$R$5001,BD!$A$3:$A$5001,N$3,BD!$B$3:$B$5001,$A$5)))</f>
        <v/>
      </c>
      <c r="O21" s="225" t="str">
        <f>IF(O$3="","",IF(COUNTIFS(BD!$A$3:$A$5001,O$3,BD!$B$3:$B$5001,$A$5,BD!$R$3:$R$5001,"&lt;&gt;")=0,"",SUMIFS(BD!$R$3:$R$5001,BD!$A$3:$A$5001,O$3,BD!$B$3:$B$5001,$A$5)))</f>
        <v/>
      </c>
      <c r="P21" s="225" t="str">
        <f>IF(P$3="","",IF(COUNTIFS(BD!$A$3:$A$5001,P$3,BD!$B$3:$B$5001,$A$5,BD!$R$3:$R$5001,"&lt;&gt;")=0,"",SUMIFS(BD!$R$3:$R$5001,BD!$A$3:$A$5001,P$3,BD!$B$3:$B$5001,$A$5)))</f>
        <v/>
      </c>
      <c r="Q21" s="225" t="str">
        <f>IF(Q$3="","",IF(COUNTIFS(BD!$A$3:$A$5001,Q$3,BD!$B$3:$B$5001,$A$5,BD!$R$3:$R$5001,"&lt;&gt;")=0,"",SUMIFS(BD!$R$3:$R$5001,BD!$A$3:$A$5001,Q$3,BD!$B$3:$B$5001,$A$5)))</f>
        <v/>
      </c>
      <c r="R21" s="225" t="str">
        <f>IF(R$3="","",IF(COUNTIFS(BD!$A$3:$A$5001,R$3,BD!$B$3:$B$5001,$A$5,BD!$R$3:$R$5001,"&lt;&gt;")=0,"",SUMIFS(BD!$R$3:$R$5001,BD!$A$3:$A$5001,R$3,BD!$B$3:$B$5001,$A$5)))</f>
        <v/>
      </c>
      <c r="S21" s="225" t="str">
        <f>IF(S$3="","",IF(COUNTIFS(BD!$A$3:$A$5001,S$3,BD!$B$3:$B$5001,$A$5,BD!$R$3:$R$5001,"&lt;&gt;")=0,"",SUMIFS(BD!$R$3:$R$5001,BD!$A$3:$A$5001,S$3,BD!$B$3:$B$5001,$A$5)))</f>
        <v/>
      </c>
      <c r="T21" s="225" t="str">
        <f>IF(T$3="","",IF(COUNTIFS(BD!$A$3:$A$5001,T$3,BD!$B$3:$B$5001,$A$5,BD!$R$3:$R$5001,"&lt;&gt;")=0,"",SUMIFS(BD!$R$3:$R$5001,BD!$A$3:$A$5001,T$3,BD!$B$3:$B$5001,$A$5)))</f>
        <v/>
      </c>
      <c r="U21" s="225" t="str">
        <f>IF(U$3="","",IF(COUNTIFS(BD!$A$3:$A$5001,U$3,BD!$B$3:$B$5001,$A$5,BD!$R$3:$R$5001,"&lt;&gt;")=0,"",SUMIFS(BD!$R$3:$R$5001,BD!$A$3:$A$5001,U$3,BD!$B$3:$B$5001,$A$5)))</f>
        <v/>
      </c>
      <c r="V21" s="225" t="str">
        <f>IF(V$3="","",IF(COUNTIFS(BD!$A$3:$A$5001,V$3,BD!$B$3:$B$5001,$A$5,BD!$R$3:$R$5001,"&lt;&gt;")=0,"",SUMIFS(BD!$R$3:$R$5001,BD!$A$3:$A$5001,V$3,BD!$B$3:$B$5001,$A$5)))</f>
        <v/>
      </c>
      <c r="W21" s="225" t="str">
        <f>IF(W$3="","",IF(COUNTIFS(BD!$A$3:$A$5001,W$3,BD!$B$3:$B$5001,$A$5,BD!$R$3:$R$5001,"&lt;&gt;")=0,"",SUMIFS(BD!$R$3:$R$5001,BD!$A$3:$A$5001,W$3,BD!$B$3:$B$5001,$A$5)))</f>
        <v/>
      </c>
      <c r="X21" s="225" t="str">
        <f>IF(X$3="","",IF(COUNTIFS(BD!$A$3:$A$5001,X$3,BD!$B$3:$B$5001,$A$5,BD!$R$3:$R$5001,"&lt;&gt;")=0,"",SUMIFS(BD!$R$3:$R$5001,BD!$A$3:$A$5001,X$3,BD!$B$3:$B$5001,$A$5)))</f>
        <v/>
      </c>
      <c r="Y21" s="225" t="str">
        <f>IF(Y$3="","",IF(COUNTIFS(BD!$A$3:$A$5001,Y$3,BD!$B$3:$B$5001,$A$5,BD!$R$3:$R$5001,"&lt;&gt;")=0,"",SUMIFS(BD!$R$3:$R$5001,BD!$A$3:$A$5001,Y$3,BD!$B$3:$B$5001,$A$5)))</f>
        <v/>
      </c>
      <c r="Z21" s="225" t="str">
        <f>IF(Z$3="","",IF(COUNTIFS(BD!$A$3:$A$5001,Z$3,BD!$B$3:$B$5001,$A$5,BD!$R$3:$R$5001,"&lt;&gt;")=0,"",SUMIFS(BD!$R$3:$R$5001,BD!$A$3:$A$5001,Z$3,BD!$B$3:$B$5001,$A$5)))</f>
        <v/>
      </c>
      <c r="AA21" s="225" t="str">
        <f>IF(AA$3="","",IF(COUNTIFS(BD!$A$3:$A$5001,AA$3,BD!$B$3:$B$5001,$A$5,BD!$R$3:$R$5001,"&lt;&gt;")=0,"",SUMIFS(BD!$R$3:$R$5001,BD!$A$3:$A$5001,AA$3,BD!$B$3:$B$5001,$A$5)))</f>
        <v/>
      </c>
      <c r="AB21" s="225" t="str">
        <f>IF(AB$3="","",IF(COUNTIFS(BD!$A$3:$A$5001,AB$3,BD!$B$3:$B$5001,$A$5,BD!$R$3:$R$5001,"&lt;&gt;")=0,"",SUMIFS(BD!$R$3:$R$5001,BD!$A$3:$A$5001,AB$3,BD!$B$3:$B$5001,$A$5)))</f>
        <v/>
      </c>
      <c r="AC21" s="225" t="str">
        <f>IF(AC$3="","",IF(COUNTIFS(BD!$A$3:$A$5001,AC$3,BD!$B$3:$B$5001,$A$5,BD!$R$3:$R$5001,"&lt;&gt;")=0,"",SUMIFS(BD!$R$3:$R$5001,BD!$A$3:$A$5001,AC$3,BD!$B$3:$B$5001,$A$5)))</f>
        <v/>
      </c>
      <c r="AD21" s="225" t="str">
        <f>IF(AD$3="","",IF(COUNTIFS(BD!$A$3:$A$5001,AD$3,BD!$B$3:$B$5001,$A$5,BD!$R$3:$R$5001,"&lt;&gt;")=0,"",SUMIFS(BD!$R$3:$R$5001,BD!$A$3:$A$5001,AD$3,BD!$B$3:$B$5001,$A$5)))</f>
        <v/>
      </c>
      <c r="AE21" s="225" t="str">
        <f>IF(AE$3="","",IF(COUNTIFS(BD!$A$3:$A$5001,AE$3,BD!$B$3:$B$5001,$A$5,BD!$R$3:$R$5001,"&lt;&gt;")=0,"",SUMIFS(BD!$R$3:$R$5001,BD!$A$3:$A$5001,AE$3,BD!$B$3:$B$5001,$A$5)))</f>
        <v/>
      </c>
      <c r="AF21" s="225" t="str">
        <f>IF(AF$3="","",IF(COUNTIFS(BD!$A$3:$A$5001,AF$3,BD!$B$3:$B$5001,$A$5,BD!$R$3:$R$5001,"&lt;&gt;")=0,"",SUMIFS(BD!$R$3:$R$5001,BD!$A$3:$A$5001,AF$3,BD!$B$3:$B$5001,$A$5)))</f>
        <v/>
      </c>
      <c r="AG21" s="225" t="str">
        <f>IF(AG$3="","",IF(COUNTIFS(BD!$A$3:$A$5001,AG$3,BD!$B$3:$B$5001,$A$5,BD!$R$3:$R$5001,"&lt;&gt;")=0,"",SUMIFS(BD!$R$3:$R$5001,BD!$A$3:$A$5001,AG$3,BD!$B$3:$B$5001,$A$5)))</f>
        <v/>
      </c>
      <c r="AH21" s="225" t="str">
        <f>IF(AH$3="","",IF(COUNTIFS(BD!$A$3:$A$5001,AH$3,BD!$B$3:$B$5001,$A$5,BD!$R$3:$R$5001,"&lt;&gt;")=0,"",SUMIFS(BD!$R$3:$R$5001,BD!$A$3:$A$5001,AH$3,BD!$B$3:$B$5001,$A$5)))</f>
        <v/>
      </c>
      <c r="AI21" s="225" t="str">
        <f>IF(AI$3="","",IF(COUNTIFS(BD!$A$3:$A$5001,AI$3,BD!$B$3:$B$5001,$A$5,BD!$R$3:$R$5001,"&lt;&gt;")=0,"",SUMIFS(BD!$R$3:$R$5001,BD!$A$3:$A$5001,AI$3,BD!$B$3:$B$5001,$A$5)))</f>
        <v/>
      </c>
      <c r="AJ21" s="226" t="str">
        <f>IF(AJ$3="","",IF(COUNTIFS(BD!$A$3:$A$5001,AJ$3,BD!$B$3:$B$5001,$A$5,BD!$R$3:$R$5001,"&lt;&gt;")=0,"",SUMIFS(BD!$R$3:$R$5001,BD!$A$3:$A$5001,AJ$3,BD!$B$3:$B$5001,$A$5)))</f>
        <v/>
      </c>
      <c r="AK21" s="227" t="str">
        <f>IF(COUNT(F21:AJ21)=0,"",SUM(F21:AJ21))</f>
        <v/>
      </c>
    </row>
    <row r="22" ht="15.75" customHeight="1">
      <c r="A22" s="247"/>
      <c r="B22" s="244"/>
      <c r="C22" s="221" t="inlineStr">
        <is>
          <t xml:space="preserve">Desvios Comportamentais</t>
        </is>
      </c>
      <c r="D22" s="222" t="str">
        <f>IFERROR(1/(1/INDEX(BD!$Y$40:$AD$40,MATCH($A$5,BD!$Y$22:$AD$22,0))),"")</f>
        <v/>
      </c>
      <c r="E22" s="223"/>
      <c r="F22" s="224" t="str">
        <f>IF(F$3="","",IF(COUNTIFS(BD!$A$3:$A$5001,F$3,BD!$B$3:$B$5001,$A$5,BD!$S$3:$S$5001,"&lt;&gt;")=0,"",SUMIFS(BD!$S$3:$S$5001,BD!$A$3:$A$5001,F$3,BD!$B$3:$B$5001,$A$5)))</f>
        <v/>
      </c>
      <c r="G22" s="225" t="str">
        <f>IF(G$3="","",IF(COUNTIFS(BD!$A$3:$A$5001,G$3,BD!$B$3:$B$5001,$A$5,BD!$S$3:$S$5001,"&lt;&gt;")=0,"",SUMIFS(BD!$S$3:$S$5001,BD!$A$3:$A$5001,G$3,BD!$B$3:$B$5001,$A$5)))</f>
        <v/>
      </c>
      <c r="H22" s="225" t="str">
        <f>IF(H$3="","",IF(COUNTIFS(BD!$A$3:$A$5001,H$3,BD!$B$3:$B$5001,$A$5,BD!$S$3:$S$5001,"&lt;&gt;")=0,"",SUMIFS(BD!$S$3:$S$5001,BD!$A$3:$A$5001,H$3,BD!$B$3:$B$5001,$A$5)))</f>
        <v/>
      </c>
      <c r="I22" s="225" t="str">
        <f>IF(I$3="","",IF(COUNTIFS(BD!$A$3:$A$5001,I$3,BD!$B$3:$B$5001,$A$5,BD!$S$3:$S$5001,"&lt;&gt;")=0,"",SUMIFS(BD!$S$3:$S$5001,BD!$A$3:$A$5001,I$3,BD!$B$3:$B$5001,$A$5)))</f>
        <v/>
      </c>
      <c r="J22" s="225" t="str">
        <f>IF(J$3="","",IF(COUNTIFS(BD!$A$3:$A$5001,J$3,BD!$B$3:$B$5001,$A$5,BD!$S$3:$S$5001,"&lt;&gt;")=0,"",SUMIFS(BD!$S$3:$S$5001,BD!$A$3:$A$5001,J$3,BD!$B$3:$B$5001,$A$5)))</f>
        <v/>
      </c>
      <c r="K22" s="225" t="str">
        <f>IF(K$3="","",IF(COUNTIFS(BD!$A$3:$A$5001,K$3,BD!$B$3:$B$5001,$A$5,BD!$S$3:$S$5001,"&lt;&gt;")=0,"",SUMIFS(BD!$S$3:$S$5001,BD!$A$3:$A$5001,K$3,BD!$B$3:$B$5001,$A$5)))</f>
        <v/>
      </c>
      <c r="L22" s="225" t="str">
        <f>IF(L$3="","",IF(COUNTIFS(BD!$A$3:$A$5001,L$3,BD!$B$3:$B$5001,$A$5,BD!$S$3:$S$5001,"&lt;&gt;")=0,"",SUMIFS(BD!$S$3:$S$5001,BD!$A$3:$A$5001,L$3,BD!$B$3:$B$5001,$A$5)))</f>
        <v/>
      </c>
      <c r="M22" s="225" t="str">
        <f>IF(M$3="","",IF(COUNTIFS(BD!$A$3:$A$5001,M$3,BD!$B$3:$B$5001,$A$5,BD!$S$3:$S$5001,"&lt;&gt;")=0,"",SUMIFS(BD!$S$3:$S$5001,BD!$A$3:$A$5001,M$3,BD!$B$3:$B$5001,$A$5)))</f>
        <v/>
      </c>
      <c r="N22" s="225" t="str">
        <f>IF(N$3="","",IF(COUNTIFS(BD!$A$3:$A$5001,N$3,BD!$B$3:$B$5001,$A$5,BD!$S$3:$S$5001,"&lt;&gt;")=0,"",SUMIFS(BD!$S$3:$S$5001,BD!$A$3:$A$5001,N$3,BD!$B$3:$B$5001,$A$5)))</f>
        <v/>
      </c>
      <c r="O22" s="225" t="str">
        <f>IF(O$3="","",IF(COUNTIFS(BD!$A$3:$A$5001,O$3,BD!$B$3:$B$5001,$A$5,BD!$S$3:$S$5001,"&lt;&gt;")=0,"",SUMIFS(BD!$S$3:$S$5001,BD!$A$3:$A$5001,O$3,BD!$B$3:$B$5001,$A$5)))</f>
        <v/>
      </c>
      <c r="P22" s="225" t="str">
        <f>IF(P$3="","",IF(COUNTIFS(BD!$A$3:$A$5001,P$3,BD!$B$3:$B$5001,$A$5,BD!$S$3:$S$5001,"&lt;&gt;")=0,"",SUMIFS(BD!$S$3:$S$5001,BD!$A$3:$A$5001,P$3,BD!$B$3:$B$5001,$A$5)))</f>
        <v/>
      </c>
      <c r="Q22" s="225" t="str">
        <f>IF(Q$3="","",IF(COUNTIFS(BD!$A$3:$A$5001,Q$3,BD!$B$3:$B$5001,$A$5,BD!$S$3:$S$5001,"&lt;&gt;")=0,"",SUMIFS(BD!$S$3:$S$5001,BD!$A$3:$A$5001,Q$3,BD!$B$3:$B$5001,$A$5)))</f>
        <v/>
      </c>
      <c r="R22" s="225" t="str">
        <f>IF(R$3="","",IF(COUNTIFS(BD!$A$3:$A$5001,R$3,BD!$B$3:$B$5001,$A$5,BD!$S$3:$S$5001,"&lt;&gt;")=0,"",SUMIFS(BD!$S$3:$S$5001,BD!$A$3:$A$5001,R$3,BD!$B$3:$B$5001,$A$5)))</f>
        <v/>
      </c>
      <c r="S22" s="225" t="str">
        <f>IF(S$3="","",IF(COUNTIFS(BD!$A$3:$A$5001,S$3,BD!$B$3:$B$5001,$A$5,BD!$S$3:$S$5001,"&lt;&gt;")=0,"",SUMIFS(BD!$S$3:$S$5001,BD!$A$3:$A$5001,S$3,BD!$B$3:$B$5001,$A$5)))</f>
        <v/>
      </c>
      <c r="T22" s="225" t="str">
        <f>IF(T$3="","",IF(COUNTIFS(BD!$A$3:$A$5001,T$3,BD!$B$3:$B$5001,$A$5,BD!$S$3:$S$5001,"&lt;&gt;")=0,"",SUMIFS(BD!$S$3:$S$5001,BD!$A$3:$A$5001,T$3,BD!$B$3:$B$5001,$A$5)))</f>
        <v/>
      </c>
      <c r="U22" s="225" t="str">
        <f>IF(U$3="","",IF(COUNTIFS(BD!$A$3:$A$5001,U$3,BD!$B$3:$B$5001,$A$5,BD!$S$3:$S$5001,"&lt;&gt;")=0,"",SUMIFS(BD!$S$3:$S$5001,BD!$A$3:$A$5001,U$3,BD!$B$3:$B$5001,$A$5)))</f>
        <v/>
      </c>
      <c r="V22" s="225" t="str">
        <f>IF(V$3="","",IF(COUNTIFS(BD!$A$3:$A$5001,V$3,BD!$B$3:$B$5001,$A$5,BD!$S$3:$S$5001,"&lt;&gt;")=0,"",SUMIFS(BD!$S$3:$S$5001,BD!$A$3:$A$5001,V$3,BD!$B$3:$B$5001,$A$5)))</f>
        <v/>
      </c>
      <c r="W22" s="225" t="str">
        <f>IF(W$3="","",IF(COUNTIFS(BD!$A$3:$A$5001,W$3,BD!$B$3:$B$5001,$A$5,BD!$S$3:$S$5001,"&lt;&gt;")=0,"",SUMIFS(BD!$S$3:$S$5001,BD!$A$3:$A$5001,W$3,BD!$B$3:$B$5001,$A$5)))</f>
        <v/>
      </c>
      <c r="X22" s="225" t="str">
        <f>IF(X$3="","",IF(COUNTIFS(BD!$A$3:$A$5001,X$3,BD!$B$3:$B$5001,$A$5,BD!$S$3:$S$5001,"&lt;&gt;")=0,"",SUMIFS(BD!$S$3:$S$5001,BD!$A$3:$A$5001,X$3,BD!$B$3:$B$5001,$A$5)))</f>
        <v/>
      </c>
      <c r="Y22" s="225" t="str">
        <f>IF(Y$3="","",IF(COUNTIFS(BD!$A$3:$A$5001,Y$3,BD!$B$3:$B$5001,$A$5,BD!$S$3:$S$5001,"&lt;&gt;")=0,"",SUMIFS(BD!$S$3:$S$5001,BD!$A$3:$A$5001,Y$3,BD!$B$3:$B$5001,$A$5)))</f>
        <v/>
      </c>
      <c r="Z22" s="225" t="str">
        <f>IF(Z$3="","",IF(COUNTIFS(BD!$A$3:$A$5001,Z$3,BD!$B$3:$B$5001,$A$5,BD!$S$3:$S$5001,"&lt;&gt;")=0,"",SUMIFS(BD!$S$3:$S$5001,BD!$A$3:$A$5001,Z$3,BD!$B$3:$B$5001,$A$5)))</f>
        <v/>
      </c>
      <c r="AA22" s="225" t="str">
        <f>IF(AA$3="","",IF(COUNTIFS(BD!$A$3:$A$5001,AA$3,BD!$B$3:$B$5001,$A$5,BD!$S$3:$S$5001,"&lt;&gt;")=0,"",SUMIFS(BD!$S$3:$S$5001,BD!$A$3:$A$5001,AA$3,BD!$B$3:$B$5001,$A$5)))</f>
        <v/>
      </c>
      <c r="AB22" s="225" t="str">
        <f>IF(AB$3="","",IF(COUNTIFS(BD!$A$3:$A$5001,AB$3,BD!$B$3:$B$5001,$A$5,BD!$S$3:$S$5001,"&lt;&gt;")=0,"",SUMIFS(BD!$S$3:$S$5001,BD!$A$3:$A$5001,AB$3,BD!$B$3:$B$5001,$A$5)))</f>
        <v/>
      </c>
      <c r="AC22" s="225" t="str">
        <f>IF(AC$3="","",IF(COUNTIFS(BD!$A$3:$A$5001,AC$3,BD!$B$3:$B$5001,$A$5,BD!$S$3:$S$5001,"&lt;&gt;")=0,"",SUMIFS(BD!$S$3:$S$5001,BD!$A$3:$A$5001,AC$3,BD!$B$3:$B$5001,$A$5)))</f>
        <v/>
      </c>
      <c r="AD22" s="225" t="str">
        <f>IF(AD$3="","",IF(COUNTIFS(BD!$A$3:$A$5001,AD$3,BD!$B$3:$B$5001,$A$5,BD!$S$3:$S$5001,"&lt;&gt;")=0,"",SUMIFS(BD!$S$3:$S$5001,BD!$A$3:$A$5001,AD$3,BD!$B$3:$B$5001,$A$5)))</f>
        <v/>
      </c>
      <c r="AE22" s="225" t="str">
        <f>IF(AE$3="","",IF(COUNTIFS(BD!$A$3:$A$5001,AE$3,BD!$B$3:$B$5001,$A$5,BD!$S$3:$S$5001,"&lt;&gt;")=0,"",SUMIFS(BD!$S$3:$S$5001,BD!$A$3:$A$5001,AE$3,BD!$B$3:$B$5001,$A$5)))</f>
        <v/>
      </c>
      <c r="AF22" s="225" t="str">
        <f>IF(AF$3="","",IF(COUNTIFS(BD!$A$3:$A$5001,AF$3,BD!$B$3:$B$5001,$A$5,BD!$S$3:$S$5001,"&lt;&gt;")=0,"",SUMIFS(BD!$S$3:$S$5001,BD!$A$3:$A$5001,AF$3,BD!$B$3:$B$5001,$A$5)))</f>
        <v/>
      </c>
      <c r="AG22" s="225" t="str">
        <f>IF(AG$3="","",IF(COUNTIFS(BD!$A$3:$A$5001,AG$3,BD!$B$3:$B$5001,$A$5,BD!$S$3:$S$5001,"&lt;&gt;")=0,"",SUMIFS(BD!$S$3:$S$5001,BD!$A$3:$A$5001,AG$3,BD!$B$3:$B$5001,$A$5)))</f>
        <v/>
      </c>
      <c r="AH22" s="225" t="str">
        <f>IF(AH$3="","",IF(COUNTIFS(BD!$A$3:$A$5001,AH$3,BD!$B$3:$B$5001,$A$5,BD!$S$3:$S$5001,"&lt;&gt;")=0,"",SUMIFS(BD!$S$3:$S$5001,BD!$A$3:$A$5001,AH$3,BD!$B$3:$B$5001,$A$5)))</f>
        <v/>
      </c>
      <c r="AI22" s="225" t="str">
        <f>IF(AI$3="","",IF(COUNTIFS(BD!$A$3:$A$5001,AI$3,BD!$B$3:$B$5001,$A$5,BD!$S$3:$S$5001,"&lt;&gt;")=0,"",SUMIFS(BD!$S$3:$S$5001,BD!$A$3:$A$5001,AI$3,BD!$B$3:$B$5001,$A$5)))</f>
        <v/>
      </c>
      <c r="AJ22" s="226" t="str">
        <f>IF(AJ$3="","",IF(COUNTIFS(BD!$A$3:$A$5001,AJ$3,BD!$B$3:$B$5001,$A$5,BD!$S$3:$S$5001,"&lt;&gt;")=0,"",SUMIFS(BD!$S$3:$S$5001,BD!$A$3:$A$5001,AJ$3,BD!$B$3:$B$5001,$A$5)))</f>
        <v/>
      </c>
      <c r="AK22" s="227" t="str">
        <f>IF(COUNT(F22:AJ22)=0,"",SUM(F22:AJ22))</f>
        <v/>
      </c>
    </row>
    <row r="23" ht="15.75" customHeight="1">
      <c r="A23" s="247"/>
      <c r="B23" s="244"/>
      <c r="C23" s="221" t="inlineStr">
        <is>
          <t xml:space="preserve">Acidentes CAF</t>
        </is>
      </c>
      <c r="D23" s="222" t="str">
        <f>IFERROR(1/(1/INDEX(BD!$Y$41:$AD$41,MATCH($A$5,BD!$Y$22:$AD$22,0))),"")</f>
        <v/>
      </c>
      <c r="E23" s="223"/>
      <c r="F23" s="224" t="str">
        <f>IF(F$3="","",IF(COUNTIFS(BD!$A$3:$A$5001,F$3,BD!$B$3:$B$5001,$A$5,BD!$T$3:$T$5001,"&lt;&gt;")=0,"",SUMIFS(BD!$T$3:$T$5001,BD!$A$3:$A$5001,F$3,BD!$B$3:$B$5001,$A$5)))</f>
        <v/>
      </c>
      <c r="G23" s="225" t="str">
        <f>IF(G$3="","",IF(COUNTIFS(BD!$A$3:$A$5001,G$3,BD!$B$3:$B$5001,$A$5,BD!$T$3:$T$5001,"&lt;&gt;")=0,"",SUMIFS(BD!$T$3:$T$5001,BD!$A$3:$A$5001,G$3,BD!$B$3:$B$5001,$A$5)))</f>
        <v/>
      </c>
      <c r="H23" s="225" t="str">
        <f>IF(H$3="","",IF(COUNTIFS(BD!$A$3:$A$5001,H$3,BD!$B$3:$B$5001,$A$5,BD!$T$3:$T$5001,"&lt;&gt;")=0,"",SUMIFS(BD!$T$3:$T$5001,BD!$A$3:$A$5001,H$3,BD!$B$3:$B$5001,$A$5)))</f>
        <v/>
      </c>
      <c r="I23" s="225" t="str">
        <f>IF(I$3="","",IF(COUNTIFS(BD!$A$3:$A$5001,I$3,BD!$B$3:$B$5001,$A$5,BD!$T$3:$T$5001,"&lt;&gt;")=0,"",SUMIFS(BD!$T$3:$T$5001,BD!$A$3:$A$5001,I$3,BD!$B$3:$B$5001,$A$5)))</f>
        <v/>
      </c>
      <c r="J23" s="225" t="str">
        <f>IF(J$3="","",IF(COUNTIFS(BD!$A$3:$A$5001,J$3,BD!$B$3:$B$5001,$A$5,BD!$T$3:$T$5001,"&lt;&gt;")=0,"",SUMIFS(BD!$T$3:$T$5001,BD!$A$3:$A$5001,J$3,BD!$B$3:$B$5001,$A$5)))</f>
        <v/>
      </c>
      <c r="K23" s="225" t="str">
        <f>IF(K$3="","",IF(COUNTIFS(BD!$A$3:$A$5001,K$3,BD!$B$3:$B$5001,$A$5,BD!$T$3:$T$5001,"&lt;&gt;")=0,"",SUMIFS(BD!$T$3:$T$5001,BD!$A$3:$A$5001,K$3,BD!$B$3:$B$5001,$A$5)))</f>
        <v/>
      </c>
      <c r="L23" s="225" t="str">
        <f>IF(L$3="","",IF(COUNTIFS(BD!$A$3:$A$5001,L$3,BD!$B$3:$B$5001,$A$5,BD!$T$3:$T$5001,"&lt;&gt;")=0,"",SUMIFS(BD!$T$3:$T$5001,BD!$A$3:$A$5001,L$3,BD!$B$3:$B$5001,$A$5)))</f>
        <v/>
      </c>
      <c r="M23" s="225" t="str">
        <f>IF(M$3="","",IF(COUNTIFS(BD!$A$3:$A$5001,M$3,BD!$B$3:$B$5001,$A$5,BD!$T$3:$T$5001,"&lt;&gt;")=0,"",SUMIFS(BD!$T$3:$T$5001,BD!$A$3:$A$5001,M$3,BD!$B$3:$B$5001,$A$5)))</f>
        <v/>
      </c>
      <c r="N23" s="225" t="str">
        <f>IF(N$3="","",IF(COUNTIFS(BD!$A$3:$A$5001,N$3,BD!$B$3:$B$5001,$A$5,BD!$T$3:$T$5001,"&lt;&gt;")=0,"",SUMIFS(BD!$T$3:$T$5001,BD!$A$3:$A$5001,N$3,BD!$B$3:$B$5001,$A$5)))</f>
        <v/>
      </c>
      <c r="O23" s="225" t="str">
        <f>IF(O$3="","",IF(COUNTIFS(BD!$A$3:$A$5001,O$3,BD!$B$3:$B$5001,$A$5,BD!$T$3:$T$5001,"&lt;&gt;")=0,"",SUMIFS(BD!$T$3:$T$5001,BD!$A$3:$A$5001,O$3,BD!$B$3:$B$5001,$A$5)))</f>
        <v/>
      </c>
      <c r="P23" s="225" t="str">
        <f>IF(P$3="","",IF(COUNTIFS(BD!$A$3:$A$5001,P$3,BD!$B$3:$B$5001,$A$5,BD!$T$3:$T$5001,"&lt;&gt;")=0,"",SUMIFS(BD!$T$3:$T$5001,BD!$A$3:$A$5001,P$3,BD!$B$3:$B$5001,$A$5)))</f>
        <v/>
      </c>
      <c r="Q23" s="225" t="str">
        <f>IF(Q$3="","",IF(COUNTIFS(BD!$A$3:$A$5001,Q$3,BD!$B$3:$B$5001,$A$5,BD!$T$3:$T$5001,"&lt;&gt;")=0,"",SUMIFS(BD!$T$3:$T$5001,BD!$A$3:$A$5001,Q$3,BD!$B$3:$B$5001,$A$5)))</f>
        <v/>
      </c>
      <c r="R23" s="225" t="str">
        <f>IF(R$3="","",IF(COUNTIFS(BD!$A$3:$A$5001,R$3,BD!$B$3:$B$5001,$A$5,BD!$T$3:$T$5001,"&lt;&gt;")=0,"",SUMIFS(BD!$T$3:$T$5001,BD!$A$3:$A$5001,R$3,BD!$B$3:$B$5001,$A$5)))</f>
        <v/>
      </c>
      <c r="S23" s="225" t="str">
        <f>IF(S$3="","",IF(COUNTIFS(BD!$A$3:$A$5001,S$3,BD!$B$3:$B$5001,$A$5,BD!$T$3:$T$5001,"&lt;&gt;")=0,"",SUMIFS(BD!$T$3:$T$5001,BD!$A$3:$A$5001,S$3,BD!$B$3:$B$5001,$A$5)))</f>
        <v/>
      </c>
      <c r="T23" s="225" t="str">
        <f>IF(T$3="","",IF(COUNTIFS(BD!$A$3:$A$5001,T$3,BD!$B$3:$B$5001,$A$5,BD!$T$3:$T$5001,"&lt;&gt;")=0,"",SUMIFS(BD!$T$3:$T$5001,BD!$A$3:$A$5001,T$3,BD!$B$3:$B$5001,$A$5)))</f>
        <v/>
      </c>
      <c r="U23" s="225" t="str">
        <f>IF(U$3="","",IF(COUNTIFS(BD!$A$3:$A$5001,U$3,BD!$B$3:$B$5001,$A$5,BD!$T$3:$T$5001,"&lt;&gt;")=0,"",SUMIFS(BD!$T$3:$T$5001,BD!$A$3:$A$5001,U$3,BD!$B$3:$B$5001,$A$5)))</f>
        <v/>
      </c>
      <c r="V23" s="225" t="str">
        <f>IF(V$3="","",IF(COUNTIFS(BD!$A$3:$A$5001,V$3,BD!$B$3:$B$5001,$A$5,BD!$T$3:$T$5001,"&lt;&gt;")=0,"",SUMIFS(BD!$T$3:$T$5001,BD!$A$3:$A$5001,V$3,BD!$B$3:$B$5001,$A$5)))</f>
        <v/>
      </c>
      <c r="W23" s="225" t="str">
        <f>IF(W$3="","",IF(COUNTIFS(BD!$A$3:$A$5001,W$3,BD!$B$3:$B$5001,$A$5,BD!$T$3:$T$5001,"&lt;&gt;")=0,"",SUMIFS(BD!$T$3:$T$5001,BD!$A$3:$A$5001,W$3,BD!$B$3:$B$5001,$A$5)))</f>
        <v/>
      </c>
      <c r="X23" s="225" t="str">
        <f>IF(X$3="","",IF(COUNTIFS(BD!$A$3:$A$5001,X$3,BD!$B$3:$B$5001,$A$5,BD!$T$3:$T$5001,"&lt;&gt;")=0,"",SUMIFS(BD!$T$3:$T$5001,BD!$A$3:$A$5001,X$3,BD!$B$3:$B$5001,$A$5)))</f>
        <v/>
      </c>
      <c r="Y23" s="225" t="str">
        <f>IF(Y$3="","",IF(COUNTIFS(BD!$A$3:$A$5001,Y$3,BD!$B$3:$B$5001,$A$5,BD!$T$3:$T$5001,"&lt;&gt;")=0,"",SUMIFS(BD!$T$3:$T$5001,BD!$A$3:$A$5001,Y$3,BD!$B$3:$B$5001,$A$5)))</f>
        <v/>
      </c>
      <c r="Z23" s="225" t="str">
        <f>IF(Z$3="","",IF(COUNTIFS(BD!$A$3:$A$5001,Z$3,BD!$B$3:$B$5001,$A$5,BD!$T$3:$T$5001,"&lt;&gt;")=0,"",SUMIFS(BD!$T$3:$T$5001,BD!$A$3:$A$5001,Z$3,BD!$B$3:$B$5001,$A$5)))</f>
        <v/>
      </c>
      <c r="AA23" s="225" t="str">
        <f>IF(AA$3="","",IF(COUNTIFS(BD!$A$3:$A$5001,AA$3,BD!$B$3:$B$5001,$A$5,BD!$T$3:$T$5001,"&lt;&gt;")=0,"",SUMIFS(BD!$T$3:$T$5001,BD!$A$3:$A$5001,AA$3,BD!$B$3:$B$5001,$A$5)))</f>
        <v/>
      </c>
      <c r="AB23" s="225" t="str">
        <f>IF(AB$3="","",IF(COUNTIFS(BD!$A$3:$A$5001,AB$3,BD!$B$3:$B$5001,$A$5,BD!$T$3:$T$5001,"&lt;&gt;")=0,"",SUMIFS(BD!$T$3:$T$5001,BD!$A$3:$A$5001,AB$3,BD!$B$3:$B$5001,$A$5)))</f>
        <v/>
      </c>
      <c r="AC23" s="225" t="str">
        <f>IF(AC$3="","",IF(COUNTIFS(BD!$A$3:$A$5001,AC$3,BD!$B$3:$B$5001,$A$5,BD!$T$3:$T$5001,"&lt;&gt;")=0,"",SUMIFS(BD!$T$3:$T$5001,BD!$A$3:$A$5001,AC$3,BD!$B$3:$B$5001,$A$5)))</f>
        <v/>
      </c>
      <c r="AD23" s="225" t="str">
        <f>IF(AD$3="","",IF(COUNTIFS(BD!$A$3:$A$5001,AD$3,BD!$B$3:$B$5001,$A$5,BD!$T$3:$T$5001,"&lt;&gt;")=0,"",SUMIFS(BD!$T$3:$T$5001,BD!$A$3:$A$5001,AD$3,BD!$B$3:$B$5001,$A$5)))</f>
        <v/>
      </c>
      <c r="AE23" s="225" t="str">
        <f>IF(AE$3="","",IF(COUNTIFS(BD!$A$3:$A$5001,AE$3,BD!$B$3:$B$5001,$A$5,BD!$T$3:$T$5001,"&lt;&gt;")=0,"",SUMIFS(BD!$T$3:$T$5001,BD!$A$3:$A$5001,AE$3,BD!$B$3:$B$5001,$A$5)))</f>
        <v/>
      </c>
      <c r="AF23" s="225" t="str">
        <f>IF(AF$3="","",IF(COUNTIFS(BD!$A$3:$A$5001,AF$3,BD!$B$3:$B$5001,$A$5,BD!$T$3:$T$5001,"&lt;&gt;")=0,"",SUMIFS(BD!$T$3:$T$5001,BD!$A$3:$A$5001,AF$3,BD!$B$3:$B$5001,$A$5)))</f>
        <v/>
      </c>
      <c r="AG23" s="225" t="str">
        <f>IF(AG$3="","",IF(COUNTIFS(BD!$A$3:$A$5001,AG$3,BD!$B$3:$B$5001,$A$5,BD!$T$3:$T$5001,"&lt;&gt;")=0,"",SUMIFS(BD!$T$3:$T$5001,BD!$A$3:$A$5001,AG$3,BD!$B$3:$B$5001,$A$5)))</f>
        <v/>
      </c>
      <c r="AH23" s="225" t="str">
        <f>IF(AH$3="","",IF(COUNTIFS(BD!$A$3:$A$5001,AH$3,BD!$B$3:$B$5001,$A$5,BD!$T$3:$T$5001,"&lt;&gt;")=0,"",SUMIFS(BD!$T$3:$T$5001,BD!$A$3:$A$5001,AH$3,BD!$B$3:$B$5001,$A$5)))</f>
        <v/>
      </c>
      <c r="AI23" s="225" t="str">
        <f>IF(AI$3="","",IF(COUNTIFS(BD!$A$3:$A$5001,AI$3,BD!$B$3:$B$5001,$A$5,BD!$T$3:$T$5001,"&lt;&gt;")=0,"",SUMIFS(BD!$T$3:$T$5001,BD!$A$3:$A$5001,AI$3,BD!$B$3:$B$5001,$A$5)))</f>
        <v/>
      </c>
      <c r="AJ23" s="226" t="str">
        <f>IF(AJ$3="","",IF(COUNTIFS(BD!$A$3:$A$5001,AJ$3,BD!$B$3:$B$5001,$A$5,BD!$T$3:$T$5001,"&lt;&gt;")=0,"",SUMIFS(BD!$T$3:$T$5001,BD!$A$3:$A$5001,AJ$3,BD!$B$3:$B$5001,$A$5)))</f>
        <v/>
      </c>
      <c r="AK23" s="227" t="str">
        <f>IF(COUNT(F23:AJ23)=0,"",SUM(F23:AJ23))</f>
        <v/>
      </c>
    </row>
    <row r="24" ht="15.75" customHeight="1">
      <c r="A24" s="248"/>
      <c r="B24" s="245"/>
      <c r="C24" s="228" t="inlineStr">
        <is>
          <t xml:space="preserve">Acidentes SAF</t>
        </is>
      </c>
      <c r="D24" s="229" t="str">
        <f>IFERROR(1/(1/INDEX(BD!$Y$42:$AD$42,MATCH($A$5,BD!$Y$22:$AD$22,0))),"")</f>
        <v/>
      </c>
      <c r="E24" s="230"/>
      <c r="F24" s="231" t="str">
        <f>IF(F$3="","",IF(COUNTIFS(BD!$A$3:$A$5001,F$3,BD!$B$3:$B$5001,$A$5,BD!$U$3:$U$5001,"&lt;&gt;")=0,"",SUMIFS(BD!$U$3:$U$5001,BD!$A$3:$A$5001,F$3,BD!$B$3:$B$5001,$A$5)))</f>
        <v/>
      </c>
      <c r="G24" s="232" t="str">
        <f>IF(G$3="","",IF(COUNTIFS(BD!$A$3:$A$5001,G$3,BD!$B$3:$B$5001,$A$5,BD!$U$3:$U$5001,"&lt;&gt;")=0,"",SUMIFS(BD!$U$3:$U$5001,BD!$A$3:$A$5001,G$3,BD!$B$3:$B$5001,$A$5)))</f>
        <v/>
      </c>
      <c r="H24" s="232" t="str">
        <f>IF(H$3="","",IF(COUNTIFS(BD!$A$3:$A$5001,H$3,BD!$B$3:$B$5001,$A$5,BD!$U$3:$U$5001,"&lt;&gt;")=0,"",SUMIFS(BD!$U$3:$U$5001,BD!$A$3:$A$5001,H$3,BD!$B$3:$B$5001,$A$5)))</f>
        <v/>
      </c>
      <c r="I24" s="232" t="str">
        <f>IF(I$3="","",IF(COUNTIFS(BD!$A$3:$A$5001,I$3,BD!$B$3:$B$5001,$A$5,BD!$U$3:$U$5001,"&lt;&gt;")=0,"",SUMIFS(BD!$U$3:$U$5001,BD!$A$3:$A$5001,I$3,BD!$B$3:$B$5001,$A$5)))</f>
        <v/>
      </c>
      <c r="J24" s="232" t="str">
        <f>IF(J$3="","",IF(COUNTIFS(BD!$A$3:$A$5001,J$3,BD!$B$3:$B$5001,$A$5,BD!$U$3:$U$5001,"&lt;&gt;")=0,"",SUMIFS(BD!$U$3:$U$5001,BD!$A$3:$A$5001,J$3,BD!$B$3:$B$5001,$A$5)))</f>
        <v/>
      </c>
      <c r="K24" s="232" t="str">
        <f>IF(K$3="","",IF(COUNTIFS(BD!$A$3:$A$5001,K$3,BD!$B$3:$B$5001,$A$5,BD!$U$3:$U$5001,"&lt;&gt;")=0,"",SUMIFS(BD!$U$3:$U$5001,BD!$A$3:$A$5001,K$3,BD!$B$3:$B$5001,$A$5)))</f>
        <v/>
      </c>
      <c r="L24" s="232" t="str">
        <f>IF(L$3="","",IF(COUNTIFS(BD!$A$3:$A$5001,L$3,BD!$B$3:$B$5001,$A$5,BD!$U$3:$U$5001,"&lt;&gt;")=0,"",SUMIFS(BD!$U$3:$U$5001,BD!$A$3:$A$5001,L$3,BD!$B$3:$B$5001,$A$5)))</f>
        <v/>
      </c>
      <c r="M24" s="232" t="str">
        <f>IF(M$3="","",IF(COUNTIFS(BD!$A$3:$A$5001,M$3,BD!$B$3:$B$5001,$A$5,BD!$U$3:$U$5001,"&lt;&gt;")=0,"",SUMIFS(BD!$U$3:$U$5001,BD!$A$3:$A$5001,M$3,BD!$B$3:$B$5001,$A$5)))</f>
        <v/>
      </c>
      <c r="N24" s="232" t="str">
        <f>IF(N$3="","",IF(COUNTIFS(BD!$A$3:$A$5001,N$3,BD!$B$3:$B$5001,$A$5,BD!$U$3:$U$5001,"&lt;&gt;")=0,"",SUMIFS(BD!$U$3:$U$5001,BD!$A$3:$A$5001,N$3,BD!$B$3:$B$5001,$A$5)))</f>
        <v/>
      </c>
      <c r="O24" s="232" t="str">
        <f>IF(O$3="","",IF(COUNTIFS(BD!$A$3:$A$5001,O$3,BD!$B$3:$B$5001,$A$5,BD!$U$3:$U$5001,"&lt;&gt;")=0,"",SUMIFS(BD!$U$3:$U$5001,BD!$A$3:$A$5001,O$3,BD!$B$3:$B$5001,$A$5)))</f>
        <v/>
      </c>
      <c r="P24" s="232" t="str">
        <f>IF(P$3="","",IF(COUNTIFS(BD!$A$3:$A$5001,P$3,BD!$B$3:$B$5001,$A$5,BD!$U$3:$U$5001,"&lt;&gt;")=0,"",SUMIFS(BD!$U$3:$U$5001,BD!$A$3:$A$5001,P$3,BD!$B$3:$B$5001,$A$5)))</f>
        <v/>
      </c>
      <c r="Q24" s="232" t="str">
        <f>IF(Q$3="","",IF(COUNTIFS(BD!$A$3:$A$5001,Q$3,BD!$B$3:$B$5001,$A$5,BD!$U$3:$U$5001,"&lt;&gt;")=0,"",SUMIFS(BD!$U$3:$U$5001,BD!$A$3:$A$5001,Q$3,BD!$B$3:$B$5001,$A$5)))</f>
        <v/>
      </c>
      <c r="R24" s="232" t="str">
        <f>IF(R$3="","",IF(COUNTIFS(BD!$A$3:$A$5001,R$3,BD!$B$3:$B$5001,$A$5,BD!$U$3:$U$5001,"&lt;&gt;")=0,"",SUMIFS(BD!$U$3:$U$5001,BD!$A$3:$A$5001,R$3,BD!$B$3:$B$5001,$A$5)))</f>
        <v/>
      </c>
      <c r="S24" s="232" t="str">
        <f>IF(S$3="","",IF(COUNTIFS(BD!$A$3:$A$5001,S$3,BD!$B$3:$B$5001,$A$5,BD!$U$3:$U$5001,"&lt;&gt;")=0,"",SUMIFS(BD!$U$3:$U$5001,BD!$A$3:$A$5001,S$3,BD!$B$3:$B$5001,$A$5)))</f>
        <v/>
      </c>
      <c r="T24" s="232" t="str">
        <f>IF(T$3="","",IF(COUNTIFS(BD!$A$3:$A$5001,T$3,BD!$B$3:$B$5001,$A$5,BD!$U$3:$U$5001,"&lt;&gt;")=0,"",SUMIFS(BD!$U$3:$U$5001,BD!$A$3:$A$5001,T$3,BD!$B$3:$B$5001,$A$5)))</f>
        <v/>
      </c>
      <c r="U24" s="232" t="str">
        <f>IF(U$3="","",IF(COUNTIFS(BD!$A$3:$A$5001,U$3,BD!$B$3:$B$5001,$A$5,BD!$U$3:$U$5001,"&lt;&gt;")=0,"",SUMIFS(BD!$U$3:$U$5001,BD!$A$3:$A$5001,U$3,BD!$B$3:$B$5001,$A$5)))</f>
        <v/>
      </c>
      <c r="V24" s="232" t="str">
        <f>IF(V$3="","",IF(COUNTIFS(BD!$A$3:$A$5001,V$3,BD!$B$3:$B$5001,$A$5,BD!$U$3:$U$5001,"&lt;&gt;")=0,"",SUMIFS(BD!$U$3:$U$5001,BD!$A$3:$A$5001,V$3,BD!$B$3:$B$5001,$A$5)))</f>
        <v/>
      </c>
      <c r="W24" s="232" t="str">
        <f>IF(W$3="","",IF(COUNTIFS(BD!$A$3:$A$5001,W$3,BD!$B$3:$B$5001,$A$5,BD!$U$3:$U$5001,"&lt;&gt;")=0,"",SUMIFS(BD!$U$3:$U$5001,BD!$A$3:$A$5001,W$3,BD!$B$3:$B$5001,$A$5)))</f>
        <v/>
      </c>
      <c r="X24" s="232" t="str">
        <f>IF(X$3="","",IF(COUNTIFS(BD!$A$3:$A$5001,X$3,BD!$B$3:$B$5001,$A$5,BD!$U$3:$U$5001,"&lt;&gt;")=0,"",SUMIFS(BD!$U$3:$U$5001,BD!$A$3:$A$5001,X$3,BD!$B$3:$B$5001,$A$5)))</f>
        <v/>
      </c>
      <c r="Y24" s="232" t="str">
        <f>IF(Y$3="","",IF(COUNTIFS(BD!$A$3:$A$5001,Y$3,BD!$B$3:$B$5001,$A$5,BD!$U$3:$U$5001,"&lt;&gt;")=0,"",SUMIFS(BD!$U$3:$U$5001,BD!$A$3:$A$5001,Y$3,BD!$B$3:$B$5001,$A$5)))</f>
        <v/>
      </c>
      <c r="Z24" s="232" t="str">
        <f>IF(Z$3="","",IF(COUNTIFS(BD!$A$3:$A$5001,Z$3,BD!$B$3:$B$5001,$A$5,BD!$U$3:$U$5001,"&lt;&gt;")=0,"",SUMIFS(BD!$U$3:$U$5001,BD!$A$3:$A$5001,Z$3,BD!$B$3:$B$5001,$A$5)))</f>
        <v/>
      </c>
      <c r="AA24" s="232" t="str">
        <f>IF(AA$3="","",IF(COUNTIFS(BD!$A$3:$A$5001,AA$3,BD!$B$3:$B$5001,$A$5,BD!$U$3:$U$5001,"&lt;&gt;")=0,"",SUMIFS(BD!$U$3:$U$5001,BD!$A$3:$A$5001,AA$3,BD!$B$3:$B$5001,$A$5)))</f>
        <v/>
      </c>
      <c r="AB24" s="232" t="str">
        <f>IF(AB$3="","",IF(COUNTIFS(BD!$A$3:$A$5001,AB$3,BD!$B$3:$B$5001,$A$5,BD!$U$3:$U$5001,"&lt;&gt;")=0,"",SUMIFS(BD!$U$3:$U$5001,BD!$A$3:$A$5001,AB$3,BD!$B$3:$B$5001,$A$5)))</f>
        <v/>
      </c>
      <c r="AC24" s="232" t="str">
        <f>IF(AC$3="","",IF(COUNTIFS(BD!$A$3:$A$5001,AC$3,BD!$B$3:$B$5001,$A$5,BD!$U$3:$U$5001,"&lt;&gt;")=0,"",SUMIFS(BD!$U$3:$U$5001,BD!$A$3:$A$5001,AC$3,BD!$B$3:$B$5001,$A$5)))</f>
        <v/>
      </c>
      <c r="AD24" s="232" t="str">
        <f>IF(AD$3="","",IF(COUNTIFS(BD!$A$3:$A$5001,AD$3,BD!$B$3:$B$5001,$A$5,BD!$U$3:$U$5001,"&lt;&gt;")=0,"",SUMIFS(BD!$U$3:$U$5001,BD!$A$3:$A$5001,AD$3,BD!$B$3:$B$5001,$A$5)))</f>
        <v/>
      </c>
      <c r="AE24" s="232" t="str">
        <f>IF(AE$3="","",IF(COUNTIFS(BD!$A$3:$A$5001,AE$3,BD!$B$3:$B$5001,$A$5,BD!$U$3:$U$5001,"&lt;&gt;")=0,"",SUMIFS(BD!$U$3:$U$5001,BD!$A$3:$A$5001,AE$3,BD!$B$3:$B$5001,$A$5)))</f>
        <v/>
      </c>
      <c r="AF24" s="232" t="str">
        <f>IF(AF$3="","",IF(COUNTIFS(BD!$A$3:$A$5001,AF$3,BD!$B$3:$B$5001,$A$5,BD!$U$3:$U$5001,"&lt;&gt;")=0,"",SUMIFS(BD!$U$3:$U$5001,BD!$A$3:$A$5001,AF$3,BD!$B$3:$B$5001,$A$5)))</f>
        <v/>
      </c>
      <c r="AG24" s="232" t="str">
        <f>IF(AG$3="","",IF(COUNTIFS(BD!$A$3:$A$5001,AG$3,BD!$B$3:$B$5001,$A$5,BD!$U$3:$U$5001,"&lt;&gt;")=0,"",SUMIFS(BD!$U$3:$U$5001,BD!$A$3:$A$5001,AG$3,BD!$B$3:$B$5001,$A$5)))</f>
        <v/>
      </c>
      <c r="AH24" s="232" t="str">
        <f>IF(AH$3="","",IF(COUNTIFS(BD!$A$3:$A$5001,AH$3,BD!$B$3:$B$5001,$A$5,BD!$U$3:$U$5001,"&lt;&gt;")=0,"",SUMIFS(BD!$U$3:$U$5001,BD!$A$3:$A$5001,AH$3,BD!$B$3:$B$5001,$A$5)))</f>
        <v/>
      </c>
      <c r="AI24" s="232" t="str">
        <f>IF(AI$3="","",IF(COUNTIFS(BD!$A$3:$A$5001,AI$3,BD!$B$3:$B$5001,$A$5,BD!$U$3:$U$5001,"&lt;&gt;")=0,"",SUMIFS(BD!$U$3:$U$5001,BD!$A$3:$A$5001,AI$3,BD!$B$3:$B$5001,$A$5)))</f>
        <v/>
      </c>
      <c r="AJ24" s="233" t="str">
        <f>IF(AJ$3="","",IF(COUNTIFS(BD!$A$3:$A$5001,AJ$3,BD!$B$3:$B$5001,$A$5,BD!$U$3:$U$5001,"&lt;&gt;")=0,"",SUMIFS(BD!$U$3:$U$5001,BD!$A$3:$A$5001,AJ$3,BD!$B$3:$B$5001,$A$5)))</f>
        <v/>
      </c>
      <c r="AK24" s="229" t="str">
        <f>IF(COUNT(F24:AJ24)=0,"",SUM(F24:AJ24))</f>
        <v/>
      </c>
    </row>
    <row r="26" ht="15.75" customHeight="1">
      <c r="A26" s="246" t="inlineStr">
        <is>
          <t xml:space="preserve">GM</t>
        </is>
      </c>
      <c r="B26" s="237" t="inlineStr">
        <is>
          <t xml:space="preserve">OUT</t>
        </is>
      </c>
      <c r="C26" s="169" t="inlineStr">
        <is>
          <t xml:space="preserve">Veículos Expedidos</t>
        </is>
      </c>
      <c r="D26" s="170" t="str">
        <f>IFERROR(1/(1/INDEX(BD!$Y$26:$AD$26,MATCH($A$26,BD!$Y$22:$AD$22,0))),"")</f>
        <v/>
      </c>
      <c r="E26" s="171"/>
      <c r="F26" s="172" t="str">
        <f>IF(F$3="","",IF(COUNTIFS(BD!$A$3:$A$5001,F$3,BD!$B$3:$B$5001,$A$26,BD!$F$3:$F$5001,"&lt;&gt;")=0,"",SUMIFS(BD!$F$3:$F$5001,BD!$A$3:$A$5001,F$3,BD!$B$3:$B$5001,$A$26)))</f>
        <v/>
      </c>
      <c r="G26" s="173" t="str">
        <f>IF(G$3="","",IF(COUNTIFS(BD!$A$3:$A$5001,G$3,BD!$B$3:$B$5001,$A$26,BD!$F$3:$F$5001,"&lt;&gt;")=0,"",SUMIFS(BD!$F$3:$F$5001,BD!$A$3:$A$5001,G$3,BD!$B$3:$B$5001,$A$26)))</f>
        <v/>
      </c>
      <c r="H26" s="173" t="str">
        <f>IF(H$3="","",IF(COUNTIFS(BD!$A$3:$A$5001,H$3,BD!$B$3:$B$5001,$A$26,BD!$F$3:$F$5001,"&lt;&gt;")=0,"",SUMIFS(BD!$F$3:$F$5001,BD!$A$3:$A$5001,H$3,BD!$B$3:$B$5001,$A$26)))</f>
        <v/>
      </c>
      <c r="I26" s="173" t="str">
        <f>IF(I$3="","",IF(COUNTIFS(BD!$A$3:$A$5001,I$3,BD!$B$3:$B$5001,$A$26,BD!$F$3:$F$5001,"&lt;&gt;")=0,"",SUMIFS(BD!$F$3:$F$5001,BD!$A$3:$A$5001,I$3,BD!$B$3:$B$5001,$A$26)))</f>
        <v/>
      </c>
      <c r="J26" s="173" t="str">
        <f>IF(J$3="","",IF(COUNTIFS(BD!$A$3:$A$5001,J$3,BD!$B$3:$B$5001,$A$26,BD!$F$3:$F$5001,"&lt;&gt;")=0,"",SUMIFS(BD!$F$3:$F$5001,BD!$A$3:$A$5001,J$3,BD!$B$3:$B$5001,$A$26)))</f>
        <v/>
      </c>
      <c r="K26" s="173" t="str">
        <f>IF(K$3="","",IF(COUNTIFS(BD!$A$3:$A$5001,K$3,BD!$B$3:$B$5001,$A$26,BD!$F$3:$F$5001,"&lt;&gt;")=0,"",SUMIFS(BD!$F$3:$F$5001,BD!$A$3:$A$5001,K$3,BD!$B$3:$B$5001,$A$26)))</f>
        <v/>
      </c>
      <c r="L26" s="173" t="str">
        <f>IF(L$3="","",IF(COUNTIFS(BD!$A$3:$A$5001,L$3,BD!$B$3:$B$5001,$A$26,BD!$F$3:$F$5001,"&lt;&gt;")=0,"",SUMIFS(BD!$F$3:$F$5001,BD!$A$3:$A$5001,L$3,BD!$B$3:$B$5001,$A$26)))</f>
        <v/>
      </c>
      <c r="M26" s="173" t="str">
        <f>IF(M$3="","",IF(COUNTIFS(BD!$A$3:$A$5001,M$3,BD!$B$3:$B$5001,$A$26,BD!$F$3:$F$5001,"&lt;&gt;")=0,"",SUMIFS(BD!$F$3:$F$5001,BD!$A$3:$A$5001,M$3,BD!$B$3:$B$5001,$A$26)))</f>
        <v/>
      </c>
      <c r="N26" s="173" t="str">
        <f>IF(N$3="","",IF(COUNTIFS(BD!$A$3:$A$5001,N$3,BD!$B$3:$B$5001,$A$26,BD!$F$3:$F$5001,"&lt;&gt;")=0,"",SUMIFS(BD!$F$3:$F$5001,BD!$A$3:$A$5001,N$3,BD!$B$3:$B$5001,$A$26)))</f>
        <v/>
      </c>
      <c r="O26" s="173" t="str">
        <f>IF(O$3="","",IF(COUNTIFS(BD!$A$3:$A$5001,O$3,BD!$B$3:$B$5001,$A$26,BD!$F$3:$F$5001,"&lt;&gt;")=0,"",SUMIFS(BD!$F$3:$F$5001,BD!$A$3:$A$5001,O$3,BD!$B$3:$B$5001,$A$26)))</f>
        <v/>
      </c>
      <c r="P26" s="173" t="str">
        <f>IF(P$3="","",IF(COUNTIFS(BD!$A$3:$A$5001,P$3,BD!$B$3:$B$5001,$A$26,BD!$F$3:$F$5001,"&lt;&gt;")=0,"",SUMIFS(BD!$F$3:$F$5001,BD!$A$3:$A$5001,P$3,BD!$B$3:$B$5001,$A$26)))</f>
        <v/>
      </c>
      <c r="Q26" s="173" t="str">
        <f>IF(Q$3="","",IF(COUNTIFS(BD!$A$3:$A$5001,Q$3,BD!$B$3:$B$5001,$A$26,BD!$F$3:$F$5001,"&lt;&gt;")=0,"",SUMIFS(BD!$F$3:$F$5001,BD!$A$3:$A$5001,Q$3,BD!$B$3:$B$5001,$A$26)))</f>
        <v/>
      </c>
      <c r="R26" s="173" t="str">
        <f>IF(R$3="","",IF(COUNTIFS(BD!$A$3:$A$5001,R$3,BD!$B$3:$B$5001,$A$26,BD!$F$3:$F$5001,"&lt;&gt;")=0,"",SUMIFS(BD!$F$3:$F$5001,BD!$A$3:$A$5001,R$3,BD!$B$3:$B$5001,$A$26)))</f>
        <v/>
      </c>
      <c r="S26" s="173" t="str">
        <f>IF(S$3="","",IF(COUNTIFS(BD!$A$3:$A$5001,S$3,BD!$B$3:$B$5001,$A$26,BD!$F$3:$F$5001,"&lt;&gt;")=0,"",SUMIFS(BD!$F$3:$F$5001,BD!$A$3:$A$5001,S$3,BD!$B$3:$B$5001,$A$26)))</f>
        <v/>
      </c>
      <c r="T26" s="173" t="str">
        <f>IF(T$3="","",IF(COUNTIFS(BD!$A$3:$A$5001,T$3,BD!$B$3:$B$5001,$A$26,BD!$F$3:$F$5001,"&lt;&gt;")=0,"",SUMIFS(BD!$F$3:$F$5001,BD!$A$3:$A$5001,T$3,BD!$B$3:$B$5001,$A$26)))</f>
        <v/>
      </c>
      <c r="U26" s="173" t="str">
        <f>IF(U$3="","",IF(COUNTIFS(BD!$A$3:$A$5001,U$3,BD!$B$3:$B$5001,$A$26,BD!$F$3:$F$5001,"&lt;&gt;")=0,"",SUMIFS(BD!$F$3:$F$5001,BD!$A$3:$A$5001,U$3,BD!$B$3:$B$5001,$A$26)))</f>
        <v/>
      </c>
      <c r="V26" s="173" t="str">
        <f>IF(V$3="","",IF(COUNTIFS(BD!$A$3:$A$5001,V$3,BD!$B$3:$B$5001,$A$26,BD!$F$3:$F$5001,"&lt;&gt;")=0,"",SUMIFS(BD!$F$3:$F$5001,BD!$A$3:$A$5001,V$3,BD!$B$3:$B$5001,$A$26)))</f>
        <v/>
      </c>
      <c r="W26" s="173" t="str">
        <f>IF(W$3="","",IF(COUNTIFS(BD!$A$3:$A$5001,W$3,BD!$B$3:$B$5001,$A$26,BD!$F$3:$F$5001,"&lt;&gt;")=0,"",SUMIFS(BD!$F$3:$F$5001,BD!$A$3:$A$5001,W$3,BD!$B$3:$B$5001,$A$26)))</f>
        <v/>
      </c>
      <c r="X26" s="173" t="str">
        <f>IF(X$3="","",IF(COUNTIFS(BD!$A$3:$A$5001,X$3,BD!$B$3:$B$5001,$A$26,BD!$F$3:$F$5001,"&lt;&gt;")=0,"",SUMIFS(BD!$F$3:$F$5001,BD!$A$3:$A$5001,X$3,BD!$B$3:$B$5001,$A$26)))</f>
        <v/>
      </c>
      <c r="Y26" s="173" t="str">
        <f>IF(Y$3="","",IF(COUNTIFS(BD!$A$3:$A$5001,Y$3,BD!$B$3:$B$5001,$A$26,BD!$F$3:$F$5001,"&lt;&gt;")=0,"",SUMIFS(BD!$F$3:$F$5001,BD!$A$3:$A$5001,Y$3,BD!$B$3:$B$5001,$A$26)))</f>
        <v/>
      </c>
      <c r="Z26" s="173" t="str">
        <f>IF(Z$3="","",IF(COUNTIFS(BD!$A$3:$A$5001,Z$3,BD!$B$3:$B$5001,$A$26,BD!$F$3:$F$5001,"&lt;&gt;")=0,"",SUMIFS(BD!$F$3:$F$5001,BD!$A$3:$A$5001,Z$3,BD!$B$3:$B$5001,$A$26)))</f>
        <v/>
      </c>
      <c r="AA26" s="173" t="str">
        <f>IF(AA$3="","",IF(COUNTIFS(BD!$A$3:$A$5001,AA$3,BD!$B$3:$B$5001,$A$26,BD!$F$3:$F$5001,"&lt;&gt;")=0,"",SUMIFS(BD!$F$3:$F$5001,BD!$A$3:$A$5001,AA$3,BD!$B$3:$B$5001,$A$26)))</f>
        <v/>
      </c>
      <c r="AB26" s="173" t="str">
        <f>IF(AB$3="","",IF(COUNTIFS(BD!$A$3:$A$5001,AB$3,BD!$B$3:$B$5001,$A$26,BD!$F$3:$F$5001,"&lt;&gt;")=0,"",SUMIFS(BD!$F$3:$F$5001,BD!$A$3:$A$5001,AB$3,BD!$B$3:$B$5001,$A$26)))</f>
        <v/>
      </c>
      <c r="AC26" s="173" t="str">
        <f>IF(AC$3="","",IF(COUNTIFS(BD!$A$3:$A$5001,AC$3,BD!$B$3:$B$5001,$A$26,BD!$F$3:$F$5001,"&lt;&gt;")=0,"",SUMIFS(BD!$F$3:$F$5001,BD!$A$3:$A$5001,AC$3,BD!$B$3:$B$5001,$A$26)))</f>
        <v/>
      </c>
      <c r="AD26" s="173" t="str">
        <f>IF(AD$3="","",IF(COUNTIFS(BD!$A$3:$A$5001,AD$3,BD!$B$3:$B$5001,$A$26,BD!$F$3:$F$5001,"&lt;&gt;")=0,"",SUMIFS(BD!$F$3:$F$5001,BD!$A$3:$A$5001,AD$3,BD!$B$3:$B$5001,$A$26)))</f>
        <v/>
      </c>
      <c r="AE26" s="173" t="str">
        <f>IF(AE$3="","",IF(COUNTIFS(BD!$A$3:$A$5001,AE$3,BD!$B$3:$B$5001,$A$26,BD!$F$3:$F$5001,"&lt;&gt;")=0,"",SUMIFS(BD!$F$3:$F$5001,BD!$A$3:$A$5001,AE$3,BD!$B$3:$B$5001,$A$26)))</f>
        <v/>
      </c>
      <c r="AF26" s="173" t="str">
        <f>IF(AF$3="","",IF(COUNTIFS(BD!$A$3:$A$5001,AF$3,BD!$B$3:$B$5001,$A$26,BD!$F$3:$F$5001,"&lt;&gt;")=0,"",SUMIFS(BD!$F$3:$F$5001,BD!$A$3:$A$5001,AF$3,BD!$B$3:$B$5001,$A$26)))</f>
        <v/>
      </c>
      <c r="AG26" s="173" t="str">
        <f>IF(AG$3="","",IF(COUNTIFS(BD!$A$3:$A$5001,AG$3,BD!$B$3:$B$5001,$A$26,BD!$F$3:$F$5001,"&lt;&gt;")=0,"",SUMIFS(BD!$F$3:$F$5001,BD!$A$3:$A$5001,AG$3,BD!$B$3:$B$5001,$A$26)))</f>
        <v/>
      </c>
      <c r="AH26" s="173" t="str">
        <f>IF(AH$3="","",IF(COUNTIFS(BD!$A$3:$A$5001,AH$3,BD!$B$3:$B$5001,$A$26,BD!$F$3:$F$5001,"&lt;&gt;")=0,"",SUMIFS(BD!$F$3:$F$5001,BD!$A$3:$A$5001,AH$3,BD!$B$3:$B$5001,$A$26)))</f>
        <v/>
      </c>
      <c r="AI26" s="173" t="str">
        <f>IF(AI$3="","",IF(COUNTIFS(BD!$A$3:$A$5001,AI$3,BD!$B$3:$B$5001,$A$26,BD!$F$3:$F$5001,"&lt;&gt;")=0,"",SUMIFS(BD!$F$3:$F$5001,BD!$A$3:$A$5001,AI$3,BD!$B$3:$B$5001,$A$26)))</f>
        <v/>
      </c>
      <c r="AJ26" s="174" t="str">
        <f>IF(AJ$3="","",IF(COUNTIFS(BD!$A$3:$A$5001,AJ$3,BD!$B$3:$B$5001,$A$26,BD!$F$3:$F$5001,"&lt;&gt;")=0,"",SUMIFS(BD!$F$3:$F$5001,BD!$A$3:$A$5001,AJ$3,BD!$B$3:$B$5001,$A$26)))</f>
        <v/>
      </c>
      <c r="AK26" s="175" t="str">
        <f>IF(COUNT(F26:AJ26)=0,"",SUM(F26:AJ26))</f>
        <v/>
      </c>
    </row>
    <row r="27" ht="15.75" customHeight="1">
      <c r="A27" s="247"/>
      <c r="B27" s="238"/>
      <c r="C27" s="176" t="inlineStr">
        <is>
          <t xml:space="preserve">Pallets Movimentados</t>
        </is>
      </c>
      <c r="D27" s="177" t="str">
        <f>IFERROR(1/(1/INDEX(BD!$Y$27:$AD$27,MATCH($A$26,BD!$Y$22:$AD$22,0))),"")</f>
        <v/>
      </c>
      <c r="E27" s="178"/>
      <c r="F27" s="179" t="str">
        <f>IF(F$3="","",IF(COUNTIFS(BD!$A$3:$A$5001,F$3,BD!$B$3:$B$5001,$A$26,BD!$G$3:$G$5001,"&lt;&gt;")=0,"",SUMIFS(BD!$G$3:$G$5001,BD!$A$3:$A$5001,F$3,BD!$B$3:$B$5001,$A$26)))</f>
        <v/>
      </c>
      <c r="G27" s="180" t="str">
        <f>IF(G$3="","",IF(COUNTIFS(BD!$A$3:$A$5001,G$3,BD!$B$3:$B$5001,$A$26,BD!$G$3:$G$5001,"&lt;&gt;")=0,"",SUMIFS(BD!$G$3:$G$5001,BD!$A$3:$A$5001,G$3,BD!$B$3:$B$5001,$A$26)))</f>
        <v/>
      </c>
      <c r="H27" s="180" t="str">
        <f>IF(H$3="","",IF(COUNTIFS(BD!$A$3:$A$5001,H$3,BD!$B$3:$B$5001,$A$26,BD!$G$3:$G$5001,"&lt;&gt;")=0,"",SUMIFS(BD!$G$3:$G$5001,BD!$A$3:$A$5001,H$3,BD!$B$3:$B$5001,$A$26)))</f>
        <v/>
      </c>
      <c r="I27" s="180" t="str">
        <f>IF(I$3="","",IF(COUNTIFS(BD!$A$3:$A$5001,I$3,BD!$B$3:$B$5001,$A$26,BD!$G$3:$G$5001,"&lt;&gt;")=0,"",SUMIFS(BD!$G$3:$G$5001,BD!$A$3:$A$5001,I$3,BD!$B$3:$B$5001,$A$26)))</f>
        <v/>
      </c>
      <c r="J27" s="180" t="str">
        <f>IF(J$3="","",IF(COUNTIFS(BD!$A$3:$A$5001,J$3,BD!$B$3:$B$5001,$A$26,BD!$G$3:$G$5001,"&lt;&gt;")=0,"",SUMIFS(BD!$G$3:$G$5001,BD!$A$3:$A$5001,J$3,BD!$B$3:$B$5001,$A$26)))</f>
        <v/>
      </c>
      <c r="K27" s="180" t="str">
        <f>IF(K$3="","",IF(COUNTIFS(BD!$A$3:$A$5001,K$3,BD!$B$3:$B$5001,$A$26,BD!$G$3:$G$5001,"&lt;&gt;")=0,"",SUMIFS(BD!$G$3:$G$5001,BD!$A$3:$A$5001,K$3,BD!$B$3:$B$5001,$A$26)))</f>
        <v/>
      </c>
      <c r="L27" s="180" t="str">
        <f>IF(L$3="","",IF(COUNTIFS(BD!$A$3:$A$5001,L$3,BD!$B$3:$B$5001,$A$26,BD!$G$3:$G$5001,"&lt;&gt;")=0,"",SUMIFS(BD!$G$3:$G$5001,BD!$A$3:$A$5001,L$3,BD!$B$3:$B$5001,$A$26)))</f>
        <v/>
      </c>
      <c r="M27" s="180" t="str">
        <f>IF(M$3="","",IF(COUNTIFS(BD!$A$3:$A$5001,M$3,BD!$B$3:$B$5001,$A$26,BD!$G$3:$G$5001,"&lt;&gt;")=0,"",SUMIFS(BD!$G$3:$G$5001,BD!$A$3:$A$5001,M$3,BD!$B$3:$B$5001,$A$26)))</f>
        <v/>
      </c>
      <c r="N27" s="180" t="str">
        <f>IF(N$3="","",IF(COUNTIFS(BD!$A$3:$A$5001,N$3,BD!$B$3:$B$5001,$A$26,BD!$G$3:$G$5001,"&lt;&gt;")=0,"",SUMIFS(BD!$G$3:$G$5001,BD!$A$3:$A$5001,N$3,BD!$B$3:$B$5001,$A$26)))</f>
        <v/>
      </c>
      <c r="O27" s="180" t="str">
        <f>IF(O$3="","",IF(COUNTIFS(BD!$A$3:$A$5001,O$3,BD!$B$3:$B$5001,$A$26,BD!$G$3:$G$5001,"&lt;&gt;")=0,"",SUMIFS(BD!$G$3:$G$5001,BD!$A$3:$A$5001,O$3,BD!$B$3:$B$5001,$A$26)))</f>
        <v/>
      </c>
      <c r="P27" s="180" t="str">
        <f>IF(P$3="","",IF(COUNTIFS(BD!$A$3:$A$5001,P$3,BD!$B$3:$B$5001,$A$26,BD!$G$3:$G$5001,"&lt;&gt;")=0,"",SUMIFS(BD!$G$3:$G$5001,BD!$A$3:$A$5001,P$3,BD!$B$3:$B$5001,$A$26)))</f>
        <v/>
      </c>
      <c r="Q27" s="180" t="str">
        <f>IF(Q$3="","",IF(COUNTIFS(BD!$A$3:$A$5001,Q$3,BD!$B$3:$B$5001,$A$26,BD!$G$3:$G$5001,"&lt;&gt;")=0,"",SUMIFS(BD!$G$3:$G$5001,BD!$A$3:$A$5001,Q$3,BD!$B$3:$B$5001,$A$26)))</f>
        <v/>
      </c>
      <c r="R27" s="180" t="str">
        <f>IF(R$3="","",IF(COUNTIFS(BD!$A$3:$A$5001,R$3,BD!$B$3:$B$5001,$A$26,BD!$G$3:$G$5001,"&lt;&gt;")=0,"",SUMIFS(BD!$G$3:$G$5001,BD!$A$3:$A$5001,R$3,BD!$B$3:$B$5001,$A$26)))</f>
        <v/>
      </c>
      <c r="S27" s="180" t="str">
        <f>IF(S$3="","",IF(COUNTIFS(BD!$A$3:$A$5001,S$3,BD!$B$3:$B$5001,$A$26,BD!$G$3:$G$5001,"&lt;&gt;")=0,"",SUMIFS(BD!$G$3:$G$5001,BD!$A$3:$A$5001,S$3,BD!$B$3:$B$5001,$A$26)))</f>
        <v/>
      </c>
      <c r="T27" s="180" t="str">
        <f>IF(T$3="","",IF(COUNTIFS(BD!$A$3:$A$5001,T$3,BD!$B$3:$B$5001,$A$26,BD!$G$3:$G$5001,"&lt;&gt;")=0,"",SUMIFS(BD!$G$3:$G$5001,BD!$A$3:$A$5001,T$3,BD!$B$3:$B$5001,$A$26)))</f>
        <v/>
      </c>
      <c r="U27" s="180" t="str">
        <f>IF(U$3="","",IF(COUNTIFS(BD!$A$3:$A$5001,U$3,BD!$B$3:$B$5001,$A$26,BD!$G$3:$G$5001,"&lt;&gt;")=0,"",SUMIFS(BD!$G$3:$G$5001,BD!$A$3:$A$5001,U$3,BD!$B$3:$B$5001,$A$26)))</f>
        <v/>
      </c>
      <c r="V27" s="180" t="str">
        <f>IF(V$3="","",IF(COUNTIFS(BD!$A$3:$A$5001,V$3,BD!$B$3:$B$5001,$A$26,BD!$G$3:$G$5001,"&lt;&gt;")=0,"",SUMIFS(BD!$G$3:$G$5001,BD!$A$3:$A$5001,V$3,BD!$B$3:$B$5001,$A$26)))</f>
        <v/>
      </c>
      <c r="W27" s="180" t="str">
        <f>IF(W$3="","",IF(COUNTIFS(BD!$A$3:$A$5001,W$3,BD!$B$3:$B$5001,$A$26,BD!$G$3:$G$5001,"&lt;&gt;")=0,"",SUMIFS(BD!$G$3:$G$5001,BD!$A$3:$A$5001,W$3,BD!$B$3:$B$5001,$A$26)))</f>
        <v/>
      </c>
      <c r="X27" s="180" t="str">
        <f>IF(X$3="","",IF(COUNTIFS(BD!$A$3:$A$5001,X$3,BD!$B$3:$B$5001,$A$26,BD!$G$3:$G$5001,"&lt;&gt;")=0,"",SUMIFS(BD!$G$3:$G$5001,BD!$A$3:$A$5001,X$3,BD!$B$3:$B$5001,$A$26)))</f>
        <v/>
      </c>
      <c r="Y27" s="180" t="str">
        <f>IF(Y$3="","",IF(COUNTIFS(BD!$A$3:$A$5001,Y$3,BD!$B$3:$B$5001,$A$26,BD!$G$3:$G$5001,"&lt;&gt;")=0,"",SUMIFS(BD!$G$3:$G$5001,BD!$A$3:$A$5001,Y$3,BD!$B$3:$B$5001,$A$26)))</f>
        <v/>
      </c>
      <c r="Z27" s="180" t="str">
        <f>IF(Z$3="","",IF(COUNTIFS(BD!$A$3:$A$5001,Z$3,BD!$B$3:$B$5001,$A$26,BD!$G$3:$G$5001,"&lt;&gt;")=0,"",SUMIFS(BD!$G$3:$G$5001,BD!$A$3:$A$5001,Z$3,BD!$B$3:$B$5001,$A$26)))</f>
        <v/>
      </c>
      <c r="AA27" s="180" t="str">
        <f>IF(AA$3="","",IF(COUNTIFS(BD!$A$3:$A$5001,AA$3,BD!$B$3:$B$5001,$A$26,BD!$G$3:$G$5001,"&lt;&gt;")=0,"",SUMIFS(BD!$G$3:$G$5001,BD!$A$3:$A$5001,AA$3,BD!$B$3:$B$5001,$A$26)))</f>
        <v/>
      </c>
      <c r="AB27" s="180" t="str">
        <f>IF(AB$3="","",IF(COUNTIFS(BD!$A$3:$A$5001,AB$3,BD!$B$3:$B$5001,$A$26,BD!$G$3:$G$5001,"&lt;&gt;")=0,"",SUMIFS(BD!$G$3:$G$5001,BD!$A$3:$A$5001,AB$3,BD!$B$3:$B$5001,$A$26)))</f>
        <v/>
      </c>
      <c r="AC27" s="180" t="str">
        <f>IF(AC$3="","",IF(COUNTIFS(BD!$A$3:$A$5001,AC$3,BD!$B$3:$B$5001,$A$26,BD!$G$3:$G$5001,"&lt;&gt;")=0,"",SUMIFS(BD!$G$3:$G$5001,BD!$A$3:$A$5001,AC$3,BD!$B$3:$B$5001,$A$26)))</f>
        <v/>
      </c>
      <c r="AD27" s="180" t="str">
        <f>IF(AD$3="","",IF(COUNTIFS(BD!$A$3:$A$5001,AD$3,BD!$B$3:$B$5001,$A$26,BD!$G$3:$G$5001,"&lt;&gt;")=0,"",SUMIFS(BD!$G$3:$G$5001,BD!$A$3:$A$5001,AD$3,BD!$B$3:$B$5001,$A$26)))</f>
        <v/>
      </c>
      <c r="AE27" s="180" t="str">
        <f>IF(AE$3="","",IF(COUNTIFS(BD!$A$3:$A$5001,AE$3,BD!$B$3:$B$5001,$A$26,BD!$G$3:$G$5001,"&lt;&gt;")=0,"",SUMIFS(BD!$G$3:$G$5001,BD!$A$3:$A$5001,AE$3,BD!$B$3:$B$5001,$A$26)))</f>
        <v/>
      </c>
      <c r="AF27" s="180" t="str">
        <f>IF(AF$3="","",IF(COUNTIFS(BD!$A$3:$A$5001,AF$3,BD!$B$3:$B$5001,$A$26,BD!$G$3:$G$5001,"&lt;&gt;")=0,"",SUMIFS(BD!$G$3:$G$5001,BD!$A$3:$A$5001,AF$3,BD!$B$3:$B$5001,$A$26)))</f>
        <v/>
      </c>
      <c r="AG27" s="180" t="str">
        <f>IF(AG$3="","",IF(COUNTIFS(BD!$A$3:$A$5001,AG$3,BD!$B$3:$B$5001,$A$26,BD!$G$3:$G$5001,"&lt;&gt;")=0,"",SUMIFS(BD!$G$3:$G$5001,BD!$A$3:$A$5001,AG$3,BD!$B$3:$B$5001,$A$26)))</f>
        <v/>
      </c>
      <c r="AH27" s="180" t="str">
        <f>IF(AH$3="","",IF(COUNTIFS(BD!$A$3:$A$5001,AH$3,BD!$B$3:$B$5001,$A$26,BD!$G$3:$G$5001,"&lt;&gt;")=0,"",SUMIFS(BD!$G$3:$G$5001,BD!$A$3:$A$5001,AH$3,BD!$B$3:$B$5001,$A$26)))</f>
        <v/>
      </c>
      <c r="AI27" s="180" t="str">
        <f>IF(AI$3="","",IF(COUNTIFS(BD!$A$3:$A$5001,AI$3,BD!$B$3:$B$5001,$A$26,BD!$G$3:$G$5001,"&lt;&gt;")=0,"",SUMIFS(BD!$G$3:$G$5001,BD!$A$3:$A$5001,AI$3,BD!$B$3:$B$5001,$A$26)))</f>
        <v/>
      </c>
      <c r="AJ27" s="181" t="str">
        <f>IF(AJ$3="","",IF(COUNTIFS(BD!$A$3:$A$5001,AJ$3,BD!$B$3:$B$5001,$A$26,BD!$G$3:$G$5001,"&lt;&gt;")=0,"",SUMIFS(BD!$G$3:$G$5001,BD!$A$3:$A$5001,AJ$3,BD!$B$3:$B$5001,$A$26)))</f>
        <v/>
      </c>
      <c r="AK27" s="182" t="str">
        <f>IF(COUNT(F27:AJ27)=0,"",SUM(F27:AJ27))</f>
        <v/>
      </c>
    </row>
    <row r="28" ht="15.75" customHeight="1">
      <c r="A28" s="247"/>
      <c r="B28" s="239"/>
      <c r="C28" s="183" t="inlineStr">
        <is>
          <t xml:space="preserve">Toneladas Movimentadas</t>
        </is>
      </c>
      <c r="D28" s="184" t="str">
        <f>IFERROR(1/(1/INDEX(BD!$Y$28:$AD$28,MATCH($A$26,BD!$Y$22:$AD$22,0))),"")</f>
        <v/>
      </c>
      <c r="E28" s="185"/>
      <c r="F28" s="186" t="str">
        <f>IF(F$3="","",IF(COUNTIFS(BD!$A$3:$A$5001,F$3,BD!$B$3:$B$5001,$A$26,BD!$H$3:$H$5001,"&lt;&gt;")=0,"",SUMIFS(BD!$H$3:$H$5001,BD!$A$3:$A$5001,F$3,BD!$B$3:$B$5001,$A$26)))</f>
        <v/>
      </c>
      <c r="G28" s="187" t="str">
        <f>IF(G$3="","",IF(COUNTIFS(BD!$A$3:$A$5001,G$3,BD!$B$3:$B$5001,$A$26,BD!$H$3:$H$5001,"&lt;&gt;")=0,"",SUMIFS(BD!$H$3:$H$5001,BD!$A$3:$A$5001,G$3,BD!$B$3:$B$5001,$A$26)))</f>
        <v/>
      </c>
      <c r="H28" s="187" t="str">
        <f>IF(H$3="","",IF(COUNTIFS(BD!$A$3:$A$5001,H$3,BD!$B$3:$B$5001,$A$26,BD!$H$3:$H$5001,"&lt;&gt;")=0,"",SUMIFS(BD!$H$3:$H$5001,BD!$A$3:$A$5001,H$3,BD!$B$3:$B$5001,$A$26)))</f>
        <v/>
      </c>
      <c r="I28" s="187" t="str">
        <f>IF(I$3="","",IF(COUNTIFS(BD!$A$3:$A$5001,I$3,BD!$B$3:$B$5001,$A$26,BD!$H$3:$H$5001,"&lt;&gt;")=0,"",SUMIFS(BD!$H$3:$H$5001,BD!$A$3:$A$5001,I$3,BD!$B$3:$B$5001,$A$26)))</f>
        <v/>
      </c>
      <c r="J28" s="187" t="str">
        <f>IF(J$3="","",IF(COUNTIFS(BD!$A$3:$A$5001,J$3,BD!$B$3:$B$5001,$A$26,BD!$H$3:$H$5001,"&lt;&gt;")=0,"",SUMIFS(BD!$H$3:$H$5001,BD!$A$3:$A$5001,J$3,BD!$B$3:$B$5001,$A$26)))</f>
        <v/>
      </c>
      <c r="K28" s="187" t="str">
        <f>IF(K$3="","",IF(COUNTIFS(BD!$A$3:$A$5001,K$3,BD!$B$3:$B$5001,$A$26,BD!$H$3:$H$5001,"&lt;&gt;")=0,"",SUMIFS(BD!$H$3:$H$5001,BD!$A$3:$A$5001,K$3,BD!$B$3:$B$5001,$A$26)))</f>
        <v/>
      </c>
      <c r="L28" s="187" t="str">
        <f>IF(L$3="","",IF(COUNTIFS(BD!$A$3:$A$5001,L$3,BD!$B$3:$B$5001,$A$26,BD!$H$3:$H$5001,"&lt;&gt;")=0,"",SUMIFS(BD!$H$3:$H$5001,BD!$A$3:$A$5001,L$3,BD!$B$3:$B$5001,$A$26)))</f>
        <v/>
      </c>
      <c r="M28" s="187" t="str">
        <f>IF(M$3="","",IF(COUNTIFS(BD!$A$3:$A$5001,M$3,BD!$B$3:$B$5001,$A$26,BD!$H$3:$H$5001,"&lt;&gt;")=0,"",SUMIFS(BD!$H$3:$H$5001,BD!$A$3:$A$5001,M$3,BD!$B$3:$B$5001,$A$26)))</f>
        <v/>
      </c>
      <c r="N28" s="187" t="str">
        <f>IF(N$3="","",IF(COUNTIFS(BD!$A$3:$A$5001,N$3,BD!$B$3:$B$5001,$A$26,BD!$H$3:$H$5001,"&lt;&gt;")=0,"",SUMIFS(BD!$H$3:$H$5001,BD!$A$3:$A$5001,N$3,BD!$B$3:$B$5001,$A$26)))</f>
        <v/>
      </c>
      <c r="O28" s="187" t="str">
        <f>IF(O$3="","",IF(COUNTIFS(BD!$A$3:$A$5001,O$3,BD!$B$3:$B$5001,$A$26,BD!$H$3:$H$5001,"&lt;&gt;")=0,"",SUMIFS(BD!$H$3:$H$5001,BD!$A$3:$A$5001,O$3,BD!$B$3:$B$5001,$A$26)))</f>
        <v/>
      </c>
      <c r="P28" s="187" t="str">
        <f>IF(P$3="","",IF(COUNTIFS(BD!$A$3:$A$5001,P$3,BD!$B$3:$B$5001,$A$26,BD!$H$3:$H$5001,"&lt;&gt;")=0,"",SUMIFS(BD!$H$3:$H$5001,BD!$A$3:$A$5001,P$3,BD!$B$3:$B$5001,$A$26)))</f>
        <v/>
      </c>
      <c r="Q28" s="187" t="str">
        <f>IF(Q$3="","",IF(COUNTIFS(BD!$A$3:$A$5001,Q$3,BD!$B$3:$B$5001,$A$26,BD!$H$3:$H$5001,"&lt;&gt;")=0,"",SUMIFS(BD!$H$3:$H$5001,BD!$A$3:$A$5001,Q$3,BD!$B$3:$B$5001,$A$26)))</f>
        <v/>
      </c>
      <c r="R28" s="187" t="str">
        <f>IF(R$3="","",IF(COUNTIFS(BD!$A$3:$A$5001,R$3,BD!$B$3:$B$5001,$A$26,BD!$H$3:$H$5001,"&lt;&gt;")=0,"",SUMIFS(BD!$H$3:$H$5001,BD!$A$3:$A$5001,R$3,BD!$B$3:$B$5001,$A$26)))</f>
        <v/>
      </c>
      <c r="S28" s="187" t="str">
        <f>IF(S$3="","",IF(COUNTIFS(BD!$A$3:$A$5001,S$3,BD!$B$3:$B$5001,$A$26,BD!$H$3:$H$5001,"&lt;&gt;")=0,"",SUMIFS(BD!$H$3:$H$5001,BD!$A$3:$A$5001,S$3,BD!$B$3:$B$5001,$A$26)))</f>
        <v/>
      </c>
      <c r="T28" s="187" t="str">
        <f>IF(T$3="","",IF(COUNTIFS(BD!$A$3:$A$5001,T$3,BD!$B$3:$B$5001,$A$26,BD!$H$3:$H$5001,"&lt;&gt;")=0,"",SUMIFS(BD!$H$3:$H$5001,BD!$A$3:$A$5001,T$3,BD!$B$3:$B$5001,$A$26)))</f>
        <v/>
      </c>
      <c r="U28" s="187" t="str">
        <f>IF(U$3="","",IF(COUNTIFS(BD!$A$3:$A$5001,U$3,BD!$B$3:$B$5001,$A$26,BD!$H$3:$H$5001,"&lt;&gt;")=0,"",SUMIFS(BD!$H$3:$H$5001,BD!$A$3:$A$5001,U$3,BD!$B$3:$B$5001,$A$26)))</f>
        <v/>
      </c>
      <c r="V28" s="187" t="str">
        <f>IF(V$3="","",IF(COUNTIFS(BD!$A$3:$A$5001,V$3,BD!$B$3:$B$5001,$A$26,BD!$H$3:$H$5001,"&lt;&gt;")=0,"",SUMIFS(BD!$H$3:$H$5001,BD!$A$3:$A$5001,V$3,BD!$B$3:$B$5001,$A$26)))</f>
        <v/>
      </c>
      <c r="W28" s="187" t="str">
        <f>IF(W$3="","",IF(COUNTIFS(BD!$A$3:$A$5001,W$3,BD!$B$3:$B$5001,$A$26,BD!$H$3:$H$5001,"&lt;&gt;")=0,"",SUMIFS(BD!$H$3:$H$5001,BD!$A$3:$A$5001,W$3,BD!$B$3:$B$5001,$A$26)))</f>
        <v/>
      </c>
      <c r="X28" s="187" t="str">
        <f>IF(X$3="","",IF(COUNTIFS(BD!$A$3:$A$5001,X$3,BD!$B$3:$B$5001,$A$26,BD!$H$3:$H$5001,"&lt;&gt;")=0,"",SUMIFS(BD!$H$3:$H$5001,BD!$A$3:$A$5001,X$3,BD!$B$3:$B$5001,$A$26)))</f>
        <v/>
      </c>
      <c r="Y28" s="187" t="str">
        <f>IF(Y$3="","",IF(COUNTIFS(BD!$A$3:$A$5001,Y$3,BD!$B$3:$B$5001,$A$26,BD!$H$3:$H$5001,"&lt;&gt;")=0,"",SUMIFS(BD!$H$3:$H$5001,BD!$A$3:$A$5001,Y$3,BD!$B$3:$B$5001,$A$26)))</f>
        <v/>
      </c>
      <c r="Z28" s="187" t="str">
        <f>IF(Z$3="","",IF(COUNTIFS(BD!$A$3:$A$5001,Z$3,BD!$B$3:$B$5001,$A$26,BD!$H$3:$H$5001,"&lt;&gt;")=0,"",SUMIFS(BD!$H$3:$H$5001,BD!$A$3:$A$5001,Z$3,BD!$B$3:$B$5001,$A$26)))</f>
        <v/>
      </c>
      <c r="AA28" s="187" t="str">
        <f>IF(AA$3="","",IF(COUNTIFS(BD!$A$3:$A$5001,AA$3,BD!$B$3:$B$5001,$A$26,BD!$H$3:$H$5001,"&lt;&gt;")=0,"",SUMIFS(BD!$H$3:$H$5001,BD!$A$3:$A$5001,AA$3,BD!$B$3:$B$5001,$A$26)))</f>
        <v/>
      </c>
      <c r="AB28" s="187" t="str">
        <f>IF(AB$3="","",IF(COUNTIFS(BD!$A$3:$A$5001,AB$3,BD!$B$3:$B$5001,$A$26,BD!$H$3:$H$5001,"&lt;&gt;")=0,"",SUMIFS(BD!$H$3:$H$5001,BD!$A$3:$A$5001,AB$3,BD!$B$3:$B$5001,$A$26)))</f>
        <v/>
      </c>
      <c r="AC28" s="187" t="str">
        <f>IF(AC$3="","",IF(COUNTIFS(BD!$A$3:$A$5001,AC$3,BD!$B$3:$B$5001,$A$26,BD!$H$3:$H$5001,"&lt;&gt;")=0,"",SUMIFS(BD!$H$3:$H$5001,BD!$A$3:$A$5001,AC$3,BD!$B$3:$B$5001,$A$26)))</f>
        <v/>
      </c>
      <c r="AD28" s="187" t="str">
        <f>IF(AD$3="","",IF(COUNTIFS(BD!$A$3:$A$5001,AD$3,BD!$B$3:$B$5001,$A$26,BD!$H$3:$H$5001,"&lt;&gt;")=0,"",SUMIFS(BD!$H$3:$H$5001,BD!$A$3:$A$5001,AD$3,BD!$B$3:$B$5001,$A$26)))</f>
        <v/>
      </c>
      <c r="AE28" s="187" t="str">
        <f>IF(AE$3="","",IF(COUNTIFS(BD!$A$3:$A$5001,AE$3,BD!$B$3:$B$5001,$A$26,BD!$H$3:$H$5001,"&lt;&gt;")=0,"",SUMIFS(BD!$H$3:$H$5001,BD!$A$3:$A$5001,AE$3,BD!$B$3:$B$5001,$A$26)))</f>
        <v/>
      </c>
      <c r="AF28" s="187" t="str">
        <f>IF(AF$3="","",IF(COUNTIFS(BD!$A$3:$A$5001,AF$3,BD!$B$3:$B$5001,$A$26,BD!$H$3:$H$5001,"&lt;&gt;")=0,"",SUMIFS(BD!$H$3:$H$5001,BD!$A$3:$A$5001,AF$3,BD!$B$3:$B$5001,$A$26)))</f>
        <v/>
      </c>
      <c r="AG28" s="187" t="str">
        <f>IF(AG$3="","",IF(COUNTIFS(BD!$A$3:$A$5001,AG$3,BD!$B$3:$B$5001,$A$26,BD!$H$3:$H$5001,"&lt;&gt;")=0,"",SUMIFS(BD!$H$3:$H$5001,BD!$A$3:$A$5001,AG$3,BD!$B$3:$B$5001,$A$26)))</f>
        <v/>
      </c>
      <c r="AH28" s="187" t="str">
        <f>IF(AH$3="","",IF(COUNTIFS(BD!$A$3:$A$5001,AH$3,BD!$B$3:$B$5001,$A$26,BD!$H$3:$H$5001,"&lt;&gt;")=0,"",SUMIFS(BD!$H$3:$H$5001,BD!$A$3:$A$5001,AH$3,BD!$B$3:$B$5001,$A$26)))</f>
        <v/>
      </c>
      <c r="AI28" s="187" t="str">
        <f>IF(AI$3="","",IF(COUNTIFS(BD!$A$3:$A$5001,AI$3,BD!$B$3:$B$5001,$A$26,BD!$H$3:$H$5001,"&lt;&gt;")=0,"",SUMIFS(BD!$H$3:$H$5001,BD!$A$3:$A$5001,AI$3,BD!$B$3:$B$5001,$A$26)))</f>
        <v/>
      </c>
      <c r="AJ28" s="188" t="str">
        <f>IF(AJ$3="","",IF(COUNTIFS(BD!$A$3:$A$5001,AJ$3,BD!$B$3:$B$5001,$A$26,BD!$H$3:$H$5001,"&lt;&gt;")=0,"",SUMIFS(BD!$H$3:$H$5001,BD!$A$3:$A$5001,AJ$3,BD!$B$3:$B$5001,$A$26)))</f>
        <v/>
      </c>
      <c r="AK28" s="189" t="str">
        <f>IF(COUNT(F28:AJ28)=0,"",SUM(F28:AJ28))</f>
        <v/>
      </c>
    </row>
    <row r="29" ht="15.75" customHeight="1">
      <c r="A29" s="247"/>
      <c r="B29" s="240" t="inlineStr">
        <is>
          <t xml:space="preserve">NC</t>
        </is>
      </c>
      <c r="C29" s="190" t="inlineStr">
        <is>
          <t xml:space="preserve">Incidentes</t>
        </is>
      </c>
      <c r="D29" s="191" t="str">
        <f>IFERROR(1/(1/INDEX(BD!$Y$29:$AD$29,MATCH($A$26,BD!$Y$22:$AD$22,0))),"")</f>
        <v/>
      </c>
      <c r="E29" s="192"/>
      <c r="F29" s="193" t="str">
        <f>IF(F$3="","",IF(COUNTIFS(BD!$A$3:$A$5001,F$3,BD!$B$3:$B$5001,$A$26,BD!$I$3:$I$5001,"&lt;&gt;")=0,"",SUMIFS(BD!$I$3:$I$5001,BD!$A$3:$A$5001,F$3,BD!$B$3:$B$5001,$A$26)))</f>
        <v/>
      </c>
      <c r="G29" s="194" t="str">
        <f>IF(G$3="","",IF(COUNTIFS(BD!$A$3:$A$5001,G$3,BD!$B$3:$B$5001,$A$26,BD!$I$3:$I$5001,"&lt;&gt;")=0,"",SUMIFS(BD!$I$3:$I$5001,BD!$A$3:$A$5001,G$3,BD!$B$3:$B$5001,$A$26)))</f>
        <v/>
      </c>
      <c r="H29" s="194" t="str">
        <f>IF(H$3="","",IF(COUNTIFS(BD!$A$3:$A$5001,H$3,BD!$B$3:$B$5001,$A$26,BD!$I$3:$I$5001,"&lt;&gt;")=0,"",SUMIFS(BD!$I$3:$I$5001,BD!$A$3:$A$5001,H$3,BD!$B$3:$B$5001,$A$26)))</f>
        <v/>
      </c>
      <c r="I29" s="194" t="str">
        <f>IF(I$3="","",IF(COUNTIFS(BD!$A$3:$A$5001,I$3,BD!$B$3:$B$5001,$A$26,BD!$I$3:$I$5001,"&lt;&gt;")=0,"",SUMIFS(BD!$I$3:$I$5001,BD!$A$3:$A$5001,I$3,BD!$B$3:$B$5001,$A$26)))</f>
        <v/>
      </c>
      <c r="J29" s="194" t="str">
        <f>IF(J$3="","",IF(COUNTIFS(BD!$A$3:$A$5001,J$3,BD!$B$3:$B$5001,$A$26,BD!$I$3:$I$5001,"&lt;&gt;")=0,"",SUMIFS(BD!$I$3:$I$5001,BD!$A$3:$A$5001,J$3,BD!$B$3:$B$5001,$A$26)))</f>
        <v/>
      </c>
      <c r="K29" s="194" t="str">
        <f>IF(K$3="","",IF(COUNTIFS(BD!$A$3:$A$5001,K$3,BD!$B$3:$B$5001,$A$26,BD!$I$3:$I$5001,"&lt;&gt;")=0,"",SUMIFS(BD!$I$3:$I$5001,BD!$A$3:$A$5001,K$3,BD!$B$3:$B$5001,$A$26)))</f>
        <v/>
      </c>
      <c r="L29" s="194" t="str">
        <f>IF(L$3="","",IF(COUNTIFS(BD!$A$3:$A$5001,L$3,BD!$B$3:$B$5001,$A$26,BD!$I$3:$I$5001,"&lt;&gt;")=0,"",SUMIFS(BD!$I$3:$I$5001,BD!$A$3:$A$5001,L$3,BD!$B$3:$B$5001,$A$26)))</f>
        <v/>
      </c>
      <c r="M29" s="194" t="str">
        <f>IF(M$3="","",IF(COUNTIFS(BD!$A$3:$A$5001,M$3,BD!$B$3:$B$5001,$A$26,BD!$I$3:$I$5001,"&lt;&gt;")=0,"",SUMIFS(BD!$I$3:$I$5001,BD!$A$3:$A$5001,M$3,BD!$B$3:$B$5001,$A$26)))</f>
        <v/>
      </c>
      <c r="N29" s="194" t="str">
        <f>IF(N$3="","",IF(COUNTIFS(BD!$A$3:$A$5001,N$3,BD!$B$3:$B$5001,$A$26,BD!$I$3:$I$5001,"&lt;&gt;")=0,"",SUMIFS(BD!$I$3:$I$5001,BD!$A$3:$A$5001,N$3,BD!$B$3:$B$5001,$A$26)))</f>
        <v/>
      </c>
      <c r="O29" s="194" t="str">
        <f>IF(O$3="","",IF(COUNTIFS(BD!$A$3:$A$5001,O$3,BD!$B$3:$B$5001,$A$26,BD!$I$3:$I$5001,"&lt;&gt;")=0,"",SUMIFS(BD!$I$3:$I$5001,BD!$A$3:$A$5001,O$3,BD!$B$3:$B$5001,$A$26)))</f>
        <v/>
      </c>
      <c r="P29" s="194" t="str">
        <f>IF(P$3="","",IF(COUNTIFS(BD!$A$3:$A$5001,P$3,BD!$B$3:$B$5001,$A$26,BD!$I$3:$I$5001,"&lt;&gt;")=0,"",SUMIFS(BD!$I$3:$I$5001,BD!$A$3:$A$5001,P$3,BD!$B$3:$B$5001,$A$26)))</f>
        <v/>
      </c>
      <c r="Q29" s="194" t="str">
        <f>IF(Q$3="","",IF(COUNTIFS(BD!$A$3:$A$5001,Q$3,BD!$B$3:$B$5001,$A$26,BD!$I$3:$I$5001,"&lt;&gt;")=0,"",SUMIFS(BD!$I$3:$I$5001,BD!$A$3:$A$5001,Q$3,BD!$B$3:$B$5001,$A$26)))</f>
        <v/>
      </c>
      <c r="R29" s="194" t="str">
        <f>IF(R$3="","",IF(COUNTIFS(BD!$A$3:$A$5001,R$3,BD!$B$3:$B$5001,$A$26,BD!$I$3:$I$5001,"&lt;&gt;")=0,"",SUMIFS(BD!$I$3:$I$5001,BD!$A$3:$A$5001,R$3,BD!$B$3:$B$5001,$A$26)))</f>
        <v/>
      </c>
      <c r="S29" s="194" t="str">
        <f>IF(S$3="","",IF(COUNTIFS(BD!$A$3:$A$5001,S$3,BD!$B$3:$B$5001,$A$26,BD!$I$3:$I$5001,"&lt;&gt;")=0,"",SUMIFS(BD!$I$3:$I$5001,BD!$A$3:$A$5001,S$3,BD!$B$3:$B$5001,$A$26)))</f>
        <v/>
      </c>
      <c r="T29" s="194" t="str">
        <f>IF(T$3="","",IF(COUNTIFS(BD!$A$3:$A$5001,T$3,BD!$B$3:$B$5001,$A$26,BD!$I$3:$I$5001,"&lt;&gt;")=0,"",SUMIFS(BD!$I$3:$I$5001,BD!$A$3:$A$5001,T$3,BD!$B$3:$B$5001,$A$26)))</f>
        <v/>
      </c>
      <c r="U29" s="194" t="str">
        <f>IF(U$3="","",IF(COUNTIFS(BD!$A$3:$A$5001,U$3,BD!$B$3:$B$5001,$A$26,BD!$I$3:$I$5001,"&lt;&gt;")=0,"",SUMIFS(BD!$I$3:$I$5001,BD!$A$3:$A$5001,U$3,BD!$B$3:$B$5001,$A$26)))</f>
        <v/>
      </c>
      <c r="V29" s="194" t="str">
        <f>IF(V$3="","",IF(COUNTIFS(BD!$A$3:$A$5001,V$3,BD!$B$3:$B$5001,$A$26,BD!$I$3:$I$5001,"&lt;&gt;")=0,"",SUMIFS(BD!$I$3:$I$5001,BD!$A$3:$A$5001,V$3,BD!$B$3:$B$5001,$A$26)))</f>
        <v/>
      </c>
      <c r="W29" s="194" t="str">
        <f>IF(W$3="","",IF(COUNTIFS(BD!$A$3:$A$5001,W$3,BD!$B$3:$B$5001,$A$26,BD!$I$3:$I$5001,"&lt;&gt;")=0,"",SUMIFS(BD!$I$3:$I$5001,BD!$A$3:$A$5001,W$3,BD!$B$3:$B$5001,$A$26)))</f>
        <v/>
      </c>
      <c r="X29" s="194" t="str">
        <f>IF(X$3="","",IF(COUNTIFS(BD!$A$3:$A$5001,X$3,BD!$B$3:$B$5001,$A$26,BD!$I$3:$I$5001,"&lt;&gt;")=0,"",SUMIFS(BD!$I$3:$I$5001,BD!$A$3:$A$5001,X$3,BD!$B$3:$B$5001,$A$26)))</f>
        <v/>
      </c>
      <c r="Y29" s="194" t="str">
        <f>IF(Y$3="","",IF(COUNTIFS(BD!$A$3:$A$5001,Y$3,BD!$B$3:$B$5001,$A$26,BD!$I$3:$I$5001,"&lt;&gt;")=0,"",SUMIFS(BD!$I$3:$I$5001,BD!$A$3:$A$5001,Y$3,BD!$B$3:$B$5001,$A$26)))</f>
        <v/>
      </c>
      <c r="Z29" s="194" t="str">
        <f>IF(Z$3="","",IF(COUNTIFS(BD!$A$3:$A$5001,Z$3,BD!$B$3:$B$5001,$A$26,BD!$I$3:$I$5001,"&lt;&gt;")=0,"",SUMIFS(BD!$I$3:$I$5001,BD!$A$3:$A$5001,Z$3,BD!$B$3:$B$5001,$A$26)))</f>
        <v/>
      </c>
      <c r="AA29" s="194" t="str">
        <f>IF(AA$3="","",IF(COUNTIFS(BD!$A$3:$A$5001,AA$3,BD!$B$3:$B$5001,$A$26,BD!$I$3:$I$5001,"&lt;&gt;")=0,"",SUMIFS(BD!$I$3:$I$5001,BD!$A$3:$A$5001,AA$3,BD!$B$3:$B$5001,$A$26)))</f>
        <v/>
      </c>
      <c r="AB29" s="194" t="str">
        <f>IF(AB$3="","",IF(COUNTIFS(BD!$A$3:$A$5001,AB$3,BD!$B$3:$B$5001,$A$26,BD!$I$3:$I$5001,"&lt;&gt;")=0,"",SUMIFS(BD!$I$3:$I$5001,BD!$A$3:$A$5001,AB$3,BD!$B$3:$B$5001,$A$26)))</f>
        <v/>
      </c>
      <c r="AC29" s="194" t="str">
        <f>IF(AC$3="","",IF(COUNTIFS(BD!$A$3:$A$5001,AC$3,BD!$B$3:$B$5001,$A$26,BD!$I$3:$I$5001,"&lt;&gt;")=0,"",SUMIFS(BD!$I$3:$I$5001,BD!$A$3:$A$5001,AC$3,BD!$B$3:$B$5001,$A$26)))</f>
        <v/>
      </c>
      <c r="AD29" s="194" t="str">
        <f>IF(AD$3="","",IF(COUNTIFS(BD!$A$3:$A$5001,AD$3,BD!$B$3:$B$5001,$A$26,BD!$I$3:$I$5001,"&lt;&gt;")=0,"",SUMIFS(BD!$I$3:$I$5001,BD!$A$3:$A$5001,AD$3,BD!$B$3:$B$5001,$A$26)))</f>
        <v/>
      </c>
      <c r="AE29" s="194" t="str">
        <f>IF(AE$3="","",IF(COUNTIFS(BD!$A$3:$A$5001,AE$3,BD!$B$3:$B$5001,$A$26,BD!$I$3:$I$5001,"&lt;&gt;")=0,"",SUMIFS(BD!$I$3:$I$5001,BD!$A$3:$A$5001,AE$3,BD!$B$3:$B$5001,$A$26)))</f>
        <v/>
      </c>
      <c r="AF29" s="194" t="str">
        <f>IF(AF$3="","",IF(COUNTIFS(BD!$A$3:$A$5001,AF$3,BD!$B$3:$B$5001,$A$26,BD!$I$3:$I$5001,"&lt;&gt;")=0,"",SUMIFS(BD!$I$3:$I$5001,BD!$A$3:$A$5001,AF$3,BD!$B$3:$B$5001,$A$26)))</f>
        <v/>
      </c>
      <c r="AG29" s="194" t="str">
        <f>IF(AG$3="","",IF(COUNTIFS(BD!$A$3:$A$5001,AG$3,BD!$B$3:$B$5001,$A$26,BD!$I$3:$I$5001,"&lt;&gt;")=0,"",SUMIFS(BD!$I$3:$I$5001,BD!$A$3:$A$5001,AG$3,BD!$B$3:$B$5001,$A$26)))</f>
        <v/>
      </c>
      <c r="AH29" s="194" t="str">
        <f>IF(AH$3="","",IF(COUNTIFS(BD!$A$3:$A$5001,AH$3,BD!$B$3:$B$5001,$A$26,BD!$I$3:$I$5001,"&lt;&gt;")=0,"",SUMIFS(BD!$I$3:$I$5001,BD!$A$3:$A$5001,AH$3,BD!$B$3:$B$5001,$A$26)))</f>
        <v/>
      </c>
      <c r="AI29" s="194" t="str">
        <f>IF(AI$3="","",IF(COUNTIFS(BD!$A$3:$A$5001,AI$3,BD!$B$3:$B$5001,$A$26,BD!$I$3:$I$5001,"&lt;&gt;")=0,"",SUMIFS(BD!$I$3:$I$5001,BD!$A$3:$A$5001,AI$3,BD!$B$3:$B$5001,$A$26)))</f>
        <v/>
      </c>
      <c r="AJ29" s="195" t="str">
        <f>IF(AJ$3="","",IF(COUNTIFS(BD!$A$3:$A$5001,AJ$3,BD!$B$3:$B$5001,$A$26,BD!$I$3:$I$5001,"&lt;&gt;")=0,"",SUMIFS(BD!$I$3:$I$5001,BD!$A$3:$A$5001,AJ$3,BD!$B$3:$B$5001,$A$26)))</f>
        <v/>
      </c>
      <c r="AK29" s="196" t="str">
        <f>IF(COUNT(F29:AJ29)=0,"",SUM(F29:AJ29))</f>
        <v/>
      </c>
    </row>
    <row r="30" ht="15.75" customHeight="1">
      <c r="A30" s="247"/>
      <c r="B30" s="241"/>
      <c r="C30" s="197" t="inlineStr">
        <is>
          <t xml:space="preserve">No show</t>
        </is>
      </c>
      <c r="D30" s="198" t="str">
        <f>IFERROR(1/(1/INDEX(BD!$Y$30:$AD$30,MATCH($A$26,BD!$Y$22:$AD$22,0))),"")</f>
        <v/>
      </c>
      <c r="E30" s="199"/>
      <c r="F30" s="200" t="str">
        <f>IF(F$3="","",IF(COUNTIFS(BD!$A$3:$A$5001,F$3,BD!$B$3:$B$5001,$A$26,BD!$J$3:$J$5001,"&lt;&gt;")=0,"",SUMIFS(BD!$J$3:$J$5001,BD!$A$3:$A$5001,F$3,BD!$B$3:$B$5001,$A$26)))</f>
        <v/>
      </c>
      <c r="G30" s="201" t="str">
        <f>IF(G$3="","",IF(COUNTIFS(BD!$A$3:$A$5001,G$3,BD!$B$3:$B$5001,$A$26,BD!$J$3:$J$5001,"&lt;&gt;")=0,"",SUMIFS(BD!$J$3:$J$5001,BD!$A$3:$A$5001,G$3,BD!$B$3:$B$5001,$A$26)))</f>
        <v/>
      </c>
      <c r="H30" s="201" t="str">
        <f>IF(H$3="","",IF(COUNTIFS(BD!$A$3:$A$5001,H$3,BD!$B$3:$B$5001,$A$26,BD!$J$3:$J$5001,"&lt;&gt;")=0,"",SUMIFS(BD!$J$3:$J$5001,BD!$A$3:$A$5001,H$3,BD!$B$3:$B$5001,$A$26)))</f>
        <v/>
      </c>
      <c r="I30" s="201" t="str">
        <f>IF(I$3="","",IF(COUNTIFS(BD!$A$3:$A$5001,I$3,BD!$B$3:$B$5001,$A$26,BD!$J$3:$J$5001,"&lt;&gt;")=0,"",SUMIFS(BD!$J$3:$J$5001,BD!$A$3:$A$5001,I$3,BD!$B$3:$B$5001,$A$26)))</f>
        <v/>
      </c>
      <c r="J30" s="201" t="str">
        <f>IF(J$3="","",IF(COUNTIFS(BD!$A$3:$A$5001,J$3,BD!$B$3:$B$5001,$A$26,BD!$J$3:$J$5001,"&lt;&gt;")=0,"",SUMIFS(BD!$J$3:$J$5001,BD!$A$3:$A$5001,J$3,BD!$B$3:$B$5001,$A$26)))</f>
        <v/>
      </c>
      <c r="K30" s="201" t="str">
        <f>IF(K$3="","",IF(COUNTIFS(BD!$A$3:$A$5001,K$3,BD!$B$3:$B$5001,$A$26,BD!$J$3:$J$5001,"&lt;&gt;")=0,"",SUMIFS(BD!$J$3:$J$5001,BD!$A$3:$A$5001,K$3,BD!$B$3:$B$5001,$A$26)))</f>
        <v/>
      </c>
      <c r="L30" s="201" t="str">
        <f>IF(L$3="","",IF(COUNTIFS(BD!$A$3:$A$5001,L$3,BD!$B$3:$B$5001,$A$26,BD!$J$3:$J$5001,"&lt;&gt;")=0,"",SUMIFS(BD!$J$3:$J$5001,BD!$A$3:$A$5001,L$3,BD!$B$3:$B$5001,$A$26)))</f>
        <v/>
      </c>
      <c r="M30" s="201" t="str">
        <f>IF(M$3="","",IF(COUNTIFS(BD!$A$3:$A$5001,M$3,BD!$B$3:$B$5001,$A$26,BD!$J$3:$J$5001,"&lt;&gt;")=0,"",SUMIFS(BD!$J$3:$J$5001,BD!$A$3:$A$5001,M$3,BD!$B$3:$B$5001,$A$26)))</f>
        <v/>
      </c>
      <c r="N30" s="201" t="str">
        <f>IF(N$3="","",IF(COUNTIFS(BD!$A$3:$A$5001,N$3,BD!$B$3:$B$5001,$A$26,BD!$J$3:$J$5001,"&lt;&gt;")=0,"",SUMIFS(BD!$J$3:$J$5001,BD!$A$3:$A$5001,N$3,BD!$B$3:$B$5001,$A$26)))</f>
        <v/>
      </c>
      <c r="O30" s="201" t="str">
        <f>IF(O$3="","",IF(COUNTIFS(BD!$A$3:$A$5001,O$3,BD!$B$3:$B$5001,$A$26,BD!$J$3:$J$5001,"&lt;&gt;")=0,"",SUMIFS(BD!$J$3:$J$5001,BD!$A$3:$A$5001,O$3,BD!$B$3:$B$5001,$A$26)))</f>
        <v/>
      </c>
      <c r="P30" s="201" t="str">
        <f>IF(P$3="","",IF(COUNTIFS(BD!$A$3:$A$5001,P$3,BD!$B$3:$B$5001,$A$26,BD!$J$3:$J$5001,"&lt;&gt;")=0,"",SUMIFS(BD!$J$3:$J$5001,BD!$A$3:$A$5001,P$3,BD!$B$3:$B$5001,$A$26)))</f>
        <v/>
      </c>
      <c r="Q30" s="201" t="str">
        <f>IF(Q$3="","",IF(COUNTIFS(BD!$A$3:$A$5001,Q$3,BD!$B$3:$B$5001,$A$26,BD!$J$3:$J$5001,"&lt;&gt;")=0,"",SUMIFS(BD!$J$3:$J$5001,BD!$A$3:$A$5001,Q$3,BD!$B$3:$B$5001,$A$26)))</f>
        <v/>
      </c>
      <c r="R30" s="201" t="str">
        <f>IF(R$3="","",IF(COUNTIFS(BD!$A$3:$A$5001,R$3,BD!$B$3:$B$5001,$A$26,BD!$J$3:$J$5001,"&lt;&gt;")=0,"",SUMIFS(BD!$J$3:$J$5001,BD!$A$3:$A$5001,R$3,BD!$B$3:$B$5001,$A$26)))</f>
        <v/>
      </c>
      <c r="S30" s="201" t="str">
        <f>IF(S$3="","",IF(COUNTIFS(BD!$A$3:$A$5001,S$3,BD!$B$3:$B$5001,$A$26,BD!$J$3:$J$5001,"&lt;&gt;")=0,"",SUMIFS(BD!$J$3:$J$5001,BD!$A$3:$A$5001,S$3,BD!$B$3:$B$5001,$A$26)))</f>
        <v/>
      </c>
      <c r="T30" s="201" t="str">
        <f>IF(T$3="","",IF(COUNTIFS(BD!$A$3:$A$5001,T$3,BD!$B$3:$B$5001,$A$26,BD!$J$3:$J$5001,"&lt;&gt;")=0,"",SUMIFS(BD!$J$3:$J$5001,BD!$A$3:$A$5001,T$3,BD!$B$3:$B$5001,$A$26)))</f>
        <v/>
      </c>
      <c r="U30" s="201" t="str">
        <f>IF(U$3="","",IF(COUNTIFS(BD!$A$3:$A$5001,U$3,BD!$B$3:$B$5001,$A$26,BD!$J$3:$J$5001,"&lt;&gt;")=0,"",SUMIFS(BD!$J$3:$J$5001,BD!$A$3:$A$5001,U$3,BD!$B$3:$B$5001,$A$26)))</f>
        <v/>
      </c>
      <c r="V30" s="201" t="str">
        <f>IF(V$3="","",IF(COUNTIFS(BD!$A$3:$A$5001,V$3,BD!$B$3:$B$5001,$A$26,BD!$J$3:$J$5001,"&lt;&gt;")=0,"",SUMIFS(BD!$J$3:$J$5001,BD!$A$3:$A$5001,V$3,BD!$B$3:$B$5001,$A$26)))</f>
        <v/>
      </c>
      <c r="W30" s="201" t="str">
        <f>IF(W$3="","",IF(COUNTIFS(BD!$A$3:$A$5001,W$3,BD!$B$3:$B$5001,$A$26,BD!$J$3:$J$5001,"&lt;&gt;")=0,"",SUMIFS(BD!$J$3:$J$5001,BD!$A$3:$A$5001,W$3,BD!$B$3:$B$5001,$A$26)))</f>
        <v/>
      </c>
      <c r="X30" s="201" t="str">
        <f>IF(X$3="","",IF(COUNTIFS(BD!$A$3:$A$5001,X$3,BD!$B$3:$B$5001,$A$26,BD!$J$3:$J$5001,"&lt;&gt;")=0,"",SUMIFS(BD!$J$3:$J$5001,BD!$A$3:$A$5001,X$3,BD!$B$3:$B$5001,$A$26)))</f>
        <v/>
      </c>
      <c r="Y30" s="201" t="str">
        <f>IF(Y$3="","",IF(COUNTIFS(BD!$A$3:$A$5001,Y$3,BD!$B$3:$B$5001,$A$26,BD!$J$3:$J$5001,"&lt;&gt;")=0,"",SUMIFS(BD!$J$3:$J$5001,BD!$A$3:$A$5001,Y$3,BD!$B$3:$B$5001,$A$26)))</f>
        <v/>
      </c>
      <c r="Z30" s="201" t="str">
        <f>IF(Z$3="","",IF(COUNTIFS(BD!$A$3:$A$5001,Z$3,BD!$B$3:$B$5001,$A$26,BD!$J$3:$J$5001,"&lt;&gt;")=0,"",SUMIFS(BD!$J$3:$J$5001,BD!$A$3:$A$5001,Z$3,BD!$B$3:$B$5001,$A$26)))</f>
        <v/>
      </c>
      <c r="AA30" s="201" t="str">
        <f>IF(AA$3="","",IF(COUNTIFS(BD!$A$3:$A$5001,AA$3,BD!$B$3:$B$5001,$A$26,BD!$J$3:$J$5001,"&lt;&gt;")=0,"",SUMIFS(BD!$J$3:$J$5001,BD!$A$3:$A$5001,AA$3,BD!$B$3:$B$5001,$A$26)))</f>
        <v/>
      </c>
      <c r="AB30" s="201" t="str">
        <f>IF(AB$3="","",IF(COUNTIFS(BD!$A$3:$A$5001,AB$3,BD!$B$3:$B$5001,$A$26,BD!$J$3:$J$5001,"&lt;&gt;")=0,"",SUMIFS(BD!$J$3:$J$5001,BD!$A$3:$A$5001,AB$3,BD!$B$3:$B$5001,$A$26)))</f>
        <v/>
      </c>
      <c r="AC30" s="201" t="str">
        <f>IF(AC$3="","",IF(COUNTIFS(BD!$A$3:$A$5001,AC$3,BD!$B$3:$B$5001,$A$26,BD!$J$3:$J$5001,"&lt;&gt;")=0,"",SUMIFS(BD!$J$3:$J$5001,BD!$A$3:$A$5001,AC$3,BD!$B$3:$B$5001,$A$26)))</f>
        <v/>
      </c>
      <c r="AD30" s="201" t="str">
        <f>IF(AD$3="","",IF(COUNTIFS(BD!$A$3:$A$5001,AD$3,BD!$B$3:$B$5001,$A$26,BD!$J$3:$J$5001,"&lt;&gt;")=0,"",SUMIFS(BD!$J$3:$J$5001,BD!$A$3:$A$5001,AD$3,BD!$B$3:$B$5001,$A$26)))</f>
        <v/>
      </c>
      <c r="AE30" s="201" t="str">
        <f>IF(AE$3="","",IF(COUNTIFS(BD!$A$3:$A$5001,AE$3,BD!$B$3:$B$5001,$A$26,BD!$J$3:$J$5001,"&lt;&gt;")=0,"",SUMIFS(BD!$J$3:$J$5001,BD!$A$3:$A$5001,AE$3,BD!$B$3:$B$5001,$A$26)))</f>
        <v/>
      </c>
      <c r="AF30" s="201" t="str">
        <f>IF(AF$3="","",IF(COUNTIFS(BD!$A$3:$A$5001,AF$3,BD!$B$3:$B$5001,$A$26,BD!$J$3:$J$5001,"&lt;&gt;")=0,"",SUMIFS(BD!$J$3:$J$5001,BD!$A$3:$A$5001,AF$3,BD!$B$3:$B$5001,$A$26)))</f>
        <v/>
      </c>
      <c r="AG30" s="201" t="str">
        <f>IF(AG$3="","",IF(COUNTIFS(BD!$A$3:$A$5001,AG$3,BD!$B$3:$B$5001,$A$26,BD!$J$3:$J$5001,"&lt;&gt;")=0,"",SUMIFS(BD!$J$3:$J$5001,BD!$A$3:$A$5001,AG$3,BD!$B$3:$B$5001,$A$26)))</f>
        <v/>
      </c>
      <c r="AH30" s="201" t="str">
        <f>IF(AH$3="","",IF(COUNTIFS(BD!$A$3:$A$5001,AH$3,BD!$B$3:$B$5001,$A$26,BD!$J$3:$J$5001,"&lt;&gt;")=0,"",SUMIFS(BD!$J$3:$J$5001,BD!$A$3:$A$5001,AH$3,BD!$B$3:$B$5001,$A$26)))</f>
        <v/>
      </c>
      <c r="AI30" s="201" t="str">
        <f>IF(AI$3="","",IF(COUNTIFS(BD!$A$3:$A$5001,AI$3,BD!$B$3:$B$5001,$A$26,BD!$J$3:$J$5001,"&lt;&gt;")=0,"",SUMIFS(BD!$J$3:$J$5001,BD!$A$3:$A$5001,AI$3,BD!$B$3:$B$5001,$A$26)))</f>
        <v/>
      </c>
      <c r="AJ30" s="202" t="str">
        <f>IF(AJ$3="","",IF(COUNTIFS(BD!$A$3:$A$5001,AJ$3,BD!$B$3:$B$5001,$A$26,BD!$J$3:$J$5001,"&lt;&gt;")=0,"",SUMIFS(BD!$J$3:$J$5001,BD!$A$3:$A$5001,AJ$3,BD!$B$3:$B$5001,$A$26)))</f>
        <v/>
      </c>
      <c r="AK30" s="203" t="str">
        <f>IF(COUNT(F30:AJ30)=0,"",SUM(F30:AJ30))</f>
        <v/>
      </c>
    </row>
    <row r="31" ht="15.75" customHeight="1">
      <c r="A31" s="247"/>
      <c r="B31" s="242"/>
      <c r="C31" s="204" t="inlineStr">
        <is>
          <t xml:space="preserve">Backlog</t>
        </is>
      </c>
      <c r="D31" s="205" t="str">
        <f>IFERROR(1/(1/INDEX(BD!$Y$31:$AD$31,MATCH($A$26,BD!$Y$22:$AD$22,0))),"")</f>
        <v/>
      </c>
      <c r="E31" s="206"/>
      <c r="F31" s="207" t="str">
        <f>IF(F$3="","",IF(COUNTIFS(BD!$A$3:$A$5001,F$3,BD!$B$3:$B$5001,$A$26,BD!$K$3:$K$5001,"&lt;&gt;")=0,"",SUMIFS(BD!$K$3:$K$5001,BD!$A$3:$A$5001,F$3,BD!$B$3:$B$5001,$A$26)))</f>
        <v/>
      </c>
      <c r="G31" s="208" t="str">
        <f>IF(G$3="","",IF(COUNTIFS(BD!$A$3:$A$5001,G$3,BD!$B$3:$B$5001,$A$26,BD!$K$3:$K$5001,"&lt;&gt;")=0,"",SUMIFS(BD!$K$3:$K$5001,BD!$A$3:$A$5001,G$3,BD!$B$3:$B$5001,$A$26)))</f>
        <v/>
      </c>
      <c r="H31" s="208" t="str">
        <f>IF(H$3="","",IF(COUNTIFS(BD!$A$3:$A$5001,H$3,BD!$B$3:$B$5001,$A$26,BD!$K$3:$K$5001,"&lt;&gt;")=0,"",SUMIFS(BD!$K$3:$K$5001,BD!$A$3:$A$5001,H$3,BD!$B$3:$B$5001,$A$26)))</f>
        <v/>
      </c>
      <c r="I31" s="208" t="str">
        <f>IF(I$3="","",IF(COUNTIFS(BD!$A$3:$A$5001,I$3,BD!$B$3:$B$5001,$A$26,BD!$K$3:$K$5001,"&lt;&gt;")=0,"",SUMIFS(BD!$K$3:$K$5001,BD!$A$3:$A$5001,I$3,BD!$B$3:$B$5001,$A$26)))</f>
        <v/>
      </c>
      <c r="J31" s="208" t="str">
        <f>IF(J$3="","",IF(COUNTIFS(BD!$A$3:$A$5001,J$3,BD!$B$3:$B$5001,$A$26,BD!$K$3:$K$5001,"&lt;&gt;")=0,"",SUMIFS(BD!$K$3:$K$5001,BD!$A$3:$A$5001,J$3,BD!$B$3:$B$5001,$A$26)))</f>
        <v/>
      </c>
      <c r="K31" s="208" t="str">
        <f>IF(K$3="","",IF(COUNTIFS(BD!$A$3:$A$5001,K$3,BD!$B$3:$B$5001,$A$26,BD!$K$3:$K$5001,"&lt;&gt;")=0,"",SUMIFS(BD!$K$3:$K$5001,BD!$A$3:$A$5001,K$3,BD!$B$3:$B$5001,$A$26)))</f>
        <v/>
      </c>
      <c r="L31" s="208" t="str">
        <f>IF(L$3="","",IF(COUNTIFS(BD!$A$3:$A$5001,L$3,BD!$B$3:$B$5001,$A$26,BD!$K$3:$K$5001,"&lt;&gt;")=0,"",SUMIFS(BD!$K$3:$K$5001,BD!$A$3:$A$5001,L$3,BD!$B$3:$B$5001,$A$26)))</f>
        <v/>
      </c>
      <c r="M31" s="208" t="str">
        <f>IF(M$3="","",IF(COUNTIFS(BD!$A$3:$A$5001,M$3,BD!$B$3:$B$5001,$A$26,BD!$K$3:$K$5001,"&lt;&gt;")=0,"",SUMIFS(BD!$K$3:$K$5001,BD!$A$3:$A$5001,M$3,BD!$B$3:$B$5001,$A$26)))</f>
        <v/>
      </c>
      <c r="N31" s="208" t="str">
        <f>IF(N$3="","",IF(COUNTIFS(BD!$A$3:$A$5001,N$3,BD!$B$3:$B$5001,$A$26,BD!$K$3:$K$5001,"&lt;&gt;")=0,"",SUMIFS(BD!$K$3:$K$5001,BD!$A$3:$A$5001,N$3,BD!$B$3:$B$5001,$A$26)))</f>
        <v/>
      </c>
      <c r="O31" s="208" t="str">
        <f>IF(O$3="","",IF(COUNTIFS(BD!$A$3:$A$5001,O$3,BD!$B$3:$B$5001,$A$26,BD!$K$3:$K$5001,"&lt;&gt;")=0,"",SUMIFS(BD!$K$3:$K$5001,BD!$A$3:$A$5001,O$3,BD!$B$3:$B$5001,$A$26)))</f>
        <v/>
      </c>
      <c r="P31" s="208" t="str">
        <f>IF(P$3="","",IF(COUNTIFS(BD!$A$3:$A$5001,P$3,BD!$B$3:$B$5001,$A$26,BD!$K$3:$K$5001,"&lt;&gt;")=0,"",SUMIFS(BD!$K$3:$K$5001,BD!$A$3:$A$5001,P$3,BD!$B$3:$B$5001,$A$26)))</f>
        <v/>
      </c>
      <c r="Q31" s="208" t="str">
        <f>IF(Q$3="","",IF(COUNTIFS(BD!$A$3:$A$5001,Q$3,BD!$B$3:$B$5001,$A$26,BD!$K$3:$K$5001,"&lt;&gt;")=0,"",SUMIFS(BD!$K$3:$K$5001,BD!$A$3:$A$5001,Q$3,BD!$B$3:$B$5001,$A$26)))</f>
        <v/>
      </c>
      <c r="R31" s="208" t="str">
        <f>IF(R$3="","",IF(COUNTIFS(BD!$A$3:$A$5001,R$3,BD!$B$3:$B$5001,$A$26,BD!$K$3:$K$5001,"&lt;&gt;")=0,"",SUMIFS(BD!$K$3:$K$5001,BD!$A$3:$A$5001,R$3,BD!$B$3:$B$5001,$A$26)))</f>
        <v/>
      </c>
      <c r="S31" s="208" t="str">
        <f>IF(S$3="","",IF(COUNTIFS(BD!$A$3:$A$5001,S$3,BD!$B$3:$B$5001,$A$26,BD!$K$3:$K$5001,"&lt;&gt;")=0,"",SUMIFS(BD!$K$3:$K$5001,BD!$A$3:$A$5001,S$3,BD!$B$3:$B$5001,$A$26)))</f>
        <v/>
      </c>
      <c r="T31" s="208" t="str">
        <f>IF(T$3="","",IF(COUNTIFS(BD!$A$3:$A$5001,T$3,BD!$B$3:$B$5001,$A$26,BD!$K$3:$K$5001,"&lt;&gt;")=0,"",SUMIFS(BD!$K$3:$K$5001,BD!$A$3:$A$5001,T$3,BD!$B$3:$B$5001,$A$26)))</f>
        <v/>
      </c>
      <c r="U31" s="208" t="str">
        <f>IF(U$3="","",IF(COUNTIFS(BD!$A$3:$A$5001,U$3,BD!$B$3:$B$5001,$A$26,BD!$K$3:$K$5001,"&lt;&gt;")=0,"",SUMIFS(BD!$K$3:$K$5001,BD!$A$3:$A$5001,U$3,BD!$B$3:$B$5001,$A$26)))</f>
        <v/>
      </c>
      <c r="V31" s="208" t="str">
        <f>IF(V$3="","",IF(COUNTIFS(BD!$A$3:$A$5001,V$3,BD!$B$3:$B$5001,$A$26,BD!$K$3:$K$5001,"&lt;&gt;")=0,"",SUMIFS(BD!$K$3:$K$5001,BD!$A$3:$A$5001,V$3,BD!$B$3:$B$5001,$A$26)))</f>
        <v/>
      </c>
      <c r="W31" s="208" t="str">
        <f>IF(W$3="","",IF(COUNTIFS(BD!$A$3:$A$5001,W$3,BD!$B$3:$B$5001,$A$26,BD!$K$3:$K$5001,"&lt;&gt;")=0,"",SUMIFS(BD!$K$3:$K$5001,BD!$A$3:$A$5001,W$3,BD!$B$3:$B$5001,$A$26)))</f>
        <v/>
      </c>
      <c r="X31" s="208" t="str">
        <f>IF(X$3="","",IF(COUNTIFS(BD!$A$3:$A$5001,X$3,BD!$B$3:$B$5001,$A$26,BD!$K$3:$K$5001,"&lt;&gt;")=0,"",SUMIFS(BD!$K$3:$K$5001,BD!$A$3:$A$5001,X$3,BD!$B$3:$B$5001,$A$26)))</f>
        <v/>
      </c>
      <c r="Y31" s="208" t="str">
        <f>IF(Y$3="","",IF(COUNTIFS(BD!$A$3:$A$5001,Y$3,BD!$B$3:$B$5001,$A$26,BD!$K$3:$K$5001,"&lt;&gt;")=0,"",SUMIFS(BD!$K$3:$K$5001,BD!$A$3:$A$5001,Y$3,BD!$B$3:$B$5001,$A$26)))</f>
        <v/>
      </c>
      <c r="Z31" s="208" t="str">
        <f>IF(Z$3="","",IF(COUNTIFS(BD!$A$3:$A$5001,Z$3,BD!$B$3:$B$5001,$A$26,BD!$K$3:$K$5001,"&lt;&gt;")=0,"",SUMIFS(BD!$K$3:$K$5001,BD!$A$3:$A$5001,Z$3,BD!$B$3:$B$5001,$A$26)))</f>
        <v/>
      </c>
      <c r="AA31" s="208" t="str">
        <f>IF(AA$3="","",IF(COUNTIFS(BD!$A$3:$A$5001,AA$3,BD!$B$3:$B$5001,$A$26,BD!$K$3:$K$5001,"&lt;&gt;")=0,"",SUMIFS(BD!$K$3:$K$5001,BD!$A$3:$A$5001,AA$3,BD!$B$3:$B$5001,$A$26)))</f>
        <v/>
      </c>
      <c r="AB31" s="208" t="str">
        <f>IF(AB$3="","",IF(COUNTIFS(BD!$A$3:$A$5001,AB$3,BD!$B$3:$B$5001,$A$26,BD!$K$3:$K$5001,"&lt;&gt;")=0,"",SUMIFS(BD!$K$3:$K$5001,BD!$A$3:$A$5001,AB$3,BD!$B$3:$B$5001,$A$26)))</f>
        <v/>
      </c>
      <c r="AC31" s="208" t="str">
        <f>IF(AC$3="","",IF(COUNTIFS(BD!$A$3:$A$5001,AC$3,BD!$B$3:$B$5001,$A$26,BD!$K$3:$K$5001,"&lt;&gt;")=0,"",SUMIFS(BD!$K$3:$K$5001,BD!$A$3:$A$5001,AC$3,BD!$B$3:$B$5001,$A$26)))</f>
        <v/>
      </c>
      <c r="AD31" s="208" t="str">
        <f>IF(AD$3="","",IF(COUNTIFS(BD!$A$3:$A$5001,AD$3,BD!$B$3:$B$5001,$A$26,BD!$K$3:$K$5001,"&lt;&gt;")=0,"",SUMIFS(BD!$K$3:$K$5001,BD!$A$3:$A$5001,AD$3,BD!$B$3:$B$5001,$A$26)))</f>
        <v/>
      </c>
      <c r="AE31" s="208" t="str">
        <f>IF(AE$3="","",IF(COUNTIFS(BD!$A$3:$A$5001,AE$3,BD!$B$3:$B$5001,$A$26,BD!$K$3:$K$5001,"&lt;&gt;")=0,"",SUMIFS(BD!$K$3:$K$5001,BD!$A$3:$A$5001,AE$3,BD!$B$3:$B$5001,$A$26)))</f>
        <v/>
      </c>
      <c r="AF31" s="208" t="str">
        <f>IF(AF$3="","",IF(COUNTIFS(BD!$A$3:$A$5001,AF$3,BD!$B$3:$B$5001,$A$26,BD!$K$3:$K$5001,"&lt;&gt;")=0,"",SUMIFS(BD!$K$3:$K$5001,BD!$A$3:$A$5001,AF$3,BD!$B$3:$B$5001,$A$26)))</f>
        <v/>
      </c>
      <c r="AG31" s="208" t="str">
        <f>IF(AG$3="","",IF(COUNTIFS(BD!$A$3:$A$5001,AG$3,BD!$B$3:$B$5001,$A$26,BD!$K$3:$K$5001,"&lt;&gt;")=0,"",SUMIFS(BD!$K$3:$K$5001,BD!$A$3:$A$5001,AG$3,BD!$B$3:$B$5001,$A$26)))</f>
        <v/>
      </c>
      <c r="AH31" s="208" t="str">
        <f>IF(AH$3="","",IF(COUNTIFS(BD!$A$3:$A$5001,AH$3,BD!$B$3:$B$5001,$A$26,BD!$K$3:$K$5001,"&lt;&gt;")=0,"",SUMIFS(BD!$K$3:$K$5001,BD!$A$3:$A$5001,AH$3,BD!$B$3:$B$5001,$A$26)))</f>
        <v/>
      </c>
      <c r="AI31" s="208" t="str">
        <f>IF(AI$3="","",IF(COUNTIFS(BD!$A$3:$A$5001,AI$3,BD!$B$3:$B$5001,$A$26,BD!$K$3:$K$5001,"&lt;&gt;")=0,"",SUMIFS(BD!$K$3:$K$5001,BD!$A$3:$A$5001,AI$3,BD!$B$3:$B$5001,$A$26)))</f>
        <v/>
      </c>
      <c r="AJ31" s="209" t="str">
        <f>IF(AJ$3="","",IF(COUNTIFS(BD!$A$3:$A$5001,AJ$3,BD!$B$3:$B$5001,$A$26,BD!$K$3:$K$5001,"&lt;&gt;")=0,"",SUMIFS(BD!$K$3:$K$5001,BD!$A$3:$A$5001,AJ$3,BD!$B$3:$B$5001,$A$26)))</f>
        <v/>
      </c>
      <c r="AK31" s="205" t="str">
        <f>IFERROR(LOOKUP(9.99E+307,F31:AJ31),"")</f>
        <v/>
      </c>
    </row>
    <row r="32" ht="15.75" customHeight="1">
      <c r="A32" s="247"/>
      <c r="B32" s="243" t="inlineStr">
        <is>
          <t xml:space="preserve">GENTE</t>
        </is>
      </c>
      <c r="C32" s="214" t="inlineStr">
        <is>
          <t xml:space="preserve">Efetivo Op.</t>
        </is>
      </c>
      <c r="D32" s="215" t="str">
        <f>IFERROR(1/(1/INDEX(BD!$Y$35:$AD$35,MATCH($A$26,BD!$Y$22:$AD$22,0))),"")</f>
        <v/>
      </c>
      <c r="E32" s="216"/>
      <c r="F32" s="217" t="str">
        <f>IF(F$3="","",IF(COUNTIFS(BD!$A$3:$A$5001,F$3,BD!$B$3:$B$5001,$A$26,BD!$N$3:$N$5001,"&lt;&gt;")=0,"",SUMIFS(BD!$N$3:$N$5001,BD!$A$3:$A$5001,F$3,BD!$B$3:$B$5001,$A$26)))</f>
        <v/>
      </c>
      <c r="G32" s="218" t="str">
        <f>IF(G$3="","",IF(COUNTIFS(BD!$A$3:$A$5001,G$3,BD!$B$3:$B$5001,$A$26,BD!$N$3:$N$5001,"&lt;&gt;")=0,"",SUMIFS(BD!$N$3:$N$5001,BD!$A$3:$A$5001,G$3,BD!$B$3:$B$5001,$A$26)))</f>
        <v/>
      </c>
      <c r="H32" s="218" t="str">
        <f>IF(H$3="","",IF(COUNTIFS(BD!$A$3:$A$5001,H$3,BD!$B$3:$B$5001,$A$26,BD!$N$3:$N$5001,"&lt;&gt;")=0,"",SUMIFS(BD!$N$3:$N$5001,BD!$A$3:$A$5001,H$3,BD!$B$3:$B$5001,$A$26)))</f>
        <v/>
      </c>
      <c r="I32" s="218" t="str">
        <f>IF(I$3="","",IF(COUNTIFS(BD!$A$3:$A$5001,I$3,BD!$B$3:$B$5001,$A$26,BD!$N$3:$N$5001,"&lt;&gt;")=0,"",SUMIFS(BD!$N$3:$N$5001,BD!$A$3:$A$5001,I$3,BD!$B$3:$B$5001,$A$26)))</f>
        <v/>
      </c>
      <c r="J32" s="218" t="str">
        <f>IF(J$3="","",IF(COUNTIFS(BD!$A$3:$A$5001,J$3,BD!$B$3:$B$5001,$A$26,BD!$N$3:$N$5001,"&lt;&gt;")=0,"",SUMIFS(BD!$N$3:$N$5001,BD!$A$3:$A$5001,J$3,BD!$B$3:$B$5001,$A$26)))</f>
        <v/>
      </c>
      <c r="K32" s="218" t="str">
        <f>IF(K$3="","",IF(COUNTIFS(BD!$A$3:$A$5001,K$3,BD!$B$3:$B$5001,$A$26,BD!$N$3:$N$5001,"&lt;&gt;")=0,"",SUMIFS(BD!$N$3:$N$5001,BD!$A$3:$A$5001,K$3,BD!$B$3:$B$5001,$A$26)))</f>
        <v/>
      </c>
      <c r="L32" s="218" t="str">
        <f>IF(L$3="","",IF(COUNTIFS(BD!$A$3:$A$5001,L$3,BD!$B$3:$B$5001,$A$26,BD!$N$3:$N$5001,"&lt;&gt;")=0,"",SUMIFS(BD!$N$3:$N$5001,BD!$A$3:$A$5001,L$3,BD!$B$3:$B$5001,$A$26)))</f>
        <v/>
      </c>
      <c r="M32" s="218" t="str">
        <f>IF(M$3="","",IF(COUNTIFS(BD!$A$3:$A$5001,M$3,BD!$B$3:$B$5001,$A$26,BD!$N$3:$N$5001,"&lt;&gt;")=0,"",SUMIFS(BD!$N$3:$N$5001,BD!$A$3:$A$5001,M$3,BD!$B$3:$B$5001,$A$26)))</f>
        <v/>
      </c>
      <c r="N32" s="218" t="str">
        <f>IF(N$3="","",IF(COUNTIFS(BD!$A$3:$A$5001,N$3,BD!$B$3:$B$5001,$A$26,BD!$N$3:$N$5001,"&lt;&gt;")=0,"",SUMIFS(BD!$N$3:$N$5001,BD!$A$3:$A$5001,N$3,BD!$B$3:$B$5001,$A$26)))</f>
        <v/>
      </c>
      <c r="O32" s="218" t="str">
        <f>IF(O$3="","",IF(COUNTIFS(BD!$A$3:$A$5001,O$3,BD!$B$3:$B$5001,$A$26,BD!$N$3:$N$5001,"&lt;&gt;")=0,"",SUMIFS(BD!$N$3:$N$5001,BD!$A$3:$A$5001,O$3,BD!$B$3:$B$5001,$A$26)))</f>
        <v/>
      </c>
      <c r="P32" s="218" t="str">
        <f>IF(P$3="","",IF(COUNTIFS(BD!$A$3:$A$5001,P$3,BD!$B$3:$B$5001,$A$26,BD!$N$3:$N$5001,"&lt;&gt;")=0,"",SUMIFS(BD!$N$3:$N$5001,BD!$A$3:$A$5001,P$3,BD!$B$3:$B$5001,$A$26)))</f>
        <v/>
      </c>
      <c r="Q32" s="218" t="str">
        <f>IF(Q$3="","",IF(COUNTIFS(BD!$A$3:$A$5001,Q$3,BD!$B$3:$B$5001,$A$26,BD!$N$3:$N$5001,"&lt;&gt;")=0,"",SUMIFS(BD!$N$3:$N$5001,BD!$A$3:$A$5001,Q$3,BD!$B$3:$B$5001,$A$26)))</f>
        <v/>
      </c>
      <c r="R32" s="218" t="str">
        <f>IF(R$3="","",IF(COUNTIFS(BD!$A$3:$A$5001,R$3,BD!$B$3:$B$5001,$A$26,BD!$N$3:$N$5001,"&lt;&gt;")=0,"",SUMIFS(BD!$N$3:$N$5001,BD!$A$3:$A$5001,R$3,BD!$B$3:$B$5001,$A$26)))</f>
        <v/>
      </c>
      <c r="S32" s="218" t="str">
        <f>IF(S$3="","",IF(COUNTIFS(BD!$A$3:$A$5001,S$3,BD!$B$3:$B$5001,$A$26,BD!$N$3:$N$5001,"&lt;&gt;")=0,"",SUMIFS(BD!$N$3:$N$5001,BD!$A$3:$A$5001,S$3,BD!$B$3:$B$5001,$A$26)))</f>
        <v/>
      </c>
      <c r="T32" s="218" t="str">
        <f>IF(T$3="","",IF(COUNTIFS(BD!$A$3:$A$5001,T$3,BD!$B$3:$B$5001,$A$26,BD!$N$3:$N$5001,"&lt;&gt;")=0,"",SUMIFS(BD!$N$3:$N$5001,BD!$A$3:$A$5001,T$3,BD!$B$3:$B$5001,$A$26)))</f>
        <v/>
      </c>
      <c r="U32" s="218" t="str">
        <f>IF(U$3="","",IF(COUNTIFS(BD!$A$3:$A$5001,U$3,BD!$B$3:$B$5001,$A$26,BD!$N$3:$N$5001,"&lt;&gt;")=0,"",SUMIFS(BD!$N$3:$N$5001,BD!$A$3:$A$5001,U$3,BD!$B$3:$B$5001,$A$26)))</f>
        <v/>
      </c>
      <c r="V32" s="218" t="str">
        <f>IF(V$3="","",IF(COUNTIFS(BD!$A$3:$A$5001,V$3,BD!$B$3:$B$5001,$A$26,BD!$N$3:$N$5001,"&lt;&gt;")=0,"",SUMIFS(BD!$N$3:$N$5001,BD!$A$3:$A$5001,V$3,BD!$B$3:$B$5001,$A$26)))</f>
        <v/>
      </c>
      <c r="W32" s="218" t="str">
        <f>IF(W$3="","",IF(COUNTIFS(BD!$A$3:$A$5001,W$3,BD!$B$3:$B$5001,$A$26,BD!$N$3:$N$5001,"&lt;&gt;")=0,"",SUMIFS(BD!$N$3:$N$5001,BD!$A$3:$A$5001,W$3,BD!$B$3:$B$5001,$A$26)))</f>
        <v/>
      </c>
      <c r="X32" s="218" t="str">
        <f>IF(X$3="","",IF(COUNTIFS(BD!$A$3:$A$5001,X$3,BD!$B$3:$B$5001,$A$26,BD!$N$3:$N$5001,"&lt;&gt;")=0,"",SUMIFS(BD!$N$3:$N$5001,BD!$A$3:$A$5001,X$3,BD!$B$3:$B$5001,$A$26)))</f>
        <v/>
      </c>
      <c r="Y32" s="218" t="str">
        <f>IF(Y$3="","",IF(COUNTIFS(BD!$A$3:$A$5001,Y$3,BD!$B$3:$B$5001,$A$26,BD!$N$3:$N$5001,"&lt;&gt;")=0,"",SUMIFS(BD!$N$3:$N$5001,BD!$A$3:$A$5001,Y$3,BD!$B$3:$B$5001,$A$26)))</f>
        <v/>
      </c>
      <c r="Z32" s="218" t="str">
        <f>IF(Z$3="","",IF(COUNTIFS(BD!$A$3:$A$5001,Z$3,BD!$B$3:$B$5001,$A$26,BD!$N$3:$N$5001,"&lt;&gt;")=0,"",SUMIFS(BD!$N$3:$N$5001,BD!$A$3:$A$5001,Z$3,BD!$B$3:$B$5001,$A$26)))</f>
        <v/>
      </c>
      <c r="AA32" s="218" t="str">
        <f>IF(AA$3="","",IF(COUNTIFS(BD!$A$3:$A$5001,AA$3,BD!$B$3:$B$5001,$A$26,BD!$N$3:$N$5001,"&lt;&gt;")=0,"",SUMIFS(BD!$N$3:$N$5001,BD!$A$3:$A$5001,AA$3,BD!$B$3:$B$5001,$A$26)))</f>
        <v/>
      </c>
      <c r="AB32" s="218" t="str">
        <f>IF(AB$3="","",IF(COUNTIFS(BD!$A$3:$A$5001,AB$3,BD!$B$3:$B$5001,$A$26,BD!$N$3:$N$5001,"&lt;&gt;")=0,"",SUMIFS(BD!$N$3:$N$5001,BD!$A$3:$A$5001,AB$3,BD!$B$3:$B$5001,$A$26)))</f>
        <v/>
      </c>
      <c r="AC32" s="218" t="str">
        <f>IF(AC$3="","",IF(COUNTIFS(BD!$A$3:$A$5001,AC$3,BD!$B$3:$B$5001,$A$26,BD!$N$3:$N$5001,"&lt;&gt;")=0,"",SUMIFS(BD!$N$3:$N$5001,BD!$A$3:$A$5001,AC$3,BD!$B$3:$B$5001,$A$26)))</f>
        <v/>
      </c>
      <c r="AD32" s="218" t="str">
        <f>IF(AD$3="","",IF(COUNTIFS(BD!$A$3:$A$5001,AD$3,BD!$B$3:$B$5001,$A$26,BD!$N$3:$N$5001,"&lt;&gt;")=0,"",SUMIFS(BD!$N$3:$N$5001,BD!$A$3:$A$5001,AD$3,BD!$B$3:$B$5001,$A$26)))</f>
        <v/>
      </c>
      <c r="AE32" s="218" t="str">
        <f>IF(AE$3="","",IF(COUNTIFS(BD!$A$3:$A$5001,AE$3,BD!$B$3:$B$5001,$A$26,BD!$N$3:$N$5001,"&lt;&gt;")=0,"",SUMIFS(BD!$N$3:$N$5001,BD!$A$3:$A$5001,AE$3,BD!$B$3:$B$5001,$A$26)))</f>
        <v/>
      </c>
      <c r="AF32" s="218" t="str">
        <f>IF(AF$3="","",IF(COUNTIFS(BD!$A$3:$A$5001,AF$3,BD!$B$3:$B$5001,$A$26,BD!$N$3:$N$5001,"&lt;&gt;")=0,"",SUMIFS(BD!$N$3:$N$5001,BD!$A$3:$A$5001,AF$3,BD!$B$3:$B$5001,$A$26)))</f>
        <v/>
      </c>
      <c r="AG32" s="218" t="str">
        <f>IF(AG$3="","",IF(COUNTIFS(BD!$A$3:$A$5001,AG$3,BD!$B$3:$B$5001,$A$26,BD!$N$3:$N$5001,"&lt;&gt;")=0,"",SUMIFS(BD!$N$3:$N$5001,BD!$A$3:$A$5001,AG$3,BD!$B$3:$B$5001,$A$26)))</f>
        <v/>
      </c>
      <c r="AH32" s="218" t="str">
        <f>IF(AH$3="","",IF(COUNTIFS(BD!$A$3:$A$5001,AH$3,BD!$B$3:$B$5001,$A$26,BD!$N$3:$N$5001,"&lt;&gt;")=0,"",SUMIFS(BD!$N$3:$N$5001,BD!$A$3:$A$5001,AH$3,BD!$B$3:$B$5001,$A$26)))</f>
        <v/>
      </c>
      <c r="AI32" s="218" t="str">
        <f>IF(AI$3="","",IF(COUNTIFS(BD!$A$3:$A$5001,AI$3,BD!$B$3:$B$5001,$A$26,BD!$N$3:$N$5001,"&lt;&gt;")=0,"",SUMIFS(BD!$N$3:$N$5001,BD!$A$3:$A$5001,AI$3,BD!$B$3:$B$5001,$A$26)))</f>
        <v/>
      </c>
      <c r="AJ32" s="219" t="str">
        <f>IF(AJ$3="","",IF(COUNTIFS(BD!$A$3:$A$5001,AJ$3,BD!$B$3:$B$5001,$A$26,BD!$N$3:$N$5001,"&lt;&gt;")=0,"",SUMIFS(BD!$N$3:$N$5001,BD!$A$3:$A$5001,AJ$3,BD!$B$3:$B$5001,$A$26)))</f>
        <v/>
      </c>
      <c r="AK32" s="220" t="str">
        <f>IFERROR(LOOKUP(9.99E+307,F32:AJ32),"")</f>
        <v/>
      </c>
    </row>
    <row r="33" ht="15.75" customHeight="1">
      <c r="A33" s="247"/>
      <c r="B33" s="244"/>
      <c r="C33" s="221" t="inlineStr">
        <is>
          <t xml:space="preserve">Falta</t>
        </is>
      </c>
      <c r="D33" s="222" t="str">
        <f>IFERROR(1/(1/INDEX(BD!$Y$36:$AD$36,MATCH($A$26,BD!$Y$22:$AD$22,0))),"")</f>
        <v/>
      </c>
      <c r="E33" s="223"/>
      <c r="F33" s="224" t="str">
        <f>IF(F$3="","",IF(COUNTIFS(BD!$A$3:$A$5001,F$3,BD!$B$3:$B$5001,$A$26,BD!$O$3:$O$5001,"&lt;&gt;")=0,"",SUMIFS(BD!$O$3:$O$5001,BD!$A$3:$A$5001,F$3,BD!$B$3:$B$5001,$A$26)))</f>
        <v/>
      </c>
      <c r="G33" s="225" t="str">
        <f>IF(G$3="","",IF(COUNTIFS(BD!$A$3:$A$5001,G$3,BD!$B$3:$B$5001,$A$26,BD!$O$3:$O$5001,"&lt;&gt;")=0,"",SUMIFS(BD!$O$3:$O$5001,BD!$A$3:$A$5001,G$3,BD!$B$3:$B$5001,$A$26)))</f>
        <v/>
      </c>
      <c r="H33" s="225" t="str">
        <f>IF(H$3="","",IF(COUNTIFS(BD!$A$3:$A$5001,H$3,BD!$B$3:$B$5001,$A$26,BD!$O$3:$O$5001,"&lt;&gt;")=0,"",SUMIFS(BD!$O$3:$O$5001,BD!$A$3:$A$5001,H$3,BD!$B$3:$B$5001,$A$26)))</f>
        <v/>
      </c>
      <c r="I33" s="225" t="str">
        <f>IF(I$3="","",IF(COUNTIFS(BD!$A$3:$A$5001,I$3,BD!$B$3:$B$5001,$A$26,BD!$O$3:$O$5001,"&lt;&gt;")=0,"",SUMIFS(BD!$O$3:$O$5001,BD!$A$3:$A$5001,I$3,BD!$B$3:$B$5001,$A$26)))</f>
        <v/>
      </c>
      <c r="J33" s="225" t="str">
        <f>IF(J$3="","",IF(COUNTIFS(BD!$A$3:$A$5001,J$3,BD!$B$3:$B$5001,$A$26,BD!$O$3:$O$5001,"&lt;&gt;")=0,"",SUMIFS(BD!$O$3:$O$5001,BD!$A$3:$A$5001,J$3,BD!$B$3:$B$5001,$A$26)))</f>
        <v/>
      </c>
      <c r="K33" s="225" t="str">
        <f>IF(K$3="","",IF(COUNTIFS(BD!$A$3:$A$5001,K$3,BD!$B$3:$B$5001,$A$26,BD!$O$3:$O$5001,"&lt;&gt;")=0,"",SUMIFS(BD!$O$3:$O$5001,BD!$A$3:$A$5001,K$3,BD!$B$3:$B$5001,$A$26)))</f>
        <v/>
      </c>
      <c r="L33" s="225" t="str">
        <f>IF(L$3="","",IF(COUNTIFS(BD!$A$3:$A$5001,L$3,BD!$B$3:$B$5001,$A$26,BD!$O$3:$O$5001,"&lt;&gt;")=0,"",SUMIFS(BD!$O$3:$O$5001,BD!$A$3:$A$5001,L$3,BD!$B$3:$B$5001,$A$26)))</f>
        <v/>
      </c>
      <c r="M33" s="225" t="str">
        <f>IF(M$3="","",IF(COUNTIFS(BD!$A$3:$A$5001,M$3,BD!$B$3:$B$5001,$A$26,BD!$O$3:$O$5001,"&lt;&gt;")=0,"",SUMIFS(BD!$O$3:$O$5001,BD!$A$3:$A$5001,M$3,BD!$B$3:$B$5001,$A$26)))</f>
        <v/>
      </c>
      <c r="N33" s="225" t="str">
        <f>IF(N$3="","",IF(COUNTIFS(BD!$A$3:$A$5001,N$3,BD!$B$3:$B$5001,$A$26,BD!$O$3:$O$5001,"&lt;&gt;")=0,"",SUMIFS(BD!$O$3:$O$5001,BD!$A$3:$A$5001,N$3,BD!$B$3:$B$5001,$A$26)))</f>
        <v/>
      </c>
      <c r="O33" s="225" t="str">
        <f>IF(O$3="","",IF(COUNTIFS(BD!$A$3:$A$5001,O$3,BD!$B$3:$B$5001,$A$26,BD!$O$3:$O$5001,"&lt;&gt;")=0,"",SUMIFS(BD!$O$3:$O$5001,BD!$A$3:$A$5001,O$3,BD!$B$3:$B$5001,$A$26)))</f>
        <v/>
      </c>
      <c r="P33" s="225" t="str">
        <f>IF(P$3="","",IF(COUNTIFS(BD!$A$3:$A$5001,P$3,BD!$B$3:$B$5001,$A$26,BD!$O$3:$O$5001,"&lt;&gt;")=0,"",SUMIFS(BD!$O$3:$O$5001,BD!$A$3:$A$5001,P$3,BD!$B$3:$B$5001,$A$26)))</f>
        <v/>
      </c>
      <c r="Q33" s="225" t="str">
        <f>IF(Q$3="","",IF(COUNTIFS(BD!$A$3:$A$5001,Q$3,BD!$B$3:$B$5001,$A$26,BD!$O$3:$O$5001,"&lt;&gt;")=0,"",SUMIFS(BD!$O$3:$O$5001,BD!$A$3:$A$5001,Q$3,BD!$B$3:$B$5001,$A$26)))</f>
        <v/>
      </c>
      <c r="R33" s="225" t="str">
        <f>IF(R$3="","",IF(COUNTIFS(BD!$A$3:$A$5001,R$3,BD!$B$3:$B$5001,$A$26,BD!$O$3:$O$5001,"&lt;&gt;")=0,"",SUMIFS(BD!$O$3:$O$5001,BD!$A$3:$A$5001,R$3,BD!$B$3:$B$5001,$A$26)))</f>
        <v/>
      </c>
      <c r="S33" s="225" t="str">
        <f>IF(S$3="","",IF(COUNTIFS(BD!$A$3:$A$5001,S$3,BD!$B$3:$B$5001,$A$26,BD!$O$3:$O$5001,"&lt;&gt;")=0,"",SUMIFS(BD!$O$3:$O$5001,BD!$A$3:$A$5001,S$3,BD!$B$3:$B$5001,$A$26)))</f>
        <v/>
      </c>
      <c r="T33" s="225" t="str">
        <f>IF(T$3="","",IF(COUNTIFS(BD!$A$3:$A$5001,T$3,BD!$B$3:$B$5001,$A$26,BD!$O$3:$O$5001,"&lt;&gt;")=0,"",SUMIFS(BD!$O$3:$O$5001,BD!$A$3:$A$5001,T$3,BD!$B$3:$B$5001,$A$26)))</f>
        <v/>
      </c>
      <c r="U33" s="225" t="str">
        <f>IF(U$3="","",IF(COUNTIFS(BD!$A$3:$A$5001,U$3,BD!$B$3:$B$5001,$A$26,BD!$O$3:$O$5001,"&lt;&gt;")=0,"",SUMIFS(BD!$O$3:$O$5001,BD!$A$3:$A$5001,U$3,BD!$B$3:$B$5001,$A$26)))</f>
        <v/>
      </c>
      <c r="V33" s="225" t="str">
        <f>IF(V$3="","",IF(COUNTIFS(BD!$A$3:$A$5001,V$3,BD!$B$3:$B$5001,$A$26,BD!$O$3:$O$5001,"&lt;&gt;")=0,"",SUMIFS(BD!$O$3:$O$5001,BD!$A$3:$A$5001,V$3,BD!$B$3:$B$5001,$A$26)))</f>
        <v/>
      </c>
      <c r="W33" s="225" t="str">
        <f>IF(W$3="","",IF(COUNTIFS(BD!$A$3:$A$5001,W$3,BD!$B$3:$B$5001,$A$26,BD!$O$3:$O$5001,"&lt;&gt;")=0,"",SUMIFS(BD!$O$3:$O$5001,BD!$A$3:$A$5001,W$3,BD!$B$3:$B$5001,$A$26)))</f>
        <v/>
      </c>
      <c r="X33" s="225" t="str">
        <f>IF(X$3="","",IF(COUNTIFS(BD!$A$3:$A$5001,X$3,BD!$B$3:$B$5001,$A$26,BD!$O$3:$O$5001,"&lt;&gt;")=0,"",SUMIFS(BD!$O$3:$O$5001,BD!$A$3:$A$5001,X$3,BD!$B$3:$B$5001,$A$26)))</f>
        <v/>
      </c>
      <c r="Y33" s="225" t="str">
        <f>IF(Y$3="","",IF(COUNTIFS(BD!$A$3:$A$5001,Y$3,BD!$B$3:$B$5001,$A$26,BD!$O$3:$O$5001,"&lt;&gt;")=0,"",SUMIFS(BD!$O$3:$O$5001,BD!$A$3:$A$5001,Y$3,BD!$B$3:$B$5001,$A$26)))</f>
        <v/>
      </c>
      <c r="Z33" s="225" t="str">
        <f>IF(Z$3="","",IF(COUNTIFS(BD!$A$3:$A$5001,Z$3,BD!$B$3:$B$5001,$A$26,BD!$O$3:$O$5001,"&lt;&gt;")=0,"",SUMIFS(BD!$O$3:$O$5001,BD!$A$3:$A$5001,Z$3,BD!$B$3:$B$5001,$A$26)))</f>
        <v/>
      </c>
      <c r="AA33" s="225" t="str">
        <f>IF(AA$3="","",IF(COUNTIFS(BD!$A$3:$A$5001,AA$3,BD!$B$3:$B$5001,$A$26,BD!$O$3:$O$5001,"&lt;&gt;")=0,"",SUMIFS(BD!$O$3:$O$5001,BD!$A$3:$A$5001,AA$3,BD!$B$3:$B$5001,$A$26)))</f>
        <v/>
      </c>
      <c r="AB33" s="225" t="str">
        <f>IF(AB$3="","",IF(COUNTIFS(BD!$A$3:$A$5001,AB$3,BD!$B$3:$B$5001,$A$26,BD!$O$3:$O$5001,"&lt;&gt;")=0,"",SUMIFS(BD!$O$3:$O$5001,BD!$A$3:$A$5001,AB$3,BD!$B$3:$B$5001,$A$26)))</f>
        <v/>
      </c>
      <c r="AC33" s="225" t="str">
        <f>IF(AC$3="","",IF(COUNTIFS(BD!$A$3:$A$5001,AC$3,BD!$B$3:$B$5001,$A$26,BD!$O$3:$O$5001,"&lt;&gt;")=0,"",SUMIFS(BD!$O$3:$O$5001,BD!$A$3:$A$5001,AC$3,BD!$B$3:$B$5001,$A$26)))</f>
        <v/>
      </c>
      <c r="AD33" s="225" t="str">
        <f>IF(AD$3="","",IF(COUNTIFS(BD!$A$3:$A$5001,AD$3,BD!$B$3:$B$5001,$A$26,BD!$O$3:$O$5001,"&lt;&gt;")=0,"",SUMIFS(BD!$O$3:$O$5001,BD!$A$3:$A$5001,AD$3,BD!$B$3:$B$5001,$A$26)))</f>
        <v/>
      </c>
      <c r="AE33" s="225" t="str">
        <f>IF(AE$3="","",IF(COUNTIFS(BD!$A$3:$A$5001,AE$3,BD!$B$3:$B$5001,$A$26,BD!$O$3:$O$5001,"&lt;&gt;")=0,"",SUMIFS(BD!$O$3:$O$5001,BD!$A$3:$A$5001,AE$3,BD!$B$3:$B$5001,$A$26)))</f>
        <v/>
      </c>
      <c r="AF33" s="225" t="str">
        <f>IF(AF$3="","",IF(COUNTIFS(BD!$A$3:$A$5001,AF$3,BD!$B$3:$B$5001,$A$26,BD!$O$3:$O$5001,"&lt;&gt;")=0,"",SUMIFS(BD!$O$3:$O$5001,BD!$A$3:$A$5001,AF$3,BD!$B$3:$B$5001,$A$26)))</f>
        <v/>
      </c>
      <c r="AG33" s="225" t="str">
        <f>IF(AG$3="","",IF(COUNTIFS(BD!$A$3:$A$5001,AG$3,BD!$B$3:$B$5001,$A$26,BD!$O$3:$O$5001,"&lt;&gt;")=0,"",SUMIFS(BD!$O$3:$O$5001,BD!$A$3:$A$5001,AG$3,BD!$B$3:$B$5001,$A$26)))</f>
        <v/>
      </c>
      <c r="AH33" s="225" t="str">
        <f>IF(AH$3="","",IF(COUNTIFS(BD!$A$3:$A$5001,AH$3,BD!$B$3:$B$5001,$A$26,BD!$O$3:$O$5001,"&lt;&gt;")=0,"",SUMIFS(BD!$O$3:$O$5001,BD!$A$3:$A$5001,AH$3,BD!$B$3:$B$5001,$A$26)))</f>
        <v/>
      </c>
      <c r="AI33" s="225" t="str">
        <f>IF(AI$3="","",IF(COUNTIFS(BD!$A$3:$A$5001,AI$3,BD!$B$3:$B$5001,$A$26,BD!$O$3:$O$5001,"&lt;&gt;")=0,"",SUMIFS(BD!$O$3:$O$5001,BD!$A$3:$A$5001,AI$3,BD!$B$3:$B$5001,$A$26)))</f>
        <v/>
      </c>
      <c r="AJ33" s="226" t="str">
        <f>IF(AJ$3="","",IF(COUNTIFS(BD!$A$3:$A$5001,AJ$3,BD!$B$3:$B$5001,$A$26,BD!$O$3:$O$5001,"&lt;&gt;")=0,"",SUMIFS(BD!$O$3:$O$5001,BD!$A$3:$A$5001,AJ$3,BD!$B$3:$B$5001,$A$26)))</f>
        <v/>
      </c>
      <c r="AK33" s="227" t="str">
        <f>IF(COUNT(F33:AJ33)=0,"",SUM(F33:AJ33))</f>
        <v/>
      </c>
    </row>
    <row r="34" ht="15.75" customHeight="1">
      <c r="A34" s="247"/>
      <c r="B34" s="244"/>
      <c r="C34" s="221" t="inlineStr">
        <is>
          <t xml:space="preserve">Folga</t>
        </is>
      </c>
      <c r="D34" s="222" t="str">
        <f>IFERROR(1/(1/INDEX(BD!$Y$37:$AD$37,MATCH($A$26,BD!$Y$22:$AD$22,0))),"")</f>
        <v/>
      </c>
      <c r="E34" s="223"/>
      <c r="F34" s="224" t="str">
        <f>IF(F$3="","",IF(COUNTIFS(BD!$A$3:$A$5001,F$3,BD!$B$3:$B$5001,$A$26,BD!$P$3:$P$5001,"&lt;&gt;")=0,"",SUMIFS(BD!$P$3:$P$5001,BD!$A$3:$A$5001,F$3,BD!$B$3:$B$5001,$A$26)))</f>
        <v/>
      </c>
      <c r="G34" s="225" t="str">
        <f>IF(G$3="","",IF(COUNTIFS(BD!$A$3:$A$5001,G$3,BD!$B$3:$B$5001,$A$26,BD!$P$3:$P$5001,"&lt;&gt;")=0,"",SUMIFS(BD!$P$3:$P$5001,BD!$A$3:$A$5001,G$3,BD!$B$3:$B$5001,$A$26)))</f>
        <v/>
      </c>
      <c r="H34" s="225" t="str">
        <f>IF(H$3="","",IF(COUNTIFS(BD!$A$3:$A$5001,H$3,BD!$B$3:$B$5001,$A$26,BD!$P$3:$P$5001,"&lt;&gt;")=0,"",SUMIFS(BD!$P$3:$P$5001,BD!$A$3:$A$5001,H$3,BD!$B$3:$B$5001,$A$26)))</f>
        <v/>
      </c>
      <c r="I34" s="225" t="str">
        <f>IF(I$3="","",IF(COUNTIFS(BD!$A$3:$A$5001,I$3,BD!$B$3:$B$5001,$A$26,BD!$P$3:$P$5001,"&lt;&gt;")=0,"",SUMIFS(BD!$P$3:$P$5001,BD!$A$3:$A$5001,I$3,BD!$B$3:$B$5001,$A$26)))</f>
        <v/>
      </c>
      <c r="J34" s="225" t="str">
        <f>IF(J$3="","",IF(COUNTIFS(BD!$A$3:$A$5001,J$3,BD!$B$3:$B$5001,$A$26,BD!$P$3:$P$5001,"&lt;&gt;")=0,"",SUMIFS(BD!$P$3:$P$5001,BD!$A$3:$A$5001,J$3,BD!$B$3:$B$5001,$A$26)))</f>
        <v/>
      </c>
      <c r="K34" s="225" t="str">
        <f>IF(K$3="","",IF(COUNTIFS(BD!$A$3:$A$5001,K$3,BD!$B$3:$B$5001,$A$26,BD!$P$3:$P$5001,"&lt;&gt;")=0,"",SUMIFS(BD!$P$3:$P$5001,BD!$A$3:$A$5001,K$3,BD!$B$3:$B$5001,$A$26)))</f>
        <v/>
      </c>
      <c r="L34" s="225" t="str">
        <f>IF(L$3="","",IF(COUNTIFS(BD!$A$3:$A$5001,L$3,BD!$B$3:$B$5001,$A$26,BD!$P$3:$P$5001,"&lt;&gt;")=0,"",SUMIFS(BD!$P$3:$P$5001,BD!$A$3:$A$5001,L$3,BD!$B$3:$B$5001,$A$26)))</f>
        <v/>
      </c>
      <c r="M34" s="225" t="str">
        <f>IF(M$3="","",IF(COUNTIFS(BD!$A$3:$A$5001,M$3,BD!$B$3:$B$5001,$A$26,BD!$P$3:$P$5001,"&lt;&gt;")=0,"",SUMIFS(BD!$P$3:$P$5001,BD!$A$3:$A$5001,M$3,BD!$B$3:$B$5001,$A$26)))</f>
        <v/>
      </c>
      <c r="N34" s="225" t="str">
        <f>IF(N$3="","",IF(COUNTIFS(BD!$A$3:$A$5001,N$3,BD!$B$3:$B$5001,$A$26,BD!$P$3:$P$5001,"&lt;&gt;")=0,"",SUMIFS(BD!$P$3:$P$5001,BD!$A$3:$A$5001,N$3,BD!$B$3:$B$5001,$A$26)))</f>
        <v/>
      </c>
      <c r="O34" s="225" t="str">
        <f>IF(O$3="","",IF(COUNTIFS(BD!$A$3:$A$5001,O$3,BD!$B$3:$B$5001,$A$26,BD!$P$3:$P$5001,"&lt;&gt;")=0,"",SUMIFS(BD!$P$3:$P$5001,BD!$A$3:$A$5001,O$3,BD!$B$3:$B$5001,$A$26)))</f>
        <v/>
      </c>
      <c r="P34" s="225" t="str">
        <f>IF(P$3="","",IF(COUNTIFS(BD!$A$3:$A$5001,P$3,BD!$B$3:$B$5001,$A$26,BD!$P$3:$P$5001,"&lt;&gt;")=0,"",SUMIFS(BD!$P$3:$P$5001,BD!$A$3:$A$5001,P$3,BD!$B$3:$B$5001,$A$26)))</f>
        <v/>
      </c>
      <c r="Q34" s="225" t="str">
        <f>IF(Q$3="","",IF(COUNTIFS(BD!$A$3:$A$5001,Q$3,BD!$B$3:$B$5001,$A$26,BD!$P$3:$P$5001,"&lt;&gt;")=0,"",SUMIFS(BD!$P$3:$P$5001,BD!$A$3:$A$5001,Q$3,BD!$B$3:$B$5001,$A$26)))</f>
        <v/>
      </c>
      <c r="R34" s="225" t="str">
        <f>IF(R$3="","",IF(COUNTIFS(BD!$A$3:$A$5001,R$3,BD!$B$3:$B$5001,$A$26,BD!$P$3:$P$5001,"&lt;&gt;")=0,"",SUMIFS(BD!$P$3:$P$5001,BD!$A$3:$A$5001,R$3,BD!$B$3:$B$5001,$A$26)))</f>
        <v/>
      </c>
      <c r="S34" s="225" t="str">
        <f>IF(S$3="","",IF(COUNTIFS(BD!$A$3:$A$5001,S$3,BD!$B$3:$B$5001,$A$26,BD!$P$3:$P$5001,"&lt;&gt;")=0,"",SUMIFS(BD!$P$3:$P$5001,BD!$A$3:$A$5001,S$3,BD!$B$3:$B$5001,$A$26)))</f>
        <v/>
      </c>
      <c r="T34" s="225" t="str">
        <f>IF(T$3="","",IF(COUNTIFS(BD!$A$3:$A$5001,T$3,BD!$B$3:$B$5001,$A$26,BD!$P$3:$P$5001,"&lt;&gt;")=0,"",SUMIFS(BD!$P$3:$P$5001,BD!$A$3:$A$5001,T$3,BD!$B$3:$B$5001,$A$26)))</f>
        <v/>
      </c>
      <c r="U34" s="225" t="str">
        <f>IF(U$3="","",IF(COUNTIFS(BD!$A$3:$A$5001,U$3,BD!$B$3:$B$5001,$A$26,BD!$P$3:$P$5001,"&lt;&gt;")=0,"",SUMIFS(BD!$P$3:$P$5001,BD!$A$3:$A$5001,U$3,BD!$B$3:$B$5001,$A$26)))</f>
        <v/>
      </c>
      <c r="V34" s="225" t="str">
        <f>IF(V$3="","",IF(COUNTIFS(BD!$A$3:$A$5001,V$3,BD!$B$3:$B$5001,$A$26,BD!$P$3:$P$5001,"&lt;&gt;")=0,"",SUMIFS(BD!$P$3:$P$5001,BD!$A$3:$A$5001,V$3,BD!$B$3:$B$5001,$A$26)))</f>
        <v/>
      </c>
      <c r="W34" s="225" t="str">
        <f>IF(W$3="","",IF(COUNTIFS(BD!$A$3:$A$5001,W$3,BD!$B$3:$B$5001,$A$26,BD!$P$3:$P$5001,"&lt;&gt;")=0,"",SUMIFS(BD!$P$3:$P$5001,BD!$A$3:$A$5001,W$3,BD!$B$3:$B$5001,$A$26)))</f>
        <v/>
      </c>
      <c r="X34" s="225" t="str">
        <f>IF(X$3="","",IF(COUNTIFS(BD!$A$3:$A$5001,X$3,BD!$B$3:$B$5001,$A$26,BD!$P$3:$P$5001,"&lt;&gt;")=0,"",SUMIFS(BD!$P$3:$P$5001,BD!$A$3:$A$5001,X$3,BD!$B$3:$B$5001,$A$26)))</f>
        <v/>
      </c>
      <c r="Y34" s="225" t="str">
        <f>IF(Y$3="","",IF(COUNTIFS(BD!$A$3:$A$5001,Y$3,BD!$B$3:$B$5001,$A$26,BD!$P$3:$P$5001,"&lt;&gt;")=0,"",SUMIFS(BD!$P$3:$P$5001,BD!$A$3:$A$5001,Y$3,BD!$B$3:$B$5001,$A$26)))</f>
        <v/>
      </c>
      <c r="Z34" s="225" t="str">
        <f>IF(Z$3="","",IF(COUNTIFS(BD!$A$3:$A$5001,Z$3,BD!$B$3:$B$5001,$A$26,BD!$P$3:$P$5001,"&lt;&gt;")=0,"",SUMIFS(BD!$P$3:$P$5001,BD!$A$3:$A$5001,Z$3,BD!$B$3:$B$5001,$A$26)))</f>
        <v/>
      </c>
      <c r="AA34" s="225" t="str">
        <f>IF(AA$3="","",IF(COUNTIFS(BD!$A$3:$A$5001,AA$3,BD!$B$3:$B$5001,$A$26,BD!$P$3:$P$5001,"&lt;&gt;")=0,"",SUMIFS(BD!$P$3:$P$5001,BD!$A$3:$A$5001,AA$3,BD!$B$3:$B$5001,$A$26)))</f>
        <v/>
      </c>
      <c r="AB34" s="225" t="str">
        <f>IF(AB$3="","",IF(COUNTIFS(BD!$A$3:$A$5001,AB$3,BD!$B$3:$B$5001,$A$26,BD!$P$3:$P$5001,"&lt;&gt;")=0,"",SUMIFS(BD!$P$3:$P$5001,BD!$A$3:$A$5001,AB$3,BD!$B$3:$B$5001,$A$26)))</f>
        <v/>
      </c>
      <c r="AC34" s="225" t="str">
        <f>IF(AC$3="","",IF(COUNTIFS(BD!$A$3:$A$5001,AC$3,BD!$B$3:$B$5001,$A$26,BD!$P$3:$P$5001,"&lt;&gt;")=0,"",SUMIFS(BD!$P$3:$P$5001,BD!$A$3:$A$5001,AC$3,BD!$B$3:$B$5001,$A$26)))</f>
        <v/>
      </c>
      <c r="AD34" s="225" t="str">
        <f>IF(AD$3="","",IF(COUNTIFS(BD!$A$3:$A$5001,AD$3,BD!$B$3:$B$5001,$A$26,BD!$P$3:$P$5001,"&lt;&gt;")=0,"",SUMIFS(BD!$P$3:$P$5001,BD!$A$3:$A$5001,AD$3,BD!$B$3:$B$5001,$A$26)))</f>
        <v/>
      </c>
      <c r="AE34" s="225" t="str">
        <f>IF(AE$3="","",IF(COUNTIFS(BD!$A$3:$A$5001,AE$3,BD!$B$3:$B$5001,$A$26,BD!$P$3:$P$5001,"&lt;&gt;")=0,"",SUMIFS(BD!$P$3:$P$5001,BD!$A$3:$A$5001,AE$3,BD!$B$3:$B$5001,$A$26)))</f>
        <v/>
      </c>
      <c r="AF34" s="225" t="str">
        <f>IF(AF$3="","",IF(COUNTIFS(BD!$A$3:$A$5001,AF$3,BD!$B$3:$B$5001,$A$26,BD!$P$3:$P$5001,"&lt;&gt;")=0,"",SUMIFS(BD!$P$3:$P$5001,BD!$A$3:$A$5001,AF$3,BD!$B$3:$B$5001,$A$26)))</f>
        <v/>
      </c>
      <c r="AG34" s="225" t="str">
        <f>IF(AG$3="","",IF(COUNTIFS(BD!$A$3:$A$5001,AG$3,BD!$B$3:$B$5001,$A$26,BD!$P$3:$P$5001,"&lt;&gt;")=0,"",SUMIFS(BD!$P$3:$P$5001,BD!$A$3:$A$5001,AG$3,BD!$B$3:$B$5001,$A$26)))</f>
        <v/>
      </c>
      <c r="AH34" s="225" t="str">
        <f>IF(AH$3="","",IF(COUNTIFS(BD!$A$3:$A$5001,AH$3,BD!$B$3:$B$5001,$A$26,BD!$P$3:$P$5001,"&lt;&gt;")=0,"",SUMIFS(BD!$P$3:$P$5001,BD!$A$3:$A$5001,AH$3,BD!$B$3:$B$5001,$A$26)))</f>
        <v/>
      </c>
      <c r="AI34" s="225" t="str">
        <f>IF(AI$3="","",IF(COUNTIFS(BD!$A$3:$A$5001,AI$3,BD!$B$3:$B$5001,$A$26,BD!$P$3:$P$5001,"&lt;&gt;")=0,"",SUMIFS(BD!$P$3:$P$5001,BD!$A$3:$A$5001,AI$3,BD!$B$3:$B$5001,$A$26)))</f>
        <v/>
      </c>
      <c r="AJ34" s="226" t="str">
        <f>IF(AJ$3="","",IF(COUNTIFS(BD!$A$3:$A$5001,AJ$3,BD!$B$3:$B$5001,$A$26,BD!$P$3:$P$5001,"&lt;&gt;")=0,"",SUMIFS(BD!$P$3:$P$5001,BD!$A$3:$A$5001,AJ$3,BD!$B$3:$B$5001,$A$26)))</f>
        <v/>
      </c>
      <c r="AK34" s="227" t="str">
        <f>IF(COUNT(F34:AJ34)=0,"",SUM(F34:AJ34))</f>
        <v/>
      </c>
    </row>
    <row r="35" ht="15.75" customHeight="1">
      <c r="A35" s="247"/>
      <c r="B35" s="244"/>
      <c r="C35" s="221" t="inlineStr">
        <is>
          <t xml:space="preserve">Férias</t>
        </is>
      </c>
      <c r="D35" s="222" t="str">
        <f>IFERROR(1/(1/INDEX(BD!$Y$38:$AD$38,MATCH($A$26,BD!$Y$22:$AD$22,0))),"")</f>
        <v/>
      </c>
      <c r="E35" s="223"/>
      <c r="F35" s="224" t="str">
        <f>IF(F$3="","",IF(COUNTIFS(BD!$A$3:$A$5001,F$3,BD!$B$3:$B$5001,$A$26,BD!$Q$3:$Q$5001,"&lt;&gt;")=0,"",SUMIFS(BD!$Q$3:$Q$5001,BD!$A$3:$A$5001,F$3,BD!$B$3:$B$5001,$A$26)))</f>
        <v/>
      </c>
      <c r="G35" s="225" t="str">
        <f>IF(G$3="","",IF(COUNTIFS(BD!$A$3:$A$5001,G$3,BD!$B$3:$B$5001,$A$26,BD!$Q$3:$Q$5001,"&lt;&gt;")=0,"",SUMIFS(BD!$Q$3:$Q$5001,BD!$A$3:$A$5001,G$3,BD!$B$3:$B$5001,$A$26)))</f>
        <v/>
      </c>
      <c r="H35" s="225" t="str">
        <f>IF(H$3="","",IF(COUNTIFS(BD!$A$3:$A$5001,H$3,BD!$B$3:$B$5001,$A$26,BD!$Q$3:$Q$5001,"&lt;&gt;")=0,"",SUMIFS(BD!$Q$3:$Q$5001,BD!$A$3:$A$5001,H$3,BD!$B$3:$B$5001,$A$26)))</f>
        <v/>
      </c>
      <c r="I35" s="225" t="str">
        <f>IF(I$3="","",IF(COUNTIFS(BD!$A$3:$A$5001,I$3,BD!$B$3:$B$5001,$A$26,BD!$Q$3:$Q$5001,"&lt;&gt;")=0,"",SUMIFS(BD!$Q$3:$Q$5001,BD!$A$3:$A$5001,I$3,BD!$B$3:$B$5001,$A$26)))</f>
        <v/>
      </c>
      <c r="J35" s="225" t="str">
        <f>IF(J$3="","",IF(COUNTIFS(BD!$A$3:$A$5001,J$3,BD!$B$3:$B$5001,$A$26,BD!$Q$3:$Q$5001,"&lt;&gt;")=0,"",SUMIFS(BD!$Q$3:$Q$5001,BD!$A$3:$A$5001,J$3,BD!$B$3:$B$5001,$A$26)))</f>
        <v/>
      </c>
      <c r="K35" s="225" t="str">
        <f>IF(K$3="","",IF(COUNTIFS(BD!$A$3:$A$5001,K$3,BD!$B$3:$B$5001,$A$26,BD!$Q$3:$Q$5001,"&lt;&gt;")=0,"",SUMIFS(BD!$Q$3:$Q$5001,BD!$A$3:$A$5001,K$3,BD!$B$3:$B$5001,$A$26)))</f>
        <v/>
      </c>
      <c r="L35" s="225" t="str">
        <f>IF(L$3="","",IF(COUNTIFS(BD!$A$3:$A$5001,L$3,BD!$B$3:$B$5001,$A$26,BD!$Q$3:$Q$5001,"&lt;&gt;")=0,"",SUMIFS(BD!$Q$3:$Q$5001,BD!$A$3:$A$5001,L$3,BD!$B$3:$B$5001,$A$26)))</f>
        <v/>
      </c>
      <c r="M35" s="225" t="str">
        <f>IF(M$3="","",IF(COUNTIFS(BD!$A$3:$A$5001,M$3,BD!$B$3:$B$5001,$A$26,BD!$Q$3:$Q$5001,"&lt;&gt;")=0,"",SUMIFS(BD!$Q$3:$Q$5001,BD!$A$3:$A$5001,M$3,BD!$B$3:$B$5001,$A$26)))</f>
        <v/>
      </c>
      <c r="N35" s="225" t="str">
        <f>IF(N$3="","",IF(COUNTIFS(BD!$A$3:$A$5001,N$3,BD!$B$3:$B$5001,$A$26,BD!$Q$3:$Q$5001,"&lt;&gt;")=0,"",SUMIFS(BD!$Q$3:$Q$5001,BD!$A$3:$A$5001,N$3,BD!$B$3:$B$5001,$A$26)))</f>
        <v/>
      </c>
      <c r="O35" s="225" t="str">
        <f>IF(O$3="","",IF(COUNTIFS(BD!$A$3:$A$5001,O$3,BD!$B$3:$B$5001,$A$26,BD!$Q$3:$Q$5001,"&lt;&gt;")=0,"",SUMIFS(BD!$Q$3:$Q$5001,BD!$A$3:$A$5001,O$3,BD!$B$3:$B$5001,$A$26)))</f>
        <v/>
      </c>
      <c r="P35" s="225" t="str">
        <f>IF(P$3="","",IF(COUNTIFS(BD!$A$3:$A$5001,P$3,BD!$B$3:$B$5001,$A$26,BD!$Q$3:$Q$5001,"&lt;&gt;")=0,"",SUMIFS(BD!$Q$3:$Q$5001,BD!$A$3:$A$5001,P$3,BD!$B$3:$B$5001,$A$26)))</f>
        <v/>
      </c>
      <c r="Q35" s="225" t="str">
        <f>IF(Q$3="","",IF(COUNTIFS(BD!$A$3:$A$5001,Q$3,BD!$B$3:$B$5001,$A$26,BD!$Q$3:$Q$5001,"&lt;&gt;")=0,"",SUMIFS(BD!$Q$3:$Q$5001,BD!$A$3:$A$5001,Q$3,BD!$B$3:$B$5001,$A$26)))</f>
        <v/>
      </c>
      <c r="R35" s="225" t="str">
        <f>IF(R$3="","",IF(COUNTIFS(BD!$A$3:$A$5001,R$3,BD!$B$3:$B$5001,$A$26,BD!$Q$3:$Q$5001,"&lt;&gt;")=0,"",SUMIFS(BD!$Q$3:$Q$5001,BD!$A$3:$A$5001,R$3,BD!$B$3:$B$5001,$A$26)))</f>
        <v/>
      </c>
      <c r="S35" s="225" t="str">
        <f>IF(S$3="","",IF(COUNTIFS(BD!$A$3:$A$5001,S$3,BD!$B$3:$B$5001,$A$26,BD!$Q$3:$Q$5001,"&lt;&gt;")=0,"",SUMIFS(BD!$Q$3:$Q$5001,BD!$A$3:$A$5001,S$3,BD!$B$3:$B$5001,$A$26)))</f>
        <v/>
      </c>
      <c r="T35" s="225" t="str">
        <f>IF(T$3="","",IF(COUNTIFS(BD!$A$3:$A$5001,T$3,BD!$B$3:$B$5001,$A$26,BD!$Q$3:$Q$5001,"&lt;&gt;")=0,"",SUMIFS(BD!$Q$3:$Q$5001,BD!$A$3:$A$5001,T$3,BD!$B$3:$B$5001,$A$26)))</f>
        <v/>
      </c>
      <c r="U35" s="225" t="str">
        <f>IF(U$3="","",IF(COUNTIFS(BD!$A$3:$A$5001,U$3,BD!$B$3:$B$5001,$A$26,BD!$Q$3:$Q$5001,"&lt;&gt;")=0,"",SUMIFS(BD!$Q$3:$Q$5001,BD!$A$3:$A$5001,U$3,BD!$B$3:$B$5001,$A$26)))</f>
        <v/>
      </c>
      <c r="V35" s="225" t="str">
        <f>IF(V$3="","",IF(COUNTIFS(BD!$A$3:$A$5001,V$3,BD!$B$3:$B$5001,$A$26,BD!$Q$3:$Q$5001,"&lt;&gt;")=0,"",SUMIFS(BD!$Q$3:$Q$5001,BD!$A$3:$A$5001,V$3,BD!$B$3:$B$5001,$A$26)))</f>
        <v/>
      </c>
      <c r="W35" s="225" t="str">
        <f>IF(W$3="","",IF(COUNTIFS(BD!$A$3:$A$5001,W$3,BD!$B$3:$B$5001,$A$26,BD!$Q$3:$Q$5001,"&lt;&gt;")=0,"",SUMIFS(BD!$Q$3:$Q$5001,BD!$A$3:$A$5001,W$3,BD!$B$3:$B$5001,$A$26)))</f>
        <v/>
      </c>
      <c r="X35" s="225" t="str">
        <f>IF(X$3="","",IF(COUNTIFS(BD!$A$3:$A$5001,X$3,BD!$B$3:$B$5001,$A$26,BD!$Q$3:$Q$5001,"&lt;&gt;")=0,"",SUMIFS(BD!$Q$3:$Q$5001,BD!$A$3:$A$5001,X$3,BD!$B$3:$B$5001,$A$26)))</f>
        <v/>
      </c>
      <c r="Y35" s="225" t="str">
        <f>IF(Y$3="","",IF(COUNTIFS(BD!$A$3:$A$5001,Y$3,BD!$B$3:$B$5001,$A$26,BD!$Q$3:$Q$5001,"&lt;&gt;")=0,"",SUMIFS(BD!$Q$3:$Q$5001,BD!$A$3:$A$5001,Y$3,BD!$B$3:$B$5001,$A$26)))</f>
        <v/>
      </c>
      <c r="Z35" s="225" t="str">
        <f>IF(Z$3="","",IF(COUNTIFS(BD!$A$3:$A$5001,Z$3,BD!$B$3:$B$5001,$A$26,BD!$Q$3:$Q$5001,"&lt;&gt;")=0,"",SUMIFS(BD!$Q$3:$Q$5001,BD!$A$3:$A$5001,Z$3,BD!$B$3:$B$5001,$A$26)))</f>
        <v/>
      </c>
      <c r="AA35" s="225" t="str">
        <f>IF(AA$3="","",IF(COUNTIFS(BD!$A$3:$A$5001,AA$3,BD!$B$3:$B$5001,$A$26,BD!$Q$3:$Q$5001,"&lt;&gt;")=0,"",SUMIFS(BD!$Q$3:$Q$5001,BD!$A$3:$A$5001,AA$3,BD!$B$3:$B$5001,$A$26)))</f>
        <v/>
      </c>
      <c r="AB35" s="225" t="str">
        <f>IF(AB$3="","",IF(COUNTIFS(BD!$A$3:$A$5001,AB$3,BD!$B$3:$B$5001,$A$26,BD!$Q$3:$Q$5001,"&lt;&gt;")=0,"",SUMIFS(BD!$Q$3:$Q$5001,BD!$A$3:$A$5001,AB$3,BD!$B$3:$B$5001,$A$26)))</f>
        <v/>
      </c>
      <c r="AC35" s="225" t="str">
        <f>IF(AC$3="","",IF(COUNTIFS(BD!$A$3:$A$5001,AC$3,BD!$B$3:$B$5001,$A$26,BD!$Q$3:$Q$5001,"&lt;&gt;")=0,"",SUMIFS(BD!$Q$3:$Q$5001,BD!$A$3:$A$5001,AC$3,BD!$B$3:$B$5001,$A$26)))</f>
        <v/>
      </c>
      <c r="AD35" s="225" t="str">
        <f>IF(AD$3="","",IF(COUNTIFS(BD!$A$3:$A$5001,AD$3,BD!$B$3:$B$5001,$A$26,BD!$Q$3:$Q$5001,"&lt;&gt;")=0,"",SUMIFS(BD!$Q$3:$Q$5001,BD!$A$3:$A$5001,AD$3,BD!$B$3:$B$5001,$A$26)))</f>
        <v/>
      </c>
      <c r="AE35" s="225" t="str">
        <f>IF(AE$3="","",IF(COUNTIFS(BD!$A$3:$A$5001,AE$3,BD!$B$3:$B$5001,$A$26,BD!$Q$3:$Q$5001,"&lt;&gt;")=0,"",SUMIFS(BD!$Q$3:$Q$5001,BD!$A$3:$A$5001,AE$3,BD!$B$3:$B$5001,$A$26)))</f>
        <v/>
      </c>
      <c r="AF35" s="225" t="str">
        <f>IF(AF$3="","",IF(COUNTIFS(BD!$A$3:$A$5001,AF$3,BD!$B$3:$B$5001,$A$26,BD!$Q$3:$Q$5001,"&lt;&gt;")=0,"",SUMIFS(BD!$Q$3:$Q$5001,BD!$A$3:$A$5001,AF$3,BD!$B$3:$B$5001,$A$26)))</f>
        <v/>
      </c>
      <c r="AG35" s="225" t="str">
        <f>IF(AG$3="","",IF(COUNTIFS(BD!$A$3:$A$5001,AG$3,BD!$B$3:$B$5001,$A$26,BD!$Q$3:$Q$5001,"&lt;&gt;")=0,"",SUMIFS(BD!$Q$3:$Q$5001,BD!$A$3:$A$5001,AG$3,BD!$B$3:$B$5001,$A$26)))</f>
        <v/>
      </c>
      <c r="AH35" s="225" t="str">
        <f>IF(AH$3="","",IF(COUNTIFS(BD!$A$3:$A$5001,AH$3,BD!$B$3:$B$5001,$A$26,BD!$Q$3:$Q$5001,"&lt;&gt;")=0,"",SUMIFS(BD!$Q$3:$Q$5001,BD!$A$3:$A$5001,AH$3,BD!$B$3:$B$5001,$A$26)))</f>
        <v/>
      </c>
      <c r="AI35" s="225" t="str">
        <f>IF(AI$3="","",IF(COUNTIFS(BD!$A$3:$A$5001,AI$3,BD!$B$3:$B$5001,$A$26,BD!$Q$3:$Q$5001,"&lt;&gt;")=0,"",SUMIFS(BD!$Q$3:$Q$5001,BD!$A$3:$A$5001,AI$3,BD!$B$3:$B$5001,$A$26)))</f>
        <v/>
      </c>
      <c r="AJ35" s="226" t="str">
        <f>IF(AJ$3="","",IF(COUNTIFS(BD!$A$3:$A$5001,AJ$3,BD!$B$3:$B$5001,$A$26,BD!$Q$3:$Q$5001,"&lt;&gt;")=0,"",SUMIFS(BD!$Q$3:$Q$5001,BD!$A$3:$A$5001,AJ$3,BD!$B$3:$B$5001,$A$26)))</f>
        <v/>
      </c>
      <c r="AK35" s="227" t="str">
        <f>IF(COUNT(F35:AJ35)=0,"",SUM(F35:AJ35))</f>
        <v/>
      </c>
    </row>
    <row r="36" ht="15.75" customHeight="1">
      <c r="A36" s="247"/>
      <c r="B36" s="244"/>
      <c r="C36" s="221" t="inlineStr">
        <is>
          <t xml:space="preserve">Desligamento</t>
        </is>
      </c>
      <c r="D36" s="222" t="str">
        <f>IFERROR(1/(1/INDEX(BD!$Y$39:$AD$39,MATCH($A$26,BD!$Y$22:$AD$22,0))),"")</f>
        <v/>
      </c>
      <c r="E36" s="223"/>
      <c r="F36" s="224" t="str">
        <f>IF(F$3="","",IF(COUNTIFS(BD!$A$3:$A$5001,F$3,BD!$B$3:$B$5001,$A$26,BD!$R$3:$R$5001,"&lt;&gt;")=0,"",SUMIFS(BD!$R$3:$R$5001,BD!$A$3:$A$5001,F$3,BD!$B$3:$B$5001,$A$26)))</f>
        <v/>
      </c>
      <c r="G36" s="225" t="str">
        <f>IF(G$3="","",IF(COUNTIFS(BD!$A$3:$A$5001,G$3,BD!$B$3:$B$5001,$A$26,BD!$R$3:$R$5001,"&lt;&gt;")=0,"",SUMIFS(BD!$R$3:$R$5001,BD!$A$3:$A$5001,G$3,BD!$B$3:$B$5001,$A$26)))</f>
        <v/>
      </c>
      <c r="H36" s="225" t="str">
        <f>IF(H$3="","",IF(COUNTIFS(BD!$A$3:$A$5001,H$3,BD!$B$3:$B$5001,$A$26,BD!$R$3:$R$5001,"&lt;&gt;")=0,"",SUMIFS(BD!$R$3:$R$5001,BD!$A$3:$A$5001,H$3,BD!$B$3:$B$5001,$A$26)))</f>
        <v/>
      </c>
      <c r="I36" s="225" t="str">
        <f>IF(I$3="","",IF(COUNTIFS(BD!$A$3:$A$5001,I$3,BD!$B$3:$B$5001,$A$26,BD!$R$3:$R$5001,"&lt;&gt;")=0,"",SUMIFS(BD!$R$3:$R$5001,BD!$A$3:$A$5001,I$3,BD!$B$3:$B$5001,$A$26)))</f>
        <v/>
      </c>
      <c r="J36" s="225" t="str">
        <f>IF(J$3="","",IF(COUNTIFS(BD!$A$3:$A$5001,J$3,BD!$B$3:$B$5001,$A$26,BD!$R$3:$R$5001,"&lt;&gt;")=0,"",SUMIFS(BD!$R$3:$R$5001,BD!$A$3:$A$5001,J$3,BD!$B$3:$B$5001,$A$26)))</f>
        <v/>
      </c>
      <c r="K36" s="225" t="str">
        <f>IF(K$3="","",IF(COUNTIFS(BD!$A$3:$A$5001,K$3,BD!$B$3:$B$5001,$A$26,BD!$R$3:$R$5001,"&lt;&gt;")=0,"",SUMIFS(BD!$R$3:$R$5001,BD!$A$3:$A$5001,K$3,BD!$B$3:$B$5001,$A$26)))</f>
        <v/>
      </c>
      <c r="L36" s="225" t="str">
        <f>IF(L$3="","",IF(COUNTIFS(BD!$A$3:$A$5001,L$3,BD!$B$3:$B$5001,$A$26,BD!$R$3:$R$5001,"&lt;&gt;")=0,"",SUMIFS(BD!$R$3:$R$5001,BD!$A$3:$A$5001,L$3,BD!$B$3:$B$5001,$A$26)))</f>
        <v/>
      </c>
      <c r="M36" s="225" t="str">
        <f>IF(M$3="","",IF(COUNTIFS(BD!$A$3:$A$5001,M$3,BD!$B$3:$B$5001,$A$26,BD!$R$3:$R$5001,"&lt;&gt;")=0,"",SUMIFS(BD!$R$3:$R$5001,BD!$A$3:$A$5001,M$3,BD!$B$3:$B$5001,$A$26)))</f>
        <v/>
      </c>
      <c r="N36" s="225" t="str">
        <f>IF(N$3="","",IF(COUNTIFS(BD!$A$3:$A$5001,N$3,BD!$B$3:$B$5001,$A$26,BD!$R$3:$R$5001,"&lt;&gt;")=0,"",SUMIFS(BD!$R$3:$R$5001,BD!$A$3:$A$5001,N$3,BD!$B$3:$B$5001,$A$26)))</f>
        <v/>
      </c>
      <c r="O36" s="225" t="str">
        <f>IF(O$3="","",IF(COUNTIFS(BD!$A$3:$A$5001,O$3,BD!$B$3:$B$5001,$A$26,BD!$R$3:$R$5001,"&lt;&gt;")=0,"",SUMIFS(BD!$R$3:$R$5001,BD!$A$3:$A$5001,O$3,BD!$B$3:$B$5001,$A$26)))</f>
        <v/>
      </c>
      <c r="P36" s="225" t="str">
        <f>IF(P$3="","",IF(COUNTIFS(BD!$A$3:$A$5001,P$3,BD!$B$3:$B$5001,$A$26,BD!$R$3:$R$5001,"&lt;&gt;")=0,"",SUMIFS(BD!$R$3:$R$5001,BD!$A$3:$A$5001,P$3,BD!$B$3:$B$5001,$A$26)))</f>
        <v/>
      </c>
      <c r="Q36" s="225" t="str">
        <f>IF(Q$3="","",IF(COUNTIFS(BD!$A$3:$A$5001,Q$3,BD!$B$3:$B$5001,$A$26,BD!$R$3:$R$5001,"&lt;&gt;")=0,"",SUMIFS(BD!$R$3:$R$5001,BD!$A$3:$A$5001,Q$3,BD!$B$3:$B$5001,$A$26)))</f>
        <v/>
      </c>
      <c r="R36" s="225" t="str">
        <f>IF(R$3="","",IF(COUNTIFS(BD!$A$3:$A$5001,R$3,BD!$B$3:$B$5001,$A$26,BD!$R$3:$R$5001,"&lt;&gt;")=0,"",SUMIFS(BD!$R$3:$R$5001,BD!$A$3:$A$5001,R$3,BD!$B$3:$B$5001,$A$26)))</f>
        <v/>
      </c>
      <c r="S36" s="225" t="str">
        <f>IF(S$3="","",IF(COUNTIFS(BD!$A$3:$A$5001,S$3,BD!$B$3:$B$5001,$A$26,BD!$R$3:$R$5001,"&lt;&gt;")=0,"",SUMIFS(BD!$R$3:$R$5001,BD!$A$3:$A$5001,S$3,BD!$B$3:$B$5001,$A$26)))</f>
        <v/>
      </c>
      <c r="T36" s="225" t="str">
        <f>IF(T$3="","",IF(COUNTIFS(BD!$A$3:$A$5001,T$3,BD!$B$3:$B$5001,$A$26,BD!$R$3:$R$5001,"&lt;&gt;")=0,"",SUMIFS(BD!$R$3:$R$5001,BD!$A$3:$A$5001,T$3,BD!$B$3:$B$5001,$A$26)))</f>
        <v/>
      </c>
      <c r="U36" s="225" t="str">
        <f>IF(U$3="","",IF(COUNTIFS(BD!$A$3:$A$5001,U$3,BD!$B$3:$B$5001,$A$26,BD!$R$3:$R$5001,"&lt;&gt;")=0,"",SUMIFS(BD!$R$3:$R$5001,BD!$A$3:$A$5001,U$3,BD!$B$3:$B$5001,$A$26)))</f>
        <v/>
      </c>
      <c r="V36" s="225" t="str">
        <f>IF(V$3="","",IF(COUNTIFS(BD!$A$3:$A$5001,V$3,BD!$B$3:$B$5001,$A$26,BD!$R$3:$R$5001,"&lt;&gt;")=0,"",SUMIFS(BD!$R$3:$R$5001,BD!$A$3:$A$5001,V$3,BD!$B$3:$B$5001,$A$26)))</f>
        <v/>
      </c>
      <c r="W36" s="225" t="str">
        <f>IF(W$3="","",IF(COUNTIFS(BD!$A$3:$A$5001,W$3,BD!$B$3:$B$5001,$A$26,BD!$R$3:$R$5001,"&lt;&gt;")=0,"",SUMIFS(BD!$R$3:$R$5001,BD!$A$3:$A$5001,W$3,BD!$B$3:$B$5001,$A$26)))</f>
        <v/>
      </c>
      <c r="X36" s="225" t="str">
        <f>IF(X$3="","",IF(COUNTIFS(BD!$A$3:$A$5001,X$3,BD!$B$3:$B$5001,$A$26,BD!$R$3:$R$5001,"&lt;&gt;")=0,"",SUMIFS(BD!$R$3:$R$5001,BD!$A$3:$A$5001,X$3,BD!$B$3:$B$5001,$A$26)))</f>
        <v/>
      </c>
      <c r="Y36" s="225" t="str">
        <f>IF(Y$3="","",IF(COUNTIFS(BD!$A$3:$A$5001,Y$3,BD!$B$3:$B$5001,$A$26,BD!$R$3:$R$5001,"&lt;&gt;")=0,"",SUMIFS(BD!$R$3:$R$5001,BD!$A$3:$A$5001,Y$3,BD!$B$3:$B$5001,$A$26)))</f>
        <v/>
      </c>
      <c r="Z36" s="225" t="str">
        <f>IF(Z$3="","",IF(COUNTIFS(BD!$A$3:$A$5001,Z$3,BD!$B$3:$B$5001,$A$26,BD!$R$3:$R$5001,"&lt;&gt;")=0,"",SUMIFS(BD!$R$3:$R$5001,BD!$A$3:$A$5001,Z$3,BD!$B$3:$B$5001,$A$26)))</f>
        <v/>
      </c>
      <c r="AA36" s="225" t="str">
        <f>IF(AA$3="","",IF(COUNTIFS(BD!$A$3:$A$5001,AA$3,BD!$B$3:$B$5001,$A$26,BD!$R$3:$R$5001,"&lt;&gt;")=0,"",SUMIFS(BD!$R$3:$R$5001,BD!$A$3:$A$5001,AA$3,BD!$B$3:$B$5001,$A$26)))</f>
        <v/>
      </c>
      <c r="AB36" s="225" t="str">
        <f>IF(AB$3="","",IF(COUNTIFS(BD!$A$3:$A$5001,AB$3,BD!$B$3:$B$5001,$A$26,BD!$R$3:$R$5001,"&lt;&gt;")=0,"",SUMIFS(BD!$R$3:$R$5001,BD!$A$3:$A$5001,AB$3,BD!$B$3:$B$5001,$A$26)))</f>
        <v/>
      </c>
      <c r="AC36" s="225" t="str">
        <f>IF(AC$3="","",IF(COUNTIFS(BD!$A$3:$A$5001,AC$3,BD!$B$3:$B$5001,$A$26,BD!$R$3:$R$5001,"&lt;&gt;")=0,"",SUMIFS(BD!$R$3:$R$5001,BD!$A$3:$A$5001,AC$3,BD!$B$3:$B$5001,$A$26)))</f>
        <v/>
      </c>
      <c r="AD36" s="225" t="str">
        <f>IF(AD$3="","",IF(COUNTIFS(BD!$A$3:$A$5001,AD$3,BD!$B$3:$B$5001,$A$26,BD!$R$3:$R$5001,"&lt;&gt;")=0,"",SUMIFS(BD!$R$3:$R$5001,BD!$A$3:$A$5001,AD$3,BD!$B$3:$B$5001,$A$26)))</f>
        <v/>
      </c>
      <c r="AE36" s="225" t="str">
        <f>IF(AE$3="","",IF(COUNTIFS(BD!$A$3:$A$5001,AE$3,BD!$B$3:$B$5001,$A$26,BD!$R$3:$R$5001,"&lt;&gt;")=0,"",SUMIFS(BD!$R$3:$R$5001,BD!$A$3:$A$5001,AE$3,BD!$B$3:$B$5001,$A$26)))</f>
        <v/>
      </c>
      <c r="AF36" s="225" t="str">
        <f>IF(AF$3="","",IF(COUNTIFS(BD!$A$3:$A$5001,AF$3,BD!$B$3:$B$5001,$A$26,BD!$R$3:$R$5001,"&lt;&gt;")=0,"",SUMIFS(BD!$R$3:$R$5001,BD!$A$3:$A$5001,AF$3,BD!$B$3:$B$5001,$A$26)))</f>
        <v/>
      </c>
      <c r="AG36" s="225" t="str">
        <f>IF(AG$3="","",IF(COUNTIFS(BD!$A$3:$A$5001,AG$3,BD!$B$3:$B$5001,$A$26,BD!$R$3:$R$5001,"&lt;&gt;")=0,"",SUMIFS(BD!$R$3:$R$5001,BD!$A$3:$A$5001,AG$3,BD!$B$3:$B$5001,$A$26)))</f>
        <v/>
      </c>
      <c r="AH36" s="225" t="str">
        <f>IF(AH$3="","",IF(COUNTIFS(BD!$A$3:$A$5001,AH$3,BD!$B$3:$B$5001,$A$26,BD!$R$3:$R$5001,"&lt;&gt;")=0,"",SUMIFS(BD!$R$3:$R$5001,BD!$A$3:$A$5001,AH$3,BD!$B$3:$B$5001,$A$26)))</f>
        <v/>
      </c>
      <c r="AI36" s="225" t="str">
        <f>IF(AI$3="","",IF(COUNTIFS(BD!$A$3:$A$5001,AI$3,BD!$B$3:$B$5001,$A$26,BD!$R$3:$R$5001,"&lt;&gt;")=0,"",SUMIFS(BD!$R$3:$R$5001,BD!$A$3:$A$5001,AI$3,BD!$B$3:$B$5001,$A$26)))</f>
        <v/>
      </c>
      <c r="AJ36" s="226" t="str">
        <f>IF(AJ$3="","",IF(COUNTIFS(BD!$A$3:$A$5001,AJ$3,BD!$B$3:$B$5001,$A$26,BD!$R$3:$R$5001,"&lt;&gt;")=0,"",SUMIFS(BD!$R$3:$R$5001,BD!$A$3:$A$5001,AJ$3,BD!$B$3:$B$5001,$A$26)))</f>
        <v/>
      </c>
      <c r="AK36" s="227" t="str">
        <f>IF(COUNT(F36:AJ36)=0,"",SUM(F36:AJ36))</f>
        <v/>
      </c>
    </row>
    <row r="37" ht="15.75" customHeight="1">
      <c r="A37" s="247"/>
      <c r="B37" s="244"/>
      <c r="C37" s="221" t="inlineStr">
        <is>
          <t xml:space="preserve">Desvios Comportamentais</t>
        </is>
      </c>
      <c r="D37" s="222" t="str">
        <f>IFERROR(1/(1/INDEX(BD!$Y$40:$AD$40,MATCH($A$26,BD!$Y$22:$AD$22,0))),"")</f>
        <v/>
      </c>
      <c r="E37" s="223"/>
      <c r="F37" s="224" t="str">
        <f>IF(F$3="","",IF(COUNTIFS(BD!$A$3:$A$5001,F$3,BD!$B$3:$B$5001,$A$26,BD!$S$3:$S$5001,"&lt;&gt;")=0,"",SUMIFS(BD!$S$3:$S$5001,BD!$A$3:$A$5001,F$3,BD!$B$3:$B$5001,$A$26)))</f>
        <v/>
      </c>
      <c r="G37" s="225" t="str">
        <f>IF(G$3="","",IF(COUNTIFS(BD!$A$3:$A$5001,G$3,BD!$B$3:$B$5001,$A$26,BD!$S$3:$S$5001,"&lt;&gt;")=0,"",SUMIFS(BD!$S$3:$S$5001,BD!$A$3:$A$5001,G$3,BD!$B$3:$B$5001,$A$26)))</f>
        <v/>
      </c>
      <c r="H37" s="225" t="str">
        <f>IF(H$3="","",IF(COUNTIFS(BD!$A$3:$A$5001,H$3,BD!$B$3:$B$5001,$A$26,BD!$S$3:$S$5001,"&lt;&gt;")=0,"",SUMIFS(BD!$S$3:$S$5001,BD!$A$3:$A$5001,H$3,BD!$B$3:$B$5001,$A$26)))</f>
        <v/>
      </c>
      <c r="I37" s="225" t="str">
        <f>IF(I$3="","",IF(COUNTIFS(BD!$A$3:$A$5001,I$3,BD!$B$3:$B$5001,$A$26,BD!$S$3:$S$5001,"&lt;&gt;")=0,"",SUMIFS(BD!$S$3:$S$5001,BD!$A$3:$A$5001,I$3,BD!$B$3:$B$5001,$A$26)))</f>
        <v/>
      </c>
      <c r="J37" s="225" t="str">
        <f>IF(J$3="","",IF(COUNTIFS(BD!$A$3:$A$5001,J$3,BD!$B$3:$B$5001,$A$26,BD!$S$3:$S$5001,"&lt;&gt;")=0,"",SUMIFS(BD!$S$3:$S$5001,BD!$A$3:$A$5001,J$3,BD!$B$3:$B$5001,$A$26)))</f>
        <v/>
      </c>
      <c r="K37" s="225" t="str">
        <f>IF(K$3="","",IF(COUNTIFS(BD!$A$3:$A$5001,K$3,BD!$B$3:$B$5001,$A$26,BD!$S$3:$S$5001,"&lt;&gt;")=0,"",SUMIFS(BD!$S$3:$S$5001,BD!$A$3:$A$5001,K$3,BD!$B$3:$B$5001,$A$26)))</f>
        <v/>
      </c>
      <c r="L37" s="225" t="str">
        <f>IF(L$3="","",IF(COUNTIFS(BD!$A$3:$A$5001,L$3,BD!$B$3:$B$5001,$A$26,BD!$S$3:$S$5001,"&lt;&gt;")=0,"",SUMIFS(BD!$S$3:$S$5001,BD!$A$3:$A$5001,L$3,BD!$B$3:$B$5001,$A$26)))</f>
        <v/>
      </c>
      <c r="M37" s="225" t="str">
        <f>IF(M$3="","",IF(COUNTIFS(BD!$A$3:$A$5001,M$3,BD!$B$3:$B$5001,$A$26,BD!$S$3:$S$5001,"&lt;&gt;")=0,"",SUMIFS(BD!$S$3:$S$5001,BD!$A$3:$A$5001,M$3,BD!$B$3:$B$5001,$A$26)))</f>
        <v/>
      </c>
      <c r="N37" s="225" t="str">
        <f>IF(N$3="","",IF(COUNTIFS(BD!$A$3:$A$5001,N$3,BD!$B$3:$B$5001,$A$26,BD!$S$3:$S$5001,"&lt;&gt;")=0,"",SUMIFS(BD!$S$3:$S$5001,BD!$A$3:$A$5001,N$3,BD!$B$3:$B$5001,$A$26)))</f>
        <v/>
      </c>
      <c r="O37" s="225" t="str">
        <f>IF(O$3="","",IF(COUNTIFS(BD!$A$3:$A$5001,O$3,BD!$B$3:$B$5001,$A$26,BD!$S$3:$S$5001,"&lt;&gt;")=0,"",SUMIFS(BD!$S$3:$S$5001,BD!$A$3:$A$5001,O$3,BD!$B$3:$B$5001,$A$26)))</f>
        <v/>
      </c>
      <c r="P37" s="225" t="str">
        <f>IF(P$3="","",IF(COUNTIFS(BD!$A$3:$A$5001,P$3,BD!$B$3:$B$5001,$A$26,BD!$S$3:$S$5001,"&lt;&gt;")=0,"",SUMIFS(BD!$S$3:$S$5001,BD!$A$3:$A$5001,P$3,BD!$B$3:$B$5001,$A$26)))</f>
        <v/>
      </c>
      <c r="Q37" s="225" t="str">
        <f>IF(Q$3="","",IF(COUNTIFS(BD!$A$3:$A$5001,Q$3,BD!$B$3:$B$5001,$A$26,BD!$S$3:$S$5001,"&lt;&gt;")=0,"",SUMIFS(BD!$S$3:$S$5001,BD!$A$3:$A$5001,Q$3,BD!$B$3:$B$5001,$A$26)))</f>
        <v/>
      </c>
      <c r="R37" s="225" t="str">
        <f>IF(R$3="","",IF(COUNTIFS(BD!$A$3:$A$5001,R$3,BD!$B$3:$B$5001,$A$26,BD!$S$3:$S$5001,"&lt;&gt;")=0,"",SUMIFS(BD!$S$3:$S$5001,BD!$A$3:$A$5001,R$3,BD!$B$3:$B$5001,$A$26)))</f>
        <v/>
      </c>
      <c r="S37" s="225" t="str">
        <f>IF(S$3="","",IF(COUNTIFS(BD!$A$3:$A$5001,S$3,BD!$B$3:$B$5001,$A$26,BD!$S$3:$S$5001,"&lt;&gt;")=0,"",SUMIFS(BD!$S$3:$S$5001,BD!$A$3:$A$5001,S$3,BD!$B$3:$B$5001,$A$26)))</f>
        <v/>
      </c>
      <c r="T37" s="225" t="str">
        <f>IF(T$3="","",IF(COUNTIFS(BD!$A$3:$A$5001,T$3,BD!$B$3:$B$5001,$A$26,BD!$S$3:$S$5001,"&lt;&gt;")=0,"",SUMIFS(BD!$S$3:$S$5001,BD!$A$3:$A$5001,T$3,BD!$B$3:$B$5001,$A$26)))</f>
        <v/>
      </c>
      <c r="U37" s="225" t="str">
        <f>IF(U$3="","",IF(COUNTIFS(BD!$A$3:$A$5001,U$3,BD!$B$3:$B$5001,$A$26,BD!$S$3:$S$5001,"&lt;&gt;")=0,"",SUMIFS(BD!$S$3:$S$5001,BD!$A$3:$A$5001,U$3,BD!$B$3:$B$5001,$A$26)))</f>
        <v/>
      </c>
      <c r="V37" s="225" t="str">
        <f>IF(V$3="","",IF(COUNTIFS(BD!$A$3:$A$5001,V$3,BD!$B$3:$B$5001,$A$26,BD!$S$3:$S$5001,"&lt;&gt;")=0,"",SUMIFS(BD!$S$3:$S$5001,BD!$A$3:$A$5001,V$3,BD!$B$3:$B$5001,$A$26)))</f>
        <v/>
      </c>
      <c r="W37" s="225" t="str">
        <f>IF(W$3="","",IF(COUNTIFS(BD!$A$3:$A$5001,W$3,BD!$B$3:$B$5001,$A$26,BD!$S$3:$S$5001,"&lt;&gt;")=0,"",SUMIFS(BD!$S$3:$S$5001,BD!$A$3:$A$5001,W$3,BD!$B$3:$B$5001,$A$26)))</f>
        <v/>
      </c>
      <c r="X37" s="225" t="str">
        <f>IF(X$3="","",IF(COUNTIFS(BD!$A$3:$A$5001,X$3,BD!$B$3:$B$5001,$A$26,BD!$S$3:$S$5001,"&lt;&gt;")=0,"",SUMIFS(BD!$S$3:$S$5001,BD!$A$3:$A$5001,X$3,BD!$B$3:$B$5001,$A$26)))</f>
        <v/>
      </c>
      <c r="Y37" s="225" t="str">
        <f>IF(Y$3="","",IF(COUNTIFS(BD!$A$3:$A$5001,Y$3,BD!$B$3:$B$5001,$A$26,BD!$S$3:$S$5001,"&lt;&gt;")=0,"",SUMIFS(BD!$S$3:$S$5001,BD!$A$3:$A$5001,Y$3,BD!$B$3:$B$5001,$A$26)))</f>
        <v/>
      </c>
      <c r="Z37" s="225" t="str">
        <f>IF(Z$3="","",IF(COUNTIFS(BD!$A$3:$A$5001,Z$3,BD!$B$3:$B$5001,$A$26,BD!$S$3:$S$5001,"&lt;&gt;")=0,"",SUMIFS(BD!$S$3:$S$5001,BD!$A$3:$A$5001,Z$3,BD!$B$3:$B$5001,$A$26)))</f>
        <v/>
      </c>
      <c r="AA37" s="225" t="str">
        <f>IF(AA$3="","",IF(COUNTIFS(BD!$A$3:$A$5001,AA$3,BD!$B$3:$B$5001,$A$26,BD!$S$3:$S$5001,"&lt;&gt;")=0,"",SUMIFS(BD!$S$3:$S$5001,BD!$A$3:$A$5001,AA$3,BD!$B$3:$B$5001,$A$26)))</f>
        <v/>
      </c>
      <c r="AB37" s="225" t="str">
        <f>IF(AB$3="","",IF(COUNTIFS(BD!$A$3:$A$5001,AB$3,BD!$B$3:$B$5001,$A$26,BD!$S$3:$S$5001,"&lt;&gt;")=0,"",SUMIFS(BD!$S$3:$S$5001,BD!$A$3:$A$5001,AB$3,BD!$B$3:$B$5001,$A$26)))</f>
        <v/>
      </c>
      <c r="AC37" s="225" t="str">
        <f>IF(AC$3="","",IF(COUNTIFS(BD!$A$3:$A$5001,AC$3,BD!$B$3:$B$5001,$A$26,BD!$S$3:$S$5001,"&lt;&gt;")=0,"",SUMIFS(BD!$S$3:$S$5001,BD!$A$3:$A$5001,AC$3,BD!$B$3:$B$5001,$A$26)))</f>
        <v/>
      </c>
      <c r="AD37" s="225" t="str">
        <f>IF(AD$3="","",IF(COUNTIFS(BD!$A$3:$A$5001,AD$3,BD!$B$3:$B$5001,$A$26,BD!$S$3:$S$5001,"&lt;&gt;")=0,"",SUMIFS(BD!$S$3:$S$5001,BD!$A$3:$A$5001,AD$3,BD!$B$3:$B$5001,$A$26)))</f>
        <v/>
      </c>
      <c r="AE37" s="225" t="str">
        <f>IF(AE$3="","",IF(COUNTIFS(BD!$A$3:$A$5001,AE$3,BD!$B$3:$B$5001,$A$26,BD!$S$3:$S$5001,"&lt;&gt;")=0,"",SUMIFS(BD!$S$3:$S$5001,BD!$A$3:$A$5001,AE$3,BD!$B$3:$B$5001,$A$26)))</f>
        <v/>
      </c>
      <c r="AF37" s="225" t="str">
        <f>IF(AF$3="","",IF(COUNTIFS(BD!$A$3:$A$5001,AF$3,BD!$B$3:$B$5001,$A$26,BD!$S$3:$S$5001,"&lt;&gt;")=0,"",SUMIFS(BD!$S$3:$S$5001,BD!$A$3:$A$5001,AF$3,BD!$B$3:$B$5001,$A$26)))</f>
        <v/>
      </c>
      <c r="AG37" s="225" t="str">
        <f>IF(AG$3="","",IF(COUNTIFS(BD!$A$3:$A$5001,AG$3,BD!$B$3:$B$5001,$A$26,BD!$S$3:$S$5001,"&lt;&gt;")=0,"",SUMIFS(BD!$S$3:$S$5001,BD!$A$3:$A$5001,AG$3,BD!$B$3:$B$5001,$A$26)))</f>
        <v/>
      </c>
      <c r="AH37" s="225" t="str">
        <f>IF(AH$3="","",IF(COUNTIFS(BD!$A$3:$A$5001,AH$3,BD!$B$3:$B$5001,$A$26,BD!$S$3:$S$5001,"&lt;&gt;")=0,"",SUMIFS(BD!$S$3:$S$5001,BD!$A$3:$A$5001,AH$3,BD!$B$3:$B$5001,$A$26)))</f>
        <v/>
      </c>
      <c r="AI37" s="225" t="str">
        <f>IF(AI$3="","",IF(COUNTIFS(BD!$A$3:$A$5001,AI$3,BD!$B$3:$B$5001,$A$26,BD!$S$3:$S$5001,"&lt;&gt;")=0,"",SUMIFS(BD!$S$3:$S$5001,BD!$A$3:$A$5001,AI$3,BD!$B$3:$B$5001,$A$26)))</f>
        <v/>
      </c>
      <c r="AJ37" s="226" t="str">
        <f>IF(AJ$3="","",IF(COUNTIFS(BD!$A$3:$A$5001,AJ$3,BD!$B$3:$B$5001,$A$26,BD!$S$3:$S$5001,"&lt;&gt;")=0,"",SUMIFS(BD!$S$3:$S$5001,BD!$A$3:$A$5001,AJ$3,BD!$B$3:$B$5001,$A$26)))</f>
        <v/>
      </c>
      <c r="AK37" s="227" t="str">
        <f>IF(COUNT(F37:AJ37)=0,"",SUM(F37:AJ37))</f>
        <v/>
      </c>
    </row>
    <row r="38" ht="15.75" customHeight="1">
      <c r="A38" s="247"/>
      <c r="B38" s="244"/>
      <c r="C38" s="221" t="inlineStr">
        <is>
          <t xml:space="preserve">Acidentes CAF</t>
        </is>
      </c>
      <c r="D38" s="222" t="str">
        <f>IFERROR(1/(1/INDEX(BD!$Y$41:$AD$41,MATCH($A$26,BD!$Y$22:$AD$22,0))),"")</f>
        <v/>
      </c>
      <c r="E38" s="223"/>
      <c r="F38" s="224" t="str">
        <f>IF(F$3="","",IF(COUNTIFS(BD!$A$3:$A$5001,F$3,BD!$B$3:$B$5001,$A$26,BD!$T$3:$T$5001,"&lt;&gt;")=0,"",SUMIFS(BD!$T$3:$T$5001,BD!$A$3:$A$5001,F$3,BD!$B$3:$B$5001,$A$26)))</f>
        <v/>
      </c>
      <c r="G38" s="225" t="str">
        <f>IF(G$3="","",IF(COUNTIFS(BD!$A$3:$A$5001,G$3,BD!$B$3:$B$5001,$A$26,BD!$T$3:$T$5001,"&lt;&gt;")=0,"",SUMIFS(BD!$T$3:$T$5001,BD!$A$3:$A$5001,G$3,BD!$B$3:$B$5001,$A$26)))</f>
        <v/>
      </c>
      <c r="H38" s="225" t="str">
        <f>IF(H$3="","",IF(COUNTIFS(BD!$A$3:$A$5001,H$3,BD!$B$3:$B$5001,$A$26,BD!$T$3:$T$5001,"&lt;&gt;")=0,"",SUMIFS(BD!$T$3:$T$5001,BD!$A$3:$A$5001,H$3,BD!$B$3:$B$5001,$A$26)))</f>
        <v/>
      </c>
      <c r="I38" s="225" t="str">
        <f>IF(I$3="","",IF(COUNTIFS(BD!$A$3:$A$5001,I$3,BD!$B$3:$B$5001,$A$26,BD!$T$3:$T$5001,"&lt;&gt;")=0,"",SUMIFS(BD!$T$3:$T$5001,BD!$A$3:$A$5001,I$3,BD!$B$3:$B$5001,$A$26)))</f>
        <v/>
      </c>
      <c r="J38" s="225" t="str">
        <f>IF(J$3="","",IF(COUNTIFS(BD!$A$3:$A$5001,J$3,BD!$B$3:$B$5001,$A$26,BD!$T$3:$T$5001,"&lt;&gt;")=0,"",SUMIFS(BD!$T$3:$T$5001,BD!$A$3:$A$5001,J$3,BD!$B$3:$B$5001,$A$26)))</f>
        <v/>
      </c>
      <c r="K38" s="225" t="str">
        <f>IF(K$3="","",IF(COUNTIFS(BD!$A$3:$A$5001,K$3,BD!$B$3:$B$5001,$A$26,BD!$T$3:$T$5001,"&lt;&gt;")=0,"",SUMIFS(BD!$T$3:$T$5001,BD!$A$3:$A$5001,K$3,BD!$B$3:$B$5001,$A$26)))</f>
        <v/>
      </c>
      <c r="L38" s="225" t="str">
        <f>IF(L$3="","",IF(COUNTIFS(BD!$A$3:$A$5001,L$3,BD!$B$3:$B$5001,$A$26,BD!$T$3:$T$5001,"&lt;&gt;")=0,"",SUMIFS(BD!$T$3:$T$5001,BD!$A$3:$A$5001,L$3,BD!$B$3:$B$5001,$A$26)))</f>
        <v/>
      </c>
      <c r="M38" s="225" t="str">
        <f>IF(M$3="","",IF(COUNTIFS(BD!$A$3:$A$5001,M$3,BD!$B$3:$B$5001,$A$26,BD!$T$3:$T$5001,"&lt;&gt;")=0,"",SUMIFS(BD!$T$3:$T$5001,BD!$A$3:$A$5001,M$3,BD!$B$3:$B$5001,$A$26)))</f>
        <v/>
      </c>
      <c r="N38" s="225" t="str">
        <f>IF(N$3="","",IF(COUNTIFS(BD!$A$3:$A$5001,N$3,BD!$B$3:$B$5001,$A$26,BD!$T$3:$T$5001,"&lt;&gt;")=0,"",SUMIFS(BD!$T$3:$T$5001,BD!$A$3:$A$5001,N$3,BD!$B$3:$B$5001,$A$26)))</f>
        <v/>
      </c>
      <c r="O38" s="225" t="str">
        <f>IF(O$3="","",IF(COUNTIFS(BD!$A$3:$A$5001,O$3,BD!$B$3:$B$5001,$A$26,BD!$T$3:$T$5001,"&lt;&gt;")=0,"",SUMIFS(BD!$T$3:$T$5001,BD!$A$3:$A$5001,O$3,BD!$B$3:$B$5001,$A$26)))</f>
        <v/>
      </c>
      <c r="P38" s="225" t="str">
        <f>IF(P$3="","",IF(COUNTIFS(BD!$A$3:$A$5001,P$3,BD!$B$3:$B$5001,$A$26,BD!$T$3:$T$5001,"&lt;&gt;")=0,"",SUMIFS(BD!$T$3:$T$5001,BD!$A$3:$A$5001,P$3,BD!$B$3:$B$5001,$A$26)))</f>
        <v/>
      </c>
      <c r="Q38" s="225" t="str">
        <f>IF(Q$3="","",IF(COUNTIFS(BD!$A$3:$A$5001,Q$3,BD!$B$3:$B$5001,$A$26,BD!$T$3:$T$5001,"&lt;&gt;")=0,"",SUMIFS(BD!$T$3:$T$5001,BD!$A$3:$A$5001,Q$3,BD!$B$3:$B$5001,$A$26)))</f>
        <v/>
      </c>
      <c r="R38" s="225" t="str">
        <f>IF(R$3="","",IF(COUNTIFS(BD!$A$3:$A$5001,R$3,BD!$B$3:$B$5001,$A$26,BD!$T$3:$T$5001,"&lt;&gt;")=0,"",SUMIFS(BD!$T$3:$T$5001,BD!$A$3:$A$5001,R$3,BD!$B$3:$B$5001,$A$26)))</f>
        <v/>
      </c>
      <c r="S38" s="225" t="str">
        <f>IF(S$3="","",IF(COUNTIFS(BD!$A$3:$A$5001,S$3,BD!$B$3:$B$5001,$A$26,BD!$T$3:$T$5001,"&lt;&gt;")=0,"",SUMIFS(BD!$T$3:$T$5001,BD!$A$3:$A$5001,S$3,BD!$B$3:$B$5001,$A$26)))</f>
        <v/>
      </c>
      <c r="T38" s="225" t="str">
        <f>IF(T$3="","",IF(COUNTIFS(BD!$A$3:$A$5001,T$3,BD!$B$3:$B$5001,$A$26,BD!$T$3:$T$5001,"&lt;&gt;")=0,"",SUMIFS(BD!$T$3:$T$5001,BD!$A$3:$A$5001,T$3,BD!$B$3:$B$5001,$A$26)))</f>
        <v/>
      </c>
      <c r="U38" s="225" t="str">
        <f>IF(U$3="","",IF(COUNTIFS(BD!$A$3:$A$5001,U$3,BD!$B$3:$B$5001,$A$26,BD!$T$3:$T$5001,"&lt;&gt;")=0,"",SUMIFS(BD!$T$3:$T$5001,BD!$A$3:$A$5001,U$3,BD!$B$3:$B$5001,$A$26)))</f>
        <v/>
      </c>
      <c r="V38" s="225" t="str">
        <f>IF(V$3="","",IF(COUNTIFS(BD!$A$3:$A$5001,V$3,BD!$B$3:$B$5001,$A$26,BD!$T$3:$T$5001,"&lt;&gt;")=0,"",SUMIFS(BD!$T$3:$T$5001,BD!$A$3:$A$5001,V$3,BD!$B$3:$B$5001,$A$26)))</f>
        <v/>
      </c>
      <c r="W38" s="225" t="str">
        <f>IF(W$3="","",IF(COUNTIFS(BD!$A$3:$A$5001,W$3,BD!$B$3:$B$5001,$A$26,BD!$T$3:$T$5001,"&lt;&gt;")=0,"",SUMIFS(BD!$T$3:$T$5001,BD!$A$3:$A$5001,W$3,BD!$B$3:$B$5001,$A$26)))</f>
        <v/>
      </c>
      <c r="X38" s="225" t="str">
        <f>IF(X$3="","",IF(COUNTIFS(BD!$A$3:$A$5001,X$3,BD!$B$3:$B$5001,$A$26,BD!$T$3:$T$5001,"&lt;&gt;")=0,"",SUMIFS(BD!$T$3:$T$5001,BD!$A$3:$A$5001,X$3,BD!$B$3:$B$5001,$A$26)))</f>
        <v/>
      </c>
      <c r="Y38" s="225" t="str">
        <f>IF(Y$3="","",IF(COUNTIFS(BD!$A$3:$A$5001,Y$3,BD!$B$3:$B$5001,$A$26,BD!$T$3:$T$5001,"&lt;&gt;")=0,"",SUMIFS(BD!$T$3:$T$5001,BD!$A$3:$A$5001,Y$3,BD!$B$3:$B$5001,$A$26)))</f>
        <v/>
      </c>
      <c r="Z38" s="225" t="str">
        <f>IF(Z$3="","",IF(COUNTIFS(BD!$A$3:$A$5001,Z$3,BD!$B$3:$B$5001,$A$26,BD!$T$3:$T$5001,"&lt;&gt;")=0,"",SUMIFS(BD!$T$3:$T$5001,BD!$A$3:$A$5001,Z$3,BD!$B$3:$B$5001,$A$26)))</f>
        <v/>
      </c>
      <c r="AA38" s="225" t="str">
        <f>IF(AA$3="","",IF(COUNTIFS(BD!$A$3:$A$5001,AA$3,BD!$B$3:$B$5001,$A$26,BD!$T$3:$T$5001,"&lt;&gt;")=0,"",SUMIFS(BD!$T$3:$T$5001,BD!$A$3:$A$5001,AA$3,BD!$B$3:$B$5001,$A$26)))</f>
        <v/>
      </c>
      <c r="AB38" s="225" t="str">
        <f>IF(AB$3="","",IF(COUNTIFS(BD!$A$3:$A$5001,AB$3,BD!$B$3:$B$5001,$A$26,BD!$T$3:$T$5001,"&lt;&gt;")=0,"",SUMIFS(BD!$T$3:$T$5001,BD!$A$3:$A$5001,AB$3,BD!$B$3:$B$5001,$A$26)))</f>
        <v/>
      </c>
      <c r="AC38" s="225" t="str">
        <f>IF(AC$3="","",IF(COUNTIFS(BD!$A$3:$A$5001,AC$3,BD!$B$3:$B$5001,$A$26,BD!$T$3:$T$5001,"&lt;&gt;")=0,"",SUMIFS(BD!$T$3:$T$5001,BD!$A$3:$A$5001,AC$3,BD!$B$3:$B$5001,$A$26)))</f>
        <v/>
      </c>
      <c r="AD38" s="225" t="str">
        <f>IF(AD$3="","",IF(COUNTIFS(BD!$A$3:$A$5001,AD$3,BD!$B$3:$B$5001,$A$26,BD!$T$3:$T$5001,"&lt;&gt;")=0,"",SUMIFS(BD!$T$3:$T$5001,BD!$A$3:$A$5001,AD$3,BD!$B$3:$B$5001,$A$26)))</f>
        <v/>
      </c>
      <c r="AE38" s="225" t="str">
        <f>IF(AE$3="","",IF(COUNTIFS(BD!$A$3:$A$5001,AE$3,BD!$B$3:$B$5001,$A$26,BD!$T$3:$T$5001,"&lt;&gt;")=0,"",SUMIFS(BD!$T$3:$T$5001,BD!$A$3:$A$5001,AE$3,BD!$B$3:$B$5001,$A$26)))</f>
        <v/>
      </c>
      <c r="AF38" s="225" t="str">
        <f>IF(AF$3="","",IF(COUNTIFS(BD!$A$3:$A$5001,AF$3,BD!$B$3:$B$5001,$A$26,BD!$T$3:$T$5001,"&lt;&gt;")=0,"",SUMIFS(BD!$T$3:$T$5001,BD!$A$3:$A$5001,AF$3,BD!$B$3:$B$5001,$A$26)))</f>
        <v/>
      </c>
      <c r="AG38" s="225" t="str">
        <f>IF(AG$3="","",IF(COUNTIFS(BD!$A$3:$A$5001,AG$3,BD!$B$3:$B$5001,$A$26,BD!$T$3:$T$5001,"&lt;&gt;")=0,"",SUMIFS(BD!$T$3:$T$5001,BD!$A$3:$A$5001,AG$3,BD!$B$3:$B$5001,$A$26)))</f>
        <v/>
      </c>
      <c r="AH38" s="225" t="str">
        <f>IF(AH$3="","",IF(COUNTIFS(BD!$A$3:$A$5001,AH$3,BD!$B$3:$B$5001,$A$26,BD!$T$3:$T$5001,"&lt;&gt;")=0,"",SUMIFS(BD!$T$3:$T$5001,BD!$A$3:$A$5001,AH$3,BD!$B$3:$B$5001,$A$26)))</f>
        <v/>
      </c>
      <c r="AI38" s="225" t="str">
        <f>IF(AI$3="","",IF(COUNTIFS(BD!$A$3:$A$5001,AI$3,BD!$B$3:$B$5001,$A$26,BD!$T$3:$T$5001,"&lt;&gt;")=0,"",SUMIFS(BD!$T$3:$T$5001,BD!$A$3:$A$5001,AI$3,BD!$B$3:$B$5001,$A$26)))</f>
        <v/>
      </c>
      <c r="AJ38" s="226" t="str">
        <f>IF(AJ$3="","",IF(COUNTIFS(BD!$A$3:$A$5001,AJ$3,BD!$B$3:$B$5001,$A$26,BD!$T$3:$T$5001,"&lt;&gt;")=0,"",SUMIFS(BD!$T$3:$T$5001,BD!$A$3:$A$5001,AJ$3,BD!$B$3:$B$5001,$A$26)))</f>
        <v/>
      </c>
      <c r="AK38" s="227" t="str">
        <f>IF(COUNT(F38:AJ38)=0,"",SUM(F38:AJ38))</f>
        <v/>
      </c>
    </row>
    <row r="39" ht="15.75" customHeight="1">
      <c r="A39" s="248"/>
      <c r="B39" s="245"/>
      <c r="C39" s="228" t="inlineStr">
        <is>
          <t xml:space="preserve">Acidentes SAF</t>
        </is>
      </c>
      <c r="D39" s="229" t="str">
        <f>IFERROR(1/(1/INDEX(BD!$Y$42:$AD$42,MATCH($A$26,BD!$Y$22:$AD$22,0))),"")</f>
        <v/>
      </c>
      <c r="E39" s="230"/>
      <c r="F39" s="231" t="str">
        <f>IF(F$3="","",IF(COUNTIFS(BD!$A$3:$A$5001,F$3,BD!$B$3:$B$5001,$A$26,BD!$U$3:$U$5001,"&lt;&gt;")=0,"",SUMIFS(BD!$U$3:$U$5001,BD!$A$3:$A$5001,F$3,BD!$B$3:$B$5001,$A$26)))</f>
        <v/>
      </c>
      <c r="G39" s="232" t="str">
        <f>IF(G$3="","",IF(COUNTIFS(BD!$A$3:$A$5001,G$3,BD!$B$3:$B$5001,$A$26,BD!$U$3:$U$5001,"&lt;&gt;")=0,"",SUMIFS(BD!$U$3:$U$5001,BD!$A$3:$A$5001,G$3,BD!$B$3:$B$5001,$A$26)))</f>
        <v/>
      </c>
      <c r="H39" s="232" t="str">
        <f>IF(H$3="","",IF(COUNTIFS(BD!$A$3:$A$5001,H$3,BD!$B$3:$B$5001,$A$26,BD!$U$3:$U$5001,"&lt;&gt;")=0,"",SUMIFS(BD!$U$3:$U$5001,BD!$A$3:$A$5001,H$3,BD!$B$3:$B$5001,$A$26)))</f>
        <v/>
      </c>
      <c r="I39" s="232" t="str">
        <f>IF(I$3="","",IF(COUNTIFS(BD!$A$3:$A$5001,I$3,BD!$B$3:$B$5001,$A$26,BD!$U$3:$U$5001,"&lt;&gt;")=0,"",SUMIFS(BD!$U$3:$U$5001,BD!$A$3:$A$5001,I$3,BD!$B$3:$B$5001,$A$26)))</f>
        <v/>
      </c>
      <c r="J39" s="232" t="str">
        <f>IF(J$3="","",IF(COUNTIFS(BD!$A$3:$A$5001,J$3,BD!$B$3:$B$5001,$A$26,BD!$U$3:$U$5001,"&lt;&gt;")=0,"",SUMIFS(BD!$U$3:$U$5001,BD!$A$3:$A$5001,J$3,BD!$B$3:$B$5001,$A$26)))</f>
        <v/>
      </c>
      <c r="K39" s="232" t="str">
        <f>IF(K$3="","",IF(COUNTIFS(BD!$A$3:$A$5001,K$3,BD!$B$3:$B$5001,$A$26,BD!$U$3:$U$5001,"&lt;&gt;")=0,"",SUMIFS(BD!$U$3:$U$5001,BD!$A$3:$A$5001,K$3,BD!$B$3:$B$5001,$A$26)))</f>
        <v/>
      </c>
      <c r="L39" s="232" t="str">
        <f>IF(L$3="","",IF(COUNTIFS(BD!$A$3:$A$5001,L$3,BD!$B$3:$B$5001,$A$26,BD!$U$3:$U$5001,"&lt;&gt;")=0,"",SUMIFS(BD!$U$3:$U$5001,BD!$A$3:$A$5001,L$3,BD!$B$3:$B$5001,$A$26)))</f>
        <v/>
      </c>
      <c r="M39" s="232" t="str">
        <f>IF(M$3="","",IF(COUNTIFS(BD!$A$3:$A$5001,M$3,BD!$B$3:$B$5001,$A$26,BD!$U$3:$U$5001,"&lt;&gt;")=0,"",SUMIFS(BD!$U$3:$U$5001,BD!$A$3:$A$5001,M$3,BD!$B$3:$B$5001,$A$26)))</f>
        <v/>
      </c>
      <c r="N39" s="232" t="str">
        <f>IF(N$3="","",IF(COUNTIFS(BD!$A$3:$A$5001,N$3,BD!$B$3:$B$5001,$A$26,BD!$U$3:$U$5001,"&lt;&gt;")=0,"",SUMIFS(BD!$U$3:$U$5001,BD!$A$3:$A$5001,N$3,BD!$B$3:$B$5001,$A$26)))</f>
        <v/>
      </c>
      <c r="O39" s="232" t="str">
        <f>IF(O$3="","",IF(COUNTIFS(BD!$A$3:$A$5001,O$3,BD!$B$3:$B$5001,$A$26,BD!$U$3:$U$5001,"&lt;&gt;")=0,"",SUMIFS(BD!$U$3:$U$5001,BD!$A$3:$A$5001,O$3,BD!$B$3:$B$5001,$A$26)))</f>
        <v/>
      </c>
      <c r="P39" s="232" t="str">
        <f>IF(P$3="","",IF(COUNTIFS(BD!$A$3:$A$5001,P$3,BD!$B$3:$B$5001,$A$26,BD!$U$3:$U$5001,"&lt;&gt;")=0,"",SUMIFS(BD!$U$3:$U$5001,BD!$A$3:$A$5001,P$3,BD!$B$3:$B$5001,$A$26)))</f>
        <v/>
      </c>
      <c r="Q39" s="232" t="str">
        <f>IF(Q$3="","",IF(COUNTIFS(BD!$A$3:$A$5001,Q$3,BD!$B$3:$B$5001,$A$26,BD!$U$3:$U$5001,"&lt;&gt;")=0,"",SUMIFS(BD!$U$3:$U$5001,BD!$A$3:$A$5001,Q$3,BD!$B$3:$B$5001,$A$26)))</f>
        <v/>
      </c>
      <c r="R39" s="232" t="str">
        <f>IF(R$3="","",IF(COUNTIFS(BD!$A$3:$A$5001,R$3,BD!$B$3:$B$5001,$A$26,BD!$U$3:$U$5001,"&lt;&gt;")=0,"",SUMIFS(BD!$U$3:$U$5001,BD!$A$3:$A$5001,R$3,BD!$B$3:$B$5001,$A$26)))</f>
        <v/>
      </c>
      <c r="S39" s="232" t="str">
        <f>IF(S$3="","",IF(COUNTIFS(BD!$A$3:$A$5001,S$3,BD!$B$3:$B$5001,$A$26,BD!$U$3:$U$5001,"&lt;&gt;")=0,"",SUMIFS(BD!$U$3:$U$5001,BD!$A$3:$A$5001,S$3,BD!$B$3:$B$5001,$A$26)))</f>
        <v/>
      </c>
      <c r="T39" s="232" t="str">
        <f>IF(T$3="","",IF(COUNTIFS(BD!$A$3:$A$5001,T$3,BD!$B$3:$B$5001,$A$26,BD!$U$3:$U$5001,"&lt;&gt;")=0,"",SUMIFS(BD!$U$3:$U$5001,BD!$A$3:$A$5001,T$3,BD!$B$3:$B$5001,$A$26)))</f>
        <v/>
      </c>
      <c r="U39" s="232" t="str">
        <f>IF(U$3="","",IF(COUNTIFS(BD!$A$3:$A$5001,U$3,BD!$B$3:$B$5001,$A$26,BD!$U$3:$U$5001,"&lt;&gt;")=0,"",SUMIFS(BD!$U$3:$U$5001,BD!$A$3:$A$5001,U$3,BD!$B$3:$B$5001,$A$26)))</f>
        <v/>
      </c>
      <c r="V39" s="232" t="str">
        <f>IF(V$3="","",IF(COUNTIFS(BD!$A$3:$A$5001,V$3,BD!$B$3:$B$5001,$A$26,BD!$U$3:$U$5001,"&lt;&gt;")=0,"",SUMIFS(BD!$U$3:$U$5001,BD!$A$3:$A$5001,V$3,BD!$B$3:$B$5001,$A$26)))</f>
        <v/>
      </c>
      <c r="W39" s="232" t="str">
        <f>IF(W$3="","",IF(COUNTIFS(BD!$A$3:$A$5001,W$3,BD!$B$3:$B$5001,$A$26,BD!$U$3:$U$5001,"&lt;&gt;")=0,"",SUMIFS(BD!$U$3:$U$5001,BD!$A$3:$A$5001,W$3,BD!$B$3:$B$5001,$A$26)))</f>
        <v/>
      </c>
      <c r="X39" s="232" t="str">
        <f>IF(X$3="","",IF(COUNTIFS(BD!$A$3:$A$5001,X$3,BD!$B$3:$B$5001,$A$26,BD!$U$3:$U$5001,"&lt;&gt;")=0,"",SUMIFS(BD!$U$3:$U$5001,BD!$A$3:$A$5001,X$3,BD!$B$3:$B$5001,$A$26)))</f>
        <v/>
      </c>
      <c r="Y39" s="232" t="str">
        <f>IF(Y$3="","",IF(COUNTIFS(BD!$A$3:$A$5001,Y$3,BD!$B$3:$B$5001,$A$26,BD!$U$3:$U$5001,"&lt;&gt;")=0,"",SUMIFS(BD!$U$3:$U$5001,BD!$A$3:$A$5001,Y$3,BD!$B$3:$B$5001,$A$26)))</f>
        <v/>
      </c>
      <c r="Z39" s="232" t="str">
        <f>IF(Z$3="","",IF(COUNTIFS(BD!$A$3:$A$5001,Z$3,BD!$B$3:$B$5001,$A$26,BD!$U$3:$U$5001,"&lt;&gt;")=0,"",SUMIFS(BD!$U$3:$U$5001,BD!$A$3:$A$5001,Z$3,BD!$B$3:$B$5001,$A$26)))</f>
        <v/>
      </c>
      <c r="AA39" s="232" t="str">
        <f>IF(AA$3="","",IF(COUNTIFS(BD!$A$3:$A$5001,AA$3,BD!$B$3:$B$5001,$A$26,BD!$U$3:$U$5001,"&lt;&gt;")=0,"",SUMIFS(BD!$U$3:$U$5001,BD!$A$3:$A$5001,AA$3,BD!$B$3:$B$5001,$A$26)))</f>
        <v/>
      </c>
      <c r="AB39" s="232" t="str">
        <f>IF(AB$3="","",IF(COUNTIFS(BD!$A$3:$A$5001,AB$3,BD!$B$3:$B$5001,$A$26,BD!$U$3:$U$5001,"&lt;&gt;")=0,"",SUMIFS(BD!$U$3:$U$5001,BD!$A$3:$A$5001,AB$3,BD!$B$3:$B$5001,$A$26)))</f>
        <v/>
      </c>
      <c r="AC39" s="232" t="str">
        <f>IF(AC$3="","",IF(COUNTIFS(BD!$A$3:$A$5001,AC$3,BD!$B$3:$B$5001,$A$26,BD!$U$3:$U$5001,"&lt;&gt;")=0,"",SUMIFS(BD!$U$3:$U$5001,BD!$A$3:$A$5001,AC$3,BD!$B$3:$B$5001,$A$26)))</f>
        <v/>
      </c>
      <c r="AD39" s="232" t="str">
        <f>IF(AD$3="","",IF(COUNTIFS(BD!$A$3:$A$5001,AD$3,BD!$B$3:$B$5001,$A$26,BD!$U$3:$U$5001,"&lt;&gt;")=0,"",SUMIFS(BD!$U$3:$U$5001,BD!$A$3:$A$5001,AD$3,BD!$B$3:$B$5001,$A$26)))</f>
        <v/>
      </c>
      <c r="AE39" s="232" t="str">
        <f>IF(AE$3="","",IF(COUNTIFS(BD!$A$3:$A$5001,AE$3,BD!$B$3:$B$5001,$A$26,BD!$U$3:$U$5001,"&lt;&gt;")=0,"",SUMIFS(BD!$U$3:$U$5001,BD!$A$3:$A$5001,AE$3,BD!$B$3:$B$5001,$A$26)))</f>
        <v/>
      </c>
      <c r="AF39" s="232" t="str">
        <f>IF(AF$3="","",IF(COUNTIFS(BD!$A$3:$A$5001,AF$3,BD!$B$3:$B$5001,$A$26,BD!$U$3:$U$5001,"&lt;&gt;")=0,"",SUMIFS(BD!$U$3:$U$5001,BD!$A$3:$A$5001,AF$3,BD!$B$3:$B$5001,$A$26)))</f>
        <v/>
      </c>
      <c r="AG39" s="232" t="str">
        <f>IF(AG$3="","",IF(COUNTIFS(BD!$A$3:$A$5001,AG$3,BD!$B$3:$B$5001,$A$26,BD!$U$3:$U$5001,"&lt;&gt;")=0,"",SUMIFS(BD!$U$3:$U$5001,BD!$A$3:$A$5001,AG$3,BD!$B$3:$B$5001,$A$26)))</f>
        <v/>
      </c>
      <c r="AH39" s="232" t="str">
        <f>IF(AH$3="","",IF(COUNTIFS(BD!$A$3:$A$5001,AH$3,BD!$B$3:$B$5001,$A$26,BD!$U$3:$U$5001,"&lt;&gt;")=0,"",SUMIFS(BD!$U$3:$U$5001,BD!$A$3:$A$5001,AH$3,BD!$B$3:$B$5001,$A$26)))</f>
        <v/>
      </c>
      <c r="AI39" s="232" t="str">
        <f>IF(AI$3="","",IF(COUNTIFS(BD!$A$3:$A$5001,AI$3,BD!$B$3:$B$5001,$A$26,BD!$U$3:$U$5001,"&lt;&gt;")=0,"",SUMIFS(BD!$U$3:$U$5001,BD!$A$3:$A$5001,AI$3,BD!$B$3:$B$5001,$A$26)))</f>
        <v/>
      </c>
      <c r="AJ39" s="233" t="str">
        <f>IF(AJ$3="","",IF(COUNTIFS(BD!$A$3:$A$5001,AJ$3,BD!$B$3:$B$5001,$A$26,BD!$U$3:$U$5001,"&lt;&gt;")=0,"",SUMIFS(BD!$U$3:$U$5001,BD!$A$3:$A$5001,AJ$3,BD!$B$3:$B$5001,$A$26)))</f>
        <v/>
      </c>
      <c r="AK39" s="229" t="str">
        <f>IF(COUNT(F39:AJ39)=0,"",SUM(F39:AJ39))</f>
        <v/>
      </c>
    </row>
    <row r="41" ht="15.75" customHeight="1">
      <c r="A41" s="246" t="inlineStr">
        <is>
          <t xml:space="preserve">Mondelez</t>
        </is>
      </c>
      <c r="B41" s="234" t="inlineStr">
        <is>
          <t xml:space="preserve">IN</t>
        </is>
      </c>
      <c r="C41" s="148" t="inlineStr">
        <is>
          <t xml:space="preserve">Veículos Recebidos</t>
        </is>
      </c>
      <c r="D41" s="149" t="str">
        <f>IFERROR(1/(1/INDEX(BD!$Y$23:$AD$23,MATCH($A$41,BD!$Y$22:$AD$22,0))),"")</f>
        <v/>
      </c>
      <c r="E41" s="150"/>
      <c r="F41" s="151" t="str">
        <f>IF(F$3="","",IF(COUNTIFS(BD!$A$3:$A$5001,F$3,BD!$B$3:$B$5001,$A$41,BD!$C$3:$C$5001,"&lt;&gt;")=0,"",SUMIFS(BD!$C$3:$C$5001,BD!$A$3:$A$5001,F$3,BD!$B$3:$B$5001,$A$41)))</f>
        <v/>
      </c>
      <c r="G41" s="152" t="str">
        <f>IF(G$3="","",IF(COUNTIFS(BD!$A$3:$A$5001,G$3,BD!$B$3:$B$5001,$A$41,BD!$C$3:$C$5001,"&lt;&gt;")=0,"",SUMIFS(BD!$C$3:$C$5001,BD!$A$3:$A$5001,G$3,BD!$B$3:$B$5001,$A$41)))</f>
        <v/>
      </c>
      <c r="H41" s="152" t="str">
        <f>IF(H$3="","",IF(COUNTIFS(BD!$A$3:$A$5001,H$3,BD!$B$3:$B$5001,$A$41,BD!$C$3:$C$5001,"&lt;&gt;")=0,"",SUMIFS(BD!$C$3:$C$5001,BD!$A$3:$A$5001,H$3,BD!$B$3:$B$5001,$A$41)))</f>
        <v/>
      </c>
      <c r="I41" s="152" t="str">
        <f>IF(I$3="","",IF(COUNTIFS(BD!$A$3:$A$5001,I$3,BD!$B$3:$B$5001,$A$41,BD!$C$3:$C$5001,"&lt;&gt;")=0,"",SUMIFS(BD!$C$3:$C$5001,BD!$A$3:$A$5001,I$3,BD!$B$3:$B$5001,$A$41)))</f>
        <v/>
      </c>
      <c r="J41" s="152" t="str">
        <f>IF(J$3="","",IF(COUNTIFS(BD!$A$3:$A$5001,J$3,BD!$B$3:$B$5001,$A$41,BD!$C$3:$C$5001,"&lt;&gt;")=0,"",SUMIFS(BD!$C$3:$C$5001,BD!$A$3:$A$5001,J$3,BD!$B$3:$B$5001,$A$41)))</f>
        <v/>
      </c>
      <c r="K41" s="152" t="str">
        <f>IF(K$3="","",IF(COUNTIFS(BD!$A$3:$A$5001,K$3,BD!$B$3:$B$5001,$A$41,BD!$C$3:$C$5001,"&lt;&gt;")=0,"",SUMIFS(BD!$C$3:$C$5001,BD!$A$3:$A$5001,K$3,BD!$B$3:$B$5001,$A$41)))</f>
        <v/>
      </c>
      <c r="L41" s="152" t="str">
        <f>IF(L$3="","",IF(COUNTIFS(BD!$A$3:$A$5001,L$3,BD!$B$3:$B$5001,$A$41,BD!$C$3:$C$5001,"&lt;&gt;")=0,"",SUMIFS(BD!$C$3:$C$5001,BD!$A$3:$A$5001,L$3,BD!$B$3:$B$5001,$A$41)))</f>
        <v/>
      </c>
      <c r="M41" s="152" t="str">
        <f>IF(M$3="","",IF(COUNTIFS(BD!$A$3:$A$5001,M$3,BD!$B$3:$B$5001,$A$41,BD!$C$3:$C$5001,"&lt;&gt;")=0,"",SUMIFS(BD!$C$3:$C$5001,BD!$A$3:$A$5001,M$3,BD!$B$3:$B$5001,$A$41)))</f>
        <v/>
      </c>
      <c r="N41" s="152" t="str">
        <f>IF(N$3="","",IF(COUNTIFS(BD!$A$3:$A$5001,N$3,BD!$B$3:$B$5001,$A$41,BD!$C$3:$C$5001,"&lt;&gt;")=0,"",SUMIFS(BD!$C$3:$C$5001,BD!$A$3:$A$5001,N$3,BD!$B$3:$B$5001,$A$41)))</f>
        <v/>
      </c>
      <c r="O41" s="152" t="str">
        <f>IF(O$3="","",IF(COUNTIFS(BD!$A$3:$A$5001,O$3,BD!$B$3:$B$5001,$A$41,BD!$C$3:$C$5001,"&lt;&gt;")=0,"",SUMIFS(BD!$C$3:$C$5001,BD!$A$3:$A$5001,O$3,BD!$B$3:$B$5001,$A$41)))</f>
        <v/>
      </c>
      <c r="P41" s="152" t="str">
        <f>IF(P$3="","",IF(COUNTIFS(BD!$A$3:$A$5001,P$3,BD!$B$3:$B$5001,$A$41,BD!$C$3:$C$5001,"&lt;&gt;")=0,"",SUMIFS(BD!$C$3:$C$5001,BD!$A$3:$A$5001,P$3,BD!$B$3:$B$5001,$A$41)))</f>
        <v/>
      </c>
      <c r="Q41" s="152" t="str">
        <f>IF(Q$3="","",IF(COUNTIFS(BD!$A$3:$A$5001,Q$3,BD!$B$3:$B$5001,$A$41,BD!$C$3:$C$5001,"&lt;&gt;")=0,"",SUMIFS(BD!$C$3:$C$5001,BD!$A$3:$A$5001,Q$3,BD!$B$3:$B$5001,$A$41)))</f>
        <v/>
      </c>
      <c r="R41" s="152" t="str">
        <f>IF(R$3="","",IF(COUNTIFS(BD!$A$3:$A$5001,R$3,BD!$B$3:$B$5001,$A$41,BD!$C$3:$C$5001,"&lt;&gt;")=0,"",SUMIFS(BD!$C$3:$C$5001,BD!$A$3:$A$5001,R$3,BD!$B$3:$B$5001,$A$41)))</f>
        <v/>
      </c>
      <c r="S41" s="152" t="str">
        <f>IF(S$3="","",IF(COUNTIFS(BD!$A$3:$A$5001,S$3,BD!$B$3:$B$5001,$A$41,BD!$C$3:$C$5001,"&lt;&gt;")=0,"",SUMIFS(BD!$C$3:$C$5001,BD!$A$3:$A$5001,S$3,BD!$B$3:$B$5001,$A$41)))</f>
        <v/>
      </c>
      <c r="T41" s="152" t="str">
        <f>IF(T$3="","",IF(COUNTIFS(BD!$A$3:$A$5001,T$3,BD!$B$3:$B$5001,$A$41,BD!$C$3:$C$5001,"&lt;&gt;")=0,"",SUMIFS(BD!$C$3:$C$5001,BD!$A$3:$A$5001,T$3,BD!$B$3:$B$5001,$A$41)))</f>
        <v/>
      </c>
      <c r="U41" s="152" t="str">
        <f>IF(U$3="","",IF(COUNTIFS(BD!$A$3:$A$5001,U$3,BD!$B$3:$B$5001,$A$41,BD!$C$3:$C$5001,"&lt;&gt;")=0,"",SUMIFS(BD!$C$3:$C$5001,BD!$A$3:$A$5001,U$3,BD!$B$3:$B$5001,$A$41)))</f>
        <v/>
      </c>
      <c r="V41" s="152" t="str">
        <f>IF(V$3="","",IF(COUNTIFS(BD!$A$3:$A$5001,V$3,BD!$B$3:$B$5001,$A$41,BD!$C$3:$C$5001,"&lt;&gt;")=0,"",SUMIFS(BD!$C$3:$C$5001,BD!$A$3:$A$5001,V$3,BD!$B$3:$B$5001,$A$41)))</f>
        <v/>
      </c>
      <c r="W41" s="152" t="str">
        <f>IF(W$3="","",IF(COUNTIFS(BD!$A$3:$A$5001,W$3,BD!$B$3:$B$5001,$A$41,BD!$C$3:$C$5001,"&lt;&gt;")=0,"",SUMIFS(BD!$C$3:$C$5001,BD!$A$3:$A$5001,W$3,BD!$B$3:$B$5001,$A$41)))</f>
        <v/>
      </c>
      <c r="X41" s="152" t="str">
        <f>IF(X$3="","",IF(COUNTIFS(BD!$A$3:$A$5001,X$3,BD!$B$3:$B$5001,$A$41,BD!$C$3:$C$5001,"&lt;&gt;")=0,"",SUMIFS(BD!$C$3:$C$5001,BD!$A$3:$A$5001,X$3,BD!$B$3:$B$5001,$A$41)))</f>
        <v/>
      </c>
      <c r="Y41" s="152" t="str">
        <f>IF(Y$3="","",IF(COUNTIFS(BD!$A$3:$A$5001,Y$3,BD!$B$3:$B$5001,$A$41,BD!$C$3:$C$5001,"&lt;&gt;")=0,"",SUMIFS(BD!$C$3:$C$5001,BD!$A$3:$A$5001,Y$3,BD!$B$3:$B$5001,$A$41)))</f>
        <v/>
      </c>
      <c r="Z41" s="152" t="str">
        <f>IF(Z$3="","",IF(COUNTIFS(BD!$A$3:$A$5001,Z$3,BD!$B$3:$B$5001,$A$41,BD!$C$3:$C$5001,"&lt;&gt;")=0,"",SUMIFS(BD!$C$3:$C$5001,BD!$A$3:$A$5001,Z$3,BD!$B$3:$B$5001,$A$41)))</f>
        <v/>
      </c>
      <c r="AA41" s="152" t="str">
        <f>IF(AA$3="","",IF(COUNTIFS(BD!$A$3:$A$5001,AA$3,BD!$B$3:$B$5001,$A$41,BD!$C$3:$C$5001,"&lt;&gt;")=0,"",SUMIFS(BD!$C$3:$C$5001,BD!$A$3:$A$5001,AA$3,BD!$B$3:$B$5001,$A$41)))</f>
        <v/>
      </c>
      <c r="AB41" s="152" t="str">
        <f>IF(AB$3="","",IF(COUNTIFS(BD!$A$3:$A$5001,AB$3,BD!$B$3:$B$5001,$A$41,BD!$C$3:$C$5001,"&lt;&gt;")=0,"",SUMIFS(BD!$C$3:$C$5001,BD!$A$3:$A$5001,AB$3,BD!$B$3:$B$5001,$A$41)))</f>
        <v/>
      </c>
      <c r="AC41" s="152" t="str">
        <f>IF(AC$3="","",IF(COUNTIFS(BD!$A$3:$A$5001,AC$3,BD!$B$3:$B$5001,$A$41,BD!$C$3:$C$5001,"&lt;&gt;")=0,"",SUMIFS(BD!$C$3:$C$5001,BD!$A$3:$A$5001,AC$3,BD!$B$3:$B$5001,$A$41)))</f>
        <v/>
      </c>
      <c r="AD41" s="152" t="str">
        <f>IF(AD$3="","",IF(COUNTIFS(BD!$A$3:$A$5001,AD$3,BD!$B$3:$B$5001,$A$41,BD!$C$3:$C$5001,"&lt;&gt;")=0,"",SUMIFS(BD!$C$3:$C$5001,BD!$A$3:$A$5001,AD$3,BD!$B$3:$B$5001,$A$41)))</f>
        <v/>
      </c>
      <c r="AE41" s="152" t="str">
        <f>IF(AE$3="","",IF(COUNTIFS(BD!$A$3:$A$5001,AE$3,BD!$B$3:$B$5001,$A$41,BD!$C$3:$C$5001,"&lt;&gt;")=0,"",SUMIFS(BD!$C$3:$C$5001,BD!$A$3:$A$5001,AE$3,BD!$B$3:$B$5001,$A$41)))</f>
        <v/>
      </c>
      <c r="AF41" s="152" t="str">
        <f>IF(AF$3="","",IF(COUNTIFS(BD!$A$3:$A$5001,AF$3,BD!$B$3:$B$5001,$A$41,BD!$C$3:$C$5001,"&lt;&gt;")=0,"",SUMIFS(BD!$C$3:$C$5001,BD!$A$3:$A$5001,AF$3,BD!$B$3:$B$5001,$A$41)))</f>
        <v/>
      </c>
      <c r="AG41" s="152" t="str">
        <f>IF(AG$3="","",IF(COUNTIFS(BD!$A$3:$A$5001,AG$3,BD!$B$3:$B$5001,$A$41,BD!$C$3:$C$5001,"&lt;&gt;")=0,"",SUMIFS(BD!$C$3:$C$5001,BD!$A$3:$A$5001,AG$3,BD!$B$3:$B$5001,$A$41)))</f>
        <v/>
      </c>
      <c r="AH41" s="152" t="str">
        <f>IF(AH$3="","",IF(COUNTIFS(BD!$A$3:$A$5001,AH$3,BD!$B$3:$B$5001,$A$41,BD!$C$3:$C$5001,"&lt;&gt;")=0,"",SUMIFS(BD!$C$3:$C$5001,BD!$A$3:$A$5001,AH$3,BD!$B$3:$B$5001,$A$41)))</f>
        <v/>
      </c>
      <c r="AI41" s="152" t="str">
        <f>IF(AI$3="","",IF(COUNTIFS(BD!$A$3:$A$5001,AI$3,BD!$B$3:$B$5001,$A$41,BD!$C$3:$C$5001,"&lt;&gt;")=0,"",SUMIFS(BD!$C$3:$C$5001,BD!$A$3:$A$5001,AI$3,BD!$B$3:$B$5001,$A$41)))</f>
        <v/>
      </c>
      <c r="AJ41" s="153" t="str">
        <f>IF(AJ$3="","",IF(COUNTIFS(BD!$A$3:$A$5001,AJ$3,BD!$B$3:$B$5001,$A$41,BD!$C$3:$C$5001,"&lt;&gt;")=0,"",SUMIFS(BD!$C$3:$C$5001,BD!$A$3:$A$5001,AJ$3,BD!$B$3:$B$5001,$A$41)))</f>
        <v/>
      </c>
      <c r="AK41" s="154" t="str">
        <f>IF(COUNT(F41:AJ41)=0,"",SUM(F41:AJ41))</f>
        <v/>
      </c>
    </row>
    <row r="42" ht="15.75" customHeight="1">
      <c r="A42" s="247"/>
      <c r="B42" s="235"/>
      <c r="C42" s="155" t="inlineStr">
        <is>
          <t xml:space="preserve">Pallets Movimentados</t>
        </is>
      </c>
      <c r="D42" s="156" t="str">
        <f>IFERROR(1/(1/INDEX(BD!$Y$24:$AD$24,MATCH($A$41,BD!$Y$22:$AD$22,0))),"")</f>
        <v/>
      </c>
      <c r="E42" s="157"/>
      <c r="F42" s="158" t="str">
        <f>IF(F$3="","",IF(COUNTIFS(BD!$A$3:$A$5001,F$3,BD!$B$3:$B$5001,$A$41,BD!$D$3:$D$5001,"&lt;&gt;")=0,"",SUMIFS(BD!$D$3:$D$5001,BD!$A$3:$A$5001,F$3,BD!$B$3:$B$5001,$A$41)))</f>
        <v/>
      </c>
      <c r="G42" s="159" t="str">
        <f>IF(G$3="","",IF(COUNTIFS(BD!$A$3:$A$5001,G$3,BD!$B$3:$B$5001,$A$41,BD!$D$3:$D$5001,"&lt;&gt;")=0,"",SUMIFS(BD!$D$3:$D$5001,BD!$A$3:$A$5001,G$3,BD!$B$3:$B$5001,$A$41)))</f>
        <v/>
      </c>
      <c r="H42" s="159" t="str">
        <f>IF(H$3="","",IF(COUNTIFS(BD!$A$3:$A$5001,H$3,BD!$B$3:$B$5001,$A$41,BD!$D$3:$D$5001,"&lt;&gt;")=0,"",SUMIFS(BD!$D$3:$D$5001,BD!$A$3:$A$5001,H$3,BD!$B$3:$B$5001,$A$41)))</f>
        <v/>
      </c>
      <c r="I42" s="159" t="str">
        <f>IF(I$3="","",IF(COUNTIFS(BD!$A$3:$A$5001,I$3,BD!$B$3:$B$5001,$A$41,BD!$D$3:$D$5001,"&lt;&gt;")=0,"",SUMIFS(BD!$D$3:$D$5001,BD!$A$3:$A$5001,I$3,BD!$B$3:$B$5001,$A$41)))</f>
        <v/>
      </c>
      <c r="J42" s="159" t="str">
        <f>IF(J$3="","",IF(COUNTIFS(BD!$A$3:$A$5001,J$3,BD!$B$3:$B$5001,$A$41,BD!$D$3:$D$5001,"&lt;&gt;")=0,"",SUMIFS(BD!$D$3:$D$5001,BD!$A$3:$A$5001,J$3,BD!$B$3:$B$5001,$A$41)))</f>
        <v/>
      </c>
      <c r="K42" s="159" t="str">
        <f>IF(K$3="","",IF(COUNTIFS(BD!$A$3:$A$5001,K$3,BD!$B$3:$B$5001,$A$41,BD!$D$3:$D$5001,"&lt;&gt;")=0,"",SUMIFS(BD!$D$3:$D$5001,BD!$A$3:$A$5001,K$3,BD!$B$3:$B$5001,$A$41)))</f>
        <v/>
      </c>
      <c r="L42" s="159" t="str">
        <f>IF(L$3="","",IF(COUNTIFS(BD!$A$3:$A$5001,L$3,BD!$B$3:$B$5001,$A$41,BD!$D$3:$D$5001,"&lt;&gt;")=0,"",SUMIFS(BD!$D$3:$D$5001,BD!$A$3:$A$5001,L$3,BD!$B$3:$B$5001,$A$41)))</f>
        <v/>
      </c>
      <c r="M42" s="159" t="str">
        <f>IF(M$3="","",IF(COUNTIFS(BD!$A$3:$A$5001,M$3,BD!$B$3:$B$5001,$A$41,BD!$D$3:$D$5001,"&lt;&gt;")=0,"",SUMIFS(BD!$D$3:$D$5001,BD!$A$3:$A$5001,M$3,BD!$B$3:$B$5001,$A$41)))</f>
        <v/>
      </c>
      <c r="N42" s="159" t="str">
        <f>IF(N$3="","",IF(COUNTIFS(BD!$A$3:$A$5001,N$3,BD!$B$3:$B$5001,$A$41,BD!$D$3:$D$5001,"&lt;&gt;")=0,"",SUMIFS(BD!$D$3:$D$5001,BD!$A$3:$A$5001,N$3,BD!$B$3:$B$5001,$A$41)))</f>
        <v/>
      </c>
      <c r="O42" s="159" t="str">
        <f>IF(O$3="","",IF(COUNTIFS(BD!$A$3:$A$5001,O$3,BD!$B$3:$B$5001,$A$41,BD!$D$3:$D$5001,"&lt;&gt;")=0,"",SUMIFS(BD!$D$3:$D$5001,BD!$A$3:$A$5001,O$3,BD!$B$3:$B$5001,$A$41)))</f>
        <v/>
      </c>
      <c r="P42" s="159" t="str">
        <f>IF(P$3="","",IF(COUNTIFS(BD!$A$3:$A$5001,P$3,BD!$B$3:$B$5001,$A$41,BD!$D$3:$D$5001,"&lt;&gt;")=0,"",SUMIFS(BD!$D$3:$D$5001,BD!$A$3:$A$5001,P$3,BD!$B$3:$B$5001,$A$41)))</f>
        <v/>
      </c>
      <c r="Q42" s="159" t="str">
        <f>IF(Q$3="","",IF(COUNTIFS(BD!$A$3:$A$5001,Q$3,BD!$B$3:$B$5001,$A$41,BD!$D$3:$D$5001,"&lt;&gt;")=0,"",SUMIFS(BD!$D$3:$D$5001,BD!$A$3:$A$5001,Q$3,BD!$B$3:$B$5001,$A$41)))</f>
        <v/>
      </c>
      <c r="R42" s="159" t="str">
        <f>IF(R$3="","",IF(COUNTIFS(BD!$A$3:$A$5001,R$3,BD!$B$3:$B$5001,$A$41,BD!$D$3:$D$5001,"&lt;&gt;")=0,"",SUMIFS(BD!$D$3:$D$5001,BD!$A$3:$A$5001,R$3,BD!$B$3:$B$5001,$A$41)))</f>
        <v/>
      </c>
      <c r="S42" s="159" t="str">
        <f>IF(S$3="","",IF(COUNTIFS(BD!$A$3:$A$5001,S$3,BD!$B$3:$B$5001,$A$41,BD!$D$3:$D$5001,"&lt;&gt;")=0,"",SUMIFS(BD!$D$3:$D$5001,BD!$A$3:$A$5001,S$3,BD!$B$3:$B$5001,$A$41)))</f>
        <v/>
      </c>
      <c r="T42" s="159" t="str">
        <f>IF(T$3="","",IF(COUNTIFS(BD!$A$3:$A$5001,T$3,BD!$B$3:$B$5001,$A$41,BD!$D$3:$D$5001,"&lt;&gt;")=0,"",SUMIFS(BD!$D$3:$D$5001,BD!$A$3:$A$5001,T$3,BD!$B$3:$B$5001,$A$41)))</f>
        <v/>
      </c>
      <c r="U42" s="159" t="str">
        <f>IF(U$3="","",IF(COUNTIFS(BD!$A$3:$A$5001,U$3,BD!$B$3:$B$5001,$A$41,BD!$D$3:$D$5001,"&lt;&gt;")=0,"",SUMIFS(BD!$D$3:$D$5001,BD!$A$3:$A$5001,U$3,BD!$B$3:$B$5001,$A$41)))</f>
        <v/>
      </c>
      <c r="V42" s="159" t="str">
        <f>IF(V$3="","",IF(COUNTIFS(BD!$A$3:$A$5001,V$3,BD!$B$3:$B$5001,$A$41,BD!$D$3:$D$5001,"&lt;&gt;")=0,"",SUMIFS(BD!$D$3:$D$5001,BD!$A$3:$A$5001,V$3,BD!$B$3:$B$5001,$A$41)))</f>
        <v/>
      </c>
      <c r="W42" s="159" t="str">
        <f>IF(W$3="","",IF(COUNTIFS(BD!$A$3:$A$5001,W$3,BD!$B$3:$B$5001,$A$41,BD!$D$3:$D$5001,"&lt;&gt;")=0,"",SUMIFS(BD!$D$3:$D$5001,BD!$A$3:$A$5001,W$3,BD!$B$3:$B$5001,$A$41)))</f>
        <v/>
      </c>
      <c r="X42" s="159" t="str">
        <f>IF(X$3="","",IF(COUNTIFS(BD!$A$3:$A$5001,X$3,BD!$B$3:$B$5001,$A$41,BD!$D$3:$D$5001,"&lt;&gt;")=0,"",SUMIFS(BD!$D$3:$D$5001,BD!$A$3:$A$5001,X$3,BD!$B$3:$B$5001,$A$41)))</f>
        <v/>
      </c>
      <c r="Y42" s="159" t="str">
        <f>IF(Y$3="","",IF(COUNTIFS(BD!$A$3:$A$5001,Y$3,BD!$B$3:$B$5001,$A$41,BD!$D$3:$D$5001,"&lt;&gt;")=0,"",SUMIFS(BD!$D$3:$D$5001,BD!$A$3:$A$5001,Y$3,BD!$B$3:$B$5001,$A$41)))</f>
        <v/>
      </c>
      <c r="Z42" s="159" t="str">
        <f>IF(Z$3="","",IF(COUNTIFS(BD!$A$3:$A$5001,Z$3,BD!$B$3:$B$5001,$A$41,BD!$D$3:$D$5001,"&lt;&gt;")=0,"",SUMIFS(BD!$D$3:$D$5001,BD!$A$3:$A$5001,Z$3,BD!$B$3:$B$5001,$A$41)))</f>
        <v/>
      </c>
      <c r="AA42" s="159" t="str">
        <f>IF(AA$3="","",IF(COUNTIFS(BD!$A$3:$A$5001,AA$3,BD!$B$3:$B$5001,$A$41,BD!$D$3:$D$5001,"&lt;&gt;")=0,"",SUMIFS(BD!$D$3:$D$5001,BD!$A$3:$A$5001,AA$3,BD!$B$3:$B$5001,$A$41)))</f>
        <v/>
      </c>
      <c r="AB42" s="159" t="str">
        <f>IF(AB$3="","",IF(COUNTIFS(BD!$A$3:$A$5001,AB$3,BD!$B$3:$B$5001,$A$41,BD!$D$3:$D$5001,"&lt;&gt;")=0,"",SUMIFS(BD!$D$3:$D$5001,BD!$A$3:$A$5001,AB$3,BD!$B$3:$B$5001,$A$41)))</f>
        <v/>
      </c>
      <c r="AC42" s="159" t="str">
        <f>IF(AC$3="","",IF(COUNTIFS(BD!$A$3:$A$5001,AC$3,BD!$B$3:$B$5001,$A$41,BD!$D$3:$D$5001,"&lt;&gt;")=0,"",SUMIFS(BD!$D$3:$D$5001,BD!$A$3:$A$5001,AC$3,BD!$B$3:$B$5001,$A$41)))</f>
        <v/>
      </c>
      <c r="AD42" s="159" t="str">
        <f>IF(AD$3="","",IF(COUNTIFS(BD!$A$3:$A$5001,AD$3,BD!$B$3:$B$5001,$A$41,BD!$D$3:$D$5001,"&lt;&gt;")=0,"",SUMIFS(BD!$D$3:$D$5001,BD!$A$3:$A$5001,AD$3,BD!$B$3:$B$5001,$A$41)))</f>
        <v/>
      </c>
      <c r="AE42" s="159" t="str">
        <f>IF(AE$3="","",IF(COUNTIFS(BD!$A$3:$A$5001,AE$3,BD!$B$3:$B$5001,$A$41,BD!$D$3:$D$5001,"&lt;&gt;")=0,"",SUMIFS(BD!$D$3:$D$5001,BD!$A$3:$A$5001,AE$3,BD!$B$3:$B$5001,$A$41)))</f>
        <v/>
      </c>
      <c r="AF42" s="159" t="str">
        <f>IF(AF$3="","",IF(COUNTIFS(BD!$A$3:$A$5001,AF$3,BD!$B$3:$B$5001,$A$41,BD!$D$3:$D$5001,"&lt;&gt;")=0,"",SUMIFS(BD!$D$3:$D$5001,BD!$A$3:$A$5001,AF$3,BD!$B$3:$B$5001,$A$41)))</f>
        <v/>
      </c>
      <c r="AG42" s="159" t="str">
        <f>IF(AG$3="","",IF(COUNTIFS(BD!$A$3:$A$5001,AG$3,BD!$B$3:$B$5001,$A$41,BD!$D$3:$D$5001,"&lt;&gt;")=0,"",SUMIFS(BD!$D$3:$D$5001,BD!$A$3:$A$5001,AG$3,BD!$B$3:$B$5001,$A$41)))</f>
        <v/>
      </c>
      <c r="AH42" s="159" t="str">
        <f>IF(AH$3="","",IF(COUNTIFS(BD!$A$3:$A$5001,AH$3,BD!$B$3:$B$5001,$A$41,BD!$D$3:$D$5001,"&lt;&gt;")=0,"",SUMIFS(BD!$D$3:$D$5001,BD!$A$3:$A$5001,AH$3,BD!$B$3:$B$5001,$A$41)))</f>
        <v/>
      </c>
      <c r="AI42" s="159" t="str">
        <f>IF(AI$3="","",IF(COUNTIFS(BD!$A$3:$A$5001,AI$3,BD!$B$3:$B$5001,$A$41,BD!$D$3:$D$5001,"&lt;&gt;")=0,"",SUMIFS(BD!$D$3:$D$5001,BD!$A$3:$A$5001,AI$3,BD!$B$3:$B$5001,$A$41)))</f>
        <v/>
      </c>
      <c r="AJ42" s="160" t="str">
        <f>IF(AJ$3="","",IF(COUNTIFS(BD!$A$3:$A$5001,AJ$3,BD!$B$3:$B$5001,$A$41,BD!$D$3:$D$5001,"&lt;&gt;")=0,"",SUMIFS(BD!$D$3:$D$5001,BD!$A$3:$A$5001,AJ$3,BD!$B$3:$B$5001,$A$41)))</f>
        <v/>
      </c>
      <c r="AK42" s="161" t="str">
        <f>IF(COUNT(F42:AJ42)=0,"",SUM(F42:AJ42))</f>
        <v/>
      </c>
    </row>
    <row r="43" ht="15.75" customHeight="1">
      <c r="A43" s="247"/>
      <c r="B43" s="236"/>
      <c r="C43" s="162" t="inlineStr">
        <is>
          <t xml:space="preserve">Toneladas Movimentadas</t>
        </is>
      </c>
      <c r="D43" s="163" t="str">
        <f>IFERROR(1/(1/INDEX(BD!$Y$25:$AD$25,MATCH($A$41,BD!$Y$22:$AD$22,0))),"")</f>
        <v/>
      </c>
      <c r="E43" s="164"/>
      <c r="F43" s="165" t="str">
        <f>IF(F$3="","",IF(COUNTIFS(BD!$A$3:$A$5001,F$3,BD!$B$3:$B$5001,$A$41,BD!$E$3:$E$5001,"&lt;&gt;")=0,"",SUMIFS(BD!$E$3:$E$5001,BD!$A$3:$A$5001,F$3,BD!$B$3:$B$5001,$A$41)))</f>
        <v/>
      </c>
      <c r="G43" s="166" t="str">
        <f>IF(G$3="","",IF(COUNTIFS(BD!$A$3:$A$5001,G$3,BD!$B$3:$B$5001,$A$41,BD!$E$3:$E$5001,"&lt;&gt;")=0,"",SUMIFS(BD!$E$3:$E$5001,BD!$A$3:$A$5001,G$3,BD!$B$3:$B$5001,$A$41)))</f>
        <v/>
      </c>
      <c r="H43" s="166" t="str">
        <f>IF(H$3="","",IF(COUNTIFS(BD!$A$3:$A$5001,H$3,BD!$B$3:$B$5001,$A$41,BD!$E$3:$E$5001,"&lt;&gt;")=0,"",SUMIFS(BD!$E$3:$E$5001,BD!$A$3:$A$5001,H$3,BD!$B$3:$B$5001,$A$41)))</f>
        <v/>
      </c>
      <c r="I43" s="166" t="str">
        <f>IF(I$3="","",IF(COUNTIFS(BD!$A$3:$A$5001,I$3,BD!$B$3:$B$5001,$A$41,BD!$E$3:$E$5001,"&lt;&gt;")=0,"",SUMIFS(BD!$E$3:$E$5001,BD!$A$3:$A$5001,I$3,BD!$B$3:$B$5001,$A$41)))</f>
        <v/>
      </c>
      <c r="J43" s="166" t="str">
        <f>IF(J$3="","",IF(COUNTIFS(BD!$A$3:$A$5001,J$3,BD!$B$3:$B$5001,$A$41,BD!$E$3:$E$5001,"&lt;&gt;")=0,"",SUMIFS(BD!$E$3:$E$5001,BD!$A$3:$A$5001,J$3,BD!$B$3:$B$5001,$A$41)))</f>
        <v/>
      </c>
      <c r="K43" s="166" t="str">
        <f>IF(K$3="","",IF(COUNTIFS(BD!$A$3:$A$5001,K$3,BD!$B$3:$B$5001,$A$41,BD!$E$3:$E$5001,"&lt;&gt;")=0,"",SUMIFS(BD!$E$3:$E$5001,BD!$A$3:$A$5001,K$3,BD!$B$3:$B$5001,$A$41)))</f>
        <v/>
      </c>
      <c r="L43" s="166" t="str">
        <f>IF(L$3="","",IF(COUNTIFS(BD!$A$3:$A$5001,L$3,BD!$B$3:$B$5001,$A$41,BD!$E$3:$E$5001,"&lt;&gt;")=0,"",SUMIFS(BD!$E$3:$E$5001,BD!$A$3:$A$5001,L$3,BD!$B$3:$B$5001,$A$41)))</f>
        <v/>
      </c>
      <c r="M43" s="166" t="str">
        <f>IF(M$3="","",IF(COUNTIFS(BD!$A$3:$A$5001,M$3,BD!$B$3:$B$5001,$A$41,BD!$E$3:$E$5001,"&lt;&gt;")=0,"",SUMIFS(BD!$E$3:$E$5001,BD!$A$3:$A$5001,M$3,BD!$B$3:$B$5001,$A$41)))</f>
        <v/>
      </c>
      <c r="N43" s="166" t="str">
        <f>IF(N$3="","",IF(COUNTIFS(BD!$A$3:$A$5001,N$3,BD!$B$3:$B$5001,$A$41,BD!$E$3:$E$5001,"&lt;&gt;")=0,"",SUMIFS(BD!$E$3:$E$5001,BD!$A$3:$A$5001,N$3,BD!$B$3:$B$5001,$A$41)))</f>
        <v/>
      </c>
      <c r="O43" s="166" t="str">
        <f>IF(O$3="","",IF(COUNTIFS(BD!$A$3:$A$5001,O$3,BD!$B$3:$B$5001,$A$41,BD!$E$3:$E$5001,"&lt;&gt;")=0,"",SUMIFS(BD!$E$3:$E$5001,BD!$A$3:$A$5001,O$3,BD!$B$3:$B$5001,$A$41)))</f>
        <v/>
      </c>
      <c r="P43" s="166" t="str">
        <f>IF(P$3="","",IF(COUNTIFS(BD!$A$3:$A$5001,P$3,BD!$B$3:$B$5001,$A$41,BD!$E$3:$E$5001,"&lt;&gt;")=0,"",SUMIFS(BD!$E$3:$E$5001,BD!$A$3:$A$5001,P$3,BD!$B$3:$B$5001,$A$41)))</f>
        <v/>
      </c>
      <c r="Q43" s="166" t="str">
        <f>IF(Q$3="","",IF(COUNTIFS(BD!$A$3:$A$5001,Q$3,BD!$B$3:$B$5001,$A$41,BD!$E$3:$E$5001,"&lt;&gt;")=0,"",SUMIFS(BD!$E$3:$E$5001,BD!$A$3:$A$5001,Q$3,BD!$B$3:$B$5001,$A$41)))</f>
        <v/>
      </c>
      <c r="R43" s="166" t="str">
        <f>IF(R$3="","",IF(COUNTIFS(BD!$A$3:$A$5001,R$3,BD!$B$3:$B$5001,$A$41,BD!$E$3:$E$5001,"&lt;&gt;")=0,"",SUMIFS(BD!$E$3:$E$5001,BD!$A$3:$A$5001,R$3,BD!$B$3:$B$5001,$A$41)))</f>
        <v/>
      </c>
      <c r="S43" s="166" t="str">
        <f>IF(S$3="","",IF(COUNTIFS(BD!$A$3:$A$5001,S$3,BD!$B$3:$B$5001,$A$41,BD!$E$3:$E$5001,"&lt;&gt;")=0,"",SUMIFS(BD!$E$3:$E$5001,BD!$A$3:$A$5001,S$3,BD!$B$3:$B$5001,$A$41)))</f>
        <v/>
      </c>
      <c r="T43" s="166" t="str">
        <f>IF(T$3="","",IF(COUNTIFS(BD!$A$3:$A$5001,T$3,BD!$B$3:$B$5001,$A$41,BD!$E$3:$E$5001,"&lt;&gt;")=0,"",SUMIFS(BD!$E$3:$E$5001,BD!$A$3:$A$5001,T$3,BD!$B$3:$B$5001,$A$41)))</f>
        <v/>
      </c>
      <c r="U43" s="166" t="str">
        <f>IF(U$3="","",IF(COUNTIFS(BD!$A$3:$A$5001,U$3,BD!$B$3:$B$5001,$A$41,BD!$E$3:$E$5001,"&lt;&gt;")=0,"",SUMIFS(BD!$E$3:$E$5001,BD!$A$3:$A$5001,U$3,BD!$B$3:$B$5001,$A$41)))</f>
        <v/>
      </c>
      <c r="V43" s="166" t="str">
        <f>IF(V$3="","",IF(COUNTIFS(BD!$A$3:$A$5001,V$3,BD!$B$3:$B$5001,$A$41,BD!$E$3:$E$5001,"&lt;&gt;")=0,"",SUMIFS(BD!$E$3:$E$5001,BD!$A$3:$A$5001,V$3,BD!$B$3:$B$5001,$A$41)))</f>
        <v/>
      </c>
      <c r="W43" s="166" t="str">
        <f>IF(W$3="","",IF(COUNTIFS(BD!$A$3:$A$5001,W$3,BD!$B$3:$B$5001,$A$41,BD!$E$3:$E$5001,"&lt;&gt;")=0,"",SUMIFS(BD!$E$3:$E$5001,BD!$A$3:$A$5001,W$3,BD!$B$3:$B$5001,$A$41)))</f>
        <v/>
      </c>
      <c r="X43" s="166" t="str">
        <f>IF(X$3="","",IF(COUNTIFS(BD!$A$3:$A$5001,X$3,BD!$B$3:$B$5001,$A$41,BD!$E$3:$E$5001,"&lt;&gt;")=0,"",SUMIFS(BD!$E$3:$E$5001,BD!$A$3:$A$5001,X$3,BD!$B$3:$B$5001,$A$41)))</f>
        <v/>
      </c>
      <c r="Y43" s="166" t="str">
        <f>IF(Y$3="","",IF(COUNTIFS(BD!$A$3:$A$5001,Y$3,BD!$B$3:$B$5001,$A$41,BD!$E$3:$E$5001,"&lt;&gt;")=0,"",SUMIFS(BD!$E$3:$E$5001,BD!$A$3:$A$5001,Y$3,BD!$B$3:$B$5001,$A$41)))</f>
        <v/>
      </c>
      <c r="Z43" s="166" t="str">
        <f>IF(Z$3="","",IF(COUNTIFS(BD!$A$3:$A$5001,Z$3,BD!$B$3:$B$5001,$A$41,BD!$E$3:$E$5001,"&lt;&gt;")=0,"",SUMIFS(BD!$E$3:$E$5001,BD!$A$3:$A$5001,Z$3,BD!$B$3:$B$5001,$A$41)))</f>
        <v/>
      </c>
      <c r="AA43" s="166" t="str">
        <f>IF(AA$3="","",IF(COUNTIFS(BD!$A$3:$A$5001,AA$3,BD!$B$3:$B$5001,$A$41,BD!$E$3:$E$5001,"&lt;&gt;")=0,"",SUMIFS(BD!$E$3:$E$5001,BD!$A$3:$A$5001,AA$3,BD!$B$3:$B$5001,$A$41)))</f>
        <v/>
      </c>
      <c r="AB43" s="166" t="str">
        <f>IF(AB$3="","",IF(COUNTIFS(BD!$A$3:$A$5001,AB$3,BD!$B$3:$B$5001,$A$41,BD!$E$3:$E$5001,"&lt;&gt;")=0,"",SUMIFS(BD!$E$3:$E$5001,BD!$A$3:$A$5001,AB$3,BD!$B$3:$B$5001,$A$41)))</f>
        <v/>
      </c>
      <c r="AC43" s="166" t="str">
        <f>IF(AC$3="","",IF(COUNTIFS(BD!$A$3:$A$5001,AC$3,BD!$B$3:$B$5001,$A$41,BD!$E$3:$E$5001,"&lt;&gt;")=0,"",SUMIFS(BD!$E$3:$E$5001,BD!$A$3:$A$5001,AC$3,BD!$B$3:$B$5001,$A$41)))</f>
        <v/>
      </c>
      <c r="AD43" s="166" t="str">
        <f>IF(AD$3="","",IF(COUNTIFS(BD!$A$3:$A$5001,AD$3,BD!$B$3:$B$5001,$A$41,BD!$E$3:$E$5001,"&lt;&gt;")=0,"",SUMIFS(BD!$E$3:$E$5001,BD!$A$3:$A$5001,AD$3,BD!$B$3:$B$5001,$A$41)))</f>
        <v/>
      </c>
      <c r="AE43" s="166" t="str">
        <f>IF(AE$3="","",IF(COUNTIFS(BD!$A$3:$A$5001,AE$3,BD!$B$3:$B$5001,$A$41,BD!$E$3:$E$5001,"&lt;&gt;")=0,"",SUMIFS(BD!$E$3:$E$5001,BD!$A$3:$A$5001,AE$3,BD!$B$3:$B$5001,$A$41)))</f>
        <v/>
      </c>
      <c r="AF43" s="166" t="str">
        <f>IF(AF$3="","",IF(COUNTIFS(BD!$A$3:$A$5001,AF$3,BD!$B$3:$B$5001,$A$41,BD!$E$3:$E$5001,"&lt;&gt;")=0,"",SUMIFS(BD!$E$3:$E$5001,BD!$A$3:$A$5001,AF$3,BD!$B$3:$B$5001,$A$41)))</f>
        <v/>
      </c>
      <c r="AG43" s="166" t="str">
        <f>IF(AG$3="","",IF(COUNTIFS(BD!$A$3:$A$5001,AG$3,BD!$B$3:$B$5001,$A$41,BD!$E$3:$E$5001,"&lt;&gt;")=0,"",SUMIFS(BD!$E$3:$E$5001,BD!$A$3:$A$5001,AG$3,BD!$B$3:$B$5001,$A$41)))</f>
        <v/>
      </c>
      <c r="AH43" s="166" t="str">
        <f>IF(AH$3="","",IF(COUNTIFS(BD!$A$3:$A$5001,AH$3,BD!$B$3:$B$5001,$A$41,BD!$E$3:$E$5001,"&lt;&gt;")=0,"",SUMIFS(BD!$E$3:$E$5001,BD!$A$3:$A$5001,AH$3,BD!$B$3:$B$5001,$A$41)))</f>
        <v/>
      </c>
      <c r="AI43" s="166" t="str">
        <f>IF(AI$3="","",IF(COUNTIFS(BD!$A$3:$A$5001,AI$3,BD!$B$3:$B$5001,$A$41,BD!$E$3:$E$5001,"&lt;&gt;")=0,"",SUMIFS(BD!$E$3:$E$5001,BD!$A$3:$A$5001,AI$3,BD!$B$3:$B$5001,$A$41)))</f>
        <v/>
      </c>
      <c r="AJ43" s="167" t="str">
        <f>IF(AJ$3="","",IF(COUNTIFS(BD!$A$3:$A$5001,AJ$3,BD!$B$3:$B$5001,$A$41,BD!$E$3:$E$5001,"&lt;&gt;")=0,"",SUMIFS(BD!$E$3:$E$5001,BD!$A$3:$A$5001,AJ$3,BD!$B$3:$B$5001,$A$41)))</f>
        <v/>
      </c>
      <c r="AK43" s="168" t="str">
        <f>IF(COUNT(F43:AJ43)=0,"",SUM(F43:AJ43))</f>
        <v/>
      </c>
    </row>
    <row r="44" ht="15.75" customHeight="1">
      <c r="A44" s="247"/>
      <c r="B44" s="237" t="inlineStr">
        <is>
          <t xml:space="preserve">OUT</t>
        </is>
      </c>
      <c r="C44" s="169" t="inlineStr">
        <is>
          <t xml:space="preserve">Veículos Expedidos</t>
        </is>
      </c>
      <c r="D44" s="170" t="str">
        <f>IFERROR(1/(1/INDEX(BD!$Y$26:$AD$26,MATCH($A$41,BD!$Y$22:$AD$22,0))),"")</f>
        <v/>
      </c>
      <c r="E44" s="171"/>
      <c r="F44" s="172" t="str">
        <f>IF(F$3="","",IF(COUNTIFS(BD!$A$3:$A$5001,F$3,BD!$B$3:$B$5001,$A$41,BD!$F$3:$F$5001,"&lt;&gt;")=0,"",SUMIFS(BD!$F$3:$F$5001,BD!$A$3:$A$5001,F$3,BD!$B$3:$B$5001,$A$41)))</f>
        <v/>
      </c>
      <c r="G44" s="173" t="str">
        <f>IF(G$3="","",IF(COUNTIFS(BD!$A$3:$A$5001,G$3,BD!$B$3:$B$5001,$A$41,BD!$F$3:$F$5001,"&lt;&gt;")=0,"",SUMIFS(BD!$F$3:$F$5001,BD!$A$3:$A$5001,G$3,BD!$B$3:$B$5001,$A$41)))</f>
        <v/>
      </c>
      <c r="H44" s="173" t="str">
        <f>IF(H$3="","",IF(COUNTIFS(BD!$A$3:$A$5001,H$3,BD!$B$3:$B$5001,$A$41,BD!$F$3:$F$5001,"&lt;&gt;")=0,"",SUMIFS(BD!$F$3:$F$5001,BD!$A$3:$A$5001,H$3,BD!$B$3:$B$5001,$A$41)))</f>
        <v/>
      </c>
      <c r="I44" s="173" t="str">
        <f>IF(I$3="","",IF(COUNTIFS(BD!$A$3:$A$5001,I$3,BD!$B$3:$B$5001,$A$41,BD!$F$3:$F$5001,"&lt;&gt;")=0,"",SUMIFS(BD!$F$3:$F$5001,BD!$A$3:$A$5001,I$3,BD!$B$3:$B$5001,$A$41)))</f>
        <v/>
      </c>
      <c r="J44" s="173" t="str">
        <f>IF(J$3="","",IF(COUNTIFS(BD!$A$3:$A$5001,J$3,BD!$B$3:$B$5001,$A$41,BD!$F$3:$F$5001,"&lt;&gt;")=0,"",SUMIFS(BD!$F$3:$F$5001,BD!$A$3:$A$5001,J$3,BD!$B$3:$B$5001,$A$41)))</f>
        <v/>
      </c>
      <c r="K44" s="173" t="str">
        <f>IF(K$3="","",IF(COUNTIFS(BD!$A$3:$A$5001,K$3,BD!$B$3:$B$5001,$A$41,BD!$F$3:$F$5001,"&lt;&gt;")=0,"",SUMIFS(BD!$F$3:$F$5001,BD!$A$3:$A$5001,K$3,BD!$B$3:$B$5001,$A$41)))</f>
        <v/>
      </c>
      <c r="L44" s="173" t="str">
        <f>IF(L$3="","",IF(COUNTIFS(BD!$A$3:$A$5001,L$3,BD!$B$3:$B$5001,$A$41,BD!$F$3:$F$5001,"&lt;&gt;")=0,"",SUMIFS(BD!$F$3:$F$5001,BD!$A$3:$A$5001,L$3,BD!$B$3:$B$5001,$A$41)))</f>
        <v/>
      </c>
      <c r="M44" s="173" t="str">
        <f>IF(M$3="","",IF(COUNTIFS(BD!$A$3:$A$5001,M$3,BD!$B$3:$B$5001,$A$41,BD!$F$3:$F$5001,"&lt;&gt;")=0,"",SUMIFS(BD!$F$3:$F$5001,BD!$A$3:$A$5001,M$3,BD!$B$3:$B$5001,$A$41)))</f>
        <v/>
      </c>
      <c r="N44" s="173" t="str">
        <f>IF(N$3="","",IF(COUNTIFS(BD!$A$3:$A$5001,N$3,BD!$B$3:$B$5001,$A$41,BD!$F$3:$F$5001,"&lt;&gt;")=0,"",SUMIFS(BD!$F$3:$F$5001,BD!$A$3:$A$5001,N$3,BD!$B$3:$B$5001,$A$41)))</f>
        <v/>
      </c>
      <c r="O44" s="173" t="str">
        <f>IF(O$3="","",IF(COUNTIFS(BD!$A$3:$A$5001,O$3,BD!$B$3:$B$5001,$A$41,BD!$F$3:$F$5001,"&lt;&gt;")=0,"",SUMIFS(BD!$F$3:$F$5001,BD!$A$3:$A$5001,O$3,BD!$B$3:$B$5001,$A$41)))</f>
        <v/>
      </c>
      <c r="P44" s="173" t="str">
        <f>IF(P$3="","",IF(COUNTIFS(BD!$A$3:$A$5001,P$3,BD!$B$3:$B$5001,$A$41,BD!$F$3:$F$5001,"&lt;&gt;")=0,"",SUMIFS(BD!$F$3:$F$5001,BD!$A$3:$A$5001,P$3,BD!$B$3:$B$5001,$A$41)))</f>
        <v/>
      </c>
      <c r="Q44" s="173" t="str">
        <f>IF(Q$3="","",IF(COUNTIFS(BD!$A$3:$A$5001,Q$3,BD!$B$3:$B$5001,$A$41,BD!$F$3:$F$5001,"&lt;&gt;")=0,"",SUMIFS(BD!$F$3:$F$5001,BD!$A$3:$A$5001,Q$3,BD!$B$3:$B$5001,$A$41)))</f>
        <v/>
      </c>
      <c r="R44" s="173" t="str">
        <f>IF(R$3="","",IF(COUNTIFS(BD!$A$3:$A$5001,R$3,BD!$B$3:$B$5001,$A$41,BD!$F$3:$F$5001,"&lt;&gt;")=0,"",SUMIFS(BD!$F$3:$F$5001,BD!$A$3:$A$5001,R$3,BD!$B$3:$B$5001,$A$41)))</f>
        <v/>
      </c>
      <c r="S44" s="173" t="str">
        <f>IF(S$3="","",IF(COUNTIFS(BD!$A$3:$A$5001,S$3,BD!$B$3:$B$5001,$A$41,BD!$F$3:$F$5001,"&lt;&gt;")=0,"",SUMIFS(BD!$F$3:$F$5001,BD!$A$3:$A$5001,S$3,BD!$B$3:$B$5001,$A$41)))</f>
        <v/>
      </c>
      <c r="T44" s="173" t="str">
        <f>IF(T$3="","",IF(COUNTIFS(BD!$A$3:$A$5001,T$3,BD!$B$3:$B$5001,$A$41,BD!$F$3:$F$5001,"&lt;&gt;")=0,"",SUMIFS(BD!$F$3:$F$5001,BD!$A$3:$A$5001,T$3,BD!$B$3:$B$5001,$A$41)))</f>
        <v/>
      </c>
      <c r="U44" s="173" t="str">
        <f>IF(U$3="","",IF(COUNTIFS(BD!$A$3:$A$5001,U$3,BD!$B$3:$B$5001,$A$41,BD!$F$3:$F$5001,"&lt;&gt;")=0,"",SUMIFS(BD!$F$3:$F$5001,BD!$A$3:$A$5001,U$3,BD!$B$3:$B$5001,$A$41)))</f>
        <v/>
      </c>
      <c r="V44" s="173" t="str">
        <f>IF(V$3="","",IF(COUNTIFS(BD!$A$3:$A$5001,V$3,BD!$B$3:$B$5001,$A$41,BD!$F$3:$F$5001,"&lt;&gt;")=0,"",SUMIFS(BD!$F$3:$F$5001,BD!$A$3:$A$5001,V$3,BD!$B$3:$B$5001,$A$41)))</f>
        <v/>
      </c>
      <c r="W44" s="173" t="str">
        <f>IF(W$3="","",IF(COUNTIFS(BD!$A$3:$A$5001,W$3,BD!$B$3:$B$5001,$A$41,BD!$F$3:$F$5001,"&lt;&gt;")=0,"",SUMIFS(BD!$F$3:$F$5001,BD!$A$3:$A$5001,W$3,BD!$B$3:$B$5001,$A$41)))</f>
        <v/>
      </c>
      <c r="X44" s="173" t="str">
        <f>IF(X$3="","",IF(COUNTIFS(BD!$A$3:$A$5001,X$3,BD!$B$3:$B$5001,$A$41,BD!$F$3:$F$5001,"&lt;&gt;")=0,"",SUMIFS(BD!$F$3:$F$5001,BD!$A$3:$A$5001,X$3,BD!$B$3:$B$5001,$A$41)))</f>
        <v/>
      </c>
      <c r="Y44" s="173" t="str">
        <f>IF(Y$3="","",IF(COUNTIFS(BD!$A$3:$A$5001,Y$3,BD!$B$3:$B$5001,$A$41,BD!$F$3:$F$5001,"&lt;&gt;")=0,"",SUMIFS(BD!$F$3:$F$5001,BD!$A$3:$A$5001,Y$3,BD!$B$3:$B$5001,$A$41)))</f>
        <v/>
      </c>
      <c r="Z44" s="173" t="str">
        <f>IF(Z$3="","",IF(COUNTIFS(BD!$A$3:$A$5001,Z$3,BD!$B$3:$B$5001,$A$41,BD!$F$3:$F$5001,"&lt;&gt;")=0,"",SUMIFS(BD!$F$3:$F$5001,BD!$A$3:$A$5001,Z$3,BD!$B$3:$B$5001,$A$41)))</f>
        <v/>
      </c>
      <c r="AA44" s="173" t="str">
        <f>IF(AA$3="","",IF(COUNTIFS(BD!$A$3:$A$5001,AA$3,BD!$B$3:$B$5001,$A$41,BD!$F$3:$F$5001,"&lt;&gt;")=0,"",SUMIFS(BD!$F$3:$F$5001,BD!$A$3:$A$5001,AA$3,BD!$B$3:$B$5001,$A$41)))</f>
        <v/>
      </c>
      <c r="AB44" s="173" t="str">
        <f>IF(AB$3="","",IF(COUNTIFS(BD!$A$3:$A$5001,AB$3,BD!$B$3:$B$5001,$A$41,BD!$F$3:$F$5001,"&lt;&gt;")=0,"",SUMIFS(BD!$F$3:$F$5001,BD!$A$3:$A$5001,AB$3,BD!$B$3:$B$5001,$A$41)))</f>
        <v/>
      </c>
      <c r="AC44" s="173" t="str">
        <f>IF(AC$3="","",IF(COUNTIFS(BD!$A$3:$A$5001,AC$3,BD!$B$3:$B$5001,$A$41,BD!$F$3:$F$5001,"&lt;&gt;")=0,"",SUMIFS(BD!$F$3:$F$5001,BD!$A$3:$A$5001,AC$3,BD!$B$3:$B$5001,$A$41)))</f>
        <v/>
      </c>
      <c r="AD44" s="173" t="str">
        <f>IF(AD$3="","",IF(COUNTIFS(BD!$A$3:$A$5001,AD$3,BD!$B$3:$B$5001,$A$41,BD!$F$3:$F$5001,"&lt;&gt;")=0,"",SUMIFS(BD!$F$3:$F$5001,BD!$A$3:$A$5001,AD$3,BD!$B$3:$B$5001,$A$41)))</f>
        <v/>
      </c>
      <c r="AE44" s="173" t="str">
        <f>IF(AE$3="","",IF(COUNTIFS(BD!$A$3:$A$5001,AE$3,BD!$B$3:$B$5001,$A$41,BD!$F$3:$F$5001,"&lt;&gt;")=0,"",SUMIFS(BD!$F$3:$F$5001,BD!$A$3:$A$5001,AE$3,BD!$B$3:$B$5001,$A$41)))</f>
        <v/>
      </c>
      <c r="AF44" s="173" t="str">
        <f>IF(AF$3="","",IF(COUNTIFS(BD!$A$3:$A$5001,AF$3,BD!$B$3:$B$5001,$A$41,BD!$F$3:$F$5001,"&lt;&gt;")=0,"",SUMIFS(BD!$F$3:$F$5001,BD!$A$3:$A$5001,AF$3,BD!$B$3:$B$5001,$A$41)))</f>
        <v/>
      </c>
      <c r="AG44" s="173" t="str">
        <f>IF(AG$3="","",IF(COUNTIFS(BD!$A$3:$A$5001,AG$3,BD!$B$3:$B$5001,$A$41,BD!$F$3:$F$5001,"&lt;&gt;")=0,"",SUMIFS(BD!$F$3:$F$5001,BD!$A$3:$A$5001,AG$3,BD!$B$3:$B$5001,$A$41)))</f>
        <v/>
      </c>
      <c r="AH44" s="173" t="str">
        <f>IF(AH$3="","",IF(COUNTIFS(BD!$A$3:$A$5001,AH$3,BD!$B$3:$B$5001,$A$41,BD!$F$3:$F$5001,"&lt;&gt;")=0,"",SUMIFS(BD!$F$3:$F$5001,BD!$A$3:$A$5001,AH$3,BD!$B$3:$B$5001,$A$41)))</f>
        <v/>
      </c>
      <c r="AI44" s="173" t="str">
        <f>IF(AI$3="","",IF(COUNTIFS(BD!$A$3:$A$5001,AI$3,BD!$B$3:$B$5001,$A$41,BD!$F$3:$F$5001,"&lt;&gt;")=0,"",SUMIFS(BD!$F$3:$F$5001,BD!$A$3:$A$5001,AI$3,BD!$B$3:$B$5001,$A$41)))</f>
        <v/>
      </c>
      <c r="AJ44" s="174" t="str">
        <f>IF(AJ$3="","",IF(COUNTIFS(BD!$A$3:$A$5001,AJ$3,BD!$B$3:$B$5001,$A$41,BD!$F$3:$F$5001,"&lt;&gt;")=0,"",SUMIFS(BD!$F$3:$F$5001,BD!$A$3:$A$5001,AJ$3,BD!$B$3:$B$5001,$A$41)))</f>
        <v/>
      </c>
      <c r="AK44" s="175" t="str">
        <f>IF(COUNT(F44:AJ44)=0,"",SUM(F44:AJ44))</f>
        <v/>
      </c>
    </row>
    <row r="45" ht="15.75" customHeight="1">
      <c r="A45" s="247"/>
      <c r="B45" s="238"/>
      <c r="C45" s="176" t="inlineStr">
        <is>
          <t xml:space="preserve">Pallets Movimentados</t>
        </is>
      </c>
      <c r="D45" s="177" t="str">
        <f>IFERROR(1/(1/INDEX(BD!$Y$27:$AD$27,MATCH($A$41,BD!$Y$22:$AD$22,0))),"")</f>
        <v/>
      </c>
      <c r="E45" s="178"/>
      <c r="F45" s="179" t="str">
        <f>IF(F$3="","",IF(COUNTIFS(BD!$A$3:$A$5001,F$3,BD!$B$3:$B$5001,$A$41,BD!$G$3:$G$5001,"&lt;&gt;")=0,"",SUMIFS(BD!$G$3:$G$5001,BD!$A$3:$A$5001,F$3,BD!$B$3:$B$5001,$A$41)))</f>
        <v/>
      </c>
      <c r="G45" s="180" t="str">
        <f>IF(G$3="","",IF(COUNTIFS(BD!$A$3:$A$5001,G$3,BD!$B$3:$B$5001,$A$41,BD!$G$3:$G$5001,"&lt;&gt;")=0,"",SUMIFS(BD!$G$3:$G$5001,BD!$A$3:$A$5001,G$3,BD!$B$3:$B$5001,$A$41)))</f>
        <v/>
      </c>
      <c r="H45" s="180" t="str">
        <f>IF(H$3="","",IF(COUNTIFS(BD!$A$3:$A$5001,H$3,BD!$B$3:$B$5001,$A$41,BD!$G$3:$G$5001,"&lt;&gt;")=0,"",SUMIFS(BD!$G$3:$G$5001,BD!$A$3:$A$5001,H$3,BD!$B$3:$B$5001,$A$41)))</f>
        <v/>
      </c>
      <c r="I45" s="180" t="str">
        <f>IF(I$3="","",IF(COUNTIFS(BD!$A$3:$A$5001,I$3,BD!$B$3:$B$5001,$A$41,BD!$G$3:$G$5001,"&lt;&gt;")=0,"",SUMIFS(BD!$G$3:$G$5001,BD!$A$3:$A$5001,I$3,BD!$B$3:$B$5001,$A$41)))</f>
        <v/>
      </c>
      <c r="J45" s="180" t="str">
        <f>IF(J$3="","",IF(COUNTIFS(BD!$A$3:$A$5001,J$3,BD!$B$3:$B$5001,$A$41,BD!$G$3:$G$5001,"&lt;&gt;")=0,"",SUMIFS(BD!$G$3:$G$5001,BD!$A$3:$A$5001,J$3,BD!$B$3:$B$5001,$A$41)))</f>
        <v/>
      </c>
      <c r="K45" s="180" t="str">
        <f>IF(K$3="","",IF(COUNTIFS(BD!$A$3:$A$5001,K$3,BD!$B$3:$B$5001,$A$41,BD!$G$3:$G$5001,"&lt;&gt;")=0,"",SUMIFS(BD!$G$3:$G$5001,BD!$A$3:$A$5001,K$3,BD!$B$3:$B$5001,$A$41)))</f>
        <v/>
      </c>
      <c r="L45" s="180" t="str">
        <f>IF(L$3="","",IF(COUNTIFS(BD!$A$3:$A$5001,L$3,BD!$B$3:$B$5001,$A$41,BD!$G$3:$G$5001,"&lt;&gt;")=0,"",SUMIFS(BD!$G$3:$G$5001,BD!$A$3:$A$5001,L$3,BD!$B$3:$B$5001,$A$41)))</f>
        <v/>
      </c>
      <c r="M45" s="180" t="str">
        <f>IF(M$3="","",IF(COUNTIFS(BD!$A$3:$A$5001,M$3,BD!$B$3:$B$5001,$A$41,BD!$G$3:$G$5001,"&lt;&gt;")=0,"",SUMIFS(BD!$G$3:$G$5001,BD!$A$3:$A$5001,M$3,BD!$B$3:$B$5001,$A$41)))</f>
        <v/>
      </c>
      <c r="N45" s="180" t="str">
        <f>IF(N$3="","",IF(COUNTIFS(BD!$A$3:$A$5001,N$3,BD!$B$3:$B$5001,$A$41,BD!$G$3:$G$5001,"&lt;&gt;")=0,"",SUMIFS(BD!$G$3:$G$5001,BD!$A$3:$A$5001,N$3,BD!$B$3:$B$5001,$A$41)))</f>
        <v/>
      </c>
      <c r="O45" s="180" t="str">
        <f>IF(O$3="","",IF(COUNTIFS(BD!$A$3:$A$5001,O$3,BD!$B$3:$B$5001,$A$41,BD!$G$3:$G$5001,"&lt;&gt;")=0,"",SUMIFS(BD!$G$3:$G$5001,BD!$A$3:$A$5001,O$3,BD!$B$3:$B$5001,$A$41)))</f>
        <v/>
      </c>
      <c r="P45" s="180" t="str">
        <f>IF(P$3="","",IF(COUNTIFS(BD!$A$3:$A$5001,P$3,BD!$B$3:$B$5001,$A$41,BD!$G$3:$G$5001,"&lt;&gt;")=0,"",SUMIFS(BD!$G$3:$G$5001,BD!$A$3:$A$5001,P$3,BD!$B$3:$B$5001,$A$41)))</f>
        <v/>
      </c>
      <c r="Q45" s="180" t="str">
        <f>IF(Q$3="","",IF(COUNTIFS(BD!$A$3:$A$5001,Q$3,BD!$B$3:$B$5001,$A$41,BD!$G$3:$G$5001,"&lt;&gt;")=0,"",SUMIFS(BD!$G$3:$G$5001,BD!$A$3:$A$5001,Q$3,BD!$B$3:$B$5001,$A$41)))</f>
        <v/>
      </c>
      <c r="R45" s="180" t="str">
        <f>IF(R$3="","",IF(COUNTIFS(BD!$A$3:$A$5001,R$3,BD!$B$3:$B$5001,$A$41,BD!$G$3:$G$5001,"&lt;&gt;")=0,"",SUMIFS(BD!$G$3:$G$5001,BD!$A$3:$A$5001,R$3,BD!$B$3:$B$5001,$A$41)))</f>
        <v/>
      </c>
      <c r="S45" s="180" t="str">
        <f>IF(S$3="","",IF(COUNTIFS(BD!$A$3:$A$5001,S$3,BD!$B$3:$B$5001,$A$41,BD!$G$3:$G$5001,"&lt;&gt;")=0,"",SUMIFS(BD!$G$3:$G$5001,BD!$A$3:$A$5001,S$3,BD!$B$3:$B$5001,$A$41)))</f>
        <v/>
      </c>
      <c r="T45" s="180" t="str">
        <f>IF(T$3="","",IF(COUNTIFS(BD!$A$3:$A$5001,T$3,BD!$B$3:$B$5001,$A$41,BD!$G$3:$G$5001,"&lt;&gt;")=0,"",SUMIFS(BD!$G$3:$G$5001,BD!$A$3:$A$5001,T$3,BD!$B$3:$B$5001,$A$41)))</f>
        <v/>
      </c>
      <c r="U45" s="180" t="str">
        <f>IF(U$3="","",IF(COUNTIFS(BD!$A$3:$A$5001,U$3,BD!$B$3:$B$5001,$A$41,BD!$G$3:$G$5001,"&lt;&gt;")=0,"",SUMIFS(BD!$G$3:$G$5001,BD!$A$3:$A$5001,U$3,BD!$B$3:$B$5001,$A$41)))</f>
        <v/>
      </c>
      <c r="V45" s="180" t="str">
        <f>IF(V$3="","",IF(COUNTIFS(BD!$A$3:$A$5001,V$3,BD!$B$3:$B$5001,$A$41,BD!$G$3:$G$5001,"&lt;&gt;")=0,"",SUMIFS(BD!$G$3:$G$5001,BD!$A$3:$A$5001,V$3,BD!$B$3:$B$5001,$A$41)))</f>
        <v/>
      </c>
      <c r="W45" s="180" t="str">
        <f>IF(W$3="","",IF(COUNTIFS(BD!$A$3:$A$5001,W$3,BD!$B$3:$B$5001,$A$41,BD!$G$3:$G$5001,"&lt;&gt;")=0,"",SUMIFS(BD!$G$3:$G$5001,BD!$A$3:$A$5001,W$3,BD!$B$3:$B$5001,$A$41)))</f>
        <v/>
      </c>
      <c r="X45" s="180" t="str">
        <f>IF(X$3="","",IF(COUNTIFS(BD!$A$3:$A$5001,X$3,BD!$B$3:$B$5001,$A$41,BD!$G$3:$G$5001,"&lt;&gt;")=0,"",SUMIFS(BD!$G$3:$G$5001,BD!$A$3:$A$5001,X$3,BD!$B$3:$B$5001,$A$41)))</f>
        <v/>
      </c>
      <c r="Y45" s="180" t="str">
        <f>IF(Y$3="","",IF(COUNTIFS(BD!$A$3:$A$5001,Y$3,BD!$B$3:$B$5001,$A$41,BD!$G$3:$G$5001,"&lt;&gt;")=0,"",SUMIFS(BD!$G$3:$G$5001,BD!$A$3:$A$5001,Y$3,BD!$B$3:$B$5001,$A$41)))</f>
        <v/>
      </c>
      <c r="Z45" s="180" t="str">
        <f>IF(Z$3="","",IF(COUNTIFS(BD!$A$3:$A$5001,Z$3,BD!$B$3:$B$5001,$A$41,BD!$G$3:$G$5001,"&lt;&gt;")=0,"",SUMIFS(BD!$G$3:$G$5001,BD!$A$3:$A$5001,Z$3,BD!$B$3:$B$5001,$A$41)))</f>
        <v/>
      </c>
      <c r="AA45" s="180" t="str">
        <f>IF(AA$3="","",IF(COUNTIFS(BD!$A$3:$A$5001,AA$3,BD!$B$3:$B$5001,$A$41,BD!$G$3:$G$5001,"&lt;&gt;")=0,"",SUMIFS(BD!$G$3:$G$5001,BD!$A$3:$A$5001,AA$3,BD!$B$3:$B$5001,$A$41)))</f>
        <v/>
      </c>
      <c r="AB45" s="180" t="str">
        <f>IF(AB$3="","",IF(COUNTIFS(BD!$A$3:$A$5001,AB$3,BD!$B$3:$B$5001,$A$41,BD!$G$3:$G$5001,"&lt;&gt;")=0,"",SUMIFS(BD!$G$3:$G$5001,BD!$A$3:$A$5001,AB$3,BD!$B$3:$B$5001,$A$41)))</f>
        <v/>
      </c>
      <c r="AC45" s="180" t="str">
        <f>IF(AC$3="","",IF(COUNTIFS(BD!$A$3:$A$5001,AC$3,BD!$B$3:$B$5001,$A$41,BD!$G$3:$G$5001,"&lt;&gt;")=0,"",SUMIFS(BD!$G$3:$G$5001,BD!$A$3:$A$5001,AC$3,BD!$B$3:$B$5001,$A$41)))</f>
        <v/>
      </c>
      <c r="AD45" s="180" t="str">
        <f>IF(AD$3="","",IF(COUNTIFS(BD!$A$3:$A$5001,AD$3,BD!$B$3:$B$5001,$A$41,BD!$G$3:$G$5001,"&lt;&gt;")=0,"",SUMIFS(BD!$G$3:$G$5001,BD!$A$3:$A$5001,AD$3,BD!$B$3:$B$5001,$A$41)))</f>
        <v/>
      </c>
      <c r="AE45" s="180" t="str">
        <f>IF(AE$3="","",IF(COUNTIFS(BD!$A$3:$A$5001,AE$3,BD!$B$3:$B$5001,$A$41,BD!$G$3:$G$5001,"&lt;&gt;")=0,"",SUMIFS(BD!$G$3:$G$5001,BD!$A$3:$A$5001,AE$3,BD!$B$3:$B$5001,$A$41)))</f>
        <v/>
      </c>
      <c r="AF45" s="180" t="str">
        <f>IF(AF$3="","",IF(COUNTIFS(BD!$A$3:$A$5001,AF$3,BD!$B$3:$B$5001,$A$41,BD!$G$3:$G$5001,"&lt;&gt;")=0,"",SUMIFS(BD!$G$3:$G$5001,BD!$A$3:$A$5001,AF$3,BD!$B$3:$B$5001,$A$41)))</f>
        <v/>
      </c>
      <c r="AG45" s="180" t="str">
        <f>IF(AG$3="","",IF(COUNTIFS(BD!$A$3:$A$5001,AG$3,BD!$B$3:$B$5001,$A$41,BD!$G$3:$G$5001,"&lt;&gt;")=0,"",SUMIFS(BD!$G$3:$G$5001,BD!$A$3:$A$5001,AG$3,BD!$B$3:$B$5001,$A$41)))</f>
        <v/>
      </c>
      <c r="AH45" s="180" t="str">
        <f>IF(AH$3="","",IF(COUNTIFS(BD!$A$3:$A$5001,AH$3,BD!$B$3:$B$5001,$A$41,BD!$G$3:$G$5001,"&lt;&gt;")=0,"",SUMIFS(BD!$G$3:$G$5001,BD!$A$3:$A$5001,AH$3,BD!$B$3:$B$5001,$A$41)))</f>
        <v/>
      </c>
      <c r="AI45" s="180" t="str">
        <f>IF(AI$3="","",IF(COUNTIFS(BD!$A$3:$A$5001,AI$3,BD!$B$3:$B$5001,$A$41,BD!$G$3:$G$5001,"&lt;&gt;")=0,"",SUMIFS(BD!$G$3:$G$5001,BD!$A$3:$A$5001,AI$3,BD!$B$3:$B$5001,$A$41)))</f>
        <v/>
      </c>
      <c r="AJ45" s="181" t="str">
        <f>IF(AJ$3="","",IF(COUNTIFS(BD!$A$3:$A$5001,AJ$3,BD!$B$3:$B$5001,$A$41,BD!$G$3:$G$5001,"&lt;&gt;")=0,"",SUMIFS(BD!$G$3:$G$5001,BD!$A$3:$A$5001,AJ$3,BD!$B$3:$B$5001,$A$41)))</f>
        <v/>
      </c>
      <c r="AK45" s="182" t="str">
        <f>IF(COUNT(F45:AJ45)=0,"",SUM(F45:AJ45))</f>
        <v/>
      </c>
    </row>
    <row r="46" ht="15.75" customHeight="1">
      <c r="A46" s="247"/>
      <c r="B46" s="239"/>
      <c r="C46" s="183" t="inlineStr">
        <is>
          <t xml:space="preserve">Toneladas Movimentadas</t>
        </is>
      </c>
      <c r="D46" s="184" t="str">
        <f>IFERROR(1/(1/INDEX(BD!$Y$28:$AD$28,MATCH($A$41,BD!$Y$22:$AD$22,0))),"")</f>
        <v/>
      </c>
      <c r="E46" s="185"/>
      <c r="F46" s="186" t="str">
        <f>IF(F$3="","",IF(COUNTIFS(BD!$A$3:$A$5001,F$3,BD!$B$3:$B$5001,$A$41,BD!$H$3:$H$5001,"&lt;&gt;")=0,"",SUMIFS(BD!$H$3:$H$5001,BD!$A$3:$A$5001,F$3,BD!$B$3:$B$5001,$A$41)))</f>
        <v/>
      </c>
      <c r="G46" s="187" t="str">
        <f>IF(G$3="","",IF(COUNTIFS(BD!$A$3:$A$5001,G$3,BD!$B$3:$B$5001,$A$41,BD!$H$3:$H$5001,"&lt;&gt;")=0,"",SUMIFS(BD!$H$3:$H$5001,BD!$A$3:$A$5001,G$3,BD!$B$3:$B$5001,$A$41)))</f>
        <v/>
      </c>
      <c r="H46" s="187" t="str">
        <f>IF(H$3="","",IF(COUNTIFS(BD!$A$3:$A$5001,H$3,BD!$B$3:$B$5001,$A$41,BD!$H$3:$H$5001,"&lt;&gt;")=0,"",SUMIFS(BD!$H$3:$H$5001,BD!$A$3:$A$5001,H$3,BD!$B$3:$B$5001,$A$41)))</f>
        <v/>
      </c>
      <c r="I46" s="187" t="str">
        <f>IF(I$3="","",IF(COUNTIFS(BD!$A$3:$A$5001,I$3,BD!$B$3:$B$5001,$A$41,BD!$H$3:$H$5001,"&lt;&gt;")=0,"",SUMIFS(BD!$H$3:$H$5001,BD!$A$3:$A$5001,I$3,BD!$B$3:$B$5001,$A$41)))</f>
        <v/>
      </c>
      <c r="J46" s="187" t="str">
        <f>IF(J$3="","",IF(COUNTIFS(BD!$A$3:$A$5001,J$3,BD!$B$3:$B$5001,$A$41,BD!$H$3:$H$5001,"&lt;&gt;")=0,"",SUMIFS(BD!$H$3:$H$5001,BD!$A$3:$A$5001,J$3,BD!$B$3:$B$5001,$A$41)))</f>
        <v/>
      </c>
      <c r="K46" s="187" t="str">
        <f>IF(K$3="","",IF(COUNTIFS(BD!$A$3:$A$5001,K$3,BD!$B$3:$B$5001,$A$41,BD!$H$3:$H$5001,"&lt;&gt;")=0,"",SUMIFS(BD!$H$3:$H$5001,BD!$A$3:$A$5001,K$3,BD!$B$3:$B$5001,$A$41)))</f>
        <v/>
      </c>
      <c r="L46" s="187" t="str">
        <f>IF(L$3="","",IF(COUNTIFS(BD!$A$3:$A$5001,L$3,BD!$B$3:$B$5001,$A$41,BD!$H$3:$H$5001,"&lt;&gt;")=0,"",SUMIFS(BD!$H$3:$H$5001,BD!$A$3:$A$5001,L$3,BD!$B$3:$B$5001,$A$41)))</f>
        <v/>
      </c>
      <c r="M46" s="187" t="str">
        <f>IF(M$3="","",IF(COUNTIFS(BD!$A$3:$A$5001,M$3,BD!$B$3:$B$5001,$A$41,BD!$H$3:$H$5001,"&lt;&gt;")=0,"",SUMIFS(BD!$H$3:$H$5001,BD!$A$3:$A$5001,M$3,BD!$B$3:$B$5001,$A$41)))</f>
        <v/>
      </c>
      <c r="N46" s="187" t="str">
        <f>IF(N$3="","",IF(COUNTIFS(BD!$A$3:$A$5001,N$3,BD!$B$3:$B$5001,$A$41,BD!$H$3:$H$5001,"&lt;&gt;")=0,"",SUMIFS(BD!$H$3:$H$5001,BD!$A$3:$A$5001,N$3,BD!$B$3:$B$5001,$A$41)))</f>
        <v/>
      </c>
      <c r="O46" s="187" t="str">
        <f>IF(O$3="","",IF(COUNTIFS(BD!$A$3:$A$5001,O$3,BD!$B$3:$B$5001,$A$41,BD!$H$3:$H$5001,"&lt;&gt;")=0,"",SUMIFS(BD!$H$3:$H$5001,BD!$A$3:$A$5001,O$3,BD!$B$3:$B$5001,$A$41)))</f>
        <v/>
      </c>
      <c r="P46" s="187" t="str">
        <f>IF(P$3="","",IF(COUNTIFS(BD!$A$3:$A$5001,P$3,BD!$B$3:$B$5001,$A$41,BD!$H$3:$H$5001,"&lt;&gt;")=0,"",SUMIFS(BD!$H$3:$H$5001,BD!$A$3:$A$5001,P$3,BD!$B$3:$B$5001,$A$41)))</f>
        <v/>
      </c>
      <c r="Q46" s="187" t="str">
        <f>IF(Q$3="","",IF(COUNTIFS(BD!$A$3:$A$5001,Q$3,BD!$B$3:$B$5001,$A$41,BD!$H$3:$H$5001,"&lt;&gt;")=0,"",SUMIFS(BD!$H$3:$H$5001,BD!$A$3:$A$5001,Q$3,BD!$B$3:$B$5001,$A$41)))</f>
        <v/>
      </c>
      <c r="R46" s="187" t="str">
        <f>IF(R$3="","",IF(COUNTIFS(BD!$A$3:$A$5001,R$3,BD!$B$3:$B$5001,$A$41,BD!$H$3:$H$5001,"&lt;&gt;")=0,"",SUMIFS(BD!$H$3:$H$5001,BD!$A$3:$A$5001,R$3,BD!$B$3:$B$5001,$A$41)))</f>
        <v/>
      </c>
      <c r="S46" s="187" t="str">
        <f>IF(S$3="","",IF(COUNTIFS(BD!$A$3:$A$5001,S$3,BD!$B$3:$B$5001,$A$41,BD!$H$3:$H$5001,"&lt;&gt;")=0,"",SUMIFS(BD!$H$3:$H$5001,BD!$A$3:$A$5001,S$3,BD!$B$3:$B$5001,$A$41)))</f>
        <v/>
      </c>
      <c r="T46" s="187" t="str">
        <f>IF(T$3="","",IF(COUNTIFS(BD!$A$3:$A$5001,T$3,BD!$B$3:$B$5001,$A$41,BD!$H$3:$H$5001,"&lt;&gt;")=0,"",SUMIFS(BD!$H$3:$H$5001,BD!$A$3:$A$5001,T$3,BD!$B$3:$B$5001,$A$41)))</f>
        <v/>
      </c>
      <c r="U46" s="187" t="str">
        <f>IF(U$3="","",IF(COUNTIFS(BD!$A$3:$A$5001,U$3,BD!$B$3:$B$5001,$A$41,BD!$H$3:$H$5001,"&lt;&gt;")=0,"",SUMIFS(BD!$H$3:$H$5001,BD!$A$3:$A$5001,U$3,BD!$B$3:$B$5001,$A$41)))</f>
        <v/>
      </c>
      <c r="V46" s="187" t="str">
        <f>IF(V$3="","",IF(COUNTIFS(BD!$A$3:$A$5001,V$3,BD!$B$3:$B$5001,$A$41,BD!$H$3:$H$5001,"&lt;&gt;")=0,"",SUMIFS(BD!$H$3:$H$5001,BD!$A$3:$A$5001,V$3,BD!$B$3:$B$5001,$A$41)))</f>
        <v/>
      </c>
      <c r="W46" s="187" t="str">
        <f>IF(W$3="","",IF(COUNTIFS(BD!$A$3:$A$5001,W$3,BD!$B$3:$B$5001,$A$41,BD!$H$3:$H$5001,"&lt;&gt;")=0,"",SUMIFS(BD!$H$3:$H$5001,BD!$A$3:$A$5001,W$3,BD!$B$3:$B$5001,$A$41)))</f>
        <v/>
      </c>
      <c r="X46" s="187" t="str">
        <f>IF(X$3="","",IF(COUNTIFS(BD!$A$3:$A$5001,X$3,BD!$B$3:$B$5001,$A$41,BD!$H$3:$H$5001,"&lt;&gt;")=0,"",SUMIFS(BD!$H$3:$H$5001,BD!$A$3:$A$5001,X$3,BD!$B$3:$B$5001,$A$41)))</f>
        <v/>
      </c>
      <c r="Y46" s="187" t="str">
        <f>IF(Y$3="","",IF(COUNTIFS(BD!$A$3:$A$5001,Y$3,BD!$B$3:$B$5001,$A$41,BD!$H$3:$H$5001,"&lt;&gt;")=0,"",SUMIFS(BD!$H$3:$H$5001,BD!$A$3:$A$5001,Y$3,BD!$B$3:$B$5001,$A$41)))</f>
        <v/>
      </c>
      <c r="Z46" s="187" t="str">
        <f>IF(Z$3="","",IF(COUNTIFS(BD!$A$3:$A$5001,Z$3,BD!$B$3:$B$5001,$A$41,BD!$H$3:$H$5001,"&lt;&gt;")=0,"",SUMIFS(BD!$H$3:$H$5001,BD!$A$3:$A$5001,Z$3,BD!$B$3:$B$5001,$A$41)))</f>
        <v/>
      </c>
      <c r="AA46" s="187" t="str">
        <f>IF(AA$3="","",IF(COUNTIFS(BD!$A$3:$A$5001,AA$3,BD!$B$3:$B$5001,$A$41,BD!$H$3:$H$5001,"&lt;&gt;")=0,"",SUMIFS(BD!$H$3:$H$5001,BD!$A$3:$A$5001,AA$3,BD!$B$3:$B$5001,$A$41)))</f>
        <v/>
      </c>
      <c r="AB46" s="187" t="str">
        <f>IF(AB$3="","",IF(COUNTIFS(BD!$A$3:$A$5001,AB$3,BD!$B$3:$B$5001,$A$41,BD!$H$3:$H$5001,"&lt;&gt;")=0,"",SUMIFS(BD!$H$3:$H$5001,BD!$A$3:$A$5001,AB$3,BD!$B$3:$B$5001,$A$41)))</f>
        <v/>
      </c>
      <c r="AC46" s="187" t="str">
        <f>IF(AC$3="","",IF(COUNTIFS(BD!$A$3:$A$5001,AC$3,BD!$B$3:$B$5001,$A$41,BD!$H$3:$H$5001,"&lt;&gt;")=0,"",SUMIFS(BD!$H$3:$H$5001,BD!$A$3:$A$5001,AC$3,BD!$B$3:$B$5001,$A$41)))</f>
        <v/>
      </c>
      <c r="AD46" s="187" t="str">
        <f>IF(AD$3="","",IF(COUNTIFS(BD!$A$3:$A$5001,AD$3,BD!$B$3:$B$5001,$A$41,BD!$H$3:$H$5001,"&lt;&gt;")=0,"",SUMIFS(BD!$H$3:$H$5001,BD!$A$3:$A$5001,AD$3,BD!$B$3:$B$5001,$A$41)))</f>
        <v/>
      </c>
      <c r="AE46" s="187" t="str">
        <f>IF(AE$3="","",IF(COUNTIFS(BD!$A$3:$A$5001,AE$3,BD!$B$3:$B$5001,$A$41,BD!$H$3:$H$5001,"&lt;&gt;")=0,"",SUMIFS(BD!$H$3:$H$5001,BD!$A$3:$A$5001,AE$3,BD!$B$3:$B$5001,$A$41)))</f>
        <v/>
      </c>
      <c r="AF46" s="187" t="str">
        <f>IF(AF$3="","",IF(COUNTIFS(BD!$A$3:$A$5001,AF$3,BD!$B$3:$B$5001,$A$41,BD!$H$3:$H$5001,"&lt;&gt;")=0,"",SUMIFS(BD!$H$3:$H$5001,BD!$A$3:$A$5001,AF$3,BD!$B$3:$B$5001,$A$41)))</f>
        <v/>
      </c>
      <c r="AG46" s="187" t="str">
        <f>IF(AG$3="","",IF(COUNTIFS(BD!$A$3:$A$5001,AG$3,BD!$B$3:$B$5001,$A$41,BD!$H$3:$H$5001,"&lt;&gt;")=0,"",SUMIFS(BD!$H$3:$H$5001,BD!$A$3:$A$5001,AG$3,BD!$B$3:$B$5001,$A$41)))</f>
        <v/>
      </c>
      <c r="AH46" s="187" t="str">
        <f>IF(AH$3="","",IF(COUNTIFS(BD!$A$3:$A$5001,AH$3,BD!$B$3:$B$5001,$A$41,BD!$H$3:$H$5001,"&lt;&gt;")=0,"",SUMIFS(BD!$H$3:$H$5001,BD!$A$3:$A$5001,AH$3,BD!$B$3:$B$5001,$A$41)))</f>
        <v/>
      </c>
      <c r="AI46" s="187" t="str">
        <f>IF(AI$3="","",IF(COUNTIFS(BD!$A$3:$A$5001,AI$3,BD!$B$3:$B$5001,$A$41,BD!$H$3:$H$5001,"&lt;&gt;")=0,"",SUMIFS(BD!$H$3:$H$5001,BD!$A$3:$A$5001,AI$3,BD!$B$3:$B$5001,$A$41)))</f>
        <v/>
      </c>
      <c r="AJ46" s="188" t="str">
        <f>IF(AJ$3="","",IF(COUNTIFS(BD!$A$3:$A$5001,AJ$3,BD!$B$3:$B$5001,$A$41,BD!$H$3:$H$5001,"&lt;&gt;")=0,"",SUMIFS(BD!$H$3:$H$5001,BD!$A$3:$A$5001,AJ$3,BD!$B$3:$B$5001,$A$41)))</f>
        <v/>
      </c>
      <c r="AK46" s="189" t="str">
        <f>IF(COUNT(F46:AJ46)=0,"",SUM(F46:AJ46))</f>
        <v/>
      </c>
    </row>
    <row r="47" ht="15.75" customHeight="1">
      <c r="A47" s="247"/>
      <c r="B47" s="240" t="inlineStr">
        <is>
          <t xml:space="preserve">NC</t>
        </is>
      </c>
      <c r="C47" s="190" t="inlineStr">
        <is>
          <t xml:space="preserve">Incidentes</t>
        </is>
      </c>
      <c r="D47" s="191" t="str">
        <f>IFERROR(1/(1/INDEX(BD!$Y$29:$AD$29,MATCH($A$41,BD!$Y$22:$AD$22,0))),"")</f>
        <v/>
      </c>
      <c r="E47" s="192"/>
      <c r="F47" s="193" t="str">
        <f>IF(F$3="","",IF(COUNTIFS(BD!$A$3:$A$5001,F$3,BD!$B$3:$B$5001,$A$41,BD!$I$3:$I$5001,"&lt;&gt;")=0,"",SUMIFS(BD!$I$3:$I$5001,BD!$A$3:$A$5001,F$3,BD!$B$3:$B$5001,$A$41)))</f>
        <v/>
      </c>
      <c r="G47" s="194" t="str">
        <f>IF(G$3="","",IF(COUNTIFS(BD!$A$3:$A$5001,G$3,BD!$B$3:$B$5001,$A$41,BD!$I$3:$I$5001,"&lt;&gt;")=0,"",SUMIFS(BD!$I$3:$I$5001,BD!$A$3:$A$5001,G$3,BD!$B$3:$B$5001,$A$41)))</f>
        <v/>
      </c>
      <c r="H47" s="194" t="str">
        <f>IF(H$3="","",IF(COUNTIFS(BD!$A$3:$A$5001,H$3,BD!$B$3:$B$5001,$A$41,BD!$I$3:$I$5001,"&lt;&gt;")=0,"",SUMIFS(BD!$I$3:$I$5001,BD!$A$3:$A$5001,H$3,BD!$B$3:$B$5001,$A$41)))</f>
        <v/>
      </c>
      <c r="I47" s="194" t="str">
        <f>IF(I$3="","",IF(COUNTIFS(BD!$A$3:$A$5001,I$3,BD!$B$3:$B$5001,$A$41,BD!$I$3:$I$5001,"&lt;&gt;")=0,"",SUMIFS(BD!$I$3:$I$5001,BD!$A$3:$A$5001,I$3,BD!$B$3:$B$5001,$A$41)))</f>
        <v/>
      </c>
      <c r="J47" s="194" t="str">
        <f>IF(J$3="","",IF(COUNTIFS(BD!$A$3:$A$5001,J$3,BD!$B$3:$B$5001,$A$41,BD!$I$3:$I$5001,"&lt;&gt;")=0,"",SUMIFS(BD!$I$3:$I$5001,BD!$A$3:$A$5001,J$3,BD!$B$3:$B$5001,$A$41)))</f>
        <v/>
      </c>
      <c r="K47" s="194" t="str">
        <f>IF(K$3="","",IF(COUNTIFS(BD!$A$3:$A$5001,K$3,BD!$B$3:$B$5001,$A$41,BD!$I$3:$I$5001,"&lt;&gt;")=0,"",SUMIFS(BD!$I$3:$I$5001,BD!$A$3:$A$5001,K$3,BD!$B$3:$B$5001,$A$41)))</f>
        <v/>
      </c>
      <c r="L47" s="194" t="str">
        <f>IF(L$3="","",IF(COUNTIFS(BD!$A$3:$A$5001,L$3,BD!$B$3:$B$5001,$A$41,BD!$I$3:$I$5001,"&lt;&gt;")=0,"",SUMIFS(BD!$I$3:$I$5001,BD!$A$3:$A$5001,L$3,BD!$B$3:$B$5001,$A$41)))</f>
        <v/>
      </c>
      <c r="M47" s="194" t="str">
        <f>IF(M$3="","",IF(COUNTIFS(BD!$A$3:$A$5001,M$3,BD!$B$3:$B$5001,$A$41,BD!$I$3:$I$5001,"&lt;&gt;")=0,"",SUMIFS(BD!$I$3:$I$5001,BD!$A$3:$A$5001,M$3,BD!$B$3:$B$5001,$A$41)))</f>
        <v/>
      </c>
      <c r="N47" s="194" t="str">
        <f>IF(N$3="","",IF(COUNTIFS(BD!$A$3:$A$5001,N$3,BD!$B$3:$B$5001,$A$41,BD!$I$3:$I$5001,"&lt;&gt;")=0,"",SUMIFS(BD!$I$3:$I$5001,BD!$A$3:$A$5001,N$3,BD!$B$3:$B$5001,$A$41)))</f>
        <v/>
      </c>
      <c r="O47" s="194" t="str">
        <f>IF(O$3="","",IF(COUNTIFS(BD!$A$3:$A$5001,O$3,BD!$B$3:$B$5001,$A$41,BD!$I$3:$I$5001,"&lt;&gt;")=0,"",SUMIFS(BD!$I$3:$I$5001,BD!$A$3:$A$5001,O$3,BD!$B$3:$B$5001,$A$41)))</f>
        <v/>
      </c>
      <c r="P47" s="194" t="str">
        <f>IF(P$3="","",IF(COUNTIFS(BD!$A$3:$A$5001,P$3,BD!$B$3:$B$5001,$A$41,BD!$I$3:$I$5001,"&lt;&gt;")=0,"",SUMIFS(BD!$I$3:$I$5001,BD!$A$3:$A$5001,P$3,BD!$B$3:$B$5001,$A$41)))</f>
        <v/>
      </c>
      <c r="Q47" s="194" t="str">
        <f>IF(Q$3="","",IF(COUNTIFS(BD!$A$3:$A$5001,Q$3,BD!$B$3:$B$5001,$A$41,BD!$I$3:$I$5001,"&lt;&gt;")=0,"",SUMIFS(BD!$I$3:$I$5001,BD!$A$3:$A$5001,Q$3,BD!$B$3:$B$5001,$A$41)))</f>
        <v/>
      </c>
      <c r="R47" s="194" t="str">
        <f>IF(R$3="","",IF(COUNTIFS(BD!$A$3:$A$5001,R$3,BD!$B$3:$B$5001,$A$41,BD!$I$3:$I$5001,"&lt;&gt;")=0,"",SUMIFS(BD!$I$3:$I$5001,BD!$A$3:$A$5001,R$3,BD!$B$3:$B$5001,$A$41)))</f>
        <v/>
      </c>
      <c r="S47" s="194" t="str">
        <f>IF(S$3="","",IF(COUNTIFS(BD!$A$3:$A$5001,S$3,BD!$B$3:$B$5001,$A$41,BD!$I$3:$I$5001,"&lt;&gt;")=0,"",SUMIFS(BD!$I$3:$I$5001,BD!$A$3:$A$5001,S$3,BD!$B$3:$B$5001,$A$41)))</f>
        <v/>
      </c>
      <c r="T47" s="194" t="str">
        <f>IF(T$3="","",IF(COUNTIFS(BD!$A$3:$A$5001,T$3,BD!$B$3:$B$5001,$A$41,BD!$I$3:$I$5001,"&lt;&gt;")=0,"",SUMIFS(BD!$I$3:$I$5001,BD!$A$3:$A$5001,T$3,BD!$B$3:$B$5001,$A$41)))</f>
        <v/>
      </c>
      <c r="U47" s="194" t="str">
        <f>IF(U$3="","",IF(COUNTIFS(BD!$A$3:$A$5001,U$3,BD!$B$3:$B$5001,$A$41,BD!$I$3:$I$5001,"&lt;&gt;")=0,"",SUMIFS(BD!$I$3:$I$5001,BD!$A$3:$A$5001,U$3,BD!$B$3:$B$5001,$A$41)))</f>
        <v/>
      </c>
      <c r="V47" s="194" t="str">
        <f>IF(V$3="","",IF(COUNTIFS(BD!$A$3:$A$5001,V$3,BD!$B$3:$B$5001,$A$41,BD!$I$3:$I$5001,"&lt;&gt;")=0,"",SUMIFS(BD!$I$3:$I$5001,BD!$A$3:$A$5001,V$3,BD!$B$3:$B$5001,$A$41)))</f>
        <v/>
      </c>
      <c r="W47" s="194" t="str">
        <f>IF(W$3="","",IF(COUNTIFS(BD!$A$3:$A$5001,W$3,BD!$B$3:$B$5001,$A$41,BD!$I$3:$I$5001,"&lt;&gt;")=0,"",SUMIFS(BD!$I$3:$I$5001,BD!$A$3:$A$5001,W$3,BD!$B$3:$B$5001,$A$41)))</f>
        <v/>
      </c>
      <c r="X47" s="194" t="str">
        <f>IF(X$3="","",IF(COUNTIFS(BD!$A$3:$A$5001,X$3,BD!$B$3:$B$5001,$A$41,BD!$I$3:$I$5001,"&lt;&gt;")=0,"",SUMIFS(BD!$I$3:$I$5001,BD!$A$3:$A$5001,X$3,BD!$B$3:$B$5001,$A$41)))</f>
        <v/>
      </c>
      <c r="Y47" s="194" t="str">
        <f>IF(Y$3="","",IF(COUNTIFS(BD!$A$3:$A$5001,Y$3,BD!$B$3:$B$5001,$A$41,BD!$I$3:$I$5001,"&lt;&gt;")=0,"",SUMIFS(BD!$I$3:$I$5001,BD!$A$3:$A$5001,Y$3,BD!$B$3:$B$5001,$A$41)))</f>
        <v/>
      </c>
      <c r="Z47" s="194" t="str">
        <f>IF(Z$3="","",IF(COUNTIFS(BD!$A$3:$A$5001,Z$3,BD!$B$3:$B$5001,$A$41,BD!$I$3:$I$5001,"&lt;&gt;")=0,"",SUMIFS(BD!$I$3:$I$5001,BD!$A$3:$A$5001,Z$3,BD!$B$3:$B$5001,$A$41)))</f>
        <v/>
      </c>
      <c r="AA47" s="194" t="str">
        <f>IF(AA$3="","",IF(COUNTIFS(BD!$A$3:$A$5001,AA$3,BD!$B$3:$B$5001,$A$41,BD!$I$3:$I$5001,"&lt;&gt;")=0,"",SUMIFS(BD!$I$3:$I$5001,BD!$A$3:$A$5001,AA$3,BD!$B$3:$B$5001,$A$41)))</f>
        <v/>
      </c>
      <c r="AB47" s="194" t="str">
        <f>IF(AB$3="","",IF(COUNTIFS(BD!$A$3:$A$5001,AB$3,BD!$B$3:$B$5001,$A$41,BD!$I$3:$I$5001,"&lt;&gt;")=0,"",SUMIFS(BD!$I$3:$I$5001,BD!$A$3:$A$5001,AB$3,BD!$B$3:$B$5001,$A$41)))</f>
        <v/>
      </c>
      <c r="AC47" s="194" t="str">
        <f>IF(AC$3="","",IF(COUNTIFS(BD!$A$3:$A$5001,AC$3,BD!$B$3:$B$5001,$A$41,BD!$I$3:$I$5001,"&lt;&gt;")=0,"",SUMIFS(BD!$I$3:$I$5001,BD!$A$3:$A$5001,AC$3,BD!$B$3:$B$5001,$A$41)))</f>
        <v/>
      </c>
      <c r="AD47" s="194" t="str">
        <f>IF(AD$3="","",IF(COUNTIFS(BD!$A$3:$A$5001,AD$3,BD!$B$3:$B$5001,$A$41,BD!$I$3:$I$5001,"&lt;&gt;")=0,"",SUMIFS(BD!$I$3:$I$5001,BD!$A$3:$A$5001,AD$3,BD!$B$3:$B$5001,$A$41)))</f>
        <v/>
      </c>
      <c r="AE47" s="194" t="str">
        <f>IF(AE$3="","",IF(COUNTIFS(BD!$A$3:$A$5001,AE$3,BD!$B$3:$B$5001,$A$41,BD!$I$3:$I$5001,"&lt;&gt;")=0,"",SUMIFS(BD!$I$3:$I$5001,BD!$A$3:$A$5001,AE$3,BD!$B$3:$B$5001,$A$41)))</f>
        <v/>
      </c>
      <c r="AF47" s="194" t="str">
        <f>IF(AF$3="","",IF(COUNTIFS(BD!$A$3:$A$5001,AF$3,BD!$B$3:$B$5001,$A$41,BD!$I$3:$I$5001,"&lt;&gt;")=0,"",SUMIFS(BD!$I$3:$I$5001,BD!$A$3:$A$5001,AF$3,BD!$B$3:$B$5001,$A$41)))</f>
        <v/>
      </c>
      <c r="AG47" s="194" t="str">
        <f>IF(AG$3="","",IF(COUNTIFS(BD!$A$3:$A$5001,AG$3,BD!$B$3:$B$5001,$A$41,BD!$I$3:$I$5001,"&lt;&gt;")=0,"",SUMIFS(BD!$I$3:$I$5001,BD!$A$3:$A$5001,AG$3,BD!$B$3:$B$5001,$A$41)))</f>
        <v/>
      </c>
      <c r="AH47" s="194" t="str">
        <f>IF(AH$3="","",IF(COUNTIFS(BD!$A$3:$A$5001,AH$3,BD!$B$3:$B$5001,$A$41,BD!$I$3:$I$5001,"&lt;&gt;")=0,"",SUMIFS(BD!$I$3:$I$5001,BD!$A$3:$A$5001,AH$3,BD!$B$3:$B$5001,$A$41)))</f>
        <v/>
      </c>
      <c r="AI47" s="194" t="str">
        <f>IF(AI$3="","",IF(COUNTIFS(BD!$A$3:$A$5001,AI$3,BD!$B$3:$B$5001,$A$41,BD!$I$3:$I$5001,"&lt;&gt;")=0,"",SUMIFS(BD!$I$3:$I$5001,BD!$A$3:$A$5001,AI$3,BD!$B$3:$B$5001,$A$41)))</f>
        <v/>
      </c>
      <c r="AJ47" s="195" t="str">
        <f>IF(AJ$3="","",IF(COUNTIFS(BD!$A$3:$A$5001,AJ$3,BD!$B$3:$B$5001,$A$41,BD!$I$3:$I$5001,"&lt;&gt;")=0,"",SUMIFS(BD!$I$3:$I$5001,BD!$A$3:$A$5001,AJ$3,BD!$B$3:$B$5001,$A$41)))</f>
        <v/>
      </c>
      <c r="AK47" s="196" t="str">
        <f>IF(COUNT(F47:AJ47)=0,"",SUM(F47:AJ47))</f>
        <v/>
      </c>
    </row>
    <row r="48" ht="15.75" customHeight="1">
      <c r="A48" s="247"/>
      <c r="B48" s="241"/>
      <c r="C48" s="197" t="inlineStr">
        <is>
          <t xml:space="preserve">No show</t>
        </is>
      </c>
      <c r="D48" s="198" t="str">
        <f>IFERROR(1/(1/INDEX(BD!$Y$30:$AD$30,MATCH($A$41,BD!$Y$22:$AD$22,0))),"")</f>
        <v/>
      </c>
      <c r="E48" s="199"/>
      <c r="F48" s="200" t="str">
        <f>IF(F$3="","",IF(COUNTIFS(BD!$A$3:$A$5001,F$3,BD!$B$3:$B$5001,$A$41,BD!$J$3:$J$5001,"&lt;&gt;")=0,"",SUMIFS(BD!$J$3:$J$5001,BD!$A$3:$A$5001,F$3,BD!$B$3:$B$5001,$A$41)))</f>
        <v/>
      </c>
      <c r="G48" s="201" t="str">
        <f>IF(G$3="","",IF(COUNTIFS(BD!$A$3:$A$5001,G$3,BD!$B$3:$B$5001,$A$41,BD!$J$3:$J$5001,"&lt;&gt;")=0,"",SUMIFS(BD!$J$3:$J$5001,BD!$A$3:$A$5001,G$3,BD!$B$3:$B$5001,$A$41)))</f>
        <v/>
      </c>
      <c r="H48" s="201" t="str">
        <f>IF(H$3="","",IF(COUNTIFS(BD!$A$3:$A$5001,H$3,BD!$B$3:$B$5001,$A$41,BD!$J$3:$J$5001,"&lt;&gt;")=0,"",SUMIFS(BD!$J$3:$J$5001,BD!$A$3:$A$5001,H$3,BD!$B$3:$B$5001,$A$41)))</f>
        <v/>
      </c>
      <c r="I48" s="201" t="str">
        <f>IF(I$3="","",IF(COUNTIFS(BD!$A$3:$A$5001,I$3,BD!$B$3:$B$5001,$A$41,BD!$J$3:$J$5001,"&lt;&gt;")=0,"",SUMIFS(BD!$J$3:$J$5001,BD!$A$3:$A$5001,I$3,BD!$B$3:$B$5001,$A$41)))</f>
        <v/>
      </c>
      <c r="J48" s="201" t="str">
        <f>IF(J$3="","",IF(COUNTIFS(BD!$A$3:$A$5001,J$3,BD!$B$3:$B$5001,$A$41,BD!$J$3:$J$5001,"&lt;&gt;")=0,"",SUMIFS(BD!$J$3:$J$5001,BD!$A$3:$A$5001,J$3,BD!$B$3:$B$5001,$A$41)))</f>
        <v/>
      </c>
      <c r="K48" s="201" t="str">
        <f>IF(K$3="","",IF(COUNTIFS(BD!$A$3:$A$5001,K$3,BD!$B$3:$B$5001,$A$41,BD!$J$3:$J$5001,"&lt;&gt;")=0,"",SUMIFS(BD!$J$3:$J$5001,BD!$A$3:$A$5001,K$3,BD!$B$3:$B$5001,$A$41)))</f>
        <v/>
      </c>
      <c r="L48" s="201" t="str">
        <f>IF(L$3="","",IF(COUNTIFS(BD!$A$3:$A$5001,L$3,BD!$B$3:$B$5001,$A$41,BD!$J$3:$J$5001,"&lt;&gt;")=0,"",SUMIFS(BD!$J$3:$J$5001,BD!$A$3:$A$5001,L$3,BD!$B$3:$B$5001,$A$41)))</f>
        <v/>
      </c>
      <c r="M48" s="201" t="str">
        <f>IF(M$3="","",IF(COUNTIFS(BD!$A$3:$A$5001,M$3,BD!$B$3:$B$5001,$A$41,BD!$J$3:$J$5001,"&lt;&gt;")=0,"",SUMIFS(BD!$J$3:$J$5001,BD!$A$3:$A$5001,M$3,BD!$B$3:$B$5001,$A$41)))</f>
        <v/>
      </c>
      <c r="N48" s="201" t="str">
        <f>IF(N$3="","",IF(COUNTIFS(BD!$A$3:$A$5001,N$3,BD!$B$3:$B$5001,$A$41,BD!$J$3:$J$5001,"&lt;&gt;")=0,"",SUMIFS(BD!$J$3:$J$5001,BD!$A$3:$A$5001,N$3,BD!$B$3:$B$5001,$A$41)))</f>
        <v/>
      </c>
      <c r="O48" s="201" t="str">
        <f>IF(O$3="","",IF(COUNTIFS(BD!$A$3:$A$5001,O$3,BD!$B$3:$B$5001,$A$41,BD!$J$3:$J$5001,"&lt;&gt;")=0,"",SUMIFS(BD!$J$3:$J$5001,BD!$A$3:$A$5001,O$3,BD!$B$3:$B$5001,$A$41)))</f>
        <v/>
      </c>
      <c r="P48" s="201" t="str">
        <f>IF(P$3="","",IF(COUNTIFS(BD!$A$3:$A$5001,P$3,BD!$B$3:$B$5001,$A$41,BD!$J$3:$J$5001,"&lt;&gt;")=0,"",SUMIFS(BD!$J$3:$J$5001,BD!$A$3:$A$5001,P$3,BD!$B$3:$B$5001,$A$41)))</f>
        <v/>
      </c>
      <c r="Q48" s="201" t="str">
        <f>IF(Q$3="","",IF(COUNTIFS(BD!$A$3:$A$5001,Q$3,BD!$B$3:$B$5001,$A$41,BD!$J$3:$J$5001,"&lt;&gt;")=0,"",SUMIFS(BD!$J$3:$J$5001,BD!$A$3:$A$5001,Q$3,BD!$B$3:$B$5001,$A$41)))</f>
        <v/>
      </c>
      <c r="R48" s="201" t="str">
        <f>IF(R$3="","",IF(COUNTIFS(BD!$A$3:$A$5001,R$3,BD!$B$3:$B$5001,$A$41,BD!$J$3:$J$5001,"&lt;&gt;")=0,"",SUMIFS(BD!$J$3:$J$5001,BD!$A$3:$A$5001,R$3,BD!$B$3:$B$5001,$A$41)))</f>
        <v/>
      </c>
      <c r="S48" s="201" t="str">
        <f>IF(S$3="","",IF(COUNTIFS(BD!$A$3:$A$5001,S$3,BD!$B$3:$B$5001,$A$41,BD!$J$3:$J$5001,"&lt;&gt;")=0,"",SUMIFS(BD!$J$3:$J$5001,BD!$A$3:$A$5001,S$3,BD!$B$3:$B$5001,$A$41)))</f>
        <v/>
      </c>
      <c r="T48" s="201" t="str">
        <f>IF(T$3="","",IF(COUNTIFS(BD!$A$3:$A$5001,T$3,BD!$B$3:$B$5001,$A$41,BD!$J$3:$J$5001,"&lt;&gt;")=0,"",SUMIFS(BD!$J$3:$J$5001,BD!$A$3:$A$5001,T$3,BD!$B$3:$B$5001,$A$41)))</f>
        <v/>
      </c>
      <c r="U48" s="201" t="str">
        <f>IF(U$3="","",IF(COUNTIFS(BD!$A$3:$A$5001,U$3,BD!$B$3:$B$5001,$A$41,BD!$J$3:$J$5001,"&lt;&gt;")=0,"",SUMIFS(BD!$J$3:$J$5001,BD!$A$3:$A$5001,U$3,BD!$B$3:$B$5001,$A$41)))</f>
        <v/>
      </c>
      <c r="V48" s="201" t="str">
        <f>IF(V$3="","",IF(COUNTIFS(BD!$A$3:$A$5001,V$3,BD!$B$3:$B$5001,$A$41,BD!$J$3:$J$5001,"&lt;&gt;")=0,"",SUMIFS(BD!$J$3:$J$5001,BD!$A$3:$A$5001,V$3,BD!$B$3:$B$5001,$A$41)))</f>
        <v/>
      </c>
      <c r="W48" s="201" t="str">
        <f>IF(W$3="","",IF(COUNTIFS(BD!$A$3:$A$5001,W$3,BD!$B$3:$B$5001,$A$41,BD!$J$3:$J$5001,"&lt;&gt;")=0,"",SUMIFS(BD!$J$3:$J$5001,BD!$A$3:$A$5001,W$3,BD!$B$3:$B$5001,$A$41)))</f>
        <v/>
      </c>
      <c r="X48" s="201" t="str">
        <f>IF(X$3="","",IF(COUNTIFS(BD!$A$3:$A$5001,X$3,BD!$B$3:$B$5001,$A$41,BD!$J$3:$J$5001,"&lt;&gt;")=0,"",SUMIFS(BD!$J$3:$J$5001,BD!$A$3:$A$5001,X$3,BD!$B$3:$B$5001,$A$41)))</f>
        <v/>
      </c>
      <c r="Y48" s="201" t="str">
        <f>IF(Y$3="","",IF(COUNTIFS(BD!$A$3:$A$5001,Y$3,BD!$B$3:$B$5001,$A$41,BD!$J$3:$J$5001,"&lt;&gt;")=0,"",SUMIFS(BD!$J$3:$J$5001,BD!$A$3:$A$5001,Y$3,BD!$B$3:$B$5001,$A$41)))</f>
        <v/>
      </c>
      <c r="Z48" s="201" t="str">
        <f>IF(Z$3="","",IF(COUNTIFS(BD!$A$3:$A$5001,Z$3,BD!$B$3:$B$5001,$A$41,BD!$J$3:$J$5001,"&lt;&gt;")=0,"",SUMIFS(BD!$J$3:$J$5001,BD!$A$3:$A$5001,Z$3,BD!$B$3:$B$5001,$A$41)))</f>
        <v/>
      </c>
      <c r="AA48" s="201" t="str">
        <f>IF(AA$3="","",IF(COUNTIFS(BD!$A$3:$A$5001,AA$3,BD!$B$3:$B$5001,$A$41,BD!$J$3:$J$5001,"&lt;&gt;")=0,"",SUMIFS(BD!$J$3:$J$5001,BD!$A$3:$A$5001,AA$3,BD!$B$3:$B$5001,$A$41)))</f>
        <v/>
      </c>
      <c r="AB48" s="201" t="str">
        <f>IF(AB$3="","",IF(COUNTIFS(BD!$A$3:$A$5001,AB$3,BD!$B$3:$B$5001,$A$41,BD!$J$3:$J$5001,"&lt;&gt;")=0,"",SUMIFS(BD!$J$3:$J$5001,BD!$A$3:$A$5001,AB$3,BD!$B$3:$B$5001,$A$41)))</f>
        <v/>
      </c>
      <c r="AC48" s="201" t="str">
        <f>IF(AC$3="","",IF(COUNTIFS(BD!$A$3:$A$5001,AC$3,BD!$B$3:$B$5001,$A$41,BD!$J$3:$J$5001,"&lt;&gt;")=0,"",SUMIFS(BD!$J$3:$J$5001,BD!$A$3:$A$5001,AC$3,BD!$B$3:$B$5001,$A$41)))</f>
        <v/>
      </c>
      <c r="AD48" s="201" t="str">
        <f>IF(AD$3="","",IF(COUNTIFS(BD!$A$3:$A$5001,AD$3,BD!$B$3:$B$5001,$A$41,BD!$J$3:$J$5001,"&lt;&gt;")=0,"",SUMIFS(BD!$J$3:$J$5001,BD!$A$3:$A$5001,AD$3,BD!$B$3:$B$5001,$A$41)))</f>
        <v/>
      </c>
      <c r="AE48" s="201" t="str">
        <f>IF(AE$3="","",IF(COUNTIFS(BD!$A$3:$A$5001,AE$3,BD!$B$3:$B$5001,$A$41,BD!$J$3:$J$5001,"&lt;&gt;")=0,"",SUMIFS(BD!$J$3:$J$5001,BD!$A$3:$A$5001,AE$3,BD!$B$3:$B$5001,$A$41)))</f>
        <v/>
      </c>
      <c r="AF48" s="201" t="str">
        <f>IF(AF$3="","",IF(COUNTIFS(BD!$A$3:$A$5001,AF$3,BD!$B$3:$B$5001,$A$41,BD!$J$3:$J$5001,"&lt;&gt;")=0,"",SUMIFS(BD!$J$3:$J$5001,BD!$A$3:$A$5001,AF$3,BD!$B$3:$B$5001,$A$41)))</f>
        <v/>
      </c>
      <c r="AG48" s="201" t="str">
        <f>IF(AG$3="","",IF(COUNTIFS(BD!$A$3:$A$5001,AG$3,BD!$B$3:$B$5001,$A$41,BD!$J$3:$J$5001,"&lt;&gt;")=0,"",SUMIFS(BD!$J$3:$J$5001,BD!$A$3:$A$5001,AG$3,BD!$B$3:$B$5001,$A$41)))</f>
        <v/>
      </c>
      <c r="AH48" s="201" t="str">
        <f>IF(AH$3="","",IF(COUNTIFS(BD!$A$3:$A$5001,AH$3,BD!$B$3:$B$5001,$A$41,BD!$J$3:$J$5001,"&lt;&gt;")=0,"",SUMIFS(BD!$J$3:$J$5001,BD!$A$3:$A$5001,AH$3,BD!$B$3:$B$5001,$A$41)))</f>
        <v/>
      </c>
      <c r="AI48" s="201" t="str">
        <f>IF(AI$3="","",IF(COUNTIFS(BD!$A$3:$A$5001,AI$3,BD!$B$3:$B$5001,$A$41,BD!$J$3:$J$5001,"&lt;&gt;")=0,"",SUMIFS(BD!$J$3:$J$5001,BD!$A$3:$A$5001,AI$3,BD!$B$3:$B$5001,$A$41)))</f>
        <v/>
      </c>
      <c r="AJ48" s="202" t="str">
        <f>IF(AJ$3="","",IF(COUNTIFS(BD!$A$3:$A$5001,AJ$3,BD!$B$3:$B$5001,$A$41,BD!$J$3:$J$5001,"&lt;&gt;")=0,"",SUMIFS(BD!$J$3:$J$5001,BD!$A$3:$A$5001,AJ$3,BD!$B$3:$B$5001,$A$41)))</f>
        <v/>
      </c>
      <c r="AK48" s="203" t="str">
        <f>IF(COUNT(F48:AJ48)=0,"",SUM(F48:AJ48))</f>
        <v/>
      </c>
    </row>
    <row r="49" ht="15.75" customHeight="1">
      <c r="A49" s="247"/>
      <c r="B49" s="242"/>
      <c r="C49" s="204" t="inlineStr">
        <is>
          <t xml:space="preserve">Backlog</t>
        </is>
      </c>
      <c r="D49" s="205" t="str">
        <f>IFERROR(1/(1/INDEX(BD!$Y$31:$AD$31,MATCH($A$41,BD!$Y$22:$AD$22,0))),"")</f>
        <v/>
      </c>
      <c r="E49" s="206"/>
      <c r="F49" s="207" t="str">
        <f>IF(F$3="","",IF(COUNTIFS(BD!$A$3:$A$5001,F$3,BD!$B$3:$B$5001,$A$41,BD!$K$3:$K$5001,"&lt;&gt;")=0,"",SUMIFS(BD!$K$3:$K$5001,BD!$A$3:$A$5001,F$3,BD!$B$3:$B$5001,$A$41)))</f>
        <v/>
      </c>
      <c r="G49" s="208" t="str">
        <f>IF(G$3="","",IF(COUNTIFS(BD!$A$3:$A$5001,G$3,BD!$B$3:$B$5001,$A$41,BD!$K$3:$K$5001,"&lt;&gt;")=0,"",SUMIFS(BD!$K$3:$K$5001,BD!$A$3:$A$5001,G$3,BD!$B$3:$B$5001,$A$41)))</f>
        <v/>
      </c>
      <c r="H49" s="208" t="str">
        <f>IF(H$3="","",IF(COUNTIFS(BD!$A$3:$A$5001,H$3,BD!$B$3:$B$5001,$A$41,BD!$K$3:$K$5001,"&lt;&gt;")=0,"",SUMIFS(BD!$K$3:$K$5001,BD!$A$3:$A$5001,H$3,BD!$B$3:$B$5001,$A$41)))</f>
        <v/>
      </c>
      <c r="I49" s="208" t="str">
        <f>IF(I$3="","",IF(COUNTIFS(BD!$A$3:$A$5001,I$3,BD!$B$3:$B$5001,$A$41,BD!$K$3:$K$5001,"&lt;&gt;")=0,"",SUMIFS(BD!$K$3:$K$5001,BD!$A$3:$A$5001,I$3,BD!$B$3:$B$5001,$A$41)))</f>
        <v/>
      </c>
      <c r="J49" s="208" t="str">
        <f>IF(J$3="","",IF(COUNTIFS(BD!$A$3:$A$5001,J$3,BD!$B$3:$B$5001,$A$41,BD!$K$3:$K$5001,"&lt;&gt;")=0,"",SUMIFS(BD!$K$3:$K$5001,BD!$A$3:$A$5001,J$3,BD!$B$3:$B$5001,$A$41)))</f>
        <v/>
      </c>
      <c r="K49" s="208" t="str">
        <f>IF(K$3="","",IF(COUNTIFS(BD!$A$3:$A$5001,K$3,BD!$B$3:$B$5001,$A$41,BD!$K$3:$K$5001,"&lt;&gt;")=0,"",SUMIFS(BD!$K$3:$K$5001,BD!$A$3:$A$5001,K$3,BD!$B$3:$B$5001,$A$41)))</f>
        <v/>
      </c>
      <c r="L49" s="208" t="str">
        <f>IF(L$3="","",IF(COUNTIFS(BD!$A$3:$A$5001,L$3,BD!$B$3:$B$5001,$A$41,BD!$K$3:$K$5001,"&lt;&gt;")=0,"",SUMIFS(BD!$K$3:$K$5001,BD!$A$3:$A$5001,L$3,BD!$B$3:$B$5001,$A$41)))</f>
        <v/>
      </c>
      <c r="M49" s="208" t="str">
        <f>IF(M$3="","",IF(COUNTIFS(BD!$A$3:$A$5001,M$3,BD!$B$3:$B$5001,$A$41,BD!$K$3:$K$5001,"&lt;&gt;")=0,"",SUMIFS(BD!$K$3:$K$5001,BD!$A$3:$A$5001,M$3,BD!$B$3:$B$5001,$A$41)))</f>
        <v/>
      </c>
      <c r="N49" s="208" t="str">
        <f>IF(N$3="","",IF(COUNTIFS(BD!$A$3:$A$5001,N$3,BD!$B$3:$B$5001,$A$41,BD!$K$3:$K$5001,"&lt;&gt;")=0,"",SUMIFS(BD!$K$3:$K$5001,BD!$A$3:$A$5001,N$3,BD!$B$3:$B$5001,$A$41)))</f>
        <v/>
      </c>
      <c r="O49" s="208" t="str">
        <f>IF(O$3="","",IF(COUNTIFS(BD!$A$3:$A$5001,O$3,BD!$B$3:$B$5001,$A$41,BD!$K$3:$K$5001,"&lt;&gt;")=0,"",SUMIFS(BD!$K$3:$K$5001,BD!$A$3:$A$5001,O$3,BD!$B$3:$B$5001,$A$41)))</f>
        <v/>
      </c>
      <c r="P49" s="208" t="str">
        <f>IF(P$3="","",IF(COUNTIFS(BD!$A$3:$A$5001,P$3,BD!$B$3:$B$5001,$A$41,BD!$K$3:$K$5001,"&lt;&gt;")=0,"",SUMIFS(BD!$K$3:$K$5001,BD!$A$3:$A$5001,P$3,BD!$B$3:$B$5001,$A$41)))</f>
        <v/>
      </c>
      <c r="Q49" s="208" t="str">
        <f>IF(Q$3="","",IF(COUNTIFS(BD!$A$3:$A$5001,Q$3,BD!$B$3:$B$5001,$A$41,BD!$K$3:$K$5001,"&lt;&gt;")=0,"",SUMIFS(BD!$K$3:$K$5001,BD!$A$3:$A$5001,Q$3,BD!$B$3:$B$5001,$A$41)))</f>
        <v/>
      </c>
      <c r="R49" s="208" t="str">
        <f>IF(R$3="","",IF(COUNTIFS(BD!$A$3:$A$5001,R$3,BD!$B$3:$B$5001,$A$41,BD!$K$3:$K$5001,"&lt;&gt;")=0,"",SUMIFS(BD!$K$3:$K$5001,BD!$A$3:$A$5001,R$3,BD!$B$3:$B$5001,$A$41)))</f>
        <v/>
      </c>
      <c r="S49" s="208" t="str">
        <f>IF(S$3="","",IF(COUNTIFS(BD!$A$3:$A$5001,S$3,BD!$B$3:$B$5001,$A$41,BD!$K$3:$K$5001,"&lt;&gt;")=0,"",SUMIFS(BD!$K$3:$K$5001,BD!$A$3:$A$5001,S$3,BD!$B$3:$B$5001,$A$41)))</f>
        <v/>
      </c>
      <c r="T49" s="208" t="str">
        <f>IF(T$3="","",IF(COUNTIFS(BD!$A$3:$A$5001,T$3,BD!$B$3:$B$5001,$A$41,BD!$K$3:$K$5001,"&lt;&gt;")=0,"",SUMIFS(BD!$K$3:$K$5001,BD!$A$3:$A$5001,T$3,BD!$B$3:$B$5001,$A$41)))</f>
        <v/>
      </c>
      <c r="U49" s="208" t="str">
        <f>IF(U$3="","",IF(COUNTIFS(BD!$A$3:$A$5001,U$3,BD!$B$3:$B$5001,$A$41,BD!$K$3:$K$5001,"&lt;&gt;")=0,"",SUMIFS(BD!$K$3:$K$5001,BD!$A$3:$A$5001,U$3,BD!$B$3:$B$5001,$A$41)))</f>
        <v/>
      </c>
      <c r="V49" s="208" t="str">
        <f>IF(V$3="","",IF(COUNTIFS(BD!$A$3:$A$5001,V$3,BD!$B$3:$B$5001,$A$41,BD!$K$3:$K$5001,"&lt;&gt;")=0,"",SUMIFS(BD!$K$3:$K$5001,BD!$A$3:$A$5001,V$3,BD!$B$3:$B$5001,$A$41)))</f>
        <v/>
      </c>
      <c r="W49" s="208" t="str">
        <f>IF(W$3="","",IF(COUNTIFS(BD!$A$3:$A$5001,W$3,BD!$B$3:$B$5001,$A$41,BD!$K$3:$K$5001,"&lt;&gt;")=0,"",SUMIFS(BD!$K$3:$K$5001,BD!$A$3:$A$5001,W$3,BD!$B$3:$B$5001,$A$41)))</f>
        <v/>
      </c>
      <c r="X49" s="208" t="str">
        <f>IF(X$3="","",IF(COUNTIFS(BD!$A$3:$A$5001,X$3,BD!$B$3:$B$5001,$A$41,BD!$K$3:$K$5001,"&lt;&gt;")=0,"",SUMIFS(BD!$K$3:$K$5001,BD!$A$3:$A$5001,X$3,BD!$B$3:$B$5001,$A$41)))</f>
        <v/>
      </c>
      <c r="Y49" s="208" t="str">
        <f>IF(Y$3="","",IF(COUNTIFS(BD!$A$3:$A$5001,Y$3,BD!$B$3:$B$5001,$A$41,BD!$K$3:$K$5001,"&lt;&gt;")=0,"",SUMIFS(BD!$K$3:$K$5001,BD!$A$3:$A$5001,Y$3,BD!$B$3:$B$5001,$A$41)))</f>
        <v/>
      </c>
      <c r="Z49" s="208" t="str">
        <f>IF(Z$3="","",IF(COUNTIFS(BD!$A$3:$A$5001,Z$3,BD!$B$3:$B$5001,$A$41,BD!$K$3:$K$5001,"&lt;&gt;")=0,"",SUMIFS(BD!$K$3:$K$5001,BD!$A$3:$A$5001,Z$3,BD!$B$3:$B$5001,$A$41)))</f>
        <v/>
      </c>
      <c r="AA49" s="208" t="str">
        <f>IF(AA$3="","",IF(COUNTIFS(BD!$A$3:$A$5001,AA$3,BD!$B$3:$B$5001,$A$41,BD!$K$3:$K$5001,"&lt;&gt;")=0,"",SUMIFS(BD!$K$3:$K$5001,BD!$A$3:$A$5001,AA$3,BD!$B$3:$B$5001,$A$41)))</f>
        <v/>
      </c>
      <c r="AB49" s="208" t="str">
        <f>IF(AB$3="","",IF(COUNTIFS(BD!$A$3:$A$5001,AB$3,BD!$B$3:$B$5001,$A$41,BD!$K$3:$K$5001,"&lt;&gt;")=0,"",SUMIFS(BD!$K$3:$K$5001,BD!$A$3:$A$5001,AB$3,BD!$B$3:$B$5001,$A$41)))</f>
        <v/>
      </c>
      <c r="AC49" s="208" t="str">
        <f>IF(AC$3="","",IF(COUNTIFS(BD!$A$3:$A$5001,AC$3,BD!$B$3:$B$5001,$A$41,BD!$K$3:$K$5001,"&lt;&gt;")=0,"",SUMIFS(BD!$K$3:$K$5001,BD!$A$3:$A$5001,AC$3,BD!$B$3:$B$5001,$A$41)))</f>
        <v/>
      </c>
      <c r="AD49" s="208" t="str">
        <f>IF(AD$3="","",IF(COUNTIFS(BD!$A$3:$A$5001,AD$3,BD!$B$3:$B$5001,$A$41,BD!$K$3:$K$5001,"&lt;&gt;")=0,"",SUMIFS(BD!$K$3:$K$5001,BD!$A$3:$A$5001,AD$3,BD!$B$3:$B$5001,$A$41)))</f>
        <v/>
      </c>
      <c r="AE49" s="208" t="str">
        <f>IF(AE$3="","",IF(COUNTIFS(BD!$A$3:$A$5001,AE$3,BD!$B$3:$B$5001,$A$41,BD!$K$3:$K$5001,"&lt;&gt;")=0,"",SUMIFS(BD!$K$3:$K$5001,BD!$A$3:$A$5001,AE$3,BD!$B$3:$B$5001,$A$41)))</f>
        <v/>
      </c>
      <c r="AF49" s="208" t="str">
        <f>IF(AF$3="","",IF(COUNTIFS(BD!$A$3:$A$5001,AF$3,BD!$B$3:$B$5001,$A$41,BD!$K$3:$K$5001,"&lt;&gt;")=0,"",SUMIFS(BD!$K$3:$K$5001,BD!$A$3:$A$5001,AF$3,BD!$B$3:$B$5001,$A$41)))</f>
        <v/>
      </c>
      <c r="AG49" s="208" t="str">
        <f>IF(AG$3="","",IF(COUNTIFS(BD!$A$3:$A$5001,AG$3,BD!$B$3:$B$5001,$A$41,BD!$K$3:$K$5001,"&lt;&gt;")=0,"",SUMIFS(BD!$K$3:$K$5001,BD!$A$3:$A$5001,AG$3,BD!$B$3:$B$5001,$A$41)))</f>
        <v/>
      </c>
      <c r="AH49" s="208" t="str">
        <f>IF(AH$3="","",IF(COUNTIFS(BD!$A$3:$A$5001,AH$3,BD!$B$3:$B$5001,$A$41,BD!$K$3:$K$5001,"&lt;&gt;")=0,"",SUMIFS(BD!$K$3:$K$5001,BD!$A$3:$A$5001,AH$3,BD!$B$3:$B$5001,$A$41)))</f>
        <v/>
      </c>
      <c r="AI49" s="208" t="str">
        <f>IF(AI$3="","",IF(COUNTIFS(BD!$A$3:$A$5001,AI$3,BD!$B$3:$B$5001,$A$41,BD!$K$3:$K$5001,"&lt;&gt;")=0,"",SUMIFS(BD!$K$3:$K$5001,BD!$A$3:$A$5001,AI$3,BD!$B$3:$B$5001,$A$41)))</f>
        <v/>
      </c>
      <c r="AJ49" s="209" t="str">
        <f>IF(AJ$3="","",IF(COUNTIFS(BD!$A$3:$A$5001,AJ$3,BD!$B$3:$B$5001,$A$41,BD!$K$3:$K$5001,"&lt;&gt;")=0,"",SUMIFS(BD!$K$3:$K$5001,BD!$A$3:$A$5001,AJ$3,BD!$B$3:$B$5001,$A$41)))</f>
        <v/>
      </c>
      <c r="AK49" s="205" t="str">
        <f>IFERROR(LOOKUP(9.99E+307,F49:AJ49),"")</f>
        <v/>
      </c>
    </row>
    <row r="50" ht="15.75" customHeight="1">
      <c r="A50" s="247"/>
      <c r="B50" s="255" t="inlineStr">
        <is>
          <t xml:space="preserve">OCUPAÇÃO (P.P)</t>
        </is>
      </c>
      <c r="C50" s="249" t="inlineStr">
        <is>
          <t xml:space="preserve">Posições Ocupadas</t>
        </is>
      </c>
      <c r="D50" s="250" t="str">
        <f>IFERROR(1/(1/INDEX(BD!$Y$33:$AD$33,MATCH($A$41,BD!$Y$22:$AD$22,0))),"")</f>
        <v/>
      </c>
      <c r="E50" s="251"/>
      <c r="F50" s="252" t="str">
        <f>IF(F$3="","",IF(COUNTIFS(BD!$A$3:$A$5001,F$3,BD!$B$3:$B$5001,$A$41,BD!$M$3:$M$5001,"&lt;&gt;")=0,"",SUMIFS(BD!$M$3:$M$5001,BD!$A$3:$A$5001,F$3,BD!$B$3:$B$5001,$A$41)))</f>
        <v/>
      </c>
      <c r="G50" s="253" t="str">
        <f>IF(G$3="","",IF(COUNTIFS(BD!$A$3:$A$5001,G$3,BD!$B$3:$B$5001,$A$41,BD!$M$3:$M$5001,"&lt;&gt;")=0,"",SUMIFS(BD!$M$3:$M$5001,BD!$A$3:$A$5001,G$3,BD!$B$3:$B$5001,$A$41)))</f>
        <v/>
      </c>
      <c r="H50" s="253" t="str">
        <f>IF(H$3="","",IF(COUNTIFS(BD!$A$3:$A$5001,H$3,BD!$B$3:$B$5001,$A$41,BD!$M$3:$M$5001,"&lt;&gt;")=0,"",SUMIFS(BD!$M$3:$M$5001,BD!$A$3:$A$5001,H$3,BD!$B$3:$B$5001,$A$41)))</f>
        <v/>
      </c>
      <c r="I50" s="253" t="str">
        <f>IF(I$3="","",IF(COUNTIFS(BD!$A$3:$A$5001,I$3,BD!$B$3:$B$5001,$A$41,BD!$M$3:$M$5001,"&lt;&gt;")=0,"",SUMIFS(BD!$M$3:$M$5001,BD!$A$3:$A$5001,I$3,BD!$B$3:$B$5001,$A$41)))</f>
        <v/>
      </c>
      <c r="J50" s="253" t="str">
        <f>IF(J$3="","",IF(COUNTIFS(BD!$A$3:$A$5001,J$3,BD!$B$3:$B$5001,$A$41,BD!$M$3:$M$5001,"&lt;&gt;")=0,"",SUMIFS(BD!$M$3:$M$5001,BD!$A$3:$A$5001,J$3,BD!$B$3:$B$5001,$A$41)))</f>
        <v/>
      </c>
      <c r="K50" s="253" t="str">
        <f>IF(K$3="","",IF(COUNTIFS(BD!$A$3:$A$5001,K$3,BD!$B$3:$B$5001,$A$41,BD!$M$3:$M$5001,"&lt;&gt;")=0,"",SUMIFS(BD!$M$3:$M$5001,BD!$A$3:$A$5001,K$3,BD!$B$3:$B$5001,$A$41)))</f>
        <v/>
      </c>
      <c r="L50" s="253" t="str">
        <f>IF(L$3="","",IF(COUNTIFS(BD!$A$3:$A$5001,L$3,BD!$B$3:$B$5001,$A$41,BD!$M$3:$M$5001,"&lt;&gt;")=0,"",SUMIFS(BD!$M$3:$M$5001,BD!$A$3:$A$5001,L$3,BD!$B$3:$B$5001,$A$41)))</f>
        <v/>
      </c>
      <c r="M50" s="253" t="str">
        <f>IF(M$3="","",IF(COUNTIFS(BD!$A$3:$A$5001,M$3,BD!$B$3:$B$5001,$A$41,BD!$M$3:$M$5001,"&lt;&gt;")=0,"",SUMIFS(BD!$M$3:$M$5001,BD!$A$3:$A$5001,M$3,BD!$B$3:$B$5001,$A$41)))</f>
        <v/>
      </c>
      <c r="N50" s="253" t="str">
        <f>IF(N$3="","",IF(COUNTIFS(BD!$A$3:$A$5001,N$3,BD!$B$3:$B$5001,$A$41,BD!$M$3:$M$5001,"&lt;&gt;")=0,"",SUMIFS(BD!$M$3:$M$5001,BD!$A$3:$A$5001,N$3,BD!$B$3:$B$5001,$A$41)))</f>
        <v/>
      </c>
      <c r="O50" s="253" t="str">
        <f>IF(O$3="","",IF(COUNTIFS(BD!$A$3:$A$5001,O$3,BD!$B$3:$B$5001,$A$41,BD!$M$3:$M$5001,"&lt;&gt;")=0,"",SUMIFS(BD!$M$3:$M$5001,BD!$A$3:$A$5001,O$3,BD!$B$3:$B$5001,$A$41)))</f>
        <v/>
      </c>
      <c r="P50" s="253" t="str">
        <f>IF(P$3="","",IF(COUNTIFS(BD!$A$3:$A$5001,P$3,BD!$B$3:$B$5001,$A$41,BD!$M$3:$M$5001,"&lt;&gt;")=0,"",SUMIFS(BD!$M$3:$M$5001,BD!$A$3:$A$5001,P$3,BD!$B$3:$B$5001,$A$41)))</f>
        <v/>
      </c>
      <c r="Q50" s="253" t="str">
        <f>IF(Q$3="","",IF(COUNTIFS(BD!$A$3:$A$5001,Q$3,BD!$B$3:$B$5001,$A$41,BD!$M$3:$M$5001,"&lt;&gt;")=0,"",SUMIFS(BD!$M$3:$M$5001,BD!$A$3:$A$5001,Q$3,BD!$B$3:$B$5001,$A$41)))</f>
        <v/>
      </c>
      <c r="R50" s="253" t="str">
        <f>IF(R$3="","",IF(COUNTIFS(BD!$A$3:$A$5001,R$3,BD!$B$3:$B$5001,$A$41,BD!$M$3:$M$5001,"&lt;&gt;")=0,"",SUMIFS(BD!$M$3:$M$5001,BD!$A$3:$A$5001,R$3,BD!$B$3:$B$5001,$A$41)))</f>
        <v/>
      </c>
      <c r="S50" s="253" t="str">
        <f>IF(S$3="","",IF(COUNTIFS(BD!$A$3:$A$5001,S$3,BD!$B$3:$B$5001,$A$41,BD!$M$3:$M$5001,"&lt;&gt;")=0,"",SUMIFS(BD!$M$3:$M$5001,BD!$A$3:$A$5001,S$3,BD!$B$3:$B$5001,$A$41)))</f>
        <v/>
      </c>
      <c r="T50" s="253" t="str">
        <f>IF(T$3="","",IF(COUNTIFS(BD!$A$3:$A$5001,T$3,BD!$B$3:$B$5001,$A$41,BD!$M$3:$M$5001,"&lt;&gt;")=0,"",SUMIFS(BD!$M$3:$M$5001,BD!$A$3:$A$5001,T$3,BD!$B$3:$B$5001,$A$41)))</f>
        <v/>
      </c>
      <c r="U50" s="253" t="str">
        <f>IF(U$3="","",IF(COUNTIFS(BD!$A$3:$A$5001,U$3,BD!$B$3:$B$5001,$A$41,BD!$M$3:$M$5001,"&lt;&gt;")=0,"",SUMIFS(BD!$M$3:$M$5001,BD!$A$3:$A$5001,U$3,BD!$B$3:$B$5001,$A$41)))</f>
        <v/>
      </c>
      <c r="V50" s="253" t="str">
        <f>IF(V$3="","",IF(COUNTIFS(BD!$A$3:$A$5001,V$3,BD!$B$3:$B$5001,$A$41,BD!$M$3:$M$5001,"&lt;&gt;")=0,"",SUMIFS(BD!$M$3:$M$5001,BD!$A$3:$A$5001,V$3,BD!$B$3:$B$5001,$A$41)))</f>
        <v/>
      </c>
      <c r="W50" s="253" t="str">
        <f>IF(W$3="","",IF(COUNTIFS(BD!$A$3:$A$5001,W$3,BD!$B$3:$B$5001,$A$41,BD!$M$3:$M$5001,"&lt;&gt;")=0,"",SUMIFS(BD!$M$3:$M$5001,BD!$A$3:$A$5001,W$3,BD!$B$3:$B$5001,$A$41)))</f>
        <v/>
      </c>
      <c r="X50" s="253" t="str">
        <f>IF(X$3="","",IF(COUNTIFS(BD!$A$3:$A$5001,X$3,BD!$B$3:$B$5001,$A$41,BD!$M$3:$M$5001,"&lt;&gt;")=0,"",SUMIFS(BD!$M$3:$M$5001,BD!$A$3:$A$5001,X$3,BD!$B$3:$B$5001,$A$41)))</f>
        <v/>
      </c>
      <c r="Y50" s="253" t="str">
        <f>IF(Y$3="","",IF(COUNTIFS(BD!$A$3:$A$5001,Y$3,BD!$B$3:$B$5001,$A$41,BD!$M$3:$M$5001,"&lt;&gt;")=0,"",SUMIFS(BD!$M$3:$M$5001,BD!$A$3:$A$5001,Y$3,BD!$B$3:$B$5001,$A$41)))</f>
        <v/>
      </c>
      <c r="Z50" s="253" t="str">
        <f>IF(Z$3="","",IF(COUNTIFS(BD!$A$3:$A$5001,Z$3,BD!$B$3:$B$5001,$A$41,BD!$M$3:$M$5001,"&lt;&gt;")=0,"",SUMIFS(BD!$M$3:$M$5001,BD!$A$3:$A$5001,Z$3,BD!$B$3:$B$5001,$A$41)))</f>
        <v/>
      </c>
      <c r="AA50" s="253" t="str">
        <f>IF(AA$3="","",IF(COUNTIFS(BD!$A$3:$A$5001,AA$3,BD!$B$3:$B$5001,$A$41,BD!$M$3:$M$5001,"&lt;&gt;")=0,"",SUMIFS(BD!$M$3:$M$5001,BD!$A$3:$A$5001,AA$3,BD!$B$3:$B$5001,$A$41)))</f>
        <v/>
      </c>
      <c r="AB50" s="253" t="str">
        <f>IF(AB$3="","",IF(COUNTIFS(BD!$A$3:$A$5001,AB$3,BD!$B$3:$B$5001,$A$41,BD!$M$3:$M$5001,"&lt;&gt;")=0,"",SUMIFS(BD!$M$3:$M$5001,BD!$A$3:$A$5001,AB$3,BD!$B$3:$B$5001,$A$41)))</f>
        <v/>
      </c>
      <c r="AC50" s="253" t="str">
        <f>IF(AC$3="","",IF(COUNTIFS(BD!$A$3:$A$5001,AC$3,BD!$B$3:$B$5001,$A$41,BD!$M$3:$M$5001,"&lt;&gt;")=0,"",SUMIFS(BD!$M$3:$M$5001,BD!$A$3:$A$5001,AC$3,BD!$B$3:$B$5001,$A$41)))</f>
        <v/>
      </c>
      <c r="AD50" s="253" t="str">
        <f>IF(AD$3="","",IF(COUNTIFS(BD!$A$3:$A$5001,AD$3,BD!$B$3:$B$5001,$A$41,BD!$M$3:$M$5001,"&lt;&gt;")=0,"",SUMIFS(BD!$M$3:$M$5001,BD!$A$3:$A$5001,AD$3,BD!$B$3:$B$5001,$A$41)))</f>
        <v/>
      </c>
      <c r="AE50" s="253" t="str">
        <f>IF(AE$3="","",IF(COUNTIFS(BD!$A$3:$A$5001,AE$3,BD!$B$3:$B$5001,$A$41,BD!$M$3:$M$5001,"&lt;&gt;")=0,"",SUMIFS(BD!$M$3:$M$5001,BD!$A$3:$A$5001,AE$3,BD!$B$3:$B$5001,$A$41)))</f>
        <v/>
      </c>
      <c r="AF50" s="253" t="str">
        <f>IF(AF$3="","",IF(COUNTIFS(BD!$A$3:$A$5001,AF$3,BD!$B$3:$B$5001,$A$41,BD!$M$3:$M$5001,"&lt;&gt;")=0,"",SUMIFS(BD!$M$3:$M$5001,BD!$A$3:$A$5001,AF$3,BD!$B$3:$B$5001,$A$41)))</f>
        <v/>
      </c>
      <c r="AG50" s="253" t="str">
        <f>IF(AG$3="","",IF(COUNTIFS(BD!$A$3:$A$5001,AG$3,BD!$B$3:$B$5001,$A$41,BD!$M$3:$M$5001,"&lt;&gt;")=0,"",SUMIFS(BD!$M$3:$M$5001,BD!$A$3:$A$5001,AG$3,BD!$B$3:$B$5001,$A$41)))</f>
        <v/>
      </c>
      <c r="AH50" s="253" t="str">
        <f>IF(AH$3="","",IF(COUNTIFS(BD!$A$3:$A$5001,AH$3,BD!$B$3:$B$5001,$A$41,BD!$M$3:$M$5001,"&lt;&gt;")=0,"",SUMIFS(BD!$M$3:$M$5001,BD!$A$3:$A$5001,AH$3,BD!$B$3:$B$5001,$A$41)))</f>
        <v/>
      </c>
      <c r="AI50" s="253" t="str">
        <f>IF(AI$3="","",IF(COUNTIFS(BD!$A$3:$A$5001,AI$3,BD!$B$3:$B$5001,$A$41,BD!$M$3:$M$5001,"&lt;&gt;")=0,"",SUMIFS(BD!$M$3:$M$5001,BD!$A$3:$A$5001,AI$3,BD!$B$3:$B$5001,$A$41)))</f>
        <v/>
      </c>
      <c r="AJ50" s="254" t="str">
        <f>IF(AJ$3="","",IF(COUNTIFS(BD!$A$3:$A$5001,AJ$3,BD!$B$3:$B$5001,$A$41,BD!$M$3:$M$5001,"&lt;&gt;")=0,"",SUMIFS(BD!$M$3:$M$5001,BD!$A$3:$A$5001,AJ$3,BD!$B$3:$B$5001,$A$41)))</f>
        <v/>
      </c>
      <c r="AK50" s="250" t="str">
        <f>IFERROR(LOOKUP(9.99E+307,F50:AJ50),"")</f>
        <v/>
      </c>
    </row>
    <row r="51" ht="15.75" customHeight="1">
      <c r="A51" s="247"/>
      <c r="B51" s="243" t="inlineStr">
        <is>
          <t xml:space="preserve">GENTE</t>
        </is>
      </c>
      <c r="C51" s="214" t="inlineStr">
        <is>
          <t xml:space="preserve">Efetivo Op.</t>
        </is>
      </c>
      <c r="D51" s="215" t="str">
        <f>IFERROR(1/(1/INDEX(BD!$Y$35:$AD$35,MATCH($A$41,BD!$Y$22:$AD$22,0))),"")</f>
        <v/>
      </c>
      <c r="E51" s="216"/>
      <c r="F51" s="217" t="str">
        <f>IF(F$3="","",IF(COUNTIFS(BD!$A$3:$A$5001,F$3,BD!$B$3:$B$5001,$A$41,BD!$N$3:$N$5001,"&lt;&gt;")=0,"",SUMIFS(BD!$N$3:$N$5001,BD!$A$3:$A$5001,F$3,BD!$B$3:$B$5001,$A$41)))</f>
        <v/>
      </c>
      <c r="G51" s="218" t="str">
        <f>IF(G$3="","",IF(COUNTIFS(BD!$A$3:$A$5001,G$3,BD!$B$3:$B$5001,$A$41,BD!$N$3:$N$5001,"&lt;&gt;")=0,"",SUMIFS(BD!$N$3:$N$5001,BD!$A$3:$A$5001,G$3,BD!$B$3:$B$5001,$A$41)))</f>
        <v/>
      </c>
      <c r="H51" s="218" t="str">
        <f>IF(H$3="","",IF(COUNTIFS(BD!$A$3:$A$5001,H$3,BD!$B$3:$B$5001,$A$41,BD!$N$3:$N$5001,"&lt;&gt;")=0,"",SUMIFS(BD!$N$3:$N$5001,BD!$A$3:$A$5001,H$3,BD!$B$3:$B$5001,$A$41)))</f>
        <v/>
      </c>
      <c r="I51" s="218" t="str">
        <f>IF(I$3="","",IF(COUNTIFS(BD!$A$3:$A$5001,I$3,BD!$B$3:$B$5001,$A$41,BD!$N$3:$N$5001,"&lt;&gt;")=0,"",SUMIFS(BD!$N$3:$N$5001,BD!$A$3:$A$5001,I$3,BD!$B$3:$B$5001,$A$41)))</f>
        <v/>
      </c>
      <c r="J51" s="218" t="str">
        <f>IF(J$3="","",IF(COUNTIFS(BD!$A$3:$A$5001,J$3,BD!$B$3:$B$5001,$A$41,BD!$N$3:$N$5001,"&lt;&gt;")=0,"",SUMIFS(BD!$N$3:$N$5001,BD!$A$3:$A$5001,J$3,BD!$B$3:$B$5001,$A$41)))</f>
        <v/>
      </c>
      <c r="K51" s="218" t="str">
        <f>IF(K$3="","",IF(COUNTIFS(BD!$A$3:$A$5001,K$3,BD!$B$3:$B$5001,$A$41,BD!$N$3:$N$5001,"&lt;&gt;")=0,"",SUMIFS(BD!$N$3:$N$5001,BD!$A$3:$A$5001,K$3,BD!$B$3:$B$5001,$A$41)))</f>
        <v/>
      </c>
      <c r="L51" s="218" t="str">
        <f>IF(L$3="","",IF(COUNTIFS(BD!$A$3:$A$5001,L$3,BD!$B$3:$B$5001,$A$41,BD!$N$3:$N$5001,"&lt;&gt;")=0,"",SUMIFS(BD!$N$3:$N$5001,BD!$A$3:$A$5001,L$3,BD!$B$3:$B$5001,$A$41)))</f>
        <v/>
      </c>
      <c r="M51" s="218" t="str">
        <f>IF(M$3="","",IF(COUNTIFS(BD!$A$3:$A$5001,M$3,BD!$B$3:$B$5001,$A$41,BD!$N$3:$N$5001,"&lt;&gt;")=0,"",SUMIFS(BD!$N$3:$N$5001,BD!$A$3:$A$5001,M$3,BD!$B$3:$B$5001,$A$41)))</f>
        <v/>
      </c>
      <c r="N51" s="218" t="str">
        <f>IF(N$3="","",IF(COUNTIFS(BD!$A$3:$A$5001,N$3,BD!$B$3:$B$5001,$A$41,BD!$N$3:$N$5001,"&lt;&gt;")=0,"",SUMIFS(BD!$N$3:$N$5001,BD!$A$3:$A$5001,N$3,BD!$B$3:$B$5001,$A$41)))</f>
        <v/>
      </c>
      <c r="O51" s="218" t="str">
        <f>IF(O$3="","",IF(COUNTIFS(BD!$A$3:$A$5001,O$3,BD!$B$3:$B$5001,$A$41,BD!$N$3:$N$5001,"&lt;&gt;")=0,"",SUMIFS(BD!$N$3:$N$5001,BD!$A$3:$A$5001,O$3,BD!$B$3:$B$5001,$A$41)))</f>
        <v/>
      </c>
      <c r="P51" s="218" t="str">
        <f>IF(P$3="","",IF(COUNTIFS(BD!$A$3:$A$5001,P$3,BD!$B$3:$B$5001,$A$41,BD!$N$3:$N$5001,"&lt;&gt;")=0,"",SUMIFS(BD!$N$3:$N$5001,BD!$A$3:$A$5001,P$3,BD!$B$3:$B$5001,$A$41)))</f>
        <v/>
      </c>
      <c r="Q51" s="218" t="str">
        <f>IF(Q$3="","",IF(COUNTIFS(BD!$A$3:$A$5001,Q$3,BD!$B$3:$B$5001,$A$41,BD!$N$3:$N$5001,"&lt;&gt;")=0,"",SUMIFS(BD!$N$3:$N$5001,BD!$A$3:$A$5001,Q$3,BD!$B$3:$B$5001,$A$41)))</f>
        <v/>
      </c>
      <c r="R51" s="218" t="str">
        <f>IF(R$3="","",IF(COUNTIFS(BD!$A$3:$A$5001,R$3,BD!$B$3:$B$5001,$A$41,BD!$N$3:$N$5001,"&lt;&gt;")=0,"",SUMIFS(BD!$N$3:$N$5001,BD!$A$3:$A$5001,R$3,BD!$B$3:$B$5001,$A$41)))</f>
        <v/>
      </c>
      <c r="S51" s="218" t="str">
        <f>IF(S$3="","",IF(COUNTIFS(BD!$A$3:$A$5001,S$3,BD!$B$3:$B$5001,$A$41,BD!$N$3:$N$5001,"&lt;&gt;")=0,"",SUMIFS(BD!$N$3:$N$5001,BD!$A$3:$A$5001,S$3,BD!$B$3:$B$5001,$A$41)))</f>
        <v/>
      </c>
      <c r="T51" s="218" t="str">
        <f>IF(T$3="","",IF(COUNTIFS(BD!$A$3:$A$5001,T$3,BD!$B$3:$B$5001,$A$41,BD!$N$3:$N$5001,"&lt;&gt;")=0,"",SUMIFS(BD!$N$3:$N$5001,BD!$A$3:$A$5001,T$3,BD!$B$3:$B$5001,$A$41)))</f>
        <v/>
      </c>
      <c r="U51" s="218" t="str">
        <f>IF(U$3="","",IF(COUNTIFS(BD!$A$3:$A$5001,U$3,BD!$B$3:$B$5001,$A$41,BD!$N$3:$N$5001,"&lt;&gt;")=0,"",SUMIFS(BD!$N$3:$N$5001,BD!$A$3:$A$5001,U$3,BD!$B$3:$B$5001,$A$41)))</f>
        <v/>
      </c>
      <c r="V51" s="218" t="str">
        <f>IF(V$3="","",IF(COUNTIFS(BD!$A$3:$A$5001,V$3,BD!$B$3:$B$5001,$A$41,BD!$N$3:$N$5001,"&lt;&gt;")=0,"",SUMIFS(BD!$N$3:$N$5001,BD!$A$3:$A$5001,V$3,BD!$B$3:$B$5001,$A$41)))</f>
        <v/>
      </c>
      <c r="W51" s="218" t="str">
        <f>IF(W$3="","",IF(COUNTIFS(BD!$A$3:$A$5001,W$3,BD!$B$3:$B$5001,$A$41,BD!$N$3:$N$5001,"&lt;&gt;")=0,"",SUMIFS(BD!$N$3:$N$5001,BD!$A$3:$A$5001,W$3,BD!$B$3:$B$5001,$A$41)))</f>
        <v/>
      </c>
      <c r="X51" s="218" t="str">
        <f>IF(X$3="","",IF(COUNTIFS(BD!$A$3:$A$5001,X$3,BD!$B$3:$B$5001,$A$41,BD!$N$3:$N$5001,"&lt;&gt;")=0,"",SUMIFS(BD!$N$3:$N$5001,BD!$A$3:$A$5001,X$3,BD!$B$3:$B$5001,$A$41)))</f>
        <v/>
      </c>
      <c r="Y51" s="218" t="str">
        <f>IF(Y$3="","",IF(COUNTIFS(BD!$A$3:$A$5001,Y$3,BD!$B$3:$B$5001,$A$41,BD!$N$3:$N$5001,"&lt;&gt;")=0,"",SUMIFS(BD!$N$3:$N$5001,BD!$A$3:$A$5001,Y$3,BD!$B$3:$B$5001,$A$41)))</f>
        <v/>
      </c>
      <c r="Z51" s="218" t="str">
        <f>IF(Z$3="","",IF(COUNTIFS(BD!$A$3:$A$5001,Z$3,BD!$B$3:$B$5001,$A$41,BD!$N$3:$N$5001,"&lt;&gt;")=0,"",SUMIFS(BD!$N$3:$N$5001,BD!$A$3:$A$5001,Z$3,BD!$B$3:$B$5001,$A$41)))</f>
        <v/>
      </c>
      <c r="AA51" s="218" t="str">
        <f>IF(AA$3="","",IF(COUNTIFS(BD!$A$3:$A$5001,AA$3,BD!$B$3:$B$5001,$A$41,BD!$N$3:$N$5001,"&lt;&gt;")=0,"",SUMIFS(BD!$N$3:$N$5001,BD!$A$3:$A$5001,AA$3,BD!$B$3:$B$5001,$A$41)))</f>
        <v/>
      </c>
      <c r="AB51" s="218" t="str">
        <f>IF(AB$3="","",IF(COUNTIFS(BD!$A$3:$A$5001,AB$3,BD!$B$3:$B$5001,$A$41,BD!$N$3:$N$5001,"&lt;&gt;")=0,"",SUMIFS(BD!$N$3:$N$5001,BD!$A$3:$A$5001,AB$3,BD!$B$3:$B$5001,$A$41)))</f>
        <v/>
      </c>
      <c r="AC51" s="218" t="str">
        <f>IF(AC$3="","",IF(COUNTIFS(BD!$A$3:$A$5001,AC$3,BD!$B$3:$B$5001,$A$41,BD!$N$3:$N$5001,"&lt;&gt;")=0,"",SUMIFS(BD!$N$3:$N$5001,BD!$A$3:$A$5001,AC$3,BD!$B$3:$B$5001,$A$41)))</f>
        <v/>
      </c>
      <c r="AD51" s="218" t="str">
        <f>IF(AD$3="","",IF(COUNTIFS(BD!$A$3:$A$5001,AD$3,BD!$B$3:$B$5001,$A$41,BD!$N$3:$N$5001,"&lt;&gt;")=0,"",SUMIFS(BD!$N$3:$N$5001,BD!$A$3:$A$5001,AD$3,BD!$B$3:$B$5001,$A$41)))</f>
        <v/>
      </c>
      <c r="AE51" s="218" t="str">
        <f>IF(AE$3="","",IF(COUNTIFS(BD!$A$3:$A$5001,AE$3,BD!$B$3:$B$5001,$A$41,BD!$N$3:$N$5001,"&lt;&gt;")=0,"",SUMIFS(BD!$N$3:$N$5001,BD!$A$3:$A$5001,AE$3,BD!$B$3:$B$5001,$A$41)))</f>
        <v/>
      </c>
      <c r="AF51" s="218" t="str">
        <f>IF(AF$3="","",IF(COUNTIFS(BD!$A$3:$A$5001,AF$3,BD!$B$3:$B$5001,$A$41,BD!$N$3:$N$5001,"&lt;&gt;")=0,"",SUMIFS(BD!$N$3:$N$5001,BD!$A$3:$A$5001,AF$3,BD!$B$3:$B$5001,$A$41)))</f>
        <v/>
      </c>
      <c r="AG51" s="218" t="str">
        <f>IF(AG$3="","",IF(COUNTIFS(BD!$A$3:$A$5001,AG$3,BD!$B$3:$B$5001,$A$41,BD!$N$3:$N$5001,"&lt;&gt;")=0,"",SUMIFS(BD!$N$3:$N$5001,BD!$A$3:$A$5001,AG$3,BD!$B$3:$B$5001,$A$41)))</f>
        <v/>
      </c>
      <c r="AH51" s="218" t="str">
        <f>IF(AH$3="","",IF(COUNTIFS(BD!$A$3:$A$5001,AH$3,BD!$B$3:$B$5001,$A$41,BD!$N$3:$N$5001,"&lt;&gt;")=0,"",SUMIFS(BD!$N$3:$N$5001,BD!$A$3:$A$5001,AH$3,BD!$B$3:$B$5001,$A$41)))</f>
        <v/>
      </c>
      <c r="AI51" s="218" t="str">
        <f>IF(AI$3="","",IF(COUNTIFS(BD!$A$3:$A$5001,AI$3,BD!$B$3:$B$5001,$A$41,BD!$N$3:$N$5001,"&lt;&gt;")=0,"",SUMIFS(BD!$N$3:$N$5001,BD!$A$3:$A$5001,AI$3,BD!$B$3:$B$5001,$A$41)))</f>
        <v/>
      </c>
      <c r="AJ51" s="219" t="str">
        <f>IF(AJ$3="","",IF(COUNTIFS(BD!$A$3:$A$5001,AJ$3,BD!$B$3:$B$5001,$A$41,BD!$N$3:$N$5001,"&lt;&gt;")=0,"",SUMIFS(BD!$N$3:$N$5001,BD!$A$3:$A$5001,AJ$3,BD!$B$3:$B$5001,$A$41)))</f>
        <v/>
      </c>
      <c r="AK51" s="220" t="str">
        <f>IFERROR(LOOKUP(9.99E+307,F51:AJ51),"")</f>
        <v/>
      </c>
    </row>
    <row r="52" ht="15.75" customHeight="1">
      <c r="A52" s="247"/>
      <c r="B52" s="244"/>
      <c r="C52" s="221" t="inlineStr">
        <is>
          <t xml:space="preserve">Falta</t>
        </is>
      </c>
      <c r="D52" s="222" t="str">
        <f>IFERROR(1/(1/INDEX(BD!$Y$36:$AD$36,MATCH($A$41,BD!$Y$22:$AD$22,0))),"")</f>
        <v/>
      </c>
      <c r="E52" s="223"/>
      <c r="F52" s="224" t="str">
        <f>IF(F$3="","",IF(COUNTIFS(BD!$A$3:$A$5001,F$3,BD!$B$3:$B$5001,$A$41,BD!$O$3:$O$5001,"&lt;&gt;")=0,"",SUMIFS(BD!$O$3:$O$5001,BD!$A$3:$A$5001,F$3,BD!$B$3:$B$5001,$A$41)))</f>
        <v/>
      </c>
      <c r="G52" s="225" t="str">
        <f>IF(G$3="","",IF(COUNTIFS(BD!$A$3:$A$5001,G$3,BD!$B$3:$B$5001,$A$41,BD!$O$3:$O$5001,"&lt;&gt;")=0,"",SUMIFS(BD!$O$3:$O$5001,BD!$A$3:$A$5001,G$3,BD!$B$3:$B$5001,$A$41)))</f>
        <v/>
      </c>
      <c r="H52" s="225" t="str">
        <f>IF(H$3="","",IF(COUNTIFS(BD!$A$3:$A$5001,H$3,BD!$B$3:$B$5001,$A$41,BD!$O$3:$O$5001,"&lt;&gt;")=0,"",SUMIFS(BD!$O$3:$O$5001,BD!$A$3:$A$5001,H$3,BD!$B$3:$B$5001,$A$41)))</f>
        <v/>
      </c>
      <c r="I52" s="225" t="str">
        <f>IF(I$3="","",IF(COUNTIFS(BD!$A$3:$A$5001,I$3,BD!$B$3:$B$5001,$A$41,BD!$O$3:$O$5001,"&lt;&gt;")=0,"",SUMIFS(BD!$O$3:$O$5001,BD!$A$3:$A$5001,I$3,BD!$B$3:$B$5001,$A$41)))</f>
        <v/>
      </c>
      <c r="J52" s="225" t="str">
        <f>IF(J$3="","",IF(COUNTIFS(BD!$A$3:$A$5001,J$3,BD!$B$3:$B$5001,$A$41,BD!$O$3:$O$5001,"&lt;&gt;")=0,"",SUMIFS(BD!$O$3:$O$5001,BD!$A$3:$A$5001,J$3,BD!$B$3:$B$5001,$A$41)))</f>
        <v/>
      </c>
      <c r="K52" s="225" t="str">
        <f>IF(K$3="","",IF(COUNTIFS(BD!$A$3:$A$5001,K$3,BD!$B$3:$B$5001,$A$41,BD!$O$3:$O$5001,"&lt;&gt;")=0,"",SUMIFS(BD!$O$3:$O$5001,BD!$A$3:$A$5001,K$3,BD!$B$3:$B$5001,$A$41)))</f>
        <v/>
      </c>
      <c r="L52" s="225" t="str">
        <f>IF(L$3="","",IF(COUNTIFS(BD!$A$3:$A$5001,L$3,BD!$B$3:$B$5001,$A$41,BD!$O$3:$O$5001,"&lt;&gt;")=0,"",SUMIFS(BD!$O$3:$O$5001,BD!$A$3:$A$5001,L$3,BD!$B$3:$B$5001,$A$41)))</f>
        <v/>
      </c>
      <c r="M52" s="225" t="str">
        <f>IF(M$3="","",IF(COUNTIFS(BD!$A$3:$A$5001,M$3,BD!$B$3:$B$5001,$A$41,BD!$O$3:$O$5001,"&lt;&gt;")=0,"",SUMIFS(BD!$O$3:$O$5001,BD!$A$3:$A$5001,M$3,BD!$B$3:$B$5001,$A$41)))</f>
        <v/>
      </c>
      <c r="N52" s="225" t="str">
        <f>IF(N$3="","",IF(COUNTIFS(BD!$A$3:$A$5001,N$3,BD!$B$3:$B$5001,$A$41,BD!$O$3:$O$5001,"&lt;&gt;")=0,"",SUMIFS(BD!$O$3:$O$5001,BD!$A$3:$A$5001,N$3,BD!$B$3:$B$5001,$A$41)))</f>
        <v/>
      </c>
      <c r="O52" s="225" t="str">
        <f>IF(O$3="","",IF(COUNTIFS(BD!$A$3:$A$5001,O$3,BD!$B$3:$B$5001,$A$41,BD!$O$3:$O$5001,"&lt;&gt;")=0,"",SUMIFS(BD!$O$3:$O$5001,BD!$A$3:$A$5001,O$3,BD!$B$3:$B$5001,$A$41)))</f>
        <v/>
      </c>
      <c r="P52" s="225" t="str">
        <f>IF(P$3="","",IF(COUNTIFS(BD!$A$3:$A$5001,P$3,BD!$B$3:$B$5001,$A$41,BD!$O$3:$O$5001,"&lt;&gt;")=0,"",SUMIFS(BD!$O$3:$O$5001,BD!$A$3:$A$5001,P$3,BD!$B$3:$B$5001,$A$41)))</f>
        <v/>
      </c>
      <c r="Q52" s="225" t="str">
        <f>IF(Q$3="","",IF(COUNTIFS(BD!$A$3:$A$5001,Q$3,BD!$B$3:$B$5001,$A$41,BD!$O$3:$O$5001,"&lt;&gt;")=0,"",SUMIFS(BD!$O$3:$O$5001,BD!$A$3:$A$5001,Q$3,BD!$B$3:$B$5001,$A$41)))</f>
        <v/>
      </c>
      <c r="R52" s="225" t="str">
        <f>IF(R$3="","",IF(COUNTIFS(BD!$A$3:$A$5001,R$3,BD!$B$3:$B$5001,$A$41,BD!$O$3:$O$5001,"&lt;&gt;")=0,"",SUMIFS(BD!$O$3:$O$5001,BD!$A$3:$A$5001,R$3,BD!$B$3:$B$5001,$A$41)))</f>
        <v/>
      </c>
      <c r="S52" s="225" t="str">
        <f>IF(S$3="","",IF(COUNTIFS(BD!$A$3:$A$5001,S$3,BD!$B$3:$B$5001,$A$41,BD!$O$3:$O$5001,"&lt;&gt;")=0,"",SUMIFS(BD!$O$3:$O$5001,BD!$A$3:$A$5001,S$3,BD!$B$3:$B$5001,$A$41)))</f>
        <v/>
      </c>
      <c r="T52" s="225" t="str">
        <f>IF(T$3="","",IF(COUNTIFS(BD!$A$3:$A$5001,T$3,BD!$B$3:$B$5001,$A$41,BD!$O$3:$O$5001,"&lt;&gt;")=0,"",SUMIFS(BD!$O$3:$O$5001,BD!$A$3:$A$5001,T$3,BD!$B$3:$B$5001,$A$41)))</f>
        <v/>
      </c>
      <c r="U52" s="225" t="str">
        <f>IF(U$3="","",IF(COUNTIFS(BD!$A$3:$A$5001,U$3,BD!$B$3:$B$5001,$A$41,BD!$O$3:$O$5001,"&lt;&gt;")=0,"",SUMIFS(BD!$O$3:$O$5001,BD!$A$3:$A$5001,U$3,BD!$B$3:$B$5001,$A$41)))</f>
        <v/>
      </c>
      <c r="V52" s="225" t="str">
        <f>IF(V$3="","",IF(COUNTIFS(BD!$A$3:$A$5001,V$3,BD!$B$3:$B$5001,$A$41,BD!$O$3:$O$5001,"&lt;&gt;")=0,"",SUMIFS(BD!$O$3:$O$5001,BD!$A$3:$A$5001,V$3,BD!$B$3:$B$5001,$A$41)))</f>
        <v/>
      </c>
      <c r="W52" s="225" t="str">
        <f>IF(W$3="","",IF(COUNTIFS(BD!$A$3:$A$5001,W$3,BD!$B$3:$B$5001,$A$41,BD!$O$3:$O$5001,"&lt;&gt;")=0,"",SUMIFS(BD!$O$3:$O$5001,BD!$A$3:$A$5001,W$3,BD!$B$3:$B$5001,$A$41)))</f>
        <v/>
      </c>
      <c r="X52" s="225" t="str">
        <f>IF(X$3="","",IF(COUNTIFS(BD!$A$3:$A$5001,X$3,BD!$B$3:$B$5001,$A$41,BD!$O$3:$O$5001,"&lt;&gt;")=0,"",SUMIFS(BD!$O$3:$O$5001,BD!$A$3:$A$5001,X$3,BD!$B$3:$B$5001,$A$41)))</f>
        <v/>
      </c>
      <c r="Y52" s="225" t="str">
        <f>IF(Y$3="","",IF(COUNTIFS(BD!$A$3:$A$5001,Y$3,BD!$B$3:$B$5001,$A$41,BD!$O$3:$O$5001,"&lt;&gt;")=0,"",SUMIFS(BD!$O$3:$O$5001,BD!$A$3:$A$5001,Y$3,BD!$B$3:$B$5001,$A$41)))</f>
        <v/>
      </c>
      <c r="Z52" s="225" t="str">
        <f>IF(Z$3="","",IF(COUNTIFS(BD!$A$3:$A$5001,Z$3,BD!$B$3:$B$5001,$A$41,BD!$O$3:$O$5001,"&lt;&gt;")=0,"",SUMIFS(BD!$O$3:$O$5001,BD!$A$3:$A$5001,Z$3,BD!$B$3:$B$5001,$A$41)))</f>
        <v/>
      </c>
      <c r="AA52" s="225" t="str">
        <f>IF(AA$3="","",IF(COUNTIFS(BD!$A$3:$A$5001,AA$3,BD!$B$3:$B$5001,$A$41,BD!$O$3:$O$5001,"&lt;&gt;")=0,"",SUMIFS(BD!$O$3:$O$5001,BD!$A$3:$A$5001,AA$3,BD!$B$3:$B$5001,$A$41)))</f>
        <v/>
      </c>
      <c r="AB52" s="225" t="str">
        <f>IF(AB$3="","",IF(COUNTIFS(BD!$A$3:$A$5001,AB$3,BD!$B$3:$B$5001,$A$41,BD!$O$3:$O$5001,"&lt;&gt;")=0,"",SUMIFS(BD!$O$3:$O$5001,BD!$A$3:$A$5001,AB$3,BD!$B$3:$B$5001,$A$41)))</f>
        <v/>
      </c>
      <c r="AC52" s="225" t="str">
        <f>IF(AC$3="","",IF(COUNTIFS(BD!$A$3:$A$5001,AC$3,BD!$B$3:$B$5001,$A$41,BD!$O$3:$O$5001,"&lt;&gt;")=0,"",SUMIFS(BD!$O$3:$O$5001,BD!$A$3:$A$5001,AC$3,BD!$B$3:$B$5001,$A$41)))</f>
        <v/>
      </c>
      <c r="AD52" s="225" t="str">
        <f>IF(AD$3="","",IF(COUNTIFS(BD!$A$3:$A$5001,AD$3,BD!$B$3:$B$5001,$A$41,BD!$O$3:$O$5001,"&lt;&gt;")=0,"",SUMIFS(BD!$O$3:$O$5001,BD!$A$3:$A$5001,AD$3,BD!$B$3:$B$5001,$A$41)))</f>
        <v/>
      </c>
      <c r="AE52" s="225" t="str">
        <f>IF(AE$3="","",IF(COUNTIFS(BD!$A$3:$A$5001,AE$3,BD!$B$3:$B$5001,$A$41,BD!$O$3:$O$5001,"&lt;&gt;")=0,"",SUMIFS(BD!$O$3:$O$5001,BD!$A$3:$A$5001,AE$3,BD!$B$3:$B$5001,$A$41)))</f>
        <v/>
      </c>
      <c r="AF52" s="225" t="str">
        <f>IF(AF$3="","",IF(COUNTIFS(BD!$A$3:$A$5001,AF$3,BD!$B$3:$B$5001,$A$41,BD!$O$3:$O$5001,"&lt;&gt;")=0,"",SUMIFS(BD!$O$3:$O$5001,BD!$A$3:$A$5001,AF$3,BD!$B$3:$B$5001,$A$41)))</f>
        <v/>
      </c>
      <c r="AG52" s="225" t="str">
        <f>IF(AG$3="","",IF(COUNTIFS(BD!$A$3:$A$5001,AG$3,BD!$B$3:$B$5001,$A$41,BD!$O$3:$O$5001,"&lt;&gt;")=0,"",SUMIFS(BD!$O$3:$O$5001,BD!$A$3:$A$5001,AG$3,BD!$B$3:$B$5001,$A$41)))</f>
        <v/>
      </c>
      <c r="AH52" s="225" t="str">
        <f>IF(AH$3="","",IF(COUNTIFS(BD!$A$3:$A$5001,AH$3,BD!$B$3:$B$5001,$A$41,BD!$O$3:$O$5001,"&lt;&gt;")=0,"",SUMIFS(BD!$O$3:$O$5001,BD!$A$3:$A$5001,AH$3,BD!$B$3:$B$5001,$A$41)))</f>
        <v/>
      </c>
      <c r="AI52" s="225" t="str">
        <f>IF(AI$3="","",IF(COUNTIFS(BD!$A$3:$A$5001,AI$3,BD!$B$3:$B$5001,$A$41,BD!$O$3:$O$5001,"&lt;&gt;")=0,"",SUMIFS(BD!$O$3:$O$5001,BD!$A$3:$A$5001,AI$3,BD!$B$3:$B$5001,$A$41)))</f>
        <v/>
      </c>
      <c r="AJ52" s="226" t="str">
        <f>IF(AJ$3="","",IF(COUNTIFS(BD!$A$3:$A$5001,AJ$3,BD!$B$3:$B$5001,$A$41,BD!$O$3:$O$5001,"&lt;&gt;")=0,"",SUMIFS(BD!$O$3:$O$5001,BD!$A$3:$A$5001,AJ$3,BD!$B$3:$B$5001,$A$41)))</f>
        <v/>
      </c>
      <c r="AK52" s="227" t="str">
        <f>IF(COUNT(F52:AJ52)=0,"",SUM(F52:AJ52))</f>
        <v/>
      </c>
    </row>
    <row r="53" ht="15.75" customHeight="1">
      <c r="A53" s="247"/>
      <c r="B53" s="244"/>
      <c r="C53" s="221" t="inlineStr">
        <is>
          <t xml:space="preserve">Folga</t>
        </is>
      </c>
      <c r="D53" s="222" t="str">
        <f>IFERROR(1/(1/INDEX(BD!$Y$37:$AD$37,MATCH($A$41,BD!$Y$22:$AD$22,0))),"")</f>
        <v/>
      </c>
      <c r="E53" s="223"/>
      <c r="F53" s="224" t="str">
        <f>IF(F$3="","",IF(COUNTIFS(BD!$A$3:$A$5001,F$3,BD!$B$3:$B$5001,$A$41,BD!$P$3:$P$5001,"&lt;&gt;")=0,"",SUMIFS(BD!$P$3:$P$5001,BD!$A$3:$A$5001,F$3,BD!$B$3:$B$5001,$A$41)))</f>
        <v/>
      </c>
      <c r="G53" s="225" t="str">
        <f>IF(G$3="","",IF(COUNTIFS(BD!$A$3:$A$5001,G$3,BD!$B$3:$B$5001,$A$41,BD!$P$3:$P$5001,"&lt;&gt;")=0,"",SUMIFS(BD!$P$3:$P$5001,BD!$A$3:$A$5001,G$3,BD!$B$3:$B$5001,$A$41)))</f>
        <v/>
      </c>
      <c r="H53" s="225" t="str">
        <f>IF(H$3="","",IF(COUNTIFS(BD!$A$3:$A$5001,H$3,BD!$B$3:$B$5001,$A$41,BD!$P$3:$P$5001,"&lt;&gt;")=0,"",SUMIFS(BD!$P$3:$P$5001,BD!$A$3:$A$5001,H$3,BD!$B$3:$B$5001,$A$41)))</f>
        <v/>
      </c>
      <c r="I53" s="225" t="str">
        <f>IF(I$3="","",IF(COUNTIFS(BD!$A$3:$A$5001,I$3,BD!$B$3:$B$5001,$A$41,BD!$P$3:$P$5001,"&lt;&gt;")=0,"",SUMIFS(BD!$P$3:$P$5001,BD!$A$3:$A$5001,I$3,BD!$B$3:$B$5001,$A$41)))</f>
        <v/>
      </c>
      <c r="J53" s="225" t="str">
        <f>IF(J$3="","",IF(COUNTIFS(BD!$A$3:$A$5001,J$3,BD!$B$3:$B$5001,$A$41,BD!$P$3:$P$5001,"&lt;&gt;")=0,"",SUMIFS(BD!$P$3:$P$5001,BD!$A$3:$A$5001,J$3,BD!$B$3:$B$5001,$A$41)))</f>
        <v/>
      </c>
      <c r="K53" s="225" t="str">
        <f>IF(K$3="","",IF(COUNTIFS(BD!$A$3:$A$5001,K$3,BD!$B$3:$B$5001,$A$41,BD!$P$3:$P$5001,"&lt;&gt;")=0,"",SUMIFS(BD!$P$3:$P$5001,BD!$A$3:$A$5001,K$3,BD!$B$3:$B$5001,$A$41)))</f>
        <v/>
      </c>
      <c r="L53" s="225" t="str">
        <f>IF(L$3="","",IF(COUNTIFS(BD!$A$3:$A$5001,L$3,BD!$B$3:$B$5001,$A$41,BD!$P$3:$P$5001,"&lt;&gt;")=0,"",SUMIFS(BD!$P$3:$P$5001,BD!$A$3:$A$5001,L$3,BD!$B$3:$B$5001,$A$41)))</f>
        <v/>
      </c>
      <c r="M53" s="225" t="str">
        <f>IF(M$3="","",IF(COUNTIFS(BD!$A$3:$A$5001,M$3,BD!$B$3:$B$5001,$A$41,BD!$P$3:$P$5001,"&lt;&gt;")=0,"",SUMIFS(BD!$P$3:$P$5001,BD!$A$3:$A$5001,M$3,BD!$B$3:$B$5001,$A$41)))</f>
        <v/>
      </c>
      <c r="N53" s="225" t="str">
        <f>IF(N$3="","",IF(COUNTIFS(BD!$A$3:$A$5001,N$3,BD!$B$3:$B$5001,$A$41,BD!$P$3:$P$5001,"&lt;&gt;")=0,"",SUMIFS(BD!$P$3:$P$5001,BD!$A$3:$A$5001,N$3,BD!$B$3:$B$5001,$A$41)))</f>
        <v/>
      </c>
      <c r="O53" s="225" t="str">
        <f>IF(O$3="","",IF(COUNTIFS(BD!$A$3:$A$5001,O$3,BD!$B$3:$B$5001,$A$41,BD!$P$3:$P$5001,"&lt;&gt;")=0,"",SUMIFS(BD!$P$3:$P$5001,BD!$A$3:$A$5001,O$3,BD!$B$3:$B$5001,$A$41)))</f>
        <v/>
      </c>
      <c r="P53" s="225" t="str">
        <f>IF(P$3="","",IF(COUNTIFS(BD!$A$3:$A$5001,P$3,BD!$B$3:$B$5001,$A$41,BD!$P$3:$P$5001,"&lt;&gt;")=0,"",SUMIFS(BD!$P$3:$P$5001,BD!$A$3:$A$5001,P$3,BD!$B$3:$B$5001,$A$41)))</f>
        <v/>
      </c>
      <c r="Q53" s="225" t="str">
        <f>IF(Q$3="","",IF(COUNTIFS(BD!$A$3:$A$5001,Q$3,BD!$B$3:$B$5001,$A$41,BD!$P$3:$P$5001,"&lt;&gt;")=0,"",SUMIFS(BD!$P$3:$P$5001,BD!$A$3:$A$5001,Q$3,BD!$B$3:$B$5001,$A$41)))</f>
        <v/>
      </c>
      <c r="R53" s="225" t="str">
        <f>IF(R$3="","",IF(COUNTIFS(BD!$A$3:$A$5001,R$3,BD!$B$3:$B$5001,$A$41,BD!$P$3:$P$5001,"&lt;&gt;")=0,"",SUMIFS(BD!$P$3:$P$5001,BD!$A$3:$A$5001,R$3,BD!$B$3:$B$5001,$A$41)))</f>
        <v/>
      </c>
      <c r="S53" s="225" t="str">
        <f>IF(S$3="","",IF(COUNTIFS(BD!$A$3:$A$5001,S$3,BD!$B$3:$B$5001,$A$41,BD!$P$3:$P$5001,"&lt;&gt;")=0,"",SUMIFS(BD!$P$3:$P$5001,BD!$A$3:$A$5001,S$3,BD!$B$3:$B$5001,$A$41)))</f>
        <v/>
      </c>
      <c r="T53" s="225" t="str">
        <f>IF(T$3="","",IF(COUNTIFS(BD!$A$3:$A$5001,T$3,BD!$B$3:$B$5001,$A$41,BD!$P$3:$P$5001,"&lt;&gt;")=0,"",SUMIFS(BD!$P$3:$P$5001,BD!$A$3:$A$5001,T$3,BD!$B$3:$B$5001,$A$41)))</f>
        <v/>
      </c>
      <c r="U53" s="225" t="str">
        <f>IF(U$3="","",IF(COUNTIFS(BD!$A$3:$A$5001,U$3,BD!$B$3:$B$5001,$A$41,BD!$P$3:$P$5001,"&lt;&gt;")=0,"",SUMIFS(BD!$P$3:$P$5001,BD!$A$3:$A$5001,U$3,BD!$B$3:$B$5001,$A$41)))</f>
        <v/>
      </c>
      <c r="V53" s="225" t="str">
        <f>IF(V$3="","",IF(COUNTIFS(BD!$A$3:$A$5001,V$3,BD!$B$3:$B$5001,$A$41,BD!$P$3:$P$5001,"&lt;&gt;")=0,"",SUMIFS(BD!$P$3:$P$5001,BD!$A$3:$A$5001,V$3,BD!$B$3:$B$5001,$A$41)))</f>
        <v/>
      </c>
      <c r="W53" s="225" t="str">
        <f>IF(W$3="","",IF(COUNTIFS(BD!$A$3:$A$5001,W$3,BD!$B$3:$B$5001,$A$41,BD!$P$3:$P$5001,"&lt;&gt;")=0,"",SUMIFS(BD!$P$3:$P$5001,BD!$A$3:$A$5001,W$3,BD!$B$3:$B$5001,$A$41)))</f>
        <v/>
      </c>
      <c r="X53" s="225" t="str">
        <f>IF(X$3="","",IF(COUNTIFS(BD!$A$3:$A$5001,X$3,BD!$B$3:$B$5001,$A$41,BD!$P$3:$P$5001,"&lt;&gt;")=0,"",SUMIFS(BD!$P$3:$P$5001,BD!$A$3:$A$5001,X$3,BD!$B$3:$B$5001,$A$41)))</f>
        <v/>
      </c>
      <c r="Y53" s="225" t="str">
        <f>IF(Y$3="","",IF(COUNTIFS(BD!$A$3:$A$5001,Y$3,BD!$B$3:$B$5001,$A$41,BD!$P$3:$P$5001,"&lt;&gt;")=0,"",SUMIFS(BD!$P$3:$P$5001,BD!$A$3:$A$5001,Y$3,BD!$B$3:$B$5001,$A$41)))</f>
        <v/>
      </c>
      <c r="Z53" s="225" t="str">
        <f>IF(Z$3="","",IF(COUNTIFS(BD!$A$3:$A$5001,Z$3,BD!$B$3:$B$5001,$A$41,BD!$P$3:$P$5001,"&lt;&gt;")=0,"",SUMIFS(BD!$P$3:$P$5001,BD!$A$3:$A$5001,Z$3,BD!$B$3:$B$5001,$A$41)))</f>
        <v/>
      </c>
      <c r="AA53" s="225" t="str">
        <f>IF(AA$3="","",IF(COUNTIFS(BD!$A$3:$A$5001,AA$3,BD!$B$3:$B$5001,$A$41,BD!$P$3:$P$5001,"&lt;&gt;")=0,"",SUMIFS(BD!$P$3:$P$5001,BD!$A$3:$A$5001,AA$3,BD!$B$3:$B$5001,$A$41)))</f>
        <v/>
      </c>
      <c r="AB53" s="225" t="str">
        <f>IF(AB$3="","",IF(COUNTIFS(BD!$A$3:$A$5001,AB$3,BD!$B$3:$B$5001,$A$41,BD!$P$3:$P$5001,"&lt;&gt;")=0,"",SUMIFS(BD!$P$3:$P$5001,BD!$A$3:$A$5001,AB$3,BD!$B$3:$B$5001,$A$41)))</f>
        <v/>
      </c>
      <c r="AC53" s="225" t="str">
        <f>IF(AC$3="","",IF(COUNTIFS(BD!$A$3:$A$5001,AC$3,BD!$B$3:$B$5001,$A$41,BD!$P$3:$P$5001,"&lt;&gt;")=0,"",SUMIFS(BD!$P$3:$P$5001,BD!$A$3:$A$5001,AC$3,BD!$B$3:$B$5001,$A$41)))</f>
        <v/>
      </c>
      <c r="AD53" s="225" t="str">
        <f>IF(AD$3="","",IF(COUNTIFS(BD!$A$3:$A$5001,AD$3,BD!$B$3:$B$5001,$A$41,BD!$P$3:$P$5001,"&lt;&gt;")=0,"",SUMIFS(BD!$P$3:$P$5001,BD!$A$3:$A$5001,AD$3,BD!$B$3:$B$5001,$A$41)))</f>
        <v/>
      </c>
      <c r="AE53" s="225" t="str">
        <f>IF(AE$3="","",IF(COUNTIFS(BD!$A$3:$A$5001,AE$3,BD!$B$3:$B$5001,$A$41,BD!$P$3:$P$5001,"&lt;&gt;")=0,"",SUMIFS(BD!$P$3:$P$5001,BD!$A$3:$A$5001,AE$3,BD!$B$3:$B$5001,$A$41)))</f>
        <v/>
      </c>
      <c r="AF53" s="225" t="str">
        <f>IF(AF$3="","",IF(COUNTIFS(BD!$A$3:$A$5001,AF$3,BD!$B$3:$B$5001,$A$41,BD!$P$3:$P$5001,"&lt;&gt;")=0,"",SUMIFS(BD!$P$3:$P$5001,BD!$A$3:$A$5001,AF$3,BD!$B$3:$B$5001,$A$41)))</f>
        <v/>
      </c>
      <c r="AG53" s="225" t="str">
        <f>IF(AG$3="","",IF(COUNTIFS(BD!$A$3:$A$5001,AG$3,BD!$B$3:$B$5001,$A$41,BD!$P$3:$P$5001,"&lt;&gt;")=0,"",SUMIFS(BD!$P$3:$P$5001,BD!$A$3:$A$5001,AG$3,BD!$B$3:$B$5001,$A$41)))</f>
        <v/>
      </c>
      <c r="AH53" s="225" t="str">
        <f>IF(AH$3="","",IF(COUNTIFS(BD!$A$3:$A$5001,AH$3,BD!$B$3:$B$5001,$A$41,BD!$P$3:$P$5001,"&lt;&gt;")=0,"",SUMIFS(BD!$P$3:$P$5001,BD!$A$3:$A$5001,AH$3,BD!$B$3:$B$5001,$A$41)))</f>
        <v/>
      </c>
      <c r="AI53" s="225" t="str">
        <f>IF(AI$3="","",IF(COUNTIFS(BD!$A$3:$A$5001,AI$3,BD!$B$3:$B$5001,$A$41,BD!$P$3:$P$5001,"&lt;&gt;")=0,"",SUMIFS(BD!$P$3:$P$5001,BD!$A$3:$A$5001,AI$3,BD!$B$3:$B$5001,$A$41)))</f>
        <v/>
      </c>
      <c r="AJ53" s="226" t="str">
        <f>IF(AJ$3="","",IF(COUNTIFS(BD!$A$3:$A$5001,AJ$3,BD!$B$3:$B$5001,$A$41,BD!$P$3:$P$5001,"&lt;&gt;")=0,"",SUMIFS(BD!$P$3:$P$5001,BD!$A$3:$A$5001,AJ$3,BD!$B$3:$B$5001,$A$41)))</f>
        <v/>
      </c>
      <c r="AK53" s="227" t="str">
        <f>IF(COUNT(F53:AJ53)=0,"",SUM(F53:AJ53))</f>
        <v/>
      </c>
    </row>
    <row r="54" ht="15.75" customHeight="1">
      <c r="A54" s="247"/>
      <c r="B54" s="244"/>
      <c r="C54" s="221" t="inlineStr">
        <is>
          <t xml:space="preserve">Férias</t>
        </is>
      </c>
      <c r="D54" s="222" t="str">
        <f>IFERROR(1/(1/INDEX(BD!$Y$38:$AD$38,MATCH($A$41,BD!$Y$22:$AD$22,0))),"")</f>
        <v/>
      </c>
      <c r="E54" s="223"/>
      <c r="F54" s="224" t="str">
        <f>IF(F$3="","",IF(COUNTIFS(BD!$A$3:$A$5001,F$3,BD!$B$3:$B$5001,$A$41,BD!$Q$3:$Q$5001,"&lt;&gt;")=0,"",SUMIFS(BD!$Q$3:$Q$5001,BD!$A$3:$A$5001,F$3,BD!$B$3:$B$5001,$A$41)))</f>
        <v/>
      </c>
      <c r="G54" s="225" t="str">
        <f>IF(G$3="","",IF(COUNTIFS(BD!$A$3:$A$5001,G$3,BD!$B$3:$B$5001,$A$41,BD!$Q$3:$Q$5001,"&lt;&gt;")=0,"",SUMIFS(BD!$Q$3:$Q$5001,BD!$A$3:$A$5001,G$3,BD!$B$3:$B$5001,$A$41)))</f>
        <v/>
      </c>
      <c r="H54" s="225" t="str">
        <f>IF(H$3="","",IF(COUNTIFS(BD!$A$3:$A$5001,H$3,BD!$B$3:$B$5001,$A$41,BD!$Q$3:$Q$5001,"&lt;&gt;")=0,"",SUMIFS(BD!$Q$3:$Q$5001,BD!$A$3:$A$5001,H$3,BD!$B$3:$B$5001,$A$41)))</f>
        <v/>
      </c>
      <c r="I54" s="225" t="str">
        <f>IF(I$3="","",IF(COUNTIFS(BD!$A$3:$A$5001,I$3,BD!$B$3:$B$5001,$A$41,BD!$Q$3:$Q$5001,"&lt;&gt;")=0,"",SUMIFS(BD!$Q$3:$Q$5001,BD!$A$3:$A$5001,I$3,BD!$B$3:$B$5001,$A$41)))</f>
        <v/>
      </c>
      <c r="J54" s="225" t="str">
        <f>IF(J$3="","",IF(COUNTIFS(BD!$A$3:$A$5001,J$3,BD!$B$3:$B$5001,$A$41,BD!$Q$3:$Q$5001,"&lt;&gt;")=0,"",SUMIFS(BD!$Q$3:$Q$5001,BD!$A$3:$A$5001,J$3,BD!$B$3:$B$5001,$A$41)))</f>
        <v/>
      </c>
      <c r="K54" s="225" t="str">
        <f>IF(K$3="","",IF(COUNTIFS(BD!$A$3:$A$5001,K$3,BD!$B$3:$B$5001,$A$41,BD!$Q$3:$Q$5001,"&lt;&gt;")=0,"",SUMIFS(BD!$Q$3:$Q$5001,BD!$A$3:$A$5001,K$3,BD!$B$3:$B$5001,$A$41)))</f>
        <v/>
      </c>
      <c r="L54" s="225" t="str">
        <f>IF(L$3="","",IF(COUNTIFS(BD!$A$3:$A$5001,L$3,BD!$B$3:$B$5001,$A$41,BD!$Q$3:$Q$5001,"&lt;&gt;")=0,"",SUMIFS(BD!$Q$3:$Q$5001,BD!$A$3:$A$5001,L$3,BD!$B$3:$B$5001,$A$41)))</f>
        <v/>
      </c>
      <c r="M54" s="225" t="str">
        <f>IF(M$3="","",IF(COUNTIFS(BD!$A$3:$A$5001,M$3,BD!$B$3:$B$5001,$A$41,BD!$Q$3:$Q$5001,"&lt;&gt;")=0,"",SUMIFS(BD!$Q$3:$Q$5001,BD!$A$3:$A$5001,M$3,BD!$B$3:$B$5001,$A$41)))</f>
        <v/>
      </c>
      <c r="N54" s="225" t="str">
        <f>IF(N$3="","",IF(COUNTIFS(BD!$A$3:$A$5001,N$3,BD!$B$3:$B$5001,$A$41,BD!$Q$3:$Q$5001,"&lt;&gt;")=0,"",SUMIFS(BD!$Q$3:$Q$5001,BD!$A$3:$A$5001,N$3,BD!$B$3:$B$5001,$A$41)))</f>
        <v/>
      </c>
      <c r="O54" s="225" t="str">
        <f>IF(O$3="","",IF(COUNTIFS(BD!$A$3:$A$5001,O$3,BD!$B$3:$B$5001,$A$41,BD!$Q$3:$Q$5001,"&lt;&gt;")=0,"",SUMIFS(BD!$Q$3:$Q$5001,BD!$A$3:$A$5001,O$3,BD!$B$3:$B$5001,$A$41)))</f>
        <v/>
      </c>
      <c r="P54" s="225" t="str">
        <f>IF(P$3="","",IF(COUNTIFS(BD!$A$3:$A$5001,P$3,BD!$B$3:$B$5001,$A$41,BD!$Q$3:$Q$5001,"&lt;&gt;")=0,"",SUMIFS(BD!$Q$3:$Q$5001,BD!$A$3:$A$5001,P$3,BD!$B$3:$B$5001,$A$41)))</f>
        <v/>
      </c>
      <c r="Q54" s="225" t="str">
        <f>IF(Q$3="","",IF(COUNTIFS(BD!$A$3:$A$5001,Q$3,BD!$B$3:$B$5001,$A$41,BD!$Q$3:$Q$5001,"&lt;&gt;")=0,"",SUMIFS(BD!$Q$3:$Q$5001,BD!$A$3:$A$5001,Q$3,BD!$B$3:$B$5001,$A$41)))</f>
        <v/>
      </c>
      <c r="R54" s="225" t="str">
        <f>IF(R$3="","",IF(COUNTIFS(BD!$A$3:$A$5001,R$3,BD!$B$3:$B$5001,$A$41,BD!$Q$3:$Q$5001,"&lt;&gt;")=0,"",SUMIFS(BD!$Q$3:$Q$5001,BD!$A$3:$A$5001,R$3,BD!$B$3:$B$5001,$A$41)))</f>
        <v/>
      </c>
      <c r="S54" s="225" t="str">
        <f>IF(S$3="","",IF(COUNTIFS(BD!$A$3:$A$5001,S$3,BD!$B$3:$B$5001,$A$41,BD!$Q$3:$Q$5001,"&lt;&gt;")=0,"",SUMIFS(BD!$Q$3:$Q$5001,BD!$A$3:$A$5001,S$3,BD!$B$3:$B$5001,$A$41)))</f>
        <v/>
      </c>
      <c r="T54" s="225" t="str">
        <f>IF(T$3="","",IF(COUNTIFS(BD!$A$3:$A$5001,T$3,BD!$B$3:$B$5001,$A$41,BD!$Q$3:$Q$5001,"&lt;&gt;")=0,"",SUMIFS(BD!$Q$3:$Q$5001,BD!$A$3:$A$5001,T$3,BD!$B$3:$B$5001,$A$41)))</f>
        <v/>
      </c>
      <c r="U54" s="225" t="str">
        <f>IF(U$3="","",IF(COUNTIFS(BD!$A$3:$A$5001,U$3,BD!$B$3:$B$5001,$A$41,BD!$Q$3:$Q$5001,"&lt;&gt;")=0,"",SUMIFS(BD!$Q$3:$Q$5001,BD!$A$3:$A$5001,U$3,BD!$B$3:$B$5001,$A$41)))</f>
        <v/>
      </c>
      <c r="V54" s="225" t="str">
        <f>IF(V$3="","",IF(COUNTIFS(BD!$A$3:$A$5001,V$3,BD!$B$3:$B$5001,$A$41,BD!$Q$3:$Q$5001,"&lt;&gt;")=0,"",SUMIFS(BD!$Q$3:$Q$5001,BD!$A$3:$A$5001,V$3,BD!$B$3:$B$5001,$A$41)))</f>
        <v/>
      </c>
      <c r="W54" s="225" t="str">
        <f>IF(W$3="","",IF(COUNTIFS(BD!$A$3:$A$5001,W$3,BD!$B$3:$B$5001,$A$41,BD!$Q$3:$Q$5001,"&lt;&gt;")=0,"",SUMIFS(BD!$Q$3:$Q$5001,BD!$A$3:$A$5001,W$3,BD!$B$3:$B$5001,$A$41)))</f>
        <v/>
      </c>
      <c r="X54" s="225" t="str">
        <f>IF(X$3="","",IF(COUNTIFS(BD!$A$3:$A$5001,X$3,BD!$B$3:$B$5001,$A$41,BD!$Q$3:$Q$5001,"&lt;&gt;")=0,"",SUMIFS(BD!$Q$3:$Q$5001,BD!$A$3:$A$5001,X$3,BD!$B$3:$B$5001,$A$41)))</f>
        <v/>
      </c>
      <c r="Y54" s="225" t="str">
        <f>IF(Y$3="","",IF(COUNTIFS(BD!$A$3:$A$5001,Y$3,BD!$B$3:$B$5001,$A$41,BD!$Q$3:$Q$5001,"&lt;&gt;")=0,"",SUMIFS(BD!$Q$3:$Q$5001,BD!$A$3:$A$5001,Y$3,BD!$B$3:$B$5001,$A$41)))</f>
        <v/>
      </c>
      <c r="Z54" s="225" t="str">
        <f>IF(Z$3="","",IF(COUNTIFS(BD!$A$3:$A$5001,Z$3,BD!$B$3:$B$5001,$A$41,BD!$Q$3:$Q$5001,"&lt;&gt;")=0,"",SUMIFS(BD!$Q$3:$Q$5001,BD!$A$3:$A$5001,Z$3,BD!$B$3:$B$5001,$A$41)))</f>
        <v/>
      </c>
      <c r="AA54" s="225" t="str">
        <f>IF(AA$3="","",IF(COUNTIFS(BD!$A$3:$A$5001,AA$3,BD!$B$3:$B$5001,$A$41,BD!$Q$3:$Q$5001,"&lt;&gt;")=0,"",SUMIFS(BD!$Q$3:$Q$5001,BD!$A$3:$A$5001,AA$3,BD!$B$3:$B$5001,$A$41)))</f>
        <v/>
      </c>
      <c r="AB54" s="225" t="str">
        <f>IF(AB$3="","",IF(COUNTIFS(BD!$A$3:$A$5001,AB$3,BD!$B$3:$B$5001,$A$41,BD!$Q$3:$Q$5001,"&lt;&gt;")=0,"",SUMIFS(BD!$Q$3:$Q$5001,BD!$A$3:$A$5001,AB$3,BD!$B$3:$B$5001,$A$41)))</f>
        <v/>
      </c>
      <c r="AC54" s="225" t="str">
        <f>IF(AC$3="","",IF(COUNTIFS(BD!$A$3:$A$5001,AC$3,BD!$B$3:$B$5001,$A$41,BD!$Q$3:$Q$5001,"&lt;&gt;")=0,"",SUMIFS(BD!$Q$3:$Q$5001,BD!$A$3:$A$5001,AC$3,BD!$B$3:$B$5001,$A$41)))</f>
        <v/>
      </c>
      <c r="AD54" s="225" t="str">
        <f>IF(AD$3="","",IF(COUNTIFS(BD!$A$3:$A$5001,AD$3,BD!$B$3:$B$5001,$A$41,BD!$Q$3:$Q$5001,"&lt;&gt;")=0,"",SUMIFS(BD!$Q$3:$Q$5001,BD!$A$3:$A$5001,AD$3,BD!$B$3:$B$5001,$A$41)))</f>
        <v/>
      </c>
      <c r="AE54" s="225" t="str">
        <f>IF(AE$3="","",IF(COUNTIFS(BD!$A$3:$A$5001,AE$3,BD!$B$3:$B$5001,$A$41,BD!$Q$3:$Q$5001,"&lt;&gt;")=0,"",SUMIFS(BD!$Q$3:$Q$5001,BD!$A$3:$A$5001,AE$3,BD!$B$3:$B$5001,$A$41)))</f>
        <v/>
      </c>
      <c r="AF54" s="225" t="str">
        <f>IF(AF$3="","",IF(COUNTIFS(BD!$A$3:$A$5001,AF$3,BD!$B$3:$B$5001,$A$41,BD!$Q$3:$Q$5001,"&lt;&gt;")=0,"",SUMIFS(BD!$Q$3:$Q$5001,BD!$A$3:$A$5001,AF$3,BD!$B$3:$B$5001,$A$41)))</f>
        <v/>
      </c>
      <c r="AG54" s="225" t="str">
        <f>IF(AG$3="","",IF(COUNTIFS(BD!$A$3:$A$5001,AG$3,BD!$B$3:$B$5001,$A$41,BD!$Q$3:$Q$5001,"&lt;&gt;")=0,"",SUMIFS(BD!$Q$3:$Q$5001,BD!$A$3:$A$5001,AG$3,BD!$B$3:$B$5001,$A$41)))</f>
        <v/>
      </c>
      <c r="AH54" s="225" t="str">
        <f>IF(AH$3="","",IF(COUNTIFS(BD!$A$3:$A$5001,AH$3,BD!$B$3:$B$5001,$A$41,BD!$Q$3:$Q$5001,"&lt;&gt;")=0,"",SUMIFS(BD!$Q$3:$Q$5001,BD!$A$3:$A$5001,AH$3,BD!$B$3:$B$5001,$A$41)))</f>
        <v/>
      </c>
      <c r="AI54" s="225" t="str">
        <f>IF(AI$3="","",IF(COUNTIFS(BD!$A$3:$A$5001,AI$3,BD!$B$3:$B$5001,$A$41,BD!$Q$3:$Q$5001,"&lt;&gt;")=0,"",SUMIFS(BD!$Q$3:$Q$5001,BD!$A$3:$A$5001,AI$3,BD!$B$3:$B$5001,$A$41)))</f>
        <v/>
      </c>
      <c r="AJ54" s="226" t="str">
        <f>IF(AJ$3="","",IF(COUNTIFS(BD!$A$3:$A$5001,AJ$3,BD!$B$3:$B$5001,$A$41,BD!$Q$3:$Q$5001,"&lt;&gt;")=0,"",SUMIFS(BD!$Q$3:$Q$5001,BD!$A$3:$A$5001,AJ$3,BD!$B$3:$B$5001,$A$41)))</f>
        <v/>
      </c>
      <c r="AK54" s="227" t="str">
        <f>IF(COUNT(F54:AJ54)=0,"",SUM(F54:AJ54))</f>
        <v/>
      </c>
    </row>
    <row r="55" ht="15.75" customHeight="1">
      <c r="A55" s="247"/>
      <c r="B55" s="244"/>
      <c r="C55" s="221" t="inlineStr">
        <is>
          <t xml:space="preserve">Desligamento</t>
        </is>
      </c>
      <c r="D55" s="222" t="str">
        <f>IFERROR(1/(1/INDEX(BD!$Y$39:$AD$39,MATCH($A$41,BD!$Y$22:$AD$22,0))),"")</f>
        <v/>
      </c>
      <c r="E55" s="223"/>
      <c r="F55" s="224" t="str">
        <f>IF(F$3="","",IF(COUNTIFS(BD!$A$3:$A$5001,F$3,BD!$B$3:$B$5001,$A$41,BD!$R$3:$R$5001,"&lt;&gt;")=0,"",SUMIFS(BD!$R$3:$R$5001,BD!$A$3:$A$5001,F$3,BD!$B$3:$B$5001,$A$41)))</f>
        <v/>
      </c>
      <c r="G55" s="225" t="str">
        <f>IF(G$3="","",IF(COUNTIFS(BD!$A$3:$A$5001,G$3,BD!$B$3:$B$5001,$A$41,BD!$R$3:$R$5001,"&lt;&gt;")=0,"",SUMIFS(BD!$R$3:$R$5001,BD!$A$3:$A$5001,G$3,BD!$B$3:$B$5001,$A$41)))</f>
        <v/>
      </c>
      <c r="H55" s="225" t="str">
        <f>IF(H$3="","",IF(COUNTIFS(BD!$A$3:$A$5001,H$3,BD!$B$3:$B$5001,$A$41,BD!$R$3:$R$5001,"&lt;&gt;")=0,"",SUMIFS(BD!$R$3:$R$5001,BD!$A$3:$A$5001,H$3,BD!$B$3:$B$5001,$A$41)))</f>
        <v/>
      </c>
      <c r="I55" s="225" t="str">
        <f>IF(I$3="","",IF(COUNTIFS(BD!$A$3:$A$5001,I$3,BD!$B$3:$B$5001,$A$41,BD!$R$3:$R$5001,"&lt;&gt;")=0,"",SUMIFS(BD!$R$3:$R$5001,BD!$A$3:$A$5001,I$3,BD!$B$3:$B$5001,$A$41)))</f>
        <v/>
      </c>
      <c r="J55" s="225" t="str">
        <f>IF(J$3="","",IF(COUNTIFS(BD!$A$3:$A$5001,J$3,BD!$B$3:$B$5001,$A$41,BD!$R$3:$R$5001,"&lt;&gt;")=0,"",SUMIFS(BD!$R$3:$R$5001,BD!$A$3:$A$5001,J$3,BD!$B$3:$B$5001,$A$41)))</f>
        <v/>
      </c>
      <c r="K55" s="225" t="str">
        <f>IF(K$3="","",IF(COUNTIFS(BD!$A$3:$A$5001,K$3,BD!$B$3:$B$5001,$A$41,BD!$R$3:$R$5001,"&lt;&gt;")=0,"",SUMIFS(BD!$R$3:$R$5001,BD!$A$3:$A$5001,K$3,BD!$B$3:$B$5001,$A$41)))</f>
        <v/>
      </c>
      <c r="L55" s="225" t="str">
        <f>IF(L$3="","",IF(COUNTIFS(BD!$A$3:$A$5001,L$3,BD!$B$3:$B$5001,$A$41,BD!$R$3:$R$5001,"&lt;&gt;")=0,"",SUMIFS(BD!$R$3:$R$5001,BD!$A$3:$A$5001,L$3,BD!$B$3:$B$5001,$A$41)))</f>
        <v/>
      </c>
      <c r="M55" s="225" t="str">
        <f>IF(M$3="","",IF(COUNTIFS(BD!$A$3:$A$5001,M$3,BD!$B$3:$B$5001,$A$41,BD!$R$3:$R$5001,"&lt;&gt;")=0,"",SUMIFS(BD!$R$3:$R$5001,BD!$A$3:$A$5001,M$3,BD!$B$3:$B$5001,$A$41)))</f>
        <v/>
      </c>
      <c r="N55" s="225" t="str">
        <f>IF(N$3="","",IF(COUNTIFS(BD!$A$3:$A$5001,N$3,BD!$B$3:$B$5001,$A$41,BD!$R$3:$R$5001,"&lt;&gt;")=0,"",SUMIFS(BD!$R$3:$R$5001,BD!$A$3:$A$5001,N$3,BD!$B$3:$B$5001,$A$41)))</f>
        <v/>
      </c>
      <c r="O55" s="225" t="str">
        <f>IF(O$3="","",IF(COUNTIFS(BD!$A$3:$A$5001,O$3,BD!$B$3:$B$5001,$A$41,BD!$R$3:$R$5001,"&lt;&gt;")=0,"",SUMIFS(BD!$R$3:$R$5001,BD!$A$3:$A$5001,O$3,BD!$B$3:$B$5001,$A$41)))</f>
        <v/>
      </c>
      <c r="P55" s="225" t="str">
        <f>IF(P$3="","",IF(COUNTIFS(BD!$A$3:$A$5001,P$3,BD!$B$3:$B$5001,$A$41,BD!$R$3:$R$5001,"&lt;&gt;")=0,"",SUMIFS(BD!$R$3:$R$5001,BD!$A$3:$A$5001,P$3,BD!$B$3:$B$5001,$A$41)))</f>
        <v/>
      </c>
      <c r="Q55" s="225" t="str">
        <f>IF(Q$3="","",IF(COUNTIFS(BD!$A$3:$A$5001,Q$3,BD!$B$3:$B$5001,$A$41,BD!$R$3:$R$5001,"&lt;&gt;")=0,"",SUMIFS(BD!$R$3:$R$5001,BD!$A$3:$A$5001,Q$3,BD!$B$3:$B$5001,$A$41)))</f>
        <v/>
      </c>
      <c r="R55" s="225" t="str">
        <f>IF(R$3="","",IF(COUNTIFS(BD!$A$3:$A$5001,R$3,BD!$B$3:$B$5001,$A$41,BD!$R$3:$R$5001,"&lt;&gt;")=0,"",SUMIFS(BD!$R$3:$R$5001,BD!$A$3:$A$5001,R$3,BD!$B$3:$B$5001,$A$41)))</f>
        <v/>
      </c>
      <c r="S55" s="225" t="str">
        <f>IF(S$3="","",IF(COUNTIFS(BD!$A$3:$A$5001,S$3,BD!$B$3:$B$5001,$A$41,BD!$R$3:$R$5001,"&lt;&gt;")=0,"",SUMIFS(BD!$R$3:$R$5001,BD!$A$3:$A$5001,S$3,BD!$B$3:$B$5001,$A$41)))</f>
        <v/>
      </c>
      <c r="T55" s="225" t="str">
        <f>IF(T$3="","",IF(COUNTIFS(BD!$A$3:$A$5001,T$3,BD!$B$3:$B$5001,$A$41,BD!$R$3:$R$5001,"&lt;&gt;")=0,"",SUMIFS(BD!$R$3:$R$5001,BD!$A$3:$A$5001,T$3,BD!$B$3:$B$5001,$A$41)))</f>
        <v/>
      </c>
      <c r="U55" s="225" t="str">
        <f>IF(U$3="","",IF(COUNTIFS(BD!$A$3:$A$5001,U$3,BD!$B$3:$B$5001,$A$41,BD!$R$3:$R$5001,"&lt;&gt;")=0,"",SUMIFS(BD!$R$3:$R$5001,BD!$A$3:$A$5001,U$3,BD!$B$3:$B$5001,$A$41)))</f>
        <v/>
      </c>
      <c r="V55" s="225" t="str">
        <f>IF(V$3="","",IF(COUNTIFS(BD!$A$3:$A$5001,V$3,BD!$B$3:$B$5001,$A$41,BD!$R$3:$R$5001,"&lt;&gt;")=0,"",SUMIFS(BD!$R$3:$R$5001,BD!$A$3:$A$5001,V$3,BD!$B$3:$B$5001,$A$41)))</f>
        <v/>
      </c>
      <c r="W55" s="225" t="str">
        <f>IF(W$3="","",IF(COUNTIFS(BD!$A$3:$A$5001,W$3,BD!$B$3:$B$5001,$A$41,BD!$R$3:$R$5001,"&lt;&gt;")=0,"",SUMIFS(BD!$R$3:$R$5001,BD!$A$3:$A$5001,W$3,BD!$B$3:$B$5001,$A$41)))</f>
        <v/>
      </c>
      <c r="X55" s="225" t="str">
        <f>IF(X$3="","",IF(COUNTIFS(BD!$A$3:$A$5001,X$3,BD!$B$3:$B$5001,$A$41,BD!$R$3:$R$5001,"&lt;&gt;")=0,"",SUMIFS(BD!$R$3:$R$5001,BD!$A$3:$A$5001,X$3,BD!$B$3:$B$5001,$A$41)))</f>
        <v/>
      </c>
      <c r="Y55" s="225" t="str">
        <f>IF(Y$3="","",IF(COUNTIFS(BD!$A$3:$A$5001,Y$3,BD!$B$3:$B$5001,$A$41,BD!$R$3:$R$5001,"&lt;&gt;")=0,"",SUMIFS(BD!$R$3:$R$5001,BD!$A$3:$A$5001,Y$3,BD!$B$3:$B$5001,$A$41)))</f>
        <v/>
      </c>
      <c r="Z55" s="225" t="str">
        <f>IF(Z$3="","",IF(COUNTIFS(BD!$A$3:$A$5001,Z$3,BD!$B$3:$B$5001,$A$41,BD!$R$3:$R$5001,"&lt;&gt;")=0,"",SUMIFS(BD!$R$3:$R$5001,BD!$A$3:$A$5001,Z$3,BD!$B$3:$B$5001,$A$41)))</f>
        <v/>
      </c>
      <c r="AA55" s="225" t="str">
        <f>IF(AA$3="","",IF(COUNTIFS(BD!$A$3:$A$5001,AA$3,BD!$B$3:$B$5001,$A$41,BD!$R$3:$R$5001,"&lt;&gt;")=0,"",SUMIFS(BD!$R$3:$R$5001,BD!$A$3:$A$5001,AA$3,BD!$B$3:$B$5001,$A$41)))</f>
        <v/>
      </c>
      <c r="AB55" s="225" t="str">
        <f>IF(AB$3="","",IF(COUNTIFS(BD!$A$3:$A$5001,AB$3,BD!$B$3:$B$5001,$A$41,BD!$R$3:$R$5001,"&lt;&gt;")=0,"",SUMIFS(BD!$R$3:$R$5001,BD!$A$3:$A$5001,AB$3,BD!$B$3:$B$5001,$A$41)))</f>
        <v/>
      </c>
      <c r="AC55" s="225" t="str">
        <f>IF(AC$3="","",IF(COUNTIFS(BD!$A$3:$A$5001,AC$3,BD!$B$3:$B$5001,$A$41,BD!$R$3:$R$5001,"&lt;&gt;")=0,"",SUMIFS(BD!$R$3:$R$5001,BD!$A$3:$A$5001,AC$3,BD!$B$3:$B$5001,$A$41)))</f>
        <v/>
      </c>
      <c r="AD55" s="225" t="str">
        <f>IF(AD$3="","",IF(COUNTIFS(BD!$A$3:$A$5001,AD$3,BD!$B$3:$B$5001,$A$41,BD!$R$3:$R$5001,"&lt;&gt;")=0,"",SUMIFS(BD!$R$3:$R$5001,BD!$A$3:$A$5001,AD$3,BD!$B$3:$B$5001,$A$41)))</f>
        <v/>
      </c>
      <c r="AE55" s="225" t="str">
        <f>IF(AE$3="","",IF(COUNTIFS(BD!$A$3:$A$5001,AE$3,BD!$B$3:$B$5001,$A$41,BD!$R$3:$R$5001,"&lt;&gt;")=0,"",SUMIFS(BD!$R$3:$R$5001,BD!$A$3:$A$5001,AE$3,BD!$B$3:$B$5001,$A$41)))</f>
        <v/>
      </c>
      <c r="AF55" s="225" t="str">
        <f>IF(AF$3="","",IF(COUNTIFS(BD!$A$3:$A$5001,AF$3,BD!$B$3:$B$5001,$A$41,BD!$R$3:$R$5001,"&lt;&gt;")=0,"",SUMIFS(BD!$R$3:$R$5001,BD!$A$3:$A$5001,AF$3,BD!$B$3:$B$5001,$A$41)))</f>
        <v/>
      </c>
      <c r="AG55" s="225" t="str">
        <f>IF(AG$3="","",IF(COUNTIFS(BD!$A$3:$A$5001,AG$3,BD!$B$3:$B$5001,$A$41,BD!$R$3:$R$5001,"&lt;&gt;")=0,"",SUMIFS(BD!$R$3:$R$5001,BD!$A$3:$A$5001,AG$3,BD!$B$3:$B$5001,$A$41)))</f>
        <v/>
      </c>
      <c r="AH55" s="225" t="str">
        <f>IF(AH$3="","",IF(COUNTIFS(BD!$A$3:$A$5001,AH$3,BD!$B$3:$B$5001,$A$41,BD!$R$3:$R$5001,"&lt;&gt;")=0,"",SUMIFS(BD!$R$3:$R$5001,BD!$A$3:$A$5001,AH$3,BD!$B$3:$B$5001,$A$41)))</f>
        <v/>
      </c>
      <c r="AI55" s="225" t="str">
        <f>IF(AI$3="","",IF(COUNTIFS(BD!$A$3:$A$5001,AI$3,BD!$B$3:$B$5001,$A$41,BD!$R$3:$R$5001,"&lt;&gt;")=0,"",SUMIFS(BD!$R$3:$R$5001,BD!$A$3:$A$5001,AI$3,BD!$B$3:$B$5001,$A$41)))</f>
        <v/>
      </c>
      <c r="AJ55" s="226" t="str">
        <f>IF(AJ$3="","",IF(COUNTIFS(BD!$A$3:$A$5001,AJ$3,BD!$B$3:$B$5001,$A$41,BD!$R$3:$R$5001,"&lt;&gt;")=0,"",SUMIFS(BD!$R$3:$R$5001,BD!$A$3:$A$5001,AJ$3,BD!$B$3:$B$5001,$A$41)))</f>
        <v/>
      </c>
      <c r="AK55" s="227" t="str">
        <f>IF(COUNT(F55:AJ55)=0,"",SUM(F55:AJ55))</f>
        <v/>
      </c>
    </row>
    <row r="56" ht="15.75" customHeight="1">
      <c r="A56" s="247"/>
      <c r="B56" s="244"/>
      <c r="C56" s="221" t="inlineStr">
        <is>
          <t xml:space="preserve">Desvios Comportamentais</t>
        </is>
      </c>
      <c r="D56" s="222" t="str">
        <f>IFERROR(1/(1/INDEX(BD!$Y$40:$AD$40,MATCH($A$41,BD!$Y$22:$AD$22,0))),"")</f>
        <v/>
      </c>
      <c r="E56" s="223"/>
      <c r="F56" s="224" t="str">
        <f>IF(F$3="","",IF(COUNTIFS(BD!$A$3:$A$5001,F$3,BD!$B$3:$B$5001,$A$41,BD!$S$3:$S$5001,"&lt;&gt;")=0,"",SUMIFS(BD!$S$3:$S$5001,BD!$A$3:$A$5001,F$3,BD!$B$3:$B$5001,$A$41)))</f>
        <v/>
      </c>
      <c r="G56" s="225" t="str">
        <f>IF(G$3="","",IF(COUNTIFS(BD!$A$3:$A$5001,G$3,BD!$B$3:$B$5001,$A$41,BD!$S$3:$S$5001,"&lt;&gt;")=0,"",SUMIFS(BD!$S$3:$S$5001,BD!$A$3:$A$5001,G$3,BD!$B$3:$B$5001,$A$41)))</f>
        <v/>
      </c>
      <c r="H56" s="225" t="str">
        <f>IF(H$3="","",IF(COUNTIFS(BD!$A$3:$A$5001,H$3,BD!$B$3:$B$5001,$A$41,BD!$S$3:$S$5001,"&lt;&gt;")=0,"",SUMIFS(BD!$S$3:$S$5001,BD!$A$3:$A$5001,H$3,BD!$B$3:$B$5001,$A$41)))</f>
        <v/>
      </c>
      <c r="I56" s="225" t="str">
        <f>IF(I$3="","",IF(COUNTIFS(BD!$A$3:$A$5001,I$3,BD!$B$3:$B$5001,$A$41,BD!$S$3:$S$5001,"&lt;&gt;")=0,"",SUMIFS(BD!$S$3:$S$5001,BD!$A$3:$A$5001,I$3,BD!$B$3:$B$5001,$A$41)))</f>
        <v/>
      </c>
      <c r="J56" s="225" t="str">
        <f>IF(J$3="","",IF(COUNTIFS(BD!$A$3:$A$5001,J$3,BD!$B$3:$B$5001,$A$41,BD!$S$3:$S$5001,"&lt;&gt;")=0,"",SUMIFS(BD!$S$3:$S$5001,BD!$A$3:$A$5001,J$3,BD!$B$3:$B$5001,$A$41)))</f>
        <v/>
      </c>
      <c r="K56" s="225" t="str">
        <f>IF(K$3="","",IF(COUNTIFS(BD!$A$3:$A$5001,K$3,BD!$B$3:$B$5001,$A$41,BD!$S$3:$S$5001,"&lt;&gt;")=0,"",SUMIFS(BD!$S$3:$S$5001,BD!$A$3:$A$5001,K$3,BD!$B$3:$B$5001,$A$41)))</f>
        <v/>
      </c>
      <c r="L56" s="225" t="str">
        <f>IF(L$3="","",IF(COUNTIFS(BD!$A$3:$A$5001,L$3,BD!$B$3:$B$5001,$A$41,BD!$S$3:$S$5001,"&lt;&gt;")=0,"",SUMIFS(BD!$S$3:$S$5001,BD!$A$3:$A$5001,L$3,BD!$B$3:$B$5001,$A$41)))</f>
        <v/>
      </c>
      <c r="M56" s="225" t="str">
        <f>IF(M$3="","",IF(COUNTIFS(BD!$A$3:$A$5001,M$3,BD!$B$3:$B$5001,$A$41,BD!$S$3:$S$5001,"&lt;&gt;")=0,"",SUMIFS(BD!$S$3:$S$5001,BD!$A$3:$A$5001,M$3,BD!$B$3:$B$5001,$A$41)))</f>
        <v/>
      </c>
      <c r="N56" s="225" t="str">
        <f>IF(N$3="","",IF(COUNTIFS(BD!$A$3:$A$5001,N$3,BD!$B$3:$B$5001,$A$41,BD!$S$3:$S$5001,"&lt;&gt;")=0,"",SUMIFS(BD!$S$3:$S$5001,BD!$A$3:$A$5001,N$3,BD!$B$3:$B$5001,$A$41)))</f>
        <v/>
      </c>
      <c r="O56" s="225" t="str">
        <f>IF(O$3="","",IF(COUNTIFS(BD!$A$3:$A$5001,O$3,BD!$B$3:$B$5001,$A$41,BD!$S$3:$S$5001,"&lt;&gt;")=0,"",SUMIFS(BD!$S$3:$S$5001,BD!$A$3:$A$5001,O$3,BD!$B$3:$B$5001,$A$41)))</f>
        <v/>
      </c>
      <c r="P56" s="225" t="str">
        <f>IF(P$3="","",IF(COUNTIFS(BD!$A$3:$A$5001,P$3,BD!$B$3:$B$5001,$A$41,BD!$S$3:$S$5001,"&lt;&gt;")=0,"",SUMIFS(BD!$S$3:$S$5001,BD!$A$3:$A$5001,P$3,BD!$B$3:$B$5001,$A$41)))</f>
        <v/>
      </c>
      <c r="Q56" s="225" t="str">
        <f>IF(Q$3="","",IF(COUNTIFS(BD!$A$3:$A$5001,Q$3,BD!$B$3:$B$5001,$A$41,BD!$S$3:$S$5001,"&lt;&gt;")=0,"",SUMIFS(BD!$S$3:$S$5001,BD!$A$3:$A$5001,Q$3,BD!$B$3:$B$5001,$A$41)))</f>
        <v/>
      </c>
      <c r="R56" s="225" t="str">
        <f>IF(R$3="","",IF(COUNTIFS(BD!$A$3:$A$5001,R$3,BD!$B$3:$B$5001,$A$41,BD!$S$3:$S$5001,"&lt;&gt;")=0,"",SUMIFS(BD!$S$3:$S$5001,BD!$A$3:$A$5001,R$3,BD!$B$3:$B$5001,$A$41)))</f>
        <v/>
      </c>
      <c r="S56" s="225" t="str">
        <f>IF(S$3="","",IF(COUNTIFS(BD!$A$3:$A$5001,S$3,BD!$B$3:$B$5001,$A$41,BD!$S$3:$S$5001,"&lt;&gt;")=0,"",SUMIFS(BD!$S$3:$S$5001,BD!$A$3:$A$5001,S$3,BD!$B$3:$B$5001,$A$41)))</f>
        <v/>
      </c>
      <c r="T56" s="225" t="str">
        <f>IF(T$3="","",IF(COUNTIFS(BD!$A$3:$A$5001,T$3,BD!$B$3:$B$5001,$A$41,BD!$S$3:$S$5001,"&lt;&gt;")=0,"",SUMIFS(BD!$S$3:$S$5001,BD!$A$3:$A$5001,T$3,BD!$B$3:$B$5001,$A$41)))</f>
        <v/>
      </c>
      <c r="U56" s="225" t="str">
        <f>IF(U$3="","",IF(COUNTIFS(BD!$A$3:$A$5001,U$3,BD!$B$3:$B$5001,$A$41,BD!$S$3:$S$5001,"&lt;&gt;")=0,"",SUMIFS(BD!$S$3:$S$5001,BD!$A$3:$A$5001,U$3,BD!$B$3:$B$5001,$A$41)))</f>
        <v/>
      </c>
      <c r="V56" s="225" t="str">
        <f>IF(V$3="","",IF(COUNTIFS(BD!$A$3:$A$5001,V$3,BD!$B$3:$B$5001,$A$41,BD!$S$3:$S$5001,"&lt;&gt;")=0,"",SUMIFS(BD!$S$3:$S$5001,BD!$A$3:$A$5001,V$3,BD!$B$3:$B$5001,$A$41)))</f>
        <v/>
      </c>
      <c r="W56" s="225" t="str">
        <f>IF(W$3="","",IF(COUNTIFS(BD!$A$3:$A$5001,W$3,BD!$B$3:$B$5001,$A$41,BD!$S$3:$S$5001,"&lt;&gt;")=0,"",SUMIFS(BD!$S$3:$S$5001,BD!$A$3:$A$5001,W$3,BD!$B$3:$B$5001,$A$41)))</f>
        <v/>
      </c>
      <c r="X56" s="225" t="str">
        <f>IF(X$3="","",IF(COUNTIFS(BD!$A$3:$A$5001,X$3,BD!$B$3:$B$5001,$A$41,BD!$S$3:$S$5001,"&lt;&gt;")=0,"",SUMIFS(BD!$S$3:$S$5001,BD!$A$3:$A$5001,X$3,BD!$B$3:$B$5001,$A$41)))</f>
        <v/>
      </c>
      <c r="Y56" s="225" t="str">
        <f>IF(Y$3="","",IF(COUNTIFS(BD!$A$3:$A$5001,Y$3,BD!$B$3:$B$5001,$A$41,BD!$S$3:$S$5001,"&lt;&gt;")=0,"",SUMIFS(BD!$S$3:$S$5001,BD!$A$3:$A$5001,Y$3,BD!$B$3:$B$5001,$A$41)))</f>
        <v/>
      </c>
      <c r="Z56" s="225" t="str">
        <f>IF(Z$3="","",IF(COUNTIFS(BD!$A$3:$A$5001,Z$3,BD!$B$3:$B$5001,$A$41,BD!$S$3:$S$5001,"&lt;&gt;")=0,"",SUMIFS(BD!$S$3:$S$5001,BD!$A$3:$A$5001,Z$3,BD!$B$3:$B$5001,$A$41)))</f>
        <v/>
      </c>
      <c r="AA56" s="225" t="str">
        <f>IF(AA$3="","",IF(COUNTIFS(BD!$A$3:$A$5001,AA$3,BD!$B$3:$B$5001,$A$41,BD!$S$3:$S$5001,"&lt;&gt;")=0,"",SUMIFS(BD!$S$3:$S$5001,BD!$A$3:$A$5001,AA$3,BD!$B$3:$B$5001,$A$41)))</f>
        <v/>
      </c>
      <c r="AB56" s="225" t="str">
        <f>IF(AB$3="","",IF(COUNTIFS(BD!$A$3:$A$5001,AB$3,BD!$B$3:$B$5001,$A$41,BD!$S$3:$S$5001,"&lt;&gt;")=0,"",SUMIFS(BD!$S$3:$S$5001,BD!$A$3:$A$5001,AB$3,BD!$B$3:$B$5001,$A$41)))</f>
        <v/>
      </c>
      <c r="AC56" s="225" t="str">
        <f>IF(AC$3="","",IF(COUNTIFS(BD!$A$3:$A$5001,AC$3,BD!$B$3:$B$5001,$A$41,BD!$S$3:$S$5001,"&lt;&gt;")=0,"",SUMIFS(BD!$S$3:$S$5001,BD!$A$3:$A$5001,AC$3,BD!$B$3:$B$5001,$A$41)))</f>
        <v/>
      </c>
      <c r="AD56" s="225" t="str">
        <f>IF(AD$3="","",IF(COUNTIFS(BD!$A$3:$A$5001,AD$3,BD!$B$3:$B$5001,$A$41,BD!$S$3:$S$5001,"&lt;&gt;")=0,"",SUMIFS(BD!$S$3:$S$5001,BD!$A$3:$A$5001,AD$3,BD!$B$3:$B$5001,$A$41)))</f>
        <v/>
      </c>
      <c r="AE56" s="225" t="str">
        <f>IF(AE$3="","",IF(COUNTIFS(BD!$A$3:$A$5001,AE$3,BD!$B$3:$B$5001,$A$41,BD!$S$3:$S$5001,"&lt;&gt;")=0,"",SUMIFS(BD!$S$3:$S$5001,BD!$A$3:$A$5001,AE$3,BD!$B$3:$B$5001,$A$41)))</f>
        <v/>
      </c>
      <c r="AF56" s="225" t="str">
        <f>IF(AF$3="","",IF(COUNTIFS(BD!$A$3:$A$5001,AF$3,BD!$B$3:$B$5001,$A$41,BD!$S$3:$S$5001,"&lt;&gt;")=0,"",SUMIFS(BD!$S$3:$S$5001,BD!$A$3:$A$5001,AF$3,BD!$B$3:$B$5001,$A$41)))</f>
        <v/>
      </c>
      <c r="AG56" s="225" t="str">
        <f>IF(AG$3="","",IF(COUNTIFS(BD!$A$3:$A$5001,AG$3,BD!$B$3:$B$5001,$A$41,BD!$S$3:$S$5001,"&lt;&gt;")=0,"",SUMIFS(BD!$S$3:$S$5001,BD!$A$3:$A$5001,AG$3,BD!$B$3:$B$5001,$A$41)))</f>
        <v/>
      </c>
      <c r="AH56" s="225" t="str">
        <f>IF(AH$3="","",IF(COUNTIFS(BD!$A$3:$A$5001,AH$3,BD!$B$3:$B$5001,$A$41,BD!$S$3:$S$5001,"&lt;&gt;")=0,"",SUMIFS(BD!$S$3:$S$5001,BD!$A$3:$A$5001,AH$3,BD!$B$3:$B$5001,$A$41)))</f>
        <v/>
      </c>
      <c r="AI56" s="225" t="str">
        <f>IF(AI$3="","",IF(COUNTIFS(BD!$A$3:$A$5001,AI$3,BD!$B$3:$B$5001,$A$41,BD!$S$3:$S$5001,"&lt;&gt;")=0,"",SUMIFS(BD!$S$3:$S$5001,BD!$A$3:$A$5001,AI$3,BD!$B$3:$B$5001,$A$41)))</f>
        <v/>
      </c>
      <c r="AJ56" s="226" t="str">
        <f>IF(AJ$3="","",IF(COUNTIFS(BD!$A$3:$A$5001,AJ$3,BD!$B$3:$B$5001,$A$41,BD!$S$3:$S$5001,"&lt;&gt;")=0,"",SUMIFS(BD!$S$3:$S$5001,BD!$A$3:$A$5001,AJ$3,BD!$B$3:$B$5001,$A$41)))</f>
        <v/>
      </c>
      <c r="AK56" s="227" t="str">
        <f>IF(COUNT(F56:AJ56)=0,"",SUM(F56:AJ56))</f>
        <v/>
      </c>
    </row>
    <row r="57" ht="15.75" customHeight="1">
      <c r="A57" s="247"/>
      <c r="B57" s="244"/>
      <c r="C57" s="221" t="inlineStr">
        <is>
          <t xml:space="preserve">Acidentes CAF</t>
        </is>
      </c>
      <c r="D57" s="222" t="str">
        <f>IFERROR(1/(1/INDEX(BD!$Y$41:$AD$41,MATCH($A$41,BD!$Y$22:$AD$22,0))),"")</f>
        <v/>
      </c>
      <c r="E57" s="223"/>
      <c r="F57" s="224" t="str">
        <f>IF(F$3="","",IF(COUNTIFS(BD!$A$3:$A$5001,F$3,BD!$B$3:$B$5001,$A$41,BD!$T$3:$T$5001,"&lt;&gt;")=0,"",SUMIFS(BD!$T$3:$T$5001,BD!$A$3:$A$5001,F$3,BD!$B$3:$B$5001,$A$41)))</f>
        <v/>
      </c>
      <c r="G57" s="225" t="str">
        <f>IF(G$3="","",IF(COUNTIFS(BD!$A$3:$A$5001,G$3,BD!$B$3:$B$5001,$A$41,BD!$T$3:$T$5001,"&lt;&gt;")=0,"",SUMIFS(BD!$T$3:$T$5001,BD!$A$3:$A$5001,G$3,BD!$B$3:$B$5001,$A$41)))</f>
        <v/>
      </c>
      <c r="H57" s="225" t="str">
        <f>IF(H$3="","",IF(COUNTIFS(BD!$A$3:$A$5001,H$3,BD!$B$3:$B$5001,$A$41,BD!$T$3:$T$5001,"&lt;&gt;")=0,"",SUMIFS(BD!$T$3:$T$5001,BD!$A$3:$A$5001,H$3,BD!$B$3:$B$5001,$A$41)))</f>
        <v/>
      </c>
      <c r="I57" s="225" t="str">
        <f>IF(I$3="","",IF(COUNTIFS(BD!$A$3:$A$5001,I$3,BD!$B$3:$B$5001,$A$41,BD!$T$3:$T$5001,"&lt;&gt;")=0,"",SUMIFS(BD!$T$3:$T$5001,BD!$A$3:$A$5001,I$3,BD!$B$3:$B$5001,$A$41)))</f>
        <v/>
      </c>
      <c r="J57" s="225" t="str">
        <f>IF(J$3="","",IF(COUNTIFS(BD!$A$3:$A$5001,J$3,BD!$B$3:$B$5001,$A$41,BD!$T$3:$T$5001,"&lt;&gt;")=0,"",SUMIFS(BD!$T$3:$T$5001,BD!$A$3:$A$5001,J$3,BD!$B$3:$B$5001,$A$41)))</f>
        <v/>
      </c>
      <c r="K57" s="225" t="str">
        <f>IF(K$3="","",IF(COUNTIFS(BD!$A$3:$A$5001,K$3,BD!$B$3:$B$5001,$A$41,BD!$T$3:$T$5001,"&lt;&gt;")=0,"",SUMIFS(BD!$T$3:$T$5001,BD!$A$3:$A$5001,K$3,BD!$B$3:$B$5001,$A$41)))</f>
        <v/>
      </c>
      <c r="L57" s="225" t="str">
        <f>IF(L$3="","",IF(COUNTIFS(BD!$A$3:$A$5001,L$3,BD!$B$3:$B$5001,$A$41,BD!$T$3:$T$5001,"&lt;&gt;")=0,"",SUMIFS(BD!$T$3:$T$5001,BD!$A$3:$A$5001,L$3,BD!$B$3:$B$5001,$A$41)))</f>
        <v/>
      </c>
      <c r="M57" s="225" t="str">
        <f>IF(M$3="","",IF(COUNTIFS(BD!$A$3:$A$5001,M$3,BD!$B$3:$B$5001,$A$41,BD!$T$3:$T$5001,"&lt;&gt;")=0,"",SUMIFS(BD!$T$3:$T$5001,BD!$A$3:$A$5001,M$3,BD!$B$3:$B$5001,$A$41)))</f>
        <v/>
      </c>
      <c r="N57" s="225" t="str">
        <f>IF(N$3="","",IF(COUNTIFS(BD!$A$3:$A$5001,N$3,BD!$B$3:$B$5001,$A$41,BD!$T$3:$T$5001,"&lt;&gt;")=0,"",SUMIFS(BD!$T$3:$T$5001,BD!$A$3:$A$5001,N$3,BD!$B$3:$B$5001,$A$41)))</f>
        <v/>
      </c>
      <c r="O57" s="225" t="str">
        <f>IF(O$3="","",IF(COUNTIFS(BD!$A$3:$A$5001,O$3,BD!$B$3:$B$5001,$A$41,BD!$T$3:$T$5001,"&lt;&gt;")=0,"",SUMIFS(BD!$T$3:$T$5001,BD!$A$3:$A$5001,O$3,BD!$B$3:$B$5001,$A$41)))</f>
        <v/>
      </c>
      <c r="P57" s="225" t="str">
        <f>IF(P$3="","",IF(COUNTIFS(BD!$A$3:$A$5001,P$3,BD!$B$3:$B$5001,$A$41,BD!$T$3:$T$5001,"&lt;&gt;")=0,"",SUMIFS(BD!$T$3:$T$5001,BD!$A$3:$A$5001,P$3,BD!$B$3:$B$5001,$A$41)))</f>
        <v/>
      </c>
      <c r="Q57" s="225" t="str">
        <f>IF(Q$3="","",IF(COUNTIFS(BD!$A$3:$A$5001,Q$3,BD!$B$3:$B$5001,$A$41,BD!$T$3:$T$5001,"&lt;&gt;")=0,"",SUMIFS(BD!$T$3:$T$5001,BD!$A$3:$A$5001,Q$3,BD!$B$3:$B$5001,$A$41)))</f>
        <v/>
      </c>
      <c r="R57" s="225" t="str">
        <f>IF(R$3="","",IF(COUNTIFS(BD!$A$3:$A$5001,R$3,BD!$B$3:$B$5001,$A$41,BD!$T$3:$T$5001,"&lt;&gt;")=0,"",SUMIFS(BD!$T$3:$T$5001,BD!$A$3:$A$5001,R$3,BD!$B$3:$B$5001,$A$41)))</f>
        <v/>
      </c>
      <c r="S57" s="225" t="str">
        <f>IF(S$3="","",IF(COUNTIFS(BD!$A$3:$A$5001,S$3,BD!$B$3:$B$5001,$A$41,BD!$T$3:$T$5001,"&lt;&gt;")=0,"",SUMIFS(BD!$T$3:$T$5001,BD!$A$3:$A$5001,S$3,BD!$B$3:$B$5001,$A$41)))</f>
        <v/>
      </c>
      <c r="T57" s="225" t="str">
        <f>IF(T$3="","",IF(COUNTIFS(BD!$A$3:$A$5001,T$3,BD!$B$3:$B$5001,$A$41,BD!$T$3:$T$5001,"&lt;&gt;")=0,"",SUMIFS(BD!$T$3:$T$5001,BD!$A$3:$A$5001,T$3,BD!$B$3:$B$5001,$A$41)))</f>
        <v/>
      </c>
      <c r="U57" s="225" t="str">
        <f>IF(U$3="","",IF(COUNTIFS(BD!$A$3:$A$5001,U$3,BD!$B$3:$B$5001,$A$41,BD!$T$3:$T$5001,"&lt;&gt;")=0,"",SUMIFS(BD!$T$3:$T$5001,BD!$A$3:$A$5001,U$3,BD!$B$3:$B$5001,$A$41)))</f>
        <v/>
      </c>
      <c r="V57" s="225" t="str">
        <f>IF(V$3="","",IF(COUNTIFS(BD!$A$3:$A$5001,V$3,BD!$B$3:$B$5001,$A$41,BD!$T$3:$T$5001,"&lt;&gt;")=0,"",SUMIFS(BD!$T$3:$T$5001,BD!$A$3:$A$5001,V$3,BD!$B$3:$B$5001,$A$41)))</f>
        <v/>
      </c>
      <c r="W57" s="225" t="str">
        <f>IF(W$3="","",IF(COUNTIFS(BD!$A$3:$A$5001,W$3,BD!$B$3:$B$5001,$A$41,BD!$T$3:$T$5001,"&lt;&gt;")=0,"",SUMIFS(BD!$T$3:$T$5001,BD!$A$3:$A$5001,W$3,BD!$B$3:$B$5001,$A$41)))</f>
        <v/>
      </c>
      <c r="X57" s="225" t="str">
        <f>IF(X$3="","",IF(COUNTIFS(BD!$A$3:$A$5001,X$3,BD!$B$3:$B$5001,$A$41,BD!$T$3:$T$5001,"&lt;&gt;")=0,"",SUMIFS(BD!$T$3:$T$5001,BD!$A$3:$A$5001,X$3,BD!$B$3:$B$5001,$A$41)))</f>
        <v/>
      </c>
      <c r="Y57" s="225" t="str">
        <f>IF(Y$3="","",IF(COUNTIFS(BD!$A$3:$A$5001,Y$3,BD!$B$3:$B$5001,$A$41,BD!$T$3:$T$5001,"&lt;&gt;")=0,"",SUMIFS(BD!$T$3:$T$5001,BD!$A$3:$A$5001,Y$3,BD!$B$3:$B$5001,$A$41)))</f>
        <v/>
      </c>
      <c r="Z57" s="225" t="str">
        <f>IF(Z$3="","",IF(COUNTIFS(BD!$A$3:$A$5001,Z$3,BD!$B$3:$B$5001,$A$41,BD!$T$3:$T$5001,"&lt;&gt;")=0,"",SUMIFS(BD!$T$3:$T$5001,BD!$A$3:$A$5001,Z$3,BD!$B$3:$B$5001,$A$41)))</f>
        <v/>
      </c>
      <c r="AA57" s="225" t="str">
        <f>IF(AA$3="","",IF(COUNTIFS(BD!$A$3:$A$5001,AA$3,BD!$B$3:$B$5001,$A$41,BD!$T$3:$T$5001,"&lt;&gt;")=0,"",SUMIFS(BD!$T$3:$T$5001,BD!$A$3:$A$5001,AA$3,BD!$B$3:$B$5001,$A$41)))</f>
        <v/>
      </c>
      <c r="AB57" s="225" t="str">
        <f>IF(AB$3="","",IF(COUNTIFS(BD!$A$3:$A$5001,AB$3,BD!$B$3:$B$5001,$A$41,BD!$T$3:$T$5001,"&lt;&gt;")=0,"",SUMIFS(BD!$T$3:$T$5001,BD!$A$3:$A$5001,AB$3,BD!$B$3:$B$5001,$A$41)))</f>
        <v/>
      </c>
      <c r="AC57" s="225" t="str">
        <f>IF(AC$3="","",IF(COUNTIFS(BD!$A$3:$A$5001,AC$3,BD!$B$3:$B$5001,$A$41,BD!$T$3:$T$5001,"&lt;&gt;")=0,"",SUMIFS(BD!$T$3:$T$5001,BD!$A$3:$A$5001,AC$3,BD!$B$3:$B$5001,$A$41)))</f>
        <v/>
      </c>
      <c r="AD57" s="225" t="str">
        <f>IF(AD$3="","",IF(COUNTIFS(BD!$A$3:$A$5001,AD$3,BD!$B$3:$B$5001,$A$41,BD!$T$3:$T$5001,"&lt;&gt;")=0,"",SUMIFS(BD!$T$3:$T$5001,BD!$A$3:$A$5001,AD$3,BD!$B$3:$B$5001,$A$41)))</f>
        <v/>
      </c>
      <c r="AE57" s="225" t="str">
        <f>IF(AE$3="","",IF(COUNTIFS(BD!$A$3:$A$5001,AE$3,BD!$B$3:$B$5001,$A$41,BD!$T$3:$T$5001,"&lt;&gt;")=0,"",SUMIFS(BD!$T$3:$T$5001,BD!$A$3:$A$5001,AE$3,BD!$B$3:$B$5001,$A$41)))</f>
        <v/>
      </c>
      <c r="AF57" s="225" t="str">
        <f>IF(AF$3="","",IF(COUNTIFS(BD!$A$3:$A$5001,AF$3,BD!$B$3:$B$5001,$A$41,BD!$T$3:$T$5001,"&lt;&gt;")=0,"",SUMIFS(BD!$T$3:$T$5001,BD!$A$3:$A$5001,AF$3,BD!$B$3:$B$5001,$A$41)))</f>
        <v/>
      </c>
      <c r="AG57" s="225" t="str">
        <f>IF(AG$3="","",IF(COUNTIFS(BD!$A$3:$A$5001,AG$3,BD!$B$3:$B$5001,$A$41,BD!$T$3:$T$5001,"&lt;&gt;")=0,"",SUMIFS(BD!$T$3:$T$5001,BD!$A$3:$A$5001,AG$3,BD!$B$3:$B$5001,$A$41)))</f>
        <v/>
      </c>
      <c r="AH57" s="225" t="str">
        <f>IF(AH$3="","",IF(COUNTIFS(BD!$A$3:$A$5001,AH$3,BD!$B$3:$B$5001,$A$41,BD!$T$3:$T$5001,"&lt;&gt;")=0,"",SUMIFS(BD!$T$3:$T$5001,BD!$A$3:$A$5001,AH$3,BD!$B$3:$B$5001,$A$41)))</f>
        <v/>
      </c>
      <c r="AI57" s="225" t="str">
        <f>IF(AI$3="","",IF(COUNTIFS(BD!$A$3:$A$5001,AI$3,BD!$B$3:$B$5001,$A$41,BD!$T$3:$T$5001,"&lt;&gt;")=0,"",SUMIFS(BD!$T$3:$T$5001,BD!$A$3:$A$5001,AI$3,BD!$B$3:$B$5001,$A$41)))</f>
        <v/>
      </c>
      <c r="AJ57" s="226" t="str">
        <f>IF(AJ$3="","",IF(COUNTIFS(BD!$A$3:$A$5001,AJ$3,BD!$B$3:$B$5001,$A$41,BD!$T$3:$T$5001,"&lt;&gt;")=0,"",SUMIFS(BD!$T$3:$T$5001,BD!$A$3:$A$5001,AJ$3,BD!$B$3:$B$5001,$A$41)))</f>
        <v/>
      </c>
      <c r="AK57" s="227" t="str">
        <f>IF(COUNT(F57:AJ57)=0,"",SUM(F57:AJ57))</f>
        <v/>
      </c>
    </row>
    <row r="58" ht="15.75" customHeight="1">
      <c r="A58" s="248"/>
      <c r="B58" s="245"/>
      <c r="C58" s="228" t="inlineStr">
        <is>
          <t xml:space="preserve">Acidentes SAF</t>
        </is>
      </c>
      <c r="D58" s="229" t="str">
        <f>IFERROR(1/(1/INDEX(BD!$Y$42:$AD$42,MATCH($A$41,BD!$Y$22:$AD$22,0))),"")</f>
        <v/>
      </c>
      <c r="E58" s="230"/>
      <c r="F58" s="231" t="str">
        <f>IF(F$3="","",IF(COUNTIFS(BD!$A$3:$A$5001,F$3,BD!$B$3:$B$5001,$A$41,BD!$U$3:$U$5001,"&lt;&gt;")=0,"",SUMIFS(BD!$U$3:$U$5001,BD!$A$3:$A$5001,F$3,BD!$B$3:$B$5001,$A$41)))</f>
        <v/>
      </c>
      <c r="G58" s="232" t="str">
        <f>IF(G$3="","",IF(COUNTIFS(BD!$A$3:$A$5001,G$3,BD!$B$3:$B$5001,$A$41,BD!$U$3:$U$5001,"&lt;&gt;")=0,"",SUMIFS(BD!$U$3:$U$5001,BD!$A$3:$A$5001,G$3,BD!$B$3:$B$5001,$A$41)))</f>
        <v/>
      </c>
      <c r="H58" s="232" t="str">
        <f>IF(H$3="","",IF(COUNTIFS(BD!$A$3:$A$5001,H$3,BD!$B$3:$B$5001,$A$41,BD!$U$3:$U$5001,"&lt;&gt;")=0,"",SUMIFS(BD!$U$3:$U$5001,BD!$A$3:$A$5001,H$3,BD!$B$3:$B$5001,$A$41)))</f>
        <v/>
      </c>
      <c r="I58" s="232" t="str">
        <f>IF(I$3="","",IF(COUNTIFS(BD!$A$3:$A$5001,I$3,BD!$B$3:$B$5001,$A$41,BD!$U$3:$U$5001,"&lt;&gt;")=0,"",SUMIFS(BD!$U$3:$U$5001,BD!$A$3:$A$5001,I$3,BD!$B$3:$B$5001,$A$41)))</f>
        <v/>
      </c>
      <c r="J58" s="232" t="str">
        <f>IF(J$3="","",IF(COUNTIFS(BD!$A$3:$A$5001,J$3,BD!$B$3:$B$5001,$A$41,BD!$U$3:$U$5001,"&lt;&gt;")=0,"",SUMIFS(BD!$U$3:$U$5001,BD!$A$3:$A$5001,J$3,BD!$B$3:$B$5001,$A$41)))</f>
        <v/>
      </c>
      <c r="K58" s="232" t="str">
        <f>IF(K$3="","",IF(COUNTIFS(BD!$A$3:$A$5001,K$3,BD!$B$3:$B$5001,$A$41,BD!$U$3:$U$5001,"&lt;&gt;")=0,"",SUMIFS(BD!$U$3:$U$5001,BD!$A$3:$A$5001,K$3,BD!$B$3:$B$5001,$A$41)))</f>
        <v/>
      </c>
      <c r="L58" s="232" t="str">
        <f>IF(L$3="","",IF(COUNTIFS(BD!$A$3:$A$5001,L$3,BD!$B$3:$B$5001,$A$41,BD!$U$3:$U$5001,"&lt;&gt;")=0,"",SUMIFS(BD!$U$3:$U$5001,BD!$A$3:$A$5001,L$3,BD!$B$3:$B$5001,$A$41)))</f>
        <v/>
      </c>
      <c r="M58" s="232" t="str">
        <f>IF(M$3="","",IF(COUNTIFS(BD!$A$3:$A$5001,M$3,BD!$B$3:$B$5001,$A$41,BD!$U$3:$U$5001,"&lt;&gt;")=0,"",SUMIFS(BD!$U$3:$U$5001,BD!$A$3:$A$5001,M$3,BD!$B$3:$B$5001,$A$41)))</f>
        <v/>
      </c>
      <c r="N58" s="232" t="str">
        <f>IF(N$3="","",IF(COUNTIFS(BD!$A$3:$A$5001,N$3,BD!$B$3:$B$5001,$A$41,BD!$U$3:$U$5001,"&lt;&gt;")=0,"",SUMIFS(BD!$U$3:$U$5001,BD!$A$3:$A$5001,N$3,BD!$B$3:$B$5001,$A$41)))</f>
        <v/>
      </c>
      <c r="O58" s="232" t="str">
        <f>IF(O$3="","",IF(COUNTIFS(BD!$A$3:$A$5001,O$3,BD!$B$3:$B$5001,$A$41,BD!$U$3:$U$5001,"&lt;&gt;")=0,"",SUMIFS(BD!$U$3:$U$5001,BD!$A$3:$A$5001,O$3,BD!$B$3:$B$5001,$A$41)))</f>
        <v/>
      </c>
      <c r="P58" s="232" t="str">
        <f>IF(P$3="","",IF(COUNTIFS(BD!$A$3:$A$5001,P$3,BD!$B$3:$B$5001,$A$41,BD!$U$3:$U$5001,"&lt;&gt;")=0,"",SUMIFS(BD!$U$3:$U$5001,BD!$A$3:$A$5001,P$3,BD!$B$3:$B$5001,$A$41)))</f>
        <v/>
      </c>
      <c r="Q58" s="232" t="str">
        <f>IF(Q$3="","",IF(COUNTIFS(BD!$A$3:$A$5001,Q$3,BD!$B$3:$B$5001,$A$41,BD!$U$3:$U$5001,"&lt;&gt;")=0,"",SUMIFS(BD!$U$3:$U$5001,BD!$A$3:$A$5001,Q$3,BD!$B$3:$B$5001,$A$41)))</f>
        <v/>
      </c>
      <c r="R58" s="232" t="str">
        <f>IF(R$3="","",IF(COUNTIFS(BD!$A$3:$A$5001,R$3,BD!$B$3:$B$5001,$A$41,BD!$U$3:$U$5001,"&lt;&gt;")=0,"",SUMIFS(BD!$U$3:$U$5001,BD!$A$3:$A$5001,R$3,BD!$B$3:$B$5001,$A$41)))</f>
        <v/>
      </c>
      <c r="S58" s="232" t="str">
        <f>IF(S$3="","",IF(COUNTIFS(BD!$A$3:$A$5001,S$3,BD!$B$3:$B$5001,$A$41,BD!$U$3:$U$5001,"&lt;&gt;")=0,"",SUMIFS(BD!$U$3:$U$5001,BD!$A$3:$A$5001,S$3,BD!$B$3:$B$5001,$A$41)))</f>
        <v/>
      </c>
      <c r="T58" s="232" t="str">
        <f>IF(T$3="","",IF(COUNTIFS(BD!$A$3:$A$5001,T$3,BD!$B$3:$B$5001,$A$41,BD!$U$3:$U$5001,"&lt;&gt;")=0,"",SUMIFS(BD!$U$3:$U$5001,BD!$A$3:$A$5001,T$3,BD!$B$3:$B$5001,$A$41)))</f>
        <v/>
      </c>
      <c r="U58" s="232" t="str">
        <f>IF(U$3="","",IF(COUNTIFS(BD!$A$3:$A$5001,U$3,BD!$B$3:$B$5001,$A$41,BD!$U$3:$U$5001,"&lt;&gt;")=0,"",SUMIFS(BD!$U$3:$U$5001,BD!$A$3:$A$5001,U$3,BD!$B$3:$B$5001,$A$41)))</f>
        <v/>
      </c>
      <c r="V58" s="232" t="str">
        <f>IF(V$3="","",IF(COUNTIFS(BD!$A$3:$A$5001,V$3,BD!$B$3:$B$5001,$A$41,BD!$U$3:$U$5001,"&lt;&gt;")=0,"",SUMIFS(BD!$U$3:$U$5001,BD!$A$3:$A$5001,V$3,BD!$B$3:$B$5001,$A$41)))</f>
        <v/>
      </c>
      <c r="W58" s="232" t="str">
        <f>IF(W$3="","",IF(COUNTIFS(BD!$A$3:$A$5001,W$3,BD!$B$3:$B$5001,$A$41,BD!$U$3:$U$5001,"&lt;&gt;")=0,"",SUMIFS(BD!$U$3:$U$5001,BD!$A$3:$A$5001,W$3,BD!$B$3:$B$5001,$A$41)))</f>
        <v/>
      </c>
      <c r="X58" s="232" t="str">
        <f>IF(X$3="","",IF(COUNTIFS(BD!$A$3:$A$5001,X$3,BD!$B$3:$B$5001,$A$41,BD!$U$3:$U$5001,"&lt;&gt;")=0,"",SUMIFS(BD!$U$3:$U$5001,BD!$A$3:$A$5001,X$3,BD!$B$3:$B$5001,$A$41)))</f>
        <v/>
      </c>
      <c r="Y58" s="232" t="str">
        <f>IF(Y$3="","",IF(COUNTIFS(BD!$A$3:$A$5001,Y$3,BD!$B$3:$B$5001,$A$41,BD!$U$3:$U$5001,"&lt;&gt;")=0,"",SUMIFS(BD!$U$3:$U$5001,BD!$A$3:$A$5001,Y$3,BD!$B$3:$B$5001,$A$41)))</f>
        <v/>
      </c>
      <c r="Z58" s="232" t="str">
        <f>IF(Z$3="","",IF(COUNTIFS(BD!$A$3:$A$5001,Z$3,BD!$B$3:$B$5001,$A$41,BD!$U$3:$U$5001,"&lt;&gt;")=0,"",SUMIFS(BD!$U$3:$U$5001,BD!$A$3:$A$5001,Z$3,BD!$B$3:$B$5001,$A$41)))</f>
        <v/>
      </c>
      <c r="AA58" s="232" t="str">
        <f>IF(AA$3="","",IF(COUNTIFS(BD!$A$3:$A$5001,AA$3,BD!$B$3:$B$5001,$A$41,BD!$U$3:$U$5001,"&lt;&gt;")=0,"",SUMIFS(BD!$U$3:$U$5001,BD!$A$3:$A$5001,AA$3,BD!$B$3:$B$5001,$A$41)))</f>
        <v/>
      </c>
      <c r="AB58" s="232" t="str">
        <f>IF(AB$3="","",IF(COUNTIFS(BD!$A$3:$A$5001,AB$3,BD!$B$3:$B$5001,$A$41,BD!$U$3:$U$5001,"&lt;&gt;")=0,"",SUMIFS(BD!$U$3:$U$5001,BD!$A$3:$A$5001,AB$3,BD!$B$3:$B$5001,$A$41)))</f>
        <v/>
      </c>
      <c r="AC58" s="232" t="str">
        <f>IF(AC$3="","",IF(COUNTIFS(BD!$A$3:$A$5001,AC$3,BD!$B$3:$B$5001,$A$41,BD!$U$3:$U$5001,"&lt;&gt;")=0,"",SUMIFS(BD!$U$3:$U$5001,BD!$A$3:$A$5001,AC$3,BD!$B$3:$B$5001,$A$41)))</f>
        <v/>
      </c>
      <c r="AD58" s="232" t="str">
        <f>IF(AD$3="","",IF(COUNTIFS(BD!$A$3:$A$5001,AD$3,BD!$B$3:$B$5001,$A$41,BD!$U$3:$U$5001,"&lt;&gt;")=0,"",SUMIFS(BD!$U$3:$U$5001,BD!$A$3:$A$5001,AD$3,BD!$B$3:$B$5001,$A$41)))</f>
        <v/>
      </c>
      <c r="AE58" s="232" t="str">
        <f>IF(AE$3="","",IF(COUNTIFS(BD!$A$3:$A$5001,AE$3,BD!$B$3:$B$5001,$A$41,BD!$U$3:$U$5001,"&lt;&gt;")=0,"",SUMIFS(BD!$U$3:$U$5001,BD!$A$3:$A$5001,AE$3,BD!$B$3:$B$5001,$A$41)))</f>
        <v/>
      </c>
      <c r="AF58" s="232" t="str">
        <f>IF(AF$3="","",IF(COUNTIFS(BD!$A$3:$A$5001,AF$3,BD!$B$3:$B$5001,$A$41,BD!$U$3:$U$5001,"&lt;&gt;")=0,"",SUMIFS(BD!$U$3:$U$5001,BD!$A$3:$A$5001,AF$3,BD!$B$3:$B$5001,$A$41)))</f>
        <v/>
      </c>
      <c r="AG58" s="232" t="str">
        <f>IF(AG$3="","",IF(COUNTIFS(BD!$A$3:$A$5001,AG$3,BD!$B$3:$B$5001,$A$41,BD!$U$3:$U$5001,"&lt;&gt;")=0,"",SUMIFS(BD!$U$3:$U$5001,BD!$A$3:$A$5001,AG$3,BD!$B$3:$B$5001,$A$41)))</f>
        <v/>
      </c>
      <c r="AH58" s="232" t="str">
        <f>IF(AH$3="","",IF(COUNTIFS(BD!$A$3:$A$5001,AH$3,BD!$B$3:$B$5001,$A$41,BD!$U$3:$U$5001,"&lt;&gt;")=0,"",SUMIFS(BD!$U$3:$U$5001,BD!$A$3:$A$5001,AH$3,BD!$B$3:$B$5001,$A$41)))</f>
        <v/>
      </c>
      <c r="AI58" s="232" t="str">
        <f>IF(AI$3="","",IF(COUNTIFS(BD!$A$3:$A$5001,AI$3,BD!$B$3:$B$5001,$A$41,BD!$U$3:$U$5001,"&lt;&gt;")=0,"",SUMIFS(BD!$U$3:$U$5001,BD!$A$3:$A$5001,AI$3,BD!$B$3:$B$5001,$A$41)))</f>
        <v/>
      </c>
      <c r="AJ58" s="233" t="str">
        <f>IF(AJ$3="","",IF(COUNTIFS(BD!$A$3:$A$5001,AJ$3,BD!$B$3:$B$5001,$A$41,BD!$U$3:$U$5001,"&lt;&gt;")=0,"",SUMIFS(BD!$U$3:$U$5001,BD!$A$3:$A$5001,AJ$3,BD!$B$3:$B$5001,$A$41)))</f>
        <v/>
      </c>
      <c r="AK58" s="229" t="str">
        <f>IF(COUNT(F58:AJ58)=0,"",SUM(F58:AJ58))</f>
        <v/>
      </c>
    </row>
    <row r="60" ht="15.75" customHeight="1">
      <c r="A60" s="246" t="inlineStr">
        <is>
          <t xml:space="preserve">Nestlé</t>
        </is>
      </c>
      <c r="B60" s="234" t="inlineStr">
        <is>
          <t xml:space="preserve">IN</t>
        </is>
      </c>
      <c r="C60" s="148" t="inlineStr">
        <is>
          <t xml:space="preserve">Veículos Recebidos</t>
        </is>
      </c>
      <c r="D60" s="149" t="str">
        <f>IFERROR(1/(1/INDEX(BD!$Y$23:$AD$23,MATCH($A$60,BD!$Y$22:$AD$22,0))),"")</f>
        <v/>
      </c>
      <c r="E60" s="150"/>
      <c r="F60" s="151" t="str">
        <f>IF(F$3="","",IF(COUNTIFS(BD!$A$3:$A$5001,F$3,BD!$B$3:$B$5001,$A$60,BD!$C$3:$C$5001,"&lt;&gt;")=0,"",SUMIFS(BD!$C$3:$C$5001,BD!$A$3:$A$5001,F$3,BD!$B$3:$B$5001,$A$60)))</f>
        <v/>
      </c>
      <c r="G60" s="152" t="str">
        <f>IF(G$3="","",IF(COUNTIFS(BD!$A$3:$A$5001,G$3,BD!$B$3:$B$5001,$A$60,BD!$C$3:$C$5001,"&lt;&gt;")=0,"",SUMIFS(BD!$C$3:$C$5001,BD!$A$3:$A$5001,G$3,BD!$B$3:$B$5001,$A$60)))</f>
        <v/>
      </c>
      <c r="H60" s="152" t="str">
        <f>IF(H$3="","",IF(COUNTIFS(BD!$A$3:$A$5001,H$3,BD!$B$3:$B$5001,$A$60,BD!$C$3:$C$5001,"&lt;&gt;")=0,"",SUMIFS(BD!$C$3:$C$5001,BD!$A$3:$A$5001,H$3,BD!$B$3:$B$5001,$A$60)))</f>
        <v/>
      </c>
      <c r="I60" s="152" t="str">
        <f>IF(I$3="","",IF(COUNTIFS(BD!$A$3:$A$5001,I$3,BD!$B$3:$B$5001,$A$60,BD!$C$3:$C$5001,"&lt;&gt;")=0,"",SUMIFS(BD!$C$3:$C$5001,BD!$A$3:$A$5001,I$3,BD!$B$3:$B$5001,$A$60)))</f>
        <v/>
      </c>
      <c r="J60" s="152" t="str">
        <f>IF(J$3="","",IF(COUNTIFS(BD!$A$3:$A$5001,J$3,BD!$B$3:$B$5001,$A$60,BD!$C$3:$C$5001,"&lt;&gt;")=0,"",SUMIFS(BD!$C$3:$C$5001,BD!$A$3:$A$5001,J$3,BD!$B$3:$B$5001,$A$60)))</f>
        <v/>
      </c>
      <c r="K60" s="152" t="str">
        <f>IF(K$3="","",IF(COUNTIFS(BD!$A$3:$A$5001,K$3,BD!$B$3:$B$5001,$A$60,BD!$C$3:$C$5001,"&lt;&gt;")=0,"",SUMIFS(BD!$C$3:$C$5001,BD!$A$3:$A$5001,K$3,BD!$B$3:$B$5001,$A$60)))</f>
        <v/>
      </c>
      <c r="L60" s="152" t="str">
        <f>IF(L$3="","",IF(COUNTIFS(BD!$A$3:$A$5001,L$3,BD!$B$3:$B$5001,$A$60,BD!$C$3:$C$5001,"&lt;&gt;")=0,"",SUMIFS(BD!$C$3:$C$5001,BD!$A$3:$A$5001,L$3,BD!$B$3:$B$5001,$A$60)))</f>
        <v/>
      </c>
      <c r="M60" s="152" t="str">
        <f>IF(M$3="","",IF(COUNTIFS(BD!$A$3:$A$5001,M$3,BD!$B$3:$B$5001,$A$60,BD!$C$3:$C$5001,"&lt;&gt;")=0,"",SUMIFS(BD!$C$3:$C$5001,BD!$A$3:$A$5001,M$3,BD!$B$3:$B$5001,$A$60)))</f>
        <v/>
      </c>
      <c r="N60" s="152" t="str">
        <f>IF(N$3="","",IF(COUNTIFS(BD!$A$3:$A$5001,N$3,BD!$B$3:$B$5001,$A$60,BD!$C$3:$C$5001,"&lt;&gt;")=0,"",SUMIFS(BD!$C$3:$C$5001,BD!$A$3:$A$5001,N$3,BD!$B$3:$B$5001,$A$60)))</f>
        <v/>
      </c>
      <c r="O60" s="152" t="str">
        <f>IF(O$3="","",IF(COUNTIFS(BD!$A$3:$A$5001,O$3,BD!$B$3:$B$5001,$A$60,BD!$C$3:$C$5001,"&lt;&gt;")=0,"",SUMIFS(BD!$C$3:$C$5001,BD!$A$3:$A$5001,O$3,BD!$B$3:$B$5001,$A$60)))</f>
        <v/>
      </c>
      <c r="P60" s="152" t="str">
        <f>IF(P$3="","",IF(COUNTIFS(BD!$A$3:$A$5001,P$3,BD!$B$3:$B$5001,$A$60,BD!$C$3:$C$5001,"&lt;&gt;")=0,"",SUMIFS(BD!$C$3:$C$5001,BD!$A$3:$A$5001,P$3,BD!$B$3:$B$5001,$A$60)))</f>
        <v/>
      </c>
      <c r="Q60" s="152" t="str">
        <f>IF(Q$3="","",IF(COUNTIFS(BD!$A$3:$A$5001,Q$3,BD!$B$3:$B$5001,$A$60,BD!$C$3:$C$5001,"&lt;&gt;")=0,"",SUMIFS(BD!$C$3:$C$5001,BD!$A$3:$A$5001,Q$3,BD!$B$3:$B$5001,$A$60)))</f>
        <v/>
      </c>
      <c r="R60" s="152" t="str">
        <f>IF(R$3="","",IF(COUNTIFS(BD!$A$3:$A$5001,R$3,BD!$B$3:$B$5001,$A$60,BD!$C$3:$C$5001,"&lt;&gt;")=0,"",SUMIFS(BD!$C$3:$C$5001,BD!$A$3:$A$5001,R$3,BD!$B$3:$B$5001,$A$60)))</f>
        <v/>
      </c>
      <c r="S60" s="152" t="str">
        <f>IF(S$3="","",IF(COUNTIFS(BD!$A$3:$A$5001,S$3,BD!$B$3:$B$5001,$A$60,BD!$C$3:$C$5001,"&lt;&gt;")=0,"",SUMIFS(BD!$C$3:$C$5001,BD!$A$3:$A$5001,S$3,BD!$B$3:$B$5001,$A$60)))</f>
        <v/>
      </c>
      <c r="T60" s="152" t="str">
        <f>IF(T$3="","",IF(COUNTIFS(BD!$A$3:$A$5001,T$3,BD!$B$3:$B$5001,$A$60,BD!$C$3:$C$5001,"&lt;&gt;")=0,"",SUMIFS(BD!$C$3:$C$5001,BD!$A$3:$A$5001,T$3,BD!$B$3:$B$5001,$A$60)))</f>
        <v/>
      </c>
      <c r="U60" s="152" t="str">
        <f>IF(U$3="","",IF(COUNTIFS(BD!$A$3:$A$5001,U$3,BD!$B$3:$B$5001,$A$60,BD!$C$3:$C$5001,"&lt;&gt;")=0,"",SUMIFS(BD!$C$3:$C$5001,BD!$A$3:$A$5001,U$3,BD!$B$3:$B$5001,$A$60)))</f>
        <v/>
      </c>
      <c r="V60" s="152" t="str">
        <f>IF(V$3="","",IF(COUNTIFS(BD!$A$3:$A$5001,V$3,BD!$B$3:$B$5001,$A$60,BD!$C$3:$C$5001,"&lt;&gt;")=0,"",SUMIFS(BD!$C$3:$C$5001,BD!$A$3:$A$5001,V$3,BD!$B$3:$B$5001,$A$60)))</f>
        <v/>
      </c>
      <c r="W60" s="152" t="str">
        <f>IF(W$3="","",IF(COUNTIFS(BD!$A$3:$A$5001,W$3,BD!$B$3:$B$5001,$A$60,BD!$C$3:$C$5001,"&lt;&gt;")=0,"",SUMIFS(BD!$C$3:$C$5001,BD!$A$3:$A$5001,W$3,BD!$B$3:$B$5001,$A$60)))</f>
        <v/>
      </c>
      <c r="X60" s="152" t="str">
        <f>IF(X$3="","",IF(COUNTIFS(BD!$A$3:$A$5001,X$3,BD!$B$3:$B$5001,$A$60,BD!$C$3:$C$5001,"&lt;&gt;")=0,"",SUMIFS(BD!$C$3:$C$5001,BD!$A$3:$A$5001,X$3,BD!$B$3:$B$5001,$A$60)))</f>
        <v/>
      </c>
      <c r="Y60" s="152" t="str">
        <f>IF(Y$3="","",IF(COUNTIFS(BD!$A$3:$A$5001,Y$3,BD!$B$3:$B$5001,$A$60,BD!$C$3:$C$5001,"&lt;&gt;")=0,"",SUMIFS(BD!$C$3:$C$5001,BD!$A$3:$A$5001,Y$3,BD!$B$3:$B$5001,$A$60)))</f>
        <v/>
      </c>
      <c r="Z60" s="152" t="str">
        <f>IF(Z$3="","",IF(COUNTIFS(BD!$A$3:$A$5001,Z$3,BD!$B$3:$B$5001,$A$60,BD!$C$3:$C$5001,"&lt;&gt;")=0,"",SUMIFS(BD!$C$3:$C$5001,BD!$A$3:$A$5001,Z$3,BD!$B$3:$B$5001,$A$60)))</f>
        <v/>
      </c>
      <c r="AA60" s="152" t="str">
        <f>IF(AA$3="","",IF(COUNTIFS(BD!$A$3:$A$5001,AA$3,BD!$B$3:$B$5001,$A$60,BD!$C$3:$C$5001,"&lt;&gt;")=0,"",SUMIFS(BD!$C$3:$C$5001,BD!$A$3:$A$5001,AA$3,BD!$B$3:$B$5001,$A$60)))</f>
        <v/>
      </c>
      <c r="AB60" s="152" t="str">
        <f>IF(AB$3="","",IF(COUNTIFS(BD!$A$3:$A$5001,AB$3,BD!$B$3:$B$5001,$A$60,BD!$C$3:$C$5001,"&lt;&gt;")=0,"",SUMIFS(BD!$C$3:$C$5001,BD!$A$3:$A$5001,AB$3,BD!$B$3:$B$5001,$A$60)))</f>
        <v/>
      </c>
      <c r="AC60" s="152" t="str">
        <f>IF(AC$3="","",IF(COUNTIFS(BD!$A$3:$A$5001,AC$3,BD!$B$3:$B$5001,$A$60,BD!$C$3:$C$5001,"&lt;&gt;")=0,"",SUMIFS(BD!$C$3:$C$5001,BD!$A$3:$A$5001,AC$3,BD!$B$3:$B$5001,$A$60)))</f>
        <v/>
      </c>
      <c r="AD60" s="152" t="str">
        <f>IF(AD$3="","",IF(COUNTIFS(BD!$A$3:$A$5001,AD$3,BD!$B$3:$B$5001,$A$60,BD!$C$3:$C$5001,"&lt;&gt;")=0,"",SUMIFS(BD!$C$3:$C$5001,BD!$A$3:$A$5001,AD$3,BD!$B$3:$B$5001,$A$60)))</f>
        <v/>
      </c>
      <c r="AE60" s="152" t="str">
        <f>IF(AE$3="","",IF(COUNTIFS(BD!$A$3:$A$5001,AE$3,BD!$B$3:$B$5001,$A$60,BD!$C$3:$C$5001,"&lt;&gt;")=0,"",SUMIFS(BD!$C$3:$C$5001,BD!$A$3:$A$5001,AE$3,BD!$B$3:$B$5001,$A$60)))</f>
        <v/>
      </c>
      <c r="AF60" s="152" t="str">
        <f>IF(AF$3="","",IF(COUNTIFS(BD!$A$3:$A$5001,AF$3,BD!$B$3:$B$5001,$A$60,BD!$C$3:$C$5001,"&lt;&gt;")=0,"",SUMIFS(BD!$C$3:$C$5001,BD!$A$3:$A$5001,AF$3,BD!$B$3:$B$5001,$A$60)))</f>
        <v/>
      </c>
      <c r="AG60" s="152" t="str">
        <f>IF(AG$3="","",IF(COUNTIFS(BD!$A$3:$A$5001,AG$3,BD!$B$3:$B$5001,$A$60,BD!$C$3:$C$5001,"&lt;&gt;")=0,"",SUMIFS(BD!$C$3:$C$5001,BD!$A$3:$A$5001,AG$3,BD!$B$3:$B$5001,$A$60)))</f>
        <v/>
      </c>
      <c r="AH60" s="152" t="str">
        <f>IF(AH$3="","",IF(COUNTIFS(BD!$A$3:$A$5001,AH$3,BD!$B$3:$B$5001,$A$60,BD!$C$3:$C$5001,"&lt;&gt;")=0,"",SUMIFS(BD!$C$3:$C$5001,BD!$A$3:$A$5001,AH$3,BD!$B$3:$B$5001,$A$60)))</f>
        <v/>
      </c>
      <c r="AI60" s="152" t="str">
        <f>IF(AI$3="","",IF(COUNTIFS(BD!$A$3:$A$5001,AI$3,BD!$B$3:$B$5001,$A$60,BD!$C$3:$C$5001,"&lt;&gt;")=0,"",SUMIFS(BD!$C$3:$C$5001,BD!$A$3:$A$5001,AI$3,BD!$B$3:$B$5001,$A$60)))</f>
        <v/>
      </c>
      <c r="AJ60" s="153" t="str">
        <f>IF(AJ$3="","",IF(COUNTIFS(BD!$A$3:$A$5001,AJ$3,BD!$B$3:$B$5001,$A$60,BD!$C$3:$C$5001,"&lt;&gt;")=0,"",SUMIFS(BD!$C$3:$C$5001,BD!$A$3:$A$5001,AJ$3,BD!$B$3:$B$5001,$A$60)))</f>
        <v/>
      </c>
      <c r="AK60" s="154" t="str">
        <f>IF(COUNT(F60:AJ60)=0,"",SUM(F60:AJ60))</f>
        <v/>
      </c>
    </row>
    <row r="61" ht="15.75" customHeight="1">
      <c r="A61" s="247"/>
      <c r="B61" s="235"/>
      <c r="C61" s="155" t="inlineStr">
        <is>
          <t xml:space="preserve">Pallets Movimentados</t>
        </is>
      </c>
      <c r="D61" s="156" t="str">
        <f>IFERROR(1/(1/INDEX(BD!$Y$24:$AD$24,MATCH($A$60,BD!$Y$22:$AD$22,0))),"")</f>
        <v/>
      </c>
      <c r="E61" s="157"/>
      <c r="F61" s="158" t="str">
        <f>IF(F$3="","",IF(COUNTIFS(BD!$A$3:$A$5001,F$3,BD!$B$3:$B$5001,$A$60,BD!$D$3:$D$5001,"&lt;&gt;")=0,"",SUMIFS(BD!$D$3:$D$5001,BD!$A$3:$A$5001,F$3,BD!$B$3:$B$5001,$A$60)))</f>
        <v/>
      </c>
      <c r="G61" s="159" t="str">
        <f>IF(G$3="","",IF(COUNTIFS(BD!$A$3:$A$5001,G$3,BD!$B$3:$B$5001,$A$60,BD!$D$3:$D$5001,"&lt;&gt;")=0,"",SUMIFS(BD!$D$3:$D$5001,BD!$A$3:$A$5001,G$3,BD!$B$3:$B$5001,$A$60)))</f>
        <v/>
      </c>
      <c r="H61" s="159" t="str">
        <f>IF(H$3="","",IF(COUNTIFS(BD!$A$3:$A$5001,H$3,BD!$B$3:$B$5001,$A$60,BD!$D$3:$D$5001,"&lt;&gt;")=0,"",SUMIFS(BD!$D$3:$D$5001,BD!$A$3:$A$5001,H$3,BD!$B$3:$B$5001,$A$60)))</f>
        <v/>
      </c>
      <c r="I61" s="159" t="str">
        <f>IF(I$3="","",IF(COUNTIFS(BD!$A$3:$A$5001,I$3,BD!$B$3:$B$5001,$A$60,BD!$D$3:$D$5001,"&lt;&gt;")=0,"",SUMIFS(BD!$D$3:$D$5001,BD!$A$3:$A$5001,I$3,BD!$B$3:$B$5001,$A$60)))</f>
        <v/>
      </c>
      <c r="J61" s="159" t="str">
        <f>IF(J$3="","",IF(COUNTIFS(BD!$A$3:$A$5001,J$3,BD!$B$3:$B$5001,$A$60,BD!$D$3:$D$5001,"&lt;&gt;")=0,"",SUMIFS(BD!$D$3:$D$5001,BD!$A$3:$A$5001,J$3,BD!$B$3:$B$5001,$A$60)))</f>
        <v/>
      </c>
      <c r="K61" s="159" t="str">
        <f>IF(K$3="","",IF(COUNTIFS(BD!$A$3:$A$5001,K$3,BD!$B$3:$B$5001,$A$60,BD!$D$3:$D$5001,"&lt;&gt;")=0,"",SUMIFS(BD!$D$3:$D$5001,BD!$A$3:$A$5001,K$3,BD!$B$3:$B$5001,$A$60)))</f>
        <v/>
      </c>
      <c r="L61" s="159" t="str">
        <f>IF(L$3="","",IF(COUNTIFS(BD!$A$3:$A$5001,L$3,BD!$B$3:$B$5001,$A$60,BD!$D$3:$D$5001,"&lt;&gt;")=0,"",SUMIFS(BD!$D$3:$D$5001,BD!$A$3:$A$5001,L$3,BD!$B$3:$B$5001,$A$60)))</f>
        <v/>
      </c>
      <c r="M61" s="159" t="str">
        <f>IF(M$3="","",IF(COUNTIFS(BD!$A$3:$A$5001,M$3,BD!$B$3:$B$5001,$A$60,BD!$D$3:$D$5001,"&lt;&gt;")=0,"",SUMIFS(BD!$D$3:$D$5001,BD!$A$3:$A$5001,M$3,BD!$B$3:$B$5001,$A$60)))</f>
        <v/>
      </c>
      <c r="N61" s="159" t="str">
        <f>IF(N$3="","",IF(COUNTIFS(BD!$A$3:$A$5001,N$3,BD!$B$3:$B$5001,$A$60,BD!$D$3:$D$5001,"&lt;&gt;")=0,"",SUMIFS(BD!$D$3:$D$5001,BD!$A$3:$A$5001,N$3,BD!$B$3:$B$5001,$A$60)))</f>
        <v/>
      </c>
      <c r="O61" s="159" t="str">
        <f>IF(O$3="","",IF(COUNTIFS(BD!$A$3:$A$5001,O$3,BD!$B$3:$B$5001,$A$60,BD!$D$3:$D$5001,"&lt;&gt;")=0,"",SUMIFS(BD!$D$3:$D$5001,BD!$A$3:$A$5001,O$3,BD!$B$3:$B$5001,$A$60)))</f>
        <v/>
      </c>
      <c r="P61" s="159" t="str">
        <f>IF(P$3="","",IF(COUNTIFS(BD!$A$3:$A$5001,P$3,BD!$B$3:$B$5001,$A$60,BD!$D$3:$D$5001,"&lt;&gt;")=0,"",SUMIFS(BD!$D$3:$D$5001,BD!$A$3:$A$5001,P$3,BD!$B$3:$B$5001,$A$60)))</f>
        <v/>
      </c>
      <c r="Q61" s="159" t="str">
        <f>IF(Q$3="","",IF(COUNTIFS(BD!$A$3:$A$5001,Q$3,BD!$B$3:$B$5001,$A$60,BD!$D$3:$D$5001,"&lt;&gt;")=0,"",SUMIFS(BD!$D$3:$D$5001,BD!$A$3:$A$5001,Q$3,BD!$B$3:$B$5001,$A$60)))</f>
        <v/>
      </c>
      <c r="R61" s="159" t="str">
        <f>IF(R$3="","",IF(COUNTIFS(BD!$A$3:$A$5001,R$3,BD!$B$3:$B$5001,$A$60,BD!$D$3:$D$5001,"&lt;&gt;")=0,"",SUMIFS(BD!$D$3:$D$5001,BD!$A$3:$A$5001,R$3,BD!$B$3:$B$5001,$A$60)))</f>
        <v/>
      </c>
      <c r="S61" s="159" t="str">
        <f>IF(S$3="","",IF(COUNTIFS(BD!$A$3:$A$5001,S$3,BD!$B$3:$B$5001,$A$60,BD!$D$3:$D$5001,"&lt;&gt;")=0,"",SUMIFS(BD!$D$3:$D$5001,BD!$A$3:$A$5001,S$3,BD!$B$3:$B$5001,$A$60)))</f>
        <v/>
      </c>
      <c r="T61" s="159" t="str">
        <f>IF(T$3="","",IF(COUNTIFS(BD!$A$3:$A$5001,T$3,BD!$B$3:$B$5001,$A$60,BD!$D$3:$D$5001,"&lt;&gt;")=0,"",SUMIFS(BD!$D$3:$D$5001,BD!$A$3:$A$5001,T$3,BD!$B$3:$B$5001,$A$60)))</f>
        <v/>
      </c>
      <c r="U61" s="159" t="str">
        <f>IF(U$3="","",IF(COUNTIFS(BD!$A$3:$A$5001,U$3,BD!$B$3:$B$5001,$A$60,BD!$D$3:$D$5001,"&lt;&gt;")=0,"",SUMIFS(BD!$D$3:$D$5001,BD!$A$3:$A$5001,U$3,BD!$B$3:$B$5001,$A$60)))</f>
        <v/>
      </c>
      <c r="V61" s="159" t="str">
        <f>IF(V$3="","",IF(COUNTIFS(BD!$A$3:$A$5001,V$3,BD!$B$3:$B$5001,$A$60,BD!$D$3:$D$5001,"&lt;&gt;")=0,"",SUMIFS(BD!$D$3:$D$5001,BD!$A$3:$A$5001,V$3,BD!$B$3:$B$5001,$A$60)))</f>
        <v/>
      </c>
      <c r="W61" s="159" t="str">
        <f>IF(W$3="","",IF(COUNTIFS(BD!$A$3:$A$5001,W$3,BD!$B$3:$B$5001,$A$60,BD!$D$3:$D$5001,"&lt;&gt;")=0,"",SUMIFS(BD!$D$3:$D$5001,BD!$A$3:$A$5001,W$3,BD!$B$3:$B$5001,$A$60)))</f>
        <v/>
      </c>
      <c r="X61" s="159" t="str">
        <f>IF(X$3="","",IF(COUNTIFS(BD!$A$3:$A$5001,X$3,BD!$B$3:$B$5001,$A$60,BD!$D$3:$D$5001,"&lt;&gt;")=0,"",SUMIFS(BD!$D$3:$D$5001,BD!$A$3:$A$5001,X$3,BD!$B$3:$B$5001,$A$60)))</f>
        <v/>
      </c>
      <c r="Y61" s="159" t="str">
        <f>IF(Y$3="","",IF(COUNTIFS(BD!$A$3:$A$5001,Y$3,BD!$B$3:$B$5001,$A$60,BD!$D$3:$D$5001,"&lt;&gt;")=0,"",SUMIFS(BD!$D$3:$D$5001,BD!$A$3:$A$5001,Y$3,BD!$B$3:$B$5001,$A$60)))</f>
        <v/>
      </c>
      <c r="Z61" s="159" t="str">
        <f>IF(Z$3="","",IF(COUNTIFS(BD!$A$3:$A$5001,Z$3,BD!$B$3:$B$5001,$A$60,BD!$D$3:$D$5001,"&lt;&gt;")=0,"",SUMIFS(BD!$D$3:$D$5001,BD!$A$3:$A$5001,Z$3,BD!$B$3:$B$5001,$A$60)))</f>
        <v/>
      </c>
      <c r="AA61" s="159" t="str">
        <f>IF(AA$3="","",IF(COUNTIFS(BD!$A$3:$A$5001,AA$3,BD!$B$3:$B$5001,$A$60,BD!$D$3:$D$5001,"&lt;&gt;")=0,"",SUMIFS(BD!$D$3:$D$5001,BD!$A$3:$A$5001,AA$3,BD!$B$3:$B$5001,$A$60)))</f>
        <v/>
      </c>
      <c r="AB61" s="159" t="str">
        <f>IF(AB$3="","",IF(COUNTIFS(BD!$A$3:$A$5001,AB$3,BD!$B$3:$B$5001,$A$60,BD!$D$3:$D$5001,"&lt;&gt;")=0,"",SUMIFS(BD!$D$3:$D$5001,BD!$A$3:$A$5001,AB$3,BD!$B$3:$B$5001,$A$60)))</f>
        <v/>
      </c>
      <c r="AC61" s="159" t="str">
        <f>IF(AC$3="","",IF(COUNTIFS(BD!$A$3:$A$5001,AC$3,BD!$B$3:$B$5001,$A$60,BD!$D$3:$D$5001,"&lt;&gt;")=0,"",SUMIFS(BD!$D$3:$D$5001,BD!$A$3:$A$5001,AC$3,BD!$B$3:$B$5001,$A$60)))</f>
        <v/>
      </c>
      <c r="AD61" s="159" t="str">
        <f>IF(AD$3="","",IF(COUNTIFS(BD!$A$3:$A$5001,AD$3,BD!$B$3:$B$5001,$A$60,BD!$D$3:$D$5001,"&lt;&gt;")=0,"",SUMIFS(BD!$D$3:$D$5001,BD!$A$3:$A$5001,AD$3,BD!$B$3:$B$5001,$A$60)))</f>
        <v/>
      </c>
      <c r="AE61" s="159" t="str">
        <f>IF(AE$3="","",IF(COUNTIFS(BD!$A$3:$A$5001,AE$3,BD!$B$3:$B$5001,$A$60,BD!$D$3:$D$5001,"&lt;&gt;")=0,"",SUMIFS(BD!$D$3:$D$5001,BD!$A$3:$A$5001,AE$3,BD!$B$3:$B$5001,$A$60)))</f>
        <v/>
      </c>
      <c r="AF61" s="159" t="str">
        <f>IF(AF$3="","",IF(COUNTIFS(BD!$A$3:$A$5001,AF$3,BD!$B$3:$B$5001,$A$60,BD!$D$3:$D$5001,"&lt;&gt;")=0,"",SUMIFS(BD!$D$3:$D$5001,BD!$A$3:$A$5001,AF$3,BD!$B$3:$B$5001,$A$60)))</f>
        <v/>
      </c>
      <c r="AG61" s="159" t="str">
        <f>IF(AG$3="","",IF(COUNTIFS(BD!$A$3:$A$5001,AG$3,BD!$B$3:$B$5001,$A$60,BD!$D$3:$D$5001,"&lt;&gt;")=0,"",SUMIFS(BD!$D$3:$D$5001,BD!$A$3:$A$5001,AG$3,BD!$B$3:$B$5001,$A$60)))</f>
        <v/>
      </c>
      <c r="AH61" s="159" t="str">
        <f>IF(AH$3="","",IF(COUNTIFS(BD!$A$3:$A$5001,AH$3,BD!$B$3:$B$5001,$A$60,BD!$D$3:$D$5001,"&lt;&gt;")=0,"",SUMIFS(BD!$D$3:$D$5001,BD!$A$3:$A$5001,AH$3,BD!$B$3:$B$5001,$A$60)))</f>
        <v/>
      </c>
      <c r="AI61" s="159" t="str">
        <f>IF(AI$3="","",IF(COUNTIFS(BD!$A$3:$A$5001,AI$3,BD!$B$3:$B$5001,$A$60,BD!$D$3:$D$5001,"&lt;&gt;")=0,"",SUMIFS(BD!$D$3:$D$5001,BD!$A$3:$A$5001,AI$3,BD!$B$3:$B$5001,$A$60)))</f>
        <v/>
      </c>
      <c r="AJ61" s="160" t="str">
        <f>IF(AJ$3="","",IF(COUNTIFS(BD!$A$3:$A$5001,AJ$3,BD!$B$3:$B$5001,$A$60,BD!$D$3:$D$5001,"&lt;&gt;")=0,"",SUMIFS(BD!$D$3:$D$5001,BD!$A$3:$A$5001,AJ$3,BD!$B$3:$B$5001,$A$60)))</f>
        <v/>
      </c>
      <c r="AK61" s="161" t="str">
        <f>IF(COUNT(F61:AJ61)=0,"",SUM(F61:AJ61))</f>
        <v/>
      </c>
    </row>
    <row r="62" ht="15.75" customHeight="1">
      <c r="A62" s="247"/>
      <c r="B62" s="236"/>
      <c r="C62" s="162" t="inlineStr">
        <is>
          <t xml:space="preserve">Toneladas Movimentadas</t>
        </is>
      </c>
      <c r="D62" s="163" t="str">
        <f>IFERROR(1/(1/INDEX(BD!$Y$25:$AD$25,MATCH($A$60,BD!$Y$22:$AD$22,0))),"")</f>
        <v/>
      </c>
      <c r="E62" s="164"/>
      <c r="F62" s="165" t="str">
        <f>IF(F$3="","",IF(COUNTIFS(BD!$A$3:$A$5001,F$3,BD!$B$3:$B$5001,$A$60,BD!$E$3:$E$5001,"&lt;&gt;")=0,"",SUMIFS(BD!$E$3:$E$5001,BD!$A$3:$A$5001,F$3,BD!$B$3:$B$5001,$A$60)))</f>
        <v/>
      </c>
      <c r="G62" s="166" t="str">
        <f>IF(G$3="","",IF(COUNTIFS(BD!$A$3:$A$5001,G$3,BD!$B$3:$B$5001,$A$60,BD!$E$3:$E$5001,"&lt;&gt;")=0,"",SUMIFS(BD!$E$3:$E$5001,BD!$A$3:$A$5001,G$3,BD!$B$3:$B$5001,$A$60)))</f>
        <v/>
      </c>
      <c r="H62" s="166" t="str">
        <f>IF(H$3="","",IF(COUNTIFS(BD!$A$3:$A$5001,H$3,BD!$B$3:$B$5001,$A$60,BD!$E$3:$E$5001,"&lt;&gt;")=0,"",SUMIFS(BD!$E$3:$E$5001,BD!$A$3:$A$5001,H$3,BD!$B$3:$B$5001,$A$60)))</f>
        <v/>
      </c>
      <c r="I62" s="166" t="str">
        <f>IF(I$3="","",IF(COUNTIFS(BD!$A$3:$A$5001,I$3,BD!$B$3:$B$5001,$A$60,BD!$E$3:$E$5001,"&lt;&gt;")=0,"",SUMIFS(BD!$E$3:$E$5001,BD!$A$3:$A$5001,I$3,BD!$B$3:$B$5001,$A$60)))</f>
        <v/>
      </c>
      <c r="J62" s="166" t="str">
        <f>IF(J$3="","",IF(COUNTIFS(BD!$A$3:$A$5001,J$3,BD!$B$3:$B$5001,$A$60,BD!$E$3:$E$5001,"&lt;&gt;")=0,"",SUMIFS(BD!$E$3:$E$5001,BD!$A$3:$A$5001,J$3,BD!$B$3:$B$5001,$A$60)))</f>
        <v/>
      </c>
      <c r="K62" s="166" t="str">
        <f>IF(K$3="","",IF(COUNTIFS(BD!$A$3:$A$5001,K$3,BD!$B$3:$B$5001,$A$60,BD!$E$3:$E$5001,"&lt;&gt;")=0,"",SUMIFS(BD!$E$3:$E$5001,BD!$A$3:$A$5001,K$3,BD!$B$3:$B$5001,$A$60)))</f>
        <v/>
      </c>
      <c r="L62" s="166" t="str">
        <f>IF(L$3="","",IF(COUNTIFS(BD!$A$3:$A$5001,L$3,BD!$B$3:$B$5001,$A$60,BD!$E$3:$E$5001,"&lt;&gt;")=0,"",SUMIFS(BD!$E$3:$E$5001,BD!$A$3:$A$5001,L$3,BD!$B$3:$B$5001,$A$60)))</f>
        <v/>
      </c>
      <c r="M62" s="166" t="str">
        <f>IF(M$3="","",IF(COUNTIFS(BD!$A$3:$A$5001,M$3,BD!$B$3:$B$5001,$A$60,BD!$E$3:$E$5001,"&lt;&gt;")=0,"",SUMIFS(BD!$E$3:$E$5001,BD!$A$3:$A$5001,M$3,BD!$B$3:$B$5001,$A$60)))</f>
        <v/>
      </c>
      <c r="N62" s="166" t="str">
        <f>IF(N$3="","",IF(COUNTIFS(BD!$A$3:$A$5001,N$3,BD!$B$3:$B$5001,$A$60,BD!$E$3:$E$5001,"&lt;&gt;")=0,"",SUMIFS(BD!$E$3:$E$5001,BD!$A$3:$A$5001,N$3,BD!$B$3:$B$5001,$A$60)))</f>
        <v/>
      </c>
      <c r="O62" s="166" t="str">
        <f>IF(O$3="","",IF(COUNTIFS(BD!$A$3:$A$5001,O$3,BD!$B$3:$B$5001,$A$60,BD!$E$3:$E$5001,"&lt;&gt;")=0,"",SUMIFS(BD!$E$3:$E$5001,BD!$A$3:$A$5001,O$3,BD!$B$3:$B$5001,$A$60)))</f>
        <v/>
      </c>
      <c r="P62" s="166" t="str">
        <f>IF(P$3="","",IF(COUNTIFS(BD!$A$3:$A$5001,P$3,BD!$B$3:$B$5001,$A$60,BD!$E$3:$E$5001,"&lt;&gt;")=0,"",SUMIFS(BD!$E$3:$E$5001,BD!$A$3:$A$5001,P$3,BD!$B$3:$B$5001,$A$60)))</f>
        <v/>
      </c>
      <c r="Q62" s="166" t="str">
        <f>IF(Q$3="","",IF(COUNTIFS(BD!$A$3:$A$5001,Q$3,BD!$B$3:$B$5001,$A$60,BD!$E$3:$E$5001,"&lt;&gt;")=0,"",SUMIFS(BD!$E$3:$E$5001,BD!$A$3:$A$5001,Q$3,BD!$B$3:$B$5001,$A$60)))</f>
        <v/>
      </c>
      <c r="R62" s="166" t="str">
        <f>IF(R$3="","",IF(COUNTIFS(BD!$A$3:$A$5001,R$3,BD!$B$3:$B$5001,$A$60,BD!$E$3:$E$5001,"&lt;&gt;")=0,"",SUMIFS(BD!$E$3:$E$5001,BD!$A$3:$A$5001,R$3,BD!$B$3:$B$5001,$A$60)))</f>
        <v/>
      </c>
      <c r="S62" s="166" t="str">
        <f>IF(S$3="","",IF(COUNTIFS(BD!$A$3:$A$5001,S$3,BD!$B$3:$B$5001,$A$60,BD!$E$3:$E$5001,"&lt;&gt;")=0,"",SUMIFS(BD!$E$3:$E$5001,BD!$A$3:$A$5001,S$3,BD!$B$3:$B$5001,$A$60)))</f>
        <v/>
      </c>
      <c r="T62" s="166" t="str">
        <f>IF(T$3="","",IF(COUNTIFS(BD!$A$3:$A$5001,T$3,BD!$B$3:$B$5001,$A$60,BD!$E$3:$E$5001,"&lt;&gt;")=0,"",SUMIFS(BD!$E$3:$E$5001,BD!$A$3:$A$5001,T$3,BD!$B$3:$B$5001,$A$60)))</f>
        <v/>
      </c>
      <c r="U62" s="166" t="str">
        <f>IF(U$3="","",IF(COUNTIFS(BD!$A$3:$A$5001,U$3,BD!$B$3:$B$5001,$A$60,BD!$E$3:$E$5001,"&lt;&gt;")=0,"",SUMIFS(BD!$E$3:$E$5001,BD!$A$3:$A$5001,U$3,BD!$B$3:$B$5001,$A$60)))</f>
        <v/>
      </c>
      <c r="V62" s="166" t="str">
        <f>IF(V$3="","",IF(COUNTIFS(BD!$A$3:$A$5001,V$3,BD!$B$3:$B$5001,$A$60,BD!$E$3:$E$5001,"&lt;&gt;")=0,"",SUMIFS(BD!$E$3:$E$5001,BD!$A$3:$A$5001,V$3,BD!$B$3:$B$5001,$A$60)))</f>
        <v/>
      </c>
      <c r="W62" s="166" t="str">
        <f>IF(W$3="","",IF(COUNTIFS(BD!$A$3:$A$5001,W$3,BD!$B$3:$B$5001,$A$60,BD!$E$3:$E$5001,"&lt;&gt;")=0,"",SUMIFS(BD!$E$3:$E$5001,BD!$A$3:$A$5001,W$3,BD!$B$3:$B$5001,$A$60)))</f>
        <v/>
      </c>
      <c r="X62" s="166" t="str">
        <f>IF(X$3="","",IF(COUNTIFS(BD!$A$3:$A$5001,X$3,BD!$B$3:$B$5001,$A$60,BD!$E$3:$E$5001,"&lt;&gt;")=0,"",SUMIFS(BD!$E$3:$E$5001,BD!$A$3:$A$5001,X$3,BD!$B$3:$B$5001,$A$60)))</f>
        <v/>
      </c>
      <c r="Y62" s="166" t="str">
        <f>IF(Y$3="","",IF(COUNTIFS(BD!$A$3:$A$5001,Y$3,BD!$B$3:$B$5001,$A$60,BD!$E$3:$E$5001,"&lt;&gt;")=0,"",SUMIFS(BD!$E$3:$E$5001,BD!$A$3:$A$5001,Y$3,BD!$B$3:$B$5001,$A$60)))</f>
        <v/>
      </c>
      <c r="Z62" s="166" t="str">
        <f>IF(Z$3="","",IF(COUNTIFS(BD!$A$3:$A$5001,Z$3,BD!$B$3:$B$5001,$A$60,BD!$E$3:$E$5001,"&lt;&gt;")=0,"",SUMIFS(BD!$E$3:$E$5001,BD!$A$3:$A$5001,Z$3,BD!$B$3:$B$5001,$A$60)))</f>
        <v/>
      </c>
      <c r="AA62" s="166" t="str">
        <f>IF(AA$3="","",IF(COUNTIFS(BD!$A$3:$A$5001,AA$3,BD!$B$3:$B$5001,$A$60,BD!$E$3:$E$5001,"&lt;&gt;")=0,"",SUMIFS(BD!$E$3:$E$5001,BD!$A$3:$A$5001,AA$3,BD!$B$3:$B$5001,$A$60)))</f>
        <v/>
      </c>
      <c r="AB62" s="166" t="str">
        <f>IF(AB$3="","",IF(COUNTIFS(BD!$A$3:$A$5001,AB$3,BD!$B$3:$B$5001,$A$60,BD!$E$3:$E$5001,"&lt;&gt;")=0,"",SUMIFS(BD!$E$3:$E$5001,BD!$A$3:$A$5001,AB$3,BD!$B$3:$B$5001,$A$60)))</f>
        <v/>
      </c>
      <c r="AC62" s="166" t="str">
        <f>IF(AC$3="","",IF(COUNTIFS(BD!$A$3:$A$5001,AC$3,BD!$B$3:$B$5001,$A$60,BD!$E$3:$E$5001,"&lt;&gt;")=0,"",SUMIFS(BD!$E$3:$E$5001,BD!$A$3:$A$5001,AC$3,BD!$B$3:$B$5001,$A$60)))</f>
        <v/>
      </c>
      <c r="AD62" s="166" t="str">
        <f>IF(AD$3="","",IF(COUNTIFS(BD!$A$3:$A$5001,AD$3,BD!$B$3:$B$5001,$A$60,BD!$E$3:$E$5001,"&lt;&gt;")=0,"",SUMIFS(BD!$E$3:$E$5001,BD!$A$3:$A$5001,AD$3,BD!$B$3:$B$5001,$A$60)))</f>
        <v/>
      </c>
      <c r="AE62" s="166" t="str">
        <f>IF(AE$3="","",IF(COUNTIFS(BD!$A$3:$A$5001,AE$3,BD!$B$3:$B$5001,$A$60,BD!$E$3:$E$5001,"&lt;&gt;")=0,"",SUMIFS(BD!$E$3:$E$5001,BD!$A$3:$A$5001,AE$3,BD!$B$3:$B$5001,$A$60)))</f>
        <v/>
      </c>
      <c r="AF62" s="166" t="str">
        <f>IF(AF$3="","",IF(COUNTIFS(BD!$A$3:$A$5001,AF$3,BD!$B$3:$B$5001,$A$60,BD!$E$3:$E$5001,"&lt;&gt;")=0,"",SUMIFS(BD!$E$3:$E$5001,BD!$A$3:$A$5001,AF$3,BD!$B$3:$B$5001,$A$60)))</f>
        <v/>
      </c>
      <c r="AG62" s="166" t="str">
        <f>IF(AG$3="","",IF(COUNTIFS(BD!$A$3:$A$5001,AG$3,BD!$B$3:$B$5001,$A$60,BD!$E$3:$E$5001,"&lt;&gt;")=0,"",SUMIFS(BD!$E$3:$E$5001,BD!$A$3:$A$5001,AG$3,BD!$B$3:$B$5001,$A$60)))</f>
        <v/>
      </c>
      <c r="AH62" s="166" t="str">
        <f>IF(AH$3="","",IF(COUNTIFS(BD!$A$3:$A$5001,AH$3,BD!$B$3:$B$5001,$A$60,BD!$E$3:$E$5001,"&lt;&gt;")=0,"",SUMIFS(BD!$E$3:$E$5001,BD!$A$3:$A$5001,AH$3,BD!$B$3:$B$5001,$A$60)))</f>
        <v/>
      </c>
      <c r="AI62" s="166" t="str">
        <f>IF(AI$3="","",IF(COUNTIFS(BD!$A$3:$A$5001,AI$3,BD!$B$3:$B$5001,$A$60,BD!$E$3:$E$5001,"&lt;&gt;")=0,"",SUMIFS(BD!$E$3:$E$5001,BD!$A$3:$A$5001,AI$3,BD!$B$3:$B$5001,$A$60)))</f>
        <v/>
      </c>
      <c r="AJ62" s="167" t="str">
        <f>IF(AJ$3="","",IF(COUNTIFS(BD!$A$3:$A$5001,AJ$3,BD!$B$3:$B$5001,$A$60,BD!$E$3:$E$5001,"&lt;&gt;")=0,"",SUMIFS(BD!$E$3:$E$5001,BD!$A$3:$A$5001,AJ$3,BD!$B$3:$B$5001,$A$60)))</f>
        <v/>
      </c>
      <c r="AK62" s="168" t="str">
        <f>IF(COUNT(F62:AJ62)=0,"",SUM(F62:AJ62))</f>
        <v/>
      </c>
    </row>
    <row r="63" ht="15.75" customHeight="1">
      <c r="A63" s="247"/>
      <c r="B63" s="237" t="inlineStr">
        <is>
          <t xml:space="preserve">OUT</t>
        </is>
      </c>
      <c r="C63" s="169" t="inlineStr">
        <is>
          <t xml:space="preserve">Veículos Expedidos</t>
        </is>
      </c>
      <c r="D63" s="170" t="str">
        <f>IFERROR(1/(1/INDEX(BD!$Y$26:$AD$26,MATCH($A$60,BD!$Y$22:$AD$22,0))),"")</f>
        <v/>
      </c>
      <c r="E63" s="171"/>
      <c r="F63" s="172" t="str">
        <f>IF(F$3="","",IF(COUNTIFS(BD!$A$3:$A$5001,F$3,BD!$B$3:$B$5001,$A$60,BD!$F$3:$F$5001,"&lt;&gt;")=0,"",SUMIFS(BD!$F$3:$F$5001,BD!$A$3:$A$5001,F$3,BD!$B$3:$B$5001,$A$60)))</f>
        <v/>
      </c>
      <c r="G63" s="173" t="str">
        <f>IF(G$3="","",IF(COUNTIFS(BD!$A$3:$A$5001,G$3,BD!$B$3:$B$5001,$A$60,BD!$F$3:$F$5001,"&lt;&gt;")=0,"",SUMIFS(BD!$F$3:$F$5001,BD!$A$3:$A$5001,G$3,BD!$B$3:$B$5001,$A$60)))</f>
        <v/>
      </c>
      <c r="H63" s="173" t="str">
        <f>IF(H$3="","",IF(COUNTIFS(BD!$A$3:$A$5001,H$3,BD!$B$3:$B$5001,$A$60,BD!$F$3:$F$5001,"&lt;&gt;")=0,"",SUMIFS(BD!$F$3:$F$5001,BD!$A$3:$A$5001,H$3,BD!$B$3:$B$5001,$A$60)))</f>
        <v/>
      </c>
      <c r="I63" s="173" t="str">
        <f>IF(I$3="","",IF(COUNTIFS(BD!$A$3:$A$5001,I$3,BD!$B$3:$B$5001,$A$60,BD!$F$3:$F$5001,"&lt;&gt;")=0,"",SUMIFS(BD!$F$3:$F$5001,BD!$A$3:$A$5001,I$3,BD!$B$3:$B$5001,$A$60)))</f>
        <v/>
      </c>
      <c r="J63" s="173" t="str">
        <f>IF(J$3="","",IF(COUNTIFS(BD!$A$3:$A$5001,J$3,BD!$B$3:$B$5001,$A$60,BD!$F$3:$F$5001,"&lt;&gt;")=0,"",SUMIFS(BD!$F$3:$F$5001,BD!$A$3:$A$5001,J$3,BD!$B$3:$B$5001,$A$60)))</f>
        <v/>
      </c>
      <c r="K63" s="173" t="str">
        <f>IF(K$3="","",IF(COUNTIFS(BD!$A$3:$A$5001,K$3,BD!$B$3:$B$5001,$A$60,BD!$F$3:$F$5001,"&lt;&gt;")=0,"",SUMIFS(BD!$F$3:$F$5001,BD!$A$3:$A$5001,K$3,BD!$B$3:$B$5001,$A$60)))</f>
        <v/>
      </c>
      <c r="L63" s="173" t="str">
        <f>IF(L$3="","",IF(COUNTIFS(BD!$A$3:$A$5001,L$3,BD!$B$3:$B$5001,$A$60,BD!$F$3:$F$5001,"&lt;&gt;")=0,"",SUMIFS(BD!$F$3:$F$5001,BD!$A$3:$A$5001,L$3,BD!$B$3:$B$5001,$A$60)))</f>
        <v/>
      </c>
      <c r="M63" s="173" t="str">
        <f>IF(M$3="","",IF(COUNTIFS(BD!$A$3:$A$5001,M$3,BD!$B$3:$B$5001,$A$60,BD!$F$3:$F$5001,"&lt;&gt;")=0,"",SUMIFS(BD!$F$3:$F$5001,BD!$A$3:$A$5001,M$3,BD!$B$3:$B$5001,$A$60)))</f>
        <v/>
      </c>
      <c r="N63" s="173" t="str">
        <f>IF(N$3="","",IF(COUNTIFS(BD!$A$3:$A$5001,N$3,BD!$B$3:$B$5001,$A$60,BD!$F$3:$F$5001,"&lt;&gt;")=0,"",SUMIFS(BD!$F$3:$F$5001,BD!$A$3:$A$5001,N$3,BD!$B$3:$B$5001,$A$60)))</f>
        <v/>
      </c>
      <c r="O63" s="173" t="str">
        <f>IF(O$3="","",IF(COUNTIFS(BD!$A$3:$A$5001,O$3,BD!$B$3:$B$5001,$A$60,BD!$F$3:$F$5001,"&lt;&gt;")=0,"",SUMIFS(BD!$F$3:$F$5001,BD!$A$3:$A$5001,O$3,BD!$B$3:$B$5001,$A$60)))</f>
        <v/>
      </c>
      <c r="P63" s="173" t="str">
        <f>IF(P$3="","",IF(COUNTIFS(BD!$A$3:$A$5001,P$3,BD!$B$3:$B$5001,$A$60,BD!$F$3:$F$5001,"&lt;&gt;")=0,"",SUMIFS(BD!$F$3:$F$5001,BD!$A$3:$A$5001,P$3,BD!$B$3:$B$5001,$A$60)))</f>
        <v/>
      </c>
      <c r="Q63" s="173" t="str">
        <f>IF(Q$3="","",IF(COUNTIFS(BD!$A$3:$A$5001,Q$3,BD!$B$3:$B$5001,$A$60,BD!$F$3:$F$5001,"&lt;&gt;")=0,"",SUMIFS(BD!$F$3:$F$5001,BD!$A$3:$A$5001,Q$3,BD!$B$3:$B$5001,$A$60)))</f>
        <v/>
      </c>
      <c r="R63" s="173" t="str">
        <f>IF(R$3="","",IF(COUNTIFS(BD!$A$3:$A$5001,R$3,BD!$B$3:$B$5001,$A$60,BD!$F$3:$F$5001,"&lt;&gt;")=0,"",SUMIFS(BD!$F$3:$F$5001,BD!$A$3:$A$5001,R$3,BD!$B$3:$B$5001,$A$60)))</f>
        <v/>
      </c>
      <c r="S63" s="173" t="str">
        <f>IF(S$3="","",IF(COUNTIFS(BD!$A$3:$A$5001,S$3,BD!$B$3:$B$5001,$A$60,BD!$F$3:$F$5001,"&lt;&gt;")=0,"",SUMIFS(BD!$F$3:$F$5001,BD!$A$3:$A$5001,S$3,BD!$B$3:$B$5001,$A$60)))</f>
        <v/>
      </c>
      <c r="T63" s="173" t="str">
        <f>IF(T$3="","",IF(COUNTIFS(BD!$A$3:$A$5001,T$3,BD!$B$3:$B$5001,$A$60,BD!$F$3:$F$5001,"&lt;&gt;")=0,"",SUMIFS(BD!$F$3:$F$5001,BD!$A$3:$A$5001,T$3,BD!$B$3:$B$5001,$A$60)))</f>
        <v/>
      </c>
      <c r="U63" s="173" t="str">
        <f>IF(U$3="","",IF(COUNTIFS(BD!$A$3:$A$5001,U$3,BD!$B$3:$B$5001,$A$60,BD!$F$3:$F$5001,"&lt;&gt;")=0,"",SUMIFS(BD!$F$3:$F$5001,BD!$A$3:$A$5001,U$3,BD!$B$3:$B$5001,$A$60)))</f>
        <v/>
      </c>
      <c r="V63" s="173" t="str">
        <f>IF(V$3="","",IF(COUNTIFS(BD!$A$3:$A$5001,V$3,BD!$B$3:$B$5001,$A$60,BD!$F$3:$F$5001,"&lt;&gt;")=0,"",SUMIFS(BD!$F$3:$F$5001,BD!$A$3:$A$5001,V$3,BD!$B$3:$B$5001,$A$60)))</f>
        <v/>
      </c>
      <c r="W63" s="173" t="str">
        <f>IF(W$3="","",IF(COUNTIFS(BD!$A$3:$A$5001,W$3,BD!$B$3:$B$5001,$A$60,BD!$F$3:$F$5001,"&lt;&gt;")=0,"",SUMIFS(BD!$F$3:$F$5001,BD!$A$3:$A$5001,W$3,BD!$B$3:$B$5001,$A$60)))</f>
        <v/>
      </c>
      <c r="X63" s="173" t="str">
        <f>IF(X$3="","",IF(COUNTIFS(BD!$A$3:$A$5001,X$3,BD!$B$3:$B$5001,$A$60,BD!$F$3:$F$5001,"&lt;&gt;")=0,"",SUMIFS(BD!$F$3:$F$5001,BD!$A$3:$A$5001,X$3,BD!$B$3:$B$5001,$A$60)))</f>
        <v/>
      </c>
      <c r="Y63" s="173" t="str">
        <f>IF(Y$3="","",IF(COUNTIFS(BD!$A$3:$A$5001,Y$3,BD!$B$3:$B$5001,$A$60,BD!$F$3:$F$5001,"&lt;&gt;")=0,"",SUMIFS(BD!$F$3:$F$5001,BD!$A$3:$A$5001,Y$3,BD!$B$3:$B$5001,$A$60)))</f>
        <v/>
      </c>
      <c r="Z63" s="173" t="str">
        <f>IF(Z$3="","",IF(COUNTIFS(BD!$A$3:$A$5001,Z$3,BD!$B$3:$B$5001,$A$60,BD!$F$3:$F$5001,"&lt;&gt;")=0,"",SUMIFS(BD!$F$3:$F$5001,BD!$A$3:$A$5001,Z$3,BD!$B$3:$B$5001,$A$60)))</f>
        <v/>
      </c>
      <c r="AA63" s="173" t="str">
        <f>IF(AA$3="","",IF(COUNTIFS(BD!$A$3:$A$5001,AA$3,BD!$B$3:$B$5001,$A$60,BD!$F$3:$F$5001,"&lt;&gt;")=0,"",SUMIFS(BD!$F$3:$F$5001,BD!$A$3:$A$5001,AA$3,BD!$B$3:$B$5001,$A$60)))</f>
        <v/>
      </c>
      <c r="AB63" s="173" t="str">
        <f>IF(AB$3="","",IF(COUNTIFS(BD!$A$3:$A$5001,AB$3,BD!$B$3:$B$5001,$A$60,BD!$F$3:$F$5001,"&lt;&gt;")=0,"",SUMIFS(BD!$F$3:$F$5001,BD!$A$3:$A$5001,AB$3,BD!$B$3:$B$5001,$A$60)))</f>
        <v/>
      </c>
      <c r="AC63" s="173" t="str">
        <f>IF(AC$3="","",IF(COUNTIFS(BD!$A$3:$A$5001,AC$3,BD!$B$3:$B$5001,$A$60,BD!$F$3:$F$5001,"&lt;&gt;")=0,"",SUMIFS(BD!$F$3:$F$5001,BD!$A$3:$A$5001,AC$3,BD!$B$3:$B$5001,$A$60)))</f>
        <v/>
      </c>
      <c r="AD63" s="173" t="str">
        <f>IF(AD$3="","",IF(COUNTIFS(BD!$A$3:$A$5001,AD$3,BD!$B$3:$B$5001,$A$60,BD!$F$3:$F$5001,"&lt;&gt;")=0,"",SUMIFS(BD!$F$3:$F$5001,BD!$A$3:$A$5001,AD$3,BD!$B$3:$B$5001,$A$60)))</f>
        <v/>
      </c>
      <c r="AE63" s="173" t="str">
        <f>IF(AE$3="","",IF(COUNTIFS(BD!$A$3:$A$5001,AE$3,BD!$B$3:$B$5001,$A$60,BD!$F$3:$F$5001,"&lt;&gt;")=0,"",SUMIFS(BD!$F$3:$F$5001,BD!$A$3:$A$5001,AE$3,BD!$B$3:$B$5001,$A$60)))</f>
        <v/>
      </c>
      <c r="AF63" s="173" t="str">
        <f>IF(AF$3="","",IF(COUNTIFS(BD!$A$3:$A$5001,AF$3,BD!$B$3:$B$5001,$A$60,BD!$F$3:$F$5001,"&lt;&gt;")=0,"",SUMIFS(BD!$F$3:$F$5001,BD!$A$3:$A$5001,AF$3,BD!$B$3:$B$5001,$A$60)))</f>
        <v/>
      </c>
      <c r="AG63" s="173" t="str">
        <f>IF(AG$3="","",IF(COUNTIFS(BD!$A$3:$A$5001,AG$3,BD!$B$3:$B$5001,$A$60,BD!$F$3:$F$5001,"&lt;&gt;")=0,"",SUMIFS(BD!$F$3:$F$5001,BD!$A$3:$A$5001,AG$3,BD!$B$3:$B$5001,$A$60)))</f>
        <v/>
      </c>
      <c r="AH63" s="173" t="str">
        <f>IF(AH$3="","",IF(COUNTIFS(BD!$A$3:$A$5001,AH$3,BD!$B$3:$B$5001,$A$60,BD!$F$3:$F$5001,"&lt;&gt;")=0,"",SUMIFS(BD!$F$3:$F$5001,BD!$A$3:$A$5001,AH$3,BD!$B$3:$B$5001,$A$60)))</f>
        <v/>
      </c>
      <c r="AI63" s="173" t="str">
        <f>IF(AI$3="","",IF(COUNTIFS(BD!$A$3:$A$5001,AI$3,BD!$B$3:$B$5001,$A$60,BD!$F$3:$F$5001,"&lt;&gt;")=0,"",SUMIFS(BD!$F$3:$F$5001,BD!$A$3:$A$5001,AI$3,BD!$B$3:$B$5001,$A$60)))</f>
        <v/>
      </c>
      <c r="AJ63" s="174" t="str">
        <f>IF(AJ$3="","",IF(COUNTIFS(BD!$A$3:$A$5001,AJ$3,BD!$B$3:$B$5001,$A$60,BD!$F$3:$F$5001,"&lt;&gt;")=0,"",SUMIFS(BD!$F$3:$F$5001,BD!$A$3:$A$5001,AJ$3,BD!$B$3:$B$5001,$A$60)))</f>
        <v/>
      </c>
      <c r="AK63" s="175" t="str">
        <f>IF(COUNT(F63:AJ63)=0,"",SUM(F63:AJ63))</f>
        <v/>
      </c>
    </row>
    <row r="64" ht="15.75" customHeight="1">
      <c r="A64" s="247"/>
      <c r="B64" s="238"/>
      <c r="C64" s="176" t="inlineStr">
        <is>
          <t xml:space="preserve">Pallets Movimentados</t>
        </is>
      </c>
      <c r="D64" s="177" t="str">
        <f>IFERROR(1/(1/INDEX(BD!$Y$27:$AD$27,MATCH($A$60,BD!$Y$22:$AD$22,0))),"")</f>
        <v/>
      </c>
      <c r="E64" s="178"/>
      <c r="F64" s="179" t="str">
        <f>IF(F$3="","",IF(COUNTIFS(BD!$A$3:$A$5001,F$3,BD!$B$3:$B$5001,$A$60,BD!$G$3:$G$5001,"&lt;&gt;")=0,"",SUMIFS(BD!$G$3:$G$5001,BD!$A$3:$A$5001,F$3,BD!$B$3:$B$5001,$A$60)))</f>
        <v/>
      </c>
      <c r="G64" s="180" t="str">
        <f>IF(G$3="","",IF(COUNTIFS(BD!$A$3:$A$5001,G$3,BD!$B$3:$B$5001,$A$60,BD!$G$3:$G$5001,"&lt;&gt;")=0,"",SUMIFS(BD!$G$3:$G$5001,BD!$A$3:$A$5001,G$3,BD!$B$3:$B$5001,$A$60)))</f>
        <v/>
      </c>
      <c r="H64" s="180" t="str">
        <f>IF(H$3="","",IF(COUNTIFS(BD!$A$3:$A$5001,H$3,BD!$B$3:$B$5001,$A$60,BD!$G$3:$G$5001,"&lt;&gt;")=0,"",SUMIFS(BD!$G$3:$G$5001,BD!$A$3:$A$5001,H$3,BD!$B$3:$B$5001,$A$60)))</f>
        <v/>
      </c>
      <c r="I64" s="180" t="str">
        <f>IF(I$3="","",IF(COUNTIFS(BD!$A$3:$A$5001,I$3,BD!$B$3:$B$5001,$A$60,BD!$G$3:$G$5001,"&lt;&gt;")=0,"",SUMIFS(BD!$G$3:$G$5001,BD!$A$3:$A$5001,I$3,BD!$B$3:$B$5001,$A$60)))</f>
        <v/>
      </c>
      <c r="J64" s="180" t="str">
        <f>IF(J$3="","",IF(COUNTIFS(BD!$A$3:$A$5001,J$3,BD!$B$3:$B$5001,$A$60,BD!$G$3:$G$5001,"&lt;&gt;")=0,"",SUMIFS(BD!$G$3:$G$5001,BD!$A$3:$A$5001,J$3,BD!$B$3:$B$5001,$A$60)))</f>
        <v/>
      </c>
      <c r="K64" s="180" t="str">
        <f>IF(K$3="","",IF(COUNTIFS(BD!$A$3:$A$5001,K$3,BD!$B$3:$B$5001,$A$60,BD!$G$3:$G$5001,"&lt;&gt;")=0,"",SUMIFS(BD!$G$3:$G$5001,BD!$A$3:$A$5001,K$3,BD!$B$3:$B$5001,$A$60)))</f>
        <v/>
      </c>
      <c r="L64" s="180" t="str">
        <f>IF(L$3="","",IF(COUNTIFS(BD!$A$3:$A$5001,L$3,BD!$B$3:$B$5001,$A$60,BD!$G$3:$G$5001,"&lt;&gt;")=0,"",SUMIFS(BD!$G$3:$G$5001,BD!$A$3:$A$5001,L$3,BD!$B$3:$B$5001,$A$60)))</f>
        <v/>
      </c>
      <c r="M64" s="180" t="str">
        <f>IF(M$3="","",IF(COUNTIFS(BD!$A$3:$A$5001,M$3,BD!$B$3:$B$5001,$A$60,BD!$G$3:$G$5001,"&lt;&gt;")=0,"",SUMIFS(BD!$G$3:$G$5001,BD!$A$3:$A$5001,M$3,BD!$B$3:$B$5001,$A$60)))</f>
        <v/>
      </c>
      <c r="N64" s="180" t="str">
        <f>IF(N$3="","",IF(COUNTIFS(BD!$A$3:$A$5001,N$3,BD!$B$3:$B$5001,$A$60,BD!$G$3:$G$5001,"&lt;&gt;")=0,"",SUMIFS(BD!$G$3:$G$5001,BD!$A$3:$A$5001,N$3,BD!$B$3:$B$5001,$A$60)))</f>
        <v/>
      </c>
      <c r="O64" s="180" t="str">
        <f>IF(O$3="","",IF(COUNTIFS(BD!$A$3:$A$5001,O$3,BD!$B$3:$B$5001,$A$60,BD!$G$3:$G$5001,"&lt;&gt;")=0,"",SUMIFS(BD!$G$3:$G$5001,BD!$A$3:$A$5001,O$3,BD!$B$3:$B$5001,$A$60)))</f>
        <v/>
      </c>
      <c r="P64" s="180" t="str">
        <f>IF(P$3="","",IF(COUNTIFS(BD!$A$3:$A$5001,P$3,BD!$B$3:$B$5001,$A$60,BD!$G$3:$G$5001,"&lt;&gt;")=0,"",SUMIFS(BD!$G$3:$G$5001,BD!$A$3:$A$5001,P$3,BD!$B$3:$B$5001,$A$60)))</f>
        <v/>
      </c>
      <c r="Q64" s="180" t="str">
        <f>IF(Q$3="","",IF(COUNTIFS(BD!$A$3:$A$5001,Q$3,BD!$B$3:$B$5001,$A$60,BD!$G$3:$G$5001,"&lt;&gt;")=0,"",SUMIFS(BD!$G$3:$G$5001,BD!$A$3:$A$5001,Q$3,BD!$B$3:$B$5001,$A$60)))</f>
        <v/>
      </c>
      <c r="R64" s="180" t="str">
        <f>IF(R$3="","",IF(COUNTIFS(BD!$A$3:$A$5001,R$3,BD!$B$3:$B$5001,$A$60,BD!$G$3:$G$5001,"&lt;&gt;")=0,"",SUMIFS(BD!$G$3:$G$5001,BD!$A$3:$A$5001,R$3,BD!$B$3:$B$5001,$A$60)))</f>
        <v/>
      </c>
      <c r="S64" s="180" t="str">
        <f>IF(S$3="","",IF(COUNTIFS(BD!$A$3:$A$5001,S$3,BD!$B$3:$B$5001,$A$60,BD!$G$3:$G$5001,"&lt;&gt;")=0,"",SUMIFS(BD!$G$3:$G$5001,BD!$A$3:$A$5001,S$3,BD!$B$3:$B$5001,$A$60)))</f>
        <v/>
      </c>
      <c r="T64" s="180" t="str">
        <f>IF(T$3="","",IF(COUNTIFS(BD!$A$3:$A$5001,T$3,BD!$B$3:$B$5001,$A$60,BD!$G$3:$G$5001,"&lt;&gt;")=0,"",SUMIFS(BD!$G$3:$G$5001,BD!$A$3:$A$5001,T$3,BD!$B$3:$B$5001,$A$60)))</f>
        <v/>
      </c>
      <c r="U64" s="180" t="str">
        <f>IF(U$3="","",IF(COUNTIFS(BD!$A$3:$A$5001,U$3,BD!$B$3:$B$5001,$A$60,BD!$G$3:$G$5001,"&lt;&gt;")=0,"",SUMIFS(BD!$G$3:$G$5001,BD!$A$3:$A$5001,U$3,BD!$B$3:$B$5001,$A$60)))</f>
        <v/>
      </c>
      <c r="V64" s="180" t="str">
        <f>IF(V$3="","",IF(COUNTIFS(BD!$A$3:$A$5001,V$3,BD!$B$3:$B$5001,$A$60,BD!$G$3:$G$5001,"&lt;&gt;")=0,"",SUMIFS(BD!$G$3:$G$5001,BD!$A$3:$A$5001,V$3,BD!$B$3:$B$5001,$A$60)))</f>
        <v/>
      </c>
      <c r="W64" s="180" t="str">
        <f>IF(W$3="","",IF(COUNTIFS(BD!$A$3:$A$5001,W$3,BD!$B$3:$B$5001,$A$60,BD!$G$3:$G$5001,"&lt;&gt;")=0,"",SUMIFS(BD!$G$3:$G$5001,BD!$A$3:$A$5001,W$3,BD!$B$3:$B$5001,$A$60)))</f>
        <v/>
      </c>
      <c r="X64" s="180" t="str">
        <f>IF(X$3="","",IF(COUNTIFS(BD!$A$3:$A$5001,X$3,BD!$B$3:$B$5001,$A$60,BD!$G$3:$G$5001,"&lt;&gt;")=0,"",SUMIFS(BD!$G$3:$G$5001,BD!$A$3:$A$5001,X$3,BD!$B$3:$B$5001,$A$60)))</f>
        <v/>
      </c>
      <c r="Y64" s="180" t="str">
        <f>IF(Y$3="","",IF(COUNTIFS(BD!$A$3:$A$5001,Y$3,BD!$B$3:$B$5001,$A$60,BD!$G$3:$G$5001,"&lt;&gt;")=0,"",SUMIFS(BD!$G$3:$G$5001,BD!$A$3:$A$5001,Y$3,BD!$B$3:$B$5001,$A$60)))</f>
        <v/>
      </c>
      <c r="Z64" s="180" t="str">
        <f>IF(Z$3="","",IF(COUNTIFS(BD!$A$3:$A$5001,Z$3,BD!$B$3:$B$5001,$A$60,BD!$G$3:$G$5001,"&lt;&gt;")=0,"",SUMIFS(BD!$G$3:$G$5001,BD!$A$3:$A$5001,Z$3,BD!$B$3:$B$5001,$A$60)))</f>
        <v/>
      </c>
      <c r="AA64" s="180" t="str">
        <f>IF(AA$3="","",IF(COUNTIFS(BD!$A$3:$A$5001,AA$3,BD!$B$3:$B$5001,$A$60,BD!$G$3:$G$5001,"&lt;&gt;")=0,"",SUMIFS(BD!$G$3:$G$5001,BD!$A$3:$A$5001,AA$3,BD!$B$3:$B$5001,$A$60)))</f>
        <v/>
      </c>
      <c r="AB64" s="180" t="str">
        <f>IF(AB$3="","",IF(COUNTIFS(BD!$A$3:$A$5001,AB$3,BD!$B$3:$B$5001,$A$60,BD!$G$3:$G$5001,"&lt;&gt;")=0,"",SUMIFS(BD!$G$3:$G$5001,BD!$A$3:$A$5001,AB$3,BD!$B$3:$B$5001,$A$60)))</f>
        <v/>
      </c>
      <c r="AC64" s="180" t="str">
        <f>IF(AC$3="","",IF(COUNTIFS(BD!$A$3:$A$5001,AC$3,BD!$B$3:$B$5001,$A$60,BD!$G$3:$G$5001,"&lt;&gt;")=0,"",SUMIFS(BD!$G$3:$G$5001,BD!$A$3:$A$5001,AC$3,BD!$B$3:$B$5001,$A$60)))</f>
        <v/>
      </c>
      <c r="AD64" s="180" t="str">
        <f>IF(AD$3="","",IF(COUNTIFS(BD!$A$3:$A$5001,AD$3,BD!$B$3:$B$5001,$A$60,BD!$G$3:$G$5001,"&lt;&gt;")=0,"",SUMIFS(BD!$G$3:$G$5001,BD!$A$3:$A$5001,AD$3,BD!$B$3:$B$5001,$A$60)))</f>
        <v/>
      </c>
      <c r="AE64" s="180" t="str">
        <f>IF(AE$3="","",IF(COUNTIFS(BD!$A$3:$A$5001,AE$3,BD!$B$3:$B$5001,$A$60,BD!$G$3:$G$5001,"&lt;&gt;")=0,"",SUMIFS(BD!$G$3:$G$5001,BD!$A$3:$A$5001,AE$3,BD!$B$3:$B$5001,$A$60)))</f>
        <v/>
      </c>
      <c r="AF64" s="180" t="str">
        <f>IF(AF$3="","",IF(COUNTIFS(BD!$A$3:$A$5001,AF$3,BD!$B$3:$B$5001,$A$60,BD!$G$3:$G$5001,"&lt;&gt;")=0,"",SUMIFS(BD!$G$3:$G$5001,BD!$A$3:$A$5001,AF$3,BD!$B$3:$B$5001,$A$60)))</f>
        <v/>
      </c>
      <c r="AG64" s="180" t="str">
        <f>IF(AG$3="","",IF(COUNTIFS(BD!$A$3:$A$5001,AG$3,BD!$B$3:$B$5001,$A$60,BD!$G$3:$G$5001,"&lt;&gt;")=0,"",SUMIFS(BD!$G$3:$G$5001,BD!$A$3:$A$5001,AG$3,BD!$B$3:$B$5001,$A$60)))</f>
        <v/>
      </c>
      <c r="AH64" s="180" t="str">
        <f>IF(AH$3="","",IF(COUNTIFS(BD!$A$3:$A$5001,AH$3,BD!$B$3:$B$5001,$A$60,BD!$G$3:$G$5001,"&lt;&gt;")=0,"",SUMIFS(BD!$G$3:$G$5001,BD!$A$3:$A$5001,AH$3,BD!$B$3:$B$5001,$A$60)))</f>
        <v/>
      </c>
      <c r="AI64" s="180" t="str">
        <f>IF(AI$3="","",IF(COUNTIFS(BD!$A$3:$A$5001,AI$3,BD!$B$3:$B$5001,$A$60,BD!$G$3:$G$5001,"&lt;&gt;")=0,"",SUMIFS(BD!$G$3:$G$5001,BD!$A$3:$A$5001,AI$3,BD!$B$3:$B$5001,$A$60)))</f>
        <v/>
      </c>
      <c r="AJ64" s="181" t="str">
        <f>IF(AJ$3="","",IF(COUNTIFS(BD!$A$3:$A$5001,AJ$3,BD!$B$3:$B$5001,$A$60,BD!$G$3:$G$5001,"&lt;&gt;")=0,"",SUMIFS(BD!$G$3:$G$5001,BD!$A$3:$A$5001,AJ$3,BD!$B$3:$B$5001,$A$60)))</f>
        <v/>
      </c>
      <c r="AK64" s="182" t="str">
        <f>IF(COUNT(F64:AJ64)=0,"",SUM(F64:AJ64))</f>
        <v/>
      </c>
    </row>
    <row r="65" ht="15.75" customHeight="1">
      <c r="A65" s="247"/>
      <c r="B65" s="239"/>
      <c r="C65" s="183" t="inlineStr">
        <is>
          <t xml:space="preserve">Toneladas Movimentadas</t>
        </is>
      </c>
      <c r="D65" s="184" t="str">
        <f>IFERROR(1/(1/INDEX(BD!$Y$28:$AD$28,MATCH($A$60,BD!$Y$22:$AD$22,0))),"")</f>
        <v/>
      </c>
      <c r="E65" s="185"/>
      <c r="F65" s="186" t="str">
        <f>IF(F$3="","",IF(COUNTIFS(BD!$A$3:$A$5001,F$3,BD!$B$3:$B$5001,$A$60,BD!$H$3:$H$5001,"&lt;&gt;")=0,"",SUMIFS(BD!$H$3:$H$5001,BD!$A$3:$A$5001,F$3,BD!$B$3:$B$5001,$A$60)))</f>
        <v/>
      </c>
      <c r="G65" s="187" t="str">
        <f>IF(G$3="","",IF(COUNTIFS(BD!$A$3:$A$5001,G$3,BD!$B$3:$B$5001,$A$60,BD!$H$3:$H$5001,"&lt;&gt;")=0,"",SUMIFS(BD!$H$3:$H$5001,BD!$A$3:$A$5001,G$3,BD!$B$3:$B$5001,$A$60)))</f>
        <v/>
      </c>
      <c r="H65" s="187" t="str">
        <f>IF(H$3="","",IF(COUNTIFS(BD!$A$3:$A$5001,H$3,BD!$B$3:$B$5001,$A$60,BD!$H$3:$H$5001,"&lt;&gt;")=0,"",SUMIFS(BD!$H$3:$H$5001,BD!$A$3:$A$5001,H$3,BD!$B$3:$B$5001,$A$60)))</f>
        <v/>
      </c>
      <c r="I65" s="187" t="str">
        <f>IF(I$3="","",IF(COUNTIFS(BD!$A$3:$A$5001,I$3,BD!$B$3:$B$5001,$A$60,BD!$H$3:$H$5001,"&lt;&gt;")=0,"",SUMIFS(BD!$H$3:$H$5001,BD!$A$3:$A$5001,I$3,BD!$B$3:$B$5001,$A$60)))</f>
        <v/>
      </c>
      <c r="J65" s="187" t="str">
        <f>IF(J$3="","",IF(COUNTIFS(BD!$A$3:$A$5001,J$3,BD!$B$3:$B$5001,$A$60,BD!$H$3:$H$5001,"&lt;&gt;")=0,"",SUMIFS(BD!$H$3:$H$5001,BD!$A$3:$A$5001,J$3,BD!$B$3:$B$5001,$A$60)))</f>
        <v/>
      </c>
      <c r="K65" s="187" t="str">
        <f>IF(K$3="","",IF(COUNTIFS(BD!$A$3:$A$5001,K$3,BD!$B$3:$B$5001,$A$60,BD!$H$3:$H$5001,"&lt;&gt;")=0,"",SUMIFS(BD!$H$3:$H$5001,BD!$A$3:$A$5001,K$3,BD!$B$3:$B$5001,$A$60)))</f>
        <v/>
      </c>
      <c r="L65" s="187" t="str">
        <f>IF(L$3="","",IF(COUNTIFS(BD!$A$3:$A$5001,L$3,BD!$B$3:$B$5001,$A$60,BD!$H$3:$H$5001,"&lt;&gt;")=0,"",SUMIFS(BD!$H$3:$H$5001,BD!$A$3:$A$5001,L$3,BD!$B$3:$B$5001,$A$60)))</f>
        <v/>
      </c>
      <c r="M65" s="187" t="str">
        <f>IF(M$3="","",IF(COUNTIFS(BD!$A$3:$A$5001,M$3,BD!$B$3:$B$5001,$A$60,BD!$H$3:$H$5001,"&lt;&gt;")=0,"",SUMIFS(BD!$H$3:$H$5001,BD!$A$3:$A$5001,M$3,BD!$B$3:$B$5001,$A$60)))</f>
        <v/>
      </c>
      <c r="N65" s="187" t="str">
        <f>IF(N$3="","",IF(COUNTIFS(BD!$A$3:$A$5001,N$3,BD!$B$3:$B$5001,$A$60,BD!$H$3:$H$5001,"&lt;&gt;")=0,"",SUMIFS(BD!$H$3:$H$5001,BD!$A$3:$A$5001,N$3,BD!$B$3:$B$5001,$A$60)))</f>
        <v/>
      </c>
      <c r="O65" s="187" t="str">
        <f>IF(O$3="","",IF(COUNTIFS(BD!$A$3:$A$5001,O$3,BD!$B$3:$B$5001,$A$60,BD!$H$3:$H$5001,"&lt;&gt;")=0,"",SUMIFS(BD!$H$3:$H$5001,BD!$A$3:$A$5001,O$3,BD!$B$3:$B$5001,$A$60)))</f>
        <v/>
      </c>
      <c r="P65" s="187" t="str">
        <f>IF(P$3="","",IF(COUNTIFS(BD!$A$3:$A$5001,P$3,BD!$B$3:$B$5001,$A$60,BD!$H$3:$H$5001,"&lt;&gt;")=0,"",SUMIFS(BD!$H$3:$H$5001,BD!$A$3:$A$5001,P$3,BD!$B$3:$B$5001,$A$60)))</f>
        <v/>
      </c>
      <c r="Q65" s="187" t="str">
        <f>IF(Q$3="","",IF(COUNTIFS(BD!$A$3:$A$5001,Q$3,BD!$B$3:$B$5001,$A$60,BD!$H$3:$H$5001,"&lt;&gt;")=0,"",SUMIFS(BD!$H$3:$H$5001,BD!$A$3:$A$5001,Q$3,BD!$B$3:$B$5001,$A$60)))</f>
        <v/>
      </c>
      <c r="R65" s="187" t="str">
        <f>IF(R$3="","",IF(COUNTIFS(BD!$A$3:$A$5001,R$3,BD!$B$3:$B$5001,$A$60,BD!$H$3:$H$5001,"&lt;&gt;")=0,"",SUMIFS(BD!$H$3:$H$5001,BD!$A$3:$A$5001,R$3,BD!$B$3:$B$5001,$A$60)))</f>
        <v/>
      </c>
      <c r="S65" s="187" t="str">
        <f>IF(S$3="","",IF(COUNTIFS(BD!$A$3:$A$5001,S$3,BD!$B$3:$B$5001,$A$60,BD!$H$3:$H$5001,"&lt;&gt;")=0,"",SUMIFS(BD!$H$3:$H$5001,BD!$A$3:$A$5001,S$3,BD!$B$3:$B$5001,$A$60)))</f>
        <v/>
      </c>
      <c r="T65" s="187" t="str">
        <f>IF(T$3="","",IF(COUNTIFS(BD!$A$3:$A$5001,T$3,BD!$B$3:$B$5001,$A$60,BD!$H$3:$H$5001,"&lt;&gt;")=0,"",SUMIFS(BD!$H$3:$H$5001,BD!$A$3:$A$5001,T$3,BD!$B$3:$B$5001,$A$60)))</f>
        <v/>
      </c>
      <c r="U65" s="187" t="str">
        <f>IF(U$3="","",IF(COUNTIFS(BD!$A$3:$A$5001,U$3,BD!$B$3:$B$5001,$A$60,BD!$H$3:$H$5001,"&lt;&gt;")=0,"",SUMIFS(BD!$H$3:$H$5001,BD!$A$3:$A$5001,U$3,BD!$B$3:$B$5001,$A$60)))</f>
        <v/>
      </c>
      <c r="V65" s="187" t="str">
        <f>IF(V$3="","",IF(COUNTIFS(BD!$A$3:$A$5001,V$3,BD!$B$3:$B$5001,$A$60,BD!$H$3:$H$5001,"&lt;&gt;")=0,"",SUMIFS(BD!$H$3:$H$5001,BD!$A$3:$A$5001,V$3,BD!$B$3:$B$5001,$A$60)))</f>
        <v/>
      </c>
      <c r="W65" s="187" t="str">
        <f>IF(W$3="","",IF(COUNTIFS(BD!$A$3:$A$5001,W$3,BD!$B$3:$B$5001,$A$60,BD!$H$3:$H$5001,"&lt;&gt;")=0,"",SUMIFS(BD!$H$3:$H$5001,BD!$A$3:$A$5001,W$3,BD!$B$3:$B$5001,$A$60)))</f>
        <v/>
      </c>
      <c r="X65" s="187" t="str">
        <f>IF(X$3="","",IF(COUNTIFS(BD!$A$3:$A$5001,X$3,BD!$B$3:$B$5001,$A$60,BD!$H$3:$H$5001,"&lt;&gt;")=0,"",SUMIFS(BD!$H$3:$H$5001,BD!$A$3:$A$5001,X$3,BD!$B$3:$B$5001,$A$60)))</f>
        <v/>
      </c>
      <c r="Y65" s="187" t="str">
        <f>IF(Y$3="","",IF(COUNTIFS(BD!$A$3:$A$5001,Y$3,BD!$B$3:$B$5001,$A$60,BD!$H$3:$H$5001,"&lt;&gt;")=0,"",SUMIFS(BD!$H$3:$H$5001,BD!$A$3:$A$5001,Y$3,BD!$B$3:$B$5001,$A$60)))</f>
        <v/>
      </c>
      <c r="Z65" s="187" t="str">
        <f>IF(Z$3="","",IF(COUNTIFS(BD!$A$3:$A$5001,Z$3,BD!$B$3:$B$5001,$A$60,BD!$H$3:$H$5001,"&lt;&gt;")=0,"",SUMIFS(BD!$H$3:$H$5001,BD!$A$3:$A$5001,Z$3,BD!$B$3:$B$5001,$A$60)))</f>
        <v/>
      </c>
      <c r="AA65" s="187" t="str">
        <f>IF(AA$3="","",IF(COUNTIFS(BD!$A$3:$A$5001,AA$3,BD!$B$3:$B$5001,$A$60,BD!$H$3:$H$5001,"&lt;&gt;")=0,"",SUMIFS(BD!$H$3:$H$5001,BD!$A$3:$A$5001,AA$3,BD!$B$3:$B$5001,$A$60)))</f>
        <v/>
      </c>
      <c r="AB65" s="187" t="str">
        <f>IF(AB$3="","",IF(COUNTIFS(BD!$A$3:$A$5001,AB$3,BD!$B$3:$B$5001,$A$60,BD!$H$3:$H$5001,"&lt;&gt;")=0,"",SUMIFS(BD!$H$3:$H$5001,BD!$A$3:$A$5001,AB$3,BD!$B$3:$B$5001,$A$60)))</f>
        <v/>
      </c>
      <c r="AC65" s="187" t="str">
        <f>IF(AC$3="","",IF(COUNTIFS(BD!$A$3:$A$5001,AC$3,BD!$B$3:$B$5001,$A$60,BD!$H$3:$H$5001,"&lt;&gt;")=0,"",SUMIFS(BD!$H$3:$H$5001,BD!$A$3:$A$5001,AC$3,BD!$B$3:$B$5001,$A$60)))</f>
        <v/>
      </c>
      <c r="AD65" s="187" t="str">
        <f>IF(AD$3="","",IF(COUNTIFS(BD!$A$3:$A$5001,AD$3,BD!$B$3:$B$5001,$A$60,BD!$H$3:$H$5001,"&lt;&gt;")=0,"",SUMIFS(BD!$H$3:$H$5001,BD!$A$3:$A$5001,AD$3,BD!$B$3:$B$5001,$A$60)))</f>
        <v/>
      </c>
      <c r="AE65" s="187" t="str">
        <f>IF(AE$3="","",IF(COUNTIFS(BD!$A$3:$A$5001,AE$3,BD!$B$3:$B$5001,$A$60,BD!$H$3:$H$5001,"&lt;&gt;")=0,"",SUMIFS(BD!$H$3:$H$5001,BD!$A$3:$A$5001,AE$3,BD!$B$3:$B$5001,$A$60)))</f>
        <v/>
      </c>
      <c r="AF65" s="187" t="str">
        <f>IF(AF$3="","",IF(COUNTIFS(BD!$A$3:$A$5001,AF$3,BD!$B$3:$B$5001,$A$60,BD!$H$3:$H$5001,"&lt;&gt;")=0,"",SUMIFS(BD!$H$3:$H$5001,BD!$A$3:$A$5001,AF$3,BD!$B$3:$B$5001,$A$60)))</f>
        <v/>
      </c>
      <c r="AG65" s="187" t="str">
        <f>IF(AG$3="","",IF(COUNTIFS(BD!$A$3:$A$5001,AG$3,BD!$B$3:$B$5001,$A$60,BD!$H$3:$H$5001,"&lt;&gt;")=0,"",SUMIFS(BD!$H$3:$H$5001,BD!$A$3:$A$5001,AG$3,BD!$B$3:$B$5001,$A$60)))</f>
        <v/>
      </c>
      <c r="AH65" s="187" t="str">
        <f>IF(AH$3="","",IF(COUNTIFS(BD!$A$3:$A$5001,AH$3,BD!$B$3:$B$5001,$A$60,BD!$H$3:$H$5001,"&lt;&gt;")=0,"",SUMIFS(BD!$H$3:$H$5001,BD!$A$3:$A$5001,AH$3,BD!$B$3:$B$5001,$A$60)))</f>
        <v/>
      </c>
      <c r="AI65" s="187" t="str">
        <f>IF(AI$3="","",IF(COUNTIFS(BD!$A$3:$A$5001,AI$3,BD!$B$3:$B$5001,$A$60,BD!$H$3:$H$5001,"&lt;&gt;")=0,"",SUMIFS(BD!$H$3:$H$5001,BD!$A$3:$A$5001,AI$3,BD!$B$3:$B$5001,$A$60)))</f>
        <v/>
      </c>
      <c r="AJ65" s="188" t="str">
        <f>IF(AJ$3="","",IF(COUNTIFS(BD!$A$3:$A$5001,AJ$3,BD!$B$3:$B$5001,$A$60,BD!$H$3:$H$5001,"&lt;&gt;")=0,"",SUMIFS(BD!$H$3:$H$5001,BD!$A$3:$A$5001,AJ$3,BD!$B$3:$B$5001,$A$60)))</f>
        <v/>
      </c>
      <c r="AK65" s="189" t="str">
        <f>IF(COUNT(F65:AJ65)=0,"",SUM(F65:AJ65))</f>
        <v/>
      </c>
    </row>
    <row r="66" ht="15.75" customHeight="1">
      <c r="A66" s="247"/>
      <c r="B66" s="240" t="inlineStr">
        <is>
          <t xml:space="preserve">NC</t>
        </is>
      </c>
      <c r="C66" s="190" t="inlineStr">
        <is>
          <t xml:space="preserve">Incidentes</t>
        </is>
      </c>
      <c r="D66" s="191" t="str">
        <f>IFERROR(1/(1/INDEX(BD!$Y$29:$AD$29,MATCH($A$60,BD!$Y$22:$AD$22,0))),"")</f>
        <v/>
      </c>
      <c r="E66" s="192"/>
      <c r="F66" s="193" t="str">
        <f>IF(F$3="","",IF(COUNTIFS(BD!$A$3:$A$5001,F$3,BD!$B$3:$B$5001,$A$60,BD!$I$3:$I$5001,"&lt;&gt;")=0,"",SUMIFS(BD!$I$3:$I$5001,BD!$A$3:$A$5001,F$3,BD!$B$3:$B$5001,$A$60)))</f>
        <v/>
      </c>
      <c r="G66" s="194" t="str">
        <f>IF(G$3="","",IF(COUNTIFS(BD!$A$3:$A$5001,G$3,BD!$B$3:$B$5001,$A$60,BD!$I$3:$I$5001,"&lt;&gt;")=0,"",SUMIFS(BD!$I$3:$I$5001,BD!$A$3:$A$5001,G$3,BD!$B$3:$B$5001,$A$60)))</f>
        <v/>
      </c>
      <c r="H66" s="194" t="str">
        <f>IF(H$3="","",IF(COUNTIFS(BD!$A$3:$A$5001,H$3,BD!$B$3:$B$5001,$A$60,BD!$I$3:$I$5001,"&lt;&gt;")=0,"",SUMIFS(BD!$I$3:$I$5001,BD!$A$3:$A$5001,H$3,BD!$B$3:$B$5001,$A$60)))</f>
        <v/>
      </c>
      <c r="I66" s="194" t="str">
        <f>IF(I$3="","",IF(COUNTIFS(BD!$A$3:$A$5001,I$3,BD!$B$3:$B$5001,$A$60,BD!$I$3:$I$5001,"&lt;&gt;")=0,"",SUMIFS(BD!$I$3:$I$5001,BD!$A$3:$A$5001,I$3,BD!$B$3:$B$5001,$A$60)))</f>
        <v/>
      </c>
      <c r="J66" s="194" t="str">
        <f>IF(J$3="","",IF(COUNTIFS(BD!$A$3:$A$5001,J$3,BD!$B$3:$B$5001,$A$60,BD!$I$3:$I$5001,"&lt;&gt;")=0,"",SUMIFS(BD!$I$3:$I$5001,BD!$A$3:$A$5001,J$3,BD!$B$3:$B$5001,$A$60)))</f>
        <v/>
      </c>
      <c r="K66" s="194" t="str">
        <f>IF(K$3="","",IF(COUNTIFS(BD!$A$3:$A$5001,K$3,BD!$B$3:$B$5001,$A$60,BD!$I$3:$I$5001,"&lt;&gt;")=0,"",SUMIFS(BD!$I$3:$I$5001,BD!$A$3:$A$5001,K$3,BD!$B$3:$B$5001,$A$60)))</f>
        <v/>
      </c>
      <c r="L66" s="194" t="str">
        <f>IF(L$3="","",IF(COUNTIFS(BD!$A$3:$A$5001,L$3,BD!$B$3:$B$5001,$A$60,BD!$I$3:$I$5001,"&lt;&gt;")=0,"",SUMIFS(BD!$I$3:$I$5001,BD!$A$3:$A$5001,L$3,BD!$B$3:$B$5001,$A$60)))</f>
        <v/>
      </c>
      <c r="M66" s="194" t="str">
        <f>IF(M$3="","",IF(COUNTIFS(BD!$A$3:$A$5001,M$3,BD!$B$3:$B$5001,$A$60,BD!$I$3:$I$5001,"&lt;&gt;")=0,"",SUMIFS(BD!$I$3:$I$5001,BD!$A$3:$A$5001,M$3,BD!$B$3:$B$5001,$A$60)))</f>
        <v/>
      </c>
      <c r="N66" s="194" t="str">
        <f>IF(N$3="","",IF(COUNTIFS(BD!$A$3:$A$5001,N$3,BD!$B$3:$B$5001,$A$60,BD!$I$3:$I$5001,"&lt;&gt;")=0,"",SUMIFS(BD!$I$3:$I$5001,BD!$A$3:$A$5001,N$3,BD!$B$3:$B$5001,$A$60)))</f>
        <v/>
      </c>
      <c r="O66" s="194" t="str">
        <f>IF(O$3="","",IF(COUNTIFS(BD!$A$3:$A$5001,O$3,BD!$B$3:$B$5001,$A$60,BD!$I$3:$I$5001,"&lt;&gt;")=0,"",SUMIFS(BD!$I$3:$I$5001,BD!$A$3:$A$5001,O$3,BD!$B$3:$B$5001,$A$60)))</f>
        <v/>
      </c>
      <c r="P66" s="194" t="str">
        <f>IF(P$3="","",IF(COUNTIFS(BD!$A$3:$A$5001,P$3,BD!$B$3:$B$5001,$A$60,BD!$I$3:$I$5001,"&lt;&gt;")=0,"",SUMIFS(BD!$I$3:$I$5001,BD!$A$3:$A$5001,P$3,BD!$B$3:$B$5001,$A$60)))</f>
        <v/>
      </c>
      <c r="Q66" s="194" t="str">
        <f>IF(Q$3="","",IF(COUNTIFS(BD!$A$3:$A$5001,Q$3,BD!$B$3:$B$5001,$A$60,BD!$I$3:$I$5001,"&lt;&gt;")=0,"",SUMIFS(BD!$I$3:$I$5001,BD!$A$3:$A$5001,Q$3,BD!$B$3:$B$5001,$A$60)))</f>
        <v/>
      </c>
      <c r="R66" s="194" t="str">
        <f>IF(R$3="","",IF(COUNTIFS(BD!$A$3:$A$5001,R$3,BD!$B$3:$B$5001,$A$60,BD!$I$3:$I$5001,"&lt;&gt;")=0,"",SUMIFS(BD!$I$3:$I$5001,BD!$A$3:$A$5001,R$3,BD!$B$3:$B$5001,$A$60)))</f>
        <v/>
      </c>
      <c r="S66" s="194" t="str">
        <f>IF(S$3="","",IF(COUNTIFS(BD!$A$3:$A$5001,S$3,BD!$B$3:$B$5001,$A$60,BD!$I$3:$I$5001,"&lt;&gt;")=0,"",SUMIFS(BD!$I$3:$I$5001,BD!$A$3:$A$5001,S$3,BD!$B$3:$B$5001,$A$60)))</f>
        <v/>
      </c>
      <c r="T66" s="194" t="str">
        <f>IF(T$3="","",IF(COUNTIFS(BD!$A$3:$A$5001,T$3,BD!$B$3:$B$5001,$A$60,BD!$I$3:$I$5001,"&lt;&gt;")=0,"",SUMIFS(BD!$I$3:$I$5001,BD!$A$3:$A$5001,T$3,BD!$B$3:$B$5001,$A$60)))</f>
        <v/>
      </c>
      <c r="U66" s="194" t="str">
        <f>IF(U$3="","",IF(COUNTIFS(BD!$A$3:$A$5001,U$3,BD!$B$3:$B$5001,$A$60,BD!$I$3:$I$5001,"&lt;&gt;")=0,"",SUMIFS(BD!$I$3:$I$5001,BD!$A$3:$A$5001,U$3,BD!$B$3:$B$5001,$A$60)))</f>
        <v/>
      </c>
      <c r="V66" s="194" t="str">
        <f>IF(V$3="","",IF(COUNTIFS(BD!$A$3:$A$5001,V$3,BD!$B$3:$B$5001,$A$60,BD!$I$3:$I$5001,"&lt;&gt;")=0,"",SUMIFS(BD!$I$3:$I$5001,BD!$A$3:$A$5001,V$3,BD!$B$3:$B$5001,$A$60)))</f>
        <v/>
      </c>
      <c r="W66" s="194" t="str">
        <f>IF(W$3="","",IF(COUNTIFS(BD!$A$3:$A$5001,W$3,BD!$B$3:$B$5001,$A$60,BD!$I$3:$I$5001,"&lt;&gt;")=0,"",SUMIFS(BD!$I$3:$I$5001,BD!$A$3:$A$5001,W$3,BD!$B$3:$B$5001,$A$60)))</f>
        <v/>
      </c>
      <c r="X66" s="194" t="str">
        <f>IF(X$3="","",IF(COUNTIFS(BD!$A$3:$A$5001,X$3,BD!$B$3:$B$5001,$A$60,BD!$I$3:$I$5001,"&lt;&gt;")=0,"",SUMIFS(BD!$I$3:$I$5001,BD!$A$3:$A$5001,X$3,BD!$B$3:$B$5001,$A$60)))</f>
        <v/>
      </c>
      <c r="Y66" s="194" t="str">
        <f>IF(Y$3="","",IF(COUNTIFS(BD!$A$3:$A$5001,Y$3,BD!$B$3:$B$5001,$A$60,BD!$I$3:$I$5001,"&lt;&gt;")=0,"",SUMIFS(BD!$I$3:$I$5001,BD!$A$3:$A$5001,Y$3,BD!$B$3:$B$5001,$A$60)))</f>
        <v/>
      </c>
      <c r="Z66" s="194" t="str">
        <f>IF(Z$3="","",IF(COUNTIFS(BD!$A$3:$A$5001,Z$3,BD!$B$3:$B$5001,$A$60,BD!$I$3:$I$5001,"&lt;&gt;")=0,"",SUMIFS(BD!$I$3:$I$5001,BD!$A$3:$A$5001,Z$3,BD!$B$3:$B$5001,$A$60)))</f>
        <v/>
      </c>
      <c r="AA66" s="194" t="str">
        <f>IF(AA$3="","",IF(COUNTIFS(BD!$A$3:$A$5001,AA$3,BD!$B$3:$B$5001,$A$60,BD!$I$3:$I$5001,"&lt;&gt;")=0,"",SUMIFS(BD!$I$3:$I$5001,BD!$A$3:$A$5001,AA$3,BD!$B$3:$B$5001,$A$60)))</f>
        <v/>
      </c>
      <c r="AB66" s="194" t="str">
        <f>IF(AB$3="","",IF(COUNTIFS(BD!$A$3:$A$5001,AB$3,BD!$B$3:$B$5001,$A$60,BD!$I$3:$I$5001,"&lt;&gt;")=0,"",SUMIFS(BD!$I$3:$I$5001,BD!$A$3:$A$5001,AB$3,BD!$B$3:$B$5001,$A$60)))</f>
        <v/>
      </c>
      <c r="AC66" s="194" t="str">
        <f>IF(AC$3="","",IF(COUNTIFS(BD!$A$3:$A$5001,AC$3,BD!$B$3:$B$5001,$A$60,BD!$I$3:$I$5001,"&lt;&gt;")=0,"",SUMIFS(BD!$I$3:$I$5001,BD!$A$3:$A$5001,AC$3,BD!$B$3:$B$5001,$A$60)))</f>
        <v/>
      </c>
      <c r="AD66" s="194" t="str">
        <f>IF(AD$3="","",IF(COUNTIFS(BD!$A$3:$A$5001,AD$3,BD!$B$3:$B$5001,$A$60,BD!$I$3:$I$5001,"&lt;&gt;")=0,"",SUMIFS(BD!$I$3:$I$5001,BD!$A$3:$A$5001,AD$3,BD!$B$3:$B$5001,$A$60)))</f>
        <v/>
      </c>
      <c r="AE66" s="194" t="str">
        <f>IF(AE$3="","",IF(COUNTIFS(BD!$A$3:$A$5001,AE$3,BD!$B$3:$B$5001,$A$60,BD!$I$3:$I$5001,"&lt;&gt;")=0,"",SUMIFS(BD!$I$3:$I$5001,BD!$A$3:$A$5001,AE$3,BD!$B$3:$B$5001,$A$60)))</f>
        <v/>
      </c>
      <c r="AF66" s="194" t="str">
        <f>IF(AF$3="","",IF(COUNTIFS(BD!$A$3:$A$5001,AF$3,BD!$B$3:$B$5001,$A$60,BD!$I$3:$I$5001,"&lt;&gt;")=0,"",SUMIFS(BD!$I$3:$I$5001,BD!$A$3:$A$5001,AF$3,BD!$B$3:$B$5001,$A$60)))</f>
        <v/>
      </c>
      <c r="AG66" s="194" t="str">
        <f>IF(AG$3="","",IF(COUNTIFS(BD!$A$3:$A$5001,AG$3,BD!$B$3:$B$5001,$A$60,BD!$I$3:$I$5001,"&lt;&gt;")=0,"",SUMIFS(BD!$I$3:$I$5001,BD!$A$3:$A$5001,AG$3,BD!$B$3:$B$5001,$A$60)))</f>
        <v/>
      </c>
      <c r="AH66" s="194" t="str">
        <f>IF(AH$3="","",IF(COUNTIFS(BD!$A$3:$A$5001,AH$3,BD!$B$3:$B$5001,$A$60,BD!$I$3:$I$5001,"&lt;&gt;")=0,"",SUMIFS(BD!$I$3:$I$5001,BD!$A$3:$A$5001,AH$3,BD!$B$3:$B$5001,$A$60)))</f>
        <v/>
      </c>
      <c r="AI66" s="194" t="str">
        <f>IF(AI$3="","",IF(COUNTIFS(BD!$A$3:$A$5001,AI$3,BD!$B$3:$B$5001,$A$60,BD!$I$3:$I$5001,"&lt;&gt;")=0,"",SUMIFS(BD!$I$3:$I$5001,BD!$A$3:$A$5001,AI$3,BD!$B$3:$B$5001,$A$60)))</f>
        <v/>
      </c>
      <c r="AJ66" s="195" t="str">
        <f>IF(AJ$3="","",IF(COUNTIFS(BD!$A$3:$A$5001,AJ$3,BD!$B$3:$B$5001,$A$60,BD!$I$3:$I$5001,"&lt;&gt;")=0,"",SUMIFS(BD!$I$3:$I$5001,BD!$A$3:$A$5001,AJ$3,BD!$B$3:$B$5001,$A$60)))</f>
        <v/>
      </c>
      <c r="AK66" s="196" t="str">
        <f>IF(COUNT(F66:AJ66)=0,"",SUM(F66:AJ66))</f>
        <v/>
      </c>
    </row>
    <row r="67" ht="15.75" customHeight="1">
      <c r="A67" s="247"/>
      <c r="B67" s="241"/>
      <c r="C67" s="197" t="inlineStr">
        <is>
          <t xml:space="preserve">No show</t>
        </is>
      </c>
      <c r="D67" s="198" t="str">
        <f>IFERROR(1/(1/INDEX(BD!$Y$30:$AD$30,MATCH($A$60,BD!$Y$22:$AD$22,0))),"")</f>
        <v/>
      </c>
      <c r="E67" s="199"/>
      <c r="F67" s="200" t="str">
        <f>IF(F$3="","",IF(COUNTIFS(BD!$A$3:$A$5001,F$3,BD!$B$3:$B$5001,$A$60,BD!$J$3:$J$5001,"&lt;&gt;")=0,"",SUMIFS(BD!$J$3:$J$5001,BD!$A$3:$A$5001,F$3,BD!$B$3:$B$5001,$A$60)))</f>
        <v/>
      </c>
      <c r="G67" s="201" t="str">
        <f>IF(G$3="","",IF(COUNTIFS(BD!$A$3:$A$5001,G$3,BD!$B$3:$B$5001,$A$60,BD!$J$3:$J$5001,"&lt;&gt;")=0,"",SUMIFS(BD!$J$3:$J$5001,BD!$A$3:$A$5001,G$3,BD!$B$3:$B$5001,$A$60)))</f>
        <v/>
      </c>
      <c r="H67" s="201" t="str">
        <f>IF(H$3="","",IF(COUNTIFS(BD!$A$3:$A$5001,H$3,BD!$B$3:$B$5001,$A$60,BD!$J$3:$J$5001,"&lt;&gt;")=0,"",SUMIFS(BD!$J$3:$J$5001,BD!$A$3:$A$5001,H$3,BD!$B$3:$B$5001,$A$60)))</f>
        <v/>
      </c>
      <c r="I67" s="201" t="str">
        <f>IF(I$3="","",IF(COUNTIFS(BD!$A$3:$A$5001,I$3,BD!$B$3:$B$5001,$A$60,BD!$J$3:$J$5001,"&lt;&gt;")=0,"",SUMIFS(BD!$J$3:$J$5001,BD!$A$3:$A$5001,I$3,BD!$B$3:$B$5001,$A$60)))</f>
        <v/>
      </c>
      <c r="J67" s="201" t="str">
        <f>IF(J$3="","",IF(COUNTIFS(BD!$A$3:$A$5001,J$3,BD!$B$3:$B$5001,$A$60,BD!$J$3:$J$5001,"&lt;&gt;")=0,"",SUMIFS(BD!$J$3:$J$5001,BD!$A$3:$A$5001,J$3,BD!$B$3:$B$5001,$A$60)))</f>
        <v/>
      </c>
      <c r="K67" s="201" t="str">
        <f>IF(K$3="","",IF(COUNTIFS(BD!$A$3:$A$5001,K$3,BD!$B$3:$B$5001,$A$60,BD!$J$3:$J$5001,"&lt;&gt;")=0,"",SUMIFS(BD!$J$3:$J$5001,BD!$A$3:$A$5001,K$3,BD!$B$3:$B$5001,$A$60)))</f>
        <v/>
      </c>
      <c r="L67" s="201" t="str">
        <f>IF(L$3="","",IF(COUNTIFS(BD!$A$3:$A$5001,L$3,BD!$B$3:$B$5001,$A$60,BD!$J$3:$J$5001,"&lt;&gt;")=0,"",SUMIFS(BD!$J$3:$J$5001,BD!$A$3:$A$5001,L$3,BD!$B$3:$B$5001,$A$60)))</f>
        <v/>
      </c>
      <c r="M67" s="201" t="str">
        <f>IF(M$3="","",IF(COUNTIFS(BD!$A$3:$A$5001,M$3,BD!$B$3:$B$5001,$A$60,BD!$J$3:$J$5001,"&lt;&gt;")=0,"",SUMIFS(BD!$J$3:$J$5001,BD!$A$3:$A$5001,M$3,BD!$B$3:$B$5001,$A$60)))</f>
        <v/>
      </c>
      <c r="N67" s="201" t="str">
        <f>IF(N$3="","",IF(COUNTIFS(BD!$A$3:$A$5001,N$3,BD!$B$3:$B$5001,$A$60,BD!$J$3:$J$5001,"&lt;&gt;")=0,"",SUMIFS(BD!$J$3:$J$5001,BD!$A$3:$A$5001,N$3,BD!$B$3:$B$5001,$A$60)))</f>
        <v/>
      </c>
      <c r="O67" s="201" t="str">
        <f>IF(O$3="","",IF(COUNTIFS(BD!$A$3:$A$5001,O$3,BD!$B$3:$B$5001,$A$60,BD!$J$3:$J$5001,"&lt;&gt;")=0,"",SUMIFS(BD!$J$3:$J$5001,BD!$A$3:$A$5001,O$3,BD!$B$3:$B$5001,$A$60)))</f>
        <v/>
      </c>
      <c r="P67" s="201" t="str">
        <f>IF(P$3="","",IF(COUNTIFS(BD!$A$3:$A$5001,P$3,BD!$B$3:$B$5001,$A$60,BD!$J$3:$J$5001,"&lt;&gt;")=0,"",SUMIFS(BD!$J$3:$J$5001,BD!$A$3:$A$5001,P$3,BD!$B$3:$B$5001,$A$60)))</f>
        <v/>
      </c>
      <c r="Q67" s="201" t="str">
        <f>IF(Q$3="","",IF(COUNTIFS(BD!$A$3:$A$5001,Q$3,BD!$B$3:$B$5001,$A$60,BD!$J$3:$J$5001,"&lt;&gt;")=0,"",SUMIFS(BD!$J$3:$J$5001,BD!$A$3:$A$5001,Q$3,BD!$B$3:$B$5001,$A$60)))</f>
        <v/>
      </c>
      <c r="R67" s="201" t="str">
        <f>IF(R$3="","",IF(COUNTIFS(BD!$A$3:$A$5001,R$3,BD!$B$3:$B$5001,$A$60,BD!$J$3:$J$5001,"&lt;&gt;")=0,"",SUMIFS(BD!$J$3:$J$5001,BD!$A$3:$A$5001,R$3,BD!$B$3:$B$5001,$A$60)))</f>
        <v/>
      </c>
      <c r="S67" s="201" t="str">
        <f>IF(S$3="","",IF(COUNTIFS(BD!$A$3:$A$5001,S$3,BD!$B$3:$B$5001,$A$60,BD!$J$3:$J$5001,"&lt;&gt;")=0,"",SUMIFS(BD!$J$3:$J$5001,BD!$A$3:$A$5001,S$3,BD!$B$3:$B$5001,$A$60)))</f>
        <v/>
      </c>
      <c r="T67" s="201" t="str">
        <f>IF(T$3="","",IF(COUNTIFS(BD!$A$3:$A$5001,T$3,BD!$B$3:$B$5001,$A$60,BD!$J$3:$J$5001,"&lt;&gt;")=0,"",SUMIFS(BD!$J$3:$J$5001,BD!$A$3:$A$5001,T$3,BD!$B$3:$B$5001,$A$60)))</f>
        <v/>
      </c>
      <c r="U67" s="201" t="str">
        <f>IF(U$3="","",IF(COUNTIFS(BD!$A$3:$A$5001,U$3,BD!$B$3:$B$5001,$A$60,BD!$J$3:$J$5001,"&lt;&gt;")=0,"",SUMIFS(BD!$J$3:$J$5001,BD!$A$3:$A$5001,U$3,BD!$B$3:$B$5001,$A$60)))</f>
        <v/>
      </c>
      <c r="V67" s="201" t="str">
        <f>IF(V$3="","",IF(COUNTIFS(BD!$A$3:$A$5001,V$3,BD!$B$3:$B$5001,$A$60,BD!$J$3:$J$5001,"&lt;&gt;")=0,"",SUMIFS(BD!$J$3:$J$5001,BD!$A$3:$A$5001,V$3,BD!$B$3:$B$5001,$A$60)))</f>
        <v/>
      </c>
      <c r="W67" s="201" t="str">
        <f>IF(W$3="","",IF(COUNTIFS(BD!$A$3:$A$5001,W$3,BD!$B$3:$B$5001,$A$60,BD!$J$3:$J$5001,"&lt;&gt;")=0,"",SUMIFS(BD!$J$3:$J$5001,BD!$A$3:$A$5001,W$3,BD!$B$3:$B$5001,$A$60)))</f>
        <v/>
      </c>
      <c r="X67" s="201" t="str">
        <f>IF(X$3="","",IF(COUNTIFS(BD!$A$3:$A$5001,X$3,BD!$B$3:$B$5001,$A$60,BD!$J$3:$J$5001,"&lt;&gt;")=0,"",SUMIFS(BD!$J$3:$J$5001,BD!$A$3:$A$5001,X$3,BD!$B$3:$B$5001,$A$60)))</f>
        <v/>
      </c>
      <c r="Y67" s="201" t="str">
        <f>IF(Y$3="","",IF(COUNTIFS(BD!$A$3:$A$5001,Y$3,BD!$B$3:$B$5001,$A$60,BD!$J$3:$J$5001,"&lt;&gt;")=0,"",SUMIFS(BD!$J$3:$J$5001,BD!$A$3:$A$5001,Y$3,BD!$B$3:$B$5001,$A$60)))</f>
        <v/>
      </c>
      <c r="Z67" s="201" t="str">
        <f>IF(Z$3="","",IF(COUNTIFS(BD!$A$3:$A$5001,Z$3,BD!$B$3:$B$5001,$A$60,BD!$J$3:$J$5001,"&lt;&gt;")=0,"",SUMIFS(BD!$J$3:$J$5001,BD!$A$3:$A$5001,Z$3,BD!$B$3:$B$5001,$A$60)))</f>
        <v/>
      </c>
      <c r="AA67" s="201" t="str">
        <f>IF(AA$3="","",IF(COUNTIFS(BD!$A$3:$A$5001,AA$3,BD!$B$3:$B$5001,$A$60,BD!$J$3:$J$5001,"&lt;&gt;")=0,"",SUMIFS(BD!$J$3:$J$5001,BD!$A$3:$A$5001,AA$3,BD!$B$3:$B$5001,$A$60)))</f>
        <v/>
      </c>
      <c r="AB67" s="201" t="str">
        <f>IF(AB$3="","",IF(COUNTIFS(BD!$A$3:$A$5001,AB$3,BD!$B$3:$B$5001,$A$60,BD!$J$3:$J$5001,"&lt;&gt;")=0,"",SUMIFS(BD!$J$3:$J$5001,BD!$A$3:$A$5001,AB$3,BD!$B$3:$B$5001,$A$60)))</f>
        <v/>
      </c>
      <c r="AC67" s="201" t="str">
        <f>IF(AC$3="","",IF(COUNTIFS(BD!$A$3:$A$5001,AC$3,BD!$B$3:$B$5001,$A$60,BD!$J$3:$J$5001,"&lt;&gt;")=0,"",SUMIFS(BD!$J$3:$J$5001,BD!$A$3:$A$5001,AC$3,BD!$B$3:$B$5001,$A$60)))</f>
        <v/>
      </c>
      <c r="AD67" s="201" t="str">
        <f>IF(AD$3="","",IF(COUNTIFS(BD!$A$3:$A$5001,AD$3,BD!$B$3:$B$5001,$A$60,BD!$J$3:$J$5001,"&lt;&gt;")=0,"",SUMIFS(BD!$J$3:$J$5001,BD!$A$3:$A$5001,AD$3,BD!$B$3:$B$5001,$A$60)))</f>
        <v/>
      </c>
      <c r="AE67" s="201" t="str">
        <f>IF(AE$3="","",IF(COUNTIFS(BD!$A$3:$A$5001,AE$3,BD!$B$3:$B$5001,$A$60,BD!$J$3:$J$5001,"&lt;&gt;")=0,"",SUMIFS(BD!$J$3:$J$5001,BD!$A$3:$A$5001,AE$3,BD!$B$3:$B$5001,$A$60)))</f>
        <v/>
      </c>
      <c r="AF67" s="201" t="str">
        <f>IF(AF$3="","",IF(COUNTIFS(BD!$A$3:$A$5001,AF$3,BD!$B$3:$B$5001,$A$60,BD!$J$3:$J$5001,"&lt;&gt;")=0,"",SUMIFS(BD!$J$3:$J$5001,BD!$A$3:$A$5001,AF$3,BD!$B$3:$B$5001,$A$60)))</f>
        <v/>
      </c>
      <c r="AG67" s="201" t="str">
        <f>IF(AG$3="","",IF(COUNTIFS(BD!$A$3:$A$5001,AG$3,BD!$B$3:$B$5001,$A$60,BD!$J$3:$J$5001,"&lt;&gt;")=0,"",SUMIFS(BD!$J$3:$J$5001,BD!$A$3:$A$5001,AG$3,BD!$B$3:$B$5001,$A$60)))</f>
        <v/>
      </c>
      <c r="AH67" s="201" t="str">
        <f>IF(AH$3="","",IF(COUNTIFS(BD!$A$3:$A$5001,AH$3,BD!$B$3:$B$5001,$A$60,BD!$J$3:$J$5001,"&lt;&gt;")=0,"",SUMIFS(BD!$J$3:$J$5001,BD!$A$3:$A$5001,AH$3,BD!$B$3:$B$5001,$A$60)))</f>
        <v/>
      </c>
      <c r="AI67" s="201" t="str">
        <f>IF(AI$3="","",IF(COUNTIFS(BD!$A$3:$A$5001,AI$3,BD!$B$3:$B$5001,$A$60,BD!$J$3:$J$5001,"&lt;&gt;")=0,"",SUMIFS(BD!$J$3:$J$5001,BD!$A$3:$A$5001,AI$3,BD!$B$3:$B$5001,$A$60)))</f>
        <v/>
      </c>
      <c r="AJ67" s="202" t="str">
        <f>IF(AJ$3="","",IF(COUNTIFS(BD!$A$3:$A$5001,AJ$3,BD!$B$3:$B$5001,$A$60,BD!$J$3:$J$5001,"&lt;&gt;")=0,"",SUMIFS(BD!$J$3:$J$5001,BD!$A$3:$A$5001,AJ$3,BD!$B$3:$B$5001,$A$60)))</f>
        <v/>
      </c>
      <c r="AK67" s="203" t="str">
        <f>IF(COUNT(F67:AJ67)=0,"",SUM(F67:AJ67))</f>
        <v/>
      </c>
    </row>
    <row r="68" ht="15.75" customHeight="1">
      <c r="A68" s="247"/>
      <c r="B68" s="242"/>
      <c r="C68" s="204" t="inlineStr">
        <is>
          <t xml:space="preserve">Backlog</t>
        </is>
      </c>
      <c r="D68" s="205" t="str">
        <f>IFERROR(1/(1/INDEX(BD!$Y$31:$AD$31,MATCH($A$60,BD!$Y$22:$AD$22,0))),"")</f>
        <v/>
      </c>
      <c r="E68" s="206"/>
      <c r="F68" s="207" t="str">
        <f>IF(F$3="","",IF(COUNTIFS(BD!$A$3:$A$5001,F$3,BD!$B$3:$B$5001,$A$60,BD!$K$3:$K$5001,"&lt;&gt;")=0,"",SUMIFS(BD!$K$3:$K$5001,BD!$A$3:$A$5001,F$3,BD!$B$3:$B$5001,$A$60)))</f>
        <v/>
      </c>
      <c r="G68" s="208" t="str">
        <f>IF(G$3="","",IF(COUNTIFS(BD!$A$3:$A$5001,G$3,BD!$B$3:$B$5001,$A$60,BD!$K$3:$K$5001,"&lt;&gt;")=0,"",SUMIFS(BD!$K$3:$K$5001,BD!$A$3:$A$5001,G$3,BD!$B$3:$B$5001,$A$60)))</f>
        <v/>
      </c>
      <c r="H68" s="208" t="str">
        <f>IF(H$3="","",IF(COUNTIFS(BD!$A$3:$A$5001,H$3,BD!$B$3:$B$5001,$A$60,BD!$K$3:$K$5001,"&lt;&gt;")=0,"",SUMIFS(BD!$K$3:$K$5001,BD!$A$3:$A$5001,H$3,BD!$B$3:$B$5001,$A$60)))</f>
        <v/>
      </c>
      <c r="I68" s="208" t="str">
        <f>IF(I$3="","",IF(COUNTIFS(BD!$A$3:$A$5001,I$3,BD!$B$3:$B$5001,$A$60,BD!$K$3:$K$5001,"&lt;&gt;")=0,"",SUMIFS(BD!$K$3:$K$5001,BD!$A$3:$A$5001,I$3,BD!$B$3:$B$5001,$A$60)))</f>
        <v/>
      </c>
      <c r="J68" s="208" t="str">
        <f>IF(J$3="","",IF(COUNTIFS(BD!$A$3:$A$5001,J$3,BD!$B$3:$B$5001,$A$60,BD!$K$3:$K$5001,"&lt;&gt;")=0,"",SUMIFS(BD!$K$3:$K$5001,BD!$A$3:$A$5001,J$3,BD!$B$3:$B$5001,$A$60)))</f>
        <v/>
      </c>
      <c r="K68" s="208" t="str">
        <f>IF(K$3="","",IF(COUNTIFS(BD!$A$3:$A$5001,K$3,BD!$B$3:$B$5001,$A$60,BD!$K$3:$K$5001,"&lt;&gt;")=0,"",SUMIFS(BD!$K$3:$K$5001,BD!$A$3:$A$5001,K$3,BD!$B$3:$B$5001,$A$60)))</f>
        <v/>
      </c>
      <c r="L68" s="208" t="str">
        <f>IF(L$3="","",IF(COUNTIFS(BD!$A$3:$A$5001,L$3,BD!$B$3:$B$5001,$A$60,BD!$K$3:$K$5001,"&lt;&gt;")=0,"",SUMIFS(BD!$K$3:$K$5001,BD!$A$3:$A$5001,L$3,BD!$B$3:$B$5001,$A$60)))</f>
        <v/>
      </c>
      <c r="M68" s="208" t="str">
        <f>IF(M$3="","",IF(COUNTIFS(BD!$A$3:$A$5001,M$3,BD!$B$3:$B$5001,$A$60,BD!$K$3:$K$5001,"&lt;&gt;")=0,"",SUMIFS(BD!$K$3:$K$5001,BD!$A$3:$A$5001,M$3,BD!$B$3:$B$5001,$A$60)))</f>
        <v/>
      </c>
      <c r="N68" s="208" t="str">
        <f>IF(N$3="","",IF(COUNTIFS(BD!$A$3:$A$5001,N$3,BD!$B$3:$B$5001,$A$60,BD!$K$3:$K$5001,"&lt;&gt;")=0,"",SUMIFS(BD!$K$3:$K$5001,BD!$A$3:$A$5001,N$3,BD!$B$3:$B$5001,$A$60)))</f>
        <v/>
      </c>
      <c r="O68" s="208" t="str">
        <f>IF(O$3="","",IF(COUNTIFS(BD!$A$3:$A$5001,O$3,BD!$B$3:$B$5001,$A$60,BD!$K$3:$K$5001,"&lt;&gt;")=0,"",SUMIFS(BD!$K$3:$K$5001,BD!$A$3:$A$5001,O$3,BD!$B$3:$B$5001,$A$60)))</f>
        <v/>
      </c>
      <c r="P68" s="208" t="str">
        <f>IF(P$3="","",IF(COUNTIFS(BD!$A$3:$A$5001,P$3,BD!$B$3:$B$5001,$A$60,BD!$K$3:$K$5001,"&lt;&gt;")=0,"",SUMIFS(BD!$K$3:$K$5001,BD!$A$3:$A$5001,P$3,BD!$B$3:$B$5001,$A$60)))</f>
        <v/>
      </c>
      <c r="Q68" s="208" t="str">
        <f>IF(Q$3="","",IF(COUNTIFS(BD!$A$3:$A$5001,Q$3,BD!$B$3:$B$5001,$A$60,BD!$K$3:$K$5001,"&lt;&gt;")=0,"",SUMIFS(BD!$K$3:$K$5001,BD!$A$3:$A$5001,Q$3,BD!$B$3:$B$5001,$A$60)))</f>
        <v/>
      </c>
      <c r="R68" s="208" t="str">
        <f>IF(R$3="","",IF(COUNTIFS(BD!$A$3:$A$5001,R$3,BD!$B$3:$B$5001,$A$60,BD!$K$3:$K$5001,"&lt;&gt;")=0,"",SUMIFS(BD!$K$3:$K$5001,BD!$A$3:$A$5001,R$3,BD!$B$3:$B$5001,$A$60)))</f>
        <v/>
      </c>
      <c r="S68" s="208" t="str">
        <f>IF(S$3="","",IF(COUNTIFS(BD!$A$3:$A$5001,S$3,BD!$B$3:$B$5001,$A$60,BD!$K$3:$K$5001,"&lt;&gt;")=0,"",SUMIFS(BD!$K$3:$K$5001,BD!$A$3:$A$5001,S$3,BD!$B$3:$B$5001,$A$60)))</f>
        <v/>
      </c>
      <c r="T68" s="208" t="str">
        <f>IF(T$3="","",IF(COUNTIFS(BD!$A$3:$A$5001,T$3,BD!$B$3:$B$5001,$A$60,BD!$K$3:$K$5001,"&lt;&gt;")=0,"",SUMIFS(BD!$K$3:$K$5001,BD!$A$3:$A$5001,T$3,BD!$B$3:$B$5001,$A$60)))</f>
        <v/>
      </c>
      <c r="U68" s="208" t="str">
        <f>IF(U$3="","",IF(COUNTIFS(BD!$A$3:$A$5001,U$3,BD!$B$3:$B$5001,$A$60,BD!$K$3:$K$5001,"&lt;&gt;")=0,"",SUMIFS(BD!$K$3:$K$5001,BD!$A$3:$A$5001,U$3,BD!$B$3:$B$5001,$A$60)))</f>
        <v/>
      </c>
      <c r="V68" s="208" t="str">
        <f>IF(V$3="","",IF(COUNTIFS(BD!$A$3:$A$5001,V$3,BD!$B$3:$B$5001,$A$60,BD!$K$3:$K$5001,"&lt;&gt;")=0,"",SUMIFS(BD!$K$3:$K$5001,BD!$A$3:$A$5001,V$3,BD!$B$3:$B$5001,$A$60)))</f>
        <v/>
      </c>
      <c r="W68" s="208" t="str">
        <f>IF(W$3="","",IF(COUNTIFS(BD!$A$3:$A$5001,W$3,BD!$B$3:$B$5001,$A$60,BD!$K$3:$K$5001,"&lt;&gt;")=0,"",SUMIFS(BD!$K$3:$K$5001,BD!$A$3:$A$5001,W$3,BD!$B$3:$B$5001,$A$60)))</f>
        <v/>
      </c>
      <c r="X68" s="208" t="str">
        <f>IF(X$3="","",IF(COUNTIFS(BD!$A$3:$A$5001,X$3,BD!$B$3:$B$5001,$A$60,BD!$K$3:$K$5001,"&lt;&gt;")=0,"",SUMIFS(BD!$K$3:$K$5001,BD!$A$3:$A$5001,X$3,BD!$B$3:$B$5001,$A$60)))</f>
        <v/>
      </c>
      <c r="Y68" s="208" t="str">
        <f>IF(Y$3="","",IF(COUNTIFS(BD!$A$3:$A$5001,Y$3,BD!$B$3:$B$5001,$A$60,BD!$K$3:$K$5001,"&lt;&gt;")=0,"",SUMIFS(BD!$K$3:$K$5001,BD!$A$3:$A$5001,Y$3,BD!$B$3:$B$5001,$A$60)))</f>
        <v/>
      </c>
      <c r="Z68" s="208" t="str">
        <f>IF(Z$3="","",IF(COUNTIFS(BD!$A$3:$A$5001,Z$3,BD!$B$3:$B$5001,$A$60,BD!$K$3:$K$5001,"&lt;&gt;")=0,"",SUMIFS(BD!$K$3:$K$5001,BD!$A$3:$A$5001,Z$3,BD!$B$3:$B$5001,$A$60)))</f>
        <v/>
      </c>
      <c r="AA68" s="208" t="str">
        <f>IF(AA$3="","",IF(COUNTIFS(BD!$A$3:$A$5001,AA$3,BD!$B$3:$B$5001,$A$60,BD!$K$3:$K$5001,"&lt;&gt;")=0,"",SUMIFS(BD!$K$3:$K$5001,BD!$A$3:$A$5001,AA$3,BD!$B$3:$B$5001,$A$60)))</f>
        <v/>
      </c>
      <c r="AB68" s="208" t="str">
        <f>IF(AB$3="","",IF(COUNTIFS(BD!$A$3:$A$5001,AB$3,BD!$B$3:$B$5001,$A$60,BD!$K$3:$K$5001,"&lt;&gt;")=0,"",SUMIFS(BD!$K$3:$K$5001,BD!$A$3:$A$5001,AB$3,BD!$B$3:$B$5001,$A$60)))</f>
        <v/>
      </c>
      <c r="AC68" s="208" t="str">
        <f>IF(AC$3="","",IF(COUNTIFS(BD!$A$3:$A$5001,AC$3,BD!$B$3:$B$5001,$A$60,BD!$K$3:$K$5001,"&lt;&gt;")=0,"",SUMIFS(BD!$K$3:$K$5001,BD!$A$3:$A$5001,AC$3,BD!$B$3:$B$5001,$A$60)))</f>
        <v/>
      </c>
      <c r="AD68" s="208" t="str">
        <f>IF(AD$3="","",IF(COUNTIFS(BD!$A$3:$A$5001,AD$3,BD!$B$3:$B$5001,$A$60,BD!$K$3:$K$5001,"&lt;&gt;")=0,"",SUMIFS(BD!$K$3:$K$5001,BD!$A$3:$A$5001,AD$3,BD!$B$3:$B$5001,$A$60)))</f>
        <v/>
      </c>
      <c r="AE68" s="208" t="str">
        <f>IF(AE$3="","",IF(COUNTIFS(BD!$A$3:$A$5001,AE$3,BD!$B$3:$B$5001,$A$60,BD!$K$3:$K$5001,"&lt;&gt;")=0,"",SUMIFS(BD!$K$3:$K$5001,BD!$A$3:$A$5001,AE$3,BD!$B$3:$B$5001,$A$60)))</f>
        <v/>
      </c>
      <c r="AF68" s="208" t="str">
        <f>IF(AF$3="","",IF(COUNTIFS(BD!$A$3:$A$5001,AF$3,BD!$B$3:$B$5001,$A$60,BD!$K$3:$K$5001,"&lt;&gt;")=0,"",SUMIFS(BD!$K$3:$K$5001,BD!$A$3:$A$5001,AF$3,BD!$B$3:$B$5001,$A$60)))</f>
        <v/>
      </c>
      <c r="AG68" s="208" t="str">
        <f>IF(AG$3="","",IF(COUNTIFS(BD!$A$3:$A$5001,AG$3,BD!$B$3:$B$5001,$A$60,BD!$K$3:$K$5001,"&lt;&gt;")=0,"",SUMIFS(BD!$K$3:$K$5001,BD!$A$3:$A$5001,AG$3,BD!$B$3:$B$5001,$A$60)))</f>
        <v/>
      </c>
      <c r="AH68" s="208" t="str">
        <f>IF(AH$3="","",IF(COUNTIFS(BD!$A$3:$A$5001,AH$3,BD!$B$3:$B$5001,$A$60,BD!$K$3:$K$5001,"&lt;&gt;")=0,"",SUMIFS(BD!$K$3:$K$5001,BD!$A$3:$A$5001,AH$3,BD!$B$3:$B$5001,$A$60)))</f>
        <v/>
      </c>
      <c r="AI68" s="208" t="str">
        <f>IF(AI$3="","",IF(COUNTIFS(BD!$A$3:$A$5001,AI$3,BD!$B$3:$B$5001,$A$60,BD!$K$3:$K$5001,"&lt;&gt;")=0,"",SUMIFS(BD!$K$3:$K$5001,BD!$A$3:$A$5001,AI$3,BD!$B$3:$B$5001,$A$60)))</f>
        <v/>
      </c>
      <c r="AJ68" s="209" t="str">
        <f>IF(AJ$3="","",IF(COUNTIFS(BD!$A$3:$A$5001,AJ$3,BD!$B$3:$B$5001,$A$60,BD!$K$3:$K$5001,"&lt;&gt;")=0,"",SUMIFS(BD!$K$3:$K$5001,BD!$A$3:$A$5001,AJ$3,BD!$B$3:$B$5001,$A$60)))</f>
        <v/>
      </c>
      <c r="AK68" s="205" t="str">
        <f>IFERROR(LOOKUP(9.99E+307,F68:AJ68),"")</f>
        <v/>
      </c>
    </row>
    <row r="69" ht="15.75" customHeight="1">
      <c r="A69" s="247"/>
      <c r="B69" s="255" t="inlineStr">
        <is>
          <t xml:space="preserve">OCUPAÇÃO (P.P)</t>
        </is>
      </c>
      <c r="C69" s="249" t="inlineStr">
        <is>
          <t xml:space="preserve">Posições Ocupadas</t>
        </is>
      </c>
      <c r="D69" s="250" t="str">
        <f>IFERROR(1/(1/INDEX(BD!$Y$33:$AD$33,MATCH($A$60,BD!$Y$22:$AD$22,0))),"")</f>
        <v/>
      </c>
      <c r="E69" s="251"/>
      <c r="F69" s="252" t="str">
        <f>IF(F$3="","",IF(COUNTIFS(BD!$A$3:$A$5001,F$3,BD!$B$3:$B$5001,$A$60,BD!$M$3:$M$5001,"&lt;&gt;")=0,"",SUMIFS(BD!$M$3:$M$5001,BD!$A$3:$A$5001,F$3,BD!$B$3:$B$5001,$A$60)))</f>
        <v/>
      </c>
      <c r="G69" s="253" t="str">
        <f>IF(G$3="","",IF(COUNTIFS(BD!$A$3:$A$5001,G$3,BD!$B$3:$B$5001,$A$60,BD!$M$3:$M$5001,"&lt;&gt;")=0,"",SUMIFS(BD!$M$3:$M$5001,BD!$A$3:$A$5001,G$3,BD!$B$3:$B$5001,$A$60)))</f>
        <v/>
      </c>
      <c r="H69" s="253" t="str">
        <f>IF(H$3="","",IF(COUNTIFS(BD!$A$3:$A$5001,H$3,BD!$B$3:$B$5001,$A$60,BD!$M$3:$M$5001,"&lt;&gt;")=0,"",SUMIFS(BD!$M$3:$M$5001,BD!$A$3:$A$5001,H$3,BD!$B$3:$B$5001,$A$60)))</f>
        <v/>
      </c>
      <c r="I69" s="253" t="str">
        <f>IF(I$3="","",IF(COUNTIFS(BD!$A$3:$A$5001,I$3,BD!$B$3:$B$5001,$A$60,BD!$M$3:$M$5001,"&lt;&gt;")=0,"",SUMIFS(BD!$M$3:$M$5001,BD!$A$3:$A$5001,I$3,BD!$B$3:$B$5001,$A$60)))</f>
        <v/>
      </c>
      <c r="J69" s="253" t="str">
        <f>IF(J$3="","",IF(COUNTIFS(BD!$A$3:$A$5001,J$3,BD!$B$3:$B$5001,$A$60,BD!$M$3:$M$5001,"&lt;&gt;")=0,"",SUMIFS(BD!$M$3:$M$5001,BD!$A$3:$A$5001,J$3,BD!$B$3:$B$5001,$A$60)))</f>
        <v/>
      </c>
      <c r="K69" s="253" t="str">
        <f>IF(K$3="","",IF(COUNTIFS(BD!$A$3:$A$5001,K$3,BD!$B$3:$B$5001,$A$60,BD!$M$3:$M$5001,"&lt;&gt;")=0,"",SUMIFS(BD!$M$3:$M$5001,BD!$A$3:$A$5001,K$3,BD!$B$3:$B$5001,$A$60)))</f>
        <v/>
      </c>
      <c r="L69" s="253" t="str">
        <f>IF(L$3="","",IF(COUNTIFS(BD!$A$3:$A$5001,L$3,BD!$B$3:$B$5001,$A$60,BD!$M$3:$M$5001,"&lt;&gt;")=0,"",SUMIFS(BD!$M$3:$M$5001,BD!$A$3:$A$5001,L$3,BD!$B$3:$B$5001,$A$60)))</f>
        <v/>
      </c>
      <c r="M69" s="253" t="str">
        <f>IF(M$3="","",IF(COUNTIFS(BD!$A$3:$A$5001,M$3,BD!$B$3:$B$5001,$A$60,BD!$M$3:$M$5001,"&lt;&gt;")=0,"",SUMIFS(BD!$M$3:$M$5001,BD!$A$3:$A$5001,M$3,BD!$B$3:$B$5001,$A$60)))</f>
        <v/>
      </c>
      <c r="N69" s="253" t="str">
        <f>IF(N$3="","",IF(COUNTIFS(BD!$A$3:$A$5001,N$3,BD!$B$3:$B$5001,$A$60,BD!$M$3:$M$5001,"&lt;&gt;")=0,"",SUMIFS(BD!$M$3:$M$5001,BD!$A$3:$A$5001,N$3,BD!$B$3:$B$5001,$A$60)))</f>
        <v/>
      </c>
      <c r="O69" s="253" t="str">
        <f>IF(O$3="","",IF(COUNTIFS(BD!$A$3:$A$5001,O$3,BD!$B$3:$B$5001,$A$60,BD!$M$3:$M$5001,"&lt;&gt;")=0,"",SUMIFS(BD!$M$3:$M$5001,BD!$A$3:$A$5001,O$3,BD!$B$3:$B$5001,$A$60)))</f>
        <v/>
      </c>
      <c r="P69" s="253" t="str">
        <f>IF(P$3="","",IF(COUNTIFS(BD!$A$3:$A$5001,P$3,BD!$B$3:$B$5001,$A$60,BD!$M$3:$M$5001,"&lt;&gt;")=0,"",SUMIFS(BD!$M$3:$M$5001,BD!$A$3:$A$5001,P$3,BD!$B$3:$B$5001,$A$60)))</f>
        <v/>
      </c>
      <c r="Q69" s="253" t="str">
        <f>IF(Q$3="","",IF(COUNTIFS(BD!$A$3:$A$5001,Q$3,BD!$B$3:$B$5001,$A$60,BD!$M$3:$M$5001,"&lt;&gt;")=0,"",SUMIFS(BD!$M$3:$M$5001,BD!$A$3:$A$5001,Q$3,BD!$B$3:$B$5001,$A$60)))</f>
        <v/>
      </c>
      <c r="R69" s="253" t="str">
        <f>IF(R$3="","",IF(COUNTIFS(BD!$A$3:$A$5001,R$3,BD!$B$3:$B$5001,$A$60,BD!$M$3:$M$5001,"&lt;&gt;")=0,"",SUMIFS(BD!$M$3:$M$5001,BD!$A$3:$A$5001,R$3,BD!$B$3:$B$5001,$A$60)))</f>
        <v/>
      </c>
      <c r="S69" s="253" t="str">
        <f>IF(S$3="","",IF(COUNTIFS(BD!$A$3:$A$5001,S$3,BD!$B$3:$B$5001,$A$60,BD!$M$3:$M$5001,"&lt;&gt;")=0,"",SUMIFS(BD!$M$3:$M$5001,BD!$A$3:$A$5001,S$3,BD!$B$3:$B$5001,$A$60)))</f>
        <v/>
      </c>
      <c r="T69" s="253" t="str">
        <f>IF(T$3="","",IF(COUNTIFS(BD!$A$3:$A$5001,T$3,BD!$B$3:$B$5001,$A$60,BD!$M$3:$M$5001,"&lt;&gt;")=0,"",SUMIFS(BD!$M$3:$M$5001,BD!$A$3:$A$5001,T$3,BD!$B$3:$B$5001,$A$60)))</f>
        <v/>
      </c>
      <c r="U69" s="253" t="str">
        <f>IF(U$3="","",IF(COUNTIFS(BD!$A$3:$A$5001,U$3,BD!$B$3:$B$5001,$A$60,BD!$M$3:$M$5001,"&lt;&gt;")=0,"",SUMIFS(BD!$M$3:$M$5001,BD!$A$3:$A$5001,U$3,BD!$B$3:$B$5001,$A$60)))</f>
        <v/>
      </c>
      <c r="V69" s="253" t="str">
        <f>IF(V$3="","",IF(COUNTIFS(BD!$A$3:$A$5001,V$3,BD!$B$3:$B$5001,$A$60,BD!$M$3:$M$5001,"&lt;&gt;")=0,"",SUMIFS(BD!$M$3:$M$5001,BD!$A$3:$A$5001,V$3,BD!$B$3:$B$5001,$A$60)))</f>
        <v/>
      </c>
      <c r="W69" s="253" t="str">
        <f>IF(W$3="","",IF(COUNTIFS(BD!$A$3:$A$5001,W$3,BD!$B$3:$B$5001,$A$60,BD!$M$3:$M$5001,"&lt;&gt;")=0,"",SUMIFS(BD!$M$3:$M$5001,BD!$A$3:$A$5001,W$3,BD!$B$3:$B$5001,$A$60)))</f>
        <v/>
      </c>
      <c r="X69" s="253" t="str">
        <f>IF(X$3="","",IF(COUNTIFS(BD!$A$3:$A$5001,X$3,BD!$B$3:$B$5001,$A$60,BD!$M$3:$M$5001,"&lt;&gt;")=0,"",SUMIFS(BD!$M$3:$M$5001,BD!$A$3:$A$5001,X$3,BD!$B$3:$B$5001,$A$60)))</f>
        <v/>
      </c>
      <c r="Y69" s="253" t="str">
        <f>IF(Y$3="","",IF(COUNTIFS(BD!$A$3:$A$5001,Y$3,BD!$B$3:$B$5001,$A$60,BD!$M$3:$M$5001,"&lt;&gt;")=0,"",SUMIFS(BD!$M$3:$M$5001,BD!$A$3:$A$5001,Y$3,BD!$B$3:$B$5001,$A$60)))</f>
        <v/>
      </c>
      <c r="Z69" s="253" t="str">
        <f>IF(Z$3="","",IF(COUNTIFS(BD!$A$3:$A$5001,Z$3,BD!$B$3:$B$5001,$A$60,BD!$M$3:$M$5001,"&lt;&gt;")=0,"",SUMIFS(BD!$M$3:$M$5001,BD!$A$3:$A$5001,Z$3,BD!$B$3:$B$5001,$A$60)))</f>
        <v/>
      </c>
      <c r="AA69" s="253" t="str">
        <f>IF(AA$3="","",IF(COUNTIFS(BD!$A$3:$A$5001,AA$3,BD!$B$3:$B$5001,$A$60,BD!$M$3:$M$5001,"&lt;&gt;")=0,"",SUMIFS(BD!$M$3:$M$5001,BD!$A$3:$A$5001,AA$3,BD!$B$3:$B$5001,$A$60)))</f>
        <v/>
      </c>
      <c r="AB69" s="253" t="str">
        <f>IF(AB$3="","",IF(COUNTIFS(BD!$A$3:$A$5001,AB$3,BD!$B$3:$B$5001,$A$60,BD!$M$3:$M$5001,"&lt;&gt;")=0,"",SUMIFS(BD!$M$3:$M$5001,BD!$A$3:$A$5001,AB$3,BD!$B$3:$B$5001,$A$60)))</f>
        <v/>
      </c>
      <c r="AC69" s="253" t="str">
        <f>IF(AC$3="","",IF(COUNTIFS(BD!$A$3:$A$5001,AC$3,BD!$B$3:$B$5001,$A$60,BD!$M$3:$M$5001,"&lt;&gt;")=0,"",SUMIFS(BD!$M$3:$M$5001,BD!$A$3:$A$5001,AC$3,BD!$B$3:$B$5001,$A$60)))</f>
        <v/>
      </c>
      <c r="AD69" s="253" t="str">
        <f>IF(AD$3="","",IF(COUNTIFS(BD!$A$3:$A$5001,AD$3,BD!$B$3:$B$5001,$A$60,BD!$M$3:$M$5001,"&lt;&gt;")=0,"",SUMIFS(BD!$M$3:$M$5001,BD!$A$3:$A$5001,AD$3,BD!$B$3:$B$5001,$A$60)))</f>
        <v/>
      </c>
      <c r="AE69" s="253" t="str">
        <f>IF(AE$3="","",IF(COUNTIFS(BD!$A$3:$A$5001,AE$3,BD!$B$3:$B$5001,$A$60,BD!$M$3:$M$5001,"&lt;&gt;")=0,"",SUMIFS(BD!$M$3:$M$5001,BD!$A$3:$A$5001,AE$3,BD!$B$3:$B$5001,$A$60)))</f>
        <v/>
      </c>
      <c r="AF69" s="253" t="str">
        <f>IF(AF$3="","",IF(COUNTIFS(BD!$A$3:$A$5001,AF$3,BD!$B$3:$B$5001,$A$60,BD!$M$3:$M$5001,"&lt;&gt;")=0,"",SUMIFS(BD!$M$3:$M$5001,BD!$A$3:$A$5001,AF$3,BD!$B$3:$B$5001,$A$60)))</f>
        <v/>
      </c>
      <c r="AG69" s="253" t="str">
        <f>IF(AG$3="","",IF(COUNTIFS(BD!$A$3:$A$5001,AG$3,BD!$B$3:$B$5001,$A$60,BD!$M$3:$M$5001,"&lt;&gt;")=0,"",SUMIFS(BD!$M$3:$M$5001,BD!$A$3:$A$5001,AG$3,BD!$B$3:$B$5001,$A$60)))</f>
        <v/>
      </c>
      <c r="AH69" s="253" t="str">
        <f>IF(AH$3="","",IF(COUNTIFS(BD!$A$3:$A$5001,AH$3,BD!$B$3:$B$5001,$A$60,BD!$M$3:$M$5001,"&lt;&gt;")=0,"",SUMIFS(BD!$M$3:$M$5001,BD!$A$3:$A$5001,AH$3,BD!$B$3:$B$5001,$A$60)))</f>
        <v/>
      </c>
      <c r="AI69" s="253" t="str">
        <f>IF(AI$3="","",IF(COUNTIFS(BD!$A$3:$A$5001,AI$3,BD!$B$3:$B$5001,$A$60,BD!$M$3:$M$5001,"&lt;&gt;")=0,"",SUMIFS(BD!$M$3:$M$5001,BD!$A$3:$A$5001,AI$3,BD!$B$3:$B$5001,$A$60)))</f>
        <v/>
      </c>
      <c r="AJ69" s="254" t="str">
        <f>IF(AJ$3="","",IF(COUNTIFS(BD!$A$3:$A$5001,AJ$3,BD!$B$3:$B$5001,$A$60,BD!$M$3:$M$5001,"&lt;&gt;")=0,"",SUMIFS(BD!$M$3:$M$5001,BD!$A$3:$A$5001,AJ$3,BD!$B$3:$B$5001,$A$60)))</f>
        <v/>
      </c>
      <c r="AK69" s="250" t="str">
        <f>IFERROR(LOOKUP(9.99E+307,F69:AJ69),"")</f>
        <v/>
      </c>
    </row>
    <row r="70" ht="15.75" customHeight="1">
      <c r="A70" s="247"/>
      <c r="B70" s="243" t="inlineStr">
        <is>
          <t xml:space="preserve">GENTE</t>
        </is>
      </c>
      <c r="C70" s="214" t="inlineStr">
        <is>
          <t xml:space="preserve">Efetivo Op.</t>
        </is>
      </c>
      <c r="D70" s="215" t="str">
        <f>IFERROR(1/(1/INDEX(BD!$Y$35:$AD$35,MATCH($A$60,BD!$Y$22:$AD$22,0))),"")</f>
        <v/>
      </c>
      <c r="E70" s="216"/>
      <c r="F70" s="217" t="str">
        <f>IF(F$3="","",IF(COUNTIFS(BD!$A$3:$A$5001,F$3,BD!$B$3:$B$5001,$A$60,BD!$N$3:$N$5001,"&lt;&gt;")=0,"",SUMIFS(BD!$N$3:$N$5001,BD!$A$3:$A$5001,F$3,BD!$B$3:$B$5001,$A$60)))</f>
        <v/>
      </c>
      <c r="G70" s="218" t="str">
        <f>IF(G$3="","",IF(COUNTIFS(BD!$A$3:$A$5001,G$3,BD!$B$3:$B$5001,$A$60,BD!$N$3:$N$5001,"&lt;&gt;")=0,"",SUMIFS(BD!$N$3:$N$5001,BD!$A$3:$A$5001,G$3,BD!$B$3:$B$5001,$A$60)))</f>
        <v/>
      </c>
      <c r="H70" s="218" t="str">
        <f>IF(H$3="","",IF(COUNTIFS(BD!$A$3:$A$5001,H$3,BD!$B$3:$B$5001,$A$60,BD!$N$3:$N$5001,"&lt;&gt;")=0,"",SUMIFS(BD!$N$3:$N$5001,BD!$A$3:$A$5001,H$3,BD!$B$3:$B$5001,$A$60)))</f>
        <v/>
      </c>
      <c r="I70" s="218" t="str">
        <f>IF(I$3="","",IF(COUNTIFS(BD!$A$3:$A$5001,I$3,BD!$B$3:$B$5001,$A$60,BD!$N$3:$N$5001,"&lt;&gt;")=0,"",SUMIFS(BD!$N$3:$N$5001,BD!$A$3:$A$5001,I$3,BD!$B$3:$B$5001,$A$60)))</f>
        <v/>
      </c>
      <c r="J70" s="218" t="str">
        <f>IF(J$3="","",IF(COUNTIFS(BD!$A$3:$A$5001,J$3,BD!$B$3:$B$5001,$A$60,BD!$N$3:$N$5001,"&lt;&gt;")=0,"",SUMIFS(BD!$N$3:$N$5001,BD!$A$3:$A$5001,J$3,BD!$B$3:$B$5001,$A$60)))</f>
        <v/>
      </c>
      <c r="K70" s="218" t="str">
        <f>IF(K$3="","",IF(COUNTIFS(BD!$A$3:$A$5001,K$3,BD!$B$3:$B$5001,$A$60,BD!$N$3:$N$5001,"&lt;&gt;")=0,"",SUMIFS(BD!$N$3:$N$5001,BD!$A$3:$A$5001,K$3,BD!$B$3:$B$5001,$A$60)))</f>
        <v/>
      </c>
      <c r="L70" s="218" t="str">
        <f>IF(L$3="","",IF(COUNTIFS(BD!$A$3:$A$5001,L$3,BD!$B$3:$B$5001,$A$60,BD!$N$3:$N$5001,"&lt;&gt;")=0,"",SUMIFS(BD!$N$3:$N$5001,BD!$A$3:$A$5001,L$3,BD!$B$3:$B$5001,$A$60)))</f>
        <v/>
      </c>
      <c r="M70" s="218" t="str">
        <f>IF(M$3="","",IF(COUNTIFS(BD!$A$3:$A$5001,M$3,BD!$B$3:$B$5001,$A$60,BD!$N$3:$N$5001,"&lt;&gt;")=0,"",SUMIFS(BD!$N$3:$N$5001,BD!$A$3:$A$5001,M$3,BD!$B$3:$B$5001,$A$60)))</f>
        <v/>
      </c>
      <c r="N70" s="218" t="str">
        <f>IF(N$3="","",IF(COUNTIFS(BD!$A$3:$A$5001,N$3,BD!$B$3:$B$5001,$A$60,BD!$N$3:$N$5001,"&lt;&gt;")=0,"",SUMIFS(BD!$N$3:$N$5001,BD!$A$3:$A$5001,N$3,BD!$B$3:$B$5001,$A$60)))</f>
        <v/>
      </c>
      <c r="O70" s="218" t="str">
        <f>IF(O$3="","",IF(COUNTIFS(BD!$A$3:$A$5001,O$3,BD!$B$3:$B$5001,$A$60,BD!$N$3:$N$5001,"&lt;&gt;")=0,"",SUMIFS(BD!$N$3:$N$5001,BD!$A$3:$A$5001,O$3,BD!$B$3:$B$5001,$A$60)))</f>
        <v/>
      </c>
      <c r="P70" s="218" t="str">
        <f>IF(P$3="","",IF(COUNTIFS(BD!$A$3:$A$5001,P$3,BD!$B$3:$B$5001,$A$60,BD!$N$3:$N$5001,"&lt;&gt;")=0,"",SUMIFS(BD!$N$3:$N$5001,BD!$A$3:$A$5001,P$3,BD!$B$3:$B$5001,$A$60)))</f>
        <v/>
      </c>
      <c r="Q70" s="218" t="str">
        <f>IF(Q$3="","",IF(COUNTIFS(BD!$A$3:$A$5001,Q$3,BD!$B$3:$B$5001,$A$60,BD!$N$3:$N$5001,"&lt;&gt;")=0,"",SUMIFS(BD!$N$3:$N$5001,BD!$A$3:$A$5001,Q$3,BD!$B$3:$B$5001,$A$60)))</f>
        <v/>
      </c>
      <c r="R70" s="218" t="str">
        <f>IF(R$3="","",IF(COUNTIFS(BD!$A$3:$A$5001,R$3,BD!$B$3:$B$5001,$A$60,BD!$N$3:$N$5001,"&lt;&gt;")=0,"",SUMIFS(BD!$N$3:$N$5001,BD!$A$3:$A$5001,R$3,BD!$B$3:$B$5001,$A$60)))</f>
        <v/>
      </c>
      <c r="S70" s="218" t="str">
        <f>IF(S$3="","",IF(COUNTIFS(BD!$A$3:$A$5001,S$3,BD!$B$3:$B$5001,$A$60,BD!$N$3:$N$5001,"&lt;&gt;")=0,"",SUMIFS(BD!$N$3:$N$5001,BD!$A$3:$A$5001,S$3,BD!$B$3:$B$5001,$A$60)))</f>
        <v/>
      </c>
      <c r="T70" s="218" t="str">
        <f>IF(T$3="","",IF(COUNTIFS(BD!$A$3:$A$5001,T$3,BD!$B$3:$B$5001,$A$60,BD!$N$3:$N$5001,"&lt;&gt;")=0,"",SUMIFS(BD!$N$3:$N$5001,BD!$A$3:$A$5001,T$3,BD!$B$3:$B$5001,$A$60)))</f>
        <v/>
      </c>
      <c r="U70" s="218" t="str">
        <f>IF(U$3="","",IF(COUNTIFS(BD!$A$3:$A$5001,U$3,BD!$B$3:$B$5001,$A$60,BD!$N$3:$N$5001,"&lt;&gt;")=0,"",SUMIFS(BD!$N$3:$N$5001,BD!$A$3:$A$5001,U$3,BD!$B$3:$B$5001,$A$60)))</f>
        <v/>
      </c>
      <c r="V70" s="218" t="str">
        <f>IF(V$3="","",IF(COUNTIFS(BD!$A$3:$A$5001,V$3,BD!$B$3:$B$5001,$A$60,BD!$N$3:$N$5001,"&lt;&gt;")=0,"",SUMIFS(BD!$N$3:$N$5001,BD!$A$3:$A$5001,V$3,BD!$B$3:$B$5001,$A$60)))</f>
        <v/>
      </c>
      <c r="W70" s="218" t="str">
        <f>IF(W$3="","",IF(COUNTIFS(BD!$A$3:$A$5001,W$3,BD!$B$3:$B$5001,$A$60,BD!$N$3:$N$5001,"&lt;&gt;")=0,"",SUMIFS(BD!$N$3:$N$5001,BD!$A$3:$A$5001,W$3,BD!$B$3:$B$5001,$A$60)))</f>
        <v/>
      </c>
      <c r="X70" s="218" t="str">
        <f>IF(X$3="","",IF(COUNTIFS(BD!$A$3:$A$5001,X$3,BD!$B$3:$B$5001,$A$60,BD!$N$3:$N$5001,"&lt;&gt;")=0,"",SUMIFS(BD!$N$3:$N$5001,BD!$A$3:$A$5001,X$3,BD!$B$3:$B$5001,$A$60)))</f>
        <v/>
      </c>
      <c r="Y70" s="218" t="str">
        <f>IF(Y$3="","",IF(COUNTIFS(BD!$A$3:$A$5001,Y$3,BD!$B$3:$B$5001,$A$60,BD!$N$3:$N$5001,"&lt;&gt;")=0,"",SUMIFS(BD!$N$3:$N$5001,BD!$A$3:$A$5001,Y$3,BD!$B$3:$B$5001,$A$60)))</f>
        <v/>
      </c>
      <c r="Z70" s="218" t="str">
        <f>IF(Z$3="","",IF(COUNTIFS(BD!$A$3:$A$5001,Z$3,BD!$B$3:$B$5001,$A$60,BD!$N$3:$N$5001,"&lt;&gt;")=0,"",SUMIFS(BD!$N$3:$N$5001,BD!$A$3:$A$5001,Z$3,BD!$B$3:$B$5001,$A$60)))</f>
        <v/>
      </c>
      <c r="AA70" s="218" t="str">
        <f>IF(AA$3="","",IF(COUNTIFS(BD!$A$3:$A$5001,AA$3,BD!$B$3:$B$5001,$A$60,BD!$N$3:$N$5001,"&lt;&gt;")=0,"",SUMIFS(BD!$N$3:$N$5001,BD!$A$3:$A$5001,AA$3,BD!$B$3:$B$5001,$A$60)))</f>
        <v/>
      </c>
      <c r="AB70" s="218" t="str">
        <f>IF(AB$3="","",IF(COUNTIFS(BD!$A$3:$A$5001,AB$3,BD!$B$3:$B$5001,$A$60,BD!$N$3:$N$5001,"&lt;&gt;")=0,"",SUMIFS(BD!$N$3:$N$5001,BD!$A$3:$A$5001,AB$3,BD!$B$3:$B$5001,$A$60)))</f>
        <v/>
      </c>
      <c r="AC70" s="218" t="str">
        <f>IF(AC$3="","",IF(COUNTIFS(BD!$A$3:$A$5001,AC$3,BD!$B$3:$B$5001,$A$60,BD!$N$3:$N$5001,"&lt;&gt;")=0,"",SUMIFS(BD!$N$3:$N$5001,BD!$A$3:$A$5001,AC$3,BD!$B$3:$B$5001,$A$60)))</f>
        <v/>
      </c>
      <c r="AD70" s="218" t="str">
        <f>IF(AD$3="","",IF(COUNTIFS(BD!$A$3:$A$5001,AD$3,BD!$B$3:$B$5001,$A$60,BD!$N$3:$N$5001,"&lt;&gt;")=0,"",SUMIFS(BD!$N$3:$N$5001,BD!$A$3:$A$5001,AD$3,BD!$B$3:$B$5001,$A$60)))</f>
        <v/>
      </c>
      <c r="AE70" s="218" t="str">
        <f>IF(AE$3="","",IF(COUNTIFS(BD!$A$3:$A$5001,AE$3,BD!$B$3:$B$5001,$A$60,BD!$N$3:$N$5001,"&lt;&gt;")=0,"",SUMIFS(BD!$N$3:$N$5001,BD!$A$3:$A$5001,AE$3,BD!$B$3:$B$5001,$A$60)))</f>
        <v/>
      </c>
      <c r="AF70" s="218" t="str">
        <f>IF(AF$3="","",IF(COUNTIFS(BD!$A$3:$A$5001,AF$3,BD!$B$3:$B$5001,$A$60,BD!$N$3:$N$5001,"&lt;&gt;")=0,"",SUMIFS(BD!$N$3:$N$5001,BD!$A$3:$A$5001,AF$3,BD!$B$3:$B$5001,$A$60)))</f>
        <v/>
      </c>
      <c r="AG70" s="218" t="str">
        <f>IF(AG$3="","",IF(COUNTIFS(BD!$A$3:$A$5001,AG$3,BD!$B$3:$B$5001,$A$60,BD!$N$3:$N$5001,"&lt;&gt;")=0,"",SUMIFS(BD!$N$3:$N$5001,BD!$A$3:$A$5001,AG$3,BD!$B$3:$B$5001,$A$60)))</f>
        <v/>
      </c>
      <c r="AH70" s="218" t="str">
        <f>IF(AH$3="","",IF(COUNTIFS(BD!$A$3:$A$5001,AH$3,BD!$B$3:$B$5001,$A$60,BD!$N$3:$N$5001,"&lt;&gt;")=0,"",SUMIFS(BD!$N$3:$N$5001,BD!$A$3:$A$5001,AH$3,BD!$B$3:$B$5001,$A$60)))</f>
        <v/>
      </c>
      <c r="AI70" s="218" t="str">
        <f>IF(AI$3="","",IF(COUNTIFS(BD!$A$3:$A$5001,AI$3,BD!$B$3:$B$5001,$A$60,BD!$N$3:$N$5001,"&lt;&gt;")=0,"",SUMIFS(BD!$N$3:$N$5001,BD!$A$3:$A$5001,AI$3,BD!$B$3:$B$5001,$A$60)))</f>
        <v/>
      </c>
      <c r="AJ70" s="219" t="str">
        <f>IF(AJ$3="","",IF(COUNTIFS(BD!$A$3:$A$5001,AJ$3,BD!$B$3:$B$5001,$A$60,BD!$N$3:$N$5001,"&lt;&gt;")=0,"",SUMIFS(BD!$N$3:$N$5001,BD!$A$3:$A$5001,AJ$3,BD!$B$3:$B$5001,$A$60)))</f>
        <v/>
      </c>
      <c r="AK70" s="220" t="str">
        <f>IFERROR(LOOKUP(9.99E+307,F70:AJ70),"")</f>
        <v/>
      </c>
    </row>
    <row r="71" ht="15.75" customHeight="1">
      <c r="A71" s="247"/>
      <c r="B71" s="244"/>
      <c r="C71" s="221" t="inlineStr">
        <is>
          <t xml:space="preserve">Falta</t>
        </is>
      </c>
      <c r="D71" s="222" t="str">
        <f>IFERROR(1/(1/INDEX(BD!$Y$36:$AD$36,MATCH($A$60,BD!$Y$22:$AD$22,0))),"")</f>
        <v/>
      </c>
      <c r="E71" s="223"/>
      <c r="F71" s="224" t="str">
        <f>IF(F$3="","",IF(COUNTIFS(BD!$A$3:$A$5001,F$3,BD!$B$3:$B$5001,$A$60,BD!$O$3:$O$5001,"&lt;&gt;")=0,"",SUMIFS(BD!$O$3:$O$5001,BD!$A$3:$A$5001,F$3,BD!$B$3:$B$5001,$A$60)))</f>
        <v/>
      </c>
      <c r="G71" s="225" t="str">
        <f>IF(G$3="","",IF(COUNTIFS(BD!$A$3:$A$5001,G$3,BD!$B$3:$B$5001,$A$60,BD!$O$3:$O$5001,"&lt;&gt;")=0,"",SUMIFS(BD!$O$3:$O$5001,BD!$A$3:$A$5001,G$3,BD!$B$3:$B$5001,$A$60)))</f>
        <v/>
      </c>
      <c r="H71" s="225" t="str">
        <f>IF(H$3="","",IF(COUNTIFS(BD!$A$3:$A$5001,H$3,BD!$B$3:$B$5001,$A$60,BD!$O$3:$O$5001,"&lt;&gt;")=0,"",SUMIFS(BD!$O$3:$O$5001,BD!$A$3:$A$5001,H$3,BD!$B$3:$B$5001,$A$60)))</f>
        <v/>
      </c>
      <c r="I71" s="225" t="str">
        <f>IF(I$3="","",IF(COUNTIFS(BD!$A$3:$A$5001,I$3,BD!$B$3:$B$5001,$A$60,BD!$O$3:$O$5001,"&lt;&gt;")=0,"",SUMIFS(BD!$O$3:$O$5001,BD!$A$3:$A$5001,I$3,BD!$B$3:$B$5001,$A$60)))</f>
        <v/>
      </c>
      <c r="J71" s="225" t="str">
        <f>IF(J$3="","",IF(COUNTIFS(BD!$A$3:$A$5001,J$3,BD!$B$3:$B$5001,$A$60,BD!$O$3:$O$5001,"&lt;&gt;")=0,"",SUMIFS(BD!$O$3:$O$5001,BD!$A$3:$A$5001,J$3,BD!$B$3:$B$5001,$A$60)))</f>
        <v/>
      </c>
      <c r="K71" s="225" t="str">
        <f>IF(K$3="","",IF(COUNTIFS(BD!$A$3:$A$5001,K$3,BD!$B$3:$B$5001,$A$60,BD!$O$3:$O$5001,"&lt;&gt;")=0,"",SUMIFS(BD!$O$3:$O$5001,BD!$A$3:$A$5001,K$3,BD!$B$3:$B$5001,$A$60)))</f>
        <v/>
      </c>
      <c r="L71" s="225" t="str">
        <f>IF(L$3="","",IF(COUNTIFS(BD!$A$3:$A$5001,L$3,BD!$B$3:$B$5001,$A$60,BD!$O$3:$O$5001,"&lt;&gt;")=0,"",SUMIFS(BD!$O$3:$O$5001,BD!$A$3:$A$5001,L$3,BD!$B$3:$B$5001,$A$60)))</f>
        <v/>
      </c>
      <c r="M71" s="225" t="str">
        <f>IF(M$3="","",IF(COUNTIFS(BD!$A$3:$A$5001,M$3,BD!$B$3:$B$5001,$A$60,BD!$O$3:$O$5001,"&lt;&gt;")=0,"",SUMIFS(BD!$O$3:$O$5001,BD!$A$3:$A$5001,M$3,BD!$B$3:$B$5001,$A$60)))</f>
        <v/>
      </c>
      <c r="N71" s="225" t="str">
        <f>IF(N$3="","",IF(COUNTIFS(BD!$A$3:$A$5001,N$3,BD!$B$3:$B$5001,$A$60,BD!$O$3:$O$5001,"&lt;&gt;")=0,"",SUMIFS(BD!$O$3:$O$5001,BD!$A$3:$A$5001,N$3,BD!$B$3:$B$5001,$A$60)))</f>
        <v/>
      </c>
      <c r="O71" s="225" t="str">
        <f>IF(O$3="","",IF(COUNTIFS(BD!$A$3:$A$5001,O$3,BD!$B$3:$B$5001,$A$60,BD!$O$3:$O$5001,"&lt;&gt;")=0,"",SUMIFS(BD!$O$3:$O$5001,BD!$A$3:$A$5001,O$3,BD!$B$3:$B$5001,$A$60)))</f>
        <v/>
      </c>
      <c r="P71" s="225" t="str">
        <f>IF(P$3="","",IF(COUNTIFS(BD!$A$3:$A$5001,P$3,BD!$B$3:$B$5001,$A$60,BD!$O$3:$O$5001,"&lt;&gt;")=0,"",SUMIFS(BD!$O$3:$O$5001,BD!$A$3:$A$5001,P$3,BD!$B$3:$B$5001,$A$60)))</f>
        <v/>
      </c>
      <c r="Q71" s="225" t="str">
        <f>IF(Q$3="","",IF(COUNTIFS(BD!$A$3:$A$5001,Q$3,BD!$B$3:$B$5001,$A$60,BD!$O$3:$O$5001,"&lt;&gt;")=0,"",SUMIFS(BD!$O$3:$O$5001,BD!$A$3:$A$5001,Q$3,BD!$B$3:$B$5001,$A$60)))</f>
        <v/>
      </c>
      <c r="R71" s="225" t="str">
        <f>IF(R$3="","",IF(COUNTIFS(BD!$A$3:$A$5001,R$3,BD!$B$3:$B$5001,$A$60,BD!$O$3:$O$5001,"&lt;&gt;")=0,"",SUMIFS(BD!$O$3:$O$5001,BD!$A$3:$A$5001,R$3,BD!$B$3:$B$5001,$A$60)))</f>
        <v/>
      </c>
      <c r="S71" s="225" t="str">
        <f>IF(S$3="","",IF(COUNTIFS(BD!$A$3:$A$5001,S$3,BD!$B$3:$B$5001,$A$60,BD!$O$3:$O$5001,"&lt;&gt;")=0,"",SUMIFS(BD!$O$3:$O$5001,BD!$A$3:$A$5001,S$3,BD!$B$3:$B$5001,$A$60)))</f>
        <v/>
      </c>
      <c r="T71" s="225" t="str">
        <f>IF(T$3="","",IF(COUNTIFS(BD!$A$3:$A$5001,T$3,BD!$B$3:$B$5001,$A$60,BD!$O$3:$O$5001,"&lt;&gt;")=0,"",SUMIFS(BD!$O$3:$O$5001,BD!$A$3:$A$5001,T$3,BD!$B$3:$B$5001,$A$60)))</f>
        <v/>
      </c>
      <c r="U71" s="225" t="str">
        <f>IF(U$3="","",IF(COUNTIFS(BD!$A$3:$A$5001,U$3,BD!$B$3:$B$5001,$A$60,BD!$O$3:$O$5001,"&lt;&gt;")=0,"",SUMIFS(BD!$O$3:$O$5001,BD!$A$3:$A$5001,U$3,BD!$B$3:$B$5001,$A$60)))</f>
        <v/>
      </c>
      <c r="V71" s="225" t="str">
        <f>IF(V$3="","",IF(COUNTIFS(BD!$A$3:$A$5001,V$3,BD!$B$3:$B$5001,$A$60,BD!$O$3:$O$5001,"&lt;&gt;")=0,"",SUMIFS(BD!$O$3:$O$5001,BD!$A$3:$A$5001,V$3,BD!$B$3:$B$5001,$A$60)))</f>
        <v/>
      </c>
      <c r="W71" s="225" t="str">
        <f>IF(W$3="","",IF(COUNTIFS(BD!$A$3:$A$5001,W$3,BD!$B$3:$B$5001,$A$60,BD!$O$3:$O$5001,"&lt;&gt;")=0,"",SUMIFS(BD!$O$3:$O$5001,BD!$A$3:$A$5001,W$3,BD!$B$3:$B$5001,$A$60)))</f>
        <v/>
      </c>
      <c r="X71" s="225" t="str">
        <f>IF(X$3="","",IF(COUNTIFS(BD!$A$3:$A$5001,X$3,BD!$B$3:$B$5001,$A$60,BD!$O$3:$O$5001,"&lt;&gt;")=0,"",SUMIFS(BD!$O$3:$O$5001,BD!$A$3:$A$5001,X$3,BD!$B$3:$B$5001,$A$60)))</f>
        <v/>
      </c>
      <c r="Y71" s="225" t="str">
        <f>IF(Y$3="","",IF(COUNTIFS(BD!$A$3:$A$5001,Y$3,BD!$B$3:$B$5001,$A$60,BD!$O$3:$O$5001,"&lt;&gt;")=0,"",SUMIFS(BD!$O$3:$O$5001,BD!$A$3:$A$5001,Y$3,BD!$B$3:$B$5001,$A$60)))</f>
        <v/>
      </c>
      <c r="Z71" s="225" t="str">
        <f>IF(Z$3="","",IF(COUNTIFS(BD!$A$3:$A$5001,Z$3,BD!$B$3:$B$5001,$A$60,BD!$O$3:$O$5001,"&lt;&gt;")=0,"",SUMIFS(BD!$O$3:$O$5001,BD!$A$3:$A$5001,Z$3,BD!$B$3:$B$5001,$A$60)))</f>
        <v/>
      </c>
      <c r="AA71" s="225" t="str">
        <f>IF(AA$3="","",IF(COUNTIFS(BD!$A$3:$A$5001,AA$3,BD!$B$3:$B$5001,$A$60,BD!$O$3:$O$5001,"&lt;&gt;")=0,"",SUMIFS(BD!$O$3:$O$5001,BD!$A$3:$A$5001,AA$3,BD!$B$3:$B$5001,$A$60)))</f>
        <v/>
      </c>
      <c r="AB71" s="225" t="str">
        <f>IF(AB$3="","",IF(COUNTIFS(BD!$A$3:$A$5001,AB$3,BD!$B$3:$B$5001,$A$60,BD!$O$3:$O$5001,"&lt;&gt;")=0,"",SUMIFS(BD!$O$3:$O$5001,BD!$A$3:$A$5001,AB$3,BD!$B$3:$B$5001,$A$60)))</f>
        <v/>
      </c>
      <c r="AC71" s="225" t="str">
        <f>IF(AC$3="","",IF(COUNTIFS(BD!$A$3:$A$5001,AC$3,BD!$B$3:$B$5001,$A$60,BD!$O$3:$O$5001,"&lt;&gt;")=0,"",SUMIFS(BD!$O$3:$O$5001,BD!$A$3:$A$5001,AC$3,BD!$B$3:$B$5001,$A$60)))</f>
        <v/>
      </c>
      <c r="AD71" s="225" t="str">
        <f>IF(AD$3="","",IF(COUNTIFS(BD!$A$3:$A$5001,AD$3,BD!$B$3:$B$5001,$A$60,BD!$O$3:$O$5001,"&lt;&gt;")=0,"",SUMIFS(BD!$O$3:$O$5001,BD!$A$3:$A$5001,AD$3,BD!$B$3:$B$5001,$A$60)))</f>
        <v/>
      </c>
      <c r="AE71" s="225" t="str">
        <f>IF(AE$3="","",IF(COUNTIFS(BD!$A$3:$A$5001,AE$3,BD!$B$3:$B$5001,$A$60,BD!$O$3:$O$5001,"&lt;&gt;")=0,"",SUMIFS(BD!$O$3:$O$5001,BD!$A$3:$A$5001,AE$3,BD!$B$3:$B$5001,$A$60)))</f>
        <v/>
      </c>
      <c r="AF71" s="225" t="str">
        <f>IF(AF$3="","",IF(COUNTIFS(BD!$A$3:$A$5001,AF$3,BD!$B$3:$B$5001,$A$60,BD!$O$3:$O$5001,"&lt;&gt;")=0,"",SUMIFS(BD!$O$3:$O$5001,BD!$A$3:$A$5001,AF$3,BD!$B$3:$B$5001,$A$60)))</f>
        <v/>
      </c>
      <c r="AG71" s="225" t="str">
        <f>IF(AG$3="","",IF(COUNTIFS(BD!$A$3:$A$5001,AG$3,BD!$B$3:$B$5001,$A$60,BD!$O$3:$O$5001,"&lt;&gt;")=0,"",SUMIFS(BD!$O$3:$O$5001,BD!$A$3:$A$5001,AG$3,BD!$B$3:$B$5001,$A$60)))</f>
        <v/>
      </c>
      <c r="AH71" s="225" t="str">
        <f>IF(AH$3="","",IF(COUNTIFS(BD!$A$3:$A$5001,AH$3,BD!$B$3:$B$5001,$A$60,BD!$O$3:$O$5001,"&lt;&gt;")=0,"",SUMIFS(BD!$O$3:$O$5001,BD!$A$3:$A$5001,AH$3,BD!$B$3:$B$5001,$A$60)))</f>
        <v/>
      </c>
      <c r="AI71" s="225" t="str">
        <f>IF(AI$3="","",IF(COUNTIFS(BD!$A$3:$A$5001,AI$3,BD!$B$3:$B$5001,$A$60,BD!$O$3:$O$5001,"&lt;&gt;")=0,"",SUMIFS(BD!$O$3:$O$5001,BD!$A$3:$A$5001,AI$3,BD!$B$3:$B$5001,$A$60)))</f>
        <v/>
      </c>
      <c r="AJ71" s="226" t="str">
        <f>IF(AJ$3="","",IF(COUNTIFS(BD!$A$3:$A$5001,AJ$3,BD!$B$3:$B$5001,$A$60,BD!$O$3:$O$5001,"&lt;&gt;")=0,"",SUMIFS(BD!$O$3:$O$5001,BD!$A$3:$A$5001,AJ$3,BD!$B$3:$B$5001,$A$60)))</f>
        <v/>
      </c>
      <c r="AK71" s="227" t="str">
        <f>IF(COUNT(F71:AJ71)=0,"",SUM(F71:AJ71))</f>
        <v/>
      </c>
    </row>
    <row r="72" ht="15.75" customHeight="1">
      <c r="A72" s="247"/>
      <c r="B72" s="244"/>
      <c r="C72" s="221" t="inlineStr">
        <is>
          <t xml:space="preserve">Folga</t>
        </is>
      </c>
      <c r="D72" s="222" t="str">
        <f>IFERROR(1/(1/INDEX(BD!$Y$37:$AD$37,MATCH($A$60,BD!$Y$22:$AD$22,0))),"")</f>
        <v/>
      </c>
      <c r="E72" s="223"/>
      <c r="F72" s="224" t="str">
        <f>IF(F$3="","",IF(COUNTIFS(BD!$A$3:$A$5001,F$3,BD!$B$3:$B$5001,$A$60,BD!$P$3:$P$5001,"&lt;&gt;")=0,"",SUMIFS(BD!$P$3:$P$5001,BD!$A$3:$A$5001,F$3,BD!$B$3:$B$5001,$A$60)))</f>
        <v/>
      </c>
      <c r="G72" s="225" t="str">
        <f>IF(G$3="","",IF(COUNTIFS(BD!$A$3:$A$5001,G$3,BD!$B$3:$B$5001,$A$60,BD!$P$3:$P$5001,"&lt;&gt;")=0,"",SUMIFS(BD!$P$3:$P$5001,BD!$A$3:$A$5001,G$3,BD!$B$3:$B$5001,$A$60)))</f>
        <v/>
      </c>
      <c r="H72" s="225" t="str">
        <f>IF(H$3="","",IF(COUNTIFS(BD!$A$3:$A$5001,H$3,BD!$B$3:$B$5001,$A$60,BD!$P$3:$P$5001,"&lt;&gt;")=0,"",SUMIFS(BD!$P$3:$P$5001,BD!$A$3:$A$5001,H$3,BD!$B$3:$B$5001,$A$60)))</f>
        <v/>
      </c>
      <c r="I72" s="225" t="str">
        <f>IF(I$3="","",IF(COUNTIFS(BD!$A$3:$A$5001,I$3,BD!$B$3:$B$5001,$A$60,BD!$P$3:$P$5001,"&lt;&gt;")=0,"",SUMIFS(BD!$P$3:$P$5001,BD!$A$3:$A$5001,I$3,BD!$B$3:$B$5001,$A$60)))</f>
        <v/>
      </c>
      <c r="J72" s="225" t="str">
        <f>IF(J$3="","",IF(COUNTIFS(BD!$A$3:$A$5001,J$3,BD!$B$3:$B$5001,$A$60,BD!$P$3:$P$5001,"&lt;&gt;")=0,"",SUMIFS(BD!$P$3:$P$5001,BD!$A$3:$A$5001,J$3,BD!$B$3:$B$5001,$A$60)))</f>
        <v/>
      </c>
      <c r="K72" s="225" t="str">
        <f>IF(K$3="","",IF(COUNTIFS(BD!$A$3:$A$5001,K$3,BD!$B$3:$B$5001,$A$60,BD!$P$3:$P$5001,"&lt;&gt;")=0,"",SUMIFS(BD!$P$3:$P$5001,BD!$A$3:$A$5001,K$3,BD!$B$3:$B$5001,$A$60)))</f>
        <v/>
      </c>
      <c r="L72" s="225" t="str">
        <f>IF(L$3="","",IF(COUNTIFS(BD!$A$3:$A$5001,L$3,BD!$B$3:$B$5001,$A$60,BD!$P$3:$P$5001,"&lt;&gt;")=0,"",SUMIFS(BD!$P$3:$P$5001,BD!$A$3:$A$5001,L$3,BD!$B$3:$B$5001,$A$60)))</f>
        <v/>
      </c>
      <c r="M72" s="225" t="str">
        <f>IF(M$3="","",IF(COUNTIFS(BD!$A$3:$A$5001,M$3,BD!$B$3:$B$5001,$A$60,BD!$P$3:$P$5001,"&lt;&gt;")=0,"",SUMIFS(BD!$P$3:$P$5001,BD!$A$3:$A$5001,M$3,BD!$B$3:$B$5001,$A$60)))</f>
        <v/>
      </c>
      <c r="N72" s="225" t="str">
        <f>IF(N$3="","",IF(COUNTIFS(BD!$A$3:$A$5001,N$3,BD!$B$3:$B$5001,$A$60,BD!$P$3:$P$5001,"&lt;&gt;")=0,"",SUMIFS(BD!$P$3:$P$5001,BD!$A$3:$A$5001,N$3,BD!$B$3:$B$5001,$A$60)))</f>
        <v/>
      </c>
      <c r="O72" s="225" t="str">
        <f>IF(O$3="","",IF(COUNTIFS(BD!$A$3:$A$5001,O$3,BD!$B$3:$B$5001,$A$60,BD!$P$3:$P$5001,"&lt;&gt;")=0,"",SUMIFS(BD!$P$3:$P$5001,BD!$A$3:$A$5001,O$3,BD!$B$3:$B$5001,$A$60)))</f>
        <v/>
      </c>
      <c r="P72" s="225" t="str">
        <f>IF(P$3="","",IF(COUNTIFS(BD!$A$3:$A$5001,P$3,BD!$B$3:$B$5001,$A$60,BD!$P$3:$P$5001,"&lt;&gt;")=0,"",SUMIFS(BD!$P$3:$P$5001,BD!$A$3:$A$5001,P$3,BD!$B$3:$B$5001,$A$60)))</f>
        <v/>
      </c>
      <c r="Q72" s="225" t="str">
        <f>IF(Q$3="","",IF(COUNTIFS(BD!$A$3:$A$5001,Q$3,BD!$B$3:$B$5001,$A$60,BD!$P$3:$P$5001,"&lt;&gt;")=0,"",SUMIFS(BD!$P$3:$P$5001,BD!$A$3:$A$5001,Q$3,BD!$B$3:$B$5001,$A$60)))</f>
        <v/>
      </c>
      <c r="R72" s="225" t="str">
        <f>IF(R$3="","",IF(COUNTIFS(BD!$A$3:$A$5001,R$3,BD!$B$3:$B$5001,$A$60,BD!$P$3:$P$5001,"&lt;&gt;")=0,"",SUMIFS(BD!$P$3:$P$5001,BD!$A$3:$A$5001,R$3,BD!$B$3:$B$5001,$A$60)))</f>
        <v/>
      </c>
      <c r="S72" s="225" t="str">
        <f>IF(S$3="","",IF(COUNTIFS(BD!$A$3:$A$5001,S$3,BD!$B$3:$B$5001,$A$60,BD!$P$3:$P$5001,"&lt;&gt;")=0,"",SUMIFS(BD!$P$3:$P$5001,BD!$A$3:$A$5001,S$3,BD!$B$3:$B$5001,$A$60)))</f>
        <v/>
      </c>
      <c r="T72" s="225" t="str">
        <f>IF(T$3="","",IF(COUNTIFS(BD!$A$3:$A$5001,T$3,BD!$B$3:$B$5001,$A$60,BD!$P$3:$P$5001,"&lt;&gt;")=0,"",SUMIFS(BD!$P$3:$P$5001,BD!$A$3:$A$5001,T$3,BD!$B$3:$B$5001,$A$60)))</f>
        <v/>
      </c>
      <c r="U72" s="225" t="str">
        <f>IF(U$3="","",IF(COUNTIFS(BD!$A$3:$A$5001,U$3,BD!$B$3:$B$5001,$A$60,BD!$P$3:$P$5001,"&lt;&gt;")=0,"",SUMIFS(BD!$P$3:$P$5001,BD!$A$3:$A$5001,U$3,BD!$B$3:$B$5001,$A$60)))</f>
        <v/>
      </c>
      <c r="V72" s="225" t="str">
        <f>IF(V$3="","",IF(COUNTIFS(BD!$A$3:$A$5001,V$3,BD!$B$3:$B$5001,$A$60,BD!$P$3:$P$5001,"&lt;&gt;")=0,"",SUMIFS(BD!$P$3:$P$5001,BD!$A$3:$A$5001,V$3,BD!$B$3:$B$5001,$A$60)))</f>
        <v/>
      </c>
      <c r="W72" s="225" t="str">
        <f>IF(W$3="","",IF(COUNTIFS(BD!$A$3:$A$5001,W$3,BD!$B$3:$B$5001,$A$60,BD!$P$3:$P$5001,"&lt;&gt;")=0,"",SUMIFS(BD!$P$3:$P$5001,BD!$A$3:$A$5001,W$3,BD!$B$3:$B$5001,$A$60)))</f>
        <v/>
      </c>
      <c r="X72" s="225" t="str">
        <f>IF(X$3="","",IF(COUNTIFS(BD!$A$3:$A$5001,X$3,BD!$B$3:$B$5001,$A$60,BD!$P$3:$P$5001,"&lt;&gt;")=0,"",SUMIFS(BD!$P$3:$P$5001,BD!$A$3:$A$5001,X$3,BD!$B$3:$B$5001,$A$60)))</f>
        <v/>
      </c>
      <c r="Y72" s="225" t="str">
        <f>IF(Y$3="","",IF(COUNTIFS(BD!$A$3:$A$5001,Y$3,BD!$B$3:$B$5001,$A$60,BD!$P$3:$P$5001,"&lt;&gt;")=0,"",SUMIFS(BD!$P$3:$P$5001,BD!$A$3:$A$5001,Y$3,BD!$B$3:$B$5001,$A$60)))</f>
        <v/>
      </c>
      <c r="Z72" s="225" t="str">
        <f>IF(Z$3="","",IF(COUNTIFS(BD!$A$3:$A$5001,Z$3,BD!$B$3:$B$5001,$A$60,BD!$P$3:$P$5001,"&lt;&gt;")=0,"",SUMIFS(BD!$P$3:$P$5001,BD!$A$3:$A$5001,Z$3,BD!$B$3:$B$5001,$A$60)))</f>
        <v/>
      </c>
      <c r="AA72" s="225" t="str">
        <f>IF(AA$3="","",IF(COUNTIFS(BD!$A$3:$A$5001,AA$3,BD!$B$3:$B$5001,$A$60,BD!$P$3:$P$5001,"&lt;&gt;")=0,"",SUMIFS(BD!$P$3:$P$5001,BD!$A$3:$A$5001,AA$3,BD!$B$3:$B$5001,$A$60)))</f>
        <v/>
      </c>
      <c r="AB72" s="225" t="str">
        <f>IF(AB$3="","",IF(COUNTIFS(BD!$A$3:$A$5001,AB$3,BD!$B$3:$B$5001,$A$60,BD!$P$3:$P$5001,"&lt;&gt;")=0,"",SUMIFS(BD!$P$3:$P$5001,BD!$A$3:$A$5001,AB$3,BD!$B$3:$B$5001,$A$60)))</f>
        <v/>
      </c>
      <c r="AC72" s="225" t="str">
        <f>IF(AC$3="","",IF(COUNTIFS(BD!$A$3:$A$5001,AC$3,BD!$B$3:$B$5001,$A$60,BD!$P$3:$P$5001,"&lt;&gt;")=0,"",SUMIFS(BD!$P$3:$P$5001,BD!$A$3:$A$5001,AC$3,BD!$B$3:$B$5001,$A$60)))</f>
        <v/>
      </c>
      <c r="AD72" s="225" t="str">
        <f>IF(AD$3="","",IF(COUNTIFS(BD!$A$3:$A$5001,AD$3,BD!$B$3:$B$5001,$A$60,BD!$P$3:$P$5001,"&lt;&gt;")=0,"",SUMIFS(BD!$P$3:$P$5001,BD!$A$3:$A$5001,AD$3,BD!$B$3:$B$5001,$A$60)))</f>
        <v/>
      </c>
      <c r="AE72" s="225" t="str">
        <f>IF(AE$3="","",IF(COUNTIFS(BD!$A$3:$A$5001,AE$3,BD!$B$3:$B$5001,$A$60,BD!$P$3:$P$5001,"&lt;&gt;")=0,"",SUMIFS(BD!$P$3:$P$5001,BD!$A$3:$A$5001,AE$3,BD!$B$3:$B$5001,$A$60)))</f>
        <v/>
      </c>
      <c r="AF72" s="225" t="str">
        <f>IF(AF$3="","",IF(COUNTIFS(BD!$A$3:$A$5001,AF$3,BD!$B$3:$B$5001,$A$60,BD!$P$3:$P$5001,"&lt;&gt;")=0,"",SUMIFS(BD!$P$3:$P$5001,BD!$A$3:$A$5001,AF$3,BD!$B$3:$B$5001,$A$60)))</f>
        <v/>
      </c>
      <c r="AG72" s="225" t="str">
        <f>IF(AG$3="","",IF(COUNTIFS(BD!$A$3:$A$5001,AG$3,BD!$B$3:$B$5001,$A$60,BD!$P$3:$P$5001,"&lt;&gt;")=0,"",SUMIFS(BD!$P$3:$P$5001,BD!$A$3:$A$5001,AG$3,BD!$B$3:$B$5001,$A$60)))</f>
        <v/>
      </c>
      <c r="AH72" s="225" t="str">
        <f>IF(AH$3="","",IF(COUNTIFS(BD!$A$3:$A$5001,AH$3,BD!$B$3:$B$5001,$A$60,BD!$P$3:$P$5001,"&lt;&gt;")=0,"",SUMIFS(BD!$P$3:$P$5001,BD!$A$3:$A$5001,AH$3,BD!$B$3:$B$5001,$A$60)))</f>
        <v/>
      </c>
      <c r="AI72" s="225" t="str">
        <f>IF(AI$3="","",IF(COUNTIFS(BD!$A$3:$A$5001,AI$3,BD!$B$3:$B$5001,$A$60,BD!$P$3:$P$5001,"&lt;&gt;")=0,"",SUMIFS(BD!$P$3:$P$5001,BD!$A$3:$A$5001,AI$3,BD!$B$3:$B$5001,$A$60)))</f>
        <v/>
      </c>
      <c r="AJ72" s="226" t="str">
        <f>IF(AJ$3="","",IF(COUNTIFS(BD!$A$3:$A$5001,AJ$3,BD!$B$3:$B$5001,$A$60,BD!$P$3:$P$5001,"&lt;&gt;")=0,"",SUMIFS(BD!$P$3:$P$5001,BD!$A$3:$A$5001,AJ$3,BD!$B$3:$B$5001,$A$60)))</f>
        <v/>
      </c>
      <c r="AK72" s="227" t="str">
        <f>IF(COUNT(F72:AJ72)=0,"",SUM(F72:AJ72))</f>
        <v/>
      </c>
    </row>
    <row r="73" ht="15.75" customHeight="1">
      <c r="A73" s="247"/>
      <c r="B73" s="244"/>
      <c r="C73" s="221" t="inlineStr">
        <is>
          <t xml:space="preserve">Férias</t>
        </is>
      </c>
      <c r="D73" s="222" t="str">
        <f>IFERROR(1/(1/INDEX(BD!$Y$38:$AD$38,MATCH($A$60,BD!$Y$22:$AD$22,0))),"")</f>
        <v/>
      </c>
      <c r="E73" s="223"/>
      <c r="F73" s="224" t="str">
        <f>IF(F$3="","",IF(COUNTIFS(BD!$A$3:$A$5001,F$3,BD!$B$3:$B$5001,$A$60,BD!$Q$3:$Q$5001,"&lt;&gt;")=0,"",SUMIFS(BD!$Q$3:$Q$5001,BD!$A$3:$A$5001,F$3,BD!$B$3:$B$5001,$A$60)))</f>
        <v/>
      </c>
      <c r="G73" s="225" t="str">
        <f>IF(G$3="","",IF(COUNTIFS(BD!$A$3:$A$5001,G$3,BD!$B$3:$B$5001,$A$60,BD!$Q$3:$Q$5001,"&lt;&gt;")=0,"",SUMIFS(BD!$Q$3:$Q$5001,BD!$A$3:$A$5001,G$3,BD!$B$3:$B$5001,$A$60)))</f>
        <v/>
      </c>
      <c r="H73" s="225" t="str">
        <f>IF(H$3="","",IF(COUNTIFS(BD!$A$3:$A$5001,H$3,BD!$B$3:$B$5001,$A$60,BD!$Q$3:$Q$5001,"&lt;&gt;")=0,"",SUMIFS(BD!$Q$3:$Q$5001,BD!$A$3:$A$5001,H$3,BD!$B$3:$B$5001,$A$60)))</f>
        <v/>
      </c>
      <c r="I73" s="225" t="str">
        <f>IF(I$3="","",IF(COUNTIFS(BD!$A$3:$A$5001,I$3,BD!$B$3:$B$5001,$A$60,BD!$Q$3:$Q$5001,"&lt;&gt;")=0,"",SUMIFS(BD!$Q$3:$Q$5001,BD!$A$3:$A$5001,I$3,BD!$B$3:$B$5001,$A$60)))</f>
        <v/>
      </c>
      <c r="J73" s="225" t="str">
        <f>IF(J$3="","",IF(COUNTIFS(BD!$A$3:$A$5001,J$3,BD!$B$3:$B$5001,$A$60,BD!$Q$3:$Q$5001,"&lt;&gt;")=0,"",SUMIFS(BD!$Q$3:$Q$5001,BD!$A$3:$A$5001,J$3,BD!$B$3:$B$5001,$A$60)))</f>
        <v/>
      </c>
      <c r="K73" s="225" t="str">
        <f>IF(K$3="","",IF(COUNTIFS(BD!$A$3:$A$5001,K$3,BD!$B$3:$B$5001,$A$60,BD!$Q$3:$Q$5001,"&lt;&gt;")=0,"",SUMIFS(BD!$Q$3:$Q$5001,BD!$A$3:$A$5001,K$3,BD!$B$3:$B$5001,$A$60)))</f>
        <v/>
      </c>
      <c r="L73" s="225" t="str">
        <f>IF(L$3="","",IF(COUNTIFS(BD!$A$3:$A$5001,L$3,BD!$B$3:$B$5001,$A$60,BD!$Q$3:$Q$5001,"&lt;&gt;")=0,"",SUMIFS(BD!$Q$3:$Q$5001,BD!$A$3:$A$5001,L$3,BD!$B$3:$B$5001,$A$60)))</f>
        <v/>
      </c>
      <c r="M73" s="225" t="str">
        <f>IF(M$3="","",IF(COUNTIFS(BD!$A$3:$A$5001,M$3,BD!$B$3:$B$5001,$A$60,BD!$Q$3:$Q$5001,"&lt;&gt;")=0,"",SUMIFS(BD!$Q$3:$Q$5001,BD!$A$3:$A$5001,M$3,BD!$B$3:$B$5001,$A$60)))</f>
        <v/>
      </c>
      <c r="N73" s="225" t="str">
        <f>IF(N$3="","",IF(COUNTIFS(BD!$A$3:$A$5001,N$3,BD!$B$3:$B$5001,$A$60,BD!$Q$3:$Q$5001,"&lt;&gt;")=0,"",SUMIFS(BD!$Q$3:$Q$5001,BD!$A$3:$A$5001,N$3,BD!$B$3:$B$5001,$A$60)))</f>
        <v/>
      </c>
      <c r="O73" s="225" t="str">
        <f>IF(O$3="","",IF(COUNTIFS(BD!$A$3:$A$5001,O$3,BD!$B$3:$B$5001,$A$60,BD!$Q$3:$Q$5001,"&lt;&gt;")=0,"",SUMIFS(BD!$Q$3:$Q$5001,BD!$A$3:$A$5001,O$3,BD!$B$3:$B$5001,$A$60)))</f>
        <v/>
      </c>
      <c r="P73" s="225" t="str">
        <f>IF(P$3="","",IF(COUNTIFS(BD!$A$3:$A$5001,P$3,BD!$B$3:$B$5001,$A$60,BD!$Q$3:$Q$5001,"&lt;&gt;")=0,"",SUMIFS(BD!$Q$3:$Q$5001,BD!$A$3:$A$5001,P$3,BD!$B$3:$B$5001,$A$60)))</f>
        <v/>
      </c>
      <c r="Q73" s="225" t="str">
        <f>IF(Q$3="","",IF(COUNTIFS(BD!$A$3:$A$5001,Q$3,BD!$B$3:$B$5001,$A$60,BD!$Q$3:$Q$5001,"&lt;&gt;")=0,"",SUMIFS(BD!$Q$3:$Q$5001,BD!$A$3:$A$5001,Q$3,BD!$B$3:$B$5001,$A$60)))</f>
        <v/>
      </c>
      <c r="R73" s="225" t="str">
        <f>IF(R$3="","",IF(COUNTIFS(BD!$A$3:$A$5001,R$3,BD!$B$3:$B$5001,$A$60,BD!$Q$3:$Q$5001,"&lt;&gt;")=0,"",SUMIFS(BD!$Q$3:$Q$5001,BD!$A$3:$A$5001,R$3,BD!$B$3:$B$5001,$A$60)))</f>
        <v/>
      </c>
      <c r="S73" s="225" t="str">
        <f>IF(S$3="","",IF(COUNTIFS(BD!$A$3:$A$5001,S$3,BD!$B$3:$B$5001,$A$60,BD!$Q$3:$Q$5001,"&lt;&gt;")=0,"",SUMIFS(BD!$Q$3:$Q$5001,BD!$A$3:$A$5001,S$3,BD!$B$3:$B$5001,$A$60)))</f>
        <v/>
      </c>
      <c r="T73" s="225" t="str">
        <f>IF(T$3="","",IF(COUNTIFS(BD!$A$3:$A$5001,T$3,BD!$B$3:$B$5001,$A$60,BD!$Q$3:$Q$5001,"&lt;&gt;")=0,"",SUMIFS(BD!$Q$3:$Q$5001,BD!$A$3:$A$5001,T$3,BD!$B$3:$B$5001,$A$60)))</f>
        <v/>
      </c>
      <c r="U73" s="225" t="str">
        <f>IF(U$3="","",IF(COUNTIFS(BD!$A$3:$A$5001,U$3,BD!$B$3:$B$5001,$A$60,BD!$Q$3:$Q$5001,"&lt;&gt;")=0,"",SUMIFS(BD!$Q$3:$Q$5001,BD!$A$3:$A$5001,U$3,BD!$B$3:$B$5001,$A$60)))</f>
        <v/>
      </c>
      <c r="V73" s="225" t="str">
        <f>IF(V$3="","",IF(COUNTIFS(BD!$A$3:$A$5001,V$3,BD!$B$3:$B$5001,$A$60,BD!$Q$3:$Q$5001,"&lt;&gt;")=0,"",SUMIFS(BD!$Q$3:$Q$5001,BD!$A$3:$A$5001,V$3,BD!$B$3:$B$5001,$A$60)))</f>
        <v/>
      </c>
      <c r="W73" s="225" t="str">
        <f>IF(W$3="","",IF(COUNTIFS(BD!$A$3:$A$5001,W$3,BD!$B$3:$B$5001,$A$60,BD!$Q$3:$Q$5001,"&lt;&gt;")=0,"",SUMIFS(BD!$Q$3:$Q$5001,BD!$A$3:$A$5001,W$3,BD!$B$3:$B$5001,$A$60)))</f>
        <v/>
      </c>
      <c r="X73" s="225" t="str">
        <f>IF(X$3="","",IF(COUNTIFS(BD!$A$3:$A$5001,X$3,BD!$B$3:$B$5001,$A$60,BD!$Q$3:$Q$5001,"&lt;&gt;")=0,"",SUMIFS(BD!$Q$3:$Q$5001,BD!$A$3:$A$5001,X$3,BD!$B$3:$B$5001,$A$60)))</f>
        <v/>
      </c>
      <c r="Y73" s="225" t="str">
        <f>IF(Y$3="","",IF(COUNTIFS(BD!$A$3:$A$5001,Y$3,BD!$B$3:$B$5001,$A$60,BD!$Q$3:$Q$5001,"&lt;&gt;")=0,"",SUMIFS(BD!$Q$3:$Q$5001,BD!$A$3:$A$5001,Y$3,BD!$B$3:$B$5001,$A$60)))</f>
        <v/>
      </c>
      <c r="Z73" s="225" t="str">
        <f>IF(Z$3="","",IF(COUNTIFS(BD!$A$3:$A$5001,Z$3,BD!$B$3:$B$5001,$A$60,BD!$Q$3:$Q$5001,"&lt;&gt;")=0,"",SUMIFS(BD!$Q$3:$Q$5001,BD!$A$3:$A$5001,Z$3,BD!$B$3:$B$5001,$A$60)))</f>
        <v/>
      </c>
      <c r="AA73" s="225" t="str">
        <f>IF(AA$3="","",IF(COUNTIFS(BD!$A$3:$A$5001,AA$3,BD!$B$3:$B$5001,$A$60,BD!$Q$3:$Q$5001,"&lt;&gt;")=0,"",SUMIFS(BD!$Q$3:$Q$5001,BD!$A$3:$A$5001,AA$3,BD!$B$3:$B$5001,$A$60)))</f>
        <v/>
      </c>
      <c r="AB73" s="225" t="str">
        <f>IF(AB$3="","",IF(COUNTIFS(BD!$A$3:$A$5001,AB$3,BD!$B$3:$B$5001,$A$60,BD!$Q$3:$Q$5001,"&lt;&gt;")=0,"",SUMIFS(BD!$Q$3:$Q$5001,BD!$A$3:$A$5001,AB$3,BD!$B$3:$B$5001,$A$60)))</f>
        <v/>
      </c>
      <c r="AC73" s="225" t="str">
        <f>IF(AC$3="","",IF(COUNTIFS(BD!$A$3:$A$5001,AC$3,BD!$B$3:$B$5001,$A$60,BD!$Q$3:$Q$5001,"&lt;&gt;")=0,"",SUMIFS(BD!$Q$3:$Q$5001,BD!$A$3:$A$5001,AC$3,BD!$B$3:$B$5001,$A$60)))</f>
        <v/>
      </c>
      <c r="AD73" s="225" t="str">
        <f>IF(AD$3="","",IF(COUNTIFS(BD!$A$3:$A$5001,AD$3,BD!$B$3:$B$5001,$A$60,BD!$Q$3:$Q$5001,"&lt;&gt;")=0,"",SUMIFS(BD!$Q$3:$Q$5001,BD!$A$3:$A$5001,AD$3,BD!$B$3:$B$5001,$A$60)))</f>
        <v/>
      </c>
      <c r="AE73" s="225" t="str">
        <f>IF(AE$3="","",IF(COUNTIFS(BD!$A$3:$A$5001,AE$3,BD!$B$3:$B$5001,$A$60,BD!$Q$3:$Q$5001,"&lt;&gt;")=0,"",SUMIFS(BD!$Q$3:$Q$5001,BD!$A$3:$A$5001,AE$3,BD!$B$3:$B$5001,$A$60)))</f>
        <v/>
      </c>
      <c r="AF73" s="225" t="str">
        <f>IF(AF$3="","",IF(COUNTIFS(BD!$A$3:$A$5001,AF$3,BD!$B$3:$B$5001,$A$60,BD!$Q$3:$Q$5001,"&lt;&gt;")=0,"",SUMIFS(BD!$Q$3:$Q$5001,BD!$A$3:$A$5001,AF$3,BD!$B$3:$B$5001,$A$60)))</f>
        <v/>
      </c>
      <c r="AG73" s="225" t="str">
        <f>IF(AG$3="","",IF(COUNTIFS(BD!$A$3:$A$5001,AG$3,BD!$B$3:$B$5001,$A$60,BD!$Q$3:$Q$5001,"&lt;&gt;")=0,"",SUMIFS(BD!$Q$3:$Q$5001,BD!$A$3:$A$5001,AG$3,BD!$B$3:$B$5001,$A$60)))</f>
        <v/>
      </c>
      <c r="AH73" s="225" t="str">
        <f>IF(AH$3="","",IF(COUNTIFS(BD!$A$3:$A$5001,AH$3,BD!$B$3:$B$5001,$A$60,BD!$Q$3:$Q$5001,"&lt;&gt;")=0,"",SUMIFS(BD!$Q$3:$Q$5001,BD!$A$3:$A$5001,AH$3,BD!$B$3:$B$5001,$A$60)))</f>
        <v/>
      </c>
      <c r="AI73" s="225" t="str">
        <f>IF(AI$3="","",IF(COUNTIFS(BD!$A$3:$A$5001,AI$3,BD!$B$3:$B$5001,$A$60,BD!$Q$3:$Q$5001,"&lt;&gt;")=0,"",SUMIFS(BD!$Q$3:$Q$5001,BD!$A$3:$A$5001,AI$3,BD!$B$3:$B$5001,$A$60)))</f>
        <v/>
      </c>
      <c r="AJ73" s="226" t="str">
        <f>IF(AJ$3="","",IF(COUNTIFS(BD!$A$3:$A$5001,AJ$3,BD!$B$3:$B$5001,$A$60,BD!$Q$3:$Q$5001,"&lt;&gt;")=0,"",SUMIFS(BD!$Q$3:$Q$5001,BD!$A$3:$A$5001,AJ$3,BD!$B$3:$B$5001,$A$60)))</f>
        <v/>
      </c>
      <c r="AK73" s="227" t="str">
        <f>IF(COUNT(F73:AJ73)=0,"",SUM(F73:AJ73))</f>
        <v/>
      </c>
    </row>
    <row r="74" ht="15.75" customHeight="1">
      <c r="A74" s="247"/>
      <c r="B74" s="244"/>
      <c r="C74" s="221" t="inlineStr">
        <is>
          <t xml:space="preserve">Desligamento</t>
        </is>
      </c>
      <c r="D74" s="222" t="str">
        <f>IFERROR(1/(1/INDEX(BD!$Y$39:$AD$39,MATCH($A$60,BD!$Y$22:$AD$22,0))),"")</f>
        <v/>
      </c>
      <c r="E74" s="223"/>
      <c r="F74" s="224" t="str">
        <f>IF(F$3="","",IF(COUNTIFS(BD!$A$3:$A$5001,F$3,BD!$B$3:$B$5001,$A$60,BD!$R$3:$R$5001,"&lt;&gt;")=0,"",SUMIFS(BD!$R$3:$R$5001,BD!$A$3:$A$5001,F$3,BD!$B$3:$B$5001,$A$60)))</f>
        <v/>
      </c>
      <c r="G74" s="225" t="str">
        <f>IF(G$3="","",IF(COUNTIFS(BD!$A$3:$A$5001,G$3,BD!$B$3:$B$5001,$A$60,BD!$R$3:$R$5001,"&lt;&gt;")=0,"",SUMIFS(BD!$R$3:$R$5001,BD!$A$3:$A$5001,G$3,BD!$B$3:$B$5001,$A$60)))</f>
        <v/>
      </c>
      <c r="H74" s="225" t="str">
        <f>IF(H$3="","",IF(COUNTIFS(BD!$A$3:$A$5001,H$3,BD!$B$3:$B$5001,$A$60,BD!$R$3:$R$5001,"&lt;&gt;")=0,"",SUMIFS(BD!$R$3:$R$5001,BD!$A$3:$A$5001,H$3,BD!$B$3:$B$5001,$A$60)))</f>
        <v/>
      </c>
      <c r="I74" s="225" t="str">
        <f>IF(I$3="","",IF(COUNTIFS(BD!$A$3:$A$5001,I$3,BD!$B$3:$B$5001,$A$60,BD!$R$3:$R$5001,"&lt;&gt;")=0,"",SUMIFS(BD!$R$3:$R$5001,BD!$A$3:$A$5001,I$3,BD!$B$3:$B$5001,$A$60)))</f>
        <v/>
      </c>
      <c r="J74" s="225" t="str">
        <f>IF(J$3="","",IF(COUNTIFS(BD!$A$3:$A$5001,J$3,BD!$B$3:$B$5001,$A$60,BD!$R$3:$R$5001,"&lt;&gt;")=0,"",SUMIFS(BD!$R$3:$R$5001,BD!$A$3:$A$5001,J$3,BD!$B$3:$B$5001,$A$60)))</f>
        <v/>
      </c>
      <c r="K74" s="225" t="str">
        <f>IF(K$3="","",IF(COUNTIFS(BD!$A$3:$A$5001,K$3,BD!$B$3:$B$5001,$A$60,BD!$R$3:$R$5001,"&lt;&gt;")=0,"",SUMIFS(BD!$R$3:$R$5001,BD!$A$3:$A$5001,K$3,BD!$B$3:$B$5001,$A$60)))</f>
        <v/>
      </c>
      <c r="L74" s="225" t="str">
        <f>IF(L$3="","",IF(COUNTIFS(BD!$A$3:$A$5001,L$3,BD!$B$3:$B$5001,$A$60,BD!$R$3:$R$5001,"&lt;&gt;")=0,"",SUMIFS(BD!$R$3:$R$5001,BD!$A$3:$A$5001,L$3,BD!$B$3:$B$5001,$A$60)))</f>
        <v/>
      </c>
      <c r="M74" s="225" t="str">
        <f>IF(M$3="","",IF(COUNTIFS(BD!$A$3:$A$5001,M$3,BD!$B$3:$B$5001,$A$60,BD!$R$3:$R$5001,"&lt;&gt;")=0,"",SUMIFS(BD!$R$3:$R$5001,BD!$A$3:$A$5001,M$3,BD!$B$3:$B$5001,$A$60)))</f>
        <v/>
      </c>
      <c r="N74" s="225" t="str">
        <f>IF(N$3="","",IF(COUNTIFS(BD!$A$3:$A$5001,N$3,BD!$B$3:$B$5001,$A$60,BD!$R$3:$R$5001,"&lt;&gt;")=0,"",SUMIFS(BD!$R$3:$R$5001,BD!$A$3:$A$5001,N$3,BD!$B$3:$B$5001,$A$60)))</f>
        <v/>
      </c>
      <c r="O74" s="225" t="str">
        <f>IF(O$3="","",IF(COUNTIFS(BD!$A$3:$A$5001,O$3,BD!$B$3:$B$5001,$A$60,BD!$R$3:$R$5001,"&lt;&gt;")=0,"",SUMIFS(BD!$R$3:$R$5001,BD!$A$3:$A$5001,O$3,BD!$B$3:$B$5001,$A$60)))</f>
        <v/>
      </c>
      <c r="P74" s="225" t="str">
        <f>IF(P$3="","",IF(COUNTIFS(BD!$A$3:$A$5001,P$3,BD!$B$3:$B$5001,$A$60,BD!$R$3:$R$5001,"&lt;&gt;")=0,"",SUMIFS(BD!$R$3:$R$5001,BD!$A$3:$A$5001,P$3,BD!$B$3:$B$5001,$A$60)))</f>
        <v/>
      </c>
      <c r="Q74" s="225" t="str">
        <f>IF(Q$3="","",IF(COUNTIFS(BD!$A$3:$A$5001,Q$3,BD!$B$3:$B$5001,$A$60,BD!$R$3:$R$5001,"&lt;&gt;")=0,"",SUMIFS(BD!$R$3:$R$5001,BD!$A$3:$A$5001,Q$3,BD!$B$3:$B$5001,$A$60)))</f>
        <v/>
      </c>
      <c r="R74" s="225" t="str">
        <f>IF(R$3="","",IF(COUNTIFS(BD!$A$3:$A$5001,R$3,BD!$B$3:$B$5001,$A$60,BD!$R$3:$R$5001,"&lt;&gt;")=0,"",SUMIFS(BD!$R$3:$R$5001,BD!$A$3:$A$5001,R$3,BD!$B$3:$B$5001,$A$60)))</f>
        <v/>
      </c>
      <c r="S74" s="225" t="str">
        <f>IF(S$3="","",IF(COUNTIFS(BD!$A$3:$A$5001,S$3,BD!$B$3:$B$5001,$A$60,BD!$R$3:$R$5001,"&lt;&gt;")=0,"",SUMIFS(BD!$R$3:$R$5001,BD!$A$3:$A$5001,S$3,BD!$B$3:$B$5001,$A$60)))</f>
        <v/>
      </c>
      <c r="T74" s="225" t="str">
        <f>IF(T$3="","",IF(COUNTIFS(BD!$A$3:$A$5001,T$3,BD!$B$3:$B$5001,$A$60,BD!$R$3:$R$5001,"&lt;&gt;")=0,"",SUMIFS(BD!$R$3:$R$5001,BD!$A$3:$A$5001,T$3,BD!$B$3:$B$5001,$A$60)))</f>
        <v/>
      </c>
      <c r="U74" s="225" t="str">
        <f>IF(U$3="","",IF(COUNTIFS(BD!$A$3:$A$5001,U$3,BD!$B$3:$B$5001,$A$60,BD!$R$3:$R$5001,"&lt;&gt;")=0,"",SUMIFS(BD!$R$3:$R$5001,BD!$A$3:$A$5001,U$3,BD!$B$3:$B$5001,$A$60)))</f>
        <v/>
      </c>
      <c r="V74" s="225" t="str">
        <f>IF(V$3="","",IF(COUNTIFS(BD!$A$3:$A$5001,V$3,BD!$B$3:$B$5001,$A$60,BD!$R$3:$R$5001,"&lt;&gt;")=0,"",SUMIFS(BD!$R$3:$R$5001,BD!$A$3:$A$5001,V$3,BD!$B$3:$B$5001,$A$60)))</f>
        <v/>
      </c>
      <c r="W74" s="225" t="str">
        <f>IF(W$3="","",IF(COUNTIFS(BD!$A$3:$A$5001,W$3,BD!$B$3:$B$5001,$A$60,BD!$R$3:$R$5001,"&lt;&gt;")=0,"",SUMIFS(BD!$R$3:$R$5001,BD!$A$3:$A$5001,W$3,BD!$B$3:$B$5001,$A$60)))</f>
        <v/>
      </c>
      <c r="X74" s="225" t="str">
        <f>IF(X$3="","",IF(COUNTIFS(BD!$A$3:$A$5001,X$3,BD!$B$3:$B$5001,$A$60,BD!$R$3:$R$5001,"&lt;&gt;")=0,"",SUMIFS(BD!$R$3:$R$5001,BD!$A$3:$A$5001,X$3,BD!$B$3:$B$5001,$A$60)))</f>
        <v/>
      </c>
      <c r="Y74" s="225" t="str">
        <f>IF(Y$3="","",IF(COUNTIFS(BD!$A$3:$A$5001,Y$3,BD!$B$3:$B$5001,$A$60,BD!$R$3:$R$5001,"&lt;&gt;")=0,"",SUMIFS(BD!$R$3:$R$5001,BD!$A$3:$A$5001,Y$3,BD!$B$3:$B$5001,$A$60)))</f>
        <v/>
      </c>
      <c r="Z74" s="225" t="str">
        <f>IF(Z$3="","",IF(COUNTIFS(BD!$A$3:$A$5001,Z$3,BD!$B$3:$B$5001,$A$60,BD!$R$3:$R$5001,"&lt;&gt;")=0,"",SUMIFS(BD!$R$3:$R$5001,BD!$A$3:$A$5001,Z$3,BD!$B$3:$B$5001,$A$60)))</f>
        <v/>
      </c>
      <c r="AA74" s="225" t="str">
        <f>IF(AA$3="","",IF(COUNTIFS(BD!$A$3:$A$5001,AA$3,BD!$B$3:$B$5001,$A$60,BD!$R$3:$R$5001,"&lt;&gt;")=0,"",SUMIFS(BD!$R$3:$R$5001,BD!$A$3:$A$5001,AA$3,BD!$B$3:$B$5001,$A$60)))</f>
        <v/>
      </c>
      <c r="AB74" s="225" t="str">
        <f>IF(AB$3="","",IF(COUNTIFS(BD!$A$3:$A$5001,AB$3,BD!$B$3:$B$5001,$A$60,BD!$R$3:$R$5001,"&lt;&gt;")=0,"",SUMIFS(BD!$R$3:$R$5001,BD!$A$3:$A$5001,AB$3,BD!$B$3:$B$5001,$A$60)))</f>
        <v/>
      </c>
      <c r="AC74" s="225" t="str">
        <f>IF(AC$3="","",IF(COUNTIFS(BD!$A$3:$A$5001,AC$3,BD!$B$3:$B$5001,$A$60,BD!$R$3:$R$5001,"&lt;&gt;")=0,"",SUMIFS(BD!$R$3:$R$5001,BD!$A$3:$A$5001,AC$3,BD!$B$3:$B$5001,$A$60)))</f>
        <v/>
      </c>
      <c r="AD74" s="225" t="str">
        <f>IF(AD$3="","",IF(COUNTIFS(BD!$A$3:$A$5001,AD$3,BD!$B$3:$B$5001,$A$60,BD!$R$3:$R$5001,"&lt;&gt;")=0,"",SUMIFS(BD!$R$3:$R$5001,BD!$A$3:$A$5001,AD$3,BD!$B$3:$B$5001,$A$60)))</f>
        <v/>
      </c>
      <c r="AE74" s="225" t="str">
        <f>IF(AE$3="","",IF(COUNTIFS(BD!$A$3:$A$5001,AE$3,BD!$B$3:$B$5001,$A$60,BD!$R$3:$R$5001,"&lt;&gt;")=0,"",SUMIFS(BD!$R$3:$R$5001,BD!$A$3:$A$5001,AE$3,BD!$B$3:$B$5001,$A$60)))</f>
        <v/>
      </c>
      <c r="AF74" s="225" t="str">
        <f>IF(AF$3="","",IF(COUNTIFS(BD!$A$3:$A$5001,AF$3,BD!$B$3:$B$5001,$A$60,BD!$R$3:$R$5001,"&lt;&gt;")=0,"",SUMIFS(BD!$R$3:$R$5001,BD!$A$3:$A$5001,AF$3,BD!$B$3:$B$5001,$A$60)))</f>
        <v/>
      </c>
      <c r="AG74" s="225" t="str">
        <f>IF(AG$3="","",IF(COUNTIFS(BD!$A$3:$A$5001,AG$3,BD!$B$3:$B$5001,$A$60,BD!$R$3:$R$5001,"&lt;&gt;")=0,"",SUMIFS(BD!$R$3:$R$5001,BD!$A$3:$A$5001,AG$3,BD!$B$3:$B$5001,$A$60)))</f>
        <v/>
      </c>
      <c r="AH74" s="225" t="str">
        <f>IF(AH$3="","",IF(COUNTIFS(BD!$A$3:$A$5001,AH$3,BD!$B$3:$B$5001,$A$60,BD!$R$3:$R$5001,"&lt;&gt;")=0,"",SUMIFS(BD!$R$3:$R$5001,BD!$A$3:$A$5001,AH$3,BD!$B$3:$B$5001,$A$60)))</f>
        <v/>
      </c>
      <c r="AI74" s="225" t="str">
        <f>IF(AI$3="","",IF(COUNTIFS(BD!$A$3:$A$5001,AI$3,BD!$B$3:$B$5001,$A$60,BD!$R$3:$R$5001,"&lt;&gt;")=0,"",SUMIFS(BD!$R$3:$R$5001,BD!$A$3:$A$5001,AI$3,BD!$B$3:$B$5001,$A$60)))</f>
        <v/>
      </c>
      <c r="AJ74" s="226" t="str">
        <f>IF(AJ$3="","",IF(COUNTIFS(BD!$A$3:$A$5001,AJ$3,BD!$B$3:$B$5001,$A$60,BD!$R$3:$R$5001,"&lt;&gt;")=0,"",SUMIFS(BD!$R$3:$R$5001,BD!$A$3:$A$5001,AJ$3,BD!$B$3:$B$5001,$A$60)))</f>
        <v/>
      </c>
      <c r="AK74" s="227" t="str">
        <f>IF(COUNT(F74:AJ74)=0,"",SUM(F74:AJ74))</f>
        <v/>
      </c>
    </row>
    <row r="75" ht="15.75" customHeight="1">
      <c r="A75" s="247"/>
      <c r="B75" s="244"/>
      <c r="C75" s="221" t="inlineStr">
        <is>
          <t xml:space="preserve">Desvios Comportamentais</t>
        </is>
      </c>
      <c r="D75" s="222" t="str">
        <f>IFERROR(1/(1/INDEX(BD!$Y$40:$AD$40,MATCH($A$60,BD!$Y$22:$AD$22,0))),"")</f>
        <v/>
      </c>
      <c r="E75" s="223"/>
      <c r="F75" s="224" t="str">
        <f>IF(F$3="","",IF(COUNTIFS(BD!$A$3:$A$5001,F$3,BD!$B$3:$B$5001,$A$60,BD!$S$3:$S$5001,"&lt;&gt;")=0,"",SUMIFS(BD!$S$3:$S$5001,BD!$A$3:$A$5001,F$3,BD!$B$3:$B$5001,$A$60)))</f>
        <v/>
      </c>
      <c r="G75" s="225" t="str">
        <f>IF(G$3="","",IF(COUNTIFS(BD!$A$3:$A$5001,G$3,BD!$B$3:$B$5001,$A$60,BD!$S$3:$S$5001,"&lt;&gt;")=0,"",SUMIFS(BD!$S$3:$S$5001,BD!$A$3:$A$5001,G$3,BD!$B$3:$B$5001,$A$60)))</f>
        <v/>
      </c>
      <c r="H75" s="225" t="str">
        <f>IF(H$3="","",IF(COUNTIFS(BD!$A$3:$A$5001,H$3,BD!$B$3:$B$5001,$A$60,BD!$S$3:$S$5001,"&lt;&gt;")=0,"",SUMIFS(BD!$S$3:$S$5001,BD!$A$3:$A$5001,H$3,BD!$B$3:$B$5001,$A$60)))</f>
        <v/>
      </c>
      <c r="I75" s="225" t="str">
        <f>IF(I$3="","",IF(COUNTIFS(BD!$A$3:$A$5001,I$3,BD!$B$3:$B$5001,$A$60,BD!$S$3:$S$5001,"&lt;&gt;")=0,"",SUMIFS(BD!$S$3:$S$5001,BD!$A$3:$A$5001,I$3,BD!$B$3:$B$5001,$A$60)))</f>
        <v/>
      </c>
      <c r="J75" s="225" t="str">
        <f>IF(J$3="","",IF(COUNTIFS(BD!$A$3:$A$5001,J$3,BD!$B$3:$B$5001,$A$60,BD!$S$3:$S$5001,"&lt;&gt;")=0,"",SUMIFS(BD!$S$3:$S$5001,BD!$A$3:$A$5001,J$3,BD!$B$3:$B$5001,$A$60)))</f>
        <v/>
      </c>
      <c r="K75" s="225" t="str">
        <f>IF(K$3="","",IF(COUNTIFS(BD!$A$3:$A$5001,K$3,BD!$B$3:$B$5001,$A$60,BD!$S$3:$S$5001,"&lt;&gt;")=0,"",SUMIFS(BD!$S$3:$S$5001,BD!$A$3:$A$5001,K$3,BD!$B$3:$B$5001,$A$60)))</f>
        <v/>
      </c>
      <c r="L75" s="225" t="str">
        <f>IF(L$3="","",IF(COUNTIFS(BD!$A$3:$A$5001,L$3,BD!$B$3:$B$5001,$A$60,BD!$S$3:$S$5001,"&lt;&gt;")=0,"",SUMIFS(BD!$S$3:$S$5001,BD!$A$3:$A$5001,L$3,BD!$B$3:$B$5001,$A$60)))</f>
        <v/>
      </c>
      <c r="M75" s="225" t="str">
        <f>IF(M$3="","",IF(COUNTIFS(BD!$A$3:$A$5001,M$3,BD!$B$3:$B$5001,$A$60,BD!$S$3:$S$5001,"&lt;&gt;")=0,"",SUMIFS(BD!$S$3:$S$5001,BD!$A$3:$A$5001,M$3,BD!$B$3:$B$5001,$A$60)))</f>
        <v/>
      </c>
      <c r="N75" s="225" t="str">
        <f>IF(N$3="","",IF(COUNTIFS(BD!$A$3:$A$5001,N$3,BD!$B$3:$B$5001,$A$60,BD!$S$3:$S$5001,"&lt;&gt;")=0,"",SUMIFS(BD!$S$3:$S$5001,BD!$A$3:$A$5001,N$3,BD!$B$3:$B$5001,$A$60)))</f>
        <v/>
      </c>
      <c r="O75" s="225" t="str">
        <f>IF(O$3="","",IF(COUNTIFS(BD!$A$3:$A$5001,O$3,BD!$B$3:$B$5001,$A$60,BD!$S$3:$S$5001,"&lt;&gt;")=0,"",SUMIFS(BD!$S$3:$S$5001,BD!$A$3:$A$5001,O$3,BD!$B$3:$B$5001,$A$60)))</f>
        <v/>
      </c>
      <c r="P75" s="225" t="str">
        <f>IF(P$3="","",IF(COUNTIFS(BD!$A$3:$A$5001,P$3,BD!$B$3:$B$5001,$A$60,BD!$S$3:$S$5001,"&lt;&gt;")=0,"",SUMIFS(BD!$S$3:$S$5001,BD!$A$3:$A$5001,P$3,BD!$B$3:$B$5001,$A$60)))</f>
        <v/>
      </c>
      <c r="Q75" s="225" t="str">
        <f>IF(Q$3="","",IF(COUNTIFS(BD!$A$3:$A$5001,Q$3,BD!$B$3:$B$5001,$A$60,BD!$S$3:$S$5001,"&lt;&gt;")=0,"",SUMIFS(BD!$S$3:$S$5001,BD!$A$3:$A$5001,Q$3,BD!$B$3:$B$5001,$A$60)))</f>
        <v/>
      </c>
      <c r="R75" s="225" t="str">
        <f>IF(R$3="","",IF(COUNTIFS(BD!$A$3:$A$5001,R$3,BD!$B$3:$B$5001,$A$60,BD!$S$3:$S$5001,"&lt;&gt;")=0,"",SUMIFS(BD!$S$3:$S$5001,BD!$A$3:$A$5001,R$3,BD!$B$3:$B$5001,$A$60)))</f>
        <v/>
      </c>
      <c r="S75" s="225" t="str">
        <f>IF(S$3="","",IF(COUNTIFS(BD!$A$3:$A$5001,S$3,BD!$B$3:$B$5001,$A$60,BD!$S$3:$S$5001,"&lt;&gt;")=0,"",SUMIFS(BD!$S$3:$S$5001,BD!$A$3:$A$5001,S$3,BD!$B$3:$B$5001,$A$60)))</f>
        <v/>
      </c>
      <c r="T75" s="225" t="str">
        <f>IF(T$3="","",IF(COUNTIFS(BD!$A$3:$A$5001,T$3,BD!$B$3:$B$5001,$A$60,BD!$S$3:$S$5001,"&lt;&gt;")=0,"",SUMIFS(BD!$S$3:$S$5001,BD!$A$3:$A$5001,T$3,BD!$B$3:$B$5001,$A$60)))</f>
        <v/>
      </c>
      <c r="U75" s="225" t="str">
        <f>IF(U$3="","",IF(COUNTIFS(BD!$A$3:$A$5001,U$3,BD!$B$3:$B$5001,$A$60,BD!$S$3:$S$5001,"&lt;&gt;")=0,"",SUMIFS(BD!$S$3:$S$5001,BD!$A$3:$A$5001,U$3,BD!$B$3:$B$5001,$A$60)))</f>
        <v/>
      </c>
      <c r="V75" s="225" t="str">
        <f>IF(V$3="","",IF(COUNTIFS(BD!$A$3:$A$5001,V$3,BD!$B$3:$B$5001,$A$60,BD!$S$3:$S$5001,"&lt;&gt;")=0,"",SUMIFS(BD!$S$3:$S$5001,BD!$A$3:$A$5001,V$3,BD!$B$3:$B$5001,$A$60)))</f>
        <v/>
      </c>
      <c r="W75" s="225" t="str">
        <f>IF(W$3="","",IF(COUNTIFS(BD!$A$3:$A$5001,W$3,BD!$B$3:$B$5001,$A$60,BD!$S$3:$S$5001,"&lt;&gt;")=0,"",SUMIFS(BD!$S$3:$S$5001,BD!$A$3:$A$5001,W$3,BD!$B$3:$B$5001,$A$60)))</f>
        <v/>
      </c>
      <c r="X75" s="225" t="str">
        <f>IF(X$3="","",IF(COUNTIFS(BD!$A$3:$A$5001,X$3,BD!$B$3:$B$5001,$A$60,BD!$S$3:$S$5001,"&lt;&gt;")=0,"",SUMIFS(BD!$S$3:$S$5001,BD!$A$3:$A$5001,X$3,BD!$B$3:$B$5001,$A$60)))</f>
        <v/>
      </c>
      <c r="Y75" s="225" t="str">
        <f>IF(Y$3="","",IF(COUNTIFS(BD!$A$3:$A$5001,Y$3,BD!$B$3:$B$5001,$A$60,BD!$S$3:$S$5001,"&lt;&gt;")=0,"",SUMIFS(BD!$S$3:$S$5001,BD!$A$3:$A$5001,Y$3,BD!$B$3:$B$5001,$A$60)))</f>
        <v/>
      </c>
      <c r="Z75" s="225" t="str">
        <f>IF(Z$3="","",IF(COUNTIFS(BD!$A$3:$A$5001,Z$3,BD!$B$3:$B$5001,$A$60,BD!$S$3:$S$5001,"&lt;&gt;")=0,"",SUMIFS(BD!$S$3:$S$5001,BD!$A$3:$A$5001,Z$3,BD!$B$3:$B$5001,$A$60)))</f>
        <v/>
      </c>
      <c r="AA75" s="225" t="str">
        <f>IF(AA$3="","",IF(COUNTIFS(BD!$A$3:$A$5001,AA$3,BD!$B$3:$B$5001,$A$60,BD!$S$3:$S$5001,"&lt;&gt;")=0,"",SUMIFS(BD!$S$3:$S$5001,BD!$A$3:$A$5001,AA$3,BD!$B$3:$B$5001,$A$60)))</f>
        <v/>
      </c>
      <c r="AB75" s="225" t="str">
        <f>IF(AB$3="","",IF(COUNTIFS(BD!$A$3:$A$5001,AB$3,BD!$B$3:$B$5001,$A$60,BD!$S$3:$S$5001,"&lt;&gt;")=0,"",SUMIFS(BD!$S$3:$S$5001,BD!$A$3:$A$5001,AB$3,BD!$B$3:$B$5001,$A$60)))</f>
        <v/>
      </c>
      <c r="AC75" s="225" t="str">
        <f>IF(AC$3="","",IF(COUNTIFS(BD!$A$3:$A$5001,AC$3,BD!$B$3:$B$5001,$A$60,BD!$S$3:$S$5001,"&lt;&gt;")=0,"",SUMIFS(BD!$S$3:$S$5001,BD!$A$3:$A$5001,AC$3,BD!$B$3:$B$5001,$A$60)))</f>
        <v/>
      </c>
      <c r="AD75" s="225" t="str">
        <f>IF(AD$3="","",IF(COUNTIFS(BD!$A$3:$A$5001,AD$3,BD!$B$3:$B$5001,$A$60,BD!$S$3:$S$5001,"&lt;&gt;")=0,"",SUMIFS(BD!$S$3:$S$5001,BD!$A$3:$A$5001,AD$3,BD!$B$3:$B$5001,$A$60)))</f>
        <v/>
      </c>
      <c r="AE75" s="225" t="str">
        <f>IF(AE$3="","",IF(COUNTIFS(BD!$A$3:$A$5001,AE$3,BD!$B$3:$B$5001,$A$60,BD!$S$3:$S$5001,"&lt;&gt;")=0,"",SUMIFS(BD!$S$3:$S$5001,BD!$A$3:$A$5001,AE$3,BD!$B$3:$B$5001,$A$60)))</f>
        <v/>
      </c>
      <c r="AF75" s="225" t="str">
        <f>IF(AF$3="","",IF(COUNTIFS(BD!$A$3:$A$5001,AF$3,BD!$B$3:$B$5001,$A$60,BD!$S$3:$S$5001,"&lt;&gt;")=0,"",SUMIFS(BD!$S$3:$S$5001,BD!$A$3:$A$5001,AF$3,BD!$B$3:$B$5001,$A$60)))</f>
        <v/>
      </c>
      <c r="AG75" s="225" t="str">
        <f>IF(AG$3="","",IF(COUNTIFS(BD!$A$3:$A$5001,AG$3,BD!$B$3:$B$5001,$A$60,BD!$S$3:$S$5001,"&lt;&gt;")=0,"",SUMIFS(BD!$S$3:$S$5001,BD!$A$3:$A$5001,AG$3,BD!$B$3:$B$5001,$A$60)))</f>
        <v/>
      </c>
      <c r="AH75" s="225" t="str">
        <f>IF(AH$3="","",IF(COUNTIFS(BD!$A$3:$A$5001,AH$3,BD!$B$3:$B$5001,$A$60,BD!$S$3:$S$5001,"&lt;&gt;")=0,"",SUMIFS(BD!$S$3:$S$5001,BD!$A$3:$A$5001,AH$3,BD!$B$3:$B$5001,$A$60)))</f>
        <v/>
      </c>
      <c r="AI75" s="225" t="str">
        <f>IF(AI$3="","",IF(COUNTIFS(BD!$A$3:$A$5001,AI$3,BD!$B$3:$B$5001,$A$60,BD!$S$3:$S$5001,"&lt;&gt;")=0,"",SUMIFS(BD!$S$3:$S$5001,BD!$A$3:$A$5001,AI$3,BD!$B$3:$B$5001,$A$60)))</f>
        <v/>
      </c>
      <c r="AJ75" s="226" t="str">
        <f>IF(AJ$3="","",IF(COUNTIFS(BD!$A$3:$A$5001,AJ$3,BD!$B$3:$B$5001,$A$60,BD!$S$3:$S$5001,"&lt;&gt;")=0,"",SUMIFS(BD!$S$3:$S$5001,BD!$A$3:$A$5001,AJ$3,BD!$B$3:$B$5001,$A$60)))</f>
        <v/>
      </c>
      <c r="AK75" s="227" t="str">
        <f>IF(COUNT(F75:AJ75)=0,"",SUM(F75:AJ75))</f>
        <v/>
      </c>
    </row>
    <row r="76" ht="15.75" customHeight="1">
      <c r="A76" s="247"/>
      <c r="B76" s="244"/>
      <c r="C76" s="221" t="inlineStr">
        <is>
          <t xml:space="preserve">Acidentes CAF</t>
        </is>
      </c>
      <c r="D76" s="222" t="str">
        <f>IFERROR(1/(1/INDEX(BD!$Y$41:$AD$41,MATCH($A$60,BD!$Y$22:$AD$22,0))),"")</f>
        <v/>
      </c>
      <c r="E76" s="223"/>
      <c r="F76" s="224" t="str">
        <f>IF(F$3="","",IF(COUNTIFS(BD!$A$3:$A$5001,F$3,BD!$B$3:$B$5001,$A$60,BD!$T$3:$T$5001,"&lt;&gt;")=0,"",SUMIFS(BD!$T$3:$T$5001,BD!$A$3:$A$5001,F$3,BD!$B$3:$B$5001,$A$60)))</f>
        <v/>
      </c>
      <c r="G76" s="225" t="str">
        <f>IF(G$3="","",IF(COUNTIFS(BD!$A$3:$A$5001,G$3,BD!$B$3:$B$5001,$A$60,BD!$T$3:$T$5001,"&lt;&gt;")=0,"",SUMIFS(BD!$T$3:$T$5001,BD!$A$3:$A$5001,G$3,BD!$B$3:$B$5001,$A$60)))</f>
        <v/>
      </c>
      <c r="H76" s="225" t="str">
        <f>IF(H$3="","",IF(COUNTIFS(BD!$A$3:$A$5001,H$3,BD!$B$3:$B$5001,$A$60,BD!$T$3:$T$5001,"&lt;&gt;")=0,"",SUMIFS(BD!$T$3:$T$5001,BD!$A$3:$A$5001,H$3,BD!$B$3:$B$5001,$A$60)))</f>
        <v/>
      </c>
      <c r="I76" s="225" t="str">
        <f>IF(I$3="","",IF(COUNTIFS(BD!$A$3:$A$5001,I$3,BD!$B$3:$B$5001,$A$60,BD!$T$3:$T$5001,"&lt;&gt;")=0,"",SUMIFS(BD!$T$3:$T$5001,BD!$A$3:$A$5001,I$3,BD!$B$3:$B$5001,$A$60)))</f>
        <v/>
      </c>
      <c r="J76" s="225" t="str">
        <f>IF(J$3="","",IF(COUNTIFS(BD!$A$3:$A$5001,J$3,BD!$B$3:$B$5001,$A$60,BD!$T$3:$T$5001,"&lt;&gt;")=0,"",SUMIFS(BD!$T$3:$T$5001,BD!$A$3:$A$5001,J$3,BD!$B$3:$B$5001,$A$60)))</f>
        <v/>
      </c>
      <c r="K76" s="225" t="str">
        <f>IF(K$3="","",IF(COUNTIFS(BD!$A$3:$A$5001,K$3,BD!$B$3:$B$5001,$A$60,BD!$T$3:$T$5001,"&lt;&gt;")=0,"",SUMIFS(BD!$T$3:$T$5001,BD!$A$3:$A$5001,K$3,BD!$B$3:$B$5001,$A$60)))</f>
        <v/>
      </c>
      <c r="L76" s="225" t="str">
        <f>IF(L$3="","",IF(COUNTIFS(BD!$A$3:$A$5001,L$3,BD!$B$3:$B$5001,$A$60,BD!$T$3:$T$5001,"&lt;&gt;")=0,"",SUMIFS(BD!$T$3:$T$5001,BD!$A$3:$A$5001,L$3,BD!$B$3:$B$5001,$A$60)))</f>
        <v/>
      </c>
      <c r="M76" s="225" t="str">
        <f>IF(M$3="","",IF(COUNTIFS(BD!$A$3:$A$5001,M$3,BD!$B$3:$B$5001,$A$60,BD!$T$3:$T$5001,"&lt;&gt;")=0,"",SUMIFS(BD!$T$3:$T$5001,BD!$A$3:$A$5001,M$3,BD!$B$3:$B$5001,$A$60)))</f>
        <v/>
      </c>
      <c r="N76" s="225" t="str">
        <f>IF(N$3="","",IF(COUNTIFS(BD!$A$3:$A$5001,N$3,BD!$B$3:$B$5001,$A$60,BD!$T$3:$T$5001,"&lt;&gt;")=0,"",SUMIFS(BD!$T$3:$T$5001,BD!$A$3:$A$5001,N$3,BD!$B$3:$B$5001,$A$60)))</f>
        <v/>
      </c>
      <c r="O76" s="225" t="str">
        <f>IF(O$3="","",IF(COUNTIFS(BD!$A$3:$A$5001,O$3,BD!$B$3:$B$5001,$A$60,BD!$T$3:$T$5001,"&lt;&gt;")=0,"",SUMIFS(BD!$T$3:$T$5001,BD!$A$3:$A$5001,O$3,BD!$B$3:$B$5001,$A$60)))</f>
        <v/>
      </c>
      <c r="P76" s="225" t="str">
        <f>IF(P$3="","",IF(COUNTIFS(BD!$A$3:$A$5001,P$3,BD!$B$3:$B$5001,$A$60,BD!$T$3:$T$5001,"&lt;&gt;")=0,"",SUMIFS(BD!$T$3:$T$5001,BD!$A$3:$A$5001,P$3,BD!$B$3:$B$5001,$A$60)))</f>
        <v/>
      </c>
      <c r="Q76" s="225" t="str">
        <f>IF(Q$3="","",IF(COUNTIFS(BD!$A$3:$A$5001,Q$3,BD!$B$3:$B$5001,$A$60,BD!$T$3:$T$5001,"&lt;&gt;")=0,"",SUMIFS(BD!$T$3:$T$5001,BD!$A$3:$A$5001,Q$3,BD!$B$3:$B$5001,$A$60)))</f>
        <v/>
      </c>
      <c r="R76" s="225" t="str">
        <f>IF(R$3="","",IF(COUNTIFS(BD!$A$3:$A$5001,R$3,BD!$B$3:$B$5001,$A$60,BD!$T$3:$T$5001,"&lt;&gt;")=0,"",SUMIFS(BD!$T$3:$T$5001,BD!$A$3:$A$5001,R$3,BD!$B$3:$B$5001,$A$60)))</f>
        <v/>
      </c>
      <c r="S76" s="225" t="str">
        <f>IF(S$3="","",IF(COUNTIFS(BD!$A$3:$A$5001,S$3,BD!$B$3:$B$5001,$A$60,BD!$T$3:$T$5001,"&lt;&gt;")=0,"",SUMIFS(BD!$T$3:$T$5001,BD!$A$3:$A$5001,S$3,BD!$B$3:$B$5001,$A$60)))</f>
        <v/>
      </c>
      <c r="T76" s="225" t="str">
        <f>IF(T$3="","",IF(COUNTIFS(BD!$A$3:$A$5001,T$3,BD!$B$3:$B$5001,$A$60,BD!$T$3:$T$5001,"&lt;&gt;")=0,"",SUMIFS(BD!$T$3:$T$5001,BD!$A$3:$A$5001,T$3,BD!$B$3:$B$5001,$A$60)))</f>
        <v/>
      </c>
      <c r="U76" s="225" t="str">
        <f>IF(U$3="","",IF(COUNTIFS(BD!$A$3:$A$5001,U$3,BD!$B$3:$B$5001,$A$60,BD!$T$3:$T$5001,"&lt;&gt;")=0,"",SUMIFS(BD!$T$3:$T$5001,BD!$A$3:$A$5001,U$3,BD!$B$3:$B$5001,$A$60)))</f>
        <v/>
      </c>
      <c r="V76" s="225" t="str">
        <f>IF(V$3="","",IF(COUNTIFS(BD!$A$3:$A$5001,V$3,BD!$B$3:$B$5001,$A$60,BD!$T$3:$T$5001,"&lt;&gt;")=0,"",SUMIFS(BD!$T$3:$T$5001,BD!$A$3:$A$5001,V$3,BD!$B$3:$B$5001,$A$60)))</f>
        <v/>
      </c>
      <c r="W76" s="225" t="str">
        <f>IF(W$3="","",IF(COUNTIFS(BD!$A$3:$A$5001,W$3,BD!$B$3:$B$5001,$A$60,BD!$T$3:$T$5001,"&lt;&gt;")=0,"",SUMIFS(BD!$T$3:$T$5001,BD!$A$3:$A$5001,W$3,BD!$B$3:$B$5001,$A$60)))</f>
        <v/>
      </c>
      <c r="X76" s="225" t="str">
        <f>IF(X$3="","",IF(COUNTIFS(BD!$A$3:$A$5001,X$3,BD!$B$3:$B$5001,$A$60,BD!$T$3:$T$5001,"&lt;&gt;")=0,"",SUMIFS(BD!$T$3:$T$5001,BD!$A$3:$A$5001,X$3,BD!$B$3:$B$5001,$A$60)))</f>
        <v/>
      </c>
      <c r="Y76" s="225" t="str">
        <f>IF(Y$3="","",IF(COUNTIFS(BD!$A$3:$A$5001,Y$3,BD!$B$3:$B$5001,$A$60,BD!$T$3:$T$5001,"&lt;&gt;")=0,"",SUMIFS(BD!$T$3:$T$5001,BD!$A$3:$A$5001,Y$3,BD!$B$3:$B$5001,$A$60)))</f>
        <v/>
      </c>
      <c r="Z76" s="225" t="str">
        <f>IF(Z$3="","",IF(COUNTIFS(BD!$A$3:$A$5001,Z$3,BD!$B$3:$B$5001,$A$60,BD!$T$3:$T$5001,"&lt;&gt;")=0,"",SUMIFS(BD!$T$3:$T$5001,BD!$A$3:$A$5001,Z$3,BD!$B$3:$B$5001,$A$60)))</f>
        <v/>
      </c>
      <c r="AA76" s="225" t="str">
        <f>IF(AA$3="","",IF(COUNTIFS(BD!$A$3:$A$5001,AA$3,BD!$B$3:$B$5001,$A$60,BD!$T$3:$T$5001,"&lt;&gt;")=0,"",SUMIFS(BD!$T$3:$T$5001,BD!$A$3:$A$5001,AA$3,BD!$B$3:$B$5001,$A$60)))</f>
        <v/>
      </c>
      <c r="AB76" s="225" t="str">
        <f>IF(AB$3="","",IF(COUNTIFS(BD!$A$3:$A$5001,AB$3,BD!$B$3:$B$5001,$A$60,BD!$T$3:$T$5001,"&lt;&gt;")=0,"",SUMIFS(BD!$T$3:$T$5001,BD!$A$3:$A$5001,AB$3,BD!$B$3:$B$5001,$A$60)))</f>
        <v/>
      </c>
      <c r="AC76" s="225" t="str">
        <f>IF(AC$3="","",IF(COUNTIFS(BD!$A$3:$A$5001,AC$3,BD!$B$3:$B$5001,$A$60,BD!$T$3:$T$5001,"&lt;&gt;")=0,"",SUMIFS(BD!$T$3:$T$5001,BD!$A$3:$A$5001,AC$3,BD!$B$3:$B$5001,$A$60)))</f>
        <v/>
      </c>
      <c r="AD76" s="225" t="str">
        <f>IF(AD$3="","",IF(COUNTIFS(BD!$A$3:$A$5001,AD$3,BD!$B$3:$B$5001,$A$60,BD!$T$3:$T$5001,"&lt;&gt;")=0,"",SUMIFS(BD!$T$3:$T$5001,BD!$A$3:$A$5001,AD$3,BD!$B$3:$B$5001,$A$60)))</f>
        <v/>
      </c>
      <c r="AE76" s="225" t="str">
        <f>IF(AE$3="","",IF(COUNTIFS(BD!$A$3:$A$5001,AE$3,BD!$B$3:$B$5001,$A$60,BD!$T$3:$T$5001,"&lt;&gt;")=0,"",SUMIFS(BD!$T$3:$T$5001,BD!$A$3:$A$5001,AE$3,BD!$B$3:$B$5001,$A$60)))</f>
        <v/>
      </c>
      <c r="AF76" s="225" t="str">
        <f>IF(AF$3="","",IF(COUNTIFS(BD!$A$3:$A$5001,AF$3,BD!$B$3:$B$5001,$A$60,BD!$T$3:$T$5001,"&lt;&gt;")=0,"",SUMIFS(BD!$T$3:$T$5001,BD!$A$3:$A$5001,AF$3,BD!$B$3:$B$5001,$A$60)))</f>
        <v/>
      </c>
      <c r="AG76" s="225" t="str">
        <f>IF(AG$3="","",IF(COUNTIFS(BD!$A$3:$A$5001,AG$3,BD!$B$3:$B$5001,$A$60,BD!$T$3:$T$5001,"&lt;&gt;")=0,"",SUMIFS(BD!$T$3:$T$5001,BD!$A$3:$A$5001,AG$3,BD!$B$3:$B$5001,$A$60)))</f>
        <v/>
      </c>
      <c r="AH76" s="225" t="str">
        <f>IF(AH$3="","",IF(COUNTIFS(BD!$A$3:$A$5001,AH$3,BD!$B$3:$B$5001,$A$60,BD!$T$3:$T$5001,"&lt;&gt;")=0,"",SUMIFS(BD!$T$3:$T$5001,BD!$A$3:$A$5001,AH$3,BD!$B$3:$B$5001,$A$60)))</f>
        <v/>
      </c>
      <c r="AI76" s="225" t="str">
        <f>IF(AI$3="","",IF(COUNTIFS(BD!$A$3:$A$5001,AI$3,BD!$B$3:$B$5001,$A$60,BD!$T$3:$T$5001,"&lt;&gt;")=0,"",SUMIFS(BD!$T$3:$T$5001,BD!$A$3:$A$5001,AI$3,BD!$B$3:$B$5001,$A$60)))</f>
        <v/>
      </c>
      <c r="AJ76" s="226" t="str">
        <f>IF(AJ$3="","",IF(COUNTIFS(BD!$A$3:$A$5001,AJ$3,BD!$B$3:$B$5001,$A$60,BD!$T$3:$T$5001,"&lt;&gt;")=0,"",SUMIFS(BD!$T$3:$T$5001,BD!$A$3:$A$5001,AJ$3,BD!$B$3:$B$5001,$A$60)))</f>
        <v/>
      </c>
      <c r="AK76" s="227" t="str">
        <f>IF(COUNT(F76:AJ76)=0,"",SUM(F76:AJ76))</f>
        <v/>
      </c>
    </row>
    <row r="77" ht="15.75" customHeight="1">
      <c r="A77" s="248"/>
      <c r="B77" s="245"/>
      <c r="C77" s="228" t="inlineStr">
        <is>
          <t xml:space="preserve">Acidentes SAF</t>
        </is>
      </c>
      <c r="D77" s="229" t="str">
        <f>IFERROR(1/(1/INDEX(BD!$Y$42:$AD$42,MATCH($A$60,BD!$Y$22:$AD$22,0))),"")</f>
        <v/>
      </c>
      <c r="E77" s="230"/>
      <c r="F77" s="231" t="str">
        <f>IF(F$3="","",IF(COUNTIFS(BD!$A$3:$A$5001,F$3,BD!$B$3:$B$5001,$A$60,BD!$U$3:$U$5001,"&lt;&gt;")=0,"",SUMIFS(BD!$U$3:$U$5001,BD!$A$3:$A$5001,F$3,BD!$B$3:$B$5001,$A$60)))</f>
        <v/>
      </c>
      <c r="G77" s="232" t="str">
        <f>IF(G$3="","",IF(COUNTIFS(BD!$A$3:$A$5001,G$3,BD!$B$3:$B$5001,$A$60,BD!$U$3:$U$5001,"&lt;&gt;")=0,"",SUMIFS(BD!$U$3:$U$5001,BD!$A$3:$A$5001,G$3,BD!$B$3:$B$5001,$A$60)))</f>
        <v/>
      </c>
      <c r="H77" s="232" t="str">
        <f>IF(H$3="","",IF(COUNTIFS(BD!$A$3:$A$5001,H$3,BD!$B$3:$B$5001,$A$60,BD!$U$3:$U$5001,"&lt;&gt;")=0,"",SUMIFS(BD!$U$3:$U$5001,BD!$A$3:$A$5001,H$3,BD!$B$3:$B$5001,$A$60)))</f>
        <v/>
      </c>
      <c r="I77" s="232" t="str">
        <f>IF(I$3="","",IF(COUNTIFS(BD!$A$3:$A$5001,I$3,BD!$B$3:$B$5001,$A$60,BD!$U$3:$U$5001,"&lt;&gt;")=0,"",SUMIFS(BD!$U$3:$U$5001,BD!$A$3:$A$5001,I$3,BD!$B$3:$B$5001,$A$60)))</f>
        <v/>
      </c>
      <c r="J77" s="232" t="str">
        <f>IF(J$3="","",IF(COUNTIFS(BD!$A$3:$A$5001,J$3,BD!$B$3:$B$5001,$A$60,BD!$U$3:$U$5001,"&lt;&gt;")=0,"",SUMIFS(BD!$U$3:$U$5001,BD!$A$3:$A$5001,J$3,BD!$B$3:$B$5001,$A$60)))</f>
        <v/>
      </c>
      <c r="K77" s="232" t="str">
        <f>IF(K$3="","",IF(COUNTIFS(BD!$A$3:$A$5001,K$3,BD!$B$3:$B$5001,$A$60,BD!$U$3:$U$5001,"&lt;&gt;")=0,"",SUMIFS(BD!$U$3:$U$5001,BD!$A$3:$A$5001,K$3,BD!$B$3:$B$5001,$A$60)))</f>
        <v/>
      </c>
      <c r="L77" s="232" t="str">
        <f>IF(L$3="","",IF(COUNTIFS(BD!$A$3:$A$5001,L$3,BD!$B$3:$B$5001,$A$60,BD!$U$3:$U$5001,"&lt;&gt;")=0,"",SUMIFS(BD!$U$3:$U$5001,BD!$A$3:$A$5001,L$3,BD!$B$3:$B$5001,$A$60)))</f>
        <v/>
      </c>
      <c r="M77" s="232" t="str">
        <f>IF(M$3="","",IF(COUNTIFS(BD!$A$3:$A$5001,M$3,BD!$B$3:$B$5001,$A$60,BD!$U$3:$U$5001,"&lt;&gt;")=0,"",SUMIFS(BD!$U$3:$U$5001,BD!$A$3:$A$5001,M$3,BD!$B$3:$B$5001,$A$60)))</f>
        <v/>
      </c>
      <c r="N77" s="232" t="str">
        <f>IF(N$3="","",IF(COUNTIFS(BD!$A$3:$A$5001,N$3,BD!$B$3:$B$5001,$A$60,BD!$U$3:$U$5001,"&lt;&gt;")=0,"",SUMIFS(BD!$U$3:$U$5001,BD!$A$3:$A$5001,N$3,BD!$B$3:$B$5001,$A$60)))</f>
        <v/>
      </c>
      <c r="O77" s="232" t="str">
        <f>IF(O$3="","",IF(COUNTIFS(BD!$A$3:$A$5001,O$3,BD!$B$3:$B$5001,$A$60,BD!$U$3:$U$5001,"&lt;&gt;")=0,"",SUMIFS(BD!$U$3:$U$5001,BD!$A$3:$A$5001,O$3,BD!$B$3:$B$5001,$A$60)))</f>
        <v/>
      </c>
      <c r="P77" s="232" t="str">
        <f>IF(P$3="","",IF(COUNTIFS(BD!$A$3:$A$5001,P$3,BD!$B$3:$B$5001,$A$60,BD!$U$3:$U$5001,"&lt;&gt;")=0,"",SUMIFS(BD!$U$3:$U$5001,BD!$A$3:$A$5001,P$3,BD!$B$3:$B$5001,$A$60)))</f>
        <v/>
      </c>
      <c r="Q77" s="232" t="str">
        <f>IF(Q$3="","",IF(COUNTIFS(BD!$A$3:$A$5001,Q$3,BD!$B$3:$B$5001,$A$60,BD!$U$3:$U$5001,"&lt;&gt;")=0,"",SUMIFS(BD!$U$3:$U$5001,BD!$A$3:$A$5001,Q$3,BD!$B$3:$B$5001,$A$60)))</f>
        <v/>
      </c>
      <c r="R77" s="232" t="str">
        <f>IF(R$3="","",IF(COUNTIFS(BD!$A$3:$A$5001,R$3,BD!$B$3:$B$5001,$A$60,BD!$U$3:$U$5001,"&lt;&gt;")=0,"",SUMIFS(BD!$U$3:$U$5001,BD!$A$3:$A$5001,R$3,BD!$B$3:$B$5001,$A$60)))</f>
        <v/>
      </c>
      <c r="S77" s="232" t="str">
        <f>IF(S$3="","",IF(COUNTIFS(BD!$A$3:$A$5001,S$3,BD!$B$3:$B$5001,$A$60,BD!$U$3:$U$5001,"&lt;&gt;")=0,"",SUMIFS(BD!$U$3:$U$5001,BD!$A$3:$A$5001,S$3,BD!$B$3:$B$5001,$A$60)))</f>
        <v/>
      </c>
      <c r="T77" s="232" t="str">
        <f>IF(T$3="","",IF(COUNTIFS(BD!$A$3:$A$5001,T$3,BD!$B$3:$B$5001,$A$60,BD!$U$3:$U$5001,"&lt;&gt;")=0,"",SUMIFS(BD!$U$3:$U$5001,BD!$A$3:$A$5001,T$3,BD!$B$3:$B$5001,$A$60)))</f>
        <v/>
      </c>
      <c r="U77" s="232" t="str">
        <f>IF(U$3="","",IF(COUNTIFS(BD!$A$3:$A$5001,U$3,BD!$B$3:$B$5001,$A$60,BD!$U$3:$U$5001,"&lt;&gt;")=0,"",SUMIFS(BD!$U$3:$U$5001,BD!$A$3:$A$5001,U$3,BD!$B$3:$B$5001,$A$60)))</f>
        <v/>
      </c>
      <c r="V77" s="232" t="str">
        <f>IF(V$3="","",IF(COUNTIFS(BD!$A$3:$A$5001,V$3,BD!$B$3:$B$5001,$A$60,BD!$U$3:$U$5001,"&lt;&gt;")=0,"",SUMIFS(BD!$U$3:$U$5001,BD!$A$3:$A$5001,V$3,BD!$B$3:$B$5001,$A$60)))</f>
        <v/>
      </c>
      <c r="W77" s="232" t="str">
        <f>IF(W$3="","",IF(COUNTIFS(BD!$A$3:$A$5001,W$3,BD!$B$3:$B$5001,$A$60,BD!$U$3:$U$5001,"&lt;&gt;")=0,"",SUMIFS(BD!$U$3:$U$5001,BD!$A$3:$A$5001,W$3,BD!$B$3:$B$5001,$A$60)))</f>
        <v/>
      </c>
      <c r="X77" s="232" t="str">
        <f>IF(X$3="","",IF(COUNTIFS(BD!$A$3:$A$5001,X$3,BD!$B$3:$B$5001,$A$60,BD!$U$3:$U$5001,"&lt;&gt;")=0,"",SUMIFS(BD!$U$3:$U$5001,BD!$A$3:$A$5001,X$3,BD!$B$3:$B$5001,$A$60)))</f>
        <v/>
      </c>
      <c r="Y77" s="232" t="str">
        <f>IF(Y$3="","",IF(COUNTIFS(BD!$A$3:$A$5001,Y$3,BD!$B$3:$B$5001,$A$60,BD!$U$3:$U$5001,"&lt;&gt;")=0,"",SUMIFS(BD!$U$3:$U$5001,BD!$A$3:$A$5001,Y$3,BD!$B$3:$B$5001,$A$60)))</f>
        <v/>
      </c>
      <c r="Z77" s="232" t="str">
        <f>IF(Z$3="","",IF(COUNTIFS(BD!$A$3:$A$5001,Z$3,BD!$B$3:$B$5001,$A$60,BD!$U$3:$U$5001,"&lt;&gt;")=0,"",SUMIFS(BD!$U$3:$U$5001,BD!$A$3:$A$5001,Z$3,BD!$B$3:$B$5001,$A$60)))</f>
        <v/>
      </c>
      <c r="AA77" s="232" t="str">
        <f>IF(AA$3="","",IF(COUNTIFS(BD!$A$3:$A$5001,AA$3,BD!$B$3:$B$5001,$A$60,BD!$U$3:$U$5001,"&lt;&gt;")=0,"",SUMIFS(BD!$U$3:$U$5001,BD!$A$3:$A$5001,AA$3,BD!$B$3:$B$5001,$A$60)))</f>
        <v/>
      </c>
      <c r="AB77" s="232" t="str">
        <f>IF(AB$3="","",IF(COUNTIFS(BD!$A$3:$A$5001,AB$3,BD!$B$3:$B$5001,$A$60,BD!$U$3:$U$5001,"&lt;&gt;")=0,"",SUMIFS(BD!$U$3:$U$5001,BD!$A$3:$A$5001,AB$3,BD!$B$3:$B$5001,$A$60)))</f>
        <v/>
      </c>
      <c r="AC77" s="232" t="str">
        <f>IF(AC$3="","",IF(COUNTIFS(BD!$A$3:$A$5001,AC$3,BD!$B$3:$B$5001,$A$60,BD!$U$3:$U$5001,"&lt;&gt;")=0,"",SUMIFS(BD!$U$3:$U$5001,BD!$A$3:$A$5001,AC$3,BD!$B$3:$B$5001,$A$60)))</f>
        <v/>
      </c>
      <c r="AD77" s="232" t="str">
        <f>IF(AD$3="","",IF(COUNTIFS(BD!$A$3:$A$5001,AD$3,BD!$B$3:$B$5001,$A$60,BD!$U$3:$U$5001,"&lt;&gt;")=0,"",SUMIFS(BD!$U$3:$U$5001,BD!$A$3:$A$5001,AD$3,BD!$B$3:$B$5001,$A$60)))</f>
        <v/>
      </c>
      <c r="AE77" s="232" t="str">
        <f>IF(AE$3="","",IF(COUNTIFS(BD!$A$3:$A$5001,AE$3,BD!$B$3:$B$5001,$A$60,BD!$U$3:$U$5001,"&lt;&gt;")=0,"",SUMIFS(BD!$U$3:$U$5001,BD!$A$3:$A$5001,AE$3,BD!$B$3:$B$5001,$A$60)))</f>
        <v/>
      </c>
      <c r="AF77" s="232" t="str">
        <f>IF(AF$3="","",IF(COUNTIFS(BD!$A$3:$A$5001,AF$3,BD!$B$3:$B$5001,$A$60,BD!$U$3:$U$5001,"&lt;&gt;")=0,"",SUMIFS(BD!$U$3:$U$5001,BD!$A$3:$A$5001,AF$3,BD!$B$3:$B$5001,$A$60)))</f>
        <v/>
      </c>
      <c r="AG77" s="232" t="str">
        <f>IF(AG$3="","",IF(COUNTIFS(BD!$A$3:$A$5001,AG$3,BD!$B$3:$B$5001,$A$60,BD!$U$3:$U$5001,"&lt;&gt;")=0,"",SUMIFS(BD!$U$3:$U$5001,BD!$A$3:$A$5001,AG$3,BD!$B$3:$B$5001,$A$60)))</f>
        <v/>
      </c>
      <c r="AH77" s="232" t="str">
        <f>IF(AH$3="","",IF(COUNTIFS(BD!$A$3:$A$5001,AH$3,BD!$B$3:$B$5001,$A$60,BD!$U$3:$U$5001,"&lt;&gt;")=0,"",SUMIFS(BD!$U$3:$U$5001,BD!$A$3:$A$5001,AH$3,BD!$B$3:$B$5001,$A$60)))</f>
        <v/>
      </c>
      <c r="AI77" s="232" t="str">
        <f>IF(AI$3="","",IF(COUNTIFS(BD!$A$3:$A$5001,AI$3,BD!$B$3:$B$5001,$A$60,BD!$U$3:$U$5001,"&lt;&gt;")=0,"",SUMIFS(BD!$U$3:$U$5001,BD!$A$3:$A$5001,AI$3,BD!$B$3:$B$5001,$A$60)))</f>
        <v/>
      </c>
      <c r="AJ77" s="233" t="str">
        <f>IF(AJ$3="","",IF(COUNTIFS(BD!$A$3:$A$5001,AJ$3,BD!$B$3:$B$5001,$A$60,BD!$U$3:$U$5001,"&lt;&gt;")=0,"",SUMIFS(BD!$U$3:$U$5001,BD!$A$3:$A$5001,AJ$3,BD!$B$3:$B$5001,$A$60)))</f>
        <v/>
      </c>
      <c r="AK77" s="229" t="str">
        <f>IF(COUNT(F77:AJ77)=0,"",SUM(F77:AJ77))</f>
        <v/>
      </c>
    </row>
    <row r="79" ht="15.75" customHeight="1">
      <c r="A79" s="246" t="inlineStr">
        <is>
          <t xml:space="preserve">PMB</t>
        </is>
      </c>
      <c r="B79" s="234" t="inlineStr">
        <is>
          <t xml:space="preserve">IN</t>
        </is>
      </c>
      <c r="C79" s="148" t="inlineStr">
        <is>
          <t xml:space="preserve">Veículos Recebidos</t>
        </is>
      </c>
      <c r="D79" s="149" t="str">
        <f>IFERROR(1/(1/INDEX(BD!$Y$23:$AD$23,MATCH($A$79,BD!$Y$22:$AD$22,0))),"")</f>
        <v/>
      </c>
      <c r="E79" s="150"/>
      <c r="F79" s="151" t="str">
        <f>IF(F$3="","",IF(COUNTIFS(BD!$A$3:$A$5001,F$3,BD!$B$3:$B$5001,$A$79,BD!$C$3:$C$5001,"&lt;&gt;")=0,"",SUMIFS(BD!$C$3:$C$5001,BD!$A$3:$A$5001,F$3,BD!$B$3:$B$5001,$A$79)))</f>
        <v/>
      </c>
      <c r="G79" s="152" t="str">
        <f>IF(G$3="","",IF(COUNTIFS(BD!$A$3:$A$5001,G$3,BD!$B$3:$B$5001,$A$79,BD!$C$3:$C$5001,"&lt;&gt;")=0,"",SUMIFS(BD!$C$3:$C$5001,BD!$A$3:$A$5001,G$3,BD!$B$3:$B$5001,$A$79)))</f>
        <v/>
      </c>
      <c r="H79" s="152" t="str">
        <f>IF(H$3="","",IF(COUNTIFS(BD!$A$3:$A$5001,H$3,BD!$B$3:$B$5001,$A$79,BD!$C$3:$C$5001,"&lt;&gt;")=0,"",SUMIFS(BD!$C$3:$C$5001,BD!$A$3:$A$5001,H$3,BD!$B$3:$B$5001,$A$79)))</f>
        <v/>
      </c>
      <c r="I79" s="152" t="str">
        <f>IF(I$3="","",IF(COUNTIFS(BD!$A$3:$A$5001,I$3,BD!$B$3:$B$5001,$A$79,BD!$C$3:$C$5001,"&lt;&gt;")=0,"",SUMIFS(BD!$C$3:$C$5001,BD!$A$3:$A$5001,I$3,BD!$B$3:$B$5001,$A$79)))</f>
        <v/>
      </c>
      <c r="J79" s="152" t="str">
        <f>IF(J$3="","",IF(COUNTIFS(BD!$A$3:$A$5001,J$3,BD!$B$3:$B$5001,$A$79,BD!$C$3:$C$5001,"&lt;&gt;")=0,"",SUMIFS(BD!$C$3:$C$5001,BD!$A$3:$A$5001,J$3,BD!$B$3:$B$5001,$A$79)))</f>
        <v/>
      </c>
      <c r="K79" s="152" t="str">
        <f>IF(K$3="","",IF(COUNTIFS(BD!$A$3:$A$5001,K$3,BD!$B$3:$B$5001,$A$79,BD!$C$3:$C$5001,"&lt;&gt;")=0,"",SUMIFS(BD!$C$3:$C$5001,BD!$A$3:$A$5001,K$3,BD!$B$3:$B$5001,$A$79)))</f>
        <v/>
      </c>
      <c r="L79" s="152" t="str">
        <f>IF(L$3="","",IF(COUNTIFS(BD!$A$3:$A$5001,L$3,BD!$B$3:$B$5001,$A$79,BD!$C$3:$C$5001,"&lt;&gt;")=0,"",SUMIFS(BD!$C$3:$C$5001,BD!$A$3:$A$5001,L$3,BD!$B$3:$B$5001,$A$79)))</f>
        <v/>
      </c>
      <c r="M79" s="152" t="str">
        <f>IF(M$3="","",IF(COUNTIFS(BD!$A$3:$A$5001,M$3,BD!$B$3:$B$5001,$A$79,BD!$C$3:$C$5001,"&lt;&gt;")=0,"",SUMIFS(BD!$C$3:$C$5001,BD!$A$3:$A$5001,M$3,BD!$B$3:$B$5001,$A$79)))</f>
        <v/>
      </c>
      <c r="N79" s="152" t="str">
        <f>IF(N$3="","",IF(COUNTIFS(BD!$A$3:$A$5001,N$3,BD!$B$3:$B$5001,$A$79,BD!$C$3:$C$5001,"&lt;&gt;")=0,"",SUMIFS(BD!$C$3:$C$5001,BD!$A$3:$A$5001,N$3,BD!$B$3:$B$5001,$A$79)))</f>
        <v/>
      </c>
      <c r="O79" s="152" t="str">
        <f>IF(O$3="","",IF(COUNTIFS(BD!$A$3:$A$5001,O$3,BD!$B$3:$B$5001,$A$79,BD!$C$3:$C$5001,"&lt;&gt;")=0,"",SUMIFS(BD!$C$3:$C$5001,BD!$A$3:$A$5001,O$3,BD!$B$3:$B$5001,$A$79)))</f>
        <v/>
      </c>
      <c r="P79" s="152" t="str">
        <f>IF(P$3="","",IF(COUNTIFS(BD!$A$3:$A$5001,P$3,BD!$B$3:$B$5001,$A$79,BD!$C$3:$C$5001,"&lt;&gt;")=0,"",SUMIFS(BD!$C$3:$C$5001,BD!$A$3:$A$5001,P$3,BD!$B$3:$B$5001,$A$79)))</f>
        <v/>
      </c>
      <c r="Q79" s="152" t="str">
        <f>IF(Q$3="","",IF(COUNTIFS(BD!$A$3:$A$5001,Q$3,BD!$B$3:$B$5001,$A$79,BD!$C$3:$C$5001,"&lt;&gt;")=0,"",SUMIFS(BD!$C$3:$C$5001,BD!$A$3:$A$5001,Q$3,BD!$B$3:$B$5001,$A$79)))</f>
        <v/>
      </c>
      <c r="R79" s="152" t="str">
        <f>IF(R$3="","",IF(COUNTIFS(BD!$A$3:$A$5001,R$3,BD!$B$3:$B$5001,$A$79,BD!$C$3:$C$5001,"&lt;&gt;")=0,"",SUMIFS(BD!$C$3:$C$5001,BD!$A$3:$A$5001,R$3,BD!$B$3:$B$5001,$A$79)))</f>
        <v/>
      </c>
      <c r="S79" s="152" t="str">
        <f>IF(S$3="","",IF(COUNTIFS(BD!$A$3:$A$5001,S$3,BD!$B$3:$B$5001,$A$79,BD!$C$3:$C$5001,"&lt;&gt;")=0,"",SUMIFS(BD!$C$3:$C$5001,BD!$A$3:$A$5001,S$3,BD!$B$3:$B$5001,$A$79)))</f>
        <v/>
      </c>
      <c r="T79" s="152" t="str">
        <f>IF(T$3="","",IF(COUNTIFS(BD!$A$3:$A$5001,T$3,BD!$B$3:$B$5001,$A$79,BD!$C$3:$C$5001,"&lt;&gt;")=0,"",SUMIFS(BD!$C$3:$C$5001,BD!$A$3:$A$5001,T$3,BD!$B$3:$B$5001,$A$79)))</f>
        <v/>
      </c>
      <c r="U79" s="152" t="str">
        <f>IF(U$3="","",IF(COUNTIFS(BD!$A$3:$A$5001,U$3,BD!$B$3:$B$5001,$A$79,BD!$C$3:$C$5001,"&lt;&gt;")=0,"",SUMIFS(BD!$C$3:$C$5001,BD!$A$3:$A$5001,U$3,BD!$B$3:$B$5001,$A$79)))</f>
        <v/>
      </c>
      <c r="V79" s="152" t="str">
        <f>IF(V$3="","",IF(COUNTIFS(BD!$A$3:$A$5001,V$3,BD!$B$3:$B$5001,$A$79,BD!$C$3:$C$5001,"&lt;&gt;")=0,"",SUMIFS(BD!$C$3:$C$5001,BD!$A$3:$A$5001,V$3,BD!$B$3:$B$5001,$A$79)))</f>
        <v/>
      </c>
      <c r="W79" s="152" t="str">
        <f>IF(W$3="","",IF(COUNTIFS(BD!$A$3:$A$5001,W$3,BD!$B$3:$B$5001,$A$79,BD!$C$3:$C$5001,"&lt;&gt;")=0,"",SUMIFS(BD!$C$3:$C$5001,BD!$A$3:$A$5001,W$3,BD!$B$3:$B$5001,$A$79)))</f>
        <v/>
      </c>
      <c r="X79" s="152" t="str">
        <f>IF(X$3="","",IF(COUNTIFS(BD!$A$3:$A$5001,X$3,BD!$B$3:$B$5001,$A$79,BD!$C$3:$C$5001,"&lt;&gt;")=0,"",SUMIFS(BD!$C$3:$C$5001,BD!$A$3:$A$5001,X$3,BD!$B$3:$B$5001,$A$79)))</f>
        <v/>
      </c>
      <c r="Y79" s="152" t="str">
        <f>IF(Y$3="","",IF(COUNTIFS(BD!$A$3:$A$5001,Y$3,BD!$B$3:$B$5001,$A$79,BD!$C$3:$C$5001,"&lt;&gt;")=0,"",SUMIFS(BD!$C$3:$C$5001,BD!$A$3:$A$5001,Y$3,BD!$B$3:$B$5001,$A$79)))</f>
        <v/>
      </c>
      <c r="Z79" s="152" t="str">
        <f>IF(Z$3="","",IF(COUNTIFS(BD!$A$3:$A$5001,Z$3,BD!$B$3:$B$5001,$A$79,BD!$C$3:$C$5001,"&lt;&gt;")=0,"",SUMIFS(BD!$C$3:$C$5001,BD!$A$3:$A$5001,Z$3,BD!$B$3:$B$5001,$A$79)))</f>
        <v/>
      </c>
      <c r="AA79" s="152" t="str">
        <f>IF(AA$3="","",IF(COUNTIFS(BD!$A$3:$A$5001,AA$3,BD!$B$3:$B$5001,$A$79,BD!$C$3:$C$5001,"&lt;&gt;")=0,"",SUMIFS(BD!$C$3:$C$5001,BD!$A$3:$A$5001,AA$3,BD!$B$3:$B$5001,$A$79)))</f>
        <v/>
      </c>
      <c r="AB79" s="152" t="str">
        <f>IF(AB$3="","",IF(COUNTIFS(BD!$A$3:$A$5001,AB$3,BD!$B$3:$B$5001,$A$79,BD!$C$3:$C$5001,"&lt;&gt;")=0,"",SUMIFS(BD!$C$3:$C$5001,BD!$A$3:$A$5001,AB$3,BD!$B$3:$B$5001,$A$79)))</f>
        <v/>
      </c>
      <c r="AC79" s="152" t="str">
        <f>IF(AC$3="","",IF(COUNTIFS(BD!$A$3:$A$5001,AC$3,BD!$B$3:$B$5001,$A$79,BD!$C$3:$C$5001,"&lt;&gt;")=0,"",SUMIFS(BD!$C$3:$C$5001,BD!$A$3:$A$5001,AC$3,BD!$B$3:$B$5001,$A$79)))</f>
        <v/>
      </c>
      <c r="AD79" s="152" t="str">
        <f>IF(AD$3="","",IF(COUNTIFS(BD!$A$3:$A$5001,AD$3,BD!$B$3:$B$5001,$A$79,BD!$C$3:$C$5001,"&lt;&gt;")=0,"",SUMIFS(BD!$C$3:$C$5001,BD!$A$3:$A$5001,AD$3,BD!$B$3:$B$5001,$A$79)))</f>
        <v/>
      </c>
      <c r="AE79" s="152" t="str">
        <f>IF(AE$3="","",IF(COUNTIFS(BD!$A$3:$A$5001,AE$3,BD!$B$3:$B$5001,$A$79,BD!$C$3:$C$5001,"&lt;&gt;")=0,"",SUMIFS(BD!$C$3:$C$5001,BD!$A$3:$A$5001,AE$3,BD!$B$3:$B$5001,$A$79)))</f>
        <v/>
      </c>
      <c r="AF79" s="152" t="str">
        <f>IF(AF$3="","",IF(COUNTIFS(BD!$A$3:$A$5001,AF$3,BD!$B$3:$B$5001,$A$79,BD!$C$3:$C$5001,"&lt;&gt;")=0,"",SUMIFS(BD!$C$3:$C$5001,BD!$A$3:$A$5001,AF$3,BD!$B$3:$B$5001,$A$79)))</f>
        <v/>
      </c>
      <c r="AG79" s="152" t="str">
        <f>IF(AG$3="","",IF(COUNTIFS(BD!$A$3:$A$5001,AG$3,BD!$B$3:$B$5001,$A$79,BD!$C$3:$C$5001,"&lt;&gt;")=0,"",SUMIFS(BD!$C$3:$C$5001,BD!$A$3:$A$5001,AG$3,BD!$B$3:$B$5001,$A$79)))</f>
        <v/>
      </c>
      <c r="AH79" s="152" t="str">
        <f>IF(AH$3="","",IF(COUNTIFS(BD!$A$3:$A$5001,AH$3,BD!$B$3:$B$5001,$A$79,BD!$C$3:$C$5001,"&lt;&gt;")=0,"",SUMIFS(BD!$C$3:$C$5001,BD!$A$3:$A$5001,AH$3,BD!$B$3:$B$5001,$A$79)))</f>
        <v/>
      </c>
      <c r="AI79" s="152" t="str">
        <f>IF(AI$3="","",IF(COUNTIFS(BD!$A$3:$A$5001,AI$3,BD!$B$3:$B$5001,$A$79,BD!$C$3:$C$5001,"&lt;&gt;")=0,"",SUMIFS(BD!$C$3:$C$5001,BD!$A$3:$A$5001,AI$3,BD!$B$3:$B$5001,$A$79)))</f>
        <v/>
      </c>
      <c r="AJ79" s="153" t="str">
        <f>IF(AJ$3="","",IF(COUNTIFS(BD!$A$3:$A$5001,AJ$3,BD!$B$3:$B$5001,$A$79,BD!$C$3:$C$5001,"&lt;&gt;")=0,"",SUMIFS(BD!$C$3:$C$5001,BD!$A$3:$A$5001,AJ$3,BD!$B$3:$B$5001,$A$79)))</f>
        <v/>
      </c>
      <c r="AK79" s="154" t="str">
        <f>IF(COUNT(F79:AJ79)=0,"",SUM(F79:AJ79))</f>
        <v/>
      </c>
    </row>
    <row r="80" ht="15.75" customHeight="1">
      <c r="A80" s="247"/>
      <c r="B80" s="235"/>
      <c r="C80" s="155" t="inlineStr">
        <is>
          <t xml:space="preserve">Pallets Movimentados</t>
        </is>
      </c>
      <c r="D80" s="156" t="str">
        <f>IFERROR(1/(1/INDEX(BD!$Y$24:$AD$24,MATCH($A$79,BD!$Y$22:$AD$22,0))),"")</f>
        <v/>
      </c>
      <c r="E80" s="157"/>
      <c r="F80" s="158" t="str">
        <f>IF(F$3="","",IF(COUNTIFS(BD!$A$3:$A$5001,F$3,BD!$B$3:$B$5001,$A$79,BD!$D$3:$D$5001,"&lt;&gt;")=0,"",SUMIFS(BD!$D$3:$D$5001,BD!$A$3:$A$5001,F$3,BD!$B$3:$B$5001,$A$79)))</f>
        <v/>
      </c>
      <c r="G80" s="159" t="str">
        <f>IF(G$3="","",IF(COUNTIFS(BD!$A$3:$A$5001,G$3,BD!$B$3:$B$5001,$A$79,BD!$D$3:$D$5001,"&lt;&gt;")=0,"",SUMIFS(BD!$D$3:$D$5001,BD!$A$3:$A$5001,G$3,BD!$B$3:$B$5001,$A$79)))</f>
        <v/>
      </c>
      <c r="H80" s="159" t="str">
        <f>IF(H$3="","",IF(COUNTIFS(BD!$A$3:$A$5001,H$3,BD!$B$3:$B$5001,$A$79,BD!$D$3:$D$5001,"&lt;&gt;")=0,"",SUMIFS(BD!$D$3:$D$5001,BD!$A$3:$A$5001,H$3,BD!$B$3:$B$5001,$A$79)))</f>
        <v/>
      </c>
      <c r="I80" s="159" t="str">
        <f>IF(I$3="","",IF(COUNTIFS(BD!$A$3:$A$5001,I$3,BD!$B$3:$B$5001,$A$79,BD!$D$3:$D$5001,"&lt;&gt;")=0,"",SUMIFS(BD!$D$3:$D$5001,BD!$A$3:$A$5001,I$3,BD!$B$3:$B$5001,$A$79)))</f>
        <v/>
      </c>
      <c r="J80" s="159" t="str">
        <f>IF(J$3="","",IF(COUNTIFS(BD!$A$3:$A$5001,J$3,BD!$B$3:$B$5001,$A$79,BD!$D$3:$D$5001,"&lt;&gt;")=0,"",SUMIFS(BD!$D$3:$D$5001,BD!$A$3:$A$5001,J$3,BD!$B$3:$B$5001,$A$79)))</f>
        <v/>
      </c>
      <c r="K80" s="159" t="str">
        <f>IF(K$3="","",IF(COUNTIFS(BD!$A$3:$A$5001,K$3,BD!$B$3:$B$5001,$A$79,BD!$D$3:$D$5001,"&lt;&gt;")=0,"",SUMIFS(BD!$D$3:$D$5001,BD!$A$3:$A$5001,K$3,BD!$B$3:$B$5001,$A$79)))</f>
        <v/>
      </c>
      <c r="L80" s="159" t="str">
        <f>IF(L$3="","",IF(COUNTIFS(BD!$A$3:$A$5001,L$3,BD!$B$3:$B$5001,$A$79,BD!$D$3:$D$5001,"&lt;&gt;")=0,"",SUMIFS(BD!$D$3:$D$5001,BD!$A$3:$A$5001,L$3,BD!$B$3:$B$5001,$A$79)))</f>
        <v/>
      </c>
      <c r="M80" s="159" t="str">
        <f>IF(M$3="","",IF(COUNTIFS(BD!$A$3:$A$5001,M$3,BD!$B$3:$B$5001,$A$79,BD!$D$3:$D$5001,"&lt;&gt;")=0,"",SUMIFS(BD!$D$3:$D$5001,BD!$A$3:$A$5001,M$3,BD!$B$3:$B$5001,$A$79)))</f>
        <v/>
      </c>
      <c r="N80" s="159" t="str">
        <f>IF(N$3="","",IF(COUNTIFS(BD!$A$3:$A$5001,N$3,BD!$B$3:$B$5001,$A$79,BD!$D$3:$D$5001,"&lt;&gt;")=0,"",SUMIFS(BD!$D$3:$D$5001,BD!$A$3:$A$5001,N$3,BD!$B$3:$B$5001,$A$79)))</f>
        <v/>
      </c>
      <c r="O80" s="159" t="str">
        <f>IF(O$3="","",IF(COUNTIFS(BD!$A$3:$A$5001,O$3,BD!$B$3:$B$5001,$A$79,BD!$D$3:$D$5001,"&lt;&gt;")=0,"",SUMIFS(BD!$D$3:$D$5001,BD!$A$3:$A$5001,O$3,BD!$B$3:$B$5001,$A$79)))</f>
        <v/>
      </c>
      <c r="P80" s="159" t="str">
        <f>IF(P$3="","",IF(COUNTIFS(BD!$A$3:$A$5001,P$3,BD!$B$3:$B$5001,$A$79,BD!$D$3:$D$5001,"&lt;&gt;")=0,"",SUMIFS(BD!$D$3:$D$5001,BD!$A$3:$A$5001,P$3,BD!$B$3:$B$5001,$A$79)))</f>
        <v/>
      </c>
      <c r="Q80" s="159" t="str">
        <f>IF(Q$3="","",IF(COUNTIFS(BD!$A$3:$A$5001,Q$3,BD!$B$3:$B$5001,$A$79,BD!$D$3:$D$5001,"&lt;&gt;")=0,"",SUMIFS(BD!$D$3:$D$5001,BD!$A$3:$A$5001,Q$3,BD!$B$3:$B$5001,$A$79)))</f>
        <v/>
      </c>
      <c r="R80" s="159" t="str">
        <f>IF(R$3="","",IF(COUNTIFS(BD!$A$3:$A$5001,R$3,BD!$B$3:$B$5001,$A$79,BD!$D$3:$D$5001,"&lt;&gt;")=0,"",SUMIFS(BD!$D$3:$D$5001,BD!$A$3:$A$5001,R$3,BD!$B$3:$B$5001,$A$79)))</f>
        <v/>
      </c>
      <c r="S80" s="159" t="str">
        <f>IF(S$3="","",IF(COUNTIFS(BD!$A$3:$A$5001,S$3,BD!$B$3:$B$5001,$A$79,BD!$D$3:$D$5001,"&lt;&gt;")=0,"",SUMIFS(BD!$D$3:$D$5001,BD!$A$3:$A$5001,S$3,BD!$B$3:$B$5001,$A$79)))</f>
        <v/>
      </c>
      <c r="T80" s="159" t="str">
        <f>IF(T$3="","",IF(COUNTIFS(BD!$A$3:$A$5001,T$3,BD!$B$3:$B$5001,$A$79,BD!$D$3:$D$5001,"&lt;&gt;")=0,"",SUMIFS(BD!$D$3:$D$5001,BD!$A$3:$A$5001,T$3,BD!$B$3:$B$5001,$A$79)))</f>
        <v/>
      </c>
      <c r="U80" s="159" t="str">
        <f>IF(U$3="","",IF(COUNTIFS(BD!$A$3:$A$5001,U$3,BD!$B$3:$B$5001,$A$79,BD!$D$3:$D$5001,"&lt;&gt;")=0,"",SUMIFS(BD!$D$3:$D$5001,BD!$A$3:$A$5001,U$3,BD!$B$3:$B$5001,$A$79)))</f>
        <v/>
      </c>
      <c r="V80" s="159" t="str">
        <f>IF(V$3="","",IF(COUNTIFS(BD!$A$3:$A$5001,V$3,BD!$B$3:$B$5001,$A$79,BD!$D$3:$D$5001,"&lt;&gt;")=0,"",SUMIFS(BD!$D$3:$D$5001,BD!$A$3:$A$5001,V$3,BD!$B$3:$B$5001,$A$79)))</f>
        <v/>
      </c>
      <c r="W80" s="159" t="str">
        <f>IF(W$3="","",IF(COUNTIFS(BD!$A$3:$A$5001,W$3,BD!$B$3:$B$5001,$A$79,BD!$D$3:$D$5001,"&lt;&gt;")=0,"",SUMIFS(BD!$D$3:$D$5001,BD!$A$3:$A$5001,W$3,BD!$B$3:$B$5001,$A$79)))</f>
        <v/>
      </c>
      <c r="X80" s="159" t="str">
        <f>IF(X$3="","",IF(COUNTIFS(BD!$A$3:$A$5001,X$3,BD!$B$3:$B$5001,$A$79,BD!$D$3:$D$5001,"&lt;&gt;")=0,"",SUMIFS(BD!$D$3:$D$5001,BD!$A$3:$A$5001,X$3,BD!$B$3:$B$5001,$A$79)))</f>
        <v/>
      </c>
      <c r="Y80" s="159" t="str">
        <f>IF(Y$3="","",IF(COUNTIFS(BD!$A$3:$A$5001,Y$3,BD!$B$3:$B$5001,$A$79,BD!$D$3:$D$5001,"&lt;&gt;")=0,"",SUMIFS(BD!$D$3:$D$5001,BD!$A$3:$A$5001,Y$3,BD!$B$3:$B$5001,$A$79)))</f>
        <v/>
      </c>
      <c r="Z80" s="159" t="str">
        <f>IF(Z$3="","",IF(COUNTIFS(BD!$A$3:$A$5001,Z$3,BD!$B$3:$B$5001,$A$79,BD!$D$3:$D$5001,"&lt;&gt;")=0,"",SUMIFS(BD!$D$3:$D$5001,BD!$A$3:$A$5001,Z$3,BD!$B$3:$B$5001,$A$79)))</f>
        <v/>
      </c>
      <c r="AA80" s="159" t="str">
        <f>IF(AA$3="","",IF(COUNTIFS(BD!$A$3:$A$5001,AA$3,BD!$B$3:$B$5001,$A$79,BD!$D$3:$D$5001,"&lt;&gt;")=0,"",SUMIFS(BD!$D$3:$D$5001,BD!$A$3:$A$5001,AA$3,BD!$B$3:$B$5001,$A$79)))</f>
        <v/>
      </c>
      <c r="AB80" s="159" t="str">
        <f>IF(AB$3="","",IF(COUNTIFS(BD!$A$3:$A$5001,AB$3,BD!$B$3:$B$5001,$A$79,BD!$D$3:$D$5001,"&lt;&gt;")=0,"",SUMIFS(BD!$D$3:$D$5001,BD!$A$3:$A$5001,AB$3,BD!$B$3:$B$5001,$A$79)))</f>
        <v/>
      </c>
      <c r="AC80" s="159" t="str">
        <f>IF(AC$3="","",IF(COUNTIFS(BD!$A$3:$A$5001,AC$3,BD!$B$3:$B$5001,$A$79,BD!$D$3:$D$5001,"&lt;&gt;")=0,"",SUMIFS(BD!$D$3:$D$5001,BD!$A$3:$A$5001,AC$3,BD!$B$3:$B$5001,$A$79)))</f>
        <v/>
      </c>
      <c r="AD80" s="159" t="str">
        <f>IF(AD$3="","",IF(COUNTIFS(BD!$A$3:$A$5001,AD$3,BD!$B$3:$B$5001,$A$79,BD!$D$3:$D$5001,"&lt;&gt;")=0,"",SUMIFS(BD!$D$3:$D$5001,BD!$A$3:$A$5001,AD$3,BD!$B$3:$B$5001,$A$79)))</f>
        <v/>
      </c>
      <c r="AE80" s="159" t="str">
        <f>IF(AE$3="","",IF(COUNTIFS(BD!$A$3:$A$5001,AE$3,BD!$B$3:$B$5001,$A$79,BD!$D$3:$D$5001,"&lt;&gt;")=0,"",SUMIFS(BD!$D$3:$D$5001,BD!$A$3:$A$5001,AE$3,BD!$B$3:$B$5001,$A$79)))</f>
        <v/>
      </c>
      <c r="AF80" s="159" t="str">
        <f>IF(AF$3="","",IF(COUNTIFS(BD!$A$3:$A$5001,AF$3,BD!$B$3:$B$5001,$A$79,BD!$D$3:$D$5001,"&lt;&gt;")=0,"",SUMIFS(BD!$D$3:$D$5001,BD!$A$3:$A$5001,AF$3,BD!$B$3:$B$5001,$A$79)))</f>
        <v/>
      </c>
      <c r="AG80" s="159" t="str">
        <f>IF(AG$3="","",IF(COUNTIFS(BD!$A$3:$A$5001,AG$3,BD!$B$3:$B$5001,$A$79,BD!$D$3:$D$5001,"&lt;&gt;")=0,"",SUMIFS(BD!$D$3:$D$5001,BD!$A$3:$A$5001,AG$3,BD!$B$3:$B$5001,$A$79)))</f>
        <v/>
      </c>
      <c r="AH80" s="159" t="str">
        <f>IF(AH$3="","",IF(COUNTIFS(BD!$A$3:$A$5001,AH$3,BD!$B$3:$B$5001,$A$79,BD!$D$3:$D$5001,"&lt;&gt;")=0,"",SUMIFS(BD!$D$3:$D$5001,BD!$A$3:$A$5001,AH$3,BD!$B$3:$B$5001,$A$79)))</f>
        <v/>
      </c>
      <c r="AI80" s="159" t="str">
        <f>IF(AI$3="","",IF(COUNTIFS(BD!$A$3:$A$5001,AI$3,BD!$B$3:$B$5001,$A$79,BD!$D$3:$D$5001,"&lt;&gt;")=0,"",SUMIFS(BD!$D$3:$D$5001,BD!$A$3:$A$5001,AI$3,BD!$B$3:$B$5001,$A$79)))</f>
        <v/>
      </c>
      <c r="AJ80" s="160" t="str">
        <f>IF(AJ$3="","",IF(COUNTIFS(BD!$A$3:$A$5001,AJ$3,BD!$B$3:$B$5001,$A$79,BD!$D$3:$D$5001,"&lt;&gt;")=0,"",SUMIFS(BD!$D$3:$D$5001,BD!$A$3:$A$5001,AJ$3,BD!$B$3:$B$5001,$A$79)))</f>
        <v/>
      </c>
      <c r="AK80" s="161" t="str">
        <f>IF(COUNT(F80:AJ80)=0,"",SUM(F80:AJ80))</f>
        <v/>
      </c>
    </row>
    <row r="81" ht="15.75" customHeight="1">
      <c r="A81" s="247"/>
      <c r="B81" s="236"/>
      <c r="C81" s="162" t="inlineStr">
        <is>
          <t xml:space="preserve">Toneladas Movimentadas</t>
        </is>
      </c>
      <c r="D81" s="163" t="str">
        <f>IFERROR(1/(1/INDEX(BD!$Y$25:$AD$25,MATCH($A$79,BD!$Y$22:$AD$22,0))),"")</f>
        <v/>
      </c>
      <c r="E81" s="164"/>
      <c r="F81" s="165" t="str">
        <f>IF(F$3="","",IF(COUNTIFS(BD!$A$3:$A$5001,F$3,BD!$B$3:$B$5001,$A$79,BD!$E$3:$E$5001,"&lt;&gt;")=0,"",SUMIFS(BD!$E$3:$E$5001,BD!$A$3:$A$5001,F$3,BD!$B$3:$B$5001,$A$79)))</f>
        <v/>
      </c>
      <c r="G81" s="166" t="str">
        <f>IF(G$3="","",IF(COUNTIFS(BD!$A$3:$A$5001,G$3,BD!$B$3:$B$5001,$A$79,BD!$E$3:$E$5001,"&lt;&gt;")=0,"",SUMIFS(BD!$E$3:$E$5001,BD!$A$3:$A$5001,G$3,BD!$B$3:$B$5001,$A$79)))</f>
        <v/>
      </c>
      <c r="H81" s="166" t="str">
        <f>IF(H$3="","",IF(COUNTIFS(BD!$A$3:$A$5001,H$3,BD!$B$3:$B$5001,$A$79,BD!$E$3:$E$5001,"&lt;&gt;")=0,"",SUMIFS(BD!$E$3:$E$5001,BD!$A$3:$A$5001,H$3,BD!$B$3:$B$5001,$A$79)))</f>
        <v/>
      </c>
      <c r="I81" s="166" t="str">
        <f>IF(I$3="","",IF(COUNTIFS(BD!$A$3:$A$5001,I$3,BD!$B$3:$B$5001,$A$79,BD!$E$3:$E$5001,"&lt;&gt;")=0,"",SUMIFS(BD!$E$3:$E$5001,BD!$A$3:$A$5001,I$3,BD!$B$3:$B$5001,$A$79)))</f>
        <v/>
      </c>
      <c r="J81" s="166" t="str">
        <f>IF(J$3="","",IF(COUNTIFS(BD!$A$3:$A$5001,J$3,BD!$B$3:$B$5001,$A$79,BD!$E$3:$E$5001,"&lt;&gt;")=0,"",SUMIFS(BD!$E$3:$E$5001,BD!$A$3:$A$5001,J$3,BD!$B$3:$B$5001,$A$79)))</f>
        <v/>
      </c>
      <c r="K81" s="166" t="str">
        <f>IF(K$3="","",IF(COUNTIFS(BD!$A$3:$A$5001,K$3,BD!$B$3:$B$5001,$A$79,BD!$E$3:$E$5001,"&lt;&gt;")=0,"",SUMIFS(BD!$E$3:$E$5001,BD!$A$3:$A$5001,K$3,BD!$B$3:$B$5001,$A$79)))</f>
        <v/>
      </c>
      <c r="L81" s="166" t="str">
        <f>IF(L$3="","",IF(COUNTIFS(BD!$A$3:$A$5001,L$3,BD!$B$3:$B$5001,$A$79,BD!$E$3:$E$5001,"&lt;&gt;")=0,"",SUMIFS(BD!$E$3:$E$5001,BD!$A$3:$A$5001,L$3,BD!$B$3:$B$5001,$A$79)))</f>
        <v/>
      </c>
      <c r="M81" s="166" t="str">
        <f>IF(M$3="","",IF(COUNTIFS(BD!$A$3:$A$5001,M$3,BD!$B$3:$B$5001,$A$79,BD!$E$3:$E$5001,"&lt;&gt;")=0,"",SUMIFS(BD!$E$3:$E$5001,BD!$A$3:$A$5001,M$3,BD!$B$3:$B$5001,$A$79)))</f>
        <v/>
      </c>
      <c r="N81" s="166" t="str">
        <f>IF(N$3="","",IF(COUNTIFS(BD!$A$3:$A$5001,N$3,BD!$B$3:$B$5001,$A$79,BD!$E$3:$E$5001,"&lt;&gt;")=0,"",SUMIFS(BD!$E$3:$E$5001,BD!$A$3:$A$5001,N$3,BD!$B$3:$B$5001,$A$79)))</f>
        <v/>
      </c>
      <c r="O81" s="166" t="str">
        <f>IF(O$3="","",IF(COUNTIFS(BD!$A$3:$A$5001,O$3,BD!$B$3:$B$5001,$A$79,BD!$E$3:$E$5001,"&lt;&gt;")=0,"",SUMIFS(BD!$E$3:$E$5001,BD!$A$3:$A$5001,O$3,BD!$B$3:$B$5001,$A$79)))</f>
        <v/>
      </c>
      <c r="P81" s="166" t="str">
        <f>IF(P$3="","",IF(COUNTIFS(BD!$A$3:$A$5001,P$3,BD!$B$3:$B$5001,$A$79,BD!$E$3:$E$5001,"&lt;&gt;")=0,"",SUMIFS(BD!$E$3:$E$5001,BD!$A$3:$A$5001,P$3,BD!$B$3:$B$5001,$A$79)))</f>
        <v/>
      </c>
      <c r="Q81" s="166" t="str">
        <f>IF(Q$3="","",IF(COUNTIFS(BD!$A$3:$A$5001,Q$3,BD!$B$3:$B$5001,$A$79,BD!$E$3:$E$5001,"&lt;&gt;")=0,"",SUMIFS(BD!$E$3:$E$5001,BD!$A$3:$A$5001,Q$3,BD!$B$3:$B$5001,$A$79)))</f>
        <v/>
      </c>
      <c r="R81" s="166" t="str">
        <f>IF(R$3="","",IF(COUNTIFS(BD!$A$3:$A$5001,R$3,BD!$B$3:$B$5001,$A$79,BD!$E$3:$E$5001,"&lt;&gt;")=0,"",SUMIFS(BD!$E$3:$E$5001,BD!$A$3:$A$5001,R$3,BD!$B$3:$B$5001,$A$79)))</f>
        <v/>
      </c>
      <c r="S81" s="166" t="str">
        <f>IF(S$3="","",IF(COUNTIFS(BD!$A$3:$A$5001,S$3,BD!$B$3:$B$5001,$A$79,BD!$E$3:$E$5001,"&lt;&gt;")=0,"",SUMIFS(BD!$E$3:$E$5001,BD!$A$3:$A$5001,S$3,BD!$B$3:$B$5001,$A$79)))</f>
        <v/>
      </c>
      <c r="T81" s="166" t="str">
        <f>IF(T$3="","",IF(COUNTIFS(BD!$A$3:$A$5001,T$3,BD!$B$3:$B$5001,$A$79,BD!$E$3:$E$5001,"&lt;&gt;")=0,"",SUMIFS(BD!$E$3:$E$5001,BD!$A$3:$A$5001,T$3,BD!$B$3:$B$5001,$A$79)))</f>
        <v/>
      </c>
      <c r="U81" s="166" t="str">
        <f>IF(U$3="","",IF(COUNTIFS(BD!$A$3:$A$5001,U$3,BD!$B$3:$B$5001,$A$79,BD!$E$3:$E$5001,"&lt;&gt;")=0,"",SUMIFS(BD!$E$3:$E$5001,BD!$A$3:$A$5001,U$3,BD!$B$3:$B$5001,$A$79)))</f>
        <v/>
      </c>
      <c r="V81" s="166" t="str">
        <f>IF(V$3="","",IF(COUNTIFS(BD!$A$3:$A$5001,V$3,BD!$B$3:$B$5001,$A$79,BD!$E$3:$E$5001,"&lt;&gt;")=0,"",SUMIFS(BD!$E$3:$E$5001,BD!$A$3:$A$5001,V$3,BD!$B$3:$B$5001,$A$79)))</f>
        <v/>
      </c>
      <c r="W81" s="166" t="str">
        <f>IF(W$3="","",IF(COUNTIFS(BD!$A$3:$A$5001,W$3,BD!$B$3:$B$5001,$A$79,BD!$E$3:$E$5001,"&lt;&gt;")=0,"",SUMIFS(BD!$E$3:$E$5001,BD!$A$3:$A$5001,W$3,BD!$B$3:$B$5001,$A$79)))</f>
        <v/>
      </c>
      <c r="X81" s="166" t="str">
        <f>IF(X$3="","",IF(COUNTIFS(BD!$A$3:$A$5001,X$3,BD!$B$3:$B$5001,$A$79,BD!$E$3:$E$5001,"&lt;&gt;")=0,"",SUMIFS(BD!$E$3:$E$5001,BD!$A$3:$A$5001,X$3,BD!$B$3:$B$5001,$A$79)))</f>
        <v/>
      </c>
      <c r="Y81" s="166" t="str">
        <f>IF(Y$3="","",IF(COUNTIFS(BD!$A$3:$A$5001,Y$3,BD!$B$3:$B$5001,$A$79,BD!$E$3:$E$5001,"&lt;&gt;")=0,"",SUMIFS(BD!$E$3:$E$5001,BD!$A$3:$A$5001,Y$3,BD!$B$3:$B$5001,$A$79)))</f>
        <v/>
      </c>
      <c r="Z81" s="166" t="str">
        <f>IF(Z$3="","",IF(COUNTIFS(BD!$A$3:$A$5001,Z$3,BD!$B$3:$B$5001,$A$79,BD!$E$3:$E$5001,"&lt;&gt;")=0,"",SUMIFS(BD!$E$3:$E$5001,BD!$A$3:$A$5001,Z$3,BD!$B$3:$B$5001,$A$79)))</f>
        <v/>
      </c>
      <c r="AA81" s="166" t="str">
        <f>IF(AA$3="","",IF(COUNTIFS(BD!$A$3:$A$5001,AA$3,BD!$B$3:$B$5001,$A$79,BD!$E$3:$E$5001,"&lt;&gt;")=0,"",SUMIFS(BD!$E$3:$E$5001,BD!$A$3:$A$5001,AA$3,BD!$B$3:$B$5001,$A$79)))</f>
        <v/>
      </c>
      <c r="AB81" s="166" t="str">
        <f>IF(AB$3="","",IF(COUNTIFS(BD!$A$3:$A$5001,AB$3,BD!$B$3:$B$5001,$A$79,BD!$E$3:$E$5001,"&lt;&gt;")=0,"",SUMIFS(BD!$E$3:$E$5001,BD!$A$3:$A$5001,AB$3,BD!$B$3:$B$5001,$A$79)))</f>
        <v/>
      </c>
      <c r="AC81" s="166" t="str">
        <f>IF(AC$3="","",IF(COUNTIFS(BD!$A$3:$A$5001,AC$3,BD!$B$3:$B$5001,$A$79,BD!$E$3:$E$5001,"&lt;&gt;")=0,"",SUMIFS(BD!$E$3:$E$5001,BD!$A$3:$A$5001,AC$3,BD!$B$3:$B$5001,$A$79)))</f>
        <v/>
      </c>
      <c r="AD81" s="166" t="str">
        <f>IF(AD$3="","",IF(COUNTIFS(BD!$A$3:$A$5001,AD$3,BD!$B$3:$B$5001,$A$79,BD!$E$3:$E$5001,"&lt;&gt;")=0,"",SUMIFS(BD!$E$3:$E$5001,BD!$A$3:$A$5001,AD$3,BD!$B$3:$B$5001,$A$79)))</f>
        <v/>
      </c>
      <c r="AE81" s="166" t="str">
        <f>IF(AE$3="","",IF(COUNTIFS(BD!$A$3:$A$5001,AE$3,BD!$B$3:$B$5001,$A$79,BD!$E$3:$E$5001,"&lt;&gt;")=0,"",SUMIFS(BD!$E$3:$E$5001,BD!$A$3:$A$5001,AE$3,BD!$B$3:$B$5001,$A$79)))</f>
        <v/>
      </c>
      <c r="AF81" s="166" t="str">
        <f>IF(AF$3="","",IF(COUNTIFS(BD!$A$3:$A$5001,AF$3,BD!$B$3:$B$5001,$A$79,BD!$E$3:$E$5001,"&lt;&gt;")=0,"",SUMIFS(BD!$E$3:$E$5001,BD!$A$3:$A$5001,AF$3,BD!$B$3:$B$5001,$A$79)))</f>
        <v/>
      </c>
      <c r="AG81" s="166" t="str">
        <f>IF(AG$3="","",IF(COUNTIFS(BD!$A$3:$A$5001,AG$3,BD!$B$3:$B$5001,$A$79,BD!$E$3:$E$5001,"&lt;&gt;")=0,"",SUMIFS(BD!$E$3:$E$5001,BD!$A$3:$A$5001,AG$3,BD!$B$3:$B$5001,$A$79)))</f>
        <v/>
      </c>
      <c r="AH81" s="166" t="str">
        <f>IF(AH$3="","",IF(COUNTIFS(BD!$A$3:$A$5001,AH$3,BD!$B$3:$B$5001,$A$79,BD!$E$3:$E$5001,"&lt;&gt;")=0,"",SUMIFS(BD!$E$3:$E$5001,BD!$A$3:$A$5001,AH$3,BD!$B$3:$B$5001,$A$79)))</f>
        <v/>
      </c>
      <c r="AI81" s="166" t="str">
        <f>IF(AI$3="","",IF(COUNTIFS(BD!$A$3:$A$5001,AI$3,BD!$B$3:$B$5001,$A$79,BD!$E$3:$E$5001,"&lt;&gt;")=0,"",SUMIFS(BD!$E$3:$E$5001,BD!$A$3:$A$5001,AI$3,BD!$B$3:$B$5001,$A$79)))</f>
        <v/>
      </c>
      <c r="AJ81" s="167" t="str">
        <f>IF(AJ$3="","",IF(COUNTIFS(BD!$A$3:$A$5001,AJ$3,BD!$B$3:$B$5001,$A$79,BD!$E$3:$E$5001,"&lt;&gt;")=0,"",SUMIFS(BD!$E$3:$E$5001,BD!$A$3:$A$5001,AJ$3,BD!$B$3:$B$5001,$A$79)))</f>
        <v/>
      </c>
      <c r="AK81" s="168" t="str">
        <f>IF(COUNT(F81:AJ81)=0,"",SUM(F81:AJ81))</f>
        <v/>
      </c>
    </row>
    <row r="82" ht="15.75" customHeight="1">
      <c r="A82" s="247"/>
      <c r="B82" s="237" t="inlineStr">
        <is>
          <t xml:space="preserve">OUT</t>
        </is>
      </c>
      <c r="C82" s="169" t="inlineStr">
        <is>
          <t xml:space="preserve">Veículos Expedidos</t>
        </is>
      </c>
      <c r="D82" s="170" t="str">
        <f>IFERROR(1/(1/INDEX(BD!$Y$26:$AD$26,MATCH($A$79,BD!$Y$22:$AD$22,0))),"")</f>
        <v/>
      </c>
      <c r="E82" s="171"/>
      <c r="F82" s="172" t="str">
        <f>IF(F$3="","",IF(COUNTIFS(BD!$A$3:$A$5001,F$3,BD!$B$3:$B$5001,$A$79,BD!$F$3:$F$5001,"&lt;&gt;")=0,"",SUMIFS(BD!$F$3:$F$5001,BD!$A$3:$A$5001,F$3,BD!$B$3:$B$5001,$A$79)))</f>
        <v/>
      </c>
      <c r="G82" s="173" t="str">
        <f>IF(G$3="","",IF(COUNTIFS(BD!$A$3:$A$5001,G$3,BD!$B$3:$B$5001,$A$79,BD!$F$3:$F$5001,"&lt;&gt;")=0,"",SUMIFS(BD!$F$3:$F$5001,BD!$A$3:$A$5001,G$3,BD!$B$3:$B$5001,$A$79)))</f>
        <v/>
      </c>
      <c r="H82" s="173" t="str">
        <f>IF(H$3="","",IF(COUNTIFS(BD!$A$3:$A$5001,H$3,BD!$B$3:$B$5001,$A$79,BD!$F$3:$F$5001,"&lt;&gt;")=0,"",SUMIFS(BD!$F$3:$F$5001,BD!$A$3:$A$5001,H$3,BD!$B$3:$B$5001,$A$79)))</f>
        <v/>
      </c>
      <c r="I82" s="173" t="str">
        <f>IF(I$3="","",IF(COUNTIFS(BD!$A$3:$A$5001,I$3,BD!$B$3:$B$5001,$A$79,BD!$F$3:$F$5001,"&lt;&gt;")=0,"",SUMIFS(BD!$F$3:$F$5001,BD!$A$3:$A$5001,I$3,BD!$B$3:$B$5001,$A$79)))</f>
        <v/>
      </c>
      <c r="J82" s="173" t="str">
        <f>IF(J$3="","",IF(COUNTIFS(BD!$A$3:$A$5001,J$3,BD!$B$3:$B$5001,$A$79,BD!$F$3:$F$5001,"&lt;&gt;")=0,"",SUMIFS(BD!$F$3:$F$5001,BD!$A$3:$A$5001,J$3,BD!$B$3:$B$5001,$A$79)))</f>
        <v/>
      </c>
      <c r="K82" s="173" t="str">
        <f>IF(K$3="","",IF(COUNTIFS(BD!$A$3:$A$5001,K$3,BD!$B$3:$B$5001,$A$79,BD!$F$3:$F$5001,"&lt;&gt;")=0,"",SUMIFS(BD!$F$3:$F$5001,BD!$A$3:$A$5001,K$3,BD!$B$3:$B$5001,$A$79)))</f>
        <v/>
      </c>
      <c r="L82" s="173" t="str">
        <f>IF(L$3="","",IF(COUNTIFS(BD!$A$3:$A$5001,L$3,BD!$B$3:$B$5001,$A$79,BD!$F$3:$F$5001,"&lt;&gt;")=0,"",SUMIFS(BD!$F$3:$F$5001,BD!$A$3:$A$5001,L$3,BD!$B$3:$B$5001,$A$79)))</f>
        <v/>
      </c>
      <c r="M82" s="173" t="str">
        <f>IF(M$3="","",IF(COUNTIFS(BD!$A$3:$A$5001,M$3,BD!$B$3:$B$5001,$A$79,BD!$F$3:$F$5001,"&lt;&gt;")=0,"",SUMIFS(BD!$F$3:$F$5001,BD!$A$3:$A$5001,M$3,BD!$B$3:$B$5001,$A$79)))</f>
        <v/>
      </c>
      <c r="N82" s="173" t="str">
        <f>IF(N$3="","",IF(COUNTIFS(BD!$A$3:$A$5001,N$3,BD!$B$3:$B$5001,$A$79,BD!$F$3:$F$5001,"&lt;&gt;")=0,"",SUMIFS(BD!$F$3:$F$5001,BD!$A$3:$A$5001,N$3,BD!$B$3:$B$5001,$A$79)))</f>
        <v/>
      </c>
      <c r="O82" s="173" t="str">
        <f>IF(O$3="","",IF(COUNTIFS(BD!$A$3:$A$5001,O$3,BD!$B$3:$B$5001,$A$79,BD!$F$3:$F$5001,"&lt;&gt;")=0,"",SUMIFS(BD!$F$3:$F$5001,BD!$A$3:$A$5001,O$3,BD!$B$3:$B$5001,$A$79)))</f>
        <v/>
      </c>
      <c r="P82" s="173" t="str">
        <f>IF(P$3="","",IF(COUNTIFS(BD!$A$3:$A$5001,P$3,BD!$B$3:$B$5001,$A$79,BD!$F$3:$F$5001,"&lt;&gt;")=0,"",SUMIFS(BD!$F$3:$F$5001,BD!$A$3:$A$5001,P$3,BD!$B$3:$B$5001,$A$79)))</f>
        <v/>
      </c>
      <c r="Q82" s="173" t="str">
        <f>IF(Q$3="","",IF(COUNTIFS(BD!$A$3:$A$5001,Q$3,BD!$B$3:$B$5001,$A$79,BD!$F$3:$F$5001,"&lt;&gt;")=0,"",SUMIFS(BD!$F$3:$F$5001,BD!$A$3:$A$5001,Q$3,BD!$B$3:$B$5001,$A$79)))</f>
        <v/>
      </c>
      <c r="R82" s="173" t="str">
        <f>IF(R$3="","",IF(COUNTIFS(BD!$A$3:$A$5001,R$3,BD!$B$3:$B$5001,$A$79,BD!$F$3:$F$5001,"&lt;&gt;")=0,"",SUMIFS(BD!$F$3:$F$5001,BD!$A$3:$A$5001,R$3,BD!$B$3:$B$5001,$A$79)))</f>
        <v/>
      </c>
      <c r="S82" s="173" t="str">
        <f>IF(S$3="","",IF(COUNTIFS(BD!$A$3:$A$5001,S$3,BD!$B$3:$B$5001,$A$79,BD!$F$3:$F$5001,"&lt;&gt;")=0,"",SUMIFS(BD!$F$3:$F$5001,BD!$A$3:$A$5001,S$3,BD!$B$3:$B$5001,$A$79)))</f>
        <v/>
      </c>
      <c r="T82" s="173" t="str">
        <f>IF(T$3="","",IF(COUNTIFS(BD!$A$3:$A$5001,T$3,BD!$B$3:$B$5001,$A$79,BD!$F$3:$F$5001,"&lt;&gt;")=0,"",SUMIFS(BD!$F$3:$F$5001,BD!$A$3:$A$5001,T$3,BD!$B$3:$B$5001,$A$79)))</f>
        <v/>
      </c>
      <c r="U82" s="173" t="str">
        <f>IF(U$3="","",IF(COUNTIFS(BD!$A$3:$A$5001,U$3,BD!$B$3:$B$5001,$A$79,BD!$F$3:$F$5001,"&lt;&gt;")=0,"",SUMIFS(BD!$F$3:$F$5001,BD!$A$3:$A$5001,U$3,BD!$B$3:$B$5001,$A$79)))</f>
        <v/>
      </c>
      <c r="V82" s="173" t="str">
        <f>IF(V$3="","",IF(COUNTIFS(BD!$A$3:$A$5001,V$3,BD!$B$3:$B$5001,$A$79,BD!$F$3:$F$5001,"&lt;&gt;")=0,"",SUMIFS(BD!$F$3:$F$5001,BD!$A$3:$A$5001,V$3,BD!$B$3:$B$5001,$A$79)))</f>
        <v/>
      </c>
      <c r="W82" s="173" t="str">
        <f>IF(W$3="","",IF(COUNTIFS(BD!$A$3:$A$5001,W$3,BD!$B$3:$B$5001,$A$79,BD!$F$3:$F$5001,"&lt;&gt;")=0,"",SUMIFS(BD!$F$3:$F$5001,BD!$A$3:$A$5001,W$3,BD!$B$3:$B$5001,$A$79)))</f>
        <v/>
      </c>
      <c r="X82" s="173" t="str">
        <f>IF(X$3="","",IF(COUNTIFS(BD!$A$3:$A$5001,X$3,BD!$B$3:$B$5001,$A$79,BD!$F$3:$F$5001,"&lt;&gt;")=0,"",SUMIFS(BD!$F$3:$F$5001,BD!$A$3:$A$5001,X$3,BD!$B$3:$B$5001,$A$79)))</f>
        <v/>
      </c>
      <c r="Y82" s="173" t="str">
        <f>IF(Y$3="","",IF(COUNTIFS(BD!$A$3:$A$5001,Y$3,BD!$B$3:$B$5001,$A$79,BD!$F$3:$F$5001,"&lt;&gt;")=0,"",SUMIFS(BD!$F$3:$F$5001,BD!$A$3:$A$5001,Y$3,BD!$B$3:$B$5001,$A$79)))</f>
        <v/>
      </c>
      <c r="Z82" s="173" t="str">
        <f>IF(Z$3="","",IF(COUNTIFS(BD!$A$3:$A$5001,Z$3,BD!$B$3:$B$5001,$A$79,BD!$F$3:$F$5001,"&lt;&gt;")=0,"",SUMIFS(BD!$F$3:$F$5001,BD!$A$3:$A$5001,Z$3,BD!$B$3:$B$5001,$A$79)))</f>
        <v/>
      </c>
      <c r="AA82" s="173" t="str">
        <f>IF(AA$3="","",IF(COUNTIFS(BD!$A$3:$A$5001,AA$3,BD!$B$3:$B$5001,$A$79,BD!$F$3:$F$5001,"&lt;&gt;")=0,"",SUMIFS(BD!$F$3:$F$5001,BD!$A$3:$A$5001,AA$3,BD!$B$3:$B$5001,$A$79)))</f>
        <v/>
      </c>
      <c r="AB82" s="173" t="str">
        <f>IF(AB$3="","",IF(COUNTIFS(BD!$A$3:$A$5001,AB$3,BD!$B$3:$B$5001,$A$79,BD!$F$3:$F$5001,"&lt;&gt;")=0,"",SUMIFS(BD!$F$3:$F$5001,BD!$A$3:$A$5001,AB$3,BD!$B$3:$B$5001,$A$79)))</f>
        <v/>
      </c>
      <c r="AC82" s="173" t="str">
        <f>IF(AC$3="","",IF(COUNTIFS(BD!$A$3:$A$5001,AC$3,BD!$B$3:$B$5001,$A$79,BD!$F$3:$F$5001,"&lt;&gt;")=0,"",SUMIFS(BD!$F$3:$F$5001,BD!$A$3:$A$5001,AC$3,BD!$B$3:$B$5001,$A$79)))</f>
        <v/>
      </c>
      <c r="AD82" s="173" t="str">
        <f>IF(AD$3="","",IF(COUNTIFS(BD!$A$3:$A$5001,AD$3,BD!$B$3:$B$5001,$A$79,BD!$F$3:$F$5001,"&lt;&gt;")=0,"",SUMIFS(BD!$F$3:$F$5001,BD!$A$3:$A$5001,AD$3,BD!$B$3:$B$5001,$A$79)))</f>
        <v/>
      </c>
      <c r="AE82" s="173" t="str">
        <f>IF(AE$3="","",IF(COUNTIFS(BD!$A$3:$A$5001,AE$3,BD!$B$3:$B$5001,$A$79,BD!$F$3:$F$5001,"&lt;&gt;")=0,"",SUMIFS(BD!$F$3:$F$5001,BD!$A$3:$A$5001,AE$3,BD!$B$3:$B$5001,$A$79)))</f>
        <v/>
      </c>
      <c r="AF82" s="173" t="str">
        <f>IF(AF$3="","",IF(COUNTIFS(BD!$A$3:$A$5001,AF$3,BD!$B$3:$B$5001,$A$79,BD!$F$3:$F$5001,"&lt;&gt;")=0,"",SUMIFS(BD!$F$3:$F$5001,BD!$A$3:$A$5001,AF$3,BD!$B$3:$B$5001,$A$79)))</f>
        <v/>
      </c>
      <c r="AG82" s="173" t="str">
        <f>IF(AG$3="","",IF(COUNTIFS(BD!$A$3:$A$5001,AG$3,BD!$B$3:$B$5001,$A$79,BD!$F$3:$F$5001,"&lt;&gt;")=0,"",SUMIFS(BD!$F$3:$F$5001,BD!$A$3:$A$5001,AG$3,BD!$B$3:$B$5001,$A$79)))</f>
        <v/>
      </c>
      <c r="AH82" s="173" t="str">
        <f>IF(AH$3="","",IF(COUNTIFS(BD!$A$3:$A$5001,AH$3,BD!$B$3:$B$5001,$A$79,BD!$F$3:$F$5001,"&lt;&gt;")=0,"",SUMIFS(BD!$F$3:$F$5001,BD!$A$3:$A$5001,AH$3,BD!$B$3:$B$5001,$A$79)))</f>
        <v/>
      </c>
      <c r="AI82" s="173" t="str">
        <f>IF(AI$3="","",IF(COUNTIFS(BD!$A$3:$A$5001,AI$3,BD!$B$3:$B$5001,$A$79,BD!$F$3:$F$5001,"&lt;&gt;")=0,"",SUMIFS(BD!$F$3:$F$5001,BD!$A$3:$A$5001,AI$3,BD!$B$3:$B$5001,$A$79)))</f>
        <v/>
      </c>
      <c r="AJ82" s="174" t="str">
        <f>IF(AJ$3="","",IF(COUNTIFS(BD!$A$3:$A$5001,AJ$3,BD!$B$3:$B$5001,$A$79,BD!$F$3:$F$5001,"&lt;&gt;")=0,"",SUMIFS(BD!$F$3:$F$5001,BD!$A$3:$A$5001,AJ$3,BD!$B$3:$B$5001,$A$79)))</f>
        <v/>
      </c>
      <c r="AK82" s="175" t="str">
        <f>IF(COUNT(F82:AJ82)=0,"",SUM(F82:AJ82))</f>
        <v/>
      </c>
    </row>
    <row r="83" ht="15.75" customHeight="1">
      <c r="A83" s="247"/>
      <c r="B83" s="238"/>
      <c r="C83" s="176" t="inlineStr">
        <is>
          <t xml:space="preserve">Pallets Movimentados</t>
        </is>
      </c>
      <c r="D83" s="177" t="str">
        <f>IFERROR(1/(1/INDEX(BD!$Y$27:$AD$27,MATCH($A$79,BD!$Y$22:$AD$22,0))),"")</f>
        <v/>
      </c>
      <c r="E83" s="178"/>
      <c r="F83" s="179" t="str">
        <f>IF(F$3="","",IF(COUNTIFS(BD!$A$3:$A$5001,F$3,BD!$B$3:$B$5001,$A$79,BD!$G$3:$G$5001,"&lt;&gt;")=0,"",SUMIFS(BD!$G$3:$G$5001,BD!$A$3:$A$5001,F$3,BD!$B$3:$B$5001,$A$79)))</f>
        <v/>
      </c>
      <c r="G83" s="180" t="str">
        <f>IF(G$3="","",IF(COUNTIFS(BD!$A$3:$A$5001,G$3,BD!$B$3:$B$5001,$A$79,BD!$G$3:$G$5001,"&lt;&gt;")=0,"",SUMIFS(BD!$G$3:$G$5001,BD!$A$3:$A$5001,G$3,BD!$B$3:$B$5001,$A$79)))</f>
        <v/>
      </c>
      <c r="H83" s="180" t="str">
        <f>IF(H$3="","",IF(COUNTIFS(BD!$A$3:$A$5001,H$3,BD!$B$3:$B$5001,$A$79,BD!$G$3:$G$5001,"&lt;&gt;")=0,"",SUMIFS(BD!$G$3:$G$5001,BD!$A$3:$A$5001,H$3,BD!$B$3:$B$5001,$A$79)))</f>
        <v/>
      </c>
      <c r="I83" s="180" t="str">
        <f>IF(I$3="","",IF(COUNTIFS(BD!$A$3:$A$5001,I$3,BD!$B$3:$B$5001,$A$79,BD!$G$3:$G$5001,"&lt;&gt;")=0,"",SUMIFS(BD!$G$3:$G$5001,BD!$A$3:$A$5001,I$3,BD!$B$3:$B$5001,$A$79)))</f>
        <v/>
      </c>
      <c r="J83" s="180" t="str">
        <f>IF(J$3="","",IF(COUNTIFS(BD!$A$3:$A$5001,J$3,BD!$B$3:$B$5001,$A$79,BD!$G$3:$G$5001,"&lt;&gt;")=0,"",SUMIFS(BD!$G$3:$G$5001,BD!$A$3:$A$5001,J$3,BD!$B$3:$B$5001,$A$79)))</f>
        <v/>
      </c>
      <c r="K83" s="180" t="str">
        <f>IF(K$3="","",IF(COUNTIFS(BD!$A$3:$A$5001,K$3,BD!$B$3:$B$5001,$A$79,BD!$G$3:$G$5001,"&lt;&gt;")=0,"",SUMIFS(BD!$G$3:$G$5001,BD!$A$3:$A$5001,K$3,BD!$B$3:$B$5001,$A$79)))</f>
        <v/>
      </c>
      <c r="L83" s="180" t="str">
        <f>IF(L$3="","",IF(COUNTIFS(BD!$A$3:$A$5001,L$3,BD!$B$3:$B$5001,$A$79,BD!$G$3:$G$5001,"&lt;&gt;")=0,"",SUMIFS(BD!$G$3:$G$5001,BD!$A$3:$A$5001,L$3,BD!$B$3:$B$5001,$A$79)))</f>
        <v/>
      </c>
      <c r="M83" s="180" t="str">
        <f>IF(M$3="","",IF(COUNTIFS(BD!$A$3:$A$5001,M$3,BD!$B$3:$B$5001,$A$79,BD!$G$3:$G$5001,"&lt;&gt;")=0,"",SUMIFS(BD!$G$3:$G$5001,BD!$A$3:$A$5001,M$3,BD!$B$3:$B$5001,$A$79)))</f>
        <v/>
      </c>
      <c r="N83" s="180" t="str">
        <f>IF(N$3="","",IF(COUNTIFS(BD!$A$3:$A$5001,N$3,BD!$B$3:$B$5001,$A$79,BD!$G$3:$G$5001,"&lt;&gt;")=0,"",SUMIFS(BD!$G$3:$G$5001,BD!$A$3:$A$5001,N$3,BD!$B$3:$B$5001,$A$79)))</f>
        <v/>
      </c>
      <c r="O83" s="180" t="str">
        <f>IF(O$3="","",IF(COUNTIFS(BD!$A$3:$A$5001,O$3,BD!$B$3:$B$5001,$A$79,BD!$G$3:$G$5001,"&lt;&gt;")=0,"",SUMIFS(BD!$G$3:$G$5001,BD!$A$3:$A$5001,O$3,BD!$B$3:$B$5001,$A$79)))</f>
        <v/>
      </c>
      <c r="P83" s="180" t="str">
        <f>IF(P$3="","",IF(COUNTIFS(BD!$A$3:$A$5001,P$3,BD!$B$3:$B$5001,$A$79,BD!$G$3:$G$5001,"&lt;&gt;")=0,"",SUMIFS(BD!$G$3:$G$5001,BD!$A$3:$A$5001,P$3,BD!$B$3:$B$5001,$A$79)))</f>
        <v/>
      </c>
      <c r="Q83" s="180" t="str">
        <f>IF(Q$3="","",IF(COUNTIFS(BD!$A$3:$A$5001,Q$3,BD!$B$3:$B$5001,$A$79,BD!$G$3:$G$5001,"&lt;&gt;")=0,"",SUMIFS(BD!$G$3:$G$5001,BD!$A$3:$A$5001,Q$3,BD!$B$3:$B$5001,$A$79)))</f>
        <v/>
      </c>
      <c r="R83" s="180" t="str">
        <f>IF(R$3="","",IF(COUNTIFS(BD!$A$3:$A$5001,R$3,BD!$B$3:$B$5001,$A$79,BD!$G$3:$G$5001,"&lt;&gt;")=0,"",SUMIFS(BD!$G$3:$G$5001,BD!$A$3:$A$5001,R$3,BD!$B$3:$B$5001,$A$79)))</f>
        <v/>
      </c>
      <c r="S83" s="180" t="str">
        <f>IF(S$3="","",IF(COUNTIFS(BD!$A$3:$A$5001,S$3,BD!$B$3:$B$5001,$A$79,BD!$G$3:$G$5001,"&lt;&gt;")=0,"",SUMIFS(BD!$G$3:$G$5001,BD!$A$3:$A$5001,S$3,BD!$B$3:$B$5001,$A$79)))</f>
        <v/>
      </c>
      <c r="T83" s="180" t="str">
        <f>IF(T$3="","",IF(COUNTIFS(BD!$A$3:$A$5001,T$3,BD!$B$3:$B$5001,$A$79,BD!$G$3:$G$5001,"&lt;&gt;")=0,"",SUMIFS(BD!$G$3:$G$5001,BD!$A$3:$A$5001,T$3,BD!$B$3:$B$5001,$A$79)))</f>
        <v/>
      </c>
      <c r="U83" s="180" t="str">
        <f>IF(U$3="","",IF(COUNTIFS(BD!$A$3:$A$5001,U$3,BD!$B$3:$B$5001,$A$79,BD!$G$3:$G$5001,"&lt;&gt;")=0,"",SUMIFS(BD!$G$3:$G$5001,BD!$A$3:$A$5001,U$3,BD!$B$3:$B$5001,$A$79)))</f>
        <v/>
      </c>
      <c r="V83" s="180" t="str">
        <f>IF(V$3="","",IF(COUNTIFS(BD!$A$3:$A$5001,V$3,BD!$B$3:$B$5001,$A$79,BD!$G$3:$G$5001,"&lt;&gt;")=0,"",SUMIFS(BD!$G$3:$G$5001,BD!$A$3:$A$5001,V$3,BD!$B$3:$B$5001,$A$79)))</f>
        <v/>
      </c>
      <c r="W83" s="180" t="str">
        <f>IF(W$3="","",IF(COUNTIFS(BD!$A$3:$A$5001,W$3,BD!$B$3:$B$5001,$A$79,BD!$G$3:$G$5001,"&lt;&gt;")=0,"",SUMIFS(BD!$G$3:$G$5001,BD!$A$3:$A$5001,W$3,BD!$B$3:$B$5001,$A$79)))</f>
        <v/>
      </c>
      <c r="X83" s="180" t="str">
        <f>IF(X$3="","",IF(COUNTIFS(BD!$A$3:$A$5001,X$3,BD!$B$3:$B$5001,$A$79,BD!$G$3:$G$5001,"&lt;&gt;")=0,"",SUMIFS(BD!$G$3:$G$5001,BD!$A$3:$A$5001,X$3,BD!$B$3:$B$5001,$A$79)))</f>
        <v/>
      </c>
      <c r="Y83" s="180" t="str">
        <f>IF(Y$3="","",IF(COUNTIFS(BD!$A$3:$A$5001,Y$3,BD!$B$3:$B$5001,$A$79,BD!$G$3:$G$5001,"&lt;&gt;")=0,"",SUMIFS(BD!$G$3:$G$5001,BD!$A$3:$A$5001,Y$3,BD!$B$3:$B$5001,$A$79)))</f>
        <v/>
      </c>
      <c r="Z83" s="180" t="str">
        <f>IF(Z$3="","",IF(COUNTIFS(BD!$A$3:$A$5001,Z$3,BD!$B$3:$B$5001,$A$79,BD!$G$3:$G$5001,"&lt;&gt;")=0,"",SUMIFS(BD!$G$3:$G$5001,BD!$A$3:$A$5001,Z$3,BD!$B$3:$B$5001,$A$79)))</f>
        <v/>
      </c>
      <c r="AA83" s="180" t="str">
        <f>IF(AA$3="","",IF(COUNTIFS(BD!$A$3:$A$5001,AA$3,BD!$B$3:$B$5001,$A$79,BD!$G$3:$G$5001,"&lt;&gt;")=0,"",SUMIFS(BD!$G$3:$G$5001,BD!$A$3:$A$5001,AA$3,BD!$B$3:$B$5001,$A$79)))</f>
        <v/>
      </c>
      <c r="AB83" s="180" t="str">
        <f>IF(AB$3="","",IF(COUNTIFS(BD!$A$3:$A$5001,AB$3,BD!$B$3:$B$5001,$A$79,BD!$G$3:$G$5001,"&lt;&gt;")=0,"",SUMIFS(BD!$G$3:$G$5001,BD!$A$3:$A$5001,AB$3,BD!$B$3:$B$5001,$A$79)))</f>
        <v/>
      </c>
      <c r="AC83" s="180" t="str">
        <f>IF(AC$3="","",IF(COUNTIFS(BD!$A$3:$A$5001,AC$3,BD!$B$3:$B$5001,$A$79,BD!$G$3:$G$5001,"&lt;&gt;")=0,"",SUMIFS(BD!$G$3:$G$5001,BD!$A$3:$A$5001,AC$3,BD!$B$3:$B$5001,$A$79)))</f>
        <v/>
      </c>
      <c r="AD83" s="180" t="str">
        <f>IF(AD$3="","",IF(COUNTIFS(BD!$A$3:$A$5001,AD$3,BD!$B$3:$B$5001,$A$79,BD!$G$3:$G$5001,"&lt;&gt;")=0,"",SUMIFS(BD!$G$3:$G$5001,BD!$A$3:$A$5001,AD$3,BD!$B$3:$B$5001,$A$79)))</f>
        <v/>
      </c>
      <c r="AE83" s="180" t="str">
        <f>IF(AE$3="","",IF(COUNTIFS(BD!$A$3:$A$5001,AE$3,BD!$B$3:$B$5001,$A$79,BD!$G$3:$G$5001,"&lt;&gt;")=0,"",SUMIFS(BD!$G$3:$G$5001,BD!$A$3:$A$5001,AE$3,BD!$B$3:$B$5001,$A$79)))</f>
        <v/>
      </c>
      <c r="AF83" s="180" t="str">
        <f>IF(AF$3="","",IF(COUNTIFS(BD!$A$3:$A$5001,AF$3,BD!$B$3:$B$5001,$A$79,BD!$G$3:$G$5001,"&lt;&gt;")=0,"",SUMIFS(BD!$G$3:$G$5001,BD!$A$3:$A$5001,AF$3,BD!$B$3:$B$5001,$A$79)))</f>
        <v/>
      </c>
      <c r="AG83" s="180" t="str">
        <f>IF(AG$3="","",IF(COUNTIFS(BD!$A$3:$A$5001,AG$3,BD!$B$3:$B$5001,$A$79,BD!$G$3:$G$5001,"&lt;&gt;")=0,"",SUMIFS(BD!$G$3:$G$5001,BD!$A$3:$A$5001,AG$3,BD!$B$3:$B$5001,$A$79)))</f>
        <v/>
      </c>
      <c r="AH83" s="180" t="str">
        <f>IF(AH$3="","",IF(COUNTIFS(BD!$A$3:$A$5001,AH$3,BD!$B$3:$B$5001,$A$79,BD!$G$3:$G$5001,"&lt;&gt;")=0,"",SUMIFS(BD!$G$3:$G$5001,BD!$A$3:$A$5001,AH$3,BD!$B$3:$B$5001,$A$79)))</f>
        <v/>
      </c>
      <c r="AI83" s="180" t="str">
        <f>IF(AI$3="","",IF(COUNTIFS(BD!$A$3:$A$5001,AI$3,BD!$B$3:$B$5001,$A$79,BD!$G$3:$G$5001,"&lt;&gt;")=0,"",SUMIFS(BD!$G$3:$G$5001,BD!$A$3:$A$5001,AI$3,BD!$B$3:$B$5001,$A$79)))</f>
        <v/>
      </c>
      <c r="AJ83" s="181" t="str">
        <f>IF(AJ$3="","",IF(COUNTIFS(BD!$A$3:$A$5001,AJ$3,BD!$B$3:$B$5001,$A$79,BD!$G$3:$G$5001,"&lt;&gt;")=0,"",SUMIFS(BD!$G$3:$G$5001,BD!$A$3:$A$5001,AJ$3,BD!$B$3:$B$5001,$A$79)))</f>
        <v/>
      </c>
      <c r="AK83" s="182" t="str">
        <f>IF(COUNT(F83:AJ83)=0,"",SUM(F83:AJ83))</f>
        <v/>
      </c>
    </row>
    <row r="84" ht="15.75" customHeight="1">
      <c r="A84" s="247"/>
      <c r="B84" s="239"/>
      <c r="C84" s="183" t="inlineStr">
        <is>
          <t xml:space="preserve">Toneladas Movimentadas</t>
        </is>
      </c>
      <c r="D84" s="184" t="str">
        <f>IFERROR(1/(1/INDEX(BD!$Y$28:$AD$28,MATCH($A$79,BD!$Y$22:$AD$22,0))),"")</f>
        <v/>
      </c>
      <c r="E84" s="185"/>
      <c r="F84" s="186" t="str">
        <f>IF(F$3="","",IF(COUNTIFS(BD!$A$3:$A$5001,F$3,BD!$B$3:$B$5001,$A$79,BD!$H$3:$H$5001,"&lt;&gt;")=0,"",SUMIFS(BD!$H$3:$H$5001,BD!$A$3:$A$5001,F$3,BD!$B$3:$B$5001,$A$79)))</f>
        <v/>
      </c>
      <c r="G84" s="187" t="str">
        <f>IF(G$3="","",IF(COUNTIFS(BD!$A$3:$A$5001,G$3,BD!$B$3:$B$5001,$A$79,BD!$H$3:$H$5001,"&lt;&gt;")=0,"",SUMIFS(BD!$H$3:$H$5001,BD!$A$3:$A$5001,G$3,BD!$B$3:$B$5001,$A$79)))</f>
        <v/>
      </c>
      <c r="H84" s="187" t="str">
        <f>IF(H$3="","",IF(COUNTIFS(BD!$A$3:$A$5001,H$3,BD!$B$3:$B$5001,$A$79,BD!$H$3:$H$5001,"&lt;&gt;")=0,"",SUMIFS(BD!$H$3:$H$5001,BD!$A$3:$A$5001,H$3,BD!$B$3:$B$5001,$A$79)))</f>
        <v/>
      </c>
      <c r="I84" s="187" t="str">
        <f>IF(I$3="","",IF(COUNTIFS(BD!$A$3:$A$5001,I$3,BD!$B$3:$B$5001,$A$79,BD!$H$3:$H$5001,"&lt;&gt;")=0,"",SUMIFS(BD!$H$3:$H$5001,BD!$A$3:$A$5001,I$3,BD!$B$3:$B$5001,$A$79)))</f>
        <v/>
      </c>
      <c r="J84" s="187" t="str">
        <f>IF(J$3="","",IF(COUNTIFS(BD!$A$3:$A$5001,J$3,BD!$B$3:$B$5001,$A$79,BD!$H$3:$H$5001,"&lt;&gt;")=0,"",SUMIFS(BD!$H$3:$H$5001,BD!$A$3:$A$5001,J$3,BD!$B$3:$B$5001,$A$79)))</f>
        <v/>
      </c>
      <c r="K84" s="187" t="str">
        <f>IF(K$3="","",IF(COUNTIFS(BD!$A$3:$A$5001,K$3,BD!$B$3:$B$5001,$A$79,BD!$H$3:$H$5001,"&lt;&gt;")=0,"",SUMIFS(BD!$H$3:$H$5001,BD!$A$3:$A$5001,K$3,BD!$B$3:$B$5001,$A$79)))</f>
        <v/>
      </c>
      <c r="L84" s="187" t="str">
        <f>IF(L$3="","",IF(COUNTIFS(BD!$A$3:$A$5001,L$3,BD!$B$3:$B$5001,$A$79,BD!$H$3:$H$5001,"&lt;&gt;")=0,"",SUMIFS(BD!$H$3:$H$5001,BD!$A$3:$A$5001,L$3,BD!$B$3:$B$5001,$A$79)))</f>
        <v/>
      </c>
      <c r="M84" s="187" t="str">
        <f>IF(M$3="","",IF(COUNTIFS(BD!$A$3:$A$5001,M$3,BD!$B$3:$B$5001,$A$79,BD!$H$3:$H$5001,"&lt;&gt;")=0,"",SUMIFS(BD!$H$3:$H$5001,BD!$A$3:$A$5001,M$3,BD!$B$3:$B$5001,$A$79)))</f>
        <v/>
      </c>
      <c r="N84" s="187" t="str">
        <f>IF(N$3="","",IF(COUNTIFS(BD!$A$3:$A$5001,N$3,BD!$B$3:$B$5001,$A$79,BD!$H$3:$H$5001,"&lt;&gt;")=0,"",SUMIFS(BD!$H$3:$H$5001,BD!$A$3:$A$5001,N$3,BD!$B$3:$B$5001,$A$79)))</f>
        <v/>
      </c>
      <c r="O84" s="187" t="str">
        <f>IF(O$3="","",IF(COUNTIFS(BD!$A$3:$A$5001,O$3,BD!$B$3:$B$5001,$A$79,BD!$H$3:$H$5001,"&lt;&gt;")=0,"",SUMIFS(BD!$H$3:$H$5001,BD!$A$3:$A$5001,O$3,BD!$B$3:$B$5001,$A$79)))</f>
        <v/>
      </c>
      <c r="P84" s="187" t="str">
        <f>IF(P$3="","",IF(COUNTIFS(BD!$A$3:$A$5001,P$3,BD!$B$3:$B$5001,$A$79,BD!$H$3:$H$5001,"&lt;&gt;")=0,"",SUMIFS(BD!$H$3:$H$5001,BD!$A$3:$A$5001,P$3,BD!$B$3:$B$5001,$A$79)))</f>
        <v/>
      </c>
      <c r="Q84" s="187" t="str">
        <f>IF(Q$3="","",IF(COUNTIFS(BD!$A$3:$A$5001,Q$3,BD!$B$3:$B$5001,$A$79,BD!$H$3:$H$5001,"&lt;&gt;")=0,"",SUMIFS(BD!$H$3:$H$5001,BD!$A$3:$A$5001,Q$3,BD!$B$3:$B$5001,$A$79)))</f>
        <v/>
      </c>
      <c r="R84" s="187" t="str">
        <f>IF(R$3="","",IF(COUNTIFS(BD!$A$3:$A$5001,R$3,BD!$B$3:$B$5001,$A$79,BD!$H$3:$H$5001,"&lt;&gt;")=0,"",SUMIFS(BD!$H$3:$H$5001,BD!$A$3:$A$5001,R$3,BD!$B$3:$B$5001,$A$79)))</f>
        <v/>
      </c>
      <c r="S84" s="187" t="str">
        <f>IF(S$3="","",IF(COUNTIFS(BD!$A$3:$A$5001,S$3,BD!$B$3:$B$5001,$A$79,BD!$H$3:$H$5001,"&lt;&gt;")=0,"",SUMIFS(BD!$H$3:$H$5001,BD!$A$3:$A$5001,S$3,BD!$B$3:$B$5001,$A$79)))</f>
        <v/>
      </c>
      <c r="T84" s="187" t="str">
        <f>IF(T$3="","",IF(COUNTIFS(BD!$A$3:$A$5001,T$3,BD!$B$3:$B$5001,$A$79,BD!$H$3:$H$5001,"&lt;&gt;")=0,"",SUMIFS(BD!$H$3:$H$5001,BD!$A$3:$A$5001,T$3,BD!$B$3:$B$5001,$A$79)))</f>
        <v/>
      </c>
      <c r="U84" s="187" t="str">
        <f>IF(U$3="","",IF(COUNTIFS(BD!$A$3:$A$5001,U$3,BD!$B$3:$B$5001,$A$79,BD!$H$3:$H$5001,"&lt;&gt;")=0,"",SUMIFS(BD!$H$3:$H$5001,BD!$A$3:$A$5001,U$3,BD!$B$3:$B$5001,$A$79)))</f>
        <v/>
      </c>
      <c r="V84" s="187" t="str">
        <f>IF(V$3="","",IF(COUNTIFS(BD!$A$3:$A$5001,V$3,BD!$B$3:$B$5001,$A$79,BD!$H$3:$H$5001,"&lt;&gt;")=0,"",SUMIFS(BD!$H$3:$H$5001,BD!$A$3:$A$5001,V$3,BD!$B$3:$B$5001,$A$79)))</f>
        <v/>
      </c>
      <c r="W84" s="187" t="str">
        <f>IF(W$3="","",IF(COUNTIFS(BD!$A$3:$A$5001,W$3,BD!$B$3:$B$5001,$A$79,BD!$H$3:$H$5001,"&lt;&gt;")=0,"",SUMIFS(BD!$H$3:$H$5001,BD!$A$3:$A$5001,W$3,BD!$B$3:$B$5001,$A$79)))</f>
        <v/>
      </c>
      <c r="X84" s="187" t="str">
        <f>IF(X$3="","",IF(COUNTIFS(BD!$A$3:$A$5001,X$3,BD!$B$3:$B$5001,$A$79,BD!$H$3:$H$5001,"&lt;&gt;")=0,"",SUMIFS(BD!$H$3:$H$5001,BD!$A$3:$A$5001,X$3,BD!$B$3:$B$5001,$A$79)))</f>
        <v/>
      </c>
      <c r="Y84" s="187" t="str">
        <f>IF(Y$3="","",IF(COUNTIFS(BD!$A$3:$A$5001,Y$3,BD!$B$3:$B$5001,$A$79,BD!$H$3:$H$5001,"&lt;&gt;")=0,"",SUMIFS(BD!$H$3:$H$5001,BD!$A$3:$A$5001,Y$3,BD!$B$3:$B$5001,$A$79)))</f>
        <v/>
      </c>
      <c r="Z84" s="187" t="str">
        <f>IF(Z$3="","",IF(COUNTIFS(BD!$A$3:$A$5001,Z$3,BD!$B$3:$B$5001,$A$79,BD!$H$3:$H$5001,"&lt;&gt;")=0,"",SUMIFS(BD!$H$3:$H$5001,BD!$A$3:$A$5001,Z$3,BD!$B$3:$B$5001,$A$79)))</f>
        <v/>
      </c>
      <c r="AA84" s="187" t="str">
        <f>IF(AA$3="","",IF(COUNTIFS(BD!$A$3:$A$5001,AA$3,BD!$B$3:$B$5001,$A$79,BD!$H$3:$H$5001,"&lt;&gt;")=0,"",SUMIFS(BD!$H$3:$H$5001,BD!$A$3:$A$5001,AA$3,BD!$B$3:$B$5001,$A$79)))</f>
        <v/>
      </c>
      <c r="AB84" s="187" t="str">
        <f>IF(AB$3="","",IF(COUNTIFS(BD!$A$3:$A$5001,AB$3,BD!$B$3:$B$5001,$A$79,BD!$H$3:$H$5001,"&lt;&gt;")=0,"",SUMIFS(BD!$H$3:$H$5001,BD!$A$3:$A$5001,AB$3,BD!$B$3:$B$5001,$A$79)))</f>
        <v/>
      </c>
      <c r="AC84" s="187" t="str">
        <f>IF(AC$3="","",IF(COUNTIFS(BD!$A$3:$A$5001,AC$3,BD!$B$3:$B$5001,$A$79,BD!$H$3:$H$5001,"&lt;&gt;")=0,"",SUMIFS(BD!$H$3:$H$5001,BD!$A$3:$A$5001,AC$3,BD!$B$3:$B$5001,$A$79)))</f>
        <v/>
      </c>
      <c r="AD84" s="187" t="str">
        <f>IF(AD$3="","",IF(COUNTIFS(BD!$A$3:$A$5001,AD$3,BD!$B$3:$B$5001,$A$79,BD!$H$3:$H$5001,"&lt;&gt;")=0,"",SUMIFS(BD!$H$3:$H$5001,BD!$A$3:$A$5001,AD$3,BD!$B$3:$B$5001,$A$79)))</f>
        <v/>
      </c>
      <c r="AE84" s="187" t="str">
        <f>IF(AE$3="","",IF(COUNTIFS(BD!$A$3:$A$5001,AE$3,BD!$B$3:$B$5001,$A$79,BD!$H$3:$H$5001,"&lt;&gt;")=0,"",SUMIFS(BD!$H$3:$H$5001,BD!$A$3:$A$5001,AE$3,BD!$B$3:$B$5001,$A$79)))</f>
        <v/>
      </c>
      <c r="AF84" s="187" t="str">
        <f>IF(AF$3="","",IF(COUNTIFS(BD!$A$3:$A$5001,AF$3,BD!$B$3:$B$5001,$A$79,BD!$H$3:$H$5001,"&lt;&gt;")=0,"",SUMIFS(BD!$H$3:$H$5001,BD!$A$3:$A$5001,AF$3,BD!$B$3:$B$5001,$A$79)))</f>
        <v/>
      </c>
      <c r="AG84" s="187" t="str">
        <f>IF(AG$3="","",IF(COUNTIFS(BD!$A$3:$A$5001,AG$3,BD!$B$3:$B$5001,$A$79,BD!$H$3:$H$5001,"&lt;&gt;")=0,"",SUMIFS(BD!$H$3:$H$5001,BD!$A$3:$A$5001,AG$3,BD!$B$3:$B$5001,$A$79)))</f>
        <v/>
      </c>
      <c r="AH84" s="187" t="str">
        <f>IF(AH$3="","",IF(COUNTIFS(BD!$A$3:$A$5001,AH$3,BD!$B$3:$B$5001,$A$79,BD!$H$3:$H$5001,"&lt;&gt;")=0,"",SUMIFS(BD!$H$3:$H$5001,BD!$A$3:$A$5001,AH$3,BD!$B$3:$B$5001,$A$79)))</f>
        <v/>
      </c>
      <c r="AI84" s="187" t="str">
        <f>IF(AI$3="","",IF(COUNTIFS(BD!$A$3:$A$5001,AI$3,BD!$B$3:$B$5001,$A$79,BD!$H$3:$H$5001,"&lt;&gt;")=0,"",SUMIFS(BD!$H$3:$H$5001,BD!$A$3:$A$5001,AI$3,BD!$B$3:$B$5001,$A$79)))</f>
        <v/>
      </c>
      <c r="AJ84" s="188" t="str">
        <f>IF(AJ$3="","",IF(COUNTIFS(BD!$A$3:$A$5001,AJ$3,BD!$B$3:$B$5001,$A$79,BD!$H$3:$H$5001,"&lt;&gt;")=0,"",SUMIFS(BD!$H$3:$H$5001,BD!$A$3:$A$5001,AJ$3,BD!$B$3:$B$5001,$A$79)))</f>
        <v/>
      </c>
      <c r="AK84" s="189" t="str">
        <f>IF(COUNT(F84:AJ84)=0,"",SUM(F84:AJ84))</f>
        <v/>
      </c>
    </row>
    <row r="85" ht="15.75" customHeight="1">
      <c r="A85" s="247"/>
      <c r="B85" s="240" t="inlineStr">
        <is>
          <t xml:space="preserve">NC</t>
        </is>
      </c>
      <c r="C85" s="190" t="inlineStr">
        <is>
          <t xml:space="preserve">Incidentes</t>
        </is>
      </c>
      <c r="D85" s="191" t="str">
        <f>IFERROR(1/(1/INDEX(BD!$Y$29:$AD$29,MATCH($A$79,BD!$Y$22:$AD$22,0))),"")</f>
        <v/>
      </c>
      <c r="E85" s="192"/>
      <c r="F85" s="193" t="str">
        <f>IF(F$3="","",IF(COUNTIFS(BD!$A$3:$A$5001,F$3,BD!$B$3:$B$5001,$A$79,BD!$I$3:$I$5001,"&lt;&gt;")=0,"",SUMIFS(BD!$I$3:$I$5001,BD!$A$3:$A$5001,F$3,BD!$B$3:$B$5001,$A$79)))</f>
        <v/>
      </c>
      <c r="G85" s="194" t="str">
        <f>IF(G$3="","",IF(COUNTIFS(BD!$A$3:$A$5001,G$3,BD!$B$3:$B$5001,$A$79,BD!$I$3:$I$5001,"&lt;&gt;")=0,"",SUMIFS(BD!$I$3:$I$5001,BD!$A$3:$A$5001,G$3,BD!$B$3:$B$5001,$A$79)))</f>
        <v/>
      </c>
      <c r="H85" s="194" t="str">
        <f>IF(H$3="","",IF(COUNTIFS(BD!$A$3:$A$5001,H$3,BD!$B$3:$B$5001,$A$79,BD!$I$3:$I$5001,"&lt;&gt;")=0,"",SUMIFS(BD!$I$3:$I$5001,BD!$A$3:$A$5001,H$3,BD!$B$3:$B$5001,$A$79)))</f>
        <v/>
      </c>
      <c r="I85" s="194" t="str">
        <f>IF(I$3="","",IF(COUNTIFS(BD!$A$3:$A$5001,I$3,BD!$B$3:$B$5001,$A$79,BD!$I$3:$I$5001,"&lt;&gt;")=0,"",SUMIFS(BD!$I$3:$I$5001,BD!$A$3:$A$5001,I$3,BD!$B$3:$B$5001,$A$79)))</f>
        <v/>
      </c>
      <c r="J85" s="194" t="str">
        <f>IF(J$3="","",IF(COUNTIFS(BD!$A$3:$A$5001,J$3,BD!$B$3:$B$5001,$A$79,BD!$I$3:$I$5001,"&lt;&gt;")=0,"",SUMIFS(BD!$I$3:$I$5001,BD!$A$3:$A$5001,J$3,BD!$B$3:$B$5001,$A$79)))</f>
        <v/>
      </c>
      <c r="K85" s="194" t="str">
        <f>IF(K$3="","",IF(COUNTIFS(BD!$A$3:$A$5001,K$3,BD!$B$3:$B$5001,$A$79,BD!$I$3:$I$5001,"&lt;&gt;")=0,"",SUMIFS(BD!$I$3:$I$5001,BD!$A$3:$A$5001,K$3,BD!$B$3:$B$5001,$A$79)))</f>
        <v/>
      </c>
      <c r="L85" s="194" t="str">
        <f>IF(L$3="","",IF(COUNTIFS(BD!$A$3:$A$5001,L$3,BD!$B$3:$B$5001,$A$79,BD!$I$3:$I$5001,"&lt;&gt;")=0,"",SUMIFS(BD!$I$3:$I$5001,BD!$A$3:$A$5001,L$3,BD!$B$3:$B$5001,$A$79)))</f>
        <v/>
      </c>
      <c r="M85" s="194" t="str">
        <f>IF(M$3="","",IF(COUNTIFS(BD!$A$3:$A$5001,M$3,BD!$B$3:$B$5001,$A$79,BD!$I$3:$I$5001,"&lt;&gt;")=0,"",SUMIFS(BD!$I$3:$I$5001,BD!$A$3:$A$5001,M$3,BD!$B$3:$B$5001,$A$79)))</f>
        <v/>
      </c>
      <c r="N85" s="194" t="str">
        <f>IF(N$3="","",IF(COUNTIFS(BD!$A$3:$A$5001,N$3,BD!$B$3:$B$5001,$A$79,BD!$I$3:$I$5001,"&lt;&gt;")=0,"",SUMIFS(BD!$I$3:$I$5001,BD!$A$3:$A$5001,N$3,BD!$B$3:$B$5001,$A$79)))</f>
        <v/>
      </c>
      <c r="O85" s="194" t="str">
        <f>IF(O$3="","",IF(COUNTIFS(BD!$A$3:$A$5001,O$3,BD!$B$3:$B$5001,$A$79,BD!$I$3:$I$5001,"&lt;&gt;")=0,"",SUMIFS(BD!$I$3:$I$5001,BD!$A$3:$A$5001,O$3,BD!$B$3:$B$5001,$A$79)))</f>
        <v/>
      </c>
      <c r="P85" s="194" t="str">
        <f>IF(P$3="","",IF(COUNTIFS(BD!$A$3:$A$5001,P$3,BD!$B$3:$B$5001,$A$79,BD!$I$3:$I$5001,"&lt;&gt;")=0,"",SUMIFS(BD!$I$3:$I$5001,BD!$A$3:$A$5001,P$3,BD!$B$3:$B$5001,$A$79)))</f>
        <v/>
      </c>
      <c r="Q85" s="194" t="str">
        <f>IF(Q$3="","",IF(COUNTIFS(BD!$A$3:$A$5001,Q$3,BD!$B$3:$B$5001,$A$79,BD!$I$3:$I$5001,"&lt;&gt;")=0,"",SUMIFS(BD!$I$3:$I$5001,BD!$A$3:$A$5001,Q$3,BD!$B$3:$B$5001,$A$79)))</f>
        <v/>
      </c>
      <c r="R85" s="194" t="str">
        <f>IF(R$3="","",IF(COUNTIFS(BD!$A$3:$A$5001,R$3,BD!$B$3:$B$5001,$A$79,BD!$I$3:$I$5001,"&lt;&gt;")=0,"",SUMIFS(BD!$I$3:$I$5001,BD!$A$3:$A$5001,R$3,BD!$B$3:$B$5001,$A$79)))</f>
        <v/>
      </c>
      <c r="S85" s="194" t="str">
        <f>IF(S$3="","",IF(COUNTIFS(BD!$A$3:$A$5001,S$3,BD!$B$3:$B$5001,$A$79,BD!$I$3:$I$5001,"&lt;&gt;")=0,"",SUMIFS(BD!$I$3:$I$5001,BD!$A$3:$A$5001,S$3,BD!$B$3:$B$5001,$A$79)))</f>
        <v/>
      </c>
      <c r="T85" s="194" t="str">
        <f>IF(T$3="","",IF(COUNTIFS(BD!$A$3:$A$5001,T$3,BD!$B$3:$B$5001,$A$79,BD!$I$3:$I$5001,"&lt;&gt;")=0,"",SUMIFS(BD!$I$3:$I$5001,BD!$A$3:$A$5001,T$3,BD!$B$3:$B$5001,$A$79)))</f>
        <v/>
      </c>
      <c r="U85" s="194" t="str">
        <f>IF(U$3="","",IF(COUNTIFS(BD!$A$3:$A$5001,U$3,BD!$B$3:$B$5001,$A$79,BD!$I$3:$I$5001,"&lt;&gt;")=0,"",SUMIFS(BD!$I$3:$I$5001,BD!$A$3:$A$5001,U$3,BD!$B$3:$B$5001,$A$79)))</f>
        <v/>
      </c>
      <c r="V85" s="194" t="str">
        <f>IF(V$3="","",IF(COUNTIFS(BD!$A$3:$A$5001,V$3,BD!$B$3:$B$5001,$A$79,BD!$I$3:$I$5001,"&lt;&gt;")=0,"",SUMIFS(BD!$I$3:$I$5001,BD!$A$3:$A$5001,V$3,BD!$B$3:$B$5001,$A$79)))</f>
        <v/>
      </c>
      <c r="W85" s="194" t="str">
        <f>IF(W$3="","",IF(COUNTIFS(BD!$A$3:$A$5001,W$3,BD!$B$3:$B$5001,$A$79,BD!$I$3:$I$5001,"&lt;&gt;")=0,"",SUMIFS(BD!$I$3:$I$5001,BD!$A$3:$A$5001,W$3,BD!$B$3:$B$5001,$A$79)))</f>
        <v/>
      </c>
      <c r="X85" s="194" t="str">
        <f>IF(X$3="","",IF(COUNTIFS(BD!$A$3:$A$5001,X$3,BD!$B$3:$B$5001,$A$79,BD!$I$3:$I$5001,"&lt;&gt;")=0,"",SUMIFS(BD!$I$3:$I$5001,BD!$A$3:$A$5001,X$3,BD!$B$3:$B$5001,$A$79)))</f>
        <v/>
      </c>
      <c r="Y85" s="194" t="str">
        <f>IF(Y$3="","",IF(COUNTIFS(BD!$A$3:$A$5001,Y$3,BD!$B$3:$B$5001,$A$79,BD!$I$3:$I$5001,"&lt;&gt;")=0,"",SUMIFS(BD!$I$3:$I$5001,BD!$A$3:$A$5001,Y$3,BD!$B$3:$B$5001,$A$79)))</f>
        <v/>
      </c>
      <c r="Z85" s="194" t="str">
        <f>IF(Z$3="","",IF(COUNTIFS(BD!$A$3:$A$5001,Z$3,BD!$B$3:$B$5001,$A$79,BD!$I$3:$I$5001,"&lt;&gt;")=0,"",SUMIFS(BD!$I$3:$I$5001,BD!$A$3:$A$5001,Z$3,BD!$B$3:$B$5001,$A$79)))</f>
        <v/>
      </c>
      <c r="AA85" s="194" t="str">
        <f>IF(AA$3="","",IF(COUNTIFS(BD!$A$3:$A$5001,AA$3,BD!$B$3:$B$5001,$A$79,BD!$I$3:$I$5001,"&lt;&gt;")=0,"",SUMIFS(BD!$I$3:$I$5001,BD!$A$3:$A$5001,AA$3,BD!$B$3:$B$5001,$A$79)))</f>
        <v/>
      </c>
      <c r="AB85" s="194" t="str">
        <f>IF(AB$3="","",IF(COUNTIFS(BD!$A$3:$A$5001,AB$3,BD!$B$3:$B$5001,$A$79,BD!$I$3:$I$5001,"&lt;&gt;")=0,"",SUMIFS(BD!$I$3:$I$5001,BD!$A$3:$A$5001,AB$3,BD!$B$3:$B$5001,$A$79)))</f>
        <v/>
      </c>
      <c r="AC85" s="194" t="str">
        <f>IF(AC$3="","",IF(COUNTIFS(BD!$A$3:$A$5001,AC$3,BD!$B$3:$B$5001,$A$79,BD!$I$3:$I$5001,"&lt;&gt;")=0,"",SUMIFS(BD!$I$3:$I$5001,BD!$A$3:$A$5001,AC$3,BD!$B$3:$B$5001,$A$79)))</f>
        <v/>
      </c>
      <c r="AD85" s="194" t="str">
        <f>IF(AD$3="","",IF(COUNTIFS(BD!$A$3:$A$5001,AD$3,BD!$B$3:$B$5001,$A$79,BD!$I$3:$I$5001,"&lt;&gt;")=0,"",SUMIFS(BD!$I$3:$I$5001,BD!$A$3:$A$5001,AD$3,BD!$B$3:$B$5001,$A$79)))</f>
        <v/>
      </c>
      <c r="AE85" s="194" t="str">
        <f>IF(AE$3="","",IF(COUNTIFS(BD!$A$3:$A$5001,AE$3,BD!$B$3:$B$5001,$A$79,BD!$I$3:$I$5001,"&lt;&gt;")=0,"",SUMIFS(BD!$I$3:$I$5001,BD!$A$3:$A$5001,AE$3,BD!$B$3:$B$5001,$A$79)))</f>
        <v/>
      </c>
      <c r="AF85" s="194" t="str">
        <f>IF(AF$3="","",IF(COUNTIFS(BD!$A$3:$A$5001,AF$3,BD!$B$3:$B$5001,$A$79,BD!$I$3:$I$5001,"&lt;&gt;")=0,"",SUMIFS(BD!$I$3:$I$5001,BD!$A$3:$A$5001,AF$3,BD!$B$3:$B$5001,$A$79)))</f>
        <v/>
      </c>
      <c r="AG85" s="194" t="str">
        <f>IF(AG$3="","",IF(COUNTIFS(BD!$A$3:$A$5001,AG$3,BD!$B$3:$B$5001,$A$79,BD!$I$3:$I$5001,"&lt;&gt;")=0,"",SUMIFS(BD!$I$3:$I$5001,BD!$A$3:$A$5001,AG$3,BD!$B$3:$B$5001,$A$79)))</f>
        <v/>
      </c>
      <c r="AH85" s="194" t="str">
        <f>IF(AH$3="","",IF(COUNTIFS(BD!$A$3:$A$5001,AH$3,BD!$B$3:$B$5001,$A$79,BD!$I$3:$I$5001,"&lt;&gt;")=0,"",SUMIFS(BD!$I$3:$I$5001,BD!$A$3:$A$5001,AH$3,BD!$B$3:$B$5001,$A$79)))</f>
        <v/>
      </c>
      <c r="AI85" s="194" t="str">
        <f>IF(AI$3="","",IF(COUNTIFS(BD!$A$3:$A$5001,AI$3,BD!$B$3:$B$5001,$A$79,BD!$I$3:$I$5001,"&lt;&gt;")=0,"",SUMIFS(BD!$I$3:$I$5001,BD!$A$3:$A$5001,AI$3,BD!$B$3:$B$5001,$A$79)))</f>
        <v/>
      </c>
      <c r="AJ85" s="195" t="str">
        <f>IF(AJ$3="","",IF(COUNTIFS(BD!$A$3:$A$5001,AJ$3,BD!$B$3:$B$5001,$A$79,BD!$I$3:$I$5001,"&lt;&gt;")=0,"",SUMIFS(BD!$I$3:$I$5001,BD!$A$3:$A$5001,AJ$3,BD!$B$3:$B$5001,$A$79)))</f>
        <v/>
      </c>
      <c r="AK85" s="196" t="str">
        <f>IF(COUNT(F85:AJ85)=0,"",SUM(F85:AJ85))</f>
        <v/>
      </c>
    </row>
    <row r="86" ht="15.75" customHeight="1">
      <c r="A86" s="247"/>
      <c r="B86" s="241"/>
      <c r="C86" s="197" t="inlineStr">
        <is>
          <t xml:space="preserve">No show</t>
        </is>
      </c>
      <c r="D86" s="198" t="str">
        <f>IFERROR(1/(1/INDEX(BD!$Y$30:$AD$30,MATCH($A$79,BD!$Y$22:$AD$22,0))),"")</f>
        <v/>
      </c>
      <c r="E86" s="199"/>
      <c r="F86" s="200" t="str">
        <f>IF(F$3="","",IF(COUNTIFS(BD!$A$3:$A$5001,F$3,BD!$B$3:$B$5001,$A$79,BD!$J$3:$J$5001,"&lt;&gt;")=0,"",SUMIFS(BD!$J$3:$J$5001,BD!$A$3:$A$5001,F$3,BD!$B$3:$B$5001,$A$79)))</f>
        <v/>
      </c>
      <c r="G86" s="201" t="str">
        <f>IF(G$3="","",IF(COUNTIFS(BD!$A$3:$A$5001,G$3,BD!$B$3:$B$5001,$A$79,BD!$J$3:$J$5001,"&lt;&gt;")=0,"",SUMIFS(BD!$J$3:$J$5001,BD!$A$3:$A$5001,G$3,BD!$B$3:$B$5001,$A$79)))</f>
        <v/>
      </c>
      <c r="H86" s="201" t="str">
        <f>IF(H$3="","",IF(COUNTIFS(BD!$A$3:$A$5001,H$3,BD!$B$3:$B$5001,$A$79,BD!$J$3:$J$5001,"&lt;&gt;")=0,"",SUMIFS(BD!$J$3:$J$5001,BD!$A$3:$A$5001,H$3,BD!$B$3:$B$5001,$A$79)))</f>
        <v/>
      </c>
      <c r="I86" s="201" t="str">
        <f>IF(I$3="","",IF(COUNTIFS(BD!$A$3:$A$5001,I$3,BD!$B$3:$B$5001,$A$79,BD!$J$3:$J$5001,"&lt;&gt;")=0,"",SUMIFS(BD!$J$3:$J$5001,BD!$A$3:$A$5001,I$3,BD!$B$3:$B$5001,$A$79)))</f>
        <v/>
      </c>
      <c r="J86" s="201" t="str">
        <f>IF(J$3="","",IF(COUNTIFS(BD!$A$3:$A$5001,J$3,BD!$B$3:$B$5001,$A$79,BD!$J$3:$J$5001,"&lt;&gt;")=0,"",SUMIFS(BD!$J$3:$J$5001,BD!$A$3:$A$5001,J$3,BD!$B$3:$B$5001,$A$79)))</f>
        <v/>
      </c>
      <c r="K86" s="201" t="str">
        <f>IF(K$3="","",IF(COUNTIFS(BD!$A$3:$A$5001,K$3,BD!$B$3:$B$5001,$A$79,BD!$J$3:$J$5001,"&lt;&gt;")=0,"",SUMIFS(BD!$J$3:$J$5001,BD!$A$3:$A$5001,K$3,BD!$B$3:$B$5001,$A$79)))</f>
        <v/>
      </c>
      <c r="L86" s="201" t="str">
        <f>IF(L$3="","",IF(COUNTIFS(BD!$A$3:$A$5001,L$3,BD!$B$3:$B$5001,$A$79,BD!$J$3:$J$5001,"&lt;&gt;")=0,"",SUMIFS(BD!$J$3:$J$5001,BD!$A$3:$A$5001,L$3,BD!$B$3:$B$5001,$A$79)))</f>
        <v/>
      </c>
      <c r="M86" s="201" t="str">
        <f>IF(M$3="","",IF(COUNTIFS(BD!$A$3:$A$5001,M$3,BD!$B$3:$B$5001,$A$79,BD!$J$3:$J$5001,"&lt;&gt;")=0,"",SUMIFS(BD!$J$3:$J$5001,BD!$A$3:$A$5001,M$3,BD!$B$3:$B$5001,$A$79)))</f>
        <v/>
      </c>
      <c r="N86" s="201" t="str">
        <f>IF(N$3="","",IF(COUNTIFS(BD!$A$3:$A$5001,N$3,BD!$B$3:$B$5001,$A$79,BD!$J$3:$J$5001,"&lt;&gt;")=0,"",SUMIFS(BD!$J$3:$J$5001,BD!$A$3:$A$5001,N$3,BD!$B$3:$B$5001,$A$79)))</f>
        <v/>
      </c>
      <c r="O86" s="201" t="str">
        <f>IF(O$3="","",IF(COUNTIFS(BD!$A$3:$A$5001,O$3,BD!$B$3:$B$5001,$A$79,BD!$J$3:$J$5001,"&lt;&gt;")=0,"",SUMIFS(BD!$J$3:$J$5001,BD!$A$3:$A$5001,O$3,BD!$B$3:$B$5001,$A$79)))</f>
        <v/>
      </c>
      <c r="P86" s="201" t="str">
        <f>IF(P$3="","",IF(COUNTIFS(BD!$A$3:$A$5001,P$3,BD!$B$3:$B$5001,$A$79,BD!$J$3:$J$5001,"&lt;&gt;")=0,"",SUMIFS(BD!$J$3:$J$5001,BD!$A$3:$A$5001,P$3,BD!$B$3:$B$5001,$A$79)))</f>
        <v/>
      </c>
      <c r="Q86" s="201" t="str">
        <f>IF(Q$3="","",IF(COUNTIFS(BD!$A$3:$A$5001,Q$3,BD!$B$3:$B$5001,$A$79,BD!$J$3:$J$5001,"&lt;&gt;")=0,"",SUMIFS(BD!$J$3:$J$5001,BD!$A$3:$A$5001,Q$3,BD!$B$3:$B$5001,$A$79)))</f>
        <v/>
      </c>
      <c r="R86" s="201" t="str">
        <f>IF(R$3="","",IF(COUNTIFS(BD!$A$3:$A$5001,R$3,BD!$B$3:$B$5001,$A$79,BD!$J$3:$J$5001,"&lt;&gt;")=0,"",SUMIFS(BD!$J$3:$J$5001,BD!$A$3:$A$5001,R$3,BD!$B$3:$B$5001,$A$79)))</f>
        <v/>
      </c>
      <c r="S86" s="201" t="str">
        <f>IF(S$3="","",IF(COUNTIFS(BD!$A$3:$A$5001,S$3,BD!$B$3:$B$5001,$A$79,BD!$J$3:$J$5001,"&lt;&gt;")=0,"",SUMIFS(BD!$J$3:$J$5001,BD!$A$3:$A$5001,S$3,BD!$B$3:$B$5001,$A$79)))</f>
        <v/>
      </c>
      <c r="T86" s="201" t="str">
        <f>IF(T$3="","",IF(COUNTIFS(BD!$A$3:$A$5001,T$3,BD!$B$3:$B$5001,$A$79,BD!$J$3:$J$5001,"&lt;&gt;")=0,"",SUMIFS(BD!$J$3:$J$5001,BD!$A$3:$A$5001,T$3,BD!$B$3:$B$5001,$A$79)))</f>
        <v/>
      </c>
      <c r="U86" s="201" t="str">
        <f>IF(U$3="","",IF(COUNTIFS(BD!$A$3:$A$5001,U$3,BD!$B$3:$B$5001,$A$79,BD!$J$3:$J$5001,"&lt;&gt;")=0,"",SUMIFS(BD!$J$3:$J$5001,BD!$A$3:$A$5001,U$3,BD!$B$3:$B$5001,$A$79)))</f>
        <v/>
      </c>
      <c r="V86" s="201" t="str">
        <f>IF(V$3="","",IF(COUNTIFS(BD!$A$3:$A$5001,V$3,BD!$B$3:$B$5001,$A$79,BD!$J$3:$J$5001,"&lt;&gt;")=0,"",SUMIFS(BD!$J$3:$J$5001,BD!$A$3:$A$5001,V$3,BD!$B$3:$B$5001,$A$79)))</f>
        <v/>
      </c>
      <c r="W86" s="201" t="str">
        <f>IF(W$3="","",IF(COUNTIFS(BD!$A$3:$A$5001,W$3,BD!$B$3:$B$5001,$A$79,BD!$J$3:$J$5001,"&lt;&gt;")=0,"",SUMIFS(BD!$J$3:$J$5001,BD!$A$3:$A$5001,W$3,BD!$B$3:$B$5001,$A$79)))</f>
        <v/>
      </c>
      <c r="X86" s="201" t="str">
        <f>IF(X$3="","",IF(COUNTIFS(BD!$A$3:$A$5001,X$3,BD!$B$3:$B$5001,$A$79,BD!$J$3:$J$5001,"&lt;&gt;")=0,"",SUMIFS(BD!$J$3:$J$5001,BD!$A$3:$A$5001,X$3,BD!$B$3:$B$5001,$A$79)))</f>
        <v/>
      </c>
      <c r="Y86" s="201" t="str">
        <f>IF(Y$3="","",IF(COUNTIFS(BD!$A$3:$A$5001,Y$3,BD!$B$3:$B$5001,$A$79,BD!$J$3:$J$5001,"&lt;&gt;")=0,"",SUMIFS(BD!$J$3:$J$5001,BD!$A$3:$A$5001,Y$3,BD!$B$3:$B$5001,$A$79)))</f>
        <v/>
      </c>
      <c r="Z86" s="201" t="str">
        <f>IF(Z$3="","",IF(COUNTIFS(BD!$A$3:$A$5001,Z$3,BD!$B$3:$B$5001,$A$79,BD!$J$3:$J$5001,"&lt;&gt;")=0,"",SUMIFS(BD!$J$3:$J$5001,BD!$A$3:$A$5001,Z$3,BD!$B$3:$B$5001,$A$79)))</f>
        <v/>
      </c>
      <c r="AA86" s="201" t="str">
        <f>IF(AA$3="","",IF(COUNTIFS(BD!$A$3:$A$5001,AA$3,BD!$B$3:$B$5001,$A$79,BD!$J$3:$J$5001,"&lt;&gt;")=0,"",SUMIFS(BD!$J$3:$J$5001,BD!$A$3:$A$5001,AA$3,BD!$B$3:$B$5001,$A$79)))</f>
        <v/>
      </c>
      <c r="AB86" s="201" t="str">
        <f>IF(AB$3="","",IF(COUNTIFS(BD!$A$3:$A$5001,AB$3,BD!$B$3:$B$5001,$A$79,BD!$J$3:$J$5001,"&lt;&gt;")=0,"",SUMIFS(BD!$J$3:$J$5001,BD!$A$3:$A$5001,AB$3,BD!$B$3:$B$5001,$A$79)))</f>
        <v/>
      </c>
      <c r="AC86" s="201" t="str">
        <f>IF(AC$3="","",IF(COUNTIFS(BD!$A$3:$A$5001,AC$3,BD!$B$3:$B$5001,$A$79,BD!$J$3:$J$5001,"&lt;&gt;")=0,"",SUMIFS(BD!$J$3:$J$5001,BD!$A$3:$A$5001,AC$3,BD!$B$3:$B$5001,$A$79)))</f>
        <v/>
      </c>
      <c r="AD86" s="201" t="str">
        <f>IF(AD$3="","",IF(COUNTIFS(BD!$A$3:$A$5001,AD$3,BD!$B$3:$B$5001,$A$79,BD!$J$3:$J$5001,"&lt;&gt;")=0,"",SUMIFS(BD!$J$3:$J$5001,BD!$A$3:$A$5001,AD$3,BD!$B$3:$B$5001,$A$79)))</f>
        <v/>
      </c>
      <c r="AE86" s="201" t="str">
        <f>IF(AE$3="","",IF(COUNTIFS(BD!$A$3:$A$5001,AE$3,BD!$B$3:$B$5001,$A$79,BD!$J$3:$J$5001,"&lt;&gt;")=0,"",SUMIFS(BD!$J$3:$J$5001,BD!$A$3:$A$5001,AE$3,BD!$B$3:$B$5001,$A$79)))</f>
        <v/>
      </c>
      <c r="AF86" s="201" t="str">
        <f>IF(AF$3="","",IF(COUNTIFS(BD!$A$3:$A$5001,AF$3,BD!$B$3:$B$5001,$A$79,BD!$J$3:$J$5001,"&lt;&gt;")=0,"",SUMIFS(BD!$J$3:$J$5001,BD!$A$3:$A$5001,AF$3,BD!$B$3:$B$5001,$A$79)))</f>
        <v/>
      </c>
      <c r="AG86" s="201" t="str">
        <f>IF(AG$3="","",IF(COUNTIFS(BD!$A$3:$A$5001,AG$3,BD!$B$3:$B$5001,$A$79,BD!$J$3:$J$5001,"&lt;&gt;")=0,"",SUMIFS(BD!$J$3:$J$5001,BD!$A$3:$A$5001,AG$3,BD!$B$3:$B$5001,$A$79)))</f>
        <v/>
      </c>
      <c r="AH86" s="201" t="str">
        <f>IF(AH$3="","",IF(COUNTIFS(BD!$A$3:$A$5001,AH$3,BD!$B$3:$B$5001,$A$79,BD!$J$3:$J$5001,"&lt;&gt;")=0,"",SUMIFS(BD!$J$3:$J$5001,BD!$A$3:$A$5001,AH$3,BD!$B$3:$B$5001,$A$79)))</f>
        <v/>
      </c>
      <c r="AI86" s="201" t="str">
        <f>IF(AI$3="","",IF(COUNTIFS(BD!$A$3:$A$5001,AI$3,BD!$B$3:$B$5001,$A$79,BD!$J$3:$J$5001,"&lt;&gt;")=0,"",SUMIFS(BD!$J$3:$J$5001,BD!$A$3:$A$5001,AI$3,BD!$B$3:$B$5001,$A$79)))</f>
        <v/>
      </c>
      <c r="AJ86" s="202" t="str">
        <f>IF(AJ$3="","",IF(COUNTIFS(BD!$A$3:$A$5001,AJ$3,BD!$B$3:$B$5001,$A$79,BD!$J$3:$J$5001,"&lt;&gt;")=0,"",SUMIFS(BD!$J$3:$J$5001,BD!$A$3:$A$5001,AJ$3,BD!$B$3:$B$5001,$A$79)))</f>
        <v/>
      </c>
      <c r="AK86" s="203" t="str">
        <f>IF(COUNT(F86:AJ86)=0,"",SUM(F86:AJ86))</f>
        <v/>
      </c>
    </row>
    <row r="87" ht="15.75" customHeight="1">
      <c r="A87" s="247"/>
      <c r="B87" s="242"/>
      <c r="C87" s="204" t="inlineStr">
        <is>
          <t xml:space="preserve">Backlog</t>
        </is>
      </c>
      <c r="D87" s="205" t="str">
        <f>IFERROR(1/(1/INDEX(BD!$Y$31:$AD$31,MATCH($A$79,BD!$Y$22:$AD$22,0))),"")</f>
        <v/>
      </c>
      <c r="E87" s="206"/>
      <c r="F87" s="207" t="str">
        <f>IF(F$3="","",IF(COUNTIFS(BD!$A$3:$A$5001,F$3,BD!$B$3:$B$5001,$A$79,BD!$K$3:$K$5001,"&lt;&gt;")=0,"",SUMIFS(BD!$K$3:$K$5001,BD!$A$3:$A$5001,F$3,BD!$B$3:$B$5001,$A$79)))</f>
        <v/>
      </c>
      <c r="G87" s="208" t="str">
        <f>IF(G$3="","",IF(COUNTIFS(BD!$A$3:$A$5001,G$3,BD!$B$3:$B$5001,$A$79,BD!$K$3:$K$5001,"&lt;&gt;")=0,"",SUMIFS(BD!$K$3:$K$5001,BD!$A$3:$A$5001,G$3,BD!$B$3:$B$5001,$A$79)))</f>
        <v/>
      </c>
      <c r="H87" s="208" t="str">
        <f>IF(H$3="","",IF(COUNTIFS(BD!$A$3:$A$5001,H$3,BD!$B$3:$B$5001,$A$79,BD!$K$3:$K$5001,"&lt;&gt;")=0,"",SUMIFS(BD!$K$3:$K$5001,BD!$A$3:$A$5001,H$3,BD!$B$3:$B$5001,$A$79)))</f>
        <v/>
      </c>
      <c r="I87" s="208" t="str">
        <f>IF(I$3="","",IF(COUNTIFS(BD!$A$3:$A$5001,I$3,BD!$B$3:$B$5001,$A$79,BD!$K$3:$K$5001,"&lt;&gt;")=0,"",SUMIFS(BD!$K$3:$K$5001,BD!$A$3:$A$5001,I$3,BD!$B$3:$B$5001,$A$79)))</f>
        <v/>
      </c>
      <c r="J87" s="208" t="str">
        <f>IF(J$3="","",IF(COUNTIFS(BD!$A$3:$A$5001,J$3,BD!$B$3:$B$5001,$A$79,BD!$K$3:$K$5001,"&lt;&gt;")=0,"",SUMIFS(BD!$K$3:$K$5001,BD!$A$3:$A$5001,J$3,BD!$B$3:$B$5001,$A$79)))</f>
        <v/>
      </c>
      <c r="K87" s="208" t="str">
        <f>IF(K$3="","",IF(COUNTIFS(BD!$A$3:$A$5001,K$3,BD!$B$3:$B$5001,$A$79,BD!$K$3:$K$5001,"&lt;&gt;")=0,"",SUMIFS(BD!$K$3:$K$5001,BD!$A$3:$A$5001,K$3,BD!$B$3:$B$5001,$A$79)))</f>
        <v/>
      </c>
      <c r="L87" s="208" t="str">
        <f>IF(L$3="","",IF(COUNTIFS(BD!$A$3:$A$5001,L$3,BD!$B$3:$B$5001,$A$79,BD!$K$3:$K$5001,"&lt;&gt;")=0,"",SUMIFS(BD!$K$3:$K$5001,BD!$A$3:$A$5001,L$3,BD!$B$3:$B$5001,$A$79)))</f>
        <v/>
      </c>
      <c r="M87" s="208" t="str">
        <f>IF(M$3="","",IF(COUNTIFS(BD!$A$3:$A$5001,M$3,BD!$B$3:$B$5001,$A$79,BD!$K$3:$K$5001,"&lt;&gt;")=0,"",SUMIFS(BD!$K$3:$K$5001,BD!$A$3:$A$5001,M$3,BD!$B$3:$B$5001,$A$79)))</f>
        <v/>
      </c>
      <c r="N87" s="208" t="str">
        <f>IF(N$3="","",IF(COUNTIFS(BD!$A$3:$A$5001,N$3,BD!$B$3:$B$5001,$A$79,BD!$K$3:$K$5001,"&lt;&gt;")=0,"",SUMIFS(BD!$K$3:$K$5001,BD!$A$3:$A$5001,N$3,BD!$B$3:$B$5001,$A$79)))</f>
        <v/>
      </c>
      <c r="O87" s="208" t="str">
        <f>IF(O$3="","",IF(COUNTIFS(BD!$A$3:$A$5001,O$3,BD!$B$3:$B$5001,$A$79,BD!$K$3:$K$5001,"&lt;&gt;")=0,"",SUMIFS(BD!$K$3:$K$5001,BD!$A$3:$A$5001,O$3,BD!$B$3:$B$5001,$A$79)))</f>
        <v/>
      </c>
      <c r="P87" s="208" t="str">
        <f>IF(P$3="","",IF(COUNTIFS(BD!$A$3:$A$5001,P$3,BD!$B$3:$B$5001,$A$79,BD!$K$3:$K$5001,"&lt;&gt;")=0,"",SUMIFS(BD!$K$3:$K$5001,BD!$A$3:$A$5001,P$3,BD!$B$3:$B$5001,$A$79)))</f>
        <v/>
      </c>
      <c r="Q87" s="208" t="str">
        <f>IF(Q$3="","",IF(COUNTIFS(BD!$A$3:$A$5001,Q$3,BD!$B$3:$B$5001,$A$79,BD!$K$3:$K$5001,"&lt;&gt;")=0,"",SUMIFS(BD!$K$3:$K$5001,BD!$A$3:$A$5001,Q$3,BD!$B$3:$B$5001,$A$79)))</f>
        <v/>
      </c>
      <c r="R87" s="208" t="str">
        <f>IF(R$3="","",IF(COUNTIFS(BD!$A$3:$A$5001,R$3,BD!$B$3:$B$5001,$A$79,BD!$K$3:$K$5001,"&lt;&gt;")=0,"",SUMIFS(BD!$K$3:$K$5001,BD!$A$3:$A$5001,R$3,BD!$B$3:$B$5001,$A$79)))</f>
        <v/>
      </c>
      <c r="S87" s="208" t="str">
        <f>IF(S$3="","",IF(COUNTIFS(BD!$A$3:$A$5001,S$3,BD!$B$3:$B$5001,$A$79,BD!$K$3:$K$5001,"&lt;&gt;")=0,"",SUMIFS(BD!$K$3:$K$5001,BD!$A$3:$A$5001,S$3,BD!$B$3:$B$5001,$A$79)))</f>
        <v/>
      </c>
      <c r="T87" s="208" t="str">
        <f>IF(T$3="","",IF(COUNTIFS(BD!$A$3:$A$5001,T$3,BD!$B$3:$B$5001,$A$79,BD!$K$3:$K$5001,"&lt;&gt;")=0,"",SUMIFS(BD!$K$3:$K$5001,BD!$A$3:$A$5001,T$3,BD!$B$3:$B$5001,$A$79)))</f>
        <v/>
      </c>
      <c r="U87" s="208" t="str">
        <f>IF(U$3="","",IF(COUNTIFS(BD!$A$3:$A$5001,U$3,BD!$B$3:$B$5001,$A$79,BD!$K$3:$K$5001,"&lt;&gt;")=0,"",SUMIFS(BD!$K$3:$K$5001,BD!$A$3:$A$5001,U$3,BD!$B$3:$B$5001,$A$79)))</f>
        <v/>
      </c>
      <c r="V87" s="208" t="str">
        <f>IF(V$3="","",IF(COUNTIFS(BD!$A$3:$A$5001,V$3,BD!$B$3:$B$5001,$A$79,BD!$K$3:$K$5001,"&lt;&gt;")=0,"",SUMIFS(BD!$K$3:$K$5001,BD!$A$3:$A$5001,V$3,BD!$B$3:$B$5001,$A$79)))</f>
        <v/>
      </c>
      <c r="W87" s="208" t="str">
        <f>IF(W$3="","",IF(COUNTIFS(BD!$A$3:$A$5001,W$3,BD!$B$3:$B$5001,$A$79,BD!$K$3:$K$5001,"&lt;&gt;")=0,"",SUMIFS(BD!$K$3:$K$5001,BD!$A$3:$A$5001,W$3,BD!$B$3:$B$5001,$A$79)))</f>
        <v/>
      </c>
      <c r="X87" s="208" t="str">
        <f>IF(X$3="","",IF(COUNTIFS(BD!$A$3:$A$5001,X$3,BD!$B$3:$B$5001,$A$79,BD!$K$3:$K$5001,"&lt;&gt;")=0,"",SUMIFS(BD!$K$3:$K$5001,BD!$A$3:$A$5001,X$3,BD!$B$3:$B$5001,$A$79)))</f>
        <v/>
      </c>
      <c r="Y87" s="208" t="str">
        <f>IF(Y$3="","",IF(COUNTIFS(BD!$A$3:$A$5001,Y$3,BD!$B$3:$B$5001,$A$79,BD!$K$3:$K$5001,"&lt;&gt;")=0,"",SUMIFS(BD!$K$3:$K$5001,BD!$A$3:$A$5001,Y$3,BD!$B$3:$B$5001,$A$79)))</f>
        <v/>
      </c>
      <c r="Z87" s="208" t="str">
        <f>IF(Z$3="","",IF(COUNTIFS(BD!$A$3:$A$5001,Z$3,BD!$B$3:$B$5001,$A$79,BD!$K$3:$K$5001,"&lt;&gt;")=0,"",SUMIFS(BD!$K$3:$K$5001,BD!$A$3:$A$5001,Z$3,BD!$B$3:$B$5001,$A$79)))</f>
        <v/>
      </c>
      <c r="AA87" s="208" t="str">
        <f>IF(AA$3="","",IF(COUNTIFS(BD!$A$3:$A$5001,AA$3,BD!$B$3:$B$5001,$A$79,BD!$K$3:$K$5001,"&lt;&gt;")=0,"",SUMIFS(BD!$K$3:$K$5001,BD!$A$3:$A$5001,AA$3,BD!$B$3:$B$5001,$A$79)))</f>
        <v/>
      </c>
      <c r="AB87" s="208" t="str">
        <f>IF(AB$3="","",IF(COUNTIFS(BD!$A$3:$A$5001,AB$3,BD!$B$3:$B$5001,$A$79,BD!$K$3:$K$5001,"&lt;&gt;")=0,"",SUMIFS(BD!$K$3:$K$5001,BD!$A$3:$A$5001,AB$3,BD!$B$3:$B$5001,$A$79)))</f>
        <v/>
      </c>
      <c r="AC87" s="208" t="str">
        <f>IF(AC$3="","",IF(COUNTIFS(BD!$A$3:$A$5001,AC$3,BD!$B$3:$B$5001,$A$79,BD!$K$3:$K$5001,"&lt;&gt;")=0,"",SUMIFS(BD!$K$3:$K$5001,BD!$A$3:$A$5001,AC$3,BD!$B$3:$B$5001,$A$79)))</f>
        <v/>
      </c>
      <c r="AD87" s="208" t="str">
        <f>IF(AD$3="","",IF(COUNTIFS(BD!$A$3:$A$5001,AD$3,BD!$B$3:$B$5001,$A$79,BD!$K$3:$K$5001,"&lt;&gt;")=0,"",SUMIFS(BD!$K$3:$K$5001,BD!$A$3:$A$5001,AD$3,BD!$B$3:$B$5001,$A$79)))</f>
        <v/>
      </c>
      <c r="AE87" s="208" t="str">
        <f>IF(AE$3="","",IF(COUNTIFS(BD!$A$3:$A$5001,AE$3,BD!$B$3:$B$5001,$A$79,BD!$K$3:$K$5001,"&lt;&gt;")=0,"",SUMIFS(BD!$K$3:$K$5001,BD!$A$3:$A$5001,AE$3,BD!$B$3:$B$5001,$A$79)))</f>
        <v/>
      </c>
      <c r="AF87" s="208" t="str">
        <f>IF(AF$3="","",IF(COUNTIFS(BD!$A$3:$A$5001,AF$3,BD!$B$3:$B$5001,$A$79,BD!$K$3:$K$5001,"&lt;&gt;")=0,"",SUMIFS(BD!$K$3:$K$5001,BD!$A$3:$A$5001,AF$3,BD!$B$3:$B$5001,$A$79)))</f>
        <v/>
      </c>
      <c r="AG87" s="208" t="str">
        <f>IF(AG$3="","",IF(COUNTIFS(BD!$A$3:$A$5001,AG$3,BD!$B$3:$B$5001,$A$79,BD!$K$3:$K$5001,"&lt;&gt;")=0,"",SUMIFS(BD!$K$3:$K$5001,BD!$A$3:$A$5001,AG$3,BD!$B$3:$B$5001,$A$79)))</f>
        <v/>
      </c>
      <c r="AH87" s="208" t="str">
        <f>IF(AH$3="","",IF(COUNTIFS(BD!$A$3:$A$5001,AH$3,BD!$B$3:$B$5001,$A$79,BD!$K$3:$K$5001,"&lt;&gt;")=0,"",SUMIFS(BD!$K$3:$K$5001,BD!$A$3:$A$5001,AH$3,BD!$B$3:$B$5001,$A$79)))</f>
        <v/>
      </c>
      <c r="AI87" s="208" t="str">
        <f>IF(AI$3="","",IF(COUNTIFS(BD!$A$3:$A$5001,AI$3,BD!$B$3:$B$5001,$A$79,BD!$K$3:$K$5001,"&lt;&gt;")=0,"",SUMIFS(BD!$K$3:$K$5001,BD!$A$3:$A$5001,AI$3,BD!$B$3:$B$5001,$A$79)))</f>
        <v/>
      </c>
      <c r="AJ87" s="209" t="str">
        <f>IF(AJ$3="","",IF(COUNTIFS(BD!$A$3:$A$5001,AJ$3,BD!$B$3:$B$5001,$A$79,BD!$K$3:$K$5001,"&lt;&gt;")=0,"",SUMIFS(BD!$K$3:$K$5001,BD!$A$3:$A$5001,AJ$3,BD!$B$3:$B$5001,$A$79)))</f>
        <v/>
      </c>
      <c r="AK87" s="205" t="str">
        <f>IFERROR(LOOKUP(9.99E+307,F87:AJ87),"")</f>
        <v/>
      </c>
    </row>
    <row r="88" ht="15.75" customHeight="1">
      <c r="A88" s="247"/>
      <c r="B88" s="234" t="inlineStr">
        <is>
          <t xml:space="preserve">OCUPAÇÃO (P.P)</t>
        </is>
      </c>
      <c r="C88" s="148" t="inlineStr">
        <is>
          <t xml:space="preserve">Posições Disponíveis</t>
        </is>
      </c>
      <c r="D88" s="149" t="str">
        <f>IFERROR(1/(1/INDEX(BD!$Y$32:$AD$32,MATCH($A$79,BD!$Y$22:$AD$22,0))),"")</f>
        <v/>
      </c>
      <c r="E88" s="150"/>
      <c r="F88" s="151" t="str">
        <f>IF(F$3="","",IF(COUNTIFS(BD!$A$3:$A$5001,F$3,BD!$B$3:$B$5001,$A$79,BD!$L$3:$L$5001,"&lt;&gt;")=0,"",SUMIFS(BD!$L$3:$L$5001,BD!$A$3:$A$5001,F$3,BD!$B$3:$B$5001,$A$79)))</f>
        <v/>
      </c>
      <c r="G88" s="152" t="str">
        <f>IF(G$3="","",IF(COUNTIFS(BD!$A$3:$A$5001,G$3,BD!$B$3:$B$5001,$A$79,BD!$L$3:$L$5001,"&lt;&gt;")=0,"",SUMIFS(BD!$L$3:$L$5001,BD!$A$3:$A$5001,G$3,BD!$B$3:$B$5001,$A$79)))</f>
        <v/>
      </c>
      <c r="H88" s="152" t="str">
        <f>IF(H$3="","",IF(COUNTIFS(BD!$A$3:$A$5001,H$3,BD!$B$3:$B$5001,$A$79,BD!$L$3:$L$5001,"&lt;&gt;")=0,"",SUMIFS(BD!$L$3:$L$5001,BD!$A$3:$A$5001,H$3,BD!$B$3:$B$5001,$A$79)))</f>
        <v/>
      </c>
      <c r="I88" s="152" t="str">
        <f>IF(I$3="","",IF(COUNTIFS(BD!$A$3:$A$5001,I$3,BD!$B$3:$B$5001,$A$79,BD!$L$3:$L$5001,"&lt;&gt;")=0,"",SUMIFS(BD!$L$3:$L$5001,BD!$A$3:$A$5001,I$3,BD!$B$3:$B$5001,$A$79)))</f>
        <v/>
      </c>
      <c r="J88" s="152" t="str">
        <f>IF(J$3="","",IF(COUNTIFS(BD!$A$3:$A$5001,J$3,BD!$B$3:$B$5001,$A$79,BD!$L$3:$L$5001,"&lt;&gt;")=0,"",SUMIFS(BD!$L$3:$L$5001,BD!$A$3:$A$5001,J$3,BD!$B$3:$B$5001,$A$79)))</f>
        <v/>
      </c>
      <c r="K88" s="152" t="str">
        <f>IF(K$3="","",IF(COUNTIFS(BD!$A$3:$A$5001,K$3,BD!$B$3:$B$5001,$A$79,BD!$L$3:$L$5001,"&lt;&gt;")=0,"",SUMIFS(BD!$L$3:$L$5001,BD!$A$3:$A$5001,K$3,BD!$B$3:$B$5001,$A$79)))</f>
        <v/>
      </c>
      <c r="L88" s="152" t="str">
        <f>IF(L$3="","",IF(COUNTIFS(BD!$A$3:$A$5001,L$3,BD!$B$3:$B$5001,$A$79,BD!$L$3:$L$5001,"&lt;&gt;")=0,"",SUMIFS(BD!$L$3:$L$5001,BD!$A$3:$A$5001,L$3,BD!$B$3:$B$5001,$A$79)))</f>
        <v/>
      </c>
      <c r="M88" s="152" t="str">
        <f>IF(M$3="","",IF(COUNTIFS(BD!$A$3:$A$5001,M$3,BD!$B$3:$B$5001,$A$79,BD!$L$3:$L$5001,"&lt;&gt;")=0,"",SUMIFS(BD!$L$3:$L$5001,BD!$A$3:$A$5001,M$3,BD!$B$3:$B$5001,$A$79)))</f>
        <v/>
      </c>
      <c r="N88" s="152" t="str">
        <f>IF(N$3="","",IF(COUNTIFS(BD!$A$3:$A$5001,N$3,BD!$B$3:$B$5001,$A$79,BD!$L$3:$L$5001,"&lt;&gt;")=0,"",SUMIFS(BD!$L$3:$L$5001,BD!$A$3:$A$5001,N$3,BD!$B$3:$B$5001,$A$79)))</f>
        <v/>
      </c>
      <c r="O88" s="152" t="str">
        <f>IF(O$3="","",IF(COUNTIFS(BD!$A$3:$A$5001,O$3,BD!$B$3:$B$5001,$A$79,BD!$L$3:$L$5001,"&lt;&gt;")=0,"",SUMIFS(BD!$L$3:$L$5001,BD!$A$3:$A$5001,O$3,BD!$B$3:$B$5001,$A$79)))</f>
        <v/>
      </c>
      <c r="P88" s="152" t="str">
        <f>IF(P$3="","",IF(COUNTIFS(BD!$A$3:$A$5001,P$3,BD!$B$3:$B$5001,$A$79,BD!$L$3:$L$5001,"&lt;&gt;")=0,"",SUMIFS(BD!$L$3:$L$5001,BD!$A$3:$A$5001,P$3,BD!$B$3:$B$5001,$A$79)))</f>
        <v/>
      </c>
      <c r="Q88" s="152" t="str">
        <f>IF(Q$3="","",IF(COUNTIFS(BD!$A$3:$A$5001,Q$3,BD!$B$3:$B$5001,$A$79,BD!$L$3:$L$5001,"&lt;&gt;")=0,"",SUMIFS(BD!$L$3:$L$5001,BD!$A$3:$A$5001,Q$3,BD!$B$3:$B$5001,$A$79)))</f>
        <v/>
      </c>
      <c r="R88" s="152" t="str">
        <f>IF(R$3="","",IF(COUNTIFS(BD!$A$3:$A$5001,R$3,BD!$B$3:$B$5001,$A$79,BD!$L$3:$L$5001,"&lt;&gt;")=0,"",SUMIFS(BD!$L$3:$L$5001,BD!$A$3:$A$5001,R$3,BD!$B$3:$B$5001,$A$79)))</f>
        <v/>
      </c>
      <c r="S88" s="152" t="str">
        <f>IF(S$3="","",IF(COUNTIFS(BD!$A$3:$A$5001,S$3,BD!$B$3:$B$5001,$A$79,BD!$L$3:$L$5001,"&lt;&gt;")=0,"",SUMIFS(BD!$L$3:$L$5001,BD!$A$3:$A$5001,S$3,BD!$B$3:$B$5001,$A$79)))</f>
        <v/>
      </c>
      <c r="T88" s="152" t="str">
        <f>IF(T$3="","",IF(COUNTIFS(BD!$A$3:$A$5001,T$3,BD!$B$3:$B$5001,$A$79,BD!$L$3:$L$5001,"&lt;&gt;")=0,"",SUMIFS(BD!$L$3:$L$5001,BD!$A$3:$A$5001,T$3,BD!$B$3:$B$5001,$A$79)))</f>
        <v/>
      </c>
      <c r="U88" s="152" t="str">
        <f>IF(U$3="","",IF(COUNTIFS(BD!$A$3:$A$5001,U$3,BD!$B$3:$B$5001,$A$79,BD!$L$3:$L$5001,"&lt;&gt;")=0,"",SUMIFS(BD!$L$3:$L$5001,BD!$A$3:$A$5001,U$3,BD!$B$3:$B$5001,$A$79)))</f>
        <v/>
      </c>
      <c r="V88" s="152" t="str">
        <f>IF(V$3="","",IF(COUNTIFS(BD!$A$3:$A$5001,V$3,BD!$B$3:$B$5001,$A$79,BD!$L$3:$L$5001,"&lt;&gt;")=0,"",SUMIFS(BD!$L$3:$L$5001,BD!$A$3:$A$5001,V$3,BD!$B$3:$B$5001,$A$79)))</f>
        <v/>
      </c>
      <c r="W88" s="152" t="str">
        <f>IF(W$3="","",IF(COUNTIFS(BD!$A$3:$A$5001,W$3,BD!$B$3:$B$5001,$A$79,BD!$L$3:$L$5001,"&lt;&gt;")=0,"",SUMIFS(BD!$L$3:$L$5001,BD!$A$3:$A$5001,W$3,BD!$B$3:$B$5001,$A$79)))</f>
        <v/>
      </c>
      <c r="X88" s="152" t="str">
        <f>IF(X$3="","",IF(COUNTIFS(BD!$A$3:$A$5001,X$3,BD!$B$3:$B$5001,$A$79,BD!$L$3:$L$5001,"&lt;&gt;")=0,"",SUMIFS(BD!$L$3:$L$5001,BD!$A$3:$A$5001,X$3,BD!$B$3:$B$5001,$A$79)))</f>
        <v/>
      </c>
      <c r="Y88" s="152" t="str">
        <f>IF(Y$3="","",IF(COUNTIFS(BD!$A$3:$A$5001,Y$3,BD!$B$3:$B$5001,$A$79,BD!$L$3:$L$5001,"&lt;&gt;")=0,"",SUMIFS(BD!$L$3:$L$5001,BD!$A$3:$A$5001,Y$3,BD!$B$3:$B$5001,$A$79)))</f>
        <v/>
      </c>
      <c r="Z88" s="152" t="str">
        <f>IF(Z$3="","",IF(COUNTIFS(BD!$A$3:$A$5001,Z$3,BD!$B$3:$B$5001,$A$79,BD!$L$3:$L$5001,"&lt;&gt;")=0,"",SUMIFS(BD!$L$3:$L$5001,BD!$A$3:$A$5001,Z$3,BD!$B$3:$B$5001,$A$79)))</f>
        <v/>
      </c>
      <c r="AA88" s="152" t="str">
        <f>IF(AA$3="","",IF(COUNTIFS(BD!$A$3:$A$5001,AA$3,BD!$B$3:$B$5001,$A$79,BD!$L$3:$L$5001,"&lt;&gt;")=0,"",SUMIFS(BD!$L$3:$L$5001,BD!$A$3:$A$5001,AA$3,BD!$B$3:$B$5001,$A$79)))</f>
        <v/>
      </c>
      <c r="AB88" s="152" t="str">
        <f>IF(AB$3="","",IF(COUNTIFS(BD!$A$3:$A$5001,AB$3,BD!$B$3:$B$5001,$A$79,BD!$L$3:$L$5001,"&lt;&gt;")=0,"",SUMIFS(BD!$L$3:$L$5001,BD!$A$3:$A$5001,AB$3,BD!$B$3:$B$5001,$A$79)))</f>
        <v/>
      </c>
      <c r="AC88" s="152" t="str">
        <f>IF(AC$3="","",IF(COUNTIFS(BD!$A$3:$A$5001,AC$3,BD!$B$3:$B$5001,$A$79,BD!$L$3:$L$5001,"&lt;&gt;")=0,"",SUMIFS(BD!$L$3:$L$5001,BD!$A$3:$A$5001,AC$3,BD!$B$3:$B$5001,$A$79)))</f>
        <v/>
      </c>
      <c r="AD88" s="152" t="str">
        <f>IF(AD$3="","",IF(COUNTIFS(BD!$A$3:$A$5001,AD$3,BD!$B$3:$B$5001,$A$79,BD!$L$3:$L$5001,"&lt;&gt;")=0,"",SUMIFS(BD!$L$3:$L$5001,BD!$A$3:$A$5001,AD$3,BD!$B$3:$B$5001,$A$79)))</f>
        <v/>
      </c>
      <c r="AE88" s="152" t="str">
        <f>IF(AE$3="","",IF(COUNTIFS(BD!$A$3:$A$5001,AE$3,BD!$B$3:$B$5001,$A$79,BD!$L$3:$L$5001,"&lt;&gt;")=0,"",SUMIFS(BD!$L$3:$L$5001,BD!$A$3:$A$5001,AE$3,BD!$B$3:$B$5001,$A$79)))</f>
        <v/>
      </c>
      <c r="AF88" s="152" t="str">
        <f>IF(AF$3="","",IF(COUNTIFS(BD!$A$3:$A$5001,AF$3,BD!$B$3:$B$5001,$A$79,BD!$L$3:$L$5001,"&lt;&gt;")=0,"",SUMIFS(BD!$L$3:$L$5001,BD!$A$3:$A$5001,AF$3,BD!$B$3:$B$5001,$A$79)))</f>
        <v/>
      </c>
      <c r="AG88" s="152" t="str">
        <f>IF(AG$3="","",IF(COUNTIFS(BD!$A$3:$A$5001,AG$3,BD!$B$3:$B$5001,$A$79,BD!$L$3:$L$5001,"&lt;&gt;")=0,"",SUMIFS(BD!$L$3:$L$5001,BD!$A$3:$A$5001,AG$3,BD!$B$3:$B$5001,$A$79)))</f>
        <v/>
      </c>
      <c r="AH88" s="152" t="str">
        <f>IF(AH$3="","",IF(COUNTIFS(BD!$A$3:$A$5001,AH$3,BD!$B$3:$B$5001,$A$79,BD!$L$3:$L$5001,"&lt;&gt;")=0,"",SUMIFS(BD!$L$3:$L$5001,BD!$A$3:$A$5001,AH$3,BD!$B$3:$B$5001,$A$79)))</f>
        <v/>
      </c>
      <c r="AI88" s="152" t="str">
        <f>IF(AI$3="","",IF(COUNTIFS(BD!$A$3:$A$5001,AI$3,BD!$B$3:$B$5001,$A$79,BD!$L$3:$L$5001,"&lt;&gt;")=0,"",SUMIFS(BD!$L$3:$L$5001,BD!$A$3:$A$5001,AI$3,BD!$B$3:$B$5001,$A$79)))</f>
        <v/>
      </c>
      <c r="AJ88" s="153" t="str">
        <f>IF(AJ$3="","",IF(COUNTIFS(BD!$A$3:$A$5001,AJ$3,BD!$B$3:$B$5001,$A$79,BD!$L$3:$L$5001,"&lt;&gt;")=0,"",SUMIFS(BD!$L$3:$L$5001,BD!$A$3:$A$5001,AJ$3,BD!$B$3:$B$5001,$A$79)))</f>
        <v/>
      </c>
      <c r="AK88" s="154" t="str">
        <f>IF(COUNT(F88:AJ88)&gt;0,LOOKUP(9.99E+307,F88:AJ88),IFERROR(IF(INDEX(BD!$V$3:$V$5001,MATCH($A$79,BD!$B$3:$B$5001,0))&amp;""="Contrato","",INDEX(BD!$V$3:$V$5001,MATCH($A$79,BD!$B$3:$B$5001,0))&amp;""),""))</f>
        <v/>
      </c>
    </row>
    <row r="89" ht="15.75" customHeight="1">
      <c r="A89" s="247"/>
      <c r="B89" s="235"/>
      <c r="C89" s="155" t="inlineStr">
        <is>
          <t xml:space="preserve">Posições Ocupadas</t>
        </is>
      </c>
      <c r="D89" s="156" t="str">
        <f>IFERROR(1/(1/INDEX(BD!$Y$33:$AD$33,MATCH($A$79,BD!$Y$22:$AD$22,0))),"")</f>
        <v/>
      </c>
      <c r="E89" s="157"/>
      <c r="F89" s="158" t="str">
        <f>IF(F$3="","",IF(COUNTIFS(BD!$A$3:$A$5001,F$3,BD!$B$3:$B$5001,$A$79,BD!$M$3:$M$5001,"&lt;&gt;")=0,"",SUMIFS(BD!$M$3:$M$5001,BD!$A$3:$A$5001,F$3,BD!$B$3:$B$5001,$A$79)))</f>
        <v/>
      </c>
      <c r="G89" s="159" t="str">
        <f>IF(G$3="","",IF(COUNTIFS(BD!$A$3:$A$5001,G$3,BD!$B$3:$B$5001,$A$79,BD!$M$3:$M$5001,"&lt;&gt;")=0,"",SUMIFS(BD!$M$3:$M$5001,BD!$A$3:$A$5001,G$3,BD!$B$3:$B$5001,$A$79)))</f>
        <v/>
      </c>
      <c r="H89" s="159" t="str">
        <f>IF(H$3="","",IF(COUNTIFS(BD!$A$3:$A$5001,H$3,BD!$B$3:$B$5001,$A$79,BD!$M$3:$M$5001,"&lt;&gt;")=0,"",SUMIFS(BD!$M$3:$M$5001,BD!$A$3:$A$5001,H$3,BD!$B$3:$B$5001,$A$79)))</f>
        <v/>
      </c>
      <c r="I89" s="159" t="str">
        <f>IF(I$3="","",IF(COUNTIFS(BD!$A$3:$A$5001,I$3,BD!$B$3:$B$5001,$A$79,BD!$M$3:$M$5001,"&lt;&gt;")=0,"",SUMIFS(BD!$M$3:$M$5001,BD!$A$3:$A$5001,I$3,BD!$B$3:$B$5001,$A$79)))</f>
        <v/>
      </c>
      <c r="J89" s="159" t="str">
        <f>IF(J$3="","",IF(COUNTIFS(BD!$A$3:$A$5001,J$3,BD!$B$3:$B$5001,$A$79,BD!$M$3:$M$5001,"&lt;&gt;")=0,"",SUMIFS(BD!$M$3:$M$5001,BD!$A$3:$A$5001,J$3,BD!$B$3:$B$5001,$A$79)))</f>
        <v/>
      </c>
      <c r="K89" s="159" t="str">
        <f>IF(K$3="","",IF(COUNTIFS(BD!$A$3:$A$5001,K$3,BD!$B$3:$B$5001,$A$79,BD!$M$3:$M$5001,"&lt;&gt;")=0,"",SUMIFS(BD!$M$3:$M$5001,BD!$A$3:$A$5001,K$3,BD!$B$3:$B$5001,$A$79)))</f>
        <v/>
      </c>
      <c r="L89" s="159" t="str">
        <f>IF(L$3="","",IF(COUNTIFS(BD!$A$3:$A$5001,L$3,BD!$B$3:$B$5001,$A$79,BD!$M$3:$M$5001,"&lt;&gt;")=0,"",SUMIFS(BD!$M$3:$M$5001,BD!$A$3:$A$5001,L$3,BD!$B$3:$B$5001,$A$79)))</f>
        <v/>
      </c>
      <c r="M89" s="159" t="str">
        <f>IF(M$3="","",IF(COUNTIFS(BD!$A$3:$A$5001,M$3,BD!$B$3:$B$5001,$A$79,BD!$M$3:$M$5001,"&lt;&gt;")=0,"",SUMIFS(BD!$M$3:$M$5001,BD!$A$3:$A$5001,M$3,BD!$B$3:$B$5001,$A$79)))</f>
        <v/>
      </c>
      <c r="N89" s="159" t="str">
        <f>IF(N$3="","",IF(COUNTIFS(BD!$A$3:$A$5001,N$3,BD!$B$3:$B$5001,$A$79,BD!$M$3:$M$5001,"&lt;&gt;")=0,"",SUMIFS(BD!$M$3:$M$5001,BD!$A$3:$A$5001,N$3,BD!$B$3:$B$5001,$A$79)))</f>
        <v/>
      </c>
      <c r="O89" s="159" t="str">
        <f>IF(O$3="","",IF(COUNTIFS(BD!$A$3:$A$5001,O$3,BD!$B$3:$B$5001,$A$79,BD!$M$3:$M$5001,"&lt;&gt;")=0,"",SUMIFS(BD!$M$3:$M$5001,BD!$A$3:$A$5001,O$3,BD!$B$3:$B$5001,$A$79)))</f>
        <v/>
      </c>
      <c r="P89" s="159" t="str">
        <f>IF(P$3="","",IF(COUNTIFS(BD!$A$3:$A$5001,P$3,BD!$B$3:$B$5001,$A$79,BD!$M$3:$M$5001,"&lt;&gt;")=0,"",SUMIFS(BD!$M$3:$M$5001,BD!$A$3:$A$5001,P$3,BD!$B$3:$B$5001,$A$79)))</f>
        <v/>
      </c>
      <c r="Q89" s="159" t="str">
        <f>IF(Q$3="","",IF(COUNTIFS(BD!$A$3:$A$5001,Q$3,BD!$B$3:$B$5001,$A$79,BD!$M$3:$M$5001,"&lt;&gt;")=0,"",SUMIFS(BD!$M$3:$M$5001,BD!$A$3:$A$5001,Q$3,BD!$B$3:$B$5001,$A$79)))</f>
        <v/>
      </c>
      <c r="R89" s="159" t="str">
        <f>IF(R$3="","",IF(COUNTIFS(BD!$A$3:$A$5001,R$3,BD!$B$3:$B$5001,$A$79,BD!$M$3:$M$5001,"&lt;&gt;")=0,"",SUMIFS(BD!$M$3:$M$5001,BD!$A$3:$A$5001,R$3,BD!$B$3:$B$5001,$A$79)))</f>
        <v/>
      </c>
      <c r="S89" s="159" t="str">
        <f>IF(S$3="","",IF(COUNTIFS(BD!$A$3:$A$5001,S$3,BD!$B$3:$B$5001,$A$79,BD!$M$3:$M$5001,"&lt;&gt;")=0,"",SUMIFS(BD!$M$3:$M$5001,BD!$A$3:$A$5001,S$3,BD!$B$3:$B$5001,$A$79)))</f>
        <v/>
      </c>
      <c r="T89" s="159" t="str">
        <f>IF(T$3="","",IF(COUNTIFS(BD!$A$3:$A$5001,T$3,BD!$B$3:$B$5001,$A$79,BD!$M$3:$M$5001,"&lt;&gt;")=0,"",SUMIFS(BD!$M$3:$M$5001,BD!$A$3:$A$5001,T$3,BD!$B$3:$B$5001,$A$79)))</f>
        <v/>
      </c>
      <c r="U89" s="159" t="str">
        <f>IF(U$3="","",IF(COUNTIFS(BD!$A$3:$A$5001,U$3,BD!$B$3:$B$5001,$A$79,BD!$M$3:$M$5001,"&lt;&gt;")=0,"",SUMIFS(BD!$M$3:$M$5001,BD!$A$3:$A$5001,U$3,BD!$B$3:$B$5001,$A$79)))</f>
        <v/>
      </c>
      <c r="V89" s="159" t="str">
        <f>IF(V$3="","",IF(COUNTIFS(BD!$A$3:$A$5001,V$3,BD!$B$3:$B$5001,$A$79,BD!$M$3:$M$5001,"&lt;&gt;")=0,"",SUMIFS(BD!$M$3:$M$5001,BD!$A$3:$A$5001,V$3,BD!$B$3:$B$5001,$A$79)))</f>
        <v/>
      </c>
      <c r="W89" s="159" t="str">
        <f>IF(W$3="","",IF(COUNTIFS(BD!$A$3:$A$5001,W$3,BD!$B$3:$B$5001,$A$79,BD!$M$3:$M$5001,"&lt;&gt;")=0,"",SUMIFS(BD!$M$3:$M$5001,BD!$A$3:$A$5001,W$3,BD!$B$3:$B$5001,$A$79)))</f>
        <v/>
      </c>
      <c r="X89" s="159" t="str">
        <f>IF(X$3="","",IF(COUNTIFS(BD!$A$3:$A$5001,X$3,BD!$B$3:$B$5001,$A$79,BD!$M$3:$M$5001,"&lt;&gt;")=0,"",SUMIFS(BD!$M$3:$M$5001,BD!$A$3:$A$5001,X$3,BD!$B$3:$B$5001,$A$79)))</f>
        <v/>
      </c>
      <c r="Y89" s="159" t="str">
        <f>IF(Y$3="","",IF(COUNTIFS(BD!$A$3:$A$5001,Y$3,BD!$B$3:$B$5001,$A$79,BD!$M$3:$M$5001,"&lt;&gt;")=0,"",SUMIFS(BD!$M$3:$M$5001,BD!$A$3:$A$5001,Y$3,BD!$B$3:$B$5001,$A$79)))</f>
        <v/>
      </c>
      <c r="Z89" s="159" t="str">
        <f>IF(Z$3="","",IF(COUNTIFS(BD!$A$3:$A$5001,Z$3,BD!$B$3:$B$5001,$A$79,BD!$M$3:$M$5001,"&lt;&gt;")=0,"",SUMIFS(BD!$M$3:$M$5001,BD!$A$3:$A$5001,Z$3,BD!$B$3:$B$5001,$A$79)))</f>
        <v/>
      </c>
      <c r="AA89" s="159" t="str">
        <f>IF(AA$3="","",IF(COUNTIFS(BD!$A$3:$A$5001,AA$3,BD!$B$3:$B$5001,$A$79,BD!$M$3:$M$5001,"&lt;&gt;")=0,"",SUMIFS(BD!$M$3:$M$5001,BD!$A$3:$A$5001,AA$3,BD!$B$3:$B$5001,$A$79)))</f>
        <v/>
      </c>
      <c r="AB89" s="159" t="str">
        <f>IF(AB$3="","",IF(COUNTIFS(BD!$A$3:$A$5001,AB$3,BD!$B$3:$B$5001,$A$79,BD!$M$3:$M$5001,"&lt;&gt;")=0,"",SUMIFS(BD!$M$3:$M$5001,BD!$A$3:$A$5001,AB$3,BD!$B$3:$B$5001,$A$79)))</f>
        <v/>
      </c>
      <c r="AC89" s="159" t="str">
        <f>IF(AC$3="","",IF(COUNTIFS(BD!$A$3:$A$5001,AC$3,BD!$B$3:$B$5001,$A$79,BD!$M$3:$M$5001,"&lt;&gt;")=0,"",SUMIFS(BD!$M$3:$M$5001,BD!$A$3:$A$5001,AC$3,BD!$B$3:$B$5001,$A$79)))</f>
        <v/>
      </c>
      <c r="AD89" s="159" t="str">
        <f>IF(AD$3="","",IF(COUNTIFS(BD!$A$3:$A$5001,AD$3,BD!$B$3:$B$5001,$A$79,BD!$M$3:$M$5001,"&lt;&gt;")=0,"",SUMIFS(BD!$M$3:$M$5001,BD!$A$3:$A$5001,AD$3,BD!$B$3:$B$5001,$A$79)))</f>
        <v/>
      </c>
      <c r="AE89" s="159" t="str">
        <f>IF(AE$3="","",IF(COUNTIFS(BD!$A$3:$A$5001,AE$3,BD!$B$3:$B$5001,$A$79,BD!$M$3:$M$5001,"&lt;&gt;")=0,"",SUMIFS(BD!$M$3:$M$5001,BD!$A$3:$A$5001,AE$3,BD!$B$3:$B$5001,$A$79)))</f>
        <v/>
      </c>
      <c r="AF89" s="159" t="str">
        <f>IF(AF$3="","",IF(COUNTIFS(BD!$A$3:$A$5001,AF$3,BD!$B$3:$B$5001,$A$79,BD!$M$3:$M$5001,"&lt;&gt;")=0,"",SUMIFS(BD!$M$3:$M$5001,BD!$A$3:$A$5001,AF$3,BD!$B$3:$B$5001,$A$79)))</f>
        <v/>
      </c>
      <c r="AG89" s="159" t="str">
        <f>IF(AG$3="","",IF(COUNTIFS(BD!$A$3:$A$5001,AG$3,BD!$B$3:$B$5001,$A$79,BD!$M$3:$M$5001,"&lt;&gt;")=0,"",SUMIFS(BD!$M$3:$M$5001,BD!$A$3:$A$5001,AG$3,BD!$B$3:$B$5001,$A$79)))</f>
        <v/>
      </c>
      <c r="AH89" s="159" t="str">
        <f>IF(AH$3="","",IF(COUNTIFS(BD!$A$3:$A$5001,AH$3,BD!$B$3:$B$5001,$A$79,BD!$M$3:$M$5001,"&lt;&gt;")=0,"",SUMIFS(BD!$M$3:$M$5001,BD!$A$3:$A$5001,AH$3,BD!$B$3:$B$5001,$A$79)))</f>
        <v/>
      </c>
      <c r="AI89" s="159" t="str">
        <f>IF(AI$3="","",IF(COUNTIFS(BD!$A$3:$A$5001,AI$3,BD!$B$3:$B$5001,$A$79,BD!$M$3:$M$5001,"&lt;&gt;")=0,"",SUMIFS(BD!$M$3:$M$5001,BD!$A$3:$A$5001,AI$3,BD!$B$3:$B$5001,$A$79)))</f>
        <v/>
      </c>
      <c r="AJ89" s="160" t="str">
        <f>IF(AJ$3="","",IF(COUNTIFS(BD!$A$3:$A$5001,AJ$3,BD!$B$3:$B$5001,$A$79,BD!$M$3:$M$5001,"&lt;&gt;")=0,"",SUMIFS(BD!$M$3:$M$5001,BD!$A$3:$A$5001,AJ$3,BD!$B$3:$B$5001,$A$79)))</f>
        <v/>
      </c>
      <c r="AK89" s="161" t="str">
        <f>IFERROR(LOOKUP(9.99E+307,F89:AJ89),"")</f>
        <v/>
      </c>
    </row>
    <row r="90" ht="15.75" customHeight="1">
      <c r="A90" s="247"/>
      <c r="B90" s="236"/>
      <c r="C90" s="162" t="inlineStr">
        <is>
          <t xml:space="preserve">Taxa de Ocupação</t>
        </is>
      </c>
      <c r="D90" s="210" t="str">
        <f>IFERROR(1/(1/INDEX(BD!$Y$34:$AD$34,MATCH($A$79,BD!$Y$22:$AD$22,0))),"")</f>
        <v/>
      </c>
      <c r="E90" s="164"/>
      <c r="F90" s="211" t="str">
        <f>IF(AND(ISNUMBER(F88),ISNUMBER(F89)),IF(F88&gt;0,F89/F88,""),"")</f>
        <v/>
      </c>
      <c r="G90" s="212" t="str">
        <f>IF(AND(ISNUMBER(G88),ISNUMBER(G89)),IF(G88&gt;0,G89/G88,""),"")</f>
        <v/>
      </c>
      <c r="H90" s="212" t="str">
        <f>IF(AND(ISNUMBER(H88),ISNUMBER(H89)),IF(H88&gt;0,H89/H88,""),"")</f>
        <v/>
      </c>
      <c r="I90" s="212" t="str">
        <f>IF(AND(ISNUMBER(I88),ISNUMBER(I89)),IF(I88&gt;0,I89/I88,""),"")</f>
        <v/>
      </c>
      <c r="J90" s="212" t="str">
        <f>IF(AND(ISNUMBER(J88),ISNUMBER(J89)),IF(J88&gt;0,J89/J88,""),"")</f>
        <v/>
      </c>
      <c r="K90" s="212" t="str">
        <f>IF(AND(ISNUMBER(K88),ISNUMBER(K89)),IF(K88&gt;0,K89/K88,""),"")</f>
        <v/>
      </c>
      <c r="L90" s="212" t="str">
        <f>IF(AND(ISNUMBER(L88),ISNUMBER(L89)),IF(L88&gt;0,L89/L88,""),"")</f>
        <v/>
      </c>
      <c r="M90" s="212" t="str">
        <f>IF(AND(ISNUMBER(M88),ISNUMBER(M89)),IF(M88&gt;0,M89/M88,""),"")</f>
        <v/>
      </c>
      <c r="N90" s="212" t="str">
        <f>IF(AND(ISNUMBER(N88),ISNUMBER(N89)),IF(N88&gt;0,N89/N88,""),"")</f>
        <v/>
      </c>
      <c r="O90" s="212" t="str">
        <f>IF(AND(ISNUMBER(O88),ISNUMBER(O89)),IF(O88&gt;0,O89/O88,""),"")</f>
        <v/>
      </c>
      <c r="P90" s="212" t="str">
        <f>IF(AND(ISNUMBER(P88),ISNUMBER(P89)),IF(P88&gt;0,P89/P88,""),"")</f>
        <v/>
      </c>
      <c r="Q90" s="212" t="str">
        <f>IF(AND(ISNUMBER(Q88),ISNUMBER(Q89)),IF(Q88&gt;0,Q89/Q88,""),"")</f>
        <v/>
      </c>
      <c r="R90" s="212" t="str">
        <f>IF(AND(ISNUMBER(R88),ISNUMBER(R89)),IF(R88&gt;0,R89/R88,""),"")</f>
        <v/>
      </c>
      <c r="S90" s="212" t="str">
        <f>IF(AND(ISNUMBER(S88),ISNUMBER(S89)),IF(S88&gt;0,S89/S88,""),"")</f>
        <v/>
      </c>
      <c r="T90" s="212" t="str">
        <f>IF(AND(ISNUMBER(T88),ISNUMBER(T89)),IF(T88&gt;0,T89/T88,""),"")</f>
        <v/>
      </c>
      <c r="U90" s="212" t="str">
        <f>IF(AND(ISNUMBER(U88),ISNUMBER(U89)),IF(U88&gt;0,U89/U88,""),"")</f>
        <v/>
      </c>
      <c r="V90" s="212" t="str">
        <f>IF(AND(ISNUMBER(V88),ISNUMBER(V89)),IF(V88&gt;0,V89/V88,""),"")</f>
        <v/>
      </c>
      <c r="W90" s="212" t="str">
        <f>IF(AND(ISNUMBER(W88),ISNUMBER(W89)),IF(W88&gt;0,W89/W88,""),"")</f>
        <v/>
      </c>
      <c r="X90" s="212" t="str">
        <f>IF(AND(ISNUMBER(X88),ISNUMBER(X89)),IF(X88&gt;0,X89/X88,""),"")</f>
        <v/>
      </c>
      <c r="Y90" s="212" t="str">
        <f>IF(AND(ISNUMBER(Y88),ISNUMBER(Y89)),IF(Y88&gt;0,Y89/Y88,""),"")</f>
        <v/>
      </c>
      <c r="Z90" s="212" t="str">
        <f>IF(AND(ISNUMBER(Z88),ISNUMBER(Z89)),IF(Z88&gt;0,Z89/Z88,""),"")</f>
        <v/>
      </c>
      <c r="AA90" s="212" t="str">
        <f>IF(AND(ISNUMBER(AA88),ISNUMBER(AA89)),IF(AA88&gt;0,AA89/AA88,""),"")</f>
        <v/>
      </c>
      <c r="AB90" s="212" t="str">
        <f>IF(AND(ISNUMBER(AB88),ISNUMBER(AB89)),IF(AB88&gt;0,AB89/AB88,""),"")</f>
        <v/>
      </c>
      <c r="AC90" s="212" t="str">
        <f>IF(AND(ISNUMBER(AC88),ISNUMBER(AC89)),IF(AC88&gt;0,AC89/AC88,""),"")</f>
        <v/>
      </c>
      <c r="AD90" s="212" t="str">
        <f>IF(AND(ISNUMBER(AD88),ISNUMBER(AD89)),IF(AD88&gt;0,AD89/AD88,""),"")</f>
        <v/>
      </c>
      <c r="AE90" s="212" t="str">
        <f>IF(AND(ISNUMBER(AE88),ISNUMBER(AE89)),IF(AE88&gt;0,AE89/AE88,""),"")</f>
        <v/>
      </c>
      <c r="AF90" s="212" t="str">
        <f>IF(AND(ISNUMBER(AF88),ISNUMBER(AF89)),IF(AF88&gt;0,AF89/AF88,""),"")</f>
        <v/>
      </c>
      <c r="AG90" s="212" t="str">
        <f>IF(AND(ISNUMBER(AG88),ISNUMBER(AG89)),IF(AG88&gt;0,AG89/AG88,""),"")</f>
        <v/>
      </c>
      <c r="AH90" s="212" t="str">
        <f>IF(AND(ISNUMBER(AH88),ISNUMBER(AH89)),IF(AH88&gt;0,AH89/AH88,""),"")</f>
        <v/>
      </c>
      <c r="AI90" s="212" t="str">
        <f>IF(AND(ISNUMBER(AI88),ISNUMBER(AI89)),IF(AI88&gt;0,AI89/AI88,""),"")</f>
        <v/>
      </c>
      <c r="AJ90" s="213" t="str">
        <f>IF(AND(ISNUMBER(AJ88),ISNUMBER(AJ89)),IF(AJ88&gt;0,AJ89/AJ88,""),"")</f>
        <v/>
      </c>
      <c r="AK90" s="210" t="str">
        <f>IF(AND(ISNUMBER(AK88),ISNUMBER(AK89)),IF(AK88&gt;0,AK89/AK88,""),"")</f>
        <v/>
      </c>
    </row>
    <row r="91" ht="15.75" customHeight="1">
      <c r="A91" s="247"/>
      <c r="B91" s="243" t="inlineStr">
        <is>
          <t xml:space="preserve">GENTE</t>
        </is>
      </c>
      <c r="C91" s="214" t="inlineStr">
        <is>
          <t xml:space="preserve">Efetivo Op.</t>
        </is>
      </c>
      <c r="D91" s="215" t="str">
        <f>IFERROR(1/(1/INDEX(BD!$Y$35:$AD$35,MATCH($A$79,BD!$Y$22:$AD$22,0))),"")</f>
        <v/>
      </c>
      <c r="E91" s="216"/>
      <c r="F91" s="217" t="str">
        <f>IF(F$3="","",IF(COUNTIFS(BD!$A$3:$A$5001,F$3,BD!$B$3:$B$5001,$A$79,BD!$N$3:$N$5001,"&lt;&gt;")=0,"",SUMIFS(BD!$N$3:$N$5001,BD!$A$3:$A$5001,F$3,BD!$B$3:$B$5001,$A$79)))</f>
        <v/>
      </c>
      <c r="G91" s="218" t="str">
        <f>IF(G$3="","",IF(COUNTIFS(BD!$A$3:$A$5001,G$3,BD!$B$3:$B$5001,$A$79,BD!$N$3:$N$5001,"&lt;&gt;")=0,"",SUMIFS(BD!$N$3:$N$5001,BD!$A$3:$A$5001,G$3,BD!$B$3:$B$5001,$A$79)))</f>
        <v/>
      </c>
      <c r="H91" s="218" t="str">
        <f>IF(H$3="","",IF(COUNTIFS(BD!$A$3:$A$5001,H$3,BD!$B$3:$B$5001,$A$79,BD!$N$3:$N$5001,"&lt;&gt;")=0,"",SUMIFS(BD!$N$3:$N$5001,BD!$A$3:$A$5001,H$3,BD!$B$3:$B$5001,$A$79)))</f>
        <v/>
      </c>
      <c r="I91" s="218" t="str">
        <f>IF(I$3="","",IF(COUNTIFS(BD!$A$3:$A$5001,I$3,BD!$B$3:$B$5001,$A$79,BD!$N$3:$N$5001,"&lt;&gt;")=0,"",SUMIFS(BD!$N$3:$N$5001,BD!$A$3:$A$5001,I$3,BD!$B$3:$B$5001,$A$79)))</f>
        <v/>
      </c>
      <c r="J91" s="218" t="str">
        <f>IF(J$3="","",IF(COUNTIFS(BD!$A$3:$A$5001,J$3,BD!$B$3:$B$5001,$A$79,BD!$N$3:$N$5001,"&lt;&gt;")=0,"",SUMIFS(BD!$N$3:$N$5001,BD!$A$3:$A$5001,J$3,BD!$B$3:$B$5001,$A$79)))</f>
        <v/>
      </c>
      <c r="K91" s="218" t="str">
        <f>IF(K$3="","",IF(COUNTIFS(BD!$A$3:$A$5001,K$3,BD!$B$3:$B$5001,$A$79,BD!$N$3:$N$5001,"&lt;&gt;")=0,"",SUMIFS(BD!$N$3:$N$5001,BD!$A$3:$A$5001,K$3,BD!$B$3:$B$5001,$A$79)))</f>
        <v/>
      </c>
      <c r="L91" s="218" t="str">
        <f>IF(L$3="","",IF(COUNTIFS(BD!$A$3:$A$5001,L$3,BD!$B$3:$B$5001,$A$79,BD!$N$3:$N$5001,"&lt;&gt;")=0,"",SUMIFS(BD!$N$3:$N$5001,BD!$A$3:$A$5001,L$3,BD!$B$3:$B$5001,$A$79)))</f>
        <v/>
      </c>
      <c r="M91" s="218" t="str">
        <f>IF(M$3="","",IF(COUNTIFS(BD!$A$3:$A$5001,M$3,BD!$B$3:$B$5001,$A$79,BD!$N$3:$N$5001,"&lt;&gt;")=0,"",SUMIFS(BD!$N$3:$N$5001,BD!$A$3:$A$5001,M$3,BD!$B$3:$B$5001,$A$79)))</f>
        <v/>
      </c>
      <c r="N91" s="218" t="str">
        <f>IF(N$3="","",IF(COUNTIFS(BD!$A$3:$A$5001,N$3,BD!$B$3:$B$5001,$A$79,BD!$N$3:$N$5001,"&lt;&gt;")=0,"",SUMIFS(BD!$N$3:$N$5001,BD!$A$3:$A$5001,N$3,BD!$B$3:$B$5001,$A$79)))</f>
        <v/>
      </c>
      <c r="O91" s="218" t="str">
        <f>IF(O$3="","",IF(COUNTIFS(BD!$A$3:$A$5001,O$3,BD!$B$3:$B$5001,$A$79,BD!$N$3:$N$5001,"&lt;&gt;")=0,"",SUMIFS(BD!$N$3:$N$5001,BD!$A$3:$A$5001,O$3,BD!$B$3:$B$5001,$A$79)))</f>
        <v/>
      </c>
      <c r="P91" s="218" t="str">
        <f>IF(P$3="","",IF(COUNTIFS(BD!$A$3:$A$5001,P$3,BD!$B$3:$B$5001,$A$79,BD!$N$3:$N$5001,"&lt;&gt;")=0,"",SUMIFS(BD!$N$3:$N$5001,BD!$A$3:$A$5001,P$3,BD!$B$3:$B$5001,$A$79)))</f>
        <v/>
      </c>
      <c r="Q91" s="218" t="str">
        <f>IF(Q$3="","",IF(COUNTIFS(BD!$A$3:$A$5001,Q$3,BD!$B$3:$B$5001,$A$79,BD!$N$3:$N$5001,"&lt;&gt;")=0,"",SUMIFS(BD!$N$3:$N$5001,BD!$A$3:$A$5001,Q$3,BD!$B$3:$B$5001,$A$79)))</f>
        <v/>
      </c>
      <c r="R91" s="218" t="str">
        <f>IF(R$3="","",IF(COUNTIFS(BD!$A$3:$A$5001,R$3,BD!$B$3:$B$5001,$A$79,BD!$N$3:$N$5001,"&lt;&gt;")=0,"",SUMIFS(BD!$N$3:$N$5001,BD!$A$3:$A$5001,R$3,BD!$B$3:$B$5001,$A$79)))</f>
        <v/>
      </c>
      <c r="S91" s="218" t="str">
        <f>IF(S$3="","",IF(COUNTIFS(BD!$A$3:$A$5001,S$3,BD!$B$3:$B$5001,$A$79,BD!$N$3:$N$5001,"&lt;&gt;")=0,"",SUMIFS(BD!$N$3:$N$5001,BD!$A$3:$A$5001,S$3,BD!$B$3:$B$5001,$A$79)))</f>
        <v/>
      </c>
      <c r="T91" s="218" t="str">
        <f>IF(T$3="","",IF(COUNTIFS(BD!$A$3:$A$5001,T$3,BD!$B$3:$B$5001,$A$79,BD!$N$3:$N$5001,"&lt;&gt;")=0,"",SUMIFS(BD!$N$3:$N$5001,BD!$A$3:$A$5001,T$3,BD!$B$3:$B$5001,$A$79)))</f>
        <v/>
      </c>
      <c r="U91" s="218" t="str">
        <f>IF(U$3="","",IF(COUNTIFS(BD!$A$3:$A$5001,U$3,BD!$B$3:$B$5001,$A$79,BD!$N$3:$N$5001,"&lt;&gt;")=0,"",SUMIFS(BD!$N$3:$N$5001,BD!$A$3:$A$5001,U$3,BD!$B$3:$B$5001,$A$79)))</f>
        <v/>
      </c>
      <c r="V91" s="218" t="str">
        <f>IF(V$3="","",IF(COUNTIFS(BD!$A$3:$A$5001,V$3,BD!$B$3:$B$5001,$A$79,BD!$N$3:$N$5001,"&lt;&gt;")=0,"",SUMIFS(BD!$N$3:$N$5001,BD!$A$3:$A$5001,V$3,BD!$B$3:$B$5001,$A$79)))</f>
        <v/>
      </c>
      <c r="W91" s="218" t="str">
        <f>IF(W$3="","",IF(COUNTIFS(BD!$A$3:$A$5001,W$3,BD!$B$3:$B$5001,$A$79,BD!$N$3:$N$5001,"&lt;&gt;")=0,"",SUMIFS(BD!$N$3:$N$5001,BD!$A$3:$A$5001,W$3,BD!$B$3:$B$5001,$A$79)))</f>
        <v/>
      </c>
      <c r="X91" s="218" t="str">
        <f>IF(X$3="","",IF(COUNTIFS(BD!$A$3:$A$5001,X$3,BD!$B$3:$B$5001,$A$79,BD!$N$3:$N$5001,"&lt;&gt;")=0,"",SUMIFS(BD!$N$3:$N$5001,BD!$A$3:$A$5001,X$3,BD!$B$3:$B$5001,$A$79)))</f>
        <v/>
      </c>
      <c r="Y91" s="218" t="str">
        <f>IF(Y$3="","",IF(COUNTIFS(BD!$A$3:$A$5001,Y$3,BD!$B$3:$B$5001,$A$79,BD!$N$3:$N$5001,"&lt;&gt;")=0,"",SUMIFS(BD!$N$3:$N$5001,BD!$A$3:$A$5001,Y$3,BD!$B$3:$B$5001,$A$79)))</f>
        <v/>
      </c>
      <c r="Z91" s="218" t="str">
        <f>IF(Z$3="","",IF(COUNTIFS(BD!$A$3:$A$5001,Z$3,BD!$B$3:$B$5001,$A$79,BD!$N$3:$N$5001,"&lt;&gt;")=0,"",SUMIFS(BD!$N$3:$N$5001,BD!$A$3:$A$5001,Z$3,BD!$B$3:$B$5001,$A$79)))</f>
        <v/>
      </c>
      <c r="AA91" s="218" t="str">
        <f>IF(AA$3="","",IF(COUNTIFS(BD!$A$3:$A$5001,AA$3,BD!$B$3:$B$5001,$A$79,BD!$N$3:$N$5001,"&lt;&gt;")=0,"",SUMIFS(BD!$N$3:$N$5001,BD!$A$3:$A$5001,AA$3,BD!$B$3:$B$5001,$A$79)))</f>
        <v/>
      </c>
      <c r="AB91" s="218" t="str">
        <f>IF(AB$3="","",IF(COUNTIFS(BD!$A$3:$A$5001,AB$3,BD!$B$3:$B$5001,$A$79,BD!$N$3:$N$5001,"&lt;&gt;")=0,"",SUMIFS(BD!$N$3:$N$5001,BD!$A$3:$A$5001,AB$3,BD!$B$3:$B$5001,$A$79)))</f>
        <v/>
      </c>
      <c r="AC91" s="218" t="str">
        <f>IF(AC$3="","",IF(COUNTIFS(BD!$A$3:$A$5001,AC$3,BD!$B$3:$B$5001,$A$79,BD!$N$3:$N$5001,"&lt;&gt;")=0,"",SUMIFS(BD!$N$3:$N$5001,BD!$A$3:$A$5001,AC$3,BD!$B$3:$B$5001,$A$79)))</f>
        <v/>
      </c>
      <c r="AD91" s="218" t="str">
        <f>IF(AD$3="","",IF(COUNTIFS(BD!$A$3:$A$5001,AD$3,BD!$B$3:$B$5001,$A$79,BD!$N$3:$N$5001,"&lt;&gt;")=0,"",SUMIFS(BD!$N$3:$N$5001,BD!$A$3:$A$5001,AD$3,BD!$B$3:$B$5001,$A$79)))</f>
        <v/>
      </c>
      <c r="AE91" s="218" t="str">
        <f>IF(AE$3="","",IF(COUNTIFS(BD!$A$3:$A$5001,AE$3,BD!$B$3:$B$5001,$A$79,BD!$N$3:$N$5001,"&lt;&gt;")=0,"",SUMIFS(BD!$N$3:$N$5001,BD!$A$3:$A$5001,AE$3,BD!$B$3:$B$5001,$A$79)))</f>
        <v/>
      </c>
      <c r="AF91" s="218" t="str">
        <f>IF(AF$3="","",IF(COUNTIFS(BD!$A$3:$A$5001,AF$3,BD!$B$3:$B$5001,$A$79,BD!$N$3:$N$5001,"&lt;&gt;")=0,"",SUMIFS(BD!$N$3:$N$5001,BD!$A$3:$A$5001,AF$3,BD!$B$3:$B$5001,$A$79)))</f>
        <v/>
      </c>
      <c r="AG91" s="218" t="str">
        <f>IF(AG$3="","",IF(COUNTIFS(BD!$A$3:$A$5001,AG$3,BD!$B$3:$B$5001,$A$79,BD!$N$3:$N$5001,"&lt;&gt;")=0,"",SUMIFS(BD!$N$3:$N$5001,BD!$A$3:$A$5001,AG$3,BD!$B$3:$B$5001,$A$79)))</f>
        <v/>
      </c>
      <c r="AH91" s="218" t="str">
        <f>IF(AH$3="","",IF(COUNTIFS(BD!$A$3:$A$5001,AH$3,BD!$B$3:$B$5001,$A$79,BD!$N$3:$N$5001,"&lt;&gt;")=0,"",SUMIFS(BD!$N$3:$N$5001,BD!$A$3:$A$5001,AH$3,BD!$B$3:$B$5001,$A$79)))</f>
        <v/>
      </c>
      <c r="AI91" s="218" t="str">
        <f>IF(AI$3="","",IF(COUNTIFS(BD!$A$3:$A$5001,AI$3,BD!$B$3:$B$5001,$A$79,BD!$N$3:$N$5001,"&lt;&gt;")=0,"",SUMIFS(BD!$N$3:$N$5001,BD!$A$3:$A$5001,AI$3,BD!$B$3:$B$5001,$A$79)))</f>
        <v/>
      </c>
      <c r="AJ91" s="219" t="str">
        <f>IF(AJ$3="","",IF(COUNTIFS(BD!$A$3:$A$5001,AJ$3,BD!$B$3:$B$5001,$A$79,BD!$N$3:$N$5001,"&lt;&gt;")=0,"",SUMIFS(BD!$N$3:$N$5001,BD!$A$3:$A$5001,AJ$3,BD!$B$3:$B$5001,$A$79)))</f>
        <v/>
      </c>
      <c r="AK91" s="220" t="str">
        <f>IFERROR(LOOKUP(9.99E+307,F91:AJ91),"")</f>
        <v/>
      </c>
    </row>
    <row r="92" ht="15.75" customHeight="1">
      <c r="A92" s="247"/>
      <c r="B92" s="244"/>
      <c r="C92" s="221" t="inlineStr">
        <is>
          <t xml:space="preserve">Falta</t>
        </is>
      </c>
      <c r="D92" s="222" t="str">
        <f>IFERROR(1/(1/INDEX(BD!$Y$36:$AD$36,MATCH($A$79,BD!$Y$22:$AD$22,0))),"")</f>
        <v/>
      </c>
      <c r="E92" s="223"/>
      <c r="F92" s="224" t="str">
        <f>IF(F$3="","",IF(COUNTIFS(BD!$A$3:$A$5001,F$3,BD!$B$3:$B$5001,$A$79,BD!$O$3:$O$5001,"&lt;&gt;")=0,"",SUMIFS(BD!$O$3:$O$5001,BD!$A$3:$A$5001,F$3,BD!$B$3:$B$5001,$A$79)))</f>
        <v/>
      </c>
      <c r="G92" s="225" t="str">
        <f>IF(G$3="","",IF(COUNTIFS(BD!$A$3:$A$5001,G$3,BD!$B$3:$B$5001,$A$79,BD!$O$3:$O$5001,"&lt;&gt;")=0,"",SUMIFS(BD!$O$3:$O$5001,BD!$A$3:$A$5001,G$3,BD!$B$3:$B$5001,$A$79)))</f>
        <v/>
      </c>
      <c r="H92" s="225" t="str">
        <f>IF(H$3="","",IF(COUNTIFS(BD!$A$3:$A$5001,H$3,BD!$B$3:$B$5001,$A$79,BD!$O$3:$O$5001,"&lt;&gt;")=0,"",SUMIFS(BD!$O$3:$O$5001,BD!$A$3:$A$5001,H$3,BD!$B$3:$B$5001,$A$79)))</f>
        <v/>
      </c>
      <c r="I92" s="225" t="str">
        <f>IF(I$3="","",IF(COUNTIFS(BD!$A$3:$A$5001,I$3,BD!$B$3:$B$5001,$A$79,BD!$O$3:$O$5001,"&lt;&gt;")=0,"",SUMIFS(BD!$O$3:$O$5001,BD!$A$3:$A$5001,I$3,BD!$B$3:$B$5001,$A$79)))</f>
        <v/>
      </c>
      <c r="J92" s="225" t="str">
        <f>IF(J$3="","",IF(COUNTIFS(BD!$A$3:$A$5001,J$3,BD!$B$3:$B$5001,$A$79,BD!$O$3:$O$5001,"&lt;&gt;")=0,"",SUMIFS(BD!$O$3:$O$5001,BD!$A$3:$A$5001,J$3,BD!$B$3:$B$5001,$A$79)))</f>
        <v/>
      </c>
      <c r="K92" s="225" t="str">
        <f>IF(K$3="","",IF(COUNTIFS(BD!$A$3:$A$5001,K$3,BD!$B$3:$B$5001,$A$79,BD!$O$3:$O$5001,"&lt;&gt;")=0,"",SUMIFS(BD!$O$3:$O$5001,BD!$A$3:$A$5001,K$3,BD!$B$3:$B$5001,$A$79)))</f>
        <v/>
      </c>
      <c r="L92" s="225" t="str">
        <f>IF(L$3="","",IF(COUNTIFS(BD!$A$3:$A$5001,L$3,BD!$B$3:$B$5001,$A$79,BD!$O$3:$O$5001,"&lt;&gt;")=0,"",SUMIFS(BD!$O$3:$O$5001,BD!$A$3:$A$5001,L$3,BD!$B$3:$B$5001,$A$79)))</f>
        <v/>
      </c>
      <c r="M92" s="225" t="str">
        <f>IF(M$3="","",IF(COUNTIFS(BD!$A$3:$A$5001,M$3,BD!$B$3:$B$5001,$A$79,BD!$O$3:$O$5001,"&lt;&gt;")=0,"",SUMIFS(BD!$O$3:$O$5001,BD!$A$3:$A$5001,M$3,BD!$B$3:$B$5001,$A$79)))</f>
        <v/>
      </c>
      <c r="N92" s="225" t="str">
        <f>IF(N$3="","",IF(COUNTIFS(BD!$A$3:$A$5001,N$3,BD!$B$3:$B$5001,$A$79,BD!$O$3:$O$5001,"&lt;&gt;")=0,"",SUMIFS(BD!$O$3:$O$5001,BD!$A$3:$A$5001,N$3,BD!$B$3:$B$5001,$A$79)))</f>
        <v/>
      </c>
      <c r="O92" s="225" t="str">
        <f>IF(O$3="","",IF(COUNTIFS(BD!$A$3:$A$5001,O$3,BD!$B$3:$B$5001,$A$79,BD!$O$3:$O$5001,"&lt;&gt;")=0,"",SUMIFS(BD!$O$3:$O$5001,BD!$A$3:$A$5001,O$3,BD!$B$3:$B$5001,$A$79)))</f>
        <v/>
      </c>
      <c r="P92" s="225" t="str">
        <f>IF(P$3="","",IF(COUNTIFS(BD!$A$3:$A$5001,P$3,BD!$B$3:$B$5001,$A$79,BD!$O$3:$O$5001,"&lt;&gt;")=0,"",SUMIFS(BD!$O$3:$O$5001,BD!$A$3:$A$5001,P$3,BD!$B$3:$B$5001,$A$79)))</f>
        <v/>
      </c>
      <c r="Q92" s="225" t="str">
        <f>IF(Q$3="","",IF(COUNTIFS(BD!$A$3:$A$5001,Q$3,BD!$B$3:$B$5001,$A$79,BD!$O$3:$O$5001,"&lt;&gt;")=0,"",SUMIFS(BD!$O$3:$O$5001,BD!$A$3:$A$5001,Q$3,BD!$B$3:$B$5001,$A$79)))</f>
        <v/>
      </c>
      <c r="R92" s="225" t="str">
        <f>IF(R$3="","",IF(COUNTIFS(BD!$A$3:$A$5001,R$3,BD!$B$3:$B$5001,$A$79,BD!$O$3:$O$5001,"&lt;&gt;")=0,"",SUMIFS(BD!$O$3:$O$5001,BD!$A$3:$A$5001,R$3,BD!$B$3:$B$5001,$A$79)))</f>
        <v/>
      </c>
      <c r="S92" s="225" t="str">
        <f>IF(S$3="","",IF(COUNTIFS(BD!$A$3:$A$5001,S$3,BD!$B$3:$B$5001,$A$79,BD!$O$3:$O$5001,"&lt;&gt;")=0,"",SUMIFS(BD!$O$3:$O$5001,BD!$A$3:$A$5001,S$3,BD!$B$3:$B$5001,$A$79)))</f>
        <v/>
      </c>
      <c r="T92" s="225" t="str">
        <f>IF(T$3="","",IF(COUNTIFS(BD!$A$3:$A$5001,T$3,BD!$B$3:$B$5001,$A$79,BD!$O$3:$O$5001,"&lt;&gt;")=0,"",SUMIFS(BD!$O$3:$O$5001,BD!$A$3:$A$5001,T$3,BD!$B$3:$B$5001,$A$79)))</f>
        <v/>
      </c>
      <c r="U92" s="225" t="str">
        <f>IF(U$3="","",IF(COUNTIFS(BD!$A$3:$A$5001,U$3,BD!$B$3:$B$5001,$A$79,BD!$O$3:$O$5001,"&lt;&gt;")=0,"",SUMIFS(BD!$O$3:$O$5001,BD!$A$3:$A$5001,U$3,BD!$B$3:$B$5001,$A$79)))</f>
        <v/>
      </c>
      <c r="V92" s="225" t="str">
        <f>IF(V$3="","",IF(COUNTIFS(BD!$A$3:$A$5001,V$3,BD!$B$3:$B$5001,$A$79,BD!$O$3:$O$5001,"&lt;&gt;")=0,"",SUMIFS(BD!$O$3:$O$5001,BD!$A$3:$A$5001,V$3,BD!$B$3:$B$5001,$A$79)))</f>
        <v/>
      </c>
      <c r="W92" s="225" t="str">
        <f>IF(W$3="","",IF(COUNTIFS(BD!$A$3:$A$5001,W$3,BD!$B$3:$B$5001,$A$79,BD!$O$3:$O$5001,"&lt;&gt;")=0,"",SUMIFS(BD!$O$3:$O$5001,BD!$A$3:$A$5001,W$3,BD!$B$3:$B$5001,$A$79)))</f>
        <v/>
      </c>
      <c r="X92" s="225" t="str">
        <f>IF(X$3="","",IF(COUNTIFS(BD!$A$3:$A$5001,X$3,BD!$B$3:$B$5001,$A$79,BD!$O$3:$O$5001,"&lt;&gt;")=0,"",SUMIFS(BD!$O$3:$O$5001,BD!$A$3:$A$5001,X$3,BD!$B$3:$B$5001,$A$79)))</f>
        <v/>
      </c>
      <c r="Y92" s="225" t="str">
        <f>IF(Y$3="","",IF(COUNTIFS(BD!$A$3:$A$5001,Y$3,BD!$B$3:$B$5001,$A$79,BD!$O$3:$O$5001,"&lt;&gt;")=0,"",SUMIFS(BD!$O$3:$O$5001,BD!$A$3:$A$5001,Y$3,BD!$B$3:$B$5001,$A$79)))</f>
        <v/>
      </c>
      <c r="Z92" s="225" t="str">
        <f>IF(Z$3="","",IF(COUNTIFS(BD!$A$3:$A$5001,Z$3,BD!$B$3:$B$5001,$A$79,BD!$O$3:$O$5001,"&lt;&gt;")=0,"",SUMIFS(BD!$O$3:$O$5001,BD!$A$3:$A$5001,Z$3,BD!$B$3:$B$5001,$A$79)))</f>
        <v/>
      </c>
      <c r="AA92" s="225" t="str">
        <f>IF(AA$3="","",IF(COUNTIFS(BD!$A$3:$A$5001,AA$3,BD!$B$3:$B$5001,$A$79,BD!$O$3:$O$5001,"&lt;&gt;")=0,"",SUMIFS(BD!$O$3:$O$5001,BD!$A$3:$A$5001,AA$3,BD!$B$3:$B$5001,$A$79)))</f>
        <v/>
      </c>
      <c r="AB92" s="225" t="str">
        <f>IF(AB$3="","",IF(COUNTIFS(BD!$A$3:$A$5001,AB$3,BD!$B$3:$B$5001,$A$79,BD!$O$3:$O$5001,"&lt;&gt;")=0,"",SUMIFS(BD!$O$3:$O$5001,BD!$A$3:$A$5001,AB$3,BD!$B$3:$B$5001,$A$79)))</f>
        <v/>
      </c>
      <c r="AC92" s="225" t="str">
        <f>IF(AC$3="","",IF(COUNTIFS(BD!$A$3:$A$5001,AC$3,BD!$B$3:$B$5001,$A$79,BD!$O$3:$O$5001,"&lt;&gt;")=0,"",SUMIFS(BD!$O$3:$O$5001,BD!$A$3:$A$5001,AC$3,BD!$B$3:$B$5001,$A$79)))</f>
        <v/>
      </c>
      <c r="AD92" s="225" t="str">
        <f>IF(AD$3="","",IF(COUNTIFS(BD!$A$3:$A$5001,AD$3,BD!$B$3:$B$5001,$A$79,BD!$O$3:$O$5001,"&lt;&gt;")=0,"",SUMIFS(BD!$O$3:$O$5001,BD!$A$3:$A$5001,AD$3,BD!$B$3:$B$5001,$A$79)))</f>
        <v/>
      </c>
      <c r="AE92" s="225" t="str">
        <f>IF(AE$3="","",IF(COUNTIFS(BD!$A$3:$A$5001,AE$3,BD!$B$3:$B$5001,$A$79,BD!$O$3:$O$5001,"&lt;&gt;")=0,"",SUMIFS(BD!$O$3:$O$5001,BD!$A$3:$A$5001,AE$3,BD!$B$3:$B$5001,$A$79)))</f>
        <v/>
      </c>
      <c r="AF92" s="225" t="str">
        <f>IF(AF$3="","",IF(COUNTIFS(BD!$A$3:$A$5001,AF$3,BD!$B$3:$B$5001,$A$79,BD!$O$3:$O$5001,"&lt;&gt;")=0,"",SUMIFS(BD!$O$3:$O$5001,BD!$A$3:$A$5001,AF$3,BD!$B$3:$B$5001,$A$79)))</f>
        <v/>
      </c>
      <c r="AG92" s="225" t="str">
        <f>IF(AG$3="","",IF(COUNTIFS(BD!$A$3:$A$5001,AG$3,BD!$B$3:$B$5001,$A$79,BD!$O$3:$O$5001,"&lt;&gt;")=0,"",SUMIFS(BD!$O$3:$O$5001,BD!$A$3:$A$5001,AG$3,BD!$B$3:$B$5001,$A$79)))</f>
        <v/>
      </c>
      <c r="AH92" s="225" t="str">
        <f>IF(AH$3="","",IF(COUNTIFS(BD!$A$3:$A$5001,AH$3,BD!$B$3:$B$5001,$A$79,BD!$O$3:$O$5001,"&lt;&gt;")=0,"",SUMIFS(BD!$O$3:$O$5001,BD!$A$3:$A$5001,AH$3,BD!$B$3:$B$5001,$A$79)))</f>
        <v/>
      </c>
      <c r="AI92" s="225" t="str">
        <f>IF(AI$3="","",IF(COUNTIFS(BD!$A$3:$A$5001,AI$3,BD!$B$3:$B$5001,$A$79,BD!$O$3:$O$5001,"&lt;&gt;")=0,"",SUMIFS(BD!$O$3:$O$5001,BD!$A$3:$A$5001,AI$3,BD!$B$3:$B$5001,$A$79)))</f>
        <v/>
      </c>
      <c r="AJ92" s="226" t="str">
        <f>IF(AJ$3="","",IF(COUNTIFS(BD!$A$3:$A$5001,AJ$3,BD!$B$3:$B$5001,$A$79,BD!$O$3:$O$5001,"&lt;&gt;")=0,"",SUMIFS(BD!$O$3:$O$5001,BD!$A$3:$A$5001,AJ$3,BD!$B$3:$B$5001,$A$79)))</f>
        <v/>
      </c>
      <c r="AK92" s="227" t="str">
        <f>IF(COUNT(F92:AJ92)=0,"",SUM(F92:AJ92))</f>
        <v/>
      </c>
    </row>
    <row r="93" ht="15.75" customHeight="1">
      <c r="A93" s="247"/>
      <c r="B93" s="244"/>
      <c r="C93" s="221" t="inlineStr">
        <is>
          <t xml:space="preserve">Folga</t>
        </is>
      </c>
      <c r="D93" s="222" t="str">
        <f>IFERROR(1/(1/INDEX(BD!$Y$37:$AD$37,MATCH($A$79,BD!$Y$22:$AD$22,0))),"")</f>
        <v/>
      </c>
      <c r="E93" s="223"/>
      <c r="F93" s="224" t="str">
        <f>IF(F$3="","",IF(COUNTIFS(BD!$A$3:$A$5001,F$3,BD!$B$3:$B$5001,$A$79,BD!$P$3:$P$5001,"&lt;&gt;")=0,"",SUMIFS(BD!$P$3:$P$5001,BD!$A$3:$A$5001,F$3,BD!$B$3:$B$5001,$A$79)))</f>
        <v/>
      </c>
      <c r="G93" s="225" t="str">
        <f>IF(G$3="","",IF(COUNTIFS(BD!$A$3:$A$5001,G$3,BD!$B$3:$B$5001,$A$79,BD!$P$3:$P$5001,"&lt;&gt;")=0,"",SUMIFS(BD!$P$3:$P$5001,BD!$A$3:$A$5001,G$3,BD!$B$3:$B$5001,$A$79)))</f>
        <v/>
      </c>
      <c r="H93" s="225" t="str">
        <f>IF(H$3="","",IF(COUNTIFS(BD!$A$3:$A$5001,H$3,BD!$B$3:$B$5001,$A$79,BD!$P$3:$P$5001,"&lt;&gt;")=0,"",SUMIFS(BD!$P$3:$P$5001,BD!$A$3:$A$5001,H$3,BD!$B$3:$B$5001,$A$79)))</f>
        <v/>
      </c>
      <c r="I93" s="225" t="str">
        <f>IF(I$3="","",IF(COUNTIFS(BD!$A$3:$A$5001,I$3,BD!$B$3:$B$5001,$A$79,BD!$P$3:$P$5001,"&lt;&gt;")=0,"",SUMIFS(BD!$P$3:$P$5001,BD!$A$3:$A$5001,I$3,BD!$B$3:$B$5001,$A$79)))</f>
        <v/>
      </c>
      <c r="J93" s="225" t="str">
        <f>IF(J$3="","",IF(COUNTIFS(BD!$A$3:$A$5001,J$3,BD!$B$3:$B$5001,$A$79,BD!$P$3:$P$5001,"&lt;&gt;")=0,"",SUMIFS(BD!$P$3:$P$5001,BD!$A$3:$A$5001,J$3,BD!$B$3:$B$5001,$A$79)))</f>
        <v/>
      </c>
      <c r="K93" s="225" t="str">
        <f>IF(K$3="","",IF(COUNTIFS(BD!$A$3:$A$5001,K$3,BD!$B$3:$B$5001,$A$79,BD!$P$3:$P$5001,"&lt;&gt;")=0,"",SUMIFS(BD!$P$3:$P$5001,BD!$A$3:$A$5001,K$3,BD!$B$3:$B$5001,$A$79)))</f>
        <v/>
      </c>
      <c r="L93" s="225" t="str">
        <f>IF(L$3="","",IF(COUNTIFS(BD!$A$3:$A$5001,L$3,BD!$B$3:$B$5001,$A$79,BD!$P$3:$P$5001,"&lt;&gt;")=0,"",SUMIFS(BD!$P$3:$P$5001,BD!$A$3:$A$5001,L$3,BD!$B$3:$B$5001,$A$79)))</f>
        <v/>
      </c>
      <c r="M93" s="225" t="str">
        <f>IF(M$3="","",IF(COUNTIFS(BD!$A$3:$A$5001,M$3,BD!$B$3:$B$5001,$A$79,BD!$P$3:$P$5001,"&lt;&gt;")=0,"",SUMIFS(BD!$P$3:$P$5001,BD!$A$3:$A$5001,M$3,BD!$B$3:$B$5001,$A$79)))</f>
        <v/>
      </c>
      <c r="N93" s="225" t="str">
        <f>IF(N$3="","",IF(COUNTIFS(BD!$A$3:$A$5001,N$3,BD!$B$3:$B$5001,$A$79,BD!$P$3:$P$5001,"&lt;&gt;")=0,"",SUMIFS(BD!$P$3:$P$5001,BD!$A$3:$A$5001,N$3,BD!$B$3:$B$5001,$A$79)))</f>
        <v/>
      </c>
      <c r="O93" s="225" t="str">
        <f>IF(O$3="","",IF(COUNTIFS(BD!$A$3:$A$5001,O$3,BD!$B$3:$B$5001,$A$79,BD!$P$3:$P$5001,"&lt;&gt;")=0,"",SUMIFS(BD!$P$3:$P$5001,BD!$A$3:$A$5001,O$3,BD!$B$3:$B$5001,$A$79)))</f>
        <v/>
      </c>
      <c r="P93" s="225" t="str">
        <f>IF(P$3="","",IF(COUNTIFS(BD!$A$3:$A$5001,P$3,BD!$B$3:$B$5001,$A$79,BD!$P$3:$P$5001,"&lt;&gt;")=0,"",SUMIFS(BD!$P$3:$P$5001,BD!$A$3:$A$5001,P$3,BD!$B$3:$B$5001,$A$79)))</f>
        <v/>
      </c>
      <c r="Q93" s="225" t="str">
        <f>IF(Q$3="","",IF(COUNTIFS(BD!$A$3:$A$5001,Q$3,BD!$B$3:$B$5001,$A$79,BD!$P$3:$P$5001,"&lt;&gt;")=0,"",SUMIFS(BD!$P$3:$P$5001,BD!$A$3:$A$5001,Q$3,BD!$B$3:$B$5001,$A$79)))</f>
        <v/>
      </c>
      <c r="R93" s="225" t="str">
        <f>IF(R$3="","",IF(COUNTIFS(BD!$A$3:$A$5001,R$3,BD!$B$3:$B$5001,$A$79,BD!$P$3:$P$5001,"&lt;&gt;")=0,"",SUMIFS(BD!$P$3:$P$5001,BD!$A$3:$A$5001,R$3,BD!$B$3:$B$5001,$A$79)))</f>
        <v/>
      </c>
      <c r="S93" s="225" t="str">
        <f>IF(S$3="","",IF(COUNTIFS(BD!$A$3:$A$5001,S$3,BD!$B$3:$B$5001,$A$79,BD!$P$3:$P$5001,"&lt;&gt;")=0,"",SUMIFS(BD!$P$3:$P$5001,BD!$A$3:$A$5001,S$3,BD!$B$3:$B$5001,$A$79)))</f>
        <v/>
      </c>
      <c r="T93" s="225" t="str">
        <f>IF(T$3="","",IF(COUNTIFS(BD!$A$3:$A$5001,T$3,BD!$B$3:$B$5001,$A$79,BD!$P$3:$P$5001,"&lt;&gt;")=0,"",SUMIFS(BD!$P$3:$P$5001,BD!$A$3:$A$5001,T$3,BD!$B$3:$B$5001,$A$79)))</f>
        <v/>
      </c>
      <c r="U93" s="225" t="str">
        <f>IF(U$3="","",IF(COUNTIFS(BD!$A$3:$A$5001,U$3,BD!$B$3:$B$5001,$A$79,BD!$P$3:$P$5001,"&lt;&gt;")=0,"",SUMIFS(BD!$P$3:$P$5001,BD!$A$3:$A$5001,U$3,BD!$B$3:$B$5001,$A$79)))</f>
        <v/>
      </c>
      <c r="V93" s="225" t="str">
        <f>IF(V$3="","",IF(COUNTIFS(BD!$A$3:$A$5001,V$3,BD!$B$3:$B$5001,$A$79,BD!$P$3:$P$5001,"&lt;&gt;")=0,"",SUMIFS(BD!$P$3:$P$5001,BD!$A$3:$A$5001,V$3,BD!$B$3:$B$5001,$A$79)))</f>
        <v/>
      </c>
      <c r="W93" s="225" t="str">
        <f>IF(W$3="","",IF(COUNTIFS(BD!$A$3:$A$5001,W$3,BD!$B$3:$B$5001,$A$79,BD!$P$3:$P$5001,"&lt;&gt;")=0,"",SUMIFS(BD!$P$3:$P$5001,BD!$A$3:$A$5001,W$3,BD!$B$3:$B$5001,$A$79)))</f>
        <v/>
      </c>
      <c r="X93" s="225" t="str">
        <f>IF(X$3="","",IF(COUNTIFS(BD!$A$3:$A$5001,X$3,BD!$B$3:$B$5001,$A$79,BD!$P$3:$P$5001,"&lt;&gt;")=0,"",SUMIFS(BD!$P$3:$P$5001,BD!$A$3:$A$5001,X$3,BD!$B$3:$B$5001,$A$79)))</f>
        <v/>
      </c>
      <c r="Y93" s="225" t="str">
        <f>IF(Y$3="","",IF(COUNTIFS(BD!$A$3:$A$5001,Y$3,BD!$B$3:$B$5001,$A$79,BD!$P$3:$P$5001,"&lt;&gt;")=0,"",SUMIFS(BD!$P$3:$P$5001,BD!$A$3:$A$5001,Y$3,BD!$B$3:$B$5001,$A$79)))</f>
        <v/>
      </c>
      <c r="Z93" s="225" t="str">
        <f>IF(Z$3="","",IF(COUNTIFS(BD!$A$3:$A$5001,Z$3,BD!$B$3:$B$5001,$A$79,BD!$P$3:$P$5001,"&lt;&gt;")=0,"",SUMIFS(BD!$P$3:$P$5001,BD!$A$3:$A$5001,Z$3,BD!$B$3:$B$5001,$A$79)))</f>
        <v/>
      </c>
      <c r="AA93" s="225" t="str">
        <f>IF(AA$3="","",IF(COUNTIFS(BD!$A$3:$A$5001,AA$3,BD!$B$3:$B$5001,$A$79,BD!$P$3:$P$5001,"&lt;&gt;")=0,"",SUMIFS(BD!$P$3:$P$5001,BD!$A$3:$A$5001,AA$3,BD!$B$3:$B$5001,$A$79)))</f>
        <v/>
      </c>
      <c r="AB93" s="225" t="str">
        <f>IF(AB$3="","",IF(COUNTIFS(BD!$A$3:$A$5001,AB$3,BD!$B$3:$B$5001,$A$79,BD!$P$3:$P$5001,"&lt;&gt;")=0,"",SUMIFS(BD!$P$3:$P$5001,BD!$A$3:$A$5001,AB$3,BD!$B$3:$B$5001,$A$79)))</f>
        <v/>
      </c>
      <c r="AC93" s="225" t="str">
        <f>IF(AC$3="","",IF(COUNTIFS(BD!$A$3:$A$5001,AC$3,BD!$B$3:$B$5001,$A$79,BD!$P$3:$P$5001,"&lt;&gt;")=0,"",SUMIFS(BD!$P$3:$P$5001,BD!$A$3:$A$5001,AC$3,BD!$B$3:$B$5001,$A$79)))</f>
        <v/>
      </c>
      <c r="AD93" s="225" t="str">
        <f>IF(AD$3="","",IF(COUNTIFS(BD!$A$3:$A$5001,AD$3,BD!$B$3:$B$5001,$A$79,BD!$P$3:$P$5001,"&lt;&gt;")=0,"",SUMIFS(BD!$P$3:$P$5001,BD!$A$3:$A$5001,AD$3,BD!$B$3:$B$5001,$A$79)))</f>
        <v/>
      </c>
      <c r="AE93" s="225" t="str">
        <f>IF(AE$3="","",IF(COUNTIFS(BD!$A$3:$A$5001,AE$3,BD!$B$3:$B$5001,$A$79,BD!$P$3:$P$5001,"&lt;&gt;")=0,"",SUMIFS(BD!$P$3:$P$5001,BD!$A$3:$A$5001,AE$3,BD!$B$3:$B$5001,$A$79)))</f>
        <v/>
      </c>
      <c r="AF93" s="225" t="str">
        <f>IF(AF$3="","",IF(COUNTIFS(BD!$A$3:$A$5001,AF$3,BD!$B$3:$B$5001,$A$79,BD!$P$3:$P$5001,"&lt;&gt;")=0,"",SUMIFS(BD!$P$3:$P$5001,BD!$A$3:$A$5001,AF$3,BD!$B$3:$B$5001,$A$79)))</f>
        <v/>
      </c>
      <c r="AG93" s="225" t="str">
        <f>IF(AG$3="","",IF(COUNTIFS(BD!$A$3:$A$5001,AG$3,BD!$B$3:$B$5001,$A$79,BD!$P$3:$P$5001,"&lt;&gt;")=0,"",SUMIFS(BD!$P$3:$P$5001,BD!$A$3:$A$5001,AG$3,BD!$B$3:$B$5001,$A$79)))</f>
        <v/>
      </c>
      <c r="AH93" s="225" t="str">
        <f>IF(AH$3="","",IF(COUNTIFS(BD!$A$3:$A$5001,AH$3,BD!$B$3:$B$5001,$A$79,BD!$P$3:$P$5001,"&lt;&gt;")=0,"",SUMIFS(BD!$P$3:$P$5001,BD!$A$3:$A$5001,AH$3,BD!$B$3:$B$5001,$A$79)))</f>
        <v/>
      </c>
      <c r="AI93" s="225" t="str">
        <f>IF(AI$3="","",IF(COUNTIFS(BD!$A$3:$A$5001,AI$3,BD!$B$3:$B$5001,$A$79,BD!$P$3:$P$5001,"&lt;&gt;")=0,"",SUMIFS(BD!$P$3:$P$5001,BD!$A$3:$A$5001,AI$3,BD!$B$3:$B$5001,$A$79)))</f>
        <v/>
      </c>
      <c r="AJ93" s="226" t="str">
        <f>IF(AJ$3="","",IF(COUNTIFS(BD!$A$3:$A$5001,AJ$3,BD!$B$3:$B$5001,$A$79,BD!$P$3:$P$5001,"&lt;&gt;")=0,"",SUMIFS(BD!$P$3:$P$5001,BD!$A$3:$A$5001,AJ$3,BD!$B$3:$B$5001,$A$79)))</f>
        <v/>
      </c>
      <c r="AK93" s="227" t="str">
        <f>IF(COUNT(F93:AJ93)=0,"",SUM(F93:AJ93))</f>
        <v/>
      </c>
    </row>
    <row r="94" ht="15.75" customHeight="1">
      <c r="A94" s="247"/>
      <c r="B94" s="244"/>
      <c r="C94" s="221" t="inlineStr">
        <is>
          <t xml:space="preserve">Férias</t>
        </is>
      </c>
      <c r="D94" s="222" t="str">
        <f>IFERROR(1/(1/INDEX(BD!$Y$38:$AD$38,MATCH($A$79,BD!$Y$22:$AD$22,0))),"")</f>
        <v/>
      </c>
      <c r="E94" s="223"/>
      <c r="F94" s="224" t="str">
        <f>IF(F$3="","",IF(COUNTIFS(BD!$A$3:$A$5001,F$3,BD!$B$3:$B$5001,$A$79,BD!$Q$3:$Q$5001,"&lt;&gt;")=0,"",SUMIFS(BD!$Q$3:$Q$5001,BD!$A$3:$A$5001,F$3,BD!$B$3:$B$5001,$A$79)))</f>
        <v/>
      </c>
      <c r="G94" s="225" t="str">
        <f>IF(G$3="","",IF(COUNTIFS(BD!$A$3:$A$5001,G$3,BD!$B$3:$B$5001,$A$79,BD!$Q$3:$Q$5001,"&lt;&gt;")=0,"",SUMIFS(BD!$Q$3:$Q$5001,BD!$A$3:$A$5001,G$3,BD!$B$3:$B$5001,$A$79)))</f>
        <v/>
      </c>
      <c r="H94" s="225" t="str">
        <f>IF(H$3="","",IF(COUNTIFS(BD!$A$3:$A$5001,H$3,BD!$B$3:$B$5001,$A$79,BD!$Q$3:$Q$5001,"&lt;&gt;")=0,"",SUMIFS(BD!$Q$3:$Q$5001,BD!$A$3:$A$5001,H$3,BD!$B$3:$B$5001,$A$79)))</f>
        <v/>
      </c>
      <c r="I94" s="225" t="str">
        <f>IF(I$3="","",IF(COUNTIFS(BD!$A$3:$A$5001,I$3,BD!$B$3:$B$5001,$A$79,BD!$Q$3:$Q$5001,"&lt;&gt;")=0,"",SUMIFS(BD!$Q$3:$Q$5001,BD!$A$3:$A$5001,I$3,BD!$B$3:$B$5001,$A$79)))</f>
        <v/>
      </c>
      <c r="J94" s="225" t="str">
        <f>IF(J$3="","",IF(COUNTIFS(BD!$A$3:$A$5001,J$3,BD!$B$3:$B$5001,$A$79,BD!$Q$3:$Q$5001,"&lt;&gt;")=0,"",SUMIFS(BD!$Q$3:$Q$5001,BD!$A$3:$A$5001,J$3,BD!$B$3:$B$5001,$A$79)))</f>
        <v/>
      </c>
      <c r="K94" s="225" t="str">
        <f>IF(K$3="","",IF(COUNTIFS(BD!$A$3:$A$5001,K$3,BD!$B$3:$B$5001,$A$79,BD!$Q$3:$Q$5001,"&lt;&gt;")=0,"",SUMIFS(BD!$Q$3:$Q$5001,BD!$A$3:$A$5001,K$3,BD!$B$3:$B$5001,$A$79)))</f>
        <v/>
      </c>
      <c r="L94" s="225" t="str">
        <f>IF(L$3="","",IF(COUNTIFS(BD!$A$3:$A$5001,L$3,BD!$B$3:$B$5001,$A$79,BD!$Q$3:$Q$5001,"&lt;&gt;")=0,"",SUMIFS(BD!$Q$3:$Q$5001,BD!$A$3:$A$5001,L$3,BD!$B$3:$B$5001,$A$79)))</f>
        <v/>
      </c>
      <c r="M94" s="225" t="str">
        <f>IF(M$3="","",IF(COUNTIFS(BD!$A$3:$A$5001,M$3,BD!$B$3:$B$5001,$A$79,BD!$Q$3:$Q$5001,"&lt;&gt;")=0,"",SUMIFS(BD!$Q$3:$Q$5001,BD!$A$3:$A$5001,M$3,BD!$B$3:$B$5001,$A$79)))</f>
        <v/>
      </c>
      <c r="N94" s="225" t="str">
        <f>IF(N$3="","",IF(COUNTIFS(BD!$A$3:$A$5001,N$3,BD!$B$3:$B$5001,$A$79,BD!$Q$3:$Q$5001,"&lt;&gt;")=0,"",SUMIFS(BD!$Q$3:$Q$5001,BD!$A$3:$A$5001,N$3,BD!$B$3:$B$5001,$A$79)))</f>
        <v/>
      </c>
      <c r="O94" s="225" t="str">
        <f>IF(O$3="","",IF(COUNTIFS(BD!$A$3:$A$5001,O$3,BD!$B$3:$B$5001,$A$79,BD!$Q$3:$Q$5001,"&lt;&gt;")=0,"",SUMIFS(BD!$Q$3:$Q$5001,BD!$A$3:$A$5001,O$3,BD!$B$3:$B$5001,$A$79)))</f>
        <v/>
      </c>
      <c r="P94" s="225" t="str">
        <f>IF(P$3="","",IF(COUNTIFS(BD!$A$3:$A$5001,P$3,BD!$B$3:$B$5001,$A$79,BD!$Q$3:$Q$5001,"&lt;&gt;")=0,"",SUMIFS(BD!$Q$3:$Q$5001,BD!$A$3:$A$5001,P$3,BD!$B$3:$B$5001,$A$79)))</f>
        <v/>
      </c>
      <c r="Q94" s="225" t="str">
        <f>IF(Q$3="","",IF(COUNTIFS(BD!$A$3:$A$5001,Q$3,BD!$B$3:$B$5001,$A$79,BD!$Q$3:$Q$5001,"&lt;&gt;")=0,"",SUMIFS(BD!$Q$3:$Q$5001,BD!$A$3:$A$5001,Q$3,BD!$B$3:$B$5001,$A$79)))</f>
        <v/>
      </c>
      <c r="R94" s="225" t="str">
        <f>IF(R$3="","",IF(COUNTIFS(BD!$A$3:$A$5001,R$3,BD!$B$3:$B$5001,$A$79,BD!$Q$3:$Q$5001,"&lt;&gt;")=0,"",SUMIFS(BD!$Q$3:$Q$5001,BD!$A$3:$A$5001,R$3,BD!$B$3:$B$5001,$A$79)))</f>
        <v/>
      </c>
      <c r="S94" s="225" t="str">
        <f>IF(S$3="","",IF(COUNTIFS(BD!$A$3:$A$5001,S$3,BD!$B$3:$B$5001,$A$79,BD!$Q$3:$Q$5001,"&lt;&gt;")=0,"",SUMIFS(BD!$Q$3:$Q$5001,BD!$A$3:$A$5001,S$3,BD!$B$3:$B$5001,$A$79)))</f>
        <v/>
      </c>
      <c r="T94" s="225" t="str">
        <f>IF(T$3="","",IF(COUNTIFS(BD!$A$3:$A$5001,T$3,BD!$B$3:$B$5001,$A$79,BD!$Q$3:$Q$5001,"&lt;&gt;")=0,"",SUMIFS(BD!$Q$3:$Q$5001,BD!$A$3:$A$5001,T$3,BD!$B$3:$B$5001,$A$79)))</f>
        <v/>
      </c>
      <c r="U94" s="225" t="str">
        <f>IF(U$3="","",IF(COUNTIFS(BD!$A$3:$A$5001,U$3,BD!$B$3:$B$5001,$A$79,BD!$Q$3:$Q$5001,"&lt;&gt;")=0,"",SUMIFS(BD!$Q$3:$Q$5001,BD!$A$3:$A$5001,U$3,BD!$B$3:$B$5001,$A$79)))</f>
        <v/>
      </c>
      <c r="V94" s="225" t="str">
        <f>IF(V$3="","",IF(COUNTIFS(BD!$A$3:$A$5001,V$3,BD!$B$3:$B$5001,$A$79,BD!$Q$3:$Q$5001,"&lt;&gt;")=0,"",SUMIFS(BD!$Q$3:$Q$5001,BD!$A$3:$A$5001,V$3,BD!$B$3:$B$5001,$A$79)))</f>
        <v/>
      </c>
      <c r="W94" s="225" t="str">
        <f>IF(W$3="","",IF(COUNTIFS(BD!$A$3:$A$5001,W$3,BD!$B$3:$B$5001,$A$79,BD!$Q$3:$Q$5001,"&lt;&gt;")=0,"",SUMIFS(BD!$Q$3:$Q$5001,BD!$A$3:$A$5001,W$3,BD!$B$3:$B$5001,$A$79)))</f>
        <v/>
      </c>
      <c r="X94" s="225" t="str">
        <f>IF(X$3="","",IF(COUNTIFS(BD!$A$3:$A$5001,X$3,BD!$B$3:$B$5001,$A$79,BD!$Q$3:$Q$5001,"&lt;&gt;")=0,"",SUMIFS(BD!$Q$3:$Q$5001,BD!$A$3:$A$5001,X$3,BD!$B$3:$B$5001,$A$79)))</f>
        <v/>
      </c>
      <c r="Y94" s="225" t="str">
        <f>IF(Y$3="","",IF(COUNTIFS(BD!$A$3:$A$5001,Y$3,BD!$B$3:$B$5001,$A$79,BD!$Q$3:$Q$5001,"&lt;&gt;")=0,"",SUMIFS(BD!$Q$3:$Q$5001,BD!$A$3:$A$5001,Y$3,BD!$B$3:$B$5001,$A$79)))</f>
        <v/>
      </c>
      <c r="Z94" s="225" t="str">
        <f>IF(Z$3="","",IF(COUNTIFS(BD!$A$3:$A$5001,Z$3,BD!$B$3:$B$5001,$A$79,BD!$Q$3:$Q$5001,"&lt;&gt;")=0,"",SUMIFS(BD!$Q$3:$Q$5001,BD!$A$3:$A$5001,Z$3,BD!$B$3:$B$5001,$A$79)))</f>
        <v/>
      </c>
      <c r="AA94" s="225" t="str">
        <f>IF(AA$3="","",IF(COUNTIFS(BD!$A$3:$A$5001,AA$3,BD!$B$3:$B$5001,$A$79,BD!$Q$3:$Q$5001,"&lt;&gt;")=0,"",SUMIFS(BD!$Q$3:$Q$5001,BD!$A$3:$A$5001,AA$3,BD!$B$3:$B$5001,$A$79)))</f>
        <v/>
      </c>
      <c r="AB94" s="225" t="str">
        <f>IF(AB$3="","",IF(COUNTIFS(BD!$A$3:$A$5001,AB$3,BD!$B$3:$B$5001,$A$79,BD!$Q$3:$Q$5001,"&lt;&gt;")=0,"",SUMIFS(BD!$Q$3:$Q$5001,BD!$A$3:$A$5001,AB$3,BD!$B$3:$B$5001,$A$79)))</f>
        <v/>
      </c>
      <c r="AC94" s="225" t="str">
        <f>IF(AC$3="","",IF(COUNTIFS(BD!$A$3:$A$5001,AC$3,BD!$B$3:$B$5001,$A$79,BD!$Q$3:$Q$5001,"&lt;&gt;")=0,"",SUMIFS(BD!$Q$3:$Q$5001,BD!$A$3:$A$5001,AC$3,BD!$B$3:$B$5001,$A$79)))</f>
        <v/>
      </c>
      <c r="AD94" s="225" t="str">
        <f>IF(AD$3="","",IF(COUNTIFS(BD!$A$3:$A$5001,AD$3,BD!$B$3:$B$5001,$A$79,BD!$Q$3:$Q$5001,"&lt;&gt;")=0,"",SUMIFS(BD!$Q$3:$Q$5001,BD!$A$3:$A$5001,AD$3,BD!$B$3:$B$5001,$A$79)))</f>
        <v/>
      </c>
      <c r="AE94" s="225" t="str">
        <f>IF(AE$3="","",IF(COUNTIFS(BD!$A$3:$A$5001,AE$3,BD!$B$3:$B$5001,$A$79,BD!$Q$3:$Q$5001,"&lt;&gt;")=0,"",SUMIFS(BD!$Q$3:$Q$5001,BD!$A$3:$A$5001,AE$3,BD!$B$3:$B$5001,$A$79)))</f>
        <v/>
      </c>
      <c r="AF94" s="225" t="str">
        <f>IF(AF$3="","",IF(COUNTIFS(BD!$A$3:$A$5001,AF$3,BD!$B$3:$B$5001,$A$79,BD!$Q$3:$Q$5001,"&lt;&gt;")=0,"",SUMIFS(BD!$Q$3:$Q$5001,BD!$A$3:$A$5001,AF$3,BD!$B$3:$B$5001,$A$79)))</f>
        <v/>
      </c>
      <c r="AG94" s="225" t="str">
        <f>IF(AG$3="","",IF(COUNTIFS(BD!$A$3:$A$5001,AG$3,BD!$B$3:$B$5001,$A$79,BD!$Q$3:$Q$5001,"&lt;&gt;")=0,"",SUMIFS(BD!$Q$3:$Q$5001,BD!$A$3:$A$5001,AG$3,BD!$B$3:$B$5001,$A$79)))</f>
        <v/>
      </c>
      <c r="AH94" s="225" t="str">
        <f>IF(AH$3="","",IF(COUNTIFS(BD!$A$3:$A$5001,AH$3,BD!$B$3:$B$5001,$A$79,BD!$Q$3:$Q$5001,"&lt;&gt;")=0,"",SUMIFS(BD!$Q$3:$Q$5001,BD!$A$3:$A$5001,AH$3,BD!$B$3:$B$5001,$A$79)))</f>
        <v/>
      </c>
      <c r="AI94" s="225" t="str">
        <f>IF(AI$3="","",IF(COUNTIFS(BD!$A$3:$A$5001,AI$3,BD!$B$3:$B$5001,$A$79,BD!$Q$3:$Q$5001,"&lt;&gt;")=0,"",SUMIFS(BD!$Q$3:$Q$5001,BD!$A$3:$A$5001,AI$3,BD!$B$3:$B$5001,$A$79)))</f>
        <v/>
      </c>
      <c r="AJ94" s="226" t="str">
        <f>IF(AJ$3="","",IF(COUNTIFS(BD!$A$3:$A$5001,AJ$3,BD!$B$3:$B$5001,$A$79,BD!$Q$3:$Q$5001,"&lt;&gt;")=0,"",SUMIFS(BD!$Q$3:$Q$5001,BD!$A$3:$A$5001,AJ$3,BD!$B$3:$B$5001,$A$79)))</f>
        <v/>
      </c>
      <c r="AK94" s="227" t="str">
        <f>IF(COUNT(F94:AJ94)=0,"",SUM(F94:AJ94))</f>
        <v/>
      </c>
    </row>
    <row r="95" ht="15.75" customHeight="1">
      <c r="A95" s="247"/>
      <c r="B95" s="244"/>
      <c r="C95" s="221" t="inlineStr">
        <is>
          <t xml:space="preserve">Desligamento</t>
        </is>
      </c>
      <c r="D95" s="222" t="str">
        <f>IFERROR(1/(1/INDEX(BD!$Y$39:$AD$39,MATCH($A$79,BD!$Y$22:$AD$22,0))),"")</f>
        <v/>
      </c>
      <c r="E95" s="223"/>
      <c r="F95" s="224" t="str">
        <f>IF(F$3="","",IF(COUNTIFS(BD!$A$3:$A$5001,F$3,BD!$B$3:$B$5001,$A$79,BD!$R$3:$R$5001,"&lt;&gt;")=0,"",SUMIFS(BD!$R$3:$R$5001,BD!$A$3:$A$5001,F$3,BD!$B$3:$B$5001,$A$79)))</f>
        <v/>
      </c>
      <c r="G95" s="225" t="str">
        <f>IF(G$3="","",IF(COUNTIFS(BD!$A$3:$A$5001,G$3,BD!$B$3:$B$5001,$A$79,BD!$R$3:$R$5001,"&lt;&gt;")=0,"",SUMIFS(BD!$R$3:$R$5001,BD!$A$3:$A$5001,G$3,BD!$B$3:$B$5001,$A$79)))</f>
        <v/>
      </c>
      <c r="H95" s="225" t="str">
        <f>IF(H$3="","",IF(COUNTIFS(BD!$A$3:$A$5001,H$3,BD!$B$3:$B$5001,$A$79,BD!$R$3:$R$5001,"&lt;&gt;")=0,"",SUMIFS(BD!$R$3:$R$5001,BD!$A$3:$A$5001,H$3,BD!$B$3:$B$5001,$A$79)))</f>
        <v/>
      </c>
      <c r="I95" s="225" t="str">
        <f>IF(I$3="","",IF(COUNTIFS(BD!$A$3:$A$5001,I$3,BD!$B$3:$B$5001,$A$79,BD!$R$3:$R$5001,"&lt;&gt;")=0,"",SUMIFS(BD!$R$3:$R$5001,BD!$A$3:$A$5001,I$3,BD!$B$3:$B$5001,$A$79)))</f>
        <v/>
      </c>
      <c r="J95" s="225" t="str">
        <f>IF(J$3="","",IF(COUNTIFS(BD!$A$3:$A$5001,J$3,BD!$B$3:$B$5001,$A$79,BD!$R$3:$R$5001,"&lt;&gt;")=0,"",SUMIFS(BD!$R$3:$R$5001,BD!$A$3:$A$5001,J$3,BD!$B$3:$B$5001,$A$79)))</f>
        <v/>
      </c>
      <c r="K95" s="225" t="str">
        <f>IF(K$3="","",IF(COUNTIFS(BD!$A$3:$A$5001,K$3,BD!$B$3:$B$5001,$A$79,BD!$R$3:$R$5001,"&lt;&gt;")=0,"",SUMIFS(BD!$R$3:$R$5001,BD!$A$3:$A$5001,K$3,BD!$B$3:$B$5001,$A$79)))</f>
        <v/>
      </c>
      <c r="L95" s="225" t="str">
        <f>IF(L$3="","",IF(COUNTIFS(BD!$A$3:$A$5001,L$3,BD!$B$3:$B$5001,$A$79,BD!$R$3:$R$5001,"&lt;&gt;")=0,"",SUMIFS(BD!$R$3:$R$5001,BD!$A$3:$A$5001,L$3,BD!$B$3:$B$5001,$A$79)))</f>
        <v/>
      </c>
      <c r="M95" s="225" t="str">
        <f>IF(M$3="","",IF(COUNTIFS(BD!$A$3:$A$5001,M$3,BD!$B$3:$B$5001,$A$79,BD!$R$3:$R$5001,"&lt;&gt;")=0,"",SUMIFS(BD!$R$3:$R$5001,BD!$A$3:$A$5001,M$3,BD!$B$3:$B$5001,$A$79)))</f>
        <v/>
      </c>
      <c r="N95" s="225" t="str">
        <f>IF(N$3="","",IF(COUNTIFS(BD!$A$3:$A$5001,N$3,BD!$B$3:$B$5001,$A$79,BD!$R$3:$R$5001,"&lt;&gt;")=0,"",SUMIFS(BD!$R$3:$R$5001,BD!$A$3:$A$5001,N$3,BD!$B$3:$B$5001,$A$79)))</f>
        <v/>
      </c>
      <c r="O95" s="225" t="str">
        <f>IF(O$3="","",IF(COUNTIFS(BD!$A$3:$A$5001,O$3,BD!$B$3:$B$5001,$A$79,BD!$R$3:$R$5001,"&lt;&gt;")=0,"",SUMIFS(BD!$R$3:$R$5001,BD!$A$3:$A$5001,O$3,BD!$B$3:$B$5001,$A$79)))</f>
        <v/>
      </c>
      <c r="P95" s="225" t="str">
        <f>IF(P$3="","",IF(COUNTIFS(BD!$A$3:$A$5001,P$3,BD!$B$3:$B$5001,$A$79,BD!$R$3:$R$5001,"&lt;&gt;")=0,"",SUMIFS(BD!$R$3:$R$5001,BD!$A$3:$A$5001,P$3,BD!$B$3:$B$5001,$A$79)))</f>
        <v/>
      </c>
      <c r="Q95" s="225" t="str">
        <f>IF(Q$3="","",IF(COUNTIFS(BD!$A$3:$A$5001,Q$3,BD!$B$3:$B$5001,$A$79,BD!$R$3:$R$5001,"&lt;&gt;")=0,"",SUMIFS(BD!$R$3:$R$5001,BD!$A$3:$A$5001,Q$3,BD!$B$3:$B$5001,$A$79)))</f>
        <v/>
      </c>
      <c r="R95" s="225" t="str">
        <f>IF(R$3="","",IF(COUNTIFS(BD!$A$3:$A$5001,R$3,BD!$B$3:$B$5001,$A$79,BD!$R$3:$R$5001,"&lt;&gt;")=0,"",SUMIFS(BD!$R$3:$R$5001,BD!$A$3:$A$5001,R$3,BD!$B$3:$B$5001,$A$79)))</f>
        <v/>
      </c>
      <c r="S95" s="225" t="str">
        <f>IF(S$3="","",IF(COUNTIFS(BD!$A$3:$A$5001,S$3,BD!$B$3:$B$5001,$A$79,BD!$R$3:$R$5001,"&lt;&gt;")=0,"",SUMIFS(BD!$R$3:$R$5001,BD!$A$3:$A$5001,S$3,BD!$B$3:$B$5001,$A$79)))</f>
        <v/>
      </c>
      <c r="T95" s="225" t="str">
        <f>IF(T$3="","",IF(COUNTIFS(BD!$A$3:$A$5001,T$3,BD!$B$3:$B$5001,$A$79,BD!$R$3:$R$5001,"&lt;&gt;")=0,"",SUMIFS(BD!$R$3:$R$5001,BD!$A$3:$A$5001,T$3,BD!$B$3:$B$5001,$A$79)))</f>
        <v/>
      </c>
      <c r="U95" s="225" t="str">
        <f>IF(U$3="","",IF(COUNTIFS(BD!$A$3:$A$5001,U$3,BD!$B$3:$B$5001,$A$79,BD!$R$3:$R$5001,"&lt;&gt;")=0,"",SUMIFS(BD!$R$3:$R$5001,BD!$A$3:$A$5001,U$3,BD!$B$3:$B$5001,$A$79)))</f>
        <v/>
      </c>
      <c r="V95" s="225" t="str">
        <f>IF(V$3="","",IF(COUNTIFS(BD!$A$3:$A$5001,V$3,BD!$B$3:$B$5001,$A$79,BD!$R$3:$R$5001,"&lt;&gt;")=0,"",SUMIFS(BD!$R$3:$R$5001,BD!$A$3:$A$5001,V$3,BD!$B$3:$B$5001,$A$79)))</f>
        <v/>
      </c>
      <c r="W95" s="225" t="str">
        <f>IF(W$3="","",IF(COUNTIFS(BD!$A$3:$A$5001,W$3,BD!$B$3:$B$5001,$A$79,BD!$R$3:$R$5001,"&lt;&gt;")=0,"",SUMIFS(BD!$R$3:$R$5001,BD!$A$3:$A$5001,W$3,BD!$B$3:$B$5001,$A$79)))</f>
        <v/>
      </c>
      <c r="X95" s="225" t="str">
        <f>IF(X$3="","",IF(COUNTIFS(BD!$A$3:$A$5001,X$3,BD!$B$3:$B$5001,$A$79,BD!$R$3:$R$5001,"&lt;&gt;")=0,"",SUMIFS(BD!$R$3:$R$5001,BD!$A$3:$A$5001,X$3,BD!$B$3:$B$5001,$A$79)))</f>
        <v/>
      </c>
      <c r="Y95" s="225" t="str">
        <f>IF(Y$3="","",IF(COUNTIFS(BD!$A$3:$A$5001,Y$3,BD!$B$3:$B$5001,$A$79,BD!$R$3:$R$5001,"&lt;&gt;")=0,"",SUMIFS(BD!$R$3:$R$5001,BD!$A$3:$A$5001,Y$3,BD!$B$3:$B$5001,$A$79)))</f>
        <v/>
      </c>
      <c r="Z95" s="225" t="str">
        <f>IF(Z$3="","",IF(COUNTIFS(BD!$A$3:$A$5001,Z$3,BD!$B$3:$B$5001,$A$79,BD!$R$3:$R$5001,"&lt;&gt;")=0,"",SUMIFS(BD!$R$3:$R$5001,BD!$A$3:$A$5001,Z$3,BD!$B$3:$B$5001,$A$79)))</f>
        <v/>
      </c>
      <c r="AA95" s="225" t="str">
        <f>IF(AA$3="","",IF(COUNTIFS(BD!$A$3:$A$5001,AA$3,BD!$B$3:$B$5001,$A$79,BD!$R$3:$R$5001,"&lt;&gt;")=0,"",SUMIFS(BD!$R$3:$R$5001,BD!$A$3:$A$5001,AA$3,BD!$B$3:$B$5001,$A$79)))</f>
        <v/>
      </c>
      <c r="AB95" s="225" t="str">
        <f>IF(AB$3="","",IF(COUNTIFS(BD!$A$3:$A$5001,AB$3,BD!$B$3:$B$5001,$A$79,BD!$R$3:$R$5001,"&lt;&gt;")=0,"",SUMIFS(BD!$R$3:$R$5001,BD!$A$3:$A$5001,AB$3,BD!$B$3:$B$5001,$A$79)))</f>
        <v/>
      </c>
      <c r="AC95" s="225" t="str">
        <f>IF(AC$3="","",IF(COUNTIFS(BD!$A$3:$A$5001,AC$3,BD!$B$3:$B$5001,$A$79,BD!$R$3:$R$5001,"&lt;&gt;")=0,"",SUMIFS(BD!$R$3:$R$5001,BD!$A$3:$A$5001,AC$3,BD!$B$3:$B$5001,$A$79)))</f>
        <v/>
      </c>
      <c r="AD95" s="225" t="str">
        <f>IF(AD$3="","",IF(COUNTIFS(BD!$A$3:$A$5001,AD$3,BD!$B$3:$B$5001,$A$79,BD!$R$3:$R$5001,"&lt;&gt;")=0,"",SUMIFS(BD!$R$3:$R$5001,BD!$A$3:$A$5001,AD$3,BD!$B$3:$B$5001,$A$79)))</f>
        <v/>
      </c>
      <c r="AE95" s="225" t="str">
        <f>IF(AE$3="","",IF(COUNTIFS(BD!$A$3:$A$5001,AE$3,BD!$B$3:$B$5001,$A$79,BD!$R$3:$R$5001,"&lt;&gt;")=0,"",SUMIFS(BD!$R$3:$R$5001,BD!$A$3:$A$5001,AE$3,BD!$B$3:$B$5001,$A$79)))</f>
        <v/>
      </c>
      <c r="AF95" s="225" t="str">
        <f>IF(AF$3="","",IF(COUNTIFS(BD!$A$3:$A$5001,AF$3,BD!$B$3:$B$5001,$A$79,BD!$R$3:$R$5001,"&lt;&gt;")=0,"",SUMIFS(BD!$R$3:$R$5001,BD!$A$3:$A$5001,AF$3,BD!$B$3:$B$5001,$A$79)))</f>
        <v/>
      </c>
      <c r="AG95" s="225" t="str">
        <f>IF(AG$3="","",IF(COUNTIFS(BD!$A$3:$A$5001,AG$3,BD!$B$3:$B$5001,$A$79,BD!$R$3:$R$5001,"&lt;&gt;")=0,"",SUMIFS(BD!$R$3:$R$5001,BD!$A$3:$A$5001,AG$3,BD!$B$3:$B$5001,$A$79)))</f>
        <v/>
      </c>
      <c r="AH95" s="225" t="str">
        <f>IF(AH$3="","",IF(COUNTIFS(BD!$A$3:$A$5001,AH$3,BD!$B$3:$B$5001,$A$79,BD!$R$3:$R$5001,"&lt;&gt;")=0,"",SUMIFS(BD!$R$3:$R$5001,BD!$A$3:$A$5001,AH$3,BD!$B$3:$B$5001,$A$79)))</f>
        <v/>
      </c>
      <c r="AI95" s="225" t="str">
        <f>IF(AI$3="","",IF(COUNTIFS(BD!$A$3:$A$5001,AI$3,BD!$B$3:$B$5001,$A$79,BD!$R$3:$R$5001,"&lt;&gt;")=0,"",SUMIFS(BD!$R$3:$R$5001,BD!$A$3:$A$5001,AI$3,BD!$B$3:$B$5001,$A$79)))</f>
        <v/>
      </c>
      <c r="AJ95" s="226" t="str">
        <f>IF(AJ$3="","",IF(COUNTIFS(BD!$A$3:$A$5001,AJ$3,BD!$B$3:$B$5001,$A$79,BD!$R$3:$R$5001,"&lt;&gt;")=0,"",SUMIFS(BD!$R$3:$R$5001,BD!$A$3:$A$5001,AJ$3,BD!$B$3:$B$5001,$A$79)))</f>
        <v/>
      </c>
      <c r="AK95" s="227" t="str">
        <f>IF(COUNT(F95:AJ95)=0,"",SUM(F95:AJ95))</f>
        <v/>
      </c>
    </row>
    <row r="96" ht="15.75" customHeight="1">
      <c r="A96" s="247"/>
      <c r="B96" s="244"/>
      <c r="C96" s="221" t="inlineStr">
        <is>
          <t xml:space="preserve">Desvios Comportamentais</t>
        </is>
      </c>
      <c r="D96" s="222" t="str">
        <f>IFERROR(1/(1/INDEX(BD!$Y$40:$AD$40,MATCH($A$79,BD!$Y$22:$AD$22,0))),"")</f>
        <v/>
      </c>
      <c r="E96" s="223"/>
      <c r="F96" s="224" t="str">
        <f>IF(F$3="","",IF(COUNTIFS(BD!$A$3:$A$5001,F$3,BD!$B$3:$B$5001,$A$79,BD!$S$3:$S$5001,"&lt;&gt;")=0,"",SUMIFS(BD!$S$3:$S$5001,BD!$A$3:$A$5001,F$3,BD!$B$3:$B$5001,$A$79)))</f>
        <v/>
      </c>
      <c r="G96" s="225" t="str">
        <f>IF(G$3="","",IF(COUNTIFS(BD!$A$3:$A$5001,G$3,BD!$B$3:$B$5001,$A$79,BD!$S$3:$S$5001,"&lt;&gt;")=0,"",SUMIFS(BD!$S$3:$S$5001,BD!$A$3:$A$5001,G$3,BD!$B$3:$B$5001,$A$79)))</f>
        <v/>
      </c>
      <c r="H96" s="225" t="str">
        <f>IF(H$3="","",IF(COUNTIFS(BD!$A$3:$A$5001,H$3,BD!$B$3:$B$5001,$A$79,BD!$S$3:$S$5001,"&lt;&gt;")=0,"",SUMIFS(BD!$S$3:$S$5001,BD!$A$3:$A$5001,H$3,BD!$B$3:$B$5001,$A$79)))</f>
        <v/>
      </c>
      <c r="I96" s="225" t="str">
        <f>IF(I$3="","",IF(COUNTIFS(BD!$A$3:$A$5001,I$3,BD!$B$3:$B$5001,$A$79,BD!$S$3:$S$5001,"&lt;&gt;")=0,"",SUMIFS(BD!$S$3:$S$5001,BD!$A$3:$A$5001,I$3,BD!$B$3:$B$5001,$A$79)))</f>
        <v/>
      </c>
      <c r="J96" s="225" t="str">
        <f>IF(J$3="","",IF(COUNTIFS(BD!$A$3:$A$5001,J$3,BD!$B$3:$B$5001,$A$79,BD!$S$3:$S$5001,"&lt;&gt;")=0,"",SUMIFS(BD!$S$3:$S$5001,BD!$A$3:$A$5001,J$3,BD!$B$3:$B$5001,$A$79)))</f>
        <v/>
      </c>
      <c r="K96" s="225" t="str">
        <f>IF(K$3="","",IF(COUNTIFS(BD!$A$3:$A$5001,K$3,BD!$B$3:$B$5001,$A$79,BD!$S$3:$S$5001,"&lt;&gt;")=0,"",SUMIFS(BD!$S$3:$S$5001,BD!$A$3:$A$5001,K$3,BD!$B$3:$B$5001,$A$79)))</f>
        <v/>
      </c>
      <c r="L96" s="225" t="str">
        <f>IF(L$3="","",IF(COUNTIFS(BD!$A$3:$A$5001,L$3,BD!$B$3:$B$5001,$A$79,BD!$S$3:$S$5001,"&lt;&gt;")=0,"",SUMIFS(BD!$S$3:$S$5001,BD!$A$3:$A$5001,L$3,BD!$B$3:$B$5001,$A$79)))</f>
        <v/>
      </c>
      <c r="M96" s="225" t="str">
        <f>IF(M$3="","",IF(COUNTIFS(BD!$A$3:$A$5001,M$3,BD!$B$3:$B$5001,$A$79,BD!$S$3:$S$5001,"&lt;&gt;")=0,"",SUMIFS(BD!$S$3:$S$5001,BD!$A$3:$A$5001,M$3,BD!$B$3:$B$5001,$A$79)))</f>
        <v/>
      </c>
      <c r="N96" s="225" t="str">
        <f>IF(N$3="","",IF(COUNTIFS(BD!$A$3:$A$5001,N$3,BD!$B$3:$B$5001,$A$79,BD!$S$3:$S$5001,"&lt;&gt;")=0,"",SUMIFS(BD!$S$3:$S$5001,BD!$A$3:$A$5001,N$3,BD!$B$3:$B$5001,$A$79)))</f>
        <v/>
      </c>
      <c r="O96" s="225" t="str">
        <f>IF(O$3="","",IF(COUNTIFS(BD!$A$3:$A$5001,O$3,BD!$B$3:$B$5001,$A$79,BD!$S$3:$S$5001,"&lt;&gt;")=0,"",SUMIFS(BD!$S$3:$S$5001,BD!$A$3:$A$5001,O$3,BD!$B$3:$B$5001,$A$79)))</f>
        <v/>
      </c>
      <c r="P96" s="225" t="str">
        <f>IF(P$3="","",IF(COUNTIFS(BD!$A$3:$A$5001,P$3,BD!$B$3:$B$5001,$A$79,BD!$S$3:$S$5001,"&lt;&gt;")=0,"",SUMIFS(BD!$S$3:$S$5001,BD!$A$3:$A$5001,P$3,BD!$B$3:$B$5001,$A$79)))</f>
        <v/>
      </c>
      <c r="Q96" s="225" t="str">
        <f>IF(Q$3="","",IF(COUNTIFS(BD!$A$3:$A$5001,Q$3,BD!$B$3:$B$5001,$A$79,BD!$S$3:$S$5001,"&lt;&gt;")=0,"",SUMIFS(BD!$S$3:$S$5001,BD!$A$3:$A$5001,Q$3,BD!$B$3:$B$5001,$A$79)))</f>
        <v/>
      </c>
      <c r="R96" s="225" t="str">
        <f>IF(R$3="","",IF(COUNTIFS(BD!$A$3:$A$5001,R$3,BD!$B$3:$B$5001,$A$79,BD!$S$3:$S$5001,"&lt;&gt;")=0,"",SUMIFS(BD!$S$3:$S$5001,BD!$A$3:$A$5001,R$3,BD!$B$3:$B$5001,$A$79)))</f>
        <v/>
      </c>
      <c r="S96" s="225" t="str">
        <f>IF(S$3="","",IF(COUNTIFS(BD!$A$3:$A$5001,S$3,BD!$B$3:$B$5001,$A$79,BD!$S$3:$S$5001,"&lt;&gt;")=0,"",SUMIFS(BD!$S$3:$S$5001,BD!$A$3:$A$5001,S$3,BD!$B$3:$B$5001,$A$79)))</f>
        <v/>
      </c>
      <c r="T96" s="225" t="str">
        <f>IF(T$3="","",IF(COUNTIFS(BD!$A$3:$A$5001,T$3,BD!$B$3:$B$5001,$A$79,BD!$S$3:$S$5001,"&lt;&gt;")=0,"",SUMIFS(BD!$S$3:$S$5001,BD!$A$3:$A$5001,T$3,BD!$B$3:$B$5001,$A$79)))</f>
        <v/>
      </c>
      <c r="U96" s="225" t="str">
        <f>IF(U$3="","",IF(COUNTIFS(BD!$A$3:$A$5001,U$3,BD!$B$3:$B$5001,$A$79,BD!$S$3:$S$5001,"&lt;&gt;")=0,"",SUMIFS(BD!$S$3:$S$5001,BD!$A$3:$A$5001,U$3,BD!$B$3:$B$5001,$A$79)))</f>
        <v/>
      </c>
      <c r="V96" s="225" t="str">
        <f>IF(V$3="","",IF(COUNTIFS(BD!$A$3:$A$5001,V$3,BD!$B$3:$B$5001,$A$79,BD!$S$3:$S$5001,"&lt;&gt;")=0,"",SUMIFS(BD!$S$3:$S$5001,BD!$A$3:$A$5001,V$3,BD!$B$3:$B$5001,$A$79)))</f>
        <v/>
      </c>
      <c r="W96" s="225" t="str">
        <f>IF(W$3="","",IF(COUNTIFS(BD!$A$3:$A$5001,W$3,BD!$B$3:$B$5001,$A$79,BD!$S$3:$S$5001,"&lt;&gt;")=0,"",SUMIFS(BD!$S$3:$S$5001,BD!$A$3:$A$5001,W$3,BD!$B$3:$B$5001,$A$79)))</f>
        <v/>
      </c>
      <c r="X96" s="225" t="str">
        <f>IF(X$3="","",IF(COUNTIFS(BD!$A$3:$A$5001,X$3,BD!$B$3:$B$5001,$A$79,BD!$S$3:$S$5001,"&lt;&gt;")=0,"",SUMIFS(BD!$S$3:$S$5001,BD!$A$3:$A$5001,X$3,BD!$B$3:$B$5001,$A$79)))</f>
        <v/>
      </c>
      <c r="Y96" s="225" t="str">
        <f>IF(Y$3="","",IF(COUNTIFS(BD!$A$3:$A$5001,Y$3,BD!$B$3:$B$5001,$A$79,BD!$S$3:$S$5001,"&lt;&gt;")=0,"",SUMIFS(BD!$S$3:$S$5001,BD!$A$3:$A$5001,Y$3,BD!$B$3:$B$5001,$A$79)))</f>
        <v/>
      </c>
      <c r="Z96" s="225" t="str">
        <f>IF(Z$3="","",IF(COUNTIFS(BD!$A$3:$A$5001,Z$3,BD!$B$3:$B$5001,$A$79,BD!$S$3:$S$5001,"&lt;&gt;")=0,"",SUMIFS(BD!$S$3:$S$5001,BD!$A$3:$A$5001,Z$3,BD!$B$3:$B$5001,$A$79)))</f>
        <v/>
      </c>
      <c r="AA96" s="225" t="str">
        <f>IF(AA$3="","",IF(COUNTIFS(BD!$A$3:$A$5001,AA$3,BD!$B$3:$B$5001,$A$79,BD!$S$3:$S$5001,"&lt;&gt;")=0,"",SUMIFS(BD!$S$3:$S$5001,BD!$A$3:$A$5001,AA$3,BD!$B$3:$B$5001,$A$79)))</f>
        <v/>
      </c>
      <c r="AB96" s="225" t="str">
        <f>IF(AB$3="","",IF(COUNTIFS(BD!$A$3:$A$5001,AB$3,BD!$B$3:$B$5001,$A$79,BD!$S$3:$S$5001,"&lt;&gt;")=0,"",SUMIFS(BD!$S$3:$S$5001,BD!$A$3:$A$5001,AB$3,BD!$B$3:$B$5001,$A$79)))</f>
        <v/>
      </c>
      <c r="AC96" s="225" t="str">
        <f>IF(AC$3="","",IF(COUNTIFS(BD!$A$3:$A$5001,AC$3,BD!$B$3:$B$5001,$A$79,BD!$S$3:$S$5001,"&lt;&gt;")=0,"",SUMIFS(BD!$S$3:$S$5001,BD!$A$3:$A$5001,AC$3,BD!$B$3:$B$5001,$A$79)))</f>
        <v/>
      </c>
      <c r="AD96" s="225" t="str">
        <f>IF(AD$3="","",IF(COUNTIFS(BD!$A$3:$A$5001,AD$3,BD!$B$3:$B$5001,$A$79,BD!$S$3:$S$5001,"&lt;&gt;")=0,"",SUMIFS(BD!$S$3:$S$5001,BD!$A$3:$A$5001,AD$3,BD!$B$3:$B$5001,$A$79)))</f>
        <v/>
      </c>
      <c r="AE96" s="225" t="str">
        <f>IF(AE$3="","",IF(COUNTIFS(BD!$A$3:$A$5001,AE$3,BD!$B$3:$B$5001,$A$79,BD!$S$3:$S$5001,"&lt;&gt;")=0,"",SUMIFS(BD!$S$3:$S$5001,BD!$A$3:$A$5001,AE$3,BD!$B$3:$B$5001,$A$79)))</f>
        <v/>
      </c>
      <c r="AF96" s="225" t="str">
        <f>IF(AF$3="","",IF(COUNTIFS(BD!$A$3:$A$5001,AF$3,BD!$B$3:$B$5001,$A$79,BD!$S$3:$S$5001,"&lt;&gt;")=0,"",SUMIFS(BD!$S$3:$S$5001,BD!$A$3:$A$5001,AF$3,BD!$B$3:$B$5001,$A$79)))</f>
        <v/>
      </c>
      <c r="AG96" s="225" t="str">
        <f>IF(AG$3="","",IF(COUNTIFS(BD!$A$3:$A$5001,AG$3,BD!$B$3:$B$5001,$A$79,BD!$S$3:$S$5001,"&lt;&gt;")=0,"",SUMIFS(BD!$S$3:$S$5001,BD!$A$3:$A$5001,AG$3,BD!$B$3:$B$5001,$A$79)))</f>
        <v/>
      </c>
      <c r="AH96" s="225" t="str">
        <f>IF(AH$3="","",IF(COUNTIFS(BD!$A$3:$A$5001,AH$3,BD!$B$3:$B$5001,$A$79,BD!$S$3:$S$5001,"&lt;&gt;")=0,"",SUMIFS(BD!$S$3:$S$5001,BD!$A$3:$A$5001,AH$3,BD!$B$3:$B$5001,$A$79)))</f>
        <v/>
      </c>
      <c r="AI96" s="225" t="str">
        <f>IF(AI$3="","",IF(COUNTIFS(BD!$A$3:$A$5001,AI$3,BD!$B$3:$B$5001,$A$79,BD!$S$3:$S$5001,"&lt;&gt;")=0,"",SUMIFS(BD!$S$3:$S$5001,BD!$A$3:$A$5001,AI$3,BD!$B$3:$B$5001,$A$79)))</f>
        <v/>
      </c>
      <c r="AJ96" s="226" t="str">
        <f>IF(AJ$3="","",IF(COUNTIFS(BD!$A$3:$A$5001,AJ$3,BD!$B$3:$B$5001,$A$79,BD!$S$3:$S$5001,"&lt;&gt;")=0,"",SUMIFS(BD!$S$3:$S$5001,BD!$A$3:$A$5001,AJ$3,BD!$B$3:$B$5001,$A$79)))</f>
        <v/>
      </c>
      <c r="AK96" s="227" t="str">
        <f>IF(COUNT(F96:AJ96)=0,"",SUM(F96:AJ96))</f>
        <v/>
      </c>
    </row>
    <row r="97" ht="15.75" customHeight="1">
      <c r="A97" s="247"/>
      <c r="B97" s="244"/>
      <c r="C97" s="221" t="inlineStr">
        <is>
          <t xml:space="preserve">Acidentes CAF</t>
        </is>
      </c>
      <c r="D97" s="222" t="str">
        <f>IFERROR(1/(1/INDEX(BD!$Y$41:$AD$41,MATCH($A$79,BD!$Y$22:$AD$22,0))),"")</f>
        <v/>
      </c>
      <c r="E97" s="223"/>
      <c r="F97" s="224" t="str">
        <f>IF(F$3="","",IF(COUNTIFS(BD!$A$3:$A$5001,F$3,BD!$B$3:$B$5001,$A$79,BD!$T$3:$T$5001,"&lt;&gt;")=0,"",SUMIFS(BD!$T$3:$T$5001,BD!$A$3:$A$5001,F$3,BD!$B$3:$B$5001,$A$79)))</f>
        <v/>
      </c>
      <c r="G97" s="225" t="str">
        <f>IF(G$3="","",IF(COUNTIFS(BD!$A$3:$A$5001,G$3,BD!$B$3:$B$5001,$A$79,BD!$T$3:$T$5001,"&lt;&gt;")=0,"",SUMIFS(BD!$T$3:$T$5001,BD!$A$3:$A$5001,G$3,BD!$B$3:$B$5001,$A$79)))</f>
        <v/>
      </c>
      <c r="H97" s="225" t="str">
        <f>IF(H$3="","",IF(COUNTIFS(BD!$A$3:$A$5001,H$3,BD!$B$3:$B$5001,$A$79,BD!$T$3:$T$5001,"&lt;&gt;")=0,"",SUMIFS(BD!$T$3:$T$5001,BD!$A$3:$A$5001,H$3,BD!$B$3:$B$5001,$A$79)))</f>
        <v/>
      </c>
      <c r="I97" s="225" t="str">
        <f>IF(I$3="","",IF(COUNTIFS(BD!$A$3:$A$5001,I$3,BD!$B$3:$B$5001,$A$79,BD!$T$3:$T$5001,"&lt;&gt;")=0,"",SUMIFS(BD!$T$3:$T$5001,BD!$A$3:$A$5001,I$3,BD!$B$3:$B$5001,$A$79)))</f>
        <v/>
      </c>
      <c r="J97" s="225" t="str">
        <f>IF(J$3="","",IF(COUNTIFS(BD!$A$3:$A$5001,J$3,BD!$B$3:$B$5001,$A$79,BD!$T$3:$T$5001,"&lt;&gt;")=0,"",SUMIFS(BD!$T$3:$T$5001,BD!$A$3:$A$5001,J$3,BD!$B$3:$B$5001,$A$79)))</f>
        <v/>
      </c>
      <c r="K97" s="225" t="str">
        <f>IF(K$3="","",IF(COUNTIFS(BD!$A$3:$A$5001,K$3,BD!$B$3:$B$5001,$A$79,BD!$T$3:$T$5001,"&lt;&gt;")=0,"",SUMIFS(BD!$T$3:$T$5001,BD!$A$3:$A$5001,K$3,BD!$B$3:$B$5001,$A$79)))</f>
        <v/>
      </c>
      <c r="L97" s="225" t="str">
        <f>IF(L$3="","",IF(COUNTIFS(BD!$A$3:$A$5001,L$3,BD!$B$3:$B$5001,$A$79,BD!$T$3:$T$5001,"&lt;&gt;")=0,"",SUMIFS(BD!$T$3:$T$5001,BD!$A$3:$A$5001,L$3,BD!$B$3:$B$5001,$A$79)))</f>
        <v/>
      </c>
      <c r="M97" s="225" t="str">
        <f>IF(M$3="","",IF(COUNTIFS(BD!$A$3:$A$5001,M$3,BD!$B$3:$B$5001,$A$79,BD!$T$3:$T$5001,"&lt;&gt;")=0,"",SUMIFS(BD!$T$3:$T$5001,BD!$A$3:$A$5001,M$3,BD!$B$3:$B$5001,$A$79)))</f>
        <v/>
      </c>
      <c r="N97" s="225" t="str">
        <f>IF(N$3="","",IF(COUNTIFS(BD!$A$3:$A$5001,N$3,BD!$B$3:$B$5001,$A$79,BD!$T$3:$T$5001,"&lt;&gt;")=0,"",SUMIFS(BD!$T$3:$T$5001,BD!$A$3:$A$5001,N$3,BD!$B$3:$B$5001,$A$79)))</f>
        <v/>
      </c>
      <c r="O97" s="225" t="str">
        <f>IF(O$3="","",IF(COUNTIFS(BD!$A$3:$A$5001,O$3,BD!$B$3:$B$5001,$A$79,BD!$T$3:$T$5001,"&lt;&gt;")=0,"",SUMIFS(BD!$T$3:$T$5001,BD!$A$3:$A$5001,O$3,BD!$B$3:$B$5001,$A$79)))</f>
        <v/>
      </c>
      <c r="P97" s="225" t="str">
        <f>IF(P$3="","",IF(COUNTIFS(BD!$A$3:$A$5001,P$3,BD!$B$3:$B$5001,$A$79,BD!$T$3:$T$5001,"&lt;&gt;")=0,"",SUMIFS(BD!$T$3:$T$5001,BD!$A$3:$A$5001,P$3,BD!$B$3:$B$5001,$A$79)))</f>
        <v/>
      </c>
      <c r="Q97" s="225" t="str">
        <f>IF(Q$3="","",IF(COUNTIFS(BD!$A$3:$A$5001,Q$3,BD!$B$3:$B$5001,$A$79,BD!$T$3:$T$5001,"&lt;&gt;")=0,"",SUMIFS(BD!$T$3:$T$5001,BD!$A$3:$A$5001,Q$3,BD!$B$3:$B$5001,$A$79)))</f>
        <v/>
      </c>
      <c r="R97" s="225" t="str">
        <f>IF(R$3="","",IF(COUNTIFS(BD!$A$3:$A$5001,R$3,BD!$B$3:$B$5001,$A$79,BD!$T$3:$T$5001,"&lt;&gt;")=0,"",SUMIFS(BD!$T$3:$T$5001,BD!$A$3:$A$5001,R$3,BD!$B$3:$B$5001,$A$79)))</f>
        <v/>
      </c>
      <c r="S97" s="225" t="str">
        <f>IF(S$3="","",IF(COUNTIFS(BD!$A$3:$A$5001,S$3,BD!$B$3:$B$5001,$A$79,BD!$T$3:$T$5001,"&lt;&gt;")=0,"",SUMIFS(BD!$T$3:$T$5001,BD!$A$3:$A$5001,S$3,BD!$B$3:$B$5001,$A$79)))</f>
        <v/>
      </c>
      <c r="T97" s="225" t="str">
        <f>IF(T$3="","",IF(COUNTIFS(BD!$A$3:$A$5001,T$3,BD!$B$3:$B$5001,$A$79,BD!$T$3:$T$5001,"&lt;&gt;")=0,"",SUMIFS(BD!$T$3:$T$5001,BD!$A$3:$A$5001,T$3,BD!$B$3:$B$5001,$A$79)))</f>
        <v/>
      </c>
      <c r="U97" s="225" t="str">
        <f>IF(U$3="","",IF(COUNTIFS(BD!$A$3:$A$5001,U$3,BD!$B$3:$B$5001,$A$79,BD!$T$3:$T$5001,"&lt;&gt;")=0,"",SUMIFS(BD!$T$3:$T$5001,BD!$A$3:$A$5001,U$3,BD!$B$3:$B$5001,$A$79)))</f>
        <v/>
      </c>
      <c r="V97" s="225" t="str">
        <f>IF(V$3="","",IF(COUNTIFS(BD!$A$3:$A$5001,V$3,BD!$B$3:$B$5001,$A$79,BD!$T$3:$T$5001,"&lt;&gt;")=0,"",SUMIFS(BD!$T$3:$T$5001,BD!$A$3:$A$5001,V$3,BD!$B$3:$B$5001,$A$79)))</f>
        <v/>
      </c>
      <c r="W97" s="225" t="str">
        <f>IF(W$3="","",IF(COUNTIFS(BD!$A$3:$A$5001,W$3,BD!$B$3:$B$5001,$A$79,BD!$T$3:$T$5001,"&lt;&gt;")=0,"",SUMIFS(BD!$T$3:$T$5001,BD!$A$3:$A$5001,W$3,BD!$B$3:$B$5001,$A$79)))</f>
        <v/>
      </c>
      <c r="X97" s="225" t="str">
        <f>IF(X$3="","",IF(COUNTIFS(BD!$A$3:$A$5001,X$3,BD!$B$3:$B$5001,$A$79,BD!$T$3:$T$5001,"&lt;&gt;")=0,"",SUMIFS(BD!$T$3:$T$5001,BD!$A$3:$A$5001,X$3,BD!$B$3:$B$5001,$A$79)))</f>
        <v/>
      </c>
      <c r="Y97" s="225" t="str">
        <f>IF(Y$3="","",IF(COUNTIFS(BD!$A$3:$A$5001,Y$3,BD!$B$3:$B$5001,$A$79,BD!$T$3:$T$5001,"&lt;&gt;")=0,"",SUMIFS(BD!$T$3:$T$5001,BD!$A$3:$A$5001,Y$3,BD!$B$3:$B$5001,$A$79)))</f>
        <v/>
      </c>
      <c r="Z97" s="225" t="str">
        <f>IF(Z$3="","",IF(COUNTIFS(BD!$A$3:$A$5001,Z$3,BD!$B$3:$B$5001,$A$79,BD!$T$3:$T$5001,"&lt;&gt;")=0,"",SUMIFS(BD!$T$3:$T$5001,BD!$A$3:$A$5001,Z$3,BD!$B$3:$B$5001,$A$79)))</f>
        <v/>
      </c>
      <c r="AA97" s="225" t="str">
        <f>IF(AA$3="","",IF(COUNTIFS(BD!$A$3:$A$5001,AA$3,BD!$B$3:$B$5001,$A$79,BD!$T$3:$T$5001,"&lt;&gt;")=0,"",SUMIFS(BD!$T$3:$T$5001,BD!$A$3:$A$5001,AA$3,BD!$B$3:$B$5001,$A$79)))</f>
        <v/>
      </c>
      <c r="AB97" s="225" t="str">
        <f>IF(AB$3="","",IF(COUNTIFS(BD!$A$3:$A$5001,AB$3,BD!$B$3:$B$5001,$A$79,BD!$T$3:$T$5001,"&lt;&gt;")=0,"",SUMIFS(BD!$T$3:$T$5001,BD!$A$3:$A$5001,AB$3,BD!$B$3:$B$5001,$A$79)))</f>
        <v/>
      </c>
      <c r="AC97" s="225" t="str">
        <f>IF(AC$3="","",IF(COUNTIFS(BD!$A$3:$A$5001,AC$3,BD!$B$3:$B$5001,$A$79,BD!$T$3:$T$5001,"&lt;&gt;")=0,"",SUMIFS(BD!$T$3:$T$5001,BD!$A$3:$A$5001,AC$3,BD!$B$3:$B$5001,$A$79)))</f>
        <v/>
      </c>
      <c r="AD97" s="225" t="str">
        <f>IF(AD$3="","",IF(COUNTIFS(BD!$A$3:$A$5001,AD$3,BD!$B$3:$B$5001,$A$79,BD!$T$3:$T$5001,"&lt;&gt;")=0,"",SUMIFS(BD!$T$3:$T$5001,BD!$A$3:$A$5001,AD$3,BD!$B$3:$B$5001,$A$79)))</f>
        <v/>
      </c>
      <c r="AE97" s="225" t="str">
        <f>IF(AE$3="","",IF(COUNTIFS(BD!$A$3:$A$5001,AE$3,BD!$B$3:$B$5001,$A$79,BD!$T$3:$T$5001,"&lt;&gt;")=0,"",SUMIFS(BD!$T$3:$T$5001,BD!$A$3:$A$5001,AE$3,BD!$B$3:$B$5001,$A$79)))</f>
        <v/>
      </c>
      <c r="AF97" s="225" t="str">
        <f>IF(AF$3="","",IF(COUNTIFS(BD!$A$3:$A$5001,AF$3,BD!$B$3:$B$5001,$A$79,BD!$T$3:$T$5001,"&lt;&gt;")=0,"",SUMIFS(BD!$T$3:$T$5001,BD!$A$3:$A$5001,AF$3,BD!$B$3:$B$5001,$A$79)))</f>
        <v/>
      </c>
      <c r="AG97" s="225" t="str">
        <f>IF(AG$3="","",IF(COUNTIFS(BD!$A$3:$A$5001,AG$3,BD!$B$3:$B$5001,$A$79,BD!$T$3:$T$5001,"&lt;&gt;")=0,"",SUMIFS(BD!$T$3:$T$5001,BD!$A$3:$A$5001,AG$3,BD!$B$3:$B$5001,$A$79)))</f>
        <v/>
      </c>
      <c r="AH97" s="225" t="str">
        <f>IF(AH$3="","",IF(COUNTIFS(BD!$A$3:$A$5001,AH$3,BD!$B$3:$B$5001,$A$79,BD!$T$3:$T$5001,"&lt;&gt;")=0,"",SUMIFS(BD!$T$3:$T$5001,BD!$A$3:$A$5001,AH$3,BD!$B$3:$B$5001,$A$79)))</f>
        <v/>
      </c>
      <c r="AI97" s="225" t="str">
        <f>IF(AI$3="","",IF(COUNTIFS(BD!$A$3:$A$5001,AI$3,BD!$B$3:$B$5001,$A$79,BD!$T$3:$T$5001,"&lt;&gt;")=0,"",SUMIFS(BD!$T$3:$T$5001,BD!$A$3:$A$5001,AI$3,BD!$B$3:$B$5001,$A$79)))</f>
        <v/>
      </c>
      <c r="AJ97" s="226" t="str">
        <f>IF(AJ$3="","",IF(COUNTIFS(BD!$A$3:$A$5001,AJ$3,BD!$B$3:$B$5001,$A$79,BD!$T$3:$T$5001,"&lt;&gt;")=0,"",SUMIFS(BD!$T$3:$T$5001,BD!$A$3:$A$5001,AJ$3,BD!$B$3:$B$5001,$A$79)))</f>
        <v/>
      </c>
      <c r="AK97" s="227" t="str">
        <f>IF(COUNT(F97:AJ97)=0,"",SUM(F97:AJ97))</f>
        <v/>
      </c>
    </row>
    <row r="98" ht="15.75" customHeight="1">
      <c r="A98" s="248"/>
      <c r="B98" s="245"/>
      <c r="C98" s="228" t="inlineStr">
        <is>
          <t xml:space="preserve">Acidentes SAF</t>
        </is>
      </c>
      <c r="D98" s="229" t="str">
        <f>IFERROR(1/(1/INDEX(BD!$Y$42:$AD$42,MATCH($A$79,BD!$Y$22:$AD$22,0))),"")</f>
        <v/>
      </c>
      <c r="E98" s="230"/>
      <c r="F98" s="231" t="str">
        <f>IF(F$3="","",IF(COUNTIFS(BD!$A$3:$A$5001,F$3,BD!$B$3:$B$5001,$A$79,BD!$U$3:$U$5001,"&lt;&gt;")=0,"",SUMIFS(BD!$U$3:$U$5001,BD!$A$3:$A$5001,F$3,BD!$B$3:$B$5001,$A$79)))</f>
        <v/>
      </c>
      <c r="G98" s="232" t="str">
        <f>IF(G$3="","",IF(COUNTIFS(BD!$A$3:$A$5001,G$3,BD!$B$3:$B$5001,$A$79,BD!$U$3:$U$5001,"&lt;&gt;")=0,"",SUMIFS(BD!$U$3:$U$5001,BD!$A$3:$A$5001,G$3,BD!$B$3:$B$5001,$A$79)))</f>
        <v/>
      </c>
      <c r="H98" s="232" t="str">
        <f>IF(H$3="","",IF(COUNTIFS(BD!$A$3:$A$5001,H$3,BD!$B$3:$B$5001,$A$79,BD!$U$3:$U$5001,"&lt;&gt;")=0,"",SUMIFS(BD!$U$3:$U$5001,BD!$A$3:$A$5001,H$3,BD!$B$3:$B$5001,$A$79)))</f>
        <v/>
      </c>
      <c r="I98" s="232" t="str">
        <f>IF(I$3="","",IF(COUNTIFS(BD!$A$3:$A$5001,I$3,BD!$B$3:$B$5001,$A$79,BD!$U$3:$U$5001,"&lt;&gt;")=0,"",SUMIFS(BD!$U$3:$U$5001,BD!$A$3:$A$5001,I$3,BD!$B$3:$B$5001,$A$79)))</f>
        <v/>
      </c>
      <c r="J98" s="232" t="str">
        <f>IF(J$3="","",IF(COUNTIFS(BD!$A$3:$A$5001,J$3,BD!$B$3:$B$5001,$A$79,BD!$U$3:$U$5001,"&lt;&gt;")=0,"",SUMIFS(BD!$U$3:$U$5001,BD!$A$3:$A$5001,J$3,BD!$B$3:$B$5001,$A$79)))</f>
        <v/>
      </c>
      <c r="K98" s="232" t="str">
        <f>IF(K$3="","",IF(COUNTIFS(BD!$A$3:$A$5001,K$3,BD!$B$3:$B$5001,$A$79,BD!$U$3:$U$5001,"&lt;&gt;")=0,"",SUMIFS(BD!$U$3:$U$5001,BD!$A$3:$A$5001,K$3,BD!$B$3:$B$5001,$A$79)))</f>
        <v/>
      </c>
      <c r="L98" s="232" t="str">
        <f>IF(L$3="","",IF(COUNTIFS(BD!$A$3:$A$5001,L$3,BD!$B$3:$B$5001,$A$79,BD!$U$3:$U$5001,"&lt;&gt;")=0,"",SUMIFS(BD!$U$3:$U$5001,BD!$A$3:$A$5001,L$3,BD!$B$3:$B$5001,$A$79)))</f>
        <v/>
      </c>
      <c r="M98" s="232" t="str">
        <f>IF(M$3="","",IF(COUNTIFS(BD!$A$3:$A$5001,M$3,BD!$B$3:$B$5001,$A$79,BD!$U$3:$U$5001,"&lt;&gt;")=0,"",SUMIFS(BD!$U$3:$U$5001,BD!$A$3:$A$5001,M$3,BD!$B$3:$B$5001,$A$79)))</f>
        <v/>
      </c>
      <c r="N98" s="232" t="str">
        <f>IF(N$3="","",IF(COUNTIFS(BD!$A$3:$A$5001,N$3,BD!$B$3:$B$5001,$A$79,BD!$U$3:$U$5001,"&lt;&gt;")=0,"",SUMIFS(BD!$U$3:$U$5001,BD!$A$3:$A$5001,N$3,BD!$B$3:$B$5001,$A$79)))</f>
        <v/>
      </c>
      <c r="O98" s="232" t="str">
        <f>IF(O$3="","",IF(COUNTIFS(BD!$A$3:$A$5001,O$3,BD!$B$3:$B$5001,$A$79,BD!$U$3:$U$5001,"&lt;&gt;")=0,"",SUMIFS(BD!$U$3:$U$5001,BD!$A$3:$A$5001,O$3,BD!$B$3:$B$5001,$A$79)))</f>
        <v/>
      </c>
      <c r="P98" s="232" t="str">
        <f>IF(P$3="","",IF(COUNTIFS(BD!$A$3:$A$5001,P$3,BD!$B$3:$B$5001,$A$79,BD!$U$3:$U$5001,"&lt;&gt;")=0,"",SUMIFS(BD!$U$3:$U$5001,BD!$A$3:$A$5001,P$3,BD!$B$3:$B$5001,$A$79)))</f>
        <v/>
      </c>
      <c r="Q98" s="232" t="str">
        <f>IF(Q$3="","",IF(COUNTIFS(BD!$A$3:$A$5001,Q$3,BD!$B$3:$B$5001,$A$79,BD!$U$3:$U$5001,"&lt;&gt;")=0,"",SUMIFS(BD!$U$3:$U$5001,BD!$A$3:$A$5001,Q$3,BD!$B$3:$B$5001,$A$79)))</f>
        <v/>
      </c>
      <c r="R98" s="232" t="str">
        <f>IF(R$3="","",IF(COUNTIFS(BD!$A$3:$A$5001,R$3,BD!$B$3:$B$5001,$A$79,BD!$U$3:$U$5001,"&lt;&gt;")=0,"",SUMIFS(BD!$U$3:$U$5001,BD!$A$3:$A$5001,R$3,BD!$B$3:$B$5001,$A$79)))</f>
        <v/>
      </c>
      <c r="S98" s="232" t="str">
        <f>IF(S$3="","",IF(COUNTIFS(BD!$A$3:$A$5001,S$3,BD!$B$3:$B$5001,$A$79,BD!$U$3:$U$5001,"&lt;&gt;")=0,"",SUMIFS(BD!$U$3:$U$5001,BD!$A$3:$A$5001,S$3,BD!$B$3:$B$5001,$A$79)))</f>
        <v/>
      </c>
      <c r="T98" s="232" t="str">
        <f>IF(T$3="","",IF(COUNTIFS(BD!$A$3:$A$5001,T$3,BD!$B$3:$B$5001,$A$79,BD!$U$3:$U$5001,"&lt;&gt;")=0,"",SUMIFS(BD!$U$3:$U$5001,BD!$A$3:$A$5001,T$3,BD!$B$3:$B$5001,$A$79)))</f>
        <v/>
      </c>
      <c r="U98" s="232" t="str">
        <f>IF(U$3="","",IF(COUNTIFS(BD!$A$3:$A$5001,U$3,BD!$B$3:$B$5001,$A$79,BD!$U$3:$U$5001,"&lt;&gt;")=0,"",SUMIFS(BD!$U$3:$U$5001,BD!$A$3:$A$5001,U$3,BD!$B$3:$B$5001,$A$79)))</f>
        <v/>
      </c>
      <c r="V98" s="232" t="str">
        <f>IF(V$3="","",IF(COUNTIFS(BD!$A$3:$A$5001,V$3,BD!$B$3:$B$5001,$A$79,BD!$U$3:$U$5001,"&lt;&gt;")=0,"",SUMIFS(BD!$U$3:$U$5001,BD!$A$3:$A$5001,V$3,BD!$B$3:$B$5001,$A$79)))</f>
        <v/>
      </c>
      <c r="W98" s="232" t="str">
        <f>IF(W$3="","",IF(COUNTIFS(BD!$A$3:$A$5001,W$3,BD!$B$3:$B$5001,$A$79,BD!$U$3:$U$5001,"&lt;&gt;")=0,"",SUMIFS(BD!$U$3:$U$5001,BD!$A$3:$A$5001,W$3,BD!$B$3:$B$5001,$A$79)))</f>
        <v/>
      </c>
      <c r="X98" s="232" t="str">
        <f>IF(X$3="","",IF(COUNTIFS(BD!$A$3:$A$5001,X$3,BD!$B$3:$B$5001,$A$79,BD!$U$3:$U$5001,"&lt;&gt;")=0,"",SUMIFS(BD!$U$3:$U$5001,BD!$A$3:$A$5001,X$3,BD!$B$3:$B$5001,$A$79)))</f>
        <v/>
      </c>
      <c r="Y98" s="232" t="str">
        <f>IF(Y$3="","",IF(COUNTIFS(BD!$A$3:$A$5001,Y$3,BD!$B$3:$B$5001,$A$79,BD!$U$3:$U$5001,"&lt;&gt;")=0,"",SUMIFS(BD!$U$3:$U$5001,BD!$A$3:$A$5001,Y$3,BD!$B$3:$B$5001,$A$79)))</f>
        <v/>
      </c>
      <c r="Z98" s="232" t="str">
        <f>IF(Z$3="","",IF(COUNTIFS(BD!$A$3:$A$5001,Z$3,BD!$B$3:$B$5001,$A$79,BD!$U$3:$U$5001,"&lt;&gt;")=0,"",SUMIFS(BD!$U$3:$U$5001,BD!$A$3:$A$5001,Z$3,BD!$B$3:$B$5001,$A$79)))</f>
        <v/>
      </c>
      <c r="AA98" s="232" t="str">
        <f>IF(AA$3="","",IF(COUNTIFS(BD!$A$3:$A$5001,AA$3,BD!$B$3:$B$5001,$A$79,BD!$U$3:$U$5001,"&lt;&gt;")=0,"",SUMIFS(BD!$U$3:$U$5001,BD!$A$3:$A$5001,AA$3,BD!$B$3:$B$5001,$A$79)))</f>
        <v/>
      </c>
      <c r="AB98" s="232" t="str">
        <f>IF(AB$3="","",IF(COUNTIFS(BD!$A$3:$A$5001,AB$3,BD!$B$3:$B$5001,$A$79,BD!$U$3:$U$5001,"&lt;&gt;")=0,"",SUMIFS(BD!$U$3:$U$5001,BD!$A$3:$A$5001,AB$3,BD!$B$3:$B$5001,$A$79)))</f>
        <v/>
      </c>
      <c r="AC98" s="232" t="str">
        <f>IF(AC$3="","",IF(COUNTIFS(BD!$A$3:$A$5001,AC$3,BD!$B$3:$B$5001,$A$79,BD!$U$3:$U$5001,"&lt;&gt;")=0,"",SUMIFS(BD!$U$3:$U$5001,BD!$A$3:$A$5001,AC$3,BD!$B$3:$B$5001,$A$79)))</f>
        <v/>
      </c>
      <c r="AD98" s="232" t="str">
        <f>IF(AD$3="","",IF(COUNTIFS(BD!$A$3:$A$5001,AD$3,BD!$B$3:$B$5001,$A$79,BD!$U$3:$U$5001,"&lt;&gt;")=0,"",SUMIFS(BD!$U$3:$U$5001,BD!$A$3:$A$5001,AD$3,BD!$B$3:$B$5001,$A$79)))</f>
        <v/>
      </c>
      <c r="AE98" s="232" t="str">
        <f>IF(AE$3="","",IF(COUNTIFS(BD!$A$3:$A$5001,AE$3,BD!$B$3:$B$5001,$A$79,BD!$U$3:$U$5001,"&lt;&gt;")=0,"",SUMIFS(BD!$U$3:$U$5001,BD!$A$3:$A$5001,AE$3,BD!$B$3:$B$5001,$A$79)))</f>
        <v/>
      </c>
      <c r="AF98" s="232" t="str">
        <f>IF(AF$3="","",IF(COUNTIFS(BD!$A$3:$A$5001,AF$3,BD!$B$3:$B$5001,$A$79,BD!$U$3:$U$5001,"&lt;&gt;")=0,"",SUMIFS(BD!$U$3:$U$5001,BD!$A$3:$A$5001,AF$3,BD!$B$3:$B$5001,$A$79)))</f>
        <v/>
      </c>
      <c r="AG98" s="232" t="str">
        <f>IF(AG$3="","",IF(COUNTIFS(BD!$A$3:$A$5001,AG$3,BD!$B$3:$B$5001,$A$79,BD!$U$3:$U$5001,"&lt;&gt;")=0,"",SUMIFS(BD!$U$3:$U$5001,BD!$A$3:$A$5001,AG$3,BD!$B$3:$B$5001,$A$79)))</f>
        <v/>
      </c>
      <c r="AH98" s="232" t="str">
        <f>IF(AH$3="","",IF(COUNTIFS(BD!$A$3:$A$5001,AH$3,BD!$B$3:$B$5001,$A$79,BD!$U$3:$U$5001,"&lt;&gt;")=0,"",SUMIFS(BD!$U$3:$U$5001,BD!$A$3:$A$5001,AH$3,BD!$B$3:$B$5001,$A$79)))</f>
        <v/>
      </c>
      <c r="AI98" s="232" t="str">
        <f>IF(AI$3="","",IF(COUNTIFS(BD!$A$3:$A$5001,AI$3,BD!$B$3:$B$5001,$A$79,BD!$U$3:$U$5001,"&lt;&gt;")=0,"",SUMIFS(BD!$U$3:$U$5001,BD!$A$3:$A$5001,AI$3,BD!$B$3:$B$5001,$A$79)))</f>
        <v/>
      </c>
      <c r="AJ98" s="233" t="str">
        <f>IF(AJ$3="","",IF(COUNTIFS(BD!$A$3:$A$5001,AJ$3,BD!$B$3:$B$5001,$A$79,BD!$U$3:$U$5001,"&lt;&gt;")=0,"",SUMIFS(BD!$U$3:$U$5001,BD!$A$3:$A$5001,AJ$3,BD!$B$3:$B$5001,$A$79)))</f>
        <v/>
      </c>
      <c r="AK98" s="229" t="str">
        <f>IF(COUNT(F98:AJ98)=0,"",SUM(F98:AJ98))</f>
        <v/>
      </c>
    </row>
    <row r="100">
      <c r="A100" s="31" t="inlineStr">
        <is>
          <t xml:space="preserve">Mês / ano: filtro na célula vermelha do canto superior direito. Célula vazia = sem registro. MÊS: soma nos fluxos e NC; último dado em ocupação e efetivo. Taxa = ocupadas ÷ disponíveis (contrato). Ocupação: verde ≥ 90% (alta, boa notícia), verde escuro &gt; 100% (excede o contratado), amarelo 70–90% (média), vermelho &lt; 70% (ociosidade). Incidente &gt; 0 em vermelho. META: aba BD (tabela de metas).</t>
        </is>
      </c>
    </row>
  </sheetData>
  <sheetProtection password="CC30" sheet="1" objects="1" scenarios="1"/>
  <mergeCells count="33">
    <mergeCell ref="G1:AD1"/>
    <mergeCell ref="AE1:AK1"/>
    <mergeCell ref="A2:A3"/>
    <mergeCell ref="B2:C3"/>
    <mergeCell ref="D2:D3"/>
    <mergeCell ref="F2:AJ2"/>
    <mergeCell ref="AK2:AK3"/>
    <mergeCell ref="B5:B7"/>
    <mergeCell ref="B8:B10"/>
    <mergeCell ref="B11:B13"/>
    <mergeCell ref="B14:B16"/>
    <mergeCell ref="B17:B24"/>
    <mergeCell ref="A5:A24"/>
    <mergeCell ref="B26:B28"/>
    <mergeCell ref="B29:B31"/>
    <mergeCell ref="B32:B39"/>
    <mergeCell ref="A26:A39"/>
    <mergeCell ref="B41:B43"/>
    <mergeCell ref="B44:B46"/>
    <mergeCell ref="B47:B49"/>
    <mergeCell ref="B51:B58"/>
    <mergeCell ref="A41:A58"/>
    <mergeCell ref="B60:B62"/>
    <mergeCell ref="B63:B65"/>
    <mergeCell ref="B66:B68"/>
    <mergeCell ref="B70:B77"/>
    <mergeCell ref="A60:A77"/>
    <mergeCell ref="B79:B81"/>
    <mergeCell ref="B82:B84"/>
    <mergeCell ref="B85:B87"/>
    <mergeCell ref="B88:B90"/>
    <mergeCell ref="B91:B98"/>
    <mergeCell ref="A79:A98"/>
  </mergeCells>
  <conditionalFormatting sqref="F3:AJ3">
    <cfRule type="expression" dxfId="12" priority="1">
      <formula>AND(ISNUMBER(F3),WEEKDAY(F3,2)&gt;5)</formula>
    </cfRule>
  </conditionalFormatting>
  <conditionalFormatting sqref="F11:AJ11">
    <cfRule type="expression" dxfId="13" priority="2">
      <formula>AND(ISNUMBER(F11),F11&gt;0)</formula>
    </cfRule>
  </conditionalFormatting>
  <conditionalFormatting sqref="F16:AJ16 AK16">
    <cfRule type="expression" dxfId="14" priority="3" stopIfTrue="1">
      <formula>AND(ISNUMBER(F16),F16&gt;1)</formula>
    </cfRule>
  </conditionalFormatting>
  <conditionalFormatting sqref="F16:AJ16 AK16">
    <cfRule type="expression" dxfId="15" priority="4" stopIfTrue="1">
      <formula>AND(ISNUMBER(F16),F16&gt;=0.9)</formula>
    </cfRule>
  </conditionalFormatting>
  <conditionalFormatting sqref="F16:AJ16 AK16">
    <cfRule type="expression" dxfId="16" priority="5" stopIfTrue="1">
      <formula>AND(ISNUMBER(F16),F16&gt;=0.7)</formula>
    </cfRule>
  </conditionalFormatting>
  <conditionalFormatting sqref="F16:AJ16 AK16">
    <cfRule type="expression" dxfId="17" priority="6">
      <formula>ISNUMBER(F16)</formula>
    </cfRule>
  </conditionalFormatting>
  <conditionalFormatting sqref="F29:AJ29">
    <cfRule type="expression" dxfId="13" priority="7">
      <formula>AND(ISNUMBER(F29),F29&gt;0)</formula>
    </cfRule>
  </conditionalFormatting>
  <conditionalFormatting sqref="F47:AJ47">
    <cfRule type="expression" dxfId="13" priority="8">
      <formula>AND(ISNUMBER(F47),F47&gt;0)</formula>
    </cfRule>
  </conditionalFormatting>
  <conditionalFormatting sqref="F66:AJ66">
    <cfRule type="expression" dxfId="13" priority="9">
      <formula>AND(ISNUMBER(F66),F66&gt;0)</formula>
    </cfRule>
  </conditionalFormatting>
  <conditionalFormatting sqref="F85:AJ85">
    <cfRule type="expression" dxfId="13" priority="10">
      <formula>AND(ISNUMBER(F85),F85&gt;0)</formula>
    </cfRule>
  </conditionalFormatting>
  <conditionalFormatting sqref="F90:AJ90 AK90">
    <cfRule type="expression" dxfId="14" priority="11" stopIfTrue="1">
      <formula>AND(ISNUMBER(F90),F90&gt;1)</formula>
    </cfRule>
  </conditionalFormatting>
  <conditionalFormatting sqref="F90:AJ90 AK90">
    <cfRule type="expression" dxfId="15" priority="12" stopIfTrue="1">
      <formula>AND(ISNUMBER(F90),F90&gt;=0.9)</formula>
    </cfRule>
  </conditionalFormatting>
  <conditionalFormatting sqref="F90:AJ90 AK90">
    <cfRule type="expression" dxfId="16" priority="13" stopIfTrue="1">
      <formula>AND(ISNUMBER(F90),F90&gt;=0.7)</formula>
    </cfRule>
  </conditionalFormatting>
  <conditionalFormatting sqref="F90:AJ90 AK90">
    <cfRule type="expression" dxfId="17" priority="14">
      <formula>ISNUMBER(F90)</formula>
    </cfRule>
  </conditionalFormatting>
  <dataValidations count="1">
    <dataValidation type="list" allowBlank="1" showInputMessage="1" showErrorMessage="1" promptTitle="Mês" prompt="Escolha o mês do ano. Toda a aba se atualiza." errorTitle="Valor inválido" error="Escolha um mês da lista." sqref="AE1">
      <formula1>calculos!$AL$12:$AL$23</formula1>
    </dataValidation>
  </dataValidations>
  <pageMargins left="0.25" right="0.25" top="0.4" bottom="0.4" header="0.2" footer="0.2"/>
  <pageSetup paperSize="9" orientation="landscape" fitToWidth="1" fitToHeight="0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>
  <sheetPr>
    <tabColor rgb="FF595959"/>
    <pageSetUpPr fitToPage="1"/>
  </sheetPr>
  <dimension ref="A1:AA51"/>
  <sheetViews>
    <sheetView showGridLines="0" zoomScale="85" zoomScaleNormal="85" workbookViewId="0">
      <pane ySplit="3" topLeftCell="A4" activePane="bottomLeft" state="frozen"/>
      <selection pane="bottomLeft" activeCell="A4" sqref="A4"/>
    </sheetView>
  </sheetViews>
  <sheetFormatPr defaultRowHeight="15"/>
  <cols>
    <col min="1" max="1" width="2" customWidth="1"/>
    <col min="2" max="2" width="10" customWidth="1"/>
    <col min="3" max="3" width="10" customWidth="1"/>
    <col min="4" max="4" width="10" customWidth="1"/>
    <col min="5" max="5" width="10" customWidth="1"/>
    <col min="6" max="6" width="2.5" customWidth="1"/>
    <col min="7" max="7" width="10" customWidth="1"/>
    <col min="8" max="8" width="10" customWidth="1"/>
    <col min="9" max="9" width="10" customWidth="1"/>
    <col min="10" max="10" width="10" customWidth="1"/>
    <col min="11" max="11" width="2.5" customWidth="1"/>
    <col min="12" max="12" width="10" customWidth="1"/>
    <col min="13" max="13" width="10" customWidth="1"/>
    <col min="14" max="14" width="10" customWidth="1"/>
    <col min="15" max="15" width="10" customWidth="1"/>
    <col min="16" max="16" width="2.5" customWidth="1"/>
    <col min="17" max="17" width="10" customWidth="1"/>
    <col min="18" max="18" width="10" customWidth="1"/>
    <col min="19" max="19" width="10" customWidth="1"/>
    <col min="20" max="20" width="10" customWidth="1"/>
    <col min="21" max="21" width="2.5" customWidth="1"/>
    <col min="22" max="22" width="10" customWidth="1"/>
    <col min="23" max="23" width="10" customWidth="1"/>
    <col min="24" max="24" width="10" customWidth="1"/>
    <col min="25" max="25" width="10" customWidth="1"/>
    <col min="26" max="26" width="10" customWidth="1"/>
    <col min="27" max="27" width="2" customWidth="1"/>
  </cols>
  <sheetData>
    <row r="1" ht="34.5" customHeight="1">
      <c r="A1" s="90"/>
      <c r="B1" s="90"/>
      <c r="C1" s="90"/>
      <c r="D1" s="90"/>
      <c r="E1" s="90"/>
      <c r="F1" s="90"/>
      <c r="G1" s="130" t="inlineStr">
        <is>
          <t xml:space="preserve">CONSOL MENSAL · QUADRO DE INDICADORES</t>
        </is>
      </c>
      <c r="H1" s="130"/>
      <c r="I1" s="130"/>
      <c r="J1" s="130"/>
      <c r="K1" s="130"/>
      <c r="L1" s="130"/>
      <c r="M1" s="130"/>
      <c r="N1" s="130"/>
      <c r="O1" s="130"/>
      <c r="P1" s="130"/>
      <c r="Q1" s="130"/>
      <c r="R1" s="130"/>
      <c r="S1" s="130"/>
      <c r="T1" s="130"/>
      <c r="U1" s="130"/>
      <c r="V1" s="131" t="inlineStr">
        <is>
          <t xml:space="preserve">OUTUBRO · 2026</t>
        </is>
      </c>
      <c r="W1" s="131"/>
      <c r="X1" s="131"/>
      <c r="Y1" s="131"/>
      <c r="Z1" s="131"/>
      <c r="AA1" s="131"/>
    </row>
    <row r="3" ht="24" customHeight="1">
      <c r="B3" s="93" t="inlineStr">
        <is>
          <t xml:space="preserve">CLIENTE  ▸</t>
        </is>
      </c>
      <c r="C3" s="93"/>
      <c r="D3" s="94" t="inlineStr">
        <is>
          <t xml:space="preserve">Todos</t>
        </is>
      </c>
      <c r="E3" s="95"/>
      <c r="F3" s="95"/>
      <c r="G3" s="95"/>
      <c r="H3" s="95"/>
      <c r="I3" s="96"/>
      <c r="Q3" s="256" t="str">
        <f>IF(calculos_quadro!$B$9=0,"Sem dados na Base para o mês escolhido","Dados até "&amp;TEXT(calculos_quadro!$C$7+calculos_quadro!$B$9-1,"dd/mm")&amp;"/"&amp;YEAR(calculos_quadro!$C$7)&amp;" · comparação: "&amp;calculos_quadro!$B$8&amp;", dias 1 a "&amp;calculos_quadro!$B$9)</f>
        <v>Sem dados na Base para o mês escolhido</v>
      </c>
      <c r="R3" s="256"/>
      <c r="S3" s="256"/>
      <c r="T3" s="256"/>
      <c r="U3" s="256"/>
      <c r="V3" s="256"/>
      <c r="W3" s="256"/>
      <c r="X3" s="256"/>
      <c r="Y3" s="256"/>
      <c r="Z3" s="256"/>
    </row>
    <row r="5" ht="20" customHeight="1">
      <c r="B5" s="257" t="inlineStr">
        <is>
          <t xml:space="preserve">QUADRO DE INDICADORES · cliente e mês selecionados</t>
        </is>
      </c>
      <c r="C5" s="257"/>
      <c r="D5" s="257"/>
      <c r="E5" s="257"/>
      <c r="F5" s="257"/>
      <c r="G5" s="257"/>
      <c r="H5" s="257"/>
      <c r="I5" s="257"/>
      <c r="J5" s="257"/>
      <c r="K5" s="257"/>
      <c r="L5" s="257"/>
      <c r="M5" s="257"/>
      <c r="N5" s="257"/>
      <c r="O5" s="257"/>
      <c r="P5" s="257"/>
      <c r="Q5" s="257"/>
      <c r="R5" s="257"/>
      <c r="S5" s="257"/>
      <c r="T5" s="257"/>
      <c r="U5" s="257"/>
      <c r="V5" s="257"/>
      <c r="W5" s="257"/>
      <c r="X5" s="257"/>
      <c r="Y5" s="257"/>
      <c r="Z5" s="257"/>
    </row>
    <row r="6" ht="28" customHeight="1">
      <c r="B6" s="258" t="inlineStr">
        <is>
          <t xml:space="preserve">GRUPO</t>
        </is>
      </c>
      <c r="C6" s="259"/>
      <c r="D6" s="258" t="inlineStr">
        <is>
          <t xml:space="preserve">INDICADOR</t>
        </is>
      </c>
      <c r="E6" s="260"/>
      <c r="F6" s="260"/>
      <c r="G6" s="259"/>
      <c r="H6" s="261" t="inlineStr">
        <is>
          <t xml:space="preserve">META</t>
        </is>
      </c>
      <c r="I6" s="262"/>
      <c r="J6" s="261" t="inlineStr">
        <is>
          <t xml:space="preserve">REALIZADO</t>
        </is>
      </c>
      <c r="K6" s="263"/>
      <c r="L6" s="262"/>
      <c r="M6" s="261" t="inlineStr">
        <is>
          <t xml:space="preserve">MÉDIA / DIA</t>
        </is>
      </c>
      <c r="N6" s="262"/>
      <c r="O6" s="261" t="inlineStr">
        <is>
          <t xml:space="preserve">MÁXIMO NO DIA</t>
        </is>
      </c>
      <c r="P6" s="263"/>
      <c r="Q6" s="262"/>
      <c r="R6" s="261" t="inlineStr">
        <is>
          <t xml:space="preserve">MÊS ANTERIOR</t>
        </is>
      </c>
      <c r="S6" s="262"/>
      <c r="T6" s="261" t="inlineStr">
        <is>
          <t xml:space="preserve">VARIAÇÃO</t>
        </is>
      </c>
      <c r="U6" s="263"/>
      <c r="V6" s="262"/>
      <c r="W6" s="261" t="inlineStr">
        <is>
          <t xml:space="preserve">% DA META</t>
        </is>
      </c>
      <c r="X6" s="262"/>
      <c r="Y6" s="261" t="inlineStr">
        <is>
          <t xml:space="preserve">STATUS</t>
        </is>
      </c>
      <c r="Z6" s="262"/>
    </row>
    <row r="7" ht="16" customHeight="1">
      <c r="B7" s="474" t="inlineStr">
        <is>
          <t xml:space="preserve">IN</t>
        </is>
      </c>
      <c r="C7" s="148"/>
      <c r="D7" s="265" t="inlineStr">
        <is>
          <t xml:space="preserve">Veículos Recebidos</t>
        </is>
      </c>
      <c r="E7" s="264"/>
      <c r="F7" s="264"/>
      <c r="G7" s="264"/>
      <c r="H7" s="267" t="str">
        <f>IF(calculos_quadro!$B$266=0,"—",calculos_quadro!$C$48)</f>
        <v/>
      </c>
      <c r="I7" s="266"/>
      <c r="J7" s="269">
        <f>IF(calculos_quadro!$B$266=0,"—",calculos_quadro!$C$43)</f>
        <v>0</v>
      </c>
      <c r="K7" s="268"/>
      <c r="L7" s="268"/>
      <c r="M7" s="271" t="str">
        <f>IF(calculos_quadro!$B$266=0,"—",calculos_quadro!$C$44)</f>
        <v/>
      </c>
      <c r="N7" s="270"/>
      <c r="O7" s="273">
        <f>IF(calculos_quadro!$B$266=0,"—",calculos_quadro!$C$45)</f>
        <v>0</v>
      </c>
      <c r="P7" s="272"/>
      <c r="Q7" s="272"/>
      <c r="R7" s="273" t="str">
        <f>IF(calculos_quadro!$B$266=0,"—",calculos_quadro!$C$46)</f>
        <v/>
      </c>
      <c r="S7" s="272"/>
      <c r="T7" s="275" t="str">
        <f>IF(calculos_quadro!$B$266=0,"—",calculos_quadro!$C$47)</f>
        <v/>
      </c>
      <c r="U7" s="274"/>
      <c r="V7" s="274"/>
      <c r="W7" s="277" t="str">
        <f>IF(calculos_quadro!$B$266=0,"—",calculos_quadro!$C$49)</f>
        <v/>
      </c>
      <c r="X7" s="276"/>
      <c r="Y7" s="279" t="str">
        <f>IF(calculos_quadro!$B$266=0,"—",calculos_quadro!$C$50)</f>
        <v/>
      </c>
      <c r="Z7" s="280"/>
    </row>
    <row r="8" ht="16" customHeight="1">
      <c r="B8" s="475"/>
      <c r="C8" s="155"/>
      <c r="D8" s="282" t="inlineStr">
        <is>
          <t xml:space="preserve">Pallets Movimentados</t>
        </is>
      </c>
      <c r="E8" s="281"/>
      <c r="F8" s="281"/>
      <c r="G8" s="281"/>
      <c r="H8" s="284" t="str">
        <f>IF(calculos_quadro!$B$267=0,"—",calculos_quadro!$D$48)</f>
        <v/>
      </c>
      <c r="I8" s="283"/>
      <c r="J8" s="286">
        <f>IF(calculos_quadro!$B$267=0,"—",calculos_quadro!$D$43)</f>
        <v>0</v>
      </c>
      <c r="K8" s="285"/>
      <c r="L8" s="285"/>
      <c r="M8" s="288" t="str">
        <f>IF(calculos_quadro!$B$267=0,"—",calculos_quadro!$D$44)</f>
        <v/>
      </c>
      <c r="N8" s="287"/>
      <c r="O8" s="290">
        <f>IF(calculos_quadro!$B$267=0,"—",calculos_quadro!$D$45)</f>
        <v>0</v>
      </c>
      <c r="P8" s="289"/>
      <c r="Q8" s="289"/>
      <c r="R8" s="290" t="str">
        <f>IF(calculos_quadro!$B$267=0,"—",calculos_quadro!$D$46)</f>
        <v/>
      </c>
      <c r="S8" s="289"/>
      <c r="T8" s="292" t="str">
        <f>IF(calculos_quadro!$B$267=0,"—",calculos_quadro!$D$47)</f>
        <v/>
      </c>
      <c r="U8" s="291"/>
      <c r="V8" s="291"/>
      <c r="W8" s="294" t="str">
        <f>IF(calculos_quadro!$B$267=0,"—",calculos_quadro!$D$49)</f>
        <v/>
      </c>
      <c r="X8" s="293"/>
      <c r="Y8" s="296" t="str">
        <f>IF(calculos_quadro!$B$267=0,"—",calculos_quadro!$D$50)</f>
        <v/>
      </c>
      <c r="Z8" s="297"/>
    </row>
    <row r="9" ht="16" customHeight="1">
      <c r="B9" s="476"/>
      <c r="C9" s="162"/>
      <c r="D9" s="299" t="inlineStr">
        <is>
          <t xml:space="preserve">Toneladas Movimentadas</t>
        </is>
      </c>
      <c r="E9" s="298"/>
      <c r="F9" s="298"/>
      <c r="G9" s="298"/>
      <c r="H9" s="301" t="str">
        <f>IF(calculos_quadro!$B$268=0,"—",calculos_quadro!$E$48)</f>
        <v/>
      </c>
      <c r="I9" s="300"/>
      <c r="J9" s="303">
        <f>IF(calculos_quadro!$B$268=0,"—",calculos_quadro!$E$43)</f>
        <v>0</v>
      </c>
      <c r="K9" s="302"/>
      <c r="L9" s="302"/>
      <c r="M9" s="305" t="str">
        <f>IF(calculos_quadro!$B$268=0,"—",calculos_quadro!$E$44)</f>
        <v/>
      </c>
      <c r="N9" s="304"/>
      <c r="O9" s="305">
        <f>IF(calculos_quadro!$B$268=0,"—",calculos_quadro!$E$45)</f>
        <v>0</v>
      </c>
      <c r="P9" s="304"/>
      <c r="Q9" s="304"/>
      <c r="R9" s="305" t="str">
        <f>IF(calculos_quadro!$B$268=0,"—",calculos_quadro!$E$46)</f>
        <v/>
      </c>
      <c r="S9" s="304"/>
      <c r="T9" s="307" t="str">
        <f>IF(calculos_quadro!$B$268=0,"—",calculos_quadro!$E$47)</f>
        <v/>
      </c>
      <c r="U9" s="306"/>
      <c r="V9" s="306"/>
      <c r="W9" s="309" t="str">
        <f>IF(calculos_quadro!$B$268=0,"—",calculos_quadro!$E$49)</f>
        <v/>
      </c>
      <c r="X9" s="308"/>
      <c r="Y9" s="311" t="str">
        <f>IF(calculos_quadro!$B$268=0,"—",calculos_quadro!$E$50)</f>
        <v/>
      </c>
      <c r="Z9" s="312"/>
    </row>
    <row r="10" ht="16" customHeight="1">
      <c r="B10" s="477" t="inlineStr">
        <is>
          <t xml:space="preserve">OUT</t>
        </is>
      </c>
      <c r="C10" s="169"/>
      <c r="D10" s="314" t="inlineStr">
        <is>
          <t xml:space="preserve">Veículos Expedidos</t>
        </is>
      </c>
      <c r="E10" s="313"/>
      <c r="F10" s="313"/>
      <c r="G10" s="313"/>
      <c r="H10" s="316" t="str">
        <f>IF(calculos_quadro!$B$269=0,"—",calculos_quadro!$F$48)</f>
        <v/>
      </c>
      <c r="I10" s="315"/>
      <c r="J10" s="318">
        <f>IF(calculos_quadro!$B$269=0,"—",calculos_quadro!$F$43)</f>
        <v>0</v>
      </c>
      <c r="K10" s="317"/>
      <c r="L10" s="317"/>
      <c r="M10" s="320" t="str">
        <f>IF(calculos_quadro!$B$269=0,"—",calculos_quadro!$F$44)</f>
        <v/>
      </c>
      <c r="N10" s="319"/>
      <c r="O10" s="322">
        <f>IF(calculos_quadro!$B$269=0,"—",calculos_quadro!$F$45)</f>
        <v>0</v>
      </c>
      <c r="P10" s="321"/>
      <c r="Q10" s="321"/>
      <c r="R10" s="322" t="str">
        <f>IF(calculos_quadro!$B$269=0,"—",calculos_quadro!$F$46)</f>
        <v/>
      </c>
      <c r="S10" s="321"/>
      <c r="T10" s="324" t="str">
        <f>IF(calculos_quadro!$B$269=0,"—",calculos_quadro!$F$47)</f>
        <v/>
      </c>
      <c r="U10" s="323"/>
      <c r="V10" s="323"/>
      <c r="W10" s="326" t="str">
        <f>IF(calculos_quadro!$B$269=0,"—",calculos_quadro!$F$49)</f>
        <v/>
      </c>
      <c r="X10" s="325"/>
      <c r="Y10" s="328" t="str">
        <f>IF(calculos_quadro!$B$269=0,"—",calculos_quadro!$F$50)</f>
        <v/>
      </c>
      <c r="Z10" s="329"/>
    </row>
    <row r="11" ht="16" customHeight="1">
      <c r="B11" s="478"/>
      <c r="C11" s="176"/>
      <c r="D11" s="331" t="inlineStr">
        <is>
          <t xml:space="preserve">Pallets Movimentados</t>
        </is>
      </c>
      <c r="E11" s="330"/>
      <c r="F11" s="330"/>
      <c r="G11" s="330"/>
      <c r="H11" s="333" t="str">
        <f>IF(calculos_quadro!$B$270=0,"—",calculos_quadro!$G$48)</f>
        <v/>
      </c>
      <c r="I11" s="332"/>
      <c r="J11" s="335">
        <f>IF(calculos_quadro!$B$270=0,"—",calculos_quadro!$G$43)</f>
        <v>0</v>
      </c>
      <c r="K11" s="334"/>
      <c r="L11" s="334"/>
      <c r="M11" s="337" t="str">
        <f>IF(calculos_quadro!$B$270=0,"—",calculos_quadro!$G$44)</f>
        <v/>
      </c>
      <c r="N11" s="336"/>
      <c r="O11" s="339">
        <f>IF(calculos_quadro!$B$270=0,"—",calculos_quadro!$G$45)</f>
        <v>0</v>
      </c>
      <c r="P11" s="338"/>
      <c r="Q11" s="338"/>
      <c r="R11" s="339" t="str">
        <f>IF(calculos_quadro!$B$270=0,"—",calculos_quadro!$G$46)</f>
        <v/>
      </c>
      <c r="S11" s="338"/>
      <c r="T11" s="341" t="str">
        <f>IF(calculos_quadro!$B$270=0,"—",calculos_quadro!$G$47)</f>
        <v/>
      </c>
      <c r="U11" s="340"/>
      <c r="V11" s="340"/>
      <c r="W11" s="343" t="str">
        <f>IF(calculos_quadro!$B$270=0,"—",calculos_quadro!$G$49)</f>
        <v/>
      </c>
      <c r="X11" s="342"/>
      <c r="Y11" s="345" t="str">
        <f>IF(calculos_quadro!$B$270=0,"—",calculos_quadro!$G$50)</f>
        <v/>
      </c>
      <c r="Z11" s="346"/>
    </row>
    <row r="12" ht="16" customHeight="1">
      <c r="B12" s="479"/>
      <c r="C12" s="183"/>
      <c r="D12" s="348" t="inlineStr">
        <is>
          <t xml:space="preserve">Toneladas Movimentadas</t>
        </is>
      </c>
      <c r="E12" s="347"/>
      <c r="F12" s="347"/>
      <c r="G12" s="347"/>
      <c r="H12" s="350" t="str">
        <f>IF(calculos_quadro!$B$271=0,"—",calculos_quadro!$H$48)</f>
        <v/>
      </c>
      <c r="I12" s="349"/>
      <c r="J12" s="352">
        <f>IF(calculos_quadro!$B$271=0,"—",calculos_quadro!$H$43)</f>
        <v>0</v>
      </c>
      <c r="K12" s="351"/>
      <c r="L12" s="351"/>
      <c r="M12" s="354" t="str">
        <f>IF(calculos_quadro!$B$271=0,"—",calculos_quadro!$H$44)</f>
        <v/>
      </c>
      <c r="N12" s="353"/>
      <c r="O12" s="354">
        <f>IF(calculos_quadro!$B$271=0,"—",calculos_quadro!$H$45)</f>
        <v>0</v>
      </c>
      <c r="P12" s="353"/>
      <c r="Q12" s="353"/>
      <c r="R12" s="354" t="str">
        <f>IF(calculos_quadro!$B$271=0,"—",calculos_quadro!$H$46)</f>
        <v/>
      </c>
      <c r="S12" s="353"/>
      <c r="T12" s="356" t="str">
        <f>IF(calculos_quadro!$B$271=0,"—",calculos_quadro!$H$47)</f>
        <v/>
      </c>
      <c r="U12" s="355"/>
      <c r="V12" s="355"/>
      <c r="W12" s="358" t="str">
        <f>IF(calculos_quadro!$B$271=0,"—",calculos_quadro!$H$49)</f>
        <v/>
      </c>
      <c r="X12" s="357"/>
      <c r="Y12" s="360" t="str">
        <f>IF(calculos_quadro!$B$271=0,"—",calculos_quadro!$H$50)</f>
        <v/>
      </c>
      <c r="Z12" s="361"/>
    </row>
    <row r="13" ht="16" customHeight="1">
      <c r="B13" s="480" t="inlineStr">
        <is>
          <t xml:space="preserve">NC</t>
        </is>
      </c>
      <c r="C13" s="190"/>
      <c r="D13" s="363" t="inlineStr">
        <is>
          <t xml:space="preserve">Incidentes</t>
        </is>
      </c>
      <c r="E13" s="362"/>
      <c r="F13" s="362"/>
      <c r="G13" s="362"/>
      <c r="H13" s="365" t="str">
        <f>IF(calculos_quadro!$B$272=0,"—",calculos_quadro!$I$48)</f>
        <v/>
      </c>
      <c r="I13" s="364"/>
      <c r="J13" s="367">
        <f>IF(calculos_quadro!$B$272=0,"—",calculos_quadro!$I$43)</f>
        <v>0</v>
      </c>
      <c r="K13" s="366"/>
      <c r="L13" s="366"/>
      <c r="M13" s="369" t="str">
        <f>IF(calculos_quadro!$B$272=0,"—",calculos_quadro!$I$44)</f>
        <v/>
      </c>
      <c r="N13" s="368"/>
      <c r="O13" s="371">
        <f>IF(calculos_quadro!$B$272=0,"—",calculos_quadro!$I$45)</f>
        <v>0</v>
      </c>
      <c r="P13" s="370"/>
      <c r="Q13" s="370"/>
      <c r="R13" s="371" t="str">
        <f>IF(calculos_quadro!$B$272=0,"—",calculos_quadro!$I$46)</f>
        <v/>
      </c>
      <c r="S13" s="370"/>
      <c r="T13" s="373" t="str">
        <f>IF(calculos_quadro!$B$272=0,"—",calculos_quadro!$I$47)</f>
        <v/>
      </c>
      <c r="U13" s="372"/>
      <c r="V13" s="372"/>
      <c r="W13" s="375" t="str">
        <f>IF(calculos_quadro!$B$272=0,"—",calculos_quadro!$I$49)</f>
        <v/>
      </c>
      <c r="X13" s="374"/>
      <c r="Y13" s="377" t="str">
        <f>IF(calculos_quadro!$B$272=0,"—",calculos_quadro!$I$50)</f>
        <v/>
      </c>
      <c r="Z13" s="378"/>
    </row>
    <row r="14" ht="16" customHeight="1">
      <c r="B14" s="481"/>
      <c r="C14" s="197"/>
      <c r="D14" s="380" t="inlineStr">
        <is>
          <t xml:space="preserve">No show</t>
        </is>
      </c>
      <c r="E14" s="379"/>
      <c r="F14" s="379"/>
      <c r="G14" s="379"/>
      <c r="H14" s="382" t="str">
        <f>IF(calculos_quadro!$B$273=0,"—",calculos_quadro!$J$48)</f>
        <v/>
      </c>
      <c r="I14" s="381"/>
      <c r="J14" s="384">
        <f>IF(calculos_quadro!$B$273=0,"—",calculos_quadro!$J$43)</f>
        <v>0</v>
      </c>
      <c r="K14" s="383"/>
      <c r="L14" s="383"/>
      <c r="M14" s="386" t="str">
        <f>IF(calculos_quadro!$B$273=0,"—",calculos_quadro!$J$44)</f>
        <v/>
      </c>
      <c r="N14" s="385"/>
      <c r="O14" s="388">
        <f>IF(calculos_quadro!$B$273=0,"—",calculos_quadro!$J$45)</f>
        <v>0</v>
      </c>
      <c r="P14" s="387"/>
      <c r="Q14" s="387"/>
      <c r="R14" s="388" t="str">
        <f>IF(calculos_quadro!$B$273=0,"—",calculos_quadro!$J$46)</f>
        <v/>
      </c>
      <c r="S14" s="387"/>
      <c r="T14" s="390" t="str">
        <f>IF(calculos_quadro!$B$273=0,"—",calculos_quadro!$J$47)</f>
        <v/>
      </c>
      <c r="U14" s="389"/>
      <c r="V14" s="389"/>
      <c r="W14" s="392" t="str">
        <f>IF(calculos_quadro!$B$273=0,"—",calculos_quadro!$J$49)</f>
        <v/>
      </c>
      <c r="X14" s="391"/>
      <c r="Y14" s="394" t="str">
        <f>IF(calculos_quadro!$B$273=0,"—",calculos_quadro!$J$50)</f>
        <v/>
      </c>
      <c r="Z14" s="395"/>
    </row>
    <row r="15" ht="16" customHeight="1">
      <c r="B15" s="482"/>
      <c r="C15" s="204"/>
      <c r="D15" s="397" t="inlineStr">
        <is>
          <t xml:space="preserve">Backlog</t>
        </is>
      </c>
      <c r="E15" s="396"/>
      <c r="F15" s="396"/>
      <c r="G15" s="396"/>
      <c r="H15" s="399" t="str">
        <f>IF(calculos_quadro!$B$274=0,"—",calculos_quadro!$K$48)</f>
        <v/>
      </c>
      <c r="I15" s="398"/>
      <c r="J15" s="401" t="str">
        <f>IF(calculos_quadro!$B$274=0,"—",calculos_quadro!$K$43)</f>
        <v/>
      </c>
      <c r="K15" s="400"/>
      <c r="L15" s="400"/>
      <c r="M15" s="403" t="str">
        <f>IF(calculos_quadro!$B$274=0,"—",calculos_quadro!$K$44)</f>
        <v/>
      </c>
      <c r="N15" s="402"/>
      <c r="O15" s="405" t="str">
        <f>IF(calculos_quadro!$B$274=0,"—",calculos_quadro!$K$45)</f>
        <v/>
      </c>
      <c r="P15" s="404"/>
      <c r="Q15" s="404"/>
      <c r="R15" s="405" t="str">
        <f>IF(calculos_quadro!$B$274=0,"—",calculos_quadro!$K$46)</f>
        <v/>
      </c>
      <c r="S15" s="404"/>
      <c r="T15" s="407" t="str">
        <f>IF(calculos_quadro!$B$274=0,"—",calculos_quadro!$K$47)</f>
        <v/>
      </c>
      <c r="U15" s="406"/>
      <c r="V15" s="406"/>
      <c r="W15" s="409" t="str">
        <f>IF(calculos_quadro!$B$274=0,"—",calculos_quadro!$K$49)</f>
        <v/>
      </c>
      <c r="X15" s="408"/>
      <c r="Y15" s="411" t="str">
        <f>IF(calculos_quadro!$B$274=0,"—",calculos_quadro!$K$50)</f>
        <v/>
      </c>
      <c r="Z15" s="412"/>
    </row>
    <row r="16" ht="16" customHeight="1">
      <c r="B16" s="474" t="inlineStr">
        <is>
          <t xml:space="preserve">OCUPAÇÃO (P.P)</t>
        </is>
      </c>
      <c r="C16" s="148"/>
      <c r="D16" s="265" t="inlineStr">
        <is>
          <t xml:space="preserve">Posições Disponíveis</t>
        </is>
      </c>
      <c r="E16" s="264"/>
      <c r="F16" s="264"/>
      <c r="G16" s="264"/>
      <c r="H16" s="267" t="str">
        <f>IF(calculos_quadro!$B$275=0,"—",calculos_quadro!$L$48)</f>
        <v/>
      </c>
      <c r="I16" s="266"/>
      <c r="J16" s="414" t="str">
        <f>IF(calculos_quadro!$B$275=0,"—",calculos_quadro!$L$43)</f>
        <v/>
      </c>
      <c r="K16" s="413"/>
      <c r="L16" s="413"/>
      <c r="M16" s="271"/>
      <c r="N16" s="270"/>
      <c r="O16" s="416" t="str">
        <f>IF(calculos_quadro!$B$275=0,"—",calculos_quadro!$L$45)</f>
        <v/>
      </c>
      <c r="P16" s="415"/>
      <c r="Q16" s="415"/>
      <c r="R16" s="416" t="str">
        <f>IF(calculos_quadro!$B$275=0,"—",calculos_quadro!$L$46)</f>
        <v/>
      </c>
      <c r="S16" s="415"/>
      <c r="T16" s="275" t="str">
        <f>IF(calculos_quadro!$B$275=0,"—",calculos_quadro!$L$47)</f>
        <v/>
      </c>
      <c r="U16" s="274"/>
      <c r="V16" s="274"/>
      <c r="W16" s="277" t="str">
        <f>IF(calculos_quadro!$B$275=0,"—",calculos_quadro!$L$49)</f>
        <v/>
      </c>
      <c r="X16" s="276"/>
      <c r="Y16" s="279" t="str">
        <f>IF(calculos_quadro!$B$275=0,"—",calculos_quadro!$L$50)</f>
        <v/>
      </c>
      <c r="Z16" s="280"/>
    </row>
    <row r="17" ht="16" customHeight="1">
      <c r="B17" s="475"/>
      <c r="C17" s="155"/>
      <c r="D17" s="282" t="inlineStr">
        <is>
          <t xml:space="preserve">Posições Ocupadas</t>
        </is>
      </c>
      <c r="E17" s="281"/>
      <c r="F17" s="281"/>
      <c r="G17" s="281"/>
      <c r="H17" s="284" t="str">
        <f>IF(calculos_quadro!$B$276=0,"—",calculos_quadro!$M$48)</f>
        <v/>
      </c>
      <c r="I17" s="283"/>
      <c r="J17" s="286" t="str">
        <f>IF(calculos_quadro!$B$276=0,"—",calculos_quadro!$M$43)</f>
        <v/>
      </c>
      <c r="K17" s="285"/>
      <c r="L17" s="285"/>
      <c r="M17" s="288" t="str">
        <f>IF(calculos_quadro!$B$276=0,"—",calculos_quadro!$M$44)</f>
        <v/>
      </c>
      <c r="N17" s="287"/>
      <c r="O17" s="290" t="str">
        <f>IF(calculos_quadro!$B$276=0,"—",calculos_quadro!$M$45)</f>
        <v/>
      </c>
      <c r="P17" s="289"/>
      <c r="Q17" s="289"/>
      <c r="R17" s="290" t="str">
        <f>IF(calculos_quadro!$B$276=0,"—",calculos_quadro!$M$46)</f>
        <v/>
      </c>
      <c r="S17" s="289"/>
      <c r="T17" s="292" t="str">
        <f>IF(calculos_quadro!$B$276=0,"—",calculos_quadro!$M$47)</f>
        <v/>
      </c>
      <c r="U17" s="291"/>
      <c r="V17" s="291"/>
      <c r="W17" s="294" t="str">
        <f>IF(calculos_quadro!$B$276=0,"—",calculos_quadro!$M$49)</f>
        <v/>
      </c>
      <c r="X17" s="293"/>
      <c r="Y17" s="296" t="str">
        <f>IF(calculos_quadro!$B$276=0,"—",calculos_quadro!$M$50)</f>
        <v/>
      </c>
      <c r="Z17" s="297"/>
    </row>
    <row r="18" ht="16" customHeight="1">
      <c r="B18" s="476"/>
      <c r="C18" s="162"/>
      <c r="D18" s="299" t="inlineStr">
        <is>
          <t xml:space="preserve">Taxa de Ocupação</t>
        </is>
      </c>
      <c r="E18" s="298"/>
      <c r="F18" s="298"/>
      <c r="G18" s="298"/>
      <c r="H18" s="418" t="str">
        <f>IF(calculos_quadro!$B$277=0,"—",calculos_quadro!$N$48)</f>
        <v/>
      </c>
      <c r="I18" s="417"/>
      <c r="J18" s="420" t="str">
        <f>IF(calculos_quadro!$B$277=0,"—",calculos_quadro!$N$43)</f>
        <v/>
      </c>
      <c r="K18" s="419"/>
      <c r="L18" s="419"/>
      <c r="M18" s="422" t="str">
        <f>IF(calculos_quadro!$B$277=0,"—",calculos_quadro!$N$44)</f>
        <v/>
      </c>
      <c r="N18" s="421"/>
      <c r="O18" s="422" t="str">
        <f>IF(calculos_quadro!$B$277=0,"—",calculos_quadro!$N$45)</f>
        <v/>
      </c>
      <c r="P18" s="421"/>
      <c r="Q18" s="421"/>
      <c r="R18" s="422" t="str">
        <f>IF(calculos_quadro!$B$277=0,"—",calculos_quadro!$N$46)</f>
        <v/>
      </c>
      <c r="S18" s="421"/>
      <c r="T18" s="307" t="str">
        <f>IF(calculos_quadro!$B$277=0,"—",calculos_quadro!$N$47)</f>
        <v/>
      </c>
      <c r="U18" s="306"/>
      <c r="V18" s="306"/>
      <c r="W18" s="309" t="str">
        <f>IF(calculos_quadro!$B$277=0,"—",calculos_quadro!$N$49)</f>
        <v/>
      </c>
      <c r="X18" s="308"/>
      <c r="Y18" s="311" t="str">
        <f>IF(calculos_quadro!$B$277=0,"—",calculos_quadro!$N$50)</f>
        <v/>
      </c>
      <c r="Z18" s="312"/>
    </row>
    <row r="19" ht="16" customHeight="1">
      <c r="B19" s="483" t="inlineStr">
        <is>
          <t xml:space="preserve">GENTE</t>
        </is>
      </c>
      <c r="C19" s="214"/>
      <c r="D19" s="424" t="inlineStr">
        <is>
          <t xml:space="preserve">Efetivo Op.</t>
        </is>
      </c>
      <c r="E19" s="423"/>
      <c r="F19" s="423"/>
      <c r="G19" s="423"/>
      <c r="H19" s="426" t="str">
        <f>IF(calculos_quadro!$B$278=0,"—",calculos_quadro!$O$48)</f>
        <v/>
      </c>
      <c r="I19" s="425"/>
      <c r="J19" s="428" t="str">
        <f>IF(calculos_quadro!$B$278=0,"—",calculos_quadro!$O$43)</f>
        <v/>
      </c>
      <c r="K19" s="427"/>
      <c r="L19" s="427"/>
      <c r="M19" s="430" t="str">
        <f>IF(calculos_quadro!$B$278=0,"—",calculos_quadro!$O$44)</f>
        <v/>
      </c>
      <c r="N19" s="429"/>
      <c r="O19" s="432" t="str">
        <f>IF(calculos_quadro!$B$278=0,"—",calculos_quadro!$O$45)</f>
        <v/>
      </c>
      <c r="P19" s="431"/>
      <c r="Q19" s="431"/>
      <c r="R19" s="432" t="str">
        <f>IF(calculos_quadro!$B$278=0,"—",calculos_quadro!$O$46)</f>
        <v/>
      </c>
      <c r="S19" s="431"/>
      <c r="T19" s="434" t="str">
        <f>IF(calculos_quadro!$B$278=0,"—",calculos_quadro!$O$47)</f>
        <v/>
      </c>
      <c r="U19" s="433"/>
      <c r="V19" s="433"/>
      <c r="W19" s="436" t="str">
        <f>IF(calculos_quadro!$B$278=0,"—",calculos_quadro!$O$49)</f>
        <v/>
      </c>
      <c r="X19" s="435"/>
      <c r="Y19" s="438" t="str">
        <f>IF(calculos_quadro!$B$278=0,"—",calculos_quadro!$O$50)</f>
        <v/>
      </c>
      <c r="Z19" s="439"/>
    </row>
    <row r="20" ht="16" customHeight="1">
      <c r="B20" s="484"/>
      <c r="C20" s="221"/>
      <c r="D20" s="441" t="inlineStr">
        <is>
          <t xml:space="preserve">Falta</t>
        </is>
      </c>
      <c r="E20" s="440"/>
      <c r="F20" s="440"/>
      <c r="G20" s="440"/>
      <c r="H20" s="443" t="str">
        <f>IF(calculos_quadro!$B$279=0,"—",calculos_quadro!$P$48)</f>
        <v/>
      </c>
      <c r="I20" s="442"/>
      <c r="J20" s="445">
        <f>IF(calculos_quadro!$B$279=0,"—",calculos_quadro!$P$43)</f>
        <v>0</v>
      </c>
      <c r="K20" s="444"/>
      <c r="L20" s="444"/>
      <c r="M20" s="447" t="str">
        <f>IF(calculos_quadro!$B$279=0,"—",calculos_quadro!$P$44)</f>
        <v/>
      </c>
      <c r="N20" s="446"/>
      <c r="O20" s="449">
        <f>IF(calculos_quadro!$B$279=0,"—",calculos_quadro!$P$45)</f>
        <v>0</v>
      </c>
      <c r="P20" s="448"/>
      <c r="Q20" s="448"/>
      <c r="R20" s="449" t="str">
        <f>IF(calculos_quadro!$B$279=0,"—",calculos_quadro!$P$46)</f>
        <v/>
      </c>
      <c r="S20" s="448"/>
      <c r="T20" s="451" t="str">
        <f>IF(calculos_quadro!$B$279=0,"—",calculos_quadro!$P$47)</f>
        <v/>
      </c>
      <c r="U20" s="450"/>
      <c r="V20" s="450"/>
      <c r="W20" s="453" t="str">
        <f>IF(calculos_quadro!$B$279=0,"—",calculos_quadro!$P$49)</f>
        <v/>
      </c>
      <c r="X20" s="452"/>
      <c r="Y20" s="455" t="str">
        <f>IF(calculos_quadro!$B$279=0,"—",calculos_quadro!$P$50)</f>
        <v/>
      </c>
      <c r="Z20" s="456"/>
    </row>
    <row r="21" ht="16" customHeight="1">
      <c r="B21" s="484"/>
      <c r="C21" s="221"/>
      <c r="D21" s="441" t="inlineStr">
        <is>
          <t xml:space="preserve">Folga</t>
        </is>
      </c>
      <c r="E21" s="440"/>
      <c r="F21" s="440"/>
      <c r="G21" s="440"/>
      <c r="H21" s="443" t="str">
        <f>IF(calculos_quadro!$B$280=0,"—",calculos_quadro!$Q$48)</f>
        <v/>
      </c>
      <c r="I21" s="442"/>
      <c r="J21" s="445">
        <f>IF(calculos_quadro!$B$280=0,"—",calculos_quadro!$Q$43)</f>
        <v>0</v>
      </c>
      <c r="K21" s="444"/>
      <c r="L21" s="444"/>
      <c r="M21" s="447" t="str">
        <f>IF(calculos_quadro!$B$280=0,"—",calculos_quadro!$Q$44)</f>
        <v/>
      </c>
      <c r="N21" s="446"/>
      <c r="O21" s="449">
        <f>IF(calculos_quadro!$B$280=0,"—",calculos_quadro!$Q$45)</f>
        <v>0</v>
      </c>
      <c r="P21" s="448"/>
      <c r="Q21" s="448"/>
      <c r="R21" s="449" t="str">
        <f>IF(calculos_quadro!$B$280=0,"—",calculos_quadro!$Q$46)</f>
        <v/>
      </c>
      <c r="S21" s="448"/>
      <c r="T21" s="451" t="str">
        <f>IF(calculos_quadro!$B$280=0,"—",calculos_quadro!$Q$47)</f>
        <v/>
      </c>
      <c r="U21" s="450"/>
      <c r="V21" s="450"/>
      <c r="W21" s="453" t="str">
        <f>IF(calculos_quadro!$B$280=0,"—",calculos_quadro!$Q$49)</f>
        <v/>
      </c>
      <c r="X21" s="452"/>
      <c r="Y21" s="455" t="str">
        <f>IF(calculos_quadro!$B$280=0,"—",calculos_quadro!$Q$50)</f>
        <v/>
      </c>
      <c r="Z21" s="456"/>
    </row>
    <row r="22" ht="16" customHeight="1">
      <c r="B22" s="484"/>
      <c r="C22" s="221"/>
      <c r="D22" s="441" t="inlineStr">
        <is>
          <t xml:space="preserve">Férias</t>
        </is>
      </c>
      <c r="E22" s="440"/>
      <c r="F22" s="440"/>
      <c r="G22" s="440"/>
      <c r="H22" s="443" t="str">
        <f>IF(calculos_quadro!$B$281=0,"—",calculos_quadro!$R$48)</f>
        <v/>
      </c>
      <c r="I22" s="442"/>
      <c r="J22" s="445">
        <f>IF(calculos_quadro!$B$281=0,"—",calculos_quadro!$R$43)</f>
        <v>0</v>
      </c>
      <c r="K22" s="444"/>
      <c r="L22" s="444"/>
      <c r="M22" s="447" t="str">
        <f>IF(calculos_quadro!$B$281=0,"—",calculos_quadro!$R$44)</f>
        <v/>
      </c>
      <c r="N22" s="446"/>
      <c r="O22" s="449">
        <f>IF(calculos_quadro!$B$281=0,"—",calculos_quadro!$R$45)</f>
        <v>0</v>
      </c>
      <c r="P22" s="448"/>
      <c r="Q22" s="448"/>
      <c r="R22" s="449" t="str">
        <f>IF(calculos_quadro!$B$281=0,"—",calculos_quadro!$R$46)</f>
        <v/>
      </c>
      <c r="S22" s="448"/>
      <c r="T22" s="451" t="str">
        <f>IF(calculos_quadro!$B$281=0,"—",calculos_quadro!$R$47)</f>
        <v/>
      </c>
      <c r="U22" s="450"/>
      <c r="V22" s="450"/>
      <c r="W22" s="453" t="str">
        <f>IF(calculos_quadro!$B$281=0,"—",calculos_quadro!$R$49)</f>
        <v/>
      </c>
      <c r="X22" s="452"/>
      <c r="Y22" s="455" t="str">
        <f>IF(calculos_quadro!$B$281=0,"—",calculos_quadro!$R$50)</f>
        <v/>
      </c>
      <c r="Z22" s="456"/>
    </row>
    <row r="23" ht="16" customHeight="1">
      <c r="B23" s="484"/>
      <c r="C23" s="221"/>
      <c r="D23" s="441" t="inlineStr">
        <is>
          <t xml:space="preserve">Desligamento</t>
        </is>
      </c>
      <c r="E23" s="440"/>
      <c r="F23" s="440"/>
      <c r="G23" s="440"/>
      <c r="H23" s="443" t="str">
        <f>IF(calculos_quadro!$B$282=0,"—",calculos_quadro!$S$48)</f>
        <v/>
      </c>
      <c r="I23" s="442"/>
      <c r="J23" s="445">
        <f>IF(calculos_quadro!$B$282=0,"—",calculos_quadro!$S$43)</f>
        <v>0</v>
      </c>
      <c r="K23" s="444"/>
      <c r="L23" s="444"/>
      <c r="M23" s="447" t="str">
        <f>IF(calculos_quadro!$B$282=0,"—",calculos_quadro!$S$44)</f>
        <v/>
      </c>
      <c r="N23" s="446"/>
      <c r="O23" s="449">
        <f>IF(calculos_quadro!$B$282=0,"—",calculos_quadro!$S$45)</f>
        <v>0</v>
      </c>
      <c r="P23" s="448"/>
      <c r="Q23" s="448"/>
      <c r="R23" s="449" t="str">
        <f>IF(calculos_quadro!$B$282=0,"—",calculos_quadro!$S$46)</f>
        <v/>
      </c>
      <c r="S23" s="448"/>
      <c r="T23" s="451" t="str">
        <f>IF(calculos_quadro!$B$282=0,"—",calculos_quadro!$S$47)</f>
        <v/>
      </c>
      <c r="U23" s="450"/>
      <c r="V23" s="450"/>
      <c r="W23" s="453" t="str">
        <f>IF(calculos_quadro!$B$282=0,"—",calculos_quadro!$S$49)</f>
        <v/>
      </c>
      <c r="X23" s="452"/>
      <c r="Y23" s="455" t="str">
        <f>IF(calculos_quadro!$B$282=0,"—",calculos_quadro!$S$50)</f>
        <v/>
      </c>
      <c r="Z23" s="456"/>
    </row>
    <row r="24" ht="16" customHeight="1">
      <c r="B24" s="484"/>
      <c r="C24" s="221"/>
      <c r="D24" s="441" t="inlineStr">
        <is>
          <t xml:space="preserve">Desvios Comportamentais</t>
        </is>
      </c>
      <c r="E24" s="440"/>
      <c r="F24" s="440"/>
      <c r="G24" s="440"/>
      <c r="H24" s="443" t="str">
        <f>IF(calculos_quadro!$B$283=0,"—",calculos_quadro!$T$48)</f>
        <v/>
      </c>
      <c r="I24" s="442"/>
      <c r="J24" s="445">
        <f>IF(calculos_quadro!$B$283=0,"—",calculos_quadro!$T$43)</f>
        <v>0</v>
      </c>
      <c r="K24" s="444"/>
      <c r="L24" s="444"/>
      <c r="M24" s="447" t="str">
        <f>IF(calculos_quadro!$B$283=0,"—",calculos_quadro!$T$44)</f>
        <v/>
      </c>
      <c r="N24" s="446"/>
      <c r="O24" s="449">
        <f>IF(calculos_quadro!$B$283=0,"—",calculos_quadro!$T$45)</f>
        <v>0</v>
      </c>
      <c r="P24" s="448"/>
      <c r="Q24" s="448"/>
      <c r="R24" s="449" t="str">
        <f>IF(calculos_quadro!$B$283=0,"—",calculos_quadro!$T$46)</f>
        <v/>
      </c>
      <c r="S24" s="448"/>
      <c r="T24" s="451" t="str">
        <f>IF(calculos_quadro!$B$283=0,"—",calculos_quadro!$T$47)</f>
        <v/>
      </c>
      <c r="U24" s="450"/>
      <c r="V24" s="450"/>
      <c r="W24" s="453" t="str">
        <f>IF(calculos_quadro!$B$283=0,"—",calculos_quadro!$T$49)</f>
        <v/>
      </c>
      <c r="X24" s="452"/>
      <c r="Y24" s="455" t="str">
        <f>IF(calculos_quadro!$B$283=0,"—",calculos_quadro!$T$50)</f>
        <v/>
      </c>
      <c r="Z24" s="456"/>
    </row>
    <row r="25" ht="16" customHeight="1">
      <c r="B25" s="484"/>
      <c r="C25" s="221"/>
      <c r="D25" s="441" t="inlineStr">
        <is>
          <t xml:space="preserve">Acidentes CAF</t>
        </is>
      </c>
      <c r="E25" s="440"/>
      <c r="F25" s="440"/>
      <c r="G25" s="440"/>
      <c r="H25" s="443" t="str">
        <f>IF(calculos_quadro!$B$284=0,"—",calculos_quadro!$U$48)</f>
        <v/>
      </c>
      <c r="I25" s="442"/>
      <c r="J25" s="445">
        <f>IF(calculos_quadro!$B$284=0,"—",calculos_quadro!$U$43)</f>
        <v>0</v>
      </c>
      <c r="K25" s="444"/>
      <c r="L25" s="444"/>
      <c r="M25" s="447" t="str">
        <f>IF(calculos_quadro!$B$284=0,"—",calculos_quadro!$U$44)</f>
        <v/>
      </c>
      <c r="N25" s="446"/>
      <c r="O25" s="449">
        <f>IF(calculos_quadro!$B$284=0,"—",calculos_quadro!$U$45)</f>
        <v>0</v>
      </c>
      <c r="P25" s="448"/>
      <c r="Q25" s="448"/>
      <c r="R25" s="449" t="str">
        <f>IF(calculos_quadro!$B$284=0,"—",calculos_quadro!$U$46)</f>
        <v/>
      </c>
      <c r="S25" s="448"/>
      <c r="T25" s="451" t="str">
        <f>IF(calculos_quadro!$B$284=0,"—",calculos_quadro!$U$47)</f>
        <v/>
      </c>
      <c r="U25" s="450"/>
      <c r="V25" s="450"/>
      <c r="W25" s="453" t="str">
        <f>IF(calculos_quadro!$B$284=0,"—",calculos_quadro!$U$49)</f>
        <v/>
      </c>
      <c r="X25" s="452"/>
      <c r="Y25" s="455" t="str">
        <f>IF(calculos_quadro!$B$284=0,"—",calculos_quadro!$U$50)</f>
        <v/>
      </c>
      <c r="Z25" s="456"/>
    </row>
    <row r="26" ht="16" customHeight="1">
      <c r="B26" s="485"/>
      <c r="C26" s="228"/>
      <c r="D26" s="458" t="inlineStr">
        <is>
          <t xml:space="preserve">Acidentes SAF</t>
        </is>
      </c>
      <c r="E26" s="457"/>
      <c r="F26" s="457"/>
      <c r="G26" s="457"/>
      <c r="H26" s="460" t="str">
        <f>IF(calculos_quadro!$B$285=0,"—",calculos_quadro!$V$48)</f>
        <v/>
      </c>
      <c r="I26" s="459"/>
      <c r="J26" s="462">
        <f>IF(calculos_quadro!$B$285=0,"—",calculos_quadro!$V$43)</f>
        <v>0</v>
      </c>
      <c r="K26" s="461"/>
      <c r="L26" s="461"/>
      <c r="M26" s="464" t="str">
        <f>IF(calculos_quadro!$B$285=0,"—",calculos_quadro!$V$44)</f>
        <v/>
      </c>
      <c r="N26" s="463"/>
      <c r="O26" s="466">
        <f>IF(calculos_quadro!$B$285=0,"—",calculos_quadro!$V$45)</f>
        <v>0</v>
      </c>
      <c r="P26" s="465"/>
      <c r="Q26" s="465"/>
      <c r="R26" s="466" t="str">
        <f>IF(calculos_quadro!$B$285=0,"—",calculos_quadro!$V$46)</f>
        <v/>
      </c>
      <c r="S26" s="465"/>
      <c r="T26" s="468" t="str">
        <f>IF(calculos_quadro!$B$285=0,"—",calculos_quadro!$V$47)</f>
        <v/>
      </c>
      <c r="U26" s="467"/>
      <c r="V26" s="467"/>
      <c r="W26" s="470" t="str">
        <f>IF(calculos_quadro!$B$285=0,"—",calculos_quadro!$V$49)</f>
        <v/>
      </c>
      <c r="X26" s="469"/>
      <c r="Y26" s="472" t="str">
        <f>IF(calculos_quadro!$B$285=0,"—",calculos_quadro!$V$50)</f>
        <v/>
      </c>
      <c r="Z26" s="473"/>
    </row>
    <row r="27">
      <c r="B27" s="31" t="inlineStr">
        <is>
          <t xml:space="preserve">Realizado: soma do mês nos fluxos (IN, OUT, incidentes, no show, falta, folga, férias, desligamento); último valor informado por cliente em backlog, posições, taxa e efetivo (dia sem lançamento mantém o valor anterior). Média/dia: dias com movimento. Metas e faixas: aba calculos (células amarelas). Vazio = sem registro.</t>
        </is>
      </c>
    </row>
    <row r="29" ht="20" customHeight="1">
      <c r="B29" s="257" t="inlineStr">
        <is>
          <t xml:space="preserve">RESUMO POR CLIENTE · mês inteiro · segue o filtro desta aba</t>
        </is>
      </c>
      <c r="C29" s="257"/>
      <c r="D29" s="257"/>
      <c r="E29" s="257"/>
      <c r="F29" s="257"/>
      <c r="G29" s="257"/>
      <c r="H29" s="257"/>
      <c r="I29" s="257"/>
      <c r="J29" s="257"/>
      <c r="K29" s="257"/>
      <c r="L29" s="257"/>
      <c r="M29" s="257"/>
      <c r="N29" s="257"/>
      <c r="O29" s="257"/>
      <c r="P29" s="257"/>
      <c r="Q29" s="257"/>
      <c r="R29" s="257"/>
      <c r="S29" s="257"/>
      <c r="T29" s="257"/>
      <c r="U29" s="257"/>
      <c r="V29" s="257"/>
      <c r="W29" s="257"/>
      <c r="X29" s="257"/>
      <c r="Y29" s="257"/>
      <c r="Z29" s="257"/>
    </row>
    <row r="30" ht="30" customHeight="1">
      <c r="B30" s="486" t="inlineStr">
        <is>
          <t xml:space="preserve">GRUPO</t>
        </is>
      </c>
      <c r="C30" s="487"/>
      <c r="D30" s="486" t="inlineStr">
        <is>
          <t xml:space="preserve">INDICADOR</t>
        </is>
      </c>
      <c r="E30" s="488"/>
      <c r="F30" s="488"/>
      <c r="G30" s="487"/>
      <c r="H30" s="489" t="str">
        <f>calculos_quadro!$G$258&amp;""</f>
        <v>Barry Callebaut</v>
      </c>
      <c r="I30" s="490"/>
      <c r="J30" s="489" t="str">
        <f>calculos_quadro!$G$259&amp;""</f>
        <v>GM</v>
      </c>
      <c r="K30" s="491"/>
      <c r="L30" s="490"/>
      <c r="M30" s="489" t="str">
        <f>calculos_quadro!$G$260&amp;""</f>
        <v>Mondelez</v>
      </c>
      <c r="N30" s="490"/>
      <c r="O30" s="489" t="str">
        <f>calculos_quadro!$G$261&amp;""</f>
        <v>Nestlé</v>
      </c>
      <c r="P30" s="491"/>
      <c r="Q30" s="490"/>
      <c r="R30" s="489" t="str">
        <f>calculos_quadro!$G$262&amp;""</f>
        <v>PMB</v>
      </c>
      <c r="S30" s="490"/>
      <c r="T30" s="492" t="str">
        <f>IF(calculos_quadro!$B$2="Todos","TOTAL CD","TOTAL "&amp;UPPER(calculos_quadro!$B$2))</f>
        <v>TOTAL CD</v>
      </c>
      <c r="U30" s="493"/>
      <c r="V30" s="494"/>
    </row>
    <row r="31" ht="15.75" customHeight="1">
      <c r="B31" s="474" t="inlineStr">
        <is>
          <t xml:space="preserve">IN</t>
        </is>
      </c>
      <c r="C31" s="148"/>
      <c r="D31" s="265" t="inlineStr">
        <is>
          <t xml:space="preserve">Veículos Recebidos</t>
        </is>
      </c>
      <c r="E31" s="264"/>
      <c r="F31" s="264"/>
      <c r="G31" s="264"/>
      <c r="H31" s="273">
        <f>IF(calculos_quadro!$G$258="","",IFERROR(INDEX(calculos_quadro!$B$90:$F$90,MATCH(calculos_quadro!$G$258,calculos_quadro!$B$89:$F$89,0)),""))</f>
        <v>0</v>
      </c>
      <c r="I31" s="272"/>
      <c r="J31" s="273" t="str">
        <f>IF(calculos_quadro!$G$259="","",IFERROR(INDEX(calculos_quadro!$B$90:$F$90,MATCH(calculos_quadro!$G$259,calculos_quadro!$B$89:$F$89,0)),""))</f>
        <v>—</v>
      </c>
      <c r="K31" s="272"/>
      <c r="L31" s="272"/>
      <c r="M31" s="273">
        <f>IF(calculos_quadro!$G$260="","",IFERROR(INDEX(calculos_quadro!$B$90:$F$90,MATCH(calculos_quadro!$G$260,calculos_quadro!$B$89:$F$89,0)),""))</f>
        <v>0</v>
      </c>
      <c r="N31" s="272"/>
      <c r="O31" s="273">
        <f>IF(calculos_quadro!$G$261="","",IFERROR(INDEX(calculos_quadro!$B$90:$F$90,MATCH(calculos_quadro!$G$261,calculos_quadro!$B$89:$F$89,0)),""))</f>
        <v>0</v>
      </c>
      <c r="P31" s="272"/>
      <c r="Q31" s="272"/>
      <c r="R31" s="273">
        <f>IF(calculos_quadro!$G$262="","",IFERROR(INDEX(calculos_quadro!$B$90:$F$90,MATCH(calculos_quadro!$G$262,calculos_quadro!$B$89:$F$89,0)),""))</f>
        <v>0</v>
      </c>
      <c r="S31" s="272"/>
      <c r="T31" s="267">
        <f>IF(calculos_quadro!$B$2="Todos",calculos_quadro!G90,SUM(H31:S31))</f>
        <v>0</v>
      </c>
      <c r="U31" s="266"/>
      <c r="V31" s="495"/>
    </row>
    <row r="32" ht="15.75" customHeight="1">
      <c r="B32" s="475"/>
      <c r="C32" s="155"/>
      <c r="D32" s="282" t="inlineStr">
        <is>
          <t xml:space="preserve">Pallets Movimentados</t>
        </is>
      </c>
      <c r="E32" s="281"/>
      <c r="F32" s="281"/>
      <c r="G32" s="281"/>
      <c r="H32" s="290">
        <f>IF(calculos_quadro!$G$258="","",IFERROR(INDEX(calculos_quadro!$B$91:$F$91,MATCH(calculos_quadro!$G$258,calculos_quadro!$B$89:$F$89,0)),""))</f>
        <v>0</v>
      </c>
      <c r="I32" s="289"/>
      <c r="J32" s="290" t="str">
        <f>IF(calculos_quadro!$G$259="","",IFERROR(INDEX(calculos_quadro!$B$91:$F$91,MATCH(calculos_quadro!$G$259,calculos_quadro!$B$89:$F$89,0)),""))</f>
        <v>—</v>
      </c>
      <c r="K32" s="289"/>
      <c r="L32" s="289"/>
      <c r="M32" s="290">
        <f>IF(calculos_quadro!$G$260="","",IFERROR(INDEX(calculos_quadro!$B$91:$F$91,MATCH(calculos_quadro!$G$260,calculos_quadro!$B$89:$F$89,0)),""))</f>
        <v>0</v>
      </c>
      <c r="N32" s="289"/>
      <c r="O32" s="290">
        <f>IF(calculos_quadro!$G$261="","",IFERROR(INDEX(calculos_quadro!$B$91:$F$91,MATCH(calculos_quadro!$G$261,calculos_quadro!$B$89:$F$89,0)),""))</f>
        <v>0</v>
      </c>
      <c r="P32" s="289"/>
      <c r="Q32" s="289"/>
      <c r="R32" s="290">
        <f>IF(calculos_quadro!$G$262="","",IFERROR(INDEX(calculos_quadro!$B$91:$F$91,MATCH(calculos_quadro!$G$262,calculos_quadro!$B$89:$F$89,0)),""))</f>
        <v>0</v>
      </c>
      <c r="S32" s="289"/>
      <c r="T32" s="284">
        <f>IF(calculos_quadro!$B$2="Todos",calculos_quadro!G91,SUM(H32:S32))</f>
        <v>0</v>
      </c>
      <c r="U32" s="283"/>
      <c r="V32" s="496"/>
    </row>
    <row r="33" ht="15.75" customHeight="1">
      <c r="B33" s="476"/>
      <c r="C33" s="162"/>
      <c r="D33" s="299" t="inlineStr">
        <is>
          <t xml:space="preserve">Toneladas Movimentadas</t>
        </is>
      </c>
      <c r="E33" s="298"/>
      <c r="F33" s="298"/>
      <c r="G33" s="298"/>
      <c r="H33" s="305">
        <f>IF(calculos_quadro!$G$258="","",IFERROR(INDEX(calculos_quadro!$B$92:$F$92,MATCH(calculos_quadro!$G$258,calculos_quadro!$B$89:$F$89,0)),""))</f>
        <v>0</v>
      </c>
      <c r="I33" s="304"/>
      <c r="J33" s="305" t="str">
        <f>IF(calculos_quadro!$G$259="","",IFERROR(INDEX(calculos_quadro!$B$92:$F$92,MATCH(calculos_quadro!$G$259,calculos_quadro!$B$89:$F$89,0)),""))</f>
        <v>—</v>
      </c>
      <c r="K33" s="304"/>
      <c r="L33" s="304"/>
      <c r="M33" s="305">
        <f>IF(calculos_quadro!$G$260="","",IFERROR(INDEX(calculos_quadro!$B$92:$F$92,MATCH(calculos_quadro!$G$260,calculos_quadro!$B$89:$F$89,0)),""))</f>
        <v>0</v>
      </c>
      <c r="N33" s="304"/>
      <c r="O33" s="305">
        <f>IF(calculos_quadro!$G$261="","",IFERROR(INDEX(calculos_quadro!$B$92:$F$92,MATCH(calculos_quadro!$G$261,calculos_quadro!$B$89:$F$89,0)),""))</f>
        <v>0</v>
      </c>
      <c r="P33" s="304"/>
      <c r="Q33" s="304"/>
      <c r="R33" s="305">
        <f>IF(calculos_quadro!$G$262="","",IFERROR(INDEX(calculos_quadro!$B$92:$F$92,MATCH(calculos_quadro!$G$262,calculos_quadro!$B$89:$F$89,0)),""))</f>
        <v>0</v>
      </c>
      <c r="S33" s="304"/>
      <c r="T33" s="498">
        <f>IF(calculos_quadro!$B$2="Todos",calculos_quadro!G92,SUM(H33:S33))</f>
        <v>0</v>
      </c>
      <c r="U33" s="497"/>
      <c r="V33" s="499"/>
    </row>
    <row r="34" ht="15.75" customHeight="1">
      <c r="B34" s="477" t="inlineStr">
        <is>
          <t xml:space="preserve">OUT</t>
        </is>
      </c>
      <c r="C34" s="169"/>
      <c r="D34" s="314" t="inlineStr">
        <is>
          <t xml:space="preserve">Veículos Expedidos</t>
        </is>
      </c>
      <c r="E34" s="313"/>
      <c r="F34" s="313"/>
      <c r="G34" s="313"/>
      <c r="H34" s="322">
        <f>IF(calculos_quadro!$G$258="","",IFERROR(INDEX(calculos_quadro!$B$93:$F$93,MATCH(calculos_quadro!$G$258,calculos_quadro!$B$89:$F$89,0)),""))</f>
        <v>0</v>
      </c>
      <c r="I34" s="321"/>
      <c r="J34" s="322">
        <f>IF(calculos_quadro!$G$259="","",IFERROR(INDEX(calculos_quadro!$B$93:$F$93,MATCH(calculos_quadro!$G$259,calculos_quadro!$B$89:$F$89,0)),""))</f>
        <v>0</v>
      </c>
      <c r="K34" s="321"/>
      <c r="L34" s="321"/>
      <c r="M34" s="322">
        <f>IF(calculos_quadro!$G$260="","",IFERROR(INDEX(calculos_quadro!$B$93:$F$93,MATCH(calculos_quadro!$G$260,calculos_quadro!$B$89:$F$89,0)),""))</f>
        <v>0</v>
      </c>
      <c r="N34" s="321"/>
      <c r="O34" s="322">
        <f>IF(calculos_quadro!$G$261="","",IFERROR(INDEX(calculos_quadro!$B$93:$F$93,MATCH(calculos_quadro!$G$261,calculos_quadro!$B$89:$F$89,0)),""))</f>
        <v>0</v>
      </c>
      <c r="P34" s="321"/>
      <c r="Q34" s="321"/>
      <c r="R34" s="322">
        <f>IF(calculos_quadro!$G$262="","",IFERROR(INDEX(calculos_quadro!$B$93:$F$93,MATCH(calculos_quadro!$G$262,calculos_quadro!$B$89:$F$89,0)),""))</f>
        <v>0</v>
      </c>
      <c r="S34" s="321"/>
      <c r="T34" s="316">
        <f>IF(calculos_quadro!$B$2="Todos",calculos_quadro!G93,SUM(H34:S34))</f>
        <v>0</v>
      </c>
      <c r="U34" s="315"/>
      <c r="V34" s="500"/>
    </row>
    <row r="35" ht="15.75" customHeight="1">
      <c r="B35" s="478"/>
      <c r="C35" s="176"/>
      <c r="D35" s="331" t="inlineStr">
        <is>
          <t xml:space="preserve">Pallets Movimentados</t>
        </is>
      </c>
      <c r="E35" s="330"/>
      <c r="F35" s="330"/>
      <c r="G35" s="330"/>
      <c r="H35" s="339">
        <f>IF(calculos_quadro!$G$258="","",IFERROR(INDEX(calculos_quadro!$B$94:$F$94,MATCH(calculos_quadro!$G$258,calculos_quadro!$B$89:$F$89,0)),""))</f>
        <v>0</v>
      </c>
      <c r="I35" s="338"/>
      <c r="J35" s="339">
        <f>IF(calculos_quadro!$G$259="","",IFERROR(INDEX(calculos_quadro!$B$94:$F$94,MATCH(calculos_quadro!$G$259,calculos_quadro!$B$89:$F$89,0)),""))</f>
        <v>0</v>
      </c>
      <c r="K35" s="338"/>
      <c r="L35" s="338"/>
      <c r="M35" s="339">
        <f>IF(calculos_quadro!$G$260="","",IFERROR(INDEX(calculos_quadro!$B$94:$F$94,MATCH(calculos_quadro!$G$260,calculos_quadro!$B$89:$F$89,0)),""))</f>
        <v>0</v>
      </c>
      <c r="N35" s="338"/>
      <c r="O35" s="339">
        <f>IF(calculos_quadro!$G$261="","",IFERROR(INDEX(calculos_quadro!$B$94:$F$94,MATCH(calculos_quadro!$G$261,calculos_quadro!$B$89:$F$89,0)),""))</f>
        <v>0</v>
      </c>
      <c r="P35" s="338"/>
      <c r="Q35" s="338"/>
      <c r="R35" s="339">
        <f>IF(calculos_quadro!$G$262="","",IFERROR(INDEX(calculos_quadro!$B$94:$F$94,MATCH(calculos_quadro!$G$262,calculos_quadro!$B$89:$F$89,0)),""))</f>
        <v>0</v>
      </c>
      <c r="S35" s="338"/>
      <c r="T35" s="333">
        <f>IF(calculos_quadro!$B$2="Todos",calculos_quadro!G94,SUM(H35:S35))</f>
        <v>0</v>
      </c>
      <c r="U35" s="332"/>
      <c r="V35" s="501"/>
    </row>
    <row r="36" ht="15.75" customHeight="1">
      <c r="B36" s="479"/>
      <c r="C36" s="183"/>
      <c r="D36" s="348" t="inlineStr">
        <is>
          <t xml:space="preserve">Toneladas Movimentadas</t>
        </is>
      </c>
      <c r="E36" s="347"/>
      <c r="F36" s="347"/>
      <c r="G36" s="347"/>
      <c r="H36" s="354">
        <f>IF(calculos_quadro!$G$258="","",IFERROR(INDEX(calculos_quadro!$B$95:$F$95,MATCH(calculos_quadro!$G$258,calculos_quadro!$B$89:$F$89,0)),""))</f>
        <v>0</v>
      </c>
      <c r="I36" s="353"/>
      <c r="J36" s="354">
        <f>IF(calculos_quadro!$G$259="","",IFERROR(INDEX(calculos_quadro!$B$95:$F$95,MATCH(calculos_quadro!$G$259,calculos_quadro!$B$89:$F$89,0)),""))</f>
        <v>0</v>
      </c>
      <c r="K36" s="353"/>
      <c r="L36" s="353"/>
      <c r="M36" s="354">
        <f>IF(calculos_quadro!$G$260="","",IFERROR(INDEX(calculos_quadro!$B$95:$F$95,MATCH(calculos_quadro!$G$260,calculos_quadro!$B$89:$F$89,0)),""))</f>
        <v>0</v>
      </c>
      <c r="N36" s="353"/>
      <c r="O36" s="354">
        <f>IF(calculos_quadro!$G$261="","",IFERROR(INDEX(calculos_quadro!$B$95:$F$95,MATCH(calculos_quadro!$G$261,calculos_quadro!$B$89:$F$89,0)),""))</f>
        <v>0</v>
      </c>
      <c r="P36" s="353"/>
      <c r="Q36" s="353"/>
      <c r="R36" s="354">
        <f>IF(calculos_quadro!$G$262="","",IFERROR(INDEX(calculos_quadro!$B$95:$F$95,MATCH(calculos_quadro!$G$262,calculos_quadro!$B$89:$F$89,0)),""))</f>
        <v>0</v>
      </c>
      <c r="S36" s="353"/>
      <c r="T36" s="503">
        <f>IF(calculos_quadro!$B$2="Todos",calculos_quadro!G95,SUM(H36:S36))</f>
        <v>0</v>
      </c>
      <c r="U36" s="502"/>
      <c r="V36" s="504"/>
    </row>
    <row r="37" ht="15.75" customHeight="1">
      <c r="B37" s="480" t="inlineStr">
        <is>
          <t xml:space="preserve">NC</t>
        </is>
      </c>
      <c r="C37" s="190"/>
      <c r="D37" s="363" t="inlineStr">
        <is>
          <t xml:space="preserve">Incidentes</t>
        </is>
      </c>
      <c r="E37" s="362"/>
      <c r="F37" s="362"/>
      <c r="G37" s="362"/>
      <c r="H37" s="371">
        <f>IF(calculos_quadro!$G$258="","",IFERROR(INDEX(calculos_quadro!$B$96:$F$96,MATCH(calculos_quadro!$G$258,calculos_quadro!$B$89:$F$89,0)),""))</f>
        <v>0</v>
      </c>
      <c r="I37" s="370"/>
      <c r="J37" s="371">
        <f>IF(calculos_quadro!$G$259="","",IFERROR(INDEX(calculos_quadro!$B$96:$F$96,MATCH(calculos_quadro!$G$259,calculos_quadro!$B$89:$F$89,0)),""))</f>
        <v>0</v>
      </c>
      <c r="K37" s="370"/>
      <c r="L37" s="370"/>
      <c r="M37" s="371">
        <f>IF(calculos_quadro!$G$260="","",IFERROR(INDEX(calculos_quadro!$B$96:$F$96,MATCH(calculos_quadro!$G$260,calculos_quadro!$B$89:$F$89,0)),""))</f>
        <v>0</v>
      </c>
      <c r="N37" s="370"/>
      <c r="O37" s="371">
        <f>IF(calculos_quadro!$G$261="","",IFERROR(INDEX(calculos_quadro!$B$96:$F$96,MATCH(calculos_quadro!$G$261,calculos_quadro!$B$89:$F$89,0)),""))</f>
        <v>0</v>
      </c>
      <c r="P37" s="370"/>
      <c r="Q37" s="370"/>
      <c r="R37" s="371">
        <f>IF(calculos_quadro!$G$262="","",IFERROR(INDEX(calculos_quadro!$B$96:$F$96,MATCH(calculos_quadro!$G$262,calculos_quadro!$B$89:$F$89,0)),""))</f>
        <v>0</v>
      </c>
      <c r="S37" s="370"/>
      <c r="T37" s="365">
        <f>IF(calculos_quadro!$B$2="Todos",calculos_quadro!G96,SUM(H37:S37))</f>
        <v>0</v>
      </c>
      <c r="U37" s="364"/>
      <c r="V37" s="505"/>
    </row>
    <row r="38" ht="15.75" customHeight="1">
      <c r="B38" s="481"/>
      <c r="C38" s="197"/>
      <c r="D38" s="380" t="inlineStr">
        <is>
          <t xml:space="preserve">No show</t>
        </is>
      </c>
      <c r="E38" s="379"/>
      <c r="F38" s="379"/>
      <c r="G38" s="379"/>
      <c r="H38" s="388">
        <f>IF(calculos_quadro!$G$258="","",IFERROR(INDEX(calculos_quadro!$B$97:$F$97,MATCH(calculos_quadro!$G$258,calculos_quadro!$B$89:$F$89,0)),""))</f>
        <v>0</v>
      </c>
      <c r="I38" s="387"/>
      <c r="J38" s="388">
        <f>IF(calculos_quadro!$G$259="","",IFERROR(INDEX(calculos_quadro!$B$97:$F$97,MATCH(calculos_quadro!$G$259,calculos_quadro!$B$89:$F$89,0)),""))</f>
        <v>0</v>
      </c>
      <c r="K38" s="387"/>
      <c r="L38" s="387"/>
      <c r="M38" s="388">
        <f>IF(calculos_quadro!$G$260="","",IFERROR(INDEX(calculos_quadro!$B$97:$F$97,MATCH(calculos_quadro!$G$260,calculos_quadro!$B$89:$F$89,0)),""))</f>
        <v>0</v>
      </c>
      <c r="N38" s="387"/>
      <c r="O38" s="388">
        <f>IF(calculos_quadro!$G$261="","",IFERROR(INDEX(calculos_quadro!$B$97:$F$97,MATCH(calculos_quadro!$G$261,calculos_quadro!$B$89:$F$89,0)),""))</f>
        <v>0</v>
      </c>
      <c r="P38" s="387"/>
      <c r="Q38" s="387"/>
      <c r="R38" s="388">
        <f>IF(calculos_quadro!$G$262="","",IFERROR(INDEX(calculos_quadro!$B$97:$F$97,MATCH(calculos_quadro!$G$262,calculos_quadro!$B$89:$F$89,0)),""))</f>
        <v>0</v>
      </c>
      <c r="S38" s="387"/>
      <c r="T38" s="382">
        <f>IF(calculos_quadro!$B$2="Todos",calculos_quadro!G97,SUM(H38:S38))</f>
        <v>0</v>
      </c>
      <c r="U38" s="381"/>
      <c r="V38" s="506"/>
    </row>
    <row r="39" ht="15.75" customHeight="1">
      <c r="B39" s="482"/>
      <c r="C39" s="204"/>
      <c r="D39" s="397" t="inlineStr">
        <is>
          <t xml:space="preserve">Backlog</t>
        </is>
      </c>
      <c r="E39" s="396"/>
      <c r="F39" s="396"/>
      <c r="G39" s="396"/>
      <c r="H39" s="405" t="str">
        <f>IF(calculos_quadro!$G$258="","",IFERROR(INDEX(calculos_quadro!$B$98:$F$98,MATCH(calculos_quadro!$G$258,calculos_quadro!$B$89:$F$89,0)),""))</f>
        <v/>
      </c>
      <c r="I39" s="404"/>
      <c r="J39" s="405" t="str">
        <f>IF(calculos_quadro!$G$259="","",IFERROR(INDEX(calculos_quadro!$B$98:$F$98,MATCH(calculos_quadro!$G$259,calculos_quadro!$B$89:$F$89,0)),""))</f>
        <v/>
      </c>
      <c r="K39" s="404"/>
      <c r="L39" s="404"/>
      <c r="M39" s="405" t="str">
        <f>IF(calculos_quadro!$G$260="","",IFERROR(INDEX(calculos_quadro!$B$98:$F$98,MATCH(calculos_quadro!$G$260,calculos_quadro!$B$89:$F$89,0)),""))</f>
        <v/>
      </c>
      <c r="N39" s="404"/>
      <c r="O39" s="405" t="str">
        <f>IF(calculos_quadro!$G$261="","",IFERROR(INDEX(calculos_quadro!$B$98:$F$98,MATCH(calculos_quadro!$G$261,calculos_quadro!$B$89:$F$89,0)),""))</f>
        <v/>
      </c>
      <c r="P39" s="404"/>
      <c r="Q39" s="404"/>
      <c r="R39" s="405" t="str">
        <f>IF(calculos_quadro!$G$262="","",IFERROR(INDEX(calculos_quadro!$B$98:$F$98,MATCH(calculos_quadro!$G$262,calculos_quadro!$B$89:$F$89,0)),""))</f>
        <v/>
      </c>
      <c r="S39" s="404"/>
      <c r="T39" s="399">
        <f>IF(calculos_quadro!$B$2="Todos",calculos_quadro!G98,SUM(H39:S39))</f>
        <v>0</v>
      </c>
      <c r="U39" s="398"/>
      <c r="V39" s="507"/>
    </row>
    <row r="40" ht="15.75" customHeight="1">
      <c r="B40" s="474" t="inlineStr">
        <is>
          <t xml:space="preserve">OCUPAÇÃO (P.P)</t>
        </is>
      </c>
      <c r="C40" s="148"/>
      <c r="D40" s="265" t="inlineStr">
        <is>
          <t xml:space="preserve">Posições Disponíveis</t>
        </is>
      </c>
      <c r="E40" s="264"/>
      <c r="F40" s="264"/>
      <c r="G40" s="264"/>
      <c r="H40" s="273" t="str">
        <f>IF(calculos_quadro!$G$258="","",IFERROR(INDEX(calculos_quadro!$B$99:$F$99,MATCH(calculos_quadro!$G$258,calculos_quadro!$B$89:$F$89,0)),""))</f>
        <v/>
      </c>
      <c r="I40" s="272"/>
      <c r="J40" s="273" t="str">
        <f>IF(calculos_quadro!$G$259="","",IFERROR(INDEX(calculos_quadro!$B$99:$F$99,MATCH(calculos_quadro!$G$259,calculos_quadro!$B$89:$F$89,0)),""))</f>
        <v>—</v>
      </c>
      <c r="K40" s="272"/>
      <c r="L40" s="272"/>
      <c r="M40" s="273" t="str">
        <f>IF(calculos_quadro!$G$260="","",IFERROR(INDEX(calculos_quadro!$B$99:$F$99,MATCH(calculos_quadro!$G$260,calculos_quadro!$B$89:$F$89,0)),""))</f>
        <v>—</v>
      </c>
      <c r="N40" s="272"/>
      <c r="O40" s="273" t="str">
        <f>IF(calculos_quadro!$G$261="","",IFERROR(INDEX(calculos_quadro!$B$99:$F$99,MATCH(calculos_quadro!$G$261,calculos_quadro!$B$89:$F$89,0)),""))</f>
        <v>—</v>
      </c>
      <c r="P40" s="272"/>
      <c r="Q40" s="272"/>
      <c r="R40" s="273" t="str">
        <f>IF(calculos_quadro!$G$262="","",IFERROR(INDEX(calculos_quadro!$B$99:$F$99,MATCH(calculos_quadro!$G$262,calculos_quadro!$B$89:$F$89,0)),""))</f>
        <v/>
      </c>
      <c r="S40" s="272"/>
      <c r="T40" s="267">
        <f>IF(calculos_quadro!$B$2="Todos",calculos_quadro!G99,SUM(H40:S40))</f>
        <v>5872</v>
      </c>
      <c r="U40" s="266"/>
      <c r="V40" s="495"/>
    </row>
    <row r="41" ht="15.75" customHeight="1">
      <c r="B41" s="475"/>
      <c r="C41" s="155"/>
      <c r="D41" s="282" t="inlineStr">
        <is>
          <t xml:space="preserve">Posições Ocupadas</t>
        </is>
      </c>
      <c r="E41" s="281"/>
      <c r="F41" s="281"/>
      <c r="G41" s="281"/>
      <c r="H41" s="290" t="str">
        <f>IF(calculos_quadro!$G$258="","",IFERROR(INDEX(calculos_quadro!$B$100:$F$100,MATCH(calculos_quadro!$G$258,calculos_quadro!$B$89:$F$89,0)),""))</f>
        <v/>
      </c>
      <c r="I41" s="289"/>
      <c r="J41" s="290" t="str">
        <f>IF(calculos_quadro!$G$259="","",IFERROR(INDEX(calculos_quadro!$B$100:$F$100,MATCH(calculos_quadro!$G$259,calculos_quadro!$B$89:$F$89,0)),""))</f>
        <v>—</v>
      </c>
      <c r="K41" s="289"/>
      <c r="L41" s="289"/>
      <c r="M41" s="290" t="str">
        <f>IF(calculos_quadro!$G$260="","",IFERROR(INDEX(calculos_quadro!$B$100:$F$100,MATCH(calculos_quadro!$G$260,calculos_quadro!$B$89:$F$89,0)),""))</f>
        <v/>
      </c>
      <c r="N41" s="289"/>
      <c r="O41" s="290" t="str">
        <f>IF(calculos_quadro!$G$261="","",IFERROR(INDEX(calculos_quadro!$B$100:$F$100,MATCH(calculos_quadro!$G$261,calculos_quadro!$B$89:$F$89,0)),""))</f>
        <v/>
      </c>
      <c r="P41" s="289"/>
      <c r="Q41" s="289"/>
      <c r="R41" s="290" t="str">
        <f>IF(calculos_quadro!$G$262="","",IFERROR(INDEX(calculos_quadro!$B$100:$F$100,MATCH(calculos_quadro!$G$262,calculos_quadro!$B$89:$F$89,0)),""))</f>
        <v/>
      </c>
      <c r="S41" s="289"/>
      <c r="T41" s="284">
        <f>IF(calculos_quadro!$B$2="Todos",calculos_quadro!G100,SUM(H41:S41))</f>
        <v>0</v>
      </c>
      <c r="U41" s="283"/>
      <c r="V41" s="496"/>
    </row>
    <row r="42" ht="15.75" customHeight="1">
      <c r="B42" s="476"/>
      <c r="C42" s="162"/>
      <c r="D42" s="299" t="inlineStr">
        <is>
          <t xml:space="preserve">Taxa de Ocupação</t>
        </is>
      </c>
      <c r="E42" s="298"/>
      <c r="F42" s="298"/>
      <c r="G42" s="298"/>
      <c r="H42" s="309" t="str">
        <f>IF(calculos_quadro!$G$258="","",IFERROR(INDEX(calculos_quadro!$B$101:$F$101,MATCH(calculos_quadro!$G$258,calculos_quadro!$B$89:$F$89,0)),""))</f>
        <v/>
      </c>
      <c r="I42" s="308"/>
      <c r="J42" s="309" t="str">
        <f>IF(calculos_quadro!$G$259="","",IFERROR(INDEX(calculos_quadro!$B$101:$F$101,MATCH(calculos_quadro!$G$259,calculos_quadro!$B$89:$F$89,0)),""))</f>
        <v>—</v>
      </c>
      <c r="K42" s="308"/>
      <c r="L42" s="308"/>
      <c r="M42" s="309" t="str">
        <f>IF(calculos_quadro!$G$260="","",IFERROR(INDEX(calculos_quadro!$B$101:$F$101,MATCH(calculos_quadro!$G$260,calculos_quadro!$B$89:$F$89,0)),""))</f>
        <v>—</v>
      </c>
      <c r="N42" s="308"/>
      <c r="O42" s="309" t="str">
        <f>IF(calculos_quadro!$G$261="","",IFERROR(INDEX(calculos_quadro!$B$101:$F$101,MATCH(calculos_quadro!$G$261,calculos_quadro!$B$89:$F$89,0)),""))</f>
        <v>—</v>
      </c>
      <c r="P42" s="308"/>
      <c r="Q42" s="308"/>
      <c r="R42" s="309" t="str">
        <f>IF(calculos_quadro!$G$262="","",IFERROR(INDEX(calculos_quadro!$B$101:$F$101,MATCH(calculos_quadro!$G$262,calculos_quadro!$B$89:$F$89,0)),""))</f>
        <v/>
      </c>
      <c r="S42" s="308"/>
      <c r="T42" s="418">
        <f>IF(calculos_quadro!$B$2="Todos",calculos_quadro!G101,IFERROR(T41/T40,""))</f>
        <v>0</v>
      </c>
      <c r="U42" s="417"/>
      <c r="V42" s="508"/>
    </row>
    <row r="43" ht="15.75" customHeight="1">
      <c r="B43" s="483" t="inlineStr">
        <is>
          <t xml:space="preserve">GENTE</t>
        </is>
      </c>
      <c r="C43" s="214"/>
      <c r="D43" s="424" t="inlineStr">
        <is>
          <t xml:space="preserve">Efetivo Op.</t>
        </is>
      </c>
      <c r="E43" s="423"/>
      <c r="F43" s="423"/>
      <c r="G43" s="423"/>
      <c r="H43" s="432" t="str">
        <f>IF(calculos_quadro!$G$258="","",IFERROR(INDEX(calculos_quadro!$B$102:$F$102,MATCH(calculos_quadro!$G$258,calculos_quadro!$B$89:$F$89,0)),""))</f>
        <v/>
      </c>
      <c r="I43" s="431"/>
      <c r="J43" s="432" t="str">
        <f>IF(calculos_quadro!$G$259="","",IFERROR(INDEX(calculos_quadro!$B$102:$F$102,MATCH(calculos_quadro!$G$259,calculos_quadro!$B$89:$F$89,0)),""))</f>
        <v/>
      </c>
      <c r="K43" s="431"/>
      <c r="L43" s="431"/>
      <c r="M43" s="432" t="str">
        <f>IF(calculos_quadro!$G$260="","",IFERROR(INDEX(calculos_quadro!$B$102:$F$102,MATCH(calculos_quadro!$G$260,calculos_quadro!$B$89:$F$89,0)),""))</f>
        <v/>
      </c>
      <c r="N43" s="431"/>
      <c r="O43" s="432" t="str">
        <f>IF(calculos_quadro!$G$261="","",IFERROR(INDEX(calculos_quadro!$B$102:$F$102,MATCH(calculos_quadro!$G$261,calculos_quadro!$B$89:$F$89,0)),""))</f>
        <v/>
      </c>
      <c r="P43" s="431"/>
      <c r="Q43" s="431"/>
      <c r="R43" s="432" t="str">
        <f>IF(calculos_quadro!$G$262="","",IFERROR(INDEX(calculos_quadro!$B$102:$F$102,MATCH(calculos_quadro!$G$262,calculos_quadro!$B$89:$F$89,0)),""))</f>
        <v/>
      </c>
      <c r="S43" s="431"/>
      <c r="T43" s="426">
        <f>IF(calculos_quadro!$B$2="Todos",calculos_quadro!G102,SUM(H43:S43))</f>
        <v>0</v>
      </c>
      <c r="U43" s="425"/>
      <c r="V43" s="509"/>
    </row>
    <row r="44" ht="15.75" customHeight="1">
      <c r="B44" s="484"/>
      <c r="C44" s="221"/>
      <c r="D44" s="441" t="inlineStr">
        <is>
          <t xml:space="preserve">Falta</t>
        </is>
      </c>
      <c r="E44" s="440"/>
      <c r="F44" s="440"/>
      <c r="G44" s="440"/>
      <c r="H44" s="449">
        <f>IF(calculos_quadro!$G$258="","",IFERROR(INDEX(calculos_quadro!$B$103:$F$103,MATCH(calculos_quadro!$G$258,calculos_quadro!$B$89:$F$89,0)),""))</f>
        <v>0</v>
      </c>
      <c r="I44" s="448"/>
      <c r="J44" s="449">
        <f>IF(calculos_quadro!$G$259="","",IFERROR(INDEX(calculos_quadro!$B$103:$F$103,MATCH(calculos_quadro!$G$259,calculos_quadro!$B$89:$F$89,0)),""))</f>
        <v>0</v>
      </c>
      <c r="K44" s="448"/>
      <c r="L44" s="448"/>
      <c r="M44" s="449">
        <f>IF(calculos_quadro!$G$260="","",IFERROR(INDEX(calculos_quadro!$B$103:$F$103,MATCH(calculos_quadro!$G$260,calculos_quadro!$B$89:$F$89,0)),""))</f>
        <v>0</v>
      </c>
      <c r="N44" s="448"/>
      <c r="O44" s="449">
        <f>IF(calculos_quadro!$G$261="","",IFERROR(INDEX(calculos_quadro!$B$103:$F$103,MATCH(calculos_quadro!$G$261,calculos_quadro!$B$89:$F$89,0)),""))</f>
        <v>0</v>
      </c>
      <c r="P44" s="448"/>
      <c r="Q44" s="448"/>
      <c r="R44" s="449">
        <f>IF(calculos_quadro!$G$262="","",IFERROR(INDEX(calculos_quadro!$B$103:$F$103,MATCH(calculos_quadro!$G$262,calculos_quadro!$B$89:$F$89,0)),""))</f>
        <v>0</v>
      </c>
      <c r="S44" s="448"/>
      <c r="T44" s="443">
        <f>IF(calculos_quadro!$B$2="Todos",calculos_quadro!G103,SUM(H44:S44))</f>
        <v>0</v>
      </c>
      <c r="U44" s="442"/>
      <c r="V44" s="510"/>
    </row>
    <row r="45" ht="15.75" customHeight="1">
      <c r="B45" s="484"/>
      <c r="C45" s="221"/>
      <c r="D45" s="441" t="inlineStr">
        <is>
          <t xml:space="preserve">Folga</t>
        </is>
      </c>
      <c r="E45" s="440"/>
      <c r="F45" s="440"/>
      <c r="G45" s="440"/>
      <c r="H45" s="449">
        <f>IF(calculos_quadro!$G$258="","",IFERROR(INDEX(calculos_quadro!$B$104:$F$104,MATCH(calculos_quadro!$G$258,calculos_quadro!$B$89:$F$89,0)),""))</f>
        <v>0</v>
      </c>
      <c r="I45" s="448"/>
      <c r="J45" s="449">
        <f>IF(calculos_quadro!$G$259="","",IFERROR(INDEX(calculos_quadro!$B$104:$F$104,MATCH(calculos_quadro!$G$259,calculos_quadro!$B$89:$F$89,0)),""))</f>
        <v>0</v>
      </c>
      <c r="K45" s="448"/>
      <c r="L45" s="448"/>
      <c r="M45" s="449">
        <f>IF(calculos_quadro!$G$260="","",IFERROR(INDEX(calculos_quadro!$B$104:$F$104,MATCH(calculos_quadro!$G$260,calculos_quadro!$B$89:$F$89,0)),""))</f>
        <v>0</v>
      </c>
      <c r="N45" s="448"/>
      <c r="O45" s="449">
        <f>IF(calculos_quadro!$G$261="","",IFERROR(INDEX(calculos_quadro!$B$104:$F$104,MATCH(calculos_quadro!$G$261,calculos_quadro!$B$89:$F$89,0)),""))</f>
        <v>0</v>
      </c>
      <c r="P45" s="448"/>
      <c r="Q45" s="448"/>
      <c r="R45" s="449">
        <f>IF(calculos_quadro!$G$262="","",IFERROR(INDEX(calculos_quadro!$B$104:$F$104,MATCH(calculos_quadro!$G$262,calculos_quadro!$B$89:$F$89,0)),""))</f>
        <v>0</v>
      </c>
      <c r="S45" s="448"/>
      <c r="T45" s="443">
        <f>IF(calculos_quadro!$B$2="Todos",calculos_quadro!G104,SUM(H45:S45))</f>
        <v>0</v>
      </c>
      <c r="U45" s="442"/>
      <c r="V45" s="510"/>
    </row>
    <row r="46" ht="15.75" customHeight="1">
      <c r="B46" s="484"/>
      <c r="C46" s="221"/>
      <c r="D46" s="441" t="inlineStr">
        <is>
          <t xml:space="preserve">Férias</t>
        </is>
      </c>
      <c r="E46" s="440"/>
      <c r="F46" s="440"/>
      <c r="G46" s="440"/>
      <c r="H46" s="449">
        <f>IF(calculos_quadro!$G$258="","",IFERROR(INDEX(calculos_quadro!$B$105:$F$105,MATCH(calculos_quadro!$G$258,calculos_quadro!$B$89:$F$89,0)),""))</f>
        <v>0</v>
      </c>
      <c r="I46" s="448"/>
      <c r="J46" s="449">
        <f>IF(calculos_quadro!$G$259="","",IFERROR(INDEX(calculos_quadro!$B$105:$F$105,MATCH(calculos_quadro!$G$259,calculos_quadro!$B$89:$F$89,0)),""))</f>
        <v>0</v>
      </c>
      <c r="K46" s="448"/>
      <c r="L46" s="448"/>
      <c r="M46" s="449">
        <f>IF(calculos_quadro!$G$260="","",IFERROR(INDEX(calculos_quadro!$B$105:$F$105,MATCH(calculos_quadro!$G$260,calculos_quadro!$B$89:$F$89,0)),""))</f>
        <v>0</v>
      </c>
      <c r="N46" s="448"/>
      <c r="O46" s="449">
        <f>IF(calculos_quadro!$G$261="","",IFERROR(INDEX(calculos_quadro!$B$105:$F$105,MATCH(calculos_quadro!$G$261,calculos_quadro!$B$89:$F$89,0)),""))</f>
        <v>0</v>
      </c>
      <c r="P46" s="448"/>
      <c r="Q46" s="448"/>
      <c r="R46" s="449">
        <f>IF(calculos_quadro!$G$262="","",IFERROR(INDEX(calculos_quadro!$B$105:$F$105,MATCH(calculos_quadro!$G$262,calculos_quadro!$B$89:$F$89,0)),""))</f>
        <v>0</v>
      </c>
      <c r="S46" s="448"/>
      <c r="T46" s="443">
        <f>IF(calculos_quadro!$B$2="Todos",calculos_quadro!G105,SUM(H46:S46))</f>
        <v>0</v>
      </c>
      <c r="U46" s="442"/>
      <c r="V46" s="510"/>
    </row>
    <row r="47" ht="15.75" customHeight="1">
      <c r="B47" s="484"/>
      <c r="C47" s="221"/>
      <c r="D47" s="441" t="inlineStr">
        <is>
          <t xml:space="preserve">Desligamento</t>
        </is>
      </c>
      <c r="E47" s="440"/>
      <c r="F47" s="440"/>
      <c r="G47" s="440"/>
      <c r="H47" s="449">
        <f>IF(calculos_quadro!$G$258="","",IFERROR(INDEX(calculos_quadro!$B$106:$F$106,MATCH(calculos_quadro!$G$258,calculos_quadro!$B$89:$F$89,0)),""))</f>
        <v>0</v>
      </c>
      <c r="I47" s="448"/>
      <c r="J47" s="449">
        <f>IF(calculos_quadro!$G$259="","",IFERROR(INDEX(calculos_quadro!$B$106:$F$106,MATCH(calculos_quadro!$G$259,calculos_quadro!$B$89:$F$89,0)),""))</f>
        <v>0</v>
      </c>
      <c r="K47" s="448"/>
      <c r="L47" s="448"/>
      <c r="M47" s="449">
        <f>IF(calculos_quadro!$G$260="","",IFERROR(INDEX(calculos_quadro!$B$106:$F$106,MATCH(calculos_quadro!$G$260,calculos_quadro!$B$89:$F$89,0)),""))</f>
        <v>0</v>
      </c>
      <c r="N47" s="448"/>
      <c r="O47" s="449">
        <f>IF(calculos_quadro!$G$261="","",IFERROR(INDEX(calculos_quadro!$B$106:$F$106,MATCH(calculos_quadro!$G$261,calculos_quadro!$B$89:$F$89,0)),""))</f>
        <v>0</v>
      </c>
      <c r="P47" s="448"/>
      <c r="Q47" s="448"/>
      <c r="R47" s="449">
        <f>IF(calculos_quadro!$G$262="","",IFERROR(INDEX(calculos_quadro!$B$106:$F$106,MATCH(calculos_quadro!$G$262,calculos_quadro!$B$89:$F$89,0)),""))</f>
        <v>0</v>
      </c>
      <c r="S47" s="448"/>
      <c r="T47" s="443">
        <f>IF(calculos_quadro!$B$2="Todos",calculos_quadro!G106,SUM(H47:S47))</f>
        <v>0</v>
      </c>
      <c r="U47" s="442"/>
      <c r="V47" s="510"/>
    </row>
    <row r="48" ht="15.75" customHeight="1">
      <c r="B48" s="484"/>
      <c r="C48" s="221"/>
      <c r="D48" s="441" t="inlineStr">
        <is>
          <t xml:space="preserve">Desvios Comportamentais</t>
        </is>
      </c>
      <c r="E48" s="440"/>
      <c r="F48" s="440"/>
      <c r="G48" s="440"/>
      <c r="H48" s="449">
        <f>IF(calculos_quadro!$G$258="","",IFERROR(INDEX(calculos_quadro!$B$107:$F$107,MATCH(calculos_quadro!$G$258,calculos_quadro!$B$89:$F$89,0)),""))</f>
        <v>0</v>
      </c>
      <c r="I48" s="448"/>
      <c r="J48" s="449">
        <f>IF(calculos_quadro!$G$259="","",IFERROR(INDEX(calculos_quadro!$B$107:$F$107,MATCH(calculos_quadro!$G$259,calculos_quadro!$B$89:$F$89,0)),""))</f>
        <v>0</v>
      </c>
      <c r="K48" s="448"/>
      <c r="L48" s="448"/>
      <c r="M48" s="449">
        <f>IF(calculos_quadro!$G$260="","",IFERROR(INDEX(calculos_quadro!$B$107:$F$107,MATCH(calculos_quadro!$G$260,calculos_quadro!$B$89:$F$89,0)),""))</f>
        <v>0</v>
      </c>
      <c r="N48" s="448"/>
      <c r="O48" s="449">
        <f>IF(calculos_quadro!$G$261="","",IFERROR(INDEX(calculos_quadro!$B$107:$F$107,MATCH(calculos_quadro!$G$261,calculos_quadro!$B$89:$F$89,0)),""))</f>
        <v>0</v>
      </c>
      <c r="P48" s="448"/>
      <c r="Q48" s="448"/>
      <c r="R48" s="449">
        <f>IF(calculos_quadro!$G$262="","",IFERROR(INDEX(calculos_quadro!$B$107:$F$107,MATCH(calculos_quadro!$G$262,calculos_quadro!$B$89:$F$89,0)),""))</f>
        <v>0</v>
      </c>
      <c r="S48" s="448"/>
      <c r="T48" s="443">
        <f>IF(calculos_quadro!$B$2="Todos",calculos_quadro!G107,SUM(H48:S48))</f>
        <v>0</v>
      </c>
      <c r="U48" s="442"/>
      <c r="V48" s="510"/>
    </row>
    <row r="49" ht="15.75" customHeight="1">
      <c r="B49" s="484"/>
      <c r="C49" s="221"/>
      <c r="D49" s="441" t="inlineStr">
        <is>
          <t xml:space="preserve">Acidentes CAF</t>
        </is>
      </c>
      <c r="E49" s="440"/>
      <c r="F49" s="440"/>
      <c r="G49" s="440"/>
      <c r="H49" s="449">
        <f>IF(calculos_quadro!$G$258="","",IFERROR(INDEX(calculos_quadro!$B$108:$F$108,MATCH(calculos_quadro!$G$258,calculos_quadro!$B$89:$F$89,0)),""))</f>
        <v>0</v>
      </c>
      <c r="I49" s="448"/>
      <c r="J49" s="449">
        <f>IF(calculos_quadro!$G$259="","",IFERROR(INDEX(calculos_quadro!$B$108:$F$108,MATCH(calculos_quadro!$G$259,calculos_quadro!$B$89:$F$89,0)),""))</f>
        <v>0</v>
      </c>
      <c r="K49" s="448"/>
      <c r="L49" s="448"/>
      <c r="M49" s="449">
        <f>IF(calculos_quadro!$G$260="","",IFERROR(INDEX(calculos_quadro!$B$108:$F$108,MATCH(calculos_quadro!$G$260,calculos_quadro!$B$89:$F$89,0)),""))</f>
        <v>0</v>
      </c>
      <c r="N49" s="448"/>
      <c r="O49" s="449">
        <f>IF(calculos_quadro!$G$261="","",IFERROR(INDEX(calculos_quadro!$B$108:$F$108,MATCH(calculos_quadro!$G$261,calculos_quadro!$B$89:$F$89,0)),""))</f>
        <v>0</v>
      </c>
      <c r="P49" s="448"/>
      <c r="Q49" s="448"/>
      <c r="R49" s="449">
        <f>IF(calculos_quadro!$G$262="","",IFERROR(INDEX(calculos_quadro!$B$108:$F$108,MATCH(calculos_quadro!$G$262,calculos_quadro!$B$89:$F$89,0)),""))</f>
        <v>0</v>
      </c>
      <c r="S49" s="448"/>
      <c r="T49" s="443">
        <f>IF(calculos_quadro!$B$2="Todos",calculos_quadro!G108,SUM(H49:S49))</f>
        <v>0</v>
      </c>
      <c r="U49" s="442"/>
      <c r="V49" s="510"/>
    </row>
    <row r="50" ht="15.75" customHeight="1">
      <c r="B50" s="485"/>
      <c r="C50" s="228"/>
      <c r="D50" s="458" t="inlineStr">
        <is>
          <t xml:space="preserve">Acidentes SAF</t>
        </is>
      </c>
      <c r="E50" s="457"/>
      <c r="F50" s="457"/>
      <c r="G50" s="457"/>
      <c r="H50" s="466">
        <f>IF(calculos_quadro!$G$258="","",IFERROR(INDEX(calculos_quadro!$B$109:$F$109,MATCH(calculos_quadro!$G$258,calculos_quadro!$B$89:$F$89,0)),""))</f>
        <v>0</v>
      </c>
      <c r="I50" s="465"/>
      <c r="J50" s="466">
        <f>IF(calculos_quadro!$G$259="","",IFERROR(INDEX(calculos_quadro!$B$109:$F$109,MATCH(calculos_quadro!$G$259,calculos_quadro!$B$89:$F$89,0)),""))</f>
        <v>0</v>
      </c>
      <c r="K50" s="465"/>
      <c r="L50" s="465"/>
      <c r="M50" s="466">
        <f>IF(calculos_quadro!$G$260="","",IFERROR(INDEX(calculos_quadro!$B$109:$F$109,MATCH(calculos_quadro!$G$260,calculos_quadro!$B$89:$F$89,0)),""))</f>
        <v>0</v>
      </c>
      <c r="N50" s="465"/>
      <c r="O50" s="466">
        <f>IF(calculos_quadro!$G$261="","",IFERROR(INDEX(calculos_quadro!$B$109:$F$109,MATCH(calculos_quadro!$G$261,calculos_quadro!$B$89:$F$89,0)),""))</f>
        <v>0</v>
      </c>
      <c r="P50" s="465"/>
      <c r="Q50" s="465"/>
      <c r="R50" s="466">
        <f>IF(calculos_quadro!$G$262="","",IFERROR(INDEX(calculos_quadro!$B$109:$F$109,MATCH(calculos_quadro!$G$262,calculos_quadro!$B$89:$F$89,0)),""))</f>
        <v>0</v>
      </c>
      <c r="S50" s="465"/>
      <c r="T50" s="460">
        <f>IF(calculos_quadro!$B$2="Todos",calculos_quadro!G109,SUM(H50:S50))</f>
        <v>0</v>
      </c>
      <c r="U50" s="459"/>
      <c r="V50" s="511"/>
    </row>
    <row r="51">
      <c r="B51" s="31" t="inlineStr">
        <is>
          <t xml:space="preserve">Fluxos: soma do mês · Estoques (backlog, posições, efetivo): último dado do mês · TOTAL CD: posições disponíveis = capacidade física do CD; taxa = ocupadas ÷ capacidade.</t>
        </is>
      </c>
    </row>
  </sheetData>
  <sheetProtection password="CC30" sheet="1" objects="1" scenarios="1"/>
  <mergeCells count="355">
    <mergeCell ref="G1:U1"/>
    <mergeCell ref="V1:AA1"/>
    <mergeCell ref="B3:C3"/>
    <mergeCell ref="D3:I3"/>
    <mergeCell ref="Q3:Z3"/>
    <mergeCell ref="B5:Z5"/>
    <mergeCell ref="B6:C6"/>
    <mergeCell ref="D6:G6"/>
    <mergeCell ref="H6:I6"/>
    <mergeCell ref="J6:L6"/>
    <mergeCell ref="M6:N6"/>
    <mergeCell ref="O6:Q6"/>
    <mergeCell ref="R6:S6"/>
    <mergeCell ref="T6:V6"/>
    <mergeCell ref="W6:X6"/>
    <mergeCell ref="Y6:Z6"/>
    <mergeCell ref="D7:G7"/>
    <mergeCell ref="H7:I7"/>
    <mergeCell ref="J7:L7"/>
    <mergeCell ref="M7:N7"/>
    <mergeCell ref="O7:Q7"/>
    <mergeCell ref="R7:S7"/>
    <mergeCell ref="T7:V7"/>
    <mergeCell ref="W7:X7"/>
    <mergeCell ref="Y7:Z7"/>
    <mergeCell ref="D8:G8"/>
    <mergeCell ref="H8:I8"/>
    <mergeCell ref="J8:L8"/>
    <mergeCell ref="M8:N8"/>
    <mergeCell ref="O8:Q8"/>
    <mergeCell ref="R8:S8"/>
    <mergeCell ref="T8:V8"/>
    <mergeCell ref="W8:X8"/>
    <mergeCell ref="Y8:Z8"/>
    <mergeCell ref="D9:G9"/>
    <mergeCell ref="H9:I9"/>
    <mergeCell ref="J9:L9"/>
    <mergeCell ref="M9:N9"/>
    <mergeCell ref="O9:Q9"/>
    <mergeCell ref="R9:S9"/>
    <mergeCell ref="T9:V9"/>
    <mergeCell ref="W9:X9"/>
    <mergeCell ref="Y9:Z9"/>
    <mergeCell ref="D10:G10"/>
    <mergeCell ref="H10:I10"/>
    <mergeCell ref="J10:L10"/>
    <mergeCell ref="M10:N10"/>
    <mergeCell ref="O10:Q10"/>
    <mergeCell ref="R10:S10"/>
    <mergeCell ref="T10:V10"/>
    <mergeCell ref="W10:X10"/>
    <mergeCell ref="Y10:Z10"/>
    <mergeCell ref="D11:G11"/>
    <mergeCell ref="H11:I11"/>
    <mergeCell ref="J11:L11"/>
    <mergeCell ref="M11:N11"/>
    <mergeCell ref="O11:Q11"/>
    <mergeCell ref="R11:S11"/>
    <mergeCell ref="T11:V11"/>
    <mergeCell ref="W11:X11"/>
    <mergeCell ref="Y11:Z11"/>
    <mergeCell ref="D12:G12"/>
    <mergeCell ref="H12:I12"/>
    <mergeCell ref="J12:L12"/>
    <mergeCell ref="M12:N12"/>
    <mergeCell ref="O12:Q12"/>
    <mergeCell ref="R12:S12"/>
    <mergeCell ref="T12:V12"/>
    <mergeCell ref="W12:X12"/>
    <mergeCell ref="Y12:Z12"/>
    <mergeCell ref="D13:G13"/>
    <mergeCell ref="H13:I13"/>
    <mergeCell ref="J13:L13"/>
    <mergeCell ref="M13:N13"/>
    <mergeCell ref="O13:Q13"/>
    <mergeCell ref="R13:S13"/>
    <mergeCell ref="T13:V13"/>
    <mergeCell ref="W13:X13"/>
    <mergeCell ref="Y13:Z13"/>
    <mergeCell ref="D14:G14"/>
    <mergeCell ref="H14:I14"/>
    <mergeCell ref="J14:L14"/>
    <mergeCell ref="M14:N14"/>
    <mergeCell ref="O14:Q14"/>
    <mergeCell ref="R14:S14"/>
    <mergeCell ref="T14:V14"/>
    <mergeCell ref="W14:X14"/>
    <mergeCell ref="Y14:Z14"/>
    <mergeCell ref="D15:G15"/>
    <mergeCell ref="H15:I15"/>
    <mergeCell ref="J15:L15"/>
    <mergeCell ref="M15:N15"/>
    <mergeCell ref="O15:Q15"/>
    <mergeCell ref="R15:S15"/>
    <mergeCell ref="T15:V15"/>
    <mergeCell ref="W15:X15"/>
    <mergeCell ref="Y15:Z15"/>
    <mergeCell ref="D16:G16"/>
    <mergeCell ref="H16:I16"/>
    <mergeCell ref="J16:L16"/>
    <mergeCell ref="M16:N16"/>
    <mergeCell ref="O16:Q16"/>
    <mergeCell ref="R16:S16"/>
    <mergeCell ref="T16:V16"/>
    <mergeCell ref="W16:X16"/>
    <mergeCell ref="Y16:Z16"/>
    <mergeCell ref="D17:G17"/>
    <mergeCell ref="H17:I17"/>
    <mergeCell ref="J17:L17"/>
    <mergeCell ref="M17:N17"/>
    <mergeCell ref="O17:Q17"/>
    <mergeCell ref="R17:S17"/>
    <mergeCell ref="T17:V17"/>
    <mergeCell ref="W17:X17"/>
    <mergeCell ref="Y17:Z17"/>
    <mergeCell ref="D18:G18"/>
    <mergeCell ref="H18:I18"/>
    <mergeCell ref="J18:L18"/>
    <mergeCell ref="M18:N18"/>
    <mergeCell ref="O18:Q18"/>
    <mergeCell ref="R18:S18"/>
    <mergeCell ref="T18:V18"/>
    <mergeCell ref="W18:X18"/>
    <mergeCell ref="Y18:Z18"/>
    <mergeCell ref="D19:G19"/>
    <mergeCell ref="H19:I19"/>
    <mergeCell ref="J19:L19"/>
    <mergeCell ref="M19:N19"/>
    <mergeCell ref="O19:Q19"/>
    <mergeCell ref="R19:S19"/>
    <mergeCell ref="T19:V19"/>
    <mergeCell ref="W19:X19"/>
    <mergeCell ref="Y19:Z19"/>
    <mergeCell ref="D20:G20"/>
    <mergeCell ref="H20:I20"/>
    <mergeCell ref="J20:L20"/>
    <mergeCell ref="M20:N20"/>
    <mergeCell ref="O20:Q20"/>
    <mergeCell ref="R20:S20"/>
    <mergeCell ref="T20:V20"/>
    <mergeCell ref="W20:X20"/>
    <mergeCell ref="Y20:Z20"/>
    <mergeCell ref="D21:G21"/>
    <mergeCell ref="H21:I21"/>
    <mergeCell ref="J21:L21"/>
    <mergeCell ref="M21:N21"/>
    <mergeCell ref="O21:Q21"/>
    <mergeCell ref="R21:S21"/>
    <mergeCell ref="T21:V21"/>
    <mergeCell ref="W21:X21"/>
    <mergeCell ref="Y21:Z21"/>
    <mergeCell ref="D22:G22"/>
    <mergeCell ref="H22:I22"/>
    <mergeCell ref="J22:L22"/>
    <mergeCell ref="M22:N22"/>
    <mergeCell ref="O22:Q22"/>
    <mergeCell ref="R22:S22"/>
    <mergeCell ref="T22:V22"/>
    <mergeCell ref="W22:X22"/>
    <mergeCell ref="Y22:Z22"/>
    <mergeCell ref="D23:G23"/>
    <mergeCell ref="H23:I23"/>
    <mergeCell ref="J23:L23"/>
    <mergeCell ref="M23:N23"/>
    <mergeCell ref="O23:Q23"/>
    <mergeCell ref="R23:S23"/>
    <mergeCell ref="T23:V23"/>
    <mergeCell ref="W23:X23"/>
    <mergeCell ref="Y23:Z23"/>
    <mergeCell ref="D24:G24"/>
    <mergeCell ref="H24:I24"/>
    <mergeCell ref="J24:L24"/>
    <mergeCell ref="M24:N24"/>
    <mergeCell ref="O24:Q24"/>
    <mergeCell ref="R24:S24"/>
    <mergeCell ref="T24:V24"/>
    <mergeCell ref="W24:X24"/>
    <mergeCell ref="Y24:Z24"/>
    <mergeCell ref="D25:G25"/>
    <mergeCell ref="H25:I25"/>
    <mergeCell ref="J25:L25"/>
    <mergeCell ref="M25:N25"/>
    <mergeCell ref="O25:Q25"/>
    <mergeCell ref="R25:S25"/>
    <mergeCell ref="T25:V25"/>
    <mergeCell ref="W25:X25"/>
    <mergeCell ref="Y25:Z25"/>
    <mergeCell ref="D26:G26"/>
    <mergeCell ref="H26:I26"/>
    <mergeCell ref="J26:L26"/>
    <mergeCell ref="M26:N26"/>
    <mergeCell ref="O26:Q26"/>
    <mergeCell ref="R26:S26"/>
    <mergeCell ref="T26:V26"/>
    <mergeCell ref="W26:X26"/>
    <mergeCell ref="Y26:Z26"/>
    <mergeCell ref="B7:C9"/>
    <mergeCell ref="B10:C12"/>
    <mergeCell ref="B13:C15"/>
    <mergeCell ref="B16:C18"/>
    <mergeCell ref="B19:C26"/>
    <mergeCell ref="B29:Z29"/>
    <mergeCell ref="B30:C30"/>
    <mergeCell ref="D30:G30"/>
    <mergeCell ref="H30:I30"/>
    <mergeCell ref="J30:L30"/>
    <mergeCell ref="M30:N30"/>
    <mergeCell ref="O30:Q30"/>
    <mergeCell ref="R30:S30"/>
    <mergeCell ref="T30:V30"/>
    <mergeCell ref="D31:G31"/>
    <mergeCell ref="H31:I31"/>
    <mergeCell ref="J31:L31"/>
    <mergeCell ref="M31:N31"/>
    <mergeCell ref="O31:Q31"/>
    <mergeCell ref="R31:S31"/>
    <mergeCell ref="T31:V31"/>
    <mergeCell ref="D32:G32"/>
    <mergeCell ref="H32:I32"/>
    <mergeCell ref="J32:L32"/>
    <mergeCell ref="M32:N32"/>
    <mergeCell ref="O32:Q32"/>
    <mergeCell ref="R32:S32"/>
    <mergeCell ref="T32:V32"/>
    <mergeCell ref="D33:G33"/>
    <mergeCell ref="H33:I33"/>
    <mergeCell ref="J33:L33"/>
    <mergeCell ref="M33:N33"/>
    <mergeCell ref="O33:Q33"/>
    <mergeCell ref="R33:S33"/>
    <mergeCell ref="T33:V33"/>
    <mergeCell ref="D34:G34"/>
    <mergeCell ref="H34:I34"/>
    <mergeCell ref="J34:L34"/>
    <mergeCell ref="M34:N34"/>
    <mergeCell ref="O34:Q34"/>
    <mergeCell ref="R34:S34"/>
    <mergeCell ref="T34:V34"/>
    <mergeCell ref="D35:G35"/>
    <mergeCell ref="H35:I35"/>
    <mergeCell ref="J35:L35"/>
    <mergeCell ref="M35:N35"/>
    <mergeCell ref="O35:Q35"/>
    <mergeCell ref="R35:S35"/>
    <mergeCell ref="T35:V35"/>
    <mergeCell ref="D36:G36"/>
    <mergeCell ref="H36:I36"/>
    <mergeCell ref="J36:L36"/>
    <mergeCell ref="M36:N36"/>
    <mergeCell ref="O36:Q36"/>
    <mergeCell ref="R36:S36"/>
    <mergeCell ref="T36:V36"/>
    <mergeCell ref="D37:G37"/>
    <mergeCell ref="H37:I37"/>
    <mergeCell ref="J37:L37"/>
    <mergeCell ref="M37:N37"/>
    <mergeCell ref="O37:Q37"/>
    <mergeCell ref="R37:S37"/>
    <mergeCell ref="T37:V37"/>
    <mergeCell ref="D38:G38"/>
    <mergeCell ref="H38:I38"/>
    <mergeCell ref="J38:L38"/>
    <mergeCell ref="M38:N38"/>
    <mergeCell ref="O38:Q38"/>
    <mergeCell ref="R38:S38"/>
    <mergeCell ref="T38:V38"/>
    <mergeCell ref="D39:G39"/>
    <mergeCell ref="H39:I39"/>
    <mergeCell ref="J39:L39"/>
    <mergeCell ref="M39:N39"/>
    <mergeCell ref="O39:Q39"/>
    <mergeCell ref="R39:S39"/>
    <mergeCell ref="T39:V39"/>
    <mergeCell ref="D40:G40"/>
    <mergeCell ref="H40:I40"/>
    <mergeCell ref="J40:L40"/>
    <mergeCell ref="M40:N40"/>
    <mergeCell ref="O40:Q40"/>
    <mergeCell ref="R40:S40"/>
    <mergeCell ref="T40:V40"/>
    <mergeCell ref="D41:G41"/>
    <mergeCell ref="H41:I41"/>
    <mergeCell ref="J41:L41"/>
    <mergeCell ref="M41:N41"/>
    <mergeCell ref="O41:Q41"/>
    <mergeCell ref="R41:S41"/>
    <mergeCell ref="T41:V41"/>
    <mergeCell ref="D42:G42"/>
    <mergeCell ref="H42:I42"/>
    <mergeCell ref="J42:L42"/>
    <mergeCell ref="M42:N42"/>
    <mergeCell ref="O42:Q42"/>
    <mergeCell ref="R42:S42"/>
    <mergeCell ref="T42:V42"/>
    <mergeCell ref="D43:G43"/>
    <mergeCell ref="H43:I43"/>
    <mergeCell ref="J43:L43"/>
    <mergeCell ref="M43:N43"/>
    <mergeCell ref="O43:Q43"/>
    <mergeCell ref="R43:S43"/>
    <mergeCell ref="T43:V43"/>
    <mergeCell ref="D44:G44"/>
    <mergeCell ref="H44:I44"/>
    <mergeCell ref="J44:L44"/>
    <mergeCell ref="M44:N44"/>
    <mergeCell ref="O44:Q44"/>
    <mergeCell ref="R44:S44"/>
    <mergeCell ref="T44:V44"/>
    <mergeCell ref="D45:G45"/>
    <mergeCell ref="H45:I45"/>
    <mergeCell ref="J45:L45"/>
    <mergeCell ref="M45:N45"/>
    <mergeCell ref="O45:Q45"/>
    <mergeCell ref="R45:S45"/>
    <mergeCell ref="T45:V45"/>
    <mergeCell ref="D46:G46"/>
    <mergeCell ref="H46:I46"/>
    <mergeCell ref="J46:L46"/>
    <mergeCell ref="M46:N46"/>
    <mergeCell ref="O46:Q46"/>
    <mergeCell ref="R46:S46"/>
    <mergeCell ref="T46:V46"/>
    <mergeCell ref="D47:G47"/>
    <mergeCell ref="H47:I47"/>
    <mergeCell ref="J47:L47"/>
    <mergeCell ref="M47:N47"/>
    <mergeCell ref="O47:Q47"/>
    <mergeCell ref="R47:S47"/>
    <mergeCell ref="T47:V47"/>
    <mergeCell ref="D48:G48"/>
    <mergeCell ref="H48:I48"/>
    <mergeCell ref="J48:L48"/>
    <mergeCell ref="M48:N48"/>
    <mergeCell ref="O48:Q48"/>
    <mergeCell ref="R48:S48"/>
    <mergeCell ref="T48:V48"/>
    <mergeCell ref="D49:G49"/>
    <mergeCell ref="H49:I49"/>
    <mergeCell ref="J49:L49"/>
    <mergeCell ref="M49:N49"/>
    <mergeCell ref="O49:Q49"/>
    <mergeCell ref="R49:S49"/>
    <mergeCell ref="T49:V49"/>
    <mergeCell ref="D50:G50"/>
    <mergeCell ref="H50:I50"/>
    <mergeCell ref="J50:L50"/>
    <mergeCell ref="M50:N50"/>
    <mergeCell ref="O50:Q50"/>
    <mergeCell ref="R50:S50"/>
    <mergeCell ref="T50:V50"/>
    <mergeCell ref="B31:C33"/>
    <mergeCell ref="B34:C36"/>
    <mergeCell ref="B37:C39"/>
    <mergeCell ref="B40:C42"/>
    <mergeCell ref="B43:C50"/>
  </mergeCells>
  <conditionalFormatting sqref="T7">
    <cfRule type="expression" dxfId="9" priority="1">
      <formula>AND(ISNUMBER(T7),T7&gt;0)</formula>
    </cfRule>
  </conditionalFormatting>
  <conditionalFormatting sqref="T7">
    <cfRule type="expression" dxfId="10" priority="2">
      <formula>AND(ISNUMBER(T7),T7&lt;0)</formula>
    </cfRule>
  </conditionalFormatting>
  <conditionalFormatting sqref="Y7">
    <cfRule type="expression" dxfId="9" priority="3">
      <formula>OR(Y7="meta atingida",Y7="dentro do limite",Y7="ocupação alta",Y7="excede o contratado")</formula>
    </cfRule>
  </conditionalFormatting>
  <conditionalFormatting sqref="Y7">
    <cfRule type="expression" dxfId="11" priority="4">
      <formula>OR(Y7="ocupação média",Y7="abaixo da meta")</formula>
    </cfRule>
  </conditionalFormatting>
  <conditionalFormatting sqref="Y7">
    <cfRule type="expression" dxfId="10" priority="5">
      <formula>OR(Y7="ociosidade alta",Y7="acima do limite")</formula>
    </cfRule>
  </conditionalFormatting>
  <conditionalFormatting sqref="T8">
    <cfRule type="expression" dxfId="9" priority="6">
      <formula>AND(ISNUMBER(T8),T8&gt;0)</formula>
    </cfRule>
  </conditionalFormatting>
  <conditionalFormatting sqref="T8">
    <cfRule type="expression" dxfId="10" priority="7">
      <formula>AND(ISNUMBER(T8),T8&lt;0)</formula>
    </cfRule>
  </conditionalFormatting>
  <conditionalFormatting sqref="Y8">
    <cfRule type="expression" dxfId="9" priority="8">
      <formula>OR(Y8="meta atingida",Y8="dentro do limite",Y8="ocupação alta",Y8="excede o contratado")</formula>
    </cfRule>
  </conditionalFormatting>
  <conditionalFormatting sqref="Y8">
    <cfRule type="expression" dxfId="11" priority="9">
      <formula>OR(Y8="ocupação média",Y8="abaixo da meta")</formula>
    </cfRule>
  </conditionalFormatting>
  <conditionalFormatting sqref="Y8">
    <cfRule type="expression" dxfId="10" priority="10">
      <formula>OR(Y8="ociosidade alta",Y8="acima do limite")</formula>
    </cfRule>
  </conditionalFormatting>
  <conditionalFormatting sqref="T9">
    <cfRule type="expression" dxfId="9" priority="11">
      <formula>AND(ISNUMBER(T9),T9&gt;0)</formula>
    </cfRule>
  </conditionalFormatting>
  <conditionalFormatting sqref="T9">
    <cfRule type="expression" dxfId="10" priority="12">
      <formula>AND(ISNUMBER(T9),T9&lt;0)</formula>
    </cfRule>
  </conditionalFormatting>
  <conditionalFormatting sqref="Y9">
    <cfRule type="expression" dxfId="9" priority="13">
      <formula>OR(Y9="meta atingida",Y9="dentro do limite",Y9="ocupação alta",Y9="excede o contratado")</formula>
    </cfRule>
  </conditionalFormatting>
  <conditionalFormatting sqref="Y9">
    <cfRule type="expression" dxfId="11" priority="14">
      <formula>OR(Y9="ocupação média",Y9="abaixo da meta")</formula>
    </cfRule>
  </conditionalFormatting>
  <conditionalFormatting sqref="Y9">
    <cfRule type="expression" dxfId="10" priority="15">
      <formula>OR(Y9="ociosidade alta",Y9="acima do limite")</formula>
    </cfRule>
  </conditionalFormatting>
  <conditionalFormatting sqref="T10">
    <cfRule type="expression" dxfId="9" priority="16">
      <formula>AND(ISNUMBER(T10),T10&gt;0)</formula>
    </cfRule>
  </conditionalFormatting>
  <conditionalFormatting sqref="T10">
    <cfRule type="expression" dxfId="10" priority="17">
      <formula>AND(ISNUMBER(T10),T10&lt;0)</formula>
    </cfRule>
  </conditionalFormatting>
  <conditionalFormatting sqref="Y10">
    <cfRule type="expression" dxfId="9" priority="18">
      <formula>OR(Y10="meta atingida",Y10="dentro do limite",Y10="ocupação alta",Y10="excede o contratado")</formula>
    </cfRule>
  </conditionalFormatting>
  <conditionalFormatting sqref="Y10">
    <cfRule type="expression" dxfId="11" priority="19">
      <formula>OR(Y10="ocupação média",Y10="abaixo da meta")</formula>
    </cfRule>
  </conditionalFormatting>
  <conditionalFormatting sqref="Y10">
    <cfRule type="expression" dxfId="10" priority="20">
      <formula>OR(Y10="ociosidade alta",Y10="acima do limite")</formula>
    </cfRule>
  </conditionalFormatting>
  <conditionalFormatting sqref="T11">
    <cfRule type="expression" dxfId="9" priority="21">
      <formula>AND(ISNUMBER(T11),T11&gt;0)</formula>
    </cfRule>
  </conditionalFormatting>
  <conditionalFormatting sqref="T11">
    <cfRule type="expression" dxfId="10" priority="22">
      <formula>AND(ISNUMBER(T11),T11&lt;0)</formula>
    </cfRule>
  </conditionalFormatting>
  <conditionalFormatting sqref="Y11">
    <cfRule type="expression" dxfId="9" priority="23">
      <formula>OR(Y11="meta atingida",Y11="dentro do limite",Y11="ocupação alta",Y11="excede o contratado")</formula>
    </cfRule>
  </conditionalFormatting>
  <conditionalFormatting sqref="Y11">
    <cfRule type="expression" dxfId="11" priority="24">
      <formula>OR(Y11="ocupação média",Y11="abaixo da meta")</formula>
    </cfRule>
  </conditionalFormatting>
  <conditionalFormatting sqref="Y11">
    <cfRule type="expression" dxfId="10" priority="25">
      <formula>OR(Y11="ociosidade alta",Y11="acima do limite")</formula>
    </cfRule>
  </conditionalFormatting>
  <conditionalFormatting sqref="T12">
    <cfRule type="expression" dxfId="9" priority="26">
      <formula>AND(ISNUMBER(T12),T12&gt;0)</formula>
    </cfRule>
  </conditionalFormatting>
  <conditionalFormatting sqref="T12">
    <cfRule type="expression" dxfId="10" priority="27">
      <formula>AND(ISNUMBER(T12),T12&lt;0)</formula>
    </cfRule>
  </conditionalFormatting>
  <conditionalFormatting sqref="Y12">
    <cfRule type="expression" dxfId="9" priority="28">
      <formula>OR(Y12="meta atingida",Y12="dentro do limite",Y12="ocupação alta",Y12="excede o contratado")</formula>
    </cfRule>
  </conditionalFormatting>
  <conditionalFormatting sqref="Y12">
    <cfRule type="expression" dxfId="11" priority="29">
      <formula>OR(Y12="ocupação média",Y12="abaixo da meta")</formula>
    </cfRule>
  </conditionalFormatting>
  <conditionalFormatting sqref="Y12">
    <cfRule type="expression" dxfId="10" priority="30">
      <formula>OR(Y12="ociosidade alta",Y12="acima do limite")</formula>
    </cfRule>
  </conditionalFormatting>
  <conditionalFormatting sqref="T13">
    <cfRule type="expression" dxfId="9" priority="31">
      <formula>AND(ISNUMBER(T13),T13&lt;0)</formula>
    </cfRule>
  </conditionalFormatting>
  <conditionalFormatting sqref="T13">
    <cfRule type="expression" dxfId="10" priority="32">
      <formula>AND(ISNUMBER(T13),T13&gt;0)</formula>
    </cfRule>
  </conditionalFormatting>
  <conditionalFormatting sqref="Y13">
    <cfRule type="expression" dxfId="9" priority="33">
      <formula>OR(Y13="meta atingida",Y13="dentro do limite",Y13="ocupação alta",Y13="excede o contratado")</formula>
    </cfRule>
  </conditionalFormatting>
  <conditionalFormatting sqref="Y13">
    <cfRule type="expression" dxfId="11" priority="34">
      <formula>OR(Y13="ocupação média",Y13="abaixo da meta")</formula>
    </cfRule>
  </conditionalFormatting>
  <conditionalFormatting sqref="Y13">
    <cfRule type="expression" dxfId="10" priority="35">
      <formula>OR(Y13="ociosidade alta",Y13="acima do limite")</formula>
    </cfRule>
  </conditionalFormatting>
  <conditionalFormatting sqref="T14">
    <cfRule type="expression" dxfId="9" priority="36">
      <formula>AND(ISNUMBER(T14),T14&lt;0)</formula>
    </cfRule>
  </conditionalFormatting>
  <conditionalFormatting sqref="T14">
    <cfRule type="expression" dxfId="10" priority="37">
      <formula>AND(ISNUMBER(T14),T14&gt;0)</formula>
    </cfRule>
  </conditionalFormatting>
  <conditionalFormatting sqref="Y14">
    <cfRule type="expression" dxfId="9" priority="38">
      <formula>OR(Y14="meta atingida",Y14="dentro do limite",Y14="ocupação alta",Y14="excede o contratado")</formula>
    </cfRule>
  </conditionalFormatting>
  <conditionalFormatting sqref="Y14">
    <cfRule type="expression" dxfId="11" priority="39">
      <formula>OR(Y14="ocupação média",Y14="abaixo da meta")</formula>
    </cfRule>
  </conditionalFormatting>
  <conditionalFormatting sqref="Y14">
    <cfRule type="expression" dxfId="10" priority="40">
      <formula>OR(Y14="ociosidade alta",Y14="acima do limite")</formula>
    </cfRule>
  </conditionalFormatting>
  <conditionalFormatting sqref="T15">
    <cfRule type="expression" dxfId="9" priority="41">
      <formula>AND(ISNUMBER(T15),T15&lt;0)</formula>
    </cfRule>
  </conditionalFormatting>
  <conditionalFormatting sqref="T15">
    <cfRule type="expression" dxfId="10" priority="42">
      <formula>AND(ISNUMBER(T15),T15&gt;0)</formula>
    </cfRule>
  </conditionalFormatting>
  <conditionalFormatting sqref="Y15">
    <cfRule type="expression" dxfId="9" priority="43">
      <formula>OR(Y15="meta atingida",Y15="dentro do limite",Y15="ocupação alta",Y15="excede o contratado")</formula>
    </cfRule>
  </conditionalFormatting>
  <conditionalFormatting sqref="Y15">
    <cfRule type="expression" dxfId="11" priority="44">
      <formula>OR(Y15="ocupação média",Y15="abaixo da meta")</formula>
    </cfRule>
  </conditionalFormatting>
  <conditionalFormatting sqref="Y15">
    <cfRule type="expression" dxfId="10" priority="45">
      <formula>OR(Y15="ociosidade alta",Y15="acima do limite")</formula>
    </cfRule>
  </conditionalFormatting>
  <conditionalFormatting sqref="Y16">
    <cfRule type="expression" dxfId="9" priority="46">
      <formula>OR(Y16="meta atingida",Y16="dentro do limite",Y16="ocupação alta",Y16="excede o contratado")</formula>
    </cfRule>
  </conditionalFormatting>
  <conditionalFormatting sqref="Y16">
    <cfRule type="expression" dxfId="11" priority="47">
      <formula>OR(Y16="ocupação média",Y16="abaixo da meta")</formula>
    </cfRule>
  </conditionalFormatting>
  <conditionalFormatting sqref="Y16">
    <cfRule type="expression" dxfId="10" priority="48">
      <formula>OR(Y16="ociosidade alta",Y16="acima do limite")</formula>
    </cfRule>
  </conditionalFormatting>
  <conditionalFormatting sqref="Y17">
    <cfRule type="expression" dxfId="9" priority="49">
      <formula>OR(Y17="meta atingida",Y17="dentro do limite",Y17="ocupação alta",Y17="excede o contratado")</formula>
    </cfRule>
  </conditionalFormatting>
  <conditionalFormatting sqref="Y17">
    <cfRule type="expression" dxfId="11" priority="50">
      <formula>OR(Y17="ocupação média",Y17="abaixo da meta")</formula>
    </cfRule>
  </conditionalFormatting>
  <conditionalFormatting sqref="Y17">
    <cfRule type="expression" dxfId="10" priority="51">
      <formula>OR(Y17="ociosidade alta",Y17="acima do limite")</formula>
    </cfRule>
  </conditionalFormatting>
  <conditionalFormatting sqref="Y18">
    <cfRule type="expression" dxfId="9" priority="52">
      <formula>OR(Y18="meta atingida",Y18="dentro do limite",Y18="ocupação alta",Y18="excede o contratado")</formula>
    </cfRule>
  </conditionalFormatting>
  <conditionalFormatting sqref="Y18">
    <cfRule type="expression" dxfId="11" priority="53">
      <formula>OR(Y18="ocupação média",Y18="abaixo da meta")</formula>
    </cfRule>
  </conditionalFormatting>
  <conditionalFormatting sqref="Y18">
    <cfRule type="expression" dxfId="10" priority="54">
      <formula>OR(Y18="ociosidade alta",Y18="acima do limite")</formula>
    </cfRule>
  </conditionalFormatting>
  <conditionalFormatting sqref="T19">
    <cfRule type="expression" dxfId="9" priority="55">
      <formula>AND(ISNUMBER(T19),T19&gt;0)</formula>
    </cfRule>
  </conditionalFormatting>
  <conditionalFormatting sqref="T19">
    <cfRule type="expression" dxfId="10" priority="56">
      <formula>AND(ISNUMBER(T19),T19&lt;0)</formula>
    </cfRule>
  </conditionalFormatting>
  <conditionalFormatting sqref="Y19">
    <cfRule type="expression" dxfId="9" priority="57">
      <formula>OR(Y19="meta atingida",Y19="dentro do limite",Y19="ocupação alta",Y19="excede o contratado")</formula>
    </cfRule>
  </conditionalFormatting>
  <conditionalFormatting sqref="Y19">
    <cfRule type="expression" dxfId="11" priority="58">
      <formula>OR(Y19="ocupação média",Y19="abaixo da meta")</formula>
    </cfRule>
  </conditionalFormatting>
  <conditionalFormatting sqref="Y19">
    <cfRule type="expression" dxfId="10" priority="59">
      <formula>OR(Y19="ociosidade alta",Y19="acima do limite")</formula>
    </cfRule>
  </conditionalFormatting>
  <conditionalFormatting sqref="T20">
    <cfRule type="expression" dxfId="9" priority="60">
      <formula>AND(ISNUMBER(T20),T20&lt;0)</formula>
    </cfRule>
  </conditionalFormatting>
  <conditionalFormatting sqref="T20">
    <cfRule type="expression" dxfId="10" priority="61">
      <formula>AND(ISNUMBER(T20),T20&gt;0)</formula>
    </cfRule>
  </conditionalFormatting>
  <conditionalFormatting sqref="Y20">
    <cfRule type="expression" dxfId="9" priority="62">
      <formula>OR(Y20="meta atingida",Y20="dentro do limite",Y20="ocupação alta",Y20="excede o contratado")</formula>
    </cfRule>
  </conditionalFormatting>
  <conditionalFormatting sqref="Y20">
    <cfRule type="expression" dxfId="11" priority="63">
      <formula>OR(Y20="ocupação média",Y20="abaixo da meta")</formula>
    </cfRule>
  </conditionalFormatting>
  <conditionalFormatting sqref="Y20">
    <cfRule type="expression" dxfId="10" priority="64">
      <formula>OR(Y20="ociosidade alta",Y20="acima do limite")</formula>
    </cfRule>
  </conditionalFormatting>
  <conditionalFormatting sqref="Y21">
    <cfRule type="expression" dxfId="9" priority="65">
      <formula>OR(Y21="meta atingida",Y21="dentro do limite",Y21="ocupação alta",Y21="excede o contratado")</formula>
    </cfRule>
  </conditionalFormatting>
  <conditionalFormatting sqref="Y21">
    <cfRule type="expression" dxfId="11" priority="66">
      <formula>OR(Y21="ocupação média",Y21="abaixo da meta")</formula>
    </cfRule>
  </conditionalFormatting>
  <conditionalFormatting sqref="Y21">
    <cfRule type="expression" dxfId="10" priority="67">
      <formula>OR(Y21="ociosidade alta",Y21="acima do limite")</formula>
    </cfRule>
  </conditionalFormatting>
  <conditionalFormatting sqref="Y22">
    <cfRule type="expression" dxfId="9" priority="68">
      <formula>OR(Y22="meta atingida",Y22="dentro do limite",Y22="ocupação alta",Y22="excede o contratado")</formula>
    </cfRule>
  </conditionalFormatting>
  <conditionalFormatting sqref="Y22">
    <cfRule type="expression" dxfId="11" priority="69">
      <formula>OR(Y22="ocupação média",Y22="abaixo da meta")</formula>
    </cfRule>
  </conditionalFormatting>
  <conditionalFormatting sqref="Y22">
    <cfRule type="expression" dxfId="10" priority="70">
      <formula>OR(Y22="ociosidade alta",Y22="acima do limite")</formula>
    </cfRule>
  </conditionalFormatting>
  <conditionalFormatting sqref="T23">
    <cfRule type="expression" dxfId="9" priority="71">
      <formula>AND(ISNUMBER(T23),T23&lt;0)</formula>
    </cfRule>
  </conditionalFormatting>
  <conditionalFormatting sqref="T23">
    <cfRule type="expression" dxfId="10" priority="72">
      <formula>AND(ISNUMBER(T23),T23&gt;0)</formula>
    </cfRule>
  </conditionalFormatting>
  <conditionalFormatting sqref="Y23">
    <cfRule type="expression" dxfId="9" priority="73">
      <formula>OR(Y23="meta atingida",Y23="dentro do limite",Y23="ocupação alta",Y23="excede o contratado")</formula>
    </cfRule>
  </conditionalFormatting>
  <conditionalFormatting sqref="Y23">
    <cfRule type="expression" dxfId="11" priority="74">
      <formula>OR(Y23="ocupação média",Y23="abaixo da meta")</formula>
    </cfRule>
  </conditionalFormatting>
  <conditionalFormatting sqref="Y23">
    <cfRule type="expression" dxfId="10" priority="75">
      <formula>OR(Y23="ociosidade alta",Y23="acima do limite")</formula>
    </cfRule>
  </conditionalFormatting>
  <conditionalFormatting sqref="T24">
    <cfRule type="expression" dxfId="9" priority="76">
      <formula>AND(ISNUMBER(T24),T24&lt;0)</formula>
    </cfRule>
  </conditionalFormatting>
  <conditionalFormatting sqref="T24">
    <cfRule type="expression" dxfId="10" priority="77">
      <formula>AND(ISNUMBER(T24),T24&gt;0)</formula>
    </cfRule>
  </conditionalFormatting>
  <conditionalFormatting sqref="Y24">
    <cfRule type="expression" dxfId="9" priority="78">
      <formula>OR(Y24="meta atingida",Y24="dentro do limite",Y24="ocupação alta",Y24="excede o contratado")</formula>
    </cfRule>
  </conditionalFormatting>
  <conditionalFormatting sqref="Y24">
    <cfRule type="expression" dxfId="11" priority="79">
      <formula>OR(Y24="ocupação média",Y24="abaixo da meta")</formula>
    </cfRule>
  </conditionalFormatting>
  <conditionalFormatting sqref="Y24">
    <cfRule type="expression" dxfId="10" priority="80">
      <formula>OR(Y24="ociosidade alta",Y24="acima do limite")</formula>
    </cfRule>
  </conditionalFormatting>
  <conditionalFormatting sqref="T25">
    <cfRule type="expression" dxfId="9" priority="81">
      <formula>AND(ISNUMBER(T25),T25&lt;0)</formula>
    </cfRule>
  </conditionalFormatting>
  <conditionalFormatting sqref="T25">
    <cfRule type="expression" dxfId="10" priority="82">
      <formula>AND(ISNUMBER(T25),T25&gt;0)</formula>
    </cfRule>
  </conditionalFormatting>
  <conditionalFormatting sqref="Y25">
    <cfRule type="expression" dxfId="9" priority="83">
      <formula>OR(Y25="meta atingida",Y25="dentro do limite",Y25="ocupação alta",Y25="excede o contratado")</formula>
    </cfRule>
  </conditionalFormatting>
  <conditionalFormatting sqref="Y25">
    <cfRule type="expression" dxfId="11" priority="84">
      <formula>OR(Y25="ocupação média",Y25="abaixo da meta")</formula>
    </cfRule>
  </conditionalFormatting>
  <conditionalFormatting sqref="Y25">
    <cfRule type="expression" dxfId="10" priority="85">
      <formula>OR(Y25="ociosidade alta",Y25="acima do limite")</formula>
    </cfRule>
  </conditionalFormatting>
  <conditionalFormatting sqref="T26">
    <cfRule type="expression" dxfId="9" priority="86">
      <formula>AND(ISNUMBER(T26),T26&lt;0)</formula>
    </cfRule>
  </conditionalFormatting>
  <conditionalFormatting sqref="T26">
    <cfRule type="expression" dxfId="10" priority="87">
      <formula>AND(ISNUMBER(T26),T26&gt;0)</formula>
    </cfRule>
  </conditionalFormatting>
  <conditionalFormatting sqref="Y26">
    <cfRule type="expression" dxfId="9" priority="88">
      <formula>OR(Y26="meta atingida",Y26="dentro do limite",Y26="ocupação alta",Y26="excede o contratado")</formula>
    </cfRule>
  </conditionalFormatting>
  <conditionalFormatting sqref="Y26">
    <cfRule type="expression" dxfId="11" priority="89">
      <formula>OR(Y26="ocupação média",Y26="abaixo da meta")</formula>
    </cfRule>
  </conditionalFormatting>
  <conditionalFormatting sqref="Y26">
    <cfRule type="expression" dxfId="10" priority="90">
      <formula>OR(Y26="ociosidade alta",Y26="acima do limite")</formula>
    </cfRule>
  </conditionalFormatting>
  <dataValidations count="2">
    <dataValidation type="list" allowBlank="1" showInputMessage="1" showErrorMessage="1" promptTitle="Mês" prompt="Escolha o mês do ano. Toda a aba se atualiza." errorTitle="Valor inválido" error="Escolha um mês da lista." sqref="V1">
      <formula1>calculos!$AL$12:$AL$23</formula1>
    </dataValidation>
    <dataValidation type="list" allowBlank="1" showInputMessage="1" showErrorMessage="1" promptTitle="Cliente" prompt="Filtro próprio do Consol Mensal (quadro e resumo por cliente)." errorTitle="Valor inválido" error="Escolha um valor da lista." sqref="D3">
      <formula1>calculos!$AN$12:$AN$17</formula1>
    </dataValidation>
  </dataValidations>
  <pageMargins left="0.25" right="0.25" top="0.4" bottom="0.4" header="0.2" footer="0.2"/>
  <pageSetup paperSize="9" orientation="landscape" fitToWidth="1" fitToHeight="0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>
  <sheetPr>
    <tabColor rgb="FF7F7F7F"/>
    <pageSetUpPr fitToPage="1"/>
  </sheetPr>
  <dimension ref="A1:BC295"/>
  <sheetViews>
    <sheetView showGridLines="0" zoomScale="100" zoomScaleNormal="100" workbookViewId="0">
      <pane xSplit="2" ySplit="11" topLeftCell="C12" activePane="bottomRight" state="frozen"/>
      <selection pane="bottomRight" activeCell="C12" sqref="C12"/>
    </sheetView>
  </sheetViews>
  <sheetFormatPr defaultRowHeight="15"/>
  <cols>
    <col min="1" max="1" width="26" customWidth="1"/>
    <col min="2" max="2" width="12" customWidth="1"/>
    <col min="3" max="3" width="10" customWidth="1"/>
    <col min="4" max="4" width="10" customWidth="1"/>
    <col min="5" max="5" width="10" customWidth="1"/>
    <col min="6" max="6" width="10" customWidth="1"/>
    <col min="7" max="7" width="10" customWidth="1"/>
    <col min="8" max="8" width="10" customWidth="1"/>
    <col min="9" max="9" width="10" customWidth="1"/>
    <col min="10" max="10" width="10" customWidth="1"/>
    <col min="11" max="11" width="10" customWidth="1"/>
    <col min="12" max="12" width="10" customWidth="1"/>
    <col min="13" max="13" width="10" customWidth="1"/>
    <col min="14" max="14" width="10" customWidth="1"/>
    <col min="15" max="15" width="10" customWidth="1"/>
    <col min="16" max="16" width="10" customWidth="1"/>
    <col min="17" max="17" width="10" customWidth="1"/>
    <col min="18" max="18" width="10" customWidth="1"/>
    <col min="19" max="19" width="10" customWidth="1"/>
    <col min="20" max="20" width="10" customWidth="1"/>
    <col min="21" max="21" width="10" customWidth="1"/>
    <col min="22" max="22" width="10" customWidth="1"/>
    <col min="23" max="23" width="10" customWidth="1"/>
    <col min="24" max="24" width="10" customWidth="1"/>
    <col min="38" max="38" width="20" customWidth="1"/>
    <col min="40" max="40" width="22" customWidth="1"/>
    <col min="41" max="41" width="12" customWidth="1"/>
    <col min="43" max="43" width="52" customWidth="1"/>
    <col min="46" max="46" width="14" customWidth="1"/>
    <col min="48" max="48" width="20" customWidth="1"/>
    <col min="50" max="50" width="11" customWidth="1"/>
    <col min="51" max="51" width="11" customWidth="1"/>
    <col min="52" max="52" width="11" customWidth="1"/>
    <col min="53" max="53" width="11" customWidth="1"/>
    <col min="55" max="55" width="11" customWidth="1"/>
  </cols>
  <sheetData>
    <row r="1">
      <c r="A1" s="26" t="inlineStr">
        <is>
          <t xml:space="preserve">CÁLCULOS — base da aba Dashboard (período digitado; gráficos no mês do dia inicial) · gerado automaticamente</t>
        </is>
      </c>
    </row>
    <row r="2">
      <c r="A2" s="27" t="inlineStr">
        <is>
          <t xml:space="preserve">Cliente selecionado</t>
        </is>
      </c>
      <c r="B2" s="27" t="str">
        <f>IF(OR(Dashboard!$D$3="",Dashboard!$D$3="Todos"),"Todos",Dashboard!$D$3)</f>
        <v>Todos</v>
      </c>
      <c r="C2" s="28">
        <f>IF(LEFT($B$2,9)="Depósito ",2,1)</f>
        <v>1</v>
      </c>
      <c r="D2" s="29" t="str">
        <f>IF($C$2=2,MID($B$2,10,60),$B$2)</f>
        <v>Todos</v>
      </c>
      <c r="E2" s="29" t="str">
        <f>IFERROR(INDEX($AO$12:$AO$17,MATCH($B$2,$AN$12:$AN$17,0)),"")</f>
        <v>JSL</v>
      </c>
    </row>
    <row r="3">
      <c r="A3" s="27" t="inlineStr">
        <is>
          <t xml:space="preserve">Capacidade (posições)</t>
        </is>
      </c>
      <c r="B3" s="30">
        <f>SUM($AU$13:$AU$13)</f>
        <v>5872</v>
      </c>
      <c r="C3" s="31" t="inlineStr">
        <is>
          <t xml:space="preserve">soma dos depósitos (tabela de capacidade à direita, células amarelas)</t>
        </is>
      </c>
    </row>
    <row r="4">
      <c r="A4" s="31" t="inlineStr">
        <is>
          <t xml:space="preserve">Capacidade (repetida p/ fórmulas)</t>
        </is>
      </c>
      <c r="B4" s="32">
        <f>$B$3</f>
        <v>5872</v>
      </c>
    </row>
    <row r="5">
      <c r="A5" s="27" t="inlineStr">
        <is>
          <t xml:space="preserve">Faixa de atenção (ocupação)</t>
        </is>
      </c>
      <c r="B5" s="33">
        <v>0.7</v>
      </c>
    </row>
    <row r="6">
      <c r="A6" s="27" t="inlineStr">
        <is>
          <t xml:space="preserve">Faixa crítica (ocupação)</t>
        </is>
      </c>
      <c r="B6" s="33">
        <v>0.9</v>
      </c>
    </row>
    <row r="7">
      <c r="A7" s="27" t="inlineStr">
        <is>
          <t xml:space="preserve">Competência</t>
        </is>
      </c>
      <c r="B7" s="35" t="str">
        <f>INDEX({"Janeiro","Fevereiro","Março","Abril","Maio","Junho","Julho","Agosto","Setembro","Outubro","Novembro","Dezembro"},MONTH($C$7))&amp;"/"&amp;YEAR($C$7)</f>
        <v>Outubro/2026</v>
      </c>
      <c r="C7" s="34">
        <f>IF(ISNUMBER(Dashboard!$Q$3),DATE(YEAR(Dashboard!$Q$3),MONTH(Dashboard!$Q$3),1),IFERROR(DATE(VALUE(RIGHT(TRIM(Dashboard!$Q$3),4)),MATCH(TRIM(LEFT(Dashboard!$Q$3,FIND("·",Dashboard!$Q$3)-1)),{"JANEIRO","FEVEREIRO","MARÇO","ABRIL","MAIO","JUNHO","JULHO","AGOSTO","SETEMBRO","OUTUBRO","NOVEMBRO","DEZEMBRO"},0),1),DATE(2026,10,1)))</f>
        <v>46296</v>
      </c>
      <c r="D7" s="34">
        <f>DATE(YEAR($C$7),MONTH($C$7)+1,0)</f>
        <v>46326</v>
      </c>
      <c r="E7" s="27" t="inlineStr">
        <is>
          <t xml:space="preserve">Período (cards)</t>
        </is>
      </c>
      <c r="F7" s="34">
        <f>IF(ISNUMBER(Dashboard!$Q$3),Dashboard!$Q$3,$C$7)</f>
        <v>46296</v>
      </c>
      <c r="G7" s="34">
        <f>IF(ISNUMBER(Dashboard!$V$3),MAX(Dashboard!$V$3,$F$7),$D$7)</f>
        <v>46326</v>
      </c>
    </row>
    <row r="8">
      <c r="A8" s="27" t="inlineStr">
        <is>
          <t xml:space="preserve">Mês anterior (comparação)</t>
        </is>
      </c>
      <c r="B8" s="35" t="str">
        <f>INDEX({"Janeiro","Fevereiro","Março","Abril","Maio","Junho","Julho","Agosto","Setembro","Outubro","Novembro","Dezembro"},MONTH($C$8))&amp;"/"&amp;YEAR($C$8)</f>
        <v>Setembro/2026</v>
      </c>
      <c r="C8" s="34">
        <f>DATE(YEAR($C$7),MONTH($C$7)-1,1)</f>
        <v>46266</v>
      </c>
      <c r="D8" s="34">
        <f>IF($B$9=0,$C$8-1,$C$8+MIN($B$9,DAY($C$7-1))-1)</f>
        <v>46265</v>
      </c>
      <c r="E8" s="27" t="inlineStr">
        <is>
          <t xml:space="preserve">Período anterior</t>
        </is>
      </c>
      <c r="F8" s="34">
        <f>$F$7-($G$7-$F$7+1)</f>
        <v>46265</v>
      </c>
      <c r="G8" s="34">
        <f>$F$7-1</f>
        <v>46295</v>
      </c>
    </row>
    <row r="9">
      <c r="A9" s="27" t="inlineStr">
        <is>
          <t xml:space="preserve">Último dia com dado no mês</t>
        </is>
      </c>
      <c r="B9" s="36">
        <f>IF(COUNTIFS(BD!$A$3:$A$5001,"&gt;="&amp;$C$7,BD!$A$3:$A$5001,"&lt;="&amp;$D$7)=0,0,DAY(_xlfn.MAXIFS(BD!$A$3:$A$5001,BD!$A$3:$A$5001,"&gt;="&amp;$C$7,BD!$A$3:$A$5001,"&lt;="&amp;$D$7)))</f>
        <v>0</v>
      </c>
      <c r="C9" s="31" t="inlineStr">
        <is>
          <t xml:space="preserve">o mês anterior é comparado do dia 1 até este dia</t>
        </is>
      </c>
    </row>
    <row r="11" ht="40" customHeight="1">
      <c r="A11" s="37" t="inlineStr">
        <is>
          <t xml:space="preserve">Dia</t>
        </is>
      </c>
      <c r="B11" s="37" t="inlineStr">
        <is>
          <t xml:space="preserve">Data</t>
        </is>
      </c>
      <c r="C11" s="37" t="inlineStr">
        <is>
          <t xml:space="preserve">IN Veículos Recebidos</t>
        </is>
      </c>
      <c r="D11" s="37" t="inlineStr">
        <is>
          <t xml:space="preserve">IN Pallets Movimentados</t>
        </is>
      </c>
      <c r="E11" s="37" t="inlineStr">
        <is>
          <t xml:space="preserve">IN Toneladas Movimentadas</t>
        </is>
      </c>
      <c r="F11" s="37" t="inlineStr">
        <is>
          <t xml:space="preserve">OUT Veículos Expedidos</t>
        </is>
      </c>
      <c r="G11" s="37" t="inlineStr">
        <is>
          <t xml:space="preserve">OUT Pallets Movimentados</t>
        </is>
      </c>
      <c r="H11" s="37" t="inlineStr">
        <is>
          <t xml:space="preserve">OUT Toneladas Movimentadas</t>
        </is>
      </c>
      <c r="I11" s="37" t="inlineStr">
        <is>
          <t xml:space="preserve">NC Incidentes</t>
        </is>
      </c>
      <c r="J11" s="37" t="inlineStr">
        <is>
          <t xml:space="preserve">NC No show</t>
        </is>
      </c>
      <c r="K11" s="37" t="inlineStr">
        <is>
          <t xml:space="preserve">NC Backlog</t>
        </is>
      </c>
      <c r="L11" s="37" t="inlineStr">
        <is>
          <t xml:space="preserve">OCUPAÇÃO (P.P) Posições Disponíveis</t>
        </is>
      </c>
      <c r="M11" s="37" t="inlineStr">
        <is>
          <t xml:space="preserve">OCUPAÇÃO (P.P) Posições Ocupadas</t>
        </is>
      </c>
      <c r="N11" s="37" t="inlineStr">
        <is>
          <t xml:space="preserve">OCUPAÇÃO (P.P) Taxa de Ocupação</t>
        </is>
      </c>
      <c r="O11" s="37" t="inlineStr">
        <is>
          <t xml:space="preserve">GENTE Efetivo Op.</t>
        </is>
      </c>
      <c r="P11" s="37" t="inlineStr">
        <is>
          <t xml:space="preserve">GENTE Falta</t>
        </is>
      </c>
      <c r="Q11" s="37" t="inlineStr">
        <is>
          <t xml:space="preserve">GENTE Folga</t>
        </is>
      </c>
      <c r="R11" s="37" t="inlineStr">
        <is>
          <t xml:space="preserve">GENTE Férias</t>
        </is>
      </c>
      <c r="S11" s="37" t="inlineStr">
        <is>
          <t xml:space="preserve">GENTE Desligamento</t>
        </is>
      </c>
      <c r="T11" s="37" t="inlineStr">
        <is>
          <t xml:space="preserve">GENTE Desvios Comportamentais</t>
        </is>
      </c>
      <c r="U11" s="37" t="inlineStr">
        <is>
          <t xml:space="preserve">GENTE Acidentes CAF</t>
        </is>
      </c>
      <c r="V11" s="37" t="inlineStr">
        <is>
          <t xml:space="preserve">GENTE Acidentes SAF</t>
        </is>
      </c>
      <c r="W11" s="37" t="inlineStr">
        <is>
          <t xml:space="preserve">Faixa atenção</t>
        </is>
      </c>
      <c r="X11" s="37" t="inlineStr">
        <is>
          <t xml:space="preserve">Faixa crítica</t>
        </is>
      </c>
      <c r="AL11" s="37" t="inlineStr">
        <is>
          <t xml:space="preserve">Meses (filtros das abas)</t>
        </is>
      </c>
      <c r="AN11" s="37" t="inlineStr">
        <is>
          <t xml:space="preserve">Filtro: depósito / cliente</t>
        </is>
      </c>
      <c r="AO11" s="37" t="inlineStr">
        <is>
          <t xml:space="preserve">Depósito</t>
        </is>
      </c>
      <c r="AQ11" s="37" t="inlineStr">
        <is>
          <t xml:space="preserve">Títulos dos gráficos (seguem os filtros)</t>
        </is>
      </c>
      <c r="AX11" s="37" t="inlineStr">
        <is>
          <t xml:space="preserve">Gráf A IN (diário)</t>
        </is>
      </c>
      <c r="AY11" s="37" t="inlineStr">
        <is>
          <t xml:space="preserve">Gráf A OUT (diário)</t>
        </is>
      </c>
      <c r="AZ11" s="37" t="inlineStr">
        <is>
          <t xml:space="preserve">Gráf B IN (diário)</t>
        </is>
      </c>
      <c r="BA11" s="37" t="inlineStr">
        <is>
          <t xml:space="preserve">Gráf B OUT (diário)</t>
        </is>
      </c>
      <c r="BC11" s="37" t="inlineStr">
        <is>
          <t xml:space="preserve">Rótulo contrato (último dia)</t>
        </is>
      </c>
    </row>
    <row r="12">
      <c r="A12" s="28">
        <v>1</v>
      </c>
      <c r="B12" s="45">
        <f>IF($A12&lt;=DAY($D$7),$C$7+$A12-1,"")</f>
        <v>46296</v>
      </c>
      <c r="C12" s="32">
        <f>IF($B12="","",IF($B$2="Todos",SUMIFS(BD!$C$3:$C$5001,BD!$A$3:$A$5001,$B12),SUMIFS(BD!$C$3:$C$5001,BD!$A$3:$A$5001,$B12,BD!$B$3:$B$5001,$D$2)))</f>
        <v>0</v>
      </c>
      <c r="D12" s="32">
        <f>IF($B12="","",IF($B$2="Todos",SUMIFS(BD!$D$3:$D$5001,BD!$A$3:$A$5001,$B12),SUMIFS(BD!$D$3:$D$5001,BD!$A$3:$A$5001,$B12,BD!$B$3:$B$5001,$D$2)))</f>
        <v>0</v>
      </c>
      <c r="E12" s="46">
        <f>IF($B12="","",IF($B$2="Todos",SUMIFS(BD!$E$3:$E$5001,BD!$A$3:$A$5001,$B12),SUMIFS(BD!$E$3:$E$5001,BD!$A$3:$A$5001,$B12,BD!$B$3:$B$5001,$D$2)))</f>
        <v>0</v>
      </c>
      <c r="F12" s="32">
        <f>IF($B12="","",IF($B$2="Todos",SUMIFS(BD!$F$3:$F$5001,BD!$A$3:$A$5001,$B12),SUMIFS(BD!$F$3:$F$5001,BD!$A$3:$A$5001,$B12,BD!$B$3:$B$5001,$D$2)))</f>
        <v>0</v>
      </c>
      <c r="G12" s="32">
        <f>IF($B12="","",IF($B$2="Todos",SUMIFS(BD!$G$3:$G$5001,BD!$A$3:$A$5001,$B12),SUMIFS(BD!$G$3:$G$5001,BD!$A$3:$A$5001,$B12,BD!$B$3:$B$5001,$D$2)))</f>
        <v>0</v>
      </c>
      <c r="H12" s="46">
        <f>IF($B12="","",IF($B$2="Todos",SUMIFS(BD!$H$3:$H$5001,BD!$A$3:$A$5001,$B12),SUMIFS(BD!$H$3:$H$5001,BD!$A$3:$A$5001,$B12,BD!$B$3:$B$5001,$D$2)))</f>
        <v>0</v>
      </c>
      <c r="I12" s="32">
        <f>IF($B12="","",IF($B$2="Todos",SUMIFS(BD!$I$3:$I$5001,BD!$A$3:$A$5001,$B12),SUMIFS(BD!$I$3:$I$5001,BD!$A$3:$A$5001,$B12,BD!$B$3:$B$5001,$D$2)))</f>
        <v>0</v>
      </c>
      <c r="J12" s="32">
        <f>IF($B12="","",IF($B$2="Todos",SUMIFS(BD!$J$3:$J$5001,BD!$A$3:$A$5001,$B12),SUMIFS(BD!$J$3:$J$5001,BD!$A$3:$A$5001,$B12,BD!$B$3:$B$5001,$D$2)))</f>
        <v>0</v>
      </c>
      <c r="K12" s="32" t="str">
        <f>IF($B$2="Todos",IF(COUNT($C$115:$G$115)=0,"",SUM($C$115:$G$115)),IFERROR(INDEX($C$115:$G$115,MATCH($D$2,$C$114:$G$114,0)),""))</f>
        <v/>
      </c>
      <c r="L12" s="47" t="str">
        <f>IF(M12="","",IF($B$2="Todos",IF($B$4&gt;0,$B$4,IF($B$2="Todos",IF(COUNT($C$185:$G$185)=0,"",SUM($C$185:$G$185)),IFERROR(INDEX($C$185:$G$185,MATCH($D$2,$C$184:$G$184,0)),""))),IFERROR(INDEX($C$185:$G$185,MATCH($D$2,$C$184:$G$184,0)),"")))</f>
        <v/>
      </c>
      <c r="M12" s="32" t="str">
        <f>IF($B$2="Todos",IF(COUNT($C$150:$G$150)=0,"",SUM($C$150:$G$150)),IFERROR(INDEX($C$150:$G$150,MATCH($D$2,$C$149:$G$149,0)),""))</f>
        <v/>
      </c>
      <c r="N12" s="48" t="str">
        <f>IF(AND(ISNUMBER(M12),ISNUMBER(L12)),IF(L12&gt;0,M12/L12,""),"")</f>
        <v/>
      </c>
      <c r="O12" s="32" t="str">
        <f>IF($B$2="Todos",IF(COUNT($C$220:$G$220)=0,"",SUM($C$220:$G$220)),IFERROR(INDEX($C$220:$G$220,MATCH($D$2,$C$219:$G$219,0)),""))</f>
        <v/>
      </c>
      <c r="P12" s="32">
        <f>IF($B12="","",IF($B$2="Todos",SUMIFS(BD!$O$3:$O$5001,BD!$A$3:$A$5001,$B12),SUMIFS(BD!$O$3:$O$5001,BD!$A$3:$A$5001,$B12,BD!$B$3:$B$5001,$D$2)))</f>
        <v>0</v>
      </c>
      <c r="Q12" s="32">
        <f>IF($B12="","",IF($B$2="Todos",SUMIFS(BD!$P$3:$P$5001,BD!$A$3:$A$5001,$B12),SUMIFS(BD!$P$3:$P$5001,BD!$A$3:$A$5001,$B12,BD!$B$3:$B$5001,$D$2)))</f>
        <v>0</v>
      </c>
      <c r="R12" s="32">
        <f>IF($B12="","",IF($B$2="Todos",SUMIFS(BD!$Q$3:$Q$5001,BD!$A$3:$A$5001,$B12),SUMIFS(BD!$Q$3:$Q$5001,BD!$A$3:$A$5001,$B12,BD!$B$3:$B$5001,$D$2)))</f>
        <v>0</v>
      </c>
      <c r="S12" s="32">
        <f>IF($B12="","",IF($B$2="Todos",SUMIFS(BD!$R$3:$R$5001,BD!$A$3:$A$5001,$B12),SUMIFS(BD!$R$3:$R$5001,BD!$A$3:$A$5001,$B12,BD!$B$3:$B$5001,$D$2)))</f>
        <v>0</v>
      </c>
      <c r="T12" s="32">
        <f>IF($B12="","",IF($B$2="Todos",SUMIFS(BD!$S$3:$S$5001,BD!$A$3:$A$5001,$B12),SUMIFS(BD!$S$3:$S$5001,BD!$A$3:$A$5001,$B12,BD!$B$3:$B$5001,$D$2)))</f>
        <v>0</v>
      </c>
      <c r="U12" s="32">
        <f>IF($B12="","",IF($B$2="Todos",SUMIFS(BD!$T$3:$T$5001,BD!$A$3:$A$5001,$B12),SUMIFS(BD!$T$3:$T$5001,BD!$A$3:$A$5001,$B12,BD!$B$3:$B$5001,$D$2)))</f>
        <v>0</v>
      </c>
      <c r="V12" s="32">
        <f>IF($B12="","",IF($B$2="Todos",SUMIFS(BD!$U$3:$U$5001,BD!$A$3:$A$5001,$B12),SUMIFS(BD!$U$3:$U$5001,BD!$A$3:$A$5001,$B12,BD!$B$3:$B$5001,$D$2)))</f>
        <v>0</v>
      </c>
      <c r="W12" s="49">
        <f>$B$5</f>
        <v>0.7</v>
      </c>
      <c r="X12" s="49">
        <f>$B$6</f>
        <v>0.9</v>
      </c>
      <c r="AL12" s="29" t="inlineStr">
        <is>
          <t xml:space="preserve">JANEIRO · 2026</t>
        </is>
      </c>
      <c r="AN12" s="29" t="inlineStr">
        <is>
          <t xml:space="preserve">Todos</t>
        </is>
      </c>
      <c r="AO12" s="28" t="inlineStr">
        <is>
          <t xml:space="preserve">JSL</t>
        </is>
      </c>
      <c r="AQ12" s="29" t="str">
        <f>Config!$B$38&amp;" — "&amp;IF($B$2="Todos","TODOS OS CLIENTES",UPPER($B$2))</f>
        <v>MOVIMENTAÇÃO VEÍCULO/DIA — TODOS OS CLIENTES</v>
      </c>
      <c r="AT12" s="37" t="inlineStr">
        <is>
          <t xml:space="preserve">Capacidade por depósito</t>
        </is>
      </c>
      <c r="AU12" s="37" t="inlineStr">
        <is>
          <t xml:space="preserve">Posições</t>
        </is>
      </c>
      <c r="AX12" s="60">
        <f>IF(OR($B12="",N(VALUE($AH$295))=0),"",IF(INDEX($C12:$V12,VALUE($AH$295))="","",IF(N(VALUE($AJ$295))=0,INDEX($C12:$V12,VALUE($AH$295)),IF(N(INDEX($C12:$V12,N(VALUE($AJ$295))))&gt;0,INDEX($C12:$V12,VALUE($AH$295))/INDEX($C12:$V12,N(VALUE($AJ$295))),""))))</f>
        <v>0</v>
      </c>
      <c r="AY12" s="60">
        <f>IF(OR($B12="",N(VALUE($AI$295))=0),"",IF(INDEX($C12:$V12,VALUE($AI$295))="","",IF(N(VALUE($AK$295))=0,INDEX($C12:$V12,VALUE($AI$295)),IF(N(INDEX($C12:$V12,N(VALUE($AK$295))))&gt;0,INDEX($C12:$V12,VALUE($AI$295))/INDEX($C12:$V12,N(VALUE($AK$295))),""))))</f>
        <v>0</v>
      </c>
      <c r="AZ12" s="60">
        <f>IF(OR($B12="",N(VALUE($AP$295))=0),"",IF(INDEX($C12:$V12,VALUE($AP$295))="","",IF(N(VALUE($AR$295))=0,INDEX($C12:$V12,VALUE($AP$295)),IF(N(INDEX($C12:$V12,N(VALUE($AR$295))))&gt;0,INDEX($C12:$V12,VALUE($AP$295))/INDEX($C12:$V12,N(VALUE($AR$295))),""))))</f>
        <v>0</v>
      </c>
      <c r="BA12" s="60">
        <f>IF(OR($B12="",N(VALUE($AQ$295))=0),"",IF(INDEX($C12:$V12,VALUE($AQ$295))="","",IF(N(VALUE($AS$295))=0,INDEX($C12:$V12,VALUE($AQ$295)),IF(N(INDEX($C12:$V12,N(VALUE($AS$295))))&gt;0,INDEX($C12:$V12,VALUE($AQ$295))/INDEX($C12:$V12,N(VALUE($AS$295))),""))))</f>
        <v>0</v>
      </c>
      <c r="BC12" s="32" t="str">
        <f>IF(AND($A12=$B$9,ISNUMBER(L12)),L12,NA())</f>
        <v/>
      </c>
    </row>
    <row r="13">
      <c r="A13" s="28">
        <v>2</v>
      </c>
      <c r="B13" s="45">
        <f>IF($A13&lt;=DAY($D$7),$C$7+$A13-1,"")</f>
        <v>46297</v>
      </c>
      <c r="C13" s="32">
        <f>IF($B13="","",IF($B$2="Todos",SUMIFS(BD!$C$3:$C$5001,BD!$A$3:$A$5001,$B13),SUMIFS(BD!$C$3:$C$5001,BD!$A$3:$A$5001,$B13,BD!$B$3:$B$5001,$D$2)))</f>
        <v>0</v>
      </c>
      <c r="D13" s="32">
        <f>IF($B13="","",IF($B$2="Todos",SUMIFS(BD!$D$3:$D$5001,BD!$A$3:$A$5001,$B13),SUMIFS(BD!$D$3:$D$5001,BD!$A$3:$A$5001,$B13,BD!$B$3:$B$5001,$D$2)))</f>
        <v>0</v>
      </c>
      <c r="E13" s="46">
        <f>IF($B13="","",IF($B$2="Todos",SUMIFS(BD!$E$3:$E$5001,BD!$A$3:$A$5001,$B13),SUMIFS(BD!$E$3:$E$5001,BD!$A$3:$A$5001,$B13,BD!$B$3:$B$5001,$D$2)))</f>
        <v>0</v>
      </c>
      <c r="F13" s="32">
        <f>IF($B13="","",IF($B$2="Todos",SUMIFS(BD!$F$3:$F$5001,BD!$A$3:$A$5001,$B13),SUMIFS(BD!$F$3:$F$5001,BD!$A$3:$A$5001,$B13,BD!$B$3:$B$5001,$D$2)))</f>
        <v>0</v>
      </c>
      <c r="G13" s="32">
        <f>IF($B13="","",IF($B$2="Todos",SUMIFS(BD!$G$3:$G$5001,BD!$A$3:$A$5001,$B13),SUMIFS(BD!$G$3:$G$5001,BD!$A$3:$A$5001,$B13,BD!$B$3:$B$5001,$D$2)))</f>
        <v>0</v>
      </c>
      <c r="H13" s="46">
        <f>IF($B13="","",IF($B$2="Todos",SUMIFS(BD!$H$3:$H$5001,BD!$A$3:$A$5001,$B13),SUMIFS(BD!$H$3:$H$5001,BD!$A$3:$A$5001,$B13,BD!$B$3:$B$5001,$D$2)))</f>
        <v>0</v>
      </c>
      <c r="I13" s="32">
        <f>IF($B13="","",IF($B$2="Todos",SUMIFS(BD!$I$3:$I$5001,BD!$A$3:$A$5001,$B13),SUMIFS(BD!$I$3:$I$5001,BD!$A$3:$A$5001,$B13,BD!$B$3:$B$5001,$D$2)))</f>
        <v>0</v>
      </c>
      <c r="J13" s="32">
        <f>IF($B13="","",IF($B$2="Todos",SUMIFS(BD!$J$3:$J$5001,BD!$A$3:$A$5001,$B13),SUMIFS(BD!$J$3:$J$5001,BD!$A$3:$A$5001,$B13,BD!$B$3:$B$5001,$D$2)))</f>
        <v>0</v>
      </c>
      <c r="K13" s="32" t="str">
        <f>IF($B$2="Todos",IF(COUNT($C$116:$G$116)=0,"",SUM($C$116:$G$116)),IFERROR(INDEX($C$116:$G$116,MATCH($D$2,$C$114:$G$114,0)),""))</f>
        <v/>
      </c>
      <c r="L13" s="47" t="str">
        <f>IF(M13="","",IF($B$2="Todos",IF($B$4&gt;0,$B$4,IF($B$2="Todos",IF(COUNT($C$186:$G$186)=0,"",SUM($C$186:$G$186)),IFERROR(INDEX($C$186:$G$186,MATCH($D$2,$C$184:$G$184,0)),""))),IFERROR(INDEX($C$186:$G$186,MATCH($D$2,$C$184:$G$184,0)),"")))</f>
        <v/>
      </c>
      <c r="M13" s="32" t="str">
        <f>IF($B$2="Todos",IF(COUNT($C$151:$G$151)=0,"",SUM($C$151:$G$151)),IFERROR(INDEX($C$151:$G$151,MATCH($D$2,$C$149:$G$149,0)),""))</f>
        <v/>
      </c>
      <c r="N13" s="48" t="str">
        <f>IF(AND(ISNUMBER(M13),ISNUMBER(L13)),IF(L13&gt;0,M13/L13,""),"")</f>
        <v/>
      </c>
      <c r="O13" s="32" t="str">
        <f>IF($B$2="Todos",IF(COUNT($C$221:$G$221)=0,"",SUM($C$221:$G$221)),IFERROR(INDEX($C$221:$G$221,MATCH($D$2,$C$219:$G$219,0)),""))</f>
        <v/>
      </c>
      <c r="P13" s="32">
        <f>IF($B13="","",IF($B$2="Todos",SUMIFS(BD!$O$3:$O$5001,BD!$A$3:$A$5001,$B13),SUMIFS(BD!$O$3:$O$5001,BD!$A$3:$A$5001,$B13,BD!$B$3:$B$5001,$D$2)))</f>
        <v>0</v>
      </c>
      <c r="Q13" s="32">
        <f>IF($B13="","",IF($B$2="Todos",SUMIFS(BD!$P$3:$P$5001,BD!$A$3:$A$5001,$B13),SUMIFS(BD!$P$3:$P$5001,BD!$A$3:$A$5001,$B13,BD!$B$3:$B$5001,$D$2)))</f>
        <v>0</v>
      </c>
      <c r="R13" s="32">
        <f>IF($B13="","",IF($B$2="Todos",SUMIFS(BD!$Q$3:$Q$5001,BD!$A$3:$A$5001,$B13),SUMIFS(BD!$Q$3:$Q$5001,BD!$A$3:$A$5001,$B13,BD!$B$3:$B$5001,$D$2)))</f>
        <v>0</v>
      </c>
      <c r="S13" s="32">
        <f>IF($B13="","",IF($B$2="Todos",SUMIFS(BD!$R$3:$R$5001,BD!$A$3:$A$5001,$B13),SUMIFS(BD!$R$3:$R$5001,BD!$A$3:$A$5001,$B13,BD!$B$3:$B$5001,$D$2)))</f>
        <v>0</v>
      </c>
      <c r="T13" s="32">
        <f>IF($B13="","",IF($B$2="Todos",SUMIFS(BD!$S$3:$S$5001,BD!$A$3:$A$5001,$B13),SUMIFS(BD!$S$3:$S$5001,BD!$A$3:$A$5001,$B13,BD!$B$3:$B$5001,$D$2)))</f>
        <v>0</v>
      </c>
      <c r="U13" s="32">
        <f>IF($B13="","",IF($B$2="Todos",SUMIFS(BD!$T$3:$T$5001,BD!$A$3:$A$5001,$B13),SUMIFS(BD!$T$3:$T$5001,BD!$A$3:$A$5001,$B13,BD!$B$3:$B$5001,$D$2)))</f>
        <v>0</v>
      </c>
      <c r="V13" s="32">
        <f>IF($B13="","",IF($B$2="Todos",SUMIFS(BD!$U$3:$U$5001,BD!$A$3:$A$5001,$B13),SUMIFS(BD!$U$3:$U$5001,BD!$A$3:$A$5001,$B13,BD!$B$3:$B$5001,$D$2)))</f>
        <v>0</v>
      </c>
      <c r="W13" s="49">
        <f>$B$5</f>
        <v>0.7</v>
      </c>
      <c r="X13" s="49">
        <f>$B$6</f>
        <v>0.9</v>
      </c>
      <c r="AL13" s="29" t="inlineStr">
        <is>
          <t xml:space="preserve">FEVEREIRO · 2026</t>
        </is>
      </c>
      <c r="AN13" s="29" t="inlineStr">
        <is>
          <t xml:space="preserve">Barry Callebaut</t>
        </is>
      </c>
      <c r="AO13" s="28" t="inlineStr">
        <is>
          <t xml:space="preserve">JSL</t>
        </is>
      </c>
      <c r="AQ13" s="29" t="str">
        <f>IF($AZ$295="Não se aplica",Config!$B$43,IF($AZ$295="Só ocupadas",Config!$B$42,Config!$B$41))&amp;" — "&amp;IF($B$2="Todos","TODOS OS CLIENTES",UPPER($B$2))</f>
        <v>OCUPAÇÃO DIÁRIA — TODOS OS CLIENTES</v>
      </c>
      <c r="AT13" s="38" t="inlineStr">
        <is>
          <t xml:space="preserve">JSL</t>
        </is>
      </c>
      <c r="AU13" s="39">
        <v>5872</v>
      </c>
      <c r="AV13" s="31" t="inlineStr">
        <is>
          <t xml:space="preserve">informada</t>
        </is>
      </c>
      <c r="AX13" s="60">
        <f>IF(OR($B13="",N(VALUE($AH$295))=0),"",IF(INDEX($C13:$V13,VALUE($AH$295))="","",IF(N(VALUE($AJ$295))=0,INDEX($C13:$V13,VALUE($AH$295)),IF(N(INDEX($C13:$V13,N(VALUE($AJ$295))))&gt;0,INDEX($C13:$V13,VALUE($AH$295))/INDEX($C13:$V13,N(VALUE($AJ$295))),""))))</f>
        <v>0</v>
      </c>
      <c r="AY13" s="60">
        <f>IF(OR($B13="",N(VALUE($AI$295))=0),"",IF(INDEX($C13:$V13,VALUE($AI$295))="","",IF(N(VALUE($AK$295))=0,INDEX($C13:$V13,VALUE($AI$295)),IF(N(INDEX($C13:$V13,N(VALUE($AK$295))))&gt;0,INDEX($C13:$V13,VALUE($AI$295))/INDEX($C13:$V13,N(VALUE($AK$295))),""))))</f>
        <v>0</v>
      </c>
      <c r="AZ13" s="60">
        <f>IF(OR($B13="",N(VALUE($AP$295))=0),"",IF(INDEX($C13:$V13,VALUE($AP$295))="","",IF(N(VALUE($AR$295))=0,INDEX($C13:$V13,VALUE($AP$295)),IF(N(INDEX($C13:$V13,N(VALUE($AR$295))))&gt;0,INDEX($C13:$V13,VALUE($AP$295))/INDEX($C13:$V13,N(VALUE($AR$295))),""))))</f>
        <v>0</v>
      </c>
      <c r="BA13" s="60">
        <f>IF(OR($B13="",N(VALUE($AQ$295))=0),"",IF(INDEX($C13:$V13,VALUE($AQ$295))="","",IF(N(VALUE($AS$295))=0,INDEX($C13:$V13,VALUE($AQ$295)),IF(N(INDEX($C13:$V13,N(VALUE($AS$295))))&gt;0,INDEX($C13:$V13,VALUE($AQ$295))/INDEX($C13:$V13,N(VALUE($AS$295))),""))))</f>
        <v>0</v>
      </c>
      <c r="BC13" s="32" t="str">
        <f>IF(AND($A13=$B$9,ISNUMBER(L13)),L13,NA())</f>
        <v/>
      </c>
    </row>
    <row r="14">
      <c r="A14" s="28">
        <v>3</v>
      </c>
      <c r="B14" s="45">
        <f>IF($A14&lt;=DAY($D$7),$C$7+$A14-1,"")</f>
        <v>46298</v>
      </c>
      <c r="C14" s="32">
        <f>IF($B14="","",IF($B$2="Todos",SUMIFS(BD!$C$3:$C$5001,BD!$A$3:$A$5001,$B14),SUMIFS(BD!$C$3:$C$5001,BD!$A$3:$A$5001,$B14,BD!$B$3:$B$5001,$D$2)))</f>
        <v>0</v>
      </c>
      <c r="D14" s="32">
        <f>IF($B14="","",IF($B$2="Todos",SUMIFS(BD!$D$3:$D$5001,BD!$A$3:$A$5001,$B14),SUMIFS(BD!$D$3:$D$5001,BD!$A$3:$A$5001,$B14,BD!$B$3:$B$5001,$D$2)))</f>
        <v>0</v>
      </c>
      <c r="E14" s="46">
        <f>IF($B14="","",IF($B$2="Todos",SUMIFS(BD!$E$3:$E$5001,BD!$A$3:$A$5001,$B14),SUMIFS(BD!$E$3:$E$5001,BD!$A$3:$A$5001,$B14,BD!$B$3:$B$5001,$D$2)))</f>
        <v>0</v>
      </c>
      <c r="F14" s="32">
        <f>IF($B14="","",IF($B$2="Todos",SUMIFS(BD!$F$3:$F$5001,BD!$A$3:$A$5001,$B14),SUMIFS(BD!$F$3:$F$5001,BD!$A$3:$A$5001,$B14,BD!$B$3:$B$5001,$D$2)))</f>
        <v>0</v>
      </c>
      <c r="G14" s="32">
        <f>IF($B14="","",IF($B$2="Todos",SUMIFS(BD!$G$3:$G$5001,BD!$A$3:$A$5001,$B14),SUMIFS(BD!$G$3:$G$5001,BD!$A$3:$A$5001,$B14,BD!$B$3:$B$5001,$D$2)))</f>
        <v>0</v>
      </c>
      <c r="H14" s="46">
        <f>IF($B14="","",IF($B$2="Todos",SUMIFS(BD!$H$3:$H$5001,BD!$A$3:$A$5001,$B14),SUMIFS(BD!$H$3:$H$5001,BD!$A$3:$A$5001,$B14,BD!$B$3:$B$5001,$D$2)))</f>
        <v>0</v>
      </c>
      <c r="I14" s="32">
        <f>IF($B14="","",IF($B$2="Todos",SUMIFS(BD!$I$3:$I$5001,BD!$A$3:$A$5001,$B14),SUMIFS(BD!$I$3:$I$5001,BD!$A$3:$A$5001,$B14,BD!$B$3:$B$5001,$D$2)))</f>
        <v>0</v>
      </c>
      <c r="J14" s="32">
        <f>IF($B14="","",IF($B$2="Todos",SUMIFS(BD!$J$3:$J$5001,BD!$A$3:$A$5001,$B14),SUMIFS(BD!$J$3:$J$5001,BD!$A$3:$A$5001,$B14,BD!$B$3:$B$5001,$D$2)))</f>
        <v>0</v>
      </c>
      <c r="K14" s="32" t="str">
        <f>IF($B$2="Todos",IF(COUNT($C$117:$G$117)=0,"",SUM($C$117:$G$117)),IFERROR(INDEX($C$117:$G$117,MATCH($D$2,$C$114:$G$114,0)),""))</f>
        <v/>
      </c>
      <c r="L14" s="47" t="str">
        <f>IF(M14="","",IF($B$2="Todos",IF($B$4&gt;0,$B$4,IF($B$2="Todos",IF(COUNT($C$187:$G$187)=0,"",SUM($C$187:$G$187)),IFERROR(INDEX($C$187:$G$187,MATCH($D$2,$C$184:$G$184,0)),""))),IFERROR(INDEX($C$187:$G$187,MATCH($D$2,$C$184:$G$184,0)),"")))</f>
        <v/>
      </c>
      <c r="M14" s="32" t="str">
        <f>IF($B$2="Todos",IF(COUNT($C$152:$G$152)=0,"",SUM($C$152:$G$152)),IFERROR(INDEX($C$152:$G$152,MATCH($D$2,$C$149:$G$149,0)),""))</f>
        <v/>
      </c>
      <c r="N14" s="48" t="str">
        <f>IF(AND(ISNUMBER(M14),ISNUMBER(L14)),IF(L14&gt;0,M14/L14,""),"")</f>
        <v/>
      </c>
      <c r="O14" s="32" t="str">
        <f>IF($B$2="Todos",IF(COUNT($C$222:$G$222)=0,"",SUM($C$222:$G$222)),IFERROR(INDEX($C$222:$G$222,MATCH($D$2,$C$219:$G$219,0)),""))</f>
        <v/>
      </c>
      <c r="P14" s="32">
        <f>IF($B14="","",IF($B$2="Todos",SUMIFS(BD!$O$3:$O$5001,BD!$A$3:$A$5001,$B14),SUMIFS(BD!$O$3:$O$5001,BD!$A$3:$A$5001,$B14,BD!$B$3:$B$5001,$D$2)))</f>
        <v>0</v>
      </c>
      <c r="Q14" s="32">
        <f>IF($B14="","",IF($B$2="Todos",SUMIFS(BD!$P$3:$P$5001,BD!$A$3:$A$5001,$B14),SUMIFS(BD!$P$3:$P$5001,BD!$A$3:$A$5001,$B14,BD!$B$3:$B$5001,$D$2)))</f>
        <v>0</v>
      </c>
      <c r="R14" s="32">
        <f>IF($B14="","",IF($B$2="Todos",SUMIFS(BD!$Q$3:$Q$5001,BD!$A$3:$A$5001,$B14),SUMIFS(BD!$Q$3:$Q$5001,BD!$A$3:$A$5001,$B14,BD!$B$3:$B$5001,$D$2)))</f>
        <v>0</v>
      </c>
      <c r="S14" s="32">
        <f>IF($B14="","",IF($B$2="Todos",SUMIFS(BD!$R$3:$R$5001,BD!$A$3:$A$5001,$B14),SUMIFS(BD!$R$3:$R$5001,BD!$A$3:$A$5001,$B14,BD!$B$3:$B$5001,$D$2)))</f>
        <v>0</v>
      </c>
      <c r="T14" s="32">
        <f>IF($B14="","",IF($B$2="Todos",SUMIFS(BD!$S$3:$S$5001,BD!$A$3:$A$5001,$B14),SUMIFS(BD!$S$3:$S$5001,BD!$A$3:$A$5001,$B14,BD!$B$3:$B$5001,$D$2)))</f>
        <v>0</v>
      </c>
      <c r="U14" s="32">
        <f>IF($B14="","",IF($B$2="Todos",SUMIFS(BD!$T$3:$T$5001,BD!$A$3:$A$5001,$B14),SUMIFS(BD!$T$3:$T$5001,BD!$A$3:$A$5001,$B14,BD!$B$3:$B$5001,$D$2)))</f>
        <v>0</v>
      </c>
      <c r="V14" s="32">
        <f>IF($B14="","",IF($B$2="Todos",SUMIFS(BD!$U$3:$U$5001,BD!$A$3:$A$5001,$B14),SUMIFS(BD!$U$3:$U$5001,BD!$A$3:$A$5001,$B14,BD!$B$3:$B$5001,$D$2)))</f>
        <v>0</v>
      </c>
      <c r="W14" s="49">
        <f>$B$5</f>
        <v>0.7</v>
      </c>
      <c r="X14" s="49">
        <f>$B$6</f>
        <v>0.9</v>
      </c>
      <c r="AL14" s="29" t="inlineStr">
        <is>
          <t xml:space="preserve">MARÇO · 2026</t>
        </is>
      </c>
      <c r="AN14" s="29" t="inlineStr">
        <is>
          <t xml:space="preserve">GM</t>
        </is>
      </c>
      <c r="AO14" s="28" t="inlineStr">
        <is>
          <t xml:space="preserve">JSL</t>
        </is>
      </c>
      <c r="AQ14" s="29" t="str">
        <f>$AL$295&amp;" — "&amp;IF($B$2="Todos","TODOS OS CLIENTES",UPPER($B$2))</f>
        <v>MOVIMENTAÇÃO PALETES/DIA — TODOS OS CLIENTES</v>
      </c>
      <c r="AX14" s="60">
        <f>IF(OR($B14="",N(VALUE($AH$295))=0),"",IF(INDEX($C14:$V14,VALUE($AH$295))="","",IF(N(VALUE($AJ$295))=0,INDEX($C14:$V14,VALUE($AH$295)),IF(N(INDEX($C14:$V14,N(VALUE($AJ$295))))&gt;0,INDEX($C14:$V14,VALUE($AH$295))/INDEX($C14:$V14,N(VALUE($AJ$295))),""))))</f>
        <v>0</v>
      </c>
      <c r="AY14" s="60">
        <f>IF(OR($B14="",N(VALUE($AI$295))=0),"",IF(INDEX($C14:$V14,VALUE($AI$295))="","",IF(N(VALUE($AK$295))=0,INDEX($C14:$V14,VALUE($AI$295)),IF(N(INDEX($C14:$V14,N(VALUE($AK$295))))&gt;0,INDEX($C14:$V14,VALUE($AI$295))/INDEX($C14:$V14,N(VALUE($AK$295))),""))))</f>
        <v>0</v>
      </c>
      <c r="AZ14" s="60">
        <f>IF(OR($B14="",N(VALUE($AP$295))=0),"",IF(INDEX($C14:$V14,VALUE($AP$295))="","",IF(N(VALUE($AR$295))=0,INDEX($C14:$V14,VALUE($AP$295)),IF(N(INDEX($C14:$V14,N(VALUE($AR$295))))&gt;0,INDEX($C14:$V14,VALUE($AP$295))/INDEX($C14:$V14,N(VALUE($AR$295))),""))))</f>
        <v>0</v>
      </c>
      <c r="BA14" s="60">
        <f>IF(OR($B14="",N(VALUE($AQ$295))=0),"",IF(INDEX($C14:$V14,VALUE($AQ$295))="","",IF(N(VALUE($AS$295))=0,INDEX($C14:$V14,VALUE($AQ$295)),IF(N(INDEX($C14:$V14,N(VALUE($AS$295))))&gt;0,INDEX($C14:$V14,VALUE($AQ$295))/INDEX($C14:$V14,N(VALUE($AS$295))),""))))</f>
        <v>0</v>
      </c>
      <c r="BC14" s="32" t="str">
        <f>IF(AND($A14=$B$9,ISNUMBER(L14)),L14,NA())</f>
        <v/>
      </c>
    </row>
    <row r="15">
      <c r="A15" s="28">
        <v>4</v>
      </c>
      <c r="B15" s="45">
        <f>IF($A15&lt;=DAY($D$7),$C$7+$A15-1,"")</f>
        <v>46299</v>
      </c>
      <c r="C15" s="32">
        <f>IF($B15="","",IF($B$2="Todos",SUMIFS(BD!$C$3:$C$5001,BD!$A$3:$A$5001,$B15),SUMIFS(BD!$C$3:$C$5001,BD!$A$3:$A$5001,$B15,BD!$B$3:$B$5001,$D$2)))</f>
        <v>0</v>
      </c>
      <c r="D15" s="32">
        <f>IF($B15="","",IF($B$2="Todos",SUMIFS(BD!$D$3:$D$5001,BD!$A$3:$A$5001,$B15),SUMIFS(BD!$D$3:$D$5001,BD!$A$3:$A$5001,$B15,BD!$B$3:$B$5001,$D$2)))</f>
        <v>0</v>
      </c>
      <c r="E15" s="46">
        <f>IF($B15="","",IF($B$2="Todos",SUMIFS(BD!$E$3:$E$5001,BD!$A$3:$A$5001,$B15),SUMIFS(BD!$E$3:$E$5001,BD!$A$3:$A$5001,$B15,BD!$B$3:$B$5001,$D$2)))</f>
        <v>0</v>
      </c>
      <c r="F15" s="32">
        <f>IF($B15="","",IF($B$2="Todos",SUMIFS(BD!$F$3:$F$5001,BD!$A$3:$A$5001,$B15),SUMIFS(BD!$F$3:$F$5001,BD!$A$3:$A$5001,$B15,BD!$B$3:$B$5001,$D$2)))</f>
        <v>0</v>
      </c>
      <c r="G15" s="32">
        <f>IF($B15="","",IF($B$2="Todos",SUMIFS(BD!$G$3:$G$5001,BD!$A$3:$A$5001,$B15),SUMIFS(BD!$G$3:$G$5001,BD!$A$3:$A$5001,$B15,BD!$B$3:$B$5001,$D$2)))</f>
        <v>0</v>
      </c>
      <c r="H15" s="46">
        <f>IF($B15="","",IF($B$2="Todos",SUMIFS(BD!$H$3:$H$5001,BD!$A$3:$A$5001,$B15),SUMIFS(BD!$H$3:$H$5001,BD!$A$3:$A$5001,$B15,BD!$B$3:$B$5001,$D$2)))</f>
        <v>0</v>
      </c>
      <c r="I15" s="32">
        <f>IF($B15="","",IF($B$2="Todos",SUMIFS(BD!$I$3:$I$5001,BD!$A$3:$A$5001,$B15),SUMIFS(BD!$I$3:$I$5001,BD!$A$3:$A$5001,$B15,BD!$B$3:$B$5001,$D$2)))</f>
        <v>0</v>
      </c>
      <c r="J15" s="32">
        <f>IF($B15="","",IF($B$2="Todos",SUMIFS(BD!$J$3:$J$5001,BD!$A$3:$A$5001,$B15),SUMIFS(BD!$J$3:$J$5001,BD!$A$3:$A$5001,$B15,BD!$B$3:$B$5001,$D$2)))</f>
        <v>0</v>
      </c>
      <c r="K15" s="32" t="str">
        <f>IF($B$2="Todos",IF(COUNT($C$118:$G$118)=0,"",SUM($C$118:$G$118)),IFERROR(INDEX($C$118:$G$118,MATCH($D$2,$C$114:$G$114,0)),""))</f>
        <v/>
      </c>
      <c r="L15" s="47" t="str">
        <f>IF(M15="","",IF($B$2="Todos",IF($B$4&gt;0,$B$4,IF($B$2="Todos",IF(COUNT($C$188:$G$188)=0,"",SUM($C$188:$G$188)),IFERROR(INDEX($C$188:$G$188,MATCH($D$2,$C$184:$G$184,0)),""))),IFERROR(INDEX($C$188:$G$188,MATCH($D$2,$C$184:$G$184,0)),"")))</f>
        <v/>
      </c>
      <c r="M15" s="32" t="str">
        <f>IF($B$2="Todos",IF(COUNT($C$153:$G$153)=0,"",SUM($C$153:$G$153)),IFERROR(INDEX($C$153:$G$153,MATCH($D$2,$C$149:$G$149,0)),""))</f>
        <v/>
      </c>
      <c r="N15" s="48" t="str">
        <f>IF(AND(ISNUMBER(M15),ISNUMBER(L15)),IF(L15&gt;0,M15/L15,""),"")</f>
        <v/>
      </c>
      <c r="O15" s="32" t="str">
        <f>IF($B$2="Todos",IF(COUNT($C$223:$G$223)=0,"",SUM($C$223:$G$223)),IFERROR(INDEX($C$223:$G$223,MATCH($D$2,$C$219:$G$219,0)),""))</f>
        <v/>
      </c>
      <c r="P15" s="32">
        <f>IF($B15="","",IF($B$2="Todos",SUMIFS(BD!$O$3:$O$5001,BD!$A$3:$A$5001,$B15),SUMIFS(BD!$O$3:$O$5001,BD!$A$3:$A$5001,$B15,BD!$B$3:$B$5001,$D$2)))</f>
        <v>0</v>
      </c>
      <c r="Q15" s="32">
        <f>IF($B15="","",IF($B$2="Todos",SUMIFS(BD!$P$3:$P$5001,BD!$A$3:$A$5001,$B15),SUMIFS(BD!$P$3:$P$5001,BD!$A$3:$A$5001,$B15,BD!$B$3:$B$5001,$D$2)))</f>
        <v>0</v>
      </c>
      <c r="R15" s="32">
        <f>IF($B15="","",IF($B$2="Todos",SUMIFS(BD!$Q$3:$Q$5001,BD!$A$3:$A$5001,$B15),SUMIFS(BD!$Q$3:$Q$5001,BD!$A$3:$A$5001,$B15,BD!$B$3:$B$5001,$D$2)))</f>
        <v>0</v>
      </c>
      <c r="S15" s="32">
        <f>IF($B15="","",IF($B$2="Todos",SUMIFS(BD!$R$3:$R$5001,BD!$A$3:$A$5001,$B15),SUMIFS(BD!$R$3:$R$5001,BD!$A$3:$A$5001,$B15,BD!$B$3:$B$5001,$D$2)))</f>
        <v>0</v>
      </c>
      <c r="T15" s="32">
        <f>IF($B15="","",IF($B$2="Todos",SUMIFS(BD!$S$3:$S$5001,BD!$A$3:$A$5001,$B15),SUMIFS(BD!$S$3:$S$5001,BD!$A$3:$A$5001,$B15,BD!$B$3:$B$5001,$D$2)))</f>
        <v>0</v>
      </c>
      <c r="U15" s="32">
        <f>IF($B15="","",IF($B$2="Todos",SUMIFS(BD!$T$3:$T$5001,BD!$A$3:$A$5001,$B15),SUMIFS(BD!$T$3:$T$5001,BD!$A$3:$A$5001,$B15,BD!$B$3:$B$5001,$D$2)))</f>
        <v>0</v>
      </c>
      <c r="V15" s="32">
        <f>IF($B15="","",IF($B$2="Todos",SUMIFS(BD!$U$3:$U$5001,BD!$A$3:$A$5001,$B15),SUMIFS(BD!$U$3:$U$5001,BD!$A$3:$A$5001,$B15,BD!$B$3:$B$5001,$D$2)))</f>
        <v>0</v>
      </c>
      <c r="W15" s="49">
        <f>$B$5</f>
        <v>0.7</v>
      </c>
      <c r="X15" s="49">
        <f>$B$6</f>
        <v>0.9</v>
      </c>
      <c r="AL15" s="29" t="inlineStr">
        <is>
          <t xml:space="preserve">ABRIL · 2026</t>
        </is>
      </c>
      <c r="AN15" s="29" t="inlineStr">
        <is>
          <t xml:space="preserve">Mondelez</t>
        </is>
      </c>
      <c r="AO15" s="28" t="inlineStr">
        <is>
          <t xml:space="preserve">JSL</t>
        </is>
      </c>
      <c r="AQ15" s="29" t="str">
        <f>$AT$295&amp;" — "&amp;IF($B$2="Todos","TODOS OS CLIENTES",UPPER($B$2))</f>
        <v>MOVIMENTAÇÃO TONS/DIA — TODOS OS CLIENTES</v>
      </c>
      <c r="AX15" s="60">
        <f>IF(OR($B15="",N(VALUE($AH$295))=0),"",IF(INDEX($C15:$V15,VALUE($AH$295))="","",IF(N(VALUE($AJ$295))=0,INDEX($C15:$V15,VALUE($AH$295)),IF(N(INDEX($C15:$V15,N(VALUE($AJ$295))))&gt;0,INDEX($C15:$V15,VALUE($AH$295))/INDEX($C15:$V15,N(VALUE($AJ$295))),""))))</f>
        <v>0</v>
      </c>
      <c r="AY15" s="60">
        <f>IF(OR($B15="",N(VALUE($AI$295))=0),"",IF(INDEX($C15:$V15,VALUE($AI$295))="","",IF(N(VALUE($AK$295))=0,INDEX($C15:$V15,VALUE($AI$295)),IF(N(INDEX($C15:$V15,N(VALUE($AK$295))))&gt;0,INDEX($C15:$V15,VALUE($AI$295))/INDEX($C15:$V15,N(VALUE($AK$295))),""))))</f>
        <v>0</v>
      </c>
      <c r="AZ15" s="60">
        <f>IF(OR($B15="",N(VALUE($AP$295))=0),"",IF(INDEX($C15:$V15,VALUE($AP$295))="","",IF(N(VALUE($AR$295))=0,INDEX($C15:$V15,VALUE($AP$295)),IF(N(INDEX($C15:$V15,N(VALUE($AR$295))))&gt;0,INDEX($C15:$V15,VALUE($AP$295))/INDEX($C15:$V15,N(VALUE($AR$295))),""))))</f>
        <v>0</v>
      </c>
      <c r="BA15" s="60">
        <f>IF(OR($B15="",N(VALUE($AQ$295))=0),"",IF(INDEX($C15:$V15,VALUE($AQ$295))="","",IF(N(VALUE($AS$295))=0,INDEX($C15:$V15,VALUE($AQ$295)),IF(N(INDEX($C15:$V15,N(VALUE($AS$295))))&gt;0,INDEX($C15:$V15,VALUE($AQ$295))/INDEX($C15:$V15,N(VALUE($AS$295))),""))))</f>
        <v>0</v>
      </c>
      <c r="BC15" s="32" t="str">
        <f>IF(AND($A15=$B$9,ISNUMBER(L15)),L15,NA())</f>
        <v/>
      </c>
    </row>
    <row r="16">
      <c r="A16" s="28">
        <v>5</v>
      </c>
      <c r="B16" s="45">
        <f>IF($A16&lt;=DAY($D$7),$C$7+$A16-1,"")</f>
        <v>46300</v>
      </c>
      <c r="C16" s="32">
        <f>IF($B16="","",IF($B$2="Todos",SUMIFS(BD!$C$3:$C$5001,BD!$A$3:$A$5001,$B16),SUMIFS(BD!$C$3:$C$5001,BD!$A$3:$A$5001,$B16,BD!$B$3:$B$5001,$D$2)))</f>
        <v>0</v>
      </c>
      <c r="D16" s="32">
        <f>IF($B16="","",IF($B$2="Todos",SUMIFS(BD!$D$3:$D$5001,BD!$A$3:$A$5001,$B16),SUMIFS(BD!$D$3:$D$5001,BD!$A$3:$A$5001,$B16,BD!$B$3:$B$5001,$D$2)))</f>
        <v>0</v>
      </c>
      <c r="E16" s="46">
        <f>IF($B16="","",IF($B$2="Todos",SUMIFS(BD!$E$3:$E$5001,BD!$A$3:$A$5001,$B16),SUMIFS(BD!$E$3:$E$5001,BD!$A$3:$A$5001,$B16,BD!$B$3:$B$5001,$D$2)))</f>
        <v>0</v>
      </c>
      <c r="F16" s="32">
        <f>IF($B16="","",IF($B$2="Todos",SUMIFS(BD!$F$3:$F$5001,BD!$A$3:$A$5001,$B16),SUMIFS(BD!$F$3:$F$5001,BD!$A$3:$A$5001,$B16,BD!$B$3:$B$5001,$D$2)))</f>
        <v>0</v>
      </c>
      <c r="G16" s="32">
        <f>IF($B16="","",IF($B$2="Todos",SUMIFS(BD!$G$3:$G$5001,BD!$A$3:$A$5001,$B16),SUMIFS(BD!$G$3:$G$5001,BD!$A$3:$A$5001,$B16,BD!$B$3:$B$5001,$D$2)))</f>
        <v>0</v>
      </c>
      <c r="H16" s="46">
        <f>IF($B16="","",IF($B$2="Todos",SUMIFS(BD!$H$3:$H$5001,BD!$A$3:$A$5001,$B16),SUMIFS(BD!$H$3:$H$5001,BD!$A$3:$A$5001,$B16,BD!$B$3:$B$5001,$D$2)))</f>
        <v>0</v>
      </c>
      <c r="I16" s="32">
        <f>IF($B16="","",IF($B$2="Todos",SUMIFS(BD!$I$3:$I$5001,BD!$A$3:$A$5001,$B16),SUMIFS(BD!$I$3:$I$5001,BD!$A$3:$A$5001,$B16,BD!$B$3:$B$5001,$D$2)))</f>
        <v>0</v>
      </c>
      <c r="J16" s="32">
        <f>IF($B16="","",IF($B$2="Todos",SUMIFS(BD!$J$3:$J$5001,BD!$A$3:$A$5001,$B16),SUMIFS(BD!$J$3:$J$5001,BD!$A$3:$A$5001,$B16,BD!$B$3:$B$5001,$D$2)))</f>
        <v>0</v>
      </c>
      <c r="K16" s="32" t="str">
        <f>IF($B$2="Todos",IF(COUNT($C$119:$G$119)=0,"",SUM($C$119:$G$119)),IFERROR(INDEX($C$119:$G$119,MATCH($D$2,$C$114:$G$114,0)),""))</f>
        <v/>
      </c>
      <c r="L16" s="47" t="str">
        <f>IF(M16="","",IF($B$2="Todos",IF($B$4&gt;0,$B$4,IF($B$2="Todos",IF(COUNT($C$189:$G$189)=0,"",SUM($C$189:$G$189)),IFERROR(INDEX($C$189:$G$189,MATCH($D$2,$C$184:$G$184,0)),""))),IFERROR(INDEX($C$189:$G$189,MATCH($D$2,$C$184:$G$184,0)),"")))</f>
        <v/>
      </c>
      <c r="M16" s="32" t="str">
        <f>IF($B$2="Todos",IF(COUNT($C$154:$G$154)=0,"",SUM($C$154:$G$154)),IFERROR(INDEX($C$154:$G$154,MATCH($D$2,$C$149:$G$149,0)),""))</f>
        <v/>
      </c>
      <c r="N16" s="48" t="str">
        <f>IF(AND(ISNUMBER(M16),ISNUMBER(L16)),IF(L16&gt;0,M16/L16,""),"")</f>
        <v/>
      </c>
      <c r="O16" s="32" t="str">
        <f>IF($B$2="Todos",IF(COUNT($C$224:$G$224)=0,"",SUM($C$224:$G$224)),IFERROR(INDEX($C$224:$G$224,MATCH($D$2,$C$219:$G$219,0)),""))</f>
        <v/>
      </c>
      <c r="P16" s="32">
        <f>IF($B16="","",IF($B$2="Todos",SUMIFS(BD!$O$3:$O$5001,BD!$A$3:$A$5001,$B16),SUMIFS(BD!$O$3:$O$5001,BD!$A$3:$A$5001,$B16,BD!$B$3:$B$5001,$D$2)))</f>
        <v>0</v>
      </c>
      <c r="Q16" s="32">
        <f>IF($B16="","",IF($B$2="Todos",SUMIFS(BD!$P$3:$P$5001,BD!$A$3:$A$5001,$B16),SUMIFS(BD!$P$3:$P$5001,BD!$A$3:$A$5001,$B16,BD!$B$3:$B$5001,$D$2)))</f>
        <v>0</v>
      </c>
      <c r="R16" s="32">
        <f>IF($B16="","",IF($B$2="Todos",SUMIFS(BD!$Q$3:$Q$5001,BD!$A$3:$A$5001,$B16),SUMIFS(BD!$Q$3:$Q$5001,BD!$A$3:$A$5001,$B16,BD!$B$3:$B$5001,$D$2)))</f>
        <v>0</v>
      </c>
      <c r="S16" s="32">
        <f>IF($B16="","",IF($B$2="Todos",SUMIFS(BD!$R$3:$R$5001,BD!$A$3:$A$5001,$B16),SUMIFS(BD!$R$3:$R$5001,BD!$A$3:$A$5001,$B16,BD!$B$3:$B$5001,$D$2)))</f>
        <v>0</v>
      </c>
      <c r="T16" s="32">
        <f>IF($B16="","",IF($B$2="Todos",SUMIFS(BD!$S$3:$S$5001,BD!$A$3:$A$5001,$B16),SUMIFS(BD!$S$3:$S$5001,BD!$A$3:$A$5001,$B16,BD!$B$3:$B$5001,$D$2)))</f>
        <v>0</v>
      </c>
      <c r="U16" s="32">
        <f>IF($B16="","",IF($B$2="Todos",SUMIFS(BD!$T$3:$T$5001,BD!$A$3:$A$5001,$B16),SUMIFS(BD!$T$3:$T$5001,BD!$A$3:$A$5001,$B16,BD!$B$3:$B$5001,$D$2)))</f>
        <v>0</v>
      </c>
      <c r="V16" s="32">
        <f>IF($B16="","",IF($B$2="Todos",SUMIFS(BD!$U$3:$U$5001,BD!$A$3:$A$5001,$B16),SUMIFS(BD!$U$3:$U$5001,BD!$A$3:$A$5001,$B16,BD!$B$3:$B$5001,$D$2)))</f>
        <v>0</v>
      </c>
      <c r="W16" s="49">
        <f>$B$5</f>
        <v>0.7</v>
      </c>
      <c r="X16" s="49">
        <f>$B$6</f>
        <v>0.9</v>
      </c>
      <c r="AL16" s="29" t="inlineStr">
        <is>
          <t xml:space="preserve">MAIO · 2026</t>
        </is>
      </c>
      <c r="AN16" s="29" t="inlineStr">
        <is>
          <t xml:space="preserve">Nestlé</t>
        </is>
      </c>
      <c r="AO16" s="28" t="inlineStr">
        <is>
          <t xml:space="preserve">JSL</t>
        </is>
      </c>
      <c r="AQ16" s="29" t="str">
        <f>$AM$295&amp;" — "&amp;IF($B$2="Todos","TODOS OS CLIENTES",UPPER($B$2))</f>
        <v>ACUMULADO SEMANAL PALETES — TODOS OS CLIENTES</v>
      </c>
      <c r="AX16" s="60">
        <f>IF(OR($B16="",N(VALUE($AH$295))=0),"",IF(INDEX($C16:$V16,VALUE($AH$295))="","",IF(N(VALUE($AJ$295))=0,INDEX($C16:$V16,VALUE($AH$295)),IF(N(INDEX($C16:$V16,N(VALUE($AJ$295))))&gt;0,INDEX($C16:$V16,VALUE($AH$295))/INDEX($C16:$V16,N(VALUE($AJ$295))),""))))</f>
        <v>0</v>
      </c>
      <c r="AY16" s="60">
        <f>IF(OR($B16="",N(VALUE($AI$295))=0),"",IF(INDEX($C16:$V16,VALUE($AI$295))="","",IF(N(VALUE($AK$295))=0,INDEX($C16:$V16,VALUE($AI$295)),IF(N(INDEX($C16:$V16,N(VALUE($AK$295))))&gt;0,INDEX($C16:$V16,VALUE($AI$295))/INDEX($C16:$V16,N(VALUE($AK$295))),""))))</f>
        <v>0</v>
      </c>
      <c r="AZ16" s="60">
        <f>IF(OR($B16="",N(VALUE($AP$295))=0),"",IF(INDEX($C16:$V16,VALUE($AP$295))="","",IF(N(VALUE($AR$295))=0,INDEX($C16:$V16,VALUE($AP$295)),IF(N(INDEX($C16:$V16,N(VALUE($AR$295))))&gt;0,INDEX($C16:$V16,VALUE($AP$295))/INDEX($C16:$V16,N(VALUE($AR$295))),""))))</f>
        <v>0</v>
      </c>
      <c r="BA16" s="60">
        <f>IF(OR($B16="",N(VALUE($AQ$295))=0),"",IF(INDEX($C16:$V16,VALUE($AQ$295))="","",IF(N(VALUE($AS$295))=0,INDEX($C16:$V16,VALUE($AQ$295)),IF(N(INDEX($C16:$V16,N(VALUE($AS$295))))&gt;0,INDEX($C16:$V16,VALUE($AQ$295))/INDEX($C16:$V16,N(VALUE($AS$295))),""))))</f>
        <v>0</v>
      </c>
      <c r="BC16" s="32" t="str">
        <f>IF(AND($A16=$B$9,ISNUMBER(L16)),L16,NA())</f>
        <v/>
      </c>
    </row>
    <row r="17">
      <c r="A17" s="28">
        <v>6</v>
      </c>
      <c r="B17" s="45">
        <f>IF($A17&lt;=DAY($D$7),$C$7+$A17-1,"")</f>
        <v>46301</v>
      </c>
      <c r="C17" s="32">
        <f>IF($B17="","",IF($B$2="Todos",SUMIFS(BD!$C$3:$C$5001,BD!$A$3:$A$5001,$B17),SUMIFS(BD!$C$3:$C$5001,BD!$A$3:$A$5001,$B17,BD!$B$3:$B$5001,$D$2)))</f>
        <v>0</v>
      </c>
      <c r="D17" s="32">
        <f>IF($B17="","",IF($B$2="Todos",SUMIFS(BD!$D$3:$D$5001,BD!$A$3:$A$5001,$B17),SUMIFS(BD!$D$3:$D$5001,BD!$A$3:$A$5001,$B17,BD!$B$3:$B$5001,$D$2)))</f>
        <v>0</v>
      </c>
      <c r="E17" s="46">
        <f>IF($B17="","",IF($B$2="Todos",SUMIFS(BD!$E$3:$E$5001,BD!$A$3:$A$5001,$B17),SUMIFS(BD!$E$3:$E$5001,BD!$A$3:$A$5001,$B17,BD!$B$3:$B$5001,$D$2)))</f>
        <v>0</v>
      </c>
      <c r="F17" s="32">
        <f>IF($B17="","",IF($B$2="Todos",SUMIFS(BD!$F$3:$F$5001,BD!$A$3:$A$5001,$B17),SUMIFS(BD!$F$3:$F$5001,BD!$A$3:$A$5001,$B17,BD!$B$3:$B$5001,$D$2)))</f>
        <v>0</v>
      </c>
      <c r="G17" s="32">
        <f>IF($B17="","",IF($B$2="Todos",SUMIFS(BD!$G$3:$G$5001,BD!$A$3:$A$5001,$B17),SUMIFS(BD!$G$3:$G$5001,BD!$A$3:$A$5001,$B17,BD!$B$3:$B$5001,$D$2)))</f>
        <v>0</v>
      </c>
      <c r="H17" s="46">
        <f>IF($B17="","",IF($B$2="Todos",SUMIFS(BD!$H$3:$H$5001,BD!$A$3:$A$5001,$B17),SUMIFS(BD!$H$3:$H$5001,BD!$A$3:$A$5001,$B17,BD!$B$3:$B$5001,$D$2)))</f>
        <v>0</v>
      </c>
      <c r="I17" s="32">
        <f>IF($B17="","",IF($B$2="Todos",SUMIFS(BD!$I$3:$I$5001,BD!$A$3:$A$5001,$B17),SUMIFS(BD!$I$3:$I$5001,BD!$A$3:$A$5001,$B17,BD!$B$3:$B$5001,$D$2)))</f>
        <v>0</v>
      </c>
      <c r="J17" s="32">
        <f>IF($B17="","",IF($B$2="Todos",SUMIFS(BD!$J$3:$J$5001,BD!$A$3:$A$5001,$B17),SUMIFS(BD!$J$3:$J$5001,BD!$A$3:$A$5001,$B17,BD!$B$3:$B$5001,$D$2)))</f>
        <v>0</v>
      </c>
      <c r="K17" s="32" t="str">
        <f>IF($B$2="Todos",IF(COUNT($C$120:$G$120)=0,"",SUM($C$120:$G$120)),IFERROR(INDEX($C$120:$G$120,MATCH($D$2,$C$114:$G$114,0)),""))</f>
        <v/>
      </c>
      <c r="L17" s="47" t="str">
        <f>IF(M17="","",IF($B$2="Todos",IF($B$4&gt;0,$B$4,IF($B$2="Todos",IF(COUNT($C$190:$G$190)=0,"",SUM($C$190:$G$190)),IFERROR(INDEX($C$190:$G$190,MATCH($D$2,$C$184:$G$184,0)),""))),IFERROR(INDEX($C$190:$G$190,MATCH($D$2,$C$184:$G$184,0)),"")))</f>
        <v/>
      </c>
      <c r="M17" s="32" t="str">
        <f>IF($B$2="Todos",IF(COUNT($C$155:$G$155)=0,"",SUM($C$155:$G$155)),IFERROR(INDEX($C$155:$G$155,MATCH($D$2,$C$149:$G$149,0)),""))</f>
        <v/>
      </c>
      <c r="N17" s="48" t="str">
        <f>IF(AND(ISNUMBER(M17),ISNUMBER(L17)),IF(L17&gt;0,M17/L17,""),"")</f>
        <v/>
      </c>
      <c r="O17" s="32" t="str">
        <f>IF($B$2="Todos",IF(COUNT($C$225:$G$225)=0,"",SUM($C$225:$G$225)),IFERROR(INDEX($C$225:$G$225,MATCH($D$2,$C$219:$G$219,0)),""))</f>
        <v/>
      </c>
      <c r="P17" s="32">
        <f>IF($B17="","",IF($B$2="Todos",SUMIFS(BD!$O$3:$O$5001,BD!$A$3:$A$5001,$B17),SUMIFS(BD!$O$3:$O$5001,BD!$A$3:$A$5001,$B17,BD!$B$3:$B$5001,$D$2)))</f>
        <v>0</v>
      </c>
      <c r="Q17" s="32">
        <f>IF($B17="","",IF($B$2="Todos",SUMIFS(BD!$P$3:$P$5001,BD!$A$3:$A$5001,$B17),SUMIFS(BD!$P$3:$P$5001,BD!$A$3:$A$5001,$B17,BD!$B$3:$B$5001,$D$2)))</f>
        <v>0</v>
      </c>
      <c r="R17" s="32">
        <f>IF($B17="","",IF($B$2="Todos",SUMIFS(BD!$Q$3:$Q$5001,BD!$A$3:$A$5001,$B17),SUMIFS(BD!$Q$3:$Q$5001,BD!$A$3:$A$5001,$B17,BD!$B$3:$B$5001,$D$2)))</f>
        <v>0</v>
      </c>
      <c r="S17" s="32">
        <f>IF($B17="","",IF($B$2="Todos",SUMIFS(BD!$R$3:$R$5001,BD!$A$3:$A$5001,$B17),SUMIFS(BD!$R$3:$R$5001,BD!$A$3:$A$5001,$B17,BD!$B$3:$B$5001,$D$2)))</f>
        <v>0</v>
      </c>
      <c r="T17" s="32">
        <f>IF($B17="","",IF($B$2="Todos",SUMIFS(BD!$S$3:$S$5001,BD!$A$3:$A$5001,$B17),SUMIFS(BD!$S$3:$S$5001,BD!$A$3:$A$5001,$B17,BD!$B$3:$B$5001,$D$2)))</f>
        <v>0</v>
      </c>
      <c r="U17" s="32">
        <f>IF($B17="","",IF($B$2="Todos",SUMIFS(BD!$T$3:$T$5001,BD!$A$3:$A$5001,$B17),SUMIFS(BD!$T$3:$T$5001,BD!$A$3:$A$5001,$B17,BD!$B$3:$B$5001,$D$2)))</f>
        <v>0</v>
      </c>
      <c r="V17" s="32">
        <f>IF($B17="","",IF($B$2="Todos",SUMIFS(BD!$U$3:$U$5001,BD!$A$3:$A$5001,$B17),SUMIFS(BD!$U$3:$U$5001,BD!$A$3:$A$5001,$B17,BD!$B$3:$B$5001,$D$2)))</f>
        <v>0</v>
      </c>
      <c r="W17" s="49">
        <f>$B$5</f>
        <v>0.7</v>
      </c>
      <c r="X17" s="49">
        <f>$B$6</f>
        <v>0.9</v>
      </c>
      <c r="AL17" s="29" t="inlineStr">
        <is>
          <t xml:space="preserve">JUNHO · 2026</t>
        </is>
      </c>
      <c r="AN17" s="29" t="inlineStr">
        <is>
          <t xml:space="preserve">PMB</t>
        </is>
      </c>
      <c r="AO17" s="28" t="inlineStr">
        <is>
          <t xml:space="preserve">JSL</t>
        </is>
      </c>
      <c r="AQ17" s="29" t="str">
        <f>$AU$295&amp;" — "&amp;IF($B$2="Todos","TODOS OS CLIENTES",UPPER($B$2))</f>
        <v>ACUMULADO SEMANAL TONS — TODOS OS CLIENTES</v>
      </c>
      <c r="AX17" s="60">
        <f>IF(OR($B17="",N(VALUE($AH$295))=0),"",IF(INDEX($C17:$V17,VALUE($AH$295))="","",IF(N(VALUE($AJ$295))=0,INDEX($C17:$V17,VALUE($AH$295)),IF(N(INDEX($C17:$V17,N(VALUE($AJ$295))))&gt;0,INDEX($C17:$V17,VALUE($AH$295))/INDEX($C17:$V17,N(VALUE($AJ$295))),""))))</f>
        <v>0</v>
      </c>
      <c r="AY17" s="60">
        <f>IF(OR($B17="",N(VALUE($AI$295))=0),"",IF(INDEX($C17:$V17,VALUE($AI$295))="","",IF(N(VALUE($AK$295))=0,INDEX($C17:$V17,VALUE($AI$295)),IF(N(INDEX($C17:$V17,N(VALUE($AK$295))))&gt;0,INDEX($C17:$V17,VALUE($AI$295))/INDEX($C17:$V17,N(VALUE($AK$295))),""))))</f>
        <v>0</v>
      </c>
      <c r="AZ17" s="60">
        <f>IF(OR($B17="",N(VALUE($AP$295))=0),"",IF(INDEX($C17:$V17,VALUE($AP$295))="","",IF(N(VALUE($AR$295))=0,INDEX($C17:$V17,VALUE($AP$295)),IF(N(INDEX($C17:$V17,N(VALUE($AR$295))))&gt;0,INDEX($C17:$V17,VALUE($AP$295))/INDEX($C17:$V17,N(VALUE($AR$295))),""))))</f>
        <v>0</v>
      </c>
      <c r="BA17" s="60">
        <f>IF(OR($B17="",N(VALUE($AQ$295))=0),"",IF(INDEX($C17:$V17,VALUE($AQ$295))="","",IF(N(VALUE($AS$295))=0,INDEX($C17:$V17,VALUE($AQ$295)),IF(N(INDEX($C17:$V17,N(VALUE($AS$295))))&gt;0,INDEX($C17:$V17,VALUE($AQ$295))/INDEX($C17:$V17,N(VALUE($AS$295))),""))))</f>
        <v>0</v>
      </c>
      <c r="BC17" s="32" t="str">
        <f>IF(AND($A17=$B$9,ISNUMBER(L17)),L17,NA())</f>
        <v/>
      </c>
    </row>
    <row r="18">
      <c r="A18" s="28">
        <v>7</v>
      </c>
      <c r="B18" s="45">
        <f>IF($A18&lt;=DAY($D$7),$C$7+$A18-1,"")</f>
        <v>46302</v>
      </c>
      <c r="C18" s="32">
        <f>IF($B18="","",IF($B$2="Todos",SUMIFS(BD!$C$3:$C$5001,BD!$A$3:$A$5001,$B18),SUMIFS(BD!$C$3:$C$5001,BD!$A$3:$A$5001,$B18,BD!$B$3:$B$5001,$D$2)))</f>
        <v>0</v>
      </c>
      <c r="D18" s="32">
        <f>IF($B18="","",IF($B$2="Todos",SUMIFS(BD!$D$3:$D$5001,BD!$A$3:$A$5001,$B18),SUMIFS(BD!$D$3:$D$5001,BD!$A$3:$A$5001,$B18,BD!$B$3:$B$5001,$D$2)))</f>
        <v>0</v>
      </c>
      <c r="E18" s="46">
        <f>IF($B18="","",IF($B$2="Todos",SUMIFS(BD!$E$3:$E$5001,BD!$A$3:$A$5001,$B18),SUMIFS(BD!$E$3:$E$5001,BD!$A$3:$A$5001,$B18,BD!$B$3:$B$5001,$D$2)))</f>
        <v>0</v>
      </c>
      <c r="F18" s="32">
        <f>IF($B18="","",IF($B$2="Todos",SUMIFS(BD!$F$3:$F$5001,BD!$A$3:$A$5001,$B18),SUMIFS(BD!$F$3:$F$5001,BD!$A$3:$A$5001,$B18,BD!$B$3:$B$5001,$D$2)))</f>
        <v>0</v>
      </c>
      <c r="G18" s="32">
        <f>IF($B18="","",IF($B$2="Todos",SUMIFS(BD!$G$3:$G$5001,BD!$A$3:$A$5001,$B18),SUMIFS(BD!$G$3:$G$5001,BD!$A$3:$A$5001,$B18,BD!$B$3:$B$5001,$D$2)))</f>
        <v>0</v>
      </c>
      <c r="H18" s="46">
        <f>IF($B18="","",IF($B$2="Todos",SUMIFS(BD!$H$3:$H$5001,BD!$A$3:$A$5001,$B18),SUMIFS(BD!$H$3:$H$5001,BD!$A$3:$A$5001,$B18,BD!$B$3:$B$5001,$D$2)))</f>
        <v>0</v>
      </c>
      <c r="I18" s="32">
        <f>IF($B18="","",IF($B$2="Todos",SUMIFS(BD!$I$3:$I$5001,BD!$A$3:$A$5001,$B18),SUMIFS(BD!$I$3:$I$5001,BD!$A$3:$A$5001,$B18,BD!$B$3:$B$5001,$D$2)))</f>
        <v>0</v>
      </c>
      <c r="J18" s="32">
        <f>IF($B18="","",IF($B$2="Todos",SUMIFS(BD!$J$3:$J$5001,BD!$A$3:$A$5001,$B18),SUMIFS(BD!$J$3:$J$5001,BD!$A$3:$A$5001,$B18,BD!$B$3:$B$5001,$D$2)))</f>
        <v>0</v>
      </c>
      <c r="K18" s="32" t="str">
        <f>IF($B$2="Todos",IF(COUNT($C$121:$G$121)=0,"",SUM($C$121:$G$121)),IFERROR(INDEX($C$121:$G$121,MATCH($D$2,$C$114:$G$114,0)),""))</f>
        <v/>
      </c>
      <c r="L18" s="47" t="str">
        <f>IF(M18="","",IF($B$2="Todos",IF($B$4&gt;0,$B$4,IF($B$2="Todos",IF(COUNT($C$191:$G$191)=0,"",SUM($C$191:$G$191)),IFERROR(INDEX($C$191:$G$191,MATCH($D$2,$C$184:$G$184,0)),""))),IFERROR(INDEX($C$191:$G$191,MATCH($D$2,$C$184:$G$184,0)),"")))</f>
        <v/>
      </c>
      <c r="M18" s="32" t="str">
        <f>IF($B$2="Todos",IF(COUNT($C$156:$G$156)=0,"",SUM($C$156:$G$156)),IFERROR(INDEX($C$156:$G$156,MATCH($D$2,$C$149:$G$149,0)),""))</f>
        <v/>
      </c>
      <c r="N18" s="48" t="str">
        <f>IF(AND(ISNUMBER(M18),ISNUMBER(L18)),IF(L18&gt;0,M18/L18,""),"")</f>
        <v/>
      </c>
      <c r="O18" s="32" t="str">
        <f>IF($B$2="Todos",IF(COUNT($C$226:$G$226)=0,"",SUM($C$226:$G$226)),IFERROR(INDEX($C$226:$G$226,MATCH($D$2,$C$219:$G$219,0)),""))</f>
        <v/>
      </c>
      <c r="P18" s="32">
        <f>IF($B18="","",IF($B$2="Todos",SUMIFS(BD!$O$3:$O$5001,BD!$A$3:$A$5001,$B18),SUMIFS(BD!$O$3:$O$5001,BD!$A$3:$A$5001,$B18,BD!$B$3:$B$5001,$D$2)))</f>
        <v>0</v>
      </c>
      <c r="Q18" s="32">
        <f>IF($B18="","",IF($B$2="Todos",SUMIFS(BD!$P$3:$P$5001,BD!$A$3:$A$5001,$B18),SUMIFS(BD!$P$3:$P$5001,BD!$A$3:$A$5001,$B18,BD!$B$3:$B$5001,$D$2)))</f>
        <v>0</v>
      </c>
      <c r="R18" s="32">
        <f>IF($B18="","",IF($B$2="Todos",SUMIFS(BD!$Q$3:$Q$5001,BD!$A$3:$A$5001,$B18),SUMIFS(BD!$Q$3:$Q$5001,BD!$A$3:$A$5001,$B18,BD!$B$3:$B$5001,$D$2)))</f>
        <v>0</v>
      </c>
      <c r="S18" s="32">
        <f>IF($B18="","",IF($B$2="Todos",SUMIFS(BD!$R$3:$R$5001,BD!$A$3:$A$5001,$B18),SUMIFS(BD!$R$3:$R$5001,BD!$A$3:$A$5001,$B18,BD!$B$3:$B$5001,$D$2)))</f>
        <v>0</v>
      </c>
      <c r="T18" s="32">
        <f>IF($B18="","",IF($B$2="Todos",SUMIFS(BD!$S$3:$S$5001,BD!$A$3:$A$5001,$B18),SUMIFS(BD!$S$3:$S$5001,BD!$A$3:$A$5001,$B18,BD!$B$3:$B$5001,$D$2)))</f>
        <v>0</v>
      </c>
      <c r="U18" s="32">
        <f>IF($B18="","",IF($B$2="Todos",SUMIFS(BD!$T$3:$T$5001,BD!$A$3:$A$5001,$B18),SUMIFS(BD!$T$3:$T$5001,BD!$A$3:$A$5001,$B18,BD!$B$3:$B$5001,$D$2)))</f>
        <v>0</v>
      </c>
      <c r="V18" s="32">
        <f>IF($B18="","",IF($B$2="Todos",SUMIFS(BD!$U$3:$U$5001,BD!$A$3:$A$5001,$B18),SUMIFS(BD!$U$3:$U$5001,BD!$A$3:$A$5001,$B18,BD!$B$3:$B$5001,$D$2)))</f>
        <v>0</v>
      </c>
      <c r="W18" s="49">
        <f>$B$5</f>
        <v>0.7</v>
      </c>
      <c r="X18" s="49">
        <f>$B$6</f>
        <v>0.9</v>
      </c>
      <c r="AL18" s="29" t="inlineStr">
        <is>
          <t xml:space="preserve">JULHO · 2026</t>
        </is>
      </c>
      <c r="AX18" s="60">
        <f>IF(OR($B18="",N(VALUE($AH$295))=0),"",IF(INDEX($C18:$V18,VALUE($AH$295))="","",IF(N(VALUE($AJ$295))=0,INDEX($C18:$V18,VALUE($AH$295)),IF(N(INDEX($C18:$V18,N(VALUE($AJ$295))))&gt;0,INDEX($C18:$V18,VALUE($AH$295))/INDEX($C18:$V18,N(VALUE($AJ$295))),""))))</f>
        <v>0</v>
      </c>
      <c r="AY18" s="60">
        <f>IF(OR($B18="",N(VALUE($AI$295))=0),"",IF(INDEX($C18:$V18,VALUE($AI$295))="","",IF(N(VALUE($AK$295))=0,INDEX($C18:$V18,VALUE($AI$295)),IF(N(INDEX($C18:$V18,N(VALUE($AK$295))))&gt;0,INDEX($C18:$V18,VALUE($AI$295))/INDEX($C18:$V18,N(VALUE($AK$295))),""))))</f>
        <v>0</v>
      </c>
      <c r="AZ18" s="60">
        <f>IF(OR($B18="",N(VALUE($AP$295))=0),"",IF(INDEX($C18:$V18,VALUE($AP$295))="","",IF(N(VALUE($AR$295))=0,INDEX($C18:$V18,VALUE($AP$295)),IF(N(INDEX($C18:$V18,N(VALUE($AR$295))))&gt;0,INDEX($C18:$V18,VALUE($AP$295))/INDEX($C18:$V18,N(VALUE($AR$295))),""))))</f>
        <v>0</v>
      </c>
      <c r="BA18" s="60">
        <f>IF(OR($B18="",N(VALUE($AQ$295))=0),"",IF(INDEX($C18:$V18,VALUE($AQ$295))="","",IF(N(VALUE($AS$295))=0,INDEX($C18:$V18,VALUE($AQ$295)),IF(N(INDEX($C18:$V18,N(VALUE($AS$295))))&gt;0,INDEX($C18:$V18,VALUE($AQ$295))/INDEX($C18:$V18,N(VALUE($AS$295))),""))))</f>
        <v>0</v>
      </c>
      <c r="BC18" s="32" t="str">
        <f>IF(AND($A18=$B$9,ISNUMBER(L18)),L18,NA())</f>
        <v/>
      </c>
    </row>
    <row r="19">
      <c r="A19" s="28">
        <v>8</v>
      </c>
      <c r="B19" s="45">
        <f>IF($A19&lt;=DAY($D$7),$C$7+$A19-1,"")</f>
        <v>46303</v>
      </c>
      <c r="C19" s="32">
        <f>IF($B19="","",IF($B$2="Todos",SUMIFS(BD!$C$3:$C$5001,BD!$A$3:$A$5001,$B19),SUMIFS(BD!$C$3:$C$5001,BD!$A$3:$A$5001,$B19,BD!$B$3:$B$5001,$D$2)))</f>
        <v>0</v>
      </c>
      <c r="D19" s="32">
        <f>IF($B19="","",IF($B$2="Todos",SUMIFS(BD!$D$3:$D$5001,BD!$A$3:$A$5001,$B19),SUMIFS(BD!$D$3:$D$5001,BD!$A$3:$A$5001,$B19,BD!$B$3:$B$5001,$D$2)))</f>
        <v>0</v>
      </c>
      <c r="E19" s="46">
        <f>IF($B19="","",IF($B$2="Todos",SUMIFS(BD!$E$3:$E$5001,BD!$A$3:$A$5001,$B19),SUMIFS(BD!$E$3:$E$5001,BD!$A$3:$A$5001,$B19,BD!$B$3:$B$5001,$D$2)))</f>
        <v>0</v>
      </c>
      <c r="F19" s="32">
        <f>IF($B19="","",IF($B$2="Todos",SUMIFS(BD!$F$3:$F$5001,BD!$A$3:$A$5001,$B19),SUMIFS(BD!$F$3:$F$5001,BD!$A$3:$A$5001,$B19,BD!$B$3:$B$5001,$D$2)))</f>
        <v>0</v>
      </c>
      <c r="G19" s="32">
        <f>IF($B19="","",IF($B$2="Todos",SUMIFS(BD!$G$3:$G$5001,BD!$A$3:$A$5001,$B19),SUMIFS(BD!$G$3:$G$5001,BD!$A$3:$A$5001,$B19,BD!$B$3:$B$5001,$D$2)))</f>
        <v>0</v>
      </c>
      <c r="H19" s="46">
        <f>IF($B19="","",IF($B$2="Todos",SUMIFS(BD!$H$3:$H$5001,BD!$A$3:$A$5001,$B19),SUMIFS(BD!$H$3:$H$5001,BD!$A$3:$A$5001,$B19,BD!$B$3:$B$5001,$D$2)))</f>
        <v>0</v>
      </c>
      <c r="I19" s="32">
        <f>IF($B19="","",IF($B$2="Todos",SUMIFS(BD!$I$3:$I$5001,BD!$A$3:$A$5001,$B19),SUMIFS(BD!$I$3:$I$5001,BD!$A$3:$A$5001,$B19,BD!$B$3:$B$5001,$D$2)))</f>
        <v>0</v>
      </c>
      <c r="J19" s="32">
        <f>IF($B19="","",IF($B$2="Todos",SUMIFS(BD!$J$3:$J$5001,BD!$A$3:$A$5001,$B19),SUMIFS(BD!$J$3:$J$5001,BD!$A$3:$A$5001,$B19,BD!$B$3:$B$5001,$D$2)))</f>
        <v>0</v>
      </c>
      <c r="K19" s="32" t="str">
        <f>IF($B$2="Todos",IF(COUNT($C$122:$G$122)=0,"",SUM($C$122:$G$122)),IFERROR(INDEX($C$122:$G$122,MATCH($D$2,$C$114:$G$114,0)),""))</f>
        <v/>
      </c>
      <c r="L19" s="47" t="str">
        <f>IF(M19="","",IF($B$2="Todos",IF($B$4&gt;0,$B$4,IF($B$2="Todos",IF(COUNT($C$192:$G$192)=0,"",SUM($C$192:$G$192)),IFERROR(INDEX($C$192:$G$192,MATCH($D$2,$C$184:$G$184,0)),""))),IFERROR(INDEX($C$192:$G$192,MATCH($D$2,$C$184:$G$184,0)),"")))</f>
        <v/>
      </c>
      <c r="M19" s="32" t="str">
        <f>IF($B$2="Todos",IF(COUNT($C$157:$G$157)=0,"",SUM($C$157:$G$157)),IFERROR(INDEX($C$157:$G$157,MATCH($D$2,$C$149:$G$149,0)),""))</f>
        <v/>
      </c>
      <c r="N19" s="48" t="str">
        <f>IF(AND(ISNUMBER(M19),ISNUMBER(L19)),IF(L19&gt;0,M19/L19,""),"")</f>
        <v/>
      </c>
      <c r="O19" s="32" t="str">
        <f>IF($B$2="Todos",IF(COUNT($C$227:$G$227)=0,"",SUM($C$227:$G$227)),IFERROR(INDEX($C$227:$G$227,MATCH($D$2,$C$219:$G$219,0)),""))</f>
        <v/>
      </c>
      <c r="P19" s="32">
        <f>IF($B19="","",IF($B$2="Todos",SUMIFS(BD!$O$3:$O$5001,BD!$A$3:$A$5001,$B19),SUMIFS(BD!$O$3:$O$5001,BD!$A$3:$A$5001,$B19,BD!$B$3:$B$5001,$D$2)))</f>
        <v>0</v>
      </c>
      <c r="Q19" s="32">
        <f>IF($B19="","",IF($B$2="Todos",SUMIFS(BD!$P$3:$P$5001,BD!$A$3:$A$5001,$B19),SUMIFS(BD!$P$3:$P$5001,BD!$A$3:$A$5001,$B19,BD!$B$3:$B$5001,$D$2)))</f>
        <v>0</v>
      </c>
      <c r="R19" s="32">
        <f>IF($B19="","",IF($B$2="Todos",SUMIFS(BD!$Q$3:$Q$5001,BD!$A$3:$A$5001,$B19),SUMIFS(BD!$Q$3:$Q$5001,BD!$A$3:$A$5001,$B19,BD!$B$3:$B$5001,$D$2)))</f>
        <v>0</v>
      </c>
      <c r="S19" s="32">
        <f>IF($B19="","",IF($B$2="Todos",SUMIFS(BD!$R$3:$R$5001,BD!$A$3:$A$5001,$B19),SUMIFS(BD!$R$3:$R$5001,BD!$A$3:$A$5001,$B19,BD!$B$3:$B$5001,$D$2)))</f>
        <v>0</v>
      </c>
      <c r="T19" s="32">
        <f>IF($B19="","",IF($B$2="Todos",SUMIFS(BD!$S$3:$S$5001,BD!$A$3:$A$5001,$B19),SUMIFS(BD!$S$3:$S$5001,BD!$A$3:$A$5001,$B19,BD!$B$3:$B$5001,$D$2)))</f>
        <v>0</v>
      </c>
      <c r="U19" s="32">
        <f>IF($B19="","",IF($B$2="Todos",SUMIFS(BD!$T$3:$T$5001,BD!$A$3:$A$5001,$B19),SUMIFS(BD!$T$3:$T$5001,BD!$A$3:$A$5001,$B19,BD!$B$3:$B$5001,$D$2)))</f>
        <v>0</v>
      </c>
      <c r="V19" s="32">
        <f>IF($B19="","",IF($B$2="Todos",SUMIFS(BD!$U$3:$U$5001,BD!$A$3:$A$5001,$B19),SUMIFS(BD!$U$3:$U$5001,BD!$A$3:$A$5001,$B19,BD!$B$3:$B$5001,$D$2)))</f>
        <v>0</v>
      </c>
      <c r="W19" s="49">
        <f>$B$5</f>
        <v>0.7</v>
      </c>
      <c r="X19" s="49">
        <f>$B$6</f>
        <v>0.9</v>
      </c>
      <c r="AL19" s="29" t="inlineStr">
        <is>
          <t xml:space="preserve">AGOSTO · 2026</t>
        </is>
      </c>
      <c r="AX19" s="60">
        <f>IF(OR($B19="",N(VALUE($AH$295))=0),"",IF(INDEX($C19:$V19,VALUE($AH$295))="","",IF(N(VALUE($AJ$295))=0,INDEX($C19:$V19,VALUE($AH$295)),IF(N(INDEX($C19:$V19,N(VALUE($AJ$295))))&gt;0,INDEX($C19:$V19,VALUE($AH$295))/INDEX($C19:$V19,N(VALUE($AJ$295))),""))))</f>
        <v>0</v>
      </c>
      <c r="AY19" s="60">
        <f>IF(OR($B19="",N(VALUE($AI$295))=0),"",IF(INDEX($C19:$V19,VALUE($AI$295))="","",IF(N(VALUE($AK$295))=0,INDEX($C19:$V19,VALUE($AI$295)),IF(N(INDEX($C19:$V19,N(VALUE($AK$295))))&gt;0,INDEX($C19:$V19,VALUE($AI$295))/INDEX($C19:$V19,N(VALUE($AK$295))),""))))</f>
        <v>0</v>
      </c>
      <c r="AZ19" s="60">
        <f>IF(OR($B19="",N(VALUE($AP$295))=0),"",IF(INDEX($C19:$V19,VALUE($AP$295))="","",IF(N(VALUE($AR$295))=0,INDEX($C19:$V19,VALUE($AP$295)),IF(N(INDEX($C19:$V19,N(VALUE($AR$295))))&gt;0,INDEX($C19:$V19,VALUE($AP$295))/INDEX($C19:$V19,N(VALUE($AR$295))),""))))</f>
        <v>0</v>
      </c>
      <c r="BA19" s="60">
        <f>IF(OR($B19="",N(VALUE($AQ$295))=0),"",IF(INDEX($C19:$V19,VALUE($AQ$295))="","",IF(N(VALUE($AS$295))=0,INDEX($C19:$V19,VALUE($AQ$295)),IF(N(INDEX($C19:$V19,N(VALUE($AS$295))))&gt;0,INDEX($C19:$V19,VALUE($AQ$295))/INDEX($C19:$V19,N(VALUE($AS$295))),""))))</f>
        <v>0</v>
      </c>
      <c r="BC19" s="32" t="str">
        <f>IF(AND($A19=$B$9,ISNUMBER(L19)),L19,NA())</f>
        <v/>
      </c>
    </row>
    <row r="20">
      <c r="A20" s="28">
        <v>9</v>
      </c>
      <c r="B20" s="45">
        <f>IF($A20&lt;=DAY($D$7),$C$7+$A20-1,"")</f>
        <v>46304</v>
      </c>
      <c r="C20" s="32">
        <f>IF($B20="","",IF($B$2="Todos",SUMIFS(BD!$C$3:$C$5001,BD!$A$3:$A$5001,$B20),SUMIFS(BD!$C$3:$C$5001,BD!$A$3:$A$5001,$B20,BD!$B$3:$B$5001,$D$2)))</f>
        <v>0</v>
      </c>
      <c r="D20" s="32">
        <f>IF($B20="","",IF($B$2="Todos",SUMIFS(BD!$D$3:$D$5001,BD!$A$3:$A$5001,$B20),SUMIFS(BD!$D$3:$D$5001,BD!$A$3:$A$5001,$B20,BD!$B$3:$B$5001,$D$2)))</f>
        <v>0</v>
      </c>
      <c r="E20" s="46">
        <f>IF($B20="","",IF($B$2="Todos",SUMIFS(BD!$E$3:$E$5001,BD!$A$3:$A$5001,$B20),SUMIFS(BD!$E$3:$E$5001,BD!$A$3:$A$5001,$B20,BD!$B$3:$B$5001,$D$2)))</f>
        <v>0</v>
      </c>
      <c r="F20" s="32">
        <f>IF($B20="","",IF($B$2="Todos",SUMIFS(BD!$F$3:$F$5001,BD!$A$3:$A$5001,$B20),SUMIFS(BD!$F$3:$F$5001,BD!$A$3:$A$5001,$B20,BD!$B$3:$B$5001,$D$2)))</f>
        <v>0</v>
      </c>
      <c r="G20" s="32">
        <f>IF($B20="","",IF($B$2="Todos",SUMIFS(BD!$G$3:$G$5001,BD!$A$3:$A$5001,$B20),SUMIFS(BD!$G$3:$G$5001,BD!$A$3:$A$5001,$B20,BD!$B$3:$B$5001,$D$2)))</f>
        <v>0</v>
      </c>
      <c r="H20" s="46">
        <f>IF($B20="","",IF($B$2="Todos",SUMIFS(BD!$H$3:$H$5001,BD!$A$3:$A$5001,$B20),SUMIFS(BD!$H$3:$H$5001,BD!$A$3:$A$5001,$B20,BD!$B$3:$B$5001,$D$2)))</f>
        <v>0</v>
      </c>
      <c r="I20" s="32">
        <f>IF($B20="","",IF($B$2="Todos",SUMIFS(BD!$I$3:$I$5001,BD!$A$3:$A$5001,$B20),SUMIFS(BD!$I$3:$I$5001,BD!$A$3:$A$5001,$B20,BD!$B$3:$B$5001,$D$2)))</f>
        <v>0</v>
      </c>
      <c r="J20" s="32">
        <f>IF($B20="","",IF($B$2="Todos",SUMIFS(BD!$J$3:$J$5001,BD!$A$3:$A$5001,$B20),SUMIFS(BD!$J$3:$J$5001,BD!$A$3:$A$5001,$B20,BD!$B$3:$B$5001,$D$2)))</f>
        <v>0</v>
      </c>
      <c r="K20" s="32" t="str">
        <f>IF($B$2="Todos",IF(COUNT($C$123:$G$123)=0,"",SUM($C$123:$G$123)),IFERROR(INDEX($C$123:$G$123,MATCH($D$2,$C$114:$G$114,0)),""))</f>
        <v/>
      </c>
      <c r="L20" s="47" t="str">
        <f>IF(M20="","",IF($B$2="Todos",IF($B$4&gt;0,$B$4,IF($B$2="Todos",IF(COUNT($C$193:$G$193)=0,"",SUM($C$193:$G$193)),IFERROR(INDEX($C$193:$G$193,MATCH($D$2,$C$184:$G$184,0)),""))),IFERROR(INDEX($C$193:$G$193,MATCH($D$2,$C$184:$G$184,0)),"")))</f>
        <v/>
      </c>
      <c r="M20" s="32" t="str">
        <f>IF($B$2="Todos",IF(COUNT($C$158:$G$158)=0,"",SUM($C$158:$G$158)),IFERROR(INDEX($C$158:$G$158,MATCH($D$2,$C$149:$G$149,0)),""))</f>
        <v/>
      </c>
      <c r="N20" s="48" t="str">
        <f>IF(AND(ISNUMBER(M20),ISNUMBER(L20)),IF(L20&gt;0,M20/L20,""),"")</f>
        <v/>
      </c>
      <c r="O20" s="32" t="str">
        <f>IF($B$2="Todos",IF(COUNT($C$228:$G$228)=0,"",SUM($C$228:$G$228)),IFERROR(INDEX($C$228:$G$228,MATCH($D$2,$C$219:$G$219,0)),""))</f>
        <v/>
      </c>
      <c r="P20" s="32">
        <f>IF($B20="","",IF($B$2="Todos",SUMIFS(BD!$O$3:$O$5001,BD!$A$3:$A$5001,$B20),SUMIFS(BD!$O$3:$O$5001,BD!$A$3:$A$5001,$B20,BD!$B$3:$B$5001,$D$2)))</f>
        <v>0</v>
      </c>
      <c r="Q20" s="32">
        <f>IF($B20="","",IF($B$2="Todos",SUMIFS(BD!$P$3:$P$5001,BD!$A$3:$A$5001,$B20),SUMIFS(BD!$P$3:$P$5001,BD!$A$3:$A$5001,$B20,BD!$B$3:$B$5001,$D$2)))</f>
        <v>0</v>
      </c>
      <c r="R20" s="32">
        <f>IF($B20="","",IF($B$2="Todos",SUMIFS(BD!$Q$3:$Q$5001,BD!$A$3:$A$5001,$B20),SUMIFS(BD!$Q$3:$Q$5001,BD!$A$3:$A$5001,$B20,BD!$B$3:$B$5001,$D$2)))</f>
        <v>0</v>
      </c>
      <c r="S20" s="32">
        <f>IF($B20="","",IF($B$2="Todos",SUMIFS(BD!$R$3:$R$5001,BD!$A$3:$A$5001,$B20),SUMIFS(BD!$R$3:$R$5001,BD!$A$3:$A$5001,$B20,BD!$B$3:$B$5001,$D$2)))</f>
        <v>0</v>
      </c>
      <c r="T20" s="32">
        <f>IF($B20="","",IF($B$2="Todos",SUMIFS(BD!$S$3:$S$5001,BD!$A$3:$A$5001,$B20),SUMIFS(BD!$S$3:$S$5001,BD!$A$3:$A$5001,$B20,BD!$B$3:$B$5001,$D$2)))</f>
        <v>0</v>
      </c>
      <c r="U20" s="32">
        <f>IF($B20="","",IF($B$2="Todos",SUMIFS(BD!$T$3:$T$5001,BD!$A$3:$A$5001,$B20),SUMIFS(BD!$T$3:$T$5001,BD!$A$3:$A$5001,$B20,BD!$B$3:$B$5001,$D$2)))</f>
        <v>0</v>
      </c>
      <c r="V20" s="32">
        <f>IF($B20="","",IF($B$2="Todos",SUMIFS(BD!$U$3:$U$5001,BD!$A$3:$A$5001,$B20),SUMIFS(BD!$U$3:$U$5001,BD!$A$3:$A$5001,$B20,BD!$B$3:$B$5001,$D$2)))</f>
        <v>0</v>
      </c>
      <c r="W20" s="49">
        <f>$B$5</f>
        <v>0.7</v>
      </c>
      <c r="X20" s="49">
        <f>$B$6</f>
        <v>0.9</v>
      </c>
      <c r="AL20" s="29" t="inlineStr">
        <is>
          <t xml:space="preserve">SETEMBRO · 2026</t>
        </is>
      </c>
      <c r="AX20" s="60">
        <f>IF(OR($B20="",N(VALUE($AH$295))=0),"",IF(INDEX($C20:$V20,VALUE($AH$295))="","",IF(N(VALUE($AJ$295))=0,INDEX($C20:$V20,VALUE($AH$295)),IF(N(INDEX($C20:$V20,N(VALUE($AJ$295))))&gt;0,INDEX($C20:$V20,VALUE($AH$295))/INDEX($C20:$V20,N(VALUE($AJ$295))),""))))</f>
        <v>0</v>
      </c>
      <c r="AY20" s="60">
        <f>IF(OR($B20="",N(VALUE($AI$295))=0),"",IF(INDEX($C20:$V20,VALUE($AI$295))="","",IF(N(VALUE($AK$295))=0,INDEX($C20:$V20,VALUE($AI$295)),IF(N(INDEX($C20:$V20,N(VALUE($AK$295))))&gt;0,INDEX($C20:$V20,VALUE($AI$295))/INDEX($C20:$V20,N(VALUE($AK$295))),""))))</f>
        <v>0</v>
      </c>
      <c r="AZ20" s="60">
        <f>IF(OR($B20="",N(VALUE($AP$295))=0),"",IF(INDEX($C20:$V20,VALUE($AP$295))="","",IF(N(VALUE($AR$295))=0,INDEX($C20:$V20,VALUE($AP$295)),IF(N(INDEX($C20:$V20,N(VALUE($AR$295))))&gt;0,INDEX($C20:$V20,VALUE($AP$295))/INDEX($C20:$V20,N(VALUE($AR$295))),""))))</f>
        <v>0</v>
      </c>
      <c r="BA20" s="60">
        <f>IF(OR($B20="",N(VALUE($AQ$295))=0),"",IF(INDEX($C20:$V20,VALUE($AQ$295))="","",IF(N(VALUE($AS$295))=0,INDEX($C20:$V20,VALUE($AQ$295)),IF(N(INDEX($C20:$V20,N(VALUE($AS$295))))&gt;0,INDEX($C20:$V20,VALUE($AQ$295))/INDEX($C20:$V20,N(VALUE($AS$295))),""))))</f>
        <v>0</v>
      </c>
      <c r="BC20" s="32" t="str">
        <f>IF(AND($A20=$B$9,ISNUMBER(L20)),L20,NA())</f>
        <v/>
      </c>
    </row>
    <row r="21">
      <c r="A21" s="28">
        <v>10</v>
      </c>
      <c r="B21" s="45">
        <f>IF($A21&lt;=DAY($D$7),$C$7+$A21-1,"")</f>
        <v>46305</v>
      </c>
      <c r="C21" s="32">
        <f>IF($B21="","",IF($B$2="Todos",SUMIFS(BD!$C$3:$C$5001,BD!$A$3:$A$5001,$B21),SUMIFS(BD!$C$3:$C$5001,BD!$A$3:$A$5001,$B21,BD!$B$3:$B$5001,$D$2)))</f>
        <v>0</v>
      </c>
      <c r="D21" s="32">
        <f>IF($B21="","",IF($B$2="Todos",SUMIFS(BD!$D$3:$D$5001,BD!$A$3:$A$5001,$B21),SUMIFS(BD!$D$3:$D$5001,BD!$A$3:$A$5001,$B21,BD!$B$3:$B$5001,$D$2)))</f>
        <v>0</v>
      </c>
      <c r="E21" s="46">
        <f>IF($B21="","",IF($B$2="Todos",SUMIFS(BD!$E$3:$E$5001,BD!$A$3:$A$5001,$B21),SUMIFS(BD!$E$3:$E$5001,BD!$A$3:$A$5001,$B21,BD!$B$3:$B$5001,$D$2)))</f>
        <v>0</v>
      </c>
      <c r="F21" s="32">
        <f>IF($B21="","",IF($B$2="Todos",SUMIFS(BD!$F$3:$F$5001,BD!$A$3:$A$5001,$B21),SUMIFS(BD!$F$3:$F$5001,BD!$A$3:$A$5001,$B21,BD!$B$3:$B$5001,$D$2)))</f>
        <v>0</v>
      </c>
      <c r="G21" s="32">
        <f>IF($B21="","",IF($B$2="Todos",SUMIFS(BD!$G$3:$G$5001,BD!$A$3:$A$5001,$B21),SUMIFS(BD!$G$3:$G$5001,BD!$A$3:$A$5001,$B21,BD!$B$3:$B$5001,$D$2)))</f>
        <v>0</v>
      </c>
      <c r="H21" s="46">
        <f>IF($B21="","",IF($B$2="Todos",SUMIFS(BD!$H$3:$H$5001,BD!$A$3:$A$5001,$B21),SUMIFS(BD!$H$3:$H$5001,BD!$A$3:$A$5001,$B21,BD!$B$3:$B$5001,$D$2)))</f>
        <v>0</v>
      </c>
      <c r="I21" s="32">
        <f>IF($B21="","",IF($B$2="Todos",SUMIFS(BD!$I$3:$I$5001,BD!$A$3:$A$5001,$B21),SUMIFS(BD!$I$3:$I$5001,BD!$A$3:$A$5001,$B21,BD!$B$3:$B$5001,$D$2)))</f>
        <v>0</v>
      </c>
      <c r="J21" s="32">
        <f>IF($B21="","",IF($B$2="Todos",SUMIFS(BD!$J$3:$J$5001,BD!$A$3:$A$5001,$B21),SUMIFS(BD!$J$3:$J$5001,BD!$A$3:$A$5001,$B21,BD!$B$3:$B$5001,$D$2)))</f>
        <v>0</v>
      </c>
      <c r="K21" s="32" t="str">
        <f>IF($B$2="Todos",IF(COUNT($C$124:$G$124)=0,"",SUM($C$124:$G$124)),IFERROR(INDEX($C$124:$G$124,MATCH($D$2,$C$114:$G$114,0)),""))</f>
        <v/>
      </c>
      <c r="L21" s="47" t="str">
        <f>IF(M21="","",IF($B$2="Todos",IF($B$4&gt;0,$B$4,IF($B$2="Todos",IF(COUNT($C$194:$G$194)=0,"",SUM($C$194:$G$194)),IFERROR(INDEX($C$194:$G$194,MATCH($D$2,$C$184:$G$184,0)),""))),IFERROR(INDEX($C$194:$G$194,MATCH($D$2,$C$184:$G$184,0)),"")))</f>
        <v/>
      </c>
      <c r="M21" s="32" t="str">
        <f>IF($B$2="Todos",IF(COUNT($C$159:$G$159)=0,"",SUM($C$159:$G$159)),IFERROR(INDEX($C$159:$G$159,MATCH($D$2,$C$149:$G$149,0)),""))</f>
        <v/>
      </c>
      <c r="N21" s="48" t="str">
        <f>IF(AND(ISNUMBER(M21),ISNUMBER(L21)),IF(L21&gt;0,M21/L21,""),"")</f>
        <v/>
      </c>
      <c r="O21" s="32" t="str">
        <f>IF($B$2="Todos",IF(COUNT($C$229:$G$229)=0,"",SUM($C$229:$G$229)),IFERROR(INDEX($C$229:$G$229,MATCH($D$2,$C$219:$G$219,0)),""))</f>
        <v/>
      </c>
      <c r="P21" s="32">
        <f>IF($B21="","",IF($B$2="Todos",SUMIFS(BD!$O$3:$O$5001,BD!$A$3:$A$5001,$B21),SUMIFS(BD!$O$3:$O$5001,BD!$A$3:$A$5001,$B21,BD!$B$3:$B$5001,$D$2)))</f>
        <v>0</v>
      </c>
      <c r="Q21" s="32">
        <f>IF($B21="","",IF($B$2="Todos",SUMIFS(BD!$P$3:$P$5001,BD!$A$3:$A$5001,$B21),SUMIFS(BD!$P$3:$P$5001,BD!$A$3:$A$5001,$B21,BD!$B$3:$B$5001,$D$2)))</f>
        <v>0</v>
      </c>
      <c r="R21" s="32">
        <f>IF($B21="","",IF($B$2="Todos",SUMIFS(BD!$Q$3:$Q$5001,BD!$A$3:$A$5001,$B21),SUMIFS(BD!$Q$3:$Q$5001,BD!$A$3:$A$5001,$B21,BD!$B$3:$B$5001,$D$2)))</f>
        <v>0</v>
      </c>
      <c r="S21" s="32">
        <f>IF($B21="","",IF($B$2="Todos",SUMIFS(BD!$R$3:$R$5001,BD!$A$3:$A$5001,$B21),SUMIFS(BD!$R$3:$R$5001,BD!$A$3:$A$5001,$B21,BD!$B$3:$B$5001,$D$2)))</f>
        <v>0</v>
      </c>
      <c r="T21" s="32">
        <f>IF($B21="","",IF($B$2="Todos",SUMIFS(BD!$S$3:$S$5001,BD!$A$3:$A$5001,$B21),SUMIFS(BD!$S$3:$S$5001,BD!$A$3:$A$5001,$B21,BD!$B$3:$B$5001,$D$2)))</f>
        <v>0</v>
      </c>
      <c r="U21" s="32">
        <f>IF($B21="","",IF($B$2="Todos",SUMIFS(BD!$T$3:$T$5001,BD!$A$3:$A$5001,$B21),SUMIFS(BD!$T$3:$T$5001,BD!$A$3:$A$5001,$B21,BD!$B$3:$B$5001,$D$2)))</f>
        <v>0</v>
      </c>
      <c r="V21" s="32">
        <f>IF($B21="","",IF($B$2="Todos",SUMIFS(BD!$U$3:$U$5001,BD!$A$3:$A$5001,$B21),SUMIFS(BD!$U$3:$U$5001,BD!$A$3:$A$5001,$B21,BD!$B$3:$B$5001,$D$2)))</f>
        <v>0</v>
      </c>
      <c r="W21" s="49">
        <f>$B$5</f>
        <v>0.7</v>
      </c>
      <c r="X21" s="49">
        <f>$B$6</f>
        <v>0.9</v>
      </c>
      <c r="AL21" s="29" t="inlineStr">
        <is>
          <t xml:space="preserve">OUTUBRO · 2026</t>
        </is>
      </c>
      <c r="AX21" s="60">
        <f>IF(OR($B21="",N(VALUE($AH$295))=0),"",IF(INDEX($C21:$V21,VALUE($AH$295))="","",IF(N(VALUE($AJ$295))=0,INDEX($C21:$V21,VALUE($AH$295)),IF(N(INDEX($C21:$V21,N(VALUE($AJ$295))))&gt;0,INDEX($C21:$V21,VALUE($AH$295))/INDEX($C21:$V21,N(VALUE($AJ$295))),""))))</f>
        <v>0</v>
      </c>
      <c r="AY21" s="60">
        <f>IF(OR($B21="",N(VALUE($AI$295))=0),"",IF(INDEX($C21:$V21,VALUE($AI$295))="","",IF(N(VALUE($AK$295))=0,INDEX($C21:$V21,VALUE($AI$295)),IF(N(INDEX($C21:$V21,N(VALUE($AK$295))))&gt;0,INDEX($C21:$V21,VALUE($AI$295))/INDEX($C21:$V21,N(VALUE($AK$295))),""))))</f>
        <v>0</v>
      </c>
      <c r="AZ21" s="60">
        <f>IF(OR($B21="",N(VALUE($AP$295))=0),"",IF(INDEX($C21:$V21,VALUE($AP$295))="","",IF(N(VALUE($AR$295))=0,INDEX($C21:$V21,VALUE($AP$295)),IF(N(INDEX($C21:$V21,N(VALUE($AR$295))))&gt;0,INDEX($C21:$V21,VALUE($AP$295))/INDEX($C21:$V21,N(VALUE($AR$295))),""))))</f>
        <v>0</v>
      </c>
      <c r="BA21" s="60">
        <f>IF(OR($B21="",N(VALUE($AQ$295))=0),"",IF(INDEX($C21:$V21,VALUE($AQ$295))="","",IF(N(VALUE($AS$295))=0,INDEX($C21:$V21,VALUE($AQ$295)),IF(N(INDEX($C21:$V21,N(VALUE($AS$295))))&gt;0,INDEX($C21:$V21,VALUE($AQ$295))/INDEX($C21:$V21,N(VALUE($AS$295))),""))))</f>
        <v>0</v>
      </c>
      <c r="BC21" s="32" t="str">
        <f>IF(AND($A21=$B$9,ISNUMBER(L21)),L21,NA())</f>
        <v/>
      </c>
    </row>
    <row r="22">
      <c r="A22" s="28">
        <v>11</v>
      </c>
      <c r="B22" s="45">
        <f>IF($A22&lt;=DAY($D$7),$C$7+$A22-1,"")</f>
        <v>46306</v>
      </c>
      <c r="C22" s="32">
        <f>IF($B22="","",IF($B$2="Todos",SUMIFS(BD!$C$3:$C$5001,BD!$A$3:$A$5001,$B22),SUMIFS(BD!$C$3:$C$5001,BD!$A$3:$A$5001,$B22,BD!$B$3:$B$5001,$D$2)))</f>
        <v>0</v>
      </c>
      <c r="D22" s="32">
        <f>IF($B22="","",IF($B$2="Todos",SUMIFS(BD!$D$3:$D$5001,BD!$A$3:$A$5001,$B22),SUMIFS(BD!$D$3:$D$5001,BD!$A$3:$A$5001,$B22,BD!$B$3:$B$5001,$D$2)))</f>
        <v>0</v>
      </c>
      <c r="E22" s="46">
        <f>IF($B22="","",IF($B$2="Todos",SUMIFS(BD!$E$3:$E$5001,BD!$A$3:$A$5001,$B22),SUMIFS(BD!$E$3:$E$5001,BD!$A$3:$A$5001,$B22,BD!$B$3:$B$5001,$D$2)))</f>
        <v>0</v>
      </c>
      <c r="F22" s="32">
        <f>IF($B22="","",IF($B$2="Todos",SUMIFS(BD!$F$3:$F$5001,BD!$A$3:$A$5001,$B22),SUMIFS(BD!$F$3:$F$5001,BD!$A$3:$A$5001,$B22,BD!$B$3:$B$5001,$D$2)))</f>
        <v>0</v>
      </c>
      <c r="G22" s="32">
        <f>IF($B22="","",IF($B$2="Todos",SUMIFS(BD!$G$3:$G$5001,BD!$A$3:$A$5001,$B22),SUMIFS(BD!$G$3:$G$5001,BD!$A$3:$A$5001,$B22,BD!$B$3:$B$5001,$D$2)))</f>
        <v>0</v>
      </c>
      <c r="H22" s="46">
        <f>IF($B22="","",IF($B$2="Todos",SUMIFS(BD!$H$3:$H$5001,BD!$A$3:$A$5001,$B22),SUMIFS(BD!$H$3:$H$5001,BD!$A$3:$A$5001,$B22,BD!$B$3:$B$5001,$D$2)))</f>
        <v>0</v>
      </c>
      <c r="I22" s="32">
        <f>IF($B22="","",IF($B$2="Todos",SUMIFS(BD!$I$3:$I$5001,BD!$A$3:$A$5001,$B22),SUMIFS(BD!$I$3:$I$5001,BD!$A$3:$A$5001,$B22,BD!$B$3:$B$5001,$D$2)))</f>
        <v>0</v>
      </c>
      <c r="J22" s="32">
        <f>IF($B22="","",IF($B$2="Todos",SUMIFS(BD!$J$3:$J$5001,BD!$A$3:$A$5001,$B22),SUMIFS(BD!$J$3:$J$5001,BD!$A$3:$A$5001,$B22,BD!$B$3:$B$5001,$D$2)))</f>
        <v>0</v>
      </c>
      <c r="K22" s="32" t="str">
        <f>IF($B$2="Todos",IF(COUNT($C$125:$G$125)=0,"",SUM($C$125:$G$125)),IFERROR(INDEX($C$125:$G$125,MATCH($D$2,$C$114:$G$114,0)),""))</f>
        <v/>
      </c>
      <c r="L22" s="47" t="str">
        <f>IF(M22="","",IF($B$2="Todos",IF($B$4&gt;0,$B$4,IF($B$2="Todos",IF(COUNT($C$195:$G$195)=0,"",SUM($C$195:$G$195)),IFERROR(INDEX($C$195:$G$195,MATCH($D$2,$C$184:$G$184,0)),""))),IFERROR(INDEX($C$195:$G$195,MATCH($D$2,$C$184:$G$184,0)),"")))</f>
        <v/>
      </c>
      <c r="M22" s="32" t="str">
        <f>IF($B$2="Todos",IF(COUNT($C$160:$G$160)=0,"",SUM($C$160:$G$160)),IFERROR(INDEX($C$160:$G$160,MATCH($D$2,$C$149:$G$149,0)),""))</f>
        <v/>
      </c>
      <c r="N22" s="48" t="str">
        <f>IF(AND(ISNUMBER(M22),ISNUMBER(L22)),IF(L22&gt;0,M22/L22,""),"")</f>
        <v/>
      </c>
      <c r="O22" s="32" t="str">
        <f>IF($B$2="Todos",IF(COUNT($C$230:$G$230)=0,"",SUM($C$230:$G$230)),IFERROR(INDEX($C$230:$G$230,MATCH($D$2,$C$219:$G$219,0)),""))</f>
        <v/>
      </c>
      <c r="P22" s="32">
        <f>IF($B22="","",IF($B$2="Todos",SUMIFS(BD!$O$3:$O$5001,BD!$A$3:$A$5001,$B22),SUMIFS(BD!$O$3:$O$5001,BD!$A$3:$A$5001,$B22,BD!$B$3:$B$5001,$D$2)))</f>
        <v>0</v>
      </c>
      <c r="Q22" s="32">
        <f>IF($B22="","",IF($B$2="Todos",SUMIFS(BD!$P$3:$P$5001,BD!$A$3:$A$5001,$B22),SUMIFS(BD!$P$3:$P$5001,BD!$A$3:$A$5001,$B22,BD!$B$3:$B$5001,$D$2)))</f>
        <v>0</v>
      </c>
      <c r="R22" s="32">
        <f>IF($B22="","",IF($B$2="Todos",SUMIFS(BD!$Q$3:$Q$5001,BD!$A$3:$A$5001,$B22),SUMIFS(BD!$Q$3:$Q$5001,BD!$A$3:$A$5001,$B22,BD!$B$3:$B$5001,$D$2)))</f>
        <v>0</v>
      </c>
      <c r="S22" s="32">
        <f>IF($B22="","",IF($B$2="Todos",SUMIFS(BD!$R$3:$R$5001,BD!$A$3:$A$5001,$B22),SUMIFS(BD!$R$3:$R$5001,BD!$A$3:$A$5001,$B22,BD!$B$3:$B$5001,$D$2)))</f>
        <v>0</v>
      </c>
      <c r="T22" s="32">
        <f>IF($B22="","",IF($B$2="Todos",SUMIFS(BD!$S$3:$S$5001,BD!$A$3:$A$5001,$B22),SUMIFS(BD!$S$3:$S$5001,BD!$A$3:$A$5001,$B22,BD!$B$3:$B$5001,$D$2)))</f>
        <v>0</v>
      </c>
      <c r="U22" s="32">
        <f>IF($B22="","",IF($B$2="Todos",SUMIFS(BD!$T$3:$T$5001,BD!$A$3:$A$5001,$B22),SUMIFS(BD!$T$3:$T$5001,BD!$A$3:$A$5001,$B22,BD!$B$3:$B$5001,$D$2)))</f>
        <v>0</v>
      </c>
      <c r="V22" s="32">
        <f>IF($B22="","",IF($B$2="Todos",SUMIFS(BD!$U$3:$U$5001,BD!$A$3:$A$5001,$B22),SUMIFS(BD!$U$3:$U$5001,BD!$A$3:$A$5001,$B22,BD!$B$3:$B$5001,$D$2)))</f>
        <v>0</v>
      </c>
      <c r="W22" s="49">
        <f>$B$5</f>
        <v>0.7</v>
      </c>
      <c r="X22" s="49">
        <f>$B$6</f>
        <v>0.9</v>
      </c>
      <c r="AL22" s="29" t="inlineStr">
        <is>
          <t xml:space="preserve">NOVEMBRO · 2026</t>
        </is>
      </c>
      <c r="AX22" s="60">
        <f>IF(OR($B22="",N(VALUE($AH$295))=0),"",IF(INDEX($C22:$V22,VALUE($AH$295))="","",IF(N(VALUE($AJ$295))=0,INDEX($C22:$V22,VALUE($AH$295)),IF(N(INDEX($C22:$V22,N(VALUE($AJ$295))))&gt;0,INDEX($C22:$V22,VALUE($AH$295))/INDEX($C22:$V22,N(VALUE($AJ$295))),""))))</f>
        <v>0</v>
      </c>
      <c r="AY22" s="60">
        <f>IF(OR($B22="",N(VALUE($AI$295))=0),"",IF(INDEX($C22:$V22,VALUE($AI$295))="","",IF(N(VALUE($AK$295))=0,INDEX($C22:$V22,VALUE($AI$295)),IF(N(INDEX($C22:$V22,N(VALUE($AK$295))))&gt;0,INDEX($C22:$V22,VALUE($AI$295))/INDEX($C22:$V22,N(VALUE($AK$295))),""))))</f>
        <v>0</v>
      </c>
      <c r="AZ22" s="60">
        <f>IF(OR($B22="",N(VALUE($AP$295))=0),"",IF(INDEX($C22:$V22,VALUE($AP$295))="","",IF(N(VALUE($AR$295))=0,INDEX($C22:$V22,VALUE($AP$295)),IF(N(INDEX($C22:$V22,N(VALUE($AR$295))))&gt;0,INDEX($C22:$V22,VALUE($AP$295))/INDEX($C22:$V22,N(VALUE($AR$295))),""))))</f>
        <v>0</v>
      </c>
      <c r="BA22" s="60">
        <f>IF(OR($B22="",N(VALUE($AQ$295))=0),"",IF(INDEX($C22:$V22,VALUE($AQ$295))="","",IF(N(VALUE($AS$295))=0,INDEX($C22:$V22,VALUE($AQ$295)),IF(N(INDEX($C22:$V22,N(VALUE($AS$295))))&gt;0,INDEX($C22:$V22,VALUE($AQ$295))/INDEX($C22:$V22,N(VALUE($AS$295))),""))))</f>
        <v>0</v>
      </c>
      <c r="BC22" s="32" t="str">
        <f>IF(AND($A22=$B$9,ISNUMBER(L22)),L22,NA())</f>
        <v/>
      </c>
    </row>
    <row r="23">
      <c r="A23" s="28">
        <v>12</v>
      </c>
      <c r="B23" s="45">
        <f>IF($A23&lt;=DAY($D$7),$C$7+$A23-1,"")</f>
        <v>46307</v>
      </c>
      <c r="C23" s="32">
        <f>IF($B23="","",IF($B$2="Todos",SUMIFS(BD!$C$3:$C$5001,BD!$A$3:$A$5001,$B23),SUMIFS(BD!$C$3:$C$5001,BD!$A$3:$A$5001,$B23,BD!$B$3:$B$5001,$D$2)))</f>
        <v>0</v>
      </c>
      <c r="D23" s="32">
        <f>IF($B23="","",IF($B$2="Todos",SUMIFS(BD!$D$3:$D$5001,BD!$A$3:$A$5001,$B23),SUMIFS(BD!$D$3:$D$5001,BD!$A$3:$A$5001,$B23,BD!$B$3:$B$5001,$D$2)))</f>
        <v>0</v>
      </c>
      <c r="E23" s="46">
        <f>IF($B23="","",IF($B$2="Todos",SUMIFS(BD!$E$3:$E$5001,BD!$A$3:$A$5001,$B23),SUMIFS(BD!$E$3:$E$5001,BD!$A$3:$A$5001,$B23,BD!$B$3:$B$5001,$D$2)))</f>
        <v>0</v>
      </c>
      <c r="F23" s="32">
        <f>IF($B23="","",IF($B$2="Todos",SUMIFS(BD!$F$3:$F$5001,BD!$A$3:$A$5001,$B23),SUMIFS(BD!$F$3:$F$5001,BD!$A$3:$A$5001,$B23,BD!$B$3:$B$5001,$D$2)))</f>
        <v>0</v>
      </c>
      <c r="G23" s="32">
        <f>IF($B23="","",IF($B$2="Todos",SUMIFS(BD!$G$3:$G$5001,BD!$A$3:$A$5001,$B23),SUMIFS(BD!$G$3:$G$5001,BD!$A$3:$A$5001,$B23,BD!$B$3:$B$5001,$D$2)))</f>
        <v>0</v>
      </c>
      <c r="H23" s="46">
        <f>IF($B23="","",IF($B$2="Todos",SUMIFS(BD!$H$3:$H$5001,BD!$A$3:$A$5001,$B23),SUMIFS(BD!$H$3:$H$5001,BD!$A$3:$A$5001,$B23,BD!$B$3:$B$5001,$D$2)))</f>
        <v>0</v>
      </c>
      <c r="I23" s="32">
        <f>IF($B23="","",IF($B$2="Todos",SUMIFS(BD!$I$3:$I$5001,BD!$A$3:$A$5001,$B23),SUMIFS(BD!$I$3:$I$5001,BD!$A$3:$A$5001,$B23,BD!$B$3:$B$5001,$D$2)))</f>
        <v>0</v>
      </c>
      <c r="J23" s="32">
        <f>IF($B23="","",IF($B$2="Todos",SUMIFS(BD!$J$3:$J$5001,BD!$A$3:$A$5001,$B23),SUMIFS(BD!$J$3:$J$5001,BD!$A$3:$A$5001,$B23,BD!$B$3:$B$5001,$D$2)))</f>
        <v>0</v>
      </c>
      <c r="K23" s="32" t="str">
        <f>IF($B$2="Todos",IF(COUNT($C$126:$G$126)=0,"",SUM($C$126:$G$126)),IFERROR(INDEX($C$126:$G$126,MATCH($D$2,$C$114:$G$114,0)),""))</f>
        <v/>
      </c>
      <c r="L23" s="47" t="str">
        <f>IF(M23="","",IF($B$2="Todos",IF($B$4&gt;0,$B$4,IF($B$2="Todos",IF(COUNT($C$196:$G$196)=0,"",SUM($C$196:$G$196)),IFERROR(INDEX($C$196:$G$196,MATCH($D$2,$C$184:$G$184,0)),""))),IFERROR(INDEX($C$196:$G$196,MATCH($D$2,$C$184:$G$184,0)),"")))</f>
        <v/>
      </c>
      <c r="M23" s="32" t="str">
        <f>IF($B$2="Todos",IF(COUNT($C$161:$G$161)=0,"",SUM($C$161:$G$161)),IFERROR(INDEX($C$161:$G$161,MATCH($D$2,$C$149:$G$149,0)),""))</f>
        <v/>
      </c>
      <c r="N23" s="48" t="str">
        <f>IF(AND(ISNUMBER(M23),ISNUMBER(L23)),IF(L23&gt;0,M23/L23,""),"")</f>
        <v/>
      </c>
      <c r="O23" s="32" t="str">
        <f>IF($B$2="Todos",IF(COUNT($C$231:$G$231)=0,"",SUM($C$231:$G$231)),IFERROR(INDEX($C$231:$G$231,MATCH($D$2,$C$219:$G$219,0)),""))</f>
        <v/>
      </c>
      <c r="P23" s="32">
        <f>IF($B23="","",IF($B$2="Todos",SUMIFS(BD!$O$3:$O$5001,BD!$A$3:$A$5001,$B23),SUMIFS(BD!$O$3:$O$5001,BD!$A$3:$A$5001,$B23,BD!$B$3:$B$5001,$D$2)))</f>
        <v>0</v>
      </c>
      <c r="Q23" s="32">
        <f>IF($B23="","",IF($B$2="Todos",SUMIFS(BD!$P$3:$P$5001,BD!$A$3:$A$5001,$B23),SUMIFS(BD!$P$3:$P$5001,BD!$A$3:$A$5001,$B23,BD!$B$3:$B$5001,$D$2)))</f>
        <v>0</v>
      </c>
      <c r="R23" s="32">
        <f>IF($B23="","",IF($B$2="Todos",SUMIFS(BD!$Q$3:$Q$5001,BD!$A$3:$A$5001,$B23),SUMIFS(BD!$Q$3:$Q$5001,BD!$A$3:$A$5001,$B23,BD!$B$3:$B$5001,$D$2)))</f>
        <v>0</v>
      </c>
      <c r="S23" s="32">
        <f>IF($B23="","",IF($B$2="Todos",SUMIFS(BD!$R$3:$R$5001,BD!$A$3:$A$5001,$B23),SUMIFS(BD!$R$3:$R$5001,BD!$A$3:$A$5001,$B23,BD!$B$3:$B$5001,$D$2)))</f>
        <v>0</v>
      </c>
      <c r="T23" s="32">
        <f>IF($B23="","",IF($B$2="Todos",SUMIFS(BD!$S$3:$S$5001,BD!$A$3:$A$5001,$B23),SUMIFS(BD!$S$3:$S$5001,BD!$A$3:$A$5001,$B23,BD!$B$3:$B$5001,$D$2)))</f>
        <v>0</v>
      </c>
      <c r="U23" s="32">
        <f>IF($B23="","",IF($B$2="Todos",SUMIFS(BD!$T$3:$T$5001,BD!$A$3:$A$5001,$B23),SUMIFS(BD!$T$3:$T$5001,BD!$A$3:$A$5001,$B23,BD!$B$3:$B$5001,$D$2)))</f>
        <v>0</v>
      </c>
      <c r="V23" s="32">
        <f>IF($B23="","",IF($B$2="Todos",SUMIFS(BD!$U$3:$U$5001,BD!$A$3:$A$5001,$B23),SUMIFS(BD!$U$3:$U$5001,BD!$A$3:$A$5001,$B23,BD!$B$3:$B$5001,$D$2)))</f>
        <v>0</v>
      </c>
      <c r="W23" s="49">
        <f>$B$5</f>
        <v>0.7</v>
      </c>
      <c r="X23" s="49">
        <f>$B$6</f>
        <v>0.9</v>
      </c>
      <c r="AL23" s="29" t="inlineStr">
        <is>
          <t xml:space="preserve">DEZEMBRO · 2026</t>
        </is>
      </c>
      <c r="AX23" s="60">
        <f>IF(OR($B23="",N(VALUE($AH$295))=0),"",IF(INDEX($C23:$V23,VALUE($AH$295))="","",IF(N(VALUE($AJ$295))=0,INDEX($C23:$V23,VALUE($AH$295)),IF(N(INDEX($C23:$V23,N(VALUE($AJ$295))))&gt;0,INDEX($C23:$V23,VALUE($AH$295))/INDEX($C23:$V23,N(VALUE($AJ$295))),""))))</f>
        <v>0</v>
      </c>
      <c r="AY23" s="60">
        <f>IF(OR($B23="",N(VALUE($AI$295))=0),"",IF(INDEX($C23:$V23,VALUE($AI$295))="","",IF(N(VALUE($AK$295))=0,INDEX($C23:$V23,VALUE($AI$295)),IF(N(INDEX($C23:$V23,N(VALUE($AK$295))))&gt;0,INDEX($C23:$V23,VALUE($AI$295))/INDEX($C23:$V23,N(VALUE($AK$295))),""))))</f>
        <v>0</v>
      </c>
      <c r="AZ23" s="60">
        <f>IF(OR($B23="",N(VALUE($AP$295))=0),"",IF(INDEX($C23:$V23,VALUE($AP$295))="","",IF(N(VALUE($AR$295))=0,INDEX($C23:$V23,VALUE($AP$295)),IF(N(INDEX($C23:$V23,N(VALUE($AR$295))))&gt;0,INDEX($C23:$V23,VALUE($AP$295))/INDEX($C23:$V23,N(VALUE($AR$295))),""))))</f>
        <v>0</v>
      </c>
      <c r="BA23" s="60">
        <f>IF(OR($B23="",N(VALUE($AQ$295))=0),"",IF(INDEX($C23:$V23,VALUE($AQ$295))="","",IF(N(VALUE($AS$295))=0,INDEX($C23:$V23,VALUE($AQ$295)),IF(N(INDEX($C23:$V23,N(VALUE($AS$295))))&gt;0,INDEX($C23:$V23,VALUE($AQ$295))/INDEX($C23:$V23,N(VALUE($AS$295))),""))))</f>
        <v>0</v>
      </c>
      <c r="BC23" s="32" t="str">
        <f>IF(AND($A23=$B$9,ISNUMBER(L23)),L23,NA())</f>
        <v/>
      </c>
    </row>
    <row r="24">
      <c r="A24" s="28">
        <v>13</v>
      </c>
      <c r="B24" s="45">
        <f>IF($A24&lt;=DAY($D$7),$C$7+$A24-1,"")</f>
        <v>46308</v>
      </c>
      <c r="C24" s="32">
        <f>IF($B24="","",IF($B$2="Todos",SUMIFS(BD!$C$3:$C$5001,BD!$A$3:$A$5001,$B24),SUMIFS(BD!$C$3:$C$5001,BD!$A$3:$A$5001,$B24,BD!$B$3:$B$5001,$D$2)))</f>
        <v>0</v>
      </c>
      <c r="D24" s="32">
        <f>IF($B24="","",IF($B$2="Todos",SUMIFS(BD!$D$3:$D$5001,BD!$A$3:$A$5001,$B24),SUMIFS(BD!$D$3:$D$5001,BD!$A$3:$A$5001,$B24,BD!$B$3:$B$5001,$D$2)))</f>
        <v>0</v>
      </c>
      <c r="E24" s="46">
        <f>IF($B24="","",IF($B$2="Todos",SUMIFS(BD!$E$3:$E$5001,BD!$A$3:$A$5001,$B24),SUMIFS(BD!$E$3:$E$5001,BD!$A$3:$A$5001,$B24,BD!$B$3:$B$5001,$D$2)))</f>
        <v>0</v>
      </c>
      <c r="F24" s="32">
        <f>IF($B24="","",IF($B$2="Todos",SUMIFS(BD!$F$3:$F$5001,BD!$A$3:$A$5001,$B24),SUMIFS(BD!$F$3:$F$5001,BD!$A$3:$A$5001,$B24,BD!$B$3:$B$5001,$D$2)))</f>
        <v>0</v>
      </c>
      <c r="G24" s="32">
        <f>IF($B24="","",IF($B$2="Todos",SUMIFS(BD!$G$3:$G$5001,BD!$A$3:$A$5001,$B24),SUMIFS(BD!$G$3:$G$5001,BD!$A$3:$A$5001,$B24,BD!$B$3:$B$5001,$D$2)))</f>
        <v>0</v>
      </c>
      <c r="H24" s="46">
        <f>IF($B24="","",IF($B$2="Todos",SUMIFS(BD!$H$3:$H$5001,BD!$A$3:$A$5001,$B24),SUMIFS(BD!$H$3:$H$5001,BD!$A$3:$A$5001,$B24,BD!$B$3:$B$5001,$D$2)))</f>
        <v>0</v>
      </c>
      <c r="I24" s="32">
        <f>IF($B24="","",IF($B$2="Todos",SUMIFS(BD!$I$3:$I$5001,BD!$A$3:$A$5001,$B24),SUMIFS(BD!$I$3:$I$5001,BD!$A$3:$A$5001,$B24,BD!$B$3:$B$5001,$D$2)))</f>
        <v>0</v>
      </c>
      <c r="J24" s="32">
        <f>IF($B24="","",IF($B$2="Todos",SUMIFS(BD!$J$3:$J$5001,BD!$A$3:$A$5001,$B24),SUMIFS(BD!$J$3:$J$5001,BD!$A$3:$A$5001,$B24,BD!$B$3:$B$5001,$D$2)))</f>
        <v>0</v>
      </c>
      <c r="K24" s="32" t="str">
        <f>IF($B$2="Todos",IF(COUNT($C$127:$G$127)=0,"",SUM($C$127:$G$127)),IFERROR(INDEX($C$127:$G$127,MATCH($D$2,$C$114:$G$114,0)),""))</f>
        <v/>
      </c>
      <c r="L24" s="47" t="str">
        <f>IF(M24="","",IF($B$2="Todos",IF($B$4&gt;0,$B$4,IF($B$2="Todos",IF(COUNT($C$197:$G$197)=0,"",SUM($C$197:$G$197)),IFERROR(INDEX($C$197:$G$197,MATCH($D$2,$C$184:$G$184,0)),""))),IFERROR(INDEX($C$197:$G$197,MATCH($D$2,$C$184:$G$184,0)),"")))</f>
        <v/>
      </c>
      <c r="M24" s="32" t="str">
        <f>IF($B$2="Todos",IF(COUNT($C$162:$G$162)=0,"",SUM($C$162:$G$162)),IFERROR(INDEX($C$162:$G$162,MATCH($D$2,$C$149:$G$149,0)),""))</f>
        <v/>
      </c>
      <c r="N24" s="48" t="str">
        <f>IF(AND(ISNUMBER(M24),ISNUMBER(L24)),IF(L24&gt;0,M24/L24,""),"")</f>
        <v/>
      </c>
      <c r="O24" s="32" t="str">
        <f>IF($B$2="Todos",IF(COUNT($C$232:$G$232)=0,"",SUM($C$232:$G$232)),IFERROR(INDEX($C$232:$G$232,MATCH($D$2,$C$219:$G$219,0)),""))</f>
        <v/>
      </c>
      <c r="P24" s="32">
        <f>IF($B24="","",IF($B$2="Todos",SUMIFS(BD!$O$3:$O$5001,BD!$A$3:$A$5001,$B24),SUMIFS(BD!$O$3:$O$5001,BD!$A$3:$A$5001,$B24,BD!$B$3:$B$5001,$D$2)))</f>
        <v>0</v>
      </c>
      <c r="Q24" s="32">
        <f>IF($B24="","",IF($B$2="Todos",SUMIFS(BD!$P$3:$P$5001,BD!$A$3:$A$5001,$B24),SUMIFS(BD!$P$3:$P$5001,BD!$A$3:$A$5001,$B24,BD!$B$3:$B$5001,$D$2)))</f>
        <v>0</v>
      </c>
      <c r="R24" s="32">
        <f>IF($B24="","",IF($B$2="Todos",SUMIFS(BD!$Q$3:$Q$5001,BD!$A$3:$A$5001,$B24),SUMIFS(BD!$Q$3:$Q$5001,BD!$A$3:$A$5001,$B24,BD!$B$3:$B$5001,$D$2)))</f>
        <v>0</v>
      </c>
      <c r="S24" s="32">
        <f>IF($B24="","",IF($B$2="Todos",SUMIFS(BD!$R$3:$R$5001,BD!$A$3:$A$5001,$B24),SUMIFS(BD!$R$3:$R$5001,BD!$A$3:$A$5001,$B24,BD!$B$3:$B$5001,$D$2)))</f>
        <v>0</v>
      </c>
      <c r="T24" s="32">
        <f>IF($B24="","",IF($B$2="Todos",SUMIFS(BD!$S$3:$S$5001,BD!$A$3:$A$5001,$B24),SUMIFS(BD!$S$3:$S$5001,BD!$A$3:$A$5001,$B24,BD!$B$3:$B$5001,$D$2)))</f>
        <v>0</v>
      </c>
      <c r="U24" s="32">
        <f>IF($B24="","",IF($B$2="Todos",SUMIFS(BD!$T$3:$T$5001,BD!$A$3:$A$5001,$B24),SUMIFS(BD!$T$3:$T$5001,BD!$A$3:$A$5001,$B24,BD!$B$3:$B$5001,$D$2)))</f>
        <v>0</v>
      </c>
      <c r="V24" s="32">
        <f>IF($B24="","",IF($B$2="Todos",SUMIFS(BD!$U$3:$U$5001,BD!$A$3:$A$5001,$B24),SUMIFS(BD!$U$3:$U$5001,BD!$A$3:$A$5001,$B24,BD!$B$3:$B$5001,$D$2)))</f>
        <v>0</v>
      </c>
      <c r="W24" s="49">
        <f>$B$5</f>
        <v>0.7</v>
      </c>
      <c r="X24" s="49">
        <f>$B$6</f>
        <v>0.9</v>
      </c>
      <c r="AX24" s="60">
        <f>IF(OR($B24="",N(VALUE($AH$295))=0),"",IF(INDEX($C24:$V24,VALUE($AH$295))="","",IF(N(VALUE($AJ$295))=0,INDEX($C24:$V24,VALUE($AH$295)),IF(N(INDEX($C24:$V24,N(VALUE($AJ$295))))&gt;0,INDEX($C24:$V24,VALUE($AH$295))/INDEX($C24:$V24,N(VALUE($AJ$295))),""))))</f>
        <v>0</v>
      </c>
      <c r="AY24" s="60">
        <f>IF(OR($B24="",N(VALUE($AI$295))=0),"",IF(INDEX($C24:$V24,VALUE($AI$295))="","",IF(N(VALUE($AK$295))=0,INDEX($C24:$V24,VALUE($AI$295)),IF(N(INDEX($C24:$V24,N(VALUE($AK$295))))&gt;0,INDEX($C24:$V24,VALUE($AI$295))/INDEX($C24:$V24,N(VALUE($AK$295))),""))))</f>
        <v>0</v>
      </c>
      <c r="AZ24" s="60">
        <f>IF(OR($B24="",N(VALUE($AP$295))=0),"",IF(INDEX($C24:$V24,VALUE($AP$295))="","",IF(N(VALUE($AR$295))=0,INDEX($C24:$V24,VALUE($AP$295)),IF(N(INDEX($C24:$V24,N(VALUE($AR$295))))&gt;0,INDEX($C24:$V24,VALUE($AP$295))/INDEX($C24:$V24,N(VALUE($AR$295))),""))))</f>
        <v>0</v>
      </c>
      <c r="BA24" s="60">
        <f>IF(OR($B24="",N(VALUE($AQ$295))=0),"",IF(INDEX($C24:$V24,VALUE($AQ$295))="","",IF(N(VALUE($AS$295))=0,INDEX($C24:$V24,VALUE($AQ$295)),IF(N(INDEX($C24:$V24,N(VALUE($AS$295))))&gt;0,INDEX($C24:$V24,VALUE($AQ$295))/INDEX($C24:$V24,N(VALUE($AS$295))),""))))</f>
        <v>0</v>
      </c>
      <c r="BC24" s="32" t="str">
        <f>IF(AND($A24=$B$9,ISNUMBER(L24)),L24,NA())</f>
        <v/>
      </c>
    </row>
    <row r="25">
      <c r="A25" s="28">
        <v>14</v>
      </c>
      <c r="B25" s="45">
        <f>IF($A25&lt;=DAY($D$7),$C$7+$A25-1,"")</f>
        <v>46309</v>
      </c>
      <c r="C25" s="32">
        <f>IF($B25="","",IF($B$2="Todos",SUMIFS(BD!$C$3:$C$5001,BD!$A$3:$A$5001,$B25),SUMIFS(BD!$C$3:$C$5001,BD!$A$3:$A$5001,$B25,BD!$B$3:$B$5001,$D$2)))</f>
        <v>0</v>
      </c>
      <c r="D25" s="32">
        <f>IF($B25="","",IF($B$2="Todos",SUMIFS(BD!$D$3:$D$5001,BD!$A$3:$A$5001,$B25),SUMIFS(BD!$D$3:$D$5001,BD!$A$3:$A$5001,$B25,BD!$B$3:$B$5001,$D$2)))</f>
        <v>0</v>
      </c>
      <c r="E25" s="46">
        <f>IF($B25="","",IF($B$2="Todos",SUMIFS(BD!$E$3:$E$5001,BD!$A$3:$A$5001,$B25),SUMIFS(BD!$E$3:$E$5001,BD!$A$3:$A$5001,$B25,BD!$B$3:$B$5001,$D$2)))</f>
        <v>0</v>
      </c>
      <c r="F25" s="32">
        <f>IF($B25="","",IF($B$2="Todos",SUMIFS(BD!$F$3:$F$5001,BD!$A$3:$A$5001,$B25),SUMIFS(BD!$F$3:$F$5001,BD!$A$3:$A$5001,$B25,BD!$B$3:$B$5001,$D$2)))</f>
        <v>0</v>
      </c>
      <c r="G25" s="32">
        <f>IF($B25="","",IF($B$2="Todos",SUMIFS(BD!$G$3:$G$5001,BD!$A$3:$A$5001,$B25),SUMIFS(BD!$G$3:$G$5001,BD!$A$3:$A$5001,$B25,BD!$B$3:$B$5001,$D$2)))</f>
        <v>0</v>
      </c>
      <c r="H25" s="46">
        <f>IF($B25="","",IF($B$2="Todos",SUMIFS(BD!$H$3:$H$5001,BD!$A$3:$A$5001,$B25),SUMIFS(BD!$H$3:$H$5001,BD!$A$3:$A$5001,$B25,BD!$B$3:$B$5001,$D$2)))</f>
        <v>0</v>
      </c>
      <c r="I25" s="32">
        <f>IF($B25="","",IF($B$2="Todos",SUMIFS(BD!$I$3:$I$5001,BD!$A$3:$A$5001,$B25),SUMIFS(BD!$I$3:$I$5001,BD!$A$3:$A$5001,$B25,BD!$B$3:$B$5001,$D$2)))</f>
        <v>0</v>
      </c>
      <c r="J25" s="32">
        <f>IF($B25="","",IF($B$2="Todos",SUMIFS(BD!$J$3:$J$5001,BD!$A$3:$A$5001,$B25),SUMIFS(BD!$J$3:$J$5001,BD!$A$3:$A$5001,$B25,BD!$B$3:$B$5001,$D$2)))</f>
        <v>0</v>
      </c>
      <c r="K25" s="32" t="str">
        <f>IF($B$2="Todos",IF(COUNT($C$128:$G$128)=0,"",SUM($C$128:$G$128)),IFERROR(INDEX($C$128:$G$128,MATCH($D$2,$C$114:$G$114,0)),""))</f>
        <v/>
      </c>
      <c r="L25" s="47" t="str">
        <f>IF(M25="","",IF($B$2="Todos",IF($B$4&gt;0,$B$4,IF($B$2="Todos",IF(COUNT($C$198:$G$198)=0,"",SUM($C$198:$G$198)),IFERROR(INDEX($C$198:$G$198,MATCH($D$2,$C$184:$G$184,0)),""))),IFERROR(INDEX($C$198:$G$198,MATCH($D$2,$C$184:$G$184,0)),"")))</f>
        <v/>
      </c>
      <c r="M25" s="32" t="str">
        <f>IF($B$2="Todos",IF(COUNT($C$163:$G$163)=0,"",SUM($C$163:$G$163)),IFERROR(INDEX($C$163:$G$163,MATCH($D$2,$C$149:$G$149,0)),""))</f>
        <v/>
      </c>
      <c r="N25" s="48" t="str">
        <f>IF(AND(ISNUMBER(M25),ISNUMBER(L25)),IF(L25&gt;0,M25/L25,""),"")</f>
        <v/>
      </c>
      <c r="O25" s="32" t="str">
        <f>IF($B$2="Todos",IF(COUNT($C$233:$G$233)=0,"",SUM($C$233:$G$233)),IFERROR(INDEX($C$233:$G$233,MATCH($D$2,$C$219:$G$219,0)),""))</f>
        <v/>
      </c>
      <c r="P25" s="32">
        <f>IF($B25="","",IF($B$2="Todos",SUMIFS(BD!$O$3:$O$5001,BD!$A$3:$A$5001,$B25),SUMIFS(BD!$O$3:$O$5001,BD!$A$3:$A$5001,$B25,BD!$B$3:$B$5001,$D$2)))</f>
        <v>0</v>
      </c>
      <c r="Q25" s="32">
        <f>IF($B25="","",IF($B$2="Todos",SUMIFS(BD!$P$3:$P$5001,BD!$A$3:$A$5001,$B25),SUMIFS(BD!$P$3:$P$5001,BD!$A$3:$A$5001,$B25,BD!$B$3:$B$5001,$D$2)))</f>
        <v>0</v>
      </c>
      <c r="R25" s="32">
        <f>IF($B25="","",IF($B$2="Todos",SUMIFS(BD!$Q$3:$Q$5001,BD!$A$3:$A$5001,$B25),SUMIFS(BD!$Q$3:$Q$5001,BD!$A$3:$A$5001,$B25,BD!$B$3:$B$5001,$D$2)))</f>
        <v>0</v>
      </c>
      <c r="S25" s="32">
        <f>IF($B25="","",IF($B$2="Todos",SUMIFS(BD!$R$3:$R$5001,BD!$A$3:$A$5001,$B25),SUMIFS(BD!$R$3:$R$5001,BD!$A$3:$A$5001,$B25,BD!$B$3:$B$5001,$D$2)))</f>
        <v>0</v>
      </c>
      <c r="T25" s="32">
        <f>IF($B25="","",IF($B$2="Todos",SUMIFS(BD!$S$3:$S$5001,BD!$A$3:$A$5001,$B25),SUMIFS(BD!$S$3:$S$5001,BD!$A$3:$A$5001,$B25,BD!$B$3:$B$5001,$D$2)))</f>
        <v>0</v>
      </c>
      <c r="U25" s="32">
        <f>IF($B25="","",IF($B$2="Todos",SUMIFS(BD!$T$3:$T$5001,BD!$A$3:$A$5001,$B25),SUMIFS(BD!$T$3:$T$5001,BD!$A$3:$A$5001,$B25,BD!$B$3:$B$5001,$D$2)))</f>
        <v>0</v>
      </c>
      <c r="V25" s="32">
        <f>IF($B25="","",IF($B$2="Todos",SUMIFS(BD!$U$3:$U$5001,BD!$A$3:$A$5001,$B25),SUMIFS(BD!$U$3:$U$5001,BD!$A$3:$A$5001,$B25,BD!$B$3:$B$5001,$D$2)))</f>
        <v>0</v>
      </c>
      <c r="W25" s="49">
        <f>$B$5</f>
        <v>0.7</v>
      </c>
      <c r="X25" s="49">
        <f>$B$6</f>
        <v>0.9</v>
      </c>
      <c r="AX25" s="60">
        <f>IF(OR($B25="",N(VALUE($AH$295))=0),"",IF(INDEX($C25:$V25,VALUE($AH$295))="","",IF(N(VALUE($AJ$295))=0,INDEX($C25:$V25,VALUE($AH$295)),IF(N(INDEX($C25:$V25,N(VALUE($AJ$295))))&gt;0,INDEX($C25:$V25,VALUE($AH$295))/INDEX($C25:$V25,N(VALUE($AJ$295))),""))))</f>
        <v>0</v>
      </c>
      <c r="AY25" s="60">
        <f>IF(OR($B25="",N(VALUE($AI$295))=0),"",IF(INDEX($C25:$V25,VALUE($AI$295))="","",IF(N(VALUE($AK$295))=0,INDEX($C25:$V25,VALUE($AI$295)),IF(N(INDEX($C25:$V25,N(VALUE($AK$295))))&gt;0,INDEX($C25:$V25,VALUE($AI$295))/INDEX($C25:$V25,N(VALUE($AK$295))),""))))</f>
        <v>0</v>
      </c>
      <c r="AZ25" s="60">
        <f>IF(OR($B25="",N(VALUE($AP$295))=0),"",IF(INDEX($C25:$V25,VALUE($AP$295))="","",IF(N(VALUE($AR$295))=0,INDEX($C25:$V25,VALUE($AP$295)),IF(N(INDEX($C25:$V25,N(VALUE($AR$295))))&gt;0,INDEX($C25:$V25,VALUE($AP$295))/INDEX($C25:$V25,N(VALUE($AR$295))),""))))</f>
        <v>0</v>
      </c>
      <c r="BA25" s="60">
        <f>IF(OR($B25="",N(VALUE($AQ$295))=0),"",IF(INDEX($C25:$V25,VALUE($AQ$295))="","",IF(N(VALUE($AS$295))=0,INDEX($C25:$V25,VALUE($AQ$295)),IF(N(INDEX($C25:$V25,N(VALUE($AS$295))))&gt;0,INDEX($C25:$V25,VALUE($AQ$295))/INDEX($C25:$V25,N(VALUE($AS$295))),""))))</f>
        <v>0</v>
      </c>
      <c r="BC25" s="32" t="str">
        <f>IF(AND($A25=$B$9,ISNUMBER(L25)),L25,NA())</f>
        <v/>
      </c>
    </row>
    <row r="26">
      <c r="A26" s="28">
        <v>15</v>
      </c>
      <c r="B26" s="45">
        <f>IF($A26&lt;=DAY($D$7),$C$7+$A26-1,"")</f>
        <v>46310</v>
      </c>
      <c r="C26" s="32">
        <f>IF($B26="","",IF($B$2="Todos",SUMIFS(BD!$C$3:$C$5001,BD!$A$3:$A$5001,$B26),SUMIFS(BD!$C$3:$C$5001,BD!$A$3:$A$5001,$B26,BD!$B$3:$B$5001,$D$2)))</f>
        <v>0</v>
      </c>
      <c r="D26" s="32">
        <f>IF($B26="","",IF($B$2="Todos",SUMIFS(BD!$D$3:$D$5001,BD!$A$3:$A$5001,$B26),SUMIFS(BD!$D$3:$D$5001,BD!$A$3:$A$5001,$B26,BD!$B$3:$B$5001,$D$2)))</f>
        <v>0</v>
      </c>
      <c r="E26" s="46">
        <f>IF($B26="","",IF($B$2="Todos",SUMIFS(BD!$E$3:$E$5001,BD!$A$3:$A$5001,$B26),SUMIFS(BD!$E$3:$E$5001,BD!$A$3:$A$5001,$B26,BD!$B$3:$B$5001,$D$2)))</f>
        <v>0</v>
      </c>
      <c r="F26" s="32">
        <f>IF($B26="","",IF($B$2="Todos",SUMIFS(BD!$F$3:$F$5001,BD!$A$3:$A$5001,$B26),SUMIFS(BD!$F$3:$F$5001,BD!$A$3:$A$5001,$B26,BD!$B$3:$B$5001,$D$2)))</f>
        <v>0</v>
      </c>
      <c r="G26" s="32">
        <f>IF($B26="","",IF($B$2="Todos",SUMIFS(BD!$G$3:$G$5001,BD!$A$3:$A$5001,$B26),SUMIFS(BD!$G$3:$G$5001,BD!$A$3:$A$5001,$B26,BD!$B$3:$B$5001,$D$2)))</f>
        <v>0</v>
      </c>
      <c r="H26" s="46">
        <f>IF($B26="","",IF($B$2="Todos",SUMIFS(BD!$H$3:$H$5001,BD!$A$3:$A$5001,$B26),SUMIFS(BD!$H$3:$H$5001,BD!$A$3:$A$5001,$B26,BD!$B$3:$B$5001,$D$2)))</f>
        <v>0</v>
      </c>
      <c r="I26" s="32">
        <f>IF($B26="","",IF($B$2="Todos",SUMIFS(BD!$I$3:$I$5001,BD!$A$3:$A$5001,$B26),SUMIFS(BD!$I$3:$I$5001,BD!$A$3:$A$5001,$B26,BD!$B$3:$B$5001,$D$2)))</f>
        <v>0</v>
      </c>
      <c r="J26" s="32">
        <f>IF($B26="","",IF($B$2="Todos",SUMIFS(BD!$J$3:$J$5001,BD!$A$3:$A$5001,$B26),SUMIFS(BD!$J$3:$J$5001,BD!$A$3:$A$5001,$B26,BD!$B$3:$B$5001,$D$2)))</f>
        <v>0</v>
      </c>
      <c r="K26" s="32" t="str">
        <f>IF($B$2="Todos",IF(COUNT($C$129:$G$129)=0,"",SUM($C$129:$G$129)),IFERROR(INDEX($C$129:$G$129,MATCH($D$2,$C$114:$G$114,0)),""))</f>
        <v/>
      </c>
      <c r="L26" s="47" t="str">
        <f>IF(M26="","",IF($B$2="Todos",IF($B$4&gt;0,$B$4,IF($B$2="Todos",IF(COUNT($C$199:$G$199)=0,"",SUM($C$199:$G$199)),IFERROR(INDEX($C$199:$G$199,MATCH($D$2,$C$184:$G$184,0)),""))),IFERROR(INDEX($C$199:$G$199,MATCH($D$2,$C$184:$G$184,0)),"")))</f>
        <v/>
      </c>
      <c r="M26" s="32" t="str">
        <f>IF($B$2="Todos",IF(COUNT($C$164:$G$164)=0,"",SUM($C$164:$G$164)),IFERROR(INDEX($C$164:$G$164,MATCH($D$2,$C$149:$G$149,0)),""))</f>
        <v/>
      </c>
      <c r="N26" s="48" t="str">
        <f>IF(AND(ISNUMBER(M26),ISNUMBER(L26)),IF(L26&gt;0,M26/L26,""),"")</f>
        <v/>
      </c>
      <c r="O26" s="32" t="str">
        <f>IF($B$2="Todos",IF(COUNT($C$234:$G$234)=0,"",SUM($C$234:$G$234)),IFERROR(INDEX($C$234:$G$234,MATCH($D$2,$C$219:$G$219,0)),""))</f>
        <v/>
      </c>
      <c r="P26" s="32">
        <f>IF($B26="","",IF($B$2="Todos",SUMIFS(BD!$O$3:$O$5001,BD!$A$3:$A$5001,$B26),SUMIFS(BD!$O$3:$O$5001,BD!$A$3:$A$5001,$B26,BD!$B$3:$B$5001,$D$2)))</f>
        <v>0</v>
      </c>
      <c r="Q26" s="32">
        <f>IF($B26="","",IF($B$2="Todos",SUMIFS(BD!$P$3:$P$5001,BD!$A$3:$A$5001,$B26),SUMIFS(BD!$P$3:$P$5001,BD!$A$3:$A$5001,$B26,BD!$B$3:$B$5001,$D$2)))</f>
        <v>0</v>
      </c>
      <c r="R26" s="32">
        <f>IF($B26="","",IF($B$2="Todos",SUMIFS(BD!$Q$3:$Q$5001,BD!$A$3:$A$5001,$B26),SUMIFS(BD!$Q$3:$Q$5001,BD!$A$3:$A$5001,$B26,BD!$B$3:$B$5001,$D$2)))</f>
        <v>0</v>
      </c>
      <c r="S26" s="32">
        <f>IF($B26="","",IF($B$2="Todos",SUMIFS(BD!$R$3:$R$5001,BD!$A$3:$A$5001,$B26),SUMIFS(BD!$R$3:$R$5001,BD!$A$3:$A$5001,$B26,BD!$B$3:$B$5001,$D$2)))</f>
        <v>0</v>
      </c>
      <c r="T26" s="32">
        <f>IF($B26="","",IF($B$2="Todos",SUMIFS(BD!$S$3:$S$5001,BD!$A$3:$A$5001,$B26),SUMIFS(BD!$S$3:$S$5001,BD!$A$3:$A$5001,$B26,BD!$B$3:$B$5001,$D$2)))</f>
        <v>0</v>
      </c>
      <c r="U26" s="32">
        <f>IF($B26="","",IF($B$2="Todos",SUMIFS(BD!$T$3:$T$5001,BD!$A$3:$A$5001,$B26),SUMIFS(BD!$T$3:$T$5001,BD!$A$3:$A$5001,$B26,BD!$B$3:$B$5001,$D$2)))</f>
        <v>0</v>
      </c>
      <c r="V26" s="32">
        <f>IF($B26="","",IF($B$2="Todos",SUMIFS(BD!$U$3:$U$5001,BD!$A$3:$A$5001,$B26),SUMIFS(BD!$U$3:$U$5001,BD!$A$3:$A$5001,$B26,BD!$B$3:$B$5001,$D$2)))</f>
        <v>0</v>
      </c>
      <c r="W26" s="49">
        <f>$B$5</f>
        <v>0.7</v>
      </c>
      <c r="X26" s="49">
        <f>$B$6</f>
        <v>0.9</v>
      </c>
      <c r="AX26" s="60">
        <f>IF(OR($B26="",N(VALUE($AH$295))=0),"",IF(INDEX($C26:$V26,VALUE($AH$295))="","",IF(N(VALUE($AJ$295))=0,INDEX($C26:$V26,VALUE($AH$295)),IF(N(INDEX($C26:$V26,N(VALUE($AJ$295))))&gt;0,INDEX($C26:$V26,VALUE($AH$295))/INDEX($C26:$V26,N(VALUE($AJ$295))),""))))</f>
        <v>0</v>
      </c>
      <c r="AY26" s="60">
        <f>IF(OR($B26="",N(VALUE($AI$295))=0),"",IF(INDEX($C26:$V26,VALUE($AI$295))="","",IF(N(VALUE($AK$295))=0,INDEX($C26:$V26,VALUE($AI$295)),IF(N(INDEX($C26:$V26,N(VALUE($AK$295))))&gt;0,INDEX($C26:$V26,VALUE($AI$295))/INDEX($C26:$V26,N(VALUE($AK$295))),""))))</f>
        <v>0</v>
      </c>
      <c r="AZ26" s="60">
        <f>IF(OR($B26="",N(VALUE($AP$295))=0),"",IF(INDEX($C26:$V26,VALUE($AP$295))="","",IF(N(VALUE($AR$295))=0,INDEX($C26:$V26,VALUE($AP$295)),IF(N(INDEX($C26:$V26,N(VALUE($AR$295))))&gt;0,INDEX($C26:$V26,VALUE($AP$295))/INDEX($C26:$V26,N(VALUE($AR$295))),""))))</f>
        <v>0</v>
      </c>
      <c r="BA26" s="60">
        <f>IF(OR($B26="",N(VALUE($AQ$295))=0),"",IF(INDEX($C26:$V26,VALUE($AQ$295))="","",IF(N(VALUE($AS$295))=0,INDEX($C26:$V26,VALUE($AQ$295)),IF(N(INDEX($C26:$V26,N(VALUE($AS$295))))&gt;0,INDEX($C26:$V26,VALUE($AQ$295))/INDEX($C26:$V26,N(VALUE($AS$295))),""))))</f>
        <v>0</v>
      </c>
      <c r="BC26" s="32" t="str">
        <f>IF(AND($A26=$B$9,ISNUMBER(L26)),L26,NA())</f>
        <v/>
      </c>
    </row>
    <row r="27">
      <c r="A27" s="28">
        <v>16</v>
      </c>
      <c r="B27" s="45">
        <f>IF($A27&lt;=DAY($D$7),$C$7+$A27-1,"")</f>
        <v>46311</v>
      </c>
      <c r="C27" s="32">
        <f>IF($B27="","",IF($B$2="Todos",SUMIFS(BD!$C$3:$C$5001,BD!$A$3:$A$5001,$B27),SUMIFS(BD!$C$3:$C$5001,BD!$A$3:$A$5001,$B27,BD!$B$3:$B$5001,$D$2)))</f>
        <v>0</v>
      </c>
      <c r="D27" s="32">
        <f>IF($B27="","",IF($B$2="Todos",SUMIFS(BD!$D$3:$D$5001,BD!$A$3:$A$5001,$B27),SUMIFS(BD!$D$3:$D$5001,BD!$A$3:$A$5001,$B27,BD!$B$3:$B$5001,$D$2)))</f>
        <v>0</v>
      </c>
      <c r="E27" s="46">
        <f>IF($B27="","",IF($B$2="Todos",SUMIFS(BD!$E$3:$E$5001,BD!$A$3:$A$5001,$B27),SUMIFS(BD!$E$3:$E$5001,BD!$A$3:$A$5001,$B27,BD!$B$3:$B$5001,$D$2)))</f>
        <v>0</v>
      </c>
      <c r="F27" s="32">
        <f>IF($B27="","",IF($B$2="Todos",SUMIFS(BD!$F$3:$F$5001,BD!$A$3:$A$5001,$B27),SUMIFS(BD!$F$3:$F$5001,BD!$A$3:$A$5001,$B27,BD!$B$3:$B$5001,$D$2)))</f>
        <v>0</v>
      </c>
      <c r="G27" s="32">
        <f>IF($B27="","",IF($B$2="Todos",SUMIFS(BD!$G$3:$G$5001,BD!$A$3:$A$5001,$B27),SUMIFS(BD!$G$3:$G$5001,BD!$A$3:$A$5001,$B27,BD!$B$3:$B$5001,$D$2)))</f>
        <v>0</v>
      </c>
      <c r="H27" s="46">
        <f>IF($B27="","",IF($B$2="Todos",SUMIFS(BD!$H$3:$H$5001,BD!$A$3:$A$5001,$B27),SUMIFS(BD!$H$3:$H$5001,BD!$A$3:$A$5001,$B27,BD!$B$3:$B$5001,$D$2)))</f>
        <v>0</v>
      </c>
      <c r="I27" s="32">
        <f>IF($B27="","",IF($B$2="Todos",SUMIFS(BD!$I$3:$I$5001,BD!$A$3:$A$5001,$B27),SUMIFS(BD!$I$3:$I$5001,BD!$A$3:$A$5001,$B27,BD!$B$3:$B$5001,$D$2)))</f>
        <v>0</v>
      </c>
      <c r="J27" s="32">
        <f>IF($B27="","",IF($B$2="Todos",SUMIFS(BD!$J$3:$J$5001,BD!$A$3:$A$5001,$B27),SUMIFS(BD!$J$3:$J$5001,BD!$A$3:$A$5001,$B27,BD!$B$3:$B$5001,$D$2)))</f>
        <v>0</v>
      </c>
      <c r="K27" s="32" t="str">
        <f>IF($B$2="Todos",IF(COUNT($C$130:$G$130)=0,"",SUM($C$130:$G$130)),IFERROR(INDEX($C$130:$G$130,MATCH($D$2,$C$114:$G$114,0)),""))</f>
        <v/>
      </c>
      <c r="L27" s="47" t="str">
        <f>IF(M27="","",IF($B$2="Todos",IF($B$4&gt;0,$B$4,IF($B$2="Todos",IF(COUNT($C$200:$G$200)=0,"",SUM($C$200:$G$200)),IFERROR(INDEX($C$200:$G$200,MATCH($D$2,$C$184:$G$184,0)),""))),IFERROR(INDEX($C$200:$G$200,MATCH($D$2,$C$184:$G$184,0)),"")))</f>
        <v/>
      </c>
      <c r="M27" s="32" t="str">
        <f>IF($B$2="Todos",IF(COUNT($C$165:$G$165)=0,"",SUM($C$165:$G$165)),IFERROR(INDEX($C$165:$G$165,MATCH($D$2,$C$149:$G$149,0)),""))</f>
        <v/>
      </c>
      <c r="N27" s="48" t="str">
        <f>IF(AND(ISNUMBER(M27),ISNUMBER(L27)),IF(L27&gt;0,M27/L27,""),"")</f>
        <v/>
      </c>
      <c r="O27" s="32" t="str">
        <f>IF($B$2="Todos",IF(COUNT($C$235:$G$235)=0,"",SUM($C$235:$G$235)),IFERROR(INDEX($C$235:$G$235,MATCH($D$2,$C$219:$G$219,0)),""))</f>
        <v/>
      </c>
      <c r="P27" s="32">
        <f>IF($B27="","",IF($B$2="Todos",SUMIFS(BD!$O$3:$O$5001,BD!$A$3:$A$5001,$B27),SUMIFS(BD!$O$3:$O$5001,BD!$A$3:$A$5001,$B27,BD!$B$3:$B$5001,$D$2)))</f>
        <v>0</v>
      </c>
      <c r="Q27" s="32">
        <f>IF($B27="","",IF($B$2="Todos",SUMIFS(BD!$P$3:$P$5001,BD!$A$3:$A$5001,$B27),SUMIFS(BD!$P$3:$P$5001,BD!$A$3:$A$5001,$B27,BD!$B$3:$B$5001,$D$2)))</f>
        <v>0</v>
      </c>
      <c r="R27" s="32">
        <f>IF($B27="","",IF($B$2="Todos",SUMIFS(BD!$Q$3:$Q$5001,BD!$A$3:$A$5001,$B27),SUMIFS(BD!$Q$3:$Q$5001,BD!$A$3:$A$5001,$B27,BD!$B$3:$B$5001,$D$2)))</f>
        <v>0</v>
      </c>
      <c r="S27" s="32">
        <f>IF($B27="","",IF($B$2="Todos",SUMIFS(BD!$R$3:$R$5001,BD!$A$3:$A$5001,$B27),SUMIFS(BD!$R$3:$R$5001,BD!$A$3:$A$5001,$B27,BD!$B$3:$B$5001,$D$2)))</f>
        <v>0</v>
      </c>
      <c r="T27" s="32">
        <f>IF($B27="","",IF($B$2="Todos",SUMIFS(BD!$S$3:$S$5001,BD!$A$3:$A$5001,$B27),SUMIFS(BD!$S$3:$S$5001,BD!$A$3:$A$5001,$B27,BD!$B$3:$B$5001,$D$2)))</f>
        <v>0</v>
      </c>
      <c r="U27" s="32">
        <f>IF($B27="","",IF($B$2="Todos",SUMIFS(BD!$T$3:$T$5001,BD!$A$3:$A$5001,$B27),SUMIFS(BD!$T$3:$T$5001,BD!$A$3:$A$5001,$B27,BD!$B$3:$B$5001,$D$2)))</f>
        <v>0</v>
      </c>
      <c r="V27" s="32">
        <f>IF($B27="","",IF($B$2="Todos",SUMIFS(BD!$U$3:$U$5001,BD!$A$3:$A$5001,$B27),SUMIFS(BD!$U$3:$U$5001,BD!$A$3:$A$5001,$B27,BD!$B$3:$B$5001,$D$2)))</f>
        <v>0</v>
      </c>
      <c r="W27" s="49">
        <f>$B$5</f>
        <v>0.7</v>
      </c>
      <c r="X27" s="49">
        <f>$B$6</f>
        <v>0.9</v>
      </c>
      <c r="AX27" s="60">
        <f>IF(OR($B27="",N(VALUE($AH$295))=0),"",IF(INDEX($C27:$V27,VALUE($AH$295))="","",IF(N(VALUE($AJ$295))=0,INDEX($C27:$V27,VALUE($AH$295)),IF(N(INDEX($C27:$V27,N(VALUE($AJ$295))))&gt;0,INDEX($C27:$V27,VALUE($AH$295))/INDEX($C27:$V27,N(VALUE($AJ$295))),""))))</f>
        <v>0</v>
      </c>
      <c r="AY27" s="60">
        <f>IF(OR($B27="",N(VALUE($AI$295))=0),"",IF(INDEX($C27:$V27,VALUE($AI$295))="","",IF(N(VALUE($AK$295))=0,INDEX($C27:$V27,VALUE($AI$295)),IF(N(INDEX($C27:$V27,N(VALUE($AK$295))))&gt;0,INDEX($C27:$V27,VALUE($AI$295))/INDEX($C27:$V27,N(VALUE($AK$295))),""))))</f>
        <v>0</v>
      </c>
      <c r="AZ27" s="60">
        <f>IF(OR($B27="",N(VALUE($AP$295))=0),"",IF(INDEX($C27:$V27,VALUE($AP$295))="","",IF(N(VALUE($AR$295))=0,INDEX($C27:$V27,VALUE($AP$295)),IF(N(INDEX($C27:$V27,N(VALUE($AR$295))))&gt;0,INDEX($C27:$V27,VALUE($AP$295))/INDEX($C27:$V27,N(VALUE($AR$295))),""))))</f>
        <v>0</v>
      </c>
      <c r="BA27" s="60">
        <f>IF(OR($B27="",N(VALUE($AQ$295))=0),"",IF(INDEX($C27:$V27,VALUE($AQ$295))="","",IF(N(VALUE($AS$295))=0,INDEX($C27:$V27,VALUE($AQ$295)),IF(N(INDEX($C27:$V27,N(VALUE($AS$295))))&gt;0,INDEX($C27:$V27,VALUE($AQ$295))/INDEX($C27:$V27,N(VALUE($AS$295))),""))))</f>
        <v>0</v>
      </c>
      <c r="BC27" s="32" t="str">
        <f>IF(AND($A27=$B$9,ISNUMBER(L27)),L27,NA())</f>
        <v/>
      </c>
    </row>
    <row r="28">
      <c r="A28" s="28">
        <v>17</v>
      </c>
      <c r="B28" s="45">
        <f>IF($A28&lt;=DAY($D$7),$C$7+$A28-1,"")</f>
        <v>46312</v>
      </c>
      <c r="C28" s="32">
        <f>IF($B28="","",IF($B$2="Todos",SUMIFS(BD!$C$3:$C$5001,BD!$A$3:$A$5001,$B28),SUMIFS(BD!$C$3:$C$5001,BD!$A$3:$A$5001,$B28,BD!$B$3:$B$5001,$D$2)))</f>
        <v>0</v>
      </c>
      <c r="D28" s="32">
        <f>IF($B28="","",IF($B$2="Todos",SUMIFS(BD!$D$3:$D$5001,BD!$A$3:$A$5001,$B28),SUMIFS(BD!$D$3:$D$5001,BD!$A$3:$A$5001,$B28,BD!$B$3:$B$5001,$D$2)))</f>
        <v>0</v>
      </c>
      <c r="E28" s="46">
        <f>IF($B28="","",IF($B$2="Todos",SUMIFS(BD!$E$3:$E$5001,BD!$A$3:$A$5001,$B28),SUMIFS(BD!$E$3:$E$5001,BD!$A$3:$A$5001,$B28,BD!$B$3:$B$5001,$D$2)))</f>
        <v>0</v>
      </c>
      <c r="F28" s="32">
        <f>IF($B28="","",IF($B$2="Todos",SUMIFS(BD!$F$3:$F$5001,BD!$A$3:$A$5001,$B28),SUMIFS(BD!$F$3:$F$5001,BD!$A$3:$A$5001,$B28,BD!$B$3:$B$5001,$D$2)))</f>
        <v>0</v>
      </c>
      <c r="G28" s="32">
        <f>IF($B28="","",IF($B$2="Todos",SUMIFS(BD!$G$3:$G$5001,BD!$A$3:$A$5001,$B28),SUMIFS(BD!$G$3:$G$5001,BD!$A$3:$A$5001,$B28,BD!$B$3:$B$5001,$D$2)))</f>
        <v>0</v>
      </c>
      <c r="H28" s="46">
        <f>IF($B28="","",IF($B$2="Todos",SUMIFS(BD!$H$3:$H$5001,BD!$A$3:$A$5001,$B28),SUMIFS(BD!$H$3:$H$5001,BD!$A$3:$A$5001,$B28,BD!$B$3:$B$5001,$D$2)))</f>
        <v>0</v>
      </c>
      <c r="I28" s="32">
        <f>IF($B28="","",IF($B$2="Todos",SUMIFS(BD!$I$3:$I$5001,BD!$A$3:$A$5001,$B28),SUMIFS(BD!$I$3:$I$5001,BD!$A$3:$A$5001,$B28,BD!$B$3:$B$5001,$D$2)))</f>
        <v>0</v>
      </c>
      <c r="J28" s="32">
        <f>IF($B28="","",IF($B$2="Todos",SUMIFS(BD!$J$3:$J$5001,BD!$A$3:$A$5001,$B28),SUMIFS(BD!$J$3:$J$5001,BD!$A$3:$A$5001,$B28,BD!$B$3:$B$5001,$D$2)))</f>
        <v>0</v>
      </c>
      <c r="K28" s="32" t="str">
        <f>IF($B$2="Todos",IF(COUNT($C$131:$G$131)=0,"",SUM($C$131:$G$131)),IFERROR(INDEX($C$131:$G$131,MATCH($D$2,$C$114:$G$114,0)),""))</f>
        <v/>
      </c>
      <c r="L28" s="47" t="str">
        <f>IF(M28="","",IF($B$2="Todos",IF($B$4&gt;0,$B$4,IF($B$2="Todos",IF(COUNT($C$201:$G$201)=0,"",SUM($C$201:$G$201)),IFERROR(INDEX($C$201:$G$201,MATCH($D$2,$C$184:$G$184,0)),""))),IFERROR(INDEX($C$201:$G$201,MATCH($D$2,$C$184:$G$184,0)),"")))</f>
        <v/>
      </c>
      <c r="M28" s="32" t="str">
        <f>IF($B$2="Todos",IF(COUNT($C$166:$G$166)=0,"",SUM($C$166:$G$166)),IFERROR(INDEX($C$166:$G$166,MATCH($D$2,$C$149:$G$149,0)),""))</f>
        <v/>
      </c>
      <c r="N28" s="48" t="str">
        <f>IF(AND(ISNUMBER(M28),ISNUMBER(L28)),IF(L28&gt;0,M28/L28,""),"")</f>
        <v/>
      </c>
      <c r="O28" s="32" t="str">
        <f>IF($B$2="Todos",IF(COUNT($C$236:$G$236)=0,"",SUM($C$236:$G$236)),IFERROR(INDEX($C$236:$G$236,MATCH($D$2,$C$219:$G$219,0)),""))</f>
        <v/>
      </c>
      <c r="P28" s="32">
        <f>IF($B28="","",IF($B$2="Todos",SUMIFS(BD!$O$3:$O$5001,BD!$A$3:$A$5001,$B28),SUMIFS(BD!$O$3:$O$5001,BD!$A$3:$A$5001,$B28,BD!$B$3:$B$5001,$D$2)))</f>
        <v>0</v>
      </c>
      <c r="Q28" s="32">
        <f>IF($B28="","",IF($B$2="Todos",SUMIFS(BD!$P$3:$P$5001,BD!$A$3:$A$5001,$B28),SUMIFS(BD!$P$3:$P$5001,BD!$A$3:$A$5001,$B28,BD!$B$3:$B$5001,$D$2)))</f>
        <v>0</v>
      </c>
      <c r="R28" s="32">
        <f>IF($B28="","",IF($B$2="Todos",SUMIFS(BD!$Q$3:$Q$5001,BD!$A$3:$A$5001,$B28),SUMIFS(BD!$Q$3:$Q$5001,BD!$A$3:$A$5001,$B28,BD!$B$3:$B$5001,$D$2)))</f>
        <v>0</v>
      </c>
      <c r="S28" s="32">
        <f>IF($B28="","",IF($B$2="Todos",SUMIFS(BD!$R$3:$R$5001,BD!$A$3:$A$5001,$B28),SUMIFS(BD!$R$3:$R$5001,BD!$A$3:$A$5001,$B28,BD!$B$3:$B$5001,$D$2)))</f>
        <v>0</v>
      </c>
      <c r="T28" s="32">
        <f>IF($B28="","",IF($B$2="Todos",SUMIFS(BD!$S$3:$S$5001,BD!$A$3:$A$5001,$B28),SUMIFS(BD!$S$3:$S$5001,BD!$A$3:$A$5001,$B28,BD!$B$3:$B$5001,$D$2)))</f>
        <v>0</v>
      </c>
      <c r="U28" s="32">
        <f>IF($B28="","",IF($B$2="Todos",SUMIFS(BD!$T$3:$T$5001,BD!$A$3:$A$5001,$B28),SUMIFS(BD!$T$3:$T$5001,BD!$A$3:$A$5001,$B28,BD!$B$3:$B$5001,$D$2)))</f>
        <v>0</v>
      </c>
      <c r="V28" s="32">
        <f>IF($B28="","",IF($B$2="Todos",SUMIFS(BD!$U$3:$U$5001,BD!$A$3:$A$5001,$B28),SUMIFS(BD!$U$3:$U$5001,BD!$A$3:$A$5001,$B28,BD!$B$3:$B$5001,$D$2)))</f>
        <v>0</v>
      </c>
      <c r="W28" s="49">
        <f>$B$5</f>
        <v>0.7</v>
      </c>
      <c r="X28" s="49">
        <f>$B$6</f>
        <v>0.9</v>
      </c>
      <c r="AX28" s="60">
        <f>IF(OR($B28="",N(VALUE($AH$295))=0),"",IF(INDEX($C28:$V28,VALUE($AH$295))="","",IF(N(VALUE($AJ$295))=0,INDEX($C28:$V28,VALUE($AH$295)),IF(N(INDEX($C28:$V28,N(VALUE($AJ$295))))&gt;0,INDEX($C28:$V28,VALUE($AH$295))/INDEX($C28:$V28,N(VALUE($AJ$295))),""))))</f>
        <v>0</v>
      </c>
      <c r="AY28" s="60">
        <f>IF(OR($B28="",N(VALUE($AI$295))=0),"",IF(INDEX($C28:$V28,VALUE($AI$295))="","",IF(N(VALUE($AK$295))=0,INDEX($C28:$V28,VALUE($AI$295)),IF(N(INDEX($C28:$V28,N(VALUE($AK$295))))&gt;0,INDEX($C28:$V28,VALUE($AI$295))/INDEX($C28:$V28,N(VALUE($AK$295))),""))))</f>
        <v>0</v>
      </c>
      <c r="AZ28" s="60">
        <f>IF(OR($B28="",N(VALUE($AP$295))=0),"",IF(INDEX($C28:$V28,VALUE($AP$295))="","",IF(N(VALUE($AR$295))=0,INDEX($C28:$V28,VALUE($AP$295)),IF(N(INDEX($C28:$V28,N(VALUE($AR$295))))&gt;0,INDEX($C28:$V28,VALUE($AP$295))/INDEX($C28:$V28,N(VALUE($AR$295))),""))))</f>
        <v>0</v>
      </c>
      <c r="BA28" s="60">
        <f>IF(OR($B28="",N(VALUE($AQ$295))=0),"",IF(INDEX($C28:$V28,VALUE($AQ$295))="","",IF(N(VALUE($AS$295))=0,INDEX($C28:$V28,VALUE($AQ$295)),IF(N(INDEX($C28:$V28,N(VALUE($AS$295))))&gt;0,INDEX($C28:$V28,VALUE($AQ$295))/INDEX($C28:$V28,N(VALUE($AS$295))),""))))</f>
        <v>0</v>
      </c>
      <c r="BC28" s="32" t="str">
        <f>IF(AND($A28=$B$9,ISNUMBER(L28)),L28,NA())</f>
        <v/>
      </c>
    </row>
    <row r="29">
      <c r="A29" s="28">
        <v>18</v>
      </c>
      <c r="B29" s="45">
        <f>IF($A29&lt;=DAY($D$7),$C$7+$A29-1,"")</f>
        <v>46313</v>
      </c>
      <c r="C29" s="32">
        <f>IF($B29="","",IF($B$2="Todos",SUMIFS(BD!$C$3:$C$5001,BD!$A$3:$A$5001,$B29),SUMIFS(BD!$C$3:$C$5001,BD!$A$3:$A$5001,$B29,BD!$B$3:$B$5001,$D$2)))</f>
        <v>0</v>
      </c>
      <c r="D29" s="32">
        <f>IF($B29="","",IF($B$2="Todos",SUMIFS(BD!$D$3:$D$5001,BD!$A$3:$A$5001,$B29),SUMIFS(BD!$D$3:$D$5001,BD!$A$3:$A$5001,$B29,BD!$B$3:$B$5001,$D$2)))</f>
        <v>0</v>
      </c>
      <c r="E29" s="46">
        <f>IF($B29="","",IF($B$2="Todos",SUMIFS(BD!$E$3:$E$5001,BD!$A$3:$A$5001,$B29),SUMIFS(BD!$E$3:$E$5001,BD!$A$3:$A$5001,$B29,BD!$B$3:$B$5001,$D$2)))</f>
        <v>0</v>
      </c>
      <c r="F29" s="32">
        <f>IF($B29="","",IF($B$2="Todos",SUMIFS(BD!$F$3:$F$5001,BD!$A$3:$A$5001,$B29),SUMIFS(BD!$F$3:$F$5001,BD!$A$3:$A$5001,$B29,BD!$B$3:$B$5001,$D$2)))</f>
        <v>0</v>
      </c>
      <c r="G29" s="32">
        <f>IF($B29="","",IF($B$2="Todos",SUMIFS(BD!$G$3:$G$5001,BD!$A$3:$A$5001,$B29),SUMIFS(BD!$G$3:$G$5001,BD!$A$3:$A$5001,$B29,BD!$B$3:$B$5001,$D$2)))</f>
        <v>0</v>
      </c>
      <c r="H29" s="46">
        <f>IF($B29="","",IF($B$2="Todos",SUMIFS(BD!$H$3:$H$5001,BD!$A$3:$A$5001,$B29),SUMIFS(BD!$H$3:$H$5001,BD!$A$3:$A$5001,$B29,BD!$B$3:$B$5001,$D$2)))</f>
        <v>0</v>
      </c>
      <c r="I29" s="32">
        <f>IF($B29="","",IF($B$2="Todos",SUMIFS(BD!$I$3:$I$5001,BD!$A$3:$A$5001,$B29),SUMIFS(BD!$I$3:$I$5001,BD!$A$3:$A$5001,$B29,BD!$B$3:$B$5001,$D$2)))</f>
        <v>0</v>
      </c>
      <c r="J29" s="32">
        <f>IF($B29="","",IF($B$2="Todos",SUMIFS(BD!$J$3:$J$5001,BD!$A$3:$A$5001,$B29),SUMIFS(BD!$J$3:$J$5001,BD!$A$3:$A$5001,$B29,BD!$B$3:$B$5001,$D$2)))</f>
        <v>0</v>
      </c>
      <c r="K29" s="32" t="str">
        <f>IF($B$2="Todos",IF(COUNT($C$132:$G$132)=0,"",SUM($C$132:$G$132)),IFERROR(INDEX($C$132:$G$132,MATCH($D$2,$C$114:$G$114,0)),""))</f>
        <v/>
      </c>
      <c r="L29" s="47" t="str">
        <f>IF(M29="","",IF($B$2="Todos",IF($B$4&gt;0,$B$4,IF($B$2="Todos",IF(COUNT($C$202:$G$202)=0,"",SUM($C$202:$G$202)),IFERROR(INDEX($C$202:$G$202,MATCH($D$2,$C$184:$G$184,0)),""))),IFERROR(INDEX($C$202:$G$202,MATCH($D$2,$C$184:$G$184,0)),"")))</f>
        <v/>
      </c>
      <c r="M29" s="32" t="str">
        <f>IF($B$2="Todos",IF(COUNT($C$167:$G$167)=0,"",SUM($C$167:$G$167)),IFERROR(INDEX($C$167:$G$167,MATCH($D$2,$C$149:$G$149,0)),""))</f>
        <v/>
      </c>
      <c r="N29" s="48" t="str">
        <f>IF(AND(ISNUMBER(M29),ISNUMBER(L29)),IF(L29&gt;0,M29/L29,""),"")</f>
        <v/>
      </c>
      <c r="O29" s="32" t="str">
        <f>IF($B$2="Todos",IF(COUNT($C$237:$G$237)=0,"",SUM($C$237:$G$237)),IFERROR(INDEX($C$237:$G$237,MATCH($D$2,$C$219:$G$219,0)),""))</f>
        <v/>
      </c>
      <c r="P29" s="32">
        <f>IF($B29="","",IF($B$2="Todos",SUMIFS(BD!$O$3:$O$5001,BD!$A$3:$A$5001,$B29),SUMIFS(BD!$O$3:$O$5001,BD!$A$3:$A$5001,$B29,BD!$B$3:$B$5001,$D$2)))</f>
        <v>0</v>
      </c>
      <c r="Q29" s="32">
        <f>IF($B29="","",IF($B$2="Todos",SUMIFS(BD!$P$3:$P$5001,BD!$A$3:$A$5001,$B29),SUMIFS(BD!$P$3:$P$5001,BD!$A$3:$A$5001,$B29,BD!$B$3:$B$5001,$D$2)))</f>
        <v>0</v>
      </c>
      <c r="R29" s="32">
        <f>IF($B29="","",IF($B$2="Todos",SUMIFS(BD!$Q$3:$Q$5001,BD!$A$3:$A$5001,$B29),SUMIFS(BD!$Q$3:$Q$5001,BD!$A$3:$A$5001,$B29,BD!$B$3:$B$5001,$D$2)))</f>
        <v>0</v>
      </c>
      <c r="S29" s="32">
        <f>IF($B29="","",IF($B$2="Todos",SUMIFS(BD!$R$3:$R$5001,BD!$A$3:$A$5001,$B29),SUMIFS(BD!$R$3:$R$5001,BD!$A$3:$A$5001,$B29,BD!$B$3:$B$5001,$D$2)))</f>
        <v>0</v>
      </c>
      <c r="T29" s="32">
        <f>IF($B29="","",IF($B$2="Todos",SUMIFS(BD!$S$3:$S$5001,BD!$A$3:$A$5001,$B29),SUMIFS(BD!$S$3:$S$5001,BD!$A$3:$A$5001,$B29,BD!$B$3:$B$5001,$D$2)))</f>
        <v>0</v>
      </c>
      <c r="U29" s="32">
        <f>IF($B29="","",IF($B$2="Todos",SUMIFS(BD!$T$3:$T$5001,BD!$A$3:$A$5001,$B29),SUMIFS(BD!$T$3:$T$5001,BD!$A$3:$A$5001,$B29,BD!$B$3:$B$5001,$D$2)))</f>
        <v>0</v>
      </c>
      <c r="V29" s="32">
        <f>IF($B29="","",IF($B$2="Todos",SUMIFS(BD!$U$3:$U$5001,BD!$A$3:$A$5001,$B29),SUMIFS(BD!$U$3:$U$5001,BD!$A$3:$A$5001,$B29,BD!$B$3:$B$5001,$D$2)))</f>
        <v>0</v>
      </c>
      <c r="W29" s="49">
        <f>$B$5</f>
        <v>0.7</v>
      </c>
      <c r="X29" s="49">
        <f>$B$6</f>
        <v>0.9</v>
      </c>
      <c r="AX29" s="60">
        <f>IF(OR($B29="",N(VALUE($AH$295))=0),"",IF(INDEX($C29:$V29,VALUE($AH$295))="","",IF(N(VALUE($AJ$295))=0,INDEX($C29:$V29,VALUE($AH$295)),IF(N(INDEX($C29:$V29,N(VALUE($AJ$295))))&gt;0,INDEX($C29:$V29,VALUE($AH$295))/INDEX($C29:$V29,N(VALUE($AJ$295))),""))))</f>
        <v>0</v>
      </c>
      <c r="AY29" s="60">
        <f>IF(OR($B29="",N(VALUE($AI$295))=0),"",IF(INDEX($C29:$V29,VALUE($AI$295))="","",IF(N(VALUE($AK$295))=0,INDEX($C29:$V29,VALUE($AI$295)),IF(N(INDEX($C29:$V29,N(VALUE($AK$295))))&gt;0,INDEX($C29:$V29,VALUE($AI$295))/INDEX($C29:$V29,N(VALUE($AK$295))),""))))</f>
        <v>0</v>
      </c>
      <c r="AZ29" s="60">
        <f>IF(OR($B29="",N(VALUE($AP$295))=0),"",IF(INDEX($C29:$V29,VALUE($AP$295))="","",IF(N(VALUE($AR$295))=0,INDEX($C29:$V29,VALUE($AP$295)),IF(N(INDEX($C29:$V29,N(VALUE($AR$295))))&gt;0,INDEX($C29:$V29,VALUE($AP$295))/INDEX($C29:$V29,N(VALUE($AR$295))),""))))</f>
        <v>0</v>
      </c>
      <c r="BA29" s="60">
        <f>IF(OR($B29="",N(VALUE($AQ$295))=0),"",IF(INDEX($C29:$V29,VALUE($AQ$295))="","",IF(N(VALUE($AS$295))=0,INDEX($C29:$V29,VALUE($AQ$295)),IF(N(INDEX($C29:$V29,N(VALUE($AS$295))))&gt;0,INDEX($C29:$V29,VALUE($AQ$295))/INDEX($C29:$V29,N(VALUE($AS$295))),""))))</f>
        <v>0</v>
      </c>
      <c r="BC29" s="32" t="str">
        <f>IF(AND($A29=$B$9,ISNUMBER(L29)),L29,NA())</f>
        <v/>
      </c>
    </row>
    <row r="30">
      <c r="A30" s="28">
        <v>19</v>
      </c>
      <c r="B30" s="45">
        <f>IF($A30&lt;=DAY($D$7),$C$7+$A30-1,"")</f>
        <v>46314</v>
      </c>
      <c r="C30" s="32">
        <f>IF($B30="","",IF($B$2="Todos",SUMIFS(BD!$C$3:$C$5001,BD!$A$3:$A$5001,$B30),SUMIFS(BD!$C$3:$C$5001,BD!$A$3:$A$5001,$B30,BD!$B$3:$B$5001,$D$2)))</f>
        <v>0</v>
      </c>
      <c r="D30" s="32">
        <f>IF($B30="","",IF($B$2="Todos",SUMIFS(BD!$D$3:$D$5001,BD!$A$3:$A$5001,$B30),SUMIFS(BD!$D$3:$D$5001,BD!$A$3:$A$5001,$B30,BD!$B$3:$B$5001,$D$2)))</f>
        <v>0</v>
      </c>
      <c r="E30" s="46">
        <f>IF($B30="","",IF($B$2="Todos",SUMIFS(BD!$E$3:$E$5001,BD!$A$3:$A$5001,$B30),SUMIFS(BD!$E$3:$E$5001,BD!$A$3:$A$5001,$B30,BD!$B$3:$B$5001,$D$2)))</f>
        <v>0</v>
      </c>
      <c r="F30" s="32">
        <f>IF($B30="","",IF($B$2="Todos",SUMIFS(BD!$F$3:$F$5001,BD!$A$3:$A$5001,$B30),SUMIFS(BD!$F$3:$F$5001,BD!$A$3:$A$5001,$B30,BD!$B$3:$B$5001,$D$2)))</f>
        <v>0</v>
      </c>
      <c r="G30" s="32">
        <f>IF($B30="","",IF($B$2="Todos",SUMIFS(BD!$G$3:$G$5001,BD!$A$3:$A$5001,$B30),SUMIFS(BD!$G$3:$G$5001,BD!$A$3:$A$5001,$B30,BD!$B$3:$B$5001,$D$2)))</f>
        <v>0</v>
      </c>
      <c r="H30" s="46">
        <f>IF($B30="","",IF($B$2="Todos",SUMIFS(BD!$H$3:$H$5001,BD!$A$3:$A$5001,$B30),SUMIFS(BD!$H$3:$H$5001,BD!$A$3:$A$5001,$B30,BD!$B$3:$B$5001,$D$2)))</f>
        <v>0</v>
      </c>
      <c r="I30" s="32">
        <f>IF($B30="","",IF($B$2="Todos",SUMIFS(BD!$I$3:$I$5001,BD!$A$3:$A$5001,$B30),SUMIFS(BD!$I$3:$I$5001,BD!$A$3:$A$5001,$B30,BD!$B$3:$B$5001,$D$2)))</f>
        <v>0</v>
      </c>
      <c r="J30" s="32">
        <f>IF($B30="","",IF($B$2="Todos",SUMIFS(BD!$J$3:$J$5001,BD!$A$3:$A$5001,$B30),SUMIFS(BD!$J$3:$J$5001,BD!$A$3:$A$5001,$B30,BD!$B$3:$B$5001,$D$2)))</f>
        <v>0</v>
      </c>
      <c r="K30" s="32" t="str">
        <f>IF($B$2="Todos",IF(COUNT($C$133:$G$133)=0,"",SUM($C$133:$G$133)),IFERROR(INDEX($C$133:$G$133,MATCH($D$2,$C$114:$G$114,0)),""))</f>
        <v/>
      </c>
      <c r="L30" s="47" t="str">
        <f>IF(M30="","",IF($B$2="Todos",IF($B$4&gt;0,$B$4,IF($B$2="Todos",IF(COUNT($C$203:$G$203)=0,"",SUM($C$203:$G$203)),IFERROR(INDEX($C$203:$G$203,MATCH($D$2,$C$184:$G$184,0)),""))),IFERROR(INDEX($C$203:$G$203,MATCH($D$2,$C$184:$G$184,0)),"")))</f>
        <v/>
      </c>
      <c r="M30" s="32" t="str">
        <f>IF($B$2="Todos",IF(COUNT($C$168:$G$168)=0,"",SUM($C$168:$G$168)),IFERROR(INDEX($C$168:$G$168,MATCH($D$2,$C$149:$G$149,0)),""))</f>
        <v/>
      </c>
      <c r="N30" s="48" t="str">
        <f>IF(AND(ISNUMBER(M30),ISNUMBER(L30)),IF(L30&gt;0,M30/L30,""),"")</f>
        <v/>
      </c>
      <c r="O30" s="32" t="str">
        <f>IF($B$2="Todos",IF(COUNT($C$238:$G$238)=0,"",SUM($C$238:$G$238)),IFERROR(INDEX($C$238:$G$238,MATCH($D$2,$C$219:$G$219,0)),""))</f>
        <v/>
      </c>
      <c r="P30" s="32">
        <f>IF($B30="","",IF($B$2="Todos",SUMIFS(BD!$O$3:$O$5001,BD!$A$3:$A$5001,$B30),SUMIFS(BD!$O$3:$O$5001,BD!$A$3:$A$5001,$B30,BD!$B$3:$B$5001,$D$2)))</f>
        <v>0</v>
      </c>
      <c r="Q30" s="32">
        <f>IF($B30="","",IF($B$2="Todos",SUMIFS(BD!$P$3:$P$5001,BD!$A$3:$A$5001,$B30),SUMIFS(BD!$P$3:$P$5001,BD!$A$3:$A$5001,$B30,BD!$B$3:$B$5001,$D$2)))</f>
        <v>0</v>
      </c>
      <c r="R30" s="32">
        <f>IF($B30="","",IF($B$2="Todos",SUMIFS(BD!$Q$3:$Q$5001,BD!$A$3:$A$5001,$B30),SUMIFS(BD!$Q$3:$Q$5001,BD!$A$3:$A$5001,$B30,BD!$B$3:$B$5001,$D$2)))</f>
        <v>0</v>
      </c>
      <c r="S30" s="32">
        <f>IF($B30="","",IF($B$2="Todos",SUMIFS(BD!$R$3:$R$5001,BD!$A$3:$A$5001,$B30),SUMIFS(BD!$R$3:$R$5001,BD!$A$3:$A$5001,$B30,BD!$B$3:$B$5001,$D$2)))</f>
        <v>0</v>
      </c>
      <c r="T30" s="32">
        <f>IF($B30="","",IF($B$2="Todos",SUMIFS(BD!$S$3:$S$5001,BD!$A$3:$A$5001,$B30),SUMIFS(BD!$S$3:$S$5001,BD!$A$3:$A$5001,$B30,BD!$B$3:$B$5001,$D$2)))</f>
        <v>0</v>
      </c>
      <c r="U30" s="32">
        <f>IF($B30="","",IF($B$2="Todos",SUMIFS(BD!$T$3:$T$5001,BD!$A$3:$A$5001,$B30),SUMIFS(BD!$T$3:$T$5001,BD!$A$3:$A$5001,$B30,BD!$B$3:$B$5001,$D$2)))</f>
        <v>0</v>
      </c>
      <c r="V30" s="32">
        <f>IF($B30="","",IF($B$2="Todos",SUMIFS(BD!$U$3:$U$5001,BD!$A$3:$A$5001,$B30),SUMIFS(BD!$U$3:$U$5001,BD!$A$3:$A$5001,$B30,BD!$B$3:$B$5001,$D$2)))</f>
        <v>0</v>
      </c>
      <c r="W30" s="49">
        <f>$B$5</f>
        <v>0.7</v>
      </c>
      <c r="X30" s="49">
        <f>$B$6</f>
        <v>0.9</v>
      </c>
      <c r="AX30" s="60">
        <f>IF(OR($B30="",N(VALUE($AH$295))=0),"",IF(INDEX($C30:$V30,VALUE($AH$295))="","",IF(N(VALUE($AJ$295))=0,INDEX($C30:$V30,VALUE($AH$295)),IF(N(INDEX($C30:$V30,N(VALUE($AJ$295))))&gt;0,INDEX($C30:$V30,VALUE($AH$295))/INDEX($C30:$V30,N(VALUE($AJ$295))),""))))</f>
        <v>0</v>
      </c>
      <c r="AY30" s="60">
        <f>IF(OR($B30="",N(VALUE($AI$295))=0),"",IF(INDEX($C30:$V30,VALUE($AI$295))="","",IF(N(VALUE($AK$295))=0,INDEX($C30:$V30,VALUE($AI$295)),IF(N(INDEX($C30:$V30,N(VALUE($AK$295))))&gt;0,INDEX($C30:$V30,VALUE($AI$295))/INDEX($C30:$V30,N(VALUE($AK$295))),""))))</f>
        <v>0</v>
      </c>
      <c r="AZ30" s="60">
        <f>IF(OR($B30="",N(VALUE($AP$295))=0),"",IF(INDEX($C30:$V30,VALUE($AP$295))="","",IF(N(VALUE($AR$295))=0,INDEX($C30:$V30,VALUE($AP$295)),IF(N(INDEX($C30:$V30,N(VALUE($AR$295))))&gt;0,INDEX($C30:$V30,VALUE($AP$295))/INDEX($C30:$V30,N(VALUE($AR$295))),""))))</f>
        <v>0</v>
      </c>
      <c r="BA30" s="60">
        <f>IF(OR($B30="",N(VALUE($AQ$295))=0),"",IF(INDEX($C30:$V30,VALUE($AQ$295))="","",IF(N(VALUE($AS$295))=0,INDEX($C30:$V30,VALUE($AQ$295)),IF(N(INDEX($C30:$V30,N(VALUE($AS$295))))&gt;0,INDEX($C30:$V30,VALUE($AQ$295))/INDEX($C30:$V30,N(VALUE($AS$295))),""))))</f>
        <v>0</v>
      </c>
      <c r="BC30" s="32" t="str">
        <f>IF(AND($A30=$B$9,ISNUMBER(L30)),L30,NA())</f>
        <v/>
      </c>
    </row>
    <row r="31">
      <c r="A31" s="28">
        <v>20</v>
      </c>
      <c r="B31" s="45">
        <f>IF($A31&lt;=DAY($D$7),$C$7+$A31-1,"")</f>
        <v>46315</v>
      </c>
      <c r="C31" s="32">
        <f>IF($B31="","",IF($B$2="Todos",SUMIFS(BD!$C$3:$C$5001,BD!$A$3:$A$5001,$B31),SUMIFS(BD!$C$3:$C$5001,BD!$A$3:$A$5001,$B31,BD!$B$3:$B$5001,$D$2)))</f>
        <v>0</v>
      </c>
      <c r="D31" s="32">
        <f>IF($B31="","",IF($B$2="Todos",SUMIFS(BD!$D$3:$D$5001,BD!$A$3:$A$5001,$B31),SUMIFS(BD!$D$3:$D$5001,BD!$A$3:$A$5001,$B31,BD!$B$3:$B$5001,$D$2)))</f>
        <v>0</v>
      </c>
      <c r="E31" s="46">
        <f>IF($B31="","",IF($B$2="Todos",SUMIFS(BD!$E$3:$E$5001,BD!$A$3:$A$5001,$B31),SUMIFS(BD!$E$3:$E$5001,BD!$A$3:$A$5001,$B31,BD!$B$3:$B$5001,$D$2)))</f>
        <v>0</v>
      </c>
      <c r="F31" s="32">
        <f>IF($B31="","",IF($B$2="Todos",SUMIFS(BD!$F$3:$F$5001,BD!$A$3:$A$5001,$B31),SUMIFS(BD!$F$3:$F$5001,BD!$A$3:$A$5001,$B31,BD!$B$3:$B$5001,$D$2)))</f>
        <v>0</v>
      </c>
      <c r="G31" s="32">
        <f>IF($B31="","",IF($B$2="Todos",SUMIFS(BD!$G$3:$G$5001,BD!$A$3:$A$5001,$B31),SUMIFS(BD!$G$3:$G$5001,BD!$A$3:$A$5001,$B31,BD!$B$3:$B$5001,$D$2)))</f>
        <v>0</v>
      </c>
      <c r="H31" s="46">
        <f>IF($B31="","",IF($B$2="Todos",SUMIFS(BD!$H$3:$H$5001,BD!$A$3:$A$5001,$B31),SUMIFS(BD!$H$3:$H$5001,BD!$A$3:$A$5001,$B31,BD!$B$3:$B$5001,$D$2)))</f>
        <v>0</v>
      </c>
      <c r="I31" s="32">
        <f>IF($B31="","",IF($B$2="Todos",SUMIFS(BD!$I$3:$I$5001,BD!$A$3:$A$5001,$B31),SUMIFS(BD!$I$3:$I$5001,BD!$A$3:$A$5001,$B31,BD!$B$3:$B$5001,$D$2)))</f>
        <v>0</v>
      </c>
      <c r="J31" s="32">
        <f>IF($B31="","",IF($B$2="Todos",SUMIFS(BD!$J$3:$J$5001,BD!$A$3:$A$5001,$B31),SUMIFS(BD!$J$3:$J$5001,BD!$A$3:$A$5001,$B31,BD!$B$3:$B$5001,$D$2)))</f>
        <v>0</v>
      </c>
      <c r="K31" s="32" t="str">
        <f>IF($B$2="Todos",IF(COUNT($C$134:$G$134)=0,"",SUM($C$134:$G$134)),IFERROR(INDEX($C$134:$G$134,MATCH($D$2,$C$114:$G$114,0)),""))</f>
        <v/>
      </c>
      <c r="L31" s="47" t="str">
        <f>IF(M31="","",IF($B$2="Todos",IF($B$4&gt;0,$B$4,IF($B$2="Todos",IF(COUNT($C$204:$G$204)=0,"",SUM($C$204:$G$204)),IFERROR(INDEX($C$204:$G$204,MATCH($D$2,$C$184:$G$184,0)),""))),IFERROR(INDEX($C$204:$G$204,MATCH($D$2,$C$184:$G$184,0)),"")))</f>
        <v/>
      </c>
      <c r="M31" s="32" t="str">
        <f>IF($B$2="Todos",IF(COUNT($C$169:$G$169)=0,"",SUM($C$169:$G$169)),IFERROR(INDEX($C$169:$G$169,MATCH($D$2,$C$149:$G$149,0)),""))</f>
        <v/>
      </c>
      <c r="N31" s="48" t="str">
        <f>IF(AND(ISNUMBER(M31),ISNUMBER(L31)),IF(L31&gt;0,M31/L31,""),"")</f>
        <v/>
      </c>
      <c r="O31" s="32" t="str">
        <f>IF($B$2="Todos",IF(COUNT($C$239:$G$239)=0,"",SUM($C$239:$G$239)),IFERROR(INDEX($C$239:$G$239,MATCH($D$2,$C$219:$G$219,0)),""))</f>
        <v/>
      </c>
      <c r="P31" s="32">
        <f>IF($B31="","",IF($B$2="Todos",SUMIFS(BD!$O$3:$O$5001,BD!$A$3:$A$5001,$B31),SUMIFS(BD!$O$3:$O$5001,BD!$A$3:$A$5001,$B31,BD!$B$3:$B$5001,$D$2)))</f>
        <v>0</v>
      </c>
      <c r="Q31" s="32">
        <f>IF($B31="","",IF($B$2="Todos",SUMIFS(BD!$P$3:$P$5001,BD!$A$3:$A$5001,$B31),SUMIFS(BD!$P$3:$P$5001,BD!$A$3:$A$5001,$B31,BD!$B$3:$B$5001,$D$2)))</f>
        <v>0</v>
      </c>
      <c r="R31" s="32">
        <f>IF($B31="","",IF($B$2="Todos",SUMIFS(BD!$Q$3:$Q$5001,BD!$A$3:$A$5001,$B31),SUMIFS(BD!$Q$3:$Q$5001,BD!$A$3:$A$5001,$B31,BD!$B$3:$B$5001,$D$2)))</f>
        <v>0</v>
      </c>
      <c r="S31" s="32">
        <f>IF($B31="","",IF($B$2="Todos",SUMIFS(BD!$R$3:$R$5001,BD!$A$3:$A$5001,$B31),SUMIFS(BD!$R$3:$R$5001,BD!$A$3:$A$5001,$B31,BD!$B$3:$B$5001,$D$2)))</f>
        <v>0</v>
      </c>
      <c r="T31" s="32">
        <f>IF($B31="","",IF($B$2="Todos",SUMIFS(BD!$S$3:$S$5001,BD!$A$3:$A$5001,$B31),SUMIFS(BD!$S$3:$S$5001,BD!$A$3:$A$5001,$B31,BD!$B$3:$B$5001,$D$2)))</f>
        <v>0</v>
      </c>
      <c r="U31" s="32">
        <f>IF($B31="","",IF($B$2="Todos",SUMIFS(BD!$T$3:$T$5001,BD!$A$3:$A$5001,$B31),SUMIFS(BD!$T$3:$T$5001,BD!$A$3:$A$5001,$B31,BD!$B$3:$B$5001,$D$2)))</f>
        <v>0</v>
      </c>
      <c r="V31" s="32">
        <f>IF($B31="","",IF($B$2="Todos",SUMIFS(BD!$U$3:$U$5001,BD!$A$3:$A$5001,$B31),SUMIFS(BD!$U$3:$U$5001,BD!$A$3:$A$5001,$B31,BD!$B$3:$B$5001,$D$2)))</f>
        <v>0</v>
      </c>
      <c r="W31" s="49">
        <f>$B$5</f>
        <v>0.7</v>
      </c>
      <c r="X31" s="49">
        <f>$B$6</f>
        <v>0.9</v>
      </c>
      <c r="AX31" s="60">
        <f>IF(OR($B31="",N(VALUE($AH$295))=0),"",IF(INDEX($C31:$V31,VALUE($AH$295))="","",IF(N(VALUE($AJ$295))=0,INDEX($C31:$V31,VALUE($AH$295)),IF(N(INDEX($C31:$V31,N(VALUE($AJ$295))))&gt;0,INDEX($C31:$V31,VALUE($AH$295))/INDEX($C31:$V31,N(VALUE($AJ$295))),""))))</f>
        <v>0</v>
      </c>
      <c r="AY31" s="60">
        <f>IF(OR($B31="",N(VALUE($AI$295))=0),"",IF(INDEX($C31:$V31,VALUE($AI$295))="","",IF(N(VALUE($AK$295))=0,INDEX($C31:$V31,VALUE($AI$295)),IF(N(INDEX($C31:$V31,N(VALUE($AK$295))))&gt;0,INDEX($C31:$V31,VALUE($AI$295))/INDEX($C31:$V31,N(VALUE($AK$295))),""))))</f>
        <v>0</v>
      </c>
      <c r="AZ31" s="60">
        <f>IF(OR($B31="",N(VALUE($AP$295))=0),"",IF(INDEX($C31:$V31,VALUE($AP$295))="","",IF(N(VALUE($AR$295))=0,INDEX($C31:$V31,VALUE($AP$295)),IF(N(INDEX($C31:$V31,N(VALUE($AR$295))))&gt;0,INDEX($C31:$V31,VALUE($AP$295))/INDEX($C31:$V31,N(VALUE($AR$295))),""))))</f>
        <v>0</v>
      </c>
      <c r="BA31" s="60">
        <f>IF(OR($B31="",N(VALUE($AQ$295))=0),"",IF(INDEX($C31:$V31,VALUE($AQ$295))="","",IF(N(VALUE($AS$295))=0,INDEX($C31:$V31,VALUE($AQ$295)),IF(N(INDEX($C31:$V31,N(VALUE($AS$295))))&gt;0,INDEX($C31:$V31,VALUE($AQ$295))/INDEX($C31:$V31,N(VALUE($AS$295))),""))))</f>
        <v>0</v>
      </c>
      <c r="BC31" s="32" t="str">
        <f>IF(AND($A31=$B$9,ISNUMBER(L31)),L31,NA())</f>
        <v/>
      </c>
    </row>
    <row r="32">
      <c r="A32" s="28">
        <v>21</v>
      </c>
      <c r="B32" s="45">
        <f>IF($A32&lt;=DAY($D$7),$C$7+$A32-1,"")</f>
        <v>46316</v>
      </c>
      <c r="C32" s="32">
        <f>IF($B32="","",IF($B$2="Todos",SUMIFS(BD!$C$3:$C$5001,BD!$A$3:$A$5001,$B32),SUMIFS(BD!$C$3:$C$5001,BD!$A$3:$A$5001,$B32,BD!$B$3:$B$5001,$D$2)))</f>
        <v>0</v>
      </c>
      <c r="D32" s="32">
        <f>IF($B32="","",IF($B$2="Todos",SUMIFS(BD!$D$3:$D$5001,BD!$A$3:$A$5001,$B32),SUMIFS(BD!$D$3:$D$5001,BD!$A$3:$A$5001,$B32,BD!$B$3:$B$5001,$D$2)))</f>
        <v>0</v>
      </c>
      <c r="E32" s="46">
        <f>IF($B32="","",IF($B$2="Todos",SUMIFS(BD!$E$3:$E$5001,BD!$A$3:$A$5001,$B32),SUMIFS(BD!$E$3:$E$5001,BD!$A$3:$A$5001,$B32,BD!$B$3:$B$5001,$D$2)))</f>
        <v>0</v>
      </c>
      <c r="F32" s="32">
        <f>IF($B32="","",IF($B$2="Todos",SUMIFS(BD!$F$3:$F$5001,BD!$A$3:$A$5001,$B32),SUMIFS(BD!$F$3:$F$5001,BD!$A$3:$A$5001,$B32,BD!$B$3:$B$5001,$D$2)))</f>
        <v>0</v>
      </c>
      <c r="G32" s="32">
        <f>IF($B32="","",IF($B$2="Todos",SUMIFS(BD!$G$3:$G$5001,BD!$A$3:$A$5001,$B32),SUMIFS(BD!$G$3:$G$5001,BD!$A$3:$A$5001,$B32,BD!$B$3:$B$5001,$D$2)))</f>
        <v>0</v>
      </c>
      <c r="H32" s="46">
        <f>IF($B32="","",IF($B$2="Todos",SUMIFS(BD!$H$3:$H$5001,BD!$A$3:$A$5001,$B32),SUMIFS(BD!$H$3:$H$5001,BD!$A$3:$A$5001,$B32,BD!$B$3:$B$5001,$D$2)))</f>
        <v>0</v>
      </c>
      <c r="I32" s="32">
        <f>IF($B32="","",IF($B$2="Todos",SUMIFS(BD!$I$3:$I$5001,BD!$A$3:$A$5001,$B32),SUMIFS(BD!$I$3:$I$5001,BD!$A$3:$A$5001,$B32,BD!$B$3:$B$5001,$D$2)))</f>
        <v>0</v>
      </c>
      <c r="J32" s="32">
        <f>IF($B32="","",IF($B$2="Todos",SUMIFS(BD!$J$3:$J$5001,BD!$A$3:$A$5001,$B32),SUMIFS(BD!$J$3:$J$5001,BD!$A$3:$A$5001,$B32,BD!$B$3:$B$5001,$D$2)))</f>
        <v>0</v>
      </c>
      <c r="K32" s="32" t="str">
        <f>IF($B$2="Todos",IF(COUNT($C$135:$G$135)=0,"",SUM($C$135:$G$135)),IFERROR(INDEX($C$135:$G$135,MATCH($D$2,$C$114:$G$114,0)),""))</f>
        <v/>
      </c>
      <c r="L32" s="47" t="str">
        <f>IF(M32="","",IF($B$2="Todos",IF($B$4&gt;0,$B$4,IF($B$2="Todos",IF(COUNT($C$205:$G$205)=0,"",SUM($C$205:$G$205)),IFERROR(INDEX($C$205:$G$205,MATCH($D$2,$C$184:$G$184,0)),""))),IFERROR(INDEX($C$205:$G$205,MATCH($D$2,$C$184:$G$184,0)),"")))</f>
        <v/>
      </c>
      <c r="M32" s="32" t="str">
        <f>IF($B$2="Todos",IF(COUNT($C$170:$G$170)=0,"",SUM($C$170:$G$170)),IFERROR(INDEX($C$170:$G$170,MATCH($D$2,$C$149:$G$149,0)),""))</f>
        <v/>
      </c>
      <c r="N32" s="48" t="str">
        <f>IF(AND(ISNUMBER(M32),ISNUMBER(L32)),IF(L32&gt;0,M32/L32,""),"")</f>
        <v/>
      </c>
      <c r="O32" s="32" t="str">
        <f>IF($B$2="Todos",IF(COUNT($C$240:$G$240)=0,"",SUM($C$240:$G$240)),IFERROR(INDEX($C$240:$G$240,MATCH($D$2,$C$219:$G$219,0)),""))</f>
        <v/>
      </c>
      <c r="P32" s="32">
        <f>IF($B32="","",IF($B$2="Todos",SUMIFS(BD!$O$3:$O$5001,BD!$A$3:$A$5001,$B32),SUMIFS(BD!$O$3:$O$5001,BD!$A$3:$A$5001,$B32,BD!$B$3:$B$5001,$D$2)))</f>
        <v>0</v>
      </c>
      <c r="Q32" s="32">
        <f>IF($B32="","",IF($B$2="Todos",SUMIFS(BD!$P$3:$P$5001,BD!$A$3:$A$5001,$B32),SUMIFS(BD!$P$3:$P$5001,BD!$A$3:$A$5001,$B32,BD!$B$3:$B$5001,$D$2)))</f>
        <v>0</v>
      </c>
      <c r="R32" s="32">
        <f>IF($B32="","",IF($B$2="Todos",SUMIFS(BD!$Q$3:$Q$5001,BD!$A$3:$A$5001,$B32),SUMIFS(BD!$Q$3:$Q$5001,BD!$A$3:$A$5001,$B32,BD!$B$3:$B$5001,$D$2)))</f>
        <v>0</v>
      </c>
      <c r="S32" s="32">
        <f>IF($B32="","",IF($B$2="Todos",SUMIFS(BD!$R$3:$R$5001,BD!$A$3:$A$5001,$B32),SUMIFS(BD!$R$3:$R$5001,BD!$A$3:$A$5001,$B32,BD!$B$3:$B$5001,$D$2)))</f>
        <v>0</v>
      </c>
      <c r="T32" s="32">
        <f>IF($B32="","",IF($B$2="Todos",SUMIFS(BD!$S$3:$S$5001,BD!$A$3:$A$5001,$B32),SUMIFS(BD!$S$3:$S$5001,BD!$A$3:$A$5001,$B32,BD!$B$3:$B$5001,$D$2)))</f>
        <v>0</v>
      </c>
      <c r="U32" s="32">
        <f>IF($B32="","",IF($B$2="Todos",SUMIFS(BD!$T$3:$T$5001,BD!$A$3:$A$5001,$B32),SUMIFS(BD!$T$3:$T$5001,BD!$A$3:$A$5001,$B32,BD!$B$3:$B$5001,$D$2)))</f>
        <v>0</v>
      </c>
      <c r="V32" s="32">
        <f>IF($B32="","",IF($B$2="Todos",SUMIFS(BD!$U$3:$U$5001,BD!$A$3:$A$5001,$B32),SUMIFS(BD!$U$3:$U$5001,BD!$A$3:$A$5001,$B32,BD!$B$3:$B$5001,$D$2)))</f>
        <v>0</v>
      </c>
      <c r="W32" s="49">
        <f>$B$5</f>
        <v>0.7</v>
      </c>
      <c r="X32" s="49">
        <f>$B$6</f>
        <v>0.9</v>
      </c>
      <c r="AX32" s="60">
        <f>IF(OR($B32="",N(VALUE($AH$295))=0),"",IF(INDEX($C32:$V32,VALUE($AH$295))="","",IF(N(VALUE($AJ$295))=0,INDEX($C32:$V32,VALUE($AH$295)),IF(N(INDEX($C32:$V32,N(VALUE($AJ$295))))&gt;0,INDEX($C32:$V32,VALUE($AH$295))/INDEX($C32:$V32,N(VALUE($AJ$295))),""))))</f>
        <v>0</v>
      </c>
      <c r="AY32" s="60">
        <f>IF(OR($B32="",N(VALUE($AI$295))=0),"",IF(INDEX($C32:$V32,VALUE($AI$295))="","",IF(N(VALUE($AK$295))=0,INDEX($C32:$V32,VALUE($AI$295)),IF(N(INDEX($C32:$V32,N(VALUE($AK$295))))&gt;0,INDEX($C32:$V32,VALUE($AI$295))/INDEX($C32:$V32,N(VALUE($AK$295))),""))))</f>
        <v>0</v>
      </c>
      <c r="AZ32" s="60">
        <f>IF(OR($B32="",N(VALUE($AP$295))=0),"",IF(INDEX($C32:$V32,VALUE($AP$295))="","",IF(N(VALUE($AR$295))=0,INDEX($C32:$V32,VALUE($AP$295)),IF(N(INDEX($C32:$V32,N(VALUE($AR$295))))&gt;0,INDEX($C32:$V32,VALUE($AP$295))/INDEX($C32:$V32,N(VALUE($AR$295))),""))))</f>
        <v>0</v>
      </c>
      <c r="BA32" s="60">
        <f>IF(OR($B32="",N(VALUE($AQ$295))=0),"",IF(INDEX($C32:$V32,VALUE($AQ$295))="","",IF(N(VALUE($AS$295))=0,INDEX($C32:$V32,VALUE($AQ$295)),IF(N(INDEX($C32:$V32,N(VALUE($AS$295))))&gt;0,INDEX($C32:$V32,VALUE($AQ$295))/INDEX($C32:$V32,N(VALUE($AS$295))),""))))</f>
        <v>0</v>
      </c>
      <c r="BC32" s="32" t="str">
        <f>IF(AND($A32=$B$9,ISNUMBER(L32)),L32,NA())</f>
        <v/>
      </c>
    </row>
    <row r="33">
      <c r="A33" s="28">
        <v>22</v>
      </c>
      <c r="B33" s="45">
        <f>IF($A33&lt;=DAY($D$7),$C$7+$A33-1,"")</f>
        <v>46317</v>
      </c>
      <c r="C33" s="32">
        <f>IF($B33="","",IF($B$2="Todos",SUMIFS(BD!$C$3:$C$5001,BD!$A$3:$A$5001,$B33),SUMIFS(BD!$C$3:$C$5001,BD!$A$3:$A$5001,$B33,BD!$B$3:$B$5001,$D$2)))</f>
        <v>0</v>
      </c>
      <c r="D33" s="32">
        <f>IF($B33="","",IF($B$2="Todos",SUMIFS(BD!$D$3:$D$5001,BD!$A$3:$A$5001,$B33),SUMIFS(BD!$D$3:$D$5001,BD!$A$3:$A$5001,$B33,BD!$B$3:$B$5001,$D$2)))</f>
        <v>0</v>
      </c>
      <c r="E33" s="46">
        <f>IF($B33="","",IF($B$2="Todos",SUMIFS(BD!$E$3:$E$5001,BD!$A$3:$A$5001,$B33),SUMIFS(BD!$E$3:$E$5001,BD!$A$3:$A$5001,$B33,BD!$B$3:$B$5001,$D$2)))</f>
        <v>0</v>
      </c>
      <c r="F33" s="32">
        <f>IF($B33="","",IF($B$2="Todos",SUMIFS(BD!$F$3:$F$5001,BD!$A$3:$A$5001,$B33),SUMIFS(BD!$F$3:$F$5001,BD!$A$3:$A$5001,$B33,BD!$B$3:$B$5001,$D$2)))</f>
        <v>0</v>
      </c>
      <c r="G33" s="32">
        <f>IF($B33="","",IF($B$2="Todos",SUMIFS(BD!$G$3:$G$5001,BD!$A$3:$A$5001,$B33),SUMIFS(BD!$G$3:$G$5001,BD!$A$3:$A$5001,$B33,BD!$B$3:$B$5001,$D$2)))</f>
        <v>0</v>
      </c>
      <c r="H33" s="46">
        <f>IF($B33="","",IF($B$2="Todos",SUMIFS(BD!$H$3:$H$5001,BD!$A$3:$A$5001,$B33),SUMIFS(BD!$H$3:$H$5001,BD!$A$3:$A$5001,$B33,BD!$B$3:$B$5001,$D$2)))</f>
        <v>0</v>
      </c>
      <c r="I33" s="32">
        <f>IF($B33="","",IF($B$2="Todos",SUMIFS(BD!$I$3:$I$5001,BD!$A$3:$A$5001,$B33),SUMIFS(BD!$I$3:$I$5001,BD!$A$3:$A$5001,$B33,BD!$B$3:$B$5001,$D$2)))</f>
        <v>0</v>
      </c>
      <c r="J33" s="32">
        <f>IF($B33="","",IF($B$2="Todos",SUMIFS(BD!$J$3:$J$5001,BD!$A$3:$A$5001,$B33),SUMIFS(BD!$J$3:$J$5001,BD!$A$3:$A$5001,$B33,BD!$B$3:$B$5001,$D$2)))</f>
        <v>0</v>
      </c>
      <c r="K33" s="32" t="str">
        <f>IF($B$2="Todos",IF(COUNT($C$136:$G$136)=0,"",SUM($C$136:$G$136)),IFERROR(INDEX($C$136:$G$136,MATCH($D$2,$C$114:$G$114,0)),""))</f>
        <v/>
      </c>
      <c r="L33" s="47" t="str">
        <f>IF(M33="","",IF($B$2="Todos",IF($B$4&gt;0,$B$4,IF($B$2="Todos",IF(COUNT($C$206:$G$206)=0,"",SUM($C$206:$G$206)),IFERROR(INDEX($C$206:$G$206,MATCH($D$2,$C$184:$G$184,0)),""))),IFERROR(INDEX($C$206:$G$206,MATCH($D$2,$C$184:$G$184,0)),"")))</f>
        <v/>
      </c>
      <c r="M33" s="32" t="str">
        <f>IF($B$2="Todos",IF(COUNT($C$171:$G$171)=0,"",SUM($C$171:$G$171)),IFERROR(INDEX($C$171:$G$171,MATCH($D$2,$C$149:$G$149,0)),""))</f>
        <v/>
      </c>
      <c r="N33" s="48" t="str">
        <f>IF(AND(ISNUMBER(M33),ISNUMBER(L33)),IF(L33&gt;0,M33/L33,""),"")</f>
        <v/>
      </c>
      <c r="O33" s="32" t="str">
        <f>IF($B$2="Todos",IF(COUNT($C$241:$G$241)=0,"",SUM($C$241:$G$241)),IFERROR(INDEX($C$241:$G$241,MATCH($D$2,$C$219:$G$219,0)),""))</f>
        <v/>
      </c>
      <c r="P33" s="32">
        <f>IF($B33="","",IF($B$2="Todos",SUMIFS(BD!$O$3:$O$5001,BD!$A$3:$A$5001,$B33),SUMIFS(BD!$O$3:$O$5001,BD!$A$3:$A$5001,$B33,BD!$B$3:$B$5001,$D$2)))</f>
        <v>0</v>
      </c>
      <c r="Q33" s="32">
        <f>IF($B33="","",IF($B$2="Todos",SUMIFS(BD!$P$3:$P$5001,BD!$A$3:$A$5001,$B33),SUMIFS(BD!$P$3:$P$5001,BD!$A$3:$A$5001,$B33,BD!$B$3:$B$5001,$D$2)))</f>
        <v>0</v>
      </c>
      <c r="R33" s="32">
        <f>IF($B33="","",IF($B$2="Todos",SUMIFS(BD!$Q$3:$Q$5001,BD!$A$3:$A$5001,$B33),SUMIFS(BD!$Q$3:$Q$5001,BD!$A$3:$A$5001,$B33,BD!$B$3:$B$5001,$D$2)))</f>
        <v>0</v>
      </c>
      <c r="S33" s="32">
        <f>IF($B33="","",IF($B$2="Todos",SUMIFS(BD!$R$3:$R$5001,BD!$A$3:$A$5001,$B33),SUMIFS(BD!$R$3:$R$5001,BD!$A$3:$A$5001,$B33,BD!$B$3:$B$5001,$D$2)))</f>
        <v>0</v>
      </c>
      <c r="T33" s="32">
        <f>IF($B33="","",IF($B$2="Todos",SUMIFS(BD!$S$3:$S$5001,BD!$A$3:$A$5001,$B33),SUMIFS(BD!$S$3:$S$5001,BD!$A$3:$A$5001,$B33,BD!$B$3:$B$5001,$D$2)))</f>
        <v>0</v>
      </c>
      <c r="U33" s="32">
        <f>IF($B33="","",IF($B$2="Todos",SUMIFS(BD!$T$3:$T$5001,BD!$A$3:$A$5001,$B33),SUMIFS(BD!$T$3:$T$5001,BD!$A$3:$A$5001,$B33,BD!$B$3:$B$5001,$D$2)))</f>
        <v>0</v>
      </c>
      <c r="V33" s="32">
        <f>IF($B33="","",IF($B$2="Todos",SUMIFS(BD!$U$3:$U$5001,BD!$A$3:$A$5001,$B33),SUMIFS(BD!$U$3:$U$5001,BD!$A$3:$A$5001,$B33,BD!$B$3:$B$5001,$D$2)))</f>
        <v>0</v>
      </c>
      <c r="W33" s="49">
        <f>$B$5</f>
        <v>0.7</v>
      </c>
      <c r="X33" s="49">
        <f>$B$6</f>
        <v>0.9</v>
      </c>
      <c r="AX33" s="60">
        <f>IF(OR($B33="",N(VALUE($AH$295))=0),"",IF(INDEX($C33:$V33,VALUE($AH$295))="","",IF(N(VALUE($AJ$295))=0,INDEX($C33:$V33,VALUE($AH$295)),IF(N(INDEX($C33:$V33,N(VALUE($AJ$295))))&gt;0,INDEX($C33:$V33,VALUE($AH$295))/INDEX($C33:$V33,N(VALUE($AJ$295))),""))))</f>
        <v>0</v>
      </c>
      <c r="AY33" s="60">
        <f>IF(OR($B33="",N(VALUE($AI$295))=0),"",IF(INDEX($C33:$V33,VALUE($AI$295))="","",IF(N(VALUE($AK$295))=0,INDEX($C33:$V33,VALUE($AI$295)),IF(N(INDEX($C33:$V33,N(VALUE($AK$295))))&gt;0,INDEX($C33:$V33,VALUE($AI$295))/INDEX($C33:$V33,N(VALUE($AK$295))),""))))</f>
        <v>0</v>
      </c>
      <c r="AZ33" s="60">
        <f>IF(OR($B33="",N(VALUE($AP$295))=0),"",IF(INDEX($C33:$V33,VALUE($AP$295))="","",IF(N(VALUE($AR$295))=0,INDEX($C33:$V33,VALUE($AP$295)),IF(N(INDEX($C33:$V33,N(VALUE($AR$295))))&gt;0,INDEX($C33:$V33,VALUE($AP$295))/INDEX($C33:$V33,N(VALUE($AR$295))),""))))</f>
        <v>0</v>
      </c>
      <c r="BA33" s="60">
        <f>IF(OR($B33="",N(VALUE($AQ$295))=0),"",IF(INDEX($C33:$V33,VALUE($AQ$295))="","",IF(N(VALUE($AS$295))=0,INDEX($C33:$V33,VALUE($AQ$295)),IF(N(INDEX($C33:$V33,N(VALUE($AS$295))))&gt;0,INDEX($C33:$V33,VALUE($AQ$295))/INDEX($C33:$V33,N(VALUE($AS$295))),""))))</f>
        <v>0</v>
      </c>
      <c r="BC33" s="32" t="str">
        <f>IF(AND($A33=$B$9,ISNUMBER(L33)),L33,NA())</f>
        <v/>
      </c>
    </row>
    <row r="34">
      <c r="A34" s="28">
        <v>23</v>
      </c>
      <c r="B34" s="45">
        <f>IF($A34&lt;=DAY($D$7),$C$7+$A34-1,"")</f>
        <v>46318</v>
      </c>
      <c r="C34" s="32">
        <f>IF($B34="","",IF($B$2="Todos",SUMIFS(BD!$C$3:$C$5001,BD!$A$3:$A$5001,$B34),SUMIFS(BD!$C$3:$C$5001,BD!$A$3:$A$5001,$B34,BD!$B$3:$B$5001,$D$2)))</f>
        <v>0</v>
      </c>
      <c r="D34" s="32">
        <f>IF($B34="","",IF($B$2="Todos",SUMIFS(BD!$D$3:$D$5001,BD!$A$3:$A$5001,$B34),SUMIFS(BD!$D$3:$D$5001,BD!$A$3:$A$5001,$B34,BD!$B$3:$B$5001,$D$2)))</f>
        <v>0</v>
      </c>
      <c r="E34" s="46">
        <f>IF($B34="","",IF($B$2="Todos",SUMIFS(BD!$E$3:$E$5001,BD!$A$3:$A$5001,$B34),SUMIFS(BD!$E$3:$E$5001,BD!$A$3:$A$5001,$B34,BD!$B$3:$B$5001,$D$2)))</f>
        <v>0</v>
      </c>
      <c r="F34" s="32">
        <f>IF($B34="","",IF($B$2="Todos",SUMIFS(BD!$F$3:$F$5001,BD!$A$3:$A$5001,$B34),SUMIFS(BD!$F$3:$F$5001,BD!$A$3:$A$5001,$B34,BD!$B$3:$B$5001,$D$2)))</f>
        <v>0</v>
      </c>
      <c r="G34" s="32">
        <f>IF($B34="","",IF($B$2="Todos",SUMIFS(BD!$G$3:$G$5001,BD!$A$3:$A$5001,$B34),SUMIFS(BD!$G$3:$G$5001,BD!$A$3:$A$5001,$B34,BD!$B$3:$B$5001,$D$2)))</f>
        <v>0</v>
      </c>
      <c r="H34" s="46">
        <f>IF($B34="","",IF($B$2="Todos",SUMIFS(BD!$H$3:$H$5001,BD!$A$3:$A$5001,$B34),SUMIFS(BD!$H$3:$H$5001,BD!$A$3:$A$5001,$B34,BD!$B$3:$B$5001,$D$2)))</f>
        <v>0</v>
      </c>
      <c r="I34" s="32">
        <f>IF($B34="","",IF($B$2="Todos",SUMIFS(BD!$I$3:$I$5001,BD!$A$3:$A$5001,$B34),SUMIFS(BD!$I$3:$I$5001,BD!$A$3:$A$5001,$B34,BD!$B$3:$B$5001,$D$2)))</f>
        <v>0</v>
      </c>
      <c r="J34" s="32">
        <f>IF($B34="","",IF($B$2="Todos",SUMIFS(BD!$J$3:$J$5001,BD!$A$3:$A$5001,$B34),SUMIFS(BD!$J$3:$J$5001,BD!$A$3:$A$5001,$B34,BD!$B$3:$B$5001,$D$2)))</f>
        <v>0</v>
      </c>
      <c r="K34" s="32" t="str">
        <f>IF($B$2="Todos",IF(COUNT($C$137:$G$137)=0,"",SUM($C$137:$G$137)),IFERROR(INDEX($C$137:$G$137,MATCH($D$2,$C$114:$G$114,0)),""))</f>
        <v/>
      </c>
      <c r="L34" s="47" t="str">
        <f>IF(M34="","",IF($B$2="Todos",IF($B$4&gt;0,$B$4,IF($B$2="Todos",IF(COUNT($C$207:$G$207)=0,"",SUM($C$207:$G$207)),IFERROR(INDEX($C$207:$G$207,MATCH($D$2,$C$184:$G$184,0)),""))),IFERROR(INDEX($C$207:$G$207,MATCH($D$2,$C$184:$G$184,0)),"")))</f>
        <v/>
      </c>
      <c r="M34" s="32" t="str">
        <f>IF($B$2="Todos",IF(COUNT($C$172:$G$172)=0,"",SUM($C$172:$G$172)),IFERROR(INDEX($C$172:$G$172,MATCH($D$2,$C$149:$G$149,0)),""))</f>
        <v/>
      </c>
      <c r="N34" s="48" t="str">
        <f>IF(AND(ISNUMBER(M34),ISNUMBER(L34)),IF(L34&gt;0,M34/L34,""),"")</f>
        <v/>
      </c>
      <c r="O34" s="32" t="str">
        <f>IF($B$2="Todos",IF(COUNT($C$242:$G$242)=0,"",SUM($C$242:$G$242)),IFERROR(INDEX($C$242:$G$242,MATCH($D$2,$C$219:$G$219,0)),""))</f>
        <v/>
      </c>
      <c r="P34" s="32">
        <f>IF($B34="","",IF($B$2="Todos",SUMIFS(BD!$O$3:$O$5001,BD!$A$3:$A$5001,$B34),SUMIFS(BD!$O$3:$O$5001,BD!$A$3:$A$5001,$B34,BD!$B$3:$B$5001,$D$2)))</f>
        <v>0</v>
      </c>
      <c r="Q34" s="32">
        <f>IF($B34="","",IF($B$2="Todos",SUMIFS(BD!$P$3:$P$5001,BD!$A$3:$A$5001,$B34),SUMIFS(BD!$P$3:$P$5001,BD!$A$3:$A$5001,$B34,BD!$B$3:$B$5001,$D$2)))</f>
        <v>0</v>
      </c>
      <c r="R34" s="32">
        <f>IF($B34="","",IF($B$2="Todos",SUMIFS(BD!$Q$3:$Q$5001,BD!$A$3:$A$5001,$B34),SUMIFS(BD!$Q$3:$Q$5001,BD!$A$3:$A$5001,$B34,BD!$B$3:$B$5001,$D$2)))</f>
        <v>0</v>
      </c>
      <c r="S34" s="32">
        <f>IF($B34="","",IF($B$2="Todos",SUMIFS(BD!$R$3:$R$5001,BD!$A$3:$A$5001,$B34),SUMIFS(BD!$R$3:$R$5001,BD!$A$3:$A$5001,$B34,BD!$B$3:$B$5001,$D$2)))</f>
        <v>0</v>
      </c>
      <c r="T34" s="32">
        <f>IF($B34="","",IF($B$2="Todos",SUMIFS(BD!$S$3:$S$5001,BD!$A$3:$A$5001,$B34),SUMIFS(BD!$S$3:$S$5001,BD!$A$3:$A$5001,$B34,BD!$B$3:$B$5001,$D$2)))</f>
        <v>0</v>
      </c>
      <c r="U34" s="32">
        <f>IF($B34="","",IF($B$2="Todos",SUMIFS(BD!$T$3:$T$5001,BD!$A$3:$A$5001,$B34),SUMIFS(BD!$T$3:$T$5001,BD!$A$3:$A$5001,$B34,BD!$B$3:$B$5001,$D$2)))</f>
        <v>0</v>
      </c>
      <c r="V34" s="32">
        <f>IF($B34="","",IF($B$2="Todos",SUMIFS(BD!$U$3:$U$5001,BD!$A$3:$A$5001,$B34),SUMIFS(BD!$U$3:$U$5001,BD!$A$3:$A$5001,$B34,BD!$B$3:$B$5001,$D$2)))</f>
        <v>0</v>
      </c>
      <c r="W34" s="49">
        <f>$B$5</f>
        <v>0.7</v>
      </c>
      <c r="X34" s="49">
        <f>$B$6</f>
        <v>0.9</v>
      </c>
      <c r="AX34" s="60">
        <f>IF(OR($B34="",N(VALUE($AH$295))=0),"",IF(INDEX($C34:$V34,VALUE($AH$295))="","",IF(N(VALUE($AJ$295))=0,INDEX($C34:$V34,VALUE($AH$295)),IF(N(INDEX($C34:$V34,N(VALUE($AJ$295))))&gt;0,INDEX($C34:$V34,VALUE($AH$295))/INDEX($C34:$V34,N(VALUE($AJ$295))),""))))</f>
        <v>0</v>
      </c>
      <c r="AY34" s="60">
        <f>IF(OR($B34="",N(VALUE($AI$295))=0),"",IF(INDEX($C34:$V34,VALUE($AI$295))="","",IF(N(VALUE($AK$295))=0,INDEX($C34:$V34,VALUE($AI$295)),IF(N(INDEX($C34:$V34,N(VALUE($AK$295))))&gt;0,INDEX($C34:$V34,VALUE($AI$295))/INDEX($C34:$V34,N(VALUE($AK$295))),""))))</f>
        <v>0</v>
      </c>
      <c r="AZ34" s="60">
        <f>IF(OR($B34="",N(VALUE($AP$295))=0),"",IF(INDEX($C34:$V34,VALUE($AP$295))="","",IF(N(VALUE($AR$295))=0,INDEX($C34:$V34,VALUE($AP$295)),IF(N(INDEX($C34:$V34,N(VALUE($AR$295))))&gt;0,INDEX($C34:$V34,VALUE($AP$295))/INDEX($C34:$V34,N(VALUE($AR$295))),""))))</f>
        <v>0</v>
      </c>
      <c r="BA34" s="60">
        <f>IF(OR($B34="",N(VALUE($AQ$295))=0),"",IF(INDEX($C34:$V34,VALUE($AQ$295))="","",IF(N(VALUE($AS$295))=0,INDEX($C34:$V34,VALUE($AQ$295)),IF(N(INDEX($C34:$V34,N(VALUE($AS$295))))&gt;0,INDEX($C34:$V34,VALUE($AQ$295))/INDEX($C34:$V34,N(VALUE($AS$295))),""))))</f>
        <v>0</v>
      </c>
      <c r="BC34" s="32" t="str">
        <f>IF(AND($A34=$B$9,ISNUMBER(L34)),L34,NA())</f>
        <v/>
      </c>
    </row>
    <row r="35">
      <c r="A35" s="28">
        <v>24</v>
      </c>
      <c r="B35" s="45">
        <f>IF($A35&lt;=DAY($D$7),$C$7+$A35-1,"")</f>
        <v>46319</v>
      </c>
      <c r="C35" s="32">
        <f>IF($B35="","",IF($B$2="Todos",SUMIFS(BD!$C$3:$C$5001,BD!$A$3:$A$5001,$B35),SUMIFS(BD!$C$3:$C$5001,BD!$A$3:$A$5001,$B35,BD!$B$3:$B$5001,$D$2)))</f>
        <v>0</v>
      </c>
      <c r="D35" s="32">
        <f>IF($B35="","",IF($B$2="Todos",SUMIFS(BD!$D$3:$D$5001,BD!$A$3:$A$5001,$B35),SUMIFS(BD!$D$3:$D$5001,BD!$A$3:$A$5001,$B35,BD!$B$3:$B$5001,$D$2)))</f>
        <v>0</v>
      </c>
      <c r="E35" s="46">
        <f>IF($B35="","",IF($B$2="Todos",SUMIFS(BD!$E$3:$E$5001,BD!$A$3:$A$5001,$B35),SUMIFS(BD!$E$3:$E$5001,BD!$A$3:$A$5001,$B35,BD!$B$3:$B$5001,$D$2)))</f>
        <v>0</v>
      </c>
      <c r="F35" s="32">
        <f>IF($B35="","",IF($B$2="Todos",SUMIFS(BD!$F$3:$F$5001,BD!$A$3:$A$5001,$B35),SUMIFS(BD!$F$3:$F$5001,BD!$A$3:$A$5001,$B35,BD!$B$3:$B$5001,$D$2)))</f>
        <v>0</v>
      </c>
      <c r="G35" s="32">
        <f>IF($B35="","",IF($B$2="Todos",SUMIFS(BD!$G$3:$G$5001,BD!$A$3:$A$5001,$B35),SUMIFS(BD!$G$3:$G$5001,BD!$A$3:$A$5001,$B35,BD!$B$3:$B$5001,$D$2)))</f>
        <v>0</v>
      </c>
      <c r="H35" s="46">
        <f>IF($B35="","",IF($B$2="Todos",SUMIFS(BD!$H$3:$H$5001,BD!$A$3:$A$5001,$B35),SUMIFS(BD!$H$3:$H$5001,BD!$A$3:$A$5001,$B35,BD!$B$3:$B$5001,$D$2)))</f>
        <v>0</v>
      </c>
      <c r="I35" s="32">
        <f>IF($B35="","",IF($B$2="Todos",SUMIFS(BD!$I$3:$I$5001,BD!$A$3:$A$5001,$B35),SUMIFS(BD!$I$3:$I$5001,BD!$A$3:$A$5001,$B35,BD!$B$3:$B$5001,$D$2)))</f>
        <v>0</v>
      </c>
      <c r="J35" s="32">
        <f>IF($B35="","",IF($B$2="Todos",SUMIFS(BD!$J$3:$J$5001,BD!$A$3:$A$5001,$B35),SUMIFS(BD!$J$3:$J$5001,BD!$A$3:$A$5001,$B35,BD!$B$3:$B$5001,$D$2)))</f>
        <v>0</v>
      </c>
      <c r="K35" s="32" t="str">
        <f>IF($B$2="Todos",IF(COUNT($C$138:$G$138)=0,"",SUM($C$138:$G$138)),IFERROR(INDEX($C$138:$G$138,MATCH($D$2,$C$114:$G$114,0)),""))</f>
        <v/>
      </c>
      <c r="L35" s="47" t="str">
        <f>IF(M35="","",IF($B$2="Todos",IF($B$4&gt;0,$B$4,IF($B$2="Todos",IF(COUNT($C$208:$G$208)=0,"",SUM($C$208:$G$208)),IFERROR(INDEX($C$208:$G$208,MATCH($D$2,$C$184:$G$184,0)),""))),IFERROR(INDEX($C$208:$G$208,MATCH($D$2,$C$184:$G$184,0)),"")))</f>
        <v/>
      </c>
      <c r="M35" s="32" t="str">
        <f>IF($B$2="Todos",IF(COUNT($C$173:$G$173)=0,"",SUM($C$173:$G$173)),IFERROR(INDEX($C$173:$G$173,MATCH($D$2,$C$149:$G$149,0)),""))</f>
        <v/>
      </c>
      <c r="N35" s="48" t="str">
        <f>IF(AND(ISNUMBER(M35),ISNUMBER(L35)),IF(L35&gt;0,M35/L35,""),"")</f>
        <v/>
      </c>
      <c r="O35" s="32" t="str">
        <f>IF($B$2="Todos",IF(COUNT($C$243:$G$243)=0,"",SUM($C$243:$G$243)),IFERROR(INDEX($C$243:$G$243,MATCH($D$2,$C$219:$G$219,0)),""))</f>
        <v/>
      </c>
      <c r="P35" s="32">
        <f>IF($B35="","",IF($B$2="Todos",SUMIFS(BD!$O$3:$O$5001,BD!$A$3:$A$5001,$B35),SUMIFS(BD!$O$3:$O$5001,BD!$A$3:$A$5001,$B35,BD!$B$3:$B$5001,$D$2)))</f>
        <v>0</v>
      </c>
      <c r="Q35" s="32">
        <f>IF($B35="","",IF($B$2="Todos",SUMIFS(BD!$P$3:$P$5001,BD!$A$3:$A$5001,$B35),SUMIFS(BD!$P$3:$P$5001,BD!$A$3:$A$5001,$B35,BD!$B$3:$B$5001,$D$2)))</f>
        <v>0</v>
      </c>
      <c r="R35" s="32">
        <f>IF($B35="","",IF($B$2="Todos",SUMIFS(BD!$Q$3:$Q$5001,BD!$A$3:$A$5001,$B35),SUMIFS(BD!$Q$3:$Q$5001,BD!$A$3:$A$5001,$B35,BD!$B$3:$B$5001,$D$2)))</f>
        <v>0</v>
      </c>
      <c r="S35" s="32">
        <f>IF($B35="","",IF($B$2="Todos",SUMIFS(BD!$R$3:$R$5001,BD!$A$3:$A$5001,$B35),SUMIFS(BD!$R$3:$R$5001,BD!$A$3:$A$5001,$B35,BD!$B$3:$B$5001,$D$2)))</f>
        <v>0</v>
      </c>
      <c r="T35" s="32">
        <f>IF($B35="","",IF($B$2="Todos",SUMIFS(BD!$S$3:$S$5001,BD!$A$3:$A$5001,$B35),SUMIFS(BD!$S$3:$S$5001,BD!$A$3:$A$5001,$B35,BD!$B$3:$B$5001,$D$2)))</f>
        <v>0</v>
      </c>
      <c r="U35" s="32">
        <f>IF($B35="","",IF($B$2="Todos",SUMIFS(BD!$T$3:$T$5001,BD!$A$3:$A$5001,$B35),SUMIFS(BD!$T$3:$T$5001,BD!$A$3:$A$5001,$B35,BD!$B$3:$B$5001,$D$2)))</f>
        <v>0</v>
      </c>
      <c r="V35" s="32">
        <f>IF($B35="","",IF($B$2="Todos",SUMIFS(BD!$U$3:$U$5001,BD!$A$3:$A$5001,$B35),SUMIFS(BD!$U$3:$U$5001,BD!$A$3:$A$5001,$B35,BD!$B$3:$B$5001,$D$2)))</f>
        <v>0</v>
      </c>
      <c r="W35" s="49">
        <f>$B$5</f>
        <v>0.7</v>
      </c>
      <c r="X35" s="49">
        <f>$B$6</f>
        <v>0.9</v>
      </c>
      <c r="AX35" s="60">
        <f>IF(OR($B35="",N(VALUE($AH$295))=0),"",IF(INDEX($C35:$V35,VALUE($AH$295))="","",IF(N(VALUE($AJ$295))=0,INDEX($C35:$V35,VALUE($AH$295)),IF(N(INDEX($C35:$V35,N(VALUE($AJ$295))))&gt;0,INDEX($C35:$V35,VALUE($AH$295))/INDEX($C35:$V35,N(VALUE($AJ$295))),""))))</f>
        <v>0</v>
      </c>
      <c r="AY35" s="60">
        <f>IF(OR($B35="",N(VALUE($AI$295))=0),"",IF(INDEX($C35:$V35,VALUE($AI$295))="","",IF(N(VALUE($AK$295))=0,INDEX($C35:$V35,VALUE($AI$295)),IF(N(INDEX($C35:$V35,N(VALUE($AK$295))))&gt;0,INDEX($C35:$V35,VALUE($AI$295))/INDEX($C35:$V35,N(VALUE($AK$295))),""))))</f>
        <v>0</v>
      </c>
      <c r="AZ35" s="60">
        <f>IF(OR($B35="",N(VALUE($AP$295))=0),"",IF(INDEX($C35:$V35,VALUE($AP$295))="","",IF(N(VALUE($AR$295))=0,INDEX($C35:$V35,VALUE($AP$295)),IF(N(INDEX($C35:$V35,N(VALUE($AR$295))))&gt;0,INDEX($C35:$V35,VALUE($AP$295))/INDEX($C35:$V35,N(VALUE($AR$295))),""))))</f>
        <v>0</v>
      </c>
      <c r="BA35" s="60">
        <f>IF(OR($B35="",N(VALUE($AQ$295))=0),"",IF(INDEX($C35:$V35,VALUE($AQ$295))="","",IF(N(VALUE($AS$295))=0,INDEX($C35:$V35,VALUE($AQ$295)),IF(N(INDEX($C35:$V35,N(VALUE($AS$295))))&gt;0,INDEX($C35:$V35,VALUE($AQ$295))/INDEX($C35:$V35,N(VALUE($AS$295))),""))))</f>
        <v>0</v>
      </c>
      <c r="BC35" s="32" t="str">
        <f>IF(AND($A35=$B$9,ISNUMBER(L35)),L35,NA())</f>
        <v/>
      </c>
    </row>
    <row r="36">
      <c r="A36" s="28">
        <v>25</v>
      </c>
      <c r="B36" s="45">
        <f>IF($A36&lt;=DAY($D$7),$C$7+$A36-1,"")</f>
        <v>46320</v>
      </c>
      <c r="C36" s="32">
        <f>IF($B36="","",IF($B$2="Todos",SUMIFS(BD!$C$3:$C$5001,BD!$A$3:$A$5001,$B36),SUMIFS(BD!$C$3:$C$5001,BD!$A$3:$A$5001,$B36,BD!$B$3:$B$5001,$D$2)))</f>
        <v>0</v>
      </c>
      <c r="D36" s="32">
        <f>IF($B36="","",IF($B$2="Todos",SUMIFS(BD!$D$3:$D$5001,BD!$A$3:$A$5001,$B36),SUMIFS(BD!$D$3:$D$5001,BD!$A$3:$A$5001,$B36,BD!$B$3:$B$5001,$D$2)))</f>
        <v>0</v>
      </c>
      <c r="E36" s="46">
        <f>IF($B36="","",IF($B$2="Todos",SUMIFS(BD!$E$3:$E$5001,BD!$A$3:$A$5001,$B36),SUMIFS(BD!$E$3:$E$5001,BD!$A$3:$A$5001,$B36,BD!$B$3:$B$5001,$D$2)))</f>
        <v>0</v>
      </c>
      <c r="F36" s="32">
        <f>IF($B36="","",IF($B$2="Todos",SUMIFS(BD!$F$3:$F$5001,BD!$A$3:$A$5001,$B36),SUMIFS(BD!$F$3:$F$5001,BD!$A$3:$A$5001,$B36,BD!$B$3:$B$5001,$D$2)))</f>
        <v>0</v>
      </c>
      <c r="G36" s="32">
        <f>IF($B36="","",IF($B$2="Todos",SUMIFS(BD!$G$3:$G$5001,BD!$A$3:$A$5001,$B36),SUMIFS(BD!$G$3:$G$5001,BD!$A$3:$A$5001,$B36,BD!$B$3:$B$5001,$D$2)))</f>
        <v>0</v>
      </c>
      <c r="H36" s="46">
        <f>IF($B36="","",IF($B$2="Todos",SUMIFS(BD!$H$3:$H$5001,BD!$A$3:$A$5001,$B36),SUMIFS(BD!$H$3:$H$5001,BD!$A$3:$A$5001,$B36,BD!$B$3:$B$5001,$D$2)))</f>
        <v>0</v>
      </c>
      <c r="I36" s="32">
        <f>IF($B36="","",IF($B$2="Todos",SUMIFS(BD!$I$3:$I$5001,BD!$A$3:$A$5001,$B36),SUMIFS(BD!$I$3:$I$5001,BD!$A$3:$A$5001,$B36,BD!$B$3:$B$5001,$D$2)))</f>
        <v>0</v>
      </c>
      <c r="J36" s="32">
        <f>IF($B36="","",IF($B$2="Todos",SUMIFS(BD!$J$3:$J$5001,BD!$A$3:$A$5001,$B36),SUMIFS(BD!$J$3:$J$5001,BD!$A$3:$A$5001,$B36,BD!$B$3:$B$5001,$D$2)))</f>
        <v>0</v>
      </c>
      <c r="K36" s="32" t="str">
        <f>IF($B$2="Todos",IF(COUNT($C$139:$G$139)=0,"",SUM($C$139:$G$139)),IFERROR(INDEX($C$139:$G$139,MATCH($D$2,$C$114:$G$114,0)),""))</f>
        <v/>
      </c>
      <c r="L36" s="47" t="str">
        <f>IF(M36="","",IF($B$2="Todos",IF($B$4&gt;0,$B$4,IF($B$2="Todos",IF(COUNT($C$209:$G$209)=0,"",SUM($C$209:$G$209)),IFERROR(INDEX($C$209:$G$209,MATCH($D$2,$C$184:$G$184,0)),""))),IFERROR(INDEX($C$209:$G$209,MATCH($D$2,$C$184:$G$184,0)),"")))</f>
        <v/>
      </c>
      <c r="M36" s="32" t="str">
        <f>IF($B$2="Todos",IF(COUNT($C$174:$G$174)=0,"",SUM($C$174:$G$174)),IFERROR(INDEX($C$174:$G$174,MATCH($D$2,$C$149:$G$149,0)),""))</f>
        <v/>
      </c>
      <c r="N36" s="48" t="str">
        <f>IF(AND(ISNUMBER(M36),ISNUMBER(L36)),IF(L36&gt;0,M36/L36,""),"")</f>
        <v/>
      </c>
      <c r="O36" s="32" t="str">
        <f>IF($B$2="Todos",IF(COUNT($C$244:$G$244)=0,"",SUM($C$244:$G$244)),IFERROR(INDEX($C$244:$G$244,MATCH($D$2,$C$219:$G$219,0)),""))</f>
        <v/>
      </c>
      <c r="P36" s="32">
        <f>IF($B36="","",IF($B$2="Todos",SUMIFS(BD!$O$3:$O$5001,BD!$A$3:$A$5001,$B36),SUMIFS(BD!$O$3:$O$5001,BD!$A$3:$A$5001,$B36,BD!$B$3:$B$5001,$D$2)))</f>
        <v>0</v>
      </c>
      <c r="Q36" s="32">
        <f>IF($B36="","",IF($B$2="Todos",SUMIFS(BD!$P$3:$P$5001,BD!$A$3:$A$5001,$B36),SUMIFS(BD!$P$3:$P$5001,BD!$A$3:$A$5001,$B36,BD!$B$3:$B$5001,$D$2)))</f>
        <v>0</v>
      </c>
      <c r="R36" s="32">
        <f>IF($B36="","",IF($B$2="Todos",SUMIFS(BD!$Q$3:$Q$5001,BD!$A$3:$A$5001,$B36),SUMIFS(BD!$Q$3:$Q$5001,BD!$A$3:$A$5001,$B36,BD!$B$3:$B$5001,$D$2)))</f>
        <v>0</v>
      </c>
      <c r="S36" s="32">
        <f>IF($B36="","",IF($B$2="Todos",SUMIFS(BD!$R$3:$R$5001,BD!$A$3:$A$5001,$B36),SUMIFS(BD!$R$3:$R$5001,BD!$A$3:$A$5001,$B36,BD!$B$3:$B$5001,$D$2)))</f>
        <v>0</v>
      </c>
      <c r="T36" s="32">
        <f>IF($B36="","",IF($B$2="Todos",SUMIFS(BD!$S$3:$S$5001,BD!$A$3:$A$5001,$B36),SUMIFS(BD!$S$3:$S$5001,BD!$A$3:$A$5001,$B36,BD!$B$3:$B$5001,$D$2)))</f>
        <v>0</v>
      </c>
      <c r="U36" s="32">
        <f>IF($B36="","",IF($B$2="Todos",SUMIFS(BD!$T$3:$T$5001,BD!$A$3:$A$5001,$B36),SUMIFS(BD!$T$3:$T$5001,BD!$A$3:$A$5001,$B36,BD!$B$3:$B$5001,$D$2)))</f>
        <v>0</v>
      </c>
      <c r="V36" s="32">
        <f>IF($B36="","",IF($B$2="Todos",SUMIFS(BD!$U$3:$U$5001,BD!$A$3:$A$5001,$B36),SUMIFS(BD!$U$3:$U$5001,BD!$A$3:$A$5001,$B36,BD!$B$3:$B$5001,$D$2)))</f>
        <v>0</v>
      </c>
      <c r="W36" s="49">
        <f>$B$5</f>
        <v>0.7</v>
      </c>
      <c r="X36" s="49">
        <f>$B$6</f>
        <v>0.9</v>
      </c>
      <c r="AX36" s="60">
        <f>IF(OR($B36="",N(VALUE($AH$295))=0),"",IF(INDEX($C36:$V36,VALUE($AH$295))="","",IF(N(VALUE($AJ$295))=0,INDEX($C36:$V36,VALUE($AH$295)),IF(N(INDEX($C36:$V36,N(VALUE($AJ$295))))&gt;0,INDEX($C36:$V36,VALUE($AH$295))/INDEX($C36:$V36,N(VALUE($AJ$295))),""))))</f>
        <v>0</v>
      </c>
      <c r="AY36" s="60">
        <f>IF(OR($B36="",N(VALUE($AI$295))=0),"",IF(INDEX($C36:$V36,VALUE($AI$295))="","",IF(N(VALUE($AK$295))=0,INDEX($C36:$V36,VALUE($AI$295)),IF(N(INDEX($C36:$V36,N(VALUE($AK$295))))&gt;0,INDEX($C36:$V36,VALUE($AI$295))/INDEX($C36:$V36,N(VALUE($AK$295))),""))))</f>
        <v>0</v>
      </c>
      <c r="AZ36" s="60">
        <f>IF(OR($B36="",N(VALUE($AP$295))=0),"",IF(INDEX($C36:$V36,VALUE($AP$295))="","",IF(N(VALUE($AR$295))=0,INDEX($C36:$V36,VALUE($AP$295)),IF(N(INDEX($C36:$V36,N(VALUE($AR$295))))&gt;0,INDEX($C36:$V36,VALUE($AP$295))/INDEX($C36:$V36,N(VALUE($AR$295))),""))))</f>
        <v>0</v>
      </c>
      <c r="BA36" s="60">
        <f>IF(OR($B36="",N(VALUE($AQ$295))=0),"",IF(INDEX($C36:$V36,VALUE($AQ$295))="","",IF(N(VALUE($AS$295))=0,INDEX($C36:$V36,VALUE($AQ$295)),IF(N(INDEX($C36:$V36,N(VALUE($AS$295))))&gt;0,INDEX($C36:$V36,VALUE($AQ$295))/INDEX($C36:$V36,N(VALUE($AS$295))),""))))</f>
        <v>0</v>
      </c>
      <c r="BC36" s="32" t="str">
        <f>IF(AND($A36=$B$9,ISNUMBER(L36)),L36,NA())</f>
        <v/>
      </c>
    </row>
    <row r="37">
      <c r="A37" s="28">
        <v>26</v>
      </c>
      <c r="B37" s="45">
        <f>IF($A37&lt;=DAY($D$7),$C$7+$A37-1,"")</f>
        <v>46321</v>
      </c>
      <c r="C37" s="32">
        <f>IF($B37="","",IF($B$2="Todos",SUMIFS(BD!$C$3:$C$5001,BD!$A$3:$A$5001,$B37),SUMIFS(BD!$C$3:$C$5001,BD!$A$3:$A$5001,$B37,BD!$B$3:$B$5001,$D$2)))</f>
        <v>0</v>
      </c>
      <c r="D37" s="32">
        <f>IF($B37="","",IF($B$2="Todos",SUMIFS(BD!$D$3:$D$5001,BD!$A$3:$A$5001,$B37),SUMIFS(BD!$D$3:$D$5001,BD!$A$3:$A$5001,$B37,BD!$B$3:$B$5001,$D$2)))</f>
        <v>0</v>
      </c>
      <c r="E37" s="46">
        <f>IF($B37="","",IF($B$2="Todos",SUMIFS(BD!$E$3:$E$5001,BD!$A$3:$A$5001,$B37),SUMIFS(BD!$E$3:$E$5001,BD!$A$3:$A$5001,$B37,BD!$B$3:$B$5001,$D$2)))</f>
        <v>0</v>
      </c>
      <c r="F37" s="32">
        <f>IF($B37="","",IF($B$2="Todos",SUMIFS(BD!$F$3:$F$5001,BD!$A$3:$A$5001,$B37),SUMIFS(BD!$F$3:$F$5001,BD!$A$3:$A$5001,$B37,BD!$B$3:$B$5001,$D$2)))</f>
        <v>0</v>
      </c>
      <c r="G37" s="32">
        <f>IF($B37="","",IF($B$2="Todos",SUMIFS(BD!$G$3:$G$5001,BD!$A$3:$A$5001,$B37),SUMIFS(BD!$G$3:$G$5001,BD!$A$3:$A$5001,$B37,BD!$B$3:$B$5001,$D$2)))</f>
        <v>0</v>
      </c>
      <c r="H37" s="46">
        <f>IF($B37="","",IF($B$2="Todos",SUMIFS(BD!$H$3:$H$5001,BD!$A$3:$A$5001,$B37),SUMIFS(BD!$H$3:$H$5001,BD!$A$3:$A$5001,$B37,BD!$B$3:$B$5001,$D$2)))</f>
        <v>0</v>
      </c>
      <c r="I37" s="32">
        <f>IF($B37="","",IF($B$2="Todos",SUMIFS(BD!$I$3:$I$5001,BD!$A$3:$A$5001,$B37),SUMIFS(BD!$I$3:$I$5001,BD!$A$3:$A$5001,$B37,BD!$B$3:$B$5001,$D$2)))</f>
        <v>0</v>
      </c>
      <c r="J37" s="32">
        <f>IF($B37="","",IF($B$2="Todos",SUMIFS(BD!$J$3:$J$5001,BD!$A$3:$A$5001,$B37),SUMIFS(BD!$J$3:$J$5001,BD!$A$3:$A$5001,$B37,BD!$B$3:$B$5001,$D$2)))</f>
        <v>0</v>
      </c>
      <c r="K37" s="32" t="str">
        <f>IF($B$2="Todos",IF(COUNT($C$140:$G$140)=0,"",SUM($C$140:$G$140)),IFERROR(INDEX($C$140:$G$140,MATCH($D$2,$C$114:$G$114,0)),""))</f>
        <v/>
      </c>
      <c r="L37" s="47" t="str">
        <f>IF(M37="","",IF($B$2="Todos",IF($B$4&gt;0,$B$4,IF($B$2="Todos",IF(COUNT($C$210:$G$210)=0,"",SUM($C$210:$G$210)),IFERROR(INDEX($C$210:$G$210,MATCH($D$2,$C$184:$G$184,0)),""))),IFERROR(INDEX($C$210:$G$210,MATCH($D$2,$C$184:$G$184,0)),"")))</f>
        <v/>
      </c>
      <c r="M37" s="32" t="str">
        <f>IF($B$2="Todos",IF(COUNT($C$175:$G$175)=0,"",SUM($C$175:$G$175)),IFERROR(INDEX($C$175:$G$175,MATCH($D$2,$C$149:$G$149,0)),""))</f>
        <v/>
      </c>
      <c r="N37" s="48" t="str">
        <f>IF(AND(ISNUMBER(M37),ISNUMBER(L37)),IF(L37&gt;0,M37/L37,""),"")</f>
        <v/>
      </c>
      <c r="O37" s="32" t="str">
        <f>IF($B$2="Todos",IF(COUNT($C$245:$G$245)=0,"",SUM($C$245:$G$245)),IFERROR(INDEX($C$245:$G$245,MATCH($D$2,$C$219:$G$219,0)),""))</f>
        <v/>
      </c>
      <c r="P37" s="32">
        <f>IF($B37="","",IF($B$2="Todos",SUMIFS(BD!$O$3:$O$5001,BD!$A$3:$A$5001,$B37),SUMIFS(BD!$O$3:$O$5001,BD!$A$3:$A$5001,$B37,BD!$B$3:$B$5001,$D$2)))</f>
        <v>0</v>
      </c>
      <c r="Q37" s="32">
        <f>IF($B37="","",IF($B$2="Todos",SUMIFS(BD!$P$3:$P$5001,BD!$A$3:$A$5001,$B37),SUMIFS(BD!$P$3:$P$5001,BD!$A$3:$A$5001,$B37,BD!$B$3:$B$5001,$D$2)))</f>
        <v>0</v>
      </c>
      <c r="R37" s="32">
        <f>IF($B37="","",IF($B$2="Todos",SUMIFS(BD!$Q$3:$Q$5001,BD!$A$3:$A$5001,$B37),SUMIFS(BD!$Q$3:$Q$5001,BD!$A$3:$A$5001,$B37,BD!$B$3:$B$5001,$D$2)))</f>
        <v>0</v>
      </c>
      <c r="S37" s="32">
        <f>IF($B37="","",IF($B$2="Todos",SUMIFS(BD!$R$3:$R$5001,BD!$A$3:$A$5001,$B37),SUMIFS(BD!$R$3:$R$5001,BD!$A$3:$A$5001,$B37,BD!$B$3:$B$5001,$D$2)))</f>
        <v>0</v>
      </c>
      <c r="T37" s="32">
        <f>IF($B37="","",IF($B$2="Todos",SUMIFS(BD!$S$3:$S$5001,BD!$A$3:$A$5001,$B37),SUMIFS(BD!$S$3:$S$5001,BD!$A$3:$A$5001,$B37,BD!$B$3:$B$5001,$D$2)))</f>
        <v>0</v>
      </c>
      <c r="U37" s="32">
        <f>IF($B37="","",IF($B$2="Todos",SUMIFS(BD!$T$3:$T$5001,BD!$A$3:$A$5001,$B37),SUMIFS(BD!$T$3:$T$5001,BD!$A$3:$A$5001,$B37,BD!$B$3:$B$5001,$D$2)))</f>
        <v>0</v>
      </c>
      <c r="V37" s="32">
        <f>IF($B37="","",IF($B$2="Todos",SUMIFS(BD!$U$3:$U$5001,BD!$A$3:$A$5001,$B37),SUMIFS(BD!$U$3:$U$5001,BD!$A$3:$A$5001,$B37,BD!$B$3:$B$5001,$D$2)))</f>
        <v>0</v>
      </c>
      <c r="W37" s="49">
        <f>$B$5</f>
        <v>0.7</v>
      </c>
      <c r="X37" s="49">
        <f>$B$6</f>
        <v>0.9</v>
      </c>
      <c r="AX37" s="60">
        <f>IF(OR($B37="",N(VALUE($AH$295))=0),"",IF(INDEX($C37:$V37,VALUE($AH$295))="","",IF(N(VALUE($AJ$295))=0,INDEX($C37:$V37,VALUE($AH$295)),IF(N(INDEX($C37:$V37,N(VALUE($AJ$295))))&gt;0,INDEX($C37:$V37,VALUE($AH$295))/INDEX($C37:$V37,N(VALUE($AJ$295))),""))))</f>
        <v>0</v>
      </c>
      <c r="AY37" s="60">
        <f>IF(OR($B37="",N(VALUE($AI$295))=0),"",IF(INDEX($C37:$V37,VALUE($AI$295))="","",IF(N(VALUE($AK$295))=0,INDEX($C37:$V37,VALUE($AI$295)),IF(N(INDEX($C37:$V37,N(VALUE($AK$295))))&gt;0,INDEX($C37:$V37,VALUE($AI$295))/INDEX($C37:$V37,N(VALUE($AK$295))),""))))</f>
        <v>0</v>
      </c>
      <c r="AZ37" s="60">
        <f>IF(OR($B37="",N(VALUE($AP$295))=0),"",IF(INDEX($C37:$V37,VALUE($AP$295))="","",IF(N(VALUE($AR$295))=0,INDEX($C37:$V37,VALUE($AP$295)),IF(N(INDEX($C37:$V37,N(VALUE($AR$295))))&gt;0,INDEX($C37:$V37,VALUE($AP$295))/INDEX($C37:$V37,N(VALUE($AR$295))),""))))</f>
        <v>0</v>
      </c>
      <c r="BA37" s="60">
        <f>IF(OR($B37="",N(VALUE($AQ$295))=0),"",IF(INDEX($C37:$V37,VALUE($AQ$295))="","",IF(N(VALUE($AS$295))=0,INDEX($C37:$V37,VALUE($AQ$295)),IF(N(INDEX($C37:$V37,N(VALUE($AS$295))))&gt;0,INDEX($C37:$V37,VALUE($AQ$295))/INDEX($C37:$V37,N(VALUE($AS$295))),""))))</f>
        <v>0</v>
      </c>
      <c r="BC37" s="32" t="str">
        <f>IF(AND($A37=$B$9,ISNUMBER(L37)),L37,NA())</f>
        <v/>
      </c>
    </row>
    <row r="38">
      <c r="A38" s="28">
        <v>27</v>
      </c>
      <c r="B38" s="45">
        <f>IF($A38&lt;=DAY($D$7),$C$7+$A38-1,"")</f>
        <v>46322</v>
      </c>
      <c r="C38" s="32">
        <f>IF($B38="","",IF($B$2="Todos",SUMIFS(BD!$C$3:$C$5001,BD!$A$3:$A$5001,$B38),SUMIFS(BD!$C$3:$C$5001,BD!$A$3:$A$5001,$B38,BD!$B$3:$B$5001,$D$2)))</f>
        <v>0</v>
      </c>
      <c r="D38" s="32">
        <f>IF($B38="","",IF($B$2="Todos",SUMIFS(BD!$D$3:$D$5001,BD!$A$3:$A$5001,$B38),SUMIFS(BD!$D$3:$D$5001,BD!$A$3:$A$5001,$B38,BD!$B$3:$B$5001,$D$2)))</f>
        <v>0</v>
      </c>
      <c r="E38" s="46">
        <f>IF($B38="","",IF($B$2="Todos",SUMIFS(BD!$E$3:$E$5001,BD!$A$3:$A$5001,$B38),SUMIFS(BD!$E$3:$E$5001,BD!$A$3:$A$5001,$B38,BD!$B$3:$B$5001,$D$2)))</f>
        <v>0</v>
      </c>
      <c r="F38" s="32">
        <f>IF($B38="","",IF($B$2="Todos",SUMIFS(BD!$F$3:$F$5001,BD!$A$3:$A$5001,$B38),SUMIFS(BD!$F$3:$F$5001,BD!$A$3:$A$5001,$B38,BD!$B$3:$B$5001,$D$2)))</f>
        <v>0</v>
      </c>
      <c r="G38" s="32">
        <f>IF($B38="","",IF($B$2="Todos",SUMIFS(BD!$G$3:$G$5001,BD!$A$3:$A$5001,$B38),SUMIFS(BD!$G$3:$G$5001,BD!$A$3:$A$5001,$B38,BD!$B$3:$B$5001,$D$2)))</f>
        <v>0</v>
      </c>
      <c r="H38" s="46">
        <f>IF($B38="","",IF($B$2="Todos",SUMIFS(BD!$H$3:$H$5001,BD!$A$3:$A$5001,$B38),SUMIFS(BD!$H$3:$H$5001,BD!$A$3:$A$5001,$B38,BD!$B$3:$B$5001,$D$2)))</f>
        <v>0</v>
      </c>
      <c r="I38" s="32">
        <f>IF($B38="","",IF($B$2="Todos",SUMIFS(BD!$I$3:$I$5001,BD!$A$3:$A$5001,$B38),SUMIFS(BD!$I$3:$I$5001,BD!$A$3:$A$5001,$B38,BD!$B$3:$B$5001,$D$2)))</f>
        <v>0</v>
      </c>
      <c r="J38" s="32">
        <f>IF($B38="","",IF($B$2="Todos",SUMIFS(BD!$J$3:$J$5001,BD!$A$3:$A$5001,$B38),SUMIFS(BD!$J$3:$J$5001,BD!$A$3:$A$5001,$B38,BD!$B$3:$B$5001,$D$2)))</f>
        <v>0</v>
      </c>
      <c r="K38" s="32" t="str">
        <f>IF($B$2="Todos",IF(COUNT($C$141:$G$141)=0,"",SUM($C$141:$G$141)),IFERROR(INDEX($C$141:$G$141,MATCH($D$2,$C$114:$G$114,0)),""))</f>
        <v/>
      </c>
      <c r="L38" s="47" t="str">
        <f>IF(M38="","",IF($B$2="Todos",IF($B$4&gt;0,$B$4,IF($B$2="Todos",IF(COUNT($C$211:$G$211)=0,"",SUM($C$211:$G$211)),IFERROR(INDEX($C$211:$G$211,MATCH($D$2,$C$184:$G$184,0)),""))),IFERROR(INDEX($C$211:$G$211,MATCH($D$2,$C$184:$G$184,0)),"")))</f>
        <v/>
      </c>
      <c r="M38" s="32" t="str">
        <f>IF($B$2="Todos",IF(COUNT($C$176:$G$176)=0,"",SUM($C$176:$G$176)),IFERROR(INDEX($C$176:$G$176,MATCH($D$2,$C$149:$G$149,0)),""))</f>
        <v/>
      </c>
      <c r="N38" s="48" t="str">
        <f>IF(AND(ISNUMBER(M38),ISNUMBER(L38)),IF(L38&gt;0,M38/L38,""),"")</f>
        <v/>
      </c>
      <c r="O38" s="32" t="str">
        <f>IF($B$2="Todos",IF(COUNT($C$246:$G$246)=0,"",SUM($C$246:$G$246)),IFERROR(INDEX($C$246:$G$246,MATCH($D$2,$C$219:$G$219,0)),""))</f>
        <v/>
      </c>
      <c r="P38" s="32">
        <f>IF($B38="","",IF($B$2="Todos",SUMIFS(BD!$O$3:$O$5001,BD!$A$3:$A$5001,$B38),SUMIFS(BD!$O$3:$O$5001,BD!$A$3:$A$5001,$B38,BD!$B$3:$B$5001,$D$2)))</f>
        <v>0</v>
      </c>
      <c r="Q38" s="32">
        <f>IF($B38="","",IF($B$2="Todos",SUMIFS(BD!$P$3:$P$5001,BD!$A$3:$A$5001,$B38),SUMIFS(BD!$P$3:$P$5001,BD!$A$3:$A$5001,$B38,BD!$B$3:$B$5001,$D$2)))</f>
        <v>0</v>
      </c>
      <c r="R38" s="32">
        <f>IF($B38="","",IF($B$2="Todos",SUMIFS(BD!$Q$3:$Q$5001,BD!$A$3:$A$5001,$B38),SUMIFS(BD!$Q$3:$Q$5001,BD!$A$3:$A$5001,$B38,BD!$B$3:$B$5001,$D$2)))</f>
        <v>0</v>
      </c>
      <c r="S38" s="32">
        <f>IF($B38="","",IF($B$2="Todos",SUMIFS(BD!$R$3:$R$5001,BD!$A$3:$A$5001,$B38),SUMIFS(BD!$R$3:$R$5001,BD!$A$3:$A$5001,$B38,BD!$B$3:$B$5001,$D$2)))</f>
        <v>0</v>
      </c>
      <c r="T38" s="32">
        <f>IF($B38="","",IF($B$2="Todos",SUMIFS(BD!$S$3:$S$5001,BD!$A$3:$A$5001,$B38),SUMIFS(BD!$S$3:$S$5001,BD!$A$3:$A$5001,$B38,BD!$B$3:$B$5001,$D$2)))</f>
        <v>0</v>
      </c>
      <c r="U38" s="32">
        <f>IF($B38="","",IF($B$2="Todos",SUMIFS(BD!$T$3:$T$5001,BD!$A$3:$A$5001,$B38),SUMIFS(BD!$T$3:$T$5001,BD!$A$3:$A$5001,$B38,BD!$B$3:$B$5001,$D$2)))</f>
        <v>0</v>
      </c>
      <c r="V38" s="32">
        <f>IF($B38="","",IF($B$2="Todos",SUMIFS(BD!$U$3:$U$5001,BD!$A$3:$A$5001,$B38),SUMIFS(BD!$U$3:$U$5001,BD!$A$3:$A$5001,$B38,BD!$B$3:$B$5001,$D$2)))</f>
        <v>0</v>
      </c>
      <c r="W38" s="49">
        <f>$B$5</f>
        <v>0.7</v>
      </c>
      <c r="X38" s="49">
        <f>$B$6</f>
        <v>0.9</v>
      </c>
      <c r="AX38" s="60">
        <f>IF(OR($B38="",N(VALUE($AH$295))=0),"",IF(INDEX($C38:$V38,VALUE($AH$295))="","",IF(N(VALUE($AJ$295))=0,INDEX($C38:$V38,VALUE($AH$295)),IF(N(INDEX($C38:$V38,N(VALUE($AJ$295))))&gt;0,INDEX($C38:$V38,VALUE($AH$295))/INDEX($C38:$V38,N(VALUE($AJ$295))),""))))</f>
        <v>0</v>
      </c>
      <c r="AY38" s="60">
        <f>IF(OR($B38="",N(VALUE($AI$295))=0),"",IF(INDEX($C38:$V38,VALUE($AI$295))="","",IF(N(VALUE($AK$295))=0,INDEX($C38:$V38,VALUE($AI$295)),IF(N(INDEX($C38:$V38,N(VALUE($AK$295))))&gt;0,INDEX($C38:$V38,VALUE($AI$295))/INDEX($C38:$V38,N(VALUE($AK$295))),""))))</f>
        <v>0</v>
      </c>
      <c r="AZ38" s="60">
        <f>IF(OR($B38="",N(VALUE($AP$295))=0),"",IF(INDEX($C38:$V38,VALUE($AP$295))="","",IF(N(VALUE($AR$295))=0,INDEX($C38:$V38,VALUE($AP$295)),IF(N(INDEX($C38:$V38,N(VALUE($AR$295))))&gt;0,INDEX($C38:$V38,VALUE($AP$295))/INDEX($C38:$V38,N(VALUE($AR$295))),""))))</f>
        <v>0</v>
      </c>
      <c r="BA38" s="60">
        <f>IF(OR($B38="",N(VALUE($AQ$295))=0),"",IF(INDEX($C38:$V38,VALUE($AQ$295))="","",IF(N(VALUE($AS$295))=0,INDEX($C38:$V38,VALUE($AQ$295)),IF(N(INDEX($C38:$V38,N(VALUE($AS$295))))&gt;0,INDEX($C38:$V38,VALUE($AQ$295))/INDEX($C38:$V38,N(VALUE($AS$295))),""))))</f>
        <v>0</v>
      </c>
      <c r="BC38" s="32" t="str">
        <f>IF(AND($A38=$B$9,ISNUMBER(L38)),L38,NA())</f>
        <v/>
      </c>
    </row>
    <row r="39">
      <c r="A39" s="28">
        <v>28</v>
      </c>
      <c r="B39" s="45">
        <f>IF($A39&lt;=DAY($D$7),$C$7+$A39-1,"")</f>
        <v>46323</v>
      </c>
      <c r="C39" s="32">
        <f>IF($B39="","",IF($B$2="Todos",SUMIFS(BD!$C$3:$C$5001,BD!$A$3:$A$5001,$B39),SUMIFS(BD!$C$3:$C$5001,BD!$A$3:$A$5001,$B39,BD!$B$3:$B$5001,$D$2)))</f>
        <v>0</v>
      </c>
      <c r="D39" s="32">
        <f>IF($B39="","",IF($B$2="Todos",SUMIFS(BD!$D$3:$D$5001,BD!$A$3:$A$5001,$B39),SUMIFS(BD!$D$3:$D$5001,BD!$A$3:$A$5001,$B39,BD!$B$3:$B$5001,$D$2)))</f>
        <v>0</v>
      </c>
      <c r="E39" s="46">
        <f>IF($B39="","",IF($B$2="Todos",SUMIFS(BD!$E$3:$E$5001,BD!$A$3:$A$5001,$B39),SUMIFS(BD!$E$3:$E$5001,BD!$A$3:$A$5001,$B39,BD!$B$3:$B$5001,$D$2)))</f>
        <v>0</v>
      </c>
      <c r="F39" s="32">
        <f>IF($B39="","",IF($B$2="Todos",SUMIFS(BD!$F$3:$F$5001,BD!$A$3:$A$5001,$B39),SUMIFS(BD!$F$3:$F$5001,BD!$A$3:$A$5001,$B39,BD!$B$3:$B$5001,$D$2)))</f>
        <v>0</v>
      </c>
      <c r="G39" s="32">
        <f>IF($B39="","",IF($B$2="Todos",SUMIFS(BD!$G$3:$G$5001,BD!$A$3:$A$5001,$B39),SUMIFS(BD!$G$3:$G$5001,BD!$A$3:$A$5001,$B39,BD!$B$3:$B$5001,$D$2)))</f>
        <v>0</v>
      </c>
      <c r="H39" s="46">
        <f>IF($B39="","",IF($B$2="Todos",SUMIFS(BD!$H$3:$H$5001,BD!$A$3:$A$5001,$B39),SUMIFS(BD!$H$3:$H$5001,BD!$A$3:$A$5001,$B39,BD!$B$3:$B$5001,$D$2)))</f>
        <v>0</v>
      </c>
      <c r="I39" s="32">
        <f>IF($B39="","",IF($B$2="Todos",SUMIFS(BD!$I$3:$I$5001,BD!$A$3:$A$5001,$B39),SUMIFS(BD!$I$3:$I$5001,BD!$A$3:$A$5001,$B39,BD!$B$3:$B$5001,$D$2)))</f>
        <v>0</v>
      </c>
      <c r="J39" s="32">
        <f>IF($B39="","",IF($B$2="Todos",SUMIFS(BD!$J$3:$J$5001,BD!$A$3:$A$5001,$B39),SUMIFS(BD!$J$3:$J$5001,BD!$A$3:$A$5001,$B39,BD!$B$3:$B$5001,$D$2)))</f>
        <v>0</v>
      </c>
      <c r="K39" s="32" t="str">
        <f>IF($B$2="Todos",IF(COUNT($C$142:$G$142)=0,"",SUM($C$142:$G$142)),IFERROR(INDEX($C$142:$G$142,MATCH($D$2,$C$114:$G$114,0)),""))</f>
        <v/>
      </c>
      <c r="L39" s="47" t="str">
        <f>IF(M39="","",IF($B$2="Todos",IF($B$4&gt;0,$B$4,IF($B$2="Todos",IF(COUNT($C$212:$G$212)=0,"",SUM($C$212:$G$212)),IFERROR(INDEX($C$212:$G$212,MATCH($D$2,$C$184:$G$184,0)),""))),IFERROR(INDEX($C$212:$G$212,MATCH($D$2,$C$184:$G$184,0)),"")))</f>
        <v/>
      </c>
      <c r="M39" s="32" t="str">
        <f>IF($B$2="Todos",IF(COUNT($C$177:$G$177)=0,"",SUM($C$177:$G$177)),IFERROR(INDEX($C$177:$G$177,MATCH($D$2,$C$149:$G$149,0)),""))</f>
        <v/>
      </c>
      <c r="N39" s="48" t="str">
        <f>IF(AND(ISNUMBER(M39),ISNUMBER(L39)),IF(L39&gt;0,M39/L39,""),"")</f>
        <v/>
      </c>
      <c r="O39" s="32" t="str">
        <f>IF($B$2="Todos",IF(COUNT($C$247:$G$247)=0,"",SUM($C$247:$G$247)),IFERROR(INDEX($C$247:$G$247,MATCH($D$2,$C$219:$G$219,0)),""))</f>
        <v/>
      </c>
      <c r="P39" s="32">
        <f>IF($B39="","",IF($B$2="Todos",SUMIFS(BD!$O$3:$O$5001,BD!$A$3:$A$5001,$B39),SUMIFS(BD!$O$3:$O$5001,BD!$A$3:$A$5001,$B39,BD!$B$3:$B$5001,$D$2)))</f>
        <v>0</v>
      </c>
      <c r="Q39" s="32">
        <f>IF($B39="","",IF($B$2="Todos",SUMIFS(BD!$P$3:$P$5001,BD!$A$3:$A$5001,$B39),SUMIFS(BD!$P$3:$P$5001,BD!$A$3:$A$5001,$B39,BD!$B$3:$B$5001,$D$2)))</f>
        <v>0</v>
      </c>
      <c r="R39" s="32">
        <f>IF($B39="","",IF($B$2="Todos",SUMIFS(BD!$Q$3:$Q$5001,BD!$A$3:$A$5001,$B39),SUMIFS(BD!$Q$3:$Q$5001,BD!$A$3:$A$5001,$B39,BD!$B$3:$B$5001,$D$2)))</f>
        <v>0</v>
      </c>
      <c r="S39" s="32">
        <f>IF($B39="","",IF($B$2="Todos",SUMIFS(BD!$R$3:$R$5001,BD!$A$3:$A$5001,$B39),SUMIFS(BD!$R$3:$R$5001,BD!$A$3:$A$5001,$B39,BD!$B$3:$B$5001,$D$2)))</f>
        <v>0</v>
      </c>
      <c r="T39" s="32">
        <f>IF($B39="","",IF($B$2="Todos",SUMIFS(BD!$S$3:$S$5001,BD!$A$3:$A$5001,$B39),SUMIFS(BD!$S$3:$S$5001,BD!$A$3:$A$5001,$B39,BD!$B$3:$B$5001,$D$2)))</f>
        <v>0</v>
      </c>
      <c r="U39" s="32">
        <f>IF($B39="","",IF($B$2="Todos",SUMIFS(BD!$T$3:$T$5001,BD!$A$3:$A$5001,$B39),SUMIFS(BD!$T$3:$T$5001,BD!$A$3:$A$5001,$B39,BD!$B$3:$B$5001,$D$2)))</f>
        <v>0</v>
      </c>
      <c r="V39" s="32">
        <f>IF($B39="","",IF($B$2="Todos",SUMIFS(BD!$U$3:$U$5001,BD!$A$3:$A$5001,$B39),SUMIFS(BD!$U$3:$U$5001,BD!$A$3:$A$5001,$B39,BD!$B$3:$B$5001,$D$2)))</f>
        <v>0</v>
      </c>
      <c r="W39" s="49">
        <f>$B$5</f>
        <v>0.7</v>
      </c>
      <c r="X39" s="49">
        <f>$B$6</f>
        <v>0.9</v>
      </c>
      <c r="AX39" s="60">
        <f>IF(OR($B39="",N(VALUE($AH$295))=0),"",IF(INDEX($C39:$V39,VALUE($AH$295))="","",IF(N(VALUE($AJ$295))=0,INDEX($C39:$V39,VALUE($AH$295)),IF(N(INDEX($C39:$V39,N(VALUE($AJ$295))))&gt;0,INDEX($C39:$V39,VALUE($AH$295))/INDEX($C39:$V39,N(VALUE($AJ$295))),""))))</f>
        <v>0</v>
      </c>
      <c r="AY39" s="60">
        <f>IF(OR($B39="",N(VALUE($AI$295))=0),"",IF(INDEX($C39:$V39,VALUE($AI$295))="","",IF(N(VALUE($AK$295))=0,INDEX($C39:$V39,VALUE($AI$295)),IF(N(INDEX($C39:$V39,N(VALUE($AK$295))))&gt;0,INDEX($C39:$V39,VALUE($AI$295))/INDEX($C39:$V39,N(VALUE($AK$295))),""))))</f>
        <v>0</v>
      </c>
      <c r="AZ39" s="60">
        <f>IF(OR($B39="",N(VALUE($AP$295))=0),"",IF(INDEX($C39:$V39,VALUE($AP$295))="","",IF(N(VALUE($AR$295))=0,INDEX($C39:$V39,VALUE($AP$295)),IF(N(INDEX($C39:$V39,N(VALUE($AR$295))))&gt;0,INDEX($C39:$V39,VALUE($AP$295))/INDEX($C39:$V39,N(VALUE($AR$295))),""))))</f>
        <v>0</v>
      </c>
      <c r="BA39" s="60">
        <f>IF(OR($B39="",N(VALUE($AQ$295))=0),"",IF(INDEX($C39:$V39,VALUE($AQ$295))="","",IF(N(VALUE($AS$295))=0,INDEX($C39:$V39,VALUE($AQ$295)),IF(N(INDEX($C39:$V39,N(VALUE($AS$295))))&gt;0,INDEX($C39:$V39,VALUE($AQ$295))/INDEX($C39:$V39,N(VALUE($AS$295))),""))))</f>
        <v>0</v>
      </c>
      <c r="BC39" s="32" t="str">
        <f>IF(AND($A39=$B$9,ISNUMBER(L39)),L39,NA())</f>
        <v/>
      </c>
    </row>
    <row r="40">
      <c r="A40" s="28">
        <v>29</v>
      </c>
      <c r="B40" s="45">
        <f>IF($A40&lt;=DAY($D$7),$C$7+$A40-1,"")</f>
        <v>46324</v>
      </c>
      <c r="C40" s="32">
        <f>IF($B40="","",IF($B$2="Todos",SUMIFS(BD!$C$3:$C$5001,BD!$A$3:$A$5001,$B40),SUMIFS(BD!$C$3:$C$5001,BD!$A$3:$A$5001,$B40,BD!$B$3:$B$5001,$D$2)))</f>
        <v>0</v>
      </c>
      <c r="D40" s="32">
        <f>IF($B40="","",IF($B$2="Todos",SUMIFS(BD!$D$3:$D$5001,BD!$A$3:$A$5001,$B40),SUMIFS(BD!$D$3:$D$5001,BD!$A$3:$A$5001,$B40,BD!$B$3:$B$5001,$D$2)))</f>
        <v>0</v>
      </c>
      <c r="E40" s="46">
        <f>IF($B40="","",IF($B$2="Todos",SUMIFS(BD!$E$3:$E$5001,BD!$A$3:$A$5001,$B40),SUMIFS(BD!$E$3:$E$5001,BD!$A$3:$A$5001,$B40,BD!$B$3:$B$5001,$D$2)))</f>
        <v>0</v>
      </c>
      <c r="F40" s="32">
        <f>IF($B40="","",IF($B$2="Todos",SUMIFS(BD!$F$3:$F$5001,BD!$A$3:$A$5001,$B40),SUMIFS(BD!$F$3:$F$5001,BD!$A$3:$A$5001,$B40,BD!$B$3:$B$5001,$D$2)))</f>
        <v>0</v>
      </c>
      <c r="G40" s="32">
        <f>IF($B40="","",IF($B$2="Todos",SUMIFS(BD!$G$3:$G$5001,BD!$A$3:$A$5001,$B40),SUMIFS(BD!$G$3:$G$5001,BD!$A$3:$A$5001,$B40,BD!$B$3:$B$5001,$D$2)))</f>
        <v>0</v>
      </c>
      <c r="H40" s="46">
        <f>IF($B40="","",IF($B$2="Todos",SUMIFS(BD!$H$3:$H$5001,BD!$A$3:$A$5001,$B40),SUMIFS(BD!$H$3:$H$5001,BD!$A$3:$A$5001,$B40,BD!$B$3:$B$5001,$D$2)))</f>
        <v>0</v>
      </c>
      <c r="I40" s="32">
        <f>IF($B40="","",IF($B$2="Todos",SUMIFS(BD!$I$3:$I$5001,BD!$A$3:$A$5001,$B40),SUMIFS(BD!$I$3:$I$5001,BD!$A$3:$A$5001,$B40,BD!$B$3:$B$5001,$D$2)))</f>
        <v>0</v>
      </c>
      <c r="J40" s="32">
        <f>IF($B40="","",IF($B$2="Todos",SUMIFS(BD!$J$3:$J$5001,BD!$A$3:$A$5001,$B40),SUMIFS(BD!$J$3:$J$5001,BD!$A$3:$A$5001,$B40,BD!$B$3:$B$5001,$D$2)))</f>
        <v>0</v>
      </c>
      <c r="K40" s="32" t="str">
        <f>IF($B$2="Todos",IF(COUNT($C$143:$G$143)=0,"",SUM($C$143:$G$143)),IFERROR(INDEX($C$143:$G$143,MATCH($D$2,$C$114:$G$114,0)),""))</f>
        <v/>
      </c>
      <c r="L40" s="47" t="str">
        <f>IF(M40="","",IF($B$2="Todos",IF($B$4&gt;0,$B$4,IF($B$2="Todos",IF(COUNT($C$213:$G$213)=0,"",SUM($C$213:$G$213)),IFERROR(INDEX($C$213:$G$213,MATCH($D$2,$C$184:$G$184,0)),""))),IFERROR(INDEX($C$213:$G$213,MATCH($D$2,$C$184:$G$184,0)),"")))</f>
        <v/>
      </c>
      <c r="M40" s="32" t="str">
        <f>IF($B$2="Todos",IF(COUNT($C$178:$G$178)=0,"",SUM($C$178:$G$178)),IFERROR(INDEX($C$178:$G$178,MATCH($D$2,$C$149:$G$149,0)),""))</f>
        <v/>
      </c>
      <c r="N40" s="48" t="str">
        <f>IF(AND(ISNUMBER(M40),ISNUMBER(L40)),IF(L40&gt;0,M40/L40,""),"")</f>
        <v/>
      </c>
      <c r="O40" s="32" t="str">
        <f>IF($B$2="Todos",IF(COUNT($C$248:$G$248)=0,"",SUM($C$248:$G$248)),IFERROR(INDEX($C$248:$G$248,MATCH($D$2,$C$219:$G$219,0)),""))</f>
        <v/>
      </c>
      <c r="P40" s="32">
        <f>IF($B40="","",IF($B$2="Todos",SUMIFS(BD!$O$3:$O$5001,BD!$A$3:$A$5001,$B40),SUMIFS(BD!$O$3:$O$5001,BD!$A$3:$A$5001,$B40,BD!$B$3:$B$5001,$D$2)))</f>
        <v>0</v>
      </c>
      <c r="Q40" s="32">
        <f>IF($B40="","",IF($B$2="Todos",SUMIFS(BD!$P$3:$P$5001,BD!$A$3:$A$5001,$B40),SUMIFS(BD!$P$3:$P$5001,BD!$A$3:$A$5001,$B40,BD!$B$3:$B$5001,$D$2)))</f>
        <v>0</v>
      </c>
      <c r="R40" s="32">
        <f>IF($B40="","",IF($B$2="Todos",SUMIFS(BD!$Q$3:$Q$5001,BD!$A$3:$A$5001,$B40),SUMIFS(BD!$Q$3:$Q$5001,BD!$A$3:$A$5001,$B40,BD!$B$3:$B$5001,$D$2)))</f>
        <v>0</v>
      </c>
      <c r="S40" s="32">
        <f>IF($B40="","",IF($B$2="Todos",SUMIFS(BD!$R$3:$R$5001,BD!$A$3:$A$5001,$B40),SUMIFS(BD!$R$3:$R$5001,BD!$A$3:$A$5001,$B40,BD!$B$3:$B$5001,$D$2)))</f>
        <v>0</v>
      </c>
      <c r="T40" s="32">
        <f>IF($B40="","",IF($B$2="Todos",SUMIFS(BD!$S$3:$S$5001,BD!$A$3:$A$5001,$B40),SUMIFS(BD!$S$3:$S$5001,BD!$A$3:$A$5001,$B40,BD!$B$3:$B$5001,$D$2)))</f>
        <v>0</v>
      </c>
      <c r="U40" s="32">
        <f>IF($B40="","",IF($B$2="Todos",SUMIFS(BD!$T$3:$T$5001,BD!$A$3:$A$5001,$B40),SUMIFS(BD!$T$3:$T$5001,BD!$A$3:$A$5001,$B40,BD!$B$3:$B$5001,$D$2)))</f>
        <v>0</v>
      </c>
      <c r="V40" s="32">
        <f>IF($B40="","",IF($B$2="Todos",SUMIFS(BD!$U$3:$U$5001,BD!$A$3:$A$5001,$B40),SUMIFS(BD!$U$3:$U$5001,BD!$A$3:$A$5001,$B40,BD!$B$3:$B$5001,$D$2)))</f>
        <v>0</v>
      </c>
      <c r="W40" s="49">
        <f>$B$5</f>
        <v>0.7</v>
      </c>
      <c r="X40" s="49">
        <f>$B$6</f>
        <v>0.9</v>
      </c>
      <c r="AX40" s="60">
        <f>IF(OR($B40="",N(VALUE($AH$295))=0),"",IF(INDEX($C40:$V40,VALUE($AH$295))="","",IF(N(VALUE($AJ$295))=0,INDEX($C40:$V40,VALUE($AH$295)),IF(N(INDEX($C40:$V40,N(VALUE($AJ$295))))&gt;0,INDEX($C40:$V40,VALUE($AH$295))/INDEX($C40:$V40,N(VALUE($AJ$295))),""))))</f>
        <v>0</v>
      </c>
      <c r="AY40" s="60">
        <f>IF(OR($B40="",N(VALUE($AI$295))=0),"",IF(INDEX($C40:$V40,VALUE($AI$295))="","",IF(N(VALUE($AK$295))=0,INDEX($C40:$V40,VALUE($AI$295)),IF(N(INDEX($C40:$V40,N(VALUE($AK$295))))&gt;0,INDEX($C40:$V40,VALUE($AI$295))/INDEX($C40:$V40,N(VALUE($AK$295))),""))))</f>
        <v>0</v>
      </c>
      <c r="AZ40" s="60">
        <f>IF(OR($B40="",N(VALUE($AP$295))=0),"",IF(INDEX($C40:$V40,VALUE($AP$295))="","",IF(N(VALUE($AR$295))=0,INDEX($C40:$V40,VALUE($AP$295)),IF(N(INDEX($C40:$V40,N(VALUE($AR$295))))&gt;0,INDEX($C40:$V40,VALUE($AP$295))/INDEX($C40:$V40,N(VALUE($AR$295))),""))))</f>
        <v>0</v>
      </c>
      <c r="BA40" s="60">
        <f>IF(OR($B40="",N(VALUE($AQ$295))=0),"",IF(INDEX($C40:$V40,VALUE($AQ$295))="","",IF(N(VALUE($AS$295))=0,INDEX($C40:$V40,VALUE($AQ$295)),IF(N(INDEX($C40:$V40,N(VALUE($AS$295))))&gt;0,INDEX($C40:$V40,VALUE($AQ$295))/INDEX($C40:$V40,N(VALUE($AS$295))),""))))</f>
        <v>0</v>
      </c>
      <c r="BC40" s="32" t="str">
        <f>IF(AND($A40=$B$9,ISNUMBER(L40)),L40,NA())</f>
        <v/>
      </c>
    </row>
    <row r="41">
      <c r="A41" s="28">
        <v>30</v>
      </c>
      <c r="B41" s="45">
        <f>IF($A41&lt;=DAY($D$7),$C$7+$A41-1,"")</f>
        <v>46325</v>
      </c>
      <c r="C41" s="32">
        <f>IF($B41="","",IF($B$2="Todos",SUMIFS(BD!$C$3:$C$5001,BD!$A$3:$A$5001,$B41),SUMIFS(BD!$C$3:$C$5001,BD!$A$3:$A$5001,$B41,BD!$B$3:$B$5001,$D$2)))</f>
        <v>0</v>
      </c>
      <c r="D41" s="32">
        <f>IF($B41="","",IF($B$2="Todos",SUMIFS(BD!$D$3:$D$5001,BD!$A$3:$A$5001,$B41),SUMIFS(BD!$D$3:$D$5001,BD!$A$3:$A$5001,$B41,BD!$B$3:$B$5001,$D$2)))</f>
        <v>0</v>
      </c>
      <c r="E41" s="46">
        <f>IF($B41="","",IF($B$2="Todos",SUMIFS(BD!$E$3:$E$5001,BD!$A$3:$A$5001,$B41),SUMIFS(BD!$E$3:$E$5001,BD!$A$3:$A$5001,$B41,BD!$B$3:$B$5001,$D$2)))</f>
        <v>0</v>
      </c>
      <c r="F41" s="32">
        <f>IF($B41="","",IF($B$2="Todos",SUMIFS(BD!$F$3:$F$5001,BD!$A$3:$A$5001,$B41),SUMIFS(BD!$F$3:$F$5001,BD!$A$3:$A$5001,$B41,BD!$B$3:$B$5001,$D$2)))</f>
        <v>0</v>
      </c>
      <c r="G41" s="32">
        <f>IF($B41="","",IF($B$2="Todos",SUMIFS(BD!$G$3:$G$5001,BD!$A$3:$A$5001,$B41),SUMIFS(BD!$G$3:$G$5001,BD!$A$3:$A$5001,$B41,BD!$B$3:$B$5001,$D$2)))</f>
        <v>0</v>
      </c>
      <c r="H41" s="46">
        <f>IF($B41="","",IF($B$2="Todos",SUMIFS(BD!$H$3:$H$5001,BD!$A$3:$A$5001,$B41),SUMIFS(BD!$H$3:$H$5001,BD!$A$3:$A$5001,$B41,BD!$B$3:$B$5001,$D$2)))</f>
        <v>0</v>
      </c>
      <c r="I41" s="32">
        <f>IF($B41="","",IF($B$2="Todos",SUMIFS(BD!$I$3:$I$5001,BD!$A$3:$A$5001,$B41),SUMIFS(BD!$I$3:$I$5001,BD!$A$3:$A$5001,$B41,BD!$B$3:$B$5001,$D$2)))</f>
        <v>0</v>
      </c>
      <c r="J41" s="32">
        <f>IF($B41="","",IF($B$2="Todos",SUMIFS(BD!$J$3:$J$5001,BD!$A$3:$A$5001,$B41),SUMIFS(BD!$J$3:$J$5001,BD!$A$3:$A$5001,$B41,BD!$B$3:$B$5001,$D$2)))</f>
        <v>0</v>
      </c>
      <c r="K41" s="32" t="str">
        <f>IF($B$2="Todos",IF(COUNT($C$144:$G$144)=0,"",SUM($C$144:$G$144)),IFERROR(INDEX($C$144:$G$144,MATCH($D$2,$C$114:$G$114,0)),""))</f>
        <v/>
      </c>
      <c r="L41" s="47" t="str">
        <f>IF(M41="","",IF($B$2="Todos",IF($B$4&gt;0,$B$4,IF($B$2="Todos",IF(COUNT($C$214:$G$214)=0,"",SUM($C$214:$G$214)),IFERROR(INDEX($C$214:$G$214,MATCH($D$2,$C$184:$G$184,0)),""))),IFERROR(INDEX($C$214:$G$214,MATCH($D$2,$C$184:$G$184,0)),"")))</f>
        <v/>
      </c>
      <c r="M41" s="32" t="str">
        <f>IF($B$2="Todos",IF(COUNT($C$179:$G$179)=0,"",SUM($C$179:$G$179)),IFERROR(INDEX($C$179:$G$179,MATCH($D$2,$C$149:$G$149,0)),""))</f>
        <v/>
      </c>
      <c r="N41" s="48" t="str">
        <f>IF(AND(ISNUMBER(M41),ISNUMBER(L41)),IF(L41&gt;0,M41/L41,""),"")</f>
        <v/>
      </c>
      <c r="O41" s="32" t="str">
        <f>IF($B$2="Todos",IF(COUNT($C$249:$G$249)=0,"",SUM($C$249:$G$249)),IFERROR(INDEX($C$249:$G$249,MATCH($D$2,$C$219:$G$219,0)),""))</f>
        <v/>
      </c>
      <c r="P41" s="32">
        <f>IF($B41="","",IF($B$2="Todos",SUMIFS(BD!$O$3:$O$5001,BD!$A$3:$A$5001,$B41),SUMIFS(BD!$O$3:$O$5001,BD!$A$3:$A$5001,$B41,BD!$B$3:$B$5001,$D$2)))</f>
        <v>0</v>
      </c>
      <c r="Q41" s="32">
        <f>IF($B41="","",IF($B$2="Todos",SUMIFS(BD!$P$3:$P$5001,BD!$A$3:$A$5001,$B41),SUMIFS(BD!$P$3:$P$5001,BD!$A$3:$A$5001,$B41,BD!$B$3:$B$5001,$D$2)))</f>
        <v>0</v>
      </c>
      <c r="R41" s="32">
        <f>IF($B41="","",IF($B$2="Todos",SUMIFS(BD!$Q$3:$Q$5001,BD!$A$3:$A$5001,$B41),SUMIFS(BD!$Q$3:$Q$5001,BD!$A$3:$A$5001,$B41,BD!$B$3:$B$5001,$D$2)))</f>
        <v>0</v>
      </c>
      <c r="S41" s="32">
        <f>IF($B41="","",IF($B$2="Todos",SUMIFS(BD!$R$3:$R$5001,BD!$A$3:$A$5001,$B41),SUMIFS(BD!$R$3:$R$5001,BD!$A$3:$A$5001,$B41,BD!$B$3:$B$5001,$D$2)))</f>
        <v>0</v>
      </c>
      <c r="T41" s="32">
        <f>IF($B41="","",IF($B$2="Todos",SUMIFS(BD!$S$3:$S$5001,BD!$A$3:$A$5001,$B41),SUMIFS(BD!$S$3:$S$5001,BD!$A$3:$A$5001,$B41,BD!$B$3:$B$5001,$D$2)))</f>
        <v>0</v>
      </c>
      <c r="U41" s="32">
        <f>IF($B41="","",IF($B$2="Todos",SUMIFS(BD!$T$3:$T$5001,BD!$A$3:$A$5001,$B41),SUMIFS(BD!$T$3:$T$5001,BD!$A$3:$A$5001,$B41,BD!$B$3:$B$5001,$D$2)))</f>
        <v>0</v>
      </c>
      <c r="V41" s="32">
        <f>IF($B41="","",IF($B$2="Todos",SUMIFS(BD!$U$3:$U$5001,BD!$A$3:$A$5001,$B41),SUMIFS(BD!$U$3:$U$5001,BD!$A$3:$A$5001,$B41,BD!$B$3:$B$5001,$D$2)))</f>
        <v>0</v>
      </c>
      <c r="W41" s="49">
        <f>$B$5</f>
        <v>0.7</v>
      </c>
      <c r="X41" s="49">
        <f>$B$6</f>
        <v>0.9</v>
      </c>
      <c r="AX41" s="60">
        <f>IF(OR($B41="",N(VALUE($AH$295))=0),"",IF(INDEX($C41:$V41,VALUE($AH$295))="","",IF(N(VALUE($AJ$295))=0,INDEX($C41:$V41,VALUE($AH$295)),IF(N(INDEX($C41:$V41,N(VALUE($AJ$295))))&gt;0,INDEX($C41:$V41,VALUE($AH$295))/INDEX($C41:$V41,N(VALUE($AJ$295))),""))))</f>
        <v>0</v>
      </c>
      <c r="AY41" s="60">
        <f>IF(OR($B41="",N(VALUE($AI$295))=0),"",IF(INDEX($C41:$V41,VALUE($AI$295))="","",IF(N(VALUE($AK$295))=0,INDEX($C41:$V41,VALUE($AI$295)),IF(N(INDEX($C41:$V41,N(VALUE($AK$295))))&gt;0,INDEX($C41:$V41,VALUE($AI$295))/INDEX($C41:$V41,N(VALUE($AK$295))),""))))</f>
        <v>0</v>
      </c>
      <c r="AZ41" s="60">
        <f>IF(OR($B41="",N(VALUE($AP$295))=0),"",IF(INDEX($C41:$V41,VALUE($AP$295))="","",IF(N(VALUE($AR$295))=0,INDEX($C41:$V41,VALUE($AP$295)),IF(N(INDEX($C41:$V41,N(VALUE($AR$295))))&gt;0,INDEX($C41:$V41,VALUE($AP$295))/INDEX($C41:$V41,N(VALUE($AR$295))),""))))</f>
        <v>0</v>
      </c>
      <c r="BA41" s="60">
        <f>IF(OR($B41="",N(VALUE($AQ$295))=0),"",IF(INDEX($C41:$V41,VALUE($AQ$295))="","",IF(N(VALUE($AS$295))=0,INDEX($C41:$V41,VALUE($AQ$295)),IF(N(INDEX($C41:$V41,N(VALUE($AS$295))))&gt;0,INDEX($C41:$V41,VALUE($AQ$295))/INDEX($C41:$V41,N(VALUE($AS$295))),""))))</f>
        <v>0</v>
      </c>
      <c r="BC41" s="32" t="str">
        <f>IF(AND($A41=$B$9,ISNUMBER(L41)),L41,NA())</f>
        <v/>
      </c>
    </row>
    <row r="42">
      <c r="A42" s="28">
        <v>31</v>
      </c>
      <c r="B42" s="45">
        <f>IF($A42&lt;=DAY($D$7),$C$7+$A42-1,"")</f>
        <v>46326</v>
      </c>
      <c r="C42" s="32">
        <f>IF($B42="","",IF($B$2="Todos",SUMIFS(BD!$C$3:$C$5001,BD!$A$3:$A$5001,$B42),SUMIFS(BD!$C$3:$C$5001,BD!$A$3:$A$5001,$B42,BD!$B$3:$B$5001,$D$2)))</f>
        <v>0</v>
      </c>
      <c r="D42" s="32">
        <f>IF($B42="","",IF($B$2="Todos",SUMIFS(BD!$D$3:$D$5001,BD!$A$3:$A$5001,$B42),SUMIFS(BD!$D$3:$D$5001,BD!$A$3:$A$5001,$B42,BD!$B$3:$B$5001,$D$2)))</f>
        <v>0</v>
      </c>
      <c r="E42" s="46">
        <f>IF($B42="","",IF($B$2="Todos",SUMIFS(BD!$E$3:$E$5001,BD!$A$3:$A$5001,$B42),SUMIFS(BD!$E$3:$E$5001,BD!$A$3:$A$5001,$B42,BD!$B$3:$B$5001,$D$2)))</f>
        <v>0</v>
      </c>
      <c r="F42" s="32">
        <f>IF($B42="","",IF($B$2="Todos",SUMIFS(BD!$F$3:$F$5001,BD!$A$3:$A$5001,$B42),SUMIFS(BD!$F$3:$F$5001,BD!$A$3:$A$5001,$B42,BD!$B$3:$B$5001,$D$2)))</f>
        <v>0</v>
      </c>
      <c r="G42" s="32">
        <f>IF($B42="","",IF($B$2="Todos",SUMIFS(BD!$G$3:$G$5001,BD!$A$3:$A$5001,$B42),SUMIFS(BD!$G$3:$G$5001,BD!$A$3:$A$5001,$B42,BD!$B$3:$B$5001,$D$2)))</f>
        <v>0</v>
      </c>
      <c r="H42" s="46">
        <f>IF($B42="","",IF($B$2="Todos",SUMIFS(BD!$H$3:$H$5001,BD!$A$3:$A$5001,$B42),SUMIFS(BD!$H$3:$H$5001,BD!$A$3:$A$5001,$B42,BD!$B$3:$B$5001,$D$2)))</f>
        <v>0</v>
      </c>
      <c r="I42" s="32">
        <f>IF($B42="","",IF($B$2="Todos",SUMIFS(BD!$I$3:$I$5001,BD!$A$3:$A$5001,$B42),SUMIFS(BD!$I$3:$I$5001,BD!$A$3:$A$5001,$B42,BD!$B$3:$B$5001,$D$2)))</f>
        <v>0</v>
      </c>
      <c r="J42" s="32">
        <f>IF($B42="","",IF($B$2="Todos",SUMIFS(BD!$J$3:$J$5001,BD!$A$3:$A$5001,$B42),SUMIFS(BD!$J$3:$J$5001,BD!$A$3:$A$5001,$B42,BD!$B$3:$B$5001,$D$2)))</f>
        <v>0</v>
      </c>
      <c r="K42" s="32" t="str">
        <f>IF($B$2="Todos",IF(COUNT($C$145:$G$145)=0,"",SUM($C$145:$G$145)),IFERROR(INDEX($C$145:$G$145,MATCH($D$2,$C$114:$G$114,0)),""))</f>
        <v/>
      </c>
      <c r="L42" s="47" t="str">
        <f>IF(M42="","",IF($B$2="Todos",IF($B$4&gt;0,$B$4,IF($B$2="Todos",IF(COUNT($C$215:$G$215)=0,"",SUM($C$215:$G$215)),IFERROR(INDEX($C$215:$G$215,MATCH($D$2,$C$184:$G$184,0)),""))),IFERROR(INDEX($C$215:$G$215,MATCH($D$2,$C$184:$G$184,0)),"")))</f>
        <v/>
      </c>
      <c r="M42" s="32" t="str">
        <f>IF($B$2="Todos",IF(COUNT($C$180:$G$180)=0,"",SUM($C$180:$G$180)),IFERROR(INDEX($C$180:$G$180,MATCH($D$2,$C$149:$G$149,0)),""))</f>
        <v/>
      </c>
      <c r="N42" s="48" t="str">
        <f>IF(AND(ISNUMBER(M42),ISNUMBER(L42)),IF(L42&gt;0,M42/L42,""),"")</f>
        <v/>
      </c>
      <c r="O42" s="32" t="str">
        <f>IF($B$2="Todos",IF(COUNT($C$250:$G$250)=0,"",SUM($C$250:$G$250)),IFERROR(INDEX($C$250:$G$250,MATCH($D$2,$C$219:$G$219,0)),""))</f>
        <v/>
      </c>
      <c r="P42" s="32">
        <f>IF($B42="","",IF($B$2="Todos",SUMIFS(BD!$O$3:$O$5001,BD!$A$3:$A$5001,$B42),SUMIFS(BD!$O$3:$O$5001,BD!$A$3:$A$5001,$B42,BD!$B$3:$B$5001,$D$2)))</f>
        <v>0</v>
      </c>
      <c r="Q42" s="32">
        <f>IF($B42="","",IF($B$2="Todos",SUMIFS(BD!$P$3:$P$5001,BD!$A$3:$A$5001,$B42),SUMIFS(BD!$P$3:$P$5001,BD!$A$3:$A$5001,$B42,BD!$B$3:$B$5001,$D$2)))</f>
        <v>0</v>
      </c>
      <c r="R42" s="32">
        <f>IF($B42="","",IF($B$2="Todos",SUMIFS(BD!$Q$3:$Q$5001,BD!$A$3:$A$5001,$B42),SUMIFS(BD!$Q$3:$Q$5001,BD!$A$3:$A$5001,$B42,BD!$B$3:$B$5001,$D$2)))</f>
        <v>0</v>
      </c>
      <c r="S42" s="32">
        <f>IF($B42="","",IF($B$2="Todos",SUMIFS(BD!$R$3:$R$5001,BD!$A$3:$A$5001,$B42),SUMIFS(BD!$R$3:$R$5001,BD!$A$3:$A$5001,$B42,BD!$B$3:$B$5001,$D$2)))</f>
        <v>0</v>
      </c>
      <c r="T42" s="32">
        <f>IF($B42="","",IF($B$2="Todos",SUMIFS(BD!$S$3:$S$5001,BD!$A$3:$A$5001,$B42),SUMIFS(BD!$S$3:$S$5001,BD!$A$3:$A$5001,$B42,BD!$B$3:$B$5001,$D$2)))</f>
        <v>0</v>
      </c>
      <c r="U42" s="32">
        <f>IF($B42="","",IF($B$2="Todos",SUMIFS(BD!$T$3:$T$5001,BD!$A$3:$A$5001,$B42),SUMIFS(BD!$T$3:$T$5001,BD!$A$3:$A$5001,$B42,BD!$B$3:$B$5001,$D$2)))</f>
        <v>0</v>
      </c>
      <c r="V42" s="32">
        <f>IF($B42="","",IF($B$2="Todos",SUMIFS(BD!$U$3:$U$5001,BD!$A$3:$A$5001,$B42),SUMIFS(BD!$U$3:$U$5001,BD!$A$3:$A$5001,$B42,BD!$B$3:$B$5001,$D$2)))</f>
        <v>0</v>
      </c>
      <c r="W42" s="49">
        <f>$B$5</f>
        <v>0.7</v>
      </c>
      <c r="X42" s="49">
        <f>$B$6</f>
        <v>0.9</v>
      </c>
      <c r="AX42" s="60">
        <f>IF(OR($B42="",N(VALUE($AH$295))=0),"",IF(INDEX($C42:$V42,VALUE($AH$295))="","",IF(N(VALUE($AJ$295))=0,INDEX($C42:$V42,VALUE($AH$295)),IF(N(INDEX($C42:$V42,N(VALUE($AJ$295))))&gt;0,INDEX($C42:$V42,VALUE($AH$295))/INDEX($C42:$V42,N(VALUE($AJ$295))),""))))</f>
        <v>0</v>
      </c>
      <c r="AY42" s="60">
        <f>IF(OR($B42="",N(VALUE($AI$295))=0),"",IF(INDEX($C42:$V42,VALUE($AI$295))="","",IF(N(VALUE($AK$295))=0,INDEX($C42:$V42,VALUE($AI$295)),IF(N(INDEX($C42:$V42,N(VALUE($AK$295))))&gt;0,INDEX($C42:$V42,VALUE($AI$295))/INDEX($C42:$V42,N(VALUE($AK$295))),""))))</f>
        <v>0</v>
      </c>
      <c r="AZ42" s="60">
        <f>IF(OR($B42="",N(VALUE($AP$295))=0),"",IF(INDEX($C42:$V42,VALUE($AP$295))="","",IF(N(VALUE($AR$295))=0,INDEX($C42:$V42,VALUE($AP$295)),IF(N(INDEX($C42:$V42,N(VALUE($AR$295))))&gt;0,INDEX($C42:$V42,VALUE($AP$295))/INDEX($C42:$V42,N(VALUE($AR$295))),""))))</f>
        <v>0</v>
      </c>
      <c r="BA42" s="60">
        <f>IF(OR($B42="",N(VALUE($AQ$295))=0),"",IF(INDEX($C42:$V42,VALUE($AQ$295))="","",IF(N(VALUE($AS$295))=0,INDEX($C42:$V42,VALUE($AQ$295)),IF(N(INDEX($C42:$V42,N(VALUE($AS$295))))&gt;0,INDEX($C42:$V42,VALUE($AQ$295))/INDEX($C42:$V42,N(VALUE($AS$295))),""))))</f>
        <v>0</v>
      </c>
      <c r="BC42" s="32" t="str">
        <f>IF(AND($A42=$B$9,ISNUMBER(L42)),L42,NA())</f>
        <v/>
      </c>
    </row>
    <row r="43">
      <c r="A43" s="50" t="inlineStr">
        <is>
          <t xml:space="preserve">Realizado no mês (soma · último valor em estoque)</t>
        </is>
      </c>
      <c r="C43" s="52">
        <f>SUM(C12:C42)</f>
        <v>0</v>
      </c>
      <c r="D43" s="52">
        <f>SUM(D12:D42)</f>
        <v>0</v>
      </c>
      <c r="E43" s="58">
        <f>SUM(E12:E42)</f>
        <v>0</v>
      </c>
      <c r="F43" s="52">
        <f>SUM(F12:F42)</f>
        <v>0</v>
      </c>
      <c r="G43" s="52">
        <f>SUM(G12:G42)</f>
        <v>0</v>
      </c>
      <c r="H43" s="58">
        <f>SUM(H12:H42)</f>
        <v>0</v>
      </c>
      <c r="I43" s="52">
        <f>SUM(I12:I42)</f>
        <v>0</v>
      </c>
      <c r="J43" s="52">
        <f>SUM(J12:J42)</f>
        <v>0</v>
      </c>
      <c r="K43" s="52" t="str">
        <f>IFERROR(LOOKUP(9.99E+307,K12:K42),"")</f>
        <v/>
      </c>
      <c r="L43" s="52" t="str">
        <f>IFERROR(LOOKUP(9.99E+307,L12:L42),"")</f>
        <v/>
      </c>
      <c r="M43" s="52" t="str">
        <f>IFERROR(LOOKUP(9.99E+307,M12:M42),"")</f>
        <v/>
      </c>
      <c r="N43" s="59" t="str">
        <f>IFERROR(LOOKUP(9.99E+307,N12:N42),"")</f>
        <v/>
      </c>
      <c r="O43" s="52" t="str">
        <f>IFERROR(LOOKUP(9.99E+307,O12:O42),"")</f>
        <v/>
      </c>
      <c r="P43" s="52">
        <f>SUM(P12:P42)</f>
        <v>0</v>
      </c>
      <c r="Q43" s="52">
        <f>SUM(Q12:Q42)</f>
        <v>0</v>
      </c>
      <c r="R43" s="52">
        <f>SUM(R12:R42)</f>
        <v>0</v>
      </c>
      <c r="S43" s="52">
        <f>SUM(S12:S42)</f>
        <v>0</v>
      </c>
      <c r="T43" s="52">
        <f>SUM(T12:T42)</f>
        <v>0</v>
      </c>
      <c r="U43" s="52">
        <f>SUM(U12:U42)</f>
        <v>0</v>
      </c>
      <c r="V43" s="52">
        <f>SUM(V12:V42)</f>
        <v>0</v>
      </c>
    </row>
    <row r="44">
      <c r="A44" s="51" t="inlineStr">
        <is>
          <t xml:space="preserve">Média por dia</t>
        </is>
      </c>
      <c r="C44" s="53" t="str">
        <f>IFERROR(AVERAGEIF(C12:C42,"&gt;0"),"")</f>
        <v/>
      </c>
      <c r="D44" s="53" t="str">
        <f>IFERROR(AVERAGEIF(D12:D42,"&gt;0"),"")</f>
        <v/>
      </c>
      <c r="E44" s="53" t="str">
        <f>IFERROR(AVERAGEIF(E12:E42,"&gt;0"),"")</f>
        <v/>
      </c>
      <c r="F44" s="53" t="str">
        <f>IFERROR(AVERAGEIF(F12:F42,"&gt;0"),"")</f>
        <v/>
      </c>
      <c r="G44" s="53" t="str">
        <f>IFERROR(AVERAGEIF(G12:G42,"&gt;0"),"")</f>
        <v/>
      </c>
      <c r="H44" s="53" t="str">
        <f>IFERROR(AVERAGEIF(H12:H42,"&gt;0"),"")</f>
        <v/>
      </c>
      <c r="I44" s="53" t="str">
        <f>IFERROR(AVERAGEIF(I12:I42,"&gt;0"),"")</f>
        <v/>
      </c>
      <c r="J44" s="53" t="str">
        <f>IFERROR(AVERAGEIF(J12:J42,"&gt;0"),"")</f>
        <v/>
      </c>
      <c r="K44" s="53" t="str">
        <f>IFERROR(AVERAGE(K12:K42),"")</f>
        <v/>
      </c>
      <c r="L44" s="53" t="str">
        <f>IFERROR(AVERAGE(L12:L42),"")</f>
        <v/>
      </c>
      <c r="M44" s="53" t="str">
        <f>IFERROR(AVERAGE(M12:M42),"")</f>
        <v/>
      </c>
      <c r="N44" s="55" t="str">
        <f>IFERROR(AVERAGE(N12:N42),"")</f>
        <v/>
      </c>
      <c r="O44" s="53" t="str">
        <f>IFERROR(AVERAGE(O12:O42),"")</f>
        <v/>
      </c>
      <c r="P44" s="53" t="str">
        <f>IFERROR(AVERAGEIF(P12:P42,"&gt;0"),"")</f>
        <v/>
      </c>
      <c r="Q44" s="53" t="str">
        <f>IFERROR(AVERAGEIF(Q12:Q42,"&gt;0"),"")</f>
        <v/>
      </c>
      <c r="R44" s="53" t="str">
        <f>IFERROR(AVERAGEIF(R12:R42,"&gt;0"),"")</f>
        <v/>
      </c>
      <c r="S44" s="53" t="str">
        <f>IFERROR(AVERAGEIF(S12:S42,"&gt;0"),"")</f>
        <v/>
      </c>
      <c r="T44" s="53" t="str">
        <f>IFERROR(AVERAGEIF(T12:T42,"&gt;0"),"")</f>
        <v/>
      </c>
      <c r="U44" s="53" t="str">
        <f>IFERROR(AVERAGEIF(U12:U42,"&gt;0"),"")</f>
        <v/>
      </c>
      <c r="V44" s="53" t="str">
        <f>IFERROR(AVERAGEIF(V12:V42,"&gt;0"),"")</f>
        <v/>
      </c>
    </row>
    <row r="45">
      <c r="A45" s="51" t="inlineStr">
        <is>
          <t xml:space="preserve">Máximo em um dia</t>
        </is>
      </c>
      <c r="C45" s="54">
        <f>IF(COUNT(C12:C42)=0,"",MAX(C12:C42))</f>
        <v>0</v>
      </c>
      <c r="D45" s="54">
        <f>IF(COUNT(D12:D42)=0,"",MAX(D12:D42))</f>
        <v>0</v>
      </c>
      <c r="E45" s="53">
        <f>IF(COUNT(E12:E42)=0,"",MAX(E12:E42))</f>
        <v>0</v>
      </c>
      <c r="F45" s="54">
        <f>IF(COUNT(F12:F42)=0,"",MAX(F12:F42))</f>
        <v>0</v>
      </c>
      <c r="G45" s="54">
        <f>IF(COUNT(G12:G42)=0,"",MAX(G12:G42))</f>
        <v>0</v>
      </c>
      <c r="H45" s="53">
        <f>IF(COUNT(H12:H42)=0,"",MAX(H12:H42))</f>
        <v>0</v>
      </c>
      <c r="I45" s="54">
        <f>IF(COUNT(I12:I42)=0,"",MAX(I12:I42))</f>
        <v>0</v>
      </c>
      <c r="J45" s="54">
        <f>IF(COUNT(J12:J42)=0,"",MAX(J12:J42))</f>
        <v>0</v>
      </c>
      <c r="K45" s="54" t="str">
        <f>IF(COUNT(K12:K42)=0,"",MAX(K12:K42))</f>
        <v/>
      </c>
      <c r="L45" s="54" t="str">
        <f>IF(COUNT(L12:L42)=0,"",MAX(L12:L42))</f>
        <v/>
      </c>
      <c r="M45" s="54" t="str">
        <f>IF(COUNT(M12:M42)=0,"",MAX(M12:M42))</f>
        <v/>
      </c>
      <c r="N45" s="55" t="str">
        <f>IF(COUNT(N12:N42)=0,"",MAX(N12:N42))</f>
        <v/>
      </c>
      <c r="O45" s="54" t="str">
        <f>IF(COUNT(O12:O42)=0,"",MAX(O12:O42))</f>
        <v/>
      </c>
      <c r="P45" s="54">
        <f>IF(COUNT(P12:P42)=0,"",MAX(P12:P42))</f>
        <v>0</v>
      </c>
      <c r="Q45" s="54">
        <f>IF(COUNT(Q12:Q42)=0,"",MAX(Q12:Q42))</f>
        <v>0</v>
      </c>
      <c r="R45" s="54">
        <f>IF(COUNT(R12:R42)=0,"",MAX(R12:R42))</f>
        <v>0</v>
      </c>
      <c r="S45" s="54">
        <f>IF(COUNT(S12:S42)=0,"",MAX(S12:S42))</f>
        <v>0</v>
      </c>
      <c r="T45" s="54">
        <f>IF(COUNT(T12:T42)=0,"",MAX(T12:T42))</f>
        <v>0</v>
      </c>
      <c r="U45" s="54">
        <f>IF(COUNT(U12:U42)=0,"",MAX(U12:U42))</f>
        <v>0</v>
      </c>
      <c r="V45" s="54">
        <f>IF(COUNT(V12:V42)=0,"",MAX(V12:V42))</f>
        <v>0</v>
      </c>
    </row>
    <row r="46">
      <c r="A46" s="51" t="inlineStr">
        <is>
          <t xml:space="preserve">Mês anterior (mesmo intervalo)</t>
        </is>
      </c>
      <c r="C46" s="54" t="str">
        <f>IF($B$9=0,"",IF($B$2="Todos",SUMIFS(BD!$C$3:$C$5001,BD!$A$3:$A$5001,"&gt;="&amp;$C$8,BD!$A$3:$A$5001,"&lt;="&amp;$D$8),SUMIFS(BD!$C$3:$C$5001,BD!$A$3:$A$5001,"&gt;="&amp;$C$8,BD!$A$3:$A$5001,"&lt;="&amp;$D$8,BD!$B$3:$B$5001,$D$2)))</f>
        <v/>
      </c>
      <c r="D46" s="54" t="str">
        <f>IF($B$9=0,"",IF($B$2="Todos",SUMIFS(BD!$D$3:$D$5001,BD!$A$3:$A$5001,"&gt;="&amp;$C$8,BD!$A$3:$A$5001,"&lt;="&amp;$D$8),SUMIFS(BD!$D$3:$D$5001,BD!$A$3:$A$5001,"&gt;="&amp;$C$8,BD!$A$3:$A$5001,"&lt;="&amp;$D$8,BD!$B$3:$B$5001,$D$2)))</f>
        <v/>
      </c>
      <c r="E46" s="53" t="str">
        <f>IF($B$9=0,"",IF($B$2="Todos",SUMIFS(BD!$E$3:$E$5001,BD!$A$3:$A$5001,"&gt;="&amp;$C$8,BD!$A$3:$A$5001,"&lt;="&amp;$D$8),SUMIFS(BD!$E$3:$E$5001,BD!$A$3:$A$5001,"&gt;="&amp;$C$8,BD!$A$3:$A$5001,"&lt;="&amp;$D$8,BD!$B$3:$B$5001,$D$2)))</f>
        <v/>
      </c>
      <c r="F46" s="54" t="str">
        <f>IF($B$9=0,"",IF($B$2="Todos",SUMIFS(BD!$F$3:$F$5001,BD!$A$3:$A$5001,"&gt;="&amp;$C$8,BD!$A$3:$A$5001,"&lt;="&amp;$D$8),SUMIFS(BD!$F$3:$F$5001,BD!$A$3:$A$5001,"&gt;="&amp;$C$8,BD!$A$3:$A$5001,"&lt;="&amp;$D$8,BD!$B$3:$B$5001,$D$2)))</f>
        <v/>
      </c>
      <c r="G46" s="54" t="str">
        <f>IF($B$9=0,"",IF($B$2="Todos",SUMIFS(BD!$G$3:$G$5001,BD!$A$3:$A$5001,"&gt;="&amp;$C$8,BD!$A$3:$A$5001,"&lt;="&amp;$D$8),SUMIFS(BD!$G$3:$G$5001,BD!$A$3:$A$5001,"&gt;="&amp;$C$8,BD!$A$3:$A$5001,"&lt;="&amp;$D$8,BD!$B$3:$B$5001,$D$2)))</f>
        <v/>
      </c>
      <c r="H46" s="53" t="str">
        <f>IF($B$9=0,"",IF($B$2="Todos",SUMIFS(BD!$H$3:$H$5001,BD!$A$3:$A$5001,"&gt;="&amp;$C$8,BD!$A$3:$A$5001,"&lt;="&amp;$D$8),SUMIFS(BD!$H$3:$H$5001,BD!$A$3:$A$5001,"&gt;="&amp;$C$8,BD!$A$3:$A$5001,"&lt;="&amp;$D$8,BD!$B$3:$B$5001,$D$2)))</f>
        <v/>
      </c>
      <c r="I46" s="54" t="str">
        <f>IF($B$9=0,"",IF($B$2="Todos",SUMIFS(BD!$I$3:$I$5001,BD!$A$3:$A$5001,"&gt;="&amp;$C$8,BD!$A$3:$A$5001,"&lt;="&amp;$D$8),SUMIFS(BD!$I$3:$I$5001,BD!$A$3:$A$5001,"&gt;="&amp;$C$8,BD!$A$3:$A$5001,"&lt;="&amp;$D$8,BD!$B$3:$B$5001,$D$2)))</f>
        <v/>
      </c>
      <c r="J46" s="54" t="str">
        <f>IF($B$9=0,"",IF($B$2="Todos",SUMIFS(BD!$J$3:$J$5001,BD!$A$3:$A$5001,"&gt;="&amp;$C$8,BD!$A$3:$A$5001,"&lt;="&amp;$D$8),SUMIFS(BD!$J$3:$J$5001,BD!$A$3:$A$5001,"&gt;="&amp;$C$8,BD!$A$3:$A$5001,"&lt;="&amp;$D$8,BD!$B$3:$B$5001,$D$2)))</f>
        <v/>
      </c>
      <c r="K46" s="54" t="str">
        <f>IF($B$9=0,"",IF($B$2="Todos",IF(COUNT($C$146:$G$146)=0,"",SUM($C$146:$G$146)),IFERROR(INDEX($C$146:$G$146,MATCH($D$2,$C$114:$G$114,0)),"")))</f>
        <v/>
      </c>
      <c r="L46" s="54" t="str">
        <f>IF(M46="","",IF($B$2="Todos",IF($B$4&gt;0,$B$4,IF($B$2="Todos",IF(COUNT($C$216:$G$216)=0,"",SUM($C$216:$G$216)),IFERROR(INDEX($C$216:$G$216,MATCH($D$2,$C$184:$G$184,0)),""))),IFERROR(INDEX($C$216:$G$216,MATCH($D$2,$C$184:$G$184,0)),"")))</f>
        <v/>
      </c>
      <c r="M46" s="54" t="str">
        <f>IF($B$9=0,"",IF($B$2="Todos",IF(COUNT($C$181:$G$181)=0,"",SUM($C$181:$G$181)),IFERROR(INDEX($C$181:$G$181,MATCH($D$2,$C$149:$G$149,0)),"")))</f>
        <v/>
      </c>
      <c r="N46" s="55" t="str">
        <f>IF(AND(ISNUMBER(M46),ISNUMBER(L46)),IF(L46&gt;0,M46/L46,""),"")</f>
        <v/>
      </c>
      <c r="O46" s="54" t="str">
        <f>IF($B$9=0,"",IF($B$2="Todos",IF(COUNT($C$251:$G$251)=0,"",SUM($C$251:$G$251)),IFERROR(INDEX($C$251:$G$251,MATCH($D$2,$C$219:$G$219,0)),"")))</f>
        <v/>
      </c>
      <c r="P46" s="54" t="str">
        <f>IF($B$9=0,"",IF($B$2="Todos",SUMIFS(BD!$O$3:$O$5001,BD!$A$3:$A$5001,"&gt;="&amp;$C$8,BD!$A$3:$A$5001,"&lt;="&amp;$D$8),SUMIFS(BD!$O$3:$O$5001,BD!$A$3:$A$5001,"&gt;="&amp;$C$8,BD!$A$3:$A$5001,"&lt;="&amp;$D$8,BD!$B$3:$B$5001,$D$2)))</f>
        <v/>
      </c>
      <c r="Q46" s="54" t="str">
        <f>IF($B$9=0,"",IF($B$2="Todos",SUMIFS(BD!$P$3:$P$5001,BD!$A$3:$A$5001,"&gt;="&amp;$C$8,BD!$A$3:$A$5001,"&lt;="&amp;$D$8),SUMIFS(BD!$P$3:$P$5001,BD!$A$3:$A$5001,"&gt;="&amp;$C$8,BD!$A$3:$A$5001,"&lt;="&amp;$D$8,BD!$B$3:$B$5001,$D$2)))</f>
        <v/>
      </c>
      <c r="R46" s="54" t="str">
        <f>IF($B$9=0,"",IF($B$2="Todos",SUMIFS(BD!$Q$3:$Q$5001,BD!$A$3:$A$5001,"&gt;="&amp;$C$8,BD!$A$3:$A$5001,"&lt;="&amp;$D$8),SUMIFS(BD!$Q$3:$Q$5001,BD!$A$3:$A$5001,"&gt;="&amp;$C$8,BD!$A$3:$A$5001,"&lt;="&amp;$D$8,BD!$B$3:$B$5001,$D$2)))</f>
        <v/>
      </c>
      <c r="S46" s="54" t="str">
        <f>IF($B$9=0,"",IF($B$2="Todos",SUMIFS(BD!$R$3:$R$5001,BD!$A$3:$A$5001,"&gt;="&amp;$C$8,BD!$A$3:$A$5001,"&lt;="&amp;$D$8),SUMIFS(BD!$R$3:$R$5001,BD!$A$3:$A$5001,"&gt;="&amp;$C$8,BD!$A$3:$A$5001,"&lt;="&amp;$D$8,BD!$B$3:$B$5001,$D$2)))</f>
        <v/>
      </c>
      <c r="T46" s="54" t="str">
        <f>IF($B$9=0,"",IF($B$2="Todos",SUMIFS(BD!$S$3:$S$5001,BD!$A$3:$A$5001,"&gt;="&amp;$C$8,BD!$A$3:$A$5001,"&lt;="&amp;$D$8),SUMIFS(BD!$S$3:$S$5001,BD!$A$3:$A$5001,"&gt;="&amp;$C$8,BD!$A$3:$A$5001,"&lt;="&amp;$D$8,BD!$B$3:$B$5001,$D$2)))</f>
        <v/>
      </c>
      <c r="U46" s="54" t="str">
        <f>IF($B$9=0,"",IF($B$2="Todos",SUMIFS(BD!$T$3:$T$5001,BD!$A$3:$A$5001,"&gt;="&amp;$C$8,BD!$A$3:$A$5001,"&lt;="&amp;$D$8),SUMIFS(BD!$T$3:$T$5001,BD!$A$3:$A$5001,"&gt;="&amp;$C$8,BD!$A$3:$A$5001,"&lt;="&amp;$D$8,BD!$B$3:$B$5001,$D$2)))</f>
        <v/>
      </c>
      <c r="V46" s="54" t="str">
        <f>IF($B$9=0,"",IF($B$2="Todos",SUMIFS(BD!$U$3:$U$5001,BD!$A$3:$A$5001,"&gt;="&amp;$C$8,BD!$A$3:$A$5001,"&lt;="&amp;$D$8),SUMIFS(BD!$U$3:$U$5001,BD!$A$3:$A$5001,"&gt;="&amp;$C$8,BD!$A$3:$A$5001,"&lt;="&amp;$D$8,BD!$B$3:$B$5001,$D$2)))</f>
        <v/>
      </c>
    </row>
    <row r="47">
      <c r="A47" s="51" t="inlineStr">
        <is>
          <t xml:space="preserve">Variação vs mês anterior</t>
        </is>
      </c>
      <c r="C47" s="55" t="str">
        <f>IF(AND(ISNUMBER(C43),ISNUMBER(C46)),IF(C46&lt;&gt;0,C43/C46-1,""),"")</f>
        <v/>
      </c>
      <c r="D47" s="55" t="str">
        <f>IF(AND(ISNUMBER(D43),ISNUMBER(D46)),IF(D46&lt;&gt;0,D43/D46-1,""),"")</f>
        <v/>
      </c>
      <c r="E47" s="55" t="str">
        <f>IF(AND(ISNUMBER(E43),ISNUMBER(E46)),IF(E46&lt;&gt;0,E43/E46-1,""),"")</f>
        <v/>
      </c>
      <c r="F47" s="55" t="str">
        <f>IF(AND(ISNUMBER(F43),ISNUMBER(F46)),IF(F46&lt;&gt;0,F43/F46-1,""),"")</f>
        <v/>
      </c>
      <c r="G47" s="55" t="str">
        <f>IF(AND(ISNUMBER(G43),ISNUMBER(G46)),IF(G46&lt;&gt;0,G43/G46-1,""),"")</f>
        <v/>
      </c>
      <c r="H47" s="55" t="str">
        <f>IF(AND(ISNUMBER(H43),ISNUMBER(H46)),IF(H46&lt;&gt;0,H43/H46-1,""),"")</f>
        <v/>
      </c>
      <c r="I47" s="55" t="str">
        <f>IF(AND(ISNUMBER(I43),ISNUMBER(I46)),IF(I46&lt;&gt;0,I43/I46-1,""),"")</f>
        <v/>
      </c>
      <c r="J47" s="55" t="str">
        <f>IF(AND(ISNUMBER(J43),ISNUMBER(J46)),IF(J46&lt;&gt;0,J43/J46-1,""),"")</f>
        <v/>
      </c>
      <c r="K47" s="55" t="str">
        <f>IF(AND(ISNUMBER(K43),ISNUMBER(K46)),IF(K46&lt;&gt;0,K43/K46-1,""),"")</f>
        <v/>
      </c>
      <c r="L47" s="55" t="str">
        <f>IF(AND(ISNUMBER(L43),ISNUMBER(L46)),IF(L46&lt;&gt;0,L43/L46-1,""),"")</f>
        <v/>
      </c>
      <c r="M47" s="55" t="str">
        <f>IF(AND(ISNUMBER(M43),ISNUMBER(M46)),IF(M46&lt;&gt;0,M43/M46-1,""),"")</f>
        <v/>
      </c>
      <c r="N47" s="55" t="str">
        <f>IF(AND(ISNUMBER(N43),ISNUMBER(N46)),IF(N46&lt;&gt;0,N43/N46-1,""),"")</f>
        <v/>
      </c>
      <c r="O47" s="55" t="str">
        <f>IF(AND(ISNUMBER(O43),ISNUMBER(O46)),IF(O46&lt;&gt;0,O43/O46-1,""),"")</f>
        <v/>
      </c>
      <c r="P47" s="55" t="str">
        <f>IF(AND(ISNUMBER(P43),ISNUMBER(P46)),IF(P46&lt;&gt;0,P43/P46-1,""),"")</f>
        <v/>
      </c>
      <c r="Q47" s="55" t="str">
        <f>IF(AND(ISNUMBER(Q43),ISNUMBER(Q46)),IF(Q46&lt;&gt;0,Q43/Q46-1,""),"")</f>
        <v/>
      </c>
      <c r="R47" s="55" t="str">
        <f>IF(AND(ISNUMBER(R43),ISNUMBER(R46)),IF(R46&lt;&gt;0,R43/R46-1,""),"")</f>
        <v/>
      </c>
      <c r="S47" s="55" t="str">
        <f>IF(AND(ISNUMBER(S43),ISNUMBER(S46)),IF(S46&lt;&gt;0,S43/S46-1,""),"")</f>
        <v/>
      </c>
      <c r="T47" s="55" t="str">
        <f>IF(AND(ISNUMBER(T43),ISNUMBER(T46)),IF(T46&lt;&gt;0,T43/T46-1,""),"")</f>
        <v/>
      </c>
      <c r="U47" s="55" t="str">
        <f>IF(AND(ISNUMBER(U43),ISNUMBER(U46)),IF(U46&lt;&gt;0,U43/U46-1,""),"")</f>
        <v/>
      </c>
      <c r="V47" s="55" t="str">
        <f>IF(AND(ISNUMBER(V43),ISNUMBER(V46)),IF(V46&lt;&gt;0,V43/V46-1,""),"")</f>
        <v/>
      </c>
    </row>
    <row r="48">
      <c r="A48" s="51" t="inlineStr">
        <is>
          <t xml:space="preserve">Meta (seleção)</t>
        </is>
      </c>
      <c r="C48" s="54" t="str">
        <f>IFERROR(1/(1/INDEX(BD!$Y$23:$AD$23,MATCH($B$2,BD!$Y$22:$AD$22,0))),"")</f>
        <v/>
      </c>
      <c r="D48" s="54" t="str">
        <f>IFERROR(1/(1/INDEX(BD!$Y$24:$AD$24,MATCH($B$2,BD!$Y$22:$AD$22,0))),"")</f>
        <v/>
      </c>
      <c r="E48" s="54" t="str">
        <f>IFERROR(1/(1/INDEX(BD!$Y$25:$AD$25,MATCH($B$2,BD!$Y$22:$AD$22,0))),"")</f>
        <v/>
      </c>
      <c r="F48" s="54" t="str">
        <f>IFERROR(1/(1/INDEX(BD!$Y$26:$AD$26,MATCH($B$2,BD!$Y$22:$AD$22,0))),"")</f>
        <v/>
      </c>
      <c r="G48" s="54" t="str">
        <f>IFERROR(1/(1/INDEX(BD!$Y$27:$AD$27,MATCH($B$2,BD!$Y$22:$AD$22,0))),"")</f>
        <v/>
      </c>
      <c r="H48" s="54" t="str">
        <f>IFERROR(1/(1/INDEX(BD!$Y$28:$AD$28,MATCH($B$2,BD!$Y$22:$AD$22,0))),"")</f>
        <v/>
      </c>
      <c r="I48" s="54" t="str">
        <f>IFERROR(1/(1/INDEX(BD!$Y$29:$AD$29,MATCH($B$2,BD!$Y$22:$AD$22,0))),"")</f>
        <v/>
      </c>
      <c r="J48" s="54" t="str">
        <f>IFERROR(1/(1/INDEX(BD!$Y$30:$AD$30,MATCH($B$2,BD!$Y$22:$AD$22,0))),"")</f>
        <v/>
      </c>
      <c r="K48" s="54" t="str">
        <f>IFERROR(1/(1/INDEX(BD!$Y$31:$AD$31,MATCH($B$2,BD!$Y$22:$AD$22,0))),"")</f>
        <v/>
      </c>
      <c r="L48" s="54" t="str">
        <f>IFERROR(1/(1/INDEX(BD!$Y$32:$AD$32,MATCH($B$2,BD!$Y$22:$AD$22,0))),"")</f>
        <v/>
      </c>
      <c r="M48" s="54" t="str">
        <f>IFERROR(1/(1/INDEX(BD!$Y$33:$AD$33,MATCH($B$2,BD!$Y$22:$AD$22,0))),"")</f>
        <v/>
      </c>
      <c r="N48" s="56" t="str">
        <f>IFERROR(1/(1/INDEX(BD!$Y$34:$AD$34,MATCH($B$2,BD!$Y$22:$AD$22,0))),"")</f>
        <v/>
      </c>
      <c r="O48" s="54" t="str">
        <f>IFERROR(1/(1/INDEX(BD!$Y$35:$AD$35,MATCH($B$2,BD!$Y$22:$AD$22,0))),"")</f>
        <v/>
      </c>
      <c r="P48" s="54" t="str">
        <f>IFERROR(1/(1/INDEX(BD!$Y$36:$AD$36,MATCH($B$2,BD!$Y$22:$AD$22,0))),"")</f>
        <v/>
      </c>
      <c r="Q48" s="54" t="str">
        <f>IFERROR(1/(1/INDEX(BD!$Y$37:$AD$37,MATCH($B$2,BD!$Y$22:$AD$22,0))),"")</f>
        <v/>
      </c>
      <c r="R48" s="54" t="str">
        <f>IFERROR(1/(1/INDEX(BD!$Y$38:$AD$38,MATCH($B$2,BD!$Y$22:$AD$22,0))),"")</f>
        <v/>
      </c>
      <c r="S48" s="54" t="str">
        <f>IFERROR(1/(1/INDEX(BD!$Y$39:$AD$39,MATCH($B$2,BD!$Y$22:$AD$22,0))),"")</f>
        <v/>
      </c>
      <c r="T48" s="54" t="str">
        <f>IFERROR(1/(1/INDEX(BD!$Y$40:$AD$40,MATCH($B$2,BD!$Y$22:$AD$22,0))),"")</f>
        <v/>
      </c>
      <c r="U48" s="54" t="str">
        <f>IFERROR(1/(1/INDEX(BD!$Y$41:$AD$41,MATCH($B$2,BD!$Y$22:$AD$22,0))),"")</f>
        <v/>
      </c>
      <c r="V48" s="54" t="str">
        <f>IFERROR(1/(1/INDEX(BD!$Y$42:$AD$42,MATCH($B$2,BD!$Y$22:$AD$22,0))),"")</f>
        <v/>
      </c>
    </row>
    <row r="49">
      <c r="A49" s="51" t="inlineStr">
        <is>
          <t xml:space="preserve">% da meta</t>
        </is>
      </c>
      <c r="C49" s="56" t="str">
        <f>IF(AND(ISNUMBER(C48),ISNUMBER(C43)),IF(C48&gt;0,C43/C48,""),"")</f>
        <v/>
      </c>
      <c r="D49" s="56" t="str">
        <f>IF(AND(ISNUMBER(D48),ISNUMBER(D43)),IF(D48&gt;0,D43/D48,""),"")</f>
        <v/>
      </c>
      <c r="E49" s="56" t="str">
        <f>IF(AND(ISNUMBER(E48),ISNUMBER(E43)),IF(E48&gt;0,E43/E48,""),"")</f>
        <v/>
      </c>
      <c r="F49" s="56" t="str">
        <f>IF(AND(ISNUMBER(F48),ISNUMBER(F43)),IF(F48&gt;0,F43/F48,""),"")</f>
        <v/>
      </c>
      <c r="G49" s="56" t="str">
        <f>IF(AND(ISNUMBER(G48),ISNUMBER(G43)),IF(G48&gt;0,G43/G48,""),"")</f>
        <v/>
      </c>
      <c r="H49" s="56" t="str">
        <f>IF(AND(ISNUMBER(H48),ISNUMBER(H43)),IF(H48&gt;0,H43/H48,""),"")</f>
        <v/>
      </c>
      <c r="I49" s="56" t="str">
        <f>IF(AND(ISNUMBER(I48),ISNUMBER(I43)),IF(I48&gt;0,I43/I48,""),"")</f>
        <v/>
      </c>
      <c r="J49" s="56" t="str">
        <f>IF(AND(ISNUMBER(J48),ISNUMBER(J43)),IF(J48&gt;0,J43/J48,""),"")</f>
        <v/>
      </c>
      <c r="K49" s="56" t="str">
        <f>IF(AND(ISNUMBER(K48),ISNUMBER(K43)),IF(K48&gt;0,K43/K48,""),"")</f>
        <v/>
      </c>
      <c r="L49" s="56" t="str">
        <f>IF(AND(ISNUMBER(L48),ISNUMBER(L43)),IF(L48&gt;0,L43/L48,""),"")</f>
        <v/>
      </c>
      <c r="M49" s="56" t="str">
        <f>IF(AND(ISNUMBER(M48),ISNUMBER(M43)),IF(M48&gt;0,M43/M48,""),"")</f>
        <v/>
      </c>
      <c r="N49" s="56" t="str">
        <f>IF(AND(ISNUMBER(N48),ISNUMBER(N43)),IF(N48&gt;0,N43/N48,""),"")</f>
        <v/>
      </c>
      <c r="O49" s="56" t="str">
        <f>IF(AND(ISNUMBER(O48),ISNUMBER(O43)),IF(O48&gt;0,O43/O48,""),"")</f>
        <v/>
      </c>
      <c r="P49" s="56" t="str">
        <f>IF(AND(ISNUMBER(P48),ISNUMBER(P43)),IF(P48&gt;0,P43/P48,""),"")</f>
        <v/>
      </c>
      <c r="Q49" s="56" t="str">
        <f>IF(AND(ISNUMBER(Q48),ISNUMBER(Q43)),IF(Q48&gt;0,Q43/Q48,""),"")</f>
        <v/>
      </c>
      <c r="R49" s="56" t="str">
        <f>IF(AND(ISNUMBER(R48),ISNUMBER(R43)),IF(R48&gt;0,R43/R48,""),"")</f>
        <v/>
      </c>
      <c r="S49" s="56" t="str">
        <f>IF(AND(ISNUMBER(S48),ISNUMBER(S43)),IF(S48&gt;0,S43/S48,""),"")</f>
        <v/>
      </c>
      <c r="T49" s="56" t="str">
        <f>IF(AND(ISNUMBER(T48),ISNUMBER(T43)),IF(T48&gt;0,T43/T48,""),"")</f>
        <v/>
      </c>
      <c r="U49" s="56" t="str">
        <f>IF(AND(ISNUMBER(U48),ISNUMBER(U43)),IF(U48&gt;0,U43/U48,""),"")</f>
        <v/>
      </c>
      <c r="V49" s="56" t="str">
        <f>IF(AND(ISNUMBER(V48),ISNUMBER(V43)),IF(V48&gt;0,V43/V48,""),"")</f>
        <v/>
      </c>
    </row>
    <row r="50">
      <c r="A50" s="51" t="inlineStr">
        <is>
          <t xml:space="preserve">Status</t>
        </is>
      </c>
      <c r="C50" s="57" t="str">
        <f>IF(ISNUMBER(C49),IF(C49&gt;=1,"meta atingida","abaixo da meta"),"")</f>
        <v/>
      </c>
      <c r="D50" s="57" t="str">
        <f>IF(ISNUMBER(D49),IF(D49&gt;=1,"meta atingida","abaixo da meta"),"")</f>
        <v/>
      </c>
      <c r="E50" s="57" t="str">
        <f>IF(ISNUMBER(E49),IF(E49&gt;=1,"meta atingida","abaixo da meta"),"")</f>
        <v/>
      </c>
      <c r="F50" s="57" t="str">
        <f>IF(ISNUMBER(F49),IF(F49&gt;=1,"meta atingida","abaixo da meta"),"")</f>
        <v/>
      </c>
      <c r="G50" s="57" t="str">
        <f>IF(ISNUMBER(G49),IF(G49&gt;=1,"meta atingida","abaixo da meta"),"")</f>
        <v/>
      </c>
      <c r="H50" s="57" t="str">
        <f>IF(ISNUMBER(H49),IF(H49&gt;=1,"meta atingida","abaixo da meta"),"")</f>
        <v/>
      </c>
      <c r="I50" s="57" t="str">
        <f>IF(AND(ISNUMBER(I48),ISNUMBER(I43)),IF(I43&lt;=I48,"dentro do limite","acima do limite"),"")</f>
        <v/>
      </c>
      <c r="J50" s="57" t="str">
        <f>IF(AND(ISNUMBER(J48),ISNUMBER(J43)),IF(J43&lt;=J48,"dentro do limite","acima do limite"),"")</f>
        <v/>
      </c>
      <c r="K50" s="57" t="str">
        <f>IF(AND(ISNUMBER(K48),ISNUMBER(K43)),IF(K43&lt;=K48,"dentro do limite","acima do limite"),"")</f>
        <v/>
      </c>
      <c r="L50" s="57" t="str">
        <f>IF(ISNUMBER(L49),IF(L49&gt;=1,"meta atingida","abaixo da meta"),"")</f>
        <v/>
      </c>
      <c r="M50" s="57" t="str">
        <f>IF(ISNUMBER(M49),IF(M49&gt;=1,"meta atingida","abaixo da meta"),"")</f>
        <v/>
      </c>
      <c r="N50" s="57" t="str">
        <f>IF(ISNUMBER(N43),IF(N43&gt;1,"excede o contratado",IF(N43&gt;=$B$6,"ocupação alta",IF(N43&gt;=$B$5,"ocupação média","ociosidade alta"))),"")</f>
        <v/>
      </c>
      <c r="O50" s="57" t="str">
        <f>IF(ISNUMBER(O49),IF(O49&gt;=1,"meta atingida","abaixo da meta"),"")</f>
        <v/>
      </c>
      <c r="P50" s="57" t="str">
        <f>IF(AND(ISNUMBER(P48),ISNUMBER(P43)),IF(P43&lt;=P48,"dentro do limite","acima do limite"),"")</f>
        <v/>
      </c>
      <c r="Q50" s="57" t="str">
        <f>IF(ISNUMBER(Q49),IF(Q49&gt;=1,"meta atingida","abaixo da meta"),"")</f>
        <v/>
      </c>
      <c r="R50" s="57" t="str">
        <f>IF(ISNUMBER(R49),IF(R49&gt;=1,"meta atingida","abaixo da meta"),"")</f>
        <v/>
      </c>
      <c r="S50" s="57" t="str">
        <f>IF(AND(ISNUMBER(S48),ISNUMBER(S43)),IF(S43&lt;=S48,"dentro do limite","acima do limite"),"")</f>
        <v/>
      </c>
      <c r="T50" s="57" t="str">
        <f>IF(AND(ISNUMBER(T48),ISNUMBER(T43)),IF(T43&lt;=T48,"dentro do limite","acima do limite"),"")</f>
        <v/>
      </c>
      <c r="U50" s="57" t="str">
        <f>IF(AND(ISNUMBER(U48),ISNUMBER(U43)),IF(U43&lt;=U48,"dentro do limite","acima do limite"),"")</f>
        <v/>
      </c>
      <c r="V50" s="57" t="str">
        <f>IF(AND(ISNUMBER(V48),ISNUMBER(V43)),IF(V43&lt;=V48,"dentro do limite","acima do limite"),"")</f>
        <v/>
      </c>
    </row>
    <row r="78">
      <c r="A78" s="19" t="inlineStr">
        <is>
          <t xml:space="preserve">ACUMULADO SEMANAL — toneladas e pallets (seguem o filtro; mês do gráfico)</t>
        </is>
      </c>
    </row>
    <row r="79">
      <c r="A79" s="37" t="inlineStr">
        <is>
          <t xml:space="preserve">Semana</t>
        </is>
      </c>
      <c r="B79" s="37" t="inlineStr">
        <is>
          <t xml:space="preserve">Do dia</t>
        </is>
      </c>
      <c r="C79" s="37" t="inlineStr">
        <is>
          <t xml:space="preserve">Ao dia</t>
        </is>
      </c>
      <c r="D79" s="37" t="inlineStr">
        <is>
          <t xml:space="preserve">IN tons</t>
        </is>
      </c>
      <c r="E79" s="37" t="inlineStr">
        <is>
          <t xml:space="preserve">OUT tons</t>
        </is>
      </c>
      <c r="F79" s="37" t="inlineStr">
        <is>
          <t xml:space="preserve">IN pallets</t>
        </is>
      </c>
      <c r="G79" s="37" t="inlineStr">
        <is>
          <t xml:space="preserve">OUT pallets</t>
        </is>
      </c>
      <c r="AX79" s="37" t="inlineStr">
        <is>
          <t xml:space="preserve">Gráf A IN (semanal)</t>
        </is>
      </c>
      <c r="AY79" s="37" t="inlineStr">
        <is>
          <t xml:space="preserve">Gráf A OUT (semanal)</t>
        </is>
      </c>
      <c r="AZ79" s="37" t="inlineStr">
        <is>
          <t xml:space="preserve">Gráf B IN (semanal)</t>
        </is>
      </c>
      <c r="BA79" s="37" t="inlineStr">
        <is>
          <t xml:space="preserve">Gráf B OUT (semanal)</t>
        </is>
      </c>
    </row>
    <row r="80">
      <c r="A80" s="29" t="inlineStr">
        <is>
          <t xml:space="preserve">Sem 1 (01–07)</t>
        </is>
      </c>
      <c r="B80" s="28">
        <v>1</v>
      </c>
      <c r="C80" s="28">
        <v>7</v>
      </c>
      <c r="D80" s="60">
        <f>SUMIFS(E12:E42,A12:A42,"&gt;="&amp;$B80,A12:A42,"&lt;="&amp;$C80)</f>
        <v>0</v>
      </c>
      <c r="E80" s="60">
        <f>SUMIFS(H12:H42,A12:A42,"&gt;="&amp;$B80,A12:A42,"&lt;="&amp;$C80)</f>
        <v>0</v>
      </c>
      <c r="F80" s="32">
        <f>SUMIFS(D12:D42,A12:A42,"&gt;="&amp;$B80,A12:A42,"&lt;="&amp;$C80)</f>
        <v>0</v>
      </c>
      <c r="G80" s="32">
        <f>SUMIFS(G12:G42,A12:A42,"&gt;="&amp;$B80,A12:A42,"&lt;="&amp;$C80)</f>
        <v>0</v>
      </c>
      <c r="AX80" s="60">
        <f>IF(N(VALUE($AH$295))=0,"",IF(N(VALUE($AJ$295))=0,SUMIFS(AX$12:AX$42,$A$12:$A$42,"&gt;="&amp;$B80,$A$12:$A$42,"&lt;="&amp;$C80),IF(SUMIFS(INDEX($C$12:$V$42,0,N(VALUE($AJ$295))),$A$12:$A$42,"&gt;="&amp;$B80,$A$12:$A$42,"&lt;="&amp;$C80)&gt;0,SUMIFS(INDEX($C$12:$V$42,0,VALUE($AH$295)),$A$12:$A$42,"&gt;="&amp;$B80,$A$12:$A$42,"&lt;="&amp;$C80)/SUMIFS(INDEX($C$12:$V$42,0,N(VALUE($AJ$295))),$A$12:$A$42,"&gt;="&amp;$B80,$A$12:$A$42,"&lt;="&amp;$C80),"")))</f>
        <v>0</v>
      </c>
      <c r="AY80" s="60">
        <f>IF(N(VALUE($AI$295))=0,"",IF(N(VALUE($AK$295))=0,SUMIFS(AY$12:AY$42,$A$12:$A$42,"&gt;="&amp;$B80,$A$12:$A$42,"&lt;="&amp;$C80),IF(SUMIFS(INDEX($C$12:$V$42,0,N(VALUE($AK$295))),$A$12:$A$42,"&gt;="&amp;$B80,$A$12:$A$42,"&lt;="&amp;$C80)&gt;0,SUMIFS(INDEX($C$12:$V$42,0,VALUE($AI$295)),$A$12:$A$42,"&gt;="&amp;$B80,$A$12:$A$42,"&lt;="&amp;$C80)/SUMIFS(INDEX($C$12:$V$42,0,N(VALUE($AK$295))),$A$12:$A$42,"&gt;="&amp;$B80,$A$12:$A$42,"&lt;="&amp;$C80),"")))</f>
        <v>0</v>
      </c>
      <c r="AZ80" s="60">
        <f>IF(N(VALUE($AP$295))=0,"",IF(N(VALUE($AR$295))=0,SUMIFS(AZ$12:AZ$42,$A$12:$A$42,"&gt;="&amp;$B80,$A$12:$A$42,"&lt;="&amp;$C80),IF(SUMIFS(INDEX($C$12:$V$42,0,N(VALUE($AR$295))),$A$12:$A$42,"&gt;="&amp;$B80,$A$12:$A$42,"&lt;="&amp;$C80)&gt;0,SUMIFS(INDEX($C$12:$V$42,0,VALUE($AP$295)),$A$12:$A$42,"&gt;="&amp;$B80,$A$12:$A$42,"&lt;="&amp;$C80)/SUMIFS(INDEX($C$12:$V$42,0,N(VALUE($AR$295))),$A$12:$A$42,"&gt;="&amp;$B80,$A$12:$A$42,"&lt;="&amp;$C80),"")))</f>
        <v>0</v>
      </c>
      <c r="BA80" s="60">
        <f>IF(N(VALUE($AQ$295))=0,"",IF(N(VALUE($AS$295))=0,SUMIFS(BA$12:BA$42,$A$12:$A$42,"&gt;="&amp;$B80,$A$12:$A$42,"&lt;="&amp;$C80),IF(SUMIFS(INDEX($C$12:$V$42,0,N(VALUE($AS$295))),$A$12:$A$42,"&gt;="&amp;$B80,$A$12:$A$42,"&lt;="&amp;$C80)&gt;0,SUMIFS(INDEX($C$12:$V$42,0,VALUE($AQ$295)),$A$12:$A$42,"&gt;="&amp;$B80,$A$12:$A$42,"&lt;="&amp;$C80)/SUMIFS(INDEX($C$12:$V$42,0,N(VALUE($AS$295))),$A$12:$A$42,"&gt;="&amp;$B80,$A$12:$A$42,"&lt;="&amp;$C80),"")))</f>
        <v>0</v>
      </c>
    </row>
    <row r="81">
      <c r="A81" s="29" t="inlineStr">
        <is>
          <t xml:space="preserve">Sem 2 (08–14)</t>
        </is>
      </c>
      <c r="B81" s="28">
        <v>8</v>
      </c>
      <c r="C81" s="28">
        <v>14</v>
      </c>
      <c r="D81" s="60">
        <f>SUMIFS(E12:E42,A12:A42,"&gt;="&amp;$B81,A12:A42,"&lt;="&amp;$C81)</f>
        <v>0</v>
      </c>
      <c r="E81" s="60">
        <f>SUMIFS(H12:H42,A12:A42,"&gt;="&amp;$B81,A12:A42,"&lt;="&amp;$C81)</f>
        <v>0</v>
      </c>
      <c r="F81" s="32">
        <f>SUMIFS(D12:D42,A12:A42,"&gt;="&amp;$B81,A12:A42,"&lt;="&amp;$C81)</f>
        <v>0</v>
      </c>
      <c r="G81" s="32">
        <f>SUMIFS(G12:G42,A12:A42,"&gt;="&amp;$B81,A12:A42,"&lt;="&amp;$C81)</f>
        <v>0</v>
      </c>
      <c r="AX81" s="60">
        <f>IF(N(VALUE($AH$295))=0,"",IF(N(VALUE($AJ$295))=0,SUMIFS(AX$12:AX$42,$A$12:$A$42,"&gt;="&amp;$B81,$A$12:$A$42,"&lt;="&amp;$C81),IF(SUMIFS(INDEX($C$12:$V$42,0,N(VALUE($AJ$295))),$A$12:$A$42,"&gt;="&amp;$B81,$A$12:$A$42,"&lt;="&amp;$C81)&gt;0,SUMIFS(INDEX($C$12:$V$42,0,VALUE($AH$295)),$A$12:$A$42,"&gt;="&amp;$B81,$A$12:$A$42,"&lt;="&amp;$C81)/SUMIFS(INDEX($C$12:$V$42,0,N(VALUE($AJ$295))),$A$12:$A$42,"&gt;="&amp;$B81,$A$12:$A$42,"&lt;="&amp;$C81),"")))</f>
        <v>0</v>
      </c>
      <c r="AY81" s="60">
        <f>IF(N(VALUE($AI$295))=0,"",IF(N(VALUE($AK$295))=0,SUMIFS(AY$12:AY$42,$A$12:$A$42,"&gt;="&amp;$B81,$A$12:$A$42,"&lt;="&amp;$C81),IF(SUMIFS(INDEX($C$12:$V$42,0,N(VALUE($AK$295))),$A$12:$A$42,"&gt;="&amp;$B81,$A$12:$A$42,"&lt;="&amp;$C81)&gt;0,SUMIFS(INDEX($C$12:$V$42,0,VALUE($AI$295)),$A$12:$A$42,"&gt;="&amp;$B81,$A$12:$A$42,"&lt;="&amp;$C81)/SUMIFS(INDEX($C$12:$V$42,0,N(VALUE($AK$295))),$A$12:$A$42,"&gt;="&amp;$B81,$A$12:$A$42,"&lt;="&amp;$C81),"")))</f>
        <v>0</v>
      </c>
      <c r="AZ81" s="60">
        <f>IF(N(VALUE($AP$295))=0,"",IF(N(VALUE($AR$295))=0,SUMIFS(AZ$12:AZ$42,$A$12:$A$42,"&gt;="&amp;$B81,$A$12:$A$42,"&lt;="&amp;$C81),IF(SUMIFS(INDEX($C$12:$V$42,0,N(VALUE($AR$295))),$A$12:$A$42,"&gt;="&amp;$B81,$A$12:$A$42,"&lt;="&amp;$C81)&gt;0,SUMIFS(INDEX($C$12:$V$42,0,VALUE($AP$295)),$A$12:$A$42,"&gt;="&amp;$B81,$A$12:$A$42,"&lt;="&amp;$C81)/SUMIFS(INDEX($C$12:$V$42,0,N(VALUE($AR$295))),$A$12:$A$42,"&gt;="&amp;$B81,$A$12:$A$42,"&lt;="&amp;$C81),"")))</f>
        <v>0</v>
      </c>
      <c r="BA81" s="60">
        <f>IF(N(VALUE($AQ$295))=0,"",IF(N(VALUE($AS$295))=0,SUMIFS(BA$12:BA$42,$A$12:$A$42,"&gt;="&amp;$B81,$A$12:$A$42,"&lt;="&amp;$C81),IF(SUMIFS(INDEX($C$12:$V$42,0,N(VALUE($AS$295))),$A$12:$A$42,"&gt;="&amp;$B81,$A$12:$A$42,"&lt;="&amp;$C81)&gt;0,SUMIFS(INDEX($C$12:$V$42,0,VALUE($AQ$295)),$A$12:$A$42,"&gt;="&amp;$B81,$A$12:$A$42,"&lt;="&amp;$C81)/SUMIFS(INDEX($C$12:$V$42,0,N(VALUE($AS$295))),$A$12:$A$42,"&gt;="&amp;$B81,$A$12:$A$42,"&lt;="&amp;$C81),"")))</f>
        <v>0</v>
      </c>
    </row>
    <row r="82">
      <c r="A82" s="29" t="inlineStr">
        <is>
          <t xml:space="preserve">Sem 3 (15–21)</t>
        </is>
      </c>
      <c r="B82" s="28">
        <v>15</v>
      </c>
      <c r="C82" s="28">
        <v>21</v>
      </c>
      <c r="D82" s="60">
        <f>SUMIFS(E12:E42,A12:A42,"&gt;="&amp;$B82,A12:A42,"&lt;="&amp;$C82)</f>
        <v>0</v>
      </c>
      <c r="E82" s="60">
        <f>SUMIFS(H12:H42,A12:A42,"&gt;="&amp;$B82,A12:A42,"&lt;="&amp;$C82)</f>
        <v>0</v>
      </c>
      <c r="F82" s="32">
        <f>SUMIFS(D12:D42,A12:A42,"&gt;="&amp;$B82,A12:A42,"&lt;="&amp;$C82)</f>
        <v>0</v>
      </c>
      <c r="G82" s="32">
        <f>SUMIFS(G12:G42,A12:A42,"&gt;="&amp;$B82,A12:A42,"&lt;="&amp;$C82)</f>
        <v>0</v>
      </c>
      <c r="AX82" s="60">
        <f>IF(N(VALUE($AH$295))=0,"",IF(N(VALUE($AJ$295))=0,SUMIFS(AX$12:AX$42,$A$12:$A$42,"&gt;="&amp;$B82,$A$12:$A$42,"&lt;="&amp;$C82),IF(SUMIFS(INDEX($C$12:$V$42,0,N(VALUE($AJ$295))),$A$12:$A$42,"&gt;="&amp;$B82,$A$12:$A$42,"&lt;="&amp;$C82)&gt;0,SUMIFS(INDEX($C$12:$V$42,0,VALUE($AH$295)),$A$12:$A$42,"&gt;="&amp;$B82,$A$12:$A$42,"&lt;="&amp;$C82)/SUMIFS(INDEX($C$12:$V$42,0,N(VALUE($AJ$295))),$A$12:$A$42,"&gt;="&amp;$B82,$A$12:$A$42,"&lt;="&amp;$C82),"")))</f>
        <v>0</v>
      </c>
      <c r="AY82" s="60">
        <f>IF(N(VALUE($AI$295))=0,"",IF(N(VALUE($AK$295))=0,SUMIFS(AY$12:AY$42,$A$12:$A$42,"&gt;="&amp;$B82,$A$12:$A$42,"&lt;="&amp;$C82),IF(SUMIFS(INDEX($C$12:$V$42,0,N(VALUE($AK$295))),$A$12:$A$42,"&gt;="&amp;$B82,$A$12:$A$42,"&lt;="&amp;$C82)&gt;0,SUMIFS(INDEX($C$12:$V$42,0,VALUE($AI$295)),$A$12:$A$42,"&gt;="&amp;$B82,$A$12:$A$42,"&lt;="&amp;$C82)/SUMIFS(INDEX($C$12:$V$42,0,N(VALUE($AK$295))),$A$12:$A$42,"&gt;="&amp;$B82,$A$12:$A$42,"&lt;="&amp;$C82),"")))</f>
        <v>0</v>
      </c>
      <c r="AZ82" s="60">
        <f>IF(N(VALUE($AP$295))=0,"",IF(N(VALUE($AR$295))=0,SUMIFS(AZ$12:AZ$42,$A$12:$A$42,"&gt;="&amp;$B82,$A$12:$A$42,"&lt;="&amp;$C82),IF(SUMIFS(INDEX($C$12:$V$42,0,N(VALUE($AR$295))),$A$12:$A$42,"&gt;="&amp;$B82,$A$12:$A$42,"&lt;="&amp;$C82)&gt;0,SUMIFS(INDEX($C$12:$V$42,0,VALUE($AP$295)),$A$12:$A$42,"&gt;="&amp;$B82,$A$12:$A$42,"&lt;="&amp;$C82)/SUMIFS(INDEX($C$12:$V$42,0,N(VALUE($AR$295))),$A$12:$A$42,"&gt;="&amp;$B82,$A$12:$A$42,"&lt;="&amp;$C82),"")))</f>
        <v>0</v>
      </c>
      <c r="BA82" s="60">
        <f>IF(N(VALUE($AQ$295))=0,"",IF(N(VALUE($AS$295))=0,SUMIFS(BA$12:BA$42,$A$12:$A$42,"&gt;="&amp;$B82,$A$12:$A$42,"&lt;="&amp;$C82),IF(SUMIFS(INDEX($C$12:$V$42,0,N(VALUE($AS$295))),$A$12:$A$42,"&gt;="&amp;$B82,$A$12:$A$42,"&lt;="&amp;$C82)&gt;0,SUMIFS(INDEX($C$12:$V$42,0,VALUE($AQ$295)),$A$12:$A$42,"&gt;="&amp;$B82,$A$12:$A$42,"&lt;="&amp;$C82)/SUMIFS(INDEX($C$12:$V$42,0,N(VALUE($AS$295))),$A$12:$A$42,"&gt;="&amp;$B82,$A$12:$A$42,"&lt;="&amp;$C82),"")))</f>
        <v>0</v>
      </c>
    </row>
    <row r="83">
      <c r="A83" s="29" t="inlineStr">
        <is>
          <t xml:space="preserve">Sem 4 (22–28)</t>
        </is>
      </c>
      <c r="B83" s="28">
        <v>22</v>
      </c>
      <c r="C83" s="28">
        <v>28</v>
      </c>
      <c r="D83" s="60">
        <f>SUMIFS(E12:E42,A12:A42,"&gt;="&amp;$B83,A12:A42,"&lt;="&amp;$C83)</f>
        <v>0</v>
      </c>
      <c r="E83" s="60">
        <f>SUMIFS(H12:H42,A12:A42,"&gt;="&amp;$B83,A12:A42,"&lt;="&amp;$C83)</f>
        <v>0</v>
      </c>
      <c r="F83" s="32">
        <f>SUMIFS(D12:D42,A12:A42,"&gt;="&amp;$B83,A12:A42,"&lt;="&amp;$C83)</f>
        <v>0</v>
      </c>
      <c r="G83" s="32">
        <f>SUMIFS(G12:G42,A12:A42,"&gt;="&amp;$B83,A12:A42,"&lt;="&amp;$C83)</f>
        <v>0</v>
      </c>
      <c r="AX83" s="60">
        <f>IF(N(VALUE($AH$295))=0,"",IF(N(VALUE($AJ$295))=0,SUMIFS(AX$12:AX$42,$A$12:$A$42,"&gt;="&amp;$B83,$A$12:$A$42,"&lt;="&amp;$C83),IF(SUMIFS(INDEX($C$12:$V$42,0,N(VALUE($AJ$295))),$A$12:$A$42,"&gt;="&amp;$B83,$A$12:$A$42,"&lt;="&amp;$C83)&gt;0,SUMIFS(INDEX($C$12:$V$42,0,VALUE($AH$295)),$A$12:$A$42,"&gt;="&amp;$B83,$A$12:$A$42,"&lt;="&amp;$C83)/SUMIFS(INDEX($C$12:$V$42,0,N(VALUE($AJ$295))),$A$12:$A$42,"&gt;="&amp;$B83,$A$12:$A$42,"&lt;="&amp;$C83),"")))</f>
        <v>0</v>
      </c>
      <c r="AY83" s="60">
        <f>IF(N(VALUE($AI$295))=0,"",IF(N(VALUE($AK$295))=0,SUMIFS(AY$12:AY$42,$A$12:$A$42,"&gt;="&amp;$B83,$A$12:$A$42,"&lt;="&amp;$C83),IF(SUMIFS(INDEX($C$12:$V$42,0,N(VALUE($AK$295))),$A$12:$A$42,"&gt;="&amp;$B83,$A$12:$A$42,"&lt;="&amp;$C83)&gt;0,SUMIFS(INDEX($C$12:$V$42,0,VALUE($AI$295)),$A$12:$A$42,"&gt;="&amp;$B83,$A$12:$A$42,"&lt;="&amp;$C83)/SUMIFS(INDEX($C$12:$V$42,0,N(VALUE($AK$295))),$A$12:$A$42,"&gt;="&amp;$B83,$A$12:$A$42,"&lt;="&amp;$C83),"")))</f>
        <v>0</v>
      </c>
      <c r="AZ83" s="60">
        <f>IF(N(VALUE($AP$295))=0,"",IF(N(VALUE($AR$295))=0,SUMIFS(AZ$12:AZ$42,$A$12:$A$42,"&gt;="&amp;$B83,$A$12:$A$42,"&lt;="&amp;$C83),IF(SUMIFS(INDEX($C$12:$V$42,0,N(VALUE($AR$295))),$A$12:$A$42,"&gt;="&amp;$B83,$A$12:$A$42,"&lt;="&amp;$C83)&gt;0,SUMIFS(INDEX($C$12:$V$42,0,VALUE($AP$295)),$A$12:$A$42,"&gt;="&amp;$B83,$A$12:$A$42,"&lt;="&amp;$C83)/SUMIFS(INDEX($C$12:$V$42,0,N(VALUE($AR$295))),$A$12:$A$42,"&gt;="&amp;$B83,$A$12:$A$42,"&lt;="&amp;$C83),"")))</f>
        <v>0</v>
      </c>
      <c r="BA83" s="60">
        <f>IF(N(VALUE($AQ$295))=0,"",IF(N(VALUE($AS$295))=0,SUMIFS(BA$12:BA$42,$A$12:$A$42,"&gt;="&amp;$B83,$A$12:$A$42,"&lt;="&amp;$C83),IF(SUMIFS(INDEX($C$12:$V$42,0,N(VALUE($AS$295))),$A$12:$A$42,"&gt;="&amp;$B83,$A$12:$A$42,"&lt;="&amp;$C83)&gt;0,SUMIFS(INDEX($C$12:$V$42,0,VALUE($AQ$295)),$A$12:$A$42,"&gt;="&amp;$B83,$A$12:$A$42,"&lt;="&amp;$C83)/SUMIFS(INDEX($C$12:$V$42,0,N(VALUE($AS$295))),$A$12:$A$42,"&gt;="&amp;$B83,$A$12:$A$42,"&lt;="&amp;$C83),"")))</f>
        <v>0</v>
      </c>
    </row>
    <row r="84">
      <c r="A84" s="29" t="inlineStr">
        <is>
          <t xml:space="preserve">Sem 5 (29–fim)</t>
        </is>
      </c>
      <c r="B84" s="28">
        <v>29</v>
      </c>
      <c r="C84" s="28">
        <v>31</v>
      </c>
      <c r="D84" s="60">
        <f>SUMIFS(E12:E42,A12:A42,"&gt;="&amp;$B84,A12:A42,"&lt;="&amp;$C84)</f>
        <v>0</v>
      </c>
      <c r="E84" s="60">
        <f>SUMIFS(H12:H42,A12:A42,"&gt;="&amp;$B84,A12:A42,"&lt;="&amp;$C84)</f>
        <v>0</v>
      </c>
      <c r="F84" s="32">
        <f>SUMIFS(D12:D42,A12:A42,"&gt;="&amp;$B84,A12:A42,"&lt;="&amp;$C84)</f>
        <v>0</v>
      </c>
      <c r="G84" s="32">
        <f>SUMIFS(G12:G42,A12:A42,"&gt;="&amp;$B84,A12:A42,"&lt;="&amp;$C84)</f>
        <v>0</v>
      </c>
      <c r="AX84" s="60">
        <f>IF(N(VALUE($AH$295))=0,"",IF(N(VALUE($AJ$295))=0,SUMIFS(AX$12:AX$42,$A$12:$A$42,"&gt;="&amp;$B84,$A$12:$A$42,"&lt;="&amp;$C84),IF(SUMIFS(INDEX($C$12:$V$42,0,N(VALUE($AJ$295))),$A$12:$A$42,"&gt;="&amp;$B84,$A$12:$A$42,"&lt;="&amp;$C84)&gt;0,SUMIFS(INDEX($C$12:$V$42,0,VALUE($AH$295)),$A$12:$A$42,"&gt;="&amp;$B84,$A$12:$A$42,"&lt;="&amp;$C84)/SUMIFS(INDEX($C$12:$V$42,0,N(VALUE($AJ$295))),$A$12:$A$42,"&gt;="&amp;$B84,$A$12:$A$42,"&lt;="&amp;$C84),"")))</f>
        <v>0</v>
      </c>
      <c r="AY84" s="60">
        <f>IF(N(VALUE($AI$295))=0,"",IF(N(VALUE($AK$295))=0,SUMIFS(AY$12:AY$42,$A$12:$A$42,"&gt;="&amp;$B84,$A$12:$A$42,"&lt;="&amp;$C84),IF(SUMIFS(INDEX($C$12:$V$42,0,N(VALUE($AK$295))),$A$12:$A$42,"&gt;="&amp;$B84,$A$12:$A$42,"&lt;="&amp;$C84)&gt;0,SUMIFS(INDEX($C$12:$V$42,0,VALUE($AI$295)),$A$12:$A$42,"&gt;="&amp;$B84,$A$12:$A$42,"&lt;="&amp;$C84)/SUMIFS(INDEX($C$12:$V$42,0,N(VALUE($AK$295))),$A$12:$A$42,"&gt;="&amp;$B84,$A$12:$A$42,"&lt;="&amp;$C84),"")))</f>
        <v>0</v>
      </c>
      <c r="AZ84" s="60">
        <f>IF(N(VALUE($AP$295))=0,"",IF(N(VALUE($AR$295))=0,SUMIFS(AZ$12:AZ$42,$A$12:$A$42,"&gt;="&amp;$B84,$A$12:$A$42,"&lt;="&amp;$C84),IF(SUMIFS(INDEX($C$12:$V$42,0,N(VALUE($AR$295))),$A$12:$A$42,"&gt;="&amp;$B84,$A$12:$A$42,"&lt;="&amp;$C84)&gt;0,SUMIFS(INDEX($C$12:$V$42,0,VALUE($AP$295)),$A$12:$A$42,"&gt;="&amp;$B84,$A$12:$A$42,"&lt;="&amp;$C84)/SUMIFS(INDEX($C$12:$V$42,0,N(VALUE($AR$295))),$A$12:$A$42,"&gt;="&amp;$B84,$A$12:$A$42,"&lt;="&amp;$C84),"")))</f>
        <v>0</v>
      </c>
      <c r="BA84" s="60">
        <f>IF(N(VALUE($AQ$295))=0,"",IF(N(VALUE($AS$295))=0,SUMIFS(BA$12:BA$42,$A$12:$A$42,"&gt;="&amp;$B84,$A$12:$A$42,"&lt;="&amp;$C84),IF(SUMIFS(INDEX($C$12:$V$42,0,N(VALUE($AS$295))),$A$12:$A$42,"&gt;="&amp;$B84,$A$12:$A$42,"&lt;="&amp;$C84)&gt;0,SUMIFS(INDEX($C$12:$V$42,0,VALUE($AQ$295)),$A$12:$A$42,"&gt;="&amp;$B84,$A$12:$A$42,"&lt;="&amp;$C84)/SUMIFS(INDEX($C$12:$V$42,0,N(VALUE($AS$295))),$A$12:$A$42,"&gt;="&amp;$B84,$A$12:$A$42,"&lt;="&amp;$C84),"")))</f>
        <v>0</v>
      </c>
    </row>
    <row r="88">
      <c r="A88" s="19" t="inlineStr">
        <is>
          <t xml:space="preserve">POR CLIENTE — mês inteiro (todos os clientes). Estoque = último valor do mês.</t>
        </is>
      </c>
    </row>
    <row r="89" ht="30" customHeight="1">
      <c r="A89" s="37" t="inlineStr">
        <is>
          <t xml:space="preserve">Indicador</t>
        </is>
      </c>
      <c r="B89" s="37" t="inlineStr">
        <is>
          <t xml:space="preserve">Barry Callebaut</t>
        </is>
      </c>
      <c r="C89" s="37" t="inlineStr">
        <is>
          <t xml:space="preserve">GM</t>
        </is>
      </c>
      <c r="D89" s="37" t="inlineStr">
        <is>
          <t xml:space="preserve">Mondelez</t>
        </is>
      </c>
      <c r="E89" s="37" t="inlineStr">
        <is>
          <t xml:space="preserve">Nestlé</t>
        </is>
      </c>
      <c r="F89" s="37" t="inlineStr">
        <is>
          <t xml:space="preserve">PMB</t>
        </is>
      </c>
      <c r="G89" s="37" t="inlineStr">
        <is>
          <t xml:space="preserve">TOTAL</t>
        </is>
      </c>
    </row>
    <row r="90">
      <c r="A90" s="29" t="inlineStr">
        <is>
          <t xml:space="preserve">IN · Veículos Recebidos</t>
        </is>
      </c>
      <c r="B90" s="32">
        <f>SUMIFS(BD!$C$3:$C$5001,BD!$B$3:$B$5001,B$89,BD!$A$3:$A$5001,"&gt;="&amp;$C$7,BD!$A$3:$A$5001,"&lt;="&amp;$D$7)</f>
        <v>0</v>
      </c>
      <c r="C90" s="32" t="inlineStr">
        <is>
          <t xml:space="preserve">—</t>
        </is>
      </c>
      <c r="D90" s="32">
        <f>SUMIFS(BD!$C$3:$C$5001,BD!$B$3:$B$5001,D$89,BD!$A$3:$A$5001,"&gt;="&amp;$C$7,BD!$A$3:$A$5001,"&lt;="&amp;$D$7)</f>
        <v>0</v>
      </c>
      <c r="E90" s="32">
        <f>SUMIFS(BD!$C$3:$C$5001,BD!$B$3:$B$5001,E$89,BD!$A$3:$A$5001,"&gt;="&amp;$C$7,BD!$A$3:$A$5001,"&lt;="&amp;$D$7)</f>
        <v>0</v>
      </c>
      <c r="F90" s="32">
        <f>SUMIFS(BD!$C$3:$C$5001,BD!$B$3:$B$5001,F$89,BD!$A$3:$A$5001,"&gt;="&amp;$C$7,BD!$A$3:$A$5001,"&lt;="&amp;$D$7)</f>
        <v>0</v>
      </c>
      <c r="G90" s="61">
        <f>SUM(B90:F90)</f>
        <v>0</v>
      </c>
    </row>
    <row r="91">
      <c r="A91" s="29" t="inlineStr">
        <is>
          <t xml:space="preserve">IN · Pallets Movimentados</t>
        </is>
      </c>
      <c r="B91" s="32">
        <f>SUMIFS(BD!$D$3:$D$5001,BD!$B$3:$B$5001,B$89,BD!$A$3:$A$5001,"&gt;="&amp;$C$7,BD!$A$3:$A$5001,"&lt;="&amp;$D$7)</f>
        <v>0</v>
      </c>
      <c r="C91" s="32" t="inlineStr">
        <is>
          <t xml:space="preserve">—</t>
        </is>
      </c>
      <c r="D91" s="32">
        <f>SUMIFS(BD!$D$3:$D$5001,BD!$B$3:$B$5001,D$89,BD!$A$3:$A$5001,"&gt;="&amp;$C$7,BD!$A$3:$A$5001,"&lt;="&amp;$D$7)</f>
        <v>0</v>
      </c>
      <c r="E91" s="32">
        <f>SUMIFS(BD!$D$3:$D$5001,BD!$B$3:$B$5001,E$89,BD!$A$3:$A$5001,"&gt;="&amp;$C$7,BD!$A$3:$A$5001,"&lt;="&amp;$D$7)</f>
        <v>0</v>
      </c>
      <c r="F91" s="32">
        <f>SUMIFS(BD!$D$3:$D$5001,BD!$B$3:$B$5001,F$89,BD!$A$3:$A$5001,"&gt;="&amp;$C$7,BD!$A$3:$A$5001,"&lt;="&amp;$D$7)</f>
        <v>0</v>
      </c>
      <c r="G91" s="61">
        <f>SUM(B91:F91)</f>
        <v>0</v>
      </c>
    </row>
    <row r="92">
      <c r="A92" s="29" t="inlineStr">
        <is>
          <t xml:space="preserve">IN · Toneladas Movimentadas</t>
        </is>
      </c>
      <c r="B92" s="60">
        <f>SUMIFS(BD!$E$3:$E$5001,BD!$B$3:$B$5001,B$89,BD!$A$3:$A$5001,"&gt;="&amp;$C$7,BD!$A$3:$A$5001,"&lt;="&amp;$D$7)</f>
        <v>0</v>
      </c>
      <c r="C92" s="60" t="inlineStr">
        <is>
          <t xml:space="preserve">—</t>
        </is>
      </c>
      <c r="D92" s="60">
        <f>SUMIFS(BD!$E$3:$E$5001,BD!$B$3:$B$5001,D$89,BD!$A$3:$A$5001,"&gt;="&amp;$C$7,BD!$A$3:$A$5001,"&lt;="&amp;$D$7)</f>
        <v>0</v>
      </c>
      <c r="E92" s="60">
        <f>SUMIFS(BD!$E$3:$E$5001,BD!$B$3:$B$5001,E$89,BD!$A$3:$A$5001,"&gt;="&amp;$C$7,BD!$A$3:$A$5001,"&lt;="&amp;$D$7)</f>
        <v>0</v>
      </c>
      <c r="F92" s="60">
        <f>SUMIFS(BD!$E$3:$E$5001,BD!$B$3:$B$5001,F$89,BD!$A$3:$A$5001,"&gt;="&amp;$C$7,BD!$A$3:$A$5001,"&lt;="&amp;$D$7)</f>
        <v>0</v>
      </c>
      <c r="G92" s="62">
        <f>SUM(B92:F92)</f>
        <v>0</v>
      </c>
    </row>
    <row r="93">
      <c r="A93" s="29" t="inlineStr">
        <is>
          <t xml:space="preserve">OUT · Veículos Expedidos</t>
        </is>
      </c>
      <c r="B93" s="32">
        <f>SUMIFS(BD!$F$3:$F$5001,BD!$B$3:$B$5001,B$89,BD!$A$3:$A$5001,"&gt;="&amp;$C$7,BD!$A$3:$A$5001,"&lt;="&amp;$D$7)</f>
        <v>0</v>
      </c>
      <c r="C93" s="32">
        <f>SUMIFS(BD!$F$3:$F$5001,BD!$B$3:$B$5001,C$89,BD!$A$3:$A$5001,"&gt;="&amp;$C$7,BD!$A$3:$A$5001,"&lt;="&amp;$D$7)</f>
        <v>0</v>
      </c>
      <c r="D93" s="32">
        <f>SUMIFS(BD!$F$3:$F$5001,BD!$B$3:$B$5001,D$89,BD!$A$3:$A$5001,"&gt;="&amp;$C$7,BD!$A$3:$A$5001,"&lt;="&amp;$D$7)</f>
        <v>0</v>
      </c>
      <c r="E93" s="32">
        <f>SUMIFS(BD!$F$3:$F$5001,BD!$B$3:$B$5001,E$89,BD!$A$3:$A$5001,"&gt;="&amp;$C$7,BD!$A$3:$A$5001,"&lt;="&amp;$D$7)</f>
        <v>0</v>
      </c>
      <c r="F93" s="32">
        <f>SUMIFS(BD!$F$3:$F$5001,BD!$B$3:$B$5001,F$89,BD!$A$3:$A$5001,"&gt;="&amp;$C$7,BD!$A$3:$A$5001,"&lt;="&amp;$D$7)</f>
        <v>0</v>
      </c>
      <c r="G93" s="61">
        <f>SUM(B93:F93)</f>
        <v>0</v>
      </c>
    </row>
    <row r="94">
      <c r="A94" s="29" t="inlineStr">
        <is>
          <t xml:space="preserve">OUT · Pallets Movimentados</t>
        </is>
      </c>
      <c r="B94" s="32">
        <f>SUMIFS(BD!$G$3:$G$5001,BD!$B$3:$B$5001,B$89,BD!$A$3:$A$5001,"&gt;="&amp;$C$7,BD!$A$3:$A$5001,"&lt;="&amp;$D$7)</f>
        <v>0</v>
      </c>
      <c r="C94" s="32">
        <f>SUMIFS(BD!$G$3:$G$5001,BD!$B$3:$B$5001,C$89,BD!$A$3:$A$5001,"&gt;="&amp;$C$7,BD!$A$3:$A$5001,"&lt;="&amp;$D$7)</f>
        <v>0</v>
      </c>
      <c r="D94" s="32">
        <f>SUMIFS(BD!$G$3:$G$5001,BD!$B$3:$B$5001,D$89,BD!$A$3:$A$5001,"&gt;="&amp;$C$7,BD!$A$3:$A$5001,"&lt;="&amp;$D$7)</f>
        <v>0</v>
      </c>
      <c r="E94" s="32">
        <f>SUMIFS(BD!$G$3:$G$5001,BD!$B$3:$B$5001,E$89,BD!$A$3:$A$5001,"&gt;="&amp;$C$7,BD!$A$3:$A$5001,"&lt;="&amp;$D$7)</f>
        <v>0</v>
      </c>
      <c r="F94" s="32">
        <f>SUMIFS(BD!$G$3:$G$5001,BD!$B$3:$B$5001,F$89,BD!$A$3:$A$5001,"&gt;="&amp;$C$7,BD!$A$3:$A$5001,"&lt;="&amp;$D$7)</f>
        <v>0</v>
      </c>
      <c r="G94" s="61">
        <f>SUM(B94:F94)</f>
        <v>0</v>
      </c>
    </row>
    <row r="95">
      <c r="A95" s="29" t="inlineStr">
        <is>
          <t xml:space="preserve">OUT · Toneladas Movimentadas</t>
        </is>
      </c>
      <c r="B95" s="60">
        <f>SUMIFS(BD!$H$3:$H$5001,BD!$B$3:$B$5001,B$89,BD!$A$3:$A$5001,"&gt;="&amp;$C$7,BD!$A$3:$A$5001,"&lt;="&amp;$D$7)</f>
        <v>0</v>
      </c>
      <c r="C95" s="60">
        <f>SUMIFS(BD!$H$3:$H$5001,BD!$B$3:$B$5001,C$89,BD!$A$3:$A$5001,"&gt;="&amp;$C$7,BD!$A$3:$A$5001,"&lt;="&amp;$D$7)</f>
        <v>0</v>
      </c>
      <c r="D95" s="60">
        <f>SUMIFS(BD!$H$3:$H$5001,BD!$B$3:$B$5001,D$89,BD!$A$3:$A$5001,"&gt;="&amp;$C$7,BD!$A$3:$A$5001,"&lt;="&amp;$D$7)</f>
        <v>0</v>
      </c>
      <c r="E95" s="60">
        <f>SUMIFS(BD!$H$3:$H$5001,BD!$B$3:$B$5001,E$89,BD!$A$3:$A$5001,"&gt;="&amp;$C$7,BD!$A$3:$A$5001,"&lt;="&amp;$D$7)</f>
        <v>0</v>
      </c>
      <c r="F95" s="60">
        <f>SUMIFS(BD!$H$3:$H$5001,BD!$B$3:$B$5001,F$89,BD!$A$3:$A$5001,"&gt;="&amp;$C$7,BD!$A$3:$A$5001,"&lt;="&amp;$D$7)</f>
        <v>0</v>
      </c>
      <c r="G95" s="62">
        <f>SUM(B95:F95)</f>
        <v>0</v>
      </c>
    </row>
    <row r="96">
      <c r="A96" s="29" t="inlineStr">
        <is>
          <t xml:space="preserve">NC · Incidentes</t>
        </is>
      </c>
      <c r="B96" s="32">
        <f>SUMIFS(BD!$I$3:$I$5001,BD!$B$3:$B$5001,B$89,BD!$A$3:$A$5001,"&gt;="&amp;$C$7,BD!$A$3:$A$5001,"&lt;="&amp;$D$7)</f>
        <v>0</v>
      </c>
      <c r="C96" s="32">
        <f>SUMIFS(BD!$I$3:$I$5001,BD!$B$3:$B$5001,C$89,BD!$A$3:$A$5001,"&gt;="&amp;$C$7,BD!$A$3:$A$5001,"&lt;="&amp;$D$7)</f>
        <v>0</v>
      </c>
      <c r="D96" s="32">
        <f>SUMIFS(BD!$I$3:$I$5001,BD!$B$3:$B$5001,D$89,BD!$A$3:$A$5001,"&gt;="&amp;$C$7,BD!$A$3:$A$5001,"&lt;="&amp;$D$7)</f>
        <v>0</v>
      </c>
      <c r="E96" s="32">
        <f>SUMIFS(BD!$I$3:$I$5001,BD!$B$3:$B$5001,E$89,BD!$A$3:$A$5001,"&gt;="&amp;$C$7,BD!$A$3:$A$5001,"&lt;="&amp;$D$7)</f>
        <v>0</v>
      </c>
      <c r="F96" s="32">
        <f>SUMIFS(BD!$I$3:$I$5001,BD!$B$3:$B$5001,F$89,BD!$A$3:$A$5001,"&gt;="&amp;$C$7,BD!$A$3:$A$5001,"&lt;="&amp;$D$7)</f>
        <v>0</v>
      </c>
      <c r="G96" s="61">
        <f>SUM(B96:F96)</f>
        <v>0</v>
      </c>
    </row>
    <row r="97">
      <c r="A97" s="29" t="inlineStr">
        <is>
          <t xml:space="preserve">NC · No show</t>
        </is>
      </c>
      <c r="B97" s="32">
        <f>SUMIFS(BD!$J$3:$J$5001,BD!$B$3:$B$5001,B$89,BD!$A$3:$A$5001,"&gt;="&amp;$C$7,BD!$A$3:$A$5001,"&lt;="&amp;$D$7)</f>
        <v>0</v>
      </c>
      <c r="C97" s="32">
        <f>SUMIFS(BD!$J$3:$J$5001,BD!$B$3:$B$5001,C$89,BD!$A$3:$A$5001,"&gt;="&amp;$C$7,BD!$A$3:$A$5001,"&lt;="&amp;$D$7)</f>
        <v>0</v>
      </c>
      <c r="D97" s="32">
        <f>SUMIFS(BD!$J$3:$J$5001,BD!$B$3:$B$5001,D$89,BD!$A$3:$A$5001,"&gt;="&amp;$C$7,BD!$A$3:$A$5001,"&lt;="&amp;$D$7)</f>
        <v>0</v>
      </c>
      <c r="E97" s="32">
        <f>SUMIFS(BD!$J$3:$J$5001,BD!$B$3:$B$5001,E$89,BD!$A$3:$A$5001,"&gt;="&amp;$C$7,BD!$A$3:$A$5001,"&lt;="&amp;$D$7)</f>
        <v>0</v>
      </c>
      <c r="F97" s="32">
        <f>SUMIFS(BD!$J$3:$J$5001,BD!$B$3:$B$5001,F$89,BD!$A$3:$A$5001,"&gt;="&amp;$C$7,BD!$A$3:$A$5001,"&lt;="&amp;$D$7)</f>
        <v>0</v>
      </c>
      <c r="G97" s="61">
        <f>SUM(B97:F97)</f>
        <v>0</v>
      </c>
    </row>
    <row r="98">
      <c r="A98" s="29" t="inlineStr">
        <is>
          <t xml:space="preserve">NC · Backlog</t>
        </is>
      </c>
      <c r="B98" s="32" t="str">
        <f>IF(COUNTIFS(BD!$B$3:$B$5001,B$89,BD!$A$3:$A$5001,"&gt;="&amp;$C$7,BD!$A$3:$A$5001,"&lt;="&amp;$D$7,BD!$K$3:$K$5001,"&lt;&gt;")=0,"",SUMIFS(BD!$K$3:$K$5001,BD!$B$3:$B$5001,B$89,BD!$A$3:$A$5001,_xlfn.MAXIFS(BD!$A$3:$A$5001,BD!$B$3:$B$5001,B$89,BD!$A$3:$A$5001,"&gt;="&amp;$C$7,BD!$A$3:$A$5001,"&lt;="&amp;$D$7,BD!$K$3:$K$5001,"&lt;&gt;")))</f>
        <v/>
      </c>
      <c r="C98" s="32" t="str">
        <f>IF(COUNTIFS(BD!$B$3:$B$5001,C$89,BD!$A$3:$A$5001,"&gt;="&amp;$C$7,BD!$A$3:$A$5001,"&lt;="&amp;$D$7,BD!$K$3:$K$5001,"&lt;&gt;")=0,"",SUMIFS(BD!$K$3:$K$5001,BD!$B$3:$B$5001,C$89,BD!$A$3:$A$5001,_xlfn.MAXIFS(BD!$A$3:$A$5001,BD!$B$3:$B$5001,C$89,BD!$A$3:$A$5001,"&gt;="&amp;$C$7,BD!$A$3:$A$5001,"&lt;="&amp;$D$7,BD!$K$3:$K$5001,"&lt;&gt;")))</f>
        <v/>
      </c>
      <c r="D98" s="32" t="str">
        <f>IF(COUNTIFS(BD!$B$3:$B$5001,D$89,BD!$A$3:$A$5001,"&gt;="&amp;$C$7,BD!$A$3:$A$5001,"&lt;="&amp;$D$7,BD!$K$3:$K$5001,"&lt;&gt;")=0,"",SUMIFS(BD!$K$3:$K$5001,BD!$B$3:$B$5001,D$89,BD!$A$3:$A$5001,_xlfn.MAXIFS(BD!$A$3:$A$5001,BD!$B$3:$B$5001,D$89,BD!$A$3:$A$5001,"&gt;="&amp;$C$7,BD!$A$3:$A$5001,"&lt;="&amp;$D$7,BD!$K$3:$K$5001,"&lt;&gt;")))</f>
        <v/>
      </c>
      <c r="E98" s="32" t="str">
        <f>IF(COUNTIFS(BD!$B$3:$B$5001,E$89,BD!$A$3:$A$5001,"&gt;="&amp;$C$7,BD!$A$3:$A$5001,"&lt;="&amp;$D$7,BD!$K$3:$K$5001,"&lt;&gt;")=0,"",SUMIFS(BD!$K$3:$K$5001,BD!$B$3:$B$5001,E$89,BD!$A$3:$A$5001,_xlfn.MAXIFS(BD!$A$3:$A$5001,BD!$B$3:$B$5001,E$89,BD!$A$3:$A$5001,"&gt;="&amp;$C$7,BD!$A$3:$A$5001,"&lt;="&amp;$D$7,BD!$K$3:$K$5001,"&lt;&gt;")))</f>
        <v/>
      </c>
      <c r="F98" s="32" t="str">
        <f>IF(COUNTIFS(BD!$B$3:$B$5001,F$89,BD!$A$3:$A$5001,"&gt;="&amp;$C$7,BD!$A$3:$A$5001,"&lt;="&amp;$D$7,BD!$K$3:$K$5001,"&lt;&gt;")=0,"",SUMIFS(BD!$K$3:$K$5001,BD!$B$3:$B$5001,F$89,BD!$A$3:$A$5001,_xlfn.MAXIFS(BD!$A$3:$A$5001,BD!$B$3:$B$5001,F$89,BD!$A$3:$A$5001,"&gt;="&amp;$C$7,BD!$A$3:$A$5001,"&lt;="&amp;$D$7,BD!$K$3:$K$5001,"&lt;&gt;")))</f>
        <v/>
      </c>
      <c r="G98" s="61">
        <f>SUM(B98:F98)</f>
        <v>0</v>
      </c>
    </row>
    <row r="99">
      <c r="A99" s="29" t="inlineStr">
        <is>
          <t xml:space="preserve">OCUPAÇÃO (P.P) · Posições Disponíveis</t>
        </is>
      </c>
      <c r="B99" s="32" t="str">
        <f>IF(COUNTIFS(BD!$B$3:$B$5001,B$89,BD!$A$3:$A$5001,"&gt;="&amp;$C$7,BD!$A$3:$A$5001,"&lt;="&amp;$D$7,BD!$M$3:$M$5001,"&lt;&gt;")=0,"",SUMIFS(BD!$L$3:$L$5001,BD!$B$3:$B$5001,B$89,BD!$A$3:$A$5001,_xlfn.MAXIFS(BD!$A$3:$A$5001,BD!$B$3:$B$5001,B$89,BD!$A$3:$A$5001,"&gt;="&amp;$C$7,BD!$A$3:$A$5001,"&lt;="&amp;$D$7,BD!$M$3:$M$5001,"&lt;&gt;")))</f>
        <v/>
      </c>
      <c r="C99" s="32" t="inlineStr">
        <is>
          <t xml:space="preserve">—</t>
        </is>
      </c>
      <c r="D99" s="32" t="inlineStr">
        <is>
          <t xml:space="preserve">—</t>
        </is>
      </c>
      <c r="E99" s="32" t="inlineStr">
        <is>
          <t xml:space="preserve">—</t>
        </is>
      </c>
      <c r="F99" s="32" t="str">
        <f>IF(COUNTIFS(BD!$B$3:$B$5001,F$89,BD!$A$3:$A$5001,"&gt;="&amp;$C$7,BD!$A$3:$A$5001,"&lt;="&amp;$D$7,BD!$M$3:$M$5001,"&lt;&gt;")=0,"",SUMIFS(BD!$L$3:$L$5001,BD!$B$3:$B$5001,F$89,BD!$A$3:$A$5001,_xlfn.MAXIFS(BD!$A$3:$A$5001,BD!$B$3:$B$5001,F$89,BD!$A$3:$A$5001,"&gt;="&amp;$C$7,BD!$A$3:$A$5001,"&lt;="&amp;$D$7,BD!$M$3:$M$5001,"&lt;&gt;")))</f>
        <v/>
      </c>
      <c r="G99" s="61">
        <f>IF($B$4&gt;0,$B$4,SUM(B99:F99))</f>
        <v>5872</v>
      </c>
    </row>
    <row r="100">
      <c r="A100" s="29" t="inlineStr">
        <is>
          <t xml:space="preserve">OCUPAÇÃO (P.P) · Posições Ocupadas</t>
        </is>
      </c>
      <c r="B100" s="32" t="str">
        <f>IF(COUNTIFS(BD!$B$3:$B$5001,B$89,BD!$A$3:$A$5001,"&gt;="&amp;$C$7,BD!$A$3:$A$5001,"&lt;="&amp;$D$7,BD!$M$3:$M$5001,"&lt;&gt;")=0,"",SUMIFS(BD!$M$3:$M$5001,BD!$B$3:$B$5001,B$89,BD!$A$3:$A$5001,_xlfn.MAXIFS(BD!$A$3:$A$5001,BD!$B$3:$B$5001,B$89,BD!$A$3:$A$5001,"&gt;="&amp;$C$7,BD!$A$3:$A$5001,"&lt;="&amp;$D$7,BD!$M$3:$M$5001,"&lt;&gt;")))</f>
        <v/>
      </c>
      <c r="C100" s="32" t="inlineStr">
        <is>
          <t xml:space="preserve">—</t>
        </is>
      </c>
      <c r="D100" s="32" t="str">
        <f>IF(COUNTIFS(BD!$B$3:$B$5001,D$89,BD!$A$3:$A$5001,"&gt;="&amp;$C$7,BD!$A$3:$A$5001,"&lt;="&amp;$D$7,BD!$M$3:$M$5001,"&lt;&gt;")=0,"",SUMIFS(BD!$M$3:$M$5001,BD!$B$3:$B$5001,D$89,BD!$A$3:$A$5001,_xlfn.MAXIFS(BD!$A$3:$A$5001,BD!$B$3:$B$5001,D$89,BD!$A$3:$A$5001,"&gt;="&amp;$C$7,BD!$A$3:$A$5001,"&lt;="&amp;$D$7,BD!$M$3:$M$5001,"&lt;&gt;")))</f>
        <v/>
      </c>
      <c r="E100" s="32" t="str">
        <f>IF(COUNTIFS(BD!$B$3:$B$5001,E$89,BD!$A$3:$A$5001,"&gt;="&amp;$C$7,BD!$A$3:$A$5001,"&lt;="&amp;$D$7,BD!$M$3:$M$5001,"&lt;&gt;")=0,"",SUMIFS(BD!$M$3:$M$5001,BD!$B$3:$B$5001,E$89,BD!$A$3:$A$5001,_xlfn.MAXIFS(BD!$A$3:$A$5001,BD!$B$3:$B$5001,E$89,BD!$A$3:$A$5001,"&gt;="&amp;$C$7,BD!$A$3:$A$5001,"&lt;="&amp;$D$7,BD!$M$3:$M$5001,"&lt;&gt;")))</f>
        <v/>
      </c>
      <c r="F100" s="32" t="str">
        <f>IF(COUNTIFS(BD!$B$3:$B$5001,F$89,BD!$A$3:$A$5001,"&gt;="&amp;$C$7,BD!$A$3:$A$5001,"&lt;="&amp;$D$7,BD!$M$3:$M$5001,"&lt;&gt;")=0,"",SUMIFS(BD!$M$3:$M$5001,BD!$B$3:$B$5001,F$89,BD!$A$3:$A$5001,_xlfn.MAXIFS(BD!$A$3:$A$5001,BD!$B$3:$B$5001,F$89,BD!$A$3:$A$5001,"&gt;="&amp;$C$7,BD!$A$3:$A$5001,"&lt;="&amp;$D$7,BD!$M$3:$M$5001,"&lt;&gt;")))</f>
        <v/>
      </c>
      <c r="G100" s="61">
        <f>SUM(B100:F100)</f>
        <v>0</v>
      </c>
    </row>
    <row r="101">
      <c r="A101" s="29" t="inlineStr">
        <is>
          <t xml:space="preserve">OCUPAÇÃO (P.P) · Taxa de Ocupação</t>
        </is>
      </c>
      <c r="B101" s="49" t="str">
        <f>IF(AND(ISNUMBER(B100),ISNUMBER(B99)),IF(B99&gt;0,B100/B99,""),"")</f>
        <v/>
      </c>
      <c r="C101" s="49" t="inlineStr">
        <is>
          <t xml:space="preserve">—</t>
        </is>
      </c>
      <c r="D101" s="49" t="inlineStr">
        <is>
          <t xml:space="preserve">—</t>
        </is>
      </c>
      <c r="E101" s="49" t="inlineStr">
        <is>
          <t xml:space="preserve">—</t>
        </is>
      </c>
      <c r="F101" s="49" t="str">
        <f>IF(AND(ISNUMBER(F100),ISNUMBER(F99)),IF(F99&gt;0,F100/F99,""),"")</f>
        <v/>
      </c>
      <c r="G101" s="63">
        <f>IFERROR(G100/G99,"")</f>
        <v>0</v>
      </c>
    </row>
    <row r="102">
      <c r="A102" s="29" t="inlineStr">
        <is>
          <t xml:space="preserve">GENTE · Efetivo Op.</t>
        </is>
      </c>
      <c r="B102" s="32" t="str">
        <f>IF(COUNTIFS(BD!$B$3:$B$5001,B$89,BD!$A$3:$A$5001,"&gt;="&amp;$C$7,BD!$A$3:$A$5001,"&lt;="&amp;$D$7,BD!$N$3:$N$5001,"&lt;&gt;")=0,"",SUMIFS(BD!$N$3:$N$5001,BD!$B$3:$B$5001,B$89,BD!$A$3:$A$5001,_xlfn.MAXIFS(BD!$A$3:$A$5001,BD!$B$3:$B$5001,B$89,BD!$A$3:$A$5001,"&gt;="&amp;$C$7,BD!$A$3:$A$5001,"&lt;="&amp;$D$7,BD!$N$3:$N$5001,"&lt;&gt;")))</f>
        <v/>
      </c>
      <c r="C102" s="32" t="str">
        <f>IF(COUNTIFS(BD!$B$3:$B$5001,C$89,BD!$A$3:$A$5001,"&gt;="&amp;$C$7,BD!$A$3:$A$5001,"&lt;="&amp;$D$7,BD!$N$3:$N$5001,"&lt;&gt;")=0,"",SUMIFS(BD!$N$3:$N$5001,BD!$B$3:$B$5001,C$89,BD!$A$3:$A$5001,_xlfn.MAXIFS(BD!$A$3:$A$5001,BD!$B$3:$B$5001,C$89,BD!$A$3:$A$5001,"&gt;="&amp;$C$7,BD!$A$3:$A$5001,"&lt;="&amp;$D$7,BD!$N$3:$N$5001,"&lt;&gt;")))</f>
        <v/>
      </c>
      <c r="D102" s="32" t="str">
        <f>IF(COUNTIFS(BD!$B$3:$B$5001,D$89,BD!$A$3:$A$5001,"&gt;="&amp;$C$7,BD!$A$3:$A$5001,"&lt;="&amp;$D$7,BD!$N$3:$N$5001,"&lt;&gt;")=0,"",SUMIFS(BD!$N$3:$N$5001,BD!$B$3:$B$5001,D$89,BD!$A$3:$A$5001,_xlfn.MAXIFS(BD!$A$3:$A$5001,BD!$B$3:$B$5001,D$89,BD!$A$3:$A$5001,"&gt;="&amp;$C$7,BD!$A$3:$A$5001,"&lt;="&amp;$D$7,BD!$N$3:$N$5001,"&lt;&gt;")))</f>
        <v/>
      </c>
      <c r="E102" s="32" t="str">
        <f>IF(COUNTIFS(BD!$B$3:$B$5001,E$89,BD!$A$3:$A$5001,"&gt;="&amp;$C$7,BD!$A$3:$A$5001,"&lt;="&amp;$D$7,BD!$N$3:$N$5001,"&lt;&gt;")=0,"",SUMIFS(BD!$N$3:$N$5001,BD!$B$3:$B$5001,E$89,BD!$A$3:$A$5001,_xlfn.MAXIFS(BD!$A$3:$A$5001,BD!$B$3:$B$5001,E$89,BD!$A$3:$A$5001,"&gt;="&amp;$C$7,BD!$A$3:$A$5001,"&lt;="&amp;$D$7,BD!$N$3:$N$5001,"&lt;&gt;")))</f>
        <v/>
      </c>
      <c r="F102" s="32" t="str">
        <f>IF(COUNTIFS(BD!$B$3:$B$5001,F$89,BD!$A$3:$A$5001,"&gt;="&amp;$C$7,BD!$A$3:$A$5001,"&lt;="&amp;$D$7,BD!$N$3:$N$5001,"&lt;&gt;")=0,"",SUMIFS(BD!$N$3:$N$5001,BD!$B$3:$B$5001,F$89,BD!$A$3:$A$5001,_xlfn.MAXIFS(BD!$A$3:$A$5001,BD!$B$3:$B$5001,F$89,BD!$A$3:$A$5001,"&gt;="&amp;$C$7,BD!$A$3:$A$5001,"&lt;="&amp;$D$7,BD!$N$3:$N$5001,"&lt;&gt;")))</f>
        <v/>
      </c>
      <c r="G102" s="61">
        <f>SUM(B102:F102)</f>
        <v>0</v>
      </c>
    </row>
    <row r="103">
      <c r="A103" s="29" t="inlineStr">
        <is>
          <t xml:space="preserve">GENTE · Falta</t>
        </is>
      </c>
      <c r="B103" s="32">
        <f>SUMIFS(BD!$O$3:$O$5001,BD!$B$3:$B$5001,B$89,BD!$A$3:$A$5001,"&gt;="&amp;$C$7,BD!$A$3:$A$5001,"&lt;="&amp;$D$7)</f>
        <v>0</v>
      </c>
      <c r="C103" s="32">
        <f>SUMIFS(BD!$O$3:$O$5001,BD!$B$3:$B$5001,C$89,BD!$A$3:$A$5001,"&gt;="&amp;$C$7,BD!$A$3:$A$5001,"&lt;="&amp;$D$7)</f>
        <v>0</v>
      </c>
      <c r="D103" s="32">
        <f>SUMIFS(BD!$O$3:$O$5001,BD!$B$3:$B$5001,D$89,BD!$A$3:$A$5001,"&gt;="&amp;$C$7,BD!$A$3:$A$5001,"&lt;="&amp;$D$7)</f>
        <v>0</v>
      </c>
      <c r="E103" s="32">
        <f>SUMIFS(BD!$O$3:$O$5001,BD!$B$3:$B$5001,E$89,BD!$A$3:$A$5001,"&gt;="&amp;$C$7,BD!$A$3:$A$5001,"&lt;="&amp;$D$7)</f>
        <v>0</v>
      </c>
      <c r="F103" s="32">
        <f>SUMIFS(BD!$O$3:$O$5001,BD!$B$3:$B$5001,F$89,BD!$A$3:$A$5001,"&gt;="&amp;$C$7,BD!$A$3:$A$5001,"&lt;="&amp;$D$7)</f>
        <v>0</v>
      </c>
      <c r="G103" s="61">
        <f>SUM(B103:F103)</f>
        <v>0</v>
      </c>
    </row>
    <row r="104">
      <c r="A104" s="29" t="inlineStr">
        <is>
          <t xml:space="preserve">GENTE · Folga</t>
        </is>
      </c>
      <c r="B104" s="32">
        <f>SUMIFS(BD!$P$3:$P$5001,BD!$B$3:$B$5001,B$89,BD!$A$3:$A$5001,"&gt;="&amp;$C$7,BD!$A$3:$A$5001,"&lt;="&amp;$D$7)</f>
        <v>0</v>
      </c>
      <c r="C104" s="32">
        <f>SUMIFS(BD!$P$3:$P$5001,BD!$B$3:$B$5001,C$89,BD!$A$3:$A$5001,"&gt;="&amp;$C$7,BD!$A$3:$A$5001,"&lt;="&amp;$D$7)</f>
        <v>0</v>
      </c>
      <c r="D104" s="32">
        <f>SUMIFS(BD!$P$3:$P$5001,BD!$B$3:$B$5001,D$89,BD!$A$3:$A$5001,"&gt;="&amp;$C$7,BD!$A$3:$A$5001,"&lt;="&amp;$D$7)</f>
        <v>0</v>
      </c>
      <c r="E104" s="32">
        <f>SUMIFS(BD!$P$3:$P$5001,BD!$B$3:$B$5001,E$89,BD!$A$3:$A$5001,"&gt;="&amp;$C$7,BD!$A$3:$A$5001,"&lt;="&amp;$D$7)</f>
        <v>0</v>
      </c>
      <c r="F104" s="32">
        <f>SUMIFS(BD!$P$3:$P$5001,BD!$B$3:$B$5001,F$89,BD!$A$3:$A$5001,"&gt;="&amp;$C$7,BD!$A$3:$A$5001,"&lt;="&amp;$D$7)</f>
        <v>0</v>
      </c>
      <c r="G104" s="61">
        <f>SUM(B104:F104)</f>
        <v>0</v>
      </c>
    </row>
    <row r="105">
      <c r="A105" s="29" t="inlineStr">
        <is>
          <t xml:space="preserve">GENTE · Férias</t>
        </is>
      </c>
      <c r="B105" s="32">
        <f>SUMIFS(BD!$Q$3:$Q$5001,BD!$B$3:$B$5001,B$89,BD!$A$3:$A$5001,"&gt;="&amp;$C$7,BD!$A$3:$A$5001,"&lt;="&amp;$D$7)</f>
        <v>0</v>
      </c>
      <c r="C105" s="32">
        <f>SUMIFS(BD!$Q$3:$Q$5001,BD!$B$3:$B$5001,C$89,BD!$A$3:$A$5001,"&gt;="&amp;$C$7,BD!$A$3:$A$5001,"&lt;="&amp;$D$7)</f>
        <v>0</v>
      </c>
      <c r="D105" s="32">
        <f>SUMIFS(BD!$Q$3:$Q$5001,BD!$B$3:$B$5001,D$89,BD!$A$3:$A$5001,"&gt;="&amp;$C$7,BD!$A$3:$A$5001,"&lt;="&amp;$D$7)</f>
        <v>0</v>
      </c>
      <c r="E105" s="32">
        <f>SUMIFS(BD!$Q$3:$Q$5001,BD!$B$3:$B$5001,E$89,BD!$A$3:$A$5001,"&gt;="&amp;$C$7,BD!$A$3:$A$5001,"&lt;="&amp;$D$7)</f>
        <v>0</v>
      </c>
      <c r="F105" s="32">
        <f>SUMIFS(BD!$Q$3:$Q$5001,BD!$B$3:$B$5001,F$89,BD!$A$3:$A$5001,"&gt;="&amp;$C$7,BD!$A$3:$A$5001,"&lt;="&amp;$D$7)</f>
        <v>0</v>
      </c>
      <c r="G105" s="61">
        <f>SUM(B105:F105)</f>
        <v>0</v>
      </c>
    </row>
    <row r="106">
      <c r="A106" s="29" t="inlineStr">
        <is>
          <t xml:space="preserve">GENTE · Desligamento</t>
        </is>
      </c>
      <c r="B106" s="32">
        <f>SUMIFS(BD!$R$3:$R$5001,BD!$B$3:$B$5001,B$89,BD!$A$3:$A$5001,"&gt;="&amp;$C$7,BD!$A$3:$A$5001,"&lt;="&amp;$D$7)</f>
        <v>0</v>
      </c>
      <c r="C106" s="32">
        <f>SUMIFS(BD!$R$3:$R$5001,BD!$B$3:$B$5001,C$89,BD!$A$3:$A$5001,"&gt;="&amp;$C$7,BD!$A$3:$A$5001,"&lt;="&amp;$D$7)</f>
        <v>0</v>
      </c>
      <c r="D106" s="32">
        <f>SUMIFS(BD!$R$3:$R$5001,BD!$B$3:$B$5001,D$89,BD!$A$3:$A$5001,"&gt;="&amp;$C$7,BD!$A$3:$A$5001,"&lt;="&amp;$D$7)</f>
        <v>0</v>
      </c>
      <c r="E106" s="32">
        <f>SUMIFS(BD!$R$3:$R$5001,BD!$B$3:$B$5001,E$89,BD!$A$3:$A$5001,"&gt;="&amp;$C$7,BD!$A$3:$A$5001,"&lt;="&amp;$D$7)</f>
        <v>0</v>
      </c>
      <c r="F106" s="32">
        <f>SUMIFS(BD!$R$3:$R$5001,BD!$B$3:$B$5001,F$89,BD!$A$3:$A$5001,"&gt;="&amp;$C$7,BD!$A$3:$A$5001,"&lt;="&amp;$D$7)</f>
        <v>0</v>
      </c>
      <c r="G106" s="61">
        <f>SUM(B106:F106)</f>
        <v>0</v>
      </c>
    </row>
    <row r="107">
      <c r="A107" s="29" t="inlineStr">
        <is>
          <t xml:space="preserve">GENTE · Desvios Comportamentais</t>
        </is>
      </c>
      <c r="B107" s="32">
        <f>SUMIFS(BD!$S$3:$S$5001,BD!$B$3:$B$5001,B$89,BD!$A$3:$A$5001,"&gt;="&amp;$C$7,BD!$A$3:$A$5001,"&lt;="&amp;$D$7)</f>
        <v>0</v>
      </c>
      <c r="C107" s="32">
        <f>SUMIFS(BD!$S$3:$S$5001,BD!$B$3:$B$5001,C$89,BD!$A$3:$A$5001,"&gt;="&amp;$C$7,BD!$A$3:$A$5001,"&lt;="&amp;$D$7)</f>
        <v>0</v>
      </c>
      <c r="D107" s="32">
        <f>SUMIFS(BD!$S$3:$S$5001,BD!$B$3:$B$5001,D$89,BD!$A$3:$A$5001,"&gt;="&amp;$C$7,BD!$A$3:$A$5001,"&lt;="&amp;$D$7)</f>
        <v>0</v>
      </c>
      <c r="E107" s="32">
        <f>SUMIFS(BD!$S$3:$S$5001,BD!$B$3:$B$5001,E$89,BD!$A$3:$A$5001,"&gt;="&amp;$C$7,BD!$A$3:$A$5001,"&lt;="&amp;$D$7)</f>
        <v>0</v>
      </c>
      <c r="F107" s="32">
        <f>SUMIFS(BD!$S$3:$S$5001,BD!$B$3:$B$5001,F$89,BD!$A$3:$A$5001,"&gt;="&amp;$C$7,BD!$A$3:$A$5001,"&lt;="&amp;$D$7)</f>
        <v>0</v>
      </c>
      <c r="G107" s="61">
        <f>SUM(B107:F107)</f>
        <v>0</v>
      </c>
    </row>
    <row r="108">
      <c r="A108" s="29" t="inlineStr">
        <is>
          <t xml:space="preserve">GENTE · Acidentes CAF</t>
        </is>
      </c>
      <c r="B108" s="32">
        <f>SUMIFS(BD!$T$3:$T$5001,BD!$B$3:$B$5001,B$89,BD!$A$3:$A$5001,"&gt;="&amp;$C$7,BD!$A$3:$A$5001,"&lt;="&amp;$D$7)</f>
        <v>0</v>
      </c>
      <c r="C108" s="32">
        <f>SUMIFS(BD!$T$3:$T$5001,BD!$B$3:$B$5001,C$89,BD!$A$3:$A$5001,"&gt;="&amp;$C$7,BD!$A$3:$A$5001,"&lt;="&amp;$D$7)</f>
        <v>0</v>
      </c>
      <c r="D108" s="32">
        <f>SUMIFS(BD!$T$3:$T$5001,BD!$B$3:$B$5001,D$89,BD!$A$3:$A$5001,"&gt;="&amp;$C$7,BD!$A$3:$A$5001,"&lt;="&amp;$D$7)</f>
        <v>0</v>
      </c>
      <c r="E108" s="32">
        <f>SUMIFS(BD!$T$3:$T$5001,BD!$B$3:$B$5001,E$89,BD!$A$3:$A$5001,"&gt;="&amp;$C$7,BD!$A$3:$A$5001,"&lt;="&amp;$D$7)</f>
        <v>0</v>
      </c>
      <c r="F108" s="32">
        <f>SUMIFS(BD!$T$3:$T$5001,BD!$B$3:$B$5001,F$89,BD!$A$3:$A$5001,"&gt;="&amp;$C$7,BD!$A$3:$A$5001,"&lt;="&amp;$D$7)</f>
        <v>0</v>
      </c>
      <c r="G108" s="61">
        <f>SUM(B108:F108)</f>
        <v>0</v>
      </c>
    </row>
    <row r="109">
      <c r="A109" s="29" t="inlineStr">
        <is>
          <t xml:space="preserve">GENTE · Acidentes SAF</t>
        </is>
      </c>
      <c r="B109" s="32">
        <f>SUMIFS(BD!$U$3:$U$5001,BD!$B$3:$B$5001,B$89,BD!$A$3:$A$5001,"&gt;="&amp;$C$7,BD!$A$3:$A$5001,"&lt;="&amp;$D$7)</f>
        <v>0</v>
      </c>
      <c r="C109" s="32">
        <f>SUMIFS(BD!$U$3:$U$5001,BD!$B$3:$B$5001,C$89,BD!$A$3:$A$5001,"&gt;="&amp;$C$7,BD!$A$3:$A$5001,"&lt;="&amp;$D$7)</f>
        <v>0</v>
      </c>
      <c r="D109" s="32">
        <f>SUMIFS(BD!$U$3:$U$5001,BD!$B$3:$B$5001,D$89,BD!$A$3:$A$5001,"&gt;="&amp;$C$7,BD!$A$3:$A$5001,"&lt;="&amp;$D$7)</f>
        <v>0</v>
      </c>
      <c r="E109" s="32">
        <f>SUMIFS(BD!$U$3:$U$5001,BD!$B$3:$B$5001,E$89,BD!$A$3:$A$5001,"&gt;="&amp;$C$7,BD!$A$3:$A$5001,"&lt;="&amp;$D$7)</f>
        <v>0</v>
      </c>
      <c r="F109" s="32">
        <f>SUMIFS(BD!$U$3:$U$5001,BD!$B$3:$B$5001,F$89,BD!$A$3:$A$5001,"&gt;="&amp;$C$7,BD!$A$3:$A$5001,"&lt;="&amp;$D$7)</f>
        <v>0</v>
      </c>
      <c r="G109" s="61">
        <f>SUM(B109:F109)</f>
        <v>0</v>
      </c>
    </row>
    <row r="113">
      <c r="A113" s="19" t="inlineStr">
        <is>
          <t xml:space="preserve">ESTOQUES POR CLIENTE — último valor informado até cada dia (Backlog, Posições e Efetivo)</t>
        </is>
      </c>
    </row>
    <row r="114">
      <c r="A114" s="37" t="inlineStr">
        <is>
          <t xml:space="preserve">Backlog</t>
        </is>
      </c>
      <c r="B114" s="37" t="inlineStr">
        <is>
          <t xml:space="preserve">Data</t>
        </is>
      </c>
      <c r="C114" s="37" t="inlineStr">
        <is>
          <t xml:space="preserve">Barry Callebaut</t>
        </is>
      </c>
      <c r="D114" s="37" t="inlineStr">
        <is>
          <t xml:space="preserve">GM</t>
        </is>
      </c>
      <c r="E114" s="37" t="inlineStr">
        <is>
          <t xml:space="preserve">Mondelez</t>
        </is>
      </c>
      <c r="F114" s="37" t="inlineStr">
        <is>
          <t xml:space="preserve">Nestlé</t>
        </is>
      </c>
      <c r="G114" s="37" t="inlineStr">
        <is>
          <t xml:space="preserve">PMB</t>
        </is>
      </c>
    </row>
    <row r="115">
      <c r="A115" s="40">
        <v>1</v>
      </c>
      <c r="B115" s="41">
        <f>$B$12</f>
        <v>46296</v>
      </c>
      <c r="C115" s="42" t="str">
        <f>IF(OR($B115="",$A115&gt;$B$9),"",IF(COUNTIFS(BD!$B$3:$B$5001,C$114,BD!$A$3:$A$5001,"&gt;="&amp;$C$7,BD!$A$3:$A$5001,"&lt;="&amp;$B115,BD!$K$3:$K$5001,"&lt;&gt;")=0,"",SUMIFS(BD!$K$3:$K$5001,BD!$B$3:$B$5001,C$114,BD!$A$3:$A$5001,_xlfn.MAXIFS(BD!$A$3:$A$5001,BD!$B$3:$B$5001,C$114,BD!$A$3:$A$5001,"&gt;="&amp;$C$7,BD!$A$3:$A$5001,"&lt;="&amp;$B115,BD!$K$3:$K$5001,"&lt;&gt;"))))</f>
        <v/>
      </c>
      <c r="D115" s="42" t="str">
        <f>IF(OR($B115="",$A115&gt;$B$9),"",IF(COUNTIFS(BD!$B$3:$B$5001,D$114,BD!$A$3:$A$5001,"&gt;="&amp;$C$7,BD!$A$3:$A$5001,"&lt;="&amp;$B115,BD!$K$3:$K$5001,"&lt;&gt;")=0,"",SUMIFS(BD!$K$3:$K$5001,BD!$B$3:$B$5001,D$114,BD!$A$3:$A$5001,_xlfn.MAXIFS(BD!$A$3:$A$5001,BD!$B$3:$B$5001,D$114,BD!$A$3:$A$5001,"&gt;="&amp;$C$7,BD!$A$3:$A$5001,"&lt;="&amp;$B115,BD!$K$3:$K$5001,"&lt;&gt;"))))</f>
        <v/>
      </c>
      <c r="E115" s="42" t="str">
        <f>IF(OR($B115="",$A115&gt;$B$9),"",IF(COUNTIFS(BD!$B$3:$B$5001,E$114,BD!$A$3:$A$5001,"&gt;="&amp;$C$7,BD!$A$3:$A$5001,"&lt;="&amp;$B115,BD!$K$3:$K$5001,"&lt;&gt;")=0,"",SUMIFS(BD!$K$3:$K$5001,BD!$B$3:$B$5001,E$114,BD!$A$3:$A$5001,_xlfn.MAXIFS(BD!$A$3:$A$5001,BD!$B$3:$B$5001,E$114,BD!$A$3:$A$5001,"&gt;="&amp;$C$7,BD!$A$3:$A$5001,"&lt;="&amp;$B115,BD!$K$3:$K$5001,"&lt;&gt;"))))</f>
        <v/>
      </c>
      <c r="F115" s="42" t="str">
        <f>IF(OR($B115="",$A115&gt;$B$9),"",IF(COUNTIFS(BD!$B$3:$B$5001,F$114,BD!$A$3:$A$5001,"&gt;="&amp;$C$7,BD!$A$3:$A$5001,"&lt;="&amp;$B115,BD!$K$3:$K$5001,"&lt;&gt;")=0,"",SUMIFS(BD!$K$3:$K$5001,BD!$B$3:$B$5001,F$114,BD!$A$3:$A$5001,_xlfn.MAXIFS(BD!$A$3:$A$5001,BD!$B$3:$B$5001,F$114,BD!$A$3:$A$5001,"&gt;="&amp;$C$7,BD!$A$3:$A$5001,"&lt;="&amp;$B115,BD!$K$3:$K$5001,"&lt;&gt;"))))</f>
        <v/>
      </c>
      <c r="G115" s="42" t="str">
        <f>IF(OR($B115="",$A115&gt;$B$9),"",IF(COUNTIFS(BD!$B$3:$B$5001,G$114,BD!$A$3:$A$5001,"&gt;="&amp;$C$7,BD!$A$3:$A$5001,"&lt;="&amp;$B115,BD!$K$3:$K$5001,"&lt;&gt;")=0,"",SUMIFS(BD!$K$3:$K$5001,BD!$B$3:$B$5001,G$114,BD!$A$3:$A$5001,_xlfn.MAXIFS(BD!$A$3:$A$5001,BD!$B$3:$B$5001,G$114,BD!$A$3:$A$5001,"&gt;="&amp;$C$7,BD!$A$3:$A$5001,"&lt;="&amp;$B115,BD!$K$3:$K$5001,"&lt;&gt;"))))</f>
        <v/>
      </c>
    </row>
    <row r="116">
      <c r="A116" s="40">
        <v>2</v>
      </c>
      <c r="B116" s="41">
        <f>$B$13</f>
        <v>46297</v>
      </c>
      <c r="C116" s="42" t="str">
        <f>IF(OR($B116="",$A116&gt;$B$9),"",IF(COUNTIFS(BD!$B$3:$B$5001,C$114,BD!$A$3:$A$5001,"&gt;="&amp;$C$7,BD!$A$3:$A$5001,"&lt;="&amp;$B116,BD!$K$3:$K$5001,"&lt;&gt;")=0,"",SUMIFS(BD!$K$3:$K$5001,BD!$B$3:$B$5001,C$114,BD!$A$3:$A$5001,_xlfn.MAXIFS(BD!$A$3:$A$5001,BD!$B$3:$B$5001,C$114,BD!$A$3:$A$5001,"&gt;="&amp;$C$7,BD!$A$3:$A$5001,"&lt;="&amp;$B116,BD!$K$3:$K$5001,"&lt;&gt;"))))</f>
        <v/>
      </c>
      <c r="D116" s="42" t="str">
        <f>IF(OR($B116="",$A116&gt;$B$9),"",IF(COUNTIFS(BD!$B$3:$B$5001,D$114,BD!$A$3:$A$5001,"&gt;="&amp;$C$7,BD!$A$3:$A$5001,"&lt;="&amp;$B116,BD!$K$3:$K$5001,"&lt;&gt;")=0,"",SUMIFS(BD!$K$3:$K$5001,BD!$B$3:$B$5001,D$114,BD!$A$3:$A$5001,_xlfn.MAXIFS(BD!$A$3:$A$5001,BD!$B$3:$B$5001,D$114,BD!$A$3:$A$5001,"&gt;="&amp;$C$7,BD!$A$3:$A$5001,"&lt;="&amp;$B116,BD!$K$3:$K$5001,"&lt;&gt;"))))</f>
        <v/>
      </c>
      <c r="E116" s="42" t="str">
        <f>IF(OR($B116="",$A116&gt;$B$9),"",IF(COUNTIFS(BD!$B$3:$B$5001,E$114,BD!$A$3:$A$5001,"&gt;="&amp;$C$7,BD!$A$3:$A$5001,"&lt;="&amp;$B116,BD!$K$3:$K$5001,"&lt;&gt;")=0,"",SUMIFS(BD!$K$3:$K$5001,BD!$B$3:$B$5001,E$114,BD!$A$3:$A$5001,_xlfn.MAXIFS(BD!$A$3:$A$5001,BD!$B$3:$B$5001,E$114,BD!$A$3:$A$5001,"&gt;="&amp;$C$7,BD!$A$3:$A$5001,"&lt;="&amp;$B116,BD!$K$3:$K$5001,"&lt;&gt;"))))</f>
        <v/>
      </c>
      <c r="F116" s="42" t="str">
        <f>IF(OR($B116="",$A116&gt;$B$9),"",IF(COUNTIFS(BD!$B$3:$B$5001,F$114,BD!$A$3:$A$5001,"&gt;="&amp;$C$7,BD!$A$3:$A$5001,"&lt;="&amp;$B116,BD!$K$3:$K$5001,"&lt;&gt;")=0,"",SUMIFS(BD!$K$3:$K$5001,BD!$B$3:$B$5001,F$114,BD!$A$3:$A$5001,_xlfn.MAXIFS(BD!$A$3:$A$5001,BD!$B$3:$B$5001,F$114,BD!$A$3:$A$5001,"&gt;="&amp;$C$7,BD!$A$3:$A$5001,"&lt;="&amp;$B116,BD!$K$3:$K$5001,"&lt;&gt;"))))</f>
        <v/>
      </c>
      <c r="G116" s="42" t="str">
        <f>IF(OR($B116="",$A116&gt;$B$9),"",IF(COUNTIFS(BD!$B$3:$B$5001,G$114,BD!$A$3:$A$5001,"&gt;="&amp;$C$7,BD!$A$3:$A$5001,"&lt;="&amp;$B116,BD!$K$3:$K$5001,"&lt;&gt;")=0,"",SUMIFS(BD!$K$3:$K$5001,BD!$B$3:$B$5001,G$114,BD!$A$3:$A$5001,_xlfn.MAXIFS(BD!$A$3:$A$5001,BD!$B$3:$B$5001,G$114,BD!$A$3:$A$5001,"&gt;="&amp;$C$7,BD!$A$3:$A$5001,"&lt;="&amp;$B116,BD!$K$3:$K$5001,"&lt;&gt;"))))</f>
        <v/>
      </c>
    </row>
    <row r="117">
      <c r="A117" s="40">
        <v>3</v>
      </c>
      <c r="B117" s="41">
        <f>$B$14</f>
        <v>46298</v>
      </c>
      <c r="C117" s="42" t="str">
        <f>IF(OR($B117="",$A117&gt;$B$9),"",IF(COUNTIFS(BD!$B$3:$B$5001,C$114,BD!$A$3:$A$5001,"&gt;="&amp;$C$7,BD!$A$3:$A$5001,"&lt;="&amp;$B117,BD!$K$3:$K$5001,"&lt;&gt;")=0,"",SUMIFS(BD!$K$3:$K$5001,BD!$B$3:$B$5001,C$114,BD!$A$3:$A$5001,_xlfn.MAXIFS(BD!$A$3:$A$5001,BD!$B$3:$B$5001,C$114,BD!$A$3:$A$5001,"&gt;="&amp;$C$7,BD!$A$3:$A$5001,"&lt;="&amp;$B117,BD!$K$3:$K$5001,"&lt;&gt;"))))</f>
        <v/>
      </c>
      <c r="D117" s="42" t="str">
        <f>IF(OR($B117="",$A117&gt;$B$9),"",IF(COUNTIFS(BD!$B$3:$B$5001,D$114,BD!$A$3:$A$5001,"&gt;="&amp;$C$7,BD!$A$3:$A$5001,"&lt;="&amp;$B117,BD!$K$3:$K$5001,"&lt;&gt;")=0,"",SUMIFS(BD!$K$3:$K$5001,BD!$B$3:$B$5001,D$114,BD!$A$3:$A$5001,_xlfn.MAXIFS(BD!$A$3:$A$5001,BD!$B$3:$B$5001,D$114,BD!$A$3:$A$5001,"&gt;="&amp;$C$7,BD!$A$3:$A$5001,"&lt;="&amp;$B117,BD!$K$3:$K$5001,"&lt;&gt;"))))</f>
        <v/>
      </c>
      <c r="E117" s="42" t="str">
        <f>IF(OR($B117="",$A117&gt;$B$9),"",IF(COUNTIFS(BD!$B$3:$B$5001,E$114,BD!$A$3:$A$5001,"&gt;="&amp;$C$7,BD!$A$3:$A$5001,"&lt;="&amp;$B117,BD!$K$3:$K$5001,"&lt;&gt;")=0,"",SUMIFS(BD!$K$3:$K$5001,BD!$B$3:$B$5001,E$114,BD!$A$3:$A$5001,_xlfn.MAXIFS(BD!$A$3:$A$5001,BD!$B$3:$B$5001,E$114,BD!$A$3:$A$5001,"&gt;="&amp;$C$7,BD!$A$3:$A$5001,"&lt;="&amp;$B117,BD!$K$3:$K$5001,"&lt;&gt;"))))</f>
        <v/>
      </c>
      <c r="F117" s="42" t="str">
        <f>IF(OR($B117="",$A117&gt;$B$9),"",IF(COUNTIFS(BD!$B$3:$B$5001,F$114,BD!$A$3:$A$5001,"&gt;="&amp;$C$7,BD!$A$3:$A$5001,"&lt;="&amp;$B117,BD!$K$3:$K$5001,"&lt;&gt;")=0,"",SUMIFS(BD!$K$3:$K$5001,BD!$B$3:$B$5001,F$114,BD!$A$3:$A$5001,_xlfn.MAXIFS(BD!$A$3:$A$5001,BD!$B$3:$B$5001,F$114,BD!$A$3:$A$5001,"&gt;="&amp;$C$7,BD!$A$3:$A$5001,"&lt;="&amp;$B117,BD!$K$3:$K$5001,"&lt;&gt;"))))</f>
        <v/>
      </c>
      <c r="G117" s="42" t="str">
        <f>IF(OR($B117="",$A117&gt;$B$9),"",IF(COUNTIFS(BD!$B$3:$B$5001,G$114,BD!$A$3:$A$5001,"&gt;="&amp;$C$7,BD!$A$3:$A$5001,"&lt;="&amp;$B117,BD!$K$3:$K$5001,"&lt;&gt;")=0,"",SUMIFS(BD!$K$3:$K$5001,BD!$B$3:$B$5001,G$114,BD!$A$3:$A$5001,_xlfn.MAXIFS(BD!$A$3:$A$5001,BD!$B$3:$B$5001,G$114,BD!$A$3:$A$5001,"&gt;="&amp;$C$7,BD!$A$3:$A$5001,"&lt;="&amp;$B117,BD!$K$3:$K$5001,"&lt;&gt;"))))</f>
        <v/>
      </c>
    </row>
    <row r="118">
      <c r="A118" s="40">
        <v>4</v>
      </c>
      <c r="B118" s="41">
        <f>$B$15</f>
        <v>46299</v>
      </c>
      <c r="C118" s="42" t="str">
        <f>IF(OR($B118="",$A118&gt;$B$9),"",IF(COUNTIFS(BD!$B$3:$B$5001,C$114,BD!$A$3:$A$5001,"&gt;="&amp;$C$7,BD!$A$3:$A$5001,"&lt;="&amp;$B118,BD!$K$3:$K$5001,"&lt;&gt;")=0,"",SUMIFS(BD!$K$3:$K$5001,BD!$B$3:$B$5001,C$114,BD!$A$3:$A$5001,_xlfn.MAXIFS(BD!$A$3:$A$5001,BD!$B$3:$B$5001,C$114,BD!$A$3:$A$5001,"&gt;="&amp;$C$7,BD!$A$3:$A$5001,"&lt;="&amp;$B118,BD!$K$3:$K$5001,"&lt;&gt;"))))</f>
        <v/>
      </c>
      <c r="D118" s="42" t="str">
        <f>IF(OR($B118="",$A118&gt;$B$9),"",IF(COUNTIFS(BD!$B$3:$B$5001,D$114,BD!$A$3:$A$5001,"&gt;="&amp;$C$7,BD!$A$3:$A$5001,"&lt;="&amp;$B118,BD!$K$3:$K$5001,"&lt;&gt;")=0,"",SUMIFS(BD!$K$3:$K$5001,BD!$B$3:$B$5001,D$114,BD!$A$3:$A$5001,_xlfn.MAXIFS(BD!$A$3:$A$5001,BD!$B$3:$B$5001,D$114,BD!$A$3:$A$5001,"&gt;="&amp;$C$7,BD!$A$3:$A$5001,"&lt;="&amp;$B118,BD!$K$3:$K$5001,"&lt;&gt;"))))</f>
        <v/>
      </c>
      <c r="E118" s="42" t="str">
        <f>IF(OR($B118="",$A118&gt;$B$9),"",IF(COUNTIFS(BD!$B$3:$B$5001,E$114,BD!$A$3:$A$5001,"&gt;="&amp;$C$7,BD!$A$3:$A$5001,"&lt;="&amp;$B118,BD!$K$3:$K$5001,"&lt;&gt;")=0,"",SUMIFS(BD!$K$3:$K$5001,BD!$B$3:$B$5001,E$114,BD!$A$3:$A$5001,_xlfn.MAXIFS(BD!$A$3:$A$5001,BD!$B$3:$B$5001,E$114,BD!$A$3:$A$5001,"&gt;="&amp;$C$7,BD!$A$3:$A$5001,"&lt;="&amp;$B118,BD!$K$3:$K$5001,"&lt;&gt;"))))</f>
        <v/>
      </c>
      <c r="F118" s="42" t="str">
        <f>IF(OR($B118="",$A118&gt;$B$9),"",IF(COUNTIFS(BD!$B$3:$B$5001,F$114,BD!$A$3:$A$5001,"&gt;="&amp;$C$7,BD!$A$3:$A$5001,"&lt;="&amp;$B118,BD!$K$3:$K$5001,"&lt;&gt;")=0,"",SUMIFS(BD!$K$3:$K$5001,BD!$B$3:$B$5001,F$114,BD!$A$3:$A$5001,_xlfn.MAXIFS(BD!$A$3:$A$5001,BD!$B$3:$B$5001,F$114,BD!$A$3:$A$5001,"&gt;="&amp;$C$7,BD!$A$3:$A$5001,"&lt;="&amp;$B118,BD!$K$3:$K$5001,"&lt;&gt;"))))</f>
        <v/>
      </c>
      <c r="G118" s="42" t="str">
        <f>IF(OR($B118="",$A118&gt;$B$9),"",IF(COUNTIFS(BD!$B$3:$B$5001,G$114,BD!$A$3:$A$5001,"&gt;="&amp;$C$7,BD!$A$3:$A$5001,"&lt;="&amp;$B118,BD!$K$3:$K$5001,"&lt;&gt;")=0,"",SUMIFS(BD!$K$3:$K$5001,BD!$B$3:$B$5001,G$114,BD!$A$3:$A$5001,_xlfn.MAXIFS(BD!$A$3:$A$5001,BD!$B$3:$B$5001,G$114,BD!$A$3:$A$5001,"&gt;="&amp;$C$7,BD!$A$3:$A$5001,"&lt;="&amp;$B118,BD!$K$3:$K$5001,"&lt;&gt;"))))</f>
        <v/>
      </c>
    </row>
    <row r="119">
      <c r="A119" s="40">
        <v>5</v>
      </c>
      <c r="B119" s="41">
        <f>$B$16</f>
        <v>46300</v>
      </c>
      <c r="C119" s="42" t="str">
        <f>IF(OR($B119="",$A119&gt;$B$9),"",IF(COUNTIFS(BD!$B$3:$B$5001,C$114,BD!$A$3:$A$5001,"&gt;="&amp;$C$7,BD!$A$3:$A$5001,"&lt;="&amp;$B119,BD!$K$3:$K$5001,"&lt;&gt;")=0,"",SUMIFS(BD!$K$3:$K$5001,BD!$B$3:$B$5001,C$114,BD!$A$3:$A$5001,_xlfn.MAXIFS(BD!$A$3:$A$5001,BD!$B$3:$B$5001,C$114,BD!$A$3:$A$5001,"&gt;="&amp;$C$7,BD!$A$3:$A$5001,"&lt;="&amp;$B119,BD!$K$3:$K$5001,"&lt;&gt;"))))</f>
        <v/>
      </c>
      <c r="D119" s="42" t="str">
        <f>IF(OR($B119="",$A119&gt;$B$9),"",IF(COUNTIFS(BD!$B$3:$B$5001,D$114,BD!$A$3:$A$5001,"&gt;="&amp;$C$7,BD!$A$3:$A$5001,"&lt;="&amp;$B119,BD!$K$3:$K$5001,"&lt;&gt;")=0,"",SUMIFS(BD!$K$3:$K$5001,BD!$B$3:$B$5001,D$114,BD!$A$3:$A$5001,_xlfn.MAXIFS(BD!$A$3:$A$5001,BD!$B$3:$B$5001,D$114,BD!$A$3:$A$5001,"&gt;="&amp;$C$7,BD!$A$3:$A$5001,"&lt;="&amp;$B119,BD!$K$3:$K$5001,"&lt;&gt;"))))</f>
        <v/>
      </c>
      <c r="E119" s="42" t="str">
        <f>IF(OR($B119="",$A119&gt;$B$9),"",IF(COUNTIFS(BD!$B$3:$B$5001,E$114,BD!$A$3:$A$5001,"&gt;="&amp;$C$7,BD!$A$3:$A$5001,"&lt;="&amp;$B119,BD!$K$3:$K$5001,"&lt;&gt;")=0,"",SUMIFS(BD!$K$3:$K$5001,BD!$B$3:$B$5001,E$114,BD!$A$3:$A$5001,_xlfn.MAXIFS(BD!$A$3:$A$5001,BD!$B$3:$B$5001,E$114,BD!$A$3:$A$5001,"&gt;="&amp;$C$7,BD!$A$3:$A$5001,"&lt;="&amp;$B119,BD!$K$3:$K$5001,"&lt;&gt;"))))</f>
        <v/>
      </c>
      <c r="F119" s="42" t="str">
        <f>IF(OR($B119="",$A119&gt;$B$9),"",IF(COUNTIFS(BD!$B$3:$B$5001,F$114,BD!$A$3:$A$5001,"&gt;="&amp;$C$7,BD!$A$3:$A$5001,"&lt;="&amp;$B119,BD!$K$3:$K$5001,"&lt;&gt;")=0,"",SUMIFS(BD!$K$3:$K$5001,BD!$B$3:$B$5001,F$114,BD!$A$3:$A$5001,_xlfn.MAXIFS(BD!$A$3:$A$5001,BD!$B$3:$B$5001,F$114,BD!$A$3:$A$5001,"&gt;="&amp;$C$7,BD!$A$3:$A$5001,"&lt;="&amp;$B119,BD!$K$3:$K$5001,"&lt;&gt;"))))</f>
        <v/>
      </c>
      <c r="G119" s="42" t="str">
        <f>IF(OR($B119="",$A119&gt;$B$9),"",IF(COUNTIFS(BD!$B$3:$B$5001,G$114,BD!$A$3:$A$5001,"&gt;="&amp;$C$7,BD!$A$3:$A$5001,"&lt;="&amp;$B119,BD!$K$3:$K$5001,"&lt;&gt;")=0,"",SUMIFS(BD!$K$3:$K$5001,BD!$B$3:$B$5001,G$114,BD!$A$3:$A$5001,_xlfn.MAXIFS(BD!$A$3:$A$5001,BD!$B$3:$B$5001,G$114,BD!$A$3:$A$5001,"&gt;="&amp;$C$7,BD!$A$3:$A$5001,"&lt;="&amp;$B119,BD!$K$3:$K$5001,"&lt;&gt;"))))</f>
        <v/>
      </c>
    </row>
    <row r="120">
      <c r="A120" s="40">
        <v>6</v>
      </c>
      <c r="B120" s="41">
        <f>$B$17</f>
        <v>46301</v>
      </c>
      <c r="C120" s="42" t="str">
        <f>IF(OR($B120="",$A120&gt;$B$9),"",IF(COUNTIFS(BD!$B$3:$B$5001,C$114,BD!$A$3:$A$5001,"&gt;="&amp;$C$7,BD!$A$3:$A$5001,"&lt;="&amp;$B120,BD!$K$3:$K$5001,"&lt;&gt;")=0,"",SUMIFS(BD!$K$3:$K$5001,BD!$B$3:$B$5001,C$114,BD!$A$3:$A$5001,_xlfn.MAXIFS(BD!$A$3:$A$5001,BD!$B$3:$B$5001,C$114,BD!$A$3:$A$5001,"&gt;="&amp;$C$7,BD!$A$3:$A$5001,"&lt;="&amp;$B120,BD!$K$3:$K$5001,"&lt;&gt;"))))</f>
        <v/>
      </c>
      <c r="D120" s="42" t="str">
        <f>IF(OR($B120="",$A120&gt;$B$9),"",IF(COUNTIFS(BD!$B$3:$B$5001,D$114,BD!$A$3:$A$5001,"&gt;="&amp;$C$7,BD!$A$3:$A$5001,"&lt;="&amp;$B120,BD!$K$3:$K$5001,"&lt;&gt;")=0,"",SUMIFS(BD!$K$3:$K$5001,BD!$B$3:$B$5001,D$114,BD!$A$3:$A$5001,_xlfn.MAXIFS(BD!$A$3:$A$5001,BD!$B$3:$B$5001,D$114,BD!$A$3:$A$5001,"&gt;="&amp;$C$7,BD!$A$3:$A$5001,"&lt;="&amp;$B120,BD!$K$3:$K$5001,"&lt;&gt;"))))</f>
        <v/>
      </c>
      <c r="E120" s="42" t="str">
        <f>IF(OR($B120="",$A120&gt;$B$9),"",IF(COUNTIFS(BD!$B$3:$B$5001,E$114,BD!$A$3:$A$5001,"&gt;="&amp;$C$7,BD!$A$3:$A$5001,"&lt;="&amp;$B120,BD!$K$3:$K$5001,"&lt;&gt;")=0,"",SUMIFS(BD!$K$3:$K$5001,BD!$B$3:$B$5001,E$114,BD!$A$3:$A$5001,_xlfn.MAXIFS(BD!$A$3:$A$5001,BD!$B$3:$B$5001,E$114,BD!$A$3:$A$5001,"&gt;="&amp;$C$7,BD!$A$3:$A$5001,"&lt;="&amp;$B120,BD!$K$3:$K$5001,"&lt;&gt;"))))</f>
        <v/>
      </c>
      <c r="F120" s="42" t="str">
        <f>IF(OR($B120="",$A120&gt;$B$9),"",IF(COUNTIFS(BD!$B$3:$B$5001,F$114,BD!$A$3:$A$5001,"&gt;="&amp;$C$7,BD!$A$3:$A$5001,"&lt;="&amp;$B120,BD!$K$3:$K$5001,"&lt;&gt;")=0,"",SUMIFS(BD!$K$3:$K$5001,BD!$B$3:$B$5001,F$114,BD!$A$3:$A$5001,_xlfn.MAXIFS(BD!$A$3:$A$5001,BD!$B$3:$B$5001,F$114,BD!$A$3:$A$5001,"&gt;="&amp;$C$7,BD!$A$3:$A$5001,"&lt;="&amp;$B120,BD!$K$3:$K$5001,"&lt;&gt;"))))</f>
        <v/>
      </c>
      <c r="G120" s="42" t="str">
        <f>IF(OR($B120="",$A120&gt;$B$9),"",IF(COUNTIFS(BD!$B$3:$B$5001,G$114,BD!$A$3:$A$5001,"&gt;="&amp;$C$7,BD!$A$3:$A$5001,"&lt;="&amp;$B120,BD!$K$3:$K$5001,"&lt;&gt;")=0,"",SUMIFS(BD!$K$3:$K$5001,BD!$B$3:$B$5001,G$114,BD!$A$3:$A$5001,_xlfn.MAXIFS(BD!$A$3:$A$5001,BD!$B$3:$B$5001,G$114,BD!$A$3:$A$5001,"&gt;="&amp;$C$7,BD!$A$3:$A$5001,"&lt;="&amp;$B120,BD!$K$3:$K$5001,"&lt;&gt;"))))</f>
        <v/>
      </c>
    </row>
    <row r="121">
      <c r="A121" s="40">
        <v>7</v>
      </c>
      <c r="B121" s="41">
        <f>$B$18</f>
        <v>46302</v>
      </c>
      <c r="C121" s="42" t="str">
        <f>IF(OR($B121="",$A121&gt;$B$9),"",IF(COUNTIFS(BD!$B$3:$B$5001,C$114,BD!$A$3:$A$5001,"&gt;="&amp;$C$7,BD!$A$3:$A$5001,"&lt;="&amp;$B121,BD!$K$3:$K$5001,"&lt;&gt;")=0,"",SUMIFS(BD!$K$3:$K$5001,BD!$B$3:$B$5001,C$114,BD!$A$3:$A$5001,_xlfn.MAXIFS(BD!$A$3:$A$5001,BD!$B$3:$B$5001,C$114,BD!$A$3:$A$5001,"&gt;="&amp;$C$7,BD!$A$3:$A$5001,"&lt;="&amp;$B121,BD!$K$3:$K$5001,"&lt;&gt;"))))</f>
        <v/>
      </c>
      <c r="D121" s="42" t="str">
        <f>IF(OR($B121="",$A121&gt;$B$9),"",IF(COUNTIFS(BD!$B$3:$B$5001,D$114,BD!$A$3:$A$5001,"&gt;="&amp;$C$7,BD!$A$3:$A$5001,"&lt;="&amp;$B121,BD!$K$3:$K$5001,"&lt;&gt;")=0,"",SUMIFS(BD!$K$3:$K$5001,BD!$B$3:$B$5001,D$114,BD!$A$3:$A$5001,_xlfn.MAXIFS(BD!$A$3:$A$5001,BD!$B$3:$B$5001,D$114,BD!$A$3:$A$5001,"&gt;="&amp;$C$7,BD!$A$3:$A$5001,"&lt;="&amp;$B121,BD!$K$3:$K$5001,"&lt;&gt;"))))</f>
        <v/>
      </c>
      <c r="E121" s="42" t="str">
        <f>IF(OR($B121="",$A121&gt;$B$9),"",IF(COUNTIFS(BD!$B$3:$B$5001,E$114,BD!$A$3:$A$5001,"&gt;="&amp;$C$7,BD!$A$3:$A$5001,"&lt;="&amp;$B121,BD!$K$3:$K$5001,"&lt;&gt;")=0,"",SUMIFS(BD!$K$3:$K$5001,BD!$B$3:$B$5001,E$114,BD!$A$3:$A$5001,_xlfn.MAXIFS(BD!$A$3:$A$5001,BD!$B$3:$B$5001,E$114,BD!$A$3:$A$5001,"&gt;="&amp;$C$7,BD!$A$3:$A$5001,"&lt;="&amp;$B121,BD!$K$3:$K$5001,"&lt;&gt;"))))</f>
        <v/>
      </c>
      <c r="F121" s="42" t="str">
        <f>IF(OR($B121="",$A121&gt;$B$9),"",IF(COUNTIFS(BD!$B$3:$B$5001,F$114,BD!$A$3:$A$5001,"&gt;="&amp;$C$7,BD!$A$3:$A$5001,"&lt;="&amp;$B121,BD!$K$3:$K$5001,"&lt;&gt;")=0,"",SUMIFS(BD!$K$3:$K$5001,BD!$B$3:$B$5001,F$114,BD!$A$3:$A$5001,_xlfn.MAXIFS(BD!$A$3:$A$5001,BD!$B$3:$B$5001,F$114,BD!$A$3:$A$5001,"&gt;="&amp;$C$7,BD!$A$3:$A$5001,"&lt;="&amp;$B121,BD!$K$3:$K$5001,"&lt;&gt;"))))</f>
        <v/>
      </c>
      <c r="G121" s="42" t="str">
        <f>IF(OR($B121="",$A121&gt;$B$9),"",IF(COUNTIFS(BD!$B$3:$B$5001,G$114,BD!$A$3:$A$5001,"&gt;="&amp;$C$7,BD!$A$3:$A$5001,"&lt;="&amp;$B121,BD!$K$3:$K$5001,"&lt;&gt;")=0,"",SUMIFS(BD!$K$3:$K$5001,BD!$B$3:$B$5001,G$114,BD!$A$3:$A$5001,_xlfn.MAXIFS(BD!$A$3:$A$5001,BD!$B$3:$B$5001,G$114,BD!$A$3:$A$5001,"&gt;="&amp;$C$7,BD!$A$3:$A$5001,"&lt;="&amp;$B121,BD!$K$3:$K$5001,"&lt;&gt;"))))</f>
        <v/>
      </c>
    </row>
    <row r="122">
      <c r="A122" s="40">
        <v>8</v>
      </c>
      <c r="B122" s="41">
        <f>$B$19</f>
        <v>46303</v>
      </c>
      <c r="C122" s="42" t="str">
        <f>IF(OR($B122="",$A122&gt;$B$9),"",IF(COUNTIFS(BD!$B$3:$B$5001,C$114,BD!$A$3:$A$5001,"&gt;="&amp;$C$7,BD!$A$3:$A$5001,"&lt;="&amp;$B122,BD!$K$3:$K$5001,"&lt;&gt;")=0,"",SUMIFS(BD!$K$3:$K$5001,BD!$B$3:$B$5001,C$114,BD!$A$3:$A$5001,_xlfn.MAXIFS(BD!$A$3:$A$5001,BD!$B$3:$B$5001,C$114,BD!$A$3:$A$5001,"&gt;="&amp;$C$7,BD!$A$3:$A$5001,"&lt;="&amp;$B122,BD!$K$3:$K$5001,"&lt;&gt;"))))</f>
        <v/>
      </c>
      <c r="D122" s="42" t="str">
        <f>IF(OR($B122="",$A122&gt;$B$9),"",IF(COUNTIFS(BD!$B$3:$B$5001,D$114,BD!$A$3:$A$5001,"&gt;="&amp;$C$7,BD!$A$3:$A$5001,"&lt;="&amp;$B122,BD!$K$3:$K$5001,"&lt;&gt;")=0,"",SUMIFS(BD!$K$3:$K$5001,BD!$B$3:$B$5001,D$114,BD!$A$3:$A$5001,_xlfn.MAXIFS(BD!$A$3:$A$5001,BD!$B$3:$B$5001,D$114,BD!$A$3:$A$5001,"&gt;="&amp;$C$7,BD!$A$3:$A$5001,"&lt;="&amp;$B122,BD!$K$3:$K$5001,"&lt;&gt;"))))</f>
        <v/>
      </c>
      <c r="E122" s="42" t="str">
        <f>IF(OR($B122="",$A122&gt;$B$9),"",IF(COUNTIFS(BD!$B$3:$B$5001,E$114,BD!$A$3:$A$5001,"&gt;="&amp;$C$7,BD!$A$3:$A$5001,"&lt;="&amp;$B122,BD!$K$3:$K$5001,"&lt;&gt;")=0,"",SUMIFS(BD!$K$3:$K$5001,BD!$B$3:$B$5001,E$114,BD!$A$3:$A$5001,_xlfn.MAXIFS(BD!$A$3:$A$5001,BD!$B$3:$B$5001,E$114,BD!$A$3:$A$5001,"&gt;="&amp;$C$7,BD!$A$3:$A$5001,"&lt;="&amp;$B122,BD!$K$3:$K$5001,"&lt;&gt;"))))</f>
        <v/>
      </c>
      <c r="F122" s="42" t="str">
        <f>IF(OR($B122="",$A122&gt;$B$9),"",IF(COUNTIFS(BD!$B$3:$B$5001,F$114,BD!$A$3:$A$5001,"&gt;="&amp;$C$7,BD!$A$3:$A$5001,"&lt;="&amp;$B122,BD!$K$3:$K$5001,"&lt;&gt;")=0,"",SUMIFS(BD!$K$3:$K$5001,BD!$B$3:$B$5001,F$114,BD!$A$3:$A$5001,_xlfn.MAXIFS(BD!$A$3:$A$5001,BD!$B$3:$B$5001,F$114,BD!$A$3:$A$5001,"&gt;="&amp;$C$7,BD!$A$3:$A$5001,"&lt;="&amp;$B122,BD!$K$3:$K$5001,"&lt;&gt;"))))</f>
        <v/>
      </c>
      <c r="G122" s="42" t="str">
        <f>IF(OR($B122="",$A122&gt;$B$9),"",IF(COUNTIFS(BD!$B$3:$B$5001,G$114,BD!$A$3:$A$5001,"&gt;="&amp;$C$7,BD!$A$3:$A$5001,"&lt;="&amp;$B122,BD!$K$3:$K$5001,"&lt;&gt;")=0,"",SUMIFS(BD!$K$3:$K$5001,BD!$B$3:$B$5001,G$114,BD!$A$3:$A$5001,_xlfn.MAXIFS(BD!$A$3:$A$5001,BD!$B$3:$B$5001,G$114,BD!$A$3:$A$5001,"&gt;="&amp;$C$7,BD!$A$3:$A$5001,"&lt;="&amp;$B122,BD!$K$3:$K$5001,"&lt;&gt;"))))</f>
        <v/>
      </c>
    </row>
    <row r="123">
      <c r="A123" s="40">
        <v>9</v>
      </c>
      <c r="B123" s="41">
        <f>$B$20</f>
        <v>46304</v>
      </c>
      <c r="C123" s="42" t="str">
        <f>IF(OR($B123="",$A123&gt;$B$9),"",IF(COUNTIFS(BD!$B$3:$B$5001,C$114,BD!$A$3:$A$5001,"&gt;="&amp;$C$7,BD!$A$3:$A$5001,"&lt;="&amp;$B123,BD!$K$3:$K$5001,"&lt;&gt;")=0,"",SUMIFS(BD!$K$3:$K$5001,BD!$B$3:$B$5001,C$114,BD!$A$3:$A$5001,_xlfn.MAXIFS(BD!$A$3:$A$5001,BD!$B$3:$B$5001,C$114,BD!$A$3:$A$5001,"&gt;="&amp;$C$7,BD!$A$3:$A$5001,"&lt;="&amp;$B123,BD!$K$3:$K$5001,"&lt;&gt;"))))</f>
        <v/>
      </c>
      <c r="D123" s="42" t="str">
        <f>IF(OR($B123="",$A123&gt;$B$9),"",IF(COUNTIFS(BD!$B$3:$B$5001,D$114,BD!$A$3:$A$5001,"&gt;="&amp;$C$7,BD!$A$3:$A$5001,"&lt;="&amp;$B123,BD!$K$3:$K$5001,"&lt;&gt;")=0,"",SUMIFS(BD!$K$3:$K$5001,BD!$B$3:$B$5001,D$114,BD!$A$3:$A$5001,_xlfn.MAXIFS(BD!$A$3:$A$5001,BD!$B$3:$B$5001,D$114,BD!$A$3:$A$5001,"&gt;="&amp;$C$7,BD!$A$3:$A$5001,"&lt;="&amp;$B123,BD!$K$3:$K$5001,"&lt;&gt;"))))</f>
        <v/>
      </c>
      <c r="E123" s="42" t="str">
        <f>IF(OR($B123="",$A123&gt;$B$9),"",IF(COUNTIFS(BD!$B$3:$B$5001,E$114,BD!$A$3:$A$5001,"&gt;="&amp;$C$7,BD!$A$3:$A$5001,"&lt;="&amp;$B123,BD!$K$3:$K$5001,"&lt;&gt;")=0,"",SUMIFS(BD!$K$3:$K$5001,BD!$B$3:$B$5001,E$114,BD!$A$3:$A$5001,_xlfn.MAXIFS(BD!$A$3:$A$5001,BD!$B$3:$B$5001,E$114,BD!$A$3:$A$5001,"&gt;="&amp;$C$7,BD!$A$3:$A$5001,"&lt;="&amp;$B123,BD!$K$3:$K$5001,"&lt;&gt;"))))</f>
        <v/>
      </c>
      <c r="F123" s="42" t="str">
        <f>IF(OR($B123="",$A123&gt;$B$9),"",IF(COUNTIFS(BD!$B$3:$B$5001,F$114,BD!$A$3:$A$5001,"&gt;="&amp;$C$7,BD!$A$3:$A$5001,"&lt;="&amp;$B123,BD!$K$3:$K$5001,"&lt;&gt;")=0,"",SUMIFS(BD!$K$3:$K$5001,BD!$B$3:$B$5001,F$114,BD!$A$3:$A$5001,_xlfn.MAXIFS(BD!$A$3:$A$5001,BD!$B$3:$B$5001,F$114,BD!$A$3:$A$5001,"&gt;="&amp;$C$7,BD!$A$3:$A$5001,"&lt;="&amp;$B123,BD!$K$3:$K$5001,"&lt;&gt;"))))</f>
        <v/>
      </c>
      <c r="G123" s="42" t="str">
        <f>IF(OR($B123="",$A123&gt;$B$9),"",IF(COUNTIFS(BD!$B$3:$B$5001,G$114,BD!$A$3:$A$5001,"&gt;="&amp;$C$7,BD!$A$3:$A$5001,"&lt;="&amp;$B123,BD!$K$3:$K$5001,"&lt;&gt;")=0,"",SUMIFS(BD!$K$3:$K$5001,BD!$B$3:$B$5001,G$114,BD!$A$3:$A$5001,_xlfn.MAXIFS(BD!$A$3:$A$5001,BD!$B$3:$B$5001,G$114,BD!$A$3:$A$5001,"&gt;="&amp;$C$7,BD!$A$3:$A$5001,"&lt;="&amp;$B123,BD!$K$3:$K$5001,"&lt;&gt;"))))</f>
        <v/>
      </c>
    </row>
    <row r="124">
      <c r="A124" s="40">
        <v>10</v>
      </c>
      <c r="B124" s="41">
        <f>$B$21</f>
        <v>46305</v>
      </c>
      <c r="C124" s="42" t="str">
        <f>IF(OR($B124="",$A124&gt;$B$9),"",IF(COUNTIFS(BD!$B$3:$B$5001,C$114,BD!$A$3:$A$5001,"&gt;="&amp;$C$7,BD!$A$3:$A$5001,"&lt;="&amp;$B124,BD!$K$3:$K$5001,"&lt;&gt;")=0,"",SUMIFS(BD!$K$3:$K$5001,BD!$B$3:$B$5001,C$114,BD!$A$3:$A$5001,_xlfn.MAXIFS(BD!$A$3:$A$5001,BD!$B$3:$B$5001,C$114,BD!$A$3:$A$5001,"&gt;="&amp;$C$7,BD!$A$3:$A$5001,"&lt;="&amp;$B124,BD!$K$3:$K$5001,"&lt;&gt;"))))</f>
        <v/>
      </c>
      <c r="D124" s="42" t="str">
        <f>IF(OR($B124="",$A124&gt;$B$9),"",IF(COUNTIFS(BD!$B$3:$B$5001,D$114,BD!$A$3:$A$5001,"&gt;="&amp;$C$7,BD!$A$3:$A$5001,"&lt;="&amp;$B124,BD!$K$3:$K$5001,"&lt;&gt;")=0,"",SUMIFS(BD!$K$3:$K$5001,BD!$B$3:$B$5001,D$114,BD!$A$3:$A$5001,_xlfn.MAXIFS(BD!$A$3:$A$5001,BD!$B$3:$B$5001,D$114,BD!$A$3:$A$5001,"&gt;="&amp;$C$7,BD!$A$3:$A$5001,"&lt;="&amp;$B124,BD!$K$3:$K$5001,"&lt;&gt;"))))</f>
        <v/>
      </c>
      <c r="E124" s="42" t="str">
        <f>IF(OR($B124="",$A124&gt;$B$9),"",IF(COUNTIFS(BD!$B$3:$B$5001,E$114,BD!$A$3:$A$5001,"&gt;="&amp;$C$7,BD!$A$3:$A$5001,"&lt;="&amp;$B124,BD!$K$3:$K$5001,"&lt;&gt;")=0,"",SUMIFS(BD!$K$3:$K$5001,BD!$B$3:$B$5001,E$114,BD!$A$3:$A$5001,_xlfn.MAXIFS(BD!$A$3:$A$5001,BD!$B$3:$B$5001,E$114,BD!$A$3:$A$5001,"&gt;="&amp;$C$7,BD!$A$3:$A$5001,"&lt;="&amp;$B124,BD!$K$3:$K$5001,"&lt;&gt;"))))</f>
        <v/>
      </c>
      <c r="F124" s="42" t="str">
        <f>IF(OR($B124="",$A124&gt;$B$9),"",IF(COUNTIFS(BD!$B$3:$B$5001,F$114,BD!$A$3:$A$5001,"&gt;="&amp;$C$7,BD!$A$3:$A$5001,"&lt;="&amp;$B124,BD!$K$3:$K$5001,"&lt;&gt;")=0,"",SUMIFS(BD!$K$3:$K$5001,BD!$B$3:$B$5001,F$114,BD!$A$3:$A$5001,_xlfn.MAXIFS(BD!$A$3:$A$5001,BD!$B$3:$B$5001,F$114,BD!$A$3:$A$5001,"&gt;="&amp;$C$7,BD!$A$3:$A$5001,"&lt;="&amp;$B124,BD!$K$3:$K$5001,"&lt;&gt;"))))</f>
        <v/>
      </c>
      <c r="G124" s="42" t="str">
        <f>IF(OR($B124="",$A124&gt;$B$9),"",IF(COUNTIFS(BD!$B$3:$B$5001,G$114,BD!$A$3:$A$5001,"&gt;="&amp;$C$7,BD!$A$3:$A$5001,"&lt;="&amp;$B124,BD!$K$3:$K$5001,"&lt;&gt;")=0,"",SUMIFS(BD!$K$3:$K$5001,BD!$B$3:$B$5001,G$114,BD!$A$3:$A$5001,_xlfn.MAXIFS(BD!$A$3:$A$5001,BD!$B$3:$B$5001,G$114,BD!$A$3:$A$5001,"&gt;="&amp;$C$7,BD!$A$3:$A$5001,"&lt;="&amp;$B124,BD!$K$3:$K$5001,"&lt;&gt;"))))</f>
        <v/>
      </c>
    </row>
    <row r="125">
      <c r="A125" s="40">
        <v>11</v>
      </c>
      <c r="B125" s="41">
        <f>$B$22</f>
        <v>46306</v>
      </c>
      <c r="C125" s="42" t="str">
        <f>IF(OR($B125="",$A125&gt;$B$9),"",IF(COUNTIFS(BD!$B$3:$B$5001,C$114,BD!$A$3:$A$5001,"&gt;="&amp;$C$7,BD!$A$3:$A$5001,"&lt;="&amp;$B125,BD!$K$3:$K$5001,"&lt;&gt;")=0,"",SUMIFS(BD!$K$3:$K$5001,BD!$B$3:$B$5001,C$114,BD!$A$3:$A$5001,_xlfn.MAXIFS(BD!$A$3:$A$5001,BD!$B$3:$B$5001,C$114,BD!$A$3:$A$5001,"&gt;="&amp;$C$7,BD!$A$3:$A$5001,"&lt;="&amp;$B125,BD!$K$3:$K$5001,"&lt;&gt;"))))</f>
        <v/>
      </c>
      <c r="D125" s="42" t="str">
        <f>IF(OR($B125="",$A125&gt;$B$9),"",IF(COUNTIFS(BD!$B$3:$B$5001,D$114,BD!$A$3:$A$5001,"&gt;="&amp;$C$7,BD!$A$3:$A$5001,"&lt;="&amp;$B125,BD!$K$3:$K$5001,"&lt;&gt;")=0,"",SUMIFS(BD!$K$3:$K$5001,BD!$B$3:$B$5001,D$114,BD!$A$3:$A$5001,_xlfn.MAXIFS(BD!$A$3:$A$5001,BD!$B$3:$B$5001,D$114,BD!$A$3:$A$5001,"&gt;="&amp;$C$7,BD!$A$3:$A$5001,"&lt;="&amp;$B125,BD!$K$3:$K$5001,"&lt;&gt;"))))</f>
        <v/>
      </c>
      <c r="E125" s="42" t="str">
        <f>IF(OR($B125="",$A125&gt;$B$9),"",IF(COUNTIFS(BD!$B$3:$B$5001,E$114,BD!$A$3:$A$5001,"&gt;="&amp;$C$7,BD!$A$3:$A$5001,"&lt;="&amp;$B125,BD!$K$3:$K$5001,"&lt;&gt;")=0,"",SUMIFS(BD!$K$3:$K$5001,BD!$B$3:$B$5001,E$114,BD!$A$3:$A$5001,_xlfn.MAXIFS(BD!$A$3:$A$5001,BD!$B$3:$B$5001,E$114,BD!$A$3:$A$5001,"&gt;="&amp;$C$7,BD!$A$3:$A$5001,"&lt;="&amp;$B125,BD!$K$3:$K$5001,"&lt;&gt;"))))</f>
        <v/>
      </c>
      <c r="F125" s="42" t="str">
        <f>IF(OR($B125="",$A125&gt;$B$9),"",IF(COUNTIFS(BD!$B$3:$B$5001,F$114,BD!$A$3:$A$5001,"&gt;="&amp;$C$7,BD!$A$3:$A$5001,"&lt;="&amp;$B125,BD!$K$3:$K$5001,"&lt;&gt;")=0,"",SUMIFS(BD!$K$3:$K$5001,BD!$B$3:$B$5001,F$114,BD!$A$3:$A$5001,_xlfn.MAXIFS(BD!$A$3:$A$5001,BD!$B$3:$B$5001,F$114,BD!$A$3:$A$5001,"&gt;="&amp;$C$7,BD!$A$3:$A$5001,"&lt;="&amp;$B125,BD!$K$3:$K$5001,"&lt;&gt;"))))</f>
        <v/>
      </c>
      <c r="G125" s="42" t="str">
        <f>IF(OR($B125="",$A125&gt;$B$9),"",IF(COUNTIFS(BD!$B$3:$B$5001,G$114,BD!$A$3:$A$5001,"&gt;="&amp;$C$7,BD!$A$3:$A$5001,"&lt;="&amp;$B125,BD!$K$3:$K$5001,"&lt;&gt;")=0,"",SUMIFS(BD!$K$3:$K$5001,BD!$B$3:$B$5001,G$114,BD!$A$3:$A$5001,_xlfn.MAXIFS(BD!$A$3:$A$5001,BD!$B$3:$B$5001,G$114,BD!$A$3:$A$5001,"&gt;="&amp;$C$7,BD!$A$3:$A$5001,"&lt;="&amp;$B125,BD!$K$3:$K$5001,"&lt;&gt;"))))</f>
        <v/>
      </c>
    </row>
    <row r="126">
      <c r="A126" s="40">
        <v>12</v>
      </c>
      <c r="B126" s="41">
        <f>$B$23</f>
        <v>46307</v>
      </c>
      <c r="C126" s="42" t="str">
        <f>IF(OR($B126="",$A126&gt;$B$9),"",IF(COUNTIFS(BD!$B$3:$B$5001,C$114,BD!$A$3:$A$5001,"&gt;="&amp;$C$7,BD!$A$3:$A$5001,"&lt;="&amp;$B126,BD!$K$3:$K$5001,"&lt;&gt;")=0,"",SUMIFS(BD!$K$3:$K$5001,BD!$B$3:$B$5001,C$114,BD!$A$3:$A$5001,_xlfn.MAXIFS(BD!$A$3:$A$5001,BD!$B$3:$B$5001,C$114,BD!$A$3:$A$5001,"&gt;="&amp;$C$7,BD!$A$3:$A$5001,"&lt;="&amp;$B126,BD!$K$3:$K$5001,"&lt;&gt;"))))</f>
        <v/>
      </c>
      <c r="D126" s="42" t="str">
        <f>IF(OR($B126="",$A126&gt;$B$9),"",IF(COUNTIFS(BD!$B$3:$B$5001,D$114,BD!$A$3:$A$5001,"&gt;="&amp;$C$7,BD!$A$3:$A$5001,"&lt;="&amp;$B126,BD!$K$3:$K$5001,"&lt;&gt;")=0,"",SUMIFS(BD!$K$3:$K$5001,BD!$B$3:$B$5001,D$114,BD!$A$3:$A$5001,_xlfn.MAXIFS(BD!$A$3:$A$5001,BD!$B$3:$B$5001,D$114,BD!$A$3:$A$5001,"&gt;="&amp;$C$7,BD!$A$3:$A$5001,"&lt;="&amp;$B126,BD!$K$3:$K$5001,"&lt;&gt;"))))</f>
        <v/>
      </c>
      <c r="E126" s="42" t="str">
        <f>IF(OR($B126="",$A126&gt;$B$9),"",IF(COUNTIFS(BD!$B$3:$B$5001,E$114,BD!$A$3:$A$5001,"&gt;="&amp;$C$7,BD!$A$3:$A$5001,"&lt;="&amp;$B126,BD!$K$3:$K$5001,"&lt;&gt;")=0,"",SUMIFS(BD!$K$3:$K$5001,BD!$B$3:$B$5001,E$114,BD!$A$3:$A$5001,_xlfn.MAXIFS(BD!$A$3:$A$5001,BD!$B$3:$B$5001,E$114,BD!$A$3:$A$5001,"&gt;="&amp;$C$7,BD!$A$3:$A$5001,"&lt;="&amp;$B126,BD!$K$3:$K$5001,"&lt;&gt;"))))</f>
        <v/>
      </c>
      <c r="F126" s="42" t="str">
        <f>IF(OR($B126="",$A126&gt;$B$9),"",IF(COUNTIFS(BD!$B$3:$B$5001,F$114,BD!$A$3:$A$5001,"&gt;="&amp;$C$7,BD!$A$3:$A$5001,"&lt;="&amp;$B126,BD!$K$3:$K$5001,"&lt;&gt;")=0,"",SUMIFS(BD!$K$3:$K$5001,BD!$B$3:$B$5001,F$114,BD!$A$3:$A$5001,_xlfn.MAXIFS(BD!$A$3:$A$5001,BD!$B$3:$B$5001,F$114,BD!$A$3:$A$5001,"&gt;="&amp;$C$7,BD!$A$3:$A$5001,"&lt;="&amp;$B126,BD!$K$3:$K$5001,"&lt;&gt;"))))</f>
        <v/>
      </c>
      <c r="G126" s="42" t="str">
        <f>IF(OR($B126="",$A126&gt;$B$9),"",IF(COUNTIFS(BD!$B$3:$B$5001,G$114,BD!$A$3:$A$5001,"&gt;="&amp;$C$7,BD!$A$3:$A$5001,"&lt;="&amp;$B126,BD!$K$3:$K$5001,"&lt;&gt;")=0,"",SUMIFS(BD!$K$3:$K$5001,BD!$B$3:$B$5001,G$114,BD!$A$3:$A$5001,_xlfn.MAXIFS(BD!$A$3:$A$5001,BD!$B$3:$B$5001,G$114,BD!$A$3:$A$5001,"&gt;="&amp;$C$7,BD!$A$3:$A$5001,"&lt;="&amp;$B126,BD!$K$3:$K$5001,"&lt;&gt;"))))</f>
        <v/>
      </c>
    </row>
    <row r="127">
      <c r="A127" s="40">
        <v>13</v>
      </c>
      <c r="B127" s="41">
        <f>$B$24</f>
        <v>46308</v>
      </c>
      <c r="C127" s="42" t="str">
        <f>IF(OR($B127="",$A127&gt;$B$9),"",IF(COUNTIFS(BD!$B$3:$B$5001,C$114,BD!$A$3:$A$5001,"&gt;="&amp;$C$7,BD!$A$3:$A$5001,"&lt;="&amp;$B127,BD!$K$3:$K$5001,"&lt;&gt;")=0,"",SUMIFS(BD!$K$3:$K$5001,BD!$B$3:$B$5001,C$114,BD!$A$3:$A$5001,_xlfn.MAXIFS(BD!$A$3:$A$5001,BD!$B$3:$B$5001,C$114,BD!$A$3:$A$5001,"&gt;="&amp;$C$7,BD!$A$3:$A$5001,"&lt;="&amp;$B127,BD!$K$3:$K$5001,"&lt;&gt;"))))</f>
        <v/>
      </c>
      <c r="D127" s="42" t="str">
        <f>IF(OR($B127="",$A127&gt;$B$9),"",IF(COUNTIFS(BD!$B$3:$B$5001,D$114,BD!$A$3:$A$5001,"&gt;="&amp;$C$7,BD!$A$3:$A$5001,"&lt;="&amp;$B127,BD!$K$3:$K$5001,"&lt;&gt;")=0,"",SUMIFS(BD!$K$3:$K$5001,BD!$B$3:$B$5001,D$114,BD!$A$3:$A$5001,_xlfn.MAXIFS(BD!$A$3:$A$5001,BD!$B$3:$B$5001,D$114,BD!$A$3:$A$5001,"&gt;="&amp;$C$7,BD!$A$3:$A$5001,"&lt;="&amp;$B127,BD!$K$3:$K$5001,"&lt;&gt;"))))</f>
        <v/>
      </c>
      <c r="E127" s="42" t="str">
        <f>IF(OR($B127="",$A127&gt;$B$9),"",IF(COUNTIFS(BD!$B$3:$B$5001,E$114,BD!$A$3:$A$5001,"&gt;="&amp;$C$7,BD!$A$3:$A$5001,"&lt;="&amp;$B127,BD!$K$3:$K$5001,"&lt;&gt;")=0,"",SUMIFS(BD!$K$3:$K$5001,BD!$B$3:$B$5001,E$114,BD!$A$3:$A$5001,_xlfn.MAXIFS(BD!$A$3:$A$5001,BD!$B$3:$B$5001,E$114,BD!$A$3:$A$5001,"&gt;="&amp;$C$7,BD!$A$3:$A$5001,"&lt;="&amp;$B127,BD!$K$3:$K$5001,"&lt;&gt;"))))</f>
        <v/>
      </c>
      <c r="F127" s="42" t="str">
        <f>IF(OR($B127="",$A127&gt;$B$9),"",IF(COUNTIFS(BD!$B$3:$B$5001,F$114,BD!$A$3:$A$5001,"&gt;="&amp;$C$7,BD!$A$3:$A$5001,"&lt;="&amp;$B127,BD!$K$3:$K$5001,"&lt;&gt;")=0,"",SUMIFS(BD!$K$3:$K$5001,BD!$B$3:$B$5001,F$114,BD!$A$3:$A$5001,_xlfn.MAXIFS(BD!$A$3:$A$5001,BD!$B$3:$B$5001,F$114,BD!$A$3:$A$5001,"&gt;="&amp;$C$7,BD!$A$3:$A$5001,"&lt;="&amp;$B127,BD!$K$3:$K$5001,"&lt;&gt;"))))</f>
        <v/>
      </c>
      <c r="G127" s="42" t="str">
        <f>IF(OR($B127="",$A127&gt;$B$9),"",IF(COUNTIFS(BD!$B$3:$B$5001,G$114,BD!$A$3:$A$5001,"&gt;="&amp;$C$7,BD!$A$3:$A$5001,"&lt;="&amp;$B127,BD!$K$3:$K$5001,"&lt;&gt;")=0,"",SUMIFS(BD!$K$3:$K$5001,BD!$B$3:$B$5001,G$114,BD!$A$3:$A$5001,_xlfn.MAXIFS(BD!$A$3:$A$5001,BD!$B$3:$B$5001,G$114,BD!$A$3:$A$5001,"&gt;="&amp;$C$7,BD!$A$3:$A$5001,"&lt;="&amp;$B127,BD!$K$3:$K$5001,"&lt;&gt;"))))</f>
        <v/>
      </c>
    </row>
    <row r="128">
      <c r="A128" s="40">
        <v>14</v>
      </c>
      <c r="B128" s="41">
        <f>$B$25</f>
        <v>46309</v>
      </c>
      <c r="C128" s="42" t="str">
        <f>IF(OR($B128="",$A128&gt;$B$9),"",IF(COUNTIFS(BD!$B$3:$B$5001,C$114,BD!$A$3:$A$5001,"&gt;="&amp;$C$7,BD!$A$3:$A$5001,"&lt;="&amp;$B128,BD!$K$3:$K$5001,"&lt;&gt;")=0,"",SUMIFS(BD!$K$3:$K$5001,BD!$B$3:$B$5001,C$114,BD!$A$3:$A$5001,_xlfn.MAXIFS(BD!$A$3:$A$5001,BD!$B$3:$B$5001,C$114,BD!$A$3:$A$5001,"&gt;="&amp;$C$7,BD!$A$3:$A$5001,"&lt;="&amp;$B128,BD!$K$3:$K$5001,"&lt;&gt;"))))</f>
        <v/>
      </c>
      <c r="D128" s="42" t="str">
        <f>IF(OR($B128="",$A128&gt;$B$9),"",IF(COUNTIFS(BD!$B$3:$B$5001,D$114,BD!$A$3:$A$5001,"&gt;="&amp;$C$7,BD!$A$3:$A$5001,"&lt;="&amp;$B128,BD!$K$3:$K$5001,"&lt;&gt;")=0,"",SUMIFS(BD!$K$3:$K$5001,BD!$B$3:$B$5001,D$114,BD!$A$3:$A$5001,_xlfn.MAXIFS(BD!$A$3:$A$5001,BD!$B$3:$B$5001,D$114,BD!$A$3:$A$5001,"&gt;="&amp;$C$7,BD!$A$3:$A$5001,"&lt;="&amp;$B128,BD!$K$3:$K$5001,"&lt;&gt;"))))</f>
        <v/>
      </c>
      <c r="E128" s="42" t="str">
        <f>IF(OR($B128="",$A128&gt;$B$9),"",IF(COUNTIFS(BD!$B$3:$B$5001,E$114,BD!$A$3:$A$5001,"&gt;="&amp;$C$7,BD!$A$3:$A$5001,"&lt;="&amp;$B128,BD!$K$3:$K$5001,"&lt;&gt;")=0,"",SUMIFS(BD!$K$3:$K$5001,BD!$B$3:$B$5001,E$114,BD!$A$3:$A$5001,_xlfn.MAXIFS(BD!$A$3:$A$5001,BD!$B$3:$B$5001,E$114,BD!$A$3:$A$5001,"&gt;="&amp;$C$7,BD!$A$3:$A$5001,"&lt;="&amp;$B128,BD!$K$3:$K$5001,"&lt;&gt;"))))</f>
        <v/>
      </c>
      <c r="F128" s="42" t="str">
        <f>IF(OR($B128="",$A128&gt;$B$9),"",IF(COUNTIFS(BD!$B$3:$B$5001,F$114,BD!$A$3:$A$5001,"&gt;="&amp;$C$7,BD!$A$3:$A$5001,"&lt;="&amp;$B128,BD!$K$3:$K$5001,"&lt;&gt;")=0,"",SUMIFS(BD!$K$3:$K$5001,BD!$B$3:$B$5001,F$114,BD!$A$3:$A$5001,_xlfn.MAXIFS(BD!$A$3:$A$5001,BD!$B$3:$B$5001,F$114,BD!$A$3:$A$5001,"&gt;="&amp;$C$7,BD!$A$3:$A$5001,"&lt;="&amp;$B128,BD!$K$3:$K$5001,"&lt;&gt;"))))</f>
        <v/>
      </c>
      <c r="G128" s="42" t="str">
        <f>IF(OR($B128="",$A128&gt;$B$9),"",IF(COUNTIFS(BD!$B$3:$B$5001,G$114,BD!$A$3:$A$5001,"&gt;="&amp;$C$7,BD!$A$3:$A$5001,"&lt;="&amp;$B128,BD!$K$3:$K$5001,"&lt;&gt;")=0,"",SUMIFS(BD!$K$3:$K$5001,BD!$B$3:$B$5001,G$114,BD!$A$3:$A$5001,_xlfn.MAXIFS(BD!$A$3:$A$5001,BD!$B$3:$B$5001,G$114,BD!$A$3:$A$5001,"&gt;="&amp;$C$7,BD!$A$3:$A$5001,"&lt;="&amp;$B128,BD!$K$3:$K$5001,"&lt;&gt;"))))</f>
        <v/>
      </c>
    </row>
    <row r="129">
      <c r="A129" s="40">
        <v>15</v>
      </c>
      <c r="B129" s="41">
        <f>$B$26</f>
        <v>46310</v>
      </c>
      <c r="C129" s="42" t="str">
        <f>IF(OR($B129="",$A129&gt;$B$9),"",IF(COUNTIFS(BD!$B$3:$B$5001,C$114,BD!$A$3:$A$5001,"&gt;="&amp;$C$7,BD!$A$3:$A$5001,"&lt;="&amp;$B129,BD!$K$3:$K$5001,"&lt;&gt;")=0,"",SUMIFS(BD!$K$3:$K$5001,BD!$B$3:$B$5001,C$114,BD!$A$3:$A$5001,_xlfn.MAXIFS(BD!$A$3:$A$5001,BD!$B$3:$B$5001,C$114,BD!$A$3:$A$5001,"&gt;="&amp;$C$7,BD!$A$3:$A$5001,"&lt;="&amp;$B129,BD!$K$3:$K$5001,"&lt;&gt;"))))</f>
        <v/>
      </c>
      <c r="D129" s="42" t="str">
        <f>IF(OR($B129="",$A129&gt;$B$9),"",IF(COUNTIFS(BD!$B$3:$B$5001,D$114,BD!$A$3:$A$5001,"&gt;="&amp;$C$7,BD!$A$3:$A$5001,"&lt;="&amp;$B129,BD!$K$3:$K$5001,"&lt;&gt;")=0,"",SUMIFS(BD!$K$3:$K$5001,BD!$B$3:$B$5001,D$114,BD!$A$3:$A$5001,_xlfn.MAXIFS(BD!$A$3:$A$5001,BD!$B$3:$B$5001,D$114,BD!$A$3:$A$5001,"&gt;="&amp;$C$7,BD!$A$3:$A$5001,"&lt;="&amp;$B129,BD!$K$3:$K$5001,"&lt;&gt;"))))</f>
        <v/>
      </c>
      <c r="E129" s="42" t="str">
        <f>IF(OR($B129="",$A129&gt;$B$9),"",IF(COUNTIFS(BD!$B$3:$B$5001,E$114,BD!$A$3:$A$5001,"&gt;="&amp;$C$7,BD!$A$3:$A$5001,"&lt;="&amp;$B129,BD!$K$3:$K$5001,"&lt;&gt;")=0,"",SUMIFS(BD!$K$3:$K$5001,BD!$B$3:$B$5001,E$114,BD!$A$3:$A$5001,_xlfn.MAXIFS(BD!$A$3:$A$5001,BD!$B$3:$B$5001,E$114,BD!$A$3:$A$5001,"&gt;="&amp;$C$7,BD!$A$3:$A$5001,"&lt;="&amp;$B129,BD!$K$3:$K$5001,"&lt;&gt;"))))</f>
        <v/>
      </c>
      <c r="F129" s="42" t="str">
        <f>IF(OR($B129="",$A129&gt;$B$9),"",IF(COUNTIFS(BD!$B$3:$B$5001,F$114,BD!$A$3:$A$5001,"&gt;="&amp;$C$7,BD!$A$3:$A$5001,"&lt;="&amp;$B129,BD!$K$3:$K$5001,"&lt;&gt;")=0,"",SUMIFS(BD!$K$3:$K$5001,BD!$B$3:$B$5001,F$114,BD!$A$3:$A$5001,_xlfn.MAXIFS(BD!$A$3:$A$5001,BD!$B$3:$B$5001,F$114,BD!$A$3:$A$5001,"&gt;="&amp;$C$7,BD!$A$3:$A$5001,"&lt;="&amp;$B129,BD!$K$3:$K$5001,"&lt;&gt;"))))</f>
        <v/>
      </c>
      <c r="G129" s="42" t="str">
        <f>IF(OR($B129="",$A129&gt;$B$9),"",IF(COUNTIFS(BD!$B$3:$B$5001,G$114,BD!$A$3:$A$5001,"&gt;="&amp;$C$7,BD!$A$3:$A$5001,"&lt;="&amp;$B129,BD!$K$3:$K$5001,"&lt;&gt;")=0,"",SUMIFS(BD!$K$3:$K$5001,BD!$B$3:$B$5001,G$114,BD!$A$3:$A$5001,_xlfn.MAXIFS(BD!$A$3:$A$5001,BD!$B$3:$B$5001,G$114,BD!$A$3:$A$5001,"&gt;="&amp;$C$7,BD!$A$3:$A$5001,"&lt;="&amp;$B129,BD!$K$3:$K$5001,"&lt;&gt;"))))</f>
        <v/>
      </c>
    </row>
    <row r="130">
      <c r="A130" s="40">
        <v>16</v>
      </c>
      <c r="B130" s="41">
        <f>$B$27</f>
        <v>46311</v>
      </c>
      <c r="C130" s="42" t="str">
        <f>IF(OR($B130="",$A130&gt;$B$9),"",IF(COUNTIFS(BD!$B$3:$B$5001,C$114,BD!$A$3:$A$5001,"&gt;="&amp;$C$7,BD!$A$3:$A$5001,"&lt;="&amp;$B130,BD!$K$3:$K$5001,"&lt;&gt;")=0,"",SUMIFS(BD!$K$3:$K$5001,BD!$B$3:$B$5001,C$114,BD!$A$3:$A$5001,_xlfn.MAXIFS(BD!$A$3:$A$5001,BD!$B$3:$B$5001,C$114,BD!$A$3:$A$5001,"&gt;="&amp;$C$7,BD!$A$3:$A$5001,"&lt;="&amp;$B130,BD!$K$3:$K$5001,"&lt;&gt;"))))</f>
        <v/>
      </c>
      <c r="D130" s="42" t="str">
        <f>IF(OR($B130="",$A130&gt;$B$9),"",IF(COUNTIFS(BD!$B$3:$B$5001,D$114,BD!$A$3:$A$5001,"&gt;="&amp;$C$7,BD!$A$3:$A$5001,"&lt;="&amp;$B130,BD!$K$3:$K$5001,"&lt;&gt;")=0,"",SUMIFS(BD!$K$3:$K$5001,BD!$B$3:$B$5001,D$114,BD!$A$3:$A$5001,_xlfn.MAXIFS(BD!$A$3:$A$5001,BD!$B$3:$B$5001,D$114,BD!$A$3:$A$5001,"&gt;="&amp;$C$7,BD!$A$3:$A$5001,"&lt;="&amp;$B130,BD!$K$3:$K$5001,"&lt;&gt;"))))</f>
        <v/>
      </c>
      <c r="E130" s="42" t="str">
        <f>IF(OR($B130="",$A130&gt;$B$9),"",IF(COUNTIFS(BD!$B$3:$B$5001,E$114,BD!$A$3:$A$5001,"&gt;="&amp;$C$7,BD!$A$3:$A$5001,"&lt;="&amp;$B130,BD!$K$3:$K$5001,"&lt;&gt;")=0,"",SUMIFS(BD!$K$3:$K$5001,BD!$B$3:$B$5001,E$114,BD!$A$3:$A$5001,_xlfn.MAXIFS(BD!$A$3:$A$5001,BD!$B$3:$B$5001,E$114,BD!$A$3:$A$5001,"&gt;="&amp;$C$7,BD!$A$3:$A$5001,"&lt;="&amp;$B130,BD!$K$3:$K$5001,"&lt;&gt;"))))</f>
        <v/>
      </c>
      <c r="F130" s="42" t="str">
        <f>IF(OR($B130="",$A130&gt;$B$9),"",IF(COUNTIFS(BD!$B$3:$B$5001,F$114,BD!$A$3:$A$5001,"&gt;="&amp;$C$7,BD!$A$3:$A$5001,"&lt;="&amp;$B130,BD!$K$3:$K$5001,"&lt;&gt;")=0,"",SUMIFS(BD!$K$3:$K$5001,BD!$B$3:$B$5001,F$114,BD!$A$3:$A$5001,_xlfn.MAXIFS(BD!$A$3:$A$5001,BD!$B$3:$B$5001,F$114,BD!$A$3:$A$5001,"&gt;="&amp;$C$7,BD!$A$3:$A$5001,"&lt;="&amp;$B130,BD!$K$3:$K$5001,"&lt;&gt;"))))</f>
        <v/>
      </c>
      <c r="G130" s="42" t="str">
        <f>IF(OR($B130="",$A130&gt;$B$9),"",IF(COUNTIFS(BD!$B$3:$B$5001,G$114,BD!$A$3:$A$5001,"&gt;="&amp;$C$7,BD!$A$3:$A$5001,"&lt;="&amp;$B130,BD!$K$3:$K$5001,"&lt;&gt;")=0,"",SUMIFS(BD!$K$3:$K$5001,BD!$B$3:$B$5001,G$114,BD!$A$3:$A$5001,_xlfn.MAXIFS(BD!$A$3:$A$5001,BD!$B$3:$B$5001,G$114,BD!$A$3:$A$5001,"&gt;="&amp;$C$7,BD!$A$3:$A$5001,"&lt;="&amp;$B130,BD!$K$3:$K$5001,"&lt;&gt;"))))</f>
        <v/>
      </c>
    </row>
    <row r="131">
      <c r="A131" s="40">
        <v>17</v>
      </c>
      <c r="B131" s="41">
        <f>$B$28</f>
        <v>46312</v>
      </c>
      <c r="C131" s="42" t="str">
        <f>IF(OR($B131="",$A131&gt;$B$9),"",IF(COUNTIFS(BD!$B$3:$B$5001,C$114,BD!$A$3:$A$5001,"&gt;="&amp;$C$7,BD!$A$3:$A$5001,"&lt;="&amp;$B131,BD!$K$3:$K$5001,"&lt;&gt;")=0,"",SUMIFS(BD!$K$3:$K$5001,BD!$B$3:$B$5001,C$114,BD!$A$3:$A$5001,_xlfn.MAXIFS(BD!$A$3:$A$5001,BD!$B$3:$B$5001,C$114,BD!$A$3:$A$5001,"&gt;="&amp;$C$7,BD!$A$3:$A$5001,"&lt;="&amp;$B131,BD!$K$3:$K$5001,"&lt;&gt;"))))</f>
        <v/>
      </c>
      <c r="D131" s="42" t="str">
        <f>IF(OR($B131="",$A131&gt;$B$9),"",IF(COUNTIFS(BD!$B$3:$B$5001,D$114,BD!$A$3:$A$5001,"&gt;="&amp;$C$7,BD!$A$3:$A$5001,"&lt;="&amp;$B131,BD!$K$3:$K$5001,"&lt;&gt;")=0,"",SUMIFS(BD!$K$3:$K$5001,BD!$B$3:$B$5001,D$114,BD!$A$3:$A$5001,_xlfn.MAXIFS(BD!$A$3:$A$5001,BD!$B$3:$B$5001,D$114,BD!$A$3:$A$5001,"&gt;="&amp;$C$7,BD!$A$3:$A$5001,"&lt;="&amp;$B131,BD!$K$3:$K$5001,"&lt;&gt;"))))</f>
        <v/>
      </c>
      <c r="E131" s="42" t="str">
        <f>IF(OR($B131="",$A131&gt;$B$9),"",IF(COUNTIFS(BD!$B$3:$B$5001,E$114,BD!$A$3:$A$5001,"&gt;="&amp;$C$7,BD!$A$3:$A$5001,"&lt;="&amp;$B131,BD!$K$3:$K$5001,"&lt;&gt;")=0,"",SUMIFS(BD!$K$3:$K$5001,BD!$B$3:$B$5001,E$114,BD!$A$3:$A$5001,_xlfn.MAXIFS(BD!$A$3:$A$5001,BD!$B$3:$B$5001,E$114,BD!$A$3:$A$5001,"&gt;="&amp;$C$7,BD!$A$3:$A$5001,"&lt;="&amp;$B131,BD!$K$3:$K$5001,"&lt;&gt;"))))</f>
        <v/>
      </c>
      <c r="F131" s="42" t="str">
        <f>IF(OR($B131="",$A131&gt;$B$9),"",IF(COUNTIFS(BD!$B$3:$B$5001,F$114,BD!$A$3:$A$5001,"&gt;="&amp;$C$7,BD!$A$3:$A$5001,"&lt;="&amp;$B131,BD!$K$3:$K$5001,"&lt;&gt;")=0,"",SUMIFS(BD!$K$3:$K$5001,BD!$B$3:$B$5001,F$114,BD!$A$3:$A$5001,_xlfn.MAXIFS(BD!$A$3:$A$5001,BD!$B$3:$B$5001,F$114,BD!$A$3:$A$5001,"&gt;="&amp;$C$7,BD!$A$3:$A$5001,"&lt;="&amp;$B131,BD!$K$3:$K$5001,"&lt;&gt;"))))</f>
        <v/>
      </c>
      <c r="G131" s="42" t="str">
        <f>IF(OR($B131="",$A131&gt;$B$9),"",IF(COUNTIFS(BD!$B$3:$B$5001,G$114,BD!$A$3:$A$5001,"&gt;="&amp;$C$7,BD!$A$3:$A$5001,"&lt;="&amp;$B131,BD!$K$3:$K$5001,"&lt;&gt;")=0,"",SUMIFS(BD!$K$3:$K$5001,BD!$B$3:$B$5001,G$114,BD!$A$3:$A$5001,_xlfn.MAXIFS(BD!$A$3:$A$5001,BD!$B$3:$B$5001,G$114,BD!$A$3:$A$5001,"&gt;="&amp;$C$7,BD!$A$3:$A$5001,"&lt;="&amp;$B131,BD!$K$3:$K$5001,"&lt;&gt;"))))</f>
        <v/>
      </c>
    </row>
    <row r="132">
      <c r="A132" s="40">
        <v>18</v>
      </c>
      <c r="B132" s="41">
        <f>$B$29</f>
        <v>46313</v>
      </c>
      <c r="C132" s="42" t="str">
        <f>IF(OR($B132="",$A132&gt;$B$9),"",IF(COUNTIFS(BD!$B$3:$B$5001,C$114,BD!$A$3:$A$5001,"&gt;="&amp;$C$7,BD!$A$3:$A$5001,"&lt;="&amp;$B132,BD!$K$3:$K$5001,"&lt;&gt;")=0,"",SUMIFS(BD!$K$3:$K$5001,BD!$B$3:$B$5001,C$114,BD!$A$3:$A$5001,_xlfn.MAXIFS(BD!$A$3:$A$5001,BD!$B$3:$B$5001,C$114,BD!$A$3:$A$5001,"&gt;="&amp;$C$7,BD!$A$3:$A$5001,"&lt;="&amp;$B132,BD!$K$3:$K$5001,"&lt;&gt;"))))</f>
        <v/>
      </c>
      <c r="D132" s="42" t="str">
        <f>IF(OR($B132="",$A132&gt;$B$9),"",IF(COUNTIFS(BD!$B$3:$B$5001,D$114,BD!$A$3:$A$5001,"&gt;="&amp;$C$7,BD!$A$3:$A$5001,"&lt;="&amp;$B132,BD!$K$3:$K$5001,"&lt;&gt;")=0,"",SUMIFS(BD!$K$3:$K$5001,BD!$B$3:$B$5001,D$114,BD!$A$3:$A$5001,_xlfn.MAXIFS(BD!$A$3:$A$5001,BD!$B$3:$B$5001,D$114,BD!$A$3:$A$5001,"&gt;="&amp;$C$7,BD!$A$3:$A$5001,"&lt;="&amp;$B132,BD!$K$3:$K$5001,"&lt;&gt;"))))</f>
        <v/>
      </c>
      <c r="E132" s="42" t="str">
        <f>IF(OR($B132="",$A132&gt;$B$9),"",IF(COUNTIFS(BD!$B$3:$B$5001,E$114,BD!$A$3:$A$5001,"&gt;="&amp;$C$7,BD!$A$3:$A$5001,"&lt;="&amp;$B132,BD!$K$3:$K$5001,"&lt;&gt;")=0,"",SUMIFS(BD!$K$3:$K$5001,BD!$B$3:$B$5001,E$114,BD!$A$3:$A$5001,_xlfn.MAXIFS(BD!$A$3:$A$5001,BD!$B$3:$B$5001,E$114,BD!$A$3:$A$5001,"&gt;="&amp;$C$7,BD!$A$3:$A$5001,"&lt;="&amp;$B132,BD!$K$3:$K$5001,"&lt;&gt;"))))</f>
        <v/>
      </c>
      <c r="F132" s="42" t="str">
        <f>IF(OR($B132="",$A132&gt;$B$9),"",IF(COUNTIFS(BD!$B$3:$B$5001,F$114,BD!$A$3:$A$5001,"&gt;="&amp;$C$7,BD!$A$3:$A$5001,"&lt;="&amp;$B132,BD!$K$3:$K$5001,"&lt;&gt;")=0,"",SUMIFS(BD!$K$3:$K$5001,BD!$B$3:$B$5001,F$114,BD!$A$3:$A$5001,_xlfn.MAXIFS(BD!$A$3:$A$5001,BD!$B$3:$B$5001,F$114,BD!$A$3:$A$5001,"&gt;="&amp;$C$7,BD!$A$3:$A$5001,"&lt;="&amp;$B132,BD!$K$3:$K$5001,"&lt;&gt;"))))</f>
        <v/>
      </c>
      <c r="G132" s="42" t="str">
        <f>IF(OR($B132="",$A132&gt;$B$9),"",IF(COUNTIFS(BD!$B$3:$B$5001,G$114,BD!$A$3:$A$5001,"&gt;="&amp;$C$7,BD!$A$3:$A$5001,"&lt;="&amp;$B132,BD!$K$3:$K$5001,"&lt;&gt;")=0,"",SUMIFS(BD!$K$3:$K$5001,BD!$B$3:$B$5001,G$114,BD!$A$3:$A$5001,_xlfn.MAXIFS(BD!$A$3:$A$5001,BD!$B$3:$B$5001,G$114,BD!$A$3:$A$5001,"&gt;="&amp;$C$7,BD!$A$3:$A$5001,"&lt;="&amp;$B132,BD!$K$3:$K$5001,"&lt;&gt;"))))</f>
        <v/>
      </c>
    </row>
    <row r="133">
      <c r="A133" s="40">
        <v>19</v>
      </c>
      <c r="B133" s="41">
        <f>$B$30</f>
        <v>46314</v>
      </c>
      <c r="C133" s="42" t="str">
        <f>IF(OR($B133="",$A133&gt;$B$9),"",IF(COUNTIFS(BD!$B$3:$B$5001,C$114,BD!$A$3:$A$5001,"&gt;="&amp;$C$7,BD!$A$3:$A$5001,"&lt;="&amp;$B133,BD!$K$3:$K$5001,"&lt;&gt;")=0,"",SUMIFS(BD!$K$3:$K$5001,BD!$B$3:$B$5001,C$114,BD!$A$3:$A$5001,_xlfn.MAXIFS(BD!$A$3:$A$5001,BD!$B$3:$B$5001,C$114,BD!$A$3:$A$5001,"&gt;="&amp;$C$7,BD!$A$3:$A$5001,"&lt;="&amp;$B133,BD!$K$3:$K$5001,"&lt;&gt;"))))</f>
        <v/>
      </c>
      <c r="D133" s="42" t="str">
        <f>IF(OR($B133="",$A133&gt;$B$9),"",IF(COUNTIFS(BD!$B$3:$B$5001,D$114,BD!$A$3:$A$5001,"&gt;="&amp;$C$7,BD!$A$3:$A$5001,"&lt;="&amp;$B133,BD!$K$3:$K$5001,"&lt;&gt;")=0,"",SUMIFS(BD!$K$3:$K$5001,BD!$B$3:$B$5001,D$114,BD!$A$3:$A$5001,_xlfn.MAXIFS(BD!$A$3:$A$5001,BD!$B$3:$B$5001,D$114,BD!$A$3:$A$5001,"&gt;="&amp;$C$7,BD!$A$3:$A$5001,"&lt;="&amp;$B133,BD!$K$3:$K$5001,"&lt;&gt;"))))</f>
        <v/>
      </c>
      <c r="E133" s="42" t="str">
        <f>IF(OR($B133="",$A133&gt;$B$9),"",IF(COUNTIFS(BD!$B$3:$B$5001,E$114,BD!$A$3:$A$5001,"&gt;="&amp;$C$7,BD!$A$3:$A$5001,"&lt;="&amp;$B133,BD!$K$3:$K$5001,"&lt;&gt;")=0,"",SUMIFS(BD!$K$3:$K$5001,BD!$B$3:$B$5001,E$114,BD!$A$3:$A$5001,_xlfn.MAXIFS(BD!$A$3:$A$5001,BD!$B$3:$B$5001,E$114,BD!$A$3:$A$5001,"&gt;="&amp;$C$7,BD!$A$3:$A$5001,"&lt;="&amp;$B133,BD!$K$3:$K$5001,"&lt;&gt;"))))</f>
        <v/>
      </c>
      <c r="F133" s="42" t="str">
        <f>IF(OR($B133="",$A133&gt;$B$9),"",IF(COUNTIFS(BD!$B$3:$B$5001,F$114,BD!$A$3:$A$5001,"&gt;="&amp;$C$7,BD!$A$3:$A$5001,"&lt;="&amp;$B133,BD!$K$3:$K$5001,"&lt;&gt;")=0,"",SUMIFS(BD!$K$3:$K$5001,BD!$B$3:$B$5001,F$114,BD!$A$3:$A$5001,_xlfn.MAXIFS(BD!$A$3:$A$5001,BD!$B$3:$B$5001,F$114,BD!$A$3:$A$5001,"&gt;="&amp;$C$7,BD!$A$3:$A$5001,"&lt;="&amp;$B133,BD!$K$3:$K$5001,"&lt;&gt;"))))</f>
        <v/>
      </c>
      <c r="G133" s="42" t="str">
        <f>IF(OR($B133="",$A133&gt;$B$9),"",IF(COUNTIFS(BD!$B$3:$B$5001,G$114,BD!$A$3:$A$5001,"&gt;="&amp;$C$7,BD!$A$3:$A$5001,"&lt;="&amp;$B133,BD!$K$3:$K$5001,"&lt;&gt;")=0,"",SUMIFS(BD!$K$3:$K$5001,BD!$B$3:$B$5001,G$114,BD!$A$3:$A$5001,_xlfn.MAXIFS(BD!$A$3:$A$5001,BD!$B$3:$B$5001,G$114,BD!$A$3:$A$5001,"&gt;="&amp;$C$7,BD!$A$3:$A$5001,"&lt;="&amp;$B133,BD!$K$3:$K$5001,"&lt;&gt;"))))</f>
        <v/>
      </c>
    </row>
    <row r="134">
      <c r="A134" s="40">
        <v>20</v>
      </c>
      <c r="B134" s="41">
        <f>$B$31</f>
        <v>46315</v>
      </c>
      <c r="C134" s="42" t="str">
        <f>IF(OR($B134="",$A134&gt;$B$9),"",IF(COUNTIFS(BD!$B$3:$B$5001,C$114,BD!$A$3:$A$5001,"&gt;="&amp;$C$7,BD!$A$3:$A$5001,"&lt;="&amp;$B134,BD!$K$3:$K$5001,"&lt;&gt;")=0,"",SUMIFS(BD!$K$3:$K$5001,BD!$B$3:$B$5001,C$114,BD!$A$3:$A$5001,_xlfn.MAXIFS(BD!$A$3:$A$5001,BD!$B$3:$B$5001,C$114,BD!$A$3:$A$5001,"&gt;="&amp;$C$7,BD!$A$3:$A$5001,"&lt;="&amp;$B134,BD!$K$3:$K$5001,"&lt;&gt;"))))</f>
        <v/>
      </c>
      <c r="D134" s="42" t="str">
        <f>IF(OR($B134="",$A134&gt;$B$9),"",IF(COUNTIFS(BD!$B$3:$B$5001,D$114,BD!$A$3:$A$5001,"&gt;="&amp;$C$7,BD!$A$3:$A$5001,"&lt;="&amp;$B134,BD!$K$3:$K$5001,"&lt;&gt;")=0,"",SUMIFS(BD!$K$3:$K$5001,BD!$B$3:$B$5001,D$114,BD!$A$3:$A$5001,_xlfn.MAXIFS(BD!$A$3:$A$5001,BD!$B$3:$B$5001,D$114,BD!$A$3:$A$5001,"&gt;="&amp;$C$7,BD!$A$3:$A$5001,"&lt;="&amp;$B134,BD!$K$3:$K$5001,"&lt;&gt;"))))</f>
        <v/>
      </c>
      <c r="E134" s="42" t="str">
        <f>IF(OR($B134="",$A134&gt;$B$9),"",IF(COUNTIFS(BD!$B$3:$B$5001,E$114,BD!$A$3:$A$5001,"&gt;="&amp;$C$7,BD!$A$3:$A$5001,"&lt;="&amp;$B134,BD!$K$3:$K$5001,"&lt;&gt;")=0,"",SUMIFS(BD!$K$3:$K$5001,BD!$B$3:$B$5001,E$114,BD!$A$3:$A$5001,_xlfn.MAXIFS(BD!$A$3:$A$5001,BD!$B$3:$B$5001,E$114,BD!$A$3:$A$5001,"&gt;="&amp;$C$7,BD!$A$3:$A$5001,"&lt;="&amp;$B134,BD!$K$3:$K$5001,"&lt;&gt;"))))</f>
        <v/>
      </c>
      <c r="F134" s="42" t="str">
        <f>IF(OR($B134="",$A134&gt;$B$9),"",IF(COUNTIFS(BD!$B$3:$B$5001,F$114,BD!$A$3:$A$5001,"&gt;="&amp;$C$7,BD!$A$3:$A$5001,"&lt;="&amp;$B134,BD!$K$3:$K$5001,"&lt;&gt;")=0,"",SUMIFS(BD!$K$3:$K$5001,BD!$B$3:$B$5001,F$114,BD!$A$3:$A$5001,_xlfn.MAXIFS(BD!$A$3:$A$5001,BD!$B$3:$B$5001,F$114,BD!$A$3:$A$5001,"&gt;="&amp;$C$7,BD!$A$3:$A$5001,"&lt;="&amp;$B134,BD!$K$3:$K$5001,"&lt;&gt;"))))</f>
        <v/>
      </c>
      <c r="G134" s="42" t="str">
        <f>IF(OR($B134="",$A134&gt;$B$9),"",IF(COUNTIFS(BD!$B$3:$B$5001,G$114,BD!$A$3:$A$5001,"&gt;="&amp;$C$7,BD!$A$3:$A$5001,"&lt;="&amp;$B134,BD!$K$3:$K$5001,"&lt;&gt;")=0,"",SUMIFS(BD!$K$3:$K$5001,BD!$B$3:$B$5001,G$114,BD!$A$3:$A$5001,_xlfn.MAXIFS(BD!$A$3:$A$5001,BD!$B$3:$B$5001,G$114,BD!$A$3:$A$5001,"&gt;="&amp;$C$7,BD!$A$3:$A$5001,"&lt;="&amp;$B134,BD!$K$3:$K$5001,"&lt;&gt;"))))</f>
        <v/>
      </c>
    </row>
    <row r="135">
      <c r="A135" s="40">
        <v>21</v>
      </c>
      <c r="B135" s="41">
        <f>$B$32</f>
        <v>46316</v>
      </c>
      <c r="C135" s="42" t="str">
        <f>IF(OR($B135="",$A135&gt;$B$9),"",IF(COUNTIFS(BD!$B$3:$B$5001,C$114,BD!$A$3:$A$5001,"&gt;="&amp;$C$7,BD!$A$3:$A$5001,"&lt;="&amp;$B135,BD!$K$3:$K$5001,"&lt;&gt;")=0,"",SUMIFS(BD!$K$3:$K$5001,BD!$B$3:$B$5001,C$114,BD!$A$3:$A$5001,_xlfn.MAXIFS(BD!$A$3:$A$5001,BD!$B$3:$B$5001,C$114,BD!$A$3:$A$5001,"&gt;="&amp;$C$7,BD!$A$3:$A$5001,"&lt;="&amp;$B135,BD!$K$3:$K$5001,"&lt;&gt;"))))</f>
        <v/>
      </c>
      <c r="D135" s="42" t="str">
        <f>IF(OR($B135="",$A135&gt;$B$9),"",IF(COUNTIFS(BD!$B$3:$B$5001,D$114,BD!$A$3:$A$5001,"&gt;="&amp;$C$7,BD!$A$3:$A$5001,"&lt;="&amp;$B135,BD!$K$3:$K$5001,"&lt;&gt;")=0,"",SUMIFS(BD!$K$3:$K$5001,BD!$B$3:$B$5001,D$114,BD!$A$3:$A$5001,_xlfn.MAXIFS(BD!$A$3:$A$5001,BD!$B$3:$B$5001,D$114,BD!$A$3:$A$5001,"&gt;="&amp;$C$7,BD!$A$3:$A$5001,"&lt;="&amp;$B135,BD!$K$3:$K$5001,"&lt;&gt;"))))</f>
        <v/>
      </c>
      <c r="E135" s="42" t="str">
        <f>IF(OR($B135="",$A135&gt;$B$9),"",IF(COUNTIFS(BD!$B$3:$B$5001,E$114,BD!$A$3:$A$5001,"&gt;="&amp;$C$7,BD!$A$3:$A$5001,"&lt;="&amp;$B135,BD!$K$3:$K$5001,"&lt;&gt;")=0,"",SUMIFS(BD!$K$3:$K$5001,BD!$B$3:$B$5001,E$114,BD!$A$3:$A$5001,_xlfn.MAXIFS(BD!$A$3:$A$5001,BD!$B$3:$B$5001,E$114,BD!$A$3:$A$5001,"&gt;="&amp;$C$7,BD!$A$3:$A$5001,"&lt;="&amp;$B135,BD!$K$3:$K$5001,"&lt;&gt;"))))</f>
        <v/>
      </c>
      <c r="F135" s="42" t="str">
        <f>IF(OR($B135="",$A135&gt;$B$9),"",IF(COUNTIFS(BD!$B$3:$B$5001,F$114,BD!$A$3:$A$5001,"&gt;="&amp;$C$7,BD!$A$3:$A$5001,"&lt;="&amp;$B135,BD!$K$3:$K$5001,"&lt;&gt;")=0,"",SUMIFS(BD!$K$3:$K$5001,BD!$B$3:$B$5001,F$114,BD!$A$3:$A$5001,_xlfn.MAXIFS(BD!$A$3:$A$5001,BD!$B$3:$B$5001,F$114,BD!$A$3:$A$5001,"&gt;="&amp;$C$7,BD!$A$3:$A$5001,"&lt;="&amp;$B135,BD!$K$3:$K$5001,"&lt;&gt;"))))</f>
        <v/>
      </c>
      <c r="G135" s="42" t="str">
        <f>IF(OR($B135="",$A135&gt;$B$9),"",IF(COUNTIFS(BD!$B$3:$B$5001,G$114,BD!$A$3:$A$5001,"&gt;="&amp;$C$7,BD!$A$3:$A$5001,"&lt;="&amp;$B135,BD!$K$3:$K$5001,"&lt;&gt;")=0,"",SUMIFS(BD!$K$3:$K$5001,BD!$B$3:$B$5001,G$114,BD!$A$3:$A$5001,_xlfn.MAXIFS(BD!$A$3:$A$5001,BD!$B$3:$B$5001,G$114,BD!$A$3:$A$5001,"&gt;="&amp;$C$7,BD!$A$3:$A$5001,"&lt;="&amp;$B135,BD!$K$3:$K$5001,"&lt;&gt;"))))</f>
        <v/>
      </c>
    </row>
    <row r="136">
      <c r="A136" s="40">
        <v>22</v>
      </c>
      <c r="B136" s="41">
        <f>$B$33</f>
        <v>46317</v>
      </c>
      <c r="C136" s="42" t="str">
        <f>IF(OR($B136="",$A136&gt;$B$9),"",IF(COUNTIFS(BD!$B$3:$B$5001,C$114,BD!$A$3:$A$5001,"&gt;="&amp;$C$7,BD!$A$3:$A$5001,"&lt;="&amp;$B136,BD!$K$3:$K$5001,"&lt;&gt;")=0,"",SUMIFS(BD!$K$3:$K$5001,BD!$B$3:$B$5001,C$114,BD!$A$3:$A$5001,_xlfn.MAXIFS(BD!$A$3:$A$5001,BD!$B$3:$B$5001,C$114,BD!$A$3:$A$5001,"&gt;="&amp;$C$7,BD!$A$3:$A$5001,"&lt;="&amp;$B136,BD!$K$3:$K$5001,"&lt;&gt;"))))</f>
        <v/>
      </c>
      <c r="D136" s="42" t="str">
        <f>IF(OR($B136="",$A136&gt;$B$9),"",IF(COUNTIFS(BD!$B$3:$B$5001,D$114,BD!$A$3:$A$5001,"&gt;="&amp;$C$7,BD!$A$3:$A$5001,"&lt;="&amp;$B136,BD!$K$3:$K$5001,"&lt;&gt;")=0,"",SUMIFS(BD!$K$3:$K$5001,BD!$B$3:$B$5001,D$114,BD!$A$3:$A$5001,_xlfn.MAXIFS(BD!$A$3:$A$5001,BD!$B$3:$B$5001,D$114,BD!$A$3:$A$5001,"&gt;="&amp;$C$7,BD!$A$3:$A$5001,"&lt;="&amp;$B136,BD!$K$3:$K$5001,"&lt;&gt;"))))</f>
        <v/>
      </c>
      <c r="E136" s="42" t="str">
        <f>IF(OR($B136="",$A136&gt;$B$9),"",IF(COUNTIFS(BD!$B$3:$B$5001,E$114,BD!$A$3:$A$5001,"&gt;="&amp;$C$7,BD!$A$3:$A$5001,"&lt;="&amp;$B136,BD!$K$3:$K$5001,"&lt;&gt;")=0,"",SUMIFS(BD!$K$3:$K$5001,BD!$B$3:$B$5001,E$114,BD!$A$3:$A$5001,_xlfn.MAXIFS(BD!$A$3:$A$5001,BD!$B$3:$B$5001,E$114,BD!$A$3:$A$5001,"&gt;="&amp;$C$7,BD!$A$3:$A$5001,"&lt;="&amp;$B136,BD!$K$3:$K$5001,"&lt;&gt;"))))</f>
        <v/>
      </c>
      <c r="F136" s="42" t="str">
        <f>IF(OR($B136="",$A136&gt;$B$9),"",IF(COUNTIFS(BD!$B$3:$B$5001,F$114,BD!$A$3:$A$5001,"&gt;="&amp;$C$7,BD!$A$3:$A$5001,"&lt;="&amp;$B136,BD!$K$3:$K$5001,"&lt;&gt;")=0,"",SUMIFS(BD!$K$3:$K$5001,BD!$B$3:$B$5001,F$114,BD!$A$3:$A$5001,_xlfn.MAXIFS(BD!$A$3:$A$5001,BD!$B$3:$B$5001,F$114,BD!$A$3:$A$5001,"&gt;="&amp;$C$7,BD!$A$3:$A$5001,"&lt;="&amp;$B136,BD!$K$3:$K$5001,"&lt;&gt;"))))</f>
        <v/>
      </c>
      <c r="G136" s="42" t="str">
        <f>IF(OR($B136="",$A136&gt;$B$9),"",IF(COUNTIFS(BD!$B$3:$B$5001,G$114,BD!$A$3:$A$5001,"&gt;="&amp;$C$7,BD!$A$3:$A$5001,"&lt;="&amp;$B136,BD!$K$3:$K$5001,"&lt;&gt;")=0,"",SUMIFS(BD!$K$3:$K$5001,BD!$B$3:$B$5001,G$114,BD!$A$3:$A$5001,_xlfn.MAXIFS(BD!$A$3:$A$5001,BD!$B$3:$B$5001,G$114,BD!$A$3:$A$5001,"&gt;="&amp;$C$7,BD!$A$3:$A$5001,"&lt;="&amp;$B136,BD!$K$3:$K$5001,"&lt;&gt;"))))</f>
        <v/>
      </c>
    </row>
    <row r="137">
      <c r="A137" s="40">
        <v>23</v>
      </c>
      <c r="B137" s="41">
        <f>$B$34</f>
        <v>46318</v>
      </c>
      <c r="C137" s="42" t="str">
        <f>IF(OR($B137="",$A137&gt;$B$9),"",IF(COUNTIFS(BD!$B$3:$B$5001,C$114,BD!$A$3:$A$5001,"&gt;="&amp;$C$7,BD!$A$3:$A$5001,"&lt;="&amp;$B137,BD!$K$3:$K$5001,"&lt;&gt;")=0,"",SUMIFS(BD!$K$3:$K$5001,BD!$B$3:$B$5001,C$114,BD!$A$3:$A$5001,_xlfn.MAXIFS(BD!$A$3:$A$5001,BD!$B$3:$B$5001,C$114,BD!$A$3:$A$5001,"&gt;="&amp;$C$7,BD!$A$3:$A$5001,"&lt;="&amp;$B137,BD!$K$3:$K$5001,"&lt;&gt;"))))</f>
        <v/>
      </c>
      <c r="D137" s="42" t="str">
        <f>IF(OR($B137="",$A137&gt;$B$9),"",IF(COUNTIFS(BD!$B$3:$B$5001,D$114,BD!$A$3:$A$5001,"&gt;="&amp;$C$7,BD!$A$3:$A$5001,"&lt;="&amp;$B137,BD!$K$3:$K$5001,"&lt;&gt;")=0,"",SUMIFS(BD!$K$3:$K$5001,BD!$B$3:$B$5001,D$114,BD!$A$3:$A$5001,_xlfn.MAXIFS(BD!$A$3:$A$5001,BD!$B$3:$B$5001,D$114,BD!$A$3:$A$5001,"&gt;="&amp;$C$7,BD!$A$3:$A$5001,"&lt;="&amp;$B137,BD!$K$3:$K$5001,"&lt;&gt;"))))</f>
        <v/>
      </c>
      <c r="E137" s="42" t="str">
        <f>IF(OR($B137="",$A137&gt;$B$9),"",IF(COUNTIFS(BD!$B$3:$B$5001,E$114,BD!$A$3:$A$5001,"&gt;="&amp;$C$7,BD!$A$3:$A$5001,"&lt;="&amp;$B137,BD!$K$3:$K$5001,"&lt;&gt;")=0,"",SUMIFS(BD!$K$3:$K$5001,BD!$B$3:$B$5001,E$114,BD!$A$3:$A$5001,_xlfn.MAXIFS(BD!$A$3:$A$5001,BD!$B$3:$B$5001,E$114,BD!$A$3:$A$5001,"&gt;="&amp;$C$7,BD!$A$3:$A$5001,"&lt;="&amp;$B137,BD!$K$3:$K$5001,"&lt;&gt;"))))</f>
        <v/>
      </c>
      <c r="F137" s="42" t="str">
        <f>IF(OR($B137="",$A137&gt;$B$9),"",IF(COUNTIFS(BD!$B$3:$B$5001,F$114,BD!$A$3:$A$5001,"&gt;="&amp;$C$7,BD!$A$3:$A$5001,"&lt;="&amp;$B137,BD!$K$3:$K$5001,"&lt;&gt;")=0,"",SUMIFS(BD!$K$3:$K$5001,BD!$B$3:$B$5001,F$114,BD!$A$3:$A$5001,_xlfn.MAXIFS(BD!$A$3:$A$5001,BD!$B$3:$B$5001,F$114,BD!$A$3:$A$5001,"&gt;="&amp;$C$7,BD!$A$3:$A$5001,"&lt;="&amp;$B137,BD!$K$3:$K$5001,"&lt;&gt;"))))</f>
        <v/>
      </c>
      <c r="G137" s="42" t="str">
        <f>IF(OR($B137="",$A137&gt;$B$9),"",IF(COUNTIFS(BD!$B$3:$B$5001,G$114,BD!$A$3:$A$5001,"&gt;="&amp;$C$7,BD!$A$3:$A$5001,"&lt;="&amp;$B137,BD!$K$3:$K$5001,"&lt;&gt;")=0,"",SUMIFS(BD!$K$3:$K$5001,BD!$B$3:$B$5001,G$114,BD!$A$3:$A$5001,_xlfn.MAXIFS(BD!$A$3:$A$5001,BD!$B$3:$B$5001,G$114,BD!$A$3:$A$5001,"&gt;="&amp;$C$7,BD!$A$3:$A$5001,"&lt;="&amp;$B137,BD!$K$3:$K$5001,"&lt;&gt;"))))</f>
        <v/>
      </c>
    </row>
    <row r="138">
      <c r="A138" s="40">
        <v>24</v>
      </c>
      <c r="B138" s="41">
        <f>$B$35</f>
        <v>46319</v>
      </c>
      <c r="C138" s="42" t="str">
        <f>IF(OR($B138="",$A138&gt;$B$9),"",IF(COUNTIFS(BD!$B$3:$B$5001,C$114,BD!$A$3:$A$5001,"&gt;="&amp;$C$7,BD!$A$3:$A$5001,"&lt;="&amp;$B138,BD!$K$3:$K$5001,"&lt;&gt;")=0,"",SUMIFS(BD!$K$3:$K$5001,BD!$B$3:$B$5001,C$114,BD!$A$3:$A$5001,_xlfn.MAXIFS(BD!$A$3:$A$5001,BD!$B$3:$B$5001,C$114,BD!$A$3:$A$5001,"&gt;="&amp;$C$7,BD!$A$3:$A$5001,"&lt;="&amp;$B138,BD!$K$3:$K$5001,"&lt;&gt;"))))</f>
        <v/>
      </c>
      <c r="D138" s="42" t="str">
        <f>IF(OR($B138="",$A138&gt;$B$9),"",IF(COUNTIFS(BD!$B$3:$B$5001,D$114,BD!$A$3:$A$5001,"&gt;="&amp;$C$7,BD!$A$3:$A$5001,"&lt;="&amp;$B138,BD!$K$3:$K$5001,"&lt;&gt;")=0,"",SUMIFS(BD!$K$3:$K$5001,BD!$B$3:$B$5001,D$114,BD!$A$3:$A$5001,_xlfn.MAXIFS(BD!$A$3:$A$5001,BD!$B$3:$B$5001,D$114,BD!$A$3:$A$5001,"&gt;="&amp;$C$7,BD!$A$3:$A$5001,"&lt;="&amp;$B138,BD!$K$3:$K$5001,"&lt;&gt;"))))</f>
        <v/>
      </c>
      <c r="E138" s="42" t="str">
        <f>IF(OR($B138="",$A138&gt;$B$9),"",IF(COUNTIFS(BD!$B$3:$B$5001,E$114,BD!$A$3:$A$5001,"&gt;="&amp;$C$7,BD!$A$3:$A$5001,"&lt;="&amp;$B138,BD!$K$3:$K$5001,"&lt;&gt;")=0,"",SUMIFS(BD!$K$3:$K$5001,BD!$B$3:$B$5001,E$114,BD!$A$3:$A$5001,_xlfn.MAXIFS(BD!$A$3:$A$5001,BD!$B$3:$B$5001,E$114,BD!$A$3:$A$5001,"&gt;="&amp;$C$7,BD!$A$3:$A$5001,"&lt;="&amp;$B138,BD!$K$3:$K$5001,"&lt;&gt;"))))</f>
        <v/>
      </c>
      <c r="F138" s="42" t="str">
        <f>IF(OR($B138="",$A138&gt;$B$9),"",IF(COUNTIFS(BD!$B$3:$B$5001,F$114,BD!$A$3:$A$5001,"&gt;="&amp;$C$7,BD!$A$3:$A$5001,"&lt;="&amp;$B138,BD!$K$3:$K$5001,"&lt;&gt;")=0,"",SUMIFS(BD!$K$3:$K$5001,BD!$B$3:$B$5001,F$114,BD!$A$3:$A$5001,_xlfn.MAXIFS(BD!$A$3:$A$5001,BD!$B$3:$B$5001,F$114,BD!$A$3:$A$5001,"&gt;="&amp;$C$7,BD!$A$3:$A$5001,"&lt;="&amp;$B138,BD!$K$3:$K$5001,"&lt;&gt;"))))</f>
        <v/>
      </c>
      <c r="G138" s="42" t="str">
        <f>IF(OR($B138="",$A138&gt;$B$9),"",IF(COUNTIFS(BD!$B$3:$B$5001,G$114,BD!$A$3:$A$5001,"&gt;="&amp;$C$7,BD!$A$3:$A$5001,"&lt;="&amp;$B138,BD!$K$3:$K$5001,"&lt;&gt;")=0,"",SUMIFS(BD!$K$3:$K$5001,BD!$B$3:$B$5001,G$114,BD!$A$3:$A$5001,_xlfn.MAXIFS(BD!$A$3:$A$5001,BD!$B$3:$B$5001,G$114,BD!$A$3:$A$5001,"&gt;="&amp;$C$7,BD!$A$3:$A$5001,"&lt;="&amp;$B138,BD!$K$3:$K$5001,"&lt;&gt;"))))</f>
        <v/>
      </c>
    </row>
    <row r="139">
      <c r="A139" s="40">
        <v>25</v>
      </c>
      <c r="B139" s="41">
        <f>$B$36</f>
        <v>46320</v>
      </c>
      <c r="C139" s="42" t="str">
        <f>IF(OR($B139="",$A139&gt;$B$9),"",IF(COUNTIFS(BD!$B$3:$B$5001,C$114,BD!$A$3:$A$5001,"&gt;="&amp;$C$7,BD!$A$3:$A$5001,"&lt;="&amp;$B139,BD!$K$3:$K$5001,"&lt;&gt;")=0,"",SUMIFS(BD!$K$3:$K$5001,BD!$B$3:$B$5001,C$114,BD!$A$3:$A$5001,_xlfn.MAXIFS(BD!$A$3:$A$5001,BD!$B$3:$B$5001,C$114,BD!$A$3:$A$5001,"&gt;="&amp;$C$7,BD!$A$3:$A$5001,"&lt;="&amp;$B139,BD!$K$3:$K$5001,"&lt;&gt;"))))</f>
        <v/>
      </c>
      <c r="D139" s="42" t="str">
        <f>IF(OR($B139="",$A139&gt;$B$9),"",IF(COUNTIFS(BD!$B$3:$B$5001,D$114,BD!$A$3:$A$5001,"&gt;="&amp;$C$7,BD!$A$3:$A$5001,"&lt;="&amp;$B139,BD!$K$3:$K$5001,"&lt;&gt;")=0,"",SUMIFS(BD!$K$3:$K$5001,BD!$B$3:$B$5001,D$114,BD!$A$3:$A$5001,_xlfn.MAXIFS(BD!$A$3:$A$5001,BD!$B$3:$B$5001,D$114,BD!$A$3:$A$5001,"&gt;="&amp;$C$7,BD!$A$3:$A$5001,"&lt;="&amp;$B139,BD!$K$3:$K$5001,"&lt;&gt;"))))</f>
        <v/>
      </c>
      <c r="E139" s="42" t="str">
        <f>IF(OR($B139="",$A139&gt;$B$9),"",IF(COUNTIFS(BD!$B$3:$B$5001,E$114,BD!$A$3:$A$5001,"&gt;="&amp;$C$7,BD!$A$3:$A$5001,"&lt;="&amp;$B139,BD!$K$3:$K$5001,"&lt;&gt;")=0,"",SUMIFS(BD!$K$3:$K$5001,BD!$B$3:$B$5001,E$114,BD!$A$3:$A$5001,_xlfn.MAXIFS(BD!$A$3:$A$5001,BD!$B$3:$B$5001,E$114,BD!$A$3:$A$5001,"&gt;="&amp;$C$7,BD!$A$3:$A$5001,"&lt;="&amp;$B139,BD!$K$3:$K$5001,"&lt;&gt;"))))</f>
        <v/>
      </c>
      <c r="F139" s="42" t="str">
        <f>IF(OR($B139="",$A139&gt;$B$9),"",IF(COUNTIFS(BD!$B$3:$B$5001,F$114,BD!$A$3:$A$5001,"&gt;="&amp;$C$7,BD!$A$3:$A$5001,"&lt;="&amp;$B139,BD!$K$3:$K$5001,"&lt;&gt;")=0,"",SUMIFS(BD!$K$3:$K$5001,BD!$B$3:$B$5001,F$114,BD!$A$3:$A$5001,_xlfn.MAXIFS(BD!$A$3:$A$5001,BD!$B$3:$B$5001,F$114,BD!$A$3:$A$5001,"&gt;="&amp;$C$7,BD!$A$3:$A$5001,"&lt;="&amp;$B139,BD!$K$3:$K$5001,"&lt;&gt;"))))</f>
        <v/>
      </c>
      <c r="G139" s="42" t="str">
        <f>IF(OR($B139="",$A139&gt;$B$9),"",IF(COUNTIFS(BD!$B$3:$B$5001,G$114,BD!$A$3:$A$5001,"&gt;="&amp;$C$7,BD!$A$3:$A$5001,"&lt;="&amp;$B139,BD!$K$3:$K$5001,"&lt;&gt;")=0,"",SUMIFS(BD!$K$3:$K$5001,BD!$B$3:$B$5001,G$114,BD!$A$3:$A$5001,_xlfn.MAXIFS(BD!$A$3:$A$5001,BD!$B$3:$B$5001,G$114,BD!$A$3:$A$5001,"&gt;="&amp;$C$7,BD!$A$3:$A$5001,"&lt;="&amp;$B139,BD!$K$3:$K$5001,"&lt;&gt;"))))</f>
        <v/>
      </c>
    </row>
    <row r="140">
      <c r="A140" s="40">
        <v>26</v>
      </c>
      <c r="B140" s="41">
        <f>$B$37</f>
        <v>46321</v>
      </c>
      <c r="C140" s="42" t="str">
        <f>IF(OR($B140="",$A140&gt;$B$9),"",IF(COUNTIFS(BD!$B$3:$B$5001,C$114,BD!$A$3:$A$5001,"&gt;="&amp;$C$7,BD!$A$3:$A$5001,"&lt;="&amp;$B140,BD!$K$3:$K$5001,"&lt;&gt;")=0,"",SUMIFS(BD!$K$3:$K$5001,BD!$B$3:$B$5001,C$114,BD!$A$3:$A$5001,_xlfn.MAXIFS(BD!$A$3:$A$5001,BD!$B$3:$B$5001,C$114,BD!$A$3:$A$5001,"&gt;="&amp;$C$7,BD!$A$3:$A$5001,"&lt;="&amp;$B140,BD!$K$3:$K$5001,"&lt;&gt;"))))</f>
        <v/>
      </c>
      <c r="D140" s="42" t="str">
        <f>IF(OR($B140="",$A140&gt;$B$9),"",IF(COUNTIFS(BD!$B$3:$B$5001,D$114,BD!$A$3:$A$5001,"&gt;="&amp;$C$7,BD!$A$3:$A$5001,"&lt;="&amp;$B140,BD!$K$3:$K$5001,"&lt;&gt;")=0,"",SUMIFS(BD!$K$3:$K$5001,BD!$B$3:$B$5001,D$114,BD!$A$3:$A$5001,_xlfn.MAXIFS(BD!$A$3:$A$5001,BD!$B$3:$B$5001,D$114,BD!$A$3:$A$5001,"&gt;="&amp;$C$7,BD!$A$3:$A$5001,"&lt;="&amp;$B140,BD!$K$3:$K$5001,"&lt;&gt;"))))</f>
        <v/>
      </c>
      <c r="E140" s="42" t="str">
        <f>IF(OR($B140="",$A140&gt;$B$9),"",IF(COUNTIFS(BD!$B$3:$B$5001,E$114,BD!$A$3:$A$5001,"&gt;="&amp;$C$7,BD!$A$3:$A$5001,"&lt;="&amp;$B140,BD!$K$3:$K$5001,"&lt;&gt;")=0,"",SUMIFS(BD!$K$3:$K$5001,BD!$B$3:$B$5001,E$114,BD!$A$3:$A$5001,_xlfn.MAXIFS(BD!$A$3:$A$5001,BD!$B$3:$B$5001,E$114,BD!$A$3:$A$5001,"&gt;="&amp;$C$7,BD!$A$3:$A$5001,"&lt;="&amp;$B140,BD!$K$3:$K$5001,"&lt;&gt;"))))</f>
        <v/>
      </c>
      <c r="F140" s="42" t="str">
        <f>IF(OR($B140="",$A140&gt;$B$9),"",IF(COUNTIFS(BD!$B$3:$B$5001,F$114,BD!$A$3:$A$5001,"&gt;="&amp;$C$7,BD!$A$3:$A$5001,"&lt;="&amp;$B140,BD!$K$3:$K$5001,"&lt;&gt;")=0,"",SUMIFS(BD!$K$3:$K$5001,BD!$B$3:$B$5001,F$114,BD!$A$3:$A$5001,_xlfn.MAXIFS(BD!$A$3:$A$5001,BD!$B$3:$B$5001,F$114,BD!$A$3:$A$5001,"&gt;="&amp;$C$7,BD!$A$3:$A$5001,"&lt;="&amp;$B140,BD!$K$3:$K$5001,"&lt;&gt;"))))</f>
        <v/>
      </c>
      <c r="G140" s="42" t="str">
        <f>IF(OR($B140="",$A140&gt;$B$9),"",IF(COUNTIFS(BD!$B$3:$B$5001,G$114,BD!$A$3:$A$5001,"&gt;="&amp;$C$7,BD!$A$3:$A$5001,"&lt;="&amp;$B140,BD!$K$3:$K$5001,"&lt;&gt;")=0,"",SUMIFS(BD!$K$3:$K$5001,BD!$B$3:$B$5001,G$114,BD!$A$3:$A$5001,_xlfn.MAXIFS(BD!$A$3:$A$5001,BD!$B$3:$B$5001,G$114,BD!$A$3:$A$5001,"&gt;="&amp;$C$7,BD!$A$3:$A$5001,"&lt;="&amp;$B140,BD!$K$3:$K$5001,"&lt;&gt;"))))</f>
        <v/>
      </c>
    </row>
    <row r="141">
      <c r="A141" s="40">
        <v>27</v>
      </c>
      <c r="B141" s="41">
        <f>$B$38</f>
        <v>46322</v>
      </c>
      <c r="C141" s="42" t="str">
        <f>IF(OR($B141="",$A141&gt;$B$9),"",IF(COUNTIFS(BD!$B$3:$B$5001,C$114,BD!$A$3:$A$5001,"&gt;="&amp;$C$7,BD!$A$3:$A$5001,"&lt;="&amp;$B141,BD!$K$3:$K$5001,"&lt;&gt;")=0,"",SUMIFS(BD!$K$3:$K$5001,BD!$B$3:$B$5001,C$114,BD!$A$3:$A$5001,_xlfn.MAXIFS(BD!$A$3:$A$5001,BD!$B$3:$B$5001,C$114,BD!$A$3:$A$5001,"&gt;="&amp;$C$7,BD!$A$3:$A$5001,"&lt;="&amp;$B141,BD!$K$3:$K$5001,"&lt;&gt;"))))</f>
        <v/>
      </c>
      <c r="D141" s="42" t="str">
        <f>IF(OR($B141="",$A141&gt;$B$9),"",IF(COUNTIFS(BD!$B$3:$B$5001,D$114,BD!$A$3:$A$5001,"&gt;="&amp;$C$7,BD!$A$3:$A$5001,"&lt;="&amp;$B141,BD!$K$3:$K$5001,"&lt;&gt;")=0,"",SUMIFS(BD!$K$3:$K$5001,BD!$B$3:$B$5001,D$114,BD!$A$3:$A$5001,_xlfn.MAXIFS(BD!$A$3:$A$5001,BD!$B$3:$B$5001,D$114,BD!$A$3:$A$5001,"&gt;="&amp;$C$7,BD!$A$3:$A$5001,"&lt;="&amp;$B141,BD!$K$3:$K$5001,"&lt;&gt;"))))</f>
        <v/>
      </c>
      <c r="E141" s="42" t="str">
        <f>IF(OR($B141="",$A141&gt;$B$9),"",IF(COUNTIFS(BD!$B$3:$B$5001,E$114,BD!$A$3:$A$5001,"&gt;="&amp;$C$7,BD!$A$3:$A$5001,"&lt;="&amp;$B141,BD!$K$3:$K$5001,"&lt;&gt;")=0,"",SUMIFS(BD!$K$3:$K$5001,BD!$B$3:$B$5001,E$114,BD!$A$3:$A$5001,_xlfn.MAXIFS(BD!$A$3:$A$5001,BD!$B$3:$B$5001,E$114,BD!$A$3:$A$5001,"&gt;="&amp;$C$7,BD!$A$3:$A$5001,"&lt;="&amp;$B141,BD!$K$3:$K$5001,"&lt;&gt;"))))</f>
        <v/>
      </c>
      <c r="F141" s="42" t="str">
        <f>IF(OR($B141="",$A141&gt;$B$9),"",IF(COUNTIFS(BD!$B$3:$B$5001,F$114,BD!$A$3:$A$5001,"&gt;="&amp;$C$7,BD!$A$3:$A$5001,"&lt;="&amp;$B141,BD!$K$3:$K$5001,"&lt;&gt;")=0,"",SUMIFS(BD!$K$3:$K$5001,BD!$B$3:$B$5001,F$114,BD!$A$3:$A$5001,_xlfn.MAXIFS(BD!$A$3:$A$5001,BD!$B$3:$B$5001,F$114,BD!$A$3:$A$5001,"&gt;="&amp;$C$7,BD!$A$3:$A$5001,"&lt;="&amp;$B141,BD!$K$3:$K$5001,"&lt;&gt;"))))</f>
        <v/>
      </c>
      <c r="G141" s="42" t="str">
        <f>IF(OR($B141="",$A141&gt;$B$9),"",IF(COUNTIFS(BD!$B$3:$B$5001,G$114,BD!$A$3:$A$5001,"&gt;="&amp;$C$7,BD!$A$3:$A$5001,"&lt;="&amp;$B141,BD!$K$3:$K$5001,"&lt;&gt;")=0,"",SUMIFS(BD!$K$3:$K$5001,BD!$B$3:$B$5001,G$114,BD!$A$3:$A$5001,_xlfn.MAXIFS(BD!$A$3:$A$5001,BD!$B$3:$B$5001,G$114,BD!$A$3:$A$5001,"&gt;="&amp;$C$7,BD!$A$3:$A$5001,"&lt;="&amp;$B141,BD!$K$3:$K$5001,"&lt;&gt;"))))</f>
        <v/>
      </c>
    </row>
    <row r="142">
      <c r="A142" s="40">
        <v>28</v>
      </c>
      <c r="B142" s="41">
        <f>$B$39</f>
        <v>46323</v>
      </c>
      <c r="C142" s="42" t="str">
        <f>IF(OR($B142="",$A142&gt;$B$9),"",IF(COUNTIFS(BD!$B$3:$B$5001,C$114,BD!$A$3:$A$5001,"&gt;="&amp;$C$7,BD!$A$3:$A$5001,"&lt;="&amp;$B142,BD!$K$3:$K$5001,"&lt;&gt;")=0,"",SUMIFS(BD!$K$3:$K$5001,BD!$B$3:$B$5001,C$114,BD!$A$3:$A$5001,_xlfn.MAXIFS(BD!$A$3:$A$5001,BD!$B$3:$B$5001,C$114,BD!$A$3:$A$5001,"&gt;="&amp;$C$7,BD!$A$3:$A$5001,"&lt;="&amp;$B142,BD!$K$3:$K$5001,"&lt;&gt;"))))</f>
        <v/>
      </c>
      <c r="D142" s="42" t="str">
        <f>IF(OR($B142="",$A142&gt;$B$9),"",IF(COUNTIFS(BD!$B$3:$B$5001,D$114,BD!$A$3:$A$5001,"&gt;="&amp;$C$7,BD!$A$3:$A$5001,"&lt;="&amp;$B142,BD!$K$3:$K$5001,"&lt;&gt;")=0,"",SUMIFS(BD!$K$3:$K$5001,BD!$B$3:$B$5001,D$114,BD!$A$3:$A$5001,_xlfn.MAXIFS(BD!$A$3:$A$5001,BD!$B$3:$B$5001,D$114,BD!$A$3:$A$5001,"&gt;="&amp;$C$7,BD!$A$3:$A$5001,"&lt;="&amp;$B142,BD!$K$3:$K$5001,"&lt;&gt;"))))</f>
        <v/>
      </c>
      <c r="E142" s="42" t="str">
        <f>IF(OR($B142="",$A142&gt;$B$9),"",IF(COUNTIFS(BD!$B$3:$B$5001,E$114,BD!$A$3:$A$5001,"&gt;="&amp;$C$7,BD!$A$3:$A$5001,"&lt;="&amp;$B142,BD!$K$3:$K$5001,"&lt;&gt;")=0,"",SUMIFS(BD!$K$3:$K$5001,BD!$B$3:$B$5001,E$114,BD!$A$3:$A$5001,_xlfn.MAXIFS(BD!$A$3:$A$5001,BD!$B$3:$B$5001,E$114,BD!$A$3:$A$5001,"&gt;="&amp;$C$7,BD!$A$3:$A$5001,"&lt;="&amp;$B142,BD!$K$3:$K$5001,"&lt;&gt;"))))</f>
        <v/>
      </c>
      <c r="F142" s="42" t="str">
        <f>IF(OR($B142="",$A142&gt;$B$9),"",IF(COUNTIFS(BD!$B$3:$B$5001,F$114,BD!$A$3:$A$5001,"&gt;="&amp;$C$7,BD!$A$3:$A$5001,"&lt;="&amp;$B142,BD!$K$3:$K$5001,"&lt;&gt;")=0,"",SUMIFS(BD!$K$3:$K$5001,BD!$B$3:$B$5001,F$114,BD!$A$3:$A$5001,_xlfn.MAXIFS(BD!$A$3:$A$5001,BD!$B$3:$B$5001,F$114,BD!$A$3:$A$5001,"&gt;="&amp;$C$7,BD!$A$3:$A$5001,"&lt;="&amp;$B142,BD!$K$3:$K$5001,"&lt;&gt;"))))</f>
        <v/>
      </c>
      <c r="G142" s="42" t="str">
        <f>IF(OR($B142="",$A142&gt;$B$9),"",IF(COUNTIFS(BD!$B$3:$B$5001,G$114,BD!$A$3:$A$5001,"&gt;="&amp;$C$7,BD!$A$3:$A$5001,"&lt;="&amp;$B142,BD!$K$3:$K$5001,"&lt;&gt;")=0,"",SUMIFS(BD!$K$3:$K$5001,BD!$B$3:$B$5001,G$114,BD!$A$3:$A$5001,_xlfn.MAXIFS(BD!$A$3:$A$5001,BD!$B$3:$B$5001,G$114,BD!$A$3:$A$5001,"&gt;="&amp;$C$7,BD!$A$3:$A$5001,"&lt;="&amp;$B142,BD!$K$3:$K$5001,"&lt;&gt;"))))</f>
        <v/>
      </c>
    </row>
    <row r="143">
      <c r="A143" s="40">
        <v>29</v>
      </c>
      <c r="B143" s="41">
        <f>$B$40</f>
        <v>46324</v>
      </c>
      <c r="C143" s="42" t="str">
        <f>IF(OR($B143="",$A143&gt;$B$9),"",IF(COUNTIFS(BD!$B$3:$B$5001,C$114,BD!$A$3:$A$5001,"&gt;="&amp;$C$7,BD!$A$3:$A$5001,"&lt;="&amp;$B143,BD!$K$3:$K$5001,"&lt;&gt;")=0,"",SUMIFS(BD!$K$3:$K$5001,BD!$B$3:$B$5001,C$114,BD!$A$3:$A$5001,_xlfn.MAXIFS(BD!$A$3:$A$5001,BD!$B$3:$B$5001,C$114,BD!$A$3:$A$5001,"&gt;="&amp;$C$7,BD!$A$3:$A$5001,"&lt;="&amp;$B143,BD!$K$3:$K$5001,"&lt;&gt;"))))</f>
        <v/>
      </c>
      <c r="D143" s="42" t="str">
        <f>IF(OR($B143="",$A143&gt;$B$9),"",IF(COUNTIFS(BD!$B$3:$B$5001,D$114,BD!$A$3:$A$5001,"&gt;="&amp;$C$7,BD!$A$3:$A$5001,"&lt;="&amp;$B143,BD!$K$3:$K$5001,"&lt;&gt;")=0,"",SUMIFS(BD!$K$3:$K$5001,BD!$B$3:$B$5001,D$114,BD!$A$3:$A$5001,_xlfn.MAXIFS(BD!$A$3:$A$5001,BD!$B$3:$B$5001,D$114,BD!$A$3:$A$5001,"&gt;="&amp;$C$7,BD!$A$3:$A$5001,"&lt;="&amp;$B143,BD!$K$3:$K$5001,"&lt;&gt;"))))</f>
        <v/>
      </c>
      <c r="E143" s="42" t="str">
        <f>IF(OR($B143="",$A143&gt;$B$9),"",IF(COUNTIFS(BD!$B$3:$B$5001,E$114,BD!$A$3:$A$5001,"&gt;="&amp;$C$7,BD!$A$3:$A$5001,"&lt;="&amp;$B143,BD!$K$3:$K$5001,"&lt;&gt;")=0,"",SUMIFS(BD!$K$3:$K$5001,BD!$B$3:$B$5001,E$114,BD!$A$3:$A$5001,_xlfn.MAXIFS(BD!$A$3:$A$5001,BD!$B$3:$B$5001,E$114,BD!$A$3:$A$5001,"&gt;="&amp;$C$7,BD!$A$3:$A$5001,"&lt;="&amp;$B143,BD!$K$3:$K$5001,"&lt;&gt;"))))</f>
        <v/>
      </c>
      <c r="F143" s="42" t="str">
        <f>IF(OR($B143="",$A143&gt;$B$9),"",IF(COUNTIFS(BD!$B$3:$B$5001,F$114,BD!$A$3:$A$5001,"&gt;="&amp;$C$7,BD!$A$3:$A$5001,"&lt;="&amp;$B143,BD!$K$3:$K$5001,"&lt;&gt;")=0,"",SUMIFS(BD!$K$3:$K$5001,BD!$B$3:$B$5001,F$114,BD!$A$3:$A$5001,_xlfn.MAXIFS(BD!$A$3:$A$5001,BD!$B$3:$B$5001,F$114,BD!$A$3:$A$5001,"&gt;="&amp;$C$7,BD!$A$3:$A$5001,"&lt;="&amp;$B143,BD!$K$3:$K$5001,"&lt;&gt;"))))</f>
        <v/>
      </c>
      <c r="G143" s="42" t="str">
        <f>IF(OR($B143="",$A143&gt;$B$9),"",IF(COUNTIFS(BD!$B$3:$B$5001,G$114,BD!$A$3:$A$5001,"&gt;="&amp;$C$7,BD!$A$3:$A$5001,"&lt;="&amp;$B143,BD!$K$3:$K$5001,"&lt;&gt;")=0,"",SUMIFS(BD!$K$3:$K$5001,BD!$B$3:$B$5001,G$114,BD!$A$3:$A$5001,_xlfn.MAXIFS(BD!$A$3:$A$5001,BD!$B$3:$B$5001,G$114,BD!$A$3:$A$5001,"&gt;="&amp;$C$7,BD!$A$3:$A$5001,"&lt;="&amp;$B143,BD!$K$3:$K$5001,"&lt;&gt;"))))</f>
        <v/>
      </c>
    </row>
    <row r="144">
      <c r="A144" s="40">
        <v>30</v>
      </c>
      <c r="B144" s="41">
        <f>$B$41</f>
        <v>46325</v>
      </c>
      <c r="C144" s="42" t="str">
        <f>IF(OR($B144="",$A144&gt;$B$9),"",IF(COUNTIFS(BD!$B$3:$B$5001,C$114,BD!$A$3:$A$5001,"&gt;="&amp;$C$7,BD!$A$3:$A$5001,"&lt;="&amp;$B144,BD!$K$3:$K$5001,"&lt;&gt;")=0,"",SUMIFS(BD!$K$3:$K$5001,BD!$B$3:$B$5001,C$114,BD!$A$3:$A$5001,_xlfn.MAXIFS(BD!$A$3:$A$5001,BD!$B$3:$B$5001,C$114,BD!$A$3:$A$5001,"&gt;="&amp;$C$7,BD!$A$3:$A$5001,"&lt;="&amp;$B144,BD!$K$3:$K$5001,"&lt;&gt;"))))</f>
        <v/>
      </c>
      <c r="D144" s="42" t="str">
        <f>IF(OR($B144="",$A144&gt;$B$9),"",IF(COUNTIFS(BD!$B$3:$B$5001,D$114,BD!$A$3:$A$5001,"&gt;="&amp;$C$7,BD!$A$3:$A$5001,"&lt;="&amp;$B144,BD!$K$3:$K$5001,"&lt;&gt;")=0,"",SUMIFS(BD!$K$3:$K$5001,BD!$B$3:$B$5001,D$114,BD!$A$3:$A$5001,_xlfn.MAXIFS(BD!$A$3:$A$5001,BD!$B$3:$B$5001,D$114,BD!$A$3:$A$5001,"&gt;="&amp;$C$7,BD!$A$3:$A$5001,"&lt;="&amp;$B144,BD!$K$3:$K$5001,"&lt;&gt;"))))</f>
        <v/>
      </c>
      <c r="E144" s="42" t="str">
        <f>IF(OR($B144="",$A144&gt;$B$9),"",IF(COUNTIFS(BD!$B$3:$B$5001,E$114,BD!$A$3:$A$5001,"&gt;="&amp;$C$7,BD!$A$3:$A$5001,"&lt;="&amp;$B144,BD!$K$3:$K$5001,"&lt;&gt;")=0,"",SUMIFS(BD!$K$3:$K$5001,BD!$B$3:$B$5001,E$114,BD!$A$3:$A$5001,_xlfn.MAXIFS(BD!$A$3:$A$5001,BD!$B$3:$B$5001,E$114,BD!$A$3:$A$5001,"&gt;="&amp;$C$7,BD!$A$3:$A$5001,"&lt;="&amp;$B144,BD!$K$3:$K$5001,"&lt;&gt;"))))</f>
        <v/>
      </c>
      <c r="F144" s="42" t="str">
        <f>IF(OR($B144="",$A144&gt;$B$9),"",IF(COUNTIFS(BD!$B$3:$B$5001,F$114,BD!$A$3:$A$5001,"&gt;="&amp;$C$7,BD!$A$3:$A$5001,"&lt;="&amp;$B144,BD!$K$3:$K$5001,"&lt;&gt;")=0,"",SUMIFS(BD!$K$3:$K$5001,BD!$B$3:$B$5001,F$114,BD!$A$3:$A$5001,_xlfn.MAXIFS(BD!$A$3:$A$5001,BD!$B$3:$B$5001,F$114,BD!$A$3:$A$5001,"&gt;="&amp;$C$7,BD!$A$3:$A$5001,"&lt;="&amp;$B144,BD!$K$3:$K$5001,"&lt;&gt;"))))</f>
        <v/>
      </c>
      <c r="G144" s="42" t="str">
        <f>IF(OR($B144="",$A144&gt;$B$9),"",IF(COUNTIFS(BD!$B$3:$B$5001,G$114,BD!$A$3:$A$5001,"&gt;="&amp;$C$7,BD!$A$3:$A$5001,"&lt;="&amp;$B144,BD!$K$3:$K$5001,"&lt;&gt;")=0,"",SUMIFS(BD!$K$3:$K$5001,BD!$B$3:$B$5001,G$114,BD!$A$3:$A$5001,_xlfn.MAXIFS(BD!$A$3:$A$5001,BD!$B$3:$B$5001,G$114,BD!$A$3:$A$5001,"&gt;="&amp;$C$7,BD!$A$3:$A$5001,"&lt;="&amp;$B144,BD!$K$3:$K$5001,"&lt;&gt;"))))</f>
        <v/>
      </c>
    </row>
    <row r="145">
      <c r="A145" s="40">
        <v>31</v>
      </c>
      <c r="B145" s="41">
        <f>$B$42</f>
        <v>46326</v>
      </c>
      <c r="C145" s="42" t="str">
        <f>IF(OR($B145="",$A145&gt;$B$9),"",IF(COUNTIFS(BD!$B$3:$B$5001,C$114,BD!$A$3:$A$5001,"&gt;="&amp;$C$7,BD!$A$3:$A$5001,"&lt;="&amp;$B145,BD!$K$3:$K$5001,"&lt;&gt;")=0,"",SUMIFS(BD!$K$3:$K$5001,BD!$B$3:$B$5001,C$114,BD!$A$3:$A$5001,_xlfn.MAXIFS(BD!$A$3:$A$5001,BD!$B$3:$B$5001,C$114,BD!$A$3:$A$5001,"&gt;="&amp;$C$7,BD!$A$3:$A$5001,"&lt;="&amp;$B145,BD!$K$3:$K$5001,"&lt;&gt;"))))</f>
        <v/>
      </c>
      <c r="D145" s="42" t="str">
        <f>IF(OR($B145="",$A145&gt;$B$9),"",IF(COUNTIFS(BD!$B$3:$B$5001,D$114,BD!$A$3:$A$5001,"&gt;="&amp;$C$7,BD!$A$3:$A$5001,"&lt;="&amp;$B145,BD!$K$3:$K$5001,"&lt;&gt;")=0,"",SUMIFS(BD!$K$3:$K$5001,BD!$B$3:$B$5001,D$114,BD!$A$3:$A$5001,_xlfn.MAXIFS(BD!$A$3:$A$5001,BD!$B$3:$B$5001,D$114,BD!$A$3:$A$5001,"&gt;="&amp;$C$7,BD!$A$3:$A$5001,"&lt;="&amp;$B145,BD!$K$3:$K$5001,"&lt;&gt;"))))</f>
        <v/>
      </c>
      <c r="E145" s="42" t="str">
        <f>IF(OR($B145="",$A145&gt;$B$9),"",IF(COUNTIFS(BD!$B$3:$B$5001,E$114,BD!$A$3:$A$5001,"&gt;="&amp;$C$7,BD!$A$3:$A$5001,"&lt;="&amp;$B145,BD!$K$3:$K$5001,"&lt;&gt;")=0,"",SUMIFS(BD!$K$3:$K$5001,BD!$B$3:$B$5001,E$114,BD!$A$3:$A$5001,_xlfn.MAXIFS(BD!$A$3:$A$5001,BD!$B$3:$B$5001,E$114,BD!$A$3:$A$5001,"&gt;="&amp;$C$7,BD!$A$3:$A$5001,"&lt;="&amp;$B145,BD!$K$3:$K$5001,"&lt;&gt;"))))</f>
        <v/>
      </c>
      <c r="F145" s="42" t="str">
        <f>IF(OR($B145="",$A145&gt;$B$9),"",IF(COUNTIFS(BD!$B$3:$B$5001,F$114,BD!$A$3:$A$5001,"&gt;="&amp;$C$7,BD!$A$3:$A$5001,"&lt;="&amp;$B145,BD!$K$3:$K$5001,"&lt;&gt;")=0,"",SUMIFS(BD!$K$3:$K$5001,BD!$B$3:$B$5001,F$114,BD!$A$3:$A$5001,_xlfn.MAXIFS(BD!$A$3:$A$5001,BD!$B$3:$B$5001,F$114,BD!$A$3:$A$5001,"&gt;="&amp;$C$7,BD!$A$3:$A$5001,"&lt;="&amp;$B145,BD!$K$3:$K$5001,"&lt;&gt;"))))</f>
        <v/>
      </c>
      <c r="G145" s="42" t="str">
        <f>IF(OR($B145="",$A145&gt;$B$9),"",IF(COUNTIFS(BD!$B$3:$B$5001,G$114,BD!$A$3:$A$5001,"&gt;="&amp;$C$7,BD!$A$3:$A$5001,"&lt;="&amp;$B145,BD!$K$3:$K$5001,"&lt;&gt;")=0,"",SUMIFS(BD!$K$3:$K$5001,BD!$B$3:$B$5001,G$114,BD!$A$3:$A$5001,_xlfn.MAXIFS(BD!$A$3:$A$5001,BD!$B$3:$B$5001,G$114,BD!$A$3:$A$5001,"&gt;="&amp;$C$7,BD!$A$3:$A$5001,"&lt;="&amp;$B145,BD!$K$3:$K$5001,"&lt;&gt;"))))</f>
        <v/>
      </c>
    </row>
    <row r="146">
      <c r="A146" s="43" t="inlineStr">
        <is>
          <t xml:space="preserve">Mês anterior (último)</t>
        </is>
      </c>
      <c r="C146" s="44" t="str">
        <f>IF(COUNTIFS(BD!$B$3:$B$5001,C$114,BD!$A$3:$A$5001,"&gt;="&amp;$C$8,BD!$A$3:$A$5001,"&lt;="&amp;$D$8,BD!$K$3:$K$5001,"&lt;&gt;")=0,"",SUMIFS(BD!$K$3:$K$5001,BD!$B$3:$B$5001,C$114,BD!$A$3:$A$5001,_xlfn.MAXIFS(BD!$A$3:$A$5001,BD!$B$3:$B$5001,C$114,BD!$A$3:$A$5001,"&gt;="&amp;$C$8,BD!$A$3:$A$5001,"&lt;="&amp;$D$8,BD!$K$3:$K$5001,"&lt;&gt;")))</f>
        <v/>
      </c>
      <c r="D146" s="44" t="str">
        <f>IF(COUNTIFS(BD!$B$3:$B$5001,D$114,BD!$A$3:$A$5001,"&gt;="&amp;$C$8,BD!$A$3:$A$5001,"&lt;="&amp;$D$8,BD!$K$3:$K$5001,"&lt;&gt;")=0,"",SUMIFS(BD!$K$3:$K$5001,BD!$B$3:$B$5001,D$114,BD!$A$3:$A$5001,_xlfn.MAXIFS(BD!$A$3:$A$5001,BD!$B$3:$B$5001,D$114,BD!$A$3:$A$5001,"&gt;="&amp;$C$8,BD!$A$3:$A$5001,"&lt;="&amp;$D$8,BD!$K$3:$K$5001,"&lt;&gt;")))</f>
        <v/>
      </c>
      <c r="E146" s="44" t="str">
        <f>IF(COUNTIFS(BD!$B$3:$B$5001,E$114,BD!$A$3:$A$5001,"&gt;="&amp;$C$8,BD!$A$3:$A$5001,"&lt;="&amp;$D$8,BD!$K$3:$K$5001,"&lt;&gt;")=0,"",SUMIFS(BD!$K$3:$K$5001,BD!$B$3:$B$5001,E$114,BD!$A$3:$A$5001,_xlfn.MAXIFS(BD!$A$3:$A$5001,BD!$B$3:$B$5001,E$114,BD!$A$3:$A$5001,"&gt;="&amp;$C$8,BD!$A$3:$A$5001,"&lt;="&amp;$D$8,BD!$K$3:$K$5001,"&lt;&gt;")))</f>
        <v/>
      </c>
      <c r="F146" s="44" t="str">
        <f>IF(COUNTIFS(BD!$B$3:$B$5001,F$114,BD!$A$3:$A$5001,"&gt;="&amp;$C$8,BD!$A$3:$A$5001,"&lt;="&amp;$D$8,BD!$K$3:$K$5001,"&lt;&gt;")=0,"",SUMIFS(BD!$K$3:$K$5001,BD!$B$3:$B$5001,F$114,BD!$A$3:$A$5001,_xlfn.MAXIFS(BD!$A$3:$A$5001,BD!$B$3:$B$5001,F$114,BD!$A$3:$A$5001,"&gt;="&amp;$C$8,BD!$A$3:$A$5001,"&lt;="&amp;$D$8,BD!$K$3:$K$5001,"&lt;&gt;")))</f>
        <v/>
      </c>
      <c r="G146" s="44" t="str">
        <f>IF(COUNTIFS(BD!$B$3:$B$5001,G$114,BD!$A$3:$A$5001,"&gt;="&amp;$C$8,BD!$A$3:$A$5001,"&lt;="&amp;$D$8,BD!$K$3:$K$5001,"&lt;&gt;")=0,"",SUMIFS(BD!$K$3:$K$5001,BD!$B$3:$B$5001,G$114,BD!$A$3:$A$5001,_xlfn.MAXIFS(BD!$A$3:$A$5001,BD!$B$3:$B$5001,G$114,BD!$A$3:$A$5001,"&gt;="&amp;$C$8,BD!$A$3:$A$5001,"&lt;="&amp;$D$8,BD!$K$3:$K$5001,"&lt;&gt;")))</f>
        <v/>
      </c>
    </row>
    <row r="147">
      <c r="A147" s="43" t="inlineStr">
        <is>
          <t xml:space="preserve">Depósito</t>
        </is>
      </c>
      <c r="C147" s="40" t="inlineStr">
        <is>
          <t xml:space="preserve">JSL</t>
        </is>
      </c>
      <c r="D147" s="40" t="inlineStr">
        <is>
          <t xml:space="preserve">JSL</t>
        </is>
      </c>
      <c r="E147" s="40" t="inlineStr">
        <is>
          <t xml:space="preserve">JSL</t>
        </is>
      </c>
      <c r="F147" s="40" t="inlineStr">
        <is>
          <t xml:space="preserve">JSL</t>
        </is>
      </c>
      <c r="G147" s="40" t="inlineStr">
        <is>
          <t xml:space="preserve">JSL</t>
        </is>
      </c>
    </row>
    <row r="149">
      <c r="A149" s="37" t="inlineStr">
        <is>
          <t xml:space="preserve">Posições Ocupadas</t>
        </is>
      </c>
      <c r="B149" s="37" t="inlineStr">
        <is>
          <t xml:space="preserve">Data</t>
        </is>
      </c>
      <c r="C149" s="37" t="inlineStr">
        <is>
          <t xml:space="preserve">Barry Callebaut</t>
        </is>
      </c>
      <c r="D149" s="37" t="inlineStr">
        <is>
          <t xml:space="preserve">GM</t>
        </is>
      </c>
      <c r="E149" s="37" t="inlineStr">
        <is>
          <t xml:space="preserve">Mondelez</t>
        </is>
      </c>
      <c r="F149" s="37" t="inlineStr">
        <is>
          <t xml:space="preserve">Nestlé</t>
        </is>
      </c>
      <c r="G149" s="37" t="inlineStr">
        <is>
          <t xml:space="preserve">PMB</t>
        </is>
      </c>
    </row>
    <row r="150">
      <c r="A150" s="40">
        <v>1</v>
      </c>
      <c r="B150" s="41">
        <f>$B$12</f>
        <v>46296</v>
      </c>
      <c r="C150" s="42" t="str">
        <f>IF(OR($B150="",$A150&gt;$B$9),"",IF(COUNTIFS(BD!$B$3:$B$5001,C$149,BD!$A$3:$A$5001,"&gt;="&amp;$C$7,BD!$A$3:$A$5001,"&lt;="&amp;$B150,BD!$M$3:$M$5001,"&lt;&gt;")=0,"",SUMIFS(BD!$M$3:$M$5001,BD!$B$3:$B$5001,C$149,BD!$A$3:$A$5001,_xlfn.MAXIFS(BD!$A$3:$A$5001,BD!$B$3:$B$5001,C$149,BD!$A$3:$A$5001,"&gt;="&amp;$C$7,BD!$A$3:$A$5001,"&lt;="&amp;$B150,BD!$M$3:$M$5001,"&lt;&gt;"))))</f>
        <v/>
      </c>
      <c r="D150" s="42" t="str">
        <f>IF(OR($B150="",$A150&gt;$B$9),"",IF(COUNTIFS(BD!$B$3:$B$5001,D$149,BD!$A$3:$A$5001,"&gt;="&amp;$C$7,BD!$A$3:$A$5001,"&lt;="&amp;$B150,BD!$M$3:$M$5001,"&lt;&gt;")=0,"",SUMIFS(BD!$M$3:$M$5001,BD!$B$3:$B$5001,D$149,BD!$A$3:$A$5001,_xlfn.MAXIFS(BD!$A$3:$A$5001,BD!$B$3:$B$5001,D$149,BD!$A$3:$A$5001,"&gt;="&amp;$C$7,BD!$A$3:$A$5001,"&lt;="&amp;$B150,BD!$M$3:$M$5001,"&lt;&gt;"))))</f>
        <v/>
      </c>
      <c r="E150" s="42" t="str">
        <f>IF(OR($B150="",$A150&gt;$B$9),"",IF(COUNTIFS(BD!$B$3:$B$5001,E$149,BD!$A$3:$A$5001,"&gt;="&amp;$C$7,BD!$A$3:$A$5001,"&lt;="&amp;$B150,BD!$M$3:$M$5001,"&lt;&gt;")=0,"",SUMIFS(BD!$M$3:$M$5001,BD!$B$3:$B$5001,E$149,BD!$A$3:$A$5001,_xlfn.MAXIFS(BD!$A$3:$A$5001,BD!$B$3:$B$5001,E$149,BD!$A$3:$A$5001,"&gt;="&amp;$C$7,BD!$A$3:$A$5001,"&lt;="&amp;$B150,BD!$M$3:$M$5001,"&lt;&gt;"))))</f>
        <v/>
      </c>
      <c r="F150" s="42" t="str">
        <f>IF(OR($B150="",$A150&gt;$B$9),"",IF(COUNTIFS(BD!$B$3:$B$5001,F$149,BD!$A$3:$A$5001,"&gt;="&amp;$C$7,BD!$A$3:$A$5001,"&lt;="&amp;$B150,BD!$M$3:$M$5001,"&lt;&gt;")=0,"",SUMIFS(BD!$M$3:$M$5001,BD!$B$3:$B$5001,F$149,BD!$A$3:$A$5001,_xlfn.MAXIFS(BD!$A$3:$A$5001,BD!$B$3:$B$5001,F$149,BD!$A$3:$A$5001,"&gt;="&amp;$C$7,BD!$A$3:$A$5001,"&lt;="&amp;$B150,BD!$M$3:$M$5001,"&lt;&gt;"))))</f>
        <v/>
      </c>
      <c r="G150" s="42" t="str">
        <f>IF(OR($B150="",$A150&gt;$B$9),"",IF(COUNTIFS(BD!$B$3:$B$5001,G$149,BD!$A$3:$A$5001,"&gt;="&amp;$C$7,BD!$A$3:$A$5001,"&lt;="&amp;$B150,BD!$M$3:$M$5001,"&lt;&gt;")=0,"",SUMIFS(BD!$M$3:$M$5001,BD!$B$3:$B$5001,G$149,BD!$A$3:$A$5001,_xlfn.MAXIFS(BD!$A$3:$A$5001,BD!$B$3:$B$5001,G$149,BD!$A$3:$A$5001,"&gt;="&amp;$C$7,BD!$A$3:$A$5001,"&lt;="&amp;$B150,BD!$M$3:$M$5001,"&lt;&gt;"))))</f>
        <v/>
      </c>
    </row>
    <row r="151">
      <c r="A151" s="40">
        <v>2</v>
      </c>
      <c r="B151" s="41">
        <f>$B$13</f>
        <v>46297</v>
      </c>
      <c r="C151" s="42" t="str">
        <f>IF(OR($B151="",$A151&gt;$B$9),"",IF(COUNTIFS(BD!$B$3:$B$5001,C$149,BD!$A$3:$A$5001,"&gt;="&amp;$C$7,BD!$A$3:$A$5001,"&lt;="&amp;$B151,BD!$M$3:$M$5001,"&lt;&gt;")=0,"",SUMIFS(BD!$M$3:$M$5001,BD!$B$3:$B$5001,C$149,BD!$A$3:$A$5001,_xlfn.MAXIFS(BD!$A$3:$A$5001,BD!$B$3:$B$5001,C$149,BD!$A$3:$A$5001,"&gt;="&amp;$C$7,BD!$A$3:$A$5001,"&lt;="&amp;$B151,BD!$M$3:$M$5001,"&lt;&gt;"))))</f>
        <v/>
      </c>
      <c r="D151" s="42" t="str">
        <f>IF(OR($B151="",$A151&gt;$B$9),"",IF(COUNTIFS(BD!$B$3:$B$5001,D$149,BD!$A$3:$A$5001,"&gt;="&amp;$C$7,BD!$A$3:$A$5001,"&lt;="&amp;$B151,BD!$M$3:$M$5001,"&lt;&gt;")=0,"",SUMIFS(BD!$M$3:$M$5001,BD!$B$3:$B$5001,D$149,BD!$A$3:$A$5001,_xlfn.MAXIFS(BD!$A$3:$A$5001,BD!$B$3:$B$5001,D$149,BD!$A$3:$A$5001,"&gt;="&amp;$C$7,BD!$A$3:$A$5001,"&lt;="&amp;$B151,BD!$M$3:$M$5001,"&lt;&gt;"))))</f>
        <v/>
      </c>
      <c r="E151" s="42" t="str">
        <f>IF(OR($B151="",$A151&gt;$B$9),"",IF(COUNTIFS(BD!$B$3:$B$5001,E$149,BD!$A$3:$A$5001,"&gt;="&amp;$C$7,BD!$A$3:$A$5001,"&lt;="&amp;$B151,BD!$M$3:$M$5001,"&lt;&gt;")=0,"",SUMIFS(BD!$M$3:$M$5001,BD!$B$3:$B$5001,E$149,BD!$A$3:$A$5001,_xlfn.MAXIFS(BD!$A$3:$A$5001,BD!$B$3:$B$5001,E$149,BD!$A$3:$A$5001,"&gt;="&amp;$C$7,BD!$A$3:$A$5001,"&lt;="&amp;$B151,BD!$M$3:$M$5001,"&lt;&gt;"))))</f>
        <v/>
      </c>
      <c r="F151" s="42" t="str">
        <f>IF(OR($B151="",$A151&gt;$B$9),"",IF(COUNTIFS(BD!$B$3:$B$5001,F$149,BD!$A$3:$A$5001,"&gt;="&amp;$C$7,BD!$A$3:$A$5001,"&lt;="&amp;$B151,BD!$M$3:$M$5001,"&lt;&gt;")=0,"",SUMIFS(BD!$M$3:$M$5001,BD!$B$3:$B$5001,F$149,BD!$A$3:$A$5001,_xlfn.MAXIFS(BD!$A$3:$A$5001,BD!$B$3:$B$5001,F$149,BD!$A$3:$A$5001,"&gt;="&amp;$C$7,BD!$A$3:$A$5001,"&lt;="&amp;$B151,BD!$M$3:$M$5001,"&lt;&gt;"))))</f>
        <v/>
      </c>
      <c r="G151" s="42" t="str">
        <f>IF(OR($B151="",$A151&gt;$B$9),"",IF(COUNTIFS(BD!$B$3:$B$5001,G$149,BD!$A$3:$A$5001,"&gt;="&amp;$C$7,BD!$A$3:$A$5001,"&lt;="&amp;$B151,BD!$M$3:$M$5001,"&lt;&gt;")=0,"",SUMIFS(BD!$M$3:$M$5001,BD!$B$3:$B$5001,G$149,BD!$A$3:$A$5001,_xlfn.MAXIFS(BD!$A$3:$A$5001,BD!$B$3:$B$5001,G$149,BD!$A$3:$A$5001,"&gt;="&amp;$C$7,BD!$A$3:$A$5001,"&lt;="&amp;$B151,BD!$M$3:$M$5001,"&lt;&gt;"))))</f>
        <v/>
      </c>
    </row>
    <row r="152">
      <c r="A152" s="40">
        <v>3</v>
      </c>
      <c r="B152" s="41">
        <f>$B$14</f>
        <v>46298</v>
      </c>
      <c r="C152" s="42" t="str">
        <f>IF(OR($B152="",$A152&gt;$B$9),"",IF(COUNTIFS(BD!$B$3:$B$5001,C$149,BD!$A$3:$A$5001,"&gt;="&amp;$C$7,BD!$A$3:$A$5001,"&lt;="&amp;$B152,BD!$M$3:$M$5001,"&lt;&gt;")=0,"",SUMIFS(BD!$M$3:$M$5001,BD!$B$3:$B$5001,C$149,BD!$A$3:$A$5001,_xlfn.MAXIFS(BD!$A$3:$A$5001,BD!$B$3:$B$5001,C$149,BD!$A$3:$A$5001,"&gt;="&amp;$C$7,BD!$A$3:$A$5001,"&lt;="&amp;$B152,BD!$M$3:$M$5001,"&lt;&gt;"))))</f>
        <v/>
      </c>
      <c r="D152" s="42" t="str">
        <f>IF(OR($B152="",$A152&gt;$B$9),"",IF(COUNTIFS(BD!$B$3:$B$5001,D$149,BD!$A$3:$A$5001,"&gt;="&amp;$C$7,BD!$A$3:$A$5001,"&lt;="&amp;$B152,BD!$M$3:$M$5001,"&lt;&gt;")=0,"",SUMIFS(BD!$M$3:$M$5001,BD!$B$3:$B$5001,D$149,BD!$A$3:$A$5001,_xlfn.MAXIFS(BD!$A$3:$A$5001,BD!$B$3:$B$5001,D$149,BD!$A$3:$A$5001,"&gt;="&amp;$C$7,BD!$A$3:$A$5001,"&lt;="&amp;$B152,BD!$M$3:$M$5001,"&lt;&gt;"))))</f>
        <v/>
      </c>
      <c r="E152" s="42" t="str">
        <f>IF(OR($B152="",$A152&gt;$B$9),"",IF(COUNTIFS(BD!$B$3:$B$5001,E$149,BD!$A$3:$A$5001,"&gt;="&amp;$C$7,BD!$A$3:$A$5001,"&lt;="&amp;$B152,BD!$M$3:$M$5001,"&lt;&gt;")=0,"",SUMIFS(BD!$M$3:$M$5001,BD!$B$3:$B$5001,E$149,BD!$A$3:$A$5001,_xlfn.MAXIFS(BD!$A$3:$A$5001,BD!$B$3:$B$5001,E$149,BD!$A$3:$A$5001,"&gt;="&amp;$C$7,BD!$A$3:$A$5001,"&lt;="&amp;$B152,BD!$M$3:$M$5001,"&lt;&gt;"))))</f>
        <v/>
      </c>
      <c r="F152" s="42" t="str">
        <f>IF(OR($B152="",$A152&gt;$B$9),"",IF(COUNTIFS(BD!$B$3:$B$5001,F$149,BD!$A$3:$A$5001,"&gt;="&amp;$C$7,BD!$A$3:$A$5001,"&lt;="&amp;$B152,BD!$M$3:$M$5001,"&lt;&gt;")=0,"",SUMIFS(BD!$M$3:$M$5001,BD!$B$3:$B$5001,F$149,BD!$A$3:$A$5001,_xlfn.MAXIFS(BD!$A$3:$A$5001,BD!$B$3:$B$5001,F$149,BD!$A$3:$A$5001,"&gt;="&amp;$C$7,BD!$A$3:$A$5001,"&lt;="&amp;$B152,BD!$M$3:$M$5001,"&lt;&gt;"))))</f>
        <v/>
      </c>
      <c r="G152" s="42" t="str">
        <f>IF(OR($B152="",$A152&gt;$B$9),"",IF(COUNTIFS(BD!$B$3:$B$5001,G$149,BD!$A$3:$A$5001,"&gt;="&amp;$C$7,BD!$A$3:$A$5001,"&lt;="&amp;$B152,BD!$M$3:$M$5001,"&lt;&gt;")=0,"",SUMIFS(BD!$M$3:$M$5001,BD!$B$3:$B$5001,G$149,BD!$A$3:$A$5001,_xlfn.MAXIFS(BD!$A$3:$A$5001,BD!$B$3:$B$5001,G$149,BD!$A$3:$A$5001,"&gt;="&amp;$C$7,BD!$A$3:$A$5001,"&lt;="&amp;$B152,BD!$M$3:$M$5001,"&lt;&gt;"))))</f>
        <v/>
      </c>
    </row>
    <row r="153">
      <c r="A153" s="40">
        <v>4</v>
      </c>
      <c r="B153" s="41">
        <f>$B$15</f>
        <v>46299</v>
      </c>
      <c r="C153" s="42" t="str">
        <f>IF(OR($B153="",$A153&gt;$B$9),"",IF(COUNTIFS(BD!$B$3:$B$5001,C$149,BD!$A$3:$A$5001,"&gt;="&amp;$C$7,BD!$A$3:$A$5001,"&lt;="&amp;$B153,BD!$M$3:$M$5001,"&lt;&gt;")=0,"",SUMIFS(BD!$M$3:$M$5001,BD!$B$3:$B$5001,C$149,BD!$A$3:$A$5001,_xlfn.MAXIFS(BD!$A$3:$A$5001,BD!$B$3:$B$5001,C$149,BD!$A$3:$A$5001,"&gt;="&amp;$C$7,BD!$A$3:$A$5001,"&lt;="&amp;$B153,BD!$M$3:$M$5001,"&lt;&gt;"))))</f>
        <v/>
      </c>
      <c r="D153" s="42" t="str">
        <f>IF(OR($B153="",$A153&gt;$B$9),"",IF(COUNTIFS(BD!$B$3:$B$5001,D$149,BD!$A$3:$A$5001,"&gt;="&amp;$C$7,BD!$A$3:$A$5001,"&lt;="&amp;$B153,BD!$M$3:$M$5001,"&lt;&gt;")=0,"",SUMIFS(BD!$M$3:$M$5001,BD!$B$3:$B$5001,D$149,BD!$A$3:$A$5001,_xlfn.MAXIFS(BD!$A$3:$A$5001,BD!$B$3:$B$5001,D$149,BD!$A$3:$A$5001,"&gt;="&amp;$C$7,BD!$A$3:$A$5001,"&lt;="&amp;$B153,BD!$M$3:$M$5001,"&lt;&gt;"))))</f>
        <v/>
      </c>
      <c r="E153" s="42" t="str">
        <f>IF(OR($B153="",$A153&gt;$B$9),"",IF(COUNTIFS(BD!$B$3:$B$5001,E$149,BD!$A$3:$A$5001,"&gt;="&amp;$C$7,BD!$A$3:$A$5001,"&lt;="&amp;$B153,BD!$M$3:$M$5001,"&lt;&gt;")=0,"",SUMIFS(BD!$M$3:$M$5001,BD!$B$3:$B$5001,E$149,BD!$A$3:$A$5001,_xlfn.MAXIFS(BD!$A$3:$A$5001,BD!$B$3:$B$5001,E$149,BD!$A$3:$A$5001,"&gt;="&amp;$C$7,BD!$A$3:$A$5001,"&lt;="&amp;$B153,BD!$M$3:$M$5001,"&lt;&gt;"))))</f>
        <v/>
      </c>
      <c r="F153" s="42" t="str">
        <f>IF(OR($B153="",$A153&gt;$B$9),"",IF(COUNTIFS(BD!$B$3:$B$5001,F$149,BD!$A$3:$A$5001,"&gt;="&amp;$C$7,BD!$A$3:$A$5001,"&lt;="&amp;$B153,BD!$M$3:$M$5001,"&lt;&gt;")=0,"",SUMIFS(BD!$M$3:$M$5001,BD!$B$3:$B$5001,F$149,BD!$A$3:$A$5001,_xlfn.MAXIFS(BD!$A$3:$A$5001,BD!$B$3:$B$5001,F$149,BD!$A$3:$A$5001,"&gt;="&amp;$C$7,BD!$A$3:$A$5001,"&lt;="&amp;$B153,BD!$M$3:$M$5001,"&lt;&gt;"))))</f>
        <v/>
      </c>
      <c r="G153" s="42" t="str">
        <f>IF(OR($B153="",$A153&gt;$B$9),"",IF(COUNTIFS(BD!$B$3:$B$5001,G$149,BD!$A$3:$A$5001,"&gt;="&amp;$C$7,BD!$A$3:$A$5001,"&lt;="&amp;$B153,BD!$M$3:$M$5001,"&lt;&gt;")=0,"",SUMIFS(BD!$M$3:$M$5001,BD!$B$3:$B$5001,G$149,BD!$A$3:$A$5001,_xlfn.MAXIFS(BD!$A$3:$A$5001,BD!$B$3:$B$5001,G$149,BD!$A$3:$A$5001,"&gt;="&amp;$C$7,BD!$A$3:$A$5001,"&lt;="&amp;$B153,BD!$M$3:$M$5001,"&lt;&gt;"))))</f>
        <v/>
      </c>
    </row>
    <row r="154">
      <c r="A154" s="40">
        <v>5</v>
      </c>
      <c r="B154" s="41">
        <f>$B$16</f>
        <v>46300</v>
      </c>
      <c r="C154" s="42" t="str">
        <f>IF(OR($B154="",$A154&gt;$B$9),"",IF(COUNTIFS(BD!$B$3:$B$5001,C$149,BD!$A$3:$A$5001,"&gt;="&amp;$C$7,BD!$A$3:$A$5001,"&lt;="&amp;$B154,BD!$M$3:$M$5001,"&lt;&gt;")=0,"",SUMIFS(BD!$M$3:$M$5001,BD!$B$3:$B$5001,C$149,BD!$A$3:$A$5001,_xlfn.MAXIFS(BD!$A$3:$A$5001,BD!$B$3:$B$5001,C$149,BD!$A$3:$A$5001,"&gt;="&amp;$C$7,BD!$A$3:$A$5001,"&lt;="&amp;$B154,BD!$M$3:$M$5001,"&lt;&gt;"))))</f>
        <v/>
      </c>
      <c r="D154" s="42" t="str">
        <f>IF(OR($B154="",$A154&gt;$B$9),"",IF(COUNTIFS(BD!$B$3:$B$5001,D$149,BD!$A$3:$A$5001,"&gt;="&amp;$C$7,BD!$A$3:$A$5001,"&lt;="&amp;$B154,BD!$M$3:$M$5001,"&lt;&gt;")=0,"",SUMIFS(BD!$M$3:$M$5001,BD!$B$3:$B$5001,D$149,BD!$A$3:$A$5001,_xlfn.MAXIFS(BD!$A$3:$A$5001,BD!$B$3:$B$5001,D$149,BD!$A$3:$A$5001,"&gt;="&amp;$C$7,BD!$A$3:$A$5001,"&lt;="&amp;$B154,BD!$M$3:$M$5001,"&lt;&gt;"))))</f>
        <v/>
      </c>
      <c r="E154" s="42" t="str">
        <f>IF(OR($B154="",$A154&gt;$B$9),"",IF(COUNTIFS(BD!$B$3:$B$5001,E$149,BD!$A$3:$A$5001,"&gt;="&amp;$C$7,BD!$A$3:$A$5001,"&lt;="&amp;$B154,BD!$M$3:$M$5001,"&lt;&gt;")=0,"",SUMIFS(BD!$M$3:$M$5001,BD!$B$3:$B$5001,E$149,BD!$A$3:$A$5001,_xlfn.MAXIFS(BD!$A$3:$A$5001,BD!$B$3:$B$5001,E$149,BD!$A$3:$A$5001,"&gt;="&amp;$C$7,BD!$A$3:$A$5001,"&lt;="&amp;$B154,BD!$M$3:$M$5001,"&lt;&gt;"))))</f>
        <v/>
      </c>
      <c r="F154" s="42" t="str">
        <f>IF(OR($B154="",$A154&gt;$B$9),"",IF(COUNTIFS(BD!$B$3:$B$5001,F$149,BD!$A$3:$A$5001,"&gt;="&amp;$C$7,BD!$A$3:$A$5001,"&lt;="&amp;$B154,BD!$M$3:$M$5001,"&lt;&gt;")=0,"",SUMIFS(BD!$M$3:$M$5001,BD!$B$3:$B$5001,F$149,BD!$A$3:$A$5001,_xlfn.MAXIFS(BD!$A$3:$A$5001,BD!$B$3:$B$5001,F$149,BD!$A$3:$A$5001,"&gt;="&amp;$C$7,BD!$A$3:$A$5001,"&lt;="&amp;$B154,BD!$M$3:$M$5001,"&lt;&gt;"))))</f>
        <v/>
      </c>
      <c r="G154" s="42" t="str">
        <f>IF(OR($B154="",$A154&gt;$B$9),"",IF(COUNTIFS(BD!$B$3:$B$5001,G$149,BD!$A$3:$A$5001,"&gt;="&amp;$C$7,BD!$A$3:$A$5001,"&lt;="&amp;$B154,BD!$M$3:$M$5001,"&lt;&gt;")=0,"",SUMIFS(BD!$M$3:$M$5001,BD!$B$3:$B$5001,G$149,BD!$A$3:$A$5001,_xlfn.MAXIFS(BD!$A$3:$A$5001,BD!$B$3:$B$5001,G$149,BD!$A$3:$A$5001,"&gt;="&amp;$C$7,BD!$A$3:$A$5001,"&lt;="&amp;$B154,BD!$M$3:$M$5001,"&lt;&gt;"))))</f>
        <v/>
      </c>
    </row>
    <row r="155">
      <c r="A155" s="40">
        <v>6</v>
      </c>
      <c r="B155" s="41">
        <f>$B$17</f>
        <v>46301</v>
      </c>
      <c r="C155" s="42" t="str">
        <f>IF(OR($B155="",$A155&gt;$B$9),"",IF(COUNTIFS(BD!$B$3:$B$5001,C$149,BD!$A$3:$A$5001,"&gt;="&amp;$C$7,BD!$A$3:$A$5001,"&lt;="&amp;$B155,BD!$M$3:$M$5001,"&lt;&gt;")=0,"",SUMIFS(BD!$M$3:$M$5001,BD!$B$3:$B$5001,C$149,BD!$A$3:$A$5001,_xlfn.MAXIFS(BD!$A$3:$A$5001,BD!$B$3:$B$5001,C$149,BD!$A$3:$A$5001,"&gt;="&amp;$C$7,BD!$A$3:$A$5001,"&lt;="&amp;$B155,BD!$M$3:$M$5001,"&lt;&gt;"))))</f>
        <v/>
      </c>
      <c r="D155" s="42" t="str">
        <f>IF(OR($B155="",$A155&gt;$B$9),"",IF(COUNTIFS(BD!$B$3:$B$5001,D$149,BD!$A$3:$A$5001,"&gt;="&amp;$C$7,BD!$A$3:$A$5001,"&lt;="&amp;$B155,BD!$M$3:$M$5001,"&lt;&gt;")=0,"",SUMIFS(BD!$M$3:$M$5001,BD!$B$3:$B$5001,D$149,BD!$A$3:$A$5001,_xlfn.MAXIFS(BD!$A$3:$A$5001,BD!$B$3:$B$5001,D$149,BD!$A$3:$A$5001,"&gt;="&amp;$C$7,BD!$A$3:$A$5001,"&lt;="&amp;$B155,BD!$M$3:$M$5001,"&lt;&gt;"))))</f>
        <v/>
      </c>
      <c r="E155" s="42" t="str">
        <f>IF(OR($B155="",$A155&gt;$B$9),"",IF(COUNTIFS(BD!$B$3:$B$5001,E$149,BD!$A$3:$A$5001,"&gt;="&amp;$C$7,BD!$A$3:$A$5001,"&lt;="&amp;$B155,BD!$M$3:$M$5001,"&lt;&gt;")=0,"",SUMIFS(BD!$M$3:$M$5001,BD!$B$3:$B$5001,E$149,BD!$A$3:$A$5001,_xlfn.MAXIFS(BD!$A$3:$A$5001,BD!$B$3:$B$5001,E$149,BD!$A$3:$A$5001,"&gt;="&amp;$C$7,BD!$A$3:$A$5001,"&lt;="&amp;$B155,BD!$M$3:$M$5001,"&lt;&gt;"))))</f>
        <v/>
      </c>
      <c r="F155" s="42" t="str">
        <f>IF(OR($B155="",$A155&gt;$B$9),"",IF(COUNTIFS(BD!$B$3:$B$5001,F$149,BD!$A$3:$A$5001,"&gt;="&amp;$C$7,BD!$A$3:$A$5001,"&lt;="&amp;$B155,BD!$M$3:$M$5001,"&lt;&gt;")=0,"",SUMIFS(BD!$M$3:$M$5001,BD!$B$3:$B$5001,F$149,BD!$A$3:$A$5001,_xlfn.MAXIFS(BD!$A$3:$A$5001,BD!$B$3:$B$5001,F$149,BD!$A$3:$A$5001,"&gt;="&amp;$C$7,BD!$A$3:$A$5001,"&lt;="&amp;$B155,BD!$M$3:$M$5001,"&lt;&gt;"))))</f>
        <v/>
      </c>
      <c r="G155" s="42" t="str">
        <f>IF(OR($B155="",$A155&gt;$B$9),"",IF(COUNTIFS(BD!$B$3:$B$5001,G$149,BD!$A$3:$A$5001,"&gt;="&amp;$C$7,BD!$A$3:$A$5001,"&lt;="&amp;$B155,BD!$M$3:$M$5001,"&lt;&gt;")=0,"",SUMIFS(BD!$M$3:$M$5001,BD!$B$3:$B$5001,G$149,BD!$A$3:$A$5001,_xlfn.MAXIFS(BD!$A$3:$A$5001,BD!$B$3:$B$5001,G$149,BD!$A$3:$A$5001,"&gt;="&amp;$C$7,BD!$A$3:$A$5001,"&lt;="&amp;$B155,BD!$M$3:$M$5001,"&lt;&gt;"))))</f>
        <v/>
      </c>
    </row>
    <row r="156">
      <c r="A156" s="40">
        <v>7</v>
      </c>
      <c r="B156" s="41">
        <f>$B$18</f>
        <v>46302</v>
      </c>
      <c r="C156" s="42" t="str">
        <f>IF(OR($B156="",$A156&gt;$B$9),"",IF(COUNTIFS(BD!$B$3:$B$5001,C$149,BD!$A$3:$A$5001,"&gt;="&amp;$C$7,BD!$A$3:$A$5001,"&lt;="&amp;$B156,BD!$M$3:$M$5001,"&lt;&gt;")=0,"",SUMIFS(BD!$M$3:$M$5001,BD!$B$3:$B$5001,C$149,BD!$A$3:$A$5001,_xlfn.MAXIFS(BD!$A$3:$A$5001,BD!$B$3:$B$5001,C$149,BD!$A$3:$A$5001,"&gt;="&amp;$C$7,BD!$A$3:$A$5001,"&lt;="&amp;$B156,BD!$M$3:$M$5001,"&lt;&gt;"))))</f>
        <v/>
      </c>
      <c r="D156" s="42" t="str">
        <f>IF(OR($B156="",$A156&gt;$B$9),"",IF(COUNTIFS(BD!$B$3:$B$5001,D$149,BD!$A$3:$A$5001,"&gt;="&amp;$C$7,BD!$A$3:$A$5001,"&lt;="&amp;$B156,BD!$M$3:$M$5001,"&lt;&gt;")=0,"",SUMIFS(BD!$M$3:$M$5001,BD!$B$3:$B$5001,D$149,BD!$A$3:$A$5001,_xlfn.MAXIFS(BD!$A$3:$A$5001,BD!$B$3:$B$5001,D$149,BD!$A$3:$A$5001,"&gt;="&amp;$C$7,BD!$A$3:$A$5001,"&lt;="&amp;$B156,BD!$M$3:$M$5001,"&lt;&gt;"))))</f>
        <v/>
      </c>
      <c r="E156" s="42" t="str">
        <f>IF(OR($B156="",$A156&gt;$B$9),"",IF(COUNTIFS(BD!$B$3:$B$5001,E$149,BD!$A$3:$A$5001,"&gt;="&amp;$C$7,BD!$A$3:$A$5001,"&lt;="&amp;$B156,BD!$M$3:$M$5001,"&lt;&gt;")=0,"",SUMIFS(BD!$M$3:$M$5001,BD!$B$3:$B$5001,E$149,BD!$A$3:$A$5001,_xlfn.MAXIFS(BD!$A$3:$A$5001,BD!$B$3:$B$5001,E$149,BD!$A$3:$A$5001,"&gt;="&amp;$C$7,BD!$A$3:$A$5001,"&lt;="&amp;$B156,BD!$M$3:$M$5001,"&lt;&gt;"))))</f>
        <v/>
      </c>
      <c r="F156" s="42" t="str">
        <f>IF(OR($B156="",$A156&gt;$B$9),"",IF(COUNTIFS(BD!$B$3:$B$5001,F$149,BD!$A$3:$A$5001,"&gt;="&amp;$C$7,BD!$A$3:$A$5001,"&lt;="&amp;$B156,BD!$M$3:$M$5001,"&lt;&gt;")=0,"",SUMIFS(BD!$M$3:$M$5001,BD!$B$3:$B$5001,F$149,BD!$A$3:$A$5001,_xlfn.MAXIFS(BD!$A$3:$A$5001,BD!$B$3:$B$5001,F$149,BD!$A$3:$A$5001,"&gt;="&amp;$C$7,BD!$A$3:$A$5001,"&lt;="&amp;$B156,BD!$M$3:$M$5001,"&lt;&gt;"))))</f>
        <v/>
      </c>
      <c r="G156" s="42" t="str">
        <f>IF(OR($B156="",$A156&gt;$B$9),"",IF(COUNTIFS(BD!$B$3:$B$5001,G$149,BD!$A$3:$A$5001,"&gt;="&amp;$C$7,BD!$A$3:$A$5001,"&lt;="&amp;$B156,BD!$M$3:$M$5001,"&lt;&gt;")=0,"",SUMIFS(BD!$M$3:$M$5001,BD!$B$3:$B$5001,G$149,BD!$A$3:$A$5001,_xlfn.MAXIFS(BD!$A$3:$A$5001,BD!$B$3:$B$5001,G$149,BD!$A$3:$A$5001,"&gt;="&amp;$C$7,BD!$A$3:$A$5001,"&lt;="&amp;$B156,BD!$M$3:$M$5001,"&lt;&gt;"))))</f>
        <v/>
      </c>
    </row>
    <row r="157">
      <c r="A157" s="40">
        <v>8</v>
      </c>
      <c r="B157" s="41">
        <f>$B$19</f>
        <v>46303</v>
      </c>
      <c r="C157" s="42" t="str">
        <f>IF(OR($B157="",$A157&gt;$B$9),"",IF(COUNTIFS(BD!$B$3:$B$5001,C$149,BD!$A$3:$A$5001,"&gt;="&amp;$C$7,BD!$A$3:$A$5001,"&lt;="&amp;$B157,BD!$M$3:$M$5001,"&lt;&gt;")=0,"",SUMIFS(BD!$M$3:$M$5001,BD!$B$3:$B$5001,C$149,BD!$A$3:$A$5001,_xlfn.MAXIFS(BD!$A$3:$A$5001,BD!$B$3:$B$5001,C$149,BD!$A$3:$A$5001,"&gt;="&amp;$C$7,BD!$A$3:$A$5001,"&lt;="&amp;$B157,BD!$M$3:$M$5001,"&lt;&gt;"))))</f>
        <v/>
      </c>
      <c r="D157" s="42" t="str">
        <f>IF(OR($B157="",$A157&gt;$B$9),"",IF(COUNTIFS(BD!$B$3:$B$5001,D$149,BD!$A$3:$A$5001,"&gt;="&amp;$C$7,BD!$A$3:$A$5001,"&lt;="&amp;$B157,BD!$M$3:$M$5001,"&lt;&gt;")=0,"",SUMIFS(BD!$M$3:$M$5001,BD!$B$3:$B$5001,D$149,BD!$A$3:$A$5001,_xlfn.MAXIFS(BD!$A$3:$A$5001,BD!$B$3:$B$5001,D$149,BD!$A$3:$A$5001,"&gt;="&amp;$C$7,BD!$A$3:$A$5001,"&lt;="&amp;$B157,BD!$M$3:$M$5001,"&lt;&gt;"))))</f>
        <v/>
      </c>
      <c r="E157" s="42" t="str">
        <f>IF(OR($B157="",$A157&gt;$B$9),"",IF(COUNTIFS(BD!$B$3:$B$5001,E$149,BD!$A$3:$A$5001,"&gt;="&amp;$C$7,BD!$A$3:$A$5001,"&lt;="&amp;$B157,BD!$M$3:$M$5001,"&lt;&gt;")=0,"",SUMIFS(BD!$M$3:$M$5001,BD!$B$3:$B$5001,E$149,BD!$A$3:$A$5001,_xlfn.MAXIFS(BD!$A$3:$A$5001,BD!$B$3:$B$5001,E$149,BD!$A$3:$A$5001,"&gt;="&amp;$C$7,BD!$A$3:$A$5001,"&lt;="&amp;$B157,BD!$M$3:$M$5001,"&lt;&gt;"))))</f>
        <v/>
      </c>
      <c r="F157" s="42" t="str">
        <f>IF(OR($B157="",$A157&gt;$B$9),"",IF(COUNTIFS(BD!$B$3:$B$5001,F$149,BD!$A$3:$A$5001,"&gt;="&amp;$C$7,BD!$A$3:$A$5001,"&lt;="&amp;$B157,BD!$M$3:$M$5001,"&lt;&gt;")=0,"",SUMIFS(BD!$M$3:$M$5001,BD!$B$3:$B$5001,F$149,BD!$A$3:$A$5001,_xlfn.MAXIFS(BD!$A$3:$A$5001,BD!$B$3:$B$5001,F$149,BD!$A$3:$A$5001,"&gt;="&amp;$C$7,BD!$A$3:$A$5001,"&lt;="&amp;$B157,BD!$M$3:$M$5001,"&lt;&gt;"))))</f>
        <v/>
      </c>
      <c r="G157" s="42" t="str">
        <f>IF(OR($B157="",$A157&gt;$B$9),"",IF(COUNTIFS(BD!$B$3:$B$5001,G$149,BD!$A$3:$A$5001,"&gt;="&amp;$C$7,BD!$A$3:$A$5001,"&lt;="&amp;$B157,BD!$M$3:$M$5001,"&lt;&gt;")=0,"",SUMIFS(BD!$M$3:$M$5001,BD!$B$3:$B$5001,G$149,BD!$A$3:$A$5001,_xlfn.MAXIFS(BD!$A$3:$A$5001,BD!$B$3:$B$5001,G$149,BD!$A$3:$A$5001,"&gt;="&amp;$C$7,BD!$A$3:$A$5001,"&lt;="&amp;$B157,BD!$M$3:$M$5001,"&lt;&gt;"))))</f>
        <v/>
      </c>
    </row>
    <row r="158">
      <c r="A158" s="40">
        <v>9</v>
      </c>
      <c r="B158" s="41">
        <f>$B$20</f>
        <v>46304</v>
      </c>
      <c r="C158" s="42" t="str">
        <f>IF(OR($B158="",$A158&gt;$B$9),"",IF(COUNTIFS(BD!$B$3:$B$5001,C$149,BD!$A$3:$A$5001,"&gt;="&amp;$C$7,BD!$A$3:$A$5001,"&lt;="&amp;$B158,BD!$M$3:$M$5001,"&lt;&gt;")=0,"",SUMIFS(BD!$M$3:$M$5001,BD!$B$3:$B$5001,C$149,BD!$A$3:$A$5001,_xlfn.MAXIFS(BD!$A$3:$A$5001,BD!$B$3:$B$5001,C$149,BD!$A$3:$A$5001,"&gt;="&amp;$C$7,BD!$A$3:$A$5001,"&lt;="&amp;$B158,BD!$M$3:$M$5001,"&lt;&gt;"))))</f>
        <v/>
      </c>
      <c r="D158" s="42" t="str">
        <f>IF(OR($B158="",$A158&gt;$B$9),"",IF(COUNTIFS(BD!$B$3:$B$5001,D$149,BD!$A$3:$A$5001,"&gt;="&amp;$C$7,BD!$A$3:$A$5001,"&lt;="&amp;$B158,BD!$M$3:$M$5001,"&lt;&gt;")=0,"",SUMIFS(BD!$M$3:$M$5001,BD!$B$3:$B$5001,D$149,BD!$A$3:$A$5001,_xlfn.MAXIFS(BD!$A$3:$A$5001,BD!$B$3:$B$5001,D$149,BD!$A$3:$A$5001,"&gt;="&amp;$C$7,BD!$A$3:$A$5001,"&lt;="&amp;$B158,BD!$M$3:$M$5001,"&lt;&gt;"))))</f>
        <v/>
      </c>
      <c r="E158" s="42" t="str">
        <f>IF(OR($B158="",$A158&gt;$B$9),"",IF(COUNTIFS(BD!$B$3:$B$5001,E$149,BD!$A$3:$A$5001,"&gt;="&amp;$C$7,BD!$A$3:$A$5001,"&lt;="&amp;$B158,BD!$M$3:$M$5001,"&lt;&gt;")=0,"",SUMIFS(BD!$M$3:$M$5001,BD!$B$3:$B$5001,E$149,BD!$A$3:$A$5001,_xlfn.MAXIFS(BD!$A$3:$A$5001,BD!$B$3:$B$5001,E$149,BD!$A$3:$A$5001,"&gt;="&amp;$C$7,BD!$A$3:$A$5001,"&lt;="&amp;$B158,BD!$M$3:$M$5001,"&lt;&gt;"))))</f>
        <v/>
      </c>
      <c r="F158" s="42" t="str">
        <f>IF(OR($B158="",$A158&gt;$B$9),"",IF(COUNTIFS(BD!$B$3:$B$5001,F$149,BD!$A$3:$A$5001,"&gt;="&amp;$C$7,BD!$A$3:$A$5001,"&lt;="&amp;$B158,BD!$M$3:$M$5001,"&lt;&gt;")=0,"",SUMIFS(BD!$M$3:$M$5001,BD!$B$3:$B$5001,F$149,BD!$A$3:$A$5001,_xlfn.MAXIFS(BD!$A$3:$A$5001,BD!$B$3:$B$5001,F$149,BD!$A$3:$A$5001,"&gt;="&amp;$C$7,BD!$A$3:$A$5001,"&lt;="&amp;$B158,BD!$M$3:$M$5001,"&lt;&gt;"))))</f>
        <v/>
      </c>
      <c r="G158" s="42" t="str">
        <f>IF(OR($B158="",$A158&gt;$B$9),"",IF(COUNTIFS(BD!$B$3:$B$5001,G$149,BD!$A$3:$A$5001,"&gt;="&amp;$C$7,BD!$A$3:$A$5001,"&lt;="&amp;$B158,BD!$M$3:$M$5001,"&lt;&gt;")=0,"",SUMIFS(BD!$M$3:$M$5001,BD!$B$3:$B$5001,G$149,BD!$A$3:$A$5001,_xlfn.MAXIFS(BD!$A$3:$A$5001,BD!$B$3:$B$5001,G$149,BD!$A$3:$A$5001,"&gt;="&amp;$C$7,BD!$A$3:$A$5001,"&lt;="&amp;$B158,BD!$M$3:$M$5001,"&lt;&gt;"))))</f>
        <v/>
      </c>
    </row>
    <row r="159">
      <c r="A159" s="40">
        <v>10</v>
      </c>
      <c r="B159" s="41">
        <f>$B$21</f>
        <v>46305</v>
      </c>
      <c r="C159" s="42" t="str">
        <f>IF(OR($B159="",$A159&gt;$B$9),"",IF(COUNTIFS(BD!$B$3:$B$5001,C$149,BD!$A$3:$A$5001,"&gt;="&amp;$C$7,BD!$A$3:$A$5001,"&lt;="&amp;$B159,BD!$M$3:$M$5001,"&lt;&gt;")=0,"",SUMIFS(BD!$M$3:$M$5001,BD!$B$3:$B$5001,C$149,BD!$A$3:$A$5001,_xlfn.MAXIFS(BD!$A$3:$A$5001,BD!$B$3:$B$5001,C$149,BD!$A$3:$A$5001,"&gt;="&amp;$C$7,BD!$A$3:$A$5001,"&lt;="&amp;$B159,BD!$M$3:$M$5001,"&lt;&gt;"))))</f>
        <v/>
      </c>
      <c r="D159" s="42" t="str">
        <f>IF(OR($B159="",$A159&gt;$B$9),"",IF(COUNTIFS(BD!$B$3:$B$5001,D$149,BD!$A$3:$A$5001,"&gt;="&amp;$C$7,BD!$A$3:$A$5001,"&lt;="&amp;$B159,BD!$M$3:$M$5001,"&lt;&gt;")=0,"",SUMIFS(BD!$M$3:$M$5001,BD!$B$3:$B$5001,D$149,BD!$A$3:$A$5001,_xlfn.MAXIFS(BD!$A$3:$A$5001,BD!$B$3:$B$5001,D$149,BD!$A$3:$A$5001,"&gt;="&amp;$C$7,BD!$A$3:$A$5001,"&lt;="&amp;$B159,BD!$M$3:$M$5001,"&lt;&gt;"))))</f>
        <v/>
      </c>
      <c r="E159" s="42" t="str">
        <f>IF(OR($B159="",$A159&gt;$B$9),"",IF(COUNTIFS(BD!$B$3:$B$5001,E$149,BD!$A$3:$A$5001,"&gt;="&amp;$C$7,BD!$A$3:$A$5001,"&lt;="&amp;$B159,BD!$M$3:$M$5001,"&lt;&gt;")=0,"",SUMIFS(BD!$M$3:$M$5001,BD!$B$3:$B$5001,E$149,BD!$A$3:$A$5001,_xlfn.MAXIFS(BD!$A$3:$A$5001,BD!$B$3:$B$5001,E$149,BD!$A$3:$A$5001,"&gt;="&amp;$C$7,BD!$A$3:$A$5001,"&lt;="&amp;$B159,BD!$M$3:$M$5001,"&lt;&gt;"))))</f>
        <v/>
      </c>
      <c r="F159" s="42" t="str">
        <f>IF(OR($B159="",$A159&gt;$B$9),"",IF(COUNTIFS(BD!$B$3:$B$5001,F$149,BD!$A$3:$A$5001,"&gt;="&amp;$C$7,BD!$A$3:$A$5001,"&lt;="&amp;$B159,BD!$M$3:$M$5001,"&lt;&gt;")=0,"",SUMIFS(BD!$M$3:$M$5001,BD!$B$3:$B$5001,F$149,BD!$A$3:$A$5001,_xlfn.MAXIFS(BD!$A$3:$A$5001,BD!$B$3:$B$5001,F$149,BD!$A$3:$A$5001,"&gt;="&amp;$C$7,BD!$A$3:$A$5001,"&lt;="&amp;$B159,BD!$M$3:$M$5001,"&lt;&gt;"))))</f>
        <v/>
      </c>
      <c r="G159" s="42" t="str">
        <f>IF(OR($B159="",$A159&gt;$B$9),"",IF(COUNTIFS(BD!$B$3:$B$5001,G$149,BD!$A$3:$A$5001,"&gt;="&amp;$C$7,BD!$A$3:$A$5001,"&lt;="&amp;$B159,BD!$M$3:$M$5001,"&lt;&gt;")=0,"",SUMIFS(BD!$M$3:$M$5001,BD!$B$3:$B$5001,G$149,BD!$A$3:$A$5001,_xlfn.MAXIFS(BD!$A$3:$A$5001,BD!$B$3:$B$5001,G$149,BD!$A$3:$A$5001,"&gt;="&amp;$C$7,BD!$A$3:$A$5001,"&lt;="&amp;$B159,BD!$M$3:$M$5001,"&lt;&gt;"))))</f>
        <v/>
      </c>
    </row>
    <row r="160">
      <c r="A160" s="40">
        <v>11</v>
      </c>
      <c r="B160" s="41">
        <f>$B$22</f>
        <v>46306</v>
      </c>
      <c r="C160" s="42" t="str">
        <f>IF(OR($B160="",$A160&gt;$B$9),"",IF(COUNTIFS(BD!$B$3:$B$5001,C$149,BD!$A$3:$A$5001,"&gt;="&amp;$C$7,BD!$A$3:$A$5001,"&lt;="&amp;$B160,BD!$M$3:$M$5001,"&lt;&gt;")=0,"",SUMIFS(BD!$M$3:$M$5001,BD!$B$3:$B$5001,C$149,BD!$A$3:$A$5001,_xlfn.MAXIFS(BD!$A$3:$A$5001,BD!$B$3:$B$5001,C$149,BD!$A$3:$A$5001,"&gt;="&amp;$C$7,BD!$A$3:$A$5001,"&lt;="&amp;$B160,BD!$M$3:$M$5001,"&lt;&gt;"))))</f>
        <v/>
      </c>
      <c r="D160" s="42" t="str">
        <f>IF(OR($B160="",$A160&gt;$B$9),"",IF(COUNTIFS(BD!$B$3:$B$5001,D$149,BD!$A$3:$A$5001,"&gt;="&amp;$C$7,BD!$A$3:$A$5001,"&lt;="&amp;$B160,BD!$M$3:$M$5001,"&lt;&gt;")=0,"",SUMIFS(BD!$M$3:$M$5001,BD!$B$3:$B$5001,D$149,BD!$A$3:$A$5001,_xlfn.MAXIFS(BD!$A$3:$A$5001,BD!$B$3:$B$5001,D$149,BD!$A$3:$A$5001,"&gt;="&amp;$C$7,BD!$A$3:$A$5001,"&lt;="&amp;$B160,BD!$M$3:$M$5001,"&lt;&gt;"))))</f>
        <v/>
      </c>
      <c r="E160" s="42" t="str">
        <f>IF(OR($B160="",$A160&gt;$B$9),"",IF(COUNTIFS(BD!$B$3:$B$5001,E$149,BD!$A$3:$A$5001,"&gt;="&amp;$C$7,BD!$A$3:$A$5001,"&lt;="&amp;$B160,BD!$M$3:$M$5001,"&lt;&gt;")=0,"",SUMIFS(BD!$M$3:$M$5001,BD!$B$3:$B$5001,E$149,BD!$A$3:$A$5001,_xlfn.MAXIFS(BD!$A$3:$A$5001,BD!$B$3:$B$5001,E$149,BD!$A$3:$A$5001,"&gt;="&amp;$C$7,BD!$A$3:$A$5001,"&lt;="&amp;$B160,BD!$M$3:$M$5001,"&lt;&gt;"))))</f>
        <v/>
      </c>
      <c r="F160" s="42" t="str">
        <f>IF(OR($B160="",$A160&gt;$B$9),"",IF(COUNTIFS(BD!$B$3:$B$5001,F$149,BD!$A$3:$A$5001,"&gt;="&amp;$C$7,BD!$A$3:$A$5001,"&lt;="&amp;$B160,BD!$M$3:$M$5001,"&lt;&gt;")=0,"",SUMIFS(BD!$M$3:$M$5001,BD!$B$3:$B$5001,F$149,BD!$A$3:$A$5001,_xlfn.MAXIFS(BD!$A$3:$A$5001,BD!$B$3:$B$5001,F$149,BD!$A$3:$A$5001,"&gt;="&amp;$C$7,BD!$A$3:$A$5001,"&lt;="&amp;$B160,BD!$M$3:$M$5001,"&lt;&gt;"))))</f>
        <v/>
      </c>
      <c r="G160" s="42" t="str">
        <f>IF(OR($B160="",$A160&gt;$B$9),"",IF(COUNTIFS(BD!$B$3:$B$5001,G$149,BD!$A$3:$A$5001,"&gt;="&amp;$C$7,BD!$A$3:$A$5001,"&lt;="&amp;$B160,BD!$M$3:$M$5001,"&lt;&gt;")=0,"",SUMIFS(BD!$M$3:$M$5001,BD!$B$3:$B$5001,G$149,BD!$A$3:$A$5001,_xlfn.MAXIFS(BD!$A$3:$A$5001,BD!$B$3:$B$5001,G$149,BD!$A$3:$A$5001,"&gt;="&amp;$C$7,BD!$A$3:$A$5001,"&lt;="&amp;$B160,BD!$M$3:$M$5001,"&lt;&gt;"))))</f>
        <v/>
      </c>
    </row>
    <row r="161">
      <c r="A161" s="40">
        <v>12</v>
      </c>
      <c r="B161" s="41">
        <f>$B$23</f>
        <v>46307</v>
      </c>
      <c r="C161" s="42" t="str">
        <f>IF(OR($B161="",$A161&gt;$B$9),"",IF(COUNTIFS(BD!$B$3:$B$5001,C$149,BD!$A$3:$A$5001,"&gt;="&amp;$C$7,BD!$A$3:$A$5001,"&lt;="&amp;$B161,BD!$M$3:$M$5001,"&lt;&gt;")=0,"",SUMIFS(BD!$M$3:$M$5001,BD!$B$3:$B$5001,C$149,BD!$A$3:$A$5001,_xlfn.MAXIFS(BD!$A$3:$A$5001,BD!$B$3:$B$5001,C$149,BD!$A$3:$A$5001,"&gt;="&amp;$C$7,BD!$A$3:$A$5001,"&lt;="&amp;$B161,BD!$M$3:$M$5001,"&lt;&gt;"))))</f>
        <v/>
      </c>
      <c r="D161" s="42" t="str">
        <f>IF(OR($B161="",$A161&gt;$B$9),"",IF(COUNTIFS(BD!$B$3:$B$5001,D$149,BD!$A$3:$A$5001,"&gt;="&amp;$C$7,BD!$A$3:$A$5001,"&lt;="&amp;$B161,BD!$M$3:$M$5001,"&lt;&gt;")=0,"",SUMIFS(BD!$M$3:$M$5001,BD!$B$3:$B$5001,D$149,BD!$A$3:$A$5001,_xlfn.MAXIFS(BD!$A$3:$A$5001,BD!$B$3:$B$5001,D$149,BD!$A$3:$A$5001,"&gt;="&amp;$C$7,BD!$A$3:$A$5001,"&lt;="&amp;$B161,BD!$M$3:$M$5001,"&lt;&gt;"))))</f>
        <v/>
      </c>
      <c r="E161" s="42" t="str">
        <f>IF(OR($B161="",$A161&gt;$B$9),"",IF(COUNTIFS(BD!$B$3:$B$5001,E$149,BD!$A$3:$A$5001,"&gt;="&amp;$C$7,BD!$A$3:$A$5001,"&lt;="&amp;$B161,BD!$M$3:$M$5001,"&lt;&gt;")=0,"",SUMIFS(BD!$M$3:$M$5001,BD!$B$3:$B$5001,E$149,BD!$A$3:$A$5001,_xlfn.MAXIFS(BD!$A$3:$A$5001,BD!$B$3:$B$5001,E$149,BD!$A$3:$A$5001,"&gt;="&amp;$C$7,BD!$A$3:$A$5001,"&lt;="&amp;$B161,BD!$M$3:$M$5001,"&lt;&gt;"))))</f>
        <v/>
      </c>
      <c r="F161" s="42" t="str">
        <f>IF(OR($B161="",$A161&gt;$B$9),"",IF(COUNTIFS(BD!$B$3:$B$5001,F$149,BD!$A$3:$A$5001,"&gt;="&amp;$C$7,BD!$A$3:$A$5001,"&lt;="&amp;$B161,BD!$M$3:$M$5001,"&lt;&gt;")=0,"",SUMIFS(BD!$M$3:$M$5001,BD!$B$3:$B$5001,F$149,BD!$A$3:$A$5001,_xlfn.MAXIFS(BD!$A$3:$A$5001,BD!$B$3:$B$5001,F$149,BD!$A$3:$A$5001,"&gt;="&amp;$C$7,BD!$A$3:$A$5001,"&lt;="&amp;$B161,BD!$M$3:$M$5001,"&lt;&gt;"))))</f>
        <v/>
      </c>
      <c r="G161" s="42" t="str">
        <f>IF(OR($B161="",$A161&gt;$B$9),"",IF(COUNTIFS(BD!$B$3:$B$5001,G$149,BD!$A$3:$A$5001,"&gt;="&amp;$C$7,BD!$A$3:$A$5001,"&lt;="&amp;$B161,BD!$M$3:$M$5001,"&lt;&gt;")=0,"",SUMIFS(BD!$M$3:$M$5001,BD!$B$3:$B$5001,G$149,BD!$A$3:$A$5001,_xlfn.MAXIFS(BD!$A$3:$A$5001,BD!$B$3:$B$5001,G$149,BD!$A$3:$A$5001,"&gt;="&amp;$C$7,BD!$A$3:$A$5001,"&lt;="&amp;$B161,BD!$M$3:$M$5001,"&lt;&gt;"))))</f>
        <v/>
      </c>
    </row>
    <row r="162">
      <c r="A162" s="40">
        <v>13</v>
      </c>
      <c r="B162" s="41">
        <f>$B$24</f>
        <v>46308</v>
      </c>
      <c r="C162" s="42" t="str">
        <f>IF(OR($B162="",$A162&gt;$B$9),"",IF(COUNTIFS(BD!$B$3:$B$5001,C$149,BD!$A$3:$A$5001,"&gt;="&amp;$C$7,BD!$A$3:$A$5001,"&lt;="&amp;$B162,BD!$M$3:$M$5001,"&lt;&gt;")=0,"",SUMIFS(BD!$M$3:$M$5001,BD!$B$3:$B$5001,C$149,BD!$A$3:$A$5001,_xlfn.MAXIFS(BD!$A$3:$A$5001,BD!$B$3:$B$5001,C$149,BD!$A$3:$A$5001,"&gt;="&amp;$C$7,BD!$A$3:$A$5001,"&lt;="&amp;$B162,BD!$M$3:$M$5001,"&lt;&gt;"))))</f>
        <v/>
      </c>
      <c r="D162" s="42" t="str">
        <f>IF(OR($B162="",$A162&gt;$B$9),"",IF(COUNTIFS(BD!$B$3:$B$5001,D$149,BD!$A$3:$A$5001,"&gt;="&amp;$C$7,BD!$A$3:$A$5001,"&lt;="&amp;$B162,BD!$M$3:$M$5001,"&lt;&gt;")=0,"",SUMIFS(BD!$M$3:$M$5001,BD!$B$3:$B$5001,D$149,BD!$A$3:$A$5001,_xlfn.MAXIFS(BD!$A$3:$A$5001,BD!$B$3:$B$5001,D$149,BD!$A$3:$A$5001,"&gt;="&amp;$C$7,BD!$A$3:$A$5001,"&lt;="&amp;$B162,BD!$M$3:$M$5001,"&lt;&gt;"))))</f>
        <v/>
      </c>
      <c r="E162" s="42" t="str">
        <f>IF(OR($B162="",$A162&gt;$B$9),"",IF(COUNTIFS(BD!$B$3:$B$5001,E$149,BD!$A$3:$A$5001,"&gt;="&amp;$C$7,BD!$A$3:$A$5001,"&lt;="&amp;$B162,BD!$M$3:$M$5001,"&lt;&gt;")=0,"",SUMIFS(BD!$M$3:$M$5001,BD!$B$3:$B$5001,E$149,BD!$A$3:$A$5001,_xlfn.MAXIFS(BD!$A$3:$A$5001,BD!$B$3:$B$5001,E$149,BD!$A$3:$A$5001,"&gt;="&amp;$C$7,BD!$A$3:$A$5001,"&lt;="&amp;$B162,BD!$M$3:$M$5001,"&lt;&gt;"))))</f>
        <v/>
      </c>
      <c r="F162" s="42" t="str">
        <f>IF(OR($B162="",$A162&gt;$B$9),"",IF(COUNTIFS(BD!$B$3:$B$5001,F$149,BD!$A$3:$A$5001,"&gt;="&amp;$C$7,BD!$A$3:$A$5001,"&lt;="&amp;$B162,BD!$M$3:$M$5001,"&lt;&gt;")=0,"",SUMIFS(BD!$M$3:$M$5001,BD!$B$3:$B$5001,F$149,BD!$A$3:$A$5001,_xlfn.MAXIFS(BD!$A$3:$A$5001,BD!$B$3:$B$5001,F$149,BD!$A$3:$A$5001,"&gt;="&amp;$C$7,BD!$A$3:$A$5001,"&lt;="&amp;$B162,BD!$M$3:$M$5001,"&lt;&gt;"))))</f>
        <v/>
      </c>
      <c r="G162" s="42" t="str">
        <f>IF(OR($B162="",$A162&gt;$B$9),"",IF(COUNTIFS(BD!$B$3:$B$5001,G$149,BD!$A$3:$A$5001,"&gt;="&amp;$C$7,BD!$A$3:$A$5001,"&lt;="&amp;$B162,BD!$M$3:$M$5001,"&lt;&gt;")=0,"",SUMIFS(BD!$M$3:$M$5001,BD!$B$3:$B$5001,G$149,BD!$A$3:$A$5001,_xlfn.MAXIFS(BD!$A$3:$A$5001,BD!$B$3:$B$5001,G$149,BD!$A$3:$A$5001,"&gt;="&amp;$C$7,BD!$A$3:$A$5001,"&lt;="&amp;$B162,BD!$M$3:$M$5001,"&lt;&gt;"))))</f>
        <v/>
      </c>
    </row>
    <row r="163">
      <c r="A163" s="40">
        <v>14</v>
      </c>
      <c r="B163" s="41">
        <f>$B$25</f>
        <v>46309</v>
      </c>
      <c r="C163" s="42" t="str">
        <f>IF(OR($B163="",$A163&gt;$B$9),"",IF(COUNTIFS(BD!$B$3:$B$5001,C$149,BD!$A$3:$A$5001,"&gt;="&amp;$C$7,BD!$A$3:$A$5001,"&lt;="&amp;$B163,BD!$M$3:$M$5001,"&lt;&gt;")=0,"",SUMIFS(BD!$M$3:$M$5001,BD!$B$3:$B$5001,C$149,BD!$A$3:$A$5001,_xlfn.MAXIFS(BD!$A$3:$A$5001,BD!$B$3:$B$5001,C$149,BD!$A$3:$A$5001,"&gt;="&amp;$C$7,BD!$A$3:$A$5001,"&lt;="&amp;$B163,BD!$M$3:$M$5001,"&lt;&gt;"))))</f>
        <v/>
      </c>
      <c r="D163" s="42" t="str">
        <f>IF(OR($B163="",$A163&gt;$B$9),"",IF(COUNTIFS(BD!$B$3:$B$5001,D$149,BD!$A$3:$A$5001,"&gt;="&amp;$C$7,BD!$A$3:$A$5001,"&lt;="&amp;$B163,BD!$M$3:$M$5001,"&lt;&gt;")=0,"",SUMIFS(BD!$M$3:$M$5001,BD!$B$3:$B$5001,D$149,BD!$A$3:$A$5001,_xlfn.MAXIFS(BD!$A$3:$A$5001,BD!$B$3:$B$5001,D$149,BD!$A$3:$A$5001,"&gt;="&amp;$C$7,BD!$A$3:$A$5001,"&lt;="&amp;$B163,BD!$M$3:$M$5001,"&lt;&gt;"))))</f>
        <v/>
      </c>
      <c r="E163" s="42" t="str">
        <f>IF(OR($B163="",$A163&gt;$B$9),"",IF(COUNTIFS(BD!$B$3:$B$5001,E$149,BD!$A$3:$A$5001,"&gt;="&amp;$C$7,BD!$A$3:$A$5001,"&lt;="&amp;$B163,BD!$M$3:$M$5001,"&lt;&gt;")=0,"",SUMIFS(BD!$M$3:$M$5001,BD!$B$3:$B$5001,E$149,BD!$A$3:$A$5001,_xlfn.MAXIFS(BD!$A$3:$A$5001,BD!$B$3:$B$5001,E$149,BD!$A$3:$A$5001,"&gt;="&amp;$C$7,BD!$A$3:$A$5001,"&lt;="&amp;$B163,BD!$M$3:$M$5001,"&lt;&gt;"))))</f>
        <v/>
      </c>
      <c r="F163" s="42" t="str">
        <f>IF(OR($B163="",$A163&gt;$B$9),"",IF(COUNTIFS(BD!$B$3:$B$5001,F$149,BD!$A$3:$A$5001,"&gt;="&amp;$C$7,BD!$A$3:$A$5001,"&lt;="&amp;$B163,BD!$M$3:$M$5001,"&lt;&gt;")=0,"",SUMIFS(BD!$M$3:$M$5001,BD!$B$3:$B$5001,F$149,BD!$A$3:$A$5001,_xlfn.MAXIFS(BD!$A$3:$A$5001,BD!$B$3:$B$5001,F$149,BD!$A$3:$A$5001,"&gt;="&amp;$C$7,BD!$A$3:$A$5001,"&lt;="&amp;$B163,BD!$M$3:$M$5001,"&lt;&gt;"))))</f>
        <v/>
      </c>
      <c r="G163" s="42" t="str">
        <f>IF(OR($B163="",$A163&gt;$B$9),"",IF(COUNTIFS(BD!$B$3:$B$5001,G$149,BD!$A$3:$A$5001,"&gt;="&amp;$C$7,BD!$A$3:$A$5001,"&lt;="&amp;$B163,BD!$M$3:$M$5001,"&lt;&gt;")=0,"",SUMIFS(BD!$M$3:$M$5001,BD!$B$3:$B$5001,G$149,BD!$A$3:$A$5001,_xlfn.MAXIFS(BD!$A$3:$A$5001,BD!$B$3:$B$5001,G$149,BD!$A$3:$A$5001,"&gt;="&amp;$C$7,BD!$A$3:$A$5001,"&lt;="&amp;$B163,BD!$M$3:$M$5001,"&lt;&gt;"))))</f>
        <v/>
      </c>
    </row>
    <row r="164">
      <c r="A164" s="40">
        <v>15</v>
      </c>
      <c r="B164" s="41">
        <f>$B$26</f>
        <v>46310</v>
      </c>
      <c r="C164" s="42" t="str">
        <f>IF(OR($B164="",$A164&gt;$B$9),"",IF(COUNTIFS(BD!$B$3:$B$5001,C$149,BD!$A$3:$A$5001,"&gt;="&amp;$C$7,BD!$A$3:$A$5001,"&lt;="&amp;$B164,BD!$M$3:$M$5001,"&lt;&gt;")=0,"",SUMIFS(BD!$M$3:$M$5001,BD!$B$3:$B$5001,C$149,BD!$A$3:$A$5001,_xlfn.MAXIFS(BD!$A$3:$A$5001,BD!$B$3:$B$5001,C$149,BD!$A$3:$A$5001,"&gt;="&amp;$C$7,BD!$A$3:$A$5001,"&lt;="&amp;$B164,BD!$M$3:$M$5001,"&lt;&gt;"))))</f>
        <v/>
      </c>
      <c r="D164" s="42" t="str">
        <f>IF(OR($B164="",$A164&gt;$B$9),"",IF(COUNTIFS(BD!$B$3:$B$5001,D$149,BD!$A$3:$A$5001,"&gt;="&amp;$C$7,BD!$A$3:$A$5001,"&lt;="&amp;$B164,BD!$M$3:$M$5001,"&lt;&gt;")=0,"",SUMIFS(BD!$M$3:$M$5001,BD!$B$3:$B$5001,D$149,BD!$A$3:$A$5001,_xlfn.MAXIFS(BD!$A$3:$A$5001,BD!$B$3:$B$5001,D$149,BD!$A$3:$A$5001,"&gt;="&amp;$C$7,BD!$A$3:$A$5001,"&lt;="&amp;$B164,BD!$M$3:$M$5001,"&lt;&gt;"))))</f>
        <v/>
      </c>
      <c r="E164" s="42" t="str">
        <f>IF(OR($B164="",$A164&gt;$B$9),"",IF(COUNTIFS(BD!$B$3:$B$5001,E$149,BD!$A$3:$A$5001,"&gt;="&amp;$C$7,BD!$A$3:$A$5001,"&lt;="&amp;$B164,BD!$M$3:$M$5001,"&lt;&gt;")=0,"",SUMIFS(BD!$M$3:$M$5001,BD!$B$3:$B$5001,E$149,BD!$A$3:$A$5001,_xlfn.MAXIFS(BD!$A$3:$A$5001,BD!$B$3:$B$5001,E$149,BD!$A$3:$A$5001,"&gt;="&amp;$C$7,BD!$A$3:$A$5001,"&lt;="&amp;$B164,BD!$M$3:$M$5001,"&lt;&gt;"))))</f>
        <v/>
      </c>
      <c r="F164" s="42" t="str">
        <f>IF(OR($B164="",$A164&gt;$B$9),"",IF(COUNTIFS(BD!$B$3:$B$5001,F$149,BD!$A$3:$A$5001,"&gt;="&amp;$C$7,BD!$A$3:$A$5001,"&lt;="&amp;$B164,BD!$M$3:$M$5001,"&lt;&gt;")=0,"",SUMIFS(BD!$M$3:$M$5001,BD!$B$3:$B$5001,F$149,BD!$A$3:$A$5001,_xlfn.MAXIFS(BD!$A$3:$A$5001,BD!$B$3:$B$5001,F$149,BD!$A$3:$A$5001,"&gt;="&amp;$C$7,BD!$A$3:$A$5001,"&lt;="&amp;$B164,BD!$M$3:$M$5001,"&lt;&gt;"))))</f>
        <v/>
      </c>
      <c r="G164" s="42" t="str">
        <f>IF(OR($B164="",$A164&gt;$B$9),"",IF(COUNTIFS(BD!$B$3:$B$5001,G$149,BD!$A$3:$A$5001,"&gt;="&amp;$C$7,BD!$A$3:$A$5001,"&lt;="&amp;$B164,BD!$M$3:$M$5001,"&lt;&gt;")=0,"",SUMIFS(BD!$M$3:$M$5001,BD!$B$3:$B$5001,G$149,BD!$A$3:$A$5001,_xlfn.MAXIFS(BD!$A$3:$A$5001,BD!$B$3:$B$5001,G$149,BD!$A$3:$A$5001,"&gt;="&amp;$C$7,BD!$A$3:$A$5001,"&lt;="&amp;$B164,BD!$M$3:$M$5001,"&lt;&gt;"))))</f>
        <v/>
      </c>
    </row>
    <row r="165">
      <c r="A165" s="40">
        <v>16</v>
      </c>
      <c r="B165" s="41">
        <f>$B$27</f>
        <v>46311</v>
      </c>
      <c r="C165" s="42" t="str">
        <f>IF(OR($B165="",$A165&gt;$B$9),"",IF(COUNTIFS(BD!$B$3:$B$5001,C$149,BD!$A$3:$A$5001,"&gt;="&amp;$C$7,BD!$A$3:$A$5001,"&lt;="&amp;$B165,BD!$M$3:$M$5001,"&lt;&gt;")=0,"",SUMIFS(BD!$M$3:$M$5001,BD!$B$3:$B$5001,C$149,BD!$A$3:$A$5001,_xlfn.MAXIFS(BD!$A$3:$A$5001,BD!$B$3:$B$5001,C$149,BD!$A$3:$A$5001,"&gt;="&amp;$C$7,BD!$A$3:$A$5001,"&lt;="&amp;$B165,BD!$M$3:$M$5001,"&lt;&gt;"))))</f>
        <v/>
      </c>
      <c r="D165" s="42" t="str">
        <f>IF(OR($B165="",$A165&gt;$B$9),"",IF(COUNTIFS(BD!$B$3:$B$5001,D$149,BD!$A$3:$A$5001,"&gt;="&amp;$C$7,BD!$A$3:$A$5001,"&lt;="&amp;$B165,BD!$M$3:$M$5001,"&lt;&gt;")=0,"",SUMIFS(BD!$M$3:$M$5001,BD!$B$3:$B$5001,D$149,BD!$A$3:$A$5001,_xlfn.MAXIFS(BD!$A$3:$A$5001,BD!$B$3:$B$5001,D$149,BD!$A$3:$A$5001,"&gt;="&amp;$C$7,BD!$A$3:$A$5001,"&lt;="&amp;$B165,BD!$M$3:$M$5001,"&lt;&gt;"))))</f>
        <v/>
      </c>
      <c r="E165" s="42" t="str">
        <f>IF(OR($B165="",$A165&gt;$B$9),"",IF(COUNTIFS(BD!$B$3:$B$5001,E$149,BD!$A$3:$A$5001,"&gt;="&amp;$C$7,BD!$A$3:$A$5001,"&lt;="&amp;$B165,BD!$M$3:$M$5001,"&lt;&gt;")=0,"",SUMIFS(BD!$M$3:$M$5001,BD!$B$3:$B$5001,E$149,BD!$A$3:$A$5001,_xlfn.MAXIFS(BD!$A$3:$A$5001,BD!$B$3:$B$5001,E$149,BD!$A$3:$A$5001,"&gt;="&amp;$C$7,BD!$A$3:$A$5001,"&lt;="&amp;$B165,BD!$M$3:$M$5001,"&lt;&gt;"))))</f>
        <v/>
      </c>
      <c r="F165" s="42" t="str">
        <f>IF(OR($B165="",$A165&gt;$B$9),"",IF(COUNTIFS(BD!$B$3:$B$5001,F$149,BD!$A$3:$A$5001,"&gt;="&amp;$C$7,BD!$A$3:$A$5001,"&lt;="&amp;$B165,BD!$M$3:$M$5001,"&lt;&gt;")=0,"",SUMIFS(BD!$M$3:$M$5001,BD!$B$3:$B$5001,F$149,BD!$A$3:$A$5001,_xlfn.MAXIFS(BD!$A$3:$A$5001,BD!$B$3:$B$5001,F$149,BD!$A$3:$A$5001,"&gt;="&amp;$C$7,BD!$A$3:$A$5001,"&lt;="&amp;$B165,BD!$M$3:$M$5001,"&lt;&gt;"))))</f>
        <v/>
      </c>
      <c r="G165" s="42" t="str">
        <f>IF(OR($B165="",$A165&gt;$B$9),"",IF(COUNTIFS(BD!$B$3:$B$5001,G$149,BD!$A$3:$A$5001,"&gt;="&amp;$C$7,BD!$A$3:$A$5001,"&lt;="&amp;$B165,BD!$M$3:$M$5001,"&lt;&gt;")=0,"",SUMIFS(BD!$M$3:$M$5001,BD!$B$3:$B$5001,G$149,BD!$A$3:$A$5001,_xlfn.MAXIFS(BD!$A$3:$A$5001,BD!$B$3:$B$5001,G$149,BD!$A$3:$A$5001,"&gt;="&amp;$C$7,BD!$A$3:$A$5001,"&lt;="&amp;$B165,BD!$M$3:$M$5001,"&lt;&gt;"))))</f>
        <v/>
      </c>
    </row>
    <row r="166">
      <c r="A166" s="40">
        <v>17</v>
      </c>
      <c r="B166" s="41">
        <f>$B$28</f>
        <v>46312</v>
      </c>
      <c r="C166" s="42" t="str">
        <f>IF(OR($B166="",$A166&gt;$B$9),"",IF(COUNTIFS(BD!$B$3:$B$5001,C$149,BD!$A$3:$A$5001,"&gt;="&amp;$C$7,BD!$A$3:$A$5001,"&lt;="&amp;$B166,BD!$M$3:$M$5001,"&lt;&gt;")=0,"",SUMIFS(BD!$M$3:$M$5001,BD!$B$3:$B$5001,C$149,BD!$A$3:$A$5001,_xlfn.MAXIFS(BD!$A$3:$A$5001,BD!$B$3:$B$5001,C$149,BD!$A$3:$A$5001,"&gt;="&amp;$C$7,BD!$A$3:$A$5001,"&lt;="&amp;$B166,BD!$M$3:$M$5001,"&lt;&gt;"))))</f>
        <v/>
      </c>
      <c r="D166" s="42" t="str">
        <f>IF(OR($B166="",$A166&gt;$B$9),"",IF(COUNTIFS(BD!$B$3:$B$5001,D$149,BD!$A$3:$A$5001,"&gt;="&amp;$C$7,BD!$A$3:$A$5001,"&lt;="&amp;$B166,BD!$M$3:$M$5001,"&lt;&gt;")=0,"",SUMIFS(BD!$M$3:$M$5001,BD!$B$3:$B$5001,D$149,BD!$A$3:$A$5001,_xlfn.MAXIFS(BD!$A$3:$A$5001,BD!$B$3:$B$5001,D$149,BD!$A$3:$A$5001,"&gt;="&amp;$C$7,BD!$A$3:$A$5001,"&lt;="&amp;$B166,BD!$M$3:$M$5001,"&lt;&gt;"))))</f>
        <v/>
      </c>
      <c r="E166" s="42" t="str">
        <f>IF(OR($B166="",$A166&gt;$B$9),"",IF(COUNTIFS(BD!$B$3:$B$5001,E$149,BD!$A$3:$A$5001,"&gt;="&amp;$C$7,BD!$A$3:$A$5001,"&lt;="&amp;$B166,BD!$M$3:$M$5001,"&lt;&gt;")=0,"",SUMIFS(BD!$M$3:$M$5001,BD!$B$3:$B$5001,E$149,BD!$A$3:$A$5001,_xlfn.MAXIFS(BD!$A$3:$A$5001,BD!$B$3:$B$5001,E$149,BD!$A$3:$A$5001,"&gt;="&amp;$C$7,BD!$A$3:$A$5001,"&lt;="&amp;$B166,BD!$M$3:$M$5001,"&lt;&gt;"))))</f>
        <v/>
      </c>
      <c r="F166" s="42" t="str">
        <f>IF(OR($B166="",$A166&gt;$B$9),"",IF(COUNTIFS(BD!$B$3:$B$5001,F$149,BD!$A$3:$A$5001,"&gt;="&amp;$C$7,BD!$A$3:$A$5001,"&lt;="&amp;$B166,BD!$M$3:$M$5001,"&lt;&gt;")=0,"",SUMIFS(BD!$M$3:$M$5001,BD!$B$3:$B$5001,F$149,BD!$A$3:$A$5001,_xlfn.MAXIFS(BD!$A$3:$A$5001,BD!$B$3:$B$5001,F$149,BD!$A$3:$A$5001,"&gt;="&amp;$C$7,BD!$A$3:$A$5001,"&lt;="&amp;$B166,BD!$M$3:$M$5001,"&lt;&gt;"))))</f>
        <v/>
      </c>
      <c r="G166" s="42" t="str">
        <f>IF(OR($B166="",$A166&gt;$B$9),"",IF(COUNTIFS(BD!$B$3:$B$5001,G$149,BD!$A$3:$A$5001,"&gt;="&amp;$C$7,BD!$A$3:$A$5001,"&lt;="&amp;$B166,BD!$M$3:$M$5001,"&lt;&gt;")=0,"",SUMIFS(BD!$M$3:$M$5001,BD!$B$3:$B$5001,G$149,BD!$A$3:$A$5001,_xlfn.MAXIFS(BD!$A$3:$A$5001,BD!$B$3:$B$5001,G$149,BD!$A$3:$A$5001,"&gt;="&amp;$C$7,BD!$A$3:$A$5001,"&lt;="&amp;$B166,BD!$M$3:$M$5001,"&lt;&gt;"))))</f>
        <v/>
      </c>
    </row>
    <row r="167">
      <c r="A167" s="40">
        <v>18</v>
      </c>
      <c r="B167" s="41">
        <f>$B$29</f>
        <v>46313</v>
      </c>
      <c r="C167" s="42" t="str">
        <f>IF(OR($B167="",$A167&gt;$B$9),"",IF(COUNTIFS(BD!$B$3:$B$5001,C$149,BD!$A$3:$A$5001,"&gt;="&amp;$C$7,BD!$A$3:$A$5001,"&lt;="&amp;$B167,BD!$M$3:$M$5001,"&lt;&gt;")=0,"",SUMIFS(BD!$M$3:$M$5001,BD!$B$3:$B$5001,C$149,BD!$A$3:$A$5001,_xlfn.MAXIFS(BD!$A$3:$A$5001,BD!$B$3:$B$5001,C$149,BD!$A$3:$A$5001,"&gt;="&amp;$C$7,BD!$A$3:$A$5001,"&lt;="&amp;$B167,BD!$M$3:$M$5001,"&lt;&gt;"))))</f>
        <v/>
      </c>
      <c r="D167" s="42" t="str">
        <f>IF(OR($B167="",$A167&gt;$B$9),"",IF(COUNTIFS(BD!$B$3:$B$5001,D$149,BD!$A$3:$A$5001,"&gt;="&amp;$C$7,BD!$A$3:$A$5001,"&lt;="&amp;$B167,BD!$M$3:$M$5001,"&lt;&gt;")=0,"",SUMIFS(BD!$M$3:$M$5001,BD!$B$3:$B$5001,D$149,BD!$A$3:$A$5001,_xlfn.MAXIFS(BD!$A$3:$A$5001,BD!$B$3:$B$5001,D$149,BD!$A$3:$A$5001,"&gt;="&amp;$C$7,BD!$A$3:$A$5001,"&lt;="&amp;$B167,BD!$M$3:$M$5001,"&lt;&gt;"))))</f>
        <v/>
      </c>
      <c r="E167" s="42" t="str">
        <f>IF(OR($B167="",$A167&gt;$B$9),"",IF(COUNTIFS(BD!$B$3:$B$5001,E$149,BD!$A$3:$A$5001,"&gt;="&amp;$C$7,BD!$A$3:$A$5001,"&lt;="&amp;$B167,BD!$M$3:$M$5001,"&lt;&gt;")=0,"",SUMIFS(BD!$M$3:$M$5001,BD!$B$3:$B$5001,E$149,BD!$A$3:$A$5001,_xlfn.MAXIFS(BD!$A$3:$A$5001,BD!$B$3:$B$5001,E$149,BD!$A$3:$A$5001,"&gt;="&amp;$C$7,BD!$A$3:$A$5001,"&lt;="&amp;$B167,BD!$M$3:$M$5001,"&lt;&gt;"))))</f>
        <v/>
      </c>
      <c r="F167" s="42" t="str">
        <f>IF(OR($B167="",$A167&gt;$B$9),"",IF(COUNTIFS(BD!$B$3:$B$5001,F$149,BD!$A$3:$A$5001,"&gt;="&amp;$C$7,BD!$A$3:$A$5001,"&lt;="&amp;$B167,BD!$M$3:$M$5001,"&lt;&gt;")=0,"",SUMIFS(BD!$M$3:$M$5001,BD!$B$3:$B$5001,F$149,BD!$A$3:$A$5001,_xlfn.MAXIFS(BD!$A$3:$A$5001,BD!$B$3:$B$5001,F$149,BD!$A$3:$A$5001,"&gt;="&amp;$C$7,BD!$A$3:$A$5001,"&lt;="&amp;$B167,BD!$M$3:$M$5001,"&lt;&gt;"))))</f>
        <v/>
      </c>
      <c r="G167" s="42" t="str">
        <f>IF(OR($B167="",$A167&gt;$B$9),"",IF(COUNTIFS(BD!$B$3:$B$5001,G$149,BD!$A$3:$A$5001,"&gt;="&amp;$C$7,BD!$A$3:$A$5001,"&lt;="&amp;$B167,BD!$M$3:$M$5001,"&lt;&gt;")=0,"",SUMIFS(BD!$M$3:$M$5001,BD!$B$3:$B$5001,G$149,BD!$A$3:$A$5001,_xlfn.MAXIFS(BD!$A$3:$A$5001,BD!$B$3:$B$5001,G$149,BD!$A$3:$A$5001,"&gt;="&amp;$C$7,BD!$A$3:$A$5001,"&lt;="&amp;$B167,BD!$M$3:$M$5001,"&lt;&gt;"))))</f>
        <v/>
      </c>
    </row>
    <row r="168">
      <c r="A168" s="40">
        <v>19</v>
      </c>
      <c r="B168" s="41">
        <f>$B$30</f>
        <v>46314</v>
      </c>
      <c r="C168" s="42" t="str">
        <f>IF(OR($B168="",$A168&gt;$B$9),"",IF(COUNTIFS(BD!$B$3:$B$5001,C$149,BD!$A$3:$A$5001,"&gt;="&amp;$C$7,BD!$A$3:$A$5001,"&lt;="&amp;$B168,BD!$M$3:$M$5001,"&lt;&gt;")=0,"",SUMIFS(BD!$M$3:$M$5001,BD!$B$3:$B$5001,C$149,BD!$A$3:$A$5001,_xlfn.MAXIFS(BD!$A$3:$A$5001,BD!$B$3:$B$5001,C$149,BD!$A$3:$A$5001,"&gt;="&amp;$C$7,BD!$A$3:$A$5001,"&lt;="&amp;$B168,BD!$M$3:$M$5001,"&lt;&gt;"))))</f>
        <v/>
      </c>
      <c r="D168" s="42" t="str">
        <f>IF(OR($B168="",$A168&gt;$B$9),"",IF(COUNTIFS(BD!$B$3:$B$5001,D$149,BD!$A$3:$A$5001,"&gt;="&amp;$C$7,BD!$A$3:$A$5001,"&lt;="&amp;$B168,BD!$M$3:$M$5001,"&lt;&gt;")=0,"",SUMIFS(BD!$M$3:$M$5001,BD!$B$3:$B$5001,D$149,BD!$A$3:$A$5001,_xlfn.MAXIFS(BD!$A$3:$A$5001,BD!$B$3:$B$5001,D$149,BD!$A$3:$A$5001,"&gt;="&amp;$C$7,BD!$A$3:$A$5001,"&lt;="&amp;$B168,BD!$M$3:$M$5001,"&lt;&gt;"))))</f>
        <v/>
      </c>
      <c r="E168" s="42" t="str">
        <f>IF(OR($B168="",$A168&gt;$B$9),"",IF(COUNTIFS(BD!$B$3:$B$5001,E$149,BD!$A$3:$A$5001,"&gt;="&amp;$C$7,BD!$A$3:$A$5001,"&lt;="&amp;$B168,BD!$M$3:$M$5001,"&lt;&gt;")=0,"",SUMIFS(BD!$M$3:$M$5001,BD!$B$3:$B$5001,E$149,BD!$A$3:$A$5001,_xlfn.MAXIFS(BD!$A$3:$A$5001,BD!$B$3:$B$5001,E$149,BD!$A$3:$A$5001,"&gt;="&amp;$C$7,BD!$A$3:$A$5001,"&lt;="&amp;$B168,BD!$M$3:$M$5001,"&lt;&gt;"))))</f>
        <v/>
      </c>
      <c r="F168" s="42" t="str">
        <f>IF(OR($B168="",$A168&gt;$B$9),"",IF(COUNTIFS(BD!$B$3:$B$5001,F$149,BD!$A$3:$A$5001,"&gt;="&amp;$C$7,BD!$A$3:$A$5001,"&lt;="&amp;$B168,BD!$M$3:$M$5001,"&lt;&gt;")=0,"",SUMIFS(BD!$M$3:$M$5001,BD!$B$3:$B$5001,F$149,BD!$A$3:$A$5001,_xlfn.MAXIFS(BD!$A$3:$A$5001,BD!$B$3:$B$5001,F$149,BD!$A$3:$A$5001,"&gt;="&amp;$C$7,BD!$A$3:$A$5001,"&lt;="&amp;$B168,BD!$M$3:$M$5001,"&lt;&gt;"))))</f>
        <v/>
      </c>
      <c r="G168" s="42" t="str">
        <f>IF(OR($B168="",$A168&gt;$B$9),"",IF(COUNTIFS(BD!$B$3:$B$5001,G$149,BD!$A$3:$A$5001,"&gt;="&amp;$C$7,BD!$A$3:$A$5001,"&lt;="&amp;$B168,BD!$M$3:$M$5001,"&lt;&gt;")=0,"",SUMIFS(BD!$M$3:$M$5001,BD!$B$3:$B$5001,G$149,BD!$A$3:$A$5001,_xlfn.MAXIFS(BD!$A$3:$A$5001,BD!$B$3:$B$5001,G$149,BD!$A$3:$A$5001,"&gt;="&amp;$C$7,BD!$A$3:$A$5001,"&lt;="&amp;$B168,BD!$M$3:$M$5001,"&lt;&gt;"))))</f>
        <v/>
      </c>
    </row>
    <row r="169">
      <c r="A169" s="40">
        <v>20</v>
      </c>
      <c r="B169" s="41">
        <f>$B$31</f>
        <v>46315</v>
      </c>
      <c r="C169" s="42" t="str">
        <f>IF(OR($B169="",$A169&gt;$B$9),"",IF(COUNTIFS(BD!$B$3:$B$5001,C$149,BD!$A$3:$A$5001,"&gt;="&amp;$C$7,BD!$A$3:$A$5001,"&lt;="&amp;$B169,BD!$M$3:$M$5001,"&lt;&gt;")=0,"",SUMIFS(BD!$M$3:$M$5001,BD!$B$3:$B$5001,C$149,BD!$A$3:$A$5001,_xlfn.MAXIFS(BD!$A$3:$A$5001,BD!$B$3:$B$5001,C$149,BD!$A$3:$A$5001,"&gt;="&amp;$C$7,BD!$A$3:$A$5001,"&lt;="&amp;$B169,BD!$M$3:$M$5001,"&lt;&gt;"))))</f>
        <v/>
      </c>
      <c r="D169" s="42" t="str">
        <f>IF(OR($B169="",$A169&gt;$B$9),"",IF(COUNTIFS(BD!$B$3:$B$5001,D$149,BD!$A$3:$A$5001,"&gt;="&amp;$C$7,BD!$A$3:$A$5001,"&lt;="&amp;$B169,BD!$M$3:$M$5001,"&lt;&gt;")=0,"",SUMIFS(BD!$M$3:$M$5001,BD!$B$3:$B$5001,D$149,BD!$A$3:$A$5001,_xlfn.MAXIFS(BD!$A$3:$A$5001,BD!$B$3:$B$5001,D$149,BD!$A$3:$A$5001,"&gt;="&amp;$C$7,BD!$A$3:$A$5001,"&lt;="&amp;$B169,BD!$M$3:$M$5001,"&lt;&gt;"))))</f>
        <v/>
      </c>
      <c r="E169" s="42" t="str">
        <f>IF(OR($B169="",$A169&gt;$B$9),"",IF(COUNTIFS(BD!$B$3:$B$5001,E$149,BD!$A$3:$A$5001,"&gt;="&amp;$C$7,BD!$A$3:$A$5001,"&lt;="&amp;$B169,BD!$M$3:$M$5001,"&lt;&gt;")=0,"",SUMIFS(BD!$M$3:$M$5001,BD!$B$3:$B$5001,E$149,BD!$A$3:$A$5001,_xlfn.MAXIFS(BD!$A$3:$A$5001,BD!$B$3:$B$5001,E$149,BD!$A$3:$A$5001,"&gt;="&amp;$C$7,BD!$A$3:$A$5001,"&lt;="&amp;$B169,BD!$M$3:$M$5001,"&lt;&gt;"))))</f>
        <v/>
      </c>
      <c r="F169" s="42" t="str">
        <f>IF(OR($B169="",$A169&gt;$B$9),"",IF(COUNTIFS(BD!$B$3:$B$5001,F$149,BD!$A$3:$A$5001,"&gt;="&amp;$C$7,BD!$A$3:$A$5001,"&lt;="&amp;$B169,BD!$M$3:$M$5001,"&lt;&gt;")=0,"",SUMIFS(BD!$M$3:$M$5001,BD!$B$3:$B$5001,F$149,BD!$A$3:$A$5001,_xlfn.MAXIFS(BD!$A$3:$A$5001,BD!$B$3:$B$5001,F$149,BD!$A$3:$A$5001,"&gt;="&amp;$C$7,BD!$A$3:$A$5001,"&lt;="&amp;$B169,BD!$M$3:$M$5001,"&lt;&gt;"))))</f>
        <v/>
      </c>
      <c r="G169" s="42" t="str">
        <f>IF(OR($B169="",$A169&gt;$B$9),"",IF(COUNTIFS(BD!$B$3:$B$5001,G$149,BD!$A$3:$A$5001,"&gt;="&amp;$C$7,BD!$A$3:$A$5001,"&lt;="&amp;$B169,BD!$M$3:$M$5001,"&lt;&gt;")=0,"",SUMIFS(BD!$M$3:$M$5001,BD!$B$3:$B$5001,G$149,BD!$A$3:$A$5001,_xlfn.MAXIFS(BD!$A$3:$A$5001,BD!$B$3:$B$5001,G$149,BD!$A$3:$A$5001,"&gt;="&amp;$C$7,BD!$A$3:$A$5001,"&lt;="&amp;$B169,BD!$M$3:$M$5001,"&lt;&gt;"))))</f>
        <v/>
      </c>
    </row>
    <row r="170">
      <c r="A170" s="40">
        <v>21</v>
      </c>
      <c r="B170" s="41">
        <f>$B$32</f>
        <v>46316</v>
      </c>
      <c r="C170" s="42" t="str">
        <f>IF(OR($B170="",$A170&gt;$B$9),"",IF(COUNTIFS(BD!$B$3:$B$5001,C$149,BD!$A$3:$A$5001,"&gt;="&amp;$C$7,BD!$A$3:$A$5001,"&lt;="&amp;$B170,BD!$M$3:$M$5001,"&lt;&gt;")=0,"",SUMIFS(BD!$M$3:$M$5001,BD!$B$3:$B$5001,C$149,BD!$A$3:$A$5001,_xlfn.MAXIFS(BD!$A$3:$A$5001,BD!$B$3:$B$5001,C$149,BD!$A$3:$A$5001,"&gt;="&amp;$C$7,BD!$A$3:$A$5001,"&lt;="&amp;$B170,BD!$M$3:$M$5001,"&lt;&gt;"))))</f>
        <v/>
      </c>
      <c r="D170" s="42" t="str">
        <f>IF(OR($B170="",$A170&gt;$B$9),"",IF(COUNTIFS(BD!$B$3:$B$5001,D$149,BD!$A$3:$A$5001,"&gt;="&amp;$C$7,BD!$A$3:$A$5001,"&lt;="&amp;$B170,BD!$M$3:$M$5001,"&lt;&gt;")=0,"",SUMIFS(BD!$M$3:$M$5001,BD!$B$3:$B$5001,D$149,BD!$A$3:$A$5001,_xlfn.MAXIFS(BD!$A$3:$A$5001,BD!$B$3:$B$5001,D$149,BD!$A$3:$A$5001,"&gt;="&amp;$C$7,BD!$A$3:$A$5001,"&lt;="&amp;$B170,BD!$M$3:$M$5001,"&lt;&gt;"))))</f>
        <v/>
      </c>
      <c r="E170" s="42" t="str">
        <f>IF(OR($B170="",$A170&gt;$B$9),"",IF(COUNTIFS(BD!$B$3:$B$5001,E$149,BD!$A$3:$A$5001,"&gt;="&amp;$C$7,BD!$A$3:$A$5001,"&lt;="&amp;$B170,BD!$M$3:$M$5001,"&lt;&gt;")=0,"",SUMIFS(BD!$M$3:$M$5001,BD!$B$3:$B$5001,E$149,BD!$A$3:$A$5001,_xlfn.MAXIFS(BD!$A$3:$A$5001,BD!$B$3:$B$5001,E$149,BD!$A$3:$A$5001,"&gt;="&amp;$C$7,BD!$A$3:$A$5001,"&lt;="&amp;$B170,BD!$M$3:$M$5001,"&lt;&gt;"))))</f>
        <v/>
      </c>
      <c r="F170" s="42" t="str">
        <f>IF(OR($B170="",$A170&gt;$B$9),"",IF(COUNTIFS(BD!$B$3:$B$5001,F$149,BD!$A$3:$A$5001,"&gt;="&amp;$C$7,BD!$A$3:$A$5001,"&lt;="&amp;$B170,BD!$M$3:$M$5001,"&lt;&gt;")=0,"",SUMIFS(BD!$M$3:$M$5001,BD!$B$3:$B$5001,F$149,BD!$A$3:$A$5001,_xlfn.MAXIFS(BD!$A$3:$A$5001,BD!$B$3:$B$5001,F$149,BD!$A$3:$A$5001,"&gt;="&amp;$C$7,BD!$A$3:$A$5001,"&lt;="&amp;$B170,BD!$M$3:$M$5001,"&lt;&gt;"))))</f>
        <v/>
      </c>
      <c r="G170" s="42" t="str">
        <f>IF(OR($B170="",$A170&gt;$B$9),"",IF(COUNTIFS(BD!$B$3:$B$5001,G$149,BD!$A$3:$A$5001,"&gt;="&amp;$C$7,BD!$A$3:$A$5001,"&lt;="&amp;$B170,BD!$M$3:$M$5001,"&lt;&gt;")=0,"",SUMIFS(BD!$M$3:$M$5001,BD!$B$3:$B$5001,G$149,BD!$A$3:$A$5001,_xlfn.MAXIFS(BD!$A$3:$A$5001,BD!$B$3:$B$5001,G$149,BD!$A$3:$A$5001,"&gt;="&amp;$C$7,BD!$A$3:$A$5001,"&lt;="&amp;$B170,BD!$M$3:$M$5001,"&lt;&gt;"))))</f>
        <v/>
      </c>
    </row>
    <row r="171">
      <c r="A171" s="40">
        <v>22</v>
      </c>
      <c r="B171" s="41">
        <f>$B$33</f>
        <v>46317</v>
      </c>
      <c r="C171" s="42" t="str">
        <f>IF(OR($B171="",$A171&gt;$B$9),"",IF(COUNTIFS(BD!$B$3:$B$5001,C$149,BD!$A$3:$A$5001,"&gt;="&amp;$C$7,BD!$A$3:$A$5001,"&lt;="&amp;$B171,BD!$M$3:$M$5001,"&lt;&gt;")=0,"",SUMIFS(BD!$M$3:$M$5001,BD!$B$3:$B$5001,C$149,BD!$A$3:$A$5001,_xlfn.MAXIFS(BD!$A$3:$A$5001,BD!$B$3:$B$5001,C$149,BD!$A$3:$A$5001,"&gt;="&amp;$C$7,BD!$A$3:$A$5001,"&lt;="&amp;$B171,BD!$M$3:$M$5001,"&lt;&gt;"))))</f>
        <v/>
      </c>
      <c r="D171" s="42" t="str">
        <f>IF(OR($B171="",$A171&gt;$B$9),"",IF(COUNTIFS(BD!$B$3:$B$5001,D$149,BD!$A$3:$A$5001,"&gt;="&amp;$C$7,BD!$A$3:$A$5001,"&lt;="&amp;$B171,BD!$M$3:$M$5001,"&lt;&gt;")=0,"",SUMIFS(BD!$M$3:$M$5001,BD!$B$3:$B$5001,D$149,BD!$A$3:$A$5001,_xlfn.MAXIFS(BD!$A$3:$A$5001,BD!$B$3:$B$5001,D$149,BD!$A$3:$A$5001,"&gt;="&amp;$C$7,BD!$A$3:$A$5001,"&lt;="&amp;$B171,BD!$M$3:$M$5001,"&lt;&gt;"))))</f>
        <v/>
      </c>
      <c r="E171" s="42" t="str">
        <f>IF(OR($B171="",$A171&gt;$B$9),"",IF(COUNTIFS(BD!$B$3:$B$5001,E$149,BD!$A$3:$A$5001,"&gt;="&amp;$C$7,BD!$A$3:$A$5001,"&lt;="&amp;$B171,BD!$M$3:$M$5001,"&lt;&gt;")=0,"",SUMIFS(BD!$M$3:$M$5001,BD!$B$3:$B$5001,E$149,BD!$A$3:$A$5001,_xlfn.MAXIFS(BD!$A$3:$A$5001,BD!$B$3:$B$5001,E$149,BD!$A$3:$A$5001,"&gt;="&amp;$C$7,BD!$A$3:$A$5001,"&lt;="&amp;$B171,BD!$M$3:$M$5001,"&lt;&gt;"))))</f>
        <v/>
      </c>
      <c r="F171" s="42" t="str">
        <f>IF(OR($B171="",$A171&gt;$B$9),"",IF(COUNTIFS(BD!$B$3:$B$5001,F$149,BD!$A$3:$A$5001,"&gt;="&amp;$C$7,BD!$A$3:$A$5001,"&lt;="&amp;$B171,BD!$M$3:$M$5001,"&lt;&gt;")=0,"",SUMIFS(BD!$M$3:$M$5001,BD!$B$3:$B$5001,F$149,BD!$A$3:$A$5001,_xlfn.MAXIFS(BD!$A$3:$A$5001,BD!$B$3:$B$5001,F$149,BD!$A$3:$A$5001,"&gt;="&amp;$C$7,BD!$A$3:$A$5001,"&lt;="&amp;$B171,BD!$M$3:$M$5001,"&lt;&gt;"))))</f>
        <v/>
      </c>
      <c r="G171" s="42" t="str">
        <f>IF(OR($B171="",$A171&gt;$B$9),"",IF(COUNTIFS(BD!$B$3:$B$5001,G$149,BD!$A$3:$A$5001,"&gt;="&amp;$C$7,BD!$A$3:$A$5001,"&lt;="&amp;$B171,BD!$M$3:$M$5001,"&lt;&gt;")=0,"",SUMIFS(BD!$M$3:$M$5001,BD!$B$3:$B$5001,G$149,BD!$A$3:$A$5001,_xlfn.MAXIFS(BD!$A$3:$A$5001,BD!$B$3:$B$5001,G$149,BD!$A$3:$A$5001,"&gt;="&amp;$C$7,BD!$A$3:$A$5001,"&lt;="&amp;$B171,BD!$M$3:$M$5001,"&lt;&gt;"))))</f>
        <v/>
      </c>
    </row>
    <row r="172">
      <c r="A172" s="40">
        <v>23</v>
      </c>
      <c r="B172" s="41">
        <f>$B$34</f>
        <v>46318</v>
      </c>
      <c r="C172" s="42" t="str">
        <f>IF(OR($B172="",$A172&gt;$B$9),"",IF(COUNTIFS(BD!$B$3:$B$5001,C$149,BD!$A$3:$A$5001,"&gt;="&amp;$C$7,BD!$A$3:$A$5001,"&lt;="&amp;$B172,BD!$M$3:$M$5001,"&lt;&gt;")=0,"",SUMIFS(BD!$M$3:$M$5001,BD!$B$3:$B$5001,C$149,BD!$A$3:$A$5001,_xlfn.MAXIFS(BD!$A$3:$A$5001,BD!$B$3:$B$5001,C$149,BD!$A$3:$A$5001,"&gt;="&amp;$C$7,BD!$A$3:$A$5001,"&lt;="&amp;$B172,BD!$M$3:$M$5001,"&lt;&gt;"))))</f>
        <v/>
      </c>
      <c r="D172" s="42" t="str">
        <f>IF(OR($B172="",$A172&gt;$B$9),"",IF(COUNTIFS(BD!$B$3:$B$5001,D$149,BD!$A$3:$A$5001,"&gt;="&amp;$C$7,BD!$A$3:$A$5001,"&lt;="&amp;$B172,BD!$M$3:$M$5001,"&lt;&gt;")=0,"",SUMIFS(BD!$M$3:$M$5001,BD!$B$3:$B$5001,D$149,BD!$A$3:$A$5001,_xlfn.MAXIFS(BD!$A$3:$A$5001,BD!$B$3:$B$5001,D$149,BD!$A$3:$A$5001,"&gt;="&amp;$C$7,BD!$A$3:$A$5001,"&lt;="&amp;$B172,BD!$M$3:$M$5001,"&lt;&gt;"))))</f>
        <v/>
      </c>
      <c r="E172" s="42" t="str">
        <f>IF(OR($B172="",$A172&gt;$B$9),"",IF(COUNTIFS(BD!$B$3:$B$5001,E$149,BD!$A$3:$A$5001,"&gt;="&amp;$C$7,BD!$A$3:$A$5001,"&lt;="&amp;$B172,BD!$M$3:$M$5001,"&lt;&gt;")=0,"",SUMIFS(BD!$M$3:$M$5001,BD!$B$3:$B$5001,E$149,BD!$A$3:$A$5001,_xlfn.MAXIFS(BD!$A$3:$A$5001,BD!$B$3:$B$5001,E$149,BD!$A$3:$A$5001,"&gt;="&amp;$C$7,BD!$A$3:$A$5001,"&lt;="&amp;$B172,BD!$M$3:$M$5001,"&lt;&gt;"))))</f>
        <v/>
      </c>
      <c r="F172" s="42" t="str">
        <f>IF(OR($B172="",$A172&gt;$B$9),"",IF(COUNTIFS(BD!$B$3:$B$5001,F$149,BD!$A$3:$A$5001,"&gt;="&amp;$C$7,BD!$A$3:$A$5001,"&lt;="&amp;$B172,BD!$M$3:$M$5001,"&lt;&gt;")=0,"",SUMIFS(BD!$M$3:$M$5001,BD!$B$3:$B$5001,F$149,BD!$A$3:$A$5001,_xlfn.MAXIFS(BD!$A$3:$A$5001,BD!$B$3:$B$5001,F$149,BD!$A$3:$A$5001,"&gt;="&amp;$C$7,BD!$A$3:$A$5001,"&lt;="&amp;$B172,BD!$M$3:$M$5001,"&lt;&gt;"))))</f>
        <v/>
      </c>
      <c r="G172" s="42" t="str">
        <f>IF(OR($B172="",$A172&gt;$B$9),"",IF(COUNTIFS(BD!$B$3:$B$5001,G$149,BD!$A$3:$A$5001,"&gt;="&amp;$C$7,BD!$A$3:$A$5001,"&lt;="&amp;$B172,BD!$M$3:$M$5001,"&lt;&gt;")=0,"",SUMIFS(BD!$M$3:$M$5001,BD!$B$3:$B$5001,G$149,BD!$A$3:$A$5001,_xlfn.MAXIFS(BD!$A$3:$A$5001,BD!$B$3:$B$5001,G$149,BD!$A$3:$A$5001,"&gt;="&amp;$C$7,BD!$A$3:$A$5001,"&lt;="&amp;$B172,BD!$M$3:$M$5001,"&lt;&gt;"))))</f>
        <v/>
      </c>
    </row>
    <row r="173">
      <c r="A173" s="40">
        <v>24</v>
      </c>
      <c r="B173" s="41">
        <f>$B$35</f>
        <v>46319</v>
      </c>
      <c r="C173" s="42" t="str">
        <f>IF(OR($B173="",$A173&gt;$B$9),"",IF(COUNTIFS(BD!$B$3:$B$5001,C$149,BD!$A$3:$A$5001,"&gt;="&amp;$C$7,BD!$A$3:$A$5001,"&lt;="&amp;$B173,BD!$M$3:$M$5001,"&lt;&gt;")=0,"",SUMIFS(BD!$M$3:$M$5001,BD!$B$3:$B$5001,C$149,BD!$A$3:$A$5001,_xlfn.MAXIFS(BD!$A$3:$A$5001,BD!$B$3:$B$5001,C$149,BD!$A$3:$A$5001,"&gt;="&amp;$C$7,BD!$A$3:$A$5001,"&lt;="&amp;$B173,BD!$M$3:$M$5001,"&lt;&gt;"))))</f>
        <v/>
      </c>
      <c r="D173" s="42" t="str">
        <f>IF(OR($B173="",$A173&gt;$B$9),"",IF(COUNTIFS(BD!$B$3:$B$5001,D$149,BD!$A$3:$A$5001,"&gt;="&amp;$C$7,BD!$A$3:$A$5001,"&lt;="&amp;$B173,BD!$M$3:$M$5001,"&lt;&gt;")=0,"",SUMIFS(BD!$M$3:$M$5001,BD!$B$3:$B$5001,D$149,BD!$A$3:$A$5001,_xlfn.MAXIFS(BD!$A$3:$A$5001,BD!$B$3:$B$5001,D$149,BD!$A$3:$A$5001,"&gt;="&amp;$C$7,BD!$A$3:$A$5001,"&lt;="&amp;$B173,BD!$M$3:$M$5001,"&lt;&gt;"))))</f>
        <v/>
      </c>
      <c r="E173" s="42" t="str">
        <f>IF(OR($B173="",$A173&gt;$B$9),"",IF(COUNTIFS(BD!$B$3:$B$5001,E$149,BD!$A$3:$A$5001,"&gt;="&amp;$C$7,BD!$A$3:$A$5001,"&lt;="&amp;$B173,BD!$M$3:$M$5001,"&lt;&gt;")=0,"",SUMIFS(BD!$M$3:$M$5001,BD!$B$3:$B$5001,E$149,BD!$A$3:$A$5001,_xlfn.MAXIFS(BD!$A$3:$A$5001,BD!$B$3:$B$5001,E$149,BD!$A$3:$A$5001,"&gt;="&amp;$C$7,BD!$A$3:$A$5001,"&lt;="&amp;$B173,BD!$M$3:$M$5001,"&lt;&gt;"))))</f>
        <v/>
      </c>
      <c r="F173" s="42" t="str">
        <f>IF(OR($B173="",$A173&gt;$B$9),"",IF(COUNTIFS(BD!$B$3:$B$5001,F$149,BD!$A$3:$A$5001,"&gt;="&amp;$C$7,BD!$A$3:$A$5001,"&lt;="&amp;$B173,BD!$M$3:$M$5001,"&lt;&gt;")=0,"",SUMIFS(BD!$M$3:$M$5001,BD!$B$3:$B$5001,F$149,BD!$A$3:$A$5001,_xlfn.MAXIFS(BD!$A$3:$A$5001,BD!$B$3:$B$5001,F$149,BD!$A$3:$A$5001,"&gt;="&amp;$C$7,BD!$A$3:$A$5001,"&lt;="&amp;$B173,BD!$M$3:$M$5001,"&lt;&gt;"))))</f>
        <v/>
      </c>
      <c r="G173" s="42" t="str">
        <f>IF(OR($B173="",$A173&gt;$B$9),"",IF(COUNTIFS(BD!$B$3:$B$5001,G$149,BD!$A$3:$A$5001,"&gt;="&amp;$C$7,BD!$A$3:$A$5001,"&lt;="&amp;$B173,BD!$M$3:$M$5001,"&lt;&gt;")=0,"",SUMIFS(BD!$M$3:$M$5001,BD!$B$3:$B$5001,G$149,BD!$A$3:$A$5001,_xlfn.MAXIFS(BD!$A$3:$A$5001,BD!$B$3:$B$5001,G$149,BD!$A$3:$A$5001,"&gt;="&amp;$C$7,BD!$A$3:$A$5001,"&lt;="&amp;$B173,BD!$M$3:$M$5001,"&lt;&gt;"))))</f>
        <v/>
      </c>
    </row>
    <row r="174">
      <c r="A174" s="40">
        <v>25</v>
      </c>
      <c r="B174" s="41">
        <f>$B$36</f>
        <v>46320</v>
      </c>
      <c r="C174" s="42" t="str">
        <f>IF(OR($B174="",$A174&gt;$B$9),"",IF(COUNTIFS(BD!$B$3:$B$5001,C$149,BD!$A$3:$A$5001,"&gt;="&amp;$C$7,BD!$A$3:$A$5001,"&lt;="&amp;$B174,BD!$M$3:$M$5001,"&lt;&gt;")=0,"",SUMIFS(BD!$M$3:$M$5001,BD!$B$3:$B$5001,C$149,BD!$A$3:$A$5001,_xlfn.MAXIFS(BD!$A$3:$A$5001,BD!$B$3:$B$5001,C$149,BD!$A$3:$A$5001,"&gt;="&amp;$C$7,BD!$A$3:$A$5001,"&lt;="&amp;$B174,BD!$M$3:$M$5001,"&lt;&gt;"))))</f>
        <v/>
      </c>
      <c r="D174" s="42" t="str">
        <f>IF(OR($B174="",$A174&gt;$B$9),"",IF(COUNTIFS(BD!$B$3:$B$5001,D$149,BD!$A$3:$A$5001,"&gt;="&amp;$C$7,BD!$A$3:$A$5001,"&lt;="&amp;$B174,BD!$M$3:$M$5001,"&lt;&gt;")=0,"",SUMIFS(BD!$M$3:$M$5001,BD!$B$3:$B$5001,D$149,BD!$A$3:$A$5001,_xlfn.MAXIFS(BD!$A$3:$A$5001,BD!$B$3:$B$5001,D$149,BD!$A$3:$A$5001,"&gt;="&amp;$C$7,BD!$A$3:$A$5001,"&lt;="&amp;$B174,BD!$M$3:$M$5001,"&lt;&gt;"))))</f>
        <v/>
      </c>
      <c r="E174" s="42" t="str">
        <f>IF(OR($B174="",$A174&gt;$B$9),"",IF(COUNTIFS(BD!$B$3:$B$5001,E$149,BD!$A$3:$A$5001,"&gt;="&amp;$C$7,BD!$A$3:$A$5001,"&lt;="&amp;$B174,BD!$M$3:$M$5001,"&lt;&gt;")=0,"",SUMIFS(BD!$M$3:$M$5001,BD!$B$3:$B$5001,E$149,BD!$A$3:$A$5001,_xlfn.MAXIFS(BD!$A$3:$A$5001,BD!$B$3:$B$5001,E$149,BD!$A$3:$A$5001,"&gt;="&amp;$C$7,BD!$A$3:$A$5001,"&lt;="&amp;$B174,BD!$M$3:$M$5001,"&lt;&gt;"))))</f>
        <v/>
      </c>
      <c r="F174" s="42" t="str">
        <f>IF(OR($B174="",$A174&gt;$B$9),"",IF(COUNTIFS(BD!$B$3:$B$5001,F$149,BD!$A$3:$A$5001,"&gt;="&amp;$C$7,BD!$A$3:$A$5001,"&lt;="&amp;$B174,BD!$M$3:$M$5001,"&lt;&gt;")=0,"",SUMIFS(BD!$M$3:$M$5001,BD!$B$3:$B$5001,F$149,BD!$A$3:$A$5001,_xlfn.MAXIFS(BD!$A$3:$A$5001,BD!$B$3:$B$5001,F$149,BD!$A$3:$A$5001,"&gt;="&amp;$C$7,BD!$A$3:$A$5001,"&lt;="&amp;$B174,BD!$M$3:$M$5001,"&lt;&gt;"))))</f>
        <v/>
      </c>
      <c r="G174" s="42" t="str">
        <f>IF(OR($B174="",$A174&gt;$B$9),"",IF(COUNTIFS(BD!$B$3:$B$5001,G$149,BD!$A$3:$A$5001,"&gt;="&amp;$C$7,BD!$A$3:$A$5001,"&lt;="&amp;$B174,BD!$M$3:$M$5001,"&lt;&gt;")=0,"",SUMIFS(BD!$M$3:$M$5001,BD!$B$3:$B$5001,G$149,BD!$A$3:$A$5001,_xlfn.MAXIFS(BD!$A$3:$A$5001,BD!$B$3:$B$5001,G$149,BD!$A$3:$A$5001,"&gt;="&amp;$C$7,BD!$A$3:$A$5001,"&lt;="&amp;$B174,BD!$M$3:$M$5001,"&lt;&gt;"))))</f>
        <v/>
      </c>
    </row>
    <row r="175">
      <c r="A175" s="40">
        <v>26</v>
      </c>
      <c r="B175" s="41">
        <f>$B$37</f>
        <v>46321</v>
      </c>
      <c r="C175" s="42" t="str">
        <f>IF(OR($B175="",$A175&gt;$B$9),"",IF(COUNTIFS(BD!$B$3:$B$5001,C$149,BD!$A$3:$A$5001,"&gt;="&amp;$C$7,BD!$A$3:$A$5001,"&lt;="&amp;$B175,BD!$M$3:$M$5001,"&lt;&gt;")=0,"",SUMIFS(BD!$M$3:$M$5001,BD!$B$3:$B$5001,C$149,BD!$A$3:$A$5001,_xlfn.MAXIFS(BD!$A$3:$A$5001,BD!$B$3:$B$5001,C$149,BD!$A$3:$A$5001,"&gt;="&amp;$C$7,BD!$A$3:$A$5001,"&lt;="&amp;$B175,BD!$M$3:$M$5001,"&lt;&gt;"))))</f>
        <v/>
      </c>
      <c r="D175" s="42" t="str">
        <f>IF(OR($B175="",$A175&gt;$B$9),"",IF(COUNTIFS(BD!$B$3:$B$5001,D$149,BD!$A$3:$A$5001,"&gt;="&amp;$C$7,BD!$A$3:$A$5001,"&lt;="&amp;$B175,BD!$M$3:$M$5001,"&lt;&gt;")=0,"",SUMIFS(BD!$M$3:$M$5001,BD!$B$3:$B$5001,D$149,BD!$A$3:$A$5001,_xlfn.MAXIFS(BD!$A$3:$A$5001,BD!$B$3:$B$5001,D$149,BD!$A$3:$A$5001,"&gt;="&amp;$C$7,BD!$A$3:$A$5001,"&lt;="&amp;$B175,BD!$M$3:$M$5001,"&lt;&gt;"))))</f>
        <v/>
      </c>
      <c r="E175" s="42" t="str">
        <f>IF(OR($B175="",$A175&gt;$B$9),"",IF(COUNTIFS(BD!$B$3:$B$5001,E$149,BD!$A$3:$A$5001,"&gt;="&amp;$C$7,BD!$A$3:$A$5001,"&lt;="&amp;$B175,BD!$M$3:$M$5001,"&lt;&gt;")=0,"",SUMIFS(BD!$M$3:$M$5001,BD!$B$3:$B$5001,E$149,BD!$A$3:$A$5001,_xlfn.MAXIFS(BD!$A$3:$A$5001,BD!$B$3:$B$5001,E$149,BD!$A$3:$A$5001,"&gt;="&amp;$C$7,BD!$A$3:$A$5001,"&lt;="&amp;$B175,BD!$M$3:$M$5001,"&lt;&gt;"))))</f>
        <v/>
      </c>
      <c r="F175" s="42" t="str">
        <f>IF(OR($B175="",$A175&gt;$B$9),"",IF(COUNTIFS(BD!$B$3:$B$5001,F$149,BD!$A$3:$A$5001,"&gt;="&amp;$C$7,BD!$A$3:$A$5001,"&lt;="&amp;$B175,BD!$M$3:$M$5001,"&lt;&gt;")=0,"",SUMIFS(BD!$M$3:$M$5001,BD!$B$3:$B$5001,F$149,BD!$A$3:$A$5001,_xlfn.MAXIFS(BD!$A$3:$A$5001,BD!$B$3:$B$5001,F$149,BD!$A$3:$A$5001,"&gt;="&amp;$C$7,BD!$A$3:$A$5001,"&lt;="&amp;$B175,BD!$M$3:$M$5001,"&lt;&gt;"))))</f>
        <v/>
      </c>
      <c r="G175" s="42" t="str">
        <f>IF(OR($B175="",$A175&gt;$B$9),"",IF(COUNTIFS(BD!$B$3:$B$5001,G$149,BD!$A$3:$A$5001,"&gt;="&amp;$C$7,BD!$A$3:$A$5001,"&lt;="&amp;$B175,BD!$M$3:$M$5001,"&lt;&gt;")=0,"",SUMIFS(BD!$M$3:$M$5001,BD!$B$3:$B$5001,G$149,BD!$A$3:$A$5001,_xlfn.MAXIFS(BD!$A$3:$A$5001,BD!$B$3:$B$5001,G$149,BD!$A$3:$A$5001,"&gt;="&amp;$C$7,BD!$A$3:$A$5001,"&lt;="&amp;$B175,BD!$M$3:$M$5001,"&lt;&gt;"))))</f>
        <v/>
      </c>
    </row>
    <row r="176">
      <c r="A176" s="40">
        <v>27</v>
      </c>
      <c r="B176" s="41">
        <f>$B$38</f>
        <v>46322</v>
      </c>
      <c r="C176" s="42" t="str">
        <f>IF(OR($B176="",$A176&gt;$B$9),"",IF(COUNTIFS(BD!$B$3:$B$5001,C$149,BD!$A$3:$A$5001,"&gt;="&amp;$C$7,BD!$A$3:$A$5001,"&lt;="&amp;$B176,BD!$M$3:$M$5001,"&lt;&gt;")=0,"",SUMIFS(BD!$M$3:$M$5001,BD!$B$3:$B$5001,C$149,BD!$A$3:$A$5001,_xlfn.MAXIFS(BD!$A$3:$A$5001,BD!$B$3:$B$5001,C$149,BD!$A$3:$A$5001,"&gt;="&amp;$C$7,BD!$A$3:$A$5001,"&lt;="&amp;$B176,BD!$M$3:$M$5001,"&lt;&gt;"))))</f>
        <v/>
      </c>
      <c r="D176" s="42" t="str">
        <f>IF(OR($B176="",$A176&gt;$B$9),"",IF(COUNTIFS(BD!$B$3:$B$5001,D$149,BD!$A$3:$A$5001,"&gt;="&amp;$C$7,BD!$A$3:$A$5001,"&lt;="&amp;$B176,BD!$M$3:$M$5001,"&lt;&gt;")=0,"",SUMIFS(BD!$M$3:$M$5001,BD!$B$3:$B$5001,D$149,BD!$A$3:$A$5001,_xlfn.MAXIFS(BD!$A$3:$A$5001,BD!$B$3:$B$5001,D$149,BD!$A$3:$A$5001,"&gt;="&amp;$C$7,BD!$A$3:$A$5001,"&lt;="&amp;$B176,BD!$M$3:$M$5001,"&lt;&gt;"))))</f>
        <v/>
      </c>
      <c r="E176" s="42" t="str">
        <f>IF(OR($B176="",$A176&gt;$B$9),"",IF(COUNTIFS(BD!$B$3:$B$5001,E$149,BD!$A$3:$A$5001,"&gt;="&amp;$C$7,BD!$A$3:$A$5001,"&lt;="&amp;$B176,BD!$M$3:$M$5001,"&lt;&gt;")=0,"",SUMIFS(BD!$M$3:$M$5001,BD!$B$3:$B$5001,E$149,BD!$A$3:$A$5001,_xlfn.MAXIFS(BD!$A$3:$A$5001,BD!$B$3:$B$5001,E$149,BD!$A$3:$A$5001,"&gt;="&amp;$C$7,BD!$A$3:$A$5001,"&lt;="&amp;$B176,BD!$M$3:$M$5001,"&lt;&gt;"))))</f>
        <v/>
      </c>
      <c r="F176" s="42" t="str">
        <f>IF(OR($B176="",$A176&gt;$B$9),"",IF(COUNTIFS(BD!$B$3:$B$5001,F$149,BD!$A$3:$A$5001,"&gt;="&amp;$C$7,BD!$A$3:$A$5001,"&lt;="&amp;$B176,BD!$M$3:$M$5001,"&lt;&gt;")=0,"",SUMIFS(BD!$M$3:$M$5001,BD!$B$3:$B$5001,F$149,BD!$A$3:$A$5001,_xlfn.MAXIFS(BD!$A$3:$A$5001,BD!$B$3:$B$5001,F$149,BD!$A$3:$A$5001,"&gt;="&amp;$C$7,BD!$A$3:$A$5001,"&lt;="&amp;$B176,BD!$M$3:$M$5001,"&lt;&gt;"))))</f>
        <v/>
      </c>
      <c r="G176" s="42" t="str">
        <f>IF(OR($B176="",$A176&gt;$B$9),"",IF(COUNTIFS(BD!$B$3:$B$5001,G$149,BD!$A$3:$A$5001,"&gt;="&amp;$C$7,BD!$A$3:$A$5001,"&lt;="&amp;$B176,BD!$M$3:$M$5001,"&lt;&gt;")=0,"",SUMIFS(BD!$M$3:$M$5001,BD!$B$3:$B$5001,G$149,BD!$A$3:$A$5001,_xlfn.MAXIFS(BD!$A$3:$A$5001,BD!$B$3:$B$5001,G$149,BD!$A$3:$A$5001,"&gt;="&amp;$C$7,BD!$A$3:$A$5001,"&lt;="&amp;$B176,BD!$M$3:$M$5001,"&lt;&gt;"))))</f>
        <v/>
      </c>
    </row>
    <row r="177">
      <c r="A177" s="40">
        <v>28</v>
      </c>
      <c r="B177" s="41">
        <f>$B$39</f>
        <v>46323</v>
      </c>
      <c r="C177" s="42" t="str">
        <f>IF(OR($B177="",$A177&gt;$B$9),"",IF(COUNTIFS(BD!$B$3:$B$5001,C$149,BD!$A$3:$A$5001,"&gt;="&amp;$C$7,BD!$A$3:$A$5001,"&lt;="&amp;$B177,BD!$M$3:$M$5001,"&lt;&gt;")=0,"",SUMIFS(BD!$M$3:$M$5001,BD!$B$3:$B$5001,C$149,BD!$A$3:$A$5001,_xlfn.MAXIFS(BD!$A$3:$A$5001,BD!$B$3:$B$5001,C$149,BD!$A$3:$A$5001,"&gt;="&amp;$C$7,BD!$A$3:$A$5001,"&lt;="&amp;$B177,BD!$M$3:$M$5001,"&lt;&gt;"))))</f>
        <v/>
      </c>
      <c r="D177" s="42" t="str">
        <f>IF(OR($B177="",$A177&gt;$B$9),"",IF(COUNTIFS(BD!$B$3:$B$5001,D$149,BD!$A$3:$A$5001,"&gt;="&amp;$C$7,BD!$A$3:$A$5001,"&lt;="&amp;$B177,BD!$M$3:$M$5001,"&lt;&gt;")=0,"",SUMIFS(BD!$M$3:$M$5001,BD!$B$3:$B$5001,D$149,BD!$A$3:$A$5001,_xlfn.MAXIFS(BD!$A$3:$A$5001,BD!$B$3:$B$5001,D$149,BD!$A$3:$A$5001,"&gt;="&amp;$C$7,BD!$A$3:$A$5001,"&lt;="&amp;$B177,BD!$M$3:$M$5001,"&lt;&gt;"))))</f>
        <v/>
      </c>
      <c r="E177" s="42" t="str">
        <f>IF(OR($B177="",$A177&gt;$B$9),"",IF(COUNTIFS(BD!$B$3:$B$5001,E$149,BD!$A$3:$A$5001,"&gt;="&amp;$C$7,BD!$A$3:$A$5001,"&lt;="&amp;$B177,BD!$M$3:$M$5001,"&lt;&gt;")=0,"",SUMIFS(BD!$M$3:$M$5001,BD!$B$3:$B$5001,E$149,BD!$A$3:$A$5001,_xlfn.MAXIFS(BD!$A$3:$A$5001,BD!$B$3:$B$5001,E$149,BD!$A$3:$A$5001,"&gt;="&amp;$C$7,BD!$A$3:$A$5001,"&lt;="&amp;$B177,BD!$M$3:$M$5001,"&lt;&gt;"))))</f>
        <v/>
      </c>
      <c r="F177" s="42" t="str">
        <f>IF(OR($B177="",$A177&gt;$B$9),"",IF(COUNTIFS(BD!$B$3:$B$5001,F$149,BD!$A$3:$A$5001,"&gt;="&amp;$C$7,BD!$A$3:$A$5001,"&lt;="&amp;$B177,BD!$M$3:$M$5001,"&lt;&gt;")=0,"",SUMIFS(BD!$M$3:$M$5001,BD!$B$3:$B$5001,F$149,BD!$A$3:$A$5001,_xlfn.MAXIFS(BD!$A$3:$A$5001,BD!$B$3:$B$5001,F$149,BD!$A$3:$A$5001,"&gt;="&amp;$C$7,BD!$A$3:$A$5001,"&lt;="&amp;$B177,BD!$M$3:$M$5001,"&lt;&gt;"))))</f>
        <v/>
      </c>
      <c r="G177" s="42" t="str">
        <f>IF(OR($B177="",$A177&gt;$B$9),"",IF(COUNTIFS(BD!$B$3:$B$5001,G$149,BD!$A$3:$A$5001,"&gt;="&amp;$C$7,BD!$A$3:$A$5001,"&lt;="&amp;$B177,BD!$M$3:$M$5001,"&lt;&gt;")=0,"",SUMIFS(BD!$M$3:$M$5001,BD!$B$3:$B$5001,G$149,BD!$A$3:$A$5001,_xlfn.MAXIFS(BD!$A$3:$A$5001,BD!$B$3:$B$5001,G$149,BD!$A$3:$A$5001,"&gt;="&amp;$C$7,BD!$A$3:$A$5001,"&lt;="&amp;$B177,BD!$M$3:$M$5001,"&lt;&gt;"))))</f>
        <v/>
      </c>
    </row>
    <row r="178">
      <c r="A178" s="40">
        <v>29</v>
      </c>
      <c r="B178" s="41">
        <f>$B$40</f>
        <v>46324</v>
      </c>
      <c r="C178" s="42" t="str">
        <f>IF(OR($B178="",$A178&gt;$B$9),"",IF(COUNTIFS(BD!$B$3:$B$5001,C$149,BD!$A$3:$A$5001,"&gt;="&amp;$C$7,BD!$A$3:$A$5001,"&lt;="&amp;$B178,BD!$M$3:$M$5001,"&lt;&gt;")=0,"",SUMIFS(BD!$M$3:$M$5001,BD!$B$3:$B$5001,C$149,BD!$A$3:$A$5001,_xlfn.MAXIFS(BD!$A$3:$A$5001,BD!$B$3:$B$5001,C$149,BD!$A$3:$A$5001,"&gt;="&amp;$C$7,BD!$A$3:$A$5001,"&lt;="&amp;$B178,BD!$M$3:$M$5001,"&lt;&gt;"))))</f>
        <v/>
      </c>
      <c r="D178" s="42" t="str">
        <f>IF(OR($B178="",$A178&gt;$B$9),"",IF(COUNTIFS(BD!$B$3:$B$5001,D$149,BD!$A$3:$A$5001,"&gt;="&amp;$C$7,BD!$A$3:$A$5001,"&lt;="&amp;$B178,BD!$M$3:$M$5001,"&lt;&gt;")=0,"",SUMIFS(BD!$M$3:$M$5001,BD!$B$3:$B$5001,D$149,BD!$A$3:$A$5001,_xlfn.MAXIFS(BD!$A$3:$A$5001,BD!$B$3:$B$5001,D$149,BD!$A$3:$A$5001,"&gt;="&amp;$C$7,BD!$A$3:$A$5001,"&lt;="&amp;$B178,BD!$M$3:$M$5001,"&lt;&gt;"))))</f>
        <v/>
      </c>
      <c r="E178" s="42" t="str">
        <f>IF(OR($B178="",$A178&gt;$B$9),"",IF(COUNTIFS(BD!$B$3:$B$5001,E$149,BD!$A$3:$A$5001,"&gt;="&amp;$C$7,BD!$A$3:$A$5001,"&lt;="&amp;$B178,BD!$M$3:$M$5001,"&lt;&gt;")=0,"",SUMIFS(BD!$M$3:$M$5001,BD!$B$3:$B$5001,E$149,BD!$A$3:$A$5001,_xlfn.MAXIFS(BD!$A$3:$A$5001,BD!$B$3:$B$5001,E$149,BD!$A$3:$A$5001,"&gt;="&amp;$C$7,BD!$A$3:$A$5001,"&lt;="&amp;$B178,BD!$M$3:$M$5001,"&lt;&gt;"))))</f>
        <v/>
      </c>
      <c r="F178" s="42" t="str">
        <f>IF(OR($B178="",$A178&gt;$B$9),"",IF(COUNTIFS(BD!$B$3:$B$5001,F$149,BD!$A$3:$A$5001,"&gt;="&amp;$C$7,BD!$A$3:$A$5001,"&lt;="&amp;$B178,BD!$M$3:$M$5001,"&lt;&gt;")=0,"",SUMIFS(BD!$M$3:$M$5001,BD!$B$3:$B$5001,F$149,BD!$A$3:$A$5001,_xlfn.MAXIFS(BD!$A$3:$A$5001,BD!$B$3:$B$5001,F$149,BD!$A$3:$A$5001,"&gt;="&amp;$C$7,BD!$A$3:$A$5001,"&lt;="&amp;$B178,BD!$M$3:$M$5001,"&lt;&gt;"))))</f>
        <v/>
      </c>
      <c r="G178" s="42" t="str">
        <f>IF(OR($B178="",$A178&gt;$B$9),"",IF(COUNTIFS(BD!$B$3:$B$5001,G$149,BD!$A$3:$A$5001,"&gt;="&amp;$C$7,BD!$A$3:$A$5001,"&lt;="&amp;$B178,BD!$M$3:$M$5001,"&lt;&gt;")=0,"",SUMIFS(BD!$M$3:$M$5001,BD!$B$3:$B$5001,G$149,BD!$A$3:$A$5001,_xlfn.MAXIFS(BD!$A$3:$A$5001,BD!$B$3:$B$5001,G$149,BD!$A$3:$A$5001,"&gt;="&amp;$C$7,BD!$A$3:$A$5001,"&lt;="&amp;$B178,BD!$M$3:$M$5001,"&lt;&gt;"))))</f>
        <v/>
      </c>
    </row>
    <row r="179">
      <c r="A179" s="40">
        <v>30</v>
      </c>
      <c r="B179" s="41">
        <f>$B$41</f>
        <v>46325</v>
      </c>
      <c r="C179" s="42" t="str">
        <f>IF(OR($B179="",$A179&gt;$B$9),"",IF(COUNTIFS(BD!$B$3:$B$5001,C$149,BD!$A$3:$A$5001,"&gt;="&amp;$C$7,BD!$A$3:$A$5001,"&lt;="&amp;$B179,BD!$M$3:$M$5001,"&lt;&gt;")=0,"",SUMIFS(BD!$M$3:$M$5001,BD!$B$3:$B$5001,C$149,BD!$A$3:$A$5001,_xlfn.MAXIFS(BD!$A$3:$A$5001,BD!$B$3:$B$5001,C$149,BD!$A$3:$A$5001,"&gt;="&amp;$C$7,BD!$A$3:$A$5001,"&lt;="&amp;$B179,BD!$M$3:$M$5001,"&lt;&gt;"))))</f>
        <v/>
      </c>
      <c r="D179" s="42" t="str">
        <f>IF(OR($B179="",$A179&gt;$B$9),"",IF(COUNTIFS(BD!$B$3:$B$5001,D$149,BD!$A$3:$A$5001,"&gt;="&amp;$C$7,BD!$A$3:$A$5001,"&lt;="&amp;$B179,BD!$M$3:$M$5001,"&lt;&gt;")=0,"",SUMIFS(BD!$M$3:$M$5001,BD!$B$3:$B$5001,D$149,BD!$A$3:$A$5001,_xlfn.MAXIFS(BD!$A$3:$A$5001,BD!$B$3:$B$5001,D$149,BD!$A$3:$A$5001,"&gt;="&amp;$C$7,BD!$A$3:$A$5001,"&lt;="&amp;$B179,BD!$M$3:$M$5001,"&lt;&gt;"))))</f>
        <v/>
      </c>
      <c r="E179" s="42" t="str">
        <f>IF(OR($B179="",$A179&gt;$B$9),"",IF(COUNTIFS(BD!$B$3:$B$5001,E$149,BD!$A$3:$A$5001,"&gt;="&amp;$C$7,BD!$A$3:$A$5001,"&lt;="&amp;$B179,BD!$M$3:$M$5001,"&lt;&gt;")=0,"",SUMIFS(BD!$M$3:$M$5001,BD!$B$3:$B$5001,E$149,BD!$A$3:$A$5001,_xlfn.MAXIFS(BD!$A$3:$A$5001,BD!$B$3:$B$5001,E$149,BD!$A$3:$A$5001,"&gt;="&amp;$C$7,BD!$A$3:$A$5001,"&lt;="&amp;$B179,BD!$M$3:$M$5001,"&lt;&gt;"))))</f>
        <v/>
      </c>
      <c r="F179" s="42" t="str">
        <f>IF(OR($B179="",$A179&gt;$B$9),"",IF(COUNTIFS(BD!$B$3:$B$5001,F$149,BD!$A$3:$A$5001,"&gt;="&amp;$C$7,BD!$A$3:$A$5001,"&lt;="&amp;$B179,BD!$M$3:$M$5001,"&lt;&gt;")=0,"",SUMIFS(BD!$M$3:$M$5001,BD!$B$3:$B$5001,F$149,BD!$A$3:$A$5001,_xlfn.MAXIFS(BD!$A$3:$A$5001,BD!$B$3:$B$5001,F$149,BD!$A$3:$A$5001,"&gt;="&amp;$C$7,BD!$A$3:$A$5001,"&lt;="&amp;$B179,BD!$M$3:$M$5001,"&lt;&gt;"))))</f>
        <v/>
      </c>
      <c r="G179" s="42" t="str">
        <f>IF(OR($B179="",$A179&gt;$B$9),"",IF(COUNTIFS(BD!$B$3:$B$5001,G$149,BD!$A$3:$A$5001,"&gt;="&amp;$C$7,BD!$A$3:$A$5001,"&lt;="&amp;$B179,BD!$M$3:$M$5001,"&lt;&gt;")=0,"",SUMIFS(BD!$M$3:$M$5001,BD!$B$3:$B$5001,G$149,BD!$A$3:$A$5001,_xlfn.MAXIFS(BD!$A$3:$A$5001,BD!$B$3:$B$5001,G$149,BD!$A$3:$A$5001,"&gt;="&amp;$C$7,BD!$A$3:$A$5001,"&lt;="&amp;$B179,BD!$M$3:$M$5001,"&lt;&gt;"))))</f>
        <v/>
      </c>
    </row>
    <row r="180">
      <c r="A180" s="40">
        <v>31</v>
      </c>
      <c r="B180" s="41">
        <f>$B$42</f>
        <v>46326</v>
      </c>
      <c r="C180" s="42" t="str">
        <f>IF(OR($B180="",$A180&gt;$B$9),"",IF(COUNTIFS(BD!$B$3:$B$5001,C$149,BD!$A$3:$A$5001,"&gt;="&amp;$C$7,BD!$A$3:$A$5001,"&lt;="&amp;$B180,BD!$M$3:$M$5001,"&lt;&gt;")=0,"",SUMIFS(BD!$M$3:$M$5001,BD!$B$3:$B$5001,C$149,BD!$A$3:$A$5001,_xlfn.MAXIFS(BD!$A$3:$A$5001,BD!$B$3:$B$5001,C$149,BD!$A$3:$A$5001,"&gt;="&amp;$C$7,BD!$A$3:$A$5001,"&lt;="&amp;$B180,BD!$M$3:$M$5001,"&lt;&gt;"))))</f>
        <v/>
      </c>
      <c r="D180" s="42" t="str">
        <f>IF(OR($B180="",$A180&gt;$B$9),"",IF(COUNTIFS(BD!$B$3:$B$5001,D$149,BD!$A$3:$A$5001,"&gt;="&amp;$C$7,BD!$A$3:$A$5001,"&lt;="&amp;$B180,BD!$M$3:$M$5001,"&lt;&gt;")=0,"",SUMIFS(BD!$M$3:$M$5001,BD!$B$3:$B$5001,D$149,BD!$A$3:$A$5001,_xlfn.MAXIFS(BD!$A$3:$A$5001,BD!$B$3:$B$5001,D$149,BD!$A$3:$A$5001,"&gt;="&amp;$C$7,BD!$A$3:$A$5001,"&lt;="&amp;$B180,BD!$M$3:$M$5001,"&lt;&gt;"))))</f>
        <v/>
      </c>
      <c r="E180" s="42" t="str">
        <f>IF(OR($B180="",$A180&gt;$B$9),"",IF(COUNTIFS(BD!$B$3:$B$5001,E$149,BD!$A$3:$A$5001,"&gt;="&amp;$C$7,BD!$A$3:$A$5001,"&lt;="&amp;$B180,BD!$M$3:$M$5001,"&lt;&gt;")=0,"",SUMIFS(BD!$M$3:$M$5001,BD!$B$3:$B$5001,E$149,BD!$A$3:$A$5001,_xlfn.MAXIFS(BD!$A$3:$A$5001,BD!$B$3:$B$5001,E$149,BD!$A$3:$A$5001,"&gt;="&amp;$C$7,BD!$A$3:$A$5001,"&lt;="&amp;$B180,BD!$M$3:$M$5001,"&lt;&gt;"))))</f>
        <v/>
      </c>
      <c r="F180" s="42" t="str">
        <f>IF(OR($B180="",$A180&gt;$B$9),"",IF(COUNTIFS(BD!$B$3:$B$5001,F$149,BD!$A$3:$A$5001,"&gt;="&amp;$C$7,BD!$A$3:$A$5001,"&lt;="&amp;$B180,BD!$M$3:$M$5001,"&lt;&gt;")=0,"",SUMIFS(BD!$M$3:$M$5001,BD!$B$3:$B$5001,F$149,BD!$A$3:$A$5001,_xlfn.MAXIFS(BD!$A$3:$A$5001,BD!$B$3:$B$5001,F$149,BD!$A$3:$A$5001,"&gt;="&amp;$C$7,BD!$A$3:$A$5001,"&lt;="&amp;$B180,BD!$M$3:$M$5001,"&lt;&gt;"))))</f>
        <v/>
      </c>
      <c r="G180" s="42" t="str">
        <f>IF(OR($B180="",$A180&gt;$B$9),"",IF(COUNTIFS(BD!$B$3:$B$5001,G$149,BD!$A$3:$A$5001,"&gt;="&amp;$C$7,BD!$A$3:$A$5001,"&lt;="&amp;$B180,BD!$M$3:$M$5001,"&lt;&gt;")=0,"",SUMIFS(BD!$M$3:$M$5001,BD!$B$3:$B$5001,G$149,BD!$A$3:$A$5001,_xlfn.MAXIFS(BD!$A$3:$A$5001,BD!$B$3:$B$5001,G$149,BD!$A$3:$A$5001,"&gt;="&amp;$C$7,BD!$A$3:$A$5001,"&lt;="&amp;$B180,BD!$M$3:$M$5001,"&lt;&gt;"))))</f>
        <v/>
      </c>
    </row>
    <row r="181">
      <c r="A181" s="43" t="inlineStr">
        <is>
          <t xml:space="preserve">Mês anterior (último)</t>
        </is>
      </c>
      <c r="C181" s="44" t="str">
        <f>IF(COUNTIFS(BD!$B$3:$B$5001,C$149,BD!$A$3:$A$5001,"&gt;="&amp;$C$8,BD!$A$3:$A$5001,"&lt;="&amp;$D$8,BD!$M$3:$M$5001,"&lt;&gt;")=0,"",SUMIFS(BD!$M$3:$M$5001,BD!$B$3:$B$5001,C$149,BD!$A$3:$A$5001,_xlfn.MAXIFS(BD!$A$3:$A$5001,BD!$B$3:$B$5001,C$149,BD!$A$3:$A$5001,"&gt;="&amp;$C$8,BD!$A$3:$A$5001,"&lt;="&amp;$D$8,BD!$M$3:$M$5001,"&lt;&gt;")))</f>
        <v/>
      </c>
      <c r="D181" s="44" t="str">
        <f>IF(COUNTIFS(BD!$B$3:$B$5001,D$149,BD!$A$3:$A$5001,"&gt;="&amp;$C$8,BD!$A$3:$A$5001,"&lt;="&amp;$D$8,BD!$M$3:$M$5001,"&lt;&gt;")=0,"",SUMIFS(BD!$M$3:$M$5001,BD!$B$3:$B$5001,D$149,BD!$A$3:$A$5001,_xlfn.MAXIFS(BD!$A$3:$A$5001,BD!$B$3:$B$5001,D$149,BD!$A$3:$A$5001,"&gt;="&amp;$C$8,BD!$A$3:$A$5001,"&lt;="&amp;$D$8,BD!$M$3:$M$5001,"&lt;&gt;")))</f>
        <v/>
      </c>
      <c r="E181" s="44" t="str">
        <f>IF(COUNTIFS(BD!$B$3:$B$5001,E$149,BD!$A$3:$A$5001,"&gt;="&amp;$C$8,BD!$A$3:$A$5001,"&lt;="&amp;$D$8,BD!$M$3:$M$5001,"&lt;&gt;")=0,"",SUMIFS(BD!$M$3:$M$5001,BD!$B$3:$B$5001,E$149,BD!$A$3:$A$5001,_xlfn.MAXIFS(BD!$A$3:$A$5001,BD!$B$3:$B$5001,E$149,BD!$A$3:$A$5001,"&gt;="&amp;$C$8,BD!$A$3:$A$5001,"&lt;="&amp;$D$8,BD!$M$3:$M$5001,"&lt;&gt;")))</f>
        <v/>
      </c>
      <c r="F181" s="44" t="str">
        <f>IF(COUNTIFS(BD!$B$3:$B$5001,F$149,BD!$A$3:$A$5001,"&gt;="&amp;$C$8,BD!$A$3:$A$5001,"&lt;="&amp;$D$8,BD!$M$3:$M$5001,"&lt;&gt;")=0,"",SUMIFS(BD!$M$3:$M$5001,BD!$B$3:$B$5001,F$149,BD!$A$3:$A$5001,_xlfn.MAXIFS(BD!$A$3:$A$5001,BD!$B$3:$B$5001,F$149,BD!$A$3:$A$5001,"&gt;="&amp;$C$8,BD!$A$3:$A$5001,"&lt;="&amp;$D$8,BD!$M$3:$M$5001,"&lt;&gt;")))</f>
        <v/>
      </c>
      <c r="G181" s="44" t="str">
        <f>IF(COUNTIFS(BD!$B$3:$B$5001,G$149,BD!$A$3:$A$5001,"&gt;="&amp;$C$8,BD!$A$3:$A$5001,"&lt;="&amp;$D$8,BD!$M$3:$M$5001,"&lt;&gt;")=0,"",SUMIFS(BD!$M$3:$M$5001,BD!$B$3:$B$5001,G$149,BD!$A$3:$A$5001,_xlfn.MAXIFS(BD!$A$3:$A$5001,BD!$B$3:$B$5001,G$149,BD!$A$3:$A$5001,"&gt;="&amp;$C$8,BD!$A$3:$A$5001,"&lt;="&amp;$D$8,BD!$M$3:$M$5001,"&lt;&gt;")))</f>
        <v/>
      </c>
    </row>
    <row r="182">
      <c r="A182" s="43" t="inlineStr">
        <is>
          <t xml:space="preserve">Depósito</t>
        </is>
      </c>
      <c r="C182" s="40" t="inlineStr">
        <is>
          <t xml:space="preserve">JSL</t>
        </is>
      </c>
      <c r="D182" s="40" t="inlineStr">
        <is>
          <t xml:space="preserve">JSL</t>
        </is>
      </c>
      <c r="E182" s="40" t="inlineStr">
        <is>
          <t xml:space="preserve">JSL</t>
        </is>
      </c>
      <c r="F182" s="40" t="inlineStr">
        <is>
          <t xml:space="preserve">JSL</t>
        </is>
      </c>
      <c r="G182" s="40" t="inlineStr">
        <is>
          <t xml:space="preserve">JSL</t>
        </is>
      </c>
    </row>
    <row r="184">
      <c r="A184" s="37" t="inlineStr">
        <is>
          <t xml:space="preserve">Posições Disponíveis</t>
        </is>
      </c>
      <c r="B184" s="37" t="inlineStr">
        <is>
          <t xml:space="preserve">Data</t>
        </is>
      </c>
      <c r="C184" s="37" t="inlineStr">
        <is>
          <t xml:space="preserve">Barry Callebaut</t>
        </is>
      </c>
      <c r="D184" s="37" t="inlineStr">
        <is>
          <t xml:space="preserve">GM</t>
        </is>
      </c>
      <c r="E184" s="37" t="inlineStr">
        <is>
          <t xml:space="preserve">Mondelez</t>
        </is>
      </c>
      <c r="F184" s="37" t="inlineStr">
        <is>
          <t xml:space="preserve">Nestlé</t>
        </is>
      </c>
      <c r="G184" s="37" t="inlineStr">
        <is>
          <t xml:space="preserve">PMB</t>
        </is>
      </c>
    </row>
    <row r="185">
      <c r="A185" s="40">
        <v>1</v>
      </c>
      <c r="B185" s="41">
        <f>$B$12</f>
        <v>46296</v>
      </c>
      <c r="C185" s="42" t="str">
        <f>IF(OR($B185="",$A185&gt;$B$9),"",IF(COUNTIFS(BD!$B$3:$B$5001,C$184,BD!$A$3:$A$5001,"&gt;="&amp;$C$7,BD!$A$3:$A$5001,"&lt;="&amp;$B185,BD!$L$3:$L$5001,"&lt;&gt;")=0,"",SUMIFS(BD!$L$3:$L$5001,BD!$B$3:$B$5001,C$184,BD!$A$3:$A$5001,_xlfn.MAXIFS(BD!$A$3:$A$5001,BD!$B$3:$B$5001,C$184,BD!$A$3:$A$5001,"&gt;="&amp;$C$7,BD!$A$3:$A$5001,"&lt;="&amp;$B185,BD!$L$3:$L$5001,"&lt;&gt;"))))</f>
        <v/>
      </c>
      <c r="D185" s="42" t="str">
        <f>IF(OR($B185="",$A185&gt;$B$9),"",IF(COUNTIFS(BD!$B$3:$B$5001,D$184,BD!$A$3:$A$5001,"&gt;="&amp;$C$7,BD!$A$3:$A$5001,"&lt;="&amp;$B185,BD!$L$3:$L$5001,"&lt;&gt;")=0,"",SUMIFS(BD!$L$3:$L$5001,BD!$B$3:$B$5001,D$184,BD!$A$3:$A$5001,_xlfn.MAXIFS(BD!$A$3:$A$5001,BD!$B$3:$B$5001,D$184,BD!$A$3:$A$5001,"&gt;="&amp;$C$7,BD!$A$3:$A$5001,"&lt;="&amp;$B185,BD!$L$3:$L$5001,"&lt;&gt;"))))</f>
        <v/>
      </c>
      <c r="E185" s="42" t="str">
        <f>IF(OR($B185="",$A185&gt;$B$9),"",IF(COUNTIFS(BD!$B$3:$B$5001,E$184,BD!$A$3:$A$5001,"&gt;="&amp;$C$7,BD!$A$3:$A$5001,"&lt;="&amp;$B185,BD!$L$3:$L$5001,"&lt;&gt;")=0,"",SUMIFS(BD!$L$3:$L$5001,BD!$B$3:$B$5001,E$184,BD!$A$3:$A$5001,_xlfn.MAXIFS(BD!$A$3:$A$5001,BD!$B$3:$B$5001,E$184,BD!$A$3:$A$5001,"&gt;="&amp;$C$7,BD!$A$3:$A$5001,"&lt;="&amp;$B185,BD!$L$3:$L$5001,"&lt;&gt;"))))</f>
        <v/>
      </c>
      <c r="F185" s="42" t="str">
        <f>IF(OR($B185="",$A185&gt;$B$9),"",IF(COUNTIFS(BD!$B$3:$B$5001,F$184,BD!$A$3:$A$5001,"&gt;="&amp;$C$7,BD!$A$3:$A$5001,"&lt;="&amp;$B185,BD!$L$3:$L$5001,"&lt;&gt;")=0,"",SUMIFS(BD!$L$3:$L$5001,BD!$B$3:$B$5001,F$184,BD!$A$3:$A$5001,_xlfn.MAXIFS(BD!$A$3:$A$5001,BD!$B$3:$B$5001,F$184,BD!$A$3:$A$5001,"&gt;="&amp;$C$7,BD!$A$3:$A$5001,"&lt;="&amp;$B185,BD!$L$3:$L$5001,"&lt;&gt;"))))</f>
        <v/>
      </c>
      <c r="G185" s="42" t="str">
        <f>IF(OR($B185="",$A185&gt;$B$9),"",IF(COUNTIFS(BD!$B$3:$B$5001,G$184,BD!$A$3:$A$5001,"&gt;="&amp;$C$7,BD!$A$3:$A$5001,"&lt;="&amp;$B185,BD!$L$3:$L$5001,"&lt;&gt;")=0,"",SUMIFS(BD!$L$3:$L$5001,BD!$B$3:$B$5001,G$184,BD!$A$3:$A$5001,_xlfn.MAXIFS(BD!$A$3:$A$5001,BD!$B$3:$B$5001,G$184,BD!$A$3:$A$5001,"&gt;="&amp;$C$7,BD!$A$3:$A$5001,"&lt;="&amp;$B185,BD!$L$3:$L$5001,"&lt;&gt;"))))</f>
        <v/>
      </c>
    </row>
    <row r="186">
      <c r="A186" s="40">
        <v>2</v>
      </c>
      <c r="B186" s="41">
        <f>$B$13</f>
        <v>46297</v>
      </c>
      <c r="C186" s="42" t="str">
        <f>IF(OR($B186="",$A186&gt;$B$9),"",IF(COUNTIFS(BD!$B$3:$B$5001,C$184,BD!$A$3:$A$5001,"&gt;="&amp;$C$7,BD!$A$3:$A$5001,"&lt;="&amp;$B186,BD!$L$3:$L$5001,"&lt;&gt;")=0,"",SUMIFS(BD!$L$3:$L$5001,BD!$B$3:$B$5001,C$184,BD!$A$3:$A$5001,_xlfn.MAXIFS(BD!$A$3:$A$5001,BD!$B$3:$B$5001,C$184,BD!$A$3:$A$5001,"&gt;="&amp;$C$7,BD!$A$3:$A$5001,"&lt;="&amp;$B186,BD!$L$3:$L$5001,"&lt;&gt;"))))</f>
        <v/>
      </c>
      <c r="D186" s="42" t="str">
        <f>IF(OR($B186="",$A186&gt;$B$9),"",IF(COUNTIFS(BD!$B$3:$B$5001,D$184,BD!$A$3:$A$5001,"&gt;="&amp;$C$7,BD!$A$3:$A$5001,"&lt;="&amp;$B186,BD!$L$3:$L$5001,"&lt;&gt;")=0,"",SUMIFS(BD!$L$3:$L$5001,BD!$B$3:$B$5001,D$184,BD!$A$3:$A$5001,_xlfn.MAXIFS(BD!$A$3:$A$5001,BD!$B$3:$B$5001,D$184,BD!$A$3:$A$5001,"&gt;="&amp;$C$7,BD!$A$3:$A$5001,"&lt;="&amp;$B186,BD!$L$3:$L$5001,"&lt;&gt;"))))</f>
        <v/>
      </c>
      <c r="E186" s="42" t="str">
        <f>IF(OR($B186="",$A186&gt;$B$9),"",IF(COUNTIFS(BD!$B$3:$B$5001,E$184,BD!$A$3:$A$5001,"&gt;="&amp;$C$7,BD!$A$3:$A$5001,"&lt;="&amp;$B186,BD!$L$3:$L$5001,"&lt;&gt;")=0,"",SUMIFS(BD!$L$3:$L$5001,BD!$B$3:$B$5001,E$184,BD!$A$3:$A$5001,_xlfn.MAXIFS(BD!$A$3:$A$5001,BD!$B$3:$B$5001,E$184,BD!$A$3:$A$5001,"&gt;="&amp;$C$7,BD!$A$3:$A$5001,"&lt;="&amp;$B186,BD!$L$3:$L$5001,"&lt;&gt;"))))</f>
        <v/>
      </c>
      <c r="F186" s="42" t="str">
        <f>IF(OR($B186="",$A186&gt;$B$9),"",IF(COUNTIFS(BD!$B$3:$B$5001,F$184,BD!$A$3:$A$5001,"&gt;="&amp;$C$7,BD!$A$3:$A$5001,"&lt;="&amp;$B186,BD!$L$3:$L$5001,"&lt;&gt;")=0,"",SUMIFS(BD!$L$3:$L$5001,BD!$B$3:$B$5001,F$184,BD!$A$3:$A$5001,_xlfn.MAXIFS(BD!$A$3:$A$5001,BD!$B$3:$B$5001,F$184,BD!$A$3:$A$5001,"&gt;="&amp;$C$7,BD!$A$3:$A$5001,"&lt;="&amp;$B186,BD!$L$3:$L$5001,"&lt;&gt;"))))</f>
        <v/>
      </c>
      <c r="G186" s="42" t="str">
        <f>IF(OR($B186="",$A186&gt;$B$9),"",IF(COUNTIFS(BD!$B$3:$B$5001,G$184,BD!$A$3:$A$5001,"&gt;="&amp;$C$7,BD!$A$3:$A$5001,"&lt;="&amp;$B186,BD!$L$3:$L$5001,"&lt;&gt;")=0,"",SUMIFS(BD!$L$3:$L$5001,BD!$B$3:$B$5001,G$184,BD!$A$3:$A$5001,_xlfn.MAXIFS(BD!$A$3:$A$5001,BD!$B$3:$B$5001,G$184,BD!$A$3:$A$5001,"&gt;="&amp;$C$7,BD!$A$3:$A$5001,"&lt;="&amp;$B186,BD!$L$3:$L$5001,"&lt;&gt;"))))</f>
        <v/>
      </c>
    </row>
    <row r="187">
      <c r="A187" s="40">
        <v>3</v>
      </c>
      <c r="B187" s="41">
        <f>$B$14</f>
        <v>46298</v>
      </c>
      <c r="C187" s="42" t="str">
        <f>IF(OR($B187="",$A187&gt;$B$9),"",IF(COUNTIFS(BD!$B$3:$B$5001,C$184,BD!$A$3:$A$5001,"&gt;="&amp;$C$7,BD!$A$3:$A$5001,"&lt;="&amp;$B187,BD!$L$3:$L$5001,"&lt;&gt;")=0,"",SUMIFS(BD!$L$3:$L$5001,BD!$B$3:$B$5001,C$184,BD!$A$3:$A$5001,_xlfn.MAXIFS(BD!$A$3:$A$5001,BD!$B$3:$B$5001,C$184,BD!$A$3:$A$5001,"&gt;="&amp;$C$7,BD!$A$3:$A$5001,"&lt;="&amp;$B187,BD!$L$3:$L$5001,"&lt;&gt;"))))</f>
        <v/>
      </c>
      <c r="D187" s="42" t="str">
        <f>IF(OR($B187="",$A187&gt;$B$9),"",IF(COUNTIFS(BD!$B$3:$B$5001,D$184,BD!$A$3:$A$5001,"&gt;="&amp;$C$7,BD!$A$3:$A$5001,"&lt;="&amp;$B187,BD!$L$3:$L$5001,"&lt;&gt;")=0,"",SUMIFS(BD!$L$3:$L$5001,BD!$B$3:$B$5001,D$184,BD!$A$3:$A$5001,_xlfn.MAXIFS(BD!$A$3:$A$5001,BD!$B$3:$B$5001,D$184,BD!$A$3:$A$5001,"&gt;="&amp;$C$7,BD!$A$3:$A$5001,"&lt;="&amp;$B187,BD!$L$3:$L$5001,"&lt;&gt;"))))</f>
        <v/>
      </c>
      <c r="E187" s="42" t="str">
        <f>IF(OR($B187="",$A187&gt;$B$9),"",IF(COUNTIFS(BD!$B$3:$B$5001,E$184,BD!$A$3:$A$5001,"&gt;="&amp;$C$7,BD!$A$3:$A$5001,"&lt;="&amp;$B187,BD!$L$3:$L$5001,"&lt;&gt;")=0,"",SUMIFS(BD!$L$3:$L$5001,BD!$B$3:$B$5001,E$184,BD!$A$3:$A$5001,_xlfn.MAXIFS(BD!$A$3:$A$5001,BD!$B$3:$B$5001,E$184,BD!$A$3:$A$5001,"&gt;="&amp;$C$7,BD!$A$3:$A$5001,"&lt;="&amp;$B187,BD!$L$3:$L$5001,"&lt;&gt;"))))</f>
        <v/>
      </c>
      <c r="F187" s="42" t="str">
        <f>IF(OR($B187="",$A187&gt;$B$9),"",IF(COUNTIFS(BD!$B$3:$B$5001,F$184,BD!$A$3:$A$5001,"&gt;="&amp;$C$7,BD!$A$3:$A$5001,"&lt;="&amp;$B187,BD!$L$3:$L$5001,"&lt;&gt;")=0,"",SUMIFS(BD!$L$3:$L$5001,BD!$B$3:$B$5001,F$184,BD!$A$3:$A$5001,_xlfn.MAXIFS(BD!$A$3:$A$5001,BD!$B$3:$B$5001,F$184,BD!$A$3:$A$5001,"&gt;="&amp;$C$7,BD!$A$3:$A$5001,"&lt;="&amp;$B187,BD!$L$3:$L$5001,"&lt;&gt;"))))</f>
        <v/>
      </c>
      <c r="G187" s="42" t="str">
        <f>IF(OR($B187="",$A187&gt;$B$9),"",IF(COUNTIFS(BD!$B$3:$B$5001,G$184,BD!$A$3:$A$5001,"&gt;="&amp;$C$7,BD!$A$3:$A$5001,"&lt;="&amp;$B187,BD!$L$3:$L$5001,"&lt;&gt;")=0,"",SUMIFS(BD!$L$3:$L$5001,BD!$B$3:$B$5001,G$184,BD!$A$3:$A$5001,_xlfn.MAXIFS(BD!$A$3:$A$5001,BD!$B$3:$B$5001,G$184,BD!$A$3:$A$5001,"&gt;="&amp;$C$7,BD!$A$3:$A$5001,"&lt;="&amp;$B187,BD!$L$3:$L$5001,"&lt;&gt;"))))</f>
        <v/>
      </c>
    </row>
    <row r="188">
      <c r="A188" s="40">
        <v>4</v>
      </c>
      <c r="B188" s="41">
        <f>$B$15</f>
        <v>46299</v>
      </c>
      <c r="C188" s="42" t="str">
        <f>IF(OR($B188="",$A188&gt;$B$9),"",IF(COUNTIFS(BD!$B$3:$B$5001,C$184,BD!$A$3:$A$5001,"&gt;="&amp;$C$7,BD!$A$3:$A$5001,"&lt;="&amp;$B188,BD!$L$3:$L$5001,"&lt;&gt;")=0,"",SUMIFS(BD!$L$3:$L$5001,BD!$B$3:$B$5001,C$184,BD!$A$3:$A$5001,_xlfn.MAXIFS(BD!$A$3:$A$5001,BD!$B$3:$B$5001,C$184,BD!$A$3:$A$5001,"&gt;="&amp;$C$7,BD!$A$3:$A$5001,"&lt;="&amp;$B188,BD!$L$3:$L$5001,"&lt;&gt;"))))</f>
        <v/>
      </c>
      <c r="D188" s="42" t="str">
        <f>IF(OR($B188="",$A188&gt;$B$9),"",IF(COUNTIFS(BD!$B$3:$B$5001,D$184,BD!$A$3:$A$5001,"&gt;="&amp;$C$7,BD!$A$3:$A$5001,"&lt;="&amp;$B188,BD!$L$3:$L$5001,"&lt;&gt;")=0,"",SUMIFS(BD!$L$3:$L$5001,BD!$B$3:$B$5001,D$184,BD!$A$3:$A$5001,_xlfn.MAXIFS(BD!$A$3:$A$5001,BD!$B$3:$B$5001,D$184,BD!$A$3:$A$5001,"&gt;="&amp;$C$7,BD!$A$3:$A$5001,"&lt;="&amp;$B188,BD!$L$3:$L$5001,"&lt;&gt;"))))</f>
        <v/>
      </c>
      <c r="E188" s="42" t="str">
        <f>IF(OR($B188="",$A188&gt;$B$9),"",IF(COUNTIFS(BD!$B$3:$B$5001,E$184,BD!$A$3:$A$5001,"&gt;="&amp;$C$7,BD!$A$3:$A$5001,"&lt;="&amp;$B188,BD!$L$3:$L$5001,"&lt;&gt;")=0,"",SUMIFS(BD!$L$3:$L$5001,BD!$B$3:$B$5001,E$184,BD!$A$3:$A$5001,_xlfn.MAXIFS(BD!$A$3:$A$5001,BD!$B$3:$B$5001,E$184,BD!$A$3:$A$5001,"&gt;="&amp;$C$7,BD!$A$3:$A$5001,"&lt;="&amp;$B188,BD!$L$3:$L$5001,"&lt;&gt;"))))</f>
        <v/>
      </c>
      <c r="F188" s="42" t="str">
        <f>IF(OR($B188="",$A188&gt;$B$9),"",IF(COUNTIFS(BD!$B$3:$B$5001,F$184,BD!$A$3:$A$5001,"&gt;="&amp;$C$7,BD!$A$3:$A$5001,"&lt;="&amp;$B188,BD!$L$3:$L$5001,"&lt;&gt;")=0,"",SUMIFS(BD!$L$3:$L$5001,BD!$B$3:$B$5001,F$184,BD!$A$3:$A$5001,_xlfn.MAXIFS(BD!$A$3:$A$5001,BD!$B$3:$B$5001,F$184,BD!$A$3:$A$5001,"&gt;="&amp;$C$7,BD!$A$3:$A$5001,"&lt;="&amp;$B188,BD!$L$3:$L$5001,"&lt;&gt;"))))</f>
        <v/>
      </c>
      <c r="G188" s="42" t="str">
        <f>IF(OR($B188="",$A188&gt;$B$9),"",IF(COUNTIFS(BD!$B$3:$B$5001,G$184,BD!$A$3:$A$5001,"&gt;="&amp;$C$7,BD!$A$3:$A$5001,"&lt;="&amp;$B188,BD!$L$3:$L$5001,"&lt;&gt;")=0,"",SUMIFS(BD!$L$3:$L$5001,BD!$B$3:$B$5001,G$184,BD!$A$3:$A$5001,_xlfn.MAXIFS(BD!$A$3:$A$5001,BD!$B$3:$B$5001,G$184,BD!$A$3:$A$5001,"&gt;="&amp;$C$7,BD!$A$3:$A$5001,"&lt;="&amp;$B188,BD!$L$3:$L$5001,"&lt;&gt;"))))</f>
        <v/>
      </c>
    </row>
    <row r="189">
      <c r="A189" s="40">
        <v>5</v>
      </c>
      <c r="B189" s="41">
        <f>$B$16</f>
        <v>46300</v>
      </c>
      <c r="C189" s="42" t="str">
        <f>IF(OR($B189="",$A189&gt;$B$9),"",IF(COUNTIFS(BD!$B$3:$B$5001,C$184,BD!$A$3:$A$5001,"&gt;="&amp;$C$7,BD!$A$3:$A$5001,"&lt;="&amp;$B189,BD!$L$3:$L$5001,"&lt;&gt;")=0,"",SUMIFS(BD!$L$3:$L$5001,BD!$B$3:$B$5001,C$184,BD!$A$3:$A$5001,_xlfn.MAXIFS(BD!$A$3:$A$5001,BD!$B$3:$B$5001,C$184,BD!$A$3:$A$5001,"&gt;="&amp;$C$7,BD!$A$3:$A$5001,"&lt;="&amp;$B189,BD!$L$3:$L$5001,"&lt;&gt;"))))</f>
        <v/>
      </c>
      <c r="D189" s="42" t="str">
        <f>IF(OR($B189="",$A189&gt;$B$9),"",IF(COUNTIFS(BD!$B$3:$B$5001,D$184,BD!$A$3:$A$5001,"&gt;="&amp;$C$7,BD!$A$3:$A$5001,"&lt;="&amp;$B189,BD!$L$3:$L$5001,"&lt;&gt;")=0,"",SUMIFS(BD!$L$3:$L$5001,BD!$B$3:$B$5001,D$184,BD!$A$3:$A$5001,_xlfn.MAXIFS(BD!$A$3:$A$5001,BD!$B$3:$B$5001,D$184,BD!$A$3:$A$5001,"&gt;="&amp;$C$7,BD!$A$3:$A$5001,"&lt;="&amp;$B189,BD!$L$3:$L$5001,"&lt;&gt;"))))</f>
        <v/>
      </c>
      <c r="E189" s="42" t="str">
        <f>IF(OR($B189="",$A189&gt;$B$9),"",IF(COUNTIFS(BD!$B$3:$B$5001,E$184,BD!$A$3:$A$5001,"&gt;="&amp;$C$7,BD!$A$3:$A$5001,"&lt;="&amp;$B189,BD!$L$3:$L$5001,"&lt;&gt;")=0,"",SUMIFS(BD!$L$3:$L$5001,BD!$B$3:$B$5001,E$184,BD!$A$3:$A$5001,_xlfn.MAXIFS(BD!$A$3:$A$5001,BD!$B$3:$B$5001,E$184,BD!$A$3:$A$5001,"&gt;="&amp;$C$7,BD!$A$3:$A$5001,"&lt;="&amp;$B189,BD!$L$3:$L$5001,"&lt;&gt;"))))</f>
        <v/>
      </c>
      <c r="F189" s="42" t="str">
        <f>IF(OR($B189="",$A189&gt;$B$9),"",IF(COUNTIFS(BD!$B$3:$B$5001,F$184,BD!$A$3:$A$5001,"&gt;="&amp;$C$7,BD!$A$3:$A$5001,"&lt;="&amp;$B189,BD!$L$3:$L$5001,"&lt;&gt;")=0,"",SUMIFS(BD!$L$3:$L$5001,BD!$B$3:$B$5001,F$184,BD!$A$3:$A$5001,_xlfn.MAXIFS(BD!$A$3:$A$5001,BD!$B$3:$B$5001,F$184,BD!$A$3:$A$5001,"&gt;="&amp;$C$7,BD!$A$3:$A$5001,"&lt;="&amp;$B189,BD!$L$3:$L$5001,"&lt;&gt;"))))</f>
        <v/>
      </c>
      <c r="G189" s="42" t="str">
        <f>IF(OR($B189="",$A189&gt;$B$9),"",IF(COUNTIFS(BD!$B$3:$B$5001,G$184,BD!$A$3:$A$5001,"&gt;="&amp;$C$7,BD!$A$3:$A$5001,"&lt;="&amp;$B189,BD!$L$3:$L$5001,"&lt;&gt;")=0,"",SUMIFS(BD!$L$3:$L$5001,BD!$B$3:$B$5001,G$184,BD!$A$3:$A$5001,_xlfn.MAXIFS(BD!$A$3:$A$5001,BD!$B$3:$B$5001,G$184,BD!$A$3:$A$5001,"&gt;="&amp;$C$7,BD!$A$3:$A$5001,"&lt;="&amp;$B189,BD!$L$3:$L$5001,"&lt;&gt;"))))</f>
        <v/>
      </c>
    </row>
    <row r="190">
      <c r="A190" s="40">
        <v>6</v>
      </c>
      <c r="B190" s="41">
        <f>$B$17</f>
        <v>46301</v>
      </c>
      <c r="C190" s="42" t="str">
        <f>IF(OR($B190="",$A190&gt;$B$9),"",IF(COUNTIFS(BD!$B$3:$B$5001,C$184,BD!$A$3:$A$5001,"&gt;="&amp;$C$7,BD!$A$3:$A$5001,"&lt;="&amp;$B190,BD!$L$3:$L$5001,"&lt;&gt;")=0,"",SUMIFS(BD!$L$3:$L$5001,BD!$B$3:$B$5001,C$184,BD!$A$3:$A$5001,_xlfn.MAXIFS(BD!$A$3:$A$5001,BD!$B$3:$B$5001,C$184,BD!$A$3:$A$5001,"&gt;="&amp;$C$7,BD!$A$3:$A$5001,"&lt;="&amp;$B190,BD!$L$3:$L$5001,"&lt;&gt;"))))</f>
        <v/>
      </c>
      <c r="D190" s="42" t="str">
        <f>IF(OR($B190="",$A190&gt;$B$9),"",IF(COUNTIFS(BD!$B$3:$B$5001,D$184,BD!$A$3:$A$5001,"&gt;="&amp;$C$7,BD!$A$3:$A$5001,"&lt;="&amp;$B190,BD!$L$3:$L$5001,"&lt;&gt;")=0,"",SUMIFS(BD!$L$3:$L$5001,BD!$B$3:$B$5001,D$184,BD!$A$3:$A$5001,_xlfn.MAXIFS(BD!$A$3:$A$5001,BD!$B$3:$B$5001,D$184,BD!$A$3:$A$5001,"&gt;="&amp;$C$7,BD!$A$3:$A$5001,"&lt;="&amp;$B190,BD!$L$3:$L$5001,"&lt;&gt;"))))</f>
        <v/>
      </c>
      <c r="E190" s="42" t="str">
        <f>IF(OR($B190="",$A190&gt;$B$9),"",IF(COUNTIFS(BD!$B$3:$B$5001,E$184,BD!$A$3:$A$5001,"&gt;="&amp;$C$7,BD!$A$3:$A$5001,"&lt;="&amp;$B190,BD!$L$3:$L$5001,"&lt;&gt;")=0,"",SUMIFS(BD!$L$3:$L$5001,BD!$B$3:$B$5001,E$184,BD!$A$3:$A$5001,_xlfn.MAXIFS(BD!$A$3:$A$5001,BD!$B$3:$B$5001,E$184,BD!$A$3:$A$5001,"&gt;="&amp;$C$7,BD!$A$3:$A$5001,"&lt;="&amp;$B190,BD!$L$3:$L$5001,"&lt;&gt;"))))</f>
        <v/>
      </c>
      <c r="F190" s="42" t="str">
        <f>IF(OR($B190="",$A190&gt;$B$9),"",IF(COUNTIFS(BD!$B$3:$B$5001,F$184,BD!$A$3:$A$5001,"&gt;="&amp;$C$7,BD!$A$3:$A$5001,"&lt;="&amp;$B190,BD!$L$3:$L$5001,"&lt;&gt;")=0,"",SUMIFS(BD!$L$3:$L$5001,BD!$B$3:$B$5001,F$184,BD!$A$3:$A$5001,_xlfn.MAXIFS(BD!$A$3:$A$5001,BD!$B$3:$B$5001,F$184,BD!$A$3:$A$5001,"&gt;="&amp;$C$7,BD!$A$3:$A$5001,"&lt;="&amp;$B190,BD!$L$3:$L$5001,"&lt;&gt;"))))</f>
        <v/>
      </c>
      <c r="G190" s="42" t="str">
        <f>IF(OR($B190="",$A190&gt;$B$9),"",IF(COUNTIFS(BD!$B$3:$B$5001,G$184,BD!$A$3:$A$5001,"&gt;="&amp;$C$7,BD!$A$3:$A$5001,"&lt;="&amp;$B190,BD!$L$3:$L$5001,"&lt;&gt;")=0,"",SUMIFS(BD!$L$3:$L$5001,BD!$B$3:$B$5001,G$184,BD!$A$3:$A$5001,_xlfn.MAXIFS(BD!$A$3:$A$5001,BD!$B$3:$B$5001,G$184,BD!$A$3:$A$5001,"&gt;="&amp;$C$7,BD!$A$3:$A$5001,"&lt;="&amp;$B190,BD!$L$3:$L$5001,"&lt;&gt;"))))</f>
        <v/>
      </c>
    </row>
    <row r="191">
      <c r="A191" s="40">
        <v>7</v>
      </c>
      <c r="B191" s="41">
        <f>$B$18</f>
        <v>46302</v>
      </c>
      <c r="C191" s="42" t="str">
        <f>IF(OR($B191="",$A191&gt;$B$9),"",IF(COUNTIFS(BD!$B$3:$B$5001,C$184,BD!$A$3:$A$5001,"&gt;="&amp;$C$7,BD!$A$3:$A$5001,"&lt;="&amp;$B191,BD!$L$3:$L$5001,"&lt;&gt;")=0,"",SUMIFS(BD!$L$3:$L$5001,BD!$B$3:$B$5001,C$184,BD!$A$3:$A$5001,_xlfn.MAXIFS(BD!$A$3:$A$5001,BD!$B$3:$B$5001,C$184,BD!$A$3:$A$5001,"&gt;="&amp;$C$7,BD!$A$3:$A$5001,"&lt;="&amp;$B191,BD!$L$3:$L$5001,"&lt;&gt;"))))</f>
        <v/>
      </c>
      <c r="D191" s="42" t="str">
        <f>IF(OR($B191="",$A191&gt;$B$9),"",IF(COUNTIFS(BD!$B$3:$B$5001,D$184,BD!$A$3:$A$5001,"&gt;="&amp;$C$7,BD!$A$3:$A$5001,"&lt;="&amp;$B191,BD!$L$3:$L$5001,"&lt;&gt;")=0,"",SUMIFS(BD!$L$3:$L$5001,BD!$B$3:$B$5001,D$184,BD!$A$3:$A$5001,_xlfn.MAXIFS(BD!$A$3:$A$5001,BD!$B$3:$B$5001,D$184,BD!$A$3:$A$5001,"&gt;="&amp;$C$7,BD!$A$3:$A$5001,"&lt;="&amp;$B191,BD!$L$3:$L$5001,"&lt;&gt;"))))</f>
        <v/>
      </c>
      <c r="E191" s="42" t="str">
        <f>IF(OR($B191="",$A191&gt;$B$9),"",IF(COUNTIFS(BD!$B$3:$B$5001,E$184,BD!$A$3:$A$5001,"&gt;="&amp;$C$7,BD!$A$3:$A$5001,"&lt;="&amp;$B191,BD!$L$3:$L$5001,"&lt;&gt;")=0,"",SUMIFS(BD!$L$3:$L$5001,BD!$B$3:$B$5001,E$184,BD!$A$3:$A$5001,_xlfn.MAXIFS(BD!$A$3:$A$5001,BD!$B$3:$B$5001,E$184,BD!$A$3:$A$5001,"&gt;="&amp;$C$7,BD!$A$3:$A$5001,"&lt;="&amp;$B191,BD!$L$3:$L$5001,"&lt;&gt;"))))</f>
        <v/>
      </c>
      <c r="F191" s="42" t="str">
        <f>IF(OR($B191="",$A191&gt;$B$9),"",IF(COUNTIFS(BD!$B$3:$B$5001,F$184,BD!$A$3:$A$5001,"&gt;="&amp;$C$7,BD!$A$3:$A$5001,"&lt;="&amp;$B191,BD!$L$3:$L$5001,"&lt;&gt;")=0,"",SUMIFS(BD!$L$3:$L$5001,BD!$B$3:$B$5001,F$184,BD!$A$3:$A$5001,_xlfn.MAXIFS(BD!$A$3:$A$5001,BD!$B$3:$B$5001,F$184,BD!$A$3:$A$5001,"&gt;="&amp;$C$7,BD!$A$3:$A$5001,"&lt;="&amp;$B191,BD!$L$3:$L$5001,"&lt;&gt;"))))</f>
        <v/>
      </c>
      <c r="G191" s="42" t="str">
        <f>IF(OR($B191="",$A191&gt;$B$9),"",IF(COUNTIFS(BD!$B$3:$B$5001,G$184,BD!$A$3:$A$5001,"&gt;="&amp;$C$7,BD!$A$3:$A$5001,"&lt;="&amp;$B191,BD!$L$3:$L$5001,"&lt;&gt;")=0,"",SUMIFS(BD!$L$3:$L$5001,BD!$B$3:$B$5001,G$184,BD!$A$3:$A$5001,_xlfn.MAXIFS(BD!$A$3:$A$5001,BD!$B$3:$B$5001,G$184,BD!$A$3:$A$5001,"&gt;="&amp;$C$7,BD!$A$3:$A$5001,"&lt;="&amp;$B191,BD!$L$3:$L$5001,"&lt;&gt;"))))</f>
        <v/>
      </c>
    </row>
    <row r="192">
      <c r="A192" s="40">
        <v>8</v>
      </c>
      <c r="B192" s="41">
        <f>$B$19</f>
        <v>46303</v>
      </c>
      <c r="C192" s="42" t="str">
        <f>IF(OR($B192="",$A192&gt;$B$9),"",IF(COUNTIFS(BD!$B$3:$B$5001,C$184,BD!$A$3:$A$5001,"&gt;="&amp;$C$7,BD!$A$3:$A$5001,"&lt;="&amp;$B192,BD!$L$3:$L$5001,"&lt;&gt;")=0,"",SUMIFS(BD!$L$3:$L$5001,BD!$B$3:$B$5001,C$184,BD!$A$3:$A$5001,_xlfn.MAXIFS(BD!$A$3:$A$5001,BD!$B$3:$B$5001,C$184,BD!$A$3:$A$5001,"&gt;="&amp;$C$7,BD!$A$3:$A$5001,"&lt;="&amp;$B192,BD!$L$3:$L$5001,"&lt;&gt;"))))</f>
        <v/>
      </c>
      <c r="D192" s="42" t="str">
        <f>IF(OR($B192="",$A192&gt;$B$9),"",IF(COUNTIFS(BD!$B$3:$B$5001,D$184,BD!$A$3:$A$5001,"&gt;="&amp;$C$7,BD!$A$3:$A$5001,"&lt;="&amp;$B192,BD!$L$3:$L$5001,"&lt;&gt;")=0,"",SUMIFS(BD!$L$3:$L$5001,BD!$B$3:$B$5001,D$184,BD!$A$3:$A$5001,_xlfn.MAXIFS(BD!$A$3:$A$5001,BD!$B$3:$B$5001,D$184,BD!$A$3:$A$5001,"&gt;="&amp;$C$7,BD!$A$3:$A$5001,"&lt;="&amp;$B192,BD!$L$3:$L$5001,"&lt;&gt;"))))</f>
        <v/>
      </c>
      <c r="E192" s="42" t="str">
        <f>IF(OR($B192="",$A192&gt;$B$9),"",IF(COUNTIFS(BD!$B$3:$B$5001,E$184,BD!$A$3:$A$5001,"&gt;="&amp;$C$7,BD!$A$3:$A$5001,"&lt;="&amp;$B192,BD!$L$3:$L$5001,"&lt;&gt;")=0,"",SUMIFS(BD!$L$3:$L$5001,BD!$B$3:$B$5001,E$184,BD!$A$3:$A$5001,_xlfn.MAXIFS(BD!$A$3:$A$5001,BD!$B$3:$B$5001,E$184,BD!$A$3:$A$5001,"&gt;="&amp;$C$7,BD!$A$3:$A$5001,"&lt;="&amp;$B192,BD!$L$3:$L$5001,"&lt;&gt;"))))</f>
        <v/>
      </c>
      <c r="F192" s="42" t="str">
        <f>IF(OR($B192="",$A192&gt;$B$9),"",IF(COUNTIFS(BD!$B$3:$B$5001,F$184,BD!$A$3:$A$5001,"&gt;="&amp;$C$7,BD!$A$3:$A$5001,"&lt;="&amp;$B192,BD!$L$3:$L$5001,"&lt;&gt;")=0,"",SUMIFS(BD!$L$3:$L$5001,BD!$B$3:$B$5001,F$184,BD!$A$3:$A$5001,_xlfn.MAXIFS(BD!$A$3:$A$5001,BD!$B$3:$B$5001,F$184,BD!$A$3:$A$5001,"&gt;="&amp;$C$7,BD!$A$3:$A$5001,"&lt;="&amp;$B192,BD!$L$3:$L$5001,"&lt;&gt;"))))</f>
        <v/>
      </c>
      <c r="G192" s="42" t="str">
        <f>IF(OR($B192="",$A192&gt;$B$9),"",IF(COUNTIFS(BD!$B$3:$B$5001,G$184,BD!$A$3:$A$5001,"&gt;="&amp;$C$7,BD!$A$3:$A$5001,"&lt;="&amp;$B192,BD!$L$3:$L$5001,"&lt;&gt;")=0,"",SUMIFS(BD!$L$3:$L$5001,BD!$B$3:$B$5001,G$184,BD!$A$3:$A$5001,_xlfn.MAXIFS(BD!$A$3:$A$5001,BD!$B$3:$B$5001,G$184,BD!$A$3:$A$5001,"&gt;="&amp;$C$7,BD!$A$3:$A$5001,"&lt;="&amp;$B192,BD!$L$3:$L$5001,"&lt;&gt;"))))</f>
        <v/>
      </c>
    </row>
    <row r="193">
      <c r="A193" s="40">
        <v>9</v>
      </c>
      <c r="B193" s="41">
        <f>$B$20</f>
        <v>46304</v>
      </c>
      <c r="C193" s="42" t="str">
        <f>IF(OR($B193="",$A193&gt;$B$9),"",IF(COUNTIFS(BD!$B$3:$B$5001,C$184,BD!$A$3:$A$5001,"&gt;="&amp;$C$7,BD!$A$3:$A$5001,"&lt;="&amp;$B193,BD!$L$3:$L$5001,"&lt;&gt;")=0,"",SUMIFS(BD!$L$3:$L$5001,BD!$B$3:$B$5001,C$184,BD!$A$3:$A$5001,_xlfn.MAXIFS(BD!$A$3:$A$5001,BD!$B$3:$B$5001,C$184,BD!$A$3:$A$5001,"&gt;="&amp;$C$7,BD!$A$3:$A$5001,"&lt;="&amp;$B193,BD!$L$3:$L$5001,"&lt;&gt;"))))</f>
        <v/>
      </c>
      <c r="D193" s="42" t="str">
        <f>IF(OR($B193="",$A193&gt;$B$9),"",IF(COUNTIFS(BD!$B$3:$B$5001,D$184,BD!$A$3:$A$5001,"&gt;="&amp;$C$7,BD!$A$3:$A$5001,"&lt;="&amp;$B193,BD!$L$3:$L$5001,"&lt;&gt;")=0,"",SUMIFS(BD!$L$3:$L$5001,BD!$B$3:$B$5001,D$184,BD!$A$3:$A$5001,_xlfn.MAXIFS(BD!$A$3:$A$5001,BD!$B$3:$B$5001,D$184,BD!$A$3:$A$5001,"&gt;="&amp;$C$7,BD!$A$3:$A$5001,"&lt;="&amp;$B193,BD!$L$3:$L$5001,"&lt;&gt;"))))</f>
        <v/>
      </c>
      <c r="E193" s="42" t="str">
        <f>IF(OR($B193="",$A193&gt;$B$9),"",IF(COUNTIFS(BD!$B$3:$B$5001,E$184,BD!$A$3:$A$5001,"&gt;="&amp;$C$7,BD!$A$3:$A$5001,"&lt;="&amp;$B193,BD!$L$3:$L$5001,"&lt;&gt;")=0,"",SUMIFS(BD!$L$3:$L$5001,BD!$B$3:$B$5001,E$184,BD!$A$3:$A$5001,_xlfn.MAXIFS(BD!$A$3:$A$5001,BD!$B$3:$B$5001,E$184,BD!$A$3:$A$5001,"&gt;="&amp;$C$7,BD!$A$3:$A$5001,"&lt;="&amp;$B193,BD!$L$3:$L$5001,"&lt;&gt;"))))</f>
        <v/>
      </c>
      <c r="F193" s="42" t="str">
        <f>IF(OR($B193="",$A193&gt;$B$9),"",IF(COUNTIFS(BD!$B$3:$B$5001,F$184,BD!$A$3:$A$5001,"&gt;="&amp;$C$7,BD!$A$3:$A$5001,"&lt;="&amp;$B193,BD!$L$3:$L$5001,"&lt;&gt;")=0,"",SUMIFS(BD!$L$3:$L$5001,BD!$B$3:$B$5001,F$184,BD!$A$3:$A$5001,_xlfn.MAXIFS(BD!$A$3:$A$5001,BD!$B$3:$B$5001,F$184,BD!$A$3:$A$5001,"&gt;="&amp;$C$7,BD!$A$3:$A$5001,"&lt;="&amp;$B193,BD!$L$3:$L$5001,"&lt;&gt;"))))</f>
        <v/>
      </c>
      <c r="G193" s="42" t="str">
        <f>IF(OR($B193="",$A193&gt;$B$9),"",IF(COUNTIFS(BD!$B$3:$B$5001,G$184,BD!$A$3:$A$5001,"&gt;="&amp;$C$7,BD!$A$3:$A$5001,"&lt;="&amp;$B193,BD!$L$3:$L$5001,"&lt;&gt;")=0,"",SUMIFS(BD!$L$3:$L$5001,BD!$B$3:$B$5001,G$184,BD!$A$3:$A$5001,_xlfn.MAXIFS(BD!$A$3:$A$5001,BD!$B$3:$B$5001,G$184,BD!$A$3:$A$5001,"&gt;="&amp;$C$7,BD!$A$3:$A$5001,"&lt;="&amp;$B193,BD!$L$3:$L$5001,"&lt;&gt;"))))</f>
        <v/>
      </c>
    </row>
    <row r="194">
      <c r="A194" s="40">
        <v>10</v>
      </c>
      <c r="B194" s="41">
        <f>$B$21</f>
        <v>46305</v>
      </c>
      <c r="C194" s="42" t="str">
        <f>IF(OR($B194="",$A194&gt;$B$9),"",IF(COUNTIFS(BD!$B$3:$B$5001,C$184,BD!$A$3:$A$5001,"&gt;="&amp;$C$7,BD!$A$3:$A$5001,"&lt;="&amp;$B194,BD!$L$3:$L$5001,"&lt;&gt;")=0,"",SUMIFS(BD!$L$3:$L$5001,BD!$B$3:$B$5001,C$184,BD!$A$3:$A$5001,_xlfn.MAXIFS(BD!$A$3:$A$5001,BD!$B$3:$B$5001,C$184,BD!$A$3:$A$5001,"&gt;="&amp;$C$7,BD!$A$3:$A$5001,"&lt;="&amp;$B194,BD!$L$3:$L$5001,"&lt;&gt;"))))</f>
        <v/>
      </c>
      <c r="D194" s="42" t="str">
        <f>IF(OR($B194="",$A194&gt;$B$9),"",IF(COUNTIFS(BD!$B$3:$B$5001,D$184,BD!$A$3:$A$5001,"&gt;="&amp;$C$7,BD!$A$3:$A$5001,"&lt;="&amp;$B194,BD!$L$3:$L$5001,"&lt;&gt;")=0,"",SUMIFS(BD!$L$3:$L$5001,BD!$B$3:$B$5001,D$184,BD!$A$3:$A$5001,_xlfn.MAXIFS(BD!$A$3:$A$5001,BD!$B$3:$B$5001,D$184,BD!$A$3:$A$5001,"&gt;="&amp;$C$7,BD!$A$3:$A$5001,"&lt;="&amp;$B194,BD!$L$3:$L$5001,"&lt;&gt;"))))</f>
        <v/>
      </c>
      <c r="E194" s="42" t="str">
        <f>IF(OR($B194="",$A194&gt;$B$9),"",IF(COUNTIFS(BD!$B$3:$B$5001,E$184,BD!$A$3:$A$5001,"&gt;="&amp;$C$7,BD!$A$3:$A$5001,"&lt;="&amp;$B194,BD!$L$3:$L$5001,"&lt;&gt;")=0,"",SUMIFS(BD!$L$3:$L$5001,BD!$B$3:$B$5001,E$184,BD!$A$3:$A$5001,_xlfn.MAXIFS(BD!$A$3:$A$5001,BD!$B$3:$B$5001,E$184,BD!$A$3:$A$5001,"&gt;="&amp;$C$7,BD!$A$3:$A$5001,"&lt;="&amp;$B194,BD!$L$3:$L$5001,"&lt;&gt;"))))</f>
        <v/>
      </c>
      <c r="F194" s="42" t="str">
        <f>IF(OR($B194="",$A194&gt;$B$9),"",IF(COUNTIFS(BD!$B$3:$B$5001,F$184,BD!$A$3:$A$5001,"&gt;="&amp;$C$7,BD!$A$3:$A$5001,"&lt;="&amp;$B194,BD!$L$3:$L$5001,"&lt;&gt;")=0,"",SUMIFS(BD!$L$3:$L$5001,BD!$B$3:$B$5001,F$184,BD!$A$3:$A$5001,_xlfn.MAXIFS(BD!$A$3:$A$5001,BD!$B$3:$B$5001,F$184,BD!$A$3:$A$5001,"&gt;="&amp;$C$7,BD!$A$3:$A$5001,"&lt;="&amp;$B194,BD!$L$3:$L$5001,"&lt;&gt;"))))</f>
        <v/>
      </c>
      <c r="G194" s="42" t="str">
        <f>IF(OR($B194="",$A194&gt;$B$9),"",IF(COUNTIFS(BD!$B$3:$B$5001,G$184,BD!$A$3:$A$5001,"&gt;="&amp;$C$7,BD!$A$3:$A$5001,"&lt;="&amp;$B194,BD!$L$3:$L$5001,"&lt;&gt;")=0,"",SUMIFS(BD!$L$3:$L$5001,BD!$B$3:$B$5001,G$184,BD!$A$3:$A$5001,_xlfn.MAXIFS(BD!$A$3:$A$5001,BD!$B$3:$B$5001,G$184,BD!$A$3:$A$5001,"&gt;="&amp;$C$7,BD!$A$3:$A$5001,"&lt;="&amp;$B194,BD!$L$3:$L$5001,"&lt;&gt;"))))</f>
        <v/>
      </c>
    </row>
    <row r="195">
      <c r="A195" s="40">
        <v>11</v>
      </c>
      <c r="B195" s="41">
        <f>$B$22</f>
        <v>46306</v>
      </c>
      <c r="C195" s="42" t="str">
        <f>IF(OR($B195="",$A195&gt;$B$9),"",IF(COUNTIFS(BD!$B$3:$B$5001,C$184,BD!$A$3:$A$5001,"&gt;="&amp;$C$7,BD!$A$3:$A$5001,"&lt;="&amp;$B195,BD!$L$3:$L$5001,"&lt;&gt;")=0,"",SUMIFS(BD!$L$3:$L$5001,BD!$B$3:$B$5001,C$184,BD!$A$3:$A$5001,_xlfn.MAXIFS(BD!$A$3:$A$5001,BD!$B$3:$B$5001,C$184,BD!$A$3:$A$5001,"&gt;="&amp;$C$7,BD!$A$3:$A$5001,"&lt;="&amp;$B195,BD!$L$3:$L$5001,"&lt;&gt;"))))</f>
        <v/>
      </c>
      <c r="D195" s="42" t="str">
        <f>IF(OR($B195="",$A195&gt;$B$9),"",IF(COUNTIFS(BD!$B$3:$B$5001,D$184,BD!$A$3:$A$5001,"&gt;="&amp;$C$7,BD!$A$3:$A$5001,"&lt;="&amp;$B195,BD!$L$3:$L$5001,"&lt;&gt;")=0,"",SUMIFS(BD!$L$3:$L$5001,BD!$B$3:$B$5001,D$184,BD!$A$3:$A$5001,_xlfn.MAXIFS(BD!$A$3:$A$5001,BD!$B$3:$B$5001,D$184,BD!$A$3:$A$5001,"&gt;="&amp;$C$7,BD!$A$3:$A$5001,"&lt;="&amp;$B195,BD!$L$3:$L$5001,"&lt;&gt;"))))</f>
        <v/>
      </c>
      <c r="E195" s="42" t="str">
        <f>IF(OR($B195="",$A195&gt;$B$9),"",IF(COUNTIFS(BD!$B$3:$B$5001,E$184,BD!$A$3:$A$5001,"&gt;="&amp;$C$7,BD!$A$3:$A$5001,"&lt;="&amp;$B195,BD!$L$3:$L$5001,"&lt;&gt;")=0,"",SUMIFS(BD!$L$3:$L$5001,BD!$B$3:$B$5001,E$184,BD!$A$3:$A$5001,_xlfn.MAXIFS(BD!$A$3:$A$5001,BD!$B$3:$B$5001,E$184,BD!$A$3:$A$5001,"&gt;="&amp;$C$7,BD!$A$3:$A$5001,"&lt;="&amp;$B195,BD!$L$3:$L$5001,"&lt;&gt;"))))</f>
        <v/>
      </c>
      <c r="F195" s="42" t="str">
        <f>IF(OR($B195="",$A195&gt;$B$9),"",IF(COUNTIFS(BD!$B$3:$B$5001,F$184,BD!$A$3:$A$5001,"&gt;="&amp;$C$7,BD!$A$3:$A$5001,"&lt;="&amp;$B195,BD!$L$3:$L$5001,"&lt;&gt;")=0,"",SUMIFS(BD!$L$3:$L$5001,BD!$B$3:$B$5001,F$184,BD!$A$3:$A$5001,_xlfn.MAXIFS(BD!$A$3:$A$5001,BD!$B$3:$B$5001,F$184,BD!$A$3:$A$5001,"&gt;="&amp;$C$7,BD!$A$3:$A$5001,"&lt;="&amp;$B195,BD!$L$3:$L$5001,"&lt;&gt;"))))</f>
        <v/>
      </c>
      <c r="G195" s="42" t="str">
        <f>IF(OR($B195="",$A195&gt;$B$9),"",IF(COUNTIFS(BD!$B$3:$B$5001,G$184,BD!$A$3:$A$5001,"&gt;="&amp;$C$7,BD!$A$3:$A$5001,"&lt;="&amp;$B195,BD!$L$3:$L$5001,"&lt;&gt;")=0,"",SUMIFS(BD!$L$3:$L$5001,BD!$B$3:$B$5001,G$184,BD!$A$3:$A$5001,_xlfn.MAXIFS(BD!$A$3:$A$5001,BD!$B$3:$B$5001,G$184,BD!$A$3:$A$5001,"&gt;="&amp;$C$7,BD!$A$3:$A$5001,"&lt;="&amp;$B195,BD!$L$3:$L$5001,"&lt;&gt;"))))</f>
        <v/>
      </c>
    </row>
    <row r="196">
      <c r="A196" s="40">
        <v>12</v>
      </c>
      <c r="B196" s="41">
        <f>$B$23</f>
        <v>46307</v>
      </c>
      <c r="C196" s="42" t="str">
        <f>IF(OR($B196="",$A196&gt;$B$9),"",IF(COUNTIFS(BD!$B$3:$B$5001,C$184,BD!$A$3:$A$5001,"&gt;="&amp;$C$7,BD!$A$3:$A$5001,"&lt;="&amp;$B196,BD!$L$3:$L$5001,"&lt;&gt;")=0,"",SUMIFS(BD!$L$3:$L$5001,BD!$B$3:$B$5001,C$184,BD!$A$3:$A$5001,_xlfn.MAXIFS(BD!$A$3:$A$5001,BD!$B$3:$B$5001,C$184,BD!$A$3:$A$5001,"&gt;="&amp;$C$7,BD!$A$3:$A$5001,"&lt;="&amp;$B196,BD!$L$3:$L$5001,"&lt;&gt;"))))</f>
        <v/>
      </c>
      <c r="D196" s="42" t="str">
        <f>IF(OR($B196="",$A196&gt;$B$9),"",IF(COUNTIFS(BD!$B$3:$B$5001,D$184,BD!$A$3:$A$5001,"&gt;="&amp;$C$7,BD!$A$3:$A$5001,"&lt;="&amp;$B196,BD!$L$3:$L$5001,"&lt;&gt;")=0,"",SUMIFS(BD!$L$3:$L$5001,BD!$B$3:$B$5001,D$184,BD!$A$3:$A$5001,_xlfn.MAXIFS(BD!$A$3:$A$5001,BD!$B$3:$B$5001,D$184,BD!$A$3:$A$5001,"&gt;="&amp;$C$7,BD!$A$3:$A$5001,"&lt;="&amp;$B196,BD!$L$3:$L$5001,"&lt;&gt;"))))</f>
        <v/>
      </c>
      <c r="E196" s="42" t="str">
        <f>IF(OR($B196="",$A196&gt;$B$9),"",IF(COUNTIFS(BD!$B$3:$B$5001,E$184,BD!$A$3:$A$5001,"&gt;="&amp;$C$7,BD!$A$3:$A$5001,"&lt;="&amp;$B196,BD!$L$3:$L$5001,"&lt;&gt;")=0,"",SUMIFS(BD!$L$3:$L$5001,BD!$B$3:$B$5001,E$184,BD!$A$3:$A$5001,_xlfn.MAXIFS(BD!$A$3:$A$5001,BD!$B$3:$B$5001,E$184,BD!$A$3:$A$5001,"&gt;="&amp;$C$7,BD!$A$3:$A$5001,"&lt;="&amp;$B196,BD!$L$3:$L$5001,"&lt;&gt;"))))</f>
        <v/>
      </c>
      <c r="F196" s="42" t="str">
        <f>IF(OR($B196="",$A196&gt;$B$9),"",IF(COUNTIFS(BD!$B$3:$B$5001,F$184,BD!$A$3:$A$5001,"&gt;="&amp;$C$7,BD!$A$3:$A$5001,"&lt;="&amp;$B196,BD!$L$3:$L$5001,"&lt;&gt;")=0,"",SUMIFS(BD!$L$3:$L$5001,BD!$B$3:$B$5001,F$184,BD!$A$3:$A$5001,_xlfn.MAXIFS(BD!$A$3:$A$5001,BD!$B$3:$B$5001,F$184,BD!$A$3:$A$5001,"&gt;="&amp;$C$7,BD!$A$3:$A$5001,"&lt;="&amp;$B196,BD!$L$3:$L$5001,"&lt;&gt;"))))</f>
        <v/>
      </c>
      <c r="G196" s="42" t="str">
        <f>IF(OR($B196="",$A196&gt;$B$9),"",IF(COUNTIFS(BD!$B$3:$B$5001,G$184,BD!$A$3:$A$5001,"&gt;="&amp;$C$7,BD!$A$3:$A$5001,"&lt;="&amp;$B196,BD!$L$3:$L$5001,"&lt;&gt;")=0,"",SUMIFS(BD!$L$3:$L$5001,BD!$B$3:$B$5001,G$184,BD!$A$3:$A$5001,_xlfn.MAXIFS(BD!$A$3:$A$5001,BD!$B$3:$B$5001,G$184,BD!$A$3:$A$5001,"&gt;="&amp;$C$7,BD!$A$3:$A$5001,"&lt;="&amp;$B196,BD!$L$3:$L$5001,"&lt;&gt;"))))</f>
        <v/>
      </c>
    </row>
    <row r="197">
      <c r="A197" s="40">
        <v>13</v>
      </c>
      <c r="B197" s="41">
        <f>$B$24</f>
        <v>46308</v>
      </c>
      <c r="C197" s="42" t="str">
        <f>IF(OR($B197="",$A197&gt;$B$9),"",IF(COUNTIFS(BD!$B$3:$B$5001,C$184,BD!$A$3:$A$5001,"&gt;="&amp;$C$7,BD!$A$3:$A$5001,"&lt;="&amp;$B197,BD!$L$3:$L$5001,"&lt;&gt;")=0,"",SUMIFS(BD!$L$3:$L$5001,BD!$B$3:$B$5001,C$184,BD!$A$3:$A$5001,_xlfn.MAXIFS(BD!$A$3:$A$5001,BD!$B$3:$B$5001,C$184,BD!$A$3:$A$5001,"&gt;="&amp;$C$7,BD!$A$3:$A$5001,"&lt;="&amp;$B197,BD!$L$3:$L$5001,"&lt;&gt;"))))</f>
        <v/>
      </c>
      <c r="D197" s="42" t="str">
        <f>IF(OR($B197="",$A197&gt;$B$9),"",IF(COUNTIFS(BD!$B$3:$B$5001,D$184,BD!$A$3:$A$5001,"&gt;="&amp;$C$7,BD!$A$3:$A$5001,"&lt;="&amp;$B197,BD!$L$3:$L$5001,"&lt;&gt;")=0,"",SUMIFS(BD!$L$3:$L$5001,BD!$B$3:$B$5001,D$184,BD!$A$3:$A$5001,_xlfn.MAXIFS(BD!$A$3:$A$5001,BD!$B$3:$B$5001,D$184,BD!$A$3:$A$5001,"&gt;="&amp;$C$7,BD!$A$3:$A$5001,"&lt;="&amp;$B197,BD!$L$3:$L$5001,"&lt;&gt;"))))</f>
        <v/>
      </c>
      <c r="E197" s="42" t="str">
        <f>IF(OR($B197="",$A197&gt;$B$9),"",IF(COUNTIFS(BD!$B$3:$B$5001,E$184,BD!$A$3:$A$5001,"&gt;="&amp;$C$7,BD!$A$3:$A$5001,"&lt;="&amp;$B197,BD!$L$3:$L$5001,"&lt;&gt;")=0,"",SUMIFS(BD!$L$3:$L$5001,BD!$B$3:$B$5001,E$184,BD!$A$3:$A$5001,_xlfn.MAXIFS(BD!$A$3:$A$5001,BD!$B$3:$B$5001,E$184,BD!$A$3:$A$5001,"&gt;="&amp;$C$7,BD!$A$3:$A$5001,"&lt;="&amp;$B197,BD!$L$3:$L$5001,"&lt;&gt;"))))</f>
        <v/>
      </c>
      <c r="F197" s="42" t="str">
        <f>IF(OR($B197="",$A197&gt;$B$9),"",IF(COUNTIFS(BD!$B$3:$B$5001,F$184,BD!$A$3:$A$5001,"&gt;="&amp;$C$7,BD!$A$3:$A$5001,"&lt;="&amp;$B197,BD!$L$3:$L$5001,"&lt;&gt;")=0,"",SUMIFS(BD!$L$3:$L$5001,BD!$B$3:$B$5001,F$184,BD!$A$3:$A$5001,_xlfn.MAXIFS(BD!$A$3:$A$5001,BD!$B$3:$B$5001,F$184,BD!$A$3:$A$5001,"&gt;="&amp;$C$7,BD!$A$3:$A$5001,"&lt;="&amp;$B197,BD!$L$3:$L$5001,"&lt;&gt;"))))</f>
        <v/>
      </c>
      <c r="G197" s="42" t="str">
        <f>IF(OR($B197="",$A197&gt;$B$9),"",IF(COUNTIFS(BD!$B$3:$B$5001,G$184,BD!$A$3:$A$5001,"&gt;="&amp;$C$7,BD!$A$3:$A$5001,"&lt;="&amp;$B197,BD!$L$3:$L$5001,"&lt;&gt;")=0,"",SUMIFS(BD!$L$3:$L$5001,BD!$B$3:$B$5001,G$184,BD!$A$3:$A$5001,_xlfn.MAXIFS(BD!$A$3:$A$5001,BD!$B$3:$B$5001,G$184,BD!$A$3:$A$5001,"&gt;="&amp;$C$7,BD!$A$3:$A$5001,"&lt;="&amp;$B197,BD!$L$3:$L$5001,"&lt;&gt;"))))</f>
        <v/>
      </c>
    </row>
    <row r="198">
      <c r="A198" s="40">
        <v>14</v>
      </c>
      <c r="B198" s="41">
        <f>$B$25</f>
        <v>46309</v>
      </c>
      <c r="C198" s="42" t="str">
        <f>IF(OR($B198="",$A198&gt;$B$9),"",IF(COUNTIFS(BD!$B$3:$B$5001,C$184,BD!$A$3:$A$5001,"&gt;="&amp;$C$7,BD!$A$3:$A$5001,"&lt;="&amp;$B198,BD!$L$3:$L$5001,"&lt;&gt;")=0,"",SUMIFS(BD!$L$3:$L$5001,BD!$B$3:$B$5001,C$184,BD!$A$3:$A$5001,_xlfn.MAXIFS(BD!$A$3:$A$5001,BD!$B$3:$B$5001,C$184,BD!$A$3:$A$5001,"&gt;="&amp;$C$7,BD!$A$3:$A$5001,"&lt;="&amp;$B198,BD!$L$3:$L$5001,"&lt;&gt;"))))</f>
        <v/>
      </c>
      <c r="D198" s="42" t="str">
        <f>IF(OR($B198="",$A198&gt;$B$9),"",IF(COUNTIFS(BD!$B$3:$B$5001,D$184,BD!$A$3:$A$5001,"&gt;="&amp;$C$7,BD!$A$3:$A$5001,"&lt;="&amp;$B198,BD!$L$3:$L$5001,"&lt;&gt;")=0,"",SUMIFS(BD!$L$3:$L$5001,BD!$B$3:$B$5001,D$184,BD!$A$3:$A$5001,_xlfn.MAXIFS(BD!$A$3:$A$5001,BD!$B$3:$B$5001,D$184,BD!$A$3:$A$5001,"&gt;="&amp;$C$7,BD!$A$3:$A$5001,"&lt;="&amp;$B198,BD!$L$3:$L$5001,"&lt;&gt;"))))</f>
        <v/>
      </c>
      <c r="E198" s="42" t="str">
        <f>IF(OR($B198="",$A198&gt;$B$9),"",IF(COUNTIFS(BD!$B$3:$B$5001,E$184,BD!$A$3:$A$5001,"&gt;="&amp;$C$7,BD!$A$3:$A$5001,"&lt;="&amp;$B198,BD!$L$3:$L$5001,"&lt;&gt;")=0,"",SUMIFS(BD!$L$3:$L$5001,BD!$B$3:$B$5001,E$184,BD!$A$3:$A$5001,_xlfn.MAXIFS(BD!$A$3:$A$5001,BD!$B$3:$B$5001,E$184,BD!$A$3:$A$5001,"&gt;="&amp;$C$7,BD!$A$3:$A$5001,"&lt;="&amp;$B198,BD!$L$3:$L$5001,"&lt;&gt;"))))</f>
        <v/>
      </c>
      <c r="F198" s="42" t="str">
        <f>IF(OR($B198="",$A198&gt;$B$9),"",IF(COUNTIFS(BD!$B$3:$B$5001,F$184,BD!$A$3:$A$5001,"&gt;="&amp;$C$7,BD!$A$3:$A$5001,"&lt;="&amp;$B198,BD!$L$3:$L$5001,"&lt;&gt;")=0,"",SUMIFS(BD!$L$3:$L$5001,BD!$B$3:$B$5001,F$184,BD!$A$3:$A$5001,_xlfn.MAXIFS(BD!$A$3:$A$5001,BD!$B$3:$B$5001,F$184,BD!$A$3:$A$5001,"&gt;="&amp;$C$7,BD!$A$3:$A$5001,"&lt;="&amp;$B198,BD!$L$3:$L$5001,"&lt;&gt;"))))</f>
        <v/>
      </c>
      <c r="G198" s="42" t="str">
        <f>IF(OR($B198="",$A198&gt;$B$9),"",IF(COUNTIFS(BD!$B$3:$B$5001,G$184,BD!$A$3:$A$5001,"&gt;="&amp;$C$7,BD!$A$3:$A$5001,"&lt;="&amp;$B198,BD!$L$3:$L$5001,"&lt;&gt;")=0,"",SUMIFS(BD!$L$3:$L$5001,BD!$B$3:$B$5001,G$184,BD!$A$3:$A$5001,_xlfn.MAXIFS(BD!$A$3:$A$5001,BD!$B$3:$B$5001,G$184,BD!$A$3:$A$5001,"&gt;="&amp;$C$7,BD!$A$3:$A$5001,"&lt;="&amp;$B198,BD!$L$3:$L$5001,"&lt;&gt;"))))</f>
        <v/>
      </c>
    </row>
    <row r="199">
      <c r="A199" s="40">
        <v>15</v>
      </c>
      <c r="B199" s="41">
        <f>$B$26</f>
        <v>46310</v>
      </c>
      <c r="C199" s="42" t="str">
        <f>IF(OR($B199="",$A199&gt;$B$9),"",IF(COUNTIFS(BD!$B$3:$B$5001,C$184,BD!$A$3:$A$5001,"&gt;="&amp;$C$7,BD!$A$3:$A$5001,"&lt;="&amp;$B199,BD!$L$3:$L$5001,"&lt;&gt;")=0,"",SUMIFS(BD!$L$3:$L$5001,BD!$B$3:$B$5001,C$184,BD!$A$3:$A$5001,_xlfn.MAXIFS(BD!$A$3:$A$5001,BD!$B$3:$B$5001,C$184,BD!$A$3:$A$5001,"&gt;="&amp;$C$7,BD!$A$3:$A$5001,"&lt;="&amp;$B199,BD!$L$3:$L$5001,"&lt;&gt;"))))</f>
        <v/>
      </c>
      <c r="D199" s="42" t="str">
        <f>IF(OR($B199="",$A199&gt;$B$9),"",IF(COUNTIFS(BD!$B$3:$B$5001,D$184,BD!$A$3:$A$5001,"&gt;="&amp;$C$7,BD!$A$3:$A$5001,"&lt;="&amp;$B199,BD!$L$3:$L$5001,"&lt;&gt;")=0,"",SUMIFS(BD!$L$3:$L$5001,BD!$B$3:$B$5001,D$184,BD!$A$3:$A$5001,_xlfn.MAXIFS(BD!$A$3:$A$5001,BD!$B$3:$B$5001,D$184,BD!$A$3:$A$5001,"&gt;="&amp;$C$7,BD!$A$3:$A$5001,"&lt;="&amp;$B199,BD!$L$3:$L$5001,"&lt;&gt;"))))</f>
        <v/>
      </c>
      <c r="E199" s="42" t="str">
        <f>IF(OR($B199="",$A199&gt;$B$9),"",IF(COUNTIFS(BD!$B$3:$B$5001,E$184,BD!$A$3:$A$5001,"&gt;="&amp;$C$7,BD!$A$3:$A$5001,"&lt;="&amp;$B199,BD!$L$3:$L$5001,"&lt;&gt;")=0,"",SUMIFS(BD!$L$3:$L$5001,BD!$B$3:$B$5001,E$184,BD!$A$3:$A$5001,_xlfn.MAXIFS(BD!$A$3:$A$5001,BD!$B$3:$B$5001,E$184,BD!$A$3:$A$5001,"&gt;="&amp;$C$7,BD!$A$3:$A$5001,"&lt;="&amp;$B199,BD!$L$3:$L$5001,"&lt;&gt;"))))</f>
        <v/>
      </c>
      <c r="F199" s="42" t="str">
        <f>IF(OR($B199="",$A199&gt;$B$9),"",IF(COUNTIFS(BD!$B$3:$B$5001,F$184,BD!$A$3:$A$5001,"&gt;="&amp;$C$7,BD!$A$3:$A$5001,"&lt;="&amp;$B199,BD!$L$3:$L$5001,"&lt;&gt;")=0,"",SUMIFS(BD!$L$3:$L$5001,BD!$B$3:$B$5001,F$184,BD!$A$3:$A$5001,_xlfn.MAXIFS(BD!$A$3:$A$5001,BD!$B$3:$B$5001,F$184,BD!$A$3:$A$5001,"&gt;="&amp;$C$7,BD!$A$3:$A$5001,"&lt;="&amp;$B199,BD!$L$3:$L$5001,"&lt;&gt;"))))</f>
        <v/>
      </c>
      <c r="G199" s="42" t="str">
        <f>IF(OR($B199="",$A199&gt;$B$9),"",IF(COUNTIFS(BD!$B$3:$B$5001,G$184,BD!$A$3:$A$5001,"&gt;="&amp;$C$7,BD!$A$3:$A$5001,"&lt;="&amp;$B199,BD!$L$3:$L$5001,"&lt;&gt;")=0,"",SUMIFS(BD!$L$3:$L$5001,BD!$B$3:$B$5001,G$184,BD!$A$3:$A$5001,_xlfn.MAXIFS(BD!$A$3:$A$5001,BD!$B$3:$B$5001,G$184,BD!$A$3:$A$5001,"&gt;="&amp;$C$7,BD!$A$3:$A$5001,"&lt;="&amp;$B199,BD!$L$3:$L$5001,"&lt;&gt;"))))</f>
        <v/>
      </c>
    </row>
    <row r="200">
      <c r="A200" s="40">
        <v>16</v>
      </c>
      <c r="B200" s="41">
        <f>$B$27</f>
        <v>46311</v>
      </c>
      <c r="C200" s="42" t="str">
        <f>IF(OR($B200="",$A200&gt;$B$9),"",IF(COUNTIFS(BD!$B$3:$B$5001,C$184,BD!$A$3:$A$5001,"&gt;="&amp;$C$7,BD!$A$3:$A$5001,"&lt;="&amp;$B200,BD!$L$3:$L$5001,"&lt;&gt;")=0,"",SUMIFS(BD!$L$3:$L$5001,BD!$B$3:$B$5001,C$184,BD!$A$3:$A$5001,_xlfn.MAXIFS(BD!$A$3:$A$5001,BD!$B$3:$B$5001,C$184,BD!$A$3:$A$5001,"&gt;="&amp;$C$7,BD!$A$3:$A$5001,"&lt;="&amp;$B200,BD!$L$3:$L$5001,"&lt;&gt;"))))</f>
        <v/>
      </c>
      <c r="D200" s="42" t="str">
        <f>IF(OR($B200="",$A200&gt;$B$9),"",IF(COUNTIFS(BD!$B$3:$B$5001,D$184,BD!$A$3:$A$5001,"&gt;="&amp;$C$7,BD!$A$3:$A$5001,"&lt;="&amp;$B200,BD!$L$3:$L$5001,"&lt;&gt;")=0,"",SUMIFS(BD!$L$3:$L$5001,BD!$B$3:$B$5001,D$184,BD!$A$3:$A$5001,_xlfn.MAXIFS(BD!$A$3:$A$5001,BD!$B$3:$B$5001,D$184,BD!$A$3:$A$5001,"&gt;="&amp;$C$7,BD!$A$3:$A$5001,"&lt;="&amp;$B200,BD!$L$3:$L$5001,"&lt;&gt;"))))</f>
        <v/>
      </c>
      <c r="E200" s="42" t="str">
        <f>IF(OR($B200="",$A200&gt;$B$9),"",IF(COUNTIFS(BD!$B$3:$B$5001,E$184,BD!$A$3:$A$5001,"&gt;="&amp;$C$7,BD!$A$3:$A$5001,"&lt;="&amp;$B200,BD!$L$3:$L$5001,"&lt;&gt;")=0,"",SUMIFS(BD!$L$3:$L$5001,BD!$B$3:$B$5001,E$184,BD!$A$3:$A$5001,_xlfn.MAXIFS(BD!$A$3:$A$5001,BD!$B$3:$B$5001,E$184,BD!$A$3:$A$5001,"&gt;="&amp;$C$7,BD!$A$3:$A$5001,"&lt;="&amp;$B200,BD!$L$3:$L$5001,"&lt;&gt;"))))</f>
        <v/>
      </c>
      <c r="F200" s="42" t="str">
        <f>IF(OR($B200="",$A200&gt;$B$9),"",IF(COUNTIFS(BD!$B$3:$B$5001,F$184,BD!$A$3:$A$5001,"&gt;="&amp;$C$7,BD!$A$3:$A$5001,"&lt;="&amp;$B200,BD!$L$3:$L$5001,"&lt;&gt;")=0,"",SUMIFS(BD!$L$3:$L$5001,BD!$B$3:$B$5001,F$184,BD!$A$3:$A$5001,_xlfn.MAXIFS(BD!$A$3:$A$5001,BD!$B$3:$B$5001,F$184,BD!$A$3:$A$5001,"&gt;="&amp;$C$7,BD!$A$3:$A$5001,"&lt;="&amp;$B200,BD!$L$3:$L$5001,"&lt;&gt;"))))</f>
        <v/>
      </c>
      <c r="G200" s="42" t="str">
        <f>IF(OR($B200="",$A200&gt;$B$9),"",IF(COUNTIFS(BD!$B$3:$B$5001,G$184,BD!$A$3:$A$5001,"&gt;="&amp;$C$7,BD!$A$3:$A$5001,"&lt;="&amp;$B200,BD!$L$3:$L$5001,"&lt;&gt;")=0,"",SUMIFS(BD!$L$3:$L$5001,BD!$B$3:$B$5001,G$184,BD!$A$3:$A$5001,_xlfn.MAXIFS(BD!$A$3:$A$5001,BD!$B$3:$B$5001,G$184,BD!$A$3:$A$5001,"&gt;="&amp;$C$7,BD!$A$3:$A$5001,"&lt;="&amp;$B200,BD!$L$3:$L$5001,"&lt;&gt;"))))</f>
        <v/>
      </c>
    </row>
    <row r="201">
      <c r="A201" s="40">
        <v>17</v>
      </c>
      <c r="B201" s="41">
        <f>$B$28</f>
        <v>46312</v>
      </c>
      <c r="C201" s="42" t="str">
        <f>IF(OR($B201="",$A201&gt;$B$9),"",IF(COUNTIFS(BD!$B$3:$B$5001,C$184,BD!$A$3:$A$5001,"&gt;="&amp;$C$7,BD!$A$3:$A$5001,"&lt;="&amp;$B201,BD!$L$3:$L$5001,"&lt;&gt;")=0,"",SUMIFS(BD!$L$3:$L$5001,BD!$B$3:$B$5001,C$184,BD!$A$3:$A$5001,_xlfn.MAXIFS(BD!$A$3:$A$5001,BD!$B$3:$B$5001,C$184,BD!$A$3:$A$5001,"&gt;="&amp;$C$7,BD!$A$3:$A$5001,"&lt;="&amp;$B201,BD!$L$3:$L$5001,"&lt;&gt;"))))</f>
        <v/>
      </c>
      <c r="D201" s="42" t="str">
        <f>IF(OR($B201="",$A201&gt;$B$9),"",IF(COUNTIFS(BD!$B$3:$B$5001,D$184,BD!$A$3:$A$5001,"&gt;="&amp;$C$7,BD!$A$3:$A$5001,"&lt;="&amp;$B201,BD!$L$3:$L$5001,"&lt;&gt;")=0,"",SUMIFS(BD!$L$3:$L$5001,BD!$B$3:$B$5001,D$184,BD!$A$3:$A$5001,_xlfn.MAXIFS(BD!$A$3:$A$5001,BD!$B$3:$B$5001,D$184,BD!$A$3:$A$5001,"&gt;="&amp;$C$7,BD!$A$3:$A$5001,"&lt;="&amp;$B201,BD!$L$3:$L$5001,"&lt;&gt;"))))</f>
        <v/>
      </c>
      <c r="E201" s="42" t="str">
        <f>IF(OR($B201="",$A201&gt;$B$9),"",IF(COUNTIFS(BD!$B$3:$B$5001,E$184,BD!$A$3:$A$5001,"&gt;="&amp;$C$7,BD!$A$3:$A$5001,"&lt;="&amp;$B201,BD!$L$3:$L$5001,"&lt;&gt;")=0,"",SUMIFS(BD!$L$3:$L$5001,BD!$B$3:$B$5001,E$184,BD!$A$3:$A$5001,_xlfn.MAXIFS(BD!$A$3:$A$5001,BD!$B$3:$B$5001,E$184,BD!$A$3:$A$5001,"&gt;="&amp;$C$7,BD!$A$3:$A$5001,"&lt;="&amp;$B201,BD!$L$3:$L$5001,"&lt;&gt;"))))</f>
        <v/>
      </c>
      <c r="F201" s="42" t="str">
        <f>IF(OR($B201="",$A201&gt;$B$9),"",IF(COUNTIFS(BD!$B$3:$B$5001,F$184,BD!$A$3:$A$5001,"&gt;="&amp;$C$7,BD!$A$3:$A$5001,"&lt;="&amp;$B201,BD!$L$3:$L$5001,"&lt;&gt;")=0,"",SUMIFS(BD!$L$3:$L$5001,BD!$B$3:$B$5001,F$184,BD!$A$3:$A$5001,_xlfn.MAXIFS(BD!$A$3:$A$5001,BD!$B$3:$B$5001,F$184,BD!$A$3:$A$5001,"&gt;="&amp;$C$7,BD!$A$3:$A$5001,"&lt;="&amp;$B201,BD!$L$3:$L$5001,"&lt;&gt;"))))</f>
        <v/>
      </c>
      <c r="G201" s="42" t="str">
        <f>IF(OR($B201="",$A201&gt;$B$9),"",IF(COUNTIFS(BD!$B$3:$B$5001,G$184,BD!$A$3:$A$5001,"&gt;="&amp;$C$7,BD!$A$3:$A$5001,"&lt;="&amp;$B201,BD!$L$3:$L$5001,"&lt;&gt;")=0,"",SUMIFS(BD!$L$3:$L$5001,BD!$B$3:$B$5001,G$184,BD!$A$3:$A$5001,_xlfn.MAXIFS(BD!$A$3:$A$5001,BD!$B$3:$B$5001,G$184,BD!$A$3:$A$5001,"&gt;="&amp;$C$7,BD!$A$3:$A$5001,"&lt;="&amp;$B201,BD!$L$3:$L$5001,"&lt;&gt;"))))</f>
        <v/>
      </c>
    </row>
    <row r="202">
      <c r="A202" s="40">
        <v>18</v>
      </c>
      <c r="B202" s="41">
        <f>$B$29</f>
        <v>46313</v>
      </c>
      <c r="C202" s="42" t="str">
        <f>IF(OR($B202="",$A202&gt;$B$9),"",IF(COUNTIFS(BD!$B$3:$B$5001,C$184,BD!$A$3:$A$5001,"&gt;="&amp;$C$7,BD!$A$3:$A$5001,"&lt;="&amp;$B202,BD!$L$3:$L$5001,"&lt;&gt;")=0,"",SUMIFS(BD!$L$3:$L$5001,BD!$B$3:$B$5001,C$184,BD!$A$3:$A$5001,_xlfn.MAXIFS(BD!$A$3:$A$5001,BD!$B$3:$B$5001,C$184,BD!$A$3:$A$5001,"&gt;="&amp;$C$7,BD!$A$3:$A$5001,"&lt;="&amp;$B202,BD!$L$3:$L$5001,"&lt;&gt;"))))</f>
        <v/>
      </c>
      <c r="D202" s="42" t="str">
        <f>IF(OR($B202="",$A202&gt;$B$9),"",IF(COUNTIFS(BD!$B$3:$B$5001,D$184,BD!$A$3:$A$5001,"&gt;="&amp;$C$7,BD!$A$3:$A$5001,"&lt;="&amp;$B202,BD!$L$3:$L$5001,"&lt;&gt;")=0,"",SUMIFS(BD!$L$3:$L$5001,BD!$B$3:$B$5001,D$184,BD!$A$3:$A$5001,_xlfn.MAXIFS(BD!$A$3:$A$5001,BD!$B$3:$B$5001,D$184,BD!$A$3:$A$5001,"&gt;="&amp;$C$7,BD!$A$3:$A$5001,"&lt;="&amp;$B202,BD!$L$3:$L$5001,"&lt;&gt;"))))</f>
        <v/>
      </c>
      <c r="E202" s="42" t="str">
        <f>IF(OR($B202="",$A202&gt;$B$9),"",IF(COUNTIFS(BD!$B$3:$B$5001,E$184,BD!$A$3:$A$5001,"&gt;="&amp;$C$7,BD!$A$3:$A$5001,"&lt;="&amp;$B202,BD!$L$3:$L$5001,"&lt;&gt;")=0,"",SUMIFS(BD!$L$3:$L$5001,BD!$B$3:$B$5001,E$184,BD!$A$3:$A$5001,_xlfn.MAXIFS(BD!$A$3:$A$5001,BD!$B$3:$B$5001,E$184,BD!$A$3:$A$5001,"&gt;="&amp;$C$7,BD!$A$3:$A$5001,"&lt;="&amp;$B202,BD!$L$3:$L$5001,"&lt;&gt;"))))</f>
        <v/>
      </c>
      <c r="F202" s="42" t="str">
        <f>IF(OR($B202="",$A202&gt;$B$9),"",IF(COUNTIFS(BD!$B$3:$B$5001,F$184,BD!$A$3:$A$5001,"&gt;="&amp;$C$7,BD!$A$3:$A$5001,"&lt;="&amp;$B202,BD!$L$3:$L$5001,"&lt;&gt;")=0,"",SUMIFS(BD!$L$3:$L$5001,BD!$B$3:$B$5001,F$184,BD!$A$3:$A$5001,_xlfn.MAXIFS(BD!$A$3:$A$5001,BD!$B$3:$B$5001,F$184,BD!$A$3:$A$5001,"&gt;="&amp;$C$7,BD!$A$3:$A$5001,"&lt;="&amp;$B202,BD!$L$3:$L$5001,"&lt;&gt;"))))</f>
        <v/>
      </c>
      <c r="G202" s="42" t="str">
        <f>IF(OR($B202="",$A202&gt;$B$9),"",IF(COUNTIFS(BD!$B$3:$B$5001,G$184,BD!$A$3:$A$5001,"&gt;="&amp;$C$7,BD!$A$3:$A$5001,"&lt;="&amp;$B202,BD!$L$3:$L$5001,"&lt;&gt;")=0,"",SUMIFS(BD!$L$3:$L$5001,BD!$B$3:$B$5001,G$184,BD!$A$3:$A$5001,_xlfn.MAXIFS(BD!$A$3:$A$5001,BD!$B$3:$B$5001,G$184,BD!$A$3:$A$5001,"&gt;="&amp;$C$7,BD!$A$3:$A$5001,"&lt;="&amp;$B202,BD!$L$3:$L$5001,"&lt;&gt;"))))</f>
        <v/>
      </c>
    </row>
    <row r="203">
      <c r="A203" s="40">
        <v>19</v>
      </c>
      <c r="B203" s="41">
        <f>$B$30</f>
        <v>46314</v>
      </c>
      <c r="C203" s="42" t="str">
        <f>IF(OR($B203="",$A203&gt;$B$9),"",IF(COUNTIFS(BD!$B$3:$B$5001,C$184,BD!$A$3:$A$5001,"&gt;="&amp;$C$7,BD!$A$3:$A$5001,"&lt;="&amp;$B203,BD!$L$3:$L$5001,"&lt;&gt;")=0,"",SUMIFS(BD!$L$3:$L$5001,BD!$B$3:$B$5001,C$184,BD!$A$3:$A$5001,_xlfn.MAXIFS(BD!$A$3:$A$5001,BD!$B$3:$B$5001,C$184,BD!$A$3:$A$5001,"&gt;="&amp;$C$7,BD!$A$3:$A$5001,"&lt;="&amp;$B203,BD!$L$3:$L$5001,"&lt;&gt;"))))</f>
        <v/>
      </c>
      <c r="D203" s="42" t="str">
        <f>IF(OR($B203="",$A203&gt;$B$9),"",IF(COUNTIFS(BD!$B$3:$B$5001,D$184,BD!$A$3:$A$5001,"&gt;="&amp;$C$7,BD!$A$3:$A$5001,"&lt;="&amp;$B203,BD!$L$3:$L$5001,"&lt;&gt;")=0,"",SUMIFS(BD!$L$3:$L$5001,BD!$B$3:$B$5001,D$184,BD!$A$3:$A$5001,_xlfn.MAXIFS(BD!$A$3:$A$5001,BD!$B$3:$B$5001,D$184,BD!$A$3:$A$5001,"&gt;="&amp;$C$7,BD!$A$3:$A$5001,"&lt;="&amp;$B203,BD!$L$3:$L$5001,"&lt;&gt;"))))</f>
        <v/>
      </c>
      <c r="E203" s="42" t="str">
        <f>IF(OR($B203="",$A203&gt;$B$9),"",IF(COUNTIFS(BD!$B$3:$B$5001,E$184,BD!$A$3:$A$5001,"&gt;="&amp;$C$7,BD!$A$3:$A$5001,"&lt;="&amp;$B203,BD!$L$3:$L$5001,"&lt;&gt;")=0,"",SUMIFS(BD!$L$3:$L$5001,BD!$B$3:$B$5001,E$184,BD!$A$3:$A$5001,_xlfn.MAXIFS(BD!$A$3:$A$5001,BD!$B$3:$B$5001,E$184,BD!$A$3:$A$5001,"&gt;="&amp;$C$7,BD!$A$3:$A$5001,"&lt;="&amp;$B203,BD!$L$3:$L$5001,"&lt;&gt;"))))</f>
        <v/>
      </c>
      <c r="F203" s="42" t="str">
        <f>IF(OR($B203="",$A203&gt;$B$9),"",IF(COUNTIFS(BD!$B$3:$B$5001,F$184,BD!$A$3:$A$5001,"&gt;="&amp;$C$7,BD!$A$3:$A$5001,"&lt;="&amp;$B203,BD!$L$3:$L$5001,"&lt;&gt;")=0,"",SUMIFS(BD!$L$3:$L$5001,BD!$B$3:$B$5001,F$184,BD!$A$3:$A$5001,_xlfn.MAXIFS(BD!$A$3:$A$5001,BD!$B$3:$B$5001,F$184,BD!$A$3:$A$5001,"&gt;="&amp;$C$7,BD!$A$3:$A$5001,"&lt;="&amp;$B203,BD!$L$3:$L$5001,"&lt;&gt;"))))</f>
        <v/>
      </c>
      <c r="G203" s="42" t="str">
        <f>IF(OR($B203="",$A203&gt;$B$9),"",IF(COUNTIFS(BD!$B$3:$B$5001,G$184,BD!$A$3:$A$5001,"&gt;="&amp;$C$7,BD!$A$3:$A$5001,"&lt;="&amp;$B203,BD!$L$3:$L$5001,"&lt;&gt;")=0,"",SUMIFS(BD!$L$3:$L$5001,BD!$B$3:$B$5001,G$184,BD!$A$3:$A$5001,_xlfn.MAXIFS(BD!$A$3:$A$5001,BD!$B$3:$B$5001,G$184,BD!$A$3:$A$5001,"&gt;="&amp;$C$7,BD!$A$3:$A$5001,"&lt;="&amp;$B203,BD!$L$3:$L$5001,"&lt;&gt;"))))</f>
        <v/>
      </c>
    </row>
    <row r="204">
      <c r="A204" s="40">
        <v>20</v>
      </c>
      <c r="B204" s="41">
        <f>$B$31</f>
        <v>46315</v>
      </c>
      <c r="C204" s="42" t="str">
        <f>IF(OR($B204="",$A204&gt;$B$9),"",IF(COUNTIFS(BD!$B$3:$B$5001,C$184,BD!$A$3:$A$5001,"&gt;="&amp;$C$7,BD!$A$3:$A$5001,"&lt;="&amp;$B204,BD!$L$3:$L$5001,"&lt;&gt;")=0,"",SUMIFS(BD!$L$3:$L$5001,BD!$B$3:$B$5001,C$184,BD!$A$3:$A$5001,_xlfn.MAXIFS(BD!$A$3:$A$5001,BD!$B$3:$B$5001,C$184,BD!$A$3:$A$5001,"&gt;="&amp;$C$7,BD!$A$3:$A$5001,"&lt;="&amp;$B204,BD!$L$3:$L$5001,"&lt;&gt;"))))</f>
        <v/>
      </c>
      <c r="D204" s="42" t="str">
        <f>IF(OR($B204="",$A204&gt;$B$9),"",IF(COUNTIFS(BD!$B$3:$B$5001,D$184,BD!$A$3:$A$5001,"&gt;="&amp;$C$7,BD!$A$3:$A$5001,"&lt;="&amp;$B204,BD!$L$3:$L$5001,"&lt;&gt;")=0,"",SUMIFS(BD!$L$3:$L$5001,BD!$B$3:$B$5001,D$184,BD!$A$3:$A$5001,_xlfn.MAXIFS(BD!$A$3:$A$5001,BD!$B$3:$B$5001,D$184,BD!$A$3:$A$5001,"&gt;="&amp;$C$7,BD!$A$3:$A$5001,"&lt;="&amp;$B204,BD!$L$3:$L$5001,"&lt;&gt;"))))</f>
        <v/>
      </c>
      <c r="E204" s="42" t="str">
        <f>IF(OR($B204="",$A204&gt;$B$9),"",IF(COUNTIFS(BD!$B$3:$B$5001,E$184,BD!$A$3:$A$5001,"&gt;="&amp;$C$7,BD!$A$3:$A$5001,"&lt;="&amp;$B204,BD!$L$3:$L$5001,"&lt;&gt;")=0,"",SUMIFS(BD!$L$3:$L$5001,BD!$B$3:$B$5001,E$184,BD!$A$3:$A$5001,_xlfn.MAXIFS(BD!$A$3:$A$5001,BD!$B$3:$B$5001,E$184,BD!$A$3:$A$5001,"&gt;="&amp;$C$7,BD!$A$3:$A$5001,"&lt;="&amp;$B204,BD!$L$3:$L$5001,"&lt;&gt;"))))</f>
        <v/>
      </c>
      <c r="F204" s="42" t="str">
        <f>IF(OR($B204="",$A204&gt;$B$9),"",IF(COUNTIFS(BD!$B$3:$B$5001,F$184,BD!$A$3:$A$5001,"&gt;="&amp;$C$7,BD!$A$3:$A$5001,"&lt;="&amp;$B204,BD!$L$3:$L$5001,"&lt;&gt;")=0,"",SUMIFS(BD!$L$3:$L$5001,BD!$B$3:$B$5001,F$184,BD!$A$3:$A$5001,_xlfn.MAXIFS(BD!$A$3:$A$5001,BD!$B$3:$B$5001,F$184,BD!$A$3:$A$5001,"&gt;="&amp;$C$7,BD!$A$3:$A$5001,"&lt;="&amp;$B204,BD!$L$3:$L$5001,"&lt;&gt;"))))</f>
        <v/>
      </c>
      <c r="G204" s="42" t="str">
        <f>IF(OR($B204="",$A204&gt;$B$9),"",IF(COUNTIFS(BD!$B$3:$B$5001,G$184,BD!$A$3:$A$5001,"&gt;="&amp;$C$7,BD!$A$3:$A$5001,"&lt;="&amp;$B204,BD!$L$3:$L$5001,"&lt;&gt;")=0,"",SUMIFS(BD!$L$3:$L$5001,BD!$B$3:$B$5001,G$184,BD!$A$3:$A$5001,_xlfn.MAXIFS(BD!$A$3:$A$5001,BD!$B$3:$B$5001,G$184,BD!$A$3:$A$5001,"&gt;="&amp;$C$7,BD!$A$3:$A$5001,"&lt;="&amp;$B204,BD!$L$3:$L$5001,"&lt;&gt;"))))</f>
        <v/>
      </c>
    </row>
    <row r="205">
      <c r="A205" s="40">
        <v>21</v>
      </c>
      <c r="B205" s="41">
        <f>$B$32</f>
        <v>46316</v>
      </c>
      <c r="C205" s="42" t="str">
        <f>IF(OR($B205="",$A205&gt;$B$9),"",IF(COUNTIFS(BD!$B$3:$B$5001,C$184,BD!$A$3:$A$5001,"&gt;="&amp;$C$7,BD!$A$3:$A$5001,"&lt;="&amp;$B205,BD!$L$3:$L$5001,"&lt;&gt;")=0,"",SUMIFS(BD!$L$3:$L$5001,BD!$B$3:$B$5001,C$184,BD!$A$3:$A$5001,_xlfn.MAXIFS(BD!$A$3:$A$5001,BD!$B$3:$B$5001,C$184,BD!$A$3:$A$5001,"&gt;="&amp;$C$7,BD!$A$3:$A$5001,"&lt;="&amp;$B205,BD!$L$3:$L$5001,"&lt;&gt;"))))</f>
        <v/>
      </c>
      <c r="D205" s="42" t="str">
        <f>IF(OR($B205="",$A205&gt;$B$9),"",IF(COUNTIFS(BD!$B$3:$B$5001,D$184,BD!$A$3:$A$5001,"&gt;="&amp;$C$7,BD!$A$3:$A$5001,"&lt;="&amp;$B205,BD!$L$3:$L$5001,"&lt;&gt;")=0,"",SUMIFS(BD!$L$3:$L$5001,BD!$B$3:$B$5001,D$184,BD!$A$3:$A$5001,_xlfn.MAXIFS(BD!$A$3:$A$5001,BD!$B$3:$B$5001,D$184,BD!$A$3:$A$5001,"&gt;="&amp;$C$7,BD!$A$3:$A$5001,"&lt;="&amp;$B205,BD!$L$3:$L$5001,"&lt;&gt;"))))</f>
        <v/>
      </c>
      <c r="E205" s="42" t="str">
        <f>IF(OR($B205="",$A205&gt;$B$9),"",IF(COUNTIFS(BD!$B$3:$B$5001,E$184,BD!$A$3:$A$5001,"&gt;="&amp;$C$7,BD!$A$3:$A$5001,"&lt;="&amp;$B205,BD!$L$3:$L$5001,"&lt;&gt;")=0,"",SUMIFS(BD!$L$3:$L$5001,BD!$B$3:$B$5001,E$184,BD!$A$3:$A$5001,_xlfn.MAXIFS(BD!$A$3:$A$5001,BD!$B$3:$B$5001,E$184,BD!$A$3:$A$5001,"&gt;="&amp;$C$7,BD!$A$3:$A$5001,"&lt;="&amp;$B205,BD!$L$3:$L$5001,"&lt;&gt;"))))</f>
        <v/>
      </c>
      <c r="F205" s="42" t="str">
        <f>IF(OR($B205="",$A205&gt;$B$9),"",IF(COUNTIFS(BD!$B$3:$B$5001,F$184,BD!$A$3:$A$5001,"&gt;="&amp;$C$7,BD!$A$3:$A$5001,"&lt;="&amp;$B205,BD!$L$3:$L$5001,"&lt;&gt;")=0,"",SUMIFS(BD!$L$3:$L$5001,BD!$B$3:$B$5001,F$184,BD!$A$3:$A$5001,_xlfn.MAXIFS(BD!$A$3:$A$5001,BD!$B$3:$B$5001,F$184,BD!$A$3:$A$5001,"&gt;="&amp;$C$7,BD!$A$3:$A$5001,"&lt;="&amp;$B205,BD!$L$3:$L$5001,"&lt;&gt;"))))</f>
        <v/>
      </c>
      <c r="G205" s="42" t="str">
        <f>IF(OR($B205="",$A205&gt;$B$9),"",IF(COUNTIFS(BD!$B$3:$B$5001,G$184,BD!$A$3:$A$5001,"&gt;="&amp;$C$7,BD!$A$3:$A$5001,"&lt;="&amp;$B205,BD!$L$3:$L$5001,"&lt;&gt;")=0,"",SUMIFS(BD!$L$3:$L$5001,BD!$B$3:$B$5001,G$184,BD!$A$3:$A$5001,_xlfn.MAXIFS(BD!$A$3:$A$5001,BD!$B$3:$B$5001,G$184,BD!$A$3:$A$5001,"&gt;="&amp;$C$7,BD!$A$3:$A$5001,"&lt;="&amp;$B205,BD!$L$3:$L$5001,"&lt;&gt;"))))</f>
        <v/>
      </c>
    </row>
    <row r="206">
      <c r="A206" s="40">
        <v>22</v>
      </c>
      <c r="B206" s="41">
        <f>$B$33</f>
        <v>46317</v>
      </c>
      <c r="C206" s="42" t="str">
        <f>IF(OR($B206="",$A206&gt;$B$9),"",IF(COUNTIFS(BD!$B$3:$B$5001,C$184,BD!$A$3:$A$5001,"&gt;="&amp;$C$7,BD!$A$3:$A$5001,"&lt;="&amp;$B206,BD!$L$3:$L$5001,"&lt;&gt;")=0,"",SUMIFS(BD!$L$3:$L$5001,BD!$B$3:$B$5001,C$184,BD!$A$3:$A$5001,_xlfn.MAXIFS(BD!$A$3:$A$5001,BD!$B$3:$B$5001,C$184,BD!$A$3:$A$5001,"&gt;="&amp;$C$7,BD!$A$3:$A$5001,"&lt;="&amp;$B206,BD!$L$3:$L$5001,"&lt;&gt;"))))</f>
        <v/>
      </c>
      <c r="D206" s="42" t="str">
        <f>IF(OR($B206="",$A206&gt;$B$9),"",IF(COUNTIFS(BD!$B$3:$B$5001,D$184,BD!$A$3:$A$5001,"&gt;="&amp;$C$7,BD!$A$3:$A$5001,"&lt;="&amp;$B206,BD!$L$3:$L$5001,"&lt;&gt;")=0,"",SUMIFS(BD!$L$3:$L$5001,BD!$B$3:$B$5001,D$184,BD!$A$3:$A$5001,_xlfn.MAXIFS(BD!$A$3:$A$5001,BD!$B$3:$B$5001,D$184,BD!$A$3:$A$5001,"&gt;="&amp;$C$7,BD!$A$3:$A$5001,"&lt;="&amp;$B206,BD!$L$3:$L$5001,"&lt;&gt;"))))</f>
        <v/>
      </c>
      <c r="E206" s="42" t="str">
        <f>IF(OR($B206="",$A206&gt;$B$9),"",IF(COUNTIFS(BD!$B$3:$B$5001,E$184,BD!$A$3:$A$5001,"&gt;="&amp;$C$7,BD!$A$3:$A$5001,"&lt;="&amp;$B206,BD!$L$3:$L$5001,"&lt;&gt;")=0,"",SUMIFS(BD!$L$3:$L$5001,BD!$B$3:$B$5001,E$184,BD!$A$3:$A$5001,_xlfn.MAXIFS(BD!$A$3:$A$5001,BD!$B$3:$B$5001,E$184,BD!$A$3:$A$5001,"&gt;="&amp;$C$7,BD!$A$3:$A$5001,"&lt;="&amp;$B206,BD!$L$3:$L$5001,"&lt;&gt;"))))</f>
        <v/>
      </c>
      <c r="F206" s="42" t="str">
        <f>IF(OR($B206="",$A206&gt;$B$9),"",IF(COUNTIFS(BD!$B$3:$B$5001,F$184,BD!$A$3:$A$5001,"&gt;="&amp;$C$7,BD!$A$3:$A$5001,"&lt;="&amp;$B206,BD!$L$3:$L$5001,"&lt;&gt;")=0,"",SUMIFS(BD!$L$3:$L$5001,BD!$B$3:$B$5001,F$184,BD!$A$3:$A$5001,_xlfn.MAXIFS(BD!$A$3:$A$5001,BD!$B$3:$B$5001,F$184,BD!$A$3:$A$5001,"&gt;="&amp;$C$7,BD!$A$3:$A$5001,"&lt;="&amp;$B206,BD!$L$3:$L$5001,"&lt;&gt;"))))</f>
        <v/>
      </c>
      <c r="G206" s="42" t="str">
        <f>IF(OR($B206="",$A206&gt;$B$9),"",IF(COUNTIFS(BD!$B$3:$B$5001,G$184,BD!$A$3:$A$5001,"&gt;="&amp;$C$7,BD!$A$3:$A$5001,"&lt;="&amp;$B206,BD!$L$3:$L$5001,"&lt;&gt;")=0,"",SUMIFS(BD!$L$3:$L$5001,BD!$B$3:$B$5001,G$184,BD!$A$3:$A$5001,_xlfn.MAXIFS(BD!$A$3:$A$5001,BD!$B$3:$B$5001,G$184,BD!$A$3:$A$5001,"&gt;="&amp;$C$7,BD!$A$3:$A$5001,"&lt;="&amp;$B206,BD!$L$3:$L$5001,"&lt;&gt;"))))</f>
        <v/>
      </c>
    </row>
    <row r="207">
      <c r="A207" s="40">
        <v>23</v>
      </c>
      <c r="B207" s="41">
        <f>$B$34</f>
        <v>46318</v>
      </c>
      <c r="C207" s="42" t="str">
        <f>IF(OR($B207="",$A207&gt;$B$9),"",IF(COUNTIFS(BD!$B$3:$B$5001,C$184,BD!$A$3:$A$5001,"&gt;="&amp;$C$7,BD!$A$3:$A$5001,"&lt;="&amp;$B207,BD!$L$3:$L$5001,"&lt;&gt;")=0,"",SUMIFS(BD!$L$3:$L$5001,BD!$B$3:$B$5001,C$184,BD!$A$3:$A$5001,_xlfn.MAXIFS(BD!$A$3:$A$5001,BD!$B$3:$B$5001,C$184,BD!$A$3:$A$5001,"&gt;="&amp;$C$7,BD!$A$3:$A$5001,"&lt;="&amp;$B207,BD!$L$3:$L$5001,"&lt;&gt;"))))</f>
        <v/>
      </c>
      <c r="D207" s="42" t="str">
        <f>IF(OR($B207="",$A207&gt;$B$9),"",IF(COUNTIFS(BD!$B$3:$B$5001,D$184,BD!$A$3:$A$5001,"&gt;="&amp;$C$7,BD!$A$3:$A$5001,"&lt;="&amp;$B207,BD!$L$3:$L$5001,"&lt;&gt;")=0,"",SUMIFS(BD!$L$3:$L$5001,BD!$B$3:$B$5001,D$184,BD!$A$3:$A$5001,_xlfn.MAXIFS(BD!$A$3:$A$5001,BD!$B$3:$B$5001,D$184,BD!$A$3:$A$5001,"&gt;="&amp;$C$7,BD!$A$3:$A$5001,"&lt;="&amp;$B207,BD!$L$3:$L$5001,"&lt;&gt;"))))</f>
        <v/>
      </c>
      <c r="E207" s="42" t="str">
        <f>IF(OR($B207="",$A207&gt;$B$9),"",IF(COUNTIFS(BD!$B$3:$B$5001,E$184,BD!$A$3:$A$5001,"&gt;="&amp;$C$7,BD!$A$3:$A$5001,"&lt;="&amp;$B207,BD!$L$3:$L$5001,"&lt;&gt;")=0,"",SUMIFS(BD!$L$3:$L$5001,BD!$B$3:$B$5001,E$184,BD!$A$3:$A$5001,_xlfn.MAXIFS(BD!$A$3:$A$5001,BD!$B$3:$B$5001,E$184,BD!$A$3:$A$5001,"&gt;="&amp;$C$7,BD!$A$3:$A$5001,"&lt;="&amp;$B207,BD!$L$3:$L$5001,"&lt;&gt;"))))</f>
        <v/>
      </c>
      <c r="F207" s="42" t="str">
        <f>IF(OR($B207="",$A207&gt;$B$9),"",IF(COUNTIFS(BD!$B$3:$B$5001,F$184,BD!$A$3:$A$5001,"&gt;="&amp;$C$7,BD!$A$3:$A$5001,"&lt;="&amp;$B207,BD!$L$3:$L$5001,"&lt;&gt;")=0,"",SUMIFS(BD!$L$3:$L$5001,BD!$B$3:$B$5001,F$184,BD!$A$3:$A$5001,_xlfn.MAXIFS(BD!$A$3:$A$5001,BD!$B$3:$B$5001,F$184,BD!$A$3:$A$5001,"&gt;="&amp;$C$7,BD!$A$3:$A$5001,"&lt;="&amp;$B207,BD!$L$3:$L$5001,"&lt;&gt;"))))</f>
        <v/>
      </c>
      <c r="G207" s="42" t="str">
        <f>IF(OR($B207="",$A207&gt;$B$9),"",IF(COUNTIFS(BD!$B$3:$B$5001,G$184,BD!$A$3:$A$5001,"&gt;="&amp;$C$7,BD!$A$3:$A$5001,"&lt;="&amp;$B207,BD!$L$3:$L$5001,"&lt;&gt;")=0,"",SUMIFS(BD!$L$3:$L$5001,BD!$B$3:$B$5001,G$184,BD!$A$3:$A$5001,_xlfn.MAXIFS(BD!$A$3:$A$5001,BD!$B$3:$B$5001,G$184,BD!$A$3:$A$5001,"&gt;="&amp;$C$7,BD!$A$3:$A$5001,"&lt;="&amp;$B207,BD!$L$3:$L$5001,"&lt;&gt;"))))</f>
        <v/>
      </c>
    </row>
    <row r="208">
      <c r="A208" s="40">
        <v>24</v>
      </c>
      <c r="B208" s="41">
        <f>$B$35</f>
        <v>46319</v>
      </c>
      <c r="C208" s="42" t="str">
        <f>IF(OR($B208="",$A208&gt;$B$9),"",IF(COUNTIFS(BD!$B$3:$B$5001,C$184,BD!$A$3:$A$5001,"&gt;="&amp;$C$7,BD!$A$3:$A$5001,"&lt;="&amp;$B208,BD!$L$3:$L$5001,"&lt;&gt;")=0,"",SUMIFS(BD!$L$3:$L$5001,BD!$B$3:$B$5001,C$184,BD!$A$3:$A$5001,_xlfn.MAXIFS(BD!$A$3:$A$5001,BD!$B$3:$B$5001,C$184,BD!$A$3:$A$5001,"&gt;="&amp;$C$7,BD!$A$3:$A$5001,"&lt;="&amp;$B208,BD!$L$3:$L$5001,"&lt;&gt;"))))</f>
        <v/>
      </c>
      <c r="D208" s="42" t="str">
        <f>IF(OR($B208="",$A208&gt;$B$9),"",IF(COUNTIFS(BD!$B$3:$B$5001,D$184,BD!$A$3:$A$5001,"&gt;="&amp;$C$7,BD!$A$3:$A$5001,"&lt;="&amp;$B208,BD!$L$3:$L$5001,"&lt;&gt;")=0,"",SUMIFS(BD!$L$3:$L$5001,BD!$B$3:$B$5001,D$184,BD!$A$3:$A$5001,_xlfn.MAXIFS(BD!$A$3:$A$5001,BD!$B$3:$B$5001,D$184,BD!$A$3:$A$5001,"&gt;="&amp;$C$7,BD!$A$3:$A$5001,"&lt;="&amp;$B208,BD!$L$3:$L$5001,"&lt;&gt;"))))</f>
        <v/>
      </c>
      <c r="E208" s="42" t="str">
        <f>IF(OR($B208="",$A208&gt;$B$9),"",IF(COUNTIFS(BD!$B$3:$B$5001,E$184,BD!$A$3:$A$5001,"&gt;="&amp;$C$7,BD!$A$3:$A$5001,"&lt;="&amp;$B208,BD!$L$3:$L$5001,"&lt;&gt;")=0,"",SUMIFS(BD!$L$3:$L$5001,BD!$B$3:$B$5001,E$184,BD!$A$3:$A$5001,_xlfn.MAXIFS(BD!$A$3:$A$5001,BD!$B$3:$B$5001,E$184,BD!$A$3:$A$5001,"&gt;="&amp;$C$7,BD!$A$3:$A$5001,"&lt;="&amp;$B208,BD!$L$3:$L$5001,"&lt;&gt;"))))</f>
        <v/>
      </c>
      <c r="F208" s="42" t="str">
        <f>IF(OR($B208="",$A208&gt;$B$9),"",IF(COUNTIFS(BD!$B$3:$B$5001,F$184,BD!$A$3:$A$5001,"&gt;="&amp;$C$7,BD!$A$3:$A$5001,"&lt;="&amp;$B208,BD!$L$3:$L$5001,"&lt;&gt;")=0,"",SUMIFS(BD!$L$3:$L$5001,BD!$B$3:$B$5001,F$184,BD!$A$3:$A$5001,_xlfn.MAXIFS(BD!$A$3:$A$5001,BD!$B$3:$B$5001,F$184,BD!$A$3:$A$5001,"&gt;="&amp;$C$7,BD!$A$3:$A$5001,"&lt;="&amp;$B208,BD!$L$3:$L$5001,"&lt;&gt;"))))</f>
        <v/>
      </c>
      <c r="G208" s="42" t="str">
        <f>IF(OR($B208="",$A208&gt;$B$9),"",IF(COUNTIFS(BD!$B$3:$B$5001,G$184,BD!$A$3:$A$5001,"&gt;="&amp;$C$7,BD!$A$3:$A$5001,"&lt;="&amp;$B208,BD!$L$3:$L$5001,"&lt;&gt;")=0,"",SUMIFS(BD!$L$3:$L$5001,BD!$B$3:$B$5001,G$184,BD!$A$3:$A$5001,_xlfn.MAXIFS(BD!$A$3:$A$5001,BD!$B$3:$B$5001,G$184,BD!$A$3:$A$5001,"&gt;="&amp;$C$7,BD!$A$3:$A$5001,"&lt;="&amp;$B208,BD!$L$3:$L$5001,"&lt;&gt;"))))</f>
        <v/>
      </c>
    </row>
    <row r="209">
      <c r="A209" s="40">
        <v>25</v>
      </c>
      <c r="B209" s="41">
        <f>$B$36</f>
        <v>46320</v>
      </c>
      <c r="C209" s="42" t="str">
        <f>IF(OR($B209="",$A209&gt;$B$9),"",IF(COUNTIFS(BD!$B$3:$B$5001,C$184,BD!$A$3:$A$5001,"&gt;="&amp;$C$7,BD!$A$3:$A$5001,"&lt;="&amp;$B209,BD!$L$3:$L$5001,"&lt;&gt;")=0,"",SUMIFS(BD!$L$3:$L$5001,BD!$B$3:$B$5001,C$184,BD!$A$3:$A$5001,_xlfn.MAXIFS(BD!$A$3:$A$5001,BD!$B$3:$B$5001,C$184,BD!$A$3:$A$5001,"&gt;="&amp;$C$7,BD!$A$3:$A$5001,"&lt;="&amp;$B209,BD!$L$3:$L$5001,"&lt;&gt;"))))</f>
        <v/>
      </c>
      <c r="D209" s="42" t="str">
        <f>IF(OR($B209="",$A209&gt;$B$9),"",IF(COUNTIFS(BD!$B$3:$B$5001,D$184,BD!$A$3:$A$5001,"&gt;="&amp;$C$7,BD!$A$3:$A$5001,"&lt;="&amp;$B209,BD!$L$3:$L$5001,"&lt;&gt;")=0,"",SUMIFS(BD!$L$3:$L$5001,BD!$B$3:$B$5001,D$184,BD!$A$3:$A$5001,_xlfn.MAXIFS(BD!$A$3:$A$5001,BD!$B$3:$B$5001,D$184,BD!$A$3:$A$5001,"&gt;="&amp;$C$7,BD!$A$3:$A$5001,"&lt;="&amp;$B209,BD!$L$3:$L$5001,"&lt;&gt;"))))</f>
        <v/>
      </c>
      <c r="E209" s="42" t="str">
        <f>IF(OR($B209="",$A209&gt;$B$9),"",IF(COUNTIFS(BD!$B$3:$B$5001,E$184,BD!$A$3:$A$5001,"&gt;="&amp;$C$7,BD!$A$3:$A$5001,"&lt;="&amp;$B209,BD!$L$3:$L$5001,"&lt;&gt;")=0,"",SUMIFS(BD!$L$3:$L$5001,BD!$B$3:$B$5001,E$184,BD!$A$3:$A$5001,_xlfn.MAXIFS(BD!$A$3:$A$5001,BD!$B$3:$B$5001,E$184,BD!$A$3:$A$5001,"&gt;="&amp;$C$7,BD!$A$3:$A$5001,"&lt;="&amp;$B209,BD!$L$3:$L$5001,"&lt;&gt;"))))</f>
        <v/>
      </c>
      <c r="F209" s="42" t="str">
        <f>IF(OR($B209="",$A209&gt;$B$9),"",IF(COUNTIFS(BD!$B$3:$B$5001,F$184,BD!$A$3:$A$5001,"&gt;="&amp;$C$7,BD!$A$3:$A$5001,"&lt;="&amp;$B209,BD!$L$3:$L$5001,"&lt;&gt;")=0,"",SUMIFS(BD!$L$3:$L$5001,BD!$B$3:$B$5001,F$184,BD!$A$3:$A$5001,_xlfn.MAXIFS(BD!$A$3:$A$5001,BD!$B$3:$B$5001,F$184,BD!$A$3:$A$5001,"&gt;="&amp;$C$7,BD!$A$3:$A$5001,"&lt;="&amp;$B209,BD!$L$3:$L$5001,"&lt;&gt;"))))</f>
        <v/>
      </c>
      <c r="G209" s="42" t="str">
        <f>IF(OR($B209="",$A209&gt;$B$9),"",IF(COUNTIFS(BD!$B$3:$B$5001,G$184,BD!$A$3:$A$5001,"&gt;="&amp;$C$7,BD!$A$3:$A$5001,"&lt;="&amp;$B209,BD!$L$3:$L$5001,"&lt;&gt;")=0,"",SUMIFS(BD!$L$3:$L$5001,BD!$B$3:$B$5001,G$184,BD!$A$3:$A$5001,_xlfn.MAXIFS(BD!$A$3:$A$5001,BD!$B$3:$B$5001,G$184,BD!$A$3:$A$5001,"&gt;="&amp;$C$7,BD!$A$3:$A$5001,"&lt;="&amp;$B209,BD!$L$3:$L$5001,"&lt;&gt;"))))</f>
        <v/>
      </c>
    </row>
    <row r="210">
      <c r="A210" s="40">
        <v>26</v>
      </c>
      <c r="B210" s="41">
        <f>$B$37</f>
        <v>46321</v>
      </c>
      <c r="C210" s="42" t="str">
        <f>IF(OR($B210="",$A210&gt;$B$9),"",IF(COUNTIFS(BD!$B$3:$B$5001,C$184,BD!$A$3:$A$5001,"&gt;="&amp;$C$7,BD!$A$3:$A$5001,"&lt;="&amp;$B210,BD!$L$3:$L$5001,"&lt;&gt;")=0,"",SUMIFS(BD!$L$3:$L$5001,BD!$B$3:$B$5001,C$184,BD!$A$3:$A$5001,_xlfn.MAXIFS(BD!$A$3:$A$5001,BD!$B$3:$B$5001,C$184,BD!$A$3:$A$5001,"&gt;="&amp;$C$7,BD!$A$3:$A$5001,"&lt;="&amp;$B210,BD!$L$3:$L$5001,"&lt;&gt;"))))</f>
        <v/>
      </c>
      <c r="D210" s="42" t="str">
        <f>IF(OR($B210="",$A210&gt;$B$9),"",IF(COUNTIFS(BD!$B$3:$B$5001,D$184,BD!$A$3:$A$5001,"&gt;="&amp;$C$7,BD!$A$3:$A$5001,"&lt;="&amp;$B210,BD!$L$3:$L$5001,"&lt;&gt;")=0,"",SUMIFS(BD!$L$3:$L$5001,BD!$B$3:$B$5001,D$184,BD!$A$3:$A$5001,_xlfn.MAXIFS(BD!$A$3:$A$5001,BD!$B$3:$B$5001,D$184,BD!$A$3:$A$5001,"&gt;="&amp;$C$7,BD!$A$3:$A$5001,"&lt;="&amp;$B210,BD!$L$3:$L$5001,"&lt;&gt;"))))</f>
        <v/>
      </c>
      <c r="E210" s="42" t="str">
        <f>IF(OR($B210="",$A210&gt;$B$9),"",IF(COUNTIFS(BD!$B$3:$B$5001,E$184,BD!$A$3:$A$5001,"&gt;="&amp;$C$7,BD!$A$3:$A$5001,"&lt;="&amp;$B210,BD!$L$3:$L$5001,"&lt;&gt;")=0,"",SUMIFS(BD!$L$3:$L$5001,BD!$B$3:$B$5001,E$184,BD!$A$3:$A$5001,_xlfn.MAXIFS(BD!$A$3:$A$5001,BD!$B$3:$B$5001,E$184,BD!$A$3:$A$5001,"&gt;="&amp;$C$7,BD!$A$3:$A$5001,"&lt;="&amp;$B210,BD!$L$3:$L$5001,"&lt;&gt;"))))</f>
        <v/>
      </c>
      <c r="F210" s="42" t="str">
        <f>IF(OR($B210="",$A210&gt;$B$9),"",IF(COUNTIFS(BD!$B$3:$B$5001,F$184,BD!$A$3:$A$5001,"&gt;="&amp;$C$7,BD!$A$3:$A$5001,"&lt;="&amp;$B210,BD!$L$3:$L$5001,"&lt;&gt;")=0,"",SUMIFS(BD!$L$3:$L$5001,BD!$B$3:$B$5001,F$184,BD!$A$3:$A$5001,_xlfn.MAXIFS(BD!$A$3:$A$5001,BD!$B$3:$B$5001,F$184,BD!$A$3:$A$5001,"&gt;="&amp;$C$7,BD!$A$3:$A$5001,"&lt;="&amp;$B210,BD!$L$3:$L$5001,"&lt;&gt;"))))</f>
        <v/>
      </c>
      <c r="G210" s="42" t="str">
        <f>IF(OR($B210="",$A210&gt;$B$9),"",IF(COUNTIFS(BD!$B$3:$B$5001,G$184,BD!$A$3:$A$5001,"&gt;="&amp;$C$7,BD!$A$3:$A$5001,"&lt;="&amp;$B210,BD!$L$3:$L$5001,"&lt;&gt;")=0,"",SUMIFS(BD!$L$3:$L$5001,BD!$B$3:$B$5001,G$184,BD!$A$3:$A$5001,_xlfn.MAXIFS(BD!$A$3:$A$5001,BD!$B$3:$B$5001,G$184,BD!$A$3:$A$5001,"&gt;="&amp;$C$7,BD!$A$3:$A$5001,"&lt;="&amp;$B210,BD!$L$3:$L$5001,"&lt;&gt;"))))</f>
        <v/>
      </c>
    </row>
    <row r="211">
      <c r="A211" s="40">
        <v>27</v>
      </c>
      <c r="B211" s="41">
        <f>$B$38</f>
        <v>46322</v>
      </c>
      <c r="C211" s="42" t="str">
        <f>IF(OR($B211="",$A211&gt;$B$9),"",IF(COUNTIFS(BD!$B$3:$B$5001,C$184,BD!$A$3:$A$5001,"&gt;="&amp;$C$7,BD!$A$3:$A$5001,"&lt;="&amp;$B211,BD!$L$3:$L$5001,"&lt;&gt;")=0,"",SUMIFS(BD!$L$3:$L$5001,BD!$B$3:$B$5001,C$184,BD!$A$3:$A$5001,_xlfn.MAXIFS(BD!$A$3:$A$5001,BD!$B$3:$B$5001,C$184,BD!$A$3:$A$5001,"&gt;="&amp;$C$7,BD!$A$3:$A$5001,"&lt;="&amp;$B211,BD!$L$3:$L$5001,"&lt;&gt;"))))</f>
        <v/>
      </c>
      <c r="D211" s="42" t="str">
        <f>IF(OR($B211="",$A211&gt;$B$9),"",IF(COUNTIFS(BD!$B$3:$B$5001,D$184,BD!$A$3:$A$5001,"&gt;="&amp;$C$7,BD!$A$3:$A$5001,"&lt;="&amp;$B211,BD!$L$3:$L$5001,"&lt;&gt;")=0,"",SUMIFS(BD!$L$3:$L$5001,BD!$B$3:$B$5001,D$184,BD!$A$3:$A$5001,_xlfn.MAXIFS(BD!$A$3:$A$5001,BD!$B$3:$B$5001,D$184,BD!$A$3:$A$5001,"&gt;="&amp;$C$7,BD!$A$3:$A$5001,"&lt;="&amp;$B211,BD!$L$3:$L$5001,"&lt;&gt;"))))</f>
        <v/>
      </c>
      <c r="E211" s="42" t="str">
        <f>IF(OR($B211="",$A211&gt;$B$9),"",IF(COUNTIFS(BD!$B$3:$B$5001,E$184,BD!$A$3:$A$5001,"&gt;="&amp;$C$7,BD!$A$3:$A$5001,"&lt;="&amp;$B211,BD!$L$3:$L$5001,"&lt;&gt;")=0,"",SUMIFS(BD!$L$3:$L$5001,BD!$B$3:$B$5001,E$184,BD!$A$3:$A$5001,_xlfn.MAXIFS(BD!$A$3:$A$5001,BD!$B$3:$B$5001,E$184,BD!$A$3:$A$5001,"&gt;="&amp;$C$7,BD!$A$3:$A$5001,"&lt;="&amp;$B211,BD!$L$3:$L$5001,"&lt;&gt;"))))</f>
        <v/>
      </c>
      <c r="F211" s="42" t="str">
        <f>IF(OR($B211="",$A211&gt;$B$9),"",IF(COUNTIFS(BD!$B$3:$B$5001,F$184,BD!$A$3:$A$5001,"&gt;="&amp;$C$7,BD!$A$3:$A$5001,"&lt;="&amp;$B211,BD!$L$3:$L$5001,"&lt;&gt;")=0,"",SUMIFS(BD!$L$3:$L$5001,BD!$B$3:$B$5001,F$184,BD!$A$3:$A$5001,_xlfn.MAXIFS(BD!$A$3:$A$5001,BD!$B$3:$B$5001,F$184,BD!$A$3:$A$5001,"&gt;="&amp;$C$7,BD!$A$3:$A$5001,"&lt;="&amp;$B211,BD!$L$3:$L$5001,"&lt;&gt;"))))</f>
        <v/>
      </c>
      <c r="G211" s="42" t="str">
        <f>IF(OR($B211="",$A211&gt;$B$9),"",IF(COUNTIFS(BD!$B$3:$B$5001,G$184,BD!$A$3:$A$5001,"&gt;="&amp;$C$7,BD!$A$3:$A$5001,"&lt;="&amp;$B211,BD!$L$3:$L$5001,"&lt;&gt;")=0,"",SUMIFS(BD!$L$3:$L$5001,BD!$B$3:$B$5001,G$184,BD!$A$3:$A$5001,_xlfn.MAXIFS(BD!$A$3:$A$5001,BD!$B$3:$B$5001,G$184,BD!$A$3:$A$5001,"&gt;="&amp;$C$7,BD!$A$3:$A$5001,"&lt;="&amp;$B211,BD!$L$3:$L$5001,"&lt;&gt;"))))</f>
        <v/>
      </c>
    </row>
    <row r="212">
      <c r="A212" s="40">
        <v>28</v>
      </c>
      <c r="B212" s="41">
        <f>$B$39</f>
        <v>46323</v>
      </c>
      <c r="C212" s="42" t="str">
        <f>IF(OR($B212="",$A212&gt;$B$9),"",IF(COUNTIFS(BD!$B$3:$B$5001,C$184,BD!$A$3:$A$5001,"&gt;="&amp;$C$7,BD!$A$3:$A$5001,"&lt;="&amp;$B212,BD!$L$3:$L$5001,"&lt;&gt;")=0,"",SUMIFS(BD!$L$3:$L$5001,BD!$B$3:$B$5001,C$184,BD!$A$3:$A$5001,_xlfn.MAXIFS(BD!$A$3:$A$5001,BD!$B$3:$B$5001,C$184,BD!$A$3:$A$5001,"&gt;="&amp;$C$7,BD!$A$3:$A$5001,"&lt;="&amp;$B212,BD!$L$3:$L$5001,"&lt;&gt;"))))</f>
        <v/>
      </c>
      <c r="D212" s="42" t="str">
        <f>IF(OR($B212="",$A212&gt;$B$9),"",IF(COUNTIFS(BD!$B$3:$B$5001,D$184,BD!$A$3:$A$5001,"&gt;="&amp;$C$7,BD!$A$3:$A$5001,"&lt;="&amp;$B212,BD!$L$3:$L$5001,"&lt;&gt;")=0,"",SUMIFS(BD!$L$3:$L$5001,BD!$B$3:$B$5001,D$184,BD!$A$3:$A$5001,_xlfn.MAXIFS(BD!$A$3:$A$5001,BD!$B$3:$B$5001,D$184,BD!$A$3:$A$5001,"&gt;="&amp;$C$7,BD!$A$3:$A$5001,"&lt;="&amp;$B212,BD!$L$3:$L$5001,"&lt;&gt;"))))</f>
        <v/>
      </c>
      <c r="E212" s="42" t="str">
        <f>IF(OR($B212="",$A212&gt;$B$9),"",IF(COUNTIFS(BD!$B$3:$B$5001,E$184,BD!$A$3:$A$5001,"&gt;="&amp;$C$7,BD!$A$3:$A$5001,"&lt;="&amp;$B212,BD!$L$3:$L$5001,"&lt;&gt;")=0,"",SUMIFS(BD!$L$3:$L$5001,BD!$B$3:$B$5001,E$184,BD!$A$3:$A$5001,_xlfn.MAXIFS(BD!$A$3:$A$5001,BD!$B$3:$B$5001,E$184,BD!$A$3:$A$5001,"&gt;="&amp;$C$7,BD!$A$3:$A$5001,"&lt;="&amp;$B212,BD!$L$3:$L$5001,"&lt;&gt;"))))</f>
        <v/>
      </c>
      <c r="F212" s="42" t="str">
        <f>IF(OR($B212="",$A212&gt;$B$9),"",IF(COUNTIFS(BD!$B$3:$B$5001,F$184,BD!$A$3:$A$5001,"&gt;="&amp;$C$7,BD!$A$3:$A$5001,"&lt;="&amp;$B212,BD!$L$3:$L$5001,"&lt;&gt;")=0,"",SUMIFS(BD!$L$3:$L$5001,BD!$B$3:$B$5001,F$184,BD!$A$3:$A$5001,_xlfn.MAXIFS(BD!$A$3:$A$5001,BD!$B$3:$B$5001,F$184,BD!$A$3:$A$5001,"&gt;="&amp;$C$7,BD!$A$3:$A$5001,"&lt;="&amp;$B212,BD!$L$3:$L$5001,"&lt;&gt;"))))</f>
        <v/>
      </c>
      <c r="G212" s="42" t="str">
        <f>IF(OR($B212="",$A212&gt;$B$9),"",IF(COUNTIFS(BD!$B$3:$B$5001,G$184,BD!$A$3:$A$5001,"&gt;="&amp;$C$7,BD!$A$3:$A$5001,"&lt;="&amp;$B212,BD!$L$3:$L$5001,"&lt;&gt;")=0,"",SUMIFS(BD!$L$3:$L$5001,BD!$B$3:$B$5001,G$184,BD!$A$3:$A$5001,_xlfn.MAXIFS(BD!$A$3:$A$5001,BD!$B$3:$B$5001,G$184,BD!$A$3:$A$5001,"&gt;="&amp;$C$7,BD!$A$3:$A$5001,"&lt;="&amp;$B212,BD!$L$3:$L$5001,"&lt;&gt;"))))</f>
        <v/>
      </c>
    </row>
    <row r="213">
      <c r="A213" s="40">
        <v>29</v>
      </c>
      <c r="B213" s="41">
        <f>$B$40</f>
        <v>46324</v>
      </c>
      <c r="C213" s="42" t="str">
        <f>IF(OR($B213="",$A213&gt;$B$9),"",IF(COUNTIFS(BD!$B$3:$B$5001,C$184,BD!$A$3:$A$5001,"&gt;="&amp;$C$7,BD!$A$3:$A$5001,"&lt;="&amp;$B213,BD!$L$3:$L$5001,"&lt;&gt;")=0,"",SUMIFS(BD!$L$3:$L$5001,BD!$B$3:$B$5001,C$184,BD!$A$3:$A$5001,_xlfn.MAXIFS(BD!$A$3:$A$5001,BD!$B$3:$B$5001,C$184,BD!$A$3:$A$5001,"&gt;="&amp;$C$7,BD!$A$3:$A$5001,"&lt;="&amp;$B213,BD!$L$3:$L$5001,"&lt;&gt;"))))</f>
        <v/>
      </c>
      <c r="D213" s="42" t="str">
        <f>IF(OR($B213="",$A213&gt;$B$9),"",IF(COUNTIFS(BD!$B$3:$B$5001,D$184,BD!$A$3:$A$5001,"&gt;="&amp;$C$7,BD!$A$3:$A$5001,"&lt;="&amp;$B213,BD!$L$3:$L$5001,"&lt;&gt;")=0,"",SUMIFS(BD!$L$3:$L$5001,BD!$B$3:$B$5001,D$184,BD!$A$3:$A$5001,_xlfn.MAXIFS(BD!$A$3:$A$5001,BD!$B$3:$B$5001,D$184,BD!$A$3:$A$5001,"&gt;="&amp;$C$7,BD!$A$3:$A$5001,"&lt;="&amp;$B213,BD!$L$3:$L$5001,"&lt;&gt;"))))</f>
        <v/>
      </c>
      <c r="E213" s="42" t="str">
        <f>IF(OR($B213="",$A213&gt;$B$9),"",IF(COUNTIFS(BD!$B$3:$B$5001,E$184,BD!$A$3:$A$5001,"&gt;="&amp;$C$7,BD!$A$3:$A$5001,"&lt;="&amp;$B213,BD!$L$3:$L$5001,"&lt;&gt;")=0,"",SUMIFS(BD!$L$3:$L$5001,BD!$B$3:$B$5001,E$184,BD!$A$3:$A$5001,_xlfn.MAXIFS(BD!$A$3:$A$5001,BD!$B$3:$B$5001,E$184,BD!$A$3:$A$5001,"&gt;="&amp;$C$7,BD!$A$3:$A$5001,"&lt;="&amp;$B213,BD!$L$3:$L$5001,"&lt;&gt;"))))</f>
        <v/>
      </c>
      <c r="F213" s="42" t="str">
        <f>IF(OR($B213="",$A213&gt;$B$9),"",IF(COUNTIFS(BD!$B$3:$B$5001,F$184,BD!$A$3:$A$5001,"&gt;="&amp;$C$7,BD!$A$3:$A$5001,"&lt;="&amp;$B213,BD!$L$3:$L$5001,"&lt;&gt;")=0,"",SUMIFS(BD!$L$3:$L$5001,BD!$B$3:$B$5001,F$184,BD!$A$3:$A$5001,_xlfn.MAXIFS(BD!$A$3:$A$5001,BD!$B$3:$B$5001,F$184,BD!$A$3:$A$5001,"&gt;="&amp;$C$7,BD!$A$3:$A$5001,"&lt;="&amp;$B213,BD!$L$3:$L$5001,"&lt;&gt;"))))</f>
        <v/>
      </c>
      <c r="G213" s="42" t="str">
        <f>IF(OR($B213="",$A213&gt;$B$9),"",IF(COUNTIFS(BD!$B$3:$B$5001,G$184,BD!$A$3:$A$5001,"&gt;="&amp;$C$7,BD!$A$3:$A$5001,"&lt;="&amp;$B213,BD!$L$3:$L$5001,"&lt;&gt;")=0,"",SUMIFS(BD!$L$3:$L$5001,BD!$B$3:$B$5001,G$184,BD!$A$3:$A$5001,_xlfn.MAXIFS(BD!$A$3:$A$5001,BD!$B$3:$B$5001,G$184,BD!$A$3:$A$5001,"&gt;="&amp;$C$7,BD!$A$3:$A$5001,"&lt;="&amp;$B213,BD!$L$3:$L$5001,"&lt;&gt;"))))</f>
        <v/>
      </c>
    </row>
    <row r="214">
      <c r="A214" s="40">
        <v>30</v>
      </c>
      <c r="B214" s="41">
        <f>$B$41</f>
        <v>46325</v>
      </c>
      <c r="C214" s="42" t="str">
        <f>IF(OR($B214="",$A214&gt;$B$9),"",IF(COUNTIFS(BD!$B$3:$B$5001,C$184,BD!$A$3:$A$5001,"&gt;="&amp;$C$7,BD!$A$3:$A$5001,"&lt;="&amp;$B214,BD!$L$3:$L$5001,"&lt;&gt;")=0,"",SUMIFS(BD!$L$3:$L$5001,BD!$B$3:$B$5001,C$184,BD!$A$3:$A$5001,_xlfn.MAXIFS(BD!$A$3:$A$5001,BD!$B$3:$B$5001,C$184,BD!$A$3:$A$5001,"&gt;="&amp;$C$7,BD!$A$3:$A$5001,"&lt;="&amp;$B214,BD!$L$3:$L$5001,"&lt;&gt;"))))</f>
        <v/>
      </c>
      <c r="D214" s="42" t="str">
        <f>IF(OR($B214="",$A214&gt;$B$9),"",IF(COUNTIFS(BD!$B$3:$B$5001,D$184,BD!$A$3:$A$5001,"&gt;="&amp;$C$7,BD!$A$3:$A$5001,"&lt;="&amp;$B214,BD!$L$3:$L$5001,"&lt;&gt;")=0,"",SUMIFS(BD!$L$3:$L$5001,BD!$B$3:$B$5001,D$184,BD!$A$3:$A$5001,_xlfn.MAXIFS(BD!$A$3:$A$5001,BD!$B$3:$B$5001,D$184,BD!$A$3:$A$5001,"&gt;="&amp;$C$7,BD!$A$3:$A$5001,"&lt;="&amp;$B214,BD!$L$3:$L$5001,"&lt;&gt;"))))</f>
        <v/>
      </c>
      <c r="E214" s="42" t="str">
        <f>IF(OR($B214="",$A214&gt;$B$9),"",IF(COUNTIFS(BD!$B$3:$B$5001,E$184,BD!$A$3:$A$5001,"&gt;="&amp;$C$7,BD!$A$3:$A$5001,"&lt;="&amp;$B214,BD!$L$3:$L$5001,"&lt;&gt;")=0,"",SUMIFS(BD!$L$3:$L$5001,BD!$B$3:$B$5001,E$184,BD!$A$3:$A$5001,_xlfn.MAXIFS(BD!$A$3:$A$5001,BD!$B$3:$B$5001,E$184,BD!$A$3:$A$5001,"&gt;="&amp;$C$7,BD!$A$3:$A$5001,"&lt;="&amp;$B214,BD!$L$3:$L$5001,"&lt;&gt;"))))</f>
        <v/>
      </c>
      <c r="F214" s="42" t="str">
        <f>IF(OR($B214="",$A214&gt;$B$9),"",IF(COUNTIFS(BD!$B$3:$B$5001,F$184,BD!$A$3:$A$5001,"&gt;="&amp;$C$7,BD!$A$3:$A$5001,"&lt;="&amp;$B214,BD!$L$3:$L$5001,"&lt;&gt;")=0,"",SUMIFS(BD!$L$3:$L$5001,BD!$B$3:$B$5001,F$184,BD!$A$3:$A$5001,_xlfn.MAXIFS(BD!$A$3:$A$5001,BD!$B$3:$B$5001,F$184,BD!$A$3:$A$5001,"&gt;="&amp;$C$7,BD!$A$3:$A$5001,"&lt;="&amp;$B214,BD!$L$3:$L$5001,"&lt;&gt;"))))</f>
        <v/>
      </c>
      <c r="G214" s="42" t="str">
        <f>IF(OR($B214="",$A214&gt;$B$9),"",IF(COUNTIFS(BD!$B$3:$B$5001,G$184,BD!$A$3:$A$5001,"&gt;="&amp;$C$7,BD!$A$3:$A$5001,"&lt;="&amp;$B214,BD!$L$3:$L$5001,"&lt;&gt;")=0,"",SUMIFS(BD!$L$3:$L$5001,BD!$B$3:$B$5001,G$184,BD!$A$3:$A$5001,_xlfn.MAXIFS(BD!$A$3:$A$5001,BD!$B$3:$B$5001,G$184,BD!$A$3:$A$5001,"&gt;="&amp;$C$7,BD!$A$3:$A$5001,"&lt;="&amp;$B214,BD!$L$3:$L$5001,"&lt;&gt;"))))</f>
        <v/>
      </c>
    </row>
    <row r="215">
      <c r="A215" s="40">
        <v>31</v>
      </c>
      <c r="B215" s="41">
        <f>$B$42</f>
        <v>46326</v>
      </c>
      <c r="C215" s="42" t="str">
        <f>IF(OR($B215="",$A215&gt;$B$9),"",IF(COUNTIFS(BD!$B$3:$B$5001,C$184,BD!$A$3:$A$5001,"&gt;="&amp;$C$7,BD!$A$3:$A$5001,"&lt;="&amp;$B215,BD!$L$3:$L$5001,"&lt;&gt;")=0,"",SUMIFS(BD!$L$3:$L$5001,BD!$B$3:$B$5001,C$184,BD!$A$3:$A$5001,_xlfn.MAXIFS(BD!$A$3:$A$5001,BD!$B$3:$B$5001,C$184,BD!$A$3:$A$5001,"&gt;="&amp;$C$7,BD!$A$3:$A$5001,"&lt;="&amp;$B215,BD!$L$3:$L$5001,"&lt;&gt;"))))</f>
        <v/>
      </c>
      <c r="D215" s="42" t="str">
        <f>IF(OR($B215="",$A215&gt;$B$9),"",IF(COUNTIFS(BD!$B$3:$B$5001,D$184,BD!$A$3:$A$5001,"&gt;="&amp;$C$7,BD!$A$3:$A$5001,"&lt;="&amp;$B215,BD!$L$3:$L$5001,"&lt;&gt;")=0,"",SUMIFS(BD!$L$3:$L$5001,BD!$B$3:$B$5001,D$184,BD!$A$3:$A$5001,_xlfn.MAXIFS(BD!$A$3:$A$5001,BD!$B$3:$B$5001,D$184,BD!$A$3:$A$5001,"&gt;="&amp;$C$7,BD!$A$3:$A$5001,"&lt;="&amp;$B215,BD!$L$3:$L$5001,"&lt;&gt;"))))</f>
        <v/>
      </c>
      <c r="E215" s="42" t="str">
        <f>IF(OR($B215="",$A215&gt;$B$9),"",IF(COUNTIFS(BD!$B$3:$B$5001,E$184,BD!$A$3:$A$5001,"&gt;="&amp;$C$7,BD!$A$3:$A$5001,"&lt;="&amp;$B215,BD!$L$3:$L$5001,"&lt;&gt;")=0,"",SUMIFS(BD!$L$3:$L$5001,BD!$B$3:$B$5001,E$184,BD!$A$3:$A$5001,_xlfn.MAXIFS(BD!$A$3:$A$5001,BD!$B$3:$B$5001,E$184,BD!$A$3:$A$5001,"&gt;="&amp;$C$7,BD!$A$3:$A$5001,"&lt;="&amp;$B215,BD!$L$3:$L$5001,"&lt;&gt;"))))</f>
        <v/>
      </c>
      <c r="F215" s="42" t="str">
        <f>IF(OR($B215="",$A215&gt;$B$9),"",IF(COUNTIFS(BD!$B$3:$B$5001,F$184,BD!$A$3:$A$5001,"&gt;="&amp;$C$7,BD!$A$3:$A$5001,"&lt;="&amp;$B215,BD!$L$3:$L$5001,"&lt;&gt;")=0,"",SUMIFS(BD!$L$3:$L$5001,BD!$B$3:$B$5001,F$184,BD!$A$3:$A$5001,_xlfn.MAXIFS(BD!$A$3:$A$5001,BD!$B$3:$B$5001,F$184,BD!$A$3:$A$5001,"&gt;="&amp;$C$7,BD!$A$3:$A$5001,"&lt;="&amp;$B215,BD!$L$3:$L$5001,"&lt;&gt;"))))</f>
        <v/>
      </c>
      <c r="G215" s="42" t="str">
        <f>IF(OR($B215="",$A215&gt;$B$9),"",IF(COUNTIFS(BD!$B$3:$B$5001,G$184,BD!$A$3:$A$5001,"&gt;="&amp;$C$7,BD!$A$3:$A$5001,"&lt;="&amp;$B215,BD!$L$3:$L$5001,"&lt;&gt;")=0,"",SUMIFS(BD!$L$3:$L$5001,BD!$B$3:$B$5001,G$184,BD!$A$3:$A$5001,_xlfn.MAXIFS(BD!$A$3:$A$5001,BD!$B$3:$B$5001,G$184,BD!$A$3:$A$5001,"&gt;="&amp;$C$7,BD!$A$3:$A$5001,"&lt;="&amp;$B215,BD!$L$3:$L$5001,"&lt;&gt;"))))</f>
        <v/>
      </c>
    </row>
    <row r="216">
      <c r="A216" s="43" t="inlineStr">
        <is>
          <t xml:space="preserve">Mês anterior (último)</t>
        </is>
      </c>
      <c r="C216" s="44" t="str">
        <f>IF(COUNTIFS(BD!$B$3:$B$5001,C$184,BD!$A$3:$A$5001,"&gt;="&amp;$C$8,BD!$A$3:$A$5001,"&lt;="&amp;$D$8,BD!$L$3:$L$5001,"&lt;&gt;")=0,"",SUMIFS(BD!$L$3:$L$5001,BD!$B$3:$B$5001,C$184,BD!$A$3:$A$5001,_xlfn.MAXIFS(BD!$A$3:$A$5001,BD!$B$3:$B$5001,C$184,BD!$A$3:$A$5001,"&gt;="&amp;$C$8,BD!$A$3:$A$5001,"&lt;="&amp;$D$8,BD!$L$3:$L$5001,"&lt;&gt;")))</f>
        <v/>
      </c>
      <c r="D216" s="44" t="str">
        <f>IF(COUNTIFS(BD!$B$3:$B$5001,D$184,BD!$A$3:$A$5001,"&gt;="&amp;$C$8,BD!$A$3:$A$5001,"&lt;="&amp;$D$8,BD!$L$3:$L$5001,"&lt;&gt;")=0,"",SUMIFS(BD!$L$3:$L$5001,BD!$B$3:$B$5001,D$184,BD!$A$3:$A$5001,_xlfn.MAXIFS(BD!$A$3:$A$5001,BD!$B$3:$B$5001,D$184,BD!$A$3:$A$5001,"&gt;="&amp;$C$8,BD!$A$3:$A$5001,"&lt;="&amp;$D$8,BD!$L$3:$L$5001,"&lt;&gt;")))</f>
        <v/>
      </c>
      <c r="E216" s="44" t="str">
        <f>IF(COUNTIFS(BD!$B$3:$B$5001,E$184,BD!$A$3:$A$5001,"&gt;="&amp;$C$8,BD!$A$3:$A$5001,"&lt;="&amp;$D$8,BD!$L$3:$L$5001,"&lt;&gt;")=0,"",SUMIFS(BD!$L$3:$L$5001,BD!$B$3:$B$5001,E$184,BD!$A$3:$A$5001,_xlfn.MAXIFS(BD!$A$3:$A$5001,BD!$B$3:$B$5001,E$184,BD!$A$3:$A$5001,"&gt;="&amp;$C$8,BD!$A$3:$A$5001,"&lt;="&amp;$D$8,BD!$L$3:$L$5001,"&lt;&gt;")))</f>
        <v/>
      </c>
      <c r="F216" s="44" t="str">
        <f>IF(COUNTIFS(BD!$B$3:$B$5001,F$184,BD!$A$3:$A$5001,"&gt;="&amp;$C$8,BD!$A$3:$A$5001,"&lt;="&amp;$D$8,BD!$L$3:$L$5001,"&lt;&gt;")=0,"",SUMIFS(BD!$L$3:$L$5001,BD!$B$3:$B$5001,F$184,BD!$A$3:$A$5001,_xlfn.MAXIFS(BD!$A$3:$A$5001,BD!$B$3:$B$5001,F$184,BD!$A$3:$A$5001,"&gt;="&amp;$C$8,BD!$A$3:$A$5001,"&lt;="&amp;$D$8,BD!$L$3:$L$5001,"&lt;&gt;")))</f>
        <v/>
      </c>
      <c r="G216" s="44" t="str">
        <f>IF(COUNTIFS(BD!$B$3:$B$5001,G$184,BD!$A$3:$A$5001,"&gt;="&amp;$C$8,BD!$A$3:$A$5001,"&lt;="&amp;$D$8,BD!$L$3:$L$5001,"&lt;&gt;")=0,"",SUMIFS(BD!$L$3:$L$5001,BD!$B$3:$B$5001,G$184,BD!$A$3:$A$5001,_xlfn.MAXIFS(BD!$A$3:$A$5001,BD!$B$3:$B$5001,G$184,BD!$A$3:$A$5001,"&gt;="&amp;$C$8,BD!$A$3:$A$5001,"&lt;="&amp;$D$8,BD!$L$3:$L$5001,"&lt;&gt;")))</f>
        <v/>
      </c>
    </row>
    <row r="217">
      <c r="A217" s="43" t="inlineStr">
        <is>
          <t xml:space="preserve">Depósito</t>
        </is>
      </c>
      <c r="C217" s="40" t="inlineStr">
        <is>
          <t xml:space="preserve">JSL</t>
        </is>
      </c>
      <c r="D217" s="40" t="inlineStr">
        <is>
          <t xml:space="preserve">JSL</t>
        </is>
      </c>
      <c r="E217" s="40" t="inlineStr">
        <is>
          <t xml:space="preserve">JSL</t>
        </is>
      </c>
      <c r="F217" s="40" t="inlineStr">
        <is>
          <t xml:space="preserve">JSL</t>
        </is>
      </c>
      <c r="G217" s="40" t="inlineStr">
        <is>
          <t xml:space="preserve">JSL</t>
        </is>
      </c>
    </row>
    <row r="219">
      <c r="A219" s="37" t="inlineStr">
        <is>
          <t xml:space="preserve">Efetivo Op.</t>
        </is>
      </c>
      <c r="B219" s="37" t="inlineStr">
        <is>
          <t xml:space="preserve">Data</t>
        </is>
      </c>
      <c r="C219" s="37" t="inlineStr">
        <is>
          <t xml:space="preserve">Barry Callebaut</t>
        </is>
      </c>
      <c r="D219" s="37" t="inlineStr">
        <is>
          <t xml:space="preserve">GM</t>
        </is>
      </c>
      <c r="E219" s="37" t="inlineStr">
        <is>
          <t xml:space="preserve">Mondelez</t>
        </is>
      </c>
      <c r="F219" s="37" t="inlineStr">
        <is>
          <t xml:space="preserve">Nestlé</t>
        </is>
      </c>
      <c r="G219" s="37" t="inlineStr">
        <is>
          <t xml:space="preserve">PMB</t>
        </is>
      </c>
    </row>
    <row r="220">
      <c r="A220" s="40">
        <v>1</v>
      </c>
      <c r="B220" s="41">
        <f>$B$12</f>
        <v>46296</v>
      </c>
      <c r="C220" s="42" t="str">
        <f>IF(OR($B220="",$A220&gt;$B$9),"",IF(COUNTIFS(BD!$B$3:$B$5001,C$219,BD!$A$3:$A$5001,"&gt;="&amp;$C$7,BD!$A$3:$A$5001,"&lt;="&amp;$B220,BD!$N$3:$N$5001,"&lt;&gt;")=0,"",SUMIFS(BD!$N$3:$N$5001,BD!$B$3:$B$5001,C$219,BD!$A$3:$A$5001,_xlfn.MAXIFS(BD!$A$3:$A$5001,BD!$B$3:$B$5001,C$219,BD!$A$3:$A$5001,"&gt;="&amp;$C$7,BD!$A$3:$A$5001,"&lt;="&amp;$B220,BD!$N$3:$N$5001,"&lt;&gt;"))))</f>
        <v/>
      </c>
      <c r="D220" s="42" t="str">
        <f>IF(OR($B220="",$A220&gt;$B$9),"",IF(COUNTIFS(BD!$B$3:$B$5001,D$219,BD!$A$3:$A$5001,"&gt;="&amp;$C$7,BD!$A$3:$A$5001,"&lt;="&amp;$B220,BD!$N$3:$N$5001,"&lt;&gt;")=0,"",SUMIFS(BD!$N$3:$N$5001,BD!$B$3:$B$5001,D$219,BD!$A$3:$A$5001,_xlfn.MAXIFS(BD!$A$3:$A$5001,BD!$B$3:$B$5001,D$219,BD!$A$3:$A$5001,"&gt;="&amp;$C$7,BD!$A$3:$A$5001,"&lt;="&amp;$B220,BD!$N$3:$N$5001,"&lt;&gt;"))))</f>
        <v/>
      </c>
      <c r="E220" s="42" t="str">
        <f>IF(OR($B220="",$A220&gt;$B$9),"",IF(COUNTIFS(BD!$B$3:$B$5001,E$219,BD!$A$3:$A$5001,"&gt;="&amp;$C$7,BD!$A$3:$A$5001,"&lt;="&amp;$B220,BD!$N$3:$N$5001,"&lt;&gt;")=0,"",SUMIFS(BD!$N$3:$N$5001,BD!$B$3:$B$5001,E$219,BD!$A$3:$A$5001,_xlfn.MAXIFS(BD!$A$3:$A$5001,BD!$B$3:$B$5001,E$219,BD!$A$3:$A$5001,"&gt;="&amp;$C$7,BD!$A$3:$A$5001,"&lt;="&amp;$B220,BD!$N$3:$N$5001,"&lt;&gt;"))))</f>
        <v/>
      </c>
      <c r="F220" s="42" t="str">
        <f>IF(OR($B220="",$A220&gt;$B$9),"",IF(COUNTIFS(BD!$B$3:$B$5001,F$219,BD!$A$3:$A$5001,"&gt;="&amp;$C$7,BD!$A$3:$A$5001,"&lt;="&amp;$B220,BD!$N$3:$N$5001,"&lt;&gt;")=0,"",SUMIFS(BD!$N$3:$N$5001,BD!$B$3:$B$5001,F$219,BD!$A$3:$A$5001,_xlfn.MAXIFS(BD!$A$3:$A$5001,BD!$B$3:$B$5001,F$219,BD!$A$3:$A$5001,"&gt;="&amp;$C$7,BD!$A$3:$A$5001,"&lt;="&amp;$B220,BD!$N$3:$N$5001,"&lt;&gt;"))))</f>
        <v/>
      </c>
      <c r="G220" s="42" t="str">
        <f>IF(OR($B220="",$A220&gt;$B$9),"",IF(COUNTIFS(BD!$B$3:$B$5001,G$219,BD!$A$3:$A$5001,"&gt;="&amp;$C$7,BD!$A$3:$A$5001,"&lt;="&amp;$B220,BD!$N$3:$N$5001,"&lt;&gt;")=0,"",SUMIFS(BD!$N$3:$N$5001,BD!$B$3:$B$5001,G$219,BD!$A$3:$A$5001,_xlfn.MAXIFS(BD!$A$3:$A$5001,BD!$B$3:$B$5001,G$219,BD!$A$3:$A$5001,"&gt;="&amp;$C$7,BD!$A$3:$A$5001,"&lt;="&amp;$B220,BD!$N$3:$N$5001,"&lt;&gt;"))))</f>
        <v/>
      </c>
    </row>
    <row r="221">
      <c r="A221" s="40">
        <v>2</v>
      </c>
      <c r="B221" s="41">
        <f>$B$13</f>
        <v>46297</v>
      </c>
      <c r="C221" s="42" t="str">
        <f>IF(OR($B221="",$A221&gt;$B$9),"",IF(COUNTIFS(BD!$B$3:$B$5001,C$219,BD!$A$3:$A$5001,"&gt;="&amp;$C$7,BD!$A$3:$A$5001,"&lt;="&amp;$B221,BD!$N$3:$N$5001,"&lt;&gt;")=0,"",SUMIFS(BD!$N$3:$N$5001,BD!$B$3:$B$5001,C$219,BD!$A$3:$A$5001,_xlfn.MAXIFS(BD!$A$3:$A$5001,BD!$B$3:$B$5001,C$219,BD!$A$3:$A$5001,"&gt;="&amp;$C$7,BD!$A$3:$A$5001,"&lt;="&amp;$B221,BD!$N$3:$N$5001,"&lt;&gt;"))))</f>
        <v/>
      </c>
      <c r="D221" s="42" t="str">
        <f>IF(OR($B221="",$A221&gt;$B$9),"",IF(COUNTIFS(BD!$B$3:$B$5001,D$219,BD!$A$3:$A$5001,"&gt;="&amp;$C$7,BD!$A$3:$A$5001,"&lt;="&amp;$B221,BD!$N$3:$N$5001,"&lt;&gt;")=0,"",SUMIFS(BD!$N$3:$N$5001,BD!$B$3:$B$5001,D$219,BD!$A$3:$A$5001,_xlfn.MAXIFS(BD!$A$3:$A$5001,BD!$B$3:$B$5001,D$219,BD!$A$3:$A$5001,"&gt;="&amp;$C$7,BD!$A$3:$A$5001,"&lt;="&amp;$B221,BD!$N$3:$N$5001,"&lt;&gt;"))))</f>
        <v/>
      </c>
      <c r="E221" s="42" t="str">
        <f>IF(OR($B221="",$A221&gt;$B$9),"",IF(COUNTIFS(BD!$B$3:$B$5001,E$219,BD!$A$3:$A$5001,"&gt;="&amp;$C$7,BD!$A$3:$A$5001,"&lt;="&amp;$B221,BD!$N$3:$N$5001,"&lt;&gt;")=0,"",SUMIFS(BD!$N$3:$N$5001,BD!$B$3:$B$5001,E$219,BD!$A$3:$A$5001,_xlfn.MAXIFS(BD!$A$3:$A$5001,BD!$B$3:$B$5001,E$219,BD!$A$3:$A$5001,"&gt;="&amp;$C$7,BD!$A$3:$A$5001,"&lt;="&amp;$B221,BD!$N$3:$N$5001,"&lt;&gt;"))))</f>
        <v/>
      </c>
      <c r="F221" s="42" t="str">
        <f>IF(OR($B221="",$A221&gt;$B$9),"",IF(COUNTIFS(BD!$B$3:$B$5001,F$219,BD!$A$3:$A$5001,"&gt;="&amp;$C$7,BD!$A$3:$A$5001,"&lt;="&amp;$B221,BD!$N$3:$N$5001,"&lt;&gt;")=0,"",SUMIFS(BD!$N$3:$N$5001,BD!$B$3:$B$5001,F$219,BD!$A$3:$A$5001,_xlfn.MAXIFS(BD!$A$3:$A$5001,BD!$B$3:$B$5001,F$219,BD!$A$3:$A$5001,"&gt;="&amp;$C$7,BD!$A$3:$A$5001,"&lt;="&amp;$B221,BD!$N$3:$N$5001,"&lt;&gt;"))))</f>
        <v/>
      </c>
      <c r="G221" s="42" t="str">
        <f>IF(OR($B221="",$A221&gt;$B$9),"",IF(COUNTIFS(BD!$B$3:$B$5001,G$219,BD!$A$3:$A$5001,"&gt;="&amp;$C$7,BD!$A$3:$A$5001,"&lt;="&amp;$B221,BD!$N$3:$N$5001,"&lt;&gt;")=0,"",SUMIFS(BD!$N$3:$N$5001,BD!$B$3:$B$5001,G$219,BD!$A$3:$A$5001,_xlfn.MAXIFS(BD!$A$3:$A$5001,BD!$B$3:$B$5001,G$219,BD!$A$3:$A$5001,"&gt;="&amp;$C$7,BD!$A$3:$A$5001,"&lt;="&amp;$B221,BD!$N$3:$N$5001,"&lt;&gt;"))))</f>
        <v/>
      </c>
    </row>
    <row r="222">
      <c r="A222" s="40">
        <v>3</v>
      </c>
      <c r="B222" s="41">
        <f>$B$14</f>
        <v>46298</v>
      </c>
      <c r="C222" s="42" t="str">
        <f>IF(OR($B222="",$A222&gt;$B$9),"",IF(COUNTIFS(BD!$B$3:$B$5001,C$219,BD!$A$3:$A$5001,"&gt;="&amp;$C$7,BD!$A$3:$A$5001,"&lt;="&amp;$B222,BD!$N$3:$N$5001,"&lt;&gt;")=0,"",SUMIFS(BD!$N$3:$N$5001,BD!$B$3:$B$5001,C$219,BD!$A$3:$A$5001,_xlfn.MAXIFS(BD!$A$3:$A$5001,BD!$B$3:$B$5001,C$219,BD!$A$3:$A$5001,"&gt;="&amp;$C$7,BD!$A$3:$A$5001,"&lt;="&amp;$B222,BD!$N$3:$N$5001,"&lt;&gt;"))))</f>
        <v/>
      </c>
      <c r="D222" s="42" t="str">
        <f>IF(OR($B222="",$A222&gt;$B$9),"",IF(COUNTIFS(BD!$B$3:$B$5001,D$219,BD!$A$3:$A$5001,"&gt;="&amp;$C$7,BD!$A$3:$A$5001,"&lt;="&amp;$B222,BD!$N$3:$N$5001,"&lt;&gt;")=0,"",SUMIFS(BD!$N$3:$N$5001,BD!$B$3:$B$5001,D$219,BD!$A$3:$A$5001,_xlfn.MAXIFS(BD!$A$3:$A$5001,BD!$B$3:$B$5001,D$219,BD!$A$3:$A$5001,"&gt;="&amp;$C$7,BD!$A$3:$A$5001,"&lt;="&amp;$B222,BD!$N$3:$N$5001,"&lt;&gt;"))))</f>
        <v/>
      </c>
      <c r="E222" s="42" t="str">
        <f>IF(OR($B222="",$A222&gt;$B$9),"",IF(COUNTIFS(BD!$B$3:$B$5001,E$219,BD!$A$3:$A$5001,"&gt;="&amp;$C$7,BD!$A$3:$A$5001,"&lt;="&amp;$B222,BD!$N$3:$N$5001,"&lt;&gt;")=0,"",SUMIFS(BD!$N$3:$N$5001,BD!$B$3:$B$5001,E$219,BD!$A$3:$A$5001,_xlfn.MAXIFS(BD!$A$3:$A$5001,BD!$B$3:$B$5001,E$219,BD!$A$3:$A$5001,"&gt;="&amp;$C$7,BD!$A$3:$A$5001,"&lt;="&amp;$B222,BD!$N$3:$N$5001,"&lt;&gt;"))))</f>
        <v/>
      </c>
      <c r="F222" s="42" t="str">
        <f>IF(OR($B222="",$A222&gt;$B$9),"",IF(COUNTIFS(BD!$B$3:$B$5001,F$219,BD!$A$3:$A$5001,"&gt;="&amp;$C$7,BD!$A$3:$A$5001,"&lt;="&amp;$B222,BD!$N$3:$N$5001,"&lt;&gt;")=0,"",SUMIFS(BD!$N$3:$N$5001,BD!$B$3:$B$5001,F$219,BD!$A$3:$A$5001,_xlfn.MAXIFS(BD!$A$3:$A$5001,BD!$B$3:$B$5001,F$219,BD!$A$3:$A$5001,"&gt;="&amp;$C$7,BD!$A$3:$A$5001,"&lt;="&amp;$B222,BD!$N$3:$N$5001,"&lt;&gt;"))))</f>
        <v/>
      </c>
      <c r="G222" s="42" t="str">
        <f>IF(OR($B222="",$A222&gt;$B$9),"",IF(COUNTIFS(BD!$B$3:$B$5001,G$219,BD!$A$3:$A$5001,"&gt;="&amp;$C$7,BD!$A$3:$A$5001,"&lt;="&amp;$B222,BD!$N$3:$N$5001,"&lt;&gt;")=0,"",SUMIFS(BD!$N$3:$N$5001,BD!$B$3:$B$5001,G$219,BD!$A$3:$A$5001,_xlfn.MAXIFS(BD!$A$3:$A$5001,BD!$B$3:$B$5001,G$219,BD!$A$3:$A$5001,"&gt;="&amp;$C$7,BD!$A$3:$A$5001,"&lt;="&amp;$B222,BD!$N$3:$N$5001,"&lt;&gt;"))))</f>
        <v/>
      </c>
    </row>
    <row r="223">
      <c r="A223" s="40">
        <v>4</v>
      </c>
      <c r="B223" s="41">
        <f>$B$15</f>
        <v>46299</v>
      </c>
      <c r="C223" s="42" t="str">
        <f>IF(OR($B223="",$A223&gt;$B$9),"",IF(COUNTIFS(BD!$B$3:$B$5001,C$219,BD!$A$3:$A$5001,"&gt;="&amp;$C$7,BD!$A$3:$A$5001,"&lt;="&amp;$B223,BD!$N$3:$N$5001,"&lt;&gt;")=0,"",SUMIFS(BD!$N$3:$N$5001,BD!$B$3:$B$5001,C$219,BD!$A$3:$A$5001,_xlfn.MAXIFS(BD!$A$3:$A$5001,BD!$B$3:$B$5001,C$219,BD!$A$3:$A$5001,"&gt;="&amp;$C$7,BD!$A$3:$A$5001,"&lt;="&amp;$B223,BD!$N$3:$N$5001,"&lt;&gt;"))))</f>
        <v/>
      </c>
      <c r="D223" s="42" t="str">
        <f>IF(OR($B223="",$A223&gt;$B$9),"",IF(COUNTIFS(BD!$B$3:$B$5001,D$219,BD!$A$3:$A$5001,"&gt;="&amp;$C$7,BD!$A$3:$A$5001,"&lt;="&amp;$B223,BD!$N$3:$N$5001,"&lt;&gt;")=0,"",SUMIFS(BD!$N$3:$N$5001,BD!$B$3:$B$5001,D$219,BD!$A$3:$A$5001,_xlfn.MAXIFS(BD!$A$3:$A$5001,BD!$B$3:$B$5001,D$219,BD!$A$3:$A$5001,"&gt;="&amp;$C$7,BD!$A$3:$A$5001,"&lt;="&amp;$B223,BD!$N$3:$N$5001,"&lt;&gt;"))))</f>
        <v/>
      </c>
      <c r="E223" s="42" t="str">
        <f>IF(OR($B223="",$A223&gt;$B$9),"",IF(COUNTIFS(BD!$B$3:$B$5001,E$219,BD!$A$3:$A$5001,"&gt;="&amp;$C$7,BD!$A$3:$A$5001,"&lt;="&amp;$B223,BD!$N$3:$N$5001,"&lt;&gt;")=0,"",SUMIFS(BD!$N$3:$N$5001,BD!$B$3:$B$5001,E$219,BD!$A$3:$A$5001,_xlfn.MAXIFS(BD!$A$3:$A$5001,BD!$B$3:$B$5001,E$219,BD!$A$3:$A$5001,"&gt;="&amp;$C$7,BD!$A$3:$A$5001,"&lt;="&amp;$B223,BD!$N$3:$N$5001,"&lt;&gt;"))))</f>
        <v/>
      </c>
      <c r="F223" s="42" t="str">
        <f>IF(OR($B223="",$A223&gt;$B$9),"",IF(COUNTIFS(BD!$B$3:$B$5001,F$219,BD!$A$3:$A$5001,"&gt;="&amp;$C$7,BD!$A$3:$A$5001,"&lt;="&amp;$B223,BD!$N$3:$N$5001,"&lt;&gt;")=0,"",SUMIFS(BD!$N$3:$N$5001,BD!$B$3:$B$5001,F$219,BD!$A$3:$A$5001,_xlfn.MAXIFS(BD!$A$3:$A$5001,BD!$B$3:$B$5001,F$219,BD!$A$3:$A$5001,"&gt;="&amp;$C$7,BD!$A$3:$A$5001,"&lt;="&amp;$B223,BD!$N$3:$N$5001,"&lt;&gt;"))))</f>
        <v/>
      </c>
      <c r="G223" s="42" t="str">
        <f>IF(OR($B223="",$A223&gt;$B$9),"",IF(COUNTIFS(BD!$B$3:$B$5001,G$219,BD!$A$3:$A$5001,"&gt;="&amp;$C$7,BD!$A$3:$A$5001,"&lt;="&amp;$B223,BD!$N$3:$N$5001,"&lt;&gt;")=0,"",SUMIFS(BD!$N$3:$N$5001,BD!$B$3:$B$5001,G$219,BD!$A$3:$A$5001,_xlfn.MAXIFS(BD!$A$3:$A$5001,BD!$B$3:$B$5001,G$219,BD!$A$3:$A$5001,"&gt;="&amp;$C$7,BD!$A$3:$A$5001,"&lt;="&amp;$B223,BD!$N$3:$N$5001,"&lt;&gt;"))))</f>
        <v/>
      </c>
    </row>
    <row r="224">
      <c r="A224" s="40">
        <v>5</v>
      </c>
      <c r="B224" s="41">
        <f>$B$16</f>
        <v>46300</v>
      </c>
      <c r="C224" s="42" t="str">
        <f>IF(OR($B224="",$A224&gt;$B$9),"",IF(COUNTIFS(BD!$B$3:$B$5001,C$219,BD!$A$3:$A$5001,"&gt;="&amp;$C$7,BD!$A$3:$A$5001,"&lt;="&amp;$B224,BD!$N$3:$N$5001,"&lt;&gt;")=0,"",SUMIFS(BD!$N$3:$N$5001,BD!$B$3:$B$5001,C$219,BD!$A$3:$A$5001,_xlfn.MAXIFS(BD!$A$3:$A$5001,BD!$B$3:$B$5001,C$219,BD!$A$3:$A$5001,"&gt;="&amp;$C$7,BD!$A$3:$A$5001,"&lt;="&amp;$B224,BD!$N$3:$N$5001,"&lt;&gt;"))))</f>
        <v/>
      </c>
      <c r="D224" s="42" t="str">
        <f>IF(OR($B224="",$A224&gt;$B$9),"",IF(COUNTIFS(BD!$B$3:$B$5001,D$219,BD!$A$3:$A$5001,"&gt;="&amp;$C$7,BD!$A$3:$A$5001,"&lt;="&amp;$B224,BD!$N$3:$N$5001,"&lt;&gt;")=0,"",SUMIFS(BD!$N$3:$N$5001,BD!$B$3:$B$5001,D$219,BD!$A$3:$A$5001,_xlfn.MAXIFS(BD!$A$3:$A$5001,BD!$B$3:$B$5001,D$219,BD!$A$3:$A$5001,"&gt;="&amp;$C$7,BD!$A$3:$A$5001,"&lt;="&amp;$B224,BD!$N$3:$N$5001,"&lt;&gt;"))))</f>
        <v/>
      </c>
      <c r="E224" s="42" t="str">
        <f>IF(OR($B224="",$A224&gt;$B$9),"",IF(COUNTIFS(BD!$B$3:$B$5001,E$219,BD!$A$3:$A$5001,"&gt;="&amp;$C$7,BD!$A$3:$A$5001,"&lt;="&amp;$B224,BD!$N$3:$N$5001,"&lt;&gt;")=0,"",SUMIFS(BD!$N$3:$N$5001,BD!$B$3:$B$5001,E$219,BD!$A$3:$A$5001,_xlfn.MAXIFS(BD!$A$3:$A$5001,BD!$B$3:$B$5001,E$219,BD!$A$3:$A$5001,"&gt;="&amp;$C$7,BD!$A$3:$A$5001,"&lt;="&amp;$B224,BD!$N$3:$N$5001,"&lt;&gt;"))))</f>
        <v/>
      </c>
      <c r="F224" s="42" t="str">
        <f>IF(OR($B224="",$A224&gt;$B$9),"",IF(COUNTIFS(BD!$B$3:$B$5001,F$219,BD!$A$3:$A$5001,"&gt;="&amp;$C$7,BD!$A$3:$A$5001,"&lt;="&amp;$B224,BD!$N$3:$N$5001,"&lt;&gt;")=0,"",SUMIFS(BD!$N$3:$N$5001,BD!$B$3:$B$5001,F$219,BD!$A$3:$A$5001,_xlfn.MAXIFS(BD!$A$3:$A$5001,BD!$B$3:$B$5001,F$219,BD!$A$3:$A$5001,"&gt;="&amp;$C$7,BD!$A$3:$A$5001,"&lt;="&amp;$B224,BD!$N$3:$N$5001,"&lt;&gt;"))))</f>
        <v/>
      </c>
      <c r="G224" s="42" t="str">
        <f>IF(OR($B224="",$A224&gt;$B$9),"",IF(COUNTIFS(BD!$B$3:$B$5001,G$219,BD!$A$3:$A$5001,"&gt;="&amp;$C$7,BD!$A$3:$A$5001,"&lt;="&amp;$B224,BD!$N$3:$N$5001,"&lt;&gt;")=0,"",SUMIFS(BD!$N$3:$N$5001,BD!$B$3:$B$5001,G$219,BD!$A$3:$A$5001,_xlfn.MAXIFS(BD!$A$3:$A$5001,BD!$B$3:$B$5001,G$219,BD!$A$3:$A$5001,"&gt;="&amp;$C$7,BD!$A$3:$A$5001,"&lt;="&amp;$B224,BD!$N$3:$N$5001,"&lt;&gt;"))))</f>
        <v/>
      </c>
    </row>
    <row r="225">
      <c r="A225" s="40">
        <v>6</v>
      </c>
      <c r="B225" s="41">
        <f>$B$17</f>
        <v>46301</v>
      </c>
      <c r="C225" s="42" t="str">
        <f>IF(OR($B225="",$A225&gt;$B$9),"",IF(COUNTIFS(BD!$B$3:$B$5001,C$219,BD!$A$3:$A$5001,"&gt;="&amp;$C$7,BD!$A$3:$A$5001,"&lt;="&amp;$B225,BD!$N$3:$N$5001,"&lt;&gt;")=0,"",SUMIFS(BD!$N$3:$N$5001,BD!$B$3:$B$5001,C$219,BD!$A$3:$A$5001,_xlfn.MAXIFS(BD!$A$3:$A$5001,BD!$B$3:$B$5001,C$219,BD!$A$3:$A$5001,"&gt;="&amp;$C$7,BD!$A$3:$A$5001,"&lt;="&amp;$B225,BD!$N$3:$N$5001,"&lt;&gt;"))))</f>
        <v/>
      </c>
      <c r="D225" s="42" t="str">
        <f>IF(OR($B225="",$A225&gt;$B$9),"",IF(COUNTIFS(BD!$B$3:$B$5001,D$219,BD!$A$3:$A$5001,"&gt;="&amp;$C$7,BD!$A$3:$A$5001,"&lt;="&amp;$B225,BD!$N$3:$N$5001,"&lt;&gt;")=0,"",SUMIFS(BD!$N$3:$N$5001,BD!$B$3:$B$5001,D$219,BD!$A$3:$A$5001,_xlfn.MAXIFS(BD!$A$3:$A$5001,BD!$B$3:$B$5001,D$219,BD!$A$3:$A$5001,"&gt;="&amp;$C$7,BD!$A$3:$A$5001,"&lt;="&amp;$B225,BD!$N$3:$N$5001,"&lt;&gt;"))))</f>
        <v/>
      </c>
      <c r="E225" s="42" t="str">
        <f>IF(OR($B225="",$A225&gt;$B$9),"",IF(COUNTIFS(BD!$B$3:$B$5001,E$219,BD!$A$3:$A$5001,"&gt;="&amp;$C$7,BD!$A$3:$A$5001,"&lt;="&amp;$B225,BD!$N$3:$N$5001,"&lt;&gt;")=0,"",SUMIFS(BD!$N$3:$N$5001,BD!$B$3:$B$5001,E$219,BD!$A$3:$A$5001,_xlfn.MAXIFS(BD!$A$3:$A$5001,BD!$B$3:$B$5001,E$219,BD!$A$3:$A$5001,"&gt;="&amp;$C$7,BD!$A$3:$A$5001,"&lt;="&amp;$B225,BD!$N$3:$N$5001,"&lt;&gt;"))))</f>
        <v/>
      </c>
      <c r="F225" s="42" t="str">
        <f>IF(OR($B225="",$A225&gt;$B$9),"",IF(COUNTIFS(BD!$B$3:$B$5001,F$219,BD!$A$3:$A$5001,"&gt;="&amp;$C$7,BD!$A$3:$A$5001,"&lt;="&amp;$B225,BD!$N$3:$N$5001,"&lt;&gt;")=0,"",SUMIFS(BD!$N$3:$N$5001,BD!$B$3:$B$5001,F$219,BD!$A$3:$A$5001,_xlfn.MAXIFS(BD!$A$3:$A$5001,BD!$B$3:$B$5001,F$219,BD!$A$3:$A$5001,"&gt;="&amp;$C$7,BD!$A$3:$A$5001,"&lt;="&amp;$B225,BD!$N$3:$N$5001,"&lt;&gt;"))))</f>
        <v/>
      </c>
      <c r="G225" s="42" t="str">
        <f>IF(OR($B225="",$A225&gt;$B$9),"",IF(COUNTIFS(BD!$B$3:$B$5001,G$219,BD!$A$3:$A$5001,"&gt;="&amp;$C$7,BD!$A$3:$A$5001,"&lt;="&amp;$B225,BD!$N$3:$N$5001,"&lt;&gt;")=0,"",SUMIFS(BD!$N$3:$N$5001,BD!$B$3:$B$5001,G$219,BD!$A$3:$A$5001,_xlfn.MAXIFS(BD!$A$3:$A$5001,BD!$B$3:$B$5001,G$219,BD!$A$3:$A$5001,"&gt;="&amp;$C$7,BD!$A$3:$A$5001,"&lt;="&amp;$B225,BD!$N$3:$N$5001,"&lt;&gt;"))))</f>
        <v/>
      </c>
    </row>
    <row r="226">
      <c r="A226" s="40">
        <v>7</v>
      </c>
      <c r="B226" s="41">
        <f>$B$18</f>
        <v>46302</v>
      </c>
      <c r="C226" s="42" t="str">
        <f>IF(OR($B226="",$A226&gt;$B$9),"",IF(COUNTIFS(BD!$B$3:$B$5001,C$219,BD!$A$3:$A$5001,"&gt;="&amp;$C$7,BD!$A$3:$A$5001,"&lt;="&amp;$B226,BD!$N$3:$N$5001,"&lt;&gt;")=0,"",SUMIFS(BD!$N$3:$N$5001,BD!$B$3:$B$5001,C$219,BD!$A$3:$A$5001,_xlfn.MAXIFS(BD!$A$3:$A$5001,BD!$B$3:$B$5001,C$219,BD!$A$3:$A$5001,"&gt;="&amp;$C$7,BD!$A$3:$A$5001,"&lt;="&amp;$B226,BD!$N$3:$N$5001,"&lt;&gt;"))))</f>
        <v/>
      </c>
      <c r="D226" s="42" t="str">
        <f>IF(OR($B226="",$A226&gt;$B$9),"",IF(COUNTIFS(BD!$B$3:$B$5001,D$219,BD!$A$3:$A$5001,"&gt;="&amp;$C$7,BD!$A$3:$A$5001,"&lt;="&amp;$B226,BD!$N$3:$N$5001,"&lt;&gt;")=0,"",SUMIFS(BD!$N$3:$N$5001,BD!$B$3:$B$5001,D$219,BD!$A$3:$A$5001,_xlfn.MAXIFS(BD!$A$3:$A$5001,BD!$B$3:$B$5001,D$219,BD!$A$3:$A$5001,"&gt;="&amp;$C$7,BD!$A$3:$A$5001,"&lt;="&amp;$B226,BD!$N$3:$N$5001,"&lt;&gt;"))))</f>
        <v/>
      </c>
      <c r="E226" s="42" t="str">
        <f>IF(OR($B226="",$A226&gt;$B$9),"",IF(COUNTIFS(BD!$B$3:$B$5001,E$219,BD!$A$3:$A$5001,"&gt;="&amp;$C$7,BD!$A$3:$A$5001,"&lt;="&amp;$B226,BD!$N$3:$N$5001,"&lt;&gt;")=0,"",SUMIFS(BD!$N$3:$N$5001,BD!$B$3:$B$5001,E$219,BD!$A$3:$A$5001,_xlfn.MAXIFS(BD!$A$3:$A$5001,BD!$B$3:$B$5001,E$219,BD!$A$3:$A$5001,"&gt;="&amp;$C$7,BD!$A$3:$A$5001,"&lt;="&amp;$B226,BD!$N$3:$N$5001,"&lt;&gt;"))))</f>
        <v/>
      </c>
      <c r="F226" s="42" t="str">
        <f>IF(OR($B226="",$A226&gt;$B$9),"",IF(COUNTIFS(BD!$B$3:$B$5001,F$219,BD!$A$3:$A$5001,"&gt;="&amp;$C$7,BD!$A$3:$A$5001,"&lt;="&amp;$B226,BD!$N$3:$N$5001,"&lt;&gt;")=0,"",SUMIFS(BD!$N$3:$N$5001,BD!$B$3:$B$5001,F$219,BD!$A$3:$A$5001,_xlfn.MAXIFS(BD!$A$3:$A$5001,BD!$B$3:$B$5001,F$219,BD!$A$3:$A$5001,"&gt;="&amp;$C$7,BD!$A$3:$A$5001,"&lt;="&amp;$B226,BD!$N$3:$N$5001,"&lt;&gt;"))))</f>
        <v/>
      </c>
      <c r="G226" s="42" t="str">
        <f>IF(OR($B226="",$A226&gt;$B$9),"",IF(COUNTIFS(BD!$B$3:$B$5001,G$219,BD!$A$3:$A$5001,"&gt;="&amp;$C$7,BD!$A$3:$A$5001,"&lt;="&amp;$B226,BD!$N$3:$N$5001,"&lt;&gt;")=0,"",SUMIFS(BD!$N$3:$N$5001,BD!$B$3:$B$5001,G$219,BD!$A$3:$A$5001,_xlfn.MAXIFS(BD!$A$3:$A$5001,BD!$B$3:$B$5001,G$219,BD!$A$3:$A$5001,"&gt;="&amp;$C$7,BD!$A$3:$A$5001,"&lt;="&amp;$B226,BD!$N$3:$N$5001,"&lt;&gt;"))))</f>
        <v/>
      </c>
    </row>
    <row r="227">
      <c r="A227" s="40">
        <v>8</v>
      </c>
      <c r="B227" s="41">
        <f>$B$19</f>
        <v>46303</v>
      </c>
      <c r="C227" s="42" t="str">
        <f>IF(OR($B227="",$A227&gt;$B$9),"",IF(COUNTIFS(BD!$B$3:$B$5001,C$219,BD!$A$3:$A$5001,"&gt;="&amp;$C$7,BD!$A$3:$A$5001,"&lt;="&amp;$B227,BD!$N$3:$N$5001,"&lt;&gt;")=0,"",SUMIFS(BD!$N$3:$N$5001,BD!$B$3:$B$5001,C$219,BD!$A$3:$A$5001,_xlfn.MAXIFS(BD!$A$3:$A$5001,BD!$B$3:$B$5001,C$219,BD!$A$3:$A$5001,"&gt;="&amp;$C$7,BD!$A$3:$A$5001,"&lt;="&amp;$B227,BD!$N$3:$N$5001,"&lt;&gt;"))))</f>
        <v/>
      </c>
      <c r="D227" s="42" t="str">
        <f>IF(OR($B227="",$A227&gt;$B$9),"",IF(COUNTIFS(BD!$B$3:$B$5001,D$219,BD!$A$3:$A$5001,"&gt;="&amp;$C$7,BD!$A$3:$A$5001,"&lt;="&amp;$B227,BD!$N$3:$N$5001,"&lt;&gt;")=0,"",SUMIFS(BD!$N$3:$N$5001,BD!$B$3:$B$5001,D$219,BD!$A$3:$A$5001,_xlfn.MAXIFS(BD!$A$3:$A$5001,BD!$B$3:$B$5001,D$219,BD!$A$3:$A$5001,"&gt;="&amp;$C$7,BD!$A$3:$A$5001,"&lt;="&amp;$B227,BD!$N$3:$N$5001,"&lt;&gt;"))))</f>
        <v/>
      </c>
      <c r="E227" s="42" t="str">
        <f>IF(OR($B227="",$A227&gt;$B$9),"",IF(COUNTIFS(BD!$B$3:$B$5001,E$219,BD!$A$3:$A$5001,"&gt;="&amp;$C$7,BD!$A$3:$A$5001,"&lt;="&amp;$B227,BD!$N$3:$N$5001,"&lt;&gt;")=0,"",SUMIFS(BD!$N$3:$N$5001,BD!$B$3:$B$5001,E$219,BD!$A$3:$A$5001,_xlfn.MAXIFS(BD!$A$3:$A$5001,BD!$B$3:$B$5001,E$219,BD!$A$3:$A$5001,"&gt;="&amp;$C$7,BD!$A$3:$A$5001,"&lt;="&amp;$B227,BD!$N$3:$N$5001,"&lt;&gt;"))))</f>
        <v/>
      </c>
      <c r="F227" s="42" t="str">
        <f>IF(OR($B227="",$A227&gt;$B$9),"",IF(COUNTIFS(BD!$B$3:$B$5001,F$219,BD!$A$3:$A$5001,"&gt;="&amp;$C$7,BD!$A$3:$A$5001,"&lt;="&amp;$B227,BD!$N$3:$N$5001,"&lt;&gt;")=0,"",SUMIFS(BD!$N$3:$N$5001,BD!$B$3:$B$5001,F$219,BD!$A$3:$A$5001,_xlfn.MAXIFS(BD!$A$3:$A$5001,BD!$B$3:$B$5001,F$219,BD!$A$3:$A$5001,"&gt;="&amp;$C$7,BD!$A$3:$A$5001,"&lt;="&amp;$B227,BD!$N$3:$N$5001,"&lt;&gt;"))))</f>
        <v/>
      </c>
      <c r="G227" s="42" t="str">
        <f>IF(OR($B227="",$A227&gt;$B$9),"",IF(COUNTIFS(BD!$B$3:$B$5001,G$219,BD!$A$3:$A$5001,"&gt;="&amp;$C$7,BD!$A$3:$A$5001,"&lt;="&amp;$B227,BD!$N$3:$N$5001,"&lt;&gt;")=0,"",SUMIFS(BD!$N$3:$N$5001,BD!$B$3:$B$5001,G$219,BD!$A$3:$A$5001,_xlfn.MAXIFS(BD!$A$3:$A$5001,BD!$B$3:$B$5001,G$219,BD!$A$3:$A$5001,"&gt;="&amp;$C$7,BD!$A$3:$A$5001,"&lt;="&amp;$B227,BD!$N$3:$N$5001,"&lt;&gt;"))))</f>
        <v/>
      </c>
    </row>
    <row r="228">
      <c r="A228" s="40">
        <v>9</v>
      </c>
      <c r="B228" s="41">
        <f>$B$20</f>
        <v>46304</v>
      </c>
      <c r="C228" s="42" t="str">
        <f>IF(OR($B228="",$A228&gt;$B$9),"",IF(COUNTIFS(BD!$B$3:$B$5001,C$219,BD!$A$3:$A$5001,"&gt;="&amp;$C$7,BD!$A$3:$A$5001,"&lt;="&amp;$B228,BD!$N$3:$N$5001,"&lt;&gt;")=0,"",SUMIFS(BD!$N$3:$N$5001,BD!$B$3:$B$5001,C$219,BD!$A$3:$A$5001,_xlfn.MAXIFS(BD!$A$3:$A$5001,BD!$B$3:$B$5001,C$219,BD!$A$3:$A$5001,"&gt;="&amp;$C$7,BD!$A$3:$A$5001,"&lt;="&amp;$B228,BD!$N$3:$N$5001,"&lt;&gt;"))))</f>
        <v/>
      </c>
      <c r="D228" s="42" t="str">
        <f>IF(OR($B228="",$A228&gt;$B$9),"",IF(COUNTIFS(BD!$B$3:$B$5001,D$219,BD!$A$3:$A$5001,"&gt;="&amp;$C$7,BD!$A$3:$A$5001,"&lt;="&amp;$B228,BD!$N$3:$N$5001,"&lt;&gt;")=0,"",SUMIFS(BD!$N$3:$N$5001,BD!$B$3:$B$5001,D$219,BD!$A$3:$A$5001,_xlfn.MAXIFS(BD!$A$3:$A$5001,BD!$B$3:$B$5001,D$219,BD!$A$3:$A$5001,"&gt;="&amp;$C$7,BD!$A$3:$A$5001,"&lt;="&amp;$B228,BD!$N$3:$N$5001,"&lt;&gt;"))))</f>
        <v/>
      </c>
      <c r="E228" s="42" t="str">
        <f>IF(OR($B228="",$A228&gt;$B$9),"",IF(COUNTIFS(BD!$B$3:$B$5001,E$219,BD!$A$3:$A$5001,"&gt;="&amp;$C$7,BD!$A$3:$A$5001,"&lt;="&amp;$B228,BD!$N$3:$N$5001,"&lt;&gt;")=0,"",SUMIFS(BD!$N$3:$N$5001,BD!$B$3:$B$5001,E$219,BD!$A$3:$A$5001,_xlfn.MAXIFS(BD!$A$3:$A$5001,BD!$B$3:$B$5001,E$219,BD!$A$3:$A$5001,"&gt;="&amp;$C$7,BD!$A$3:$A$5001,"&lt;="&amp;$B228,BD!$N$3:$N$5001,"&lt;&gt;"))))</f>
        <v/>
      </c>
      <c r="F228" s="42" t="str">
        <f>IF(OR($B228="",$A228&gt;$B$9),"",IF(COUNTIFS(BD!$B$3:$B$5001,F$219,BD!$A$3:$A$5001,"&gt;="&amp;$C$7,BD!$A$3:$A$5001,"&lt;="&amp;$B228,BD!$N$3:$N$5001,"&lt;&gt;")=0,"",SUMIFS(BD!$N$3:$N$5001,BD!$B$3:$B$5001,F$219,BD!$A$3:$A$5001,_xlfn.MAXIFS(BD!$A$3:$A$5001,BD!$B$3:$B$5001,F$219,BD!$A$3:$A$5001,"&gt;="&amp;$C$7,BD!$A$3:$A$5001,"&lt;="&amp;$B228,BD!$N$3:$N$5001,"&lt;&gt;"))))</f>
        <v/>
      </c>
      <c r="G228" s="42" t="str">
        <f>IF(OR($B228="",$A228&gt;$B$9),"",IF(COUNTIFS(BD!$B$3:$B$5001,G$219,BD!$A$3:$A$5001,"&gt;="&amp;$C$7,BD!$A$3:$A$5001,"&lt;="&amp;$B228,BD!$N$3:$N$5001,"&lt;&gt;")=0,"",SUMIFS(BD!$N$3:$N$5001,BD!$B$3:$B$5001,G$219,BD!$A$3:$A$5001,_xlfn.MAXIFS(BD!$A$3:$A$5001,BD!$B$3:$B$5001,G$219,BD!$A$3:$A$5001,"&gt;="&amp;$C$7,BD!$A$3:$A$5001,"&lt;="&amp;$B228,BD!$N$3:$N$5001,"&lt;&gt;"))))</f>
        <v/>
      </c>
    </row>
    <row r="229">
      <c r="A229" s="40">
        <v>10</v>
      </c>
      <c r="B229" s="41">
        <f>$B$21</f>
        <v>46305</v>
      </c>
      <c r="C229" s="42" t="str">
        <f>IF(OR($B229="",$A229&gt;$B$9),"",IF(COUNTIFS(BD!$B$3:$B$5001,C$219,BD!$A$3:$A$5001,"&gt;="&amp;$C$7,BD!$A$3:$A$5001,"&lt;="&amp;$B229,BD!$N$3:$N$5001,"&lt;&gt;")=0,"",SUMIFS(BD!$N$3:$N$5001,BD!$B$3:$B$5001,C$219,BD!$A$3:$A$5001,_xlfn.MAXIFS(BD!$A$3:$A$5001,BD!$B$3:$B$5001,C$219,BD!$A$3:$A$5001,"&gt;="&amp;$C$7,BD!$A$3:$A$5001,"&lt;="&amp;$B229,BD!$N$3:$N$5001,"&lt;&gt;"))))</f>
        <v/>
      </c>
      <c r="D229" s="42" t="str">
        <f>IF(OR($B229="",$A229&gt;$B$9),"",IF(COUNTIFS(BD!$B$3:$B$5001,D$219,BD!$A$3:$A$5001,"&gt;="&amp;$C$7,BD!$A$3:$A$5001,"&lt;="&amp;$B229,BD!$N$3:$N$5001,"&lt;&gt;")=0,"",SUMIFS(BD!$N$3:$N$5001,BD!$B$3:$B$5001,D$219,BD!$A$3:$A$5001,_xlfn.MAXIFS(BD!$A$3:$A$5001,BD!$B$3:$B$5001,D$219,BD!$A$3:$A$5001,"&gt;="&amp;$C$7,BD!$A$3:$A$5001,"&lt;="&amp;$B229,BD!$N$3:$N$5001,"&lt;&gt;"))))</f>
        <v/>
      </c>
      <c r="E229" s="42" t="str">
        <f>IF(OR($B229="",$A229&gt;$B$9),"",IF(COUNTIFS(BD!$B$3:$B$5001,E$219,BD!$A$3:$A$5001,"&gt;="&amp;$C$7,BD!$A$3:$A$5001,"&lt;="&amp;$B229,BD!$N$3:$N$5001,"&lt;&gt;")=0,"",SUMIFS(BD!$N$3:$N$5001,BD!$B$3:$B$5001,E$219,BD!$A$3:$A$5001,_xlfn.MAXIFS(BD!$A$3:$A$5001,BD!$B$3:$B$5001,E$219,BD!$A$3:$A$5001,"&gt;="&amp;$C$7,BD!$A$3:$A$5001,"&lt;="&amp;$B229,BD!$N$3:$N$5001,"&lt;&gt;"))))</f>
        <v/>
      </c>
      <c r="F229" s="42" t="str">
        <f>IF(OR($B229="",$A229&gt;$B$9),"",IF(COUNTIFS(BD!$B$3:$B$5001,F$219,BD!$A$3:$A$5001,"&gt;="&amp;$C$7,BD!$A$3:$A$5001,"&lt;="&amp;$B229,BD!$N$3:$N$5001,"&lt;&gt;")=0,"",SUMIFS(BD!$N$3:$N$5001,BD!$B$3:$B$5001,F$219,BD!$A$3:$A$5001,_xlfn.MAXIFS(BD!$A$3:$A$5001,BD!$B$3:$B$5001,F$219,BD!$A$3:$A$5001,"&gt;="&amp;$C$7,BD!$A$3:$A$5001,"&lt;="&amp;$B229,BD!$N$3:$N$5001,"&lt;&gt;"))))</f>
        <v/>
      </c>
      <c r="G229" s="42" t="str">
        <f>IF(OR($B229="",$A229&gt;$B$9),"",IF(COUNTIFS(BD!$B$3:$B$5001,G$219,BD!$A$3:$A$5001,"&gt;="&amp;$C$7,BD!$A$3:$A$5001,"&lt;="&amp;$B229,BD!$N$3:$N$5001,"&lt;&gt;")=0,"",SUMIFS(BD!$N$3:$N$5001,BD!$B$3:$B$5001,G$219,BD!$A$3:$A$5001,_xlfn.MAXIFS(BD!$A$3:$A$5001,BD!$B$3:$B$5001,G$219,BD!$A$3:$A$5001,"&gt;="&amp;$C$7,BD!$A$3:$A$5001,"&lt;="&amp;$B229,BD!$N$3:$N$5001,"&lt;&gt;"))))</f>
        <v/>
      </c>
    </row>
    <row r="230">
      <c r="A230" s="40">
        <v>11</v>
      </c>
      <c r="B230" s="41">
        <f>$B$22</f>
        <v>46306</v>
      </c>
      <c r="C230" s="42" t="str">
        <f>IF(OR($B230="",$A230&gt;$B$9),"",IF(COUNTIFS(BD!$B$3:$B$5001,C$219,BD!$A$3:$A$5001,"&gt;="&amp;$C$7,BD!$A$3:$A$5001,"&lt;="&amp;$B230,BD!$N$3:$N$5001,"&lt;&gt;")=0,"",SUMIFS(BD!$N$3:$N$5001,BD!$B$3:$B$5001,C$219,BD!$A$3:$A$5001,_xlfn.MAXIFS(BD!$A$3:$A$5001,BD!$B$3:$B$5001,C$219,BD!$A$3:$A$5001,"&gt;="&amp;$C$7,BD!$A$3:$A$5001,"&lt;="&amp;$B230,BD!$N$3:$N$5001,"&lt;&gt;"))))</f>
        <v/>
      </c>
      <c r="D230" s="42" t="str">
        <f>IF(OR($B230="",$A230&gt;$B$9),"",IF(COUNTIFS(BD!$B$3:$B$5001,D$219,BD!$A$3:$A$5001,"&gt;="&amp;$C$7,BD!$A$3:$A$5001,"&lt;="&amp;$B230,BD!$N$3:$N$5001,"&lt;&gt;")=0,"",SUMIFS(BD!$N$3:$N$5001,BD!$B$3:$B$5001,D$219,BD!$A$3:$A$5001,_xlfn.MAXIFS(BD!$A$3:$A$5001,BD!$B$3:$B$5001,D$219,BD!$A$3:$A$5001,"&gt;="&amp;$C$7,BD!$A$3:$A$5001,"&lt;="&amp;$B230,BD!$N$3:$N$5001,"&lt;&gt;"))))</f>
        <v/>
      </c>
      <c r="E230" s="42" t="str">
        <f>IF(OR($B230="",$A230&gt;$B$9),"",IF(COUNTIFS(BD!$B$3:$B$5001,E$219,BD!$A$3:$A$5001,"&gt;="&amp;$C$7,BD!$A$3:$A$5001,"&lt;="&amp;$B230,BD!$N$3:$N$5001,"&lt;&gt;")=0,"",SUMIFS(BD!$N$3:$N$5001,BD!$B$3:$B$5001,E$219,BD!$A$3:$A$5001,_xlfn.MAXIFS(BD!$A$3:$A$5001,BD!$B$3:$B$5001,E$219,BD!$A$3:$A$5001,"&gt;="&amp;$C$7,BD!$A$3:$A$5001,"&lt;="&amp;$B230,BD!$N$3:$N$5001,"&lt;&gt;"))))</f>
        <v/>
      </c>
      <c r="F230" s="42" t="str">
        <f>IF(OR($B230="",$A230&gt;$B$9),"",IF(COUNTIFS(BD!$B$3:$B$5001,F$219,BD!$A$3:$A$5001,"&gt;="&amp;$C$7,BD!$A$3:$A$5001,"&lt;="&amp;$B230,BD!$N$3:$N$5001,"&lt;&gt;")=0,"",SUMIFS(BD!$N$3:$N$5001,BD!$B$3:$B$5001,F$219,BD!$A$3:$A$5001,_xlfn.MAXIFS(BD!$A$3:$A$5001,BD!$B$3:$B$5001,F$219,BD!$A$3:$A$5001,"&gt;="&amp;$C$7,BD!$A$3:$A$5001,"&lt;="&amp;$B230,BD!$N$3:$N$5001,"&lt;&gt;"))))</f>
        <v/>
      </c>
      <c r="G230" s="42" t="str">
        <f>IF(OR($B230="",$A230&gt;$B$9),"",IF(COUNTIFS(BD!$B$3:$B$5001,G$219,BD!$A$3:$A$5001,"&gt;="&amp;$C$7,BD!$A$3:$A$5001,"&lt;="&amp;$B230,BD!$N$3:$N$5001,"&lt;&gt;")=0,"",SUMIFS(BD!$N$3:$N$5001,BD!$B$3:$B$5001,G$219,BD!$A$3:$A$5001,_xlfn.MAXIFS(BD!$A$3:$A$5001,BD!$B$3:$B$5001,G$219,BD!$A$3:$A$5001,"&gt;="&amp;$C$7,BD!$A$3:$A$5001,"&lt;="&amp;$B230,BD!$N$3:$N$5001,"&lt;&gt;"))))</f>
        <v/>
      </c>
    </row>
    <row r="231">
      <c r="A231" s="40">
        <v>12</v>
      </c>
      <c r="B231" s="41">
        <f>$B$23</f>
        <v>46307</v>
      </c>
      <c r="C231" s="42" t="str">
        <f>IF(OR($B231="",$A231&gt;$B$9),"",IF(COUNTIFS(BD!$B$3:$B$5001,C$219,BD!$A$3:$A$5001,"&gt;="&amp;$C$7,BD!$A$3:$A$5001,"&lt;="&amp;$B231,BD!$N$3:$N$5001,"&lt;&gt;")=0,"",SUMIFS(BD!$N$3:$N$5001,BD!$B$3:$B$5001,C$219,BD!$A$3:$A$5001,_xlfn.MAXIFS(BD!$A$3:$A$5001,BD!$B$3:$B$5001,C$219,BD!$A$3:$A$5001,"&gt;="&amp;$C$7,BD!$A$3:$A$5001,"&lt;="&amp;$B231,BD!$N$3:$N$5001,"&lt;&gt;"))))</f>
        <v/>
      </c>
      <c r="D231" s="42" t="str">
        <f>IF(OR($B231="",$A231&gt;$B$9),"",IF(COUNTIFS(BD!$B$3:$B$5001,D$219,BD!$A$3:$A$5001,"&gt;="&amp;$C$7,BD!$A$3:$A$5001,"&lt;="&amp;$B231,BD!$N$3:$N$5001,"&lt;&gt;")=0,"",SUMIFS(BD!$N$3:$N$5001,BD!$B$3:$B$5001,D$219,BD!$A$3:$A$5001,_xlfn.MAXIFS(BD!$A$3:$A$5001,BD!$B$3:$B$5001,D$219,BD!$A$3:$A$5001,"&gt;="&amp;$C$7,BD!$A$3:$A$5001,"&lt;="&amp;$B231,BD!$N$3:$N$5001,"&lt;&gt;"))))</f>
        <v/>
      </c>
      <c r="E231" s="42" t="str">
        <f>IF(OR($B231="",$A231&gt;$B$9),"",IF(COUNTIFS(BD!$B$3:$B$5001,E$219,BD!$A$3:$A$5001,"&gt;="&amp;$C$7,BD!$A$3:$A$5001,"&lt;="&amp;$B231,BD!$N$3:$N$5001,"&lt;&gt;")=0,"",SUMIFS(BD!$N$3:$N$5001,BD!$B$3:$B$5001,E$219,BD!$A$3:$A$5001,_xlfn.MAXIFS(BD!$A$3:$A$5001,BD!$B$3:$B$5001,E$219,BD!$A$3:$A$5001,"&gt;="&amp;$C$7,BD!$A$3:$A$5001,"&lt;="&amp;$B231,BD!$N$3:$N$5001,"&lt;&gt;"))))</f>
        <v/>
      </c>
      <c r="F231" s="42" t="str">
        <f>IF(OR($B231="",$A231&gt;$B$9),"",IF(COUNTIFS(BD!$B$3:$B$5001,F$219,BD!$A$3:$A$5001,"&gt;="&amp;$C$7,BD!$A$3:$A$5001,"&lt;="&amp;$B231,BD!$N$3:$N$5001,"&lt;&gt;")=0,"",SUMIFS(BD!$N$3:$N$5001,BD!$B$3:$B$5001,F$219,BD!$A$3:$A$5001,_xlfn.MAXIFS(BD!$A$3:$A$5001,BD!$B$3:$B$5001,F$219,BD!$A$3:$A$5001,"&gt;="&amp;$C$7,BD!$A$3:$A$5001,"&lt;="&amp;$B231,BD!$N$3:$N$5001,"&lt;&gt;"))))</f>
        <v/>
      </c>
      <c r="G231" s="42" t="str">
        <f>IF(OR($B231="",$A231&gt;$B$9),"",IF(COUNTIFS(BD!$B$3:$B$5001,G$219,BD!$A$3:$A$5001,"&gt;="&amp;$C$7,BD!$A$3:$A$5001,"&lt;="&amp;$B231,BD!$N$3:$N$5001,"&lt;&gt;")=0,"",SUMIFS(BD!$N$3:$N$5001,BD!$B$3:$B$5001,G$219,BD!$A$3:$A$5001,_xlfn.MAXIFS(BD!$A$3:$A$5001,BD!$B$3:$B$5001,G$219,BD!$A$3:$A$5001,"&gt;="&amp;$C$7,BD!$A$3:$A$5001,"&lt;="&amp;$B231,BD!$N$3:$N$5001,"&lt;&gt;"))))</f>
        <v/>
      </c>
    </row>
    <row r="232">
      <c r="A232" s="40">
        <v>13</v>
      </c>
      <c r="B232" s="41">
        <f>$B$24</f>
        <v>46308</v>
      </c>
      <c r="C232" s="42" t="str">
        <f>IF(OR($B232="",$A232&gt;$B$9),"",IF(COUNTIFS(BD!$B$3:$B$5001,C$219,BD!$A$3:$A$5001,"&gt;="&amp;$C$7,BD!$A$3:$A$5001,"&lt;="&amp;$B232,BD!$N$3:$N$5001,"&lt;&gt;")=0,"",SUMIFS(BD!$N$3:$N$5001,BD!$B$3:$B$5001,C$219,BD!$A$3:$A$5001,_xlfn.MAXIFS(BD!$A$3:$A$5001,BD!$B$3:$B$5001,C$219,BD!$A$3:$A$5001,"&gt;="&amp;$C$7,BD!$A$3:$A$5001,"&lt;="&amp;$B232,BD!$N$3:$N$5001,"&lt;&gt;"))))</f>
        <v/>
      </c>
      <c r="D232" s="42" t="str">
        <f>IF(OR($B232="",$A232&gt;$B$9),"",IF(COUNTIFS(BD!$B$3:$B$5001,D$219,BD!$A$3:$A$5001,"&gt;="&amp;$C$7,BD!$A$3:$A$5001,"&lt;="&amp;$B232,BD!$N$3:$N$5001,"&lt;&gt;")=0,"",SUMIFS(BD!$N$3:$N$5001,BD!$B$3:$B$5001,D$219,BD!$A$3:$A$5001,_xlfn.MAXIFS(BD!$A$3:$A$5001,BD!$B$3:$B$5001,D$219,BD!$A$3:$A$5001,"&gt;="&amp;$C$7,BD!$A$3:$A$5001,"&lt;="&amp;$B232,BD!$N$3:$N$5001,"&lt;&gt;"))))</f>
        <v/>
      </c>
      <c r="E232" s="42" t="str">
        <f>IF(OR($B232="",$A232&gt;$B$9),"",IF(COUNTIFS(BD!$B$3:$B$5001,E$219,BD!$A$3:$A$5001,"&gt;="&amp;$C$7,BD!$A$3:$A$5001,"&lt;="&amp;$B232,BD!$N$3:$N$5001,"&lt;&gt;")=0,"",SUMIFS(BD!$N$3:$N$5001,BD!$B$3:$B$5001,E$219,BD!$A$3:$A$5001,_xlfn.MAXIFS(BD!$A$3:$A$5001,BD!$B$3:$B$5001,E$219,BD!$A$3:$A$5001,"&gt;="&amp;$C$7,BD!$A$3:$A$5001,"&lt;="&amp;$B232,BD!$N$3:$N$5001,"&lt;&gt;"))))</f>
        <v/>
      </c>
      <c r="F232" s="42" t="str">
        <f>IF(OR($B232="",$A232&gt;$B$9),"",IF(COUNTIFS(BD!$B$3:$B$5001,F$219,BD!$A$3:$A$5001,"&gt;="&amp;$C$7,BD!$A$3:$A$5001,"&lt;="&amp;$B232,BD!$N$3:$N$5001,"&lt;&gt;")=0,"",SUMIFS(BD!$N$3:$N$5001,BD!$B$3:$B$5001,F$219,BD!$A$3:$A$5001,_xlfn.MAXIFS(BD!$A$3:$A$5001,BD!$B$3:$B$5001,F$219,BD!$A$3:$A$5001,"&gt;="&amp;$C$7,BD!$A$3:$A$5001,"&lt;="&amp;$B232,BD!$N$3:$N$5001,"&lt;&gt;"))))</f>
        <v/>
      </c>
      <c r="G232" s="42" t="str">
        <f>IF(OR($B232="",$A232&gt;$B$9),"",IF(COUNTIFS(BD!$B$3:$B$5001,G$219,BD!$A$3:$A$5001,"&gt;="&amp;$C$7,BD!$A$3:$A$5001,"&lt;="&amp;$B232,BD!$N$3:$N$5001,"&lt;&gt;")=0,"",SUMIFS(BD!$N$3:$N$5001,BD!$B$3:$B$5001,G$219,BD!$A$3:$A$5001,_xlfn.MAXIFS(BD!$A$3:$A$5001,BD!$B$3:$B$5001,G$219,BD!$A$3:$A$5001,"&gt;="&amp;$C$7,BD!$A$3:$A$5001,"&lt;="&amp;$B232,BD!$N$3:$N$5001,"&lt;&gt;"))))</f>
        <v/>
      </c>
    </row>
    <row r="233">
      <c r="A233" s="40">
        <v>14</v>
      </c>
      <c r="B233" s="41">
        <f>$B$25</f>
        <v>46309</v>
      </c>
      <c r="C233" s="42" t="str">
        <f>IF(OR($B233="",$A233&gt;$B$9),"",IF(COUNTIFS(BD!$B$3:$B$5001,C$219,BD!$A$3:$A$5001,"&gt;="&amp;$C$7,BD!$A$3:$A$5001,"&lt;="&amp;$B233,BD!$N$3:$N$5001,"&lt;&gt;")=0,"",SUMIFS(BD!$N$3:$N$5001,BD!$B$3:$B$5001,C$219,BD!$A$3:$A$5001,_xlfn.MAXIFS(BD!$A$3:$A$5001,BD!$B$3:$B$5001,C$219,BD!$A$3:$A$5001,"&gt;="&amp;$C$7,BD!$A$3:$A$5001,"&lt;="&amp;$B233,BD!$N$3:$N$5001,"&lt;&gt;"))))</f>
        <v/>
      </c>
      <c r="D233" s="42" t="str">
        <f>IF(OR($B233="",$A233&gt;$B$9),"",IF(COUNTIFS(BD!$B$3:$B$5001,D$219,BD!$A$3:$A$5001,"&gt;="&amp;$C$7,BD!$A$3:$A$5001,"&lt;="&amp;$B233,BD!$N$3:$N$5001,"&lt;&gt;")=0,"",SUMIFS(BD!$N$3:$N$5001,BD!$B$3:$B$5001,D$219,BD!$A$3:$A$5001,_xlfn.MAXIFS(BD!$A$3:$A$5001,BD!$B$3:$B$5001,D$219,BD!$A$3:$A$5001,"&gt;="&amp;$C$7,BD!$A$3:$A$5001,"&lt;="&amp;$B233,BD!$N$3:$N$5001,"&lt;&gt;"))))</f>
        <v/>
      </c>
      <c r="E233" s="42" t="str">
        <f>IF(OR($B233="",$A233&gt;$B$9),"",IF(COUNTIFS(BD!$B$3:$B$5001,E$219,BD!$A$3:$A$5001,"&gt;="&amp;$C$7,BD!$A$3:$A$5001,"&lt;="&amp;$B233,BD!$N$3:$N$5001,"&lt;&gt;")=0,"",SUMIFS(BD!$N$3:$N$5001,BD!$B$3:$B$5001,E$219,BD!$A$3:$A$5001,_xlfn.MAXIFS(BD!$A$3:$A$5001,BD!$B$3:$B$5001,E$219,BD!$A$3:$A$5001,"&gt;="&amp;$C$7,BD!$A$3:$A$5001,"&lt;="&amp;$B233,BD!$N$3:$N$5001,"&lt;&gt;"))))</f>
        <v/>
      </c>
      <c r="F233" s="42" t="str">
        <f>IF(OR($B233="",$A233&gt;$B$9),"",IF(COUNTIFS(BD!$B$3:$B$5001,F$219,BD!$A$3:$A$5001,"&gt;="&amp;$C$7,BD!$A$3:$A$5001,"&lt;="&amp;$B233,BD!$N$3:$N$5001,"&lt;&gt;")=0,"",SUMIFS(BD!$N$3:$N$5001,BD!$B$3:$B$5001,F$219,BD!$A$3:$A$5001,_xlfn.MAXIFS(BD!$A$3:$A$5001,BD!$B$3:$B$5001,F$219,BD!$A$3:$A$5001,"&gt;="&amp;$C$7,BD!$A$3:$A$5001,"&lt;="&amp;$B233,BD!$N$3:$N$5001,"&lt;&gt;"))))</f>
        <v/>
      </c>
      <c r="G233" s="42" t="str">
        <f>IF(OR($B233="",$A233&gt;$B$9),"",IF(COUNTIFS(BD!$B$3:$B$5001,G$219,BD!$A$3:$A$5001,"&gt;="&amp;$C$7,BD!$A$3:$A$5001,"&lt;="&amp;$B233,BD!$N$3:$N$5001,"&lt;&gt;")=0,"",SUMIFS(BD!$N$3:$N$5001,BD!$B$3:$B$5001,G$219,BD!$A$3:$A$5001,_xlfn.MAXIFS(BD!$A$3:$A$5001,BD!$B$3:$B$5001,G$219,BD!$A$3:$A$5001,"&gt;="&amp;$C$7,BD!$A$3:$A$5001,"&lt;="&amp;$B233,BD!$N$3:$N$5001,"&lt;&gt;"))))</f>
        <v/>
      </c>
    </row>
    <row r="234">
      <c r="A234" s="40">
        <v>15</v>
      </c>
      <c r="B234" s="41">
        <f>$B$26</f>
        <v>46310</v>
      </c>
      <c r="C234" s="42" t="str">
        <f>IF(OR($B234="",$A234&gt;$B$9),"",IF(COUNTIFS(BD!$B$3:$B$5001,C$219,BD!$A$3:$A$5001,"&gt;="&amp;$C$7,BD!$A$3:$A$5001,"&lt;="&amp;$B234,BD!$N$3:$N$5001,"&lt;&gt;")=0,"",SUMIFS(BD!$N$3:$N$5001,BD!$B$3:$B$5001,C$219,BD!$A$3:$A$5001,_xlfn.MAXIFS(BD!$A$3:$A$5001,BD!$B$3:$B$5001,C$219,BD!$A$3:$A$5001,"&gt;="&amp;$C$7,BD!$A$3:$A$5001,"&lt;="&amp;$B234,BD!$N$3:$N$5001,"&lt;&gt;"))))</f>
        <v/>
      </c>
      <c r="D234" s="42" t="str">
        <f>IF(OR($B234="",$A234&gt;$B$9),"",IF(COUNTIFS(BD!$B$3:$B$5001,D$219,BD!$A$3:$A$5001,"&gt;="&amp;$C$7,BD!$A$3:$A$5001,"&lt;="&amp;$B234,BD!$N$3:$N$5001,"&lt;&gt;")=0,"",SUMIFS(BD!$N$3:$N$5001,BD!$B$3:$B$5001,D$219,BD!$A$3:$A$5001,_xlfn.MAXIFS(BD!$A$3:$A$5001,BD!$B$3:$B$5001,D$219,BD!$A$3:$A$5001,"&gt;="&amp;$C$7,BD!$A$3:$A$5001,"&lt;="&amp;$B234,BD!$N$3:$N$5001,"&lt;&gt;"))))</f>
        <v/>
      </c>
      <c r="E234" s="42" t="str">
        <f>IF(OR($B234="",$A234&gt;$B$9),"",IF(COUNTIFS(BD!$B$3:$B$5001,E$219,BD!$A$3:$A$5001,"&gt;="&amp;$C$7,BD!$A$3:$A$5001,"&lt;="&amp;$B234,BD!$N$3:$N$5001,"&lt;&gt;")=0,"",SUMIFS(BD!$N$3:$N$5001,BD!$B$3:$B$5001,E$219,BD!$A$3:$A$5001,_xlfn.MAXIFS(BD!$A$3:$A$5001,BD!$B$3:$B$5001,E$219,BD!$A$3:$A$5001,"&gt;="&amp;$C$7,BD!$A$3:$A$5001,"&lt;="&amp;$B234,BD!$N$3:$N$5001,"&lt;&gt;"))))</f>
        <v/>
      </c>
      <c r="F234" s="42" t="str">
        <f>IF(OR($B234="",$A234&gt;$B$9),"",IF(COUNTIFS(BD!$B$3:$B$5001,F$219,BD!$A$3:$A$5001,"&gt;="&amp;$C$7,BD!$A$3:$A$5001,"&lt;="&amp;$B234,BD!$N$3:$N$5001,"&lt;&gt;")=0,"",SUMIFS(BD!$N$3:$N$5001,BD!$B$3:$B$5001,F$219,BD!$A$3:$A$5001,_xlfn.MAXIFS(BD!$A$3:$A$5001,BD!$B$3:$B$5001,F$219,BD!$A$3:$A$5001,"&gt;="&amp;$C$7,BD!$A$3:$A$5001,"&lt;="&amp;$B234,BD!$N$3:$N$5001,"&lt;&gt;"))))</f>
        <v/>
      </c>
      <c r="G234" s="42" t="str">
        <f>IF(OR($B234="",$A234&gt;$B$9),"",IF(COUNTIFS(BD!$B$3:$B$5001,G$219,BD!$A$3:$A$5001,"&gt;="&amp;$C$7,BD!$A$3:$A$5001,"&lt;="&amp;$B234,BD!$N$3:$N$5001,"&lt;&gt;")=0,"",SUMIFS(BD!$N$3:$N$5001,BD!$B$3:$B$5001,G$219,BD!$A$3:$A$5001,_xlfn.MAXIFS(BD!$A$3:$A$5001,BD!$B$3:$B$5001,G$219,BD!$A$3:$A$5001,"&gt;="&amp;$C$7,BD!$A$3:$A$5001,"&lt;="&amp;$B234,BD!$N$3:$N$5001,"&lt;&gt;"))))</f>
        <v/>
      </c>
    </row>
    <row r="235">
      <c r="A235" s="40">
        <v>16</v>
      </c>
      <c r="B235" s="41">
        <f>$B$27</f>
        <v>46311</v>
      </c>
      <c r="C235" s="42" t="str">
        <f>IF(OR($B235="",$A235&gt;$B$9),"",IF(COUNTIFS(BD!$B$3:$B$5001,C$219,BD!$A$3:$A$5001,"&gt;="&amp;$C$7,BD!$A$3:$A$5001,"&lt;="&amp;$B235,BD!$N$3:$N$5001,"&lt;&gt;")=0,"",SUMIFS(BD!$N$3:$N$5001,BD!$B$3:$B$5001,C$219,BD!$A$3:$A$5001,_xlfn.MAXIFS(BD!$A$3:$A$5001,BD!$B$3:$B$5001,C$219,BD!$A$3:$A$5001,"&gt;="&amp;$C$7,BD!$A$3:$A$5001,"&lt;="&amp;$B235,BD!$N$3:$N$5001,"&lt;&gt;"))))</f>
        <v/>
      </c>
      <c r="D235" s="42" t="str">
        <f>IF(OR($B235="",$A235&gt;$B$9),"",IF(COUNTIFS(BD!$B$3:$B$5001,D$219,BD!$A$3:$A$5001,"&gt;="&amp;$C$7,BD!$A$3:$A$5001,"&lt;="&amp;$B235,BD!$N$3:$N$5001,"&lt;&gt;")=0,"",SUMIFS(BD!$N$3:$N$5001,BD!$B$3:$B$5001,D$219,BD!$A$3:$A$5001,_xlfn.MAXIFS(BD!$A$3:$A$5001,BD!$B$3:$B$5001,D$219,BD!$A$3:$A$5001,"&gt;="&amp;$C$7,BD!$A$3:$A$5001,"&lt;="&amp;$B235,BD!$N$3:$N$5001,"&lt;&gt;"))))</f>
        <v/>
      </c>
      <c r="E235" s="42" t="str">
        <f>IF(OR($B235="",$A235&gt;$B$9),"",IF(COUNTIFS(BD!$B$3:$B$5001,E$219,BD!$A$3:$A$5001,"&gt;="&amp;$C$7,BD!$A$3:$A$5001,"&lt;="&amp;$B235,BD!$N$3:$N$5001,"&lt;&gt;")=0,"",SUMIFS(BD!$N$3:$N$5001,BD!$B$3:$B$5001,E$219,BD!$A$3:$A$5001,_xlfn.MAXIFS(BD!$A$3:$A$5001,BD!$B$3:$B$5001,E$219,BD!$A$3:$A$5001,"&gt;="&amp;$C$7,BD!$A$3:$A$5001,"&lt;="&amp;$B235,BD!$N$3:$N$5001,"&lt;&gt;"))))</f>
        <v/>
      </c>
      <c r="F235" s="42" t="str">
        <f>IF(OR($B235="",$A235&gt;$B$9),"",IF(COUNTIFS(BD!$B$3:$B$5001,F$219,BD!$A$3:$A$5001,"&gt;="&amp;$C$7,BD!$A$3:$A$5001,"&lt;="&amp;$B235,BD!$N$3:$N$5001,"&lt;&gt;")=0,"",SUMIFS(BD!$N$3:$N$5001,BD!$B$3:$B$5001,F$219,BD!$A$3:$A$5001,_xlfn.MAXIFS(BD!$A$3:$A$5001,BD!$B$3:$B$5001,F$219,BD!$A$3:$A$5001,"&gt;="&amp;$C$7,BD!$A$3:$A$5001,"&lt;="&amp;$B235,BD!$N$3:$N$5001,"&lt;&gt;"))))</f>
        <v/>
      </c>
      <c r="G235" s="42" t="str">
        <f>IF(OR($B235="",$A235&gt;$B$9),"",IF(COUNTIFS(BD!$B$3:$B$5001,G$219,BD!$A$3:$A$5001,"&gt;="&amp;$C$7,BD!$A$3:$A$5001,"&lt;="&amp;$B235,BD!$N$3:$N$5001,"&lt;&gt;")=0,"",SUMIFS(BD!$N$3:$N$5001,BD!$B$3:$B$5001,G$219,BD!$A$3:$A$5001,_xlfn.MAXIFS(BD!$A$3:$A$5001,BD!$B$3:$B$5001,G$219,BD!$A$3:$A$5001,"&gt;="&amp;$C$7,BD!$A$3:$A$5001,"&lt;="&amp;$B235,BD!$N$3:$N$5001,"&lt;&gt;"))))</f>
        <v/>
      </c>
    </row>
    <row r="236">
      <c r="A236" s="40">
        <v>17</v>
      </c>
      <c r="B236" s="41">
        <f>$B$28</f>
        <v>46312</v>
      </c>
      <c r="C236" s="42" t="str">
        <f>IF(OR($B236="",$A236&gt;$B$9),"",IF(COUNTIFS(BD!$B$3:$B$5001,C$219,BD!$A$3:$A$5001,"&gt;="&amp;$C$7,BD!$A$3:$A$5001,"&lt;="&amp;$B236,BD!$N$3:$N$5001,"&lt;&gt;")=0,"",SUMIFS(BD!$N$3:$N$5001,BD!$B$3:$B$5001,C$219,BD!$A$3:$A$5001,_xlfn.MAXIFS(BD!$A$3:$A$5001,BD!$B$3:$B$5001,C$219,BD!$A$3:$A$5001,"&gt;="&amp;$C$7,BD!$A$3:$A$5001,"&lt;="&amp;$B236,BD!$N$3:$N$5001,"&lt;&gt;"))))</f>
        <v/>
      </c>
      <c r="D236" s="42" t="str">
        <f>IF(OR($B236="",$A236&gt;$B$9),"",IF(COUNTIFS(BD!$B$3:$B$5001,D$219,BD!$A$3:$A$5001,"&gt;="&amp;$C$7,BD!$A$3:$A$5001,"&lt;="&amp;$B236,BD!$N$3:$N$5001,"&lt;&gt;")=0,"",SUMIFS(BD!$N$3:$N$5001,BD!$B$3:$B$5001,D$219,BD!$A$3:$A$5001,_xlfn.MAXIFS(BD!$A$3:$A$5001,BD!$B$3:$B$5001,D$219,BD!$A$3:$A$5001,"&gt;="&amp;$C$7,BD!$A$3:$A$5001,"&lt;="&amp;$B236,BD!$N$3:$N$5001,"&lt;&gt;"))))</f>
        <v/>
      </c>
      <c r="E236" s="42" t="str">
        <f>IF(OR($B236="",$A236&gt;$B$9),"",IF(COUNTIFS(BD!$B$3:$B$5001,E$219,BD!$A$3:$A$5001,"&gt;="&amp;$C$7,BD!$A$3:$A$5001,"&lt;="&amp;$B236,BD!$N$3:$N$5001,"&lt;&gt;")=0,"",SUMIFS(BD!$N$3:$N$5001,BD!$B$3:$B$5001,E$219,BD!$A$3:$A$5001,_xlfn.MAXIFS(BD!$A$3:$A$5001,BD!$B$3:$B$5001,E$219,BD!$A$3:$A$5001,"&gt;="&amp;$C$7,BD!$A$3:$A$5001,"&lt;="&amp;$B236,BD!$N$3:$N$5001,"&lt;&gt;"))))</f>
        <v/>
      </c>
      <c r="F236" s="42" t="str">
        <f>IF(OR($B236="",$A236&gt;$B$9),"",IF(COUNTIFS(BD!$B$3:$B$5001,F$219,BD!$A$3:$A$5001,"&gt;="&amp;$C$7,BD!$A$3:$A$5001,"&lt;="&amp;$B236,BD!$N$3:$N$5001,"&lt;&gt;")=0,"",SUMIFS(BD!$N$3:$N$5001,BD!$B$3:$B$5001,F$219,BD!$A$3:$A$5001,_xlfn.MAXIFS(BD!$A$3:$A$5001,BD!$B$3:$B$5001,F$219,BD!$A$3:$A$5001,"&gt;="&amp;$C$7,BD!$A$3:$A$5001,"&lt;="&amp;$B236,BD!$N$3:$N$5001,"&lt;&gt;"))))</f>
        <v/>
      </c>
      <c r="G236" s="42" t="str">
        <f>IF(OR($B236="",$A236&gt;$B$9),"",IF(COUNTIFS(BD!$B$3:$B$5001,G$219,BD!$A$3:$A$5001,"&gt;="&amp;$C$7,BD!$A$3:$A$5001,"&lt;="&amp;$B236,BD!$N$3:$N$5001,"&lt;&gt;")=0,"",SUMIFS(BD!$N$3:$N$5001,BD!$B$3:$B$5001,G$219,BD!$A$3:$A$5001,_xlfn.MAXIFS(BD!$A$3:$A$5001,BD!$B$3:$B$5001,G$219,BD!$A$3:$A$5001,"&gt;="&amp;$C$7,BD!$A$3:$A$5001,"&lt;="&amp;$B236,BD!$N$3:$N$5001,"&lt;&gt;"))))</f>
        <v/>
      </c>
    </row>
    <row r="237">
      <c r="A237" s="40">
        <v>18</v>
      </c>
      <c r="B237" s="41">
        <f>$B$29</f>
        <v>46313</v>
      </c>
      <c r="C237" s="42" t="str">
        <f>IF(OR($B237="",$A237&gt;$B$9),"",IF(COUNTIFS(BD!$B$3:$B$5001,C$219,BD!$A$3:$A$5001,"&gt;="&amp;$C$7,BD!$A$3:$A$5001,"&lt;="&amp;$B237,BD!$N$3:$N$5001,"&lt;&gt;")=0,"",SUMIFS(BD!$N$3:$N$5001,BD!$B$3:$B$5001,C$219,BD!$A$3:$A$5001,_xlfn.MAXIFS(BD!$A$3:$A$5001,BD!$B$3:$B$5001,C$219,BD!$A$3:$A$5001,"&gt;="&amp;$C$7,BD!$A$3:$A$5001,"&lt;="&amp;$B237,BD!$N$3:$N$5001,"&lt;&gt;"))))</f>
        <v/>
      </c>
      <c r="D237" s="42" t="str">
        <f>IF(OR($B237="",$A237&gt;$B$9),"",IF(COUNTIFS(BD!$B$3:$B$5001,D$219,BD!$A$3:$A$5001,"&gt;="&amp;$C$7,BD!$A$3:$A$5001,"&lt;="&amp;$B237,BD!$N$3:$N$5001,"&lt;&gt;")=0,"",SUMIFS(BD!$N$3:$N$5001,BD!$B$3:$B$5001,D$219,BD!$A$3:$A$5001,_xlfn.MAXIFS(BD!$A$3:$A$5001,BD!$B$3:$B$5001,D$219,BD!$A$3:$A$5001,"&gt;="&amp;$C$7,BD!$A$3:$A$5001,"&lt;="&amp;$B237,BD!$N$3:$N$5001,"&lt;&gt;"))))</f>
        <v/>
      </c>
      <c r="E237" s="42" t="str">
        <f>IF(OR($B237="",$A237&gt;$B$9),"",IF(COUNTIFS(BD!$B$3:$B$5001,E$219,BD!$A$3:$A$5001,"&gt;="&amp;$C$7,BD!$A$3:$A$5001,"&lt;="&amp;$B237,BD!$N$3:$N$5001,"&lt;&gt;")=0,"",SUMIFS(BD!$N$3:$N$5001,BD!$B$3:$B$5001,E$219,BD!$A$3:$A$5001,_xlfn.MAXIFS(BD!$A$3:$A$5001,BD!$B$3:$B$5001,E$219,BD!$A$3:$A$5001,"&gt;="&amp;$C$7,BD!$A$3:$A$5001,"&lt;="&amp;$B237,BD!$N$3:$N$5001,"&lt;&gt;"))))</f>
        <v/>
      </c>
      <c r="F237" s="42" t="str">
        <f>IF(OR($B237="",$A237&gt;$B$9),"",IF(COUNTIFS(BD!$B$3:$B$5001,F$219,BD!$A$3:$A$5001,"&gt;="&amp;$C$7,BD!$A$3:$A$5001,"&lt;="&amp;$B237,BD!$N$3:$N$5001,"&lt;&gt;")=0,"",SUMIFS(BD!$N$3:$N$5001,BD!$B$3:$B$5001,F$219,BD!$A$3:$A$5001,_xlfn.MAXIFS(BD!$A$3:$A$5001,BD!$B$3:$B$5001,F$219,BD!$A$3:$A$5001,"&gt;="&amp;$C$7,BD!$A$3:$A$5001,"&lt;="&amp;$B237,BD!$N$3:$N$5001,"&lt;&gt;"))))</f>
        <v/>
      </c>
      <c r="G237" s="42" t="str">
        <f>IF(OR($B237="",$A237&gt;$B$9),"",IF(COUNTIFS(BD!$B$3:$B$5001,G$219,BD!$A$3:$A$5001,"&gt;="&amp;$C$7,BD!$A$3:$A$5001,"&lt;="&amp;$B237,BD!$N$3:$N$5001,"&lt;&gt;")=0,"",SUMIFS(BD!$N$3:$N$5001,BD!$B$3:$B$5001,G$219,BD!$A$3:$A$5001,_xlfn.MAXIFS(BD!$A$3:$A$5001,BD!$B$3:$B$5001,G$219,BD!$A$3:$A$5001,"&gt;="&amp;$C$7,BD!$A$3:$A$5001,"&lt;="&amp;$B237,BD!$N$3:$N$5001,"&lt;&gt;"))))</f>
        <v/>
      </c>
    </row>
    <row r="238">
      <c r="A238" s="40">
        <v>19</v>
      </c>
      <c r="B238" s="41">
        <f>$B$30</f>
        <v>46314</v>
      </c>
      <c r="C238" s="42" t="str">
        <f>IF(OR($B238="",$A238&gt;$B$9),"",IF(COUNTIFS(BD!$B$3:$B$5001,C$219,BD!$A$3:$A$5001,"&gt;="&amp;$C$7,BD!$A$3:$A$5001,"&lt;="&amp;$B238,BD!$N$3:$N$5001,"&lt;&gt;")=0,"",SUMIFS(BD!$N$3:$N$5001,BD!$B$3:$B$5001,C$219,BD!$A$3:$A$5001,_xlfn.MAXIFS(BD!$A$3:$A$5001,BD!$B$3:$B$5001,C$219,BD!$A$3:$A$5001,"&gt;="&amp;$C$7,BD!$A$3:$A$5001,"&lt;="&amp;$B238,BD!$N$3:$N$5001,"&lt;&gt;"))))</f>
        <v/>
      </c>
      <c r="D238" s="42" t="str">
        <f>IF(OR($B238="",$A238&gt;$B$9),"",IF(COUNTIFS(BD!$B$3:$B$5001,D$219,BD!$A$3:$A$5001,"&gt;="&amp;$C$7,BD!$A$3:$A$5001,"&lt;="&amp;$B238,BD!$N$3:$N$5001,"&lt;&gt;")=0,"",SUMIFS(BD!$N$3:$N$5001,BD!$B$3:$B$5001,D$219,BD!$A$3:$A$5001,_xlfn.MAXIFS(BD!$A$3:$A$5001,BD!$B$3:$B$5001,D$219,BD!$A$3:$A$5001,"&gt;="&amp;$C$7,BD!$A$3:$A$5001,"&lt;="&amp;$B238,BD!$N$3:$N$5001,"&lt;&gt;"))))</f>
        <v/>
      </c>
      <c r="E238" s="42" t="str">
        <f>IF(OR($B238="",$A238&gt;$B$9),"",IF(COUNTIFS(BD!$B$3:$B$5001,E$219,BD!$A$3:$A$5001,"&gt;="&amp;$C$7,BD!$A$3:$A$5001,"&lt;="&amp;$B238,BD!$N$3:$N$5001,"&lt;&gt;")=0,"",SUMIFS(BD!$N$3:$N$5001,BD!$B$3:$B$5001,E$219,BD!$A$3:$A$5001,_xlfn.MAXIFS(BD!$A$3:$A$5001,BD!$B$3:$B$5001,E$219,BD!$A$3:$A$5001,"&gt;="&amp;$C$7,BD!$A$3:$A$5001,"&lt;="&amp;$B238,BD!$N$3:$N$5001,"&lt;&gt;"))))</f>
        <v/>
      </c>
      <c r="F238" s="42" t="str">
        <f>IF(OR($B238="",$A238&gt;$B$9),"",IF(COUNTIFS(BD!$B$3:$B$5001,F$219,BD!$A$3:$A$5001,"&gt;="&amp;$C$7,BD!$A$3:$A$5001,"&lt;="&amp;$B238,BD!$N$3:$N$5001,"&lt;&gt;")=0,"",SUMIFS(BD!$N$3:$N$5001,BD!$B$3:$B$5001,F$219,BD!$A$3:$A$5001,_xlfn.MAXIFS(BD!$A$3:$A$5001,BD!$B$3:$B$5001,F$219,BD!$A$3:$A$5001,"&gt;="&amp;$C$7,BD!$A$3:$A$5001,"&lt;="&amp;$B238,BD!$N$3:$N$5001,"&lt;&gt;"))))</f>
        <v/>
      </c>
      <c r="G238" s="42" t="str">
        <f>IF(OR($B238="",$A238&gt;$B$9),"",IF(COUNTIFS(BD!$B$3:$B$5001,G$219,BD!$A$3:$A$5001,"&gt;="&amp;$C$7,BD!$A$3:$A$5001,"&lt;="&amp;$B238,BD!$N$3:$N$5001,"&lt;&gt;")=0,"",SUMIFS(BD!$N$3:$N$5001,BD!$B$3:$B$5001,G$219,BD!$A$3:$A$5001,_xlfn.MAXIFS(BD!$A$3:$A$5001,BD!$B$3:$B$5001,G$219,BD!$A$3:$A$5001,"&gt;="&amp;$C$7,BD!$A$3:$A$5001,"&lt;="&amp;$B238,BD!$N$3:$N$5001,"&lt;&gt;"))))</f>
        <v/>
      </c>
    </row>
    <row r="239">
      <c r="A239" s="40">
        <v>20</v>
      </c>
      <c r="B239" s="41">
        <f>$B$31</f>
        <v>46315</v>
      </c>
      <c r="C239" s="42" t="str">
        <f>IF(OR($B239="",$A239&gt;$B$9),"",IF(COUNTIFS(BD!$B$3:$B$5001,C$219,BD!$A$3:$A$5001,"&gt;="&amp;$C$7,BD!$A$3:$A$5001,"&lt;="&amp;$B239,BD!$N$3:$N$5001,"&lt;&gt;")=0,"",SUMIFS(BD!$N$3:$N$5001,BD!$B$3:$B$5001,C$219,BD!$A$3:$A$5001,_xlfn.MAXIFS(BD!$A$3:$A$5001,BD!$B$3:$B$5001,C$219,BD!$A$3:$A$5001,"&gt;="&amp;$C$7,BD!$A$3:$A$5001,"&lt;="&amp;$B239,BD!$N$3:$N$5001,"&lt;&gt;"))))</f>
        <v/>
      </c>
      <c r="D239" s="42" t="str">
        <f>IF(OR($B239="",$A239&gt;$B$9),"",IF(COUNTIFS(BD!$B$3:$B$5001,D$219,BD!$A$3:$A$5001,"&gt;="&amp;$C$7,BD!$A$3:$A$5001,"&lt;="&amp;$B239,BD!$N$3:$N$5001,"&lt;&gt;")=0,"",SUMIFS(BD!$N$3:$N$5001,BD!$B$3:$B$5001,D$219,BD!$A$3:$A$5001,_xlfn.MAXIFS(BD!$A$3:$A$5001,BD!$B$3:$B$5001,D$219,BD!$A$3:$A$5001,"&gt;="&amp;$C$7,BD!$A$3:$A$5001,"&lt;="&amp;$B239,BD!$N$3:$N$5001,"&lt;&gt;"))))</f>
        <v/>
      </c>
      <c r="E239" s="42" t="str">
        <f>IF(OR($B239="",$A239&gt;$B$9),"",IF(COUNTIFS(BD!$B$3:$B$5001,E$219,BD!$A$3:$A$5001,"&gt;="&amp;$C$7,BD!$A$3:$A$5001,"&lt;="&amp;$B239,BD!$N$3:$N$5001,"&lt;&gt;")=0,"",SUMIFS(BD!$N$3:$N$5001,BD!$B$3:$B$5001,E$219,BD!$A$3:$A$5001,_xlfn.MAXIFS(BD!$A$3:$A$5001,BD!$B$3:$B$5001,E$219,BD!$A$3:$A$5001,"&gt;="&amp;$C$7,BD!$A$3:$A$5001,"&lt;="&amp;$B239,BD!$N$3:$N$5001,"&lt;&gt;"))))</f>
        <v/>
      </c>
      <c r="F239" s="42" t="str">
        <f>IF(OR($B239="",$A239&gt;$B$9),"",IF(COUNTIFS(BD!$B$3:$B$5001,F$219,BD!$A$3:$A$5001,"&gt;="&amp;$C$7,BD!$A$3:$A$5001,"&lt;="&amp;$B239,BD!$N$3:$N$5001,"&lt;&gt;")=0,"",SUMIFS(BD!$N$3:$N$5001,BD!$B$3:$B$5001,F$219,BD!$A$3:$A$5001,_xlfn.MAXIFS(BD!$A$3:$A$5001,BD!$B$3:$B$5001,F$219,BD!$A$3:$A$5001,"&gt;="&amp;$C$7,BD!$A$3:$A$5001,"&lt;="&amp;$B239,BD!$N$3:$N$5001,"&lt;&gt;"))))</f>
        <v/>
      </c>
      <c r="G239" s="42" t="str">
        <f>IF(OR($B239="",$A239&gt;$B$9),"",IF(COUNTIFS(BD!$B$3:$B$5001,G$219,BD!$A$3:$A$5001,"&gt;="&amp;$C$7,BD!$A$3:$A$5001,"&lt;="&amp;$B239,BD!$N$3:$N$5001,"&lt;&gt;")=0,"",SUMIFS(BD!$N$3:$N$5001,BD!$B$3:$B$5001,G$219,BD!$A$3:$A$5001,_xlfn.MAXIFS(BD!$A$3:$A$5001,BD!$B$3:$B$5001,G$219,BD!$A$3:$A$5001,"&gt;="&amp;$C$7,BD!$A$3:$A$5001,"&lt;="&amp;$B239,BD!$N$3:$N$5001,"&lt;&gt;"))))</f>
        <v/>
      </c>
    </row>
    <row r="240">
      <c r="A240" s="40">
        <v>21</v>
      </c>
      <c r="B240" s="41">
        <f>$B$32</f>
        <v>46316</v>
      </c>
      <c r="C240" s="42" t="str">
        <f>IF(OR($B240="",$A240&gt;$B$9),"",IF(COUNTIFS(BD!$B$3:$B$5001,C$219,BD!$A$3:$A$5001,"&gt;="&amp;$C$7,BD!$A$3:$A$5001,"&lt;="&amp;$B240,BD!$N$3:$N$5001,"&lt;&gt;")=0,"",SUMIFS(BD!$N$3:$N$5001,BD!$B$3:$B$5001,C$219,BD!$A$3:$A$5001,_xlfn.MAXIFS(BD!$A$3:$A$5001,BD!$B$3:$B$5001,C$219,BD!$A$3:$A$5001,"&gt;="&amp;$C$7,BD!$A$3:$A$5001,"&lt;="&amp;$B240,BD!$N$3:$N$5001,"&lt;&gt;"))))</f>
        <v/>
      </c>
      <c r="D240" s="42" t="str">
        <f>IF(OR($B240="",$A240&gt;$B$9),"",IF(COUNTIFS(BD!$B$3:$B$5001,D$219,BD!$A$3:$A$5001,"&gt;="&amp;$C$7,BD!$A$3:$A$5001,"&lt;="&amp;$B240,BD!$N$3:$N$5001,"&lt;&gt;")=0,"",SUMIFS(BD!$N$3:$N$5001,BD!$B$3:$B$5001,D$219,BD!$A$3:$A$5001,_xlfn.MAXIFS(BD!$A$3:$A$5001,BD!$B$3:$B$5001,D$219,BD!$A$3:$A$5001,"&gt;="&amp;$C$7,BD!$A$3:$A$5001,"&lt;="&amp;$B240,BD!$N$3:$N$5001,"&lt;&gt;"))))</f>
        <v/>
      </c>
      <c r="E240" s="42" t="str">
        <f>IF(OR($B240="",$A240&gt;$B$9),"",IF(COUNTIFS(BD!$B$3:$B$5001,E$219,BD!$A$3:$A$5001,"&gt;="&amp;$C$7,BD!$A$3:$A$5001,"&lt;="&amp;$B240,BD!$N$3:$N$5001,"&lt;&gt;")=0,"",SUMIFS(BD!$N$3:$N$5001,BD!$B$3:$B$5001,E$219,BD!$A$3:$A$5001,_xlfn.MAXIFS(BD!$A$3:$A$5001,BD!$B$3:$B$5001,E$219,BD!$A$3:$A$5001,"&gt;="&amp;$C$7,BD!$A$3:$A$5001,"&lt;="&amp;$B240,BD!$N$3:$N$5001,"&lt;&gt;"))))</f>
        <v/>
      </c>
      <c r="F240" s="42" t="str">
        <f>IF(OR($B240="",$A240&gt;$B$9),"",IF(COUNTIFS(BD!$B$3:$B$5001,F$219,BD!$A$3:$A$5001,"&gt;="&amp;$C$7,BD!$A$3:$A$5001,"&lt;="&amp;$B240,BD!$N$3:$N$5001,"&lt;&gt;")=0,"",SUMIFS(BD!$N$3:$N$5001,BD!$B$3:$B$5001,F$219,BD!$A$3:$A$5001,_xlfn.MAXIFS(BD!$A$3:$A$5001,BD!$B$3:$B$5001,F$219,BD!$A$3:$A$5001,"&gt;="&amp;$C$7,BD!$A$3:$A$5001,"&lt;="&amp;$B240,BD!$N$3:$N$5001,"&lt;&gt;"))))</f>
        <v/>
      </c>
      <c r="G240" s="42" t="str">
        <f>IF(OR($B240="",$A240&gt;$B$9),"",IF(COUNTIFS(BD!$B$3:$B$5001,G$219,BD!$A$3:$A$5001,"&gt;="&amp;$C$7,BD!$A$3:$A$5001,"&lt;="&amp;$B240,BD!$N$3:$N$5001,"&lt;&gt;")=0,"",SUMIFS(BD!$N$3:$N$5001,BD!$B$3:$B$5001,G$219,BD!$A$3:$A$5001,_xlfn.MAXIFS(BD!$A$3:$A$5001,BD!$B$3:$B$5001,G$219,BD!$A$3:$A$5001,"&gt;="&amp;$C$7,BD!$A$3:$A$5001,"&lt;="&amp;$B240,BD!$N$3:$N$5001,"&lt;&gt;"))))</f>
        <v/>
      </c>
    </row>
    <row r="241">
      <c r="A241" s="40">
        <v>22</v>
      </c>
      <c r="B241" s="41">
        <f>$B$33</f>
        <v>46317</v>
      </c>
      <c r="C241" s="42" t="str">
        <f>IF(OR($B241="",$A241&gt;$B$9),"",IF(COUNTIFS(BD!$B$3:$B$5001,C$219,BD!$A$3:$A$5001,"&gt;="&amp;$C$7,BD!$A$3:$A$5001,"&lt;="&amp;$B241,BD!$N$3:$N$5001,"&lt;&gt;")=0,"",SUMIFS(BD!$N$3:$N$5001,BD!$B$3:$B$5001,C$219,BD!$A$3:$A$5001,_xlfn.MAXIFS(BD!$A$3:$A$5001,BD!$B$3:$B$5001,C$219,BD!$A$3:$A$5001,"&gt;="&amp;$C$7,BD!$A$3:$A$5001,"&lt;="&amp;$B241,BD!$N$3:$N$5001,"&lt;&gt;"))))</f>
        <v/>
      </c>
      <c r="D241" s="42" t="str">
        <f>IF(OR($B241="",$A241&gt;$B$9),"",IF(COUNTIFS(BD!$B$3:$B$5001,D$219,BD!$A$3:$A$5001,"&gt;="&amp;$C$7,BD!$A$3:$A$5001,"&lt;="&amp;$B241,BD!$N$3:$N$5001,"&lt;&gt;")=0,"",SUMIFS(BD!$N$3:$N$5001,BD!$B$3:$B$5001,D$219,BD!$A$3:$A$5001,_xlfn.MAXIFS(BD!$A$3:$A$5001,BD!$B$3:$B$5001,D$219,BD!$A$3:$A$5001,"&gt;="&amp;$C$7,BD!$A$3:$A$5001,"&lt;="&amp;$B241,BD!$N$3:$N$5001,"&lt;&gt;"))))</f>
        <v/>
      </c>
      <c r="E241" s="42" t="str">
        <f>IF(OR($B241="",$A241&gt;$B$9),"",IF(COUNTIFS(BD!$B$3:$B$5001,E$219,BD!$A$3:$A$5001,"&gt;="&amp;$C$7,BD!$A$3:$A$5001,"&lt;="&amp;$B241,BD!$N$3:$N$5001,"&lt;&gt;")=0,"",SUMIFS(BD!$N$3:$N$5001,BD!$B$3:$B$5001,E$219,BD!$A$3:$A$5001,_xlfn.MAXIFS(BD!$A$3:$A$5001,BD!$B$3:$B$5001,E$219,BD!$A$3:$A$5001,"&gt;="&amp;$C$7,BD!$A$3:$A$5001,"&lt;="&amp;$B241,BD!$N$3:$N$5001,"&lt;&gt;"))))</f>
        <v/>
      </c>
      <c r="F241" s="42" t="str">
        <f>IF(OR($B241="",$A241&gt;$B$9),"",IF(COUNTIFS(BD!$B$3:$B$5001,F$219,BD!$A$3:$A$5001,"&gt;="&amp;$C$7,BD!$A$3:$A$5001,"&lt;="&amp;$B241,BD!$N$3:$N$5001,"&lt;&gt;")=0,"",SUMIFS(BD!$N$3:$N$5001,BD!$B$3:$B$5001,F$219,BD!$A$3:$A$5001,_xlfn.MAXIFS(BD!$A$3:$A$5001,BD!$B$3:$B$5001,F$219,BD!$A$3:$A$5001,"&gt;="&amp;$C$7,BD!$A$3:$A$5001,"&lt;="&amp;$B241,BD!$N$3:$N$5001,"&lt;&gt;"))))</f>
        <v/>
      </c>
      <c r="G241" s="42" t="str">
        <f>IF(OR($B241="",$A241&gt;$B$9),"",IF(COUNTIFS(BD!$B$3:$B$5001,G$219,BD!$A$3:$A$5001,"&gt;="&amp;$C$7,BD!$A$3:$A$5001,"&lt;="&amp;$B241,BD!$N$3:$N$5001,"&lt;&gt;")=0,"",SUMIFS(BD!$N$3:$N$5001,BD!$B$3:$B$5001,G$219,BD!$A$3:$A$5001,_xlfn.MAXIFS(BD!$A$3:$A$5001,BD!$B$3:$B$5001,G$219,BD!$A$3:$A$5001,"&gt;="&amp;$C$7,BD!$A$3:$A$5001,"&lt;="&amp;$B241,BD!$N$3:$N$5001,"&lt;&gt;"))))</f>
        <v/>
      </c>
    </row>
    <row r="242">
      <c r="A242" s="40">
        <v>23</v>
      </c>
      <c r="B242" s="41">
        <f>$B$34</f>
        <v>46318</v>
      </c>
      <c r="C242" s="42" t="str">
        <f>IF(OR($B242="",$A242&gt;$B$9),"",IF(COUNTIFS(BD!$B$3:$B$5001,C$219,BD!$A$3:$A$5001,"&gt;="&amp;$C$7,BD!$A$3:$A$5001,"&lt;="&amp;$B242,BD!$N$3:$N$5001,"&lt;&gt;")=0,"",SUMIFS(BD!$N$3:$N$5001,BD!$B$3:$B$5001,C$219,BD!$A$3:$A$5001,_xlfn.MAXIFS(BD!$A$3:$A$5001,BD!$B$3:$B$5001,C$219,BD!$A$3:$A$5001,"&gt;="&amp;$C$7,BD!$A$3:$A$5001,"&lt;="&amp;$B242,BD!$N$3:$N$5001,"&lt;&gt;"))))</f>
        <v/>
      </c>
      <c r="D242" s="42" t="str">
        <f>IF(OR($B242="",$A242&gt;$B$9),"",IF(COUNTIFS(BD!$B$3:$B$5001,D$219,BD!$A$3:$A$5001,"&gt;="&amp;$C$7,BD!$A$3:$A$5001,"&lt;="&amp;$B242,BD!$N$3:$N$5001,"&lt;&gt;")=0,"",SUMIFS(BD!$N$3:$N$5001,BD!$B$3:$B$5001,D$219,BD!$A$3:$A$5001,_xlfn.MAXIFS(BD!$A$3:$A$5001,BD!$B$3:$B$5001,D$219,BD!$A$3:$A$5001,"&gt;="&amp;$C$7,BD!$A$3:$A$5001,"&lt;="&amp;$B242,BD!$N$3:$N$5001,"&lt;&gt;"))))</f>
        <v/>
      </c>
      <c r="E242" s="42" t="str">
        <f>IF(OR($B242="",$A242&gt;$B$9),"",IF(COUNTIFS(BD!$B$3:$B$5001,E$219,BD!$A$3:$A$5001,"&gt;="&amp;$C$7,BD!$A$3:$A$5001,"&lt;="&amp;$B242,BD!$N$3:$N$5001,"&lt;&gt;")=0,"",SUMIFS(BD!$N$3:$N$5001,BD!$B$3:$B$5001,E$219,BD!$A$3:$A$5001,_xlfn.MAXIFS(BD!$A$3:$A$5001,BD!$B$3:$B$5001,E$219,BD!$A$3:$A$5001,"&gt;="&amp;$C$7,BD!$A$3:$A$5001,"&lt;="&amp;$B242,BD!$N$3:$N$5001,"&lt;&gt;"))))</f>
        <v/>
      </c>
      <c r="F242" s="42" t="str">
        <f>IF(OR($B242="",$A242&gt;$B$9),"",IF(COUNTIFS(BD!$B$3:$B$5001,F$219,BD!$A$3:$A$5001,"&gt;="&amp;$C$7,BD!$A$3:$A$5001,"&lt;="&amp;$B242,BD!$N$3:$N$5001,"&lt;&gt;")=0,"",SUMIFS(BD!$N$3:$N$5001,BD!$B$3:$B$5001,F$219,BD!$A$3:$A$5001,_xlfn.MAXIFS(BD!$A$3:$A$5001,BD!$B$3:$B$5001,F$219,BD!$A$3:$A$5001,"&gt;="&amp;$C$7,BD!$A$3:$A$5001,"&lt;="&amp;$B242,BD!$N$3:$N$5001,"&lt;&gt;"))))</f>
        <v/>
      </c>
      <c r="G242" s="42" t="str">
        <f>IF(OR($B242="",$A242&gt;$B$9),"",IF(COUNTIFS(BD!$B$3:$B$5001,G$219,BD!$A$3:$A$5001,"&gt;="&amp;$C$7,BD!$A$3:$A$5001,"&lt;="&amp;$B242,BD!$N$3:$N$5001,"&lt;&gt;")=0,"",SUMIFS(BD!$N$3:$N$5001,BD!$B$3:$B$5001,G$219,BD!$A$3:$A$5001,_xlfn.MAXIFS(BD!$A$3:$A$5001,BD!$B$3:$B$5001,G$219,BD!$A$3:$A$5001,"&gt;="&amp;$C$7,BD!$A$3:$A$5001,"&lt;="&amp;$B242,BD!$N$3:$N$5001,"&lt;&gt;"))))</f>
        <v/>
      </c>
    </row>
    <row r="243">
      <c r="A243" s="40">
        <v>24</v>
      </c>
      <c r="B243" s="41">
        <f>$B$35</f>
        <v>46319</v>
      </c>
      <c r="C243" s="42" t="str">
        <f>IF(OR($B243="",$A243&gt;$B$9),"",IF(COUNTIFS(BD!$B$3:$B$5001,C$219,BD!$A$3:$A$5001,"&gt;="&amp;$C$7,BD!$A$3:$A$5001,"&lt;="&amp;$B243,BD!$N$3:$N$5001,"&lt;&gt;")=0,"",SUMIFS(BD!$N$3:$N$5001,BD!$B$3:$B$5001,C$219,BD!$A$3:$A$5001,_xlfn.MAXIFS(BD!$A$3:$A$5001,BD!$B$3:$B$5001,C$219,BD!$A$3:$A$5001,"&gt;="&amp;$C$7,BD!$A$3:$A$5001,"&lt;="&amp;$B243,BD!$N$3:$N$5001,"&lt;&gt;"))))</f>
        <v/>
      </c>
      <c r="D243" s="42" t="str">
        <f>IF(OR($B243="",$A243&gt;$B$9),"",IF(COUNTIFS(BD!$B$3:$B$5001,D$219,BD!$A$3:$A$5001,"&gt;="&amp;$C$7,BD!$A$3:$A$5001,"&lt;="&amp;$B243,BD!$N$3:$N$5001,"&lt;&gt;")=0,"",SUMIFS(BD!$N$3:$N$5001,BD!$B$3:$B$5001,D$219,BD!$A$3:$A$5001,_xlfn.MAXIFS(BD!$A$3:$A$5001,BD!$B$3:$B$5001,D$219,BD!$A$3:$A$5001,"&gt;="&amp;$C$7,BD!$A$3:$A$5001,"&lt;="&amp;$B243,BD!$N$3:$N$5001,"&lt;&gt;"))))</f>
        <v/>
      </c>
      <c r="E243" s="42" t="str">
        <f>IF(OR($B243="",$A243&gt;$B$9),"",IF(COUNTIFS(BD!$B$3:$B$5001,E$219,BD!$A$3:$A$5001,"&gt;="&amp;$C$7,BD!$A$3:$A$5001,"&lt;="&amp;$B243,BD!$N$3:$N$5001,"&lt;&gt;")=0,"",SUMIFS(BD!$N$3:$N$5001,BD!$B$3:$B$5001,E$219,BD!$A$3:$A$5001,_xlfn.MAXIFS(BD!$A$3:$A$5001,BD!$B$3:$B$5001,E$219,BD!$A$3:$A$5001,"&gt;="&amp;$C$7,BD!$A$3:$A$5001,"&lt;="&amp;$B243,BD!$N$3:$N$5001,"&lt;&gt;"))))</f>
        <v/>
      </c>
      <c r="F243" s="42" t="str">
        <f>IF(OR($B243="",$A243&gt;$B$9),"",IF(COUNTIFS(BD!$B$3:$B$5001,F$219,BD!$A$3:$A$5001,"&gt;="&amp;$C$7,BD!$A$3:$A$5001,"&lt;="&amp;$B243,BD!$N$3:$N$5001,"&lt;&gt;")=0,"",SUMIFS(BD!$N$3:$N$5001,BD!$B$3:$B$5001,F$219,BD!$A$3:$A$5001,_xlfn.MAXIFS(BD!$A$3:$A$5001,BD!$B$3:$B$5001,F$219,BD!$A$3:$A$5001,"&gt;="&amp;$C$7,BD!$A$3:$A$5001,"&lt;="&amp;$B243,BD!$N$3:$N$5001,"&lt;&gt;"))))</f>
        <v/>
      </c>
      <c r="G243" s="42" t="str">
        <f>IF(OR($B243="",$A243&gt;$B$9),"",IF(COUNTIFS(BD!$B$3:$B$5001,G$219,BD!$A$3:$A$5001,"&gt;="&amp;$C$7,BD!$A$3:$A$5001,"&lt;="&amp;$B243,BD!$N$3:$N$5001,"&lt;&gt;")=0,"",SUMIFS(BD!$N$3:$N$5001,BD!$B$3:$B$5001,G$219,BD!$A$3:$A$5001,_xlfn.MAXIFS(BD!$A$3:$A$5001,BD!$B$3:$B$5001,G$219,BD!$A$3:$A$5001,"&gt;="&amp;$C$7,BD!$A$3:$A$5001,"&lt;="&amp;$B243,BD!$N$3:$N$5001,"&lt;&gt;"))))</f>
        <v/>
      </c>
    </row>
    <row r="244">
      <c r="A244" s="40">
        <v>25</v>
      </c>
      <c r="B244" s="41">
        <f>$B$36</f>
        <v>46320</v>
      </c>
      <c r="C244" s="42" t="str">
        <f>IF(OR($B244="",$A244&gt;$B$9),"",IF(COUNTIFS(BD!$B$3:$B$5001,C$219,BD!$A$3:$A$5001,"&gt;="&amp;$C$7,BD!$A$3:$A$5001,"&lt;="&amp;$B244,BD!$N$3:$N$5001,"&lt;&gt;")=0,"",SUMIFS(BD!$N$3:$N$5001,BD!$B$3:$B$5001,C$219,BD!$A$3:$A$5001,_xlfn.MAXIFS(BD!$A$3:$A$5001,BD!$B$3:$B$5001,C$219,BD!$A$3:$A$5001,"&gt;="&amp;$C$7,BD!$A$3:$A$5001,"&lt;="&amp;$B244,BD!$N$3:$N$5001,"&lt;&gt;"))))</f>
        <v/>
      </c>
      <c r="D244" s="42" t="str">
        <f>IF(OR($B244="",$A244&gt;$B$9),"",IF(COUNTIFS(BD!$B$3:$B$5001,D$219,BD!$A$3:$A$5001,"&gt;="&amp;$C$7,BD!$A$3:$A$5001,"&lt;="&amp;$B244,BD!$N$3:$N$5001,"&lt;&gt;")=0,"",SUMIFS(BD!$N$3:$N$5001,BD!$B$3:$B$5001,D$219,BD!$A$3:$A$5001,_xlfn.MAXIFS(BD!$A$3:$A$5001,BD!$B$3:$B$5001,D$219,BD!$A$3:$A$5001,"&gt;="&amp;$C$7,BD!$A$3:$A$5001,"&lt;="&amp;$B244,BD!$N$3:$N$5001,"&lt;&gt;"))))</f>
        <v/>
      </c>
      <c r="E244" s="42" t="str">
        <f>IF(OR($B244="",$A244&gt;$B$9),"",IF(COUNTIFS(BD!$B$3:$B$5001,E$219,BD!$A$3:$A$5001,"&gt;="&amp;$C$7,BD!$A$3:$A$5001,"&lt;="&amp;$B244,BD!$N$3:$N$5001,"&lt;&gt;")=0,"",SUMIFS(BD!$N$3:$N$5001,BD!$B$3:$B$5001,E$219,BD!$A$3:$A$5001,_xlfn.MAXIFS(BD!$A$3:$A$5001,BD!$B$3:$B$5001,E$219,BD!$A$3:$A$5001,"&gt;="&amp;$C$7,BD!$A$3:$A$5001,"&lt;="&amp;$B244,BD!$N$3:$N$5001,"&lt;&gt;"))))</f>
        <v/>
      </c>
      <c r="F244" s="42" t="str">
        <f>IF(OR($B244="",$A244&gt;$B$9),"",IF(COUNTIFS(BD!$B$3:$B$5001,F$219,BD!$A$3:$A$5001,"&gt;="&amp;$C$7,BD!$A$3:$A$5001,"&lt;="&amp;$B244,BD!$N$3:$N$5001,"&lt;&gt;")=0,"",SUMIFS(BD!$N$3:$N$5001,BD!$B$3:$B$5001,F$219,BD!$A$3:$A$5001,_xlfn.MAXIFS(BD!$A$3:$A$5001,BD!$B$3:$B$5001,F$219,BD!$A$3:$A$5001,"&gt;="&amp;$C$7,BD!$A$3:$A$5001,"&lt;="&amp;$B244,BD!$N$3:$N$5001,"&lt;&gt;"))))</f>
        <v/>
      </c>
      <c r="G244" s="42" t="str">
        <f>IF(OR($B244="",$A244&gt;$B$9),"",IF(COUNTIFS(BD!$B$3:$B$5001,G$219,BD!$A$3:$A$5001,"&gt;="&amp;$C$7,BD!$A$3:$A$5001,"&lt;="&amp;$B244,BD!$N$3:$N$5001,"&lt;&gt;")=0,"",SUMIFS(BD!$N$3:$N$5001,BD!$B$3:$B$5001,G$219,BD!$A$3:$A$5001,_xlfn.MAXIFS(BD!$A$3:$A$5001,BD!$B$3:$B$5001,G$219,BD!$A$3:$A$5001,"&gt;="&amp;$C$7,BD!$A$3:$A$5001,"&lt;="&amp;$B244,BD!$N$3:$N$5001,"&lt;&gt;"))))</f>
        <v/>
      </c>
    </row>
    <row r="245">
      <c r="A245" s="40">
        <v>26</v>
      </c>
      <c r="B245" s="41">
        <f>$B$37</f>
        <v>46321</v>
      </c>
      <c r="C245" s="42" t="str">
        <f>IF(OR($B245="",$A245&gt;$B$9),"",IF(COUNTIFS(BD!$B$3:$B$5001,C$219,BD!$A$3:$A$5001,"&gt;="&amp;$C$7,BD!$A$3:$A$5001,"&lt;="&amp;$B245,BD!$N$3:$N$5001,"&lt;&gt;")=0,"",SUMIFS(BD!$N$3:$N$5001,BD!$B$3:$B$5001,C$219,BD!$A$3:$A$5001,_xlfn.MAXIFS(BD!$A$3:$A$5001,BD!$B$3:$B$5001,C$219,BD!$A$3:$A$5001,"&gt;="&amp;$C$7,BD!$A$3:$A$5001,"&lt;="&amp;$B245,BD!$N$3:$N$5001,"&lt;&gt;"))))</f>
        <v/>
      </c>
      <c r="D245" s="42" t="str">
        <f>IF(OR($B245="",$A245&gt;$B$9),"",IF(COUNTIFS(BD!$B$3:$B$5001,D$219,BD!$A$3:$A$5001,"&gt;="&amp;$C$7,BD!$A$3:$A$5001,"&lt;="&amp;$B245,BD!$N$3:$N$5001,"&lt;&gt;")=0,"",SUMIFS(BD!$N$3:$N$5001,BD!$B$3:$B$5001,D$219,BD!$A$3:$A$5001,_xlfn.MAXIFS(BD!$A$3:$A$5001,BD!$B$3:$B$5001,D$219,BD!$A$3:$A$5001,"&gt;="&amp;$C$7,BD!$A$3:$A$5001,"&lt;="&amp;$B245,BD!$N$3:$N$5001,"&lt;&gt;"))))</f>
        <v/>
      </c>
      <c r="E245" s="42" t="str">
        <f>IF(OR($B245="",$A245&gt;$B$9),"",IF(COUNTIFS(BD!$B$3:$B$5001,E$219,BD!$A$3:$A$5001,"&gt;="&amp;$C$7,BD!$A$3:$A$5001,"&lt;="&amp;$B245,BD!$N$3:$N$5001,"&lt;&gt;")=0,"",SUMIFS(BD!$N$3:$N$5001,BD!$B$3:$B$5001,E$219,BD!$A$3:$A$5001,_xlfn.MAXIFS(BD!$A$3:$A$5001,BD!$B$3:$B$5001,E$219,BD!$A$3:$A$5001,"&gt;="&amp;$C$7,BD!$A$3:$A$5001,"&lt;="&amp;$B245,BD!$N$3:$N$5001,"&lt;&gt;"))))</f>
        <v/>
      </c>
      <c r="F245" s="42" t="str">
        <f>IF(OR($B245="",$A245&gt;$B$9),"",IF(COUNTIFS(BD!$B$3:$B$5001,F$219,BD!$A$3:$A$5001,"&gt;="&amp;$C$7,BD!$A$3:$A$5001,"&lt;="&amp;$B245,BD!$N$3:$N$5001,"&lt;&gt;")=0,"",SUMIFS(BD!$N$3:$N$5001,BD!$B$3:$B$5001,F$219,BD!$A$3:$A$5001,_xlfn.MAXIFS(BD!$A$3:$A$5001,BD!$B$3:$B$5001,F$219,BD!$A$3:$A$5001,"&gt;="&amp;$C$7,BD!$A$3:$A$5001,"&lt;="&amp;$B245,BD!$N$3:$N$5001,"&lt;&gt;"))))</f>
        <v/>
      </c>
      <c r="G245" s="42" t="str">
        <f>IF(OR($B245="",$A245&gt;$B$9),"",IF(COUNTIFS(BD!$B$3:$B$5001,G$219,BD!$A$3:$A$5001,"&gt;="&amp;$C$7,BD!$A$3:$A$5001,"&lt;="&amp;$B245,BD!$N$3:$N$5001,"&lt;&gt;")=0,"",SUMIFS(BD!$N$3:$N$5001,BD!$B$3:$B$5001,G$219,BD!$A$3:$A$5001,_xlfn.MAXIFS(BD!$A$3:$A$5001,BD!$B$3:$B$5001,G$219,BD!$A$3:$A$5001,"&gt;="&amp;$C$7,BD!$A$3:$A$5001,"&lt;="&amp;$B245,BD!$N$3:$N$5001,"&lt;&gt;"))))</f>
        <v/>
      </c>
    </row>
    <row r="246">
      <c r="A246" s="40">
        <v>27</v>
      </c>
      <c r="B246" s="41">
        <f>$B$38</f>
        <v>46322</v>
      </c>
      <c r="C246" s="42" t="str">
        <f>IF(OR($B246="",$A246&gt;$B$9),"",IF(COUNTIFS(BD!$B$3:$B$5001,C$219,BD!$A$3:$A$5001,"&gt;="&amp;$C$7,BD!$A$3:$A$5001,"&lt;="&amp;$B246,BD!$N$3:$N$5001,"&lt;&gt;")=0,"",SUMIFS(BD!$N$3:$N$5001,BD!$B$3:$B$5001,C$219,BD!$A$3:$A$5001,_xlfn.MAXIFS(BD!$A$3:$A$5001,BD!$B$3:$B$5001,C$219,BD!$A$3:$A$5001,"&gt;="&amp;$C$7,BD!$A$3:$A$5001,"&lt;="&amp;$B246,BD!$N$3:$N$5001,"&lt;&gt;"))))</f>
        <v/>
      </c>
      <c r="D246" s="42" t="str">
        <f>IF(OR($B246="",$A246&gt;$B$9),"",IF(COUNTIFS(BD!$B$3:$B$5001,D$219,BD!$A$3:$A$5001,"&gt;="&amp;$C$7,BD!$A$3:$A$5001,"&lt;="&amp;$B246,BD!$N$3:$N$5001,"&lt;&gt;")=0,"",SUMIFS(BD!$N$3:$N$5001,BD!$B$3:$B$5001,D$219,BD!$A$3:$A$5001,_xlfn.MAXIFS(BD!$A$3:$A$5001,BD!$B$3:$B$5001,D$219,BD!$A$3:$A$5001,"&gt;="&amp;$C$7,BD!$A$3:$A$5001,"&lt;="&amp;$B246,BD!$N$3:$N$5001,"&lt;&gt;"))))</f>
        <v/>
      </c>
      <c r="E246" s="42" t="str">
        <f>IF(OR($B246="",$A246&gt;$B$9),"",IF(COUNTIFS(BD!$B$3:$B$5001,E$219,BD!$A$3:$A$5001,"&gt;="&amp;$C$7,BD!$A$3:$A$5001,"&lt;="&amp;$B246,BD!$N$3:$N$5001,"&lt;&gt;")=0,"",SUMIFS(BD!$N$3:$N$5001,BD!$B$3:$B$5001,E$219,BD!$A$3:$A$5001,_xlfn.MAXIFS(BD!$A$3:$A$5001,BD!$B$3:$B$5001,E$219,BD!$A$3:$A$5001,"&gt;="&amp;$C$7,BD!$A$3:$A$5001,"&lt;="&amp;$B246,BD!$N$3:$N$5001,"&lt;&gt;"))))</f>
        <v/>
      </c>
      <c r="F246" s="42" t="str">
        <f>IF(OR($B246="",$A246&gt;$B$9),"",IF(COUNTIFS(BD!$B$3:$B$5001,F$219,BD!$A$3:$A$5001,"&gt;="&amp;$C$7,BD!$A$3:$A$5001,"&lt;="&amp;$B246,BD!$N$3:$N$5001,"&lt;&gt;")=0,"",SUMIFS(BD!$N$3:$N$5001,BD!$B$3:$B$5001,F$219,BD!$A$3:$A$5001,_xlfn.MAXIFS(BD!$A$3:$A$5001,BD!$B$3:$B$5001,F$219,BD!$A$3:$A$5001,"&gt;="&amp;$C$7,BD!$A$3:$A$5001,"&lt;="&amp;$B246,BD!$N$3:$N$5001,"&lt;&gt;"))))</f>
        <v/>
      </c>
      <c r="G246" s="42" t="str">
        <f>IF(OR($B246="",$A246&gt;$B$9),"",IF(COUNTIFS(BD!$B$3:$B$5001,G$219,BD!$A$3:$A$5001,"&gt;="&amp;$C$7,BD!$A$3:$A$5001,"&lt;="&amp;$B246,BD!$N$3:$N$5001,"&lt;&gt;")=0,"",SUMIFS(BD!$N$3:$N$5001,BD!$B$3:$B$5001,G$219,BD!$A$3:$A$5001,_xlfn.MAXIFS(BD!$A$3:$A$5001,BD!$B$3:$B$5001,G$219,BD!$A$3:$A$5001,"&gt;="&amp;$C$7,BD!$A$3:$A$5001,"&lt;="&amp;$B246,BD!$N$3:$N$5001,"&lt;&gt;"))))</f>
        <v/>
      </c>
    </row>
    <row r="247">
      <c r="A247" s="40">
        <v>28</v>
      </c>
      <c r="B247" s="41">
        <f>$B$39</f>
        <v>46323</v>
      </c>
      <c r="C247" s="42" t="str">
        <f>IF(OR($B247="",$A247&gt;$B$9),"",IF(COUNTIFS(BD!$B$3:$B$5001,C$219,BD!$A$3:$A$5001,"&gt;="&amp;$C$7,BD!$A$3:$A$5001,"&lt;="&amp;$B247,BD!$N$3:$N$5001,"&lt;&gt;")=0,"",SUMIFS(BD!$N$3:$N$5001,BD!$B$3:$B$5001,C$219,BD!$A$3:$A$5001,_xlfn.MAXIFS(BD!$A$3:$A$5001,BD!$B$3:$B$5001,C$219,BD!$A$3:$A$5001,"&gt;="&amp;$C$7,BD!$A$3:$A$5001,"&lt;="&amp;$B247,BD!$N$3:$N$5001,"&lt;&gt;"))))</f>
        <v/>
      </c>
      <c r="D247" s="42" t="str">
        <f>IF(OR($B247="",$A247&gt;$B$9),"",IF(COUNTIFS(BD!$B$3:$B$5001,D$219,BD!$A$3:$A$5001,"&gt;="&amp;$C$7,BD!$A$3:$A$5001,"&lt;="&amp;$B247,BD!$N$3:$N$5001,"&lt;&gt;")=0,"",SUMIFS(BD!$N$3:$N$5001,BD!$B$3:$B$5001,D$219,BD!$A$3:$A$5001,_xlfn.MAXIFS(BD!$A$3:$A$5001,BD!$B$3:$B$5001,D$219,BD!$A$3:$A$5001,"&gt;="&amp;$C$7,BD!$A$3:$A$5001,"&lt;="&amp;$B247,BD!$N$3:$N$5001,"&lt;&gt;"))))</f>
        <v/>
      </c>
      <c r="E247" s="42" t="str">
        <f>IF(OR($B247="",$A247&gt;$B$9),"",IF(COUNTIFS(BD!$B$3:$B$5001,E$219,BD!$A$3:$A$5001,"&gt;="&amp;$C$7,BD!$A$3:$A$5001,"&lt;="&amp;$B247,BD!$N$3:$N$5001,"&lt;&gt;")=0,"",SUMIFS(BD!$N$3:$N$5001,BD!$B$3:$B$5001,E$219,BD!$A$3:$A$5001,_xlfn.MAXIFS(BD!$A$3:$A$5001,BD!$B$3:$B$5001,E$219,BD!$A$3:$A$5001,"&gt;="&amp;$C$7,BD!$A$3:$A$5001,"&lt;="&amp;$B247,BD!$N$3:$N$5001,"&lt;&gt;"))))</f>
        <v/>
      </c>
      <c r="F247" s="42" t="str">
        <f>IF(OR($B247="",$A247&gt;$B$9),"",IF(COUNTIFS(BD!$B$3:$B$5001,F$219,BD!$A$3:$A$5001,"&gt;="&amp;$C$7,BD!$A$3:$A$5001,"&lt;="&amp;$B247,BD!$N$3:$N$5001,"&lt;&gt;")=0,"",SUMIFS(BD!$N$3:$N$5001,BD!$B$3:$B$5001,F$219,BD!$A$3:$A$5001,_xlfn.MAXIFS(BD!$A$3:$A$5001,BD!$B$3:$B$5001,F$219,BD!$A$3:$A$5001,"&gt;="&amp;$C$7,BD!$A$3:$A$5001,"&lt;="&amp;$B247,BD!$N$3:$N$5001,"&lt;&gt;"))))</f>
        <v/>
      </c>
      <c r="G247" s="42" t="str">
        <f>IF(OR($B247="",$A247&gt;$B$9),"",IF(COUNTIFS(BD!$B$3:$B$5001,G$219,BD!$A$3:$A$5001,"&gt;="&amp;$C$7,BD!$A$3:$A$5001,"&lt;="&amp;$B247,BD!$N$3:$N$5001,"&lt;&gt;")=0,"",SUMIFS(BD!$N$3:$N$5001,BD!$B$3:$B$5001,G$219,BD!$A$3:$A$5001,_xlfn.MAXIFS(BD!$A$3:$A$5001,BD!$B$3:$B$5001,G$219,BD!$A$3:$A$5001,"&gt;="&amp;$C$7,BD!$A$3:$A$5001,"&lt;="&amp;$B247,BD!$N$3:$N$5001,"&lt;&gt;"))))</f>
        <v/>
      </c>
    </row>
    <row r="248">
      <c r="A248" s="40">
        <v>29</v>
      </c>
      <c r="B248" s="41">
        <f>$B$40</f>
        <v>46324</v>
      </c>
      <c r="C248" s="42" t="str">
        <f>IF(OR($B248="",$A248&gt;$B$9),"",IF(COUNTIFS(BD!$B$3:$B$5001,C$219,BD!$A$3:$A$5001,"&gt;="&amp;$C$7,BD!$A$3:$A$5001,"&lt;="&amp;$B248,BD!$N$3:$N$5001,"&lt;&gt;")=0,"",SUMIFS(BD!$N$3:$N$5001,BD!$B$3:$B$5001,C$219,BD!$A$3:$A$5001,_xlfn.MAXIFS(BD!$A$3:$A$5001,BD!$B$3:$B$5001,C$219,BD!$A$3:$A$5001,"&gt;="&amp;$C$7,BD!$A$3:$A$5001,"&lt;="&amp;$B248,BD!$N$3:$N$5001,"&lt;&gt;"))))</f>
        <v/>
      </c>
      <c r="D248" s="42" t="str">
        <f>IF(OR($B248="",$A248&gt;$B$9),"",IF(COUNTIFS(BD!$B$3:$B$5001,D$219,BD!$A$3:$A$5001,"&gt;="&amp;$C$7,BD!$A$3:$A$5001,"&lt;="&amp;$B248,BD!$N$3:$N$5001,"&lt;&gt;")=0,"",SUMIFS(BD!$N$3:$N$5001,BD!$B$3:$B$5001,D$219,BD!$A$3:$A$5001,_xlfn.MAXIFS(BD!$A$3:$A$5001,BD!$B$3:$B$5001,D$219,BD!$A$3:$A$5001,"&gt;="&amp;$C$7,BD!$A$3:$A$5001,"&lt;="&amp;$B248,BD!$N$3:$N$5001,"&lt;&gt;"))))</f>
        <v/>
      </c>
      <c r="E248" s="42" t="str">
        <f>IF(OR($B248="",$A248&gt;$B$9),"",IF(COUNTIFS(BD!$B$3:$B$5001,E$219,BD!$A$3:$A$5001,"&gt;="&amp;$C$7,BD!$A$3:$A$5001,"&lt;="&amp;$B248,BD!$N$3:$N$5001,"&lt;&gt;")=0,"",SUMIFS(BD!$N$3:$N$5001,BD!$B$3:$B$5001,E$219,BD!$A$3:$A$5001,_xlfn.MAXIFS(BD!$A$3:$A$5001,BD!$B$3:$B$5001,E$219,BD!$A$3:$A$5001,"&gt;="&amp;$C$7,BD!$A$3:$A$5001,"&lt;="&amp;$B248,BD!$N$3:$N$5001,"&lt;&gt;"))))</f>
        <v/>
      </c>
      <c r="F248" s="42" t="str">
        <f>IF(OR($B248="",$A248&gt;$B$9),"",IF(COUNTIFS(BD!$B$3:$B$5001,F$219,BD!$A$3:$A$5001,"&gt;="&amp;$C$7,BD!$A$3:$A$5001,"&lt;="&amp;$B248,BD!$N$3:$N$5001,"&lt;&gt;")=0,"",SUMIFS(BD!$N$3:$N$5001,BD!$B$3:$B$5001,F$219,BD!$A$3:$A$5001,_xlfn.MAXIFS(BD!$A$3:$A$5001,BD!$B$3:$B$5001,F$219,BD!$A$3:$A$5001,"&gt;="&amp;$C$7,BD!$A$3:$A$5001,"&lt;="&amp;$B248,BD!$N$3:$N$5001,"&lt;&gt;"))))</f>
        <v/>
      </c>
      <c r="G248" s="42" t="str">
        <f>IF(OR($B248="",$A248&gt;$B$9),"",IF(COUNTIFS(BD!$B$3:$B$5001,G$219,BD!$A$3:$A$5001,"&gt;="&amp;$C$7,BD!$A$3:$A$5001,"&lt;="&amp;$B248,BD!$N$3:$N$5001,"&lt;&gt;")=0,"",SUMIFS(BD!$N$3:$N$5001,BD!$B$3:$B$5001,G$219,BD!$A$3:$A$5001,_xlfn.MAXIFS(BD!$A$3:$A$5001,BD!$B$3:$B$5001,G$219,BD!$A$3:$A$5001,"&gt;="&amp;$C$7,BD!$A$3:$A$5001,"&lt;="&amp;$B248,BD!$N$3:$N$5001,"&lt;&gt;"))))</f>
        <v/>
      </c>
    </row>
    <row r="249">
      <c r="A249" s="40">
        <v>30</v>
      </c>
      <c r="B249" s="41">
        <f>$B$41</f>
        <v>46325</v>
      </c>
      <c r="C249" s="42" t="str">
        <f>IF(OR($B249="",$A249&gt;$B$9),"",IF(COUNTIFS(BD!$B$3:$B$5001,C$219,BD!$A$3:$A$5001,"&gt;="&amp;$C$7,BD!$A$3:$A$5001,"&lt;="&amp;$B249,BD!$N$3:$N$5001,"&lt;&gt;")=0,"",SUMIFS(BD!$N$3:$N$5001,BD!$B$3:$B$5001,C$219,BD!$A$3:$A$5001,_xlfn.MAXIFS(BD!$A$3:$A$5001,BD!$B$3:$B$5001,C$219,BD!$A$3:$A$5001,"&gt;="&amp;$C$7,BD!$A$3:$A$5001,"&lt;="&amp;$B249,BD!$N$3:$N$5001,"&lt;&gt;"))))</f>
        <v/>
      </c>
      <c r="D249" s="42" t="str">
        <f>IF(OR($B249="",$A249&gt;$B$9),"",IF(COUNTIFS(BD!$B$3:$B$5001,D$219,BD!$A$3:$A$5001,"&gt;="&amp;$C$7,BD!$A$3:$A$5001,"&lt;="&amp;$B249,BD!$N$3:$N$5001,"&lt;&gt;")=0,"",SUMIFS(BD!$N$3:$N$5001,BD!$B$3:$B$5001,D$219,BD!$A$3:$A$5001,_xlfn.MAXIFS(BD!$A$3:$A$5001,BD!$B$3:$B$5001,D$219,BD!$A$3:$A$5001,"&gt;="&amp;$C$7,BD!$A$3:$A$5001,"&lt;="&amp;$B249,BD!$N$3:$N$5001,"&lt;&gt;"))))</f>
        <v/>
      </c>
      <c r="E249" s="42" t="str">
        <f>IF(OR($B249="",$A249&gt;$B$9),"",IF(COUNTIFS(BD!$B$3:$B$5001,E$219,BD!$A$3:$A$5001,"&gt;="&amp;$C$7,BD!$A$3:$A$5001,"&lt;="&amp;$B249,BD!$N$3:$N$5001,"&lt;&gt;")=0,"",SUMIFS(BD!$N$3:$N$5001,BD!$B$3:$B$5001,E$219,BD!$A$3:$A$5001,_xlfn.MAXIFS(BD!$A$3:$A$5001,BD!$B$3:$B$5001,E$219,BD!$A$3:$A$5001,"&gt;="&amp;$C$7,BD!$A$3:$A$5001,"&lt;="&amp;$B249,BD!$N$3:$N$5001,"&lt;&gt;"))))</f>
        <v/>
      </c>
      <c r="F249" s="42" t="str">
        <f>IF(OR($B249="",$A249&gt;$B$9),"",IF(COUNTIFS(BD!$B$3:$B$5001,F$219,BD!$A$3:$A$5001,"&gt;="&amp;$C$7,BD!$A$3:$A$5001,"&lt;="&amp;$B249,BD!$N$3:$N$5001,"&lt;&gt;")=0,"",SUMIFS(BD!$N$3:$N$5001,BD!$B$3:$B$5001,F$219,BD!$A$3:$A$5001,_xlfn.MAXIFS(BD!$A$3:$A$5001,BD!$B$3:$B$5001,F$219,BD!$A$3:$A$5001,"&gt;="&amp;$C$7,BD!$A$3:$A$5001,"&lt;="&amp;$B249,BD!$N$3:$N$5001,"&lt;&gt;"))))</f>
        <v/>
      </c>
      <c r="G249" s="42" t="str">
        <f>IF(OR($B249="",$A249&gt;$B$9),"",IF(COUNTIFS(BD!$B$3:$B$5001,G$219,BD!$A$3:$A$5001,"&gt;="&amp;$C$7,BD!$A$3:$A$5001,"&lt;="&amp;$B249,BD!$N$3:$N$5001,"&lt;&gt;")=0,"",SUMIFS(BD!$N$3:$N$5001,BD!$B$3:$B$5001,G$219,BD!$A$3:$A$5001,_xlfn.MAXIFS(BD!$A$3:$A$5001,BD!$B$3:$B$5001,G$219,BD!$A$3:$A$5001,"&gt;="&amp;$C$7,BD!$A$3:$A$5001,"&lt;="&amp;$B249,BD!$N$3:$N$5001,"&lt;&gt;"))))</f>
        <v/>
      </c>
    </row>
    <row r="250">
      <c r="A250" s="40">
        <v>31</v>
      </c>
      <c r="B250" s="41">
        <f>$B$42</f>
        <v>46326</v>
      </c>
      <c r="C250" s="42" t="str">
        <f>IF(OR($B250="",$A250&gt;$B$9),"",IF(COUNTIFS(BD!$B$3:$B$5001,C$219,BD!$A$3:$A$5001,"&gt;="&amp;$C$7,BD!$A$3:$A$5001,"&lt;="&amp;$B250,BD!$N$3:$N$5001,"&lt;&gt;")=0,"",SUMIFS(BD!$N$3:$N$5001,BD!$B$3:$B$5001,C$219,BD!$A$3:$A$5001,_xlfn.MAXIFS(BD!$A$3:$A$5001,BD!$B$3:$B$5001,C$219,BD!$A$3:$A$5001,"&gt;="&amp;$C$7,BD!$A$3:$A$5001,"&lt;="&amp;$B250,BD!$N$3:$N$5001,"&lt;&gt;"))))</f>
        <v/>
      </c>
      <c r="D250" s="42" t="str">
        <f>IF(OR($B250="",$A250&gt;$B$9),"",IF(COUNTIFS(BD!$B$3:$B$5001,D$219,BD!$A$3:$A$5001,"&gt;="&amp;$C$7,BD!$A$3:$A$5001,"&lt;="&amp;$B250,BD!$N$3:$N$5001,"&lt;&gt;")=0,"",SUMIFS(BD!$N$3:$N$5001,BD!$B$3:$B$5001,D$219,BD!$A$3:$A$5001,_xlfn.MAXIFS(BD!$A$3:$A$5001,BD!$B$3:$B$5001,D$219,BD!$A$3:$A$5001,"&gt;="&amp;$C$7,BD!$A$3:$A$5001,"&lt;="&amp;$B250,BD!$N$3:$N$5001,"&lt;&gt;"))))</f>
        <v/>
      </c>
      <c r="E250" s="42" t="str">
        <f>IF(OR($B250="",$A250&gt;$B$9),"",IF(COUNTIFS(BD!$B$3:$B$5001,E$219,BD!$A$3:$A$5001,"&gt;="&amp;$C$7,BD!$A$3:$A$5001,"&lt;="&amp;$B250,BD!$N$3:$N$5001,"&lt;&gt;")=0,"",SUMIFS(BD!$N$3:$N$5001,BD!$B$3:$B$5001,E$219,BD!$A$3:$A$5001,_xlfn.MAXIFS(BD!$A$3:$A$5001,BD!$B$3:$B$5001,E$219,BD!$A$3:$A$5001,"&gt;="&amp;$C$7,BD!$A$3:$A$5001,"&lt;="&amp;$B250,BD!$N$3:$N$5001,"&lt;&gt;"))))</f>
        <v/>
      </c>
      <c r="F250" s="42" t="str">
        <f>IF(OR($B250="",$A250&gt;$B$9),"",IF(COUNTIFS(BD!$B$3:$B$5001,F$219,BD!$A$3:$A$5001,"&gt;="&amp;$C$7,BD!$A$3:$A$5001,"&lt;="&amp;$B250,BD!$N$3:$N$5001,"&lt;&gt;")=0,"",SUMIFS(BD!$N$3:$N$5001,BD!$B$3:$B$5001,F$219,BD!$A$3:$A$5001,_xlfn.MAXIFS(BD!$A$3:$A$5001,BD!$B$3:$B$5001,F$219,BD!$A$3:$A$5001,"&gt;="&amp;$C$7,BD!$A$3:$A$5001,"&lt;="&amp;$B250,BD!$N$3:$N$5001,"&lt;&gt;"))))</f>
        <v/>
      </c>
      <c r="G250" s="42" t="str">
        <f>IF(OR($B250="",$A250&gt;$B$9),"",IF(COUNTIFS(BD!$B$3:$B$5001,G$219,BD!$A$3:$A$5001,"&gt;="&amp;$C$7,BD!$A$3:$A$5001,"&lt;="&amp;$B250,BD!$N$3:$N$5001,"&lt;&gt;")=0,"",SUMIFS(BD!$N$3:$N$5001,BD!$B$3:$B$5001,G$219,BD!$A$3:$A$5001,_xlfn.MAXIFS(BD!$A$3:$A$5001,BD!$B$3:$B$5001,G$219,BD!$A$3:$A$5001,"&gt;="&amp;$C$7,BD!$A$3:$A$5001,"&lt;="&amp;$B250,BD!$N$3:$N$5001,"&lt;&gt;"))))</f>
        <v/>
      </c>
    </row>
    <row r="251">
      <c r="A251" s="43" t="inlineStr">
        <is>
          <t xml:space="preserve">Mês anterior (último)</t>
        </is>
      </c>
      <c r="C251" s="44" t="str">
        <f>IF(COUNTIFS(BD!$B$3:$B$5001,C$219,BD!$A$3:$A$5001,"&gt;="&amp;$C$8,BD!$A$3:$A$5001,"&lt;="&amp;$D$8,BD!$N$3:$N$5001,"&lt;&gt;")=0,"",SUMIFS(BD!$N$3:$N$5001,BD!$B$3:$B$5001,C$219,BD!$A$3:$A$5001,_xlfn.MAXIFS(BD!$A$3:$A$5001,BD!$B$3:$B$5001,C$219,BD!$A$3:$A$5001,"&gt;="&amp;$C$8,BD!$A$3:$A$5001,"&lt;="&amp;$D$8,BD!$N$3:$N$5001,"&lt;&gt;")))</f>
        <v/>
      </c>
      <c r="D251" s="44" t="str">
        <f>IF(COUNTIFS(BD!$B$3:$B$5001,D$219,BD!$A$3:$A$5001,"&gt;="&amp;$C$8,BD!$A$3:$A$5001,"&lt;="&amp;$D$8,BD!$N$3:$N$5001,"&lt;&gt;")=0,"",SUMIFS(BD!$N$3:$N$5001,BD!$B$3:$B$5001,D$219,BD!$A$3:$A$5001,_xlfn.MAXIFS(BD!$A$3:$A$5001,BD!$B$3:$B$5001,D$219,BD!$A$3:$A$5001,"&gt;="&amp;$C$8,BD!$A$3:$A$5001,"&lt;="&amp;$D$8,BD!$N$3:$N$5001,"&lt;&gt;")))</f>
        <v/>
      </c>
      <c r="E251" s="44" t="str">
        <f>IF(COUNTIFS(BD!$B$3:$B$5001,E$219,BD!$A$3:$A$5001,"&gt;="&amp;$C$8,BD!$A$3:$A$5001,"&lt;="&amp;$D$8,BD!$N$3:$N$5001,"&lt;&gt;")=0,"",SUMIFS(BD!$N$3:$N$5001,BD!$B$3:$B$5001,E$219,BD!$A$3:$A$5001,_xlfn.MAXIFS(BD!$A$3:$A$5001,BD!$B$3:$B$5001,E$219,BD!$A$3:$A$5001,"&gt;="&amp;$C$8,BD!$A$3:$A$5001,"&lt;="&amp;$D$8,BD!$N$3:$N$5001,"&lt;&gt;")))</f>
        <v/>
      </c>
      <c r="F251" s="44" t="str">
        <f>IF(COUNTIFS(BD!$B$3:$B$5001,F$219,BD!$A$3:$A$5001,"&gt;="&amp;$C$8,BD!$A$3:$A$5001,"&lt;="&amp;$D$8,BD!$N$3:$N$5001,"&lt;&gt;")=0,"",SUMIFS(BD!$N$3:$N$5001,BD!$B$3:$B$5001,F$219,BD!$A$3:$A$5001,_xlfn.MAXIFS(BD!$A$3:$A$5001,BD!$B$3:$B$5001,F$219,BD!$A$3:$A$5001,"&gt;="&amp;$C$8,BD!$A$3:$A$5001,"&lt;="&amp;$D$8,BD!$N$3:$N$5001,"&lt;&gt;")))</f>
        <v/>
      </c>
      <c r="G251" s="44" t="str">
        <f>IF(COUNTIFS(BD!$B$3:$B$5001,G$219,BD!$A$3:$A$5001,"&gt;="&amp;$C$8,BD!$A$3:$A$5001,"&lt;="&amp;$D$8,BD!$N$3:$N$5001,"&lt;&gt;")=0,"",SUMIFS(BD!$N$3:$N$5001,BD!$B$3:$B$5001,G$219,BD!$A$3:$A$5001,_xlfn.MAXIFS(BD!$A$3:$A$5001,BD!$B$3:$B$5001,G$219,BD!$A$3:$A$5001,"&gt;="&amp;$C$8,BD!$A$3:$A$5001,"&lt;="&amp;$D$8,BD!$N$3:$N$5001,"&lt;&gt;")))</f>
        <v/>
      </c>
    </row>
    <row r="252">
      <c r="A252" s="43" t="inlineStr">
        <is>
          <t xml:space="preserve">Depósito</t>
        </is>
      </c>
      <c r="C252" s="40" t="inlineStr">
        <is>
          <t xml:space="preserve">JSL</t>
        </is>
      </c>
      <c r="D252" s="40" t="inlineStr">
        <is>
          <t xml:space="preserve">JSL</t>
        </is>
      </c>
      <c r="E252" s="40" t="inlineStr">
        <is>
          <t xml:space="preserve">JSL</t>
        </is>
      </c>
      <c r="F252" s="40" t="inlineStr">
        <is>
          <t xml:space="preserve">JSL</t>
        </is>
      </c>
      <c r="G252" s="40" t="inlineStr">
        <is>
          <t xml:space="preserve">JSL</t>
        </is>
      </c>
    </row>
    <row r="256">
      <c r="A256" s="19" t="inlineStr">
        <is>
          <t xml:space="preserve">PERÍODO DO DASHBOARD — último valor de cada cliente no período (backlog, posições, efetivo)</t>
        </is>
      </c>
    </row>
    <row r="257" ht="30" customHeight="1">
      <c r="A257" s="37" t="inlineStr">
        <is>
          <t xml:space="preserve">Cliente</t>
        </is>
      </c>
      <c r="B257" s="37" t="inlineStr">
        <is>
          <t xml:space="preserve">Depósito</t>
        </is>
      </c>
      <c r="C257" s="37" t="inlineStr">
        <is>
          <t xml:space="preserve">Backlog · período</t>
        </is>
      </c>
      <c r="D257" s="37" t="inlineStr">
        <is>
          <t xml:space="preserve">Backlog · anterior</t>
        </is>
      </c>
      <c r="E257" s="37" t="inlineStr">
        <is>
          <t xml:space="preserve">Posições Ocupadas · período</t>
        </is>
      </c>
      <c r="F257" s="37" t="inlineStr">
        <is>
          <t xml:space="preserve">Posições Ocupadas · anterior</t>
        </is>
      </c>
      <c r="G257" s="37" t="inlineStr">
        <is>
          <t xml:space="preserve">Posições Disponíveis · período</t>
        </is>
      </c>
      <c r="H257" s="37" t="inlineStr">
        <is>
          <t xml:space="preserve">Posições Disponíveis · anterior</t>
        </is>
      </c>
      <c r="I257" s="37" t="inlineStr">
        <is>
          <t xml:space="preserve">Efetivo Op. · período</t>
        </is>
      </c>
      <c r="J257" s="37" t="inlineStr">
        <is>
          <t xml:space="preserve">Efetivo Op. · anterior</t>
        </is>
      </c>
    </row>
    <row r="258">
      <c r="A258" s="64" t="inlineStr">
        <is>
          <t xml:space="preserve">Barry Callebaut</t>
        </is>
      </c>
      <c r="B258" s="40" t="inlineStr">
        <is>
          <t xml:space="preserve">JSL</t>
        </is>
      </c>
      <c r="C258" s="42" t="str">
        <f>IF(COUNTIFS(BD!$B$3:$B$5001,$A258,BD!$A$3:$A$5001,"&gt;="&amp;$F$7,BD!$A$3:$A$5001,"&lt;="&amp;$G$7,BD!$K$3:$K$5001,"&lt;&gt;")=0,"",SUMIFS(BD!$K$3:$K$5001,BD!$B$3:$B$5001,$A258,BD!$A$3:$A$5001,_xlfn.MAXIFS(BD!$A$3:$A$5001,BD!$B$3:$B$5001,$A258,BD!$A$3:$A$5001,"&gt;="&amp;$F$7,BD!$A$3:$A$5001,"&lt;="&amp;$G$7,BD!$K$3:$K$5001,"&lt;&gt;")))</f>
        <v/>
      </c>
      <c r="D258" s="42" t="str">
        <f>IF(COUNTIFS(BD!$B$3:$B$5001,$A258,BD!$A$3:$A$5001,"&gt;="&amp;$F$8,BD!$A$3:$A$5001,"&lt;="&amp;$G$8,BD!$K$3:$K$5001,"&lt;&gt;")=0,"",SUMIFS(BD!$K$3:$K$5001,BD!$B$3:$B$5001,$A258,BD!$A$3:$A$5001,_xlfn.MAXIFS(BD!$A$3:$A$5001,BD!$B$3:$B$5001,$A258,BD!$A$3:$A$5001,"&gt;="&amp;$F$8,BD!$A$3:$A$5001,"&lt;="&amp;$G$8,BD!$K$3:$K$5001,"&lt;&gt;")))</f>
        <v/>
      </c>
      <c r="E258" s="42" t="str">
        <f>IF(COUNTIFS(BD!$B$3:$B$5001,$A258,BD!$A$3:$A$5001,"&gt;="&amp;$F$7,BD!$A$3:$A$5001,"&lt;="&amp;$G$7,BD!$M$3:$M$5001,"&lt;&gt;")=0,"",SUMIFS(BD!$M$3:$M$5001,BD!$B$3:$B$5001,$A258,BD!$A$3:$A$5001,_xlfn.MAXIFS(BD!$A$3:$A$5001,BD!$B$3:$B$5001,$A258,BD!$A$3:$A$5001,"&gt;="&amp;$F$7,BD!$A$3:$A$5001,"&lt;="&amp;$G$7,BD!$M$3:$M$5001,"&lt;&gt;")))</f>
        <v/>
      </c>
      <c r="F258" s="42" t="str">
        <f>IF(COUNTIFS(BD!$B$3:$B$5001,$A258,BD!$A$3:$A$5001,"&gt;="&amp;$F$8,BD!$A$3:$A$5001,"&lt;="&amp;$G$8,BD!$M$3:$M$5001,"&lt;&gt;")=0,"",SUMIFS(BD!$M$3:$M$5001,BD!$B$3:$B$5001,$A258,BD!$A$3:$A$5001,_xlfn.MAXIFS(BD!$A$3:$A$5001,BD!$B$3:$B$5001,$A258,BD!$A$3:$A$5001,"&gt;="&amp;$F$8,BD!$A$3:$A$5001,"&lt;="&amp;$G$8,BD!$M$3:$M$5001,"&lt;&gt;")))</f>
        <v/>
      </c>
      <c r="G258" s="42" t="str">
        <f>IF(COUNTIFS(BD!$B$3:$B$5001,$A258,BD!$A$3:$A$5001,"&gt;="&amp;$F$7,BD!$A$3:$A$5001,"&lt;="&amp;$G$7,BD!$L$3:$L$5001,"&lt;&gt;")=0,"",SUMIFS(BD!$L$3:$L$5001,BD!$B$3:$B$5001,$A258,BD!$A$3:$A$5001,_xlfn.MAXIFS(BD!$A$3:$A$5001,BD!$B$3:$B$5001,$A258,BD!$A$3:$A$5001,"&gt;="&amp;$F$7,BD!$A$3:$A$5001,"&lt;="&amp;$G$7,BD!$L$3:$L$5001,"&lt;&gt;")))</f>
        <v/>
      </c>
      <c r="H258" s="42" t="str">
        <f>IF(COUNTIFS(BD!$B$3:$B$5001,$A258,BD!$A$3:$A$5001,"&gt;="&amp;$F$8,BD!$A$3:$A$5001,"&lt;="&amp;$G$8,BD!$L$3:$L$5001,"&lt;&gt;")=0,"",SUMIFS(BD!$L$3:$L$5001,BD!$B$3:$B$5001,$A258,BD!$A$3:$A$5001,_xlfn.MAXIFS(BD!$A$3:$A$5001,BD!$B$3:$B$5001,$A258,BD!$A$3:$A$5001,"&gt;="&amp;$F$8,BD!$A$3:$A$5001,"&lt;="&amp;$G$8,BD!$L$3:$L$5001,"&lt;&gt;")))</f>
        <v/>
      </c>
      <c r="I258" s="42" t="str">
        <f>IF(COUNTIFS(BD!$B$3:$B$5001,$A258,BD!$A$3:$A$5001,"&gt;="&amp;$F$7,BD!$A$3:$A$5001,"&lt;="&amp;$G$7,BD!$N$3:$N$5001,"&lt;&gt;")=0,"",SUMIFS(BD!$N$3:$N$5001,BD!$B$3:$B$5001,$A258,BD!$A$3:$A$5001,_xlfn.MAXIFS(BD!$A$3:$A$5001,BD!$B$3:$B$5001,$A258,BD!$A$3:$A$5001,"&gt;="&amp;$F$7,BD!$A$3:$A$5001,"&lt;="&amp;$G$7,BD!$N$3:$N$5001,"&lt;&gt;")))</f>
        <v/>
      </c>
      <c r="J258" s="42" t="str">
        <f>IF(COUNTIFS(BD!$B$3:$B$5001,$A258,BD!$A$3:$A$5001,"&gt;="&amp;$F$8,BD!$A$3:$A$5001,"&lt;="&amp;$G$8,BD!$N$3:$N$5001,"&lt;&gt;")=0,"",SUMIFS(BD!$N$3:$N$5001,BD!$B$3:$B$5001,$A258,BD!$A$3:$A$5001,_xlfn.MAXIFS(BD!$A$3:$A$5001,BD!$B$3:$B$5001,$A258,BD!$A$3:$A$5001,"&gt;="&amp;$F$8,BD!$A$3:$A$5001,"&lt;="&amp;$G$8,BD!$N$3:$N$5001,"&lt;&gt;")))</f>
        <v/>
      </c>
    </row>
    <row r="259">
      <c r="A259" s="64" t="inlineStr">
        <is>
          <t xml:space="preserve">GM</t>
        </is>
      </c>
      <c r="B259" s="40" t="inlineStr">
        <is>
          <t xml:space="preserve">JSL</t>
        </is>
      </c>
      <c r="C259" s="42" t="str">
        <f>IF(COUNTIFS(BD!$B$3:$B$5001,$A259,BD!$A$3:$A$5001,"&gt;="&amp;$F$7,BD!$A$3:$A$5001,"&lt;="&amp;$G$7,BD!$K$3:$K$5001,"&lt;&gt;")=0,"",SUMIFS(BD!$K$3:$K$5001,BD!$B$3:$B$5001,$A259,BD!$A$3:$A$5001,_xlfn.MAXIFS(BD!$A$3:$A$5001,BD!$B$3:$B$5001,$A259,BD!$A$3:$A$5001,"&gt;="&amp;$F$7,BD!$A$3:$A$5001,"&lt;="&amp;$G$7,BD!$K$3:$K$5001,"&lt;&gt;")))</f>
        <v/>
      </c>
      <c r="D259" s="42" t="str">
        <f>IF(COUNTIFS(BD!$B$3:$B$5001,$A259,BD!$A$3:$A$5001,"&gt;="&amp;$F$8,BD!$A$3:$A$5001,"&lt;="&amp;$G$8,BD!$K$3:$K$5001,"&lt;&gt;")=0,"",SUMIFS(BD!$K$3:$K$5001,BD!$B$3:$B$5001,$A259,BD!$A$3:$A$5001,_xlfn.MAXIFS(BD!$A$3:$A$5001,BD!$B$3:$B$5001,$A259,BD!$A$3:$A$5001,"&gt;="&amp;$F$8,BD!$A$3:$A$5001,"&lt;="&amp;$G$8,BD!$K$3:$K$5001,"&lt;&gt;")))</f>
        <v/>
      </c>
      <c r="E259" s="42" t="str">
        <f>IF(COUNTIFS(BD!$B$3:$B$5001,$A259,BD!$A$3:$A$5001,"&gt;="&amp;$F$7,BD!$A$3:$A$5001,"&lt;="&amp;$G$7,BD!$M$3:$M$5001,"&lt;&gt;")=0,"",SUMIFS(BD!$M$3:$M$5001,BD!$B$3:$B$5001,$A259,BD!$A$3:$A$5001,_xlfn.MAXIFS(BD!$A$3:$A$5001,BD!$B$3:$B$5001,$A259,BD!$A$3:$A$5001,"&gt;="&amp;$F$7,BD!$A$3:$A$5001,"&lt;="&amp;$G$7,BD!$M$3:$M$5001,"&lt;&gt;")))</f>
        <v/>
      </c>
      <c r="F259" s="42" t="str">
        <f>IF(COUNTIFS(BD!$B$3:$B$5001,$A259,BD!$A$3:$A$5001,"&gt;="&amp;$F$8,BD!$A$3:$A$5001,"&lt;="&amp;$G$8,BD!$M$3:$M$5001,"&lt;&gt;")=0,"",SUMIFS(BD!$M$3:$M$5001,BD!$B$3:$B$5001,$A259,BD!$A$3:$A$5001,_xlfn.MAXIFS(BD!$A$3:$A$5001,BD!$B$3:$B$5001,$A259,BD!$A$3:$A$5001,"&gt;="&amp;$F$8,BD!$A$3:$A$5001,"&lt;="&amp;$G$8,BD!$M$3:$M$5001,"&lt;&gt;")))</f>
        <v/>
      </c>
      <c r="G259" s="42" t="str">
        <f>IF(COUNTIFS(BD!$B$3:$B$5001,$A259,BD!$A$3:$A$5001,"&gt;="&amp;$F$7,BD!$A$3:$A$5001,"&lt;="&amp;$G$7,BD!$L$3:$L$5001,"&lt;&gt;")=0,"",SUMIFS(BD!$L$3:$L$5001,BD!$B$3:$B$5001,$A259,BD!$A$3:$A$5001,_xlfn.MAXIFS(BD!$A$3:$A$5001,BD!$B$3:$B$5001,$A259,BD!$A$3:$A$5001,"&gt;="&amp;$F$7,BD!$A$3:$A$5001,"&lt;="&amp;$G$7,BD!$L$3:$L$5001,"&lt;&gt;")))</f>
        <v/>
      </c>
      <c r="H259" s="42" t="str">
        <f>IF(COUNTIFS(BD!$B$3:$B$5001,$A259,BD!$A$3:$A$5001,"&gt;="&amp;$F$8,BD!$A$3:$A$5001,"&lt;="&amp;$G$8,BD!$L$3:$L$5001,"&lt;&gt;")=0,"",SUMIFS(BD!$L$3:$L$5001,BD!$B$3:$B$5001,$A259,BD!$A$3:$A$5001,_xlfn.MAXIFS(BD!$A$3:$A$5001,BD!$B$3:$B$5001,$A259,BD!$A$3:$A$5001,"&gt;="&amp;$F$8,BD!$A$3:$A$5001,"&lt;="&amp;$G$8,BD!$L$3:$L$5001,"&lt;&gt;")))</f>
        <v/>
      </c>
      <c r="I259" s="42" t="str">
        <f>IF(COUNTIFS(BD!$B$3:$B$5001,$A259,BD!$A$3:$A$5001,"&gt;="&amp;$F$7,BD!$A$3:$A$5001,"&lt;="&amp;$G$7,BD!$N$3:$N$5001,"&lt;&gt;")=0,"",SUMIFS(BD!$N$3:$N$5001,BD!$B$3:$B$5001,$A259,BD!$A$3:$A$5001,_xlfn.MAXIFS(BD!$A$3:$A$5001,BD!$B$3:$B$5001,$A259,BD!$A$3:$A$5001,"&gt;="&amp;$F$7,BD!$A$3:$A$5001,"&lt;="&amp;$G$7,BD!$N$3:$N$5001,"&lt;&gt;")))</f>
        <v/>
      </c>
      <c r="J259" s="42" t="str">
        <f>IF(COUNTIFS(BD!$B$3:$B$5001,$A259,BD!$A$3:$A$5001,"&gt;="&amp;$F$8,BD!$A$3:$A$5001,"&lt;="&amp;$G$8,BD!$N$3:$N$5001,"&lt;&gt;")=0,"",SUMIFS(BD!$N$3:$N$5001,BD!$B$3:$B$5001,$A259,BD!$A$3:$A$5001,_xlfn.MAXIFS(BD!$A$3:$A$5001,BD!$B$3:$B$5001,$A259,BD!$A$3:$A$5001,"&gt;="&amp;$F$8,BD!$A$3:$A$5001,"&lt;="&amp;$G$8,BD!$N$3:$N$5001,"&lt;&gt;")))</f>
        <v/>
      </c>
    </row>
    <row r="260">
      <c r="A260" s="64" t="inlineStr">
        <is>
          <t xml:space="preserve">Mondelez</t>
        </is>
      </c>
      <c r="B260" s="40" t="inlineStr">
        <is>
          <t xml:space="preserve">JSL</t>
        </is>
      </c>
      <c r="C260" s="42" t="str">
        <f>IF(COUNTIFS(BD!$B$3:$B$5001,$A260,BD!$A$3:$A$5001,"&gt;="&amp;$F$7,BD!$A$3:$A$5001,"&lt;="&amp;$G$7,BD!$K$3:$K$5001,"&lt;&gt;")=0,"",SUMIFS(BD!$K$3:$K$5001,BD!$B$3:$B$5001,$A260,BD!$A$3:$A$5001,_xlfn.MAXIFS(BD!$A$3:$A$5001,BD!$B$3:$B$5001,$A260,BD!$A$3:$A$5001,"&gt;="&amp;$F$7,BD!$A$3:$A$5001,"&lt;="&amp;$G$7,BD!$K$3:$K$5001,"&lt;&gt;")))</f>
        <v/>
      </c>
      <c r="D260" s="42" t="str">
        <f>IF(COUNTIFS(BD!$B$3:$B$5001,$A260,BD!$A$3:$A$5001,"&gt;="&amp;$F$8,BD!$A$3:$A$5001,"&lt;="&amp;$G$8,BD!$K$3:$K$5001,"&lt;&gt;")=0,"",SUMIFS(BD!$K$3:$K$5001,BD!$B$3:$B$5001,$A260,BD!$A$3:$A$5001,_xlfn.MAXIFS(BD!$A$3:$A$5001,BD!$B$3:$B$5001,$A260,BD!$A$3:$A$5001,"&gt;="&amp;$F$8,BD!$A$3:$A$5001,"&lt;="&amp;$G$8,BD!$K$3:$K$5001,"&lt;&gt;")))</f>
        <v/>
      </c>
      <c r="E260" s="42" t="str">
        <f>IF(COUNTIFS(BD!$B$3:$B$5001,$A260,BD!$A$3:$A$5001,"&gt;="&amp;$F$7,BD!$A$3:$A$5001,"&lt;="&amp;$G$7,BD!$M$3:$M$5001,"&lt;&gt;")=0,"",SUMIFS(BD!$M$3:$M$5001,BD!$B$3:$B$5001,$A260,BD!$A$3:$A$5001,_xlfn.MAXIFS(BD!$A$3:$A$5001,BD!$B$3:$B$5001,$A260,BD!$A$3:$A$5001,"&gt;="&amp;$F$7,BD!$A$3:$A$5001,"&lt;="&amp;$G$7,BD!$M$3:$M$5001,"&lt;&gt;")))</f>
        <v/>
      </c>
      <c r="F260" s="42" t="str">
        <f>IF(COUNTIFS(BD!$B$3:$B$5001,$A260,BD!$A$3:$A$5001,"&gt;="&amp;$F$8,BD!$A$3:$A$5001,"&lt;="&amp;$G$8,BD!$M$3:$M$5001,"&lt;&gt;")=0,"",SUMIFS(BD!$M$3:$M$5001,BD!$B$3:$B$5001,$A260,BD!$A$3:$A$5001,_xlfn.MAXIFS(BD!$A$3:$A$5001,BD!$B$3:$B$5001,$A260,BD!$A$3:$A$5001,"&gt;="&amp;$F$8,BD!$A$3:$A$5001,"&lt;="&amp;$G$8,BD!$M$3:$M$5001,"&lt;&gt;")))</f>
        <v/>
      </c>
      <c r="G260" s="42" t="str">
        <f>IF(COUNTIFS(BD!$B$3:$B$5001,$A260,BD!$A$3:$A$5001,"&gt;="&amp;$F$7,BD!$A$3:$A$5001,"&lt;="&amp;$G$7,BD!$L$3:$L$5001,"&lt;&gt;")=0,"",SUMIFS(BD!$L$3:$L$5001,BD!$B$3:$B$5001,$A260,BD!$A$3:$A$5001,_xlfn.MAXIFS(BD!$A$3:$A$5001,BD!$B$3:$B$5001,$A260,BD!$A$3:$A$5001,"&gt;="&amp;$F$7,BD!$A$3:$A$5001,"&lt;="&amp;$G$7,BD!$L$3:$L$5001,"&lt;&gt;")))</f>
        <v/>
      </c>
      <c r="H260" s="42" t="str">
        <f>IF(COUNTIFS(BD!$B$3:$B$5001,$A260,BD!$A$3:$A$5001,"&gt;="&amp;$F$8,BD!$A$3:$A$5001,"&lt;="&amp;$G$8,BD!$L$3:$L$5001,"&lt;&gt;")=0,"",SUMIFS(BD!$L$3:$L$5001,BD!$B$3:$B$5001,$A260,BD!$A$3:$A$5001,_xlfn.MAXIFS(BD!$A$3:$A$5001,BD!$B$3:$B$5001,$A260,BD!$A$3:$A$5001,"&gt;="&amp;$F$8,BD!$A$3:$A$5001,"&lt;="&amp;$G$8,BD!$L$3:$L$5001,"&lt;&gt;")))</f>
        <v/>
      </c>
      <c r="I260" s="42" t="str">
        <f>IF(COUNTIFS(BD!$B$3:$B$5001,$A260,BD!$A$3:$A$5001,"&gt;="&amp;$F$7,BD!$A$3:$A$5001,"&lt;="&amp;$G$7,BD!$N$3:$N$5001,"&lt;&gt;")=0,"",SUMIFS(BD!$N$3:$N$5001,BD!$B$3:$B$5001,$A260,BD!$A$3:$A$5001,_xlfn.MAXIFS(BD!$A$3:$A$5001,BD!$B$3:$B$5001,$A260,BD!$A$3:$A$5001,"&gt;="&amp;$F$7,BD!$A$3:$A$5001,"&lt;="&amp;$G$7,BD!$N$3:$N$5001,"&lt;&gt;")))</f>
        <v/>
      </c>
      <c r="J260" s="42" t="str">
        <f>IF(COUNTIFS(BD!$B$3:$B$5001,$A260,BD!$A$3:$A$5001,"&gt;="&amp;$F$8,BD!$A$3:$A$5001,"&lt;="&amp;$G$8,BD!$N$3:$N$5001,"&lt;&gt;")=0,"",SUMIFS(BD!$N$3:$N$5001,BD!$B$3:$B$5001,$A260,BD!$A$3:$A$5001,_xlfn.MAXIFS(BD!$A$3:$A$5001,BD!$B$3:$B$5001,$A260,BD!$A$3:$A$5001,"&gt;="&amp;$F$8,BD!$A$3:$A$5001,"&lt;="&amp;$G$8,BD!$N$3:$N$5001,"&lt;&gt;")))</f>
        <v/>
      </c>
    </row>
    <row r="261">
      <c r="A261" s="64" t="inlineStr">
        <is>
          <t xml:space="preserve">Nestlé</t>
        </is>
      </c>
      <c r="B261" s="40" t="inlineStr">
        <is>
          <t xml:space="preserve">JSL</t>
        </is>
      </c>
      <c r="C261" s="42" t="str">
        <f>IF(COUNTIFS(BD!$B$3:$B$5001,$A261,BD!$A$3:$A$5001,"&gt;="&amp;$F$7,BD!$A$3:$A$5001,"&lt;="&amp;$G$7,BD!$K$3:$K$5001,"&lt;&gt;")=0,"",SUMIFS(BD!$K$3:$K$5001,BD!$B$3:$B$5001,$A261,BD!$A$3:$A$5001,_xlfn.MAXIFS(BD!$A$3:$A$5001,BD!$B$3:$B$5001,$A261,BD!$A$3:$A$5001,"&gt;="&amp;$F$7,BD!$A$3:$A$5001,"&lt;="&amp;$G$7,BD!$K$3:$K$5001,"&lt;&gt;")))</f>
        <v/>
      </c>
      <c r="D261" s="42" t="str">
        <f>IF(COUNTIFS(BD!$B$3:$B$5001,$A261,BD!$A$3:$A$5001,"&gt;="&amp;$F$8,BD!$A$3:$A$5001,"&lt;="&amp;$G$8,BD!$K$3:$K$5001,"&lt;&gt;")=0,"",SUMIFS(BD!$K$3:$K$5001,BD!$B$3:$B$5001,$A261,BD!$A$3:$A$5001,_xlfn.MAXIFS(BD!$A$3:$A$5001,BD!$B$3:$B$5001,$A261,BD!$A$3:$A$5001,"&gt;="&amp;$F$8,BD!$A$3:$A$5001,"&lt;="&amp;$G$8,BD!$K$3:$K$5001,"&lt;&gt;")))</f>
        <v/>
      </c>
      <c r="E261" s="42" t="str">
        <f>IF(COUNTIFS(BD!$B$3:$B$5001,$A261,BD!$A$3:$A$5001,"&gt;="&amp;$F$7,BD!$A$3:$A$5001,"&lt;="&amp;$G$7,BD!$M$3:$M$5001,"&lt;&gt;")=0,"",SUMIFS(BD!$M$3:$M$5001,BD!$B$3:$B$5001,$A261,BD!$A$3:$A$5001,_xlfn.MAXIFS(BD!$A$3:$A$5001,BD!$B$3:$B$5001,$A261,BD!$A$3:$A$5001,"&gt;="&amp;$F$7,BD!$A$3:$A$5001,"&lt;="&amp;$G$7,BD!$M$3:$M$5001,"&lt;&gt;")))</f>
        <v/>
      </c>
      <c r="F261" s="42" t="str">
        <f>IF(COUNTIFS(BD!$B$3:$B$5001,$A261,BD!$A$3:$A$5001,"&gt;="&amp;$F$8,BD!$A$3:$A$5001,"&lt;="&amp;$G$8,BD!$M$3:$M$5001,"&lt;&gt;")=0,"",SUMIFS(BD!$M$3:$M$5001,BD!$B$3:$B$5001,$A261,BD!$A$3:$A$5001,_xlfn.MAXIFS(BD!$A$3:$A$5001,BD!$B$3:$B$5001,$A261,BD!$A$3:$A$5001,"&gt;="&amp;$F$8,BD!$A$3:$A$5001,"&lt;="&amp;$G$8,BD!$M$3:$M$5001,"&lt;&gt;")))</f>
        <v/>
      </c>
      <c r="G261" s="42" t="str">
        <f>IF(COUNTIFS(BD!$B$3:$B$5001,$A261,BD!$A$3:$A$5001,"&gt;="&amp;$F$7,BD!$A$3:$A$5001,"&lt;="&amp;$G$7,BD!$L$3:$L$5001,"&lt;&gt;")=0,"",SUMIFS(BD!$L$3:$L$5001,BD!$B$3:$B$5001,$A261,BD!$A$3:$A$5001,_xlfn.MAXIFS(BD!$A$3:$A$5001,BD!$B$3:$B$5001,$A261,BD!$A$3:$A$5001,"&gt;="&amp;$F$7,BD!$A$3:$A$5001,"&lt;="&amp;$G$7,BD!$L$3:$L$5001,"&lt;&gt;")))</f>
        <v/>
      </c>
      <c r="H261" s="42" t="str">
        <f>IF(COUNTIFS(BD!$B$3:$B$5001,$A261,BD!$A$3:$A$5001,"&gt;="&amp;$F$8,BD!$A$3:$A$5001,"&lt;="&amp;$G$8,BD!$L$3:$L$5001,"&lt;&gt;")=0,"",SUMIFS(BD!$L$3:$L$5001,BD!$B$3:$B$5001,$A261,BD!$A$3:$A$5001,_xlfn.MAXIFS(BD!$A$3:$A$5001,BD!$B$3:$B$5001,$A261,BD!$A$3:$A$5001,"&gt;="&amp;$F$8,BD!$A$3:$A$5001,"&lt;="&amp;$G$8,BD!$L$3:$L$5001,"&lt;&gt;")))</f>
        <v/>
      </c>
      <c r="I261" s="42" t="str">
        <f>IF(COUNTIFS(BD!$B$3:$B$5001,$A261,BD!$A$3:$A$5001,"&gt;="&amp;$F$7,BD!$A$3:$A$5001,"&lt;="&amp;$G$7,BD!$N$3:$N$5001,"&lt;&gt;")=0,"",SUMIFS(BD!$N$3:$N$5001,BD!$B$3:$B$5001,$A261,BD!$A$3:$A$5001,_xlfn.MAXIFS(BD!$A$3:$A$5001,BD!$B$3:$B$5001,$A261,BD!$A$3:$A$5001,"&gt;="&amp;$F$7,BD!$A$3:$A$5001,"&lt;="&amp;$G$7,BD!$N$3:$N$5001,"&lt;&gt;")))</f>
        <v/>
      </c>
      <c r="J261" s="42" t="str">
        <f>IF(COUNTIFS(BD!$B$3:$B$5001,$A261,BD!$A$3:$A$5001,"&gt;="&amp;$F$8,BD!$A$3:$A$5001,"&lt;="&amp;$G$8,BD!$N$3:$N$5001,"&lt;&gt;")=0,"",SUMIFS(BD!$N$3:$N$5001,BD!$B$3:$B$5001,$A261,BD!$A$3:$A$5001,_xlfn.MAXIFS(BD!$A$3:$A$5001,BD!$B$3:$B$5001,$A261,BD!$A$3:$A$5001,"&gt;="&amp;$F$8,BD!$A$3:$A$5001,"&lt;="&amp;$G$8,BD!$N$3:$N$5001,"&lt;&gt;")))</f>
        <v/>
      </c>
    </row>
    <row r="262">
      <c r="A262" s="64" t="inlineStr">
        <is>
          <t xml:space="preserve">PMB</t>
        </is>
      </c>
      <c r="B262" s="40" t="inlineStr">
        <is>
          <t xml:space="preserve">JSL</t>
        </is>
      </c>
      <c r="C262" s="42" t="str">
        <f>IF(COUNTIFS(BD!$B$3:$B$5001,$A262,BD!$A$3:$A$5001,"&gt;="&amp;$F$7,BD!$A$3:$A$5001,"&lt;="&amp;$G$7,BD!$K$3:$K$5001,"&lt;&gt;")=0,"",SUMIFS(BD!$K$3:$K$5001,BD!$B$3:$B$5001,$A262,BD!$A$3:$A$5001,_xlfn.MAXIFS(BD!$A$3:$A$5001,BD!$B$3:$B$5001,$A262,BD!$A$3:$A$5001,"&gt;="&amp;$F$7,BD!$A$3:$A$5001,"&lt;="&amp;$G$7,BD!$K$3:$K$5001,"&lt;&gt;")))</f>
        <v/>
      </c>
      <c r="D262" s="42" t="str">
        <f>IF(COUNTIFS(BD!$B$3:$B$5001,$A262,BD!$A$3:$A$5001,"&gt;="&amp;$F$8,BD!$A$3:$A$5001,"&lt;="&amp;$G$8,BD!$K$3:$K$5001,"&lt;&gt;")=0,"",SUMIFS(BD!$K$3:$K$5001,BD!$B$3:$B$5001,$A262,BD!$A$3:$A$5001,_xlfn.MAXIFS(BD!$A$3:$A$5001,BD!$B$3:$B$5001,$A262,BD!$A$3:$A$5001,"&gt;="&amp;$F$8,BD!$A$3:$A$5001,"&lt;="&amp;$G$8,BD!$K$3:$K$5001,"&lt;&gt;")))</f>
        <v/>
      </c>
      <c r="E262" s="42" t="str">
        <f>IF(COUNTIFS(BD!$B$3:$B$5001,$A262,BD!$A$3:$A$5001,"&gt;="&amp;$F$7,BD!$A$3:$A$5001,"&lt;="&amp;$G$7,BD!$M$3:$M$5001,"&lt;&gt;")=0,"",SUMIFS(BD!$M$3:$M$5001,BD!$B$3:$B$5001,$A262,BD!$A$3:$A$5001,_xlfn.MAXIFS(BD!$A$3:$A$5001,BD!$B$3:$B$5001,$A262,BD!$A$3:$A$5001,"&gt;="&amp;$F$7,BD!$A$3:$A$5001,"&lt;="&amp;$G$7,BD!$M$3:$M$5001,"&lt;&gt;")))</f>
        <v/>
      </c>
      <c r="F262" s="42" t="str">
        <f>IF(COUNTIFS(BD!$B$3:$B$5001,$A262,BD!$A$3:$A$5001,"&gt;="&amp;$F$8,BD!$A$3:$A$5001,"&lt;="&amp;$G$8,BD!$M$3:$M$5001,"&lt;&gt;")=0,"",SUMIFS(BD!$M$3:$M$5001,BD!$B$3:$B$5001,$A262,BD!$A$3:$A$5001,_xlfn.MAXIFS(BD!$A$3:$A$5001,BD!$B$3:$B$5001,$A262,BD!$A$3:$A$5001,"&gt;="&amp;$F$8,BD!$A$3:$A$5001,"&lt;="&amp;$G$8,BD!$M$3:$M$5001,"&lt;&gt;")))</f>
        <v/>
      </c>
      <c r="G262" s="42" t="str">
        <f>IF(COUNTIFS(BD!$B$3:$B$5001,$A262,BD!$A$3:$A$5001,"&gt;="&amp;$F$7,BD!$A$3:$A$5001,"&lt;="&amp;$G$7,BD!$L$3:$L$5001,"&lt;&gt;")=0,"",SUMIFS(BD!$L$3:$L$5001,BD!$B$3:$B$5001,$A262,BD!$A$3:$A$5001,_xlfn.MAXIFS(BD!$A$3:$A$5001,BD!$B$3:$B$5001,$A262,BD!$A$3:$A$5001,"&gt;="&amp;$F$7,BD!$A$3:$A$5001,"&lt;="&amp;$G$7,BD!$L$3:$L$5001,"&lt;&gt;")))</f>
        <v/>
      </c>
      <c r="H262" s="42" t="str">
        <f>IF(COUNTIFS(BD!$B$3:$B$5001,$A262,BD!$A$3:$A$5001,"&gt;="&amp;$F$8,BD!$A$3:$A$5001,"&lt;="&amp;$G$8,BD!$L$3:$L$5001,"&lt;&gt;")=0,"",SUMIFS(BD!$L$3:$L$5001,BD!$B$3:$B$5001,$A262,BD!$A$3:$A$5001,_xlfn.MAXIFS(BD!$A$3:$A$5001,BD!$B$3:$B$5001,$A262,BD!$A$3:$A$5001,"&gt;="&amp;$F$8,BD!$A$3:$A$5001,"&lt;="&amp;$G$8,BD!$L$3:$L$5001,"&lt;&gt;")))</f>
        <v/>
      </c>
      <c r="I262" s="42" t="str">
        <f>IF(COUNTIFS(BD!$B$3:$B$5001,$A262,BD!$A$3:$A$5001,"&gt;="&amp;$F$7,BD!$A$3:$A$5001,"&lt;="&amp;$G$7,BD!$N$3:$N$5001,"&lt;&gt;")=0,"",SUMIFS(BD!$N$3:$N$5001,BD!$B$3:$B$5001,$A262,BD!$A$3:$A$5001,_xlfn.MAXIFS(BD!$A$3:$A$5001,BD!$B$3:$B$5001,$A262,BD!$A$3:$A$5001,"&gt;="&amp;$F$7,BD!$A$3:$A$5001,"&lt;="&amp;$G$7,BD!$N$3:$N$5001,"&lt;&gt;")))</f>
        <v/>
      </c>
      <c r="J262" s="42" t="str">
        <f>IF(COUNTIFS(BD!$B$3:$B$5001,$A262,BD!$A$3:$A$5001,"&gt;="&amp;$F$8,BD!$A$3:$A$5001,"&lt;="&amp;$G$8,BD!$N$3:$N$5001,"&lt;&gt;")=0,"",SUMIFS(BD!$N$3:$N$5001,BD!$B$3:$B$5001,$A262,BD!$A$3:$A$5001,_xlfn.MAXIFS(BD!$A$3:$A$5001,BD!$B$3:$B$5001,$A262,BD!$A$3:$A$5001,"&gt;="&amp;$F$8,BD!$A$3:$A$5001,"&lt;="&amp;$G$8,BD!$N$3:$N$5001,"&lt;&gt;")))</f>
        <v/>
      </c>
    </row>
    <row r="264">
      <c r="A264" s="19" t="inlineStr">
        <is>
          <t xml:space="preserve">INDICADORES DO PERÍODO (cards do Dashboard)</t>
        </is>
      </c>
    </row>
    <row r="265">
      <c r="A265" s="37" t="inlineStr">
        <is>
          <t xml:space="preserve">Indicador</t>
        </is>
      </c>
      <c r="B265" s="37" t="inlineStr">
        <is>
          <t xml:space="preserve">Período</t>
        </is>
      </c>
      <c r="C265" s="37" t="inlineStr">
        <is>
          <t xml:space="preserve">Período anterior</t>
        </is>
      </c>
      <c r="D265" s="37" t="inlineStr">
        <is>
          <t xml:space="preserve">Variação</t>
        </is>
      </c>
    </row>
    <row r="266">
      <c r="A266" s="29" t="inlineStr">
        <is>
          <t xml:space="preserve">IN · Veículos Recebidos</t>
        </is>
      </c>
      <c r="B266" s="32">
        <f>IF($B$2="Todos",SUMIFS(BD!$C$3:$C$5001,BD!$A$3:$A$5001,"&gt;="&amp;$F$7,BD!$A$3:$A$5001,"&lt;="&amp;$G$7),SUMIFS(BD!$C$3:$C$5001,BD!$A$3:$A$5001,"&gt;="&amp;$F$7,BD!$A$3:$A$5001,"&lt;="&amp;$G$7,BD!$B$3:$B$5001,$D$2))</f>
        <v>0</v>
      </c>
      <c r="C266" s="32">
        <f>IF($B$2="Todos",SUMIFS(BD!$C$3:$C$5001,BD!$A$3:$A$5001,"&gt;="&amp;$F$8,BD!$A$3:$A$5001,"&lt;="&amp;$G$8),SUMIFS(BD!$C$3:$C$5001,BD!$A$3:$A$5001,"&gt;="&amp;$F$8,BD!$A$3:$A$5001,"&lt;="&amp;$G$8,BD!$B$3:$B$5001,$D$2))</f>
        <v>0</v>
      </c>
      <c r="D266" s="48" t="str">
        <f>IF(AND(ISNUMBER(B266),ISNUMBER(C266)),IF(C266&lt;&gt;0,B266/C266-1,""),"")</f>
        <v/>
      </c>
    </row>
    <row r="267">
      <c r="A267" s="29" t="inlineStr">
        <is>
          <t xml:space="preserve">IN · Pallets Movimentados</t>
        </is>
      </c>
      <c r="B267" s="32">
        <f>IF($B$2="Todos",SUMIFS(BD!$D$3:$D$5001,BD!$A$3:$A$5001,"&gt;="&amp;$F$7,BD!$A$3:$A$5001,"&lt;="&amp;$G$7),SUMIFS(BD!$D$3:$D$5001,BD!$A$3:$A$5001,"&gt;="&amp;$F$7,BD!$A$3:$A$5001,"&lt;="&amp;$G$7,BD!$B$3:$B$5001,$D$2))</f>
        <v>0</v>
      </c>
      <c r="C267" s="32">
        <f>IF($B$2="Todos",SUMIFS(BD!$D$3:$D$5001,BD!$A$3:$A$5001,"&gt;="&amp;$F$8,BD!$A$3:$A$5001,"&lt;="&amp;$G$8),SUMIFS(BD!$D$3:$D$5001,BD!$A$3:$A$5001,"&gt;="&amp;$F$8,BD!$A$3:$A$5001,"&lt;="&amp;$G$8,BD!$B$3:$B$5001,$D$2))</f>
        <v>0</v>
      </c>
      <c r="D267" s="48" t="str">
        <f>IF(AND(ISNUMBER(B267),ISNUMBER(C267)),IF(C267&lt;&gt;0,B267/C267-1,""),"")</f>
        <v/>
      </c>
    </row>
    <row r="268">
      <c r="A268" s="29" t="inlineStr">
        <is>
          <t xml:space="preserve">IN · Toneladas Movimentadas</t>
        </is>
      </c>
      <c r="B268" s="60">
        <f>IF($B$2="Todos",SUMIFS(BD!$E$3:$E$5001,BD!$A$3:$A$5001,"&gt;="&amp;$F$7,BD!$A$3:$A$5001,"&lt;="&amp;$G$7),SUMIFS(BD!$E$3:$E$5001,BD!$A$3:$A$5001,"&gt;="&amp;$F$7,BD!$A$3:$A$5001,"&lt;="&amp;$G$7,BD!$B$3:$B$5001,$D$2))</f>
        <v>0</v>
      </c>
      <c r="C268" s="60">
        <f>IF($B$2="Todos",SUMIFS(BD!$E$3:$E$5001,BD!$A$3:$A$5001,"&gt;="&amp;$F$8,BD!$A$3:$A$5001,"&lt;="&amp;$G$8),SUMIFS(BD!$E$3:$E$5001,BD!$A$3:$A$5001,"&gt;="&amp;$F$8,BD!$A$3:$A$5001,"&lt;="&amp;$G$8,BD!$B$3:$B$5001,$D$2))</f>
        <v>0</v>
      </c>
      <c r="D268" s="48" t="str">
        <f>IF(AND(ISNUMBER(B268),ISNUMBER(C268)),IF(C268&lt;&gt;0,B268/C268-1,""),"")</f>
        <v/>
      </c>
    </row>
    <row r="269">
      <c r="A269" s="29" t="inlineStr">
        <is>
          <t xml:space="preserve">OUT · Veículos Expedidos</t>
        </is>
      </c>
      <c r="B269" s="32">
        <f>IF($B$2="Todos",SUMIFS(BD!$F$3:$F$5001,BD!$A$3:$A$5001,"&gt;="&amp;$F$7,BD!$A$3:$A$5001,"&lt;="&amp;$G$7),SUMIFS(BD!$F$3:$F$5001,BD!$A$3:$A$5001,"&gt;="&amp;$F$7,BD!$A$3:$A$5001,"&lt;="&amp;$G$7,BD!$B$3:$B$5001,$D$2))</f>
        <v>0</v>
      </c>
      <c r="C269" s="32">
        <f>IF($B$2="Todos",SUMIFS(BD!$F$3:$F$5001,BD!$A$3:$A$5001,"&gt;="&amp;$F$8,BD!$A$3:$A$5001,"&lt;="&amp;$G$8),SUMIFS(BD!$F$3:$F$5001,BD!$A$3:$A$5001,"&gt;="&amp;$F$8,BD!$A$3:$A$5001,"&lt;="&amp;$G$8,BD!$B$3:$B$5001,$D$2))</f>
        <v>0</v>
      </c>
      <c r="D269" s="48" t="str">
        <f>IF(AND(ISNUMBER(B269),ISNUMBER(C269)),IF(C269&lt;&gt;0,B269/C269-1,""),"")</f>
        <v/>
      </c>
    </row>
    <row r="270">
      <c r="A270" s="29" t="inlineStr">
        <is>
          <t xml:space="preserve">OUT · Pallets Movimentados</t>
        </is>
      </c>
      <c r="B270" s="32">
        <f>IF($B$2="Todos",SUMIFS(BD!$G$3:$G$5001,BD!$A$3:$A$5001,"&gt;="&amp;$F$7,BD!$A$3:$A$5001,"&lt;="&amp;$G$7),SUMIFS(BD!$G$3:$G$5001,BD!$A$3:$A$5001,"&gt;="&amp;$F$7,BD!$A$3:$A$5001,"&lt;="&amp;$G$7,BD!$B$3:$B$5001,$D$2))</f>
        <v>0</v>
      </c>
      <c r="C270" s="32">
        <f>IF($B$2="Todos",SUMIFS(BD!$G$3:$G$5001,BD!$A$3:$A$5001,"&gt;="&amp;$F$8,BD!$A$3:$A$5001,"&lt;="&amp;$G$8),SUMIFS(BD!$G$3:$G$5001,BD!$A$3:$A$5001,"&gt;="&amp;$F$8,BD!$A$3:$A$5001,"&lt;="&amp;$G$8,BD!$B$3:$B$5001,$D$2))</f>
        <v>0</v>
      </c>
      <c r="D270" s="48" t="str">
        <f>IF(AND(ISNUMBER(B270),ISNUMBER(C270)),IF(C270&lt;&gt;0,B270/C270-1,""),"")</f>
        <v/>
      </c>
    </row>
    <row r="271">
      <c r="A271" s="29" t="inlineStr">
        <is>
          <t xml:space="preserve">OUT · Toneladas Movimentadas</t>
        </is>
      </c>
      <c r="B271" s="60">
        <f>IF($B$2="Todos",SUMIFS(BD!$H$3:$H$5001,BD!$A$3:$A$5001,"&gt;="&amp;$F$7,BD!$A$3:$A$5001,"&lt;="&amp;$G$7),SUMIFS(BD!$H$3:$H$5001,BD!$A$3:$A$5001,"&gt;="&amp;$F$7,BD!$A$3:$A$5001,"&lt;="&amp;$G$7,BD!$B$3:$B$5001,$D$2))</f>
        <v>0</v>
      </c>
      <c r="C271" s="60">
        <f>IF($B$2="Todos",SUMIFS(BD!$H$3:$H$5001,BD!$A$3:$A$5001,"&gt;="&amp;$F$8,BD!$A$3:$A$5001,"&lt;="&amp;$G$8),SUMIFS(BD!$H$3:$H$5001,BD!$A$3:$A$5001,"&gt;="&amp;$F$8,BD!$A$3:$A$5001,"&lt;="&amp;$G$8,BD!$B$3:$B$5001,$D$2))</f>
        <v>0</v>
      </c>
      <c r="D271" s="48" t="str">
        <f>IF(AND(ISNUMBER(B271),ISNUMBER(C271)),IF(C271&lt;&gt;0,B271/C271-1,""),"")</f>
        <v/>
      </c>
    </row>
    <row r="272">
      <c r="A272" s="29" t="inlineStr">
        <is>
          <t xml:space="preserve">NC · Incidentes</t>
        </is>
      </c>
      <c r="B272" s="32">
        <f>IF($B$2="Todos",SUMIFS(BD!$I$3:$I$5001,BD!$A$3:$A$5001,"&gt;="&amp;$F$7,BD!$A$3:$A$5001,"&lt;="&amp;$G$7),SUMIFS(BD!$I$3:$I$5001,BD!$A$3:$A$5001,"&gt;="&amp;$F$7,BD!$A$3:$A$5001,"&lt;="&amp;$G$7,BD!$B$3:$B$5001,$D$2))</f>
        <v>0</v>
      </c>
      <c r="C272" s="32">
        <f>IF($B$2="Todos",SUMIFS(BD!$I$3:$I$5001,BD!$A$3:$A$5001,"&gt;="&amp;$F$8,BD!$A$3:$A$5001,"&lt;="&amp;$G$8),SUMIFS(BD!$I$3:$I$5001,BD!$A$3:$A$5001,"&gt;="&amp;$F$8,BD!$A$3:$A$5001,"&lt;="&amp;$G$8,BD!$B$3:$B$5001,$D$2))</f>
        <v>0</v>
      </c>
      <c r="D272" s="48" t="str">
        <f>IF(AND(ISNUMBER(B272),ISNUMBER(C272)),IF(C272&lt;&gt;0,B272/C272-1,""),"")</f>
        <v/>
      </c>
    </row>
    <row r="273">
      <c r="A273" s="29" t="inlineStr">
        <is>
          <t xml:space="preserve">NC · No show</t>
        </is>
      </c>
      <c r="B273" s="32">
        <f>IF($B$2="Todos",SUMIFS(BD!$J$3:$J$5001,BD!$A$3:$A$5001,"&gt;="&amp;$F$7,BD!$A$3:$A$5001,"&lt;="&amp;$G$7),SUMIFS(BD!$J$3:$J$5001,BD!$A$3:$A$5001,"&gt;="&amp;$F$7,BD!$A$3:$A$5001,"&lt;="&amp;$G$7,BD!$B$3:$B$5001,$D$2))</f>
        <v>0</v>
      </c>
      <c r="C273" s="32">
        <f>IF($B$2="Todos",SUMIFS(BD!$J$3:$J$5001,BD!$A$3:$A$5001,"&gt;="&amp;$F$8,BD!$A$3:$A$5001,"&lt;="&amp;$G$8),SUMIFS(BD!$J$3:$J$5001,BD!$A$3:$A$5001,"&gt;="&amp;$F$8,BD!$A$3:$A$5001,"&lt;="&amp;$G$8,BD!$B$3:$B$5001,$D$2))</f>
        <v>0</v>
      </c>
      <c r="D273" s="48" t="str">
        <f>IF(AND(ISNUMBER(B273),ISNUMBER(C273)),IF(C273&lt;&gt;0,B273/C273-1,""),"")</f>
        <v/>
      </c>
    </row>
    <row r="274">
      <c r="A274" s="29" t="inlineStr">
        <is>
          <t xml:space="preserve">NC · Backlog</t>
        </is>
      </c>
      <c r="B274" s="32" t="str">
        <f>IF($B$2="Todos",IF(COUNT($C$258:$C$262)=0,"",SUM($C$258:$C$262)),IFERROR(INDEX($C$258:$C$262,MATCH($D$2,$A$258:$A$262,0)),""))</f>
        <v/>
      </c>
      <c r="C274" s="32" t="str">
        <f>IF($B$2="Todos",IF(COUNT($D$258:$D$262)=0,"",SUM($D$258:$D$262)),IFERROR(INDEX($D$258:$D$262,MATCH($D$2,$A$258:$A$262,0)),""))</f>
        <v/>
      </c>
      <c r="D274" s="48" t="str">
        <f>IF(AND(ISNUMBER(B274),ISNUMBER(C274)),IF(C274&lt;&gt;0,B274/C274-1,""),"")</f>
        <v/>
      </c>
    </row>
    <row r="275">
      <c r="A275" s="29" t="inlineStr">
        <is>
          <t xml:space="preserve">OCUPAÇÃO (P.P) · Posições Ocupadas</t>
        </is>
      </c>
      <c r="B275" s="32" t="str">
        <f>IF($B$2="Todos",IF(COUNT($E$258:$E$262)=0,"",SUM($E$258:$E$262)),IFERROR(INDEX($E$258:$E$262,MATCH($D$2,$A$258:$A$262,0)),""))</f>
        <v/>
      </c>
      <c r="C275" s="32" t="str">
        <f>IF($B$2="Todos",IF(COUNT($F$258:$F$262)=0,"",SUM($F$258:$F$262)),IFERROR(INDEX($F$258:$F$262,MATCH($D$2,$A$258:$A$262,0)),""))</f>
        <v/>
      </c>
      <c r="D275" s="48" t="str">
        <f>IF(AND(ISNUMBER(B275),ISNUMBER(C275)),IF(C275&lt;&gt;0,B275/C275-1,""),"")</f>
        <v/>
      </c>
    </row>
    <row r="276">
      <c r="A276" s="29" t="inlineStr">
        <is>
          <t xml:space="preserve">OCUPAÇÃO (P.P) · Posições Disponíveis</t>
        </is>
      </c>
      <c r="B276" s="32" t="str">
        <f>IF(B275="","",IF($B$2="Todos",IF($B$4&gt;0,$B$4,IF($B$2="Todos",IF(COUNT($G$258:$G$262)=0,"",SUM($G$258:$G$262)),IFERROR(INDEX($G$258:$G$262,MATCH($D$2,$A$258:$A$262,0)),""))),IF($B$2="Todos",IF(COUNT($G$258:$G$262)=0,"",SUM($G$258:$G$262)),IFERROR(INDEX($G$258:$G$262,MATCH($D$2,$A$258:$A$262,0)),""))))</f>
        <v/>
      </c>
      <c r="C276" s="32" t="str">
        <f>IF(C275="","",IF($B$2="Todos",IF($B$4&gt;0,$B$4,IF($B$2="Todos",IF(COUNT($H$258:$H$262)=0,"",SUM($H$258:$H$262)),IFERROR(INDEX($H$258:$H$262,MATCH($D$2,$A$258:$A$262,0)),""))),IF($B$2="Todos",IF(COUNT($H$258:$H$262)=0,"",SUM($H$258:$H$262)),IFERROR(INDEX($H$258:$H$262,MATCH($D$2,$A$258:$A$262,0)),""))))</f>
        <v/>
      </c>
      <c r="D276" s="48" t="str">
        <f>IF(AND(ISNUMBER(B276),ISNUMBER(C276)),IF(C276&lt;&gt;0,B276/C276-1,""),"")</f>
        <v/>
      </c>
    </row>
    <row r="277">
      <c r="A277" s="29" t="inlineStr">
        <is>
          <t xml:space="preserve">OCUPAÇÃO (P.P) · Taxa de Ocupação</t>
        </is>
      </c>
      <c r="B277" s="48" t="str">
        <f>IF(AND(ISNUMBER(B275),ISNUMBER(B276)),IF(B276&gt;0,B275/B276,""),"")</f>
        <v/>
      </c>
      <c r="C277" s="48" t="str">
        <f>IF(AND(ISNUMBER(C275),ISNUMBER(C276)),IF(C276&gt;0,C275/C276,""),"")</f>
        <v/>
      </c>
      <c r="D277" s="48" t="str">
        <f>IF(AND(ISNUMBER(B277),ISNUMBER(C277)),IF(C277&lt;&gt;0,B277/C277-1,""),"")</f>
        <v/>
      </c>
    </row>
    <row r="278">
      <c r="A278" s="29" t="inlineStr">
        <is>
          <t xml:space="preserve">OCUPAÇÃO (P.P) · Ociosidade</t>
        </is>
      </c>
      <c r="B278" s="48" t="str">
        <f>IF(ISNUMBER(B277),1-B277,"")</f>
        <v/>
      </c>
      <c r="C278" s="48" t="str">
        <f>IF(ISNUMBER(C277),1-C277,"")</f>
        <v/>
      </c>
      <c r="D278" s="48" t="str">
        <f>IF(AND(ISNUMBER(B278),ISNUMBER(C278)),IF(C278&lt;&gt;0,B278/C278-1,""),"")</f>
        <v/>
      </c>
    </row>
    <row r="279">
      <c r="A279" s="29" t="inlineStr">
        <is>
          <t xml:space="preserve">GENTE · Efetivo Op.</t>
        </is>
      </c>
      <c r="B279" s="32" t="str">
        <f>IF($B$2="Todos",IF(COUNT($I$258:$I$262)=0,"",SUM($I$258:$I$262)),IFERROR(INDEX($I$258:$I$262,MATCH($D$2,$A$258:$A$262,0)),""))</f>
        <v/>
      </c>
      <c r="C279" s="32" t="str">
        <f>IF($B$2="Todos",IF(COUNT($J$258:$J$262)=0,"",SUM($J$258:$J$262)),IFERROR(INDEX($J$258:$J$262,MATCH($D$2,$A$258:$A$262,0)),""))</f>
        <v/>
      </c>
      <c r="D279" s="48" t="str">
        <f>IF(AND(ISNUMBER(B279),ISNUMBER(C279)),IF(C279&lt;&gt;0,B279/C279-1,""),"")</f>
        <v/>
      </c>
    </row>
    <row r="280">
      <c r="A280" s="29" t="inlineStr">
        <is>
          <t xml:space="preserve">GENTE · Homem-dia (soma do efetivo diário)</t>
        </is>
      </c>
      <c r="B280" s="32">
        <f>IF($B$2="Todos",SUMIFS(BD!$N$3:$N$5001,BD!$A$3:$A$5001,"&gt;="&amp;$F$7,BD!$A$3:$A$5001,"&lt;="&amp;$G$7),SUMIFS(BD!$N$3:$N$5001,BD!$A$3:$A$5001,"&gt;="&amp;$F$7,BD!$A$3:$A$5001,"&lt;="&amp;$G$7,BD!$B$3:$B$5001,$D$2))</f>
        <v>0</v>
      </c>
      <c r="C280" s="32">
        <f>IF($B$2="Todos",SUMIFS(BD!$N$3:$N$5001,BD!$A$3:$A$5001,"&gt;="&amp;$F$8,BD!$A$3:$A$5001,"&lt;="&amp;$G$8),SUMIFS(BD!$N$3:$N$5001,BD!$A$3:$A$5001,"&gt;="&amp;$F$8,BD!$A$3:$A$5001,"&lt;="&amp;$G$8,BD!$B$3:$B$5001,$D$2))</f>
        <v>0</v>
      </c>
      <c r="D280" s="48" t="str">
        <f>IF(AND(ISNUMBER(B280),ISNUMBER(C280)),IF(C280&lt;&gt;0,B280/C280-1,""),"")</f>
        <v/>
      </c>
    </row>
    <row r="281">
      <c r="A281" s="29" t="inlineStr">
        <is>
          <t xml:space="preserve">GENTE · Falta</t>
        </is>
      </c>
      <c r="B281" s="32">
        <f>IF($B$2="Todos",SUMIFS(BD!$O$3:$O$5001,BD!$A$3:$A$5001,"&gt;="&amp;$F$7,BD!$A$3:$A$5001,"&lt;="&amp;$G$7),SUMIFS(BD!$O$3:$O$5001,BD!$A$3:$A$5001,"&gt;="&amp;$F$7,BD!$A$3:$A$5001,"&lt;="&amp;$G$7,BD!$B$3:$B$5001,$D$2))</f>
        <v>0</v>
      </c>
      <c r="C281" s="32">
        <f>IF($B$2="Todos",SUMIFS(BD!$O$3:$O$5001,BD!$A$3:$A$5001,"&gt;="&amp;$F$8,BD!$A$3:$A$5001,"&lt;="&amp;$G$8),SUMIFS(BD!$O$3:$O$5001,BD!$A$3:$A$5001,"&gt;="&amp;$F$8,BD!$A$3:$A$5001,"&lt;="&amp;$G$8,BD!$B$3:$B$5001,$D$2))</f>
        <v>0</v>
      </c>
      <c r="D281" s="48" t="str">
        <f>IF(AND(ISNUMBER(B281),ISNUMBER(C281)),IF(C281&lt;&gt;0,B281/C281-1,""),"")</f>
        <v/>
      </c>
    </row>
    <row r="282">
      <c r="A282" s="29" t="inlineStr">
        <is>
          <t xml:space="preserve">GENTE · Absenteísmo (H/H) = faltas ÷ homem-dia</t>
        </is>
      </c>
      <c r="B282" s="48" t="str">
        <f>IF(N(B280)&gt;0,N(B281)/B280,"")</f>
        <v/>
      </c>
      <c r="C282" s="48" t="str">
        <f>IF(N(C280)&gt;0,N(C281)/C280,"")</f>
        <v/>
      </c>
      <c r="D282" s="48" t="str">
        <f>IF(AND(ISNUMBER(B282),ISNUMBER(C282)),IF(C282&lt;&gt;0,B282/C282-1,""),"")</f>
        <v/>
      </c>
    </row>
    <row r="283">
      <c r="A283" s="29" t="inlineStr">
        <is>
          <t xml:space="preserve">GENTE · Folga</t>
        </is>
      </c>
      <c r="B283" s="32">
        <f>IF($B$2="Todos",SUMIFS(BD!$P$3:$P$5001,BD!$A$3:$A$5001,"&gt;="&amp;$F$7,BD!$A$3:$A$5001,"&lt;="&amp;$G$7),SUMIFS(BD!$P$3:$P$5001,BD!$A$3:$A$5001,"&gt;="&amp;$F$7,BD!$A$3:$A$5001,"&lt;="&amp;$G$7,BD!$B$3:$B$5001,$D$2))</f>
        <v>0</v>
      </c>
      <c r="C283" s="32">
        <f>IF($B$2="Todos",SUMIFS(BD!$P$3:$P$5001,BD!$A$3:$A$5001,"&gt;="&amp;$F$8,BD!$A$3:$A$5001,"&lt;="&amp;$G$8),SUMIFS(BD!$P$3:$P$5001,BD!$A$3:$A$5001,"&gt;="&amp;$F$8,BD!$A$3:$A$5001,"&lt;="&amp;$G$8,BD!$B$3:$B$5001,$D$2))</f>
        <v>0</v>
      </c>
      <c r="D283" s="48" t="str">
        <f>IF(AND(ISNUMBER(B283),ISNUMBER(C283)),IF(C283&lt;&gt;0,B283/C283-1,""),"")</f>
        <v/>
      </c>
    </row>
    <row r="284">
      <c r="A284" s="29" t="inlineStr">
        <is>
          <t xml:space="preserve">GENTE · Férias</t>
        </is>
      </c>
      <c r="B284" s="32">
        <f>IF($B$2="Todos",SUMIFS(BD!$Q$3:$Q$5001,BD!$A$3:$A$5001,"&gt;="&amp;$F$7,BD!$A$3:$A$5001,"&lt;="&amp;$G$7),SUMIFS(BD!$Q$3:$Q$5001,BD!$A$3:$A$5001,"&gt;="&amp;$F$7,BD!$A$3:$A$5001,"&lt;="&amp;$G$7,BD!$B$3:$B$5001,$D$2))</f>
        <v>0</v>
      </c>
      <c r="C284" s="32">
        <f>IF($B$2="Todos",SUMIFS(BD!$Q$3:$Q$5001,BD!$A$3:$A$5001,"&gt;="&amp;$F$8,BD!$A$3:$A$5001,"&lt;="&amp;$G$8),SUMIFS(BD!$Q$3:$Q$5001,BD!$A$3:$A$5001,"&gt;="&amp;$F$8,BD!$A$3:$A$5001,"&lt;="&amp;$G$8,BD!$B$3:$B$5001,$D$2))</f>
        <v>0</v>
      </c>
      <c r="D284" s="48" t="str">
        <f>IF(AND(ISNUMBER(B284),ISNUMBER(C284)),IF(C284&lt;&gt;0,B284/C284-1,""),"")</f>
        <v/>
      </c>
    </row>
    <row r="285">
      <c r="A285" s="29" t="inlineStr">
        <is>
          <t xml:space="preserve">GENTE · Desligamento</t>
        </is>
      </c>
      <c r="B285" s="32">
        <f>IF($B$2="Todos",SUMIFS(BD!$R$3:$R$5001,BD!$A$3:$A$5001,"&gt;="&amp;$F$7,BD!$A$3:$A$5001,"&lt;="&amp;$G$7),SUMIFS(BD!$R$3:$R$5001,BD!$A$3:$A$5001,"&gt;="&amp;$F$7,BD!$A$3:$A$5001,"&lt;="&amp;$G$7,BD!$B$3:$B$5001,$D$2))</f>
        <v>0</v>
      </c>
      <c r="C285" s="32">
        <f>IF($B$2="Todos",SUMIFS(BD!$R$3:$R$5001,BD!$A$3:$A$5001,"&gt;="&amp;$F$8,BD!$A$3:$A$5001,"&lt;="&amp;$G$8),SUMIFS(BD!$R$3:$R$5001,BD!$A$3:$A$5001,"&gt;="&amp;$F$8,BD!$A$3:$A$5001,"&lt;="&amp;$G$8,BD!$B$3:$B$5001,$D$2))</f>
        <v>0</v>
      </c>
      <c r="D285" s="48" t="str">
        <f>IF(AND(ISNUMBER(B285),ISNUMBER(C285)),IF(C285&lt;&gt;0,B285/C285-1,""),"")</f>
        <v/>
      </c>
    </row>
    <row r="286">
      <c r="A286" s="29" t="inlineStr">
        <is>
          <t xml:space="preserve">GENTE · Turnover = desligamentos ÷ efetivo</t>
        </is>
      </c>
      <c r="B286" s="48" t="str">
        <f>IF(N(B279)&gt;0,N(B285)/B279,"")</f>
        <v/>
      </c>
      <c r="C286" s="48" t="str">
        <f>IF(N(C279)&gt;0,N(C285)/C279,"")</f>
        <v/>
      </c>
      <c r="D286" s="48" t="str">
        <f>IF(AND(ISNUMBER(B286),ISNUMBER(C286)),IF(C286&lt;&gt;0,B286/C286-1,""),"")</f>
        <v/>
      </c>
    </row>
    <row r="287">
      <c r="A287" s="29" t="inlineStr">
        <is>
          <t xml:space="preserve">GENTE · Desvios Comportamentais</t>
        </is>
      </c>
      <c r="B287" s="32">
        <f>IF($B$2="Todos",SUMIFS(BD!$S$3:$S$5001,BD!$A$3:$A$5001,"&gt;="&amp;$F$7,BD!$A$3:$A$5001,"&lt;="&amp;$G$7),SUMIFS(BD!$S$3:$S$5001,BD!$A$3:$A$5001,"&gt;="&amp;$F$7,BD!$A$3:$A$5001,"&lt;="&amp;$G$7,BD!$B$3:$B$5001,$D$2))</f>
        <v>0</v>
      </c>
      <c r="C287" s="32">
        <f>IF($B$2="Todos",SUMIFS(BD!$S$3:$S$5001,BD!$A$3:$A$5001,"&gt;="&amp;$F$8,BD!$A$3:$A$5001,"&lt;="&amp;$G$8),SUMIFS(BD!$S$3:$S$5001,BD!$A$3:$A$5001,"&gt;="&amp;$F$8,BD!$A$3:$A$5001,"&lt;="&amp;$G$8,BD!$B$3:$B$5001,$D$2))</f>
        <v>0</v>
      </c>
      <c r="D287" s="48" t="str">
        <f>IF(AND(ISNUMBER(B287),ISNUMBER(C287)),IF(C287&lt;&gt;0,B287/C287-1,""),"")</f>
        <v/>
      </c>
    </row>
    <row r="288">
      <c r="A288" s="29" t="inlineStr">
        <is>
          <t xml:space="preserve">GENTE · Acidentes CAF</t>
        </is>
      </c>
      <c r="B288" s="32">
        <f>IF($B$2="Todos",SUMIFS(BD!$T$3:$T$5001,BD!$A$3:$A$5001,"&gt;="&amp;$F$7,BD!$A$3:$A$5001,"&lt;="&amp;$G$7),SUMIFS(BD!$T$3:$T$5001,BD!$A$3:$A$5001,"&gt;="&amp;$F$7,BD!$A$3:$A$5001,"&lt;="&amp;$G$7,BD!$B$3:$B$5001,$D$2))</f>
        <v>0</v>
      </c>
      <c r="C288" s="32">
        <f>IF($B$2="Todos",SUMIFS(BD!$T$3:$T$5001,BD!$A$3:$A$5001,"&gt;="&amp;$F$8,BD!$A$3:$A$5001,"&lt;="&amp;$G$8),SUMIFS(BD!$T$3:$T$5001,BD!$A$3:$A$5001,"&gt;="&amp;$F$8,BD!$A$3:$A$5001,"&lt;="&amp;$G$8,BD!$B$3:$B$5001,$D$2))</f>
        <v>0</v>
      </c>
      <c r="D288" s="48" t="str">
        <f>IF(AND(ISNUMBER(B288),ISNUMBER(C288)),IF(C288&lt;&gt;0,B288/C288-1,""),"")</f>
        <v/>
      </c>
    </row>
    <row r="289">
      <c r="A289" s="29" t="inlineStr">
        <is>
          <t xml:space="preserve">GENTE · Acidentes SAF</t>
        </is>
      </c>
      <c r="B289" s="32">
        <f>IF($B$2="Todos",SUMIFS(BD!$U$3:$U$5001,BD!$A$3:$A$5001,"&gt;="&amp;$F$7,BD!$A$3:$A$5001,"&lt;="&amp;$G$7),SUMIFS(BD!$U$3:$U$5001,BD!$A$3:$A$5001,"&gt;="&amp;$F$7,BD!$A$3:$A$5001,"&lt;="&amp;$G$7,BD!$B$3:$B$5001,$D$2))</f>
        <v>0</v>
      </c>
      <c r="C289" s="32">
        <f>IF($B$2="Todos",SUMIFS(BD!$U$3:$U$5001,BD!$A$3:$A$5001,"&gt;="&amp;$F$8,BD!$A$3:$A$5001,"&lt;="&amp;$G$8),SUMIFS(BD!$U$3:$U$5001,BD!$A$3:$A$5001,"&gt;="&amp;$F$8,BD!$A$3:$A$5001,"&lt;="&amp;$G$8,BD!$B$3:$B$5001,$D$2))</f>
        <v>0</v>
      </c>
      <c r="D289" s="48" t="str">
        <f>IF(AND(ISNUMBER(B289),ISNUMBER(C289)),IF(C289&lt;&gt;0,B289/C289-1,""),"")</f>
        <v/>
      </c>
    </row>
    <row r="292">
      <c r="A292" s="43" t="inlineStr">
        <is>
          <t xml:space="preserve">Textos das linhas de apoio dos cards (Dashboard)</t>
        </is>
      </c>
    </row>
    <row r="293">
      <c r="A293" s="40" t="inlineStr">
        <is>
          <t xml:space="preserve">inA</t>
        </is>
      </c>
      <c r="B293" s="64" t="str">
        <f>IF(N(VALUE($B$295))=0,"",IF(ISNUMBER(IF(N(VALUE($E$295))=0,INDEX($B$266:$B$289,VALUE($B$295)),IF(AND(ISNUMBER(INDEX($B$266:$B$289,VALUE($B$295))),N(INDEX($B$266:$B$289,N(VALUE($E$295))))&gt;0),INDEX($B$266:$B$289,VALUE($B$295))/INDEX($B$266:$B$289,N(VALUE($E$295))),""))),FIXED(IF(N(VALUE($E$295))=0,INDEX($B$266:$B$289,VALUE($B$295)),IF(AND(ISNUMBER(INDEX($B$266:$B$289,VALUE($B$295))),N(INDEX($B$266:$B$289,N(VALUE($E$295))))&gt;0),INDEX($B$266:$B$289,VALUE($B$295))/INDEX($B$266:$B$289,N(VALUE($E$295))),"")),VALUE($D$295)),"—")&amp;" "&amp;$C$295)&amp;IF(AND(N(VALUE($B$295))&gt;0,N(VALUE($F$295))&gt;0),"  ·  ","")&amp;IF(N(VALUE($F$295))=0,"",IF(ISNUMBER(IF(N(VALUE($I$295))=0,INDEX($B$266:$B$289,VALUE($F$295)),IF(AND(ISNUMBER(INDEX($B$266:$B$289,VALUE($F$295))),N(INDEX($B$266:$B$289,N(VALUE($I$295))))&gt;0),INDEX($B$266:$B$289,VALUE($F$295))/INDEX($B$266:$B$289,N(VALUE($I$295))),""))),FIXED(IF(N(VALUE($I$295))=0,INDEX($B$266:$B$289,VALUE($F$295)),IF(AND(ISNUMBER(INDEX($B$266:$B$289,VALUE($F$295))),N(INDEX($B$266:$B$289,N(VALUE($I$295))))&gt;0),INDEX($B$266:$B$289,VALUE($F$295))/INDEX($B$266:$B$289,N(VALUE($I$295))),"")),VALUE($H$295)),"—")&amp;" "&amp;$G$295)</f>
        <v>0 pallets movimentados</v>
      </c>
      <c r="C293" s="40" t="inlineStr">
        <is>
          <t xml:space="preserve">inB</t>
        </is>
      </c>
      <c r="D293" s="64" t="str">
        <f>IF(N(VALUE($J$295))=0,"",IF(ISNUMBER(IF(N(VALUE($M$295))=0,INDEX($B$266:$B$289,VALUE($J$295)),IF(AND(ISNUMBER(INDEX($B$266:$B$289,VALUE($J$295))),N(INDEX($B$266:$B$289,N(VALUE($M$295))))&gt;0),INDEX($B$266:$B$289,VALUE($J$295))/INDEX($B$266:$B$289,N(VALUE($M$295))),""))),FIXED(IF(N(VALUE($M$295))=0,INDEX($B$266:$B$289,VALUE($J$295)),IF(AND(ISNUMBER(INDEX($B$266:$B$289,VALUE($J$295))),N(INDEX($B$266:$B$289,N(VALUE($M$295))))&gt;0),INDEX($B$266:$B$289,VALUE($J$295))/INDEX($B$266:$B$289,N(VALUE($M$295))),"")),VALUE($L$295)),"—")&amp;" "&amp;$K$295)&amp;IF(AND(N(VALUE($J$295))&gt;0,N(VALUE($N$295))&gt;0),"  ·  ","")&amp;IF(N(VALUE($N$295))=0,"",IF(ISNUMBER(IF(N(VALUE($Q$295))=0,INDEX($B$266:$B$289,VALUE($N$295)),IF(AND(ISNUMBER(INDEX($B$266:$B$289,VALUE($N$295))),N(INDEX($B$266:$B$289,N(VALUE($Q$295))))&gt;0),INDEX($B$266:$B$289,VALUE($N$295))/INDEX($B$266:$B$289,N(VALUE($Q$295))),""))),FIXED(IF(N(VALUE($Q$295))=0,INDEX($B$266:$B$289,VALUE($N$295)),IF(AND(ISNUMBER(INDEX($B$266:$B$289,VALUE($N$295))),N(INDEX($B$266:$B$289,N(VALUE($Q$295))))&gt;0),INDEX($B$266:$B$289,VALUE($N$295))/INDEX($B$266:$B$289,N(VALUE($Q$295))),"")),VALUE($P$295)),"—")&amp;" "&amp;$O$295)</f>
        <v>0,0 t movimentadas</v>
      </c>
      <c r="E293" s="40" t="inlineStr">
        <is>
          <t xml:space="preserve">outA</t>
        </is>
      </c>
      <c r="F293" s="64" t="str">
        <f>IF(N(VALUE($R$295))=0,"",IF(ISNUMBER(IF(N(VALUE($U$295))=0,INDEX($B$266:$B$289,VALUE($R$295)),IF(AND(ISNUMBER(INDEX($B$266:$B$289,VALUE($R$295))),N(INDEX($B$266:$B$289,N(VALUE($U$295))))&gt;0),INDEX($B$266:$B$289,VALUE($R$295))/INDEX($B$266:$B$289,N(VALUE($U$295))),""))),FIXED(IF(N(VALUE($U$295))=0,INDEX($B$266:$B$289,VALUE($R$295)),IF(AND(ISNUMBER(INDEX($B$266:$B$289,VALUE($R$295))),N(INDEX($B$266:$B$289,N(VALUE($U$295))))&gt;0),INDEX($B$266:$B$289,VALUE($R$295))/INDEX($B$266:$B$289,N(VALUE($U$295))),"")),VALUE($T$295)),"—")&amp;" "&amp;$S$295)&amp;IF(AND(N(VALUE($R$295))&gt;0,N(VALUE($V$295))&gt;0),"  ·  ","")&amp;IF(N(VALUE($V$295))=0,"",IF(ISNUMBER(IF(N(VALUE($Y$295))=0,INDEX($B$266:$B$289,VALUE($V$295)),IF(AND(ISNUMBER(INDEX($B$266:$B$289,VALUE($V$295))),N(INDEX($B$266:$B$289,N(VALUE($Y$295))))&gt;0),INDEX($B$266:$B$289,VALUE($V$295))/INDEX($B$266:$B$289,N(VALUE($Y$295))),""))),FIXED(IF(N(VALUE($Y$295))=0,INDEX($B$266:$B$289,VALUE($V$295)),IF(AND(ISNUMBER(INDEX($B$266:$B$289,VALUE($V$295))),N(INDEX($B$266:$B$289,N(VALUE($Y$295))))&gt;0),INDEX($B$266:$B$289,VALUE($V$295))/INDEX($B$266:$B$289,N(VALUE($Y$295))),"")),VALUE($X$295)),"—")&amp;" "&amp;$W$295)</f>
        <v>0 pallets movimentados</v>
      </c>
      <c r="G293" s="40" t="inlineStr">
        <is>
          <t xml:space="preserve">outB</t>
        </is>
      </c>
      <c r="H293" s="64" t="str">
        <f>IF(N(VALUE($Z$295))=0,"",IF(ISNUMBER(IF(N(VALUE($AC$295))=0,INDEX($B$266:$B$289,VALUE($Z$295)),IF(AND(ISNUMBER(INDEX($B$266:$B$289,VALUE($Z$295))),N(INDEX($B$266:$B$289,N(VALUE($AC$295))))&gt;0),INDEX($B$266:$B$289,VALUE($Z$295))/INDEX($B$266:$B$289,N(VALUE($AC$295))),""))),FIXED(IF(N(VALUE($AC$295))=0,INDEX($B$266:$B$289,VALUE($Z$295)),IF(AND(ISNUMBER(INDEX($B$266:$B$289,VALUE($Z$295))),N(INDEX($B$266:$B$289,N(VALUE($AC$295))))&gt;0),INDEX($B$266:$B$289,VALUE($Z$295))/INDEX($B$266:$B$289,N(VALUE($AC$295))),"")),VALUE($AB$295)),"—")&amp;" "&amp;$AA$295)&amp;IF(AND(N(VALUE($Z$295))&gt;0,N(VALUE($AD$295))&gt;0),"  ·  ","")&amp;IF(N(VALUE($AD$295))=0,"",IF(ISNUMBER(IF(N(VALUE($AG$295))=0,INDEX($B$266:$B$289,VALUE($AD$295)),IF(AND(ISNUMBER(INDEX($B$266:$B$289,VALUE($AD$295))),N(INDEX($B$266:$B$289,N(VALUE($AG$295))))&gt;0),INDEX($B$266:$B$289,VALUE($AD$295))/INDEX($B$266:$B$289,N(VALUE($AG$295))),""))),FIXED(IF(N(VALUE($AG$295))=0,INDEX($B$266:$B$289,VALUE($AD$295)),IF(AND(ISNUMBER(INDEX($B$266:$B$289,VALUE($AD$295))),N(INDEX($B$266:$B$289,N(VALUE($AG$295))))&gt;0),INDEX($B$266:$B$289,VALUE($AD$295))/INDEX($B$266:$B$289,N(VALUE($AG$295))),"")),VALUE($AF$295)),"—")&amp;" "&amp;$AE$295)</f>
        <v>0,0 t movimentadas</v>
      </c>
    </row>
    <row r="294">
      <c r="A294" s="19" t="inlineStr">
        <is>
          <t xml:space="preserve">PERFIL DO CLIENTE FILTRADO — lido da aba Config (linha da Config · por item: linha no período, rótulo, casas, linha do divisor · gráficos: colunas da série)</t>
        </is>
      </c>
    </row>
    <row r="295">
      <c r="A295" s="87">
        <f>IFERROR(MATCH($B$2,Config!$A$6:$A$11,0),1)</f>
        <v>1</v>
      </c>
      <c r="B295" s="88">
        <f>IFERROR(VLOOKUP(INDEX(Config!$C$6:$C$11,$A$295),Config!$T$6:$Z$13,4,0),0)</f>
        <v>2</v>
      </c>
      <c r="C295" s="88" t="str">
        <f>IFERROR(VLOOKUP(INDEX(Config!$C$6:$C$11,$A$295),Config!$T$6:$Z$13,2,0)&amp;"","")</f>
        <v>pallets movimentados</v>
      </c>
      <c r="D295" s="88">
        <f>IFERROR(VLOOKUP(INDEX(Config!$C$6:$C$11,$A$295),Config!$T$6:$Z$13,3,0),0)</f>
        <v>0</v>
      </c>
      <c r="E295" s="88">
        <f>IFERROR(VLOOKUP(INDEX(Config!$C$6:$C$11,$A$295),Config!$T$6:$Z$13,6,0),0)</f>
        <v>0</v>
      </c>
      <c r="F295" s="88">
        <v>0</v>
      </c>
      <c r="G295" s="88"/>
      <c r="H295" s="88">
        <v>0</v>
      </c>
      <c r="I295" s="88">
        <v>0</v>
      </c>
      <c r="J295" s="88">
        <f>IFERROR(VLOOKUP(INDEX(Config!$D$6:$D$11,$A$295),Config!$T$6:$Z$13,4,0),0)</f>
        <v>3</v>
      </c>
      <c r="K295" s="88" t="str">
        <f>IFERROR(VLOOKUP(INDEX(Config!$D$6:$D$11,$A$295),Config!$T$6:$Z$13,2,0)&amp;"","")</f>
        <v>t movimentadas</v>
      </c>
      <c r="L295" s="88">
        <f>IFERROR(VLOOKUP(INDEX(Config!$D$6:$D$11,$A$295),Config!$T$6:$Z$13,3,0),0)</f>
        <v>1</v>
      </c>
      <c r="M295" s="88">
        <f>IFERROR(VLOOKUP(INDEX(Config!$D$6:$D$11,$A$295),Config!$T$6:$Z$13,6,0),0)</f>
        <v>0</v>
      </c>
      <c r="N295" s="88">
        <f>IFERROR(VLOOKUP(INDEX(Config!$E$6:$E$11,$A$295),Config!$T$6:$Z$13,4,0),0)</f>
        <v>0</v>
      </c>
      <c r="O295" s="88" t="str">
        <f>IFERROR(VLOOKUP(INDEX(Config!$E$6:$E$11,$A$295),Config!$T$6:$Z$13,2,0)&amp;"","")</f>
        <v/>
      </c>
      <c r="P295" s="88">
        <f>IFERROR(VLOOKUP(INDEX(Config!$E$6:$E$11,$A$295),Config!$T$6:$Z$13,3,0),0)</f>
        <v>0</v>
      </c>
      <c r="Q295" s="88">
        <f>IFERROR(VLOOKUP(INDEX(Config!$E$6:$E$11,$A$295),Config!$T$6:$Z$13,6,0),0)</f>
        <v>0</v>
      </c>
      <c r="R295" s="88">
        <f>IFERROR(VLOOKUP(INDEX(Config!$G$6:$G$11,$A$295),Config!$T$6:$Z$13,4,0),0)</f>
        <v>5</v>
      </c>
      <c r="S295" s="88" t="str">
        <f>IFERROR(VLOOKUP(INDEX(Config!$G$6:$G$11,$A$295),Config!$T$6:$Z$13,2,0)&amp;"","")</f>
        <v>pallets movimentados</v>
      </c>
      <c r="T295" s="88">
        <f>IFERROR(VLOOKUP(INDEX(Config!$G$6:$G$11,$A$295),Config!$T$6:$Z$13,3,0),0)</f>
        <v>0</v>
      </c>
      <c r="U295" s="88">
        <f>IFERROR(VLOOKUP(INDEX(Config!$G$6:$G$11,$A$295),Config!$T$6:$Z$13,6,0),0)</f>
        <v>0</v>
      </c>
      <c r="V295" s="88">
        <v>0</v>
      </c>
      <c r="W295" s="88"/>
      <c r="X295" s="88">
        <v>0</v>
      </c>
      <c r="Y295" s="88">
        <v>0</v>
      </c>
      <c r="Z295" s="88">
        <f>IFERROR(VLOOKUP(INDEX(Config!$H$6:$H$11,$A$295),Config!$T$6:$Z$13,4,0),0)</f>
        <v>6</v>
      </c>
      <c r="AA295" s="88" t="str">
        <f>IFERROR(VLOOKUP(INDEX(Config!$H$6:$H$11,$A$295),Config!$T$6:$Z$13,2,0)&amp;"","")</f>
        <v>t movimentadas</v>
      </c>
      <c r="AB295" s="88">
        <f>IFERROR(VLOOKUP(INDEX(Config!$H$6:$H$11,$A$295),Config!$T$6:$Z$13,3,0),0)</f>
        <v>1</v>
      </c>
      <c r="AC295" s="88">
        <f>IFERROR(VLOOKUP(INDEX(Config!$H$6:$H$11,$A$295),Config!$T$6:$Z$13,6,0),0)</f>
        <v>0</v>
      </c>
      <c r="AD295" s="88">
        <f>IFERROR(VLOOKUP(INDEX(Config!$I$6:$I$11,$A$295),Config!$T$6:$Z$13,4,0),0)</f>
        <v>0</v>
      </c>
      <c r="AE295" s="88" t="str">
        <f>IFERROR(VLOOKUP(INDEX(Config!$I$6:$I$11,$A$295),Config!$T$6:$Z$13,2,0)&amp;"","")</f>
        <v/>
      </c>
      <c r="AF295" s="88">
        <f>IFERROR(VLOOKUP(INDEX(Config!$I$6:$I$11,$A$295),Config!$T$6:$Z$13,3,0),0)</f>
        <v>0</v>
      </c>
      <c r="AG295" s="88">
        <f>IFERROR(VLOOKUP(INDEX(Config!$I$6:$I$11,$A$295),Config!$T$6:$Z$13,6,0),0)</f>
        <v>0</v>
      </c>
      <c r="AH295" s="88">
        <f>IFERROR(VLOOKUP(INDEX(Config!$K$6:$K$11,$A$295),Config!$T$6:$Z$13,5,0),0)</f>
        <v>2</v>
      </c>
      <c r="AI295" s="88">
        <f>IFERROR(VLOOKUP(INDEX(Config!$L$6:$L$11,$A$295),Config!$T$6:$Z$13,5,0),0)</f>
        <v>5</v>
      </c>
      <c r="AJ295" s="88">
        <f>IFERROR(VLOOKUP(INDEX(Config!$K$6:$K$11,$A$295),Config!$T$6:$Z$13,7,0),0)</f>
        <v>0</v>
      </c>
      <c r="AK295" s="88">
        <f>IFERROR(VLOOKUP(INDEX(Config!$L$6:$L$11,$A$295),Config!$T$6:$Z$13,7,0),0)</f>
        <v>0</v>
      </c>
      <c r="AL295" s="88" t="str">
        <f>INDEX(Config!$M$6:$M$11,$A$295)&amp;""</f>
        <v>MOVIMENTAÇÃO PALETES/DIA</v>
      </c>
      <c r="AM295" s="88" t="str">
        <f>INDEX(Config!$N$6:$N$11,$A$295)&amp;""</f>
        <v>ACUMULADO SEMANAL PALETES</v>
      </c>
      <c r="AN295" s="88" t="str">
        <f>IF(INDEX(Config!$K$6:$K$11,$A$295)&amp;""="","IN",INDEX(Config!$K$6:$K$11,$A$295)&amp;"")</f>
        <v>Pallets Movimentados IN</v>
      </c>
      <c r="AO295" s="88" t="str">
        <f>IF(INDEX(Config!$L$6:$L$11,$A$295)&amp;""="","OUT",INDEX(Config!$L$6:$L$11,$A$295)&amp;"")</f>
        <v>Pallets Movimentados OUT</v>
      </c>
      <c r="AP295" s="88">
        <f>IFERROR(VLOOKUP(INDEX(Config!$O$6:$O$11,$A$295),Config!$T$6:$Z$13,5,0),0)</f>
        <v>3</v>
      </c>
      <c r="AQ295" s="88">
        <f>IFERROR(VLOOKUP(INDEX(Config!$P$6:$P$11,$A$295),Config!$T$6:$Z$13,5,0),0)</f>
        <v>6</v>
      </c>
      <c r="AR295" s="88">
        <f>IFERROR(VLOOKUP(INDEX(Config!$O$6:$O$11,$A$295),Config!$T$6:$Z$13,7,0),0)</f>
        <v>0</v>
      </c>
      <c r="AS295" s="88">
        <f>IFERROR(VLOOKUP(INDEX(Config!$P$6:$P$11,$A$295),Config!$T$6:$Z$13,7,0),0)</f>
        <v>0</v>
      </c>
      <c r="AT295" s="88" t="str">
        <f>INDEX(Config!$Q$6:$Q$11,$A$295)&amp;""</f>
        <v>MOVIMENTAÇÃO TONS/DIA</v>
      </c>
      <c r="AU295" s="88" t="str">
        <f>INDEX(Config!$R$6:$R$11,$A$295)&amp;""</f>
        <v>ACUMULADO SEMANAL TONS</v>
      </c>
      <c r="AV295" s="88" t="str">
        <f>IF(INDEX(Config!$O$6:$O$11,$A$295)&amp;""="","IN",INDEX(Config!$O$6:$O$11,$A$295)&amp;"")</f>
        <v>Toneladas Movimentadas IN</v>
      </c>
      <c r="AW295" s="88" t="str">
        <f>IF(INDEX(Config!$P$6:$P$11,$A$295)&amp;""="","OUT",INDEX(Config!$P$6:$P$11,$A$295)&amp;"")</f>
        <v>Toneladas Movimentadas OUT</v>
      </c>
      <c r="AX295" s="88" t="str">
        <f>INDEX(Config!$B$6:$B$11,$A$295)&amp;""</f>
        <v>Sim</v>
      </c>
      <c r="AY295" s="88" t="str">
        <f>INDEX(Config!$F$6:$F$11,$A$295)&amp;""</f>
        <v>Sim</v>
      </c>
      <c r="AZ295" s="88" t="str">
        <f>INDEX(Config!$J$6:$J$11,$A$295)&amp;""</f>
        <v>Completo</v>
      </c>
      <c r="BA295" s="88" t="str">
        <f>IF(OR($B$2="Todos",$C$2=2),Config!$B$27,Config!$B$26)&amp;""</f>
        <v>ARMAZÉM</v>
      </c>
      <c r="BB295" s="88" t="str">
        <f>IF(OR($B$2="Todos",$C$2=2),Config!$B$46,Config!$B$45)&amp;""</f>
        <v>Capacidade do armazém (p.p)</v>
      </c>
    </row>
  </sheetData>
  <sheetProtection password="CC30" sheet="1" objects="1" scenarios="1"/>
  <pageMargins left="0.25" right="0.25" top="0.4" bottom="0.4" header="0.2" footer="0.2"/>
  <pageSetup paperSize="9" orientation="landscape" fitToWidth="1" fitToHeight="0"/>
</worksheet>
</file>

<file path=xl/worksheets/sheet5.xml><?xml version="1.0" encoding="utf-8"?>
<worksheet xmlns="http://schemas.openxmlformats.org/spreadsheetml/2006/main" xmlns:r="http://schemas.openxmlformats.org/officeDocument/2006/relationships">
  <sheetPr>
    <tabColor rgb="FF7F7F7F"/>
    <pageSetUpPr fitToPage="1"/>
  </sheetPr>
  <dimension ref="A1:AD42"/>
  <sheetViews>
    <sheetView showGridLines="0" zoomScale="100" zoomScaleNormal="100" workbookViewId="0">
      <pane xSplit="2" ySplit="2" topLeftCell="C3" activePane="bottomRight" state="frozen"/>
      <selection pane="bottomRight" activeCell="C3" sqref="C3"/>
    </sheetView>
  </sheetViews>
  <sheetFormatPr defaultRowHeight="15"/>
  <cols>
    <col min="1" max="1" width="11" customWidth="1"/>
    <col min="2" max="2" width="18" customWidth="1"/>
    <col min="3" max="3" width="11.55" customWidth="1"/>
    <col min="4" max="4" width="12.65" customWidth="1"/>
    <col min="5" max="5" width="13" customWidth="1"/>
    <col min="6" max="6" width="12.100000000000001" customWidth="1"/>
    <col min="7" max="7" width="13" customWidth="1"/>
    <col min="8" max="8" width="13" customWidth="1"/>
    <col min="9" max="9" width="10" customWidth="1"/>
    <col min="10" max="10" width="10" customWidth="1"/>
    <col min="11" max="11" width="10" customWidth="1"/>
    <col min="12" max="12" width="11" customWidth="1"/>
    <col min="13" max="13" width="10" customWidth="1"/>
    <col min="14" max="14" width="10" customWidth="1"/>
    <col min="15" max="15" width="10" customWidth="1"/>
    <col min="16" max="16" width="10" customWidth="1"/>
    <col min="17" max="17" width="10" customWidth="1"/>
    <col min="18" max="18" width="10" customWidth="1"/>
    <col min="19" max="19" width="12.65" customWidth="1"/>
    <col min="20" max="20" width="10" customWidth="1"/>
    <col min="21" max="21" width="10" customWidth="1"/>
    <col min="22" max="22" width="11" customWidth="1"/>
    <col min="23" max="23" width="3" customWidth="1"/>
    <col min="24" max="24" width="70" customWidth="1"/>
    <col min="25" max="25" width="11" customWidth="1"/>
    <col min="26" max="26" width="12" customWidth="1"/>
    <col min="27" max="27" width="12" customWidth="1"/>
    <col min="28" max="28" width="12" customWidth="1"/>
    <col min="29" max="29" width="12" customWidth="1"/>
    <col min="30" max="30" width="12" customWidth="1"/>
  </cols>
  <sheetData>
    <row r="1" ht="20" customHeight="1">
      <c r="A1" s="1" t="inlineStr">
        <is>
          <t xml:space="preserve">REGISTRO</t>
        </is>
      </c>
      <c r="B1" s="2"/>
      <c r="C1" s="3" t="inlineStr">
        <is>
          <t xml:space="preserve">IN · RECEBIMENTO</t>
        </is>
      </c>
      <c r="D1" s="4"/>
      <c r="E1" s="5"/>
      <c r="F1" s="6" t="inlineStr">
        <is>
          <t xml:space="preserve">OUT · EXPEDIÇÃO</t>
        </is>
      </c>
      <c r="G1" s="7"/>
      <c r="H1" s="8"/>
      <c r="I1" s="9" t="inlineStr">
        <is>
          <t xml:space="preserve">NC · NÃO CONFORMIDADES</t>
        </is>
      </c>
      <c r="J1" s="10"/>
      <c r="K1" s="11"/>
      <c r="L1" s="3" t="inlineStr">
        <is>
          <t xml:space="preserve">OCUPAÇÃO (P.P)</t>
        </is>
      </c>
      <c r="M1" s="5"/>
      <c r="N1" s="12" t="inlineStr">
        <is>
          <t xml:space="preserve">GENTE</t>
        </is>
      </c>
      <c r="O1" s="13"/>
      <c r="P1" s="13"/>
      <c r="Q1" s="13"/>
      <c r="R1" s="13"/>
      <c r="S1" s="13"/>
      <c r="T1" s="13"/>
      <c r="U1" s="14"/>
      <c r="V1" s="15" t="inlineStr">
        <is>
          <t xml:space="preserve">CONTRATO</t>
        </is>
      </c>
    </row>
    <row r="2" ht="42" customHeight="1">
      <c r="A2" s="16" t="inlineStr">
        <is>
          <t xml:space="preserve">Data</t>
        </is>
      </c>
      <c r="B2" s="16" t="inlineStr">
        <is>
          <t xml:space="preserve">Cliente</t>
        </is>
      </c>
      <c r="C2" s="16" t="inlineStr">
        <is>
          <t xml:space="preserve">IN Veículos Recebidos</t>
        </is>
      </c>
      <c r="D2" s="16" t="inlineStr">
        <is>
          <t xml:space="preserve">IN Pallets Movimentados</t>
        </is>
      </c>
      <c r="E2" s="16" t="inlineStr">
        <is>
          <t xml:space="preserve">IN Toneladas Movimentadas</t>
        </is>
      </c>
      <c r="F2" s="16" t="inlineStr">
        <is>
          <t xml:space="preserve">OUT Veículos Expedidos</t>
        </is>
      </c>
      <c r="G2" s="16" t="inlineStr">
        <is>
          <t xml:space="preserve">OUT Pallets Movimentados</t>
        </is>
      </c>
      <c r="H2" s="16" t="inlineStr">
        <is>
          <t xml:space="preserve">OUT Toneladas Movimentadas</t>
        </is>
      </c>
      <c r="I2" s="16" t="inlineStr">
        <is>
          <t xml:space="preserve">NC Incidentes</t>
        </is>
      </c>
      <c r="J2" s="16" t="inlineStr">
        <is>
          <t xml:space="preserve">NC No show</t>
        </is>
      </c>
      <c r="K2" s="16" t="inlineStr">
        <is>
          <t xml:space="preserve">NC Backlog</t>
        </is>
      </c>
      <c r="L2" s="16" t="inlineStr">
        <is>
          <t xml:space="preserve">Posições Disponíveis</t>
        </is>
      </c>
      <c r="M2" s="16" t="inlineStr">
        <is>
          <t xml:space="preserve">Posições Ocupadas</t>
        </is>
      </c>
      <c r="N2" s="16" t="inlineStr">
        <is>
          <t xml:space="preserve">Efetivo Op.</t>
        </is>
      </c>
      <c r="O2" s="16" t="inlineStr">
        <is>
          <t xml:space="preserve">Falta</t>
        </is>
      </c>
      <c r="P2" s="16" t="inlineStr">
        <is>
          <t xml:space="preserve">Folga</t>
        </is>
      </c>
      <c r="Q2" s="16" t="inlineStr">
        <is>
          <t xml:space="preserve">Férias</t>
        </is>
      </c>
      <c r="R2" s="16" t="inlineStr">
        <is>
          <t xml:space="preserve">Desligamento</t>
        </is>
      </c>
      <c r="S2" s="16" t="inlineStr">
        <is>
          <t xml:space="preserve">Desvios Comportamentais</t>
        </is>
      </c>
      <c r="T2" s="16" t="inlineStr">
        <is>
          <t xml:space="preserve">Acidentes CAF</t>
        </is>
      </c>
      <c r="U2" s="16" t="inlineStr">
        <is>
          <t xml:space="preserve">Acidentes SAF</t>
        </is>
      </c>
      <c r="V2" s="16" t="inlineStr">
        <is>
          <t xml:space="preserve">Modalidade</t>
        </is>
      </c>
      <c r="X2" s="17" t="inlineStr">
        <is>
          <t xml:space="preserve">COMO PREENCHER A BD</t>
        </is>
      </c>
    </row>
    <row r="3">
      <c r="X3" s="18" t="inlineStr">
        <is>
          <t xml:space="preserve">• Uma linha por dia e por cliente.</t>
        </is>
      </c>
    </row>
    <row r="4">
      <c r="X4" s="18" t="inlineStr">
        <is>
          <t xml:space="preserve">• Digite na primeira linha vazia logo abaixo da tabela: ela cresce sozinha e leva formato, listas e validações.</t>
        </is>
      </c>
    </row>
    <row r="5">
      <c r="X5" s="18" t="inlineStr">
        <is>
          <t xml:space="preserve">• Data: dd/mm/aaaa.   Cliente e Modalidade: escolha na lista (setinha da célula).</t>
        </is>
      </c>
    </row>
    <row r="6">
      <c r="X6" s="18" t="inlineStr">
        <is>
          <t xml:space="preserve">• Números: só 0 ou maior. Toneladas aceitam casas decimais.</t>
        </is>
      </c>
    </row>
    <row r="7">
      <c r="X7" s="18" t="inlineStr">
        <is>
          <t xml:space="preserve">• Deixe em branco o que não foi medido (não digite 0 se não houve registro).</t>
        </is>
      </c>
    </row>
    <row r="8">
      <c r="X8" s="17" t="inlineStr">
        <is>
          <t xml:space="preserve">SOMA NO MÊS</t>
        </is>
      </c>
    </row>
    <row r="9">
      <c r="X9" s="18" t="inlineStr">
        <is>
          <t xml:space="preserve">• Veículos, pallets, toneladas, incidentes, no show, falta, folga, férias e desligamento: valor do dia.</t>
        </is>
      </c>
    </row>
    <row r="10">
      <c r="X10" s="17" t="inlineStr">
        <is>
          <t xml:space="preserve">ÚLTIMO VALOR DO MÊS</t>
        </is>
      </c>
    </row>
    <row r="11">
      <c r="X11" s="18" t="inlineStr">
        <is>
          <t xml:space="preserve">• Backlog, posições disponíveis/ocupadas e efetivo: posição do dia (os painéis usam o último lançado).</t>
        </is>
      </c>
    </row>
    <row r="12">
      <c r="X12" s="17" t="inlineStr">
        <is>
          <t xml:space="preserve">ALERTAS</t>
        </is>
      </c>
    </row>
    <row r="13">
      <c r="X13" s="18" t="inlineStr">
        <is>
          <t xml:space="preserve">• Vermelho: mesma data e cliente lançados duas vezes.</t>
        </is>
      </c>
    </row>
    <row r="14">
      <c r="X14" s="18" t="inlineStr">
        <is>
          <t xml:space="preserve">• Amarelo: linha incompleta (data sem cliente ou o contrário).</t>
        </is>
      </c>
    </row>
    <row r="15">
      <c r="X15" s="18" t="inlineStr">
        <is>
          <t xml:space="preserve">• Verde em Posições Ocupadas: cliente excede o contratado (boa notícia: faturar excedente).</t>
        </is>
      </c>
    </row>
    <row r="16">
      <c r="X16" s="18" t="inlineStr">
        <is>
          <t xml:space="preserve">• Desvios comportamentais e acidentes (CAF = com afastamento · SAF = sem afastamento): quantidade do dia.</t>
        </is>
      </c>
    </row>
    <row r="17">
      <c r="X17" s="18" t="inlineStr">
        <is>
          <t xml:space="preserve">• Dashboard, Monitoramento e Consol Mensal leem esta aba automaticamente, inclusive as METAS abaixo.</t>
        </is>
      </c>
    </row>
    <row r="21">
      <c r="X21" s="19" t="inlineStr">
        <is>
          <t xml:space="preserve">METAS DO MÊS — preencha as células amarelas (vazio = sem meta · taxa de ocupação em %).</t>
        </is>
      </c>
    </row>
    <row r="22" ht="30" customHeight="1">
      <c r="X22" s="16" t="inlineStr">
        <is>
          <t xml:space="preserve">Indicador</t>
        </is>
      </c>
      <c r="Y22" s="16" t="inlineStr">
        <is>
          <t xml:space="preserve">Todos</t>
        </is>
      </c>
      <c r="Z22" s="16" t="inlineStr">
        <is>
          <t xml:space="preserve">Barry Callebaut</t>
        </is>
      </c>
      <c r="AA22" s="16" t="inlineStr">
        <is>
          <t xml:space="preserve">GM</t>
        </is>
      </c>
      <c r="AB22" s="16" t="inlineStr">
        <is>
          <t xml:space="preserve">Mondelez</t>
        </is>
      </c>
      <c r="AC22" s="16" t="inlineStr">
        <is>
          <t xml:space="preserve">Nestlé</t>
        </is>
      </c>
      <c r="AD22" s="16" t="inlineStr">
        <is>
          <t xml:space="preserve">PMB</t>
        </is>
      </c>
    </row>
    <row r="23">
      <c r="X23" s="20" t="inlineStr">
        <is>
          <t xml:space="preserve">IN · Veículos Recebidos</t>
        </is>
      </c>
      <c r="Y23" s="21"/>
      <c r="Z23" s="21"/>
      <c r="AA23" s="21"/>
      <c r="AB23" s="21"/>
      <c r="AC23" s="21"/>
      <c r="AD23" s="21"/>
    </row>
    <row r="24">
      <c r="X24" s="20" t="inlineStr">
        <is>
          <t xml:space="preserve">IN · Pallets Movimentados</t>
        </is>
      </c>
      <c r="Y24" s="21"/>
      <c r="Z24" s="21"/>
      <c r="AA24" s="21"/>
      <c r="AB24" s="21"/>
      <c r="AC24" s="21"/>
      <c r="AD24" s="21"/>
    </row>
    <row r="25">
      <c r="X25" s="20" t="inlineStr">
        <is>
          <t xml:space="preserve">IN · Toneladas Movimentadas</t>
        </is>
      </c>
      <c r="Y25" s="21"/>
      <c r="Z25" s="21"/>
      <c r="AA25" s="21"/>
      <c r="AB25" s="21"/>
      <c r="AC25" s="21"/>
      <c r="AD25" s="21"/>
    </row>
    <row r="26">
      <c r="X26" s="22" t="inlineStr">
        <is>
          <t xml:space="preserve">OUT · Veículos Expedidos</t>
        </is>
      </c>
      <c r="Y26" s="21"/>
      <c r="Z26" s="21"/>
      <c r="AA26" s="21"/>
      <c r="AB26" s="21"/>
      <c r="AC26" s="21"/>
      <c r="AD26" s="21"/>
    </row>
    <row r="27">
      <c r="X27" s="22" t="inlineStr">
        <is>
          <t xml:space="preserve">OUT · Pallets Movimentados</t>
        </is>
      </c>
      <c r="Y27" s="21"/>
      <c r="Z27" s="21"/>
      <c r="AA27" s="21"/>
      <c r="AB27" s="21"/>
      <c r="AC27" s="21"/>
      <c r="AD27" s="21"/>
    </row>
    <row r="28">
      <c r="X28" s="22" t="inlineStr">
        <is>
          <t xml:space="preserve">OUT · Toneladas Movimentadas</t>
        </is>
      </c>
      <c r="Y28" s="21"/>
      <c r="Z28" s="21"/>
      <c r="AA28" s="21"/>
      <c r="AB28" s="21"/>
      <c r="AC28" s="21"/>
      <c r="AD28" s="21"/>
    </row>
    <row r="29">
      <c r="X29" s="23" t="inlineStr">
        <is>
          <t xml:space="preserve">NC · Incidentes</t>
        </is>
      </c>
      <c r="Y29" s="21"/>
      <c r="Z29" s="21"/>
      <c r="AA29" s="21"/>
      <c r="AB29" s="21"/>
      <c r="AC29" s="21"/>
      <c r="AD29" s="21"/>
    </row>
    <row r="30">
      <c r="X30" s="23" t="inlineStr">
        <is>
          <t xml:space="preserve">NC · No show</t>
        </is>
      </c>
      <c r="Y30" s="21"/>
      <c r="Z30" s="21"/>
      <c r="AA30" s="21"/>
      <c r="AB30" s="21"/>
      <c r="AC30" s="21"/>
      <c r="AD30" s="21"/>
    </row>
    <row r="31">
      <c r="X31" s="23" t="inlineStr">
        <is>
          <t xml:space="preserve">NC · Backlog</t>
        </is>
      </c>
      <c r="Y31" s="21"/>
      <c r="Z31" s="21"/>
      <c r="AA31" s="21"/>
      <c r="AB31" s="21"/>
      <c r="AC31" s="21"/>
      <c r="AD31" s="21"/>
    </row>
    <row r="32">
      <c r="X32" s="20" t="inlineStr">
        <is>
          <t xml:space="preserve">OCUPAÇÃO (P.P) · Posições Disponíveis</t>
        </is>
      </c>
      <c r="Y32" s="21"/>
      <c r="Z32" s="21"/>
      <c r="AA32" s="21"/>
      <c r="AB32" s="21"/>
      <c r="AC32" s="21"/>
      <c r="AD32" s="21"/>
    </row>
    <row r="33">
      <c r="X33" s="20" t="inlineStr">
        <is>
          <t xml:space="preserve">OCUPAÇÃO (P.P) · Posições Ocupadas</t>
        </is>
      </c>
      <c r="Y33" s="21"/>
      <c r="Z33" s="21"/>
      <c r="AA33" s="21"/>
      <c r="AB33" s="21"/>
      <c r="AC33" s="21"/>
      <c r="AD33" s="21"/>
    </row>
    <row r="34">
      <c r="X34" s="20" t="inlineStr">
        <is>
          <t xml:space="preserve">OCUPAÇÃO (P.P) · Taxa de Ocupação</t>
        </is>
      </c>
      <c r="Y34" s="24"/>
      <c r="Z34" s="24"/>
      <c r="AA34" s="24"/>
      <c r="AB34" s="24"/>
      <c r="AC34" s="24"/>
      <c r="AD34" s="24"/>
    </row>
    <row r="35">
      <c r="X35" s="25" t="inlineStr">
        <is>
          <t xml:space="preserve">GENTE · Efetivo Op.</t>
        </is>
      </c>
      <c r="Y35" s="21"/>
      <c r="Z35" s="21"/>
      <c r="AA35" s="21"/>
      <c r="AB35" s="21"/>
      <c r="AC35" s="21"/>
      <c r="AD35" s="21"/>
    </row>
    <row r="36">
      <c r="X36" s="25" t="inlineStr">
        <is>
          <t xml:space="preserve">GENTE · Falta</t>
        </is>
      </c>
      <c r="Y36" s="21"/>
      <c r="Z36" s="21"/>
      <c r="AA36" s="21"/>
      <c r="AB36" s="21"/>
      <c r="AC36" s="21"/>
      <c r="AD36" s="21"/>
    </row>
    <row r="37">
      <c r="X37" s="25" t="inlineStr">
        <is>
          <t xml:space="preserve">GENTE · Folga</t>
        </is>
      </c>
      <c r="Y37" s="21"/>
      <c r="Z37" s="21"/>
      <c r="AA37" s="21"/>
      <c r="AB37" s="21"/>
      <c r="AC37" s="21"/>
      <c r="AD37" s="21"/>
    </row>
    <row r="38">
      <c r="X38" s="25" t="inlineStr">
        <is>
          <t xml:space="preserve">GENTE · Férias</t>
        </is>
      </c>
      <c r="Y38" s="21"/>
      <c r="Z38" s="21"/>
      <c r="AA38" s="21"/>
      <c r="AB38" s="21"/>
      <c r="AC38" s="21"/>
      <c r="AD38" s="21"/>
    </row>
    <row r="39">
      <c r="X39" s="25" t="inlineStr">
        <is>
          <t xml:space="preserve">GENTE · Desligamento</t>
        </is>
      </c>
      <c r="Y39" s="21"/>
      <c r="Z39" s="21"/>
      <c r="AA39" s="21"/>
      <c r="AB39" s="21"/>
      <c r="AC39" s="21"/>
      <c r="AD39" s="21"/>
    </row>
    <row r="40">
      <c r="X40" s="25" t="inlineStr">
        <is>
          <t xml:space="preserve">GENTE · Desvios Comportamentais</t>
        </is>
      </c>
      <c r="Y40" s="21"/>
      <c r="Z40" s="21"/>
      <c r="AA40" s="21"/>
      <c r="AB40" s="21"/>
      <c r="AC40" s="21"/>
      <c r="AD40" s="21"/>
    </row>
    <row r="41">
      <c r="X41" s="25" t="inlineStr">
        <is>
          <t xml:space="preserve">GENTE · Acidentes CAF</t>
        </is>
      </c>
      <c r="Y41" s="21"/>
      <c r="Z41" s="21"/>
      <c r="AA41" s="21"/>
      <c r="AB41" s="21"/>
      <c r="AC41" s="21"/>
      <c r="AD41" s="21"/>
    </row>
    <row r="42">
      <c r="X42" s="25" t="inlineStr">
        <is>
          <t xml:space="preserve">GENTE · Acidentes SAF</t>
        </is>
      </c>
      <c r="Y42" s="21"/>
      <c r="Z42" s="21"/>
      <c r="AA42" s="21"/>
      <c r="AB42" s="21"/>
      <c r="AC42" s="21"/>
      <c r="AD42" s="21"/>
    </row>
  </sheetData>
  <mergeCells count="6">
    <mergeCell ref="A1:B1"/>
    <mergeCell ref="C1:E1"/>
    <mergeCell ref="F1:H1"/>
    <mergeCell ref="I1:K1"/>
    <mergeCell ref="L1:M1"/>
    <mergeCell ref="N1:U1"/>
  </mergeCells>
  <conditionalFormatting sqref="A3:B5001">
    <cfRule type="expression" dxfId="0" priority="1">
      <formula>AND($A3&lt;&gt;"",$B3&lt;&gt;"",COUNTIFS($A$3:$A$5001,$A3,$B$3:$B$5001,$B3)&gt;1)</formula>
    </cfRule>
  </conditionalFormatting>
  <conditionalFormatting sqref="A3:B5001">
    <cfRule type="expression" dxfId="1" priority="2">
      <formula>OR(AND($A3&lt;&gt;"",$B3=""),AND($A3="",$B3&lt;&gt;""))</formula>
    </cfRule>
  </conditionalFormatting>
  <conditionalFormatting sqref="M3:M5001">
    <cfRule type="expression" dxfId="2" priority="3">
      <formula>AND(ISNUMBER($L3),ISNUMBER($M3),$M3&gt;$L3)</formula>
    </cfRule>
  </conditionalFormatting>
  <conditionalFormatting sqref="C3:C5001">
    <cfRule type="expression" dxfId="5" priority="4">
      <formula>IFERROR(INDEX(Config!$B$51:$B$55,MATCH($B3,Config!$A$51:$A$55,0)),"Sim")="Não"</formula>
    </cfRule>
  </conditionalFormatting>
  <conditionalFormatting sqref="D3:D5001">
    <cfRule type="expression" dxfId="5" priority="5">
      <formula>IFERROR(INDEX(Config!$C$51:$C$55,MATCH($B3,Config!$A$51:$A$55,0)),"Sim")="Não"</formula>
    </cfRule>
  </conditionalFormatting>
  <conditionalFormatting sqref="E3:E5001">
    <cfRule type="expression" dxfId="5" priority="6">
      <formula>IFERROR(INDEX(Config!$D$51:$D$55,MATCH($B3,Config!$A$51:$A$55,0)),"Sim")="Não"</formula>
    </cfRule>
  </conditionalFormatting>
  <conditionalFormatting sqref="F3:F5001">
    <cfRule type="expression" dxfId="5" priority="7">
      <formula>IFERROR(INDEX(Config!$E$51:$E$55,MATCH($B3,Config!$A$51:$A$55,0)),"Sim")="Não"</formula>
    </cfRule>
  </conditionalFormatting>
  <conditionalFormatting sqref="G3:G5001">
    <cfRule type="expression" dxfId="5" priority="8">
      <formula>IFERROR(INDEX(Config!$F$51:$F$55,MATCH($B3,Config!$A$51:$A$55,0)),"Sim")="Não"</formula>
    </cfRule>
  </conditionalFormatting>
  <conditionalFormatting sqref="H3:H5001">
    <cfRule type="expression" dxfId="5" priority="9">
      <formula>IFERROR(INDEX(Config!$G$51:$G$55,MATCH($B3,Config!$A$51:$A$55,0)),"Sim")="Não"</formula>
    </cfRule>
  </conditionalFormatting>
  <conditionalFormatting sqref="I3:I5001">
    <cfRule type="expression" dxfId="5" priority="10">
      <formula>IFERROR(INDEX(Config!$H$51:$H$55,MATCH($B3,Config!$A$51:$A$55,0)),"Sim")="Não"</formula>
    </cfRule>
  </conditionalFormatting>
  <conditionalFormatting sqref="J3:J5001">
    <cfRule type="expression" dxfId="5" priority="11">
      <formula>IFERROR(INDEX(Config!$I$51:$I$55,MATCH($B3,Config!$A$51:$A$55,0)),"Sim")="Não"</formula>
    </cfRule>
  </conditionalFormatting>
  <conditionalFormatting sqref="K3:K5001">
    <cfRule type="expression" dxfId="5" priority="12">
      <formula>IFERROR(INDEX(Config!$J$51:$J$55,MATCH($B3,Config!$A$51:$A$55,0)),"Sim")="Não"</formula>
    </cfRule>
  </conditionalFormatting>
  <conditionalFormatting sqref="L3:L5001">
    <cfRule type="expression" dxfId="5" priority="13">
      <formula>IFERROR(INDEX(Config!$K$51:$K$55,MATCH($B3,Config!$A$51:$A$55,0)),"Sim")="Não"</formula>
    </cfRule>
  </conditionalFormatting>
  <conditionalFormatting sqref="M3:M5001">
    <cfRule type="expression" dxfId="5" priority="14">
      <formula>IFERROR(INDEX(Config!$L$51:$L$55,MATCH($B3,Config!$A$51:$A$55,0)),"Sim")="Não"</formula>
    </cfRule>
  </conditionalFormatting>
  <conditionalFormatting sqref="N3:N5001">
    <cfRule type="expression" dxfId="5" priority="15">
      <formula>IFERROR(INDEX(Config!$M$51:$M$55,MATCH($B3,Config!$A$51:$A$55,0)),"Sim")="Não"</formula>
    </cfRule>
  </conditionalFormatting>
  <conditionalFormatting sqref="O3:O5001">
    <cfRule type="expression" dxfId="5" priority="16">
      <formula>IFERROR(INDEX(Config!$N$51:$N$55,MATCH($B3,Config!$A$51:$A$55,0)),"Sim")="Não"</formula>
    </cfRule>
  </conditionalFormatting>
  <conditionalFormatting sqref="P3:P5001">
    <cfRule type="expression" dxfId="5" priority="17">
      <formula>IFERROR(INDEX(Config!$O$51:$O$55,MATCH($B3,Config!$A$51:$A$55,0)),"Sim")="Não"</formula>
    </cfRule>
  </conditionalFormatting>
  <conditionalFormatting sqref="Q3:Q5001">
    <cfRule type="expression" dxfId="5" priority="18">
      <formula>IFERROR(INDEX(Config!$P$51:$P$55,MATCH($B3,Config!$A$51:$A$55,0)),"Sim")="Não"</formula>
    </cfRule>
  </conditionalFormatting>
  <conditionalFormatting sqref="R3:R5001">
    <cfRule type="expression" dxfId="5" priority="19">
      <formula>IFERROR(INDEX(Config!$Q$51:$Q$55,MATCH($B3,Config!$A$51:$A$55,0)),"Sim")="Não"</formula>
    </cfRule>
  </conditionalFormatting>
  <conditionalFormatting sqref="S3:S5001">
    <cfRule type="expression" dxfId="5" priority="20">
      <formula>IFERROR(INDEX(Config!$R$51:$R$55,MATCH($B3,Config!$A$51:$A$55,0)),"Sim")="Não"</formula>
    </cfRule>
  </conditionalFormatting>
  <conditionalFormatting sqref="T3:T5001">
    <cfRule type="expression" dxfId="5" priority="21">
      <formula>IFERROR(INDEX(Config!$S$51:$S$55,MATCH($B3,Config!$A$51:$A$55,0)),"Sim")="Não"</formula>
    </cfRule>
  </conditionalFormatting>
  <conditionalFormatting sqref="U3:U5001">
    <cfRule type="expression" dxfId="5" priority="22">
      <formula>IFERROR(INDEX(Config!$T$51:$T$55,MATCH($B3,Config!$A$51:$A$55,0)),"Sim")="Não"</formula>
    </cfRule>
  </conditionalFormatting>
  <dataValidations count="23">
    <dataValidation type="date" operator="greaterThanOrEqual" allowBlank="1" showInputMessage="1" showErrorMessage="1" promptTitle="Data" prompt="dd/mm/aaaa" errorTitle="Valor inválido" error="Digite uma data válida (dd/mm/aaaa)." sqref="A3:A5001">
      <formula1>43831</formula1>
    </dataValidation>
    <dataValidation type="list" allowBlank="1" showInputMessage="1" showErrorMessage="1" promptTitle="Cliente" prompt="Escolha na lista." errorTitle="Valor inválido" error="Escolha um cliente da lista." sqref="B3:B5001">
      <formula1>calculos!$AN$13:$AN$17</formula1>
    </dataValidation>
    <dataValidation type="list" allowBlank="1" showInputMessage="1" showErrorMessage="1" promptTitle="Modalidade" prompt="Contrato, Spot ou Cross." errorTitle="Valor inválido" error="Escolha um valor da lista." sqref="V3:V5001">
      <formula1>"Contrato,Spot,Cross"</formula1>
    </dataValidation>
    <dataValidation type="decimal" operator="greaterThanOrEqual" allowBlank="1" showInputMessage="0" showErrorMessage="1" errorTitle="Valor inválido" error="Meta: use 0 ou um número maior." sqref="Y23:AD42">
      <formula1>0</formula1>
    </dataValidation>
    <dataValidation type="custom" allowBlank="1" showInputMessage="0" showErrorMessage="1" errorTitle="Não se aplica / valor inválido" error="Esta coluna não se aplica a este cliente (aba Config) ou o valor é inválido. Use 0 ou um número maior." sqref="C3:C5001">
      <formula1>AND(IFERROR(INDEX(Config!$B$51:$B$55,MATCH($B3,Config!$A$51:$A$55,0)),"Sim")&lt;&gt;"Não",ISNUMBER(C3),C3&gt;=0)</formula1>
    </dataValidation>
    <dataValidation type="custom" allowBlank="1" showInputMessage="0" showErrorMessage="1" errorTitle="Não se aplica / valor inválido" error="Esta coluna não se aplica a este cliente (aba Config) ou o valor é inválido. Use 0 ou um número maior." sqref="D3:D5001">
      <formula1>AND(IFERROR(INDEX(Config!$C$51:$C$55,MATCH($B3,Config!$A$51:$A$55,0)),"Sim")&lt;&gt;"Não",ISNUMBER(D3),D3&gt;=0)</formula1>
    </dataValidation>
    <dataValidation type="custom" allowBlank="1" showInputMessage="0" showErrorMessage="1" errorTitle="Não se aplica / valor inválido" error="Esta coluna não se aplica a este cliente (aba Config) ou o valor é inválido. Use 0 ou um número maior." sqref="E3:E5001">
      <formula1>AND(IFERROR(INDEX(Config!$D$51:$D$55,MATCH($B3,Config!$A$51:$A$55,0)),"Sim")&lt;&gt;"Não",ISNUMBER(E3),E3&gt;=0)</formula1>
    </dataValidation>
    <dataValidation type="custom" allowBlank="1" showInputMessage="0" showErrorMessage="1" errorTitle="Não se aplica / valor inválido" error="Esta coluna não se aplica a este cliente (aba Config) ou o valor é inválido. Use 0 ou um número maior." sqref="F3:F5001">
      <formula1>AND(IFERROR(INDEX(Config!$E$51:$E$55,MATCH($B3,Config!$A$51:$A$55,0)),"Sim")&lt;&gt;"Não",ISNUMBER(F3),F3&gt;=0)</formula1>
    </dataValidation>
    <dataValidation type="custom" allowBlank="1" showInputMessage="0" showErrorMessage="1" errorTitle="Não se aplica / valor inválido" error="Esta coluna não se aplica a este cliente (aba Config) ou o valor é inválido. Use 0 ou um número maior." sqref="G3:G5001">
      <formula1>AND(IFERROR(INDEX(Config!$F$51:$F$55,MATCH($B3,Config!$A$51:$A$55,0)),"Sim")&lt;&gt;"Não",ISNUMBER(G3),G3&gt;=0)</formula1>
    </dataValidation>
    <dataValidation type="custom" allowBlank="1" showInputMessage="0" showErrorMessage="1" errorTitle="Não se aplica / valor inválido" error="Esta coluna não se aplica a este cliente (aba Config) ou o valor é inválido. Use 0 ou um número maior." sqref="H3:H5001">
      <formula1>AND(IFERROR(INDEX(Config!$G$51:$G$55,MATCH($B3,Config!$A$51:$A$55,0)),"Sim")&lt;&gt;"Não",ISNUMBER(H3),H3&gt;=0)</formula1>
    </dataValidation>
    <dataValidation type="custom" allowBlank="1" showInputMessage="0" showErrorMessage="1" errorTitle="Não se aplica / valor inválido" error="Esta coluna não se aplica a este cliente (aba Config) ou o valor é inválido. Use 0 ou um número maior." sqref="I3:I5001">
      <formula1>AND(IFERROR(INDEX(Config!$H$51:$H$55,MATCH($B3,Config!$A$51:$A$55,0)),"Sim")&lt;&gt;"Não",ISNUMBER(I3),I3&gt;=0)</formula1>
    </dataValidation>
    <dataValidation type="custom" allowBlank="1" showInputMessage="0" showErrorMessage="1" errorTitle="Não se aplica / valor inválido" error="Esta coluna não se aplica a este cliente (aba Config) ou o valor é inválido. Use 0 ou um número maior." sqref="J3:J5001">
      <formula1>AND(IFERROR(INDEX(Config!$I$51:$I$55,MATCH($B3,Config!$A$51:$A$55,0)),"Sim")&lt;&gt;"Não",ISNUMBER(J3),J3&gt;=0)</formula1>
    </dataValidation>
    <dataValidation type="custom" allowBlank="1" showInputMessage="0" showErrorMessage="1" errorTitle="Não se aplica / valor inválido" error="Esta coluna não se aplica a este cliente (aba Config) ou o valor é inválido. Use 0 ou um número maior." sqref="K3:K5001">
      <formula1>AND(IFERROR(INDEX(Config!$J$51:$J$55,MATCH($B3,Config!$A$51:$A$55,0)),"Sim")&lt;&gt;"Não",ISNUMBER(K3),K3&gt;=0)</formula1>
    </dataValidation>
    <dataValidation type="custom" allowBlank="1" showInputMessage="0" showErrorMessage="1" errorTitle="Não se aplica / valor inválido" error="Esta coluna não se aplica a este cliente (aba Config) ou o valor é inválido. Use 0 ou um número maior." sqref="L3:L5001">
      <formula1>AND(IFERROR(INDEX(Config!$K$51:$K$55,MATCH($B3,Config!$A$51:$A$55,0)),"Sim")&lt;&gt;"Não",ISNUMBER(L3),L3&gt;=0)</formula1>
    </dataValidation>
    <dataValidation type="custom" allowBlank="1" showInputMessage="0" showErrorMessage="1" errorTitle="Não se aplica / valor inválido" error="Esta coluna não se aplica a este cliente (aba Config) ou o valor é inválido. Use 0 ou um número maior." sqref="M3:M5001">
      <formula1>AND(IFERROR(INDEX(Config!$L$51:$L$55,MATCH($B3,Config!$A$51:$A$55,0)),"Sim")&lt;&gt;"Não",ISNUMBER(M3),M3&gt;=0)</formula1>
    </dataValidation>
    <dataValidation type="custom" allowBlank="1" showInputMessage="0" showErrorMessage="1" errorTitle="Não se aplica / valor inválido" error="Esta coluna não se aplica a este cliente (aba Config) ou o valor é inválido. Use 0 ou um número maior." sqref="N3:N5001">
      <formula1>AND(IFERROR(INDEX(Config!$M$51:$M$55,MATCH($B3,Config!$A$51:$A$55,0)),"Sim")&lt;&gt;"Não",ISNUMBER(N3),N3&gt;=0)</formula1>
    </dataValidation>
    <dataValidation type="custom" allowBlank="1" showInputMessage="0" showErrorMessage="1" errorTitle="Não se aplica / valor inválido" error="Esta coluna não se aplica a este cliente (aba Config) ou o valor é inválido. Use 0 ou um número maior." sqref="O3:O5001">
      <formula1>AND(IFERROR(INDEX(Config!$N$51:$N$55,MATCH($B3,Config!$A$51:$A$55,0)),"Sim")&lt;&gt;"Não",ISNUMBER(O3),O3&gt;=0)</formula1>
    </dataValidation>
    <dataValidation type="custom" allowBlank="1" showInputMessage="0" showErrorMessage="1" errorTitle="Não se aplica / valor inválido" error="Esta coluna não se aplica a este cliente (aba Config) ou o valor é inválido. Use 0 ou um número maior." sqref="P3:P5001">
      <formula1>AND(IFERROR(INDEX(Config!$O$51:$O$55,MATCH($B3,Config!$A$51:$A$55,0)),"Sim")&lt;&gt;"Não",ISNUMBER(P3),P3&gt;=0)</formula1>
    </dataValidation>
    <dataValidation type="custom" allowBlank="1" showInputMessage="0" showErrorMessage="1" errorTitle="Não se aplica / valor inválido" error="Esta coluna não se aplica a este cliente (aba Config) ou o valor é inválido. Use 0 ou um número maior." sqref="Q3:Q5001">
      <formula1>AND(IFERROR(INDEX(Config!$P$51:$P$55,MATCH($B3,Config!$A$51:$A$55,0)),"Sim")&lt;&gt;"Não",ISNUMBER(Q3),Q3&gt;=0)</formula1>
    </dataValidation>
    <dataValidation type="custom" allowBlank="1" showInputMessage="0" showErrorMessage="1" errorTitle="Não se aplica / valor inválido" error="Esta coluna não se aplica a este cliente (aba Config) ou o valor é inválido. Use 0 ou um número maior." sqref="R3:R5001">
      <formula1>AND(IFERROR(INDEX(Config!$Q$51:$Q$55,MATCH($B3,Config!$A$51:$A$55,0)),"Sim")&lt;&gt;"Não",ISNUMBER(R3),R3&gt;=0)</formula1>
    </dataValidation>
    <dataValidation type="custom" allowBlank="1" showInputMessage="0" showErrorMessage="1" errorTitle="Não se aplica / valor inválido" error="Esta coluna não se aplica a este cliente (aba Config) ou o valor é inválido. Use 0 ou um número maior." sqref="S3:S5001">
      <formula1>AND(IFERROR(INDEX(Config!$R$51:$R$55,MATCH($B3,Config!$A$51:$A$55,0)),"Sim")&lt;&gt;"Não",ISNUMBER(S3),S3&gt;=0)</formula1>
    </dataValidation>
    <dataValidation type="custom" allowBlank="1" showInputMessage="0" showErrorMessage="1" errorTitle="Não se aplica / valor inválido" error="Esta coluna não se aplica a este cliente (aba Config) ou o valor é inválido. Use 0 ou um número maior." sqref="T3:T5001">
      <formula1>AND(IFERROR(INDEX(Config!$S$51:$S$55,MATCH($B3,Config!$A$51:$A$55,0)),"Sim")&lt;&gt;"Não",ISNUMBER(T3),T3&gt;=0)</formula1>
    </dataValidation>
    <dataValidation type="custom" allowBlank="1" showInputMessage="0" showErrorMessage="1" errorTitle="Não se aplica / valor inválido" error="Esta coluna não se aplica a este cliente (aba Config) ou o valor é inválido. Use 0 ou um número maior." sqref="U3:U5001">
      <formula1>AND(IFERROR(INDEX(Config!$T$51:$T$55,MATCH($B3,Config!$A$51:$A$55,0)),"Sim")&lt;&gt;"Não",ISNUMBER(U3),U3&gt;=0)</formula1>
    </dataValidation>
  </dataValidations>
  <pageMargins left="0.25" right="0.25" top="0.4" bottom="0.4" header="0.2" footer="0.2"/>
  <pageSetup paperSize="9" orientation="landscape" fitToWidth="1" fitToHeight="0"/>
  <tableParts count="1">
    <tablePart r:id="rIdT1"/>
  </tableParts>
</worksheet>
</file>

<file path=xl/worksheets/sheet6.xml><?xml version="1.0" encoding="utf-8"?>
<worksheet xmlns="http://schemas.openxmlformats.org/spreadsheetml/2006/main" xmlns:r="http://schemas.openxmlformats.org/officeDocument/2006/relationships">
  <sheetPr>
    <tabColor rgb="FFE01E1E"/>
    <pageSetUpPr fitToPage="1"/>
  </sheetPr>
  <dimension ref="A1:Z55"/>
  <sheetViews>
    <sheetView showGridLines="0" zoomScale="100" zoomScaleNormal="100" workbookViewId="0">
      <pane ySplit="4" topLeftCell="A5" activePane="bottomLeft" state="frozen"/>
      <selection pane="bottomLeft" activeCell="A5" sqref="A5"/>
    </sheetView>
  </sheetViews>
  <sheetFormatPr defaultRowHeight="15"/>
  <cols>
    <col min="1" max="1" width="34" customWidth="1"/>
    <col min="2" max="2" width="13" customWidth="1"/>
    <col min="3" max="3" width="27" customWidth="1"/>
    <col min="4" max="4" width="27" customWidth="1"/>
    <col min="5" max="5" width="27" customWidth="1"/>
    <col min="6" max="6" width="13" customWidth="1"/>
    <col min="7" max="7" width="27" customWidth="1"/>
    <col min="8" max="8" width="27" customWidth="1"/>
    <col min="9" max="9" width="27" customWidth="1"/>
    <col min="10" max="10" width="14" customWidth="1"/>
    <col min="11" max="11" width="27" customWidth="1"/>
    <col min="12" max="12" width="27" customWidth="1"/>
    <col min="13" max="13" width="34" customWidth="1"/>
    <col min="14" max="14" width="34" customWidth="1"/>
    <col min="15" max="15" width="27" customWidth="1"/>
    <col min="16" max="16" width="27" customWidth="1"/>
    <col min="17" max="17" width="34" customWidth="1"/>
    <col min="18" max="18" width="34" customWidth="1"/>
    <col min="19" max="19" width="3" customWidth="1"/>
    <col min="20" max="20" width="32" customWidth="1"/>
    <col min="21" max="21" width="30" customWidth="1"/>
    <col min="22" max="22" width="9" customWidth="1"/>
    <col min="23" max="23" width="9" customWidth="1"/>
    <col min="24" max="24" width="9" customWidth="1"/>
    <col min="25" max="25" width="9" customWidth="1"/>
    <col min="26" max="26" width="9" customWidth="1"/>
  </cols>
  <sheetData>
    <row r="1" ht="30" customHeight="1">
      <c r="A1" s="65" t="inlineStr">
        <is>
          <t xml:space="preserve">CONFIG · O QUE CADA CLIENTE MOSTRA NO DASHBOARD</t>
        </is>
      </c>
      <c r="B1" s="66"/>
      <c r="C1" s="66"/>
      <c r="D1" s="66"/>
      <c r="E1" s="66"/>
      <c r="F1" s="66"/>
      <c r="G1" s="66"/>
      <c r="H1" s="66"/>
      <c r="I1" s="66"/>
      <c r="J1" s="66"/>
      <c r="K1" s="66"/>
      <c r="L1" s="66"/>
      <c r="M1" s="66"/>
      <c r="N1" s="66"/>
      <c r="O1" s="66"/>
      <c r="P1" s="66"/>
      <c r="Q1" s="66"/>
      <c r="R1" s="66"/>
      <c r="S1" s="66"/>
      <c r="T1" s="66"/>
      <c r="U1" s="66"/>
      <c r="V1" s="66"/>
      <c r="W1" s="66"/>
      <c r="X1" s="66"/>
      <c r="Y1" s="66"/>
      <c r="Z1" s="67"/>
    </row>
    <row r="2" ht="18" customHeight="1">
      <c r="A2" s="68" t="inlineStr">
        <is>
          <t xml:space="preserve">Escolha nas listas (setinha da célula) os indicadores de cada cliente. Linha 1 = 1ª linha de apoio do card; linha 2 (a) e (b) = 2ª linha (juntas). "por veículo" = volume ÷ veículos. CARD = "Não se aplica" esconde o card do cliente · Ocupação "Só ocupadas" mostra só as posições ocupadas (sem contratada e taxa). Vazio = nada. O Dashboard se atualiza na hora; não precisa gerar o arquivo de novo.</t>
        </is>
      </c>
      <c r="B2" s="68"/>
      <c r="C2" s="68"/>
      <c r="D2" s="68"/>
      <c r="E2" s="68"/>
      <c r="F2" s="68"/>
      <c r="G2" s="68"/>
      <c r="H2" s="68"/>
      <c r="I2" s="68"/>
      <c r="J2" s="68"/>
      <c r="K2" s="68"/>
      <c r="L2" s="68"/>
      <c r="M2" s="68"/>
      <c r="N2" s="68"/>
      <c r="O2" s="68"/>
      <c r="P2" s="68"/>
      <c r="Q2" s="68"/>
      <c r="R2" s="68"/>
    </row>
    <row r="3" ht="18" customHeight="1">
      <c r="A3" s="68"/>
      <c r="B3" s="68"/>
      <c r="C3" s="68"/>
      <c r="D3" s="68"/>
      <c r="E3" s="68"/>
      <c r="F3" s="68"/>
      <c r="G3" s="68"/>
      <c r="H3" s="68"/>
      <c r="I3" s="68"/>
      <c r="J3" s="68"/>
      <c r="K3" s="68"/>
      <c r="L3" s="68"/>
      <c r="M3" s="68"/>
      <c r="N3" s="68"/>
      <c r="O3" s="68"/>
      <c r="P3" s="68"/>
      <c r="Q3" s="68"/>
      <c r="R3" s="68"/>
    </row>
    <row r="4">
      <c r="T4" s="70" t="inlineStr">
        <is>
          <t xml:space="preserve">CATÁLOGO DE INDICADORES — rótulo e casas podem ser editados; colunas cinza são técnicas (não alterar)</t>
        </is>
      </c>
    </row>
    <row r="5" ht="32" customHeight="1">
      <c r="A5" s="16" t="inlineStr">
        <is>
          <t xml:space="preserve">CLIENTE / FILTRO</t>
        </is>
      </c>
      <c r="B5" s="16" t="inlineStr">
        <is>
          <t xml:space="preserve">CARD IN</t>
        </is>
      </c>
      <c r="C5" s="16" t="inlineStr">
        <is>
          <t xml:space="preserve">IN · linha 1</t>
        </is>
      </c>
      <c r="D5" s="16" t="inlineStr">
        <is>
          <t xml:space="preserve">IN · linha 2 (a)</t>
        </is>
      </c>
      <c r="E5" s="16" t="inlineStr">
        <is>
          <t xml:space="preserve">IN · linha 2 (b)</t>
        </is>
      </c>
      <c r="F5" s="16" t="inlineStr">
        <is>
          <t xml:space="preserve">CARD OUT</t>
        </is>
      </c>
      <c r="G5" s="16" t="inlineStr">
        <is>
          <t xml:space="preserve">OUT · linha 1</t>
        </is>
      </c>
      <c r="H5" s="16" t="inlineStr">
        <is>
          <t xml:space="preserve">OUT · linha 2 (a)</t>
        </is>
      </c>
      <c r="I5" s="16" t="inlineStr">
        <is>
          <t xml:space="preserve">OUT · linha 2 (b)</t>
        </is>
      </c>
      <c r="J5" s="16" t="inlineStr">
        <is>
          <t xml:space="preserve">CARD OCUPAÇÃO</t>
        </is>
      </c>
      <c r="K5" s="16" t="inlineStr">
        <is>
          <t xml:space="preserve">GRÁFICO 2 · IN</t>
        </is>
      </c>
      <c r="L5" s="16" t="inlineStr">
        <is>
          <t xml:space="preserve">GRÁFICO 2 · OUT</t>
        </is>
      </c>
      <c r="M5" s="16" t="inlineStr">
        <is>
          <t xml:space="preserve">GRÁFICO 2 · título diário</t>
        </is>
      </c>
      <c r="N5" s="16" t="inlineStr">
        <is>
          <t xml:space="preserve">GRÁFICO 2 · título semanal</t>
        </is>
      </c>
      <c r="O5" s="16" t="inlineStr">
        <is>
          <t xml:space="preserve">GRÁFICO 3 · IN</t>
        </is>
      </c>
      <c r="P5" s="16" t="inlineStr">
        <is>
          <t xml:space="preserve">GRÁFICO 3 · OUT</t>
        </is>
      </c>
      <c r="Q5" s="16" t="inlineStr">
        <is>
          <t xml:space="preserve">GRÁFICO 3 · título diário</t>
        </is>
      </c>
      <c r="R5" s="16" t="inlineStr">
        <is>
          <t xml:space="preserve">GRÁFICO 3 · título semanal</t>
        </is>
      </c>
      <c r="T5" s="16" t="inlineStr">
        <is>
          <t xml:space="preserve">INDICADOR (nome da lista)</t>
        </is>
      </c>
      <c r="U5" s="16" t="inlineStr">
        <is>
          <t xml:space="preserve">Rótulo no card</t>
        </is>
      </c>
      <c r="V5" s="16" t="inlineStr">
        <is>
          <t xml:space="preserve">Casas decimais</t>
        </is>
      </c>
      <c r="W5" s="69" t="inlineStr">
        <is>
          <t xml:space="preserve">Linha no período</t>
        </is>
      </c>
      <c r="X5" s="69" t="inlineStr">
        <is>
          <t xml:space="preserve">Coluna na série</t>
        </is>
      </c>
      <c r="Y5" s="69" t="inlineStr">
        <is>
          <t xml:space="preserve">Linha divisor</t>
        </is>
      </c>
      <c r="Z5" s="69" t="inlineStr">
        <is>
          <t xml:space="preserve">Coluna divisor</t>
        </is>
      </c>
    </row>
    <row r="6">
      <c r="A6" s="74" t="inlineStr">
        <is>
          <t xml:space="preserve">Todos</t>
        </is>
      </c>
      <c r="B6" s="75" t="inlineStr">
        <is>
          <t xml:space="preserve">Sim</t>
        </is>
      </c>
      <c r="C6" s="75" t="inlineStr">
        <is>
          <t xml:space="preserve">Pallets Movimentados IN</t>
        </is>
      </c>
      <c r="D6" s="75" t="inlineStr">
        <is>
          <t xml:space="preserve">Toneladas Movimentadas IN</t>
        </is>
      </c>
      <c r="E6" s="75"/>
      <c r="F6" s="75" t="inlineStr">
        <is>
          <t xml:space="preserve">Sim</t>
        </is>
      </c>
      <c r="G6" s="75" t="inlineStr">
        <is>
          <t xml:space="preserve">Pallets Movimentados OUT</t>
        </is>
      </c>
      <c r="H6" s="75" t="inlineStr">
        <is>
          <t xml:space="preserve">Toneladas Movimentadas OUT</t>
        </is>
      </c>
      <c r="I6" s="75"/>
      <c r="J6" s="75" t="inlineStr">
        <is>
          <t xml:space="preserve">Completo</t>
        </is>
      </c>
      <c r="K6" s="75" t="inlineStr">
        <is>
          <t xml:space="preserve">Pallets Movimentados IN</t>
        </is>
      </c>
      <c r="L6" s="75" t="inlineStr">
        <is>
          <t xml:space="preserve">Pallets Movimentados OUT</t>
        </is>
      </c>
      <c r="M6" s="75" t="inlineStr">
        <is>
          <t xml:space="preserve">MOVIMENTAÇÃO PALETES/DIA</t>
        </is>
      </c>
      <c r="N6" s="75" t="inlineStr">
        <is>
          <t xml:space="preserve">ACUMULADO SEMANAL PALETES</t>
        </is>
      </c>
      <c r="O6" s="75" t="inlineStr">
        <is>
          <t xml:space="preserve">Toneladas Movimentadas IN</t>
        </is>
      </c>
      <c r="P6" s="75" t="inlineStr">
        <is>
          <t xml:space="preserve">Toneladas Movimentadas OUT</t>
        </is>
      </c>
      <c r="Q6" s="75" t="inlineStr">
        <is>
          <t xml:space="preserve">MOVIMENTAÇÃO TONS/DIA</t>
        </is>
      </c>
      <c r="R6" s="75" t="inlineStr">
        <is>
          <t xml:space="preserve">ACUMULADO SEMANAL TONS</t>
        </is>
      </c>
      <c r="T6" s="38" t="inlineStr">
        <is>
          <t xml:space="preserve">Pallets Movimentados IN</t>
        </is>
      </c>
      <c r="U6" s="71" t="inlineStr">
        <is>
          <t xml:space="preserve">pallets movimentados</t>
        </is>
      </c>
      <c r="V6" s="72">
        <v>0</v>
      </c>
      <c r="W6" s="73">
        <v>2</v>
      </c>
      <c r="X6" s="73">
        <v>2</v>
      </c>
      <c r="Y6" s="73">
        <v>0</v>
      </c>
      <c r="Z6" s="73">
        <v>0</v>
      </c>
    </row>
    <row r="7">
      <c r="A7" s="76" t="inlineStr">
        <is>
          <t xml:space="preserve">Barry Callebaut</t>
        </is>
      </c>
      <c r="B7" s="75" t="inlineStr">
        <is>
          <t xml:space="preserve">Sim</t>
        </is>
      </c>
      <c r="C7" s="75" t="inlineStr">
        <is>
          <t xml:space="preserve">Pallets Movimentados IN</t>
        </is>
      </c>
      <c r="D7" s="75" t="inlineStr">
        <is>
          <t xml:space="preserve">Toneladas Movimentadas IN</t>
        </is>
      </c>
      <c r="E7" s="75"/>
      <c r="F7" s="75" t="inlineStr">
        <is>
          <t xml:space="preserve">Sim</t>
        </is>
      </c>
      <c r="G7" s="75" t="inlineStr">
        <is>
          <t xml:space="preserve">Pallets Movimentados OUT</t>
        </is>
      </c>
      <c r="H7" s="75" t="inlineStr">
        <is>
          <t xml:space="preserve">Toneladas Movimentadas OUT</t>
        </is>
      </c>
      <c r="I7" s="75"/>
      <c r="J7" s="75" t="inlineStr">
        <is>
          <t xml:space="preserve">Completo</t>
        </is>
      </c>
      <c r="K7" s="75" t="inlineStr">
        <is>
          <t xml:space="preserve">Pallets Movimentados IN</t>
        </is>
      </c>
      <c r="L7" s="75" t="inlineStr">
        <is>
          <t xml:space="preserve">Pallets Movimentados OUT</t>
        </is>
      </c>
      <c r="M7" s="75" t="inlineStr">
        <is>
          <t xml:space="preserve">MOVIMENTAÇÃO PALETES/DIA</t>
        </is>
      </c>
      <c r="N7" s="75" t="inlineStr">
        <is>
          <t xml:space="preserve">ACUMULADO SEMANAL PALETES</t>
        </is>
      </c>
      <c r="O7" s="75" t="inlineStr">
        <is>
          <t xml:space="preserve">Toneladas Movimentadas IN</t>
        </is>
      </c>
      <c r="P7" s="75" t="inlineStr">
        <is>
          <t xml:space="preserve">Toneladas Movimentadas OUT</t>
        </is>
      </c>
      <c r="Q7" s="75" t="inlineStr">
        <is>
          <t xml:space="preserve">MOVIMENTAÇÃO TONS/DIA</t>
        </is>
      </c>
      <c r="R7" s="75" t="inlineStr">
        <is>
          <t xml:space="preserve">ACUMULADO SEMANAL TONS</t>
        </is>
      </c>
      <c r="T7" s="38" t="inlineStr">
        <is>
          <t xml:space="preserve">Pallets Movimentados IN por veículo</t>
        </is>
      </c>
      <c r="U7" s="71" t="inlineStr">
        <is>
          <t xml:space="preserve">pallets movimentados por veículo</t>
        </is>
      </c>
      <c r="V7" s="72">
        <v>1</v>
      </c>
      <c r="W7" s="73">
        <v>2</v>
      </c>
      <c r="X7" s="73">
        <v>2</v>
      </c>
      <c r="Y7" s="73">
        <v>1</v>
      </c>
      <c r="Z7" s="73">
        <v>1</v>
      </c>
    </row>
    <row r="8">
      <c r="A8" s="74" t="inlineStr">
        <is>
          <t xml:space="preserve">GM</t>
        </is>
      </c>
      <c r="B8" s="75" t="inlineStr">
        <is>
          <t xml:space="preserve">Não se aplica</t>
        </is>
      </c>
      <c r="C8" s="75"/>
      <c r="D8" s="75"/>
      <c r="E8" s="75"/>
      <c r="F8" s="75" t="inlineStr">
        <is>
          <t xml:space="preserve">Sim</t>
        </is>
      </c>
      <c r="G8" s="75" t="inlineStr">
        <is>
          <t xml:space="preserve">Pallets Movimentados OUT</t>
        </is>
      </c>
      <c r="H8" s="75" t="inlineStr">
        <is>
          <t xml:space="preserve">Toneladas Movimentadas OUT</t>
        </is>
      </c>
      <c r="I8" s="75"/>
      <c r="J8" s="75" t="inlineStr">
        <is>
          <t xml:space="preserve">Não se aplica</t>
        </is>
      </c>
      <c r="K8" s="75"/>
      <c r="L8" s="75" t="inlineStr">
        <is>
          <t xml:space="preserve">Pallets Movimentados OUT</t>
        </is>
      </c>
      <c r="M8" s="75" t="inlineStr">
        <is>
          <t xml:space="preserve">MOVIMENTAÇÃO PALETES (OUT)/DIA</t>
        </is>
      </c>
      <c r="N8" s="75" t="inlineStr">
        <is>
          <t xml:space="preserve">ACUMULADO SEMANAL PALETES (OUT)</t>
        </is>
      </c>
      <c r="O8" s="75"/>
      <c r="P8" s="75" t="inlineStr">
        <is>
          <t xml:space="preserve">Toneladas Movimentadas OUT</t>
        </is>
      </c>
      <c r="Q8" s="75" t="inlineStr">
        <is>
          <t xml:space="preserve">MOVIMENTAÇÃO TONS (OUT)/DIA</t>
        </is>
      </c>
      <c r="R8" s="75" t="inlineStr">
        <is>
          <t xml:space="preserve">ACUMULADO SEMANAL TONS (OUT)</t>
        </is>
      </c>
      <c r="T8" s="38" t="inlineStr">
        <is>
          <t xml:space="preserve">Toneladas Movimentadas IN</t>
        </is>
      </c>
      <c r="U8" s="71" t="inlineStr">
        <is>
          <t xml:space="preserve">t movimentadas</t>
        </is>
      </c>
      <c r="V8" s="72">
        <v>1</v>
      </c>
      <c r="W8" s="73">
        <v>3</v>
      </c>
      <c r="X8" s="73">
        <v>3</v>
      </c>
      <c r="Y8" s="73">
        <v>0</v>
      </c>
      <c r="Z8" s="73">
        <v>0</v>
      </c>
    </row>
    <row r="9">
      <c r="A9" s="76" t="inlineStr">
        <is>
          <t xml:space="preserve">Mondelez</t>
        </is>
      </c>
      <c r="B9" s="75" t="inlineStr">
        <is>
          <t xml:space="preserve">Sim</t>
        </is>
      </c>
      <c r="C9" s="75" t="inlineStr">
        <is>
          <t xml:space="preserve">Pallets Movimentados IN</t>
        </is>
      </c>
      <c r="D9" s="75" t="inlineStr">
        <is>
          <t xml:space="preserve">Toneladas Movimentadas IN</t>
        </is>
      </c>
      <c r="E9" s="75"/>
      <c r="F9" s="75" t="inlineStr">
        <is>
          <t xml:space="preserve">Sim</t>
        </is>
      </c>
      <c r="G9" s="75" t="inlineStr">
        <is>
          <t xml:space="preserve">Pallets Movimentados OUT</t>
        </is>
      </c>
      <c r="H9" s="75" t="inlineStr">
        <is>
          <t xml:space="preserve">Toneladas Movimentadas OUT</t>
        </is>
      </c>
      <c r="I9" s="75"/>
      <c r="J9" s="75" t="inlineStr">
        <is>
          <t xml:space="preserve">Só ocupadas</t>
        </is>
      </c>
      <c r="K9" s="75" t="inlineStr">
        <is>
          <t xml:space="preserve">Pallets Movimentados IN</t>
        </is>
      </c>
      <c r="L9" s="75" t="inlineStr">
        <is>
          <t xml:space="preserve">Pallets Movimentados OUT</t>
        </is>
      </c>
      <c r="M9" s="75" t="inlineStr">
        <is>
          <t xml:space="preserve">MOVIMENTAÇÃO PALETES/DIA</t>
        </is>
      </c>
      <c r="N9" s="75" t="inlineStr">
        <is>
          <t xml:space="preserve">ACUMULADO SEMANAL PALETES</t>
        </is>
      </c>
      <c r="O9" s="75" t="inlineStr">
        <is>
          <t xml:space="preserve">Toneladas Movimentadas IN</t>
        </is>
      </c>
      <c r="P9" s="75" t="inlineStr">
        <is>
          <t xml:space="preserve">Toneladas Movimentadas OUT</t>
        </is>
      </c>
      <c r="Q9" s="75" t="inlineStr">
        <is>
          <t xml:space="preserve">MOVIMENTAÇÃO TONS/DIA</t>
        </is>
      </c>
      <c r="R9" s="75" t="inlineStr">
        <is>
          <t xml:space="preserve">ACUMULADO SEMANAL TONS</t>
        </is>
      </c>
      <c r="T9" s="38" t="inlineStr">
        <is>
          <t xml:space="preserve">Toneladas Movimentadas IN por veículo</t>
        </is>
      </c>
      <c r="U9" s="71" t="inlineStr">
        <is>
          <t xml:space="preserve">t movimentadas por veículo</t>
        </is>
      </c>
      <c r="V9" s="72">
        <v>1</v>
      </c>
      <c r="W9" s="73">
        <v>3</v>
      </c>
      <c r="X9" s="73">
        <v>3</v>
      </c>
      <c r="Y9" s="73">
        <v>1</v>
      </c>
      <c r="Z9" s="73">
        <v>1</v>
      </c>
    </row>
    <row r="10">
      <c r="A10" s="74" t="inlineStr">
        <is>
          <t xml:space="preserve">Nestlé</t>
        </is>
      </c>
      <c r="B10" s="75" t="inlineStr">
        <is>
          <t xml:space="preserve">Sim</t>
        </is>
      </c>
      <c r="C10" s="75" t="inlineStr">
        <is>
          <t xml:space="preserve">Pallets Movimentados IN</t>
        </is>
      </c>
      <c r="D10" s="75" t="inlineStr">
        <is>
          <t xml:space="preserve">Toneladas Movimentadas IN</t>
        </is>
      </c>
      <c r="E10" s="75"/>
      <c r="F10" s="75" t="inlineStr">
        <is>
          <t xml:space="preserve">Sim</t>
        </is>
      </c>
      <c r="G10" s="75" t="inlineStr">
        <is>
          <t xml:space="preserve">Pallets Movimentados OUT</t>
        </is>
      </c>
      <c r="H10" s="75" t="inlineStr">
        <is>
          <t xml:space="preserve">Toneladas Movimentadas OUT</t>
        </is>
      </c>
      <c r="I10" s="75"/>
      <c r="J10" s="75" t="inlineStr">
        <is>
          <t xml:space="preserve">Só ocupadas</t>
        </is>
      </c>
      <c r="K10" s="75" t="inlineStr">
        <is>
          <t xml:space="preserve">Pallets Movimentados IN</t>
        </is>
      </c>
      <c r="L10" s="75" t="inlineStr">
        <is>
          <t xml:space="preserve">Pallets Movimentados OUT</t>
        </is>
      </c>
      <c r="M10" s="75" t="inlineStr">
        <is>
          <t xml:space="preserve">MOVIMENTAÇÃO PALETES/DIA</t>
        </is>
      </c>
      <c r="N10" s="75" t="inlineStr">
        <is>
          <t xml:space="preserve">ACUMULADO SEMANAL PALETES</t>
        </is>
      </c>
      <c r="O10" s="75" t="inlineStr">
        <is>
          <t xml:space="preserve">Toneladas Movimentadas IN</t>
        </is>
      </c>
      <c r="P10" s="75" t="inlineStr">
        <is>
          <t xml:space="preserve">Toneladas Movimentadas OUT</t>
        </is>
      </c>
      <c r="Q10" s="75" t="inlineStr">
        <is>
          <t xml:space="preserve">MOVIMENTAÇÃO TONS/DIA</t>
        </is>
      </c>
      <c r="R10" s="75" t="inlineStr">
        <is>
          <t xml:space="preserve">ACUMULADO SEMANAL TONS</t>
        </is>
      </c>
      <c r="T10" s="38" t="inlineStr">
        <is>
          <t xml:space="preserve">Pallets Movimentados OUT</t>
        </is>
      </c>
      <c r="U10" s="71" t="inlineStr">
        <is>
          <t xml:space="preserve">pallets movimentados</t>
        </is>
      </c>
      <c r="V10" s="72">
        <v>0</v>
      </c>
      <c r="W10" s="73">
        <v>5</v>
      </c>
      <c r="X10" s="73">
        <v>5</v>
      </c>
      <c r="Y10" s="73">
        <v>0</v>
      </c>
      <c r="Z10" s="73">
        <v>0</v>
      </c>
    </row>
    <row r="11">
      <c r="A11" s="76" t="inlineStr">
        <is>
          <t xml:space="preserve">PMB</t>
        </is>
      </c>
      <c r="B11" s="75" t="inlineStr">
        <is>
          <t xml:space="preserve">Sim</t>
        </is>
      </c>
      <c r="C11" s="75" t="inlineStr">
        <is>
          <t xml:space="preserve">Pallets Movimentados IN</t>
        </is>
      </c>
      <c r="D11" s="75" t="inlineStr">
        <is>
          <t xml:space="preserve">Toneladas Movimentadas IN</t>
        </is>
      </c>
      <c r="E11" s="75"/>
      <c r="F11" s="75" t="inlineStr">
        <is>
          <t xml:space="preserve">Sim</t>
        </is>
      </c>
      <c r="G11" s="75" t="inlineStr">
        <is>
          <t xml:space="preserve">Pallets Movimentados OUT</t>
        </is>
      </c>
      <c r="H11" s="75" t="inlineStr">
        <is>
          <t xml:space="preserve">Toneladas Movimentadas OUT</t>
        </is>
      </c>
      <c r="I11" s="75"/>
      <c r="J11" s="75" t="inlineStr">
        <is>
          <t xml:space="preserve">Completo</t>
        </is>
      </c>
      <c r="K11" s="75" t="inlineStr">
        <is>
          <t xml:space="preserve">Pallets Movimentados IN</t>
        </is>
      </c>
      <c r="L11" s="75" t="inlineStr">
        <is>
          <t xml:space="preserve">Pallets Movimentados OUT</t>
        </is>
      </c>
      <c r="M11" s="75" t="inlineStr">
        <is>
          <t xml:space="preserve">MOVIMENTAÇÃO PALETES/DIA</t>
        </is>
      </c>
      <c r="N11" s="75" t="inlineStr">
        <is>
          <t xml:space="preserve">ACUMULADO SEMANAL PALETES</t>
        </is>
      </c>
      <c r="O11" s="75" t="inlineStr">
        <is>
          <t xml:space="preserve">Toneladas Movimentadas IN</t>
        </is>
      </c>
      <c r="P11" s="75" t="inlineStr">
        <is>
          <t xml:space="preserve">Toneladas Movimentadas OUT</t>
        </is>
      </c>
      <c r="Q11" s="75" t="inlineStr">
        <is>
          <t xml:space="preserve">MOVIMENTAÇÃO TONS/DIA</t>
        </is>
      </c>
      <c r="R11" s="75" t="inlineStr">
        <is>
          <t xml:space="preserve">ACUMULADO SEMANAL TONS</t>
        </is>
      </c>
      <c r="T11" s="38" t="inlineStr">
        <is>
          <t xml:space="preserve">Pallets Movimentados OUT por veículo</t>
        </is>
      </c>
      <c r="U11" s="71" t="inlineStr">
        <is>
          <t xml:space="preserve">pallets movimentados por veículo</t>
        </is>
      </c>
      <c r="V11" s="72">
        <v>1</v>
      </c>
      <c r="W11" s="73">
        <v>5</v>
      </c>
      <c r="X11" s="73">
        <v>5</v>
      </c>
      <c r="Y11" s="73">
        <v>4</v>
      </c>
      <c r="Z11" s="73">
        <v>4</v>
      </c>
    </row>
    <row r="12">
      <c r="T12" s="38" t="inlineStr">
        <is>
          <t xml:space="preserve">Toneladas Movimentadas OUT</t>
        </is>
      </c>
      <c r="U12" s="71" t="inlineStr">
        <is>
          <t xml:space="preserve">t movimentadas</t>
        </is>
      </c>
      <c r="V12" s="72">
        <v>1</v>
      </c>
      <c r="W12" s="73">
        <v>6</v>
      </c>
      <c r="X12" s="73">
        <v>6</v>
      </c>
      <c r="Y12" s="73">
        <v>0</v>
      </c>
      <c r="Z12" s="73">
        <v>0</v>
      </c>
    </row>
    <row r="13">
      <c r="T13" s="38" t="inlineStr">
        <is>
          <t xml:space="preserve">Toneladas Movimentadas OUT por veículo</t>
        </is>
      </c>
      <c r="U13" s="71" t="inlineStr">
        <is>
          <t xml:space="preserve">t movimentadas por veículo</t>
        </is>
      </c>
      <c r="V13" s="72">
        <v>1</v>
      </c>
      <c r="W13" s="73">
        <v>6</v>
      </c>
      <c r="X13" s="73">
        <v>6</v>
      </c>
      <c r="Y13" s="73">
        <v>4</v>
      </c>
      <c r="Z13" s="73">
        <v>4</v>
      </c>
    </row>
    <row r="15">
      <c r="A15" s="19" t="inlineStr">
        <is>
          <t xml:space="preserve">TEXTOS DO DASHBOARD — renomeie cards e gráficos (títulos dos gráficos 2 e 3 ficam no perfil de cada cliente, acima)</t>
        </is>
      </c>
      <c r="B15" s="19"/>
      <c r="C15" s="19"/>
      <c r="D15" s="19"/>
      <c r="E15" s="19"/>
    </row>
    <row r="16">
      <c r="A16" s="16" t="inlineStr">
        <is>
          <t xml:space="preserve">Onde aparece</t>
        </is>
      </c>
      <c r="B16" s="77" t="inlineStr">
        <is>
          <t xml:space="preserve">Texto</t>
        </is>
      </c>
      <c r="C16" s="78"/>
      <c r="D16" s="78"/>
      <c r="E16" s="79"/>
    </row>
    <row r="17">
      <c r="A17" s="80" t="inlineStr">
        <is>
          <t xml:space="preserve">Card IN · título</t>
        </is>
      </c>
      <c r="B17" s="75" t="inlineStr">
        <is>
          <t xml:space="preserve">RECEBIMENTO (IN)</t>
        </is>
      </c>
      <c r="C17" s="75"/>
      <c r="D17" s="75"/>
      <c r="E17" s="75"/>
    </row>
    <row r="18">
      <c r="A18" s="80" t="inlineStr">
        <is>
          <t xml:space="preserve">Card IN · legenda do número</t>
        </is>
      </c>
      <c r="B18" s="75" t="inlineStr">
        <is>
          <t xml:space="preserve">veículos recebidos</t>
        </is>
      </c>
      <c r="C18" s="75"/>
      <c r="D18" s="75"/>
      <c r="E18" s="75"/>
    </row>
    <row r="19">
      <c r="A19" s="80" t="inlineStr">
        <is>
          <t xml:space="preserve">Card OUT · título</t>
        </is>
      </c>
      <c r="B19" s="75" t="inlineStr">
        <is>
          <t xml:space="preserve">EXPEDIÇÃO (OUT)</t>
        </is>
      </c>
      <c r="C19" s="75"/>
      <c r="D19" s="75"/>
      <c r="E19" s="75"/>
    </row>
    <row r="20">
      <c r="A20" s="80" t="inlineStr">
        <is>
          <t xml:space="preserve">Card OUT · legenda do número</t>
        </is>
      </c>
      <c r="B20" s="75" t="inlineStr">
        <is>
          <t xml:space="preserve">veículos expedidos</t>
        </is>
      </c>
      <c r="C20" s="75"/>
      <c r="D20" s="75"/>
      <c r="E20" s="75"/>
    </row>
    <row r="21">
      <c r="A21" s="80" t="inlineStr">
        <is>
          <t xml:space="preserve">Card NC · título</t>
        </is>
      </c>
      <c r="B21" s="75" t="inlineStr">
        <is>
          <t xml:space="preserve">NC OPERACIONAL</t>
        </is>
      </c>
      <c r="C21" s="75"/>
      <c r="D21" s="75"/>
      <c r="E21" s="75"/>
    </row>
    <row r="22">
      <c r="A22" s="80" t="inlineStr">
        <is>
          <t xml:space="preserve">Card NC · legenda do número</t>
        </is>
      </c>
      <c r="B22" s="75" t="inlineStr">
        <is>
          <t xml:space="preserve">incidentes no período</t>
        </is>
      </c>
      <c r="C22" s="75"/>
      <c r="D22" s="75"/>
      <c r="E22" s="75"/>
    </row>
    <row r="23">
      <c r="A23" s="80" t="inlineStr">
        <is>
          <t xml:space="preserve">Card NC · linha 1</t>
        </is>
      </c>
      <c r="B23" s="75" t="inlineStr">
        <is>
          <t xml:space="preserve">NO SHOW</t>
        </is>
      </c>
      <c r="C23" s="75"/>
      <c r="D23" s="75"/>
      <c r="E23" s="75"/>
    </row>
    <row r="24">
      <c r="A24" s="80" t="inlineStr">
        <is>
          <t xml:space="preserve">Card NC · linha 2</t>
        </is>
      </c>
      <c r="B24" s="75" t="inlineStr">
        <is>
          <t xml:space="preserve">BACKLOG</t>
        </is>
      </c>
      <c r="C24" s="75"/>
      <c r="D24" s="75"/>
      <c r="E24" s="75"/>
    </row>
    <row r="25">
      <c r="A25" s="80" t="inlineStr">
        <is>
          <t xml:space="preserve">Card Ocupação · título</t>
        </is>
      </c>
      <c r="B25" s="75" t="inlineStr">
        <is>
          <t xml:space="preserve">ÍNDICE DE OCUPAÇÃO (P.P)</t>
        </is>
      </c>
      <c r="C25" s="75"/>
      <c r="D25" s="75"/>
      <c r="E25" s="75"/>
    </row>
    <row r="26">
      <c r="A26" s="80" t="inlineStr">
        <is>
          <t xml:space="preserve">Card Ocupação · posições (cliente)</t>
        </is>
      </c>
      <c r="B26" s="75" t="inlineStr">
        <is>
          <t xml:space="preserve">CONTRATADA</t>
        </is>
      </c>
      <c r="C26" s="75"/>
      <c r="D26" s="75"/>
      <c r="E26" s="75"/>
    </row>
    <row r="27">
      <c r="A27" s="80" t="inlineStr">
        <is>
          <t xml:space="preserve">Card Ocupação · posições (Todos / depósito)</t>
        </is>
      </c>
      <c r="B27" s="75" t="inlineStr">
        <is>
          <t xml:space="preserve">ARMAZÉM</t>
        </is>
      </c>
      <c r="C27" s="75"/>
      <c r="D27" s="75"/>
      <c r="E27" s="75"/>
    </row>
    <row r="28">
      <c r="A28" s="80" t="inlineStr">
        <is>
          <t xml:space="preserve">Card Ocupação · ocupadas</t>
        </is>
      </c>
      <c r="B28" s="75" t="inlineStr">
        <is>
          <t xml:space="preserve">OCUPADA</t>
        </is>
      </c>
      <c r="C28" s="75"/>
      <c r="D28" s="75"/>
      <c r="E28" s="75"/>
    </row>
    <row r="29">
      <c r="A29" s="80" t="inlineStr">
        <is>
          <t xml:space="preserve">Card Ocupação · taxa</t>
        </is>
      </c>
      <c r="B29" s="75" t="inlineStr">
        <is>
          <t xml:space="preserve">TX OCUPAÇÃO</t>
        </is>
      </c>
      <c r="C29" s="75"/>
      <c r="D29" s="75"/>
      <c r="E29" s="75"/>
    </row>
    <row r="30">
      <c r="A30" s="80" t="inlineStr">
        <is>
          <t xml:space="preserve">Card Ocupação · ociosidade</t>
        </is>
      </c>
      <c r="B30" s="75" t="inlineStr">
        <is>
          <t xml:space="preserve">OCIOSIDADE</t>
        </is>
      </c>
      <c r="C30" s="75"/>
      <c r="D30" s="75"/>
      <c r="E30" s="75"/>
    </row>
    <row r="31">
      <c r="A31" s="80" t="inlineStr">
        <is>
          <t xml:space="preserve">Card Gente · título</t>
        </is>
      </c>
      <c r="B31" s="75" t="inlineStr">
        <is>
          <t xml:space="preserve">GENTE</t>
        </is>
      </c>
      <c r="C31" s="75"/>
      <c r="D31" s="75"/>
      <c r="E31" s="75"/>
    </row>
    <row r="32">
      <c r="A32" s="80" t="inlineStr">
        <is>
          <t xml:space="preserve">Card Gente · linha 1</t>
        </is>
      </c>
      <c r="B32" s="75" t="inlineStr">
        <is>
          <t xml:space="preserve">EFETIVO</t>
        </is>
      </c>
      <c r="C32" s="75"/>
      <c r="D32" s="75"/>
      <c r="E32" s="75"/>
    </row>
    <row r="33">
      <c r="A33" s="80" t="inlineStr">
        <is>
          <t xml:space="preserve">Card Gente · linha 2</t>
        </is>
      </c>
      <c r="B33" s="75" t="inlineStr">
        <is>
          <t xml:space="preserve">ABSENTEÍSMO (H/H)</t>
        </is>
      </c>
      <c r="C33" s="75"/>
      <c r="D33" s="75"/>
      <c r="E33" s="75"/>
    </row>
    <row r="34">
      <c r="A34" s="80" t="inlineStr">
        <is>
          <t xml:space="preserve">Card Gente · linha 3</t>
        </is>
      </c>
      <c r="B34" s="75" t="inlineStr">
        <is>
          <t xml:space="preserve">FÉRIAS</t>
        </is>
      </c>
      <c r="C34" s="75"/>
      <c r="D34" s="75"/>
      <c r="E34" s="75"/>
    </row>
    <row r="35">
      <c r="A35" s="80" t="inlineStr">
        <is>
          <t xml:space="preserve">Card Gente · linha 4</t>
        </is>
      </c>
      <c r="B35" s="75" t="inlineStr">
        <is>
          <t xml:space="preserve">TURNOVER</t>
        </is>
      </c>
      <c r="C35" s="75"/>
      <c r="D35" s="75"/>
      <c r="E35" s="75"/>
    </row>
    <row r="36">
      <c r="A36" s="80" t="inlineStr">
        <is>
          <t xml:space="preserve">Card Gente · linha 5</t>
        </is>
      </c>
      <c r="B36" s="75" t="inlineStr">
        <is>
          <t xml:space="preserve">DESVIOS COMPORTAM.</t>
        </is>
      </c>
      <c r="C36" s="75"/>
      <c r="D36" s="75"/>
      <c r="E36" s="75"/>
    </row>
    <row r="37">
      <c r="A37" s="80" t="inlineStr">
        <is>
          <t xml:space="preserve">Card Gente · linha 6</t>
        </is>
      </c>
      <c r="B37" s="75" t="inlineStr">
        <is>
          <t xml:space="preserve">ACIDENTES (CAF/SAF)</t>
        </is>
      </c>
      <c r="C37" s="75"/>
      <c r="D37" s="75"/>
      <c r="E37" s="75"/>
    </row>
    <row r="38">
      <c r="A38" s="80" t="inlineStr">
        <is>
          <t xml:space="preserve">Gráfico 1 · título</t>
        </is>
      </c>
      <c r="B38" s="75" t="inlineStr">
        <is>
          <t xml:space="preserve">MOVIMENTAÇÃO VEÍCULO/DIA</t>
        </is>
      </c>
      <c r="C38" s="75"/>
      <c r="D38" s="75"/>
      <c r="E38" s="75"/>
    </row>
    <row r="39">
      <c r="A39" s="80" t="inlineStr">
        <is>
          <t xml:space="preserve">Gráfico 1 · série IN</t>
        </is>
      </c>
      <c r="B39" s="75" t="inlineStr">
        <is>
          <t xml:space="preserve">Recebidos (IN)</t>
        </is>
      </c>
      <c r="C39" s="75"/>
      <c r="D39" s="75"/>
      <c r="E39" s="75"/>
    </row>
    <row r="40">
      <c r="A40" s="80" t="inlineStr">
        <is>
          <t xml:space="preserve">Gráfico 1 · série OUT</t>
        </is>
      </c>
      <c r="B40" s="75" t="inlineStr">
        <is>
          <t xml:space="preserve">Expedidos (OUT)</t>
        </is>
      </c>
      <c r="C40" s="75"/>
      <c r="D40" s="75"/>
      <c r="E40" s="75"/>
    </row>
    <row r="41">
      <c r="A41" s="80" t="inlineStr">
        <is>
          <t xml:space="preserve">Gráfico ocupação · título</t>
        </is>
      </c>
      <c r="B41" s="75" t="inlineStr">
        <is>
          <t xml:space="preserve">OCUPAÇÃO DIÁRIA</t>
        </is>
      </c>
      <c r="C41" s="75"/>
      <c r="D41" s="75"/>
      <c r="E41" s="75"/>
    </row>
    <row r="42">
      <c r="A42" s="80" t="inlineStr">
        <is>
          <t xml:space="preserve">Gráfico ocupação · título (só ocupadas)</t>
        </is>
      </c>
      <c r="B42" s="75" t="inlineStr">
        <is>
          <t xml:space="preserve">POSIÇÕES OCUPADAS/DIA</t>
        </is>
      </c>
      <c r="C42" s="75"/>
      <c r="D42" s="75"/>
      <c r="E42" s="75"/>
    </row>
    <row r="43">
      <c r="A43" s="80" t="inlineStr">
        <is>
          <t xml:space="preserve">Gráfico ocupação · título (não se aplica)</t>
        </is>
      </c>
      <c r="B43" s="75" t="inlineStr">
        <is>
          <t xml:space="preserve">OCUPAÇÃO — NÃO SE APLICA</t>
        </is>
      </c>
      <c r="C43" s="75"/>
      <c r="D43" s="75"/>
      <c r="E43" s="75"/>
    </row>
    <row r="44">
      <c r="A44" s="80" t="inlineStr">
        <is>
          <t xml:space="preserve">Gráfico ocupação · série ocupada</t>
        </is>
      </c>
      <c r="B44" s="75" t="inlineStr">
        <is>
          <t xml:space="preserve">Ocupada (p.p)</t>
        </is>
      </c>
      <c r="C44" s="75"/>
      <c r="D44" s="75"/>
      <c r="E44" s="75"/>
    </row>
    <row r="45">
      <c r="A45" s="80" t="inlineStr">
        <is>
          <t xml:space="preserve">Gráfico ocupação · linha (cliente)</t>
        </is>
      </c>
      <c r="B45" s="75" t="inlineStr">
        <is>
          <t xml:space="preserve">Contratada (p.p)</t>
        </is>
      </c>
      <c r="C45" s="75"/>
      <c r="D45" s="75"/>
      <c r="E45" s="75"/>
    </row>
    <row r="46">
      <c r="A46" s="80" t="inlineStr">
        <is>
          <t xml:space="preserve">Gráfico ocupação · linha (Todos / depósito)</t>
        </is>
      </c>
      <c r="B46" s="75" t="inlineStr">
        <is>
          <t xml:space="preserve">Capacidade do armazém (p.p)</t>
        </is>
      </c>
      <c r="C46" s="75"/>
      <c r="D46" s="75"/>
      <c r="E46" s="75"/>
    </row>
    <row r="49">
      <c r="A49" s="19" t="inlineStr">
        <is>
          <t xml:space="preserve">COLUNAS DA BD POR CLIENTE — "Não" bloqueia a coluna na BD para o cliente (fica cinza e não aceita valor). Baseado no monitoramento de cada cliente.</t>
        </is>
      </c>
      <c r="B49" s="19"/>
      <c r="C49" s="19"/>
      <c r="D49" s="19"/>
      <c r="E49" s="19"/>
      <c r="F49" s="19"/>
      <c r="G49" s="19"/>
      <c r="H49" s="19"/>
      <c r="I49" s="19"/>
      <c r="J49" s="19"/>
      <c r="K49" s="19"/>
      <c r="L49" s="19"/>
    </row>
    <row r="50" ht="44" customHeight="1">
      <c r="A50" s="16" t="inlineStr">
        <is>
          <t xml:space="preserve">CLIENTE</t>
        </is>
      </c>
      <c r="B50" s="81" t="inlineStr">
        <is>
          <t xml:space="preserve">IN Veículos Recebidos</t>
        </is>
      </c>
      <c r="C50" s="81" t="inlineStr">
        <is>
          <t xml:space="preserve">IN Pallets Movimentados</t>
        </is>
      </c>
      <c r="D50" s="81" t="inlineStr">
        <is>
          <t xml:space="preserve">IN Toneladas Movimentadas</t>
        </is>
      </c>
      <c r="E50" s="82" t="inlineStr">
        <is>
          <t xml:space="preserve">OUT Veículos Expedidos</t>
        </is>
      </c>
      <c r="F50" s="82" t="inlineStr">
        <is>
          <t xml:space="preserve">OUT Pallets Movimentados</t>
        </is>
      </c>
      <c r="G50" s="82" t="inlineStr">
        <is>
          <t xml:space="preserve">OUT Toneladas Movimentadas</t>
        </is>
      </c>
      <c r="H50" s="83" t="inlineStr">
        <is>
          <t xml:space="preserve">NC Incidentes</t>
        </is>
      </c>
      <c r="I50" s="83" t="inlineStr">
        <is>
          <t xml:space="preserve">NC No show</t>
        </is>
      </c>
      <c r="J50" s="83" t="inlineStr">
        <is>
          <t xml:space="preserve">NC Backlog</t>
        </is>
      </c>
      <c r="K50" s="81" t="inlineStr">
        <is>
          <t xml:space="preserve">Posições Disponíveis</t>
        </is>
      </c>
      <c r="L50" s="81" t="inlineStr">
        <is>
          <t xml:space="preserve">Posições Ocupadas</t>
        </is>
      </c>
      <c r="M50" s="84" t="inlineStr">
        <is>
          <t xml:space="preserve">Efetivo Op.</t>
        </is>
      </c>
      <c r="N50" s="84" t="inlineStr">
        <is>
          <t xml:space="preserve">Falta</t>
        </is>
      </c>
      <c r="O50" s="84" t="inlineStr">
        <is>
          <t xml:space="preserve">Folga</t>
        </is>
      </c>
      <c r="P50" s="84" t="inlineStr">
        <is>
          <t xml:space="preserve">Férias</t>
        </is>
      </c>
      <c r="Q50" s="84" t="inlineStr">
        <is>
          <t xml:space="preserve">Desligamento</t>
        </is>
      </c>
      <c r="R50" s="84" t="inlineStr">
        <is>
          <t xml:space="preserve">Desvios Comportamentais</t>
        </is>
      </c>
      <c r="S50" s="84" t="inlineStr">
        <is>
          <t xml:space="preserve">Acidentes CAF</t>
        </is>
      </c>
      <c r="T50" s="84" t="inlineStr">
        <is>
          <t xml:space="preserve">Acidentes SAF</t>
        </is>
      </c>
    </row>
    <row r="51">
      <c r="A51" s="85" t="inlineStr">
        <is>
          <t xml:space="preserve">Barry Callebaut</t>
        </is>
      </c>
      <c r="B51" s="86" t="inlineStr">
        <is>
          <t xml:space="preserve">Sim</t>
        </is>
      </c>
      <c r="C51" s="86" t="inlineStr">
        <is>
          <t xml:space="preserve">Sim</t>
        </is>
      </c>
      <c r="D51" s="86" t="inlineStr">
        <is>
          <t xml:space="preserve">Sim</t>
        </is>
      </c>
      <c r="E51" s="86" t="inlineStr">
        <is>
          <t xml:space="preserve">Sim</t>
        </is>
      </c>
      <c r="F51" s="86" t="inlineStr">
        <is>
          <t xml:space="preserve">Sim</t>
        </is>
      </c>
      <c r="G51" s="86" t="inlineStr">
        <is>
          <t xml:space="preserve">Sim</t>
        </is>
      </c>
      <c r="H51" s="86" t="inlineStr">
        <is>
          <t xml:space="preserve">Sim</t>
        </is>
      </c>
      <c r="I51" s="86" t="inlineStr">
        <is>
          <t xml:space="preserve">Sim</t>
        </is>
      </c>
      <c r="J51" s="86" t="inlineStr">
        <is>
          <t xml:space="preserve">Sim</t>
        </is>
      </c>
      <c r="K51" s="86" t="inlineStr">
        <is>
          <t xml:space="preserve">Sim</t>
        </is>
      </c>
      <c r="L51" s="86" t="inlineStr">
        <is>
          <t xml:space="preserve">Sim</t>
        </is>
      </c>
      <c r="M51" s="86" t="inlineStr">
        <is>
          <t xml:space="preserve">Sim</t>
        </is>
      </c>
      <c r="N51" s="86" t="inlineStr">
        <is>
          <t xml:space="preserve">Sim</t>
        </is>
      </c>
      <c r="O51" s="86" t="inlineStr">
        <is>
          <t xml:space="preserve">Sim</t>
        </is>
      </c>
      <c r="P51" s="86" t="inlineStr">
        <is>
          <t xml:space="preserve">Sim</t>
        </is>
      </c>
      <c r="Q51" s="86" t="inlineStr">
        <is>
          <t xml:space="preserve">Sim</t>
        </is>
      </c>
      <c r="R51" s="86" t="inlineStr">
        <is>
          <t xml:space="preserve">Sim</t>
        </is>
      </c>
      <c r="S51" s="86" t="inlineStr">
        <is>
          <t xml:space="preserve">Sim</t>
        </is>
      </c>
      <c r="T51" s="86" t="inlineStr">
        <is>
          <t xml:space="preserve">Sim</t>
        </is>
      </c>
    </row>
    <row r="52">
      <c r="A52" s="85" t="inlineStr">
        <is>
          <t xml:space="preserve">GM</t>
        </is>
      </c>
      <c r="B52" s="86" t="inlineStr">
        <is>
          <t xml:space="preserve">Não</t>
        </is>
      </c>
      <c r="C52" s="86" t="inlineStr">
        <is>
          <t xml:space="preserve">Não</t>
        </is>
      </c>
      <c r="D52" s="86" t="inlineStr">
        <is>
          <t xml:space="preserve">Não</t>
        </is>
      </c>
      <c r="E52" s="86" t="inlineStr">
        <is>
          <t xml:space="preserve">Sim</t>
        </is>
      </c>
      <c r="F52" s="86" t="inlineStr">
        <is>
          <t xml:space="preserve">Sim</t>
        </is>
      </c>
      <c r="G52" s="86" t="inlineStr">
        <is>
          <t xml:space="preserve">Sim</t>
        </is>
      </c>
      <c r="H52" s="86" t="inlineStr">
        <is>
          <t xml:space="preserve">Sim</t>
        </is>
      </c>
      <c r="I52" s="86" t="inlineStr">
        <is>
          <t xml:space="preserve">Sim</t>
        </is>
      </c>
      <c r="J52" s="86" t="inlineStr">
        <is>
          <t xml:space="preserve">Sim</t>
        </is>
      </c>
      <c r="K52" s="86" t="inlineStr">
        <is>
          <t xml:space="preserve">Não</t>
        </is>
      </c>
      <c r="L52" s="86" t="inlineStr">
        <is>
          <t xml:space="preserve">Não</t>
        </is>
      </c>
      <c r="M52" s="86" t="inlineStr">
        <is>
          <t xml:space="preserve">Sim</t>
        </is>
      </c>
      <c r="N52" s="86" t="inlineStr">
        <is>
          <t xml:space="preserve">Sim</t>
        </is>
      </c>
      <c r="O52" s="86" t="inlineStr">
        <is>
          <t xml:space="preserve">Sim</t>
        </is>
      </c>
      <c r="P52" s="86" t="inlineStr">
        <is>
          <t xml:space="preserve">Sim</t>
        </is>
      </c>
      <c r="Q52" s="86" t="inlineStr">
        <is>
          <t xml:space="preserve">Sim</t>
        </is>
      </c>
      <c r="R52" s="86" t="inlineStr">
        <is>
          <t xml:space="preserve">Sim</t>
        </is>
      </c>
      <c r="S52" s="86" t="inlineStr">
        <is>
          <t xml:space="preserve">Sim</t>
        </is>
      </c>
      <c r="T52" s="86" t="inlineStr">
        <is>
          <t xml:space="preserve">Sim</t>
        </is>
      </c>
    </row>
    <row r="53">
      <c r="A53" s="85" t="inlineStr">
        <is>
          <t xml:space="preserve">Mondelez</t>
        </is>
      </c>
      <c r="B53" s="86" t="inlineStr">
        <is>
          <t xml:space="preserve">Sim</t>
        </is>
      </c>
      <c r="C53" s="86" t="inlineStr">
        <is>
          <t xml:space="preserve">Sim</t>
        </is>
      </c>
      <c r="D53" s="86" t="inlineStr">
        <is>
          <t xml:space="preserve">Sim</t>
        </is>
      </c>
      <c r="E53" s="86" t="inlineStr">
        <is>
          <t xml:space="preserve">Sim</t>
        </is>
      </c>
      <c r="F53" s="86" t="inlineStr">
        <is>
          <t xml:space="preserve">Sim</t>
        </is>
      </c>
      <c r="G53" s="86" t="inlineStr">
        <is>
          <t xml:space="preserve">Sim</t>
        </is>
      </c>
      <c r="H53" s="86" t="inlineStr">
        <is>
          <t xml:space="preserve">Sim</t>
        </is>
      </c>
      <c r="I53" s="86" t="inlineStr">
        <is>
          <t xml:space="preserve">Sim</t>
        </is>
      </c>
      <c r="J53" s="86" t="inlineStr">
        <is>
          <t xml:space="preserve">Sim</t>
        </is>
      </c>
      <c r="K53" s="86" t="inlineStr">
        <is>
          <t xml:space="preserve">Não</t>
        </is>
      </c>
      <c r="L53" s="86" t="inlineStr">
        <is>
          <t xml:space="preserve">Sim</t>
        </is>
      </c>
      <c r="M53" s="86" t="inlineStr">
        <is>
          <t xml:space="preserve">Sim</t>
        </is>
      </c>
      <c r="N53" s="86" t="inlineStr">
        <is>
          <t xml:space="preserve">Sim</t>
        </is>
      </c>
      <c r="O53" s="86" t="inlineStr">
        <is>
          <t xml:space="preserve">Sim</t>
        </is>
      </c>
      <c r="P53" s="86" t="inlineStr">
        <is>
          <t xml:space="preserve">Sim</t>
        </is>
      </c>
      <c r="Q53" s="86" t="inlineStr">
        <is>
          <t xml:space="preserve">Sim</t>
        </is>
      </c>
      <c r="R53" s="86" t="inlineStr">
        <is>
          <t xml:space="preserve">Sim</t>
        </is>
      </c>
      <c r="S53" s="86" t="inlineStr">
        <is>
          <t xml:space="preserve">Sim</t>
        </is>
      </c>
      <c r="T53" s="86" t="inlineStr">
        <is>
          <t xml:space="preserve">Sim</t>
        </is>
      </c>
    </row>
    <row r="54">
      <c r="A54" s="85" t="inlineStr">
        <is>
          <t xml:space="preserve">Nestlé</t>
        </is>
      </c>
      <c r="B54" s="86" t="inlineStr">
        <is>
          <t xml:space="preserve">Sim</t>
        </is>
      </c>
      <c r="C54" s="86" t="inlineStr">
        <is>
          <t xml:space="preserve">Sim</t>
        </is>
      </c>
      <c r="D54" s="86" t="inlineStr">
        <is>
          <t xml:space="preserve">Sim</t>
        </is>
      </c>
      <c r="E54" s="86" t="inlineStr">
        <is>
          <t xml:space="preserve">Sim</t>
        </is>
      </c>
      <c r="F54" s="86" t="inlineStr">
        <is>
          <t xml:space="preserve">Sim</t>
        </is>
      </c>
      <c r="G54" s="86" t="inlineStr">
        <is>
          <t xml:space="preserve">Sim</t>
        </is>
      </c>
      <c r="H54" s="86" t="inlineStr">
        <is>
          <t xml:space="preserve">Sim</t>
        </is>
      </c>
      <c r="I54" s="86" t="inlineStr">
        <is>
          <t xml:space="preserve">Sim</t>
        </is>
      </c>
      <c r="J54" s="86" t="inlineStr">
        <is>
          <t xml:space="preserve">Sim</t>
        </is>
      </c>
      <c r="K54" s="86" t="inlineStr">
        <is>
          <t xml:space="preserve">Não</t>
        </is>
      </c>
      <c r="L54" s="86" t="inlineStr">
        <is>
          <t xml:space="preserve">Sim</t>
        </is>
      </c>
      <c r="M54" s="86" t="inlineStr">
        <is>
          <t xml:space="preserve">Sim</t>
        </is>
      </c>
      <c r="N54" s="86" t="inlineStr">
        <is>
          <t xml:space="preserve">Sim</t>
        </is>
      </c>
      <c r="O54" s="86" t="inlineStr">
        <is>
          <t xml:space="preserve">Sim</t>
        </is>
      </c>
      <c r="P54" s="86" t="inlineStr">
        <is>
          <t xml:space="preserve">Sim</t>
        </is>
      </c>
      <c r="Q54" s="86" t="inlineStr">
        <is>
          <t xml:space="preserve">Sim</t>
        </is>
      </c>
      <c r="R54" s="86" t="inlineStr">
        <is>
          <t xml:space="preserve">Sim</t>
        </is>
      </c>
      <c r="S54" s="86" t="inlineStr">
        <is>
          <t xml:space="preserve">Sim</t>
        </is>
      </c>
      <c r="T54" s="86" t="inlineStr">
        <is>
          <t xml:space="preserve">Sim</t>
        </is>
      </c>
    </row>
    <row r="55">
      <c r="A55" s="85" t="inlineStr">
        <is>
          <t xml:space="preserve">PMB</t>
        </is>
      </c>
      <c r="B55" s="86" t="inlineStr">
        <is>
          <t xml:space="preserve">Sim</t>
        </is>
      </c>
      <c r="C55" s="86" t="inlineStr">
        <is>
          <t xml:space="preserve">Sim</t>
        </is>
      </c>
      <c r="D55" s="86" t="inlineStr">
        <is>
          <t xml:space="preserve">Sim</t>
        </is>
      </c>
      <c r="E55" s="86" t="inlineStr">
        <is>
          <t xml:space="preserve">Sim</t>
        </is>
      </c>
      <c r="F55" s="86" t="inlineStr">
        <is>
          <t xml:space="preserve">Sim</t>
        </is>
      </c>
      <c r="G55" s="86" t="inlineStr">
        <is>
          <t xml:space="preserve">Sim</t>
        </is>
      </c>
      <c r="H55" s="86" t="inlineStr">
        <is>
          <t xml:space="preserve">Sim</t>
        </is>
      </c>
      <c r="I55" s="86" t="inlineStr">
        <is>
          <t xml:space="preserve">Sim</t>
        </is>
      </c>
      <c r="J55" s="86" t="inlineStr">
        <is>
          <t xml:space="preserve">Sim</t>
        </is>
      </c>
      <c r="K55" s="86" t="inlineStr">
        <is>
          <t xml:space="preserve">Sim</t>
        </is>
      </c>
      <c r="L55" s="86" t="inlineStr">
        <is>
          <t xml:space="preserve">Sim</t>
        </is>
      </c>
      <c r="M55" s="86" t="inlineStr">
        <is>
          <t xml:space="preserve">Sim</t>
        </is>
      </c>
      <c r="N55" s="86" t="inlineStr">
        <is>
          <t xml:space="preserve">Sim</t>
        </is>
      </c>
      <c r="O55" s="86" t="inlineStr">
        <is>
          <t xml:space="preserve">Sim</t>
        </is>
      </c>
      <c r="P55" s="86" t="inlineStr">
        <is>
          <t xml:space="preserve">Sim</t>
        </is>
      </c>
      <c r="Q55" s="86" t="inlineStr">
        <is>
          <t xml:space="preserve">Sim</t>
        </is>
      </c>
      <c r="R55" s="86" t="inlineStr">
        <is>
          <t xml:space="preserve">Sim</t>
        </is>
      </c>
      <c r="S55" s="86" t="inlineStr">
        <is>
          <t xml:space="preserve">Sim</t>
        </is>
      </c>
      <c r="T55" s="86" t="inlineStr">
        <is>
          <t xml:space="preserve">Sim</t>
        </is>
      </c>
    </row>
  </sheetData>
  <sheetProtection password="CC30" sheet="1" objects="1" scenarios="1"/>
  <mergeCells count="35">
    <mergeCell ref="A1:Z1"/>
    <mergeCell ref="A2:R3"/>
    <mergeCell ref="A15:E15"/>
    <mergeCell ref="B16:E16"/>
    <mergeCell ref="B17:E17"/>
    <mergeCell ref="B18:E18"/>
    <mergeCell ref="B19:E19"/>
    <mergeCell ref="B20:E20"/>
    <mergeCell ref="B21:E21"/>
    <mergeCell ref="B22:E22"/>
    <mergeCell ref="B23:E23"/>
    <mergeCell ref="B24:E24"/>
    <mergeCell ref="B25:E25"/>
    <mergeCell ref="B26:E26"/>
    <mergeCell ref="B27:E27"/>
    <mergeCell ref="B28:E28"/>
    <mergeCell ref="B29:E29"/>
    <mergeCell ref="B30:E30"/>
    <mergeCell ref="B31:E31"/>
    <mergeCell ref="B32:E32"/>
    <mergeCell ref="B33:E33"/>
    <mergeCell ref="B34:E34"/>
    <mergeCell ref="B35:E35"/>
    <mergeCell ref="B36:E36"/>
    <mergeCell ref="B37:E37"/>
    <mergeCell ref="B38:E38"/>
    <mergeCell ref="B39:E39"/>
    <mergeCell ref="B40:E40"/>
    <mergeCell ref="B41:E41"/>
    <mergeCell ref="B42:E42"/>
    <mergeCell ref="B43:E43"/>
    <mergeCell ref="B44:E44"/>
    <mergeCell ref="B45:E45"/>
    <mergeCell ref="B46:E46"/>
    <mergeCell ref="A49:L49"/>
  </mergeCells>
  <conditionalFormatting sqref="B6:B11">
    <cfRule type="expression" dxfId="3" priority="1">
      <formula>B6="Não se aplica"</formula>
    </cfRule>
  </conditionalFormatting>
  <conditionalFormatting sqref="F6:F11">
    <cfRule type="expression" dxfId="3" priority="2">
      <formula>F6="Não se aplica"</formula>
    </cfRule>
  </conditionalFormatting>
  <conditionalFormatting sqref="J6:J11">
    <cfRule type="expression" dxfId="3" priority="3">
      <formula>J6="Não se aplica"</formula>
    </cfRule>
  </conditionalFormatting>
  <conditionalFormatting sqref="J6:J11">
    <cfRule type="expression" dxfId="4" priority="4">
      <formula>J6="Só ocupadas"</formula>
    </cfRule>
  </conditionalFormatting>
  <conditionalFormatting sqref="B51:T55">
    <cfRule type="expression" dxfId="3" priority="5">
      <formula>B51="Não"</formula>
    </cfRule>
  </conditionalFormatting>
  <dataValidations count="14">
    <dataValidation type="list" allowBlank="1" showInputMessage="1" showErrorMessage="1" promptTitle="Indicador" prompt="Escolha na lista (vazio = nada)." errorTitle="Valor inválido" error="Escolha um indicador da lista (catálogo à direita)." sqref="C6:C11">
      <formula1>Config!$T$6:$T$13</formula1>
    </dataValidation>
    <dataValidation type="list" allowBlank="1" showInputMessage="1" showErrorMessage="1" promptTitle="Indicador" prompt="Escolha na lista (vazio = nada)." errorTitle="Valor inválido" error="Escolha um indicador da lista (catálogo à direita)." sqref="D6:D11">
      <formula1>Config!$T$6:$T$13</formula1>
    </dataValidation>
    <dataValidation type="list" allowBlank="1" showInputMessage="1" showErrorMessage="1" promptTitle="Indicador" prompt="Escolha na lista (vazio = nada)." errorTitle="Valor inválido" error="Escolha um indicador da lista (catálogo à direita)." sqref="E6:E11">
      <formula1>Config!$T$6:$T$13</formula1>
    </dataValidation>
    <dataValidation type="list" allowBlank="1" showInputMessage="1" showErrorMessage="1" promptTitle="Indicador" prompt="Escolha na lista (vazio = nada)." errorTitle="Valor inválido" error="Escolha um indicador da lista (catálogo à direita)." sqref="G6:G11">
      <formula1>Config!$T$6:$T$13</formula1>
    </dataValidation>
    <dataValidation type="list" allowBlank="1" showInputMessage="1" showErrorMessage="1" promptTitle="Indicador" prompt="Escolha na lista (vazio = nada)." errorTitle="Valor inválido" error="Escolha um indicador da lista (catálogo à direita)." sqref="H6:H11">
      <formula1>Config!$T$6:$T$13</formula1>
    </dataValidation>
    <dataValidation type="list" allowBlank="1" showInputMessage="1" showErrorMessage="1" promptTitle="Indicador" prompt="Escolha na lista (vazio = nada)." errorTitle="Valor inválido" error="Escolha um indicador da lista (catálogo à direita)." sqref="I6:I11">
      <formula1>Config!$T$6:$T$13</formula1>
    </dataValidation>
    <dataValidation type="list" allowBlank="1" showInputMessage="1" showErrorMessage="1" promptTitle="Indicador" prompt="Escolha na lista (vazio = nada)." errorTitle="Valor inválido" error="Escolha um indicador da lista (catálogo à direita)." sqref="K6:K11">
      <formula1>Config!$T$6:$T$13</formula1>
    </dataValidation>
    <dataValidation type="list" allowBlank="1" showInputMessage="1" showErrorMessage="1" promptTitle="Indicador" prompt="Escolha na lista (vazio = nada)." errorTitle="Valor inválido" error="Escolha um indicador da lista (catálogo à direita)." sqref="L6:L11">
      <formula1>Config!$T$6:$T$13</formula1>
    </dataValidation>
    <dataValidation type="list" allowBlank="1" showInputMessage="1" showErrorMessage="1" promptTitle="Indicador" prompt="Escolha na lista (vazio = nada)." errorTitle="Valor inválido" error="Escolha um indicador da lista (catálogo à direita)." sqref="O6:O11">
      <formula1>Config!$T$6:$T$13</formula1>
    </dataValidation>
    <dataValidation type="list" allowBlank="1" showInputMessage="1" showErrorMessage="1" promptTitle="Indicador" prompt="Escolha na lista (vazio = nada)." errorTitle="Valor inválido" error="Escolha um indicador da lista (catálogo à direita)." sqref="P6:P11">
      <formula1>Config!$T$6:$T$13</formula1>
    </dataValidation>
    <dataValidation type="list" allowBlank="1" showInputMessage="1" showErrorMessage="1" promptTitle="Card" prompt="Sim ou Não se aplica." errorTitle="Valor inválido" error="Escolha um valor da lista." sqref="B6:B11">
      <formula1>"Sim,Não se aplica"</formula1>
    </dataValidation>
    <dataValidation type="list" allowBlank="1" showInputMessage="1" showErrorMessage="1" promptTitle="Card" prompt="Sim ou Não se aplica." errorTitle="Valor inválido" error="Escolha um valor da lista." sqref="F6:F11">
      <formula1>"Sim,Não se aplica"</formula1>
    </dataValidation>
    <dataValidation type="list" allowBlank="1" showInputMessage="1" showErrorMessage="1" promptTitle="Card Ocupação" prompt="Completo, Só ocupadas (sem contratada e taxa) ou Não se aplica." errorTitle="Valor inválido" error="Escolha um valor da lista." sqref="J6:J11">
      <formula1>"Completo,Só ocupadas,Não se aplica"</formula1>
    </dataValidation>
    <dataValidation type="list" allowBlank="1" showInputMessage="1" showErrorMessage="1" promptTitle="Coluna na BD" prompt="Sim = o cliente preenche · Não = coluna bloqueada para o cliente." errorTitle="Valor inválido" error="Escolha um valor da lista." sqref="B51:T55">
      <formula1>"Sim,Não"</formula1>
    </dataValidation>
  </dataValidations>
  <pageMargins left="0.25" right="0.25" top="0.4" bottom="0.4" header="0.2" footer="0.2"/>
  <pageSetup paperSize="9" orientation="landscape" fitToWidth="1" fitToHeight="0"/>
</worksheet>
</file>

<file path=xl/worksheets/sheet7.xml><?xml version="1.0" encoding="utf-8"?>
<worksheet xmlns="http://schemas.openxmlformats.org/spreadsheetml/2006/main" xmlns:r="http://schemas.openxmlformats.org/officeDocument/2006/relationships">
  <sheetPr>
    <tabColor rgb="FF7F7F7F"/>
    <pageSetUpPr fitToPage="1"/>
  </sheetPr>
  <dimension ref="A1:AV285"/>
  <sheetViews>
    <sheetView showGridLines="0" zoomScale="100" zoomScaleNormal="100" workbookViewId="0">
      <pane xSplit="2" ySplit="11" topLeftCell="C12" activePane="bottomRight" state="frozen"/>
      <selection pane="bottomRight" activeCell="C12" sqref="C12"/>
    </sheetView>
  </sheetViews>
  <sheetFormatPr defaultRowHeight="15"/>
  <cols>
    <col min="1" max="1" width="26" customWidth="1"/>
    <col min="2" max="2" width="12" customWidth="1"/>
    <col min="3" max="3" width="10" customWidth="1"/>
    <col min="4" max="4" width="10" customWidth="1"/>
    <col min="5" max="5" width="10" customWidth="1"/>
    <col min="6" max="6" width="10" customWidth="1"/>
    <col min="7" max="7" width="10" customWidth="1"/>
    <col min="8" max="8" width="10" customWidth="1"/>
    <col min="9" max="9" width="10" customWidth="1"/>
    <col min="10" max="10" width="10" customWidth="1"/>
    <col min="11" max="11" width="10" customWidth="1"/>
    <col min="12" max="12" width="10" customWidth="1"/>
    <col min="13" max="13" width="10" customWidth="1"/>
    <col min="14" max="14" width="10" customWidth="1"/>
    <col min="15" max="15" width="10" customWidth="1"/>
    <col min="16" max="16" width="10" customWidth="1"/>
    <col min="17" max="17" width="10" customWidth="1"/>
    <col min="18" max="18" width="10" customWidth="1"/>
    <col min="19" max="19" width="10" customWidth="1"/>
    <col min="20" max="20" width="10" customWidth="1"/>
    <col min="21" max="21" width="10" customWidth="1"/>
    <col min="22" max="22" width="10" customWidth="1"/>
    <col min="23" max="23" width="10" customWidth="1"/>
    <col min="24" max="24" width="10" customWidth="1"/>
    <col min="38" max="38" width="20" customWidth="1"/>
    <col min="40" max="40" width="22" customWidth="1"/>
    <col min="41" max="41" width="12" customWidth="1"/>
    <col min="43" max="43" width="52" customWidth="1"/>
    <col min="46" max="46" width="14" customWidth="1"/>
    <col min="48" max="48" width="20" customWidth="1"/>
  </cols>
  <sheetData>
    <row r="1">
      <c r="A1" s="26" t="inlineStr">
        <is>
          <t xml:space="preserve">CÁLCULOS — base da aba Consol Mensal (mês e filtro da própria aba) · gerado automaticamente</t>
        </is>
      </c>
    </row>
    <row r="2">
      <c r="A2" s="27" t="inlineStr">
        <is>
          <t xml:space="preserve">Cliente selecionado</t>
        </is>
      </c>
      <c r="B2" s="27" t="str">
        <f>IF(OR('Consol Mensal'!$D$3="",'Consol Mensal'!$D$3="Todos"),"Todos",'Consol Mensal'!$D$3)</f>
        <v>Todos</v>
      </c>
      <c r="C2" s="28">
        <f>IF(LEFT($B$2,9)="Depósito ",2,1)</f>
        <v>1</v>
      </c>
      <c r="D2" s="29" t="str">
        <f>IF($C$2=2,MID($B$2,10,60),$B$2)</f>
        <v>Todos</v>
      </c>
      <c r="E2" s="29" t="str">
        <f>IFERROR(INDEX($AO$12:$AO$17,MATCH($B$2,$AN$12:$AN$17,0)),"")</f>
        <v>JSL</v>
      </c>
    </row>
    <row r="3">
      <c r="A3" s="27" t="inlineStr">
        <is>
          <t xml:space="preserve">Capacidade (posições)</t>
        </is>
      </c>
      <c r="B3" s="30">
        <f>SUM($AU$13:$AU$13)</f>
        <v>5872</v>
      </c>
      <c r="C3" s="31" t="inlineStr">
        <is>
          <t xml:space="preserve">soma dos depósitos (tabela de capacidade à direita, células amarelas)</t>
        </is>
      </c>
    </row>
    <row r="4">
      <c r="A4" s="31" t="inlineStr">
        <is>
          <t xml:space="preserve">Capacidade (repetida p/ fórmulas)</t>
        </is>
      </c>
      <c r="B4" s="32">
        <f>$B$3</f>
        <v>5872</v>
      </c>
    </row>
    <row r="5">
      <c r="A5" s="27" t="inlineStr">
        <is>
          <t xml:space="preserve">Faixa de atenção (ocupação)</t>
        </is>
      </c>
      <c r="B5" s="33">
        <v>0.7</v>
      </c>
    </row>
    <row r="6">
      <c r="A6" s="27" t="inlineStr">
        <is>
          <t xml:space="preserve">Faixa crítica (ocupação)</t>
        </is>
      </c>
      <c r="B6" s="33">
        <v>0.9</v>
      </c>
    </row>
    <row r="7">
      <c r="A7" s="27" t="inlineStr">
        <is>
          <t xml:space="preserve">Competência</t>
        </is>
      </c>
      <c r="B7" s="35" t="str">
        <f>INDEX({"Janeiro","Fevereiro","Março","Abril","Maio","Junho","Julho","Agosto","Setembro","Outubro","Novembro","Dezembro"},MONTH($C$7))&amp;"/"&amp;YEAR($C$7)</f>
        <v>Outubro/2026</v>
      </c>
      <c r="C7" s="34">
        <f>IF(ISNUMBER('Consol Mensal'!$V$1),DATE(YEAR('Consol Mensal'!$V$1),MONTH('Consol Mensal'!$V$1),1),IFERROR(DATE(VALUE(RIGHT(TRIM('Consol Mensal'!$V$1),4)),MATCH(TRIM(LEFT('Consol Mensal'!$V$1,FIND("·",'Consol Mensal'!$V$1)-1)),{"JANEIRO","FEVEREIRO","MARÇO","ABRIL","MAIO","JUNHO","JULHO","AGOSTO","SETEMBRO","OUTUBRO","NOVEMBRO","DEZEMBRO"},0),1),DATE(2026,10,1)))</f>
        <v>46296</v>
      </c>
      <c r="D7" s="34">
        <f>DATE(YEAR($C$7),MONTH($C$7)+1,0)</f>
        <v>46326</v>
      </c>
    </row>
    <row r="8">
      <c r="A8" s="27" t="inlineStr">
        <is>
          <t xml:space="preserve">Mês anterior (comparação)</t>
        </is>
      </c>
      <c r="B8" s="35" t="str">
        <f>INDEX({"Janeiro","Fevereiro","Março","Abril","Maio","Junho","Julho","Agosto","Setembro","Outubro","Novembro","Dezembro"},MONTH($C$8))&amp;"/"&amp;YEAR($C$8)</f>
        <v>Setembro/2026</v>
      </c>
      <c r="C8" s="34">
        <f>DATE(YEAR($C$7),MONTH($C$7)-1,1)</f>
        <v>46266</v>
      </c>
      <c r="D8" s="34">
        <f>IF($B$9=0,$C$8-1,$C$8+MIN($B$9,DAY($C$7-1))-1)</f>
        <v>46265</v>
      </c>
    </row>
    <row r="9">
      <c r="A9" s="27" t="inlineStr">
        <is>
          <t xml:space="preserve">Último dia com dado no mês</t>
        </is>
      </c>
      <c r="B9" s="36">
        <f>IF(COUNTIFS(BD!$A$3:$A$5001,"&gt;="&amp;$C$7,BD!$A$3:$A$5001,"&lt;="&amp;$D$7)=0,0,DAY(_xlfn.MAXIFS(BD!$A$3:$A$5001,BD!$A$3:$A$5001,"&gt;="&amp;$C$7,BD!$A$3:$A$5001,"&lt;="&amp;$D$7)))</f>
        <v>0</v>
      </c>
      <c r="C9" s="31" t="inlineStr">
        <is>
          <t xml:space="preserve">o mês anterior é comparado do dia 1 até este dia</t>
        </is>
      </c>
    </row>
    <row r="11" ht="40" customHeight="1">
      <c r="A11" s="37" t="inlineStr">
        <is>
          <t xml:space="preserve">Dia</t>
        </is>
      </c>
      <c r="B11" s="37" t="inlineStr">
        <is>
          <t xml:space="preserve">Data</t>
        </is>
      </c>
      <c r="C11" s="37" t="inlineStr">
        <is>
          <t xml:space="preserve">IN Veículos Recebidos</t>
        </is>
      </c>
      <c r="D11" s="37" t="inlineStr">
        <is>
          <t xml:space="preserve">IN Pallets Movimentados</t>
        </is>
      </c>
      <c r="E11" s="37" t="inlineStr">
        <is>
          <t xml:space="preserve">IN Toneladas Movimentadas</t>
        </is>
      </c>
      <c r="F11" s="37" t="inlineStr">
        <is>
          <t xml:space="preserve">OUT Veículos Expedidos</t>
        </is>
      </c>
      <c r="G11" s="37" t="inlineStr">
        <is>
          <t xml:space="preserve">OUT Pallets Movimentados</t>
        </is>
      </c>
      <c r="H11" s="37" t="inlineStr">
        <is>
          <t xml:space="preserve">OUT Toneladas Movimentadas</t>
        </is>
      </c>
      <c r="I11" s="37" t="inlineStr">
        <is>
          <t xml:space="preserve">NC Incidentes</t>
        </is>
      </c>
      <c r="J11" s="37" t="inlineStr">
        <is>
          <t xml:space="preserve">NC No show</t>
        </is>
      </c>
      <c r="K11" s="37" t="inlineStr">
        <is>
          <t xml:space="preserve">NC Backlog</t>
        </is>
      </c>
      <c r="L11" s="37" t="inlineStr">
        <is>
          <t xml:space="preserve">OCUPAÇÃO (P.P) Posições Disponíveis</t>
        </is>
      </c>
      <c r="M11" s="37" t="inlineStr">
        <is>
          <t xml:space="preserve">OCUPAÇÃO (P.P) Posições Ocupadas</t>
        </is>
      </c>
      <c r="N11" s="37" t="inlineStr">
        <is>
          <t xml:space="preserve">OCUPAÇÃO (P.P) Taxa de Ocupação</t>
        </is>
      </c>
      <c r="O11" s="37" t="inlineStr">
        <is>
          <t xml:space="preserve">GENTE Efetivo Op.</t>
        </is>
      </c>
      <c r="P11" s="37" t="inlineStr">
        <is>
          <t xml:space="preserve">GENTE Falta</t>
        </is>
      </c>
      <c r="Q11" s="37" t="inlineStr">
        <is>
          <t xml:space="preserve">GENTE Folga</t>
        </is>
      </c>
      <c r="R11" s="37" t="inlineStr">
        <is>
          <t xml:space="preserve">GENTE Férias</t>
        </is>
      </c>
      <c r="S11" s="37" t="inlineStr">
        <is>
          <t xml:space="preserve">GENTE Desligamento</t>
        </is>
      </c>
      <c r="T11" s="37" t="inlineStr">
        <is>
          <t xml:space="preserve">GENTE Desvios Comportamentais</t>
        </is>
      </c>
      <c r="U11" s="37" t="inlineStr">
        <is>
          <t xml:space="preserve">GENTE Acidentes CAF</t>
        </is>
      </c>
      <c r="V11" s="37" t="inlineStr">
        <is>
          <t xml:space="preserve">GENTE Acidentes SAF</t>
        </is>
      </c>
      <c r="W11" s="37" t="inlineStr">
        <is>
          <t xml:space="preserve">Faixa atenção</t>
        </is>
      </c>
      <c r="X11" s="37" t="inlineStr">
        <is>
          <t xml:space="preserve">Faixa crítica</t>
        </is>
      </c>
      <c r="AL11" s="37" t="inlineStr">
        <is>
          <t xml:space="preserve">Meses (filtros das abas)</t>
        </is>
      </c>
      <c r="AN11" s="37" t="inlineStr">
        <is>
          <t xml:space="preserve">Filtro: depósito / cliente</t>
        </is>
      </c>
      <c r="AO11" s="37" t="inlineStr">
        <is>
          <t xml:space="preserve">Depósito</t>
        </is>
      </c>
      <c r="AQ11" s="37" t="inlineStr">
        <is>
          <t xml:space="preserve">Títulos dos gráficos (seguem os filtros)</t>
        </is>
      </c>
    </row>
    <row r="12">
      <c r="A12" s="28">
        <v>1</v>
      </c>
      <c r="B12" s="45">
        <f>IF($A12&lt;=DAY($D$7),$C$7+$A12-1,"")</f>
        <v>46296</v>
      </c>
      <c r="C12" s="32">
        <f>IF($B12="","",IF($B$2="Todos",SUMIFS(BD!$C$3:$C$5001,BD!$A$3:$A$5001,$B12),SUMIFS(BD!$C$3:$C$5001,BD!$A$3:$A$5001,$B12,BD!$B$3:$B$5001,$D$2)))</f>
        <v>0</v>
      </c>
      <c r="D12" s="32">
        <f>IF($B12="","",IF($B$2="Todos",SUMIFS(BD!$D$3:$D$5001,BD!$A$3:$A$5001,$B12),SUMIFS(BD!$D$3:$D$5001,BD!$A$3:$A$5001,$B12,BD!$B$3:$B$5001,$D$2)))</f>
        <v>0</v>
      </c>
      <c r="E12" s="46">
        <f>IF($B12="","",IF($B$2="Todos",SUMIFS(BD!$E$3:$E$5001,BD!$A$3:$A$5001,$B12),SUMIFS(BD!$E$3:$E$5001,BD!$A$3:$A$5001,$B12,BD!$B$3:$B$5001,$D$2)))</f>
        <v>0</v>
      </c>
      <c r="F12" s="32">
        <f>IF($B12="","",IF($B$2="Todos",SUMIFS(BD!$F$3:$F$5001,BD!$A$3:$A$5001,$B12),SUMIFS(BD!$F$3:$F$5001,BD!$A$3:$A$5001,$B12,BD!$B$3:$B$5001,$D$2)))</f>
        <v>0</v>
      </c>
      <c r="G12" s="32">
        <f>IF($B12="","",IF($B$2="Todos",SUMIFS(BD!$G$3:$G$5001,BD!$A$3:$A$5001,$B12),SUMIFS(BD!$G$3:$G$5001,BD!$A$3:$A$5001,$B12,BD!$B$3:$B$5001,$D$2)))</f>
        <v>0</v>
      </c>
      <c r="H12" s="46">
        <f>IF($B12="","",IF($B$2="Todos",SUMIFS(BD!$H$3:$H$5001,BD!$A$3:$A$5001,$B12),SUMIFS(BD!$H$3:$H$5001,BD!$A$3:$A$5001,$B12,BD!$B$3:$B$5001,$D$2)))</f>
        <v>0</v>
      </c>
      <c r="I12" s="32">
        <f>IF($B12="","",IF($B$2="Todos",SUMIFS(BD!$I$3:$I$5001,BD!$A$3:$A$5001,$B12),SUMIFS(BD!$I$3:$I$5001,BD!$A$3:$A$5001,$B12,BD!$B$3:$B$5001,$D$2)))</f>
        <v>0</v>
      </c>
      <c r="J12" s="32">
        <f>IF($B12="","",IF($B$2="Todos",SUMIFS(BD!$J$3:$J$5001,BD!$A$3:$A$5001,$B12),SUMIFS(BD!$J$3:$J$5001,BD!$A$3:$A$5001,$B12,BD!$B$3:$B$5001,$D$2)))</f>
        <v>0</v>
      </c>
      <c r="K12" s="32" t="str">
        <f>IF($B$2="Todos",IF(COUNT($C$115:$G$115)=0,"",SUM($C$115:$G$115)),IFERROR(INDEX($C$115:$G$115,MATCH($D$2,$C$114:$G$114,0)),""))</f>
        <v/>
      </c>
      <c r="L12" s="47" t="str">
        <f>IF(M12="","",IF($B$2="Todos",IF($B$4&gt;0,$B$4,IF($B$2="Todos",IF(COUNT($C$185:$G$185)=0,"",SUM($C$185:$G$185)),IFERROR(INDEX($C$185:$G$185,MATCH($D$2,$C$184:$G$184,0)),""))),IFERROR(INDEX($C$185:$G$185,MATCH($D$2,$C$184:$G$184,0)),"")))</f>
        <v/>
      </c>
      <c r="M12" s="32" t="str">
        <f>IF($B$2="Todos",IF(COUNT($C$150:$G$150)=0,"",SUM($C$150:$G$150)),IFERROR(INDEX($C$150:$G$150,MATCH($D$2,$C$149:$G$149,0)),""))</f>
        <v/>
      </c>
      <c r="N12" s="48" t="str">
        <f>IF(AND(ISNUMBER(M12),ISNUMBER(L12)),IF(L12&gt;0,M12/L12,""),"")</f>
        <v/>
      </c>
      <c r="O12" s="32" t="str">
        <f>IF($B$2="Todos",IF(COUNT($C$220:$G$220)=0,"",SUM($C$220:$G$220)),IFERROR(INDEX($C$220:$G$220,MATCH($D$2,$C$219:$G$219,0)),""))</f>
        <v/>
      </c>
      <c r="P12" s="32">
        <f>IF($B12="","",IF($B$2="Todos",SUMIFS(BD!$O$3:$O$5001,BD!$A$3:$A$5001,$B12),SUMIFS(BD!$O$3:$O$5001,BD!$A$3:$A$5001,$B12,BD!$B$3:$B$5001,$D$2)))</f>
        <v>0</v>
      </c>
      <c r="Q12" s="32">
        <f>IF($B12="","",IF($B$2="Todos",SUMIFS(BD!$P$3:$P$5001,BD!$A$3:$A$5001,$B12),SUMIFS(BD!$P$3:$P$5001,BD!$A$3:$A$5001,$B12,BD!$B$3:$B$5001,$D$2)))</f>
        <v>0</v>
      </c>
      <c r="R12" s="32">
        <f>IF($B12="","",IF($B$2="Todos",SUMIFS(BD!$Q$3:$Q$5001,BD!$A$3:$A$5001,$B12),SUMIFS(BD!$Q$3:$Q$5001,BD!$A$3:$A$5001,$B12,BD!$B$3:$B$5001,$D$2)))</f>
        <v>0</v>
      </c>
      <c r="S12" s="32">
        <f>IF($B12="","",IF($B$2="Todos",SUMIFS(BD!$R$3:$R$5001,BD!$A$3:$A$5001,$B12),SUMIFS(BD!$R$3:$R$5001,BD!$A$3:$A$5001,$B12,BD!$B$3:$B$5001,$D$2)))</f>
        <v>0</v>
      </c>
      <c r="T12" s="32">
        <f>IF($B12="","",IF($B$2="Todos",SUMIFS(BD!$S$3:$S$5001,BD!$A$3:$A$5001,$B12),SUMIFS(BD!$S$3:$S$5001,BD!$A$3:$A$5001,$B12,BD!$B$3:$B$5001,$D$2)))</f>
        <v>0</v>
      </c>
      <c r="U12" s="32">
        <f>IF($B12="","",IF($B$2="Todos",SUMIFS(BD!$T$3:$T$5001,BD!$A$3:$A$5001,$B12),SUMIFS(BD!$T$3:$T$5001,BD!$A$3:$A$5001,$B12,BD!$B$3:$B$5001,$D$2)))</f>
        <v>0</v>
      </c>
      <c r="V12" s="32">
        <f>IF($B12="","",IF($B$2="Todos",SUMIFS(BD!$U$3:$U$5001,BD!$A$3:$A$5001,$B12),SUMIFS(BD!$U$3:$U$5001,BD!$A$3:$A$5001,$B12,BD!$B$3:$B$5001,$D$2)))</f>
        <v>0</v>
      </c>
      <c r="W12" s="49">
        <f>$B$5</f>
        <v>0.7</v>
      </c>
      <c r="X12" s="49">
        <f>$B$6</f>
        <v>0.9</v>
      </c>
      <c r="AL12" s="29" t="inlineStr">
        <is>
          <t xml:space="preserve">JANEIRO · 2026</t>
        </is>
      </c>
      <c r="AN12" s="29" t="inlineStr">
        <is>
          <t xml:space="preserve">Todos</t>
        </is>
      </c>
      <c r="AO12" s="28" t="inlineStr">
        <is>
          <t xml:space="preserve">JSL</t>
        </is>
      </c>
      <c r="AQ12" s="29" t="str">
        <f>"MOVIMENTAÇÃO FROTA/DIA — "&amp;IF($B$2="Todos","TODOS OS CLIENTES",UPPER($B$2))</f>
        <v>MOVIMENTAÇÃO FROTA/DIA — TODOS OS CLIENTES</v>
      </c>
      <c r="AT12" s="37" t="inlineStr">
        <is>
          <t xml:space="preserve">Capacidade por depósito</t>
        </is>
      </c>
      <c r="AU12" s="37" t="inlineStr">
        <is>
          <t xml:space="preserve">Posições</t>
        </is>
      </c>
    </row>
    <row r="13">
      <c r="A13" s="28">
        <v>2</v>
      </c>
      <c r="B13" s="45">
        <f>IF($A13&lt;=DAY($D$7),$C$7+$A13-1,"")</f>
        <v>46297</v>
      </c>
      <c r="C13" s="32">
        <f>IF($B13="","",IF($B$2="Todos",SUMIFS(BD!$C$3:$C$5001,BD!$A$3:$A$5001,$B13),SUMIFS(BD!$C$3:$C$5001,BD!$A$3:$A$5001,$B13,BD!$B$3:$B$5001,$D$2)))</f>
        <v>0</v>
      </c>
      <c r="D13" s="32">
        <f>IF($B13="","",IF($B$2="Todos",SUMIFS(BD!$D$3:$D$5001,BD!$A$3:$A$5001,$B13),SUMIFS(BD!$D$3:$D$5001,BD!$A$3:$A$5001,$B13,BD!$B$3:$B$5001,$D$2)))</f>
        <v>0</v>
      </c>
      <c r="E13" s="46">
        <f>IF($B13="","",IF($B$2="Todos",SUMIFS(BD!$E$3:$E$5001,BD!$A$3:$A$5001,$B13),SUMIFS(BD!$E$3:$E$5001,BD!$A$3:$A$5001,$B13,BD!$B$3:$B$5001,$D$2)))</f>
        <v>0</v>
      </c>
      <c r="F13" s="32">
        <f>IF($B13="","",IF($B$2="Todos",SUMIFS(BD!$F$3:$F$5001,BD!$A$3:$A$5001,$B13),SUMIFS(BD!$F$3:$F$5001,BD!$A$3:$A$5001,$B13,BD!$B$3:$B$5001,$D$2)))</f>
        <v>0</v>
      </c>
      <c r="G13" s="32">
        <f>IF($B13="","",IF($B$2="Todos",SUMIFS(BD!$G$3:$G$5001,BD!$A$3:$A$5001,$B13),SUMIFS(BD!$G$3:$G$5001,BD!$A$3:$A$5001,$B13,BD!$B$3:$B$5001,$D$2)))</f>
        <v>0</v>
      </c>
      <c r="H13" s="46">
        <f>IF($B13="","",IF($B$2="Todos",SUMIFS(BD!$H$3:$H$5001,BD!$A$3:$A$5001,$B13),SUMIFS(BD!$H$3:$H$5001,BD!$A$3:$A$5001,$B13,BD!$B$3:$B$5001,$D$2)))</f>
        <v>0</v>
      </c>
      <c r="I13" s="32">
        <f>IF($B13="","",IF($B$2="Todos",SUMIFS(BD!$I$3:$I$5001,BD!$A$3:$A$5001,$B13),SUMIFS(BD!$I$3:$I$5001,BD!$A$3:$A$5001,$B13,BD!$B$3:$B$5001,$D$2)))</f>
        <v>0</v>
      </c>
      <c r="J13" s="32">
        <f>IF($B13="","",IF($B$2="Todos",SUMIFS(BD!$J$3:$J$5001,BD!$A$3:$A$5001,$B13),SUMIFS(BD!$J$3:$J$5001,BD!$A$3:$A$5001,$B13,BD!$B$3:$B$5001,$D$2)))</f>
        <v>0</v>
      </c>
      <c r="K13" s="32" t="str">
        <f>IF($B$2="Todos",IF(COUNT($C$116:$G$116)=0,"",SUM($C$116:$G$116)),IFERROR(INDEX($C$116:$G$116,MATCH($D$2,$C$114:$G$114,0)),""))</f>
        <v/>
      </c>
      <c r="L13" s="47" t="str">
        <f>IF(M13="","",IF($B$2="Todos",IF($B$4&gt;0,$B$4,IF($B$2="Todos",IF(COUNT($C$186:$G$186)=0,"",SUM($C$186:$G$186)),IFERROR(INDEX($C$186:$G$186,MATCH($D$2,$C$184:$G$184,0)),""))),IFERROR(INDEX($C$186:$G$186,MATCH($D$2,$C$184:$G$184,0)),"")))</f>
        <v/>
      </c>
      <c r="M13" s="32" t="str">
        <f>IF($B$2="Todos",IF(COUNT($C$151:$G$151)=0,"",SUM($C$151:$G$151)),IFERROR(INDEX($C$151:$G$151,MATCH($D$2,$C$149:$G$149,0)),""))</f>
        <v/>
      </c>
      <c r="N13" s="48" t="str">
        <f>IF(AND(ISNUMBER(M13),ISNUMBER(L13)),IF(L13&gt;0,M13/L13,""),"")</f>
        <v/>
      </c>
      <c r="O13" s="32" t="str">
        <f>IF($B$2="Todos",IF(COUNT($C$221:$G$221)=0,"",SUM($C$221:$G$221)),IFERROR(INDEX($C$221:$G$221,MATCH($D$2,$C$219:$G$219,0)),""))</f>
        <v/>
      </c>
      <c r="P13" s="32">
        <f>IF($B13="","",IF($B$2="Todos",SUMIFS(BD!$O$3:$O$5001,BD!$A$3:$A$5001,$B13),SUMIFS(BD!$O$3:$O$5001,BD!$A$3:$A$5001,$B13,BD!$B$3:$B$5001,$D$2)))</f>
        <v>0</v>
      </c>
      <c r="Q13" s="32">
        <f>IF($B13="","",IF($B$2="Todos",SUMIFS(BD!$P$3:$P$5001,BD!$A$3:$A$5001,$B13),SUMIFS(BD!$P$3:$P$5001,BD!$A$3:$A$5001,$B13,BD!$B$3:$B$5001,$D$2)))</f>
        <v>0</v>
      </c>
      <c r="R13" s="32">
        <f>IF($B13="","",IF($B$2="Todos",SUMIFS(BD!$Q$3:$Q$5001,BD!$A$3:$A$5001,$B13),SUMIFS(BD!$Q$3:$Q$5001,BD!$A$3:$A$5001,$B13,BD!$B$3:$B$5001,$D$2)))</f>
        <v>0</v>
      </c>
      <c r="S13" s="32">
        <f>IF($B13="","",IF($B$2="Todos",SUMIFS(BD!$R$3:$R$5001,BD!$A$3:$A$5001,$B13),SUMIFS(BD!$R$3:$R$5001,BD!$A$3:$A$5001,$B13,BD!$B$3:$B$5001,$D$2)))</f>
        <v>0</v>
      </c>
      <c r="T13" s="32">
        <f>IF($B13="","",IF($B$2="Todos",SUMIFS(BD!$S$3:$S$5001,BD!$A$3:$A$5001,$B13),SUMIFS(BD!$S$3:$S$5001,BD!$A$3:$A$5001,$B13,BD!$B$3:$B$5001,$D$2)))</f>
        <v>0</v>
      </c>
      <c r="U13" s="32">
        <f>IF($B13="","",IF($B$2="Todos",SUMIFS(BD!$T$3:$T$5001,BD!$A$3:$A$5001,$B13),SUMIFS(BD!$T$3:$T$5001,BD!$A$3:$A$5001,$B13,BD!$B$3:$B$5001,$D$2)))</f>
        <v>0</v>
      </c>
      <c r="V13" s="32">
        <f>IF($B13="","",IF($B$2="Todos",SUMIFS(BD!$U$3:$U$5001,BD!$A$3:$A$5001,$B13),SUMIFS(BD!$U$3:$U$5001,BD!$A$3:$A$5001,$B13,BD!$B$3:$B$5001,$D$2)))</f>
        <v>0</v>
      </c>
      <c r="W13" s="49">
        <f>$B$5</f>
        <v>0.7</v>
      </c>
      <c r="X13" s="49">
        <f>$B$6</f>
        <v>0.9</v>
      </c>
      <c r="AL13" s="29" t="inlineStr">
        <is>
          <t xml:space="preserve">FEVEREIRO · 2026</t>
        </is>
      </c>
      <c r="AN13" s="29" t="inlineStr">
        <is>
          <t xml:space="preserve">Barry Callebaut</t>
        </is>
      </c>
      <c r="AO13" s="28" t="inlineStr">
        <is>
          <t xml:space="preserve">JSL</t>
        </is>
      </c>
      <c r="AQ13" s="29" t="str">
        <f>"OCUPAÇÃO DIÁRIA — "&amp;IF($B$2="Todos","TODOS OS CLIENTES",UPPER($B$2))</f>
        <v>OCUPAÇÃO DIÁRIA — TODOS OS CLIENTES</v>
      </c>
      <c r="AT13" s="38" t="inlineStr">
        <is>
          <t xml:space="preserve">JSL</t>
        </is>
      </c>
      <c r="AU13" s="39">
        <v>5872</v>
      </c>
      <c r="AV13" s="31" t="inlineStr">
        <is>
          <t xml:space="preserve">informada</t>
        </is>
      </c>
    </row>
    <row r="14">
      <c r="A14" s="28">
        <v>3</v>
      </c>
      <c r="B14" s="45">
        <f>IF($A14&lt;=DAY($D$7),$C$7+$A14-1,"")</f>
        <v>46298</v>
      </c>
      <c r="C14" s="32">
        <f>IF($B14="","",IF($B$2="Todos",SUMIFS(BD!$C$3:$C$5001,BD!$A$3:$A$5001,$B14),SUMIFS(BD!$C$3:$C$5001,BD!$A$3:$A$5001,$B14,BD!$B$3:$B$5001,$D$2)))</f>
        <v>0</v>
      </c>
      <c r="D14" s="32">
        <f>IF($B14="","",IF($B$2="Todos",SUMIFS(BD!$D$3:$D$5001,BD!$A$3:$A$5001,$B14),SUMIFS(BD!$D$3:$D$5001,BD!$A$3:$A$5001,$B14,BD!$B$3:$B$5001,$D$2)))</f>
        <v>0</v>
      </c>
      <c r="E14" s="46">
        <f>IF($B14="","",IF($B$2="Todos",SUMIFS(BD!$E$3:$E$5001,BD!$A$3:$A$5001,$B14),SUMIFS(BD!$E$3:$E$5001,BD!$A$3:$A$5001,$B14,BD!$B$3:$B$5001,$D$2)))</f>
        <v>0</v>
      </c>
      <c r="F14" s="32">
        <f>IF($B14="","",IF($B$2="Todos",SUMIFS(BD!$F$3:$F$5001,BD!$A$3:$A$5001,$B14),SUMIFS(BD!$F$3:$F$5001,BD!$A$3:$A$5001,$B14,BD!$B$3:$B$5001,$D$2)))</f>
        <v>0</v>
      </c>
      <c r="G14" s="32">
        <f>IF($B14="","",IF($B$2="Todos",SUMIFS(BD!$G$3:$G$5001,BD!$A$3:$A$5001,$B14),SUMIFS(BD!$G$3:$G$5001,BD!$A$3:$A$5001,$B14,BD!$B$3:$B$5001,$D$2)))</f>
        <v>0</v>
      </c>
      <c r="H14" s="46">
        <f>IF($B14="","",IF($B$2="Todos",SUMIFS(BD!$H$3:$H$5001,BD!$A$3:$A$5001,$B14),SUMIFS(BD!$H$3:$H$5001,BD!$A$3:$A$5001,$B14,BD!$B$3:$B$5001,$D$2)))</f>
        <v>0</v>
      </c>
      <c r="I14" s="32">
        <f>IF($B14="","",IF($B$2="Todos",SUMIFS(BD!$I$3:$I$5001,BD!$A$3:$A$5001,$B14),SUMIFS(BD!$I$3:$I$5001,BD!$A$3:$A$5001,$B14,BD!$B$3:$B$5001,$D$2)))</f>
        <v>0</v>
      </c>
      <c r="J14" s="32">
        <f>IF($B14="","",IF($B$2="Todos",SUMIFS(BD!$J$3:$J$5001,BD!$A$3:$A$5001,$B14),SUMIFS(BD!$J$3:$J$5001,BD!$A$3:$A$5001,$B14,BD!$B$3:$B$5001,$D$2)))</f>
        <v>0</v>
      </c>
      <c r="K14" s="32" t="str">
        <f>IF($B$2="Todos",IF(COUNT($C$117:$G$117)=0,"",SUM($C$117:$G$117)),IFERROR(INDEX($C$117:$G$117,MATCH($D$2,$C$114:$G$114,0)),""))</f>
        <v/>
      </c>
      <c r="L14" s="47" t="str">
        <f>IF(M14="","",IF($B$2="Todos",IF($B$4&gt;0,$B$4,IF($B$2="Todos",IF(COUNT($C$187:$G$187)=0,"",SUM($C$187:$G$187)),IFERROR(INDEX($C$187:$G$187,MATCH($D$2,$C$184:$G$184,0)),""))),IFERROR(INDEX($C$187:$G$187,MATCH($D$2,$C$184:$G$184,0)),"")))</f>
        <v/>
      </c>
      <c r="M14" s="32" t="str">
        <f>IF($B$2="Todos",IF(COUNT($C$152:$G$152)=0,"",SUM($C$152:$G$152)),IFERROR(INDEX($C$152:$G$152,MATCH($D$2,$C$149:$G$149,0)),""))</f>
        <v/>
      </c>
      <c r="N14" s="48" t="str">
        <f>IF(AND(ISNUMBER(M14),ISNUMBER(L14)),IF(L14&gt;0,M14/L14,""),"")</f>
        <v/>
      </c>
      <c r="O14" s="32" t="str">
        <f>IF($B$2="Todos",IF(COUNT($C$222:$G$222)=0,"",SUM($C$222:$G$222)),IFERROR(INDEX($C$222:$G$222,MATCH($D$2,$C$219:$G$219,0)),""))</f>
        <v/>
      </c>
      <c r="P14" s="32">
        <f>IF($B14="","",IF($B$2="Todos",SUMIFS(BD!$O$3:$O$5001,BD!$A$3:$A$5001,$B14),SUMIFS(BD!$O$3:$O$5001,BD!$A$3:$A$5001,$B14,BD!$B$3:$B$5001,$D$2)))</f>
        <v>0</v>
      </c>
      <c r="Q14" s="32">
        <f>IF($B14="","",IF($B$2="Todos",SUMIFS(BD!$P$3:$P$5001,BD!$A$3:$A$5001,$B14),SUMIFS(BD!$P$3:$P$5001,BD!$A$3:$A$5001,$B14,BD!$B$3:$B$5001,$D$2)))</f>
        <v>0</v>
      </c>
      <c r="R14" s="32">
        <f>IF($B14="","",IF($B$2="Todos",SUMIFS(BD!$Q$3:$Q$5001,BD!$A$3:$A$5001,$B14),SUMIFS(BD!$Q$3:$Q$5001,BD!$A$3:$A$5001,$B14,BD!$B$3:$B$5001,$D$2)))</f>
        <v>0</v>
      </c>
      <c r="S14" s="32">
        <f>IF($B14="","",IF($B$2="Todos",SUMIFS(BD!$R$3:$R$5001,BD!$A$3:$A$5001,$B14),SUMIFS(BD!$R$3:$R$5001,BD!$A$3:$A$5001,$B14,BD!$B$3:$B$5001,$D$2)))</f>
        <v>0</v>
      </c>
      <c r="T14" s="32">
        <f>IF($B14="","",IF($B$2="Todos",SUMIFS(BD!$S$3:$S$5001,BD!$A$3:$A$5001,$B14),SUMIFS(BD!$S$3:$S$5001,BD!$A$3:$A$5001,$B14,BD!$B$3:$B$5001,$D$2)))</f>
        <v>0</v>
      </c>
      <c r="U14" s="32">
        <f>IF($B14="","",IF($B$2="Todos",SUMIFS(BD!$T$3:$T$5001,BD!$A$3:$A$5001,$B14),SUMIFS(BD!$T$3:$T$5001,BD!$A$3:$A$5001,$B14,BD!$B$3:$B$5001,$D$2)))</f>
        <v>0</v>
      </c>
      <c r="V14" s="32">
        <f>IF($B14="","",IF($B$2="Todos",SUMIFS(BD!$U$3:$U$5001,BD!$A$3:$A$5001,$B14),SUMIFS(BD!$U$3:$U$5001,BD!$A$3:$A$5001,$B14,BD!$B$3:$B$5001,$D$2)))</f>
        <v>0</v>
      </c>
      <c r="W14" s="49">
        <f>$B$5</f>
        <v>0.7</v>
      </c>
      <c r="X14" s="49">
        <f>$B$6</f>
        <v>0.9</v>
      </c>
      <c r="AL14" s="29" t="inlineStr">
        <is>
          <t xml:space="preserve">MARÇO · 2026</t>
        </is>
      </c>
      <c r="AN14" s="29" t="inlineStr">
        <is>
          <t xml:space="preserve">GM</t>
        </is>
      </c>
      <c r="AO14" s="28" t="inlineStr">
        <is>
          <t xml:space="preserve">JSL</t>
        </is>
      </c>
      <c r="AQ14" s="29" t="str">
        <f>"MOVIMENTAÇÃO PALETES/DIA — "&amp;IF($B$2="Todos","TODOS OS CLIENTES",UPPER($B$2))</f>
        <v>MOVIMENTAÇÃO PALETES/DIA — TODOS OS CLIENTES</v>
      </c>
    </row>
    <row r="15">
      <c r="A15" s="28">
        <v>4</v>
      </c>
      <c r="B15" s="45">
        <f>IF($A15&lt;=DAY($D$7),$C$7+$A15-1,"")</f>
        <v>46299</v>
      </c>
      <c r="C15" s="32">
        <f>IF($B15="","",IF($B$2="Todos",SUMIFS(BD!$C$3:$C$5001,BD!$A$3:$A$5001,$B15),SUMIFS(BD!$C$3:$C$5001,BD!$A$3:$A$5001,$B15,BD!$B$3:$B$5001,$D$2)))</f>
        <v>0</v>
      </c>
      <c r="D15" s="32">
        <f>IF($B15="","",IF($B$2="Todos",SUMIFS(BD!$D$3:$D$5001,BD!$A$3:$A$5001,$B15),SUMIFS(BD!$D$3:$D$5001,BD!$A$3:$A$5001,$B15,BD!$B$3:$B$5001,$D$2)))</f>
        <v>0</v>
      </c>
      <c r="E15" s="46">
        <f>IF($B15="","",IF($B$2="Todos",SUMIFS(BD!$E$3:$E$5001,BD!$A$3:$A$5001,$B15),SUMIFS(BD!$E$3:$E$5001,BD!$A$3:$A$5001,$B15,BD!$B$3:$B$5001,$D$2)))</f>
        <v>0</v>
      </c>
      <c r="F15" s="32">
        <f>IF($B15="","",IF($B$2="Todos",SUMIFS(BD!$F$3:$F$5001,BD!$A$3:$A$5001,$B15),SUMIFS(BD!$F$3:$F$5001,BD!$A$3:$A$5001,$B15,BD!$B$3:$B$5001,$D$2)))</f>
        <v>0</v>
      </c>
      <c r="G15" s="32">
        <f>IF($B15="","",IF($B$2="Todos",SUMIFS(BD!$G$3:$G$5001,BD!$A$3:$A$5001,$B15),SUMIFS(BD!$G$3:$G$5001,BD!$A$3:$A$5001,$B15,BD!$B$3:$B$5001,$D$2)))</f>
        <v>0</v>
      </c>
      <c r="H15" s="46">
        <f>IF($B15="","",IF($B$2="Todos",SUMIFS(BD!$H$3:$H$5001,BD!$A$3:$A$5001,$B15),SUMIFS(BD!$H$3:$H$5001,BD!$A$3:$A$5001,$B15,BD!$B$3:$B$5001,$D$2)))</f>
        <v>0</v>
      </c>
      <c r="I15" s="32">
        <f>IF($B15="","",IF($B$2="Todos",SUMIFS(BD!$I$3:$I$5001,BD!$A$3:$A$5001,$B15),SUMIFS(BD!$I$3:$I$5001,BD!$A$3:$A$5001,$B15,BD!$B$3:$B$5001,$D$2)))</f>
        <v>0</v>
      </c>
      <c r="J15" s="32">
        <f>IF($B15="","",IF($B$2="Todos",SUMIFS(BD!$J$3:$J$5001,BD!$A$3:$A$5001,$B15),SUMIFS(BD!$J$3:$J$5001,BD!$A$3:$A$5001,$B15,BD!$B$3:$B$5001,$D$2)))</f>
        <v>0</v>
      </c>
      <c r="K15" s="32" t="str">
        <f>IF($B$2="Todos",IF(COUNT($C$118:$G$118)=0,"",SUM($C$118:$G$118)),IFERROR(INDEX($C$118:$G$118,MATCH($D$2,$C$114:$G$114,0)),""))</f>
        <v/>
      </c>
      <c r="L15" s="47" t="str">
        <f>IF(M15="","",IF($B$2="Todos",IF($B$4&gt;0,$B$4,IF($B$2="Todos",IF(COUNT($C$188:$G$188)=0,"",SUM($C$188:$G$188)),IFERROR(INDEX($C$188:$G$188,MATCH($D$2,$C$184:$G$184,0)),""))),IFERROR(INDEX($C$188:$G$188,MATCH($D$2,$C$184:$G$184,0)),"")))</f>
        <v/>
      </c>
      <c r="M15" s="32" t="str">
        <f>IF($B$2="Todos",IF(COUNT($C$153:$G$153)=0,"",SUM($C$153:$G$153)),IFERROR(INDEX($C$153:$G$153,MATCH($D$2,$C$149:$G$149,0)),""))</f>
        <v/>
      </c>
      <c r="N15" s="48" t="str">
        <f>IF(AND(ISNUMBER(M15),ISNUMBER(L15)),IF(L15&gt;0,M15/L15,""),"")</f>
        <v/>
      </c>
      <c r="O15" s="32" t="str">
        <f>IF($B$2="Todos",IF(COUNT($C$223:$G$223)=0,"",SUM($C$223:$G$223)),IFERROR(INDEX($C$223:$G$223,MATCH($D$2,$C$219:$G$219,0)),""))</f>
        <v/>
      </c>
      <c r="P15" s="32">
        <f>IF($B15="","",IF($B$2="Todos",SUMIFS(BD!$O$3:$O$5001,BD!$A$3:$A$5001,$B15),SUMIFS(BD!$O$3:$O$5001,BD!$A$3:$A$5001,$B15,BD!$B$3:$B$5001,$D$2)))</f>
        <v>0</v>
      </c>
      <c r="Q15" s="32">
        <f>IF($B15="","",IF($B$2="Todos",SUMIFS(BD!$P$3:$P$5001,BD!$A$3:$A$5001,$B15),SUMIFS(BD!$P$3:$P$5001,BD!$A$3:$A$5001,$B15,BD!$B$3:$B$5001,$D$2)))</f>
        <v>0</v>
      </c>
      <c r="R15" s="32">
        <f>IF($B15="","",IF($B$2="Todos",SUMIFS(BD!$Q$3:$Q$5001,BD!$A$3:$A$5001,$B15),SUMIFS(BD!$Q$3:$Q$5001,BD!$A$3:$A$5001,$B15,BD!$B$3:$B$5001,$D$2)))</f>
        <v>0</v>
      </c>
      <c r="S15" s="32">
        <f>IF($B15="","",IF($B$2="Todos",SUMIFS(BD!$R$3:$R$5001,BD!$A$3:$A$5001,$B15),SUMIFS(BD!$R$3:$R$5001,BD!$A$3:$A$5001,$B15,BD!$B$3:$B$5001,$D$2)))</f>
        <v>0</v>
      </c>
      <c r="T15" s="32">
        <f>IF($B15="","",IF($B$2="Todos",SUMIFS(BD!$S$3:$S$5001,BD!$A$3:$A$5001,$B15),SUMIFS(BD!$S$3:$S$5001,BD!$A$3:$A$5001,$B15,BD!$B$3:$B$5001,$D$2)))</f>
        <v>0</v>
      </c>
      <c r="U15" s="32">
        <f>IF($B15="","",IF($B$2="Todos",SUMIFS(BD!$T$3:$T$5001,BD!$A$3:$A$5001,$B15),SUMIFS(BD!$T$3:$T$5001,BD!$A$3:$A$5001,$B15,BD!$B$3:$B$5001,$D$2)))</f>
        <v>0</v>
      </c>
      <c r="V15" s="32">
        <f>IF($B15="","",IF($B$2="Todos",SUMIFS(BD!$U$3:$U$5001,BD!$A$3:$A$5001,$B15),SUMIFS(BD!$U$3:$U$5001,BD!$A$3:$A$5001,$B15,BD!$B$3:$B$5001,$D$2)))</f>
        <v>0</v>
      </c>
      <c r="W15" s="49">
        <f>$B$5</f>
        <v>0.7</v>
      </c>
      <c r="X15" s="49">
        <f>$B$6</f>
        <v>0.9</v>
      </c>
      <c r="AL15" s="29" t="inlineStr">
        <is>
          <t xml:space="preserve">ABRIL · 2026</t>
        </is>
      </c>
      <c r="AN15" s="29" t="inlineStr">
        <is>
          <t xml:space="preserve">Mondelez</t>
        </is>
      </c>
      <c r="AO15" s="28" t="inlineStr">
        <is>
          <t xml:space="preserve">JSL</t>
        </is>
      </c>
      <c r="AQ15" s="29" t="str">
        <f>"MOVIMENTAÇÃO TONS/DIA — "&amp;IF($B$2="Todos","TODOS OS CLIENTES",UPPER($B$2))</f>
        <v>MOVIMENTAÇÃO TONS/DIA — TODOS OS CLIENTES</v>
      </c>
    </row>
    <row r="16">
      <c r="A16" s="28">
        <v>5</v>
      </c>
      <c r="B16" s="45">
        <f>IF($A16&lt;=DAY($D$7),$C$7+$A16-1,"")</f>
        <v>46300</v>
      </c>
      <c r="C16" s="32">
        <f>IF($B16="","",IF($B$2="Todos",SUMIFS(BD!$C$3:$C$5001,BD!$A$3:$A$5001,$B16),SUMIFS(BD!$C$3:$C$5001,BD!$A$3:$A$5001,$B16,BD!$B$3:$B$5001,$D$2)))</f>
        <v>0</v>
      </c>
      <c r="D16" s="32">
        <f>IF($B16="","",IF($B$2="Todos",SUMIFS(BD!$D$3:$D$5001,BD!$A$3:$A$5001,$B16),SUMIFS(BD!$D$3:$D$5001,BD!$A$3:$A$5001,$B16,BD!$B$3:$B$5001,$D$2)))</f>
        <v>0</v>
      </c>
      <c r="E16" s="46">
        <f>IF($B16="","",IF($B$2="Todos",SUMIFS(BD!$E$3:$E$5001,BD!$A$3:$A$5001,$B16),SUMIFS(BD!$E$3:$E$5001,BD!$A$3:$A$5001,$B16,BD!$B$3:$B$5001,$D$2)))</f>
        <v>0</v>
      </c>
      <c r="F16" s="32">
        <f>IF($B16="","",IF($B$2="Todos",SUMIFS(BD!$F$3:$F$5001,BD!$A$3:$A$5001,$B16),SUMIFS(BD!$F$3:$F$5001,BD!$A$3:$A$5001,$B16,BD!$B$3:$B$5001,$D$2)))</f>
        <v>0</v>
      </c>
      <c r="G16" s="32">
        <f>IF($B16="","",IF($B$2="Todos",SUMIFS(BD!$G$3:$G$5001,BD!$A$3:$A$5001,$B16),SUMIFS(BD!$G$3:$G$5001,BD!$A$3:$A$5001,$B16,BD!$B$3:$B$5001,$D$2)))</f>
        <v>0</v>
      </c>
      <c r="H16" s="46">
        <f>IF($B16="","",IF($B$2="Todos",SUMIFS(BD!$H$3:$H$5001,BD!$A$3:$A$5001,$B16),SUMIFS(BD!$H$3:$H$5001,BD!$A$3:$A$5001,$B16,BD!$B$3:$B$5001,$D$2)))</f>
        <v>0</v>
      </c>
      <c r="I16" s="32">
        <f>IF($B16="","",IF($B$2="Todos",SUMIFS(BD!$I$3:$I$5001,BD!$A$3:$A$5001,$B16),SUMIFS(BD!$I$3:$I$5001,BD!$A$3:$A$5001,$B16,BD!$B$3:$B$5001,$D$2)))</f>
        <v>0</v>
      </c>
      <c r="J16" s="32">
        <f>IF($B16="","",IF($B$2="Todos",SUMIFS(BD!$J$3:$J$5001,BD!$A$3:$A$5001,$B16),SUMIFS(BD!$J$3:$J$5001,BD!$A$3:$A$5001,$B16,BD!$B$3:$B$5001,$D$2)))</f>
        <v>0</v>
      </c>
      <c r="K16" s="32" t="str">
        <f>IF($B$2="Todos",IF(COUNT($C$119:$G$119)=0,"",SUM($C$119:$G$119)),IFERROR(INDEX($C$119:$G$119,MATCH($D$2,$C$114:$G$114,0)),""))</f>
        <v/>
      </c>
      <c r="L16" s="47" t="str">
        <f>IF(M16="","",IF($B$2="Todos",IF($B$4&gt;0,$B$4,IF($B$2="Todos",IF(COUNT($C$189:$G$189)=0,"",SUM($C$189:$G$189)),IFERROR(INDEX($C$189:$G$189,MATCH($D$2,$C$184:$G$184,0)),""))),IFERROR(INDEX($C$189:$G$189,MATCH($D$2,$C$184:$G$184,0)),"")))</f>
        <v/>
      </c>
      <c r="M16" s="32" t="str">
        <f>IF($B$2="Todos",IF(COUNT($C$154:$G$154)=0,"",SUM($C$154:$G$154)),IFERROR(INDEX($C$154:$G$154,MATCH($D$2,$C$149:$G$149,0)),""))</f>
        <v/>
      </c>
      <c r="N16" s="48" t="str">
        <f>IF(AND(ISNUMBER(M16),ISNUMBER(L16)),IF(L16&gt;0,M16/L16,""),"")</f>
        <v/>
      </c>
      <c r="O16" s="32" t="str">
        <f>IF($B$2="Todos",IF(COUNT($C$224:$G$224)=0,"",SUM($C$224:$G$224)),IFERROR(INDEX($C$224:$G$224,MATCH($D$2,$C$219:$G$219,0)),""))</f>
        <v/>
      </c>
      <c r="P16" s="32">
        <f>IF($B16="","",IF($B$2="Todos",SUMIFS(BD!$O$3:$O$5001,BD!$A$3:$A$5001,$B16),SUMIFS(BD!$O$3:$O$5001,BD!$A$3:$A$5001,$B16,BD!$B$3:$B$5001,$D$2)))</f>
        <v>0</v>
      </c>
      <c r="Q16" s="32">
        <f>IF($B16="","",IF($B$2="Todos",SUMIFS(BD!$P$3:$P$5001,BD!$A$3:$A$5001,$B16),SUMIFS(BD!$P$3:$P$5001,BD!$A$3:$A$5001,$B16,BD!$B$3:$B$5001,$D$2)))</f>
        <v>0</v>
      </c>
      <c r="R16" s="32">
        <f>IF($B16="","",IF($B$2="Todos",SUMIFS(BD!$Q$3:$Q$5001,BD!$A$3:$A$5001,$B16),SUMIFS(BD!$Q$3:$Q$5001,BD!$A$3:$A$5001,$B16,BD!$B$3:$B$5001,$D$2)))</f>
        <v>0</v>
      </c>
      <c r="S16" s="32">
        <f>IF($B16="","",IF($B$2="Todos",SUMIFS(BD!$R$3:$R$5001,BD!$A$3:$A$5001,$B16),SUMIFS(BD!$R$3:$R$5001,BD!$A$3:$A$5001,$B16,BD!$B$3:$B$5001,$D$2)))</f>
        <v>0</v>
      </c>
      <c r="T16" s="32">
        <f>IF($B16="","",IF($B$2="Todos",SUMIFS(BD!$S$3:$S$5001,BD!$A$3:$A$5001,$B16),SUMIFS(BD!$S$3:$S$5001,BD!$A$3:$A$5001,$B16,BD!$B$3:$B$5001,$D$2)))</f>
        <v>0</v>
      </c>
      <c r="U16" s="32">
        <f>IF($B16="","",IF($B$2="Todos",SUMIFS(BD!$T$3:$T$5001,BD!$A$3:$A$5001,$B16),SUMIFS(BD!$T$3:$T$5001,BD!$A$3:$A$5001,$B16,BD!$B$3:$B$5001,$D$2)))</f>
        <v>0</v>
      </c>
      <c r="V16" s="32">
        <f>IF($B16="","",IF($B$2="Todos",SUMIFS(BD!$U$3:$U$5001,BD!$A$3:$A$5001,$B16),SUMIFS(BD!$U$3:$U$5001,BD!$A$3:$A$5001,$B16,BD!$B$3:$B$5001,$D$2)))</f>
        <v>0</v>
      </c>
      <c r="W16" s="49">
        <f>$B$5</f>
        <v>0.7</v>
      </c>
      <c r="X16" s="49">
        <f>$B$6</f>
        <v>0.9</v>
      </c>
      <c r="AL16" s="29" t="inlineStr">
        <is>
          <t xml:space="preserve">MAIO · 2026</t>
        </is>
      </c>
      <c r="AN16" s="29" t="inlineStr">
        <is>
          <t xml:space="preserve">Nestlé</t>
        </is>
      </c>
      <c r="AO16" s="28" t="inlineStr">
        <is>
          <t xml:space="preserve">JSL</t>
        </is>
      </c>
      <c r="AQ16" s="29" t="str">
        <f>"ACUMULADO SEMANAL PALETES — "&amp;IF($B$2="Todos","TODOS OS CLIENTES",UPPER($B$2))</f>
        <v>ACUMULADO SEMANAL PALETES — TODOS OS CLIENTES</v>
      </c>
    </row>
    <row r="17">
      <c r="A17" s="28">
        <v>6</v>
      </c>
      <c r="B17" s="45">
        <f>IF($A17&lt;=DAY($D$7),$C$7+$A17-1,"")</f>
        <v>46301</v>
      </c>
      <c r="C17" s="32">
        <f>IF($B17="","",IF($B$2="Todos",SUMIFS(BD!$C$3:$C$5001,BD!$A$3:$A$5001,$B17),SUMIFS(BD!$C$3:$C$5001,BD!$A$3:$A$5001,$B17,BD!$B$3:$B$5001,$D$2)))</f>
        <v>0</v>
      </c>
      <c r="D17" s="32">
        <f>IF($B17="","",IF($B$2="Todos",SUMIFS(BD!$D$3:$D$5001,BD!$A$3:$A$5001,$B17),SUMIFS(BD!$D$3:$D$5001,BD!$A$3:$A$5001,$B17,BD!$B$3:$B$5001,$D$2)))</f>
        <v>0</v>
      </c>
      <c r="E17" s="46">
        <f>IF($B17="","",IF($B$2="Todos",SUMIFS(BD!$E$3:$E$5001,BD!$A$3:$A$5001,$B17),SUMIFS(BD!$E$3:$E$5001,BD!$A$3:$A$5001,$B17,BD!$B$3:$B$5001,$D$2)))</f>
        <v>0</v>
      </c>
      <c r="F17" s="32">
        <f>IF($B17="","",IF($B$2="Todos",SUMIFS(BD!$F$3:$F$5001,BD!$A$3:$A$5001,$B17),SUMIFS(BD!$F$3:$F$5001,BD!$A$3:$A$5001,$B17,BD!$B$3:$B$5001,$D$2)))</f>
        <v>0</v>
      </c>
      <c r="G17" s="32">
        <f>IF($B17="","",IF($B$2="Todos",SUMIFS(BD!$G$3:$G$5001,BD!$A$3:$A$5001,$B17),SUMIFS(BD!$G$3:$G$5001,BD!$A$3:$A$5001,$B17,BD!$B$3:$B$5001,$D$2)))</f>
        <v>0</v>
      </c>
      <c r="H17" s="46">
        <f>IF($B17="","",IF($B$2="Todos",SUMIFS(BD!$H$3:$H$5001,BD!$A$3:$A$5001,$B17),SUMIFS(BD!$H$3:$H$5001,BD!$A$3:$A$5001,$B17,BD!$B$3:$B$5001,$D$2)))</f>
        <v>0</v>
      </c>
      <c r="I17" s="32">
        <f>IF($B17="","",IF($B$2="Todos",SUMIFS(BD!$I$3:$I$5001,BD!$A$3:$A$5001,$B17),SUMIFS(BD!$I$3:$I$5001,BD!$A$3:$A$5001,$B17,BD!$B$3:$B$5001,$D$2)))</f>
        <v>0</v>
      </c>
      <c r="J17" s="32">
        <f>IF($B17="","",IF($B$2="Todos",SUMIFS(BD!$J$3:$J$5001,BD!$A$3:$A$5001,$B17),SUMIFS(BD!$J$3:$J$5001,BD!$A$3:$A$5001,$B17,BD!$B$3:$B$5001,$D$2)))</f>
        <v>0</v>
      </c>
      <c r="K17" s="32" t="str">
        <f>IF($B$2="Todos",IF(COUNT($C$120:$G$120)=0,"",SUM($C$120:$G$120)),IFERROR(INDEX($C$120:$G$120,MATCH($D$2,$C$114:$G$114,0)),""))</f>
        <v/>
      </c>
      <c r="L17" s="47" t="str">
        <f>IF(M17="","",IF($B$2="Todos",IF($B$4&gt;0,$B$4,IF($B$2="Todos",IF(COUNT($C$190:$G$190)=0,"",SUM($C$190:$G$190)),IFERROR(INDEX($C$190:$G$190,MATCH($D$2,$C$184:$G$184,0)),""))),IFERROR(INDEX($C$190:$G$190,MATCH($D$2,$C$184:$G$184,0)),"")))</f>
        <v/>
      </c>
      <c r="M17" s="32" t="str">
        <f>IF($B$2="Todos",IF(COUNT($C$155:$G$155)=0,"",SUM($C$155:$G$155)),IFERROR(INDEX($C$155:$G$155,MATCH($D$2,$C$149:$G$149,0)),""))</f>
        <v/>
      </c>
      <c r="N17" s="48" t="str">
        <f>IF(AND(ISNUMBER(M17),ISNUMBER(L17)),IF(L17&gt;0,M17/L17,""),"")</f>
        <v/>
      </c>
      <c r="O17" s="32" t="str">
        <f>IF($B$2="Todos",IF(COUNT($C$225:$G$225)=0,"",SUM($C$225:$G$225)),IFERROR(INDEX($C$225:$G$225,MATCH($D$2,$C$219:$G$219,0)),""))</f>
        <v/>
      </c>
      <c r="P17" s="32">
        <f>IF($B17="","",IF($B$2="Todos",SUMIFS(BD!$O$3:$O$5001,BD!$A$3:$A$5001,$B17),SUMIFS(BD!$O$3:$O$5001,BD!$A$3:$A$5001,$B17,BD!$B$3:$B$5001,$D$2)))</f>
        <v>0</v>
      </c>
      <c r="Q17" s="32">
        <f>IF($B17="","",IF($B$2="Todos",SUMIFS(BD!$P$3:$P$5001,BD!$A$3:$A$5001,$B17),SUMIFS(BD!$P$3:$P$5001,BD!$A$3:$A$5001,$B17,BD!$B$3:$B$5001,$D$2)))</f>
        <v>0</v>
      </c>
      <c r="R17" s="32">
        <f>IF($B17="","",IF($B$2="Todos",SUMIFS(BD!$Q$3:$Q$5001,BD!$A$3:$A$5001,$B17),SUMIFS(BD!$Q$3:$Q$5001,BD!$A$3:$A$5001,$B17,BD!$B$3:$B$5001,$D$2)))</f>
        <v>0</v>
      </c>
      <c r="S17" s="32">
        <f>IF($B17="","",IF($B$2="Todos",SUMIFS(BD!$R$3:$R$5001,BD!$A$3:$A$5001,$B17),SUMIFS(BD!$R$3:$R$5001,BD!$A$3:$A$5001,$B17,BD!$B$3:$B$5001,$D$2)))</f>
        <v>0</v>
      </c>
      <c r="T17" s="32">
        <f>IF($B17="","",IF($B$2="Todos",SUMIFS(BD!$S$3:$S$5001,BD!$A$3:$A$5001,$B17),SUMIFS(BD!$S$3:$S$5001,BD!$A$3:$A$5001,$B17,BD!$B$3:$B$5001,$D$2)))</f>
        <v>0</v>
      </c>
      <c r="U17" s="32">
        <f>IF($B17="","",IF($B$2="Todos",SUMIFS(BD!$T$3:$T$5001,BD!$A$3:$A$5001,$B17),SUMIFS(BD!$T$3:$T$5001,BD!$A$3:$A$5001,$B17,BD!$B$3:$B$5001,$D$2)))</f>
        <v>0</v>
      </c>
      <c r="V17" s="32">
        <f>IF($B17="","",IF($B$2="Todos",SUMIFS(BD!$U$3:$U$5001,BD!$A$3:$A$5001,$B17),SUMIFS(BD!$U$3:$U$5001,BD!$A$3:$A$5001,$B17,BD!$B$3:$B$5001,$D$2)))</f>
        <v>0</v>
      </c>
      <c r="W17" s="49">
        <f>$B$5</f>
        <v>0.7</v>
      </c>
      <c r="X17" s="49">
        <f>$B$6</f>
        <v>0.9</v>
      </c>
      <c r="AL17" s="29" t="inlineStr">
        <is>
          <t xml:space="preserve">JUNHO · 2026</t>
        </is>
      </c>
      <c r="AN17" s="29" t="inlineStr">
        <is>
          <t xml:space="preserve">PMB</t>
        </is>
      </c>
      <c r="AO17" s="28" t="inlineStr">
        <is>
          <t xml:space="preserve">JSL</t>
        </is>
      </c>
      <c r="AQ17" s="29" t="str">
        <f>"ACUMULADO SEMANAL TONS — "&amp;IF($B$2="Todos","TODOS OS CLIENTES",UPPER($B$2))</f>
        <v>ACUMULADO SEMANAL TONS — TODOS OS CLIENTES</v>
      </c>
    </row>
    <row r="18">
      <c r="A18" s="28">
        <v>7</v>
      </c>
      <c r="B18" s="45">
        <f>IF($A18&lt;=DAY($D$7),$C$7+$A18-1,"")</f>
        <v>46302</v>
      </c>
      <c r="C18" s="32">
        <f>IF($B18="","",IF($B$2="Todos",SUMIFS(BD!$C$3:$C$5001,BD!$A$3:$A$5001,$B18),SUMIFS(BD!$C$3:$C$5001,BD!$A$3:$A$5001,$B18,BD!$B$3:$B$5001,$D$2)))</f>
        <v>0</v>
      </c>
      <c r="D18" s="32">
        <f>IF($B18="","",IF($B$2="Todos",SUMIFS(BD!$D$3:$D$5001,BD!$A$3:$A$5001,$B18),SUMIFS(BD!$D$3:$D$5001,BD!$A$3:$A$5001,$B18,BD!$B$3:$B$5001,$D$2)))</f>
        <v>0</v>
      </c>
      <c r="E18" s="46">
        <f>IF($B18="","",IF($B$2="Todos",SUMIFS(BD!$E$3:$E$5001,BD!$A$3:$A$5001,$B18),SUMIFS(BD!$E$3:$E$5001,BD!$A$3:$A$5001,$B18,BD!$B$3:$B$5001,$D$2)))</f>
        <v>0</v>
      </c>
      <c r="F18" s="32">
        <f>IF($B18="","",IF($B$2="Todos",SUMIFS(BD!$F$3:$F$5001,BD!$A$3:$A$5001,$B18),SUMIFS(BD!$F$3:$F$5001,BD!$A$3:$A$5001,$B18,BD!$B$3:$B$5001,$D$2)))</f>
        <v>0</v>
      </c>
      <c r="G18" s="32">
        <f>IF($B18="","",IF($B$2="Todos",SUMIFS(BD!$G$3:$G$5001,BD!$A$3:$A$5001,$B18),SUMIFS(BD!$G$3:$G$5001,BD!$A$3:$A$5001,$B18,BD!$B$3:$B$5001,$D$2)))</f>
        <v>0</v>
      </c>
      <c r="H18" s="46">
        <f>IF($B18="","",IF($B$2="Todos",SUMIFS(BD!$H$3:$H$5001,BD!$A$3:$A$5001,$B18),SUMIFS(BD!$H$3:$H$5001,BD!$A$3:$A$5001,$B18,BD!$B$3:$B$5001,$D$2)))</f>
        <v>0</v>
      </c>
      <c r="I18" s="32">
        <f>IF($B18="","",IF($B$2="Todos",SUMIFS(BD!$I$3:$I$5001,BD!$A$3:$A$5001,$B18),SUMIFS(BD!$I$3:$I$5001,BD!$A$3:$A$5001,$B18,BD!$B$3:$B$5001,$D$2)))</f>
        <v>0</v>
      </c>
      <c r="J18" s="32">
        <f>IF($B18="","",IF($B$2="Todos",SUMIFS(BD!$J$3:$J$5001,BD!$A$3:$A$5001,$B18),SUMIFS(BD!$J$3:$J$5001,BD!$A$3:$A$5001,$B18,BD!$B$3:$B$5001,$D$2)))</f>
        <v>0</v>
      </c>
      <c r="K18" s="32" t="str">
        <f>IF($B$2="Todos",IF(COUNT($C$121:$G$121)=0,"",SUM($C$121:$G$121)),IFERROR(INDEX($C$121:$G$121,MATCH($D$2,$C$114:$G$114,0)),""))</f>
        <v/>
      </c>
      <c r="L18" s="47" t="str">
        <f>IF(M18="","",IF($B$2="Todos",IF($B$4&gt;0,$B$4,IF($B$2="Todos",IF(COUNT($C$191:$G$191)=0,"",SUM($C$191:$G$191)),IFERROR(INDEX($C$191:$G$191,MATCH($D$2,$C$184:$G$184,0)),""))),IFERROR(INDEX($C$191:$G$191,MATCH($D$2,$C$184:$G$184,0)),"")))</f>
        <v/>
      </c>
      <c r="M18" s="32" t="str">
        <f>IF($B$2="Todos",IF(COUNT($C$156:$G$156)=0,"",SUM($C$156:$G$156)),IFERROR(INDEX($C$156:$G$156,MATCH($D$2,$C$149:$G$149,0)),""))</f>
        <v/>
      </c>
      <c r="N18" s="48" t="str">
        <f>IF(AND(ISNUMBER(M18),ISNUMBER(L18)),IF(L18&gt;0,M18/L18,""),"")</f>
        <v/>
      </c>
      <c r="O18" s="32" t="str">
        <f>IF($B$2="Todos",IF(COUNT($C$226:$G$226)=0,"",SUM($C$226:$G$226)),IFERROR(INDEX($C$226:$G$226,MATCH($D$2,$C$219:$G$219,0)),""))</f>
        <v/>
      </c>
      <c r="P18" s="32">
        <f>IF($B18="","",IF($B$2="Todos",SUMIFS(BD!$O$3:$O$5001,BD!$A$3:$A$5001,$B18),SUMIFS(BD!$O$3:$O$5001,BD!$A$3:$A$5001,$B18,BD!$B$3:$B$5001,$D$2)))</f>
        <v>0</v>
      </c>
      <c r="Q18" s="32">
        <f>IF($B18="","",IF($B$2="Todos",SUMIFS(BD!$P$3:$P$5001,BD!$A$3:$A$5001,$B18),SUMIFS(BD!$P$3:$P$5001,BD!$A$3:$A$5001,$B18,BD!$B$3:$B$5001,$D$2)))</f>
        <v>0</v>
      </c>
      <c r="R18" s="32">
        <f>IF($B18="","",IF($B$2="Todos",SUMIFS(BD!$Q$3:$Q$5001,BD!$A$3:$A$5001,$B18),SUMIFS(BD!$Q$3:$Q$5001,BD!$A$3:$A$5001,$B18,BD!$B$3:$B$5001,$D$2)))</f>
        <v>0</v>
      </c>
      <c r="S18" s="32">
        <f>IF($B18="","",IF($B$2="Todos",SUMIFS(BD!$R$3:$R$5001,BD!$A$3:$A$5001,$B18),SUMIFS(BD!$R$3:$R$5001,BD!$A$3:$A$5001,$B18,BD!$B$3:$B$5001,$D$2)))</f>
        <v>0</v>
      </c>
      <c r="T18" s="32">
        <f>IF($B18="","",IF($B$2="Todos",SUMIFS(BD!$S$3:$S$5001,BD!$A$3:$A$5001,$B18),SUMIFS(BD!$S$3:$S$5001,BD!$A$3:$A$5001,$B18,BD!$B$3:$B$5001,$D$2)))</f>
        <v>0</v>
      </c>
      <c r="U18" s="32">
        <f>IF($B18="","",IF($B$2="Todos",SUMIFS(BD!$T$3:$T$5001,BD!$A$3:$A$5001,$B18),SUMIFS(BD!$T$3:$T$5001,BD!$A$3:$A$5001,$B18,BD!$B$3:$B$5001,$D$2)))</f>
        <v>0</v>
      </c>
      <c r="V18" s="32">
        <f>IF($B18="","",IF($B$2="Todos",SUMIFS(BD!$U$3:$U$5001,BD!$A$3:$A$5001,$B18),SUMIFS(BD!$U$3:$U$5001,BD!$A$3:$A$5001,$B18,BD!$B$3:$B$5001,$D$2)))</f>
        <v>0</v>
      </c>
      <c r="W18" s="49">
        <f>$B$5</f>
        <v>0.7</v>
      </c>
      <c r="X18" s="49">
        <f>$B$6</f>
        <v>0.9</v>
      </c>
      <c r="AL18" s="29" t="inlineStr">
        <is>
          <t xml:space="preserve">JULHO · 2026</t>
        </is>
      </c>
    </row>
    <row r="19">
      <c r="A19" s="28">
        <v>8</v>
      </c>
      <c r="B19" s="45">
        <f>IF($A19&lt;=DAY($D$7),$C$7+$A19-1,"")</f>
        <v>46303</v>
      </c>
      <c r="C19" s="32">
        <f>IF($B19="","",IF($B$2="Todos",SUMIFS(BD!$C$3:$C$5001,BD!$A$3:$A$5001,$B19),SUMIFS(BD!$C$3:$C$5001,BD!$A$3:$A$5001,$B19,BD!$B$3:$B$5001,$D$2)))</f>
        <v>0</v>
      </c>
      <c r="D19" s="32">
        <f>IF($B19="","",IF($B$2="Todos",SUMIFS(BD!$D$3:$D$5001,BD!$A$3:$A$5001,$B19),SUMIFS(BD!$D$3:$D$5001,BD!$A$3:$A$5001,$B19,BD!$B$3:$B$5001,$D$2)))</f>
        <v>0</v>
      </c>
      <c r="E19" s="46">
        <f>IF($B19="","",IF($B$2="Todos",SUMIFS(BD!$E$3:$E$5001,BD!$A$3:$A$5001,$B19),SUMIFS(BD!$E$3:$E$5001,BD!$A$3:$A$5001,$B19,BD!$B$3:$B$5001,$D$2)))</f>
        <v>0</v>
      </c>
      <c r="F19" s="32">
        <f>IF($B19="","",IF($B$2="Todos",SUMIFS(BD!$F$3:$F$5001,BD!$A$3:$A$5001,$B19),SUMIFS(BD!$F$3:$F$5001,BD!$A$3:$A$5001,$B19,BD!$B$3:$B$5001,$D$2)))</f>
        <v>0</v>
      </c>
      <c r="G19" s="32">
        <f>IF($B19="","",IF($B$2="Todos",SUMIFS(BD!$G$3:$G$5001,BD!$A$3:$A$5001,$B19),SUMIFS(BD!$G$3:$G$5001,BD!$A$3:$A$5001,$B19,BD!$B$3:$B$5001,$D$2)))</f>
        <v>0</v>
      </c>
      <c r="H19" s="46">
        <f>IF($B19="","",IF($B$2="Todos",SUMIFS(BD!$H$3:$H$5001,BD!$A$3:$A$5001,$B19),SUMIFS(BD!$H$3:$H$5001,BD!$A$3:$A$5001,$B19,BD!$B$3:$B$5001,$D$2)))</f>
        <v>0</v>
      </c>
      <c r="I19" s="32">
        <f>IF($B19="","",IF($B$2="Todos",SUMIFS(BD!$I$3:$I$5001,BD!$A$3:$A$5001,$B19),SUMIFS(BD!$I$3:$I$5001,BD!$A$3:$A$5001,$B19,BD!$B$3:$B$5001,$D$2)))</f>
        <v>0</v>
      </c>
      <c r="J19" s="32">
        <f>IF($B19="","",IF($B$2="Todos",SUMIFS(BD!$J$3:$J$5001,BD!$A$3:$A$5001,$B19),SUMIFS(BD!$J$3:$J$5001,BD!$A$3:$A$5001,$B19,BD!$B$3:$B$5001,$D$2)))</f>
        <v>0</v>
      </c>
      <c r="K19" s="32" t="str">
        <f>IF($B$2="Todos",IF(COUNT($C$122:$G$122)=0,"",SUM($C$122:$G$122)),IFERROR(INDEX($C$122:$G$122,MATCH($D$2,$C$114:$G$114,0)),""))</f>
        <v/>
      </c>
      <c r="L19" s="47" t="str">
        <f>IF(M19="","",IF($B$2="Todos",IF($B$4&gt;0,$B$4,IF($B$2="Todos",IF(COUNT($C$192:$G$192)=0,"",SUM($C$192:$G$192)),IFERROR(INDEX($C$192:$G$192,MATCH($D$2,$C$184:$G$184,0)),""))),IFERROR(INDEX($C$192:$G$192,MATCH($D$2,$C$184:$G$184,0)),"")))</f>
        <v/>
      </c>
      <c r="M19" s="32" t="str">
        <f>IF($B$2="Todos",IF(COUNT($C$157:$G$157)=0,"",SUM($C$157:$G$157)),IFERROR(INDEX($C$157:$G$157,MATCH($D$2,$C$149:$G$149,0)),""))</f>
        <v/>
      </c>
      <c r="N19" s="48" t="str">
        <f>IF(AND(ISNUMBER(M19),ISNUMBER(L19)),IF(L19&gt;0,M19/L19,""),"")</f>
        <v/>
      </c>
      <c r="O19" s="32" t="str">
        <f>IF($B$2="Todos",IF(COUNT($C$227:$G$227)=0,"",SUM($C$227:$G$227)),IFERROR(INDEX($C$227:$G$227,MATCH($D$2,$C$219:$G$219,0)),""))</f>
        <v/>
      </c>
      <c r="P19" s="32">
        <f>IF($B19="","",IF($B$2="Todos",SUMIFS(BD!$O$3:$O$5001,BD!$A$3:$A$5001,$B19),SUMIFS(BD!$O$3:$O$5001,BD!$A$3:$A$5001,$B19,BD!$B$3:$B$5001,$D$2)))</f>
        <v>0</v>
      </c>
      <c r="Q19" s="32">
        <f>IF($B19="","",IF($B$2="Todos",SUMIFS(BD!$P$3:$P$5001,BD!$A$3:$A$5001,$B19),SUMIFS(BD!$P$3:$P$5001,BD!$A$3:$A$5001,$B19,BD!$B$3:$B$5001,$D$2)))</f>
        <v>0</v>
      </c>
      <c r="R19" s="32">
        <f>IF($B19="","",IF($B$2="Todos",SUMIFS(BD!$Q$3:$Q$5001,BD!$A$3:$A$5001,$B19),SUMIFS(BD!$Q$3:$Q$5001,BD!$A$3:$A$5001,$B19,BD!$B$3:$B$5001,$D$2)))</f>
        <v>0</v>
      </c>
      <c r="S19" s="32">
        <f>IF($B19="","",IF($B$2="Todos",SUMIFS(BD!$R$3:$R$5001,BD!$A$3:$A$5001,$B19),SUMIFS(BD!$R$3:$R$5001,BD!$A$3:$A$5001,$B19,BD!$B$3:$B$5001,$D$2)))</f>
        <v>0</v>
      </c>
      <c r="T19" s="32">
        <f>IF($B19="","",IF($B$2="Todos",SUMIFS(BD!$S$3:$S$5001,BD!$A$3:$A$5001,$B19),SUMIFS(BD!$S$3:$S$5001,BD!$A$3:$A$5001,$B19,BD!$B$3:$B$5001,$D$2)))</f>
        <v>0</v>
      </c>
      <c r="U19" s="32">
        <f>IF($B19="","",IF($B$2="Todos",SUMIFS(BD!$T$3:$T$5001,BD!$A$3:$A$5001,$B19),SUMIFS(BD!$T$3:$T$5001,BD!$A$3:$A$5001,$B19,BD!$B$3:$B$5001,$D$2)))</f>
        <v>0</v>
      </c>
      <c r="V19" s="32">
        <f>IF($B19="","",IF($B$2="Todos",SUMIFS(BD!$U$3:$U$5001,BD!$A$3:$A$5001,$B19),SUMIFS(BD!$U$3:$U$5001,BD!$A$3:$A$5001,$B19,BD!$B$3:$B$5001,$D$2)))</f>
        <v>0</v>
      </c>
      <c r="W19" s="49">
        <f>$B$5</f>
        <v>0.7</v>
      </c>
      <c r="X19" s="49">
        <f>$B$6</f>
        <v>0.9</v>
      </c>
      <c r="AL19" s="29" t="inlineStr">
        <is>
          <t xml:space="preserve">AGOSTO · 2026</t>
        </is>
      </c>
    </row>
    <row r="20">
      <c r="A20" s="28">
        <v>9</v>
      </c>
      <c r="B20" s="45">
        <f>IF($A20&lt;=DAY($D$7),$C$7+$A20-1,"")</f>
        <v>46304</v>
      </c>
      <c r="C20" s="32">
        <f>IF($B20="","",IF($B$2="Todos",SUMIFS(BD!$C$3:$C$5001,BD!$A$3:$A$5001,$B20),SUMIFS(BD!$C$3:$C$5001,BD!$A$3:$A$5001,$B20,BD!$B$3:$B$5001,$D$2)))</f>
        <v>0</v>
      </c>
      <c r="D20" s="32">
        <f>IF($B20="","",IF($B$2="Todos",SUMIFS(BD!$D$3:$D$5001,BD!$A$3:$A$5001,$B20),SUMIFS(BD!$D$3:$D$5001,BD!$A$3:$A$5001,$B20,BD!$B$3:$B$5001,$D$2)))</f>
        <v>0</v>
      </c>
      <c r="E20" s="46">
        <f>IF($B20="","",IF($B$2="Todos",SUMIFS(BD!$E$3:$E$5001,BD!$A$3:$A$5001,$B20),SUMIFS(BD!$E$3:$E$5001,BD!$A$3:$A$5001,$B20,BD!$B$3:$B$5001,$D$2)))</f>
        <v>0</v>
      </c>
      <c r="F20" s="32">
        <f>IF($B20="","",IF($B$2="Todos",SUMIFS(BD!$F$3:$F$5001,BD!$A$3:$A$5001,$B20),SUMIFS(BD!$F$3:$F$5001,BD!$A$3:$A$5001,$B20,BD!$B$3:$B$5001,$D$2)))</f>
        <v>0</v>
      </c>
      <c r="G20" s="32">
        <f>IF($B20="","",IF($B$2="Todos",SUMIFS(BD!$G$3:$G$5001,BD!$A$3:$A$5001,$B20),SUMIFS(BD!$G$3:$G$5001,BD!$A$3:$A$5001,$B20,BD!$B$3:$B$5001,$D$2)))</f>
        <v>0</v>
      </c>
      <c r="H20" s="46">
        <f>IF($B20="","",IF($B$2="Todos",SUMIFS(BD!$H$3:$H$5001,BD!$A$3:$A$5001,$B20),SUMIFS(BD!$H$3:$H$5001,BD!$A$3:$A$5001,$B20,BD!$B$3:$B$5001,$D$2)))</f>
        <v>0</v>
      </c>
      <c r="I20" s="32">
        <f>IF($B20="","",IF($B$2="Todos",SUMIFS(BD!$I$3:$I$5001,BD!$A$3:$A$5001,$B20),SUMIFS(BD!$I$3:$I$5001,BD!$A$3:$A$5001,$B20,BD!$B$3:$B$5001,$D$2)))</f>
        <v>0</v>
      </c>
      <c r="J20" s="32">
        <f>IF($B20="","",IF($B$2="Todos",SUMIFS(BD!$J$3:$J$5001,BD!$A$3:$A$5001,$B20),SUMIFS(BD!$J$3:$J$5001,BD!$A$3:$A$5001,$B20,BD!$B$3:$B$5001,$D$2)))</f>
        <v>0</v>
      </c>
      <c r="K20" s="32" t="str">
        <f>IF($B$2="Todos",IF(COUNT($C$123:$G$123)=0,"",SUM($C$123:$G$123)),IFERROR(INDEX($C$123:$G$123,MATCH($D$2,$C$114:$G$114,0)),""))</f>
        <v/>
      </c>
      <c r="L20" s="47" t="str">
        <f>IF(M20="","",IF($B$2="Todos",IF($B$4&gt;0,$B$4,IF($B$2="Todos",IF(COUNT($C$193:$G$193)=0,"",SUM($C$193:$G$193)),IFERROR(INDEX($C$193:$G$193,MATCH($D$2,$C$184:$G$184,0)),""))),IFERROR(INDEX($C$193:$G$193,MATCH($D$2,$C$184:$G$184,0)),"")))</f>
        <v/>
      </c>
      <c r="M20" s="32" t="str">
        <f>IF($B$2="Todos",IF(COUNT($C$158:$G$158)=0,"",SUM($C$158:$G$158)),IFERROR(INDEX($C$158:$G$158,MATCH($D$2,$C$149:$G$149,0)),""))</f>
        <v/>
      </c>
      <c r="N20" s="48" t="str">
        <f>IF(AND(ISNUMBER(M20),ISNUMBER(L20)),IF(L20&gt;0,M20/L20,""),"")</f>
        <v/>
      </c>
      <c r="O20" s="32" t="str">
        <f>IF($B$2="Todos",IF(COUNT($C$228:$G$228)=0,"",SUM($C$228:$G$228)),IFERROR(INDEX($C$228:$G$228,MATCH($D$2,$C$219:$G$219,0)),""))</f>
        <v/>
      </c>
      <c r="P20" s="32">
        <f>IF($B20="","",IF($B$2="Todos",SUMIFS(BD!$O$3:$O$5001,BD!$A$3:$A$5001,$B20),SUMIFS(BD!$O$3:$O$5001,BD!$A$3:$A$5001,$B20,BD!$B$3:$B$5001,$D$2)))</f>
        <v>0</v>
      </c>
      <c r="Q20" s="32">
        <f>IF($B20="","",IF($B$2="Todos",SUMIFS(BD!$P$3:$P$5001,BD!$A$3:$A$5001,$B20),SUMIFS(BD!$P$3:$P$5001,BD!$A$3:$A$5001,$B20,BD!$B$3:$B$5001,$D$2)))</f>
        <v>0</v>
      </c>
      <c r="R20" s="32">
        <f>IF($B20="","",IF($B$2="Todos",SUMIFS(BD!$Q$3:$Q$5001,BD!$A$3:$A$5001,$B20),SUMIFS(BD!$Q$3:$Q$5001,BD!$A$3:$A$5001,$B20,BD!$B$3:$B$5001,$D$2)))</f>
        <v>0</v>
      </c>
      <c r="S20" s="32">
        <f>IF($B20="","",IF($B$2="Todos",SUMIFS(BD!$R$3:$R$5001,BD!$A$3:$A$5001,$B20),SUMIFS(BD!$R$3:$R$5001,BD!$A$3:$A$5001,$B20,BD!$B$3:$B$5001,$D$2)))</f>
        <v>0</v>
      </c>
      <c r="T20" s="32">
        <f>IF($B20="","",IF($B$2="Todos",SUMIFS(BD!$S$3:$S$5001,BD!$A$3:$A$5001,$B20),SUMIFS(BD!$S$3:$S$5001,BD!$A$3:$A$5001,$B20,BD!$B$3:$B$5001,$D$2)))</f>
        <v>0</v>
      </c>
      <c r="U20" s="32">
        <f>IF($B20="","",IF($B$2="Todos",SUMIFS(BD!$T$3:$T$5001,BD!$A$3:$A$5001,$B20),SUMIFS(BD!$T$3:$T$5001,BD!$A$3:$A$5001,$B20,BD!$B$3:$B$5001,$D$2)))</f>
        <v>0</v>
      </c>
      <c r="V20" s="32">
        <f>IF($B20="","",IF($B$2="Todos",SUMIFS(BD!$U$3:$U$5001,BD!$A$3:$A$5001,$B20),SUMIFS(BD!$U$3:$U$5001,BD!$A$3:$A$5001,$B20,BD!$B$3:$B$5001,$D$2)))</f>
        <v>0</v>
      </c>
      <c r="W20" s="49">
        <f>$B$5</f>
        <v>0.7</v>
      </c>
      <c r="X20" s="49">
        <f>$B$6</f>
        <v>0.9</v>
      </c>
      <c r="AL20" s="29" t="inlineStr">
        <is>
          <t xml:space="preserve">SETEMBRO · 2026</t>
        </is>
      </c>
    </row>
    <row r="21">
      <c r="A21" s="28">
        <v>10</v>
      </c>
      <c r="B21" s="45">
        <f>IF($A21&lt;=DAY($D$7),$C$7+$A21-1,"")</f>
        <v>46305</v>
      </c>
      <c r="C21" s="32">
        <f>IF($B21="","",IF($B$2="Todos",SUMIFS(BD!$C$3:$C$5001,BD!$A$3:$A$5001,$B21),SUMIFS(BD!$C$3:$C$5001,BD!$A$3:$A$5001,$B21,BD!$B$3:$B$5001,$D$2)))</f>
        <v>0</v>
      </c>
      <c r="D21" s="32">
        <f>IF($B21="","",IF($B$2="Todos",SUMIFS(BD!$D$3:$D$5001,BD!$A$3:$A$5001,$B21),SUMIFS(BD!$D$3:$D$5001,BD!$A$3:$A$5001,$B21,BD!$B$3:$B$5001,$D$2)))</f>
        <v>0</v>
      </c>
      <c r="E21" s="46">
        <f>IF($B21="","",IF($B$2="Todos",SUMIFS(BD!$E$3:$E$5001,BD!$A$3:$A$5001,$B21),SUMIFS(BD!$E$3:$E$5001,BD!$A$3:$A$5001,$B21,BD!$B$3:$B$5001,$D$2)))</f>
        <v>0</v>
      </c>
      <c r="F21" s="32">
        <f>IF($B21="","",IF($B$2="Todos",SUMIFS(BD!$F$3:$F$5001,BD!$A$3:$A$5001,$B21),SUMIFS(BD!$F$3:$F$5001,BD!$A$3:$A$5001,$B21,BD!$B$3:$B$5001,$D$2)))</f>
        <v>0</v>
      </c>
      <c r="G21" s="32">
        <f>IF($B21="","",IF($B$2="Todos",SUMIFS(BD!$G$3:$G$5001,BD!$A$3:$A$5001,$B21),SUMIFS(BD!$G$3:$G$5001,BD!$A$3:$A$5001,$B21,BD!$B$3:$B$5001,$D$2)))</f>
        <v>0</v>
      </c>
      <c r="H21" s="46">
        <f>IF($B21="","",IF($B$2="Todos",SUMIFS(BD!$H$3:$H$5001,BD!$A$3:$A$5001,$B21),SUMIFS(BD!$H$3:$H$5001,BD!$A$3:$A$5001,$B21,BD!$B$3:$B$5001,$D$2)))</f>
        <v>0</v>
      </c>
      <c r="I21" s="32">
        <f>IF($B21="","",IF($B$2="Todos",SUMIFS(BD!$I$3:$I$5001,BD!$A$3:$A$5001,$B21),SUMIFS(BD!$I$3:$I$5001,BD!$A$3:$A$5001,$B21,BD!$B$3:$B$5001,$D$2)))</f>
        <v>0</v>
      </c>
      <c r="J21" s="32">
        <f>IF($B21="","",IF($B$2="Todos",SUMIFS(BD!$J$3:$J$5001,BD!$A$3:$A$5001,$B21),SUMIFS(BD!$J$3:$J$5001,BD!$A$3:$A$5001,$B21,BD!$B$3:$B$5001,$D$2)))</f>
        <v>0</v>
      </c>
      <c r="K21" s="32" t="str">
        <f>IF($B$2="Todos",IF(COUNT($C$124:$G$124)=0,"",SUM($C$124:$G$124)),IFERROR(INDEX($C$124:$G$124,MATCH($D$2,$C$114:$G$114,0)),""))</f>
        <v/>
      </c>
      <c r="L21" s="47" t="str">
        <f>IF(M21="","",IF($B$2="Todos",IF($B$4&gt;0,$B$4,IF($B$2="Todos",IF(COUNT($C$194:$G$194)=0,"",SUM($C$194:$G$194)),IFERROR(INDEX($C$194:$G$194,MATCH($D$2,$C$184:$G$184,0)),""))),IFERROR(INDEX($C$194:$G$194,MATCH($D$2,$C$184:$G$184,0)),"")))</f>
        <v/>
      </c>
      <c r="M21" s="32" t="str">
        <f>IF($B$2="Todos",IF(COUNT($C$159:$G$159)=0,"",SUM($C$159:$G$159)),IFERROR(INDEX($C$159:$G$159,MATCH($D$2,$C$149:$G$149,0)),""))</f>
        <v/>
      </c>
      <c r="N21" s="48" t="str">
        <f>IF(AND(ISNUMBER(M21),ISNUMBER(L21)),IF(L21&gt;0,M21/L21,""),"")</f>
        <v/>
      </c>
      <c r="O21" s="32" t="str">
        <f>IF($B$2="Todos",IF(COUNT($C$229:$G$229)=0,"",SUM($C$229:$G$229)),IFERROR(INDEX($C$229:$G$229,MATCH($D$2,$C$219:$G$219,0)),""))</f>
        <v/>
      </c>
      <c r="P21" s="32">
        <f>IF($B21="","",IF($B$2="Todos",SUMIFS(BD!$O$3:$O$5001,BD!$A$3:$A$5001,$B21),SUMIFS(BD!$O$3:$O$5001,BD!$A$3:$A$5001,$B21,BD!$B$3:$B$5001,$D$2)))</f>
        <v>0</v>
      </c>
      <c r="Q21" s="32">
        <f>IF($B21="","",IF($B$2="Todos",SUMIFS(BD!$P$3:$P$5001,BD!$A$3:$A$5001,$B21),SUMIFS(BD!$P$3:$P$5001,BD!$A$3:$A$5001,$B21,BD!$B$3:$B$5001,$D$2)))</f>
        <v>0</v>
      </c>
      <c r="R21" s="32">
        <f>IF($B21="","",IF($B$2="Todos",SUMIFS(BD!$Q$3:$Q$5001,BD!$A$3:$A$5001,$B21),SUMIFS(BD!$Q$3:$Q$5001,BD!$A$3:$A$5001,$B21,BD!$B$3:$B$5001,$D$2)))</f>
        <v>0</v>
      </c>
      <c r="S21" s="32">
        <f>IF($B21="","",IF($B$2="Todos",SUMIFS(BD!$R$3:$R$5001,BD!$A$3:$A$5001,$B21),SUMIFS(BD!$R$3:$R$5001,BD!$A$3:$A$5001,$B21,BD!$B$3:$B$5001,$D$2)))</f>
        <v>0</v>
      </c>
      <c r="T21" s="32">
        <f>IF($B21="","",IF($B$2="Todos",SUMIFS(BD!$S$3:$S$5001,BD!$A$3:$A$5001,$B21),SUMIFS(BD!$S$3:$S$5001,BD!$A$3:$A$5001,$B21,BD!$B$3:$B$5001,$D$2)))</f>
        <v>0</v>
      </c>
      <c r="U21" s="32">
        <f>IF($B21="","",IF($B$2="Todos",SUMIFS(BD!$T$3:$T$5001,BD!$A$3:$A$5001,$B21),SUMIFS(BD!$T$3:$T$5001,BD!$A$3:$A$5001,$B21,BD!$B$3:$B$5001,$D$2)))</f>
        <v>0</v>
      </c>
      <c r="V21" s="32">
        <f>IF($B21="","",IF($B$2="Todos",SUMIFS(BD!$U$3:$U$5001,BD!$A$3:$A$5001,$B21),SUMIFS(BD!$U$3:$U$5001,BD!$A$3:$A$5001,$B21,BD!$B$3:$B$5001,$D$2)))</f>
        <v>0</v>
      </c>
      <c r="W21" s="49">
        <f>$B$5</f>
        <v>0.7</v>
      </c>
      <c r="X21" s="49">
        <f>$B$6</f>
        <v>0.9</v>
      </c>
      <c r="AL21" s="29" t="inlineStr">
        <is>
          <t xml:space="preserve">OUTUBRO · 2026</t>
        </is>
      </c>
    </row>
    <row r="22">
      <c r="A22" s="28">
        <v>11</v>
      </c>
      <c r="B22" s="45">
        <f>IF($A22&lt;=DAY($D$7),$C$7+$A22-1,"")</f>
        <v>46306</v>
      </c>
      <c r="C22" s="32">
        <f>IF($B22="","",IF($B$2="Todos",SUMIFS(BD!$C$3:$C$5001,BD!$A$3:$A$5001,$B22),SUMIFS(BD!$C$3:$C$5001,BD!$A$3:$A$5001,$B22,BD!$B$3:$B$5001,$D$2)))</f>
        <v>0</v>
      </c>
      <c r="D22" s="32">
        <f>IF($B22="","",IF($B$2="Todos",SUMIFS(BD!$D$3:$D$5001,BD!$A$3:$A$5001,$B22),SUMIFS(BD!$D$3:$D$5001,BD!$A$3:$A$5001,$B22,BD!$B$3:$B$5001,$D$2)))</f>
        <v>0</v>
      </c>
      <c r="E22" s="46">
        <f>IF($B22="","",IF($B$2="Todos",SUMIFS(BD!$E$3:$E$5001,BD!$A$3:$A$5001,$B22),SUMIFS(BD!$E$3:$E$5001,BD!$A$3:$A$5001,$B22,BD!$B$3:$B$5001,$D$2)))</f>
        <v>0</v>
      </c>
      <c r="F22" s="32">
        <f>IF($B22="","",IF($B$2="Todos",SUMIFS(BD!$F$3:$F$5001,BD!$A$3:$A$5001,$B22),SUMIFS(BD!$F$3:$F$5001,BD!$A$3:$A$5001,$B22,BD!$B$3:$B$5001,$D$2)))</f>
        <v>0</v>
      </c>
      <c r="G22" s="32">
        <f>IF($B22="","",IF($B$2="Todos",SUMIFS(BD!$G$3:$G$5001,BD!$A$3:$A$5001,$B22),SUMIFS(BD!$G$3:$G$5001,BD!$A$3:$A$5001,$B22,BD!$B$3:$B$5001,$D$2)))</f>
        <v>0</v>
      </c>
      <c r="H22" s="46">
        <f>IF($B22="","",IF($B$2="Todos",SUMIFS(BD!$H$3:$H$5001,BD!$A$3:$A$5001,$B22),SUMIFS(BD!$H$3:$H$5001,BD!$A$3:$A$5001,$B22,BD!$B$3:$B$5001,$D$2)))</f>
        <v>0</v>
      </c>
      <c r="I22" s="32">
        <f>IF($B22="","",IF($B$2="Todos",SUMIFS(BD!$I$3:$I$5001,BD!$A$3:$A$5001,$B22),SUMIFS(BD!$I$3:$I$5001,BD!$A$3:$A$5001,$B22,BD!$B$3:$B$5001,$D$2)))</f>
        <v>0</v>
      </c>
      <c r="J22" s="32">
        <f>IF($B22="","",IF($B$2="Todos",SUMIFS(BD!$J$3:$J$5001,BD!$A$3:$A$5001,$B22),SUMIFS(BD!$J$3:$J$5001,BD!$A$3:$A$5001,$B22,BD!$B$3:$B$5001,$D$2)))</f>
        <v>0</v>
      </c>
      <c r="K22" s="32" t="str">
        <f>IF($B$2="Todos",IF(COUNT($C$125:$G$125)=0,"",SUM($C$125:$G$125)),IFERROR(INDEX($C$125:$G$125,MATCH($D$2,$C$114:$G$114,0)),""))</f>
        <v/>
      </c>
      <c r="L22" s="47" t="str">
        <f>IF(M22="","",IF($B$2="Todos",IF($B$4&gt;0,$B$4,IF($B$2="Todos",IF(COUNT($C$195:$G$195)=0,"",SUM($C$195:$G$195)),IFERROR(INDEX($C$195:$G$195,MATCH($D$2,$C$184:$G$184,0)),""))),IFERROR(INDEX($C$195:$G$195,MATCH($D$2,$C$184:$G$184,0)),"")))</f>
        <v/>
      </c>
      <c r="M22" s="32" t="str">
        <f>IF($B$2="Todos",IF(COUNT($C$160:$G$160)=0,"",SUM($C$160:$G$160)),IFERROR(INDEX($C$160:$G$160,MATCH($D$2,$C$149:$G$149,0)),""))</f>
        <v/>
      </c>
      <c r="N22" s="48" t="str">
        <f>IF(AND(ISNUMBER(M22),ISNUMBER(L22)),IF(L22&gt;0,M22/L22,""),"")</f>
        <v/>
      </c>
      <c r="O22" s="32" t="str">
        <f>IF($B$2="Todos",IF(COUNT($C$230:$G$230)=0,"",SUM($C$230:$G$230)),IFERROR(INDEX($C$230:$G$230,MATCH($D$2,$C$219:$G$219,0)),""))</f>
        <v/>
      </c>
      <c r="P22" s="32">
        <f>IF($B22="","",IF($B$2="Todos",SUMIFS(BD!$O$3:$O$5001,BD!$A$3:$A$5001,$B22),SUMIFS(BD!$O$3:$O$5001,BD!$A$3:$A$5001,$B22,BD!$B$3:$B$5001,$D$2)))</f>
        <v>0</v>
      </c>
      <c r="Q22" s="32">
        <f>IF($B22="","",IF($B$2="Todos",SUMIFS(BD!$P$3:$P$5001,BD!$A$3:$A$5001,$B22),SUMIFS(BD!$P$3:$P$5001,BD!$A$3:$A$5001,$B22,BD!$B$3:$B$5001,$D$2)))</f>
        <v>0</v>
      </c>
      <c r="R22" s="32">
        <f>IF($B22="","",IF($B$2="Todos",SUMIFS(BD!$Q$3:$Q$5001,BD!$A$3:$A$5001,$B22),SUMIFS(BD!$Q$3:$Q$5001,BD!$A$3:$A$5001,$B22,BD!$B$3:$B$5001,$D$2)))</f>
        <v>0</v>
      </c>
      <c r="S22" s="32">
        <f>IF($B22="","",IF($B$2="Todos",SUMIFS(BD!$R$3:$R$5001,BD!$A$3:$A$5001,$B22),SUMIFS(BD!$R$3:$R$5001,BD!$A$3:$A$5001,$B22,BD!$B$3:$B$5001,$D$2)))</f>
        <v>0</v>
      </c>
      <c r="T22" s="32">
        <f>IF($B22="","",IF($B$2="Todos",SUMIFS(BD!$S$3:$S$5001,BD!$A$3:$A$5001,$B22),SUMIFS(BD!$S$3:$S$5001,BD!$A$3:$A$5001,$B22,BD!$B$3:$B$5001,$D$2)))</f>
        <v>0</v>
      </c>
      <c r="U22" s="32">
        <f>IF($B22="","",IF($B$2="Todos",SUMIFS(BD!$T$3:$T$5001,BD!$A$3:$A$5001,$B22),SUMIFS(BD!$T$3:$T$5001,BD!$A$3:$A$5001,$B22,BD!$B$3:$B$5001,$D$2)))</f>
        <v>0</v>
      </c>
      <c r="V22" s="32">
        <f>IF($B22="","",IF($B$2="Todos",SUMIFS(BD!$U$3:$U$5001,BD!$A$3:$A$5001,$B22),SUMIFS(BD!$U$3:$U$5001,BD!$A$3:$A$5001,$B22,BD!$B$3:$B$5001,$D$2)))</f>
        <v>0</v>
      </c>
      <c r="W22" s="49">
        <f>$B$5</f>
        <v>0.7</v>
      </c>
      <c r="X22" s="49">
        <f>$B$6</f>
        <v>0.9</v>
      </c>
      <c r="AL22" s="29" t="inlineStr">
        <is>
          <t xml:space="preserve">NOVEMBRO · 2026</t>
        </is>
      </c>
    </row>
    <row r="23">
      <c r="A23" s="28">
        <v>12</v>
      </c>
      <c r="B23" s="45">
        <f>IF($A23&lt;=DAY($D$7),$C$7+$A23-1,"")</f>
        <v>46307</v>
      </c>
      <c r="C23" s="32">
        <f>IF($B23="","",IF($B$2="Todos",SUMIFS(BD!$C$3:$C$5001,BD!$A$3:$A$5001,$B23),SUMIFS(BD!$C$3:$C$5001,BD!$A$3:$A$5001,$B23,BD!$B$3:$B$5001,$D$2)))</f>
        <v>0</v>
      </c>
      <c r="D23" s="32">
        <f>IF($B23="","",IF($B$2="Todos",SUMIFS(BD!$D$3:$D$5001,BD!$A$3:$A$5001,$B23),SUMIFS(BD!$D$3:$D$5001,BD!$A$3:$A$5001,$B23,BD!$B$3:$B$5001,$D$2)))</f>
        <v>0</v>
      </c>
      <c r="E23" s="46">
        <f>IF($B23="","",IF($B$2="Todos",SUMIFS(BD!$E$3:$E$5001,BD!$A$3:$A$5001,$B23),SUMIFS(BD!$E$3:$E$5001,BD!$A$3:$A$5001,$B23,BD!$B$3:$B$5001,$D$2)))</f>
        <v>0</v>
      </c>
      <c r="F23" s="32">
        <f>IF($B23="","",IF($B$2="Todos",SUMIFS(BD!$F$3:$F$5001,BD!$A$3:$A$5001,$B23),SUMIFS(BD!$F$3:$F$5001,BD!$A$3:$A$5001,$B23,BD!$B$3:$B$5001,$D$2)))</f>
        <v>0</v>
      </c>
      <c r="G23" s="32">
        <f>IF($B23="","",IF($B$2="Todos",SUMIFS(BD!$G$3:$G$5001,BD!$A$3:$A$5001,$B23),SUMIFS(BD!$G$3:$G$5001,BD!$A$3:$A$5001,$B23,BD!$B$3:$B$5001,$D$2)))</f>
        <v>0</v>
      </c>
      <c r="H23" s="46">
        <f>IF($B23="","",IF($B$2="Todos",SUMIFS(BD!$H$3:$H$5001,BD!$A$3:$A$5001,$B23),SUMIFS(BD!$H$3:$H$5001,BD!$A$3:$A$5001,$B23,BD!$B$3:$B$5001,$D$2)))</f>
        <v>0</v>
      </c>
      <c r="I23" s="32">
        <f>IF($B23="","",IF($B$2="Todos",SUMIFS(BD!$I$3:$I$5001,BD!$A$3:$A$5001,$B23),SUMIFS(BD!$I$3:$I$5001,BD!$A$3:$A$5001,$B23,BD!$B$3:$B$5001,$D$2)))</f>
        <v>0</v>
      </c>
      <c r="J23" s="32">
        <f>IF($B23="","",IF($B$2="Todos",SUMIFS(BD!$J$3:$J$5001,BD!$A$3:$A$5001,$B23),SUMIFS(BD!$J$3:$J$5001,BD!$A$3:$A$5001,$B23,BD!$B$3:$B$5001,$D$2)))</f>
        <v>0</v>
      </c>
      <c r="K23" s="32" t="str">
        <f>IF($B$2="Todos",IF(COUNT($C$126:$G$126)=0,"",SUM($C$126:$G$126)),IFERROR(INDEX($C$126:$G$126,MATCH($D$2,$C$114:$G$114,0)),""))</f>
        <v/>
      </c>
      <c r="L23" s="47" t="str">
        <f>IF(M23="","",IF($B$2="Todos",IF($B$4&gt;0,$B$4,IF($B$2="Todos",IF(COUNT($C$196:$G$196)=0,"",SUM($C$196:$G$196)),IFERROR(INDEX($C$196:$G$196,MATCH($D$2,$C$184:$G$184,0)),""))),IFERROR(INDEX($C$196:$G$196,MATCH($D$2,$C$184:$G$184,0)),"")))</f>
        <v/>
      </c>
      <c r="M23" s="32" t="str">
        <f>IF($B$2="Todos",IF(COUNT($C$161:$G$161)=0,"",SUM($C$161:$G$161)),IFERROR(INDEX($C$161:$G$161,MATCH($D$2,$C$149:$G$149,0)),""))</f>
        <v/>
      </c>
      <c r="N23" s="48" t="str">
        <f>IF(AND(ISNUMBER(M23),ISNUMBER(L23)),IF(L23&gt;0,M23/L23,""),"")</f>
        <v/>
      </c>
      <c r="O23" s="32" t="str">
        <f>IF($B$2="Todos",IF(COUNT($C$231:$G$231)=0,"",SUM($C$231:$G$231)),IFERROR(INDEX($C$231:$G$231,MATCH($D$2,$C$219:$G$219,0)),""))</f>
        <v/>
      </c>
      <c r="P23" s="32">
        <f>IF($B23="","",IF($B$2="Todos",SUMIFS(BD!$O$3:$O$5001,BD!$A$3:$A$5001,$B23),SUMIFS(BD!$O$3:$O$5001,BD!$A$3:$A$5001,$B23,BD!$B$3:$B$5001,$D$2)))</f>
        <v>0</v>
      </c>
      <c r="Q23" s="32">
        <f>IF($B23="","",IF($B$2="Todos",SUMIFS(BD!$P$3:$P$5001,BD!$A$3:$A$5001,$B23),SUMIFS(BD!$P$3:$P$5001,BD!$A$3:$A$5001,$B23,BD!$B$3:$B$5001,$D$2)))</f>
        <v>0</v>
      </c>
      <c r="R23" s="32">
        <f>IF($B23="","",IF($B$2="Todos",SUMIFS(BD!$Q$3:$Q$5001,BD!$A$3:$A$5001,$B23),SUMIFS(BD!$Q$3:$Q$5001,BD!$A$3:$A$5001,$B23,BD!$B$3:$B$5001,$D$2)))</f>
        <v>0</v>
      </c>
      <c r="S23" s="32">
        <f>IF($B23="","",IF($B$2="Todos",SUMIFS(BD!$R$3:$R$5001,BD!$A$3:$A$5001,$B23),SUMIFS(BD!$R$3:$R$5001,BD!$A$3:$A$5001,$B23,BD!$B$3:$B$5001,$D$2)))</f>
        <v>0</v>
      </c>
      <c r="T23" s="32">
        <f>IF($B23="","",IF($B$2="Todos",SUMIFS(BD!$S$3:$S$5001,BD!$A$3:$A$5001,$B23),SUMIFS(BD!$S$3:$S$5001,BD!$A$3:$A$5001,$B23,BD!$B$3:$B$5001,$D$2)))</f>
        <v>0</v>
      </c>
      <c r="U23" s="32">
        <f>IF($B23="","",IF($B$2="Todos",SUMIFS(BD!$T$3:$T$5001,BD!$A$3:$A$5001,$B23),SUMIFS(BD!$T$3:$T$5001,BD!$A$3:$A$5001,$B23,BD!$B$3:$B$5001,$D$2)))</f>
        <v>0</v>
      </c>
      <c r="V23" s="32">
        <f>IF($B23="","",IF($B$2="Todos",SUMIFS(BD!$U$3:$U$5001,BD!$A$3:$A$5001,$B23),SUMIFS(BD!$U$3:$U$5001,BD!$A$3:$A$5001,$B23,BD!$B$3:$B$5001,$D$2)))</f>
        <v>0</v>
      </c>
      <c r="W23" s="49">
        <f>$B$5</f>
        <v>0.7</v>
      </c>
      <c r="X23" s="49">
        <f>$B$6</f>
        <v>0.9</v>
      </c>
      <c r="AL23" s="29" t="inlineStr">
        <is>
          <t xml:space="preserve">DEZEMBRO · 2026</t>
        </is>
      </c>
    </row>
    <row r="24">
      <c r="A24" s="28">
        <v>13</v>
      </c>
      <c r="B24" s="45">
        <f>IF($A24&lt;=DAY($D$7),$C$7+$A24-1,"")</f>
        <v>46308</v>
      </c>
      <c r="C24" s="32">
        <f>IF($B24="","",IF($B$2="Todos",SUMIFS(BD!$C$3:$C$5001,BD!$A$3:$A$5001,$B24),SUMIFS(BD!$C$3:$C$5001,BD!$A$3:$A$5001,$B24,BD!$B$3:$B$5001,$D$2)))</f>
        <v>0</v>
      </c>
      <c r="D24" s="32">
        <f>IF($B24="","",IF($B$2="Todos",SUMIFS(BD!$D$3:$D$5001,BD!$A$3:$A$5001,$B24),SUMIFS(BD!$D$3:$D$5001,BD!$A$3:$A$5001,$B24,BD!$B$3:$B$5001,$D$2)))</f>
        <v>0</v>
      </c>
      <c r="E24" s="46">
        <f>IF($B24="","",IF($B$2="Todos",SUMIFS(BD!$E$3:$E$5001,BD!$A$3:$A$5001,$B24),SUMIFS(BD!$E$3:$E$5001,BD!$A$3:$A$5001,$B24,BD!$B$3:$B$5001,$D$2)))</f>
        <v>0</v>
      </c>
      <c r="F24" s="32">
        <f>IF($B24="","",IF($B$2="Todos",SUMIFS(BD!$F$3:$F$5001,BD!$A$3:$A$5001,$B24),SUMIFS(BD!$F$3:$F$5001,BD!$A$3:$A$5001,$B24,BD!$B$3:$B$5001,$D$2)))</f>
        <v>0</v>
      </c>
      <c r="G24" s="32">
        <f>IF($B24="","",IF($B$2="Todos",SUMIFS(BD!$G$3:$G$5001,BD!$A$3:$A$5001,$B24),SUMIFS(BD!$G$3:$G$5001,BD!$A$3:$A$5001,$B24,BD!$B$3:$B$5001,$D$2)))</f>
        <v>0</v>
      </c>
      <c r="H24" s="46">
        <f>IF($B24="","",IF($B$2="Todos",SUMIFS(BD!$H$3:$H$5001,BD!$A$3:$A$5001,$B24),SUMIFS(BD!$H$3:$H$5001,BD!$A$3:$A$5001,$B24,BD!$B$3:$B$5001,$D$2)))</f>
        <v>0</v>
      </c>
      <c r="I24" s="32">
        <f>IF($B24="","",IF($B$2="Todos",SUMIFS(BD!$I$3:$I$5001,BD!$A$3:$A$5001,$B24),SUMIFS(BD!$I$3:$I$5001,BD!$A$3:$A$5001,$B24,BD!$B$3:$B$5001,$D$2)))</f>
        <v>0</v>
      </c>
      <c r="J24" s="32">
        <f>IF($B24="","",IF($B$2="Todos",SUMIFS(BD!$J$3:$J$5001,BD!$A$3:$A$5001,$B24),SUMIFS(BD!$J$3:$J$5001,BD!$A$3:$A$5001,$B24,BD!$B$3:$B$5001,$D$2)))</f>
        <v>0</v>
      </c>
      <c r="K24" s="32" t="str">
        <f>IF($B$2="Todos",IF(COUNT($C$127:$G$127)=0,"",SUM($C$127:$G$127)),IFERROR(INDEX($C$127:$G$127,MATCH($D$2,$C$114:$G$114,0)),""))</f>
        <v/>
      </c>
      <c r="L24" s="47" t="str">
        <f>IF(M24="","",IF($B$2="Todos",IF($B$4&gt;0,$B$4,IF($B$2="Todos",IF(COUNT($C$197:$G$197)=0,"",SUM($C$197:$G$197)),IFERROR(INDEX($C$197:$G$197,MATCH($D$2,$C$184:$G$184,0)),""))),IFERROR(INDEX($C$197:$G$197,MATCH($D$2,$C$184:$G$184,0)),"")))</f>
        <v/>
      </c>
      <c r="M24" s="32" t="str">
        <f>IF($B$2="Todos",IF(COUNT($C$162:$G$162)=0,"",SUM($C$162:$G$162)),IFERROR(INDEX($C$162:$G$162,MATCH($D$2,$C$149:$G$149,0)),""))</f>
        <v/>
      </c>
      <c r="N24" s="48" t="str">
        <f>IF(AND(ISNUMBER(M24),ISNUMBER(L24)),IF(L24&gt;0,M24/L24,""),"")</f>
        <v/>
      </c>
      <c r="O24" s="32" t="str">
        <f>IF($B$2="Todos",IF(COUNT($C$232:$G$232)=0,"",SUM($C$232:$G$232)),IFERROR(INDEX($C$232:$G$232,MATCH($D$2,$C$219:$G$219,0)),""))</f>
        <v/>
      </c>
      <c r="P24" s="32">
        <f>IF($B24="","",IF($B$2="Todos",SUMIFS(BD!$O$3:$O$5001,BD!$A$3:$A$5001,$B24),SUMIFS(BD!$O$3:$O$5001,BD!$A$3:$A$5001,$B24,BD!$B$3:$B$5001,$D$2)))</f>
        <v>0</v>
      </c>
      <c r="Q24" s="32">
        <f>IF($B24="","",IF($B$2="Todos",SUMIFS(BD!$P$3:$P$5001,BD!$A$3:$A$5001,$B24),SUMIFS(BD!$P$3:$P$5001,BD!$A$3:$A$5001,$B24,BD!$B$3:$B$5001,$D$2)))</f>
        <v>0</v>
      </c>
      <c r="R24" s="32">
        <f>IF($B24="","",IF($B$2="Todos",SUMIFS(BD!$Q$3:$Q$5001,BD!$A$3:$A$5001,$B24),SUMIFS(BD!$Q$3:$Q$5001,BD!$A$3:$A$5001,$B24,BD!$B$3:$B$5001,$D$2)))</f>
        <v>0</v>
      </c>
      <c r="S24" s="32">
        <f>IF($B24="","",IF($B$2="Todos",SUMIFS(BD!$R$3:$R$5001,BD!$A$3:$A$5001,$B24),SUMIFS(BD!$R$3:$R$5001,BD!$A$3:$A$5001,$B24,BD!$B$3:$B$5001,$D$2)))</f>
        <v>0</v>
      </c>
      <c r="T24" s="32">
        <f>IF($B24="","",IF($B$2="Todos",SUMIFS(BD!$S$3:$S$5001,BD!$A$3:$A$5001,$B24),SUMIFS(BD!$S$3:$S$5001,BD!$A$3:$A$5001,$B24,BD!$B$3:$B$5001,$D$2)))</f>
        <v>0</v>
      </c>
      <c r="U24" s="32">
        <f>IF($B24="","",IF($B$2="Todos",SUMIFS(BD!$T$3:$T$5001,BD!$A$3:$A$5001,$B24),SUMIFS(BD!$T$3:$T$5001,BD!$A$3:$A$5001,$B24,BD!$B$3:$B$5001,$D$2)))</f>
        <v>0</v>
      </c>
      <c r="V24" s="32">
        <f>IF($B24="","",IF($B$2="Todos",SUMIFS(BD!$U$3:$U$5001,BD!$A$3:$A$5001,$B24),SUMIFS(BD!$U$3:$U$5001,BD!$A$3:$A$5001,$B24,BD!$B$3:$B$5001,$D$2)))</f>
        <v>0</v>
      </c>
      <c r="W24" s="49">
        <f>$B$5</f>
        <v>0.7</v>
      </c>
      <c r="X24" s="49">
        <f>$B$6</f>
        <v>0.9</v>
      </c>
    </row>
    <row r="25">
      <c r="A25" s="28">
        <v>14</v>
      </c>
      <c r="B25" s="45">
        <f>IF($A25&lt;=DAY($D$7),$C$7+$A25-1,"")</f>
        <v>46309</v>
      </c>
      <c r="C25" s="32">
        <f>IF($B25="","",IF($B$2="Todos",SUMIFS(BD!$C$3:$C$5001,BD!$A$3:$A$5001,$B25),SUMIFS(BD!$C$3:$C$5001,BD!$A$3:$A$5001,$B25,BD!$B$3:$B$5001,$D$2)))</f>
        <v>0</v>
      </c>
      <c r="D25" s="32">
        <f>IF($B25="","",IF($B$2="Todos",SUMIFS(BD!$D$3:$D$5001,BD!$A$3:$A$5001,$B25),SUMIFS(BD!$D$3:$D$5001,BD!$A$3:$A$5001,$B25,BD!$B$3:$B$5001,$D$2)))</f>
        <v>0</v>
      </c>
      <c r="E25" s="46">
        <f>IF($B25="","",IF($B$2="Todos",SUMIFS(BD!$E$3:$E$5001,BD!$A$3:$A$5001,$B25),SUMIFS(BD!$E$3:$E$5001,BD!$A$3:$A$5001,$B25,BD!$B$3:$B$5001,$D$2)))</f>
        <v>0</v>
      </c>
      <c r="F25" s="32">
        <f>IF($B25="","",IF($B$2="Todos",SUMIFS(BD!$F$3:$F$5001,BD!$A$3:$A$5001,$B25),SUMIFS(BD!$F$3:$F$5001,BD!$A$3:$A$5001,$B25,BD!$B$3:$B$5001,$D$2)))</f>
        <v>0</v>
      </c>
      <c r="G25" s="32">
        <f>IF($B25="","",IF($B$2="Todos",SUMIFS(BD!$G$3:$G$5001,BD!$A$3:$A$5001,$B25),SUMIFS(BD!$G$3:$G$5001,BD!$A$3:$A$5001,$B25,BD!$B$3:$B$5001,$D$2)))</f>
        <v>0</v>
      </c>
      <c r="H25" s="46">
        <f>IF($B25="","",IF($B$2="Todos",SUMIFS(BD!$H$3:$H$5001,BD!$A$3:$A$5001,$B25),SUMIFS(BD!$H$3:$H$5001,BD!$A$3:$A$5001,$B25,BD!$B$3:$B$5001,$D$2)))</f>
        <v>0</v>
      </c>
      <c r="I25" s="32">
        <f>IF($B25="","",IF($B$2="Todos",SUMIFS(BD!$I$3:$I$5001,BD!$A$3:$A$5001,$B25),SUMIFS(BD!$I$3:$I$5001,BD!$A$3:$A$5001,$B25,BD!$B$3:$B$5001,$D$2)))</f>
        <v>0</v>
      </c>
      <c r="J25" s="32">
        <f>IF($B25="","",IF($B$2="Todos",SUMIFS(BD!$J$3:$J$5001,BD!$A$3:$A$5001,$B25),SUMIFS(BD!$J$3:$J$5001,BD!$A$3:$A$5001,$B25,BD!$B$3:$B$5001,$D$2)))</f>
        <v>0</v>
      </c>
      <c r="K25" s="32" t="str">
        <f>IF($B$2="Todos",IF(COUNT($C$128:$G$128)=0,"",SUM($C$128:$G$128)),IFERROR(INDEX($C$128:$G$128,MATCH($D$2,$C$114:$G$114,0)),""))</f>
        <v/>
      </c>
      <c r="L25" s="47" t="str">
        <f>IF(M25="","",IF($B$2="Todos",IF($B$4&gt;0,$B$4,IF($B$2="Todos",IF(COUNT($C$198:$G$198)=0,"",SUM($C$198:$G$198)),IFERROR(INDEX($C$198:$G$198,MATCH($D$2,$C$184:$G$184,0)),""))),IFERROR(INDEX($C$198:$G$198,MATCH($D$2,$C$184:$G$184,0)),"")))</f>
        <v/>
      </c>
      <c r="M25" s="32" t="str">
        <f>IF($B$2="Todos",IF(COUNT($C$163:$G$163)=0,"",SUM($C$163:$G$163)),IFERROR(INDEX($C$163:$G$163,MATCH($D$2,$C$149:$G$149,0)),""))</f>
        <v/>
      </c>
      <c r="N25" s="48" t="str">
        <f>IF(AND(ISNUMBER(M25),ISNUMBER(L25)),IF(L25&gt;0,M25/L25,""),"")</f>
        <v/>
      </c>
      <c r="O25" s="32" t="str">
        <f>IF($B$2="Todos",IF(COUNT($C$233:$G$233)=0,"",SUM($C$233:$G$233)),IFERROR(INDEX($C$233:$G$233,MATCH($D$2,$C$219:$G$219,0)),""))</f>
        <v/>
      </c>
      <c r="P25" s="32">
        <f>IF($B25="","",IF($B$2="Todos",SUMIFS(BD!$O$3:$O$5001,BD!$A$3:$A$5001,$B25),SUMIFS(BD!$O$3:$O$5001,BD!$A$3:$A$5001,$B25,BD!$B$3:$B$5001,$D$2)))</f>
        <v>0</v>
      </c>
      <c r="Q25" s="32">
        <f>IF($B25="","",IF($B$2="Todos",SUMIFS(BD!$P$3:$P$5001,BD!$A$3:$A$5001,$B25),SUMIFS(BD!$P$3:$P$5001,BD!$A$3:$A$5001,$B25,BD!$B$3:$B$5001,$D$2)))</f>
        <v>0</v>
      </c>
      <c r="R25" s="32">
        <f>IF($B25="","",IF($B$2="Todos",SUMIFS(BD!$Q$3:$Q$5001,BD!$A$3:$A$5001,$B25),SUMIFS(BD!$Q$3:$Q$5001,BD!$A$3:$A$5001,$B25,BD!$B$3:$B$5001,$D$2)))</f>
        <v>0</v>
      </c>
      <c r="S25" s="32">
        <f>IF($B25="","",IF($B$2="Todos",SUMIFS(BD!$R$3:$R$5001,BD!$A$3:$A$5001,$B25),SUMIFS(BD!$R$3:$R$5001,BD!$A$3:$A$5001,$B25,BD!$B$3:$B$5001,$D$2)))</f>
        <v>0</v>
      </c>
      <c r="T25" s="32">
        <f>IF($B25="","",IF($B$2="Todos",SUMIFS(BD!$S$3:$S$5001,BD!$A$3:$A$5001,$B25),SUMIFS(BD!$S$3:$S$5001,BD!$A$3:$A$5001,$B25,BD!$B$3:$B$5001,$D$2)))</f>
        <v>0</v>
      </c>
      <c r="U25" s="32">
        <f>IF($B25="","",IF($B$2="Todos",SUMIFS(BD!$T$3:$T$5001,BD!$A$3:$A$5001,$B25),SUMIFS(BD!$T$3:$T$5001,BD!$A$3:$A$5001,$B25,BD!$B$3:$B$5001,$D$2)))</f>
        <v>0</v>
      </c>
      <c r="V25" s="32">
        <f>IF($B25="","",IF($B$2="Todos",SUMIFS(BD!$U$3:$U$5001,BD!$A$3:$A$5001,$B25),SUMIFS(BD!$U$3:$U$5001,BD!$A$3:$A$5001,$B25,BD!$B$3:$B$5001,$D$2)))</f>
        <v>0</v>
      </c>
      <c r="W25" s="49">
        <f>$B$5</f>
        <v>0.7</v>
      </c>
      <c r="X25" s="49">
        <f>$B$6</f>
        <v>0.9</v>
      </c>
    </row>
    <row r="26">
      <c r="A26" s="28">
        <v>15</v>
      </c>
      <c r="B26" s="45">
        <f>IF($A26&lt;=DAY($D$7),$C$7+$A26-1,"")</f>
        <v>46310</v>
      </c>
      <c r="C26" s="32">
        <f>IF($B26="","",IF($B$2="Todos",SUMIFS(BD!$C$3:$C$5001,BD!$A$3:$A$5001,$B26),SUMIFS(BD!$C$3:$C$5001,BD!$A$3:$A$5001,$B26,BD!$B$3:$B$5001,$D$2)))</f>
        <v>0</v>
      </c>
      <c r="D26" s="32">
        <f>IF($B26="","",IF($B$2="Todos",SUMIFS(BD!$D$3:$D$5001,BD!$A$3:$A$5001,$B26),SUMIFS(BD!$D$3:$D$5001,BD!$A$3:$A$5001,$B26,BD!$B$3:$B$5001,$D$2)))</f>
        <v>0</v>
      </c>
      <c r="E26" s="46">
        <f>IF($B26="","",IF($B$2="Todos",SUMIFS(BD!$E$3:$E$5001,BD!$A$3:$A$5001,$B26),SUMIFS(BD!$E$3:$E$5001,BD!$A$3:$A$5001,$B26,BD!$B$3:$B$5001,$D$2)))</f>
        <v>0</v>
      </c>
      <c r="F26" s="32">
        <f>IF($B26="","",IF($B$2="Todos",SUMIFS(BD!$F$3:$F$5001,BD!$A$3:$A$5001,$B26),SUMIFS(BD!$F$3:$F$5001,BD!$A$3:$A$5001,$B26,BD!$B$3:$B$5001,$D$2)))</f>
        <v>0</v>
      </c>
      <c r="G26" s="32">
        <f>IF($B26="","",IF($B$2="Todos",SUMIFS(BD!$G$3:$G$5001,BD!$A$3:$A$5001,$B26),SUMIFS(BD!$G$3:$G$5001,BD!$A$3:$A$5001,$B26,BD!$B$3:$B$5001,$D$2)))</f>
        <v>0</v>
      </c>
      <c r="H26" s="46">
        <f>IF($B26="","",IF($B$2="Todos",SUMIFS(BD!$H$3:$H$5001,BD!$A$3:$A$5001,$B26),SUMIFS(BD!$H$3:$H$5001,BD!$A$3:$A$5001,$B26,BD!$B$3:$B$5001,$D$2)))</f>
        <v>0</v>
      </c>
      <c r="I26" s="32">
        <f>IF($B26="","",IF($B$2="Todos",SUMIFS(BD!$I$3:$I$5001,BD!$A$3:$A$5001,$B26),SUMIFS(BD!$I$3:$I$5001,BD!$A$3:$A$5001,$B26,BD!$B$3:$B$5001,$D$2)))</f>
        <v>0</v>
      </c>
      <c r="J26" s="32">
        <f>IF($B26="","",IF($B$2="Todos",SUMIFS(BD!$J$3:$J$5001,BD!$A$3:$A$5001,$B26),SUMIFS(BD!$J$3:$J$5001,BD!$A$3:$A$5001,$B26,BD!$B$3:$B$5001,$D$2)))</f>
        <v>0</v>
      </c>
      <c r="K26" s="32" t="str">
        <f>IF($B$2="Todos",IF(COUNT($C$129:$G$129)=0,"",SUM($C$129:$G$129)),IFERROR(INDEX($C$129:$G$129,MATCH($D$2,$C$114:$G$114,0)),""))</f>
        <v/>
      </c>
      <c r="L26" s="47" t="str">
        <f>IF(M26="","",IF($B$2="Todos",IF($B$4&gt;0,$B$4,IF($B$2="Todos",IF(COUNT($C$199:$G$199)=0,"",SUM($C$199:$G$199)),IFERROR(INDEX($C$199:$G$199,MATCH($D$2,$C$184:$G$184,0)),""))),IFERROR(INDEX($C$199:$G$199,MATCH($D$2,$C$184:$G$184,0)),"")))</f>
        <v/>
      </c>
      <c r="M26" s="32" t="str">
        <f>IF($B$2="Todos",IF(COUNT($C$164:$G$164)=0,"",SUM($C$164:$G$164)),IFERROR(INDEX($C$164:$G$164,MATCH($D$2,$C$149:$G$149,0)),""))</f>
        <v/>
      </c>
      <c r="N26" s="48" t="str">
        <f>IF(AND(ISNUMBER(M26),ISNUMBER(L26)),IF(L26&gt;0,M26/L26,""),"")</f>
        <v/>
      </c>
      <c r="O26" s="32" t="str">
        <f>IF($B$2="Todos",IF(COUNT($C$234:$G$234)=0,"",SUM($C$234:$G$234)),IFERROR(INDEX($C$234:$G$234,MATCH($D$2,$C$219:$G$219,0)),""))</f>
        <v/>
      </c>
      <c r="P26" s="32">
        <f>IF($B26="","",IF($B$2="Todos",SUMIFS(BD!$O$3:$O$5001,BD!$A$3:$A$5001,$B26),SUMIFS(BD!$O$3:$O$5001,BD!$A$3:$A$5001,$B26,BD!$B$3:$B$5001,$D$2)))</f>
        <v>0</v>
      </c>
      <c r="Q26" s="32">
        <f>IF($B26="","",IF($B$2="Todos",SUMIFS(BD!$P$3:$P$5001,BD!$A$3:$A$5001,$B26),SUMIFS(BD!$P$3:$P$5001,BD!$A$3:$A$5001,$B26,BD!$B$3:$B$5001,$D$2)))</f>
        <v>0</v>
      </c>
      <c r="R26" s="32">
        <f>IF($B26="","",IF($B$2="Todos",SUMIFS(BD!$Q$3:$Q$5001,BD!$A$3:$A$5001,$B26),SUMIFS(BD!$Q$3:$Q$5001,BD!$A$3:$A$5001,$B26,BD!$B$3:$B$5001,$D$2)))</f>
        <v>0</v>
      </c>
      <c r="S26" s="32">
        <f>IF($B26="","",IF($B$2="Todos",SUMIFS(BD!$R$3:$R$5001,BD!$A$3:$A$5001,$B26),SUMIFS(BD!$R$3:$R$5001,BD!$A$3:$A$5001,$B26,BD!$B$3:$B$5001,$D$2)))</f>
        <v>0</v>
      </c>
      <c r="T26" s="32">
        <f>IF($B26="","",IF($B$2="Todos",SUMIFS(BD!$S$3:$S$5001,BD!$A$3:$A$5001,$B26),SUMIFS(BD!$S$3:$S$5001,BD!$A$3:$A$5001,$B26,BD!$B$3:$B$5001,$D$2)))</f>
        <v>0</v>
      </c>
      <c r="U26" s="32">
        <f>IF($B26="","",IF($B$2="Todos",SUMIFS(BD!$T$3:$T$5001,BD!$A$3:$A$5001,$B26),SUMIFS(BD!$T$3:$T$5001,BD!$A$3:$A$5001,$B26,BD!$B$3:$B$5001,$D$2)))</f>
        <v>0</v>
      </c>
      <c r="V26" s="32">
        <f>IF($B26="","",IF($B$2="Todos",SUMIFS(BD!$U$3:$U$5001,BD!$A$3:$A$5001,$B26),SUMIFS(BD!$U$3:$U$5001,BD!$A$3:$A$5001,$B26,BD!$B$3:$B$5001,$D$2)))</f>
        <v>0</v>
      </c>
      <c r="W26" s="49">
        <f>$B$5</f>
        <v>0.7</v>
      </c>
      <c r="X26" s="49">
        <f>$B$6</f>
        <v>0.9</v>
      </c>
    </row>
    <row r="27">
      <c r="A27" s="28">
        <v>16</v>
      </c>
      <c r="B27" s="45">
        <f>IF($A27&lt;=DAY($D$7),$C$7+$A27-1,"")</f>
        <v>46311</v>
      </c>
      <c r="C27" s="32">
        <f>IF($B27="","",IF($B$2="Todos",SUMIFS(BD!$C$3:$C$5001,BD!$A$3:$A$5001,$B27),SUMIFS(BD!$C$3:$C$5001,BD!$A$3:$A$5001,$B27,BD!$B$3:$B$5001,$D$2)))</f>
        <v>0</v>
      </c>
      <c r="D27" s="32">
        <f>IF($B27="","",IF($B$2="Todos",SUMIFS(BD!$D$3:$D$5001,BD!$A$3:$A$5001,$B27),SUMIFS(BD!$D$3:$D$5001,BD!$A$3:$A$5001,$B27,BD!$B$3:$B$5001,$D$2)))</f>
        <v>0</v>
      </c>
      <c r="E27" s="46">
        <f>IF($B27="","",IF($B$2="Todos",SUMIFS(BD!$E$3:$E$5001,BD!$A$3:$A$5001,$B27),SUMIFS(BD!$E$3:$E$5001,BD!$A$3:$A$5001,$B27,BD!$B$3:$B$5001,$D$2)))</f>
        <v>0</v>
      </c>
      <c r="F27" s="32">
        <f>IF($B27="","",IF($B$2="Todos",SUMIFS(BD!$F$3:$F$5001,BD!$A$3:$A$5001,$B27),SUMIFS(BD!$F$3:$F$5001,BD!$A$3:$A$5001,$B27,BD!$B$3:$B$5001,$D$2)))</f>
        <v>0</v>
      </c>
      <c r="G27" s="32">
        <f>IF($B27="","",IF($B$2="Todos",SUMIFS(BD!$G$3:$G$5001,BD!$A$3:$A$5001,$B27),SUMIFS(BD!$G$3:$G$5001,BD!$A$3:$A$5001,$B27,BD!$B$3:$B$5001,$D$2)))</f>
        <v>0</v>
      </c>
      <c r="H27" s="46">
        <f>IF($B27="","",IF($B$2="Todos",SUMIFS(BD!$H$3:$H$5001,BD!$A$3:$A$5001,$B27),SUMIFS(BD!$H$3:$H$5001,BD!$A$3:$A$5001,$B27,BD!$B$3:$B$5001,$D$2)))</f>
        <v>0</v>
      </c>
      <c r="I27" s="32">
        <f>IF($B27="","",IF($B$2="Todos",SUMIFS(BD!$I$3:$I$5001,BD!$A$3:$A$5001,$B27),SUMIFS(BD!$I$3:$I$5001,BD!$A$3:$A$5001,$B27,BD!$B$3:$B$5001,$D$2)))</f>
        <v>0</v>
      </c>
      <c r="J27" s="32">
        <f>IF($B27="","",IF($B$2="Todos",SUMIFS(BD!$J$3:$J$5001,BD!$A$3:$A$5001,$B27),SUMIFS(BD!$J$3:$J$5001,BD!$A$3:$A$5001,$B27,BD!$B$3:$B$5001,$D$2)))</f>
        <v>0</v>
      </c>
      <c r="K27" s="32" t="str">
        <f>IF($B$2="Todos",IF(COUNT($C$130:$G$130)=0,"",SUM($C$130:$G$130)),IFERROR(INDEX($C$130:$G$130,MATCH($D$2,$C$114:$G$114,0)),""))</f>
        <v/>
      </c>
      <c r="L27" s="47" t="str">
        <f>IF(M27="","",IF($B$2="Todos",IF($B$4&gt;0,$B$4,IF($B$2="Todos",IF(COUNT($C$200:$G$200)=0,"",SUM($C$200:$G$200)),IFERROR(INDEX($C$200:$G$200,MATCH($D$2,$C$184:$G$184,0)),""))),IFERROR(INDEX($C$200:$G$200,MATCH($D$2,$C$184:$G$184,0)),"")))</f>
        <v/>
      </c>
      <c r="M27" s="32" t="str">
        <f>IF($B$2="Todos",IF(COUNT($C$165:$G$165)=0,"",SUM($C$165:$G$165)),IFERROR(INDEX($C$165:$G$165,MATCH($D$2,$C$149:$G$149,0)),""))</f>
        <v/>
      </c>
      <c r="N27" s="48" t="str">
        <f>IF(AND(ISNUMBER(M27),ISNUMBER(L27)),IF(L27&gt;0,M27/L27,""),"")</f>
        <v/>
      </c>
      <c r="O27" s="32" t="str">
        <f>IF($B$2="Todos",IF(COUNT($C$235:$G$235)=0,"",SUM($C$235:$G$235)),IFERROR(INDEX($C$235:$G$235,MATCH($D$2,$C$219:$G$219,0)),""))</f>
        <v/>
      </c>
      <c r="P27" s="32">
        <f>IF($B27="","",IF($B$2="Todos",SUMIFS(BD!$O$3:$O$5001,BD!$A$3:$A$5001,$B27),SUMIFS(BD!$O$3:$O$5001,BD!$A$3:$A$5001,$B27,BD!$B$3:$B$5001,$D$2)))</f>
        <v>0</v>
      </c>
      <c r="Q27" s="32">
        <f>IF($B27="","",IF($B$2="Todos",SUMIFS(BD!$P$3:$P$5001,BD!$A$3:$A$5001,$B27),SUMIFS(BD!$P$3:$P$5001,BD!$A$3:$A$5001,$B27,BD!$B$3:$B$5001,$D$2)))</f>
        <v>0</v>
      </c>
      <c r="R27" s="32">
        <f>IF($B27="","",IF($B$2="Todos",SUMIFS(BD!$Q$3:$Q$5001,BD!$A$3:$A$5001,$B27),SUMIFS(BD!$Q$3:$Q$5001,BD!$A$3:$A$5001,$B27,BD!$B$3:$B$5001,$D$2)))</f>
        <v>0</v>
      </c>
      <c r="S27" s="32">
        <f>IF($B27="","",IF($B$2="Todos",SUMIFS(BD!$R$3:$R$5001,BD!$A$3:$A$5001,$B27),SUMIFS(BD!$R$3:$R$5001,BD!$A$3:$A$5001,$B27,BD!$B$3:$B$5001,$D$2)))</f>
        <v>0</v>
      </c>
      <c r="T27" s="32">
        <f>IF($B27="","",IF($B$2="Todos",SUMIFS(BD!$S$3:$S$5001,BD!$A$3:$A$5001,$B27),SUMIFS(BD!$S$3:$S$5001,BD!$A$3:$A$5001,$B27,BD!$B$3:$B$5001,$D$2)))</f>
        <v>0</v>
      </c>
      <c r="U27" s="32">
        <f>IF($B27="","",IF($B$2="Todos",SUMIFS(BD!$T$3:$T$5001,BD!$A$3:$A$5001,$B27),SUMIFS(BD!$T$3:$T$5001,BD!$A$3:$A$5001,$B27,BD!$B$3:$B$5001,$D$2)))</f>
        <v>0</v>
      </c>
      <c r="V27" s="32">
        <f>IF($B27="","",IF($B$2="Todos",SUMIFS(BD!$U$3:$U$5001,BD!$A$3:$A$5001,$B27),SUMIFS(BD!$U$3:$U$5001,BD!$A$3:$A$5001,$B27,BD!$B$3:$B$5001,$D$2)))</f>
        <v>0</v>
      </c>
      <c r="W27" s="49">
        <f>$B$5</f>
        <v>0.7</v>
      </c>
      <c r="X27" s="49">
        <f>$B$6</f>
        <v>0.9</v>
      </c>
    </row>
    <row r="28">
      <c r="A28" s="28">
        <v>17</v>
      </c>
      <c r="B28" s="45">
        <f>IF($A28&lt;=DAY($D$7),$C$7+$A28-1,"")</f>
        <v>46312</v>
      </c>
      <c r="C28" s="32">
        <f>IF($B28="","",IF($B$2="Todos",SUMIFS(BD!$C$3:$C$5001,BD!$A$3:$A$5001,$B28),SUMIFS(BD!$C$3:$C$5001,BD!$A$3:$A$5001,$B28,BD!$B$3:$B$5001,$D$2)))</f>
        <v>0</v>
      </c>
      <c r="D28" s="32">
        <f>IF($B28="","",IF($B$2="Todos",SUMIFS(BD!$D$3:$D$5001,BD!$A$3:$A$5001,$B28),SUMIFS(BD!$D$3:$D$5001,BD!$A$3:$A$5001,$B28,BD!$B$3:$B$5001,$D$2)))</f>
        <v>0</v>
      </c>
      <c r="E28" s="46">
        <f>IF($B28="","",IF($B$2="Todos",SUMIFS(BD!$E$3:$E$5001,BD!$A$3:$A$5001,$B28),SUMIFS(BD!$E$3:$E$5001,BD!$A$3:$A$5001,$B28,BD!$B$3:$B$5001,$D$2)))</f>
        <v>0</v>
      </c>
      <c r="F28" s="32">
        <f>IF($B28="","",IF($B$2="Todos",SUMIFS(BD!$F$3:$F$5001,BD!$A$3:$A$5001,$B28),SUMIFS(BD!$F$3:$F$5001,BD!$A$3:$A$5001,$B28,BD!$B$3:$B$5001,$D$2)))</f>
        <v>0</v>
      </c>
      <c r="G28" s="32">
        <f>IF($B28="","",IF($B$2="Todos",SUMIFS(BD!$G$3:$G$5001,BD!$A$3:$A$5001,$B28),SUMIFS(BD!$G$3:$G$5001,BD!$A$3:$A$5001,$B28,BD!$B$3:$B$5001,$D$2)))</f>
        <v>0</v>
      </c>
      <c r="H28" s="46">
        <f>IF($B28="","",IF($B$2="Todos",SUMIFS(BD!$H$3:$H$5001,BD!$A$3:$A$5001,$B28),SUMIFS(BD!$H$3:$H$5001,BD!$A$3:$A$5001,$B28,BD!$B$3:$B$5001,$D$2)))</f>
        <v>0</v>
      </c>
      <c r="I28" s="32">
        <f>IF($B28="","",IF($B$2="Todos",SUMIFS(BD!$I$3:$I$5001,BD!$A$3:$A$5001,$B28),SUMIFS(BD!$I$3:$I$5001,BD!$A$3:$A$5001,$B28,BD!$B$3:$B$5001,$D$2)))</f>
        <v>0</v>
      </c>
      <c r="J28" s="32">
        <f>IF($B28="","",IF($B$2="Todos",SUMIFS(BD!$J$3:$J$5001,BD!$A$3:$A$5001,$B28),SUMIFS(BD!$J$3:$J$5001,BD!$A$3:$A$5001,$B28,BD!$B$3:$B$5001,$D$2)))</f>
        <v>0</v>
      </c>
      <c r="K28" s="32" t="str">
        <f>IF($B$2="Todos",IF(COUNT($C$131:$G$131)=0,"",SUM($C$131:$G$131)),IFERROR(INDEX($C$131:$G$131,MATCH($D$2,$C$114:$G$114,0)),""))</f>
        <v/>
      </c>
      <c r="L28" s="47" t="str">
        <f>IF(M28="","",IF($B$2="Todos",IF($B$4&gt;0,$B$4,IF($B$2="Todos",IF(COUNT($C$201:$G$201)=0,"",SUM($C$201:$G$201)),IFERROR(INDEX($C$201:$G$201,MATCH($D$2,$C$184:$G$184,0)),""))),IFERROR(INDEX($C$201:$G$201,MATCH($D$2,$C$184:$G$184,0)),"")))</f>
        <v/>
      </c>
      <c r="M28" s="32" t="str">
        <f>IF($B$2="Todos",IF(COUNT($C$166:$G$166)=0,"",SUM($C$166:$G$166)),IFERROR(INDEX($C$166:$G$166,MATCH($D$2,$C$149:$G$149,0)),""))</f>
        <v/>
      </c>
      <c r="N28" s="48" t="str">
        <f>IF(AND(ISNUMBER(M28),ISNUMBER(L28)),IF(L28&gt;0,M28/L28,""),"")</f>
        <v/>
      </c>
      <c r="O28" s="32" t="str">
        <f>IF($B$2="Todos",IF(COUNT($C$236:$G$236)=0,"",SUM($C$236:$G$236)),IFERROR(INDEX($C$236:$G$236,MATCH($D$2,$C$219:$G$219,0)),""))</f>
        <v/>
      </c>
      <c r="P28" s="32">
        <f>IF($B28="","",IF($B$2="Todos",SUMIFS(BD!$O$3:$O$5001,BD!$A$3:$A$5001,$B28),SUMIFS(BD!$O$3:$O$5001,BD!$A$3:$A$5001,$B28,BD!$B$3:$B$5001,$D$2)))</f>
        <v>0</v>
      </c>
      <c r="Q28" s="32">
        <f>IF($B28="","",IF($B$2="Todos",SUMIFS(BD!$P$3:$P$5001,BD!$A$3:$A$5001,$B28),SUMIFS(BD!$P$3:$P$5001,BD!$A$3:$A$5001,$B28,BD!$B$3:$B$5001,$D$2)))</f>
        <v>0</v>
      </c>
      <c r="R28" s="32">
        <f>IF($B28="","",IF($B$2="Todos",SUMIFS(BD!$Q$3:$Q$5001,BD!$A$3:$A$5001,$B28),SUMIFS(BD!$Q$3:$Q$5001,BD!$A$3:$A$5001,$B28,BD!$B$3:$B$5001,$D$2)))</f>
        <v>0</v>
      </c>
      <c r="S28" s="32">
        <f>IF($B28="","",IF($B$2="Todos",SUMIFS(BD!$R$3:$R$5001,BD!$A$3:$A$5001,$B28),SUMIFS(BD!$R$3:$R$5001,BD!$A$3:$A$5001,$B28,BD!$B$3:$B$5001,$D$2)))</f>
        <v>0</v>
      </c>
      <c r="T28" s="32">
        <f>IF($B28="","",IF($B$2="Todos",SUMIFS(BD!$S$3:$S$5001,BD!$A$3:$A$5001,$B28),SUMIFS(BD!$S$3:$S$5001,BD!$A$3:$A$5001,$B28,BD!$B$3:$B$5001,$D$2)))</f>
        <v>0</v>
      </c>
      <c r="U28" s="32">
        <f>IF($B28="","",IF($B$2="Todos",SUMIFS(BD!$T$3:$T$5001,BD!$A$3:$A$5001,$B28),SUMIFS(BD!$T$3:$T$5001,BD!$A$3:$A$5001,$B28,BD!$B$3:$B$5001,$D$2)))</f>
        <v>0</v>
      </c>
      <c r="V28" s="32">
        <f>IF($B28="","",IF($B$2="Todos",SUMIFS(BD!$U$3:$U$5001,BD!$A$3:$A$5001,$B28),SUMIFS(BD!$U$3:$U$5001,BD!$A$3:$A$5001,$B28,BD!$B$3:$B$5001,$D$2)))</f>
        <v>0</v>
      </c>
      <c r="W28" s="49">
        <f>$B$5</f>
        <v>0.7</v>
      </c>
      <c r="X28" s="49">
        <f>$B$6</f>
        <v>0.9</v>
      </c>
    </row>
    <row r="29">
      <c r="A29" s="28">
        <v>18</v>
      </c>
      <c r="B29" s="45">
        <f>IF($A29&lt;=DAY($D$7),$C$7+$A29-1,"")</f>
        <v>46313</v>
      </c>
      <c r="C29" s="32">
        <f>IF($B29="","",IF($B$2="Todos",SUMIFS(BD!$C$3:$C$5001,BD!$A$3:$A$5001,$B29),SUMIFS(BD!$C$3:$C$5001,BD!$A$3:$A$5001,$B29,BD!$B$3:$B$5001,$D$2)))</f>
        <v>0</v>
      </c>
      <c r="D29" s="32">
        <f>IF($B29="","",IF($B$2="Todos",SUMIFS(BD!$D$3:$D$5001,BD!$A$3:$A$5001,$B29),SUMIFS(BD!$D$3:$D$5001,BD!$A$3:$A$5001,$B29,BD!$B$3:$B$5001,$D$2)))</f>
        <v>0</v>
      </c>
      <c r="E29" s="46">
        <f>IF($B29="","",IF($B$2="Todos",SUMIFS(BD!$E$3:$E$5001,BD!$A$3:$A$5001,$B29),SUMIFS(BD!$E$3:$E$5001,BD!$A$3:$A$5001,$B29,BD!$B$3:$B$5001,$D$2)))</f>
        <v>0</v>
      </c>
      <c r="F29" s="32">
        <f>IF($B29="","",IF($B$2="Todos",SUMIFS(BD!$F$3:$F$5001,BD!$A$3:$A$5001,$B29),SUMIFS(BD!$F$3:$F$5001,BD!$A$3:$A$5001,$B29,BD!$B$3:$B$5001,$D$2)))</f>
        <v>0</v>
      </c>
      <c r="G29" s="32">
        <f>IF($B29="","",IF($B$2="Todos",SUMIFS(BD!$G$3:$G$5001,BD!$A$3:$A$5001,$B29),SUMIFS(BD!$G$3:$G$5001,BD!$A$3:$A$5001,$B29,BD!$B$3:$B$5001,$D$2)))</f>
        <v>0</v>
      </c>
      <c r="H29" s="46">
        <f>IF($B29="","",IF($B$2="Todos",SUMIFS(BD!$H$3:$H$5001,BD!$A$3:$A$5001,$B29),SUMIFS(BD!$H$3:$H$5001,BD!$A$3:$A$5001,$B29,BD!$B$3:$B$5001,$D$2)))</f>
        <v>0</v>
      </c>
      <c r="I29" s="32">
        <f>IF($B29="","",IF($B$2="Todos",SUMIFS(BD!$I$3:$I$5001,BD!$A$3:$A$5001,$B29),SUMIFS(BD!$I$3:$I$5001,BD!$A$3:$A$5001,$B29,BD!$B$3:$B$5001,$D$2)))</f>
        <v>0</v>
      </c>
      <c r="J29" s="32">
        <f>IF($B29="","",IF($B$2="Todos",SUMIFS(BD!$J$3:$J$5001,BD!$A$3:$A$5001,$B29),SUMIFS(BD!$J$3:$J$5001,BD!$A$3:$A$5001,$B29,BD!$B$3:$B$5001,$D$2)))</f>
        <v>0</v>
      </c>
      <c r="K29" s="32" t="str">
        <f>IF($B$2="Todos",IF(COUNT($C$132:$G$132)=0,"",SUM($C$132:$G$132)),IFERROR(INDEX($C$132:$G$132,MATCH($D$2,$C$114:$G$114,0)),""))</f>
        <v/>
      </c>
      <c r="L29" s="47" t="str">
        <f>IF(M29="","",IF($B$2="Todos",IF($B$4&gt;0,$B$4,IF($B$2="Todos",IF(COUNT($C$202:$G$202)=0,"",SUM($C$202:$G$202)),IFERROR(INDEX($C$202:$G$202,MATCH($D$2,$C$184:$G$184,0)),""))),IFERROR(INDEX($C$202:$G$202,MATCH($D$2,$C$184:$G$184,0)),"")))</f>
        <v/>
      </c>
      <c r="M29" s="32" t="str">
        <f>IF($B$2="Todos",IF(COUNT($C$167:$G$167)=0,"",SUM($C$167:$G$167)),IFERROR(INDEX($C$167:$G$167,MATCH($D$2,$C$149:$G$149,0)),""))</f>
        <v/>
      </c>
      <c r="N29" s="48" t="str">
        <f>IF(AND(ISNUMBER(M29),ISNUMBER(L29)),IF(L29&gt;0,M29/L29,""),"")</f>
        <v/>
      </c>
      <c r="O29" s="32" t="str">
        <f>IF($B$2="Todos",IF(COUNT($C$237:$G$237)=0,"",SUM($C$237:$G$237)),IFERROR(INDEX($C$237:$G$237,MATCH($D$2,$C$219:$G$219,0)),""))</f>
        <v/>
      </c>
      <c r="P29" s="32">
        <f>IF($B29="","",IF($B$2="Todos",SUMIFS(BD!$O$3:$O$5001,BD!$A$3:$A$5001,$B29),SUMIFS(BD!$O$3:$O$5001,BD!$A$3:$A$5001,$B29,BD!$B$3:$B$5001,$D$2)))</f>
        <v>0</v>
      </c>
      <c r="Q29" s="32">
        <f>IF($B29="","",IF($B$2="Todos",SUMIFS(BD!$P$3:$P$5001,BD!$A$3:$A$5001,$B29),SUMIFS(BD!$P$3:$P$5001,BD!$A$3:$A$5001,$B29,BD!$B$3:$B$5001,$D$2)))</f>
        <v>0</v>
      </c>
      <c r="R29" s="32">
        <f>IF($B29="","",IF($B$2="Todos",SUMIFS(BD!$Q$3:$Q$5001,BD!$A$3:$A$5001,$B29),SUMIFS(BD!$Q$3:$Q$5001,BD!$A$3:$A$5001,$B29,BD!$B$3:$B$5001,$D$2)))</f>
        <v>0</v>
      </c>
      <c r="S29" s="32">
        <f>IF($B29="","",IF($B$2="Todos",SUMIFS(BD!$R$3:$R$5001,BD!$A$3:$A$5001,$B29),SUMIFS(BD!$R$3:$R$5001,BD!$A$3:$A$5001,$B29,BD!$B$3:$B$5001,$D$2)))</f>
        <v>0</v>
      </c>
      <c r="T29" s="32">
        <f>IF($B29="","",IF($B$2="Todos",SUMIFS(BD!$S$3:$S$5001,BD!$A$3:$A$5001,$B29),SUMIFS(BD!$S$3:$S$5001,BD!$A$3:$A$5001,$B29,BD!$B$3:$B$5001,$D$2)))</f>
        <v>0</v>
      </c>
      <c r="U29" s="32">
        <f>IF($B29="","",IF($B$2="Todos",SUMIFS(BD!$T$3:$T$5001,BD!$A$3:$A$5001,$B29),SUMIFS(BD!$T$3:$T$5001,BD!$A$3:$A$5001,$B29,BD!$B$3:$B$5001,$D$2)))</f>
        <v>0</v>
      </c>
      <c r="V29" s="32">
        <f>IF($B29="","",IF($B$2="Todos",SUMIFS(BD!$U$3:$U$5001,BD!$A$3:$A$5001,$B29),SUMIFS(BD!$U$3:$U$5001,BD!$A$3:$A$5001,$B29,BD!$B$3:$B$5001,$D$2)))</f>
        <v>0</v>
      </c>
      <c r="W29" s="49">
        <f>$B$5</f>
        <v>0.7</v>
      </c>
      <c r="X29" s="49">
        <f>$B$6</f>
        <v>0.9</v>
      </c>
    </row>
    <row r="30">
      <c r="A30" s="28">
        <v>19</v>
      </c>
      <c r="B30" s="45">
        <f>IF($A30&lt;=DAY($D$7),$C$7+$A30-1,"")</f>
        <v>46314</v>
      </c>
      <c r="C30" s="32">
        <f>IF($B30="","",IF($B$2="Todos",SUMIFS(BD!$C$3:$C$5001,BD!$A$3:$A$5001,$B30),SUMIFS(BD!$C$3:$C$5001,BD!$A$3:$A$5001,$B30,BD!$B$3:$B$5001,$D$2)))</f>
        <v>0</v>
      </c>
      <c r="D30" s="32">
        <f>IF($B30="","",IF($B$2="Todos",SUMIFS(BD!$D$3:$D$5001,BD!$A$3:$A$5001,$B30),SUMIFS(BD!$D$3:$D$5001,BD!$A$3:$A$5001,$B30,BD!$B$3:$B$5001,$D$2)))</f>
        <v>0</v>
      </c>
      <c r="E30" s="46">
        <f>IF($B30="","",IF($B$2="Todos",SUMIFS(BD!$E$3:$E$5001,BD!$A$3:$A$5001,$B30),SUMIFS(BD!$E$3:$E$5001,BD!$A$3:$A$5001,$B30,BD!$B$3:$B$5001,$D$2)))</f>
        <v>0</v>
      </c>
      <c r="F30" s="32">
        <f>IF($B30="","",IF($B$2="Todos",SUMIFS(BD!$F$3:$F$5001,BD!$A$3:$A$5001,$B30),SUMIFS(BD!$F$3:$F$5001,BD!$A$3:$A$5001,$B30,BD!$B$3:$B$5001,$D$2)))</f>
        <v>0</v>
      </c>
      <c r="G30" s="32">
        <f>IF($B30="","",IF($B$2="Todos",SUMIFS(BD!$G$3:$G$5001,BD!$A$3:$A$5001,$B30),SUMIFS(BD!$G$3:$G$5001,BD!$A$3:$A$5001,$B30,BD!$B$3:$B$5001,$D$2)))</f>
        <v>0</v>
      </c>
      <c r="H30" s="46">
        <f>IF($B30="","",IF($B$2="Todos",SUMIFS(BD!$H$3:$H$5001,BD!$A$3:$A$5001,$B30),SUMIFS(BD!$H$3:$H$5001,BD!$A$3:$A$5001,$B30,BD!$B$3:$B$5001,$D$2)))</f>
        <v>0</v>
      </c>
      <c r="I30" s="32">
        <f>IF($B30="","",IF($B$2="Todos",SUMIFS(BD!$I$3:$I$5001,BD!$A$3:$A$5001,$B30),SUMIFS(BD!$I$3:$I$5001,BD!$A$3:$A$5001,$B30,BD!$B$3:$B$5001,$D$2)))</f>
        <v>0</v>
      </c>
      <c r="J30" s="32">
        <f>IF($B30="","",IF($B$2="Todos",SUMIFS(BD!$J$3:$J$5001,BD!$A$3:$A$5001,$B30),SUMIFS(BD!$J$3:$J$5001,BD!$A$3:$A$5001,$B30,BD!$B$3:$B$5001,$D$2)))</f>
        <v>0</v>
      </c>
      <c r="K30" s="32" t="str">
        <f>IF($B$2="Todos",IF(COUNT($C$133:$G$133)=0,"",SUM($C$133:$G$133)),IFERROR(INDEX($C$133:$G$133,MATCH($D$2,$C$114:$G$114,0)),""))</f>
        <v/>
      </c>
      <c r="L30" s="47" t="str">
        <f>IF(M30="","",IF($B$2="Todos",IF($B$4&gt;0,$B$4,IF($B$2="Todos",IF(COUNT($C$203:$G$203)=0,"",SUM($C$203:$G$203)),IFERROR(INDEX($C$203:$G$203,MATCH($D$2,$C$184:$G$184,0)),""))),IFERROR(INDEX($C$203:$G$203,MATCH($D$2,$C$184:$G$184,0)),"")))</f>
        <v/>
      </c>
      <c r="M30" s="32" t="str">
        <f>IF($B$2="Todos",IF(COUNT($C$168:$G$168)=0,"",SUM($C$168:$G$168)),IFERROR(INDEX($C$168:$G$168,MATCH($D$2,$C$149:$G$149,0)),""))</f>
        <v/>
      </c>
      <c r="N30" s="48" t="str">
        <f>IF(AND(ISNUMBER(M30),ISNUMBER(L30)),IF(L30&gt;0,M30/L30,""),"")</f>
        <v/>
      </c>
      <c r="O30" s="32" t="str">
        <f>IF($B$2="Todos",IF(COUNT($C$238:$G$238)=0,"",SUM($C$238:$G$238)),IFERROR(INDEX($C$238:$G$238,MATCH($D$2,$C$219:$G$219,0)),""))</f>
        <v/>
      </c>
      <c r="P30" s="32">
        <f>IF($B30="","",IF($B$2="Todos",SUMIFS(BD!$O$3:$O$5001,BD!$A$3:$A$5001,$B30),SUMIFS(BD!$O$3:$O$5001,BD!$A$3:$A$5001,$B30,BD!$B$3:$B$5001,$D$2)))</f>
        <v>0</v>
      </c>
      <c r="Q30" s="32">
        <f>IF($B30="","",IF($B$2="Todos",SUMIFS(BD!$P$3:$P$5001,BD!$A$3:$A$5001,$B30),SUMIFS(BD!$P$3:$P$5001,BD!$A$3:$A$5001,$B30,BD!$B$3:$B$5001,$D$2)))</f>
        <v>0</v>
      </c>
      <c r="R30" s="32">
        <f>IF($B30="","",IF($B$2="Todos",SUMIFS(BD!$Q$3:$Q$5001,BD!$A$3:$A$5001,$B30),SUMIFS(BD!$Q$3:$Q$5001,BD!$A$3:$A$5001,$B30,BD!$B$3:$B$5001,$D$2)))</f>
        <v>0</v>
      </c>
      <c r="S30" s="32">
        <f>IF($B30="","",IF($B$2="Todos",SUMIFS(BD!$R$3:$R$5001,BD!$A$3:$A$5001,$B30),SUMIFS(BD!$R$3:$R$5001,BD!$A$3:$A$5001,$B30,BD!$B$3:$B$5001,$D$2)))</f>
        <v>0</v>
      </c>
      <c r="T30" s="32">
        <f>IF($B30="","",IF($B$2="Todos",SUMIFS(BD!$S$3:$S$5001,BD!$A$3:$A$5001,$B30),SUMIFS(BD!$S$3:$S$5001,BD!$A$3:$A$5001,$B30,BD!$B$3:$B$5001,$D$2)))</f>
        <v>0</v>
      </c>
      <c r="U30" s="32">
        <f>IF($B30="","",IF($B$2="Todos",SUMIFS(BD!$T$3:$T$5001,BD!$A$3:$A$5001,$B30),SUMIFS(BD!$T$3:$T$5001,BD!$A$3:$A$5001,$B30,BD!$B$3:$B$5001,$D$2)))</f>
        <v>0</v>
      </c>
      <c r="V30" s="32">
        <f>IF($B30="","",IF($B$2="Todos",SUMIFS(BD!$U$3:$U$5001,BD!$A$3:$A$5001,$B30),SUMIFS(BD!$U$3:$U$5001,BD!$A$3:$A$5001,$B30,BD!$B$3:$B$5001,$D$2)))</f>
        <v>0</v>
      </c>
      <c r="W30" s="49">
        <f>$B$5</f>
        <v>0.7</v>
      </c>
      <c r="X30" s="49">
        <f>$B$6</f>
        <v>0.9</v>
      </c>
    </row>
    <row r="31">
      <c r="A31" s="28">
        <v>20</v>
      </c>
      <c r="B31" s="45">
        <f>IF($A31&lt;=DAY($D$7),$C$7+$A31-1,"")</f>
        <v>46315</v>
      </c>
      <c r="C31" s="32">
        <f>IF($B31="","",IF($B$2="Todos",SUMIFS(BD!$C$3:$C$5001,BD!$A$3:$A$5001,$B31),SUMIFS(BD!$C$3:$C$5001,BD!$A$3:$A$5001,$B31,BD!$B$3:$B$5001,$D$2)))</f>
        <v>0</v>
      </c>
      <c r="D31" s="32">
        <f>IF($B31="","",IF($B$2="Todos",SUMIFS(BD!$D$3:$D$5001,BD!$A$3:$A$5001,$B31),SUMIFS(BD!$D$3:$D$5001,BD!$A$3:$A$5001,$B31,BD!$B$3:$B$5001,$D$2)))</f>
        <v>0</v>
      </c>
      <c r="E31" s="46">
        <f>IF($B31="","",IF($B$2="Todos",SUMIFS(BD!$E$3:$E$5001,BD!$A$3:$A$5001,$B31),SUMIFS(BD!$E$3:$E$5001,BD!$A$3:$A$5001,$B31,BD!$B$3:$B$5001,$D$2)))</f>
        <v>0</v>
      </c>
      <c r="F31" s="32">
        <f>IF($B31="","",IF($B$2="Todos",SUMIFS(BD!$F$3:$F$5001,BD!$A$3:$A$5001,$B31),SUMIFS(BD!$F$3:$F$5001,BD!$A$3:$A$5001,$B31,BD!$B$3:$B$5001,$D$2)))</f>
        <v>0</v>
      </c>
      <c r="G31" s="32">
        <f>IF($B31="","",IF($B$2="Todos",SUMIFS(BD!$G$3:$G$5001,BD!$A$3:$A$5001,$B31),SUMIFS(BD!$G$3:$G$5001,BD!$A$3:$A$5001,$B31,BD!$B$3:$B$5001,$D$2)))</f>
        <v>0</v>
      </c>
      <c r="H31" s="46">
        <f>IF($B31="","",IF($B$2="Todos",SUMIFS(BD!$H$3:$H$5001,BD!$A$3:$A$5001,$B31),SUMIFS(BD!$H$3:$H$5001,BD!$A$3:$A$5001,$B31,BD!$B$3:$B$5001,$D$2)))</f>
        <v>0</v>
      </c>
      <c r="I31" s="32">
        <f>IF($B31="","",IF($B$2="Todos",SUMIFS(BD!$I$3:$I$5001,BD!$A$3:$A$5001,$B31),SUMIFS(BD!$I$3:$I$5001,BD!$A$3:$A$5001,$B31,BD!$B$3:$B$5001,$D$2)))</f>
        <v>0</v>
      </c>
      <c r="J31" s="32">
        <f>IF($B31="","",IF($B$2="Todos",SUMIFS(BD!$J$3:$J$5001,BD!$A$3:$A$5001,$B31),SUMIFS(BD!$J$3:$J$5001,BD!$A$3:$A$5001,$B31,BD!$B$3:$B$5001,$D$2)))</f>
        <v>0</v>
      </c>
      <c r="K31" s="32" t="str">
        <f>IF($B$2="Todos",IF(COUNT($C$134:$G$134)=0,"",SUM($C$134:$G$134)),IFERROR(INDEX($C$134:$G$134,MATCH($D$2,$C$114:$G$114,0)),""))</f>
        <v/>
      </c>
      <c r="L31" s="47" t="str">
        <f>IF(M31="","",IF($B$2="Todos",IF($B$4&gt;0,$B$4,IF($B$2="Todos",IF(COUNT($C$204:$G$204)=0,"",SUM($C$204:$G$204)),IFERROR(INDEX($C$204:$G$204,MATCH($D$2,$C$184:$G$184,0)),""))),IFERROR(INDEX($C$204:$G$204,MATCH($D$2,$C$184:$G$184,0)),"")))</f>
        <v/>
      </c>
      <c r="M31" s="32" t="str">
        <f>IF($B$2="Todos",IF(COUNT($C$169:$G$169)=0,"",SUM($C$169:$G$169)),IFERROR(INDEX($C$169:$G$169,MATCH($D$2,$C$149:$G$149,0)),""))</f>
        <v/>
      </c>
      <c r="N31" s="48" t="str">
        <f>IF(AND(ISNUMBER(M31),ISNUMBER(L31)),IF(L31&gt;0,M31/L31,""),"")</f>
        <v/>
      </c>
      <c r="O31" s="32" t="str">
        <f>IF($B$2="Todos",IF(COUNT($C$239:$G$239)=0,"",SUM($C$239:$G$239)),IFERROR(INDEX($C$239:$G$239,MATCH($D$2,$C$219:$G$219,0)),""))</f>
        <v/>
      </c>
      <c r="P31" s="32">
        <f>IF($B31="","",IF($B$2="Todos",SUMIFS(BD!$O$3:$O$5001,BD!$A$3:$A$5001,$B31),SUMIFS(BD!$O$3:$O$5001,BD!$A$3:$A$5001,$B31,BD!$B$3:$B$5001,$D$2)))</f>
        <v>0</v>
      </c>
      <c r="Q31" s="32">
        <f>IF($B31="","",IF($B$2="Todos",SUMIFS(BD!$P$3:$P$5001,BD!$A$3:$A$5001,$B31),SUMIFS(BD!$P$3:$P$5001,BD!$A$3:$A$5001,$B31,BD!$B$3:$B$5001,$D$2)))</f>
        <v>0</v>
      </c>
      <c r="R31" s="32">
        <f>IF($B31="","",IF($B$2="Todos",SUMIFS(BD!$Q$3:$Q$5001,BD!$A$3:$A$5001,$B31),SUMIFS(BD!$Q$3:$Q$5001,BD!$A$3:$A$5001,$B31,BD!$B$3:$B$5001,$D$2)))</f>
        <v>0</v>
      </c>
      <c r="S31" s="32">
        <f>IF($B31="","",IF($B$2="Todos",SUMIFS(BD!$R$3:$R$5001,BD!$A$3:$A$5001,$B31),SUMIFS(BD!$R$3:$R$5001,BD!$A$3:$A$5001,$B31,BD!$B$3:$B$5001,$D$2)))</f>
        <v>0</v>
      </c>
      <c r="T31" s="32">
        <f>IF($B31="","",IF($B$2="Todos",SUMIFS(BD!$S$3:$S$5001,BD!$A$3:$A$5001,$B31),SUMIFS(BD!$S$3:$S$5001,BD!$A$3:$A$5001,$B31,BD!$B$3:$B$5001,$D$2)))</f>
        <v>0</v>
      </c>
      <c r="U31" s="32">
        <f>IF($B31="","",IF($B$2="Todos",SUMIFS(BD!$T$3:$T$5001,BD!$A$3:$A$5001,$B31),SUMIFS(BD!$T$3:$T$5001,BD!$A$3:$A$5001,$B31,BD!$B$3:$B$5001,$D$2)))</f>
        <v>0</v>
      </c>
      <c r="V31" s="32">
        <f>IF($B31="","",IF($B$2="Todos",SUMIFS(BD!$U$3:$U$5001,BD!$A$3:$A$5001,$B31),SUMIFS(BD!$U$3:$U$5001,BD!$A$3:$A$5001,$B31,BD!$B$3:$B$5001,$D$2)))</f>
        <v>0</v>
      </c>
      <c r="W31" s="49">
        <f>$B$5</f>
        <v>0.7</v>
      </c>
      <c r="X31" s="49">
        <f>$B$6</f>
        <v>0.9</v>
      </c>
    </row>
    <row r="32">
      <c r="A32" s="28">
        <v>21</v>
      </c>
      <c r="B32" s="45">
        <f>IF($A32&lt;=DAY($D$7),$C$7+$A32-1,"")</f>
        <v>46316</v>
      </c>
      <c r="C32" s="32">
        <f>IF($B32="","",IF($B$2="Todos",SUMIFS(BD!$C$3:$C$5001,BD!$A$3:$A$5001,$B32),SUMIFS(BD!$C$3:$C$5001,BD!$A$3:$A$5001,$B32,BD!$B$3:$B$5001,$D$2)))</f>
        <v>0</v>
      </c>
      <c r="D32" s="32">
        <f>IF($B32="","",IF($B$2="Todos",SUMIFS(BD!$D$3:$D$5001,BD!$A$3:$A$5001,$B32),SUMIFS(BD!$D$3:$D$5001,BD!$A$3:$A$5001,$B32,BD!$B$3:$B$5001,$D$2)))</f>
        <v>0</v>
      </c>
      <c r="E32" s="46">
        <f>IF($B32="","",IF($B$2="Todos",SUMIFS(BD!$E$3:$E$5001,BD!$A$3:$A$5001,$B32),SUMIFS(BD!$E$3:$E$5001,BD!$A$3:$A$5001,$B32,BD!$B$3:$B$5001,$D$2)))</f>
        <v>0</v>
      </c>
      <c r="F32" s="32">
        <f>IF($B32="","",IF($B$2="Todos",SUMIFS(BD!$F$3:$F$5001,BD!$A$3:$A$5001,$B32),SUMIFS(BD!$F$3:$F$5001,BD!$A$3:$A$5001,$B32,BD!$B$3:$B$5001,$D$2)))</f>
        <v>0</v>
      </c>
      <c r="G32" s="32">
        <f>IF($B32="","",IF($B$2="Todos",SUMIFS(BD!$G$3:$G$5001,BD!$A$3:$A$5001,$B32),SUMIFS(BD!$G$3:$G$5001,BD!$A$3:$A$5001,$B32,BD!$B$3:$B$5001,$D$2)))</f>
        <v>0</v>
      </c>
      <c r="H32" s="46">
        <f>IF($B32="","",IF($B$2="Todos",SUMIFS(BD!$H$3:$H$5001,BD!$A$3:$A$5001,$B32),SUMIFS(BD!$H$3:$H$5001,BD!$A$3:$A$5001,$B32,BD!$B$3:$B$5001,$D$2)))</f>
        <v>0</v>
      </c>
      <c r="I32" s="32">
        <f>IF($B32="","",IF($B$2="Todos",SUMIFS(BD!$I$3:$I$5001,BD!$A$3:$A$5001,$B32),SUMIFS(BD!$I$3:$I$5001,BD!$A$3:$A$5001,$B32,BD!$B$3:$B$5001,$D$2)))</f>
        <v>0</v>
      </c>
      <c r="J32" s="32">
        <f>IF($B32="","",IF($B$2="Todos",SUMIFS(BD!$J$3:$J$5001,BD!$A$3:$A$5001,$B32),SUMIFS(BD!$J$3:$J$5001,BD!$A$3:$A$5001,$B32,BD!$B$3:$B$5001,$D$2)))</f>
        <v>0</v>
      </c>
      <c r="K32" s="32" t="str">
        <f>IF($B$2="Todos",IF(COUNT($C$135:$G$135)=0,"",SUM($C$135:$G$135)),IFERROR(INDEX($C$135:$G$135,MATCH($D$2,$C$114:$G$114,0)),""))</f>
        <v/>
      </c>
      <c r="L32" s="47" t="str">
        <f>IF(M32="","",IF($B$2="Todos",IF($B$4&gt;0,$B$4,IF($B$2="Todos",IF(COUNT($C$205:$G$205)=0,"",SUM($C$205:$G$205)),IFERROR(INDEX($C$205:$G$205,MATCH($D$2,$C$184:$G$184,0)),""))),IFERROR(INDEX($C$205:$G$205,MATCH($D$2,$C$184:$G$184,0)),"")))</f>
        <v/>
      </c>
      <c r="M32" s="32" t="str">
        <f>IF($B$2="Todos",IF(COUNT($C$170:$G$170)=0,"",SUM($C$170:$G$170)),IFERROR(INDEX($C$170:$G$170,MATCH($D$2,$C$149:$G$149,0)),""))</f>
        <v/>
      </c>
      <c r="N32" s="48" t="str">
        <f>IF(AND(ISNUMBER(M32),ISNUMBER(L32)),IF(L32&gt;0,M32/L32,""),"")</f>
        <v/>
      </c>
      <c r="O32" s="32" t="str">
        <f>IF($B$2="Todos",IF(COUNT($C$240:$G$240)=0,"",SUM($C$240:$G$240)),IFERROR(INDEX($C$240:$G$240,MATCH($D$2,$C$219:$G$219,0)),""))</f>
        <v/>
      </c>
      <c r="P32" s="32">
        <f>IF($B32="","",IF($B$2="Todos",SUMIFS(BD!$O$3:$O$5001,BD!$A$3:$A$5001,$B32),SUMIFS(BD!$O$3:$O$5001,BD!$A$3:$A$5001,$B32,BD!$B$3:$B$5001,$D$2)))</f>
        <v>0</v>
      </c>
      <c r="Q32" s="32">
        <f>IF($B32="","",IF($B$2="Todos",SUMIFS(BD!$P$3:$P$5001,BD!$A$3:$A$5001,$B32),SUMIFS(BD!$P$3:$P$5001,BD!$A$3:$A$5001,$B32,BD!$B$3:$B$5001,$D$2)))</f>
        <v>0</v>
      </c>
      <c r="R32" s="32">
        <f>IF($B32="","",IF($B$2="Todos",SUMIFS(BD!$Q$3:$Q$5001,BD!$A$3:$A$5001,$B32),SUMIFS(BD!$Q$3:$Q$5001,BD!$A$3:$A$5001,$B32,BD!$B$3:$B$5001,$D$2)))</f>
        <v>0</v>
      </c>
      <c r="S32" s="32">
        <f>IF($B32="","",IF($B$2="Todos",SUMIFS(BD!$R$3:$R$5001,BD!$A$3:$A$5001,$B32),SUMIFS(BD!$R$3:$R$5001,BD!$A$3:$A$5001,$B32,BD!$B$3:$B$5001,$D$2)))</f>
        <v>0</v>
      </c>
      <c r="T32" s="32">
        <f>IF($B32="","",IF($B$2="Todos",SUMIFS(BD!$S$3:$S$5001,BD!$A$3:$A$5001,$B32),SUMIFS(BD!$S$3:$S$5001,BD!$A$3:$A$5001,$B32,BD!$B$3:$B$5001,$D$2)))</f>
        <v>0</v>
      </c>
      <c r="U32" s="32">
        <f>IF($B32="","",IF($B$2="Todos",SUMIFS(BD!$T$3:$T$5001,BD!$A$3:$A$5001,$B32),SUMIFS(BD!$T$3:$T$5001,BD!$A$3:$A$5001,$B32,BD!$B$3:$B$5001,$D$2)))</f>
        <v>0</v>
      </c>
      <c r="V32" s="32">
        <f>IF($B32="","",IF($B$2="Todos",SUMIFS(BD!$U$3:$U$5001,BD!$A$3:$A$5001,$B32),SUMIFS(BD!$U$3:$U$5001,BD!$A$3:$A$5001,$B32,BD!$B$3:$B$5001,$D$2)))</f>
        <v>0</v>
      </c>
      <c r="W32" s="49">
        <f>$B$5</f>
        <v>0.7</v>
      </c>
      <c r="X32" s="49">
        <f>$B$6</f>
        <v>0.9</v>
      </c>
    </row>
    <row r="33">
      <c r="A33" s="28">
        <v>22</v>
      </c>
      <c r="B33" s="45">
        <f>IF($A33&lt;=DAY($D$7),$C$7+$A33-1,"")</f>
        <v>46317</v>
      </c>
      <c r="C33" s="32">
        <f>IF($B33="","",IF($B$2="Todos",SUMIFS(BD!$C$3:$C$5001,BD!$A$3:$A$5001,$B33),SUMIFS(BD!$C$3:$C$5001,BD!$A$3:$A$5001,$B33,BD!$B$3:$B$5001,$D$2)))</f>
        <v>0</v>
      </c>
      <c r="D33" s="32">
        <f>IF($B33="","",IF($B$2="Todos",SUMIFS(BD!$D$3:$D$5001,BD!$A$3:$A$5001,$B33),SUMIFS(BD!$D$3:$D$5001,BD!$A$3:$A$5001,$B33,BD!$B$3:$B$5001,$D$2)))</f>
        <v>0</v>
      </c>
      <c r="E33" s="46">
        <f>IF($B33="","",IF($B$2="Todos",SUMIFS(BD!$E$3:$E$5001,BD!$A$3:$A$5001,$B33),SUMIFS(BD!$E$3:$E$5001,BD!$A$3:$A$5001,$B33,BD!$B$3:$B$5001,$D$2)))</f>
        <v>0</v>
      </c>
      <c r="F33" s="32">
        <f>IF($B33="","",IF($B$2="Todos",SUMIFS(BD!$F$3:$F$5001,BD!$A$3:$A$5001,$B33),SUMIFS(BD!$F$3:$F$5001,BD!$A$3:$A$5001,$B33,BD!$B$3:$B$5001,$D$2)))</f>
        <v>0</v>
      </c>
      <c r="G33" s="32">
        <f>IF($B33="","",IF($B$2="Todos",SUMIFS(BD!$G$3:$G$5001,BD!$A$3:$A$5001,$B33),SUMIFS(BD!$G$3:$G$5001,BD!$A$3:$A$5001,$B33,BD!$B$3:$B$5001,$D$2)))</f>
        <v>0</v>
      </c>
      <c r="H33" s="46">
        <f>IF($B33="","",IF($B$2="Todos",SUMIFS(BD!$H$3:$H$5001,BD!$A$3:$A$5001,$B33),SUMIFS(BD!$H$3:$H$5001,BD!$A$3:$A$5001,$B33,BD!$B$3:$B$5001,$D$2)))</f>
        <v>0</v>
      </c>
      <c r="I33" s="32">
        <f>IF($B33="","",IF($B$2="Todos",SUMIFS(BD!$I$3:$I$5001,BD!$A$3:$A$5001,$B33),SUMIFS(BD!$I$3:$I$5001,BD!$A$3:$A$5001,$B33,BD!$B$3:$B$5001,$D$2)))</f>
        <v>0</v>
      </c>
      <c r="J33" s="32">
        <f>IF($B33="","",IF($B$2="Todos",SUMIFS(BD!$J$3:$J$5001,BD!$A$3:$A$5001,$B33),SUMIFS(BD!$J$3:$J$5001,BD!$A$3:$A$5001,$B33,BD!$B$3:$B$5001,$D$2)))</f>
        <v>0</v>
      </c>
      <c r="K33" s="32" t="str">
        <f>IF($B$2="Todos",IF(COUNT($C$136:$G$136)=0,"",SUM($C$136:$G$136)),IFERROR(INDEX($C$136:$G$136,MATCH($D$2,$C$114:$G$114,0)),""))</f>
        <v/>
      </c>
      <c r="L33" s="47" t="str">
        <f>IF(M33="","",IF($B$2="Todos",IF($B$4&gt;0,$B$4,IF($B$2="Todos",IF(COUNT($C$206:$G$206)=0,"",SUM($C$206:$G$206)),IFERROR(INDEX($C$206:$G$206,MATCH($D$2,$C$184:$G$184,0)),""))),IFERROR(INDEX($C$206:$G$206,MATCH($D$2,$C$184:$G$184,0)),"")))</f>
        <v/>
      </c>
      <c r="M33" s="32" t="str">
        <f>IF($B$2="Todos",IF(COUNT($C$171:$G$171)=0,"",SUM($C$171:$G$171)),IFERROR(INDEX($C$171:$G$171,MATCH($D$2,$C$149:$G$149,0)),""))</f>
        <v/>
      </c>
      <c r="N33" s="48" t="str">
        <f>IF(AND(ISNUMBER(M33),ISNUMBER(L33)),IF(L33&gt;0,M33/L33,""),"")</f>
        <v/>
      </c>
      <c r="O33" s="32" t="str">
        <f>IF($B$2="Todos",IF(COUNT($C$241:$G$241)=0,"",SUM($C$241:$G$241)),IFERROR(INDEX($C$241:$G$241,MATCH($D$2,$C$219:$G$219,0)),""))</f>
        <v/>
      </c>
      <c r="P33" s="32">
        <f>IF($B33="","",IF($B$2="Todos",SUMIFS(BD!$O$3:$O$5001,BD!$A$3:$A$5001,$B33),SUMIFS(BD!$O$3:$O$5001,BD!$A$3:$A$5001,$B33,BD!$B$3:$B$5001,$D$2)))</f>
        <v>0</v>
      </c>
      <c r="Q33" s="32">
        <f>IF($B33="","",IF($B$2="Todos",SUMIFS(BD!$P$3:$P$5001,BD!$A$3:$A$5001,$B33),SUMIFS(BD!$P$3:$P$5001,BD!$A$3:$A$5001,$B33,BD!$B$3:$B$5001,$D$2)))</f>
        <v>0</v>
      </c>
      <c r="R33" s="32">
        <f>IF($B33="","",IF($B$2="Todos",SUMIFS(BD!$Q$3:$Q$5001,BD!$A$3:$A$5001,$B33),SUMIFS(BD!$Q$3:$Q$5001,BD!$A$3:$A$5001,$B33,BD!$B$3:$B$5001,$D$2)))</f>
        <v>0</v>
      </c>
      <c r="S33" s="32">
        <f>IF($B33="","",IF($B$2="Todos",SUMIFS(BD!$R$3:$R$5001,BD!$A$3:$A$5001,$B33),SUMIFS(BD!$R$3:$R$5001,BD!$A$3:$A$5001,$B33,BD!$B$3:$B$5001,$D$2)))</f>
        <v>0</v>
      </c>
      <c r="T33" s="32">
        <f>IF($B33="","",IF($B$2="Todos",SUMIFS(BD!$S$3:$S$5001,BD!$A$3:$A$5001,$B33),SUMIFS(BD!$S$3:$S$5001,BD!$A$3:$A$5001,$B33,BD!$B$3:$B$5001,$D$2)))</f>
        <v>0</v>
      </c>
      <c r="U33" s="32">
        <f>IF($B33="","",IF($B$2="Todos",SUMIFS(BD!$T$3:$T$5001,BD!$A$3:$A$5001,$B33),SUMIFS(BD!$T$3:$T$5001,BD!$A$3:$A$5001,$B33,BD!$B$3:$B$5001,$D$2)))</f>
        <v>0</v>
      </c>
      <c r="V33" s="32">
        <f>IF($B33="","",IF($B$2="Todos",SUMIFS(BD!$U$3:$U$5001,BD!$A$3:$A$5001,$B33),SUMIFS(BD!$U$3:$U$5001,BD!$A$3:$A$5001,$B33,BD!$B$3:$B$5001,$D$2)))</f>
        <v>0</v>
      </c>
      <c r="W33" s="49">
        <f>$B$5</f>
        <v>0.7</v>
      </c>
      <c r="X33" s="49">
        <f>$B$6</f>
        <v>0.9</v>
      </c>
    </row>
    <row r="34">
      <c r="A34" s="28">
        <v>23</v>
      </c>
      <c r="B34" s="45">
        <f>IF($A34&lt;=DAY($D$7),$C$7+$A34-1,"")</f>
        <v>46318</v>
      </c>
      <c r="C34" s="32">
        <f>IF($B34="","",IF($B$2="Todos",SUMIFS(BD!$C$3:$C$5001,BD!$A$3:$A$5001,$B34),SUMIFS(BD!$C$3:$C$5001,BD!$A$3:$A$5001,$B34,BD!$B$3:$B$5001,$D$2)))</f>
        <v>0</v>
      </c>
      <c r="D34" s="32">
        <f>IF($B34="","",IF($B$2="Todos",SUMIFS(BD!$D$3:$D$5001,BD!$A$3:$A$5001,$B34),SUMIFS(BD!$D$3:$D$5001,BD!$A$3:$A$5001,$B34,BD!$B$3:$B$5001,$D$2)))</f>
        <v>0</v>
      </c>
      <c r="E34" s="46">
        <f>IF($B34="","",IF($B$2="Todos",SUMIFS(BD!$E$3:$E$5001,BD!$A$3:$A$5001,$B34),SUMIFS(BD!$E$3:$E$5001,BD!$A$3:$A$5001,$B34,BD!$B$3:$B$5001,$D$2)))</f>
        <v>0</v>
      </c>
      <c r="F34" s="32">
        <f>IF($B34="","",IF($B$2="Todos",SUMIFS(BD!$F$3:$F$5001,BD!$A$3:$A$5001,$B34),SUMIFS(BD!$F$3:$F$5001,BD!$A$3:$A$5001,$B34,BD!$B$3:$B$5001,$D$2)))</f>
        <v>0</v>
      </c>
      <c r="G34" s="32">
        <f>IF($B34="","",IF($B$2="Todos",SUMIFS(BD!$G$3:$G$5001,BD!$A$3:$A$5001,$B34),SUMIFS(BD!$G$3:$G$5001,BD!$A$3:$A$5001,$B34,BD!$B$3:$B$5001,$D$2)))</f>
        <v>0</v>
      </c>
      <c r="H34" s="46">
        <f>IF($B34="","",IF($B$2="Todos",SUMIFS(BD!$H$3:$H$5001,BD!$A$3:$A$5001,$B34),SUMIFS(BD!$H$3:$H$5001,BD!$A$3:$A$5001,$B34,BD!$B$3:$B$5001,$D$2)))</f>
        <v>0</v>
      </c>
      <c r="I34" s="32">
        <f>IF($B34="","",IF($B$2="Todos",SUMIFS(BD!$I$3:$I$5001,BD!$A$3:$A$5001,$B34),SUMIFS(BD!$I$3:$I$5001,BD!$A$3:$A$5001,$B34,BD!$B$3:$B$5001,$D$2)))</f>
        <v>0</v>
      </c>
      <c r="J34" s="32">
        <f>IF($B34="","",IF($B$2="Todos",SUMIFS(BD!$J$3:$J$5001,BD!$A$3:$A$5001,$B34),SUMIFS(BD!$J$3:$J$5001,BD!$A$3:$A$5001,$B34,BD!$B$3:$B$5001,$D$2)))</f>
        <v>0</v>
      </c>
      <c r="K34" s="32" t="str">
        <f>IF($B$2="Todos",IF(COUNT($C$137:$G$137)=0,"",SUM($C$137:$G$137)),IFERROR(INDEX($C$137:$G$137,MATCH($D$2,$C$114:$G$114,0)),""))</f>
        <v/>
      </c>
      <c r="L34" s="47" t="str">
        <f>IF(M34="","",IF($B$2="Todos",IF($B$4&gt;0,$B$4,IF($B$2="Todos",IF(COUNT($C$207:$G$207)=0,"",SUM($C$207:$G$207)),IFERROR(INDEX($C$207:$G$207,MATCH($D$2,$C$184:$G$184,0)),""))),IFERROR(INDEX($C$207:$G$207,MATCH($D$2,$C$184:$G$184,0)),"")))</f>
        <v/>
      </c>
      <c r="M34" s="32" t="str">
        <f>IF($B$2="Todos",IF(COUNT($C$172:$G$172)=0,"",SUM($C$172:$G$172)),IFERROR(INDEX($C$172:$G$172,MATCH($D$2,$C$149:$G$149,0)),""))</f>
        <v/>
      </c>
      <c r="N34" s="48" t="str">
        <f>IF(AND(ISNUMBER(M34),ISNUMBER(L34)),IF(L34&gt;0,M34/L34,""),"")</f>
        <v/>
      </c>
      <c r="O34" s="32" t="str">
        <f>IF($B$2="Todos",IF(COUNT($C$242:$G$242)=0,"",SUM($C$242:$G$242)),IFERROR(INDEX($C$242:$G$242,MATCH($D$2,$C$219:$G$219,0)),""))</f>
        <v/>
      </c>
      <c r="P34" s="32">
        <f>IF($B34="","",IF($B$2="Todos",SUMIFS(BD!$O$3:$O$5001,BD!$A$3:$A$5001,$B34),SUMIFS(BD!$O$3:$O$5001,BD!$A$3:$A$5001,$B34,BD!$B$3:$B$5001,$D$2)))</f>
        <v>0</v>
      </c>
      <c r="Q34" s="32">
        <f>IF($B34="","",IF($B$2="Todos",SUMIFS(BD!$P$3:$P$5001,BD!$A$3:$A$5001,$B34),SUMIFS(BD!$P$3:$P$5001,BD!$A$3:$A$5001,$B34,BD!$B$3:$B$5001,$D$2)))</f>
        <v>0</v>
      </c>
      <c r="R34" s="32">
        <f>IF($B34="","",IF($B$2="Todos",SUMIFS(BD!$Q$3:$Q$5001,BD!$A$3:$A$5001,$B34),SUMIFS(BD!$Q$3:$Q$5001,BD!$A$3:$A$5001,$B34,BD!$B$3:$B$5001,$D$2)))</f>
        <v>0</v>
      </c>
      <c r="S34" s="32">
        <f>IF($B34="","",IF($B$2="Todos",SUMIFS(BD!$R$3:$R$5001,BD!$A$3:$A$5001,$B34),SUMIFS(BD!$R$3:$R$5001,BD!$A$3:$A$5001,$B34,BD!$B$3:$B$5001,$D$2)))</f>
        <v>0</v>
      </c>
      <c r="T34" s="32">
        <f>IF($B34="","",IF($B$2="Todos",SUMIFS(BD!$S$3:$S$5001,BD!$A$3:$A$5001,$B34),SUMIFS(BD!$S$3:$S$5001,BD!$A$3:$A$5001,$B34,BD!$B$3:$B$5001,$D$2)))</f>
        <v>0</v>
      </c>
      <c r="U34" s="32">
        <f>IF($B34="","",IF($B$2="Todos",SUMIFS(BD!$T$3:$T$5001,BD!$A$3:$A$5001,$B34),SUMIFS(BD!$T$3:$T$5001,BD!$A$3:$A$5001,$B34,BD!$B$3:$B$5001,$D$2)))</f>
        <v>0</v>
      </c>
      <c r="V34" s="32">
        <f>IF($B34="","",IF($B$2="Todos",SUMIFS(BD!$U$3:$U$5001,BD!$A$3:$A$5001,$B34),SUMIFS(BD!$U$3:$U$5001,BD!$A$3:$A$5001,$B34,BD!$B$3:$B$5001,$D$2)))</f>
        <v>0</v>
      </c>
      <c r="W34" s="49">
        <f>$B$5</f>
        <v>0.7</v>
      </c>
      <c r="X34" s="49">
        <f>$B$6</f>
        <v>0.9</v>
      </c>
    </row>
    <row r="35">
      <c r="A35" s="28">
        <v>24</v>
      </c>
      <c r="B35" s="45">
        <f>IF($A35&lt;=DAY($D$7),$C$7+$A35-1,"")</f>
        <v>46319</v>
      </c>
      <c r="C35" s="32">
        <f>IF($B35="","",IF($B$2="Todos",SUMIFS(BD!$C$3:$C$5001,BD!$A$3:$A$5001,$B35),SUMIFS(BD!$C$3:$C$5001,BD!$A$3:$A$5001,$B35,BD!$B$3:$B$5001,$D$2)))</f>
        <v>0</v>
      </c>
      <c r="D35" s="32">
        <f>IF($B35="","",IF($B$2="Todos",SUMIFS(BD!$D$3:$D$5001,BD!$A$3:$A$5001,$B35),SUMIFS(BD!$D$3:$D$5001,BD!$A$3:$A$5001,$B35,BD!$B$3:$B$5001,$D$2)))</f>
        <v>0</v>
      </c>
      <c r="E35" s="46">
        <f>IF($B35="","",IF($B$2="Todos",SUMIFS(BD!$E$3:$E$5001,BD!$A$3:$A$5001,$B35),SUMIFS(BD!$E$3:$E$5001,BD!$A$3:$A$5001,$B35,BD!$B$3:$B$5001,$D$2)))</f>
        <v>0</v>
      </c>
      <c r="F35" s="32">
        <f>IF($B35="","",IF($B$2="Todos",SUMIFS(BD!$F$3:$F$5001,BD!$A$3:$A$5001,$B35),SUMIFS(BD!$F$3:$F$5001,BD!$A$3:$A$5001,$B35,BD!$B$3:$B$5001,$D$2)))</f>
        <v>0</v>
      </c>
      <c r="G35" s="32">
        <f>IF($B35="","",IF($B$2="Todos",SUMIFS(BD!$G$3:$G$5001,BD!$A$3:$A$5001,$B35),SUMIFS(BD!$G$3:$G$5001,BD!$A$3:$A$5001,$B35,BD!$B$3:$B$5001,$D$2)))</f>
        <v>0</v>
      </c>
      <c r="H35" s="46">
        <f>IF($B35="","",IF($B$2="Todos",SUMIFS(BD!$H$3:$H$5001,BD!$A$3:$A$5001,$B35),SUMIFS(BD!$H$3:$H$5001,BD!$A$3:$A$5001,$B35,BD!$B$3:$B$5001,$D$2)))</f>
        <v>0</v>
      </c>
      <c r="I35" s="32">
        <f>IF($B35="","",IF($B$2="Todos",SUMIFS(BD!$I$3:$I$5001,BD!$A$3:$A$5001,$B35),SUMIFS(BD!$I$3:$I$5001,BD!$A$3:$A$5001,$B35,BD!$B$3:$B$5001,$D$2)))</f>
        <v>0</v>
      </c>
      <c r="J35" s="32">
        <f>IF($B35="","",IF($B$2="Todos",SUMIFS(BD!$J$3:$J$5001,BD!$A$3:$A$5001,$B35),SUMIFS(BD!$J$3:$J$5001,BD!$A$3:$A$5001,$B35,BD!$B$3:$B$5001,$D$2)))</f>
        <v>0</v>
      </c>
      <c r="K35" s="32" t="str">
        <f>IF($B$2="Todos",IF(COUNT($C$138:$G$138)=0,"",SUM($C$138:$G$138)),IFERROR(INDEX($C$138:$G$138,MATCH($D$2,$C$114:$G$114,0)),""))</f>
        <v/>
      </c>
      <c r="L35" s="47" t="str">
        <f>IF(M35="","",IF($B$2="Todos",IF($B$4&gt;0,$B$4,IF($B$2="Todos",IF(COUNT($C$208:$G$208)=0,"",SUM($C$208:$G$208)),IFERROR(INDEX($C$208:$G$208,MATCH($D$2,$C$184:$G$184,0)),""))),IFERROR(INDEX($C$208:$G$208,MATCH($D$2,$C$184:$G$184,0)),"")))</f>
        <v/>
      </c>
      <c r="M35" s="32" t="str">
        <f>IF($B$2="Todos",IF(COUNT($C$173:$G$173)=0,"",SUM($C$173:$G$173)),IFERROR(INDEX($C$173:$G$173,MATCH($D$2,$C$149:$G$149,0)),""))</f>
        <v/>
      </c>
      <c r="N35" s="48" t="str">
        <f>IF(AND(ISNUMBER(M35),ISNUMBER(L35)),IF(L35&gt;0,M35/L35,""),"")</f>
        <v/>
      </c>
      <c r="O35" s="32" t="str">
        <f>IF($B$2="Todos",IF(COUNT($C$243:$G$243)=0,"",SUM($C$243:$G$243)),IFERROR(INDEX($C$243:$G$243,MATCH($D$2,$C$219:$G$219,0)),""))</f>
        <v/>
      </c>
      <c r="P35" s="32">
        <f>IF($B35="","",IF($B$2="Todos",SUMIFS(BD!$O$3:$O$5001,BD!$A$3:$A$5001,$B35),SUMIFS(BD!$O$3:$O$5001,BD!$A$3:$A$5001,$B35,BD!$B$3:$B$5001,$D$2)))</f>
        <v>0</v>
      </c>
      <c r="Q35" s="32">
        <f>IF($B35="","",IF($B$2="Todos",SUMIFS(BD!$P$3:$P$5001,BD!$A$3:$A$5001,$B35),SUMIFS(BD!$P$3:$P$5001,BD!$A$3:$A$5001,$B35,BD!$B$3:$B$5001,$D$2)))</f>
        <v>0</v>
      </c>
      <c r="R35" s="32">
        <f>IF($B35="","",IF($B$2="Todos",SUMIFS(BD!$Q$3:$Q$5001,BD!$A$3:$A$5001,$B35),SUMIFS(BD!$Q$3:$Q$5001,BD!$A$3:$A$5001,$B35,BD!$B$3:$B$5001,$D$2)))</f>
        <v>0</v>
      </c>
      <c r="S35" s="32">
        <f>IF($B35="","",IF($B$2="Todos",SUMIFS(BD!$R$3:$R$5001,BD!$A$3:$A$5001,$B35),SUMIFS(BD!$R$3:$R$5001,BD!$A$3:$A$5001,$B35,BD!$B$3:$B$5001,$D$2)))</f>
        <v>0</v>
      </c>
      <c r="T35" s="32">
        <f>IF($B35="","",IF($B$2="Todos",SUMIFS(BD!$S$3:$S$5001,BD!$A$3:$A$5001,$B35),SUMIFS(BD!$S$3:$S$5001,BD!$A$3:$A$5001,$B35,BD!$B$3:$B$5001,$D$2)))</f>
        <v>0</v>
      </c>
      <c r="U35" s="32">
        <f>IF($B35="","",IF($B$2="Todos",SUMIFS(BD!$T$3:$T$5001,BD!$A$3:$A$5001,$B35),SUMIFS(BD!$T$3:$T$5001,BD!$A$3:$A$5001,$B35,BD!$B$3:$B$5001,$D$2)))</f>
        <v>0</v>
      </c>
      <c r="V35" s="32">
        <f>IF($B35="","",IF($B$2="Todos",SUMIFS(BD!$U$3:$U$5001,BD!$A$3:$A$5001,$B35),SUMIFS(BD!$U$3:$U$5001,BD!$A$3:$A$5001,$B35,BD!$B$3:$B$5001,$D$2)))</f>
        <v>0</v>
      </c>
      <c r="W35" s="49">
        <f>$B$5</f>
        <v>0.7</v>
      </c>
      <c r="X35" s="49">
        <f>$B$6</f>
        <v>0.9</v>
      </c>
    </row>
    <row r="36">
      <c r="A36" s="28">
        <v>25</v>
      </c>
      <c r="B36" s="45">
        <f>IF($A36&lt;=DAY($D$7),$C$7+$A36-1,"")</f>
        <v>46320</v>
      </c>
      <c r="C36" s="32">
        <f>IF($B36="","",IF($B$2="Todos",SUMIFS(BD!$C$3:$C$5001,BD!$A$3:$A$5001,$B36),SUMIFS(BD!$C$3:$C$5001,BD!$A$3:$A$5001,$B36,BD!$B$3:$B$5001,$D$2)))</f>
        <v>0</v>
      </c>
      <c r="D36" s="32">
        <f>IF($B36="","",IF($B$2="Todos",SUMIFS(BD!$D$3:$D$5001,BD!$A$3:$A$5001,$B36),SUMIFS(BD!$D$3:$D$5001,BD!$A$3:$A$5001,$B36,BD!$B$3:$B$5001,$D$2)))</f>
        <v>0</v>
      </c>
      <c r="E36" s="46">
        <f>IF($B36="","",IF($B$2="Todos",SUMIFS(BD!$E$3:$E$5001,BD!$A$3:$A$5001,$B36),SUMIFS(BD!$E$3:$E$5001,BD!$A$3:$A$5001,$B36,BD!$B$3:$B$5001,$D$2)))</f>
        <v>0</v>
      </c>
      <c r="F36" s="32">
        <f>IF($B36="","",IF($B$2="Todos",SUMIFS(BD!$F$3:$F$5001,BD!$A$3:$A$5001,$B36),SUMIFS(BD!$F$3:$F$5001,BD!$A$3:$A$5001,$B36,BD!$B$3:$B$5001,$D$2)))</f>
        <v>0</v>
      </c>
      <c r="G36" s="32">
        <f>IF($B36="","",IF($B$2="Todos",SUMIFS(BD!$G$3:$G$5001,BD!$A$3:$A$5001,$B36),SUMIFS(BD!$G$3:$G$5001,BD!$A$3:$A$5001,$B36,BD!$B$3:$B$5001,$D$2)))</f>
        <v>0</v>
      </c>
      <c r="H36" s="46">
        <f>IF($B36="","",IF($B$2="Todos",SUMIFS(BD!$H$3:$H$5001,BD!$A$3:$A$5001,$B36),SUMIFS(BD!$H$3:$H$5001,BD!$A$3:$A$5001,$B36,BD!$B$3:$B$5001,$D$2)))</f>
        <v>0</v>
      </c>
      <c r="I36" s="32">
        <f>IF($B36="","",IF($B$2="Todos",SUMIFS(BD!$I$3:$I$5001,BD!$A$3:$A$5001,$B36),SUMIFS(BD!$I$3:$I$5001,BD!$A$3:$A$5001,$B36,BD!$B$3:$B$5001,$D$2)))</f>
        <v>0</v>
      </c>
      <c r="J36" s="32">
        <f>IF($B36="","",IF($B$2="Todos",SUMIFS(BD!$J$3:$J$5001,BD!$A$3:$A$5001,$B36),SUMIFS(BD!$J$3:$J$5001,BD!$A$3:$A$5001,$B36,BD!$B$3:$B$5001,$D$2)))</f>
        <v>0</v>
      </c>
      <c r="K36" s="32" t="str">
        <f>IF($B$2="Todos",IF(COUNT($C$139:$G$139)=0,"",SUM($C$139:$G$139)),IFERROR(INDEX($C$139:$G$139,MATCH($D$2,$C$114:$G$114,0)),""))</f>
        <v/>
      </c>
      <c r="L36" s="47" t="str">
        <f>IF(M36="","",IF($B$2="Todos",IF($B$4&gt;0,$B$4,IF($B$2="Todos",IF(COUNT($C$209:$G$209)=0,"",SUM($C$209:$G$209)),IFERROR(INDEX($C$209:$G$209,MATCH($D$2,$C$184:$G$184,0)),""))),IFERROR(INDEX($C$209:$G$209,MATCH($D$2,$C$184:$G$184,0)),"")))</f>
        <v/>
      </c>
      <c r="M36" s="32" t="str">
        <f>IF($B$2="Todos",IF(COUNT($C$174:$G$174)=0,"",SUM($C$174:$G$174)),IFERROR(INDEX($C$174:$G$174,MATCH($D$2,$C$149:$G$149,0)),""))</f>
        <v/>
      </c>
      <c r="N36" s="48" t="str">
        <f>IF(AND(ISNUMBER(M36),ISNUMBER(L36)),IF(L36&gt;0,M36/L36,""),"")</f>
        <v/>
      </c>
      <c r="O36" s="32" t="str">
        <f>IF($B$2="Todos",IF(COUNT($C$244:$G$244)=0,"",SUM($C$244:$G$244)),IFERROR(INDEX($C$244:$G$244,MATCH($D$2,$C$219:$G$219,0)),""))</f>
        <v/>
      </c>
      <c r="P36" s="32">
        <f>IF($B36="","",IF($B$2="Todos",SUMIFS(BD!$O$3:$O$5001,BD!$A$3:$A$5001,$B36),SUMIFS(BD!$O$3:$O$5001,BD!$A$3:$A$5001,$B36,BD!$B$3:$B$5001,$D$2)))</f>
        <v>0</v>
      </c>
      <c r="Q36" s="32">
        <f>IF($B36="","",IF($B$2="Todos",SUMIFS(BD!$P$3:$P$5001,BD!$A$3:$A$5001,$B36),SUMIFS(BD!$P$3:$P$5001,BD!$A$3:$A$5001,$B36,BD!$B$3:$B$5001,$D$2)))</f>
        <v>0</v>
      </c>
      <c r="R36" s="32">
        <f>IF($B36="","",IF($B$2="Todos",SUMIFS(BD!$Q$3:$Q$5001,BD!$A$3:$A$5001,$B36),SUMIFS(BD!$Q$3:$Q$5001,BD!$A$3:$A$5001,$B36,BD!$B$3:$B$5001,$D$2)))</f>
        <v>0</v>
      </c>
      <c r="S36" s="32">
        <f>IF($B36="","",IF($B$2="Todos",SUMIFS(BD!$R$3:$R$5001,BD!$A$3:$A$5001,$B36),SUMIFS(BD!$R$3:$R$5001,BD!$A$3:$A$5001,$B36,BD!$B$3:$B$5001,$D$2)))</f>
        <v>0</v>
      </c>
      <c r="T36" s="32">
        <f>IF($B36="","",IF($B$2="Todos",SUMIFS(BD!$S$3:$S$5001,BD!$A$3:$A$5001,$B36),SUMIFS(BD!$S$3:$S$5001,BD!$A$3:$A$5001,$B36,BD!$B$3:$B$5001,$D$2)))</f>
        <v>0</v>
      </c>
      <c r="U36" s="32">
        <f>IF($B36="","",IF($B$2="Todos",SUMIFS(BD!$T$3:$T$5001,BD!$A$3:$A$5001,$B36),SUMIFS(BD!$T$3:$T$5001,BD!$A$3:$A$5001,$B36,BD!$B$3:$B$5001,$D$2)))</f>
        <v>0</v>
      </c>
      <c r="V36" s="32">
        <f>IF($B36="","",IF($B$2="Todos",SUMIFS(BD!$U$3:$U$5001,BD!$A$3:$A$5001,$B36),SUMIFS(BD!$U$3:$U$5001,BD!$A$3:$A$5001,$B36,BD!$B$3:$B$5001,$D$2)))</f>
        <v>0</v>
      </c>
      <c r="W36" s="49">
        <f>$B$5</f>
        <v>0.7</v>
      </c>
      <c r="X36" s="49">
        <f>$B$6</f>
        <v>0.9</v>
      </c>
    </row>
    <row r="37">
      <c r="A37" s="28">
        <v>26</v>
      </c>
      <c r="B37" s="45">
        <f>IF($A37&lt;=DAY($D$7),$C$7+$A37-1,"")</f>
        <v>46321</v>
      </c>
      <c r="C37" s="32">
        <f>IF($B37="","",IF($B$2="Todos",SUMIFS(BD!$C$3:$C$5001,BD!$A$3:$A$5001,$B37),SUMIFS(BD!$C$3:$C$5001,BD!$A$3:$A$5001,$B37,BD!$B$3:$B$5001,$D$2)))</f>
        <v>0</v>
      </c>
      <c r="D37" s="32">
        <f>IF($B37="","",IF($B$2="Todos",SUMIFS(BD!$D$3:$D$5001,BD!$A$3:$A$5001,$B37),SUMIFS(BD!$D$3:$D$5001,BD!$A$3:$A$5001,$B37,BD!$B$3:$B$5001,$D$2)))</f>
        <v>0</v>
      </c>
      <c r="E37" s="46">
        <f>IF($B37="","",IF($B$2="Todos",SUMIFS(BD!$E$3:$E$5001,BD!$A$3:$A$5001,$B37),SUMIFS(BD!$E$3:$E$5001,BD!$A$3:$A$5001,$B37,BD!$B$3:$B$5001,$D$2)))</f>
        <v>0</v>
      </c>
      <c r="F37" s="32">
        <f>IF($B37="","",IF($B$2="Todos",SUMIFS(BD!$F$3:$F$5001,BD!$A$3:$A$5001,$B37),SUMIFS(BD!$F$3:$F$5001,BD!$A$3:$A$5001,$B37,BD!$B$3:$B$5001,$D$2)))</f>
        <v>0</v>
      </c>
      <c r="G37" s="32">
        <f>IF($B37="","",IF($B$2="Todos",SUMIFS(BD!$G$3:$G$5001,BD!$A$3:$A$5001,$B37),SUMIFS(BD!$G$3:$G$5001,BD!$A$3:$A$5001,$B37,BD!$B$3:$B$5001,$D$2)))</f>
        <v>0</v>
      </c>
      <c r="H37" s="46">
        <f>IF($B37="","",IF($B$2="Todos",SUMIFS(BD!$H$3:$H$5001,BD!$A$3:$A$5001,$B37),SUMIFS(BD!$H$3:$H$5001,BD!$A$3:$A$5001,$B37,BD!$B$3:$B$5001,$D$2)))</f>
        <v>0</v>
      </c>
      <c r="I37" s="32">
        <f>IF($B37="","",IF($B$2="Todos",SUMIFS(BD!$I$3:$I$5001,BD!$A$3:$A$5001,$B37),SUMIFS(BD!$I$3:$I$5001,BD!$A$3:$A$5001,$B37,BD!$B$3:$B$5001,$D$2)))</f>
        <v>0</v>
      </c>
      <c r="J37" s="32">
        <f>IF($B37="","",IF($B$2="Todos",SUMIFS(BD!$J$3:$J$5001,BD!$A$3:$A$5001,$B37),SUMIFS(BD!$J$3:$J$5001,BD!$A$3:$A$5001,$B37,BD!$B$3:$B$5001,$D$2)))</f>
        <v>0</v>
      </c>
      <c r="K37" s="32" t="str">
        <f>IF($B$2="Todos",IF(COUNT($C$140:$G$140)=0,"",SUM($C$140:$G$140)),IFERROR(INDEX($C$140:$G$140,MATCH($D$2,$C$114:$G$114,0)),""))</f>
        <v/>
      </c>
      <c r="L37" s="47" t="str">
        <f>IF(M37="","",IF($B$2="Todos",IF($B$4&gt;0,$B$4,IF($B$2="Todos",IF(COUNT($C$210:$G$210)=0,"",SUM($C$210:$G$210)),IFERROR(INDEX($C$210:$G$210,MATCH($D$2,$C$184:$G$184,0)),""))),IFERROR(INDEX($C$210:$G$210,MATCH($D$2,$C$184:$G$184,0)),"")))</f>
        <v/>
      </c>
      <c r="M37" s="32" t="str">
        <f>IF($B$2="Todos",IF(COUNT($C$175:$G$175)=0,"",SUM($C$175:$G$175)),IFERROR(INDEX($C$175:$G$175,MATCH($D$2,$C$149:$G$149,0)),""))</f>
        <v/>
      </c>
      <c r="N37" s="48" t="str">
        <f>IF(AND(ISNUMBER(M37),ISNUMBER(L37)),IF(L37&gt;0,M37/L37,""),"")</f>
        <v/>
      </c>
      <c r="O37" s="32" t="str">
        <f>IF($B$2="Todos",IF(COUNT($C$245:$G$245)=0,"",SUM($C$245:$G$245)),IFERROR(INDEX($C$245:$G$245,MATCH($D$2,$C$219:$G$219,0)),""))</f>
        <v/>
      </c>
      <c r="P37" s="32">
        <f>IF($B37="","",IF($B$2="Todos",SUMIFS(BD!$O$3:$O$5001,BD!$A$3:$A$5001,$B37),SUMIFS(BD!$O$3:$O$5001,BD!$A$3:$A$5001,$B37,BD!$B$3:$B$5001,$D$2)))</f>
        <v>0</v>
      </c>
      <c r="Q37" s="32">
        <f>IF($B37="","",IF($B$2="Todos",SUMIFS(BD!$P$3:$P$5001,BD!$A$3:$A$5001,$B37),SUMIFS(BD!$P$3:$P$5001,BD!$A$3:$A$5001,$B37,BD!$B$3:$B$5001,$D$2)))</f>
        <v>0</v>
      </c>
      <c r="R37" s="32">
        <f>IF($B37="","",IF($B$2="Todos",SUMIFS(BD!$Q$3:$Q$5001,BD!$A$3:$A$5001,$B37),SUMIFS(BD!$Q$3:$Q$5001,BD!$A$3:$A$5001,$B37,BD!$B$3:$B$5001,$D$2)))</f>
        <v>0</v>
      </c>
      <c r="S37" s="32">
        <f>IF($B37="","",IF($B$2="Todos",SUMIFS(BD!$R$3:$R$5001,BD!$A$3:$A$5001,$B37),SUMIFS(BD!$R$3:$R$5001,BD!$A$3:$A$5001,$B37,BD!$B$3:$B$5001,$D$2)))</f>
        <v>0</v>
      </c>
      <c r="T37" s="32">
        <f>IF($B37="","",IF($B$2="Todos",SUMIFS(BD!$S$3:$S$5001,BD!$A$3:$A$5001,$B37),SUMIFS(BD!$S$3:$S$5001,BD!$A$3:$A$5001,$B37,BD!$B$3:$B$5001,$D$2)))</f>
        <v>0</v>
      </c>
      <c r="U37" s="32">
        <f>IF($B37="","",IF($B$2="Todos",SUMIFS(BD!$T$3:$T$5001,BD!$A$3:$A$5001,$B37),SUMIFS(BD!$T$3:$T$5001,BD!$A$3:$A$5001,$B37,BD!$B$3:$B$5001,$D$2)))</f>
        <v>0</v>
      </c>
      <c r="V37" s="32">
        <f>IF($B37="","",IF($B$2="Todos",SUMIFS(BD!$U$3:$U$5001,BD!$A$3:$A$5001,$B37),SUMIFS(BD!$U$3:$U$5001,BD!$A$3:$A$5001,$B37,BD!$B$3:$B$5001,$D$2)))</f>
        <v>0</v>
      </c>
      <c r="W37" s="49">
        <f>$B$5</f>
        <v>0.7</v>
      </c>
      <c r="X37" s="49">
        <f>$B$6</f>
        <v>0.9</v>
      </c>
    </row>
    <row r="38">
      <c r="A38" s="28">
        <v>27</v>
      </c>
      <c r="B38" s="45">
        <f>IF($A38&lt;=DAY($D$7),$C$7+$A38-1,"")</f>
        <v>46322</v>
      </c>
      <c r="C38" s="32">
        <f>IF($B38="","",IF($B$2="Todos",SUMIFS(BD!$C$3:$C$5001,BD!$A$3:$A$5001,$B38),SUMIFS(BD!$C$3:$C$5001,BD!$A$3:$A$5001,$B38,BD!$B$3:$B$5001,$D$2)))</f>
        <v>0</v>
      </c>
      <c r="D38" s="32">
        <f>IF($B38="","",IF($B$2="Todos",SUMIFS(BD!$D$3:$D$5001,BD!$A$3:$A$5001,$B38),SUMIFS(BD!$D$3:$D$5001,BD!$A$3:$A$5001,$B38,BD!$B$3:$B$5001,$D$2)))</f>
        <v>0</v>
      </c>
      <c r="E38" s="46">
        <f>IF($B38="","",IF($B$2="Todos",SUMIFS(BD!$E$3:$E$5001,BD!$A$3:$A$5001,$B38),SUMIFS(BD!$E$3:$E$5001,BD!$A$3:$A$5001,$B38,BD!$B$3:$B$5001,$D$2)))</f>
        <v>0</v>
      </c>
      <c r="F38" s="32">
        <f>IF($B38="","",IF($B$2="Todos",SUMIFS(BD!$F$3:$F$5001,BD!$A$3:$A$5001,$B38),SUMIFS(BD!$F$3:$F$5001,BD!$A$3:$A$5001,$B38,BD!$B$3:$B$5001,$D$2)))</f>
        <v>0</v>
      </c>
      <c r="G38" s="32">
        <f>IF($B38="","",IF($B$2="Todos",SUMIFS(BD!$G$3:$G$5001,BD!$A$3:$A$5001,$B38),SUMIFS(BD!$G$3:$G$5001,BD!$A$3:$A$5001,$B38,BD!$B$3:$B$5001,$D$2)))</f>
        <v>0</v>
      </c>
      <c r="H38" s="46">
        <f>IF($B38="","",IF($B$2="Todos",SUMIFS(BD!$H$3:$H$5001,BD!$A$3:$A$5001,$B38),SUMIFS(BD!$H$3:$H$5001,BD!$A$3:$A$5001,$B38,BD!$B$3:$B$5001,$D$2)))</f>
        <v>0</v>
      </c>
      <c r="I38" s="32">
        <f>IF($B38="","",IF($B$2="Todos",SUMIFS(BD!$I$3:$I$5001,BD!$A$3:$A$5001,$B38),SUMIFS(BD!$I$3:$I$5001,BD!$A$3:$A$5001,$B38,BD!$B$3:$B$5001,$D$2)))</f>
        <v>0</v>
      </c>
      <c r="J38" s="32">
        <f>IF($B38="","",IF($B$2="Todos",SUMIFS(BD!$J$3:$J$5001,BD!$A$3:$A$5001,$B38),SUMIFS(BD!$J$3:$J$5001,BD!$A$3:$A$5001,$B38,BD!$B$3:$B$5001,$D$2)))</f>
        <v>0</v>
      </c>
      <c r="K38" s="32" t="str">
        <f>IF($B$2="Todos",IF(COUNT($C$141:$G$141)=0,"",SUM($C$141:$G$141)),IFERROR(INDEX($C$141:$G$141,MATCH($D$2,$C$114:$G$114,0)),""))</f>
        <v/>
      </c>
      <c r="L38" s="47" t="str">
        <f>IF(M38="","",IF($B$2="Todos",IF($B$4&gt;0,$B$4,IF($B$2="Todos",IF(COUNT($C$211:$G$211)=0,"",SUM($C$211:$G$211)),IFERROR(INDEX($C$211:$G$211,MATCH($D$2,$C$184:$G$184,0)),""))),IFERROR(INDEX($C$211:$G$211,MATCH($D$2,$C$184:$G$184,0)),"")))</f>
        <v/>
      </c>
      <c r="M38" s="32" t="str">
        <f>IF($B$2="Todos",IF(COUNT($C$176:$G$176)=0,"",SUM($C$176:$G$176)),IFERROR(INDEX($C$176:$G$176,MATCH($D$2,$C$149:$G$149,0)),""))</f>
        <v/>
      </c>
      <c r="N38" s="48" t="str">
        <f>IF(AND(ISNUMBER(M38),ISNUMBER(L38)),IF(L38&gt;0,M38/L38,""),"")</f>
        <v/>
      </c>
      <c r="O38" s="32" t="str">
        <f>IF($B$2="Todos",IF(COUNT($C$246:$G$246)=0,"",SUM($C$246:$G$246)),IFERROR(INDEX($C$246:$G$246,MATCH($D$2,$C$219:$G$219,0)),""))</f>
        <v/>
      </c>
      <c r="P38" s="32">
        <f>IF($B38="","",IF($B$2="Todos",SUMIFS(BD!$O$3:$O$5001,BD!$A$3:$A$5001,$B38),SUMIFS(BD!$O$3:$O$5001,BD!$A$3:$A$5001,$B38,BD!$B$3:$B$5001,$D$2)))</f>
        <v>0</v>
      </c>
      <c r="Q38" s="32">
        <f>IF($B38="","",IF($B$2="Todos",SUMIFS(BD!$P$3:$P$5001,BD!$A$3:$A$5001,$B38),SUMIFS(BD!$P$3:$P$5001,BD!$A$3:$A$5001,$B38,BD!$B$3:$B$5001,$D$2)))</f>
        <v>0</v>
      </c>
      <c r="R38" s="32">
        <f>IF($B38="","",IF($B$2="Todos",SUMIFS(BD!$Q$3:$Q$5001,BD!$A$3:$A$5001,$B38),SUMIFS(BD!$Q$3:$Q$5001,BD!$A$3:$A$5001,$B38,BD!$B$3:$B$5001,$D$2)))</f>
        <v>0</v>
      </c>
      <c r="S38" s="32">
        <f>IF($B38="","",IF($B$2="Todos",SUMIFS(BD!$R$3:$R$5001,BD!$A$3:$A$5001,$B38),SUMIFS(BD!$R$3:$R$5001,BD!$A$3:$A$5001,$B38,BD!$B$3:$B$5001,$D$2)))</f>
        <v>0</v>
      </c>
      <c r="T38" s="32">
        <f>IF($B38="","",IF($B$2="Todos",SUMIFS(BD!$S$3:$S$5001,BD!$A$3:$A$5001,$B38),SUMIFS(BD!$S$3:$S$5001,BD!$A$3:$A$5001,$B38,BD!$B$3:$B$5001,$D$2)))</f>
        <v>0</v>
      </c>
      <c r="U38" s="32">
        <f>IF($B38="","",IF($B$2="Todos",SUMIFS(BD!$T$3:$T$5001,BD!$A$3:$A$5001,$B38),SUMIFS(BD!$T$3:$T$5001,BD!$A$3:$A$5001,$B38,BD!$B$3:$B$5001,$D$2)))</f>
        <v>0</v>
      </c>
      <c r="V38" s="32">
        <f>IF($B38="","",IF($B$2="Todos",SUMIFS(BD!$U$3:$U$5001,BD!$A$3:$A$5001,$B38),SUMIFS(BD!$U$3:$U$5001,BD!$A$3:$A$5001,$B38,BD!$B$3:$B$5001,$D$2)))</f>
        <v>0</v>
      </c>
      <c r="W38" s="49">
        <f>$B$5</f>
        <v>0.7</v>
      </c>
      <c r="X38" s="49">
        <f>$B$6</f>
        <v>0.9</v>
      </c>
    </row>
    <row r="39">
      <c r="A39" s="28">
        <v>28</v>
      </c>
      <c r="B39" s="45">
        <f>IF($A39&lt;=DAY($D$7),$C$7+$A39-1,"")</f>
        <v>46323</v>
      </c>
      <c r="C39" s="32">
        <f>IF($B39="","",IF($B$2="Todos",SUMIFS(BD!$C$3:$C$5001,BD!$A$3:$A$5001,$B39),SUMIFS(BD!$C$3:$C$5001,BD!$A$3:$A$5001,$B39,BD!$B$3:$B$5001,$D$2)))</f>
        <v>0</v>
      </c>
      <c r="D39" s="32">
        <f>IF($B39="","",IF($B$2="Todos",SUMIFS(BD!$D$3:$D$5001,BD!$A$3:$A$5001,$B39),SUMIFS(BD!$D$3:$D$5001,BD!$A$3:$A$5001,$B39,BD!$B$3:$B$5001,$D$2)))</f>
        <v>0</v>
      </c>
      <c r="E39" s="46">
        <f>IF($B39="","",IF($B$2="Todos",SUMIFS(BD!$E$3:$E$5001,BD!$A$3:$A$5001,$B39),SUMIFS(BD!$E$3:$E$5001,BD!$A$3:$A$5001,$B39,BD!$B$3:$B$5001,$D$2)))</f>
        <v>0</v>
      </c>
      <c r="F39" s="32">
        <f>IF($B39="","",IF($B$2="Todos",SUMIFS(BD!$F$3:$F$5001,BD!$A$3:$A$5001,$B39),SUMIFS(BD!$F$3:$F$5001,BD!$A$3:$A$5001,$B39,BD!$B$3:$B$5001,$D$2)))</f>
        <v>0</v>
      </c>
      <c r="G39" s="32">
        <f>IF($B39="","",IF($B$2="Todos",SUMIFS(BD!$G$3:$G$5001,BD!$A$3:$A$5001,$B39),SUMIFS(BD!$G$3:$G$5001,BD!$A$3:$A$5001,$B39,BD!$B$3:$B$5001,$D$2)))</f>
        <v>0</v>
      </c>
      <c r="H39" s="46">
        <f>IF($B39="","",IF($B$2="Todos",SUMIFS(BD!$H$3:$H$5001,BD!$A$3:$A$5001,$B39),SUMIFS(BD!$H$3:$H$5001,BD!$A$3:$A$5001,$B39,BD!$B$3:$B$5001,$D$2)))</f>
        <v>0</v>
      </c>
      <c r="I39" s="32">
        <f>IF($B39="","",IF($B$2="Todos",SUMIFS(BD!$I$3:$I$5001,BD!$A$3:$A$5001,$B39),SUMIFS(BD!$I$3:$I$5001,BD!$A$3:$A$5001,$B39,BD!$B$3:$B$5001,$D$2)))</f>
        <v>0</v>
      </c>
      <c r="J39" s="32">
        <f>IF($B39="","",IF($B$2="Todos",SUMIFS(BD!$J$3:$J$5001,BD!$A$3:$A$5001,$B39),SUMIFS(BD!$J$3:$J$5001,BD!$A$3:$A$5001,$B39,BD!$B$3:$B$5001,$D$2)))</f>
        <v>0</v>
      </c>
      <c r="K39" s="32" t="str">
        <f>IF($B$2="Todos",IF(COUNT($C$142:$G$142)=0,"",SUM($C$142:$G$142)),IFERROR(INDEX($C$142:$G$142,MATCH($D$2,$C$114:$G$114,0)),""))</f>
        <v/>
      </c>
      <c r="L39" s="47" t="str">
        <f>IF(M39="","",IF($B$2="Todos",IF($B$4&gt;0,$B$4,IF($B$2="Todos",IF(COUNT($C$212:$G$212)=0,"",SUM($C$212:$G$212)),IFERROR(INDEX($C$212:$G$212,MATCH($D$2,$C$184:$G$184,0)),""))),IFERROR(INDEX($C$212:$G$212,MATCH($D$2,$C$184:$G$184,0)),"")))</f>
        <v/>
      </c>
      <c r="M39" s="32" t="str">
        <f>IF($B$2="Todos",IF(COUNT($C$177:$G$177)=0,"",SUM($C$177:$G$177)),IFERROR(INDEX($C$177:$G$177,MATCH($D$2,$C$149:$G$149,0)),""))</f>
        <v/>
      </c>
      <c r="N39" s="48" t="str">
        <f>IF(AND(ISNUMBER(M39),ISNUMBER(L39)),IF(L39&gt;0,M39/L39,""),"")</f>
        <v/>
      </c>
      <c r="O39" s="32" t="str">
        <f>IF($B$2="Todos",IF(COUNT($C$247:$G$247)=0,"",SUM($C$247:$G$247)),IFERROR(INDEX($C$247:$G$247,MATCH($D$2,$C$219:$G$219,0)),""))</f>
        <v/>
      </c>
      <c r="P39" s="32">
        <f>IF($B39="","",IF($B$2="Todos",SUMIFS(BD!$O$3:$O$5001,BD!$A$3:$A$5001,$B39),SUMIFS(BD!$O$3:$O$5001,BD!$A$3:$A$5001,$B39,BD!$B$3:$B$5001,$D$2)))</f>
        <v>0</v>
      </c>
      <c r="Q39" s="32">
        <f>IF($B39="","",IF($B$2="Todos",SUMIFS(BD!$P$3:$P$5001,BD!$A$3:$A$5001,$B39),SUMIFS(BD!$P$3:$P$5001,BD!$A$3:$A$5001,$B39,BD!$B$3:$B$5001,$D$2)))</f>
        <v>0</v>
      </c>
      <c r="R39" s="32">
        <f>IF($B39="","",IF($B$2="Todos",SUMIFS(BD!$Q$3:$Q$5001,BD!$A$3:$A$5001,$B39),SUMIFS(BD!$Q$3:$Q$5001,BD!$A$3:$A$5001,$B39,BD!$B$3:$B$5001,$D$2)))</f>
        <v>0</v>
      </c>
      <c r="S39" s="32">
        <f>IF($B39="","",IF($B$2="Todos",SUMIFS(BD!$R$3:$R$5001,BD!$A$3:$A$5001,$B39),SUMIFS(BD!$R$3:$R$5001,BD!$A$3:$A$5001,$B39,BD!$B$3:$B$5001,$D$2)))</f>
        <v>0</v>
      </c>
      <c r="T39" s="32">
        <f>IF($B39="","",IF($B$2="Todos",SUMIFS(BD!$S$3:$S$5001,BD!$A$3:$A$5001,$B39),SUMIFS(BD!$S$3:$S$5001,BD!$A$3:$A$5001,$B39,BD!$B$3:$B$5001,$D$2)))</f>
        <v>0</v>
      </c>
      <c r="U39" s="32">
        <f>IF($B39="","",IF($B$2="Todos",SUMIFS(BD!$T$3:$T$5001,BD!$A$3:$A$5001,$B39),SUMIFS(BD!$T$3:$T$5001,BD!$A$3:$A$5001,$B39,BD!$B$3:$B$5001,$D$2)))</f>
        <v>0</v>
      </c>
      <c r="V39" s="32">
        <f>IF($B39="","",IF($B$2="Todos",SUMIFS(BD!$U$3:$U$5001,BD!$A$3:$A$5001,$B39),SUMIFS(BD!$U$3:$U$5001,BD!$A$3:$A$5001,$B39,BD!$B$3:$B$5001,$D$2)))</f>
        <v>0</v>
      </c>
      <c r="W39" s="49">
        <f>$B$5</f>
        <v>0.7</v>
      </c>
      <c r="X39" s="49">
        <f>$B$6</f>
        <v>0.9</v>
      </c>
    </row>
    <row r="40">
      <c r="A40" s="28">
        <v>29</v>
      </c>
      <c r="B40" s="45">
        <f>IF($A40&lt;=DAY($D$7),$C$7+$A40-1,"")</f>
        <v>46324</v>
      </c>
      <c r="C40" s="32">
        <f>IF($B40="","",IF($B$2="Todos",SUMIFS(BD!$C$3:$C$5001,BD!$A$3:$A$5001,$B40),SUMIFS(BD!$C$3:$C$5001,BD!$A$3:$A$5001,$B40,BD!$B$3:$B$5001,$D$2)))</f>
        <v>0</v>
      </c>
      <c r="D40" s="32">
        <f>IF($B40="","",IF($B$2="Todos",SUMIFS(BD!$D$3:$D$5001,BD!$A$3:$A$5001,$B40),SUMIFS(BD!$D$3:$D$5001,BD!$A$3:$A$5001,$B40,BD!$B$3:$B$5001,$D$2)))</f>
        <v>0</v>
      </c>
      <c r="E40" s="46">
        <f>IF($B40="","",IF($B$2="Todos",SUMIFS(BD!$E$3:$E$5001,BD!$A$3:$A$5001,$B40),SUMIFS(BD!$E$3:$E$5001,BD!$A$3:$A$5001,$B40,BD!$B$3:$B$5001,$D$2)))</f>
        <v>0</v>
      </c>
      <c r="F40" s="32">
        <f>IF($B40="","",IF($B$2="Todos",SUMIFS(BD!$F$3:$F$5001,BD!$A$3:$A$5001,$B40),SUMIFS(BD!$F$3:$F$5001,BD!$A$3:$A$5001,$B40,BD!$B$3:$B$5001,$D$2)))</f>
        <v>0</v>
      </c>
      <c r="G40" s="32">
        <f>IF($B40="","",IF($B$2="Todos",SUMIFS(BD!$G$3:$G$5001,BD!$A$3:$A$5001,$B40),SUMIFS(BD!$G$3:$G$5001,BD!$A$3:$A$5001,$B40,BD!$B$3:$B$5001,$D$2)))</f>
        <v>0</v>
      </c>
      <c r="H40" s="46">
        <f>IF($B40="","",IF($B$2="Todos",SUMIFS(BD!$H$3:$H$5001,BD!$A$3:$A$5001,$B40),SUMIFS(BD!$H$3:$H$5001,BD!$A$3:$A$5001,$B40,BD!$B$3:$B$5001,$D$2)))</f>
        <v>0</v>
      </c>
      <c r="I40" s="32">
        <f>IF($B40="","",IF($B$2="Todos",SUMIFS(BD!$I$3:$I$5001,BD!$A$3:$A$5001,$B40),SUMIFS(BD!$I$3:$I$5001,BD!$A$3:$A$5001,$B40,BD!$B$3:$B$5001,$D$2)))</f>
        <v>0</v>
      </c>
      <c r="J40" s="32">
        <f>IF($B40="","",IF($B$2="Todos",SUMIFS(BD!$J$3:$J$5001,BD!$A$3:$A$5001,$B40),SUMIFS(BD!$J$3:$J$5001,BD!$A$3:$A$5001,$B40,BD!$B$3:$B$5001,$D$2)))</f>
        <v>0</v>
      </c>
      <c r="K40" s="32" t="str">
        <f>IF($B$2="Todos",IF(COUNT($C$143:$G$143)=0,"",SUM($C$143:$G$143)),IFERROR(INDEX($C$143:$G$143,MATCH($D$2,$C$114:$G$114,0)),""))</f>
        <v/>
      </c>
      <c r="L40" s="47" t="str">
        <f>IF(M40="","",IF($B$2="Todos",IF($B$4&gt;0,$B$4,IF($B$2="Todos",IF(COUNT($C$213:$G$213)=0,"",SUM($C$213:$G$213)),IFERROR(INDEX($C$213:$G$213,MATCH($D$2,$C$184:$G$184,0)),""))),IFERROR(INDEX($C$213:$G$213,MATCH($D$2,$C$184:$G$184,0)),"")))</f>
        <v/>
      </c>
      <c r="M40" s="32" t="str">
        <f>IF($B$2="Todos",IF(COUNT($C$178:$G$178)=0,"",SUM($C$178:$G$178)),IFERROR(INDEX($C$178:$G$178,MATCH($D$2,$C$149:$G$149,0)),""))</f>
        <v/>
      </c>
      <c r="N40" s="48" t="str">
        <f>IF(AND(ISNUMBER(M40),ISNUMBER(L40)),IF(L40&gt;0,M40/L40,""),"")</f>
        <v/>
      </c>
      <c r="O40" s="32" t="str">
        <f>IF($B$2="Todos",IF(COUNT($C$248:$G$248)=0,"",SUM($C$248:$G$248)),IFERROR(INDEX($C$248:$G$248,MATCH($D$2,$C$219:$G$219,0)),""))</f>
        <v/>
      </c>
      <c r="P40" s="32">
        <f>IF($B40="","",IF($B$2="Todos",SUMIFS(BD!$O$3:$O$5001,BD!$A$3:$A$5001,$B40),SUMIFS(BD!$O$3:$O$5001,BD!$A$3:$A$5001,$B40,BD!$B$3:$B$5001,$D$2)))</f>
        <v>0</v>
      </c>
      <c r="Q40" s="32">
        <f>IF($B40="","",IF($B$2="Todos",SUMIFS(BD!$P$3:$P$5001,BD!$A$3:$A$5001,$B40),SUMIFS(BD!$P$3:$P$5001,BD!$A$3:$A$5001,$B40,BD!$B$3:$B$5001,$D$2)))</f>
        <v>0</v>
      </c>
      <c r="R40" s="32">
        <f>IF($B40="","",IF($B$2="Todos",SUMIFS(BD!$Q$3:$Q$5001,BD!$A$3:$A$5001,$B40),SUMIFS(BD!$Q$3:$Q$5001,BD!$A$3:$A$5001,$B40,BD!$B$3:$B$5001,$D$2)))</f>
        <v>0</v>
      </c>
      <c r="S40" s="32">
        <f>IF($B40="","",IF($B$2="Todos",SUMIFS(BD!$R$3:$R$5001,BD!$A$3:$A$5001,$B40),SUMIFS(BD!$R$3:$R$5001,BD!$A$3:$A$5001,$B40,BD!$B$3:$B$5001,$D$2)))</f>
        <v>0</v>
      </c>
      <c r="T40" s="32">
        <f>IF($B40="","",IF($B$2="Todos",SUMIFS(BD!$S$3:$S$5001,BD!$A$3:$A$5001,$B40),SUMIFS(BD!$S$3:$S$5001,BD!$A$3:$A$5001,$B40,BD!$B$3:$B$5001,$D$2)))</f>
        <v>0</v>
      </c>
      <c r="U40" s="32">
        <f>IF($B40="","",IF($B$2="Todos",SUMIFS(BD!$T$3:$T$5001,BD!$A$3:$A$5001,$B40),SUMIFS(BD!$T$3:$T$5001,BD!$A$3:$A$5001,$B40,BD!$B$3:$B$5001,$D$2)))</f>
        <v>0</v>
      </c>
      <c r="V40" s="32">
        <f>IF($B40="","",IF($B$2="Todos",SUMIFS(BD!$U$3:$U$5001,BD!$A$3:$A$5001,$B40),SUMIFS(BD!$U$3:$U$5001,BD!$A$3:$A$5001,$B40,BD!$B$3:$B$5001,$D$2)))</f>
        <v>0</v>
      </c>
      <c r="W40" s="49">
        <f>$B$5</f>
        <v>0.7</v>
      </c>
      <c r="X40" s="49">
        <f>$B$6</f>
        <v>0.9</v>
      </c>
    </row>
    <row r="41">
      <c r="A41" s="28">
        <v>30</v>
      </c>
      <c r="B41" s="45">
        <f>IF($A41&lt;=DAY($D$7),$C$7+$A41-1,"")</f>
        <v>46325</v>
      </c>
      <c r="C41" s="32">
        <f>IF($B41="","",IF($B$2="Todos",SUMIFS(BD!$C$3:$C$5001,BD!$A$3:$A$5001,$B41),SUMIFS(BD!$C$3:$C$5001,BD!$A$3:$A$5001,$B41,BD!$B$3:$B$5001,$D$2)))</f>
        <v>0</v>
      </c>
      <c r="D41" s="32">
        <f>IF($B41="","",IF($B$2="Todos",SUMIFS(BD!$D$3:$D$5001,BD!$A$3:$A$5001,$B41),SUMIFS(BD!$D$3:$D$5001,BD!$A$3:$A$5001,$B41,BD!$B$3:$B$5001,$D$2)))</f>
        <v>0</v>
      </c>
      <c r="E41" s="46">
        <f>IF($B41="","",IF($B$2="Todos",SUMIFS(BD!$E$3:$E$5001,BD!$A$3:$A$5001,$B41),SUMIFS(BD!$E$3:$E$5001,BD!$A$3:$A$5001,$B41,BD!$B$3:$B$5001,$D$2)))</f>
        <v>0</v>
      </c>
      <c r="F41" s="32">
        <f>IF($B41="","",IF($B$2="Todos",SUMIFS(BD!$F$3:$F$5001,BD!$A$3:$A$5001,$B41),SUMIFS(BD!$F$3:$F$5001,BD!$A$3:$A$5001,$B41,BD!$B$3:$B$5001,$D$2)))</f>
        <v>0</v>
      </c>
      <c r="G41" s="32">
        <f>IF($B41="","",IF($B$2="Todos",SUMIFS(BD!$G$3:$G$5001,BD!$A$3:$A$5001,$B41),SUMIFS(BD!$G$3:$G$5001,BD!$A$3:$A$5001,$B41,BD!$B$3:$B$5001,$D$2)))</f>
        <v>0</v>
      </c>
      <c r="H41" s="46">
        <f>IF($B41="","",IF($B$2="Todos",SUMIFS(BD!$H$3:$H$5001,BD!$A$3:$A$5001,$B41),SUMIFS(BD!$H$3:$H$5001,BD!$A$3:$A$5001,$B41,BD!$B$3:$B$5001,$D$2)))</f>
        <v>0</v>
      </c>
      <c r="I41" s="32">
        <f>IF($B41="","",IF($B$2="Todos",SUMIFS(BD!$I$3:$I$5001,BD!$A$3:$A$5001,$B41),SUMIFS(BD!$I$3:$I$5001,BD!$A$3:$A$5001,$B41,BD!$B$3:$B$5001,$D$2)))</f>
        <v>0</v>
      </c>
      <c r="J41" s="32">
        <f>IF($B41="","",IF($B$2="Todos",SUMIFS(BD!$J$3:$J$5001,BD!$A$3:$A$5001,$B41),SUMIFS(BD!$J$3:$J$5001,BD!$A$3:$A$5001,$B41,BD!$B$3:$B$5001,$D$2)))</f>
        <v>0</v>
      </c>
      <c r="K41" s="32" t="str">
        <f>IF($B$2="Todos",IF(COUNT($C$144:$G$144)=0,"",SUM($C$144:$G$144)),IFERROR(INDEX($C$144:$G$144,MATCH($D$2,$C$114:$G$114,0)),""))</f>
        <v/>
      </c>
      <c r="L41" s="47" t="str">
        <f>IF(M41="","",IF($B$2="Todos",IF($B$4&gt;0,$B$4,IF($B$2="Todos",IF(COUNT($C$214:$G$214)=0,"",SUM($C$214:$G$214)),IFERROR(INDEX($C$214:$G$214,MATCH($D$2,$C$184:$G$184,0)),""))),IFERROR(INDEX($C$214:$G$214,MATCH($D$2,$C$184:$G$184,0)),"")))</f>
        <v/>
      </c>
      <c r="M41" s="32" t="str">
        <f>IF($B$2="Todos",IF(COUNT($C$179:$G$179)=0,"",SUM($C$179:$G$179)),IFERROR(INDEX($C$179:$G$179,MATCH($D$2,$C$149:$G$149,0)),""))</f>
        <v/>
      </c>
      <c r="N41" s="48" t="str">
        <f>IF(AND(ISNUMBER(M41),ISNUMBER(L41)),IF(L41&gt;0,M41/L41,""),"")</f>
        <v/>
      </c>
      <c r="O41" s="32" t="str">
        <f>IF($B$2="Todos",IF(COUNT($C$249:$G$249)=0,"",SUM($C$249:$G$249)),IFERROR(INDEX($C$249:$G$249,MATCH($D$2,$C$219:$G$219,0)),""))</f>
        <v/>
      </c>
      <c r="P41" s="32">
        <f>IF($B41="","",IF($B$2="Todos",SUMIFS(BD!$O$3:$O$5001,BD!$A$3:$A$5001,$B41),SUMIFS(BD!$O$3:$O$5001,BD!$A$3:$A$5001,$B41,BD!$B$3:$B$5001,$D$2)))</f>
        <v>0</v>
      </c>
      <c r="Q41" s="32">
        <f>IF($B41="","",IF($B$2="Todos",SUMIFS(BD!$P$3:$P$5001,BD!$A$3:$A$5001,$B41),SUMIFS(BD!$P$3:$P$5001,BD!$A$3:$A$5001,$B41,BD!$B$3:$B$5001,$D$2)))</f>
        <v>0</v>
      </c>
      <c r="R41" s="32">
        <f>IF($B41="","",IF($B$2="Todos",SUMIFS(BD!$Q$3:$Q$5001,BD!$A$3:$A$5001,$B41),SUMIFS(BD!$Q$3:$Q$5001,BD!$A$3:$A$5001,$B41,BD!$B$3:$B$5001,$D$2)))</f>
        <v>0</v>
      </c>
      <c r="S41" s="32">
        <f>IF($B41="","",IF($B$2="Todos",SUMIFS(BD!$R$3:$R$5001,BD!$A$3:$A$5001,$B41),SUMIFS(BD!$R$3:$R$5001,BD!$A$3:$A$5001,$B41,BD!$B$3:$B$5001,$D$2)))</f>
        <v>0</v>
      </c>
      <c r="T41" s="32">
        <f>IF($B41="","",IF($B$2="Todos",SUMIFS(BD!$S$3:$S$5001,BD!$A$3:$A$5001,$B41),SUMIFS(BD!$S$3:$S$5001,BD!$A$3:$A$5001,$B41,BD!$B$3:$B$5001,$D$2)))</f>
        <v>0</v>
      </c>
      <c r="U41" s="32">
        <f>IF($B41="","",IF($B$2="Todos",SUMIFS(BD!$T$3:$T$5001,BD!$A$3:$A$5001,$B41),SUMIFS(BD!$T$3:$T$5001,BD!$A$3:$A$5001,$B41,BD!$B$3:$B$5001,$D$2)))</f>
        <v>0</v>
      </c>
      <c r="V41" s="32">
        <f>IF($B41="","",IF($B$2="Todos",SUMIFS(BD!$U$3:$U$5001,BD!$A$3:$A$5001,$B41),SUMIFS(BD!$U$3:$U$5001,BD!$A$3:$A$5001,$B41,BD!$B$3:$B$5001,$D$2)))</f>
        <v>0</v>
      </c>
      <c r="W41" s="49">
        <f>$B$5</f>
        <v>0.7</v>
      </c>
      <c r="X41" s="49">
        <f>$B$6</f>
        <v>0.9</v>
      </c>
    </row>
    <row r="42">
      <c r="A42" s="28">
        <v>31</v>
      </c>
      <c r="B42" s="45">
        <f>IF($A42&lt;=DAY($D$7),$C$7+$A42-1,"")</f>
        <v>46326</v>
      </c>
      <c r="C42" s="32">
        <f>IF($B42="","",IF($B$2="Todos",SUMIFS(BD!$C$3:$C$5001,BD!$A$3:$A$5001,$B42),SUMIFS(BD!$C$3:$C$5001,BD!$A$3:$A$5001,$B42,BD!$B$3:$B$5001,$D$2)))</f>
        <v>0</v>
      </c>
      <c r="D42" s="32">
        <f>IF($B42="","",IF($B$2="Todos",SUMIFS(BD!$D$3:$D$5001,BD!$A$3:$A$5001,$B42),SUMIFS(BD!$D$3:$D$5001,BD!$A$3:$A$5001,$B42,BD!$B$3:$B$5001,$D$2)))</f>
        <v>0</v>
      </c>
      <c r="E42" s="46">
        <f>IF($B42="","",IF($B$2="Todos",SUMIFS(BD!$E$3:$E$5001,BD!$A$3:$A$5001,$B42),SUMIFS(BD!$E$3:$E$5001,BD!$A$3:$A$5001,$B42,BD!$B$3:$B$5001,$D$2)))</f>
        <v>0</v>
      </c>
      <c r="F42" s="32">
        <f>IF($B42="","",IF($B$2="Todos",SUMIFS(BD!$F$3:$F$5001,BD!$A$3:$A$5001,$B42),SUMIFS(BD!$F$3:$F$5001,BD!$A$3:$A$5001,$B42,BD!$B$3:$B$5001,$D$2)))</f>
        <v>0</v>
      </c>
      <c r="G42" s="32">
        <f>IF($B42="","",IF($B$2="Todos",SUMIFS(BD!$G$3:$G$5001,BD!$A$3:$A$5001,$B42),SUMIFS(BD!$G$3:$G$5001,BD!$A$3:$A$5001,$B42,BD!$B$3:$B$5001,$D$2)))</f>
        <v>0</v>
      </c>
      <c r="H42" s="46">
        <f>IF($B42="","",IF($B$2="Todos",SUMIFS(BD!$H$3:$H$5001,BD!$A$3:$A$5001,$B42),SUMIFS(BD!$H$3:$H$5001,BD!$A$3:$A$5001,$B42,BD!$B$3:$B$5001,$D$2)))</f>
        <v>0</v>
      </c>
      <c r="I42" s="32">
        <f>IF($B42="","",IF($B$2="Todos",SUMIFS(BD!$I$3:$I$5001,BD!$A$3:$A$5001,$B42),SUMIFS(BD!$I$3:$I$5001,BD!$A$3:$A$5001,$B42,BD!$B$3:$B$5001,$D$2)))</f>
        <v>0</v>
      </c>
      <c r="J42" s="32">
        <f>IF($B42="","",IF($B$2="Todos",SUMIFS(BD!$J$3:$J$5001,BD!$A$3:$A$5001,$B42),SUMIFS(BD!$J$3:$J$5001,BD!$A$3:$A$5001,$B42,BD!$B$3:$B$5001,$D$2)))</f>
        <v>0</v>
      </c>
      <c r="K42" s="32" t="str">
        <f>IF($B$2="Todos",IF(COUNT($C$145:$G$145)=0,"",SUM($C$145:$G$145)),IFERROR(INDEX($C$145:$G$145,MATCH($D$2,$C$114:$G$114,0)),""))</f>
        <v/>
      </c>
      <c r="L42" s="47" t="str">
        <f>IF(M42="","",IF($B$2="Todos",IF($B$4&gt;0,$B$4,IF($B$2="Todos",IF(COUNT($C$215:$G$215)=0,"",SUM($C$215:$G$215)),IFERROR(INDEX($C$215:$G$215,MATCH($D$2,$C$184:$G$184,0)),""))),IFERROR(INDEX($C$215:$G$215,MATCH($D$2,$C$184:$G$184,0)),"")))</f>
        <v/>
      </c>
      <c r="M42" s="32" t="str">
        <f>IF($B$2="Todos",IF(COUNT($C$180:$G$180)=0,"",SUM($C$180:$G$180)),IFERROR(INDEX($C$180:$G$180,MATCH($D$2,$C$149:$G$149,0)),""))</f>
        <v/>
      </c>
      <c r="N42" s="48" t="str">
        <f>IF(AND(ISNUMBER(M42),ISNUMBER(L42)),IF(L42&gt;0,M42/L42,""),"")</f>
        <v/>
      </c>
      <c r="O42" s="32" t="str">
        <f>IF($B$2="Todos",IF(COUNT($C$250:$G$250)=0,"",SUM($C$250:$G$250)),IFERROR(INDEX($C$250:$G$250,MATCH($D$2,$C$219:$G$219,0)),""))</f>
        <v/>
      </c>
      <c r="P42" s="32">
        <f>IF($B42="","",IF($B$2="Todos",SUMIFS(BD!$O$3:$O$5001,BD!$A$3:$A$5001,$B42),SUMIFS(BD!$O$3:$O$5001,BD!$A$3:$A$5001,$B42,BD!$B$3:$B$5001,$D$2)))</f>
        <v>0</v>
      </c>
      <c r="Q42" s="32">
        <f>IF($B42="","",IF($B$2="Todos",SUMIFS(BD!$P$3:$P$5001,BD!$A$3:$A$5001,$B42),SUMIFS(BD!$P$3:$P$5001,BD!$A$3:$A$5001,$B42,BD!$B$3:$B$5001,$D$2)))</f>
        <v>0</v>
      </c>
      <c r="R42" s="32">
        <f>IF($B42="","",IF($B$2="Todos",SUMIFS(BD!$Q$3:$Q$5001,BD!$A$3:$A$5001,$B42),SUMIFS(BD!$Q$3:$Q$5001,BD!$A$3:$A$5001,$B42,BD!$B$3:$B$5001,$D$2)))</f>
        <v>0</v>
      </c>
      <c r="S42" s="32">
        <f>IF($B42="","",IF($B$2="Todos",SUMIFS(BD!$R$3:$R$5001,BD!$A$3:$A$5001,$B42),SUMIFS(BD!$R$3:$R$5001,BD!$A$3:$A$5001,$B42,BD!$B$3:$B$5001,$D$2)))</f>
        <v>0</v>
      </c>
      <c r="T42" s="32">
        <f>IF($B42="","",IF($B$2="Todos",SUMIFS(BD!$S$3:$S$5001,BD!$A$3:$A$5001,$B42),SUMIFS(BD!$S$3:$S$5001,BD!$A$3:$A$5001,$B42,BD!$B$3:$B$5001,$D$2)))</f>
        <v>0</v>
      </c>
      <c r="U42" s="32">
        <f>IF($B42="","",IF($B$2="Todos",SUMIFS(BD!$T$3:$T$5001,BD!$A$3:$A$5001,$B42),SUMIFS(BD!$T$3:$T$5001,BD!$A$3:$A$5001,$B42,BD!$B$3:$B$5001,$D$2)))</f>
        <v>0</v>
      </c>
      <c r="V42" s="32">
        <f>IF($B42="","",IF($B$2="Todos",SUMIFS(BD!$U$3:$U$5001,BD!$A$3:$A$5001,$B42),SUMIFS(BD!$U$3:$U$5001,BD!$A$3:$A$5001,$B42,BD!$B$3:$B$5001,$D$2)))</f>
        <v>0</v>
      </c>
      <c r="W42" s="49">
        <f>$B$5</f>
        <v>0.7</v>
      </c>
      <c r="X42" s="49">
        <f>$B$6</f>
        <v>0.9</v>
      </c>
    </row>
    <row r="43">
      <c r="A43" s="50" t="inlineStr">
        <is>
          <t xml:space="preserve">Realizado no mês (soma · último valor em estoque)</t>
        </is>
      </c>
      <c r="C43" s="52">
        <f>SUM(C12:C42)</f>
        <v>0</v>
      </c>
      <c r="D43" s="52">
        <f>SUM(D12:D42)</f>
        <v>0</v>
      </c>
      <c r="E43" s="58">
        <f>SUM(E12:E42)</f>
        <v>0</v>
      </c>
      <c r="F43" s="52">
        <f>SUM(F12:F42)</f>
        <v>0</v>
      </c>
      <c r="G43" s="52">
        <f>SUM(G12:G42)</f>
        <v>0</v>
      </c>
      <c r="H43" s="58">
        <f>SUM(H12:H42)</f>
        <v>0</v>
      </c>
      <c r="I43" s="52">
        <f>SUM(I12:I42)</f>
        <v>0</v>
      </c>
      <c r="J43" s="52">
        <f>SUM(J12:J42)</f>
        <v>0</v>
      </c>
      <c r="K43" s="52" t="str">
        <f>IFERROR(LOOKUP(9.99E+307,K12:K42),"")</f>
        <v/>
      </c>
      <c r="L43" s="52" t="str">
        <f>IFERROR(LOOKUP(9.99E+307,L12:L42),"")</f>
        <v/>
      </c>
      <c r="M43" s="52" t="str">
        <f>IFERROR(LOOKUP(9.99E+307,M12:M42),"")</f>
        <v/>
      </c>
      <c r="N43" s="59" t="str">
        <f>IFERROR(LOOKUP(9.99E+307,N12:N42),"")</f>
        <v/>
      </c>
      <c r="O43" s="52" t="str">
        <f>IFERROR(LOOKUP(9.99E+307,O12:O42),"")</f>
        <v/>
      </c>
      <c r="P43" s="52">
        <f>SUM(P12:P42)</f>
        <v>0</v>
      </c>
      <c r="Q43" s="52">
        <f>SUM(Q12:Q42)</f>
        <v>0</v>
      </c>
      <c r="R43" s="52">
        <f>SUM(R12:R42)</f>
        <v>0</v>
      </c>
      <c r="S43" s="52">
        <f>SUM(S12:S42)</f>
        <v>0</v>
      </c>
      <c r="T43" s="52">
        <f>SUM(T12:T42)</f>
        <v>0</v>
      </c>
      <c r="U43" s="52">
        <f>SUM(U12:U42)</f>
        <v>0</v>
      </c>
      <c r="V43" s="52">
        <f>SUM(V12:V42)</f>
        <v>0</v>
      </c>
    </row>
    <row r="44">
      <c r="A44" s="51" t="inlineStr">
        <is>
          <t xml:space="preserve">Média por dia</t>
        </is>
      </c>
      <c r="C44" s="53" t="str">
        <f>IFERROR(AVERAGEIF(C12:C42,"&gt;0"),"")</f>
        <v/>
      </c>
      <c r="D44" s="53" t="str">
        <f>IFERROR(AVERAGEIF(D12:D42,"&gt;0"),"")</f>
        <v/>
      </c>
      <c r="E44" s="53" t="str">
        <f>IFERROR(AVERAGEIF(E12:E42,"&gt;0"),"")</f>
        <v/>
      </c>
      <c r="F44" s="53" t="str">
        <f>IFERROR(AVERAGEIF(F12:F42,"&gt;0"),"")</f>
        <v/>
      </c>
      <c r="G44" s="53" t="str">
        <f>IFERROR(AVERAGEIF(G12:G42,"&gt;0"),"")</f>
        <v/>
      </c>
      <c r="H44" s="53" t="str">
        <f>IFERROR(AVERAGEIF(H12:H42,"&gt;0"),"")</f>
        <v/>
      </c>
      <c r="I44" s="53" t="str">
        <f>IFERROR(AVERAGEIF(I12:I42,"&gt;0"),"")</f>
        <v/>
      </c>
      <c r="J44" s="53" t="str">
        <f>IFERROR(AVERAGEIF(J12:J42,"&gt;0"),"")</f>
        <v/>
      </c>
      <c r="K44" s="53" t="str">
        <f>IFERROR(AVERAGE(K12:K42),"")</f>
        <v/>
      </c>
      <c r="L44" s="53" t="str">
        <f>IFERROR(AVERAGE(L12:L42),"")</f>
        <v/>
      </c>
      <c r="M44" s="53" t="str">
        <f>IFERROR(AVERAGE(M12:M42),"")</f>
        <v/>
      </c>
      <c r="N44" s="55" t="str">
        <f>IFERROR(AVERAGE(N12:N42),"")</f>
        <v/>
      </c>
      <c r="O44" s="53" t="str">
        <f>IFERROR(AVERAGE(O12:O42),"")</f>
        <v/>
      </c>
      <c r="P44" s="53" t="str">
        <f>IFERROR(AVERAGEIF(P12:P42,"&gt;0"),"")</f>
        <v/>
      </c>
      <c r="Q44" s="53" t="str">
        <f>IFERROR(AVERAGEIF(Q12:Q42,"&gt;0"),"")</f>
        <v/>
      </c>
      <c r="R44" s="53" t="str">
        <f>IFERROR(AVERAGEIF(R12:R42,"&gt;0"),"")</f>
        <v/>
      </c>
      <c r="S44" s="53" t="str">
        <f>IFERROR(AVERAGEIF(S12:S42,"&gt;0"),"")</f>
        <v/>
      </c>
      <c r="T44" s="53" t="str">
        <f>IFERROR(AVERAGEIF(T12:T42,"&gt;0"),"")</f>
        <v/>
      </c>
      <c r="U44" s="53" t="str">
        <f>IFERROR(AVERAGEIF(U12:U42,"&gt;0"),"")</f>
        <v/>
      </c>
      <c r="V44" s="53" t="str">
        <f>IFERROR(AVERAGEIF(V12:V42,"&gt;0"),"")</f>
        <v/>
      </c>
    </row>
    <row r="45">
      <c r="A45" s="51" t="inlineStr">
        <is>
          <t xml:space="preserve">Máximo em um dia</t>
        </is>
      </c>
      <c r="C45" s="54">
        <f>IF(COUNT(C12:C42)=0,"",MAX(C12:C42))</f>
        <v>0</v>
      </c>
      <c r="D45" s="54">
        <f>IF(COUNT(D12:D42)=0,"",MAX(D12:D42))</f>
        <v>0</v>
      </c>
      <c r="E45" s="53">
        <f>IF(COUNT(E12:E42)=0,"",MAX(E12:E42))</f>
        <v>0</v>
      </c>
      <c r="F45" s="54">
        <f>IF(COUNT(F12:F42)=0,"",MAX(F12:F42))</f>
        <v>0</v>
      </c>
      <c r="G45" s="54">
        <f>IF(COUNT(G12:G42)=0,"",MAX(G12:G42))</f>
        <v>0</v>
      </c>
      <c r="H45" s="53">
        <f>IF(COUNT(H12:H42)=0,"",MAX(H12:H42))</f>
        <v>0</v>
      </c>
      <c r="I45" s="54">
        <f>IF(COUNT(I12:I42)=0,"",MAX(I12:I42))</f>
        <v>0</v>
      </c>
      <c r="J45" s="54">
        <f>IF(COUNT(J12:J42)=0,"",MAX(J12:J42))</f>
        <v>0</v>
      </c>
      <c r="K45" s="54" t="str">
        <f>IF(COUNT(K12:K42)=0,"",MAX(K12:K42))</f>
        <v/>
      </c>
      <c r="L45" s="54" t="str">
        <f>IF(COUNT(L12:L42)=0,"",MAX(L12:L42))</f>
        <v/>
      </c>
      <c r="M45" s="54" t="str">
        <f>IF(COUNT(M12:M42)=0,"",MAX(M12:M42))</f>
        <v/>
      </c>
      <c r="N45" s="55" t="str">
        <f>IF(COUNT(N12:N42)=0,"",MAX(N12:N42))</f>
        <v/>
      </c>
      <c r="O45" s="54" t="str">
        <f>IF(COUNT(O12:O42)=0,"",MAX(O12:O42))</f>
        <v/>
      </c>
      <c r="P45" s="54">
        <f>IF(COUNT(P12:P42)=0,"",MAX(P12:P42))</f>
        <v>0</v>
      </c>
      <c r="Q45" s="54">
        <f>IF(COUNT(Q12:Q42)=0,"",MAX(Q12:Q42))</f>
        <v>0</v>
      </c>
      <c r="R45" s="54">
        <f>IF(COUNT(R12:R42)=0,"",MAX(R12:R42))</f>
        <v>0</v>
      </c>
      <c r="S45" s="54">
        <f>IF(COUNT(S12:S42)=0,"",MAX(S12:S42))</f>
        <v>0</v>
      </c>
      <c r="T45" s="54">
        <f>IF(COUNT(T12:T42)=0,"",MAX(T12:T42))</f>
        <v>0</v>
      </c>
      <c r="U45" s="54">
        <f>IF(COUNT(U12:U42)=0,"",MAX(U12:U42))</f>
        <v>0</v>
      </c>
      <c r="V45" s="54">
        <f>IF(COUNT(V12:V42)=0,"",MAX(V12:V42))</f>
        <v>0</v>
      </c>
    </row>
    <row r="46">
      <c r="A46" s="51" t="inlineStr">
        <is>
          <t xml:space="preserve">Mês anterior (mesmo intervalo)</t>
        </is>
      </c>
      <c r="C46" s="54" t="str">
        <f>IF($B$9=0,"",IF($B$2="Todos",SUMIFS(BD!$C$3:$C$5001,BD!$A$3:$A$5001,"&gt;="&amp;$C$8,BD!$A$3:$A$5001,"&lt;="&amp;$D$8),SUMIFS(BD!$C$3:$C$5001,BD!$A$3:$A$5001,"&gt;="&amp;$C$8,BD!$A$3:$A$5001,"&lt;="&amp;$D$8,BD!$B$3:$B$5001,$D$2)))</f>
        <v/>
      </c>
      <c r="D46" s="54" t="str">
        <f>IF($B$9=0,"",IF($B$2="Todos",SUMIFS(BD!$D$3:$D$5001,BD!$A$3:$A$5001,"&gt;="&amp;$C$8,BD!$A$3:$A$5001,"&lt;="&amp;$D$8),SUMIFS(BD!$D$3:$D$5001,BD!$A$3:$A$5001,"&gt;="&amp;$C$8,BD!$A$3:$A$5001,"&lt;="&amp;$D$8,BD!$B$3:$B$5001,$D$2)))</f>
        <v/>
      </c>
      <c r="E46" s="53" t="str">
        <f>IF($B$9=0,"",IF($B$2="Todos",SUMIFS(BD!$E$3:$E$5001,BD!$A$3:$A$5001,"&gt;="&amp;$C$8,BD!$A$3:$A$5001,"&lt;="&amp;$D$8),SUMIFS(BD!$E$3:$E$5001,BD!$A$3:$A$5001,"&gt;="&amp;$C$8,BD!$A$3:$A$5001,"&lt;="&amp;$D$8,BD!$B$3:$B$5001,$D$2)))</f>
        <v/>
      </c>
      <c r="F46" s="54" t="str">
        <f>IF($B$9=0,"",IF($B$2="Todos",SUMIFS(BD!$F$3:$F$5001,BD!$A$3:$A$5001,"&gt;="&amp;$C$8,BD!$A$3:$A$5001,"&lt;="&amp;$D$8),SUMIFS(BD!$F$3:$F$5001,BD!$A$3:$A$5001,"&gt;="&amp;$C$8,BD!$A$3:$A$5001,"&lt;="&amp;$D$8,BD!$B$3:$B$5001,$D$2)))</f>
        <v/>
      </c>
      <c r="G46" s="54" t="str">
        <f>IF($B$9=0,"",IF($B$2="Todos",SUMIFS(BD!$G$3:$G$5001,BD!$A$3:$A$5001,"&gt;="&amp;$C$8,BD!$A$3:$A$5001,"&lt;="&amp;$D$8),SUMIFS(BD!$G$3:$G$5001,BD!$A$3:$A$5001,"&gt;="&amp;$C$8,BD!$A$3:$A$5001,"&lt;="&amp;$D$8,BD!$B$3:$B$5001,$D$2)))</f>
        <v/>
      </c>
      <c r="H46" s="53" t="str">
        <f>IF($B$9=0,"",IF($B$2="Todos",SUMIFS(BD!$H$3:$H$5001,BD!$A$3:$A$5001,"&gt;="&amp;$C$8,BD!$A$3:$A$5001,"&lt;="&amp;$D$8),SUMIFS(BD!$H$3:$H$5001,BD!$A$3:$A$5001,"&gt;="&amp;$C$8,BD!$A$3:$A$5001,"&lt;="&amp;$D$8,BD!$B$3:$B$5001,$D$2)))</f>
        <v/>
      </c>
      <c r="I46" s="54" t="str">
        <f>IF($B$9=0,"",IF($B$2="Todos",SUMIFS(BD!$I$3:$I$5001,BD!$A$3:$A$5001,"&gt;="&amp;$C$8,BD!$A$3:$A$5001,"&lt;="&amp;$D$8),SUMIFS(BD!$I$3:$I$5001,BD!$A$3:$A$5001,"&gt;="&amp;$C$8,BD!$A$3:$A$5001,"&lt;="&amp;$D$8,BD!$B$3:$B$5001,$D$2)))</f>
        <v/>
      </c>
      <c r="J46" s="54" t="str">
        <f>IF($B$9=0,"",IF($B$2="Todos",SUMIFS(BD!$J$3:$J$5001,BD!$A$3:$A$5001,"&gt;="&amp;$C$8,BD!$A$3:$A$5001,"&lt;="&amp;$D$8),SUMIFS(BD!$J$3:$J$5001,BD!$A$3:$A$5001,"&gt;="&amp;$C$8,BD!$A$3:$A$5001,"&lt;="&amp;$D$8,BD!$B$3:$B$5001,$D$2)))</f>
        <v/>
      </c>
      <c r="K46" s="54" t="str">
        <f>IF($B$9=0,"",IF($B$2="Todos",IF(COUNT($C$146:$G$146)=0,"",SUM($C$146:$G$146)),IFERROR(INDEX($C$146:$G$146,MATCH($D$2,$C$114:$G$114,0)),"")))</f>
        <v/>
      </c>
      <c r="L46" s="54" t="str">
        <f>IF(M46="","",IF($B$2="Todos",IF($B$4&gt;0,$B$4,IF($B$2="Todos",IF(COUNT($C$216:$G$216)=0,"",SUM($C$216:$G$216)),IFERROR(INDEX($C$216:$G$216,MATCH($D$2,$C$184:$G$184,0)),""))),IFERROR(INDEX($C$216:$G$216,MATCH($D$2,$C$184:$G$184,0)),"")))</f>
        <v/>
      </c>
      <c r="M46" s="54" t="str">
        <f>IF($B$9=0,"",IF($B$2="Todos",IF(COUNT($C$181:$G$181)=0,"",SUM($C$181:$G$181)),IFERROR(INDEX($C$181:$G$181,MATCH($D$2,$C$149:$G$149,0)),"")))</f>
        <v/>
      </c>
      <c r="N46" s="55" t="str">
        <f>IF(AND(ISNUMBER(M46),ISNUMBER(L46)),IF(L46&gt;0,M46/L46,""),"")</f>
        <v/>
      </c>
      <c r="O46" s="54" t="str">
        <f>IF($B$9=0,"",IF($B$2="Todos",IF(COUNT($C$251:$G$251)=0,"",SUM($C$251:$G$251)),IFERROR(INDEX($C$251:$G$251,MATCH($D$2,$C$219:$G$219,0)),"")))</f>
        <v/>
      </c>
      <c r="P46" s="54" t="str">
        <f>IF($B$9=0,"",IF($B$2="Todos",SUMIFS(BD!$O$3:$O$5001,BD!$A$3:$A$5001,"&gt;="&amp;$C$8,BD!$A$3:$A$5001,"&lt;="&amp;$D$8),SUMIFS(BD!$O$3:$O$5001,BD!$A$3:$A$5001,"&gt;="&amp;$C$8,BD!$A$3:$A$5001,"&lt;="&amp;$D$8,BD!$B$3:$B$5001,$D$2)))</f>
        <v/>
      </c>
      <c r="Q46" s="54" t="str">
        <f>IF($B$9=0,"",IF($B$2="Todos",SUMIFS(BD!$P$3:$P$5001,BD!$A$3:$A$5001,"&gt;="&amp;$C$8,BD!$A$3:$A$5001,"&lt;="&amp;$D$8),SUMIFS(BD!$P$3:$P$5001,BD!$A$3:$A$5001,"&gt;="&amp;$C$8,BD!$A$3:$A$5001,"&lt;="&amp;$D$8,BD!$B$3:$B$5001,$D$2)))</f>
        <v/>
      </c>
      <c r="R46" s="54" t="str">
        <f>IF($B$9=0,"",IF($B$2="Todos",SUMIFS(BD!$Q$3:$Q$5001,BD!$A$3:$A$5001,"&gt;="&amp;$C$8,BD!$A$3:$A$5001,"&lt;="&amp;$D$8),SUMIFS(BD!$Q$3:$Q$5001,BD!$A$3:$A$5001,"&gt;="&amp;$C$8,BD!$A$3:$A$5001,"&lt;="&amp;$D$8,BD!$B$3:$B$5001,$D$2)))</f>
        <v/>
      </c>
      <c r="S46" s="54" t="str">
        <f>IF($B$9=0,"",IF($B$2="Todos",SUMIFS(BD!$R$3:$R$5001,BD!$A$3:$A$5001,"&gt;="&amp;$C$8,BD!$A$3:$A$5001,"&lt;="&amp;$D$8),SUMIFS(BD!$R$3:$R$5001,BD!$A$3:$A$5001,"&gt;="&amp;$C$8,BD!$A$3:$A$5001,"&lt;="&amp;$D$8,BD!$B$3:$B$5001,$D$2)))</f>
        <v/>
      </c>
      <c r="T46" s="54" t="str">
        <f>IF($B$9=0,"",IF($B$2="Todos",SUMIFS(BD!$S$3:$S$5001,BD!$A$3:$A$5001,"&gt;="&amp;$C$8,BD!$A$3:$A$5001,"&lt;="&amp;$D$8),SUMIFS(BD!$S$3:$S$5001,BD!$A$3:$A$5001,"&gt;="&amp;$C$8,BD!$A$3:$A$5001,"&lt;="&amp;$D$8,BD!$B$3:$B$5001,$D$2)))</f>
        <v/>
      </c>
      <c r="U46" s="54" t="str">
        <f>IF($B$9=0,"",IF($B$2="Todos",SUMIFS(BD!$T$3:$T$5001,BD!$A$3:$A$5001,"&gt;="&amp;$C$8,BD!$A$3:$A$5001,"&lt;="&amp;$D$8),SUMIFS(BD!$T$3:$T$5001,BD!$A$3:$A$5001,"&gt;="&amp;$C$8,BD!$A$3:$A$5001,"&lt;="&amp;$D$8,BD!$B$3:$B$5001,$D$2)))</f>
        <v/>
      </c>
      <c r="V46" s="54" t="str">
        <f>IF($B$9=0,"",IF($B$2="Todos",SUMIFS(BD!$U$3:$U$5001,BD!$A$3:$A$5001,"&gt;="&amp;$C$8,BD!$A$3:$A$5001,"&lt;="&amp;$D$8),SUMIFS(BD!$U$3:$U$5001,BD!$A$3:$A$5001,"&gt;="&amp;$C$8,BD!$A$3:$A$5001,"&lt;="&amp;$D$8,BD!$B$3:$B$5001,$D$2)))</f>
        <v/>
      </c>
    </row>
    <row r="47">
      <c r="A47" s="51" t="inlineStr">
        <is>
          <t xml:space="preserve">Variação vs mês anterior</t>
        </is>
      </c>
      <c r="C47" s="55" t="str">
        <f>IF(AND(ISNUMBER(C43),ISNUMBER(C46)),IF(C46&lt;&gt;0,C43/C46-1,""),"")</f>
        <v/>
      </c>
      <c r="D47" s="55" t="str">
        <f>IF(AND(ISNUMBER(D43),ISNUMBER(D46)),IF(D46&lt;&gt;0,D43/D46-1,""),"")</f>
        <v/>
      </c>
      <c r="E47" s="55" t="str">
        <f>IF(AND(ISNUMBER(E43),ISNUMBER(E46)),IF(E46&lt;&gt;0,E43/E46-1,""),"")</f>
        <v/>
      </c>
      <c r="F47" s="55" t="str">
        <f>IF(AND(ISNUMBER(F43),ISNUMBER(F46)),IF(F46&lt;&gt;0,F43/F46-1,""),"")</f>
        <v/>
      </c>
      <c r="G47" s="55" t="str">
        <f>IF(AND(ISNUMBER(G43),ISNUMBER(G46)),IF(G46&lt;&gt;0,G43/G46-1,""),"")</f>
        <v/>
      </c>
      <c r="H47" s="55" t="str">
        <f>IF(AND(ISNUMBER(H43),ISNUMBER(H46)),IF(H46&lt;&gt;0,H43/H46-1,""),"")</f>
        <v/>
      </c>
      <c r="I47" s="55" t="str">
        <f>IF(AND(ISNUMBER(I43),ISNUMBER(I46)),IF(I46&lt;&gt;0,I43/I46-1,""),"")</f>
        <v/>
      </c>
      <c r="J47" s="55" t="str">
        <f>IF(AND(ISNUMBER(J43),ISNUMBER(J46)),IF(J46&lt;&gt;0,J43/J46-1,""),"")</f>
        <v/>
      </c>
      <c r="K47" s="55" t="str">
        <f>IF(AND(ISNUMBER(K43),ISNUMBER(K46)),IF(K46&lt;&gt;0,K43/K46-1,""),"")</f>
        <v/>
      </c>
      <c r="L47" s="55" t="str">
        <f>IF(AND(ISNUMBER(L43),ISNUMBER(L46)),IF(L46&lt;&gt;0,L43/L46-1,""),"")</f>
        <v/>
      </c>
      <c r="M47" s="55" t="str">
        <f>IF(AND(ISNUMBER(M43),ISNUMBER(M46)),IF(M46&lt;&gt;0,M43/M46-1,""),"")</f>
        <v/>
      </c>
      <c r="N47" s="55" t="str">
        <f>IF(AND(ISNUMBER(N43),ISNUMBER(N46)),IF(N46&lt;&gt;0,N43/N46-1,""),"")</f>
        <v/>
      </c>
      <c r="O47" s="55" t="str">
        <f>IF(AND(ISNUMBER(O43),ISNUMBER(O46)),IF(O46&lt;&gt;0,O43/O46-1,""),"")</f>
        <v/>
      </c>
      <c r="P47" s="55" t="str">
        <f>IF(AND(ISNUMBER(P43),ISNUMBER(P46)),IF(P46&lt;&gt;0,P43/P46-1,""),"")</f>
        <v/>
      </c>
      <c r="Q47" s="55" t="str">
        <f>IF(AND(ISNUMBER(Q43),ISNUMBER(Q46)),IF(Q46&lt;&gt;0,Q43/Q46-1,""),"")</f>
        <v/>
      </c>
      <c r="R47" s="55" t="str">
        <f>IF(AND(ISNUMBER(R43),ISNUMBER(R46)),IF(R46&lt;&gt;0,R43/R46-1,""),"")</f>
        <v/>
      </c>
      <c r="S47" s="55" t="str">
        <f>IF(AND(ISNUMBER(S43),ISNUMBER(S46)),IF(S46&lt;&gt;0,S43/S46-1,""),"")</f>
        <v/>
      </c>
      <c r="T47" s="55" t="str">
        <f>IF(AND(ISNUMBER(T43),ISNUMBER(T46)),IF(T46&lt;&gt;0,T43/T46-1,""),"")</f>
        <v/>
      </c>
      <c r="U47" s="55" t="str">
        <f>IF(AND(ISNUMBER(U43),ISNUMBER(U46)),IF(U46&lt;&gt;0,U43/U46-1,""),"")</f>
        <v/>
      </c>
      <c r="V47" s="55" t="str">
        <f>IF(AND(ISNUMBER(V43),ISNUMBER(V46)),IF(V46&lt;&gt;0,V43/V46-1,""),"")</f>
        <v/>
      </c>
    </row>
    <row r="48">
      <c r="A48" s="51" t="inlineStr">
        <is>
          <t xml:space="preserve">Meta (seleção)</t>
        </is>
      </c>
      <c r="C48" s="54" t="str">
        <f>IFERROR(1/(1/INDEX(BD!$Y$23:$AD$23,MATCH($B$2,BD!$Y$22:$AD$22,0))),"")</f>
        <v/>
      </c>
      <c r="D48" s="54" t="str">
        <f>IFERROR(1/(1/INDEX(BD!$Y$24:$AD$24,MATCH($B$2,BD!$Y$22:$AD$22,0))),"")</f>
        <v/>
      </c>
      <c r="E48" s="54" t="str">
        <f>IFERROR(1/(1/INDEX(BD!$Y$25:$AD$25,MATCH($B$2,BD!$Y$22:$AD$22,0))),"")</f>
        <v/>
      </c>
      <c r="F48" s="54" t="str">
        <f>IFERROR(1/(1/INDEX(BD!$Y$26:$AD$26,MATCH($B$2,BD!$Y$22:$AD$22,0))),"")</f>
        <v/>
      </c>
      <c r="G48" s="54" t="str">
        <f>IFERROR(1/(1/INDEX(BD!$Y$27:$AD$27,MATCH($B$2,BD!$Y$22:$AD$22,0))),"")</f>
        <v/>
      </c>
      <c r="H48" s="54" t="str">
        <f>IFERROR(1/(1/INDEX(BD!$Y$28:$AD$28,MATCH($B$2,BD!$Y$22:$AD$22,0))),"")</f>
        <v/>
      </c>
      <c r="I48" s="54" t="str">
        <f>IFERROR(1/(1/INDEX(BD!$Y$29:$AD$29,MATCH($B$2,BD!$Y$22:$AD$22,0))),"")</f>
        <v/>
      </c>
      <c r="J48" s="54" t="str">
        <f>IFERROR(1/(1/INDEX(BD!$Y$30:$AD$30,MATCH($B$2,BD!$Y$22:$AD$22,0))),"")</f>
        <v/>
      </c>
      <c r="K48" s="54" t="str">
        <f>IFERROR(1/(1/INDEX(BD!$Y$31:$AD$31,MATCH($B$2,BD!$Y$22:$AD$22,0))),"")</f>
        <v/>
      </c>
      <c r="L48" s="54" t="str">
        <f>IFERROR(1/(1/INDEX(BD!$Y$32:$AD$32,MATCH($B$2,BD!$Y$22:$AD$22,0))),"")</f>
        <v/>
      </c>
      <c r="M48" s="54" t="str">
        <f>IFERROR(1/(1/INDEX(BD!$Y$33:$AD$33,MATCH($B$2,BD!$Y$22:$AD$22,0))),"")</f>
        <v/>
      </c>
      <c r="N48" s="56" t="str">
        <f>IFERROR(1/(1/INDEX(BD!$Y$34:$AD$34,MATCH($B$2,BD!$Y$22:$AD$22,0))),"")</f>
        <v/>
      </c>
      <c r="O48" s="54" t="str">
        <f>IFERROR(1/(1/INDEX(BD!$Y$35:$AD$35,MATCH($B$2,BD!$Y$22:$AD$22,0))),"")</f>
        <v/>
      </c>
      <c r="P48" s="54" t="str">
        <f>IFERROR(1/(1/INDEX(BD!$Y$36:$AD$36,MATCH($B$2,BD!$Y$22:$AD$22,0))),"")</f>
        <v/>
      </c>
      <c r="Q48" s="54" t="str">
        <f>IFERROR(1/(1/INDEX(BD!$Y$37:$AD$37,MATCH($B$2,BD!$Y$22:$AD$22,0))),"")</f>
        <v/>
      </c>
      <c r="R48" s="54" t="str">
        <f>IFERROR(1/(1/INDEX(BD!$Y$38:$AD$38,MATCH($B$2,BD!$Y$22:$AD$22,0))),"")</f>
        <v/>
      </c>
      <c r="S48" s="54" t="str">
        <f>IFERROR(1/(1/INDEX(BD!$Y$39:$AD$39,MATCH($B$2,BD!$Y$22:$AD$22,0))),"")</f>
        <v/>
      </c>
      <c r="T48" s="54" t="str">
        <f>IFERROR(1/(1/INDEX(BD!$Y$40:$AD$40,MATCH($B$2,BD!$Y$22:$AD$22,0))),"")</f>
        <v/>
      </c>
      <c r="U48" s="54" t="str">
        <f>IFERROR(1/(1/INDEX(BD!$Y$41:$AD$41,MATCH($B$2,BD!$Y$22:$AD$22,0))),"")</f>
        <v/>
      </c>
      <c r="V48" s="54" t="str">
        <f>IFERROR(1/(1/INDEX(BD!$Y$42:$AD$42,MATCH($B$2,BD!$Y$22:$AD$22,0))),"")</f>
        <v/>
      </c>
    </row>
    <row r="49">
      <c r="A49" s="51" t="inlineStr">
        <is>
          <t xml:space="preserve">% da meta</t>
        </is>
      </c>
      <c r="C49" s="56" t="str">
        <f>IF(AND(ISNUMBER(C48),ISNUMBER(C43)),IF(C48&gt;0,C43/C48,""),"")</f>
        <v/>
      </c>
      <c r="D49" s="56" t="str">
        <f>IF(AND(ISNUMBER(D48),ISNUMBER(D43)),IF(D48&gt;0,D43/D48,""),"")</f>
        <v/>
      </c>
      <c r="E49" s="56" t="str">
        <f>IF(AND(ISNUMBER(E48),ISNUMBER(E43)),IF(E48&gt;0,E43/E48,""),"")</f>
        <v/>
      </c>
      <c r="F49" s="56" t="str">
        <f>IF(AND(ISNUMBER(F48),ISNUMBER(F43)),IF(F48&gt;0,F43/F48,""),"")</f>
        <v/>
      </c>
      <c r="G49" s="56" t="str">
        <f>IF(AND(ISNUMBER(G48),ISNUMBER(G43)),IF(G48&gt;0,G43/G48,""),"")</f>
        <v/>
      </c>
      <c r="H49" s="56" t="str">
        <f>IF(AND(ISNUMBER(H48),ISNUMBER(H43)),IF(H48&gt;0,H43/H48,""),"")</f>
        <v/>
      </c>
      <c r="I49" s="56" t="str">
        <f>IF(AND(ISNUMBER(I48),ISNUMBER(I43)),IF(I48&gt;0,I43/I48,""),"")</f>
        <v/>
      </c>
      <c r="J49" s="56" t="str">
        <f>IF(AND(ISNUMBER(J48),ISNUMBER(J43)),IF(J48&gt;0,J43/J48,""),"")</f>
        <v/>
      </c>
      <c r="K49" s="56" t="str">
        <f>IF(AND(ISNUMBER(K48),ISNUMBER(K43)),IF(K48&gt;0,K43/K48,""),"")</f>
        <v/>
      </c>
      <c r="L49" s="56" t="str">
        <f>IF(AND(ISNUMBER(L48),ISNUMBER(L43)),IF(L48&gt;0,L43/L48,""),"")</f>
        <v/>
      </c>
      <c r="M49" s="56" t="str">
        <f>IF(AND(ISNUMBER(M48),ISNUMBER(M43)),IF(M48&gt;0,M43/M48,""),"")</f>
        <v/>
      </c>
      <c r="N49" s="56" t="str">
        <f>IF(AND(ISNUMBER(N48),ISNUMBER(N43)),IF(N48&gt;0,N43/N48,""),"")</f>
        <v/>
      </c>
      <c r="O49" s="56" t="str">
        <f>IF(AND(ISNUMBER(O48),ISNUMBER(O43)),IF(O48&gt;0,O43/O48,""),"")</f>
        <v/>
      </c>
      <c r="P49" s="56" t="str">
        <f>IF(AND(ISNUMBER(P48),ISNUMBER(P43)),IF(P48&gt;0,P43/P48,""),"")</f>
        <v/>
      </c>
      <c r="Q49" s="56" t="str">
        <f>IF(AND(ISNUMBER(Q48),ISNUMBER(Q43)),IF(Q48&gt;0,Q43/Q48,""),"")</f>
        <v/>
      </c>
      <c r="R49" s="56" t="str">
        <f>IF(AND(ISNUMBER(R48),ISNUMBER(R43)),IF(R48&gt;0,R43/R48,""),"")</f>
        <v/>
      </c>
      <c r="S49" s="56" t="str">
        <f>IF(AND(ISNUMBER(S48),ISNUMBER(S43)),IF(S48&gt;0,S43/S48,""),"")</f>
        <v/>
      </c>
      <c r="T49" s="56" t="str">
        <f>IF(AND(ISNUMBER(T48),ISNUMBER(T43)),IF(T48&gt;0,T43/T48,""),"")</f>
        <v/>
      </c>
      <c r="U49" s="56" t="str">
        <f>IF(AND(ISNUMBER(U48),ISNUMBER(U43)),IF(U48&gt;0,U43/U48,""),"")</f>
        <v/>
      </c>
      <c r="V49" s="56" t="str">
        <f>IF(AND(ISNUMBER(V48),ISNUMBER(V43)),IF(V48&gt;0,V43/V48,""),"")</f>
        <v/>
      </c>
    </row>
    <row r="50">
      <c r="A50" s="51" t="inlineStr">
        <is>
          <t xml:space="preserve">Status</t>
        </is>
      </c>
      <c r="C50" s="57" t="str">
        <f>IF(ISNUMBER(C49),IF(C49&gt;=1,"meta atingida","abaixo da meta"),"")</f>
        <v/>
      </c>
      <c r="D50" s="57" t="str">
        <f>IF(ISNUMBER(D49),IF(D49&gt;=1,"meta atingida","abaixo da meta"),"")</f>
        <v/>
      </c>
      <c r="E50" s="57" t="str">
        <f>IF(ISNUMBER(E49),IF(E49&gt;=1,"meta atingida","abaixo da meta"),"")</f>
        <v/>
      </c>
      <c r="F50" s="57" t="str">
        <f>IF(ISNUMBER(F49),IF(F49&gt;=1,"meta atingida","abaixo da meta"),"")</f>
        <v/>
      </c>
      <c r="G50" s="57" t="str">
        <f>IF(ISNUMBER(G49),IF(G49&gt;=1,"meta atingida","abaixo da meta"),"")</f>
        <v/>
      </c>
      <c r="H50" s="57" t="str">
        <f>IF(ISNUMBER(H49),IF(H49&gt;=1,"meta atingida","abaixo da meta"),"")</f>
        <v/>
      </c>
      <c r="I50" s="57" t="str">
        <f>IF(AND(ISNUMBER(I48),ISNUMBER(I43)),IF(I43&lt;=I48,"dentro do limite","acima do limite"),"")</f>
        <v/>
      </c>
      <c r="J50" s="57" t="str">
        <f>IF(AND(ISNUMBER(J48),ISNUMBER(J43)),IF(J43&lt;=J48,"dentro do limite","acima do limite"),"")</f>
        <v/>
      </c>
      <c r="K50" s="57" t="str">
        <f>IF(AND(ISNUMBER(K48),ISNUMBER(K43)),IF(K43&lt;=K48,"dentro do limite","acima do limite"),"")</f>
        <v/>
      </c>
      <c r="L50" s="57" t="str">
        <f>IF(ISNUMBER(L49),IF(L49&gt;=1,"meta atingida","abaixo da meta"),"")</f>
        <v/>
      </c>
      <c r="M50" s="57" t="str">
        <f>IF(ISNUMBER(M49),IF(M49&gt;=1,"meta atingida","abaixo da meta"),"")</f>
        <v/>
      </c>
      <c r="N50" s="57" t="str">
        <f>IF(ISNUMBER(N43),IF(N43&gt;1,"excede o contratado",IF(N43&gt;=$B$6,"ocupação alta",IF(N43&gt;=$B$5,"ocupação média","ociosidade alta"))),"")</f>
        <v/>
      </c>
      <c r="O50" s="57" t="str">
        <f>IF(ISNUMBER(O49),IF(O49&gt;=1,"meta atingida","abaixo da meta"),"")</f>
        <v/>
      </c>
      <c r="P50" s="57" t="str">
        <f>IF(AND(ISNUMBER(P48),ISNUMBER(P43)),IF(P43&lt;=P48,"dentro do limite","acima do limite"),"")</f>
        <v/>
      </c>
      <c r="Q50" s="57" t="str">
        <f>IF(ISNUMBER(Q49),IF(Q49&gt;=1,"meta atingida","abaixo da meta"),"")</f>
        <v/>
      </c>
      <c r="R50" s="57" t="str">
        <f>IF(ISNUMBER(R49),IF(R49&gt;=1,"meta atingida","abaixo da meta"),"")</f>
        <v/>
      </c>
      <c r="S50" s="57" t="str">
        <f>IF(AND(ISNUMBER(S48),ISNUMBER(S43)),IF(S43&lt;=S48,"dentro do limite","acima do limite"),"")</f>
        <v/>
      </c>
      <c r="T50" s="57" t="str">
        <f>IF(AND(ISNUMBER(T48),ISNUMBER(T43)),IF(T43&lt;=T48,"dentro do limite","acima do limite"),"")</f>
        <v/>
      </c>
      <c r="U50" s="57" t="str">
        <f>IF(AND(ISNUMBER(U48),ISNUMBER(U43)),IF(U43&lt;=U48,"dentro do limite","acima do limite"),"")</f>
        <v/>
      </c>
      <c r="V50" s="57" t="str">
        <f>IF(AND(ISNUMBER(V48),ISNUMBER(V43)),IF(V43&lt;=V48,"dentro do limite","acima do limite"),"")</f>
        <v/>
      </c>
    </row>
    <row r="78">
      <c r="A78" s="19" t="inlineStr">
        <is>
          <t xml:space="preserve">ACUMULADO SEMANAL — toneladas e pallets (seguem o filtro; mês do gráfico)</t>
        </is>
      </c>
    </row>
    <row r="79">
      <c r="A79" s="37" t="inlineStr">
        <is>
          <t xml:space="preserve">Semana</t>
        </is>
      </c>
      <c r="B79" s="37" t="inlineStr">
        <is>
          <t xml:space="preserve">Do dia</t>
        </is>
      </c>
      <c r="C79" s="37" t="inlineStr">
        <is>
          <t xml:space="preserve">Ao dia</t>
        </is>
      </c>
      <c r="D79" s="37" t="inlineStr">
        <is>
          <t xml:space="preserve">IN tons</t>
        </is>
      </c>
      <c r="E79" s="37" t="inlineStr">
        <is>
          <t xml:space="preserve">OUT tons</t>
        </is>
      </c>
      <c r="F79" s="37" t="inlineStr">
        <is>
          <t xml:space="preserve">IN pallets</t>
        </is>
      </c>
      <c r="G79" s="37" t="inlineStr">
        <is>
          <t xml:space="preserve">OUT pallets</t>
        </is>
      </c>
    </row>
    <row r="80">
      <c r="A80" s="29" t="inlineStr">
        <is>
          <t xml:space="preserve">Sem 1 (01–07)</t>
        </is>
      </c>
      <c r="B80" s="28">
        <v>1</v>
      </c>
      <c r="C80" s="28">
        <v>7</v>
      </c>
      <c r="D80" s="60">
        <f>SUMIFS(E12:E42,A12:A42,"&gt;="&amp;$B80,A12:A42,"&lt;="&amp;$C80)</f>
        <v>0</v>
      </c>
      <c r="E80" s="60">
        <f>SUMIFS(H12:H42,A12:A42,"&gt;="&amp;$B80,A12:A42,"&lt;="&amp;$C80)</f>
        <v>0</v>
      </c>
      <c r="F80" s="32">
        <f>SUMIFS(D12:D42,A12:A42,"&gt;="&amp;$B80,A12:A42,"&lt;="&amp;$C80)</f>
        <v>0</v>
      </c>
      <c r="G80" s="32">
        <f>SUMIFS(G12:G42,A12:A42,"&gt;="&amp;$B80,A12:A42,"&lt;="&amp;$C80)</f>
        <v>0</v>
      </c>
    </row>
    <row r="81">
      <c r="A81" s="29" t="inlineStr">
        <is>
          <t xml:space="preserve">Sem 2 (08–14)</t>
        </is>
      </c>
      <c r="B81" s="28">
        <v>8</v>
      </c>
      <c r="C81" s="28">
        <v>14</v>
      </c>
      <c r="D81" s="60">
        <f>SUMIFS(E12:E42,A12:A42,"&gt;="&amp;$B81,A12:A42,"&lt;="&amp;$C81)</f>
        <v>0</v>
      </c>
      <c r="E81" s="60">
        <f>SUMIFS(H12:H42,A12:A42,"&gt;="&amp;$B81,A12:A42,"&lt;="&amp;$C81)</f>
        <v>0</v>
      </c>
      <c r="F81" s="32">
        <f>SUMIFS(D12:D42,A12:A42,"&gt;="&amp;$B81,A12:A42,"&lt;="&amp;$C81)</f>
        <v>0</v>
      </c>
      <c r="G81" s="32">
        <f>SUMIFS(G12:G42,A12:A42,"&gt;="&amp;$B81,A12:A42,"&lt;="&amp;$C81)</f>
        <v>0</v>
      </c>
    </row>
    <row r="82">
      <c r="A82" s="29" t="inlineStr">
        <is>
          <t xml:space="preserve">Sem 3 (15–21)</t>
        </is>
      </c>
      <c r="B82" s="28">
        <v>15</v>
      </c>
      <c r="C82" s="28">
        <v>21</v>
      </c>
      <c r="D82" s="60">
        <f>SUMIFS(E12:E42,A12:A42,"&gt;="&amp;$B82,A12:A42,"&lt;="&amp;$C82)</f>
        <v>0</v>
      </c>
      <c r="E82" s="60">
        <f>SUMIFS(H12:H42,A12:A42,"&gt;="&amp;$B82,A12:A42,"&lt;="&amp;$C82)</f>
        <v>0</v>
      </c>
      <c r="F82" s="32">
        <f>SUMIFS(D12:D42,A12:A42,"&gt;="&amp;$B82,A12:A42,"&lt;="&amp;$C82)</f>
        <v>0</v>
      </c>
      <c r="G82" s="32">
        <f>SUMIFS(G12:G42,A12:A42,"&gt;="&amp;$B82,A12:A42,"&lt;="&amp;$C82)</f>
        <v>0</v>
      </c>
    </row>
    <row r="83">
      <c r="A83" s="29" t="inlineStr">
        <is>
          <t xml:space="preserve">Sem 4 (22–28)</t>
        </is>
      </c>
      <c r="B83" s="28">
        <v>22</v>
      </c>
      <c r="C83" s="28">
        <v>28</v>
      </c>
      <c r="D83" s="60">
        <f>SUMIFS(E12:E42,A12:A42,"&gt;="&amp;$B83,A12:A42,"&lt;="&amp;$C83)</f>
        <v>0</v>
      </c>
      <c r="E83" s="60">
        <f>SUMIFS(H12:H42,A12:A42,"&gt;="&amp;$B83,A12:A42,"&lt;="&amp;$C83)</f>
        <v>0</v>
      </c>
      <c r="F83" s="32">
        <f>SUMIFS(D12:D42,A12:A42,"&gt;="&amp;$B83,A12:A42,"&lt;="&amp;$C83)</f>
        <v>0</v>
      </c>
      <c r="G83" s="32">
        <f>SUMIFS(G12:G42,A12:A42,"&gt;="&amp;$B83,A12:A42,"&lt;="&amp;$C83)</f>
        <v>0</v>
      </c>
    </row>
    <row r="84">
      <c r="A84" s="29" t="inlineStr">
        <is>
          <t xml:space="preserve">Sem 5 (29–fim)</t>
        </is>
      </c>
      <c r="B84" s="28">
        <v>29</v>
      </c>
      <c r="C84" s="28">
        <v>31</v>
      </c>
      <c r="D84" s="60">
        <f>SUMIFS(E12:E42,A12:A42,"&gt;="&amp;$B84,A12:A42,"&lt;="&amp;$C84)</f>
        <v>0</v>
      </c>
      <c r="E84" s="60">
        <f>SUMIFS(H12:H42,A12:A42,"&gt;="&amp;$B84,A12:A42,"&lt;="&amp;$C84)</f>
        <v>0</v>
      </c>
      <c r="F84" s="32">
        <f>SUMIFS(D12:D42,A12:A42,"&gt;="&amp;$B84,A12:A42,"&lt;="&amp;$C84)</f>
        <v>0</v>
      </c>
      <c r="G84" s="32">
        <f>SUMIFS(G12:G42,A12:A42,"&gt;="&amp;$B84,A12:A42,"&lt;="&amp;$C84)</f>
        <v>0</v>
      </c>
    </row>
    <row r="88">
      <c r="A88" s="19" t="inlineStr">
        <is>
          <t xml:space="preserve">POR CLIENTE — mês inteiro (todos os clientes). Estoque = último valor do mês.</t>
        </is>
      </c>
    </row>
    <row r="89" ht="30" customHeight="1">
      <c r="A89" s="37" t="inlineStr">
        <is>
          <t xml:space="preserve">Indicador</t>
        </is>
      </c>
      <c r="B89" s="37" t="inlineStr">
        <is>
          <t xml:space="preserve">Barry Callebaut</t>
        </is>
      </c>
      <c r="C89" s="37" t="inlineStr">
        <is>
          <t xml:space="preserve">GM</t>
        </is>
      </c>
      <c r="D89" s="37" t="inlineStr">
        <is>
          <t xml:space="preserve">Mondelez</t>
        </is>
      </c>
      <c r="E89" s="37" t="inlineStr">
        <is>
          <t xml:space="preserve">Nestlé</t>
        </is>
      </c>
      <c r="F89" s="37" t="inlineStr">
        <is>
          <t xml:space="preserve">PMB</t>
        </is>
      </c>
      <c r="G89" s="37" t="inlineStr">
        <is>
          <t xml:space="preserve">TOTAL</t>
        </is>
      </c>
    </row>
    <row r="90">
      <c r="A90" s="29" t="inlineStr">
        <is>
          <t xml:space="preserve">IN · Veículos Recebidos</t>
        </is>
      </c>
      <c r="B90" s="32">
        <f>SUMIFS(BD!$C$3:$C$5001,BD!$B$3:$B$5001,B$89,BD!$A$3:$A$5001,"&gt;="&amp;$C$7,BD!$A$3:$A$5001,"&lt;="&amp;$D$7)</f>
        <v>0</v>
      </c>
      <c r="C90" s="32" t="inlineStr">
        <is>
          <t xml:space="preserve">—</t>
        </is>
      </c>
      <c r="D90" s="32">
        <f>SUMIFS(BD!$C$3:$C$5001,BD!$B$3:$B$5001,D$89,BD!$A$3:$A$5001,"&gt;="&amp;$C$7,BD!$A$3:$A$5001,"&lt;="&amp;$D$7)</f>
        <v>0</v>
      </c>
      <c r="E90" s="32">
        <f>SUMIFS(BD!$C$3:$C$5001,BD!$B$3:$B$5001,E$89,BD!$A$3:$A$5001,"&gt;="&amp;$C$7,BD!$A$3:$A$5001,"&lt;="&amp;$D$7)</f>
        <v>0</v>
      </c>
      <c r="F90" s="32">
        <f>SUMIFS(BD!$C$3:$C$5001,BD!$B$3:$B$5001,F$89,BD!$A$3:$A$5001,"&gt;="&amp;$C$7,BD!$A$3:$A$5001,"&lt;="&amp;$D$7)</f>
        <v>0</v>
      </c>
      <c r="G90" s="61">
        <f>SUM(B90:F90)</f>
        <v>0</v>
      </c>
    </row>
    <row r="91">
      <c r="A91" s="29" t="inlineStr">
        <is>
          <t xml:space="preserve">IN · Pallets Movimentados</t>
        </is>
      </c>
      <c r="B91" s="32">
        <f>SUMIFS(BD!$D$3:$D$5001,BD!$B$3:$B$5001,B$89,BD!$A$3:$A$5001,"&gt;="&amp;$C$7,BD!$A$3:$A$5001,"&lt;="&amp;$D$7)</f>
        <v>0</v>
      </c>
      <c r="C91" s="32" t="inlineStr">
        <is>
          <t xml:space="preserve">—</t>
        </is>
      </c>
      <c r="D91" s="32">
        <f>SUMIFS(BD!$D$3:$D$5001,BD!$B$3:$B$5001,D$89,BD!$A$3:$A$5001,"&gt;="&amp;$C$7,BD!$A$3:$A$5001,"&lt;="&amp;$D$7)</f>
        <v>0</v>
      </c>
      <c r="E91" s="32">
        <f>SUMIFS(BD!$D$3:$D$5001,BD!$B$3:$B$5001,E$89,BD!$A$3:$A$5001,"&gt;="&amp;$C$7,BD!$A$3:$A$5001,"&lt;="&amp;$D$7)</f>
        <v>0</v>
      </c>
      <c r="F91" s="32">
        <f>SUMIFS(BD!$D$3:$D$5001,BD!$B$3:$B$5001,F$89,BD!$A$3:$A$5001,"&gt;="&amp;$C$7,BD!$A$3:$A$5001,"&lt;="&amp;$D$7)</f>
        <v>0</v>
      </c>
      <c r="G91" s="61">
        <f>SUM(B91:F91)</f>
        <v>0</v>
      </c>
    </row>
    <row r="92">
      <c r="A92" s="29" t="inlineStr">
        <is>
          <t xml:space="preserve">IN · Toneladas Movimentadas</t>
        </is>
      </c>
      <c r="B92" s="60">
        <f>SUMIFS(BD!$E$3:$E$5001,BD!$B$3:$B$5001,B$89,BD!$A$3:$A$5001,"&gt;="&amp;$C$7,BD!$A$3:$A$5001,"&lt;="&amp;$D$7)</f>
        <v>0</v>
      </c>
      <c r="C92" s="60" t="inlineStr">
        <is>
          <t xml:space="preserve">—</t>
        </is>
      </c>
      <c r="D92" s="60">
        <f>SUMIFS(BD!$E$3:$E$5001,BD!$B$3:$B$5001,D$89,BD!$A$3:$A$5001,"&gt;="&amp;$C$7,BD!$A$3:$A$5001,"&lt;="&amp;$D$7)</f>
        <v>0</v>
      </c>
      <c r="E92" s="60">
        <f>SUMIFS(BD!$E$3:$E$5001,BD!$B$3:$B$5001,E$89,BD!$A$3:$A$5001,"&gt;="&amp;$C$7,BD!$A$3:$A$5001,"&lt;="&amp;$D$7)</f>
        <v>0</v>
      </c>
      <c r="F92" s="60">
        <f>SUMIFS(BD!$E$3:$E$5001,BD!$B$3:$B$5001,F$89,BD!$A$3:$A$5001,"&gt;="&amp;$C$7,BD!$A$3:$A$5001,"&lt;="&amp;$D$7)</f>
        <v>0</v>
      </c>
      <c r="G92" s="62">
        <f>SUM(B92:F92)</f>
        <v>0</v>
      </c>
    </row>
    <row r="93">
      <c r="A93" s="29" t="inlineStr">
        <is>
          <t xml:space="preserve">OUT · Veículos Expedidos</t>
        </is>
      </c>
      <c r="B93" s="32">
        <f>SUMIFS(BD!$F$3:$F$5001,BD!$B$3:$B$5001,B$89,BD!$A$3:$A$5001,"&gt;="&amp;$C$7,BD!$A$3:$A$5001,"&lt;="&amp;$D$7)</f>
        <v>0</v>
      </c>
      <c r="C93" s="32">
        <f>SUMIFS(BD!$F$3:$F$5001,BD!$B$3:$B$5001,C$89,BD!$A$3:$A$5001,"&gt;="&amp;$C$7,BD!$A$3:$A$5001,"&lt;="&amp;$D$7)</f>
        <v>0</v>
      </c>
      <c r="D93" s="32">
        <f>SUMIFS(BD!$F$3:$F$5001,BD!$B$3:$B$5001,D$89,BD!$A$3:$A$5001,"&gt;="&amp;$C$7,BD!$A$3:$A$5001,"&lt;="&amp;$D$7)</f>
        <v>0</v>
      </c>
      <c r="E93" s="32">
        <f>SUMIFS(BD!$F$3:$F$5001,BD!$B$3:$B$5001,E$89,BD!$A$3:$A$5001,"&gt;="&amp;$C$7,BD!$A$3:$A$5001,"&lt;="&amp;$D$7)</f>
        <v>0</v>
      </c>
      <c r="F93" s="32">
        <f>SUMIFS(BD!$F$3:$F$5001,BD!$B$3:$B$5001,F$89,BD!$A$3:$A$5001,"&gt;="&amp;$C$7,BD!$A$3:$A$5001,"&lt;="&amp;$D$7)</f>
        <v>0</v>
      </c>
      <c r="G93" s="61">
        <f>SUM(B93:F93)</f>
        <v>0</v>
      </c>
    </row>
    <row r="94">
      <c r="A94" s="29" t="inlineStr">
        <is>
          <t xml:space="preserve">OUT · Pallets Movimentados</t>
        </is>
      </c>
      <c r="B94" s="32">
        <f>SUMIFS(BD!$G$3:$G$5001,BD!$B$3:$B$5001,B$89,BD!$A$3:$A$5001,"&gt;="&amp;$C$7,BD!$A$3:$A$5001,"&lt;="&amp;$D$7)</f>
        <v>0</v>
      </c>
      <c r="C94" s="32">
        <f>SUMIFS(BD!$G$3:$G$5001,BD!$B$3:$B$5001,C$89,BD!$A$3:$A$5001,"&gt;="&amp;$C$7,BD!$A$3:$A$5001,"&lt;="&amp;$D$7)</f>
        <v>0</v>
      </c>
      <c r="D94" s="32">
        <f>SUMIFS(BD!$G$3:$G$5001,BD!$B$3:$B$5001,D$89,BD!$A$3:$A$5001,"&gt;="&amp;$C$7,BD!$A$3:$A$5001,"&lt;="&amp;$D$7)</f>
        <v>0</v>
      </c>
      <c r="E94" s="32">
        <f>SUMIFS(BD!$G$3:$G$5001,BD!$B$3:$B$5001,E$89,BD!$A$3:$A$5001,"&gt;="&amp;$C$7,BD!$A$3:$A$5001,"&lt;="&amp;$D$7)</f>
        <v>0</v>
      </c>
      <c r="F94" s="32">
        <f>SUMIFS(BD!$G$3:$G$5001,BD!$B$3:$B$5001,F$89,BD!$A$3:$A$5001,"&gt;="&amp;$C$7,BD!$A$3:$A$5001,"&lt;="&amp;$D$7)</f>
        <v>0</v>
      </c>
      <c r="G94" s="61">
        <f>SUM(B94:F94)</f>
        <v>0</v>
      </c>
    </row>
    <row r="95">
      <c r="A95" s="29" t="inlineStr">
        <is>
          <t xml:space="preserve">OUT · Toneladas Movimentadas</t>
        </is>
      </c>
      <c r="B95" s="60">
        <f>SUMIFS(BD!$H$3:$H$5001,BD!$B$3:$B$5001,B$89,BD!$A$3:$A$5001,"&gt;="&amp;$C$7,BD!$A$3:$A$5001,"&lt;="&amp;$D$7)</f>
        <v>0</v>
      </c>
      <c r="C95" s="60">
        <f>SUMIFS(BD!$H$3:$H$5001,BD!$B$3:$B$5001,C$89,BD!$A$3:$A$5001,"&gt;="&amp;$C$7,BD!$A$3:$A$5001,"&lt;="&amp;$D$7)</f>
        <v>0</v>
      </c>
      <c r="D95" s="60">
        <f>SUMIFS(BD!$H$3:$H$5001,BD!$B$3:$B$5001,D$89,BD!$A$3:$A$5001,"&gt;="&amp;$C$7,BD!$A$3:$A$5001,"&lt;="&amp;$D$7)</f>
        <v>0</v>
      </c>
      <c r="E95" s="60">
        <f>SUMIFS(BD!$H$3:$H$5001,BD!$B$3:$B$5001,E$89,BD!$A$3:$A$5001,"&gt;="&amp;$C$7,BD!$A$3:$A$5001,"&lt;="&amp;$D$7)</f>
        <v>0</v>
      </c>
      <c r="F95" s="60">
        <f>SUMIFS(BD!$H$3:$H$5001,BD!$B$3:$B$5001,F$89,BD!$A$3:$A$5001,"&gt;="&amp;$C$7,BD!$A$3:$A$5001,"&lt;="&amp;$D$7)</f>
        <v>0</v>
      </c>
      <c r="G95" s="62">
        <f>SUM(B95:F95)</f>
        <v>0</v>
      </c>
    </row>
    <row r="96">
      <c r="A96" s="29" t="inlineStr">
        <is>
          <t xml:space="preserve">NC · Incidentes</t>
        </is>
      </c>
      <c r="B96" s="32">
        <f>SUMIFS(BD!$I$3:$I$5001,BD!$B$3:$B$5001,B$89,BD!$A$3:$A$5001,"&gt;="&amp;$C$7,BD!$A$3:$A$5001,"&lt;="&amp;$D$7)</f>
        <v>0</v>
      </c>
      <c r="C96" s="32">
        <f>SUMIFS(BD!$I$3:$I$5001,BD!$B$3:$B$5001,C$89,BD!$A$3:$A$5001,"&gt;="&amp;$C$7,BD!$A$3:$A$5001,"&lt;="&amp;$D$7)</f>
        <v>0</v>
      </c>
      <c r="D96" s="32">
        <f>SUMIFS(BD!$I$3:$I$5001,BD!$B$3:$B$5001,D$89,BD!$A$3:$A$5001,"&gt;="&amp;$C$7,BD!$A$3:$A$5001,"&lt;="&amp;$D$7)</f>
        <v>0</v>
      </c>
      <c r="E96" s="32">
        <f>SUMIFS(BD!$I$3:$I$5001,BD!$B$3:$B$5001,E$89,BD!$A$3:$A$5001,"&gt;="&amp;$C$7,BD!$A$3:$A$5001,"&lt;="&amp;$D$7)</f>
        <v>0</v>
      </c>
      <c r="F96" s="32">
        <f>SUMIFS(BD!$I$3:$I$5001,BD!$B$3:$B$5001,F$89,BD!$A$3:$A$5001,"&gt;="&amp;$C$7,BD!$A$3:$A$5001,"&lt;="&amp;$D$7)</f>
        <v>0</v>
      </c>
      <c r="G96" s="61">
        <f>SUM(B96:F96)</f>
        <v>0</v>
      </c>
    </row>
    <row r="97">
      <c r="A97" s="29" t="inlineStr">
        <is>
          <t xml:space="preserve">NC · No show</t>
        </is>
      </c>
      <c r="B97" s="32">
        <f>SUMIFS(BD!$J$3:$J$5001,BD!$B$3:$B$5001,B$89,BD!$A$3:$A$5001,"&gt;="&amp;$C$7,BD!$A$3:$A$5001,"&lt;="&amp;$D$7)</f>
        <v>0</v>
      </c>
      <c r="C97" s="32">
        <f>SUMIFS(BD!$J$3:$J$5001,BD!$B$3:$B$5001,C$89,BD!$A$3:$A$5001,"&gt;="&amp;$C$7,BD!$A$3:$A$5001,"&lt;="&amp;$D$7)</f>
        <v>0</v>
      </c>
      <c r="D97" s="32">
        <f>SUMIFS(BD!$J$3:$J$5001,BD!$B$3:$B$5001,D$89,BD!$A$3:$A$5001,"&gt;="&amp;$C$7,BD!$A$3:$A$5001,"&lt;="&amp;$D$7)</f>
        <v>0</v>
      </c>
      <c r="E97" s="32">
        <f>SUMIFS(BD!$J$3:$J$5001,BD!$B$3:$B$5001,E$89,BD!$A$3:$A$5001,"&gt;="&amp;$C$7,BD!$A$3:$A$5001,"&lt;="&amp;$D$7)</f>
        <v>0</v>
      </c>
      <c r="F97" s="32">
        <f>SUMIFS(BD!$J$3:$J$5001,BD!$B$3:$B$5001,F$89,BD!$A$3:$A$5001,"&gt;="&amp;$C$7,BD!$A$3:$A$5001,"&lt;="&amp;$D$7)</f>
        <v>0</v>
      </c>
      <c r="G97" s="61">
        <f>SUM(B97:F97)</f>
        <v>0</v>
      </c>
    </row>
    <row r="98">
      <c r="A98" s="29" t="inlineStr">
        <is>
          <t xml:space="preserve">NC · Backlog</t>
        </is>
      </c>
      <c r="B98" s="32" t="str">
        <f>IF(COUNTIFS(BD!$B$3:$B$5001,B$89,BD!$A$3:$A$5001,"&gt;="&amp;$C$7,BD!$A$3:$A$5001,"&lt;="&amp;$D$7,BD!$K$3:$K$5001,"&lt;&gt;")=0,"",SUMIFS(BD!$K$3:$K$5001,BD!$B$3:$B$5001,B$89,BD!$A$3:$A$5001,_xlfn.MAXIFS(BD!$A$3:$A$5001,BD!$B$3:$B$5001,B$89,BD!$A$3:$A$5001,"&gt;="&amp;$C$7,BD!$A$3:$A$5001,"&lt;="&amp;$D$7,BD!$K$3:$K$5001,"&lt;&gt;")))</f>
        <v/>
      </c>
      <c r="C98" s="32" t="str">
        <f>IF(COUNTIFS(BD!$B$3:$B$5001,C$89,BD!$A$3:$A$5001,"&gt;="&amp;$C$7,BD!$A$3:$A$5001,"&lt;="&amp;$D$7,BD!$K$3:$K$5001,"&lt;&gt;")=0,"",SUMIFS(BD!$K$3:$K$5001,BD!$B$3:$B$5001,C$89,BD!$A$3:$A$5001,_xlfn.MAXIFS(BD!$A$3:$A$5001,BD!$B$3:$B$5001,C$89,BD!$A$3:$A$5001,"&gt;="&amp;$C$7,BD!$A$3:$A$5001,"&lt;="&amp;$D$7,BD!$K$3:$K$5001,"&lt;&gt;")))</f>
        <v/>
      </c>
      <c r="D98" s="32" t="str">
        <f>IF(COUNTIFS(BD!$B$3:$B$5001,D$89,BD!$A$3:$A$5001,"&gt;="&amp;$C$7,BD!$A$3:$A$5001,"&lt;="&amp;$D$7,BD!$K$3:$K$5001,"&lt;&gt;")=0,"",SUMIFS(BD!$K$3:$K$5001,BD!$B$3:$B$5001,D$89,BD!$A$3:$A$5001,_xlfn.MAXIFS(BD!$A$3:$A$5001,BD!$B$3:$B$5001,D$89,BD!$A$3:$A$5001,"&gt;="&amp;$C$7,BD!$A$3:$A$5001,"&lt;="&amp;$D$7,BD!$K$3:$K$5001,"&lt;&gt;")))</f>
        <v/>
      </c>
      <c r="E98" s="32" t="str">
        <f>IF(COUNTIFS(BD!$B$3:$B$5001,E$89,BD!$A$3:$A$5001,"&gt;="&amp;$C$7,BD!$A$3:$A$5001,"&lt;="&amp;$D$7,BD!$K$3:$K$5001,"&lt;&gt;")=0,"",SUMIFS(BD!$K$3:$K$5001,BD!$B$3:$B$5001,E$89,BD!$A$3:$A$5001,_xlfn.MAXIFS(BD!$A$3:$A$5001,BD!$B$3:$B$5001,E$89,BD!$A$3:$A$5001,"&gt;="&amp;$C$7,BD!$A$3:$A$5001,"&lt;="&amp;$D$7,BD!$K$3:$K$5001,"&lt;&gt;")))</f>
        <v/>
      </c>
      <c r="F98" s="32" t="str">
        <f>IF(COUNTIFS(BD!$B$3:$B$5001,F$89,BD!$A$3:$A$5001,"&gt;="&amp;$C$7,BD!$A$3:$A$5001,"&lt;="&amp;$D$7,BD!$K$3:$K$5001,"&lt;&gt;")=0,"",SUMIFS(BD!$K$3:$K$5001,BD!$B$3:$B$5001,F$89,BD!$A$3:$A$5001,_xlfn.MAXIFS(BD!$A$3:$A$5001,BD!$B$3:$B$5001,F$89,BD!$A$3:$A$5001,"&gt;="&amp;$C$7,BD!$A$3:$A$5001,"&lt;="&amp;$D$7,BD!$K$3:$K$5001,"&lt;&gt;")))</f>
        <v/>
      </c>
      <c r="G98" s="61">
        <f>SUM(B98:F98)</f>
        <v>0</v>
      </c>
    </row>
    <row r="99">
      <c r="A99" s="29" t="inlineStr">
        <is>
          <t xml:space="preserve">OCUPAÇÃO (P.P) · Posições Disponíveis</t>
        </is>
      </c>
      <c r="B99" s="32" t="str">
        <f>IF(COUNTIFS(BD!$B$3:$B$5001,B$89,BD!$A$3:$A$5001,"&gt;="&amp;$C$7,BD!$A$3:$A$5001,"&lt;="&amp;$D$7,BD!$M$3:$M$5001,"&lt;&gt;")=0,"",SUMIFS(BD!$L$3:$L$5001,BD!$B$3:$B$5001,B$89,BD!$A$3:$A$5001,_xlfn.MAXIFS(BD!$A$3:$A$5001,BD!$B$3:$B$5001,B$89,BD!$A$3:$A$5001,"&gt;="&amp;$C$7,BD!$A$3:$A$5001,"&lt;="&amp;$D$7,BD!$M$3:$M$5001,"&lt;&gt;")))</f>
        <v/>
      </c>
      <c r="C99" s="32" t="inlineStr">
        <is>
          <t xml:space="preserve">—</t>
        </is>
      </c>
      <c r="D99" s="32" t="inlineStr">
        <is>
          <t xml:space="preserve">—</t>
        </is>
      </c>
      <c r="E99" s="32" t="inlineStr">
        <is>
          <t xml:space="preserve">—</t>
        </is>
      </c>
      <c r="F99" s="32" t="str">
        <f>IF(COUNTIFS(BD!$B$3:$B$5001,F$89,BD!$A$3:$A$5001,"&gt;="&amp;$C$7,BD!$A$3:$A$5001,"&lt;="&amp;$D$7,BD!$M$3:$M$5001,"&lt;&gt;")=0,"",SUMIFS(BD!$L$3:$L$5001,BD!$B$3:$B$5001,F$89,BD!$A$3:$A$5001,_xlfn.MAXIFS(BD!$A$3:$A$5001,BD!$B$3:$B$5001,F$89,BD!$A$3:$A$5001,"&gt;="&amp;$C$7,BD!$A$3:$A$5001,"&lt;="&amp;$D$7,BD!$M$3:$M$5001,"&lt;&gt;")))</f>
        <v/>
      </c>
      <c r="G99" s="61">
        <f>IF($B$4&gt;0,$B$4,SUM(B99:F99))</f>
        <v>5872</v>
      </c>
    </row>
    <row r="100">
      <c r="A100" s="29" t="inlineStr">
        <is>
          <t xml:space="preserve">OCUPAÇÃO (P.P) · Posições Ocupadas</t>
        </is>
      </c>
      <c r="B100" s="32" t="str">
        <f>IF(COUNTIFS(BD!$B$3:$B$5001,B$89,BD!$A$3:$A$5001,"&gt;="&amp;$C$7,BD!$A$3:$A$5001,"&lt;="&amp;$D$7,BD!$M$3:$M$5001,"&lt;&gt;")=0,"",SUMIFS(BD!$M$3:$M$5001,BD!$B$3:$B$5001,B$89,BD!$A$3:$A$5001,_xlfn.MAXIFS(BD!$A$3:$A$5001,BD!$B$3:$B$5001,B$89,BD!$A$3:$A$5001,"&gt;="&amp;$C$7,BD!$A$3:$A$5001,"&lt;="&amp;$D$7,BD!$M$3:$M$5001,"&lt;&gt;")))</f>
        <v/>
      </c>
      <c r="C100" s="32" t="inlineStr">
        <is>
          <t xml:space="preserve">—</t>
        </is>
      </c>
      <c r="D100" s="32" t="str">
        <f>IF(COUNTIFS(BD!$B$3:$B$5001,D$89,BD!$A$3:$A$5001,"&gt;="&amp;$C$7,BD!$A$3:$A$5001,"&lt;="&amp;$D$7,BD!$M$3:$M$5001,"&lt;&gt;")=0,"",SUMIFS(BD!$M$3:$M$5001,BD!$B$3:$B$5001,D$89,BD!$A$3:$A$5001,_xlfn.MAXIFS(BD!$A$3:$A$5001,BD!$B$3:$B$5001,D$89,BD!$A$3:$A$5001,"&gt;="&amp;$C$7,BD!$A$3:$A$5001,"&lt;="&amp;$D$7,BD!$M$3:$M$5001,"&lt;&gt;")))</f>
        <v/>
      </c>
      <c r="E100" s="32" t="str">
        <f>IF(COUNTIFS(BD!$B$3:$B$5001,E$89,BD!$A$3:$A$5001,"&gt;="&amp;$C$7,BD!$A$3:$A$5001,"&lt;="&amp;$D$7,BD!$M$3:$M$5001,"&lt;&gt;")=0,"",SUMIFS(BD!$M$3:$M$5001,BD!$B$3:$B$5001,E$89,BD!$A$3:$A$5001,_xlfn.MAXIFS(BD!$A$3:$A$5001,BD!$B$3:$B$5001,E$89,BD!$A$3:$A$5001,"&gt;="&amp;$C$7,BD!$A$3:$A$5001,"&lt;="&amp;$D$7,BD!$M$3:$M$5001,"&lt;&gt;")))</f>
        <v/>
      </c>
      <c r="F100" s="32" t="str">
        <f>IF(COUNTIFS(BD!$B$3:$B$5001,F$89,BD!$A$3:$A$5001,"&gt;="&amp;$C$7,BD!$A$3:$A$5001,"&lt;="&amp;$D$7,BD!$M$3:$M$5001,"&lt;&gt;")=0,"",SUMIFS(BD!$M$3:$M$5001,BD!$B$3:$B$5001,F$89,BD!$A$3:$A$5001,_xlfn.MAXIFS(BD!$A$3:$A$5001,BD!$B$3:$B$5001,F$89,BD!$A$3:$A$5001,"&gt;="&amp;$C$7,BD!$A$3:$A$5001,"&lt;="&amp;$D$7,BD!$M$3:$M$5001,"&lt;&gt;")))</f>
        <v/>
      </c>
      <c r="G100" s="61">
        <f>SUM(B100:F100)</f>
        <v>0</v>
      </c>
    </row>
    <row r="101">
      <c r="A101" s="29" t="inlineStr">
        <is>
          <t xml:space="preserve">OCUPAÇÃO (P.P) · Taxa de Ocupação</t>
        </is>
      </c>
      <c r="B101" s="49" t="str">
        <f>IF(AND(ISNUMBER(B100),ISNUMBER(B99)),IF(B99&gt;0,B100/B99,""),"")</f>
        <v/>
      </c>
      <c r="C101" s="49" t="inlineStr">
        <is>
          <t xml:space="preserve">—</t>
        </is>
      </c>
      <c r="D101" s="49" t="inlineStr">
        <is>
          <t xml:space="preserve">—</t>
        </is>
      </c>
      <c r="E101" s="49" t="inlineStr">
        <is>
          <t xml:space="preserve">—</t>
        </is>
      </c>
      <c r="F101" s="49" t="str">
        <f>IF(AND(ISNUMBER(F100),ISNUMBER(F99)),IF(F99&gt;0,F100/F99,""),"")</f>
        <v/>
      </c>
      <c r="G101" s="63">
        <f>IFERROR(G100/G99,"")</f>
        <v>0</v>
      </c>
    </row>
    <row r="102">
      <c r="A102" s="29" t="inlineStr">
        <is>
          <t xml:space="preserve">GENTE · Efetivo Op.</t>
        </is>
      </c>
      <c r="B102" s="32" t="str">
        <f>IF(COUNTIFS(BD!$B$3:$B$5001,B$89,BD!$A$3:$A$5001,"&gt;="&amp;$C$7,BD!$A$3:$A$5001,"&lt;="&amp;$D$7,BD!$N$3:$N$5001,"&lt;&gt;")=0,"",SUMIFS(BD!$N$3:$N$5001,BD!$B$3:$B$5001,B$89,BD!$A$3:$A$5001,_xlfn.MAXIFS(BD!$A$3:$A$5001,BD!$B$3:$B$5001,B$89,BD!$A$3:$A$5001,"&gt;="&amp;$C$7,BD!$A$3:$A$5001,"&lt;="&amp;$D$7,BD!$N$3:$N$5001,"&lt;&gt;")))</f>
        <v/>
      </c>
      <c r="C102" s="32" t="str">
        <f>IF(COUNTIFS(BD!$B$3:$B$5001,C$89,BD!$A$3:$A$5001,"&gt;="&amp;$C$7,BD!$A$3:$A$5001,"&lt;="&amp;$D$7,BD!$N$3:$N$5001,"&lt;&gt;")=0,"",SUMIFS(BD!$N$3:$N$5001,BD!$B$3:$B$5001,C$89,BD!$A$3:$A$5001,_xlfn.MAXIFS(BD!$A$3:$A$5001,BD!$B$3:$B$5001,C$89,BD!$A$3:$A$5001,"&gt;="&amp;$C$7,BD!$A$3:$A$5001,"&lt;="&amp;$D$7,BD!$N$3:$N$5001,"&lt;&gt;")))</f>
        <v/>
      </c>
      <c r="D102" s="32" t="str">
        <f>IF(COUNTIFS(BD!$B$3:$B$5001,D$89,BD!$A$3:$A$5001,"&gt;="&amp;$C$7,BD!$A$3:$A$5001,"&lt;="&amp;$D$7,BD!$N$3:$N$5001,"&lt;&gt;")=0,"",SUMIFS(BD!$N$3:$N$5001,BD!$B$3:$B$5001,D$89,BD!$A$3:$A$5001,_xlfn.MAXIFS(BD!$A$3:$A$5001,BD!$B$3:$B$5001,D$89,BD!$A$3:$A$5001,"&gt;="&amp;$C$7,BD!$A$3:$A$5001,"&lt;="&amp;$D$7,BD!$N$3:$N$5001,"&lt;&gt;")))</f>
        <v/>
      </c>
      <c r="E102" s="32" t="str">
        <f>IF(COUNTIFS(BD!$B$3:$B$5001,E$89,BD!$A$3:$A$5001,"&gt;="&amp;$C$7,BD!$A$3:$A$5001,"&lt;="&amp;$D$7,BD!$N$3:$N$5001,"&lt;&gt;")=0,"",SUMIFS(BD!$N$3:$N$5001,BD!$B$3:$B$5001,E$89,BD!$A$3:$A$5001,_xlfn.MAXIFS(BD!$A$3:$A$5001,BD!$B$3:$B$5001,E$89,BD!$A$3:$A$5001,"&gt;="&amp;$C$7,BD!$A$3:$A$5001,"&lt;="&amp;$D$7,BD!$N$3:$N$5001,"&lt;&gt;")))</f>
        <v/>
      </c>
      <c r="F102" s="32" t="str">
        <f>IF(COUNTIFS(BD!$B$3:$B$5001,F$89,BD!$A$3:$A$5001,"&gt;="&amp;$C$7,BD!$A$3:$A$5001,"&lt;="&amp;$D$7,BD!$N$3:$N$5001,"&lt;&gt;")=0,"",SUMIFS(BD!$N$3:$N$5001,BD!$B$3:$B$5001,F$89,BD!$A$3:$A$5001,_xlfn.MAXIFS(BD!$A$3:$A$5001,BD!$B$3:$B$5001,F$89,BD!$A$3:$A$5001,"&gt;="&amp;$C$7,BD!$A$3:$A$5001,"&lt;="&amp;$D$7,BD!$N$3:$N$5001,"&lt;&gt;")))</f>
        <v/>
      </c>
      <c r="G102" s="61">
        <f>SUM(B102:F102)</f>
        <v>0</v>
      </c>
    </row>
    <row r="103">
      <c r="A103" s="29" t="inlineStr">
        <is>
          <t xml:space="preserve">GENTE · Falta</t>
        </is>
      </c>
      <c r="B103" s="32">
        <f>SUMIFS(BD!$O$3:$O$5001,BD!$B$3:$B$5001,B$89,BD!$A$3:$A$5001,"&gt;="&amp;$C$7,BD!$A$3:$A$5001,"&lt;="&amp;$D$7)</f>
        <v>0</v>
      </c>
      <c r="C103" s="32">
        <f>SUMIFS(BD!$O$3:$O$5001,BD!$B$3:$B$5001,C$89,BD!$A$3:$A$5001,"&gt;="&amp;$C$7,BD!$A$3:$A$5001,"&lt;="&amp;$D$7)</f>
        <v>0</v>
      </c>
      <c r="D103" s="32">
        <f>SUMIFS(BD!$O$3:$O$5001,BD!$B$3:$B$5001,D$89,BD!$A$3:$A$5001,"&gt;="&amp;$C$7,BD!$A$3:$A$5001,"&lt;="&amp;$D$7)</f>
        <v>0</v>
      </c>
      <c r="E103" s="32">
        <f>SUMIFS(BD!$O$3:$O$5001,BD!$B$3:$B$5001,E$89,BD!$A$3:$A$5001,"&gt;="&amp;$C$7,BD!$A$3:$A$5001,"&lt;="&amp;$D$7)</f>
        <v>0</v>
      </c>
      <c r="F103" s="32">
        <f>SUMIFS(BD!$O$3:$O$5001,BD!$B$3:$B$5001,F$89,BD!$A$3:$A$5001,"&gt;="&amp;$C$7,BD!$A$3:$A$5001,"&lt;="&amp;$D$7)</f>
        <v>0</v>
      </c>
      <c r="G103" s="61">
        <f>SUM(B103:F103)</f>
        <v>0</v>
      </c>
    </row>
    <row r="104">
      <c r="A104" s="29" t="inlineStr">
        <is>
          <t xml:space="preserve">GENTE · Folga</t>
        </is>
      </c>
      <c r="B104" s="32">
        <f>SUMIFS(BD!$P$3:$P$5001,BD!$B$3:$B$5001,B$89,BD!$A$3:$A$5001,"&gt;="&amp;$C$7,BD!$A$3:$A$5001,"&lt;="&amp;$D$7)</f>
        <v>0</v>
      </c>
      <c r="C104" s="32">
        <f>SUMIFS(BD!$P$3:$P$5001,BD!$B$3:$B$5001,C$89,BD!$A$3:$A$5001,"&gt;="&amp;$C$7,BD!$A$3:$A$5001,"&lt;="&amp;$D$7)</f>
        <v>0</v>
      </c>
      <c r="D104" s="32">
        <f>SUMIFS(BD!$P$3:$P$5001,BD!$B$3:$B$5001,D$89,BD!$A$3:$A$5001,"&gt;="&amp;$C$7,BD!$A$3:$A$5001,"&lt;="&amp;$D$7)</f>
        <v>0</v>
      </c>
      <c r="E104" s="32">
        <f>SUMIFS(BD!$P$3:$P$5001,BD!$B$3:$B$5001,E$89,BD!$A$3:$A$5001,"&gt;="&amp;$C$7,BD!$A$3:$A$5001,"&lt;="&amp;$D$7)</f>
        <v>0</v>
      </c>
      <c r="F104" s="32">
        <f>SUMIFS(BD!$P$3:$P$5001,BD!$B$3:$B$5001,F$89,BD!$A$3:$A$5001,"&gt;="&amp;$C$7,BD!$A$3:$A$5001,"&lt;="&amp;$D$7)</f>
        <v>0</v>
      </c>
      <c r="G104" s="61">
        <f>SUM(B104:F104)</f>
        <v>0</v>
      </c>
    </row>
    <row r="105">
      <c r="A105" s="29" t="inlineStr">
        <is>
          <t xml:space="preserve">GENTE · Férias</t>
        </is>
      </c>
      <c r="B105" s="32">
        <f>SUMIFS(BD!$Q$3:$Q$5001,BD!$B$3:$B$5001,B$89,BD!$A$3:$A$5001,"&gt;="&amp;$C$7,BD!$A$3:$A$5001,"&lt;="&amp;$D$7)</f>
        <v>0</v>
      </c>
      <c r="C105" s="32">
        <f>SUMIFS(BD!$Q$3:$Q$5001,BD!$B$3:$B$5001,C$89,BD!$A$3:$A$5001,"&gt;="&amp;$C$7,BD!$A$3:$A$5001,"&lt;="&amp;$D$7)</f>
        <v>0</v>
      </c>
      <c r="D105" s="32">
        <f>SUMIFS(BD!$Q$3:$Q$5001,BD!$B$3:$B$5001,D$89,BD!$A$3:$A$5001,"&gt;="&amp;$C$7,BD!$A$3:$A$5001,"&lt;="&amp;$D$7)</f>
        <v>0</v>
      </c>
      <c r="E105" s="32">
        <f>SUMIFS(BD!$Q$3:$Q$5001,BD!$B$3:$B$5001,E$89,BD!$A$3:$A$5001,"&gt;="&amp;$C$7,BD!$A$3:$A$5001,"&lt;="&amp;$D$7)</f>
        <v>0</v>
      </c>
      <c r="F105" s="32">
        <f>SUMIFS(BD!$Q$3:$Q$5001,BD!$B$3:$B$5001,F$89,BD!$A$3:$A$5001,"&gt;="&amp;$C$7,BD!$A$3:$A$5001,"&lt;="&amp;$D$7)</f>
        <v>0</v>
      </c>
      <c r="G105" s="61">
        <f>SUM(B105:F105)</f>
        <v>0</v>
      </c>
    </row>
    <row r="106">
      <c r="A106" s="29" t="inlineStr">
        <is>
          <t xml:space="preserve">GENTE · Desligamento</t>
        </is>
      </c>
      <c r="B106" s="32">
        <f>SUMIFS(BD!$R$3:$R$5001,BD!$B$3:$B$5001,B$89,BD!$A$3:$A$5001,"&gt;="&amp;$C$7,BD!$A$3:$A$5001,"&lt;="&amp;$D$7)</f>
        <v>0</v>
      </c>
      <c r="C106" s="32">
        <f>SUMIFS(BD!$R$3:$R$5001,BD!$B$3:$B$5001,C$89,BD!$A$3:$A$5001,"&gt;="&amp;$C$7,BD!$A$3:$A$5001,"&lt;="&amp;$D$7)</f>
        <v>0</v>
      </c>
      <c r="D106" s="32">
        <f>SUMIFS(BD!$R$3:$R$5001,BD!$B$3:$B$5001,D$89,BD!$A$3:$A$5001,"&gt;="&amp;$C$7,BD!$A$3:$A$5001,"&lt;="&amp;$D$7)</f>
        <v>0</v>
      </c>
      <c r="E106" s="32">
        <f>SUMIFS(BD!$R$3:$R$5001,BD!$B$3:$B$5001,E$89,BD!$A$3:$A$5001,"&gt;="&amp;$C$7,BD!$A$3:$A$5001,"&lt;="&amp;$D$7)</f>
        <v>0</v>
      </c>
      <c r="F106" s="32">
        <f>SUMIFS(BD!$R$3:$R$5001,BD!$B$3:$B$5001,F$89,BD!$A$3:$A$5001,"&gt;="&amp;$C$7,BD!$A$3:$A$5001,"&lt;="&amp;$D$7)</f>
        <v>0</v>
      </c>
      <c r="G106" s="61">
        <f>SUM(B106:F106)</f>
        <v>0</v>
      </c>
    </row>
    <row r="107">
      <c r="A107" s="29" t="inlineStr">
        <is>
          <t xml:space="preserve">GENTE · Desvios Comportamentais</t>
        </is>
      </c>
      <c r="B107" s="32">
        <f>SUMIFS(BD!$S$3:$S$5001,BD!$B$3:$B$5001,B$89,BD!$A$3:$A$5001,"&gt;="&amp;$C$7,BD!$A$3:$A$5001,"&lt;="&amp;$D$7)</f>
        <v>0</v>
      </c>
      <c r="C107" s="32">
        <f>SUMIFS(BD!$S$3:$S$5001,BD!$B$3:$B$5001,C$89,BD!$A$3:$A$5001,"&gt;="&amp;$C$7,BD!$A$3:$A$5001,"&lt;="&amp;$D$7)</f>
        <v>0</v>
      </c>
      <c r="D107" s="32">
        <f>SUMIFS(BD!$S$3:$S$5001,BD!$B$3:$B$5001,D$89,BD!$A$3:$A$5001,"&gt;="&amp;$C$7,BD!$A$3:$A$5001,"&lt;="&amp;$D$7)</f>
        <v>0</v>
      </c>
      <c r="E107" s="32">
        <f>SUMIFS(BD!$S$3:$S$5001,BD!$B$3:$B$5001,E$89,BD!$A$3:$A$5001,"&gt;="&amp;$C$7,BD!$A$3:$A$5001,"&lt;="&amp;$D$7)</f>
        <v>0</v>
      </c>
      <c r="F107" s="32">
        <f>SUMIFS(BD!$S$3:$S$5001,BD!$B$3:$B$5001,F$89,BD!$A$3:$A$5001,"&gt;="&amp;$C$7,BD!$A$3:$A$5001,"&lt;="&amp;$D$7)</f>
        <v>0</v>
      </c>
      <c r="G107" s="61">
        <f>SUM(B107:F107)</f>
        <v>0</v>
      </c>
    </row>
    <row r="108">
      <c r="A108" s="29" t="inlineStr">
        <is>
          <t xml:space="preserve">GENTE · Acidentes CAF</t>
        </is>
      </c>
      <c r="B108" s="32">
        <f>SUMIFS(BD!$T$3:$T$5001,BD!$B$3:$B$5001,B$89,BD!$A$3:$A$5001,"&gt;="&amp;$C$7,BD!$A$3:$A$5001,"&lt;="&amp;$D$7)</f>
        <v>0</v>
      </c>
      <c r="C108" s="32">
        <f>SUMIFS(BD!$T$3:$T$5001,BD!$B$3:$B$5001,C$89,BD!$A$3:$A$5001,"&gt;="&amp;$C$7,BD!$A$3:$A$5001,"&lt;="&amp;$D$7)</f>
        <v>0</v>
      </c>
      <c r="D108" s="32">
        <f>SUMIFS(BD!$T$3:$T$5001,BD!$B$3:$B$5001,D$89,BD!$A$3:$A$5001,"&gt;="&amp;$C$7,BD!$A$3:$A$5001,"&lt;="&amp;$D$7)</f>
        <v>0</v>
      </c>
      <c r="E108" s="32">
        <f>SUMIFS(BD!$T$3:$T$5001,BD!$B$3:$B$5001,E$89,BD!$A$3:$A$5001,"&gt;="&amp;$C$7,BD!$A$3:$A$5001,"&lt;="&amp;$D$7)</f>
        <v>0</v>
      </c>
      <c r="F108" s="32">
        <f>SUMIFS(BD!$T$3:$T$5001,BD!$B$3:$B$5001,F$89,BD!$A$3:$A$5001,"&gt;="&amp;$C$7,BD!$A$3:$A$5001,"&lt;="&amp;$D$7)</f>
        <v>0</v>
      </c>
      <c r="G108" s="61">
        <f>SUM(B108:F108)</f>
        <v>0</v>
      </c>
    </row>
    <row r="109">
      <c r="A109" s="29" t="inlineStr">
        <is>
          <t xml:space="preserve">GENTE · Acidentes SAF</t>
        </is>
      </c>
      <c r="B109" s="32">
        <f>SUMIFS(BD!$U$3:$U$5001,BD!$B$3:$B$5001,B$89,BD!$A$3:$A$5001,"&gt;="&amp;$C$7,BD!$A$3:$A$5001,"&lt;="&amp;$D$7)</f>
        <v>0</v>
      </c>
      <c r="C109" s="32">
        <f>SUMIFS(BD!$U$3:$U$5001,BD!$B$3:$B$5001,C$89,BD!$A$3:$A$5001,"&gt;="&amp;$C$7,BD!$A$3:$A$5001,"&lt;="&amp;$D$7)</f>
        <v>0</v>
      </c>
      <c r="D109" s="32">
        <f>SUMIFS(BD!$U$3:$U$5001,BD!$B$3:$B$5001,D$89,BD!$A$3:$A$5001,"&gt;="&amp;$C$7,BD!$A$3:$A$5001,"&lt;="&amp;$D$7)</f>
        <v>0</v>
      </c>
      <c r="E109" s="32">
        <f>SUMIFS(BD!$U$3:$U$5001,BD!$B$3:$B$5001,E$89,BD!$A$3:$A$5001,"&gt;="&amp;$C$7,BD!$A$3:$A$5001,"&lt;="&amp;$D$7)</f>
        <v>0</v>
      </c>
      <c r="F109" s="32">
        <f>SUMIFS(BD!$U$3:$U$5001,BD!$B$3:$B$5001,F$89,BD!$A$3:$A$5001,"&gt;="&amp;$C$7,BD!$A$3:$A$5001,"&lt;="&amp;$D$7)</f>
        <v>0</v>
      </c>
      <c r="G109" s="61">
        <f>SUM(B109:F109)</f>
        <v>0</v>
      </c>
    </row>
    <row r="113">
      <c r="A113" s="19" t="inlineStr">
        <is>
          <t xml:space="preserve">ESTOQUES POR CLIENTE — último valor informado até cada dia (Backlog, Posições e Efetivo)</t>
        </is>
      </c>
    </row>
    <row r="114">
      <c r="A114" s="37" t="inlineStr">
        <is>
          <t xml:space="preserve">Backlog</t>
        </is>
      </c>
      <c r="B114" s="37" t="inlineStr">
        <is>
          <t xml:space="preserve">Data</t>
        </is>
      </c>
      <c r="C114" s="37" t="inlineStr">
        <is>
          <t xml:space="preserve">Barry Callebaut</t>
        </is>
      </c>
      <c r="D114" s="37" t="inlineStr">
        <is>
          <t xml:space="preserve">GM</t>
        </is>
      </c>
      <c r="E114" s="37" t="inlineStr">
        <is>
          <t xml:space="preserve">Mondelez</t>
        </is>
      </c>
      <c r="F114" s="37" t="inlineStr">
        <is>
          <t xml:space="preserve">Nestlé</t>
        </is>
      </c>
      <c r="G114" s="37" t="inlineStr">
        <is>
          <t xml:space="preserve">PMB</t>
        </is>
      </c>
    </row>
    <row r="115">
      <c r="A115" s="40">
        <v>1</v>
      </c>
      <c r="B115" s="41">
        <f>$B$12</f>
        <v>46296</v>
      </c>
      <c r="C115" s="42" t="str">
        <f>IF(OR($B115="",$A115&gt;$B$9),"",IF(COUNTIFS(BD!$B$3:$B$5001,C$114,BD!$A$3:$A$5001,"&gt;="&amp;$C$7,BD!$A$3:$A$5001,"&lt;="&amp;$B115,BD!$K$3:$K$5001,"&lt;&gt;")=0,"",SUMIFS(BD!$K$3:$K$5001,BD!$B$3:$B$5001,C$114,BD!$A$3:$A$5001,_xlfn.MAXIFS(BD!$A$3:$A$5001,BD!$B$3:$B$5001,C$114,BD!$A$3:$A$5001,"&gt;="&amp;$C$7,BD!$A$3:$A$5001,"&lt;="&amp;$B115,BD!$K$3:$K$5001,"&lt;&gt;"))))</f>
        <v/>
      </c>
      <c r="D115" s="42" t="str">
        <f>IF(OR($B115="",$A115&gt;$B$9),"",IF(COUNTIFS(BD!$B$3:$B$5001,D$114,BD!$A$3:$A$5001,"&gt;="&amp;$C$7,BD!$A$3:$A$5001,"&lt;="&amp;$B115,BD!$K$3:$K$5001,"&lt;&gt;")=0,"",SUMIFS(BD!$K$3:$K$5001,BD!$B$3:$B$5001,D$114,BD!$A$3:$A$5001,_xlfn.MAXIFS(BD!$A$3:$A$5001,BD!$B$3:$B$5001,D$114,BD!$A$3:$A$5001,"&gt;="&amp;$C$7,BD!$A$3:$A$5001,"&lt;="&amp;$B115,BD!$K$3:$K$5001,"&lt;&gt;"))))</f>
        <v/>
      </c>
      <c r="E115" s="42" t="str">
        <f>IF(OR($B115="",$A115&gt;$B$9),"",IF(COUNTIFS(BD!$B$3:$B$5001,E$114,BD!$A$3:$A$5001,"&gt;="&amp;$C$7,BD!$A$3:$A$5001,"&lt;="&amp;$B115,BD!$K$3:$K$5001,"&lt;&gt;")=0,"",SUMIFS(BD!$K$3:$K$5001,BD!$B$3:$B$5001,E$114,BD!$A$3:$A$5001,_xlfn.MAXIFS(BD!$A$3:$A$5001,BD!$B$3:$B$5001,E$114,BD!$A$3:$A$5001,"&gt;="&amp;$C$7,BD!$A$3:$A$5001,"&lt;="&amp;$B115,BD!$K$3:$K$5001,"&lt;&gt;"))))</f>
        <v/>
      </c>
      <c r="F115" s="42" t="str">
        <f>IF(OR($B115="",$A115&gt;$B$9),"",IF(COUNTIFS(BD!$B$3:$B$5001,F$114,BD!$A$3:$A$5001,"&gt;="&amp;$C$7,BD!$A$3:$A$5001,"&lt;="&amp;$B115,BD!$K$3:$K$5001,"&lt;&gt;")=0,"",SUMIFS(BD!$K$3:$K$5001,BD!$B$3:$B$5001,F$114,BD!$A$3:$A$5001,_xlfn.MAXIFS(BD!$A$3:$A$5001,BD!$B$3:$B$5001,F$114,BD!$A$3:$A$5001,"&gt;="&amp;$C$7,BD!$A$3:$A$5001,"&lt;="&amp;$B115,BD!$K$3:$K$5001,"&lt;&gt;"))))</f>
        <v/>
      </c>
      <c r="G115" s="42" t="str">
        <f>IF(OR($B115="",$A115&gt;$B$9),"",IF(COUNTIFS(BD!$B$3:$B$5001,G$114,BD!$A$3:$A$5001,"&gt;="&amp;$C$7,BD!$A$3:$A$5001,"&lt;="&amp;$B115,BD!$K$3:$K$5001,"&lt;&gt;")=0,"",SUMIFS(BD!$K$3:$K$5001,BD!$B$3:$B$5001,G$114,BD!$A$3:$A$5001,_xlfn.MAXIFS(BD!$A$3:$A$5001,BD!$B$3:$B$5001,G$114,BD!$A$3:$A$5001,"&gt;="&amp;$C$7,BD!$A$3:$A$5001,"&lt;="&amp;$B115,BD!$K$3:$K$5001,"&lt;&gt;"))))</f>
        <v/>
      </c>
    </row>
    <row r="116">
      <c r="A116" s="40">
        <v>2</v>
      </c>
      <c r="B116" s="41">
        <f>$B$13</f>
        <v>46297</v>
      </c>
      <c r="C116" s="42" t="str">
        <f>IF(OR($B116="",$A116&gt;$B$9),"",IF(COUNTIFS(BD!$B$3:$B$5001,C$114,BD!$A$3:$A$5001,"&gt;="&amp;$C$7,BD!$A$3:$A$5001,"&lt;="&amp;$B116,BD!$K$3:$K$5001,"&lt;&gt;")=0,"",SUMIFS(BD!$K$3:$K$5001,BD!$B$3:$B$5001,C$114,BD!$A$3:$A$5001,_xlfn.MAXIFS(BD!$A$3:$A$5001,BD!$B$3:$B$5001,C$114,BD!$A$3:$A$5001,"&gt;="&amp;$C$7,BD!$A$3:$A$5001,"&lt;="&amp;$B116,BD!$K$3:$K$5001,"&lt;&gt;"))))</f>
        <v/>
      </c>
      <c r="D116" s="42" t="str">
        <f>IF(OR($B116="",$A116&gt;$B$9),"",IF(COUNTIFS(BD!$B$3:$B$5001,D$114,BD!$A$3:$A$5001,"&gt;="&amp;$C$7,BD!$A$3:$A$5001,"&lt;="&amp;$B116,BD!$K$3:$K$5001,"&lt;&gt;")=0,"",SUMIFS(BD!$K$3:$K$5001,BD!$B$3:$B$5001,D$114,BD!$A$3:$A$5001,_xlfn.MAXIFS(BD!$A$3:$A$5001,BD!$B$3:$B$5001,D$114,BD!$A$3:$A$5001,"&gt;="&amp;$C$7,BD!$A$3:$A$5001,"&lt;="&amp;$B116,BD!$K$3:$K$5001,"&lt;&gt;"))))</f>
        <v/>
      </c>
      <c r="E116" s="42" t="str">
        <f>IF(OR($B116="",$A116&gt;$B$9),"",IF(COUNTIFS(BD!$B$3:$B$5001,E$114,BD!$A$3:$A$5001,"&gt;="&amp;$C$7,BD!$A$3:$A$5001,"&lt;="&amp;$B116,BD!$K$3:$K$5001,"&lt;&gt;")=0,"",SUMIFS(BD!$K$3:$K$5001,BD!$B$3:$B$5001,E$114,BD!$A$3:$A$5001,_xlfn.MAXIFS(BD!$A$3:$A$5001,BD!$B$3:$B$5001,E$114,BD!$A$3:$A$5001,"&gt;="&amp;$C$7,BD!$A$3:$A$5001,"&lt;="&amp;$B116,BD!$K$3:$K$5001,"&lt;&gt;"))))</f>
        <v/>
      </c>
      <c r="F116" s="42" t="str">
        <f>IF(OR($B116="",$A116&gt;$B$9),"",IF(COUNTIFS(BD!$B$3:$B$5001,F$114,BD!$A$3:$A$5001,"&gt;="&amp;$C$7,BD!$A$3:$A$5001,"&lt;="&amp;$B116,BD!$K$3:$K$5001,"&lt;&gt;")=0,"",SUMIFS(BD!$K$3:$K$5001,BD!$B$3:$B$5001,F$114,BD!$A$3:$A$5001,_xlfn.MAXIFS(BD!$A$3:$A$5001,BD!$B$3:$B$5001,F$114,BD!$A$3:$A$5001,"&gt;="&amp;$C$7,BD!$A$3:$A$5001,"&lt;="&amp;$B116,BD!$K$3:$K$5001,"&lt;&gt;"))))</f>
        <v/>
      </c>
      <c r="G116" s="42" t="str">
        <f>IF(OR($B116="",$A116&gt;$B$9),"",IF(COUNTIFS(BD!$B$3:$B$5001,G$114,BD!$A$3:$A$5001,"&gt;="&amp;$C$7,BD!$A$3:$A$5001,"&lt;="&amp;$B116,BD!$K$3:$K$5001,"&lt;&gt;")=0,"",SUMIFS(BD!$K$3:$K$5001,BD!$B$3:$B$5001,G$114,BD!$A$3:$A$5001,_xlfn.MAXIFS(BD!$A$3:$A$5001,BD!$B$3:$B$5001,G$114,BD!$A$3:$A$5001,"&gt;="&amp;$C$7,BD!$A$3:$A$5001,"&lt;="&amp;$B116,BD!$K$3:$K$5001,"&lt;&gt;"))))</f>
        <v/>
      </c>
    </row>
    <row r="117">
      <c r="A117" s="40">
        <v>3</v>
      </c>
      <c r="B117" s="41">
        <f>$B$14</f>
        <v>46298</v>
      </c>
      <c r="C117" s="42" t="str">
        <f>IF(OR($B117="",$A117&gt;$B$9),"",IF(COUNTIFS(BD!$B$3:$B$5001,C$114,BD!$A$3:$A$5001,"&gt;="&amp;$C$7,BD!$A$3:$A$5001,"&lt;="&amp;$B117,BD!$K$3:$K$5001,"&lt;&gt;")=0,"",SUMIFS(BD!$K$3:$K$5001,BD!$B$3:$B$5001,C$114,BD!$A$3:$A$5001,_xlfn.MAXIFS(BD!$A$3:$A$5001,BD!$B$3:$B$5001,C$114,BD!$A$3:$A$5001,"&gt;="&amp;$C$7,BD!$A$3:$A$5001,"&lt;="&amp;$B117,BD!$K$3:$K$5001,"&lt;&gt;"))))</f>
        <v/>
      </c>
      <c r="D117" s="42" t="str">
        <f>IF(OR($B117="",$A117&gt;$B$9),"",IF(COUNTIFS(BD!$B$3:$B$5001,D$114,BD!$A$3:$A$5001,"&gt;="&amp;$C$7,BD!$A$3:$A$5001,"&lt;="&amp;$B117,BD!$K$3:$K$5001,"&lt;&gt;")=0,"",SUMIFS(BD!$K$3:$K$5001,BD!$B$3:$B$5001,D$114,BD!$A$3:$A$5001,_xlfn.MAXIFS(BD!$A$3:$A$5001,BD!$B$3:$B$5001,D$114,BD!$A$3:$A$5001,"&gt;="&amp;$C$7,BD!$A$3:$A$5001,"&lt;="&amp;$B117,BD!$K$3:$K$5001,"&lt;&gt;"))))</f>
        <v/>
      </c>
      <c r="E117" s="42" t="str">
        <f>IF(OR($B117="",$A117&gt;$B$9),"",IF(COUNTIFS(BD!$B$3:$B$5001,E$114,BD!$A$3:$A$5001,"&gt;="&amp;$C$7,BD!$A$3:$A$5001,"&lt;="&amp;$B117,BD!$K$3:$K$5001,"&lt;&gt;")=0,"",SUMIFS(BD!$K$3:$K$5001,BD!$B$3:$B$5001,E$114,BD!$A$3:$A$5001,_xlfn.MAXIFS(BD!$A$3:$A$5001,BD!$B$3:$B$5001,E$114,BD!$A$3:$A$5001,"&gt;="&amp;$C$7,BD!$A$3:$A$5001,"&lt;="&amp;$B117,BD!$K$3:$K$5001,"&lt;&gt;"))))</f>
        <v/>
      </c>
      <c r="F117" s="42" t="str">
        <f>IF(OR($B117="",$A117&gt;$B$9),"",IF(COUNTIFS(BD!$B$3:$B$5001,F$114,BD!$A$3:$A$5001,"&gt;="&amp;$C$7,BD!$A$3:$A$5001,"&lt;="&amp;$B117,BD!$K$3:$K$5001,"&lt;&gt;")=0,"",SUMIFS(BD!$K$3:$K$5001,BD!$B$3:$B$5001,F$114,BD!$A$3:$A$5001,_xlfn.MAXIFS(BD!$A$3:$A$5001,BD!$B$3:$B$5001,F$114,BD!$A$3:$A$5001,"&gt;="&amp;$C$7,BD!$A$3:$A$5001,"&lt;="&amp;$B117,BD!$K$3:$K$5001,"&lt;&gt;"))))</f>
        <v/>
      </c>
      <c r="G117" s="42" t="str">
        <f>IF(OR($B117="",$A117&gt;$B$9),"",IF(COUNTIFS(BD!$B$3:$B$5001,G$114,BD!$A$3:$A$5001,"&gt;="&amp;$C$7,BD!$A$3:$A$5001,"&lt;="&amp;$B117,BD!$K$3:$K$5001,"&lt;&gt;")=0,"",SUMIFS(BD!$K$3:$K$5001,BD!$B$3:$B$5001,G$114,BD!$A$3:$A$5001,_xlfn.MAXIFS(BD!$A$3:$A$5001,BD!$B$3:$B$5001,G$114,BD!$A$3:$A$5001,"&gt;="&amp;$C$7,BD!$A$3:$A$5001,"&lt;="&amp;$B117,BD!$K$3:$K$5001,"&lt;&gt;"))))</f>
        <v/>
      </c>
    </row>
    <row r="118">
      <c r="A118" s="40">
        <v>4</v>
      </c>
      <c r="B118" s="41">
        <f>$B$15</f>
        <v>46299</v>
      </c>
      <c r="C118" s="42" t="str">
        <f>IF(OR($B118="",$A118&gt;$B$9),"",IF(COUNTIFS(BD!$B$3:$B$5001,C$114,BD!$A$3:$A$5001,"&gt;="&amp;$C$7,BD!$A$3:$A$5001,"&lt;="&amp;$B118,BD!$K$3:$K$5001,"&lt;&gt;")=0,"",SUMIFS(BD!$K$3:$K$5001,BD!$B$3:$B$5001,C$114,BD!$A$3:$A$5001,_xlfn.MAXIFS(BD!$A$3:$A$5001,BD!$B$3:$B$5001,C$114,BD!$A$3:$A$5001,"&gt;="&amp;$C$7,BD!$A$3:$A$5001,"&lt;="&amp;$B118,BD!$K$3:$K$5001,"&lt;&gt;"))))</f>
        <v/>
      </c>
      <c r="D118" s="42" t="str">
        <f>IF(OR($B118="",$A118&gt;$B$9),"",IF(COUNTIFS(BD!$B$3:$B$5001,D$114,BD!$A$3:$A$5001,"&gt;="&amp;$C$7,BD!$A$3:$A$5001,"&lt;="&amp;$B118,BD!$K$3:$K$5001,"&lt;&gt;")=0,"",SUMIFS(BD!$K$3:$K$5001,BD!$B$3:$B$5001,D$114,BD!$A$3:$A$5001,_xlfn.MAXIFS(BD!$A$3:$A$5001,BD!$B$3:$B$5001,D$114,BD!$A$3:$A$5001,"&gt;="&amp;$C$7,BD!$A$3:$A$5001,"&lt;="&amp;$B118,BD!$K$3:$K$5001,"&lt;&gt;"))))</f>
        <v/>
      </c>
      <c r="E118" s="42" t="str">
        <f>IF(OR($B118="",$A118&gt;$B$9),"",IF(COUNTIFS(BD!$B$3:$B$5001,E$114,BD!$A$3:$A$5001,"&gt;="&amp;$C$7,BD!$A$3:$A$5001,"&lt;="&amp;$B118,BD!$K$3:$K$5001,"&lt;&gt;")=0,"",SUMIFS(BD!$K$3:$K$5001,BD!$B$3:$B$5001,E$114,BD!$A$3:$A$5001,_xlfn.MAXIFS(BD!$A$3:$A$5001,BD!$B$3:$B$5001,E$114,BD!$A$3:$A$5001,"&gt;="&amp;$C$7,BD!$A$3:$A$5001,"&lt;="&amp;$B118,BD!$K$3:$K$5001,"&lt;&gt;"))))</f>
        <v/>
      </c>
      <c r="F118" s="42" t="str">
        <f>IF(OR($B118="",$A118&gt;$B$9),"",IF(COUNTIFS(BD!$B$3:$B$5001,F$114,BD!$A$3:$A$5001,"&gt;="&amp;$C$7,BD!$A$3:$A$5001,"&lt;="&amp;$B118,BD!$K$3:$K$5001,"&lt;&gt;")=0,"",SUMIFS(BD!$K$3:$K$5001,BD!$B$3:$B$5001,F$114,BD!$A$3:$A$5001,_xlfn.MAXIFS(BD!$A$3:$A$5001,BD!$B$3:$B$5001,F$114,BD!$A$3:$A$5001,"&gt;="&amp;$C$7,BD!$A$3:$A$5001,"&lt;="&amp;$B118,BD!$K$3:$K$5001,"&lt;&gt;"))))</f>
        <v/>
      </c>
      <c r="G118" s="42" t="str">
        <f>IF(OR($B118="",$A118&gt;$B$9),"",IF(COUNTIFS(BD!$B$3:$B$5001,G$114,BD!$A$3:$A$5001,"&gt;="&amp;$C$7,BD!$A$3:$A$5001,"&lt;="&amp;$B118,BD!$K$3:$K$5001,"&lt;&gt;")=0,"",SUMIFS(BD!$K$3:$K$5001,BD!$B$3:$B$5001,G$114,BD!$A$3:$A$5001,_xlfn.MAXIFS(BD!$A$3:$A$5001,BD!$B$3:$B$5001,G$114,BD!$A$3:$A$5001,"&gt;="&amp;$C$7,BD!$A$3:$A$5001,"&lt;="&amp;$B118,BD!$K$3:$K$5001,"&lt;&gt;"))))</f>
        <v/>
      </c>
    </row>
    <row r="119">
      <c r="A119" s="40">
        <v>5</v>
      </c>
      <c r="B119" s="41">
        <f>$B$16</f>
        <v>46300</v>
      </c>
      <c r="C119" s="42" t="str">
        <f>IF(OR($B119="",$A119&gt;$B$9),"",IF(COUNTIFS(BD!$B$3:$B$5001,C$114,BD!$A$3:$A$5001,"&gt;="&amp;$C$7,BD!$A$3:$A$5001,"&lt;="&amp;$B119,BD!$K$3:$K$5001,"&lt;&gt;")=0,"",SUMIFS(BD!$K$3:$K$5001,BD!$B$3:$B$5001,C$114,BD!$A$3:$A$5001,_xlfn.MAXIFS(BD!$A$3:$A$5001,BD!$B$3:$B$5001,C$114,BD!$A$3:$A$5001,"&gt;="&amp;$C$7,BD!$A$3:$A$5001,"&lt;="&amp;$B119,BD!$K$3:$K$5001,"&lt;&gt;"))))</f>
        <v/>
      </c>
      <c r="D119" s="42" t="str">
        <f>IF(OR($B119="",$A119&gt;$B$9),"",IF(COUNTIFS(BD!$B$3:$B$5001,D$114,BD!$A$3:$A$5001,"&gt;="&amp;$C$7,BD!$A$3:$A$5001,"&lt;="&amp;$B119,BD!$K$3:$K$5001,"&lt;&gt;")=0,"",SUMIFS(BD!$K$3:$K$5001,BD!$B$3:$B$5001,D$114,BD!$A$3:$A$5001,_xlfn.MAXIFS(BD!$A$3:$A$5001,BD!$B$3:$B$5001,D$114,BD!$A$3:$A$5001,"&gt;="&amp;$C$7,BD!$A$3:$A$5001,"&lt;="&amp;$B119,BD!$K$3:$K$5001,"&lt;&gt;"))))</f>
        <v/>
      </c>
      <c r="E119" s="42" t="str">
        <f>IF(OR($B119="",$A119&gt;$B$9),"",IF(COUNTIFS(BD!$B$3:$B$5001,E$114,BD!$A$3:$A$5001,"&gt;="&amp;$C$7,BD!$A$3:$A$5001,"&lt;="&amp;$B119,BD!$K$3:$K$5001,"&lt;&gt;")=0,"",SUMIFS(BD!$K$3:$K$5001,BD!$B$3:$B$5001,E$114,BD!$A$3:$A$5001,_xlfn.MAXIFS(BD!$A$3:$A$5001,BD!$B$3:$B$5001,E$114,BD!$A$3:$A$5001,"&gt;="&amp;$C$7,BD!$A$3:$A$5001,"&lt;="&amp;$B119,BD!$K$3:$K$5001,"&lt;&gt;"))))</f>
        <v/>
      </c>
      <c r="F119" s="42" t="str">
        <f>IF(OR($B119="",$A119&gt;$B$9),"",IF(COUNTIFS(BD!$B$3:$B$5001,F$114,BD!$A$3:$A$5001,"&gt;="&amp;$C$7,BD!$A$3:$A$5001,"&lt;="&amp;$B119,BD!$K$3:$K$5001,"&lt;&gt;")=0,"",SUMIFS(BD!$K$3:$K$5001,BD!$B$3:$B$5001,F$114,BD!$A$3:$A$5001,_xlfn.MAXIFS(BD!$A$3:$A$5001,BD!$B$3:$B$5001,F$114,BD!$A$3:$A$5001,"&gt;="&amp;$C$7,BD!$A$3:$A$5001,"&lt;="&amp;$B119,BD!$K$3:$K$5001,"&lt;&gt;"))))</f>
        <v/>
      </c>
      <c r="G119" s="42" t="str">
        <f>IF(OR($B119="",$A119&gt;$B$9),"",IF(COUNTIFS(BD!$B$3:$B$5001,G$114,BD!$A$3:$A$5001,"&gt;="&amp;$C$7,BD!$A$3:$A$5001,"&lt;="&amp;$B119,BD!$K$3:$K$5001,"&lt;&gt;")=0,"",SUMIFS(BD!$K$3:$K$5001,BD!$B$3:$B$5001,G$114,BD!$A$3:$A$5001,_xlfn.MAXIFS(BD!$A$3:$A$5001,BD!$B$3:$B$5001,G$114,BD!$A$3:$A$5001,"&gt;="&amp;$C$7,BD!$A$3:$A$5001,"&lt;="&amp;$B119,BD!$K$3:$K$5001,"&lt;&gt;"))))</f>
        <v/>
      </c>
    </row>
    <row r="120">
      <c r="A120" s="40">
        <v>6</v>
      </c>
      <c r="B120" s="41">
        <f>$B$17</f>
        <v>46301</v>
      </c>
      <c r="C120" s="42" t="str">
        <f>IF(OR($B120="",$A120&gt;$B$9),"",IF(COUNTIFS(BD!$B$3:$B$5001,C$114,BD!$A$3:$A$5001,"&gt;="&amp;$C$7,BD!$A$3:$A$5001,"&lt;="&amp;$B120,BD!$K$3:$K$5001,"&lt;&gt;")=0,"",SUMIFS(BD!$K$3:$K$5001,BD!$B$3:$B$5001,C$114,BD!$A$3:$A$5001,_xlfn.MAXIFS(BD!$A$3:$A$5001,BD!$B$3:$B$5001,C$114,BD!$A$3:$A$5001,"&gt;="&amp;$C$7,BD!$A$3:$A$5001,"&lt;="&amp;$B120,BD!$K$3:$K$5001,"&lt;&gt;"))))</f>
        <v/>
      </c>
      <c r="D120" s="42" t="str">
        <f>IF(OR($B120="",$A120&gt;$B$9),"",IF(COUNTIFS(BD!$B$3:$B$5001,D$114,BD!$A$3:$A$5001,"&gt;="&amp;$C$7,BD!$A$3:$A$5001,"&lt;="&amp;$B120,BD!$K$3:$K$5001,"&lt;&gt;")=0,"",SUMIFS(BD!$K$3:$K$5001,BD!$B$3:$B$5001,D$114,BD!$A$3:$A$5001,_xlfn.MAXIFS(BD!$A$3:$A$5001,BD!$B$3:$B$5001,D$114,BD!$A$3:$A$5001,"&gt;="&amp;$C$7,BD!$A$3:$A$5001,"&lt;="&amp;$B120,BD!$K$3:$K$5001,"&lt;&gt;"))))</f>
        <v/>
      </c>
      <c r="E120" s="42" t="str">
        <f>IF(OR($B120="",$A120&gt;$B$9),"",IF(COUNTIFS(BD!$B$3:$B$5001,E$114,BD!$A$3:$A$5001,"&gt;="&amp;$C$7,BD!$A$3:$A$5001,"&lt;="&amp;$B120,BD!$K$3:$K$5001,"&lt;&gt;")=0,"",SUMIFS(BD!$K$3:$K$5001,BD!$B$3:$B$5001,E$114,BD!$A$3:$A$5001,_xlfn.MAXIFS(BD!$A$3:$A$5001,BD!$B$3:$B$5001,E$114,BD!$A$3:$A$5001,"&gt;="&amp;$C$7,BD!$A$3:$A$5001,"&lt;="&amp;$B120,BD!$K$3:$K$5001,"&lt;&gt;"))))</f>
        <v/>
      </c>
      <c r="F120" s="42" t="str">
        <f>IF(OR($B120="",$A120&gt;$B$9),"",IF(COUNTIFS(BD!$B$3:$B$5001,F$114,BD!$A$3:$A$5001,"&gt;="&amp;$C$7,BD!$A$3:$A$5001,"&lt;="&amp;$B120,BD!$K$3:$K$5001,"&lt;&gt;")=0,"",SUMIFS(BD!$K$3:$K$5001,BD!$B$3:$B$5001,F$114,BD!$A$3:$A$5001,_xlfn.MAXIFS(BD!$A$3:$A$5001,BD!$B$3:$B$5001,F$114,BD!$A$3:$A$5001,"&gt;="&amp;$C$7,BD!$A$3:$A$5001,"&lt;="&amp;$B120,BD!$K$3:$K$5001,"&lt;&gt;"))))</f>
        <v/>
      </c>
      <c r="G120" s="42" t="str">
        <f>IF(OR($B120="",$A120&gt;$B$9),"",IF(COUNTIFS(BD!$B$3:$B$5001,G$114,BD!$A$3:$A$5001,"&gt;="&amp;$C$7,BD!$A$3:$A$5001,"&lt;="&amp;$B120,BD!$K$3:$K$5001,"&lt;&gt;")=0,"",SUMIFS(BD!$K$3:$K$5001,BD!$B$3:$B$5001,G$114,BD!$A$3:$A$5001,_xlfn.MAXIFS(BD!$A$3:$A$5001,BD!$B$3:$B$5001,G$114,BD!$A$3:$A$5001,"&gt;="&amp;$C$7,BD!$A$3:$A$5001,"&lt;="&amp;$B120,BD!$K$3:$K$5001,"&lt;&gt;"))))</f>
        <v/>
      </c>
    </row>
    <row r="121">
      <c r="A121" s="40">
        <v>7</v>
      </c>
      <c r="B121" s="41">
        <f>$B$18</f>
        <v>46302</v>
      </c>
      <c r="C121" s="42" t="str">
        <f>IF(OR($B121="",$A121&gt;$B$9),"",IF(COUNTIFS(BD!$B$3:$B$5001,C$114,BD!$A$3:$A$5001,"&gt;="&amp;$C$7,BD!$A$3:$A$5001,"&lt;="&amp;$B121,BD!$K$3:$K$5001,"&lt;&gt;")=0,"",SUMIFS(BD!$K$3:$K$5001,BD!$B$3:$B$5001,C$114,BD!$A$3:$A$5001,_xlfn.MAXIFS(BD!$A$3:$A$5001,BD!$B$3:$B$5001,C$114,BD!$A$3:$A$5001,"&gt;="&amp;$C$7,BD!$A$3:$A$5001,"&lt;="&amp;$B121,BD!$K$3:$K$5001,"&lt;&gt;"))))</f>
        <v/>
      </c>
      <c r="D121" s="42" t="str">
        <f>IF(OR($B121="",$A121&gt;$B$9),"",IF(COUNTIFS(BD!$B$3:$B$5001,D$114,BD!$A$3:$A$5001,"&gt;="&amp;$C$7,BD!$A$3:$A$5001,"&lt;="&amp;$B121,BD!$K$3:$K$5001,"&lt;&gt;")=0,"",SUMIFS(BD!$K$3:$K$5001,BD!$B$3:$B$5001,D$114,BD!$A$3:$A$5001,_xlfn.MAXIFS(BD!$A$3:$A$5001,BD!$B$3:$B$5001,D$114,BD!$A$3:$A$5001,"&gt;="&amp;$C$7,BD!$A$3:$A$5001,"&lt;="&amp;$B121,BD!$K$3:$K$5001,"&lt;&gt;"))))</f>
        <v/>
      </c>
      <c r="E121" s="42" t="str">
        <f>IF(OR($B121="",$A121&gt;$B$9),"",IF(COUNTIFS(BD!$B$3:$B$5001,E$114,BD!$A$3:$A$5001,"&gt;="&amp;$C$7,BD!$A$3:$A$5001,"&lt;="&amp;$B121,BD!$K$3:$K$5001,"&lt;&gt;")=0,"",SUMIFS(BD!$K$3:$K$5001,BD!$B$3:$B$5001,E$114,BD!$A$3:$A$5001,_xlfn.MAXIFS(BD!$A$3:$A$5001,BD!$B$3:$B$5001,E$114,BD!$A$3:$A$5001,"&gt;="&amp;$C$7,BD!$A$3:$A$5001,"&lt;="&amp;$B121,BD!$K$3:$K$5001,"&lt;&gt;"))))</f>
        <v/>
      </c>
      <c r="F121" s="42" t="str">
        <f>IF(OR($B121="",$A121&gt;$B$9),"",IF(COUNTIFS(BD!$B$3:$B$5001,F$114,BD!$A$3:$A$5001,"&gt;="&amp;$C$7,BD!$A$3:$A$5001,"&lt;="&amp;$B121,BD!$K$3:$K$5001,"&lt;&gt;")=0,"",SUMIFS(BD!$K$3:$K$5001,BD!$B$3:$B$5001,F$114,BD!$A$3:$A$5001,_xlfn.MAXIFS(BD!$A$3:$A$5001,BD!$B$3:$B$5001,F$114,BD!$A$3:$A$5001,"&gt;="&amp;$C$7,BD!$A$3:$A$5001,"&lt;="&amp;$B121,BD!$K$3:$K$5001,"&lt;&gt;"))))</f>
        <v/>
      </c>
      <c r="G121" s="42" t="str">
        <f>IF(OR($B121="",$A121&gt;$B$9),"",IF(COUNTIFS(BD!$B$3:$B$5001,G$114,BD!$A$3:$A$5001,"&gt;="&amp;$C$7,BD!$A$3:$A$5001,"&lt;="&amp;$B121,BD!$K$3:$K$5001,"&lt;&gt;")=0,"",SUMIFS(BD!$K$3:$K$5001,BD!$B$3:$B$5001,G$114,BD!$A$3:$A$5001,_xlfn.MAXIFS(BD!$A$3:$A$5001,BD!$B$3:$B$5001,G$114,BD!$A$3:$A$5001,"&gt;="&amp;$C$7,BD!$A$3:$A$5001,"&lt;="&amp;$B121,BD!$K$3:$K$5001,"&lt;&gt;"))))</f>
        <v/>
      </c>
    </row>
    <row r="122">
      <c r="A122" s="40">
        <v>8</v>
      </c>
      <c r="B122" s="41">
        <f>$B$19</f>
        <v>46303</v>
      </c>
      <c r="C122" s="42" t="str">
        <f>IF(OR($B122="",$A122&gt;$B$9),"",IF(COUNTIFS(BD!$B$3:$B$5001,C$114,BD!$A$3:$A$5001,"&gt;="&amp;$C$7,BD!$A$3:$A$5001,"&lt;="&amp;$B122,BD!$K$3:$K$5001,"&lt;&gt;")=0,"",SUMIFS(BD!$K$3:$K$5001,BD!$B$3:$B$5001,C$114,BD!$A$3:$A$5001,_xlfn.MAXIFS(BD!$A$3:$A$5001,BD!$B$3:$B$5001,C$114,BD!$A$3:$A$5001,"&gt;="&amp;$C$7,BD!$A$3:$A$5001,"&lt;="&amp;$B122,BD!$K$3:$K$5001,"&lt;&gt;"))))</f>
        <v/>
      </c>
      <c r="D122" s="42" t="str">
        <f>IF(OR($B122="",$A122&gt;$B$9),"",IF(COUNTIFS(BD!$B$3:$B$5001,D$114,BD!$A$3:$A$5001,"&gt;="&amp;$C$7,BD!$A$3:$A$5001,"&lt;="&amp;$B122,BD!$K$3:$K$5001,"&lt;&gt;")=0,"",SUMIFS(BD!$K$3:$K$5001,BD!$B$3:$B$5001,D$114,BD!$A$3:$A$5001,_xlfn.MAXIFS(BD!$A$3:$A$5001,BD!$B$3:$B$5001,D$114,BD!$A$3:$A$5001,"&gt;="&amp;$C$7,BD!$A$3:$A$5001,"&lt;="&amp;$B122,BD!$K$3:$K$5001,"&lt;&gt;"))))</f>
        <v/>
      </c>
      <c r="E122" s="42" t="str">
        <f>IF(OR($B122="",$A122&gt;$B$9),"",IF(COUNTIFS(BD!$B$3:$B$5001,E$114,BD!$A$3:$A$5001,"&gt;="&amp;$C$7,BD!$A$3:$A$5001,"&lt;="&amp;$B122,BD!$K$3:$K$5001,"&lt;&gt;")=0,"",SUMIFS(BD!$K$3:$K$5001,BD!$B$3:$B$5001,E$114,BD!$A$3:$A$5001,_xlfn.MAXIFS(BD!$A$3:$A$5001,BD!$B$3:$B$5001,E$114,BD!$A$3:$A$5001,"&gt;="&amp;$C$7,BD!$A$3:$A$5001,"&lt;="&amp;$B122,BD!$K$3:$K$5001,"&lt;&gt;"))))</f>
        <v/>
      </c>
      <c r="F122" s="42" t="str">
        <f>IF(OR($B122="",$A122&gt;$B$9),"",IF(COUNTIFS(BD!$B$3:$B$5001,F$114,BD!$A$3:$A$5001,"&gt;="&amp;$C$7,BD!$A$3:$A$5001,"&lt;="&amp;$B122,BD!$K$3:$K$5001,"&lt;&gt;")=0,"",SUMIFS(BD!$K$3:$K$5001,BD!$B$3:$B$5001,F$114,BD!$A$3:$A$5001,_xlfn.MAXIFS(BD!$A$3:$A$5001,BD!$B$3:$B$5001,F$114,BD!$A$3:$A$5001,"&gt;="&amp;$C$7,BD!$A$3:$A$5001,"&lt;="&amp;$B122,BD!$K$3:$K$5001,"&lt;&gt;"))))</f>
        <v/>
      </c>
      <c r="G122" s="42" t="str">
        <f>IF(OR($B122="",$A122&gt;$B$9),"",IF(COUNTIFS(BD!$B$3:$B$5001,G$114,BD!$A$3:$A$5001,"&gt;="&amp;$C$7,BD!$A$3:$A$5001,"&lt;="&amp;$B122,BD!$K$3:$K$5001,"&lt;&gt;")=0,"",SUMIFS(BD!$K$3:$K$5001,BD!$B$3:$B$5001,G$114,BD!$A$3:$A$5001,_xlfn.MAXIFS(BD!$A$3:$A$5001,BD!$B$3:$B$5001,G$114,BD!$A$3:$A$5001,"&gt;="&amp;$C$7,BD!$A$3:$A$5001,"&lt;="&amp;$B122,BD!$K$3:$K$5001,"&lt;&gt;"))))</f>
        <v/>
      </c>
    </row>
    <row r="123">
      <c r="A123" s="40">
        <v>9</v>
      </c>
      <c r="B123" s="41">
        <f>$B$20</f>
        <v>46304</v>
      </c>
      <c r="C123" s="42" t="str">
        <f>IF(OR($B123="",$A123&gt;$B$9),"",IF(COUNTIFS(BD!$B$3:$B$5001,C$114,BD!$A$3:$A$5001,"&gt;="&amp;$C$7,BD!$A$3:$A$5001,"&lt;="&amp;$B123,BD!$K$3:$K$5001,"&lt;&gt;")=0,"",SUMIFS(BD!$K$3:$K$5001,BD!$B$3:$B$5001,C$114,BD!$A$3:$A$5001,_xlfn.MAXIFS(BD!$A$3:$A$5001,BD!$B$3:$B$5001,C$114,BD!$A$3:$A$5001,"&gt;="&amp;$C$7,BD!$A$3:$A$5001,"&lt;="&amp;$B123,BD!$K$3:$K$5001,"&lt;&gt;"))))</f>
        <v/>
      </c>
      <c r="D123" s="42" t="str">
        <f>IF(OR($B123="",$A123&gt;$B$9),"",IF(COUNTIFS(BD!$B$3:$B$5001,D$114,BD!$A$3:$A$5001,"&gt;="&amp;$C$7,BD!$A$3:$A$5001,"&lt;="&amp;$B123,BD!$K$3:$K$5001,"&lt;&gt;")=0,"",SUMIFS(BD!$K$3:$K$5001,BD!$B$3:$B$5001,D$114,BD!$A$3:$A$5001,_xlfn.MAXIFS(BD!$A$3:$A$5001,BD!$B$3:$B$5001,D$114,BD!$A$3:$A$5001,"&gt;="&amp;$C$7,BD!$A$3:$A$5001,"&lt;="&amp;$B123,BD!$K$3:$K$5001,"&lt;&gt;"))))</f>
        <v/>
      </c>
      <c r="E123" s="42" t="str">
        <f>IF(OR($B123="",$A123&gt;$B$9),"",IF(COUNTIFS(BD!$B$3:$B$5001,E$114,BD!$A$3:$A$5001,"&gt;="&amp;$C$7,BD!$A$3:$A$5001,"&lt;="&amp;$B123,BD!$K$3:$K$5001,"&lt;&gt;")=0,"",SUMIFS(BD!$K$3:$K$5001,BD!$B$3:$B$5001,E$114,BD!$A$3:$A$5001,_xlfn.MAXIFS(BD!$A$3:$A$5001,BD!$B$3:$B$5001,E$114,BD!$A$3:$A$5001,"&gt;="&amp;$C$7,BD!$A$3:$A$5001,"&lt;="&amp;$B123,BD!$K$3:$K$5001,"&lt;&gt;"))))</f>
        <v/>
      </c>
      <c r="F123" s="42" t="str">
        <f>IF(OR($B123="",$A123&gt;$B$9),"",IF(COUNTIFS(BD!$B$3:$B$5001,F$114,BD!$A$3:$A$5001,"&gt;="&amp;$C$7,BD!$A$3:$A$5001,"&lt;="&amp;$B123,BD!$K$3:$K$5001,"&lt;&gt;")=0,"",SUMIFS(BD!$K$3:$K$5001,BD!$B$3:$B$5001,F$114,BD!$A$3:$A$5001,_xlfn.MAXIFS(BD!$A$3:$A$5001,BD!$B$3:$B$5001,F$114,BD!$A$3:$A$5001,"&gt;="&amp;$C$7,BD!$A$3:$A$5001,"&lt;="&amp;$B123,BD!$K$3:$K$5001,"&lt;&gt;"))))</f>
        <v/>
      </c>
      <c r="G123" s="42" t="str">
        <f>IF(OR($B123="",$A123&gt;$B$9),"",IF(COUNTIFS(BD!$B$3:$B$5001,G$114,BD!$A$3:$A$5001,"&gt;="&amp;$C$7,BD!$A$3:$A$5001,"&lt;="&amp;$B123,BD!$K$3:$K$5001,"&lt;&gt;")=0,"",SUMIFS(BD!$K$3:$K$5001,BD!$B$3:$B$5001,G$114,BD!$A$3:$A$5001,_xlfn.MAXIFS(BD!$A$3:$A$5001,BD!$B$3:$B$5001,G$114,BD!$A$3:$A$5001,"&gt;="&amp;$C$7,BD!$A$3:$A$5001,"&lt;="&amp;$B123,BD!$K$3:$K$5001,"&lt;&gt;"))))</f>
        <v/>
      </c>
    </row>
    <row r="124">
      <c r="A124" s="40">
        <v>10</v>
      </c>
      <c r="B124" s="41">
        <f>$B$21</f>
        <v>46305</v>
      </c>
      <c r="C124" s="42" t="str">
        <f>IF(OR($B124="",$A124&gt;$B$9),"",IF(COUNTIFS(BD!$B$3:$B$5001,C$114,BD!$A$3:$A$5001,"&gt;="&amp;$C$7,BD!$A$3:$A$5001,"&lt;="&amp;$B124,BD!$K$3:$K$5001,"&lt;&gt;")=0,"",SUMIFS(BD!$K$3:$K$5001,BD!$B$3:$B$5001,C$114,BD!$A$3:$A$5001,_xlfn.MAXIFS(BD!$A$3:$A$5001,BD!$B$3:$B$5001,C$114,BD!$A$3:$A$5001,"&gt;="&amp;$C$7,BD!$A$3:$A$5001,"&lt;="&amp;$B124,BD!$K$3:$K$5001,"&lt;&gt;"))))</f>
        <v/>
      </c>
      <c r="D124" s="42" t="str">
        <f>IF(OR($B124="",$A124&gt;$B$9),"",IF(COUNTIFS(BD!$B$3:$B$5001,D$114,BD!$A$3:$A$5001,"&gt;="&amp;$C$7,BD!$A$3:$A$5001,"&lt;="&amp;$B124,BD!$K$3:$K$5001,"&lt;&gt;")=0,"",SUMIFS(BD!$K$3:$K$5001,BD!$B$3:$B$5001,D$114,BD!$A$3:$A$5001,_xlfn.MAXIFS(BD!$A$3:$A$5001,BD!$B$3:$B$5001,D$114,BD!$A$3:$A$5001,"&gt;="&amp;$C$7,BD!$A$3:$A$5001,"&lt;="&amp;$B124,BD!$K$3:$K$5001,"&lt;&gt;"))))</f>
        <v/>
      </c>
      <c r="E124" s="42" t="str">
        <f>IF(OR($B124="",$A124&gt;$B$9),"",IF(COUNTIFS(BD!$B$3:$B$5001,E$114,BD!$A$3:$A$5001,"&gt;="&amp;$C$7,BD!$A$3:$A$5001,"&lt;="&amp;$B124,BD!$K$3:$K$5001,"&lt;&gt;")=0,"",SUMIFS(BD!$K$3:$K$5001,BD!$B$3:$B$5001,E$114,BD!$A$3:$A$5001,_xlfn.MAXIFS(BD!$A$3:$A$5001,BD!$B$3:$B$5001,E$114,BD!$A$3:$A$5001,"&gt;="&amp;$C$7,BD!$A$3:$A$5001,"&lt;="&amp;$B124,BD!$K$3:$K$5001,"&lt;&gt;"))))</f>
        <v/>
      </c>
      <c r="F124" s="42" t="str">
        <f>IF(OR($B124="",$A124&gt;$B$9),"",IF(COUNTIFS(BD!$B$3:$B$5001,F$114,BD!$A$3:$A$5001,"&gt;="&amp;$C$7,BD!$A$3:$A$5001,"&lt;="&amp;$B124,BD!$K$3:$K$5001,"&lt;&gt;")=0,"",SUMIFS(BD!$K$3:$K$5001,BD!$B$3:$B$5001,F$114,BD!$A$3:$A$5001,_xlfn.MAXIFS(BD!$A$3:$A$5001,BD!$B$3:$B$5001,F$114,BD!$A$3:$A$5001,"&gt;="&amp;$C$7,BD!$A$3:$A$5001,"&lt;="&amp;$B124,BD!$K$3:$K$5001,"&lt;&gt;"))))</f>
        <v/>
      </c>
      <c r="G124" s="42" t="str">
        <f>IF(OR($B124="",$A124&gt;$B$9),"",IF(COUNTIFS(BD!$B$3:$B$5001,G$114,BD!$A$3:$A$5001,"&gt;="&amp;$C$7,BD!$A$3:$A$5001,"&lt;="&amp;$B124,BD!$K$3:$K$5001,"&lt;&gt;")=0,"",SUMIFS(BD!$K$3:$K$5001,BD!$B$3:$B$5001,G$114,BD!$A$3:$A$5001,_xlfn.MAXIFS(BD!$A$3:$A$5001,BD!$B$3:$B$5001,G$114,BD!$A$3:$A$5001,"&gt;="&amp;$C$7,BD!$A$3:$A$5001,"&lt;="&amp;$B124,BD!$K$3:$K$5001,"&lt;&gt;"))))</f>
        <v/>
      </c>
    </row>
    <row r="125">
      <c r="A125" s="40">
        <v>11</v>
      </c>
      <c r="B125" s="41">
        <f>$B$22</f>
        <v>46306</v>
      </c>
      <c r="C125" s="42" t="str">
        <f>IF(OR($B125="",$A125&gt;$B$9),"",IF(COUNTIFS(BD!$B$3:$B$5001,C$114,BD!$A$3:$A$5001,"&gt;="&amp;$C$7,BD!$A$3:$A$5001,"&lt;="&amp;$B125,BD!$K$3:$K$5001,"&lt;&gt;")=0,"",SUMIFS(BD!$K$3:$K$5001,BD!$B$3:$B$5001,C$114,BD!$A$3:$A$5001,_xlfn.MAXIFS(BD!$A$3:$A$5001,BD!$B$3:$B$5001,C$114,BD!$A$3:$A$5001,"&gt;="&amp;$C$7,BD!$A$3:$A$5001,"&lt;="&amp;$B125,BD!$K$3:$K$5001,"&lt;&gt;"))))</f>
        <v/>
      </c>
      <c r="D125" s="42" t="str">
        <f>IF(OR($B125="",$A125&gt;$B$9),"",IF(COUNTIFS(BD!$B$3:$B$5001,D$114,BD!$A$3:$A$5001,"&gt;="&amp;$C$7,BD!$A$3:$A$5001,"&lt;="&amp;$B125,BD!$K$3:$K$5001,"&lt;&gt;")=0,"",SUMIFS(BD!$K$3:$K$5001,BD!$B$3:$B$5001,D$114,BD!$A$3:$A$5001,_xlfn.MAXIFS(BD!$A$3:$A$5001,BD!$B$3:$B$5001,D$114,BD!$A$3:$A$5001,"&gt;="&amp;$C$7,BD!$A$3:$A$5001,"&lt;="&amp;$B125,BD!$K$3:$K$5001,"&lt;&gt;"))))</f>
        <v/>
      </c>
      <c r="E125" s="42" t="str">
        <f>IF(OR($B125="",$A125&gt;$B$9),"",IF(COUNTIFS(BD!$B$3:$B$5001,E$114,BD!$A$3:$A$5001,"&gt;="&amp;$C$7,BD!$A$3:$A$5001,"&lt;="&amp;$B125,BD!$K$3:$K$5001,"&lt;&gt;")=0,"",SUMIFS(BD!$K$3:$K$5001,BD!$B$3:$B$5001,E$114,BD!$A$3:$A$5001,_xlfn.MAXIFS(BD!$A$3:$A$5001,BD!$B$3:$B$5001,E$114,BD!$A$3:$A$5001,"&gt;="&amp;$C$7,BD!$A$3:$A$5001,"&lt;="&amp;$B125,BD!$K$3:$K$5001,"&lt;&gt;"))))</f>
        <v/>
      </c>
      <c r="F125" s="42" t="str">
        <f>IF(OR($B125="",$A125&gt;$B$9),"",IF(COUNTIFS(BD!$B$3:$B$5001,F$114,BD!$A$3:$A$5001,"&gt;="&amp;$C$7,BD!$A$3:$A$5001,"&lt;="&amp;$B125,BD!$K$3:$K$5001,"&lt;&gt;")=0,"",SUMIFS(BD!$K$3:$K$5001,BD!$B$3:$B$5001,F$114,BD!$A$3:$A$5001,_xlfn.MAXIFS(BD!$A$3:$A$5001,BD!$B$3:$B$5001,F$114,BD!$A$3:$A$5001,"&gt;="&amp;$C$7,BD!$A$3:$A$5001,"&lt;="&amp;$B125,BD!$K$3:$K$5001,"&lt;&gt;"))))</f>
        <v/>
      </c>
      <c r="G125" s="42" t="str">
        <f>IF(OR($B125="",$A125&gt;$B$9),"",IF(COUNTIFS(BD!$B$3:$B$5001,G$114,BD!$A$3:$A$5001,"&gt;="&amp;$C$7,BD!$A$3:$A$5001,"&lt;="&amp;$B125,BD!$K$3:$K$5001,"&lt;&gt;")=0,"",SUMIFS(BD!$K$3:$K$5001,BD!$B$3:$B$5001,G$114,BD!$A$3:$A$5001,_xlfn.MAXIFS(BD!$A$3:$A$5001,BD!$B$3:$B$5001,G$114,BD!$A$3:$A$5001,"&gt;="&amp;$C$7,BD!$A$3:$A$5001,"&lt;="&amp;$B125,BD!$K$3:$K$5001,"&lt;&gt;"))))</f>
        <v/>
      </c>
    </row>
    <row r="126">
      <c r="A126" s="40">
        <v>12</v>
      </c>
      <c r="B126" s="41">
        <f>$B$23</f>
        <v>46307</v>
      </c>
      <c r="C126" s="42" t="str">
        <f>IF(OR($B126="",$A126&gt;$B$9),"",IF(COUNTIFS(BD!$B$3:$B$5001,C$114,BD!$A$3:$A$5001,"&gt;="&amp;$C$7,BD!$A$3:$A$5001,"&lt;="&amp;$B126,BD!$K$3:$K$5001,"&lt;&gt;")=0,"",SUMIFS(BD!$K$3:$K$5001,BD!$B$3:$B$5001,C$114,BD!$A$3:$A$5001,_xlfn.MAXIFS(BD!$A$3:$A$5001,BD!$B$3:$B$5001,C$114,BD!$A$3:$A$5001,"&gt;="&amp;$C$7,BD!$A$3:$A$5001,"&lt;="&amp;$B126,BD!$K$3:$K$5001,"&lt;&gt;"))))</f>
        <v/>
      </c>
      <c r="D126" s="42" t="str">
        <f>IF(OR($B126="",$A126&gt;$B$9),"",IF(COUNTIFS(BD!$B$3:$B$5001,D$114,BD!$A$3:$A$5001,"&gt;="&amp;$C$7,BD!$A$3:$A$5001,"&lt;="&amp;$B126,BD!$K$3:$K$5001,"&lt;&gt;")=0,"",SUMIFS(BD!$K$3:$K$5001,BD!$B$3:$B$5001,D$114,BD!$A$3:$A$5001,_xlfn.MAXIFS(BD!$A$3:$A$5001,BD!$B$3:$B$5001,D$114,BD!$A$3:$A$5001,"&gt;="&amp;$C$7,BD!$A$3:$A$5001,"&lt;="&amp;$B126,BD!$K$3:$K$5001,"&lt;&gt;"))))</f>
        <v/>
      </c>
      <c r="E126" s="42" t="str">
        <f>IF(OR($B126="",$A126&gt;$B$9),"",IF(COUNTIFS(BD!$B$3:$B$5001,E$114,BD!$A$3:$A$5001,"&gt;="&amp;$C$7,BD!$A$3:$A$5001,"&lt;="&amp;$B126,BD!$K$3:$K$5001,"&lt;&gt;")=0,"",SUMIFS(BD!$K$3:$K$5001,BD!$B$3:$B$5001,E$114,BD!$A$3:$A$5001,_xlfn.MAXIFS(BD!$A$3:$A$5001,BD!$B$3:$B$5001,E$114,BD!$A$3:$A$5001,"&gt;="&amp;$C$7,BD!$A$3:$A$5001,"&lt;="&amp;$B126,BD!$K$3:$K$5001,"&lt;&gt;"))))</f>
        <v/>
      </c>
      <c r="F126" s="42" t="str">
        <f>IF(OR($B126="",$A126&gt;$B$9),"",IF(COUNTIFS(BD!$B$3:$B$5001,F$114,BD!$A$3:$A$5001,"&gt;="&amp;$C$7,BD!$A$3:$A$5001,"&lt;="&amp;$B126,BD!$K$3:$K$5001,"&lt;&gt;")=0,"",SUMIFS(BD!$K$3:$K$5001,BD!$B$3:$B$5001,F$114,BD!$A$3:$A$5001,_xlfn.MAXIFS(BD!$A$3:$A$5001,BD!$B$3:$B$5001,F$114,BD!$A$3:$A$5001,"&gt;="&amp;$C$7,BD!$A$3:$A$5001,"&lt;="&amp;$B126,BD!$K$3:$K$5001,"&lt;&gt;"))))</f>
        <v/>
      </c>
      <c r="G126" s="42" t="str">
        <f>IF(OR($B126="",$A126&gt;$B$9),"",IF(COUNTIFS(BD!$B$3:$B$5001,G$114,BD!$A$3:$A$5001,"&gt;="&amp;$C$7,BD!$A$3:$A$5001,"&lt;="&amp;$B126,BD!$K$3:$K$5001,"&lt;&gt;")=0,"",SUMIFS(BD!$K$3:$K$5001,BD!$B$3:$B$5001,G$114,BD!$A$3:$A$5001,_xlfn.MAXIFS(BD!$A$3:$A$5001,BD!$B$3:$B$5001,G$114,BD!$A$3:$A$5001,"&gt;="&amp;$C$7,BD!$A$3:$A$5001,"&lt;="&amp;$B126,BD!$K$3:$K$5001,"&lt;&gt;"))))</f>
        <v/>
      </c>
    </row>
    <row r="127">
      <c r="A127" s="40">
        <v>13</v>
      </c>
      <c r="B127" s="41">
        <f>$B$24</f>
        <v>46308</v>
      </c>
      <c r="C127" s="42" t="str">
        <f>IF(OR($B127="",$A127&gt;$B$9),"",IF(COUNTIFS(BD!$B$3:$B$5001,C$114,BD!$A$3:$A$5001,"&gt;="&amp;$C$7,BD!$A$3:$A$5001,"&lt;="&amp;$B127,BD!$K$3:$K$5001,"&lt;&gt;")=0,"",SUMIFS(BD!$K$3:$K$5001,BD!$B$3:$B$5001,C$114,BD!$A$3:$A$5001,_xlfn.MAXIFS(BD!$A$3:$A$5001,BD!$B$3:$B$5001,C$114,BD!$A$3:$A$5001,"&gt;="&amp;$C$7,BD!$A$3:$A$5001,"&lt;="&amp;$B127,BD!$K$3:$K$5001,"&lt;&gt;"))))</f>
        <v/>
      </c>
      <c r="D127" s="42" t="str">
        <f>IF(OR($B127="",$A127&gt;$B$9),"",IF(COUNTIFS(BD!$B$3:$B$5001,D$114,BD!$A$3:$A$5001,"&gt;="&amp;$C$7,BD!$A$3:$A$5001,"&lt;="&amp;$B127,BD!$K$3:$K$5001,"&lt;&gt;")=0,"",SUMIFS(BD!$K$3:$K$5001,BD!$B$3:$B$5001,D$114,BD!$A$3:$A$5001,_xlfn.MAXIFS(BD!$A$3:$A$5001,BD!$B$3:$B$5001,D$114,BD!$A$3:$A$5001,"&gt;="&amp;$C$7,BD!$A$3:$A$5001,"&lt;="&amp;$B127,BD!$K$3:$K$5001,"&lt;&gt;"))))</f>
        <v/>
      </c>
      <c r="E127" s="42" t="str">
        <f>IF(OR($B127="",$A127&gt;$B$9),"",IF(COUNTIFS(BD!$B$3:$B$5001,E$114,BD!$A$3:$A$5001,"&gt;="&amp;$C$7,BD!$A$3:$A$5001,"&lt;="&amp;$B127,BD!$K$3:$K$5001,"&lt;&gt;")=0,"",SUMIFS(BD!$K$3:$K$5001,BD!$B$3:$B$5001,E$114,BD!$A$3:$A$5001,_xlfn.MAXIFS(BD!$A$3:$A$5001,BD!$B$3:$B$5001,E$114,BD!$A$3:$A$5001,"&gt;="&amp;$C$7,BD!$A$3:$A$5001,"&lt;="&amp;$B127,BD!$K$3:$K$5001,"&lt;&gt;"))))</f>
        <v/>
      </c>
      <c r="F127" s="42" t="str">
        <f>IF(OR($B127="",$A127&gt;$B$9),"",IF(COUNTIFS(BD!$B$3:$B$5001,F$114,BD!$A$3:$A$5001,"&gt;="&amp;$C$7,BD!$A$3:$A$5001,"&lt;="&amp;$B127,BD!$K$3:$K$5001,"&lt;&gt;")=0,"",SUMIFS(BD!$K$3:$K$5001,BD!$B$3:$B$5001,F$114,BD!$A$3:$A$5001,_xlfn.MAXIFS(BD!$A$3:$A$5001,BD!$B$3:$B$5001,F$114,BD!$A$3:$A$5001,"&gt;="&amp;$C$7,BD!$A$3:$A$5001,"&lt;="&amp;$B127,BD!$K$3:$K$5001,"&lt;&gt;"))))</f>
        <v/>
      </c>
      <c r="G127" s="42" t="str">
        <f>IF(OR($B127="",$A127&gt;$B$9),"",IF(COUNTIFS(BD!$B$3:$B$5001,G$114,BD!$A$3:$A$5001,"&gt;="&amp;$C$7,BD!$A$3:$A$5001,"&lt;="&amp;$B127,BD!$K$3:$K$5001,"&lt;&gt;")=0,"",SUMIFS(BD!$K$3:$K$5001,BD!$B$3:$B$5001,G$114,BD!$A$3:$A$5001,_xlfn.MAXIFS(BD!$A$3:$A$5001,BD!$B$3:$B$5001,G$114,BD!$A$3:$A$5001,"&gt;="&amp;$C$7,BD!$A$3:$A$5001,"&lt;="&amp;$B127,BD!$K$3:$K$5001,"&lt;&gt;"))))</f>
        <v/>
      </c>
    </row>
    <row r="128">
      <c r="A128" s="40">
        <v>14</v>
      </c>
      <c r="B128" s="41">
        <f>$B$25</f>
        <v>46309</v>
      </c>
      <c r="C128" s="42" t="str">
        <f>IF(OR($B128="",$A128&gt;$B$9),"",IF(COUNTIFS(BD!$B$3:$B$5001,C$114,BD!$A$3:$A$5001,"&gt;="&amp;$C$7,BD!$A$3:$A$5001,"&lt;="&amp;$B128,BD!$K$3:$K$5001,"&lt;&gt;")=0,"",SUMIFS(BD!$K$3:$K$5001,BD!$B$3:$B$5001,C$114,BD!$A$3:$A$5001,_xlfn.MAXIFS(BD!$A$3:$A$5001,BD!$B$3:$B$5001,C$114,BD!$A$3:$A$5001,"&gt;="&amp;$C$7,BD!$A$3:$A$5001,"&lt;="&amp;$B128,BD!$K$3:$K$5001,"&lt;&gt;"))))</f>
        <v/>
      </c>
      <c r="D128" s="42" t="str">
        <f>IF(OR($B128="",$A128&gt;$B$9),"",IF(COUNTIFS(BD!$B$3:$B$5001,D$114,BD!$A$3:$A$5001,"&gt;="&amp;$C$7,BD!$A$3:$A$5001,"&lt;="&amp;$B128,BD!$K$3:$K$5001,"&lt;&gt;")=0,"",SUMIFS(BD!$K$3:$K$5001,BD!$B$3:$B$5001,D$114,BD!$A$3:$A$5001,_xlfn.MAXIFS(BD!$A$3:$A$5001,BD!$B$3:$B$5001,D$114,BD!$A$3:$A$5001,"&gt;="&amp;$C$7,BD!$A$3:$A$5001,"&lt;="&amp;$B128,BD!$K$3:$K$5001,"&lt;&gt;"))))</f>
        <v/>
      </c>
      <c r="E128" s="42" t="str">
        <f>IF(OR($B128="",$A128&gt;$B$9),"",IF(COUNTIFS(BD!$B$3:$B$5001,E$114,BD!$A$3:$A$5001,"&gt;="&amp;$C$7,BD!$A$3:$A$5001,"&lt;="&amp;$B128,BD!$K$3:$K$5001,"&lt;&gt;")=0,"",SUMIFS(BD!$K$3:$K$5001,BD!$B$3:$B$5001,E$114,BD!$A$3:$A$5001,_xlfn.MAXIFS(BD!$A$3:$A$5001,BD!$B$3:$B$5001,E$114,BD!$A$3:$A$5001,"&gt;="&amp;$C$7,BD!$A$3:$A$5001,"&lt;="&amp;$B128,BD!$K$3:$K$5001,"&lt;&gt;"))))</f>
        <v/>
      </c>
      <c r="F128" s="42" t="str">
        <f>IF(OR($B128="",$A128&gt;$B$9),"",IF(COUNTIFS(BD!$B$3:$B$5001,F$114,BD!$A$3:$A$5001,"&gt;="&amp;$C$7,BD!$A$3:$A$5001,"&lt;="&amp;$B128,BD!$K$3:$K$5001,"&lt;&gt;")=0,"",SUMIFS(BD!$K$3:$K$5001,BD!$B$3:$B$5001,F$114,BD!$A$3:$A$5001,_xlfn.MAXIFS(BD!$A$3:$A$5001,BD!$B$3:$B$5001,F$114,BD!$A$3:$A$5001,"&gt;="&amp;$C$7,BD!$A$3:$A$5001,"&lt;="&amp;$B128,BD!$K$3:$K$5001,"&lt;&gt;"))))</f>
        <v/>
      </c>
      <c r="G128" s="42" t="str">
        <f>IF(OR($B128="",$A128&gt;$B$9),"",IF(COUNTIFS(BD!$B$3:$B$5001,G$114,BD!$A$3:$A$5001,"&gt;="&amp;$C$7,BD!$A$3:$A$5001,"&lt;="&amp;$B128,BD!$K$3:$K$5001,"&lt;&gt;")=0,"",SUMIFS(BD!$K$3:$K$5001,BD!$B$3:$B$5001,G$114,BD!$A$3:$A$5001,_xlfn.MAXIFS(BD!$A$3:$A$5001,BD!$B$3:$B$5001,G$114,BD!$A$3:$A$5001,"&gt;="&amp;$C$7,BD!$A$3:$A$5001,"&lt;="&amp;$B128,BD!$K$3:$K$5001,"&lt;&gt;"))))</f>
        <v/>
      </c>
    </row>
    <row r="129">
      <c r="A129" s="40">
        <v>15</v>
      </c>
      <c r="B129" s="41">
        <f>$B$26</f>
        <v>46310</v>
      </c>
      <c r="C129" s="42" t="str">
        <f>IF(OR($B129="",$A129&gt;$B$9),"",IF(COUNTIFS(BD!$B$3:$B$5001,C$114,BD!$A$3:$A$5001,"&gt;="&amp;$C$7,BD!$A$3:$A$5001,"&lt;="&amp;$B129,BD!$K$3:$K$5001,"&lt;&gt;")=0,"",SUMIFS(BD!$K$3:$K$5001,BD!$B$3:$B$5001,C$114,BD!$A$3:$A$5001,_xlfn.MAXIFS(BD!$A$3:$A$5001,BD!$B$3:$B$5001,C$114,BD!$A$3:$A$5001,"&gt;="&amp;$C$7,BD!$A$3:$A$5001,"&lt;="&amp;$B129,BD!$K$3:$K$5001,"&lt;&gt;"))))</f>
        <v/>
      </c>
      <c r="D129" s="42" t="str">
        <f>IF(OR($B129="",$A129&gt;$B$9),"",IF(COUNTIFS(BD!$B$3:$B$5001,D$114,BD!$A$3:$A$5001,"&gt;="&amp;$C$7,BD!$A$3:$A$5001,"&lt;="&amp;$B129,BD!$K$3:$K$5001,"&lt;&gt;")=0,"",SUMIFS(BD!$K$3:$K$5001,BD!$B$3:$B$5001,D$114,BD!$A$3:$A$5001,_xlfn.MAXIFS(BD!$A$3:$A$5001,BD!$B$3:$B$5001,D$114,BD!$A$3:$A$5001,"&gt;="&amp;$C$7,BD!$A$3:$A$5001,"&lt;="&amp;$B129,BD!$K$3:$K$5001,"&lt;&gt;"))))</f>
        <v/>
      </c>
      <c r="E129" s="42" t="str">
        <f>IF(OR($B129="",$A129&gt;$B$9),"",IF(COUNTIFS(BD!$B$3:$B$5001,E$114,BD!$A$3:$A$5001,"&gt;="&amp;$C$7,BD!$A$3:$A$5001,"&lt;="&amp;$B129,BD!$K$3:$K$5001,"&lt;&gt;")=0,"",SUMIFS(BD!$K$3:$K$5001,BD!$B$3:$B$5001,E$114,BD!$A$3:$A$5001,_xlfn.MAXIFS(BD!$A$3:$A$5001,BD!$B$3:$B$5001,E$114,BD!$A$3:$A$5001,"&gt;="&amp;$C$7,BD!$A$3:$A$5001,"&lt;="&amp;$B129,BD!$K$3:$K$5001,"&lt;&gt;"))))</f>
        <v/>
      </c>
      <c r="F129" s="42" t="str">
        <f>IF(OR($B129="",$A129&gt;$B$9),"",IF(COUNTIFS(BD!$B$3:$B$5001,F$114,BD!$A$3:$A$5001,"&gt;="&amp;$C$7,BD!$A$3:$A$5001,"&lt;="&amp;$B129,BD!$K$3:$K$5001,"&lt;&gt;")=0,"",SUMIFS(BD!$K$3:$K$5001,BD!$B$3:$B$5001,F$114,BD!$A$3:$A$5001,_xlfn.MAXIFS(BD!$A$3:$A$5001,BD!$B$3:$B$5001,F$114,BD!$A$3:$A$5001,"&gt;="&amp;$C$7,BD!$A$3:$A$5001,"&lt;="&amp;$B129,BD!$K$3:$K$5001,"&lt;&gt;"))))</f>
        <v/>
      </c>
      <c r="G129" s="42" t="str">
        <f>IF(OR($B129="",$A129&gt;$B$9),"",IF(COUNTIFS(BD!$B$3:$B$5001,G$114,BD!$A$3:$A$5001,"&gt;="&amp;$C$7,BD!$A$3:$A$5001,"&lt;="&amp;$B129,BD!$K$3:$K$5001,"&lt;&gt;")=0,"",SUMIFS(BD!$K$3:$K$5001,BD!$B$3:$B$5001,G$114,BD!$A$3:$A$5001,_xlfn.MAXIFS(BD!$A$3:$A$5001,BD!$B$3:$B$5001,G$114,BD!$A$3:$A$5001,"&gt;="&amp;$C$7,BD!$A$3:$A$5001,"&lt;="&amp;$B129,BD!$K$3:$K$5001,"&lt;&gt;"))))</f>
        <v/>
      </c>
    </row>
    <row r="130">
      <c r="A130" s="40">
        <v>16</v>
      </c>
      <c r="B130" s="41">
        <f>$B$27</f>
        <v>46311</v>
      </c>
      <c r="C130" s="42" t="str">
        <f>IF(OR($B130="",$A130&gt;$B$9),"",IF(COUNTIFS(BD!$B$3:$B$5001,C$114,BD!$A$3:$A$5001,"&gt;="&amp;$C$7,BD!$A$3:$A$5001,"&lt;="&amp;$B130,BD!$K$3:$K$5001,"&lt;&gt;")=0,"",SUMIFS(BD!$K$3:$K$5001,BD!$B$3:$B$5001,C$114,BD!$A$3:$A$5001,_xlfn.MAXIFS(BD!$A$3:$A$5001,BD!$B$3:$B$5001,C$114,BD!$A$3:$A$5001,"&gt;="&amp;$C$7,BD!$A$3:$A$5001,"&lt;="&amp;$B130,BD!$K$3:$K$5001,"&lt;&gt;"))))</f>
        <v/>
      </c>
      <c r="D130" s="42" t="str">
        <f>IF(OR($B130="",$A130&gt;$B$9),"",IF(COUNTIFS(BD!$B$3:$B$5001,D$114,BD!$A$3:$A$5001,"&gt;="&amp;$C$7,BD!$A$3:$A$5001,"&lt;="&amp;$B130,BD!$K$3:$K$5001,"&lt;&gt;")=0,"",SUMIFS(BD!$K$3:$K$5001,BD!$B$3:$B$5001,D$114,BD!$A$3:$A$5001,_xlfn.MAXIFS(BD!$A$3:$A$5001,BD!$B$3:$B$5001,D$114,BD!$A$3:$A$5001,"&gt;="&amp;$C$7,BD!$A$3:$A$5001,"&lt;="&amp;$B130,BD!$K$3:$K$5001,"&lt;&gt;"))))</f>
        <v/>
      </c>
      <c r="E130" s="42" t="str">
        <f>IF(OR($B130="",$A130&gt;$B$9),"",IF(COUNTIFS(BD!$B$3:$B$5001,E$114,BD!$A$3:$A$5001,"&gt;="&amp;$C$7,BD!$A$3:$A$5001,"&lt;="&amp;$B130,BD!$K$3:$K$5001,"&lt;&gt;")=0,"",SUMIFS(BD!$K$3:$K$5001,BD!$B$3:$B$5001,E$114,BD!$A$3:$A$5001,_xlfn.MAXIFS(BD!$A$3:$A$5001,BD!$B$3:$B$5001,E$114,BD!$A$3:$A$5001,"&gt;="&amp;$C$7,BD!$A$3:$A$5001,"&lt;="&amp;$B130,BD!$K$3:$K$5001,"&lt;&gt;"))))</f>
        <v/>
      </c>
      <c r="F130" s="42" t="str">
        <f>IF(OR($B130="",$A130&gt;$B$9),"",IF(COUNTIFS(BD!$B$3:$B$5001,F$114,BD!$A$3:$A$5001,"&gt;="&amp;$C$7,BD!$A$3:$A$5001,"&lt;="&amp;$B130,BD!$K$3:$K$5001,"&lt;&gt;")=0,"",SUMIFS(BD!$K$3:$K$5001,BD!$B$3:$B$5001,F$114,BD!$A$3:$A$5001,_xlfn.MAXIFS(BD!$A$3:$A$5001,BD!$B$3:$B$5001,F$114,BD!$A$3:$A$5001,"&gt;="&amp;$C$7,BD!$A$3:$A$5001,"&lt;="&amp;$B130,BD!$K$3:$K$5001,"&lt;&gt;"))))</f>
        <v/>
      </c>
      <c r="G130" s="42" t="str">
        <f>IF(OR($B130="",$A130&gt;$B$9),"",IF(COUNTIFS(BD!$B$3:$B$5001,G$114,BD!$A$3:$A$5001,"&gt;="&amp;$C$7,BD!$A$3:$A$5001,"&lt;="&amp;$B130,BD!$K$3:$K$5001,"&lt;&gt;")=0,"",SUMIFS(BD!$K$3:$K$5001,BD!$B$3:$B$5001,G$114,BD!$A$3:$A$5001,_xlfn.MAXIFS(BD!$A$3:$A$5001,BD!$B$3:$B$5001,G$114,BD!$A$3:$A$5001,"&gt;="&amp;$C$7,BD!$A$3:$A$5001,"&lt;="&amp;$B130,BD!$K$3:$K$5001,"&lt;&gt;"))))</f>
        <v/>
      </c>
    </row>
    <row r="131">
      <c r="A131" s="40">
        <v>17</v>
      </c>
      <c r="B131" s="41">
        <f>$B$28</f>
        <v>46312</v>
      </c>
      <c r="C131" s="42" t="str">
        <f>IF(OR($B131="",$A131&gt;$B$9),"",IF(COUNTIFS(BD!$B$3:$B$5001,C$114,BD!$A$3:$A$5001,"&gt;="&amp;$C$7,BD!$A$3:$A$5001,"&lt;="&amp;$B131,BD!$K$3:$K$5001,"&lt;&gt;")=0,"",SUMIFS(BD!$K$3:$K$5001,BD!$B$3:$B$5001,C$114,BD!$A$3:$A$5001,_xlfn.MAXIFS(BD!$A$3:$A$5001,BD!$B$3:$B$5001,C$114,BD!$A$3:$A$5001,"&gt;="&amp;$C$7,BD!$A$3:$A$5001,"&lt;="&amp;$B131,BD!$K$3:$K$5001,"&lt;&gt;"))))</f>
        <v/>
      </c>
      <c r="D131" s="42" t="str">
        <f>IF(OR($B131="",$A131&gt;$B$9),"",IF(COUNTIFS(BD!$B$3:$B$5001,D$114,BD!$A$3:$A$5001,"&gt;="&amp;$C$7,BD!$A$3:$A$5001,"&lt;="&amp;$B131,BD!$K$3:$K$5001,"&lt;&gt;")=0,"",SUMIFS(BD!$K$3:$K$5001,BD!$B$3:$B$5001,D$114,BD!$A$3:$A$5001,_xlfn.MAXIFS(BD!$A$3:$A$5001,BD!$B$3:$B$5001,D$114,BD!$A$3:$A$5001,"&gt;="&amp;$C$7,BD!$A$3:$A$5001,"&lt;="&amp;$B131,BD!$K$3:$K$5001,"&lt;&gt;"))))</f>
        <v/>
      </c>
      <c r="E131" s="42" t="str">
        <f>IF(OR($B131="",$A131&gt;$B$9),"",IF(COUNTIFS(BD!$B$3:$B$5001,E$114,BD!$A$3:$A$5001,"&gt;="&amp;$C$7,BD!$A$3:$A$5001,"&lt;="&amp;$B131,BD!$K$3:$K$5001,"&lt;&gt;")=0,"",SUMIFS(BD!$K$3:$K$5001,BD!$B$3:$B$5001,E$114,BD!$A$3:$A$5001,_xlfn.MAXIFS(BD!$A$3:$A$5001,BD!$B$3:$B$5001,E$114,BD!$A$3:$A$5001,"&gt;="&amp;$C$7,BD!$A$3:$A$5001,"&lt;="&amp;$B131,BD!$K$3:$K$5001,"&lt;&gt;"))))</f>
        <v/>
      </c>
      <c r="F131" s="42" t="str">
        <f>IF(OR($B131="",$A131&gt;$B$9),"",IF(COUNTIFS(BD!$B$3:$B$5001,F$114,BD!$A$3:$A$5001,"&gt;="&amp;$C$7,BD!$A$3:$A$5001,"&lt;="&amp;$B131,BD!$K$3:$K$5001,"&lt;&gt;")=0,"",SUMIFS(BD!$K$3:$K$5001,BD!$B$3:$B$5001,F$114,BD!$A$3:$A$5001,_xlfn.MAXIFS(BD!$A$3:$A$5001,BD!$B$3:$B$5001,F$114,BD!$A$3:$A$5001,"&gt;="&amp;$C$7,BD!$A$3:$A$5001,"&lt;="&amp;$B131,BD!$K$3:$K$5001,"&lt;&gt;"))))</f>
        <v/>
      </c>
      <c r="G131" s="42" t="str">
        <f>IF(OR($B131="",$A131&gt;$B$9),"",IF(COUNTIFS(BD!$B$3:$B$5001,G$114,BD!$A$3:$A$5001,"&gt;="&amp;$C$7,BD!$A$3:$A$5001,"&lt;="&amp;$B131,BD!$K$3:$K$5001,"&lt;&gt;")=0,"",SUMIFS(BD!$K$3:$K$5001,BD!$B$3:$B$5001,G$114,BD!$A$3:$A$5001,_xlfn.MAXIFS(BD!$A$3:$A$5001,BD!$B$3:$B$5001,G$114,BD!$A$3:$A$5001,"&gt;="&amp;$C$7,BD!$A$3:$A$5001,"&lt;="&amp;$B131,BD!$K$3:$K$5001,"&lt;&gt;"))))</f>
        <v/>
      </c>
    </row>
    <row r="132">
      <c r="A132" s="40">
        <v>18</v>
      </c>
      <c r="B132" s="41">
        <f>$B$29</f>
        <v>46313</v>
      </c>
      <c r="C132" s="42" t="str">
        <f>IF(OR($B132="",$A132&gt;$B$9),"",IF(COUNTIFS(BD!$B$3:$B$5001,C$114,BD!$A$3:$A$5001,"&gt;="&amp;$C$7,BD!$A$3:$A$5001,"&lt;="&amp;$B132,BD!$K$3:$K$5001,"&lt;&gt;")=0,"",SUMIFS(BD!$K$3:$K$5001,BD!$B$3:$B$5001,C$114,BD!$A$3:$A$5001,_xlfn.MAXIFS(BD!$A$3:$A$5001,BD!$B$3:$B$5001,C$114,BD!$A$3:$A$5001,"&gt;="&amp;$C$7,BD!$A$3:$A$5001,"&lt;="&amp;$B132,BD!$K$3:$K$5001,"&lt;&gt;"))))</f>
        <v/>
      </c>
      <c r="D132" s="42" t="str">
        <f>IF(OR($B132="",$A132&gt;$B$9),"",IF(COUNTIFS(BD!$B$3:$B$5001,D$114,BD!$A$3:$A$5001,"&gt;="&amp;$C$7,BD!$A$3:$A$5001,"&lt;="&amp;$B132,BD!$K$3:$K$5001,"&lt;&gt;")=0,"",SUMIFS(BD!$K$3:$K$5001,BD!$B$3:$B$5001,D$114,BD!$A$3:$A$5001,_xlfn.MAXIFS(BD!$A$3:$A$5001,BD!$B$3:$B$5001,D$114,BD!$A$3:$A$5001,"&gt;="&amp;$C$7,BD!$A$3:$A$5001,"&lt;="&amp;$B132,BD!$K$3:$K$5001,"&lt;&gt;"))))</f>
        <v/>
      </c>
      <c r="E132" s="42" t="str">
        <f>IF(OR($B132="",$A132&gt;$B$9),"",IF(COUNTIFS(BD!$B$3:$B$5001,E$114,BD!$A$3:$A$5001,"&gt;="&amp;$C$7,BD!$A$3:$A$5001,"&lt;="&amp;$B132,BD!$K$3:$K$5001,"&lt;&gt;")=0,"",SUMIFS(BD!$K$3:$K$5001,BD!$B$3:$B$5001,E$114,BD!$A$3:$A$5001,_xlfn.MAXIFS(BD!$A$3:$A$5001,BD!$B$3:$B$5001,E$114,BD!$A$3:$A$5001,"&gt;="&amp;$C$7,BD!$A$3:$A$5001,"&lt;="&amp;$B132,BD!$K$3:$K$5001,"&lt;&gt;"))))</f>
        <v/>
      </c>
      <c r="F132" s="42" t="str">
        <f>IF(OR($B132="",$A132&gt;$B$9),"",IF(COUNTIFS(BD!$B$3:$B$5001,F$114,BD!$A$3:$A$5001,"&gt;="&amp;$C$7,BD!$A$3:$A$5001,"&lt;="&amp;$B132,BD!$K$3:$K$5001,"&lt;&gt;")=0,"",SUMIFS(BD!$K$3:$K$5001,BD!$B$3:$B$5001,F$114,BD!$A$3:$A$5001,_xlfn.MAXIFS(BD!$A$3:$A$5001,BD!$B$3:$B$5001,F$114,BD!$A$3:$A$5001,"&gt;="&amp;$C$7,BD!$A$3:$A$5001,"&lt;="&amp;$B132,BD!$K$3:$K$5001,"&lt;&gt;"))))</f>
        <v/>
      </c>
      <c r="G132" s="42" t="str">
        <f>IF(OR($B132="",$A132&gt;$B$9),"",IF(COUNTIFS(BD!$B$3:$B$5001,G$114,BD!$A$3:$A$5001,"&gt;="&amp;$C$7,BD!$A$3:$A$5001,"&lt;="&amp;$B132,BD!$K$3:$K$5001,"&lt;&gt;")=0,"",SUMIFS(BD!$K$3:$K$5001,BD!$B$3:$B$5001,G$114,BD!$A$3:$A$5001,_xlfn.MAXIFS(BD!$A$3:$A$5001,BD!$B$3:$B$5001,G$114,BD!$A$3:$A$5001,"&gt;="&amp;$C$7,BD!$A$3:$A$5001,"&lt;="&amp;$B132,BD!$K$3:$K$5001,"&lt;&gt;"))))</f>
        <v/>
      </c>
    </row>
    <row r="133">
      <c r="A133" s="40">
        <v>19</v>
      </c>
      <c r="B133" s="41">
        <f>$B$30</f>
        <v>46314</v>
      </c>
      <c r="C133" s="42" t="str">
        <f>IF(OR($B133="",$A133&gt;$B$9),"",IF(COUNTIFS(BD!$B$3:$B$5001,C$114,BD!$A$3:$A$5001,"&gt;="&amp;$C$7,BD!$A$3:$A$5001,"&lt;="&amp;$B133,BD!$K$3:$K$5001,"&lt;&gt;")=0,"",SUMIFS(BD!$K$3:$K$5001,BD!$B$3:$B$5001,C$114,BD!$A$3:$A$5001,_xlfn.MAXIFS(BD!$A$3:$A$5001,BD!$B$3:$B$5001,C$114,BD!$A$3:$A$5001,"&gt;="&amp;$C$7,BD!$A$3:$A$5001,"&lt;="&amp;$B133,BD!$K$3:$K$5001,"&lt;&gt;"))))</f>
        <v/>
      </c>
      <c r="D133" s="42" t="str">
        <f>IF(OR($B133="",$A133&gt;$B$9),"",IF(COUNTIFS(BD!$B$3:$B$5001,D$114,BD!$A$3:$A$5001,"&gt;="&amp;$C$7,BD!$A$3:$A$5001,"&lt;="&amp;$B133,BD!$K$3:$K$5001,"&lt;&gt;")=0,"",SUMIFS(BD!$K$3:$K$5001,BD!$B$3:$B$5001,D$114,BD!$A$3:$A$5001,_xlfn.MAXIFS(BD!$A$3:$A$5001,BD!$B$3:$B$5001,D$114,BD!$A$3:$A$5001,"&gt;="&amp;$C$7,BD!$A$3:$A$5001,"&lt;="&amp;$B133,BD!$K$3:$K$5001,"&lt;&gt;"))))</f>
        <v/>
      </c>
      <c r="E133" s="42" t="str">
        <f>IF(OR($B133="",$A133&gt;$B$9),"",IF(COUNTIFS(BD!$B$3:$B$5001,E$114,BD!$A$3:$A$5001,"&gt;="&amp;$C$7,BD!$A$3:$A$5001,"&lt;="&amp;$B133,BD!$K$3:$K$5001,"&lt;&gt;")=0,"",SUMIFS(BD!$K$3:$K$5001,BD!$B$3:$B$5001,E$114,BD!$A$3:$A$5001,_xlfn.MAXIFS(BD!$A$3:$A$5001,BD!$B$3:$B$5001,E$114,BD!$A$3:$A$5001,"&gt;="&amp;$C$7,BD!$A$3:$A$5001,"&lt;="&amp;$B133,BD!$K$3:$K$5001,"&lt;&gt;"))))</f>
        <v/>
      </c>
      <c r="F133" s="42" t="str">
        <f>IF(OR($B133="",$A133&gt;$B$9),"",IF(COUNTIFS(BD!$B$3:$B$5001,F$114,BD!$A$3:$A$5001,"&gt;="&amp;$C$7,BD!$A$3:$A$5001,"&lt;="&amp;$B133,BD!$K$3:$K$5001,"&lt;&gt;")=0,"",SUMIFS(BD!$K$3:$K$5001,BD!$B$3:$B$5001,F$114,BD!$A$3:$A$5001,_xlfn.MAXIFS(BD!$A$3:$A$5001,BD!$B$3:$B$5001,F$114,BD!$A$3:$A$5001,"&gt;="&amp;$C$7,BD!$A$3:$A$5001,"&lt;="&amp;$B133,BD!$K$3:$K$5001,"&lt;&gt;"))))</f>
        <v/>
      </c>
      <c r="G133" s="42" t="str">
        <f>IF(OR($B133="",$A133&gt;$B$9),"",IF(COUNTIFS(BD!$B$3:$B$5001,G$114,BD!$A$3:$A$5001,"&gt;="&amp;$C$7,BD!$A$3:$A$5001,"&lt;="&amp;$B133,BD!$K$3:$K$5001,"&lt;&gt;")=0,"",SUMIFS(BD!$K$3:$K$5001,BD!$B$3:$B$5001,G$114,BD!$A$3:$A$5001,_xlfn.MAXIFS(BD!$A$3:$A$5001,BD!$B$3:$B$5001,G$114,BD!$A$3:$A$5001,"&gt;="&amp;$C$7,BD!$A$3:$A$5001,"&lt;="&amp;$B133,BD!$K$3:$K$5001,"&lt;&gt;"))))</f>
        <v/>
      </c>
    </row>
    <row r="134">
      <c r="A134" s="40">
        <v>20</v>
      </c>
      <c r="B134" s="41">
        <f>$B$31</f>
        <v>46315</v>
      </c>
      <c r="C134" s="42" t="str">
        <f>IF(OR($B134="",$A134&gt;$B$9),"",IF(COUNTIFS(BD!$B$3:$B$5001,C$114,BD!$A$3:$A$5001,"&gt;="&amp;$C$7,BD!$A$3:$A$5001,"&lt;="&amp;$B134,BD!$K$3:$K$5001,"&lt;&gt;")=0,"",SUMIFS(BD!$K$3:$K$5001,BD!$B$3:$B$5001,C$114,BD!$A$3:$A$5001,_xlfn.MAXIFS(BD!$A$3:$A$5001,BD!$B$3:$B$5001,C$114,BD!$A$3:$A$5001,"&gt;="&amp;$C$7,BD!$A$3:$A$5001,"&lt;="&amp;$B134,BD!$K$3:$K$5001,"&lt;&gt;"))))</f>
        <v/>
      </c>
      <c r="D134" s="42" t="str">
        <f>IF(OR($B134="",$A134&gt;$B$9),"",IF(COUNTIFS(BD!$B$3:$B$5001,D$114,BD!$A$3:$A$5001,"&gt;="&amp;$C$7,BD!$A$3:$A$5001,"&lt;="&amp;$B134,BD!$K$3:$K$5001,"&lt;&gt;")=0,"",SUMIFS(BD!$K$3:$K$5001,BD!$B$3:$B$5001,D$114,BD!$A$3:$A$5001,_xlfn.MAXIFS(BD!$A$3:$A$5001,BD!$B$3:$B$5001,D$114,BD!$A$3:$A$5001,"&gt;="&amp;$C$7,BD!$A$3:$A$5001,"&lt;="&amp;$B134,BD!$K$3:$K$5001,"&lt;&gt;"))))</f>
        <v/>
      </c>
      <c r="E134" s="42" t="str">
        <f>IF(OR($B134="",$A134&gt;$B$9),"",IF(COUNTIFS(BD!$B$3:$B$5001,E$114,BD!$A$3:$A$5001,"&gt;="&amp;$C$7,BD!$A$3:$A$5001,"&lt;="&amp;$B134,BD!$K$3:$K$5001,"&lt;&gt;")=0,"",SUMIFS(BD!$K$3:$K$5001,BD!$B$3:$B$5001,E$114,BD!$A$3:$A$5001,_xlfn.MAXIFS(BD!$A$3:$A$5001,BD!$B$3:$B$5001,E$114,BD!$A$3:$A$5001,"&gt;="&amp;$C$7,BD!$A$3:$A$5001,"&lt;="&amp;$B134,BD!$K$3:$K$5001,"&lt;&gt;"))))</f>
        <v/>
      </c>
      <c r="F134" s="42" t="str">
        <f>IF(OR($B134="",$A134&gt;$B$9),"",IF(COUNTIFS(BD!$B$3:$B$5001,F$114,BD!$A$3:$A$5001,"&gt;="&amp;$C$7,BD!$A$3:$A$5001,"&lt;="&amp;$B134,BD!$K$3:$K$5001,"&lt;&gt;")=0,"",SUMIFS(BD!$K$3:$K$5001,BD!$B$3:$B$5001,F$114,BD!$A$3:$A$5001,_xlfn.MAXIFS(BD!$A$3:$A$5001,BD!$B$3:$B$5001,F$114,BD!$A$3:$A$5001,"&gt;="&amp;$C$7,BD!$A$3:$A$5001,"&lt;="&amp;$B134,BD!$K$3:$K$5001,"&lt;&gt;"))))</f>
        <v/>
      </c>
      <c r="G134" s="42" t="str">
        <f>IF(OR($B134="",$A134&gt;$B$9),"",IF(COUNTIFS(BD!$B$3:$B$5001,G$114,BD!$A$3:$A$5001,"&gt;="&amp;$C$7,BD!$A$3:$A$5001,"&lt;="&amp;$B134,BD!$K$3:$K$5001,"&lt;&gt;")=0,"",SUMIFS(BD!$K$3:$K$5001,BD!$B$3:$B$5001,G$114,BD!$A$3:$A$5001,_xlfn.MAXIFS(BD!$A$3:$A$5001,BD!$B$3:$B$5001,G$114,BD!$A$3:$A$5001,"&gt;="&amp;$C$7,BD!$A$3:$A$5001,"&lt;="&amp;$B134,BD!$K$3:$K$5001,"&lt;&gt;"))))</f>
        <v/>
      </c>
    </row>
    <row r="135">
      <c r="A135" s="40">
        <v>21</v>
      </c>
      <c r="B135" s="41">
        <f>$B$32</f>
        <v>46316</v>
      </c>
      <c r="C135" s="42" t="str">
        <f>IF(OR($B135="",$A135&gt;$B$9),"",IF(COUNTIFS(BD!$B$3:$B$5001,C$114,BD!$A$3:$A$5001,"&gt;="&amp;$C$7,BD!$A$3:$A$5001,"&lt;="&amp;$B135,BD!$K$3:$K$5001,"&lt;&gt;")=0,"",SUMIFS(BD!$K$3:$K$5001,BD!$B$3:$B$5001,C$114,BD!$A$3:$A$5001,_xlfn.MAXIFS(BD!$A$3:$A$5001,BD!$B$3:$B$5001,C$114,BD!$A$3:$A$5001,"&gt;="&amp;$C$7,BD!$A$3:$A$5001,"&lt;="&amp;$B135,BD!$K$3:$K$5001,"&lt;&gt;"))))</f>
        <v/>
      </c>
      <c r="D135" s="42" t="str">
        <f>IF(OR($B135="",$A135&gt;$B$9),"",IF(COUNTIFS(BD!$B$3:$B$5001,D$114,BD!$A$3:$A$5001,"&gt;="&amp;$C$7,BD!$A$3:$A$5001,"&lt;="&amp;$B135,BD!$K$3:$K$5001,"&lt;&gt;")=0,"",SUMIFS(BD!$K$3:$K$5001,BD!$B$3:$B$5001,D$114,BD!$A$3:$A$5001,_xlfn.MAXIFS(BD!$A$3:$A$5001,BD!$B$3:$B$5001,D$114,BD!$A$3:$A$5001,"&gt;="&amp;$C$7,BD!$A$3:$A$5001,"&lt;="&amp;$B135,BD!$K$3:$K$5001,"&lt;&gt;"))))</f>
        <v/>
      </c>
      <c r="E135" s="42" t="str">
        <f>IF(OR($B135="",$A135&gt;$B$9),"",IF(COUNTIFS(BD!$B$3:$B$5001,E$114,BD!$A$3:$A$5001,"&gt;="&amp;$C$7,BD!$A$3:$A$5001,"&lt;="&amp;$B135,BD!$K$3:$K$5001,"&lt;&gt;")=0,"",SUMIFS(BD!$K$3:$K$5001,BD!$B$3:$B$5001,E$114,BD!$A$3:$A$5001,_xlfn.MAXIFS(BD!$A$3:$A$5001,BD!$B$3:$B$5001,E$114,BD!$A$3:$A$5001,"&gt;="&amp;$C$7,BD!$A$3:$A$5001,"&lt;="&amp;$B135,BD!$K$3:$K$5001,"&lt;&gt;"))))</f>
        <v/>
      </c>
      <c r="F135" s="42" t="str">
        <f>IF(OR($B135="",$A135&gt;$B$9),"",IF(COUNTIFS(BD!$B$3:$B$5001,F$114,BD!$A$3:$A$5001,"&gt;="&amp;$C$7,BD!$A$3:$A$5001,"&lt;="&amp;$B135,BD!$K$3:$K$5001,"&lt;&gt;")=0,"",SUMIFS(BD!$K$3:$K$5001,BD!$B$3:$B$5001,F$114,BD!$A$3:$A$5001,_xlfn.MAXIFS(BD!$A$3:$A$5001,BD!$B$3:$B$5001,F$114,BD!$A$3:$A$5001,"&gt;="&amp;$C$7,BD!$A$3:$A$5001,"&lt;="&amp;$B135,BD!$K$3:$K$5001,"&lt;&gt;"))))</f>
        <v/>
      </c>
      <c r="G135" s="42" t="str">
        <f>IF(OR($B135="",$A135&gt;$B$9),"",IF(COUNTIFS(BD!$B$3:$B$5001,G$114,BD!$A$3:$A$5001,"&gt;="&amp;$C$7,BD!$A$3:$A$5001,"&lt;="&amp;$B135,BD!$K$3:$K$5001,"&lt;&gt;")=0,"",SUMIFS(BD!$K$3:$K$5001,BD!$B$3:$B$5001,G$114,BD!$A$3:$A$5001,_xlfn.MAXIFS(BD!$A$3:$A$5001,BD!$B$3:$B$5001,G$114,BD!$A$3:$A$5001,"&gt;="&amp;$C$7,BD!$A$3:$A$5001,"&lt;="&amp;$B135,BD!$K$3:$K$5001,"&lt;&gt;"))))</f>
        <v/>
      </c>
    </row>
    <row r="136">
      <c r="A136" s="40">
        <v>22</v>
      </c>
      <c r="B136" s="41">
        <f>$B$33</f>
        <v>46317</v>
      </c>
      <c r="C136" s="42" t="str">
        <f>IF(OR($B136="",$A136&gt;$B$9),"",IF(COUNTIFS(BD!$B$3:$B$5001,C$114,BD!$A$3:$A$5001,"&gt;="&amp;$C$7,BD!$A$3:$A$5001,"&lt;="&amp;$B136,BD!$K$3:$K$5001,"&lt;&gt;")=0,"",SUMIFS(BD!$K$3:$K$5001,BD!$B$3:$B$5001,C$114,BD!$A$3:$A$5001,_xlfn.MAXIFS(BD!$A$3:$A$5001,BD!$B$3:$B$5001,C$114,BD!$A$3:$A$5001,"&gt;="&amp;$C$7,BD!$A$3:$A$5001,"&lt;="&amp;$B136,BD!$K$3:$K$5001,"&lt;&gt;"))))</f>
        <v/>
      </c>
      <c r="D136" s="42" t="str">
        <f>IF(OR($B136="",$A136&gt;$B$9),"",IF(COUNTIFS(BD!$B$3:$B$5001,D$114,BD!$A$3:$A$5001,"&gt;="&amp;$C$7,BD!$A$3:$A$5001,"&lt;="&amp;$B136,BD!$K$3:$K$5001,"&lt;&gt;")=0,"",SUMIFS(BD!$K$3:$K$5001,BD!$B$3:$B$5001,D$114,BD!$A$3:$A$5001,_xlfn.MAXIFS(BD!$A$3:$A$5001,BD!$B$3:$B$5001,D$114,BD!$A$3:$A$5001,"&gt;="&amp;$C$7,BD!$A$3:$A$5001,"&lt;="&amp;$B136,BD!$K$3:$K$5001,"&lt;&gt;"))))</f>
        <v/>
      </c>
      <c r="E136" s="42" t="str">
        <f>IF(OR($B136="",$A136&gt;$B$9),"",IF(COUNTIFS(BD!$B$3:$B$5001,E$114,BD!$A$3:$A$5001,"&gt;="&amp;$C$7,BD!$A$3:$A$5001,"&lt;="&amp;$B136,BD!$K$3:$K$5001,"&lt;&gt;")=0,"",SUMIFS(BD!$K$3:$K$5001,BD!$B$3:$B$5001,E$114,BD!$A$3:$A$5001,_xlfn.MAXIFS(BD!$A$3:$A$5001,BD!$B$3:$B$5001,E$114,BD!$A$3:$A$5001,"&gt;="&amp;$C$7,BD!$A$3:$A$5001,"&lt;="&amp;$B136,BD!$K$3:$K$5001,"&lt;&gt;"))))</f>
        <v/>
      </c>
      <c r="F136" s="42" t="str">
        <f>IF(OR($B136="",$A136&gt;$B$9),"",IF(COUNTIFS(BD!$B$3:$B$5001,F$114,BD!$A$3:$A$5001,"&gt;="&amp;$C$7,BD!$A$3:$A$5001,"&lt;="&amp;$B136,BD!$K$3:$K$5001,"&lt;&gt;")=0,"",SUMIFS(BD!$K$3:$K$5001,BD!$B$3:$B$5001,F$114,BD!$A$3:$A$5001,_xlfn.MAXIFS(BD!$A$3:$A$5001,BD!$B$3:$B$5001,F$114,BD!$A$3:$A$5001,"&gt;="&amp;$C$7,BD!$A$3:$A$5001,"&lt;="&amp;$B136,BD!$K$3:$K$5001,"&lt;&gt;"))))</f>
        <v/>
      </c>
      <c r="G136" s="42" t="str">
        <f>IF(OR($B136="",$A136&gt;$B$9),"",IF(COUNTIFS(BD!$B$3:$B$5001,G$114,BD!$A$3:$A$5001,"&gt;="&amp;$C$7,BD!$A$3:$A$5001,"&lt;="&amp;$B136,BD!$K$3:$K$5001,"&lt;&gt;")=0,"",SUMIFS(BD!$K$3:$K$5001,BD!$B$3:$B$5001,G$114,BD!$A$3:$A$5001,_xlfn.MAXIFS(BD!$A$3:$A$5001,BD!$B$3:$B$5001,G$114,BD!$A$3:$A$5001,"&gt;="&amp;$C$7,BD!$A$3:$A$5001,"&lt;="&amp;$B136,BD!$K$3:$K$5001,"&lt;&gt;"))))</f>
        <v/>
      </c>
    </row>
    <row r="137">
      <c r="A137" s="40">
        <v>23</v>
      </c>
      <c r="B137" s="41">
        <f>$B$34</f>
        <v>46318</v>
      </c>
      <c r="C137" s="42" t="str">
        <f>IF(OR($B137="",$A137&gt;$B$9),"",IF(COUNTIFS(BD!$B$3:$B$5001,C$114,BD!$A$3:$A$5001,"&gt;="&amp;$C$7,BD!$A$3:$A$5001,"&lt;="&amp;$B137,BD!$K$3:$K$5001,"&lt;&gt;")=0,"",SUMIFS(BD!$K$3:$K$5001,BD!$B$3:$B$5001,C$114,BD!$A$3:$A$5001,_xlfn.MAXIFS(BD!$A$3:$A$5001,BD!$B$3:$B$5001,C$114,BD!$A$3:$A$5001,"&gt;="&amp;$C$7,BD!$A$3:$A$5001,"&lt;="&amp;$B137,BD!$K$3:$K$5001,"&lt;&gt;"))))</f>
        <v/>
      </c>
      <c r="D137" s="42" t="str">
        <f>IF(OR($B137="",$A137&gt;$B$9),"",IF(COUNTIFS(BD!$B$3:$B$5001,D$114,BD!$A$3:$A$5001,"&gt;="&amp;$C$7,BD!$A$3:$A$5001,"&lt;="&amp;$B137,BD!$K$3:$K$5001,"&lt;&gt;")=0,"",SUMIFS(BD!$K$3:$K$5001,BD!$B$3:$B$5001,D$114,BD!$A$3:$A$5001,_xlfn.MAXIFS(BD!$A$3:$A$5001,BD!$B$3:$B$5001,D$114,BD!$A$3:$A$5001,"&gt;="&amp;$C$7,BD!$A$3:$A$5001,"&lt;="&amp;$B137,BD!$K$3:$K$5001,"&lt;&gt;"))))</f>
        <v/>
      </c>
      <c r="E137" s="42" t="str">
        <f>IF(OR($B137="",$A137&gt;$B$9),"",IF(COUNTIFS(BD!$B$3:$B$5001,E$114,BD!$A$3:$A$5001,"&gt;="&amp;$C$7,BD!$A$3:$A$5001,"&lt;="&amp;$B137,BD!$K$3:$K$5001,"&lt;&gt;")=0,"",SUMIFS(BD!$K$3:$K$5001,BD!$B$3:$B$5001,E$114,BD!$A$3:$A$5001,_xlfn.MAXIFS(BD!$A$3:$A$5001,BD!$B$3:$B$5001,E$114,BD!$A$3:$A$5001,"&gt;="&amp;$C$7,BD!$A$3:$A$5001,"&lt;="&amp;$B137,BD!$K$3:$K$5001,"&lt;&gt;"))))</f>
        <v/>
      </c>
      <c r="F137" s="42" t="str">
        <f>IF(OR($B137="",$A137&gt;$B$9),"",IF(COUNTIFS(BD!$B$3:$B$5001,F$114,BD!$A$3:$A$5001,"&gt;="&amp;$C$7,BD!$A$3:$A$5001,"&lt;="&amp;$B137,BD!$K$3:$K$5001,"&lt;&gt;")=0,"",SUMIFS(BD!$K$3:$K$5001,BD!$B$3:$B$5001,F$114,BD!$A$3:$A$5001,_xlfn.MAXIFS(BD!$A$3:$A$5001,BD!$B$3:$B$5001,F$114,BD!$A$3:$A$5001,"&gt;="&amp;$C$7,BD!$A$3:$A$5001,"&lt;="&amp;$B137,BD!$K$3:$K$5001,"&lt;&gt;"))))</f>
        <v/>
      </c>
      <c r="G137" s="42" t="str">
        <f>IF(OR($B137="",$A137&gt;$B$9),"",IF(COUNTIFS(BD!$B$3:$B$5001,G$114,BD!$A$3:$A$5001,"&gt;="&amp;$C$7,BD!$A$3:$A$5001,"&lt;="&amp;$B137,BD!$K$3:$K$5001,"&lt;&gt;")=0,"",SUMIFS(BD!$K$3:$K$5001,BD!$B$3:$B$5001,G$114,BD!$A$3:$A$5001,_xlfn.MAXIFS(BD!$A$3:$A$5001,BD!$B$3:$B$5001,G$114,BD!$A$3:$A$5001,"&gt;="&amp;$C$7,BD!$A$3:$A$5001,"&lt;="&amp;$B137,BD!$K$3:$K$5001,"&lt;&gt;"))))</f>
        <v/>
      </c>
    </row>
    <row r="138">
      <c r="A138" s="40">
        <v>24</v>
      </c>
      <c r="B138" s="41">
        <f>$B$35</f>
        <v>46319</v>
      </c>
      <c r="C138" s="42" t="str">
        <f>IF(OR($B138="",$A138&gt;$B$9),"",IF(COUNTIFS(BD!$B$3:$B$5001,C$114,BD!$A$3:$A$5001,"&gt;="&amp;$C$7,BD!$A$3:$A$5001,"&lt;="&amp;$B138,BD!$K$3:$K$5001,"&lt;&gt;")=0,"",SUMIFS(BD!$K$3:$K$5001,BD!$B$3:$B$5001,C$114,BD!$A$3:$A$5001,_xlfn.MAXIFS(BD!$A$3:$A$5001,BD!$B$3:$B$5001,C$114,BD!$A$3:$A$5001,"&gt;="&amp;$C$7,BD!$A$3:$A$5001,"&lt;="&amp;$B138,BD!$K$3:$K$5001,"&lt;&gt;"))))</f>
        <v/>
      </c>
      <c r="D138" s="42" t="str">
        <f>IF(OR($B138="",$A138&gt;$B$9),"",IF(COUNTIFS(BD!$B$3:$B$5001,D$114,BD!$A$3:$A$5001,"&gt;="&amp;$C$7,BD!$A$3:$A$5001,"&lt;="&amp;$B138,BD!$K$3:$K$5001,"&lt;&gt;")=0,"",SUMIFS(BD!$K$3:$K$5001,BD!$B$3:$B$5001,D$114,BD!$A$3:$A$5001,_xlfn.MAXIFS(BD!$A$3:$A$5001,BD!$B$3:$B$5001,D$114,BD!$A$3:$A$5001,"&gt;="&amp;$C$7,BD!$A$3:$A$5001,"&lt;="&amp;$B138,BD!$K$3:$K$5001,"&lt;&gt;"))))</f>
        <v/>
      </c>
      <c r="E138" s="42" t="str">
        <f>IF(OR($B138="",$A138&gt;$B$9),"",IF(COUNTIFS(BD!$B$3:$B$5001,E$114,BD!$A$3:$A$5001,"&gt;="&amp;$C$7,BD!$A$3:$A$5001,"&lt;="&amp;$B138,BD!$K$3:$K$5001,"&lt;&gt;")=0,"",SUMIFS(BD!$K$3:$K$5001,BD!$B$3:$B$5001,E$114,BD!$A$3:$A$5001,_xlfn.MAXIFS(BD!$A$3:$A$5001,BD!$B$3:$B$5001,E$114,BD!$A$3:$A$5001,"&gt;="&amp;$C$7,BD!$A$3:$A$5001,"&lt;="&amp;$B138,BD!$K$3:$K$5001,"&lt;&gt;"))))</f>
        <v/>
      </c>
      <c r="F138" s="42" t="str">
        <f>IF(OR($B138="",$A138&gt;$B$9),"",IF(COUNTIFS(BD!$B$3:$B$5001,F$114,BD!$A$3:$A$5001,"&gt;="&amp;$C$7,BD!$A$3:$A$5001,"&lt;="&amp;$B138,BD!$K$3:$K$5001,"&lt;&gt;")=0,"",SUMIFS(BD!$K$3:$K$5001,BD!$B$3:$B$5001,F$114,BD!$A$3:$A$5001,_xlfn.MAXIFS(BD!$A$3:$A$5001,BD!$B$3:$B$5001,F$114,BD!$A$3:$A$5001,"&gt;="&amp;$C$7,BD!$A$3:$A$5001,"&lt;="&amp;$B138,BD!$K$3:$K$5001,"&lt;&gt;"))))</f>
        <v/>
      </c>
      <c r="G138" s="42" t="str">
        <f>IF(OR($B138="",$A138&gt;$B$9),"",IF(COUNTIFS(BD!$B$3:$B$5001,G$114,BD!$A$3:$A$5001,"&gt;="&amp;$C$7,BD!$A$3:$A$5001,"&lt;="&amp;$B138,BD!$K$3:$K$5001,"&lt;&gt;")=0,"",SUMIFS(BD!$K$3:$K$5001,BD!$B$3:$B$5001,G$114,BD!$A$3:$A$5001,_xlfn.MAXIFS(BD!$A$3:$A$5001,BD!$B$3:$B$5001,G$114,BD!$A$3:$A$5001,"&gt;="&amp;$C$7,BD!$A$3:$A$5001,"&lt;="&amp;$B138,BD!$K$3:$K$5001,"&lt;&gt;"))))</f>
        <v/>
      </c>
    </row>
    <row r="139">
      <c r="A139" s="40">
        <v>25</v>
      </c>
      <c r="B139" s="41">
        <f>$B$36</f>
        <v>46320</v>
      </c>
      <c r="C139" s="42" t="str">
        <f>IF(OR($B139="",$A139&gt;$B$9),"",IF(COUNTIFS(BD!$B$3:$B$5001,C$114,BD!$A$3:$A$5001,"&gt;="&amp;$C$7,BD!$A$3:$A$5001,"&lt;="&amp;$B139,BD!$K$3:$K$5001,"&lt;&gt;")=0,"",SUMIFS(BD!$K$3:$K$5001,BD!$B$3:$B$5001,C$114,BD!$A$3:$A$5001,_xlfn.MAXIFS(BD!$A$3:$A$5001,BD!$B$3:$B$5001,C$114,BD!$A$3:$A$5001,"&gt;="&amp;$C$7,BD!$A$3:$A$5001,"&lt;="&amp;$B139,BD!$K$3:$K$5001,"&lt;&gt;"))))</f>
        <v/>
      </c>
      <c r="D139" s="42" t="str">
        <f>IF(OR($B139="",$A139&gt;$B$9),"",IF(COUNTIFS(BD!$B$3:$B$5001,D$114,BD!$A$3:$A$5001,"&gt;="&amp;$C$7,BD!$A$3:$A$5001,"&lt;="&amp;$B139,BD!$K$3:$K$5001,"&lt;&gt;")=0,"",SUMIFS(BD!$K$3:$K$5001,BD!$B$3:$B$5001,D$114,BD!$A$3:$A$5001,_xlfn.MAXIFS(BD!$A$3:$A$5001,BD!$B$3:$B$5001,D$114,BD!$A$3:$A$5001,"&gt;="&amp;$C$7,BD!$A$3:$A$5001,"&lt;="&amp;$B139,BD!$K$3:$K$5001,"&lt;&gt;"))))</f>
        <v/>
      </c>
      <c r="E139" s="42" t="str">
        <f>IF(OR($B139="",$A139&gt;$B$9),"",IF(COUNTIFS(BD!$B$3:$B$5001,E$114,BD!$A$3:$A$5001,"&gt;="&amp;$C$7,BD!$A$3:$A$5001,"&lt;="&amp;$B139,BD!$K$3:$K$5001,"&lt;&gt;")=0,"",SUMIFS(BD!$K$3:$K$5001,BD!$B$3:$B$5001,E$114,BD!$A$3:$A$5001,_xlfn.MAXIFS(BD!$A$3:$A$5001,BD!$B$3:$B$5001,E$114,BD!$A$3:$A$5001,"&gt;="&amp;$C$7,BD!$A$3:$A$5001,"&lt;="&amp;$B139,BD!$K$3:$K$5001,"&lt;&gt;"))))</f>
        <v/>
      </c>
      <c r="F139" s="42" t="str">
        <f>IF(OR($B139="",$A139&gt;$B$9),"",IF(COUNTIFS(BD!$B$3:$B$5001,F$114,BD!$A$3:$A$5001,"&gt;="&amp;$C$7,BD!$A$3:$A$5001,"&lt;="&amp;$B139,BD!$K$3:$K$5001,"&lt;&gt;")=0,"",SUMIFS(BD!$K$3:$K$5001,BD!$B$3:$B$5001,F$114,BD!$A$3:$A$5001,_xlfn.MAXIFS(BD!$A$3:$A$5001,BD!$B$3:$B$5001,F$114,BD!$A$3:$A$5001,"&gt;="&amp;$C$7,BD!$A$3:$A$5001,"&lt;="&amp;$B139,BD!$K$3:$K$5001,"&lt;&gt;"))))</f>
        <v/>
      </c>
      <c r="G139" s="42" t="str">
        <f>IF(OR($B139="",$A139&gt;$B$9),"",IF(COUNTIFS(BD!$B$3:$B$5001,G$114,BD!$A$3:$A$5001,"&gt;="&amp;$C$7,BD!$A$3:$A$5001,"&lt;="&amp;$B139,BD!$K$3:$K$5001,"&lt;&gt;")=0,"",SUMIFS(BD!$K$3:$K$5001,BD!$B$3:$B$5001,G$114,BD!$A$3:$A$5001,_xlfn.MAXIFS(BD!$A$3:$A$5001,BD!$B$3:$B$5001,G$114,BD!$A$3:$A$5001,"&gt;="&amp;$C$7,BD!$A$3:$A$5001,"&lt;="&amp;$B139,BD!$K$3:$K$5001,"&lt;&gt;"))))</f>
        <v/>
      </c>
    </row>
    <row r="140">
      <c r="A140" s="40">
        <v>26</v>
      </c>
      <c r="B140" s="41">
        <f>$B$37</f>
        <v>46321</v>
      </c>
      <c r="C140" s="42" t="str">
        <f>IF(OR($B140="",$A140&gt;$B$9),"",IF(COUNTIFS(BD!$B$3:$B$5001,C$114,BD!$A$3:$A$5001,"&gt;="&amp;$C$7,BD!$A$3:$A$5001,"&lt;="&amp;$B140,BD!$K$3:$K$5001,"&lt;&gt;")=0,"",SUMIFS(BD!$K$3:$K$5001,BD!$B$3:$B$5001,C$114,BD!$A$3:$A$5001,_xlfn.MAXIFS(BD!$A$3:$A$5001,BD!$B$3:$B$5001,C$114,BD!$A$3:$A$5001,"&gt;="&amp;$C$7,BD!$A$3:$A$5001,"&lt;="&amp;$B140,BD!$K$3:$K$5001,"&lt;&gt;"))))</f>
        <v/>
      </c>
      <c r="D140" s="42" t="str">
        <f>IF(OR($B140="",$A140&gt;$B$9),"",IF(COUNTIFS(BD!$B$3:$B$5001,D$114,BD!$A$3:$A$5001,"&gt;="&amp;$C$7,BD!$A$3:$A$5001,"&lt;="&amp;$B140,BD!$K$3:$K$5001,"&lt;&gt;")=0,"",SUMIFS(BD!$K$3:$K$5001,BD!$B$3:$B$5001,D$114,BD!$A$3:$A$5001,_xlfn.MAXIFS(BD!$A$3:$A$5001,BD!$B$3:$B$5001,D$114,BD!$A$3:$A$5001,"&gt;="&amp;$C$7,BD!$A$3:$A$5001,"&lt;="&amp;$B140,BD!$K$3:$K$5001,"&lt;&gt;"))))</f>
        <v/>
      </c>
      <c r="E140" s="42" t="str">
        <f>IF(OR($B140="",$A140&gt;$B$9),"",IF(COUNTIFS(BD!$B$3:$B$5001,E$114,BD!$A$3:$A$5001,"&gt;="&amp;$C$7,BD!$A$3:$A$5001,"&lt;="&amp;$B140,BD!$K$3:$K$5001,"&lt;&gt;")=0,"",SUMIFS(BD!$K$3:$K$5001,BD!$B$3:$B$5001,E$114,BD!$A$3:$A$5001,_xlfn.MAXIFS(BD!$A$3:$A$5001,BD!$B$3:$B$5001,E$114,BD!$A$3:$A$5001,"&gt;="&amp;$C$7,BD!$A$3:$A$5001,"&lt;="&amp;$B140,BD!$K$3:$K$5001,"&lt;&gt;"))))</f>
        <v/>
      </c>
      <c r="F140" s="42" t="str">
        <f>IF(OR($B140="",$A140&gt;$B$9),"",IF(COUNTIFS(BD!$B$3:$B$5001,F$114,BD!$A$3:$A$5001,"&gt;="&amp;$C$7,BD!$A$3:$A$5001,"&lt;="&amp;$B140,BD!$K$3:$K$5001,"&lt;&gt;")=0,"",SUMIFS(BD!$K$3:$K$5001,BD!$B$3:$B$5001,F$114,BD!$A$3:$A$5001,_xlfn.MAXIFS(BD!$A$3:$A$5001,BD!$B$3:$B$5001,F$114,BD!$A$3:$A$5001,"&gt;="&amp;$C$7,BD!$A$3:$A$5001,"&lt;="&amp;$B140,BD!$K$3:$K$5001,"&lt;&gt;"))))</f>
        <v/>
      </c>
      <c r="G140" s="42" t="str">
        <f>IF(OR($B140="",$A140&gt;$B$9),"",IF(COUNTIFS(BD!$B$3:$B$5001,G$114,BD!$A$3:$A$5001,"&gt;="&amp;$C$7,BD!$A$3:$A$5001,"&lt;="&amp;$B140,BD!$K$3:$K$5001,"&lt;&gt;")=0,"",SUMIFS(BD!$K$3:$K$5001,BD!$B$3:$B$5001,G$114,BD!$A$3:$A$5001,_xlfn.MAXIFS(BD!$A$3:$A$5001,BD!$B$3:$B$5001,G$114,BD!$A$3:$A$5001,"&gt;="&amp;$C$7,BD!$A$3:$A$5001,"&lt;="&amp;$B140,BD!$K$3:$K$5001,"&lt;&gt;"))))</f>
        <v/>
      </c>
    </row>
    <row r="141">
      <c r="A141" s="40">
        <v>27</v>
      </c>
      <c r="B141" s="41">
        <f>$B$38</f>
        <v>46322</v>
      </c>
      <c r="C141" s="42" t="str">
        <f>IF(OR($B141="",$A141&gt;$B$9),"",IF(COUNTIFS(BD!$B$3:$B$5001,C$114,BD!$A$3:$A$5001,"&gt;="&amp;$C$7,BD!$A$3:$A$5001,"&lt;="&amp;$B141,BD!$K$3:$K$5001,"&lt;&gt;")=0,"",SUMIFS(BD!$K$3:$K$5001,BD!$B$3:$B$5001,C$114,BD!$A$3:$A$5001,_xlfn.MAXIFS(BD!$A$3:$A$5001,BD!$B$3:$B$5001,C$114,BD!$A$3:$A$5001,"&gt;="&amp;$C$7,BD!$A$3:$A$5001,"&lt;="&amp;$B141,BD!$K$3:$K$5001,"&lt;&gt;"))))</f>
        <v/>
      </c>
      <c r="D141" s="42" t="str">
        <f>IF(OR($B141="",$A141&gt;$B$9),"",IF(COUNTIFS(BD!$B$3:$B$5001,D$114,BD!$A$3:$A$5001,"&gt;="&amp;$C$7,BD!$A$3:$A$5001,"&lt;="&amp;$B141,BD!$K$3:$K$5001,"&lt;&gt;")=0,"",SUMIFS(BD!$K$3:$K$5001,BD!$B$3:$B$5001,D$114,BD!$A$3:$A$5001,_xlfn.MAXIFS(BD!$A$3:$A$5001,BD!$B$3:$B$5001,D$114,BD!$A$3:$A$5001,"&gt;="&amp;$C$7,BD!$A$3:$A$5001,"&lt;="&amp;$B141,BD!$K$3:$K$5001,"&lt;&gt;"))))</f>
        <v/>
      </c>
      <c r="E141" s="42" t="str">
        <f>IF(OR($B141="",$A141&gt;$B$9),"",IF(COUNTIFS(BD!$B$3:$B$5001,E$114,BD!$A$3:$A$5001,"&gt;="&amp;$C$7,BD!$A$3:$A$5001,"&lt;="&amp;$B141,BD!$K$3:$K$5001,"&lt;&gt;")=0,"",SUMIFS(BD!$K$3:$K$5001,BD!$B$3:$B$5001,E$114,BD!$A$3:$A$5001,_xlfn.MAXIFS(BD!$A$3:$A$5001,BD!$B$3:$B$5001,E$114,BD!$A$3:$A$5001,"&gt;="&amp;$C$7,BD!$A$3:$A$5001,"&lt;="&amp;$B141,BD!$K$3:$K$5001,"&lt;&gt;"))))</f>
        <v/>
      </c>
      <c r="F141" s="42" t="str">
        <f>IF(OR($B141="",$A141&gt;$B$9),"",IF(COUNTIFS(BD!$B$3:$B$5001,F$114,BD!$A$3:$A$5001,"&gt;="&amp;$C$7,BD!$A$3:$A$5001,"&lt;="&amp;$B141,BD!$K$3:$K$5001,"&lt;&gt;")=0,"",SUMIFS(BD!$K$3:$K$5001,BD!$B$3:$B$5001,F$114,BD!$A$3:$A$5001,_xlfn.MAXIFS(BD!$A$3:$A$5001,BD!$B$3:$B$5001,F$114,BD!$A$3:$A$5001,"&gt;="&amp;$C$7,BD!$A$3:$A$5001,"&lt;="&amp;$B141,BD!$K$3:$K$5001,"&lt;&gt;"))))</f>
        <v/>
      </c>
      <c r="G141" s="42" t="str">
        <f>IF(OR($B141="",$A141&gt;$B$9),"",IF(COUNTIFS(BD!$B$3:$B$5001,G$114,BD!$A$3:$A$5001,"&gt;="&amp;$C$7,BD!$A$3:$A$5001,"&lt;="&amp;$B141,BD!$K$3:$K$5001,"&lt;&gt;")=0,"",SUMIFS(BD!$K$3:$K$5001,BD!$B$3:$B$5001,G$114,BD!$A$3:$A$5001,_xlfn.MAXIFS(BD!$A$3:$A$5001,BD!$B$3:$B$5001,G$114,BD!$A$3:$A$5001,"&gt;="&amp;$C$7,BD!$A$3:$A$5001,"&lt;="&amp;$B141,BD!$K$3:$K$5001,"&lt;&gt;"))))</f>
        <v/>
      </c>
    </row>
    <row r="142">
      <c r="A142" s="40">
        <v>28</v>
      </c>
      <c r="B142" s="41">
        <f>$B$39</f>
        <v>46323</v>
      </c>
      <c r="C142" s="42" t="str">
        <f>IF(OR($B142="",$A142&gt;$B$9),"",IF(COUNTIFS(BD!$B$3:$B$5001,C$114,BD!$A$3:$A$5001,"&gt;="&amp;$C$7,BD!$A$3:$A$5001,"&lt;="&amp;$B142,BD!$K$3:$K$5001,"&lt;&gt;")=0,"",SUMIFS(BD!$K$3:$K$5001,BD!$B$3:$B$5001,C$114,BD!$A$3:$A$5001,_xlfn.MAXIFS(BD!$A$3:$A$5001,BD!$B$3:$B$5001,C$114,BD!$A$3:$A$5001,"&gt;="&amp;$C$7,BD!$A$3:$A$5001,"&lt;="&amp;$B142,BD!$K$3:$K$5001,"&lt;&gt;"))))</f>
        <v/>
      </c>
      <c r="D142" s="42" t="str">
        <f>IF(OR($B142="",$A142&gt;$B$9),"",IF(COUNTIFS(BD!$B$3:$B$5001,D$114,BD!$A$3:$A$5001,"&gt;="&amp;$C$7,BD!$A$3:$A$5001,"&lt;="&amp;$B142,BD!$K$3:$K$5001,"&lt;&gt;")=0,"",SUMIFS(BD!$K$3:$K$5001,BD!$B$3:$B$5001,D$114,BD!$A$3:$A$5001,_xlfn.MAXIFS(BD!$A$3:$A$5001,BD!$B$3:$B$5001,D$114,BD!$A$3:$A$5001,"&gt;="&amp;$C$7,BD!$A$3:$A$5001,"&lt;="&amp;$B142,BD!$K$3:$K$5001,"&lt;&gt;"))))</f>
        <v/>
      </c>
      <c r="E142" s="42" t="str">
        <f>IF(OR($B142="",$A142&gt;$B$9),"",IF(COUNTIFS(BD!$B$3:$B$5001,E$114,BD!$A$3:$A$5001,"&gt;="&amp;$C$7,BD!$A$3:$A$5001,"&lt;="&amp;$B142,BD!$K$3:$K$5001,"&lt;&gt;")=0,"",SUMIFS(BD!$K$3:$K$5001,BD!$B$3:$B$5001,E$114,BD!$A$3:$A$5001,_xlfn.MAXIFS(BD!$A$3:$A$5001,BD!$B$3:$B$5001,E$114,BD!$A$3:$A$5001,"&gt;="&amp;$C$7,BD!$A$3:$A$5001,"&lt;="&amp;$B142,BD!$K$3:$K$5001,"&lt;&gt;"))))</f>
        <v/>
      </c>
      <c r="F142" s="42" t="str">
        <f>IF(OR($B142="",$A142&gt;$B$9),"",IF(COUNTIFS(BD!$B$3:$B$5001,F$114,BD!$A$3:$A$5001,"&gt;="&amp;$C$7,BD!$A$3:$A$5001,"&lt;="&amp;$B142,BD!$K$3:$K$5001,"&lt;&gt;")=0,"",SUMIFS(BD!$K$3:$K$5001,BD!$B$3:$B$5001,F$114,BD!$A$3:$A$5001,_xlfn.MAXIFS(BD!$A$3:$A$5001,BD!$B$3:$B$5001,F$114,BD!$A$3:$A$5001,"&gt;="&amp;$C$7,BD!$A$3:$A$5001,"&lt;="&amp;$B142,BD!$K$3:$K$5001,"&lt;&gt;"))))</f>
        <v/>
      </c>
      <c r="G142" s="42" t="str">
        <f>IF(OR($B142="",$A142&gt;$B$9),"",IF(COUNTIFS(BD!$B$3:$B$5001,G$114,BD!$A$3:$A$5001,"&gt;="&amp;$C$7,BD!$A$3:$A$5001,"&lt;="&amp;$B142,BD!$K$3:$K$5001,"&lt;&gt;")=0,"",SUMIFS(BD!$K$3:$K$5001,BD!$B$3:$B$5001,G$114,BD!$A$3:$A$5001,_xlfn.MAXIFS(BD!$A$3:$A$5001,BD!$B$3:$B$5001,G$114,BD!$A$3:$A$5001,"&gt;="&amp;$C$7,BD!$A$3:$A$5001,"&lt;="&amp;$B142,BD!$K$3:$K$5001,"&lt;&gt;"))))</f>
        <v/>
      </c>
    </row>
    <row r="143">
      <c r="A143" s="40">
        <v>29</v>
      </c>
      <c r="B143" s="41">
        <f>$B$40</f>
        <v>46324</v>
      </c>
      <c r="C143" s="42" t="str">
        <f>IF(OR($B143="",$A143&gt;$B$9),"",IF(COUNTIFS(BD!$B$3:$B$5001,C$114,BD!$A$3:$A$5001,"&gt;="&amp;$C$7,BD!$A$3:$A$5001,"&lt;="&amp;$B143,BD!$K$3:$K$5001,"&lt;&gt;")=0,"",SUMIFS(BD!$K$3:$K$5001,BD!$B$3:$B$5001,C$114,BD!$A$3:$A$5001,_xlfn.MAXIFS(BD!$A$3:$A$5001,BD!$B$3:$B$5001,C$114,BD!$A$3:$A$5001,"&gt;="&amp;$C$7,BD!$A$3:$A$5001,"&lt;="&amp;$B143,BD!$K$3:$K$5001,"&lt;&gt;"))))</f>
        <v/>
      </c>
      <c r="D143" s="42" t="str">
        <f>IF(OR($B143="",$A143&gt;$B$9),"",IF(COUNTIFS(BD!$B$3:$B$5001,D$114,BD!$A$3:$A$5001,"&gt;="&amp;$C$7,BD!$A$3:$A$5001,"&lt;="&amp;$B143,BD!$K$3:$K$5001,"&lt;&gt;")=0,"",SUMIFS(BD!$K$3:$K$5001,BD!$B$3:$B$5001,D$114,BD!$A$3:$A$5001,_xlfn.MAXIFS(BD!$A$3:$A$5001,BD!$B$3:$B$5001,D$114,BD!$A$3:$A$5001,"&gt;="&amp;$C$7,BD!$A$3:$A$5001,"&lt;="&amp;$B143,BD!$K$3:$K$5001,"&lt;&gt;"))))</f>
        <v/>
      </c>
      <c r="E143" s="42" t="str">
        <f>IF(OR($B143="",$A143&gt;$B$9),"",IF(COUNTIFS(BD!$B$3:$B$5001,E$114,BD!$A$3:$A$5001,"&gt;="&amp;$C$7,BD!$A$3:$A$5001,"&lt;="&amp;$B143,BD!$K$3:$K$5001,"&lt;&gt;")=0,"",SUMIFS(BD!$K$3:$K$5001,BD!$B$3:$B$5001,E$114,BD!$A$3:$A$5001,_xlfn.MAXIFS(BD!$A$3:$A$5001,BD!$B$3:$B$5001,E$114,BD!$A$3:$A$5001,"&gt;="&amp;$C$7,BD!$A$3:$A$5001,"&lt;="&amp;$B143,BD!$K$3:$K$5001,"&lt;&gt;"))))</f>
        <v/>
      </c>
      <c r="F143" s="42" t="str">
        <f>IF(OR($B143="",$A143&gt;$B$9),"",IF(COUNTIFS(BD!$B$3:$B$5001,F$114,BD!$A$3:$A$5001,"&gt;="&amp;$C$7,BD!$A$3:$A$5001,"&lt;="&amp;$B143,BD!$K$3:$K$5001,"&lt;&gt;")=0,"",SUMIFS(BD!$K$3:$K$5001,BD!$B$3:$B$5001,F$114,BD!$A$3:$A$5001,_xlfn.MAXIFS(BD!$A$3:$A$5001,BD!$B$3:$B$5001,F$114,BD!$A$3:$A$5001,"&gt;="&amp;$C$7,BD!$A$3:$A$5001,"&lt;="&amp;$B143,BD!$K$3:$K$5001,"&lt;&gt;"))))</f>
        <v/>
      </c>
      <c r="G143" s="42" t="str">
        <f>IF(OR($B143="",$A143&gt;$B$9),"",IF(COUNTIFS(BD!$B$3:$B$5001,G$114,BD!$A$3:$A$5001,"&gt;="&amp;$C$7,BD!$A$3:$A$5001,"&lt;="&amp;$B143,BD!$K$3:$K$5001,"&lt;&gt;")=0,"",SUMIFS(BD!$K$3:$K$5001,BD!$B$3:$B$5001,G$114,BD!$A$3:$A$5001,_xlfn.MAXIFS(BD!$A$3:$A$5001,BD!$B$3:$B$5001,G$114,BD!$A$3:$A$5001,"&gt;="&amp;$C$7,BD!$A$3:$A$5001,"&lt;="&amp;$B143,BD!$K$3:$K$5001,"&lt;&gt;"))))</f>
        <v/>
      </c>
    </row>
    <row r="144">
      <c r="A144" s="40">
        <v>30</v>
      </c>
      <c r="B144" s="41">
        <f>$B$41</f>
        <v>46325</v>
      </c>
      <c r="C144" s="42" t="str">
        <f>IF(OR($B144="",$A144&gt;$B$9),"",IF(COUNTIFS(BD!$B$3:$B$5001,C$114,BD!$A$3:$A$5001,"&gt;="&amp;$C$7,BD!$A$3:$A$5001,"&lt;="&amp;$B144,BD!$K$3:$K$5001,"&lt;&gt;")=0,"",SUMIFS(BD!$K$3:$K$5001,BD!$B$3:$B$5001,C$114,BD!$A$3:$A$5001,_xlfn.MAXIFS(BD!$A$3:$A$5001,BD!$B$3:$B$5001,C$114,BD!$A$3:$A$5001,"&gt;="&amp;$C$7,BD!$A$3:$A$5001,"&lt;="&amp;$B144,BD!$K$3:$K$5001,"&lt;&gt;"))))</f>
        <v/>
      </c>
      <c r="D144" s="42" t="str">
        <f>IF(OR($B144="",$A144&gt;$B$9),"",IF(COUNTIFS(BD!$B$3:$B$5001,D$114,BD!$A$3:$A$5001,"&gt;="&amp;$C$7,BD!$A$3:$A$5001,"&lt;="&amp;$B144,BD!$K$3:$K$5001,"&lt;&gt;")=0,"",SUMIFS(BD!$K$3:$K$5001,BD!$B$3:$B$5001,D$114,BD!$A$3:$A$5001,_xlfn.MAXIFS(BD!$A$3:$A$5001,BD!$B$3:$B$5001,D$114,BD!$A$3:$A$5001,"&gt;="&amp;$C$7,BD!$A$3:$A$5001,"&lt;="&amp;$B144,BD!$K$3:$K$5001,"&lt;&gt;"))))</f>
        <v/>
      </c>
      <c r="E144" s="42" t="str">
        <f>IF(OR($B144="",$A144&gt;$B$9),"",IF(COUNTIFS(BD!$B$3:$B$5001,E$114,BD!$A$3:$A$5001,"&gt;="&amp;$C$7,BD!$A$3:$A$5001,"&lt;="&amp;$B144,BD!$K$3:$K$5001,"&lt;&gt;")=0,"",SUMIFS(BD!$K$3:$K$5001,BD!$B$3:$B$5001,E$114,BD!$A$3:$A$5001,_xlfn.MAXIFS(BD!$A$3:$A$5001,BD!$B$3:$B$5001,E$114,BD!$A$3:$A$5001,"&gt;="&amp;$C$7,BD!$A$3:$A$5001,"&lt;="&amp;$B144,BD!$K$3:$K$5001,"&lt;&gt;"))))</f>
        <v/>
      </c>
      <c r="F144" s="42" t="str">
        <f>IF(OR($B144="",$A144&gt;$B$9),"",IF(COUNTIFS(BD!$B$3:$B$5001,F$114,BD!$A$3:$A$5001,"&gt;="&amp;$C$7,BD!$A$3:$A$5001,"&lt;="&amp;$B144,BD!$K$3:$K$5001,"&lt;&gt;")=0,"",SUMIFS(BD!$K$3:$K$5001,BD!$B$3:$B$5001,F$114,BD!$A$3:$A$5001,_xlfn.MAXIFS(BD!$A$3:$A$5001,BD!$B$3:$B$5001,F$114,BD!$A$3:$A$5001,"&gt;="&amp;$C$7,BD!$A$3:$A$5001,"&lt;="&amp;$B144,BD!$K$3:$K$5001,"&lt;&gt;"))))</f>
        <v/>
      </c>
      <c r="G144" s="42" t="str">
        <f>IF(OR($B144="",$A144&gt;$B$9),"",IF(COUNTIFS(BD!$B$3:$B$5001,G$114,BD!$A$3:$A$5001,"&gt;="&amp;$C$7,BD!$A$3:$A$5001,"&lt;="&amp;$B144,BD!$K$3:$K$5001,"&lt;&gt;")=0,"",SUMIFS(BD!$K$3:$K$5001,BD!$B$3:$B$5001,G$114,BD!$A$3:$A$5001,_xlfn.MAXIFS(BD!$A$3:$A$5001,BD!$B$3:$B$5001,G$114,BD!$A$3:$A$5001,"&gt;="&amp;$C$7,BD!$A$3:$A$5001,"&lt;="&amp;$B144,BD!$K$3:$K$5001,"&lt;&gt;"))))</f>
        <v/>
      </c>
    </row>
    <row r="145">
      <c r="A145" s="40">
        <v>31</v>
      </c>
      <c r="B145" s="41">
        <f>$B$42</f>
        <v>46326</v>
      </c>
      <c r="C145" s="42" t="str">
        <f>IF(OR($B145="",$A145&gt;$B$9),"",IF(COUNTIFS(BD!$B$3:$B$5001,C$114,BD!$A$3:$A$5001,"&gt;="&amp;$C$7,BD!$A$3:$A$5001,"&lt;="&amp;$B145,BD!$K$3:$K$5001,"&lt;&gt;")=0,"",SUMIFS(BD!$K$3:$K$5001,BD!$B$3:$B$5001,C$114,BD!$A$3:$A$5001,_xlfn.MAXIFS(BD!$A$3:$A$5001,BD!$B$3:$B$5001,C$114,BD!$A$3:$A$5001,"&gt;="&amp;$C$7,BD!$A$3:$A$5001,"&lt;="&amp;$B145,BD!$K$3:$K$5001,"&lt;&gt;"))))</f>
        <v/>
      </c>
      <c r="D145" s="42" t="str">
        <f>IF(OR($B145="",$A145&gt;$B$9),"",IF(COUNTIFS(BD!$B$3:$B$5001,D$114,BD!$A$3:$A$5001,"&gt;="&amp;$C$7,BD!$A$3:$A$5001,"&lt;="&amp;$B145,BD!$K$3:$K$5001,"&lt;&gt;")=0,"",SUMIFS(BD!$K$3:$K$5001,BD!$B$3:$B$5001,D$114,BD!$A$3:$A$5001,_xlfn.MAXIFS(BD!$A$3:$A$5001,BD!$B$3:$B$5001,D$114,BD!$A$3:$A$5001,"&gt;="&amp;$C$7,BD!$A$3:$A$5001,"&lt;="&amp;$B145,BD!$K$3:$K$5001,"&lt;&gt;"))))</f>
        <v/>
      </c>
      <c r="E145" s="42" t="str">
        <f>IF(OR($B145="",$A145&gt;$B$9),"",IF(COUNTIFS(BD!$B$3:$B$5001,E$114,BD!$A$3:$A$5001,"&gt;="&amp;$C$7,BD!$A$3:$A$5001,"&lt;="&amp;$B145,BD!$K$3:$K$5001,"&lt;&gt;")=0,"",SUMIFS(BD!$K$3:$K$5001,BD!$B$3:$B$5001,E$114,BD!$A$3:$A$5001,_xlfn.MAXIFS(BD!$A$3:$A$5001,BD!$B$3:$B$5001,E$114,BD!$A$3:$A$5001,"&gt;="&amp;$C$7,BD!$A$3:$A$5001,"&lt;="&amp;$B145,BD!$K$3:$K$5001,"&lt;&gt;"))))</f>
        <v/>
      </c>
      <c r="F145" s="42" t="str">
        <f>IF(OR($B145="",$A145&gt;$B$9),"",IF(COUNTIFS(BD!$B$3:$B$5001,F$114,BD!$A$3:$A$5001,"&gt;="&amp;$C$7,BD!$A$3:$A$5001,"&lt;="&amp;$B145,BD!$K$3:$K$5001,"&lt;&gt;")=0,"",SUMIFS(BD!$K$3:$K$5001,BD!$B$3:$B$5001,F$114,BD!$A$3:$A$5001,_xlfn.MAXIFS(BD!$A$3:$A$5001,BD!$B$3:$B$5001,F$114,BD!$A$3:$A$5001,"&gt;="&amp;$C$7,BD!$A$3:$A$5001,"&lt;="&amp;$B145,BD!$K$3:$K$5001,"&lt;&gt;"))))</f>
        <v/>
      </c>
      <c r="G145" s="42" t="str">
        <f>IF(OR($B145="",$A145&gt;$B$9),"",IF(COUNTIFS(BD!$B$3:$B$5001,G$114,BD!$A$3:$A$5001,"&gt;="&amp;$C$7,BD!$A$3:$A$5001,"&lt;="&amp;$B145,BD!$K$3:$K$5001,"&lt;&gt;")=0,"",SUMIFS(BD!$K$3:$K$5001,BD!$B$3:$B$5001,G$114,BD!$A$3:$A$5001,_xlfn.MAXIFS(BD!$A$3:$A$5001,BD!$B$3:$B$5001,G$114,BD!$A$3:$A$5001,"&gt;="&amp;$C$7,BD!$A$3:$A$5001,"&lt;="&amp;$B145,BD!$K$3:$K$5001,"&lt;&gt;"))))</f>
        <v/>
      </c>
    </row>
    <row r="146">
      <c r="A146" s="43" t="inlineStr">
        <is>
          <t xml:space="preserve">Mês anterior (último)</t>
        </is>
      </c>
      <c r="C146" s="44" t="str">
        <f>IF(COUNTIFS(BD!$B$3:$B$5001,C$114,BD!$A$3:$A$5001,"&gt;="&amp;$C$8,BD!$A$3:$A$5001,"&lt;="&amp;$D$8,BD!$K$3:$K$5001,"&lt;&gt;")=0,"",SUMIFS(BD!$K$3:$K$5001,BD!$B$3:$B$5001,C$114,BD!$A$3:$A$5001,_xlfn.MAXIFS(BD!$A$3:$A$5001,BD!$B$3:$B$5001,C$114,BD!$A$3:$A$5001,"&gt;="&amp;$C$8,BD!$A$3:$A$5001,"&lt;="&amp;$D$8,BD!$K$3:$K$5001,"&lt;&gt;")))</f>
        <v/>
      </c>
      <c r="D146" s="44" t="str">
        <f>IF(COUNTIFS(BD!$B$3:$B$5001,D$114,BD!$A$3:$A$5001,"&gt;="&amp;$C$8,BD!$A$3:$A$5001,"&lt;="&amp;$D$8,BD!$K$3:$K$5001,"&lt;&gt;")=0,"",SUMIFS(BD!$K$3:$K$5001,BD!$B$3:$B$5001,D$114,BD!$A$3:$A$5001,_xlfn.MAXIFS(BD!$A$3:$A$5001,BD!$B$3:$B$5001,D$114,BD!$A$3:$A$5001,"&gt;="&amp;$C$8,BD!$A$3:$A$5001,"&lt;="&amp;$D$8,BD!$K$3:$K$5001,"&lt;&gt;")))</f>
        <v/>
      </c>
      <c r="E146" s="44" t="str">
        <f>IF(COUNTIFS(BD!$B$3:$B$5001,E$114,BD!$A$3:$A$5001,"&gt;="&amp;$C$8,BD!$A$3:$A$5001,"&lt;="&amp;$D$8,BD!$K$3:$K$5001,"&lt;&gt;")=0,"",SUMIFS(BD!$K$3:$K$5001,BD!$B$3:$B$5001,E$114,BD!$A$3:$A$5001,_xlfn.MAXIFS(BD!$A$3:$A$5001,BD!$B$3:$B$5001,E$114,BD!$A$3:$A$5001,"&gt;="&amp;$C$8,BD!$A$3:$A$5001,"&lt;="&amp;$D$8,BD!$K$3:$K$5001,"&lt;&gt;")))</f>
        <v/>
      </c>
      <c r="F146" s="44" t="str">
        <f>IF(COUNTIFS(BD!$B$3:$B$5001,F$114,BD!$A$3:$A$5001,"&gt;="&amp;$C$8,BD!$A$3:$A$5001,"&lt;="&amp;$D$8,BD!$K$3:$K$5001,"&lt;&gt;")=0,"",SUMIFS(BD!$K$3:$K$5001,BD!$B$3:$B$5001,F$114,BD!$A$3:$A$5001,_xlfn.MAXIFS(BD!$A$3:$A$5001,BD!$B$3:$B$5001,F$114,BD!$A$3:$A$5001,"&gt;="&amp;$C$8,BD!$A$3:$A$5001,"&lt;="&amp;$D$8,BD!$K$3:$K$5001,"&lt;&gt;")))</f>
        <v/>
      </c>
      <c r="G146" s="44" t="str">
        <f>IF(COUNTIFS(BD!$B$3:$B$5001,G$114,BD!$A$3:$A$5001,"&gt;="&amp;$C$8,BD!$A$3:$A$5001,"&lt;="&amp;$D$8,BD!$K$3:$K$5001,"&lt;&gt;")=0,"",SUMIFS(BD!$K$3:$K$5001,BD!$B$3:$B$5001,G$114,BD!$A$3:$A$5001,_xlfn.MAXIFS(BD!$A$3:$A$5001,BD!$B$3:$B$5001,G$114,BD!$A$3:$A$5001,"&gt;="&amp;$C$8,BD!$A$3:$A$5001,"&lt;="&amp;$D$8,BD!$K$3:$K$5001,"&lt;&gt;")))</f>
        <v/>
      </c>
    </row>
    <row r="147">
      <c r="A147" s="43" t="inlineStr">
        <is>
          <t xml:space="preserve">Depósito</t>
        </is>
      </c>
      <c r="C147" s="40" t="inlineStr">
        <is>
          <t xml:space="preserve">JSL</t>
        </is>
      </c>
      <c r="D147" s="40" t="inlineStr">
        <is>
          <t xml:space="preserve">JSL</t>
        </is>
      </c>
      <c r="E147" s="40" t="inlineStr">
        <is>
          <t xml:space="preserve">JSL</t>
        </is>
      </c>
      <c r="F147" s="40" t="inlineStr">
        <is>
          <t xml:space="preserve">JSL</t>
        </is>
      </c>
      <c r="G147" s="40" t="inlineStr">
        <is>
          <t xml:space="preserve">JSL</t>
        </is>
      </c>
    </row>
    <row r="149">
      <c r="A149" s="37" t="inlineStr">
        <is>
          <t xml:space="preserve">Posições Ocupadas</t>
        </is>
      </c>
      <c r="B149" s="37" t="inlineStr">
        <is>
          <t xml:space="preserve">Data</t>
        </is>
      </c>
      <c r="C149" s="37" t="inlineStr">
        <is>
          <t xml:space="preserve">Barry Callebaut</t>
        </is>
      </c>
      <c r="D149" s="37" t="inlineStr">
        <is>
          <t xml:space="preserve">GM</t>
        </is>
      </c>
      <c r="E149" s="37" t="inlineStr">
        <is>
          <t xml:space="preserve">Mondelez</t>
        </is>
      </c>
      <c r="F149" s="37" t="inlineStr">
        <is>
          <t xml:space="preserve">Nestlé</t>
        </is>
      </c>
      <c r="G149" s="37" t="inlineStr">
        <is>
          <t xml:space="preserve">PMB</t>
        </is>
      </c>
    </row>
    <row r="150">
      <c r="A150" s="40">
        <v>1</v>
      </c>
      <c r="B150" s="41">
        <f>$B$12</f>
        <v>46296</v>
      </c>
      <c r="C150" s="42" t="str">
        <f>IF(OR($B150="",$A150&gt;$B$9),"",IF(COUNTIFS(BD!$B$3:$B$5001,C$149,BD!$A$3:$A$5001,"&gt;="&amp;$C$7,BD!$A$3:$A$5001,"&lt;="&amp;$B150,BD!$M$3:$M$5001,"&lt;&gt;")=0,"",SUMIFS(BD!$M$3:$M$5001,BD!$B$3:$B$5001,C$149,BD!$A$3:$A$5001,_xlfn.MAXIFS(BD!$A$3:$A$5001,BD!$B$3:$B$5001,C$149,BD!$A$3:$A$5001,"&gt;="&amp;$C$7,BD!$A$3:$A$5001,"&lt;="&amp;$B150,BD!$M$3:$M$5001,"&lt;&gt;"))))</f>
        <v/>
      </c>
      <c r="D150" s="42" t="str">
        <f>IF(OR($B150="",$A150&gt;$B$9),"",IF(COUNTIFS(BD!$B$3:$B$5001,D$149,BD!$A$3:$A$5001,"&gt;="&amp;$C$7,BD!$A$3:$A$5001,"&lt;="&amp;$B150,BD!$M$3:$M$5001,"&lt;&gt;")=0,"",SUMIFS(BD!$M$3:$M$5001,BD!$B$3:$B$5001,D$149,BD!$A$3:$A$5001,_xlfn.MAXIFS(BD!$A$3:$A$5001,BD!$B$3:$B$5001,D$149,BD!$A$3:$A$5001,"&gt;="&amp;$C$7,BD!$A$3:$A$5001,"&lt;="&amp;$B150,BD!$M$3:$M$5001,"&lt;&gt;"))))</f>
        <v/>
      </c>
      <c r="E150" s="42" t="str">
        <f>IF(OR($B150="",$A150&gt;$B$9),"",IF(COUNTIFS(BD!$B$3:$B$5001,E$149,BD!$A$3:$A$5001,"&gt;="&amp;$C$7,BD!$A$3:$A$5001,"&lt;="&amp;$B150,BD!$M$3:$M$5001,"&lt;&gt;")=0,"",SUMIFS(BD!$M$3:$M$5001,BD!$B$3:$B$5001,E$149,BD!$A$3:$A$5001,_xlfn.MAXIFS(BD!$A$3:$A$5001,BD!$B$3:$B$5001,E$149,BD!$A$3:$A$5001,"&gt;="&amp;$C$7,BD!$A$3:$A$5001,"&lt;="&amp;$B150,BD!$M$3:$M$5001,"&lt;&gt;"))))</f>
        <v/>
      </c>
      <c r="F150" s="42" t="str">
        <f>IF(OR($B150="",$A150&gt;$B$9),"",IF(COUNTIFS(BD!$B$3:$B$5001,F$149,BD!$A$3:$A$5001,"&gt;="&amp;$C$7,BD!$A$3:$A$5001,"&lt;="&amp;$B150,BD!$M$3:$M$5001,"&lt;&gt;")=0,"",SUMIFS(BD!$M$3:$M$5001,BD!$B$3:$B$5001,F$149,BD!$A$3:$A$5001,_xlfn.MAXIFS(BD!$A$3:$A$5001,BD!$B$3:$B$5001,F$149,BD!$A$3:$A$5001,"&gt;="&amp;$C$7,BD!$A$3:$A$5001,"&lt;="&amp;$B150,BD!$M$3:$M$5001,"&lt;&gt;"))))</f>
        <v/>
      </c>
      <c r="G150" s="42" t="str">
        <f>IF(OR($B150="",$A150&gt;$B$9),"",IF(COUNTIFS(BD!$B$3:$B$5001,G$149,BD!$A$3:$A$5001,"&gt;="&amp;$C$7,BD!$A$3:$A$5001,"&lt;="&amp;$B150,BD!$M$3:$M$5001,"&lt;&gt;")=0,"",SUMIFS(BD!$M$3:$M$5001,BD!$B$3:$B$5001,G$149,BD!$A$3:$A$5001,_xlfn.MAXIFS(BD!$A$3:$A$5001,BD!$B$3:$B$5001,G$149,BD!$A$3:$A$5001,"&gt;="&amp;$C$7,BD!$A$3:$A$5001,"&lt;="&amp;$B150,BD!$M$3:$M$5001,"&lt;&gt;"))))</f>
        <v/>
      </c>
    </row>
    <row r="151">
      <c r="A151" s="40">
        <v>2</v>
      </c>
      <c r="B151" s="41">
        <f>$B$13</f>
        <v>46297</v>
      </c>
      <c r="C151" s="42" t="str">
        <f>IF(OR($B151="",$A151&gt;$B$9),"",IF(COUNTIFS(BD!$B$3:$B$5001,C$149,BD!$A$3:$A$5001,"&gt;="&amp;$C$7,BD!$A$3:$A$5001,"&lt;="&amp;$B151,BD!$M$3:$M$5001,"&lt;&gt;")=0,"",SUMIFS(BD!$M$3:$M$5001,BD!$B$3:$B$5001,C$149,BD!$A$3:$A$5001,_xlfn.MAXIFS(BD!$A$3:$A$5001,BD!$B$3:$B$5001,C$149,BD!$A$3:$A$5001,"&gt;="&amp;$C$7,BD!$A$3:$A$5001,"&lt;="&amp;$B151,BD!$M$3:$M$5001,"&lt;&gt;"))))</f>
        <v/>
      </c>
      <c r="D151" s="42" t="str">
        <f>IF(OR($B151="",$A151&gt;$B$9),"",IF(COUNTIFS(BD!$B$3:$B$5001,D$149,BD!$A$3:$A$5001,"&gt;="&amp;$C$7,BD!$A$3:$A$5001,"&lt;="&amp;$B151,BD!$M$3:$M$5001,"&lt;&gt;")=0,"",SUMIFS(BD!$M$3:$M$5001,BD!$B$3:$B$5001,D$149,BD!$A$3:$A$5001,_xlfn.MAXIFS(BD!$A$3:$A$5001,BD!$B$3:$B$5001,D$149,BD!$A$3:$A$5001,"&gt;="&amp;$C$7,BD!$A$3:$A$5001,"&lt;="&amp;$B151,BD!$M$3:$M$5001,"&lt;&gt;"))))</f>
        <v/>
      </c>
      <c r="E151" s="42" t="str">
        <f>IF(OR($B151="",$A151&gt;$B$9),"",IF(COUNTIFS(BD!$B$3:$B$5001,E$149,BD!$A$3:$A$5001,"&gt;="&amp;$C$7,BD!$A$3:$A$5001,"&lt;="&amp;$B151,BD!$M$3:$M$5001,"&lt;&gt;")=0,"",SUMIFS(BD!$M$3:$M$5001,BD!$B$3:$B$5001,E$149,BD!$A$3:$A$5001,_xlfn.MAXIFS(BD!$A$3:$A$5001,BD!$B$3:$B$5001,E$149,BD!$A$3:$A$5001,"&gt;="&amp;$C$7,BD!$A$3:$A$5001,"&lt;="&amp;$B151,BD!$M$3:$M$5001,"&lt;&gt;"))))</f>
        <v/>
      </c>
      <c r="F151" s="42" t="str">
        <f>IF(OR($B151="",$A151&gt;$B$9),"",IF(COUNTIFS(BD!$B$3:$B$5001,F$149,BD!$A$3:$A$5001,"&gt;="&amp;$C$7,BD!$A$3:$A$5001,"&lt;="&amp;$B151,BD!$M$3:$M$5001,"&lt;&gt;")=0,"",SUMIFS(BD!$M$3:$M$5001,BD!$B$3:$B$5001,F$149,BD!$A$3:$A$5001,_xlfn.MAXIFS(BD!$A$3:$A$5001,BD!$B$3:$B$5001,F$149,BD!$A$3:$A$5001,"&gt;="&amp;$C$7,BD!$A$3:$A$5001,"&lt;="&amp;$B151,BD!$M$3:$M$5001,"&lt;&gt;"))))</f>
        <v/>
      </c>
      <c r="G151" s="42" t="str">
        <f>IF(OR($B151="",$A151&gt;$B$9),"",IF(COUNTIFS(BD!$B$3:$B$5001,G$149,BD!$A$3:$A$5001,"&gt;="&amp;$C$7,BD!$A$3:$A$5001,"&lt;="&amp;$B151,BD!$M$3:$M$5001,"&lt;&gt;")=0,"",SUMIFS(BD!$M$3:$M$5001,BD!$B$3:$B$5001,G$149,BD!$A$3:$A$5001,_xlfn.MAXIFS(BD!$A$3:$A$5001,BD!$B$3:$B$5001,G$149,BD!$A$3:$A$5001,"&gt;="&amp;$C$7,BD!$A$3:$A$5001,"&lt;="&amp;$B151,BD!$M$3:$M$5001,"&lt;&gt;"))))</f>
        <v/>
      </c>
    </row>
    <row r="152">
      <c r="A152" s="40">
        <v>3</v>
      </c>
      <c r="B152" s="41">
        <f>$B$14</f>
        <v>46298</v>
      </c>
      <c r="C152" s="42" t="str">
        <f>IF(OR($B152="",$A152&gt;$B$9),"",IF(COUNTIFS(BD!$B$3:$B$5001,C$149,BD!$A$3:$A$5001,"&gt;="&amp;$C$7,BD!$A$3:$A$5001,"&lt;="&amp;$B152,BD!$M$3:$M$5001,"&lt;&gt;")=0,"",SUMIFS(BD!$M$3:$M$5001,BD!$B$3:$B$5001,C$149,BD!$A$3:$A$5001,_xlfn.MAXIFS(BD!$A$3:$A$5001,BD!$B$3:$B$5001,C$149,BD!$A$3:$A$5001,"&gt;="&amp;$C$7,BD!$A$3:$A$5001,"&lt;="&amp;$B152,BD!$M$3:$M$5001,"&lt;&gt;"))))</f>
        <v/>
      </c>
      <c r="D152" s="42" t="str">
        <f>IF(OR($B152="",$A152&gt;$B$9),"",IF(COUNTIFS(BD!$B$3:$B$5001,D$149,BD!$A$3:$A$5001,"&gt;="&amp;$C$7,BD!$A$3:$A$5001,"&lt;="&amp;$B152,BD!$M$3:$M$5001,"&lt;&gt;")=0,"",SUMIFS(BD!$M$3:$M$5001,BD!$B$3:$B$5001,D$149,BD!$A$3:$A$5001,_xlfn.MAXIFS(BD!$A$3:$A$5001,BD!$B$3:$B$5001,D$149,BD!$A$3:$A$5001,"&gt;="&amp;$C$7,BD!$A$3:$A$5001,"&lt;="&amp;$B152,BD!$M$3:$M$5001,"&lt;&gt;"))))</f>
        <v/>
      </c>
      <c r="E152" s="42" t="str">
        <f>IF(OR($B152="",$A152&gt;$B$9),"",IF(COUNTIFS(BD!$B$3:$B$5001,E$149,BD!$A$3:$A$5001,"&gt;="&amp;$C$7,BD!$A$3:$A$5001,"&lt;="&amp;$B152,BD!$M$3:$M$5001,"&lt;&gt;")=0,"",SUMIFS(BD!$M$3:$M$5001,BD!$B$3:$B$5001,E$149,BD!$A$3:$A$5001,_xlfn.MAXIFS(BD!$A$3:$A$5001,BD!$B$3:$B$5001,E$149,BD!$A$3:$A$5001,"&gt;="&amp;$C$7,BD!$A$3:$A$5001,"&lt;="&amp;$B152,BD!$M$3:$M$5001,"&lt;&gt;"))))</f>
        <v/>
      </c>
      <c r="F152" s="42" t="str">
        <f>IF(OR($B152="",$A152&gt;$B$9),"",IF(COUNTIFS(BD!$B$3:$B$5001,F$149,BD!$A$3:$A$5001,"&gt;="&amp;$C$7,BD!$A$3:$A$5001,"&lt;="&amp;$B152,BD!$M$3:$M$5001,"&lt;&gt;")=0,"",SUMIFS(BD!$M$3:$M$5001,BD!$B$3:$B$5001,F$149,BD!$A$3:$A$5001,_xlfn.MAXIFS(BD!$A$3:$A$5001,BD!$B$3:$B$5001,F$149,BD!$A$3:$A$5001,"&gt;="&amp;$C$7,BD!$A$3:$A$5001,"&lt;="&amp;$B152,BD!$M$3:$M$5001,"&lt;&gt;"))))</f>
        <v/>
      </c>
      <c r="G152" s="42" t="str">
        <f>IF(OR($B152="",$A152&gt;$B$9),"",IF(COUNTIFS(BD!$B$3:$B$5001,G$149,BD!$A$3:$A$5001,"&gt;="&amp;$C$7,BD!$A$3:$A$5001,"&lt;="&amp;$B152,BD!$M$3:$M$5001,"&lt;&gt;")=0,"",SUMIFS(BD!$M$3:$M$5001,BD!$B$3:$B$5001,G$149,BD!$A$3:$A$5001,_xlfn.MAXIFS(BD!$A$3:$A$5001,BD!$B$3:$B$5001,G$149,BD!$A$3:$A$5001,"&gt;="&amp;$C$7,BD!$A$3:$A$5001,"&lt;="&amp;$B152,BD!$M$3:$M$5001,"&lt;&gt;"))))</f>
        <v/>
      </c>
    </row>
    <row r="153">
      <c r="A153" s="40">
        <v>4</v>
      </c>
      <c r="B153" s="41">
        <f>$B$15</f>
        <v>46299</v>
      </c>
      <c r="C153" s="42" t="str">
        <f>IF(OR($B153="",$A153&gt;$B$9),"",IF(COUNTIFS(BD!$B$3:$B$5001,C$149,BD!$A$3:$A$5001,"&gt;="&amp;$C$7,BD!$A$3:$A$5001,"&lt;="&amp;$B153,BD!$M$3:$M$5001,"&lt;&gt;")=0,"",SUMIFS(BD!$M$3:$M$5001,BD!$B$3:$B$5001,C$149,BD!$A$3:$A$5001,_xlfn.MAXIFS(BD!$A$3:$A$5001,BD!$B$3:$B$5001,C$149,BD!$A$3:$A$5001,"&gt;="&amp;$C$7,BD!$A$3:$A$5001,"&lt;="&amp;$B153,BD!$M$3:$M$5001,"&lt;&gt;"))))</f>
        <v/>
      </c>
      <c r="D153" s="42" t="str">
        <f>IF(OR($B153="",$A153&gt;$B$9),"",IF(COUNTIFS(BD!$B$3:$B$5001,D$149,BD!$A$3:$A$5001,"&gt;="&amp;$C$7,BD!$A$3:$A$5001,"&lt;="&amp;$B153,BD!$M$3:$M$5001,"&lt;&gt;")=0,"",SUMIFS(BD!$M$3:$M$5001,BD!$B$3:$B$5001,D$149,BD!$A$3:$A$5001,_xlfn.MAXIFS(BD!$A$3:$A$5001,BD!$B$3:$B$5001,D$149,BD!$A$3:$A$5001,"&gt;="&amp;$C$7,BD!$A$3:$A$5001,"&lt;="&amp;$B153,BD!$M$3:$M$5001,"&lt;&gt;"))))</f>
        <v/>
      </c>
      <c r="E153" s="42" t="str">
        <f>IF(OR($B153="",$A153&gt;$B$9),"",IF(COUNTIFS(BD!$B$3:$B$5001,E$149,BD!$A$3:$A$5001,"&gt;="&amp;$C$7,BD!$A$3:$A$5001,"&lt;="&amp;$B153,BD!$M$3:$M$5001,"&lt;&gt;")=0,"",SUMIFS(BD!$M$3:$M$5001,BD!$B$3:$B$5001,E$149,BD!$A$3:$A$5001,_xlfn.MAXIFS(BD!$A$3:$A$5001,BD!$B$3:$B$5001,E$149,BD!$A$3:$A$5001,"&gt;="&amp;$C$7,BD!$A$3:$A$5001,"&lt;="&amp;$B153,BD!$M$3:$M$5001,"&lt;&gt;"))))</f>
        <v/>
      </c>
      <c r="F153" s="42" t="str">
        <f>IF(OR($B153="",$A153&gt;$B$9),"",IF(COUNTIFS(BD!$B$3:$B$5001,F$149,BD!$A$3:$A$5001,"&gt;="&amp;$C$7,BD!$A$3:$A$5001,"&lt;="&amp;$B153,BD!$M$3:$M$5001,"&lt;&gt;")=0,"",SUMIFS(BD!$M$3:$M$5001,BD!$B$3:$B$5001,F$149,BD!$A$3:$A$5001,_xlfn.MAXIFS(BD!$A$3:$A$5001,BD!$B$3:$B$5001,F$149,BD!$A$3:$A$5001,"&gt;="&amp;$C$7,BD!$A$3:$A$5001,"&lt;="&amp;$B153,BD!$M$3:$M$5001,"&lt;&gt;"))))</f>
        <v/>
      </c>
      <c r="G153" s="42" t="str">
        <f>IF(OR($B153="",$A153&gt;$B$9),"",IF(COUNTIFS(BD!$B$3:$B$5001,G$149,BD!$A$3:$A$5001,"&gt;="&amp;$C$7,BD!$A$3:$A$5001,"&lt;="&amp;$B153,BD!$M$3:$M$5001,"&lt;&gt;")=0,"",SUMIFS(BD!$M$3:$M$5001,BD!$B$3:$B$5001,G$149,BD!$A$3:$A$5001,_xlfn.MAXIFS(BD!$A$3:$A$5001,BD!$B$3:$B$5001,G$149,BD!$A$3:$A$5001,"&gt;="&amp;$C$7,BD!$A$3:$A$5001,"&lt;="&amp;$B153,BD!$M$3:$M$5001,"&lt;&gt;"))))</f>
        <v/>
      </c>
    </row>
    <row r="154">
      <c r="A154" s="40">
        <v>5</v>
      </c>
      <c r="B154" s="41">
        <f>$B$16</f>
        <v>46300</v>
      </c>
      <c r="C154" s="42" t="str">
        <f>IF(OR($B154="",$A154&gt;$B$9),"",IF(COUNTIFS(BD!$B$3:$B$5001,C$149,BD!$A$3:$A$5001,"&gt;="&amp;$C$7,BD!$A$3:$A$5001,"&lt;="&amp;$B154,BD!$M$3:$M$5001,"&lt;&gt;")=0,"",SUMIFS(BD!$M$3:$M$5001,BD!$B$3:$B$5001,C$149,BD!$A$3:$A$5001,_xlfn.MAXIFS(BD!$A$3:$A$5001,BD!$B$3:$B$5001,C$149,BD!$A$3:$A$5001,"&gt;="&amp;$C$7,BD!$A$3:$A$5001,"&lt;="&amp;$B154,BD!$M$3:$M$5001,"&lt;&gt;"))))</f>
        <v/>
      </c>
      <c r="D154" s="42" t="str">
        <f>IF(OR($B154="",$A154&gt;$B$9),"",IF(COUNTIFS(BD!$B$3:$B$5001,D$149,BD!$A$3:$A$5001,"&gt;="&amp;$C$7,BD!$A$3:$A$5001,"&lt;="&amp;$B154,BD!$M$3:$M$5001,"&lt;&gt;")=0,"",SUMIFS(BD!$M$3:$M$5001,BD!$B$3:$B$5001,D$149,BD!$A$3:$A$5001,_xlfn.MAXIFS(BD!$A$3:$A$5001,BD!$B$3:$B$5001,D$149,BD!$A$3:$A$5001,"&gt;="&amp;$C$7,BD!$A$3:$A$5001,"&lt;="&amp;$B154,BD!$M$3:$M$5001,"&lt;&gt;"))))</f>
        <v/>
      </c>
      <c r="E154" s="42" t="str">
        <f>IF(OR($B154="",$A154&gt;$B$9),"",IF(COUNTIFS(BD!$B$3:$B$5001,E$149,BD!$A$3:$A$5001,"&gt;="&amp;$C$7,BD!$A$3:$A$5001,"&lt;="&amp;$B154,BD!$M$3:$M$5001,"&lt;&gt;")=0,"",SUMIFS(BD!$M$3:$M$5001,BD!$B$3:$B$5001,E$149,BD!$A$3:$A$5001,_xlfn.MAXIFS(BD!$A$3:$A$5001,BD!$B$3:$B$5001,E$149,BD!$A$3:$A$5001,"&gt;="&amp;$C$7,BD!$A$3:$A$5001,"&lt;="&amp;$B154,BD!$M$3:$M$5001,"&lt;&gt;"))))</f>
        <v/>
      </c>
      <c r="F154" s="42" t="str">
        <f>IF(OR($B154="",$A154&gt;$B$9),"",IF(COUNTIFS(BD!$B$3:$B$5001,F$149,BD!$A$3:$A$5001,"&gt;="&amp;$C$7,BD!$A$3:$A$5001,"&lt;="&amp;$B154,BD!$M$3:$M$5001,"&lt;&gt;")=0,"",SUMIFS(BD!$M$3:$M$5001,BD!$B$3:$B$5001,F$149,BD!$A$3:$A$5001,_xlfn.MAXIFS(BD!$A$3:$A$5001,BD!$B$3:$B$5001,F$149,BD!$A$3:$A$5001,"&gt;="&amp;$C$7,BD!$A$3:$A$5001,"&lt;="&amp;$B154,BD!$M$3:$M$5001,"&lt;&gt;"))))</f>
        <v/>
      </c>
      <c r="G154" s="42" t="str">
        <f>IF(OR($B154="",$A154&gt;$B$9),"",IF(COUNTIFS(BD!$B$3:$B$5001,G$149,BD!$A$3:$A$5001,"&gt;="&amp;$C$7,BD!$A$3:$A$5001,"&lt;="&amp;$B154,BD!$M$3:$M$5001,"&lt;&gt;")=0,"",SUMIFS(BD!$M$3:$M$5001,BD!$B$3:$B$5001,G$149,BD!$A$3:$A$5001,_xlfn.MAXIFS(BD!$A$3:$A$5001,BD!$B$3:$B$5001,G$149,BD!$A$3:$A$5001,"&gt;="&amp;$C$7,BD!$A$3:$A$5001,"&lt;="&amp;$B154,BD!$M$3:$M$5001,"&lt;&gt;"))))</f>
        <v/>
      </c>
    </row>
    <row r="155">
      <c r="A155" s="40">
        <v>6</v>
      </c>
      <c r="B155" s="41">
        <f>$B$17</f>
        <v>46301</v>
      </c>
      <c r="C155" s="42" t="str">
        <f>IF(OR($B155="",$A155&gt;$B$9),"",IF(COUNTIFS(BD!$B$3:$B$5001,C$149,BD!$A$3:$A$5001,"&gt;="&amp;$C$7,BD!$A$3:$A$5001,"&lt;="&amp;$B155,BD!$M$3:$M$5001,"&lt;&gt;")=0,"",SUMIFS(BD!$M$3:$M$5001,BD!$B$3:$B$5001,C$149,BD!$A$3:$A$5001,_xlfn.MAXIFS(BD!$A$3:$A$5001,BD!$B$3:$B$5001,C$149,BD!$A$3:$A$5001,"&gt;="&amp;$C$7,BD!$A$3:$A$5001,"&lt;="&amp;$B155,BD!$M$3:$M$5001,"&lt;&gt;"))))</f>
        <v/>
      </c>
      <c r="D155" s="42" t="str">
        <f>IF(OR($B155="",$A155&gt;$B$9),"",IF(COUNTIFS(BD!$B$3:$B$5001,D$149,BD!$A$3:$A$5001,"&gt;="&amp;$C$7,BD!$A$3:$A$5001,"&lt;="&amp;$B155,BD!$M$3:$M$5001,"&lt;&gt;")=0,"",SUMIFS(BD!$M$3:$M$5001,BD!$B$3:$B$5001,D$149,BD!$A$3:$A$5001,_xlfn.MAXIFS(BD!$A$3:$A$5001,BD!$B$3:$B$5001,D$149,BD!$A$3:$A$5001,"&gt;="&amp;$C$7,BD!$A$3:$A$5001,"&lt;="&amp;$B155,BD!$M$3:$M$5001,"&lt;&gt;"))))</f>
        <v/>
      </c>
      <c r="E155" s="42" t="str">
        <f>IF(OR($B155="",$A155&gt;$B$9),"",IF(COUNTIFS(BD!$B$3:$B$5001,E$149,BD!$A$3:$A$5001,"&gt;="&amp;$C$7,BD!$A$3:$A$5001,"&lt;="&amp;$B155,BD!$M$3:$M$5001,"&lt;&gt;")=0,"",SUMIFS(BD!$M$3:$M$5001,BD!$B$3:$B$5001,E$149,BD!$A$3:$A$5001,_xlfn.MAXIFS(BD!$A$3:$A$5001,BD!$B$3:$B$5001,E$149,BD!$A$3:$A$5001,"&gt;="&amp;$C$7,BD!$A$3:$A$5001,"&lt;="&amp;$B155,BD!$M$3:$M$5001,"&lt;&gt;"))))</f>
        <v/>
      </c>
      <c r="F155" s="42" t="str">
        <f>IF(OR($B155="",$A155&gt;$B$9),"",IF(COUNTIFS(BD!$B$3:$B$5001,F$149,BD!$A$3:$A$5001,"&gt;="&amp;$C$7,BD!$A$3:$A$5001,"&lt;="&amp;$B155,BD!$M$3:$M$5001,"&lt;&gt;")=0,"",SUMIFS(BD!$M$3:$M$5001,BD!$B$3:$B$5001,F$149,BD!$A$3:$A$5001,_xlfn.MAXIFS(BD!$A$3:$A$5001,BD!$B$3:$B$5001,F$149,BD!$A$3:$A$5001,"&gt;="&amp;$C$7,BD!$A$3:$A$5001,"&lt;="&amp;$B155,BD!$M$3:$M$5001,"&lt;&gt;"))))</f>
        <v/>
      </c>
      <c r="G155" s="42" t="str">
        <f>IF(OR($B155="",$A155&gt;$B$9),"",IF(COUNTIFS(BD!$B$3:$B$5001,G$149,BD!$A$3:$A$5001,"&gt;="&amp;$C$7,BD!$A$3:$A$5001,"&lt;="&amp;$B155,BD!$M$3:$M$5001,"&lt;&gt;")=0,"",SUMIFS(BD!$M$3:$M$5001,BD!$B$3:$B$5001,G$149,BD!$A$3:$A$5001,_xlfn.MAXIFS(BD!$A$3:$A$5001,BD!$B$3:$B$5001,G$149,BD!$A$3:$A$5001,"&gt;="&amp;$C$7,BD!$A$3:$A$5001,"&lt;="&amp;$B155,BD!$M$3:$M$5001,"&lt;&gt;"))))</f>
        <v/>
      </c>
    </row>
    <row r="156">
      <c r="A156" s="40">
        <v>7</v>
      </c>
      <c r="B156" s="41">
        <f>$B$18</f>
        <v>46302</v>
      </c>
      <c r="C156" s="42" t="str">
        <f>IF(OR($B156="",$A156&gt;$B$9),"",IF(COUNTIFS(BD!$B$3:$B$5001,C$149,BD!$A$3:$A$5001,"&gt;="&amp;$C$7,BD!$A$3:$A$5001,"&lt;="&amp;$B156,BD!$M$3:$M$5001,"&lt;&gt;")=0,"",SUMIFS(BD!$M$3:$M$5001,BD!$B$3:$B$5001,C$149,BD!$A$3:$A$5001,_xlfn.MAXIFS(BD!$A$3:$A$5001,BD!$B$3:$B$5001,C$149,BD!$A$3:$A$5001,"&gt;="&amp;$C$7,BD!$A$3:$A$5001,"&lt;="&amp;$B156,BD!$M$3:$M$5001,"&lt;&gt;"))))</f>
        <v/>
      </c>
      <c r="D156" s="42" t="str">
        <f>IF(OR($B156="",$A156&gt;$B$9),"",IF(COUNTIFS(BD!$B$3:$B$5001,D$149,BD!$A$3:$A$5001,"&gt;="&amp;$C$7,BD!$A$3:$A$5001,"&lt;="&amp;$B156,BD!$M$3:$M$5001,"&lt;&gt;")=0,"",SUMIFS(BD!$M$3:$M$5001,BD!$B$3:$B$5001,D$149,BD!$A$3:$A$5001,_xlfn.MAXIFS(BD!$A$3:$A$5001,BD!$B$3:$B$5001,D$149,BD!$A$3:$A$5001,"&gt;="&amp;$C$7,BD!$A$3:$A$5001,"&lt;="&amp;$B156,BD!$M$3:$M$5001,"&lt;&gt;"))))</f>
        <v/>
      </c>
      <c r="E156" s="42" t="str">
        <f>IF(OR($B156="",$A156&gt;$B$9),"",IF(COUNTIFS(BD!$B$3:$B$5001,E$149,BD!$A$3:$A$5001,"&gt;="&amp;$C$7,BD!$A$3:$A$5001,"&lt;="&amp;$B156,BD!$M$3:$M$5001,"&lt;&gt;")=0,"",SUMIFS(BD!$M$3:$M$5001,BD!$B$3:$B$5001,E$149,BD!$A$3:$A$5001,_xlfn.MAXIFS(BD!$A$3:$A$5001,BD!$B$3:$B$5001,E$149,BD!$A$3:$A$5001,"&gt;="&amp;$C$7,BD!$A$3:$A$5001,"&lt;="&amp;$B156,BD!$M$3:$M$5001,"&lt;&gt;"))))</f>
        <v/>
      </c>
      <c r="F156" s="42" t="str">
        <f>IF(OR($B156="",$A156&gt;$B$9),"",IF(COUNTIFS(BD!$B$3:$B$5001,F$149,BD!$A$3:$A$5001,"&gt;="&amp;$C$7,BD!$A$3:$A$5001,"&lt;="&amp;$B156,BD!$M$3:$M$5001,"&lt;&gt;")=0,"",SUMIFS(BD!$M$3:$M$5001,BD!$B$3:$B$5001,F$149,BD!$A$3:$A$5001,_xlfn.MAXIFS(BD!$A$3:$A$5001,BD!$B$3:$B$5001,F$149,BD!$A$3:$A$5001,"&gt;="&amp;$C$7,BD!$A$3:$A$5001,"&lt;="&amp;$B156,BD!$M$3:$M$5001,"&lt;&gt;"))))</f>
        <v/>
      </c>
      <c r="G156" s="42" t="str">
        <f>IF(OR($B156="",$A156&gt;$B$9),"",IF(COUNTIFS(BD!$B$3:$B$5001,G$149,BD!$A$3:$A$5001,"&gt;="&amp;$C$7,BD!$A$3:$A$5001,"&lt;="&amp;$B156,BD!$M$3:$M$5001,"&lt;&gt;")=0,"",SUMIFS(BD!$M$3:$M$5001,BD!$B$3:$B$5001,G$149,BD!$A$3:$A$5001,_xlfn.MAXIFS(BD!$A$3:$A$5001,BD!$B$3:$B$5001,G$149,BD!$A$3:$A$5001,"&gt;="&amp;$C$7,BD!$A$3:$A$5001,"&lt;="&amp;$B156,BD!$M$3:$M$5001,"&lt;&gt;"))))</f>
        <v/>
      </c>
    </row>
    <row r="157">
      <c r="A157" s="40">
        <v>8</v>
      </c>
      <c r="B157" s="41">
        <f>$B$19</f>
        <v>46303</v>
      </c>
      <c r="C157" s="42" t="str">
        <f>IF(OR($B157="",$A157&gt;$B$9),"",IF(COUNTIFS(BD!$B$3:$B$5001,C$149,BD!$A$3:$A$5001,"&gt;="&amp;$C$7,BD!$A$3:$A$5001,"&lt;="&amp;$B157,BD!$M$3:$M$5001,"&lt;&gt;")=0,"",SUMIFS(BD!$M$3:$M$5001,BD!$B$3:$B$5001,C$149,BD!$A$3:$A$5001,_xlfn.MAXIFS(BD!$A$3:$A$5001,BD!$B$3:$B$5001,C$149,BD!$A$3:$A$5001,"&gt;="&amp;$C$7,BD!$A$3:$A$5001,"&lt;="&amp;$B157,BD!$M$3:$M$5001,"&lt;&gt;"))))</f>
        <v/>
      </c>
      <c r="D157" s="42" t="str">
        <f>IF(OR($B157="",$A157&gt;$B$9),"",IF(COUNTIFS(BD!$B$3:$B$5001,D$149,BD!$A$3:$A$5001,"&gt;="&amp;$C$7,BD!$A$3:$A$5001,"&lt;="&amp;$B157,BD!$M$3:$M$5001,"&lt;&gt;")=0,"",SUMIFS(BD!$M$3:$M$5001,BD!$B$3:$B$5001,D$149,BD!$A$3:$A$5001,_xlfn.MAXIFS(BD!$A$3:$A$5001,BD!$B$3:$B$5001,D$149,BD!$A$3:$A$5001,"&gt;="&amp;$C$7,BD!$A$3:$A$5001,"&lt;="&amp;$B157,BD!$M$3:$M$5001,"&lt;&gt;"))))</f>
        <v/>
      </c>
      <c r="E157" s="42" t="str">
        <f>IF(OR($B157="",$A157&gt;$B$9),"",IF(COUNTIFS(BD!$B$3:$B$5001,E$149,BD!$A$3:$A$5001,"&gt;="&amp;$C$7,BD!$A$3:$A$5001,"&lt;="&amp;$B157,BD!$M$3:$M$5001,"&lt;&gt;")=0,"",SUMIFS(BD!$M$3:$M$5001,BD!$B$3:$B$5001,E$149,BD!$A$3:$A$5001,_xlfn.MAXIFS(BD!$A$3:$A$5001,BD!$B$3:$B$5001,E$149,BD!$A$3:$A$5001,"&gt;="&amp;$C$7,BD!$A$3:$A$5001,"&lt;="&amp;$B157,BD!$M$3:$M$5001,"&lt;&gt;"))))</f>
        <v/>
      </c>
      <c r="F157" s="42" t="str">
        <f>IF(OR($B157="",$A157&gt;$B$9),"",IF(COUNTIFS(BD!$B$3:$B$5001,F$149,BD!$A$3:$A$5001,"&gt;="&amp;$C$7,BD!$A$3:$A$5001,"&lt;="&amp;$B157,BD!$M$3:$M$5001,"&lt;&gt;")=0,"",SUMIFS(BD!$M$3:$M$5001,BD!$B$3:$B$5001,F$149,BD!$A$3:$A$5001,_xlfn.MAXIFS(BD!$A$3:$A$5001,BD!$B$3:$B$5001,F$149,BD!$A$3:$A$5001,"&gt;="&amp;$C$7,BD!$A$3:$A$5001,"&lt;="&amp;$B157,BD!$M$3:$M$5001,"&lt;&gt;"))))</f>
        <v/>
      </c>
      <c r="G157" s="42" t="str">
        <f>IF(OR($B157="",$A157&gt;$B$9),"",IF(COUNTIFS(BD!$B$3:$B$5001,G$149,BD!$A$3:$A$5001,"&gt;="&amp;$C$7,BD!$A$3:$A$5001,"&lt;="&amp;$B157,BD!$M$3:$M$5001,"&lt;&gt;")=0,"",SUMIFS(BD!$M$3:$M$5001,BD!$B$3:$B$5001,G$149,BD!$A$3:$A$5001,_xlfn.MAXIFS(BD!$A$3:$A$5001,BD!$B$3:$B$5001,G$149,BD!$A$3:$A$5001,"&gt;="&amp;$C$7,BD!$A$3:$A$5001,"&lt;="&amp;$B157,BD!$M$3:$M$5001,"&lt;&gt;"))))</f>
        <v/>
      </c>
    </row>
    <row r="158">
      <c r="A158" s="40">
        <v>9</v>
      </c>
      <c r="B158" s="41">
        <f>$B$20</f>
        <v>46304</v>
      </c>
      <c r="C158" s="42" t="str">
        <f>IF(OR($B158="",$A158&gt;$B$9),"",IF(COUNTIFS(BD!$B$3:$B$5001,C$149,BD!$A$3:$A$5001,"&gt;="&amp;$C$7,BD!$A$3:$A$5001,"&lt;="&amp;$B158,BD!$M$3:$M$5001,"&lt;&gt;")=0,"",SUMIFS(BD!$M$3:$M$5001,BD!$B$3:$B$5001,C$149,BD!$A$3:$A$5001,_xlfn.MAXIFS(BD!$A$3:$A$5001,BD!$B$3:$B$5001,C$149,BD!$A$3:$A$5001,"&gt;="&amp;$C$7,BD!$A$3:$A$5001,"&lt;="&amp;$B158,BD!$M$3:$M$5001,"&lt;&gt;"))))</f>
        <v/>
      </c>
      <c r="D158" s="42" t="str">
        <f>IF(OR($B158="",$A158&gt;$B$9),"",IF(COUNTIFS(BD!$B$3:$B$5001,D$149,BD!$A$3:$A$5001,"&gt;="&amp;$C$7,BD!$A$3:$A$5001,"&lt;="&amp;$B158,BD!$M$3:$M$5001,"&lt;&gt;")=0,"",SUMIFS(BD!$M$3:$M$5001,BD!$B$3:$B$5001,D$149,BD!$A$3:$A$5001,_xlfn.MAXIFS(BD!$A$3:$A$5001,BD!$B$3:$B$5001,D$149,BD!$A$3:$A$5001,"&gt;="&amp;$C$7,BD!$A$3:$A$5001,"&lt;="&amp;$B158,BD!$M$3:$M$5001,"&lt;&gt;"))))</f>
        <v/>
      </c>
      <c r="E158" s="42" t="str">
        <f>IF(OR($B158="",$A158&gt;$B$9),"",IF(COUNTIFS(BD!$B$3:$B$5001,E$149,BD!$A$3:$A$5001,"&gt;="&amp;$C$7,BD!$A$3:$A$5001,"&lt;="&amp;$B158,BD!$M$3:$M$5001,"&lt;&gt;")=0,"",SUMIFS(BD!$M$3:$M$5001,BD!$B$3:$B$5001,E$149,BD!$A$3:$A$5001,_xlfn.MAXIFS(BD!$A$3:$A$5001,BD!$B$3:$B$5001,E$149,BD!$A$3:$A$5001,"&gt;="&amp;$C$7,BD!$A$3:$A$5001,"&lt;="&amp;$B158,BD!$M$3:$M$5001,"&lt;&gt;"))))</f>
        <v/>
      </c>
      <c r="F158" s="42" t="str">
        <f>IF(OR($B158="",$A158&gt;$B$9),"",IF(COUNTIFS(BD!$B$3:$B$5001,F$149,BD!$A$3:$A$5001,"&gt;="&amp;$C$7,BD!$A$3:$A$5001,"&lt;="&amp;$B158,BD!$M$3:$M$5001,"&lt;&gt;")=0,"",SUMIFS(BD!$M$3:$M$5001,BD!$B$3:$B$5001,F$149,BD!$A$3:$A$5001,_xlfn.MAXIFS(BD!$A$3:$A$5001,BD!$B$3:$B$5001,F$149,BD!$A$3:$A$5001,"&gt;="&amp;$C$7,BD!$A$3:$A$5001,"&lt;="&amp;$B158,BD!$M$3:$M$5001,"&lt;&gt;"))))</f>
        <v/>
      </c>
      <c r="G158" s="42" t="str">
        <f>IF(OR($B158="",$A158&gt;$B$9),"",IF(COUNTIFS(BD!$B$3:$B$5001,G$149,BD!$A$3:$A$5001,"&gt;="&amp;$C$7,BD!$A$3:$A$5001,"&lt;="&amp;$B158,BD!$M$3:$M$5001,"&lt;&gt;")=0,"",SUMIFS(BD!$M$3:$M$5001,BD!$B$3:$B$5001,G$149,BD!$A$3:$A$5001,_xlfn.MAXIFS(BD!$A$3:$A$5001,BD!$B$3:$B$5001,G$149,BD!$A$3:$A$5001,"&gt;="&amp;$C$7,BD!$A$3:$A$5001,"&lt;="&amp;$B158,BD!$M$3:$M$5001,"&lt;&gt;"))))</f>
        <v/>
      </c>
    </row>
    <row r="159">
      <c r="A159" s="40">
        <v>10</v>
      </c>
      <c r="B159" s="41">
        <f>$B$21</f>
        <v>46305</v>
      </c>
      <c r="C159" s="42" t="str">
        <f>IF(OR($B159="",$A159&gt;$B$9),"",IF(COUNTIFS(BD!$B$3:$B$5001,C$149,BD!$A$3:$A$5001,"&gt;="&amp;$C$7,BD!$A$3:$A$5001,"&lt;="&amp;$B159,BD!$M$3:$M$5001,"&lt;&gt;")=0,"",SUMIFS(BD!$M$3:$M$5001,BD!$B$3:$B$5001,C$149,BD!$A$3:$A$5001,_xlfn.MAXIFS(BD!$A$3:$A$5001,BD!$B$3:$B$5001,C$149,BD!$A$3:$A$5001,"&gt;="&amp;$C$7,BD!$A$3:$A$5001,"&lt;="&amp;$B159,BD!$M$3:$M$5001,"&lt;&gt;"))))</f>
        <v/>
      </c>
      <c r="D159" s="42" t="str">
        <f>IF(OR($B159="",$A159&gt;$B$9),"",IF(COUNTIFS(BD!$B$3:$B$5001,D$149,BD!$A$3:$A$5001,"&gt;="&amp;$C$7,BD!$A$3:$A$5001,"&lt;="&amp;$B159,BD!$M$3:$M$5001,"&lt;&gt;")=0,"",SUMIFS(BD!$M$3:$M$5001,BD!$B$3:$B$5001,D$149,BD!$A$3:$A$5001,_xlfn.MAXIFS(BD!$A$3:$A$5001,BD!$B$3:$B$5001,D$149,BD!$A$3:$A$5001,"&gt;="&amp;$C$7,BD!$A$3:$A$5001,"&lt;="&amp;$B159,BD!$M$3:$M$5001,"&lt;&gt;"))))</f>
        <v/>
      </c>
      <c r="E159" s="42" t="str">
        <f>IF(OR($B159="",$A159&gt;$B$9),"",IF(COUNTIFS(BD!$B$3:$B$5001,E$149,BD!$A$3:$A$5001,"&gt;="&amp;$C$7,BD!$A$3:$A$5001,"&lt;="&amp;$B159,BD!$M$3:$M$5001,"&lt;&gt;")=0,"",SUMIFS(BD!$M$3:$M$5001,BD!$B$3:$B$5001,E$149,BD!$A$3:$A$5001,_xlfn.MAXIFS(BD!$A$3:$A$5001,BD!$B$3:$B$5001,E$149,BD!$A$3:$A$5001,"&gt;="&amp;$C$7,BD!$A$3:$A$5001,"&lt;="&amp;$B159,BD!$M$3:$M$5001,"&lt;&gt;"))))</f>
        <v/>
      </c>
      <c r="F159" s="42" t="str">
        <f>IF(OR($B159="",$A159&gt;$B$9),"",IF(COUNTIFS(BD!$B$3:$B$5001,F$149,BD!$A$3:$A$5001,"&gt;="&amp;$C$7,BD!$A$3:$A$5001,"&lt;="&amp;$B159,BD!$M$3:$M$5001,"&lt;&gt;")=0,"",SUMIFS(BD!$M$3:$M$5001,BD!$B$3:$B$5001,F$149,BD!$A$3:$A$5001,_xlfn.MAXIFS(BD!$A$3:$A$5001,BD!$B$3:$B$5001,F$149,BD!$A$3:$A$5001,"&gt;="&amp;$C$7,BD!$A$3:$A$5001,"&lt;="&amp;$B159,BD!$M$3:$M$5001,"&lt;&gt;"))))</f>
        <v/>
      </c>
      <c r="G159" s="42" t="str">
        <f>IF(OR($B159="",$A159&gt;$B$9),"",IF(COUNTIFS(BD!$B$3:$B$5001,G$149,BD!$A$3:$A$5001,"&gt;="&amp;$C$7,BD!$A$3:$A$5001,"&lt;="&amp;$B159,BD!$M$3:$M$5001,"&lt;&gt;")=0,"",SUMIFS(BD!$M$3:$M$5001,BD!$B$3:$B$5001,G$149,BD!$A$3:$A$5001,_xlfn.MAXIFS(BD!$A$3:$A$5001,BD!$B$3:$B$5001,G$149,BD!$A$3:$A$5001,"&gt;="&amp;$C$7,BD!$A$3:$A$5001,"&lt;="&amp;$B159,BD!$M$3:$M$5001,"&lt;&gt;"))))</f>
        <v/>
      </c>
    </row>
    <row r="160">
      <c r="A160" s="40">
        <v>11</v>
      </c>
      <c r="B160" s="41">
        <f>$B$22</f>
        <v>46306</v>
      </c>
      <c r="C160" s="42" t="str">
        <f>IF(OR($B160="",$A160&gt;$B$9),"",IF(COUNTIFS(BD!$B$3:$B$5001,C$149,BD!$A$3:$A$5001,"&gt;="&amp;$C$7,BD!$A$3:$A$5001,"&lt;="&amp;$B160,BD!$M$3:$M$5001,"&lt;&gt;")=0,"",SUMIFS(BD!$M$3:$M$5001,BD!$B$3:$B$5001,C$149,BD!$A$3:$A$5001,_xlfn.MAXIFS(BD!$A$3:$A$5001,BD!$B$3:$B$5001,C$149,BD!$A$3:$A$5001,"&gt;="&amp;$C$7,BD!$A$3:$A$5001,"&lt;="&amp;$B160,BD!$M$3:$M$5001,"&lt;&gt;"))))</f>
        <v/>
      </c>
      <c r="D160" s="42" t="str">
        <f>IF(OR($B160="",$A160&gt;$B$9),"",IF(COUNTIFS(BD!$B$3:$B$5001,D$149,BD!$A$3:$A$5001,"&gt;="&amp;$C$7,BD!$A$3:$A$5001,"&lt;="&amp;$B160,BD!$M$3:$M$5001,"&lt;&gt;")=0,"",SUMIFS(BD!$M$3:$M$5001,BD!$B$3:$B$5001,D$149,BD!$A$3:$A$5001,_xlfn.MAXIFS(BD!$A$3:$A$5001,BD!$B$3:$B$5001,D$149,BD!$A$3:$A$5001,"&gt;="&amp;$C$7,BD!$A$3:$A$5001,"&lt;="&amp;$B160,BD!$M$3:$M$5001,"&lt;&gt;"))))</f>
        <v/>
      </c>
      <c r="E160" s="42" t="str">
        <f>IF(OR($B160="",$A160&gt;$B$9),"",IF(COUNTIFS(BD!$B$3:$B$5001,E$149,BD!$A$3:$A$5001,"&gt;="&amp;$C$7,BD!$A$3:$A$5001,"&lt;="&amp;$B160,BD!$M$3:$M$5001,"&lt;&gt;")=0,"",SUMIFS(BD!$M$3:$M$5001,BD!$B$3:$B$5001,E$149,BD!$A$3:$A$5001,_xlfn.MAXIFS(BD!$A$3:$A$5001,BD!$B$3:$B$5001,E$149,BD!$A$3:$A$5001,"&gt;="&amp;$C$7,BD!$A$3:$A$5001,"&lt;="&amp;$B160,BD!$M$3:$M$5001,"&lt;&gt;"))))</f>
        <v/>
      </c>
      <c r="F160" s="42" t="str">
        <f>IF(OR($B160="",$A160&gt;$B$9),"",IF(COUNTIFS(BD!$B$3:$B$5001,F$149,BD!$A$3:$A$5001,"&gt;="&amp;$C$7,BD!$A$3:$A$5001,"&lt;="&amp;$B160,BD!$M$3:$M$5001,"&lt;&gt;")=0,"",SUMIFS(BD!$M$3:$M$5001,BD!$B$3:$B$5001,F$149,BD!$A$3:$A$5001,_xlfn.MAXIFS(BD!$A$3:$A$5001,BD!$B$3:$B$5001,F$149,BD!$A$3:$A$5001,"&gt;="&amp;$C$7,BD!$A$3:$A$5001,"&lt;="&amp;$B160,BD!$M$3:$M$5001,"&lt;&gt;"))))</f>
        <v/>
      </c>
      <c r="G160" s="42" t="str">
        <f>IF(OR($B160="",$A160&gt;$B$9),"",IF(COUNTIFS(BD!$B$3:$B$5001,G$149,BD!$A$3:$A$5001,"&gt;="&amp;$C$7,BD!$A$3:$A$5001,"&lt;="&amp;$B160,BD!$M$3:$M$5001,"&lt;&gt;")=0,"",SUMIFS(BD!$M$3:$M$5001,BD!$B$3:$B$5001,G$149,BD!$A$3:$A$5001,_xlfn.MAXIFS(BD!$A$3:$A$5001,BD!$B$3:$B$5001,G$149,BD!$A$3:$A$5001,"&gt;="&amp;$C$7,BD!$A$3:$A$5001,"&lt;="&amp;$B160,BD!$M$3:$M$5001,"&lt;&gt;"))))</f>
        <v/>
      </c>
    </row>
    <row r="161">
      <c r="A161" s="40">
        <v>12</v>
      </c>
      <c r="B161" s="41">
        <f>$B$23</f>
        <v>46307</v>
      </c>
      <c r="C161" s="42" t="str">
        <f>IF(OR($B161="",$A161&gt;$B$9),"",IF(COUNTIFS(BD!$B$3:$B$5001,C$149,BD!$A$3:$A$5001,"&gt;="&amp;$C$7,BD!$A$3:$A$5001,"&lt;="&amp;$B161,BD!$M$3:$M$5001,"&lt;&gt;")=0,"",SUMIFS(BD!$M$3:$M$5001,BD!$B$3:$B$5001,C$149,BD!$A$3:$A$5001,_xlfn.MAXIFS(BD!$A$3:$A$5001,BD!$B$3:$B$5001,C$149,BD!$A$3:$A$5001,"&gt;="&amp;$C$7,BD!$A$3:$A$5001,"&lt;="&amp;$B161,BD!$M$3:$M$5001,"&lt;&gt;"))))</f>
        <v/>
      </c>
      <c r="D161" s="42" t="str">
        <f>IF(OR($B161="",$A161&gt;$B$9),"",IF(COUNTIFS(BD!$B$3:$B$5001,D$149,BD!$A$3:$A$5001,"&gt;="&amp;$C$7,BD!$A$3:$A$5001,"&lt;="&amp;$B161,BD!$M$3:$M$5001,"&lt;&gt;")=0,"",SUMIFS(BD!$M$3:$M$5001,BD!$B$3:$B$5001,D$149,BD!$A$3:$A$5001,_xlfn.MAXIFS(BD!$A$3:$A$5001,BD!$B$3:$B$5001,D$149,BD!$A$3:$A$5001,"&gt;="&amp;$C$7,BD!$A$3:$A$5001,"&lt;="&amp;$B161,BD!$M$3:$M$5001,"&lt;&gt;"))))</f>
        <v/>
      </c>
      <c r="E161" s="42" t="str">
        <f>IF(OR($B161="",$A161&gt;$B$9),"",IF(COUNTIFS(BD!$B$3:$B$5001,E$149,BD!$A$3:$A$5001,"&gt;="&amp;$C$7,BD!$A$3:$A$5001,"&lt;="&amp;$B161,BD!$M$3:$M$5001,"&lt;&gt;")=0,"",SUMIFS(BD!$M$3:$M$5001,BD!$B$3:$B$5001,E$149,BD!$A$3:$A$5001,_xlfn.MAXIFS(BD!$A$3:$A$5001,BD!$B$3:$B$5001,E$149,BD!$A$3:$A$5001,"&gt;="&amp;$C$7,BD!$A$3:$A$5001,"&lt;="&amp;$B161,BD!$M$3:$M$5001,"&lt;&gt;"))))</f>
        <v/>
      </c>
      <c r="F161" s="42" t="str">
        <f>IF(OR($B161="",$A161&gt;$B$9),"",IF(COUNTIFS(BD!$B$3:$B$5001,F$149,BD!$A$3:$A$5001,"&gt;="&amp;$C$7,BD!$A$3:$A$5001,"&lt;="&amp;$B161,BD!$M$3:$M$5001,"&lt;&gt;")=0,"",SUMIFS(BD!$M$3:$M$5001,BD!$B$3:$B$5001,F$149,BD!$A$3:$A$5001,_xlfn.MAXIFS(BD!$A$3:$A$5001,BD!$B$3:$B$5001,F$149,BD!$A$3:$A$5001,"&gt;="&amp;$C$7,BD!$A$3:$A$5001,"&lt;="&amp;$B161,BD!$M$3:$M$5001,"&lt;&gt;"))))</f>
        <v/>
      </c>
      <c r="G161" s="42" t="str">
        <f>IF(OR($B161="",$A161&gt;$B$9),"",IF(COUNTIFS(BD!$B$3:$B$5001,G$149,BD!$A$3:$A$5001,"&gt;="&amp;$C$7,BD!$A$3:$A$5001,"&lt;="&amp;$B161,BD!$M$3:$M$5001,"&lt;&gt;")=0,"",SUMIFS(BD!$M$3:$M$5001,BD!$B$3:$B$5001,G$149,BD!$A$3:$A$5001,_xlfn.MAXIFS(BD!$A$3:$A$5001,BD!$B$3:$B$5001,G$149,BD!$A$3:$A$5001,"&gt;="&amp;$C$7,BD!$A$3:$A$5001,"&lt;="&amp;$B161,BD!$M$3:$M$5001,"&lt;&gt;"))))</f>
        <v/>
      </c>
    </row>
    <row r="162">
      <c r="A162" s="40">
        <v>13</v>
      </c>
      <c r="B162" s="41">
        <f>$B$24</f>
        <v>46308</v>
      </c>
      <c r="C162" s="42" t="str">
        <f>IF(OR($B162="",$A162&gt;$B$9),"",IF(COUNTIFS(BD!$B$3:$B$5001,C$149,BD!$A$3:$A$5001,"&gt;="&amp;$C$7,BD!$A$3:$A$5001,"&lt;="&amp;$B162,BD!$M$3:$M$5001,"&lt;&gt;")=0,"",SUMIFS(BD!$M$3:$M$5001,BD!$B$3:$B$5001,C$149,BD!$A$3:$A$5001,_xlfn.MAXIFS(BD!$A$3:$A$5001,BD!$B$3:$B$5001,C$149,BD!$A$3:$A$5001,"&gt;="&amp;$C$7,BD!$A$3:$A$5001,"&lt;="&amp;$B162,BD!$M$3:$M$5001,"&lt;&gt;"))))</f>
        <v/>
      </c>
      <c r="D162" s="42" t="str">
        <f>IF(OR($B162="",$A162&gt;$B$9),"",IF(COUNTIFS(BD!$B$3:$B$5001,D$149,BD!$A$3:$A$5001,"&gt;="&amp;$C$7,BD!$A$3:$A$5001,"&lt;="&amp;$B162,BD!$M$3:$M$5001,"&lt;&gt;")=0,"",SUMIFS(BD!$M$3:$M$5001,BD!$B$3:$B$5001,D$149,BD!$A$3:$A$5001,_xlfn.MAXIFS(BD!$A$3:$A$5001,BD!$B$3:$B$5001,D$149,BD!$A$3:$A$5001,"&gt;="&amp;$C$7,BD!$A$3:$A$5001,"&lt;="&amp;$B162,BD!$M$3:$M$5001,"&lt;&gt;"))))</f>
        <v/>
      </c>
      <c r="E162" s="42" t="str">
        <f>IF(OR($B162="",$A162&gt;$B$9),"",IF(COUNTIFS(BD!$B$3:$B$5001,E$149,BD!$A$3:$A$5001,"&gt;="&amp;$C$7,BD!$A$3:$A$5001,"&lt;="&amp;$B162,BD!$M$3:$M$5001,"&lt;&gt;")=0,"",SUMIFS(BD!$M$3:$M$5001,BD!$B$3:$B$5001,E$149,BD!$A$3:$A$5001,_xlfn.MAXIFS(BD!$A$3:$A$5001,BD!$B$3:$B$5001,E$149,BD!$A$3:$A$5001,"&gt;="&amp;$C$7,BD!$A$3:$A$5001,"&lt;="&amp;$B162,BD!$M$3:$M$5001,"&lt;&gt;"))))</f>
        <v/>
      </c>
      <c r="F162" s="42" t="str">
        <f>IF(OR($B162="",$A162&gt;$B$9),"",IF(COUNTIFS(BD!$B$3:$B$5001,F$149,BD!$A$3:$A$5001,"&gt;="&amp;$C$7,BD!$A$3:$A$5001,"&lt;="&amp;$B162,BD!$M$3:$M$5001,"&lt;&gt;")=0,"",SUMIFS(BD!$M$3:$M$5001,BD!$B$3:$B$5001,F$149,BD!$A$3:$A$5001,_xlfn.MAXIFS(BD!$A$3:$A$5001,BD!$B$3:$B$5001,F$149,BD!$A$3:$A$5001,"&gt;="&amp;$C$7,BD!$A$3:$A$5001,"&lt;="&amp;$B162,BD!$M$3:$M$5001,"&lt;&gt;"))))</f>
        <v/>
      </c>
      <c r="G162" s="42" t="str">
        <f>IF(OR($B162="",$A162&gt;$B$9),"",IF(COUNTIFS(BD!$B$3:$B$5001,G$149,BD!$A$3:$A$5001,"&gt;="&amp;$C$7,BD!$A$3:$A$5001,"&lt;="&amp;$B162,BD!$M$3:$M$5001,"&lt;&gt;")=0,"",SUMIFS(BD!$M$3:$M$5001,BD!$B$3:$B$5001,G$149,BD!$A$3:$A$5001,_xlfn.MAXIFS(BD!$A$3:$A$5001,BD!$B$3:$B$5001,G$149,BD!$A$3:$A$5001,"&gt;="&amp;$C$7,BD!$A$3:$A$5001,"&lt;="&amp;$B162,BD!$M$3:$M$5001,"&lt;&gt;"))))</f>
        <v/>
      </c>
    </row>
    <row r="163">
      <c r="A163" s="40">
        <v>14</v>
      </c>
      <c r="B163" s="41">
        <f>$B$25</f>
        <v>46309</v>
      </c>
      <c r="C163" s="42" t="str">
        <f>IF(OR($B163="",$A163&gt;$B$9),"",IF(COUNTIFS(BD!$B$3:$B$5001,C$149,BD!$A$3:$A$5001,"&gt;="&amp;$C$7,BD!$A$3:$A$5001,"&lt;="&amp;$B163,BD!$M$3:$M$5001,"&lt;&gt;")=0,"",SUMIFS(BD!$M$3:$M$5001,BD!$B$3:$B$5001,C$149,BD!$A$3:$A$5001,_xlfn.MAXIFS(BD!$A$3:$A$5001,BD!$B$3:$B$5001,C$149,BD!$A$3:$A$5001,"&gt;="&amp;$C$7,BD!$A$3:$A$5001,"&lt;="&amp;$B163,BD!$M$3:$M$5001,"&lt;&gt;"))))</f>
        <v/>
      </c>
      <c r="D163" s="42" t="str">
        <f>IF(OR($B163="",$A163&gt;$B$9),"",IF(COUNTIFS(BD!$B$3:$B$5001,D$149,BD!$A$3:$A$5001,"&gt;="&amp;$C$7,BD!$A$3:$A$5001,"&lt;="&amp;$B163,BD!$M$3:$M$5001,"&lt;&gt;")=0,"",SUMIFS(BD!$M$3:$M$5001,BD!$B$3:$B$5001,D$149,BD!$A$3:$A$5001,_xlfn.MAXIFS(BD!$A$3:$A$5001,BD!$B$3:$B$5001,D$149,BD!$A$3:$A$5001,"&gt;="&amp;$C$7,BD!$A$3:$A$5001,"&lt;="&amp;$B163,BD!$M$3:$M$5001,"&lt;&gt;"))))</f>
        <v/>
      </c>
      <c r="E163" s="42" t="str">
        <f>IF(OR($B163="",$A163&gt;$B$9),"",IF(COUNTIFS(BD!$B$3:$B$5001,E$149,BD!$A$3:$A$5001,"&gt;="&amp;$C$7,BD!$A$3:$A$5001,"&lt;="&amp;$B163,BD!$M$3:$M$5001,"&lt;&gt;")=0,"",SUMIFS(BD!$M$3:$M$5001,BD!$B$3:$B$5001,E$149,BD!$A$3:$A$5001,_xlfn.MAXIFS(BD!$A$3:$A$5001,BD!$B$3:$B$5001,E$149,BD!$A$3:$A$5001,"&gt;="&amp;$C$7,BD!$A$3:$A$5001,"&lt;="&amp;$B163,BD!$M$3:$M$5001,"&lt;&gt;"))))</f>
        <v/>
      </c>
      <c r="F163" s="42" t="str">
        <f>IF(OR($B163="",$A163&gt;$B$9),"",IF(COUNTIFS(BD!$B$3:$B$5001,F$149,BD!$A$3:$A$5001,"&gt;="&amp;$C$7,BD!$A$3:$A$5001,"&lt;="&amp;$B163,BD!$M$3:$M$5001,"&lt;&gt;")=0,"",SUMIFS(BD!$M$3:$M$5001,BD!$B$3:$B$5001,F$149,BD!$A$3:$A$5001,_xlfn.MAXIFS(BD!$A$3:$A$5001,BD!$B$3:$B$5001,F$149,BD!$A$3:$A$5001,"&gt;="&amp;$C$7,BD!$A$3:$A$5001,"&lt;="&amp;$B163,BD!$M$3:$M$5001,"&lt;&gt;"))))</f>
        <v/>
      </c>
      <c r="G163" s="42" t="str">
        <f>IF(OR($B163="",$A163&gt;$B$9),"",IF(COUNTIFS(BD!$B$3:$B$5001,G$149,BD!$A$3:$A$5001,"&gt;="&amp;$C$7,BD!$A$3:$A$5001,"&lt;="&amp;$B163,BD!$M$3:$M$5001,"&lt;&gt;")=0,"",SUMIFS(BD!$M$3:$M$5001,BD!$B$3:$B$5001,G$149,BD!$A$3:$A$5001,_xlfn.MAXIFS(BD!$A$3:$A$5001,BD!$B$3:$B$5001,G$149,BD!$A$3:$A$5001,"&gt;="&amp;$C$7,BD!$A$3:$A$5001,"&lt;="&amp;$B163,BD!$M$3:$M$5001,"&lt;&gt;"))))</f>
        <v/>
      </c>
    </row>
    <row r="164">
      <c r="A164" s="40">
        <v>15</v>
      </c>
      <c r="B164" s="41">
        <f>$B$26</f>
        <v>46310</v>
      </c>
      <c r="C164" s="42" t="str">
        <f>IF(OR($B164="",$A164&gt;$B$9),"",IF(COUNTIFS(BD!$B$3:$B$5001,C$149,BD!$A$3:$A$5001,"&gt;="&amp;$C$7,BD!$A$3:$A$5001,"&lt;="&amp;$B164,BD!$M$3:$M$5001,"&lt;&gt;")=0,"",SUMIFS(BD!$M$3:$M$5001,BD!$B$3:$B$5001,C$149,BD!$A$3:$A$5001,_xlfn.MAXIFS(BD!$A$3:$A$5001,BD!$B$3:$B$5001,C$149,BD!$A$3:$A$5001,"&gt;="&amp;$C$7,BD!$A$3:$A$5001,"&lt;="&amp;$B164,BD!$M$3:$M$5001,"&lt;&gt;"))))</f>
        <v/>
      </c>
      <c r="D164" s="42" t="str">
        <f>IF(OR($B164="",$A164&gt;$B$9),"",IF(COUNTIFS(BD!$B$3:$B$5001,D$149,BD!$A$3:$A$5001,"&gt;="&amp;$C$7,BD!$A$3:$A$5001,"&lt;="&amp;$B164,BD!$M$3:$M$5001,"&lt;&gt;")=0,"",SUMIFS(BD!$M$3:$M$5001,BD!$B$3:$B$5001,D$149,BD!$A$3:$A$5001,_xlfn.MAXIFS(BD!$A$3:$A$5001,BD!$B$3:$B$5001,D$149,BD!$A$3:$A$5001,"&gt;="&amp;$C$7,BD!$A$3:$A$5001,"&lt;="&amp;$B164,BD!$M$3:$M$5001,"&lt;&gt;"))))</f>
        <v/>
      </c>
      <c r="E164" s="42" t="str">
        <f>IF(OR($B164="",$A164&gt;$B$9),"",IF(COUNTIFS(BD!$B$3:$B$5001,E$149,BD!$A$3:$A$5001,"&gt;="&amp;$C$7,BD!$A$3:$A$5001,"&lt;="&amp;$B164,BD!$M$3:$M$5001,"&lt;&gt;")=0,"",SUMIFS(BD!$M$3:$M$5001,BD!$B$3:$B$5001,E$149,BD!$A$3:$A$5001,_xlfn.MAXIFS(BD!$A$3:$A$5001,BD!$B$3:$B$5001,E$149,BD!$A$3:$A$5001,"&gt;="&amp;$C$7,BD!$A$3:$A$5001,"&lt;="&amp;$B164,BD!$M$3:$M$5001,"&lt;&gt;"))))</f>
        <v/>
      </c>
      <c r="F164" s="42" t="str">
        <f>IF(OR($B164="",$A164&gt;$B$9),"",IF(COUNTIFS(BD!$B$3:$B$5001,F$149,BD!$A$3:$A$5001,"&gt;="&amp;$C$7,BD!$A$3:$A$5001,"&lt;="&amp;$B164,BD!$M$3:$M$5001,"&lt;&gt;")=0,"",SUMIFS(BD!$M$3:$M$5001,BD!$B$3:$B$5001,F$149,BD!$A$3:$A$5001,_xlfn.MAXIFS(BD!$A$3:$A$5001,BD!$B$3:$B$5001,F$149,BD!$A$3:$A$5001,"&gt;="&amp;$C$7,BD!$A$3:$A$5001,"&lt;="&amp;$B164,BD!$M$3:$M$5001,"&lt;&gt;"))))</f>
        <v/>
      </c>
      <c r="G164" s="42" t="str">
        <f>IF(OR($B164="",$A164&gt;$B$9),"",IF(COUNTIFS(BD!$B$3:$B$5001,G$149,BD!$A$3:$A$5001,"&gt;="&amp;$C$7,BD!$A$3:$A$5001,"&lt;="&amp;$B164,BD!$M$3:$M$5001,"&lt;&gt;")=0,"",SUMIFS(BD!$M$3:$M$5001,BD!$B$3:$B$5001,G$149,BD!$A$3:$A$5001,_xlfn.MAXIFS(BD!$A$3:$A$5001,BD!$B$3:$B$5001,G$149,BD!$A$3:$A$5001,"&gt;="&amp;$C$7,BD!$A$3:$A$5001,"&lt;="&amp;$B164,BD!$M$3:$M$5001,"&lt;&gt;"))))</f>
        <v/>
      </c>
    </row>
    <row r="165">
      <c r="A165" s="40">
        <v>16</v>
      </c>
      <c r="B165" s="41">
        <f>$B$27</f>
        <v>46311</v>
      </c>
      <c r="C165" s="42" t="str">
        <f>IF(OR($B165="",$A165&gt;$B$9),"",IF(COUNTIFS(BD!$B$3:$B$5001,C$149,BD!$A$3:$A$5001,"&gt;="&amp;$C$7,BD!$A$3:$A$5001,"&lt;="&amp;$B165,BD!$M$3:$M$5001,"&lt;&gt;")=0,"",SUMIFS(BD!$M$3:$M$5001,BD!$B$3:$B$5001,C$149,BD!$A$3:$A$5001,_xlfn.MAXIFS(BD!$A$3:$A$5001,BD!$B$3:$B$5001,C$149,BD!$A$3:$A$5001,"&gt;="&amp;$C$7,BD!$A$3:$A$5001,"&lt;="&amp;$B165,BD!$M$3:$M$5001,"&lt;&gt;"))))</f>
        <v/>
      </c>
      <c r="D165" s="42" t="str">
        <f>IF(OR($B165="",$A165&gt;$B$9),"",IF(COUNTIFS(BD!$B$3:$B$5001,D$149,BD!$A$3:$A$5001,"&gt;="&amp;$C$7,BD!$A$3:$A$5001,"&lt;="&amp;$B165,BD!$M$3:$M$5001,"&lt;&gt;")=0,"",SUMIFS(BD!$M$3:$M$5001,BD!$B$3:$B$5001,D$149,BD!$A$3:$A$5001,_xlfn.MAXIFS(BD!$A$3:$A$5001,BD!$B$3:$B$5001,D$149,BD!$A$3:$A$5001,"&gt;="&amp;$C$7,BD!$A$3:$A$5001,"&lt;="&amp;$B165,BD!$M$3:$M$5001,"&lt;&gt;"))))</f>
        <v/>
      </c>
      <c r="E165" s="42" t="str">
        <f>IF(OR($B165="",$A165&gt;$B$9),"",IF(COUNTIFS(BD!$B$3:$B$5001,E$149,BD!$A$3:$A$5001,"&gt;="&amp;$C$7,BD!$A$3:$A$5001,"&lt;="&amp;$B165,BD!$M$3:$M$5001,"&lt;&gt;")=0,"",SUMIFS(BD!$M$3:$M$5001,BD!$B$3:$B$5001,E$149,BD!$A$3:$A$5001,_xlfn.MAXIFS(BD!$A$3:$A$5001,BD!$B$3:$B$5001,E$149,BD!$A$3:$A$5001,"&gt;="&amp;$C$7,BD!$A$3:$A$5001,"&lt;="&amp;$B165,BD!$M$3:$M$5001,"&lt;&gt;"))))</f>
        <v/>
      </c>
      <c r="F165" s="42" t="str">
        <f>IF(OR($B165="",$A165&gt;$B$9),"",IF(COUNTIFS(BD!$B$3:$B$5001,F$149,BD!$A$3:$A$5001,"&gt;="&amp;$C$7,BD!$A$3:$A$5001,"&lt;="&amp;$B165,BD!$M$3:$M$5001,"&lt;&gt;")=0,"",SUMIFS(BD!$M$3:$M$5001,BD!$B$3:$B$5001,F$149,BD!$A$3:$A$5001,_xlfn.MAXIFS(BD!$A$3:$A$5001,BD!$B$3:$B$5001,F$149,BD!$A$3:$A$5001,"&gt;="&amp;$C$7,BD!$A$3:$A$5001,"&lt;="&amp;$B165,BD!$M$3:$M$5001,"&lt;&gt;"))))</f>
        <v/>
      </c>
      <c r="G165" s="42" t="str">
        <f>IF(OR($B165="",$A165&gt;$B$9),"",IF(COUNTIFS(BD!$B$3:$B$5001,G$149,BD!$A$3:$A$5001,"&gt;="&amp;$C$7,BD!$A$3:$A$5001,"&lt;="&amp;$B165,BD!$M$3:$M$5001,"&lt;&gt;")=0,"",SUMIFS(BD!$M$3:$M$5001,BD!$B$3:$B$5001,G$149,BD!$A$3:$A$5001,_xlfn.MAXIFS(BD!$A$3:$A$5001,BD!$B$3:$B$5001,G$149,BD!$A$3:$A$5001,"&gt;="&amp;$C$7,BD!$A$3:$A$5001,"&lt;="&amp;$B165,BD!$M$3:$M$5001,"&lt;&gt;"))))</f>
        <v/>
      </c>
    </row>
    <row r="166">
      <c r="A166" s="40">
        <v>17</v>
      </c>
      <c r="B166" s="41">
        <f>$B$28</f>
        <v>46312</v>
      </c>
      <c r="C166" s="42" t="str">
        <f>IF(OR($B166="",$A166&gt;$B$9),"",IF(COUNTIFS(BD!$B$3:$B$5001,C$149,BD!$A$3:$A$5001,"&gt;="&amp;$C$7,BD!$A$3:$A$5001,"&lt;="&amp;$B166,BD!$M$3:$M$5001,"&lt;&gt;")=0,"",SUMIFS(BD!$M$3:$M$5001,BD!$B$3:$B$5001,C$149,BD!$A$3:$A$5001,_xlfn.MAXIFS(BD!$A$3:$A$5001,BD!$B$3:$B$5001,C$149,BD!$A$3:$A$5001,"&gt;="&amp;$C$7,BD!$A$3:$A$5001,"&lt;="&amp;$B166,BD!$M$3:$M$5001,"&lt;&gt;"))))</f>
        <v/>
      </c>
      <c r="D166" s="42" t="str">
        <f>IF(OR($B166="",$A166&gt;$B$9),"",IF(COUNTIFS(BD!$B$3:$B$5001,D$149,BD!$A$3:$A$5001,"&gt;="&amp;$C$7,BD!$A$3:$A$5001,"&lt;="&amp;$B166,BD!$M$3:$M$5001,"&lt;&gt;")=0,"",SUMIFS(BD!$M$3:$M$5001,BD!$B$3:$B$5001,D$149,BD!$A$3:$A$5001,_xlfn.MAXIFS(BD!$A$3:$A$5001,BD!$B$3:$B$5001,D$149,BD!$A$3:$A$5001,"&gt;="&amp;$C$7,BD!$A$3:$A$5001,"&lt;="&amp;$B166,BD!$M$3:$M$5001,"&lt;&gt;"))))</f>
        <v/>
      </c>
      <c r="E166" s="42" t="str">
        <f>IF(OR($B166="",$A166&gt;$B$9),"",IF(COUNTIFS(BD!$B$3:$B$5001,E$149,BD!$A$3:$A$5001,"&gt;="&amp;$C$7,BD!$A$3:$A$5001,"&lt;="&amp;$B166,BD!$M$3:$M$5001,"&lt;&gt;")=0,"",SUMIFS(BD!$M$3:$M$5001,BD!$B$3:$B$5001,E$149,BD!$A$3:$A$5001,_xlfn.MAXIFS(BD!$A$3:$A$5001,BD!$B$3:$B$5001,E$149,BD!$A$3:$A$5001,"&gt;="&amp;$C$7,BD!$A$3:$A$5001,"&lt;="&amp;$B166,BD!$M$3:$M$5001,"&lt;&gt;"))))</f>
        <v/>
      </c>
      <c r="F166" s="42" t="str">
        <f>IF(OR($B166="",$A166&gt;$B$9),"",IF(COUNTIFS(BD!$B$3:$B$5001,F$149,BD!$A$3:$A$5001,"&gt;="&amp;$C$7,BD!$A$3:$A$5001,"&lt;="&amp;$B166,BD!$M$3:$M$5001,"&lt;&gt;")=0,"",SUMIFS(BD!$M$3:$M$5001,BD!$B$3:$B$5001,F$149,BD!$A$3:$A$5001,_xlfn.MAXIFS(BD!$A$3:$A$5001,BD!$B$3:$B$5001,F$149,BD!$A$3:$A$5001,"&gt;="&amp;$C$7,BD!$A$3:$A$5001,"&lt;="&amp;$B166,BD!$M$3:$M$5001,"&lt;&gt;"))))</f>
        <v/>
      </c>
      <c r="G166" s="42" t="str">
        <f>IF(OR($B166="",$A166&gt;$B$9),"",IF(COUNTIFS(BD!$B$3:$B$5001,G$149,BD!$A$3:$A$5001,"&gt;="&amp;$C$7,BD!$A$3:$A$5001,"&lt;="&amp;$B166,BD!$M$3:$M$5001,"&lt;&gt;")=0,"",SUMIFS(BD!$M$3:$M$5001,BD!$B$3:$B$5001,G$149,BD!$A$3:$A$5001,_xlfn.MAXIFS(BD!$A$3:$A$5001,BD!$B$3:$B$5001,G$149,BD!$A$3:$A$5001,"&gt;="&amp;$C$7,BD!$A$3:$A$5001,"&lt;="&amp;$B166,BD!$M$3:$M$5001,"&lt;&gt;"))))</f>
        <v/>
      </c>
    </row>
    <row r="167">
      <c r="A167" s="40">
        <v>18</v>
      </c>
      <c r="B167" s="41">
        <f>$B$29</f>
        <v>46313</v>
      </c>
      <c r="C167" s="42" t="str">
        <f>IF(OR($B167="",$A167&gt;$B$9),"",IF(COUNTIFS(BD!$B$3:$B$5001,C$149,BD!$A$3:$A$5001,"&gt;="&amp;$C$7,BD!$A$3:$A$5001,"&lt;="&amp;$B167,BD!$M$3:$M$5001,"&lt;&gt;")=0,"",SUMIFS(BD!$M$3:$M$5001,BD!$B$3:$B$5001,C$149,BD!$A$3:$A$5001,_xlfn.MAXIFS(BD!$A$3:$A$5001,BD!$B$3:$B$5001,C$149,BD!$A$3:$A$5001,"&gt;="&amp;$C$7,BD!$A$3:$A$5001,"&lt;="&amp;$B167,BD!$M$3:$M$5001,"&lt;&gt;"))))</f>
        <v/>
      </c>
      <c r="D167" s="42" t="str">
        <f>IF(OR($B167="",$A167&gt;$B$9),"",IF(COUNTIFS(BD!$B$3:$B$5001,D$149,BD!$A$3:$A$5001,"&gt;="&amp;$C$7,BD!$A$3:$A$5001,"&lt;="&amp;$B167,BD!$M$3:$M$5001,"&lt;&gt;")=0,"",SUMIFS(BD!$M$3:$M$5001,BD!$B$3:$B$5001,D$149,BD!$A$3:$A$5001,_xlfn.MAXIFS(BD!$A$3:$A$5001,BD!$B$3:$B$5001,D$149,BD!$A$3:$A$5001,"&gt;="&amp;$C$7,BD!$A$3:$A$5001,"&lt;="&amp;$B167,BD!$M$3:$M$5001,"&lt;&gt;"))))</f>
        <v/>
      </c>
      <c r="E167" s="42" t="str">
        <f>IF(OR($B167="",$A167&gt;$B$9),"",IF(COUNTIFS(BD!$B$3:$B$5001,E$149,BD!$A$3:$A$5001,"&gt;="&amp;$C$7,BD!$A$3:$A$5001,"&lt;="&amp;$B167,BD!$M$3:$M$5001,"&lt;&gt;")=0,"",SUMIFS(BD!$M$3:$M$5001,BD!$B$3:$B$5001,E$149,BD!$A$3:$A$5001,_xlfn.MAXIFS(BD!$A$3:$A$5001,BD!$B$3:$B$5001,E$149,BD!$A$3:$A$5001,"&gt;="&amp;$C$7,BD!$A$3:$A$5001,"&lt;="&amp;$B167,BD!$M$3:$M$5001,"&lt;&gt;"))))</f>
        <v/>
      </c>
      <c r="F167" s="42" t="str">
        <f>IF(OR($B167="",$A167&gt;$B$9),"",IF(COUNTIFS(BD!$B$3:$B$5001,F$149,BD!$A$3:$A$5001,"&gt;="&amp;$C$7,BD!$A$3:$A$5001,"&lt;="&amp;$B167,BD!$M$3:$M$5001,"&lt;&gt;")=0,"",SUMIFS(BD!$M$3:$M$5001,BD!$B$3:$B$5001,F$149,BD!$A$3:$A$5001,_xlfn.MAXIFS(BD!$A$3:$A$5001,BD!$B$3:$B$5001,F$149,BD!$A$3:$A$5001,"&gt;="&amp;$C$7,BD!$A$3:$A$5001,"&lt;="&amp;$B167,BD!$M$3:$M$5001,"&lt;&gt;"))))</f>
        <v/>
      </c>
      <c r="G167" s="42" t="str">
        <f>IF(OR($B167="",$A167&gt;$B$9),"",IF(COUNTIFS(BD!$B$3:$B$5001,G$149,BD!$A$3:$A$5001,"&gt;="&amp;$C$7,BD!$A$3:$A$5001,"&lt;="&amp;$B167,BD!$M$3:$M$5001,"&lt;&gt;")=0,"",SUMIFS(BD!$M$3:$M$5001,BD!$B$3:$B$5001,G$149,BD!$A$3:$A$5001,_xlfn.MAXIFS(BD!$A$3:$A$5001,BD!$B$3:$B$5001,G$149,BD!$A$3:$A$5001,"&gt;="&amp;$C$7,BD!$A$3:$A$5001,"&lt;="&amp;$B167,BD!$M$3:$M$5001,"&lt;&gt;"))))</f>
        <v/>
      </c>
    </row>
    <row r="168">
      <c r="A168" s="40">
        <v>19</v>
      </c>
      <c r="B168" s="41">
        <f>$B$30</f>
        <v>46314</v>
      </c>
      <c r="C168" s="42" t="str">
        <f>IF(OR($B168="",$A168&gt;$B$9),"",IF(COUNTIFS(BD!$B$3:$B$5001,C$149,BD!$A$3:$A$5001,"&gt;="&amp;$C$7,BD!$A$3:$A$5001,"&lt;="&amp;$B168,BD!$M$3:$M$5001,"&lt;&gt;")=0,"",SUMIFS(BD!$M$3:$M$5001,BD!$B$3:$B$5001,C$149,BD!$A$3:$A$5001,_xlfn.MAXIFS(BD!$A$3:$A$5001,BD!$B$3:$B$5001,C$149,BD!$A$3:$A$5001,"&gt;="&amp;$C$7,BD!$A$3:$A$5001,"&lt;="&amp;$B168,BD!$M$3:$M$5001,"&lt;&gt;"))))</f>
        <v/>
      </c>
      <c r="D168" s="42" t="str">
        <f>IF(OR($B168="",$A168&gt;$B$9),"",IF(COUNTIFS(BD!$B$3:$B$5001,D$149,BD!$A$3:$A$5001,"&gt;="&amp;$C$7,BD!$A$3:$A$5001,"&lt;="&amp;$B168,BD!$M$3:$M$5001,"&lt;&gt;")=0,"",SUMIFS(BD!$M$3:$M$5001,BD!$B$3:$B$5001,D$149,BD!$A$3:$A$5001,_xlfn.MAXIFS(BD!$A$3:$A$5001,BD!$B$3:$B$5001,D$149,BD!$A$3:$A$5001,"&gt;="&amp;$C$7,BD!$A$3:$A$5001,"&lt;="&amp;$B168,BD!$M$3:$M$5001,"&lt;&gt;"))))</f>
        <v/>
      </c>
      <c r="E168" s="42" t="str">
        <f>IF(OR($B168="",$A168&gt;$B$9),"",IF(COUNTIFS(BD!$B$3:$B$5001,E$149,BD!$A$3:$A$5001,"&gt;="&amp;$C$7,BD!$A$3:$A$5001,"&lt;="&amp;$B168,BD!$M$3:$M$5001,"&lt;&gt;")=0,"",SUMIFS(BD!$M$3:$M$5001,BD!$B$3:$B$5001,E$149,BD!$A$3:$A$5001,_xlfn.MAXIFS(BD!$A$3:$A$5001,BD!$B$3:$B$5001,E$149,BD!$A$3:$A$5001,"&gt;="&amp;$C$7,BD!$A$3:$A$5001,"&lt;="&amp;$B168,BD!$M$3:$M$5001,"&lt;&gt;"))))</f>
        <v/>
      </c>
      <c r="F168" s="42" t="str">
        <f>IF(OR($B168="",$A168&gt;$B$9),"",IF(COUNTIFS(BD!$B$3:$B$5001,F$149,BD!$A$3:$A$5001,"&gt;="&amp;$C$7,BD!$A$3:$A$5001,"&lt;="&amp;$B168,BD!$M$3:$M$5001,"&lt;&gt;")=0,"",SUMIFS(BD!$M$3:$M$5001,BD!$B$3:$B$5001,F$149,BD!$A$3:$A$5001,_xlfn.MAXIFS(BD!$A$3:$A$5001,BD!$B$3:$B$5001,F$149,BD!$A$3:$A$5001,"&gt;="&amp;$C$7,BD!$A$3:$A$5001,"&lt;="&amp;$B168,BD!$M$3:$M$5001,"&lt;&gt;"))))</f>
        <v/>
      </c>
      <c r="G168" s="42" t="str">
        <f>IF(OR($B168="",$A168&gt;$B$9),"",IF(COUNTIFS(BD!$B$3:$B$5001,G$149,BD!$A$3:$A$5001,"&gt;="&amp;$C$7,BD!$A$3:$A$5001,"&lt;="&amp;$B168,BD!$M$3:$M$5001,"&lt;&gt;")=0,"",SUMIFS(BD!$M$3:$M$5001,BD!$B$3:$B$5001,G$149,BD!$A$3:$A$5001,_xlfn.MAXIFS(BD!$A$3:$A$5001,BD!$B$3:$B$5001,G$149,BD!$A$3:$A$5001,"&gt;="&amp;$C$7,BD!$A$3:$A$5001,"&lt;="&amp;$B168,BD!$M$3:$M$5001,"&lt;&gt;"))))</f>
        <v/>
      </c>
    </row>
    <row r="169">
      <c r="A169" s="40">
        <v>20</v>
      </c>
      <c r="B169" s="41">
        <f>$B$31</f>
        <v>46315</v>
      </c>
      <c r="C169" s="42" t="str">
        <f>IF(OR($B169="",$A169&gt;$B$9),"",IF(COUNTIFS(BD!$B$3:$B$5001,C$149,BD!$A$3:$A$5001,"&gt;="&amp;$C$7,BD!$A$3:$A$5001,"&lt;="&amp;$B169,BD!$M$3:$M$5001,"&lt;&gt;")=0,"",SUMIFS(BD!$M$3:$M$5001,BD!$B$3:$B$5001,C$149,BD!$A$3:$A$5001,_xlfn.MAXIFS(BD!$A$3:$A$5001,BD!$B$3:$B$5001,C$149,BD!$A$3:$A$5001,"&gt;="&amp;$C$7,BD!$A$3:$A$5001,"&lt;="&amp;$B169,BD!$M$3:$M$5001,"&lt;&gt;"))))</f>
        <v/>
      </c>
      <c r="D169" s="42" t="str">
        <f>IF(OR($B169="",$A169&gt;$B$9),"",IF(COUNTIFS(BD!$B$3:$B$5001,D$149,BD!$A$3:$A$5001,"&gt;="&amp;$C$7,BD!$A$3:$A$5001,"&lt;="&amp;$B169,BD!$M$3:$M$5001,"&lt;&gt;")=0,"",SUMIFS(BD!$M$3:$M$5001,BD!$B$3:$B$5001,D$149,BD!$A$3:$A$5001,_xlfn.MAXIFS(BD!$A$3:$A$5001,BD!$B$3:$B$5001,D$149,BD!$A$3:$A$5001,"&gt;="&amp;$C$7,BD!$A$3:$A$5001,"&lt;="&amp;$B169,BD!$M$3:$M$5001,"&lt;&gt;"))))</f>
        <v/>
      </c>
      <c r="E169" s="42" t="str">
        <f>IF(OR($B169="",$A169&gt;$B$9),"",IF(COUNTIFS(BD!$B$3:$B$5001,E$149,BD!$A$3:$A$5001,"&gt;="&amp;$C$7,BD!$A$3:$A$5001,"&lt;="&amp;$B169,BD!$M$3:$M$5001,"&lt;&gt;")=0,"",SUMIFS(BD!$M$3:$M$5001,BD!$B$3:$B$5001,E$149,BD!$A$3:$A$5001,_xlfn.MAXIFS(BD!$A$3:$A$5001,BD!$B$3:$B$5001,E$149,BD!$A$3:$A$5001,"&gt;="&amp;$C$7,BD!$A$3:$A$5001,"&lt;="&amp;$B169,BD!$M$3:$M$5001,"&lt;&gt;"))))</f>
        <v/>
      </c>
      <c r="F169" s="42" t="str">
        <f>IF(OR($B169="",$A169&gt;$B$9),"",IF(COUNTIFS(BD!$B$3:$B$5001,F$149,BD!$A$3:$A$5001,"&gt;="&amp;$C$7,BD!$A$3:$A$5001,"&lt;="&amp;$B169,BD!$M$3:$M$5001,"&lt;&gt;")=0,"",SUMIFS(BD!$M$3:$M$5001,BD!$B$3:$B$5001,F$149,BD!$A$3:$A$5001,_xlfn.MAXIFS(BD!$A$3:$A$5001,BD!$B$3:$B$5001,F$149,BD!$A$3:$A$5001,"&gt;="&amp;$C$7,BD!$A$3:$A$5001,"&lt;="&amp;$B169,BD!$M$3:$M$5001,"&lt;&gt;"))))</f>
        <v/>
      </c>
      <c r="G169" s="42" t="str">
        <f>IF(OR($B169="",$A169&gt;$B$9),"",IF(COUNTIFS(BD!$B$3:$B$5001,G$149,BD!$A$3:$A$5001,"&gt;="&amp;$C$7,BD!$A$3:$A$5001,"&lt;="&amp;$B169,BD!$M$3:$M$5001,"&lt;&gt;")=0,"",SUMIFS(BD!$M$3:$M$5001,BD!$B$3:$B$5001,G$149,BD!$A$3:$A$5001,_xlfn.MAXIFS(BD!$A$3:$A$5001,BD!$B$3:$B$5001,G$149,BD!$A$3:$A$5001,"&gt;="&amp;$C$7,BD!$A$3:$A$5001,"&lt;="&amp;$B169,BD!$M$3:$M$5001,"&lt;&gt;"))))</f>
        <v/>
      </c>
    </row>
    <row r="170">
      <c r="A170" s="40">
        <v>21</v>
      </c>
      <c r="B170" s="41">
        <f>$B$32</f>
        <v>46316</v>
      </c>
      <c r="C170" s="42" t="str">
        <f>IF(OR($B170="",$A170&gt;$B$9),"",IF(COUNTIFS(BD!$B$3:$B$5001,C$149,BD!$A$3:$A$5001,"&gt;="&amp;$C$7,BD!$A$3:$A$5001,"&lt;="&amp;$B170,BD!$M$3:$M$5001,"&lt;&gt;")=0,"",SUMIFS(BD!$M$3:$M$5001,BD!$B$3:$B$5001,C$149,BD!$A$3:$A$5001,_xlfn.MAXIFS(BD!$A$3:$A$5001,BD!$B$3:$B$5001,C$149,BD!$A$3:$A$5001,"&gt;="&amp;$C$7,BD!$A$3:$A$5001,"&lt;="&amp;$B170,BD!$M$3:$M$5001,"&lt;&gt;"))))</f>
        <v/>
      </c>
      <c r="D170" s="42" t="str">
        <f>IF(OR($B170="",$A170&gt;$B$9),"",IF(COUNTIFS(BD!$B$3:$B$5001,D$149,BD!$A$3:$A$5001,"&gt;="&amp;$C$7,BD!$A$3:$A$5001,"&lt;="&amp;$B170,BD!$M$3:$M$5001,"&lt;&gt;")=0,"",SUMIFS(BD!$M$3:$M$5001,BD!$B$3:$B$5001,D$149,BD!$A$3:$A$5001,_xlfn.MAXIFS(BD!$A$3:$A$5001,BD!$B$3:$B$5001,D$149,BD!$A$3:$A$5001,"&gt;="&amp;$C$7,BD!$A$3:$A$5001,"&lt;="&amp;$B170,BD!$M$3:$M$5001,"&lt;&gt;"))))</f>
        <v/>
      </c>
      <c r="E170" s="42" t="str">
        <f>IF(OR($B170="",$A170&gt;$B$9),"",IF(COUNTIFS(BD!$B$3:$B$5001,E$149,BD!$A$3:$A$5001,"&gt;="&amp;$C$7,BD!$A$3:$A$5001,"&lt;="&amp;$B170,BD!$M$3:$M$5001,"&lt;&gt;")=0,"",SUMIFS(BD!$M$3:$M$5001,BD!$B$3:$B$5001,E$149,BD!$A$3:$A$5001,_xlfn.MAXIFS(BD!$A$3:$A$5001,BD!$B$3:$B$5001,E$149,BD!$A$3:$A$5001,"&gt;="&amp;$C$7,BD!$A$3:$A$5001,"&lt;="&amp;$B170,BD!$M$3:$M$5001,"&lt;&gt;"))))</f>
        <v/>
      </c>
      <c r="F170" s="42" t="str">
        <f>IF(OR($B170="",$A170&gt;$B$9),"",IF(COUNTIFS(BD!$B$3:$B$5001,F$149,BD!$A$3:$A$5001,"&gt;="&amp;$C$7,BD!$A$3:$A$5001,"&lt;="&amp;$B170,BD!$M$3:$M$5001,"&lt;&gt;")=0,"",SUMIFS(BD!$M$3:$M$5001,BD!$B$3:$B$5001,F$149,BD!$A$3:$A$5001,_xlfn.MAXIFS(BD!$A$3:$A$5001,BD!$B$3:$B$5001,F$149,BD!$A$3:$A$5001,"&gt;="&amp;$C$7,BD!$A$3:$A$5001,"&lt;="&amp;$B170,BD!$M$3:$M$5001,"&lt;&gt;"))))</f>
        <v/>
      </c>
      <c r="G170" s="42" t="str">
        <f>IF(OR($B170="",$A170&gt;$B$9),"",IF(COUNTIFS(BD!$B$3:$B$5001,G$149,BD!$A$3:$A$5001,"&gt;="&amp;$C$7,BD!$A$3:$A$5001,"&lt;="&amp;$B170,BD!$M$3:$M$5001,"&lt;&gt;")=0,"",SUMIFS(BD!$M$3:$M$5001,BD!$B$3:$B$5001,G$149,BD!$A$3:$A$5001,_xlfn.MAXIFS(BD!$A$3:$A$5001,BD!$B$3:$B$5001,G$149,BD!$A$3:$A$5001,"&gt;="&amp;$C$7,BD!$A$3:$A$5001,"&lt;="&amp;$B170,BD!$M$3:$M$5001,"&lt;&gt;"))))</f>
        <v/>
      </c>
    </row>
    <row r="171">
      <c r="A171" s="40">
        <v>22</v>
      </c>
      <c r="B171" s="41">
        <f>$B$33</f>
        <v>46317</v>
      </c>
      <c r="C171" s="42" t="str">
        <f>IF(OR($B171="",$A171&gt;$B$9),"",IF(COUNTIFS(BD!$B$3:$B$5001,C$149,BD!$A$3:$A$5001,"&gt;="&amp;$C$7,BD!$A$3:$A$5001,"&lt;="&amp;$B171,BD!$M$3:$M$5001,"&lt;&gt;")=0,"",SUMIFS(BD!$M$3:$M$5001,BD!$B$3:$B$5001,C$149,BD!$A$3:$A$5001,_xlfn.MAXIFS(BD!$A$3:$A$5001,BD!$B$3:$B$5001,C$149,BD!$A$3:$A$5001,"&gt;="&amp;$C$7,BD!$A$3:$A$5001,"&lt;="&amp;$B171,BD!$M$3:$M$5001,"&lt;&gt;"))))</f>
        <v/>
      </c>
      <c r="D171" s="42" t="str">
        <f>IF(OR($B171="",$A171&gt;$B$9),"",IF(COUNTIFS(BD!$B$3:$B$5001,D$149,BD!$A$3:$A$5001,"&gt;="&amp;$C$7,BD!$A$3:$A$5001,"&lt;="&amp;$B171,BD!$M$3:$M$5001,"&lt;&gt;")=0,"",SUMIFS(BD!$M$3:$M$5001,BD!$B$3:$B$5001,D$149,BD!$A$3:$A$5001,_xlfn.MAXIFS(BD!$A$3:$A$5001,BD!$B$3:$B$5001,D$149,BD!$A$3:$A$5001,"&gt;="&amp;$C$7,BD!$A$3:$A$5001,"&lt;="&amp;$B171,BD!$M$3:$M$5001,"&lt;&gt;"))))</f>
        <v/>
      </c>
      <c r="E171" s="42" t="str">
        <f>IF(OR($B171="",$A171&gt;$B$9),"",IF(COUNTIFS(BD!$B$3:$B$5001,E$149,BD!$A$3:$A$5001,"&gt;="&amp;$C$7,BD!$A$3:$A$5001,"&lt;="&amp;$B171,BD!$M$3:$M$5001,"&lt;&gt;")=0,"",SUMIFS(BD!$M$3:$M$5001,BD!$B$3:$B$5001,E$149,BD!$A$3:$A$5001,_xlfn.MAXIFS(BD!$A$3:$A$5001,BD!$B$3:$B$5001,E$149,BD!$A$3:$A$5001,"&gt;="&amp;$C$7,BD!$A$3:$A$5001,"&lt;="&amp;$B171,BD!$M$3:$M$5001,"&lt;&gt;"))))</f>
        <v/>
      </c>
      <c r="F171" s="42" t="str">
        <f>IF(OR($B171="",$A171&gt;$B$9),"",IF(COUNTIFS(BD!$B$3:$B$5001,F$149,BD!$A$3:$A$5001,"&gt;="&amp;$C$7,BD!$A$3:$A$5001,"&lt;="&amp;$B171,BD!$M$3:$M$5001,"&lt;&gt;")=0,"",SUMIFS(BD!$M$3:$M$5001,BD!$B$3:$B$5001,F$149,BD!$A$3:$A$5001,_xlfn.MAXIFS(BD!$A$3:$A$5001,BD!$B$3:$B$5001,F$149,BD!$A$3:$A$5001,"&gt;="&amp;$C$7,BD!$A$3:$A$5001,"&lt;="&amp;$B171,BD!$M$3:$M$5001,"&lt;&gt;"))))</f>
        <v/>
      </c>
      <c r="G171" s="42" t="str">
        <f>IF(OR($B171="",$A171&gt;$B$9),"",IF(COUNTIFS(BD!$B$3:$B$5001,G$149,BD!$A$3:$A$5001,"&gt;="&amp;$C$7,BD!$A$3:$A$5001,"&lt;="&amp;$B171,BD!$M$3:$M$5001,"&lt;&gt;")=0,"",SUMIFS(BD!$M$3:$M$5001,BD!$B$3:$B$5001,G$149,BD!$A$3:$A$5001,_xlfn.MAXIFS(BD!$A$3:$A$5001,BD!$B$3:$B$5001,G$149,BD!$A$3:$A$5001,"&gt;="&amp;$C$7,BD!$A$3:$A$5001,"&lt;="&amp;$B171,BD!$M$3:$M$5001,"&lt;&gt;"))))</f>
        <v/>
      </c>
    </row>
    <row r="172">
      <c r="A172" s="40">
        <v>23</v>
      </c>
      <c r="B172" s="41">
        <f>$B$34</f>
        <v>46318</v>
      </c>
      <c r="C172" s="42" t="str">
        <f>IF(OR($B172="",$A172&gt;$B$9),"",IF(COUNTIFS(BD!$B$3:$B$5001,C$149,BD!$A$3:$A$5001,"&gt;="&amp;$C$7,BD!$A$3:$A$5001,"&lt;="&amp;$B172,BD!$M$3:$M$5001,"&lt;&gt;")=0,"",SUMIFS(BD!$M$3:$M$5001,BD!$B$3:$B$5001,C$149,BD!$A$3:$A$5001,_xlfn.MAXIFS(BD!$A$3:$A$5001,BD!$B$3:$B$5001,C$149,BD!$A$3:$A$5001,"&gt;="&amp;$C$7,BD!$A$3:$A$5001,"&lt;="&amp;$B172,BD!$M$3:$M$5001,"&lt;&gt;"))))</f>
        <v/>
      </c>
      <c r="D172" s="42" t="str">
        <f>IF(OR($B172="",$A172&gt;$B$9),"",IF(COUNTIFS(BD!$B$3:$B$5001,D$149,BD!$A$3:$A$5001,"&gt;="&amp;$C$7,BD!$A$3:$A$5001,"&lt;="&amp;$B172,BD!$M$3:$M$5001,"&lt;&gt;")=0,"",SUMIFS(BD!$M$3:$M$5001,BD!$B$3:$B$5001,D$149,BD!$A$3:$A$5001,_xlfn.MAXIFS(BD!$A$3:$A$5001,BD!$B$3:$B$5001,D$149,BD!$A$3:$A$5001,"&gt;="&amp;$C$7,BD!$A$3:$A$5001,"&lt;="&amp;$B172,BD!$M$3:$M$5001,"&lt;&gt;"))))</f>
        <v/>
      </c>
      <c r="E172" s="42" t="str">
        <f>IF(OR($B172="",$A172&gt;$B$9),"",IF(COUNTIFS(BD!$B$3:$B$5001,E$149,BD!$A$3:$A$5001,"&gt;="&amp;$C$7,BD!$A$3:$A$5001,"&lt;="&amp;$B172,BD!$M$3:$M$5001,"&lt;&gt;")=0,"",SUMIFS(BD!$M$3:$M$5001,BD!$B$3:$B$5001,E$149,BD!$A$3:$A$5001,_xlfn.MAXIFS(BD!$A$3:$A$5001,BD!$B$3:$B$5001,E$149,BD!$A$3:$A$5001,"&gt;="&amp;$C$7,BD!$A$3:$A$5001,"&lt;="&amp;$B172,BD!$M$3:$M$5001,"&lt;&gt;"))))</f>
        <v/>
      </c>
      <c r="F172" s="42" t="str">
        <f>IF(OR($B172="",$A172&gt;$B$9),"",IF(COUNTIFS(BD!$B$3:$B$5001,F$149,BD!$A$3:$A$5001,"&gt;="&amp;$C$7,BD!$A$3:$A$5001,"&lt;="&amp;$B172,BD!$M$3:$M$5001,"&lt;&gt;")=0,"",SUMIFS(BD!$M$3:$M$5001,BD!$B$3:$B$5001,F$149,BD!$A$3:$A$5001,_xlfn.MAXIFS(BD!$A$3:$A$5001,BD!$B$3:$B$5001,F$149,BD!$A$3:$A$5001,"&gt;="&amp;$C$7,BD!$A$3:$A$5001,"&lt;="&amp;$B172,BD!$M$3:$M$5001,"&lt;&gt;"))))</f>
        <v/>
      </c>
      <c r="G172" s="42" t="str">
        <f>IF(OR($B172="",$A172&gt;$B$9),"",IF(COUNTIFS(BD!$B$3:$B$5001,G$149,BD!$A$3:$A$5001,"&gt;="&amp;$C$7,BD!$A$3:$A$5001,"&lt;="&amp;$B172,BD!$M$3:$M$5001,"&lt;&gt;")=0,"",SUMIFS(BD!$M$3:$M$5001,BD!$B$3:$B$5001,G$149,BD!$A$3:$A$5001,_xlfn.MAXIFS(BD!$A$3:$A$5001,BD!$B$3:$B$5001,G$149,BD!$A$3:$A$5001,"&gt;="&amp;$C$7,BD!$A$3:$A$5001,"&lt;="&amp;$B172,BD!$M$3:$M$5001,"&lt;&gt;"))))</f>
        <v/>
      </c>
    </row>
    <row r="173">
      <c r="A173" s="40">
        <v>24</v>
      </c>
      <c r="B173" s="41">
        <f>$B$35</f>
        <v>46319</v>
      </c>
      <c r="C173" s="42" t="str">
        <f>IF(OR($B173="",$A173&gt;$B$9),"",IF(COUNTIFS(BD!$B$3:$B$5001,C$149,BD!$A$3:$A$5001,"&gt;="&amp;$C$7,BD!$A$3:$A$5001,"&lt;="&amp;$B173,BD!$M$3:$M$5001,"&lt;&gt;")=0,"",SUMIFS(BD!$M$3:$M$5001,BD!$B$3:$B$5001,C$149,BD!$A$3:$A$5001,_xlfn.MAXIFS(BD!$A$3:$A$5001,BD!$B$3:$B$5001,C$149,BD!$A$3:$A$5001,"&gt;="&amp;$C$7,BD!$A$3:$A$5001,"&lt;="&amp;$B173,BD!$M$3:$M$5001,"&lt;&gt;"))))</f>
        <v/>
      </c>
      <c r="D173" s="42" t="str">
        <f>IF(OR($B173="",$A173&gt;$B$9),"",IF(COUNTIFS(BD!$B$3:$B$5001,D$149,BD!$A$3:$A$5001,"&gt;="&amp;$C$7,BD!$A$3:$A$5001,"&lt;="&amp;$B173,BD!$M$3:$M$5001,"&lt;&gt;")=0,"",SUMIFS(BD!$M$3:$M$5001,BD!$B$3:$B$5001,D$149,BD!$A$3:$A$5001,_xlfn.MAXIFS(BD!$A$3:$A$5001,BD!$B$3:$B$5001,D$149,BD!$A$3:$A$5001,"&gt;="&amp;$C$7,BD!$A$3:$A$5001,"&lt;="&amp;$B173,BD!$M$3:$M$5001,"&lt;&gt;"))))</f>
        <v/>
      </c>
      <c r="E173" s="42" t="str">
        <f>IF(OR($B173="",$A173&gt;$B$9),"",IF(COUNTIFS(BD!$B$3:$B$5001,E$149,BD!$A$3:$A$5001,"&gt;="&amp;$C$7,BD!$A$3:$A$5001,"&lt;="&amp;$B173,BD!$M$3:$M$5001,"&lt;&gt;")=0,"",SUMIFS(BD!$M$3:$M$5001,BD!$B$3:$B$5001,E$149,BD!$A$3:$A$5001,_xlfn.MAXIFS(BD!$A$3:$A$5001,BD!$B$3:$B$5001,E$149,BD!$A$3:$A$5001,"&gt;="&amp;$C$7,BD!$A$3:$A$5001,"&lt;="&amp;$B173,BD!$M$3:$M$5001,"&lt;&gt;"))))</f>
        <v/>
      </c>
      <c r="F173" s="42" t="str">
        <f>IF(OR($B173="",$A173&gt;$B$9),"",IF(COUNTIFS(BD!$B$3:$B$5001,F$149,BD!$A$3:$A$5001,"&gt;="&amp;$C$7,BD!$A$3:$A$5001,"&lt;="&amp;$B173,BD!$M$3:$M$5001,"&lt;&gt;")=0,"",SUMIFS(BD!$M$3:$M$5001,BD!$B$3:$B$5001,F$149,BD!$A$3:$A$5001,_xlfn.MAXIFS(BD!$A$3:$A$5001,BD!$B$3:$B$5001,F$149,BD!$A$3:$A$5001,"&gt;="&amp;$C$7,BD!$A$3:$A$5001,"&lt;="&amp;$B173,BD!$M$3:$M$5001,"&lt;&gt;"))))</f>
        <v/>
      </c>
      <c r="G173" s="42" t="str">
        <f>IF(OR($B173="",$A173&gt;$B$9),"",IF(COUNTIFS(BD!$B$3:$B$5001,G$149,BD!$A$3:$A$5001,"&gt;="&amp;$C$7,BD!$A$3:$A$5001,"&lt;="&amp;$B173,BD!$M$3:$M$5001,"&lt;&gt;")=0,"",SUMIFS(BD!$M$3:$M$5001,BD!$B$3:$B$5001,G$149,BD!$A$3:$A$5001,_xlfn.MAXIFS(BD!$A$3:$A$5001,BD!$B$3:$B$5001,G$149,BD!$A$3:$A$5001,"&gt;="&amp;$C$7,BD!$A$3:$A$5001,"&lt;="&amp;$B173,BD!$M$3:$M$5001,"&lt;&gt;"))))</f>
        <v/>
      </c>
    </row>
    <row r="174">
      <c r="A174" s="40">
        <v>25</v>
      </c>
      <c r="B174" s="41">
        <f>$B$36</f>
        <v>46320</v>
      </c>
      <c r="C174" s="42" t="str">
        <f>IF(OR($B174="",$A174&gt;$B$9),"",IF(COUNTIFS(BD!$B$3:$B$5001,C$149,BD!$A$3:$A$5001,"&gt;="&amp;$C$7,BD!$A$3:$A$5001,"&lt;="&amp;$B174,BD!$M$3:$M$5001,"&lt;&gt;")=0,"",SUMIFS(BD!$M$3:$M$5001,BD!$B$3:$B$5001,C$149,BD!$A$3:$A$5001,_xlfn.MAXIFS(BD!$A$3:$A$5001,BD!$B$3:$B$5001,C$149,BD!$A$3:$A$5001,"&gt;="&amp;$C$7,BD!$A$3:$A$5001,"&lt;="&amp;$B174,BD!$M$3:$M$5001,"&lt;&gt;"))))</f>
        <v/>
      </c>
      <c r="D174" s="42" t="str">
        <f>IF(OR($B174="",$A174&gt;$B$9),"",IF(COUNTIFS(BD!$B$3:$B$5001,D$149,BD!$A$3:$A$5001,"&gt;="&amp;$C$7,BD!$A$3:$A$5001,"&lt;="&amp;$B174,BD!$M$3:$M$5001,"&lt;&gt;")=0,"",SUMIFS(BD!$M$3:$M$5001,BD!$B$3:$B$5001,D$149,BD!$A$3:$A$5001,_xlfn.MAXIFS(BD!$A$3:$A$5001,BD!$B$3:$B$5001,D$149,BD!$A$3:$A$5001,"&gt;="&amp;$C$7,BD!$A$3:$A$5001,"&lt;="&amp;$B174,BD!$M$3:$M$5001,"&lt;&gt;"))))</f>
        <v/>
      </c>
      <c r="E174" s="42" t="str">
        <f>IF(OR($B174="",$A174&gt;$B$9),"",IF(COUNTIFS(BD!$B$3:$B$5001,E$149,BD!$A$3:$A$5001,"&gt;="&amp;$C$7,BD!$A$3:$A$5001,"&lt;="&amp;$B174,BD!$M$3:$M$5001,"&lt;&gt;")=0,"",SUMIFS(BD!$M$3:$M$5001,BD!$B$3:$B$5001,E$149,BD!$A$3:$A$5001,_xlfn.MAXIFS(BD!$A$3:$A$5001,BD!$B$3:$B$5001,E$149,BD!$A$3:$A$5001,"&gt;="&amp;$C$7,BD!$A$3:$A$5001,"&lt;="&amp;$B174,BD!$M$3:$M$5001,"&lt;&gt;"))))</f>
        <v/>
      </c>
      <c r="F174" s="42" t="str">
        <f>IF(OR($B174="",$A174&gt;$B$9),"",IF(COUNTIFS(BD!$B$3:$B$5001,F$149,BD!$A$3:$A$5001,"&gt;="&amp;$C$7,BD!$A$3:$A$5001,"&lt;="&amp;$B174,BD!$M$3:$M$5001,"&lt;&gt;")=0,"",SUMIFS(BD!$M$3:$M$5001,BD!$B$3:$B$5001,F$149,BD!$A$3:$A$5001,_xlfn.MAXIFS(BD!$A$3:$A$5001,BD!$B$3:$B$5001,F$149,BD!$A$3:$A$5001,"&gt;="&amp;$C$7,BD!$A$3:$A$5001,"&lt;="&amp;$B174,BD!$M$3:$M$5001,"&lt;&gt;"))))</f>
        <v/>
      </c>
      <c r="G174" s="42" t="str">
        <f>IF(OR($B174="",$A174&gt;$B$9),"",IF(COUNTIFS(BD!$B$3:$B$5001,G$149,BD!$A$3:$A$5001,"&gt;="&amp;$C$7,BD!$A$3:$A$5001,"&lt;="&amp;$B174,BD!$M$3:$M$5001,"&lt;&gt;")=0,"",SUMIFS(BD!$M$3:$M$5001,BD!$B$3:$B$5001,G$149,BD!$A$3:$A$5001,_xlfn.MAXIFS(BD!$A$3:$A$5001,BD!$B$3:$B$5001,G$149,BD!$A$3:$A$5001,"&gt;="&amp;$C$7,BD!$A$3:$A$5001,"&lt;="&amp;$B174,BD!$M$3:$M$5001,"&lt;&gt;"))))</f>
        <v/>
      </c>
    </row>
    <row r="175">
      <c r="A175" s="40">
        <v>26</v>
      </c>
      <c r="B175" s="41">
        <f>$B$37</f>
        <v>46321</v>
      </c>
      <c r="C175" s="42" t="str">
        <f>IF(OR($B175="",$A175&gt;$B$9),"",IF(COUNTIFS(BD!$B$3:$B$5001,C$149,BD!$A$3:$A$5001,"&gt;="&amp;$C$7,BD!$A$3:$A$5001,"&lt;="&amp;$B175,BD!$M$3:$M$5001,"&lt;&gt;")=0,"",SUMIFS(BD!$M$3:$M$5001,BD!$B$3:$B$5001,C$149,BD!$A$3:$A$5001,_xlfn.MAXIFS(BD!$A$3:$A$5001,BD!$B$3:$B$5001,C$149,BD!$A$3:$A$5001,"&gt;="&amp;$C$7,BD!$A$3:$A$5001,"&lt;="&amp;$B175,BD!$M$3:$M$5001,"&lt;&gt;"))))</f>
        <v/>
      </c>
      <c r="D175" s="42" t="str">
        <f>IF(OR($B175="",$A175&gt;$B$9),"",IF(COUNTIFS(BD!$B$3:$B$5001,D$149,BD!$A$3:$A$5001,"&gt;="&amp;$C$7,BD!$A$3:$A$5001,"&lt;="&amp;$B175,BD!$M$3:$M$5001,"&lt;&gt;")=0,"",SUMIFS(BD!$M$3:$M$5001,BD!$B$3:$B$5001,D$149,BD!$A$3:$A$5001,_xlfn.MAXIFS(BD!$A$3:$A$5001,BD!$B$3:$B$5001,D$149,BD!$A$3:$A$5001,"&gt;="&amp;$C$7,BD!$A$3:$A$5001,"&lt;="&amp;$B175,BD!$M$3:$M$5001,"&lt;&gt;"))))</f>
        <v/>
      </c>
      <c r="E175" s="42" t="str">
        <f>IF(OR($B175="",$A175&gt;$B$9),"",IF(COUNTIFS(BD!$B$3:$B$5001,E$149,BD!$A$3:$A$5001,"&gt;="&amp;$C$7,BD!$A$3:$A$5001,"&lt;="&amp;$B175,BD!$M$3:$M$5001,"&lt;&gt;")=0,"",SUMIFS(BD!$M$3:$M$5001,BD!$B$3:$B$5001,E$149,BD!$A$3:$A$5001,_xlfn.MAXIFS(BD!$A$3:$A$5001,BD!$B$3:$B$5001,E$149,BD!$A$3:$A$5001,"&gt;="&amp;$C$7,BD!$A$3:$A$5001,"&lt;="&amp;$B175,BD!$M$3:$M$5001,"&lt;&gt;"))))</f>
        <v/>
      </c>
      <c r="F175" s="42" t="str">
        <f>IF(OR($B175="",$A175&gt;$B$9),"",IF(COUNTIFS(BD!$B$3:$B$5001,F$149,BD!$A$3:$A$5001,"&gt;="&amp;$C$7,BD!$A$3:$A$5001,"&lt;="&amp;$B175,BD!$M$3:$M$5001,"&lt;&gt;")=0,"",SUMIFS(BD!$M$3:$M$5001,BD!$B$3:$B$5001,F$149,BD!$A$3:$A$5001,_xlfn.MAXIFS(BD!$A$3:$A$5001,BD!$B$3:$B$5001,F$149,BD!$A$3:$A$5001,"&gt;="&amp;$C$7,BD!$A$3:$A$5001,"&lt;="&amp;$B175,BD!$M$3:$M$5001,"&lt;&gt;"))))</f>
        <v/>
      </c>
      <c r="G175" s="42" t="str">
        <f>IF(OR($B175="",$A175&gt;$B$9),"",IF(COUNTIFS(BD!$B$3:$B$5001,G$149,BD!$A$3:$A$5001,"&gt;="&amp;$C$7,BD!$A$3:$A$5001,"&lt;="&amp;$B175,BD!$M$3:$M$5001,"&lt;&gt;")=0,"",SUMIFS(BD!$M$3:$M$5001,BD!$B$3:$B$5001,G$149,BD!$A$3:$A$5001,_xlfn.MAXIFS(BD!$A$3:$A$5001,BD!$B$3:$B$5001,G$149,BD!$A$3:$A$5001,"&gt;="&amp;$C$7,BD!$A$3:$A$5001,"&lt;="&amp;$B175,BD!$M$3:$M$5001,"&lt;&gt;"))))</f>
        <v/>
      </c>
    </row>
    <row r="176">
      <c r="A176" s="40">
        <v>27</v>
      </c>
      <c r="B176" s="41">
        <f>$B$38</f>
        <v>46322</v>
      </c>
      <c r="C176" s="42" t="str">
        <f>IF(OR($B176="",$A176&gt;$B$9),"",IF(COUNTIFS(BD!$B$3:$B$5001,C$149,BD!$A$3:$A$5001,"&gt;="&amp;$C$7,BD!$A$3:$A$5001,"&lt;="&amp;$B176,BD!$M$3:$M$5001,"&lt;&gt;")=0,"",SUMIFS(BD!$M$3:$M$5001,BD!$B$3:$B$5001,C$149,BD!$A$3:$A$5001,_xlfn.MAXIFS(BD!$A$3:$A$5001,BD!$B$3:$B$5001,C$149,BD!$A$3:$A$5001,"&gt;="&amp;$C$7,BD!$A$3:$A$5001,"&lt;="&amp;$B176,BD!$M$3:$M$5001,"&lt;&gt;"))))</f>
        <v/>
      </c>
      <c r="D176" s="42" t="str">
        <f>IF(OR($B176="",$A176&gt;$B$9),"",IF(COUNTIFS(BD!$B$3:$B$5001,D$149,BD!$A$3:$A$5001,"&gt;="&amp;$C$7,BD!$A$3:$A$5001,"&lt;="&amp;$B176,BD!$M$3:$M$5001,"&lt;&gt;")=0,"",SUMIFS(BD!$M$3:$M$5001,BD!$B$3:$B$5001,D$149,BD!$A$3:$A$5001,_xlfn.MAXIFS(BD!$A$3:$A$5001,BD!$B$3:$B$5001,D$149,BD!$A$3:$A$5001,"&gt;="&amp;$C$7,BD!$A$3:$A$5001,"&lt;="&amp;$B176,BD!$M$3:$M$5001,"&lt;&gt;"))))</f>
        <v/>
      </c>
      <c r="E176" s="42" t="str">
        <f>IF(OR($B176="",$A176&gt;$B$9),"",IF(COUNTIFS(BD!$B$3:$B$5001,E$149,BD!$A$3:$A$5001,"&gt;="&amp;$C$7,BD!$A$3:$A$5001,"&lt;="&amp;$B176,BD!$M$3:$M$5001,"&lt;&gt;")=0,"",SUMIFS(BD!$M$3:$M$5001,BD!$B$3:$B$5001,E$149,BD!$A$3:$A$5001,_xlfn.MAXIFS(BD!$A$3:$A$5001,BD!$B$3:$B$5001,E$149,BD!$A$3:$A$5001,"&gt;="&amp;$C$7,BD!$A$3:$A$5001,"&lt;="&amp;$B176,BD!$M$3:$M$5001,"&lt;&gt;"))))</f>
        <v/>
      </c>
      <c r="F176" s="42" t="str">
        <f>IF(OR($B176="",$A176&gt;$B$9),"",IF(COUNTIFS(BD!$B$3:$B$5001,F$149,BD!$A$3:$A$5001,"&gt;="&amp;$C$7,BD!$A$3:$A$5001,"&lt;="&amp;$B176,BD!$M$3:$M$5001,"&lt;&gt;")=0,"",SUMIFS(BD!$M$3:$M$5001,BD!$B$3:$B$5001,F$149,BD!$A$3:$A$5001,_xlfn.MAXIFS(BD!$A$3:$A$5001,BD!$B$3:$B$5001,F$149,BD!$A$3:$A$5001,"&gt;="&amp;$C$7,BD!$A$3:$A$5001,"&lt;="&amp;$B176,BD!$M$3:$M$5001,"&lt;&gt;"))))</f>
        <v/>
      </c>
      <c r="G176" s="42" t="str">
        <f>IF(OR($B176="",$A176&gt;$B$9),"",IF(COUNTIFS(BD!$B$3:$B$5001,G$149,BD!$A$3:$A$5001,"&gt;="&amp;$C$7,BD!$A$3:$A$5001,"&lt;="&amp;$B176,BD!$M$3:$M$5001,"&lt;&gt;")=0,"",SUMIFS(BD!$M$3:$M$5001,BD!$B$3:$B$5001,G$149,BD!$A$3:$A$5001,_xlfn.MAXIFS(BD!$A$3:$A$5001,BD!$B$3:$B$5001,G$149,BD!$A$3:$A$5001,"&gt;="&amp;$C$7,BD!$A$3:$A$5001,"&lt;="&amp;$B176,BD!$M$3:$M$5001,"&lt;&gt;"))))</f>
        <v/>
      </c>
    </row>
    <row r="177">
      <c r="A177" s="40">
        <v>28</v>
      </c>
      <c r="B177" s="41">
        <f>$B$39</f>
        <v>46323</v>
      </c>
      <c r="C177" s="42" t="str">
        <f>IF(OR($B177="",$A177&gt;$B$9),"",IF(COUNTIFS(BD!$B$3:$B$5001,C$149,BD!$A$3:$A$5001,"&gt;="&amp;$C$7,BD!$A$3:$A$5001,"&lt;="&amp;$B177,BD!$M$3:$M$5001,"&lt;&gt;")=0,"",SUMIFS(BD!$M$3:$M$5001,BD!$B$3:$B$5001,C$149,BD!$A$3:$A$5001,_xlfn.MAXIFS(BD!$A$3:$A$5001,BD!$B$3:$B$5001,C$149,BD!$A$3:$A$5001,"&gt;="&amp;$C$7,BD!$A$3:$A$5001,"&lt;="&amp;$B177,BD!$M$3:$M$5001,"&lt;&gt;"))))</f>
        <v/>
      </c>
      <c r="D177" s="42" t="str">
        <f>IF(OR($B177="",$A177&gt;$B$9),"",IF(COUNTIFS(BD!$B$3:$B$5001,D$149,BD!$A$3:$A$5001,"&gt;="&amp;$C$7,BD!$A$3:$A$5001,"&lt;="&amp;$B177,BD!$M$3:$M$5001,"&lt;&gt;")=0,"",SUMIFS(BD!$M$3:$M$5001,BD!$B$3:$B$5001,D$149,BD!$A$3:$A$5001,_xlfn.MAXIFS(BD!$A$3:$A$5001,BD!$B$3:$B$5001,D$149,BD!$A$3:$A$5001,"&gt;="&amp;$C$7,BD!$A$3:$A$5001,"&lt;="&amp;$B177,BD!$M$3:$M$5001,"&lt;&gt;"))))</f>
        <v/>
      </c>
      <c r="E177" s="42" t="str">
        <f>IF(OR($B177="",$A177&gt;$B$9),"",IF(COUNTIFS(BD!$B$3:$B$5001,E$149,BD!$A$3:$A$5001,"&gt;="&amp;$C$7,BD!$A$3:$A$5001,"&lt;="&amp;$B177,BD!$M$3:$M$5001,"&lt;&gt;")=0,"",SUMIFS(BD!$M$3:$M$5001,BD!$B$3:$B$5001,E$149,BD!$A$3:$A$5001,_xlfn.MAXIFS(BD!$A$3:$A$5001,BD!$B$3:$B$5001,E$149,BD!$A$3:$A$5001,"&gt;="&amp;$C$7,BD!$A$3:$A$5001,"&lt;="&amp;$B177,BD!$M$3:$M$5001,"&lt;&gt;"))))</f>
        <v/>
      </c>
      <c r="F177" s="42" t="str">
        <f>IF(OR($B177="",$A177&gt;$B$9),"",IF(COUNTIFS(BD!$B$3:$B$5001,F$149,BD!$A$3:$A$5001,"&gt;="&amp;$C$7,BD!$A$3:$A$5001,"&lt;="&amp;$B177,BD!$M$3:$M$5001,"&lt;&gt;")=0,"",SUMIFS(BD!$M$3:$M$5001,BD!$B$3:$B$5001,F$149,BD!$A$3:$A$5001,_xlfn.MAXIFS(BD!$A$3:$A$5001,BD!$B$3:$B$5001,F$149,BD!$A$3:$A$5001,"&gt;="&amp;$C$7,BD!$A$3:$A$5001,"&lt;="&amp;$B177,BD!$M$3:$M$5001,"&lt;&gt;"))))</f>
        <v/>
      </c>
      <c r="G177" s="42" t="str">
        <f>IF(OR($B177="",$A177&gt;$B$9),"",IF(COUNTIFS(BD!$B$3:$B$5001,G$149,BD!$A$3:$A$5001,"&gt;="&amp;$C$7,BD!$A$3:$A$5001,"&lt;="&amp;$B177,BD!$M$3:$M$5001,"&lt;&gt;")=0,"",SUMIFS(BD!$M$3:$M$5001,BD!$B$3:$B$5001,G$149,BD!$A$3:$A$5001,_xlfn.MAXIFS(BD!$A$3:$A$5001,BD!$B$3:$B$5001,G$149,BD!$A$3:$A$5001,"&gt;="&amp;$C$7,BD!$A$3:$A$5001,"&lt;="&amp;$B177,BD!$M$3:$M$5001,"&lt;&gt;"))))</f>
        <v/>
      </c>
    </row>
    <row r="178">
      <c r="A178" s="40">
        <v>29</v>
      </c>
      <c r="B178" s="41">
        <f>$B$40</f>
        <v>46324</v>
      </c>
      <c r="C178" s="42" t="str">
        <f>IF(OR($B178="",$A178&gt;$B$9),"",IF(COUNTIFS(BD!$B$3:$B$5001,C$149,BD!$A$3:$A$5001,"&gt;="&amp;$C$7,BD!$A$3:$A$5001,"&lt;="&amp;$B178,BD!$M$3:$M$5001,"&lt;&gt;")=0,"",SUMIFS(BD!$M$3:$M$5001,BD!$B$3:$B$5001,C$149,BD!$A$3:$A$5001,_xlfn.MAXIFS(BD!$A$3:$A$5001,BD!$B$3:$B$5001,C$149,BD!$A$3:$A$5001,"&gt;="&amp;$C$7,BD!$A$3:$A$5001,"&lt;="&amp;$B178,BD!$M$3:$M$5001,"&lt;&gt;"))))</f>
        <v/>
      </c>
      <c r="D178" s="42" t="str">
        <f>IF(OR($B178="",$A178&gt;$B$9),"",IF(COUNTIFS(BD!$B$3:$B$5001,D$149,BD!$A$3:$A$5001,"&gt;="&amp;$C$7,BD!$A$3:$A$5001,"&lt;="&amp;$B178,BD!$M$3:$M$5001,"&lt;&gt;")=0,"",SUMIFS(BD!$M$3:$M$5001,BD!$B$3:$B$5001,D$149,BD!$A$3:$A$5001,_xlfn.MAXIFS(BD!$A$3:$A$5001,BD!$B$3:$B$5001,D$149,BD!$A$3:$A$5001,"&gt;="&amp;$C$7,BD!$A$3:$A$5001,"&lt;="&amp;$B178,BD!$M$3:$M$5001,"&lt;&gt;"))))</f>
        <v/>
      </c>
      <c r="E178" s="42" t="str">
        <f>IF(OR($B178="",$A178&gt;$B$9),"",IF(COUNTIFS(BD!$B$3:$B$5001,E$149,BD!$A$3:$A$5001,"&gt;="&amp;$C$7,BD!$A$3:$A$5001,"&lt;="&amp;$B178,BD!$M$3:$M$5001,"&lt;&gt;")=0,"",SUMIFS(BD!$M$3:$M$5001,BD!$B$3:$B$5001,E$149,BD!$A$3:$A$5001,_xlfn.MAXIFS(BD!$A$3:$A$5001,BD!$B$3:$B$5001,E$149,BD!$A$3:$A$5001,"&gt;="&amp;$C$7,BD!$A$3:$A$5001,"&lt;="&amp;$B178,BD!$M$3:$M$5001,"&lt;&gt;"))))</f>
        <v/>
      </c>
      <c r="F178" s="42" t="str">
        <f>IF(OR($B178="",$A178&gt;$B$9),"",IF(COUNTIFS(BD!$B$3:$B$5001,F$149,BD!$A$3:$A$5001,"&gt;="&amp;$C$7,BD!$A$3:$A$5001,"&lt;="&amp;$B178,BD!$M$3:$M$5001,"&lt;&gt;")=0,"",SUMIFS(BD!$M$3:$M$5001,BD!$B$3:$B$5001,F$149,BD!$A$3:$A$5001,_xlfn.MAXIFS(BD!$A$3:$A$5001,BD!$B$3:$B$5001,F$149,BD!$A$3:$A$5001,"&gt;="&amp;$C$7,BD!$A$3:$A$5001,"&lt;="&amp;$B178,BD!$M$3:$M$5001,"&lt;&gt;"))))</f>
        <v/>
      </c>
      <c r="G178" s="42" t="str">
        <f>IF(OR($B178="",$A178&gt;$B$9),"",IF(COUNTIFS(BD!$B$3:$B$5001,G$149,BD!$A$3:$A$5001,"&gt;="&amp;$C$7,BD!$A$3:$A$5001,"&lt;="&amp;$B178,BD!$M$3:$M$5001,"&lt;&gt;")=0,"",SUMIFS(BD!$M$3:$M$5001,BD!$B$3:$B$5001,G$149,BD!$A$3:$A$5001,_xlfn.MAXIFS(BD!$A$3:$A$5001,BD!$B$3:$B$5001,G$149,BD!$A$3:$A$5001,"&gt;="&amp;$C$7,BD!$A$3:$A$5001,"&lt;="&amp;$B178,BD!$M$3:$M$5001,"&lt;&gt;"))))</f>
        <v/>
      </c>
    </row>
    <row r="179">
      <c r="A179" s="40">
        <v>30</v>
      </c>
      <c r="B179" s="41">
        <f>$B$41</f>
        <v>46325</v>
      </c>
      <c r="C179" s="42" t="str">
        <f>IF(OR($B179="",$A179&gt;$B$9),"",IF(COUNTIFS(BD!$B$3:$B$5001,C$149,BD!$A$3:$A$5001,"&gt;="&amp;$C$7,BD!$A$3:$A$5001,"&lt;="&amp;$B179,BD!$M$3:$M$5001,"&lt;&gt;")=0,"",SUMIFS(BD!$M$3:$M$5001,BD!$B$3:$B$5001,C$149,BD!$A$3:$A$5001,_xlfn.MAXIFS(BD!$A$3:$A$5001,BD!$B$3:$B$5001,C$149,BD!$A$3:$A$5001,"&gt;="&amp;$C$7,BD!$A$3:$A$5001,"&lt;="&amp;$B179,BD!$M$3:$M$5001,"&lt;&gt;"))))</f>
        <v/>
      </c>
      <c r="D179" s="42" t="str">
        <f>IF(OR($B179="",$A179&gt;$B$9),"",IF(COUNTIFS(BD!$B$3:$B$5001,D$149,BD!$A$3:$A$5001,"&gt;="&amp;$C$7,BD!$A$3:$A$5001,"&lt;="&amp;$B179,BD!$M$3:$M$5001,"&lt;&gt;")=0,"",SUMIFS(BD!$M$3:$M$5001,BD!$B$3:$B$5001,D$149,BD!$A$3:$A$5001,_xlfn.MAXIFS(BD!$A$3:$A$5001,BD!$B$3:$B$5001,D$149,BD!$A$3:$A$5001,"&gt;="&amp;$C$7,BD!$A$3:$A$5001,"&lt;="&amp;$B179,BD!$M$3:$M$5001,"&lt;&gt;"))))</f>
        <v/>
      </c>
      <c r="E179" s="42" t="str">
        <f>IF(OR($B179="",$A179&gt;$B$9),"",IF(COUNTIFS(BD!$B$3:$B$5001,E$149,BD!$A$3:$A$5001,"&gt;="&amp;$C$7,BD!$A$3:$A$5001,"&lt;="&amp;$B179,BD!$M$3:$M$5001,"&lt;&gt;")=0,"",SUMIFS(BD!$M$3:$M$5001,BD!$B$3:$B$5001,E$149,BD!$A$3:$A$5001,_xlfn.MAXIFS(BD!$A$3:$A$5001,BD!$B$3:$B$5001,E$149,BD!$A$3:$A$5001,"&gt;="&amp;$C$7,BD!$A$3:$A$5001,"&lt;="&amp;$B179,BD!$M$3:$M$5001,"&lt;&gt;"))))</f>
        <v/>
      </c>
      <c r="F179" s="42" t="str">
        <f>IF(OR($B179="",$A179&gt;$B$9),"",IF(COUNTIFS(BD!$B$3:$B$5001,F$149,BD!$A$3:$A$5001,"&gt;="&amp;$C$7,BD!$A$3:$A$5001,"&lt;="&amp;$B179,BD!$M$3:$M$5001,"&lt;&gt;")=0,"",SUMIFS(BD!$M$3:$M$5001,BD!$B$3:$B$5001,F$149,BD!$A$3:$A$5001,_xlfn.MAXIFS(BD!$A$3:$A$5001,BD!$B$3:$B$5001,F$149,BD!$A$3:$A$5001,"&gt;="&amp;$C$7,BD!$A$3:$A$5001,"&lt;="&amp;$B179,BD!$M$3:$M$5001,"&lt;&gt;"))))</f>
        <v/>
      </c>
      <c r="G179" s="42" t="str">
        <f>IF(OR($B179="",$A179&gt;$B$9),"",IF(COUNTIFS(BD!$B$3:$B$5001,G$149,BD!$A$3:$A$5001,"&gt;="&amp;$C$7,BD!$A$3:$A$5001,"&lt;="&amp;$B179,BD!$M$3:$M$5001,"&lt;&gt;")=0,"",SUMIFS(BD!$M$3:$M$5001,BD!$B$3:$B$5001,G$149,BD!$A$3:$A$5001,_xlfn.MAXIFS(BD!$A$3:$A$5001,BD!$B$3:$B$5001,G$149,BD!$A$3:$A$5001,"&gt;="&amp;$C$7,BD!$A$3:$A$5001,"&lt;="&amp;$B179,BD!$M$3:$M$5001,"&lt;&gt;"))))</f>
        <v/>
      </c>
    </row>
    <row r="180">
      <c r="A180" s="40">
        <v>31</v>
      </c>
      <c r="B180" s="41">
        <f>$B$42</f>
        <v>46326</v>
      </c>
      <c r="C180" s="42" t="str">
        <f>IF(OR($B180="",$A180&gt;$B$9),"",IF(COUNTIFS(BD!$B$3:$B$5001,C$149,BD!$A$3:$A$5001,"&gt;="&amp;$C$7,BD!$A$3:$A$5001,"&lt;="&amp;$B180,BD!$M$3:$M$5001,"&lt;&gt;")=0,"",SUMIFS(BD!$M$3:$M$5001,BD!$B$3:$B$5001,C$149,BD!$A$3:$A$5001,_xlfn.MAXIFS(BD!$A$3:$A$5001,BD!$B$3:$B$5001,C$149,BD!$A$3:$A$5001,"&gt;="&amp;$C$7,BD!$A$3:$A$5001,"&lt;="&amp;$B180,BD!$M$3:$M$5001,"&lt;&gt;"))))</f>
        <v/>
      </c>
      <c r="D180" s="42" t="str">
        <f>IF(OR($B180="",$A180&gt;$B$9),"",IF(COUNTIFS(BD!$B$3:$B$5001,D$149,BD!$A$3:$A$5001,"&gt;="&amp;$C$7,BD!$A$3:$A$5001,"&lt;="&amp;$B180,BD!$M$3:$M$5001,"&lt;&gt;")=0,"",SUMIFS(BD!$M$3:$M$5001,BD!$B$3:$B$5001,D$149,BD!$A$3:$A$5001,_xlfn.MAXIFS(BD!$A$3:$A$5001,BD!$B$3:$B$5001,D$149,BD!$A$3:$A$5001,"&gt;="&amp;$C$7,BD!$A$3:$A$5001,"&lt;="&amp;$B180,BD!$M$3:$M$5001,"&lt;&gt;"))))</f>
        <v/>
      </c>
      <c r="E180" s="42" t="str">
        <f>IF(OR($B180="",$A180&gt;$B$9),"",IF(COUNTIFS(BD!$B$3:$B$5001,E$149,BD!$A$3:$A$5001,"&gt;="&amp;$C$7,BD!$A$3:$A$5001,"&lt;="&amp;$B180,BD!$M$3:$M$5001,"&lt;&gt;")=0,"",SUMIFS(BD!$M$3:$M$5001,BD!$B$3:$B$5001,E$149,BD!$A$3:$A$5001,_xlfn.MAXIFS(BD!$A$3:$A$5001,BD!$B$3:$B$5001,E$149,BD!$A$3:$A$5001,"&gt;="&amp;$C$7,BD!$A$3:$A$5001,"&lt;="&amp;$B180,BD!$M$3:$M$5001,"&lt;&gt;"))))</f>
        <v/>
      </c>
      <c r="F180" s="42" t="str">
        <f>IF(OR($B180="",$A180&gt;$B$9),"",IF(COUNTIFS(BD!$B$3:$B$5001,F$149,BD!$A$3:$A$5001,"&gt;="&amp;$C$7,BD!$A$3:$A$5001,"&lt;="&amp;$B180,BD!$M$3:$M$5001,"&lt;&gt;")=0,"",SUMIFS(BD!$M$3:$M$5001,BD!$B$3:$B$5001,F$149,BD!$A$3:$A$5001,_xlfn.MAXIFS(BD!$A$3:$A$5001,BD!$B$3:$B$5001,F$149,BD!$A$3:$A$5001,"&gt;="&amp;$C$7,BD!$A$3:$A$5001,"&lt;="&amp;$B180,BD!$M$3:$M$5001,"&lt;&gt;"))))</f>
        <v/>
      </c>
      <c r="G180" s="42" t="str">
        <f>IF(OR($B180="",$A180&gt;$B$9),"",IF(COUNTIFS(BD!$B$3:$B$5001,G$149,BD!$A$3:$A$5001,"&gt;="&amp;$C$7,BD!$A$3:$A$5001,"&lt;="&amp;$B180,BD!$M$3:$M$5001,"&lt;&gt;")=0,"",SUMIFS(BD!$M$3:$M$5001,BD!$B$3:$B$5001,G$149,BD!$A$3:$A$5001,_xlfn.MAXIFS(BD!$A$3:$A$5001,BD!$B$3:$B$5001,G$149,BD!$A$3:$A$5001,"&gt;="&amp;$C$7,BD!$A$3:$A$5001,"&lt;="&amp;$B180,BD!$M$3:$M$5001,"&lt;&gt;"))))</f>
        <v/>
      </c>
    </row>
    <row r="181">
      <c r="A181" s="43" t="inlineStr">
        <is>
          <t xml:space="preserve">Mês anterior (último)</t>
        </is>
      </c>
      <c r="C181" s="44" t="str">
        <f>IF(COUNTIFS(BD!$B$3:$B$5001,C$149,BD!$A$3:$A$5001,"&gt;="&amp;$C$8,BD!$A$3:$A$5001,"&lt;="&amp;$D$8,BD!$M$3:$M$5001,"&lt;&gt;")=0,"",SUMIFS(BD!$M$3:$M$5001,BD!$B$3:$B$5001,C$149,BD!$A$3:$A$5001,_xlfn.MAXIFS(BD!$A$3:$A$5001,BD!$B$3:$B$5001,C$149,BD!$A$3:$A$5001,"&gt;="&amp;$C$8,BD!$A$3:$A$5001,"&lt;="&amp;$D$8,BD!$M$3:$M$5001,"&lt;&gt;")))</f>
        <v/>
      </c>
      <c r="D181" s="44" t="str">
        <f>IF(COUNTIFS(BD!$B$3:$B$5001,D$149,BD!$A$3:$A$5001,"&gt;="&amp;$C$8,BD!$A$3:$A$5001,"&lt;="&amp;$D$8,BD!$M$3:$M$5001,"&lt;&gt;")=0,"",SUMIFS(BD!$M$3:$M$5001,BD!$B$3:$B$5001,D$149,BD!$A$3:$A$5001,_xlfn.MAXIFS(BD!$A$3:$A$5001,BD!$B$3:$B$5001,D$149,BD!$A$3:$A$5001,"&gt;="&amp;$C$8,BD!$A$3:$A$5001,"&lt;="&amp;$D$8,BD!$M$3:$M$5001,"&lt;&gt;")))</f>
        <v/>
      </c>
      <c r="E181" s="44" t="str">
        <f>IF(COUNTIFS(BD!$B$3:$B$5001,E$149,BD!$A$3:$A$5001,"&gt;="&amp;$C$8,BD!$A$3:$A$5001,"&lt;="&amp;$D$8,BD!$M$3:$M$5001,"&lt;&gt;")=0,"",SUMIFS(BD!$M$3:$M$5001,BD!$B$3:$B$5001,E$149,BD!$A$3:$A$5001,_xlfn.MAXIFS(BD!$A$3:$A$5001,BD!$B$3:$B$5001,E$149,BD!$A$3:$A$5001,"&gt;="&amp;$C$8,BD!$A$3:$A$5001,"&lt;="&amp;$D$8,BD!$M$3:$M$5001,"&lt;&gt;")))</f>
        <v/>
      </c>
      <c r="F181" s="44" t="str">
        <f>IF(COUNTIFS(BD!$B$3:$B$5001,F$149,BD!$A$3:$A$5001,"&gt;="&amp;$C$8,BD!$A$3:$A$5001,"&lt;="&amp;$D$8,BD!$M$3:$M$5001,"&lt;&gt;")=0,"",SUMIFS(BD!$M$3:$M$5001,BD!$B$3:$B$5001,F$149,BD!$A$3:$A$5001,_xlfn.MAXIFS(BD!$A$3:$A$5001,BD!$B$3:$B$5001,F$149,BD!$A$3:$A$5001,"&gt;="&amp;$C$8,BD!$A$3:$A$5001,"&lt;="&amp;$D$8,BD!$M$3:$M$5001,"&lt;&gt;")))</f>
        <v/>
      </c>
      <c r="G181" s="44" t="str">
        <f>IF(COUNTIFS(BD!$B$3:$B$5001,G$149,BD!$A$3:$A$5001,"&gt;="&amp;$C$8,BD!$A$3:$A$5001,"&lt;="&amp;$D$8,BD!$M$3:$M$5001,"&lt;&gt;")=0,"",SUMIFS(BD!$M$3:$M$5001,BD!$B$3:$B$5001,G$149,BD!$A$3:$A$5001,_xlfn.MAXIFS(BD!$A$3:$A$5001,BD!$B$3:$B$5001,G$149,BD!$A$3:$A$5001,"&gt;="&amp;$C$8,BD!$A$3:$A$5001,"&lt;="&amp;$D$8,BD!$M$3:$M$5001,"&lt;&gt;")))</f>
        <v/>
      </c>
    </row>
    <row r="182">
      <c r="A182" s="43" t="inlineStr">
        <is>
          <t xml:space="preserve">Depósito</t>
        </is>
      </c>
      <c r="C182" s="40" t="inlineStr">
        <is>
          <t xml:space="preserve">JSL</t>
        </is>
      </c>
      <c r="D182" s="40" t="inlineStr">
        <is>
          <t xml:space="preserve">JSL</t>
        </is>
      </c>
      <c r="E182" s="40" t="inlineStr">
        <is>
          <t xml:space="preserve">JSL</t>
        </is>
      </c>
      <c r="F182" s="40" t="inlineStr">
        <is>
          <t xml:space="preserve">JSL</t>
        </is>
      </c>
      <c r="G182" s="40" t="inlineStr">
        <is>
          <t xml:space="preserve">JSL</t>
        </is>
      </c>
    </row>
    <row r="184">
      <c r="A184" s="37" t="inlineStr">
        <is>
          <t xml:space="preserve">Posições Disponíveis</t>
        </is>
      </c>
      <c r="B184" s="37" t="inlineStr">
        <is>
          <t xml:space="preserve">Data</t>
        </is>
      </c>
      <c r="C184" s="37" t="inlineStr">
        <is>
          <t xml:space="preserve">Barry Callebaut</t>
        </is>
      </c>
      <c r="D184" s="37" t="inlineStr">
        <is>
          <t xml:space="preserve">GM</t>
        </is>
      </c>
      <c r="E184" s="37" t="inlineStr">
        <is>
          <t xml:space="preserve">Mondelez</t>
        </is>
      </c>
      <c r="F184" s="37" t="inlineStr">
        <is>
          <t xml:space="preserve">Nestlé</t>
        </is>
      </c>
      <c r="G184" s="37" t="inlineStr">
        <is>
          <t xml:space="preserve">PMB</t>
        </is>
      </c>
    </row>
    <row r="185">
      <c r="A185" s="40">
        <v>1</v>
      </c>
      <c r="B185" s="41">
        <f>$B$12</f>
        <v>46296</v>
      </c>
      <c r="C185" s="42" t="str">
        <f>IF(OR($B185="",$A185&gt;$B$9),"",IF(COUNTIFS(BD!$B$3:$B$5001,C$184,BD!$A$3:$A$5001,"&gt;="&amp;$C$7,BD!$A$3:$A$5001,"&lt;="&amp;$B185,BD!$L$3:$L$5001,"&lt;&gt;")=0,"",SUMIFS(BD!$L$3:$L$5001,BD!$B$3:$B$5001,C$184,BD!$A$3:$A$5001,_xlfn.MAXIFS(BD!$A$3:$A$5001,BD!$B$3:$B$5001,C$184,BD!$A$3:$A$5001,"&gt;="&amp;$C$7,BD!$A$3:$A$5001,"&lt;="&amp;$B185,BD!$L$3:$L$5001,"&lt;&gt;"))))</f>
        <v/>
      </c>
      <c r="D185" s="42" t="str">
        <f>IF(OR($B185="",$A185&gt;$B$9),"",IF(COUNTIFS(BD!$B$3:$B$5001,D$184,BD!$A$3:$A$5001,"&gt;="&amp;$C$7,BD!$A$3:$A$5001,"&lt;="&amp;$B185,BD!$L$3:$L$5001,"&lt;&gt;")=0,"",SUMIFS(BD!$L$3:$L$5001,BD!$B$3:$B$5001,D$184,BD!$A$3:$A$5001,_xlfn.MAXIFS(BD!$A$3:$A$5001,BD!$B$3:$B$5001,D$184,BD!$A$3:$A$5001,"&gt;="&amp;$C$7,BD!$A$3:$A$5001,"&lt;="&amp;$B185,BD!$L$3:$L$5001,"&lt;&gt;"))))</f>
        <v/>
      </c>
      <c r="E185" s="42" t="str">
        <f>IF(OR($B185="",$A185&gt;$B$9),"",IF(COUNTIFS(BD!$B$3:$B$5001,E$184,BD!$A$3:$A$5001,"&gt;="&amp;$C$7,BD!$A$3:$A$5001,"&lt;="&amp;$B185,BD!$L$3:$L$5001,"&lt;&gt;")=0,"",SUMIFS(BD!$L$3:$L$5001,BD!$B$3:$B$5001,E$184,BD!$A$3:$A$5001,_xlfn.MAXIFS(BD!$A$3:$A$5001,BD!$B$3:$B$5001,E$184,BD!$A$3:$A$5001,"&gt;="&amp;$C$7,BD!$A$3:$A$5001,"&lt;="&amp;$B185,BD!$L$3:$L$5001,"&lt;&gt;"))))</f>
        <v/>
      </c>
      <c r="F185" s="42" t="str">
        <f>IF(OR($B185="",$A185&gt;$B$9),"",IF(COUNTIFS(BD!$B$3:$B$5001,F$184,BD!$A$3:$A$5001,"&gt;="&amp;$C$7,BD!$A$3:$A$5001,"&lt;="&amp;$B185,BD!$L$3:$L$5001,"&lt;&gt;")=0,"",SUMIFS(BD!$L$3:$L$5001,BD!$B$3:$B$5001,F$184,BD!$A$3:$A$5001,_xlfn.MAXIFS(BD!$A$3:$A$5001,BD!$B$3:$B$5001,F$184,BD!$A$3:$A$5001,"&gt;="&amp;$C$7,BD!$A$3:$A$5001,"&lt;="&amp;$B185,BD!$L$3:$L$5001,"&lt;&gt;"))))</f>
        <v/>
      </c>
      <c r="G185" s="42" t="str">
        <f>IF(OR($B185="",$A185&gt;$B$9),"",IF(COUNTIFS(BD!$B$3:$B$5001,G$184,BD!$A$3:$A$5001,"&gt;="&amp;$C$7,BD!$A$3:$A$5001,"&lt;="&amp;$B185,BD!$L$3:$L$5001,"&lt;&gt;")=0,"",SUMIFS(BD!$L$3:$L$5001,BD!$B$3:$B$5001,G$184,BD!$A$3:$A$5001,_xlfn.MAXIFS(BD!$A$3:$A$5001,BD!$B$3:$B$5001,G$184,BD!$A$3:$A$5001,"&gt;="&amp;$C$7,BD!$A$3:$A$5001,"&lt;="&amp;$B185,BD!$L$3:$L$5001,"&lt;&gt;"))))</f>
        <v/>
      </c>
    </row>
    <row r="186">
      <c r="A186" s="40">
        <v>2</v>
      </c>
      <c r="B186" s="41">
        <f>$B$13</f>
        <v>46297</v>
      </c>
      <c r="C186" s="42" t="str">
        <f>IF(OR($B186="",$A186&gt;$B$9),"",IF(COUNTIFS(BD!$B$3:$B$5001,C$184,BD!$A$3:$A$5001,"&gt;="&amp;$C$7,BD!$A$3:$A$5001,"&lt;="&amp;$B186,BD!$L$3:$L$5001,"&lt;&gt;")=0,"",SUMIFS(BD!$L$3:$L$5001,BD!$B$3:$B$5001,C$184,BD!$A$3:$A$5001,_xlfn.MAXIFS(BD!$A$3:$A$5001,BD!$B$3:$B$5001,C$184,BD!$A$3:$A$5001,"&gt;="&amp;$C$7,BD!$A$3:$A$5001,"&lt;="&amp;$B186,BD!$L$3:$L$5001,"&lt;&gt;"))))</f>
        <v/>
      </c>
      <c r="D186" s="42" t="str">
        <f>IF(OR($B186="",$A186&gt;$B$9),"",IF(COUNTIFS(BD!$B$3:$B$5001,D$184,BD!$A$3:$A$5001,"&gt;="&amp;$C$7,BD!$A$3:$A$5001,"&lt;="&amp;$B186,BD!$L$3:$L$5001,"&lt;&gt;")=0,"",SUMIFS(BD!$L$3:$L$5001,BD!$B$3:$B$5001,D$184,BD!$A$3:$A$5001,_xlfn.MAXIFS(BD!$A$3:$A$5001,BD!$B$3:$B$5001,D$184,BD!$A$3:$A$5001,"&gt;="&amp;$C$7,BD!$A$3:$A$5001,"&lt;="&amp;$B186,BD!$L$3:$L$5001,"&lt;&gt;"))))</f>
        <v/>
      </c>
      <c r="E186" s="42" t="str">
        <f>IF(OR($B186="",$A186&gt;$B$9),"",IF(COUNTIFS(BD!$B$3:$B$5001,E$184,BD!$A$3:$A$5001,"&gt;="&amp;$C$7,BD!$A$3:$A$5001,"&lt;="&amp;$B186,BD!$L$3:$L$5001,"&lt;&gt;")=0,"",SUMIFS(BD!$L$3:$L$5001,BD!$B$3:$B$5001,E$184,BD!$A$3:$A$5001,_xlfn.MAXIFS(BD!$A$3:$A$5001,BD!$B$3:$B$5001,E$184,BD!$A$3:$A$5001,"&gt;="&amp;$C$7,BD!$A$3:$A$5001,"&lt;="&amp;$B186,BD!$L$3:$L$5001,"&lt;&gt;"))))</f>
        <v/>
      </c>
      <c r="F186" s="42" t="str">
        <f>IF(OR($B186="",$A186&gt;$B$9),"",IF(COUNTIFS(BD!$B$3:$B$5001,F$184,BD!$A$3:$A$5001,"&gt;="&amp;$C$7,BD!$A$3:$A$5001,"&lt;="&amp;$B186,BD!$L$3:$L$5001,"&lt;&gt;")=0,"",SUMIFS(BD!$L$3:$L$5001,BD!$B$3:$B$5001,F$184,BD!$A$3:$A$5001,_xlfn.MAXIFS(BD!$A$3:$A$5001,BD!$B$3:$B$5001,F$184,BD!$A$3:$A$5001,"&gt;="&amp;$C$7,BD!$A$3:$A$5001,"&lt;="&amp;$B186,BD!$L$3:$L$5001,"&lt;&gt;"))))</f>
        <v/>
      </c>
      <c r="G186" s="42" t="str">
        <f>IF(OR($B186="",$A186&gt;$B$9),"",IF(COUNTIFS(BD!$B$3:$B$5001,G$184,BD!$A$3:$A$5001,"&gt;="&amp;$C$7,BD!$A$3:$A$5001,"&lt;="&amp;$B186,BD!$L$3:$L$5001,"&lt;&gt;")=0,"",SUMIFS(BD!$L$3:$L$5001,BD!$B$3:$B$5001,G$184,BD!$A$3:$A$5001,_xlfn.MAXIFS(BD!$A$3:$A$5001,BD!$B$3:$B$5001,G$184,BD!$A$3:$A$5001,"&gt;="&amp;$C$7,BD!$A$3:$A$5001,"&lt;="&amp;$B186,BD!$L$3:$L$5001,"&lt;&gt;"))))</f>
        <v/>
      </c>
    </row>
    <row r="187">
      <c r="A187" s="40">
        <v>3</v>
      </c>
      <c r="B187" s="41">
        <f>$B$14</f>
        <v>46298</v>
      </c>
      <c r="C187" s="42" t="str">
        <f>IF(OR($B187="",$A187&gt;$B$9),"",IF(COUNTIFS(BD!$B$3:$B$5001,C$184,BD!$A$3:$A$5001,"&gt;="&amp;$C$7,BD!$A$3:$A$5001,"&lt;="&amp;$B187,BD!$L$3:$L$5001,"&lt;&gt;")=0,"",SUMIFS(BD!$L$3:$L$5001,BD!$B$3:$B$5001,C$184,BD!$A$3:$A$5001,_xlfn.MAXIFS(BD!$A$3:$A$5001,BD!$B$3:$B$5001,C$184,BD!$A$3:$A$5001,"&gt;="&amp;$C$7,BD!$A$3:$A$5001,"&lt;="&amp;$B187,BD!$L$3:$L$5001,"&lt;&gt;"))))</f>
        <v/>
      </c>
      <c r="D187" s="42" t="str">
        <f>IF(OR($B187="",$A187&gt;$B$9),"",IF(COUNTIFS(BD!$B$3:$B$5001,D$184,BD!$A$3:$A$5001,"&gt;="&amp;$C$7,BD!$A$3:$A$5001,"&lt;="&amp;$B187,BD!$L$3:$L$5001,"&lt;&gt;")=0,"",SUMIFS(BD!$L$3:$L$5001,BD!$B$3:$B$5001,D$184,BD!$A$3:$A$5001,_xlfn.MAXIFS(BD!$A$3:$A$5001,BD!$B$3:$B$5001,D$184,BD!$A$3:$A$5001,"&gt;="&amp;$C$7,BD!$A$3:$A$5001,"&lt;="&amp;$B187,BD!$L$3:$L$5001,"&lt;&gt;"))))</f>
        <v/>
      </c>
      <c r="E187" s="42" t="str">
        <f>IF(OR($B187="",$A187&gt;$B$9),"",IF(COUNTIFS(BD!$B$3:$B$5001,E$184,BD!$A$3:$A$5001,"&gt;="&amp;$C$7,BD!$A$3:$A$5001,"&lt;="&amp;$B187,BD!$L$3:$L$5001,"&lt;&gt;")=0,"",SUMIFS(BD!$L$3:$L$5001,BD!$B$3:$B$5001,E$184,BD!$A$3:$A$5001,_xlfn.MAXIFS(BD!$A$3:$A$5001,BD!$B$3:$B$5001,E$184,BD!$A$3:$A$5001,"&gt;="&amp;$C$7,BD!$A$3:$A$5001,"&lt;="&amp;$B187,BD!$L$3:$L$5001,"&lt;&gt;"))))</f>
        <v/>
      </c>
      <c r="F187" s="42" t="str">
        <f>IF(OR($B187="",$A187&gt;$B$9),"",IF(COUNTIFS(BD!$B$3:$B$5001,F$184,BD!$A$3:$A$5001,"&gt;="&amp;$C$7,BD!$A$3:$A$5001,"&lt;="&amp;$B187,BD!$L$3:$L$5001,"&lt;&gt;")=0,"",SUMIFS(BD!$L$3:$L$5001,BD!$B$3:$B$5001,F$184,BD!$A$3:$A$5001,_xlfn.MAXIFS(BD!$A$3:$A$5001,BD!$B$3:$B$5001,F$184,BD!$A$3:$A$5001,"&gt;="&amp;$C$7,BD!$A$3:$A$5001,"&lt;="&amp;$B187,BD!$L$3:$L$5001,"&lt;&gt;"))))</f>
        <v/>
      </c>
      <c r="G187" s="42" t="str">
        <f>IF(OR($B187="",$A187&gt;$B$9),"",IF(COUNTIFS(BD!$B$3:$B$5001,G$184,BD!$A$3:$A$5001,"&gt;="&amp;$C$7,BD!$A$3:$A$5001,"&lt;="&amp;$B187,BD!$L$3:$L$5001,"&lt;&gt;")=0,"",SUMIFS(BD!$L$3:$L$5001,BD!$B$3:$B$5001,G$184,BD!$A$3:$A$5001,_xlfn.MAXIFS(BD!$A$3:$A$5001,BD!$B$3:$B$5001,G$184,BD!$A$3:$A$5001,"&gt;="&amp;$C$7,BD!$A$3:$A$5001,"&lt;="&amp;$B187,BD!$L$3:$L$5001,"&lt;&gt;"))))</f>
        <v/>
      </c>
    </row>
    <row r="188">
      <c r="A188" s="40">
        <v>4</v>
      </c>
      <c r="B188" s="41">
        <f>$B$15</f>
        <v>46299</v>
      </c>
      <c r="C188" s="42" t="str">
        <f>IF(OR($B188="",$A188&gt;$B$9),"",IF(COUNTIFS(BD!$B$3:$B$5001,C$184,BD!$A$3:$A$5001,"&gt;="&amp;$C$7,BD!$A$3:$A$5001,"&lt;="&amp;$B188,BD!$L$3:$L$5001,"&lt;&gt;")=0,"",SUMIFS(BD!$L$3:$L$5001,BD!$B$3:$B$5001,C$184,BD!$A$3:$A$5001,_xlfn.MAXIFS(BD!$A$3:$A$5001,BD!$B$3:$B$5001,C$184,BD!$A$3:$A$5001,"&gt;="&amp;$C$7,BD!$A$3:$A$5001,"&lt;="&amp;$B188,BD!$L$3:$L$5001,"&lt;&gt;"))))</f>
        <v/>
      </c>
      <c r="D188" s="42" t="str">
        <f>IF(OR($B188="",$A188&gt;$B$9),"",IF(COUNTIFS(BD!$B$3:$B$5001,D$184,BD!$A$3:$A$5001,"&gt;="&amp;$C$7,BD!$A$3:$A$5001,"&lt;="&amp;$B188,BD!$L$3:$L$5001,"&lt;&gt;")=0,"",SUMIFS(BD!$L$3:$L$5001,BD!$B$3:$B$5001,D$184,BD!$A$3:$A$5001,_xlfn.MAXIFS(BD!$A$3:$A$5001,BD!$B$3:$B$5001,D$184,BD!$A$3:$A$5001,"&gt;="&amp;$C$7,BD!$A$3:$A$5001,"&lt;="&amp;$B188,BD!$L$3:$L$5001,"&lt;&gt;"))))</f>
        <v/>
      </c>
      <c r="E188" s="42" t="str">
        <f>IF(OR($B188="",$A188&gt;$B$9),"",IF(COUNTIFS(BD!$B$3:$B$5001,E$184,BD!$A$3:$A$5001,"&gt;="&amp;$C$7,BD!$A$3:$A$5001,"&lt;="&amp;$B188,BD!$L$3:$L$5001,"&lt;&gt;")=0,"",SUMIFS(BD!$L$3:$L$5001,BD!$B$3:$B$5001,E$184,BD!$A$3:$A$5001,_xlfn.MAXIFS(BD!$A$3:$A$5001,BD!$B$3:$B$5001,E$184,BD!$A$3:$A$5001,"&gt;="&amp;$C$7,BD!$A$3:$A$5001,"&lt;="&amp;$B188,BD!$L$3:$L$5001,"&lt;&gt;"))))</f>
        <v/>
      </c>
      <c r="F188" s="42" t="str">
        <f>IF(OR($B188="",$A188&gt;$B$9),"",IF(COUNTIFS(BD!$B$3:$B$5001,F$184,BD!$A$3:$A$5001,"&gt;="&amp;$C$7,BD!$A$3:$A$5001,"&lt;="&amp;$B188,BD!$L$3:$L$5001,"&lt;&gt;")=0,"",SUMIFS(BD!$L$3:$L$5001,BD!$B$3:$B$5001,F$184,BD!$A$3:$A$5001,_xlfn.MAXIFS(BD!$A$3:$A$5001,BD!$B$3:$B$5001,F$184,BD!$A$3:$A$5001,"&gt;="&amp;$C$7,BD!$A$3:$A$5001,"&lt;="&amp;$B188,BD!$L$3:$L$5001,"&lt;&gt;"))))</f>
        <v/>
      </c>
      <c r="G188" s="42" t="str">
        <f>IF(OR($B188="",$A188&gt;$B$9),"",IF(COUNTIFS(BD!$B$3:$B$5001,G$184,BD!$A$3:$A$5001,"&gt;="&amp;$C$7,BD!$A$3:$A$5001,"&lt;="&amp;$B188,BD!$L$3:$L$5001,"&lt;&gt;")=0,"",SUMIFS(BD!$L$3:$L$5001,BD!$B$3:$B$5001,G$184,BD!$A$3:$A$5001,_xlfn.MAXIFS(BD!$A$3:$A$5001,BD!$B$3:$B$5001,G$184,BD!$A$3:$A$5001,"&gt;="&amp;$C$7,BD!$A$3:$A$5001,"&lt;="&amp;$B188,BD!$L$3:$L$5001,"&lt;&gt;"))))</f>
        <v/>
      </c>
    </row>
    <row r="189">
      <c r="A189" s="40">
        <v>5</v>
      </c>
      <c r="B189" s="41">
        <f>$B$16</f>
        <v>46300</v>
      </c>
      <c r="C189" s="42" t="str">
        <f>IF(OR($B189="",$A189&gt;$B$9),"",IF(COUNTIFS(BD!$B$3:$B$5001,C$184,BD!$A$3:$A$5001,"&gt;="&amp;$C$7,BD!$A$3:$A$5001,"&lt;="&amp;$B189,BD!$L$3:$L$5001,"&lt;&gt;")=0,"",SUMIFS(BD!$L$3:$L$5001,BD!$B$3:$B$5001,C$184,BD!$A$3:$A$5001,_xlfn.MAXIFS(BD!$A$3:$A$5001,BD!$B$3:$B$5001,C$184,BD!$A$3:$A$5001,"&gt;="&amp;$C$7,BD!$A$3:$A$5001,"&lt;="&amp;$B189,BD!$L$3:$L$5001,"&lt;&gt;"))))</f>
        <v/>
      </c>
      <c r="D189" s="42" t="str">
        <f>IF(OR($B189="",$A189&gt;$B$9),"",IF(COUNTIFS(BD!$B$3:$B$5001,D$184,BD!$A$3:$A$5001,"&gt;="&amp;$C$7,BD!$A$3:$A$5001,"&lt;="&amp;$B189,BD!$L$3:$L$5001,"&lt;&gt;")=0,"",SUMIFS(BD!$L$3:$L$5001,BD!$B$3:$B$5001,D$184,BD!$A$3:$A$5001,_xlfn.MAXIFS(BD!$A$3:$A$5001,BD!$B$3:$B$5001,D$184,BD!$A$3:$A$5001,"&gt;="&amp;$C$7,BD!$A$3:$A$5001,"&lt;="&amp;$B189,BD!$L$3:$L$5001,"&lt;&gt;"))))</f>
        <v/>
      </c>
      <c r="E189" s="42" t="str">
        <f>IF(OR($B189="",$A189&gt;$B$9),"",IF(COUNTIFS(BD!$B$3:$B$5001,E$184,BD!$A$3:$A$5001,"&gt;="&amp;$C$7,BD!$A$3:$A$5001,"&lt;="&amp;$B189,BD!$L$3:$L$5001,"&lt;&gt;")=0,"",SUMIFS(BD!$L$3:$L$5001,BD!$B$3:$B$5001,E$184,BD!$A$3:$A$5001,_xlfn.MAXIFS(BD!$A$3:$A$5001,BD!$B$3:$B$5001,E$184,BD!$A$3:$A$5001,"&gt;="&amp;$C$7,BD!$A$3:$A$5001,"&lt;="&amp;$B189,BD!$L$3:$L$5001,"&lt;&gt;"))))</f>
        <v/>
      </c>
      <c r="F189" s="42" t="str">
        <f>IF(OR($B189="",$A189&gt;$B$9),"",IF(COUNTIFS(BD!$B$3:$B$5001,F$184,BD!$A$3:$A$5001,"&gt;="&amp;$C$7,BD!$A$3:$A$5001,"&lt;="&amp;$B189,BD!$L$3:$L$5001,"&lt;&gt;")=0,"",SUMIFS(BD!$L$3:$L$5001,BD!$B$3:$B$5001,F$184,BD!$A$3:$A$5001,_xlfn.MAXIFS(BD!$A$3:$A$5001,BD!$B$3:$B$5001,F$184,BD!$A$3:$A$5001,"&gt;="&amp;$C$7,BD!$A$3:$A$5001,"&lt;="&amp;$B189,BD!$L$3:$L$5001,"&lt;&gt;"))))</f>
        <v/>
      </c>
      <c r="G189" s="42" t="str">
        <f>IF(OR($B189="",$A189&gt;$B$9),"",IF(COUNTIFS(BD!$B$3:$B$5001,G$184,BD!$A$3:$A$5001,"&gt;="&amp;$C$7,BD!$A$3:$A$5001,"&lt;="&amp;$B189,BD!$L$3:$L$5001,"&lt;&gt;")=0,"",SUMIFS(BD!$L$3:$L$5001,BD!$B$3:$B$5001,G$184,BD!$A$3:$A$5001,_xlfn.MAXIFS(BD!$A$3:$A$5001,BD!$B$3:$B$5001,G$184,BD!$A$3:$A$5001,"&gt;="&amp;$C$7,BD!$A$3:$A$5001,"&lt;="&amp;$B189,BD!$L$3:$L$5001,"&lt;&gt;"))))</f>
        <v/>
      </c>
    </row>
    <row r="190">
      <c r="A190" s="40">
        <v>6</v>
      </c>
      <c r="B190" s="41">
        <f>$B$17</f>
        <v>46301</v>
      </c>
      <c r="C190" s="42" t="str">
        <f>IF(OR($B190="",$A190&gt;$B$9),"",IF(COUNTIFS(BD!$B$3:$B$5001,C$184,BD!$A$3:$A$5001,"&gt;="&amp;$C$7,BD!$A$3:$A$5001,"&lt;="&amp;$B190,BD!$L$3:$L$5001,"&lt;&gt;")=0,"",SUMIFS(BD!$L$3:$L$5001,BD!$B$3:$B$5001,C$184,BD!$A$3:$A$5001,_xlfn.MAXIFS(BD!$A$3:$A$5001,BD!$B$3:$B$5001,C$184,BD!$A$3:$A$5001,"&gt;="&amp;$C$7,BD!$A$3:$A$5001,"&lt;="&amp;$B190,BD!$L$3:$L$5001,"&lt;&gt;"))))</f>
        <v/>
      </c>
      <c r="D190" s="42" t="str">
        <f>IF(OR($B190="",$A190&gt;$B$9),"",IF(COUNTIFS(BD!$B$3:$B$5001,D$184,BD!$A$3:$A$5001,"&gt;="&amp;$C$7,BD!$A$3:$A$5001,"&lt;="&amp;$B190,BD!$L$3:$L$5001,"&lt;&gt;")=0,"",SUMIFS(BD!$L$3:$L$5001,BD!$B$3:$B$5001,D$184,BD!$A$3:$A$5001,_xlfn.MAXIFS(BD!$A$3:$A$5001,BD!$B$3:$B$5001,D$184,BD!$A$3:$A$5001,"&gt;="&amp;$C$7,BD!$A$3:$A$5001,"&lt;="&amp;$B190,BD!$L$3:$L$5001,"&lt;&gt;"))))</f>
        <v/>
      </c>
      <c r="E190" s="42" t="str">
        <f>IF(OR($B190="",$A190&gt;$B$9),"",IF(COUNTIFS(BD!$B$3:$B$5001,E$184,BD!$A$3:$A$5001,"&gt;="&amp;$C$7,BD!$A$3:$A$5001,"&lt;="&amp;$B190,BD!$L$3:$L$5001,"&lt;&gt;")=0,"",SUMIFS(BD!$L$3:$L$5001,BD!$B$3:$B$5001,E$184,BD!$A$3:$A$5001,_xlfn.MAXIFS(BD!$A$3:$A$5001,BD!$B$3:$B$5001,E$184,BD!$A$3:$A$5001,"&gt;="&amp;$C$7,BD!$A$3:$A$5001,"&lt;="&amp;$B190,BD!$L$3:$L$5001,"&lt;&gt;"))))</f>
        <v/>
      </c>
      <c r="F190" s="42" t="str">
        <f>IF(OR($B190="",$A190&gt;$B$9),"",IF(COUNTIFS(BD!$B$3:$B$5001,F$184,BD!$A$3:$A$5001,"&gt;="&amp;$C$7,BD!$A$3:$A$5001,"&lt;="&amp;$B190,BD!$L$3:$L$5001,"&lt;&gt;")=0,"",SUMIFS(BD!$L$3:$L$5001,BD!$B$3:$B$5001,F$184,BD!$A$3:$A$5001,_xlfn.MAXIFS(BD!$A$3:$A$5001,BD!$B$3:$B$5001,F$184,BD!$A$3:$A$5001,"&gt;="&amp;$C$7,BD!$A$3:$A$5001,"&lt;="&amp;$B190,BD!$L$3:$L$5001,"&lt;&gt;"))))</f>
        <v/>
      </c>
      <c r="G190" s="42" t="str">
        <f>IF(OR($B190="",$A190&gt;$B$9),"",IF(COUNTIFS(BD!$B$3:$B$5001,G$184,BD!$A$3:$A$5001,"&gt;="&amp;$C$7,BD!$A$3:$A$5001,"&lt;="&amp;$B190,BD!$L$3:$L$5001,"&lt;&gt;")=0,"",SUMIFS(BD!$L$3:$L$5001,BD!$B$3:$B$5001,G$184,BD!$A$3:$A$5001,_xlfn.MAXIFS(BD!$A$3:$A$5001,BD!$B$3:$B$5001,G$184,BD!$A$3:$A$5001,"&gt;="&amp;$C$7,BD!$A$3:$A$5001,"&lt;="&amp;$B190,BD!$L$3:$L$5001,"&lt;&gt;"))))</f>
        <v/>
      </c>
    </row>
    <row r="191">
      <c r="A191" s="40">
        <v>7</v>
      </c>
      <c r="B191" s="41">
        <f>$B$18</f>
        <v>46302</v>
      </c>
      <c r="C191" s="42" t="str">
        <f>IF(OR($B191="",$A191&gt;$B$9),"",IF(COUNTIFS(BD!$B$3:$B$5001,C$184,BD!$A$3:$A$5001,"&gt;="&amp;$C$7,BD!$A$3:$A$5001,"&lt;="&amp;$B191,BD!$L$3:$L$5001,"&lt;&gt;")=0,"",SUMIFS(BD!$L$3:$L$5001,BD!$B$3:$B$5001,C$184,BD!$A$3:$A$5001,_xlfn.MAXIFS(BD!$A$3:$A$5001,BD!$B$3:$B$5001,C$184,BD!$A$3:$A$5001,"&gt;="&amp;$C$7,BD!$A$3:$A$5001,"&lt;="&amp;$B191,BD!$L$3:$L$5001,"&lt;&gt;"))))</f>
        <v/>
      </c>
      <c r="D191" s="42" t="str">
        <f>IF(OR($B191="",$A191&gt;$B$9),"",IF(COUNTIFS(BD!$B$3:$B$5001,D$184,BD!$A$3:$A$5001,"&gt;="&amp;$C$7,BD!$A$3:$A$5001,"&lt;="&amp;$B191,BD!$L$3:$L$5001,"&lt;&gt;")=0,"",SUMIFS(BD!$L$3:$L$5001,BD!$B$3:$B$5001,D$184,BD!$A$3:$A$5001,_xlfn.MAXIFS(BD!$A$3:$A$5001,BD!$B$3:$B$5001,D$184,BD!$A$3:$A$5001,"&gt;="&amp;$C$7,BD!$A$3:$A$5001,"&lt;="&amp;$B191,BD!$L$3:$L$5001,"&lt;&gt;"))))</f>
        <v/>
      </c>
      <c r="E191" s="42" t="str">
        <f>IF(OR($B191="",$A191&gt;$B$9),"",IF(COUNTIFS(BD!$B$3:$B$5001,E$184,BD!$A$3:$A$5001,"&gt;="&amp;$C$7,BD!$A$3:$A$5001,"&lt;="&amp;$B191,BD!$L$3:$L$5001,"&lt;&gt;")=0,"",SUMIFS(BD!$L$3:$L$5001,BD!$B$3:$B$5001,E$184,BD!$A$3:$A$5001,_xlfn.MAXIFS(BD!$A$3:$A$5001,BD!$B$3:$B$5001,E$184,BD!$A$3:$A$5001,"&gt;="&amp;$C$7,BD!$A$3:$A$5001,"&lt;="&amp;$B191,BD!$L$3:$L$5001,"&lt;&gt;"))))</f>
        <v/>
      </c>
      <c r="F191" s="42" t="str">
        <f>IF(OR($B191="",$A191&gt;$B$9),"",IF(COUNTIFS(BD!$B$3:$B$5001,F$184,BD!$A$3:$A$5001,"&gt;="&amp;$C$7,BD!$A$3:$A$5001,"&lt;="&amp;$B191,BD!$L$3:$L$5001,"&lt;&gt;")=0,"",SUMIFS(BD!$L$3:$L$5001,BD!$B$3:$B$5001,F$184,BD!$A$3:$A$5001,_xlfn.MAXIFS(BD!$A$3:$A$5001,BD!$B$3:$B$5001,F$184,BD!$A$3:$A$5001,"&gt;="&amp;$C$7,BD!$A$3:$A$5001,"&lt;="&amp;$B191,BD!$L$3:$L$5001,"&lt;&gt;"))))</f>
        <v/>
      </c>
      <c r="G191" s="42" t="str">
        <f>IF(OR($B191="",$A191&gt;$B$9),"",IF(COUNTIFS(BD!$B$3:$B$5001,G$184,BD!$A$3:$A$5001,"&gt;="&amp;$C$7,BD!$A$3:$A$5001,"&lt;="&amp;$B191,BD!$L$3:$L$5001,"&lt;&gt;")=0,"",SUMIFS(BD!$L$3:$L$5001,BD!$B$3:$B$5001,G$184,BD!$A$3:$A$5001,_xlfn.MAXIFS(BD!$A$3:$A$5001,BD!$B$3:$B$5001,G$184,BD!$A$3:$A$5001,"&gt;="&amp;$C$7,BD!$A$3:$A$5001,"&lt;="&amp;$B191,BD!$L$3:$L$5001,"&lt;&gt;"))))</f>
        <v/>
      </c>
    </row>
    <row r="192">
      <c r="A192" s="40">
        <v>8</v>
      </c>
      <c r="B192" s="41">
        <f>$B$19</f>
        <v>46303</v>
      </c>
      <c r="C192" s="42" t="str">
        <f>IF(OR($B192="",$A192&gt;$B$9),"",IF(COUNTIFS(BD!$B$3:$B$5001,C$184,BD!$A$3:$A$5001,"&gt;="&amp;$C$7,BD!$A$3:$A$5001,"&lt;="&amp;$B192,BD!$L$3:$L$5001,"&lt;&gt;")=0,"",SUMIFS(BD!$L$3:$L$5001,BD!$B$3:$B$5001,C$184,BD!$A$3:$A$5001,_xlfn.MAXIFS(BD!$A$3:$A$5001,BD!$B$3:$B$5001,C$184,BD!$A$3:$A$5001,"&gt;="&amp;$C$7,BD!$A$3:$A$5001,"&lt;="&amp;$B192,BD!$L$3:$L$5001,"&lt;&gt;"))))</f>
        <v/>
      </c>
      <c r="D192" s="42" t="str">
        <f>IF(OR($B192="",$A192&gt;$B$9),"",IF(COUNTIFS(BD!$B$3:$B$5001,D$184,BD!$A$3:$A$5001,"&gt;="&amp;$C$7,BD!$A$3:$A$5001,"&lt;="&amp;$B192,BD!$L$3:$L$5001,"&lt;&gt;")=0,"",SUMIFS(BD!$L$3:$L$5001,BD!$B$3:$B$5001,D$184,BD!$A$3:$A$5001,_xlfn.MAXIFS(BD!$A$3:$A$5001,BD!$B$3:$B$5001,D$184,BD!$A$3:$A$5001,"&gt;="&amp;$C$7,BD!$A$3:$A$5001,"&lt;="&amp;$B192,BD!$L$3:$L$5001,"&lt;&gt;"))))</f>
        <v/>
      </c>
      <c r="E192" s="42" t="str">
        <f>IF(OR($B192="",$A192&gt;$B$9),"",IF(COUNTIFS(BD!$B$3:$B$5001,E$184,BD!$A$3:$A$5001,"&gt;="&amp;$C$7,BD!$A$3:$A$5001,"&lt;="&amp;$B192,BD!$L$3:$L$5001,"&lt;&gt;")=0,"",SUMIFS(BD!$L$3:$L$5001,BD!$B$3:$B$5001,E$184,BD!$A$3:$A$5001,_xlfn.MAXIFS(BD!$A$3:$A$5001,BD!$B$3:$B$5001,E$184,BD!$A$3:$A$5001,"&gt;="&amp;$C$7,BD!$A$3:$A$5001,"&lt;="&amp;$B192,BD!$L$3:$L$5001,"&lt;&gt;"))))</f>
        <v/>
      </c>
      <c r="F192" s="42" t="str">
        <f>IF(OR($B192="",$A192&gt;$B$9),"",IF(COUNTIFS(BD!$B$3:$B$5001,F$184,BD!$A$3:$A$5001,"&gt;="&amp;$C$7,BD!$A$3:$A$5001,"&lt;="&amp;$B192,BD!$L$3:$L$5001,"&lt;&gt;")=0,"",SUMIFS(BD!$L$3:$L$5001,BD!$B$3:$B$5001,F$184,BD!$A$3:$A$5001,_xlfn.MAXIFS(BD!$A$3:$A$5001,BD!$B$3:$B$5001,F$184,BD!$A$3:$A$5001,"&gt;="&amp;$C$7,BD!$A$3:$A$5001,"&lt;="&amp;$B192,BD!$L$3:$L$5001,"&lt;&gt;"))))</f>
        <v/>
      </c>
      <c r="G192" s="42" t="str">
        <f>IF(OR($B192="",$A192&gt;$B$9),"",IF(COUNTIFS(BD!$B$3:$B$5001,G$184,BD!$A$3:$A$5001,"&gt;="&amp;$C$7,BD!$A$3:$A$5001,"&lt;="&amp;$B192,BD!$L$3:$L$5001,"&lt;&gt;")=0,"",SUMIFS(BD!$L$3:$L$5001,BD!$B$3:$B$5001,G$184,BD!$A$3:$A$5001,_xlfn.MAXIFS(BD!$A$3:$A$5001,BD!$B$3:$B$5001,G$184,BD!$A$3:$A$5001,"&gt;="&amp;$C$7,BD!$A$3:$A$5001,"&lt;="&amp;$B192,BD!$L$3:$L$5001,"&lt;&gt;"))))</f>
        <v/>
      </c>
    </row>
    <row r="193">
      <c r="A193" s="40">
        <v>9</v>
      </c>
      <c r="B193" s="41">
        <f>$B$20</f>
        <v>46304</v>
      </c>
      <c r="C193" s="42" t="str">
        <f>IF(OR($B193="",$A193&gt;$B$9),"",IF(COUNTIFS(BD!$B$3:$B$5001,C$184,BD!$A$3:$A$5001,"&gt;="&amp;$C$7,BD!$A$3:$A$5001,"&lt;="&amp;$B193,BD!$L$3:$L$5001,"&lt;&gt;")=0,"",SUMIFS(BD!$L$3:$L$5001,BD!$B$3:$B$5001,C$184,BD!$A$3:$A$5001,_xlfn.MAXIFS(BD!$A$3:$A$5001,BD!$B$3:$B$5001,C$184,BD!$A$3:$A$5001,"&gt;="&amp;$C$7,BD!$A$3:$A$5001,"&lt;="&amp;$B193,BD!$L$3:$L$5001,"&lt;&gt;"))))</f>
        <v/>
      </c>
      <c r="D193" s="42" t="str">
        <f>IF(OR($B193="",$A193&gt;$B$9),"",IF(COUNTIFS(BD!$B$3:$B$5001,D$184,BD!$A$3:$A$5001,"&gt;="&amp;$C$7,BD!$A$3:$A$5001,"&lt;="&amp;$B193,BD!$L$3:$L$5001,"&lt;&gt;")=0,"",SUMIFS(BD!$L$3:$L$5001,BD!$B$3:$B$5001,D$184,BD!$A$3:$A$5001,_xlfn.MAXIFS(BD!$A$3:$A$5001,BD!$B$3:$B$5001,D$184,BD!$A$3:$A$5001,"&gt;="&amp;$C$7,BD!$A$3:$A$5001,"&lt;="&amp;$B193,BD!$L$3:$L$5001,"&lt;&gt;"))))</f>
        <v/>
      </c>
      <c r="E193" s="42" t="str">
        <f>IF(OR($B193="",$A193&gt;$B$9),"",IF(COUNTIFS(BD!$B$3:$B$5001,E$184,BD!$A$3:$A$5001,"&gt;="&amp;$C$7,BD!$A$3:$A$5001,"&lt;="&amp;$B193,BD!$L$3:$L$5001,"&lt;&gt;")=0,"",SUMIFS(BD!$L$3:$L$5001,BD!$B$3:$B$5001,E$184,BD!$A$3:$A$5001,_xlfn.MAXIFS(BD!$A$3:$A$5001,BD!$B$3:$B$5001,E$184,BD!$A$3:$A$5001,"&gt;="&amp;$C$7,BD!$A$3:$A$5001,"&lt;="&amp;$B193,BD!$L$3:$L$5001,"&lt;&gt;"))))</f>
        <v/>
      </c>
      <c r="F193" s="42" t="str">
        <f>IF(OR($B193="",$A193&gt;$B$9),"",IF(COUNTIFS(BD!$B$3:$B$5001,F$184,BD!$A$3:$A$5001,"&gt;="&amp;$C$7,BD!$A$3:$A$5001,"&lt;="&amp;$B193,BD!$L$3:$L$5001,"&lt;&gt;")=0,"",SUMIFS(BD!$L$3:$L$5001,BD!$B$3:$B$5001,F$184,BD!$A$3:$A$5001,_xlfn.MAXIFS(BD!$A$3:$A$5001,BD!$B$3:$B$5001,F$184,BD!$A$3:$A$5001,"&gt;="&amp;$C$7,BD!$A$3:$A$5001,"&lt;="&amp;$B193,BD!$L$3:$L$5001,"&lt;&gt;"))))</f>
        <v/>
      </c>
      <c r="G193" s="42" t="str">
        <f>IF(OR($B193="",$A193&gt;$B$9),"",IF(COUNTIFS(BD!$B$3:$B$5001,G$184,BD!$A$3:$A$5001,"&gt;="&amp;$C$7,BD!$A$3:$A$5001,"&lt;="&amp;$B193,BD!$L$3:$L$5001,"&lt;&gt;")=0,"",SUMIFS(BD!$L$3:$L$5001,BD!$B$3:$B$5001,G$184,BD!$A$3:$A$5001,_xlfn.MAXIFS(BD!$A$3:$A$5001,BD!$B$3:$B$5001,G$184,BD!$A$3:$A$5001,"&gt;="&amp;$C$7,BD!$A$3:$A$5001,"&lt;="&amp;$B193,BD!$L$3:$L$5001,"&lt;&gt;"))))</f>
        <v/>
      </c>
    </row>
    <row r="194">
      <c r="A194" s="40">
        <v>10</v>
      </c>
      <c r="B194" s="41">
        <f>$B$21</f>
        <v>46305</v>
      </c>
      <c r="C194" s="42" t="str">
        <f>IF(OR($B194="",$A194&gt;$B$9),"",IF(COUNTIFS(BD!$B$3:$B$5001,C$184,BD!$A$3:$A$5001,"&gt;="&amp;$C$7,BD!$A$3:$A$5001,"&lt;="&amp;$B194,BD!$L$3:$L$5001,"&lt;&gt;")=0,"",SUMIFS(BD!$L$3:$L$5001,BD!$B$3:$B$5001,C$184,BD!$A$3:$A$5001,_xlfn.MAXIFS(BD!$A$3:$A$5001,BD!$B$3:$B$5001,C$184,BD!$A$3:$A$5001,"&gt;="&amp;$C$7,BD!$A$3:$A$5001,"&lt;="&amp;$B194,BD!$L$3:$L$5001,"&lt;&gt;"))))</f>
        <v/>
      </c>
      <c r="D194" s="42" t="str">
        <f>IF(OR($B194="",$A194&gt;$B$9),"",IF(COUNTIFS(BD!$B$3:$B$5001,D$184,BD!$A$3:$A$5001,"&gt;="&amp;$C$7,BD!$A$3:$A$5001,"&lt;="&amp;$B194,BD!$L$3:$L$5001,"&lt;&gt;")=0,"",SUMIFS(BD!$L$3:$L$5001,BD!$B$3:$B$5001,D$184,BD!$A$3:$A$5001,_xlfn.MAXIFS(BD!$A$3:$A$5001,BD!$B$3:$B$5001,D$184,BD!$A$3:$A$5001,"&gt;="&amp;$C$7,BD!$A$3:$A$5001,"&lt;="&amp;$B194,BD!$L$3:$L$5001,"&lt;&gt;"))))</f>
        <v/>
      </c>
      <c r="E194" s="42" t="str">
        <f>IF(OR($B194="",$A194&gt;$B$9),"",IF(COUNTIFS(BD!$B$3:$B$5001,E$184,BD!$A$3:$A$5001,"&gt;="&amp;$C$7,BD!$A$3:$A$5001,"&lt;="&amp;$B194,BD!$L$3:$L$5001,"&lt;&gt;")=0,"",SUMIFS(BD!$L$3:$L$5001,BD!$B$3:$B$5001,E$184,BD!$A$3:$A$5001,_xlfn.MAXIFS(BD!$A$3:$A$5001,BD!$B$3:$B$5001,E$184,BD!$A$3:$A$5001,"&gt;="&amp;$C$7,BD!$A$3:$A$5001,"&lt;="&amp;$B194,BD!$L$3:$L$5001,"&lt;&gt;"))))</f>
        <v/>
      </c>
      <c r="F194" s="42" t="str">
        <f>IF(OR($B194="",$A194&gt;$B$9),"",IF(COUNTIFS(BD!$B$3:$B$5001,F$184,BD!$A$3:$A$5001,"&gt;="&amp;$C$7,BD!$A$3:$A$5001,"&lt;="&amp;$B194,BD!$L$3:$L$5001,"&lt;&gt;")=0,"",SUMIFS(BD!$L$3:$L$5001,BD!$B$3:$B$5001,F$184,BD!$A$3:$A$5001,_xlfn.MAXIFS(BD!$A$3:$A$5001,BD!$B$3:$B$5001,F$184,BD!$A$3:$A$5001,"&gt;="&amp;$C$7,BD!$A$3:$A$5001,"&lt;="&amp;$B194,BD!$L$3:$L$5001,"&lt;&gt;"))))</f>
        <v/>
      </c>
      <c r="G194" s="42" t="str">
        <f>IF(OR($B194="",$A194&gt;$B$9),"",IF(COUNTIFS(BD!$B$3:$B$5001,G$184,BD!$A$3:$A$5001,"&gt;="&amp;$C$7,BD!$A$3:$A$5001,"&lt;="&amp;$B194,BD!$L$3:$L$5001,"&lt;&gt;")=0,"",SUMIFS(BD!$L$3:$L$5001,BD!$B$3:$B$5001,G$184,BD!$A$3:$A$5001,_xlfn.MAXIFS(BD!$A$3:$A$5001,BD!$B$3:$B$5001,G$184,BD!$A$3:$A$5001,"&gt;="&amp;$C$7,BD!$A$3:$A$5001,"&lt;="&amp;$B194,BD!$L$3:$L$5001,"&lt;&gt;"))))</f>
        <v/>
      </c>
    </row>
    <row r="195">
      <c r="A195" s="40">
        <v>11</v>
      </c>
      <c r="B195" s="41">
        <f>$B$22</f>
        <v>46306</v>
      </c>
      <c r="C195" s="42" t="str">
        <f>IF(OR($B195="",$A195&gt;$B$9),"",IF(COUNTIFS(BD!$B$3:$B$5001,C$184,BD!$A$3:$A$5001,"&gt;="&amp;$C$7,BD!$A$3:$A$5001,"&lt;="&amp;$B195,BD!$L$3:$L$5001,"&lt;&gt;")=0,"",SUMIFS(BD!$L$3:$L$5001,BD!$B$3:$B$5001,C$184,BD!$A$3:$A$5001,_xlfn.MAXIFS(BD!$A$3:$A$5001,BD!$B$3:$B$5001,C$184,BD!$A$3:$A$5001,"&gt;="&amp;$C$7,BD!$A$3:$A$5001,"&lt;="&amp;$B195,BD!$L$3:$L$5001,"&lt;&gt;"))))</f>
        <v/>
      </c>
      <c r="D195" s="42" t="str">
        <f>IF(OR($B195="",$A195&gt;$B$9),"",IF(COUNTIFS(BD!$B$3:$B$5001,D$184,BD!$A$3:$A$5001,"&gt;="&amp;$C$7,BD!$A$3:$A$5001,"&lt;="&amp;$B195,BD!$L$3:$L$5001,"&lt;&gt;")=0,"",SUMIFS(BD!$L$3:$L$5001,BD!$B$3:$B$5001,D$184,BD!$A$3:$A$5001,_xlfn.MAXIFS(BD!$A$3:$A$5001,BD!$B$3:$B$5001,D$184,BD!$A$3:$A$5001,"&gt;="&amp;$C$7,BD!$A$3:$A$5001,"&lt;="&amp;$B195,BD!$L$3:$L$5001,"&lt;&gt;"))))</f>
        <v/>
      </c>
      <c r="E195" s="42" t="str">
        <f>IF(OR($B195="",$A195&gt;$B$9),"",IF(COUNTIFS(BD!$B$3:$B$5001,E$184,BD!$A$3:$A$5001,"&gt;="&amp;$C$7,BD!$A$3:$A$5001,"&lt;="&amp;$B195,BD!$L$3:$L$5001,"&lt;&gt;")=0,"",SUMIFS(BD!$L$3:$L$5001,BD!$B$3:$B$5001,E$184,BD!$A$3:$A$5001,_xlfn.MAXIFS(BD!$A$3:$A$5001,BD!$B$3:$B$5001,E$184,BD!$A$3:$A$5001,"&gt;="&amp;$C$7,BD!$A$3:$A$5001,"&lt;="&amp;$B195,BD!$L$3:$L$5001,"&lt;&gt;"))))</f>
        <v/>
      </c>
      <c r="F195" s="42" t="str">
        <f>IF(OR($B195="",$A195&gt;$B$9),"",IF(COUNTIFS(BD!$B$3:$B$5001,F$184,BD!$A$3:$A$5001,"&gt;="&amp;$C$7,BD!$A$3:$A$5001,"&lt;="&amp;$B195,BD!$L$3:$L$5001,"&lt;&gt;")=0,"",SUMIFS(BD!$L$3:$L$5001,BD!$B$3:$B$5001,F$184,BD!$A$3:$A$5001,_xlfn.MAXIFS(BD!$A$3:$A$5001,BD!$B$3:$B$5001,F$184,BD!$A$3:$A$5001,"&gt;="&amp;$C$7,BD!$A$3:$A$5001,"&lt;="&amp;$B195,BD!$L$3:$L$5001,"&lt;&gt;"))))</f>
        <v/>
      </c>
      <c r="G195" s="42" t="str">
        <f>IF(OR($B195="",$A195&gt;$B$9),"",IF(COUNTIFS(BD!$B$3:$B$5001,G$184,BD!$A$3:$A$5001,"&gt;="&amp;$C$7,BD!$A$3:$A$5001,"&lt;="&amp;$B195,BD!$L$3:$L$5001,"&lt;&gt;")=0,"",SUMIFS(BD!$L$3:$L$5001,BD!$B$3:$B$5001,G$184,BD!$A$3:$A$5001,_xlfn.MAXIFS(BD!$A$3:$A$5001,BD!$B$3:$B$5001,G$184,BD!$A$3:$A$5001,"&gt;="&amp;$C$7,BD!$A$3:$A$5001,"&lt;="&amp;$B195,BD!$L$3:$L$5001,"&lt;&gt;"))))</f>
        <v/>
      </c>
    </row>
    <row r="196">
      <c r="A196" s="40">
        <v>12</v>
      </c>
      <c r="B196" s="41">
        <f>$B$23</f>
        <v>46307</v>
      </c>
      <c r="C196" s="42" t="str">
        <f>IF(OR($B196="",$A196&gt;$B$9),"",IF(COUNTIFS(BD!$B$3:$B$5001,C$184,BD!$A$3:$A$5001,"&gt;="&amp;$C$7,BD!$A$3:$A$5001,"&lt;="&amp;$B196,BD!$L$3:$L$5001,"&lt;&gt;")=0,"",SUMIFS(BD!$L$3:$L$5001,BD!$B$3:$B$5001,C$184,BD!$A$3:$A$5001,_xlfn.MAXIFS(BD!$A$3:$A$5001,BD!$B$3:$B$5001,C$184,BD!$A$3:$A$5001,"&gt;="&amp;$C$7,BD!$A$3:$A$5001,"&lt;="&amp;$B196,BD!$L$3:$L$5001,"&lt;&gt;"))))</f>
        <v/>
      </c>
      <c r="D196" s="42" t="str">
        <f>IF(OR($B196="",$A196&gt;$B$9),"",IF(COUNTIFS(BD!$B$3:$B$5001,D$184,BD!$A$3:$A$5001,"&gt;="&amp;$C$7,BD!$A$3:$A$5001,"&lt;="&amp;$B196,BD!$L$3:$L$5001,"&lt;&gt;")=0,"",SUMIFS(BD!$L$3:$L$5001,BD!$B$3:$B$5001,D$184,BD!$A$3:$A$5001,_xlfn.MAXIFS(BD!$A$3:$A$5001,BD!$B$3:$B$5001,D$184,BD!$A$3:$A$5001,"&gt;="&amp;$C$7,BD!$A$3:$A$5001,"&lt;="&amp;$B196,BD!$L$3:$L$5001,"&lt;&gt;"))))</f>
        <v/>
      </c>
      <c r="E196" s="42" t="str">
        <f>IF(OR($B196="",$A196&gt;$B$9),"",IF(COUNTIFS(BD!$B$3:$B$5001,E$184,BD!$A$3:$A$5001,"&gt;="&amp;$C$7,BD!$A$3:$A$5001,"&lt;="&amp;$B196,BD!$L$3:$L$5001,"&lt;&gt;")=0,"",SUMIFS(BD!$L$3:$L$5001,BD!$B$3:$B$5001,E$184,BD!$A$3:$A$5001,_xlfn.MAXIFS(BD!$A$3:$A$5001,BD!$B$3:$B$5001,E$184,BD!$A$3:$A$5001,"&gt;="&amp;$C$7,BD!$A$3:$A$5001,"&lt;="&amp;$B196,BD!$L$3:$L$5001,"&lt;&gt;"))))</f>
        <v/>
      </c>
      <c r="F196" s="42" t="str">
        <f>IF(OR($B196="",$A196&gt;$B$9),"",IF(COUNTIFS(BD!$B$3:$B$5001,F$184,BD!$A$3:$A$5001,"&gt;="&amp;$C$7,BD!$A$3:$A$5001,"&lt;="&amp;$B196,BD!$L$3:$L$5001,"&lt;&gt;")=0,"",SUMIFS(BD!$L$3:$L$5001,BD!$B$3:$B$5001,F$184,BD!$A$3:$A$5001,_xlfn.MAXIFS(BD!$A$3:$A$5001,BD!$B$3:$B$5001,F$184,BD!$A$3:$A$5001,"&gt;="&amp;$C$7,BD!$A$3:$A$5001,"&lt;="&amp;$B196,BD!$L$3:$L$5001,"&lt;&gt;"))))</f>
        <v/>
      </c>
      <c r="G196" s="42" t="str">
        <f>IF(OR($B196="",$A196&gt;$B$9),"",IF(COUNTIFS(BD!$B$3:$B$5001,G$184,BD!$A$3:$A$5001,"&gt;="&amp;$C$7,BD!$A$3:$A$5001,"&lt;="&amp;$B196,BD!$L$3:$L$5001,"&lt;&gt;")=0,"",SUMIFS(BD!$L$3:$L$5001,BD!$B$3:$B$5001,G$184,BD!$A$3:$A$5001,_xlfn.MAXIFS(BD!$A$3:$A$5001,BD!$B$3:$B$5001,G$184,BD!$A$3:$A$5001,"&gt;="&amp;$C$7,BD!$A$3:$A$5001,"&lt;="&amp;$B196,BD!$L$3:$L$5001,"&lt;&gt;"))))</f>
        <v/>
      </c>
    </row>
    <row r="197">
      <c r="A197" s="40">
        <v>13</v>
      </c>
      <c r="B197" s="41">
        <f>$B$24</f>
        <v>46308</v>
      </c>
      <c r="C197" s="42" t="str">
        <f>IF(OR($B197="",$A197&gt;$B$9),"",IF(COUNTIFS(BD!$B$3:$B$5001,C$184,BD!$A$3:$A$5001,"&gt;="&amp;$C$7,BD!$A$3:$A$5001,"&lt;="&amp;$B197,BD!$L$3:$L$5001,"&lt;&gt;")=0,"",SUMIFS(BD!$L$3:$L$5001,BD!$B$3:$B$5001,C$184,BD!$A$3:$A$5001,_xlfn.MAXIFS(BD!$A$3:$A$5001,BD!$B$3:$B$5001,C$184,BD!$A$3:$A$5001,"&gt;="&amp;$C$7,BD!$A$3:$A$5001,"&lt;="&amp;$B197,BD!$L$3:$L$5001,"&lt;&gt;"))))</f>
        <v/>
      </c>
      <c r="D197" s="42" t="str">
        <f>IF(OR($B197="",$A197&gt;$B$9),"",IF(COUNTIFS(BD!$B$3:$B$5001,D$184,BD!$A$3:$A$5001,"&gt;="&amp;$C$7,BD!$A$3:$A$5001,"&lt;="&amp;$B197,BD!$L$3:$L$5001,"&lt;&gt;")=0,"",SUMIFS(BD!$L$3:$L$5001,BD!$B$3:$B$5001,D$184,BD!$A$3:$A$5001,_xlfn.MAXIFS(BD!$A$3:$A$5001,BD!$B$3:$B$5001,D$184,BD!$A$3:$A$5001,"&gt;="&amp;$C$7,BD!$A$3:$A$5001,"&lt;="&amp;$B197,BD!$L$3:$L$5001,"&lt;&gt;"))))</f>
        <v/>
      </c>
      <c r="E197" s="42" t="str">
        <f>IF(OR($B197="",$A197&gt;$B$9),"",IF(COUNTIFS(BD!$B$3:$B$5001,E$184,BD!$A$3:$A$5001,"&gt;="&amp;$C$7,BD!$A$3:$A$5001,"&lt;="&amp;$B197,BD!$L$3:$L$5001,"&lt;&gt;")=0,"",SUMIFS(BD!$L$3:$L$5001,BD!$B$3:$B$5001,E$184,BD!$A$3:$A$5001,_xlfn.MAXIFS(BD!$A$3:$A$5001,BD!$B$3:$B$5001,E$184,BD!$A$3:$A$5001,"&gt;="&amp;$C$7,BD!$A$3:$A$5001,"&lt;="&amp;$B197,BD!$L$3:$L$5001,"&lt;&gt;"))))</f>
        <v/>
      </c>
      <c r="F197" s="42" t="str">
        <f>IF(OR($B197="",$A197&gt;$B$9),"",IF(COUNTIFS(BD!$B$3:$B$5001,F$184,BD!$A$3:$A$5001,"&gt;="&amp;$C$7,BD!$A$3:$A$5001,"&lt;="&amp;$B197,BD!$L$3:$L$5001,"&lt;&gt;")=0,"",SUMIFS(BD!$L$3:$L$5001,BD!$B$3:$B$5001,F$184,BD!$A$3:$A$5001,_xlfn.MAXIFS(BD!$A$3:$A$5001,BD!$B$3:$B$5001,F$184,BD!$A$3:$A$5001,"&gt;="&amp;$C$7,BD!$A$3:$A$5001,"&lt;="&amp;$B197,BD!$L$3:$L$5001,"&lt;&gt;"))))</f>
        <v/>
      </c>
      <c r="G197" s="42" t="str">
        <f>IF(OR($B197="",$A197&gt;$B$9),"",IF(COUNTIFS(BD!$B$3:$B$5001,G$184,BD!$A$3:$A$5001,"&gt;="&amp;$C$7,BD!$A$3:$A$5001,"&lt;="&amp;$B197,BD!$L$3:$L$5001,"&lt;&gt;")=0,"",SUMIFS(BD!$L$3:$L$5001,BD!$B$3:$B$5001,G$184,BD!$A$3:$A$5001,_xlfn.MAXIFS(BD!$A$3:$A$5001,BD!$B$3:$B$5001,G$184,BD!$A$3:$A$5001,"&gt;="&amp;$C$7,BD!$A$3:$A$5001,"&lt;="&amp;$B197,BD!$L$3:$L$5001,"&lt;&gt;"))))</f>
        <v/>
      </c>
    </row>
    <row r="198">
      <c r="A198" s="40">
        <v>14</v>
      </c>
      <c r="B198" s="41">
        <f>$B$25</f>
        <v>46309</v>
      </c>
      <c r="C198" s="42" t="str">
        <f>IF(OR($B198="",$A198&gt;$B$9),"",IF(COUNTIFS(BD!$B$3:$B$5001,C$184,BD!$A$3:$A$5001,"&gt;="&amp;$C$7,BD!$A$3:$A$5001,"&lt;="&amp;$B198,BD!$L$3:$L$5001,"&lt;&gt;")=0,"",SUMIFS(BD!$L$3:$L$5001,BD!$B$3:$B$5001,C$184,BD!$A$3:$A$5001,_xlfn.MAXIFS(BD!$A$3:$A$5001,BD!$B$3:$B$5001,C$184,BD!$A$3:$A$5001,"&gt;="&amp;$C$7,BD!$A$3:$A$5001,"&lt;="&amp;$B198,BD!$L$3:$L$5001,"&lt;&gt;"))))</f>
        <v/>
      </c>
      <c r="D198" s="42" t="str">
        <f>IF(OR($B198="",$A198&gt;$B$9),"",IF(COUNTIFS(BD!$B$3:$B$5001,D$184,BD!$A$3:$A$5001,"&gt;="&amp;$C$7,BD!$A$3:$A$5001,"&lt;="&amp;$B198,BD!$L$3:$L$5001,"&lt;&gt;")=0,"",SUMIFS(BD!$L$3:$L$5001,BD!$B$3:$B$5001,D$184,BD!$A$3:$A$5001,_xlfn.MAXIFS(BD!$A$3:$A$5001,BD!$B$3:$B$5001,D$184,BD!$A$3:$A$5001,"&gt;="&amp;$C$7,BD!$A$3:$A$5001,"&lt;="&amp;$B198,BD!$L$3:$L$5001,"&lt;&gt;"))))</f>
        <v/>
      </c>
      <c r="E198" s="42" t="str">
        <f>IF(OR($B198="",$A198&gt;$B$9),"",IF(COUNTIFS(BD!$B$3:$B$5001,E$184,BD!$A$3:$A$5001,"&gt;="&amp;$C$7,BD!$A$3:$A$5001,"&lt;="&amp;$B198,BD!$L$3:$L$5001,"&lt;&gt;")=0,"",SUMIFS(BD!$L$3:$L$5001,BD!$B$3:$B$5001,E$184,BD!$A$3:$A$5001,_xlfn.MAXIFS(BD!$A$3:$A$5001,BD!$B$3:$B$5001,E$184,BD!$A$3:$A$5001,"&gt;="&amp;$C$7,BD!$A$3:$A$5001,"&lt;="&amp;$B198,BD!$L$3:$L$5001,"&lt;&gt;"))))</f>
        <v/>
      </c>
      <c r="F198" s="42" t="str">
        <f>IF(OR($B198="",$A198&gt;$B$9),"",IF(COUNTIFS(BD!$B$3:$B$5001,F$184,BD!$A$3:$A$5001,"&gt;="&amp;$C$7,BD!$A$3:$A$5001,"&lt;="&amp;$B198,BD!$L$3:$L$5001,"&lt;&gt;")=0,"",SUMIFS(BD!$L$3:$L$5001,BD!$B$3:$B$5001,F$184,BD!$A$3:$A$5001,_xlfn.MAXIFS(BD!$A$3:$A$5001,BD!$B$3:$B$5001,F$184,BD!$A$3:$A$5001,"&gt;="&amp;$C$7,BD!$A$3:$A$5001,"&lt;="&amp;$B198,BD!$L$3:$L$5001,"&lt;&gt;"))))</f>
        <v/>
      </c>
      <c r="G198" s="42" t="str">
        <f>IF(OR($B198="",$A198&gt;$B$9),"",IF(COUNTIFS(BD!$B$3:$B$5001,G$184,BD!$A$3:$A$5001,"&gt;="&amp;$C$7,BD!$A$3:$A$5001,"&lt;="&amp;$B198,BD!$L$3:$L$5001,"&lt;&gt;")=0,"",SUMIFS(BD!$L$3:$L$5001,BD!$B$3:$B$5001,G$184,BD!$A$3:$A$5001,_xlfn.MAXIFS(BD!$A$3:$A$5001,BD!$B$3:$B$5001,G$184,BD!$A$3:$A$5001,"&gt;="&amp;$C$7,BD!$A$3:$A$5001,"&lt;="&amp;$B198,BD!$L$3:$L$5001,"&lt;&gt;"))))</f>
        <v/>
      </c>
    </row>
    <row r="199">
      <c r="A199" s="40">
        <v>15</v>
      </c>
      <c r="B199" s="41">
        <f>$B$26</f>
        <v>46310</v>
      </c>
      <c r="C199" s="42" t="str">
        <f>IF(OR($B199="",$A199&gt;$B$9),"",IF(COUNTIFS(BD!$B$3:$B$5001,C$184,BD!$A$3:$A$5001,"&gt;="&amp;$C$7,BD!$A$3:$A$5001,"&lt;="&amp;$B199,BD!$L$3:$L$5001,"&lt;&gt;")=0,"",SUMIFS(BD!$L$3:$L$5001,BD!$B$3:$B$5001,C$184,BD!$A$3:$A$5001,_xlfn.MAXIFS(BD!$A$3:$A$5001,BD!$B$3:$B$5001,C$184,BD!$A$3:$A$5001,"&gt;="&amp;$C$7,BD!$A$3:$A$5001,"&lt;="&amp;$B199,BD!$L$3:$L$5001,"&lt;&gt;"))))</f>
        <v/>
      </c>
      <c r="D199" s="42" t="str">
        <f>IF(OR($B199="",$A199&gt;$B$9),"",IF(COUNTIFS(BD!$B$3:$B$5001,D$184,BD!$A$3:$A$5001,"&gt;="&amp;$C$7,BD!$A$3:$A$5001,"&lt;="&amp;$B199,BD!$L$3:$L$5001,"&lt;&gt;")=0,"",SUMIFS(BD!$L$3:$L$5001,BD!$B$3:$B$5001,D$184,BD!$A$3:$A$5001,_xlfn.MAXIFS(BD!$A$3:$A$5001,BD!$B$3:$B$5001,D$184,BD!$A$3:$A$5001,"&gt;="&amp;$C$7,BD!$A$3:$A$5001,"&lt;="&amp;$B199,BD!$L$3:$L$5001,"&lt;&gt;"))))</f>
        <v/>
      </c>
      <c r="E199" s="42" t="str">
        <f>IF(OR($B199="",$A199&gt;$B$9),"",IF(COUNTIFS(BD!$B$3:$B$5001,E$184,BD!$A$3:$A$5001,"&gt;="&amp;$C$7,BD!$A$3:$A$5001,"&lt;="&amp;$B199,BD!$L$3:$L$5001,"&lt;&gt;")=0,"",SUMIFS(BD!$L$3:$L$5001,BD!$B$3:$B$5001,E$184,BD!$A$3:$A$5001,_xlfn.MAXIFS(BD!$A$3:$A$5001,BD!$B$3:$B$5001,E$184,BD!$A$3:$A$5001,"&gt;="&amp;$C$7,BD!$A$3:$A$5001,"&lt;="&amp;$B199,BD!$L$3:$L$5001,"&lt;&gt;"))))</f>
        <v/>
      </c>
      <c r="F199" s="42" t="str">
        <f>IF(OR($B199="",$A199&gt;$B$9),"",IF(COUNTIFS(BD!$B$3:$B$5001,F$184,BD!$A$3:$A$5001,"&gt;="&amp;$C$7,BD!$A$3:$A$5001,"&lt;="&amp;$B199,BD!$L$3:$L$5001,"&lt;&gt;")=0,"",SUMIFS(BD!$L$3:$L$5001,BD!$B$3:$B$5001,F$184,BD!$A$3:$A$5001,_xlfn.MAXIFS(BD!$A$3:$A$5001,BD!$B$3:$B$5001,F$184,BD!$A$3:$A$5001,"&gt;="&amp;$C$7,BD!$A$3:$A$5001,"&lt;="&amp;$B199,BD!$L$3:$L$5001,"&lt;&gt;"))))</f>
        <v/>
      </c>
      <c r="G199" s="42" t="str">
        <f>IF(OR($B199="",$A199&gt;$B$9),"",IF(COUNTIFS(BD!$B$3:$B$5001,G$184,BD!$A$3:$A$5001,"&gt;="&amp;$C$7,BD!$A$3:$A$5001,"&lt;="&amp;$B199,BD!$L$3:$L$5001,"&lt;&gt;")=0,"",SUMIFS(BD!$L$3:$L$5001,BD!$B$3:$B$5001,G$184,BD!$A$3:$A$5001,_xlfn.MAXIFS(BD!$A$3:$A$5001,BD!$B$3:$B$5001,G$184,BD!$A$3:$A$5001,"&gt;="&amp;$C$7,BD!$A$3:$A$5001,"&lt;="&amp;$B199,BD!$L$3:$L$5001,"&lt;&gt;"))))</f>
        <v/>
      </c>
    </row>
    <row r="200">
      <c r="A200" s="40">
        <v>16</v>
      </c>
      <c r="B200" s="41">
        <f>$B$27</f>
        <v>46311</v>
      </c>
      <c r="C200" s="42" t="str">
        <f>IF(OR($B200="",$A200&gt;$B$9),"",IF(COUNTIFS(BD!$B$3:$B$5001,C$184,BD!$A$3:$A$5001,"&gt;="&amp;$C$7,BD!$A$3:$A$5001,"&lt;="&amp;$B200,BD!$L$3:$L$5001,"&lt;&gt;")=0,"",SUMIFS(BD!$L$3:$L$5001,BD!$B$3:$B$5001,C$184,BD!$A$3:$A$5001,_xlfn.MAXIFS(BD!$A$3:$A$5001,BD!$B$3:$B$5001,C$184,BD!$A$3:$A$5001,"&gt;="&amp;$C$7,BD!$A$3:$A$5001,"&lt;="&amp;$B200,BD!$L$3:$L$5001,"&lt;&gt;"))))</f>
        <v/>
      </c>
      <c r="D200" s="42" t="str">
        <f>IF(OR($B200="",$A200&gt;$B$9),"",IF(COUNTIFS(BD!$B$3:$B$5001,D$184,BD!$A$3:$A$5001,"&gt;="&amp;$C$7,BD!$A$3:$A$5001,"&lt;="&amp;$B200,BD!$L$3:$L$5001,"&lt;&gt;")=0,"",SUMIFS(BD!$L$3:$L$5001,BD!$B$3:$B$5001,D$184,BD!$A$3:$A$5001,_xlfn.MAXIFS(BD!$A$3:$A$5001,BD!$B$3:$B$5001,D$184,BD!$A$3:$A$5001,"&gt;="&amp;$C$7,BD!$A$3:$A$5001,"&lt;="&amp;$B200,BD!$L$3:$L$5001,"&lt;&gt;"))))</f>
        <v/>
      </c>
      <c r="E200" s="42" t="str">
        <f>IF(OR($B200="",$A200&gt;$B$9),"",IF(COUNTIFS(BD!$B$3:$B$5001,E$184,BD!$A$3:$A$5001,"&gt;="&amp;$C$7,BD!$A$3:$A$5001,"&lt;="&amp;$B200,BD!$L$3:$L$5001,"&lt;&gt;")=0,"",SUMIFS(BD!$L$3:$L$5001,BD!$B$3:$B$5001,E$184,BD!$A$3:$A$5001,_xlfn.MAXIFS(BD!$A$3:$A$5001,BD!$B$3:$B$5001,E$184,BD!$A$3:$A$5001,"&gt;="&amp;$C$7,BD!$A$3:$A$5001,"&lt;="&amp;$B200,BD!$L$3:$L$5001,"&lt;&gt;"))))</f>
        <v/>
      </c>
      <c r="F200" s="42" t="str">
        <f>IF(OR($B200="",$A200&gt;$B$9),"",IF(COUNTIFS(BD!$B$3:$B$5001,F$184,BD!$A$3:$A$5001,"&gt;="&amp;$C$7,BD!$A$3:$A$5001,"&lt;="&amp;$B200,BD!$L$3:$L$5001,"&lt;&gt;")=0,"",SUMIFS(BD!$L$3:$L$5001,BD!$B$3:$B$5001,F$184,BD!$A$3:$A$5001,_xlfn.MAXIFS(BD!$A$3:$A$5001,BD!$B$3:$B$5001,F$184,BD!$A$3:$A$5001,"&gt;="&amp;$C$7,BD!$A$3:$A$5001,"&lt;="&amp;$B200,BD!$L$3:$L$5001,"&lt;&gt;"))))</f>
        <v/>
      </c>
      <c r="G200" s="42" t="str">
        <f>IF(OR($B200="",$A200&gt;$B$9),"",IF(COUNTIFS(BD!$B$3:$B$5001,G$184,BD!$A$3:$A$5001,"&gt;="&amp;$C$7,BD!$A$3:$A$5001,"&lt;="&amp;$B200,BD!$L$3:$L$5001,"&lt;&gt;")=0,"",SUMIFS(BD!$L$3:$L$5001,BD!$B$3:$B$5001,G$184,BD!$A$3:$A$5001,_xlfn.MAXIFS(BD!$A$3:$A$5001,BD!$B$3:$B$5001,G$184,BD!$A$3:$A$5001,"&gt;="&amp;$C$7,BD!$A$3:$A$5001,"&lt;="&amp;$B200,BD!$L$3:$L$5001,"&lt;&gt;"))))</f>
        <v/>
      </c>
    </row>
    <row r="201">
      <c r="A201" s="40">
        <v>17</v>
      </c>
      <c r="B201" s="41">
        <f>$B$28</f>
        <v>46312</v>
      </c>
      <c r="C201" s="42" t="str">
        <f>IF(OR($B201="",$A201&gt;$B$9),"",IF(COUNTIFS(BD!$B$3:$B$5001,C$184,BD!$A$3:$A$5001,"&gt;="&amp;$C$7,BD!$A$3:$A$5001,"&lt;="&amp;$B201,BD!$L$3:$L$5001,"&lt;&gt;")=0,"",SUMIFS(BD!$L$3:$L$5001,BD!$B$3:$B$5001,C$184,BD!$A$3:$A$5001,_xlfn.MAXIFS(BD!$A$3:$A$5001,BD!$B$3:$B$5001,C$184,BD!$A$3:$A$5001,"&gt;="&amp;$C$7,BD!$A$3:$A$5001,"&lt;="&amp;$B201,BD!$L$3:$L$5001,"&lt;&gt;"))))</f>
        <v/>
      </c>
      <c r="D201" s="42" t="str">
        <f>IF(OR($B201="",$A201&gt;$B$9),"",IF(COUNTIFS(BD!$B$3:$B$5001,D$184,BD!$A$3:$A$5001,"&gt;="&amp;$C$7,BD!$A$3:$A$5001,"&lt;="&amp;$B201,BD!$L$3:$L$5001,"&lt;&gt;")=0,"",SUMIFS(BD!$L$3:$L$5001,BD!$B$3:$B$5001,D$184,BD!$A$3:$A$5001,_xlfn.MAXIFS(BD!$A$3:$A$5001,BD!$B$3:$B$5001,D$184,BD!$A$3:$A$5001,"&gt;="&amp;$C$7,BD!$A$3:$A$5001,"&lt;="&amp;$B201,BD!$L$3:$L$5001,"&lt;&gt;"))))</f>
        <v/>
      </c>
      <c r="E201" s="42" t="str">
        <f>IF(OR($B201="",$A201&gt;$B$9),"",IF(COUNTIFS(BD!$B$3:$B$5001,E$184,BD!$A$3:$A$5001,"&gt;="&amp;$C$7,BD!$A$3:$A$5001,"&lt;="&amp;$B201,BD!$L$3:$L$5001,"&lt;&gt;")=0,"",SUMIFS(BD!$L$3:$L$5001,BD!$B$3:$B$5001,E$184,BD!$A$3:$A$5001,_xlfn.MAXIFS(BD!$A$3:$A$5001,BD!$B$3:$B$5001,E$184,BD!$A$3:$A$5001,"&gt;="&amp;$C$7,BD!$A$3:$A$5001,"&lt;="&amp;$B201,BD!$L$3:$L$5001,"&lt;&gt;"))))</f>
        <v/>
      </c>
      <c r="F201" s="42" t="str">
        <f>IF(OR($B201="",$A201&gt;$B$9),"",IF(COUNTIFS(BD!$B$3:$B$5001,F$184,BD!$A$3:$A$5001,"&gt;="&amp;$C$7,BD!$A$3:$A$5001,"&lt;="&amp;$B201,BD!$L$3:$L$5001,"&lt;&gt;")=0,"",SUMIFS(BD!$L$3:$L$5001,BD!$B$3:$B$5001,F$184,BD!$A$3:$A$5001,_xlfn.MAXIFS(BD!$A$3:$A$5001,BD!$B$3:$B$5001,F$184,BD!$A$3:$A$5001,"&gt;="&amp;$C$7,BD!$A$3:$A$5001,"&lt;="&amp;$B201,BD!$L$3:$L$5001,"&lt;&gt;"))))</f>
        <v/>
      </c>
      <c r="G201" s="42" t="str">
        <f>IF(OR($B201="",$A201&gt;$B$9),"",IF(COUNTIFS(BD!$B$3:$B$5001,G$184,BD!$A$3:$A$5001,"&gt;="&amp;$C$7,BD!$A$3:$A$5001,"&lt;="&amp;$B201,BD!$L$3:$L$5001,"&lt;&gt;")=0,"",SUMIFS(BD!$L$3:$L$5001,BD!$B$3:$B$5001,G$184,BD!$A$3:$A$5001,_xlfn.MAXIFS(BD!$A$3:$A$5001,BD!$B$3:$B$5001,G$184,BD!$A$3:$A$5001,"&gt;="&amp;$C$7,BD!$A$3:$A$5001,"&lt;="&amp;$B201,BD!$L$3:$L$5001,"&lt;&gt;"))))</f>
        <v/>
      </c>
    </row>
    <row r="202">
      <c r="A202" s="40">
        <v>18</v>
      </c>
      <c r="B202" s="41">
        <f>$B$29</f>
        <v>46313</v>
      </c>
      <c r="C202" s="42" t="str">
        <f>IF(OR($B202="",$A202&gt;$B$9),"",IF(COUNTIFS(BD!$B$3:$B$5001,C$184,BD!$A$3:$A$5001,"&gt;="&amp;$C$7,BD!$A$3:$A$5001,"&lt;="&amp;$B202,BD!$L$3:$L$5001,"&lt;&gt;")=0,"",SUMIFS(BD!$L$3:$L$5001,BD!$B$3:$B$5001,C$184,BD!$A$3:$A$5001,_xlfn.MAXIFS(BD!$A$3:$A$5001,BD!$B$3:$B$5001,C$184,BD!$A$3:$A$5001,"&gt;="&amp;$C$7,BD!$A$3:$A$5001,"&lt;="&amp;$B202,BD!$L$3:$L$5001,"&lt;&gt;"))))</f>
        <v/>
      </c>
      <c r="D202" s="42" t="str">
        <f>IF(OR($B202="",$A202&gt;$B$9),"",IF(COUNTIFS(BD!$B$3:$B$5001,D$184,BD!$A$3:$A$5001,"&gt;="&amp;$C$7,BD!$A$3:$A$5001,"&lt;="&amp;$B202,BD!$L$3:$L$5001,"&lt;&gt;")=0,"",SUMIFS(BD!$L$3:$L$5001,BD!$B$3:$B$5001,D$184,BD!$A$3:$A$5001,_xlfn.MAXIFS(BD!$A$3:$A$5001,BD!$B$3:$B$5001,D$184,BD!$A$3:$A$5001,"&gt;="&amp;$C$7,BD!$A$3:$A$5001,"&lt;="&amp;$B202,BD!$L$3:$L$5001,"&lt;&gt;"))))</f>
        <v/>
      </c>
      <c r="E202" s="42" t="str">
        <f>IF(OR($B202="",$A202&gt;$B$9),"",IF(COUNTIFS(BD!$B$3:$B$5001,E$184,BD!$A$3:$A$5001,"&gt;="&amp;$C$7,BD!$A$3:$A$5001,"&lt;="&amp;$B202,BD!$L$3:$L$5001,"&lt;&gt;")=0,"",SUMIFS(BD!$L$3:$L$5001,BD!$B$3:$B$5001,E$184,BD!$A$3:$A$5001,_xlfn.MAXIFS(BD!$A$3:$A$5001,BD!$B$3:$B$5001,E$184,BD!$A$3:$A$5001,"&gt;="&amp;$C$7,BD!$A$3:$A$5001,"&lt;="&amp;$B202,BD!$L$3:$L$5001,"&lt;&gt;"))))</f>
        <v/>
      </c>
      <c r="F202" s="42" t="str">
        <f>IF(OR($B202="",$A202&gt;$B$9),"",IF(COUNTIFS(BD!$B$3:$B$5001,F$184,BD!$A$3:$A$5001,"&gt;="&amp;$C$7,BD!$A$3:$A$5001,"&lt;="&amp;$B202,BD!$L$3:$L$5001,"&lt;&gt;")=0,"",SUMIFS(BD!$L$3:$L$5001,BD!$B$3:$B$5001,F$184,BD!$A$3:$A$5001,_xlfn.MAXIFS(BD!$A$3:$A$5001,BD!$B$3:$B$5001,F$184,BD!$A$3:$A$5001,"&gt;="&amp;$C$7,BD!$A$3:$A$5001,"&lt;="&amp;$B202,BD!$L$3:$L$5001,"&lt;&gt;"))))</f>
        <v/>
      </c>
      <c r="G202" s="42" t="str">
        <f>IF(OR($B202="",$A202&gt;$B$9),"",IF(COUNTIFS(BD!$B$3:$B$5001,G$184,BD!$A$3:$A$5001,"&gt;="&amp;$C$7,BD!$A$3:$A$5001,"&lt;="&amp;$B202,BD!$L$3:$L$5001,"&lt;&gt;")=0,"",SUMIFS(BD!$L$3:$L$5001,BD!$B$3:$B$5001,G$184,BD!$A$3:$A$5001,_xlfn.MAXIFS(BD!$A$3:$A$5001,BD!$B$3:$B$5001,G$184,BD!$A$3:$A$5001,"&gt;="&amp;$C$7,BD!$A$3:$A$5001,"&lt;="&amp;$B202,BD!$L$3:$L$5001,"&lt;&gt;"))))</f>
        <v/>
      </c>
    </row>
    <row r="203">
      <c r="A203" s="40">
        <v>19</v>
      </c>
      <c r="B203" s="41">
        <f>$B$30</f>
        <v>46314</v>
      </c>
      <c r="C203" s="42" t="str">
        <f>IF(OR($B203="",$A203&gt;$B$9),"",IF(COUNTIFS(BD!$B$3:$B$5001,C$184,BD!$A$3:$A$5001,"&gt;="&amp;$C$7,BD!$A$3:$A$5001,"&lt;="&amp;$B203,BD!$L$3:$L$5001,"&lt;&gt;")=0,"",SUMIFS(BD!$L$3:$L$5001,BD!$B$3:$B$5001,C$184,BD!$A$3:$A$5001,_xlfn.MAXIFS(BD!$A$3:$A$5001,BD!$B$3:$B$5001,C$184,BD!$A$3:$A$5001,"&gt;="&amp;$C$7,BD!$A$3:$A$5001,"&lt;="&amp;$B203,BD!$L$3:$L$5001,"&lt;&gt;"))))</f>
        <v/>
      </c>
      <c r="D203" s="42" t="str">
        <f>IF(OR($B203="",$A203&gt;$B$9),"",IF(COUNTIFS(BD!$B$3:$B$5001,D$184,BD!$A$3:$A$5001,"&gt;="&amp;$C$7,BD!$A$3:$A$5001,"&lt;="&amp;$B203,BD!$L$3:$L$5001,"&lt;&gt;")=0,"",SUMIFS(BD!$L$3:$L$5001,BD!$B$3:$B$5001,D$184,BD!$A$3:$A$5001,_xlfn.MAXIFS(BD!$A$3:$A$5001,BD!$B$3:$B$5001,D$184,BD!$A$3:$A$5001,"&gt;="&amp;$C$7,BD!$A$3:$A$5001,"&lt;="&amp;$B203,BD!$L$3:$L$5001,"&lt;&gt;"))))</f>
        <v/>
      </c>
      <c r="E203" s="42" t="str">
        <f>IF(OR($B203="",$A203&gt;$B$9),"",IF(COUNTIFS(BD!$B$3:$B$5001,E$184,BD!$A$3:$A$5001,"&gt;="&amp;$C$7,BD!$A$3:$A$5001,"&lt;="&amp;$B203,BD!$L$3:$L$5001,"&lt;&gt;")=0,"",SUMIFS(BD!$L$3:$L$5001,BD!$B$3:$B$5001,E$184,BD!$A$3:$A$5001,_xlfn.MAXIFS(BD!$A$3:$A$5001,BD!$B$3:$B$5001,E$184,BD!$A$3:$A$5001,"&gt;="&amp;$C$7,BD!$A$3:$A$5001,"&lt;="&amp;$B203,BD!$L$3:$L$5001,"&lt;&gt;"))))</f>
        <v/>
      </c>
      <c r="F203" s="42" t="str">
        <f>IF(OR($B203="",$A203&gt;$B$9),"",IF(COUNTIFS(BD!$B$3:$B$5001,F$184,BD!$A$3:$A$5001,"&gt;="&amp;$C$7,BD!$A$3:$A$5001,"&lt;="&amp;$B203,BD!$L$3:$L$5001,"&lt;&gt;")=0,"",SUMIFS(BD!$L$3:$L$5001,BD!$B$3:$B$5001,F$184,BD!$A$3:$A$5001,_xlfn.MAXIFS(BD!$A$3:$A$5001,BD!$B$3:$B$5001,F$184,BD!$A$3:$A$5001,"&gt;="&amp;$C$7,BD!$A$3:$A$5001,"&lt;="&amp;$B203,BD!$L$3:$L$5001,"&lt;&gt;"))))</f>
        <v/>
      </c>
      <c r="G203" s="42" t="str">
        <f>IF(OR($B203="",$A203&gt;$B$9),"",IF(COUNTIFS(BD!$B$3:$B$5001,G$184,BD!$A$3:$A$5001,"&gt;="&amp;$C$7,BD!$A$3:$A$5001,"&lt;="&amp;$B203,BD!$L$3:$L$5001,"&lt;&gt;")=0,"",SUMIFS(BD!$L$3:$L$5001,BD!$B$3:$B$5001,G$184,BD!$A$3:$A$5001,_xlfn.MAXIFS(BD!$A$3:$A$5001,BD!$B$3:$B$5001,G$184,BD!$A$3:$A$5001,"&gt;="&amp;$C$7,BD!$A$3:$A$5001,"&lt;="&amp;$B203,BD!$L$3:$L$5001,"&lt;&gt;"))))</f>
        <v/>
      </c>
    </row>
    <row r="204">
      <c r="A204" s="40">
        <v>20</v>
      </c>
      <c r="B204" s="41">
        <f>$B$31</f>
        <v>46315</v>
      </c>
      <c r="C204" s="42" t="str">
        <f>IF(OR($B204="",$A204&gt;$B$9),"",IF(COUNTIFS(BD!$B$3:$B$5001,C$184,BD!$A$3:$A$5001,"&gt;="&amp;$C$7,BD!$A$3:$A$5001,"&lt;="&amp;$B204,BD!$L$3:$L$5001,"&lt;&gt;")=0,"",SUMIFS(BD!$L$3:$L$5001,BD!$B$3:$B$5001,C$184,BD!$A$3:$A$5001,_xlfn.MAXIFS(BD!$A$3:$A$5001,BD!$B$3:$B$5001,C$184,BD!$A$3:$A$5001,"&gt;="&amp;$C$7,BD!$A$3:$A$5001,"&lt;="&amp;$B204,BD!$L$3:$L$5001,"&lt;&gt;"))))</f>
        <v/>
      </c>
      <c r="D204" s="42" t="str">
        <f>IF(OR($B204="",$A204&gt;$B$9),"",IF(COUNTIFS(BD!$B$3:$B$5001,D$184,BD!$A$3:$A$5001,"&gt;="&amp;$C$7,BD!$A$3:$A$5001,"&lt;="&amp;$B204,BD!$L$3:$L$5001,"&lt;&gt;")=0,"",SUMIFS(BD!$L$3:$L$5001,BD!$B$3:$B$5001,D$184,BD!$A$3:$A$5001,_xlfn.MAXIFS(BD!$A$3:$A$5001,BD!$B$3:$B$5001,D$184,BD!$A$3:$A$5001,"&gt;="&amp;$C$7,BD!$A$3:$A$5001,"&lt;="&amp;$B204,BD!$L$3:$L$5001,"&lt;&gt;"))))</f>
        <v/>
      </c>
      <c r="E204" s="42" t="str">
        <f>IF(OR($B204="",$A204&gt;$B$9),"",IF(COUNTIFS(BD!$B$3:$B$5001,E$184,BD!$A$3:$A$5001,"&gt;="&amp;$C$7,BD!$A$3:$A$5001,"&lt;="&amp;$B204,BD!$L$3:$L$5001,"&lt;&gt;")=0,"",SUMIFS(BD!$L$3:$L$5001,BD!$B$3:$B$5001,E$184,BD!$A$3:$A$5001,_xlfn.MAXIFS(BD!$A$3:$A$5001,BD!$B$3:$B$5001,E$184,BD!$A$3:$A$5001,"&gt;="&amp;$C$7,BD!$A$3:$A$5001,"&lt;="&amp;$B204,BD!$L$3:$L$5001,"&lt;&gt;"))))</f>
        <v/>
      </c>
      <c r="F204" s="42" t="str">
        <f>IF(OR($B204="",$A204&gt;$B$9),"",IF(COUNTIFS(BD!$B$3:$B$5001,F$184,BD!$A$3:$A$5001,"&gt;="&amp;$C$7,BD!$A$3:$A$5001,"&lt;="&amp;$B204,BD!$L$3:$L$5001,"&lt;&gt;")=0,"",SUMIFS(BD!$L$3:$L$5001,BD!$B$3:$B$5001,F$184,BD!$A$3:$A$5001,_xlfn.MAXIFS(BD!$A$3:$A$5001,BD!$B$3:$B$5001,F$184,BD!$A$3:$A$5001,"&gt;="&amp;$C$7,BD!$A$3:$A$5001,"&lt;="&amp;$B204,BD!$L$3:$L$5001,"&lt;&gt;"))))</f>
        <v/>
      </c>
      <c r="G204" s="42" t="str">
        <f>IF(OR($B204="",$A204&gt;$B$9),"",IF(COUNTIFS(BD!$B$3:$B$5001,G$184,BD!$A$3:$A$5001,"&gt;="&amp;$C$7,BD!$A$3:$A$5001,"&lt;="&amp;$B204,BD!$L$3:$L$5001,"&lt;&gt;")=0,"",SUMIFS(BD!$L$3:$L$5001,BD!$B$3:$B$5001,G$184,BD!$A$3:$A$5001,_xlfn.MAXIFS(BD!$A$3:$A$5001,BD!$B$3:$B$5001,G$184,BD!$A$3:$A$5001,"&gt;="&amp;$C$7,BD!$A$3:$A$5001,"&lt;="&amp;$B204,BD!$L$3:$L$5001,"&lt;&gt;"))))</f>
        <v/>
      </c>
    </row>
    <row r="205">
      <c r="A205" s="40">
        <v>21</v>
      </c>
      <c r="B205" s="41">
        <f>$B$32</f>
        <v>46316</v>
      </c>
      <c r="C205" s="42" t="str">
        <f>IF(OR($B205="",$A205&gt;$B$9),"",IF(COUNTIFS(BD!$B$3:$B$5001,C$184,BD!$A$3:$A$5001,"&gt;="&amp;$C$7,BD!$A$3:$A$5001,"&lt;="&amp;$B205,BD!$L$3:$L$5001,"&lt;&gt;")=0,"",SUMIFS(BD!$L$3:$L$5001,BD!$B$3:$B$5001,C$184,BD!$A$3:$A$5001,_xlfn.MAXIFS(BD!$A$3:$A$5001,BD!$B$3:$B$5001,C$184,BD!$A$3:$A$5001,"&gt;="&amp;$C$7,BD!$A$3:$A$5001,"&lt;="&amp;$B205,BD!$L$3:$L$5001,"&lt;&gt;"))))</f>
        <v/>
      </c>
      <c r="D205" s="42" t="str">
        <f>IF(OR($B205="",$A205&gt;$B$9),"",IF(COUNTIFS(BD!$B$3:$B$5001,D$184,BD!$A$3:$A$5001,"&gt;="&amp;$C$7,BD!$A$3:$A$5001,"&lt;="&amp;$B205,BD!$L$3:$L$5001,"&lt;&gt;")=0,"",SUMIFS(BD!$L$3:$L$5001,BD!$B$3:$B$5001,D$184,BD!$A$3:$A$5001,_xlfn.MAXIFS(BD!$A$3:$A$5001,BD!$B$3:$B$5001,D$184,BD!$A$3:$A$5001,"&gt;="&amp;$C$7,BD!$A$3:$A$5001,"&lt;="&amp;$B205,BD!$L$3:$L$5001,"&lt;&gt;"))))</f>
        <v/>
      </c>
      <c r="E205" s="42" t="str">
        <f>IF(OR($B205="",$A205&gt;$B$9),"",IF(COUNTIFS(BD!$B$3:$B$5001,E$184,BD!$A$3:$A$5001,"&gt;="&amp;$C$7,BD!$A$3:$A$5001,"&lt;="&amp;$B205,BD!$L$3:$L$5001,"&lt;&gt;")=0,"",SUMIFS(BD!$L$3:$L$5001,BD!$B$3:$B$5001,E$184,BD!$A$3:$A$5001,_xlfn.MAXIFS(BD!$A$3:$A$5001,BD!$B$3:$B$5001,E$184,BD!$A$3:$A$5001,"&gt;="&amp;$C$7,BD!$A$3:$A$5001,"&lt;="&amp;$B205,BD!$L$3:$L$5001,"&lt;&gt;"))))</f>
        <v/>
      </c>
      <c r="F205" s="42" t="str">
        <f>IF(OR($B205="",$A205&gt;$B$9),"",IF(COUNTIFS(BD!$B$3:$B$5001,F$184,BD!$A$3:$A$5001,"&gt;="&amp;$C$7,BD!$A$3:$A$5001,"&lt;="&amp;$B205,BD!$L$3:$L$5001,"&lt;&gt;")=0,"",SUMIFS(BD!$L$3:$L$5001,BD!$B$3:$B$5001,F$184,BD!$A$3:$A$5001,_xlfn.MAXIFS(BD!$A$3:$A$5001,BD!$B$3:$B$5001,F$184,BD!$A$3:$A$5001,"&gt;="&amp;$C$7,BD!$A$3:$A$5001,"&lt;="&amp;$B205,BD!$L$3:$L$5001,"&lt;&gt;"))))</f>
        <v/>
      </c>
      <c r="G205" s="42" t="str">
        <f>IF(OR($B205="",$A205&gt;$B$9),"",IF(COUNTIFS(BD!$B$3:$B$5001,G$184,BD!$A$3:$A$5001,"&gt;="&amp;$C$7,BD!$A$3:$A$5001,"&lt;="&amp;$B205,BD!$L$3:$L$5001,"&lt;&gt;")=0,"",SUMIFS(BD!$L$3:$L$5001,BD!$B$3:$B$5001,G$184,BD!$A$3:$A$5001,_xlfn.MAXIFS(BD!$A$3:$A$5001,BD!$B$3:$B$5001,G$184,BD!$A$3:$A$5001,"&gt;="&amp;$C$7,BD!$A$3:$A$5001,"&lt;="&amp;$B205,BD!$L$3:$L$5001,"&lt;&gt;"))))</f>
        <v/>
      </c>
    </row>
    <row r="206">
      <c r="A206" s="40">
        <v>22</v>
      </c>
      <c r="B206" s="41">
        <f>$B$33</f>
        <v>46317</v>
      </c>
      <c r="C206" s="42" t="str">
        <f>IF(OR($B206="",$A206&gt;$B$9),"",IF(COUNTIFS(BD!$B$3:$B$5001,C$184,BD!$A$3:$A$5001,"&gt;="&amp;$C$7,BD!$A$3:$A$5001,"&lt;="&amp;$B206,BD!$L$3:$L$5001,"&lt;&gt;")=0,"",SUMIFS(BD!$L$3:$L$5001,BD!$B$3:$B$5001,C$184,BD!$A$3:$A$5001,_xlfn.MAXIFS(BD!$A$3:$A$5001,BD!$B$3:$B$5001,C$184,BD!$A$3:$A$5001,"&gt;="&amp;$C$7,BD!$A$3:$A$5001,"&lt;="&amp;$B206,BD!$L$3:$L$5001,"&lt;&gt;"))))</f>
        <v/>
      </c>
      <c r="D206" s="42" t="str">
        <f>IF(OR($B206="",$A206&gt;$B$9),"",IF(COUNTIFS(BD!$B$3:$B$5001,D$184,BD!$A$3:$A$5001,"&gt;="&amp;$C$7,BD!$A$3:$A$5001,"&lt;="&amp;$B206,BD!$L$3:$L$5001,"&lt;&gt;")=0,"",SUMIFS(BD!$L$3:$L$5001,BD!$B$3:$B$5001,D$184,BD!$A$3:$A$5001,_xlfn.MAXIFS(BD!$A$3:$A$5001,BD!$B$3:$B$5001,D$184,BD!$A$3:$A$5001,"&gt;="&amp;$C$7,BD!$A$3:$A$5001,"&lt;="&amp;$B206,BD!$L$3:$L$5001,"&lt;&gt;"))))</f>
        <v/>
      </c>
      <c r="E206" s="42" t="str">
        <f>IF(OR($B206="",$A206&gt;$B$9),"",IF(COUNTIFS(BD!$B$3:$B$5001,E$184,BD!$A$3:$A$5001,"&gt;="&amp;$C$7,BD!$A$3:$A$5001,"&lt;="&amp;$B206,BD!$L$3:$L$5001,"&lt;&gt;")=0,"",SUMIFS(BD!$L$3:$L$5001,BD!$B$3:$B$5001,E$184,BD!$A$3:$A$5001,_xlfn.MAXIFS(BD!$A$3:$A$5001,BD!$B$3:$B$5001,E$184,BD!$A$3:$A$5001,"&gt;="&amp;$C$7,BD!$A$3:$A$5001,"&lt;="&amp;$B206,BD!$L$3:$L$5001,"&lt;&gt;"))))</f>
        <v/>
      </c>
      <c r="F206" s="42" t="str">
        <f>IF(OR($B206="",$A206&gt;$B$9),"",IF(COUNTIFS(BD!$B$3:$B$5001,F$184,BD!$A$3:$A$5001,"&gt;="&amp;$C$7,BD!$A$3:$A$5001,"&lt;="&amp;$B206,BD!$L$3:$L$5001,"&lt;&gt;")=0,"",SUMIFS(BD!$L$3:$L$5001,BD!$B$3:$B$5001,F$184,BD!$A$3:$A$5001,_xlfn.MAXIFS(BD!$A$3:$A$5001,BD!$B$3:$B$5001,F$184,BD!$A$3:$A$5001,"&gt;="&amp;$C$7,BD!$A$3:$A$5001,"&lt;="&amp;$B206,BD!$L$3:$L$5001,"&lt;&gt;"))))</f>
        <v/>
      </c>
      <c r="G206" s="42" t="str">
        <f>IF(OR($B206="",$A206&gt;$B$9),"",IF(COUNTIFS(BD!$B$3:$B$5001,G$184,BD!$A$3:$A$5001,"&gt;="&amp;$C$7,BD!$A$3:$A$5001,"&lt;="&amp;$B206,BD!$L$3:$L$5001,"&lt;&gt;")=0,"",SUMIFS(BD!$L$3:$L$5001,BD!$B$3:$B$5001,G$184,BD!$A$3:$A$5001,_xlfn.MAXIFS(BD!$A$3:$A$5001,BD!$B$3:$B$5001,G$184,BD!$A$3:$A$5001,"&gt;="&amp;$C$7,BD!$A$3:$A$5001,"&lt;="&amp;$B206,BD!$L$3:$L$5001,"&lt;&gt;"))))</f>
        <v/>
      </c>
    </row>
    <row r="207">
      <c r="A207" s="40">
        <v>23</v>
      </c>
      <c r="B207" s="41">
        <f>$B$34</f>
        <v>46318</v>
      </c>
      <c r="C207" s="42" t="str">
        <f>IF(OR($B207="",$A207&gt;$B$9),"",IF(COUNTIFS(BD!$B$3:$B$5001,C$184,BD!$A$3:$A$5001,"&gt;="&amp;$C$7,BD!$A$3:$A$5001,"&lt;="&amp;$B207,BD!$L$3:$L$5001,"&lt;&gt;")=0,"",SUMIFS(BD!$L$3:$L$5001,BD!$B$3:$B$5001,C$184,BD!$A$3:$A$5001,_xlfn.MAXIFS(BD!$A$3:$A$5001,BD!$B$3:$B$5001,C$184,BD!$A$3:$A$5001,"&gt;="&amp;$C$7,BD!$A$3:$A$5001,"&lt;="&amp;$B207,BD!$L$3:$L$5001,"&lt;&gt;"))))</f>
        <v/>
      </c>
      <c r="D207" s="42" t="str">
        <f>IF(OR($B207="",$A207&gt;$B$9),"",IF(COUNTIFS(BD!$B$3:$B$5001,D$184,BD!$A$3:$A$5001,"&gt;="&amp;$C$7,BD!$A$3:$A$5001,"&lt;="&amp;$B207,BD!$L$3:$L$5001,"&lt;&gt;")=0,"",SUMIFS(BD!$L$3:$L$5001,BD!$B$3:$B$5001,D$184,BD!$A$3:$A$5001,_xlfn.MAXIFS(BD!$A$3:$A$5001,BD!$B$3:$B$5001,D$184,BD!$A$3:$A$5001,"&gt;="&amp;$C$7,BD!$A$3:$A$5001,"&lt;="&amp;$B207,BD!$L$3:$L$5001,"&lt;&gt;"))))</f>
        <v/>
      </c>
      <c r="E207" s="42" t="str">
        <f>IF(OR($B207="",$A207&gt;$B$9),"",IF(COUNTIFS(BD!$B$3:$B$5001,E$184,BD!$A$3:$A$5001,"&gt;="&amp;$C$7,BD!$A$3:$A$5001,"&lt;="&amp;$B207,BD!$L$3:$L$5001,"&lt;&gt;")=0,"",SUMIFS(BD!$L$3:$L$5001,BD!$B$3:$B$5001,E$184,BD!$A$3:$A$5001,_xlfn.MAXIFS(BD!$A$3:$A$5001,BD!$B$3:$B$5001,E$184,BD!$A$3:$A$5001,"&gt;="&amp;$C$7,BD!$A$3:$A$5001,"&lt;="&amp;$B207,BD!$L$3:$L$5001,"&lt;&gt;"))))</f>
        <v/>
      </c>
      <c r="F207" s="42" t="str">
        <f>IF(OR($B207="",$A207&gt;$B$9),"",IF(COUNTIFS(BD!$B$3:$B$5001,F$184,BD!$A$3:$A$5001,"&gt;="&amp;$C$7,BD!$A$3:$A$5001,"&lt;="&amp;$B207,BD!$L$3:$L$5001,"&lt;&gt;")=0,"",SUMIFS(BD!$L$3:$L$5001,BD!$B$3:$B$5001,F$184,BD!$A$3:$A$5001,_xlfn.MAXIFS(BD!$A$3:$A$5001,BD!$B$3:$B$5001,F$184,BD!$A$3:$A$5001,"&gt;="&amp;$C$7,BD!$A$3:$A$5001,"&lt;="&amp;$B207,BD!$L$3:$L$5001,"&lt;&gt;"))))</f>
        <v/>
      </c>
      <c r="G207" s="42" t="str">
        <f>IF(OR($B207="",$A207&gt;$B$9),"",IF(COUNTIFS(BD!$B$3:$B$5001,G$184,BD!$A$3:$A$5001,"&gt;="&amp;$C$7,BD!$A$3:$A$5001,"&lt;="&amp;$B207,BD!$L$3:$L$5001,"&lt;&gt;")=0,"",SUMIFS(BD!$L$3:$L$5001,BD!$B$3:$B$5001,G$184,BD!$A$3:$A$5001,_xlfn.MAXIFS(BD!$A$3:$A$5001,BD!$B$3:$B$5001,G$184,BD!$A$3:$A$5001,"&gt;="&amp;$C$7,BD!$A$3:$A$5001,"&lt;="&amp;$B207,BD!$L$3:$L$5001,"&lt;&gt;"))))</f>
        <v/>
      </c>
    </row>
    <row r="208">
      <c r="A208" s="40">
        <v>24</v>
      </c>
      <c r="B208" s="41">
        <f>$B$35</f>
        <v>46319</v>
      </c>
      <c r="C208" s="42" t="str">
        <f>IF(OR($B208="",$A208&gt;$B$9),"",IF(COUNTIFS(BD!$B$3:$B$5001,C$184,BD!$A$3:$A$5001,"&gt;="&amp;$C$7,BD!$A$3:$A$5001,"&lt;="&amp;$B208,BD!$L$3:$L$5001,"&lt;&gt;")=0,"",SUMIFS(BD!$L$3:$L$5001,BD!$B$3:$B$5001,C$184,BD!$A$3:$A$5001,_xlfn.MAXIFS(BD!$A$3:$A$5001,BD!$B$3:$B$5001,C$184,BD!$A$3:$A$5001,"&gt;="&amp;$C$7,BD!$A$3:$A$5001,"&lt;="&amp;$B208,BD!$L$3:$L$5001,"&lt;&gt;"))))</f>
        <v/>
      </c>
      <c r="D208" s="42" t="str">
        <f>IF(OR($B208="",$A208&gt;$B$9),"",IF(COUNTIFS(BD!$B$3:$B$5001,D$184,BD!$A$3:$A$5001,"&gt;="&amp;$C$7,BD!$A$3:$A$5001,"&lt;="&amp;$B208,BD!$L$3:$L$5001,"&lt;&gt;")=0,"",SUMIFS(BD!$L$3:$L$5001,BD!$B$3:$B$5001,D$184,BD!$A$3:$A$5001,_xlfn.MAXIFS(BD!$A$3:$A$5001,BD!$B$3:$B$5001,D$184,BD!$A$3:$A$5001,"&gt;="&amp;$C$7,BD!$A$3:$A$5001,"&lt;="&amp;$B208,BD!$L$3:$L$5001,"&lt;&gt;"))))</f>
        <v/>
      </c>
      <c r="E208" s="42" t="str">
        <f>IF(OR($B208="",$A208&gt;$B$9),"",IF(COUNTIFS(BD!$B$3:$B$5001,E$184,BD!$A$3:$A$5001,"&gt;="&amp;$C$7,BD!$A$3:$A$5001,"&lt;="&amp;$B208,BD!$L$3:$L$5001,"&lt;&gt;")=0,"",SUMIFS(BD!$L$3:$L$5001,BD!$B$3:$B$5001,E$184,BD!$A$3:$A$5001,_xlfn.MAXIFS(BD!$A$3:$A$5001,BD!$B$3:$B$5001,E$184,BD!$A$3:$A$5001,"&gt;="&amp;$C$7,BD!$A$3:$A$5001,"&lt;="&amp;$B208,BD!$L$3:$L$5001,"&lt;&gt;"))))</f>
        <v/>
      </c>
      <c r="F208" s="42" t="str">
        <f>IF(OR($B208="",$A208&gt;$B$9),"",IF(COUNTIFS(BD!$B$3:$B$5001,F$184,BD!$A$3:$A$5001,"&gt;="&amp;$C$7,BD!$A$3:$A$5001,"&lt;="&amp;$B208,BD!$L$3:$L$5001,"&lt;&gt;")=0,"",SUMIFS(BD!$L$3:$L$5001,BD!$B$3:$B$5001,F$184,BD!$A$3:$A$5001,_xlfn.MAXIFS(BD!$A$3:$A$5001,BD!$B$3:$B$5001,F$184,BD!$A$3:$A$5001,"&gt;="&amp;$C$7,BD!$A$3:$A$5001,"&lt;="&amp;$B208,BD!$L$3:$L$5001,"&lt;&gt;"))))</f>
        <v/>
      </c>
      <c r="G208" s="42" t="str">
        <f>IF(OR($B208="",$A208&gt;$B$9),"",IF(COUNTIFS(BD!$B$3:$B$5001,G$184,BD!$A$3:$A$5001,"&gt;="&amp;$C$7,BD!$A$3:$A$5001,"&lt;="&amp;$B208,BD!$L$3:$L$5001,"&lt;&gt;")=0,"",SUMIFS(BD!$L$3:$L$5001,BD!$B$3:$B$5001,G$184,BD!$A$3:$A$5001,_xlfn.MAXIFS(BD!$A$3:$A$5001,BD!$B$3:$B$5001,G$184,BD!$A$3:$A$5001,"&gt;="&amp;$C$7,BD!$A$3:$A$5001,"&lt;="&amp;$B208,BD!$L$3:$L$5001,"&lt;&gt;"))))</f>
        <v/>
      </c>
    </row>
    <row r="209">
      <c r="A209" s="40">
        <v>25</v>
      </c>
      <c r="B209" s="41">
        <f>$B$36</f>
        <v>46320</v>
      </c>
      <c r="C209" s="42" t="str">
        <f>IF(OR($B209="",$A209&gt;$B$9),"",IF(COUNTIFS(BD!$B$3:$B$5001,C$184,BD!$A$3:$A$5001,"&gt;="&amp;$C$7,BD!$A$3:$A$5001,"&lt;="&amp;$B209,BD!$L$3:$L$5001,"&lt;&gt;")=0,"",SUMIFS(BD!$L$3:$L$5001,BD!$B$3:$B$5001,C$184,BD!$A$3:$A$5001,_xlfn.MAXIFS(BD!$A$3:$A$5001,BD!$B$3:$B$5001,C$184,BD!$A$3:$A$5001,"&gt;="&amp;$C$7,BD!$A$3:$A$5001,"&lt;="&amp;$B209,BD!$L$3:$L$5001,"&lt;&gt;"))))</f>
        <v/>
      </c>
      <c r="D209" s="42" t="str">
        <f>IF(OR($B209="",$A209&gt;$B$9),"",IF(COUNTIFS(BD!$B$3:$B$5001,D$184,BD!$A$3:$A$5001,"&gt;="&amp;$C$7,BD!$A$3:$A$5001,"&lt;="&amp;$B209,BD!$L$3:$L$5001,"&lt;&gt;")=0,"",SUMIFS(BD!$L$3:$L$5001,BD!$B$3:$B$5001,D$184,BD!$A$3:$A$5001,_xlfn.MAXIFS(BD!$A$3:$A$5001,BD!$B$3:$B$5001,D$184,BD!$A$3:$A$5001,"&gt;="&amp;$C$7,BD!$A$3:$A$5001,"&lt;="&amp;$B209,BD!$L$3:$L$5001,"&lt;&gt;"))))</f>
        <v/>
      </c>
      <c r="E209" s="42" t="str">
        <f>IF(OR($B209="",$A209&gt;$B$9),"",IF(COUNTIFS(BD!$B$3:$B$5001,E$184,BD!$A$3:$A$5001,"&gt;="&amp;$C$7,BD!$A$3:$A$5001,"&lt;="&amp;$B209,BD!$L$3:$L$5001,"&lt;&gt;")=0,"",SUMIFS(BD!$L$3:$L$5001,BD!$B$3:$B$5001,E$184,BD!$A$3:$A$5001,_xlfn.MAXIFS(BD!$A$3:$A$5001,BD!$B$3:$B$5001,E$184,BD!$A$3:$A$5001,"&gt;="&amp;$C$7,BD!$A$3:$A$5001,"&lt;="&amp;$B209,BD!$L$3:$L$5001,"&lt;&gt;"))))</f>
        <v/>
      </c>
      <c r="F209" s="42" t="str">
        <f>IF(OR($B209="",$A209&gt;$B$9),"",IF(COUNTIFS(BD!$B$3:$B$5001,F$184,BD!$A$3:$A$5001,"&gt;="&amp;$C$7,BD!$A$3:$A$5001,"&lt;="&amp;$B209,BD!$L$3:$L$5001,"&lt;&gt;")=0,"",SUMIFS(BD!$L$3:$L$5001,BD!$B$3:$B$5001,F$184,BD!$A$3:$A$5001,_xlfn.MAXIFS(BD!$A$3:$A$5001,BD!$B$3:$B$5001,F$184,BD!$A$3:$A$5001,"&gt;="&amp;$C$7,BD!$A$3:$A$5001,"&lt;="&amp;$B209,BD!$L$3:$L$5001,"&lt;&gt;"))))</f>
        <v/>
      </c>
      <c r="G209" s="42" t="str">
        <f>IF(OR($B209="",$A209&gt;$B$9),"",IF(COUNTIFS(BD!$B$3:$B$5001,G$184,BD!$A$3:$A$5001,"&gt;="&amp;$C$7,BD!$A$3:$A$5001,"&lt;="&amp;$B209,BD!$L$3:$L$5001,"&lt;&gt;")=0,"",SUMIFS(BD!$L$3:$L$5001,BD!$B$3:$B$5001,G$184,BD!$A$3:$A$5001,_xlfn.MAXIFS(BD!$A$3:$A$5001,BD!$B$3:$B$5001,G$184,BD!$A$3:$A$5001,"&gt;="&amp;$C$7,BD!$A$3:$A$5001,"&lt;="&amp;$B209,BD!$L$3:$L$5001,"&lt;&gt;"))))</f>
        <v/>
      </c>
    </row>
    <row r="210">
      <c r="A210" s="40">
        <v>26</v>
      </c>
      <c r="B210" s="41">
        <f>$B$37</f>
        <v>46321</v>
      </c>
      <c r="C210" s="42" t="str">
        <f>IF(OR($B210="",$A210&gt;$B$9),"",IF(COUNTIFS(BD!$B$3:$B$5001,C$184,BD!$A$3:$A$5001,"&gt;="&amp;$C$7,BD!$A$3:$A$5001,"&lt;="&amp;$B210,BD!$L$3:$L$5001,"&lt;&gt;")=0,"",SUMIFS(BD!$L$3:$L$5001,BD!$B$3:$B$5001,C$184,BD!$A$3:$A$5001,_xlfn.MAXIFS(BD!$A$3:$A$5001,BD!$B$3:$B$5001,C$184,BD!$A$3:$A$5001,"&gt;="&amp;$C$7,BD!$A$3:$A$5001,"&lt;="&amp;$B210,BD!$L$3:$L$5001,"&lt;&gt;"))))</f>
        <v/>
      </c>
      <c r="D210" s="42" t="str">
        <f>IF(OR($B210="",$A210&gt;$B$9),"",IF(COUNTIFS(BD!$B$3:$B$5001,D$184,BD!$A$3:$A$5001,"&gt;="&amp;$C$7,BD!$A$3:$A$5001,"&lt;="&amp;$B210,BD!$L$3:$L$5001,"&lt;&gt;")=0,"",SUMIFS(BD!$L$3:$L$5001,BD!$B$3:$B$5001,D$184,BD!$A$3:$A$5001,_xlfn.MAXIFS(BD!$A$3:$A$5001,BD!$B$3:$B$5001,D$184,BD!$A$3:$A$5001,"&gt;="&amp;$C$7,BD!$A$3:$A$5001,"&lt;="&amp;$B210,BD!$L$3:$L$5001,"&lt;&gt;"))))</f>
        <v/>
      </c>
      <c r="E210" s="42" t="str">
        <f>IF(OR($B210="",$A210&gt;$B$9),"",IF(COUNTIFS(BD!$B$3:$B$5001,E$184,BD!$A$3:$A$5001,"&gt;="&amp;$C$7,BD!$A$3:$A$5001,"&lt;="&amp;$B210,BD!$L$3:$L$5001,"&lt;&gt;")=0,"",SUMIFS(BD!$L$3:$L$5001,BD!$B$3:$B$5001,E$184,BD!$A$3:$A$5001,_xlfn.MAXIFS(BD!$A$3:$A$5001,BD!$B$3:$B$5001,E$184,BD!$A$3:$A$5001,"&gt;="&amp;$C$7,BD!$A$3:$A$5001,"&lt;="&amp;$B210,BD!$L$3:$L$5001,"&lt;&gt;"))))</f>
        <v/>
      </c>
      <c r="F210" s="42" t="str">
        <f>IF(OR($B210="",$A210&gt;$B$9),"",IF(COUNTIFS(BD!$B$3:$B$5001,F$184,BD!$A$3:$A$5001,"&gt;="&amp;$C$7,BD!$A$3:$A$5001,"&lt;="&amp;$B210,BD!$L$3:$L$5001,"&lt;&gt;")=0,"",SUMIFS(BD!$L$3:$L$5001,BD!$B$3:$B$5001,F$184,BD!$A$3:$A$5001,_xlfn.MAXIFS(BD!$A$3:$A$5001,BD!$B$3:$B$5001,F$184,BD!$A$3:$A$5001,"&gt;="&amp;$C$7,BD!$A$3:$A$5001,"&lt;="&amp;$B210,BD!$L$3:$L$5001,"&lt;&gt;"))))</f>
        <v/>
      </c>
      <c r="G210" s="42" t="str">
        <f>IF(OR($B210="",$A210&gt;$B$9),"",IF(COUNTIFS(BD!$B$3:$B$5001,G$184,BD!$A$3:$A$5001,"&gt;="&amp;$C$7,BD!$A$3:$A$5001,"&lt;="&amp;$B210,BD!$L$3:$L$5001,"&lt;&gt;")=0,"",SUMIFS(BD!$L$3:$L$5001,BD!$B$3:$B$5001,G$184,BD!$A$3:$A$5001,_xlfn.MAXIFS(BD!$A$3:$A$5001,BD!$B$3:$B$5001,G$184,BD!$A$3:$A$5001,"&gt;="&amp;$C$7,BD!$A$3:$A$5001,"&lt;="&amp;$B210,BD!$L$3:$L$5001,"&lt;&gt;"))))</f>
        <v/>
      </c>
    </row>
    <row r="211">
      <c r="A211" s="40">
        <v>27</v>
      </c>
      <c r="B211" s="41">
        <f>$B$38</f>
        <v>46322</v>
      </c>
      <c r="C211" s="42" t="str">
        <f>IF(OR($B211="",$A211&gt;$B$9),"",IF(COUNTIFS(BD!$B$3:$B$5001,C$184,BD!$A$3:$A$5001,"&gt;="&amp;$C$7,BD!$A$3:$A$5001,"&lt;="&amp;$B211,BD!$L$3:$L$5001,"&lt;&gt;")=0,"",SUMIFS(BD!$L$3:$L$5001,BD!$B$3:$B$5001,C$184,BD!$A$3:$A$5001,_xlfn.MAXIFS(BD!$A$3:$A$5001,BD!$B$3:$B$5001,C$184,BD!$A$3:$A$5001,"&gt;="&amp;$C$7,BD!$A$3:$A$5001,"&lt;="&amp;$B211,BD!$L$3:$L$5001,"&lt;&gt;"))))</f>
        <v/>
      </c>
      <c r="D211" s="42" t="str">
        <f>IF(OR($B211="",$A211&gt;$B$9),"",IF(COUNTIFS(BD!$B$3:$B$5001,D$184,BD!$A$3:$A$5001,"&gt;="&amp;$C$7,BD!$A$3:$A$5001,"&lt;="&amp;$B211,BD!$L$3:$L$5001,"&lt;&gt;")=0,"",SUMIFS(BD!$L$3:$L$5001,BD!$B$3:$B$5001,D$184,BD!$A$3:$A$5001,_xlfn.MAXIFS(BD!$A$3:$A$5001,BD!$B$3:$B$5001,D$184,BD!$A$3:$A$5001,"&gt;="&amp;$C$7,BD!$A$3:$A$5001,"&lt;="&amp;$B211,BD!$L$3:$L$5001,"&lt;&gt;"))))</f>
        <v/>
      </c>
      <c r="E211" s="42" t="str">
        <f>IF(OR($B211="",$A211&gt;$B$9),"",IF(COUNTIFS(BD!$B$3:$B$5001,E$184,BD!$A$3:$A$5001,"&gt;="&amp;$C$7,BD!$A$3:$A$5001,"&lt;="&amp;$B211,BD!$L$3:$L$5001,"&lt;&gt;")=0,"",SUMIFS(BD!$L$3:$L$5001,BD!$B$3:$B$5001,E$184,BD!$A$3:$A$5001,_xlfn.MAXIFS(BD!$A$3:$A$5001,BD!$B$3:$B$5001,E$184,BD!$A$3:$A$5001,"&gt;="&amp;$C$7,BD!$A$3:$A$5001,"&lt;="&amp;$B211,BD!$L$3:$L$5001,"&lt;&gt;"))))</f>
        <v/>
      </c>
      <c r="F211" s="42" t="str">
        <f>IF(OR($B211="",$A211&gt;$B$9),"",IF(COUNTIFS(BD!$B$3:$B$5001,F$184,BD!$A$3:$A$5001,"&gt;="&amp;$C$7,BD!$A$3:$A$5001,"&lt;="&amp;$B211,BD!$L$3:$L$5001,"&lt;&gt;")=0,"",SUMIFS(BD!$L$3:$L$5001,BD!$B$3:$B$5001,F$184,BD!$A$3:$A$5001,_xlfn.MAXIFS(BD!$A$3:$A$5001,BD!$B$3:$B$5001,F$184,BD!$A$3:$A$5001,"&gt;="&amp;$C$7,BD!$A$3:$A$5001,"&lt;="&amp;$B211,BD!$L$3:$L$5001,"&lt;&gt;"))))</f>
        <v/>
      </c>
      <c r="G211" s="42" t="str">
        <f>IF(OR($B211="",$A211&gt;$B$9),"",IF(COUNTIFS(BD!$B$3:$B$5001,G$184,BD!$A$3:$A$5001,"&gt;="&amp;$C$7,BD!$A$3:$A$5001,"&lt;="&amp;$B211,BD!$L$3:$L$5001,"&lt;&gt;")=0,"",SUMIFS(BD!$L$3:$L$5001,BD!$B$3:$B$5001,G$184,BD!$A$3:$A$5001,_xlfn.MAXIFS(BD!$A$3:$A$5001,BD!$B$3:$B$5001,G$184,BD!$A$3:$A$5001,"&gt;="&amp;$C$7,BD!$A$3:$A$5001,"&lt;="&amp;$B211,BD!$L$3:$L$5001,"&lt;&gt;"))))</f>
        <v/>
      </c>
    </row>
    <row r="212">
      <c r="A212" s="40">
        <v>28</v>
      </c>
      <c r="B212" s="41">
        <f>$B$39</f>
        <v>46323</v>
      </c>
      <c r="C212" s="42" t="str">
        <f>IF(OR($B212="",$A212&gt;$B$9),"",IF(COUNTIFS(BD!$B$3:$B$5001,C$184,BD!$A$3:$A$5001,"&gt;="&amp;$C$7,BD!$A$3:$A$5001,"&lt;="&amp;$B212,BD!$L$3:$L$5001,"&lt;&gt;")=0,"",SUMIFS(BD!$L$3:$L$5001,BD!$B$3:$B$5001,C$184,BD!$A$3:$A$5001,_xlfn.MAXIFS(BD!$A$3:$A$5001,BD!$B$3:$B$5001,C$184,BD!$A$3:$A$5001,"&gt;="&amp;$C$7,BD!$A$3:$A$5001,"&lt;="&amp;$B212,BD!$L$3:$L$5001,"&lt;&gt;"))))</f>
        <v/>
      </c>
      <c r="D212" s="42" t="str">
        <f>IF(OR($B212="",$A212&gt;$B$9),"",IF(COUNTIFS(BD!$B$3:$B$5001,D$184,BD!$A$3:$A$5001,"&gt;="&amp;$C$7,BD!$A$3:$A$5001,"&lt;="&amp;$B212,BD!$L$3:$L$5001,"&lt;&gt;")=0,"",SUMIFS(BD!$L$3:$L$5001,BD!$B$3:$B$5001,D$184,BD!$A$3:$A$5001,_xlfn.MAXIFS(BD!$A$3:$A$5001,BD!$B$3:$B$5001,D$184,BD!$A$3:$A$5001,"&gt;="&amp;$C$7,BD!$A$3:$A$5001,"&lt;="&amp;$B212,BD!$L$3:$L$5001,"&lt;&gt;"))))</f>
        <v/>
      </c>
      <c r="E212" s="42" t="str">
        <f>IF(OR($B212="",$A212&gt;$B$9),"",IF(COUNTIFS(BD!$B$3:$B$5001,E$184,BD!$A$3:$A$5001,"&gt;="&amp;$C$7,BD!$A$3:$A$5001,"&lt;="&amp;$B212,BD!$L$3:$L$5001,"&lt;&gt;")=0,"",SUMIFS(BD!$L$3:$L$5001,BD!$B$3:$B$5001,E$184,BD!$A$3:$A$5001,_xlfn.MAXIFS(BD!$A$3:$A$5001,BD!$B$3:$B$5001,E$184,BD!$A$3:$A$5001,"&gt;="&amp;$C$7,BD!$A$3:$A$5001,"&lt;="&amp;$B212,BD!$L$3:$L$5001,"&lt;&gt;"))))</f>
        <v/>
      </c>
      <c r="F212" s="42" t="str">
        <f>IF(OR($B212="",$A212&gt;$B$9),"",IF(COUNTIFS(BD!$B$3:$B$5001,F$184,BD!$A$3:$A$5001,"&gt;="&amp;$C$7,BD!$A$3:$A$5001,"&lt;="&amp;$B212,BD!$L$3:$L$5001,"&lt;&gt;")=0,"",SUMIFS(BD!$L$3:$L$5001,BD!$B$3:$B$5001,F$184,BD!$A$3:$A$5001,_xlfn.MAXIFS(BD!$A$3:$A$5001,BD!$B$3:$B$5001,F$184,BD!$A$3:$A$5001,"&gt;="&amp;$C$7,BD!$A$3:$A$5001,"&lt;="&amp;$B212,BD!$L$3:$L$5001,"&lt;&gt;"))))</f>
        <v/>
      </c>
      <c r="G212" s="42" t="str">
        <f>IF(OR($B212="",$A212&gt;$B$9),"",IF(COUNTIFS(BD!$B$3:$B$5001,G$184,BD!$A$3:$A$5001,"&gt;="&amp;$C$7,BD!$A$3:$A$5001,"&lt;="&amp;$B212,BD!$L$3:$L$5001,"&lt;&gt;")=0,"",SUMIFS(BD!$L$3:$L$5001,BD!$B$3:$B$5001,G$184,BD!$A$3:$A$5001,_xlfn.MAXIFS(BD!$A$3:$A$5001,BD!$B$3:$B$5001,G$184,BD!$A$3:$A$5001,"&gt;="&amp;$C$7,BD!$A$3:$A$5001,"&lt;="&amp;$B212,BD!$L$3:$L$5001,"&lt;&gt;"))))</f>
        <v/>
      </c>
    </row>
    <row r="213">
      <c r="A213" s="40">
        <v>29</v>
      </c>
      <c r="B213" s="41">
        <f>$B$40</f>
        <v>46324</v>
      </c>
      <c r="C213" s="42" t="str">
        <f>IF(OR($B213="",$A213&gt;$B$9),"",IF(COUNTIFS(BD!$B$3:$B$5001,C$184,BD!$A$3:$A$5001,"&gt;="&amp;$C$7,BD!$A$3:$A$5001,"&lt;="&amp;$B213,BD!$L$3:$L$5001,"&lt;&gt;")=0,"",SUMIFS(BD!$L$3:$L$5001,BD!$B$3:$B$5001,C$184,BD!$A$3:$A$5001,_xlfn.MAXIFS(BD!$A$3:$A$5001,BD!$B$3:$B$5001,C$184,BD!$A$3:$A$5001,"&gt;="&amp;$C$7,BD!$A$3:$A$5001,"&lt;="&amp;$B213,BD!$L$3:$L$5001,"&lt;&gt;"))))</f>
        <v/>
      </c>
      <c r="D213" s="42" t="str">
        <f>IF(OR($B213="",$A213&gt;$B$9),"",IF(COUNTIFS(BD!$B$3:$B$5001,D$184,BD!$A$3:$A$5001,"&gt;="&amp;$C$7,BD!$A$3:$A$5001,"&lt;="&amp;$B213,BD!$L$3:$L$5001,"&lt;&gt;")=0,"",SUMIFS(BD!$L$3:$L$5001,BD!$B$3:$B$5001,D$184,BD!$A$3:$A$5001,_xlfn.MAXIFS(BD!$A$3:$A$5001,BD!$B$3:$B$5001,D$184,BD!$A$3:$A$5001,"&gt;="&amp;$C$7,BD!$A$3:$A$5001,"&lt;="&amp;$B213,BD!$L$3:$L$5001,"&lt;&gt;"))))</f>
        <v/>
      </c>
      <c r="E213" s="42" t="str">
        <f>IF(OR($B213="",$A213&gt;$B$9),"",IF(COUNTIFS(BD!$B$3:$B$5001,E$184,BD!$A$3:$A$5001,"&gt;="&amp;$C$7,BD!$A$3:$A$5001,"&lt;="&amp;$B213,BD!$L$3:$L$5001,"&lt;&gt;")=0,"",SUMIFS(BD!$L$3:$L$5001,BD!$B$3:$B$5001,E$184,BD!$A$3:$A$5001,_xlfn.MAXIFS(BD!$A$3:$A$5001,BD!$B$3:$B$5001,E$184,BD!$A$3:$A$5001,"&gt;="&amp;$C$7,BD!$A$3:$A$5001,"&lt;="&amp;$B213,BD!$L$3:$L$5001,"&lt;&gt;"))))</f>
        <v/>
      </c>
      <c r="F213" s="42" t="str">
        <f>IF(OR($B213="",$A213&gt;$B$9),"",IF(COUNTIFS(BD!$B$3:$B$5001,F$184,BD!$A$3:$A$5001,"&gt;="&amp;$C$7,BD!$A$3:$A$5001,"&lt;="&amp;$B213,BD!$L$3:$L$5001,"&lt;&gt;")=0,"",SUMIFS(BD!$L$3:$L$5001,BD!$B$3:$B$5001,F$184,BD!$A$3:$A$5001,_xlfn.MAXIFS(BD!$A$3:$A$5001,BD!$B$3:$B$5001,F$184,BD!$A$3:$A$5001,"&gt;="&amp;$C$7,BD!$A$3:$A$5001,"&lt;="&amp;$B213,BD!$L$3:$L$5001,"&lt;&gt;"))))</f>
        <v/>
      </c>
      <c r="G213" s="42" t="str">
        <f>IF(OR($B213="",$A213&gt;$B$9),"",IF(COUNTIFS(BD!$B$3:$B$5001,G$184,BD!$A$3:$A$5001,"&gt;="&amp;$C$7,BD!$A$3:$A$5001,"&lt;="&amp;$B213,BD!$L$3:$L$5001,"&lt;&gt;")=0,"",SUMIFS(BD!$L$3:$L$5001,BD!$B$3:$B$5001,G$184,BD!$A$3:$A$5001,_xlfn.MAXIFS(BD!$A$3:$A$5001,BD!$B$3:$B$5001,G$184,BD!$A$3:$A$5001,"&gt;="&amp;$C$7,BD!$A$3:$A$5001,"&lt;="&amp;$B213,BD!$L$3:$L$5001,"&lt;&gt;"))))</f>
        <v/>
      </c>
    </row>
    <row r="214">
      <c r="A214" s="40">
        <v>30</v>
      </c>
      <c r="B214" s="41">
        <f>$B$41</f>
        <v>46325</v>
      </c>
      <c r="C214" s="42" t="str">
        <f>IF(OR($B214="",$A214&gt;$B$9),"",IF(COUNTIFS(BD!$B$3:$B$5001,C$184,BD!$A$3:$A$5001,"&gt;="&amp;$C$7,BD!$A$3:$A$5001,"&lt;="&amp;$B214,BD!$L$3:$L$5001,"&lt;&gt;")=0,"",SUMIFS(BD!$L$3:$L$5001,BD!$B$3:$B$5001,C$184,BD!$A$3:$A$5001,_xlfn.MAXIFS(BD!$A$3:$A$5001,BD!$B$3:$B$5001,C$184,BD!$A$3:$A$5001,"&gt;="&amp;$C$7,BD!$A$3:$A$5001,"&lt;="&amp;$B214,BD!$L$3:$L$5001,"&lt;&gt;"))))</f>
        <v/>
      </c>
      <c r="D214" s="42" t="str">
        <f>IF(OR($B214="",$A214&gt;$B$9),"",IF(COUNTIFS(BD!$B$3:$B$5001,D$184,BD!$A$3:$A$5001,"&gt;="&amp;$C$7,BD!$A$3:$A$5001,"&lt;="&amp;$B214,BD!$L$3:$L$5001,"&lt;&gt;")=0,"",SUMIFS(BD!$L$3:$L$5001,BD!$B$3:$B$5001,D$184,BD!$A$3:$A$5001,_xlfn.MAXIFS(BD!$A$3:$A$5001,BD!$B$3:$B$5001,D$184,BD!$A$3:$A$5001,"&gt;="&amp;$C$7,BD!$A$3:$A$5001,"&lt;="&amp;$B214,BD!$L$3:$L$5001,"&lt;&gt;"))))</f>
        <v/>
      </c>
      <c r="E214" s="42" t="str">
        <f>IF(OR($B214="",$A214&gt;$B$9),"",IF(COUNTIFS(BD!$B$3:$B$5001,E$184,BD!$A$3:$A$5001,"&gt;="&amp;$C$7,BD!$A$3:$A$5001,"&lt;="&amp;$B214,BD!$L$3:$L$5001,"&lt;&gt;")=0,"",SUMIFS(BD!$L$3:$L$5001,BD!$B$3:$B$5001,E$184,BD!$A$3:$A$5001,_xlfn.MAXIFS(BD!$A$3:$A$5001,BD!$B$3:$B$5001,E$184,BD!$A$3:$A$5001,"&gt;="&amp;$C$7,BD!$A$3:$A$5001,"&lt;="&amp;$B214,BD!$L$3:$L$5001,"&lt;&gt;"))))</f>
        <v/>
      </c>
      <c r="F214" s="42" t="str">
        <f>IF(OR($B214="",$A214&gt;$B$9),"",IF(COUNTIFS(BD!$B$3:$B$5001,F$184,BD!$A$3:$A$5001,"&gt;="&amp;$C$7,BD!$A$3:$A$5001,"&lt;="&amp;$B214,BD!$L$3:$L$5001,"&lt;&gt;")=0,"",SUMIFS(BD!$L$3:$L$5001,BD!$B$3:$B$5001,F$184,BD!$A$3:$A$5001,_xlfn.MAXIFS(BD!$A$3:$A$5001,BD!$B$3:$B$5001,F$184,BD!$A$3:$A$5001,"&gt;="&amp;$C$7,BD!$A$3:$A$5001,"&lt;="&amp;$B214,BD!$L$3:$L$5001,"&lt;&gt;"))))</f>
        <v/>
      </c>
      <c r="G214" s="42" t="str">
        <f>IF(OR($B214="",$A214&gt;$B$9),"",IF(COUNTIFS(BD!$B$3:$B$5001,G$184,BD!$A$3:$A$5001,"&gt;="&amp;$C$7,BD!$A$3:$A$5001,"&lt;="&amp;$B214,BD!$L$3:$L$5001,"&lt;&gt;")=0,"",SUMIFS(BD!$L$3:$L$5001,BD!$B$3:$B$5001,G$184,BD!$A$3:$A$5001,_xlfn.MAXIFS(BD!$A$3:$A$5001,BD!$B$3:$B$5001,G$184,BD!$A$3:$A$5001,"&gt;="&amp;$C$7,BD!$A$3:$A$5001,"&lt;="&amp;$B214,BD!$L$3:$L$5001,"&lt;&gt;"))))</f>
        <v/>
      </c>
    </row>
    <row r="215">
      <c r="A215" s="40">
        <v>31</v>
      </c>
      <c r="B215" s="41">
        <f>$B$42</f>
        <v>46326</v>
      </c>
      <c r="C215" s="42" t="str">
        <f>IF(OR($B215="",$A215&gt;$B$9),"",IF(COUNTIFS(BD!$B$3:$B$5001,C$184,BD!$A$3:$A$5001,"&gt;="&amp;$C$7,BD!$A$3:$A$5001,"&lt;="&amp;$B215,BD!$L$3:$L$5001,"&lt;&gt;")=0,"",SUMIFS(BD!$L$3:$L$5001,BD!$B$3:$B$5001,C$184,BD!$A$3:$A$5001,_xlfn.MAXIFS(BD!$A$3:$A$5001,BD!$B$3:$B$5001,C$184,BD!$A$3:$A$5001,"&gt;="&amp;$C$7,BD!$A$3:$A$5001,"&lt;="&amp;$B215,BD!$L$3:$L$5001,"&lt;&gt;"))))</f>
        <v/>
      </c>
      <c r="D215" s="42" t="str">
        <f>IF(OR($B215="",$A215&gt;$B$9),"",IF(COUNTIFS(BD!$B$3:$B$5001,D$184,BD!$A$3:$A$5001,"&gt;="&amp;$C$7,BD!$A$3:$A$5001,"&lt;="&amp;$B215,BD!$L$3:$L$5001,"&lt;&gt;")=0,"",SUMIFS(BD!$L$3:$L$5001,BD!$B$3:$B$5001,D$184,BD!$A$3:$A$5001,_xlfn.MAXIFS(BD!$A$3:$A$5001,BD!$B$3:$B$5001,D$184,BD!$A$3:$A$5001,"&gt;="&amp;$C$7,BD!$A$3:$A$5001,"&lt;="&amp;$B215,BD!$L$3:$L$5001,"&lt;&gt;"))))</f>
        <v/>
      </c>
      <c r="E215" s="42" t="str">
        <f>IF(OR($B215="",$A215&gt;$B$9),"",IF(COUNTIFS(BD!$B$3:$B$5001,E$184,BD!$A$3:$A$5001,"&gt;="&amp;$C$7,BD!$A$3:$A$5001,"&lt;="&amp;$B215,BD!$L$3:$L$5001,"&lt;&gt;")=0,"",SUMIFS(BD!$L$3:$L$5001,BD!$B$3:$B$5001,E$184,BD!$A$3:$A$5001,_xlfn.MAXIFS(BD!$A$3:$A$5001,BD!$B$3:$B$5001,E$184,BD!$A$3:$A$5001,"&gt;="&amp;$C$7,BD!$A$3:$A$5001,"&lt;="&amp;$B215,BD!$L$3:$L$5001,"&lt;&gt;"))))</f>
        <v/>
      </c>
      <c r="F215" s="42" t="str">
        <f>IF(OR($B215="",$A215&gt;$B$9),"",IF(COUNTIFS(BD!$B$3:$B$5001,F$184,BD!$A$3:$A$5001,"&gt;="&amp;$C$7,BD!$A$3:$A$5001,"&lt;="&amp;$B215,BD!$L$3:$L$5001,"&lt;&gt;")=0,"",SUMIFS(BD!$L$3:$L$5001,BD!$B$3:$B$5001,F$184,BD!$A$3:$A$5001,_xlfn.MAXIFS(BD!$A$3:$A$5001,BD!$B$3:$B$5001,F$184,BD!$A$3:$A$5001,"&gt;="&amp;$C$7,BD!$A$3:$A$5001,"&lt;="&amp;$B215,BD!$L$3:$L$5001,"&lt;&gt;"))))</f>
        <v/>
      </c>
      <c r="G215" s="42" t="str">
        <f>IF(OR($B215="",$A215&gt;$B$9),"",IF(COUNTIFS(BD!$B$3:$B$5001,G$184,BD!$A$3:$A$5001,"&gt;="&amp;$C$7,BD!$A$3:$A$5001,"&lt;="&amp;$B215,BD!$L$3:$L$5001,"&lt;&gt;")=0,"",SUMIFS(BD!$L$3:$L$5001,BD!$B$3:$B$5001,G$184,BD!$A$3:$A$5001,_xlfn.MAXIFS(BD!$A$3:$A$5001,BD!$B$3:$B$5001,G$184,BD!$A$3:$A$5001,"&gt;="&amp;$C$7,BD!$A$3:$A$5001,"&lt;="&amp;$B215,BD!$L$3:$L$5001,"&lt;&gt;"))))</f>
        <v/>
      </c>
    </row>
    <row r="216">
      <c r="A216" s="43" t="inlineStr">
        <is>
          <t xml:space="preserve">Mês anterior (último)</t>
        </is>
      </c>
      <c r="C216" s="44" t="str">
        <f>IF(COUNTIFS(BD!$B$3:$B$5001,C$184,BD!$A$3:$A$5001,"&gt;="&amp;$C$8,BD!$A$3:$A$5001,"&lt;="&amp;$D$8,BD!$L$3:$L$5001,"&lt;&gt;")=0,"",SUMIFS(BD!$L$3:$L$5001,BD!$B$3:$B$5001,C$184,BD!$A$3:$A$5001,_xlfn.MAXIFS(BD!$A$3:$A$5001,BD!$B$3:$B$5001,C$184,BD!$A$3:$A$5001,"&gt;="&amp;$C$8,BD!$A$3:$A$5001,"&lt;="&amp;$D$8,BD!$L$3:$L$5001,"&lt;&gt;")))</f>
        <v/>
      </c>
      <c r="D216" s="44" t="str">
        <f>IF(COUNTIFS(BD!$B$3:$B$5001,D$184,BD!$A$3:$A$5001,"&gt;="&amp;$C$8,BD!$A$3:$A$5001,"&lt;="&amp;$D$8,BD!$L$3:$L$5001,"&lt;&gt;")=0,"",SUMIFS(BD!$L$3:$L$5001,BD!$B$3:$B$5001,D$184,BD!$A$3:$A$5001,_xlfn.MAXIFS(BD!$A$3:$A$5001,BD!$B$3:$B$5001,D$184,BD!$A$3:$A$5001,"&gt;="&amp;$C$8,BD!$A$3:$A$5001,"&lt;="&amp;$D$8,BD!$L$3:$L$5001,"&lt;&gt;")))</f>
        <v/>
      </c>
      <c r="E216" s="44" t="str">
        <f>IF(COUNTIFS(BD!$B$3:$B$5001,E$184,BD!$A$3:$A$5001,"&gt;="&amp;$C$8,BD!$A$3:$A$5001,"&lt;="&amp;$D$8,BD!$L$3:$L$5001,"&lt;&gt;")=0,"",SUMIFS(BD!$L$3:$L$5001,BD!$B$3:$B$5001,E$184,BD!$A$3:$A$5001,_xlfn.MAXIFS(BD!$A$3:$A$5001,BD!$B$3:$B$5001,E$184,BD!$A$3:$A$5001,"&gt;="&amp;$C$8,BD!$A$3:$A$5001,"&lt;="&amp;$D$8,BD!$L$3:$L$5001,"&lt;&gt;")))</f>
        <v/>
      </c>
      <c r="F216" s="44" t="str">
        <f>IF(COUNTIFS(BD!$B$3:$B$5001,F$184,BD!$A$3:$A$5001,"&gt;="&amp;$C$8,BD!$A$3:$A$5001,"&lt;="&amp;$D$8,BD!$L$3:$L$5001,"&lt;&gt;")=0,"",SUMIFS(BD!$L$3:$L$5001,BD!$B$3:$B$5001,F$184,BD!$A$3:$A$5001,_xlfn.MAXIFS(BD!$A$3:$A$5001,BD!$B$3:$B$5001,F$184,BD!$A$3:$A$5001,"&gt;="&amp;$C$8,BD!$A$3:$A$5001,"&lt;="&amp;$D$8,BD!$L$3:$L$5001,"&lt;&gt;")))</f>
        <v/>
      </c>
      <c r="G216" s="44" t="str">
        <f>IF(COUNTIFS(BD!$B$3:$B$5001,G$184,BD!$A$3:$A$5001,"&gt;="&amp;$C$8,BD!$A$3:$A$5001,"&lt;="&amp;$D$8,BD!$L$3:$L$5001,"&lt;&gt;")=0,"",SUMIFS(BD!$L$3:$L$5001,BD!$B$3:$B$5001,G$184,BD!$A$3:$A$5001,_xlfn.MAXIFS(BD!$A$3:$A$5001,BD!$B$3:$B$5001,G$184,BD!$A$3:$A$5001,"&gt;="&amp;$C$8,BD!$A$3:$A$5001,"&lt;="&amp;$D$8,BD!$L$3:$L$5001,"&lt;&gt;")))</f>
        <v/>
      </c>
    </row>
    <row r="217">
      <c r="A217" s="43" t="inlineStr">
        <is>
          <t xml:space="preserve">Depósito</t>
        </is>
      </c>
      <c r="C217" s="40" t="inlineStr">
        <is>
          <t xml:space="preserve">JSL</t>
        </is>
      </c>
      <c r="D217" s="40" t="inlineStr">
        <is>
          <t xml:space="preserve">JSL</t>
        </is>
      </c>
      <c r="E217" s="40" t="inlineStr">
        <is>
          <t xml:space="preserve">JSL</t>
        </is>
      </c>
      <c r="F217" s="40" t="inlineStr">
        <is>
          <t xml:space="preserve">JSL</t>
        </is>
      </c>
      <c r="G217" s="40" t="inlineStr">
        <is>
          <t xml:space="preserve">JSL</t>
        </is>
      </c>
    </row>
    <row r="219">
      <c r="A219" s="37" t="inlineStr">
        <is>
          <t xml:space="preserve">Efetivo Op.</t>
        </is>
      </c>
      <c r="B219" s="37" t="inlineStr">
        <is>
          <t xml:space="preserve">Data</t>
        </is>
      </c>
      <c r="C219" s="37" t="inlineStr">
        <is>
          <t xml:space="preserve">Barry Callebaut</t>
        </is>
      </c>
      <c r="D219" s="37" t="inlineStr">
        <is>
          <t xml:space="preserve">GM</t>
        </is>
      </c>
      <c r="E219" s="37" t="inlineStr">
        <is>
          <t xml:space="preserve">Mondelez</t>
        </is>
      </c>
      <c r="F219" s="37" t="inlineStr">
        <is>
          <t xml:space="preserve">Nestlé</t>
        </is>
      </c>
      <c r="G219" s="37" t="inlineStr">
        <is>
          <t xml:space="preserve">PMB</t>
        </is>
      </c>
    </row>
    <row r="220">
      <c r="A220" s="40">
        <v>1</v>
      </c>
      <c r="B220" s="41">
        <f>$B$12</f>
        <v>46296</v>
      </c>
      <c r="C220" s="42" t="str">
        <f>IF(OR($B220="",$A220&gt;$B$9),"",IF(COUNTIFS(BD!$B$3:$B$5001,C$219,BD!$A$3:$A$5001,"&gt;="&amp;$C$7,BD!$A$3:$A$5001,"&lt;="&amp;$B220,BD!$N$3:$N$5001,"&lt;&gt;")=0,"",SUMIFS(BD!$N$3:$N$5001,BD!$B$3:$B$5001,C$219,BD!$A$3:$A$5001,_xlfn.MAXIFS(BD!$A$3:$A$5001,BD!$B$3:$B$5001,C$219,BD!$A$3:$A$5001,"&gt;="&amp;$C$7,BD!$A$3:$A$5001,"&lt;="&amp;$B220,BD!$N$3:$N$5001,"&lt;&gt;"))))</f>
        <v/>
      </c>
      <c r="D220" s="42" t="str">
        <f>IF(OR($B220="",$A220&gt;$B$9),"",IF(COUNTIFS(BD!$B$3:$B$5001,D$219,BD!$A$3:$A$5001,"&gt;="&amp;$C$7,BD!$A$3:$A$5001,"&lt;="&amp;$B220,BD!$N$3:$N$5001,"&lt;&gt;")=0,"",SUMIFS(BD!$N$3:$N$5001,BD!$B$3:$B$5001,D$219,BD!$A$3:$A$5001,_xlfn.MAXIFS(BD!$A$3:$A$5001,BD!$B$3:$B$5001,D$219,BD!$A$3:$A$5001,"&gt;="&amp;$C$7,BD!$A$3:$A$5001,"&lt;="&amp;$B220,BD!$N$3:$N$5001,"&lt;&gt;"))))</f>
        <v/>
      </c>
      <c r="E220" s="42" t="str">
        <f>IF(OR($B220="",$A220&gt;$B$9),"",IF(COUNTIFS(BD!$B$3:$B$5001,E$219,BD!$A$3:$A$5001,"&gt;="&amp;$C$7,BD!$A$3:$A$5001,"&lt;="&amp;$B220,BD!$N$3:$N$5001,"&lt;&gt;")=0,"",SUMIFS(BD!$N$3:$N$5001,BD!$B$3:$B$5001,E$219,BD!$A$3:$A$5001,_xlfn.MAXIFS(BD!$A$3:$A$5001,BD!$B$3:$B$5001,E$219,BD!$A$3:$A$5001,"&gt;="&amp;$C$7,BD!$A$3:$A$5001,"&lt;="&amp;$B220,BD!$N$3:$N$5001,"&lt;&gt;"))))</f>
        <v/>
      </c>
      <c r="F220" s="42" t="str">
        <f>IF(OR($B220="",$A220&gt;$B$9),"",IF(COUNTIFS(BD!$B$3:$B$5001,F$219,BD!$A$3:$A$5001,"&gt;="&amp;$C$7,BD!$A$3:$A$5001,"&lt;="&amp;$B220,BD!$N$3:$N$5001,"&lt;&gt;")=0,"",SUMIFS(BD!$N$3:$N$5001,BD!$B$3:$B$5001,F$219,BD!$A$3:$A$5001,_xlfn.MAXIFS(BD!$A$3:$A$5001,BD!$B$3:$B$5001,F$219,BD!$A$3:$A$5001,"&gt;="&amp;$C$7,BD!$A$3:$A$5001,"&lt;="&amp;$B220,BD!$N$3:$N$5001,"&lt;&gt;"))))</f>
        <v/>
      </c>
      <c r="G220" s="42" t="str">
        <f>IF(OR($B220="",$A220&gt;$B$9),"",IF(COUNTIFS(BD!$B$3:$B$5001,G$219,BD!$A$3:$A$5001,"&gt;="&amp;$C$7,BD!$A$3:$A$5001,"&lt;="&amp;$B220,BD!$N$3:$N$5001,"&lt;&gt;")=0,"",SUMIFS(BD!$N$3:$N$5001,BD!$B$3:$B$5001,G$219,BD!$A$3:$A$5001,_xlfn.MAXIFS(BD!$A$3:$A$5001,BD!$B$3:$B$5001,G$219,BD!$A$3:$A$5001,"&gt;="&amp;$C$7,BD!$A$3:$A$5001,"&lt;="&amp;$B220,BD!$N$3:$N$5001,"&lt;&gt;"))))</f>
        <v/>
      </c>
    </row>
    <row r="221">
      <c r="A221" s="40">
        <v>2</v>
      </c>
      <c r="B221" s="41">
        <f>$B$13</f>
        <v>46297</v>
      </c>
      <c r="C221" s="42" t="str">
        <f>IF(OR($B221="",$A221&gt;$B$9),"",IF(COUNTIFS(BD!$B$3:$B$5001,C$219,BD!$A$3:$A$5001,"&gt;="&amp;$C$7,BD!$A$3:$A$5001,"&lt;="&amp;$B221,BD!$N$3:$N$5001,"&lt;&gt;")=0,"",SUMIFS(BD!$N$3:$N$5001,BD!$B$3:$B$5001,C$219,BD!$A$3:$A$5001,_xlfn.MAXIFS(BD!$A$3:$A$5001,BD!$B$3:$B$5001,C$219,BD!$A$3:$A$5001,"&gt;="&amp;$C$7,BD!$A$3:$A$5001,"&lt;="&amp;$B221,BD!$N$3:$N$5001,"&lt;&gt;"))))</f>
        <v/>
      </c>
      <c r="D221" s="42" t="str">
        <f>IF(OR($B221="",$A221&gt;$B$9),"",IF(COUNTIFS(BD!$B$3:$B$5001,D$219,BD!$A$3:$A$5001,"&gt;="&amp;$C$7,BD!$A$3:$A$5001,"&lt;="&amp;$B221,BD!$N$3:$N$5001,"&lt;&gt;")=0,"",SUMIFS(BD!$N$3:$N$5001,BD!$B$3:$B$5001,D$219,BD!$A$3:$A$5001,_xlfn.MAXIFS(BD!$A$3:$A$5001,BD!$B$3:$B$5001,D$219,BD!$A$3:$A$5001,"&gt;="&amp;$C$7,BD!$A$3:$A$5001,"&lt;="&amp;$B221,BD!$N$3:$N$5001,"&lt;&gt;"))))</f>
        <v/>
      </c>
      <c r="E221" s="42" t="str">
        <f>IF(OR($B221="",$A221&gt;$B$9),"",IF(COUNTIFS(BD!$B$3:$B$5001,E$219,BD!$A$3:$A$5001,"&gt;="&amp;$C$7,BD!$A$3:$A$5001,"&lt;="&amp;$B221,BD!$N$3:$N$5001,"&lt;&gt;")=0,"",SUMIFS(BD!$N$3:$N$5001,BD!$B$3:$B$5001,E$219,BD!$A$3:$A$5001,_xlfn.MAXIFS(BD!$A$3:$A$5001,BD!$B$3:$B$5001,E$219,BD!$A$3:$A$5001,"&gt;="&amp;$C$7,BD!$A$3:$A$5001,"&lt;="&amp;$B221,BD!$N$3:$N$5001,"&lt;&gt;"))))</f>
        <v/>
      </c>
      <c r="F221" s="42" t="str">
        <f>IF(OR($B221="",$A221&gt;$B$9),"",IF(COUNTIFS(BD!$B$3:$B$5001,F$219,BD!$A$3:$A$5001,"&gt;="&amp;$C$7,BD!$A$3:$A$5001,"&lt;="&amp;$B221,BD!$N$3:$N$5001,"&lt;&gt;")=0,"",SUMIFS(BD!$N$3:$N$5001,BD!$B$3:$B$5001,F$219,BD!$A$3:$A$5001,_xlfn.MAXIFS(BD!$A$3:$A$5001,BD!$B$3:$B$5001,F$219,BD!$A$3:$A$5001,"&gt;="&amp;$C$7,BD!$A$3:$A$5001,"&lt;="&amp;$B221,BD!$N$3:$N$5001,"&lt;&gt;"))))</f>
        <v/>
      </c>
      <c r="G221" s="42" t="str">
        <f>IF(OR($B221="",$A221&gt;$B$9),"",IF(COUNTIFS(BD!$B$3:$B$5001,G$219,BD!$A$3:$A$5001,"&gt;="&amp;$C$7,BD!$A$3:$A$5001,"&lt;="&amp;$B221,BD!$N$3:$N$5001,"&lt;&gt;")=0,"",SUMIFS(BD!$N$3:$N$5001,BD!$B$3:$B$5001,G$219,BD!$A$3:$A$5001,_xlfn.MAXIFS(BD!$A$3:$A$5001,BD!$B$3:$B$5001,G$219,BD!$A$3:$A$5001,"&gt;="&amp;$C$7,BD!$A$3:$A$5001,"&lt;="&amp;$B221,BD!$N$3:$N$5001,"&lt;&gt;"))))</f>
        <v/>
      </c>
    </row>
    <row r="222">
      <c r="A222" s="40">
        <v>3</v>
      </c>
      <c r="B222" s="41">
        <f>$B$14</f>
        <v>46298</v>
      </c>
      <c r="C222" s="42" t="str">
        <f>IF(OR($B222="",$A222&gt;$B$9),"",IF(COUNTIFS(BD!$B$3:$B$5001,C$219,BD!$A$3:$A$5001,"&gt;="&amp;$C$7,BD!$A$3:$A$5001,"&lt;="&amp;$B222,BD!$N$3:$N$5001,"&lt;&gt;")=0,"",SUMIFS(BD!$N$3:$N$5001,BD!$B$3:$B$5001,C$219,BD!$A$3:$A$5001,_xlfn.MAXIFS(BD!$A$3:$A$5001,BD!$B$3:$B$5001,C$219,BD!$A$3:$A$5001,"&gt;="&amp;$C$7,BD!$A$3:$A$5001,"&lt;="&amp;$B222,BD!$N$3:$N$5001,"&lt;&gt;"))))</f>
        <v/>
      </c>
      <c r="D222" s="42" t="str">
        <f>IF(OR($B222="",$A222&gt;$B$9),"",IF(COUNTIFS(BD!$B$3:$B$5001,D$219,BD!$A$3:$A$5001,"&gt;="&amp;$C$7,BD!$A$3:$A$5001,"&lt;="&amp;$B222,BD!$N$3:$N$5001,"&lt;&gt;")=0,"",SUMIFS(BD!$N$3:$N$5001,BD!$B$3:$B$5001,D$219,BD!$A$3:$A$5001,_xlfn.MAXIFS(BD!$A$3:$A$5001,BD!$B$3:$B$5001,D$219,BD!$A$3:$A$5001,"&gt;="&amp;$C$7,BD!$A$3:$A$5001,"&lt;="&amp;$B222,BD!$N$3:$N$5001,"&lt;&gt;"))))</f>
        <v/>
      </c>
      <c r="E222" s="42" t="str">
        <f>IF(OR($B222="",$A222&gt;$B$9),"",IF(COUNTIFS(BD!$B$3:$B$5001,E$219,BD!$A$3:$A$5001,"&gt;="&amp;$C$7,BD!$A$3:$A$5001,"&lt;="&amp;$B222,BD!$N$3:$N$5001,"&lt;&gt;")=0,"",SUMIFS(BD!$N$3:$N$5001,BD!$B$3:$B$5001,E$219,BD!$A$3:$A$5001,_xlfn.MAXIFS(BD!$A$3:$A$5001,BD!$B$3:$B$5001,E$219,BD!$A$3:$A$5001,"&gt;="&amp;$C$7,BD!$A$3:$A$5001,"&lt;="&amp;$B222,BD!$N$3:$N$5001,"&lt;&gt;"))))</f>
        <v/>
      </c>
      <c r="F222" s="42" t="str">
        <f>IF(OR($B222="",$A222&gt;$B$9),"",IF(COUNTIFS(BD!$B$3:$B$5001,F$219,BD!$A$3:$A$5001,"&gt;="&amp;$C$7,BD!$A$3:$A$5001,"&lt;="&amp;$B222,BD!$N$3:$N$5001,"&lt;&gt;")=0,"",SUMIFS(BD!$N$3:$N$5001,BD!$B$3:$B$5001,F$219,BD!$A$3:$A$5001,_xlfn.MAXIFS(BD!$A$3:$A$5001,BD!$B$3:$B$5001,F$219,BD!$A$3:$A$5001,"&gt;="&amp;$C$7,BD!$A$3:$A$5001,"&lt;="&amp;$B222,BD!$N$3:$N$5001,"&lt;&gt;"))))</f>
        <v/>
      </c>
      <c r="G222" s="42" t="str">
        <f>IF(OR($B222="",$A222&gt;$B$9),"",IF(COUNTIFS(BD!$B$3:$B$5001,G$219,BD!$A$3:$A$5001,"&gt;="&amp;$C$7,BD!$A$3:$A$5001,"&lt;="&amp;$B222,BD!$N$3:$N$5001,"&lt;&gt;")=0,"",SUMIFS(BD!$N$3:$N$5001,BD!$B$3:$B$5001,G$219,BD!$A$3:$A$5001,_xlfn.MAXIFS(BD!$A$3:$A$5001,BD!$B$3:$B$5001,G$219,BD!$A$3:$A$5001,"&gt;="&amp;$C$7,BD!$A$3:$A$5001,"&lt;="&amp;$B222,BD!$N$3:$N$5001,"&lt;&gt;"))))</f>
        <v/>
      </c>
    </row>
    <row r="223">
      <c r="A223" s="40">
        <v>4</v>
      </c>
      <c r="B223" s="41">
        <f>$B$15</f>
        <v>46299</v>
      </c>
      <c r="C223" s="42" t="str">
        <f>IF(OR($B223="",$A223&gt;$B$9),"",IF(COUNTIFS(BD!$B$3:$B$5001,C$219,BD!$A$3:$A$5001,"&gt;="&amp;$C$7,BD!$A$3:$A$5001,"&lt;="&amp;$B223,BD!$N$3:$N$5001,"&lt;&gt;")=0,"",SUMIFS(BD!$N$3:$N$5001,BD!$B$3:$B$5001,C$219,BD!$A$3:$A$5001,_xlfn.MAXIFS(BD!$A$3:$A$5001,BD!$B$3:$B$5001,C$219,BD!$A$3:$A$5001,"&gt;="&amp;$C$7,BD!$A$3:$A$5001,"&lt;="&amp;$B223,BD!$N$3:$N$5001,"&lt;&gt;"))))</f>
        <v/>
      </c>
      <c r="D223" s="42" t="str">
        <f>IF(OR($B223="",$A223&gt;$B$9),"",IF(COUNTIFS(BD!$B$3:$B$5001,D$219,BD!$A$3:$A$5001,"&gt;="&amp;$C$7,BD!$A$3:$A$5001,"&lt;="&amp;$B223,BD!$N$3:$N$5001,"&lt;&gt;")=0,"",SUMIFS(BD!$N$3:$N$5001,BD!$B$3:$B$5001,D$219,BD!$A$3:$A$5001,_xlfn.MAXIFS(BD!$A$3:$A$5001,BD!$B$3:$B$5001,D$219,BD!$A$3:$A$5001,"&gt;="&amp;$C$7,BD!$A$3:$A$5001,"&lt;="&amp;$B223,BD!$N$3:$N$5001,"&lt;&gt;"))))</f>
        <v/>
      </c>
      <c r="E223" s="42" t="str">
        <f>IF(OR($B223="",$A223&gt;$B$9),"",IF(COUNTIFS(BD!$B$3:$B$5001,E$219,BD!$A$3:$A$5001,"&gt;="&amp;$C$7,BD!$A$3:$A$5001,"&lt;="&amp;$B223,BD!$N$3:$N$5001,"&lt;&gt;")=0,"",SUMIFS(BD!$N$3:$N$5001,BD!$B$3:$B$5001,E$219,BD!$A$3:$A$5001,_xlfn.MAXIFS(BD!$A$3:$A$5001,BD!$B$3:$B$5001,E$219,BD!$A$3:$A$5001,"&gt;="&amp;$C$7,BD!$A$3:$A$5001,"&lt;="&amp;$B223,BD!$N$3:$N$5001,"&lt;&gt;"))))</f>
        <v/>
      </c>
      <c r="F223" s="42" t="str">
        <f>IF(OR($B223="",$A223&gt;$B$9),"",IF(COUNTIFS(BD!$B$3:$B$5001,F$219,BD!$A$3:$A$5001,"&gt;="&amp;$C$7,BD!$A$3:$A$5001,"&lt;="&amp;$B223,BD!$N$3:$N$5001,"&lt;&gt;")=0,"",SUMIFS(BD!$N$3:$N$5001,BD!$B$3:$B$5001,F$219,BD!$A$3:$A$5001,_xlfn.MAXIFS(BD!$A$3:$A$5001,BD!$B$3:$B$5001,F$219,BD!$A$3:$A$5001,"&gt;="&amp;$C$7,BD!$A$3:$A$5001,"&lt;="&amp;$B223,BD!$N$3:$N$5001,"&lt;&gt;"))))</f>
        <v/>
      </c>
      <c r="G223" s="42" t="str">
        <f>IF(OR($B223="",$A223&gt;$B$9),"",IF(COUNTIFS(BD!$B$3:$B$5001,G$219,BD!$A$3:$A$5001,"&gt;="&amp;$C$7,BD!$A$3:$A$5001,"&lt;="&amp;$B223,BD!$N$3:$N$5001,"&lt;&gt;")=0,"",SUMIFS(BD!$N$3:$N$5001,BD!$B$3:$B$5001,G$219,BD!$A$3:$A$5001,_xlfn.MAXIFS(BD!$A$3:$A$5001,BD!$B$3:$B$5001,G$219,BD!$A$3:$A$5001,"&gt;="&amp;$C$7,BD!$A$3:$A$5001,"&lt;="&amp;$B223,BD!$N$3:$N$5001,"&lt;&gt;"))))</f>
        <v/>
      </c>
    </row>
    <row r="224">
      <c r="A224" s="40">
        <v>5</v>
      </c>
      <c r="B224" s="41">
        <f>$B$16</f>
        <v>46300</v>
      </c>
      <c r="C224" s="42" t="str">
        <f>IF(OR($B224="",$A224&gt;$B$9),"",IF(COUNTIFS(BD!$B$3:$B$5001,C$219,BD!$A$3:$A$5001,"&gt;="&amp;$C$7,BD!$A$3:$A$5001,"&lt;="&amp;$B224,BD!$N$3:$N$5001,"&lt;&gt;")=0,"",SUMIFS(BD!$N$3:$N$5001,BD!$B$3:$B$5001,C$219,BD!$A$3:$A$5001,_xlfn.MAXIFS(BD!$A$3:$A$5001,BD!$B$3:$B$5001,C$219,BD!$A$3:$A$5001,"&gt;="&amp;$C$7,BD!$A$3:$A$5001,"&lt;="&amp;$B224,BD!$N$3:$N$5001,"&lt;&gt;"))))</f>
        <v/>
      </c>
      <c r="D224" s="42" t="str">
        <f>IF(OR($B224="",$A224&gt;$B$9),"",IF(COUNTIFS(BD!$B$3:$B$5001,D$219,BD!$A$3:$A$5001,"&gt;="&amp;$C$7,BD!$A$3:$A$5001,"&lt;="&amp;$B224,BD!$N$3:$N$5001,"&lt;&gt;")=0,"",SUMIFS(BD!$N$3:$N$5001,BD!$B$3:$B$5001,D$219,BD!$A$3:$A$5001,_xlfn.MAXIFS(BD!$A$3:$A$5001,BD!$B$3:$B$5001,D$219,BD!$A$3:$A$5001,"&gt;="&amp;$C$7,BD!$A$3:$A$5001,"&lt;="&amp;$B224,BD!$N$3:$N$5001,"&lt;&gt;"))))</f>
        <v/>
      </c>
      <c r="E224" s="42" t="str">
        <f>IF(OR($B224="",$A224&gt;$B$9),"",IF(COUNTIFS(BD!$B$3:$B$5001,E$219,BD!$A$3:$A$5001,"&gt;="&amp;$C$7,BD!$A$3:$A$5001,"&lt;="&amp;$B224,BD!$N$3:$N$5001,"&lt;&gt;")=0,"",SUMIFS(BD!$N$3:$N$5001,BD!$B$3:$B$5001,E$219,BD!$A$3:$A$5001,_xlfn.MAXIFS(BD!$A$3:$A$5001,BD!$B$3:$B$5001,E$219,BD!$A$3:$A$5001,"&gt;="&amp;$C$7,BD!$A$3:$A$5001,"&lt;="&amp;$B224,BD!$N$3:$N$5001,"&lt;&gt;"))))</f>
        <v/>
      </c>
      <c r="F224" s="42" t="str">
        <f>IF(OR($B224="",$A224&gt;$B$9),"",IF(COUNTIFS(BD!$B$3:$B$5001,F$219,BD!$A$3:$A$5001,"&gt;="&amp;$C$7,BD!$A$3:$A$5001,"&lt;="&amp;$B224,BD!$N$3:$N$5001,"&lt;&gt;")=0,"",SUMIFS(BD!$N$3:$N$5001,BD!$B$3:$B$5001,F$219,BD!$A$3:$A$5001,_xlfn.MAXIFS(BD!$A$3:$A$5001,BD!$B$3:$B$5001,F$219,BD!$A$3:$A$5001,"&gt;="&amp;$C$7,BD!$A$3:$A$5001,"&lt;="&amp;$B224,BD!$N$3:$N$5001,"&lt;&gt;"))))</f>
        <v/>
      </c>
      <c r="G224" s="42" t="str">
        <f>IF(OR($B224="",$A224&gt;$B$9),"",IF(COUNTIFS(BD!$B$3:$B$5001,G$219,BD!$A$3:$A$5001,"&gt;="&amp;$C$7,BD!$A$3:$A$5001,"&lt;="&amp;$B224,BD!$N$3:$N$5001,"&lt;&gt;")=0,"",SUMIFS(BD!$N$3:$N$5001,BD!$B$3:$B$5001,G$219,BD!$A$3:$A$5001,_xlfn.MAXIFS(BD!$A$3:$A$5001,BD!$B$3:$B$5001,G$219,BD!$A$3:$A$5001,"&gt;="&amp;$C$7,BD!$A$3:$A$5001,"&lt;="&amp;$B224,BD!$N$3:$N$5001,"&lt;&gt;"))))</f>
        <v/>
      </c>
    </row>
    <row r="225">
      <c r="A225" s="40">
        <v>6</v>
      </c>
      <c r="B225" s="41">
        <f>$B$17</f>
        <v>46301</v>
      </c>
      <c r="C225" s="42" t="str">
        <f>IF(OR($B225="",$A225&gt;$B$9),"",IF(COUNTIFS(BD!$B$3:$B$5001,C$219,BD!$A$3:$A$5001,"&gt;="&amp;$C$7,BD!$A$3:$A$5001,"&lt;="&amp;$B225,BD!$N$3:$N$5001,"&lt;&gt;")=0,"",SUMIFS(BD!$N$3:$N$5001,BD!$B$3:$B$5001,C$219,BD!$A$3:$A$5001,_xlfn.MAXIFS(BD!$A$3:$A$5001,BD!$B$3:$B$5001,C$219,BD!$A$3:$A$5001,"&gt;="&amp;$C$7,BD!$A$3:$A$5001,"&lt;="&amp;$B225,BD!$N$3:$N$5001,"&lt;&gt;"))))</f>
        <v/>
      </c>
      <c r="D225" s="42" t="str">
        <f>IF(OR($B225="",$A225&gt;$B$9),"",IF(COUNTIFS(BD!$B$3:$B$5001,D$219,BD!$A$3:$A$5001,"&gt;="&amp;$C$7,BD!$A$3:$A$5001,"&lt;="&amp;$B225,BD!$N$3:$N$5001,"&lt;&gt;")=0,"",SUMIFS(BD!$N$3:$N$5001,BD!$B$3:$B$5001,D$219,BD!$A$3:$A$5001,_xlfn.MAXIFS(BD!$A$3:$A$5001,BD!$B$3:$B$5001,D$219,BD!$A$3:$A$5001,"&gt;="&amp;$C$7,BD!$A$3:$A$5001,"&lt;="&amp;$B225,BD!$N$3:$N$5001,"&lt;&gt;"))))</f>
        <v/>
      </c>
      <c r="E225" s="42" t="str">
        <f>IF(OR($B225="",$A225&gt;$B$9),"",IF(COUNTIFS(BD!$B$3:$B$5001,E$219,BD!$A$3:$A$5001,"&gt;="&amp;$C$7,BD!$A$3:$A$5001,"&lt;="&amp;$B225,BD!$N$3:$N$5001,"&lt;&gt;")=0,"",SUMIFS(BD!$N$3:$N$5001,BD!$B$3:$B$5001,E$219,BD!$A$3:$A$5001,_xlfn.MAXIFS(BD!$A$3:$A$5001,BD!$B$3:$B$5001,E$219,BD!$A$3:$A$5001,"&gt;="&amp;$C$7,BD!$A$3:$A$5001,"&lt;="&amp;$B225,BD!$N$3:$N$5001,"&lt;&gt;"))))</f>
        <v/>
      </c>
      <c r="F225" s="42" t="str">
        <f>IF(OR($B225="",$A225&gt;$B$9),"",IF(COUNTIFS(BD!$B$3:$B$5001,F$219,BD!$A$3:$A$5001,"&gt;="&amp;$C$7,BD!$A$3:$A$5001,"&lt;="&amp;$B225,BD!$N$3:$N$5001,"&lt;&gt;")=0,"",SUMIFS(BD!$N$3:$N$5001,BD!$B$3:$B$5001,F$219,BD!$A$3:$A$5001,_xlfn.MAXIFS(BD!$A$3:$A$5001,BD!$B$3:$B$5001,F$219,BD!$A$3:$A$5001,"&gt;="&amp;$C$7,BD!$A$3:$A$5001,"&lt;="&amp;$B225,BD!$N$3:$N$5001,"&lt;&gt;"))))</f>
        <v/>
      </c>
      <c r="G225" s="42" t="str">
        <f>IF(OR($B225="",$A225&gt;$B$9),"",IF(COUNTIFS(BD!$B$3:$B$5001,G$219,BD!$A$3:$A$5001,"&gt;="&amp;$C$7,BD!$A$3:$A$5001,"&lt;="&amp;$B225,BD!$N$3:$N$5001,"&lt;&gt;")=0,"",SUMIFS(BD!$N$3:$N$5001,BD!$B$3:$B$5001,G$219,BD!$A$3:$A$5001,_xlfn.MAXIFS(BD!$A$3:$A$5001,BD!$B$3:$B$5001,G$219,BD!$A$3:$A$5001,"&gt;="&amp;$C$7,BD!$A$3:$A$5001,"&lt;="&amp;$B225,BD!$N$3:$N$5001,"&lt;&gt;"))))</f>
        <v/>
      </c>
    </row>
    <row r="226">
      <c r="A226" s="40">
        <v>7</v>
      </c>
      <c r="B226" s="41">
        <f>$B$18</f>
        <v>46302</v>
      </c>
      <c r="C226" s="42" t="str">
        <f>IF(OR($B226="",$A226&gt;$B$9),"",IF(COUNTIFS(BD!$B$3:$B$5001,C$219,BD!$A$3:$A$5001,"&gt;="&amp;$C$7,BD!$A$3:$A$5001,"&lt;="&amp;$B226,BD!$N$3:$N$5001,"&lt;&gt;")=0,"",SUMIFS(BD!$N$3:$N$5001,BD!$B$3:$B$5001,C$219,BD!$A$3:$A$5001,_xlfn.MAXIFS(BD!$A$3:$A$5001,BD!$B$3:$B$5001,C$219,BD!$A$3:$A$5001,"&gt;="&amp;$C$7,BD!$A$3:$A$5001,"&lt;="&amp;$B226,BD!$N$3:$N$5001,"&lt;&gt;"))))</f>
        <v/>
      </c>
      <c r="D226" s="42" t="str">
        <f>IF(OR($B226="",$A226&gt;$B$9),"",IF(COUNTIFS(BD!$B$3:$B$5001,D$219,BD!$A$3:$A$5001,"&gt;="&amp;$C$7,BD!$A$3:$A$5001,"&lt;="&amp;$B226,BD!$N$3:$N$5001,"&lt;&gt;")=0,"",SUMIFS(BD!$N$3:$N$5001,BD!$B$3:$B$5001,D$219,BD!$A$3:$A$5001,_xlfn.MAXIFS(BD!$A$3:$A$5001,BD!$B$3:$B$5001,D$219,BD!$A$3:$A$5001,"&gt;="&amp;$C$7,BD!$A$3:$A$5001,"&lt;="&amp;$B226,BD!$N$3:$N$5001,"&lt;&gt;"))))</f>
        <v/>
      </c>
      <c r="E226" s="42" t="str">
        <f>IF(OR($B226="",$A226&gt;$B$9),"",IF(COUNTIFS(BD!$B$3:$B$5001,E$219,BD!$A$3:$A$5001,"&gt;="&amp;$C$7,BD!$A$3:$A$5001,"&lt;="&amp;$B226,BD!$N$3:$N$5001,"&lt;&gt;")=0,"",SUMIFS(BD!$N$3:$N$5001,BD!$B$3:$B$5001,E$219,BD!$A$3:$A$5001,_xlfn.MAXIFS(BD!$A$3:$A$5001,BD!$B$3:$B$5001,E$219,BD!$A$3:$A$5001,"&gt;="&amp;$C$7,BD!$A$3:$A$5001,"&lt;="&amp;$B226,BD!$N$3:$N$5001,"&lt;&gt;"))))</f>
        <v/>
      </c>
      <c r="F226" s="42" t="str">
        <f>IF(OR($B226="",$A226&gt;$B$9),"",IF(COUNTIFS(BD!$B$3:$B$5001,F$219,BD!$A$3:$A$5001,"&gt;="&amp;$C$7,BD!$A$3:$A$5001,"&lt;="&amp;$B226,BD!$N$3:$N$5001,"&lt;&gt;")=0,"",SUMIFS(BD!$N$3:$N$5001,BD!$B$3:$B$5001,F$219,BD!$A$3:$A$5001,_xlfn.MAXIFS(BD!$A$3:$A$5001,BD!$B$3:$B$5001,F$219,BD!$A$3:$A$5001,"&gt;="&amp;$C$7,BD!$A$3:$A$5001,"&lt;="&amp;$B226,BD!$N$3:$N$5001,"&lt;&gt;"))))</f>
        <v/>
      </c>
      <c r="G226" s="42" t="str">
        <f>IF(OR($B226="",$A226&gt;$B$9),"",IF(COUNTIFS(BD!$B$3:$B$5001,G$219,BD!$A$3:$A$5001,"&gt;="&amp;$C$7,BD!$A$3:$A$5001,"&lt;="&amp;$B226,BD!$N$3:$N$5001,"&lt;&gt;")=0,"",SUMIFS(BD!$N$3:$N$5001,BD!$B$3:$B$5001,G$219,BD!$A$3:$A$5001,_xlfn.MAXIFS(BD!$A$3:$A$5001,BD!$B$3:$B$5001,G$219,BD!$A$3:$A$5001,"&gt;="&amp;$C$7,BD!$A$3:$A$5001,"&lt;="&amp;$B226,BD!$N$3:$N$5001,"&lt;&gt;"))))</f>
        <v/>
      </c>
    </row>
    <row r="227">
      <c r="A227" s="40">
        <v>8</v>
      </c>
      <c r="B227" s="41">
        <f>$B$19</f>
        <v>46303</v>
      </c>
      <c r="C227" s="42" t="str">
        <f>IF(OR($B227="",$A227&gt;$B$9),"",IF(COUNTIFS(BD!$B$3:$B$5001,C$219,BD!$A$3:$A$5001,"&gt;="&amp;$C$7,BD!$A$3:$A$5001,"&lt;="&amp;$B227,BD!$N$3:$N$5001,"&lt;&gt;")=0,"",SUMIFS(BD!$N$3:$N$5001,BD!$B$3:$B$5001,C$219,BD!$A$3:$A$5001,_xlfn.MAXIFS(BD!$A$3:$A$5001,BD!$B$3:$B$5001,C$219,BD!$A$3:$A$5001,"&gt;="&amp;$C$7,BD!$A$3:$A$5001,"&lt;="&amp;$B227,BD!$N$3:$N$5001,"&lt;&gt;"))))</f>
        <v/>
      </c>
      <c r="D227" s="42" t="str">
        <f>IF(OR($B227="",$A227&gt;$B$9),"",IF(COUNTIFS(BD!$B$3:$B$5001,D$219,BD!$A$3:$A$5001,"&gt;="&amp;$C$7,BD!$A$3:$A$5001,"&lt;="&amp;$B227,BD!$N$3:$N$5001,"&lt;&gt;")=0,"",SUMIFS(BD!$N$3:$N$5001,BD!$B$3:$B$5001,D$219,BD!$A$3:$A$5001,_xlfn.MAXIFS(BD!$A$3:$A$5001,BD!$B$3:$B$5001,D$219,BD!$A$3:$A$5001,"&gt;="&amp;$C$7,BD!$A$3:$A$5001,"&lt;="&amp;$B227,BD!$N$3:$N$5001,"&lt;&gt;"))))</f>
        <v/>
      </c>
      <c r="E227" s="42" t="str">
        <f>IF(OR($B227="",$A227&gt;$B$9),"",IF(COUNTIFS(BD!$B$3:$B$5001,E$219,BD!$A$3:$A$5001,"&gt;="&amp;$C$7,BD!$A$3:$A$5001,"&lt;="&amp;$B227,BD!$N$3:$N$5001,"&lt;&gt;")=0,"",SUMIFS(BD!$N$3:$N$5001,BD!$B$3:$B$5001,E$219,BD!$A$3:$A$5001,_xlfn.MAXIFS(BD!$A$3:$A$5001,BD!$B$3:$B$5001,E$219,BD!$A$3:$A$5001,"&gt;="&amp;$C$7,BD!$A$3:$A$5001,"&lt;="&amp;$B227,BD!$N$3:$N$5001,"&lt;&gt;"))))</f>
        <v/>
      </c>
      <c r="F227" s="42" t="str">
        <f>IF(OR($B227="",$A227&gt;$B$9),"",IF(COUNTIFS(BD!$B$3:$B$5001,F$219,BD!$A$3:$A$5001,"&gt;="&amp;$C$7,BD!$A$3:$A$5001,"&lt;="&amp;$B227,BD!$N$3:$N$5001,"&lt;&gt;")=0,"",SUMIFS(BD!$N$3:$N$5001,BD!$B$3:$B$5001,F$219,BD!$A$3:$A$5001,_xlfn.MAXIFS(BD!$A$3:$A$5001,BD!$B$3:$B$5001,F$219,BD!$A$3:$A$5001,"&gt;="&amp;$C$7,BD!$A$3:$A$5001,"&lt;="&amp;$B227,BD!$N$3:$N$5001,"&lt;&gt;"))))</f>
        <v/>
      </c>
      <c r="G227" s="42" t="str">
        <f>IF(OR($B227="",$A227&gt;$B$9),"",IF(COUNTIFS(BD!$B$3:$B$5001,G$219,BD!$A$3:$A$5001,"&gt;="&amp;$C$7,BD!$A$3:$A$5001,"&lt;="&amp;$B227,BD!$N$3:$N$5001,"&lt;&gt;")=0,"",SUMIFS(BD!$N$3:$N$5001,BD!$B$3:$B$5001,G$219,BD!$A$3:$A$5001,_xlfn.MAXIFS(BD!$A$3:$A$5001,BD!$B$3:$B$5001,G$219,BD!$A$3:$A$5001,"&gt;="&amp;$C$7,BD!$A$3:$A$5001,"&lt;="&amp;$B227,BD!$N$3:$N$5001,"&lt;&gt;"))))</f>
        <v/>
      </c>
    </row>
    <row r="228">
      <c r="A228" s="40">
        <v>9</v>
      </c>
      <c r="B228" s="41">
        <f>$B$20</f>
        <v>46304</v>
      </c>
      <c r="C228" s="42" t="str">
        <f>IF(OR($B228="",$A228&gt;$B$9),"",IF(COUNTIFS(BD!$B$3:$B$5001,C$219,BD!$A$3:$A$5001,"&gt;="&amp;$C$7,BD!$A$3:$A$5001,"&lt;="&amp;$B228,BD!$N$3:$N$5001,"&lt;&gt;")=0,"",SUMIFS(BD!$N$3:$N$5001,BD!$B$3:$B$5001,C$219,BD!$A$3:$A$5001,_xlfn.MAXIFS(BD!$A$3:$A$5001,BD!$B$3:$B$5001,C$219,BD!$A$3:$A$5001,"&gt;="&amp;$C$7,BD!$A$3:$A$5001,"&lt;="&amp;$B228,BD!$N$3:$N$5001,"&lt;&gt;"))))</f>
        <v/>
      </c>
      <c r="D228" s="42" t="str">
        <f>IF(OR($B228="",$A228&gt;$B$9),"",IF(COUNTIFS(BD!$B$3:$B$5001,D$219,BD!$A$3:$A$5001,"&gt;="&amp;$C$7,BD!$A$3:$A$5001,"&lt;="&amp;$B228,BD!$N$3:$N$5001,"&lt;&gt;")=0,"",SUMIFS(BD!$N$3:$N$5001,BD!$B$3:$B$5001,D$219,BD!$A$3:$A$5001,_xlfn.MAXIFS(BD!$A$3:$A$5001,BD!$B$3:$B$5001,D$219,BD!$A$3:$A$5001,"&gt;="&amp;$C$7,BD!$A$3:$A$5001,"&lt;="&amp;$B228,BD!$N$3:$N$5001,"&lt;&gt;"))))</f>
        <v/>
      </c>
      <c r="E228" s="42" t="str">
        <f>IF(OR($B228="",$A228&gt;$B$9),"",IF(COUNTIFS(BD!$B$3:$B$5001,E$219,BD!$A$3:$A$5001,"&gt;="&amp;$C$7,BD!$A$3:$A$5001,"&lt;="&amp;$B228,BD!$N$3:$N$5001,"&lt;&gt;")=0,"",SUMIFS(BD!$N$3:$N$5001,BD!$B$3:$B$5001,E$219,BD!$A$3:$A$5001,_xlfn.MAXIFS(BD!$A$3:$A$5001,BD!$B$3:$B$5001,E$219,BD!$A$3:$A$5001,"&gt;="&amp;$C$7,BD!$A$3:$A$5001,"&lt;="&amp;$B228,BD!$N$3:$N$5001,"&lt;&gt;"))))</f>
        <v/>
      </c>
      <c r="F228" s="42" t="str">
        <f>IF(OR($B228="",$A228&gt;$B$9),"",IF(COUNTIFS(BD!$B$3:$B$5001,F$219,BD!$A$3:$A$5001,"&gt;="&amp;$C$7,BD!$A$3:$A$5001,"&lt;="&amp;$B228,BD!$N$3:$N$5001,"&lt;&gt;")=0,"",SUMIFS(BD!$N$3:$N$5001,BD!$B$3:$B$5001,F$219,BD!$A$3:$A$5001,_xlfn.MAXIFS(BD!$A$3:$A$5001,BD!$B$3:$B$5001,F$219,BD!$A$3:$A$5001,"&gt;="&amp;$C$7,BD!$A$3:$A$5001,"&lt;="&amp;$B228,BD!$N$3:$N$5001,"&lt;&gt;"))))</f>
        <v/>
      </c>
      <c r="G228" s="42" t="str">
        <f>IF(OR($B228="",$A228&gt;$B$9),"",IF(COUNTIFS(BD!$B$3:$B$5001,G$219,BD!$A$3:$A$5001,"&gt;="&amp;$C$7,BD!$A$3:$A$5001,"&lt;="&amp;$B228,BD!$N$3:$N$5001,"&lt;&gt;")=0,"",SUMIFS(BD!$N$3:$N$5001,BD!$B$3:$B$5001,G$219,BD!$A$3:$A$5001,_xlfn.MAXIFS(BD!$A$3:$A$5001,BD!$B$3:$B$5001,G$219,BD!$A$3:$A$5001,"&gt;="&amp;$C$7,BD!$A$3:$A$5001,"&lt;="&amp;$B228,BD!$N$3:$N$5001,"&lt;&gt;"))))</f>
        <v/>
      </c>
    </row>
    <row r="229">
      <c r="A229" s="40">
        <v>10</v>
      </c>
      <c r="B229" s="41">
        <f>$B$21</f>
        <v>46305</v>
      </c>
      <c r="C229" s="42" t="str">
        <f>IF(OR($B229="",$A229&gt;$B$9),"",IF(COUNTIFS(BD!$B$3:$B$5001,C$219,BD!$A$3:$A$5001,"&gt;="&amp;$C$7,BD!$A$3:$A$5001,"&lt;="&amp;$B229,BD!$N$3:$N$5001,"&lt;&gt;")=0,"",SUMIFS(BD!$N$3:$N$5001,BD!$B$3:$B$5001,C$219,BD!$A$3:$A$5001,_xlfn.MAXIFS(BD!$A$3:$A$5001,BD!$B$3:$B$5001,C$219,BD!$A$3:$A$5001,"&gt;="&amp;$C$7,BD!$A$3:$A$5001,"&lt;="&amp;$B229,BD!$N$3:$N$5001,"&lt;&gt;"))))</f>
        <v/>
      </c>
      <c r="D229" s="42" t="str">
        <f>IF(OR($B229="",$A229&gt;$B$9),"",IF(COUNTIFS(BD!$B$3:$B$5001,D$219,BD!$A$3:$A$5001,"&gt;="&amp;$C$7,BD!$A$3:$A$5001,"&lt;="&amp;$B229,BD!$N$3:$N$5001,"&lt;&gt;")=0,"",SUMIFS(BD!$N$3:$N$5001,BD!$B$3:$B$5001,D$219,BD!$A$3:$A$5001,_xlfn.MAXIFS(BD!$A$3:$A$5001,BD!$B$3:$B$5001,D$219,BD!$A$3:$A$5001,"&gt;="&amp;$C$7,BD!$A$3:$A$5001,"&lt;="&amp;$B229,BD!$N$3:$N$5001,"&lt;&gt;"))))</f>
        <v/>
      </c>
      <c r="E229" s="42" t="str">
        <f>IF(OR($B229="",$A229&gt;$B$9),"",IF(COUNTIFS(BD!$B$3:$B$5001,E$219,BD!$A$3:$A$5001,"&gt;="&amp;$C$7,BD!$A$3:$A$5001,"&lt;="&amp;$B229,BD!$N$3:$N$5001,"&lt;&gt;")=0,"",SUMIFS(BD!$N$3:$N$5001,BD!$B$3:$B$5001,E$219,BD!$A$3:$A$5001,_xlfn.MAXIFS(BD!$A$3:$A$5001,BD!$B$3:$B$5001,E$219,BD!$A$3:$A$5001,"&gt;="&amp;$C$7,BD!$A$3:$A$5001,"&lt;="&amp;$B229,BD!$N$3:$N$5001,"&lt;&gt;"))))</f>
        <v/>
      </c>
      <c r="F229" s="42" t="str">
        <f>IF(OR($B229="",$A229&gt;$B$9),"",IF(COUNTIFS(BD!$B$3:$B$5001,F$219,BD!$A$3:$A$5001,"&gt;="&amp;$C$7,BD!$A$3:$A$5001,"&lt;="&amp;$B229,BD!$N$3:$N$5001,"&lt;&gt;")=0,"",SUMIFS(BD!$N$3:$N$5001,BD!$B$3:$B$5001,F$219,BD!$A$3:$A$5001,_xlfn.MAXIFS(BD!$A$3:$A$5001,BD!$B$3:$B$5001,F$219,BD!$A$3:$A$5001,"&gt;="&amp;$C$7,BD!$A$3:$A$5001,"&lt;="&amp;$B229,BD!$N$3:$N$5001,"&lt;&gt;"))))</f>
        <v/>
      </c>
      <c r="G229" s="42" t="str">
        <f>IF(OR($B229="",$A229&gt;$B$9),"",IF(COUNTIFS(BD!$B$3:$B$5001,G$219,BD!$A$3:$A$5001,"&gt;="&amp;$C$7,BD!$A$3:$A$5001,"&lt;="&amp;$B229,BD!$N$3:$N$5001,"&lt;&gt;")=0,"",SUMIFS(BD!$N$3:$N$5001,BD!$B$3:$B$5001,G$219,BD!$A$3:$A$5001,_xlfn.MAXIFS(BD!$A$3:$A$5001,BD!$B$3:$B$5001,G$219,BD!$A$3:$A$5001,"&gt;="&amp;$C$7,BD!$A$3:$A$5001,"&lt;="&amp;$B229,BD!$N$3:$N$5001,"&lt;&gt;"))))</f>
        <v/>
      </c>
    </row>
    <row r="230">
      <c r="A230" s="40">
        <v>11</v>
      </c>
      <c r="B230" s="41">
        <f>$B$22</f>
        <v>46306</v>
      </c>
      <c r="C230" s="42" t="str">
        <f>IF(OR($B230="",$A230&gt;$B$9),"",IF(COUNTIFS(BD!$B$3:$B$5001,C$219,BD!$A$3:$A$5001,"&gt;="&amp;$C$7,BD!$A$3:$A$5001,"&lt;="&amp;$B230,BD!$N$3:$N$5001,"&lt;&gt;")=0,"",SUMIFS(BD!$N$3:$N$5001,BD!$B$3:$B$5001,C$219,BD!$A$3:$A$5001,_xlfn.MAXIFS(BD!$A$3:$A$5001,BD!$B$3:$B$5001,C$219,BD!$A$3:$A$5001,"&gt;="&amp;$C$7,BD!$A$3:$A$5001,"&lt;="&amp;$B230,BD!$N$3:$N$5001,"&lt;&gt;"))))</f>
        <v/>
      </c>
      <c r="D230" s="42" t="str">
        <f>IF(OR($B230="",$A230&gt;$B$9),"",IF(COUNTIFS(BD!$B$3:$B$5001,D$219,BD!$A$3:$A$5001,"&gt;="&amp;$C$7,BD!$A$3:$A$5001,"&lt;="&amp;$B230,BD!$N$3:$N$5001,"&lt;&gt;")=0,"",SUMIFS(BD!$N$3:$N$5001,BD!$B$3:$B$5001,D$219,BD!$A$3:$A$5001,_xlfn.MAXIFS(BD!$A$3:$A$5001,BD!$B$3:$B$5001,D$219,BD!$A$3:$A$5001,"&gt;="&amp;$C$7,BD!$A$3:$A$5001,"&lt;="&amp;$B230,BD!$N$3:$N$5001,"&lt;&gt;"))))</f>
        <v/>
      </c>
      <c r="E230" s="42" t="str">
        <f>IF(OR($B230="",$A230&gt;$B$9),"",IF(COUNTIFS(BD!$B$3:$B$5001,E$219,BD!$A$3:$A$5001,"&gt;="&amp;$C$7,BD!$A$3:$A$5001,"&lt;="&amp;$B230,BD!$N$3:$N$5001,"&lt;&gt;")=0,"",SUMIFS(BD!$N$3:$N$5001,BD!$B$3:$B$5001,E$219,BD!$A$3:$A$5001,_xlfn.MAXIFS(BD!$A$3:$A$5001,BD!$B$3:$B$5001,E$219,BD!$A$3:$A$5001,"&gt;="&amp;$C$7,BD!$A$3:$A$5001,"&lt;="&amp;$B230,BD!$N$3:$N$5001,"&lt;&gt;"))))</f>
        <v/>
      </c>
      <c r="F230" s="42" t="str">
        <f>IF(OR($B230="",$A230&gt;$B$9),"",IF(COUNTIFS(BD!$B$3:$B$5001,F$219,BD!$A$3:$A$5001,"&gt;="&amp;$C$7,BD!$A$3:$A$5001,"&lt;="&amp;$B230,BD!$N$3:$N$5001,"&lt;&gt;")=0,"",SUMIFS(BD!$N$3:$N$5001,BD!$B$3:$B$5001,F$219,BD!$A$3:$A$5001,_xlfn.MAXIFS(BD!$A$3:$A$5001,BD!$B$3:$B$5001,F$219,BD!$A$3:$A$5001,"&gt;="&amp;$C$7,BD!$A$3:$A$5001,"&lt;="&amp;$B230,BD!$N$3:$N$5001,"&lt;&gt;"))))</f>
        <v/>
      </c>
      <c r="G230" s="42" t="str">
        <f>IF(OR($B230="",$A230&gt;$B$9),"",IF(COUNTIFS(BD!$B$3:$B$5001,G$219,BD!$A$3:$A$5001,"&gt;="&amp;$C$7,BD!$A$3:$A$5001,"&lt;="&amp;$B230,BD!$N$3:$N$5001,"&lt;&gt;")=0,"",SUMIFS(BD!$N$3:$N$5001,BD!$B$3:$B$5001,G$219,BD!$A$3:$A$5001,_xlfn.MAXIFS(BD!$A$3:$A$5001,BD!$B$3:$B$5001,G$219,BD!$A$3:$A$5001,"&gt;="&amp;$C$7,BD!$A$3:$A$5001,"&lt;="&amp;$B230,BD!$N$3:$N$5001,"&lt;&gt;"))))</f>
        <v/>
      </c>
    </row>
    <row r="231">
      <c r="A231" s="40">
        <v>12</v>
      </c>
      <c r="B231" s="41">
        <f>$B$23</f>
        <v>46307</v>
      </c>
      <c r="C231" s="42" t="str">
        <f>IF(OR($B231="",$A231&gt;$B$9),"",IF(COUNTIFS(BD!$B$3:$B$5001,C$219,BD!$A$3:$A$5001,"&gt;="&amp;$C$7,BD!$A$3:$A$5001,"&lt;="&amp;$B231,BD!$N$3:$N$5001,"&lt;&gt;")=0,"",SUMIFS(BD!$N$3:$N$5001,BD!$B$3:$B$5001,C$219,BD!$A$3:$A$5001,_xlfn.MAXIFS(BD!$A$3:$A$5001,BD!$B$3:$B$5001,C$219,BD!$A$3:$A$5001,"&gt;="&amp;$C$7,BD!$A$3:$A$5001,"&lt;="&amp;$B231,BD!$N$3:$N$5001,"&lt;&gt;"))))</f>
        <v/>
      </c>
      <c r="D231" s="42" t="str">
        <f>IF(OR($B231="",$A231&gt;$B$9),"",IF(COUNTIFS(BD!$B$3:$B$5001,D$219,BD!$A$3:$A$5001,"&gt;="&amp;$C$7,BD!$A$3:$A$5001,"&lt;="&amp;$B231,BD!$N$3:$N$5001,"&lt;&gt;")=0,"",SUMIFS(BD!$N$3:$N$5001,BD!$B$3:$B$5001,D$219,BD!$A$3:$A$5001,_xlfn.MAXIFS(BD!$A$3:$A$5001,BD!$B$3:$B$5001,D$219,BD!$A$3:$A$5001,"&gt;="&amp;$C$7,BD!$A$3:$A$5001,"&lt;="&amp;$B231,BD!$N$3:$N$5001,"&lt;&gt;"))))</f>
        <v/>
      </c>
      <c r="E231" s="42" t="str">
        <f>IF(OR($B231="",$A231&gt;$B$9),"",IF(COUNTIFS(BD!$B$3:$B$5001,E$219,BD!$A$3:$A$5001,"&gt;="&amp;$C$7,BD!$A$3:$A$5001,"&lt;="&amp;$B231,BD!$N$3:$N$5001,"&lt;&gt;")=0,"",SUMIFS(BD!$N$3:$N$5001,BD!$B$3:$B$5001,E$219,BD!$A$3:$A$5001,_xlfn.MAXIFS(BD!$A$3:$A$5001,BD!$B$3:$B$5001,E$219,BD!$A$3:$A$5001,"&gt;="&amp;$C$7,BD!$A$3:$A$5001,"&lt;="&amp;$B231,BD!$N$3:$N$5001,"&lt;&gt;"))))</f>
        <v/>
      </c>
      <c r="F231" s="42" t="str">
        <f>IF(OR($B231="",$A231&gt;$B$9),"",IF(COUNTIFS(BD!$B$3:$B$5001,F$219,BD!$A$3:$A$5001,"&gt;="&amp;$C$7,BD!$A$3:$A$5001,"&lt;="&amp;$B231,BD!$N$3:$N$5001,"&lt;&gt;")=0,"",SUMIFS(BD!$N$3:$N$5001,BD!$B$3:$B$5001,F$219,BD!$A$3:$A$5001,_xlfn.MAXIFS(BD!$A$3:$A$5001,BD!$B$3:$B$5001,F$219,BD!$A$3:$A$5001,"&gt;="&amp;$C$7,BD!$A$3:$A$5001,"&lt;="&amp;$B231,BD!$N$3:$N$5001,"&lt;&gt;"))))</f>
        <v/>
      </c>
      <c r="G231" s="42" t="str">
        <f>IF(OR($B231="",$A231&gt;$B$9),"",IF(COUNTIFS(BD!$B$3:$B$5001,G$219,BD!$A$3:$A$5001,"&gt;="&amp;$C$7,BD!$A$3:$A$5001,"&lt;="&amp;$B231,BD!$N$3:$N$5001,"&lt;&gt;")=0,"",SUMIFS(BD!$N$3:$N$5001,BD!$B$3:$B$5001,G$219,BD!$A$3:$A$5001,_xlfn.MAXIFS(BD!$A$3:$A$5001,BD!$B$3:$B$5001,G$219,BD!$A$3:$A$5001,"&gt;="&amp;$C$7,BD!$A$3:$A$5001,"&lt;="&amp;$B231,BD!$N$3:$N$5001,"&lt;&gt;"))))</f>
        <v/>
      </c>
    </row>
    <row r="232">
      <c r="A232" s="40">
        <v>13</v>
      </c>
      <c r="B232" s="41">
        <f>$B$24</f>
        <v>46308</v>
      </c>
      <c r="C232" s="42" t="str">
        <f>IF(OR($B232="",$A232&gt;$B$9),"",IF(COUNTIFS(BD!$B$3:$B$5001,C$219,BD!$A$3:$A$5001,"&gt;="&amp;$C$7,BD!$A$3:$A$5001,"&lt;="&amp;$B232,BD!$N$3:$N$5001,"&lt;&gt;")=0,"",SUMIFS(BD!$N$3:$N$5001,BD!$B$3:$B$5001,C$219,BD!$A$3:$A$5001,_xlfn.MAXIFS(BD!$A$3:$A$5001,BD!$B$3:$B$5001,C$219,BD!$A$3:$A$5001,"&gt;="&amp;$C$7,BD!$A$3:$A$5001,"&lt;="&amp;$B232,BD!$N$3:$N$5001,"&lt;&gt;"))))</f>
        <v/>
      </c>
      <c r="D232" s="42" t="str">
        <f>IF(OR($B232="",$A232&gt;$B$9),"",IF(COUNTIFS(BD!$B$3:$B$5001,D$219,BD!$A$3:$A$5001,"&gt;="&amp;$C$7,BD!$A$3:$A$5001,"&lt;="&amp;$B232,BD!$N$3:$N$5001,"&lt;&gt;")=0,"",SUMIFS(BD!$N$3:$N$5001,BD!$B$3:$B$5001,D$219,BD!$A$3:$A$5001,_xlfn.MAXIFS(BD!$A$3:$A$5001,BD!$B$3:$B$5001,D$219,BD!$A$3:$A$5001,"&gt;="&amp;$C$7,BD!$A$3:$A$5001,"&lt;="&amp;$B232,BD!$N$3:$N$5001,"&lt;&gt;"))))</f>
        <v/>
      </c>
      <c r="E232" s="42" t="str">
        <f>IF(OR($B232="",$A232&gt;$B$9),"",IF(COUNTIFS(BD!$B$3:$B$5001,E$219,BD!$A$3:$A$5001,"&gt;="&amp;$C$7,BD!$A$3:$A$5001,"&lt;="&amp;$B232,BD!$N$3:$N$5001,"&lt;&gt;")=0,"",SUMIFS(BD!$N$3:$N$5001,BD!$B$3:$B$5001,E$219,BD!$A$3:$A$5001,_xlfn.MAXIFS(BD!$A$3:$A$5001,BD!$B$3:$B$5001,E$219,BD!$A$3:$A$5001,"&gt;="&amp;$C$7,BD!$A$3:$A$5001,"&lt;="&amp;$B232,BD!$N$3:$N$5001,"&lt;&gt;"))))</f>
        <v/>
      </c>
      <c r="F232" s="42" t="str">
        <f>IF(OR($B232="",$A232&gt;$B$9),"",IF(COUNTIFS(BD!$B$3:$B$5001,F$219,BD!$A$3:$A$5001,"&gt;="&amp;$C$7,BD!$A$3:$A$5001,"&lt;="&amp;$B232,BD!$N$3:$N$5001,"&lt;&gt;")=0,"",SUMIFS(BD!$N$3:$N$5001,BD!$B$3:$B$5001,F$219,BD!$A$3:$A$5001,_xlfn.MAXIFS(BD!$A$3:$A$5001,BD!$B$3:$B$5001,F$219,BD!$A$3:$A$5001,"&gt;="&amp;$C$7,BD!$A$3:$A$5001,"&lt;="&amp;$B232,BD!$N$3:$N$5001,"&lt;&gt;"))))</f>
        <v/>
      </c>
      <c r="G232" s="42" t="str">
        <f>IF(OR($B232="",$A232&gt;$B$9),"",IF(COUNTIFS(BD!$B$3:$B$5001,G$219,BD!$A$3:$A$5001,"&gt;="&amp;$C$7,BD!$A$3:$A$5001,"&lt;="&amp;$B232,BD!$N$3:$N$5001,"&lt;&gt;")=0,"",SUMIFS(BD!$N$3:$N$5001,BD!$B$3:$B$5001,G$219,BD!$A$3:$A$5001,_xlfn.MAXIFS(BD!$A$3:$A$5001,BD!$B$3:$B$5001,G$219,BD!$A$3:$A$5001,"&gt;="&amp;$C$7,BD!$A$3:$A$5001,"&lt;="&amp;$B232,BD!$N$3:$N$5001,"&lt;&gt;"))))</f>
        <v/>
      </c>
    </row>
    <row r="233">
      <c r="A233" s="40">
        <v>14</v>
      </c>
      <c r="B233" s="41">
        <f>$B$25</f>
        <v>46309</v>
      </c>
      <c r="C233" s="42" t="str">
        <f>IF(OR($B233="",$A233&gt;$B$9),"",IF(COUNTIFS(BD!$B$3:$B$5001,C$219,BD!$A$3:$A$5001,"&gt;="&amp;$C$7,BD!$A$3:$A$5001,"&lt;="&amp;$B233,BD!$N$3:$N$5001,"&lt;&gt;")=0,"",SUMIFS(BD!$N$3:$N$5001,BD!$B$3:$B$5001,C$219,BD!$A$3:$A$5001,_xlfn.MAXIFS(BD!$A$3:$A$5001,BD!$B$3:$B$5001,C$219,BD!$A$3:$A$5001,"&gt;="&amp;$C$7,BD!$A$3:$A$5001,"&lt;="&amp;$B233,BD!$N$3:$N$5001,"&lt;&gt;"))))</f>
        <v/>
      </c>
      <c r="D233" s="42" t="str">
        <f>IF(OR($B233="",$A233&gt;$B$9),"",IF(COUNTIFS(BD!$B$3:$B$5001,D$219,BD!$A$3:$A$5001,"&gt;="&amp;$C$7,BD!$A$3:$A$5001,"&lt;="&amp;$B233,BD!$N$3:$N$5001,"&lt;&gt;")=0,"",SUMIFS(BD!$N$3:$N$5001,BD!$B$3:$B$5001,D$219,BD!$A$3:$A$5001,_xlfn.MAXIFS(BD!$A$3:$A$5001,BD!$B$3:$B$5001,D$219,BD!$A$3:$A$5001,"&gt;="&amp;$C$7,BD!$A$3:$A$5001,"&lt;="&amp;$B233,BD!$N$3:$N$5001,"&lt;&gt;"))))</f>
        <v/>
      </c>
      <c r="E233" s="42" t="str">
        <f>IF(OR($B233="",$A233&gt;$B$9),"",IF(COUNTIFS(BD!$B$3:$B$5001,E$219,BD!$A$3:$A$5001,"&gt;="&amp;$C$7,BD!$A$3:$A$5001,"&lt;="&amp;$B233,BD!$N$3:$N$5001,"&lt;&gt;")=0,"",SUMIFS(BD!$N$3:$N$5001,BD!$B$3:$B$5001,E$219,BD!$A$3:$A$5001,_xlfn.MAXIFS(BD!$A$3:$A$5001,BD!$B$3:$B$5001,E$219,BD!$A$3:$A$5001,"&gt;="&amp;$C$7,BD!$A$3:$A$5001,"&lt;="&amp;$B233,BD!$N$3:$N$5001,"&lt;&gt;"))))</f>
        <v/>
      </c>
      <c r="F233" s="42" t="str">
        <f>IF(OR($B233="",$A233&gt;$B$9),"",IF(COUNTIFS(BD!$B$3:$B$5001,F$219,BD!$A$3:$A$5001,"&gt;="&amp;$C$7,BD!$A$3:$A$5001,"&lt;="&amp;$B233,BD!$N$3:$N$5001,"&lt;&gt;")=0,"",SUMIFS(BD!$N$3:$N$5001,BD!$B$3:$B$5001,F$219,BD!$A$3:$A$5001,_xlfn.MAXIFS(BD!$A$3:$A$5001,BD!$B$3:$B$5001,F$219,BD!$A$3:$A$5001,"&gt;="&amp;$C$7,BD!$A$3:$A$5001,"&lt;="&amp;$B233,BD!$N$3:$N$5001,"&lt;&gt;"))))</f>
        <v/>
      </c>
      <c r="G233" s="42" t="str">
        <f>IF(OR($B233="",$A233&gt;$B$9),"",IF(COUNTIFS(BD!$B$3:$B$5001,G$219,BD!$A$3:$A$5001,"&gt;="&amp;$C$7,BD!$A$3:$A$5001,"&lt;="&amp;$B233,BD!$N$3:$N$5001,"&lt;&gt;")=0,"",SUMIFS(BD!$N$3:$N$5001,BD!$B$3:$B$5001,G$219,BD!$A$3:$A$5001,_xlfn.MAXIFS(BD!$A$3:$A$5001,BD!$B$3:$B$5001,G$219,BD!$A$3:$A$5001,"&gt;="&amp;$C$7,BD!$A$3:$A$5001,"&lt;="&amp;$B233,BD!$N$3:$N$5001,"&lt;&gt;"))))</f>
        <v/>
      </c>
    </row>
    <row r="234">
      <c r="A234" s="40">
        <v>15</v>
      </c>
      <c r="B234" s="41">
        <f>$B$26</f>
        <v>46310</v>
      </c>
      <c r="C234" s="42" t="str">
        <f>IF(OR($B234="",$A234&gt;$B$9),"",IF(COUNTIFS(BD!$B$3:$B$5001,C$219,BD!$A$3:$A$5001,"&gt;="&amp;$C$7,BD!$A$3:$A$5001,"&lt;="&amp;$B234,BD!$N$3:$N$5001,"&lt;&gt;")=0,"",SUMIFS(BD!$N$3:$N$5001,BD!$B$3:$B$5001,C$219,BD!$A$3:$A$5001,_xlfn.MAXIFS(BD!$A$3:$A$5001,BD!$B$3:$B$5001,C$219,BD!$A$3:$A$5001,"&gt;="&amp;$C$7,BD!$A$3:$A$5001,"&lt;="&amp;$B234,BD!$N$3:$N$5001,"&lt;&gt;"))))</f>
        <v/>
      </c>
      <c r="D234" s="42" t="str">
        <f>IF(OR($B234="",$A234&gt;$B$9),"",IF(COUNTIFS(BD!$B$3:$B$5001,D$219,BD!$A$3:$A$5001,"&gt;="&amp;$C$7,BD!$A$3:$A$5001,"&lt;="&amp;$B234,BD!$N$3:$N$5001,"&lt;&gt;")=0,"",SUMIFS(BD!$N$3:$N$5001,BD!$B$3:$B$5001,D$219,BD!$A$3:$A$5001,_xlfn.MAXIFS(BD!$A$3:$A$5001,BD!$B$3:$B$5001,D$219,BD!$A$3:$A$5001,"&gt;="&amp;$C$7,BD!$A$3:$A$5001,"&lt;="&amp;$B234,BD!$N$3:$N$5001,"&lt;&gt;"))))</f>
        <v/>
      </c>
      <c r="E234" s="42" t="str">
        <f>IF(OR($B234="",$A234&gt;$B$9),"",IF(COUNTIFS(BD!$B$3:$B$5001,E$219,BD!$A$3:$A$5001,"&gt;="&amp;$C$7,BD!$A$3:$A$5001,"&lt;="&amp;$B234,BD!$N$3:$N$5001,"&lt;&gt;")=0,"",SUMIFS(BD!$N$3:$N$5001,BD!$B$3:$B$5001,E$219,BD!$A$3:$A$5001,_xlfn.MAXIFS(BD!$A$3:$A$5001,BD!$B$3:$B$5001,E$219,BD!$A$3:$A$5001,"&gt;="&amp;$C$7,BD!$A$3:$A$5001,"&lt;="&amp;$B234,BD!$N$3:$N$5001,"&lt;&gt;"))))</f>
        <v/>
      </c>
      <c r="F234" s="42" t="str">
        <f>IF(OR($B234="",$A234&gt;$B$9),"",IF(COUNTIFS(BD!$B$3:$B$5001,F$219,BD!$A$3:$A$5001,"&gt;="&amp;$C$7,BD!$A$3:$A$5001,"&lt;="&amp;$B234,BD!$N$3:$N$5001,"&lt;&gt;")=0,"",SUMIFS(BD!$N$3:$N$5001,BD!$B$3:$B$5001,F$219,BD!$A$3:$A$5001,_xlfn.MAXIFS(BD!$A$3:$A$5001,BD!$B$3:$B$5001,F$219,BD!$A$3:$A$5001,"&gt;="&amp;$C$7,BD!$A$3:$A$5001,"&lt;="&amp;$B234,BD!$N$3:$N$5001,"&lt;&gt;"))))</f>
        <v/>
      </c>
      <c r="G234" s="42" t="str">
        <f>IF(OR($B234="",$A234&gt;$B$9),"",IF(COUNTIFS(BD!$B$3:$B$5001,G$219,BD!$A$3:$A$5001,"&gt;="&amp;$C$7,BD!$A$3:$A$5001,"&lt;="&amp;$B234,BD!$N$3:$N$5001,"&lt;&gt;")=0,"",SUMIFS(BD!$N$3:$N$5001,BD!$B$3:$B$5001,G$219,BD!$A$3:$A$5001,_xlfn.MAXIFS(BD!$A$3:$A$5001,BD!$B$3:$B$5001,G$219,BD!$A$3:$A$5001,"&gt;="&amp;$C$7,BD!$A$3:$A$5001,"&lt;="&amp;$B234,BD!$N$3:$N$5001,"&lt;&gt;"))))</f>
        <v/>
      </c>
    </row>
    <row r="235">
      <c r="A235" s="40">
        <v>16</v>
      </c>
      <c r="B235" s="41">
        <f>$B$27</f>
        <v>46311</v>
      </c>
      <c r="C235" s="42" t="str">
        <f>IF(OR($B235="",$A235&gt;$B$9),"",IF(COUNTIFS(BD!$B$3:$B$5001,C$219,BD!$A$3:$A$5001,"&gt;="&amp;$C$7,BD!$A$3:$A$5001,"&lt;="&amp;$B235,BD!$N$3:$N$5001,"&lt;&gt;")=0,"",SUMIFS(BD!$N$3:$N$5001,BD!$B$3:$B$5001,C$219,BD!$A$3:$A$5001,_xlfn.MAXIFS(BD!$A$3:$A$5001,BD!$B$3:$B$5001,C$219,BD!$A$3:$A$5001,"&gt;="&amp;$C$7,BD!$A$3:$A$5001,"&lt;="&amp;$B235,BD!$N$3:$N$5001,"&lt;&gt;"))))</f>
        <v/>
      </c>
      <c r="D235" s="42" t="str">
        <f>IF(OR($B235="",$A235&gt;$B$9),"",IF(COUNTIFS(BD!$B$3:$B$5001,D$219,BD!$A$3:$A$5001,"&gt;="&amp;$C$7,BD!$A$3:$A$5001,"&lt;="&amp;$B235,BD!$N$3:$N$5001,"&lt;&gt;")=0,"",SUMIFS(BD!$N$3:$N$5001,BD!$B$3:$B$5001,D$219,BD!$A$3:$A$5001,_xlfn.MAXIFS(BD!$A$3:$A$5001,BD!$B$3:$B$5001,D$219,BD!$A$3:$A$5001,"&gt;="&amp;$C$7,BD!$A$3:$A$5001,"&lt;="&amp;$B235,BD!$N$3:$N$5001,"&lt;&gt;"))))</f>
        <v/>
      </c>
      <c r="E235" s="42" t="str">
        <f>IF(OR($B235="",$A235&gt;$B$9),"",IF(COUNTIFS(BD!$B$3:$B$5001,E$219,BD!$A$3:$A$5001,"&gt;="&amp;$C$7,BD!$A$3:$A$5001,"&lt;="&amp;$B235,BD!$N$3:$N$5001,"&lt;&gt;")=0,"",SUMIFS(BD!$N$3:$N$5001,BD!$B$3:$B$5001,E$219,BD!$A$3:$A$5001,_xlfn.MAXIFS(BD!$A$3:$A$5001,BD!$B$3:$B$5001,E$219,BD!$A$3:$A$5001,"&gt;="&amp;$C$7,BD!$A$3:$A$5001,"&lt;="&amp;$B235,BD!$N$3:$N$5001,"&lt;&gt;"))))</f>
        <v/>
      </c>
      <c r="F235" s="42" t="str">
        <f>IF(OR($B235="",$A235&gt;$B$9),"",IF(COUNTIFS(BD!$B$3:$B$5001,F$219,BD!$A$3:$A$5001,"&gt;="&amp;$C$7,BD!$A$3:$A$5001,"&lt;="&amp;$B235,BD!$N$3:$N$5001,"&lt;&gt;")=0,"",SUMIFS(BD!$N$3:$N$5001,BD!$B$3:$B$5001,F$219,BD!$A$3:$A$5001,_xlfn.MAXIFS(BD!$A$3:$A$5001,BD!$B$3:$B$5001,F$219,BD!$A$3:$A$5001,"&gt;="&amp;$C$7,BD!$A$3:$A$5001,"&lt;="&amp;$B235,BD!$N$3:$N$5001,"&lt;&gt;"))))</f>
        <v/>
      </c>
      <c r="G235" s="42" t="str">
        <f>IF(OR($B235="",$A235&gt;$B$9),"",IF(COUNTIFS(BD!$B$3:$B$5001,G$219,BD!$A$3:$A$5001,"&gt;="&amp;$C$7,BD!$A$3:$A$5001,"&lt;="&amp;$B235,BD!$N$3:$N$5001,"&lt;&gt;")=0,"",SUMIFS(BD!$N$3:$N$5001,BD!$B$3:$B$5001,G$219,BD!$A$3:$A$5001,_xlfn.MAXIFS(BD!$A$3:$A$5001,BD!$B$3:$B$5001,G$219,BD!$A$3:$A$5001,"&gt;="&amp;$C$7,BD!$A$3:$A$5001,"&lt;="&amp;$B235,BD!$N$3:$N$5001,"&lt;&gt;"))))</f>
        <v/>
      </c>
    </row>
    <row r="236">
      <c r="A236" s="40">
        <v>17</v>
      </c>
      <c r="B236" s="41">
        <f>$B$28</f>
        <v>46312</v>
      </c>
      <c r="C236" s="42" t="str">
        <f>IF(OR($B236="",$A236&gt;$B$9),"",IF(COUNTIFS(BD!$B$3:$B$5001,C$219,BD!$A$3:$A$5001,"&gt;="&amp;$C$7,BD!$A$3:$A$5001,"&lt;="&amp;$B236,BD!$N$3:$N$5001,"&lt;&gt;")=0,"",SUMIFS(BD!$N$3:$N$5001,BD!$B$3:$B$5001,C$219,BD!$A$3:$A$5001,_xlfn.MAXIFS(BD!$A$3:$A$5001,BD!$B$3:$B$5001,C$219,BD!$A$3:$A$5001,"&gt;="&amp;$C$7,BD!$A$3:$A$5001,"&lt;="&amp;$B236,BD!$N$3:$N$5001,"&lt;&gt;"))))</f>
        <v/>
      </c>
      <c r="D236" s="42" t="str">
        <f>IF(OR($B236="",$A236&gt;$B$9),"",IF(COUNTIFS(BD!$B$3:$B$5001,D$219,BD!$A$3:$A$5001,"&gt;="&amp;$C$7,BD!$A$3:$A$5001,"&lt;="&amp;$B236,BD!$N$3:$N$5001,"&lt;&gt;")=0,"",SUMIFS(BD!$N$3:$N$5001,BD!$B$3:$B$5001,D$219,BD!$A$3:$A$5001,_xlfn.MAXIFS(BD!$A$3:$A$5001,BD!$B$3:$B$5001,D$219,BD!$A$3:$A$5001,"&gt;="&amp;$C$7,BD!$A$3:$A$5001,"&lt;="&amp;$B236,BD!$N$3:$N$5001,"&lt;&gt;"))))</f>
        <v/>
      </c>
      <c r="E236" s="42" t="str">
        <f>IF(OR($B236="",$A236&gt;$B$9),"",IF(COUNTIFS(BD!$B$3:$B$5001,E$219,BD!$A$3:$A$5001,"&gt;="&amp;$C$7,BD!$A$3:$A$5001,"&lt;="&amp;$B236,BD!$N$3:$N$5001,"&lt;&gt;")=0,"",SUMIFS(BD!$N$3:$N$5001,BD!$B$3:$B$5001,E$219,BD!$A$3:$A$5001,_xlfn.MAXIFS(BD!$A$3:$A$5001,BD!$B$3:$B$5001,E$219,BD!$A$3:$A$5001,"&gt;="&amp;$C$7,BD!$A$3:$A$5001,"&lt;="&amp;$B236,BD!$N$3:$N$5001,"&lt;&gt;"))))</f>
        <v/>
      </c>
      <c r="F236" s="42" t="str">
        <f>IF(OR($B236="",$A236&gt;$B$9),"",IF(COUNTIFS(BD!$B$3:$B$5001,F$219,BD!$A$3:$A$5001,"&gt;="&amp;$C$7,BD!$A$3:$A$5001,"&lt;="&amp;$B236,BD!$N$3:$N$5001,"&lt;&gt;")=0,"",SUMIFS(BD!$N$3:$N$5001,BD!$B$3:$B$5001,F$219,BD!$A$3:$A$5001,_xlfn.MAXIFS(BD!$A$3:$A$5001,BD!$B$3:$B$5001,F$219,BD!$A$3:$A$5001,"&gt;="&amp;$C$7,BD!$A$3:$A$5001,"&lt;="&amp;$B236,BD!$N$3:$N$5001,"&lt;&gt;"))))</f>
        <v/>
      </c>
      <c r="G236" s="42" t="str">
        <f>IF(OR($B236="",$A236&gt;$B$9),"",IF(COUNTIFS(BD!$B$3:$B$5001,G$219,BD!$A$3:$A$5001,"&gt;="&amp;$C$7,BD!$A$3:$A$5001,"&lt;="&amp;$B236,BD!$N$3:$N$5001,"&lt;&gt;")=0,"",SUMIFS(BD!$N$3:$N$5001,BD!$B$3:$B$5001,G$219,BD!$A$3:$A$5001,_xlfn.MAXIFS(BD!$A$3:$A$5001,BD!$B$3:$B$5001,G$219,BD!$A$3:$A$5001,"&gt;="&amp;$C$7,BD!$A$3:$A$5001,"&lt;="&amp;$B236,BD!$N$3:$N$5001,"&lt;&gt;"))))</f>
        <v/>
      </c>
    </row>
    <row r="237">
      <c r="A237" s="40">
        <v>18</v>
      </c>
      <c r="B237" s="41">
        <f>$B$29</f>
        <v>46313</v>
      </c>
      <c r="C237" s="42" t="str">
        <f>IF(OR($B237="",$A237&gt;$B$9),"",IF(COUNTIFS(BD!$B$3:$B$5001,C$219,BD!$A$3:$A$5001,"&gt;="&amp;$C$7,BD!$A$3:$A$5001,"&lt;="&amp;$B237,BD!$N$3:$N$5001,"&lt;&gt;")=0,"",SUMIFS(BD!$N$3:$N$5001,BD!$B$3:$B$5001,C$219,BD!$A$3:$A$5001,_xlfn.MAXIFS(BD!$A$3:$A$5001,BD!$B$3:$B$5001,C$219,BD!$A$3:$A$5001,"&gt;="&amp;$C$7,BD!$A$3:$A$5001,"&lt;="&amp;$B237,BD!$N$3:$N$5001,"&lt;&gt;"))))</f>
        <v/>
      </c>
      <c r="D237" s="42" t="str">
        <f>IF(OR($B237="",$A237&gt;$B$9),"",IF(COUNTIFS(BD!$B$3:$B$5001,D$219,BD!$A$3:$A$5001,"&gt;="&amp;$C$7,BD!$A$3:$A$5001,"&lt;="&amp;$B237,BD!$N$3:$N$5001,"&lt;&gt;")=0,"",SUMIFS(BD!$N$3:$N$5001,BD!$B$3:$B$5001,D$219,BD!$A$3:$A$5001,_xlfn.MAXIFS(BD!$A$3:$A$5001,BD!$B$3:$B$5001,D$219,BD!$A$3:$A$5001,"&gt;="&amp;$C$7,BD!$A$3:$A$5001,"&lt;="&amp;$B237,BD!$N$3:$N$5001,"&lt;&gt;"))))</f>
        <v/>
      </c>
      <c r="E237" s="42" t="str">
        <f>IF(OR($B237="",$A237&gt;$B$9),"",IF(COUNTIFS(BD!$B$3:$B$5001,E$219,BD!$A$3:$A$5001,"&gt;="&amp;$C$7,BD!$A$3:$A$5001,"&lt;="&amp;$B237,BD!$N$3:$N$5001,"&lt;&gt;")=0,"",SUMIFS(BD!$N$3:$N$5001,BD!$B$3:$B$5001,E$219,BD!$A$3:$A$5001,_xlfn.MAXIFS(BD!$A$3:$A$5001,BD!$B$3:$B$5001,E$219,BD!$A$3:$A$5001,"&gt;="&amp;$C$7,BD!$A$3:$A$5001,"&lt;="&amp;$B237,BD!$N$3:$N$5001,"&lt;&gt;"))))</f>
        <v/>
      </c>
      <c r="F237" s="42" t="str">
        <f>IF(OR($B237="",$A237&gt;$B$9),"",IF(COUNTIFS(BD!$B$3:$B$5001,F$219,BD!$A$3:$A$5001,"&gt;="&amp;$C$7,BD!$A$3:$A$5001,"&lt;="&amp;$B237,BD!$N$3:$N$5001,"&lt;&gt;")=0,"",SUMIFS(BD!$N$3:$N$5001,BD!$B$3:$B$5001,F$219,BD!$A$3:$A$5001,_xlfn.MAXIFS(BD!$A$3:$A$5001,BD!$B$3:$B$5001,F$219,BD!$A$3:$A$5001,"&gt;="&amp;$C$7,BD!$A$3:$A$5001,"&lt;="&amp;$B237,BD!$N$3:$N$5001,"&lt;&gt;"))))</f>
        <v/>
      </c>
      <c r="G237" s="42" t="str">
        <f>IF(OR($B237="",$A237&gt;$B$9),"",IF(COUNTIFS(BD!$B$3:$B$5001,G$219,BD!$A$3:$A$5001,"&gt;="&amp;$C$7,BD!$A$3:$A$5001,"&lt;="&amp;$B237,BD!$N$3:$N$5001,"&lt;&gt;")=0,"",SUMIFS(BD!$N$3:$N$5001,BD!$B$3:$B$5001,G$219,BD!$A$3:$A$5001,_xlfn.MAXIFS(BD!$A$3:$A$5001,BD!$B$3:$B$5001,G$219,BD!$A$3:$A$5001,"&gt;="&amp;$C$7,BD!$A$3:$A$5001,"&lt;="&amp;$B237,BD!$N$3:$N$5001,"&lt;&gt;"))))</f>
        <v/>
      </c>
    </row>
    <row r="238">
      <c r="A238" s="40">
        <v>19</v>
      </c>
      <c r="B238" s="41">
        <f>$B$30</f>
        <v>46314</v>
      </c>
      <c r="C238" s="42" t="str">
        <f>IF(OR($B238="",$A238&gt;$B$9),"",IF(COUNTIFS(BD!$B$3:$B$5001,C$219,BD!$A$3:$A$5001,"&gt;="&amp;$C$7,BD!$A$3:$A$5001,"&lt;="&amp;$B238,BD!$N$3:$N$5001,"&lt;&gt;")=0,"",SUMIFS(BD!$N$3:$N$5001,BD!$B$3:$B$5001,C$219,BD!$A$3:$A$5001,_xlfn.MAXIFS(BD!$A$3:$A$5001,BD!$B$3:$B$5001,C$219,BD!$A$3:$A$5001,"&gt;="&amp;$C$7,BD!$A$3:$A$5001,"&lt;="&amp;$B238,BD!$N$3:$N$5001,"&lt;&gt;"))))</f>
        <v/>
      </c>
      <c r="D238" s="42" t="str">
        <f>IF(OR($B238="",$A238&gt;$B$9),"",IF(COUNTIFS(BD!$B$3:$B$5001,D$219,BD!$A$3:$A$5001,"&gt;="&amp;$C$7,BD!$A$3:$A$5001,"&lt;="&amp;$B238,BD!$N$3:$N$5001,"&lt;&gt;")=0,"",SUMIFS(BD!$N$3:$N$5001,BD!$B$3:$B$5001,D$219,BD!$A$3:$A$5001,_xlfn.MAXIFS(BD!$A$3:$A$5001,BD!$B$3:$B$5001,D$219,BD!$A$3:$A$5001,"&gt;="&amp;$C$7,BD!$A$3:$A$5001,"&lt;="&amp;$B238,BD!$N$3:$N$5001,"&lt;&gt;"))))</f>
        <v/>
      </c>
      <c r="E238" s="42" t="str">
        <f>IF(OR($B238="",$A238&gt;$B$9),"",IF(COUNTIFS(BD!$B$3:$B$5001,E$219,BD!$A$3:$A$5001,"&gt;="&amp;$C$7,BD!$A$3:$A$5001,"&lt;="&amp;$B238,BD!$N$3:$N$5001,"&lt;&gt;")=0,"",SUMIFS(BD!$N$3:$N$5001,BD!$B$3:$B$5001,E$219,BD!$A$3:$A$5001,_xlfn.MAXIFS(BD!$A$3:$A$5001,BD!$B$3:$B$5001,E$219,BD!$A$3:$A$5001,"&gt;="&amp;$C$7,BD!$A$3:$A$5001,"&lt;="&amp;$B238,BD!$N$3:$N$5001,"&lt;&gt;"))))</f>
        <v/>
      </c>
      <c r="F238" s="42" t="str">
        <f>IF(OR($B238="",$A238&gt;$B$9),"",IF(COUNTIFS(BD!$B$3:$B$5001,F$219,BD!$A$3:$A$5001,"&gt;="&amp;$C$7,BD!$A$3:$A$5001,"&lt;="&amp;$B238,BD!$N$3:$N$5001,"&lt;&gt;")=0,"",SUMIFS(BD!$N$3:$N$5001,BD!$B$3:$B$5001,F$219,BD!$A$3:$A$5001,_xlfn.MAXIFS(BD!$A$3:$A$5001,BD!$B$3:$B$5001,F$219,BD!$A$3:$A$5001,"&gt;="&amp;$C$7,BD!$A$3:$A$5001,"&lt;="&amp;$B238,BD!$N$3:$N$5001,"&lt;&gt;"))))</f>
        <v/>
      </c>
      <c r="G238" s="42" t="str">
        <f>IF(OR($B238="",$A238&gt;$B$9),"",IF(COUNTIFS(BD!$B$3:$B$5001,G$219,BD!$A$3:$A$5001,"&gt;="&amp;$C$7,BD!$A$3:$A$5001,"&lt;="&amp;$B238,BD!$N$3:$N$5001,"&lt;&gt;")=0,"",SUMIFS(BD!$N$3:$N$5001,BD!$B$3:$B$5001,G$219,BD!$A$3:$A$5001,_xlfn.MAXIFS(BD!$A$3:$A$5001,BD!$B$3:$B$5001,G$219,BD!$A$3:$A$5001,"&gt;="&amp;$C$7,BD!$A$3:$A$5001,"&lt;="&amp;$B238,BD!$N$3:$N$5001,"&lt;&gt;"))))</f>
        <v/>
      </c>
    </row>
    <row r="239">
      <c r="A239" s="40">
        <v>20</v>
      </c>
      <c r="B239" s="41">
        <f>$B$31</f>
        <v>46315</v>
      </c>
      <c r="C239" s="42" t="str">
        <f>IF(OR($B239="",$A239&gt;$B$9),"",IF(COUNTIFS(BD!$B$3:$B$5001,C$219,BD!$A$3:$A$5001,"&gt;="&amp;$C$7,BD!$A$3:$A$5001,"&lt;="&amp;$B239,BD!$N$3:$N$5001,"&lt;&gt;")=0,"",SUMIFS(BD!$N$3:$N$5001,BD!$B$3:$B$5001,C$219,BD!$A$3:$A$5001,_xlfn.MAXIFS(BD!$A$3:$A$5001,BD!$B$3:$B$5001,C$219,BD!$A$3:$A$5001,"&gt;="&amp;$C$7,BD!$A$3:$A$5001,"&lt;="&amp;$B239,BD!$N$3:$N$5001,"&lt;&gt;"))))</f>
        <v/>
      </c>
      <c r="D239" s="42" t="str">
        <f>IF(OR($B239="",$A239&gt;$B$9),"",IF(COUNTIFS(BD!$B$3:$B$5001,D$219,BD!$A$3:$A$5001,"&gt;="&amp;$C$7,BD!$A$3:$A$5001,"&lt;="&amp;$B239,BD!$N$3:$N$5001,"&lt;&gt;")=0,"",SUMIFS(BD!$N$3:$N$5001,BD!$B$3:$B$5001,D$219,BD!$A$3:$A$5001,_xlfn.MAXIFS(BD!$A$3:$A$5001,BD!$B$3:$B$5001,D$219,BD!$A$3:$A$5001,"&gt;="&amp;$C$7,BD!$A$3:$A$5001,"&lt;="&amp;$B239,BD!$N$3:$N$5001,"&lt;&gt;"))))</f>
        <v/>
      </c>
      <c r="E239" s="42" t="str">
        <f>IF(OR($B239="",$A239&gt;$B$9),"",IF(COUNTIFS(BD!$B$3:$B$5001,E$219,BD!$A$3:$A$5001,"&gt;="&amp;$C$7,BD!$A$3:$A$5001,"&lt;="&amp;$B239,BD!$N$3:$N$5001,"&lt;&gt;")=0,"",SUMIFS(BD!$N$3:$N$5001,BD!$B$3:$B$5001,E$219,BD!$A$3:$A$5001,_xlfn.MAXIFS(BD!$A$3:$A$5001,BD!$B$3:$B$5001,E$219,BD!$A$3:$A$5001,"&gt;="&amp;$C$7,BD!$A$3:$A$5001,"&lt;="&amp;$B239,BD!$N$3:$N$5001,"&lt;&gt;"))))</f>
        <v/>
      </c>
      <c r="F239" s="42" t="str">
        <f>IF(OR($B239="",$A239&gt;$B$9),"",IF(COUNTIFS(BD!$B$3:$B$5001,F$219,BD!$A$3:$A$5001,"&gt;="&amp;$C$7,BD!$A$3:$A$5001,"&lt;="&amp;$B239,BD!$N$3:$N$5001,"&lt;&gt;")=0,"",SUMIFS(BD!$N$3:$N$5001,BD!$B$3:$B$5001,F$219,BD!$A$3:$A$5001,_xlfn.MAXIFS(BD!$A$3:$A$5001,BD!$B$3:$B$5001,F$219,BD!$A$3:$A$5001,"&gt;="&amp;$C$7,BD!$A$3:$A$5001,"&lt;="&amp;$B239,BD!$N$3:$N$5001,"&lt;&gt;"))))</f>
        <v/>
      </c>
      <c r="G239" s="42" t="str">
        <f>IF(OR($B239="",$A239&gt;$B$9),"",IF(COUNTIFS(BD!$B$3:$B$5001,G$219,BD!$A$3:$A$5001,"&gt;="&amp;$C$7,BD!$A$3:$A$5001,"&lt;="&amp;$B239,BD!$N$3:$N$5001,"&lt;&gt;")=0,"",SUMIFS(BD!$N$3:$N$5001,BD!$B$3:$B$5001,G$219,BD!$A$3:$A$5001,_xlfn.MAXIFS(BD!$A$3:$A$5001,BD!$B$3:$B$5001,G$219,BD!$A$3:$A$5001,"&gt;="&amp;$C$7,BD!$A$3:$A$5001,"&lt;="&amp;$B239,BD!$N$3:$N$5001,"&lt;&gt;"))))</f>
        <v/>
      </c>
    </row>
    <row r="240">
      <c r="A240" s="40">
        <v>21</v>
      </c>
      <c r="B240" s="41">
        <f>$B$32</f>
        <v>46316</v>
      </c>
      <c r="C240" s="42" t="str">
        <f>IF(OR($B240="",$A240&gt;$B$9),"",IF(COUNTIFS(BD!$B$3:$B$5001,C$219,BD!$A$3:$A$5001,"&gt;="&amp;$C$7,BD!$A$3:$A$5001,"&lt;="&amp;$B240,BD!$N$3:$N$5001,"&lt;&gt;")=0,"",SUMIFS(BD!$N$3:$N$5001,BD!$B$3:$B$5001,C$219,BD!$A$3:$A$5001,_xlfn.MAXIFS(BD!$A$3:$A$5001,BD!$B$3:$B$5001,C$219,BD!$A$3:$A$5001,"&gt;="&amp;$C$7,BD!$A$3:$A$5001,"&lt;="&amp;$B240,BD!$N$3:$N$5001,"&lt;&gt;"))))</f>
        <v/>
      </c>
      <c r="D240" s="42" t="str">
        <f>IF(OR($B240="",$A240&gt;$B$9),"",IF(COUNTIFS(BD!$B$3:$B$5001,D$219,BD!$A$3:$A$5001,"&gt;="&amp;$C$7,BD!$A$3:$A$5001,"&lt;="&amp;$B240,BD!$N$3:$N$5001,"&lt;&gt;")=0,"",SUMIFS(BD!$N$3:$N$5001,BD!$B$3:$B$5001,D$219,BD!$A$3:$A$5001,_xlfn.MAXIFS(BD!$A$3:$A$5001,BD!$B$3:$B$5001,D$219,BD!$A$3:$A$5001,"&gt;="&amp;$C$7,BD!$A$3:$A$5001,"&lt;="&amp;$B240,BD!$N$3:$N$5001,"&lt;&gt;"))))</f>
        <v/>
      </c>
      <c r="E240" s="42" t="str">
        <f>IF(OR($B240="",$A240&gt;$B$9),"",IF(COUNTIFS(BD!$B$3:$B$5001,E$219,BD!$A$3:$A$5001,"&gt;="&amp;$C$7,BD!$A$3:$A$5001,"&lt;="&amp;$B240,BD!$N$3:$N$5001,"&lt;&gt;")=0,"",SUMIFS(BD!$N$3:$N$5001,BD!$B$3:$B$5001,E$219,BD!$A$3:$A$5001,_xlfn.MAXIFS(BD!$A$3:$A$5001,BD!$B$3:$B$5001,E$219,BD!$A$3:$A$5001,"&gt;="&amp;$C$7,BD!$A$3:$A$5001,"&lt;="&amp;$B240,BD!$N$3:$N$5001,"&lt;&gt;"))))</f>
        <v/>
      </c>
      <c r="F240" s="42" t="str">
        <f>IF(OR($B240="",$A240&gt;$B$9),"",IF(COUNTIFS(BD!$B$3:$B$5001,F$219,BD!$A$3:$A$5001,"&gt;="&amp;$C$7,BD!$A$3:$A$5001,"&lt;="&amp;$B240,BD!$N$3:$N$5001,"&lt;&gt;")=0,"",SUMIFS(BD!$N$3:$N$5001,BD!$B$3:$B$5001,F$219,BD!$A$3:$A$5001,_xlfn.MAXIFS(BD!$A$3:$A$5001,BD!$B$3:$B$5001,F$219,BD!$A$3:$A$5001,"&gt;="&amp;$C$7,BD!$A$3:$A$5001,"&lt;="&amp;$B240,BD!$N$3:$N$5001,"&lt;&gt;"))))</f>
        <v/>
      </c>
      <c r="G240" s="42" t="str">
        <f>IF(OR($B240="",$A240&gt;$B$9),"",IF(COUNTIFS(BD!$B$3:$B$5001,G$219,BD!$A$3:$A$5001,"&gt;="&amp;$C$7,BD!$A$3:$A$5001,"&lt;="&amp;$B240,BD!$N$3:$N$5001,"&lt;&gt;")=0,"",SUMIFS(BD!$N$3:$N$5001,BD!$B$3:$B$5001,G$219,BD!$A$3:$A$5001,_xlfn.MAXIFS(BD!$A$3:$A$5001,BD!$B$3:$B$5001,G$219,BD!$A$3:$A$5001,"&gt;="&amp;$C$7,BD!$A$3:$A$5001,"&lt;="&amp;$B240,BD!$N$3:$N$5001,"&lt;&gt;"))))</f>
        <v/>
      </c>
    </row>
    <row r="241">
      <c r="A241" s="40">
        <v>22</v>
      </c>
      <c r="B241" s="41">
        <f>$B$33</f>
        <v>46317</v>
      </c>
      <c r="C241" s="42" t="str">
        <f>IF(OR($B241="",$A241&gt;$B$9),"",IF(COUNTIFS(BD!$B$3:$B$5001,C$219,BD!$A$3:$A$5001,"&gt;="&amp;$C$7,BD!$A$3:$A$5001,"&lt;="&amp;$B241,BD!$N$3:$N$5001,"&lt;&gt;")=0,"",SUMIFS(BD!$N$3:$N$5001,BD!$B$3:$B$5001,C$219,BD!$A$3:$A$5001,_xlfn.MAXIFS(BD!$A$3:$A$5001,BD!$B$3:$B$5001,C$219,BD!$A$3:$A$5001,"&gt;="&amp;$C$7,BD!$A$3:$A$5001,"&lt;="&amp;$B241,BD!$N$3:$N$5001,"&lt;&gt;"))))</f>
        <v/>
      </c>
      <c r="D241" s="42" t="str">
        <f>IF(OR($B241="",$A241&gt;$B$9),"",IF(COUNTIFS(BD!$B$3:$B$5001,D$219,BD!$A$3:$A$5001,"&gt;="&amp;$C$7,BD!$A$3:$A$5001,"&lt;="&amp;$B241,BD!$N$3:$N$5001,"&lt;&gt;")=0,"",SUMIFS(BD!$N$3:$N$5001,BD!$B$3:$B$5001,D$219,BD!$A$3:$A$5001,_xlfn.MAXIFS(BD!$A$3:$A$5001,BD!$B$3:$B$5001,D$219,BD!$A$3:$A$5001,"&gt;="&amp;$C$7,BD!$A$3:$A$5001,"&lt;="&amp;$B241,BD!$N$3:$N$5001,"&lt;&gt;"))))</f>
        <v/>
      </c>
      <c r="E241" s="42" t="str">
        <f>IF(OR($B241="",$A241&gt;$B$9),"",IF(COUNTIFS(BD!$B$3:$B$5001,E$219,BD!$A$3:$A$5001,"&gt;="&amp;$C$7,BD!$A$3:$A$5001,"&lt;="&amp;$B241,BD!$N$3:$N$5001,"&lt;&gt;")=0,"",SUMIFS(BD!$N$3:$N$5001,BD!$B$3:$B$5001,E$219,BD!$A$3:$A$5001,_xlfn.MAXIFS(BD!$A$3:$A$5001,BD!$B$3:$B$5001,E$219,BD!$A$3:$A$5001,"&gt;="&amp;$C$7,BD!$A$3:$A$5001,"&lt;="&amp;$B241,BD!$N$3:$N$5001,"&lt;&gt;"))))</f>
        <v/>
      </c>
      <c r="F241" s="42" t="str">
        <f>IF(OR($B241="",$A241&gt;$B$9),"",IF(COUNTIFS(BD!$B$3:$B$5001,F$219,BD!$A$3:$A$5001,"&gt;="&amp;$C$7,BD!$A$3:$A$5001,"&lt;="&amp;$B241,BD!$N$3:$N$5001,"&lt;&gt;")=0,"",SUMIFS(BD!$N$3:$N$5001,BD!$B$3:$B$5001,F$219,BD!$A$3:$A$5001,_xlfn.MAXIFS(BD!$A$3:$A$5001,BD!$B$3:$B$5001,F$219,BD!$A$3:$A$5001,"&gt;="&amp;$C$7,BD!$A$3:$A$5001,"&lt;="&amp;$B241,BD!$N$3:$N$5001,"&lt;&gt;"))))</f>
        <v/>
      </c>
      <c r="G241" s="42" t="str">
        <f>IF(OR($B241="",$A241&gt;$B$9),"",IF(COUNTIFS(BD!$B$3:$B$5001,G$219,BD!$A$3:$A$5001,"&gt;="&amp;$C$7,BD!$A$3:$A$5001,"&lt;="&amp;$B241,BD!$N$3:$N$5001,"&lt;&gt;")=0,"",SUMIFS(BD!$N$3:$N$5001,BD!$B$3:$B$5001,G$219,BD!$A$3:$A$5001,_xlfn.MAXIFS(BD!$A$3:$A$5001,BD!$B$3:$B$5001,G$219,BD!$A$3:$A$5001,"&gt;="&amp;$C$7,BD!$A$3:$A$5001,"&lt;="&amp;$B241,BD!$N$3:$N$5001,"&lt;&gt;"))))</f>
        <v/>
      </c>
    </row>
    <row r="242">
      <c r="A242" s="40">
        <v>23</v>
      </c>
      <c r="B242" s="41">
        <f>$B$34</f>
        <v>46318</v>
      </c>
      <c r="C242" s="42" t="str">
        <f>IF(OR($B242="",$A242&gt;$B$9),"",IF(COUNTIFS(BD!$B$3:$B$5001,C$219,BD!$A$3:$A$5001,"&gt;="&amp;$C$7,BD!$A$3:$A$5001,"&lt;="&amp;$B242,BD!$N$3:$N$5001,"&lt;&gt;")=0,"",SUMIFS(BD!$N$3:$N$5001,BD!$B$3:$B$5001,C$219,BD!$A$3:$A$5001,_xlfn.MAXIFS(BD!$A$3:$A$5001,BD!$B$3:$B$5001,C$219,BD!$A$3:$A$5001,"&gt;="&amp;$C$7,BD!$A$3:$A$5001,"&lt;="&amp;$B242,BD!$N$3:$N$5001,"&lt;&gt;"))))</f>
        <v/>
      </c>
      <c r="D242" s="42" t="str">
        <f>IF(OR($B242="",$A242&gt;$B$9),"",IF(COUNTIFS(BD!$B$3:$B$5001,D$219,BD!$A$3:$A$5001,"&gt;="&amp;$C$7,BD!$A$3:$A$5001,"&lt;="&amp;$B242,BD!$N$3:$N$5001,"&lt;&gt;")=0,"",SUMIFS(BD!$N$3:$N$5001,BD!$B$3:$B$5001,D$219,BD!$A$3:$A$5001,_xlfn.MAXIFS(BD!$A$3:$A$5001,BD!$B$3:$B$5001,D$219,BD!$A$3:$A$5001,"&gt;="&amp;$C$7,BD!$A$3:$A$5001,"&lt;="&amp;$B242,BD!$N$3:$N$5001,"&lt;&gt;"))))</f>
        <v/>
      </c>
      <c r="E242" s="42" t="str">
        <f>IF(OR($B242="",$A242&gt;$B$9),"",IF(COUNTIFS(BD!$B$3:$B$5001,E$219,BD!$A$3:$A$5001,"&gt;="&amp;$C$7,BD!$A$3:$A$5001,"&lt;="&amp;$B242,BD!$N$3:$N$5001,"&lt;&gt;")=0,"",SUMIFS(BD!$N$3:$N$5001,BD!$B$3:$B$5001,E$219,BD!$A$3:$A$5001,_xlfn.MAXIFS(BD!$A$3:$A$5001,BD!$B$3:$B$5001,E$219,BD!$A$3:$A$5001,"&gt;="&amp;$C$7,BD!$A$3:$A$5001,"&lt;="&amp;$B242,BD!$N$3:$N$5001,"&lt;&gt;"))))</f>
        <v/>
      </c>
      <c r="F242" s="42" t="str">
        <f>IF(OR($B242="",$A242&gt;$B$9),"",IF(COUNTIFS(BD!$B$3:$B$5001,F$219,BD!$A$3:$A$5001,"&gt;="&amp;$C$7,BD!$A$3:$A$5001,"&lt;="&amp;$B242,BD!$N$3:$N$5001,"&lt;&gt;")=0,"",SUMIFS(BD!$N$3:$N$5001,BD!$B$3:$B$5001,F$219,BD!$A$3:$A$5001,_xlfn.MAXIFS(BD!$A$3:$A$5001,BD!$B$3:$B$5001,F$219,BD!$A$3:$A$5001,"&gt;="&amp;$C$7,BD!$A$3:$A$5001,"&lt;="&amp;$B242,BD!$N$3:$N$5001,"&lt;&gt;"))))</f>
        <v/>
      </c>
      <c r="G242" s="42" t="str">
        <f>IF(OR($B242="",$A242&gt;$B$9),"",IF(COUNTIFS(BD!$B$3:$B$5001,G$219,BD!$A$3:$A$5001,"&gt;="&amp;$C$7,BD!$A$3:$A$5001,"&lt;="&amp;$B242,BD!$N$3:$N$5001,"&lt;&gt;")=0,"",SUMIFS(BD!$N$3:$N$5001,BD!$B$3:$B$5001,G$219,BD!$A$3:$A$5001,_xlfn.MAXIFS(BD!$A$3:$A$5001,BD!$B$3:$B$5001,G$219,BD!$A$3:$A$5001,"&gt;="&amp;$C$7,BD!$A$3:$A$5001,"&lt;="&amp;$B242,BD!$N$3:$N$5001,"&lt;&gt;"))))</f>
        <v/>
      </c>
    </row>
    <row r="243">
      <c r="A243" s="40">
        <v>24</v>
      </c>
      <c r="B243" s="41">
        <f>$B$35</f>
        <v>46319</v>
      </c>
      <c r="C243" s="42" t="str">
        <f>IF(OR($B243="",$A243&gt;$B$9),"",IF(COUNTIFS(BD!$B$3:$B$5001,C$219,BD!$A$3:$A$5001,"&gt;="&amp;$C$7,BD!$A$3:$A$5001,"&lt;="&amp;$B243,BD!$N$3:$N$5001,"&lt;&gt;")=0,"",SUMIFS(BD!$N$3:$N$5001,BD!$B$3:$B$5001,C$219,BD!$A$3:$A$5001,_xlfn.MAXIFS(BD!$A$3:$A$5001,BD!$B$3:$B$5001,C$219,BD!$A$3:$A$5001,"&gt;="&amp;$C$7,BD!$A$3:$A$5001,"&lt;="&amp;$B243,BD!$N$3:$N$5001,"&lt;&gt;"))))</f>
        <v/>
      </c>
      <c r="D243" s="42" t="str">
        <f>IF(OR($B243="",$A243&gt;$B$9),"",IF(COUNTIFS(BD!$B$3:$B$5001,D$219,BD!$A$3:$A$5001,"&gt;="&amp;$C$7,BD!$A$3:$A$5001,"&lt;="&amp;$B243,BD!$N$3:$N$5001,"&lt;&gt;")=0,"",SUMIFS(BD!$N$3:$N$5001,BD!$B$3:$B$5001,D$219,BD!$A$3:$A$5001,_xlfn.MAXIFS(BD!$A$3:$A$5001,BD!$B$3:$B$5001,D$219,BD!$A$3:$A$5001,"&gt;="&amp;$C$7,BD!$A$3:$A$5001,"&lt;="&amp;$B243,BD!$N$3:$N$5001,"&lt;&gt;"))))</f>
        <v/>
      </c>
      <c r="E243" s="42" t="str">
        <f>IF(OR($B243="",$A243&gt;$B$9),"",IF(COUNTIFS(BD!$B$3:$B$5001,E$219,BD!$A$3:$A$5001,"&gt;="&amp;$C$7,BD!$A$3:$A$5001,"&lt;="&amp;$B243,BD!$N$3:$N$5001,"&lt;&gt;")=0,"",SUMIFS(BD!$N$3:$N$5001,BD!$B$3:$B$5001,E$219,BD!$A$3:$A$5001,_xlfn.MAXIFS(BD!$A$3:$A$5001,BD!$B$3:$B$5001,E$219,BD!$A$3:$A$5001,"&gt;="&amp;$C$7,BD!$A$3:$A$5001,"&lt;="&amp;$B243,BD!$N$3:$N$5001,"&lt;&gt;"))))</f>
        <v/>
      </c>
      <c r="F243" s="42" t="str">
        <f>IF(OR($B243="",$A243&gt;$B$9),"",IF(COUNTIFS(BD!$B$3:$B$5001,F$219,BD!$A$3:$A$5001,"&gt;="&amp;$C$7,BD!$A$3:$A$5001,"&lt;="&amp;$B243,BD!$N$3:$N$5001,"&lt;&gt;")=0,"",SUMIFS(BD!$N$3:$N$5001,BD!$B$3:$B$5001,F$219,BD!$A$3:$A$5001,_xlfn.MAXIFS(BD!$A$3:$A$5001,BD!$B$3:$B$5001,F$219,BD!$A$3:$A$5001,"&gt;="&amp;$C$7,BD!$A$3:$A$5001,"&lt;="&amp;$B243,BD!$N$3:$N$5001,"&lt;&gt;"))))</f>
        <v/>
      </c>
      <c r="G243" s="42" t="str">
        <f>IF(OR($B243="",$A243&gt;$B$9),"",IF(COUNTIFS(BD!$B$3:$B$5001,G$219,BD!$A$3:$A$5001,"&gt;="&amp;$C$7,BD!$A$3:$A$5001,"&lt;="&amp;$B243,BD!$N$3:$N$5001,"&lt;&gt;")=0,"",SUMIFS(BD!$N$3:$N$5001,BD!$B$3:$B$5001,G$219,BD!$A$3:$A$5001,_xlfn.MAXIFS(BD!$A$3:$A$5001,BD!$B$3:$B$5001,G$219,BD!$A$3:$A$5001,"&gt;="&amp;$C$7,BD!$A$3:$A$5001,"&lt;="&amp;$B243,BD!$N$3:$N$5001,"&lt;&gt;"))))</f>
        <v/>
      </c>
    </row>
    <row r="244">
      <c r="A244" s="40">
        <v>25</v>
      </c>
      <c r="B244" s="41">
        <f>$B$36</f>
        <v>46320</v>
      </c>
      <c r="C244" s="42" t="str">
        <f>IF(OR($B244="",$A244&gt;$B$9),"",IF(COUNTIFS(BD!$B$3:$B$5001,C$219,BD!$A$3:$A$5001,"&gt;="&amp;$C$7,BD!$A$3:$A$5001,"&lt;="&amp;$B244,BD!$N$3:$N$5001,"&lt;&gt;")=0,"",SUMIFS(BD!$N$3:$N$5001,BD!$B$3:$B$5001,C$219,BD!$A$3:$A$5001,_xlfn.MAXIFS(BD!$A$3:$A$5001,BD!$B$3:$B$5001,C$219,BD!$A$3:$A$5001,"&gt;="&amp;$C$7,BD!$A$3:$A$5001,"&lt;="&amp;$B244,BD!$N$3:$N$5001,"&lt;&gt;"))))</f>
        <v/>
      </c>
      <c r="D244" s="42" t="str">
        <f>IF(OR($B244="",$A244&gt;$B$9),"",IF(COUNTIFS(BD!$B$3:$B$5001,D$219,BD!$A$3:$A$5001,"&gt;="&amp;$C$7,BD!$A$3:$A$5001,"&lt;="&amp;$B244,BD!$N$3:$N$5001,"&lt;&gt;")=0,"",SUMIFS(BD!$N$3:$N$5001,BD!$B$3:$B$5001,D$219,BD!$A$3:$A$5001,_xlfn.MAXIFS(BD!$A$3:$A$5001,BD!$B$3:$B$5001,D$219,BD!$A$3:$A$5001,"&gt;="&amp;$C$7,BD!$A$3:$A$5001,"&lt;="&amp;$B244,BD!$N$3:$N$5001,"&lt;&gt;"))))</f>
        <v/>
      </c>
      <c r="E244" s="42" t="str">
        <f>IF(OR($B244="",$A244&gt;$B$9),"",IF(COUNTIFS(BD!$B$3:$B$5001,E$219,BD!$A$3:$A$5001,"&gt;="&amp;$C$7,BD!$A$3:$A$5001,"&lt;="&amp;$B244,BD!$N$3:$N$5001,"&lt;&gt;")=0,"",SUMIFS(BD!$N$3:$N$5001,BD!$B$3:$B$5001,E$219,BD!$A$3:$A$5001,_xlfn.MAXIFS(BD!$A$3:$A$5001,BD!$B$3:$B$5001,E$219,BD!$A$3:$A$5001,"&gt;="&amp;$C$7,BD!$A$3:$A$5001,"&lt;="&amp;$B244,BD!$N$3:$N$5001,"&lt;&gt;"))))</f>
        <v/>
      </c>
      <c r="F244" s="42" t="str">
        <f>IF(OR($B244="",$A244&gt;$B$9),"",IF(COUNTIFS(BD!$B$3:$B$5001,F$219,BD!$A$3:$A$5001,"&gt;="&amp;$C$7,BD!$A$3:$A$5001,"&lt;="&amp;$B244,BD!$N$3:$N$5001,"&lt;&gt;")=0,"",SUMIFS(BD!$N$3:$N$5001,BD!$B$3:$B$5001,F$219,BD!$A$3:$A$5001,_xlfn.MAXIFS(BD!$A$3:$A$5001,BD!$B$3:$B$5001,F$219,BD!$A$3:$A$5001,"&gt;="&amp;$C$7,BD!$A$3:$A$5001,"&lt;="&amp;$B244,BD!$N$3:$N$5001,"&lt;&gt;"))))</f>
        <v/>
      </c>
      <c r="G244" s="42" t="str">
        <f>IF(OR($B244="",$A244&gt;$B$9),"",IF(COUNTIFS(BD!$B$3:$B$5001,G$219,BD!$A$3:$A$5001,"&gt;="&amp;$C$7,BD!$A$3:$A$5001,"&lt;="&amp;$B244,BD!$N$3:$N$5001,"&lt;&gt;")=0,"",SUMIFS(BD!$N$3:$N$5001,BD!$B$3:$B$5001,G$219,BD!$A$3:$A$5001,_xlfn.MAXIFS(BD!$A$3:$A$5001,BD!$B$3:$B$5001,G$219,BD!$A$3:$A$5001,"&gt;="&amp;$C$7,BD!$A$3:$A$5001,"&lt;="&amp;$B244,BD!$N$3:$N$5001,"&lt;&gt;"))))</f>
        <v/>
      </c>
    </row>
    <row r="245">
      <c r="A245" s="40">
        <v>26</v>
      </c>
      <c r="B245" s="41">
        <f>$B$37</f>
        <v>46321</v>
      </c>
      <c r="C245" s="42" t="str">
        <f>IF(OR($B245="",$A245&gt;$B$9),"",IF(COUNTIFS(BD!$B$3:$B$5001,C$219,BD!$A$3:$A$5001,"&gt;="&amp;$C$7,BD!$A$3:$A$5001,"&lt;="&amp;$B245,BD!$N$3:$N$5001,"&lt;&gt;")=0,"",SUMIFS(BD!$N$3:$N$5001,BD!$B$3:$B$5001,C$219,BD!$A$3:$A$5001,_xlfn.MAXIFS(BD!$A$3:$A$5001,BD!$B$3:$B$5001,C$219,BD!$A$3:$A$5001,"&gt;="&amp;$C$7,BD!$A$3:$A$5001,"&lt;="&amp;$B245,BD!$N$3:$N$5001,"&lt;&gt;"))))</f>
        <v/>
      </c>
      <c r="D245" s="42" t="str">
        <f>IF(OR($B245="",$A245&gt;$B$9),"",IF(COUNTIFS(BD!$B$3:$B$5001,D$219,BD!$A$3:$A$5001,"&gt;="&amp;$C$7,BD!$A$3:$A$5001,"&lt;="&amp;$B245,BD!$N$3:$N$5001,"&lt;&gt;")=0,"",SUMIFS(BD!$N$3:$N$5001,BD!$B$3:$B$5001,D$219,BD!$A$3:$A$5001,_xlfn.MAXIFS(BD!$A$3:$A$5001,BD!$B$3:$B$5001,D$219,BD!$A$3:$A$5001,"&gt;="&amp;$C$7,BD!$A$3:$A$5001,"&lt;="&amp;$B245,BD!$N$3:$N$5001,"&lt;&gt;"))))</f>
        <v/>
      </c>
      <c r="E245" s="42" t="str">
        <f>IF(OR($B245="",$A245&gt;$B$9),"",IF(COUNTIFS(BD!$B$3:$B$5001,E$219,BD!$A$3:$A$5001,"&gt;="&amp;$C$7,BD!$A$3:$A$5001,"&lt;="&amp;$B245,BD!$N$3:$N$5001,"&lt;&gt;")=0,"",SUMIFS(BD!$N$3:$N$5001,BD!$B$3:$B$5001,E$219,BD!$A$3:$A$5001,_xlfn.MAXIFS(BD!$A$3:$A$5001,BD!$B$3:$B$5001,E$219,BD!$A$3:$A$5001,"&gt;="&amp;$C$7,BD!$A$3:$A$5001,"&lt;="&amp;$B245,BD!$N$3:$N$5001,"&lt;&gt;"))))</f>
        <v/>
      </c>
      <c r="F245" s="42" t="str">
        <f>IF(OR($B245="",$A245&gt;$B$9),"",IF(COUNTIFS(BD!$B$3:$B$5001,F$219,BD!$A$3:$A$5001,"&gt;="&amp;$C$7,BD!$A$3:$A$5001,"&lt;="&amp;$B245,BD!$N$3:$N$5001,"&lt;&gt;")=0,"",SUMIFS(BD!$N$3:$N$5001,BD!$B$3:$B$5001,F$219,BD!$A$3:$A$5001,_xlfn.MAXIFS(BD!$A$3:$A$5001,BD!$B$3:$B$5001,F$219,BD!$A$3:$A$5001,"&gt;="&amp;$C$7,BD!$A$3:$A$5001,"&lt;="&amp;$B245,BD!$N$3:$N$5001,"&lt;&gt;"))))</f>
        <v/>
      </c>
      <c r="G245" s="42" t="str">
        <f>IF(OR($B245="",$A245&gt;$B$9),"",IF(COUNTIFS(BD!$B$3:$B$5001,G$219,BD!$A$3:$A$5001,"&gt;="&amp;$C$7,BD!$A$3:$A$5001,"&lt;="&amp;$B245,BD!$N$3:$N$5001,"&lt;&gt;")=0,"",SUMIFS(BD!$N$3:$N$5001,BD!$B$3:$B$5001,G$219,BD!$A$3:$A$5001,_xlfn.MAXIFS(BD!$A$3:$A$5001,BD!$B$3:$B$5001,G$219,BD!$A$3:$A$5001,"&gt;="&amp;$C$7,BD!$A$3:$A$5001,"&lt;="&amp;$B245,BD!$N$3:$N$5001,"&lt;&gt;"))))</f>
        <v/>
      </c>
    </row>
    <row r="246">
      <c r="A246" s="40">
        <v>27</v>
      </c>
      <c r="B246" s="41">
        <f>$B$38</f>
        <v>46322</v>
      </c>
      <c r="C246" s="42" t="str">
        <f>IF(OR($B246="",$A246&gt;$B$9),"",IF(COUNTIFS(BD!$B$3:$B$5001,C$219,BD!$A$3:$A$5001,"&gt;="&amp;$C$7,BD!$A$3:$A$5001,"&lt;="&amp;$B246,BD!$N$3:$N$5001,"&lt;&gt;")=0,"",SUMIFS(BD!$N$3:$N$5001,BD!$B$3:$B$5001,C$219,BD!$A$3:$A$5001,_xlfn.MAXIFS(BD!$A$3:$A$5001,BD!$B$3:$B$5001,C$219,BD!$A$3:$A$5001,"&gt;="&amp;$C$7,BD!$A$3:$A$5001,"&lt;="&amp;$B246,BD!$N$3:$N$5001,"&lt;&gt;"))))</f>
        <v/>
      </c>
      <c r="D246" s="42" t="str">
        <f>IF(OR($B246="",$A246&gt;$B$9),"",IF(COUNTIFS(BD!$B$3:$B$5001,D$219,BD!$A$3:$A$5001,"&gt;="&amp;$C$7,BD!$A$3:$A$5001,"&lt;="&amp;$B246,BD!$N$3:$N$5001,"&lt;&gt;")=0,"",SUMIFS(BD!$N$3:$N$5001,BD!$B$3:$B$5001,D$219,BD!$A$3:$A$5001,_xlfn.MAXIFS(BD!$A$3:$A$5001,BD!$B$3:$B$5001,D$219,BD!$A$3:$A$5001,"&gt;="&amp;$C$7,BD!$A$3:$A$5001,"&lt;="&amp;$B246,BD!$N$3:$N$5001,"&lt;&gt;"))))</f>
        <v/>
      </c>
      <c r="E246" s="42" t="str">
        <f>IF(OR($B246="",$A246&gt;$B$9),"",IF(COUNTIFS(BD!$B$3:$B$5001,E$219,BD!$A$3:$A$5001,"&gt;="&amp;$C$7,BD!$A$3:$A$5001,"&lt;="&amp;$B246,BD!$N$3:$N$5001,"&lt;&gt;")=0,"",SUMIFS(BD!$N$3:$N$5001,BD!$B$3:$B$5001,E$219,BD!$A$3:$A$5001,_xlfn.MAXIFS(BD!$A$3:$A$5001,BD!$B$3:$B$5001,E$219,BD!$A$3:$A$5001,"&gt;="&amp;$C$7,BD!$A$3:$A$5001,"&lt;="&amp;$B246,BD!$N$3:$N$5001,"&lt;&gt;"))))</f>
        <v/>
      </c>
      <c r="F246" s="42" t="str">
        <f>IF(OR($B246="",$A246&gt;$B$9),"",IF(COUNTIFS(BD!$B$3:$B$5001,F$219,BD!$A$3:$A$5001,"&gt;="&amp;$C$7,BD!$A$3:$A$5001,"&lt;="&amp;$B246,BD!$N$3:$N$5001,"&lt;&gt;")=0,"",SUMIFS(BD!$N$3:$N$5001,BD!$B$3:$B$5001,F$219,BD!$A$3:$A$5001,_xlfn.MAXIFS(BD!$A$3:$A$5001,BD!$B$3:$B$5001,F$219,BD!$A$3:$A$5001,"&gt;="&amp;$C$7,BD!$A$3:$A$5001,"&lt;="&amp;$B246,BD!$N$3:$N$5001,"&lt;&gt;"))))</f>
        <v/>
      </c>
      <c r="G246" s="42" t="str">
        <f>IF(OR($B246="",$A246&gt;$B$9),"",IF(COUNTIFS(BD!$B$3:$B$5001,G$219,BD!$A$3:$A$5001,"&gt;="&amp;$C$7,BD!$A$3:$A$5001,"&lt;="&amp;$B246,BD!$N$3:$N$5001,"&lt;&gt;")=0,"",SUMIFS(BD!$N$3:$N$5001,BD!$B$3:$B$5001,G$219,BD!$A$3:$A$5001,_xlfn.MAXIFS(BD!$A$3:$A$5001,BD!$B$3:$B$5001,G$219,BD!$A$3:$A$5001,"&gt;="&amp;$C$7,BD!$A$3:$A$5001,"&lt;="&amp;$B246,BD!$N$3:$N$5001,"&lt;&gt;"))))</f>
        <v/>
      </c>
    </row>
    <row r="247">
      <c r="A247" s="40">
        <v>28</v>
      </c>
      <c r="B247" s="41">
        <f>$B$39</f>
        <v>46323</v>
      </c>
      <c r="C247" s="42" t="str">
        <f>IF(OR($B247="",$A247&gt;$B$9),"",IF(COUNTIFS(BD!$B$3:$B$5001,C$219,BD!$A$3:$A$5001,"&gt;="&amp;$C$7,BD!$A$3:$A$5001,"&lt;="&amp;$B247,BD!$N$3:$N$5001,"&lt;&gt;")=0,"",SUMIFS(BD!$N$3:$N$5001,BD!$B$3:$B$5001,C$219,BD!$A$3:$A$5001,_xlfn.MAXIFS(BD!$A$3:$A$5001,BD!$B$3:$B$5001,C$219,BD!$A$3:$A$5001,"&gt;="&amp;$C$7,BD!$A$3:$A$5001,"&lt;="&amp;$B247,BD!$N$3:$N$5001,"&lt;&gt;"))))</f>
        <v/>
      </c>
      <c r="D247" s="42" t="str">
        <f>IF(OR($B247="",$A247&gt;$B$9),"",IF(COUNTIFS(BD!$B$3:$B$5001,D$219,BD!$A$3:$A$5001,"&gt;="&amp;$C$7,BD!$A$3:$A$5001,"&lt;="&amp;$B247,BD!$N$3:$N$5001,"&lt;&gt;")=0,"",SUMIFS(BD!$N$3:$N$5001,BD!$B$3:$B$5001,D$219,BD!$A$3:$A$5001,_xlfn.MAXIFS(BD!$A$3:$A$5001,BD!$B$3:$B$5001,D$219,BD!$A$3:$A$5001,"&gt;="&amp;$C$7,BD!$A$3:$A$5001,"&lt;="&amp;$B247,BD!$N$3:$N$5001,"&lt;&gt;"))))</f>
        <v/>
      </c>
      <c r="E247" s="42" t="str">
        <f>IF(OR($B247="",$A247&gt;$B$9),"",IF(COUNTIFS(BD!$B$3:$B$5001,E$219,BD!$A$3:$A$5001,"&gt;="&amp;$C$7,BD!$A$3:$A$5001,"&lt;="&amp;$B247,BD!$N$3:$N$5001,"&lt;&gt;")=0,"",SUMIFS(BD!$N$3:$N$5001,BD!$B$3:$B$5001,E$219,BD!$A$3:$A$5001,_xlfn.MAXIFS(BD!$A$3:$A$5001,BD!$B$3:$B$5001,E$219,BD!$A$3:$A$5001,"&gt;="&amp;$C$7,BD!$A$3:$A$5001,"&lt;="&amp;$B247,BD!$N$3:$N$5001,"&lt;&gt;"))))</f>
        <v/>
      </c>
      <c r="F247" s="42" t="str">
        <f>IF(OR($B247="",$A247&gt;$B$9),"",IF(COUNTIFS(BD!$B$3:$B$5001,F$219,BD!$A$3:$A$5001,"&gt;="&amp;$C$7,BD!$A$3:$A$5001,"&lt;="&amp;$B247,BD!$N$3:$N$5001,"&lt;&gt;")=0,"",SUMIFS(BD!$N$3:$N$5001,BD!$B$3:$B$5001,F$219,BD!$A$3:$A$5001,_xlfn.MAXIFS(BD!$A$3:$A$5001,BD!$B$3:$B$5001,F$219,BD!$A$3:$A$5001,"&gt;="&amp;$C$7,BD!$A$3:$A$5001,"&lt;="&amp;$B247,BD!$N$3:$N$5001,"&lt;&gt;"))))</f>
        <v/>
      </c>
      <c r="G247" s="42" t="str">
        <f>IF(OR($B247="",$A247&gt;$B$9),"",IF(COUNTIFS(BD!$B$3:$B$5001,G$219,BD!$A$3:$A$5001,"&gt;="&amp;$C$7,BD!$A$3:$A$5001,"&lt;="&amp;$B247,BD!$N$3:$N$5001,"&lt;&gt;")=0,"",SUMIFS(BD!$N$3:$N$5001,BD!$B$3:$B$5001,G$219,BD!$A$3:$A$5001,_xlfn.MAXIFS(BD!$A$3:$A$5001,BD!$B$3:$B$5001,G$219,BD!$A$3:$A$5001,"&gt;="&amp;$C$7,BD!$A$3:$A$5001,"&lt;="&amp;$B247,BD!$N$3:$N$5001,"&lt;&gt;"))))</f>
        <v/>
      </c>
    </row>
    <row r="248">
      <c r="A248" s="40">
        <v>29</v>
      </c>
      <c r="B248" s="41">
        <f>$B$40</f>
        <v>46324</v>
      </c>
      <c r="C248" s="42" t="str">
        <f>IF(OR($B248="",$A248&gt;$B$9),"",IF(COUNTIFS(BD!$B$3:$B$5001,C$219,BD!$A$3:$A$5001,"&gt;="&amp;$C$7,BD!$A$3:$A$5001,"&lt;="&amp;$B248,BD!$N$3:$N$5001,"&lt;&gt;")=0,"",SUMIFS(BD!$N$3:$N$5001,BD!$B$3:$B$5001,C$219,BD!$A$3:$A$5001,_xlfn.MAXIFS(BD!$A$3:$A$5001,BD!$B$3:$B$5001,C$219,BD!$A$3:$A$5001,"&gt;="&amp;$C$7,BD!$A$3:$A$5001,"&lt;="&amp;$B248,BD!$N$3:$N$5001,"&lt;&gt;"))))</f>
        <v/>
      </c>
      <c r="D248" s="42" t="str">
        <f>IF(OR($B248="",$A248&gt;$B$9),"",IF(COUNTIFS(BD!$B$3:$B$5001,D$219,BD!$A$3:$A$5001,"&gt;="&amp;$C$7,BD!$A$3:$A$5001,"&lt;="&amp;$B248,BD!$N$3:$N$5001,"&lt;&gt;")=0,"",SUMIFS(BD!$N$3:$N$5001,BD!$B$3:$B$5001,D$219,BD!$A$3:$A$5001,_xlfn.MAXIFS(BD!$A$3:$A$5001,BD!$B$3:$B$5001,D$219,BD!$A$3:$A$5001,"&gt;="&amp;$C$7,BD!$A$3:$A$5001,"&lt;="&amp;$B248,BD!$N$3:$N$5001,"&lt;&gt;"))))</f>
        <v/>
      </c>
      <c r="E248" s="42" t="str">
        <f>IF(OR($B248="",$A248&gt;$B$9),"",IF(COUNTIFS(BD!$B$3:$B$5001,E$219,BD!$A$3:$A$5001,"&gt;="&amp;$C$7,BD!$A$3:$A$5001,"&lt;="&amp;$B248,BD!$N$3:$N$5001,"&lt;&gt;")=0,"",SUMIFS(BD!$N$3:$N$5001,BD!$B$3:$B$5001,E$219,BD!$A$3:$A$5001,_xlfn.MAXIFS(BD!$A$3:$A$5001,BD!$B$3:$B$5001,E$219,BD!$A$3:$A$5001,"&gt;="&amp;$C$7,BD!$A$3:$A$5001,"&lt;="&amp;$B248,BD!$N$3:$N$5001,"&lt;&gt;"))))</f>
        <v/>
      </c>
      <c r="F248" s="42" t="str">
        <f>IF(OR($B248="",$A248&gt;$B$9),"",IF(COUNTIFS(BD!$B$3:$B$5001,F$219,BD!$A$3:$A$5001,"&gt;="&amp;$C$7,BD!$A$3:$A$5001,"&lt;="&amp;$B248,BD!$N$3:$N$5001,"&lt;&gt;")=0,"",SUMIFS(BD!$N$3:$N$5001,BD!$B$3:$B$5001,F$219,BD!$A$3:$A$5001,_xlfn.MAXIFS(BD!$A$3:$A$5001,BD!$B$3:$B$5001,F$219,BD!$A$3:$A$5001,"&gt;="&amp;$C$7,BD!$A$3:$A$5001,"&lt;="&amp;$B248,BD!$N$3:$N$5001,"&lt;&gt;"))))</f>
        <v/>
      </c>
      <c r="G248" s="42" t="str">
        <f>IF(OR($B248="",$A248&gt;$B$9),"",IF(COUNTIFS(BD!$B$3:$B$5001,G$219,BD!$A$3:$A$5001,"&gt;="&amp;$C$7,BD!$A$3:$A$5001,"&lt;="&amp;$B248,BD!$N$3:$N$5001,"&lt;&gt;")=0,"",SUMIFS(BD!$N$3:$N$5001,BD!$B$3:$B$5001,G$219,BD!$A$3:$A$5001,_xlfn.MAXIFS(BD!$A$3:$A$5001,BD!$B$3:$B$5001,G$219,BD!$A$3:$A$5001,"&gt;="&amp;$C$7,BD!$A$3:$A$5001,"&lt;="&amp;$B248,BD!$N$3:$N$5001,"&lt;&gt;"))))</f>
        <v/>
      </c>
    </row>
    <row r="249">
      <c r="A249" s="40">
        <v>30</v>
      </c>
      <c r="B249" s="41">
        <f>$B$41</f>
        <v>46325</v>
      </c>
      <c r="C249" s="42" t="str">
        <f>IF(OR($B249="",$A249&gt;$B$9),"",IF(COUNTIFS(BD!$B$3:$B$5001,C$219,BD!$A$3:$A$5001,"&gt;="&amp;$C$7,BD!$A$3:$A$5001,"&lt;="&amp;$B249,BD!$N$3:$N$5001,"&lt;&gt;")=0,"",SUMIFS(BD!$N$3:$N$5001,BD!$B$3:$B$5001,C$219,BD!$A$3:$A$5001,_xlfn.MAXIFS(BD!$A$3:$A$5001,BD!$B$3:$B$5001,C$219,BD!$A$3:$A$5001,"&gt;="&amp;$C$7,BD!$A$3:$A$5001,"&lt;="&amp;$B249,BD!$N$3:$N$5001,"&lt;&gt;"))))</f>
        <v/>
      </c>
      <c r="D249" s="42" t="str">
        <f>IF(OR($B249="",$A249&gt;$B$9),"",IF(COUNTIFS(BD!$B$3:$B$5001,D$219,BD!$A$3:$A$5001,"&gt;="&amp;$C$7,BD!$A$3:$A$5001,"&lt;="&amp;$B249,BD!$N$3:$N$5001,"&lt;&gt;")=0,"",SUMIFS(BD!$N$3:$N$5001,BD!$B$3:$B$5001,D$219,BD!$A$3:$A$5001,_xlfn.MAXIFS(BD!$A$3:$A$5001,BD!$B$3:$B$5001,D$219,BD!$A$3:$A$5001,"&gt;="&amp;$C$7,BD!$A$3:$A$5001,"&lt;="&amp;$B249,BD!$N$3:$N$5001,"&lt;&gt;"))))</f>
        <v/>
      </c>
      <c r="E249" s="42" t="str">
        <f>IF(OR($B249="",$A249&gt;$B$9),"",IF(COUNTIFS(BD!$B$3:$B$5001,E$219,BD!$A$3:$A$5001,"&gt;="&amp;$C$7,BD!$A$3:$A$5001,"&lt;="&amp;$B249,BD!$N$3:$N$5001,"&lt;&gt;")=0,"",SUMIFS(BD!$N$3:$N$5001,BD!$B$3:$B$5001,E$219,BD!$A$3:$A$5001,_xlfn.MAXIFS(BD!$A$3:$A$5001,BD!$B$3:$B$5001,E$219,BD!$A$3:$A$5001,"&gt;="&amp;$C$7,BD!$A$3:$A$5001,"&lt;="&amp;$B249,BD!$N$3:$N$5001,"&lt;&gt;"))))</f>
        <v/>
      </c>
      <c r="F249" s="42" t="str">
        <f>IF(OR($B249="",$A249&gt;$B$9),"",IF(COUNTIFS(BD!$B$3:$B$5001,F$219,BD!$A$3:$A$5001,"&gt;="&amp;$C$7,BD!$A$3:$A$5001,"&lt;="&amp;$B249,BD!$N$3:$N$5001,"&lt;&gt;")=0,"",SUMIFS(BD!$N$3:$N$5001,BD!$B$3:$B$5001,F$219,BD!$A$3:$A$5001,_xlfn.MAXIFS(BD!$A$3:$A$5001,BD!$B$3:$B$5001,F$219,BD!$A$3:$A$5001,"&gt;="&amp;$C$7,BD!$A$3:$A$5001,"&lt;="&amp;$B249,BD!$N$3:$N$5001,"&lt;&gt;"))))</f>
        <v/>
      </c>
      <c r="G249" s="42" t="str">
        <f>IF(OR($B249="",$A249&gt;$B$9),"",IF(COUNTIFS(BD!$B$3:$B$5001,G$219,BD!$A$3:$A$5001,"&gt;="&amp;$C$7,BD!$A$3:$A$5001,"&lt;="&amp;$B249,BD!$N$3:$N$5001,"&lt;&gt;")=0,"",SUMIFS(BD!$N$3:$N$5001,BD!$B$3:$B$5001,G$219,BD!$A$3:$A$5001,_xlfn.MAXIFS(BD!$A$3:$A$5001,BD!$B$3:$B$5001,G$219,BD!$A$3:$A$5001,"&gt;="&amp;$C$7,BD!$A$3:$A$5001,"&lt;="&amp;$B249,BD!$N$3:$N$5001,"&lt;&gt;"))))</f>
        <v/>
      </c>
    </row>
    <row r="250">
      <c r="A250" s="40">
        <v>31</v>
      </c>
      <c r="B250" s="41">
        <f>$B$42</f>
        <v>46326</v>
      </c>
      <c r="C250" s="42" t="str">
        <f>IF(OR($B250="",$A250&gt;$B$9),"",IF(COUNTIFS(BD!$B$3:$B$5001,C$219,BD!$A$3:$A$5001,"&gt;="&amp;$C$7,BD!$A$3:$A$5001,"&lt;="&amp;$B250,BD!$N$3:$N$5001,"&lt;&gt;")=0,"",SUMIFS(BD!$N$3:$N$5001,BD!$B$3:$B$5001,C$219,BD!$A$3:$A$5001,_xlfn.MAXIFS(BD!$A$3:$A$5001,BD!$B$3:$B$5001,C$219,BD!$A$3:$A$5001,"&gt;="&amp;$C$7,BD!$A$3:$A$5001,"&lt;="&amp;$B250,BD!$N$3:$N$5001,"&lt;&gt;"))))</f>
        <v/>
      </c>
      <c r="D250" s="42" t="str">
        <f>IF(OR($B250="",$A250&gt;$B$9),"",IF(COUNTIFS(BD!$B$3:$B$5001,D$219,BD!$A$3:$A$5001,"&gt;="&amp;$C$7,BD!$A$3:$A$5001,"&lt;="&amp;$B250,BD!$N$3:$N$5001,"&lt;&gt;")=0,"",SUMIFS(BD!$N$3:$N$5001,BD!$B$3:$B$5001,D$219,BD!$A$3:$A$5001,_xlfn.MAXIFS(BD!$A$3:$A$5001,BD!$B$3:$B$5001,D$219,BD!$A$3:$A$5001,"&gt;="&amp;$C$7,BD!$A$3:$A$5001,"&lt;="&amp;$B250,BD!$N$3:$N$5001,"&lt;&gt;"))))</f>
        <v/>
      </c>
      <c r="E250" s="42" t="str">
        <f>IF(OR($B250="",$A250&gt;$B$9),"",IF(COUNTIFS(BD!$B$3:$B$5001,E$219,BD!$A$3:$A$5001,"&gt;="&amp;$C$7,BD!$A$3:$A$5001,"&lt;="&amp;$B250,BD!$N$3:$N$5001,"&lt;&gt;")=0,"",SUMIFS(BD!$N$3:$N$5001,BD!$B$3:$B$5001,E$219,BD!$A$3:$A$5001,_xlfn.MAXIFS(BD!$A$3:$A$5001,BD!$B$3:$B$5001,E$219,BD!$A$3:$A$5001,"&gt;="&amp;$C$7,BD!$A$3:$A$5001,"&lt;="&amp;$B250,BD!$N$3:$N$5001,"&lt;&gt;"))))</f>
        <v/>
      </c>
      <c r="F250" s="42" t="str">
        <f>IF(OR($B250="",$A250&gt;$B$9),"",IF(COUNTIFS(BD!$B$3:$B$5001,F$219,BD!$A$3:$A$5001,"&gt;="&amp;$C$7,BD!$A$3:$A$5001,"&lt;="&amp;$B250,BD!$N$3:$N$5001,"&lt;&gt;")=0,"",SUMIFS(BD!$N$3:$N$5001,BD!$B$3:$B$5001,F$219,BD!$A$3:$A$5001,_xlfn.MAXIFS(BD!$A$3:$A$5001,BD!$B$3:$B$5001,F$219,BD!$A$3:$A$5001,"&gt;="&amp;$C$7,BD!$A$3:$A$5001,"&lt;="&amp;$B250,BD!$N$3:$N$5001,"&lt;&gt;"))))</f>
        <v/>
      </c>
      <c r="G250" s="42" t="str">
        <f>IF(OR($B250="",$A250&gt;$B$9),"",IF(COUNTIFS(BD!$B$3:$B$5001,G$219,BD!$A$3:$A$5001,"&gt;="&amp;$C$7,BD!$A$3:$A$5001,"&lt;="&amp;$B250,BD!$N$3:$N$5001,"&lt;&gt;")=0,"",SUMIFS(BD!$N$3:$N$5001,BD!$B$3:$B$5001,G$219,BD!$A$3:$A$5001,_xlfn.MAXIFS(BD!$A$3:$A$5001,BD!$B$3:$B$5001,G$219,BD!$A$3:$A$5001,"&gt;="&amp;$C$7,BD!$A$3:$A$5001,"&lt;="&amp;$B250,BD!$N$3:$N$5001,"&lt;&gt;"))))</f>
        <v/>
      </c>
    </row>
    <row r="251">
      <c r="A251" s="43" t="inlineStr">
        <is>
          <t xml:space="preserve">Mês anterior (último)</t>
        </is>
      </c>
      <c r="C251" s="44" t="str">
        <f>IF(COUNTIFS(BD!$B$3:$B$5001,C$219,BD!$A$3:$A$5001,"&gt;="&amp;$C$8,BD!$A$3:$A$5001,"&lt;="&amp;$D$8,BD!$N$3:$N$5001,"&lt;&gt;")=0,"",SUMIFS(BD!$N$3:$N$5001,BD!$B$3:$B$5001,C$219,BD!$A$3:$A$5001,_xlfn.MAXIFS(BD!$A$3:$A$5001,BD!$B$3:$B$5001,C$219,BD!$A$3:$A$5001,"&gt;="&amp;$C$8,BD!$A$3:$A$5001,"&lt;="&amp;$D$8,BD!$N$3:$N$5001,"&lt;&gt;")))</f>
        <v/>
      </c>
      <c r="D251" s="44" t="str">
        <f>IF(COUNTIFS(BD!$B$3:$B$5001,D$219,BD!$A$3:$A$5001,"&gt;="&amp;$C$8,BD!$A$3:$A$5001,"&lt;="&amp;$D$8,BD!$N$3:$N$5001,"&lt;&gt;")=0,"",SUMIFS(BD!$N$3:$N$5001,BD!$B$3:$B$5001,D$219,BD!$A$3:$A$5001,_xlfn.MAXIFS(BD!$A$3:$A$5001,BD!$B$3:$B$5001,D$219,BD!$A$3:$A$5001,"&gt;="&amp;$C$8,BD!$A$3:$A$5001,"&lt;="&amp;$D$8,BD!$N$3:$N$5001,"&lt;&gt;")))</f>
        <v/>
      </c>
      <c r="E251" s="44" t="str">
        <f>IF(COUNTIFS(BD!$B$3:$B$5001,E$219,BD!$A$3:$A$5001,"&gt;="&amp;$C$8,BD!$A$3:$A$5001,"&lt;="&amp;$D$8,BD!$N$3:$N$5001,"&lt;&gt;")=0,"",SUMIFS(BD!$N$3:$N$5001,BD!$B$3:$B$5001,E$219,BD!$A$3:$A$5001,_xlfn.MAXIFS(BD!$A$3:$A$5001,BD!$B$3:$B$5001,E$219,BD!$A$3:$A$5001,"&gt;="&amp;$C$8,BD!$A$3:$A$5001,"&lt;="&amp;$D$8,BD!$N$3:$N$5001,"&lt;&gt;")))</f>
        <v/>
      </c>
      <c r="F251" s="44" t="str">
        <f>IF(COUNTIFS(BD!$B$3:$B$5001,F$219,BD!$A$3:$A$5001,"&gt;="&amp;$C$8,BD!$A$3:$A$5001,"&lt;="&amp;$D$8,BD!$N$3:$N$5001,"&lt;&gt;")=0,"",SUMIFS(BD!$N$3:$N$5001,BD!$B$3:$B$5001,F$219,BD!$A$3:$A$5001,_xlfn.MAXIFS(BD!$A$3:$A$5001,BD!$B$3:$B$5001,F$219,BD!$A$3:$A$5001,"&gt;="&amp;$C$8,BD!$A$3:$A$5001,"&lt;="&amp;$D$8,BD!$N$3:$N$5001,"&lt;&gt;")))</f>
        <v/>
      </c>
      <c r="G251" s="44" t="str">
        <f>IF(COUNTIFS(BD!$B$3:$B$5001,G$219,BD!$A$3:$A$5001,"&gt;="&amp;$C$8,BD!$A$3:$A$5001,"&lt;="&amp;$D$8,BD!$N$3:$N$5001,"&lt;&gt;")=0,"",SUMIFS(BD!$N$3:$N$5001,BD!$B$3:$B$5001,G$219,BD!$A$3:$A$5001,_xlfn.MAXIFS(BD!$A$3:$A$5001,BD!$B$3:$B$5001,G$219,BD!$A$3:$A$5001,"&gt;="&amp;$C$8,BD!$A$3:$A$5001,"&lt;="&amp;$D$8,BD!$N$3:$N$5001,"&lt;&gt;")))</f>
        <v/>
      </c>
    </row>
    <row r="252">
      <c r="A252" s="43" t="inlineStr">
        <is>
          <t xml:space="preserve">Depósito</t>
        </is>
      </c>
      <c r="C252" s="40" t="inlineStr">
        <is>
          <t xml:space="preserve">JSL</t>
        </is>
      </c>
      <c r="D252" s="40" t="inlineStr">
        <is>
          <t xml:space="preserve">JSL</t>
        </is>
      </c>
      <c r="E252" s="40" t="inlineStr">
        <is>
          <t xml:space="preserve">JSL</t>
        </is>
      </c>
      <c r="F252" s="40" t="inlineStr">
        <is>
          <t xml:space="preserve">JSL</t>
        </is>
      </c>
      <c r="G252" s="40" t="inlineStr">
        <is>
          <t xml:space="preserve">JSL</t>
        </is>
      </c>
    </row>
    <row r="256">
      <c r="A256" s="19" t="inlineStr">
        <is>
          <t xml:space="preserve">RESUMO POR CLIENTE — clientes visíveis pelo filtro do Consol Mensal</t>
        </is>
      </c>
    </row>
    <row r="257">
      <c r="A257" s="37" t="inlineStr">
        <is>
          <t xml:space="preserve">Cliente</t>
        </is>
      </c>
      <c r="B257" s="37" t="inlineStr">
        <is>
          <t xml:space="preserve">Depósito</t>
        </is>
      </c>
      <c r="C257" s="37" t="inlineStr">
        <is>
          <t xml:space="preserve">Entra?</t>
        </is>
      </c>
      <c r="D257" s="37" t="inlineStr">
        <is>
          <t xml:space="preserve">Ordem</t>
        </is>
      </c>
      <c r="F257" s="37" t="inlineStr">
        <is>
          <t xml:space="preserve">Posição</t>
        </is>
      </c>
      <c r="G257" s="37" t="inlineStr">
        <is>
          <t xml:space="preserve">Cliente visível</t>
        </is>
      </c>
      <c r="H257" s="37" t="inlineStr">
        <is>
          <t xml:space="preserve">Depósito visível</t>
        </is>
      </c>
    </row>
    <row r="258">
      <c r="A258" s="64" t="inlineStr">
        <is>
          <t xml:space="preserve">Barry Callebaut</t>
        </is>
      </c>
      <c r="B258" s="40" t="inlineStr">
        <is>
          <t xml:space="preserve">JSL</t>
        </is>
      </c>
      <c r="C258" s="40">
        <f>IF(OR($B$2="Todos",AND($C$2=2,$B258=$D$2),AND($C$2=1,$A258=$D$2)),1,0)</f>
        <v>1</v>
      </c>
      <c r="D258" s="40">
        <f>IF($C258=1,SUM($C$258:$C258),"")</f>
        <v>1</v>
      </c>
      <c r="F258" s="40">
        <v>1</v>
      </c>
      <c r="G258" s="64" t="str">
        <f>IFERROR(INDEX($A$258:$A$262,MATCH($F258,$D$258:$D$262,0)),"")</f>
        <v>Barry Callebaut</v>
      </c>
      <c r="H258" s="40" t="str">
        <f>IFERROR(INDEX($B$258:$B$262,MATCH($F258,$D$258:$D$262,0)),"")</f>
        <v>JSL</v>
      </c>
    </row>
    <row r="259">
      <c r="A259" s="64" t="inlineStr">
        <is>
          <t xml:space="preserve">GM</t>
        </is>
      </c>
      <c r="B259" s="40" t="inlineStr">
        <is>
          <t xml:space="preserve">JSL</t>
        </is>
      </c>
      <c r="C259" s="40">
        <f>IF(OR($B$2="Todos",AND($C$2=2,$B259=$D$2),AND($C$2=1,$A259=$D$2)),1,0)</f>
        <v>1</v>
      </c>
      <c r="D259" s="40">
        <f>IF($C259=1,SUM($C$258:$C259),"")</f>
        <v>2</v>
      </c>
      <c r="F259" s="40">
        <v>2</v>
      </c>
      <c r="G259" s="64" t="str">
        <f>IFERROR(INDEX($A$258:$A$262,MATCH($F259,$D$258:$D$262,0)),"")</f>
        <v>GM</v>
      </c>
      <c r="H259" s="40" t="str">
        <f>IFERROR(INDEX($B$258:$B$262,MATCH($F259,$D$258:$D$262,0)),"")</f>
        <v>JSL</v>
      </c>
    </row>
    <row r="260">
      <c r="A260" s="64" t="inlineStr">
        <is>
          <t xml:space="preserve">Mondelez</t>
        </is>
      </c>
      <c r="B260" s="40" t="inlineStr">
        <is>
          <t xml:space="preserve">JSL</t>
        </is>
      </c>
      <c r="C260" s="40">
        <f>IF(OR($B$2="Todos",AND($C$2=2,$B260=$D$2),AND($C$2=1,$A260=$D$2)),1,0)</f>
        <v>1</v>
      </c>
      <c r="D260" s="40">
        <f>IF($C260=1,SUM($C$258:$C260),"")</f>
        <v>3</v>
      </c>
      <c r="F260" s="40">
        <v>3</v>
      </c>
      <c r="G260" s="64" t="str">
        <f>IFERROR(INDEX($A$258:$A$262,MATCH($F260,$D$258:$D$262,0)),"")</f>
        <v>Mondelez</v>
      </c>
      <c r="H260" s="40" t="str">
        <f>IFERROR(INDEX($B$258:$B$262,MATCH($F260,$D$258:$D$262,0)),"")</f>
        <v>JSL</v>
      </c>
    </row>
    <row r="261">
      <c r="A261" s="64" t="inlineStr">
        <is>
          <t xml:space="preserve">Nestlé</t>
        </is>
      </c>
      <c r="B261" s="40" t="inlineStr">
        <is>
          <t xml:space="preserve">JSL</t>
        </is>
      </c>
      <c r="C261" s="40">
        <f>IF(OR($B$2="Todos",AND($C$2=2,$B261=$D$2),AND($C$2=1,$A261=$D$2)),1,0)</f>
        <v>1</v>
      </c>
      <c r="D261" s="40">
        <f>IF($C261=1,SUM($C$258:$C261),"")</f>
        <v>4</v>
      </c>
      <c r="F261" s="40">
        <v>4</v>
      </c>
      <c r="G261" s="64" t="str">
        <f>IFERROR(INDEX($A$258:$A$262,MATCH($F261,$D$258:$D$262,0)),"")</f>
        <v>Nestlé</v>
      </c>
      <c r="H261" s="40" t="str">
        <f>IFERROR(INDEX($B$258:$B$262,MATCH($F261,$D$258:$D$262,0)),"")</f>
        <v>JSL</v>
      </c>
    </row>
    <row r="262">
      <c r="A262" s="64" t="inlineStr">
        <is>
          <t xml:space="preserve">PMB</t>
        </is>
      </c>
      <c r="B262" s="40" t="inlineStr">
        <is>
          <t xml:space="preserve">JSL</t>
        </is>
      </c>
      <c r="C262" s="40">
        <f>IF(OR($B$2="Todos",AND($C$2=2,$B262=$D$2),AND($C$2=1,$A262=$D$2)),1,0)</f>
        <v>1</v>
      </c>
      <c r="D262" s="40">
        <f>IF($C262=1,SUM($C$258:$C262),"")</f>
        <v>5</v>
      </c>
      <c r="F262" s="40">
        <v>5</v>
      </c>
      <c r="G262" s="64" t="str">
        <f>IFERROR(INDEX($A$258:$A$262,MATCH($F262,$D$258:$D$262,0)),"")</f>
        <v>PMB</v>
      </c>
      <c r="H262" s="40" t="str">
        <f>IFERROR(INDEX($B$258:$B$262,MATCH($F262,$D$258:$D$262,0)),"")</f>
        <v>JSL</v>
      </c>
    </row>
    <row r="264">
      <c r="A264" s="19" t="inlineStr">
        <is>
          <t xml:space="preserve">INDICADORES MEDIDOS POR CLIENTE (1 = mede) — o quadro mostra "—" quando o cliente filtrado não mede</t>
        </is>
      </c>
    </row>
    <row r="265">
      <c r="A265" s="37" t="inlineStr">
        <is>
          <t xml:space="preserve">Indicador</t>
        </is>
      </c>
      <c r="B265" s="37" t="inlineStr">
        <is>
          <t xml:space="preserve">Mede (seleção)</t>
        </is>
      </c>
      <c r="C265" s="37" t="inlineStr">
        <is>
          <t xml:space="preserve">Barry Callebaut</t>
        </is>
      </c>
      <c r="D265" s="37" t="inlineStr">
        <is>
          <t xml:space="preserve">GM</t>
        </is>
      </c>
      <c r="E265" s="37" t="inlineStr">
        <is>
          <t xml:space="preserve">Mondelez</t>
        </is>
      </c>
      <c r="F265" s="37" t="inlineStr">
        <is>
          <t xml:space="preserve">Nestlé</t>
        </is>
      </c>
      <c r="G265" s="37" t="inlineStr">
        <is>
          <t xml:space="preserve">PMB</t>
        </is>
      </c>
    </row>
    <row r="266">
      <c r="A266" s="64" t="inlineStr">
        <is>
          <t xml:space="preserve">IN · Veículos Recebidos</t>
        </is>
      </c>
      <c r="B266" s="89">
        <f>IF(OR($B$2="Todos",$C$2=2),1,IFERROR(INDEX($C$266:$G$266,MATCH($D$2,$C$265:$G$265,0)),1))</f>
        <v>1</v>
      </c>
      <c r="C266" s="40">
        <v>1</v>
      </c>
      <c r="D266" s="40">
        <v>0</v>
      </c>
      <c r="E266" s="40">
        <v>1</v>
      </c>
      <c r="F266" s="40">
        <v>1</v>
      </c>
      <c r="G266" s="40">
        <v>1</v>
      </c>
    </row>
    <row r="267">
      <c r="A267" s="64" t="inlineStr">
        <is>
          <t xml:space="preserve">IN · Pallets Movimentados</t>
        </is>
      </c>
      <c r="B267" s="89">
        <f>IF(OR($B$2="Todos",$C$2=2),1,IFERROR(INDEX($C$267:$G$267,MATCH($D$2,$C$265:$G$265,0)),1))</f>
        <v>1</v>
      </c>
      <c r="C267" s="40">
        <v>1</v>
      </c>
      <c r="D267" s="40">
        <v>0</v>
      </c>
      <c r="E267" s="40">
        <v>1</v>
      </c>
      <c r="F267" s="40">
        <v>1</v>
      </c>
      <c r="G267" s="40">
        <v>1</v>
      </c>
    </row>
    <row r="268">
      <c r="A268" s="64" t="inlineStr">
        <is>
          <t xml:space="preserve">IN · Toneladas Movimentadas</t>
        </is>
      </c>
      <c r="B268" s="89">
        <f>IF(OR($B$2="Todos",$C$2=2),1,IFERROR(INDEX($C$268:$G$268,MATCH($D$2,$C$265:$G$265,0)),1))</f>
        <v>1</v>
      </c>
      <c r="C268" s="40">
        <v>1</v>
      </c>
      <c r="D268" s="40">
        <v>0</v>
      </c>
      <c r="E268" s="40">
        <v>1</v>
      </c>
      <c r="F268" s="40">
        <v>1</v>
      </c>
      <c r="G268" s="40">
        <v>1</v>
      </c>
    </row>
    <row r="269">
      <c r="A269" s="64" t="inlineStr">
        <is>
          <t xml:space="preserve">OUT · Veículos Expedidos</t>
        </is>
      </c>
      <c r="B269" s="89">
        <f>IF(OR($B$2="Todos",$C$2=2),1,IFERROR(INDEX($C$269:$G$269,MATCH($D$2,$C$265:$G$265,0)),1))</f>
        <v>1</v>
      </c>
      <c r="C269" s="40">
        <v>1</v>
      </c>
      <c r="D269" s="40">
        <v>1</v>
      </c>
      <c r="E269" s="40">
        <v>1</v>
      </c>
      <c r="F269" s="40">
        <v>1</v>
      </c>
      <c r="G269" s="40">
        <v>1</v>
      </c>
    </row>
    <row r="270">
      <c r="A270" s="64" t="inlineStr">
        <is>
          <t xml:space="preserve">OUT · Pallets Movimentados</t>
        </is>
      </c>
      <c r="B270" s="89">
        <f>IF(OR($B$2="Todos",$C$2=2),1,IFERROR(INDEX($C$270:$G$270,MATCH($D$2,$C$265:$G$265,0)),1))</f>
        <v>1</v>
      </c>
      <c r="C270" s="40">
        <v>1</v>
      </c>
      <c r="D270" s="40">
        <v>1</v>
      </c>
      <c r="E270" s="40">
        <v>1</v>
      </c>
      <c r="F270" s="40">
        <v>1</v>
      </c>
      <c r="G270" s="40">
        <v>1</v>
      </c>
    </row>
    <row r="271">
      <c r="A271" s="64" t="inlineStr">
        <is>
          <t xml:space="preserve">OUT · Toneladas Movimentadas</t>
        </is>
      </c>
      <c r="B271" s="89">
        <f>IF(OR($B$2="Todos",$C$2=2),1,IFERROR(INDEX($C$271:$G$271,MATCH($D$2,$C$265:$G$265,0)),1))</f>
        <v>1</v>
      </c>
      <c r="C271" s="40">
        <v>1</v>
      </c>
      <c r="D271" s="40">
        <v>1</v>
      </c>
      <c r="E271" s="40">
        <v>1</v>
      </c>
      <c r="F271" s="40">
        <v>1</v>
      </c>
      <c r="G271" s="40">
        <v>1</v>
      </c>
    </row>
    <row r="272">
      <c r="A272" s="64" t="inlineStr">
        <is>
          <t xml:space="preserve">NC · Incidentes</t>
        </is>
      </c>
      <c r="B272" s="89">
        <f>IF(OR($B$2="Todos",$C$2=2),1,IFERROR(INDEX($C$272:$G$272,MATCH($D$2,$C$265:$G$265,0)),1))</f>
        <v>1</v>
      </c>
      <c r="C272" s="40">
        <v>1</v>
      </c>
      <c r="D272" s="40">
        <v>1</v>
      </c>
      <c r="E272" s="40">
        <v>1</v>
      </c>
      <c r="F272" s="40">
        <v>1</v>
      </c>
      <c r="G272" s="40">
        <v>1</v>
      </c>
    </row>
    <row r="273">
      <c r="A273" s="64" t="inlineStr">
        <is>
          <t xml:space="preserve">NC · No show</t>
        </is>
      </c>
      <c r="B273" s="89">
        <f>IF(OR($B$2="Todos",$C$2=2),1,IFERROR(INDEX($C$273:$G$273,MATCH($D$2,$C$265:$G$265,0)),1))</f>
        <v>1</v>
      </c>
      <c r="C273" s="40">
        <v>1</v>
      </c>
      <c r="D273" s="40">
        <v>1</v>
      </c>
      <c r="E273" s="40">
        <v>1</v>
      </c>
      <c r="F273" s="40">
        <v>1</v>
      </c>
      <c r="G273" s="40">
        <v>1</v>
      </c>
    </row>
    <row r="274">
      <c r="A274" s="64" t="inlineStr">
        <is>
          <t xml:space="preserve">NC · Backlog</t>
        </is>
      </c>
      <c r="B274" s="89">
        <f>IF(OR($B$2="Todos",$C$2=2),1,IFERROR(INDEX($C$274:$G$274,MATCH($D$2,$C$265:$G$265,0)),1))</f>
        <v>1</v>
      </c>
      <c r="C274" s="40">
        <v>1</v>
      </c>
      <c r="D274" s="40">
        <v>1</v>
      </c>
      <c r="E274" s="40">
        <v>1</v>
      </c>
      <c r="F274" s="40">
        <v>1</v>
      </c>
      <c r="G274" s="40">
        <v>1</v>
      </c>
    </row>
    <row r="275">
      <c r="A275" s="64" t="inlineStr">
        <is>
          <t xml:space="preserve">OCUPAÇÃO (P.P) · Posições Disponíveis</t>
        </is>
      </c>
      <c r="B275" s="89">
        <f>IF(OR($B$2="Todos",$C$2=2),1,IFERROR(INDEX($C$275:$G$275,MATCH($D$2,$C$265:$G$265,0)),1))</f>
        <v>1</v>
      </c>
      <c r="C275" s="40">
        <v>1</v>
      </c>
      <c r="D275" s="40">
        <v>0</v>
      </c>
      <c r="E275" s="40">
        <v>0</v>
      </c>
      <c r="F275" s="40">
        <v>0</v>
      </c>
      <c r="G275" s="40">
        <v>1</v>
      </c>
    </row>
    <row r="276">
      <c r="A276" s="64" t="inlineStr">
        <is>
          <t xml:space="preserve">OCUPAÇÃO (P.P) · Posições Ocupadas</t>
        </is>
      </c>
      <c r="B276" s="89">
        <f>IF(OR($B$2="Todos",$C$2=2),1,IFERROR(INDEX($C$276:$G$276,MATCH($D$2,$C$265:$G$265,0)),1))</f>
        <v>1</v>
      </c>
      <c r="C276" s="40">
        <v>1</v>
      </c>
      <c r="D276" s="40">
        <v>0</v>
      </c>
      <c r="E276" s="40">
        <v>1</v>
      </c>
      <c r="F276" s="40">
        <v>1</v>
      </c>
      <c r="G276" s="40">
        <v>1</v>
      </c>
    </row>
    <row r="277">
      <c r="A277" s="64" t="inlineStr">
        <is>
          <t xml:space="preserve">OCUPAÇÃO (P.P) · Taxa de Ocupação</t>
        </is>
      </c>
      <c r="B277" s="89">
        <f>IF(OR($B$2="Todos",$C$2=2),1,IFERROR(INDEX($C$277:$G$277,MATCH($D$2,$C$265:$G$265,0)),1))</f>
        <v>1</v>
      </c>
      <c r="C277" s="40">
        <v>1</v>
      </c>
      <c r="D277" s="40">
        <v>0</v>
      </c>
      <c r="E277" s="40">
        <v>0</v>
      </c>
      <c r="F277" s="40">
        <v>0</v>
      </c>
      <c r="G277" s="40">
        <v>1</v>
      </c>
    </row>
    <row r="278">
      <c r="A278" s="64" t="inlineStr">
        <is>
          <t xml:space="preserve">GENTE · Efetivo Op.</t>
        </is>
      </c>
      <c r="B278" s="89">
        <f>IF(OR($B$2="Todos",$C$2=2),1,IFERROR(INDEX($C$278:$G$278,MATCH($D$2,$C$265:$G$265,0)),1))</f>
        <v>1</v>
      </c>
      <c r="C278" s="40">
        <v>1</v>
      </c>
      <c r="D278" s="40">
        <v>1</v>
      </c>
      <c r="E278" s="40">
        <v>1</v>
      </c>
      <c r="F278" s="40">
        <v>1</v>
      </c>
      <c r="G278" s="40">
        <v>1</v>
      </c>
    </row>
    <row r="279">
      <c r="A279" s="64" t="inlineStr">
        <is>
          <t xml:space="preserve">GENTE · Falta</t>
        </is>
      </c>
      <c r="B279" s="89">
        <f>IF(OR($B$2="Todos",$C$2=2),1,IFERROR(INDEX($C$279:$G$279,MATCH($D$2,$C$265:$G$265,0)),1))</f>
        <v>1</v>
      </c>
      <c r="C279" s="40">
        <v>1</v>
      </c>
      <c r="D279" s="40">
        <v>1</v>
      </c>
      <c r="E279" s="40">
        <v>1</v>
      </c>
      <c r="F279" s="40">
        <v>1</v>
      </c>
      <c r="G279" s="40">
        <v>1</v>
      </c>
    </row>
    <row r="280">
      <c r="A280" s="64" t="inlineStr">
        <is>
          <t xml:space="preserve">GENTE · Folga</t>
        </is>
      </c>
      <c r="B280" s="89">
        <f>IF(OR($B$2="Todos",$C$2=2),1,IFERROR(INDEX($C$280:$G$280,MATCH($D$2,$C$265:$G$265,0)),1))</f>
        <v>1</v>
      </c>
      <c r="C280" s="40">
        <v>1</v>
      </c>
      <c r="D280" s="40">
        <v>1</v>
      </c>
      <c r="E280" s="40">
        <v>1</v>
      </c>
      <c r="F280" s="40">
        <v>1</v>
      </c>
      <c r="G280" s="40">
        <v>1</v>
      </c>
    </row>
    <row r="281">
      <c r="A281" s="64" t="inlineStr">
        <is>
          <t xml:space="preserve">GENTE · Férias</t>
        </is>
      </c>
      <c r="B281" s="89">
        <f>IF(OR($B$2="Todos",$C$2=2),1,IFERROR(INDEX($C$281:$G$281,MATCH($D$2,$C$265:$G$265,0)),1))</f>
        <v>1</v>
      </c>
      <c r="C281" s="40">
        <v>1</v>
      </c>
      <c r="D281" s="40">
        <v>1</v>
      </c>
      <c r="E281" s="40">
        <v>1</v>
      </c>
      <c r="F281" s="40">
        <v>1</v>
      </c>
      <c r="G281" s="40">
        <v>1</v>
      </c>
    </row>
    <row r="282">
      <c r="A282" s="64" t="inlineStr">
        <is>
          <t xml:space="preserve">GENTE · Desligamento</t>
        </is>
      </c>
      <c r="B282" s="89">
        <f>IF(OR($B$2="Todos",$C$2=2),1,IFERROR(INDEX($C$282:$G$282,MATCH($D$2,$C$265:$G$265,0)),1))</f>
        <v>1</v>
      </c>
      <c r="C282" s="40">
        <v>1</v>
      </c>
      <c r="D282" s="40">
        <v>1</v>
      </c>
      <c r="E282" s="40">
        <v>1</v>
      </c>
      <c r="F282" s="40">
        <v>1</v>
      </c>
      <c r="G282" s="40">
        <v>1</v>
      </c>
    </row>
    <row r="283">
      <c r="A283" s="64" t="inlineStr">
        <is>
          <t xml:space="preserve">GENTE · Desvios Comportamentais</t>
        </is>
      </c>
      <c r="B283" s="89">
        <f>IF(OR($B$2="Todos",$C$2=2),1,IFERROR(INDEX($C$283:$G$283,MATCH($D$2,$C$265:$G$265,0)),1))</f>
        <v>1</v>
      </c>
      <c r="C283" s="40">
        <v>1</v>
      </c>
      <c r="D283" s="40">
        <v>1</v>
      </c>
      <c r="E283" s="40">
        <v>1</v>
      </c>
      <c r="F283" s="40">
        <v>1</v>
      </c>
      <c r="G283" s="40">
        <v>1</v>
      </c>
    </row>
    <row r="284">
      <c r="A284" s="64" t="inlineStr">
        <is>
          <t xml:space="preserve">GENTE · Acidentes CAF</t>
        </is>
      </c>
      <c r="B284" s="89">
        <f>IF(OR($B$2="Todos",$C$2=2),1,IFERROR(INDEX($C$284:$G$284,MATCH($D$2,$C$265:$G$265,0)),1))</f>
        <v>1</v>
      </c>
      <c r="C284" s="40">
        <v>1</v>
      </c>
      <c r="D284" s="40">
        <v>1</v>
      </c>
      <c r="E284" s="40">
        <v>1</v>
      </c>
      <c r="F284" s="40">
        <v>1</v>
      </c>
      <c r="G284" s="40">
        <v>1</v>
      </c>
    </row>
    <row r="285">
      <c r="A285" s="64" t="inlineStr">
        <is>
          <t xml:space="preserve">GENTE · Acidentes SAF</t>
        </is>
      </c>
      <c r="B285" s="89">
        <f>IF(OR($B$2="Todos",$C$2=2),1,IFERROR(INDEX($C$285:$G$285,MATCH($D$2,$C$265:$G$265,0)),1))</f>
        <v>1</v>
      </c>
      <c r="C285" s="40">
        <v>1</v>
      </c>
      <c r="D285" s="40">
        <v>1</v>
      </c>
      <c r="E285" s="40">
        <v>1</v>
      </c>
      <c r="F285" s="40">
        <v>1</v>
      </c>
      <c r="G285" s="40">
        <v>1</v>
      </c>
    </row>
  </sheetData>
  <sheetProtection password="CC30" sheet="1" objects="1" scenarios="1"/>
  <pageMargins left="0.25" right="0.25" top="0.4" bottom="0.4" header="0.2" footer="0.2"/>
  <pageSetup paperSize="9" orientation="landscape" fitToWidth="1" fitToHeight="0"/>
</worksheet>
</file>

<file path=docProps/app.xml><?xml version="1.0" encoding="utf-8"?>
<Properties xmlns="http://schemas.openxmlformats.org/officeDocument/2006/extended-properties">
  <Application>Microsoft Excel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title>Monitoramento diário de performance</dc:title>
  <dc:creator>IntraLog · Resumo operacional</dc:creator>
  <dcterms:created xsi:type="dcterms:W3CDTF">2026-10-02T13:46:46Z</dcterms:created>
</cp:coreProperties>
</file>